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SOS_VOTERID</t>
        </is>
      </c>
      <c r="B1" s="1" t="inlineStr">
        <is>
          <t>COUNTY_NUMBER</t>
        </is>
      </c>
      <c r="C1" s="1" t="inlineStr">
        <is>
          <t>COUNTY_ID</t>
        </is>
      </c>
      <c r="D1" s="1" t="inlineStr">
        <is>
          <t>LAST_NAME</t>
        </is>
      </c>
      <c r="E1" s="1" t="inlineStr">
        <is>
          <t>FIRST_NAME</t>
        </is>
      </c>
      <c r="F1" t="inlineStr">
        <is>
          <t>DISPLAY</t>
        </is>
      </c>
      <c r="G1" s="1" t="inlineStr">
        <is>
          <t>MIDDLE_NAME</t>
        </is>
      </c>
      <c r="H1" s="1" t="inlineStr">
        <is>
          <t>SUFFIX</t>
        </is>
      </c>
      <c r="I1" s="1" t="inlineStr">
        <is>
          <t>DATE_OF_BIRTH</t>
        </is>
      </c>
      <c r="J1" s="1" t="inlineStr">
        <is>
          <t>REGISTRATION_DATE</t>
        </is>
      </c>
      <c r="K1" s="1" t="inlineStr">
        <is>
          <t>VOTER_STATUS</t>
        </is>
      </c>
      <c r="L1" s="1" t="inlineStr">
        <is>
          <t>PARTY_AFFILIATION</t>
        </is>
      </c>
      <c r="M1" s="1" t="inlineStr">
        <is>
          <t>RESIDENTIAL_ADDRESS1</t>
        </is>
      </c>
      <c r="N1" t="inlineStr">
        <is>
          <t>StreetName</t>
        </is>
      </c>
      <c r="O1" s="1" t="inlineStr">
        <is>
          <t>RESIDENTIAL_SECONDARY_ADDR</t>
        </is>
      </c>
      <c r="P1" s="1" t="inlineStr">
        <is>
          <t>RESIDENTIAL_CITY</t>
        </is>
      </c>
      <c r="Q1" s="1" t="inlineStr">
        <is>
          <t>RESIDENTIAL_STATE</t>
        </is>
      </c>
      <c r="R1" s="1" t="inlineStr">
        <is>
          <t>RESIDENTIAL_ZIP</t>
        </is>
      </c>
      <c r="S1" s="1" t="inlineStr">
        <is>
          <t>RESIDENTIAL_ZIP_PLUS4</t>
        </is>
      </c>
      <c r="T1" s="1" t="inlineStr">
        <is>
          <t>RESIDENTIAL_COUNTRY</t>
        </is>
      </c>
      <c r="U1" s="1" t="inlineStr">
        <is>
          <t>RESIDENTIAL_POSTALCODE</t>
        </is>
      </c>
      <c r="V1" s="1" t="inlineStr">
        <is>
          <t>MAILING_ADDRESS1</t>
        </is>
      </c>
      <c r="W1" s="1" t="inlineStr">
        <is>
          <t>MAILING_SECONDARY_ADDRESS</t>
        </is>
      </c>
      <c r="X1" s="1" t="inlineStr">
        <is>
          <t>MAILING_CITY</t>
        </is>
      </c>
      <c r="Y1" s="1" t="inlineStr">
        <is>
          <t>MAILING_STATE</t>
        </is>
      </c>
      <c r="Z1" s="1" t="inlineStr">
        <is>
          <t>MAILING_ZIP</t>
        </is>
      </c>
      <c r="AA1" s="1" t="inlineStr">
        <is>
          <t>MAILING_ZIP_PLUS4</t>
        </is>
      </c>
      <c r="AB1" s="1" t="inlineStr">
        <is>
          <t>MAILING_COUNTRY</t>
        </is>
      </c>
      <c r="AC1" s="1" t="inlineStr">
        <is>
          <t>MAILING_POSTAL_CODE</t>
        </is>
      </c>
      <c r="AD1" s="1" t="inlineStr">
        <is>
          <t>CAREER_CENTER</t>
        </is>
      </c>
      <c r="AE1" s="1" t="inlineStr">
        <is>
          <t>CITY</t>
        </is>
      </c>
      <c r="AF1" s="1" t="inlineStr">
        <is>
          <t>CITY_SCHOOL_DISTRICT</t>
        </is>
      </c>
      <c r="AG1" s="1" t="inlineStr">
        <is>
          <t>COUNTY_COURT_DISTRICT</t>
        </is>
      </c>
      <c r="AH1" s="1" t="inlineStr">
        <is>
          <t>CONGRESSIONAL_DISTRICT</t>
        </is>
      </c>
      <c r="AI1" s="1" t="inlineStr">
        <is>
          <t>COURT_OF_APPEALS</t>
        </is>
      </c>
      <c r="AJ1" s="1" t="inlineStr">
        <is>
          <t>EDU_SERVICE_CENTER_DISTRICT</t>
        </is>
      </c>
      <c r="AK1" s="1" t="inlineStr">
        <is>
          <t>EXEMPTED_VILL_SCHOOL_DISTRICT</t>
        </is>
      </c>
      <c r="AL1" s="1" t="inlineStr">
        <is>
          <t>LIBRARY</t>
        </is>
      </c>
      <c r="AM1" s="1" t="inlineStr">
        <is>
          <t>LOCAL_SCHOOL_DISTRICT</t>
        </is>
      </c>
      <c r="AN1" s="1" t="inlineStr">
        <is>
          <t>MUNICIPAL_COURT_DISTRICT</t>
        </is>
      </c>
      <c r="AO1" s="1" t="inlineStr">
        <is>
          <t>PRECINCT_NAME</t>
        </is>
      </c>
      <c r="AP1" s="1" t="inlineStr">
        <is>
          <t>PRECINCT_CODE</t>
        </is>
      </c>
      <c r="AQ1" s="1" t="inlineStr">
        <is>
          <t>STATE_BOARD_OF_EDUCATION</t>
        </is>
      </c>
      <c r="AR1" s="1" t="inlineStr">
        <is>
          <t>STATE_REPRESENTATIVE_DISTRICT</t>
        </is>
      </c>
      <c r="AS1" s="1" t="inlineStr">
        <is>
          <t>STATE_SENATE_DISTRICT</t>
        </is>
      </c>
      <c r="AT1" s="1" t="inlineStr">
        <is>
          <t>TOWNSHIP</t>
        </is>
      </c>
      <c r="AU1" t="inlineStr">
        <is>
          <t>Total:</t>
        </is>
      </c>
      <c r="AV1" t="inlineStr">
        <is>
          <t>Dems</t>
        </is>
      </c>
      <c r="AW1" t="inlineStr">
        <is>
          <t>REPS</t>
        </is>
      </c>
      <c r="AX1" t="inlineStr">
        <is>
          <t>Muni</t>
        </is>
      </c>
      <c r="AY1" t="inlineStr">
        <is>
          <t>Latest</t>
        </is>
      </c>
      <c r="AZ1" t="inlineStr">
        <is>
          <t>Last</t>
        </is>
      </c>
      <c r="BA1" s="1" t="inlineStr">
        <is>
          <t>VILLAGE</t>
        </is>
      </c>
      <c r="BB1" s="1" t="inlineStr">
        <is>
          <t>WARD</t>
        </is>
      </c>
      <c r="BC1" s="1" t="inlineStr">
        <is>
          <t>PRIMARY-03/07/2000</t>
        </is>
      </c>
      <c r="BD1" s="1" t="inlineStr">
        <is>
          <t>GENERAL-11/07/2000</t>
        </is>
      </c>
      <c r="BE1" s="1" t="inlineStr">
        <is>
          <t>SPECIAL-05/08/2001</t>
        </is>
      </c>
      <c r="BF1" s="1" t="inlineStr">
        <is>
          <t>GENERAL-11/06/2001</t>
        </is>
      </c>
      <c r="BG1" s="1" t="inlineStr">
        <is>
          <t>PRIMARY-05/07/2002</t>
        </is>
      </c>
      <c r="BH1" s="1" t="inlineStr">
        <is>
          <t>GENERAL-11/05/2002</t>
        </is>
      </c>
      <c r="BI1" s="1" t="inlineStr">
        <is>
          <t>SPECIAL-05/06/2003</t>
        </is>
      </c>
      <c r="BJ1" s="1" t="inlineStr">
        <is>
          <t>GENERAL-11/04/2003</t>
        </is>
      </c>
      <c r="BK1" s="1" t="inlineStr">
        <is>
          <t>PRIMARY-03/02/2004</t>
        </is>
      </c>
      <c r="BL1" s="1" t="inlineStr">
        <is>
          <t>GENERAL-11/02/2004</t>
        </is>
      </c>
      <c r="BM1" s="1" t="inlineStr">
        <is>
          <t>SPECIAL-02/08/2005</t>
        </is>
      </c>
      <c r="BN1" s="1" t="inlineStr">
        <is>
          <t>PRIMARY-05/03/2005</t>
        </is>
      </c>
      <c r="BO1" s="1" t="inlineStr">
        <is>
          <t>PRIMARY-09/13/2005</t>
        </is>
      </c>
      <c r="BP1" s="1" t="inlineStr">
        <is>
          <t>GENERAL-11/08/2005</t>
        </is>
      </c>
      <c r="BQ1" s="1" t="inlineStr">
        <is>
          <t>SPECIAL-02/07/2006</t>
        </is>
      </c>
      <c r="BR1" s="1" t="inlineStr">
        <is>
          <t>PRIMARY-05/02/2006</t>
        </is>
      </c>
      <c r="BS1" s="1" t="inlineStr">
        <is>
          <t>GENERAL-11/07/2006</t>
        </is>
      </c>
      <c r="BT1" s="1" t="inlineStr">
        <is>
          <t>PRIMARY-05/08/2007</t>
        </is>
      </c>
      <c r="BU1" s="1" t="inlineStr">
        <is>
          <t>PRIMARY-09/11/2007</t>
        </is>
      </c>
      <c r="BV1" s="1" t="inlineStr">
        <is>
          <t>GENERAL-11/06/2007</t>
        </is>
      </c>
      <c r="BW1" s="1" t="inlineStr">
        <is>
          <t>PRIMARY-11/06/2007</t>
        </is>
      </c>
      <c r="BX1" s="1" t="inlineStr">
        <is>
          <t>GENERAL-12/11/2007</t>
        </is>
      </c>
      <c r="BY1" s="1" t="inlineStr">
        <is>
          <t>PRIMARY-03/04/2008</t>
        </is>
      </c>
      <c r="BZ1" s="1" t="inlineStr">
        <is>
          <t>PRIMARY-10/14/2008</t>
        </is>
      </c>
      <c r="CA1" s="1" t="inlineStr">
        <is>
          <t>GENERAL-11/04/2008</t>
        </is>
      </c>
      <c r="CB1" s="1" t="inlineStr">
        <is>
          <t>GENERAL-11/18/2008</t>
        </is>
      </c>
      <c r="CC1" s="1" t="inlineStr">
        <is>
          <t>PRIMARY-05/05/2009</t>
        </is>
      </c>
      <c r="CD1" s="1" t="inlineStr">
        <is>
          <t>PRIMARY-09/08/2009</t>
        </is>
      </c>
      <c r="CE1" s="1" t="inlineStr">
        <is>
          <t>PRIMARY-09/15/2009</t>
        </is>
      </c>
      <c r="CF1" s="1" t="inlineStr">
        <is>
          <t>PRIMARY-09/29/2009</t>
        </is>
      </c>
      <c r="CG1" s="1" t="inlineStr">
        <is>
          <t>GENERAL-11/03/2009</t>
        </is>
      </c>
      <c r="CH1" s="1" t="inlineStr">
        <is>
          <t>PRIMARY-05/04/2010</t>
        </is>
      </c>
      <c r="CI1" s="1" t="inlineStr">
        <is>
          <t>PRIMARY-07/13/2010</t>
        </is>
      </c>
      <c r="CJ1" s="1" t="inlineStr">
        <is>
          <t>PRIMARY-09/07/2010</t>
        </is>
      </c>
      <c r="CK1" s="1" t="inlineStr">
        <is>
          <t>GENERAL-11/02/2010</t>
        </is>
      </c>
      <c r="CL1" s="1" t="inlineStr">
        <is>
          <t>PRIMARY-05/03/2011</t>
        </is>
      </c>
      <c r="CM1" s="1" t="inlineStr">
        <is>
          <t>PRIMARY-09/13/2011</t>
        </is>
      </c>
      <c r="CN1" s="1" t="inlineStr">
        <is>
          <t>GENERAL-11/08/2011</t>
        </is>
      </c>
      <c r="CO1" s="1" t="inlineStr">
        <is>
          <t>PRIMARY-03/06/2012</t>
        </is>
      </c>
      <c r="CP1" s="1" t="inlineStr">
        <is>
          <t>GENERAL-11/06/2012</t>
        </is>
      </c>
      <c r="CQ1" s="1" t="inlineStr">
        <is>
          <t>PRIMARY-05/07/2013</t>
        </is>
      </c>
      <c r="CR1" s="1" t="inlineStr">
        <is>
          <t>PRIMARY-09/10/2013</t>
        </is>
      </c>
      <c r="CS1" s="1" t="inlineStr">
        <is>
          <t>PRIMARY-10/01/2013</t>
        </is>
      </c>
      <c r="CT1" s="1" t="inlineStr">
        <is>
          <t>GENERAL-11/05/2013</t>
        </is>
      </c>
      <c r="CU1" s="1" t="inlineStr">
        <is>
          <t>PRIMARY-05/06/2014</t>
        </is>
      </c>
      <c r="CV1" s="1" t="inlineStr">
        <is>
          <t>GENERAL-11/04/2014</t>
        </is>
      </c>
      <c r="CW1" s="1" t="inlineStr">
        <is>
          <t>PRIMARY-05/05/2015</t>
        </is>
      </c>
      <c r="CX1" s="1" t="inlineStr">
        <is>
          <t>PRIMARY-09/15/2015</t>
        </is>
      </c>
      <c r="CY1" s="1" t="inlineStr">
        <is>
          <t>GENERAL-11/03/2015</t>
        </is>
      </c>
      <c r="CZ1" s="1" t="inlineStr">
        <is>
          <t>PRIMARY-03/15/2016</t>
        </is>
      </c>
      <c r="DA1" s="1" t="inlineStr">
        <is>
          <t>GENERAL-06/07/2016</t>
        </is>
      </c>
      <c r="DB1" s="1" t="inlineStr">
        <is>
          <t>PRIMARY-09/13/2016</t>
        </is>
      </c>
      <c r="DC1" s="1" t="inlineStr">
        <is>
          <t>GENERAL-11/08/2016</t>
        </is>
      </c>
      <c r="DD1" s="1" t="inlineStr">
        <is>
          <t>PRIMARY-05/02/2017</t>
        </is>
      </c>
      <c r="DE1" s="1" t="inlineStr">
        <is>
          <t>PRIMARY-09/12/2017</t>
        </is>
      </c>
      <c r="DF1" s="1" t="inlineStr">
        <is>
          <t>GENERAL-11/07/2017</t>
        </is>
      </c>
      <c r="DG1" s="1" t="inlineStr">
        <is>
          <t>PRIMARY-05/08/2018</t>
        </is>
      </c>
      <c r="DH1" s="1" t="inlineStr">
        <is>
          <t>GENERAL-08/07/2018</t>
        </is>
      </c>
      <c r="DI1" s="1" t="inlineStr">
        <is>
          <t>GENERAL-11/06/2018</t>
        </is>
      </c>
      <c r="DJ1" s="1" t="inlineStr">
        <is>
          <t>PRIMARY-05/07/2019</t>
        </is>
      </c>
      <c r="DK1" s="1" t="inlineStr">
        <is>
          <t>PRIMARY-09/10/2019</t>
        </is>
      </c>
      <c r="DL1" s="1" t="inlineStr">
        <is>
          <t>GENERAL-11/05/2019</t>
        </is>
      </c>
      <c r="DM1" s="1" t="inlineStr">
        <is>
          <t>PRIMARY-03/17/2020</t>
        </is>
      </c>
      <c r="DN1" s="1" t="inlineStr">
        <is>
          <t>GENERAL-11/03/2020</t>
        </is>
      </c>
      <c r="DO1" s="1" t="inlineStr">
        <is>
          <t>PRIMARY-05/04/2021</t>
        </is>
      </c>
      <c r="DP1" s="1" t="inlineStr">
        <is>
          <t>PRIMARY-08/03/2021</t>
        </is>
      </c>
      <c r="DQ1" s="1" t="inlineStr">
        <is>
          <t>PRIMARY-09/14/2021</t>
        </is>
      </c>
      <c r="DR1" s="1" t="inlineStr">
        <is>
          <t>GENERAL-11/02/2021</t>
        </is>
      </c>
      <c r="DS1" s="1" t="inlineStr">
        <is>
          <t>PRIMARY-05/03/2022</t>
        </is>
      </c>
      <c r="DT1" s="1" t="inlineStr">
        <is>
          <t>PRIMARY-08/02/2022</t>
        </is>
      </c>
      <c r="DU1" s="1" t="inlineStr">
        <is>
          <t>GENERAL-11/08/2022</t>
        </is>
      </c>
      <c r="DV1" s="1" t="inlineStr">
        <is>
          <t>SPECIAL-02/28/2023</t>
        </is>
      </c>
      <c r="DW1" s="1" t="inlineStr">
        <is>
          <t>PRIMARY-05/02/2023</t>
        </is>
      </c>
      <c r="DX1" s="1" t="inlineStr">
        <is>
          <t>SPECIAL-08/08/2023</t>
        </is>
      </c>
      <c r="DY1" s="1" t="inlineStr">
        <is>
          <t>SPECIAL-09/12/2023</t>
        </is>
      </c>
      <c r="DZ1" s="1" t="inlineStr">
        <is>
          <t>PRIMARY-10/03/2023</t>
        </is>
      </c>
      <c r="EA1" s="1" t="inlineStr">
        <is>
          <t>GENERAL-11/07/2023</t>
        </is>
      </c>
      <c r="EB1" s="1" t="inlineStr">
        <is>
          <t>SPECIAL-12/05/2023</t>
        </is>
      </c>
      <c r="EC1" s="1" t="inlineStr">
        <is>
          <t>SPECIAL-02/27/2024</t>
        </is>
      </c>
      <c r="ED1" s="1" t="inlineStr">
        <is>
          <t>PRIMARY-03/19/2024</t>
        </is>
      </c>
      <c r="EE1" s="1" t="inlineStr">
        <is>
          <t>GENERAL-06/11/2024</t>
        </is>
      </c>
      <c r="EF1" s="1" t="inlineStr">
        <is>
          <t>GENERAL-11/05/2024</t>
        </is>
      </c>
      <c r="EG1" s="1" t="inlineStr">
        <is>
          <t>SPECIAL-01/07/2025</t>
        </is>
      </c>
      <c r="EH1" s="1" t="inlineStr">
        <is>
          <t>PRIMARY-05/06/2025</t>
        </is>
      </c>
    </row>
    <row r="2">
      <c r="A2" t="inlineStr">
        <is>
          <t>OH0015745538</t>
        </is>
      </c>
      <c r="B2" t="n">
        <v>78</v>
      </c>
      <c r="C2" t="n">
        <v>23194</v>
      </c>
      <c r="D2" t="inlineStr">
        <is>
          <t>LOSEY</t>
        </is>
      </c>
      <c r="E2" t="inlineStr">
        <is>
          <t>JANICE</t>
        </is>
      </c>
      <c r="F2">
        <f>CONCATENATE(D2," ",LEFT(H2,4),"T=",AU2,"D=",AV2,"R=",AW2,"M=",AX2,"L=",AY2,"B=",AZ2)</f>
        <v/>
      </c>
      <c r="G2" t="inlineStr">
        <is>
          <t>L</t>
        </is>
      </c>
      <c r="I2" t="inlineStr">
        <is>
          <t>1952-02-16</t>
        </is>
      </c>
      <c r="J2" t="inlineStr">
        <is>
          <t>1972-10-10</t>
        </is>
      </c>
      <c r="K2" t="inlineStr">
        <is>
          <t>ACTIVE</t>
        </is>
      </c>
      <c r="L2" t="inlineStr">
        <is>
          <t>D</t>
        </is>
      </c>
      <c r="M2" t="inlineStr">
        <is>
          <t>319 WOODBINE AVE SE</t>
        </is>
      </c>
      <c r="N2">
        <f>RIGHT(M2,LEN(M2)-FIND(" ",M2))</f>
        <v/>
      </c>
      <c r="P2" t="inlineStr">
        <is>
          <t>WARREN</t>
        </is>
      </c>
      <c r="Q2" t="inlineStr">
        <is>
          <t>OH</t>
        </is>
      </c>
      <c r="R2" t="n">
        <v>44483</v>
      </c>
      <c r="S2" t="n">
        <v>6046</v>
      </c>
      <c r="AD2" t="inlineStr">
        <is>
          <t>TRUMBULL CAREER &amp; TECH CENTER</t>
        </is>
      </c>
      <c r="AE2" t="inlineStr">
        <is>
          <t>WARREN CITY</t>
        </is>
      </c>
      <c r="AF2" t="inlineStr">
        <is>
          <t>WARREN CITY SD</t>
        </is>
      </c>
      <c r="AH2" t="n">
        <v>14</v>
      </c>
      <c r="AI2" t="n">
        <v>11</v>
      </c>
      <c r="AN2" t="inlineStr">
        <is>
          <t>WARREN</t>
        </is>
      </c>
      <c r="AO2" t="inlineStr">
        <is>
          <t>WARREN CITY 4A</t>
        </is>
      </c>
      <c r="AP2" t="inlineStr">
        <is>
          <t>78-P-ADI</t>
        </is>
      </c>
      <c r="AQ2" t="n">
        <v>9</v>
      </c>
      <c r="AR2" t="n">
        <v>64</v>
      </c>
      <c r="AS2" t="n">
        <v>32</v>
      </c>
      <c r="AU2">
        <f>COUNTA($BA$2:$EH$2)</f>
        <v/>
      </c>
      <c r="AV2">
        <f>COUNTIF($BA$2:$EH$2,"D")</f>
        <v/>
      </c>
      <c r="AW2">
        <f>COUNTIF($BA$2:$EH$2,"R")</f>
        <v/>
      </c>
      <c r="AX2">
        <f>IF(BN2="D",1,0)+IF(BO2="D",1,0)+IF(BT2="D",1,0)+IF(BU2="D",1,0)+IF(BW2="D",1,0)+IF(CC2="D",1,0)+IF(CD2="D",1,0)+IF(CE2="D",1,0)+IF(CF2="D",1,0)+IF(CL2="D",1,0)+IF(CM2="D",1,0)+IF(CQ2="D",1,0)+IF(CR2="D",1,0)+IF(CS2="D",1,0)+IF(CW2="D",1,0)+IF(CX2="D",1,0)+IF(DD2="D",1,0)+IF(DE2="D",1,0)+IF(DJ2="D",1,0)+IF(DK2="D",1,0)+IF(DO2="D",1,0)+IF(DP2="D",1,0)+IF(DQ2="D",1,0)+IF(DW2="D",1,0)+IF(DZ2="D",1,0)+IF(EH2="D",1,0)</f>
        <v/>
      </c>
      <c r="AY2">
        <f>IF(DJ2&lt;&gt;"",1,0)+IF(DK2&lt;&gt;"",1,0)+IF(DM2&lt;&gt;"",1,0)+IF(DO2&lt;&gt;"",1,0)+IF(DP2&lt;&gt;"",1,0)+IF(DQ2&lt;&gt;"",1,0)+IF(DS2&lt;&gt;"",1,0)+IF(DT2&lt;&gt;"",1,0)+IF(DV2&lt;&gt;"",1,0)+IF(DW2&lt;&gt;"",1,0)+IF(DX2&lt;&gt;"",1,0)+IF(DY2&lt;&gt;"",1,0)+IF(DZ2&lt;&gt;"",1,0)+IF(EB2&lt;&gt;"",1,0)+IF(EC2&lt;&gt;"",1,0)+IF(ED2&lt;&gt;"",1,0)+IF(EG2&lt;&gt;"",1,0)+IF(EH2&lt;&gt;"",1,0)</f>
        <v/>
      </c>
      <c r="AZ2">
        <f>IF(EH2&lt;&gt;"",1,0)</f>
        <v/>
      </c>
      <c r="BB2" t="inlineStr">
        <is>
          <t>WARREN-WARD 4</t>
        </is>
      </c>
      <c r="BC2" t="inlineStr">
        <is>
          <t>X</t>
        </is>
      </c>
      <c r="BD2" t="inlineStr">
        <is>
          <t>X</t>
        </is>
      </c>
      <c r="BE2" t="inlineStr">
        <is>
          <t>X</t>
        </is>
      </c>
      <c r="BF2" t="inlineStr">
        <is>
          <t>X</t>
        </is>
      </c>
      <c r="BH2" t="inlineStr">
        <is>
          <t>X</t>
        </is>
      </c>
      <c r="BI2" t="inlineStr">
        <is>
          <t>X</t>
        </is>
      </c>
      <c r="BJ2" t="inlineStr">
        <is>
          <t>X</t>
        </is>
      </c>
      <c r="BK2" t="inlineStr">
        <is>
          <t>X</t>
        </is>
      </c>
      <c r="BL2" t="inlineStr">
        <is>
          <t>X</t>
        </is>
      </c>
      <c r="BP2" t="inlineStr">
        <is>
          <t>X</t>
        </is>
      </c>
      <c r="BR2" t="inlineStr">
        <is>
          <t>X</t>
        </is>
      </c>
      <c r="BS2" t="inlineStr">
        <is>
          <t>X</t>
        </is>
      </c>
      <c r="BV2" t="inlineStr">
        <is>
          <t>X</t>
        </is>
      </c>
      <c r="BY2" t="inlineStr">
        <is>
          <t>D</t>
        </is>
      </c>
      <c r="CA2" t="inlineStr">
        <is>
          <t>X</t>
        </is>
      </c>
      <c r="CG2" t="inlineStr">
        <is>
          <t>X</t>
        </is>
      </c>
      <c r="CK2" t="inlineStr">
        <is>
          <t>X</t>
        </is>
      </c>
      <c r="CL2" t="inlineStr">
        <is>
          <t>D</t>
        </is>
      </c>
      <c r="CN2" t="inlineStr">
        <is>
          <t>X</t>
        </is>
      </c>
      <c r="CO2" t="inlineStr">
        <is>
          <t>D</t>
        </is>
      </c>
      <c r="CP2" t="inlineStr">
        <is>
          <t>X</t>
        </is>
      </c>
      <c r="CU2" t="inlineStr">
        <is>
          <t>D</t>
        </is>
      </c>
      <c r="CV2" t="inlineStr">
        <is>
          <t>X</t>
        </is>
      </c>
      <c r="CW2" t="inlineStr">
        <is>
          <t>D</t>
        </is>
      </c>
      <c r="CY2" t="inlineStr">
        <is>
          <t>X</t>
        </is>
      </c>
      <c r="CZ2" t="inlineStr">
        <is>
          <t>D</t>
        </is>
      </c>
      <c r="DC2" t="inlineStr">
        <is>
          <t>X</t>
        </is>
      </c>
      <c r="DD2" t="inlineStr">
        <is>
          <t>D</t>
        </is>
      </c>
      <c r="DF2" t="inlineStr">
        <is>
          <t>X</t>
        </is>
      </c>
      <c r="DG2" t="inlineStr">
        <is>
          <t>D</t>
        </is>
      </c>
      <c r="DI2" t="inlineStr">
        <is>
          <t>X</t>
        </is>
      </c>
      <c r="DL2" t="inlineStr">
        <is>
          <t>X</t>
        </is>
      </c>
      <c r="DM2" t="inlineStr">
        <is>
          <t>D</t>
        </is>
      </c>
      <c r="DN2" t="inlineStr">
        <is>
          <t>X</t>
        </is>
      </c>
      <c r="DR2" t="inlineStr">
        <is>
          <t>X</t>
        </is>
      </c>
      <c r="DS2" t="inlineStr">
        <is>
          <t>D</t>
        </is>
      </c>
      <c r="DT2" t="inlineStr">
        <is>
          <t>D</t>
        </is>
      </c>
      <c r="DU2" t="inlineStr">
        <is>
          <t>X</t>
        </is>
      </c>
      <c r="DW2" t="inlineStr">
        <is>
          <t>D</t>
        </is>
      </c>
      <c r="DX2" t="inlineStr">
        <is>
          <t>X</t>
        </is>
      </c>
      <c r="EA2" t="inlineStr">
        <is>
          <t>X</t>
        </is>
      </c>
      <c r="ED2" t="inlineStr">
        <is>
          <t>D</t>
        </is>
      </c>
      <c r="EF2" t="inlineStr">
        <is>
          <t>X</t>
        </is>
      </c>
      <c r="EH2" t="inlineStr">
        <is>
          <t>D</t>
        </is>
      </c>
    </row>
    <row r="3">
      <c r="A3" t="inlineStr">
        <is>
          <t>OH0024983296</t>
        </is>
      </c>
      <c r="B3" t="n">
        <v>78</v>
      </c>
      <c r="C3" t="n">
        <v>437297</v>
      </c>
      <c r="D3" t="inlineStr">
        <is>
          <t>MOLLOHAN</t>
        </is>
      </c>
      <c r="E3" t="inlineStr">
        <is>
          <t>MATTHEW</t>
        </is>
      </c>
      <c r="F3">
        <f>CONCATENATE(D3," ",LEFT(H3,4),"T=",AU3,"D=",AV3,"R=",AW3,"M=",AX3,"L=",AY3,"B=",AZ3)</f>
        <v/>
      </c>
      <c r="G3" t="inlineStr">
        <is>
          <t>D</t>
        </is>
      </c>
      <c r="I3" t="inlineStr">
        <is>
          <t>1989-01-01</t>
        </is>
      </c>
      <c r="J3" t="inlineStr">
        <is>
          <t>2020-12-09</t>
        </is>
      </c>
      <c r="K3" t="inlineStr">
        <is>
          <t>ACTIVE</t>
        </is>
      </c>
      <c r="M3" t="inlineStr">
        <is>
          <t>820 KENILWORTH AVE SE</t>
        </is>
      </c>
      <c r="N3">
        <f>RIGHT(M3,LEN(M3)-FIND(" ",M3))</f>
        <v/>
      </c>
      <c r="P3" t="inlineStr">
        <is>
          <t>WARREN</t>
        </is>
      </c>
      <c r="Q3" t="inlineStr">
        <is>
          <t>OH</t>
        </is>
      </c>
      <c r="R3" t="n">
        <v>44484</v>
      </c>
      <c r="AD3" t="inlineStr">
        <is>
          <t>TRUMBULL CAREER &amp; TECH CENTER</t>
        </is>
      </c>
      <c r="AE3" t="inlineStr">
        <is>
          <t>WARREN CITY</t>
        </is>
      </c>
      <c r="AF3" t="inlineStr">
        <is>
          <t>WARREN CITY SD</t>
        </is>
      </c>
      <c r="AH3" t="n">
        <v>14</v>
      </c>
      <c r="AI3" t="n">
        <v>11</v>
      </c>
      <c r="AN3" t="inlineStr">
        <is>
          <t>WARREN</t>
        </is>
      </c>
      <c r="AO3" t="inlineStr">
        <is>
          <t>WARREN CITY 4A</t>
        </is>
      </c>
      <c r="AP3" t="inlineStr">
        <is>
          <t>78-P-ADI</t>
        </is>
      </c>
      <c r="AQ3" t="n">
        <v>9</v>
      </c>
      <c r="AR3" t="n">
        <v>64</v>
      </c>
      <c r="AS3" t="n">
        <v>32</v>
      </c>
      <c r="AU3">
        <f>COUNTA($BA$3:$EH$3)</f>
        <v/>
      </c>
      <c r="AV3">
        <f>COUNTIF($BA$3:$EH$3,"D")</f>
        <v/>
      </c>
      <c r="AW3">
        <f>COUNTIF($BA$3:$EH$3,"R")</f>
        <v/>
      </c>
      <c r="AX3">
        <f>IF(BN3="D",1,0)+IF(BO3="D",1,0)+IF(BT3="D",1,0)+IF(BU3="D",1,0)+IF(BW3="D",1,0)+IF(CC3="D",1,0)+IF(CD3="D",1,0)+IF(CE3="D",1,0)+IF(CF3="D",1,0)+IF(CL3="D",1,0)+IF(CM3="D",1,0)+IF(CQ3="D",1,0)+IF(CR3="D",1,0)+IF(CS3="D",1,0)+IF(CW3="D",1,0)+IF(CX3="D",1,0)+IF(DD3="D",1,0)+IF(DE3="D",1,0)+IF(DJ3="D",1,0)+IF(DK3="D",1,0)+IF(DO3="D",1,0)+IF(DP3="D",1,0)+IF(DQ3="D",1,0)+IF(DW3="D",1,0)+IF(DZ3="D",1,0)+IF(EH3="D",1,0)</f>
        <v/>
      </c>
      <c r="AY3">
        <f>IF(DJ3&lt;&gt;"",1,0)+IF(DK3&lt;&gt;"",1,0)+IF(DM3&lt;&gt;"",1,0)+IF(DO3&lt;&gt;"",1,0)+IF(DP3&lt;&gt;"",1,0)+IF(DQ3&lt;&gt;"",1,0)+IF(DS3&lt;&gt;"",1,0)+IF(DT3&lt;&gt;"",1,0)+IF(DV3&lt;&gt;"",1,0)+IF(DW3&lt;&gt;"",1,0)+IF(DX3&lt;&gt;"",1,0)+IF(DY3&lt;&gt;"",1,0)+IF(DZ3&lt;&gt;"",1,0)+IF(EB3&lt;&gt;"",1,0)+IF(EC3&lt;&gt;"",1,0)+IF(ED3&lt;&gt;"",1,0)+IF(EG3&lt;&gt;"",1,0)+IF(EH3&lt;&gt;"",1,0)</f>
        <v/>
      </c>
      <c r="AZ3">
        <f>IF(EH3&lt;&gt;"",1,0)</f>
        <v/>
      </c>
      <c r="BB3" t="inlineStr">
        <is>
          <t>WARREN-WARD 4</t>
        </is>
      </c>
      <c r="BY3" t="inlineStr">
        <is>
          <t>D</t>
        </is>
      </c>
      <c r="CP3" t="inlineStr">
        <is>
          <t>X</t>
        </is>
      </c>
      <c r="CY3" t="inlineStr">
        <is>
          <t>X</t>
        </is>
      </c>
      <c r="DC3" t="inlineStr">
        <is>
          <t>X</t>
        </is>
      </c>
    </row>
    <row r="4">
      <c r="A4" t="inlineStr">
        <is>
          <t>OH0026114649</t>
        </is>
      </c>
      <c r="B4" t="n">
        <v>78</v>
      </c>
      <c r="C4" t="n">
        <v>456428</v>
      </c>
      <c r="D4" t="inlineStr">
        <is>
          <t>BROWN</t>
        </is>
      </c>
      <c r="E4" t="inlineStr">
        <is>
          <t>DEVONNE</t>
        </is>
      </c>
      <c r="F4">
        <f>CONCATENATE(D4," ",LEFT(H4,4),"T=",AU4,"D=",AV4,"R=",AW4,"M=",AX4,"L=",AY4,"B=",AZ4)</f>
        <v/>
      </c>
      <c r="G4" t="inlineStr">
        <is>
          <t>LAMAR</t>
        </is>
      </c>
      <c r="I4" t="inlineStr">
        <is>
          <t>1977-10-14</t>
        </is>
      </c>
      <c r="J4" t="inlineStr">
        <is>
          <t>2020-12-04</t>
        </is>
      </c>
      <c r="K4" t="inlineStr">
        <is>
          <t>CONFIRMATION</t>
        </is>
      </c>
      <c r="M4" t="inlineStr">
        <is>
          <t>1234 BELLE ST SE</t>
        </is>
      </c>
      <c r="N4">
        <f>RIGHT(M4,LEN(M4)-FIND(" ",M4))</f>
        <v/>
      </c>
      <c r="P4" t="inlineStr">
        <is>
          <t>WARREN</t>
        </is>
      </c>
      <c r="Q4" t="inlineStr">
        <is>
          <t>OH</t>
        </is>
      </c>
      <c r="R4" t="n">
        <v>44484</v>
      </c>
      <c r="AD4" t="inlineStr">
        <is>
          <t>TRUMBULL CAREER &amp; TECH CENTER</t>
        </is>
      </c>
      <c r="AE4" t="inlineStr">
        <is>
          <t>WARREN CITY</t>
        </is>
      </c>
      <c r="AF4" t="inlineStr">
        <is>
          <t>WARREN CITY SD</t>
        </is>
      </c>
      <c r="AH4" t="n">
        <v>14</v>
      </c>
      <c r="AI4" t="n">
        <v>11</v>
      </c>
      <c r="AN4" t="inlineStr">
        <is>
          <t>WARREN</t>
        </is>
      </c>
      <c r="AO4" t="inlineStr">
        <is>
          <t>WARREN CITY 4A</t>
        </is>
      </c>
      <c r="AP4" t="inlineStr">
        <is>
          <t>78-P-ADI</t>
        </is>
      </c>
      <c r="AQ4" t="n">
        <v>9</v>
      </c>
      <c r="AR4" t="n">
        <v>64</v>
      </c>
      <c r="AS4" t="n">
        <v>32</v>
      </c>
      <c r="AU4">
        <f>COUNTA($BA$4:$EH$4)</f>
        <v/>
      </c>
      <c r="AV4">
        <f>COUNTIF($BA$4:$EH$4,"D")</f>
        <v/>
      </c>
      <c r="AW4">
        <f>COUNTIF($BA$4:$EH$4,"R")</f>
        <v/>
      </c>
      <c r="AX4">
        <f>IF(BN4="D",1,0)+IF(BO4="D",1,0)+IF(BT4="D",1,0)+IF(BU4="D",1,0)+IF(BW4="D",1,0)+IF(CC4="D",1,0)+IF(CD4="D",1,0)+IF(CE4="D",1,0)+IF(CF4="D",1,0)+IF(CL4="D",1,0)+IF(CM4="D",1,0)+IF(CQ4="D",1,0)+IF(CR4="D",1,0)+IF(CS4="D",1,0)+IF(CW4="D",1,0)+IF(CX4="D",1,0)+IF(DD4="D",1,0)+IF(DE4="D",1,0)+IF(DJ4="D",1,0)+IF(DK4="D",1,0)+IF(DO4="D",1,0)+IF(DP4="D",1,0)+IF(DQ4="D",1,0)+IF(DW4="D",1,0)+IF(DZ4="D",1,0)+IF(EH4="D",1,0)</f>
        <v/>
      </c>
      <c r="AY4">
        <f>IF(DJ4&lt;&gt;"",1,0)+IF(DK4&lt;&gt;"",1,0)+IF(DM4&lt;&gt;"",1,0)+IF(DO4&lt;&gt;"",1,0)+IF(DP4&lt;&gt;"",1,0)+IF(DQ4&lt;&gt;"",1,0)+IF(DS4&lt;&gt;"",1,0)+IF(DT4&lt;&gt;"",1,0)+IF(DV4&lt;&gt;"",1,0)+IF(DW4&lt;&gt;"",1,0)+IF(DX4&lt;&gt;"",1,0)+IF(DY4&lt;&gt;"",1,0)+IF(DZ4&lt;&gt;"",1,0)+IF(EB4&lt;&gt;"",1,0)+IF(EC4&lt;&gt;"",1,0)+IF(ED4&lt;&gt;"",1,0)+IF(EG4&lt;&gt;"",1,0)+IF(EH4&lt;&gt;"",1,0)</f>
        <v/>
      </c>
      <c r="AZ4">
        <f>IF(EH4&lt;&gt;"",1,0)</f>
        <v/>
      </c>
      <c r="BB4" t="inlineStr">
        <is>
          <t>WARREN-WARD 4</t>
        </is>
      </c>
    </row>
    <row r="5">
      <c r="A5" t="inlineStr">
        <is>
          <t>OH0027962518</t>
        </is>
      </c>
      <c r="B5" t="n">
        <v>78</v>
      </c>
      <c r="C5" t="n">
        <v>496330</v>
      </c>
      <c r="D5" t="inlineStr">
        <is>
          <t>MILLER</t>
        </is>
      </c>
      <c r="E5" t="inlineStr">
        <is>
          <t>CASSIDY</t>
        </is>
      </c>
      <c r="F5">
        <f>CONCATENATE(D5," ",LEFT(H5,4),"T=",AU5,"D=",AV5,"R=",AW5,"M=",AX5,"L=",AY5,"B=",AZ5)</f>
        <v/>
      </c>
      <c r="G5" t="inlineStr">
        <is>
          <t>MARIE</t>
        </is>
      </c>
      <c r="I5" t="inlineStr">
        <is>
          <t>2007-02-28</t>
        </is>
      </c>
      <c r="J5" t="inlineStr">
        <is>
          <t>2025-05-28</t>
        </is>
      </c>
      <c r="K5" t="inlineStr">
        <is>
          <t>ACTIVE</t>
        </is>
      </c>
      <c r="M5" t="inlineStr">
        <is>
          <t>374 HOMEWOOD AVE SE</t>
        </is>
      </c>
      <c r="N5">
        <f>RIGHT(M5,LEN(M5)-FIND(" ",M5))</f>
        <v/>
      </c>
      <c r="P5" t="inlineStr">
        <is>
          <t>WARREN</t>
        </is>
      </c>
      <c r="Q5" t="inlineStr">
        <is>
          <t>OH</t>
        </is>
      </c>
      <c r="R5" t="n">
        <v>44483</v>
      </c>
      <c r="AD5" t="inlineStr">
        <is>
          <t>TRUMBULL CAREER &amp; TECH CENTER</t>
        </is>
      </c>
      <c r="AE5" t="inlineStr">
        <is>
          <t>WARREN CITY</t>
        </is>
      </c>
      <c r="AF5" t="inlineStr">
        <is>
          <t>WARREN CITY SD</t>
        </is>
      </c>
      <c r="AH5" t="n">
        <v>14</v>
      </c>
      <c r="AI5" t="n">
        <v>11</v>
      </c>
      <c r="AN5" t="inlineStr">
        <is>
          <t>WARREN</t>
        </is>
      </c>
      <c r="AO5" t="inlineStr">
        <is>
          <t>WARREN CITY 4A</t>
        </is>
      </c>
      <c r="AP5" t="inlineStr">
        <is>
          <t>78-P-ADI</t>
        </is>
      </c>
      <c r="AQ5" t="n">
        <v>9</v>
      </c>
      <c r="AR5" t="n">
        <v>64</v>
      </c>
      <c r="AS5" t="n">
        <v>32</v>
      </c>
      <c r="AU5">
        <f>COUNTA($BA$5:$EH$5)</f>
        <v/>
      </c>
      <c r="AV5">
        <f>COUNTIF($BA$5:$EH$5,"D")</f>
        <v/>
      </c>
      <c r="AW5">
        <f>COUNTIF($BA$5:$EH$5,"R")</f>
        <v/>
      </c>
      <c r="AX5">
        <f>IF(BN5="D",1,0)+IF(BO5="D",1,0)+IF(BT5="D",1,0)+IF(BU5="D",1,0)+IF(BW5="D",1,0)+IF(CC5="D",1,0)+IF(CD5="D",1,0)+IF(CE5="D",1,0)+IF(CF5="D",1,0)+IF(CL5="D",1,0)+IF(CM5="D",1,0)+IF(CQ5="D",1,0)+IF(CR5="D",1,0)+IF(CS5="D",1,0)+IF(CW5="D",1,0)+IF(CX5="D",1,0)+IF(DD5="D",1,0)+IF(DE5="D",1,0)+IF(DJ5="D",1,0)+IF(DK5="D",1,0)+IF(DO5="D",1,0)+IF(DP5="D",1,0)+IF(DQ5="D",1,0)+IF(DW5="D",1,0)+IF(DZ5="D",1,0)+IF(EH5="D",1,0)</f>
        <v/>
      </c>
      <c r="AY5">
        <f>IF(DJ5&lt;&gt;"",1,0)+IF(DK5&lt;&gt;"",1,0)+IF(DM5&lt;&gt;"",1,0)+IF(DO5&lt;&gt;"",1,0)+IF(DP5&lt;&gt;"",1,0)+IF(DQ5&lt;&gt;"",1,0)+IF(DS5&lt;&gt;"",1,0)+IF(DT5&lt;&gt;"",1,0)+IF(DV5&lt;&gt;"",1,0)+IF(DW5&lt;&gt;"",1,0)+IF(DX5&lt;&gt;"",1,0)+IF(DY5&lt;&gt;"",1,0)+IF(DZ5&lt;&gt;"",1,0)+IF(EB5&lt;&gt;"",1,0)+IF(EC5&lt;&gt;"",1,0)+IF(ED5&lt;&gt;"",1,0)+IF(EG5&lt;&gt;"",1,0)+IF(EH5&lt;&gt;"",1,0)</f>
        <v/>
      </c>
      <c r="AZ5">
        <f>IF(EH5&lt;&gt;"",1,0)</f>
        <v/>
      </c>
      <c r="BB5" t="inlineStr">
        <is>
          <t>WARREN-WARD 4</t>
        </is>
      </c>
    </row>
    <row r="6">
      <c r="A6" t="inlineStr">
        <is>
          <t>OH0020902306</t>
        </is>
      </c>
      <c r="B6" t="n">
        <v>78</v>
      </c>
      <c r="C6" t="n">
        <v>371735</v>
      </c>
      <c r="D6" t="inlineStr">
        <is>
          <t>PEMBERTON</t>
        </is>
      </c>
      <c r="E6" t="inlineStr">
        <is>
          <t>NORMA</t>
        </is>
      </c>
      <c r="F6">
        <f>CONCATENATE(D6," ",LEFT(H6,4),"T=",AU6,"D=",AV6,"R=",AW6,"M=",AX6,"L=",AY6,"B=",AZ6)</f>
        <v/>
      </c>
      <c r="G6" t="inlineStr">
        <is>
          <t>ROSE</t>
        </is>
      </c>
      <c r="I6" t="inlineStr">
        <is>
          <t>1991-10-08</t>
        </is>
      </c>
      <c r="J6" t="inlineStr">
        <is>
          <t>2024-08-23</t>
        </is>
      </c>
      <c r="K6" t="inlineStr">
        <is>
          <t>ACTIVE</t>
        </is>
      </c>
      <c r="M6" t="inlineStr">
        <is>
          <t>515 HOMEWOOD AVE SE</t>
        </is>
      </c>
      <c r="N6">
        <f>RIGHT(M6,LEN(M6)-FIND(" ",M6))</f>
        <v/>
      </c>
      <c r="P6" t="inlineStr">
        <is>
          <t>WARREN</t>
        </is>
      </c>
      <c r="Q6" t="inlineStr">
        <is>
          <t>OH</t>
        </is>
      </c>
      <c r="R6" t="n">
        <v>44483</v>
      </c>
      <c r="AD6" t="inlineStr">
        <is>
          <t>TRUMBULL CAREER &amp; TECH CENTER</t>
        </is>
      </c>
      <c r="AE6" t="inlineStr">
        <is>
          <t>WARREN CITY</t>
        </is>
      </c>
      <c r="AF6" t="inlineStr">
        <is>
          <t>WARREN CITY SD</t>
        </is>
      </c>
      <c r="AH6" t="n">
        <v>14</v>
      </c>
      <c r="AI6" t="n">
        <v>11</v>
      </c>
      <c r="AN6" t="inlineStr">
        <is>
          <t>WARREN</t>
        </is>
      </c>
      <c r="AO6" t="inlineStr">
        <is>
          <t>WARREN CITY 4A</t>
        </is>
      </c>
      <c r="AP6" t="inlineStr">
        <is>
          <t>78-P-ADI</t>
        </is>
      </c>
      <c r="AQ6" t="n">
        <v>9</v>
      </c>
      <c r="AR6" t="n">
        <v>64</v>
      </c>
      <c r="AS6" t="n">
        <v>32</v>
      </c>
      <c r="AU6">
        <f>COUNTA($BA$6:$EH$6)</f>
        <v/>
      </c>
      <c r="AV6">
        <f>COUNTIF($BA$6:$EH$6,"D")</f>
        <v/>
      </c>
      <c r="AW6">
        <f>COUNTIF($BA$6:$EH$6,"R")</f>
        <v/>
      </c>
      <c r="AX6">
        <f>IF(BN6="D",1,0)+IF(BO6="D",1,0)+IF(BT6="D",1,0)+IF(BU6="D",1,0)+IF(BW6="D",1,0)+IF(CC6="D",1,0)+IF(CD6="D",1,0)+IF(CE6="D",1,0)+IF(CF6="D",1,0)+IF(CL6="D",1,0)+IF(CM6="D",1,0)+IF(CQ6="D",1,0)+IF(CR6="D",1,0)+IF(CS6="D",1,0)+IF(CW6="D",1,0)+IF(CX6="D",1,0)+IF(DD6="D",1,0)+IF(DE6="D",1,0)+IF(DJ6="D",1,0)+IF(DK6="D",1,0)+IF(DO6="D",1,0)+IF(DP6="D",1,0)+IF(DQ6="D",1,0)+IF(DW6="D",1,0)+IF(DZ6="D",1,0)+IF(EH6="D",1,0)</f>
        <v/>
      </c>
      <c r="AY6">
        <f>IF(DJ6&lt;&gt;"",1,0)+IF(DK6&lt;&gt;"",1,0)+IF(DM6&lt;&gt;"",1,0)+IF(DO6&lt;&gt;"",1,0)+IF(DP6&lt;&gt;"",1,0)+IF(DQ6&lt;&gt;"",1,0)+IF(DS6&lt;&gt;"",1,0)+IF(DT6&lt;&gt;"",1,0)+IF(DV6&lt;&gt;"",1,0)+IF(DW6&lt;&gt;"",1,0)+IF(DX6&lt;&gt;"",1,0)+IF(DY6&lt;&gt;"",1,0)+IF(DZ6&lt;&gt;"",1,0)+IF(EB6&lt;&gt;"",1,0)+IF(EC6&lt;&gt;"",1,0)+IF(ED6&lt;&gt;"",1,0)+IF(EG6&lt;&gt;"",1,0)+IF(EH6&lt;&gt;"",1,0)</f>
        <v/>
      </c>
      <c r="AZ6">
        <f>IF(EH6&lt;&gt;"",1,0)</f>
        <v/>
      </c>
      <c r="BB6" t="inlineStr">
        <is>
          <t>WARREN-WARD 4</t>
        </is>
      </c>
      <c r="DC6" t="inlineStr">
        <is>
          <t>X</t>
        </is>
      </c>
      <c r="DI6" t="inlineStr">
        <is>
          <t>X</t>
        </is>
      </c>
      <c r="DN6" t="inlineStr">
        <is>
          <t>X</t>
        </is>
      </c>
      <c r="EF6" t="inlineStr">
        <is>
          <t>X</t>
        </is>
      </c>
    </row>
    <row r="7">
      <c r="A7" t="inlineStr">
        <is>
          <t>OH0015731888</t>
        </is>
      </c>
      <c r="B7" t="n">
        <v>78</v>
      </c>
      <c r="C7" t="n">
        <v>298735</v>
      </c>
      <c r="D7" t="inlineStr">
        <is>
          <t>BIANCO</t>
        </is>
      </c>
      <c r="E7" t="inlineStr">
        <is>
          <t>VONDA</t>
        </is>
      </c>
      <c r="F7">
        <f>CONCATENATE(D7," ",LEFT(H7,4),"T=",AU7,"D=",AV7,"R=",AW7,"M=",AX7,"L=",AY7,"B=",AZ7)</f>
        <v/>
      </c>
      <c r="G7" t="inlineStr">
        <is>
          <t>D</t>
        </is>
      </c>
      <c r="I7" t="inlineStr">
        <is>
          <t>1935-04-25</t>
        </is>
      </c>
      <c r="J7" t="inlineStr">
        <is>
          <t>2000-10-10</t>
        </is>
      </c>
      <c r="K7" t="inlineStr">
        <is>
          <t>ACTIVE</t>
        </is>
      </c>
      <c r="L7" t="inlineStr">
        <is>
          <t>R</t>
        </is>
      </c>
      <c r="M7" t="inlineStr">
        <is>
          <t>507 WOODBINE AVE SE</t>
        </is>
      </c>
      <c r="N7">
        <f>RIGHT(M7,LEN(M7)-FIND(" ",M7))</f>
        <v/>
      </c>
      <c r="P7" t="inlineStr">
        <is>
          <t>WARREN</t>
        </is>
      </c>
      <c r="Q7" t="inlineStr">
        <is>
          <t>OH</t>
        </is>
      </c>
      <c r="R7" t="n">
        <v>44483</v>
      </c>
      <c r="AD7" t="inlineStr">
        <is>
          <t>TRUMBULL CAREER &amp; TECH CENTER</t>
        </is>
      </c>
      <c r="AE7" t="inlineStr">
        <is>
          <t>WARREN CITY</t>
        </is>
      </c>
      <c r="AF7" t="inlineStr">
        <is>
          <t>WARREN CITY SD</t>
        </is>
      </c>
      <c r="AH7" t="n">
        <v>14</v>
      </c>
      <c r="AI7" t="n">
        <v>11</v>
      </c>
      <c r="AN7" t="inlineStr">
        <is>
          <t>WARREN</t>
        </is>
      </c>
      <c r="AO7" t="inlineStr">
        <is>
          <t>WARREN CITY 4A</t>
        </is>
      </c>
      <c r="AP7" t="inlineStr">
        <is>
          <t>78-P-ADI</t>
        </is>
      </c>
      <c r="AQ7" t="n">
        <v>9</v>
      </c>
      <c r="AR7" t="n">
        <v>64</v>
      </c>
      <c r="AS7" t="n">
        <v>32</v>
      </c>
      <c r="AU7">
        <f>COUNTA($BA$7:$EH$7)</f>
        <v/>
      </c>
      <c r="AV7">
        <f>COUNTIF($BA$7:$EH$7,"D")</f>
        <v/>
      </c>
      <c r="AW7">
        <f>COUNTIF($BA$7:$EH$7,"R")</f>
        <v/>
      </c>
      <c r="AX7">
        <f>IF(BN7="D",1,0)+IF(BO7="D",1,0)+IF(BT7="D",1,0)+IF(BU7="D",1,0)+IF(BW7="D",1,0)+IF(CC7="D",1,0)+IF(CD7="D",1,0)+IF(CE7="D",1,0)+IF(CF7="D",1,0)+IF(CL7="D",1,0)+IF(CM7="D",1,0)+IF(CQ7="D",1,0)+IF(CR7="D",1,0)+IF(CS7="D",1,0)+IF(CW7="D",1,0)+IF(CX7="D",1,0)+IF(DD7="D",1,0)+IF(DE7="D",1,0)+IF(DJ7="D",1,0)+IF(DK7="D",1,0)+IF(DO7="D",1,0)+IF(DP7="D",1,0)+IF(DQ7="D",1,0)+IF(DW7="D",1,0)+IF(DZ7="D",1,0)+IF(EH7="D",1,0)</f>
        <v/>
      </c>
      <c r="AY7">
        <f>IF(DJ7&lt;&gt;"",1,0)+IF(DK7&lt;&gt;"",1,0)+IF(DM7&lt;&gt;"",1,0)+IF(DO7&lt;&gt;"",1,0)+IF(DP7&lt;&gt;"",1,0)+IF(DQ7&lt;&gt;"",1,0)+IF(DS7&lt;&gt;"",1,0)+IF(DT7&lt;&gt;"",1,0)+IF(DV7&lt;&gt;"",1,0)+IF(DW7&lt;&gt;"",1,0)+IF(DX7&lt;&gt;"",1,0)+IF(DY7&lt;&gt;"",1,0)+IF(DZ7&lt;&gt;"",1,0)+IF(EB7&lt;&gt;"",1,0)+IF(EC7&lt;&gt;"",1,0)+IF(ED7&lt;&gt;"",1,0)+IF(EG7&lt;&gt;"",1,0)+IF(EH7&lt;&gt;"",1,0)</f>
        <v/>
      </c>
      <c r="AZ7">
        <f>IF(EH7&lt;&gt;"",1,0)</f>
        <v/>
      </c>
      <c r="BB7" t="inlineStr">
        <is>
          <t>WARREN-WARD 4</t>
        </is>
      </c>
      <c r="BD7" t="inlineStr">
        <is>
          <t>X</t>
        </is>
      </c>
      <c r="BE7" t="inlineStr">
        <is>
          <t>X</t>
        </is>
      </c>
      <c r="BG7" t="inlineStr">
        <is>
          <t>X</t>
        </is>
      </c>
      <c r="BH7" t="inlineStr">
        <is>
          <t>X</t>
        </is>
      </c>
      <c r="BI7" t="inlineStr">
        <is>
          <t>X</t>
        </is>
      </c>
      <c r="BJ7" t="inlineStr">
        <is>
          <t>X</t>
        </is>
      </c>
      <c r="BK7" t="inlineStr">
        <is>
          <t>X</t>
        </is>
      </c>
      <c r="BL7" t="inlineStr">
        <is>
          <t>X</t>
        </is>
      </c>
      <c r="BR7" t="inlineStr">
        <is>
          <t>X</t>
        </is>
      </c>
      <c r="BS7" t="inlineStr">
        <is>
          <t>X</t>
        </is>
      </c>
      <c r="BT7" t="inlineStr">
        <is>
          <t>X</t>
        </is>
      </c>
      <c r="BY7" t="inlineStr">
        <is>
          <t>D</t>
        </is>
      </c>
      <c r="CA7" t="inlineStr">
        <is>
          <t>X</t>
        </is>
      </c>
      <c r="CG7" t="inlineStr">
        <is>
          <t>X</t>
        </is>
      </c>
      <c r="CK7" t="inlineStr">
        <is>
          <t>X</t>
        </is>
      </c>
      <c r="CL7" t="inlineStr">
        <is>
          <t>D</t>
        </is>
      </c>
      <c r="CN7" t="inlineStr">
        <is>
          <t>X</t>
        </is>
      </c>
      <c r="CP7" t="inlineStr">
        <is>
          <t>X</t>
        </is>
      </c>
      <c r="CQ7" t="inlineStr">
        <is>
          <t>D</t>
        </is>
      </c>
      <c r="CU7" t="inlineStr">
        <is>
          <t>D</t>
        </is>
      </c>
      <c r="CV7" t="inlineStr">
        <is>
          <t>X</t>
        </is>
      </c>
      <c r="CY7" t="inlineStr">
        <is>
          <t>X</t>
        </is>
      </c>
      <c r="CZ7" t="inlineStr">
        <is>
          <t>D</t>
        </is>
      </c>
      <c r="DC7" t="inlineStr">
        <is>
          <t>X</t>
        </is>
      </c>
      <c r="DF7" t="inlineStr">
        <is>
          <t>X</t>
        </is>
      </c>
      <c r="DG7" t="inlineStr">
        <is>
          <t>R</t>
        </is>
      </c>
      <c r="DI7" t="inlineStr">
        <is>
          <t>X</t>
        </is>
      </c>
      <c r="DJ7" t="inlineStr">
        <is>
          <t>D</t>
        </is>
      </c>
      <c r="DL7" t="inlineStr">
        <is>
          <t>X</t>
        </is>
      </c>
      <c r="DM7" t="inlineStr">
        <is>
          <t>R</t>
        </is>
      </c>
      <c r="DN7" t="inlineStr">
        <is>
          <t>X</t>
        </is>
      </c>
      <c r="DS7" t="inlineStr">
        <is>
          <t>R</t>
        </is>
      </c>
      <c r="DU7" t="inlineStr">
        <is>
          <t>X</t>
        </is>
      </c>
      <c r="EA7" t="inlineStr">
        <is>
          <t>X</t>
        </is>
      </c>
      <c r="ED7" t="inlineStr">
        <is>
          <t>R</t>
        </is>
      </c>
      <c r="EF7" t="inlineStr">
        <is>
          <t>X</t>
        </is>
      </c>
    </row>
    <row r="8">
      <c r="A8" t="inlineStr">
        <is>
          <t>OH0015752652</t>
        </is>
      </c>
      <c r="B8" t="n">
        <v>78</v>
      </c>
      <c r="C8" t="n">
        <v>294738</v>
      </c>
      <c r="D8" t="inlineStr">
        <is>
          <t>KYSER</t>
        </is>
      </c>
      <c r="E8" t="inlineStr">
        <is>
          <t>TAMICA</t>
        </is>
      </c>
      <c r="F8">
        <f>CONCATENATE(D8," ",LEFT(H8,4),"T=",AU8,"D=",AV8,"R=",AW8,"M=",AX8,"L=",AY8,"B=",AZ8)</f>
        <v/>
      </c>
      <c r="G8" t="inlineStr">
        <is>
          <t>L</t>
        </is>
      </c>
      <c r="I8" t="inlineStr">
        <is>
          <t>1982-10-07</t>
        </is>
      </c>
      <c r="J8" t="inlineStr">
        <is>
          <t>2020-07-27</t>
        </is>
      </c>
      <c r="K8" t="inlineStr">
        <is>
          <t>ACTIVE</t>
        </is>
      </c>
      <c r="M8" t="inlineStr">
        <is>
          <t>668 WOODBINE AVE SE</t>
        </is>
      </c>
      <c r="N8">
        <f>RIGHT(M8,LEN(M8)-FIND(" ",M8))</f>
        <v/>
      </c>
      <c r="P8" t="inlineStr">
        <is>
          <t>WARREN</t>
        </is>
      </c>
      <c r="Q8" t="inlineStr">
        <is>
          <t>OH</t>
        </is>
      </c>
      <c r="R8" t="n">
        <v>44483</v>
      </c>
      <c r="AD8" t="inlineStr">
        <is>
          <t>TRUMBULL CAREER &amp; TECH CENTER</t>
        </is>
      </c>
      <c r="AE8" t="inlineStr">
        <is>
          <t>WARREN CITY</t>
        </is>
      </c>
      <c r="AF8" t="inlineStr">
        <is>
          <t>WARREN CITY SD</t>
        </is>
      </c>
      <c r="AH8" t="n">
        <v>14</v>
      </c>
      <c r="AI8" t="n">
        <v>11</v>
      </c>
      <c r="AN8" t="inlineStr">
        <is>
          <t>WARREN</t>
        </is>
      </c>
      <c r="AO8" t="inlineStr">
        <is>
          <t>WARREN CITY 4A</t>
        </is>
      </c>
      <c r="AP8" t="inlineStr">
        <is>
          <t>78-P-ADI</t>
        </is>
      </c>
      <c r="AQ8" t="n">
        <v>9</v>
      </c>
      <c r="AR8" t="n">
        <v>64</v>
      </c>
      <c r="AS8" t="n">
        <v>32</v>
      </c>
      <c r="AU8">
        <f>COUNTA($BA$8:$EH$8)</f>
        <v/>
      </c>
      <c r="AV8">
        <f>COUNTIF($BA$8:$EH$8,"D")</f>
        <v/>
      </c>
      <c r="AW8">
        <f>COUNTIF($BA$8:$EH$8,"R")</f>
        <v/>
      </c>
      <c r="AX8">
        <f>IF(BN8="D",1,0)+IF(BO8="D",1,0)+IF(BT8="D",1,0)+IF(BU8="D",1,0)+IF(BW8="D",1,0)+IF(CC8="D",1,0)+IF(CD8="D",1,0)+IF(CE8="D",1,0)+IF(CF8="D",1,0)+IF(CL8="D",1,0)+IF(CM8="D",1,0)+IF(CQ8="D",1,0)+IF(CR8="D",1,0)+IF(CS8="D",1,0)+IF(CW8="D",1,0)+IF(CX8="D",1,0)+IF(DD8="D",1,0)+IF(DE8="D",1,0)+IF(DJ8="D",1,0)+IF(DK8="D",1,0)+IF(DO8="D",1,0)+IF(DP8="D",1,0)+IF(DQ8="D",1,0)+IF(DW8="D",1,0)+IF(DZ8="D",1,0)+IF(EH8="D",1,0)</f>
        <v/>
      </c>
      <c r="AY8">
        <f>IF(DJ8&lt;&gt;"",1,0)+IF(DK8&lt;&gt;"",1,0)+IF(DM8&lt;&gt;"",1,0)+IF(DO8&lt;&gt;"",1,0)+IF(DP8&lt;&gt;"",1,0)+IF(DQ8&lt;&gt;"",1,0)+IF(DS8&lt;&gt;"",1,0)+IF(DT8&lt;&gt;"",1,0)+IF(DV8&lt;&gt;"",1,0)+IF(DW8&lt;&gt;"",1,0)+IF(DX8&lt;&gt;"",1,0)+IF(DY8&lt;&gt;"",1,0)+IF(DZ8&lt;&gt;"",1,0)+IF(EB8&lt;&gt;"",1,0)+IF(EC8&lt;&gt;"",1,0)+IF(ED8&lt;&gt;"",1,0)+IF(EG8&lt;&gt;"",1,0)+IF(EH8&lt;&gt;"",1,0)</f>
        <v/>
      </c>
      <c r="AZ8">
        <f>IF(EH8&lt;&gt;"",1,0)</f>
        <v/>
      </c>
      <c r="BB8" t="inlineStr">
        <is>
          <t>WARREN-WARD 4</t>
        </is>
      </c>
      <c r="BD8" t="inlineStr">
        <is>
          <t>X</t>
        </is>
      </c>
      <c r="CA8" t="inlineStr">
        <is>
          <t>X</t>
        </is>
      </c>
      <c r="DI8" t="inlineStr">
        <is>
          <t>X</t>
        </is>
      </c>
      <c r="DN8" t="inlineStr">
        <is>
          <t>X</t>
        </is>
      </c>
      <c r="EF8" t="inlineStr">
        <is>
          <t>X</t>
        </is>
      </c>
    </row>
    <row r="9">
      <c r="A9" t="inlineStr">
        <is>
          <t>OH0025212369</t>
        </is>
      </c>
      <c r="B9" t="n">
        <v>78</v>
      </c>
      <c r="C9" t="n">
        <v>441475</v>
      </c>
      <c r="D9" t="inlineStr">
        <is>
          <t>REEDER</t>
        </is>
      </c>
      <c r="E9" t="inlineStr">
        <is>
          <t>CHARLENE</t>
        </is>
      </c>
      <c r="F9">
        <f>CONCATENATE(D9," ",LEFT(H9,4),"T=",AU9,"D=",AV9,"R=",AW9,"M=",AX9,"L=",AY9,"B=",AZ9)</f>
        <v/>
      </c>
      <c r="G9" t="inlineStr">
        <is>
          <t>LOUISE</t>
        </is>
      </c>
      <c r="I9" t="inlineStr">
        <is>
          <t>1972-10-06</t>
        </is>
      </c>
      <c r="J9" t="inlineStr">
        <is>
          <t>2022-08-06</t>
        </is>
      </c>
      <c r="K9" t="inlineStr">
        <is>
          <t>ACTIVE</t>
        </is>
      </c>
      <c r="L9" t="inlineStr">
        <is>
          <t>R</t>
        </is>
      </c>
      <c r="M9" t="inlineStr">
        <is>
          <t>315 OAK KNOLL AVE SE</t>
        </is>
      </c>
      <c r="N9">
        <f>RIGHT(M9,LEN(M9)-FIND(" ",M9))</f>
        <v/>
      </c>
      <c r="P9" t="inlineStr">
        <is>
          <t>WARREN</t>
        </is>
      </c>
      <c r="Q9" t="inlineStr">
        <is>
          <t>OH</t>
        </is>
      </c>
      <c r="R9" t="n">
        <v>44483</v>
      </c>
      <c r="AD9" t="inlineStr">
        <is>
          <t>TRUMBULL CAREER &amp; TECH CENTER</t>
        </is>
      </c>
      <c r="AE9" t="inlineStr">
        <is>
          <t>WARREN CITY</t>
        </is>
      </c>
      <c r="AF9" t="inlineStr">
        <is>
          <t>WARREN CITY SD</t>
        </is>
      </c>
      <c r="AH9" t="n">
        <v>14</v>
      </c>
      <c r="AI9" t="n">
        <v>11</v>
      </c>
      <c r="AN9" t="inlineStr">
        <is>
          <t>WARREN</t>
        </is>
      </c>
      <c r="AO9" t="inlineStr">
        <is>
          <t>WARREN CITY 4A</t>
        </is>
      </c>
      <c r="AP9" t="inlineStr">
        <is>
          <t>78-P-ADI</t>
        </is>
      </c>
      <c r="AQ9" t="n">
        <v>9</v>
      </c>
      <c r="AR9" t="n">
        <v>64</v>
      </c>
      <c r="AS9" t="n">
        <v>32</v>
      </c>
      <c r="AU9">
        <f>COUNTA($BA$9:$EH$9)</f>
        <v/>
      </c>
      <c r="AV9">
        <f>COUNTIF($BA$9:$EH$9,"D")</f>
        <v/>
      </c>
      <c r="AW9">
        <f>COUNTIF($BA$9:$EH$9,"R")</f>
        <v/>
      </c>
      <c r="AX9">
        <f>IF(BN9="D",1,0)+IF(BO9="D",1,0)+IF(BT9="D",1,0)+IF(BU9="D",1,0)+IF(BW9="D",1,0)+IF(CC9="D",1,0)+IF(CD9="D",1,0)+IF(CE9="D",1,0)+IF(CF9="D",1,0)+IF(CL9="D",1,0)+IF(CM9="D",1,0)+IF(CQ9="D",1,0)+IF(CR9="D",1,0)+IF(CS9="D",1,0)+IF(CW9="D",1,0)+IF(CX9="D",1,0)+IF(DD9="D",1,0)+IF(DE9="D",1,0)+IF(DJ9="D",1,0)+IF(DK9="D",1,0)+IF(DO9="D",1,0)+IF(DP9="D",1,0)+IF(DQ9="D",1,0)+IF(DW9="D",1,0)+IF(DZ9="D",1,0)+IF(EH9="D",1,0)</f>
        <v/>
      </c>
      <c r="AY9">
        <f>IF(DJ9&lt;&gt;"",1,0)+IF(DK9&lt;&gt;"",1,0)+IF(DM9&lt;&gt;"",1,0)+IF(DO9&lt;&gt;"",1,0)+IF(DP9&lt;&gt;"",1,0)+IF(DQ9&lt;&gt;"",1,0)+IF(DS9&lt;&gt;"",1,0)+IF(DT9&lt;&gt;"",1,0)+IF(DV9&lt;&gt;"",1,0)+IF(DW9&lt;&gt;"",1,0)+IF(DX9&lt;&gt;"",1,0)+IF(DY9&lt;&gt;"",1,0)+IF(DZ9&lt;&gt;"",1,0)+IF(EB9&lt;&gt;"",1,0)+IF(EC9&lt;&gt;"",1,0)+IF(ED9&lt;&gt;"",1,0)+IF(EG9&lt;&gt;"",1,0)+IF(EH9&lt;&gt;"",1,0)</f>
        <v/>
      </c>
      <c r="AZ9">
        <f>IF(EH9&lt;&gt;"",1,0)</f>
        <v/>
      </c>
      <c r="BB9" t="inlineStr">
        <is>
          <t>WARREN-WARD 4</t>
        </is>
      </c>
      <c r="DC9" t="inlineStr">
        <is>
          <t>X</t>
        </is>
      </c>
      <c r="DN9" t="inlineStr">
        <is>
          <t>X</t>
        </is>
      </c>
      <c r="DU9" t="inlineStr">
        <is>
          <t>X</t>
        </is>
      </c>
      <c r="EA9" t="inlineStr">
        <is>
          <t>X</t>
        </is>
      </c>
      <c r="ED9" t="inlineStr">
        <is>
          <t>R</t>
        </is>
      </c>
      <c r="EF9" t="inlineStr">
        <is>
          <t>X</t>
        </is>
      </c>
    </row>
    <row r="10">
      <c r="A10" t="inlineStr">
        <is>
          <t>OH0015692908</t>
        </is>
      </c>
      <c r="B10" t="n">
        <v>78</v>
      </c>
      <c r="C10" t="n">
        <v>14220</v>
      </c>
      <c r="D10" t="inlineStr">
        <is>
          <t>ZILLINGER</t>
        </is>
      </c>
      <c r="E10" t="inlineStr">
        <is>
          <t>TERRY</t>
        </is>
      </c>
      <c r="F10">
        <f>CONCATENATE(D10," ",LEFT(H10,4),"T=",AU10,"D=",AV10,"R=",AW10,"M=",AX10,"L=",AY10,"B=",AZ10)</f>
        <v/>
      </c>
      <c r="G10" t="inlineStr">
        <is>
          <t>L</t>
        </is>
      </c>
      <c r="I10" t="inlineStr">
        <is>
          <t>1951-08-05</t>
        </is>
      </c>
      <c r="J10" t="inlineStr">
        <is>
          <t>2017-02-21</t>
        </is>
      </c>
      <c r="K10" t="inlineStr">
        <is>
          <t>ACTIVE</t>
        </is>
      </c>
      <c r="M10" t="inlineStr">
        <is>
          <t>517 OAK KNOLL AVE SE</t>
        </is>
      </c>
      <c r="N10">
        <f>RIGHT(M10,LEN(M10)-FIND(" ",M10))</f>
        <v/>
      </c>
      <c r="P10" t="inlineStr">
        <is>
          <t>WARREN</t>
        </is>
      </c>
      <c r="Q10" t="inlineStr">
        <is>
          <t>OH</t>
        </is>
      </c>
      <c r="R10" t="n">
        <v>44483</v>
      </c>
      <c r="AD10" t="inlineStr">
        <is>
          <t>TRUMBULL CAREER &amp; TECH CENTER</t>
        </is>
      </c>
      <c r="AE10" t="inlineStr">
        <is>
          <t>WARREN CITY</t>
        </is>
      </c>
      <c r="AF10" t="inlineStr">
        <is>
          <t>WARREN CITY SD</t>
        </is>
      </c>
      <c r="AH10" t="n">
        <v>14</v>
      </c>
      <c r="AI10" t="n">
        <v>11</v>
      </c>
      <c r="AN10" t="inlineStr">
        <is>
          <t>WARREN</t>
        </is>
      </c>
      <c r="AO10" t="inlineStr">
        <is>
          <t>WARREN CITY 4A</t>
        </is>
      </c>
      <c r="AP10" t="inlineStr">
        <is>
          <t>78-P-ADI</t>
        </is>
      </c>
      <c r="AQ10" t="n">
        <v>9</v>
      </c>
      <c r="AR10" t="n">
        <v>64</v>
      </c>
      <c r="AS10" t="n">
        <v>32</v>
      </c>
      <c r="AU10">
        <f>COUNTA($BA$10:$EH$10)</f>
        <v/>
      </c>
      <c r="AV10">
        <f>COUNTIF($BA$10:$EH$10,"D")</f>
        <v/>
      </c>
      <c r="AW10">
        <f>COUNTIF($BA$10:$EH$10,"R")</f>
        <v/>
      </c>
      <c r="AX10">
        <f>IF(BN10="D",1,0)+IF(BO10="D",1,0)+IF(BT10="D",1,0)+IF(BU10="D",1,0)+IF(BW10="D",1,0)+IF(CC10="D",1,0)+IF(CD10="D",1,0)+IF(CE10="D",1,0)+IF(CF10="D",1,0)+IF(CL10="D",1,0)+IF(CM10="D",1,0)+IF(CQ10="D",1,0)+IF(CR10="D",1,0)+IF(CS10="D",1,0)+IF(CW10="D",1,0)+IF(CX10="D",1,0)+IF(DD10="D",1,0)+IF(DE10="D",1,0)+IF(DJ10="D",1,0)+IF(DK10="D",1,0)+IF(DO10="D",1,0)+IF(DP10="D",1,0)+IF(DQ10="D",1,0)+IF(DW10="D",1,0)+IF(DZ10="D",1,0)+IF(EH10="D",1,0)</f>
        <v/>
      </c>
      <c r="AY10">
        <f>IF(DJ10&lt;&gt;"",1,0)+IF(DK10&lt;&gt;"",1,0)+IF(DM10&lt;&gt;"",1,0)+IF(DO10&lt;&gt;"",1,0)+IF(DP10&lt;&gt;"",1,0)+IF(DQ10&lt;&gt;"",1,0)+IF(DS10&lt;&gt;"",1,0)+IF(DT10&lt;&gt;"",1,0)+IF(DV10&lt;&gt;"",1,0)+IF(DW10&lt;&gt;"",1,0)+IF(DX10&lt;&gt;"",1,0)+IF(DY10&lt;&gt;"",1,0)+IF(DZ10&lt;&gt;"",1,0)+IF(EB10&lt;&gt;"",1,0)+IF(EC10&lt;&gt;"",1,0)+IF(ED10&lt;&gt;"",1,0)+IF(EG10&lt;&gt;"",1,0)+IF(EH10&lt;&gt;"",1,0)</f>
        <v/>
      </c>
      <c r="AZ10">
        <f>IF(EH10&lt;&gt;"",1,0)</f>
        <v/>
      </c>
      <c r="BB10" t="inlineStr">
        <is>
          <t>WARREN-WARD 4</t>
        </is>
      </c>
      <c r="BC10" t="inlineStr">
        <is>
          <t>X</t>
        </is>
      </c>
      <c r="BD10" t="inlineStr">
        <is>
          <t>X</t>
        </is>
      </c>
      <c r="BE10" t="inlineStr">
        <is>
          <t>X</t>
        </is>
      </c>
      <c r="BF10" t="inlineStr">
        <is>
          <t>X</t>
        </is>
      </c>
      <c r="BH10" t="inlineStr">
        <is>
          <t>X</t>
        </is>
      </c>
      <c r="BJ10" t="inlineStr">
        <is>
          <t>X</t>
        </is>
      </c>
      <c r="BK10" t="inlineStr">
        <is>
          <t>X</t>
        </is>
      </c>
      <c r="BL10" t="inlineStr">
        <is>
          <t>X</t>
        </is>
      </c>
      <c r="BP10" t="inlineStr">
        <is>
          <t>X</t>
        </is>
      </c>
      <c r="BR10" t="inlineStr">
        <is>
          <t>X</t>
        </is>
      </c>
      <c r="BS10" t="inlineStr">
        <is>
          <t>X</t>
        </is>
      </c>
      <c r="BV10" t="inlineStr">
        <is>
          <t>X</t>
        </is>
      </c>
      <c r="BY10" t="inlineStr">
        <is>
          <t>D</t>
        </is>
      </c>
      <c r="CA10" t="inlineStr">
        <is>
          <t>X</t>
        </is>
      </c>
      <c r="DN10" t="inlineStr">
        <is>
          <t>X</t>
        </is>
      </c>
      <c r="DU10" t="inlineStr">
        <is>
          <t>X</t>
        </is>
      </c>
      <c r="EF10" t="inlineStr">
        <is>
          <t>X</t>
        </is>
      </c>
    </row>
    <row r="11">
      <c r="A11" t="inlineStr">
        <is>
          <t>OH0025460123</t>
        </is>
      </c>
      <c r="B11" t="n">
        <v>78</v>
      </c>
      <c r="C11" t="n">
        <v>445083</v>
      </c>
      <c r="D11" t="inlineStr">
        <is>
          <t>ARDLEN</t>
        </is>
      </c>
      <c r="E11" t="inlineStr">
        <is>
          <t>KIERA</t>
        </is>
      </c>
      <c r="F11">
        <f>CONCATENATE(D11," ",LEFT(H11,4),"T=",AU11,"D=",AV11,"R=",AW11,"M=",AX11,"L=",AY11,"B=",AZ11)</f>
        <v/>
      </c>
      <c r="G11" t="inlineStr">
        <is>
          <t>LYNNE</t>
        </is>
      </c>
      <c r="I11" t="inlineStr">
        <is>
          <t>1999-12-17</t>
        </is>
      </c>
      <c r="J11" t="inlineStr">
        <is>
          <t>2020-09-19</t>
        </is>
      </c>
      <c r="K11" t="inlineStr">
        <is>
          <t>CONFIRMATION</t>
        </is>
      </c>
      <c r="M11" t="inlineStr">
        <is>
          <t>505 BONNIE BRAE AVE SE</t>
        </is>
      </c>
      <c r="N11">
        <f>RIGHT(M11,LEN(M11)-FIND(" ",M11))</f>
        <v/>
      </c>
      <c r="P11" t="inlineStr">
        <is>
          <t>WARREN</t>
        </is>
      </c>
      <c r="Q11" t="inlineStr">
        <is>
          <t>OH</t>
        </is>
      </c>
      <c r="R11" t="n">
        <v>44484</v>
      </c>
      <c r="AD11" t="inlineStr">
        <is>
          <t>TRUMBULL CAREER &amp; TECH CENTER</t>
        </is>
      </c>
      <c r="AE11" t="inlineStr">
        <is>
          <t>WARREN CITY</t>
        </is>
      </c>
      <c r="AF11" t="inlineStr">
        <is>
          <t>WARREN CITY SD</t>
        </is>
      </c>
      <c r="AH11" t="n">
        <v>14</v>
      </c>
      <c r="AI11" t="n">
        <v>11</v>
      </c>
      <c r="AN11" t="inlineStr">
        <is>
          <t>WARREN</t>
        </is>
      </c>
      <c r="AO11" t="inlineStr">
        <is>
          <t>WARREN CITY 4A</t>
        </is>
      </c>
      <c r="AP11" t="inlineStr">
        <is>
          <t>78-P-ADI</t>
        </is>
      </c>
      <c r="AQ11" t="n">
        <v>9</v>
      </c>
      <c r="AR11" t="n">
        <v>64</v>
      </c>
      <c r="AS11" t="n">
        <v>32</v>
      </c>
      <c r="AU11">
        <f>COUNTA($BA$11:$EH$11)</f>
        <v/>
      </c>
      <c r="AV11">
        <f>COUNTIF($BA$11:$EH$11,"D")</f>
        <v/>
      </c>
      <c r="AW11">
        <f>COUNTIF($BA$11:$EH$11,"R")</f>
        <v/>
      </c>
      <c r="AX11">
        <f>IF(BN11="D",1,0)+IF(BO11="D",1,0)+IF(BT11="D",1,0)+IF(BU11="D",1,0)+IF(BW11="D",1,0)+IF(CC11="D",1,0)+IF(CD11="D",1,0)+IF(CE11="D",1,0)+IF(CF11="D",1,0)+IF(CL11="D",1,0)+IF(CM11="D",1,0)+IF(CQ11="D",1,0)+IF(CR11="D",1,0)+IF(CS11="D",1,0)+IF(CW11="D",1,0)+IF(CX11="D",1,0)+IF(DD11="D",1,0)+IF(DE11="D",1,0)+IF(DJ11="D",1,0)+IF(DK11="D",1,0)+IF(DO11="D",1,0)+IF(DP11="D",1,0)+IF(DQ11="D",1,0)+IF(DW11="D",1,0)+IF(DZ11="D",1,0)+IF(EH11="D",1,0)</f>
        <v/>
      </c>
      <c r="AY11">
        <f>IF(DJ11&lt;&gt;"",1,0)+IF(DK11&lt;&gt;"",1,0)+IF(DM11&lt;&gt;"",1,0)+IF(DO11&lt;&gt;"",1,0)+IF(DP11&lt;&gt;"",1,0)+IF(DQ11&lt;&gt;"",1,0)+IF(DS11&lt;&gt;"",1,0)+IF(DT11&lt;&gt;"",1,0)+IF(DV11&lt;&gt;"",1,0)+IF(DW11&lt;&gt;"",1,0)+IF(DX11&lt;&gt;"",1,0)+IF(DY11&lt;&gt;"",1,0)+IF(DZ11&lt;&gt;"",1,0)+IF(EB11&lt;&gt;"",1,0)+IF(EC11&lt;&gt;"",1,0)+IF(ED11&lt;&gt;"",1,0)+IF(EG11&lt;&gt;"",1,0)+IF(EH11&lt;&gt;"",1,0)</f>
        <v/>
      </c>
      <c r="AZ11">
        <f>IF(EH11&lt;&gt;"",1,0)</f>
        <v/>
      </c>
      <c r="BB11" t="inlineStr">
        <is>
          <t>WARREN-WARD 4</t>
        </is>
      </c>
      <c r="DN11" t="inlineStr">
        <is>
          <t>X</t>
        </is>
      </c>
    </row>
    <row r="12">
      <c r="A12" t="inlineStr">
        <is>
          <t>OH0024568494</t>
        </is>
      </c>
      <c r="B12" t="n">
        <v>78</v>
      </c>
      <c r="C12" t="n">
        <v>430671</v>
      </c>
      <c r="D12" t="inlineStr">
        <is>
          <t>WHITE</t>
        </is>
      </c>
      <c r="E12" t="inlineStr">
        <is>
          <t>OMARI</t>
        </is>
      </c>
      <c r="F12">
        <f>CONCATENATE(D12," ",LEFT(H12,4),"T=",AU12,"D=",AV12,"R=",AW12,"M=",AX12,"L=",AY12,"B=",AZ12)</f>
        <v/>
      </c>
      <c r="G12" t="inlineStr">
        <is>
          <t>M</t>
        </is>
      </c>
      <c r="I12" t="inlineStr">
        <is>
          <t>2000-03-03</t>
        </is>
      </c>
      <c r="J12" t="inlineStr">
        <is>
          <t>2025-05-23</t>
        </is>
      </c>
      <c r="K12" t="inlineStr">
        <is>
          <t>ACTIVE</t>
        </is>
      </c>
      <c r="M12" t="inlineStr">
        <is>
          <t>760 WOODBINE AVE SE</t>
        </is>
      </c>
      <c r="N12">
        <f>RIGHT(M12,LEN(M12)-FIND(" ",M12))</f>
        <v/>
      </c>
      <c r="P12" t="inlineStr">
        <is>
          <t>WARREN</t>
        </is>
      </c>
      <c r="Q12" t="inlineStr">
        <is>
          <t>OH</t>
        </is>
      </c>
      <c r="R12" t="n">
        <v>44484</v>
      </c>
      <c r="AD12" t="inlineStr">
        <is>
          <t>TRUMBULL CAREER &amp; TECH CENTER</t>
        </is>
      </c>
      <c r="AE12" t="inlineStr">
        <is>
          <t>WARREN CITY</t>
        </is>
      </c>
      <c r="AF12" t="inlineStr">
        <is>
          <t>WARREN CITY SD</t>
        </is>
      </c>
      <c r="AH12" t="n">
        <v>14</v>
      </c>
      <c r="AI12" t="n">
        <v>11</v>
      </c>
      <c r="AN12" t="inlineStr">
        <is>
          <t>WARREN</t>
        </is>
      </c>
      <c r="AO12" t="inlineStr">
        <is>
          <t>WARREN CITY 4A</t>
        </is>
      </c>
      <c r="AP12" t="inlineStr">
        <is>
          <t>78-P-ADI</t>
        </is>
      </c>
      <c r="AQ12" t="n">
        <v>9</v>
      </c>
      <c r="AR12" t="n">
        <v>64</v>
      </c>
      <c r="AS12" t="n">
        <v>32</v>
      </c>
      <c r="AU12">
        <f>COUNTA($BA$12:$EH$12)</f>
        <v/>
      </c>
      <c r="AV12">
        <f>COUNTIF($BA$12:$EH$12,"D")</f>
        <v/>
      </c>
      <c r="AW12">
        <f>COUNTIF($BA$12:$EH$12,"R")</f>
        <v/>
      </c>
      <c r="AX12">
        <f>IF(BN12="D",1,0)+IF(BO12="D",1,0)+IF(BT12="D",1,0)+IF(BU12="D",1,0)+IF(BW12="D",1,0)+IF(CC12="D",1,0)+IF(CD12="D",1,0)+IF(CE12="D",1,0)+IF(CF12="D",1,0)+IF(CL12="D",1,0)+IF(CM12="D",1,0)+IF(CQ12="D",1,0)+IF(CR12="D",1,0)+IF(CS12="D",1,0)+IF(CW12="D",1,0)+IF(CX12="D",1,0)+IF(DD12="D",1,0)+IF(DE12="D",1,0)+IF(DJ12="D",1,0)+IF(DK12="D",1,0)+IF(DO12="D",1,0)+IF(DP12="D",1,0)+IF(DQ12="D",1,0)+IF(DW12="D",1,0)+IF(DZ12="D",1,0)+IF(EH12="D",1,0)</f>
        <v/>
      </c>
      <c r="AY12">
        <f>IF(DJ12&lt;&gt;"",1,0)+IF(DK12&lt;&gt;"",1,0)+IF(DM12&lt;&gt;"",1,0)+IF(DO12&lt;&gt;"",1,0)+IF(DP12&lt;&gt;"",1,0)+IF(DQ12&lt;&gt;"",1,0)+IF(DS12&lt;&gt;"",1,0)+IF(DT12&lt;&gt;"",1,0)+IF(DV12&lt;&gt;"",1,0)+IF(DW12&lt;&gt;"",1,0)+IF(DX12&lt;&gt;"",1,0)+IF(DY12&lt;&gt;"",1,0)+IF(DZ12&lt;&gt;"",1,0)+IF(EB12&lt;&gt;"",1,0)+IF(EC12&lt;&gt;"",1,0)+IF(ED12&lt;&gt;"",1,0)+IF(EG12&lt;&gt;"",1,0)+IF(EH12&lt;&gt;"",1,0)</f>
        <v/>
      </c>
      <c r="AZ12">
        <f>IF(EH12&lt;&gt;"",1,0)</f>
        <v/>
      </c>
      <c r="BB12" t="inlineStr">
        <is>
          <t>WARREN-WARD 4</t>
        </is>
      </c>
    </row>
    <row r="13">
      <c r="A13" t="inlineStr">
        <is>
          <t>OH0015707270</t>
        </is>
      </c>
      <c r="B13" t="n">
        <v>78</v>
      </c>
      <c r="C13" t="n">
        <v>171245</v>
      </c>
      <c r="D13" t="inlineStr">
        <is>
          <t>ACETO</t>
        </is>
      </c>
      <c r="E13" t="inlineStr">
        <is>
          <t>ROSEANN</t>
        </is>
      </c>
      <c r="F13">
        <f>CONCATENATE(D13," ",LEFT(H13,4),"T=",AU13,"D=",AV13,"R=",AW13,"M=",AX13,"L=",AY13,"B=",AZ13)</f>
        <v/>
      </c>
      <c r="I13" t="inlineStr">
        <is>
          <t>1952-10-27</t>
        </is>
      </c>
      <c r="J13" t="inlineStr">
        <is>
          <t>1984-07-02</t>
        </is>
      </c>
      <c r="K13" t="inlineStr">
        <is>
          <t>ACTIVE</t>
        </is>
      </c>
      <c r="L13" t="inlineStr">
        <is>
          <t>D</t>
        </is>
      </c>
      <c r="M13" t="inlineStr">
        <is>
          <t>851 WOODBINE AVE SE</t>
        </is>
      </c>
      <c r="N13">
        <f>RIGHT(M13,LEN(M13)-FIND(" ",M13))</f>
        <v/>
      </c>
      <c r="P13" t="inlineStr">
        <is>
          <t>WARREN</t>
        </is>
      </c>
      <c r="Q13" t="inlineStr">
        <is>
          <t>OH</t>
        </is>
      </c>
      <c r="R13" t="n">
        <v>44484</v>
      </c>
      <c r="AD13" t="inlineStr">
        <is>
          <t>TRUMBULL CAREER &amp; TECH CENTER</t>
        </is>
      </c>
      <c r="AE13" t="inlineStr">
        <is>
          <t>WARREN CITY</t>
        </is>
      </c>
      <c r="AF13" t="inlineStr">
        <is>
          <t>WARREN CITY SD</t>
        </is>
      </c>
      <c r="AH13" t="n">
        <v>14</v>
      </c>
      <c r="AI13" t="n">
        <v>11</v>
      </c>
      <c r="AN13" t="inlineStr">
        <is>
          <t>WARREN</t>
        </is>
      </c>
      <c r="AO13" t="inlineStr">
        <is>
          <t>WARREN CITY 4A</t>
        </is>
      </c>
      <c r="AP13" t="inlineStr">
        <is>
          <t>78-P-ADI</t>
        </is>
      </c>
      <c r="AQ13" t="n">
        <v>9</v>
      </c>
      <c r="AR13" t="n">
        <v>64</v>
      </c>
      <c r="AS13" t="n">
        <v>32</v>
      </c>
      <c r="AU13">
        <f>COUNTA($BA$13:$EH$13)</f>
        <v/>
      </c>
      <c r="AV13">
        <f>COUNTIF($BA$13:$EH$13,"D")</f>
        <v/>
      </c>
      <c r="AW13">
        <f>COUNTIF($BA$13:$EH$13,"R")</f>
        <v/>
      </c>
      <c r="AX13">
        <f>IF(BN13="D",1,0)+IF(BO13="D",1,0)+IF(BT13="D",1,0)+IF(BU13="D",1,0)+IF(BW13="D",1,0)+IF(CC13="D",1,0)+IF(CD13="D",1,0)+IF(CE13="D",1,0)+IF(CF13="D",1,0)+IF(CL13="D",1,0)+IF(CM13="D",1,0)+IF(CQ13="D",1,0)+IF(CR13="D",1,0)+IF(CS13="D",1,0)+IF(CW13="D",1,0)+IF(CX13="D",1,0)+IF(DD13="D",1,0)+IF(DE13="D",1,0)+IF(DJ13="D",1,0)+IF(DK13="D",1,0)+IF(DO13="D",1,0)+IF(DP13="D",1,0)+IF(DQ13="D",1,0)+IF(DW13="D",1,0)+IF(DZ13="D",1,0)+IF(EH13="D",1,0)</f>
        <v/>
      </c>
      <c r="AY13">
        <f>IF(DJ13&lt;&gt;"",1,0)+IF(DK13&lt;&gt;"",1,0)+IF(DM13&lt;&gt;"",1,0)+IF(DO13&lt;&gt;"",1,0)+IF(DP13&lt;&gt;"",1,0)+IF(DQ13&lt;&gt;"",1,0)+IF(DS13&lt;&gt;"",1,0)+IF(DT13&lt;&gt;"",1,0)+IF(DV13&lt;&gt;"",1,0)+IF(DW13&lt;&gt;"",1,0)+IF(DX13&lt;&gt;"",1,0)+IF(DY13&lt;&gt;"",1,0)+IF(DZ13&lt;&gt;"",1,0)+IF(EB13&lt;&gt;"",1,0)+IF(EC13&lt;&gt;"",1,0)+IF(ED13&lt;&gt;"",1,0)+IF(EG13&lt;&gt;"",1,0)+IF(EH13&lt;&gt;"",1,0)</f>
        <v/>
      </c>
      <c r="AZ13">
        <f>IF(EH13&lt;&gt;"",1,0)</f>
        <v/>
      </c>
      <c r="BB13" t="inlineStr">
        <is>
          <t>WARREN-WARD 4</t>
        </is>
      </c>
      <c r="BC13" t="inlineStr">
        <is>
          <t>X</t>
        </is>
      </c>
      <c r="BD13" t="inlineStr">
        <is>
          <t>X</t>
        </is>
      </c>
      <c r="BE13" t="inlineStr">
        <is>
          <t>X</t>
        </is>
      </c>
      <c r="BF13" t="inlineStr">
        <is>
          <t>X</t>
        </is>
      </c>
      <c r="BG13" t="inlineStr">
        <is>
          <t>X</t>
        </is>
      </c>
      <c r="BH13" t="inlineStr">
        <is>
          <t>X</t>
        </is>
      </c>
      <c r="BI13" t="inlineStr">
        <is>
          <t>X</t>
        </is>
      </c>
      <c r="BJ13" t="inlineStr">
        <is>
          <t>X</t>
        </is>
      </c>
      <c r="BK13" t="inlineStr">
        <is>
          <t>X</t>
        </is>
      </c>
      <c r="BL13" t="inlineStr">
        <is>
          <t>X</t>
        </is>
      </c>
      <c r="BP13" t="inlineStr">
        <is>
          <t>X</t>
        </is>
      </c>
      <c r="BR13" t="inlineStr">
        <is>
          <t>X</t>
        </is>
      </c>
      <c r="BS13" t="inlineStr">
        <is>
          <t>X</t>
        </is>
      </c>
      <c r="BT13" t="inlineStr">
        <is>
          <t>X</t>
        </is>
      </c>
      <c r="BV13" t="inlineStr">
        <is>
          <t>X</t>
        </is>
      </c>
      <c r="BY13" t="inlineStr">
        <is>
          <t>D</t>
        </is>
      </c>
      <c r="CA13" t="inlineStr">
        <is>
          <t>X</t>
        </is>
      </c>
      <c r="CG13" t="inlineStr">
        <is>
          <t>X</t>
        </is>
      </c>
      <c r="CH13" t="inlineStr">
        <is>
          <t>D</t>
        </is>
      </c>
      <c r="CK13" t="inlineStr">
        <is>
          <t>X</t>
        </is>
      </c>
      <c r="CL13" t="inlineStr">
        <is>
          <t>D</t>
        </is>
      </c>
      <c r="CN13" t="inlineStr">
        <is>
          <t>X</t>
        </is>
      </c>
      <c r="CP13" t="inlineStr">
        <is>
          <t>X</t>
        </is>
      </c>
      <c r="CV13" t="inlineStr">
        <is>
          <t>X</t>
        </is>
      </c>
      <c r="CW13" t="inlineStr">
        <is>
          <t>D</t>
        </is>
      </c>
      <c r="CY13" t="inlineStr">
        <is>
          <t>X</t>
        </is>
      </c>
      <c r="CZ13" t="inlineStr">
        <is>
          <t>D</t>
        </is>
      </c>
      <c r="DC13" t="inlineStr">
        <is>
          <t>X</t>
        </is>
      </c>
      <c r="DD13" t="inlineStr">
        <is>
          <t>D</t>
        </is>
      </c>
      <c r="DG13" t="inlineStr">
        <is>
          <t>D</t>
        </is>
      </c>
      <c r="DI13" t="inlineStr">
        <is>
          <t>X</t>
        </is>
      </c>
      <c r="DJ13" t="inlineStr">
        <is>
          <t>D</t>
        </is>
      </c>
      <c r="DL13" t="inlineStr">
        <is>
          <t>X</t>
        </is>
      </c>
      <c r="DM13" t="inlineStr">
        <is>
          <t>D</t>
        </is>
      </c>
      <c r="DN13" t="inlineStr">
        <is>
          <t>X</t>
        </is>
      </c>
      <c r="DS13" t="inlineStr">
        <is>
          <t>D</t>
        </is>
      </c>
      <c r="DT13" t="inlineStr">
        <is>
          <t>D</t>
        </is>
      </c>
      <c r="DU13" t="inlineStr">
        <is>
          <t>X</t>
        </is>
      </c>
      <c r="DW13" t="inlineStr">
        <is>
          <t>D</t>
        </is>
      </c>
      <c r="DX13" t="inlineStr">
        <is>
          <t>X</t>
        </is>
      </c>
      <c r="EA13" t="inlineStr">
        <is>
          <t>X</t>
        </is>
      </c>
      <c r="ED13" t="inlineStr">
        <is>
          <t>D</t>
        </is>
      </c>
      <c r="EF13" t="inlineStr">
        <is>
          <t>X</t>
        </is>
      </c>
      <c r="EH13" t="inlineStr">
        <is>
          <t>D</t>
        </is>
      </c>
    </row>
    <row r="14">
      <c r="A14" t="inlineStr">
        <is>
          <t>OH0015691986</t>
        </is>
      </c>
      <c r="B14" t="n">
        <v>78</v>
      </c>
      <c r="C14" t="n">
        <v>13966</v>
      </c>
      <c r="D14" t="inlineStr">
        <is>
          <t>ROLLISON</t>
        </is>
      </c>
      <c r="E14" t="inlineStr">
        <is>
          <t>JEFFERY</t>
        </is>
      </c>
      <c r="F14">
        <f>CONCATENATE(D14," ",LEFT(H14,4),"T=",AU14,"D=",AV14,"R=",AW14,"M=",AX14,"L=",AY14,"B=",AZ14)</f>
        <v/>
      </c>
      <c r="G14" t="inlineStr">
        <is>
          <t>A</t>
        </is>
      </c>
      <c r="I14" t="inlineStr">
        <is>
          <t>1948-09-12</t>
        </is>
      </c>
      <c r="J14" t="inlineStr">
        <is>
          <t>1974-09-28</t>
        </is>
      </c>
      <c r="K14" t="inlineStr">
        <is>
          <t>ACTIVE</t>
        </is>
      </c>
      <c r="L14" t="inlineStr">
        <is>
          <t>D</t>
        </is>
      </c>
      <c r="M14" t="inlineStr">
        <is>
          <t>780 WOODBINE AVE SE</t>
        </is>
      </c>
      <c r="N14">
        <f>RIGHT(M14,LEN(M14)-FIND(" ",M14))</f>
        <v/>
      </c>
      <c r="P14" t="inlineStr">
        <is>
          <t>WARREN</t>
        </is>
      </c>
      <c r="Q14" t="inlineStr">
        <is>
          <t>OH</t>
        </is>
      </c>
      <c r="R14" t="n">
        <v>44484</v>
      </c>
      <c r="AD14" t="inlineStr">
        <is>
          <t>TRUMBULL CAREER &amp; TECH CENTER</t>
        </is>
      </c>
      <c r="AE14" t="inlineStr">
        <is>
          <t>WARREN CITY</t>
        </is>
      </c>
      <c r="AF14" t="inlineStr">
        <is>
          <t>WARREN CITY SD</t>
        </is>
      </c>
      <c r="AH14" t="n">
        <v>14</v>
      </c>
      <c r="AI14" t="n">
        <v>11</v>
      </c>
      <c r="AN14" t="inlineStr">
        <is>
          <t>WARREN</t>
        </is>
      </c>
      <c r="AO14" t="inlineStr">
        <is>
          <t>WARREN CITY 4A</t>
        </is>
      </c>
      <c r="AP14" t="inlineStr">
        <is>
          <t>78-P-ADI</t>
        </is>
      </c>
      <c r="AQ14" t="n">
        <v>9</v>
      </c>
      <c r="AR14" t="n">
        <v>64</v>
      </c>
      <c r="AS14" t="n">
        <v>32</v>
      </c>
      <c r="AU14">
        <f>COUNTA($BA$14:$EH$14)</f>
        <v/>
      </c>
      <c r="AV14">
        <f>COUNTIF($BA$14:$EH$14,"D")</f>
        <v/>
      </c>
      <c r="AW14">
        <f>COUNTIF($BA$14:$EH$14,"R")</f>
        <v/>
      </c>
      <c r="AX14">
        <f>IF(BN14="D",1,0)+IF(BO14="D",1,0)+IF(BT14="D",1,0)+IF(BU14="D",1,0)+IF(BW14="D",1,0)+IF(CC14="D",1,0)+IF(CD14="D",1,0)+IF(CE14="D",1,0)+IF(CF14="D",1,0)+IF(CL14="D",1,0)+IF(CM14="D",1,0)+IF(CQ14="D",1,0)+IF(CR14="D",1,0)+IF(CS14="D",1,0)+IF(CW14="D",1,0)+IF(CX14="D",1,0)+IF(DD14="D",1,0)+IF(DE14="D",1,0)+IF(DJ14="D",1,0)+IF(DK14="D",1,0)+IF(DO14="D",1,0)+IF(DP14="D",1,0)+IF(DQ14="D",1,0)+IF(DW14="D",1,0)+IF(DZ14="D",1,0)+IF(EH14="D",1,0)</f>
        <v/>
      </c>
      <c r="AY14">
        <f>IF(DJ14&lt;&gt;"",1,0)+IF(DK14&lt;&gt;"",1,0)+IF(DM14&lt;&gt;"",1,0)+IF(DO14&lt;&gt;"",1,0)+IF(DP14&lt;&gt;"",1,0)+IF(DQ14&lt;&gt;"",1,0)+IF(DS14&lt;&gt;"",1,0)+IF(DT14&lt;&gt;"",1,0)+IF(DV14&lt;&gt;"",1,0)+IF(DW14&lt;&gt;"",1,0)+IF(DX14&lt;&gt;"",1,0)+IF(DY14&lt;&gt;"",1,0)+IF(DZ14&lt;&gt;"",1,0)+IF(EB14&lt;&gt;"",1,0)+IF(EC14&lt;&gt;"",1,0)+IF(ED14&lt;&gt;"",1,0)+IF(EG14&lt;&gt;"",1,0)+IF(EH14&lt;&gt;"",1,0)</f>
        <v/>
      </c>
      <c r="AZ14">
        <f>IF(EH14&lt;&gt;"",1,0)</f>
        <v/>
      </c>
      <c r="BB14" t="inlineStr">
        <is>
          <t>WARREN-WARD 4</t>
        </is>
      </c>
      <c r="BC14" t="inlineStr">
        <is>
          <t>X</t>
        </is>
      </c>
      <c r="BD14" t="inlineStr">
        <is>
          <t>X</t>
        </is>
      </c>
      <c r="BE14" t="inlineStr">
        <is>
          <t>X</t>
        </is>
      </c>
      <c r="BF14" t="inlineStr">
        <is>
          <t>X</t>
        </is>
      </c>
      <c r="BG14" t="inlineStr">
        <is>
          <t>X</t>
        </is>
      </c>
      <c r="BH14" t="inlineStr">
        <is>
          <t>X</t>
        </is>
      </c>
      <c r="BI14" t="inlineStr">
        <is>
          <t>X</t>
        </is>
      </c>
      <c r="BJ14" t="inlineStr">
        <is>
          <t>X</t>
        </is>
      </c>
      <c r="BK14" t="inlineStr">
        <is>
          <t>X</t>
        </is>
      </c>
      <c r="BL14" t="inlineStr">
        <is>
          <t>X</t>
        </is>
      </c>
      <c r="BP14" t="inlineStr">
        <is>
          <t>X</t>
        </is>
      </c>
      <c r="BR14" t="inlineStr">
        <is>
          <t>X</t>
        </is>
      </c>
      <c r="BS14" t="inlineStr">
        <is>
          <t>X</t>
        </is>
      </c>
      <c r="BT14" t="inlineStr">
        <is>
          <t>X</t>
        </is>
      </c>
      <c r="BV14" t="inlineStr">
        <is>
          <t>X</t>
        </is>
      </c>
      <c r="BY14" t="inlineStr">
        <is>
          <t>D</t>
        </is>
      </c>
      <c r="CA14" t="inlineStr">
        <is>
          <t>X</t>
        </is>
      </c>
      <c r="CC14" t="inlineStr">
        <is>
          <t>D</t>
        </is>
      </c>
      <c r="CG14" t="inlineStr">
        <is>
          <t>X</t>
        </is>
      </c>
      <c r="CH14" t="inlineStr">
        <is>
          <t>D</t>
        </is>
      </c>
      <c r="CK14" t="inlineStr">
        <is>
          <t>X</t>
        </is>
      </c>
      <c r="CL14" t="inlineStr">
        <is>
          <t>D</t>
        </is>
      </c>
      <c r="CN14" t="inlineStr">
        <is>
          <t>X</t>
        </is>
      </c>
      <c r="CO14" t="inlineStr">
        <is>
          <t>D</t>
        </is>
      </c>
      <c r="CP14" t="inlineStr">
        <is>
          <t>X</t>
        </is>
      </c>
      <c r="CQ14" t="inlineStr">
        <is>
          <t>D</t>
        </is>
      </c>
      <c r="CT14" t="inlineStr">
        <is>
          <t>X</t>
        </is>
      </c>
      <c r="CU14" t="inlineStr">
        <is>
          <t>D</t>
        </is>
      </c>
      <c r="CV14" t="inlineStr">
        <is>
          <t>X</t>
        </is>
      </c>
      <c r="CW14" t="inlineStr">
        <is>
          <t>D</t>
        </is>
      </c>
      <c r="CY14" t="inlineStr">
        <is>
          <t>X</t>
        </is>
      </c>
      <c r="CZ14" t="inlineStr">
        <is>
          <t>D</t>
        </is>
      </c>
      <c r="DC14" t="inlineStr">
        <is>
          <t>X</t>
        </is>
      </c>
      <c r="DD14" t="inlineStr">
        <is>
          <t>D</t>
        </is>
      </c>
      <c r="DF14" t="inlineStr">
        <is>
          <t>X</t>
        </is>
      </c>
      <c r="DG14" t="inlineStr">
        <is>
          <t>D</t>
        </is>
      </c>
      <c r="DI14" t="inlineStr">
        <is>
          <t>X</t>
        </is>
      </c>
      <c r="DJ14" t="inlineStr">
        <is>
          <t>D</t>
        </is>
      </c>
      <c r="DL14" t="inlineStr">
        <is>
          <t>X</t>
        </is>
      </c>
      <c r="DM14" t="inlineStr">
        <is>
          <t>D</t>
        </is>
      </c>
      <c r="DN14" t="inlineStr">
        <is>
          <t>X</t>
        </is>
      </c>
      <c r="DR14" t="inlineStr">
        <is>
          <t>X</t>
        </is>
      </c>
      <c r="DS14" t="inlineStr">
        <is>
          <t>D</t>
        </is>
      </c>
      <c r="DT14" t="inlineStr">
        <is>
          <t>D</t>
        </is>
      </c>
      <c r="DU14" t="inlineStr">
        <is>
          <t>X</t>
        </is>
      </c>
      <c r="DW14" t="inlineStr">
        <is>
          <t>D</t>
        </is>
      </c>
      <c r="DX14" t="inlineStr">
        <is>
          <t>X</t>
        </is>
      </c>
      <c r="EA14" t="inlineStr">
        <is>
          <t>X</t>
        </is>
      </c>
      <c r="ED14" t="inlineStr">
        <is>
          <t>D</t>
        </is>
      </c>
      <c r="EF14" t="inlineStr">
        <is>
          <t>X</t>
        </is>
      </c>
      <c r="EH14" t="inlineStr">
        <is>
          <t>D</t>
        </is>
      </c>
    </row>
    <row r="15">
      <c r="A15" t="inlineStr">
        <is>
          <t>OH0026251337</t>
        </is>
      </c>
      <c r="B15" t="n">
        <v>78</v>
      </c>
      <c r="C15" t="n">
        <v>459142</v>
      </c>
      <c r="D15" t="inlineStr">
        <is>
          <t>JAMES</t>
        </is>
      </c>
      <c r="E15" t="inlineStr">
        <is>
          <t>KAITLYN</t>
        </is>
      </c>
      <c r="F15">
        <f>CONCATENATE(D15," ",LEFT(H15,4),"T=",AU15,"D=",AV15,"R=",AW15,"M=",AX15,"L=",AY15,"B=",AZ15)</f>
        <v/>
      </c>
      <c r="G15" t="inlineStr">
        <is>
          <t>A</t>
        </is>
      </c>
      <c r="I15" t="inlineStr">
        <is>
          <t>2003-06-09</t>
        </is>
      </c>
      <c r="J15" t="inlineStr">
        <is>
          <t>2025-06-07</t>
        </is>
      </c>
      <c r="K15" t="inlineStr">
        <is>
          <t>ACTIVE</t>
        </is>
      </c>
      <c r="M15" t="inlineStr">
        <is>
          <t>746 ADELAIDE AVE SE</t>
        </is>
      </c>
      <c r="N15">
        <f>RIGHT(M15,LEN(M15)-FIND(" ",M15))</f>
        <v/>
      </c>
      <c r="P15" t="inlineStr">
        <is>
          <t>WARREN</t>
        </is>
      </c>
      <c r="Q15" t="inlineStr">
        <is>
          <t>OH</t>
        </is>
      </c>
      <c r="R15" t="n">
        <v>44484</v>
      </c>
      <c r="AD15" t="inlineStr">
        <is>
          <t>TRUMBULL CAREER &amp; TECH CENTER</t>
        </is>
      </c>
      <c r="AE15" t="inlineStr">
        <is>
          <t>WARREN CITY</t>
        </is>
      </c>
      <c r="AF15" t="inlineStr">
        <is>
          <t>WARREN CITY SD</t>
        </is>
      </c>
      <c r="AH15" t="n">
        <v>14</v>
      </c>
      <c r="AI15" t="n">
        <v>11</v>
      </c>
      <c r="AN15" t="inlineStr">
        <is>
          <t>WARREN</t>
        </is>
      </c>
      <c r="AO15" t="inlineStr">
        <is>
          <t>WARREN CITY 4A</t>
        </is>
      </c>
      <c r="AP15" t="inlineStr">
        <is>
          <t>78-P-ADI</t>
        </is>
      </c>
      <c r="AQ15" t="n">
        <v>9</v>
      </c>
      <c r="AR15" t="n">
        <v>64</v>
      </c>
      <c r="AS15" t="n">
        <v>32</v>
      </c>
      <c r="AU15">
        <f>COUNTA($BA$15:$EH$15)</f>
        <v/>
      </c>
      <c r="AV15">
        <f>COUNTIF($BA$15:$EH$15,"D")</f>
        <v/>
      </c>
      <c r="AW15">
        <f>COUNTIF($BA$15:$EH$15,"R")</f>
        <v/>
      </c>
      <c r="AX15">
        <f>IF(BN15="D",1,0)+IF(BO15="D",1,0)+IF(BT15="D",1,0)+IF(BU15="D",1,0)+IF(BW15="D",1,0)+IF(CC15="D",1,0)+IF(CD15="D",1,0)+IF(CE15="D",1,0)+IF(CF15="D",1,0)+IF(CL15="D",1,0)+IF(CM15="D",1,0)+IF(CQ15="D",1,0)+IF(CR15="D",1,0)+IF(CS15="D",1,0)+IF(CW15="D",1,0)+IF(CX15="D",1,0)+IF(DD15="D",1,0)+IF(DE15="D",1,0)+IF(DJ15="D",1,0)+IF(DK15="D",1,0)+IF(DO15="D",1,0)+IF(DP15="D",1,0)+IF(DQ15="D",1,0)+IF(DW15="D",1,0)+IF(DZ15="D",1,0)+IF(EH15="D",1,0)</f>
        <v/>
      </c>
      <c r="AY15">
        <f>IF(DJ15&lt;&gt;"",1,0)+IF(DK15&lt;&gt;"",1,0)+IF(DM15&lt;&gt;"",1,0)+IF(DO15&lt;&gt;"",1,0)+IF(DP15&lt;&gt;"",1,0)+IF(DQ15&lt;&gt;"",1,0)+IF(DS15&lt;&gt;"",1,0)+IF(DT15&lt;&gt;"",1,0)+IF(DV15&lt;&gt;"",1,0)+IF(DW15&lt;&gt;"",1,0)+IF(DX15&lt;&gt;"",1,0)+IF(DY15&lt;&gt;"",1,0)+IF(DZ15&lt;&gt;"",1,0)+IF(EB15&lt;&gt;"",1,0)+IF(EC15&lt;&gt;"",1,0)+IF(ED15&lt;&gt;"",1,0)+IF(EG15&lt;&gt;"",1,0)+IF(EH15&lt;&gt;"",1,0)</f>
        <v/>
      </c>
      <c r="AZ15">
        <f>IF(EH15&lt;&gt;"",1,0)</f>
        <v/>
      </c>
      <c r="BB15" t="inlineStr">
        <is>
          <t>WARREN-WARD 4</t>
        </is>
      </c>
    </row>
    <row r="16">
      <c r="A16" t="inlineStr">
        <is>
          <t>OH0025678346</t>
        </is>
      </c>
      <c r="B16" t="n">
        <v>78</v>
      </c>
      <c r="C16" t="n">
        <v>448317</v>
      </c>
      <c r="D16" t="inlineStr">
        <is>
          <t>CYLAR</t>
        </is>
      </c>
      <c r="E16" t="inlineStr">
        <is>
          <t>ZANE</t>
        </is>
      </c>
      <c r="F16">
        <f>CONCATENATE(D16," ",LEFT(H16,4),"T=",AU16,"D=",AV16,"R=",AW16,"M=",AX16,"L=",AY16,"B=",AZ16)</f>
        <v/>
      </c>
      <c r="G16" t="inlineStr">
        <is>
          <t>ROMER</t>
        </is>
      </c>
      <c r="I16" t="inlineStr">
        <is>
          <t>2000-04-28</t>
        </is>
      </c>
      <c r="J16" t="inlineStr">
        <is>
          <t>2020-08-06</t>
        </is>
      </c>
      <c r="K16" t="inlineStr">
        <is>
          <t>CONFIRMATION</t>
        </is>
      </c>
      <c r="M16" t="inlineStr">
        <is>
          <t>844 KENILWORTH AVE SE</t>
        </is>
      </c>
      <c r="N16">
        <f>RIGHT(M16,LEN(M16)-FIND(" ",M16))</f>
        <v/>
      </c>
      <c r="P16" t="inlineStr">
        <is>
          <t>WARREN</t>
        </is>
      </c>
      <c r="Q16" t="inlineStr">
        <is>
          <t>OH</t>
        </is>
      </c>
      <c r="R16" t="n">
        <v>44484</v>
      </c>
      <c r="AD16" t="inlineStr">
        <is>
          <t>TRUMBULL CAREER &amp; TECH CENTER</t>
        </is>
      </c>
      <c r="AE16" t="inlineStr">
        <is>
          <t>WARREN CITY</t>
        </is>
      </c>
      <c r="AF16" t="inlineStr">
        <is>
          <t>WARREN CITY SD</t>
        </is>
      </c>
      <c r="AH16" t="n">
        <v>14</v>
      </c>
      <c r="AI16" t="n">
        <v>11</v>
      </c>
      <c r="AN16" t="inlineStr">
        <is>
          <t>WARREN</t>
        </is>
      </c>
      <c r="AO16" t="inlineStr">
        <is>
          <t>WARREN CITY 4A</t>
        </is>
      </c>
      <c r="AP16" t="inlineStr">
        <is>
          <t>78-P-ADI</t>
        </is>
      </c>
      <c r="AQ16" t="n">
        <v>9</v>
      </c>
      <c r="AR16" t="n">
        <v>64</v>
      </c>
      <c r="AS16" t="n">
        <v>32</v>
      </c>
      <c r="AU16">
        <f>COUNTA($BA$16:$EH$16)</f>
        <v/>
      </c>
      <c r="AV16">
        <f>COUNTIF($BA$16:$EH$16,"D")</f>
        <v/>
      </c>
      <c r="AW16">
        <f>COUNTIF($BA$16:$EH$16,"R")</f>
        <v/>
      </c>
      <c r="AX16">
        <f>IF(BN16="D",1,0)+IF(BO16="D",1,0)+IF(BT16="D",1,0)+IF(BU16="D",1,0)+IF(BW16="D",1,0)+IF(CC16="D",1,0)+IF(CD16="D",1,0)+IF(CE16="D",1,0)+IF(CF16="D",1,0)+IF(CL16="D",1,0)+IF(CM16="D",1,0)+IF(CQ16="D",1,0)+IF(CR16="D",1,0)+IF(CS16="D",1,0)+IF(CW16="D",1,0)+IF(CX16="D",1,0)+IF(DD16="D",1,0)+IF(DE16="D",1,0)+IF(DJ16="D",1,0)+IF(DK16="D",1,0)+IF(DO16="D",1,0)+IF(DP16="D",1,0)+IF(DQ16="D",1,0)+IF(DW16="D",1,0)+IF(DZ16="D",1,0)+IF(EH16="D",1,0)</f>
        <v/>
      </c>
      <c r="AY16">
        <f>IF(DJ16&lt;&gt;"",1,0)+IF(DK16&lt;&gt;"",1,0)+IF(DM16&lt;&gt;"",1,0)+IF(DO16&lt;&gt;"",1,0)+IF(DP16&lt;&gt;"",1,0)+IF(DQ16&lt;&gt;"",1,0)+IF(DS16&lt;&gt;"",1,0)+IF(DT16&lt;&gt;"",1,0)+IF(DV16&lt;&gt;"",1,0)+IF(DW16&lt;&gt;"",1,0)+IF(DX16&lt;&gt;"",1,0)+IF(DY16&lt;&gt;"",1,0)+IF(DZ16&lt;&gt;"",1,0)+IF(EB16&lt;&gt;"",1,0)+IF(EC16&lt;&gt;"",1,0)+IF(ED16&lt;&gt;"",1,0)+IF(EG16&lt;&gt;"",1,0)+IF(EH16&lt;&gt;"",1,0)</f>
        <v/>
      </c>
      <c r="AZ16">
        <f>IF(EH16&lt;&gt;"",1,0)</f>
        <v/>
      </c>
      <c r="BB16" t="inlineStr">
        <is>
          <t>WARREN-WARD 4</t>
        </is>
      </c>
      <c r="DN16" t="inlineStr">
        <is>
          <t>X</t>
        </is>
      </c>
    </row>
    <row r="17">
      <c r="A17" t="inlineStr">
        <is>
          <t>OH0015977564</t>
        </is>
      </c>
      <c r="B17" t="n">
        <v>78</v>
      </c>
      <c r="C17" t="n">
        <v>335470</v>
      </c>
      <c r="D17" t="inlineStr">
        <is>
          <t>CHIARELLA</t>
        </is>
      </c>
      <c r="E17" t="inlineStr">
        <is>
          <t>LOUIS</t>
        </is>
      </c>
      <c r="F17">
        <f>CONCATENATE(D17," ",LEFT(H17,4),"T=",AU17,"D=",AV17,"R=",AW17,"M=",AX17,"L=",AY17,"B=",AZ17)</f>
        <v/>
      </c>
      <c r="G17" t="inlineStr">
        <is>
          <t>D</t>
        </is>
      </c>
      <c r="I17" t="inlineStr">
        <is>
          <t>1954-07-09</t>
        </is>
      </c>
      <c r="J17" t="inlineStr">
        <is>
          <t>2019-07-30</t>
        </is>
      </c>
      <c r="K17" t="inlineStr">
        <is>
          <t>ACTIVE</t>
        </is>
      </c>
      <c r="L17" t="inlineStr">
        <is>
          <t>R</t>
        </is>
      </c>
      <c r="M17" t="inlineStr">
        <is>
          <t>538 OAK KNOLL AVE SE</t>
        </is>
      </c>
      <c r="N17">
        <f>RIGHT(M17,LEN(M17)-FIND(" ",M17))</f>
        <v/>
      </c>
      <c r="P17" t="inlineStr">
        <is>
          <t>WARREN</t>
        </is>
      </c>
      <c r="Q17" t="inlineStr">
        <is>
          <t>OH</t>
        </is>
      </c>
      <c r="R17" t="n">
        <v>44483</v>
      </c>
      <c r="AD17" t="inlineStr">
        <is>
          <t>TRUMBULL CAREER &amp; TECH CENTER</t>
        </is>
      </c>
      <c r="AE17" t="inlineStr">
        <is>
          <t>WARREN CITY</t>
        </is>
      </c>
      <c r="AF17" t="inlineStr">
        <is>
          <t>WARREN CITY SD</t>
        </is>
      </c>
      <c r="AH17" t="n">
        <v>14</v>
      </c>
      <c r="AI17" t="n">
        <v>11</v>
      </c>
      <c r="AN17" t="inlineStr">
        <is>
          <t>WARREN</t>
        </is>
      </c>
      <c r="AO17" t="inlineStr">
        <is>
          <t>WARREN CITY 4A</t>
        </is>
      </c>
      <c r="AP17" t="inlineStr">
        <is>
          <t>78-P-ADI</t>
        </is>
      </c>
      <c r="AQ17" t="n">
        <v>9</v>
      </c>
      <c r="AR17" t="n">
        <v>64</v>
      </c>
      <c r="AS17" t="n">
        <v>32</v>
      </c>
      <c r="AU17">
        <f>COUNTA($BA$17:$EH$17)</f>
        <v/>
      </c>
      <c r="AV17">
        <f>COUNTIF($BA$17:$EH$17,"D")</f>
        <v/>
      </c>
      <c r="AW17">
        <f>COUNTIF($BA$17:$EH$17,"R")</f>
        <v/>
      </c>
      <c r="AX17">
        <f>IF(BN17="D",1,0)+IF(BO17="D",1,0)+IF(BT17="D",1,0)+IF(BU17="D",1,0)+IF(BW17="D",1,0)+IF(CC17="D",1,0)+IF(CD17="D",1,0)+IF(CE17="D",1,0)+IF(CF17="D",1,0)+IF(CL17="D",1,0)+IF(CM17="D",1,0)+IF(CQ17="D",1,0)+IF(CR17="D",1,0)+IF(CS17="D",1,0)+IF(CW17="D",1,0)+IF(CX17="D",1,0)+IF(DD17="D",1,0)+IF(DE17="D",1,0)+IF(DJ17="D",1,0)+IF(DK17="D",1,0)+IF(DO17="D",1,0)+IF(DP17="D",1,0)+IF(DQ17="D",1,0)+IF(DW17="D",1,0)+IF(DZ17="D",1,0)+IF(EH17="D",1,0)</f>
        <v/>
      </c>
      <c r="AY17">
        <f>IF(DJ17&lt;&gt;"",1,0)+IF(DK17&lt;&gt;"",1,0)+IF(DM17&lt;&gt;"",1,0)+IF(DO17&lt;&gt;"",1,0)+IF(DP17&lt;&gt;"",1,0)+IF(DQ17&lt;&gt;"",1,0)+IF(DS17&lt;&gt;"",1,0)+IF(DT17&lt;&gt;"",1,0)+IF(DV17&lt;&gt;"",1,0)+IF(DW17&lt;&gt;"",1,0)+IF(DX17&lt;&gt;"",1,0)+IF(DY17&lt;&gt;"",1,0)+IF(DZ17&lt;&gt;"",1,0)+IF(EB17&lt;&gt;"",1,0)+IF(EC17&lt;&gt;"",1,0)+IF(ED17&lt;&gt;"",1,0)+IF(EG17&lt;&gt;"",1,0)+IF(EH17&lt;&gt;"",1,0)</f>
        <v/>
      </c>
      <c r="AZ17">
        <f>IF(EH17&lt;&gt;"",1,0)</f>
        <v/>
      </c>
      <c r="BB17" t="inlineStr">
        <is>
          <t>WARREN-WARD 4</t>
        </is>
      </c>
      <c r="BL17" t="inlineStr">
        <is>
          <t>X</t>
        </is>
      </c>
      <c r="BY17" t="inlineStr">
        <is>
          <t>D</t>
        </is>
      </c>
      <c r="CA17" t="inlineStr">
        <is>
          <t>X</t>
        </is>
      </c>
      <c r="CK17" t="inlineStr">
        <is>
          <t>X</t>
        </is>
      </c>
      <c r="CP17" t="inlineStr">
        <is>
          <t>X</t>
        </is>
      </c>
      <c r="DM17" t="inlineStr">
        <is>
          <t>R</t>
        </is>
      </c>
      <c r="DN17" t="inlineStr">
        <is>
          <t>X</t>
        </is>
      </c>
      <c r="DS17" t="inlineStr">
        <is>
          <t>R</t>
        </is>
      </c>
      <c r="DU17" t="inlineStr">
        <is>
          <t>X</t>
        </is>
      </c>
      <c r="EA17" t="inlineStr">
        <is>
          <t>X</t>
        </is>
      </c>
      <c r="ED17" t="inlineStr">
        <is>
          <t>R</t>
        </is>
      </c>
      <c r="EF17" t="inlineStr">
        <is>
          <t>X</t>
        </is>
      </c>
    </row>
    <row r="18">
      <c r="A18" t="inlineStr">
        <is>
          <t>OH0023533924</t>
        </is>
      </c>
      <c r="B18" t="n">
        <v>78</v>
      </c>
      <c r="C18" t="n">
        <v>414423</v>
      </c>
      <c r="D18" t="inlineStr">
        <is>
          <t>SANTOS</t>
        </is>
      </c>
      <c r="E18" t="inlineStr">
        <is>
          <t>NOEL</t>
        </is>
      </c>
      <c r="F18">
        <f>CONCATENATE(D18," ",LEFT(H18,4),"T=",AU18,"D=",AV18,"R=",AW18,"M=",AX18,"L=",AY18,"B=",AZ18)</f>
        <v/>
      </c>
      <c r="G18" t="inlineStr">
        <is>
          <t>E</t>
        </is>
      </c>
      <c r="I18" t="inlineStr">
        <is>
          <t>1996-10-04</t>
        </is>
      </c>
      <c r="J18" t="inlineStr">
        <is>
          <t>2016-02-08</t>
        </is>
      </c>
      <c r="K18" t="inlineStr">
        <is>
          <t>CONFIRMATION</t>
        </is>
      </c>
      <c r="M18" t="inlineStr">
        <is>
          <t>760 WOODBINE AVE SE</t>
        </is>
      </c>
      <c r="N18">
        <f>RIGHT(M18,LEN(M18)-FIND(" ",M18))</f>
        <v/>
      </c>
      <c r="P18" t="inlineStr">
        <is>
          <t>WARREN</t>
        </is>
      </c>
      <c r="Q18" t="inlineStr">
        <is>
          <t>OH</t>
        </is>
      </c>
      <c r="R18" t="n">
        <v>44484</v>
      </c>
      <c r="AD18" t="inlineStr">
        <is>
          <t>TRUMBULL CAREER &amp; TECH CENTER</t>
        </is>
      </c>
      <c r="AE18" t="inlineStr">
        <is>
          <t>WARREN CITY</t>
        </is>
      </c>
      <c r="AF18" t="inlineStr">
        <is>
          <t>WARREN CITY SD</t>
        </is>
      </c>
      <c r="AH18" t="n">
        <v>14</v>
      </c>
      <c r="AI18" t="n">
        <v>11</v>
      </c>
      <c r="AN18" t="inlineStr">
        <is>
          <t>WARREN</t>
        </is>
      </c>
      <c r="AO18" t="inlineStr">
        <is>
          <t>WARREN CITY 4A</t>
        </is>
      </c>
      <c r="AP18" t="inlineStr">
        <is>
          <t>78-P-ADI</t>
        </is>
      </c>
      <c r="AQ18" t="n">
        <v>9</v>
      </c>
      <c r="AR18" t="n">
        <v>64</v>
      </c>
      <c r="AS18" t="n">
        <v>32</v>
      </c>
      <c r="AU18">
        <f>COUNTA($BA$18:$EH$18)</f>
        <v/>
      </c>
      <c r="AV18">
        <f>COUNTIF($BA$18:$EH$18,"D")</f>
        <v/>
      </c>
      <c r="AW18">
        <f>COUNTIF($BA$18:$EH$18,"R")</f>
        <v/>
      </c>
      <c r="AX18">
        <f>IF(BN18="D",1,0)+IF(BO18="D",1,0)+IF(BT18="D",1,0)+IF(BU18="D",1,0)+IF(BW18="D",1,0)+IF(CC18="D",1,0)+IF(CD18="D",1,0)+IF(CE18="D",1,0)+IF(CF18="D",1,0)+IF(CL18="D",1,0)+IF(CM18="D",1,0)+IF(CQ18="D",1,0)+IF(CR18="D",1,0)+IF(CS18="D",1,0)+IF(CW18="D",1,0)+IF(CX18="D",1,0)+IF(DD18="D",1,0)+IF(DE18="D",1,0)+IF(DJ18="D",1,0)+IF(DK18="D",1,0)+IF(DO18="D",1,0)+IF(DP18="D",1,0)+IF(DQ18="D",1,0)+IF(DW18="D",1,0)+IF(DZ18="D",1,0)+IF(EH18="D",1,0)</f>
        <v/>
      </c>
      <c r="AY18">
        <f>IF(DJ18&lt;&gt;"",1,0)+IF(DK18&lt;&gt;"",1,0)+IF(DM18&lt;&gt;"",1,0)+IF(DO18&lt;&gt;"",1,0)+IF(DP18&lt;&gt;"",1,0)+IF(DQ18&lt;&gt;"",1,0)+IF(DS18&lt;&gt;"",1,0)+IF(DT18&lt;&gt;"",1,0)+IF(DV18&lt;&gt;"",1,0)+IF(DW18&lt;&gt;"",1,0)+IF(DX18&lt;&gt;"",1,0)+IF(DY18&lt;&gt;"",1,0)+IF(DZ18&lt;&gt;"",1,0)+IF(EB18&lt;&gt;"",1,0)+IF(EC18&lt;&gt;"",1,0)+IF(ED18&lt;&gt;"",1,0)+IF(EG18&lt;&gt;"",1,0)+IF(EH18&lt;&gt;"",1,0)</f>
        <v/>
      </c>
      <c r="AZ18">
        <f>IF(EH18&lt;&gt;"",1,0)</f>
        <v/>
      </c>
      <c r="BB18" t="inlineStr">
        <is>
          <t>WARREN-WARD 4</t>
        </is>
      </c>
    </row>
    <row r="19">
      <c r="A19" t="inlineStr">
        <is>
          <t>OH0021843573</t>
        </is>
      </c>
      <c r="B19" t="n">
        <v>78</v>
      </c>
      <c r="C19" t="n">
        <v>388178</v>
      </c>
      <c r="D19" t="inlineStr">
        <is>
          <t>WHITE</t>
        </is>
      </c>
      <c r="E19" t="inlineStr">
        <is>
          <t>DAVID</t>
        </is>
      </c>
      <c r="F19">
        <f>CONCATENATE(D19," ",LEFT(H19,4),"T=",AU19,"D=",AV19,"R=",AW19,"M=",AX19,"L=",AY19,"B=",AZ19)</f>
        <v/>
      </c>
      <c r="G19" t="inlineStr">
        <is>
          <t>ANTHONY</t>
        </is>
      </c>
      <c r="I19" t="inlineStr">
        <is>
          <t>1994-02-15</t>
        </is>
      </c>
      <c r="J19" t="inlineStr">
        <is>
          <t>2023-03-28</t>
        </is>
      </c>
      <c r="K19" t="inlineStr">
        <is>
          <t>ACTIVE</t>
        </is>
      </c>
      <c r="M19" t="inlineStr">
        <is>
          <t>1219 BELLE ST SE</t>
        </is>
      </c>
      <c r="N19">
        <f>RIGHT(M19,LEN(M19)-FIND(" ",M19))</f>
        <v/>
      </c>
      <c r="P19" t="inlineStr">
        <is>
          <t>WARREN</t>
        </is>
      </c>
      <c r="Q19" t="inlineStr">
        <is>
          <t>OH</t>
        </is>
      </c>
      <c r="R19" t="n">
        <v>44484</v>
      </c>
      <c r="AD19" t="inlineStr">
        <is>
          <t>TRUMBULL CAREER &amp; TECH CENTER</t>
        </is>
      </c>
      <c r="AE19" t="inlineStr">
        <is>
          <t>WARREN CITY</t>
        </is>
      </c>
      <c r="AF19" t="inlineStr">
        <is>
          <t>WARREN CITY SD</t>
        </is>
      </c>
      <c r="AH19" t="n">
        <v>14</v>
      </c>
      <c r="AI19" t="n">
        <v>11</v>
      </c>
      <c r="AN19" t="inlineStr">
        <is>
          <t>WARREN</t>
        </is>
      </c>
      <c r="AO19" t="inlineStr">
        <is>
          <t>WARREN CITY 4A</t>
        </is>
      </c>
      <c r="AP19" t="inlineStr">
        <is>
          <t>78-P-ADI</t>
        </is>
      </c>
      <c r="AQ19" t="n">
        <v>9</v>
      </c>
      <c r="AR19" t="n">
        <v>64</v>
      </c>
      <c r="AS19" t="n">
        <v>32</v>
      </c>
      <c r="AU19">
        <f>COUNTA($BA$19:$EH$19)</f>
        <v/>
      </c>
      <c r="AV19">
        <f>COUNTIF($BA$19:$EH$19,"D")</f>
        <v/>
      </c>
      <c r="AW19">
        <f>COUNTIF($BA$19:$EH$19,"R")</f>
        <v/>
      </c>
      <c r="AX19">
        <f>IF(BN19="D",1,0)+IF(BO19="D",1,0)+IF(BT19="D",1,0)+IF(BU19="D",1,0)+IF(BW19="D",1,0)+IF(CC19="D",1,0)+IF(CD19="D",1,0)+IF(CE19="D",1,0)+IF(CF19="D",1,0)+IF(CL19="D",1,0)+IF(CM19="D",1,0)+IF(CQ19="D",1,0)+IF(CR19="D",1,0)+IF(CS19="D",1,0)+IF(CW19="D",1,0)+IF(CX19="D",1,0)+IF(DD19="D",1,0)+IF(DE19="D",1,0)+IF(DJ19="D",1,0)+IF(DK19="D",1,0)+IF(DO19="D",1,0)+IF(DP19="D",1,0)+IF(DQ19="D",1,0)+IF(DW19="D",1,0)+IF(DZ19="D",1,0)+IF(EH19="D",1,0)</f>
        <v/>
      </c>
      <c r="AY19">
        <f>IF(DJ19&lt;&gt;"",1,0)+IF(DK19&lt;&gt;"",1,0)+IF(DM19&lt;&gt;"",1,0)+IF(DO19&lt;&gt;"",1,0)+IF(DP19&lt;&gt;"",1,0)+IF(DQ19&lt;&gt;"",1,0)+IF(DS19&lt;&gt;"",1,0)+IF(DT19&lt;&gt;"",1,0)+IF(DV19&lt;&gt;"",1,0)+IF(DW19&lt;&gt;"",1,0)+IF(DX19&lt;&gt;"",1,0)+IF(DY19&lt;&gt;"",1,0)+IF(DZ19&lt;&gt;"",1,0)+IF(EB19&lt;&gt;"",1,0)+IF(EC19&lt;&gt;"",1,0)+IF(ED19&lt;&gt;"",1,0)+IF(EG19&lt;&gt;"",1,0)+IF(EH19&lt;&gt;"",1,0)</f>
        <v/>
      </c>
      <c r="AZ19">
        <f>IF(EH19&lt;&gt;"",1,0)</f>
        <v/>
      </c>
      <c r="BB19" t="inlineStr">
        <is>
          <t>WARREN-WARD 4</t>
        </is>
      </c>
      <c r="CP19" t="inlineStr">
        <is>
          <t>X</t>
        </is>
      </c>
    </row>
    <row r="20">
      <c r="A20" t="inlineStr">
        <is>
          <t>OH0025681145</t>
        </is>
      </c>
      <c r="B20" t="n">
        <v>78</v>
      </c>
      <c r="C20" t="n">
        <v>448404</v>
      </c>
      <c r="D20" t="inlineStr">
        <is>
          <t>WESLEY</t>
        </is>
      </c>
      <c r="E20" t="inlineStr">
        <is>
          <t>KATRICE</t>
        </is>
      </c>
      <c r="F20">
        <f>CONCATENATE(D20," ",LEFT(H20,4),"T=",AU20,"D=",AV20,"R=",AW20,"M=",AX20,"L=",AY20,"B=",AZ20)</f>
        <v/>
      </c>
      <c r="G20" t="inlineStr">
        <is>
          <t>M</t>
        </is>
      </c>
      <c r="I20" t="inlineStr">
        <is>
          <t>1984-11-13</t>
        </is>
      </c>
      <c r="J20" t="inlineStr">
        <is>
          <t>2020-08-08</t>
        </is>
      </c>
      <c r="K20" t="inlineStr">
        <is>
          <t>ACTIVE</t>
        </is>
      </c>
      <c r="M20" t="inlineStr">
        <is>
          <t>717 KENILWORTH AVE SE</t>
        </is>
      </c>
      <c r="N20">
        <f>RIGHT(M20,LEN(M20)-FIND(" ",M20))</f>
        <v/>
      </c>
      <c r="P20" t="inlineStr">
        <is>
          <t>WARREN</t>
        </is>
      </c>
      <c r="Q20" t="inlineStr">
        <is>
          <t>OH</t>
        </is>
      </c>
      <c r="R20" t="n">
        <v>44484</v>
      </c>
      <c r="AD20" t="inlineStr">
        <is>
          <t>TRUMBULL CAREER &amp; TECH CENTER</t>
        </is>
      </c>
      <c r="AE20" t="inlineStr">
        <is>
          <t>WARREN CITY</t>
        </is>
      </c>
      <c r="AF20" t="inlineStr">
        <is>
          <t>WARREN CITY SD</t>
        </is>
      </c>
      <c r="AH20" t="n">
        <v>14</v>
      </c>
      <c r="AI20" t="n">
        <v>11</v>
      </c>
      <c r="AN20" t="inlineStr">
        <is>
          <t>WARREN</t>
        </is>
      </c>
      <c r="AO20" t="inlineStr">
        <is>
          <t>WARREN CITY 4A</t>
        </is>
      </c>
      <c r="AP20" t="inlineStr">
        <is>
          <t>78-P-ADI</t>
        </is>
      </c>
      <c r="AQ20" t="n">
        <v>9</v>
      </c>
      <c r="AR20" t="n">
        <v>64</v>
      </c>
      <c r="AS20" t="n">
        <v>32</v>
      </c>
      <c r="AU20">
        <f>COUNTA($BA$20:$EH$20)</f>
        <v/>
      </c>
      <c r="AV20">
        <f>COUNTIF($BA$20:$EH$20,"D")</f>
        <v/>
      </c>
      <c r="AW20">
        <f>COUNTIF($BA$20:$EH$20,"R")</f>
        <v/>
      </c>
      <c r="AX20">
        <f>IF(BN20="D",1,0)+IF(BO20="D",1,0)+IF(BT20="D",1,0)+IF(BU20="D",1,0)+IF(BW20="D",1,0)+IF(CC20="D",1,0)+IF(CD20="D",1,0)+IF(CE20="D",1,0)+IF(CF20="D",1,0)+IF(CL20="D",1,0)+IF(CM20="D",1,0)+IF(CQ20="D",1,0)+IF(CR20="D",1,0)+IF(CS20="D",1,0)+IF(CW20="D",1,0)+IF(CX20="D",1,0)+IF(DD20="D",1,0)+IF(DE20="D",1,0)+IF(DJ20="D",1,0)+IF(DK20="D",1,0)+IF(DO20="D",1,0)+IF(DP20="D",1,0)+IF(DQ20="D",1,0)+IF(DW20="D",1,0)+IF(DZ20="D",1,0)+IF(EH20="D",1,0)</f>
        <v/>
      </c>
      <c r="AY20">
        <f>IF(DJ20&lt;&gt;"",1,0)+IF(DK20&lt;&gt;"",1,0)+IF(DM20&lt;&gt;"",1,0)+IF(DO20&lt;&gt;"",1,0)+IF(DP20&lt;&gt;"",1,0)+IF(DQ20&lt;&gt;"",1,0)+IF(DS20&lt;&gt;"",1,0)+IF(DT20&lt;&gt;"",1,0)+IF(DV20&lt;&gt;"",1,0)+IF(DW20&lt;&gt;"",1,0)+IF(DX20&lt;&gt;"",1,0)+IF(DY20&lt;&gt;"",1,0)+IF(DZ20&lt;&gt;"",1,0)+IF(EB20&lt;&gt;"",1,0)+IF(EC20&lt;&gt;"",1,0)+IF(ED20&lt;&gt;"",1,0)+IF(EG20&lt;&gt;"",1,0)+IF(EH20&lt;&gt;"",1,0)</f>
        <v/>
      </c>
      <c r="AZ20">
        <f>IF(EH20&lt;&gt;"",1,0)</f>
        <v/>
      </c>
      <c r="BB20" t="inlineStr">
        <is>
          <t>WARREN-WARD 4</t>
        </is>
      </c>
      <c r="DN20" t="inlineStr">
        <is>
          <t>X</t>
        </is>
      </c>
      <c r="EF20" t="inlineStr">
        <is>
          <t>X</t>
        </is>
      </c>
    </row>
    <row r="21">
      <c r="A21" t="inlineStr">
        <is>
          <t>OH0026160358</t>
        </is>
      </c>
      <c r="B21" t="n">
        <v>78</v>
      </c>
      <c r="C21" t="n">
        <v>457406</v>
      </c>
      <c r="D21" t="inlineStr">
        <is>
          <t>FRANTZ</t>
        </is>
      </c>
      <c r="E21" t="inlineStr">
        <is>
          <t>SONYA</t>
        </is>
      </c>
      <c r="F21">
        <f>CONCATENATE(D21," ",LEFT(H21,4),"T=",AU21,"D=",AV21,"R=",AW21,"M=",AX21,"L=",AY21,"B=",AZ21)</f>
        <v/>
      </c>
      <c r="G21" t="inlineStr">
        <is>
          <t>R</t>
        </is>
      </c>
      <c r="I21" t="inlineStr">
        <is>
          <t>1984-10-05</t>
        </is>
      </c>
      <c r="J21" t="inlineStr">
        <is>
          <t>2021-03-25</t>
        </is>
      </c>
      <c r="K21" t="inlineStr">
        <is>
          <t>CONFIRMATION</t>
        </is>
      </c>
      <c r="M21" t="inlineStr">
        <is>
          <t>257 IDDINGS AVE SE</t>
        </is>
      </c>
      <c r="N21">
        <f>RIGHT(M21,LEN(M21)-FIND(" ",M21))</f>
        <v/>
      </c>
      <c r="P21" t="inlineStr">
        <is>
          <t>WARREN</t>
        </is>
      </c>
      <c r="Q21" t="inlineStr">
        <is>
          <t>OH</t>
        </is>
      </c>
      <c r="R21" t="n">
        <v>44483</v>
      </c>
      <c r="AD21" t="inlineStr">
        <is>
          <t>TRUMBULL CAREER &amp; TECH CENTER</t>
        </is>
      </c>
      <c r="AE21" t="inlineStr">
        <is>
          <t>WARREN CITY</t>
        </is>
      </c>
      <c r="AF21" t="inlineStr">
        <is>
          <t>WARREN CITY SD</t>
        </is>
      </c>
      <c r="AH21" t="n">
        <v>14</v>
      </c>
      <c r="AI21" t="n">
        <v>11</v>
      </c>
      <c r="AN21" t="inlineStr">
        <is>
          <t>WARREN</t>
        </is>
      </c>
      <c r="AO21" t="inlineStr">
        <is>
          <t>WARREN CITY 4A</t>
        </is>
      </c>
      <c r="AP21" t="inlineStr">
        <is>
          <t>78-P-ADI</t>
        </is>
      </c>
      <c r="AQ21" t="n">
        <v>9</v>
      </c>
      <c r="AR21" t="n">
        <v>64</v>
      </c>
      <c r="AS21" t="n">
        <v>32</v>
      </c>
      <c r="AU21">
        <f>COUNTA($BA$21:$EH$21)</f>
        <v/>
      </c>
      <c r="AV21">
        <f>COUNTIF($BA$21:$EH$21,"D")</f>
        <v/>
      </c>
      <c r="AW21">
        <f>COUNTIF($BA$21:$EH$21,"R")</f>
        <v/>
      </c>
      <c r="AX21">
        <f>IF(BN21="D",1,0)+IF(BO21="D",1,0)+IF(BT21="D",1,0)+IF(BU21="D",1,0)+IF(BW21="D",1,0)+IF(CC21="D",1,0)+IF(CD21="D",1,0)+IF(CE21="D",1,0)+IF(CF21="D",1,0)+IF(CL21="D",1,0)+IF(CM21="D",1,0)+IF(CQ21="D",1,0)+IF(CR21="D",1,0)+IF(CS21="D",1,0)+IF(CW21="D",1,0)+IF(CX21="D",1,0)+IF(DD21="D",1,0)+IF(DE21="D",1,0)+IF(DJ21="D",1,0)+IF(DK21="D",1,0)+IF(DO21="D",1,0)+IF(DP21="D",1,0)+IF(DQ21="D",1,0)+IF(DW21="D",1,0)+IF(DZ21="D",1,0)+IF(EH21="D",1,0)</f>
        <v/>
      </c>
      <c r="AY21">
        <f>IF(DJ21&lt;&gt;"",1,0)+IF(DK21&lt;&gt;"",1,0)+IF(DM21&lt;&gt;"",1,0)+IF(DO21&lt;&gt;"",1,0)+IF(DP21&lt;&gt;"",1,0)+IF(DQ21&lt;&gt;"",1,0)+IF(DS21&lt;&gt;"",1,0)+IF(DT21&lt;&gt;"",1,0)+IF(DV21&lt;&gt;"",1,0)+IF(DW21&lt;&gt;"",1,0)+IF(DX21&lt;&gt;"",1,0)+IF(DY21&lt;&gt;"",1,0)+IF(DZ21&lt;&gt;"",1,0)+IF(EB21&lt;&gt;"",1,0)+IF(EC21&lt;&gt;"",1,0)+IF(ED21&lt;&gt;"",1,0)+IF(EG21&lt;&gt;"",1,0)+IF(EH21&lt;&gt;"",1,0)</f>
        <v/>
      </c>
      <c r="AZ21">
        <f>IF(EH21&lt;&gt;"",1,0)</f>
        <v/>
      </c>
      <c r="BB21" t="inlineStr">
        <is>
          <t>WARREN-WARD 4</t>
        </is>
      </c>
    </row>
    <row r="22">
      <c r="A22" t="inlineStr">
        <is>
          <t>OH0015691094</t>
        </is>
      </c>
      <c r="B22" t="n">
        <v>78</v>
      </c>
      <c r="C22" t="n">
        <v>13656</v>
      </c>
      <c r="D22" t="inlineStr">
        <is>
          <t>PARDEE</t>
        </is>
      </c>
      <c r="E22" t="inlineStr">
        <is>
          <t>JOSEPHINE</t>
        </is>
      </c>
      <c r="F22">
        <f>CONCATENATE(D22," ",LEFT(H22,4),"T=",AU22,"D=",AV22,"R=",AW22,"M=",AX22,"L=",AY22,"B=",AZ22)</f>
        <v/>
      </c>
      <c r="G22" t="inlineStr">
        <is>
          <t>A</t>
        </is>
      </c>
      <c r="I22" t="inlineStr">
        <is>
          <t>1926-07-07</t>
        </is>
      </c>
      <c r="J22" t="inlineStr">
        <is>
          <t>1960-09-22</t>
        </is>
      </c>
      <c r="K22" t="inlineStr">
        <is>
          <t>ACTIVE</t>
        </is>
      </c>
      <c r="M22" t="inlineStr">
        <is>
          <t>354 WOODBINE AVE SE</t>
        </is>
      </c>
      <c r="N22">
        <f>RIGHT(M22,LEN(M22)-FIND(" ",M22))</f>
        <v/>
      </c>
      <c r="P22" t="inlineStr">
        <is>
          <t>WARREN</t>
        </is>
      </c>
      <c r="Q22" t="inlineStr">
        <is>
          <t>OH</t>
        </is>
      </c>
      <c r="R22" t="n">
        <v>44483</v>
      </c>
      <c r="AD22" t="inlineStr">
        <is>
          <t>TRUMBULL CAREER &amp; TECH CENTER</t>
        </is>
      </c>
      <c r="AE22" t="inlineStr">
        <is>
          <t>WARREN CITY</t>
        </is>
      </c>
      <c r="AF22" t="inlineStr">
        <is>
          <t>WARREN CITY SD</t>
        </is>
      </c>
      <c r="AH22" t="n">
        <v>14</v>
      </c>
      <c r="AI22" t="n">
        <v>11</v>
      </c>
      <c r="AN22" t="inlineStr">
        <is>
          <t>WARREN</t>
        </is>
      </c>
      <c r="AO22" t="inlineStr">
        <is>
          <t>WARREN CITY 4A</t>
        </is>
      </c>
      <c r="AP22" t="inlineStr">
        <is>
          <t>78-P-ADI</t>
        </is>
      </c>
      <c r="AQ22" t="n">
        <v>9</v>
      </c>
      <c r="AR22" t="n">
        <v>64</v>
      </c>
      <c r="AS22" t="n">
        <v>32</v>
      </c>
      <c r="AU22">
        <f>COUNTA($BA$22:$EH$22)</f>
        <v/>
      </c>
      <c r="AV22">
        <f>COUNTIF($BA$22:$EH$22,"D")</f>
        <v/>
      </c>
      <c r="AW22">
        <f>COUNTIF($BA$22:$EH$22,"R")</f>
        <v/>
      </c>
      <c r="AX22">
        <f>IF(BN22="D",1,0)+IF(BO22="D",1,0)+IF(BT22="D",1,0)+IF(BU22="D",1,0)+IF(BW22="D",1,0)+IF(CC22="D",1,0)+IF(CD22="D",1,0)+IF(CE22="D",1,0)+IF(CF22="D",1,0)+IF(CL22="D",1,0)+IF(CM22="D",1,0)+IF(CQ22="D",1,0)+IF(CR22="D",1,0)+IF(CS22="D",1,0)+IF(CW22="D",1,0)+IF(CX22="D",1,0)+IF(DD22="D",1,0)+IF(DE22="D",1,0)+IF(DJ22="D",1,0)+IF(DK22="D",1,0)+IF(DO22="D",1,0)+IF(DP22="D",1,0)+IF(DQ22="D",1,0)+IF(DW22="D",1,0)+IF(DZ22="D",1,0)+IF(EH22="D",1,0)</f>
        <v/>
      </c>
      <c r="AY22">
        <f>IF(DJ22&lt;&gt;"",1,0)+IF(DK22&lt;&gt;"",1,0)+IF(DM22&lt;&gt;"",1,0)+IF(DO22&lt;&gt;"",1,0)+IF(DP22&lt;&gt;"",1,0)+IF(DQ22&lt;&gt;"",1,0)+IF(DS22&lt;&gt;"",1,0)+IF(DT22&lt;&gt;"",1,0)+IF(DV22&lt;&gt;"",1,0)+IF(DW22&lt;&gt;"",1,0)+IF(DX22&lt;&gt;"",1,0)+IF(DY22&lt;&gt;"",1,0)+IF(DZ22&lt;&gt;"",1,0)+IF(EB22&lt;&gt;"",1,0)+IF(EC22&lt;&gt;"",1,0)+IF(ED22&lt;&gt;"",1,0)+IF(EG22&lt;&gt;"",1,0)+IF(EH22&lt;&gt;"",1,0)</f>
        <v/>
      </c>
      <c r="AZ22">
        <f>IF(EH22&lt;&gt;"",1,0)</f>
        <v/>
      </c>
      <c r="BB22" t="inlineStr">
        <is>
          <t>WARREN-WARD 4</t>
        </is>
      </c>
      <c r="BC22" t="inlineStr">
        <is>
          <t>X</t>
        </is>
      </c>
      <c r="BD22" t="inlineStr">
        <is>
          <t>X</t>
        </is>
      </c>
      <c r="BE22" t="inlineStr">
        <is>
          <t>X</t>
        </is>
      </c>
      <c r="BG22" t="inlineStr">
        <is>
          <t>X</t>
        </is>
      </c>
      <c r="BH22" t="inlineStr">
        <is>
          <t>X</t>
        </is>
      </c>
      <c r="BI22" t="inlineStr">
        <is>
          <t>X</t>
        </is>
      </c>
      <c r="BJ22" t="inlineStr">
        <is>
          <t>X</t>
        </is>
      </c>
      <c r="BK22" t="inlineStr">
        <is>
          <t>X</t>
        </is>
      </c>
      <c r="BL22" t="inlineStr">
        <is>
          <t>X</t>
        </is>
      </c>
      <c r="BP22" t="inlineStr">
        <is>
          <t>X</t>
        </is>
      </c>
      <c r="BR22" t="inlineStr">
        <is>
          <t>X</t>
        </is>
      </c>
      <c r="BS22" t="inlineStr">
        <is>
          <t>X</t>
        </is>
      </c>
      <c r="BV22" t="inlineStr">
        <is>
          <t>X</t>
        </is>
      </c>
      <c r="BY22" t="inlineStr">
        <is>
          <t>D</t>
        </is>
      </c>
      <c r="CA22" t="inlineStr">
        <is>
          <t>X</t>
        </is>
      </c>
      <c r="CG22" t="inlineStr">
        <is>
          <t>X</t>
        </is>
      </c>
      <c r="CK22" t="inlineStr">
        <is>
          <t>X</t>
        </is>
      </c>
      <c r="CL22" t="inlineStr">
        <is>
          <t>D</t>
        </is>
      </c>
      <c r="CN22" t="inlineStr">
        <is>
          <t>X</t>
        </is>
      </c>
      <c r="CP22" t="inlineStr">
        <is>
          <t>X</t>
        </is>
      </c>
      <c r="CQ22" t="inlineStr">
        <is>
          <t>D</t>
        </is>
      </c>
      <c r="CU22" t="inlineStr">
        <is>
          <t>D</t>
        </is>
      </c>
      <c r="CV22" t="inlineStr">
        <is>
          <t>X</t>
        </is>
      </c>
      <c r="CW22" t="inlineStr">
        <is>
          <t>D</t>
        </is>
      </c>
      <c r="CY22" t="inlineStr">
        <is>
          <t>X</t>
        </is>
      </c>
      <c r="CZ22" t="inlineStr">
        <is>
          <t>D</t>
        </is>
      </c>
      <c r="DC22" t="inlineStr">
        <is>
          <t>X</t>
        </is>
      </c>
      <c r="DD22" t="inlineStr">
        <is>
          <t>D</t>
        </is>
      </c>
      <c r="DG22" t="inlineStr">
        <is>
          <t>D</t>
        </is>
      </c>
      <c r="DI22" t="inlineStr">
        <is>
          <t>X</t>
        </is>
      </c>
      <c r="DJ22" t="inlineStr">
        <is>
          <t>D</t>
        </is>
      </c>
      <c r="DL22" t="inlineStr">
        <is>
          <t>X</t>
        </is>
      </c>
      <c r="DM22" t="inlineStr">
        <is>
          <t>D</t>
        </is>
      </c>
      <c r="DN22" t="inlineStr">
        <is>
          <t>X</t>
        </is>
      </c>
      <c r="DU22" t="inlineStr">
        <is>
          <t>X</t>
        </is>
      </c>
    </row>
    <row r="23">
      <c r="A23" t="inlineStr">
        <is>
          <t>OH0015691004</t>
        </is>
      </c>
      <c r="B23" t="n">
        <v>78</v>
      </c>
      <c r="C23" t="n">
        <v>136272</v>
      </c>
      <c r="D23" t="inlineStr">
        <is>
          <t>OHLIN</t>
        </is>
      </c>
      <c r="E23" t="inlineStr">
        <is>
          <t>CHARLES</t>
        </is>
      </c>
      <c r="F23">
        <f>CONCATENATE(D23," ",LEFT(H23,4),"T=",AU23,"D=",AV23,"R=",AW23,"M=",AX23,"L=",AY23,"B=",AZ23)</f>
        <v/>
      </c>
      <c r="G23" t="inlineStr">
        <is>
          <t>E</t>
        </is>
      </c>
      <c r="I23" t="inlineStr">
        <is>
          <t>1963-04-13</t>
        </is>
      </c>
      <c r="J23" t="inlineStr">
        <is>
          <t>2023-03-13</t>
        </is>
      </c>
      <c r="K23" t="inlineStr">
        <is>
          <t>ACTIVE</t>
        </is>
      </c>
      <c r="L23" t="inlineStr">
        <is>
          <t>D</t>
        </is>
      </c>
      <c r="M23" t="inlineStr">
        <is>
          <t>404 OAK KNOLL AVE SE</t>
        </is>
      </c>
      <c r="N23">
        <f>RIGHT(M23,LEN(M23)-FIND(" ",M23))</f>
        <v/>
      </c>
      <c r="P23" t="inlineStr">
        <is>
          <t>WARREN</t>
        </is>
      </c>
      <c r="Q23" t="inlineStr">
        <is>
          <t>OH</t>
        </is>
      </c>
      <c r="R23" t="n">
        <v>44483</v>
      </c>
      <c r="AD23" t="inlineStr">
        <is>
          <t>TRUMBULL CAREER &amp; TECH CENTER</t>
        </is>
      </c>
      <c r="AE23" t="inlineStr">
        <is>
          <t>WARREN CITY</t>
        </is>
      </c>
      <c r="AF23" t="inlineStr">
        <is>
          <t>WARREN CITY SD</t>
        </is>
      </c>
      <c r="AH23" t="n">
        <v>14</v>
      </c>
      <c r="AI23" t="n">
        <v>11</v>
      </c>
      <c r="AN23" t="inlineStr">
        <is>
          <t>WARREN</t>
        </is>
      </c>
      <c r="AO23" t="inlineStr">
        <is>
          <t>WARREN CITY 4A</t>
        </is>
      </c>
      <c r="AP23" t="inlineStr">
        <is>
          <t>78-P-ADI</t>
        </is>
      </c>
      <c r="AQ23" t="n">
        <v>9</v>
      </c>
      <c r="AR23" t="n">
        <v>64</v>
      </c>
      <c r="AS23" t="n">
        <v>32</v>
      </c>
      <c r="AU23">
        <f>COUNTA($BA$23:$EH$23)</f>
        <v/>
      </c>
      <c r="AV23">
        <f>COUNTIF($BA$23:$EH$23,"D")</f>
        <v/>
      </c>
      <c r="AW23">
        <f>COUNTIF($BA$23:$EH$23,"R")</f>
        <v/>
      </c>
      <c r="AX23">
        <f>IF(BN23="D",1,0)+IF(BO23="D",1,0)+IF(BT23="D",1,0)+IF(BU23="D",1,0)+IF(BW23="D",1,0)+IF(CC23="D",1,0)+IF(CD23="D",1,0)+IF(CE23="D",1,0)+IF(CF23="D",1,0)+IF(CL23="D",1,0)+IF(CM23="D",1,0)+IF(CQ23="D",1,0)+IF(CR23="D",1,0)+IF(CS23="D",1,0)+IF(CW23="D",1,0)+IF(CX23="D",1,0)+IF(DD23="D",1,0)+IF(DE23="D",1,0)+IF(DJ23="D",1,0)+IF(DK23="D",1,0)+IF(DO23="D",1,0)+IF(DP23="D",1,0)+IF(DQ23="D",1,0)+IF(DW23="D",1,0)+IF(DZ23="D",1,0)+IF(EH23="D",1,0)</f>
        <v/>
      </c>
      <c r="AY23">
        <f>IF(DJ23&lt;&gt;"",1,0)+IF(DK23&lt;&gt;"",1,0)+IF(DM23&lt;&gt;"",1,0)+IF(DO23&lt;&gt;"",1,0)+IF(DP23&lt;&gt;"",1,0)+IF(DQ23&lt;&gt;"",1,0)+IF(DS23&lt;&gt;"",1,0)+IF(DT23&lt;&gt;"",1,0)+IF(DV23&lt;&gt;"",1,0)+IF(DW23&lt;&gt;"",1,0)+IF(DX23&lt;&gt;"",1,0)+IF(DY23&lt;&gt;"",1,0)+IF(DZ23&lt;&gt;"",1,0)+IF(EB23&lt;&gt;"",1,0)+IF(EC23&lt;&gt;"",1,0)+IF(ED23&lt;&gt;"",1,0)+IF(EG23&lt;&gt;"",1,0)+IF(EH23&lt;&gt;"",1,0)</f>
        <v/>
      </c>
      <c r="AZ23">
        <f>IF(EH23&lt;&gt;"",1,0)</f>
        <v/>
      </c>
      <c r="BB23" t="inlineStr">
        <is>
          <t>WARREN-WARD 4</t>
        </is>
      </c>
      <c r="BC23" t="inlineStr">
        <is>
          <t>X</t>
        </is>
      </c>
      <c r="BD23" t="inlineStr">
        <is>
          <t>X</t>
        </is>
      </c>
      <c r="BE23" t="inlineStr">
        <is>
          <t>X</t>
        </is>
      </c>
      <c r="BF23" t="inlineStr">
        <is>
          <t>X</t>
        </is>
      </c>
      <c r="BG23" t="inlineStr">
        <is>
          <t>X</t>
        </is>
      </c>
      <c r="BH23" t="inlineStr">
        <is>
          <t>X</t>
        </is>
      </c>
      <c r="BI23" t="inlineStr">
        <is>
          <t>X</t>
        </is>
      </c>
      <c r="BJ23" t="inlineStr">
        <is>
          <t>X</t>
        </is>
      </c>
      <c r="BK23" t="inlineStr">
        <is>
          <t>X</t>
        </is>
      </c>
      <c r="BL23" t="inlineStr">
        <is>
          <t>X</t>
        </is>
      </c>
      <c r="BP23" t="inlineStr">
        <is>
          <t>X</t>
        </is>
      </c>
      <c r="BR23" t="inlineStr">
        <is>
          <t>X</t>
        </is>
      </c>
      <c r="BS23" t="inlineStr">
        <is>
          <t>X</t>
        </is>
      </c>
      <c r="BT23" t="inlineStr">
        <is>
          <t>X</t>
        </is>
      </c>
      <c r="BV23" t="inlineStr">
        <is>
          <t>X</t>
        </is>
      </c>
      <c r="BY23" t="inlineStr">
        <is>
          <t>D</t>
        </is>
      </c>
      <c r="CA23" t="inlineStr">
        <is>
          <t>X</t>
        </is>
      </c>
      <c r="CC23" t="inlineStr">
        <is>
          <t>D</t>
        </is>
      </c>
      <c r="CG23" t="inlineStr">
        <is>
          <t>X</t>
        </is>
      </c>
      <c r="CH23" t="inlineStr">
        <is>
          <t>D</t>
        </is>
      </c>
      <c r="CK23" t="inlineStr">
        <is>
          <t>X</t>
        </is>
      </c>
      <c r="CL23" t="inlineStr">
        <is>
          <t>D</t>
        </is>
      </c>
      <c r="CN23" t="inlineStr">
        <is>
          <t>X</t>
        </is>
      </c>
      <c r="CO23" t="inlineStr">
        <is>
          <t>D</t>
        </is>
      </c>
      <c r="CP23" t="inlineStr">
        <is>
          <t>X</t>
        </is>
      </c>
      <c r="CQ23" t="inlineStr">
        <is>
          <t>D</t>
        </is>
      </c>
      <c r="CT23" t="inlineStr">
        <is>
          <t>X</t>
        </is>
      </c>
      <c r="CU23" t="inlineStr">
        <is>
          <t>D</t>
        </is>
      </c>
      <c r="CV23" t="inlineStr">
        <is>
          <t>X</t>
        </is>
      </c>
      <c r="CW23" t="inlineStr">
        <is>
          <t>D</t>
        </is>
      </c>
      <c r="CY23" t="inlineStr">
        <is>
          <t>X</t>
        </is>
      </c>
      <c r="CZ23" t="inlineStr">
        <is>
          <t>D</t>
        </is>
      </c>
      <c r="DC23" t="inlineStr">
        <is>
          <t>X</t>
        </is>
      </c>
      <c r="DD23" t="inlineStr">
        <is>
          <t>D</t>
        </is>
      </c>
      <c r="DF23" t="inlineStr">
        <is>
          <t>X</t>
        </is>
      </c>
      <c r="DG23" t="inlineStr">
        <is>
          <t>D</t>
        </is>
      </c>
      <c r="DI23" t="inlineStr">
        <is>
          <t>X</t>
        </is>
      </c>
      <c r="DJ23" t="inlineStr">
        <is>
          <t>D</t>
        </is>
      </c>
      <c r="DL23" t="inlineStr">
        <is>
          <t>X</t>
        </is>
      </c>
      <c r="DM23" t="inlineStr">
        <is>
          <t>D</t>
        </is>
      </c>
      <c r="DN23" t="inlineStr">
        <is>
          <t>X</t>
        </is>
      </c>
      <c r="DR23" t="inlineStr">
        <is>
          <t>X</t>
        </is>
      </c>
      <c r="DS23" t="inlineStr">
        <is>
          <t>D</t>
        </is>
      </c>
      <c r="DT23" t="inlineStr">
        <is>
          <t>D</t>
        </is>
      </c>
      <c r="DU23" t="inlineStr">
        <is>
          <t>X</t>
        </is>
      </c>
      <c r="DW23" t="inlineStr">
        <is>
          <t>D</t>
        </is>
      </c>
      <c r="DX23" t="inlineStr">
        <is>
          <t>X</t>
        </is>
      </c>
      <c r="EA23" t="inlineStr">
        <is>
          <t>X</t>
        </is>
      </c>
      <c r="ED23" t="inlineStr">
        <is>
          <t>D</t>
        </is>
      </c>
      <c r="EF23" t="inlineStr">
        <is>
          <t>X</t>
        </is>
      </c>
      <c r="EH23" t="inlineStr">
        <is>
          <t>D</t>
        </is>
      </c>
    </row>
    <row r="24">
      <c r="A24" t="inlineStr">
        <is>
          <t>OH0025657171</t>
        </is>
      </c>
      <c r="B24" t="n">
        <v>78</v>
      </c>
      <c r="C24" t="n">
        <v>448005</v>
      </c>
      <c r="D24" t="inlineStr">
        <is>
          <t>MCTHENY</t>
        </is>
      </c>
      <c r="E24" t="inlineStr">
        <is>
          <t>ASHLEY</t>
        </is>
      </c>
      <c r="F24">
        <f>CONCATENATE(D24," ",LEFT(H24,4),"T=",AU24,"D=",AV24,"R=",AW24,"M=",AX24,"L=",AY24,"B=",AZ24)</f>
        <v/>
      </c>
      <c r="I24" t="inlineStr">
        <is>
          <t>1992-04-09</t>
        </is>
      </c>
      <c r="J24" t="inlineStr">
        <is>
          <t>2020-06-24</t>
        </is>
      </c>
      <c r="K24" t="inlineStr">
        <is>
          <t>CONFIRMATION</t>
        </is>
      </c>
      <c r="M24" t="inlineStr">
        <is>
          <t>773 HOMEWOOD AVE SE</t>
        </is>
      </c>
      <c r="N24">
        <f>RIGHT(M24,LEN(M24)-FIND(" ",M24))</f>
        <v/>
      </c>
      <c r="P24" t="inlineStr">
        <is>
          <t>WARREN</t>
        </is>
      </c>
      <c r="Q24" t="inlineStr">
        <is>
          <t>OH</t>
        </is>
      </c>
      <c r="R24" t="n">
        <v>44484</v>
      </c>
      <c r="AD24" t="inlineStr">
        <is>
          <t>TRUMBULL CAREER &amp; TECH CENTER</t>
        </is>
      </c>
      <c r="AE24" t="inlineStr">
        <is>
          <t>WARREN CITY</t>
        </is>
      </c>
      <c r="AF24" t="inlineStr">
        <is>
          <t>WARREN CITY SD</t>
        </is>
      </c>
      <c r="AH24" t="n">
        <v>14</v>
      </c>
      <c r="AI24" t="n">
        <v>11</v>
      </c>
      <c r="AN24" t="inlineStr">
        <is>
          <t>WARREN</t>
        </is>
      </c>
      <c r="AO24" t="inlineStr">
        <is>
          <t>WARREN CITY 4A</t>
        </is>
      </c>
      <c r="AP24" t="inlineStr">
        <is>
          <t>78-P-ADI</t>
        </is>
      </c>
      <c r="AQ24" t="n">
        <v>9</v>
      </c>
      <c r="AR24" t="n">
        <v>64</v>
      </c>
      <c r="AS24" t="n">
        <v>32</v>
      </c>
      <c r="AU24">
        <f>COUNTA($BA$24:$EH$24)</f>
        <v/>
      </c>
      <c r="AV24">
        <f>COUNTIF($BA$24:$EH$24,"D")</f>
        <v/>
      </c>
      <c r="AW24">
        <f>COUNTIF($BA$24:$EH$24,"R")</f>
        <v/>
      </c>
      <c r="AX24">
        <f>IF(BN24="D",1,0)+IF(BO24="D",1,0)+IF(BT24="D",1,0)+IF(BU24="D",1,0)+IF(BW24="D",1,0)+IF(CC24="D",1,0)+IF(CD24="D",1,0)+IF(CE24="D",1,0)+IF(CF24="D",1,0)+IF(CL24="D",1,0)+IF(CM24="D",1,0)+IF(CQ24="D",1,0)+IF(CR24="D",1,0)+IF(CS24="D",1,0)+IF(CW24="D",1,0)+IF(CX24="D",1,0)+IF(DD24="D",1,0)+IF(DE24="D",1,0)+IF(DJ24="D",1,0)+IF(DK24="D",1,0)+IF(DO24="D",1,0)+IF(DP24="D",1,0)+IF(DQ24="D",1,0)+IF(DW24="D",1,0)+IF(DZ24="D",1,0)+IF(EH24="D",1,0)</f>
        <v/>
      </c>
      <c r="AY24">
        <f>IF(DJ24&lt;&gt;"",1,0)+IF(DK24&lt;&gt;"",1,0)+IF(DM24&lt;&gt;"",1,0)+IF(DO24&lt;&gt;"",1,0)+IF(DP24&lt;&gt;"",1,0)+IF(DQ24&lt;&gt;"",1,0)+IF(DS24&lt;&gt;"",1,0)+IF(DT24&lt;&gt;"",1,0)+IF(DV24&lt;&gt;"",1,0)+IF(DW24&lt;&gt;"",1,0)+IF(DX24&lt;&gt;"",1,0)+IF(DY24&lt;&gt;"",1,0)+IF(DZ24&lt;&gt;"",1,0)+IF(EB24&lt;&gt;"",1,0)+IF(EC24&lt;&gt;"",1,0)+IF(ED24&lt;&gt;"",1,0)+IF(EG24&lt;&gt;"",1,0)+IF(EH24&lt;&gt;"",1,0)</f>
        <v/>
      </c>
      <c r="AZ24">
        <f>IF(EH24&lt;&gt;"",1,0)</f>
        <v/>
      </c>
      <c r="BB24" t="inlineStr">
        <is>
          <t>WARREN-WARD 4</t>
        </is>
      </c>
      <c r="DN24" t="inlineStr">
        <is>
          <t>X</t>
        </is>
      </c>
    </row>
    <row r="25">
      <c r="A25" t="inlineStr">
        <is>
          <t>OH0015707987</t>
        </is>
      </c>
      <c r="B25" t="n">
        <v>78</v>
      </c>
      <c r="C25" t="n">
        <v>172515</v>
      </c>
      <c r="D25" t="inlineStr">
        <is>
          <t>NORMAN</t>
        </is>
      </c>
      <c r="E25" t="inlineStr">
        <is>
          <t>SANDRA</t>
        </is>
      </c>
      <c r="F25">
        <f>CONCATENATE(D25," ",LEFT(H25,4),"T=",AU25,"D=",AV25,"R=",AW25,"M=",AX25,"L=",AY25,"B=",AZ25)</f>
        <v/>
      </c>
      <c r="G25" t="inlineStr">
        <is>
          <t>I</t>
        </is>
      </c>
      <c r="I25" t="inlineStr">
        <is>
          <t>1955-01-23</t>
        </is>
      </c>
      <c r="J25" t="inlineStr">
        <is>
          <t>2015-07-16</t>
        </is>
      </c>
      <c r="K25" t="inlineStr">
        <is>
          <t>ACTIVE</t>
        </is>
      </c>
      <c r="L25" t="inlineStr">
        <is>
          <t>D</t>
        </is>
      </c>
      <c r="M25" t="inlineStr">
        <is>
          <t>801 WOODBINE AVE SE</t>
        </is>
      </c>
      <c r="N25">
        <f>RIGHT(M25,LEN(M25)-FIND(" ",M25))</f>
        <v/>
      </c>
      <c r="P25" t="inlineStr">
        <is>
          <t>WARREN</t>
        </is>
      </c>
      <c r="Q25" t="inlineStr">
        <is>
          <t>OH</t>
        </is>
      </c>
      <c r="R25" t="n">
        <v>44484</v>
      </c>
      <c r="AD25" t="inlineStr">
        <is>
          <t>TRUMBULL CAREER &amp; TECH CENTER</t>
        </is>
      </c>
      <c r="AE25" t="inlineStr">
        <is>
          <t>WARREN CITY</t>
        </is>
      </c>
      <c r="AF25" t="inlineStr">
        <is>
          <t>WARREN CITY SD</t>
        </is>
      </c>
      <c r="AH25" t="n">
        <v>14</v>
      </c>
      <c r="AI25" t="n">
        <v>11</v>
      </c>
      <c r="AN25" t="inlineStr">
        <is>
          <t>WARREN</t>
        </is>
      </c>
      <c r="AO25" t="inlineStr">
        <is>
          <t>WARREN CITY 4A</t>
        </is>
      </c>
      <c r="AP25" t="inlineStr">
        <is>
          <t>78-P-ADI</t>
        </is>
      </c>
      <c r="AQ25" t="n">
        <v>9</v>
      </c>
      <c r="AR25" t="n">
        <v>64</v>
      </c>
      <c r="AS25" t="n">
        <v>32</v>
      </c>
      <c r="AU25">
        <f>COUNTA($BA$25:$EH$25)</f>
        <v/>
      </c>
      <c r="AV25">
        <f>COUNTIF($BA$25:$EH$25,"D")</f>
        <v/>
      </c>
      <c r="AW25">
        <f>COUNTIF($BA$25:$EH$25,"R")</f>
        <v/>
      </c>
      <c r="AX25">
        <f>IF(BN25="D",1,0)+IF(BO25="D",1,0)+IF(BT25="D",1,0)+IF(BU25="D",1,0)+IF(BW25="D",1,0)+IF(CC25="D",1,0)+IF(CD25="D",1,0)+IF(CE25="D",1,0)+IF(CF25="D",1,0)+IF(CL25="D",1,0)+IF(CM25="D",1,0)+IF(CQ25="D",1,0)+IF(CR25="D",1,0)+IF(CS25="D",1,0)+IF(CW25="D",1,0)+IF(CX25="D",1,0)+IF(DD25="D",1,0)+IF(DE25="D",1,0)+IF(DJ25="D",1,0)+IF(DK25="D",1,0)+IF(DO25="D",1,0)+IF(DP25="D",1,0)+IF(DQ25="D",1,0)+IF(DW25="D",1,0)+IF(DZ25="D",1,0)+IF(EH25="D",1,0)</f>
        <v/>
      </c>
      <c r="AY25">
        <f>IF(DJ25&lt;&gt;"",1,0)+IF(DK25&lt;&gt;"",1,0)+IF(DM25&lt;&gt;"",1,0)+IF(DO25&lt;&gt;"",1,0)+IF(DP25&lt;&gt;"",1,0)+IF(DQ25&lt;&gt;"",1,0)+IF(DS25&lt;&gt;"",1,0)+IF(DT25&lt;&gt;"",1,0)+IF(DV25&lt;&gt;"",1,0)+IF(DW25&lt;&gt;"",1,0)+IF(DX25&lt;&gt;"",1,0)+IF(DY25&lt;&gt;"",1,0)+IF(DZ25&lt;&gt;"",1,0)+IF(EB25&lt;&gt;"",1,0)+IF(EC25&lt;&gt;"",1,0)+IF(ED25&lt;&gt;"",1,0)+IF(EG25&lt;&gt;"",1,0)+IF(EH25&lt;&gt;"",1,0)</f>
        <v/>
      </c>
      <c r="AZ25">
        <f>IF(EH25&lt;&gt;"",1,0)</f>
        <v/>
      </c>
      <c r="BB25" t="inlineStr">
        <is>
          <t>WARREN-WARD 4</t>
        </is>
      </c>
      <c r="BC25" t="inlineStr">
        <is>
          <t>X</t>
        </is>
      </c>
      <c r="BD25" t="inlineStr">
        <is>
          <t>X</t>
        </is>
      </c>
      <c r="BI25" t="inlineStr">
        <is>
          <t>X</t>
        </is>
      </c>
      <c r="BJ25" t="inlineStr">
        <is>
          <t>X</t>
        </is>
      </c>
      <c r="BL25" t="inlineStr">
        <is>
          <t>X</t>
        </is>
      </c>
      <c r="BP25" t="inlineStr">
        <is>
          <t>X</t>
        </is>
      </c>
      <c r="BR25" t="inlineStr">
        <is>
          <t>X</t>
        </is>
      </c>
      <c r="BS25" t="inlineStr">
        <is>
          <t>X</t>
        </is>
      </c>
      <c r="BV25" t="inlineStr">
        <is>
          <t>X</t>
        </is>
      </c>
      <c r="CA25" t="inlineStr">
        <is>
          <t>X</t>
        </is>
      </c>
      <c r="CG25" t="inlineStr">
        <is>
          <t>X</t>
        </is>
      </c>
      <c r="CK25" t="inlineStr">
        <is>
          <t>X</t>
        </is>
      </c>
      <c r="CL25" t="inlineStr">
        <is>
          <t>D</t>
        </is>
      </c>
      <c r="CN25" t="inlineStr">
        <is>
          <t>X</t>
        </is>
      </c>
      <c r="CP25" t="inlineStr">
        <is>
          <t>X</t>
        </is>
      </c>
      <c r="CY25" t="inlineStr">
        <is>
          <t>X</t>
        </is>
      </c>
      <c r="DC25" t="inlineStr">
        <is>
          <t>X</t>
        </is>
      </c>
      <c r="DI25" t="inlineStr">
        <is>
          <t>X</t>
        </is>
      </c>
      <c r="DN25" t="inlineStr">
        <is>
          <t>X</t>
        </is>
      </c>
      <c r="DU25" t="inlineStr">
        <is>
          <t>X</t>
        </is>
      </c>
      <c r="DW25" t="inlineStr">
        <is>
          <t>D</t>
        </is>
      </c>
      <c r="DX25" t="inlineStr">
        <is>
          <t>X</t>
        </is>
      </c>
      <c r="EF25" t="inlineStr">
        <is>
          <t>X</t>
        </is>
      </c>
    </row>
    <row r="26">
      <c r="A26" t="inlineStr">
        <is>
          <t>OH0024253127</t>
        </is>
      </c>
      <c r="B26" t="n">
        <v>78</v>
      </c>
      <c r="C26" t="n">
        <v>425751</v>
      </c>
      <c r="D26" t="inlineStr">
        <is>
          <t>BREWER</t>
        </is>
      </c>
      <c r="E26" t="inlineStr">
        <is>
          <t>ISABELLA</t>
        </is>
      </c>
      <c r="F26">
        <f>CONCATENATE(D26," ",LEFT(H26,4),"T=",AU26,"D=",AV26,"R=",AW26,"M=",AX26,"L=",AY26,"B=",AZ26)</f>
        <v/>
      </c>
      <c r="G26" t="inlineStr">
        <is>
          <t>LOUISE</t>
        </is>
      </c>
      <c r="I26" t="inlineStr">
        <is>
          <t>1999-09-02</t>
        </is>
      </c>
      <c r="J26" t="inlineStr">
        <is>
          <t>2024-11-09</t>
        </is>
      </c>
      <c r="K26" t="inlineStr">
        <is>
          <t>ACTIVE</t>
        </is>
      </c>
      <c r="M26" t="inlineStr">
        <is>
          <t>196 ADELAIDE AVE SE</t>
        </is>
      </c>
      <c r="N26">
        <f>RIGHT(M26,LEN(M26)-FIND(" ",M26))</f>
        <v/>
      </c>
      <c r="P26" t="inlineStr">
        <is>
          <t>WARREN</t>
        </is>
      </c>
      <c r="Q26" t="inlineStr">
        <is>
          <t>OH</t>
        </is>
      </c>
      <c r="R26" t="n">
        <v>44483</v>
      </c>
      <c r="AD26" t="inlineStr">
        <is>
          <t>TRUMBULL CAREER &amp; TECH CENTER</t>
        </is>
      </c>
      <c r="AE26" t="inlineStr">
        <is>
          <t>WARREN CITY</t>
        </is>
      </c>
      <c r="AF26" t="inlineStr">
        <is>
          <t>WARREN CITY SD</t>
        </is>
      </c>
      <c r="AH26" t="n">
        <v>14</v>
      </c>
      <c r="AI26" t="n">
        <v>11</v>
      </c>
      <c r="AN26" t="inlineStr">
        <is>
          <t>WARREN</t>
        </is>
      </c>
      <c r="AO26" t="inlineStr">
        <is>
          <t>WARREN CITY 4A</t>
        </is>
      </c>
      <c r="AP26" t="inlineStr">
        <is>
          <t>78-P-ADI</t>
        </is>
      </c>
      <c r="AQ26" t="n">
        <v>9</v>
      </c>
      <c r="AR26" t="n">
        <v>64</v>
      </c>
      <c r="AS26" t="n">
        <v>32</v>
      </c>
      <c r="AU26">
        <f>COUNTA($BA$26:$EH$26)</f>
        <v/>
      </c>
      <c r="AV26">
        <f>COUNTIF($BA$26:$EH$26,"D")</f>
        <v/>
      </c>
      <c r="AW26">
        <f>COUNTIF($BA$26:$EH$26,"R")</f>
        <v/>
      </c>
      <c r="AX26">
        <f>IF(BN26="D",1,0)+IF(BO26="D",1,0)+IF(BT26="D",1,0)+IF(BU26="D",1,0)+IF(BW26="D",1,0)+IF(CC26="D",1,0)+IF(CD26="D",1,0)+IF(CE26="D",1,0)+IF(CF26="D",1,0)+IF(CL26="D",1,0)+IF(CM26="D",1,0)+IF(CQ26="D",1,0)+IF(CR26="D",1,0)+IF(CS26="D",1,0)+IF(CW26="D",1,0)+IF(CX26="D",1,0)+IF(DD26="D",1,0)+IF(DE26="D",1,0)+IF(DJ26="D",1,0)+IF(DK26="D",1,0)+IF(DO26="D",1,0)+IF(DP26="D",1,0)+IF(DQ26="D",1,0)+IF(DW26="D",1,0)+IF(DZ26="D",1,0)+IF(EH26="D",1,0)</f>
        <v/>
      </c>
      <c r="AY26">
        <f>IF(DJ26&lt;&gt;"",1,0)+IF(DK26&lt;&gt;"",1,0)+IF(DM26&lt;&gt;"",1,0)+IF(DO26&lt;&gt;"",1,0)+IF(DP26&lt;&gt;"",1,0)+IF(DQ26&lt;&gt;"",1,0)+IF(DS26&lt;&gt;"",1,0)+IF(DT26&lt;&gt;"",1,0)+IF(DV26&lt;&gt;"",1,0)+IF(DW26&lt;&gt;"",1,0)+IF(DX26&lt;&gt;"",1,0)+IF(DY26&lt;&gt;"",1,0)+IF(DZ26&lt;&gt;"",1,0)+IF(EB26&lt;&gt;"",1,0)+IF(EC26&lt;&gt;"",1,0)+IF(ED26&lt;&gt;"",1,0)+IF(EG26&lt;&gt;"",1,0)+IF(EH26&lt;&gt;"",1,0)</f>
        <v/>
      </c>
      <c r="AZ26">
        <f>IF(EH26&lt;&gt;"",1,0)</f>
        <v/>
      </c>
      <c r="BB26" t="inlineStr">
        <is>
          <t>WARREN-WARD 4</t>
        </is>
      </c>
      <c r="DF26" t="inlineStr">
        <is>
          <t>X</t>
        </is>
      </c>
      <c r="DG26" t="inlineStr">
        <is>
          <t>D</t>
        </is>
      </c>
      <c r="DI26" t="inlineStr">
        <is>
          <t>X</t>
        </is>
      </c>
      <c r="DL26" t="inlineStr">
        <is>
          <t>X</t>
        </is>
      </c>
      <c r="DN26" t="inlineStr">
        <is>
          <t>X</t>
        </is>
      </c>
      <c r="DU26" t="inlineStr">
        <is>
          <t>X</t>
        </is>
      </c>
      <c r="DX26" t="inlineStr">
        <is>
          <t>X</t>
        </is>
      </c>
      <c r="EA26" t="inlineStr">
        <is>
          <t>X</t>
        </is>
      </c>
      <c r="EF26" t="inlineStr">
        <is>
          <t>X</t>
        </is>
      </c>
    </row>
    <row r="27">
      <c r="A27" t="inlineStr">
        <is>
          <t>OH0022044221</t>
        </is>
      </c>
      <c r="B27" t="n">
        <v>78</v>
      </c>
      <c r="C27" t="n">
        <v>390898</v>
      </c>
      <c r="D27" t="inlineStr">
        <is>
          <t>JOHNSON</t>
        </is>
      </c>
      <c r="E27" t="inlineStr">
        <is>
          <t>NICOLE</t>
        </is>
      </c>
      <c r="F27">
        <f>CONCATENATE(D27," ",LEFT(H27,4),"T=",AU27,"D=",AV27,"R=",AW27,"M=",AX27,"L=",AY27,"B=",AZ27)</f>
        <v/>
      </c>
      <c r="G27" t="inlineStr">
        <is>
          <t>M</t>
        </is>
      </c>
      <c r="I27" t="inlineStr">
        <is>
          <t>1985-10-13</t>
        </is>
      </c>
      <c r="J27" t="inlineStr">
        <is>
          <t>2019-08-02</t>
        </is>
      </c>
      <c r="K27" t="inlineStr">
        <is>
          <t>ACTIVE</t>
        </is>
      </c>
      <c r="M27" t="inlineStr">
        <is>
          <t>492 HOMEWOOD AVE SE</t>
        </is>
      </c>
      <c r="N27">
        <f>RIGHT(M27,LEN(M27)-FIND(" ",M27))</f>
        <v/>
      </c>
      <c r="P27" t="inlineStr">
        <is>
          <t>WARREN</t>
        </is>
      </c>
      <c r="Q27" t="inlineStr">
        <is>
          <t>OH</t>
        </is>
      </c>
      <c r="R27" t="n">
        <v>44483</v>
      </c>
      <c r="AD27" t="inlineStr">
        <is>
          <t>TRUMBULL CAREER &amp; TECH CENTER</t>
        </is>
      </c>
      <c r="AE27" t="inlineStr">
        <is>
          <t>WARREN CITY</t>
        </is>
      </c>
      <c r="AF27" t="inlineStr">
        <is>
          <t>WARREN CITY SD</t>
        </is>
      </c>
      <c r="AH27" t="n">
        <v>14</v>
      </c>
      <c r="AI27" t="n">
        <v>11</v>
      </c>
      <c r="AN27" t="inlineStr">
        <is>
          <t>WARREN</t>
        </is>
      </c>
      <c r="AO27" t="inlineStr">
        <is>
          <t>WARREN CITY 4A</t>
        </is>
      </c>
      <c r="AP27" t="inlineStr">
        <is>
          <t>78-P-ADI</t>
        </is>
      </c>
      <c r="AQ27" t="n">
        <v>9</v>
      </c>
      <c r="AR27" t="n">
        <v>64</v>
      </c>
      <c r="AS27" t="n">
        <v>32</v>
      </c>
      <c r="AU27">
        <f>COUNTA($BA$27:$EH$27)</f>
        <v/>
      </c>
      <c r="AV27">
        <f>COUNTIF($BA$27:$EH$27,"D")</f>
        <v/>
      </c>
      <c r="AW27">
        <f>COUNTIF($BA$27:$EH$27,"R")</f>
        <v/>
      </c>
      <c r="AX27">
        <f>IF(BN27="D",1,0)+IF(BO27="D",1,0)+IF(BT27="D",1,0)+IF(BU27="D",1,0)+IF(BW27="D",1,0)+IF(CC27="D",1,0)+IF(CD27="D",1,0)+IF(CE27="D",1,0)+IF(CF27="D",1,0)+IF(CL27="D",1,0)+IF(CM27="D",1,0)+IF(CQ27="D",1,0)+IF(CR27="D",1,0)+IF(CS27="D",1,0)+IF(CW27="D",1,0)+IF(CX27="D",1,0)+IF(DD27="D",1,0)+IF(DE27="D",1,0)+IF(DJ27="D",1,0)+IF(DK27="D",1,0)+IF(DO27="D",1,0)+IF(DP27="D",1,0)+IF(DQ27="D",1,0)+IF(DW27="D",1,0)+IF(DZ27="D",1,0)+IF(EH27="D",1,0)</f>
        <v/>
      </c>
      <c r="AY27">
        <f>IF(DJ27&lt;&gt;"",1,0)+IF(DK27&lt;&gt;"",1,0)+IF(DM27&lt;&gt;"",1,0)+IF(DO27&lt;&gt;"",1,0)+IF(DP27&lt;&gt;"",1,0)+IF(DQ27&lt;&gt;"",1,0)+IF(DS27&lt;&gt;"",1,0)+IF(DT27&lt;&gt;"",1,0)+IF(DV27&lt;&gt;"",1,0)+IF(DW27&lt;&gt;"",1,0)+IF(DX27&lt;&gt;"",1,0)+IF(DY27&lt;&gt;"",1,0)+IF(DZ27&lt;&gt;"",1,0)+IF(EB27&lt;&gt;"",1,0)+IF(EC27&lt;&gt;"",1,0)+IF(ED27&lt;&gt;"",1,0)+IF(EG27&lt;&gt;"",1,0)+IF(EH27&lt;&gt;"",1,0)</f>
        <v/>
      </c>
      <c r="AZ27">
        <f>IF(EH27&lt;&gt;"",1,0)</f>
        <v/>
      </c>
      <c r="BB27" t="inlineStr">
        <is>
          <t>WARREN-WARD 4</t>
        </is>
      </c>
      <c r="CP27" t="inlineStr">
        <is>
          <t>X</t>
        </is>
      </c>
    </row>
    <row r="28">
      <c r="A28" t="inlineStr">
        <is>
          <t>OH0015745892</t>
        </is>
      </c>
      <c r="B28" t="n">
        <v>78</v>
      </c>
      <c r="C28" t="n">
        <v>232323</v>
      </c>
      <c r="D28" t="inlineStr">
        <is>
          <t>MANOFSKY</t>
        </is>
      </c>
      <c r="E28" t="inlineStr">
        <is>
          <t>JULIE</t>
        </is>
      </c>
      <c r="F28">
        <f>CONCATENATE(D28," ",LEFT(H28,4),"T=",AU28,"D=",AV28,"R=",AW28,"M=",AX28,"L=",AY28,"B=",AZ28)</f>
        <v/>
      </c>
      <c r="I28" t="inlineStr">
        <is>
          <t>1963-11-12</t>
        </is>
      </c>
      <c r="J28" t="inlineStr">
        <is>
          <t>1992-02-24</t>
        </is>
      </c>
      <c r="K28" t="inlineStr">
        <is>
          <t>ACTIVE</t>
        </is>
      </c>
      <c r="M28" t="inlineStr">
        <is>
          <t>658 WOODBINE AVE SE</t>
        </is>
      </c>
      <c r="N28">
        <f>RIGHT(M28,LEN(M28)-FIND(" ",M28))</f>
        <v/>
      </c>
      <c r="P28" t="inlineStr">
        <is>
          <t>WARREN</t>
        </is>
      </c>
      <c r="Q28" t="inlineStr">
        <is>
          <t>OH</t>
        </is>
      </c>
      <c r="R28" t="n">
        <v>44483</v>
      </c>
      <c r="AD28" t="inlineStr">
        <is>
          <t>TRUMBULL CAREER &amp; TECH CENTER</t>
        </is>
      </c>
      <c r="AE28" t="inlineStr">
        <is>
          <t>WARREN CITY</t>
        </is>
      </c>
      <c r="AF28" t="inlineStr">
        <is>
          <t>WARREN CITY SD</t>
        </is>
      </c>
      <c r="AH28" t="n">
        <v>14</v>
      </c>
      <c r="AI28" t="n">
        <v>11</v>
      </c>
      <c r="AN28" t="inlineStr">
        <is>
          <t>WARREN</t>
        </is>
      </c>
      <c r="AO28" t="inlineStr">
        <is>
          <t>WARREN CITY 4A</t>
        </is>
      </c>
      <c r="AP28" t="inlineStr">
        <is>
          <t>78-P-ADI</t>
        </is>
      </c>
      <c r="AQ28" t="n">
        <v>9</v>
      </c>
      <c r="AR28" t="n">
        <v>64</v>
      </c>
      <c r="AS28" t="n">
        <v>32</v>
      </c>
      <c r="AU28">
        <f>COUNTA($BA$28:$EH$28)</f>
        <v/>
      </c>
      <c r="AV28">
        <f>COUNTIF($BA$28:$EH$28,"D")</f>
        <v/>
      </c>
      <c r="AW28">
        <f>COUNTIF($BA$28:$EH$28,"R")</f>
        <v/>
      </c>
      <c r="AX28">
        <f>IF(BN28="D",1,0)+IF(BO28="D",1,0)+IF(BT28="D",1,0)+IF(BU28="D",1,0)+IF(BW28="D",1,0)+IF(CC28="D",1,0)+IF(CD28="D",1,0)+IF(CE28="D",1,0)+IF(CF28="D",1,0)+IF(CL28="D",1,0)+IF(CM28="D",1,0)+IF(CQ28="D",1,0)+IF(CR28="D",1,0)+IF(CS28="D",1,0)+IF(CW28="D",1,0)+IF(CX28="D",1,0)+IF(DD28="D",1,0)+IF(DE28="D",1,0)+IF(DJ28="D",1,0)+IF(DK28="D",1,0)+IF(DO28="D",1,0)+IF(DP28="D",1,0)+IF(DQ28="D",1,0)+IF(DW28="D",1,0)+IF(DZ28="D",1,0)+IF(EH28="D",1,0)</f>
        <v/>
      </c>
      <c r="AY28">
        <f>IF(DJ28&lt;&gt;"",1,0)+IF(DK28&lt;&gt;"",1,0)+IF(DM28&lt;&gt;"",1,0)+IF(DO28&lt;&gt;"",1,0)+IF(DP28&lt;&gt;"",1,0)+IF(DQ28&lt;&gt;"",1,0)+IF(DS28&lt;&gt;"",1,0)+IF(DT28&lt;&gt;"",1,0)+IF(DV28&lt;&gt;"",1,0)+IF(DW28&lt;&gt;"",1,0)+IF(DX28&lt;&gt;"",1,0)+IF(DY28&lt;&gt;"",1,0)+IF(DZ28&lt;&gt;"",1,0)+IF(EB28&lt;&gt;"",1,0)+IF(EC28&lt;&gt;"",1,0)+IF(ED28&lt;&gt;"",1,0)+IF(EG28&lt;&gt;"",1,0)+IF(EH28&lt;&gt;"",1,0)</f>
        <v/>
      </c>
      <c r="AZ28">
        <f>IF(EH28&lt;&gt;"",1,0)</f>
        <v/>
      </c>
      <c r="BB28" t="inlineStr">
        <is>
          <t>WARREN-WARD 4</t>
        </is>
      </c>
      <c r="BL28" t="inlineStr">
        <is>
          <t>X</t>
        </is>
      </c>
      <c r="BP28" t="inlineStr">
        <is>
          <t>X</t>
        </is>
      </c>
      <c r="BS28" t="inlineStr">
        <is>
          <t>X</t>
        </is>
      </c>
      <c r="BY28" t="inlineStr">
        <is>
          <t>D</t>
        </is>
      </c>
      <c r="CA28" t="inlineStr">
        <is>
          <t>X</t>
        </is>
      </c>
      <c r="CG28" t="inlineStr">
        <is>
          <t>X</t>
        </is>
      </c>
      <c r="CK28" t="inlineStr">
        <is>
          <t>X</t>
        </is>
      </c>
      <c r="CN28" t="inlineStr">
        <is>
          <t>X</t>
        </is>
      </c>
      <c r="CO28" t="inlineStr">
        <is>
          <t>D</t>
        </is>
      </c>
      <c r="CP28" t="inlineStr">
        <is>
          <t>X</t>
        </is>
      </c>
      <c r="CU28" t="inlineStr">
        <is>
          <t>D</t>
        </is>
      </c>
      <c r="CZ28" t="inlineStr">
        <is>
          <t>D</t>
        </is>
      </c>
      <c r="DC28" t="inlineStr">
        <is>
          <t>X</t>
        </is>
      </c>
      <c r="DI28" t="inlineStr">
        <is>
          <t>X</t>
        </is>
      </c>
      <c r="DN28" t="inlineStr">
        <is>
          <t>X</t>
        </is>
      </c>
      <c r="DU28" t="inlineStr">
        <is>
          <t>X</t>
        </is>
      </c>
      <c r="EA28" t="inlineStr">
        <is>
          <t>X</t>
        </is>
      </c>
      <c r="EF28" t="inlineStr">
        <is>
          <t>X</t>
        </is>
      </c>
    </row>
    <row r="29">
      <c r="A29" t="inlineStr">
        <is>
          <t>OH0015819660</t>
        </is>
      </c>
      <c r="B29" t="n">
        <v>78</v>
      </c>
      <c r="C29" t="n">
        <v>314109</v>
      </c>
      <c r="D29" t="inlineStr">
        <is>
          <t>KLINESMITH</t>
        </is>
      </c>
      <c r="E29" t="inlineStr">
        <is>
          <t>JESSIE</t>
        </is>
      </c>
      <c r="F29">
        <f>CONCATENATE(D29," ",LEFT(H29,4),"T=",AU29,"D=",AV29,"R=",AW29,"M=",AX29,"L=",AY29,"B=",AZ29)</f>
        <v/>
      </c>
      <c r="G29" t="inlineStr">
        <is>
          <t>JAMES</t>
        </is>
      </c>
      <c r="I29" t="inlineStr">
        <is>
          <t>1985-03-27</t>
        </is>
      </c>
      <c r="J29" t="inlineStr">
        <is>
          <t>2020-09-10</t>
        </is>
      </c>
      <c r="K29" t="inlineStr">
        <is>
          <t>CONFIRMATION</t>
        </is>
      </c>
      <c r="M29" t="inlineStr">
        <is>
          <t>720 WOODBINE AVE SE</t>
        </is>
      </c>
      <c r="N29">
        <f>RIGHT(M29,LEN(M29)-FIND(" ",M29))</f>
        <v/>
      </c>
      <c r="P29" t="inlineStr">
        <is>
          <t>WARREN</t>
        </is>
      </c>
      <c r="Q29" t="inlineStr">
        <is>
          <t>OH</t>
        </is>
      </c>
      <c r="R29" t="n">
        <v>44484</v>
      </c>
      <c r="AD29" t="inlineStr">
        <is>
          <t>TRUMBULL CAREER &amp; TECH CENTER</t>
        </is>
      </c>
      <c r="AE29" t="inlineStr">
        <is>
          <t>WARREN CITY</t>
        </is>
      </c>
      <c r="AF29" t="inlineStr">
        <is>
          <t>WARREN CITY SD</t>
        </is>
      </c>
      <c r="AH29" t="n">
        <v>14</v>
      </c>
      <c r="AI29" t="n">
        <v>11</v>
      </c>
      <c r="AN29" t="inlineStr">
        <is>
          <t>WARREN</t>
        </is>
      </c>
      <c r="AO29" t="inlineStr">
        <is>
          <t>WARREN CITY 4A</t>
        </is>
      </c>
      <c r="AP29" t="inlineStr">
        <is>
          <t>78-P-ADI</t>
        </is>
      </c>
      <c r="AQ29" t="n">
        <v>9</v>
      </c>
      <c r="AR29" t="n">
        <v>64</v>
      </c>
      <c r="AS29" t="n">
        <v>32</v>
      </c>
      <c r="AU29">
        <f>COUNTA($BA$29:$EH$29)</f>
        <v/>
      </c>
      <c r="AV29">
        <f>COUNTIF($BA$29:$EH$29,"D")</f>
        <v/>
      </c>
      <c r="AW29">
        <f>COUNTIF($BA$29:$EH$29,"R")</f>
        <v/>
      </c>
      <c r="AX29">
        <f>IF(BN29="D",1,0)+IF(BO29="D",1,0)+IF(BT29="D",1,0)+IF(BU29="D",1,0)+IF(BW29="D",1,0)+IF(CC29="D",1,0)+IF(CD29="D",1,0)+IF(CE29="D",1,0)+IF(CF29="D",1,0)+IF(CL29="D",1,0)+IF(CM29="D",1,0)+IF(CQ29="D",1,0)+IF(CR29="D",1,0)+IF(CS29="D",1,0)+IF(CW29="D",1,0)+IF(CX29="D",1,0)+IF(DD29="D",1,0)+IF(DE29="D",1,0)+IF(DJ29="D",1,0)+IF(DK29="D",1,0)+IF(DO29="D",1,0)+IF(DP29="D",1,0)+IF(DQ29="D",1,0)+IF(DW29="D",1,0)+IF(DZ29="D",1,0)+IF(EH29="D",1,0)</f>
        <v/>
      </c>
      <c r="AY29">
        <f>IF(DJ29&lt;&gt;"",1,0)+IF(DK29&lt;&gt;"",1,0)+IF(DM29&lt;&gt;"",1,0)+IF(DO29&lt;&gt;"",1,0)+IF(DP29&lt;&gt;"",1,0)+IF(DQ29&lt;&gt;"",1,0)+IF(DS29&lt;&gt;"",1,0)+IF(DT29&lt;&gt;"",1,0)+IF(DV29&lt;&gt;"",1,0)+IF(DW29&lt;&gt;"",1,0)+IF(DX29&lt;&gt;"",1,0)+IF(DY29&lt;&gt;"",1,0)+IF(DZ29&lt;&gt;"",1,0)+IF(EB29&lt;&gt;"",1,0)+IF(EC29&lt;&gt;"",1,0)+IF(ED29&lt;&gt;"",1,0)+IF(EG29&lt;&gt;"",1,0)+IF(EH29&lt;&gt;"",1,0)</f>
        <v/>
      </c>
      <c r="AZ29">
        <f>IF(EH29&lt;&gt;"",1,0)</f>
        <v/>
      </c>
      <c r="BB29" t="inlineStr">
        <is>
          <t>WARREN-WARD 4</t>
        </is>
      </c>
      <c r="CP29" t="inlineStr">
        <is>
          <t>X</t>
        </is>
      </c>
      <c r="CY29" t="inlineStr">
        <is>
          <t>X</t>
        </is>
      </c>
    </row>
    <row r="30">
      <c r="A30" t="inlineStr">
        <is>
          <t>OH0026407822</t>
        </is>
      </c>
      <c r="B30" t="n">
        <v>78</v>
      </c>
      <c r="C30" t="n">
        <v>461691</v>
      </c>
      <c r="D30" t="inlineStr">
        <is>
          <t>SIMMONS</t>
        </is>
      </c>
      <c r="E30" t="inlineStr">
        <is>
          <t>TRISTEN</t>
        </is>
      </c>
      <c r="F30">
        <f>CONCATENATE(D30," ",LEFT(H30,4),"T=",AU30,"D=",AV30,"R=",AW30,"M=",AX30,"L=",AY30,"B=",AZ30)</f>
        <v/>
      </c>
      <c r="G30" t="inlineStr">
        <is>
          <t>CHARLES</t>
        </is>
      </c>
      <c r="I30" t="inlineStr">
        <is>
          <t>2002-02-02</t>
        </is>
      </c>
      <c r="J30" t="inlineStr">
        <is>
          <t>2022-01-08</t>
        </is>
      </c>
      <c r="K30" t="inlineStr">
        <is>
          <t>ACTIVE</t>
        </is>
      </c>
      <c r="M30" t="inlineStr">
        <is>
          <t>760 OAK KNOLL AVE SE</t>
        </is>
      </c>
      <c r="N30">
        <f>RIGHT(M30,LEN(M30)-FIND(" ",M30))</f>
        <v/>
      </c>
      <c r="P30" t="inlineStr">
        <is>
          <t>WARREN</t>
        </is>
      </c>
      <c r="Q30" t="inlineStr">
        <is>
          <t>OH</t>
        </is>
      </c>
      <c r="R30" t="n">
        <v>44484</v>
      </c>
      <c r="AD30" t="inlineStr">
        <is>
          <t>TRUMBULL CAREER &amp; TECH CENTER</t>
        </is>
      </c>
      <c r="AE30" t="inlineStr">
        <is>
          <t>WARREN CITY</t>
        </is>
      </c>
      <c r="AF30" t="inlineStr">
        <is>
          <t>WARREN CITY SD</t>
        </is>
      </c>
      <c r="AH30" t="n">
        <v>14</v>
      </c>
      <c r="AI30" t="n">
        <v>11</v>
      </c>
      <c r="AN30" t="inlineStr">
        <is>
          <t>WARREN</t>
        </is>
      </c>
      <c r="AO30" t="inlineStr">
        <is>
          <t>WARREN CITY 4A</t>
        </is>
      </c>
      <c r="AP30" t="inlineStr">
        <is>
          <t>78-P-ADI</t>
        </is>
      </c>
      <c r="AQ30" t="n">
        <v>9</v>
      </c>
      <c r="AR30" t="n">
        <v>64</v>
      </c>
      <c r="AS30" t="n">
        <v>32</v>
      </c>
      <c r="AU30">
        <f>COUNTA($BA$30:$EH$30)</f>
        <v/>
      </c>
      <c r="AV30">
        <f>COUNTIF($BA$30:$EH$30,"D")</f>
        <v/>
      </c>
      <c r="AW30">
        <f>COUNTIF($BA$30:$EH$30,"R")</f>
        <v/>
      </c>
      <c r="AX30">
        <f>IF(BN30="D",1,0)+IF(BO30="D",1,0)+IF(BT30="D",1,0)+IF(BU30="D",1,0)+IF(BW30="D",1,0)+IF(CC30="D",1,0)+IF(CD30="D",1,0)+IF(CE30="D",1,0)+IF(CF30="D",1,0)+IF(CL30="D",1,0)+IF(CM30="D",1,0)+IF(CQ30="D",1,0)+IF(CR30="D",1,0)+IF(CS30="D",1,0)+IF(CW30="D",1,0)+IF(CX30="D",1,0)+IF(DD30="D",1,0)+IF(DE30="D",1,0)+IF(DJ30="D",1,0)+IF(DK30="D",1,0)+IF(DO30="D",1,0)+IF(DP30="D",1,0)+IF(DQ30="D",1,0)+IF(DW30="D",1,0)+IF(DZ30="D",1,0)+IF(EH30="D",1,0)</f>
        <v/>
      </c>
      <c r="AY30">
        <f>IF(DJ30&lt;&gt;"",1,0)+IF(DK30&lt;&gt;"",1,0)+IF(DM30&lt;&gt;"",1,0)+IF(DO30&lt;&gt;"",1,0)+IF(DP30&lt;&gt;"",1,0)+IF(DQ30&lt;&gt;"",1,0)+IF(DS30&lt;&gt;"",1,0)+IF(DT30&lt;&gt;"",1,0)+IF(DV30&lt;&gt;"",1,0)+IF(DW30&lt;&gt;"",1,0)+IF(DX30&lt;&gt;"",1,0)+IF(DY30&lt;&gt;"",1,0)+IF(DZ30&lt;&gt;"",1,0)+IF(EB30&lt;&gt;"",1,0)+IF(EC30&lt;&gt;"",1,0)+IF(ED30&lt;&gt;"",1,0)+IF(EG30&lt;&gt;"",1,0)+IF(EH30&lt;&gt;"",1,0)</f>
        <v/>
      </c>
      <c r="AZ30">
        <f>IF(EH30&lt;&gt;"",1,0)</f>
        <v/>
      </c>
      <c r="BB30" t="inlineStr">
        <is>
          <t>WARREN-WARD 4</t>
        </is>
      </c>
    </row>
    <row r="31">
      <c r="A31" t="inlineStr">
        <is>
          <t>OH0027952103</t>
        </is>
      </c>
      <c r="B31" t="n">
        <v>78</v>
      </c>
      <c r="C31" t="n">
        <v>496090</v>
      </c>
      <c r="D31" t="inlineStr">
        <is>
          <t>HOWLEY</t>
        </is>
      </c>
      <c r="E31" t="inlineStr">
        <is>
          <t>TARA</t>
        </is>
      </c>
      <c r="F31">
        <f>CONCATENATE(D31," ",LEFT(H31,4),"T=",AU31,"D=",AV31,"R=",AW31,"M=",AX31,"L=",AY31,"B=",AZ31)</f>
        <v/>
      </c>
      <c r="G31" t="inlineStr">
        <is>
          <t>LEE</t>
        </is>
      </c>
      <c r="I31" t="inlineStr">
        <is>
          <t>1987-05-16</t>
        </is>
      </c>
      <c r="J31" t="inlineStr">
        <is>
          <t>2025-05-16</t>
        </is>
      </c>
      <c r="K31" t="inlineStr">
        <is>
          <t>ACTIVE</t>
        </is>
      </c>
      <c r="M31" t="inlineStr">
        <is>
          <t>1252 E MARKET ST</t>
        </is>
      </c>
      <c r="N31">
        <f>RIGHT(M31,LEN(M31)-FIND(" ",M31))</f>
        <v/>
      </c>
      <c r="P31" t="inlineStr">
        <is>
          <t>WARREN</t>
        </is>
      </c>
      <c r="Q31" t="inlineStr">
        <is>
          <t>OH</t>
        </is>
      </c>
      <c r="R31" t="n">
        <v>44483</v>
      </c>
      <c r="AD31" t="inlineStr">
        <is>
          <t>TRUMBULL CAREER &amp; TECH CENTER</t>
        </is>
      </c>
      <c r="AE31" t="inlineStr">
        <is>
          <t>WARREN CITY</t>
        </is>
      </c>
      <c r="AF31" t="inlineStr">
        <is>
          <t>WARREN CITY SD</t>
        </is>
      </c>
      <c r="AH31" t="n">
        <v>14</v>
      </c>
      <c r="AI31" t="n">
        <v>11</v>
      </c>
      <c r="AN31" t="inlineStr">
        <is>
          <t>WARREN</t>
        </is>
      </c>
      <c r="AO31" t="inlineStr">
        <is>
          <t>WARREN CITY 4A</t>
        </is>
      </c>
      <c r="AP31" t="inlineStr">
        <is>
          <t>78-P-ADI</t>
        </is>
      </c>
      <c r="AQ31" t="n">
        <v>9</v>
      </c>
      <c r="AR31" t="n">
        <v>64</v>
      </c>
      <c r="AS31" t="n">
        <v>32</v>
      </c>
      <c r="AU31">
        <f>COUNTA($BA$31:$EH$31)</f>
        <v/>
      </c>
      <c r="AV31">
        <f>COUNTIF($BA$31:$EH$31,"D")</f>
        <v/>
      </c>
      <c r="AW31">
        <f>COUNTIF($BA$31:$EH$31,"R")</f>
        <v/>
      </c>
      <c r="AX31">
        <f>IF(BN31="D",1,0)+IF(BO31="D",1,0)+IF(BT31="D",1,0)+IF(BU31="D",1,0)+IF(BW31="D",1,0)+IF(CC31="D",1,0)+IF(CD31="D",1,0)+IF(CE31="D",1,0)+IF(CF31="D",1,0)+IF(CL31="D",1,0)+IF(CM31="D",1,0)+IF(CQ31="D",1,0)+IF(CR31="D",1,0)+IF(CS31="D",1,0)+IF(CW31="D",1,0)+IF(CX31="D",1,0)+IF(DD31="D",1,0)+IF(DE31="D",1,0)+IF(DJ31="D",1,0)+IF(DK31="D",1,0)+IF(DO31="D",1,0)+IF(DP31="D",1,0)+IF(DQ31="D",1,0)+IF(DW31="D",1,0)+IF(DZ31="D",1,0)+IF(EH31="D",1,0)</f>
        <v/>
      </c>
      <c r="AY31">
        <f>IF(DJ31&lt;&gt;"",1,0)+IF(DK31&lt;&gt;"",1,0)+IF(DM31&lt;&gt;"",1,0)+IF(DO31&lt;&gt;"",1,0)+IF(DP31&lt;&gt;"",1,0)+IF(DQ31&lt;&gt;"",1,0)+IF(DS31&lt;&gt;"",1,0)+IF(DT31&lt;&gt;"",1,0)+IF(DV31&lt;&gt;"",1,0)+IF(DW31&lt;&gt;"",1,0)+IF(DX31&lt;&gt;"",1,0)+IF(DY31&lt;&gt;"",1,0)+IF(DZ31&lt;&gt;"",1,0)+IF(EB31&lt;&gt;"",1,0)+IF(EC31&lt;&gt;"",1,0)+IF(ED31&lt;&gt;"",1,0)+IF(EG31&lt;&gt;"",1,0)+IF(EH31&lt;&gt;"",1,0)</f>
        <v/>
      </c>
      <c r="AZ31">
        <f>IF(EH31&lt;&gt;"",1,0)</f>
        <v/>
      </c>
      <c r="BB31" t="inlineStr">
        <is>
          <t>WARREN-WARD 4</t>
        </is>
      </c>
    </row>
    <row r="32">
      <c r="A32" t="inlineStr">
        <is>
          <t>OH0021015530</t>
        </is>
      </c>
      <c r="B32" t="n">
        <v>78</v>
      </c>
      <c r="C32" t="n">
        <v>373978</v>
      </c>
      <c r="D32" t="inlineStr">
        <is>
          <t>SIMPSON</t>
        </is>
      </c>
      <c r="E32" t="inlineStr">
        <is>
          <t>STEPHEN</t>
        </is>
      </c>
      <c r="F32">
        <f>CONCATENATE(D32," ",LEFT(H32,4),"T=",AU32,"D=",AV32,"R=",AW32,"M=",AX32,"L=",AY32,"B=",AZ32)</f>
        <v/>
      </c>
      <c r="G32" t="inlineStr">
        <is>
          <t>ANDREW</t>
        </is>
      </c>
      <c r="I32" t="inlineStr">
        <is>
          <t>1979-01-18</t>
        </is>
      </c>
      <c r="J32" t="inlineStr">
        <is>
          <t>2015-01-28</t>
        </is>
      </c>
      <c r="K32" t="inlineStr">
        <is>
          <t>CONFIRMATION</t>
        </is>
      </c>
      <c r="M32" t="inlineStr">
        <is>
          <t>1931 YOUNGSTOWN RD SE</t>
        </is>
      </c>
      <c r="N32">
        <f>RIGHT(M32,LEN(M32)-FIND(" ",M32))</f>
        <v/>
      </c>
      <c r="P32" t="inlineStr">
        <is>
          <t>WARREN</t>
        </is>
      </c>
      <c r="Q32" t="inlineStr">
        <is>
          <t>OH</t>
        </is>
      </c>
      <c r="R32" t="n">
        <v>44484</v>
      </c>
      <c r="AD32" t="inlineStr">
        <is>
          <t>TRUMBULL CAREER &amp; TECH CENTER</t>
        </is>
      </c>
      <c r="AE32" t="inlineStr">
        <is>
          <t>WARREN CITY</t>
        </is>
      </c>
      <c r="AF32" t="inlineStr">
        <is>
          <t>WARREN CITY SD</t>
        </is>
      </c>
      <c r="AH32" t="n">
        <v>14</v>
      </c>
      <c r="AI32" t="n">
        <v>11</v>
      </c>
      <c r="AN32" t="inlineStr">
        <is>
          <t>WARREN</t>
        </is>
      </c>
      <c r="AO32" t="inlineStr">
        <is>
          <t>WARREN CITY 4A</t>
        </is>
      </c>
      <c r="AP32" t="inlineStr">
        <is>
          <t>78-P-ADI</t>
        </is>
      </c>
      <c r="AQ32" t="n">
        <v>9</v>
      </c>
      <c r="AR32" t="n">
        <v>64</v>
      </c>
      <c r="AS32" t="n">
        <v>32</v>
      </c>
      <c r="AU32">
        <f>COUNTA($BA$32:$EH$32)</f>
        <v/>
      </c>
      <c r="AV32">
        <f>COUNTIF($BA$32:$EH$32,"D")</f>
        <v/>
      </c>
      <c r="AW32">
        <f>COUNTIF($BA$32:$EH$32,"R")</f>
        <v/>
      </c>
      <c r="AX32">
        <f>IF(BN32="D",1,0)+IF(BO32="D",1,0)+IF(BT32="D",1,0)+IF(BU32="D",1,0)+IF(BW32="D",1,0)+IF(CC32="D",1,0)+IF(CD32="D",1,0)+IF(CE32="D",1,0)+IF(CF32="D",1,0)+IF(CL32="D",1,0)+IF(CM32="D",1,0)+IF(CQ32="D",1,0)+IF(CR32="D",1,0)+IF(CS32="D",1,0)+IF(CW32="D",1,0)+IF(CX32="D",1,0)+IF(DD32="D",1,0)+IF(DE32="D",1,0)+IF(DJ32="D",1,0)+IF(DK32="D",1,0)+IF(DO32="D",1,0)+IF(DP32="D",1,0)+IF(DQ32="D",1,0)+IF(DW32="D",1,0)+IF(DZ32="D",1,0)+IF(EH32="D",1,0)</f>
        <v/>
      </c>
      <c r="AY32">
        <f>IF(DJ32&lt;&gt;"",1,0)+IF(DK32&lt;&gt;"",1,0)+IF(DM32&lt;&gt;"",1,0)+IF(DO32&lt;&gt;"",1,0)+IF(DP32&lt;&gt;"",1,0)+IF(DQ32&lt;&gt;"",1,0)+IF(DS32&lt;&gt;"",1,0)+IF(DT32&lt;&gt;"",1,0)+IF(DV32&lt;&gt;"",1,0)+IF(DW32&lt;&gt;"",1,0)+IF(DX32&lt;&gt;"",1,0)+IF(DY32&lt;&gt;"",1,0)+IF(DZ32&lt;&gt;"",1,0)+IF(EB32&lt;&gt;"",1,0)+IF(EC32&lt;&gt;"",1,0)+IF(ED32&lt;&gt;"",1,0)+IF(EG32&lt;&gt;"",1,0)+IF(EH32&lt;&gt;"",1,0)</f>
        <v/>
      </c>
      <c r="AZ32">
        <f>IF(EH32&lt;&gt;"",1,0)</f>
        <v/>
      </c>
      <c r="BB32" t="inlineStr">
        <is>
          <t>WARREN-WARD 4</t>
        </is>
      </c>
      <c r="CN32" t="inlineStr">
        <is>
          <t>X</t>
        </is>
      </c>
      <c r="CP32" t="inlineStr">
        <is>
          <t>X</t>
        </is>
      </c>
      <c r="CY32" t="inlineStr">
        <is>
          <t>X</t>
        </is>
      </c>
      <c r="CZ32" t="inlineStr">
        <is>
          <t>R</t>
        </is>
      </c>
      <c r="DC32" t="inlineStr">
        <is>
          <t>X</t>
        </is>
      </c>
      <c r="DN32" t="inlineStr">
        <is>
          <t>X</t>
        </is>
      </c>
    </row>
    <row r="33">
      <c r="A33" t="inlineStr">
        <is>
          <t>OH0026216791</t>
        </is>
      </c>
      <c r="B33" t="n">
        <v>78</v>
      </c>
      <c r="C33" t="n">
        <v>458502</v>
      </c>
      <c r="D33" t="inlineStr">
        <is>
          <t>PUTNAM</t>
        </is>
      </c>
      <c r="E33" t="inlineStr">
        <is>
          <t>RIA</t>
        </is>
      </c>
      <c r="F33">
        <f>CONCATENATE(D33," ",LEFT(H33,4),"T=",AU33,"D=",AV33,"R=",AW33,"M=",AX33,"L=",AY33,"B=",AZ33)</f>
        <v/>
      </c>
      <c r="G33" t="inlineStr">
        <is>
          <t>FELICE</t>
        </is>
      </c>
      <c r="I33" t="inlineStr">
        <is>
          <t>2000-11-02</t>
        </is>
      </c>
      <c r="J33" t="inlineStr">
        <is>
          <t>2021-01-06</t>
        </is>
      </c>
      <c r="K33" t="inlineStr">
        <is>
          <t>CONFIRMATION</t>
        </is>
      </c>
      <c r="M33" t="inlineStr">
        <is>
          <t>332 BONNIE BRAE AVE SE</t>
        </is>
      </c>
      <c r="N33">
        <f>RIGHT(M33,LEN(M33)-FIND(" ",M33))</f>
        <v/>
      </c>
      <c r="P33" t="inlineStr">
        <is>
          <t>WARREN</t>
        </is>
      </c>
      <c r="Q33" t="inlineStr">
        <is>
          <t>OH</t>
        </is>
      </c>
      <c r="R33" t="n">
        <v>44484</v>
      </c>
      <c r="AD33" t="inlineStr">
        <is>
          <t>TRUMBULL CAREER &amp; TECH CENTER</t>
        </is>
      </c>
      <c r="AE33" t="inlineStr">
        <is>
          <t>WARREN CITY</t>
        </is>
      </c>
      <c r="AF33" t="inlineStr">
        <is>
          <t>WARREN CITY SD</t>
        </is>
      </c>
      <c r="AH33" t="n">
        <v>14</v>
      </c>
      <c r="AI33" t="n">
        <v>11</v>
      </c>
      <c r="AN33" t="inlineStr">
        <is>
          <t>WARREN</t>
        </is>
      </c>
      <c r="AO33" t="inlineStr">
        <is>
          <t>WARREN CITY 4A</t>
        </is>
      </c>
      <c r="AP33" t="inlineStr">
        <is>
          <t>78-P-ADI</t>
        </is>
      </c>
      <c r="AQ33" t="n">
        <v>9</v>
      </c>
      <c r="AR33" t="n">
        <v>64</v>
      </c>
      <c r="AS33" t="n">
        <v>32</v>
      </c>
      <c r="AU33">
        <f>COUNTA($BA$33:$EH$33)</f>
        <v/>
      </c>
      <c r="AV33">
        <f>COUNTIF($BA$33:$EH$33,"D")</f>
        <v/>
      </c>
      <c r="AW33">
        <f>COUNTIF($BA$33:$EH$33,"R")</f>
        <v/>
      </c>
      <c r="AX33">
        <f>IF(BN33="D",1,0)+IF(BO33="D",1,0)+IF(BT33="D",1,0)+IF(BU33="D",1,0)+IF(BW33="D",1,0)+IF(CC33="D",1,0)+IF(CD33="D",1,0)+IF(CE33="D",1,0)+IF(CF33="D",1,0)+IF(CL33="D",1,0)+IF(CM33="D",1,0)+IF(CQ33="D",1,0)+IF(CR33="D",1,0)+IF(CS33="D",1,0)+IF(CW33="D",1,0)+IF(CX33="D",1,0)+IF(DD33="D",1,0)+IF(DE33="D",1,0)+IF(DJ33="D",1,0)+IF(DK33="D",1,0)+IF(DO33="D",1,0)+IF(DP33="D",1,0)+IF(DQ33="D",1,0)+IF(DW33="D",1,0)+IF(DZ33="D",1,0)+IF(EH33="D",1,0)</f>
        <v/>
      </c>
      <c r="AY33">
        <f>IF(DJ33&lt;&gt;"",1,0)+IF(DK33&lt;&gt;"",1,0)+IF(DM33&lt;&gt;"",1,0)+IF(DO33&lt;&gt;"",1,0)+IF(DP33&lt;&gt;"",1,0)+IF(DQ33&lt;&gt;"",1,0)+IF(DS33&lt;&gt;"",1,0)+IF(DT33&lt;&gt;"",1,0)+IF(DV33&lt;&gt;"",1,0)+IF(DW33&lt;&gt;"",1,0)+IF(DX33&lt;&gt;"",1,0)+IF(DY33&lt;&gt;"",1,0)+IF(DZ33&lt;&gt;"",1,0)+IF(EB33&lt;&gt;"",1,0)+IF(EC33&lt;&gt;"",1,0)+IF(ED33&lt;&gt;"",1,0)+IF(EG33&lt;&gt;"",1,0)+IF(EH33&lt;&gt;"",1,0)</f>
        <v/>
      </c>
      <c r="AZ33">
        <f>IF(EH33&lt;&gt;"",1,0)</f>
        <v/>
      </c>
      <c r="BB33" t="inlineStr">
        <is>
          <t>WARREN-WARD 4</t>
        </is>
      </c>
    </row>
    <row r="34">
      <c r="A34" t="inlineStr">
        <is>
          <t>OH0023152374</t>
        </is>
      </c>
      <c r="B34" t="n">
        <v>78</v>
      </c>
      <c r="C34" t="n">
        <v>407690</v>
      </c>
      <c r="D34" t="inlineStr">
        <is>
          <t>THOMAS</t>
        </is>
      </c>
      <c r="E34" t="inlineStr">
        <is>
          <t>LAMONT</t>
        </is>
      </c>
      <c r="F34">
        <f>CONCATENATE(D34," ",LEFT(H34,4),"T=",AU34,"D=",AV34,"R=",AW34,"M=",AX34,"L=",AY34,"B=",AZ34)</f>
        <v/>
      </c>
      <c r="G34" t="inlineStr">
        <is>
          <t>RASHAD</t>
        </is>
      </c>
      <c r="I34" t="inlineStr">
        <is>
          <t>1996-01-02</t>
        </is>
      </c>
      <c r="J34" t="inlineStr">
        <is>
          <t>2015-08-24</t>
        </is>
      </c>
      <c r="K34" t="inlineStr">
        <is>
          <t>CONFIRMATION</t>
        </is>
      </c>
      <c r="M34" t="inlineStr">
        <is>
          <t>810 WOODBINE AVE SE</t>
        </is>
      </c>
      <c r="N34">
        <f>RIGHT(M34,LEN(M34)-FIND(" ",M34))</f>
        <v/>
      </c>
      <c r="P34" t="inlineStr">
        <is>
          <t>WARREN</t>
        </is>
      </c>
      <c r="Q34" t="inlineStr">
        <is>
          <t>OH</t>
        </is>
      </c>
      <c r="R34" t="n">
        <v>44484</v>
      </c>
      <c r="AD34" t="inlineStr">
        <is>
          <t>TRUMBULL CAREER &amp; TECH CENTER</t>
        </is>
      </c>
      <c r="AE34" t="inlineStr">
        <is>
          <t>WARREN CITY</t>
        </is>
      </c>
      <c r="AF34" t="inlineStr">
        <is>
          <t>WARREN CITY SD</t>
        </is>
      </c>
      <c r="AH34" t="n">
        <v>14</v>
      </c>
      <c r="AI34" t="n">
        <v>11</v>
      </c>
      <c r="AN34" t="inlineStr">
        <is>
          <t>WARREN</t>
        </is>
      </c>
      <c r="AO34" t="inlineStr">
        <is>
          <t>WARREN CITY 4A</t>
        </is>
      </c>
      <c r="AP34" t="inlineStr">
        <is>
          <t>78-P-ADI</t>
        </is>
      </c>
      <c r="AQ34" t="n">
        <v>9</v>
      </c>
      <c r="AR34" t="n">
        <v>64</v>
      </c>
      <c r="AS34" t="n">
        <v>32</v>
      </c>
      <c r="AU34">
        <f>COUNTA($BA$34:$EH$34)</f>
        <v/>
      </c>
      <c r="AV34">
        <f>COUNTIF($BA$34:$EH$34,"D")</f>
        <v/>
      </c>
      <c r="AW34">
        <f>COUNTIF($BA$34:$EH$34,"R")</f>
        <v/>
      </c>
      <c r="AX34">
        <f>IF(BN34="D",1,0)+IF(BO34="D",1,0)+IF(BT34="D",1,0)+IF(BU34="D",1,0)+IF(BW34="D",1,0)+IF(CC34="D",1,0)+IF(CD34="D",1,0)+IF(CE34="D",1,0)+IF(CF34="D",1,0)+IF(CL34="D",1,0)+IF(CM34="D",1,0)+IF(CQ34="D",1,0)+IF(CR34="D",1,0)+IF(CS34="D",1,0)+IF(CW34="D",1,0)+IF(CX34="D",1,0)+IF(DD34="D",1,0)+IF(DE34="D",1,0)+IF(DJ34="D",1,0)+IF(DK34="D",1,0)+IF(DO34="D",1,0)+IF(DP34="D",1,0)+IF(DQ34="D",1,0)+IF(DW34="D",1,0)+IF(DZ34="D",1,0)+IF(EH34="D",1,0)</f>
        <v/>
      </c>
      <c r="AY34">
        <f>IF(DJ34&lt;&gt;"",1,0)+IF(DK34&lt;&gt;"",1,0)+IF(DM34&lt;&gt;"",1,0)+IF(DO34&lt;&gt;"",1,0)+IF(DP34&lt;&gt;"",1,0)+IF(DQ34&lt;&gt;"",1,0)+IF(DS34&lt;&gt;"",1,0)+IF(DT34&lt;&gt;"",1,0)+IF(DV34&lt;&gt;"",1,0)+IF(DW34&lt;&gt;"",1,0)+IF(DX34&lt;&gt;"",1,0)+IF(DY34&lt;&gt;"",1,0)+IF(DZ34&lt;&gt;"",1,0)+IF(EB34&lt;&gt;"",1,0)+IF(EC34&lt;&gt;"",1,0)+IF(ED34&lt;&gt;"",1,0)+IF(EG34&lt;&gt;"",1,0)+IF(EH34&lt;&gt;"",1,0)</f>
        <v/>
      </c>
      <c r="AZ34">
        <f>IF(EH34&lt;&gt;"",1,0)</f>
        <v/>
      </c>
      <c r="BB34" t="inlineStr">
        <is>
          <t>WARREN-WARD 4</t>
        </is>
      </c>
    </row>
    <row r="35">
      <c r="A35" t="inlineStr">
        <is>
          <t>OH0021658010</t>
        </is>
      </c>
      <c r="B35" t="n">
        <v>78</v>
      </c>
      <c r="C35" t="n">
        <v>384544</v>
      </c>
      <c r="D35" t="inlineStr">
        <is>
          <t>BROWN</t>
        </is>
      </c>
      <c r="E35" t="inlineStr">
        <is>
          <t>DAMETRUS</t>
        </is>
      </c>
      <c r="F35">
        <f>CONCATENATE(D35," ",LEFT(H35,4),"T=",AU35,"D=",AV35,"R=",AW35,"M=",AX35,"L=",AY35,"B=",AZ35)</f>
        <v/>
      </c>
      <c r="G35" t="inlineStr">
        <is>
          <t>E</t>
        </is>
      </c>
      <c r="I35" t="inlineStr">
        <is>
          <t>1980-10-23</t>
        </is>
      </c>
      <c r="J35" t="inlineStr">
        <is>
          <t>2025-04-23</t>
        </is>
      </c>
      <c r="K35" t="inlineStr">
        <is>
          <t>ACTIVE</t>
        </is>
      </c>
      <c r="M35" t="inlineStr">
        <is>
          <t>521 KENILWORTH AVE SE</t>
        </is>
      </c>
      <c r="N35">
        <f>RIGHT(M35,LEN(M35)-FIND(" ",M35))</f>
        <v/>
      </c>
      <c r="P35" t="inlineStr">
        <is>
          <t>WARREN</t>
        </is>
      </c>
      <c r="Q35" t="inlineStr">
        <is>
          <t>OH</t>
        </is>
      </c>
      <c r="R35" t="n">
        <v>44483</v>
      </c>
      <c r="AD35" t="inlineStr">
        <is>
          <t>TRUMBULL CAREER &amp; TECH CENTER</t>
        </is>
      </c>
      <c r="AE35" t="inlineStr">
        <is>
          <t>WARREN CITY</t>
        </is>
      </c>
      <c r="AF35" t="inlineStr">
        <is>
          <t>WARREN CITY SD</t>
        </is>
      </c>
      <c r="AH35" t="n">
        <v>14</v>
      </c>
      <c r="AI35" t="n">
        <v>11</v>
      </c>
      <c r="AN35" t="inlineStr">
        <is>
          <t>WARREN</t>
        </is>
      </c>
      <c r="AO35" t="inlineStr">
        <is>
          <t>WARREN CITY 4A</t>
        </is>
      </c>
      <c r="AP35" t="inlineStr">
        <is>
          <t>78-P-ADI</t>
        </is>
      </c>
      <c r="AQ35" t="n">
        <v>9</v>
      </c>
      <c r="AR35" t="n">
        <v>64</v>
      </c>
      <c r="AS35" t="n">
        <v>32</v>
      </c>
      <c r="AU35">
        <f>COUNTA($BA$35:$EH$35)</f>
        <v/>
      </c>
      <c r="AV35">
        <f>COUNTIF($BA$35:$EH$35,"D")</f>
        <v/>
      </c>
      <c r="AW35">
        <f>COUNTIF($BA$35:$EH$35,"R")</f>
        <v/>
      </c>
      <c r="AX35">
        <f>IF(BN35="D",1,0)+IF(BO35="D",1,0)+IF(BT35="D",1,0)+IF(BU35="D",1,0)+IF(BW35="D",1,0)+IF(CC35="D",1,0)+IF(CD35="D",1,0)+IF(CE35="D",1,0)+IF(CF35="D",1,0)+IF(CL35="D",1,0)+IF(CM35="D",1,0)+IF(CQ35="D",1,0)+IF(CR35="D",1,0)+IF(CS35="D",1,0)+IF(CW35="D",1,0)+IF(CX35="D",1,0)+IF(DD35="D",1,0)+IF(DE35="D",1,0)+IF(DJ35="D",1,0)+IF(DK35="D",1,0)+IF(DO35="D",1,0)+IF(DP35="D",1,0)+IF(DQ35="D",1,0)+IF(DW35="D",1,0)+IF(DZ35="D",1,0)+IF(EH35="D",1,0)</f>
        <v/>
      </c>
      <c r="AY35">
        <f>IF(DJ35&lt;&gt;"",1,0)+IF(DK35&lt;&gt;"",1,0)+IF(DM35&lt;&gt;"",1,0)+IF(DO35&lt;&gt;"",1,0)+IF(DP35&lt;&gt;"",1,0)+IF(DQ35&lt;&gt;"",1,0)+IF(DS35&lt;&gt;"",1,0)+IF(DT35&lt;&gt;"",1,0)+IF(DV35&lt;&gt;"",1,0)+IF(DW35&lt;&gt;"",1,0)+IF(DX35&lt;&gt;"",1,0)+IF(DY35&lt;&gt;"",1,0)+IF(DZ35&lt;&gt;"",1,0)+IF(EB35&lt;&gt;"",1,0)+IF(EC35&lt;&gt;"",1,0)+IF(ED35&lt;&gt;"",1,0)+IF(EG35&lt;&gt;"",1,0)+IF(EH35&lt;&gt;"",1,0)</f>
        <v/>
      </c>
      <c r="AZ35">
        <f>IF(EH35&lt;&gt;"",1,0)</f>
        <v/>
      </c>
      <c r="BB35" t="inlineStr">
        <is>
          <t>WARREN-WARD 4</t>
        </is>
      </c>
      <c r="DC35" t="inlineStr">
        <is>
          <t>X</t>
        </is>
      </c>
      <c r="DI35" t="inlineStr">
        <is>
          <t>X</t>
        </is>
      </c>
      <c r="DN35" t="inlineStr">
        <is>
          <t>X</t>
        </is>
      </c>
    </row>
    <row r="36">
      <c r="A36" t="inlineStr">
        <is>
          <t>OH0027958455</t>
        </is>
      </c>
      <c r="B36" t="n">
        <v>78</v>
      </c>
      <c r="C36" t="n">
        <v>496285</v>
      </c>
      <c r="D36" t="inlineStr">
        <is>
          <t>SIMS</t>
        </is>
      </c>
      <c r="E36" t="inlineStr">
        <is>
          <t>CRAIG</t>
        </is>
      </c>
      <c r="F36">
        <f>CONCATENATE(D36," ",LEFT(H36,4),"T=",AU36,"D=",AV36,"R=",AW36,"M=",AX36,"L=",AY36,"B=",AZ36)</f>
        <v/>
      </c>
      <c r="G36" t="inlineStr">
        <is>
          <t>STEVEN</t>
        </is>
      </c>
      <c r="H36" t="inlineStr">
        <is>
          <t>SR</t>
        </is>
      </c>
      <c r="I36" t="inlineStr">
        <is>
          <t>1978-02-17</t>
        </is>
      </c>
      <c r="J36" t="inlineStr">
        <is>
          <t>2025-04-25</t>
        </is>
      </c>
      <c r="K36" t="inlineStr">
        <is>
          <t>ACTIVE</t>
        </is>
      </c>
      <c r="M36" t="inlineStr">
        <is>
          <t>1234 E MARKET ST</t>
        </is>
      </c>
      <c r="N36">
        <f>RIGHT(M36,LEN(M36)-FIND(" ",M36))</f>
        <v/>
      </c>
      <c r="P36" t="inlineStr">
        <is>
          <t>WARREN</t>
        </is>
      </c>
      <c r="Q36" t="inlineStr">
        <is>
          <t>OH</t>
        </is>
      </c>
      <c r="R36" t="n">
        <v>44483</v>
      </c>
      <c r="AD36" t="inlineStr">
        <is>
          <t>TRUMBULL CAREER &amp; TECH CENTER</t>
        </is>
      </c>
      <c r="AE36" t="inlineStr">
        <is>
          <t>WARREN CITY</t>
        </is>
      </c>
      <c r="AF36" t="inlineStr">
        <is>
          <t>WARREN CITY SD</t>
        </is>
      </c>
      <c r="AH36" t="n">
        <v>14</v>
      </c>
      <c r="AI36" t="n">
        <v>11</v>
      </c>
      <c r="AN36" t="inlineStr">
        <is>
          <t>WARREN</t>
        </is>
      </c>
      <c r="AO36" t="inlineStr">
        <is>
          <t>WARREN CITY 4A</t>
        </is>
      </c>
      <c r="AP36" t="inlineStr">
        <is>
          <t>78-P-ADI</t>
        </is>
      </c>
      <c r="AQ36" t="n">
        <v>9</v>
      </c>
      <c r="AR36" t="n">
        <v>64</v>
      </c>
      <c r="AS36" t="n">
        <v>32</v>
      </c>
      <c r="AU36">
        <f>COUNTA($BA$36:$EH$36)</f>
        <v/>
      </c>
      <c r="AV36">
        <f>COUNTIF($BA$36:$EH$36,"D")</f>
        <v/>
      </c>
      <c r="AW36">
        <f>COUNTIF($BA$36:$EH$36,"R")</f>
        <v/>
      </c>
      <c r="AX36">
        <f>IF(BN36="D",1,0)+IF(BO36="D",1,0)+IF(BT36="D",1,0)+IF(BU36="D",1,0)+IF(BW36="D",1,0)+IF(CC36="D",1,0)+IF(CD36="D",1,0)+IF(CE36="D",1,0)+IF(CF36="D",1,0)+IF(CL36="D",1,0)+IF(CM36="D",1,0)+IF(CQ36="D",1,0)+IF(CR36="D",1,0)+IF(CS36="D",1,0)+IF(CW36="D",1,0)+IF(CX36="D",1,0)+IF(DD36="D",1,0)+IF(DE36="D",1,0)+IF(DJ36="D",1,0)+IF(DK36="D",1,0)+IF(DO36="D",1,0)+IF(DP36="D",1,0)+IF(DQ36="D",1,0)+IF(DW36="D",1,0)+IF(DZ36="D",1,0)+IF(EH36="D",1,0)</f>
        <v/>
      </c>
      <c r="AY36">
        <f>IF(DJ36&lt;&gt;"",1,0)+IF(DK36&lt;&gt;"",1,0)+IF(DM36&lt;&gt;"",1,0)+IF(DO36&lt;&gt;"",1,0)+IF(DP36&lt;&gt;"",1,0)+IF(DQ36&lt;&gt;"",1,0)+IF(DS36&lt;&gt;"",1,0)+IF(DT36&lt;&gt;"",1,0)+IF(DV36&lt;&gt;"",1,0)+IF(DW36&lt;&gt;"",1,0)+IF(DX36&lt;&gt;"",1,0)+IF(DY36&lt;&gt;"",1,0)+IF(DZ36&lt;&gt;"",1,0)+IF(EB36&lt;&gt;"",1,0)+IF(EC36&lt;&gt;"",1,0)+IF(ED36&lt;&gt;"",1,0)+IF(EG36&lt;&gt;"",1,0)+IF(EH36&lt;&gt;"",1,0)</f>
        <v/>
      </c>
      <c r="AZ36">
        <f>IF(EH36&lt;&gt;"",1,0)</f>
        <v/>
      </c>
      <c r="BB36" t="inlineStr">
        <is>
          <t>WARREN-WARD 4</t>
        </is>
      </c>
      <c r="BY36" t="inlineStr">
        <is>
          <t>D</t>
        </is>
      </c>
      <c r="CA36" t="inlineStr">
        <is>
          <t>X</t>
        </is>
      </c>
    </row>
    <row r="37">
      <c r="A37" t="inlineStr">
        <is>
          <t>OH0015699800</t>
        </is>
      </c>
      <c r="B37" t="n">
        <v>78</v>
      </c>
      <c r="C37" t="n">
        <v>280784</v>
      </c>
      <c r="D37" t="inlineStr">
        <is>
          <t>DODGE</t>
        </is>
      </c>
      <c r="E37" t="inlineStr">
        <is>
          <t>JUDY</t>
        </is>
      </c>
      <c r="F37">
        <f>CONCATENATE(D37," ",LEFT(H37,4),"T=",AU37,"D=",AV37,"R=",AW37,"M=",AX37,"L=",AY37,"B=",AZ37)</f>
        <v/>
      </c>
      <c r="G37" t="inlineStr">
        <is>
          <t>A</t>
        </is>
      </c>
      <c r="I37" t="inlineStr">
        <is>
          <t>1972-01-04</t>
        </is>
      </c>
      <c r="J37" t="inlineStr">
        <is>
          <t>1998-01-29</t>
        </is>
      </c>
      <c r="K37" t="inlineStr">
        <is>
          <t>ACTIVE</t>
        </is>
      </c>
      <c r="L37" t="inlineStr">
        <is>
          <t>D</t>
        </is>
      </c>
      <c r="M37" t="inlineStr">
        <is>
          <t>548 WOODBINE AVE SE</t>
        </is>
      </c>
      <c r="N37">
        <f>RIGHT(M37,LEN(M37)-FIND(" ",M37))</f>
        <v/>
      </c>
      <c r="P37" t="inlineStr">
        <is>
          <t>WARREN</t>
        </is>
      </c>
      <c r="Q37" t="inlineStr">
        <is>
          <t>OH</t>
        </is>
      </c>
      <c r="R37" t="n">
        <v>44483</v>
      </c>
      <c r="AD37" t="inlineStr">
        <is>
          <t>TRUMBULL CAREER &amp; TECH CENTER</t>
        </is>
      </c>
      <c r="AE37" t="inlineStr">
        <is>
          <t>WARREN CITY</t>
        </is>
      </c>
      <c r="AF37" t="inlineStr">
        <is>
          <t>WARREN CITY SD</t>
        </is>
      </c>
      <c r="AH37" t="n">
        <v>14</v>
      </c>
      <c r="AI37" t="n">
        <v>11</v>
      </c>
      <c r="AN37" t="inlineStr">
        <is>
          <t>WARREN</t>
        </is>
      </c>
      <c r="AO37" t="inlineStr">
        <is>
          <t>WARREN CITY 4A</t>
        </is>
      </c>
      <c r="AP37" t="inlineStr">
        <is>
          <t>78-P-ADI</t>
        </is>
      </c>
      <c r="AQ37" t="n">
        <v>9</v>
      </c>
      <c r="AR37" t="n">
        <v>64</v>
      </c>
      <c r="AS37" t="n">
        <v>32</v>
      </c>
      <c r="AU37">
        <f>COUNTA($BA$37:$EH$37)</f>
        <v/>
      </c>
      <c r="AV37">
        <f>COUNTIF($BA$37:$EH$37,"D")</f>
        <v/>
      </c>
      <c r="AW37">
        <f>COUNTIF($BA$37:$EH$37,"R")</f>
        <v/>
      </c>
      <c r="AX37">
        <f>IF(BN37="D",1,0)+IF(BO37="D",1,0)+IF(BT37="D",1,0)+IF(BU37="D",1,0)+IF(BW37="D",1,0)+IF(CC37="D",1,0)+IF(CD37="D",1,0)+IF(CE37="D",1,0)+IF(CF37="D",1,0)+IF(CL37="D",1,0)+IF(CM37="D",1,0)+IF(CQ37="D",1,0)+IF(CR37="D",1,0)+IF(CS37="D",1,0)+IF(CW37="D",1,0)+IF(CX37="D",1,0)+IF(DD37="D",1,0)+IF(DE37="D",1,0)+IF(DJ37="D",1,0)+IF(DK37="D",1,0)+IF(DO37="D",1,0)+IF(DP37="D",1,0)+IF(DQ37="D",1,0)+IF(DW37="D",1,0)+IF(DZ37="D",1,0)+IF(EH37="D",1,0)</f>
        <v/>
      </c>
      <c r="AY37">
        <f>IF(DJ37&lt;&gt;"",1,0)+IF(DK37&lt;&gt;"",1,0)+IF(DM37&lt;&gt;"",1,0)+IF(DO37&lt;&gt;"",1,0)+IF(DP37&lt;&gt;"",1,0)+IF(DQ37&lt;&gt;"",1,0)+IF(DS37&lt;&gt;"",1,0)+IF(DT37&lt;&gt;"",1,0)+IF(DV37&lt;&gt;"",1,0)+IF(DW37&lt;&gt;"",1,0)+IF(DX37&lt;&gt;"",1,0)+IF(DY37&lt;&gt;"",1,0)+IF(DZ37&lt;&gt;"",1,0)+IF(EB37&lt;&gt;"",1,0)+IF(EC37&lt;&gt;"",1,0)+IF(ED37&lt;&gt;"",1,0)+IF(EG37&lt;&gt;"",1,0)+IF(EH37&lt;&gt;"",1,0)</f>
        <v/>
      </c>
      <c r="AZ37">
        <f>IF(EH37&lt;&gt;"",1,0)</f>
        <v/>
      </c>
      <c r="BB37" t="inlineStr">
        <is>
          <t>WARREN-WARD 4</t>
        </is>
      </c>
      <c r="BJ37" t="inlineStr">
        <is>
          <t>X</t>
        </is>
      </c>
      <c r="BL37" t="inlineStr">
        <is>
          <t>X</t>
        </is>
      </c>
      <c r="BP37" t="inlineStr">
        <is>
          <t>X</t>
        </is>
      </c>
      <c r="BR37" t="inlineStr">
        <is>
          <t>X</t>
        </is>
      </c>
      <c r="BS37" t="inlineStr">
        <is>
          <t>X</t>
        </is>
      </c>
      <c r="BY37" t="inlineStr">
        <is>
          <t>D</t>
        </is>
      </c>
      <c r="CA37" t="inlineStr">
        <is>
          <t>X</t>
        </is>
      </c>
      <c r="CH37" t="inlineStr">
        <is>
          <t>D</t>
        </is>
      </c>
      <c r="CL37" t="inlineStr">
        <is>
          <t>D</t>
        </is>
      </c>
      <c r="CN37" t="inlineStr">
        <is>
          <t>X</t>
        </is>
      </c>
      <c r="CO37" t="inlineStr">
        <is>
          <t>D</t>
        </is>
      </c>
      <c r="CP37" t="inlineStr">
        <is>
          <t>X</t>
        </is>
      </c>
      <c r="CT37" t="inlineStr">
        <is>
          <t>X</t>
        </is>
      </c>
      <c r="CV37" t="inlineStr">
        <is>
          <t>X</t>
        </is>
      </c>
      <c r="CY37" t="inlineStr">
        <is>
          <t>X</t>
        </is>
      </c>
      <c r="CZ37" t="inlineStr">
        <is>
          <t>D</t>
        </is>
      </c>
      <c r="DC37" t="inlineStr">
        <is>
          <t>X</t>
        </is>
      </c>
      <c r="DI37" t="inlineStr">
        <is>
          <t>X</t>
        </is>
      </c>
      <c r="DL37" t="inlineStr">
        <is>
          <t>X</t>
        </is>
      </c>
      <c r="DM37" t="inlineStr">
        <is>
          <t>D</t>
        </is>
      </c>
      <c r="DN37" t="inlineStr">
        <is>
          <t>X</t>
        </is>
      </c>
      <c r="DU37" t="inlineStr">
        <is>
          <t>X</t>
        </is>
      </c>
      <c r="DW37" t="inlineStr">
        <is>
          <t>D</t>
        </is>
      </c>
      <c r="EA37" t="inlineStr">
        <is>
          <t>X</t>
        </is>
      </c>
      <c r="ED37" t="inlineStr">
        <is>
          <t>D</t>
        </is>
      </c>
      <c r="EF37" t="inlineStr">
        <is>
          <t>X</t>
        </is>
      </c>
    </row>
    <row r="38">
      <c r="A38" t="inlineStr">
        <is>
          <t>OH0015739483</t>
        </is>
      </c>
      <c r="B38" t="n">
        <v>78</v>
      </c>
      <c r="C38" t="n">
        <v>225622</v>
      </c>
      <c r="D38" t="inlineStr">
        <is>
          <t>PLACANICA</t>
        </is>
      </c>
      <c r="E38" t="inlineStr">
        <is>
          <t>RENEE</t>
        </is>
      </c>
      <c r="F38">
        <f>CONCATENATE(D38," ",LEFT(H38,4),"T=",AU38,"D=",AV38,"R=",AW38,"M=",AX38,"L=",AY38,"B=",AZ38)</f>
        <v/>
      </c>
      <c r="G38" t="inlineStr">
        <is>
          <t>M</t>
        </is>
      </c>
      <c r="I38" t="inlineStr">
        <is>
          <t>1964-06-02</t>
        </is>
      </c>
      <c r="J38" t="inlineStr">
        <is>
          <t>2025-03-02</t>
        </is>
      </c>
      <c r="K38" t="inlineStr">
        <is>
          <t>ACTIVE</t>
        </is>
      </c>
      <c r="L38" t="inlineStr">
        <is>
          <t>D</t>
        </is>
      </c>
      <c r="M38" t="inlineStr">
        <is>
          <t>741 WOODBINE AVE SE</t>
        </is>
      </c>
      <c r="N38">
        <f>RIGHT(M38,LEN(M38)-FIND(" ",M38))</f>
        <v/>
      </c>
      <c r="P38" t="inlineStr">
        <is>
          <t>WARREN</t>
        </is>
      </c>
      <c r="Q38" t="inlineStr">
        <is>
          <t>OH</t>
        </is>
      </c>
      <c r="R38" t="n">
        <v>44484</v>
      </c>
      <c r="AD38" t="inlineStr">
        <is>
          <t>TRUMBULL CAREER &amp; TECH CENTER</t>
        </is>
      </c>
      <c r="AE38" t="inlineStr">
        <is>
          <t>WARREN CITY</t>
        </is>
      </c>
      <c r="AF38" t="inlineStr">
        <is>
          <t>WARREN CITY SD</t>
        </is>
      </c>
      <c r="AH38" t="n">
        <v>14</v>
      </c>
      <c r="AI38" t="n">
        <v>11</v>
      </c>
      <c r="AN38" t="inlineStr">
        <is>
          <t>WARREN</t>
        </is>
      </c>
      <c r="AO38" t="inlineStr">
        <is>
          <t>WARREN CITY 4A</t>
        </is>
      </c>
      <c r="AP38" t="inlineStr">
        <is>
          <t>78-P-ADI</t>
        </is>
      </c>
      <c r="AQ38" t="n">
        <v>9</v>
      </c>
      <c r="AR38" t="n">
        <v>64</v>
      </c>
      <c r="AS38" t="n">
        <v>32</v>
      </c>
      <c r="AU38">
        <f>COUNTA($BA$38:$EH$38)</f>
        <v/>
      </c>
      <c r="AV38">
        <f>COUNTIF($BA$38:$EH$38,"D")</f>
        <v/>
      </c>
      <c r="AW38">
        <f>COUNTIF($BA$38:$EH$38,"R")</f>
        <v/>
      </c>
      <c r="AX38">
        <f>IF(BN38="D",1,0)+IF(BO38="D",1,0)+IF(BT38="D",1,0)+IF(BU38="D",1,0)+IF(BW38="D",1,0)+IF(CC38="D",1,0)+IF(CD38="D",1,0)+IF(CE38="D",1,0)+IF(CF38="D",1,0)+IF(CL38="D",1,0)+IF(CM38="D",1,0)+IF(CQ38="D",1,0)+IF(CR38="D",1,0)+IF(CS38="D",1,0)+IF(CW38="D",1,0)+IF(CX38="D",1,0)+IF(DD38="D",1,0)+IF(DE38="D",1,0)+IF(DJ38="D",1,0)+IF(DK38="D",1,0)+IF(DO38="D",1,0)+IF(DP38="D",1,0)+IF(DQ38="D",1,0)+IF(DW38="D",1,0)+IF(DZ38="D",1,0)+IF(EH38="D",1,0)</f>
        <v/>
      </c>
      <c r="AY38">
        <f>IF(DJ38&lt;&gt;"",1,0)+IF(DK38&lt;&gt;"",1,0)+IF(DM38&lt;&gt;"",1,0)+IF(DO38&lt;&gt;"",1,0)+IF(DP38&lt;&gt;"",1,0)+IF(DQ38&lt;&gt;"",1,0)+IF(DS38&lt;&gt;"",1,0)+IF(DT38&lt;&gt;"",1,0)+IF(DV38&lt;&gt;"",1,0)+IF(DW38&lt;&gt;"",1,0)+IF(DX38&lt;&gt;"",1,0)+IF(DY38&lt;&gt;"",1,0)+IF(DZ38&lt;&gt;"",1,0)+IF(EB38&lt;&gt;"",1,0)+IF(EC38&lt;&gt;"",1,0)+IF(ED38&lt;&gt;"",1,0)+IF(EG38&lt;&gt;"",1,0)+IF(EH38&lt;&gt;"",1,0)</f>
        <v/>
      </c>
      <c r="AZ38">
        <f>IF(EH38&lt;&gt;"",1,0)</f>
        <v/>
      </c>
      <c r="BB38" t="inlineStr">
        <is>
          <t>WARREN-WARD 4</t>
        </is>
      </c>
      <c r="BK38" t="inlineStr">
        <is>
          <t>X</t>
        </is>
      </c>
      <c r="CA38" t="inlineStr">
        <is>
          <t>X</t>
        </is>
      </c>
      <c r="CV38" t="inlineStr">
        <is>
          <t>X</t>
        </is>
      </c>
      <c r="CW38" t="inlineStr">
        <is>
          <t>D</t>
        </is>
      </c>
      <c r="CY38" t="inlineStr">
        <is>
          <t>X</t>
        </is>
      </c>
      <c r="CZ38" t="inlineStr">
        <is>
          <t>D</t>
        </is>
      </c>
      <c r="DC38" t="inlineStr">
        <is>
          <t>X</t>
        </is>
      </c>
      <c r="DF38" t="inlineStr">
        <is>
          <t>X</t>
        </is>
      </c>
      <c r="DI38" t="inlineStr">
        <is>
          <t>X</t>
        </is>
      </c>
      <c r="DL38" t="inlineStr">
        <is>
          <t>X</t>
        </is>
      </c>
      <c r="DN38" t="inlineStr">
        <is>
          <t>X</t>
        </is>
      </c>
      <c r="DU38" t="inlineStr">
        <is>
          <t>X</t>
        </is>
      </c>
      <c r="DW38" t="inlineStr">
        <is>
          <t>D</t>
        </is>
      </c>
      <c r="DX38" t="inlineStr">
        <is>
          <t>X</t>
        </is>
      </c>
      <c r="EF38" t="inlineStr">
        <is>
          <t>X</t>
        </is>
      </c>
      <c r="EH38" t="inlineStr">
        <is>
          <t>D</t>
        </is>
      </c>
    </row>
    <row r="39">
      <c r="A39" t="inlineStr">
        <is>
          <t>OH0025375043</t>
        </is>
      </c>
      <c r="B39" t="n">
        <v>78</v>
      </c>
      <c r="C39" t="n">
        <v>443444</v>
      </c>
      <c r="D39" t="inlineStr">
        <is>
          <t>SPENCER</t>
        </is>
      </c>
      <c r="E39" t="inlineStr">
        <is>
          <t>JANISE</t>
        </is>
      </c>
      <c r="F39">
        <f>CONCATENATE(D39," ",LEFT(H39,4),"T=",AU39,"D=",AV39,"R=",AW39,"M=",AX39,"L=",AY39,"B=",AZ39)</f>
        <v/>
      </c>
      <c r="I39" t="inlineStr">
        <is>
          <t>2002-01-22</t>
        </is>
      </c>
      <c r="J39" t="inlineStr">
        <is>
          <t>2024-01-27</t>
        </is>
      </c>
      <c r="K39" t="inlineStr">
        <is>
          <t>ACTIVE</t>
        </is>
      </c>
      <c r="M39" t="inlineStr">
        <is>
          <t>725 LAIRD AVE SE</t>
        </is>
      </c>
      <c r="N39">
        <f>RIGHT(M39,LEN(M39)-FIND(" ",M39))</f>
        <v/>
      </c>
      <c r="P39" t="inlineStr">
        <is>
          <t>WARREN</t>
        </is>
      </c>
      <c r="Q39" t="inlineStr">
        <is>
          <t>OH</t>
        </is>
      </c>
      <c r="R39" t="n">
        <v>44484</v>
      </c>
      <c r="AD39" t="inlineStr">
        <is>
          <t>TRUMBULL CAREER &amp; TECH CENTER</t>
        </is>
      </c>
      <c r="AE39" t="inlineStr">
        <is>
          <t>WARREN CITY</t>
        </is>
      </c>
      <c r="AF39" t="inlineStr">
        <is>
          <t>WARREN CITY SD</t>
        </is>
      </c>
      <c r="AH39" t="n">
        <v>14</v>
      </c>
      <c r="AI39" t="n">
        <v>11</v>
      </c>
      <c r="AN39" t="inlineStr">
        <is>
          <t>WARREN</t>
        </is>
      </c>
      <c r="AO39" t="inlineStr">
        <is>
          <t>WARREN CITY 4A</t>
        </is>
      </c>
      <c r="AP39" t="inlineStr">
        <is>
          <t>78-P-ADI</t>
        </is>
      </c>
      <c r="AQ39" t="n">
        <v>9</v>
      </c>
      <c r="AR39" t="n">
        <v>64</v>
      </c>
      <c r="AS39" t="n">
        <v>32</v>
      </c>
      <c r="AU39">
        <f>COUNTA($BA$39:$EH$39)</f>
        <v/>
      </c>
      <c r="AV39">
        <f>COUNTIF($BA$39:$EH$39,"D")</f>
        <v/>
      </c>
      <c r="AW39">
        <f>COUNTIF($BA$39:$EH$39,"R")</f>
        <v/>
      </c>
      <c r="AX39">
        <f>IF(BN39="D",1,0)+IF(BO39="D",1,0)+IF(BT39="D",1,0)+IF(BU39="D",1,0)+IF(BW39="D",1,0)+IF(CC39="D",1,0)+IF(CD39="D",1,0)+IF(CE39="D",1,0)+IF(CF39="D",1,0)+IF(CL39="D",1,0)+IF(CM39="D",1,0)+IF(CQ39="D",1,0)+IF(CR39="D",1,0)+IF(CS39="D",1,0)+IF(CW39="D",1,0)+IF(CX39="D",1,0)+IF(DD39="D",1,0)+IF(DE39="D",1,0)+IF(DJ39="D",1,0)+IF(DK39="D",1,0)+IF(DO39="D",1,0)+IF(DP39="D",1,0)+IF(DQ39="D",1,0)+IF(DW39="D",1,0)+IF(DZ39="D",1,0)+IF(EH39="D",1,0)</f>
        <v/>
      </c>
      <c r="AY39">
        <f>IF(DJ39&lt;&gt;"",1,0)+IF(DK39&lt;&gt;"",1,0)+IF(DM39&lt;&gt;"",1,0)+IF(DO39&lt;&gt;"",1,0)+IF(DP39&lt;&gt;"",1,0)+IF(DQ39&lt;&gt;"",1,0)+IF(DS39&lt;&gt;"",1,0)+IF(DT39&lt;&gt;"",1,0)+IF(DV39&lt;&gt;"",1,0)+IF(DW39&lt;&gt;"",1,0)+IF(DX39&lt;&gt;"",1,0)+IF(DY39&lt;&gt;"",1,0)+IF(DZ39&lt;&gt;"",1,0)+IF(EB39&lt;&gt;"",1,0)+IF(EC39&lt;&gt;"",1,0)+IF(ED39&lt;&gt;"",1,0)+IF(EG39&lt;&gt;"",1,0)+IF(EH39&lt;&gt;"",1,0)</f>
        <v/>
      </c>
      <c r="AZ39">
        <f>IF(EH39&lt;&gt;"",1,0)</f>
        <v/>
      </c>
      <c r="BB39" t="inlineStr">
        <is>
          <t>WARREN-WARD 4</t>
        </is>
      </c>
      <c r="DM39" t="inlineStr">
        <is>
          <t>D</t>
        </is>
      </c>
    </row>
    <row r="40">
      <c r="A40" t="inlineStr">
        <is>
          <t>OH0027313991</t>
        </is>
      </c>
      <c r="B40" t="n">
        <v>78</v>
      </c>
      <c r="C40" t="n">
        <v>484636</v>
      </c>
      <c r="D40" t="inlineStr">
        <is>
          <t>WILLIAMS</t>
        </is>
      </c>
      <c r="E40" t="inlineStr">
        <is>
          <t>AILENE</t>
        </is>
      </c>
      <c r="F40">
        <f>CONCATENATE(D40," ",LEFT(H40,4),"T=",AU40,"D=",AV40,"R=",AW40,"M=",AX40,"L=",AY40,"B=",AZ40)</f>
        <v/>
      </c>
      <c r="G40" t="inlineStr">
        <is>
          <t>R</t>
        </is>
      </c>
      <c r="I40" t="inlineStr">
        <is>
          <t>1956-05-27</t>
        </is>
      </c>
      <c r="J40" t="inlineStr">
        <is>
          <t>2024-04-17</t>
        </is>
      </c>
      <c r="K40" t="inlineStr">
        <is>
          <t>ACTIVE</t>
        </is>
      </c>
      <c r="M40" t="inlineStr">
        <is>
          <t>1262 SOUTH ST SE</t>
        </is>
      </c>
      <c r="N40">
        <f>RIGHT(M40,LEN(M40)-FIND(" ",M40))</f>
        <v/>
      </c>
      <c r="P40" t="inlineStr">
        <is>
          <t>WARREN</t>
        </is>
      </c>
      <c r="Q40" t="inlineStr">
        <is>
          <t>OH</t>
        </is>
      </c>
      <c r="R40" t="n">
        <v>44483</v>
      </c>
      <c r="AD40" t="inlineStr">
        <is>
          <t>TRUMBULL CAREER &amp; TECH CENTER</t>
        </is>
      </c>
      <c r="AE40" t="inlineStr">
        <is>
          <t>WARREN CITY</t>
        </is>
      </c>
      <c r="AF40" t="inlineStr">
        <is>
          <t>WARREN CITY SD</t>
        </is>
      </c>
      <c r="AH40" t="n">
        <v>14</v>
      </c>
      <c r="AI40" t="n">
        <v>11</v>
      </c>
      <c r="AN40" t="inlineStr">
        <is>
          <t>WARREN</t>
        </is>
      </c>
      <c r="AO40" t="inlineStr">
        <is>
          <t>WARREN CITY 4A</t>
        </is>
      </c>
      <c r="AP40" t="inlineStr">
        <is>
          <t>78-P-ADI</t>
        </is>
      </c>
      <c r="AQ40" t="n">
        <v>9</v>
      </c>
      <c r="AR40" t="n">
        <v>64</v>
      </c>
      <c r="AS40" t="n">
        <v>32</v>
      </c>
      <c r="AU40">
        <f>COUNTA($BA$40:$EH$40)</f>
        <v/>
      </c>
      <c r="AV40">
        <f>COUNTIF($BA$40:$EH$40,"D")</f>
        <v/>
      </c>
      <c r="AW40">
        <f>COUNTIF($BA$40:$EH$40,"R")</f>
        <v/>
      </c>
      <c r="AX40">
        <f>IF(BN40="D",1,0)+IF(BO40="D",1,0)+IF(BT40="D",1,0)+IF(BU40="D",1,0)+IF(BW40="D",1,0)+IF(CC40="D",1,0)+IF(CD40="D",1,0)+IF(CE40="D",1,0)+IF(CF40="D",1,0)+IF(CL40="D",1,0)+IF(CM40="D",1,0)+IF(CQ40="D",1,0)+IF(CR40="D",1,0)+IF(CS40="D",1,0)+IF(CW40="D",1,0)+IF(CX40="D",1,0)+IF(DD40="D",1,0)+IF(DE40="D",1,0)+IF(DJ40="D",1,0)+IF(DK40="D",1,0)+IF(DO40="D",1,0)+IF(DP40="D",1,0)+IF(DQ40="D",1,0)+IF(DW40="D",1,0)+IF(DZ40="D",1,0)+IF(EH40="D",1,0)</f>
        <v/>
      </c>
      <c r="AY40">
        <f>IF(DJ40&lt;&gt;"",1,0)+IF(DK40&lt;&gt;"",1,0)+IF(DM40&lt;&gt;"",1,0)+IF(DO40&lt;&gt;"",1,0)+IF(DP40&lt;&gt;"",1,0)+IF(DQ40&lt;&gt;"",1,0)+IF(DS40&lt;&gt;"",1,0)+IF(DT40&lt;&gt;"",1,0)+IF(DV40&lt;&gt;"",1,0)+IF(DW40&lt;&gt;"",1,0)+IF(DX40&lt;&gt;"",1,0)+IF(DY40&lt;&gt;"",1,0)+IF(DZ40&lt;&gt;"",1,0)+IF(EB40&lt;&gt;"",1,0)+IF(EC40&lt;&gt;"",1,0)+IF(ED40&lt;&gt;"",1,0)+IF(EG40&lt;&gt;"",1,0)+IF(EH40&lt;&gt;"",1,0)</f>
        <v/>
      </c>
      <c r="AZ40">
        <f>IF(EH40&lt;&gt;"",1,0)</f>
        <v/>
      </c>
      <c r="BB40" t="inlineStr">
        <is>
          <t>WARREN-WARD 4</t>
        </is>
      </c>
      <c r="BS40" t="inlineStr">
        <is>
          <t>X</t>
        </is>
      </c>
      <c r="BY40" t="inlineStr">
        <is>
          <t>D</t>
        </is>
      </c>
      <c r="CA40" t="inlineStr">
        <is>
          <t>X</t>
        </is>
      </c>
      <c r="CP40" t="inlineStr">
        <is>
          <t>X</t>
        </is>
      </c>
      <c r="DC40" t="inlineStr">
        <is>
          <t>X</t>
        </is>
      </c>
      <c r="DN40" t="inlineStr">
        <is>
          <t>X</t>
        </is>
      </c>
      <c r="EF40" t="inlineStr">
        <is>
          <t>X</t>
        </is>
      </c>
    </row>
    <row r="41">
      <c r="A41" t="inlineStr">
        <is>
          <t>OH0021703395</t>
        </is>
      </c>
      <c r="B41" t="n">
        <v>78</v>
      </c>
      <c r="C41" t="n">
        <v>385865</v>
      </c>
      <c r="D41" t="inlineStr">
        <is>
          <t>DURR</t>
        </is>
      </c>
      <c r="E41" t="inlineStr">
        <is>
          <t>OLIVIA</t>
        </is>
      </c>
      <c r="F41">
        <f>CONCATENATE(D41," ",LEFT(H41,4),"T=",AU41,"D=",AV41,"R=",AW41,"M=",AX41,"L=",AY41,"B=",AZ41)</f>
        <v/>
      </c>
      <c r="G41" t="inlineStr">
        <is>
          <t>G</t>
        </is>
      </c>
      <c r="I41" t="inlineStr">
        <is>
          <t>1993-12-28</t>
        </is>
      </c>
      <c r="J41" t="inlineStr">
        <is>
          <t>2020-08-24</t>
        </is>
      </c>
      <c r="K41" t="inlineStr">
        <is>
          <t>CONFIRMATION</t>
        </is>
      </c>
      <c r="M41" t="inlineStr">
        <is>
          <t>815 KENILWORTH AVE SE</t>
        </is>
      </c>
      <c r="N41">
        <f>RIGHT(M41,LEN(M41)-FIND(" ",M41))</f>
        <v/>
      </c>
      <c r="P41" t="inlineStr">
        <is>
          <t>WARREN</t>
        </is>
      </c>
      <c r="Q41" t="inlineStr">
        <is>
          <t>OH</t>
        </is>
      </c>
      <c r="R41" t="n">
        <v>44484</v>
      </c>
      <c r="AD41" t="inlineStr">
        <is>
          <t>TRUMBULL CAREER &amp; TECH CENTER</t>
        </is>
      </c>
      <c r="AE41" t="inlineStr">
        <is>
          <t>WARREN CITY</t>
        </is>
      </c>
      <c r="AF41" t="inlineStr">
        <is>
          <t>WARREN CITY SD</t>
        </is>
      </c>
      <c r="AH41" t="n">
        <v>14</v>
      </c>
      <c r="AI41" t="n">
        <v>11</v>
      </c>
      <c r="AN41" t="inlineStr">
        <is>
          <t>WARREN</t>
        </is>
      </c>
      <c r="AO41" t="inlineStr">
        <is>
          <t>WARREN CITY 4A</t>
        </is>
      </c>
      <c r="AP41" t="inlineStr">
        <is>
          <t>78-P-ADI</t>
        </is>
      </c>
      <c r="AQ41" t="n">
        <v>9</v>
      </c>
      <c r="AR41" t="n">
        <v>64</v>
      </c>
      <c r="AS41" t="n">
        <v>32</v>
      </c>
      <c r="AU41">
        <f>COUNTA($BA$41:$EH$41)</f>
        <v/>
      </c>
      <c r="AV41">
        <f>COUNTIF($BA$41:$EH$41,"D")</f>
        <v/>
      </c>
      <c r="AW41">
        <f>COUNTIF($BA$41:$EH$41,"R")</f>
        <v/>
      </c>
      <c r="AX41">
        <f>IF(BN41="D",1,0)+IF(BO41="D",1,0)+IF(BT41="D",1,0)+IF(BU41="D",1,0)+IF(BW41="D",1,0)+IF(CC41="D",1,0)+IF(CD41="D",1,0)+IF(CE41="D",1,0)+IF(CF41="D",1,0)+IF(CL41="D",1,0)+IF(CM41="D",1,0)+IF(CQ41="D",1,0)+IF(CR41="D",1,0)+IF(CS41="D",1,0)+IF(CW41="D",1,0)+IF(CX41="D",1,0)+IF(DD41="D",1,0)+IF(DE41="D",1,0)+IF(DJ41="D",1,0)+IF(DK41="D",1,0)+IF(DO41="D",1,0)+IF(DP41="D",1,0)+IF(DQ41="D",1,0)+IF(DW41="D",1,0)+IF(DZ41="D",1,0)+IF(EH41="D",1,0)</f>
        <v/>
      </c>
      <c r="AY41">
        <f>IF(DJ41&lt;&gt;"",1,0)+IF(DK41&lt;&gt;"",1,0)+IF(DM41&lt;&gt;"",1,0)+IF(DO41&lt;&gt;"",1,0)+IF(DP41&lt;&gt;"",1,0)+IF(DQ41&lt;&gt;"",1,0)+IF(DS41&lt;&gt;"",1,0)+IF(DT41&lt;&gt;"",1,0)+IF(DV41&lt;&gt;"",1,0)+IF(DW41&lt;&gt;"",1,0)+IF(DX41&lt;&gt;"",1,0)+IF(DY41&lt;&gt;"",1,0)+IF(DZ41&lt;&gt;"",1,0)+IF(EB41&lt;&gt;"",1,0)+IF(EC41&lt;&gt;"",1,0)+IF(ED41&lt;&gt;"",1,0)+IF(EG41&lt;&gt;"",1,0)+IF(EH41&lt;&gt;"",1,0)</f>
        <v/>
      </c>
      <c r="AZ41">
        <f>IF(EH41&lt;&gt;"",1,0)</f>
        <v/>
      </c>
      <c r="BB41" t="inlineStr">
        <is>
          <t>WARREN-WARD 4</t>
        </is>
      </c>
    </row>
    <row r="42">
      <c r="A42" t="inlineStr">
        <is>
          <t>OH0015725563</t>
        </is>
      </c>
      <c r="B42" t="n">
        <v>78</v>
      </c>
      <c r="C42" t="n">
        <v>209784</v>
      </c>
      <c r="D42" t="inlineStr">
        <is>
          <t>NORMAN</t>
        </is>
      </c>
      <c r="E42" t="inlineStr">
        <is>
          <t>WILLIAM</t>
        </is>
      </c>
      <c r="F42">
        <f>CONCATENATE(D42," ",LEFT(H42,4),"T=",AU42,"D=",AV42,"R=",AW42,"M=",AX42,"L=",AY42,"B=",AZ42)</f>
        <v/>
      </c>
      <c r="I42" t="inlineStr">
        <is>
          <t>1953-11-27</t>
        </is>
      </c>
      <c r="J42" t="inlineStr">
        <is>
          <t>1988-10-08</t>
        </is>
      </c>
      <c r="K42" t="inlineStr">
        <is>
          <t>ACTIVE</t>
        </is>
      </c>
      <c r="L42" t="inlineStr">
        <is>
          <t>R</t>
        </is>
      </c>
      <c r="M42" t="inlineStr">
        <is>
          <t>801 WOODBINE AVE SE</t>
        </is>
      </c>
      <c r="N42">
        <f>RIGHT(M42,LEN(M42)-FIND(" ",M42))</f>
        <v/>
      </c>
      <c r="P42" t="inlineStr">
        <is>
          <t>WARREN</t>
        </is>
      </c>
      <c r="Q42" t="inlineStr">
        <is>
          <t>OH</t>
        </is>
      </c>
      <c r="R42" t="n">
        <v>44484</v>
      </c>
      <c r="AD42" t="inlineStr">
        <is>
          <t>TRUMBULL CAREER &amp; TECH CENTER</t>
        </is>
      </c>
      <c r="AE42" t="inlineStr">
        <is>
          <t>WARREN CITY</t>
        </is>
      </c>
      <c r="AF42" t="inlineStr">
        <is>
          <t>WARREN CITY SD</t>
        </is>
      </c>
      <c r="AH42" t="n">
        <v>14</v>
      </c>
      <c r="AI42" t="n">
        <v>11</v>
      </c>
      <c r="AN42" t="inlineStr">
        <is>
          <t>WARREN</t>
        </is>
      </c>
      <c r="AO42" t="inlineStr">
        <is>
          <t>WARREN CITY 4A</t>
        </is>
      </c>
      <c r="AP42" t="inlineStr">
        <is>
          <t>78-P-ADI</t>
        </is>
      </c>
      <c r="AQ42" t="n">
        <v>9</v>
      </c>
      <c r="AR42" t="n">
        <v>64</v>
      </c>
      <c r="AS42" t="n">
        <v>32</v>
      </c>
      <c r="AU42">
        <f>COUNTA($BA$42:$EH$42)</f>
        <v/>
      </c>
      <c r="AV42">
        <f>COUNTIF($BA$42:$EH$42,"D")</f>
        <v/>
      </c>
      <c r="AW42">
        <f>COUNTIF($BA$42:$EH$42,"R")</f>
        <v/>
      </c>
      <c r="AX42">
        <f>IF(BN42="D",1,0)+IF(BO42="D",1,0)+IF(BT42="D",1,0)+IF(BU42="D",1,0)+IF(BW42="D",1,0)+IF(CC42="D",1,0)+IF(CD42="D",1,0)+IF(CE42="D",1,0)+IF(CF42="D",1,0)+IF(CL42="D",1,0)+IF(CM42="D",1,0)+IF(CQ42="D",1,0)+IF(CR42="D",1,0)+IF(CS42="D",1,0)+IF(CW42="D",1,0)+IF(CX42="D",1,0)+IF(DD42="D",1,0)+IF(DE42="D",1,0)+IF(DJ42="D",1,0)+IF(DK42="D",1,0)+IF(DO42="D",1,0)+IF(DP42="D",1,0)+IF(DQ42="D",1,0)+IF(DW42="D",1,0)+IF(DZ42="D",1,0)+IF(EH42="D",1,0)</f>
        <v/>
      </c>
      <c r="AY42">
        <f>IF(DJ42&lt;&gt;"",1,0)+IF(DK42&lt;&gt;"",1,0)+IF(DM42&lt;&gt;"",1,0)+IF(DO42&lt;&gt;"",1,0)+IF(DP42&lt;&gt;"",1,0)+IF(DQ42&lt;&gt;"",1,0)+IF(DS42&lt;&gt;"",1,0)+IF(DT42&lt;&gt;"",1,0)+IF(DV42&lt;&gt;"",1,0)+IF(DW42&lt;&gt;"",1,0)+IF(DX42&lt;&gt;"",1,0)+IF(DY42&lt;&gt;"",1,0)+IF(DZ42&lt;&gt;"",1,0)+IF(EB42&lt;&gt;"",1,0)+IF(EC42&lt;&gt;"",1,0)+IF(ED42&lt;&gt;"",1,0)+IF(EG42&lt;&gt;"",1,0)+IF(EH42&lt;&gt;"",1,0)</f>
        <v/>
      </c>
      <c r="AZ42">
        <f>IF(EH42&lt;&gt;"",1,0)</f>
        <v/>
      </c>
      <c r="BB42" t="inlineStr">
        <is>
          <t>WARREN-WARD 4</t>
        </is>
      </c>
      <c r="BC42" t="inlineStr">
        <is>
          <t>X</t>
        </is>
      </c>
      <c r="BD42" t="inlineStr">
        <is>
          <t>X</t>
        </is>
      </c>
      <c r="BH42" t="inlineStr">
        <is>
          <t>X</t>
        </is>
      </c>
      <c r="BI42" t="inlineStr">
        <is>
          <t>X</t>
        </is>
      </c>
      <c r="BJ42" t="inlineStr">
        <is>
          <t>X</t>
        </is>
      </c>
      <c r="BL42" t="inlineStr">
        <is>
          <t>X</t>
        </is>
      </c>
      <c r="BP42" t="inlineStr">
        <is>
          <t>X</t>
        </is>
      </c>
      <c r="BR42" t="inlineStr">
        <is>
          <t>X</t>
        </is>
      </c>
      <c r="BS42" t="inlineStr">
        <is>
          <t>X</t>
        </is>
      </c>
      <c r="BV42" t="inlineStr">
        <is>
          <t>X</t>
        </is>
      </c>
      <c r="CA42" t="inlineStr">
        <is>
          <t>X</t>
        </is>
      </c>
      <c r="CK42" t="inlineStr">
        <is>
          <t>X</t>
        </is>
      </c>
      <c r="CL42" t="inlineStr">
        <is>
          <t>D</t>
        </is>
      </c>
      <c r="CN42" t="inlineStr">
        <is>
          <t>X</t>
        </is>
      </c>
      <c r="CP42" t="inlineStr">
        <is>
          <t>X</t>
        </is>
      </c>
      <c r="CT42" t="inlineStr">
        <is>
          <t>X</t>
        </is>
      </c>
      <c r="CV42" t="inlineStr">
        <is>
          <t>X</t>
        </is>
      </c>
      <c r="CY42" t="inlineStr">
        <is>
          <t>X</t>
        </is>
      </c>
      <c r="DI42" t="inlineStr">
        <is>
          <t>X</t>
        </is>
      </c>
      <c r="DN42" t="inlineStr">
        <is>
          <t>X</t>
        </is>
      </c>
      <c r="DR42" t="inlineStr">
        <is>
          <t>X</t>
        </is>
      </c>
      <c r="DU42" t="inlineStr">
        <is>
          <t>X</t>
        </is>
      </c>
      <c r="DX42" t="inlineStr">
        <is>
          <t>X</t>
        </is>
      </c>
      <c r="ED42" t="inlineStr">
        <is>
          <t>R</t>
        </is>
      </c>
      <c r="EF42" t="inlineStr">
        <is>
          <t>X</t>
        </is>
      </c>
    </row>
    <row r="43">
      <c r="A43" t="inlineStr">
        <is>
          <t>OH0015678249</t>
        </is>
      </c>
      <c r="B43" t="n">
        <v>78</v>
      </c>
      <c r="C43" t="n">
        <v>284635</v>
      </c>
      <c r="D43" t="inlineStr">
        <is>
          <t>MCLENNAN</t>
        </is>
      </c>
      <c r="E43" t="inlineStr">
        <is>
          <t>KATHERINE</t>
        </is>
      </c>
      <c r="F43">
        <f>CONCATENATE(D43," ",LEFT(H43,4),"T=",AU43,"D=",AV43,"R=",AW43,"M=",AX43,"L=",AY43,"B=",AZ43)</f>
        <v/>
      </c>
      <c r="I43" t="inlineStr">
        <is>
          <t>1980-11-02</t>
        </is>
      </c>
      <c r="J43" t="inlineStr">
        <is>
          <t>2017-11-29</t>
        </is>
      </c>
      <c r="K43" t="inlineStr">
        <is>
          <t>ACTIVE</t>
        </is>
      </c>
      <c r="M43" t="inlineStr">
        <is>
          <t>1050 SOUTH ST SE</t>
        </is>
      </c>
      <c r="N43">
        <f>RIGHT(M43,LEN(M43)-FIND(" ",M43))</f>
        <v/>
      </c>
      <c r="P43" t="inlineStr">
        <is>
          <t>WARREN</t>
        </is>
      </c>
      <c r="Q43" t="inlineStr">
        <is>
          <t>OH</t>
        </is>
      </c>
      <c r="R43" t="n">
        <v>44483</v>
      </c>
      <c r="AD43" t="inlineStr">
        <is>
          <t>TRUMBULL CAREER &amp; TECH CENTER</t>
        </is>
      </c>
      <c r="AE43" t="inlineStr">
        <is>
          <t>WARREN CITY</t>
        </is>
      </c>
      <c r="AF43" t="inlineStr">
        <is>
          <t>WARREN CITY SD</t>
        </is>
      </c>
      <c r="AH43" t="n">
        <v>14</v>
      </c>
      <c r="AI43" t="n">
        <v>11</v>
      </c>
      <c r="AN43" t="inlineStr">
        <is>
          <t>WARREN</t>
        </is>
      </c>
      <c r="AO43" t="inlineStr">
        <is>
          <t>WARREN CITY 4A</t>
        </is>
      </c>
      <c r="AP43" t="inlineStr">
        <is>
          <t>78-P-ADI</t>
        </is>
      </c>
      <c r="AQ43" t="n">
        <v>9</v>
      </c>
      <c r="AR43" t="n">
        <v>64</v>
      </c>
      <c r="AS43" t="n">
        <v>32</v>
      </c>
      <c r="AU43">
        <f>COUNTA($BA$43:$EH$43)</f>
        <v/>
      </c>
      <c r="AV43">
        <f>COUNTIF($BA$43:$EH$43,"D")</f>
        <v/>
      </c>
      <c r="AW43">
        <f>COUNTIF($BA$43:$EH$43,"R")</f>
        <v/>
      </c>
      <c r="AX43">
        <f>IF(BN43="D",1,0)+IF(BO43="D",1,0)+IF(BT43="D",1,0)+IF(BU43="D",1,0)+IF(BW43="D",1,0)+IF(CC43="D",1,0)+IF(CD43="D",1,0)+IF(CE43="D",1,0)+IF(CF43="D",1,0)+IF(CL43="D",1,0)+IF(CM43="D",1,0)+IF(CQ43="D",1,0)+IF(CR43="D",1,0)+IF(CS43="D",1,0)+IF(CW43="D",1,0)+IF(CX43="D",1,0)+IF(DD43="D",1,0)+IF(DE43="D",1,0)+IF(DJ43="D",1,0)+IF(DK43="D",1,0)+IF(DO43="D",1,0)+IF(DP43="D",1,0)+IF(DQ43="D",1,0)+IF(DW43="D",1,0)+IF(DZ43="D",1,0)+IF(EH43="D",1,0)</f>
        <v/>
      </c>
      <c r="AY43">
        <f>IF(DJ43&lt;&gt;"",1,0)+IF(DK43&lt;&gt;"",1,0)+IF(DM43&lt;&gt;"",1,0)+IF(DO43&lt;&gt;"",1,0)+IF(DP43&lt;&gt;"",1,0)+IF(DQ43&lt;&gt;"",1,0)+IF(DS43&lt;&gt;"",1,0)+IF(DT43&lt;&gt;"",1,0)+IF(DV43&lt;&gt;"",1,0)+IF(DW43&lt;&gt;"",1,0)+IF(DX43&lt;&gt;"",1,0)+IF(DY43&lt;&gt;"",1,0)+IF(DZ43&lt;&gt;"",1,0)+IF(EB43&lt;&gt;"",1,0)+IF(EC43&lt;&gt;"",1,0)+IF(ED43&lt;&gt;"",1,0)+IF(EG43&lt;&gt;"",1,0)+IF(EH43&lt;&gt;"",1,0)</f>
        <v/>
      </c>
      <c r="AZ43">
        <f>IF(EH43&lt;&gt;"",1,0)</f>
        <v/>
      </c>
      <c r="BB43" t="inlineStr">
        <is>
          <t>WARREN-WARD 4</t>
        </is>
      </c>
      <c r="BH43" t="inlineStr">
        <is>
          <t>X</t>
        </is>
      </c>
      <c r="BL43" t="inlineStr">
        <is>
          <t>X</t>
        </is>
      </c>
      <c r="BY43" t="inlineStr">
        <is>
          <t>D</t>
        </is>
      </c>
      <c r="CA43" t="inlineStr">
        <is>
          <t>X</t>
        </is>
      </c>
      <c r="CK43" t="inlineStr">
        <is>
          <t>X</t>
        </is>
      </c>
      <c r="CN43" t="inlineStr">
        <is>
          <t>X</t>
        </is>
      </c>
      <c r="CP43" t="inlineStr">
        <is>
          <t>X</t>
        </is>
      </c>
      <c r="CV43" t="inlineStr">
        <is>
          <t>X</t>
        </is>
      </c>
      <c r="CW43" t="inlineStr">
        <is>
          <t>D</t>
        </is>
      </c>
      <c r="CY43" t="inlineStr">
        <is>
          <t>X</t>
        </is>
      </c>
      <c r="CZ43" t="inlineStr">
        <is>
          <t>D</t>
        </is>
      </c>
      <c r="DC43" t="inlineStr">
        <is>
          <t>X</t>
        </is>
      </c>
      <c r="DF43" t="inlineStr">
        <is>
          <t>X</t>
        </is>
      </c>
      <c r="DG43" t="inlineStr">
        <is>
          <t>D</t>
        </is>
      </c>
      <c r="DI43" t="inlineStr">
        <is>
          <t>X</t>
        </is>
      </c>
      <c r="DM43" t="inlineStr">
        <is>
          <t>D</t>
        </is>
      </c>
      <c r="DN43" t="inlineStr">
        <is>
          <t>X</t>
        </is>
      </c>
      <c r="DX43" t="inlineStr">
        <is>
          <t>X</t>
        </is>
      </c>
      <c r="EA43" t="inlineStr">
        <is>
          <t>X</t>
        </is>
      </c>
      <c r="EF43" t="inlineStr">
        <is>
          <t>X</t>
        </is>
      </c>
    </row>
    <row r="44">
      <c r="A44" t="inlineStr">
        <is>
          <t>OH0025643909</t>
        </is>
      </c>
      <c r="B44" t="n">
        <v>78</v>
      </c>
      <c r="C44" t="n">
        <v>447678</v>
      </c>
      <c r="D44" t="inlineStr">
        <is>
          <t>GATTONE</t>
        </is>
      </c>
      <c r="E44" t="inlineStr">
        <is>
          <t>NICHOLAS</t>
        </is>
      </c>
      <c r="F44">
        <f>CONCATENATE(D44," ",LEFT(H44,4),"T=",AU44,"D=",AV44,"R=",AW44,"M=",AX44,"L=",AY44,"B=",AZ44)</f>
        <v/>
      </c>
      <c r="G44" t="inlineStr">
        <is>
          <t>VINCENT</t>
        </is>
      </c>
      <c r="I44" t="inlineStr">
        <is>
          <t>1998-07-21</t>
        </is>
      </c>
      <c r="J44" t="inlineStr">
        <is>
          <t>2024-08-21</t>
        </is>
      </c>
      <c r="K44" t="inlineStr">
        <is>
          <t>ACTIVE</t>
        </is>
      </c>
      <c r="M44" t="inlineStr">
        <is>
          <t>715 BONNIE BRAE AVE SE</t>
        </is>
      </c>
      <c r="N44">
        <f>RIGHT(M44,LEN(M44)-FIND(" ",M44))</f>
        <v/>
      </c>
      <c r="P44" t="inlineStr">
        <is>
          <t>WARREN</t>
        </is>
      </c>
      <c r="Q44" t="inlineStr">
        <is>
          <t>OH</t>
        </is>
      </c>
      <c r="R44" t="n">
        <v>44484</v>
      </c>
      <c r="AD44" t="inlineStr">
        <is>
          <t>TRUMBULL CAREER &amp; TECH CENTER</t>
        </is>
      </c>
      <c r="AE44" t="inlineStr">
        <is>
          <t>WARREN CITY</t>
        </is>
      </c>
      <c r="AF44" t="inlineStr">
        <is>
          <t>WARREN CITY SD</t>
        </is>
      </c>
      <c r="AH44" t="n">
        <v>14</v>
      </c>
      <c r="AI44" t="n">
        <v>11</v>
      </c>
      <c r="AN44" t="inlineStr">
        <is>
          <t>WARREN</t>
        </is>
      </c>
      <c r="AO44" t="inlineStr">
        <is>
          <t>WARREN CITY 4A</t>
        </is>
      </c>
      <c r="AP44" t="inlineStr">
        <is>
          <t>78-P-ADI</t>
        </is>
      </c>
      <c r="AQ44" t="n">
        <v>9</v>
      </c>
      <c r="AR44" t="n">
        <v>64</v>
      </c>
      <c r="AS44" t="n">
        <v>32</v>
      </c>
      <c r="AU44">
        <f>COUNTA($BA$44:$EH$44)</f>
        <v/>
      </c>
      <c r="AV44">
        <f>COUNTIF($BA$44:$EH$44,"D")</f>
        <v/>
      </c>
      <c r="AW44">
        <f>COUNTIF($BA$44:$EH$44,"R")</f>
        <v/>
      </c>
      <c r="AX44">
        <f>IF(BN44="D",1,0)+IF(BO44="D",1,0)+IF(BT44="D",1,0)+IF(BU44="D",1,0)+IF(BW44="D",1,0)+IF(CC44="D",1,0)+IF(CD44="D",1,0)+IF(CE44="D",1,0)+IF(CF44="D",1,0)+IF(CL44="D",1,0)+IF(CM44="D",1,0)+IF(CQ44="D",1,0)+IF(CR44="D",1,0)+IF(CS44="D",1,0)+IF(CW44="D",1,0)+IF(CX44="D",1,0)+IF(DD44="D",1,0)+IF(DE44="D",1,0)+IF(DJ44="D",1,0)+IF(DK44="D",1,0)+IF(DO44="D",1,0)+IF(DP44="D",1,0)+IF(DQ44="D",1,0)+IF(DW44="D",1,0)+IF(DZ44="D",1,0)+IF(EH44="D",1,0)</f>
        <v/>
      </c>
      <c r="AY44">
        <f>IF(DJ44&lt;&gt;"",1,0)+IF(DK44&lt;&gt;"",1,0)+IF(DM44&lt;&gt;"",1,0)+IF(DO44&lt;&gt;"",1,0)+IF(DP44&lt;&gt;"",1,0)+IF(DQ44&lt;&gt;"",1,0)+IF(DS44&lt;&gt;"",1,0)+IF(DT44&lt;&gt;"",1,0)+IF(DV44&lt;&gt;"",1,0)+IF(DW44&lt;&gt;"",1,0)+IF(DX44&lt;&gt;"",1,0)+IF(DY44&lt;&gt;"",1,0)+IF(DZ44&lt;&gt;"",1,0)+IF(EB44&lt;&gt;"",1,0)+IF(EC44&lt;&gt;"",1,0)+IF(ED44&lt;&gt;"",1,0)+IF(EG44&lt;&gt;"",1,0)+IF(EH44&lt;&gt;"",1,0)</f>
        <v/>
      </c>
      <c r="AZ44">
        <f>IF(EH44&lt;&gt;"",1,0)</f>
        <v/>
      </c>
      <c r="BB44" t="inlineStr">
        <is>
          <t>WARREN-WARD 4</t>
        </is>
      </c>
      <c r="DN44" t="inlineStr">
        <is>
          <t>X</t>
        </is>
      </c>
      <c r="EF44" t="inlineStr">
        <is>
          <t>X</t>
        </is>
      </c>
    </row>
    <row r="45">
      <c r="A45" t="inlineStr">
        <is>
          <t>OH0025678911</t>
        </is>
      </c>
      <c r="B45" t="n">
        <v>78</v>
      </c>
      <c r="C45" t="n">
        <v>448358</v>
      </c>
      <c r="D45" t="inlineStr">
        <is>
          <t>SMITH</t>
        </is>
      </c>
      <c r="E45" t="inlineStr">
        <is>
          <t>CHLOE</t>
        </is>
      </c>
      <c r="F45">
        <f>CONCATENATE(D45," ",LEFT(H45,4),"T=",AU45,"D=",AV45,"R=",AW45,"M=",AX45,"L=",AY45,"B=",AZ45)</f>
        <v/>
      </c>
      <c r="G45" t="inlineStr">
        <is>
          <t>IRENE</t>
        </is>
      </c>
      <c r="I45" t="inlineStr">
        <is>
          <t>2001-08-06</t>
        </is>
      </c>
      <c r="J45" t="inlineStr">
        <is>
          <t>2020-07-17</t>
        </is>
      </c>
      <c r="K45" t="inlineStr">
        <is>
          <t>CONFIRMATION</t>
        </is>
      </c>
      <c r="M45" t="inlineStr">
        <is>
          <t>206 WOODBINE AVE SE</t>
        </is>
      </c>
      <c r="N45">
        <f>RIGHT(M45,LEN(M45)-FIND(" ",M45))</f>
        <v/>
      </c>
      <c r="P45" t="inlineStr">
        <is>
          <t>WARREN</t>
        </is>
      </c>
      <c r="Q45" t="inlineStr">
        <is>
          <t>OH</t>
        </is>
      </c>
      <c r="R45" t="n">
        <v>44483</v>
      </c>
      <c r="AD45" t="inlineStr">
        <is>
          <t>TRUMBULL CAREER &amp; TECH CENTER</t>
        </is>
      </c>
      <c r="AE45" t="inlineStr">
        <is>
          <t>WARREN CITY</t>
        </is>
      </c>
      <c r="AF45" t="inlineStr">
        <is>
          <t>WARREN CITY SD</t>
        </is>
      </c>
      <c r="AH45" t="n">
        <v>14</v>
      </c>
      <c r="AI45" t="n">
        <v>11</v>
      </c>
      <c r="AN45" t="inlineStr">
        <is>
          <t>WARREN</t>
        </is>
      </c>
      <c r="AO45" t="inlineStr">
        <is>
          <t>WARREN CITY 4A</t>
        </is>
      </c>
      <c r="AP45" t="inlineStr">
        <is>
          <t>78-P-ADI</t>
        </is>
      </c>
      <c r="AQ45" t="n">
        <v>9</v>
      </c>
      <c r="AR45" t="n">
        <v>64</v>
      </c>
      <c r="AS45" t="n">
        <v>32</v>
      </c>
      <c r="AU45">
        <f>COUNTA($BA$45:$EH$45)</f>
        <v/>
      </c>
      <c r="AV45">
        <f>COUNTIF($BA$45:$EH$45,"D")</f>
        <v/>
      </c>
      <c r="AW45">
        <f>COUNTIF($BA$45:$EH$45,"R")</f>
        <v/>
      </c>
      <c r="AX45">
        <f>IF(BN45="D",1,0)+IF(BO45="D",1,0)+IF(BT45="D",1,0)+IF(BU45="D",1,0)+IF(BW45="D",1,0)+IF(CC45="D",1,0)+IF(CD45="D",1,0)+IF(CE45="D",1,0)+IF(CF45="D",1,0)+IF(CL45="D",1,0)+IF(CM45="D",1,0)+IF(CQ45="D",1,0)+IF(CR45="D",1,0)+IF(CS45="D",1,0)+IF(CW45="D",1,0)+IF(CX45="D",1,0)+IF(DD45="D",1,0)+IF(DE45="D",1,0)+IF(DJ45="D",1,0)+IF(DK45="D",1,0)+IF(DO45="D",1,0)+IF(DP45="D",1,0)+IF(DQ45="D",1,0)+IF(DW45="D",1,0)+IF(DZ45="D",1,0)+IF(EH45="D",1,0)</f>
        <v/>
      </c>
      <c r="AY45">
        <f>IF(DJ45&lt;&gt;"",1,0)+IF(DK45&lt;&gt;"",1,0)+IF(DM45&lt;&gt;"",1,0)+IF(DO45&lt;&gt;"",1,0)+IF(DP45&lt;&gt;"",1,0)+IF(DQ45&lt;&gt;"",1,0)+IF(DS45&lt;&gt;"",1,0)+IF(DT45&lt;&gt;"",1,0)+IF(DV45&lt;&gt;"",1,0)+IF(DW45&lt;&gt;"",1,0)+IF(DX45&lt;&gt;"",1,0)+IF(DY45&lt;&gt;"",1,0)+IF(DZ45&lt;&gt;"",1,0)+IF(EB45&lt;&gt;"",1,0)+IF(EC45&lt;&gt;"",1,0)+IF(ED45&lt;&gt;"",1,0)+IF(EG45&lt;&gt;"",1,0)+IF(EH45&lt;&gt;"",1,0)</f>
        <v/>
      </c>
      <c r="AZ45">
        <f>IF(EH45&lt;&gt;"",1,0)</f>
        <v/>
      </c>
      <c r="BB45" t="inlineStr">
        <is>
          <t>WARREN-WARD 4</t>
        </is>
      </c>
      <c r="DN45" t="inlineStr">
        <is>
          <t>X</t>
        </is>
      </c>
    </row>
    <row r="46">
      <c r="A46" t="inlineStr">
        <is>
          <t>OH0023187409</t>
        </is>
      </c>
      <c r="B46" t="n">
        <v>78</v>
      </c>
      <c r="C46" t="n">
        <v>408076</v>
      </c>
      <c r="D46" t="inlineStr">
        <is>
          <t>PEARSON</t>
        </is>
      </c>
      <c r="E46" t="inlineStr">
        <is>
          <t>LATONIA</t>
        </is>
      </c>
      <c r="F46">
        <f>CONCATENATE(D46," ",LEFT(H46,4),"T=",AU46,"D=",AV46,"R=",AW46,"M=",AX46,"L=",AY46,"B=",AZ46)</f>
        <v/>
      </c>
      <c r="G46" t="inlineStr">
        <is>
          <t>A</t>
        </is>
      </c>
      <c r="I46" t="inlineStr">
        <is>
          <t>1972-02-26</t>
        </is>
      </c>
      <c r="J46" t="inlineStr">
        <is>
          <t>2023-07-08</t>
        </is>
      </c>
      <c r="K46" t="inlineStr">
        <is>
          <t>ACTIVE</t>
        </is>
      </c>
      <c r="M46" t="inlineStr">
        <is>
          <t>375 BONNIE BRAE AVE SE</t>
        </is>
      </c>
      <c r="N46">
        <f>RIGHT(M46,LEN(M46)-FIND(" ",M46))</f>
        <v/>
      </c>
      <c r="P46" t="inlineStr">
        <is>
          <t>WARREN</t>
        </is>
      </c>
      <c r="Q46" t="inlineStr">
        <is>
          <t>OH</t>
        </is>
      </c>
      <c r="R46" t="n">
        <v>44484</v>
      </c>
      <c r="AD46" t="inlineStr">
        <is>
          <t>TRUMBULL CAREER &amp; TECH CENTER</t>
        </is>
      </c>
      <c r="AE46" t="inlineStr">
        <is>
          <t>WARREN CITY</t>
        </is>
      </c>
      <c r="AF46" t="inlineStr">
        <is>
          <t>WARREN CITY SD</t>
        </is>
      </c>
      <c r="AH46" t="n">
        <v>14</v>
      </c>
      <c r="AI46" t="n">
        <v>11</v>
      </c>
      <c r="AN46" t="inlineStr">
        <is>
          <t>WARREN</t>
        </is>
      </c>
      <c r="AO46" t="inlineStr">
        <is>
          <t>WARREN CITY 4A</t>
        </is>
      </c>
      <c r="AP46" t="inlineStr">
        <is>
          <t>78-P-ADI</t>
        </is>
      </c>
      <c r="AQ46" t="n">
        <v>9</v>
      </c>
      <c r="AR46" t="n">
        <v>64</v>
      </c>
      <c r="AS46" t="n">
        <v>32</v>
      </c>
      <c r="AU46">
        <f>COUNTA($BA$46:$EH$46)</f>
        <v/>
      </c>
      <c r="AV46">
        <f>COUNTIF($BA$46:$EH$46,"D")</f>
        <v/>
      </c>
      <c r="AW46">
        <f>COUNTIF($BA$46:$EH$46,"R")</f>
        <v/>
      </c>
      <c r="AX46">
        <f>IF(BN46="D",1,0)+IF(BO46="D",1,0)+IF(BT46="D",1,0)+IF(BU46="D",1,0)+IF(BW46="D",1,0)+IF(CC46="D",1,0)+IF(CD46="D",1,0)+IF(CE46="D",1,0)+IF(CF46="D",1,0)+IF(CL46="D",1,0)+IF(CM46="D",1,0)+IF(CQ46="D",1,0)+IF(CR46="D",1,0)+IF(CS46="D",1,0)+IF(CW46="D",1,0)+IF(CX46="D",1,0)+IF(DD46="D",1,0)+IF(DE46="D",1,0)+IF(DJ46="D",1,0)+IF(DK46="D",1,0)+IF(DO46="D",1,0)+IF(DP46="D",1,0)+IF(DQ46="D",1,0)+IF(DW46="D",1,0)+IF(DZ46="D",1,0)+IF(EH46="D",1,0)</f>
        <v/>
      </c>
      <c r="AY46">
        <f>IF(DJ46&lt;&gt;"",1,0)+IF(DK46&lt;&gt;"",1,0)+IF(DM46&lt;&gt;"",1,0)+IF(DO46&lt;&gt;"",1,0)+IF(DP46&lt;&gt;"",1,0)+IF(DQ46&lt;&gt;"",1,0)+IF(DS46&lt;&gt;"",1,0)+IF(DT46&lt;&gt;"",1,0)+IF(DV46&lt;&gt;"",1,0)+IF(DW46&lt;&gt;"",1,0)+IF(DX46&lt;&gt;"",1,0)+IF(DY46&lt;&gt;"",1,0)+IF(DZ46&lt;&gt;"",1,0)+IF(EB46&lt;&gt;"",1,0)+IF(EC46&lt;&gt;"",1,0)+IF(ED46&lt;&gt;"",1,0)+IF(EG46&lt;&gt;"",1,0)+IF(EH46&lt;&gt;"",1,0)</f>
        <v/>
      </c>
      <c r="AZ46">
        <f>IF(EH46&lt;&gt;"",1,0)</f>
        <v/>
      </c>
      <c r="BB46" t="inlineStr">
        <is>
          <t>WARREN-WARD 4</t>
        </is>
      </c>
      <c r="DC46" t="inlineStr">
        <is>
          <t>X</t>
        </is>
      </c>
      <c r="DI46" t="inlineStr">
        <is>
          <t>X</t>
        </is>
      </c>
      <c r="DN46" t="inlineStr">
        <is>
          <t>X</t>
        </is>
      </c>
    </row>
    <row r="47">
      <c r="A47" t="inlineStr">
        <is>
          <t>OH0015689892</t>
        </is>
      </c>
      <c r="B47" t="n">
        <v>78</v>
      </c>
      <c r="C47" t="n">
        <v>13336</v>
      </c>
      <c r="D47" t="inlineStr">
        <is>
          <t>RENFTLE</t>
        </is>
      </c>
      <c r="E47" t="inlineStr">
        <is>
          <t>EDWARD</t>
        </is>
      </c>
      <c r="F47">
        <f>CONCATENATE(D47," ",LEFT(H47,4),"T=",AU47,"D=",AV47,"R=",AW47,"M=",AX47,"L=",AY47,"B=",AZ47)</f>
        <v/>
      </c>
      <c r="G47" t="inlineStr">
        <is>
          <t>P</t>
        </is>
      </c>
      <c r="I47" t="inlineStr">
        <is>
          <t>1956-05-11</t>
        </is>
      </c>
      <c r="J47" t="inlineStr">
        <is>
          <t>2015-06-27</t>
        </is>
      </c>
      <c r="K47" t="inlineStr">
        <is>
          <t>ACTIVE</t>
        </is>
      </c>
      <c r="L47" t="inlineStr">
        <is>
          <t>D</t>
        </is>
      </c>
      <c r="M47" t="inlineStr">
        <is>
          <t>1252 SOUTH ST SE</t>
        </is>
      </c>
      <c r="N47">
        <f>RIGHT(M47,LEN(M47)-FIND(" ",M47))</f>
        <v/>
      </c>
      <c r="P47" t="inlineStr">
        <is>
          <t>WARREN</t>
        </is>
      </c>
      <c r="Q47" t="inlineStr">
        <is>
          <t>OH</t>
        </is>
      </c>
      <c r="R47" t="n">
        <v>44483</v>
      </c>
      <c r="AD47" t="inlineStr">
        <is>
          <t>TRUMBULL CAREER &amp; TECH CENTER</t>
        </is>
      </c>
      <c r="AE47" t="inlineStr">
        <is>
          <t>WARREN CITY</t>
        </is>
      </c>
      <c r="AF47" t="inlineStr">
        <is>
          <t>WARREN CITY SD</t>
        </is>
      </c>
      <c r="AH47" t="n">
        <v>14</v>
      </c>
      <c r="AI47" t="n">
        <v>11</v>
      </c>
      <c r="AN47" t="inlineStr">
        <is>
          <t>WARREN</t>
        </is>
      </c>
      <c r="AO47" t="inlineStr">
        <is>
          <t>WARREN CITY 4A</t>
        </is>
      </c>
      <c r="AP47" t="inlineStr">
        <is>
          <t>78-P-ADI</t>
        </is>
      </c>
      <c r="AQ47" t="n">
        <v>9</v>
      </c>
      <c r="AR47" t="n">
        <v>64</v>
      </c>
      <c r="AS47" t="n">
        <v>32</v>
      </c>
      <c r="AU47">
        <f>COUNTA($BA$47:$EH$47)</f>
        <v/>
      </c>
      <c r="AV47">
        <f>COUNTIF($BA$47:$EH$47,"D")</f>
        <v/>
      </c>
      <c r="AW47">
        <f>COUNTIF($BA$47:$EH$47,"R")</f>
        <v/>
      </c>
      <c r="AX47">
        <f>IF(BN47="D",1,0)+IF(BO47="D",1,0)+IF(BT47="D",1,0)+IF(BU47="D",1,0)+IF(BW47="D",1,0)+IF(CC47="D",1,0)+IF(CD47="D",1,0)+IF(CE47="D",1,0)+IF(CF47="D",1,0)+IF(CL47="D",1,0)+IF(CM47="D",1,0)+IF(CQ47="D",1,0)+IF(CR47="D",1,0)+IF(CS47="D",1,0)+IF(CW47="D",1,0)+IF(CX47="D",1,0)+IF(DD47="D",1,0)+IF(DE47="D",1,0)+IF(DJ47="D",1,0)+IF(DK47="D",1,0)+IF(DO47="D",1,0)+IF(DP47="D",1,0)+IF(DQ47="D",1,0)+IF(DW47="D",1,0)+IF(DZ47="D",1,0)+IF(EH47="D",1,0)</f>
        <v/>
      </c>
      <c r="AY47">
        <f>IF(DJ47&lt;&gt;"",1,0)+IF(DK47&lt;&gt;"",1,0)+IF(DM47&lt;&gt;"",1,0)+IF(DO47&lt;&gt;"",1,0)+IF(DP47&lt;&gt;"",1,0)+IF(DQ47&lt;&gt;"",1,0)+IF(DS47&lt;&gt;"",1,0)+IF(DT47&lt;&gt;"",1,0)+IF(DV47&lt;&gt;"",1,0)+IF(DW47&lt;&gt;"",1,0)+IF(DX47&lt;&gt;"",1,0)+IF(DY47&lt;&gt;"",1,0)+IF(DZ47&lt;&gt;"",1,0)+IF(EB47&lt;&gt;"",1,0)+IF(EC47&lt;&gt;"",1,0)+IF(ED47&lt;&gt;"",1,0)+IF(EG47&lt;&gt;"",1,0)+IF(EH47&lt;&gt;"",1,0)</f>
        <v/>
      </c>
      <c r="AZ47">
        <f>IF(EH47&lt;&gt;"",1,0)</f>
        <v/>
      </c>
      <c r="BB47" t="inlineStr">
        <is>
          <t>WARREN-WARD 4</t>
        </is>
      </c>
      <c r="BD47" t="inlineStr">
        <is>
          <t>X</t>
        </is>
      </c>
      <c r="BH47" t="inlineStr">
        <is>
          <t>X</t>
        </is>
      </c>
      <c r="BJ47" t="inlineStr">
        <is>
          <t>X</t>
        </is>
      </c>
      <c r="BL47" t="inlineStr">
        <is>
          <t>X</t>
        </is>
      </c>
      <c r="BR47" t="inlineStr">
        <is>
          <t>X</t>
        </is>
      </c>
      <c r="CA47" t="inlineStr">
        <is>
          <t>X</t>
        </is>
      </c>
      <c r="CP47" t="inlineStr">
        <is>
          <t>X</t>
        </is>
      </c>
      <c r="CY47" t="inlineStr">
        <is>
          <t>X</t>
        </is>
      </c>
      <c r="DC47" t="inlineStr">
        <is>
          <t>X</t>
        </is>
      </c>
      <c r="DN47" t="inlineStr">
        <is>
          <t>X</t>
        </is>
      </c>
      <c r="DU47" t="inlineStr">
        <is>
          <t>X</t>
        </is>
      </c>
      <c r="DW47" t="inlineStr">
        <is>
          <t>D</t>
        </is>
      </c>
      <c r="EF47" t="inlineStr">
        <is>
          <t>X</t>
        </is>
      </c>
    </row>
    <row r="48">
      <c r="A48" t="inlineStr">
        <is>
          <t>OH0015743850</t>
        </is>
      </c>
      <c r="B48" t="n">
        <v>78</v>
      </c>
      <c r="C48" t="n">
        <v>331127</v>
      </c>
      <c r="D48" t="inlineStr">
        <is>
          <t>OSBORNE</t>
        </is>
      </c>
      <c r="E48" t="inlineStr">
        <is>
          <t>REGINA</t>
        </is>
      </c>
      <c r="F48">
        <f>CONCATENATE(D48," ",LEFT(H48,4),"T=",AU48,"D=",AV48,"R=",AW48,"M=",AX48,"L=",AY48,"B=",AZ48)</f>
        <v/>
      </c>
      <c r="I48" t="inlineStr">
        <is>
          <t>1956-06-25</t>
        </is>
      </c>
      <c r="J48" t="inlineStr">
        <is>
          <t>2016-10-01</t>
        </is>
      </c>
      <c r="K48" t="inlineStr">
        <is>
          <t>ACTIVE</t>
        </is>
      </c>
      <c r="M48" t="inlineStr">
        <is>
          <t>1224 SOUTH ST SE</t>
        </is>
      </c>
      <c r="N48">
        <f>RIGHT(M48,LEN(M48)-FIND(" ",M48))</f>
        <v/>
      </c>
      <c r="P48" t="inlineStr">
        <is>
          <t>WARREN</t>
        </is>
      </c>
      <c r="Q48" t="inlineStr">
        <is>
          <t>OH</t>
        </is>
      </c>
      <c r="R48" t="n">
        <v>44483</v>
      </c>
      <c r="AD48" t="inlineStr">
        <is>
          <t>TRUMBULL CAREER &amp; TECH CENTER</t>
        </is>
      </c>
      <c r="AE48" t="inlineStr">
        <is>
          <t>WARREN CITY</t>
        </is>
      </c>
      <c r="AF48" t="inlineStr">
        <is>
          <t>WARREN CITY SD</t>
        </is>
      </c>
      <c r="AH48" t="n">
        <v>14</v>
      </c>
      <c r="AI48" t="n">
        <v>11</v>
      </c>
      <c r="AN48" t="inlineStr">
        <is>
          <t>WARREN</t>
        </is>
      </c>
      <c r="AO48" t="inlineStr">
        <is>
          <t>WARREN CITY 4A</t>
        </is>
      </c>
      <c r="AP48" t="inlineStr">
        <is>
          <t>78-P-ADI</t>
        </is>
      </c>
      <c r="AQ48" t="n">
        <v>9</v>
      </c>
      <c r="AR48" t="n">
        <v>64</v>
      </c>
      <c r="AS48" t="n">
        <v>32</v>
      </c>
      <c r="AU48">
        <f>COUNTA($BA$48:$EH$48)</f>
        <v/>
      </c>
      <c r="AV48">
        <f>COUNTIF($BA$48:$EH$48,"D")</f>
        <v/>
      </c>
      <c r="AW48">
        <f>COUNTIF($BA$48:$EH$48,"R")</f>
        <v/>
      </c>
      <c r="AX48">
        <f>IF(BN48="D",1,0)+IF(BO48="D",1,0)+IF(BT48="D",1,0)+IF(BU48="D",1,0)+IF(BW48="D",1,0)+IF(CC48="D",1,0)+IF(CD48="D",1,0)+IF(CE48="D",1,0)+IF(CF48="D",1,0)+IF(CL48="D",1,0)+IF(CM48="D",1,0)+IF(CQ48="D",1,0)+IF(CR48="D",1,0)+IF(CS48="D",1,0)+IF(CW48="D",1,0)+IF(CX48="D",1,0)+IF(DD48="D",1,0)+IF(DE48="D",1,0)+IF(DJ48="D",1,0)+IF(DK48="D",1,0)+IF(DO48="D",1,0)+IF(DP48="D",1,0)+IF(DQ48="D",1,0)+IF(DW48="D",1,0)+IF(DZ48="D",1,0)+IF(EH48="D",1,0)</f>
        <v/>
      </c>
      <c r="AY48">
        <f>IF(DJ48&lt;&gt;"",1,0)+IF(DK48&lt;&gt;"",1,0)+IF(DM48&lt;&gt;"",1,0)+IF(DO48&lt;&gt;"",1,0)+IF(DP48&lt;&gt;"",1,0)+IF(DQ48&lt;&gt;"",1,0)+IF(DS48&lt;&gt;"",1,0)+IF(DT48&lt;&gt;"",1,0)+IF(DV48&lt;&gt;"",1,0)+IF(DW48&lt;&gt;"",1,0)+IF(DX48&lt;&gt;"",1,0)+IF(DY48&lt;&gt;"",1,0)+IF(DZ48&lt;&gt;"",1,0)+IF(EB48&lt;&gt;"",1,0)+IF(EC48&lt;&gt;"",1,0)+IF(ED48&lt;&gt;"",1,0)+IF(EG48&lt;&gt;"",1,0)+IF(EH48&lt;&gt;"",1,0)</f>
        <v/>
      </c>
      <c r="AZ48">
        <f>IF(EH48&lt;&gt;"",1,0)</f>
        <v/>
      </c>
      <c r="BB48" t="inlineStr">
        <is>
          <t>WARREN-WARD 4</t>
        </is>
      </c>
      <c r="BL48" t="inlineStr">
        <is>
          <t>X</t>
        </is>
      </c>
      <c r="BS48" t="inlineStr">
        <is>
          <t>X</t>
        </is>
      </c>
      <c r="BY48" t="inlineStr">
        <is>
          <t>D</t>
        </is>
      </c>
      <c r="CA48" t="inlineStr">
        <is>
          <t>X</t>
        </is>
      </c>
      <c r="CK48" t="inlineStr">
        <is>
          <t>X</t>
        </is>
      </c>
      <c r="DC48" t="inlineStr">
        <is>
          <t>X</t>
        </is>
      </c>
      <c r="DN48" t="inlineStr">
        <is>
          <t>X</t>
        </is>
      </c>
      <c r="DU48" t="inlineStr">
        <is>
          <t>X</t>
        </is>
      </c>
      <c r="EF48" t="inlineStr">
        <is>
          <t>X</t>
        </is>
      </c>
    </row>
    <row r="49">
      <c r="A49" t="inlineStr">
        <is>
          <t>OH0027360058</t>
        </is>
      </c>
      <c r="B49" t="n">
        <v>78</v>
      </c>
      <c r="C49" t="n">
        <v>485112</v>
      </c>
      <c r="D49" t="inlineStr">
        <is>
          <t>CHERRY</t>
        </is>
      </c>
      <c r="E49" t="inlineStr">
        <is>
          <t>RENAE</t>
        </is>
      </c>
      <c r="F49">
        <f>CONCATENATE(D49," ",LEFT(H49,4),"T=",AU49,"D=",AV49,"R=",AW49,"M=",AX49,"L=",AY49,"B=",AZ49)</f>
        <v/>
      </c>
      <c r="G49" t="inlineStr">
        <is>
          <t>MICHELLE</t>
        </is>
      </c>
      <c r="I49" t="inlineStr">
        <is>
          <t>2006-03-31</t>
        </is>
      </c>
      <c r="J49" t="inlineStr">
        <is>
          <t>2024-09-23</t>
        </is>
      </c>
      <c r="K49" t="inlineStr">
        <is>
          <t>ACTIVE</t>
        </is>
      </c>
      <c r="M49" t="inlineStr">
        <is>
          <t>429 KENILWORTH AVE SE</t>
        </is>
      </c>
      <c r="N49">
        <f>RIGHT(M49,LEN(M49)-FIND(" ",M49))</f>
        <v/>
      </c>
      <c r="P49" t="inlineStr">
        <is>
          <t>WARREN</t>
        </is>
      </c>
      <c r="Q49" t="inlineStr">
        <is>
          <t>OH</t>
        </is>
      </c>
      <c r="R49" t="n">
        <v>44483</v>
      </c>
      <c r="AD49" t="inlineStr">
        <is>
          <t>TRUMBULL CAREER &amp; TECH CENTER</t>
        </is>
      </c>
      <c r="AE49" t="inlineStr">
        <is>
          <t>WARREN CITY</t>
        </is>
      </c>
      <c r="AF49" t="inlineStr">
        <is>
          <t>WARREN CITY SD</t>
        </is>
      </c>
      <c r="AH49" t="n">
        <v>14</v>
      </c>
      <c r="AI49" t="n">
        <v>11</v>
      </c>
      <c r="AN49" t="inlineStr">
        <is>
          <t>WARREN</t>
        </is>
      </c>
      <c r="AO49" t="inlineStr">
        <is>
          <t>WARREN CITY 4A</t>
        </is>
      </c>
      <c r="AP49" t="inlineStr">
        <is>
          <t>78-P-ADI</t>
        </is>
      </c>
      <c r="AQ49" t="n">
        <v>9</v>
      </c>
      <c r="AR49" t="n">
        <v>64</v>
      </c>
      <c r="AS49" t="n">
        <v>32</v>
      </c>
      <c r="AU49">
        <f>COUNTA($BA$49:$EH$49)</f>
        <v/>
      </c>
      <c r="AV49">
        <f>COUNTIF($BA$49:$EH$49,"D")</f>
        <v/>
      </c>
      <c r="AW49">
        <f>COUNTIF($BA$49:$EH$49,"R")</f>
        <v/>
      </c>
      <c r="AX49">
        <f>IF(BN49="D",1,0)+IF(BO49="D",1,0)+IF(BT49="D",1,0)+IF(BU49="D",1,0)+IF(BW49="D",1,0)+IF(CC49="D",1,0)+IF(CD49="D",1,0)+IF(CE49="D",1,0)+IF(CF49="D",1,0)+IF(CL49="D",1,0)+IF(CM49="D",1,0)+IF(CQ49="D",1,0)+IF(CR49="D",1,0)+IF(CS49="D",1,0)+IF(CW49="D",1,0)+IF(CX49="D",1,0)+IF(DD49="D",1,0)+IF(DE49="D",1,0)+IF(DJ49="D",1,0)+IF(DK49="D",1,0)+IF(DO49="D",1,0)+IF(DP49="D",1,0)+IF(DQ49="D",1,0)+IF(DW49="D",1,0)+IF(DZ49="D",1,0)+IF(EH49="D",1,0)</f>
        <v/>
      </c>
      <c r="AY49">
        <f>IF(DJ49&lt;&gt;"",1,0)+IF(DK49&lt;&gt;"",1,0)+IF(DM49&lt;&gt;"",1,0)+IF(DO49&lt;&gt;"",1,0)+IF(DP49&lt;&gt;"",1,0)+IF(DQ49&lt;&gt;"",1,0)+IF(DS49&lt;&gt;"",1,0)+IF(DT49&lt;&gt;"",1,0)+IF(DV49&lt;&gt;"",1,0)+IF(DW49&lt;&gt;"",1,0)+IF(DX49&lt;&gt;"",1,0)+IF(DY49&lt;&gt;"",1,0)+IF(DZ49&lt;&gt;"",1,0)+IF(EB49&lt;&gt;"",1,0)+IF(EC49&lt;&gt;"",1,0)+IF(ED49&lt;&gt;"",1,0)+IF(EG49&lt;&gt;"",1,0)+IF(EH49&lt;&gt;"",1,0)</f>
        <v/>
      </c>
      <c r="AZ49">
        <f>IF(EH49&lt;&gt;"",1,0)</f>
        <v/>
      </c>
      <c r="BB49" t="inlineStr">
        <is>
          <t>WARREN-WARD 4</t>
        </is>
      </c>
    </row>
    <row r="50">
      <c r="A50" t="inlineStr">
        <is>
          <t>OH0027360134</t>
        </is>
      </c>
      <c r="B50" t="n">
        <v>78</v>
      </c>
      <c r="C50" t="n">
        <v>485115</v>
      </c>
      <c r="D50" t="inlineStr">
        <is>
          <t>GARVERICK</t>
        </is>
      </c>
      <c r="E50" t="inlineStr">
        <is>
          <t>DONNA</t>
        </is>
      </c>
      <c r="F50">
        <f>CONCATENATE(D50," ",LEFT(H50,4),"T=",AU50,"D=",AV50,"R=",AW50,"M=",AX50,"L=",AY50,"B=",AZ50)</f>
        <v/>
      </c>
      <c r="G50" t="inlineStr">
        <is>
          <t>MARIE</t>
        </is>
      </c>
      <c r="I50" t="inlineStr">
        <is>
          <t>1956-07-18</t>
        </is>
      </c>
      <c r="J50" t="inlineStr">
        <is>
          <t>2024-05-21</t>
        </is>
      </c>
      <c r="K50" t="inlineStr">
        <is>
          <t>ACTIVE</t>
        </is>
      </c>
      <c r="L50" t="inlineStr">
        <is>
          <t>D</t>
        </is>
      </c>
      <c r="M50" t="inlineStr">
        <is>
          <t>354 OAK KNOLL AVE SE</t>
        </is>
      </c>
      <c r="N50">
        <f>RIGHT(M50,LEN(M50)-FIND(" ",M50))</f>
        <v/>
      </c>
      <c r="P50" t="inlineStr">
        <is>
          <t>WARREN</t>
        </is>
      </c>
      <c r="Q50" t="inlineStr">
        <is>
          <t>OH</t>
        </is>
      </c>
      <c r="R50" t="n">
        <v>44483</v>
      </c>
      <c r="AD50" t="inlineStr">
        <is>
          <t>TRUMBULL CAREER &amp; TECH CENTER</t>
        </is>
      </c>
      <c r="AE50" t="inlineStr">
        <is>
          <t>WARREN CITY</t>
        </is>
      </c>
      <c r="AF50" t="inlineStr">
        <is>
          <t>WARREN CITY SD</t>
        </is>
      </c>
      <c r="AH50" t="n">
        <v>14</v>
      </c>
      <c r="AI50" t="n">
        <v>11</v>
      </c>
      <c r="AN50" t="inlineStr">
        <is>
          <t>WARREN</t>
        </is>
      </c>
      <c r="AO50" t="inlineStr">
        <is>
          <t>WARREN CITY 4A</t>
        </is>
      </c>
      <c r="AP50" t="inlineStr">
        <is>
          <t>78-P-ADI</t>
        </is>
      </c>
      <c r="AQ50" t="n">
        <v>9</v>
      </c>
      <c r="AR50" t="n">
        <v>64</v>
      </c>
      <c r="AS50" t="n">
        <v>32</v>
      </c>
      <c r="AU50">
        <f>COUNTA($BA$50:$EH$50)</f>
        <v/>
      </c>
      <c r="AV50">
        <f>COUNTIF($BA$50:$EH$50,"D")</f>
        <v/>
      </c>
      <c r="AW50">
        <f>COUNTIF($BA$50:$EH$50,"R")</f>
        <v/>
      </c>
      <c r="AX50">
        <f>IF(BN50="D",1,0)+IF(BO50="D",1,0)+IF(BT50="D",1,0)+IF(BU50="D",1,0)+IF(BW50="D",1,0)+IF(CC50="D",1,0)+IF(CD50="D",1,0)+IF(CE50="D",1,0)+IF(CF50="D",1,0)+IF(CL50="D",1,0)+IF(CM50="D",1,0)+IF(CQ50="D",1,0)+IF(CR50="D",1,0)+IF(CS50="D",1,0)+IF(CW50="D",1,0)+IF(CX50="D",1,0)+IF(DD50="D",1,0)+IF(DE50="D",1,0)+IF(DJ50="D",1,0)+IF(DK50="D",1,0)+IF(DO50="D",1,0)+IF(DP50="D",1,0)+IF(DQ50="D",1,0)+IF(DW50="D",1,0)+IF(DZ50="D",1,0)+IF(EH50="D",1,0)</f>
        <v/>
      </c>
      <c r="AY50">
        <f>IF(DJ50&lt;&gt;"",1,0)+IF(DK50&lt;&gt;"",1,0)+IF(DM50&lt;&gt;"",1,0)+IF(DO50&lt;&gt;"",1,0)+IF(DP50&lt;&gt;"",1,0)+IF(DQ50&lt;&gt;"",1,0)+IF(DS50&lt;&gt;"",1,0)+IF(DT50&lt;&gt;"",1,0)+IF(DV50&lt;&gt;"",1,0)+IF(DW50&lt;&gt;"",1,0)+IF(DX50&lt;&gt;"",1,0)+IF(DY50&lt;&gt;"",1,0)+IF(DZ50&lt;&gt;"",1,0)+IF(EB50&lt;&gt;"",1,0)+IF(EC50&lt;&gt;"",1,0)+IF(ED50&lt;&gt;"",1,0)+IF(EG50&lt;&gt;"",1,0)+IF(EH50&lt;&gt;"",1,0)</f>
        <v/>
      </c>
      <c r="AZ50">
        <f>IF(EH50&lt;&gt;"",1,0)</f>
        <v/>
      </c>
      <c r="BB50" t="inlineStr">
        <is>
          <t>WARREN-WARD 4</t>
        </is>
      </c>
      <c r="EF50" t="inlineStr">
        <is>
          <t>X</t>
        </is>
      </c>
      <c r="EH50" t="inlineStr">
        <is>
          <t>D</t>
        </is>
      </c>
    </row>
    <row r="51">
      <c r="A51" t="inlineStr">
        <is>
          <t>OH0026313363</t>
        </is>
      </c>
      <c r="B51" t="n">
        <v>78</v>
      </c>
      <c r="C51" t="n">
        <v>460098</v>
      </c>
      <c r="D51" t="inlineStr">
        <is>
          <t>MORGAN</t>
        </is>
      </c>
      <c r="E51" t="inlineStr">
        <is>
          <t>XAVIER</t>
        </is>
      </c>
      <c r="F51">
        <f>CONCATENATE(D51," ",LEFT(H51,4),"T=",AU51,"D=",AV51,"R=",AW51,"M=",AX51,"L=",AY51,"B=",AZ51)</f>
        <v/>
      </c>
      <c r="G51" t="inlineStr">
        <is>
          <t>JAMES</t>
        </is>
      </c>
      <c r="I51" t="inlineStr">
        <is>
          <t>2003-04-05</t>
        </is>
      </c>
      <c r="J51" t="inlineStr">
        <is>
          <t>2021-10-04</t>
        </is>
      </c>
      <c r="K51" t="inlineStr">
        <is>
          <t>CONFIRMATION</t>
        </is>
      </c>
      <c r="M51" t="inlineStr">
        <is>
          <t>1362 BELLE ST SE</t>
        </is>
      </c>
      <c r="N51">
        <f>RIGHT(M51,LEN(M51)-FIND(" ",M51))</f>
        <v/>
      </c>
      <c r="P51" t="inlineStr">
        <is>
          <t>WARREN</t>
        </is>
      </c>
      <c r="Q51" t="inlineStr">
        <is>
          <t>OH</t>
        </is>
      </c>
      <c r="R51" t="n">
        <v>44484</v>
      </c>
      <c r="AD51" t="inlineStr">
        <is>
          <t>TRUMBULL CAREER &amp; TECH CENTER</t>
        </is>
      </c>
      <c r="AE51" t="inlineStr">
        <is>
          <t>WARREN CITY</t>
        </is>
      </c>
      <c r="AF51" t="inlineStr">
        <is>
          <t>WARREN CITY SD</t>
        </is>
      </c>
      <c r="AH51" t="n">
        <v>14</v>
      </c>
      <c r="AI51" t="n">
        <v>11</v>
      </c>
      <c r="AN51" t="inlineStr">
        <is>
          <t>WARREN</t>
        </is>
      </c>
      <c r="AO51" t="inlineStr">
        <is>
          <t>WARREN CITY 4A</t>
        </is>
      </c>
      <c r="AP51" t="inlineStr">
        <is>
          <t>78-P-ADI</t>
        </is>
      </c>
      <c r="AQ51" t="n">
        <v>9</v>
      </c>
      <c r="AR51" t="n">
        <v>64</v>
      </c>
      <c r="AS51" t="n">
        <v>32</v>
      </c>
      <c r="AU51">
        <f>COUNTA($BA$51:$EH$51)</f>
        <v/>
      </c>
      <c r="AV51">
        <f>COUNTIF($BA$51:$EH$51,"D")</f>
        <v/>
      </c>
      <c r="AW51">
        <f>COUNTIF($BA$51:$EH$51,"R")</f>
        <v/>
      </c>
      <c r="AX51">
        <f>IF(BN51="D",1,0)+IF(BO51="D",1,0)+IF(BT51="D",1,0)+IF(BU51="D",1,0)+IF(BW51="D",1,0)+IF(CC51="D",1,0)+IF(CD51="D",1,0)+IF(CE51="D",1,0)+IF(CF51="D",1,0)+IF(CL51="D",1,0)+IF(CM51="D",1,0)+IF(CQ51="D",1,0)+IF(CR51="D",1,0)+IF(CS51="D",1,0)+IF(CW51="D",1,0)+IF(CX51="D",1,0)+IF(DD51="D",1,0)+IF(DE51="D",1,0)+IF(DJ51="D",1,0)+IF(DK51="D",1,0)+IF(DO51="D",1,0)+IF(DP51="D",1,0)+IF(DQ51="D",1,0)+IF(DW51="D",1,0)+IF(DZ51="D",1,0)+IF(EH51="D",1,0)</f>
        <v/>
      </c>
      <c r="AY51">
        <f>IF(DJ51&lt;&gt;"",1,0)+IF(DK51&lt;&gt;"",1,0)+IF(DM51&lt;&gt;"",1,0)+IF(DO51&lt;&gt;"",1,0)+IF(DP51&lt;&gt;"",1,0)+IF(DQ51&lt;&gt;"",1,0)+IF(DS51&lt;&gt;"",1,0)+IF(DT51&lt;&gt;"",1,0)+IF(DV51&lt;&gt;"",1,0)+IF(DW51&lt;&gt;"",1,0)+IF(DX51&lt;&gt;"",1,0)+IF(DY51&lt;&gt;"",1,0)+IF(DZ51&lt;&gt;"",1,0)+IF(EB51&lt;&gt;"",1,0)+IF(EC51&lt;&gt;"",1,0)+IF(ED51&lt;&gt;"",1,0)+IF(EG51&lt;&gt;"",1,0)+IF(EH51&lt;&gt;"",1,0)</f>
        <v/>
      </c>
      <c r="AZ51">
        <f>IF(EH51&lt;&gt;"",1,0)</f>
        <v/>
      </c>
      <c r="BB51" t="inlineStr">
        <is>
          <t>WARREN-WARD 4</t>
        </is>
      </c>
    </row>
    <row r="52">
      <c r="A52" t="inlineStr">
        <is>
          <t>OH0023186964</t>
        </is>
      </c>
      <c r="B52" t="n">
        <v>78</v>
      </c>
      <c r="C52" t="n">
        <v>408016</v>
      </c>
      <c r="D52" t="inlineStr">
        <is>
          <t>BEALL</t>
        </is>
      </c>
      <c r="E52" t="inlineStr">
        <is>
          <t>LAURA</t>
        </is>
      </c>
      <c r="F52">
        <f>CONCATENATE(D52," ",LEFT(H52,4),"T=",AU52,"D=",AV52,"R=",AW52,"M=",AX52,"L=",AY52,"B=",AZ52)</f>
        <v/>
      </c>
      <c r="G52" t="inlineStr">
        <is>
          <t>JEAN</t>
        </is>
      </c>
      <c r="I52" t="inlineStr">
        <is>
          <t>1986-04-16</t>
        </is>
      </c>
      <c r="J52" t="inlineStr">
        <is>
          <t>2015-06-17</t>
        </is>
      </c>
      <c r="K52" t="inlineStr">
        <is>
          <t>ACTIVE</t>
        </is>
      </c>
      <c r="M52" t="inlineStr">
        <is>
          <t>375 OAK KNOLL AVE SE</t>
        </is>
      </c>
      <c r="N52">
        <f>RIGHT(M52,LEN(M52)-FIND(" ",M52))</f>
        <v/>
      </c>
      <c r="P52" t="inlineStr">
        <is>
          <t>WARREN</t>
        </is>
      </c>
      <c r="Q52" t="inlineStr">
        <is>
          <t>OH</t>
        </is>
      </c>
      <c r="R52" t="n">
        <v>44483</v>
      </c>
      <c r="AD52" t="inlineStr">
        <is>
          <t>TRUMBULL CAREER &amp; TECH CENTER</t>
        </is>
      </c>
      <c r="AE52" t="inlineStr">
        <is>
          <t>WARREN CITY</t>
        </is>
      </c>
      <c r="AF52" t="inlineStr">
        <is>
          <t>WARREN CITY SD</t>
        </is>
      </c>
      <c r="AH52" t="n">
        <v>14</v>
      </c>
      <c r="AI52" t="n">
        <v>11</v>
      </c>
      <c r="AN52" t="inlineStr">
        <is>
          <t>WARREN</t>
        </is>
      </c>
      <c r="AO52" t="inlineStr">
        <is>
          <t>WARREN CITY 4A</t>
        </is>
      </c>
      <c r="AP52" t="inlineStr">
        <is>
          <t>78-P-ADI</t>
        </is>
      </c>
      <c r="AQ52" t="n">
        <v>9</v>
      </c>
      <c r="AR52" t="n">
        <v>64</v>
      </c>
      <c r="AS52" t="n">
        <v>32</v>
      </c>
      <c r="AU52">
        <f>COUNTA($BA$52:$EH$52)</f>
        <v/>
      </c>
      <c r="AV52">
        <f>COUNTIF($BA$52:$EH$52,"D")</f>
        <v/>
      </c>
      <c r="AW52">
        <f>COUNTIF($BA$52:$EH$52,"R")</f>
        <v/>
      </c>
      <c r="AX52">
        <f>IF(BN52="D",1,0)+IF(BO52="D",1,0)+IF(BT52="D",1,0)+IF(BU52="D",1,0)+IF(BW52="D",1,0)+IF(CC52="D",1,0)+IF(CD52="D",1,0)+IF(CE52="D",1,0)+IF(CF52="D",1,0)+IF(CL52="D",1,0)+IF(CM52="D",1,0)+IF(CQ52="D",1,0)+IF(CR52="D",1,0)+IF(CS52="D",1,0)+IF(CW52="D",1,0)+IF(CX52="D",1,0)+IF(DD52="D",1,0)+IF(DE52="D",1,0)+IF(DJ52="D",1,0)+IF(DK52="D",1,0)+IF(DO52="D",1,0)+IF(DP52="D",1,0)+IF(DQ52="D",1,0)+IF(DW52="D",1,0)+IF(DZ52="D",1,0)+IF(EH52="D",1,0)</f>
        <v/>
      </c>
      <c r="AY52">
        <f>IF(DJ52&lt;&gt;"",1,0)+IF(DK52&lt;&gt;"",1,0)+IF(DM52&lt;&gt;"",1,0)+IF(DO52&lt;&gt;"",1,0)+IF(DP52&lt;&gt;"",1,0)+IF(DQ52&lt;&gt;"",1,0)+IF(DS52&lt;&gt;"",1,0)+IF(DT52&lt;&gt;"",1,0)+IF(DV52&lt;&gt;"",1,0)+IF(DW52&lt;&gt;"",1,0)+IF(DX52&lt;&gt;"",1,0)+IF(DY52&lt;&gt;"",1,0)+IF(DZ52&lt;&gt;"",1,0)+IF(EB52&lt;&gt;"",1,0)+IF(EC52&lt;&gt;"",1,0)+IF(ED52&lt;&gt;"",1,0)+IF(EG52&lt;&gt;"",1,0)+IF(EH52&lt;&gt;"",1,0)</f>
        <v/>
      </c>
      <c r="AZ52">
        <f>IF(EH52&lt;&gt;"",1,0)</f>
        <v/>
      </c>
      <c r="BB52" t="inlineStr">
        <is>
          <t>WARREN-WARD 4</t>
        </is>
      </c>
      <c r="DC52" t="inlineStr">
        <is>
          <t>X</t>
        </is>
      </c>
      <c r="DN52" t="inlineStr">
        <is>
          <t>X</t>
        </is>
      </c>
      <c r="DR52" t="inlineStr">
        <is>
          <t>X</t>
        </is>
      </c>
      <c r="EA52" t="inlineStr">
        <is>
          <t>X</t>
        </is>
      </c>
      <c r="EF52" t="inlineStr">
        <is>
          <t>X</t>
        </is>
      </c>
    </row>
    <row r="53">
      <c r="A53" t="inlineStr">
        <is>
          <t>OH0024982843</t>
        </is>
      </c>
      <c r="B53" t="n">
        <v>78</v>
      </c>
      <c r="C53" t="n">
        <v>437290</v>
      </c>
      <c r="D53" t="inlineStr">
        <is>
          <t>RAFFERTY</t>
        </is>
      </c>
      <c r="E53" t="inlineStr">
        <is>
          <t>NICOLE</t>
        </is>
      </c>
      <c r="F53">
        <f>CONCATENATE(D53," ",LEFT(H53,4),"T=",AU53,"D=",AV53,"R=",AW53,"M=",AX53,"L=",AY53,"B=",AZ53)</f>
        <v/>
      </c>
      <c r="G53" t="inlineStr">
        <is>
          <t>R</t>
        </is>
      </c>
      <c r="I53" t="inlineStr">
        <is>
          <t>1974-11-01</t>
        </is>
      </c>
      <c r="J53" t="inlineStr">
        <is>
          <t>2024-01-18</t>
        </is>
      </c>
      <c r="K53" t="inlineStr">
        <is>
          <t>ACTIVE</t>
        </is>
      </c>
      <c r="M53" t="inlineStr">
        <is>
          <t>526 LAIRD AVE SE</t>
        </is>
      </c>
      <c r="N53">
        <f>RIGHT(M53,LEN(M53)-FIND(" ",M53))</f>
        <v/>
      </c>
      <c r="P53" t="inlineStr">
        <is>
          <t>WARREN</t>
        </is>
      </c>
      <c r="Q53" t="inlineStr">
        <is>
          <t>OH</t>
        </is>
      </c>
      <c r="R53" t="n">
        <v>44484</v>
      </c>
      <c r="AD53" t="inlineStr">
        <is>
          <t>TRUMBULL CAREER &amp; TECH CENTER</t>
        </is>
      </c>
      <c r="AE53" t="inlineStr">
        <is>
          <t>WARREN CITY</t>
        </is>
      </c>
      <c r="AF53" t="inlineStr">
        <is>
          <t>WARREN CITY SD</t>
        </is>
      </c>
      <c r="AH53" t="n">
        <v>14</v>
      </c>
      <c r="AI53" t="n">
        <v>11</v>
      </c>
      <c r="AN53" t="inlineStr">
        <is>
          <t>WARREN</t>
        </is>
      </c>
      <c r="AO53" t="inlineStr">
        <is>
          <t>WARREN CITY 4A</t>
        </is>
      </c>
      <c r="AP53" t="inlineStr">
        <is>
          <t>78-P-ADI</t>
        </is>
      </c>
      <c r="AQ53" t="n">
        <v>9</v>
      </c>
      <c r="AR53" t="n">
        <v>64</v>
      </c>
      <c r="AS53" t="n">
        <v>32</v>
      </c>
      <c r="AU53">
        <f>COUNTA($BA$53:$EH$53)</f>
        <v/>
      </c>
      <c r="AV53">
        <f>COUNTIF($BA$53:$EH$53,"D")</f>
        <v/>
      </c>
      <c r="AW53">
        <f>COUNTIF($BA$53:$EH$53,"R")</f>
        <v/>
      </c>
      <c r="AX53">
        <f>IF(BN53="D",1,0)+IF(BO53="D",1,0)+IF(BT53="D",1,0)+IF(BU53="D",1,0)+IF(BW53="D",1,0)+IF(CC53="D",1,0)+IF(CD53="D",1,0)+IF(CE53="D",1,0)+IF(CF53="D",1,0)+IF(CL53="D",1,0)+IF(CM53="D",1,0)+IF(CQ53="D",1,0)+IF(CR53="D",1,0)+IF(CS53="D",1,0)+IF(CW53="D",1,0)+IF(CX53="D",1,0)+IF(DD53="D",1,0)+IF(DE53="D",1,0)+IF(DJ53="D",1,0)+IF(DK53="D",1,0)+IF(DO53="D",1,0)+IF(DP53="D",1,0)+IF(DQ53="D",1,0)+IF(DW53="D",1,0)+IF(DZ53="D",1,0)+IF(EH53="D",1,0)</f>
        <v/>
      </c>
      <c r="AY53">
        <f>IF(DJ53&lt;&gt;"",1,0)+IF(DK53&lt;&gt;"",1,0)+IF(DM53&lt;&gt;"",1,0)+IF(DO53&lt;&gt;"",1,0)+IF(DP53&lt;&gt;"",1,0)+IF(DQ53&lt;&gt;"",1,0)+IF(DS53&lt;&gt;"",1,0)+IF(DT53&lt;&gt;"",1,0)+IF(DV53&lt;&gt;"",1,0)+IF(DW53&lt;&gt;"",1,0)+IF(DX53&lt;&gt;"",1,0)+IF(DY53&lt;&gt;"",1,0)+IF(DZ53&lt;&gt;"",1,0)+IF(EB53&lt;&gt;"",1,0)+IF(EC53&lt;&gt;"",1,0)+IF(ED53&lt;&gt;"",1,0)+IF(EG53&lt;&gt;"",1,0)+IF(EH53&lt;&gt;"",1,0)</f>
        <v/>
      </c>
      <c r="AZ53">
        <f>IF(EH53&lt;&gt;"",1,0)</f>
        <v/>
      </c>
      <c r="BB53" t="inlineStr">
        <is>
          <t>WARREN-WARD 4</t>
        </is>
      </c>
    </row>
    <row r="54">
      <c r="A54" t="inlineStr">
        <is>
          <t>OH0015725666</t>
        </is>
      </c>
      <c r="B54" t="n">
        <v>78</v>
      </c>
      <c r="C54" t="n">
        <v>210004</v>
      </c>
      <c r="D54" t="inlineStr">
        <is>
          <t>SHOEMAKER</t>
        </is>
      </c>
      <c r="E54" t="inlineStr">
        <is>
          <t>MARK</t>
        </is>
      </c>
      <c r="F54">
        <f>CONCATENATE(D54," ",LEFT(H54,4),"T=",AU54,"D=",AV54,"R=",AW54,"M=",AX54,"L=",AY54,"B=",AZ54)</f>
        <v/>
      </c>
      <c r="G54" t="inlineStr">
        <is>
          <t>B</t>
        </is>
      </c>
      <c r="I54" t="inlineStr">
        <is>
          <t>1949-12-12</t>
        </is>
      </c>
      <c r="J54" t="inlineStr">
        <is>
          <t>2013-07-05</t>
        </is>
      </c>
      <c r="K54" t="inlineStr">
        <is>
          <t>CONFIRMATION</t>
        </is>
      </c>
      <c r="M54" t="inlineStr">
        <is>
          <t>526 WOODBINE AVE SE</t>
        </is>
      </c>
      <c r="N54">
        <f>RIGHT(M54,LEN(M54)-FIND(" ",M54))</f>
        <v/>
      </c>
      <c r="P54" t="inlineStr">
        <is>
          <t>WARREN</t>
        </is>
      </c>
      <c r="Q54" t="inlineStr">
        <is>
          <t>OH</t>
        </is>
      </c>
      <c r="R54" t="n">
        <v>44483</v>
      </c>
      <c r="AD54" t="inlineStr">
        <is>
          <t>TRUMBULL CAREER &amp; TECH CENTER</t>
        </is>
      </c>
      <c r="AE54" t="inlineStr">
        <is>
          <t>WARREN CITY</t>
        </is>
      </c>
      <c r="AF54" t="inlineStr">
        <is>
          <t>WARREN CITY SD</t>
        </is>
      </c>
      <c r="AH54" t="n">
        <v>14</v>
      </c>
      <c r="AI54" t="n">
        <v>11</v>
      </c>
      <c r="AN54" t="inlineStr">
        <is>
          <t>WARREN</t>
        </is>
      </c>
      <c r="AO54" t="inlineStr">
        <is>
          <t>WARREN CITY 4A</t>
        </is>
      </c>
      <c r="AP54" t="inlineStr">
        <is>
          <t>78-P-ADI</t>
        </is>
      </c>
      <c r="AQ54" t="n">
        <v>9</v>
      </c>
      <c r="AR54" t="n">
        <v>64</v>
      </c>
      <c r="AS54" t="n">
        <v>32</v>
      </c>
      <c r="AU54">
        <f>COUNTA($BA$54:$EH$54)</f>
        <v/>
      </c>
      <c r="AV54">
        <f>COUNTIF($BA$54:$EH$54,"D")</f>
        <v/>
      </c>
      <c r="AW54">
        <f>COUNTIF($BA$54:$EH$54,"R")</f>
        <v/>
      </c>
      <c r="AX54">
        <f>IF(BN54="D",1,0)+IF(BO54="D",1,0)+IF(BT54="D",1,0)+IF(BU54="D",1,0)+IF(BW54="D",1,0)+IF(CC54="D",1,0)+IF(CD54="D",1,0)+IF(CE54="D",1,0)+IF(CF54="D",1,0)+IF(CL54="D",1,0)+IF(CM54="D",1,0)+IF(CQ54="D",1,0)+IF(CR54="D",1,0)+IF(CS54="D",1,0)+IF(CW54="D",1,0)+IF(CX54="D",1,0)+IF(DD54="D",1,0)+IF(DE54="D",1,0)+IF(DJ54="D",1,0)+IF(DK54="D",1,0)+IF(DO54="D",1,0)+IF(DP54="D",1,0)+IF(DQ54="D",1,0)+IF(DW54="D",1,0)+IF(DZ54="D",1,0)+IF(EH54="D",1,0)</f>
        <v/>
      </c>
      <c r="AY54">
        <f>IF(DJ54&lt;&gt;"",1,0)+IF(DK54&lt;&gt;"",1,0)+IF(DM54&lt;&gt;"",1,0)+IF(DO54&lt;&gt;"",1,0)+IF(DP54&lt;&gt;"",1,0)+IF(DQ54&lt;&gt;"",1,0)+IF(DS54&lt;&gt;"",1,0)+IF(DT54&lt;&gt;"",1,0)+IF(DV54&lt;&gt;"",1,0)+IF(DW54&lt;&gt;"",1,0)+IF(DX54&lt;&gt;"",1,0)+IF(DY54&lt;&gt;"",1,0)+IF(DZ54&lt;&gt;"",1,0)+IF(EB54&lt;&gt;"",1,0)+IF(EC54&lt;&gt;"",1,0)+IF(ED54&lt;&gt;"",1,0)+IF(EG54&lt;&gt;"",1,0)+IF(EH54&lt;&gt;"",1,0)</f>
        <v/>
      </c>
      <c r="AZ54">
        <f>IF(EH54&lt;&gt;"",1,0)</f>
        <v/>
      </c>
      <c r="BB54" t="inlineStr">
        <is>
          <t>WARREN-WARD 4</t>
        </is>
      </c>
      <c r="BD54" t="inlineStr">
        <is>
          <t>X</t>
        </is>
      </c>
      <c r="BI54" t="inlineStr">
        <is>
          <t>X</t>
        </is>
      </c>
      <c r="BJ54" t="inlineStr">
        <is>
          <t>X</t>
        </is>
      </c>
      <c r="BK54" t="inlineStr">
        <is>
          <t>X</t>
        </is>
      </c>
      <c r="BL54" t="inlineStr">
        <is>
          <t>X</t>
        </is>
      </c>
      <c r="BP54" t="inlineStr">
        <is>
          <t>X</t>
        </is>
      </c>
      <c r="CV54" t="inlineStr">
        <is>
          <t>X</t>
        </is>
      </c>
      <c r="DC54" t="inlineStr">
        <is>
          <t>X</t>
        </is>
      </c>
      <c r="DF54" t="inlineStr">
        <is>
          <t>X</t>
        </is>
      </c>
      <c r="DI54" t="inlineStr">
        <is>
          <t>X</t>
        </is>
      </c>
    </row>
    <row r="55">
      <c r="A55" t="inlineStr">
        <is>
          <t>OH0026137498</t>
        </is>
      </c>
      <c r="B55" t="n">
        <v>78</v>
      </c>
      <c r="C55" t="n">
        <v>456918</v>
      </c>
      <c r="D55" t="inlineStr">
        <is>
          <t>HUGHES</t>
        </is>
      </c>
      <c r="E55" t="inlineStr">
        <is>
          <t>OLIVIA</t>
        </is>
      </c>
      <c r="F55">
        <f>CONCATENATE(D55," ",LEFT(H55,4),"T=",AU55,"D=",AV55,"R=",AW55,"M=",AX55,"L=",AY55,"B=",AZ55)</f>
        <v/>
      </c>
      <c r="G55" t="inlineStr">
        <is>
          <t>ROSE</t>
        </is>
      </c>
      <c r="I55" t="inlineStr">
        <is>
          <t>1997-01-21</t>
        </is>
      </c>
      <c r="J55" t="inlineStr">
        <is>
          <t>2024-06-27</t>
        </is>
      </c>
      <c r="K55" t="inlineStr">
        <is>
          <t>ACTIVE</t>
        </is>
      </c>
      <c r="M55" t="inlineStr">
        <is>
          <t>578 ADELAIDE AVE SE</t>
        </is>
      </c>
      <c r="N55">
        <f>RIGHT(M55,LEN(M55)-FIND(" ",M55))</f>
        <v/>
      </c>
      <c r="P55" t="inlineStr">
        <is>
          <t>WARREN</t>
        </is>
      </c>
      <c r="Q55" t="inlineStr">
        <is>
          <t>OH</t>
        </is>
      </c>
      <c r="R55" t="n">
        <v>44483</v>
      </c>
      <c r="AD55" t="inlineStr">
        <is>
          <t>TRUMBULL CAREER &amp; TECH CENTER</t>
        </is>
      </c>
      <c r="AE55" t="inlineStr">
        <is>
          <t>WARREN CITY</t>
        </is>
      </c>
      <c r="AF55" t="inlineStr">
        <is>
          <t>WARREN CITY SD</t>
        </is>
      </c>
      <c r="AH55" t="n">
        <v>14</v>
      </c>
      <c r="AI55" t="n">
        <v>11</v>
      </c>
      <c r="AN55" t="inlineStr">
        <is>
          <t>WARREN</t>
        </is>
      </c>
      <c r="AO55" t="inlineStr">
        <is>
          <t>WARREN CITY 4A</t>
        </is>
      </c>
      <c r="AP55" t="inlineStr">
        <is>
          <t>78-P-ADI</t>
        </is>
      </c>
      <c r="AQ55" t="n">
        <v>9</v>
      </c>
      <c r="AR55" t="n">
        <v>64</v>
      </c>
      <c r="AS55" t="n">
        <v>32</v>
      </c>
      <c r="AU55">
        <f>COUNTA($BA$55:$EH$55)</f>
        <v/>
      </c>
      <c r="AV55">
        <f>COUNTIF($BA$55:$EH$55,"D")</f>
        <v/>
      </c>
      <c r="AW55">
        <f>COUNTIF($BA$55:$EH$55,"R")</f>
        <v/>
      </c>
      <c r="AX55">
        <f>IF(BN55="D",1,0)+IF(BO55="D",1,0)+IF(BT55="D",1,0)+IF(BU55="D",1,0)+IF(BW55="D",1,0)+IF(CC55="D",1,0)+IF(CD55="D",1,0)+IF(CE55="D",1,0)+IF(CF55="D",1,0)+IF(CL55="D",1,0)+IF(CM55="D",1,0)+IF(CQ55="D",1,0)+IF(CR55="D",1,0)+IF(CS55="D",1,0)+IF(CW55="D",1,0)+IF(CX55="D",1,0)+IF(DD55="D",1,0)+IF(DE55="D",1,0)+IF(DJ55="D",1,0)+IF(DK55="D",1,0)+IF(DO55="D",1,0)+IF(DP55="D",1,0)+IF(DQ55="D",1,0)+IF(DW55="D",1,0)+IF(DZ55="D",1,0)+IF(EH55="D",1,0)</f>
        <v/>
      </c>
      <c r="AY55">
        <f>IF(DJ55&lt;&gt;"",1,0)+IF(DK55&lt;&gt;"",1,0)+IF(DM55&lt;&gt;"",1,0)+IF(DO55&lt;&gt;"",1,0)+IF(DP55&lt;&gt;"",1,0)+IF(DQ55&lt;&gt;"",1,0)+IF(DS55&lt;&gt;"",1,0)+IF(DT55&lt;&gt;"",1,0)+IF(DV55&lt;&gt;"",1,0)+IF(DW55&lt;&gt;"",1,0)+IF(DX55&lt;&gt;"",1,0)+IF(DY55&lt;&gt;"",1,0)+IF(DZ55&lt;&gt;"",1,0)+IF(EB55&lt;&gt;"",1,0)+IF(EC55&lt;&gt;"",1,0)+IF(ED55&lt;&gt;"",1,0)+IF(EG55&lt;&gt;"",1,0)+IF(EH55&lt;&gt;"",1,0)</f>
        <v/>
      </c>
      <c r="AZ55">
        <f>IF(EH55&lt;&gt;"",1,0)</f>
        <v/>
      </c>
      <c r="BB55" t="inlineStr">
        <is>
          <t>WARREN-WARD 4</t>
        </is>
      </c>
      <c r="DC55" t="inlineStr">
        <is>
          <t>X</t>
        </is>
      </c>
      <c r="DU55" t="inlineStr">
        <is>
          <t>X</t>
        </is>
      </c>
      <c r="EF55" t="inlineStr">
        <is>
          <t>X</t>
        </is>
      </c>
    </row>
    <row r="56">
      <c r="A56" t="inlineStr">
        <is>
          <t>OH0023341477</t>
        </is>
      </c>
      <c r="B56" t="n">
        <v>78</v>
      </c>
      <c r="C56" t="n">
        <v>410841</v>
      </c>
      <c r="D56" t="inlineStr">
        <is>
          <t>HICKS</t>
        </is>
      </c>
      <c r="E56" t="inlineStr">
        <is>
          <t>TYRONE</t>
        </is>
      </c>
      <c r="F56">
        <f>CONCATENATE(D56," ",LEFT(H56,4),"T=",AU56,"D=",AV56,"R=",AW56,"M=",AX56,"L=",AY56,"B=",AZ56)</f>
        <v/>
      </c>
      <c r="G56" t="inlineStr">
        <is>
          <t>LAMAR</t>
        </is>
      </c>
      <c r="I56" t="inlineStr">
        <is>
          <t>1957-02-17</t>
        </is>
      </c>
      <c r="J56" t="inlineStr">
        <is>
          <t>2024-06-27</t>
        </is>
      </c>
      <c r="K56" t="inlineStr">
        <is>
          <t>ACTIVE</t>
        </is>
      </c>
      <c r="M56" t="inlineStr">
        <is>
          <t>877 KENILWORTH AVE SE</t>
        </is>
      </c>
      <c r="N56">
        <f>RIGHT(M56,LEN(M56)-FIND(" ",M56))</f>
        <v/>
      </c>
      <c r="O56" t="inlineStr">
        <is>
          <t>APT 1</t>
        </is>
      </c>
      <c r="P56" t="inlineStr">
        <is>
          <t>WARREN</t>
        </is>
      </c>
      <c r="Q56" t="inlineStr">
        <is>
          <t>OH</t>
        </is>
      </c>
      <c r="R56" t="n">
        <v>44484</v>
      </c>
      <c r="AD56" t="inlineStr">
        <is>
          <t>TRUMBULL CAREER &amp; TECH CENTER</t>
        </is>
      </c>
      <c r="AE56" t="inlineStr">
        <is>
          <t>WARREN CITY</t>
        </is>
      </c>
      <c r="AF56" t="inlineStr">
        <is>
          <t>WARREN CITY SD</t>
        </is>
      </c>
      <c r="AH56" t="n">
        <v>14</v>
      </c>
      <c r="AI56" t="n">
        <v>11</v>
      </c>
      <c r="AN56" t="inlineStr">
        <is>
          <t>WARREN</t>
        </is>
      </c>
      <c r="AO56" t="inlineStr">
        <is>
          <t>WARREN CITY 4A</t>
        </is>
      </c>
      <c r="AP56" t="inlineStr">
        <is>
          <t>78-P-ADI</t>
        </is>
      </c>
      <c r="AQ56" t="n">
        <v>9</v>
      </c>
      <c r="AR56" t="n">
        <v>64</v>
      </c>
      <c r="AS56" t="n">
        <v>32</v>
      </c>
      <c r="AU56">
        <f>COUNTA($BA$56:$EH$56)</f>
        <v/>
      </c>
      <c r="AV56">
        <f>COUNTIF($BA$56:$EH$56,"D")</f>
        <v/>
      </c>
      <c r="AW56">
        <f>COUNTIF($BA$56:$EH$56,"R")</f>
        <v/>
      </c>
      <c r="AX56">
        <f>IF(BN56="D",1,0)+IF(BO56="D",1,0)+IF(BT56="D",1,0)+IF(BU56="D",1,0)+IF(BW56="D",1,0)+IF(CC56="D",1,0)+IF(CD56="D",1,0)+IF(CE56="D",1,0)+IF(CF56="D",1,0)+IF(CL56="D",1,0)+IF(CM56="D",1,0)+IF(CQ56="D",1,0)+IF(CR56="D",1,0)+IF(CS56="D",1,0)+IF(CW56="D",1,0)+IF(CX56="D",1,0)+IF(DD56="D",1,0)+IF(DE56="D",1,0)+IF(DJ56="D",1,0)+IF(DK56="D",1,0)+IF(DO56="D",1,0)+IF(DP56="D",1,0)+IF(DQ56="D",1,0)+IF(DW56="D",1,0)+IF(DZ56="D",1,0)+IF(EH56="D",1,0)</f>
        <v/>
      </c>
      <c r="AY56">
        <f>IF(DJ56&lt;&gt;"",1,0)+IF(DK56&lt;&gt;"",1,0)+IF(DM56&lt;&gt;"",1,0)+IF(DO56&lt;&gt;"",1,0)+IF(DP56&lt;&gt;"",1,0)+IF(DQ56&lt;&gt;"",1,0)+IF(DS56&lt;&gt;"",1,0)+IF(DT56&lt;&gt;"",1,0)+IF(DV56&lt;&gt;"",1,0)+IF(DW56&lt;&gt;"",1,0)+IF(DX56&lt;&gt;"",1,0)+IF(DY56&lt;&gt;"",1,0)+IF(DZ56&lt;&gt;"",1,0)+IF(EB56&lt;&gt;"",1,0)+IF(EC56&lt;&gt;"",1,0)+IF(ED56&lt;&gt;"",1,0)+IF(EG56&lt;&gt;"",1,0)+IF(EH56&lt;&gt;"",1,0)</f>
        <v/>
      </c>
      <c r="AZ56">
        <f>IF(EH56&lt;&gt;"",1,0)</f>
        <v/>
      </c>
      <c r="BB56" t="inlineStr">
        <is>
          <t>WARREN-WARD 4</t>
        </is>
      </c>
      <c r="CY56" t="inlineStr">
        <is>
          <t>X</t>
        </is>
      </c>
      <c r="DC56" t="inlineStr">
        <is>
          <t>X</t>
        </is>
      </c>
    </row>
    <row r="57">
      <c r="A57" t="inlineStr">
        <is>
          <t>OH0023646189</t>
        </is>
      </c>
      <c r="B57" t="n">
        <v>78</v>
      </c>
      <c r="C57" t="n">
        <v>415980</v>
      </c>
      <c r="D57" t="inlineStr">
        <is>
          <t>MORGAN</t>
        </is>
      </c>
      <c r="E57" t="inlineStr">
        <is>
          <t>DARRIN</t>
        </is>
      </c>
      <c r="F57">
        <f>CONCATENATE(D57," ",LEFT(H57,4),"T=",AU57,"D=",AV57,"R=",AW57,"M=",AX57,"L=",AY57,"B=",AZ57)</f>
        <v/>
      </c>
      <c r="G57" t="inlineStr">
        <is>
          <t>MICHAEL</t>
        </is>
      </c>
      <c r="I57" t="inlineStr">
        <is>
          <t>1997-03-01</t>
        </is>
      </c>
      <c r="J57" t="inlineStr">
        <is>
          <t>2016-03-15</t>
        </is>
      </c>
      <c r="K57" t="inlineStr">
        <is>
          <t>ACTIVE</t>
        </is>
      </c>
      <c r="M57" t="inlineStr">
        <is>
          <t>607 OAK KNOLL AVE SE</t>
        </is>
      </c>
      <c r="N57">
        <f>RIGHT(M57,LEN(M57)-FIND(" ",M57))</f>
        <v/>
      </c>
      <c r="P57" t="inlineStr">
        <is>
          <t>WARREN</t>
        </is>
      </c>
      <c r="Q57" t="inlineStr">
        <is>
          <t>OH</t>
        </is>
      </c>
      <c r="R57" t="n">
        <v>44483</v>
      </c>
      <c r="AD57" t="inlineStr">
        <is>
          <t>TRUMBULL CAREER &amp; TECH CENTER</t>
        </is>
      </c>
      <c r="AE57" t="inlineStr">
        <is>
          <t>WARREN CITY</t>
        </is>
      </c>
      <c r="AF57" t="inlineStr">
        <is>
          <t>WARREN CITY SD</t>
        </is>
      </c>
      <c r="AH57" t="n">
        <v>14</v>
      </c>
      <c r="AI57" t="n">
        <v>11</v>
      </c>
      <c r="AN57" t="inlineStr">
        <is>
          <t>WARREN</t>
        </is>
      </c>
      <c r="AO57" t="inlineStr">
        <is>
          <t>WARREN CITY 4A</t>
        </is>
      </c>
      <c r="AP57" t="inlineStr">
        <is>
          <t>78-P-ADI</t>
        </is>
      </c>
      <c r="AQ57" t="n">
        <v>9</v>
      </c>
      <c r="AR57" t="n">
        <v>64</v>
      </c>
      <c r="AS57" t="n">
        <v>32</v>
      </c>
      <c r="AU57">
        <f>COUNTA($BA$57:$EH$57)</f>
        <v/>
      </c>
      <c r="AV57">
        <f>COUNTIF($BA$57:$EH$57,"D")</f>
        <v/>
      </c>
      <c r="AW57">
        <f>COUNTIF($BA$57:$EH$57,"R")</f>
        <v/>
      </c>
      <c r="AX57">
        <f>IF(BN57="D",1,0)+IF(BO57="D",1,0)+IF(BT57="D",1,0)+IF(BU57="D",1,0)+IF(BW57="D",1,0)+IF(CC57="D",1,0)+IF(CD57="D",1,0)+IF(CE57="D",1,0)+IF(CF57="D",1,0)+IF(CL57="D",1,0)+IF(CM57="D",1,0)+IF(CQ57="D",1,0)+IF(CR57="D",1,0)+IF(CS57="D",1,0)+IF(CW57="D",1,0)+IF(CX57="D",1,0)+IF(DD57="D",1,0)+IF(DE57="D",1,0)+IF(DJ57="D",1,0)+IF(DK57="D",1,0)+IF(DO57="D",1,0)+IF(DP57="D",1,0)+IF(DQ57="D",1,0)+IF(DW57="D",1,0)+IF(DZ57="D",1,0)+IF(EH57="D",1,0)</f>
        <v/>
      </c>
      <c r="AY57">
        <f>IF(DJ57&lt;&gt;"",1,0)+IF(DK57&lt;&gt;"",1,0)+IF(DM57&lt;&gt;"",1,0)+IF(DO57&lt;&gt;"",1,0)+IF(DP57&lt;&gt;"",1,0)+IF(DQ57&lt;&gt;"",1,0)+IF(DS57&lt;&gt;"",1,0)+IF(DT57&lt;&gt;"",1,0)+IF(DV57&lt;&gt;"",1,0)+IF(DW57&lt;&gt;"",1,0)+IF(DX57&lt;&gt;"",1,0)+IF(DY57&lt;&gt;"",1,0)+IF(DZ57&lt;&gt;"",1,0)+IF(EB57&lt;&gt;"",1,0)+IF(EC57&lt;&gt;"",1,0)+IF(ED57&lt;&gt;"",1,0)+IF(EG57&lt;&gt;"",1,0)+IF(EH57&lt;&gt;"",1,0)</f>
        <v/>
      </c>
      <c r="AZ57">
        <f>IF(EH57&lt;&gt;"",1,0)</f>
        <v/>
      </c>
      <c r="BB57" t="inlineStr">
        <is>
          <t>WARREN-WARD 4</t>
        </is>
      </c>
      <c r="DC57" t="inlineStr">
        <is>
          <t>X</t>
        </is>
      </c>
      <c r="DI57" t="inlineStr">
        <is>
          <t>X</t>
        </is>
      </c>
      <c r="DU57" t="inlineStr">
        <is>
          <t>X</t>
        </is>
      </c>
      <c r="DX57" t="inlineStr">
        <is>
          <t>X</t>
        </is>
      </c>
    </row>
    <row r="58">
      <c r="A58" t="inlineStr">
        <is>
          <t>OH0027951651</t>
        </is>
      </c>
      <c r="B58" t="n">
        <v>78</v>
      </c>
      <c r="C58" t="n">
        <v>495907</v>
      </c>
      <c r="D58" t="inlineStr">
        <is>
          <t>VIGORITO</t>
        </is>
      </c>
      <c r="E58" t="inlineStr">
        <is>
          <t>CHRISTOPHER</t>
        </is>
      </c>
      <c r="F58">
        <f>CONCATENATE(D58," ",LEFT(H58,4),"T=",AU58,"D=",AV58,"R=",AW58,"M=",AX58,"L=",AY58,"B=",AZ58)</f>
        <v/>
      </c>
      <c r="G58" t="inlineStr">
        <is>
          <t>MICHEAL</t>
        </is>
      </c>
      <c r="I58" t="inlineStr">
        <is>
          <t>1991-04-21</t>
        </is>
      </c>
      <c r="J58" t="inlineStr">
        <is>
          <t>2025-04-24</t>
        </is>
      </c>
      <c r="K58" t="inlineStr">
        <is>
          <t>ACTIVE</t>
        </is>
      </c>
      <c r="M58" t="inlineStr">
        <is>
          <t>156 ADELAIDE AVE SE</t>
        </is>
      </c>
      <c r="N58">
        <f>RIGHT(M58,LEN(M58)-FIND(" ",M58))</f>
        <v/>
      </c>
      <c r="O58" t="inlineStr">
        <is>
          <t>APT B</t>
        </is>
      </c>
      <c r="P58" t="inlineStr">
        <is>
          <t>WARREN</t>
        </is>
      </c>
      <c r="Q58" t="inlineStr">
        <is>
          <t>OH</t>
        </is>
      </c>
      <c r="R58" t="n">
        <v>44483</v>
      </c>
      <c r="AD58" t="inlineStr">
        <is>
          <t>TRUMBULL CAREER &amp; TECH CENTER</t>
        </is>
      </c>
      <c r="AE58" t="inlineStr">
        <is>
          <t>WARREN CITY</t>
        </is>
      </c>
      <c r="AF58" t="inlineStr">
        <is>
          <t>WARREN CITY SD</t>
        </is>
      </c>
      <c r="AH58" t="n">
        <v>14</v>
      </c>
      <c r="AI58" t="n">
        <v>11</v>
      </c>
      <c r="AN58" t="inlineStr">
        <is>
          <t>WARREN</t>
        </is>
      </c>
      <c r="AO58" t="inlineStr">
        <is>
          <t>WARREN CITY 4A</t>
        </is>
      </c>
      <c r="AP58" t="inlineStr">
        <is>
          <t>78-P-ADI</t>
        </is>
      </c>
      <c r="AQ58" t="n">
        <v>9</v>
      </c>
      <c r="AR58" t="n">
        <v>64</v>
      </c>
      <c r="AS58" t="n">
        <v>32</v>
      </c>
      <c r="AU58">
        <f>COUNTA($BA$58:$EH$58)</f>
        <v/>
      </c>
      <c r="AV58">
        <f>COUNTIF($BA$58:$EH$58,"D")</f>
        <v/>
      </c>
      <c r="AW58">
        <f>COUNTIF($BA$58:$EH$58,"R")</f>
        <v/>
      </c>
      <c r="AX58">
        <f>IF(BN58="D",1,0)+IF(BO58="D",1,0)+IF(BT58="D",1,0)+IF(BU58="D",1,0)+IF(BW58="D",1,0)+IF(CC58="D",1,0)+IF(CD58="D",1,0)+IF(CE58="D",1,0)+IF(CF58="D",1,0)+IF(CL58="D",1,0)+IF(CM58="D",1,0)+IF(CQ58="D",1,0)+IF(CR58="D",1,0)+IF(CS58="D",1,0)+IF(CW58="D",1,0)+IF(CX58="D",1,0)+IF(DD58="D",1,0)+IF(DE58="D",1,0)+IF(DJ58="D",1,0)+IF(DK58="D",1,0)+IF(DO58="D",1,0)+IF(DP58="D",1,0)+IF(DQ58="D",1,0)+IF(DW58="D",1,0)+IF(DZ58="D",1,0)+IF(EH58="D",1,0)</f>
        <v/>
      </c>
      <c r="AY58">
        <f>IF(DJ58&lt;&gt;"",1,0)+IF(DK58&lt;&gt;"",1,0)+IF(DM58&lt;&gt;"",1,0)+IF(DO58&lt;&gt;"",1,0)+IF(DP58&lt;&gt;"",1,0)+IF(DQ58&lt;&gt;"",1,0)+IF(DS58&lt;&gt;"",1,0)+IF(DT58&lt;&gt;"",1,0)+IF(DV58&lt;&gt;"",1,0)+IF(DW58&lt;&gt;"",1,0)+IF(DX58&lt;&gt;"",1,0)+IF(DY58&lt;&gt;"",1,0)+IF(DZ58&lt;&gt;"",1,0)+IF(EB58&lt;&gt;"",1,0)+IF(EC58&lt;&gt;"",1,0)+IF(ED58&lt;&gt;"",1,0)+IF(EG58&lt;&gt;"",1,0)+IF(EH58&lt;&gt;"",1,0)</f>
        <v/>
      </c>
      <c r="AZ58">
        <f>IF(EH58&lt;&gt;"",1,0)</f>
        <v/>
      </c>
      <c r="BB58" t="inlineStr">
        <is>
          <t>WARREN-WARD 4</t>
        </is>
      </c>
    </row>
    <row r="59">
      <c r="A59" t="inlineStr">
        <is>
          <t>OH0015687655</t>
        </is>
      </c>
      <c r="B59" t="n">
        <v>78</v>
      </c>
      <c r="C59" t="n">
        <v>12742</v>
      </c>
      <c r="D59" t="inlineStr">
        <is>
          <t>MONTECALVO</t>
        </is>
      </c>
      <c r="E59" t="inlineStr">
        <is>
          <t>MICHAEL</t>
        </is>
      </c>
      <c r="F59">
        <f>CONCATENATE(D59," ",LEFT(H59,4),"T=",AU59,"D=",AV59,"R=",AW59,"M=",AX59,"L=",AY59,"B=",AZ59)</f>
        <v/>
      </c>
      <c r="I59" t="inlineStr">
        <is>
          <t>1954-05-24</t>
        </is>
      </c>
      <c r="J59" t="inlineStr">
        <is>
          <t>2018-08-08</t>
        </is>
      </c>
      <c r="K59" t="inlineStr">
        <is>
          <t>CONFIRMATION</t>
        </is>
      </c>
      <c r="M59" t="inlineStr">
        <is>
          <t>715 OAK KNOLL AVE SE</t>
        </is>
      </c>
      <c r="N59">
        <f>RIGHT(M59,LEN(M59)-FIND(" ",M59))</f>
        <v/>
      </c>
      <c r="P59" t="inlineStr">
        <is>
          <t>WARREN</t>
        </is>
      </c>
      <c r="Q59" t="inlineStr">
        <is>
          <t>OH</t>
        </is>
      </c>
      <c r="R59" t="n">
        <v>44484</v>
      </c>
      <c r="AD59" t="inlineStr">
        <is>
          <t>TRUMBULL CAREER &amp; TECH CENTER</t>
        </is>
      </c>
      <c r="AE59" t="inlineStr">
        <is>
          <t>WARREN CITY</t>
        </is>
      </c>
      <c r="AF59" t="inlineStr">
        <is>
          <t>WARREN CITY SD</t>
        </is>
      </c>
      <c r="AH59" t="n">
        <v>14</v>
      </c>
      <c r="AI59" t="n">
        <v>11</v>
      </c>
      <c r="AN59" t="inlineStr">
        <is>
          <t>WARREN</t>
        </is>
      </c>
      <c r="AO59" t="inlineStr">
        <is>
          <t>WARREN CITY 4A</t>
        </is>
      </c>
      <c r="AP59" t="inlineStr">
        <is>
          <t>78-P-ADI</t>
        </is>
      </c>
      <c r="AQ59" t="n">
        <v>9</v>
      </c>
      <c r="AR59" t="n">
        <v>64</v>
      </c>
      <c r="AS59" t="n">
        <v>32</v>
      </c>
      <c r="AU59">
        <f>COUNTA($BA$59:$EH$59)</f>
        <v/>
      </c>
      <c r="AV59">
        <f>COUNTIF($BA$59:$EH$59,"D")</f>
        <v/>
      </c>
      <c r="AW59">
        <f>COUNTIF($BA$59:$EH$59,"R")</f>
        <v/>
      </c>
      <c r="AX59">
        <f>IF(BN59="D",1,0)+IF(BO59="D",1,0)+IF(BT59="D",1,0)+IF(BU59="D",1,0)+IF(BW59="D",1,0)+IF(CC59="D",1,0)+IF(CD59="D",1,0)+IF(CE59="D",1,0)+IF(CF59="D",1,0)+IF(CL59="D",1,0)+IF(CM59="D",1,0)+IF(CQ59="D",1,0)+IF(CR59="D",1,0)+IF(CS59="D",1,0)+IF(CW59="D",1,0)+IF(CX59="D",1,0)+IF(DD59="D",1,0)+IF(DE59="D",1,0)+IF(DJ59="D",1,0)+IF(DK59="D",1,0)+IF(DO59="D",1,0)+IF(DP59="D",1,0)+IF(DQ59="D",1,0)+IF(DW59="D",1,0)+IF(DZ59="D",1,0)+IF(EH59="D",1,0)</f>
        <v/>
      </c>
      <c r="AY59">
        <f>IF(DJ59&lt;&gt;"",1,0)+IF(DK59&lt;&gt;"",1,0)+IF(DM59&lt;&gt;"",1,0)+IF(DO59&lt;&gt;"",1,0)+IF(DP59&lt;&gt;"",1,0)+IF(DQ59&lt;&gt;"",1,0)+IF(DS59&lt;&gt;"",1,0)+IF(DT59&lt;&gt;"",1,0)+IF(DV59&lt;&gt;"",1,0)+IF(DW59&lt;&gt;"",1,0)+IF(DX59&lt;&gt;"",1,0)+IF(DY59&lt;&gt;"",1,0)+IF(DZ59&lt;&gt;"",1,0)+IF(EB59&lt;&gt;"",1,0)+IF(EC59&lt;&gt;"",1,0)+IF(ED59&lt;&gt;"",1,0)+IF(EG59&lt;&gt;"",1,0)+IF(EH59&lt;&gt;"",1,0)</f>
        <v/>
      </c>
      <c r="AZ59">
        <f>IF(EH59&lt;&gt;"",1,0)</f>
        <v/>
      </c>
      <c r="BB59" t="inlineStr">
        <is>
          <t>WARREN-WARD 4</t>
        </is>
      </c>
      <c r="BC59" t="inlineStr">
        <is>
          <t>X</t>
        </is>
      </c>
      <c r="BD59" t="inlineStr">
        <is>
          <t>X</t>
        </is>
      </c>
      <c r="BE59" t="inlineStr">
        <is>
          <t>X</t>
        </is>
      </c>
      <c r="BF59" t="inlineStr">
        <is>
          <t>X</t>
        </is>
      </c>
      <c r="BH59" t="inlineStr">
        <is>
          <t>X</t>
        </is>
      </c>
      <c r="BI59" t="inlineStr">
        <is>
          <t>X</t>
        </is>
      </c>
      <c r="BJ59" t="inlineStr">
        <is>
          <t>X</t>
        </is>
      </c>
      <c r="BK59" t="inlineStr">
        <is>
          <t>X</t>
        </is>
      </c>
      <c r="BL59" t="inlineStr">
        <is>
          <t>X</t>
        </is>
      </c>
      <c r="BS59" t="inlineStr">
        <is>
          <t>X</t>
        </is>
      </c>
    </row>
    <row r="60">
      <c r="A60" t="inlineStr">
        <is>
          <t>OH0027517398</t>
        </is>
      </c>
      <c r="B60" t="n">
        <v>78</v>
      </c>
      <c r="C60" t="n">
        <v>487663</v>
      </c>
      <c r="D60" t="inlineStr">
        <is>
          <t>BROWN</t>
        </is>
      </c>
      <c r="E60" t="inlineStr">
        <is>
          <t>JEFFERY</t>
        </is>
      </c>
      <c r="F60">
        <f>CONCATENATE(D60," ",LEFT(H60,4),"T=",AU60,"D=",AV60,"R=",AW60,"M=",AX60,"L=",AY60,"B=",AZ60)</f>
        <v/>
      </c>
      <c r="G60" t="inlineStr">
        <is>
          <t>G</t>
        </is>
      </c>
      <c r="H60" t="inlineStr">
        <is>
          <t>JR</t>
        </is>
      </c>
      <c r="I60" t="inlineStr">
        <is>
          <t>1973-11-24</t>
        </is>
      </c>
      <c r="J60" t="inlineStr">
        <is>
          <t>2024-08-05</t>
        </is>
      </c>
      <c r="K60" t="inlineStr">
        <is>
          <t>ACTIVE</t>
        </is>
      </c>
      <c r="M60" t="inlineStr">
        <is>
          <t>829 KENILWORTH AVE SE</t>
        </is>
      </c>
      <c r="N60">
        <f>RIGHT(M60,LEN(M60)-FIND(" ",M60))</f>
        <v/>
      </c>
      <c r="P60" t="inlineStr">
        <is>
          <t>WARREN</t>
        </is>
      </c>
      <c r="Q60" t="inlineStr">
        <is>
          <t>OH</t>
        </is>
      </c>
      <c r="R60" t="n">
        <v>44484</v>
      </c>
      <c r="AD60" t="inlineStr">
        <is>
          <t>TRUMBULL CAREER &amp; TECH CENTER</t>
        </is>
      </c>
      <c r="AE60" t="inlineStr">
        <is>
          <t>WARREN CITY</t>
        </is>
      </c>
      <c r="AF60" t="inlineStr">
        <is>
          <t>WARREN CITY SD</t>
        </is>
      </c>
      <c r="AH60" t="n">
        <v>14</v>
      </c>
      <c r="AI60" t="n">
        <v>11</v>
      </c>
      <c r="AN60" t="inlineStr">
        <is>
          <t>WARREN</t>
        </is>
      </c>
      <c r="AO60" t="inlineStr">
        <is>
          <t>WARREN CITY 4A</t>
        </is>
      </c>
      <c r="AP60" t="inlineStr">
        <is>
          <t>78-P-ADI</t>
        </is>
      </c>
      <c r="AQ60" t="n">
        <v>9</v>
      </c>
      <c r="AR60" t="n">
        <v>64</v>
      </c>
      <c r="AS60" t="n">
        <v>32</v>
      </c>
      <c r="AU60">
        <f>COUNTA($BA$60:$EH$60)</f>
        <v/>
      </c>
      <c r="AV60">
        <f>COUNTIF($BA$60:$EH$60,"D")</f>
        <v/>
      </c>
      <c r="AW60">
        <f>COUNTIF($BA$60:$EH$60,"R")</f>
        <v/>
      </c>
      <c r="AX60">
        <f>IF(BN60="D",1,0)+IF(BO60="D",1,0)+IF(BT60="D",1,0)+IF(BU60="D",1,0)+IF(BW60="D",1,0)+IF(CC60="D",1,0)+IF(CD60="D",1,0)+IF(CE60="D",1,0)+IF(CF60="D",1,0)+IF(CL60="D",1,0)+IF(CM60="D",1,0)+IF(CQ60="D",1,0)+IF(CR60="D",1,0)+IF(CS60="D",1,0)+IF(CW60="D",1,0)+IF(CX60="D",1,0)+IF(DD60="D",1,0)+IF(DE60="D",1,0)+IF(DJ60="D",1,0)+IF(DK60="D",1,0)+IF(DO60="D",1,0)+IF(DP60="D",1,0)+IF(DQ60="D",1,0)+IF(DW60="D",1,0)+IF(DZ60="D",1,0)+IF(EH60="D",1,0)</f>
        <v/>
      </c>
      <c r="AY60">
        <f>IF(DJ60&lt;&gt;"",1,0)+IF(DK60&lt;&gt;"",1,0)+IF(DM60&lt;&gt;"",1,0)+IF(DO60&lt;&gt;"",1,0)+IF(DP60&lt;&gt;"",1,0)+IF(DQ60&lt;&gt;"",1,0)+IF(DS60&lt;&gt;"",1,0)+IF(DT60&lt;&gt;"",1,0)+IF(DV60&lt;&gt;"",1,0)+IF(DW60&lt;&gt;"",1,0)+IF(DX60&lt;&gt;"",1,0)+IF(DY60&lt;&gt;"",1,0)+IF(DZ60&lt;&gt;"",1,0)+IF(EB60&lt;&gt;"",1,0)+IF(EC60&lt;&gt;"",1,0)+IF(ED60&lt;&gt;"",1,0)+IF(EG60&lt;&gt;"",1,0)+IF(EH60&lt;&gt;"",1,0)</f>
        <v/>
      </c>
      <c r="AZ60">
        <f>IF(EH60&lt;&gt;"",1,0)</f>
        <v/>
      </c>
      <c r="BB60" t="inlineStr">
        <is>
          <t>WARREN-WARD 4</t>
        </is>
      </c>
    </row>
    <row r="61">
      <c r="A61" t="inlineStr">
        <is>
          <t>OH0015788733</t>
        </is>
      </c>
      <c r="B61" t="n">
        <v>78</v>
      </c>
      <c r="C61" t="n">
        <v>291620</v>
      </c>
      <c r="D61" t="inlineStr">
        <is>
          <t>LAUER</t>
        </is>
      </c>
      <c r="E61" t="inlineStr">
        <is>
          <t>ROBERT</t>
        </is>
      </c>
      <c r="F61">
        <f>CONCATENATE(D61," ",LEFT(H61,4),"T=",AU61,"D=",AV61,"R=",AW61,"M=",AX61,"L=",AY61,"B=",AZ61)</f>
        <v/>
      </c>
      <c r="G61" t="inlineStr">
        <is>
          <t>A</t>
        </is>
      </c>
      <c r="H61" t="inlineStr">
        <is>
          <t>III</t>
        </is>
      </c>
      <c r="I61" t="inlineStr">
        <is>
          <t>1978-08-04</t>
        </is>
      </c>
      <c r="J61" t="inlineStr">
        <is>
          <t>1999-11-18</t>
        </is>
      </c>
      <c r="K61" t="inlineStr">
        <is>
          <t>ACTIVE</t>
        </is>
      </c>
      <c r="M61" t="inlineStr">
        <is>
          <t>790 WOODBINE AVE SE</t>
        </is>
      </c>
      <c r="N61">
        <f>RIGHT(M61,LEN(M61)-FIND(" ",M61))</f>
        <v/>
      </c>
      <c r="P61" t="inlineStr">
        <is>
          <t>WARREN</t>
        </is>
      </c>
      <c r="Q61" t="inlineStr">
        <is>
          <t>OH</t>
        </is>
      </c>
      <c r="R61" t="n">
        <v>44484</v>
      </c>
      <c r="AD61" t="inlineStr">
        <is>
          <t>TRUMBULL CAREER &amp; TECH CENTER</t>
        </is>
      </c>
      <c r="AE61" t="inlineStr">
        <is>
          <t>WARREN CITY</t>
        </is>
      </c>
      <c r="AF61" t="inlineStr">
        <is>
          <t>WARREN CITY SD</t>
        </is>
      </c>
      <c r="AH61" t="n">
        <v>14</v>
      </c>
      <c r="AI61" t="n">
        <v>11</v>
      </c>
      <c r="AN61" t="inlineStr">
        <is>
          <t>WARREN</t>
        </is>
      </c>
      <c r="AO61" t="inlineStr">
        <is>
          <t>WARREN CITY 4A</t>
        </is>
      </c>
      <c r="AP61" t="inlineStr">
        <is>
          <t>78-P-ADI</t>
        </is>
      </c>
      <c r="AQ61" t="n">
        <v>9</v>
      </c>
      <c r="AR61" t="n">
        <v>64</v>
      </c>
      <c r="AS61" t="n">
        <v>32</v>
      </c>
      <c r="AU61">
        <f>COUNTA($BA$61:$EH$61)</f>
        <v/>
      </c>
      <c r="AV61">
        <f>COUNTIF($BA$61:$EH$61,"D")</f>
        <v/>
      </c>
      <c r="AW61">
        <f>COUNTIF($BA$61:$EH$61,"R")</f>
        <v/>
      </c>
      <c r="AX61">
        <f>IF(BN61="D",1,0)+IF(BO61="D",1,0)+IF(BT61="D",1,0)+IF(BU61="D",1,0)+IF(BW61="D",1,0)+IF(CC61="D",1,0)+IF(CD61="D",1,0)+IF(CE61="D",1,0)+IF(CF61="D",1,0)+IF(CL61="D",1,0)+IF(CM61="D",1,0)+IF(CQ61="D",1,0)+IF(CR61="D",1,0)+IF(CS61="D",1,0)+IF(CW61="D",1,0)+IF(CX61="D",1,0)+IF(DD61="D",1,0)+IF(DE61="D",1,0)+IF(DJ61="D",1,0)+IF(DK61="D",1,0)+IF(DO61="D",1,0)+IF(DP61="D",1,0)+IF(DQ61="D",1,0)+IF(DW61="D",1,0)+IF(DZ61="D",1,0)+IF(EH61="D",1,0)</f>
        <v/>
      </c>
      <c r="AY61">
        <f>IF(DJ61&lt;&gt;"",1,0)+IF(DK61&lt;&gt;"",1,0)+IF(DM61&lt;&gt;"",1,0)+IF(DO61&lt;&gt;"",1,0)+IF(DP61&lt;&gt;"",1,0)+IF(DQ61&lt;&gt;"",1,0)+IF(DS61&lt;&gt;"",1,0)+IF(DT61&lt;&gt;"",1,0)+IF(DV61&lt;&gt;"",1,0)+IF(DW61&lt;&gt;"",1,0)+IF(DX61&lt;&gt;"",1,0)+IF(DY61&lt;&gt;"",1,0)+IF(DZ61&lt;&gt;"",1,0)+IF(EB61&lt;&gt;"",1,0)+IF(EC61&lt;&gt;"",1,0)+IF(ED61&lt;&gt;"",1,0)+IF(EG61&lt;&gt;"",1,0)+IF(EH61&lt;&gt;"",1,0)</f>
        <v/>
      </c>
      <c r="AZ61">
        <f>IF(EH61&lt;&gt;"",1,0)</f>
        <v/>
      </c>
      <c r="BB61" t="inlineStr">
        <is>
          <t>WARREN-WARD 4</t>
        </is>
      </c>
      <c r="BL61" t="inlineStr">
        <is>
          <t>X</t>
        </is>
      </c>
      <c r="BY61" t="inlineStr">
        <is>
          <t>R</t>
        </is>
      </c>
      <c r="CP61" t="inlineStr">
        <is>
          <t>X</t>
        </is>
      </c>
      <c r="DC61" t="inlineStr">
        <is>
          <t>X</t>
        </is>
      </c>
      <c r="DN61" t="inlineStr">
        <is>
          <t>X</t>
        </is>
      </c>
      <c r="EF61" t="inlineStr">
        <is>
          <t>X</t>
        </is>
      </c>
    </row>
    <row r="62">
      <c r="A62" t="inlineStr">
        <is>
          <t>OH0025125633</t>
        </is>
      </c>
      <c r="B62" t="n">
        <v>78</v>
      </c>
      <c r="C62" t="n">
        <v>440101</v>
      </c>
      <c r="D62" t="inlineStr">
        <is>
          <t>REED</t>
        </is>
      </c>
      <c r="E62" t="inlineStr">
        <is>
          <t>ADRIENN</t>
        </is>
      </c>
      <c r="F62">
        <f>CONCATENATE(D62," ",LEFT(H62,4),"T=",AU62,"D=",AV62,"R=",AW62,"M=",AX62,"L=",AY62,"B=",AZ62)</f>
        <v/>
      </c>
      <c r="G62" t="inlineStr">
        <is>
          <t>D</t>
        </is>
      </c>
      <c r="I62" t="inlineStr">
        <is>
          <t>1981-01-08</t>
        </is>
      </c>
      <c r="J62" t="inlineStr">
        <is>
          <t>2024-10-22</t>
        </is>
      </c>
      <c r="K62" t="inlineStr">
        <is>
          <t>ACTIVE</t>
        </is>
      </c>
      <c r="M62" t="inlineStr">
        <is>
          <t>225 HOMEWOOD AVE SE</t>
        </is>
      </c>
      <c r="N62">
        <f>RIGHT(M62,LEN(M62)-FIND(" ",M62))</f>
        <v/>
      </c>
      <c r="P62" t="inlineStr">
        <is>
          <t>WARREN</t>
        </is>
      </c>
      <c r="Q62" t="inlineStr">
        <is>
          <t>OH</t>
        </is>
      </c>
      <c r="R62" t="n">
        <v>44483</v>
      </c>
      <c r="AD62" t="inlineStr">
        <is>
          <t>TRUMBULL CAREER &amp; TECH CENTER</t>
        </is>
      </c>
      <c r="AE62" t="inlineStr">
        <is>
          <t>WARREN CITY</t>
        </is>
      </c>
      <c r="AF62" t="inlineStr">
        <is>
          <t>WARREN CITY SD</t>
        </is>
      </c>
      <c r="AH62" t="n">
        <v>14</v>
      </c>
      <c r="AI62" t="n">
        <v>11</v>
      </c>
      <c r="AN62" t="inlineStr">
        <is>
          <t>WARREN</t>
        </is>
      </c>
      <c r="AO62" t="inlineStr">
        <is>
          <t>WARREN CITY 4A</t>
        </is>
      </c>
      <c r="AP62" t="inlineStr">
        <is>
          <t>78-P-ADI</t>
        </is>
      </c>
      <c r="AQ62" t="n">
        <v>9</v>
      </c>
      <c r="AR62" t="n">
        <v>64</v>
      </c>
      <c r="AS62" t="n">
        <v>32</v>
      </c>
      <c r="AU62">
        <f>COUNTA($BA$62:$EH$62)</f>
        <v/>
      </c>
      <c r="AV62">
        <f>COUNTIF($BA$62:$EH$62,"D")</f>
        <v/>
      </c>
      <c r="AW62">
        <f>COUNTIF($BA$62:$EH$62,"R")</f>
        <v/>
      </c>
      <c r="AX62">
        <f>IF(BN62="D",1,0)+IF(BO62="D",1,0)+IF(BT62="D",1,0)+IF(BU62="D",1,0)+IF(BW62="D",1,0)+IF(CC62="D",1,0)+IF(CD62="D",1,0)+IF(CE62="D",1,0)+IF(CF62="D",1,0)+IF(CL62="D",1,0)+IF(CM62="D",1,0)+IF(CQ62="D",1,0)+IF(CR62="D",1,0)+IF(CS62="D",1,0)+IF(CW62="D",1,0)+IF(CX62="D",1,0)+IF(DD62="D",1,0)+IF(DE62="D",1,0)+IF(DJ62="D",1,0)+IF(DK62="D",1,0)+IF(DO62="D",1,0)+IF(DP62="D",1,0)+IF(DQ62="D",1,0)+IF(DW62="D",1,0)+IF(DZ62="D",1,0)+IF(EH62="D",1,0)</f>
        <v/>
      </c>
      <c r="AY62">
        <f>IF(DJ62&lt;&gt;"",1,0)+IF(DK62&lt;&gt;"",1,0)+IF(DM62&lt;&gt;"",1,0)+IF(DO62&lt;&gt;"",1,0)+IF(DP62&lt;&gt;"",1,0)+IF(DQ62&lt;&gt;"",1,0)+IF(DS62&lt;&gt;"",1,0)+IF(DT62&lt;&gt;"",1,0)+IF(DV62&lt;&gt;"",1,0)+IF(DW62&lt;&gt;"",1,0)+IF(DX62&lt;&gt;"",1,0)+IF(DY62&lt;&gt;"",1,0)+IF(DZ62&lt;&gt;"",1,0)+IF(EB62&lt;&gt;"",1,0)+IF(EC62&lt;&gt;"",1,0)+IF(ED62&lt;&gt;"",1,0)+IF(EG62&lt;&gt;"",1,0)+IF(EH62&lt;&gt;"",1,0)</f>
        <v/>
      </c>
      <c r="AZ62">
        <f>IF(EH62&lt;&gt;"",1,0)</f>
        <v/>
      </c>
      <c r="BB62" t="inlineStr">
        <is>
          <t>WARREN-WARD 4</t>
        </is>
      </c>
      <c r="BD62" t="inlineStr">
        <is>
          <t>X</t>
        </is>
      </c>
    </row>
    <row r="63">
      <c r="A63" t="inlineStr">
        <is>
          <t>OH0023263978</t>
        </is>
      </c>
      <c r="B63" t="n">
        <v>78</v>
      </c>
      <c r="C63" t="n">
        <v>409334</v>
      </c>
      <c r="D63" t="inlineStr">
        <is>
          <t>WILLIAMS</t>
        </is>
      </c>
      <c r="E63" t="inlineStr">
        <is>
          <t>KAYLA</t>
        </is>
      </c>
      <c r="F63">
        <f>CONCATENATE(D63," ",LEFT(H63,4),"T=",AU63,"D=",AV63,"R=",AW63,"M=",AX63,"L=",AY63,"B=",AZ63)</f>
        <v/>
      </c>
      <c r="G63" t="inlineStr">
        <is>
          <t>A</t>
        </is>
      </c>
      <c r="I63" t="inlineStr">
        <is>
          <t>1996-02-22</t>
        </is>
      </c>
      <c r="J63" t="inlineStr">
        <is>
          <t>2016-04-19</t>
        </is>
      </c>
      <c r="K63" t="inlineStr">
        <is>
          <t>CONFIRMATION</t>
        </is>
      </c>
      <c r="M63" t="inlineStr">
        <is>
          <t>1248 GRANT ST SE</t>
        </is>
      </c>
      <c r="N63">
        <f>RIGHT(M63,LEN(M63)-FIND(" ",M63))</f>
        <v/>
      </c>
      <c r="O63" t="inlineStr">
        <is>
          <t>APT 4</t>
        </is>
      </c>
      <c r="P63" t="inlineStr">
        <is>
          <t>WARREN</t>
        </is>
      </c>
      <c r="Q63" t="inlineStr">
        <is>
          <t>OH</t>
        </is>
      </c>
      <c r="R63" t="n">
        <v>44483</v>
      </c>
      <c r="AD63" t="inlineStr">
        <is>
          <t>TRUMBULL CAREER &amp; TECH CENTER</t>
        </is>
      </c>
      <c r="AE63" t="inlineStr">
        <is>
          <t>WARREN CITY</t>
        </is>
      </c>
      <c r="AF63" t="inlineStr">
        <is>
          <t>WARREN CITY SD</t>
        </is>
      </c>
      <c r="AH63" t="n">
        <v>14</v>
      </c>
      <c r="AI63" t="n">
        <v>11</v>
      </c>
      <c r="AN63" t="inlineStr">
        <is>
          <t>WARREN</t>
        </is>
      </c>
      <c r="AO63" t="inlineStr">
        <is>
          <t>WARREN CITY 4A</t>
        </is>
      </c>
      <c r="AP63" t="inlineStr">
        <is>
          <t>78-P-ADI</t>
        </is>
      </c>
      <c r="AQ63" t="n">
        <v>9</v>
      </c>
      <c r="AR63" t="n">
        <v>64</v>
      </c>
      <c r="AS63" t="n">
        <v>32</v>
      </c>
      <c r="AU63">
        <f>COUNTA($BA$63:$EH$63)</f>
        <v/>
      </c>
      <c r="AV63">
        <f>COUNTIF($BA$63:$EH$63,"D")</f>
        <v/>
      </c>
      <c r="AW63">
        <f>COUNTIF($BA$63:$EH$63,"R")</f>
        <v/>
      </c>
      <c r="AX63">
        <f>IF(BN63="D",1,0)+IF(BO63="D",1,0)+IF(BT63="D",1,0)+IF(BU63="D",1,0)+IF(BW63="D",1,0)+IF(CC63="D",1,0)+IF(CD63="D",1,0)+IF(CE63="D",1,0)+IF(CF63="D",1,0)+IF(CL63="D",1,0)+IF(CM63="D",1,0)+IF(CQ63="D",1,0)+IF(CR63="D",1,0)+IF(CS63="D",1,0)+IF(CW63="D",1,0)+IF(CX63="D",1,0)+IF(DD63="D",1,0)+IF(DE63="D",1,0)+IF(DJ63="D",1,0)+IF(DK63="D",1,0)+IF(DO63="D",1,0)+IF(DP63="D",1,0)+IF(DQ63="D",1,0)+IF(DW63="D",1,0)+IF(DZ63="D",1,0)+IF(EH63="D",1,0)</f>
        <v/>
      </c>
      <c r="AY63">
        <f>IF(DJ63&lt;&gt;"",1,0)+IF(DK63&lt;&gt;"",1,0)+IF(DM63&lt;&gt;"",1,0)+IF(DO63&lt;&gt;"",1,0)+IF(DP63&lt;&gt;"",1,0)+IF(DQ63&lt;&gt;"",1,0)+IF(DS63&lt;&gt;"",1,0)+IF(DT63&lt;&gt;"",1,0)+IF(DV63&lt;&gt;"",1,0)+IF(DW63&lt;&gt;"",1,0)+IF(DX63&lt;&gt;"",1,0)+IF(DY63&lt;&gt;"",1,0)+IF(DZ63&lt;&gt;"",1,0)+IF(EB63&lt;&gt;"",1,0)+IF(EC63&lt;&gt;"",1,0)+IF(ED63&lt;&gt;"",1,0)+IF(EG63&lt;&gt;"",1,0)+IF(EH63&lt;&gt;"",1,0)</f>
        <v/>
      </c>
      <c r="AZ63">
        <f>IF(EH63&lt;&gt;"",1,0)</f>
        <v/>
      </c>
      <c r="BB63" t="inlineStr">
        <is>
          <t>WARREN-WARD 4</t>
        </is>
      </c>
    </row>
    <row r="64">
      <c r="A64" t="inlineStr">
        <is>
          <t>OH0025317552</t>
        </is>
      </c>
      <c r="B64" t="n">
        <v>78</v>
      </c>
      <c r="C64" t="n">
        <v>442652</v>
      </c>
      <c r="D64" t="inlineStr">
        <is>
          <t>KERCHOFER</t>
        </is>
      </c>
      <c r="E64" t="inlineStr">
        <is>
          <t>DAVID</t>
        </is>
      </c>
      <c r="F64">
        <f>CONCATENATE(D64," ",LEFT(H64,4),"T=",AU64,"D=",AV64,"R=",AW64,"M=",AX64,"L=",AY64,"B=",AZ64)</f>
        <v/>
      </c>
      <c r="G64" t="inlineStr">
        <is>
          <t>T</t>
        </is>
      </c>
      <c r="I64" t="inlineStr">
        <is>
          <t>1967-05-30</t>
        </is>
      </c>
      <c r="J64" t="inlineStr">
        <is>
          <t>2019-10-29</t>
        </is>
      </c>
      <c r="K64" t="inlineStr">
        <is>
          <t>CONFIRMATION</t>
        </is>
      </c>
      <c r="M64" t="inlineStr">
        <is>
          <t>115 LOGAN AVE SE</t>
        </is>
      </c>
      <c r="N64">
        <f>RIGHT(M64,LEN(M64)-FIND(" ",M64))</f>
        <v/>
      </c>
      <c r="P64" t="inlineStr">
        <is>
          <t>WARREN</t>
        </is>
      </c>
      <c r="Q64" t="inlineStr">
        <is>
          <t>OH</t>
        </is>
      </c>
      <c r="R64" t="n">
        <v>44483</v>
      </c>
      <c r="AD64" t="inlineStr">
        <is>
          <t>TRUMBULL CAREER &amp; TECH CENTER</t>
        </is>
      </c>
      <c r="AE64" t="inlineStr">
        <is>
          <t>WARREN CITY</t>
        </is>
      </c>
      <c r="AF64" t="inlineStr">
        <is>
          <t>WARREN CITY SD</t>
        </is>
      </c>
      <c r="AH64" t="n">
        <v>14</v>
      </c>
      <c r="AI64" t="n">
        <v>11</v>
      </c>
      <c r="AN64" t="inlineStr">
        <is>
          <t>WARREN</t>
        </is>
      </c>
      <c r="AO64" t="inlineStr">
        <is>
          <t>WARREN CITY 4A</t>
        </is>
      </c>
      <c r="AP64" t="inlineStr">
        <is>
          <t>78-P-ADI</t>
        </is>
      </c>
      <c r="AQ64" t="n">
        <v>9</v>
      </c>
      <c r="AR64" t="n">
        <v>64</v>
      </c>
      <c r="AS64" t="n">
        <v>32</v>
      </c>
      <c r="AU64">
        <f>COUNTA($BA$64:$EH$64)</f>
        <v/>
      </c>
      <c r="AV64">
        <f>COUNTIF($BA$64:$EH$64,"D")</f>
        <v/>
      </c>
      <c r="AW64">
        <f>COUNTIF($BA$64:$EH$64,"R")</f>
        <v/>
      </c>
      <c r="AX64">
        <f>IF(BN64="D",1,0)+IF(BO64="D",1,0)+IF(BT64="D",1,0)+IF(BU64="D",1,0)+IF(BW64="D",1,0)+IF(CC64="D",1,0)+IF(CD64="D",1,0)+IF(CE64="D",1,0)+IF(CF64="D",1,0)+IF(CL64="D",1,0)+IF(CM64="D",1,0)+IF(CQ64="D",1,0)+IF(CR64="D",1,0)+IF(CS64="D",1,0)+IF(CW64="D",1,0)+IF(CX64="D",1,0)+IF(DD64="D",1,0)+IF(DE64="D",1,0)+IF(DJ64="D",1,0)+IF(DK64="D",1,0)+IF(DO64="D",1,0)+IF(DP64="D",1,0)+IF(DQ64="D",1,0)+IF(DW64="D",1,0)+IF(DZ64="D",1,0)+IF(EH64="D",1,0)</f>
        <v/>
      </c>
      <c r="AY64">
        <f>IF(DJ64&lt;&gt;"",1,0)+IF(DK64&lt;&gt;"",1,0)+IF(DM64&lt;&gt;"",1,0)+IF(DO64&lt;&gt;"",1,0)+IF(DP64&lt;&gt;"",1,0)+IF(DQ64&lt;&gt;"",1,0)+IF(DS64&lt;&gt;"",1,0)+IF(DT64&lt;&gt;"",1,0)+IF(DV64&lt;&gt;"",1,0)+IF(DW64&lt;&gt;"",1,0)+IF(DX64&lt;&gt;"",1,0)+IF(DY64&lt;&gt;"",1,0)+IF(DZ64&lt;&gt;"",1,0)+IF(EB64&lt;&gt;"",1,0)+IF(EC64&lt;&gt;"",1,0)+IF(ED64&lt;&gt;"",1,0)+IF(EG64&lt;&gt;"",1,0)+IF(EH64&lt;&gt;"",1,0)</f>
        <v/>
      </c>
      <c r="AZ64">
        <f>IF(EH64&lt;&gt;"",1,0)</f>
        <v/>
      </c>
      <c r="BB64" t="inlineStr">
        <is>
          <t>WARREN-WARD 4</t>
        </is>
      </c>
      <c r="DN64" t="inlineStr">
        <is>
          <t>X</t>
        </is>
      </c>
    </row>
    <row r="65">
      <c r="A65" t="inlineStr">
        <is>
          <t>OH0024784464</t>
        </is>
      </c>
      <c r="B65" t="n">
        <v>78</v>
      </c>
      <c r="C65" t="n">
        <v>434979</v>
      </c>
      <c r="D65" t="inlineStr">
        <is>
          <t>GANTZ</t>
        </is>
      </c>
      <c r="E65" t="inlineStr">
        <is>
          <t>MARQUIS</t>
        </is>
      </c>
      <c r="F65">
        <f>CONCATENATE(D65," ",LEFT(H65,4),"T=",AU65,"D=",AV65,"R=",AW65,"M=",AX65,"L=",AY65,"B=",AZ65)</f>
        <v/>
      </c>
      <c r="G65" t="inlineStr">
        <is>
          <t>E</t>
        </is>
      </c>
      <c r="I65" t="inlineStr">
        <is>
          <t>1991-08-19</t>
        </is>
      </c>
      <c r="J65" t="inlineStr">
        <is>
          <t>2020-10-06</t>
        </is>
      </c>
      <c r="K65" t="inlineStr">
        <is>
          <t>CONFIRMATION</t>
        </is>
      </c>
      <c r="M65" t="inlineStr">
        <is>
          <t>741 KENILWORTH AVE SE</t>
        </is>
      </c>
      <c r="N65">
        <f>RIGHT(M65,LEN(M65)-FIND(" ",M65))</f>
        <v/>
      </c>
      <c r="P65" t="inlineStr">
        <is>
          <t>WARREN</t>
        </is>
      </c>
      <c r="Q65" t="inlineStr">
        <is>
          <t>OH</t>
        </is>
      </c>
      <c r="R65" t="n">
        <v>44484</v>
      </c>
      <c r="AD65" t="inlineStr">
        <is>
          <t>TRUMBULL CAREER &amp; TECH CENTER</t>
        </is>
      </c>
      <c r="AE65" t="inlineStr">
        <is>
          <t>WARREN CITY</t>
        </is>
      </c>
      <c r="AF65" t="inlineStr">
        <is>
          <t>WARREN CITY SD</t>
        </is>
      </c>
      <c r="AH65" t="n">
        <v>14</v>
      </c>
      <c r="AI65" t="n">
        <v>11</v>
      </c>
      <c r="AN65" t="inlineStr">
        <is>
          <t>WARREN</t>
        </is>
      </c>
      <c r="AO65" t="inlineStr">
        <is>
          <t>WARREN CITY 4A</t>
        </is>
      </c>
      <c r="AP65" t="inlineStr">
        <is>
          <t>78-P-ADI</t>
        </is>
      </c>
      <c r="AQ65" t="n">
        <v>9</v>
      </c>
      <c r="AR65" t="n">
        <v>64</v>
      </c>
      <c r="AS65" t="n">
        <v>32</v>
      </c>
      <c r="AU65">
        <f>COUNTA($BA$65:$EH$65)</f>
        <v/>
      </c>
      <c r="AV65">
        <f>COUNTIF($BA$65:$EH$65,"D")</f>
        <v/>
      </c>
      <c r="AW65">
        <f>COUNTIF($BA$65:$EH$65,"R")</f>
        <v/>
      </c>
      <c r="AX65">
        <f>IF(BN65="D",1,0)+IF(BO65="D",1,0)+IF(BT65="D",1,0)+IF(BU65="D",1,0)+IF(BW65="D",1,0)+IF(CC65="D",1,0)+IF(CD65="D",1,0)+IF(CE65="D",1,0)+IF(CF65="D",1,0)+IF(CL65="D",1,0)+IF(CM65="D",1,0)+IF(CQ65="D",1,0)+IF(CR65="D",1,0)+IF(CS65="D",1,0)+IF(CW65="D",1,0)+IF(CX65="D",1,0)+IF(DD65="D",1,0)+IF(DE65="D",1,0)+IF(DJ65="D",1,0)+IF(DK65="D",1,0)+IF(DO65="D",1,0)+IF(DP65="D",1,0)+IF(DQ65="D",1,0)+IF(DW65="D",1,0)+IF(DZ65="D",1,0)+IF(EH65="D",1,0)</f>
        <v/>
      </c>
      <c r="AY65">
        <f>IF(DJ65&lt;&gt;"",1,0)+IF(DK65&lt;&gt;"",1,0)+IF(DM65&lt;&gt;"",1,0)+IF(DO65&lt;&gt;"",1,0)+IF(DP65&lt;&gt;"",1,0)+IF(DQ65&lt;&gt;"",1,0)+IF(DS65&lt;&gt;"",1,0)+IF(DT65&lt;&gt;"",1,0)+IF(DV65&lt;&gt;"",1,0)+IF(DW65&lt;&gt;"",1,0)+IF(DX65&lt;&gt;"",1,0)+IF(DY65&lt;&gt;"",1,0)+IF(DZ65&lt;&gt;"",1,0)+IF(EB65&lt;&gt;"",1,0)+IF(EC65&lt;&gt;"",1,0)+IF(ED65&lt;&gt;"",1,0)+IF(EG65&lt;&gt;"",1,0)+IF(EH65&lt;&gt;"",1,0)</f>
        <v/>
      </c>
      <c r="AZ65">
        <f>IF(EH65&lt;&gt;"",1,0)</f>
        <v/>
      </c>
      <c r="BB65" t="inlineStr">
        <is>
          <t>WARREN-WARD 4</t>
        </is>
      </c>
    </row>
    <row r="66">
      <c r="A66" t="inlineStr">
        <is>
          <t>OH0015738925</t>
        </is>
      </c>
      <c r="B66" t="n">
        <v>78</v>
      </c>
      <c r="C66" t="n">
        <v>308602</v>
      </c>
      <c r="D66" t="inlineStr">
        <is>
          <t>TIPTON</t>
        </is>
      </c>
      <c r="E66" t="inlineStr">
        <is>
          <t>TIFFANY</t>
        </is>
      </c>
      <c r="F66">
        <f>CONCATENATE(D66," ",LEFT(H66,4),"T=",AU66,"D=",AV66,"R=",AW66,"M=",AX66,"L=",AY66,"B=",AZ66)</f>
        <v/>
      </c>
      <c r="G66" t="inlineStr">
        <is>
          <t>R</t>
        </is>
      </c>
      <c r="I66" t="inlineStr">
        <is>
          <t>1983-03-12</t>
        </is>
      </c>
      <c r="J66" t="inlineStr">
        <is>
          <t>2008-04-15</t>
        </is>
      </c>
      <c r="K66" t="inlineStr">
        <is>
          <t>CONFIRMATION</t>
        </is>
      </c>
      <c r="M66" t="inlineStr">
        <is>
          <t>246 LAIRD AVE SE</t>
        </is>
      </c>
      <c r="N66">
        <f>RIGHT(M66,LEN(M66)-FIND(" ",M66))</f>
        <v/>
      </c>
      <c r="P66" t="inlineStr">
        <is>
          <t>WARREN</t>
        </is>
      </c>
      <c r="Q66" t="inlineStr">
        <is>
          <t>OH</t>
        </is>
      </c>
      <c r="R66" t="n">
        <v>44483</v>
      </c>
      <c r="AD66" t="inlineStr">
        <is>
          <t>TRUMBULL CAREER &amp; TECH CENTER</t>
        </is>
      </c>
      <c r="AE66" t="inlineStr">
        <is>
          <t>WARREN CITY</t>
        </is>
      </c>
      <c r="AF66" t="inlineStr">
        <is>
          <t>WARREN CITY SD</t>
        </is>
      </c>
      <c r="AH66" t="n">
        <v>14</v>
      </c>
      <c r="AI66" t="n">
        <v>11</v>
      </c>
      <c r="AN66" t="inlineStr">
        <is>
          <t>WARREN</t>
        </is>
      </c>
      <c r="AO66" t="inlineStr">
        <is>
          <t>WARREN CITY 4A</t>
        </is>
      </c>
      <c r="AP66" t="inlineStr">
        <is>
          <t>78-P-ADI</t>
        </is>
      </c>
      <c r="AQ66" t="n">
        <v>9</v>
      </c>
      <c r="AR66" t="n">
        <v>64</v>
      </c>
      <c r="AS66" t="n">
        <v>32</v>
      </c>
      <c r="AU66">
        <f>COUNTA($BA$66:$EH$66)</f>
        <v/>
      </c>
      <c r="AV66">
        <f>COUNTIF($BA$66:$EH$66,"D")</f>
        <v/>
      </c>
      <c r="AW66">
        <f>COUNTIF($BA$66:$EH$66,"R")</f>
        <v/>
      </c>
      <c r="AX66">
        <f>IF(BN66="D",1,0)+IF(BO66="D",1,0)+IF(BT66="D",1,0)+IF(BU66="D",1,0)+IF(BW66="D",1,0)+IF(CC66="D",1,0)+IF(CD66="D",1,0)+IF(CE66="D",1,0)+IF(CF66="D",1,0)+IF(CL66="D",1,0)+IF(CM66="D",1,0)+IF(CQ66="D",1,0)+IF(CR66="D",1,0)+IF(CS66="D",1,0)+IF(CW66="D",1,0)+IF(CX66="D",1,0)+IF(DD66="D",1,0)+IF(DE66="D",1,0)+IF(DJ66="D",1,0)+IF(DK66="D",1,0)+IF(DO66="D",1,0)+IF(DP66="D",1,0)+IF(DQ66="D",1,0)+IF(DW66="D",1,0)+IF(DZ66="D",1,0)+IF(EH66="D",1,0)</f>
        <v/>
      </c>
      <c r="AY66">
        <f>IF(DJ66&lt;&gt;"",1,0)+IF(DK66&lt;&gt;"",1,0)+IF(DM66&lt;&gt;"",1,0)+IF(DO66&lt;&gt;"",1,0)+IF(DP66&lt;&gt;"",1,0)+IF(DQ66&lt;&gt;"",1,0)+IF(DS66&lt;&gt;"",1,0)+IF(DT66&lt;&gt;"",1,0)+IF(DV66&lt;&gt;"",1,0)+IF(DW66&lt;&gt;"",1,0)+IF(DX66&lt;&gt;"",1,0)+IF(DY66&lt;&gt;"",1,0)+IF(DZ66&lt;&gt;"",1,0)+IF(EB66&lt;&gt;"",1,0)+IF(EC66&lt;&gt;"",1,0)+IF(ED66&lt;&gt;"",1,0)+IF(EG66&lt;&gt;"",1,0)+IF(EH66&lt;&gt;"",1,0)</f>
        <v/>
      </c>
      <c r="AZ66">
        <f>IF(EH66&lt;&gt;"",1,0)</f>
        <v/>
      </c>
      <c r="BB66" t="inlineStr">
        <is>
          <t>WARREN-WARD 4</t>
        </is>
      </c>
      <c r="BK66" t="inlineStr">
        <is>
          <t>X</t>
        </is>
      </c>
      <c r="BL66" t="inlineStr">
        <is>
          <t>X</t>
        </is>
      </c>
      <c r="BY66" t="inlineStr">
        <is>
          <t>D</t>
        </is>
      </c>
      <c r="CA66" t="inlineStr">
        <is>
          <t>X</t>
        </is>
      </c>
      <c r="CG66" t="inlineStr">
        <is>
          <t>X</t>
        </is>
      </c>
      <c r="CH66" t="inlineStr">
        <is>
          <t>D</t>
        </is>
      </c>
      <c r="CK66" t="inlineStr">
        <is>
          <t>X</t>
        </is>
      </c>
      <c r="CP66" t="inlineStr">
        <is>
          <t>X</t>
        </is>
      </c>
      <c r="CV66" t="inlineStr">
        <is>
          <t>X</t>
        </is>
      </c>
      <c r="DC66" t="inlineStr">
        <is>
          <t>X</t>
        </is>
      </c>
    </row>
    <row r="67">
      <c r="A67" t="inlineStr">
        <is>
          <t>OH0027039346</t>
        </is>
      </c>
      <c r="B67" t="n">
        <v>78</v>
      </c>
      <c r="C67" t="n">
        <v>476042</v>
      </c>
      <c r="D67" t="inlineStr">
        <is>
          <t>RHODUS</t>
        </is>
      </c>
      <c r="E67" t="inlineStr">
        <is>
          <t>AALICYAH</t>
        </is>
      </c>
      <c r="F67">
        <f>CONCATENATE(D67," ",LEFT(H67,4),"T=",AU67,"D=",AV67,"R=",AW67,"M=",AX67,"L=",AY67,"B=",AZ67)</f>
        <v/>
      </c>
      <c r="G67" t="inlineStr">
        <is>
          <t>CHARLIZE</t>
        </is>
      </c>
      <c r="I67" t="inlineStr">
        <is>
          <t>2005-07-29</t>
        </is>
      </c>
      <c r="J67" t="inlineStr">
        <is>
          <t>2024-12-01</t>
        </is>
      </c>
      <c r="K67" t="inlineStr">
        <is>
          <t>ACTIVE</t>
        </is>
      </c>
      <c r="M67" t="inlineStr">
        <is>
          <t>385 BONNIE BRAE AVE SE</t>
        </is>
      </c>
      <c r="N67">
        <f>RIGHT(M67,LEN(M67)-FIND(" ",M67))</f>
        <v/>
      </c>
      <c r="P67" t="inlineStr">
        <is>
          <t>WARREN</t>
        </is>
      </c>
      <c r="Q67" t="inlineStr">
        <is>
          <t>OH</t>
        </is>
      </c>
      <c r="R67" t="n">
        <v>44484</v>
      </c>
      <c r="AD67" t="inlineStr">
        <is>
          <t>TRUMBULL CAREER &amp; TECH CENTER</t>
        </is>
      </c>
      <c r="AE67" t="inlineStr">
        <is>
          <t>WARREN CITY</t>
        </is>
      </c>
      <c r="AF67" t="inlineStr">
        <is>
          <t>WARREN CITY SD</t>
        </is>
      </c>
      <c r="AH67" t="n">
        <v>14</v>
      </c>
      <c r="AI67" t="n">
        <v>11</v>
      </c>
      <c r="AN67" t="inlineStr">
        <is>
          <t>WARREN</t>
        </is>
      </c>
      <c r="AO67" t="inlineStr">
        <is>
          <t>WARREN CITY 4A</t>
        </is>
      </c>
      <c r="AP67" t="inlineStr">
        <is>
          <t>78-P-ADI</t>
        </is>
      </c>
      <c r="AQ67" t="n">
        <v>9</v>
      </c>
      <c r="AR67" t="n">
        <v>64</v>
      </c>
      <c r="AS67" t="n">
        <v>32</v>
      </c>
      <c r="AU67">
        <f>COUNTA($BA$67:$EH$67)</f>
        <v/>
      </c>
      <c r="AV67">
        <f>COUNTIF($BA$67:$EH$67,"D")</f>
        <v/>
      </c>
      <c r="AW67">
        <f>COUNTIF($BA$67:$EH$67,"R")</f>
        <v/>
      </c>
      <c r="AX67">
        <f>IF(BN67="D",1,0)+IF(BO67="D",1,0)+IF(BT67="D",1,0)+IF(BU67="D",1,0)+IF(BW67="D",1,0)+IF(CC67="D",1,0)+IF(CD67="D",1,0)+IF(CE67="D",1,0)+IF(CF67="D",1,0)+IF(CL67="D",1,0)+IF(CM67="D",1,0)+IF(CQ67="D",1,0)+IF(CR67="D",1,0)+IF(CS67="D",1,0)+IF(CW67="D",1,0)+IF(CX67="D",1,0)+IF(DD67="D",1,0)+IF(DE67="D",1,0)+IF(DJ67="D",1,0)+IF(DK67="D",1,0)+IF(DO67="D",1,0)+IF(DP67="D",1,0)+IF(DQ67="D",1,0)+IF(DW67="D",1,0)+IF(DZ67="D",1,0)+IF(EH67="D",1,0)</f>
        <v/>
      </c>
      <c r="AY67">
        <f>IF(DJ67&lt;&gt;"",1,0)+IF(DK67&lt;&gt;"",1,0)+IF(DM67&lt;&gt;"",1,0)+IF(DO67&lt;&gt;"",1,0)+IF(DP67&lt;&gt;"",1,0)+IF(DQ67&lt;&gt;"",1,0)+IF(DS67&lt;&gt;"",1,0)+IF(DT67&lt;&gt;"",1,0)+IF(DV67&lt;&gt;"",1,0)+IF(DW67&lt;&gt;"",1,0)+IF(DX67&lt;&gt;"",1,0)+IF(DY67&lt;&gt;"",1,0)+IF(DZ67&lt;&gt;"",1,0)+IF(EB67&lt;&gt;"",1,0)+IF(EC67&lt;&gt;"",1,0)+IF(ED67&lt;&gt;"",1,0)+IF(EG67&lt;&gt;"",1,0)+IF(EH67&lt;&gt;"",1,0)</f>
        <v/>
      </c>
      <c r="AZ67">
        <f>IF(EH67&lt;&gt;"",1,0)</f>
        <v/>
      </c>
      <c r="BB67" t="inlineStr">
        <is>
          <t>WARREN-WARD 4</t>
        </is>
      </c>
    </row>
    <row r="68">
      <c r="A68" t="inlineStr">
        <is>
          <t>OH0025180905</t>
        </is>
      </c>
      <c r="B68" t="n">
        <v>78</v>
      </c>
      <c r="C68" t="n">
        <v>440960</v>
      </c>
      <c r="D68" t="inlineStr">
        <is>
          <t>ISER</t>
        </is>
      </c>
      <c r="E68" t="inlineStr">
        <is>
          <t>LAURA</t>
        </is>
      </c>
      <c r="F68">
        <f>CONCATENATE(D68," ",LEFT(H68,4),"T=",AU68,"D=",AV68,"R=",AW68,"M=",AX68,"L=",AY68,"B=",AZ68)</f>
        <v/>
      </c>
      <c r="G68" t="inlineStr">
        <is>
          <t>M</t>
        </is>
      </c>
      <c r="I68" t="inlineStr">
        <is>
          <t>1983-08-31</t>
        </is>
      </c>
      <c r="J68" t="inlineStr">
        <is>
          <t>2019-08-22</t>
        </is>
      </c>
      <c r="K68" t="inlineStr">
        <is>
          <t>ACTIVE</t>
        </is>
      </c>
      <c r="M68" t="inlineStr">
        <is>
          <t>1208 GRANT ST SE</t>
        </is>
      </c>
      <c r="N68">
        <f>RIGHT(M68,LEN(M68)-FIND(" ",M68))</f>
        <v/>
      </c>
      <c r="P68" t="inlineStr">
        <is>
          <t>WARREN</t>
        </is>
      </c>
      <c r="Q68" t="inlineStr">
        <is>
          <t>OH</t>
        </is>
      </c>
      <c r="R68" t="n">
        <v>44483</v>
      </c>
      <c r="AD68" t="inlineStr">
        <is>
          <t>TRUMBULL CAREER &amp; TECH CENTER</t>
        </is>
      </c>
      <c r="AE68" t="inlineStr">
        <is>
          <t>WARREN CITY</t>
        </is>
      </c>
      <c r="AF68" t="inlineStr">
        <is>
          <t>WARREN CITY SD</t>
        </is>
      </c>
      <c r="AH68" t="n">
        <v>14</v>
      </c>
      <c r="AI68" t="n">
        <v>11</v>
      </c>
      <c r="AN68" t="inlineStr">
        <is>
          <t>WARREN</t>
        </is>
      </c>
      <c r="AO68" t="inlineStr">
        <is>
          <t>WARREN CITY 4A</t>
        </is>
      </c>
      <c r="AP68" t="inlineStr">
        <is>
          <t>78-P-ADI</t>
        </is>
      </c>
      <c r="AQ68" t="n">
        <v>9</v>
      </c>
      <c r="AR68" t="n">
        <v>64</v>
      </c>
      <c r="AS68" t="n">
        <v>32</v>
      </c>
      <c r="AU68">
        <f>COUNTA($BA$68:$EH$68)</f>
        <v/>
      </c>
      <c r="AV68">
        <f>COUNTIF($BA$68:$EH$68,"D")</f>
        <v/>
      </c>
      <c r="AW68">
        <f>COUNTIF($BA$68:$EH$68,"R")</f>
        <v/>
      </c>
      <c r="AX68">
        <f>IF(BN68="D",1,0)+IF(BO68="D",1,0)+IF(BT68="D",1,0)+IF(BU68="D",1,0)+IF(BW68="D",1,0)+IF(CC68="D",1,0)+IF(CD68="D",1,0)+IF(CE68="D",1,0)+IF(CF68="D",1,0)+IF(CL68="D",1,0)+IF(CM68="D",1,0)+IF(CQ68="D",1,0)+IF(CR68="D",1,0)+IF(CS68="D",1,0)+IF(CW68="D",1,0)+IF(CX68="D",1,0)+IF(DD68="D",1,0)+IF(DE68="D",1,0)+IF(DJ68="D",1,0)+IF(DK68="D",1,0)+IF(DO68="D",1,0)+IF(DP68="D",1,0)+IF(DQ68="D",1,0)+IF(DW68="D",1,0)+IF(DZ68="D",1,0)+IF(EH68="D",1,0)</f>
        <v/>
      </c>
      <c r="AY68">
        <f>IF(DJ68&lt;&gt;"",1,0)+IF(DK68&lt;&gt;"",1,0)+IF(DM68&lt;&gt;"",1,0)+IF(DO68&lt;&gt;"",1,0)+IF(DP68&lt;&gt;"",1,0)+IF(DQ68&lt;&gt;"",1,0)+IF(DS68&lt;&gt;"",1,0)+IF(DT68&lt;&gt;"",1,0)+IF(DV68&lt;&gt;"",1,0)+IF(DW68&lt;&gt;"",1,0)+IF(DX68&lt;&gt;"",1,0)+IF(DY68&lt;&gt;"",1,0)+IF(DZ68&lt;&gt;"",1,0)+IF(EB68&lt;&gt;"",1,0)+IF(EC68&lt;&gt;"",1,0)+IF(ED68&lt;&gt;"",1,0)+IF(EG68&lt;&gt;"",1,0)+IF(EH68&lt;&gt;"",1,0)</f>
        <v/>
      </c>
      <c r="AZ68">
        <f>IF(EH68&lt;&gt;"",1,0)</f>
        <v/>
      </c>
      <c r="BB68" t="inlineStr">
        <is>
          <t>WARREN-WARD 4</t>
        </is>
      </c>
      <c r="EF68" t="inlineStr">
        <is>
          <t>X</t>
        </is>
      </c>
    </row>
    <row r="69">
      <c r="A69" t="inlineStr">
        <is>
          <t>OH0015801214</t>
        </is>
      </c>
      <c r="B69" t="n">
        <v>78</v>
      </c>
      <c r="C69" t="n">
        <v>288673</v>
      </c>
      <c r="D69" t="inlineStr">
        <is>
          <t>ANDERSON</t>
        </is>
      </c>
      <c r="E69" t="inlineStr">
        <is>
          <t>BETTY</t>
        </is>
      </c>
      <c r="F69">
        <f>CONCATENATE(D69," ",LEFT(H69,4),"T=",AU69,"D=",AV69,"R=",AW69,"M=",AX69,"L=",AY69,"B=",AZ69)</f>
        <v/>
      </c>
      <c r="G69" t="inlineStr">
        <is>
          <t>J</t>
        </is>
      </c>
      <c r="I69" t="inlineStr">
        <is>
          <t>1980-01-13</t>
        </is>
      </c>
      <c r="J69" t="inlineStr">
        <is>
          <t>2017-11-13</t>
        </is>
      </c>
      <c r="K69" t="inlineStr">
        <is>
          <t>CONFIRMATION</t>
        </is>
      </c>
      <c r="M69" t="inlineStr">
        <is>
          <t>156 CHARLES AVE SE</t>
        </is>
      </c>
      <c r="N69">
        <f>RIGHT(M69,LEN(M69)-FIND(" ",M69))</f>
        <v/>
      </c>
      <c r="P69" t="inlineStr">
        <is>
          <t>WARREN</t>
        </is>
      </c>
      <c r="Q69" t="inlineStr">
        <is>
          <t>OH</t>
        </is>
      </c>
      <c r="R69" t="n">
        <v>44483</v>
      </c>
      <c r="AD69" t="inlineStr">
        <is>
          <t>TRUMBULL CAREER &amp; TECH CENTER</t>
        </is>
      </c>
      <c r="AE69" t="inlineStr">
        <is>
          <t>WARREN CITY</t>
        </is>
      </c>
      <c r="AF69" t="inlineStr">
        <is>
          <t>WARREN CITY SD</t>
        </is>
      </c>
      <c r="AH69" t="n">
        <v>14</v>
      </c>
      <c r="AI69" t="n">
        <v>11</v>
      </c>
      <c r="AN69" t="inlineStr">
        <is>
          <t>WARREN</t>
        </is>
      </c>
      <c r="AO69" t="inlineStr">
        <is>
          <t>WARREN CITY 4A</t>
        </is>
      </c>
      <c r="AP69" t="inlineStr">
        <is>
          <t>78-P-ADI</t>
        </is>
      </c>
      <c r="AQ69" t="n">
        <v>9</v>
      </c>
      <c r="AR69" t="n">
        <v>64</v>
      </c>
      <c r="AS69" t="n">
        <v>32</v>
      </c>
      <c r="AU69">
        <f>COUNTA($BA$69:$EH$69)</f>
        <v/>
      </c>
      <c r="AV69">
        <f>COUNTIF($BA$69:$EH$69,"D")</f>
        <v/>
      </c>
      <c r="AW69">
        <f>COUNTIF($BA$69:$EH$69,"R")</f>
        <v/>
      </c>
      <c r="AX69">
        <f>IF(BN69="D",1,0)+IF(BO69="D",1,0)+IF(BT69="D",1,0)+IF(BU69="D",1,0)+IF(BW69="D",1,0)+IF(CC69="D",1,0)+IF(CD69="D",1,0)+IF(CE69="D",1,0)+IF(CF69="D",1,0)+IF(CL69="D",1,0)+IF(CM69="D",1,0)+IF(CQ69="D",1,0)+IF(CR69="D",1,0)+IF(CS69="D",1,0)+IF(CW69="D",1,0)+IF(CX69="D",1,0)+IF(DD69="D",1,0)+IF(DE69="D",1,0)+IF(DJ69="D",1,0)+IF(DK69="D",1,0)+IF(DO69="D",1,0)+IF(DP69="D",1,0)+IF(DQ69="D",1,0)+IF(DW69="D",1,0)+IF(DZ69="D",1,0)+IF(EH69="D",1,0)</f>
        <v/>
      </c>
      <c r="AY69">
        <f>IF(DJ69&lt;&gt;"",1,0)+IF(DK69&lt;&gt;"",1,0)+IF(DM69&lt;&gt;"",1,0)+IF(DO69&lt;&gt;"",1,0)+IF(DP69&lt;&gt;"",1,0)+IF(DQ69&lt;&gt;"",1,0)+IF(DS69&lt;&gt;"",1,0)+IF(DT69&lt;&gt;"",1,0)+IF(DV69&lt;&gt;"",1,0)+IF(DW69&lt;&gt;"",1,0)+IF(DX69&lt;&gt;"",1,0)+IF(DY69&lt;&gt;"",1,0)+IF(DZ69&lt;&gt;"",1,0)+IF(EB69&lt;&gt;"",1,0)+IF(EC69&lt;&gt;"",1,0)+IF(ED69&lt;&gt;"",1,0)+IF(EG69&lt;&gt;"",1,0)+IF(EH69&lt;&gt;"",1,0)</f>
        <v/>
      </c>
      <c r="AZ69">
        <f>IF(EH69&lt;&gt;"",1,0)</f>
        <v/>
      </c>
      <c r="BB69" t="inlineStr">
        <is>
          <t>WARREN-WARD 4</t>
        </is>
      </c>
      <c r="BD69" t="inlineStr">
        <is>
          <t>X</t>
        </is>
      </c>
      <c r="BI69" t="inlineStr">
        <is>
          <t>X</t>
        </is>
      </c>
      <c r="BL69" t="inlineStr">
        <is>
          <t>X</t>
        </is>
      </c>
      <c r="BP69" t="inlineStr">
        <is>
          <t>X</t>
        </is>
      </c>
      <c r="CA69" t="inlineStr">
        <is>
          <t>X</t>
        </is>
      </c>
      <c r="CK69" t="inlineStr">
        <is>
          <t>X</t>
        </is>
      </c>
      <c r="CP69" t="inlineStr">
        <is>
          <t>X</t>
        </is>
      </c>
      <c r="DC69" t="inlineStr">
        <is>
          <t>X</t>
        </is>
      </c>
      <c r="DN69" t="inlineStr">
        <is>
          <t>X</t>
        </is>
      </c>
    </row>
    <row r="70">
      <c r="A70" t="inlineStr">
        <is>
          <t>OH0024203599</t>
        </is>
      </c>
      <c r="B70" t="n">
        <v>78</v>
      </c>
      <c r="C70" t="n">
        <v>423897</v>
      </c>
      <c r="D70" t="inlineStr">
        <is>
          <t>BAYNES</t>
        </is>
      </c>
      <c r="E70" t="inlineStr">
        <is>
          <t>GLENN</t>
        </is>
      </c>
      <c r="F70">
        <f>CONCATENATE(D70," ",LEFT(H70,4),"T=",AU70,"D=",AV70,"R=",AW70,"M=",AX70,"L=",AY70,"B=",AZ70)</f>
        <v/>
      </c>
      <c r="G70" t="inlineStr">
        <is>
          <t>R</t>
        </is>
      </c>
      <c r="H70" t="inlineStr">
        <is>
          <t>II</t>
        </is>
      </c>
      <c r="I70" t="inlineStr">
        <is>
          <t>1975-12-21</t>
        </is>
      </c>
      <c r="J70" t="inlineStr">
        <is>
          <t>2016-12-27</t>
        </is>
      </c>
      <c r="K70" t="inlineStr">
        <is>
          <t>ACTIVE</t>
        </is>
      </c>
      <c r="M70" t="inlineStr">
        <is>
          <t>236 LAIRD AVE SE</t>
        </is>
      </c>
      <c r="N70">
        <f>RIGHT(M70,LEN(M70)-FIND(" ",M70))</f>
        <v/>
      </c>
      <c r="P70" t="inlineStr">
        <is>
          <t>WARREN</t>
        </is>
      </c>
      <c r="Q70" t="inlineStr">
        <is>
          <t>OH</t>
        </is>
      </c>
      <c r="R70" t="n">
        <v>44483</v>
      </c>
      <c r="AD70" t="inlineStr">
        <is>
          <t>TRUMBULL CAREER &amp; TECH CENTER</t>
        </is>
      </c>
      <c r="AE70" t="inlineStr">
        <is>
          <t>WARREN CITY</t>
        </is>
      </c>
      <c r="AF70" t="inlineStr">
        <is>
          <t>WARREN CITY SD</t>
        </is>
      </c>
      <c r="AH70" t="n">
        <v>14</v>
      </c>
      <c r="AI70" t="n">
        <v>11</v>
      </c>
      <c r="AN70" t="inlineStr">
        <is>
          <t>WARREN</t>
        </is>
      </c>
      <c r="AO70" t="inlineStr">
        <is>
          <t>WARREN CITY 4A</t>
        </is>
      </c>
      <c r="AP70" t="inlineStr">
        <is>
          <t>78-P-ADI</t>
        </is>
      </c>
      <c r="AQ70" t="n">
        <v>9</v>
      </c>
      <c r="AR70" t="n">
        <v>64</v>
      </c>
      <c r="AS70" t="n">
        <v>32</v>
      </c>
      <c r="AU70">
        <f>COUNTA($BA$70:$EH$70)</f>
        <v/>
      </c>
      <c r="AV70">
        <f>COUNTIF($BA$70:$EH$70,"D")</f>
        <v/>
      </c>
      <c r="AW70">
        <f>COUNTIF($BA$70:$EH$70,"R")</f>
        <v/>
      </c>
      <c r="AX70">
        <f>IF(BN70="D",1,0)+IF(BO70="D",1,0)+IF(BT70="D",1,0)+IF(BU70="D",1,0)+IF(BW70="D",1,0)+IF(CC70="D",1,0)+IF(CD70="D",1,0)+IF(CE70="D",1,0)+IF(CF70="D",1,0)+IF(CL70="D",1,0)+IF(CM70="D",1,0)+IF(CQ70="D",1,0)+IF(CR70="D",1,0)+IF(CS70="D",1,0)+IF(CW70="D",1,0)+IF(CX70="D",1,0)+IF(DD70="D",1,0)+IF(DE70="D",1,0)+IF(DJ70="D",1,0)+IF(DK70="D",1,0)+IF(DO70="D",1,0)+IF(DP70="D",1,0)+IF(DQ70="D",1,0)+IF(DW70="D",1,0)+IF(DZ70="D",1,0)+IF(EH70="D",1,0)</f>
        <v/>
      </c>
      <c r="AY70">
        <f>IF(DJ70&lt;&gt;"",1,0)+IF(DK70&lt;&gt;"",1,0)+IF(DM70&lt;&gt;"",1,0)+IF(DO70&lt;&gt;"",1,0)+IF(DP70&lt;&gt;"",1,0)+IF(DQ70&lt;&gt;"",1,0)+IF(DS70&lt;&gt;"",1,0)+IF(DT70&lt;&gt;"",1,0)+IF(DV70&lt;&gt;"",1,0)+IF(DW70&lt;&gt;"",1,0)+IF(DX70&lt;&gt;"",1,0)+IF(DY70&lt;&gt;"",1,0)+IF(DZ70&lt;&gt;"",1,0)+IF(EB70&lt;&gt;"",1,0)+IF(EC70&lt;&gt;"",1,0)+IF(ED70&lt;&gt;"",1,0)+IF(EG70&lt;&gt;"",1,0)+IF(EH70&lt;&gt;"",1,0)</f>
        <v/>
      </c>
      <c r="AZ70">
        <f>IF(EH70&lt;&gt;"",1,0)</f>
        <v/>
      </c>
      <c r="BB70" t="inlineStr">
        <is>
          <t>WARREN-WARD 4</t>
        </is>
      </c>
      <c r="DI70" t="inlineStr">
        <is>
          <t>X</t>
        </is>
      </c>
      <c r="DN70" t="inlineStr">
        <is>
          <t>X</t>
        </is>
      </c>
      <c r="DR70" t="inlineStr">
        <is>
          <t>X</t>
        </is>
      </c>
      <c r="DU70" t="inlineStr">
        <is>
          <t>X</t>
        </is>
      </c>
      <c r="EF70" t="inlineStr">
        <is>
          <t>X</t>
        </is>
      </c>
    </row>
    <row r="71">
      <c r="A71" t="inlineStr">
        <is>
          <t>OH0023819869</t>
        </is>
      </c>
      <c r="B71" t="n">
        <v>78</v>
      </c>
      <c r="C71" t="n">
        <v>418550</v>
      </c>
      <c r="D71" t="inlineStr">
        <is>
          <t>REMSEY</t>
        </is>
      </c>
      <c r="E71" t="inlineStr">
        <is>
          <t>SANDRA</t>
        </is>
      </c>
      <c r="F71">
        <f>CONCATENATE(D71," ",LEFT(H71,4),"T=",AU71,"D=",AV71,"R=",AW71,"M=",AX71,"L=",AY71,"B=",AZ71)</f>
        <v/>
      </c>
      <c r="G71" t="inlineStr">
        <is>
          <t>KAY</t>
        </is>
      </c>
      <c r="I71" t="inlineStr">
        <is>
          <t>1949-07-27</t>
        </is>
      </c>
      <c r="J71" t="inlineStr">
        <is>
          <t>2016-12-08</t>
        </is>
      </c>
      <c r="K71" t="inlineStr">
        <is>
          <t>ACTIVE</t>
        </is>
      </c>
      <c r="L71" t="inlineStr">
        <is>
          <t>D</t>
        </is>
      </c>
      <c r="M71" t="inlineStr">
        <is>
          <t>431 BONNIE BRAE AVE SE</t>
        </is>
      </c>
      <c r="N71">
        <f>RIGHT(M71,LEN(M71)-FIND(" ",M71))</f>
        <v/>
      </c>
      <c r="P71" t="inlineStr">
        <is>
          <t>WARREN</t>
        </is>
      </c>
      <c r="Q71" t="inlineStr">
        <is>
          <t>OH</t>
        </is>
      </c>
      <c r="R71" t="n">
        <v>44484</v>
      </c>
      <c r="AD71" t="inlineStr">
        <is>
          <t>TRUMBULL CAREER &amp; TECH CENTER</t>
        </is>
      </c>
      <c r="AE71" t="inlineStr">
        <is>
          <t>WARREN CITY</t>
        </is>
      </c>
      <c r="AF71" t="inlineStr">
        <is>
          <t>WARREN CITY SD</t>
        </is>
      </c>
      <c r="AH71" t="n">
        <v>14</v>
      </c>
      <c r="AI71" t="n">
        <v>11</v>
      </c>
      <c r="AN71" t="inlineStr">
        <is>
          <t>WARREN</t>
        </is>
      </c>
      <c r="AO71" t="inlineStr">
        <is>
          <t>WARREN CITY 4A</t>
        </is>
      </c>
      <c r="AP71" t="inlineStr">
        <is>
          <t>78-P-ADI</t>
        </is>
      </c>
      <c r="AQ71" t="n">
        <v>9</v>
      </c>
      <c r="AR71" t="n">
        <v>64</v>
      </c>
      <c r="AS71" t="n">
        <v>32</v>
      </c>
      <c r="AU71">
        <f>COUNTA($BA$71:$EH$71)</f>
        <v/>
      </c>
      <c r="AV71">
        <f>COUNTIF($BA$71:$EH$71,"D")</f>
        <v/>
      </c>
      <c r="AW71">
        <f>COUNTIF($BA$71:$EH$71,"R")</f>
        <v/>
      </c>
      <c r="AX71">
        <f>IF(BN71="D",1,0)+IF(BO71="D",1,0)+IF(BT71="D",1,0)+IF(BU71="D",1,0)+IF(BW71="D",1,0)+IF(CC71="D",1,0)+IF(CD71="D",1,0)+IF(CE71="D",1,0)+IF(CF71="D",1,0)+IF(CL71="D",1,0)+IF(CM71="D",1,0)+IF(CQ71="D",1,0)+IF(CR71="D",1,0)+IF(CS71="D",1,0)+IF(CW71="D",1,0)+IF(CX71="D",1,0)+IF(DD71="D",1,0)+IF(DE71="D",1,0)+IF(DJ71="D",1,0)+IF(DK71="D",1,0)+IF(DO71="D",1,0)+IF(DP71="D",1,0)+IF(DQ71="D",1,0)+IF(DW71="D",1,0)+IF(DZ71="D",1,0)+IF(EH71="D",1,0)</f>
        <v/>
      </c>
      <c r="AY71">
        <f>IF(DJ71&lt;&gt;"",1,0)+IF(DK71&lt;&gt;"",1,0)+IF(DM71&lt;&gt;"",1,0)+IF(DO71&lt;&gt;"",1,0)+IF(DP71&lt;&gt;"",1,0)+IF(DQ71&lt;&gt;"",1,0)+IF(DS71&lt;&gt;"",1,0)+IF(DT71&lt;&gt;"",1,0)+IF(DV71&lt;&gt;"",1,0)+IF(DW71&lt;&gt;"",1,0)+IF(DX71&lt;&gt;"",1,0)+IF(DY71&lt;&gt;"",1,0)+IF(DZ71&lt;&gt;"",1,0)+IF(EB71&lt;&gt;"",1,0)+IF(EC71&lt;&gt;"",1,0)+IF(ED71&lt;&gt;"",1,0)+IF(EG71&lt;&gt;"",1,0)+IF(EH71&lt;&gt;"",1,0)</f>
        <v/>
      </c>
      <c r="AZ71">
        <f>IF(EH71&lt;&gt;"",1,0)</f>
        <v/>
      </c>
      <c r="BB71" t="inlineStr">
        <is>
          <t>WARREN-WARD 4</t>
        </is>
      </c>
      <c r="BH71" t="inlineStr">
        <is>
          <t>X</t>
        </is>
      </c>
      <c r="BK71" t="inlineStr">
        <is>
          <t>X</t>
        </is>
      </c>
      <c r="BL71" t="inlineStr">
        <is>
          <t>X</t>
        </is>
      </c>
      <c r="BP71" t="inlineStr">
        <is>
          <t>X</t>
        </is>
      </c>
      <c r="BS71" t="inlineStr">
        <is>
          <t>X</t>
        </is>
      </c>
      <c r="BY71" t="inlineStr">
        <is>
          <t>D</t>
        </is>
      </c>
      <c r="CA71" t="inlineStr">
        <is>
          <t>X</t>
        </is>
      </c>
      <c r="DC71" t="inlineStr">
        <is>
          <t>X</t>
        </is>
      </c>
      <c r="DF71" t="inlineStr">
        <is>
          <t>X</t>
        </is>
      </c>
      <c r="DG71" t="inlineStr">
        <is>
          <t>D</t>
        </is>
      </c>
      <c r="DI71" t="inlineStr">
        <is>
          <t>X</t>
        </is>
      </c>
      <c r="DL71" t="inlineStr">
        <is>
          <t>X</t>
        </is>
      </c>
      <c r="DM71" t="inlineStr">
        <is>
          <t>D</t>
        </is>
      </c>
      <c r="DN71" t="inlineStr">
        <is>
          <t>X</t>
        </is>
      </c>
      <c r="DR71" t="inlineStr">
        <is>
          <t>X</t>
        </is>
      </c>
      <c r="DS71" t="inlineStr">
        <is>
          <t>D</t>
        </is>
      </c>
      <c r="DT71" t="inlineStr">
        <is>
          <t>D</t>
        </is>
      </c>
      <c r="DU71" t="inlineStr">
        <is>
          <t>X</t>
        </is>
      </c>
      <c r="DX71" t="inlineStr">
        <is>
          <t>X</t>
        </is>
      </c>
      <c r="EA71" t="inlineStr">
        <is>
          <t>X</t>
        </is>
      </c>
      <c r="ED71" t="inlineStr">
        <is>
          <t>D</t>
        </is>
      </c>
      <c r="EF71" t="inlineStr">
        <is>
          <t>X</t>
        </is>
      </c>
      <c r="EH71" t="inlineStr">
        <is>
          <t>D</t>
        </is>
      </c>
    </row>
    <row r="72">
      <c r="A72" t="inlineStr">
        <is>
          <t>OH0022631611</t>
        </is>
      </c>
      <c r="B72" t="n">
        <v>78</v>
      </c>
      <c r="C72" t="n">
        <v>399130</v>
      </c>
      <c r="D72" t="inlineStr">
        <is>
          <t>MCRAE</t>
        </is>
      </c>
      <c r="E72" t="inlineStr">
        <is>
          <t>NAQKEEI</t>
        </is>
      </c>
      <c r="F72">
        <f>CONCATENATE(D72," ",LEFT(H72,4),"T=",AU72,"D=",AV72,"R=",AW72,"M=",AX72,"L=",AY72,"B=",AZ72)</f>
        <v/>
      </c>
      <c r="G72" t="inlineStr">
        <is>
          <t>NICOLE</t>
        </is>
      </c>
      <c r="I72" t="inlineStr">
        <is>
          <t>1986-11-25</t>
        </is>
      </c>
      <c r="J72" t="inlineStr">
        <is>
          <t>2015-10-05</t>
        </is>
      </c>
      <c r="K72" t="inlineStr">
        <is>
          <t>CONFIRMATION</t>
        </is>
      </c>
      <c r="M72" t="inlineStr">
        <is>
          <t>376 LAIRD AVE SE</t>
        </is>
      </c>
      <c r="N72">
        <f>RIGHT(M72,LEN(M72)-FIND(" ",M72))</f>
        <v/>
      </c>
      <c r="P72" t="inlineStr">
        <is>
          <t>WARREN</t>
        </is>
      </c>
      <c r="Q72" t="inlineStr">
        <is>
          <t>OH</t>
        </is>
      </c>
      <c r="R72" t="n">
        <v>44483</v>
      </c>
      <c r="AD72" t="inlineStr">
        <is>
          <t>TRUMBULL CAREER &amp; TECH CENTER</t>
        </is>
      </c>
      <c r="AE72" t="inlineStr">
        <is>
          <t>WARREN CITY</t>
        </is>
      </c>
      <c r="AF72" t="inlineStr">
        <is>
          <t>WARREN CITY SD</t>
        </is>
      </c>
      <c r="AH72" t="n">
        <v>14</v>
      </c>
      <c r="AI72" t="n">
        <v>11</v>
      </c>
      <c r="AN72" t="inlineStr">
        <is>
          <t>WARREN</t>
        </is>
      </c>
      <c r="AO72" t="inlineStr">
        <is>
          <t>WARREN CITY 4A</t>
        </is>
      </c>
      <c r="AP72" t="inlineStr">
        <is>
          <t>78-P-ADI</t>
        </is>
      </c>
      <c r="AQ72" t="n">
        <v>9</v>
      </c>
      <c r="AR72" t="n">
        <v>64</v>
      </c>
      <c r="AS72" t="n">
        <v>32</v>
      </c>
      <c r="AU72">
        <f>COUNTA($BA$72:$EH$72)</f>
        <v/>
      </c>
      <c r="AV72">
        <f>COUNTIF($BA$72:$EH$72,"D")</f>
        <v/>
      </c>
      <c r="AW72">
        <f>COUNTIF($BA$72:$EH$72,"R")</f>
        <v/>
      </c>
      <c r="AX72">
        <f>IF(BN72="D",1,0)+IF(BO72="D",1,0)+IF(BT72="D",1,0)+IF(BU72="D",1,0)+IF(BW72="D",1,0)+IF(CC72="D",1,0)+IF(CD72="D",1,0)+IF(CE72="D",1,0)+IF(CF72="D",1,0)+IF(CL72="D",1,0)+IF(CM72="D",1,0)+IF(CQ72="D",1,0)+IF(CR72="D",1,0)+IF(CS72="D",1,0)+IF(CW72="D",1,0)+IF(CX72="D",1,0)+IF(DD72="D",1,0)+IF(DE72="D",1,0)+IF(DJ72="D",1,0)+IF(DK72="D",1,0)+IF(DO72="D",1,0)+IF(DP72="D",1,0)+IF(DQ72="D",1,0)+IF(DW72="D",1,0)+IF(DZ72="D",1,0)+IF(EH72="D",1,0)</f>
        <v/>
      </c>
      <c r="AY72">
        <f>IF(DJ72&lt;&gt;"",1,0)+IF(DK72&lt;&gt;"",1,0)+IF(DM72&lt;&gt;"",1,0)+IF(DO72&lt;&gt;"",1,0)+IF(DP72&lt;&gt;"",1,0)+IF(DQ72&lt;&gt;"",1,0)+IF(DS72&lt;&gt;"",1,0)+IF(DT72&lt;&gt;"",1,0)+IF(DV72&lt;&gt;"",1,0)+IF(DW72&lt;&gt;"",1,0)+IF(DX72&lt;&gt;"",1,0)+IF(DY72&lt;&gt;"",1,0)+IF(DZ72&lt;&gt;"",1,0)+IF(EB72&lt;&gt;"",1,0)+IF(EC72&lt;&gt;"",1,0)+IF(ED72&lt;&gt;"",1,0)+IF(EG72&lt;&gt;"",1,0)+IF(EH72&lt;&gt;"",1,0)</f>
        <v/>
      </c>
      <c r="AZ72">
        <f>IF(EH72&lt;&gt;"",1,0)</f>
        <v/>
      </c>
      <c r="BB72" t="inlineStr">
        <is>
          <t>WARREN-WARD 4</t>
        </is>
      </c>
      <c r="CP72" t="inlineStr">
        <is>
          <t>X</t>
        </is>
      </c>
      <c r="CY72" t="inlineStr">
        <is>
          <t>X</t>
        </is>
      </c>
    </row>
    <row r="73">
      <c r="A73" t="inlineStr">
        <is>
          <t>OH0027516949</t>
        </is>
      </c>
      <c r="B73" t="n">
        <v>78</v>
      </c>
      <c r="C73" t="n">
        <v>487657</v>
      </c>
      <c r="D73" t="inlineStr">
        <is>
          <t>CAMPBELL</t>
        </is>
      </c>
      <c r="E73" t="inlineStr">
        <is>
          <t>MARVIS</t>
        </is>
      </c>
      <c r="F73">
        <f>CONCATENATE(D73," ",LEFT(H73,4),"T=",AU73,"D=",AV73,"R=",AW73,"M=",AX73,"L=",AY73,"B=",AZ73)</f>
        <v/>
      </c>
      <c r="G73" t="inlineStr">
        <is>
          <t>E</t>
        </is>
      </c>
      <c r="I73" t="inlineStr">
        <is>
          <t>1984-01-02</t>
        </is>
      </c>
      <c r="J73" t="inlineStr">
        <is>
          <t>2024-08-06</t>
        </is>
      </c>
      <c r="K73" t="inlineStr">
        <is>
          <t>ACTIVE</t>
        </is>
      </c>
      <c r="M73" t="inlineStr">
        <is>
          <t>880 OAK KNOLL AVE SE</t>
        </is>
      </c>
      <c r="N73">
        <f>RIGHT(M73,LEN(M73)-FIND(" ",M73))</f>
        <v/>
      </c>
      <c r="P73" t="inlineStr">
        <is>
          <t>WARREN</t>
        </is>
      </c>
      <c r="Q73" t="inlineStr">
        <is>
          <t>OH</t>
        </is>
      </c>
      <c r="R73" t="n">
        <v>44484</v>
      </c>
      <c r="AD73" t="inlineStr">
        <is>
          <t>TRUMBULL CAREER &amp; TECH CENTER</t>
        </is>
      </c>
      <c r="AE73" t="inlineStr">
        <is>
          <t>WARREN CITY</t>
        </is>
      </c>
      <c r="AF73" t="inlineStr">
        <is>
          <t>WARREN CITY SD</t>
        </is>
      </c>
      <c r="AH73" t="n">
        <v>14</v>
      </c>
      <c r="AI73" t="n">
        <v>11</v>
      </c>
      <c r="AN73" t="inlineStr">
        <is>
          <t>WARREN</t>
        </is>
      </c>
      <c r="AO73" t="inlineStr">
        <is>
          <t>WARREN CITY 4A</t>
        </is>
      </c>
      <c r="AP73" t="inlineStr">
        <is>
          <t>78-P-ADI</t>
        </is>
      </c>
      <c r="AQ73" t="n">
        <v>9</v>
      </c>
      <c r="AR73" t="n">
        <v>64</v>
      </c>
      <c r="AS73" t="n">
        <v>32</v>
      </c>
      <c r="AU73">
        <f>COUNTA($BA$73:$EH$73)</f>
        <v/>
      </c>
      <c r="AV73">
        <f>COUNTIF($BA$73:$EH$73,"D")</f>
        <v/>
      </c>
      <c r="AW73">
        <f>COUNTIF($BA$73:$EH$73,"R")</f>
        <v/>
      </c>
      <c r="AX73">
        <f>IF(BN73="D",1,0)+IF(BO73="D",1,0)+IF(BT73="D",1,0)+IF(BU73="D",1,0)+IF(BW73="D",1,0)+IF(CC73="D",1,0)+IF(CD73="D",1,0)+IF(CE73="D",1,0)+IF(CF73="D",1,0)+IF(CL73="D",1,0)+IF(CM73="D",1,0)+IF(CQ73="D",1,0)+IF(CR73="D",1,0)+IF(CS73="D",1,0)+IF(CW73="D",1,0)+IF(CX73="D",1,0)+IF(DD73="D",1,0)+IF(DE73="D",1,0)+IF(DJ73="D",1,0)+IF(DK73="D",1,0)+IF(DO73="D",1,0)+IF(DP73="D",1,0)+IF(DQ73="D",1,0)+IF(DW73="D",1,0)+IF(DZ73="D",1,0)+IF(EH73="D",1,0)</f>
        <v/>
      </c>
      <c r="AY73">
        <f>IF(DJ73&lt;&gt;"",1,0)+IF(DK73&lt;&gt;"",1,0)+IF(DM73&lt;&gt;"",1,0)+IF(DO73&lt;&gt;"",1,0)+IF(DP73&lt;&gt;"",1,0)+IF(DQ73&lt;&gt;"",1,0)+IF(DS73&lt;&gt;"",1,0)+IF(DT73&lt;&gt;"",1,0)+IF(DV73&lt;&gt;"",1,0)+IF(DW73&lt;&gt;"",1,0)+IF(DX73&lt;&gt;"",1,0)+IF(DY73&lt;&gt;"",1,0)+IF(DZ73&lt;&gt;"",1,0)+IF(EB73&lt;&gt;"",1,0)+IF(EC73&lt;&gt;"",1,0)+IF(ED73&lt;&gt;"",1,0)+IF(EG73&lt;&gt;"",1,0)+IF(EH73&lt;&gt;"",1,0)</f>
        <v/>
      </c>
      <c r="AZ73">
        <f>IF(EH73&lt;&gt;"",1,0)</f>
        <v/>
      </c>
      <c r="BB73" t="inlineStr">
        <is>
          <t>WARREN-WARD 4</t>
        </is>
      </c>
    </row>
    <row r="74">
      <c r="A74" t="inlineStr">
        <is>
          <t>OH0027931202</t>
        </is>
      </c>
      <c r="B74" t="n">
        <v>78</v>
      </c>
      <c r="C74" t="n">
        <v>495624</v>
      </c>
      <c r="D74" t="inlineStr">
        <is>
          <t>BEALL</t>
        </is>
      </c>
      <c r="E74" t="inlineStr">
        <is>
          <t>MICAH</t>
        </is>
      </c>
      <c r="F74">
        <f>CONCATENATE(D74," ",LEFT(H74,4),"T=",AU74,"D=",AV74,"R=",AW74,"M=",AX74,"L=",AY74,"B=",AZ74)</f>
        <v/>
      </c>
      <c r="G74" t="inlineStr">
        <is>
          <t>JAMES</t>
        </is>
      </c>
      <c r="I74" t="inlineStr">
        <is>
          <t>2007-03-30</t>
        </is>
      </c>
      <c r="J74" t="inlineStr">
        <is>
          <t>2025-04-01</t>
        </is>
      </c>
      <c r="K74" t="inlineStr">
        <is>
          <t>ACTIVE</t>
        </is>
      </c>
      <c r="M74" t="inlineStr">
        <is>
          <t>375 OAK KNOLL AVE SE</t>
        </is>
      </c>
      <c r="N74">
        <f>RIGHT(M74,LEN(M74)-FIND(" ",M74))</f>
        <v/>
      </c>
      <c r="P74" t="inlineStr">
        <is>
          <t>WARREN</t>
        </is>
      </c>
      <c r="Q74" t="inlineStr">
        <is>
          <t>OH</t>
        </is>
      </c>
      <c r="R74" t="n">
        <v>44483</v>
      </c>
      <c r="AD74" t="inlineStr">
        <is>
          <t>TRUMBULL CAREER &amp; TECH CENTER</t>
        </is>
      </c>
      <c r="AE74" t="inlineStr">
        <is>
          <t>WARREN CITY</t>
        </is>
      </c>
      <c r="AF74" t="inlineStr">
        <is>
          <t>WARREN CITY SD</t>
        </is>
      </c>
      <c r="AH74" t="n">
        <v>14</v>
      </c>
      <c r="AI74" t="n">
        <v>11</v>
      </c>
      <c r="AN74" t="inlineStr">
        <is>
          <t>WARREN</t>
        </is>
      </c>
      <c r="AO74" t="inlineStr">
        <is>
          <t>WARREN CITY 4A</t>
        </is>
      </c>
      <c r="AP74" t="inlineStr">
        <is>
          <t>78-P-ADI</t>
        </is>
      </c>
      <c r="AQ74" t="n">
        <v>9</v>
      </c>
      <c r="AR74" t="n">
        <v>64</v>
      </c>
      <c r="AS74" t="n">
        <v>32</v>
      </c>
      <c r="AU74">
        <f>COUNTA($BA$74:$EH$74)</f>
        <v/>
      </c>
      <c r="AV74">
        <f>COUNTIF($BA$74:$EH$74,"D")</f>
        <v/>
      </c>
      <c r="AW74">
        <f>COUNTIF($BA$74:$EH$74,"R")</f>
        <v/>
      </c>
      <c r="AX74">
        <f>IF(BN74="D",1,0)+IF(BO74="D",1,0)+IF(BT74="D",1,0)+IF(BU74="D",1,0)+IF(BW74="D",1,0)+IF(CC74="D",1,0)+IF(CD74="D",1,0)+IF(CE74="D",1,0)+IF(CF74="D",1,0)+IF(CL74="D",1,0)+IF(CM74="D",1,0)+IF(CQ74="D",1,0)+IF(CR74="D",1,0)+IF(CS74="D",1,0)+IF(CW74="D",1,0)+IF(CX74="D",1,0)+IF(DD74="D",1,0)+IF(DE74="D",1,0)+IF(DJ74="D",1,0)+IF(DK74="D",1,0)+IF(DO74="D",1,0)+IF(DP74="D",1,0)+IF(DQ74="D",1,0)+IF(DW74="D",1,0)+IF(DZ74="D",1,0)+IF(EH74="D",1,0)</f>
        <v/>
      </c>
      <c r="AY74">
        <f>IF(DJ74&lt;&gt;"",1,0)+IF(DK74&lt;&gt;"",1,0)+IF(DM74&lt;&gt;"",1,0)+IF(DO74&lt;&gt;"",1,0)+IF(DP74&lt;&gt;"",1,0)+IF(DQ74&lt;&gt;"",1,0)+IF(DS74&lt;&gt;"",1,0)+IF(DT74&lt;&gt;"",1,0)+IF(DV74&lt;&gt;"",1,0)+IF(DW74&lt;&gt;"",1,0)+IF(DX74&lt;&gt;"",1,0)+IF(DY74&lt;&gt;"",1,0)+IF(DZ74&lt;&gt;"",1,0)+IF(EB74&lt;&gt;"",1,0)+IF(EC74&lt;&gt;"",1,0)+IF(ED74&lt;&gt;"",1,0)+IF(EG74&lt;&gt;"",1,0)+IF(EH74&lt;&gt;"",1,0)</f>
        <v/>
      </c>
      <c r="AZ74">
        <f>IF(EH74&lt;&gt;"",1,0)</f>
        <v/>
      </c>
      <c r="BB74" t="inlineStr">
        <is>
          <t>WARREN-WARD 4</t>
        </is>
      </c>
    </row>
    <row r="75">
      <c r="A75" t="inlineStr">
        <is>
          <t>OH0015743508</t>
        </is>
      </c>
      <c r="B75" t="n">
        <v>78</v>
      </c>
      <c r="C75" t="n">
        <v>322296</v>
      </c>
      <c r="D75" t="inlineStr">
        <is>
          <t>LOSEY</t>
        </is>
      </c>
      <c r="E75" t="inlineStr">
        <is>
          <t>WILLIAM</t>
        </is>
      </c>
      <c r="F75">
        <f>CONCATENATE(D75," ",LEFT(H75,4),"T=",AU75,"D=",AV75,"R=",AW75,"M=",AX75,"L=",AY75,"B=",AZ75)</f>
        <v/>
      </c>
      <c r="G75" t="inlineStr">
        <is>
          <t>E</t>
        </is>
      </c>
      <c r="I75" t="inlineStr">
        <is>
          <t>1951-09-23</t>
        </is>
      </c>
      <c r="J75" t="inlineStr">
        <is>
          <t>2004-02-28</t>
        </is>
      </c>
      <c r="K75" t="inlineStr">
        <is>
          <t>ACTIVE</t>
        </is>
      </c>
      <c r="M75" t="inlineStr">
        <is>
          <t>319 WOODBINE AVE SE</t>
        </is>
      </c>
      <c r="N75">
        <f>RIGHT(M75,LEN(M75)-FIND(" ",M75))</f>
        <v/>
      </c>
      <c r="P75" t="inlineStr">
        <is>
          <t>WARREN</t>
        </is>
      </c>
      <c r="Q75" t="inlineStr">
        <is>
          <t>OH</t>
        </is>
      </c>
      <c r="R75" t="n">
        <v>44483</v>
      </c>
      <c r="AD75" t="inlineStr">
        <is>
          <t>TRUMBULL CAREER &amp; TECH CENTER</t>
        </is>
      </c>
      <c r="AE75" t="inlineStr">
        <is>
          <t>WARREN CITY</t>
        </is>
      </c>
      <c r="AF75" t="inlineStr">
        <is>
          <t>WARREN CITY SD</t>
        </is>
      </c>
      <c r="AH75" t="n">
        <v>14</v>
      </c>
      <c r="AI75" t="n">
        <v>11</v>
      </c>
      <c r="AN75" t="inlineStr">
        <is>
          <t>WARREN</t>
        </is>
      </c>
      <c r="AO75" t="inlineStr">
        <is>
          <t>WARREN CITY 4A</t>
        </is>
      </c>
      <c r="AP75" t="inlineStr">
        <is>
          <t>78-P-ADI</t>
        </is>
      </c>
      <c r="AQ75" t="n">
        <v>9</v>
      </c>
      <c r="AR75" t="n">
        <v>64</v>
      </c>
      <c r="AS75" t="n">
        <v>32</v>
      </c>
      <c r="AU75">
        <f>COUNTA($BA$75:$EH$75)</f>
        <v/>
      </c>
      <c r="AV75">
        <f>COUNTIF($BA$75:$EH$75,"D")</f>
        <v/>
      </c>
      <c r="AW75">
        <f>COUNTIF($BA$75:$EH$75,"R")</f>
        <v/>
      </c>
      <c r="AX75">
        <f>IF(BN75="D",1,0)+IF(BO75="D",1,0)+IF(BT75="D",1,0)+IF(BU75="D",1,0)+IF(BW75="D",1,0)+IF(CC75="D",1,0)+IF(CD75="D",1,0)+IF(CE75="D",1,0)+IF(CF75="D",1,0)+IF(CL75="D",1,0)+IF(CM75="D",1,0)+IF(CQ75="D",1,0)+IF(CR75="D",1,0)+IF(CS75="D",1,0)+IF(CW75="D",1,0)+IF(CX75="D",1,0)+IF(DD75="D",1,0)+IF(DE75="D",1,0)+IF(DJ75="D",1,0)+IF(DK75="D",1,0)+IF(DO75="D",1,0)+IF(DP75="D",1,0)+IF(DQ75="D",1,0)+IF(DW75="D",1,0)+IF(DZ75="D",1,0)+IF(EH75="D",1,0)</f>
        <v/>
      </c>
      <c r="AY75">
        <f>IF(DJ75&lt;&gt;"",1,0)+IF(DK75&lt;&gt;"",1,0)+IF(DM75&lt;&gt;"",1,0)+IF(DO75&lt;&gt;"",1,0)+IF(DP75&lt;&gt;"",1,0)+IF(DQ75&lt;&gt;"",1,0)+IF(DS75&lt;&gt;"",1,0)+IF(DT75&lt;&gt;"",1,0)+IF(DV75&lt;&gt;"",1,0)+IF(DW75&lt;&gt;"",1,0)+IF(DX75&lt;&gt;"",1,0)+IF(DY75&lt;&gt;"",1,0)+IF(DZ75&lt;&gt;"",1,0)+IF(EB75&lt;&gt;"",1,0)+IF(EC75&lt;&gt;"",1,0)+IF(ED75&lt;&gt;"",1,0)+IF(EG75&lt;&gt;"",1,0)+IF(EH75&lt;&gt;"",1,0)</f>
        <v/>
      </c>
      <c r="AZ75">
        <f>IF(EH75&lt;&gt;"",1,0)</f>
        <v/>
      </c>
      <c r="BB75" t="inlineStr">
        <is>
          <t>WARREN-WARD 4</t>
        </is>
      </c>
      <c r="BL75" t="inlineStr">
        <is>
          <t>X</t>
        </is>
      </c>
      <c r="BS75" t="inlineStr">
        <is>
          <t>X</t>
        </is>
      </c>
      <c r="CA75" t="inlineStr">
        <is>
          <t>X</t>
        </is>
      </c>
      <c r="CN75" t="inlineStr">
        <is>
          <t>X</t>
        </is>
      </c>
      <c r="CP75" t="inlineStr">
        <is>
          <t>X</t>
        </is>
      </c>
      <c r="CV75" t="inlineStr">
        <is>
          <t>X</t>
        </is>
      </c>
      <c r="DC75" t="inlineStr">
        <is>
          <t>X</t>
        </is>
      </c>
      <c r="DI75" t="inlineStr">
        <is>
          <t>X</t>
        </is>
      </c>
      <c r="DM75" t="inlineStr">
        <is>
          <t>D</t>
        </is>
      </c>
      <c r="DN75" t="inlineStr">
        <is>
          <t>X</t>
        </is>
      </c>
      <c r="DU75" t="inlineStr">
        <is>
          <t>X</t>
        </is>
      </c>
      <c r="DX75" t="inlineStr">
        <is>
          <t>X</t>
        </is>
      </c>
      <c r="EA75" t="inlineStr">
        <is>
          <t>X</t>
        </is>
      </c>
      <c r="EF75" t="inlineStr">
        <is>
          <t>X</t>
        </is>
      </c>
    </row>
    <row r="76">
      <c r="A76" t="inlineStr">
        <is>
          <t>OH0023311273</t>
        </is>
      </c>
      <c r="B76" t="n">
        <v>78</v>
      </c>
      <c r="C76" t="n">
        <v>409963</v>
      </c>
      <c r="D76" t="inlineStr">
        <is>
          <t>BOGGS</t>
        </is>
      </c>
      <c r="E76" t="inlineStr">
        <is>
          <t>DILLON</t>
        </is>
      </c>
      <c r="F76">
        <f>CONCATENATE(D76," ",LEFT(H76,4),"T=",AU76,"D=",AV76,"R=",AW76,"M=",AX76,"L=",AY76,"B=",AZ76)</f>
        <v/>
      </c>
      <c r="G76" t="inlineStr">
        <is>
          <t>J</t>
        </is>
      </c>
      <c r="I76" t="inlineStr">
        <is>
          <t>1992-08-03</t>
        </is>
      </c>
      <c r="J76" t="inlineStr">
        <is>
          <t>2016-12-08</t>
        </is>
      </c>
      <c r="K76" t="inlineStr">
        <is>
          <t>ACTIVE</t>
        </is>
      </c>
      <c r="M76" t="inlineStr">
        <is>
          <t>123 LOGAN AVE SE</t>
        </is>
      </c>
      <c r="N76">
        <f>RIGHT(M76,LEN(M76)-FIND(" ",M76))</f>
        <v/>
      </c>
      <c r="P76" t="inlineStr">
        <is>
          <t>WARREN</t>
        </is>
      </c>
      <c r="Q76" t="inlineStr">
        <is>
          <t>OH</t>
        </is>
      </c>
      <c r="R76" t="n">
        <v>44483</v>
      </c>
      <c r="AD76" t="inlineStr">
        <is>
          <t>TRUMBULL CAREER &amp; TECH CENTER</t>
        </is>
      </c>
      <c r="AE76" t="inlineStr">
        <is>
          <t>WARREN CITY</t>
        </is>
      </c>
      <c r="AF76" t="inlineStr">
        <is>
          <t>WARREN CITY SD</t>
        </is>
      </c>
      <c r="AH76" t="n">
        <v>14</v>
      </c>
      <c r="AI76" t="n">
        <v>11</v>
      </c>
      <c r="AN76" t="inlineStr">
        <is>
          <t>WARREN</t>
        </is>
      </c>
      <c r="AO76" t="inlineStr">
        <is>
          <t>WARREN CITY 4A</t>
        </is>
      </c>
      <c r="AP76" t="inlineStr">
        <is>
          <t>78-P-ADI</t>
        </is>
      </c>
      <c r="AQ76" t="n">
        <v>9</v>
      </c>
      <c r="AR76" t="n">
        <v>64</v>
      </c>
      <c r="AS76" t="n">
        <v>32</v>
      </c>
      <c r="AU76">
        <f>COUNTA($BA$76:$EH$76)</f>
        <v/>
      </c>
      <c r="AV76">
        <f>COUNTIF($BA$76:$EH$76,"D")</f>
        <v/>
      </c>
      <c r="AW76">
        <f>COUNTIF($BA$76:$EH$76,"R")</f>
        <v/>
      </c>
      <c r="AX76">
        <f>IF(BN76="D",1,0)+IF(BO76="D",1,0)+IF(BT76="D",1,0)+IF(BU76="D",1,0)+IF(BW76="D",1,0)+IF(CC76="D",1,0)+IF(CD76="D",1,0)+IF(CE76="D",1,0)+IF(CF76="D",1,0)+IF(CL76="D",1,0)+IF(CM76="D",1,0)+IF(CQ76="D",1,0)+IF(CR76="D",1,0)+IF(CS76="D",1,0)+IF(CW76="D",1,0)+IF(CX76="D",1,0)+IF(DD76="D",1,0)+IF(DE76="D",1,0)+IF(DJ76="D",1,0)+IF(DK76="D",1,0)+IF(DO76="D",1,0)+IF(DP76="D",1,0)+IF(DQ76="D",1,0)+IF(DW76="D",1,0)+IF(DZ76="D",1,0)+IF(EH76="D",1,0)</f>
        <v/>
      </c>
      <c r="AY76">
        <f>IF(DJ76&lt;&gt;"",1,0)+IF(DK76&lt;&gt;"",1,0)+IF(DM76&lt;&gt;"",1,0)+IF(DO76&lt;&gt;"",1,0)+IF(DP76&lt;&gt;"",1,0)+IF(DQ76&lt;&gt;"",1,0)+IF(DS76&lt;&gt;"",1,0)+IF(DT76&lt;&gt;"",1,0)+IF(DV76&lt;&gt;"",1,0)+IF(DW76&lt;&gt;"",1,0)+IF(DX76&lt;&gt;"",1,0)+IF(DY76&lt;&gt;"",1,0)+IF(DZ76&lt;&gt;"",1,0)+IF(EB76&lt;&gt;"",1,0)+IF(EC76&lt;&gt;"",1,0)+IF(ED76&lt;&gt;"",1,0)+IF(EG76&lt;&gt;"",1,0)+IF(EH76&lt;&gt;"",1,0)</f>
        <v/>
      </c>
      <c r="AZ76">
        <f>IF(EH76&lt;&gt;"",1,0)</f>
        <v/>
      </c>
      <c r="BB76" t="inlineStr">
        <is>
          <t>WARREN-WARD 4</t>
        </is>
      </c>
      <c r="CY76" t="inlineStr">
        <is>
          <t>X</t>
        </is>
      </c>
      <c r="DC76" t="inlineStr">
        <is>
          <t>X</t>
        </is>
      </c>
      <c r="EF76" t="inlineStr">
        <is>
          <t>X</t>
        </is>
      </c>
    </row>
    <row r="77">
      <c r="A77" t="inlineStr">
        <is>
          <t>OH0024260401</t>
        </is>
      </c>
      <c r="B77" t="n">
        <v>78</v>
      </c>
      <c r="C77" t="n">
        <v>426029</v>
      </c>
      <c r="D77" t="inlineStr">
        <is>
          <t>TOBIAS</t>
        </is>
      </c>
      <c r="E77" t="inlineStr">
        <is>
          <t>JOHN</t>
        </is>
      </c>
      <c r="F77">
        <f>CONCATENATE(D77," ",LEFT(H77,4),"T=",AU77,"D=",AV77,"R=",AW77,"M=",AX77,"L=",AY77,"B=",AZ77)</f>
        <v/>
      </c>
      <c r="G77" t="inlineStr">
        <is>
          <t>JAMES</t>
        </is>
      </c>
      <c r="I77" t="inlineStr">
        <is>
          <t>1955-04-09</t>
        </is>
      </c>
      <c r="J77" t="inlineStr">
        <is>
          <t>2024-05-22</t>
        </is>
      </c>
      <c r="K77" t="inlineStr">
        <is>
          <t>ACTIVE</t>
        </is>
      </c>
      <c r="M77" t="inlineStr">
        <is>
          <t>416 HOMEWOOD AVE SE</t>
        </is>
      </c>
      <c r="N77">
        <f>RIGHT(M77,LEN(M77)-FIND(" ",M77))</f>
        <v/>
      </c>
      <c r="P77" t="inlineStr">
        <is>
          <t>WARREN</t>
        </is>
      </c>
      <c r="Q77" t="inlineStr">
        <is>
          <t>OH</t>
        </is>
      </c>
      <c r="R77" t="n">
        <v>44483</v>
      </c>
      <c r="AD77" t="inlineStr">
        <is>
          <t>TRUMBULL CAREER &amp; TECH CENTER</t>
        </is>
      </c>
      <c r="AE77" t="inlineStr">
        <is>
          <t>WARREN CITY</t>
        </is>
      </c>
      <c r="AF77" t="inlineStr">
        <is>
          <t>WARREN CITY SD</t>
        </is>
      </c>
      <c r="AH77" t="n">
        <v>14</v>
      </c>
      <c r="AI77" t="n">
        <v>11</v>
      </c>
      <c r="AN77" t="inlineStr">
        <is>
          <t>WARREN</t>
        </is>
      </c>
      <c r="AO77" t="inlineStr">
        <is>
          <t>WARREN CITY 4A</t>
        </is>
      </c>
      <c r="AP77" t="inlineStr">
        <is>
          <t>78-P-ADI</t>
        </is>
      </c>
      <c r="AQ77" t="n">
        <v>9</v>
      </c>
      <c r="AR77" t="n">
        <v>64</v>
      </c>
      <c r="AS77" t="n">
        <v>32</v>
      </c>
      <c r="AU77">
        <f>COUNTA($BA$77:$EH$77)</f>
        <v/>
      </c>
      <c r="AV77">
        <f>COUNTIF($BA$77:$EH$77,"D")</f>
        <v/>
      </c>
      <c r="AW77">
        <f>COUNTIF($BA$77:$EH$77,"R")</f>
        <v/>
      </c>
      <c r="AX77">
        <f>IF(BN77="D",1,0)+IF(BO77="D",1,0)+IF(BT77="D",1,0)+IF(BU77="D",1,0)+IF(BW77="D",1,0)+IF(CC77="D",1,0)+IF(CD77="D",1,0)+IF(CE77="D",1,0)+IF(CF77="D",1,0)+IF(CL77="D",1,0)+IF(CM77="D",1,0)+IF(CQ77="D",1,0)+IF(CR77="D",1,0)+IF(CS77="D",1,0)+IF(CW77="D",1,0)+IF(CX77="D",1,0)+IF(DD77="D",1,0)+IF(DE77="D",1,0)+IF(DJ77="D",1,0)+IF(DK77="D",1,0)+IF(DO77="D",1,0)+IF(DP77="D",1,0)+IF(DQ77="D",1,0)+IF(DW77="D",1,0)+IF(DZ77="D",1,0)+IF(EH77="D",1,0)</f>
        <v/>
      </c>
      <c r="AY77">
        <f>IF(DJ77&lt;&gt;"",1,0)+IF(DK77&lt;&gt;"",1,0)+IF(DM77&lt;&gt;"",1,0)+IF(DO77&lt;&gt;"",1,0)+IF(DP77&lt;&gt;"",1,0)+IF(DQ77&lt;&gt;"",1,0)+IF(DS77&lt;&gt;"",1,0)+IF(DT77&lt;&gt;"",1,0)+IF(DV77&lt;&gt;"",1,0)+IF(DW77&lt;&gt;"",1,0)+IF(DX77&lt;&gt;"",1,0)+IF(DY77&lt;&gt;"",1,0)+IF(DZ77&lt;&gt;"",1,0)+IF(EB77&lt;&gt;"",1,0)+IF(EC77&lt;&gt;"",1,0)+IF(ED77&lt;&gt;"",1,0)+IF(EG77&lt;&gt;"",1,0)+IF(EH77&lt;&gt;"",1,0)</f>
        <v/>
      </c>
      <c r="AZ77">
        <f>IF(EH77&lt;&gt;"",1,0)</f>
        <v/>
      </c>
      <c r="BB77" t="inlineStr">
        <is>
          <t>WARREN-WARD 4</t>
        </is>
      </c>
      <c r="DI77" t="inlineStr">
        <is>
          <t>X</t>
        </is>
      </c>
    </row>
    <row r="78">
      <c r="A78" t="inlineStr">
        <is>
          <t>OH0025194089</t>
        </is>
      </c>
      <c r="B78" t="n">
        <v>78</v>
      </c>
      <c r="C78" t="n">
        <v>441164</v>
      </c>
      <c r="D78" t="inlineStr">
        <is>
          <t>REEDER</t>
        </is>
      </c>
      <c r="E78" t="inlineStr">
        <is>
          <t>DAVID</t>
        </is>
      </c>
      <c r="F78">
        <f>CONCATENATE(D78," ",LEFT(H78,4),"T=",AU78,"D=",AV78,"R=",AW78,"M=",AX78,"L=",AY78,"B=",AZ78)</f>
        <v/>
      </c>
      <c r="G78" t="inlineStr">
        <is>
          <t>DANELL</t>
        </is>
      </c>
      <c r="I78" t="inlineStr">
        <is>
          <t>1971-12-05</t>
        </is>
      </c>
      <c r="J78" t="inlineStr">
        <is>
          <t>2019-08-31</t>
        </is>
      </c>
      <c r="K78" t="inlineStr">
        <is>
          <t>ACTIVE</t>
        </is>
      </c>
      <c r="L78" t="inlineStr">
        <is>
          <t>R</t>
        </is>
      </c>
      <c r="M78" t="inlineStr">
        <is>
          <t>315 OAK KNOLL AVE SE</t>
        </is>
      </c>
      <c r="N78">
        <f>RIGHT(M78,LEN(M78)-FIND(" ",M78))</f>
        <v/>
      </c>
      <c r="P78" t="inlineStr">
        <is>
          <t>WARREN</t>
        </is>
      </c>
      <c r="Q78" t="inlineStr">
        <is>
          <t>OH</t>
        </is>
      </c>
      <c r="R78" t="n">
        <v>44483</v>
      </c>
      <c r="AD78" t="inlineStr">
        <is>
          <t>TRUMBULL CAREER &amp; TECH CENTER</t>
        </is>
      </c>
      <c r="AE78" t="inlineStr">
        <is>
          <t>WARREN CITY</t>
        </is>
      </c>
      <c r="AF78" t="inlineStr">
        <is>
          <t>WARREN CITY SD</t>
        </is>
      </c>
      <c r="AH78" t="n">
        <v>14</v>
      </c>
      <c r="AI78" t="n">
        <v>11</v>
      </c>
      <c r="AN78" t="inlineStr">
        <is>
          <t>WARREN</t>
        </is>
      </c>
      <c r="AO78" t="inlineStr">
        <is>
          <t>WARREN CITY 4A</t>
        </is>
      </c>
      <c r="AP78" t="inlineStr">
        <is>
          <t>78-P-ADI</t>
        </is>
      </c>
      <c r="AQ78" t="n">
        <v>9</v>
      </c>
      <c r="AR78" t="n">
        <v>64</v>
      </c>
      <c r="AS78" t="n">
        <v>32</v>
      </c>
      <c r="AU78">
        <f>COUNTA($BA$78:$EH$78)</f>
        <v/>
      </c>
      <c r="AV78">
        <f>COUNTIF($BA$78:$EH$78,"D")</f>
        <v/>
      </c>
      <c r="AW78">
        <f>COUNTIF($BA$78:$EH$78,"R")</f>
        <v/>
      </c>
      <c r="AX78">
        <f>IF(BN78="D",1,0)+IF(BO78="D",1,0)+IF(BT78="D",1,0)+IF(BU78="D",1,0)+IF(BW78="D",1,0)+IF(CC78="D",1,0)+IF(CD78="D",1,0)+IF(CE78="D",1,0)+IF(CF78="D",1,0)+IF(CL78="D",1,0)+IF(CM78="D",1,0)+IF(CQ78="D",1,0)+IF(CR78="D",1,0)+IF(CS78="D",1,0)+IF(CW78="D",1,0)+IF(CX78="D",1,0)+IF(DD78="D",1,0)+IF(DE78="D",1,0)+IF(DJ78="D",1,0)+IF(DK78="D",1,0)+IF(DO78="D",1,0)+IF(DP78="D",1,0)+IF(DQ78="D",1,0)+IF(DW78="D",1,0)+IF(DZ78="D",1,0)+IF(EH78="D",1,0)</f>
        <v/>
      </c>
      <c r="AY78">
        <f>IF(DJ78&lt;&gt;"",1,0)+IF(DK78&lt;&gt;"",1,0)+IF(DM78&lt;&gt;"",1,0)+IF(DO78&lt;&gt;"",1,0)+IF(DP78&lt;&gt;"",1,0)+IF(DQ78&lt;&gt;"",1,0)+IF(DS78&lt;&gt;"",1,0)+IF(DT78&lt;&gt;"",1,0)+IF(DV78&lt;&gt;"",1,0)+IF(DW78&lt;&gt;"",1,0)+IF(DX78&lt;&gt;"",1,0)+IF(DY78&lt;&gt;"",1,0)+IF(DZ78&lt;&gt;"",1,0)+IF(EB78&lt;&gt;"",1,0)+IF(EC78&lt;&gt;"",1,0)+IF(ED78&lt;&gt;"",1,0)+IF(EG78&lt;&gt;"",1,0)+IF(EH78&lt;&gt;"",1,0)</f>
        <v/>
      </c>
      <c r="AZ78">
        <f>IF(EH78&lt;&gt;"",1,0)</f>
        <v/>
      </c>
      <c r="BB78" t="inlineStr">
        <is>
          <t>WARREN-WARD 4</t>
        </is>
      </c>
      <c r="DN78" t="inlineStr">
        <is>
          <t>X</t>
        </is>
      </c>
      <c r="DU78" t="inlineStr">
        <is>
          <t>X</t>
        </is>
      </c>
      <c r="EA78" t="inlineStr">
        <is>
          <t>X</t>
        </is>
      </c>
      <c r="ED78" t="inlineStr">
        <is>
          <t>R</t>
        </is>
      </c>
      <c r="EF78" t="inlineStr">
        <is>
          <t>X</t>
        </is>
      </c>
    </row>
    <row r="79">
      <c r="A79" t="inlineStr">
        <is>
          <t>OH0027176171</t>
        </is>
      </c>
      <c r="B79" t="n">
        <v>78</v>
      </c>
      <c r="C79" t="n">
        <v>478159</v>
      </c>
      <c r="D79" t="inlineStr">
        <is>
          <t>HERNANDEZ RIVERA</t>
        </is>
      </c>
      <c r="E79" t="inlineStr">
        <is>
          <t>JAILIANY</t>
        </is>
      </c>
      <c r="F79">
        <f>CONCATENATE(D79," ",LEFT(H79,4),"T=",AU79,"D=",AV79,"R=",AW79,"M=",AX79,"L=",AY79,"B=",AZ79)</f>
        <v/>
      </c>
      <c r="G79" t="inlineStr">
        <is>
          <t>MARIE</t>
        </is>
      </c>
      <c r="I79" t="inlineStr">
        <is>
          <t>2006-04-28</t>
        </is>
      </c>
      <c r="J79" t="inlineStr">
        <is>
          <t>2023-11-06</t>
        </is>
      </c>
      <c r="K79" t="inlineStr">
        <is>
          <t>ACTIVE</t>
        </is>
      </c>
      <c r="L79" t="inlineStr">
        <is>
          <t>R</t>
        </is>
      </c>
      <c r="M79" t="inlineStr">
        <is>
          <t>179 CHARLES AVE SE</t>
        </is>
      </c>
      <c r="N79">
        <f>RIGHT(M79,LEN(M79)-FIND(" ",M79))</f>
        <v/>
      </c>
      <c r="P79" t="inlineStr">
        <is>
          <t>WARREN</t>
        </is>
      </c>
      <c r="Q79" t="inlineStr">
        <is>
          <t>OH</t>
        </is>
      </c>
      <c r="R79" t="n">
        <v>44483</v>
      </c>
      <c r="AD79" t="inlineStr">
        <is>
          <t>TRUMBULL CAREER &amp; TECH CENTER</t>
        </is>
      </c>
      <c r="AE79" t="inlineStr">
        <is>
          <t>WARREN CITY</t>
        </is>
      </c>
      <c r="AF79" t="inlineStr">
        <is>
          <t>WARREN CITY SD</t>
        </is>
      </c>
      <c r="AH79" t="n">
        <v>14</v>
      </c>
      <c r="AI79" t="n">
        <v>11</v>
      </c>
      <c r="AN79" t="inlineStr">
        <is>
          <t>WARREN</t>
        </is>
      </c>
      <c r="AO79" t="inlineStr">
        <is>
          <t>WARREN CITY 4A</t>
        </is>
      </c>
      <c r="AP79" t="inlineStr">
        <is>
          <t>78-P-ADI</t>
        </is>
      </c>
      <c r="AQ79" t="n">
        <v>9</v>
      </c>
      <c r="AR79" t="n">
        <v>64</v>
      </c>
      <c r="AS79" t="n">
        <v>32</v>
      </c>
      <c r="AU79">
        <f>COUNTA($BA$79:$EH$79)</f>
        <v/>
      </c>
      <c r="AV79">
        <f>COUNTIF($BA$79:$EH$79,"D")</f>
        <v/>
      </c>
      <c r="AW79">
        <f>COUNTIF($BA$79:$EH$79,"R")</f>
        <v/>
      </c>
      <c r="AX79">
        <f>IF(BN79="D",1,0)+IF(BO79="D",1,0)+IF(BT79="D",1,0)+IF(BU79="D",1,0)+IF(BW79="D",1,0)+IF(CC79="D",1,0)+IF(CD79="D",1,0)+IF(CE79="D",1,0)+IF(CF79="D",1,0)+IF(CL79="D",1,0)+IF(CM79="D",1,0)+IF(CQ79="D",1,0)+IF(CR79="D",1,0)+IF(CS79="D",1,0)+IF(CW79="D",1,0)+IF(CX79="D",1,0)+IF(DD79="D",1,0)+IF(DE79="D",1,0)+IF(DJ79="D",1,0)+IF(DK79="D",1,0)+IF(DO79="D",1,0)+IF(DP79="D",1,0)+IF(DQ79="D",1,0)+IF(DW79="D",1,0)+IF(DZ79="D",1,0)+IF(EH79="D",1,0)</f>
        <v/>
      </c>
      <c r="AY79">
        <f>IF(DJ79&lt;&gt;"",1,0)+IF(DK79&lt;&gt;"",1,0)+IF(DM79&lt;&gt;"",1,0)+IF(DO79&lt;&gt;"",1,0)+IF(DP79&lt;&gt;"",1,0)+IF(DQ79&lt;&gt;"",1,0)+IF(DS79&lt;&gt;"",1,0)+IF(DT79&lt;&gt;"",1,0)+IF(DV79&lt;&gt;"",1,0)+IF(DW79&lt;&gt;"",1,0)+IF(DX79&lt;&gt;"",1,0)+IF(DY79&lt;&gt;"",1,0)+IF(DZ79&lt;&gt;"",1,0)+IF(EB79&lt;&gt;"",1,0)+IF(EC79&lt;&gt;"",1,0)+IF(ED79&lt;&gt;"",1,0)+IF(EG79&lt;&gt;"",1,0)+IF(EH79&lt;&gt;"",1,0)</f>
        <v/>
      </c>
      <c r="AZ79">
        <f>IF(EH79&lt;&gt;"",1,0)</f>
        <v/>
      </c>
      <c r="BB79" t="inlineStr">
        <is>
          <t>WARREN-WARD 4</t>
        </is>
      </c>
      <c r="ED79" t="inlineStr">
        <is>
          <t>R</t>
        </is>
      </c>
      <c r="EF79" t="inlineStr">
        <is>
          <t>X</t>
        </is>
      </c>
    </row>
    <row r="80">
      <c r="A80" t="inlineStr">
        <is>
          <t>OH0015814998</t>
        </is>
      </c>
      <c r="B80" t="n">
        <v>78</v>
      </c>
      <c r="C80" t="n">
        <v>312844</v>
      </c>
      <c r="D80" t="inlineStr">
        <is>
          <t>FOSTER</t>
        </is>
      </c>
      <c r="E80" t="inlineStr">
        <is>
          <t>DEBORAH</t>
        </is>
      </c>
      <c r="F80">
        <f>CONCATENATE(D80," ",LEFT(H80,4),"T=",AU80,"D=",AV80,"R=",AW80,"M=",AX80,"L=",AY80,"B=",AZ80)</f>
        <v/>
      </c>
      <c r="G80" t="inlineStr">
        <is>
          <t>K</t>
        </is>
      </c>
      <c r="I80" t="inlineStr">
        <is>
          <t>1966-01-03</t>
        </is>
      </c>
      <c r="J80" t="inlineStr">
        <is>
          <t>2015-10-16</t>
        </is>
      </c>
      <c r="K80" t="inlineStr">
        <is>
          <t>CONFIRMATION</t>
        </is>
      </c>
      <c r="M80" t="inlineStr">
        <is>
          <t>206 OAK KNOLL AVE SE</t>
        </is>
      </c>
      <c r="N80">
        <f>RIGHT(M80,LEN(M80)-FIND(" ",M80))</f>
        <v/>
      </c>
      <c r="P80" t="inlineStr">
        <is>
          <t>WARREN</t>
        </is>
      </c>
      <c r="Q80" t="inlineStr">
        <is>
          <t>OH</t>
        </is>
      </c>
      <c r="R80" t="n">
        <v>44483</v>
      </c>
      <c r="AD80" t="inlineStr">
        <is>
          <t>TRUMBULL CAREER &amp; TECH CENTER</t>
        </is>
      </c>
      <c r="AE80" t="inlineStr">
        <is>
          <t>WARREN CITY</t>
        </is>
      </c>
      <c r="AF80" t="inlineStr">
        <is>
          <t>WARREN CITY SD</t>
        </is>
      </c>
      <c r="AH80" t="n">
        <v>14</v>
      </c>
      <c r="AI80" t="n">
        <v>11</v>
      </c>
      <c r="AN80" t="inlineStr">
        <is>
          <t>WARREN</t>
        </is>
      </c>
      <c r="AO80" t="inlineStr">
        <is>
          <t>WARREN CITY 4A</t>
        </is>
      </c>
      <c r="AP80" t="inlineStr">
        <is>
          <t>78-P-ADI</t>
        </is>
      </c>
      <c r="AQ80" t="n">
        <v>9</v>
      </c>
      <c r="AR80" t="n">
        <v>64</v>
      </c>
      <c r="AS80" t="n">
        <v>32</v>
      </c>
      <c r="AU80">
        <f>COUNTA($BA$80:$EH$80)</f>
        <v/>
      </c>
      <c r="AV80">
        <f>COUNTIF($BA$80:$EH$80,"D")</f>
        <v/>
      </c>
      <c r="AW80">
        <f>COUNTIF($BA$80:$EH$80,"R")</f>
        <v/>
      </c>
      <c r="AX80">
        <f>IF(BN80="D",1,0)+IF(BO80="D",1,0)+IF(BT80="D",1,0)+IF(BU80="D",1,0)+IF(BW80="D",1,0)+IF(CC80="D",1,0)+IF(CD80="D",1,0)+IF(CE80="D",1,0)+IF(CF80="D",1,0)+IF(CL80="D",1,0)+IF(CM80="D",1,0)+IF(CQ80="D",1,0)+IF(CR80="D",1,0)+IF(CS80="D",1,0)+IF(CW80="D",1,0)+IF(CX80="D",1,0)+IF(DD80="D",1,0)+IF(DE80="D",1,0)+IF(DJ80="D",1,0)+IF(DK80="D",1,0)+IF(DO80="D",1,0)+IF(DP80="D",1,0)+IF(DQ80="D",1,0)+IF(DW80="D",1,0)+IF(DZ80="D",1,0)+IF(EH80="D",1,0)</f>
        <v/>
      </c>
      <c r="AY80">
        <f>IF(DJ80&lt;&gt;"",1,0)+IF(DK80&lt;&gt;"",1,0)+IF(DM80&lt;&gt;"",1,0)+IF(DO80&lt;&gt;"",1,0)+IF(DP80&lt;&gt;"",1,0)+IF(DQ80&lt;&gt;"",1,0)+IF(DS80&lt;&gt;"",1,0)+IF(DT80&lt;&gt;"",1,0)+IF(DV80&lt;&gt;"",1,0)+IF(DW80&lt;&gt;"",1,0)+IF(DX80&lt;&gt;"",1,0)+IF(DY80&lt;&gt;"",1,0)+IF(DZ80&lt;&gt;"",1,0)+IF(EB80&lt;&gt;"",1,0)+IF(EC80&lt;&gt;"",1,0)+IF(ED80&lt;&gt;"",1,0)+IF(EG80&lt;&gt;"",1,0)+IF(EH80&lt;&gt;"",1,0)</f>
        <v/>
      </c>
      <c r="AZ80">
        <f>IF(EH80&lt;&gt;"",1,0)</f>
        <v/>
      </c>
      <c r="BB80" t="inlineStr">
        <is>
          <t>WARREN-WARD 4</t>
        </is>
      </c>
      <c r="BK80" t="inlineStr">
        <is>
          <t>X</t>
        </is>
      </c>
      <c r="BL80" t="inlineStr">
        <is>
          <t>X</t>
        </is>
      </c>
      <c r="BP80" t="inlineStr">
        <is>
          <t>X</t>
        </is>
      </c>
      <c r="BR80" t="inlineStr">
        <is>
          <t>X</t>
        </is>
      </c>
      <c r="BS80" t="inlineStr">
        <is>
          <t>X</t>
        </is>
      </c>
      <c r="CA80" t="inlineStr">
        <is>
          <t>X</t>
        </is>
      </c>
      <c r="CN80" t="inlineStr">
        <is>
          <t>X</t>
        </is>
      </c>
      <c r="CP80" t="inlineStr">
        <is>
          <t>X</t>
        </is>
      </c>
      <c r="CZ80" t="inlineStr">
        <is>
          <t>D</t>
        </is>
      </c>
    </row>
    <row r="81">
      <c r="A81" t="inlineStr">
        <is>
          <t>OH0015742205</t>
        </is>
      </c>
      <c r="B81" t="n">
        <v>78</v>
      </c>
      <c r="C81" t="n">
        <v>306834</v>
      </c>
      <c r="D81" t="inlineStr">
        <is>
          <t>SHAFFER</t>
        </is>
      </c>
      <c r="E81" t="inlineStr">
        <is>
          <t>JAMES</t>
        </is>
      </c>
      <c r="F81">
        <f>CONCATENATE(D81," ",LEFT(H81,4),"T=",AU81,"D=",AV81,"R=",AW81,"M=",AX81,"L=",AY81,"B=",AZ81)</f>
        <v/>
      </c>
      <c r="I81" t="inlineStr">
        <is>
          <t>1982-12-08</t>
        </is>
      </c>
      <c r="J81" t="inlineStr">
        <is>
          <t>2023-12-07</t>
        </is>
      </c>
      <c r="K81" t="inlineStr">
        <is>
          <t>ACTIVE</t>
        </is>
      </c>
      <c r="M81" t="inlineStr">
        <is>
          <t>197 OAK KNOLL AVE SE</t>
        </is>
      </c>
      <c r="N81">
        <f>RIGHT(M81,LEN(M81)-FIND(" ",M81))</f>
        <v/>
      </c>
      <c r="P81" t="inlineStr">
        <is>
          <t>WARREN</t>
        </is>
      </c>
      <c r="Q81" t="inlineStr">
        <is>
          <t>OH</t>
        </is>
      </c>
      <c r="R81" t="n">
        <v>44483</v>
      </c>
      <c r="AD81" t="inlineStr">
        <is>
          <t>TRUMBULL CAREER &amp; TECH CENTER</t>
        </is>
      </c>
      <c r="AE81" t="inlineStr">
        <is>
          <t>WARREN CITY</t>
        </is>
      </c>
      <c r="AF81" t="inlineStr">
        <is>
          <t>WARREN CITY SD</t>
        </is>
      </c>
      <c r="AH81" t="n">
        <v>14</v>
      </c>
      <c r="AI81" t="n">
        <v>11</v>
      </c>
      <c r="AN81" t="inlineStr">
        <is>
          <t>WARREN</t>
        </is>
      </c>
      <c r="AO81" t="inlineStr">
        <is>
          <t>WARREN CITY 4A</t>
        </is>
      </c>
      <c r="AP81" t="inlineStr">
        <is>
          <t>78-P-ADI</t>
        </is>
      </c>
      <c r="AQ81" t="n">
        <v>9</v>
      </c>
      <c r="AR81" t="n">
        <v>64</v>
      </c>
      <c r="AS81" t="n">
        <v>32</v>
      </c>
      <c r="AU81">
        <f>COUNTA($BA$81:$EH$81)</f>
        <v/>
      </c>
      <c r="AV81">
        <f>COUNTIF($BA$81:$EH$81,"D")</f>
        <v/>
      </c>
      <c r="AW81">
        <f>COUNTIF($BA$81:$EH$81,"R")</f>
        <v/>
      </c>
      <c r="AX81">
        <f>IF(BN81="D",1,0)+IF(BO81="D",1,0)+IF(BT81="D",1,0)+IF(BU81="D",1,0)+IF(BW81="D",1,0)+IF(CC81="D",1,0)+IF(CD81="D",1,0)+IF(CE81="D",1,0)+IF(CF81="D",1,0)+IF(CL81="D",1,0)+IF(CM81="D",1,0)+IF(CQ81="D",1,0)+IF(CR81="D",1,0)+IF(CS81="D",1,0)+IF(CW81="D",1,0)+IF(CX81="D",1,0)+IF(DD81="D",1,0)+IF(DE81="D",1,0)+IF(DJ81="D",1,0)+IF(DK81="D",1,0)+IF(DO81="D",1,0)+IF(DP81="D",1,0)+IF(DQ81="D",1,0)+IF(DW81="D",1,0)+IF(DZ81="D",1,0)+IF(EH81="D",1,0)</f>
        <v/>
      </c>
      <c r="AY81">
        <f>IF(DJ81&lt;&gt;"",1,0)+IF(DK81&lt;&gt;"",1,0)+IF(DM81&lt;&gt;"",1,0)+IF(DO81&lt;&gt;"",1,0)+IF(DP81&lt;&gt;"",1,0)+IF(DQ81&lt;&gt;"",1,0)+IF(DS81&lt;&gt;"",1,0)+IF(DT81&lt;&gt;"",1,0)+IF(DV81&lt;&gt;"",1,0)+IF(DW81&lt;&gt;"",1,0)+IF(DX81&lt;&gt;"",1,0)+IF(DY81&lt;&gt;"",1,0)+IF(DZ81&lt;&gt;"",1,0)+IF(EB81&lt;&gt;"",1,0)+IF(EC81&lt;&gt;"",1,0)+IF(ED81&lt;&gt;"",1,0)+IF(EG81&lt;&gt;"",1,0)+IF(EH81&lt;&gt;"",1,0)</f>
        <v/>
      </c>
      <c r="AZ81">
        <f>IF(EH81&lt;&gt;"",1,0)</f>
        <v/>
      </c>
      <c r="BB81" t="inlineStr">
        <is>
          <t>WARREN-WARD 4</t>
        </is>
      </c>
      <c r="CA81" t="inlineStr">
        <is>
          <t>X</t>
        </is>
      </c>
      <c r="DC81" t="inlineStr">
        <is>
          <t>X</t>
        </is>
      </c>
      <c r="EF81" t="inlineStr">
        <is>
          <t>X</t>
        </is>
      </c>
    </row>
    <row r="82">
      <c r="A82" t="inlineStr">
        <is>
          <t>OH0027176300</t>
        </is>
      </c>
      <c r="B82" t="n">
        <v>78</v>
      </c>
      <c r="C82" t="n">
        <v>478164</v>
      </c>
      <c r="D82" t="inlineStr">
        <is>
          <t>GALVIN</t>
        </is>
      </c>
      <c r="E82" t="inlineStr">
        <is>
          <t>PETER</t>
        </is>
      </c>
      <c r="F82">
        <f>CONCATENATE(D82," ",LEFT(H82,4),"T=",AU82,"D=",AV82,"R=",AW82,"M=",AX82,"L=",AY82,"B=",AZ82)</f>
        <v/>
      </c>
      <c r="G82" t="inlineStr">
        <is>
          <t>J</t>
        </is>
      </c>
      <c r="I82" t="inlineStr">
        <is>
          <t>1991-02-12</t>
        </is>
      </c>
      <c r="J82" t="inlineStr">
        <is>
          <t>2023-12-08</t>
        </is>
      </c>
      <c r="K82" t="inlineStr">
        <is>
          <t>ACTIVE</t>
        </is>
      </c>
      <c r="M82" t="inlineStr">
        <is>
          <t>1214 GRANT ST SE</t>
        </is>
      </c>
      <c r="N82">
        <f>RIGHT(M82,LEN(M82)-FIND(" ",M82))</f>
        <v/>
      </c>
      <c r="P82" t="inlineStr">
        <is>
          <t>WARREN</t>
        </is>
      </c>
      <c r="Q82" t="inlineStr">
        <is>
          <t>OH</t>
        </is>
      </c>
      <c r="R82" t="n">
        <v>44483</v>
      </c>
      <c r="AD82" t="inlineStr">
        <is>
          <t>TRUMBULL CAREER &amp; TECH CENTER</t>
        </is>
      </c>
      <c r="AE82" t="inlineStr">
        <is>
          <t>WARREN CITY</t>
        </is>
      </c>
      <c r="AF82" t="inlineStr">
        <is>
          <t>WARREN CITY SD</t>
        </is>
      </c>
      <c r="AH82" t="n">
        <v>14</v>
      </c>
      <c r="AI82" t="n">
        <v>11</v>
      </c>
      <c r="AN82" t="inlineStr">
        <is>
          <t>WARREN</t>
        </is>
      </c>
      <c r="AO82" t="inlineStr">
        <is>
          <t>WARREN CITY 4A</t>
        </is>
      </c>
      <c r="AP82" t="inlineStr">
        <is>
          <t>78-P-ADI</t>
        </is>
      </c>
      <c r="AQ82" t="n">
        <v>9</v>
      </c>
      <c r="AR82" t="n">
        <v>64</v>
      </c>
      <c r="AS82" t="n">
        <v>32</v>
      </c>
      <c r="AU82">
        <f>COUNTA($BA$82:$EH$82)</f>
        <v/>
      </c>
      <c r="AV82">
        <f>COUNTIF($BA$82:$EH$82,"D")</f>
        <v/>
      </c>
      <c r="AW82">
        <f>COUNTIF($BA$82:$EH$82,"R")</f>
        <v/>
      </c>
      <c r="AX82">
        <f>IF(BN82="D",1,0)+IF(BO82="D",1,0)+IF(BT82="D",1,0)+IF(BU82="D",1,0)+IF(BW82="D",1,0)+IF(CC82="D",1,0)+IF(CD82="D",1,0)+IF(CE82="D",1,0)+IF(CF82="D",1,0)+IF(CL82="D",1,0)+IF(CM82="D",1,0)+IF(CQ82="D",1,0)+IF(CR82="D",1,0)+IF(CS82="D",1,0)+IF(CW82="D",1,0)+IF(CX82="D",1,0)+IF(DD82="D",1,0)+IF(DE82="D",1,0)+IF(DJ82="D",1,0)+IF(DK82="D",1,0)+IF(DO82="D",1,0)+IF(DP82="D",1,0)+IF(DQ82="D",1,0)+IF(DW82="D",1,0)+IF(DZ82="D",1,0)+IF(EH82="D",1,0)</f>
        <v/>
      </c>
      <c r="AY82">
        <f>IF(DJ82&lt;&gt;"",1,0)+IF(DK82&lt;&gt;"",1,0)+IF(DM82&lt;&gt;"",1,0)+IF(DO82&lt;&gt;"",1,0)+IF(DP82&lt;&gt;"",1,0)+IF(DQ82&lt;&gt;"",1,0)+IF(DS82&lt;&gt;"",1,0)+IF(DT82&lt;&gt;"",1,0)+IF(DV82&lt;&gt;"",1,0)+IF(DW82&lt;&gt;"",1,0)+IF(DX82&lt;&gt;"",1,0)+IF(DY82&lt;&gt;"",1,0)+IF(DZ82&lt;&gt;"",1,0)+IF(EB82&lt;&gt;"",1,0)+IF(EC82&lt;&gt;"",1,0)+IF(ED82&lt;&gt;"",1,0)+IF(EG82&lt;&gt;"",1,0)+IF(EH82&lt;&gt;"",1,0)</f>
        <v/>
      </c>
      <c r="AZ82">
        <f>IF(EH82&lt;&gt;"",1,0)</f>
        <v/>
      </c>
      <c r="BB82" t="inlineStr">
        <is>
          <t>WARREN-WARD 4</t>
        </is>
      </c>
      <c r="CP82" t="inlineStr">
        <is>
          <t>X</t>
        </is>
      </c>
      <c r="CT82" t="inlineStr">
        <is>
          <t>X</t>
        </is>
      </c>
      <c r="DC82" t="inlineStr">
        <is>
          <t>X</t>
        </is>
      </c>
      <c r="DN82" t="inlineStr">
        <is>
          <t>X</t>
        </is>
      </c>
      <c r="EF82" t="inlineStr">
        <is>
          <t>X</t>
        </is>
      </c>
    </row>
    <row r="83">
      <c r="A83" t="inlineStr">
        <is>
          <t>OH0025048024</t>
        </is>
      </c>
      <c r="B83" t="n">
        <v>78</v>
      </c>
      <c r="C83" t="n">
        <v>438465</v>
      </c>
      <c r="D83" t="inlineStr">
        <is>
          <t>GANTZ</t>
        </is>
      </c>
      <c r="E83" t="inlineStr">
        <is>
          <t>BOICE</t>
        </is>
      </c>
      <c r="F83">
        <f>CONCATENATE(D83," ",LEFT(H83,4),"T=",AU83,"D=",AV83,"R=",AW83,"M=",AX83,"L=",AY83,"B=",AZ83)</f>
        <v/>
      </c>
      <c r="G83" t="inlineStr">
        <is>
          <t>T</t>
        </is>
      </c>
      <c r="I83" t="inlineStr">
        <is>
          <t>2000-06-24</t>
        </is>
      </c>
      <c r="J83" t="inlineStr">
        <is>
          <t>2020-09-22</t>
        </is>
      </c>
      <c r="K83" t="inlineStr">
        <is>
          <t>CONFIRMATION</t>
        </is>
      </c>
      <c r="M83" t="inlineStr">
        <is>
          <t>741 KENILWORTH AVE SE</t>
        </is>
      </c>
      <c r="N83">
        <f>RIGHT(M83,LEN(M83)-FIND(" ",M83))</f>
        <v/>
      </c>
      <c r="O83" t="inlineStr">
        <is>
          <t>APT 2</t>
        </is>
      </c>
      <c r="P83" t="inlineStr">
        <is>
          <t>WARREN</t>
        </is>
      </c>
      <c r="Q83" t="inlineStr">
        <is>
          <t>OH</t>
        </is>
      </c>
      <c r="R83" t="n">
        <v>44484</v>
      </c>
      <c r="AD83" t="inlineStr">
        <is>
          <t>TRUMBULL CAREER &amp; TECH CENTER</t>
        </is>
      </c>
      <c r="AE83" t="inlineStr">
        <is>
          <t>WARREN CITY</t>
        </is>
      </c>
      <c r="AF83" t="inlineStr">
        <is>
          <t>WARREN CITY SD</t>
        </is>
      </c>
      <c r="AH83" t="n">
        <v>14</v>
      </c>
      <c r="AI83" t="n">
        <v>11</v>
      </c>
      <c r="AN83" t="inlineStr">
        <is>
          <t>WARREN</t>
        </is>
      </c>
      <c r="AO83" t="inlineStr">
        <is>
          <t>WARREN CITY 4A</t>
        </is>
      </c>
      <c r="AP83" t="inlineStr">
        <is>
          <t>78-P-ADI</t>
        </is>
      </c>
      <c r="AQ83" t="n">
        <v>9</v>
      </c>
      <c r="AR83" t="n">
        <v>64</v>
      </c>
      <c r="AS83" t="n">
        <v>32</v>
      </c>
      <c r="AU83">
        <f>COUNTA($BA$83:$EH$83)</f>
        <v/>
      </c>
      <c r="AV83">
        <f>COUNTIF($BA$83:$EH$83,"D")</f>
        <v/>
      </c>
      <c r="AW83">
        <f>COUNTIF($BA$83:$EH$83,"R")</f>
        <v/>
      </c>
      <c r="AX83">
        <f>IF(BN83="D",1,0)+IF(BO83="D",1,0)+IF(BT83="D",1,0)+IF(BU83="D",1,0)+IF(BW83="D",1,0)+IF(CC83="D",1,0)+IF(CD83="D",1,0)+IF(CE83="D",1,0)+IF(CF83="D",1,0)+IF(CL83="D",1,0)+IF(CM83="D",1,0)+IF(CQ83="D",1,0)+IF(CR83="D",1,0)+IF(CS83="D",1,0)+IF(CW83="D",1,0)+IF(CX83="D",1,0)+IF(DD83="D",1,0)+IF(DE83="D",1,0)+IF(DJ83="D",1,0)+IF(DK83="D",1,0)+IF(DO83="D",1,0)+IF(DP83="D",1,0)+IF(DQ83="D",1,0)+IF(DW83="D",1,0)+IF(DZ83="D",1,0)+IF(EH83="D",1,0)</f>
        <v/>
      </c>
      <c r="AY83">
        <f>IF(DJ83&lt;&gt;"",1,0)+IF(DK83&lt;&gt;"",1,0)+IF(DM83&lt;&gt;"",1,0)+IF(DO83&lt;&gt;"",1,0)+IF(DP83&lt;&gt;"",1,0)+IF(DQ83&lt;&gt;"",1,0)+IF(DS83&lt;&gt;"",1,0)+IF(DT83&lt;&gt;"",1,0)+IF(DV83&lt;&gt;"",1,0)+IF(DW83&lt;&gt;"",1,0)+IF(DX83&lt;&gt;"",1,0)+IF(DY83&lt;&gt;"",1,0)+IF(DZ83&lt;&gt;"",1,0)+IF(EB83&lt;&gt;"",1,0)+IF(EC83&lt;&gt;"",1,0)+IF(ED83&lt;&gt;"",1,0)+IF(EG83&lt;&gt;"",1,0)+IF(EH83&lt;&gt;"",1,0)</f>
        <v/>
      </c>
      <c r="AZ83">
        <f>IF(EH83&lt;&gt;"",1,0)</f>
        <v/>
      </c>
      <c r="BB83" t="inlineStr">
        <is>
          <t>WARREN-WARD 4</t>
        </is>
      </c>
    </row>
    <row r="84">
      <c r="A84" t="inlineStr">
        <is>
          <t>OH0021513240</t>
        </is>
      </c>
      <c r="B84" t="n">
        <v>78</v>
      </c>
      <c r="C84" t="n">
        <v>382403</v>
      </c>
      <c r="D84" t="inlineStr">
        <is>
          <t>LEE</t>
        </is>
      </c>
      <c r="E84" t="inlineStr">
        <is>
          <t>DMETRI</t>
        </is>
      </c>
      <c r="F84">
        <f>CONCATENATE(D84," ",LEFT(H84,4),"T=",AU84,"D=",AV84,"R=",AW84,"M=",AX84,"L=",AY84,"B=",AZ84)</f>
        <v/>
      </c>
      <c r="I84" t="inlineStr">
        <is>
          <t>1989-12-07</t>
        </is>
      </c>
      <c r="J84" t="inlineStr">
        <is>
          <t>2012-10-08</t>
        </is>
      </c>
      <c r="K84" t="inlineStr">
        <is>
          <t>CONFIRMATION</t>
        </is>
      </c>
      <c r="M84" t="inlineStr">
        <is>
          <t>811 OAK KNOLL AVE SE</t>
        </is>
      </c>
      <c r="N84">
        <f>RIGHT(M84,LEN(M84)-FIND(" ",M84))</f>
        <v/>
      </c>
      <c r="P84" t="inlineStr">
        <is>
          <t>WARREN</t>
        </is>
      </c>
      <c r="Q84" t="inlineStr">
        <is>
          <t>OH</t>
        </is>
      </c>
      <c r="R84" t="n">
        <v>44484</v>
      </c>
      <c r="AD84" t="inlineStr">
        <is>
          <t>TRUMBULL CAREER &amp; TECH CENTER</t>
        </is>
      </c>
      <c r="AE84" t="inlineStr">
        <is>
          <t>WARREN CITY</t>
        </is>
      </c>
      <c r="AF84" t="inlineStr">
        <is>
          <t>WARREN CITY SD</t>
        </is>
      </c>
      <c r="AH84" t="n">
        <v>14</v>
      </c>
      <c r="AI84" t="n">
        <v>11</v>
      </c>
      <c r="AN84" t="inlineStr">
        <is>
          <t>WARREN</t>
        </is>
      </c>
      <c r="AO84" t="inlineStr">
        <is>
          <t>WARREN CITY 4A</t>
        </is>
      </c>
      <c r="AP84" t="inlineStr">
        <is>
          <t>78-P-ADI</t>
        </is>
      </c>
      <c r="AQ84" t="n">
        <v>9</v>
      </c>
      <c r="AR84" t="n">
        <v>64</v>
      </c>
      <c r="AS84" t="n">
        <v>32</v>
      </c>
      <c r="AU84">
        <f>COUNTA($BA$84:$EH$84)</f>
        <v/>
      </c>
      <c r="AV84">
        <f>COUNTIF($BA$84:$EH$84,"D")</f>
        <v/>
      </c>
      <c r="AW84">
        <f>COUNTIF($BA$84:$EH$84,"R")</f>
        <v/>
      </c>
      <c r="AX84">
        <f>IF(BN84="D",1,0)+IF(BO84="D",1,0)+IF(BT84="D",1,0)+IF(BU84="D",1,0)+IF(BW84="D",1,0)+IF(CC84="D",1,0)+IF(CD84="D",1,0)+IF(CE84="D",1,0)+IF(CF84="D",1,0)+IF(CL84="D",1,0)+IF(CM84="D",1,0)+IF(CQ84="D",1,0)+IF(CR84="D",1,0)+IF(CS84="D",1,0)+IF(CW84="D",1,0)+IF(CX84="D",1,0)+IF(DD84="D",1,0)+IF(DE84="D",1,0)+IF(DJ84="D",1,0)+IF(DK84="D",1,0)+IF(DO84="D",1,0)+IF(DP84="D",1,0)+IF(DQ84="D",1,0)+IF(DW84="D",1,0)+IF(DZ84="D",1,0)+IF(EH84="D",1,0)</f>
        <v/>
      </c>
      <c r="AY84">
        <f>IF(DJ84&lt;&gt;"",1,0)+IF(DK84&lt;&gt;"",1,0)+IF(DM84&lt;&gt;"",1,0)+IF(DO84&lt;&gt;"",1,0)+IF(DP84&lt;&gt;"",1,0)+IF(DQ84&lt;&gt;"",1,0)+IF(DS84&lt;&gt;"",1,0)+IF(DT84&lt;&gt;"",1,0)+IF(DV84&lt;&gt;"",1,0)+IF(DW84&lt;&gt;"",1,0)+IF(DX84&lt;&gt;"",1,0)+IF(DY84&lt;&gt;"",1,0)+IF(DZ84&lt;&gt;"",1,0)+IF(EB84&lt;&gt;"",1,0)+IF(EC84&lt;&gt;"",1,0)+IF(ED84&lt;&gt;"",1,0)+IF(EG84&lt;&gt;"",1,0)+IF(EH84&lt;&gt;"",1,0)</f>
        <v/>
      </c>
      <c r="AZ84">
        <f>IF(EH84&lt;&gt;"",1,0)</f>
        <v/>
      </c>
      <c r="BB84" t="inlineStr">
        <is>
          <t>WARREN-WARD 4</t>
        </is>
      </c>
      <c r="CP84" t="inlineStr">
        <is>
          <t>X</t>
        </is>
      </c>
      <c r="DC84" t="inlineStr">
        <is>
          <t>X</t>
        </is>
      </c>
    </row>
    <row r="85">
      <c r="A85" t="inlineStr">
        <is>
          <t>OH0023916112</t>
        </is>
      </c>
      <c r="B85" t="n">
        <v>78</v>
      </c>
      <c r="C85" t="n">
        <v>396628</v>
      </c>
      <c r="D85" t="inlineStr">
        <is>
          <t>THOMPSON</t>
        </is>
      </c>
      <c r="E85" t="inlineStr">
        <is>
          <t>KIZZY</t>
        </is>
      </c>
      <c r="F85">
        <f>CONCATENATE(D85," ",LEFT(H85,4),"T=",AU85,"D=",AV85,"R=",AW85,"M=",AX85,"L=",AY85,"B=",AZ85)</f>
        <v/>
      </c>
      <c r="G85" t="inlineStr">
        <is>
          <t>L</t>
        </is>
      </c>
      <c r="I85" t="inlineStr">
        <is>
          <t>1980-04-26</t>
        </is>
      </c>
      <c r="J85" t="inlineStr">
        <is>
          <t>2019-05-03</t>
        </is>
      </c>
      <c r="K85" t="inlineStr">
        <is>
          <t>CONFIRMATION</t>
        </is>
      </c>
      <c r="M85" t="inlineStr">
        <is>
          <t>365 OAK KNOLL AVE SE</t>
        </is>
      </c>
      <c r="N85">
        <f>RIGHT(M85,LEN(M85)-FIND(" ",M85))</f>
        <v/>
      </c>
      <c r="P85" t="inlineStr">
        <is>
          <t>WARREN</t>
        </is>
      </c>
      <c r="Q85" t="inlineStr">
        <is>
          <t>OH</t>
        </is>
      </c>
      <c r="R85" t="n">
        <v>44483</v>
      </c>
      <c r="AD85" t="inlineStr">
        <is>
          <t>TRUMBULL CAREER &amp; TECH CENTER</t>
        </is>
      </c>
      <c r="AE85" t="inlineStr">
        <is>
          <t>WARREN CITY</t>
        </is>
      </c>
      <c r="AF85" t="inlineStr">
        <is>
          <t>WARREN CITY SD</t>
        </is>
      </c>
      <c r="AH85" t="n">
        <v>14</v>
      </c>
      <c r="AI85" t="n">
        <v>11</v>
      </c>
      <c r="AN85" t="inlineStr">
        <is>
          <t>WARREN</t>
        </is>
      </c>
      <c r="AO85" t="inlineStr">
        <is>
          <t>WARREN CITY 4A</t>
        </is>
      </c>
      <c r="AP85" t="inlineStr">
        <is>
          <t>78-P-ADI</t>
        </is>
      </c>
      <c r="AQ85" t="n">
        <v>9</v>
      </c>
      <c r="AR85" t="n">
        <v>64</v>
      </c>
      <c r="AS85" t="n">
        <v>32</v>
      </c>
      <c r="AU85">
        <f>COUNTA($BA$85:$EH$85)</f>
        <v/>
      </c>
      <c r="AV85">
        <f>COUNTIF($BA$85:$EH$85,"D")</f>
        <v/>
      </c>
      <c r="AW85">
        <f>COUNTIF($BA$85:$EH$85,"R")</f>
        <v/>
      </c>
      <c r="AX85">
        <f>IF(BN85="D",1,0)+IF(BO85="D",1,0)+IF(BT85="D",1,0)+IF(BU85="D",1,0)+IF(BW85="D",1,0)+IF(CC85="D",1,0)+IF(CD85="D",1,0)+IF(CE85="D",1,0)+IF(CF85="D",1,0)+IF(CL85="D",1,0)+IF(CM85="D",1,0)+IF(CQ85="D",1,0)+IF(CR85="D",1,0)+IF(CS85="D",1,0)+IF(CW85="D",1,0)+IF(CX85="D",1,0)+IF(DD85="D",1,0)+IF(DE85="D",1,0)+IF(DJ85="D",1,0)+IF(DK85="D",1,0)+IF(DO85="D",1,0)+IF(DP85="D",1,0)+IF(DQ85="D",1,0)+IF(DW85="D",1,0)+IF(DZ85="D",1,0)+IF(EH85="D",1,0)</f>
        <v/>
      </c>
      <c r="AY85">
        <f>IF(DJ85&lt;&gt;"",1,0)+IF(DK85&lt;&gt;"",1,0)+IF(DM85&lt;&gt;"",1,0)+IF(DO85&lt;&gt;"",1,0)+IF(DP85&lt;&gt;"",1,0)+IF(DQ85&lt;&gt;"",1,0)+IF(DS85&lt;&gt;"",1,0)+IF(DT85&lt;&gt;"",1,0)+IF(DV85&lt;&gt;"",1,0)+IF(DW85&lt;&gt;"",1,0)+IF(DX85&lt;&gt;"",1,0)+IF(DY85&lt;&gt;"",1,0)+IF(DZ85&lt;&gt;"",1,0)+IF(EB85&lt;&gt;"",1,0)+IF(EC85&lt;&gt;"",1,0)+IF(ED85&lt;&gt;"",1,0)+IF(EG85&lt;&gt;"",1,0)+IF(EH85&lt;&gt;"",1,0)</f>
        <v/>
      </c>
      <c r="AZ85">
        <f>IF(EH85&lt;&gt;"",1,0)</f>
        <v/>
      </c>
      <c r="BB85" t="inlineStr">
        <is>
          <t>WARREN-WARD 4</t>
        </is>
      </c>
    </row>
    <row r="86">
      <c r="A86" t="inlineStr">
        <is>
          <t>OH0022053276</t>
        </is>
      </c>
      <c r="B86" t="n">
        <v>78</v>
      </c>
      <c r="C86" t="n">
        <v>391055</v>
      </c>
      <c r="D86" t="inlineStr">
        <is>
          <t>SANDERS</t>
        </is>
      </c>
      <c r="E86" t="inlineStr">
        <is>
          <t>LARRY</t>
        </is>
      </c>
      <c r="F86">
        <f>CONCATENATE(D86," ",LEFT(H86,4),"T=",AU86,"D=",AV86,"R=",AW86,"M=",AX86,"L=",AY86,"B=",AZ86)</f>
        <v/>
      </c>
      <c r="G86" t="inlineStr">
        <is>
          <t>M</t>
        </is>
      </c>
      <c r="I86" t="inlineStr">
        <is>
          <t>1950-03-10</t>
        </is>
      </c>
      <c r="J86" t="inlineStr">
        <is>
          <t>2016-09-06</t>
        </is>
      </c>
      <c r="K86" t="inlineStr">
        <is>
          <t>ACTIVE</t>
        </is>
      </c>
      <c r="L86" t="inlineStr">
        <is>
          <t>R</t>
        </is>
      </c>
      <c r="M86" t="inlineStr">
        <is>
          <t>587 OAK KNOLL AVE SE</t>
        </is>
      </c>
      <c r="N86">
        <f>RIGHT(M86,LEN(M86)-FIND(" ",M86))</f>
        <v/>
      </c>
      <c r="P86" t="inlineStr">
        <is>
          <t>WARREN</t>
        </is>
      </c>
      <c r="Q86" t="inlineStr">
        <is>
          <t>OH</t>
        </is>
      </c>
      <c r="R86" t="n">
        <v>44483</v>
      </c>
      <c r="AD86" t="inlineStr">
        <is>
          <t>TRUMBULL CAREER &amp; TECH CENTER</t>
        </is>
      </c>
      <c r="AE86" t="inlineStr">
        <is>
          <t>WARREN CITY</t>
        </is>
      </c>
      <c r="AF86" t="inlineStr">
        <is>
          <t>WARREN CITY SD</t>
        </is>
      </c>
      <c r="AH86" t="n">
        <v>14</v>
      </c>
      <c r="AI86" t="n">
        <v>11</v>
      </c>
      <c r="AN86" t="inlineStr">
        <is>
          <t>WARREN</t>
        </is>
      </c>
      <c r="AO86" t="inlineStr">
        <is>
          <t>WARREN CITY 4A</t>
        </is>
      </c>
      <c r="AP86" t="inlineStr">
        <is>
          <t>78-P-ADI</t>
        </is>
      </c>
      <c r="AQ86" t="n">
        <v>9</v>
      </c>
      <c r="AR86" t="n">
        <v>64</v>
      </c>
      <c r="AS86" t="n">
        <v>32</v>
      </c>
      <c r="AU86">
        <f>COUNTA($BA$86:$EH$86)</f>
        <v/>
      </c>
      <c r="AV86">
        <f>COUNTIF($BA$86:$EH$86,"D")</f>
        <v/>
      </c>
      <c r="AW86">
        <f>COUNTIF($BA$86:$EH$86,"R")</f>
        <v/>
      </c>
      <c r="AX86">
        <f>IF(BN86="D",1,0)+IF(BO86="D",1,0)+IF(BT86="D",1,0)+IF(BU86="D",1,0)+IF(BW86="D",1,0)+IF(CC86="D",1,0)+IF(CD86="D",1,0)+IF(CE86="D",1,0)+IF(CF86="D",1,0)+IF(CL86="D",1,0)+IF(CM86="D",1,0)+IF(CQ86="D",1,0)+IF(CR86="D",1,0)+IF(CS86="D",1,0)+IF(CW86="D",1,0)+IF(CX86="D",1,0)+IF(DD86="D",1,0)+IF(DE86="D",1,0)+IF(DJ86="D",1,0)+IF(DK86="D",1,0)+IF(DO86="D",1,0)+IF(DP86="D",1,0)+IF(DQ86="D",1,0)+IF(DW86="D",1,0)+IF(DZ86="D",1,0)+IF(EH86="D",1,0)</f>
        <v/>
      </c>
      <c r="AY86">
        <f>IF(DJ86&lt;&gt;"",1,0)+IF(DK86&lt;&gt;"",1,0)+IF(DM86&lt;&gt;"",1,0)+IF(DO86&lt;&gt;"",1,0)+IF(DP86&lt;&gt;"",1,0)+IF(DQ86&lt;&gt;"",1,0)+IF(DS86&lt;&gt;"",1,0)+IF(DT86&lt;&gt;"",1,0)+IF(DV86&lt;&gt;"",1,0)+IF(DW86&lt;&gt;"",1,0)+IF(DX86&lt;&gt;"",1,0)+IF(DY86&lt;&gt;"",1,0)+IF(DZ86&lt;&gt;"",1,0)+IF(EB86&lt;&gt;"",1,0)+IF(EC86&lt;&gt;"",1,0)+IF(ED86&lt;&gt;"",1,0)+IF(EG86&lt;&gt;"",1,0)+IF(EH86&lt;&gt;"",1,0)</f>
        <v/>
      </c>
      <c r="AZ86">
        <f>IF(EH86&lt;&gt;"",1,0)</f>
        <v/>
      </c>
      <c r="BB86" t="inlineStr">
        <is>
          <t>WARREN-WARD 4</t>
        </is>
      </c>
      <c r="CP86" t="inlineStr">
        <is>
          <t>X</t>
        </is>
      </c>
      <c r="DC86" t="inlineStr">
        <is>
          <t>X</t>
        </is>
      </c>
      <c r="DI86" t="inlineStr">
        <is>
          <t>X</t>
        </is>
      </c>
      <c r="DN86" t="inlineStr">
        <is>
          <t>X</t>
        </is>
      </c>
      <c r="DU86" t="inlineStr">
        <is>
          <t>X</t>
        </is>
      </c>
      <c r="DX86" t="inlineStr">
        <is>
          <t>X</t>
        </is>
      </c>
      <c r="EA86" t="inlineStr">
        <is>
          <t>X</t>
        </is>
      </c>
      <c r="ED86" t="inlineStr">
        <is>
          <t>R</t>
        </is>
      </c>
      <c r="EF86" t="inlineStr">
        <is>
          <t>X</t>
        </is>
      </c>
    </row>
    <row r="87">
      <c r="A87" t="inlineStr">
        <is>
          <t>OH0019690292</t>
        </is>
      </c>
      <c r="B87" t="n">
        <v>78</v>
      </c>
      <c r="C87" t="n">
        <v>357432</v>
      </c>
      <c r="D87" t="inlineStr">
        <is>
          <t>BUTLER</t>
        </is>
      </c>
      <c r="E87" t="inlineStr">
        <is>
          <t>ERIC</t>
        </is>
      </c>
      <c r="F87">
        <f>CONCATENATE(D87," ",LEFT(H87,4),"T=",AU87,"D=",AV87,"R=",AW87,"M=",AX87,"L=",AY87,"B=",AZ87)</f>
        <v/>
      </c>
      <c r="G87" t="inlineStr">
        <is>
          <t>LAMONT</t>
        </is>
      </c>
      <c r="I87" t="inlineStr">
        <is>
          <t>1975-06-26</t>
        </is>
      </c>
      <c r="J87" t="inlineStr">
        <is>
          <t>2020-01-13</t>
        </is>
      </c>
      <c r="K87" t="inlineStr">
        <is>
          <t>CONFIRMATION</t>
        </is>
      </c>
      <c r="M87" t="inlineStr">
        <is>
          <t>467 KENILWORTH AVE SE</t>
        </is>
      </c>
      <c r="N87">
        <f>RIGHT(M87,LEN(M87)-FIND(" ",M87))</f>
        <v/>
      </c>
      <c r="P87" t="inlineStr">
        <is>
          <t>WARREN</t>
        </is>
      </c>
      <c r="Q87" t="inlineStr">
        <is>
          <t>OH</t>
        </is>
      </c>
      <c r="R87" t="n">
        <v>44483</v>
      </c>
      <c r="AD87" t="inlineStr">
        <is>
          <t>TRUMBULL CAREER &amp; TECH CENTER</t>
        </is>
      </c>
      <c r="AE87" t="inlineStr">
        <is>
          <t>WARREN CITY</t>
        </is>
      </c>
      <c r="AF87" t="inlineStr">
        <is>
          <t>WARREN CITY SD</t>
        </is>
      </c>
      <c r="AH87" t="n">
        <v>14</v>
      </c>
      <c r="AI87" t="n">
        <v>11</v>
      </c>
      <c r="AN87" t="inlineStr">
        <is>
          <t>WARREN</t>
        </is>
      </c>
      <c r="AO87" t="inlineStr">
        <is>
          <t>WARREN CITY 4A</t>
        </is>
      </c>
      <c r="AP87" t="inlineStr">
        <is>
          <t>78-P-ADI</t>
        </is>
      </c>
      <c r="AQ87" t="n">
        <v>9</v>
      </c>
      <c r="AR87" t="n">
        <v>64</v>
      </c>
      <c r="AS87" t="n">
        <v>32</v>
      </c>
      <c r="AU87">
        <f>COUNTA($BA$87:$EH$87)</f>
        <v/>
      </c>
      <c r="AV87">
        <f>COUNTIF($BA$87:$EH$87,"D")</f>
        <v/>
      </c>
      <c r="AW87">
        <f>COUNTIF($BA$87:$EH$87,"R")</f>
        <v/>
      </c>
      <c r="AX87">
        <f>IF(BN87="D",1,0)+IF(BO87="D",1,0)+IF(BT87="D",1,0)+IF(BU87="D",1,0)+IF(BW87="D",1,0)+IF(CC87="D",1,0)+IF(CD87="D",1,0)+IF(CE87="D",1,0)+IF(CF87="D",1,0)+IF(CL87="D",1,0)+IF(CM87="D",1,0)+IF(CQ87="D",1,0)+IF(CR87="D",1,0)+IF(CS87="D",1,0)+IF(CW87="D",1,0)+IF(CX87="D",1,0)+IF(DD87="D",1,0)+IF(DE87="D",1,0)+IF(DJ87="D",1,0)+IF(DK87="D",1,0)+IF(DO87="D",1,0)+IF(DP87="D",1,0)+IF(DQ87="D",1,0)+IF(DW87="D",1,0)+IF(DZ87="D",1,0)+IF(EH87="D",1,0)</f>
        <v/>
      </c>
      <c r="AY87">
        <f>IF(DJ87&lt;&gt;"",1,0)+IF(DK87&lt;&gt;"",1,0)+IF(DM87&lt;&gt;"",1,0)+IF(DO87&lt;&gt;"",1,0)+IF(DP87&lt;&gt;"",1,0)+IF(DQ87&lt;&gt;"",1,0)+IF(DS87&lt;&gt;"",1,0)+IF(DT87&lt;&gt;"",1,0)+IF(DV87&lt;&gt;"",1,0)+IF(DW87&lt;&gt;"",1,0)+IF(DX87&lt;&gt;"",1,0)+IF(DY87&lt;&gt;"",1,0)+IF(DZ87&lt;&gt;"",1,0)+IF(EB87&lt;&gt;"",1,0)+IF(EC87&lt;&gt;"",1,0)+IF(ED87&lt;&gt;"",1,0)+IF(EG87&lt;&gt;"",1,0)+IF(EH87&lt;&gt;"",1,0)</f>
        <v/>
      </c>
      <c r="AZ87">
        <f>IF(EH87&lt;&gt;"",1,0)</f>
        <v/>
      </c>
      <c r="BB87" t="inlineStr">
        <is>
          <t>WARREN-WARD 4</t>
        </is>
      </c>
      <c r="CK87" t="inlineStr">
        <is>
          <t>X</t>
        </is>
      </c>
      <c r="CP87" t="inlineStr">
        <is>
          <t>X</t>
        </is>
      </c>
      <c r="DN87" t="inlineStr">
        <is>
          <t>X</t>
        </is>
      </c>
    </row>
    <row r="88">
      <c r="A88" t="inlineStr">
        <is>
          <t>OH0025735269</t>
        </is>
      </c>
      <c r="B88" t="n">
        <v>78</v>
      </c>
      <c r="C88" t="n">
        <v>449590</v>
      </c>
      <c r="D88" t="inlineStr">
        <is>
          <t>GILBERT</t>
        </is>
      </c>
      <c r="E88" t="inlineStr">
        <is>
          <t>CERINA</t>
        </is>
      </c>
      <c r="F88">
        <f>CONCATENATE(D88," ",LEFT(H88,4),"T=",AU88,"D=",AV88,"R=",AW88,"M=",AX88,"L=",AY88,"B=",AZ88)</f>
        <v/>
      </c>
      <c r="G88" t="inlineStr">
        <is>
          <t>JAYNE</t>
        </is>
      </c>
      <c r="I88" t="inlineStr">
        <is>
          <t>2001-05-23</t>
        </is>
      </c>
      <c r="J88" t="inlineStr">
        <is>
          <t>2020-08-18</t>
        </is>
      </c>
      <c r="K88" t="inlineStr">
        <is>
          <t>CONFIRMATION</t>
        </is>
      </c>
      <c r="M88" t="inlineStr">
        <is>
          <t>206 IDDINGS AVE SE</t>
        </is>
      </c>
      <c r="N88">
        <f>RIGHT(M88,LEN(M88)-FIND(" ",M88))</f>
        <v/>
      </c>
      <c r="P88" t="inlineStr">
        <is>
          <t>WARREN</t>
        </is>
      </c>
      <c r="Q88" t="inlineStr">
        <is>
          <t>OH</t>
        </is>
      </c>
      <c r="R88" t="n">
        <v>44483</v>
      </c>
      <c r="AD88" t="inlineStr">
        <is>
          <t>TRUMBULL CAREER &amp; TECH CENTER</t>
        </is>
      </c>
      <c r="AE88" t="inlineStr">
        <is>
          <t>WARREN CITY</t>
        </is>
      </c>
      <c r="AF88" t="inlineStr">
        <is>
          <t>WARREN CITY SD</t>
        </is>
      </c>
      <c r="AH88" t="n">
        <v>14</v>
      </c>
      <c r="AI88" t="n">
        <v>11</v>
      </c>
      <c r="AN88" t="inlineStr">
        <is>
          <t>WARREN</t>
        </is>
      </c>
      <c r="AO88" t="inlineStr">
        <is>
          <t>WARREN CITY 4A</t>
        </is>
      </c>
      <c r="AP88" t="inlineStr">
        <is>
          <t>78-P-ADI</t>
        </is>
      </c>
      <c r="AQ88" t="n">
        <v>9</v>
      </c>
      <c r="AR88" t="n">
        <v>64</v>
      </c>
      <c r="AS88" t="n">
        <v>32</v>
      </c>
      <c r="AU88">
        <f>COUNTA($BA$88:$EH$88)</f>
        <v/>
      </c>
      <c r="AV88">
        <f>COUNTIF($BA$88:$EH$88,"D")</f>
        <v/>
      </c>
      <c r="AW88">
        <f>COUNTIF($BA$88:$EH$88,"R")</f>
        <v/>
      </c>
      <c r="AX88">
        <f>IF(BN88="D",1,0)+IF(BO88="D",1,0)+IF(BT88="D",1,0)+IF(BU88="D",1,0)+IF(BW88="D",1,0)+IF(CC88="D",1,0)+IF(CD88="D",1,0)+IF(CE88="D",1,0)+IF(CF88="D",1,0)+IF(CL88="D",1,0)+IF(CM88="D",1,0)+IF(CQ88="D",1,0)+IF(CR88="D",1,0)+IF(CS88="D",1,0)+IF(CW88="D",1,0)+IF(CX88="D",1,0)+IF(DD88="D",1,0)+IF(DE88="D",1,0)+IF(DJ88="D",1,0)+IF(DK88="D",1,0)+IF(DO88="D",1,0)+IF(DP88="D",1,0)+IF(DQ88="D",1,0)+IF(DW88="D",1,0)+IF(DZ88="D",1,0)+IF(EH88="D",1,0)</f>
        <v/>
      </c>
      <c r="AY88">
        <f>IF(DJ88&lt;&gt;"",1,0)+IF(DK88&lt;&gt;"",1,0)+IF(DM88&lt;&gt;"",1,0)+IF(DO88&lt;&gt;"",1,0)+IF(DP88&lt;&gt;"",1,0)+IF(DQ88&lt;&gt;"",1,0)+IF(DS88&lt;&gt;"",1,0)+IF(DT88&lt;&gt;"",1,0)+IF(DV88&lt;&gt;"",1,0)+IF(DW88&lt;&gt;"",1,0)+IF(DX88&lt;&gt;"",1,0)+IF(DY88&lt;&gt;"",1,0)+IF(DZ88&lt;&gt;"",1,0)+IF(EB88&lt;&gt;"",1,0)+IF(EC88&lt;&gt;"",1,0)+IF(ED88&lt;&gt;"",1,0)+IF(EG88&lt;&gt;"",1,0)+IF(EH88&lt;&gt;"",1,0)</f>
        <v/>
      </c>
      <c r="AZ88">
        <f>IF(EH88&lt;&gt;"",1,0)</f>
        <v/>
      </c>
      <c r="BB88" t="inlineStr">
        <is>
          <t>WARREN-WARD 4</t>
        </is>
      </c>
    </row>
    <row r="89">
      <c r="A89" t="inlineStr">
        <is>
          <t>OH0022344221</t>
        </is>
      </c>
      <c r="B89" t="n">
        <v>78</v>
      </c>
      <c r="C89" t="n">
        <v>395070</v>
      </c>
      <c r="D89" t="inlineStr">
        <is>
          <t>LOGAN</t>
        </is>
      </c>
      <c r="E89" t="inlineStr">
        <is>
          <t>JAMES</t>
        </is>
      </c>
      <c r="F89">
        <f>CONCATENATE(D89," ",LEFT(H89,4),"T=",AU89,"D=",AV89,"R=",AW89,"M=",AX89,"L=",AY89,"B=",AZ89)</f>
        <v/>
      </c>
      <c r="G89" t="inlineStr">
        <is>
          <t>P</t>
        </is>
      </c>
      <c r="I89" t="inlineStr">
        <is>
          <t>1985-07-20</t>
        </is>
      </c>
      <c r="J89" t="inlineStr">
        <is>
          <t>2013-03-02</t>
        </is>
      </c>
      <c r="K89" t="inlineStr">
        <is>
          <t>ACTIVE</t>
        </is>
      </c>
      <c r="M89" t="inlineStr">
        <is>
          <t>732 KENILWORTH AVE SE</t>
        </is>
      </c>
      <c r="N89">
        <f>RIGHT(M89,LEN(M89)-FIND(" ",M89))</f>
        <v/>
      </c>
      <c r="P89" t="inlineStr">
        <is>
          <t>WARREN</t>
        </is>
      </c>
      <c r="Q89" t="inlineStr">
        <is>
          <t>OH</t>
        </is>
      </c>
      <c r="R89" t="n">
        <v>44484</v>
      </c>
      <c r="AD89" t="inlineStr">
        <is>
          <t>TRUMBULL CAREER &amp; TECH CENTER</t>
        </is>
      </c>
      <c r="AE89" t="inlineStr">
        <is>
          <t>WARREN CITY</t>
        </is>
      </c>
      <c r="AF89" t="inlineStr">
        <is>
          <t>WARREN CITY SD</t>
        </is>
      </c>
      <c r="AH89" t="n">
        <v>14</v>
      </c>
      <c r="AI89" t="n">
        <v>11</v>
      </c>
      <c r="AN89" t="inlineStr">
        <is>
          <t>WARREN</t>
        </is>
      </c>
      <c r="AO89" t="inlineStr">
        <is>
          <t>WARREN CITY 4A</t>
        </is>
      </c>
      <c r="AP89" t="inlineStr">
        <is>
          <t>78-P-ADI</t>
        </is>
      </c>
      <c r="AQ89" t="n">
        <v>9</v>
      </c>
      <c r="AR89" t="n">
        <v>64</v>
      </c>
      <c r="AS89" t="n">
        <v>32</v>
      </c>
      <c r="AU89">
        <f>COUNTA($BA$89:$EH$89)</f>
        <v/>
      </c>
      <c r="AV89">
        <f>COUNTIF($BA$89:$EH$89,"D")</f>
        <v/>
      </c>
      <c r="AW89">
        <f>COUNTIF($BA$89:$EH$89,"R")</f>
        <v/>
      </c>
      <c r="AX89">
        <f>IF(BN89="D",1,0)+IF(BO89="D",1,0)+IF(BT89="D",1,0)+IF(BU89="D",1,0)+IF(BW89="D",1,0)+IF(CC89="D",1,0)+IF(CD89="D",1,0)+IF(CE89="D",1,0)+IF(CF89="D",1,0)+IF(CL89="D",1,0)+IF(CM89="D",1,0)+IF(CQ89="D",1,0)+IF(CR89="D",1,0)+IF(CS89="D",1,0)+IF(CW89="D",1,0)+IF(CX89="D",1,0)+IF(DD89="D",1,0)+IF(DE89="D",1,0)+IF(DJ89="D",1,0)+IF(DK89="D",1,0)+IF(DO89="D",1,0)+IF(DP89="D",1,0)+IF(DQ89="D",1,0)+IF(DW89="D",1,0)+IF(DZ89="D",1,0)+IF(EH89="D",1,0)</f>
        <v/>
      </c>
      <c r="AY89">
        <f>IF(DJ89&lt;&gt;"",1,0)+IF(DK89&lt;&gt;"",1,0)+IF(DM89&lt;&gt;"",1,0)+IF(DO89&lt;&gt;"",1,0)+IF(DP89&lt;&gt;"",1,0)+IF(DQ89&lt;&gt;"",1,0)+IF(DS89&lt;&gt;"",1,0)+IF(DT89&lt;&gt;"",1,0)+IF(DV89&lt;&gt;"",1,0)+IF(DW89&lt;&gt;"",1,0)+IF(DX89&lt;&gt;"",1,0)+IF(DY89&lt;&gt;"",1,0)+IF(DZ89&lt;&gt;"",1,0)+IF(EB89&lt;&gt;"",1,0)+IF(EC89&lt;&gt;"",1,0)+IF(ED89&lt;&gt;"",1,0)+IF(EG89&lt;&gt;"",1,0)+IF(EH89&lt;&gt;"",1,0)</f>
        <v/>
      </c>
      <c r="AZ89">
        <f>IF(EH89&lt;&gt;"",1,0)</f>
        <v/>
      </c>
      <c r="BB89" t="inlineStr">
        <is>
          <t>WARREN-WARD 4</t>
        </is>
      </c>
      <c r="CY89" t="inlineStr">
        <is>
          <t>X</t>
        </is>
      </c>
      <c r="DC89" t="inlineStr">
        <is>
          <t>X</t>
        </is>
      </c>
      <c r="DI89" t="inlineStr">
        <is>
          <t>X</t>
        </is>
      </c>
      <c r="DN89" t="inlineStr">
        <is>
          <t>X</t>
        </is>
      </c>
      <c r="DU89" t="inlineStr">
        <is>
          <t>X</t>
        </is>
      </c>
      <c r="EA89" t="inlineStr">
        <is>
          <t>X</t>
        </is>
      </c>
      <c r="EF89" t="inlineStr">
        <is>
          <t>X</t>
        </is>
      </c>
    </row>
    <row r="90">
      <c r="A90" t="inlineStr">
        <is>
          <t>OH0024687622</t>
        </is>
      </c>
      <c r="B90" t="n">
        <v>78</v>
      </c>
      <c r="C90" t="n">
        <v>433702</v>
      </c>
      <c r="D90" t="inlineStr">
        <is>
          <t>NEAL</t>
        </is>
      </c>
      <c r="E90" t="inlineStr">
        <is>
          <t>PATRICK</t>
        </is>
      </c>
      <c r="F90">
        <f>CONCATENATE(D90," ",LEFT(H90,4),"T=",AU90,"D=",AV90,"R=",AW90,"M=",AX90,"L=",AY90,"B=",AZ90)</f>
        <v/>
      </c>
      <c r="G90" t="inlineStr">
        <is>
          <t>M</t>
        </is>
      </c>
      <c r="I90" t="inlineStr">
        <is>
          <t>1972-06-30</t>
        </is>
      </c>
      <c r="J90" t="inlineStr">
        <is>
          <t>2018-06-29</t>
        </is>
      </c>
      <c r="K90" t="inlineStr">
        <is>
          <t>CONFIRMATION</t>
        </is>
      </c>
      <c r="M90" t="inlineStr">
        <is>
          <t>741 BONNIE BRAE AVE SE</t>
        </is>
      </c>
      <c r="N90">
        <f>RIGHT(M90,LEN(M90)-FIND(" ",M90))</f>
        <v/>
      </c>
      <c r="P90" t="inlineStr">
        <is>
          <t>WARREN</t>
        </is>
      </c>
      <c r="Q90" t="inlineStr">
        <is>
          <t>OH</t>
        </is>
      </c>
      <c r="R90" t="n">
        <v>44484</v>
      </c>
      <c r="AD90" t="inlineStr">
        <is>
          <t>TRUMBULL CAREER &amp; TECH CENTER</t>
        </is>
      </c>
      <c r="AE90" t="inlineStr">
        <is>
          <t>WARREN CITY</t>
        </is>
      </c>
      <c r="AF90" t="inlineStr">
        <is>
          <t>WARREN CITY SD</t>
        </is>
      </c>
      <c r="AH90" t="n">
        <v>14</v>
      </c>
      <c r="AI90" t="n">
        <v>11</v>
      </c>
      <c r="AN90" t="inlineStr">
        <is>
          <t>WARREN</t>
        </is>
      </c>
      <c r="AO90" t="inlineStr">
        <is>
          <t>WARREN CITY 4A</t>
        </is>
      </c>
      <c r="AP90" t="inlineStr">
        <is>
          <t>78-P-ADI</t>
        </is>
      </c>
      <c r="AQ90" t="n">
        <v>9</v>
      </c>
      <c r="AR90" t="n">
        <v>64</v>
      </c>
      <c r="AS90" t="n">
        <v>32</v>
      </c>
      <c r="AU90">
        <f>COUNTA($BA$90:$EH$90)</f>
        <v/>
      </c>
      <c r="AV90">
        <f>COUNTIF($BA$90:$EH$90,"D")</f>
        <v/>
      </c>
      <c r="AW90">
        <f>COUNTIF($BA$90:$EH$90,"R")</f>
        <v/>
      </c>
      <c r="AX90">
        <f>IF(BN90="D",1,0)+IF(BO90="D",1,0)+IF(BT90="D",1,0)+IF(BU90="D",1,0)+IF(BW90="D",1,0)+IF(CC90="D",1,0)+IF(CD90="D",1,0)+IF(CE90="D",1,0)+IF(CF90="D",1,0)+IF(CL90="D",1,0)+IF(CM90="D",1,0)+IF(CQ90="D",1,0)+IF(CR90="D",1,0)+IF(CS90="D",1,0)+IF(CW90="D",1,0)+IF(CX90="D",1,0)+IF(DD90="D",1,0)+IF(DE90="D",1,0)+IF(DJ90="D",1,0)+IF(DK90="D",1,0)+IF(DO90="D",1,0)+IF(DP90="D",1,0)+IF(DQ90="D",1,0)+IF(DW90="D",1,0)+IF(DZ90="D",1,0)+IF(EH90="D",1,0)</f>
        <v/>
      </c>
      <c r="AY90">
        <f>IF(DJ90&lt;&gt;"",1,0)+IF(DK90&lt;&gt;"",1,0)+IF(DM90&lt;&gt;"",1,0)+IF(DO90&lt;&gt;"",1,0)+IF(DP90&lt;&gt;"",1,0)+IF(DQ90&lt;&gt;"",1,0)+IF(DS90&lt;&gt;"",1,0)+IF(DT90&lt;&gt;"",1,0)+IF(DV90&lt;&gt;"",1,0)+IF(DW90&lt;&gt;"",1,0)+IF(DX90&lt;&gt;"",1,0)+IF(DY90&lt;&gt;"",1,0)+IF(DZ90&lt;&gt;"",1,0)+IF(EB90&lt;&gt;"",1,0)+IF(EC90&lt;&gt;"",1,0)+IF(ED90&lt;&gt;"",1,0)+IF(EG90&lt;&gt;"",1,0)+IF(EH90&lt;&gt;"",1,0)</f>
        <v/>
      </c>
      <c r="AZ90">
        <f>IF(EH90&lt;&gt;"",1,0)</f>
        <v/>
      </c>
      <c r="BB90" t="inlineStr">
        <is>
          <t>WARREN-WARD 4</t>
        </is>
      </c>
      <c r="BY90" t="inlineStr">
        <is>
          <t>D</t>
        </is>
      </c>
      <c r="CA90" t="inlineStr">
        <is>
          <t>X</t>
        </is>
      </c>
    </row>
    <row r="91">
      <c r="A91" t="inlineStr">
        <is>
          <t>OH0022741129</t>
        </is>
      </c>
      <c r="B91" t="n">
        <v>78</v>
      </c>
      <c r="C91" t="n">
        <v>401554</v>
      </c>
      <c r="D91" t="inlineStr">
        <is>
          <t>HELLER</t>
        </is>
      </c>
      <c r="E91" t="inlineStr">
        <is>
          <t>NATICE</t>
        </is>
      </c>
      <c r="F91">
        <f>CONCATENATE(D91," ",LEFT(H91,4),"T=",AU91,"D=",AV91,"R=",AW91,"M=",AX91,"L=",AY91,"B=",AZ91)</f>
        <v/>
      </c>
      <c r="G91" t="inlineStr">
        <is>
          <t>D</t>
        </is>
      </c>
      <c r="I91" t="inlineStr">
        <is>
          <t>1982-10-06</t>
        </is>
      </c>
      <c r="J91" t="inlineStr">
        <is>
          <t>2019-08-13</t>
        </is>
      </c>
      <c r="K91" t="inlineStr">
        <is>
          <t>CONFIRMATION</t>
        </is>
      </c>
      <c r="M91" t="inlineStr">
        <is>
          <t>1146 ADELAIDE AVE SE</t>
        </is>
      </c>
      <c r="N91">
        <f>RIGHT(M91,LEN(M91)-FIND(" ",M91))</f>
        <v/>
      </c>
      <c r="P91" t="inlineStr">
        <is>
          <t>WARREN</t>
        </is>
      </c>
      <c r="Q91" t="inlineStr">
        <is>
          <t>OH</t>
        </is>
      </c>
      <c r="R91" t="n">
        <v>44484</v>
      </c>
      <c r="AD91" t="inlineStr">
        <is>
          <t>TRUMBULL CAREER &amp; TECH CENTER</t>
        </is>
      </c>
      <c r="AE91" t="inlineStr">
        <is>
          <t>WARREN CITY</t>
        </is>
      </c>
      <c r="AF91" t="inlineStr">
        <is>
          <t>WARREN CITY SD</t>
        </is>
      </c>
      <c r="AH91" t="n">
        <v>14</v>
      </c>
      <c r="AI91" t="n">
        <v>11</v>
      </c>
      <c r="AN91" t="inlineStr">
        <is>
          <t>WARREN</t>
        </is>
      </c>
      <c r="AO91" t="inlineStr">
        <is>
          <t>WARREN CITY 4A</t>
        </is>
      </c>
      <c r="AP91" t="inlineStr">
        <is>
          <t>78-P-ADI</t>
        </is>
      </c>
      <c r="AQ91" t="n">
        <v>9</v>
      </c>
      <c r="AR91" t="n">
        <v>64</v>
      </c>
      <c r="AS91" t="n">
        <v>32</v>
      </c>
      <c r="AU91">
        <f>COUNTA($BA$91:$EH$91)</f>
        <v/>
      </c>
      <c r="AV91">
        <f>COUNTIF($BA$91:$EH$91,"D")</f>
        <v/>
      </c>
      <c r="AW91">
        <f>COUNTIF($BA$91:$EH$91,"R")</f>
        <v/>
      </c>
      <c r="AX91">
        <f>IF(BN91="D",1,0)+IF(BO91="D",1,0)+IF(BT91="D",1,0)+IF(BU91="D",1,0)+IF(BW91="D",1,0)+IF(CC91="D",1,0)+IF(CD91="D",1,0)+IF(CE91="D",1,0)+IF(CF91="D",1,0)+IF(CL91="D",1,0)+IF(CM91="D",1,0)+IF(CQ91="D",1,0)+IF(CR91="D",1,0)+IF(CS91="D",1,0)+IF(CW91="D",1,0)+IF(CX91="D",1,0)+IF(DD91="D",1,0)+IF(DE91="D",1,0)+IF(DJ91="D",1,0)+IF(DK91="D",1,0)+IF(DO91="D",1,0)+IF(DP91="D",1,0)+IF(DQ91="D",1,0)+IF(DW91="D",1,0)+IF(DZ91="D",1,0)+IF(EH91="D",1,0)</f>
        <v/>
      </c>
      <c r="AY91">
        <f>IF(DJ91&lt;&gt;"",1,0)+IF(DK91&lt;&gt;"",1,0)+IF(DM91&lt;&gt;"",1,0)+IF(DO91&lt;&gt;"",1,0)+IF(DP91&lt;&gt;"",1,0)+IF(DQ91&lt;&gt;"",1,0)+IF(DS91&lt;&gt;"",1,0)+IF(DT91&lt;&gt;"",1,0)+IF(DV91&lt;&gt;"",1,0)+IF(DW91&lt;&gt;"",1,0)+IF(DX91&lt;&gt;"",1,0)+IF(DY91&lt;&gt;"",1,0)+IF(DZ91&lt;&gt;"",1,0)+IF(EB91&lt;&gt;"",1,0)+IF(EC91&lt;&gt;"",1,0)+IF(ED91&lt;&gt;"",1,0)+IF(EG91&lt;&gt;"",1,0)+IF(EH91&lt;&gt;"",1,0)</f>
        <v/>
      </c>
      <c r="AZ91">
        <f>IF(EH91&lt;&gt;"",1,0)</f>
        <v/>
      </c>
      <c r="BB91" t="inlineStr">
        <is>
          <t>WARREN-WARD 4</t>
        </is>
      </c>
    </row>
    <row r="92">
      <c r="A92" t="inlineStr">
        <is>
          <t>OH0015676301</t>
        </is>
      </c>
      <c r="B92" t="n">
        <v>78</v>
      </c>
      <c r="C92" t="n">
        <v>325714</v>
      </c>
      <c r="D92" t="inlineStr">
        <is>
          <t>MOORE</t>
        </is>
      </c>
      <c r="E92" t="inlineStr">
        <is>
          <t>ROBERT</t>
        </is>
      </c>
      <c r="F92">
        <f>CONCATENATE(D92," ",LEFT(H92,4),"T=",AU92,"D=",AV92,"R=",AW92,"M=",AX92,"L=",AY92,"B=",AZ92)</f>
        <v/>
      </c>
      <c r="G92" t="inlineStr">
        <is>
          <t>M</t>
        </is>
      </c>
      <c r="I92" t="inlineStr">
        <is>
          <t>1985-07-15</t>
        </is>
      </c>
      <c r="J92" t="inlineStr">
        <is>
          <t>2022-09-13</t>
        </is>
      </c>
      <c r="K92" t="inlineStr">
        <is>
          <t>ACTIVE</t>
        </is>
      </c>
      <c r="M92" t="inlineStr">
        <is>
          <t>668 WOODBINE AVE SE</t>
        </is>
      </c>
      <c r="N92">
        <f>RIGHT(M92,LEN(M92)-FIND(" ",M92))</f>
        <v/>
      </c>
      <c r="P92" t="inlineStr">
        <is>
          <t>WARREN</t>
        </is>
      </c>
      <c r="Q92" t="inlineStr">
        <is>
          <t>OH</t>
        </is>
      </c>
      <c r="R92" t="n">
        <v>44483</v>
      </c>
      <c r="AD92" t="inlineStr">
        <is>
          <t>TRUMBULL CAREER &amp; TECH CENTER</t>
        </is>
      </c>
      <c r="AE92" t="inlineStr">
        <is>
          <t>WARREN CITY</t>
        </is>
      </c>
      <c r="AF92" t="inlineStr">
        <is>
          <t>WARREN CITY SD</t>
        </is>
      </c>
      <c r="AH92" t="n">
        <v>14</v>
      </c>
      <c r="AI92" t="n">
        <v>11</v>
      </c>
      <c r="AN92" t="inlineStr">
        <is>
          <t>WARREN</t>
        </is>
      </c>
      <c r="AO92" t="inlineStr">
        <is>
          <t>WARREN CITY 4A</t>
        </is>
      </c>
      <c r="AP92" t="inlineStr">
        <is>
          <t>78-P-ADI</t>
        </is>
      </c>
      <c r="AQ92" t="n">
        <v>9</v>
      </c>
      <c r="AR92" t="n">
        <v>64</v>
      </c>
      <c r="AS92" t="n">
        <v>32</v>
      </c>
      <c r="AU92">
        <f>COUNTA($BA$92:$EH$92)</f>
        <v/>
      </c>
      <c r="AV92">
        <f>COUNTIF($BA$92:$EH$92,"D")</f>
        <v/>
      </c>
      <c r="AW92">
        <f>COUNTIF($BA$92:$EH$92,"R")</f>
        <v/>
      </c>
      <c r="AX92">
        <f>IF(BN92="D",1,0)+IF(BO92="D",1,0)+IF(BT92="D",1,0)+IF(BU92="D",1,0)+IF(BW92="D",1,0)+IF(CC92="D",1,0)+IF(CD92="D",1,0)+IF(CE92="D",1,0)+IF(CF92="D",1,0)+IF(CL92="D",1,0)+IF(CM92="D",1,0)+IF(CQ92="D",1,0)+IF(CR92="D",1,0)+IF(CS92="D",1,0)+IF(CW92="D",1,0)+IF(CX92="D",1,0)+IF(DD92="D",1,0)+IF(DE92="D",1,0)+IF(DJ92="D",1,0)+IF(DK92="D",1,0)+IF(DO92="D",1,0)+IF(DP92="D",1,0)+IF(DQ92="D",1,0)+IF(DW92="D",1,0)+IF(DZ92="D",1,0)+IF(EH92="D",1,0)</f>
        <v/>
      </c>
      <c r="AY92">
        <f>IF(DJ92&lt;&gt;"",1,0)+IF(DK92&lt;&gt;"",1,0)+IF(DM92&lt;&gt;"",1,0)+IF(DO92&lt;&gt;"",1,0)+IF(DP92&lt;&gt;"",1,0)+IF(DQ92&lt;&gt;"",1,0)+IF(DS92&lt;&gt;"",1,0)+IF(DT92&lt;&gt;"",1,0)+IF(DV92&lt;&gt;"",1,0)+IF(DW92&lt;&gt;"",1,0)+IF(DX92&lt;&gt;"",1,0)+IF(DY92&lt;&gt;"",1,0)+IF(DZ92&lt;&gt;"",1,0)+IF(EB92&lt;&gt;"",1,0)+IF(EC92&lt;&gt;"",1,0)+IF(ED92&lt;&gt;"",1,0)+IF(EG92&lt;&gt;"",1,0)+IF(EH92&lt;&gt;"",1,0)</f>
        <v/>
      </c>
      <c r="AZ92">
        <f>IF(EH92&lt;&gt;"",1,0)</f>
        <v/>
      </c>
      <c r="BB92" t="inlineStr">
        <is>
          <t>WARREN-WARD 4</t>
        </is>
      </c>
      <c r="BS92" t="inlineStr">
        <is>
          <t>X</t>
        </is>
      </c>
      <c r="BY92" t="inlineStr">
        <is>
          <t>D</t>
        </is>
      </c>
      <c r="CA92" t="inlineStr">
        <is>
          <t>X</t>
        </is>
      </c>
      <c r="CN92" t="inlineStr">
        <is>
          <t>X</t>
        </is>
      </c>
      <c r="CP92" t="inlineStr">
        <is>
          <t>X</t>
        </is>
      </c>
      <c r="DC92" t="inlineStr">
        <is>
          <t>X</t>
        </is>
      </c>
      <c r="DI92" t="inlineStr">
        <is>
          <t>X</t>
        </is>
      </c>
      <c r="DN92" t="inlineStr">
        <is>
          <t>X</t>
        </is>
      </c>
      <c r="EA92" t="inlineStr">
        <is>
          <t>X</t>
        </is>
      </c>
      <c r="EF92" t="inlineStr">
        <is>
          <t>X</t>
        </is>
      </c>
    </row>
    <row r="93">
      <c r="A93" t="inlineStr">
        <is>
          <t>OH0015764421</t>
        </is>
      </c>
      <c r="B93" t="n">
        <v>78</v>
      </c>
      <c r="C93" t="n">
        <v>327094</v>
      </c>
      <c r="D93" t="inlineStr">
        <is>
          <t>BLUE</t>
        </is>
      </c>
      <c r="E93" t="inlineStr">
        <is>
          <t>MATTHEW</t>
        </is>
      </c>
      <c r="F93">
        <f>CONCATENATE(D93," ",LEFT(H93,4),"T=",AU93,"D=",AV93,"R=",AW93,"M=",AX93,"L=",AY93,"B=",AZ93)</f>
        <v/>
      </c>
      <c r="G93" t="inlineStr">
        <is>
          <t>T</t>
        </is>
      </c>
      <c r="I93" t="inlineStr">
        <is>
          <t>1983-09-06</t>
        </is>
      </c>
      <c r="J93" t="inlineStr">
        <is>
          <t>2016-12-08</t>
        </is>
      </c>
      <c r="K93" t="inlineStr">
        <is>
          <t>ACTIVE</t>
        </is>
      </c>
      <c r="M93" t="inlineStr">
        <is>
          <t>510 KENILWORTH AVE SE</t>
        </is>
      </c>
      <c r="N93">
        <f>RIGHT(M93,LEN(M93)-FIND(" ",M93))</f>
        <v/>
      </c>
      <c r="P93" t="inlineStr">
        <is>
          <t>WARREN</t>
        </is>
      </c>
      <c r="Q93" t="inlineStr">
        <is>
          <t>OH</t>
        </is>
      </c>
      <c r="R93" t="n">
        <v>44483</v>
      </c>
      <c r="AD93" t="inlineStr">
        <is>
          <t>TRUMBULL CAREER &amp; TECH CENTER</t>
        </is>
      </c>
      <c r="AE93" t="inlineStr">
        <is>
          <t>WARREN CITY</t>
        </is>
      </c>
      <c r="AF93" t="inlineStr">
        <is>
          <t>WARREN CITY SD</t>
        </is>
      </c>
      <c r="AH93" t="n">
        <v>14</v>
      </c>
      <c r="AI93" t="n">
        <v>11</v>
      </c>
      <c r="AN93" t="inlineStr">
        <is>
          <t>WARREN</t>
        </is>
      </c>
      <c r="AO93" t="inlineStr">
        <is>
          <t>WARREN CITY 4A</t>
        </is>
      </c>
      <c r="AP93" t="inlineStr">
        <is>
          <t>78-P-ADI</t>
        </is>
      </c>
      <c r="AQ93" t="n">
        <v>9</v>
      </c>
      <c r="AR93" t="n">
        <v>64</v>
      </c>
      <c r="AS93" t="n">
        <v>32</v>
      </c>
      <c r="AU93">
        <f>COUNTA($BA$93:$EH$93)</f>
        <v/>
      </c>
      <c r="AV93">
        <f>COUNTIF($BA$93:$EH$93,"D")</f>
        <v/>
      </c>
      <c r="AW93">
        <f>COUNTIF($BA$93:$EH$93,"R")</f>
        <v/>
      </c>
      <c r="AX93">
        <f>IF(BN93="D",1,0)+IF(BO93="D",1,0)+IF(BT93="D",1,0)+IF(BU93="D",1,0)+IF(BW93="D",1,0)+IF(CC93="D",1,0)+IF(CD93="D",1,0)+IF(CE93="D",1,0)+IF(CF93="D",1,0)+IF(CL93="D",1,0)+IF(CM93="D",1,0)+IF(CQ93="D",1,0)+IF(CR93="D",1,0)+IF(CS93="D",1,0)+IF(CW93="D",1,0)+IF(CX93="D",1,0)+IF(DD93="D",1,0)+IF(DE93="D",1,0)+IF(DJ93="D",1,0)+IF(DK93="D",1,0)+IF(DO93="D",1,0)+IF(DP93="D",1,0)+IF(DQ93="D",1,0)+IF(DW93="D",1,0)+IF(DZ93="D",1,0)+IF(EH93="D",1,0)</f>
        <v/>
      </c>
      <c r="AY93">
        <f>IF(DJ93&lt;&gt;"",1,0)+IF(DK93&lt;&gt;"",1,0)+IF(DM93&lt;&gt;"",1,0)+IF(DO93&lt;&gt;"",1,0)+IF(DP93&lt;&gt;"",1,0)+IF(DQ93&lt;&gt;"",1,0)+IF(DS93&lt;&gt;"",1,0)+IF(DT93&lt;&gt;"",1,0)+IF(DV93&lt;&gt;"",1,0)+IF(DW93&lt;&gt;"",1,0)+IF(DX93&lt;&gt;"",1,0)+IF(DY93&lt;&gt;"",1,0)+IF(DZ93&lt;&gt;"",1,0)+IF(EB93&lt;&gt;"",1,0)+IF(EC93&lt;&gt;"",1,0)+IF(ED93&lt;&gt;"",1,0)+IF(EG93&lt;&gt;"",1,0)+IF(EH93&lt;&gt;"",1,0)</f>
        <v/>
      </c>
      <c r="AZ93">
        <f>IF(EH93&lt;&gt;"",1,0)</f>
        <v/>
      </c>
      <c r="BB93" t="inlineStr">
        <is>
          <t>WARREN-WARD 4</t>
        </is>
      </c>
      <c r="BL93" t="inlineStr">
        <is>
          <t>X</t>
        </is>
      </c>
      <c r="CN93" t="inlineStr">
        <is>
          <t>X</t>
        </is>
      </c>
      <c r="CP93" t="inlineStr">
        <is>
          <t>X</t>
        </is>
      </c>
      <c r="DC93" t="inlineStr">
        <is>
          <t>X</t>
        </is>
      </c>
      <c r="DI93" t="inlineStr">
        <is>
          <t>X</t>
        </is>
      </c>
      <c r="DN93" t="inlineStr">
        <is>
          <t>X</t>
        </is>
      </c>
      <c r="EF93" t="inlineStr">
        <is>
          <t>X</t>
        </is>
      </c>
    </row>
    <row r="94">
      <c r="A94" t="inlineStr">
        <is>
          <t>OH0015721323</t>
        </is>
      </c>
      <c r="B94" t="n">
        <v>78</v>
      </c>
      <c r="C94" t="n">
        <v>202216</v>
      </c>
      <c r="D94" t="inlineStr">
        <is>
          <t>HORKEY</t>
        </is>
      </c>
      <c r="E94" t="inlineStr">
        <is>
          <t>CYNTHIA</t>
        </is>
      </c>
      <c r="F94">
        <f>CONCATENATE(D94," ",LEFT(H94,4),"T=",AU94,"D=",AV94,"R=",AW94,"M=",AX94,"L=",AY94,"B=",AZ94)</f>
        <v/>
      </c>
      <c r="G94" t="inlineStr">
        <is>
          <t>J</t>
        </is>
      </c>
      <c r="I94" t="inlineStr">
        <is>
          <t>1961-06-26</t>
        </is>
      </c>
      <c r="J94" t="inlineStr">
        <is>
          <t>2007-11-06</t>
        </is>
      </c>
      <c r="K94" t="inlineStr">
        <is>
          <t>ACTIVE</t>
        </is>
      </c>
      <c r="L94" t="inlineStr">
        <is>
          <t>D</t>
        </is>
      </c>
      <c r="M94" t="inlineStr">
        <is>
          <t>711 WOODBINE AVE SE</t>
        </is>
      </c>
      <c r="N94">
        <f>RIGHT(M94,LEN(M94)-FIND(" ",M94))</f>
        <v/>
      </c>
      <c r="P94" t="inlineStr">
        <is>
          <t>WARREN</t>
        </is>
      </c>
      <c r="Q94" t="inlineStr">
        <is>
          <t>OH</t>
        </is>
      </c>
      <c r="R94" t="n">
        <v>44484</v>
      </c>
      <c r="AD94" t="inlineStr">
        <is>
          <t>TRUMBULL CAREER &amp; TECH CENTER</t>
        </is>
      </c>
      <c r="AE94" t="inlineStr">
        <is>
          <t>WARREN CITY</t>
        </is>
      </c>
      <c r="AF94" t="inlineStr">
        <is>
          <t>WARREN CITY SD</t>
        </is>
      </c>
      <c r="AH94" t="n">
        <v>14</v>
      </c>
      <c r="AI94" t="n">
        <v>11</v>
      </c>
      <c r="AN94" t="inlineStr">
        <is>
          <t>WARREN</t>
        </is>
      </c>
      <c r="AO94" t="inlineStr">
        <is>
          <t>WARREN CITY 4A</t>
        </is>
      </c>
      <c r="AP94" t="inlineStr">
        <is>
          <t>78-P-ADI</t>
        </is>
      </c>
      <c r="AQ94" t="n">
        <v>9</v>
      </c>
      <c r="AR94" t="n">
        <v>64</v>
      </c>
      <c r="AS94" t="n">
        <v>32</v>
      </c>
      <c r="AU94">
        <f>COUNTA($BA$94:$EH$94)</f>
        <v/>
      </c>
      <c r="AV94">
        <f>COUNTIF($BA$94:$EH$94,"D")</f>
        <v/>
      </c>
      <c r="AW94">
        <f>COUNTIF($BA$94:$EH$94,"R")</f>
        <v/>
      </c>
      <c r="AX94">
        <f>IF(BN94="D",1,0)+IF(BO94="D",1,0)+IF(BT94="D",1,0)+IF(BU94="D",1,0)+IF(BW94="D",1,0)+IF(CC94="D",1,0)+IF(CD94="D",1,0)+IF(CE94="D",1,0)+IF(CF94="D",1,0)+IF(CL94="D",1,0)+IF(CM94="D",1,0)+IF(CQ94="D",1,0)+IF(CR94="D",1,0)+IF(CS94="D",1,0)+IF(CW94="D",1,0)+IF(CX94="D",1,0)+IF(DD94="D",1,0)+IF(DE94="D",1,0)+IF(DJ94="D",1,0)+IF(DK94="D",1,0)+IF(DO94="D",1,0)+IF(DP94="D",1,0)+IF(DQ94="D",1,0)+IF(DW94="D",1,0)+IF(DZ94="D",1,0)+IF(EH94="D",1,0)</f>
        <v/>
      </c>
      <c r="AY94">
        <f>IF(DJ94&lt;&gt;"",1,0)+IF(DK94&lt;&gt;"",1,0)+IF(DM94&lt;&gt;"",1,0)+IF(DO94&lt;&gt;"",1,0)+IF(DP94&lt;&gt;"",1,0)+IF(DQ94&lt;&gt;"",1,0)+IF(DS94&lt;&gt;"",1,0)+IF(DT94&lt;&gt;"",1,0)+IF(DV94&lt;&gt;"",1,0)+IF(DW94&lt;&gt;"",1,0)+IF(DX94&lt;&gt;"",1,0)+IF(DY94&lt;&gt;"",1,0)+IF(DZ94&lt;&gt;"",1,0)+IF(EB94&lt;&gt;"",1,0)+IF(EC94&lt;&gt;"",1,0)+IF(ED94&lt;&gt;"",1,0)+IF(EG94&lt;&gt;"",1,0)+IF(EH94&lt;&gt;"",1,0)</f>
        <v/>
      </c>
      <c r="AZ94">
        <f>IF(EH94&lt;&gt;"",1,0)</f>
        <v/>
      </c>
      <c r="BB94" t="inlineStr">
        <is>
          <t>WARREN-WARD 4</t>
        </is>
      </c>
      <c r="BC94" t="inlineStr">
        <is>
          <t>X</t>
        </is>
      </c>
      <c r="BD94" t="inlineStr">
        <is>
          <t>X</t>
        </is>
      </c>
      <c r="BE94" t="inlineStr">
        <is>
          <t>X</t>
        </is>
      </c>
      <c r="BF94" t="inlineStr">
        <is>
          <t>X</t>
        </is>
      </c>
      <c r="BG94" t="inlineStr">
        <is>
          <t>X</t>
        </is>
      </c>
      <c r="BH94" t="inlineStr">
        <is>
          <t>X</t>
        </is>
      </c>
      <c r="BI94" t="inlineStr">
        <is>
          <t>X</t>
        </is>
      </c>
      <c r="BJ94" t="inlineStr">
        <is>
          <t>X</t>
        </is>
      </c>
      <c r="BK94" t="inlineStr">
        <is>
          <t>X</t>
        </is>
      </c>
      <c r="BL94" t="inlineStr">
        <is>
          <t>X</t>
        </is>
      </c>
      <c r="BP94" t="inlineStr">
        <is>
          <t>X</t>
        </is>
      </c>
      <c r="BS94" t="inlineStr">
        <is>
          <t>X</t>
        </is>
      </c>
      <c r="BV94" t="inlineStr">
        <is>
          <t>X</t>
        </is>
      </c>
      <c r="BY94" t="inlineStr">
        <is>
          <t>D</t>
        </is>
      </c>
      <c r="CA94" t="inlineStr">
        <is>
          <t>X</t>
        </is>
      </c>
      <c r="CG94" t="inlineStr">
        <is>
          <t>X</t>
        </is>
      </c>
      <c r="CK94" t="inlineStr">
        <is>
          <t>X</t>
        </is>
      </c>
      <c r="CL94" t="inlineStr">
        <is>
          <t>D</t>
        </is>
      </c>
      <c r="CN94" t="inlineStr">
        <is>
          <t>X</t>
        </is>
      </c>
      <c r="CO94" t="inlineStr">
        <is>
          <t>R</t>
        </is>
      </c>
      <c r="CP94" t="inlineStr">
        <is>
          <t>X</t>
        </is>
      </c>
      <c r="CU94" t="inlineStr">
        <is>
          <t>D</t>
        </is>
      </c>
      <c r="CV94" t="inlineStr">
        <is>
          <t>X</t>
        </is>
      </c>
      <c r="CW94" t="inlineStr">
        <is>
          <t>D</t>
        </is>
      </c>
      <c r="CY94" t="inlineStr">
        <is>
          <t>X</t>
        </is>
      </c>
      <c r="CZ94" t="inlineStr">
        <is>
          <t>D</t>
        </is>
      </c>
      <c r="DC94" t="inlineStr">
        <is>
          <t>X</t>
        </is>
      </c>
      <c r="DF94" t="inlineStr">
        <is>
          <t>X</t>
        </is>
      </c>
      <c r="DG94" t="inlineStr">
        <is>
          <t>D</t>
        </is>
      </c>
      <c r="DI94" t="inlineStr">
        <is>
          <t>X</t>
        </is>
      </c>
      <c r="DJ94" t="inlineStr">
        <is>
          <t>D</t>
        </is>
      </c>
      <c r="DL94" t="inlineStr">
        <is>
          <t>X</t>
        </is>
      </c>
      <c r="DN94" t="inlineStr">
        <is>
          <t>X</t>
        </is>
      </c>
      <c r="DS94" t="inlineStr">
        <is>
          <t>D</t>
        </is>
      </c>
      <c r="DU94" t="inlineStr">
        <is>
          <t>X</t>
        </is>
      </c>
      <c r="DW94" t="inlineStr">
        <is>
          <t>D</t>
        </is>
      </c>
      <c r="DX94" t="inlineStr">
        <is>
          <t>X</t>
        </is>
      </c>
      <c r="EA94" t="inlineStr">
        <is>
          <t>X</t>
        </is>
      </c>
      <c r="ED94" t="inlineStr">
        <is>
          <t>R</t>
        </is>
      </c>
      <c r="EF94" t="inlineStr">
        <is>
          <t>X</t>
        </is>
      </c>
      <c r="EH94" t="inlineStr">
        <is>
          <t>D</t>
        </is>
      </c>
    </row>
    <row r="95">
      <c r="A95" t="inlineStr">
        <is>
          <t>OH0027526793</t>
        </is>
      </c>
      <c r="B95" t="n">
        <v>78</v>
      </c>
      <c r="C95" t="n">
        <v>487893</v>
      </c>
      <c r="D95" t="inlineStr">
        <is>
          <t>HINES</t>
        </is>
      </c>
      <c r="E95" t="inlineStr">
        <is>
          <t>DARVON</t>
        </is>
      </c>
      <c r="F95">
        <f>CONCATENATE(D95," ",LEFT(H95,4),"T=",AU95,"D=",AV95,"R=",AW95,"M=",AX95,"L=",AY95,"B=",AZ95)</f>
        <v/>
      </c>
      <c r="I95" t="inlineStr">
        <is>
          <t>1989-04-28</t>
        </is>
      </c>
      <c r="J95" t="inlineStr">
        <is>
          <t>2024-08-12</t>
        </is>
      </c>
      <c r="K95" t="inlineStr">
        <is>
          <t>ACTIVE</t>
        </is>
      </c>
      <c r="M95" t="inlineStr">
        <is>
          <t>193 HOMEWOOD AVE SE</t>
        </is>
      </c>
      <c r="N95">
        <f>RIGHT(M95,LEN(M95)-FIND(" ",M95))</f>
        <v/>
      </c>
      <c r="P95" t="inlineStr">
        <is>
          <t>WARREN</t>
        </is>
      </c>
      <c r="Q95" t="inlineStr">
        <is>
          <t>OH</t>
        </is>
      </c>
      <c r="R95" t="n">
        <v>44483</v>
      </c>
      <c r="AD95" t="inlineStr">
        <is>
          <t>TRUMBULL CAREER &amp; TECH CENTER</t>
        </is>
      </c>
      <c r="AE95" t="inlineStr">
        <is>
          <t>WARREN CITY</t>
        </is>
      </c>
      <c r="AF95" t="inlineStr">
        <is>
          <t>WARREN CITY SD</t>
        </is>
      </c>
      <c r="AH95" t="n">
        <v>14</v>
      </c>
      <c r="AI95" t="n">
        <v>11</v>
      </c>
      <c r="AN95" t="inlineStr">
        <is>
          <t>WARREN</t>
        </is>
      </c>
      <c r="AO95" t="inlineStr">
        <is>
          <t>WARREN CITY 4A</t>
        </is>
      </c>
      <c r="AP95" t="inlineStr">
        <is>
          <t>78-P-ADI</t>
        </is>
      </c>
      <c r="AQ95" t="n">
        <v>9</v>
      </c>
      <c r="AR95" t="n">
        <v>64</v>
      </c>
      <c r="AS95" t="n">
        <v>32</v>
      </c>
      <c r="AU95">
        <f>COUNTA($BA$95:$EH$95)</f>
        <v/>
      </c>
      <c r="AV95">
        <f>COUNTIF($BA$95:$EH$95,"D")</f>
        <v/>
      </c>
      <c r="AW95">
        <f>COUNTIF($BA$95:$EH$95,"R")</f>
        <v/>
      </c>
      <c r="AX95">
        <f>IF(BN95="D",1,0)+IF(BO95="D",1,0)+IF(BT95="D",1,0)+IF(BU95="D",1,0)+IF(BW95="D",1,0)+IF(CC95="D",1,0)+IF(CD95="D",1,0)+IF(CE95="D",1,0)+IF(CF95="D",1,0)+IF(CL95="D",1,0)+IF(CM95="D",1,0)+IF(CQ95="D",1,0)+IF(CR95="D",1,0)+IF(CS95="D",1,0)+IF(CW95="D",1,0)+IF(CX95="D",1,0)+IF(DD95="D",1,0)+IF(DE95="D",1,0)+IF(DJ95="D",1,0)+IF(DK95="D",1,0)+IF(DO95="D",1,0)+IF(DP95="D",1,0)+IF(DQ95="D",1,0)+IF(DW95="D",1,0)+IF(DZ95="D",1,0)+IF(EH95="D",1,0)</f>
        <v/>
      </c>
      <c r="AY95">
        <f>IF(DJ95&lt;&gt;"",1,0)+IF(DK95&lt;&gt;"",1,0)+IF(DM95&lt;&gt;"",1,0)+IF(DO95&lt;&gt;"",1,0)+IF(DP95&lt;&gt;"",1,0)+IF(DQ95&lt;&gt;"",1,0)+IF(DS95&lt;&gt;"",1,0)+IF(DT95&lt;&gt;"",1,0)+IF(DV95&lt;&gt;"",1,0)+IF(DW95&lt;&gt;"",1,0)+IF(DX95&lt;&gt;"",1,0)+IF(DY95&lt;&gt;"",1,0)+IF(DZ95&lt;&gt;"",1,0)+IF(EB95&lt;&gt;"",1,0)+IF(EC95&lt;&gt;"",1,0)+IF(ED95&lt;&gt;"",1,0)+IF(EG95&lt;&gt;"",1,0)+IF(EH95&lt;&gt;"",1,0)</f>
        <v/>
      </c>
      <c r="AZ95">
        <f>IF(EH95&lt;&gt;"",1,0)</f>
        <v/>
      </c>
      <c r="BB95" t="inlineStr">
        <is>
          <t>WARREN-WARD 4</t>
        </is>
      </c>
    </row>
    <row r="96">
      <c r="A96" t="inlineStr">
        <is>
          <t>OH0027260791</t>
        </is>
      </c>
      <c r="B96" t="n">
        <v>78</v>
      </c>
      <c r="C96" t="n">
        <v>483705</v>
      </c>
      <c r="D96" t="inlineStr">
        <is>
          <t>GARANSI</t>
        </is>
      </c>
      <c r="E96" t="inlineStr">
        <is>
          <t>AARON</t>
        </is>
      </c>
      <c r="F96">
        <f>CONCATENATE(D96," ",LEFT(H96,4),"T=",AU96,"D=",AV96,"R=",AW96,"M=",AX96,"L=",AY96,"B=",AZ96)</f>
        <v/>
      </c>
      <c r="G96" t="inlineStr">
        <is>
          <t>DWAINE</t>
        </is>
      </c>
      <c r="I96" t="inlineStr">
        <is>
          <t>1998-02-17</t>
        </is>
      </c>
      <c r="J96" t="inlineStr">
        <is>
          <t>2024-02-16</t>
        </is>
      </c>
      <c r="K96" t="inlineStr">
        <is>
          <t>ACTIVE</t>
        </is>
      </c>
      <c r="M96" t="inlineStr">
        <is>
          <t>406 HOMEWOOD AVE SE</t>
        </is>
      </c>
      <c r="N96">
        <f>RIGHT(M96,LEN(M96)-FIND(" ",M96))</f>
        <v/>
      </c>
      <c r="P96" t="inlineStr">
        <is>
          <t>WARREN</t>
        </is>
      </c>
      <c r="Q96" t="inlineStr">
        <is>
          <t>OH</t>
        </is>
      </c>
      <c r="R96" t="n">
        <v>44483</v>
      </c>
      <c r="AD96" t="inlineStr">
        <is>
          <t>TRUMBULL CAREER &amp; TECH CENTER</t>
        </is>
      </c>
      <c r="AE96" t="inlineStr">
        <is>
          <t>WARREN CITY</t>
        </is>
      </c>
      <c r="AF96" t="inlineStr">
        <is>
          <t>WARREN CITY SD</t>
        </is>
      </c>
      <c r="AH96" t="n">
        <v>14</v>
      </c>
      <c r="AI96" t="n">
        <v>11</v>
      </c>
      <c r="AN96" t="inlineStr">
        <is>
          <t>WARREN</t>
        </is>
      </c>
      <c r="AO96" t="inlineStr">
        <is>
          <t>WARREN CITY 4A</t>
        </is>
      </c>
      <c r="AP96" t="inlineStr">
        <is>
          <t>78-P-ADI</t>
        </is>
      </c>
      <c r="AQ96" t="n">
        <v>9</v>
      </c>
      <c r="AR96" t="n">
        <v>64</v>
      </c>
      <c r="AS96" t="n">
        <v>32</v>
      </c>
      <c r="AU96">
        <f>COUNTA($BA$96:$EH$96)</f>
        <v/>
      </c>
      <c r="AV96">
        <f>COUNTIF($BA$96:$EH$96,"D")</f>
        <v/>
      </c>
      <c r="AW96">
        <f>COUNTIF($BA$96:$EH$96,"R")</f>
        <v/>
      </c>
      <c r="AX96">
        <f>IF(BN96="D",1,0)+IF(BO96="D",1,0)+IF(BT96="D",1,0)+IF(BU96="D",1,0)+IF(BW96="D",1,0)+IF(CC96="D",1,0)+IF(CD96="D",1,0)+IF(CE96="D",1,0)+IF(CF96="D",1,0)+IF(CL96="D",1,0)+IF(CM96="D",1,0)+IF(CQ96="D",1,0)+IF(CR96="D",1,0)+IF(CS96="D",1,0)+IF(CW96="D",1,0)+IF(CX96="D",1,0)+IF(DD96="D",1,0)+IF(DE96="D",1,0)+IF(DJ96="D",1,0)+IF(DK96="D",1,0)+IF(DO96="D",1,0)+IF(DP96="D",1,0)+IF(DQ96="D",1,0)+IF(DW96="D",1,0)+IF(DZ96="D",1,0)+IF(EH96="D",1,0)</f>
        <v/>
      </c>
      <c r="AY96">
        <f>IF(DJ96&lt;&gt;"",1,0)+IF(DK96&lt;&gt;"",1,0)+IF(DM96&lt;&gt;"",1,0)+IF(DO96&lt;&gt;"",1,0)+IF(DP96&lt;&gt;"",1,0)+IF(DQ96&lt;&gt;"",1,0)+IF(DS96&lt;&gt;"",1,0)+IF(DT96&lt;&gt;"",1,0)+IF(DV96&lt;&gt;"",1,0)+IF(DW96&lt;&gt;"",1,0)+IF(DX96&lt;&gt;"",1,0)+IF(DY96&lt;&gt;"",1,0)+IF(DZ96&lt;&gt;"",1,0)+IF(EB96&lt;&gt;"",1,0)+IF(EC96&lt;&gt;"",1,0)+IF(ED96&lt;&gt;"",1,0)+IF(EG96&lt;&gt;"",1,0)+IF(EH96&lt;&gt;"",1,0)</f>
        <v/>
      </c>
      <c r="AZ96">
        <f>IF(EH96&lt;&gt;"",1,0)</f>
        <v/>
      </c>
      <c r="BB96" t="inlineStr">
        <is>
          <t>WARREN-WARD 4</t>
        </is>
      </c>
      <c r="EF96" t="inlineStr">
        <is>
          <t>X</t>
        </is>
      </c>
    </row>
    <row r="97">
      <c r="A97" t="inlineStr">
        <is>
          <t>OH0027910003</t>
        </is>
      </c>
      <c r="B97" t="n">
        <v>78</v>
      </c>
      <c r="C97" t="n">
        <v>495243</v>
      </c>
      <c r="D97" t="inlineStr">
        <is>
          <t>BRYANT</t>
        </is>
      </c>
      <c r="E97" t="inlineStr">
        <is>
          <t>BRANDON</t>
        </is>
      </c>
      <c r="F97">
        <f>CONCATENATE(D97," ",LEFT(H97,4),"T=",AU97,"D=",AV97,"R=",AW97,"M=",AX97,"L=",AY97,"B=",AZ97)</f>
        <v/>
      </c>
      <c r="G97" t="inlineStr">
        <is>
          <t>DEVON</t>
        </is>
      </c>
      <c r="I97" t="inlineStr">
        <is>
          <t>1983-08-28</t>
        </is>
      </c>
      <c r="J97" t="inlineStr">
        <is>
          <t>2025-03-03</t>
        </is>
      </c>
      <c r="K97" t="inlineStr">
        <is>
          <t>ACTIVE</t>
        </is>
      </c>
      <c r="M97" t="inlineStr">
        <is>
          <t>384 ADELAIDE AVE SE</t>
        </is>
      </c>
      <c r="N97">
        <f>RIGHT(M97,LEN(M97)-FIND(" ",M97))</f>
        <v/>
      </c>
      <c r="O97" t="inlineStr">
        <is>
          <t>APT B</t>
        </is>
      </c>
      <c r="P97" t="inlineStr">
        <is>
          <t>WARREN</t>
        </is>
      </c>
      <c r="Q97" t="inlineStr">
        <is>
          <t>OH</t>
        </is>
      </c>
      <c r="R97" t="n">
        <v>44483</v>
      </c>
      <c r="AD97" t="inlineStr">
        <is>
          <t>TRUMBULL CAREER &amp; TECH CENTER</t>
        </is>
      </c>
      <c r="AE97" t="inlineStr">
        <is>
          <t>WARREN CITY</t>
        </is>
      </c>
      <c r="AF97" t="inlineStr">
        <is>
          <t>WARREN CITY SD</t>
        </is>
      </c>
      <c r="AH97" t="n">
        <v>14</v>
      </c>
      <c r="AI97" t="n">
        <v>11</v>
      </c>
      <c r="AN97" t="inlineStr">
        <is>
          <t>WARREN</t>
        </is>
      </c>
      <c r="AO97" t="inlineStr">
        <is>
          <t>WARREN CITY 4A</t>
        </is>
      </c>
      <c r="AP97" t="inlineStr">
        <is>
          <t>78-P-ADI</t>
        </is>
      </c>
      <c r="AQ97" t="n">
        <v>9</v>
      </c>
      <c r="AR97" t="n">
        <v>64</v>
      </c>
      <c r="AS97" t="n">
        <v>32</v>
      </c>
      <c r="AU97">
        <f>COUNTA($BA$97:$EH$97)</f>
        <v/>
      </c>
      <c r="AV97">
        <f>COUNTIF($BA$97:$EH$97,"D")</f>
        <v/>
      </c>
      <c r="AW97">
        <f>COUNTIF($BA$97:$EH$97,"R")</f>
        <v/>
      </c>
      <c r="AX97">
        <f>IF(BN97="D",1,0)+IF(BO97="D",1,0)+IF(BT97="D",1,0)+IF(BU97="D",1,0)+IF(BW97="D",1,0)+IF(CC97="D",1,0)+IF(CD97="D",1,0)+IF(CE97="D",1,0)+IF(CF97="D",1,0)+IF(CL97="D",1,0)+IF(CM97="D",1,0)+IF(CQ97="D",1,0)+IF(CR97="D",1,0)+IF(CS97="D",1,0)+IF(CW97="D",1,0)+IF(CX97="D",1,0)+IF(DD97="D",1,0)+IF(DE97="D",1,0)+IF(DJ97="D",1,0)+IF(DK97="D",1,0)+IF(DO97="D",1,0)+IF(DP97="D",1,0)+IF(DQ97="D",1,0)+IF(DW97="D",1,0)+IF(DZ97="D",1,0)+IF(EH97="D",1,0)</f>
        <v/>
      </c>
      <c r="AY97">
        <f>IF(DJ97&lt;&gt;"",1,0)+IF(DK97&lt;&gt;"",1,0)+IF(DM97&lt;&gt;"",1,0)+IF(DO97&lt;&gt;"",1,0)+IF(DP97&lt;&gt;"",1,0)+IF(DQ97&lt;&gt;"",1,0)+IF(DS97&lt;&gt;"",1,0)+IF(DT97&lt;&gt;"",1,0)+IF(DV97&lt;&gt;"",1,0)+IF(DW97&lt;&gt;"",1,0)+IF(DX97&lt;&gt;"",1,0)+IF(DY97&lt;&gt;"",1,0)+IF(DZ97&lt;&gt;"",1,0)+IF(EB97&lt;&gt;"",1,0)+IF(EC97&lt;&gt;"",1,0)+IF(ED97&lt;&gt;"",1,0)+IF(EG97&lt;&gt;"",1,0)+IF(EH97&lt;&gt;"",1,0)</f>
        <v/>
      </c>
      <c r="AZ97">
        <f>IF(EH97&lt;&gt;"",1,0)</f>
        <v/>
      </c>
      <c r="BB97" t="inlineStr">
        <is>
          <t>WARREN-WARD 4</t>
        </is>
      </c>
    </row>
    <row r="98">
      <c r="A98" t="inlineStr">
        <is>
          <t>OH0015758133</t>
        </is>
      </c>
      <c r="B98" t="n">
        <v>78</v>
      </c>
      <c r="C98" t="n">
        <v>328645</v>
      </c>
      <c r="D98" t="inlineStr">
        <is>
          <t>SEITZ</t>
        </is>
      </c>
      <c r="E98" t="inlineStr">
        <is>
          <t>HERSCHEL</t>
        </is>
      </c>
      <c r="F98">
        <f>CONCATENATE(D98," ",LEFT(H98,4),"T=",AU98,"D=",AV98,"R=",AW98,"M=",AX98,"L=",AY98,"B=",AZ98)</f>
        <v/>
      </c>
      <c r="H98" t="inlineStr">
        <is>
          <t>JR</t>
        </is>
      </c>
      <c r="I98" t="inlineStr">
        <is>
          <t>1974-05-15</t>
        </is>
      </c>
      <c r="J98" t="inlineStr">
        <is>
          <t>2022-05-31</t>
        </is>
      </c>
      <c r="K98" t="inlineStr">
        <is>
          <t>ACTIVE</t>
        </is>
      </c>
      <c r="M98" t="inlineStr">
        <is>
          <t>328 WOODBINE AVE SE</t>
        </is>
      </c>
      <c r="N98">
        <f>RIGHT(M98,LEN(M98)-FIND(" ",M98))</f>
        <v/>
      </c>
      <c r="P98" t="inlineStr">
        <is>
          <t>WARREN</t>
        </is>
      </c>
      <c r="Q98" t="inlineStr">
        <is>
          <t>OH</t>
        </is>
      </c>
      <c r="R98" t="n">
        <v>44483</v>
      </c>
      <c r="AD98" t="inlineStr">
        <is>
          <t>TRUMBULL CAREER &amp; TECH CENTER</t>
        </is>
      </c>
      <c r="AE98" t="inlineStr">
        <is>
          <t>WARREN CITY</t>
        </is>
      </c>
      <c r="AF98" t="inlineStr">
        <is>
          <t>WARREN CITY SD</t>
        </is>
      </c>
      <c r="AH98" t="n">
        <v>14</v>
      </c>
      <c r="AI98" t="n">
        <v>11</v>
      </c>
      <c r="AN98" t="inlineStr">
        <is>
          <t>WARREN</t>
        </is>
      </c>
      <c r="AO98" t="inlineStr">
        <is>
          <t>WARREN CITY 4A</t>
        </is>
      </c>
      <c r="AP98" t="inlineStr">
        <is>
          <t>78-P-ADI</t>
        </is>
      </c>
      <c r="AQ98" t="n">
        <v>9</v>
      </c>
      <c r="AR98" t="n">
        <v>64</v>
      </c>
      <c r="AS98" t="n">
        <v>32</v>
      </c>
      <c r="AU98">
        <f>COUNTA($BA$98:$EH$98)</f>
        <v/>
      </c>
      <c r="AV98">
        <f>COUNTIF($BA$98:$EH$98,"D")</f>
        <v/>
      </c>
      <c r="AW98">
        <f>COUNTIF($BA$98:$EH$98,"R")</f>
        <v/>
      </c>
      <c r="AX98">
        <f>IF(BN98="D",1,0)+IF(BO98="D",1,0)+IF(BT98="D",1,0)+IF(BU98="D",1,0)+IF(BW98="D",1,0)+IF(CC98="D",1,0)+IF(CD98="D",1,0)+IF(CE98="D",1,0)+IF(CF98="D",1,0)+IF(CL98="D",1,0)+IF(CM98="D",1,0)+IF(CQ98="D",1,0)+IF(CR98="D",1,0)+IF(CS98="D",1,0)+IF(CW98="D",1,0)+IF(CX98="D",1,0)+IF(DD98="D",1,0)+IF(DE98="D",1,0)+IF(DJ98="D",1,0)+IF(DK98="D",1,0)+IF(DO98="D",1,0)+IF(DP98="D",1,0)+IF(DQ98="D",1,0)+IF(DW98="D",1,0)+IF(DZ98="D",1,0)+IF(EH98="D",1,0)</f>
        <v/>
      </c>
      <c r="AY98">
        <f>IF(DJ98&lt;&gt;"",1,0)+IF(DK98&lt;&gt;"",1,0)+IF(DM98&lt;&gt;"",1,0)+IF(DO98&lt;&gt;"",1,0)+IF(DP98&lt;&gt;"",1,0)+IF(DQ98&lt;&gt;"",1,0)+IF(DS98&lt;&gt;"",1,0)+IF(DT98&lt;&gt;"",1,0)+IF(DV98&lt;&gt;"",1,0)+IF(DW98&lt;&gt;"",1,0)+IF(DX98&lt;&gt;"",1,0)+IF(DY98&lt;&gt;"",1,0)+IF(DZ98&lt;&gt;"",1,0)+IF(EB98&lt;&gt;"",1,0)+IF(EC98&lt;&gt;"",1,0)+IF(ED98&lt;&gt;"",1,0)+IF(EG98&lt;&gt;"",1,0)+IF(EH98&lt;&gt;"",1,0)</f>
        <v/>
      </c>
      <c r="AZ98">
        <f>IF(EH98&lt;&gt;"",1,0)</f>
        <v/>
      </c>
      <c r="BB98" t="inlineStr">
        <is>
          <t>WARREN-WARD 4</t>
        </is>
      </c>
      <c r="BL98" t="inlineStr">
        <is>
          <t>X</t>
        </is>
      </c>
      <c r="BY98" t="inlineStr">
        <is>
          <t>D</t>
        </is>
      </c>
      <c r="CA98" t="inlineStr">
        <is>
          <t>X</t>
        </is>
      </c>
      <c r="CG98" t="inlineStr">
        <is>
          <t>X</t>
        </is>
      </c>
      <c r="CK98" t="inlineStr">
        <is>
          <t>X</t>
        </is>
      </c>
      <c r="CN98" t="inlineStr">
        <is>
          <t>X</t>
        </is>
      </c>
      <c r="CP98" t="inlineStr">
        <is>
          <t>X</t>
        </is>
      </c>
      <c r="CV98" t="inlineStr">
        <is>
          <t>X</t>
        </is>
      </c>
      <c r="CZ98" t="inlineStr">
        <is>
          <t>R</t>
        </is>
      </c>
    </row>
    <row r="99">
      <c r="A99" t="inlineStr">
        <is>
          <t>OH0026516697</t>
        </is>
      </c>
      <c r="B99" t="n">
        <v>78</v>
      </c>
      <c r="C99" t="n">
        <v>463397</v>
      </c>
      <c r="D99" t="inlineStr">
        <is>
          <t>JOHNSON</t>
        </is>
      </c>
      <c r="E99" t="inlineStr">
        <is>
          <t>JOSIAH</t>
        </is>
      </c>
      <c r="F99">
        <f>CONCATENATE(D99," ",LEFT(H99,4),"T=",AU99,"D=",AV99,"R=",AW99,"M=",AX99,"L=",AY99,"B=",AZ99)</f>
        <v/>
      </c>
      <c r="G99" t="inlineStr">
        <is>
          <t>OLIJAWON</t>
        </is>
      </c>
      <c r="I99" t="inlineStr">
        <is>
          <t>2001-08-03</t>
        </is>
      </c>
      <c r="J99" t="inlineStr">
        <is>
          <t>2022-05-17</t>
        </is>
      </c>
      <c r="K99" t="inlineStr">
        <is>
          <t>ACTIVE</t>
        </is>
      </c>
      <c r="M99" t="inlineStr">
        <is>
          <t>507 HOMEWOOD AVE SE</t>
        </is>
      </c>
      <c r="N99">
        <f>RIGHT(M99,LEN(M99)-FIND(" ",M99))</f>
        <v/>
      </c>
      <c r="P99" t="inlineStr">
        <is>
          <t>WARREN</t>
        </is>
      </c>
      <c r="Q99" t="inlineStr">
        <is>
          <t>OH</t>
        </is>
      </c>
      <c r="R99" t="n">
        <v>44483</v>
      </c>
      <c r="AD99" t="inlineStr">
        <is>
          <t>TRUMBULL CAREER &amp; TECH CENTER</t>
        </is>
      </c>
      <c r="AE99" t="inlineStr">
        <is>
          <t>WARREN CITY</t>
        </is>
      </c>
      <c r="AF99" t="inlineStr">
        <is>
          <t>WARREN CITY SD</t>
        </is>
      </c>
      <c r="AH99" t="n">
        <v>14</v>
      </c>
      <c r="AI99" t="n">
        <v>11</v>
      </c>
      <c r="AN99" t="inlineStr">
        <is>
          <t>WARREN</t>
        </is>
      </c>
      <c r="AO99" t="inlineStr">
        <is>
          <t>WARREN CITY 4A</t>
        </is>
      </c>
      <c r="AP99" t="inlineStr">
        <is>
          <t>78-P-ADI</t>
        </is>
      </c>
      <c r="AQ99" t="n">
        <v>9</v>
      </c>
      <c r="AR99" t="n">
        <v>64</v>
      </c>
      <c r="AS99" t="n">
        <v>32</v>
      </c>
      <c r="AU99">
        <f>COUNTA($BA$99:$EH$99)</f>
        <v/>
      </c>
      <c r="AV99">
        <f>COUNTIF($BA$99:$EH$99,"D")</f>
        <v/>
      </c>
      <c r="AW99">
        <f>COUNTIF($BA$99:$EH$99,"R")</f>
        <v/>
      </c>
      <c r="AX99">
        <f>IF(BN99="D",1,0)+IF(BO99="D",1,0)+IF(BT99="D",1,0)+IF(BU99="D",1,0)+IF(BW99="D",1,0)+IF(CC99="D",1,0)+IF(CD99="D",1,0)+IF(CE99="D",1,0)+IF(CF99="D",1,0)+IF(CL99="D",1,0)+IF(CM99="D",1,0)+IF(CQ99="D",1,0)+IF(CR99="D",1,0)+IF(CS99="D",1,0)+IF(CW99="D",1,0)+IF(CX99="D",1,0)+IF(DD99="D",1,0)+IF(DE99="D",1,0)+IF(DJ99="D",1,0)+IF(DK99="D",1,0)+IF(DO99="D",1,0)+IF(DP99="D",1,0)+IF(DQ99="D",1,0)+IF(DW99="D",1,0)+IF(DZ99="D",1,0)+IF(EH99="D",1,0)</f>
        <v/>
      </c>
      <c r="AY99">
        <f>IF(DJ99&lt;&gt;"",1,0)+IF(DK99&lt;&gt;"",1,0)+IF(DM99&lt;&gt;"",1,0)+IF(DO99&lt;&gt;"",1,0)+IF(DP99&lt;&gt;"",1,0)+IF(DQ99&lt;&gt;"",1,0)+IF(DS99&lt;&gt;"",1,0)+IF(DT99&lt;&gt;"",1,0)+IF(DV99&lt;&gt;"",1,0)+IF(DW99&lt;&gt;"",1,0)+IF(DX99&lt;&gt;"",1,0)+IF(DY99&lt;&gt;"",1,0)+IF(DZ99&lt;&gt;"",1,0)+IF(EB99&lt;&gt;"",1,0)+IF(EC99&lt;&gt;"",1,0)+IF(ED99&lt;&gt;"",1,0)+IF(EG99&lt;&gt;"",1,0)+IF(EH99&lt;&gt;"",1,0)</f>
        <v/>
      </c>
      <c r="AZ99">
        <f>IF(EH99&lt;&gt;"",1,0)</f>
        <v/>
      </c>
      <c r="BB99" t="inlineStr">
        <is>
          <t>WARREN-WARD 4</t>
        </is>
      </c>
    </row>
    <row r="100">
      <c r="A100" t="inlineStr">
        <is>
          <t>OH0027235854</t>
        </is>
      </c>
      <c r="B100" t="n">
        <v>78</v>
      </c>
      <c r="C100" t="n">
        <v>481162</v>
      </c>
      <c r="D100" t="inlineStr">
        <is>
          <t>BRAINARD</t>
        </is>
      </c>
      <c r="E100" t="inlineStr">
        <is>
          <t>CAMRYN</t>
        </is>
      </c>
      <c r="F100">
        <f>CONCATENATE(D100," ",LEFT(H100,4),"T=",AU100,"D=",AV100,"R=",AW100,"M=",AX100,"L=",AY100,"B=",AZ100)</f>
        <v/>
      </c>
      <c r="G100" t="inlineStr">
        <is>
          <t>CHRISTOPHER</t>
        </is>
      </c>
      <c r="I100" t="inlineStr">
        <is>
          <t>2004-12-14</t>
        </is>
      </c>
      <c r="J100" t="inlineStr">
        <is>
          <t>2024-02-06</t>
        </is>
      </c>
      <c r="K100" t="inlineStr">
        <is>
          <t>ACTIVE</t>
        </is>
      </c>
      <c r="M100" t="inlineStr">
        <is>
          <t>359 KENILWORTH AVE SE</t>
        </is>
      </c>
      <c r="N100">
        <f>RIGHT(M100,LEN(M100)-FIND(" ",M100))</f>
        <v/>
      </c>
      <c r="P100" t="inlineStr">
        <is>
          <t>WARREN</t>
        </is>
      </c>
      <c r="Q100" t="inlineStr">
        <is>
          <t>OH</t>
        </is>
      </c>
      <c r="R100" t="n">
        <v>44483</v>
      </c>
      <c r="AD100" t="inlineStr">
        <is>
          <t>TRUMBULL CAREER &amp; TECH CENTER</t>
        </is>
      </c>
      <c r="AE100" t="inlineStr">
        <is>
          <t>WARREN CITY</t>
        </is>
      </c>
      <c r="AF100" t="inlineStr">
        <is>
          <t>WARREN CITY SD</t>
        </is>
      </c>
      <c r="AH100" t="n">
        <v>14</v>
      </c>
      <c r="AI100" t="n">
        <v>11</v>
      </c>
      <c r="AN100" t="inlineStr">
        <is>
          <t>WARREN</t>
        </is>
      </c>
      <c r="AO100" t="inlineStr">
        <is>
          <t>WARREN CITY 4A</t>
        </is>
      </c>
      <c r="AP100" t="inlineStr">
        <is>
          <t>78-P-ADI</t>
        </is>
      </c>
      <c r="AQ100" t="n">
        <v>9</v>
      </c>
      <c r="AR100" t="n">
        <v>64</v>
      </c>
      <c r="AS100" t="n">
        <v>32</v>
      </c>
      <c r="AU100">
        <f>COUNTA($BA$100:$EH$100)</f>
        <v/>
      </c>
      <c r="AV100">
        <f>COUNTIF($BA$100:$EH$100,"D")</f>
        <v/>
      </c>
      <c r="AW100">
        <f>COUNTIF($BA$100:$EH$100,"R")</f>
        <v/>
      </c>
      <c r="AX100">
        <f>IF(BN100="D",1,0)+IF(BO100="D",1,0)+IF(BT100="D",1,0)+IF(BU100="D",1,0)+IF(BW100="D",1,0)+IF(CC100="D",1,0)+IF(CD100="D",1,0)+IF(CE100="D",1,0)+IF(CF100="D",1,0)+IF(CL100="D",1,0)+IF(CM100="D",1,0)+IF(CQ100="D",1,0)+IF(CR100="D",1,0)+IF(CS100="D",1,0)+IF(CW100="D",1,0)+IF(CX100="D",1,0)+IF(DD100="D",1,0)+IF(DE100="D",1,0)+IF(DJ100="D",1,0)+IF(DK100="D",1,0)+IF(DO100="D",1,0)+IF(DP100="D",1,0)+IF(DQ100="D",1,0)+IF(DW100="D",1,0)+IF(DZ100="D",1,0)+IF(EH100="D",1,0)</f>
        <v/>
      </c>
      <c r="AY100">
        <f>IF(DJ100&lt;&gt;"",1,0)+IF(DK100&lt;&gt;"",1,0)+IF(DM100&lt;&gt;"",1,0)+IF(DO100&lt;&gt;"",1,0)+IF(DP100&lt;&gt;"",1,0)+IF(DQ100&lt;&gt;"",1,0)+IF(DS100&lt;&gt;"",1,0)+IF(DT100&lt;&gt;"",1,0)+IF(DV100&lt;&gt;"",1,0)+IF(DW100&lt;&gt;"",1,0)+IF(DX100&lt;&gt;"",1,0)+IF(DY100&lt;&gt;"",1,0)+IF(DZ100&lt;&gt;"",1,0)+IF(EB100&lt;&gt;"",1,0)+IF(EC100&lt;&gt;"",1,0)+IF(ED100&lt;&gt;"",1,0)+IF(EG100&lt;&gt;"",1,0)+IF(EH100&lt;&gt;"",1,0)</f>
        <v/>
      </c>
      <c r="AZ100">
        <f>IF(EH100&lt;&gt;"",1,0)</f>
        <v/>
      </c>
      <c r="BB100" t="inlineStr">
        <is>
          <t>WARREN-WARD 4</t>
        </is>
      </c>
      <c r="EF100" t="inlineStr">
        <is>
          <t>X</t>
        </is>
      </c>
    </row>
    <row r="101">
      <c r="A101" t="inlineStr">
        <is>
          <t>OH0023665801</t>
        </is>
      </c>
      <c r="B101" t="n">
        <v>78</v>
      </c>
      <c r="C101" t="n">
        <v>416415</v>
      </c>
      <c r="D101" t="inlineStr">
        <is>
          <t>FOY</t>
        </is>
      </c>
      <c r="E101" t="inlineStr">
        <is>
          <t>SCOTT</t>
        </is>
      </c>
      <c r="F101">
        <f>CONCATENATE(D101," ",LEFT(H101,4),"T=",AU101,"D=",AV101,"R=",AW101,"M=",AX101,"L=",AY101,"B=",AZ101)</f>
        <v/>
      </c>
      <c r="G101" t="inlineStr">
        <is>
          <t>ERVIN</t>
        </is>
      </c>
      <c r="I101" t="inlineStr">
        <is>
          <t>1972-08-05</t>
        </is>
      </c>
      <c r="J101" t="inlineStr">
        <is>
          <t>2016-04-23</t>
        </is>
      </c>
      <c r="K101" t="inlineStr">
        <is>
          <t>CONFIRMATION</t>
        </is>
      </c>
      <c r="M101" t="inlineStr">
        <is>
          <t>1250 GRANT ST SE</t>
        </is>
      </c>
      <c r="N101">
        <f>RIGHT(M101,LEN(M101)-FIND(" ",M101))</f>
        <v/>
      </c>
      <c r="P101" t="inlineStr">
        <is>
          <t>WARREN</t>
        </is>
      </c>
      <c r="Q101" t="inlineStr">
        <is>
          <t>OH</t>
        </is>
      </c>
      <c r="R101" t="n">
        <v>44483</v>
      </c>
      <c r="AD101" t="inlineStr">
        <is>
          <t>TRUMBULL CAREER &amp; TECH CENTER</t>
        </is>
      </c>
      <c r="AE101" t="inlineStr">
        <is>
          <t>WARREN CITY</t>
        </is>
      </c>
      <c r="AF101" t="inlineStr">
        <is>
          <t>WARREN CITY SD</t>
        </is>
      </c>
      <c r="AH101" t="n">
        <v>14</v>
      </c>
      <c r="AI101" t="n">
        <v>11</v>
      </c>
      <c r="AN101" t="inlineStr">
        <is>
          <t>WARREN</t>
        </is>
      </c>
      <c r="AO101" t="inlineStr">
        <is>
          <t>WARREN CITY 4A</t>
        </is>
      </c>
      <c r="AP101" t="inlineStr">
        <is>
          <t>78-P-ADI</t>
        </is>
      </c>
      <c r="AQ101" t="n">
        <v>9</v>
      </c>
      <c r="AR101" t="n">
        <v>64</v>
      </c>
      <c r="AS101" t="n">
        <v>32</v>
      </c>
      <c r="AU101">
        <f>COUNTA($BA$101:$EH$101)</f>
        <v/>
      </c>
      <c r="AV101">
        <f>COUNTIF($BA$101:$EH$101,"D")</f>
        <v/>
      </c>
      <c r="AW101">
        <f>COUNTIF($BA$101:$EH$101,"R")</f>
        <v/>
      </c>
      <c r="AX101">
        <f>IF(BN101="D",1,0)+IF(BO101="D",1,0)+IF(BT101="D",1,0)+IF(BU101="D",1,0)+IF(BW101="D",1,0)+IF(CC101="D",1,0)+IF(CD101="D",1,0)+IF(CE101="D",1,0)+IF(CF101="D",1,0)+IF(CL101="D",1,0)+IF(CM101="D",1,0)+IF(CQ101="D",1,0)+IF(CR101="D",1,0)+IF(CS101="D",1,0)+IF(CW101="D",1,0)+IF(CX101="D",1,0)+IF(DD101="D",1,0)+IF(DE101="D",1,0)+IF(DJ101="D",1,0)+IF(DK101="D",1,0)+IF(DO101="D",1,0)+IF(DP101="D",1,0)+IF(DQ101="D",1,0)+IF(DW101="D",1,0)+IF(DZ101="D",1,0)+IF(EH101="D",1,0)</f>
        <v/>
      </c>
      <c r="AY101">
        <f>IF(DJ101&lt;&gt;"",1,0)+IF(DK101&lt;&gt;"",1,0)+IF(DM101&lt;&gt;"",1,0)+IF(DO101&lt;&gt;"",1,0)+IF(DP101&lt;&gt;"",1,0)+IF(DQ101&lt;&gt;"",1,0)+IF(DS101&lt;&gt;"",1,0)+IF(DT101&lt;&gt;"",1,0)+IF(DV101&lt;&gt;"",1,0)+IF(DW101&lt;&gt;"",1,0)+IF(DX101&lt;&gt;"",1,0)+IF(DY101&lt;&gt;"",1,0)+IF(DZ101&lt;&gt;"",1,0)+IF(EB101&lt;&gt;"",1,0)+IF(EC101&lt;&gt;"",1,0)+IF(ED101&lt;&gt;"",1,0)+IF(EG101&lt;&gt;"",1,0)+IF(EH101&lt;&gt;"",1,0)</f>
        <v/>
      </c>
      <c r="AZ101">
        <f>IF(EH101&lt;&gt;"",1,0)</f>
        <v/>
      </c>
      <c r="BB101" t="inlineStr">
        <is>
          <t>WARREN-WARD 4</t>
        </is>
      </c>
    </row>
    <row r="102">
      <c r="A102" t="inlineStr">
        <is>
          <t>OH0024568373</t>
        </is>
      </c>
      <c r="B102" t="n">
        <v>78</v>
      </c>
      <c r="C102" t="n">
        <v>430663</v>
      </c>
      <c r="D102" t="inlineStr">
        <is>
          <t>KUNTZ</t>
        </is>
      </c>
      <c r="E102" t="inlineStr">
        <is>
          <t>MICHAEL</t>
        </is>
      </c>
      <c r="F102">
        <f>CONCATENATE(D102," ",LEFT(H102,4),"T=",AU102,"D=",AV102,"R=",AW102,"M=",AX102,"L=",AY102,"B=",AZ102)</f>
        <v/>
      </c>
      <c r="G102" t="inlineStr">
        <is>
          <t>PAUL</t>
        </is>
      </c>
      <c r="I102" t="inlineStr">
        <is>
          <t>1999-08-07</t>
        </is>
      </c>
      <c r="J102" t="inlineStr">
        <is>
          <t>2018-03-28</t>
        </is>
      </c>
      <c r="K102" t="inlineStr">
        <is>
          <t>CONFIRMATION</t>
        </is>
      </c>
      <c r="M102" t="inlineStr">
        <is>
          <t>324 OAK KNOLL AVE SE</t>
        </is>
      </c>
      <c r="N102">
        <f>RIGHT(M102,LEN(M102)-FIND(" ",M102))</f>
        <v/>
      </c>
      <c r="P102" t="inlineStr">
        <is>
          <t>WARREN</t>
        </is>
      </c>
      <c r="Q102" t="inlineStr">
        <is>
          <t>OH</t>
        </is>
      </c>
      <c r="R102" t="n">
        <v>44483</v>
      </c>
      <c r="AD102" t="inlineStr">
        <is>
          <t>TRUMBULL CAREER &amp; TECH CENTER</t>
        </is>
      </c>
      <c r="AE102" t="inlineStr">
        <is>
          <t>WARREN CITY</t>
        </is>
      </c>
      <c r="AF102" t="inlineStr">
        <is>
          <t>WARREN CITY SD</t>
        </is>
      </c>
      <c r="AH102" t="n">
        <v>14</v>
      </c>
      <c r="AI102" t="n">
        <v>11</v>
      </c>
      <c r="AN102" t="inlineStr">
        <is>
          <t>WARREN</t>
        </is>
      </c>
      <c r="AO102" t="inlineStr">
        <is>
          <t>WARREN CITY 4A</t>
        </is>
      </c>
      <c r="AP102" t="inlineStr">
        <is>
          <t>78-P-ADI</t>
        </is>
      </c>
      <c r="AQ102" t="n">
        <v>9</v>
      </c>
      <c r="AR102" t="n">
        <v>64</v>
      </c>
      <c r="AS102" t="n">
        <v>32</v>
      </c>
      <c r="AU102">
        <f>COUNTA($BA$102:$EH$102)</f>
        <v/>
      </c>
      <c r="AV102">
        <f>COUNTIF($BA$102:$EH$102,"D")</f>
        <v/>
      </c>
      <c r="AW102">
        <f>COUNTIF($BA$102:$EH$102,"R")</f>
        <v/>
      </c>
      <c r="AX102">
        <f>IF(BN102="D",1,0)+IF(BO102="D",1,0)+IF(BT102="D",1,0)+IF(BU102="D",1,0)+IF(BW102="D",1,0)+IF(CC102="D",1,0)+IF(CD102="D",1,0)+IF(CE102="D",1,0)+IF(CF102="D",1,0)+IF(CL102="D",1,0)+IF(CM102="D",1,0)+IF(CQ102="D",1,0)+IF(CR102="D",1,0)+IF(CS102="D",1,0)+IF(CW102="D",1,0)+IF(CX102="D",1,0)+IF(DD102="D",1,0)+IF(DE102="D",1,0)+IF(DJ102="D",1,0)+IF(DK102="D",1,0)+IF(DO102="D",1,0)+IF(DP102="D",1,0)+IF(DQ102="D",1,0)+IF(DW102="D",1,0)+IF(DZ102="D",1,0)+IF(EH102="D",1,0)</f>
        <v/>
      </c>
      <c r="AY102">
        <f>IF(DJ102&lt;&gt;"",1,0)+IF(DK102&lt;&gt;"",1,0)+IF(DM102&lt;&gt;"",1,0)+IF(DO102&lt;&gt;"",1,0)+IF(DP102&lt;&gt;"",1,0)+IF(DQ102&lt;&gt;"",1,0)+IF(DS102&lt;&gt;"",1,0)+IF(DT102&lt;&gt;"",1,0)+IF(DV102&lt;&gt;"",1,0)+IF(DW102&lt;&gt;"",1,0)+IF(DX102&lt;&gt;"",1,0)+IF(DY102&lt;&gt;"",1,0)+IF(DZ102&lt;&gt;"",1,0)+IF(EB102&lt;&gt;"",1,0)+IF(EC102&lt;&gt;"",1,0)+IF(ED102&lt;&gt;"",1,0)+IF(EG102&lt;&gt;"",1,0)+IF(EH102&lt;&gt;"",1,0)</f>
        <v/>
      </c>
      <c r="AZ102">
        <f>IF(EH102&lt;&gt;"",1,0)</f>
        <v/>
      </c>
      <c r="BB102" t="inlineStr">
        <is>
          <t>WARREN-WARD 4</t>
        </is>
      </c>
    </row>
    <row r="103">
      <c r="A103" t="inlineStr">
        <is>
          <t>OH0015818898</t>
        </is>
      </c>
      <c r="B103" t="n">
        <v>78</v>
      </c>
      <c r="C103" t="n">
        <v>274529</v>
      </c>
      <c r="D103" t="inlineStr">
        <is>
          <t>HYDE</t>
        </is>
      </c>
      <c r="E103" t="inlineStr">
        <is>
          <t>SHAWN</t>
        </is>
      </c>
      <c r="F103">
        <f>CONCATENATE(D103," ",LEFT(H103,4),"T=",AU103,"D=",AV103,"R=",AW103,"M=",AX103,"L=",AY103,"B=",AZ103)</f>
        <v/>
      </c>
      <c r="G103" t="inlineStr">
        <is>
          <t>D</t>
        </is>
      </c>
      <c r="I103" t="inlineStr">
        <is>
          <t>1967-09-19</t>
        </is>
      </c>
      <c r="J103" t="inlineStr">
        <is>
          <t>2022-08-22</t>
        </is>
      </c>
      <c r="K103" t="inlineStr">
        <is>
          <t>ACTIVE</t>
        </is>
      </c>
      <c r="L103" t="inlineStr">
        <is>
          <t>D</t>
        </is>
      </c>
      <c r="M103" t="inlineStr">
        <is>
          <t>716 ADELAIDE AVE SE</t>
        </is>
      </c>
      <c r="N103">
        <f>RIGHT(M103,LEN(M103)-FIND(" ",M103))</f>
        <v/>
      </c>
      <c r="P103" t="inlineStr">
        <is>
          <t>WARREN</t>
        </is>
      </c>
      <c r="Q103" t="inlineStr">
        <is>
          <t>OH</t>
        </is>
      </c>
      <c r="R103" t="n">
        <v>44484</v>
      </c>
      <c r="AD103" t="inlineStr">
        <is>
          <t>TRUMBULL CAREER &amp; TECH CENTER</t>
        </is>
      </c>
      <c r="AE103" t="inlineStr">
        <is>
          <t>WARREN CITY</t>
        </is>
      </c>
      <c r="AF103" t="inlineStr">
        <is>
          <t>WARREN CITY SD</t>
        </is>
      </c>
      <c r="AH103" t="n">
        <v>14</v>
      </c>
      <c r="AI103" t="n">
        <v>11</v>
      </c>
      <c r="AN103" t="inlineStr">
        <is>
          <t>WARREN</t>
        </is>
      </c>
      <c r="AO103" t="inlineStr">
        <is>
          <t>WARREN CITY 4A</t>
        </is>
      </c>
      <c r="AP103" t="inlineStr">
        <is>
          <t>78-P-ADI</t>
        </is>
      </c>
      <c r="AQ103" t="n">
        <v>9</v>
      </c>
      <c r="AR103" t="n">
        <v>64</v>
      </c>
      <c r="AS103" t="n">
        <v>32</v>
      </c>
      <c r="AU103">
        <f>COUNTA($BA$103:$EH$103)</f>
        <v/>
      </c>
      <c r="AV103">
        <f>COUNTIF($BA$103:$EH$103,"D")</f>
        <v/>
      </c>
      <c r="AW103">
        <f>COUNTIF($BA$103:$EH$103,"R")</f>
        <v/>
      </c>
      <c r="AX103">
        <f>IF(BN103="D",1,0)+IF(BO103="D",1,0)+IF(BT103="D",1,0)+IF(BU103="D",1,0)+IF(BW103="D",1,0)+IF(CC103="D",1,0)+IF(CD103="D",1,0)+IF(CE103="D",1,0)+IF(CF103="D",1,0)+IF(CL103="D",1,0)+IF(CM103="D",1,0)+IF(CQ103="D",1,0)+IF(CR103="D",1,0)+IF(CS103="D",1,0)+IF(CW103="D",1,0)+IF(CX103="D",1,0)+IF(DD103="D",1,0)+IF(DE103="D",1,0)+IF(DJ103="D",1,0)+IF(DK103="D",1,0)+IF(DO103="D",1,0)+IF(DP103="D",1,0)+IF(DQ103="D",1,0)+IF(DW103="D",1,0)+IF(DZ103="D",1,0)+IF(EH103="D",1,0)</f>
        <v/>
      </c>
      <c r="AY103">
        <f>IF(DJ103&lt;&gt;"",1,0)+IF(DK103&lt;&gt;"",1,0)+IF(DM103&lt;&gt;"",1,0)+IF(DO103&lt;&gt;"",1,0)+IF(DP103&lt;&gt;"",1,0)+IF(DQ103&lt;&gt;"",1,0)+IF(DS103&lt;&gt;"",1,0)+IF(DT103&lt;&gt;"",1,0)+IF(DV103&lt;&gt;"",1,0)+IF(DW103&lt;&gt;"",1,0)+IF(DX103&lt;&gt;"",1,0)+IF(DY103&lt;&gt;"",1,0)+IF(DZ103&lt;&gt;"",1,0)+IF(EB103&lt;&gt;"",1,0)+IF(EC103&lt;&gt;"",1,0)+IF(ED103&lt;&gt;"",1,0)+IF(EG103&lt;&gt;"",1,0)+IF(EH103&lt;&gt;"",1,0)</f>
        <v/>
      </c>
      <c r="AZ103">
        <f>IF(EH103&lt;&gt;"",1,0)</f>
        <v/>
      </c>
      <c r="BB103" t="inlineStr">
        <is>
          <t>WARREN-WARD 4</t>
        </is>
      </c>
      <c r="CA103" t="inlineStr">
        <is>
          <t>X</t>
        </is>
      </c>
      <c r="CY103" t="inlineStr">
        <is>
          <t>X</t>
        </is>
      </c>
      <c r="CZ103" t="inlineStr">
        <is>
          <t>D</t>
        </is>
      </c>
      <c r="DC103" t="inlineStr">
        <is>
          <t>X</t>
        </is>
      </c>
      <c r="DI103" t="inlineStr">
        <is>
          <t>X</t>
        </is>
      </c>
      <c r="DN103" t="inlineStr">
        <is>
          <t>X</t>
        </is>
      </c>
      <c r="DT103" t="inlineStr">
        <is>
          <t>D</t>
        </is>
      </c>
      <c r="DU103" t="inlineStr">
        <is>
          <t>X</t>
        </is>
      </c>
      <c r="DX103" t="inlineStr">
        <is>
          <t>X</t>
        </is>
      </c>
      <c r="EA103" t="inlineStr">
        <is>
          <t>X</t>
        </is>
      </c>
      <c r="EF103" t="inlineStr">
        <is>
          <t>X</t>
        </is>
      </c>
    </row>
    <row r="104">
      <c r="A104" t="inlineStr">
        <is>
          <t>OH0021699419</t>
        </is>
      </c>
      <c r="B104" t="n">
        <v>78</v>
      </c>
      <c r="C104" t="n">
        <v>385177</v>
      </c>
      <c r="D104" t="inlineStr">
        <is>
          <t>EVERMAN</t>
        </is>
      </c>
      <c r="E104" t="inlineStr">
        <is>
          <t>HERBERT</t>
        </is>
      </c>
      <c r="F104">
        <f>CONCATENATE(D104," ",LEFT(H104,4),"T=",AU104,"D=",AV104,"R=",AW104,"M=",AX104,"L=",AY104,"B=",AZ104)</f>
        <v/>
      </c>
      <c r="G104" t="inlineStr">
        <is>
          <t>P</t>
        </is>
      </c>
      <c r="I104" t="inlineStr">
        <is>
          <t>1972-05-01</t>
        </is>
      </c>
      <c r="J104" t="inlineStr">
        <is>
          <t>2019-02-05</t>
        </is>
      </c>
      <c r="K104" t="inlineStr">
        <is>
          <t>CONFIRMATION</t>
        </is>
      </c>
      <c r="M104" t="inlineStr">
        <is>
          <t>367 WOODBINE AVE SE</t>
        </is>
      </c>
      <c r="N104">
        <f>RIGHT(M104,LEN(M104)-FIND(" ",M104))</f>
        <v/>
      </c>
      <c r="P104" t="inlineStr">
        <is>
          <t>WARREN</t>
        </is>
      </c>
      <c r="Q104" t="inlineStr">
        <is>
          <t>OH</t>
        </is>
      </c>
      <c r="R104" t="n">
        <v>44483</v>
      </c>
      <c r="AD104" t="inlineStr">
        <is>
          <t>TRUMBULL CAREER &amp; TECH CENTER</t>
        </is>
      </c>
      <c r="AE104" t="inlineStr">
        <is>
          <t>WARREN CITY</t>
        </is>
      </c>
      <c r="AF104" t="inlineStr">
        <is>
          <t>WARREN CITY SD</t>
        </is>
      </c>
      <c r="AH104" t="n">
        <v>14</v>
      </c>
      <c r="AI104" t="n">
        <v>11</v>
      </c>
      <c r="AN104" t="inlineStr">
        <is>
          <t>WARREN</t>
        </is>
      </c>
      <c r="AO104" t="inlineStr">
        <is>
          <t>WARREN CITY 4A</t>
        </is>
      </c>
      <c r="AP104" t="inlineStr">
        <is>
          <t>78-P-ADI</t>
        </is>
      </c>
      <c r="AQ104" t="n">
        <v>9</v>
      </c>
      <c r="AR104" t="n">
        <v>64</v>
      </c>
      <c r="AS104" t="n">
        <v>32</v>
      </c>
      <c r="AU104">
        <f>COUNTA($BA$104:$EH$104)</f>
        <v/>
      </c>
      <c r="AV104">
        <f>COUNTIF($BA$104:$EH$104,"D")</f>
        <v/>
      </c>
      <c r="AW104">
        <f>COUNTIF($BA$104:$EH$104,"R")</f>
        <v/>
      </c>
      <c r="AX104">
        <f>IF(BN104="D",1,0)+IF(BO104="D",1,0)+IF(BT104="D",1,0)+IF(BU104="D",1,0)+IF(BW104="D",1,0)+IF(CC104="D",1,0)+IF(CD104="D",1,0)+IF(CE104="D",1,0)+IF(CF104="D",1,0)+IF(CL104="D",1,0)+IF(CM104="D",1,0)+IF(CQ104="D",1,0)+IF(CR104="D",1,0)+IF(CS104="D",1,0)+IF(CW104="D",1,0)+IF(CX104="D",1,0)+IF(DD104="D",1,0)+IF(DE104="D",1,0)+IF(DJ104="D",1,0)+IF(DK104="D",1,0)+IF(DO104="D",1,0)+IF(DP104="D",1,0)+IF(DQ104="D",1,0)+IF(DW104="D",1,0)+IF(DZ104="D",1,0)+IF(EH104="D",1,0)</f>
        <v/>
      </c>
      <c r="AY104">
        <f>IF(DJ104&lt;&gt;"",1,0)+IF(DK104&lt;&gt;"",1,0)+IF(DM104&lt;&gt;"",1,0)+IF(DO104&lt;&gt;"",1,0)+IF(DP104&lt;&gt;"",1,0)+IF(DQ104&lt;&gt;"",1,0)+IF(DS104&lt;&gt;"",1,0)+IF(DT104&lt;&gt;"",1,0)+IF(DV104&lt;&gt;"",1,0)+IF(DW104&lt;&gt;"",1,0)+IF(DX104&lt;&gt;"",1,0)+IF(DY104&lt;&gt;"",1,0)+IF(DZ104&lt;&gt;"",1,0)+IF(EB104&lt;&gt;"",1,0)+IF(EC104&lt;&gt;"",1,0)+IF(ED104&lt;&gt;"",1,0)+IF(EG104&lt;&gt;"",1,0)+IF(EH104&lt;&gt;"",1,0)</f>
        <v/>
      </c>
      <c r="AZ104">
        <f>IF(EH104&lt;&gt;"",1,0)</f>
        <v/>
      </c>
      <c r="BB104" t="inlineStr">
        <is>
          <t>WARREN-WARD 4</t>
        </is>
      </c>
    </row>
    <row r="105">
      <c r="A105" t="inlineStr">
        <is>
          <t>OH0026253056</t>
        </is>
      </c>
      <c r="B105" t="n">
        <v>78</v>
      </c>
      <c r="C105" t="n">
        <v>459163</v>
      </c>
      <c r="D105" t="inlineStr">
        <is>
          <t>SEXTON</t>
        </is>
      </c>
      <c r="E105" t="inlineStr">
        <is>
          <t>DAVID</t>
        </is>
      </c>
      <c r="F105">
        <f>CONCATENATE(D105," ",LEFT(H105,4),"T=",AU105,"D=",AV105,"R=",AW105,"M=",AX105,"L=",AY105,"B=",AZ105)</f>
        <v/>
      </c>
      <c r="G105" t="inlineStr">
        <is>
          <t>STERLING</t>
        </is>
      </c>
      <c r="I105" t="inlineStr">
        <is>
          <t>1980-05-27</t>
        </is>
      </c>
      <c r="J105" t="inlineStr">
        <is>
          <t>2024-05-31</t>
        </is>
      </c>
      <c r="K105" t="inlineStr">
        <is>
          <t>ACTIVE</t>
        </is>
      </c>
      <c r="M105" t="inlineStr">
        <is>
          <t>157 OAK KNOLL AVE SE</t>
        </is>
      </c>
      <c r="N105">
        <f>RIGHT(M105,LEN(M105)-FIND(" ",M105))</f>
        <v/>
      </c>
      <c r="P105" t="inlineStr">
        <is>
          <t>WARREN</t>
        </is>
      </c>
      <c r="Q105" t="inlineStr">
        <is>
          <t>OH</t>
        </is>
      </c>
      <c r="R105" t="n">
        <v>44483</v>
      </c>
      <c r="AD105" t="inlineStr">
        <is>
          <t>TRUMBULL CAREER &amp; TECH CENTER</t>
        </is>
      </c>
      <c r="AE105" t="inlineStr">
        <is>
          <t>WARREN CITY</t>
        </is>
      </c>
      <c r="AF105" t="inlineStr">
        <is>
          <t>WARREN CITY SD</t>
        </is>
      </c>
      <c r="AH105" t="n">
        <v>14</v>
      </c>
      <c r="AI105" t="n">
        <v>11</v>
      </c>
      <c r="AN105" t="inlineStr">
        <is>
          <t>WARREN</t>
        </is>
      </c>
      <c r="AO105" t="inlineStr">
        <is>
          <t>WARREN CITY 4A</t>
        </is>
      </c>
      <c r="AP105" t="inlineStr">
        <is>
          <t>78-P-ADI</t>
        </is>
      </c>
      <c r="AQ105" t="n">
        <v>9</v>
      </c>
      <c r="AR105" t="n">
        <v>64</v>
      </c>
      <c r="AS105" t="n">
        <v>32</v>
      </c>
      <c r="AU105">
        <f>COUNTA($BA$105:$EH$105)</f>
        <v/>
      </c>
      <c r="AV105">
        <f>COUNTIF($BA$105:$EH$105,"D")</f>
        <v/>
      </c>
      <c r="AW105">
        <f>COUNTIF($BA$105:$EH$105,"R")</f>
        <v/>
      </c>
      <c r="AX105">
        <f>IF(BN105="D",1,0)+IF(BO105="D",1,0)+IF(BT105="D",1,0)+IF(BU105="D",1,0)+IF(BW105="D",1,0)+IF(CC105="D",1,0)+IF(CD105="D",1,0)+IF(CE105="D",1,0)+IF(CF105="D",1,0)+IF(CL105="D",1,0)+IF(CM105="D",1,0)+IF(CQ105="D",1,0)+IF(CR105="D",1,0)+IF(CS105="D",1,0)+IF(CW105="D",1,0)+IF(CX105="D",1,0)+IF(DD105="D",1,0)+IF(DE105="D",1,0)+IF(DJ105="D",1,0)+IF(DK105="D",1,0)+IF(DO105="D",1,0)+IF(DP105="D",1,0)+IF(DQ105="D",1,0)+IF(DW105="D",1,0)+IF(DZ105="D",1,0)+IF(EH105="D",1,0)</f>
        <v/>
      </c>
      <c r="AY105">
        <f>IF(DJ105&lt;&gt;"",1,0)+IF(DK105&lt;&gt;"",1,0)+IF(DM105&lt;&gt;"",1,0)+IF(DO105&lt;&gt;"",1,0)+IF(DP105&lt;&gt;"",1,0)+IF(DQ105&lt;&gt;"",1,0)+IF(DS105&lt;&gt;"",1,0)+IF(DT105&lt;&gt;"",1,0)+IF(DV105&lt;&gt;"",1,0)+IF(DW105&lt;&gt;"",1,0)+IF(DX105&lt;&gt;"",1,0)+IF(DY105&lt;&gt;"",1,0)+IF(DZ105&lt;&gt;"",1,0)+IF(EB105&lt;&gt;"",1,0)+IF(EC105&lt;&gt;"",1,0)+IF(ED105&lt;&gt;"",1,0)+IF(EG105&lt;&gt;"",1,0)+IF(EH105&lt;&gt;"",1,0)</f>
        <v/>
      </c>
      <c r="AZ105">
        <f>IF(EH105&lt;&gt;"",1,0)</f>
        <v/>
      </c>
      <c r="BB105" t="inlineStr">
        <is>
          <t>WARREN-WARD 4</t>
        </is>
      </c>
      <c r="DC105" t="inlineStr">
        <is>
          <t>X</t>
        </is>
      </c>
    </row>
    <row r="106">
      <c r="A106" t="inlineStr">
        <is>
          <t>OH0027207618</t>
        </is>
      </c>
      <c r="B106" t="n">
        <v>78</v>
      </c>
      <c r="C106" t="n">
        <v>478641</v>
      </c>
      <c r="D106" t="inlineStr">
        <is>
          <t>COLEMAN</t>
        </is>
      </c>
      <c r="E106" t="inlineStr">
        <is>
          <t>JAQUAN</t>
        </is>
      </c>
      <c r="F106">
        <f>CONCATENATE(D106," ",LEFT(H106,4),"T=",AU106,"D=",AV106,"R=",AW106,"M=",AX106,"L=",AY106,"B=",AZ106)</f>
        <v/>
      </c>
      <c r="G106" t="inlineStr">
        <is>
          <t>MARELL</t>
        </is>
      </c>
      <c r="H106" t="inlineStr">
        <is>
          <t>JR</t>
        </is>
      </c>
      <c r="I106" t="inlineStr">
        <is>
          <t>2005-12-29</t>
        </is>
      </c>
      <c r="J106" t="inlineStr">
        <is>
          <t>2023-12-29</t>
        </is>
      </c>
      <c r="K106" t="inlineStr">
        <is>
          <t>ACTIVE</t>
        </is>
      </c>
      <c r="M106" t="inlineStr">
        <is>
          <t>233 HOMEWOOD AVE SE</t>
        </is>
      </c>
      <c r="N106">
        <f>RIGHT(M106,LEN(M106)-FIND(" ",M106))</f>
        <v/>
      </c>
      <c r="P106" t="inlineStr">
        <is>
          <t>WARREN</t>
        </is>
      </c>
      <c r="Q106" t="inlineStr">
        <is>
          <t>OH</t>
        </is>
      </c>
      <c r="R106" t="n">
        <v>44483</v>
      </c>
      <c r="AD106" t="inlineStr">
        <is>
          <t>TRUMBULL CAREER &amp; TECH CENTER</t>
        </is>
      </c>
      <c r="AE106" t="inlineStr">
        <is>
          <t>WARREN CITY</t>
        </is>
      </c>
      <c r="AF106" t="inlineStr">
        <is>
          <t>WARREN CITY SD</t>
        </is>
      </c>
      <c r="AH106" t="n">
        <v>14</v>
      </c>
      <c r="AI106" t="n">
        <v>11</v>
      </c>
      <c r="AN106" t="inlineStr">
        <is>
          <t>WARREN</t>
        </is>
      </c>
      <c r="AO106" t="inlineStr">
        <is>
          <t>WARREN CITY 4A</t>
        </is>
      </c>
      <c r="AP106" t="inlineStr">
        <is>
          <t>78-P-ADI</t>
        </is>
      </c>
      <c r="AQ106" t="n">
        <v>9</v>
      </c>
      <c r="AR106" t="n">
        <v>64</v>
      </c>
      <c r="AS106" t="n">
        <v>32</v>
      </c>
      <c r="AU106">
        <f>COUNTA($BA$106:$EH$106)</f>
        <v/>
      </c>
      <c r="AV106">
        <f>COUNTIF($BA$106:$EH$106,"D")</f>
        <v/>
      </c>
      <c r="AW106">
        <f>COUNTIF($BA$106:$EH$106,"R")</f>
        <v/>
      </c>
      <c r="AX106">
        <f>IF(BN106="D",1,0)+IF(BO106="D",1,0)+IF(BT106="D",1,0)+IF(BU106="D",1,0)+IF(BW106="D",1,0)+IF(CC106="D",1,0)+IF(CD106="D",1,0)+IF(CE106="D",1,0)+IF(CF106="D",1,0)+IF(CL106="D",1,0)+IF(CM106="D",1,0)+IF(CQ106="D",1,0)+IF(CR106="D",1,0)+IF(CS106="D",1,0)+IF(CW106="D",1,0)+IF(CX106="D",1,0)+IF(DD106="D",1,0)+IF(DE106="D",1,0)+IF(DJ106="D",1,0)+IF(DK106="D",1,0)+IF(DO106="D",1,0)+IF(DP106="D",1,0)+IF(DQ106="D",1,0)+IF(DW106="D",1,0)+IF(DZ106="D",1,0)+IF(EH106="D",1,0)</f>
        <v/>
      </c>
      <c r="AY106">
        <f>IF(DJ106&lt;&gt;"",1,0)+IF(DK106&lt;&gt;"",1,0)+IF(DM106&lt;&gt;"",1,0)+IF(DO106&lt;&gt;"",1,0)+IF(DP106&lt;&gt;"",1,0)+IF(DQ106&lt;&gt;"",1,0)+IF(DS106&lt;&gt;"",1,0)+IF(DT106&lt;&gt;"",1,0)+IF(DV106&lt;&gt;"",1,0)+IF(DW106&lt;&gt;"",1,0)+IF(DX106&lt;&gt;"",1,0)+IF(DY106&lt;&gt;"",1,0)+IF(DZ106&lt;&gt;"",1,0)+IF(EB106&lt;&gt;"",1,0)+IF(EC106&lt;&gt;"",1,0)+IF(ED106&lt;&gt;"",1,0)+IF(EG106&lt;&gt;"",1,0)+IF(EH106&lt;&gt;"",1,0)</f>
        <v/>
      </c>
      <c r="AZ106">
        <f>IF(EH106&lt;&gt;"",1,0)</f>
        <v/>
      </c>
      <c r="BB106" t="inlineStr">
        <is>
          <t>WARREN-WARD 4</t>
        </is>
      </c>
    </row>
    <row r="107">
      <c r="A107" t="inlineStr">
        <is>
          <t>OH0026216794</t>
        </is>
      </c>
      <c r="B107" t="n">
        <v>78</v>
      </c>
      <c r="C107" t="n">
        <v>458505</v>
      </c>
      <c r="D107" t="inlineStr">
        <is>
          <t>RICHARDS</t>
        </is>
      </c>
      <c r="E107" t="inlineStr">
        <is>
          <t>ETHAN</t>
        </is>
      </c>
      <c r="F107">
        <f>CONCATENATE(D107," ",LEFT(H107,4),"T=",AU107,"D=",AV107,"R=",AW107,"M=",AX107,"L=",AY107,"B=",AZ107)</f>
        <v/>
      </c>
      <c r="G107" t="inlineStr">
        <is>
          <t>MICHAEL</t>
        </is>
      </c>
      <c r="I107" t="inlineStr">
        <is>
          <t>2001-08-29</t>
        </is>
      </c>
      <c r="J107" t="inlineStr">
        <is>
          <t>2021-01-27</t>
        </is>
      </c>
      <c r="K107" t="inlineStr">
        <is>
          <t>CONFIRMATION</t>
        </is>
      </c>
      <c r="M107" t="inlineStr">
        <is>
          <t>428 BONNIE BRAE AVE SE</t>
        </is>
      </c>
      <c r="N107">
        <f>RIGHT(M107,LEN(M107)-FIND(" ",M107))</f>
        <v/>
      </c>
      <c r="P107" t="inlineStr">
        <is>
          <t>WARREN</t>
        </is>
      </c>
      <c r="Q107" t="inlineStr">
        <is>
          <t>OH</t>
        </is>
      </c>
      <c r="R107" t="n">
        <v>44484</v>
      </c>
      <c r="AD107" t="inlineStr">
        <is>
          <t>TRUMBULL CAREER &amp; TECH CENTER</t>
        </is>
      </c>
      <c r="AE107" t="inlineStr">
        <is>
          <t>WARREN CITY</t>
        </is>
      </c>
      <c r="AF107" t="inlineStr">
        <is>
          <t>WARREN CITY SD</t>
        </is>
      </c>
      <c r="AH107" t="n">
        <v>14</v>
      </c>
      <c r="AI107" t="n">
        <v>11</v>
      </c>
      <c r="AN107" t="inlineStr">
        <is>
          <t>WARREN</t>
        </is>
      </c>
      <c r="AO107" t="inlineStr">
        <is>
          <t>WARREN CITY 4A</t>
        </is>
      </c>
      <c r="AP107" t="inlineStr">
        <is>
          <t>78-P-ADI</t>
        </is>
      </c>
      <c r="AQ107" t="n">
        <v>9</v>
      </c>
      <c r="AR107" t="n">
        <v>64</v>
      </c>
      <c r="AS107" t="n">
        <v>32</v>
      </c>
      <c r="AU107">
        <f>COUNTA($BA$107:$EH$107)</f>
        <v/>
      </c>
      <c r="AV107">
        <f>COUNTIF($BA$107:$EH$107,"D")</f>
        <v/>
      </c>
      <c r="AW107">
        <f>COUNTIF($BA$107:$EH$107,"R")</f>
        <v/>
      </c>
      <c r="AX107">
        <f>IF(BN107="D",1,0)+IF(BO107="D",1,0)+IF(BT107="D",1,0)+IF(BU107="D",1,0)+IF(BW107="D",1,0)+IF(CC107="D",1,0)+IF(CD107="D",1,0)+IF(CE107="D",1,0)+IF(CF107="D",1,0)+IF(CL107="D",1,0)+IF(CM107="D",1,0)+IF(CQ107="D",1,0)+IF(CR107="D",1,0)+IF(CS107="D",1,0)+IF(CW107="D",1,0)+IF(CX107="D",1,0)+IF(DD107="D",1,0)+IF(DE107="D",1,0)+IF(DJ107="D",1,0)+IF(DK107="D",1,0)+IF(DO107="D",1,0)+IF(DP107="D",1,0)+IF(DQ107="D",1,0)+IF(DW107="D",1,0)+IF(DZ107="D",1,0)+IF(EH107="D",1,0)</f>
        <v/>
      </c>
      <c r="AY107">
        <f>IF(DJ107&lt;&gt;"",1,0)+IF(DK107&lt;&gt;"",1,0)+IF(DM107&lt;&gt;"",1,0)+IF(DO107&lt;&gt;"",1,0)+IF(DP107&lt;&gt;"",1,0)+IF(DQ107&lt;&gt;"",1,0)+IF(DS107&lt;&gt;"",1,0)+IF(DT107&lt;&gt;"",1,0)+IF(DV107&lt;&gt;"",1,0)+IF(DW107&lt;&gt;"",1,0)+IF(DX107&lt;&gt;"",1,0)+IF(DY107&lt;&gt;"",1,0)+IF(DZ107&lt;&gt;"",1,0)+IF(EB107&lt;&gt;"",1,0)+IF(EC107&lt;&gt;"",1,0)+IF(ED107&lt;&gt;"",1,0)+IF(EG107&lt;&gt;"",1,0)+IF(EH107&lt;&gt;"",1,0)</f>
        <v/>
      </c>
      <c r="AZ107">
        <f>IF(EH107&lt;&gt;"",1,0)</f>
        <v/>
      </c>
      <c r="BB107" t="inlineStr">
        <is>
          <t>WARREN-WARD 4</t>
        </is>
      </c>
    </row>
    <row r="108">
      <c r="A108" t="inlineStr">
        <is>
          <t>OH0024568233</t>
        </is>
      </c>
      <c r="B108" t="n">
        <v>78</v>
      </c>
      <c r="C108" t="n">
        <v>430654</v>
      </c>
      <c r="D108" t="inlineStr">
        <is>
          <t>THOMAS</t>
        </is>
      </c>
      <c r="E108" t="inlineStr">
        <is>
          <t>KASHAAD</t>
        </is>
      </c>
      <c r="F108">
        <f>CONCATENATE(D108," ",LEFT(H108,4),"T=",AU108,"D=",AV108,"R=",AW108,"M=",AX108,"L=",AY108,"B=",AZ108)</f>
        <v/>
      </c>
      <c r="G108" t="inlineStr">
        <is>
          <t>M</t>
        </is>
      </c>
      <c r="I108" t="inlineStr">
        <is>
          <t>2000-06-02</t>
        </is>
      </c>
      <c r="J108" t="inlineStr">
        <is>
          <t>2018-03-28</t>
        </is>
      </c>
      <c r="K108" t="inlineStr">
        <is>
          <t>CONFIRMATION</t>
        </is>
      </c>
      <c r="M108" t="inlineStr">
        <is>
          <t>306 IDDINGS AVE SE</t>
        </is>
      </c>
      <c r="N108">
        <f>RIGHT(M108,LEN(M108)-FIND(" ",M108))</f>
        <v/>
      </c>
      <c r="P108" t="inlineStr">
        <is>
          <t>WARREN</t>
        </is>
      </c>
      <c r="Q108" t="inlineStr">
        <is>
          <t>OH</t>
        </is>
      </c>
      <c r="R108" t="n">
        <v>44483</v>
      </c>
      <c r="AD108" t="inlineStr">
        <is>
          <t>TRUMBULL CAREER &amp; TECH CENTER</t>
        </is>
      </c>
      <c r="AE108" t="inlineStr">
        <is>
          <t>WARREN CITY</t>
        </is>
      </c>
      <c r="AF108" t="inlineStr">
        <is>
          <t>WARREN CITY SD</t>
        </is>
      </c>
      <c r="AH108" t="n">
        <v>14</v>
      </c>
      <c r="AI108" t="n">
        <v>11</v>
      </c>
      <c r="AN108" t="inlineStr">
        <is>
          <t>WARREN</t>
        </is>
      </c>
      <c r="AO108" t="inlineStr">
        <is>
          <t>WARREN CITY 4A</t>
        </is>
      </c>
      <c r="AP108" t="inlineStr">
        <is>
          <t>78-P-ADI</t>
        </is>
      </c>
      <c r="AQ108" t="n">
        <v>9</v>
      </c>
      <c r="AR108" t="n">
        <v>64</v>
      </c>
      <c r="AS108" t="n">
        <v>32</v>
      </c>
      <c r="AU108">
        <f>COUNTA($BA$108:$EH$108)</f>
        <v/>
      </c>
      <c r="AV108">
        <f>COUNTIF($BA$108:$EH$108,"D")</f>
        <v/>
      </c>
      <c r="AW108">
        <f>COUNTIF($BA$108:$EH$108,"R")</f>
        <v/>
      </c>
      <c r="AX108">
        <f>IF(BN108="D",1,0)+IF(BO108="D",1,0)+IF(BT108="D",1,0)+IF(BU108="D",1,0)+IF(BW108="D",1,0)+IF(CC108="D",1,0)+IF(CD108="D",1,0)+IF(CE108="D",1,0)+IF(CF108="D",1,0)+IF(CL108="D",1,0)+IF(CM108="D",1,0)+IF(CQ108="D",1,0)+IF(CR108="D",1,0)+IF(CS108="D",1,0)+IF(CW108="D",1,0)+IF(CX108="D",1,0)+IF(DD108="D",1,0)+IF(DE108="D",1,0)+IF(DJ108="D",1,0)+IF(DK108="D",1,0)+IF(DO108="D",1,0)+IF(DP108="D",1,0)+IF(DQ108="D",1,0)+IF(DW108="D",1,0)+IF(DZ108="D",1,0)+IF(EH108="D",1,0)</f>
        <v/>
      </c>
      <c r="AY108">
        <f>IF(DJ108&lt;&gt;"",1,0)+IF(DK108&lt;&gt;"",1,0)+IF(DM108&lt;&gt;"",1,0)+IF(DO108&lt;&gt;"",1,0)+IF(DP108&lt;&gt;"",1,0)+IF(DQ108&lt;&gt;"",1,0)+IF(DS108&lt;&gt;"",1,0)+IF(DT108&lt;&gt;"",1,0)+IF(DV108&lt;&gt;"",1,0)+IF(DW108&lt;&gt;"",1,0)+IF(DX108&lt;&gt;"",1,0)+IF(DY108&lt;&gt;"",1,0)+IF(DZ108&lt;&gt;"",1,0)+IF(EB108&lt;&gt;"",1,0)+IF(EC108&lt;&gt;"",1,0)+IF(ED108&lt;&gt;"",1,0)+IF(EG108&lt;&gt;"",1,0)+IF(EH108&lt;&gt;"",1,0)</f>
        <v/>
      </c>
      <c r="AZ108">
        <f>IF(EH108&lt;&gt;"",1,0)</f>
        <v/>
      </c>
      <c r="BB108" t="inlineStr">
        <is>
          <t>WARREN-WARD 4</t>
        </is>
      </c>
    </row>
    <row r="109">
      <c r="A109" t="inlineStr">
        <is>
          <t>OH0027364146</t>
        </is>
      </c>
      <c r="B109" t="n">
        <v>78</v>
      </c>
      <c r="C109" t="n">
        <v>485151</v>
      </c>
      <c r="D109" t="inlineStr">
        <is>
          <t>KING</t>
        </is>
      </c>
      <c r="E109" t="inlineStr">
        <is>
          <t>CHRISTOPHER</t>
        </is>
      </c>
      <c r="F109">
        <f>CONCATENATE(D109," ",LEFT(H109,4),"T=",AU109,"D=",AV109,"R=",AW109,"M=",AX109,"L=",AY109,"B=",AZ109)</f>
        <v/>
      </c>
      <c r="G109" t="inlineStr">
        <is>
          <t>MICHAEL</t>
        </is>
      </c>
      <c r="I109" t="inlineStr">
        <is>
          <t>1982-07-22</t>
        </is>
      </c>
      <c r="J109" t="inlineStr">
        <is>
          <t>2024-05-31</t>
        </is>
      </c>
      <c r="K109" t="inlineStr">
        <is>
          <t>ACTIVE</t>
        </is>
      </c>
      <c r="M109" t="inlineStr">
        <is>
          <t>556 WOODBINE AVE SE</t>
        </is>
      </c>
      <c r="N109">
        <f>RIGHT(M109,LEN(M109)-FIND(" ",M109))</f>
        <v/>
      </c>
      <c r="P109" t="inlineStr">
        <is>
          <t>WARREN</t>
        </is>
      </c>
      <c r="Q109" t="inlineStr">
        <is>
          <t>OH</t>
        </is>
      </c>
      <c r="R109" t="n">
        <v>44483</v>
      </c>
      <c r="AD109" t="inlineStr">
        <is>
          <t>TRUMBULL CAREER &amp; TECH CENTER</t>
        </is>
      </c>
      <c r="AE109" t="inlineStr">
        <is>
          <t>WARREN CITY</t>
        </is>
      </c>
      <c r="AF109" t="inlineStr">
        <is>
          <t>WARREN CITY SD</t>
        </is>
      </c>
      <c r="AH109" t="n">
        <v>14</v>
      </c>
      <c r="AI109" t="n">
        <v>11</v>
      </c>
      <c r="AN109" t="inlineStr">
        <is>
          <t>WARREN</t>
        </is>
      </c>
      <c r="AO109" t="inlineStr">
        <is>
          <t>WARREN CITY 4A</t>
        </is>
      </c>
      <c r="AP109" t="inlineStr">
        <is>
          <t>78-P-ADI</t>
        </is>
      </c>
      <c r="AQ109" t="n">
        <v>9</v>
      </c>
      <c r="AR109" t="n">
        <v>64</v>
      </c>
      <c r="AS109" t="n">
        <v>32</v>
      </c>
      <c r="AU109">
        <f>COUNTA($BA$109:$EH$109)</f>
        <v/>
      </c>
      <c r="AV109">
        <f>COUNTIF($BA$109:$EH$109,"D")</f>
        <v/>
      </c>
      <c r="AW109">
        <f>COUNTIF($BA$109:$EH$109,"R")</f>
        <v/>
      </c>
      <c r="AX109">
        <f>IF(BN109="D",1,0)+IF(BO109="D",1,0)+IF(BT109="D",1,0)+IF(BU109="D",1,0)+IF(BW109="D",1,0)+IF(CC109="D",1,0)+IF(CD109="D",1,0)+IF(CE109="D",1,0)+IF(CF109="D",1,0)+IF(CL109="D",1,0)+IF(CM109="D",1,0)+IF(CQ109="D",1,0)+IF(CR109="D",1,0)+IF(CS109="D",1,0)+IF(CW109="D",1,0)+IF(CX109="D",1,0)+IF(DD109="D",1,0)+IF(DE109="D",1,0)+IF(DJ109="D",1,0)+IF(DK109="D",1,0)+IF(DO109="D",1,0)+IF(DP109="D",1,0)+IF(DQ109="D",1,0)+IF(DW109="D",1,0)+IF(DZ109="D",1,0)+IF(EH109="D",1,0)</f>
        <v/>
      </c>
      <c r="AY109">
        <f>IF(DJ109&lt;&gt;"",1,0)+IF(DK109&lt;&gt;"",1,0)+IF(DM109&lt;&gt;"",1,0)+IF(DO109&lt;&gt;"",1,0)+IF(DP109&lt;&gt;"",1,0)+IF(DQ109&lt;&gt;"",1,0)+IF(DS109&lt;&gt;"",1,0)+IF(DT109&lt;&gt;"",1,0)+IF(DV109&lt;&gt;"",1,0)+IF(DW109&lt;&gt;"",1,0)+IF(DX109&lt;&gt;"",1,0)+IF(DY109&lt;&gt;"",1,0)+IF(DZ109&lt;&gt;"",1,0)+IF(EB109&lt;&gt;"",1,0)+IF(EC109&lt;&gt;"",1,0)+IF(ED109&lt;&gt;"",1,0)+IF(EG109&lt;&gt;"",1,0)+IF(EH109&lt;&gt;"",1,0)</f>
        <v/>
      </c>
      <c r="AZ109">
        <f>IF(EH109&lt;&gt;"",1,0)</f>
        <v/>
      </c>
      <c r="BB109" t="inlineStr">
        <is>
          <t>WARREN-WARD 4</t>
        </is>
      </c>
      <c r="BD109" t="inlineStr">
        <is>
          <t>X</t>
        </is>
      </c>
      <c r="BE109" t="inlineStr">
        <is>
          <t>X</t>
        </is>
      </c>
      <c r="BF109" t="inlineStr">
        <is>
          <t>X</t>
        </is>
      </c>
      <c r="BH109" t="inlineStr">
        <is>
          <t>X</t>
        </is>
      </c>
      <c r="BL109" t="inlineStr">
        <is>
          <t>X</t>
        </is>
      </c>
      <c r="BP109" t="inlineStr">
        <is>
          <t>X</t>
        </is>
      </c>
      <c r="BV109" t="inlineStr">
        <is>
          <t>X</t>
        </is>
      </c>
      <c r="BY109" t="inlineStr">
        <is>
          <t>D</t>
        </is>
      </c>
      <c r="CA109" t="inlineStr">
        <is>
          <t>X</t>
        </is>
      </c>
      <c r="CK109" t="inlineStr">
        <is>
          <t>X</t>
        </is>
      </c>
      <c r="CN109" t="inlineStr">
        <is>
          <t>X</t>
        </is>
      </c>
      <c r="CO109" t="inlineStr">
        <is>
          <t>D</t>
        </is>
      </c>
      <c r="CP109" t="inlineStr">
        <is>
          <t>X</t>
        </is>
      </c>
      <c r="CV109" t="inlineStr">
        <is>
          <t>X</t>
        </is>
      </c>
      <c r="CZ109" t="inlineStr">
        <is>
          <t>D</t>
        </is>
      </c>
      <c r="DC109" t="inlineStr">
        <is>
          <t>X</t>
        </is>
      </c>
      <c r="DI109" t="inlineStr">
        <is>
          <t>X</t>
        </is>
      </c>
      <c r="DN109" t="inlineStr">
        <is>
          <t>X</t>
        </is>
      </c>
      <c r="EF109" t="inlineStr">
        <is>
          <t>X</t>
        </is>
      </c>
    </row>
    <row r="110">
      <c r="A110" t="inlineStr">
        <is>
          <t>OH0026624026</t>
        </is>
      </c>
      <c r="B110" t="n">
        <v>78</v>
      </c>
      <c r="C110" t="n">
        <v>465188</v>
      </c>
      <c r="D110" t="inlineStr">
        <is>
          <t>LEWIS</t>
        </is>
      </c>
      <c r="E110" t="inlineStr">
        <is>
          <t>TARONDA</t>
        </is>
      </c>
      <c r="F110">
        <f>CONCATENATE(D110," ",LEFT(H110,4),"T=",AU110,"D=",AV110,"R=",AW110,"M=",AX110,"L=",AY110,"B=",AZ110)</f>
        <v/>
      </c>
      <c r="G110" t="inlineStr">
        <is>
          <t>R</t>
        </is>
      </c>
      <c r="I110" t="inlineStr">
        <is>
          <t>1978-07-25</t>
        </is>
      </c>
      <c r="J110" t="inlineStr">
        <is>
          <t>2024-09-30</t>
        </is>
      </c>
      <c r="K110" t="inlineStr">
        <is>
          <t>ACTIVE</t>
        </is>
      </c>
      <c r="M110" t="inlineStr">
        <is>
          <t>233 KENILWORTH AVE SE</t>
        </is>
      </c>
      <c r="N110">
        <f>RIGHT(M110,LEN(M110)-FIND(" ",M110))</f>
        <v/>
      </c>
      <c r="P110" t="inlineStr">
        <is>
          <t>WARREN</t>
        </is>
      </c>
      <c r="Q110" t="inlineStr">
        <is>
          <t>OH</t>
        </is>
      </c>
      <c r="R110" t="n">
        <v>44483</v>
      </c>
      <c r="AD110" t="inlineStr">
        <is>
          <t>TRUMBULL CAREER &amp; TECH CENTER</t>
        </is>
      </c>
      <c r="AE110" t="inlineStr">
        <is>
          <t>WARREN CITY</t>
        </is>
      </c>
      <c r="AF110" t="inlineStr">
        <is>
          <t>WARREN CITY SD</t>
        </is>
      </c>
      <c r="AH110" t="n">
        <v>14</v>
      </c>
      <c r="AI110" t="n">
        <v>11</v>
      </c>
      <c r="AN110" t="inlineStr">
        <is>
          <t>WARREN</t>
        </is>
      </c>
      <c r="AO110" t="inlineStr">
        <is>
          <t>WARREN CITY 4A</t>
        </is>
      </c>
      <c r="AP110" t="inlineStr">
        <is>
          <t>78-P-ADI</t>
        </is>
      </c>
      <c r="AQ110" t="n">
        <v>9</v>
      </c>
      <c r="AR110" t="n">
        <v>64</v>
      </c>
      <c r="AS110" t="n">
        <v>32</v>
      </c>
      <c r="AU110">
        <f>COUNTA($BA$110:$EH$110)</f>
        <v/>
      </c>
      <c r="AV110">
        <f>COUNTIF($BA$110:$EH$110,"D")</f>
        <v/>
      </c>
      <c r="AW110">
        <f>COUNTIF($BA$110:$EH$110,"R")</f>
        <v/>
      </c>
      <c r="AX110">
        <f>IF(BN110="D",1,0)+IF(BO110="D",1,0)+IF(BT110="D",1,0)+IF(BU110="D",1,0)+IF(BW110="D",1,0)+IF(CC110="D",1,0)+IF(CD110="D",1,0)+IF(CE110="D",1,0)+IF(CF110="D",1,0)+IF(CL110="D",1,0)+IF(CM110="D",1,0)+IF(CQ110="D",1,0)+IF(CR110="D",1,0)+IF(CS110="D",1,0)+IF(CW110="D",1,0)+IF(CX110="D",1,0)+IF(DD110="D",1,0)+IF(DE110="D",1,0)+IF(DJ110="D",1,0)+IF(DK110="D",1,0)+IF(DO110="D",1,0)+IF(DP110="D",1,0)+IF(DQ110="D",1,0)+IF(DW110="D",1,0)+IF(DZ110="D",1,0)+IF(EH110="D",1,0)</f>
        <v/>
      </c>
      <c r="AY110">
        <f>IF(DJ110&lt;&gt;"",1,0)+IF(DK110&lt;&gt;"",1,0)+IF(DM110&lt;&gt;"",1,0)+IF(DO110&lt;&gt;"",1,0)+IF(DP110&lt;&gt;"",1,0)+IF(DQ110&lt;&gt;"",1,0)+IF(DS110&lt;&gt;"",1,0)+IF(DT110&lt;&gt;"",1,0)+IF(DV110&lt;&gt;"",1,0)+IF(DW110&lt;&gt;"",1,0)+IF(DX110&lt;&gt;"",1,0)+IF(DY110&lt;&gt;"",1,0)+IF(DZ110&lt;&gt;"",1,0)+IF(EB110&lt;&gt;"",1,0)+IF(EC110&lt;&gt;"",1,0)+IF(ED110&lt;&gt;"",1,0)+IF(EG110&lt;&gt;"",1,0)+IF(EH110&lt;&gt;"",1,0)</f>
        <v/>
      </c>
      <c r="AZ110">
        <f>IF(EH110&lt;&gt;"",1,0)</f>
        <v/>
      </c>
      <c r="BB110" t="inlineStr">
        <is>
          <t>WARREN-WARD 4</t>
        </is>
      </c>
      <c r="BF110" t="inlineStr">
        <is>
          <t>X</t>
        </is>
      </c>
      <c r="BL110" t="inlineStr">
        <is>
          <t>X</t>
        </is>
      </c>
      <c r="BY110" t="inlineStr">
        <is>
          <t>D</t>
        </is>
      </c>
      <c r="CA110" t="inlineStr">
        <is>
          <t>X</t>
        </is>
      </c>
      <c r="CN110" t="inlineStr">
        <is>
          <t>X</t>
        </is>
      </c>
      <c r="CP110" t="inlineStr">
        <is>
          <t>X</t>
        </is>
      </c>
      <c r="CZ110" t="inlineStr">
        <is>
          <t>D</t>
        </is>
      </c>
      <c r="DC110" t="inlineStr">
        <is>
          <t>X</t>
        </is>
      </c>
      <c r="DI110" t="inlineStr">
        <is>
          <t>X</t>
        </is>
      </c>
      <c r="EF110" t="inlineStr">
        <is>
          <t>X</t>
        </is>
      </c>
    </row>
    <row r="111">
      <c r="A111" t="inlineStr">
        <is>
          <t>OH0025949711</t>
        </is>
      </c>
      <c r="B111" t="n">
        <v>78</v>
      </c>
      <c r="C111" t="n">
        <v>453198</v>
      </c>
      <c r="D111" t="inlineStr">
        <is>
          <t>NOLAN</t>
        </is>
      </c>
      <c r="E111" t="inlineStr">
        <is>
          <t>EDWARD</t>
        </is>
      </c>
      <c r="F111">
        <f>CONCATENATE(D111," ",LEFT(H111,4),"T=",AU111,"D=",AV111,"R=",AW111,"M=",AX111,"L=",AY111,"B=",AZ111)</f>
        <v/>
      </c>
      <c r="I111" t="inlineStr">
        <is>
          <t>1964-12-06</t>
        </is>
      </c>
      <c r="J111" t="inlineStr">
        <is>
          <t>2023-07-09</t>
        </is>
      </c>
      <c r="K111" t="inlineStr">
        <is>
          <t>ACTIVE</t>
        </is>
      </c>
      <c r="M111" t="inlineStr">
        <is>
          <t>206 ADELAIDE AVE SE</t>
        </is>
      </c>
      <c r="N111">
        <f>RIGHT(M111,LEN(M111)-FIND(" ",M111))</f>
        <v/>
      </c>
      <c r="P111" t="inlineStr">
        <is>
          <t>WARREN</t>
        </is>
      </c>
      <c r="Q111" t="inlineStr">
        <is>
          <t>OH</t>
        </is>
      </c>
      <c r="R111" t="n">
        <v>44483</v>
      </c>
      <c r="AD111" t="inlineStr">
        <is>
          <t>TRUMBULL CAREER &amp; TECH CENTER</t>
        </is>
      </c>
      <c r="AE111" t="inlineStr">
        <is>
          <t>WARREN CITY</t>
        </is>
      </c>
      <c r="AF111" t="inlineStr">
        <is>
          <t>WARREN CITY SD</t>
        </is>
      </c>
      <c r="AH111" t="n">
        <v>14</v>
      </c>
      <c r="AI111" t="n">
        <v>11</v>
      </c>
      <c r="AN111" t="inlineStr">
        <is>
          <t>WARREN</t>
        </is>
      </c>
      <c r="AO111" t="inlineStr">
        <is>
          <t>WARREN CITY 4A</t>
        </is>
      </c>
      <c r="AP111" t="inlineStr">
        <is>
          <t>78-P-ADI</t>
        </is>
      </c>
      <c r="AQ111" t="n">
        <v>9</v>
      </c>
      <c r="AR111" t="n">
        <v>64</v>
      </c>
      <c r="AS111" t="n">
        <v>32</v>
      </c>
      <c r="AU111">
        <f>COUNTA($BA$111:$EH$111)</f>
        <v/>
      </c>
      <c r="AV111">
        <f>COUNTIF($BA$111:$EH$111,"D")</f>
        <v/>
      </c>
      <c r="AW111">
        <f>COUNTIF($BA$111:$EH$111,"R")</f>
        <v/>
      </c>
      <c r="AX111">
        <f>IF(BN111="D",1,0)+IF(BO111="D",1,0)+IF(BT111="D",1,0)+IF(BU111="D",1,0)+IF(BW111="D",1,0)+IF(CC111="D",1,0)+IF(CD111="D",1,0)+IF(CE111="D",1,0)+IF(CF111="D",1,0)+IF(CL111="D",1,0)+IF(CM111="D",1,0)+IF(CQ111="D",1,0)+IF(CR111="D",1,0)+IF(CS111="D",1,0)+IF(CW111="D",1,0)+IF(CX111="D",1,0)+IF(DD111="D",1,0)+IF(DE111="D",1,0)+IF(DJ111="D",1,0)+IF(DK111="D",1,0)+IF(DO111="D",1,0)+IF(DP111="D",1,0)+IF(DQ111="D",1,0)+IF(DW111="D",1,0)+IF(DZ111="D",1,0)+IF(EH111="D",1,0)</f>
        <v/>
      </c>
      <c r="AY111">
        <f>IF(DJ111&lt;&gt;"",1,0)+IF(DK111&lt;&gt;"",1,0)+IF(DM111&lt;&gt;"",1,0)+IF(DO111&lt;&gt;"",1,0)+IF(DP111&lt;&gt;"",1,0)+IF(DQ111&lt;&gt;"",1,0)+IF(DS111&lt;&gt;"",1,0)+IF(DT111&lt;&gt;"",1,0)+IF(DV111&lt;&gt;"",1,0)+IF(DW111&lt;&gt;"",1,0)+IF(DX111&lt;&gt;"",1,0)+IF(DY111&lt;&gt;"",1,0)+IF(DZ111&lt;&gt;"",1,0)+IF(EB111&lt;&gt;"",1,0)+IF(EC111&lt;&gt;"",1,0)+IF(ED111&lt;&gt;"",1,0)+IF(EG111&lt;&gt;"",1,0)+IF(EH111&lt;&gt;"",1,0)</f>
        <v/>
      </c>
      <c r="AZ111">
        <f>IF(EH111&lt;&gt;"",1,0)</f>
        <v/>
      </c>
      <c r="BB111" t="inlineStr">
        <is>
          <t>WARREN-WARD 4</t>
        </is>
      </c>
      <c r="BD111" t="inlineStr">
        <is>
          <t>X</t>
        </is>
      </c>
      <c r="BS111" t="inlineStr">
        <is>
          <t>X</t>
        </is>
      </c>
      <c r="CA111" t="inlineStr">
        <is>
          <t>X</t>
        </is>
      </c>
      <c r="DN111" t="inlineStr">
        <is>
          <t>X</t>
        </is>
      </c>
      <c r="DX111" t="inlineStr">
        <is>
          <t>X</t>
        </is>
      </c>
      <c r="EA111" t="inlineStr">
        <is>
          <t>X</t>
        </is>
      </c>
    </row>
    <row r="112">
      <c r="A112" t="inlineStr">
        <is>
          <t>OH0024206014</t>
        </is>
      </c>
      <c r="B112" t="n">
        <v>78</v>
      </c>
      <c r="C112" t="n">
        <v>423958</v>
      </c>
      <c r="D112" t="inlineStr">
        <is>
          <t>PEARSON</t>
        </is>
      </c>
      <c r="E112" t="inlineStr">
        <is>
          <t>ANDREW</t>
        </is>
      </c>
      <c r="F112">
        <f>CONCATENATE(D112," ",LEFT(H112,4),"T=",AU112,"D=",AV112,"R=",AW112,"M=",AX112,"L=",AY112,"B=",AZ112)</f>
        <v/>
      </c>
      <c r="G112" t="inlineStr">
        <is>
          <t>MICHAEL</t>
        </is>
      </c>
      <c r="I112" t="inlineStr">
        <is>
          <t>1987-03-03</t>
        </is>
      </c>
      <c r="J112" t="inlineStr">
        <is>
          <t>2018-04-02</t>
        </is>
      </c>
      <c r="K112" t="inlineStr">
        <is>
          <t>ACTIVE</t>
        </is>
      </c>
      <c r="M112" t="inlineStr">
        <is>
          <t>437 BONNIE BRAE AVE SE</t>
        </is>
      </c>
      <c r="N112">
        <f>RIGHT(M112,LEN(M112)-FIND(" ",M112))</f>
        <v/>
      </c>
      <c r="P112" t="inlineStr">
        <is>
          <t>WARREN</t>
        </is>
      </c>
      <c r="Q112" t="inlineStr">
        <is>
          <t>OH</t>
        </is>
      </c>
      <c r="R112" t="n">
        <v>44484</v>
      </c>
      <c r="AD112" t="inlineStr">
        <is>
          <t>TRUMBULL CAREER &amp; TECH CENTER</t>
        </is>
      </c>
      <c r="AE112" t="inlineStr">
        <is>
          <t>WARREN CITY</t>
        </is>
      </c>
      <c r="AF112" t="inlineStr">
        <is>
          <t>WARREN CITY SD</t>
        </is>
      </c>
      <c r="AH112" t="n">
        <v>14</v>
      </c>
      <c r="AI112" t="n">
        <v>11</v>
      </c>
      <c r="AN112" t="inlineStr">
        <is>
          <t>WARREN</t>
        </is>
      </c>
      <c r="AO112" t="inlineStr">
        <is>
          <t>WARREN CITY 4A</t>
        </is>
      </c>
      <c r="AP112" t="inlineStr">
        <is>
          <t>78-P-ADI</t>
        </is>
      </c>
      <c r="AQ112" t="n">
        <v>9</v>
      </c>
      <c r="AR112" t="n">
        <v>64</v>
      </c>
      <c r="AS112" t="n">
        <v>32</v>
      </c>
      <c r="AU112">
        <f>COUNTA($BA$112:$EH$112)</f>
        <v/>
      </c>
      <c r="AV112">
        <f>COUNTIF($BA$112:$EH$112,"D")</f>
        <v/>
      </c>
      <c r="AW112">
        <f>COUNTIF($BA$112:$EH$112,"R")</f>
        <v/>
      </c>
      <c r="AX112">
        <f>IF(BN112="D",1,0)+IF(BO112="D",1,0)+IF(BT112="D",1,0)+IF(BU112="D",1,0)+IF(BW112="D",1,0)+IF(CC112="D",1,0)+IF(CD112="D",1,0)+IF(CE112="D",1,0)+IF(CF112="D",1,0)+IF(CL112="D",1,0)+IF(CM112="D",1,0)+IF(CQ112="D",1,0)+IF(CR112="D",1,0)+IF(CS112="D",1,0)+IF(CW112="D",1,0)+IF(CX112="D",1,0)+IF(DD112="D",1,0)+IF(DE112="D",1,0)+IF(DJ112="D",1,0)+IF(DK112="D",1,0)+IF(DO112="D",1,0)+IF(DP112="D",1,0)+IF(DQ112="D",1,0)+IF(DW112="D",1,0)+IF(DZ112="D",1,0)+IF(EH112="D",1,0)</f>
        <v/>
      </c>
      <c r="AY112">
        <f>IF(DJ112&lt;&gt;"",1,0)+IF(DK112&lt;&gt;"",1,0)+IF(DM112&lt;&gt;"",1,0)+IF(DO112&lt;&gt;"",1,0)+IF(DP112&lt;&gt;"",1,0)+IF(DQ112&lt;&gt;"",1,0)+IF(DS112&lt;&gt;"",1,0)+IF(DT112&lt;&gt;"",1,0)+IF(DV112&lt;&gt;"",1,0)+IF(DW112&lt;&gt;"",1,0)+IF(DX112&lt;&gt;"",1,0)+IF(DY112&lt;&gt;"",1,0)+IF(DZ112&lt;&gt;"",1,0)+IF(EB112&lt;&gt;"",1,0)+IF(EC112&lt;&gt;"",1,0)+IF(ED112&lt;&gt;"",1,0)+IF(EG112&lt;&gt;"",1,0)+IF(EH112&lt;&gt;"",1,0)</f>
        <v/>
      </c>
      <c r="AZ112">
        <f>IF(EH112&lt;&gt;"",1,0)</f>
        <v/>
      </c>
      <c r="BB112" t="inlineStr">
        <is>
          <t>WARREN-WARD 4</t>
        </is>
      </c>
      <c r="DI112" t="inlineStr">
        <is>
          <t>X</t>
        </is>
      </c>
      <c r="DL112" t="inlineStr">
        <is>
          <t>X</t>
        </is>
      </c>
      <c r="DM112" t="inlineStr">
        <is>
          <t>D</t>
        </is>
      </c>
      <c r="DN112" t="inlineStr">
        <is>
          <t>X</t>
        </is>
      </c>
      <c r="DU112" t="inlineStr">
        <is>
          <t>X</t>
        </is>
      </c>
      <c r="DX112" t="inlineStr">
        <is>
          <t>X</t>
        </is>
      </c>
      <c r="EA112" t="inlineStr">
        <is>
          <t>X</t>
        </is>
      </c>
      <c r="EF112" t="inlineStr">
        <is>
          <t>X</t>
        </is>
      </c>
    </row>
    <row r="113">
      <c r="A113" t="inlineStr">
        <is>
          <t>OH0015693170</t>
        </is>
      </c>
      <c r="B113" t="n">
        <v>78</v>
      </c>
      <c r="C113" t="n">
        <v>142856</v>
      </c>
      <c r="D113" t="inlineStr">
        <is>
          <t>LIAKARIS</t>
        </is>
      </c>
      <c r="E113" t="inlineStr">
        <is>
          <t>AMELIA</t>
        </is>
      </c>
      <c r="F113">
        <f>CONCATENATE(D113," ",LEFT(H113,4),"T=",AU113,"D=",AV113,"R=",AW113,"M=",AX113,"L=",AY113,"B=",AZ113)</f>
        <v/>
      </c>
      <c r="I113" t="inlineStr">
        <is>
          <t>1957-10-15</t>
        </is>
      </c>
      <c r="J113" t="inlineStr">
        <is>
          <t>2006-11-27</t>
        </is>
      </c>
      <c r="K113" t="inlineStr">
        <is>
          <t>CONFIRMATION</t>
        </is>
      </c>
      <c r="M113" t="inlineStr">
        <is>
          <t>185 WOODBINE AVE SE</t>
        </is>
      </c>
      <c r="N113">
        <f>RIGHT(M113,LEN(M113)-FIND(" ",M113))</f>
        <v/>
      </c>
      <c r="P113" t="inlineStr">
        <is>
          <t>WARREN</t>
        </is>
      </c>
      <c r="Q113" t="inlineStr">
        <is>
          <t>OH</t>
        </is>
      </c>
      <c r="R113" t="n">
        <v>44483</v>
      </c>
      <c r="AD113" t="inlineStr">
        <is>
          <t>TRUMBULL CAREER &amp; TECH CENTER</t>
        </is>
      </c>
      <c r="AE113" t="inlineStr">
        <is>
          <t>WARREN CITY</t>
        </is>
      </c>
      <c r="AF113" t="inlineStr">
        <is>
          <t>WARREN CITY SD</t>
        </is>
      </c>
      <c r="AH113" t="n">
        <v>14</v>
      </c>
      <c r="AI113" t="n">
        <v>11</v>
      </c>
      <c r="AN113" t="inlineStr">
        <is>
          <t>WARREN</t>
        </is>
      </c>
      <c r="AO113" t="inlineStr">
        <is>
          <t>WARREN CITY 4A</t>
        </is>
      </c>
      <c r="AP113" t="inlineStr">
        <is>
          <t>78-P-ADI</t>
        </is>
      </c>
      <c r="AQ113" t="n">
        <v>9</v>
      </c>
      <c r="AR113" t="n">
        <v>64</v>
      </c>
      <c r="AS113" t="n">
        <v>32</v>
      </c>
      <c r="AU113">
        <f>COUNTA($BA$113:$EH$113)</f>
        <v/>
      </c>
      <c r="AV113">
        <f>COUNTIF($BA$113:$EH$113,"D")</f>
        <v/>
      </c>
      <c r="AW113">
        <f>COUNTIF($BA$113:$EH$113,"R")</f>
        <v/>
      </c>
      <c r="AX113">
        <f>IF(BN113="D",1,0)+IF(BO113="D",1,0)+IF(BT113="D",1,0)+IF(BU113="D",1,0)+IF(BW113="D",1,0)+IF(CC113="D",1,0)+IF(CD113="D",1,0)+IF(CE113="D",1,0)+IF(CF113="D",1,0)+IF(CL113="D",1,0)+IF(CM113="D",1,0)+IF(CQ113="D",1,0)+IF(CR113="D",1,0)+IF(CS113="D",1,0)+IF(CW113="D",1,0)+IF(CX113="D",1,0)+IF(DD113="D",1,0)+IF(DE113="D",1,0)+IF(DJ113="D",1,0)+IF(DK113="D",1,0)+IF(DO113="D",1,0)+IF(DP113="D",1,0)+IF(DQ113="D",1,0)+IF(DW113="D",1,0)+IF(DZ113="D",1,0)+IF(EH113="D",1,0)</f>
        <v/>
      </c>
      <c r="AY113">
        <f>IF(DJ113&lt;&gt;"",1,0)+IF(DK113&lt;&gt;"",1,0)+IF(DM113&lt;&gt;"",1,0)+IF(DO113&lt;&gt;"",1,0)+IF(DP113&lt;&gt;"",1,0)+IF(DQ113&lt;&gt;"",1,0)+IF(DS113&lt;&gt;"",1,0)+IF(DT113&lt;&gt;"",1,0)+IF(DV113&lt;&gt;"",1,0)+IF(DW113&lt;&gt;"",1,0)+IF(DX113&lt;&gt;"",1,0)+IF(DY113&lt;&gt;"",1,0)+IF(DZ113&lt;&gt;"",1,0)+IF(EB113&lt;&gt;"",1,0)+IF(EC113&lt;&gt;"",1,0)+IF(ED113&lt;&gt;"",1,0)+IF(EG113&lt;&gt;"",1,0)+IF(EH113&lt;&gt;"",1,0)</f>
        <v/>
      </c>
      <c r="AZ113">
        <f>IF(EH113&lt;&gt;"",1,0)</f>
        <v/>
      </c>
      <c r="BB113" t="inlineStr">
        <is>
          <t>WARREN-WARD 4</t>
        </is>
      </c>
      <c r="BD113" t="inlineStr">
        <is>
          <t>X</t>
        </is>
      </c>
      <c r="BY113" t="inlineStr">
        <is>
          <t>D</t>
        </is>
      </c>
      <c r="CA113" t="inlineStr">
        <is>
          <t>X</t>
        </is>
      </c>
      <c r="CN113" t="inlineStr">
        <is>
          <t>X</t>
        </is>
      </c>
      <c r="CP113" t="inlineStr">
        <is>
          <t>X</t>
        </is>
      </c>
      <c r="CV113" t="inlineStr">
        <is>
          <t>X</t>
        </is>
      </c>
      <c r="CW113" t="inlineStr">
        <is>
          <t>D</t>
        </is>
      </c>
      <c r="CY113" t="inlineStr">
        <is>
          <t>X</t>
        </is>
      </c>
      <c r="CZ113" t="inlineStr">
        <is>
          <t>D</t>
        </is>
      </c>
      <c r="DC113" t="inlineStr">
        <is>
          <t>X</t>
        </is>
      </c>
      <c r="DF113" t="inlineStr">
        <is>
          <t>X</t>
        </is>
      </c>
      <c r="DG113" t="inlineStr">
        <is>
          <t>D</t>
        </is>
      </c>
      <c r="DI113" t="inlineStr">
        <is>
          <t>X</t>
        </is>
      </c>
      <c r="DN113" t="inlineStr">
        <is>
          <t>X</t>
        </is>
      </c>
    </row>
    <row r="114">
      <c r="A114" t="inlineStr">
        <is>
          <t>OH0015757004</t>
        </is>
      </c>
      <c r="B114" t="n">
        <v>78</v>
      </c>
      <c r="C114" t="n">
        <v>243891</v>
      </c>
      <c r="D114" t="inlineStr">
        <is>
          <t>BLACKWELL</t>
        </is>
      </c>
      <c r="E114" t="inlineStr">
        <is>
          <t>CARLA</t>
        </is>
      </c>
      <c r="F114">
        <f>CONCATENATE(D114," ",LEFT(H114,4),"T=",AU114,"D=",AV114,"R=",AW114,"M=",AX114,"L=",AY114,"B=",AZ114)</f>
        <v/>
      </c>
      <c r="I114" t="inlineStr">
        <is>
          <t>1974-10-10</t>
        </is>
      </c>
      <c r="J114" t="inlineStr">
        <is>
          <t>2008-12-01</t>
        </is>
      </c>
      <c r="K114" t="inlineStr">
        <is>
          <t>CONFIRMATION</t>
        </is>
      </c>
      <c r="M114" t="inlineStr">
        <is>
          <t>306 WOODBINE AVE SE</t>
        </is>
      </c>
      <c r="N114">
        <f>RIGHT(M114,LEN(M114)-FIND(" ",M114))</f>
        <v/>
      </c>
      <c r="P114" t="inlineStr">
        <is>
          <t>WARREN</t>
        </is>
      </c>
      <c r="Q114" t="inlineStr">
        <is>
          <t>OH</t>
        </is>
      </c>
      <c r="R114" t="n">
        <v>44483</v>
      </c>
      <c r="AD114" t="inlineStr">
        <is>
          <t>TRUMBULL CAREER &amp; TECH CENTER</t>
        </is>
      </c>
      <c r="AE114" t="inlineStr">
        <is>
          <t>WARREN CITY</t>
        </is>
      </c>
      <c r="AF114" t="inlineStr">
        <is>
          <t>WARREN CITY SD</t>
        </is>
      </c>
      <c r="AH114" t="n">
        <v>14</v>
      </c>
      <c r="AI114" t="n">
        <v>11</v>
      </c>
      <c r="AN114" t="inlineStr">
        <is>
          <t>WARREN</t>
        </is>
      </c>
      <c r="AO114" t="inlineStr">
        <is>
          <t>WARREN CITY 4A</t>
        </is>
      </c>
      <c r="AP114" t="inlineStr">
        <is>
          <t>78-P-ADI</t>
        </is>
      </c>
      <c r="AQ114" t="n">
        <v>9</v>
      </c>
      <c r="AR114" t="n">
        <v>64</v>
      </c>
      <c r="AS114" t="n">
        <v>32</v>
      </c>
      <c r="AU114">
        <f>COUNTA($BA$114:$EH$114)</f>
        <v/>
      </c>
      <c r="AV114">
        <f>COUNTIF($BA$114:$EH$114,"D")</f>
        <v/>
      </c>
      <c r="AW114">
        <f>COUNTIF($BA$114:$EH$114,"R")</f>
        <v/>
      </c>
      <c r="AX114">
        <f>IF(BN114="D",1,0)+IF(BO114="D",1,0)+IF(BT114="D",1,0)+IF(BU114="D",1,0)+IF(BW114="D",1,0)+IF(CC114="D",1,0)+IF(CD114="D",1,0)+IF(CE114="D",1,0)+IF(CF114="D",1,0)+IF(CL114="D",1,0)+IF(CM114="D",1,0)+IF(CQ114="D",1,0)+IF(CR114="D",1,0)+IF(CS114="D",1,0)+IF(CW114="D",1,0)+IF(CX114="D",1,0)+IF(DD114="D",1,0)+IF(DE114="D",1,0)+IF(DJ114="D",1,0)+IF(DK114="D",1,0)+IF(DO114="D",1,0)+IF(DP114="D",1,0)+IF(DQ114="D",1,0)+IF(DW114="D",1,0)+IF(DZ114="D",1,0)+IF(EH114="D",1,0)</f>
        <v/>
      </c>
      <c r="AY114">
        <f>IF(DJ114&lt;&gt;"",1,0)+IF(DK114&lt;&gt;"",1,0)+IF(DM114&lt;&gt;"",1,0)+IF(DO114&lt;&gt;"",1,0)+IF(DP114&lt;&gt;"",1,0)+IF(DQ114&lt;&gt;"",1,0)+IF(DS114&lt;&gt;"",1,0)+IF(DT114&lt;&gt;"",1,0)+IF(DV114&lt;&gt;"",1,0)+IF(DW114&lt;&gt;"",1,0)+IF(DX114&lt;&gt;"",1,0)+IF(DY114&lt;&gt;"",1,0)+IF(DZ114&lt;&gt;"",1,0)+IF(EB114&lt;&gt;"",1,0)+IF(EC114&lt;&gt;"",1,0)+IF(ED114&lt;&gt;"",1,0)+IF(EG114&lt;&gt;"",1,0)+IF(EH114&lt;&gt;"",1,0)</f>
        <v/>
      </c>
      <c r="AZ114">
        <f>IF(EH114&lt;&gt;"",1,0)</f>
        <v/>
      </c>
      <c r="BB114" t="inlineStr">
        <is>
          <t>WARREN-WARD 4</t>
        </is>
      </c>
      <c r="BD114" t="inlineStr">
        <is>
          <t>X</t>
        </is>
      </c>
      <c r="BH114" t="inlineStr">
        <is>
          <t>X</t>
        </is>
      </c>
      <c r="BJ114" t="inlineStr">
        <is>
          <t>X</t>
        </is>
      </c>
      <c r="BL114" t="inlineStr">
        <is>
          <t>X</t>
        </is>
      </c>
      <c r="BS114" t="inlineStr">
        <is>
          <t>X</t>
        </is>
      </c>
      <c r="CA114" t="inlineStr">
        <is>
          <t>X</t>
        </is>
      </c>
      <c r="CP114" t="inlineStr">
        <is>
          <t>X</t>
        </is>
      </c>
      <c r="CQ114" t="inlineStr">
        <is>
          <t>D</t>
        </is>
      </c>
      <c r="DC114" t="inlineStr">
        <is>
          <t>X</t>
        </is>
      </c>
      <c r="DF114" t="inlineStr">
        <is>
          <t>X</t>
        </is>
      </c>
      <c r="DI114" t="inlineStr">
        <is>
          <t>X</t>
        </is>
      </c>
      <c r="DN114" t="inlineStr">
        <is>
          <t>X</t>
        </is>
      </c>
    </row>
    <row r="115">
      <c r="A115" t="inlineStr">
        <is>
          <t>OH0015820351</t>
        </is>
      </c>
      <c r="B115" t="n">
        <v>78</v>
      </c>
      <c r="C115" t="n">
        <v>301519</v>
      </c>
      <c r="D115" t="inlineStr">
        <is>
          <t>SCOTT</t>
        </is>
      </c>
      <c r="E115" t="inlineStr">
        <is>
          <t>BRANDON</t>
        </is>
      </c>
      <c r="F115">
        <f>CONCATENATE(D115," ",LEFT(H115,4),"T=",AU115,"D=",AV115,"R=",AW115,"M=",AX115,"L=",AY115,"B=",AZ115)</f>
        <v/>
      </c>
      <c r="I115" t="inlineStr">
        <is>
          <t>1982-12-23</t>
        </is>
      </c>
      <c r="J115" t="inlineStr">
        <is>
          <t>2012-11-21</t>
        </is>
      </c>
      <c r="K115" t="inlineStr">
        <is>
          <t>CONFIRMATION</t>
        </is>
      </c>
      <c r="M115" t="inlineStr">
        <is>
          <t>477 KENILWORTH AVE SE</t>
        </is>
      </c>
      <c r="N115">
        <f>RIGHT(M115,LEN(M115)-FIND(" ",M115))</f>
        <v/>
      </c>
      <c r="P115" t="inlineStr">
        <is>
          <t>WARREN</t>
        </is>
      </c>
      <c r="Q115" t="inlineStr">
        <is>
          <t>OH</t>
        </is>
      </c>
      <c r="R115" t="n">
        <v>44483</v>
      </c>
      <c r="AD115" t="inlineStr">
        <is>
          <t>TRUMBULL CAREER &amp; TECH CENTER</t>
        </is>
      </c>
      <c r="AE115" t="inlineStr">
        <is>
          <t>WARREN CITY</t>
        </is>
      </c>
      <c r="AF115" t="inlineStr">
        <is>
          <t>WARREN CITY SD</t>
        </is>
      </c>
      <c r="AH115" t="n">
        <v>14</v>
      </c>
      <c r="AI115" t="n">
        <v>11</v>
      </c>
      <c r="AN115" t="inlineStr">
        <is>
          <t>WARREN</t>
        </is>
      </c>
      <c r="AO115" t="inlineStr">
        <is>
          <t>WARREN CITY 4A</t>
        </is>
      </c>
      <c r="AP115" t="inlineStr">
        <is>
          <t>78-P-ADI</t>
        </is>
      </c>
      <c r="AQ115" t="n">
        <v>9</v>
      </c>
      <c r="AR115" t="n">
        <v>64</v>
      </c>
      <c r="AS115" t="n">
        <v>32</v>
      </c>
      <c r="AU115">
        <f>COUNTA($BA$115:$EH$115)</f>
        <v/>
      </c>
      <c r="AV115">
        <f>COUNTIF($BA$115:$EH$115,"D")</f>
        <v/>
      </c>
      <c r="AW115">
        <f>COUNTIF($BA$115:$EH$115,"R")</f>
        <v/>
      </c>
      <c r="AX115">
        <f>IF(BN115="D",1,0)+IF(BO115="D",1,0)+IF(BT115="D",1,0)+IF(BU115="D",1,0)+IF(BW115="D",1,0)+IF(CC115="D",1,0)+IF(CD115="D",1,0)+IF(CE115="D",1,0)+IF(CF115="D",1,0)+IF(CL115="D",1,0)+IF(CM115="D",1,0)+IF(CQ115="D",1,0)+IF(CR115="D",1,0)+IF(CS115="D",1,0)+IF(CW115="D",1,0)+IF(CX115="D",1,0)+IF(DD115="D",1,0)+IF(DE115="D",1,0)+IF(DJ115="D",1,0)+IF(DK115="D",1,0)+IF(DO115="D",1,0)+IF(DP115="D",1,0)+IF(DQ115="D",1,0)+IF(DW115="D",1,0)+IF(DZ115="D",1,0)+IF(EH115="D",1,0)</f>
        <v/>
      </c>
      <c r="AY115">
        <f>IF(DJ115&lt;&gt;"",1,0)+IF(DK115&lt;&gt;"",1,0)+IF(DM115&lt;&gt;"",1,0)+IF(DO115&lt;&gt;"",1,0)+IF(DP115&lt;&gt;"",1,0)+IF(DQ115&lt;&gt;"",1,0)+IF(DS115&lt;&gt;"",1,0)+IF(DT115&lt;&gt;"",1,0)+IF(DV115&lt;&gt;"",1,0)+IF(DW115&lt;&gt;"",1,0)+IF(DX115&lt;&gt;"",1,0)+IF(DY115&lt;&gt;"",1,0)+IF(DZ115&lt;&gt;"",1,0)+IF(EB115&lt;&gt;"",1,0)+IF(EC115&lt;&gt;"",1,0)+IF(ED115&lt;&gt;"",1,0)+IF(EG115&lt;&gt;"",1,0)+IF(EH115&lt;&gt;"",1,0)</f>
        <v/>
      </c>
      <c r="AZ115">
        <f>IF(EH115&lt;&gt;"",1,0)</f>
        <v/>
      </c>
      <c r="BB115" t="inlineStr">
        <is>
          <t>WARREN-WARD 4</t>
        </is>
      </c>
      <c r="BL115" t="inlineStr">
        <is>
          <t>X</t>
        </is>
      </c>
      <c r="BY115" t="inlineStr">
        <is>
          <t>D</t>
        </is>
      </c>
      <c r="CA115" t="inlineStr">
        <is>
          <t>X</t>
        </is>
      </c>
      <c r="CP115" t="inlineStr">
        <is>
          <t>X</t>
        </is>
      </c>
      <c r="CY115" t="inlineStr">
        <is>
          <t>X</t>
        </is>
      </c>
      <c r="DC115" t="inlineStr">
        <is>
          <t>X</t>
        </is>
      </c>
      <c r="DJ115" t="inlineStr">
        <is>
          <t>D</t>
        </is>
      </c>
      <c r="DN115" t="inlineStr">
        <is>
          <t>X</t>
        </is>
      </c>
    </row>
    <row r="116">
      <c r="A116" t="inlineStr">
        <is>
          <t>OH0026154328</t>
        </is>
      </c>
      <c r="B116" t="n">
        <v>78</v>
      </c>
      <c r="C116" t="n">
        <v>444517</v>
      </c>
      <c r="D116" t="inlineStr">
        <is>
          <t>CURRENCE</t>
        </is>
      </c>
      <c r="E116" t="inlineStr">
        <is>
          <t>MYA</t>
        </is>
      </c>
      <c r="F116">
        <f>CONCATENATE(D116," ",LEFT(H116,4),"T=",AU116,"D=",AV116,"R=",AW116,"M=",AX116,"L=",AY116,"B=",AZ116)</f>
        <v/>
      </c>
      <c r="G116" t="inlineStr">
        <is>
          <t>R</t>
        </is>
      </c>
      <c r="I116" t="inlineStr">
        <is>
          <t>2002-11-01</t>
        </is>
      </c>
      <c r="J116" t="inlineStr">
        <is>
          <t>2024-04-20</t>
        </is>
      </c>
      <c r="K116" t="inlineStr">
        <is>
          <t>ACTIVE</t>
        </is>
      </c>
      <c r="M116" t="inlineStr">
        <is>
          <t>395 HOMEWOOD AVE SE</t>
        </is>
      </c>
      <c r="N116">
        <f>RIGHT(M116,LEN(M116)-FIND(" ",M116))</f>
        <v/>
      </c>
      <c r="P116" t="inlineStr">
        <is>
          <t>WARREN</t>
        </is>
      </c>
      <c r="Q116" t="inlineStr">
        <is>
          <t>OH</t>
        </is>
      </c>
      <c r="R116" t="n">
        <v>44483</v>
      </c>
      <c r="AD116" t="inlineStr">
        <is>
          <t>TRUMBULL CAREER &amp; TECH CENTER</t>
        </is>
      </c>
      <c r="AE116" t="inlineStr">
        <is>
          <t>WARREN CITY</t>
        </is>
      </c>
      <c r="AF116" t="inlineStr">
        <is>
          <t>WARREN CITY SD</t>
        </is>
      </c>
      <c r="AH116" t="n">
        <v>14</v>
      </c>
      <c r="AI116" t="n">
        <v>11</v>
      </c>
      <c r="AN116" t="inlineStr">
        <is>
          <t>WARREN</t>
        </is>
      </c>
      <c r="AO116" t="inlineStr">
        <is>
          <t>WARREN CITY 4A</t>
        </is>
      </c>
      <c r="AP116" t="inlineStr">
        <is>
          <t>78-P-ADI</t>
        </is>
      </c>
      <c r="AQ116" t="n">
        <v>9</v>
      </c>
      <c r="AR116" t="n">
        <v>64</v>
      </c>
      <c r="AS116" t="n">
        <v>32</v>
      </c>
      <c r="AU116">
        <f>COUNTA($BA$116:$EH$116)</f>
        <v/>
      </c>
      <c r="AV116">
        <f>COUNTIF($BA$116:$EH$116,"D")</f>
        <v/>
      </c>
      <c r="AW116">
        <f>COUNTIF($BA$116:$EH$116,"R")</f>
        <v/>
      </c>
      <c r="AX116">
        <f>IF(BN116="D",1,0)+IF(BO116="D",1,0)+IF(BT116="D",1,0)+IF(BU116="D",1,0)+IF(BW116="D",1,0)+IF(CC116="D",1,0)+IF(CD116="D",1,0)+IF(CE116="D",1,0)+IF(CF116="D",1,0)+IF(CL116="D",1,0)+IF(CM116="D",1,0)+IF(CQ116="D",1,0)+IF(CR116="D",1,0)+IF(CS116="D",1,0)+IF(CW116="D",1,0)+IF(CX116="D",1,0)+IF(DD116="D",1,0)+IF(DE116="D",1,0)+IF(DJ116="D",1,0)+IF(DK116="D",1,0)+IF(DO116="D",1,0)+IF(DP116="D",1,0)+IF(DQ116="D",1,0)+IF(DW116="D",1,0)+IF(DZ116="D",1,0)+IF(EH116="D",1,0)</f>
        <v/>
      </c>
      <c r="AY116">
        <f>IF(DJ116&lt;&gt;"",1,0)+IF(DK116&lt;&gt;"",1,0)+IF(DM116&lt;&gt;"",1,0)+IF(DO116&lt;&gt;"",1,0)+IF(DP116&lt;&gt;"",1,0)+IF(DQ116&lt;&gt;"",1,0)+IF(DS116&lt;&gt;"",1,0)+IF(DT116&lt;&gt;"",1,0)+IF(DV116&lt;&gt;"",1,0)+IF(DW116&lt;&gt;"",1,0)+IF(DX116&lt;&gt;"",1,0)+IF(DY116&lt;&gt;"",1,0)+IF(DZ116&lt;&gt;"",1,0)+IF(EB116&lt;&gt;"",1,0)+IF(EC116&lt;&gt;"",1,0)+IF(ED116&lt;&gt;"",1,0)+IF(EG116&lt;&gt;"",1,0)+IF(EH116&lt;&gt;"",1,0)</f>
        <v/>
      </c>
      <c r="AZ116">
        <f>IF(EH116&lt;&gt;"",1,0)</f>
        <v/>
      </c>
      <c r="BB116" t="inlineStr">
        <is>
          <t>WARREN-WARD 4</t>
        </is>
      </c>
      <c r="DN116" t="inlineStr">
        <is>
          <t>X</t>
        </is>
      </c>
      <c r="EF116" t="inlineStr">
        <is>
          <t>X</t>
        </is>
      </c>
    </row>
    <row r="117">
      <c r="A117" t="inlineStr">
        <is>
          <t>OH0015718228</t>
        </is>
      </c>
      <c r="B117" t="n">
        <v>78</v>
      </c>
      <c r="C117" t="n">
        <v>196104</v>
      </c>
      <c r="D117" t="inlineStr">
        <is>
          <t>BARTOLOMUCCI</t>
        </is>
      </c>
      <c r="E117" t="inlineStr">
        <is>
          <t>SHARON</t>
        </is>
      </c>
      <c r="F117">
        <f>CONCATENATE(D117," ",LEFT(H117,4),"T=",AU117,"D=",AV117,"R=",AW117,"M=",AX117,"L=",AY117,"B=",AZ117)</f>
        <v/>
      </c>
      <c r="I117" t="inlineStr">
        <is>
          <t>1955-05-30</t>
        </is>
      </c>
      <c r="J117" t="inlineStr">
        <is>
          <t>1987-04-03</t>
        </is>
      </c>
      <c r="K117" t="inlineStr">
        <is>
          <t>CONFIRMATION</t>
        </is>
      </c>
      <c r="M117" t="inlineStr">
        <is>
          <t>547 WOODBINE AVE SE</t>
        </is>
      </c>
      <c r="N117">
        <f>RIGHT(M117,LEN(M117)-FIND(" ",M117))</f>
        <v/>
      </c>
      <c r="P117" t="inlineStr">
        <is>
          <t>WARREN</t>
        </is>
      </c>
      <c r="Q117" t="inlineStr">
        <is>
          <t>OH</t>
        </is>
      </c>
      <c r="R117" t="n">
        <v>44483</v>
      </c>
      <c r="AD117" t="inlineStr">
        <is>
          <t>TRUMBULL CAREER &amp; TECH CENTER</t>
        </is>
      </c>
      <c r="AE117" t="inlineStr">
        <is>
          <t>WARREN CITY</t>
        </is>
      </c>
      <c r="AF117" t="inlineStr">
        <is>
          <t>WARREN CITY SD</t>
        </is>
      </c>
      <c r="AH117" t="n">
        <v>14</v>
      </c>
      <c r="AI117" t="n">
        <v>11</v>
      </c>
      <c r="AN117" t="inlineStr">
        <is>
          <t>WARREN</t>
        </is>
      </c>
      <c r="AO117" t="inlineStr">
        <is>
          <t>WARREN CITY 4A</t>
        </is>
      </c>
      <c r="AP117" t="inlineStr">
        <is>
          <t>78-P-ADI</t>
        </is>
      </c>
      <c r="AQ117" t="n">
        <v>9</v>
      </c>
      <c r="AR117" t="n">
        <v>64</v>
      </c>
      <c r="AS117" t="n">
        <v>32</v>
      </c>
      <c r="AU117">
        <f>COUNTA($BA$117:$EH$117)</f>
        <v/>
      </c>
      <c r="AV117">
        <f>COUNTIF($BA$117:$EH$117,"D")</f>
        <v/>
      </c>
      <c r="AW117">
        <f>COUNTIF($BA$117:$EH$117,"R")</f>
        <v/>
      </c>
      <c r="AX117">
        <f>IF(BN117="D",1,0)+IF(BO117="D",1,0)+IF(BT117="D",1,0)+IF(BU117="D",1,0)+IF(BW117="D",1,0)+IF(CC117="D",1,0)+IF(CD117="D",1,0)+IF(CE117="D",1,0)+IF(CF117="D",1,0)+IF(CL117="D",1,0)+IF(CM117="D",1,0)+IF(CQ117="D",1,0)+IF(CR117="D",1,0)+IF(CS117="D",1,0)+IF(CW117="D",1,0)+IF(CX117="D",1,0)+IF(DD117="D",1,0)+IF(DE117="D",1,0)+IF(DJ117="D",1,0)+IF(DK117="D",1,0)+IF(DO117="D",1,0)+IF(DP117="D",1,0)+IF(DQ117="D",1,0)+IF(DW117="D",1,0)+IF(DZ117="D",1,0)+IF(EH117="D",1,0)</f>
        <v/>
      </c>
      <c r="AY117">
        <f>IF(DJ117&lt;&gt;"",1,0)+IF(DK117&lt;&gt;"",1,0)+IF(DM117&lt;&gt;"",1,0)+IF(DO117&lt;&gt;"",1,0)+IF(DP117&lt;&gt;"",1,0)+IF(DQ117&lt;&gt;"",1,0)+IF(DS117&lt;&gt;"",1,0)+IF(DT117&lt;&gt;"",1,0)+IF(DV117&lt;&gt;"",1,0)+IF(DW117&lt;&gt;"",1,0)+IF(DX117&lt;&gt;"",1,0)+IF(DY117&lt;&gt;"",1,0)+IF(DZ117&lt;&gt;"",1,0)+IF(EB117&lt;&gt;"",1,0)+IF(EC117&lt;&gt;"",1,0)+IF(ED117&lt;&gt;"",1,0)+IF(EG117&lt;&gt;"",1,0)+IF(EH117&lt;&gt;"",1,0)</f>
        <v/>
      </c>
      <c r="AZ117">
        <f>IF(EH117&lt;&gt;"",1,0)</f>
        <v/>
      </c>
      <c r="BB117" t="inlineStr">
        <is>
          <t>WARREN-WARD 4</t>
        </is>
      </c>
      <c r="BC117" t="inlineStr">
        <is>
          <t>X</t>
        </is>
      </c>
      <c r="BD117" t="inlineStr">
        <is>
          <t>X</t>
        </is>
      </c>
      <c r="BJ117" t="inlineStr">
        <is>
          <t>X</t>
        </is>
      </c>
      <c r="BL117" t="inlineStr">
        <is>
          <t>X</t>
        </is>
      </c>
      <c r="BS117" t="inlineStr">
        <is>
          <t>X</t>
        </is>
      </c>
      <c r="BV117" t="inlineStr">
        <is>
          <t>X</t>
        </is>
      </c>
      <c r="CO117" t="inlineStr">
        <is>
          <t>X</t>
        </is>
      </c>
      <c r="CV117" t="inlineStr">
        <is>
          <t>X</t>
        </is>
      </c>
      <c r="DC117" t="inlineStr">
        <is>
          <t>X</t>
        </is>
      </c>
    </row>
    <row r="118">
      <c r="A118" t="inlineStr">
        <is>
          <t>OH0015730621</t>
        </is>
      </c>
      <c r="B118" t="n">
        <v>78</v>
      </c>
      <c r="C118" t="n">
        <v>218301</v>
      </c>
      <c r="D118" t="inlineStr">
        <is>
          <t>MCDOWELL</t>
        </is>
      </c>
      <c r="E118" t="inlineStr">
        <is>
          <t>ALEX</t>
        </is>
      </c>
      <c r="F118">
        <f>CONCATENATE(D118," ",LEFT(H118,4),"T=",AU118,"D=",AV118,"R=",AW118,"M=",AX118,"L=",AY118,"B=",AZ118)</f>
        <v/>
      </c>
      <c r="I118" t="inlineStr">
        <is>
          <t>1957-04-12</t>
        </is>
      </c>
      <c r="J118" t="inlineStr">
        <is>
          <t>2014-10-09</t>
        </is>
      </c>
      <c r="K118" t="inlineStr">
        <is>
          <t>CONFIRMATION</t>
        </is>
      </c>
      <c r="M118" t="inlineStr">
        <is>
          <t>628 WOODBINE AVE SE</t>
        </is>
      </c>
      <c r="N118">
        <f>RIGHT(M118,LEN(M118)-FIND(" ",M118))</f>
        <v/>
      </c>
      <c r="P118" t="inlineStr">
        <is>
          <t>WARREN</t>
        </is>
      </c>
      <c r="Q118" t="inlineStr">
        <is>
          <t>OH</t>
        </is>
      </c>
      <c r="R118" t="n">
        <v>44483</v>
      </c>
      <c r="AD118" t="inlineStr">
        <is>
          <t>TRUMBULL CAREER &amp; TECH CENTER</t>
        </is>
      </c>
      <c r="AE118" t="inlineStr">
        <is>
          <t>WARREN CITY</t>
        </is>
      </c>
      <c r="AF118" t="inlineStr">
        <is>
          <t>WARREN CITY SD</t>
        </is>
      </c>
      <c r="AH118" t="n">
        <v>14</v>
      </c>
      <c r="AI118" t="n">
        <v>11</v>
      </c>
      <c r="AN118" t="inlineStr">
        <is>
          <t>WARREN</t>
        </is>
      </c>
      <c r="AO118" t="inlineStr">
        <is>
          <t>WARREN CITY 4A</t>
        </is>
      </c>
      <c r="AP118" t="inlineStr">
        <is>
          <t>78-P-ADI</t>
        </is>
      </c>
      <c r="AQ118" t="n">
        <v>9</v>
      </c>
      <c r="AR118" t="n">
        <v>64</v>
      </c>
      <c r="AS118" t="n">
        <v>32</v>
      </c>
      <c r="AU118">
        <f>COUNTA($BA$118:$EH$118)</f>
        <v/>
      </c>
      <c r="AV118">
        <f>COUNTIF($BA$118:$EH$118,"D")</f>
        <v/>
      </c>
      <c r="AW118">
        <f>COUNTIF($BA$118:$EH$118,"R")</f>
        <v/>
      </c>
      <c r="AX118">
        <f>IF(BN118="D",1,0)+IF(BO118="D",1,0)+IF(BT118="D",1,0)+IF(BU118="D",1,0)+IF(BW118="D",1,0)+IF(CC118="D",1,0)+IF(CD118="D",1,0)+IF(CE118="D",1,0)+IF(CF118="D",1,0)+IF(CL118="D",1,0)+IF(CM118="D",1,0)+IF(CQ118="D",1,0)+IF(CR118="D",1,0)+IF(CS118="D",1,0)+IF(CW118="D",1,0)+IF(CX118="D",1,0)+IF(DD118="D",1,0)+IF(DE118="D",1,0)+IF(DJ118="D",1,0)+IF(DK118="D",1,0)+IF(DO118="D",1,0)+IF(DP118="D",1,0)+IF(DQ118="D",1,0)+IF(DW118="D",1,0)+IF(DZ118="D",1,0)+IF(EH118="D",1,0)</f>
        <v/>
      </c>
      <c r="AY118">
        <f>IF(DJ118&lt;&gt;"",1,0)+IF(DK118&lt;&gt;"",1,0)+IF(DM118&lt;&gt;"",1,0)+IF(DO118&lt;&gt;"",1,0)+IF(DP118&lt;&gt;"",1,0)+IF(DQ118&lt;&gt;"",1,0)+IF(DS118&lt;&gt;"",1,0)+IF(DT118&lt;&gt;"",1,0)+IF(DV118&lt;&gt;"",1,0)+IF(DW118&lt;&gt;"",1,0)+IF(DX118&lt;&gt;"",1,0)+IF(DY118&lt;&gt;"",1,0)+IF(DZ118&lt;&gt;"",1,0)+IF(EB118&lt;&gt;"",1,0)+IF(EC118&lt;&gt;"",1,0)+IF(ED118&lt;&gt;"",1,0)+IF(EG118&lt;&gt;"",1,0)+IF(EH118&lt;&gt;"",1,0)</f>
        <v/>
      </c>
      <c r="AZ118">
        <f>IF(EH118&lt;&gt;"",1,0)</f>
        <v/>
      </c>
      <c r="BB118" t="inlineStr">
        <is>
          <t>WARREN-WARD 4</t>
        </is>
      </c>
      <c r="BD118" t="inlineStr">
        <is>
          <t>X</t>
        </is>
      </c>
      <c r="BH118" t="inlineStr">
        <is>
          <t>X</t>
        </is>
      </c>
      <c r="BJ118" t="inlineStr">
        <is>
          <t>X</t>
        </is>
      </c>
      <c r="BK118" t="inlineStr">
        <is>
          <t>X</t>
        </is>
      </c>
      <c r="BL118" t="inlineStr">
        <is>
          <t>X</t>
        </is>
      </c>
      <c r="BR118" t="inlineStr">
        <is>
          <t>X</t>
        </is>
      </c>
      <c r="BS118" t="inlineStr">
        <is>
          <t>X</t>
        </is>
      </c>
      <c r="BY118" t="inlineStr">
        <is>
          <t>D</t>
        </is>
      </c>
      <c r="CA118" t="inlineStr">
        <is>
          <t>X</t>
        </is>
      </c>
      <c r="CG118" t="inlineStr">
        <is>
          <t>X</t>
        </is>
      </c>
      <c r="CH118" t="inlineStr">
        <is>
          <t>D</t>
        </is>
      </c>
      <c r="CK118" t="inlineStr">
        <is>
          <t>X</t>
        </is>
      </c>
      <c r="CL118" t="inlineStr">
        <is>
          <t>D</t>
        </is>
      </c>
      <c r="CN118" t="inlineStr">
        <is>
          <t>X</t>
        </is>
      </c>
      <c r="CP118" t="inlineStr">
        <is>
          <t>X</t>
        </is>
      </c>
      <c r="CV118" t="inlineStr">
        <is>
          <t>X</t>
        </is>
      </c>
      <c r="CY118" t="inlineStr">
        <is>
          <t>X</t>
        </is>
      </c>
      <c r="CZ118" t="inlineStr">
        <is>
          <t>D</t>
        </is>
      </c>
      <c r="DC118" t="inlineStr">
        <is>
          <t>X</t>
        </is>
      </c>
      <c r="DM118" t="inlineStr">
        <is>
          <t>D</t>
        </is>
      </c>
      <c r="DN118" t="inlineStr">
        <is>
          <t>X</t>
        </is>
      </c>
    </row>
    <row r="119">
      <c r="A119" t="inlineStr">
        <is>
          <t>OH0025720734</t>
        </is>
      </c>
      <c r="B119" t="n">
        <v>78</v>
      </c>
      <c r="C119" t="n">
        <v>449409</v>
      </c>
      <c r="D119" t="inlineStr">
        <is>
          <t>PETERSON</t>
        </is>
      </c>
      <c r="E119" t="inlineStr">
        <is>
          <t>ANDREW</t>
        </is>
      </c>
      <c r="F119">
        <f>CONCATENATE(D119," ",LEFT(H119,4),"T=",AU119,"D=",AV119,"R=",AW119,"M=",AX119,"L=",AY119,"B=",AZ119)</f>
        <v/>
      </c>
      <c r="G119" t="inlineStr">
        <is>
          <t>RICHARD</t>
        </is>
      </c>
      <c r="I119" t="inlineStr">
        <is>
          <t>1999-06-11</t>
        </is>
      </c>
      <c r="J119" t="inlineStr">
        <is>
          <t>2020-09-29</t>
        </is>
      </c>
      <c r="K119" t="inlineStr">
        <is>
          <t>ACTIVE</t>
        </is>
      </c>
      <c r="M119" t="inlineStr">
        <is>
          <t>618 OAK KNOLL AVE SE</t>
        </is>
      </c>
      <c r="N119">
        <f>RIGHT(M119,LEN(M119)-FIND(" ",M119))</f>
        <v/>
      </c>
      <c r="P119" t="inlineStr">
        <is>
          <t>WARREN</t>
        </is>
      </c>
      <c r="Q119" t="inlineStr">
        <is>
          <t>OH</t>
        </is>
      </c>
      <c r="R119" t="n">
        <v>44483</v>
      </c>
      <c r="AD119" t="inlineStr">
        <is>
          <t>TRUMBULL CAREER &amp; TECH CENTER</t>
        </is>
      </c>
      <c r="AE119" t="inlineStr">
        <is>
          <t>WARREN CITY</t>
        </is>
      </c>
      <c r="AF119" t="inlineStr">
        <is>
          <t>WARREN CITY SD</t>
        </is>
      </c>
      <c r="AH119" t="n">
        <v>14</v>
      </c>
      <c r="AI119" t="n">
        <v>11</v>
      </c>
      <c r="AN119" t="inlineStr">
        <is>
          <t>WARREN</t>
        </is>
      </c>
      <c r="AO119" t="inlineStr">
        <is>
          <t>WARREN CITY 4A</t>
        </is>
      </c>
      <c r="AP119" t="inlineStr">
        <is>
          <t>78-P-ADI</t>
        </is>
      </c>
      <c r="AQ119" t="n">
        <v>9</v>
      </c>
      <c r="AR119" t="n">
        <v>64</v>
      </c>
      <c r="AS119" t="n">
        <v>32</v>
      </c>
      <c r="AU119">
        <f>COUNTA($BA$119:$EH$119)</f>
        <v/>
      </c>
      <c r="AV119">
        <f>COUNTIF($BA$119:$EH$119,"D")</f>
        <v/>
      </c>
      <c r="AW119">
        <f>COUNTIF($BA$119:$EH$119,"R")</f>
        <v/>
      </c>
      <c r="AX119">
        <f>IF(BN119="D",1,0)+IF(BO119="D",1,0)+IF(BT119="D",1,0)+IF(BU119="D",1,0)+IF(BW119="D",1,0)+IF(CC119="D",1,0)+IF(CD119="D",1,0)+IF(CE119="D",1,0)+IF(CF119="D",1,0)+IF(CL119="D",1,0)+IF(CM119="D",1,0)+IF(CQ119="D",1,0)+IF(CR119="D",1,0)+IF(CS119="D",1,0)+IF(CW119="D",1,0)+IF(CX119="D",1,0)+IF(DD119="D",1,0)+IF(DE119="D",1,0)+IF(DJ119="D",1,0)+IF(DK119="D",1,0)+IF(DO119="D",1,0)+IF(DP119="D",1,0)+IF(DQ119="D",1,0)+IF(DW119="D",1,0)+IF(DZ119="D",1,0)+IF(EH119="D",1,0)</f>
        <v/>
      </c>
      <c r="AY119">
        <f>IF(DJ119&lt;&gt;"",1,0)+IF(DK119&lt;&gt;"",1,0)+IF(DM119&lt;&gt;"",1,0)+IF(DO119&lt;&gt;"",1,0)+IF(DP119&lt;&gt;"",1,0)+IF(DQ119&lt;&gt;"",1,0)+IF(DS119&lt;&gt;"",1,0)+IF(DT119&lt;&gt;"",1,0)+IF(DV119&lt;&gt;"",1,0)+IF(DW119&lt;&gt;"",1,0)+IF(DX119&lt;&gt;"",1,0)+IF(DY119&lt;&gt;"",1,0)+IF(DZ119&lt;&gt;"",1,0)+IF(EB119&lt;&gt;"",1,0)+IF(EC119&lt;&gt;"",1,0)+IF(ED119&lt;&gt;"",1,0)+IF(EG119&lt;&gt;"",1,0)+IF(EH119&lt;&gt;"",1,0)</f>
        <v/>
      </c>
      <c r="AZ119">
        <f>IF(EH119&lt;&gt;"",1,0)</f>
        <v/>
      </c>
      <c r="BB119" t="inlineStr">
        <is>
          <t>WARREN-WARD 4</t>
        </is>
      </c>
      <c r="DN119" t="inlineStr">
        <is>
          <t>X</t>
        </is>
      </c>
      <c r="EA119" t="inlineStr">
        <is>
          <t>X</t>
        </is>
      </c>
    </row>
    <row r="120">
      <c r="A120" t="inlineStr">
        <is>
          <t>OH0025893352</t>
        </is>
      </c>
      <c r="B120" t="n">
        <v>78</v>
      </c>
      <c r="C120" t="n">
        <v>452208</v>
      </c>
      <c r="D120" t="inlineStr">
        <is>
          <t>KOPCZINSKY</t>
        </is>
      </c>
      <c r="E120" t="inlineStr">
        <is>
          <t>KAITLYN</t>
        </is>
      </c>
      <c r="F120">
        <f>CONCATENATE(D120," ",LEFT(H120,4),"T=",AU120,"D=",AV120,"R=",AW120,"M=",AX120,"L=",AY120,"B=",AZ120)</f>
        <v/>
      </c>
      <c r="G120" t="inlineStr">
        <is>
          <t>LANE</t>
        </is>
      </c>
      <c r="I120" t="inlineStr">
        <is>
          <t>2002-02-13</t>
        </is>
      </c>
      <c r="J120" t="inlineStr">
        <is>
          <t>2020-09-17</t>
        </is>
      </c>
      <c r="K120" t="inlineStr">
        <is>
          <t>ACTIVE</t>
        </is>
      </c>
      <c r="M120" t="inlineStr">
        <is>
          <t>336 LAIRD AVE SE</t>
        </is>
      </c>
      <c r="N120">
        <f>RIGHT(M120,LEN(M120)-FIND(" ",M120))</f>
        <v/>
      </c>
      <c r="P120" t="inlineStr">
        <is>
          <t>WARREN</t>
        </is>
      </c>
      <c r="Q120" t="inlineStr">
        <is>
          <t>OH</t>
        </is>
      </c>
      <c r="R120" t="n">
        <v>44483</v>
      </c>
      <c r="AD120" t="inlineStr">
        <is>
          <t>TRUMBULL CAREER &amp; TECH CENTER</t>
        </is>
      </c>
      <c r="AE120" t="inlineStr">
        <is>
          <t>WARREN CITY</t>
        </is>
      </c>
      <c r="AF120" t="inlineStr">
        <is>
          <t>WARREN CITY SD</t>
        </is>
      </c>
      <c r="AH120" t="n">
        <v>14</v>
      </c>
      <c r="AI120" t="n">
        <v>11</v>
      </c>
      <c r="AN120" t="inlineStr">
        <is>
          <t>WARREN</t>
        </is>
      </c>
      <c r="AO120" t="inlineStr">
        <is>
          <t>WARREN CITY 4A</t>
        </is>
      </c>
      <c r="AP120" t="inlineStr">
        <is>
          <t>78-P-ADI</t>
        </is>
      </c>
      <c r="AQ120" t="n">
        <v>9</v>
      </c>
      <c r="AR120" t="n">
        <v>64</v>
      </c>
      <c r="AS120" t="n">
        <v>32</v>
      </c>
      <c r="AU120">
        <f>COUNTA($BA$120:$EH$120)</f>
        <v/>
      </c>
      <c r="AV120">
        <f>COUNTIF($BA$120:$EH$120,"D")</f>
        <v/>
      </c>
      <c r="AW120">
        <f>COUNTIF($BA$120:$EH$120,"R")</f>
        <v/>
      </c>
      <c r="AX120">
        <f>IF(BN120="D",1,0)+IF(BO120="D",1,0)+IF(BT120="D",1,0)+IF(BU120="D",1,0)+IF(BW120="D",1,0)+IF(CC120="D",1,0)+IF(CD120="D",1,0)+IF(CE120="D",1,0)+IF(CF120="D",1,0)+IF(CL120="D",1,0)+IF(CM120="D",1,0)+IF(CQ120="D",1,0)+IF(CR120="D",1,0)+IF(CS120="D",1,0)+IF(CW120="D",1,0)+IF(CX120="D",1,0)+IF(DD120="D",1,0)+IF(DE120="D",1,0)+IF(DJ120="D",1,0)+IF(DK120="D",1,0)+IF(DO120="D",1,0)+IF(DP120="D",1,0)+IF(DQ120="D",1,0)+IF(DW120="D",1,0)+IF(DZ120="D",1,0)+IF(EH120="D",1,0)</f>
        <v/>
      </c>
      <c r="AY120">
        <f>IF(DJ120&lt;&gt;"",1,0)+IF(DK120&lt;&gt;"",1,0)+IF(DM120&lt;&gt;"",1,0)+IF(DO120&lt;&gt;"",1,0)+IF(DP120&lt;&gt;"",1,0)+IF(DQ120&lt;&gt;"",1,0)+IF(DS120&lt;&gt;"",1,0)+IF(DT120&lt;&gt;"",1,0)+IF(DV120&lt;&gt;"",1,0)+IF(DW120&lt;&gt;"",1,0)+IF(DX120&lt;&gt;"",1,0)+IF(DY120&lt;&gt;"",1,0)+IF(DZ120&lt;&gt;"",1,0)+IF(EB120&lt;&gt;"",1,0)+IF(EC120&lt;&gt;"",1,0)+IF(ED120&lt;&gt;"",1,0)+IF(EG120&lt;&gt;"",1,0)+IF(EH120&lt;&gt;"",1,0)</f>
        <v/>
      </c>
      <c r="AZ120">
        <f>IF(EH120&lt;&gt;"",1,0)</f>
        <v/>
      </c>
      <c r="BB120" t="inlineStr">
        <is>
          <t>WARREN-WARD 4</t>
        </is>
      </c>
      <c r="DN120" t="inlineStr">
        <is>
          <t>X</t>
        </is>
      </c>
      <c r="DU120" t="inlineStr">
        <is>
          <t>X</t>
        </is>
      </c>
      <c r="DX120" t="inlineStr">
        <is>
          <t>X</t>
        </is>
      </c>
      <c r="EA120" t="inlineStr">
        <is>
          <t>X</t>
        </is>
      </c>
      <c r="EF120" t="inlineStr">
        <is>
          <t>X</t>
        </is>
      </c>
    </row>
    <row r="121">
      <c r="A121" t="inlineStr">
        <is>
          <t>OH0027271717</t>
        </is>
      </c>
      <c r="B121" t="n">
        <v>78</v>
      </c>
      <c r="C121" t="n">
        <v>484112</v>
      </c>
      <c r="D121" t="inlineStr">
        <is>
          <t>SCOTT</t>
        </is>
      </c>
      <c r="E121" t="inlineStr">
        <is>
          <t>JAZMINE</t>
        </is>
      </c>
      <c r="F121">
        <f>CONCATENATE(D121," ",LEFT(H121,4),"T=",AU121,"D=",AV121,"R=",AW121,"M=",AX121,"L=",AY121,"B=",AZ121)</f>
        <v/>
      </c>
      <c r="G121" t="inlineStr">
        <is>
          <t>BREJEAN</t>
        </is>
      </c>
      <c r="I121" t="inlineStr">
        <is>
          <t>1994-01-10</t>
        </is>
      </c>
      <c r="J121" t="inlineStr">
        <is>
          <t>2024-08-21</t>
        </is>
      </c>
      <c r="K121" t="inlineStr">
        <is>
          <t>ACTIVE</t>
        </is>
      </c>
      <c r="M121" t="inlineStr">
        <is>
          <t>385 OAK KNOLL AVE SE</t>
        </is>
      </c>
      <c r="N121">
        <f>RIGHT(M121,LEN(M121)-FIND(" ",M121))</f>
        <v/>
      </c>
      <c r="P121" t="inlineStr">
        <is>
          <t>WARREN</t>
        </is>
      </c>
      <c r="Q121" t="inlineStr">
        <is>
          <t>OH</t>
        </is>
      </c>
      <c r="R121" t="n">
        <v>44483</v>
      </c>
      <c r="AD121" t="inlineStr">
        <is>
          <t>TRUMBULL CAREER &amp; TECH CENTER</t>
        </is>
      </c>
      <c r="AE121" t="inlineStr">
        <is>
          <t>WARREN CITY</t>
        </is>
      </c>
      <c r="AF121" t="inlineStr">
        <is>
          <t>WARREN CITY SD</t>
        </is>
      </c>
      <c r="AH121" t="n">
        <v>14</v>
      </c>
      <c r="AI121" t="n">
        <v>11</v>
      </c>
      <c r="AN121" t="inlineStr">
        <is>
          <t>WARREN</t>
        </is>
      </c>
      <c r="AO121" t="inlineStr">
        <is>
          <t>WARREN CITY 4A</t>
        </is>
      </c>
      <c r="AP121" t="inlineStr">
        <is>
          <t>78-P-ADI</t>
        </is>
      </c>
      <c r="AQ121" t="n">
        <v>9</v>
      </c>
      <c r="AR121" t="n">
        <v>64</v>
      </c>
      <c r="AS121" t="n">
        <v>32</v>
      </c>
      <c r="AU121">
        <f>COUNTA($BA$121:$EH$121)</f>
        <v/>
      </c>
      <c r="AV121">
        <f>COUNTIF($BA$121:$EH$121,"D")</f>
        <v/>
      </c>
      <c r="AW121">
        <f>COUNTIF($BA$121:$EH$121,"R")</f>
        <v/>
      </c>
      <c r="AX121">
        <f>IF(BN121="D",1,0)+IF(BO121="D",1,0)+IF(BT121="D",1,0)+IF(BU121="D",1,0)+IF(BW121="D",1,0)+IF(CC121="D",1,0)+IF(CD121="D",1,0)+IF(CE121="D",1,0)+IF(CF121="D",1,0)+IF(CL121="D",1,0)+IF(CM121="D",1,0)+IF(CQ121="D",1,0)+IF(CR121="D",1,0)+IF(CS121="D",1,0)+IF(CW121="D",1,0)+IF(CX121="D",1,0)+IF(DD121="D",1,0)+IF(DE121="D",1,0)+IF(DJ121="D",1,0)+IF(DK121="D",1,0)+IF(DO121="D",1,0)+IF(DP121="D",1,0)+IF(DQ121="D",1,0)+IF(DW121="D",1,0)+IF(DZ121="D",1,0)+IF(EH121="D",1,0)</f>
        <v/>
      </c>
      <c r="AY121">
        <f>IF(DJ121&lt;&gt;"",1,0)+IF(DK121&lt;&gt;"",1,0)+IF(DM121&lt;&gt;"",1,0)+IF(DO121&lt;&gt;"",1,0)+IF(DP121&lt;&gt;"",1,0)+IF(DQ121&lt;&gt;"",1,0)+IF(DS121&lt;&gt;"",1,0)+IF(DT121&lt;&gt;"",1,0)+IF(DV121&lt;&gt;"",1,0)+IF(DW121&lt;&gt;"",1,0)+IF(DX121&lt;&gt;"",1,0)+IF(DY121&lt;&gt;"",1,0)+IF(DZ121&lt;&gt;"",1,0)+IF(EB121&lt;&gt;"",1,0)+IF(EC121&lt;&gt;"",1,0)+IF(ED121&lt;&gt;"",1,0)+IF(EG121&lt;&gt;"",1,0)+IF(EH121&lt;&gt;"",1,0)</f>
        <v/>
      </c>
      <c r="AZ121">
        <f>IF(EH121&lt;&gt;"",1,0)</f>
        <v/>
      </c>
      <c r="BB121" t="inlineStr">
        <is>
          <t>WARREN-WARD 4</t>
        </is>
      </c>
      <c r="EF121" t="inlineStr">
        <is>
          <t>X</t>
        </is>
      </c>
    </row>
    <row r="122">
      <c r="A122" t="inlineStr">
        <is>
          <t>OH0025051195</t>
        </is>
      </c>
      <c r="B122" t="n">
        <v>78</v>
      </c>
      <c r="C122" t="n">
        <v>438603</v>
      </c>
      <c r="D122" t="inlineStr">
        <is>
          <t>BROWN</t>
        </is>
      </c>
      <c r="E122" t="inlineStr">
        <is>
          <t>RAKIM</t>
        </is>
      </c>
      <c r="F122">
        <f>CONCATENATE(D122," ",LEFT(H122,4),"T=",AU122,"D=",AV122,"R=",AW122,"M=",AX122,"L=",AY122,"B=",AZ122)</f>
        <v/>
      </c>
      <c r="G122" t="inlineStr">
        <is>
          <t>M</t>
        </is>
      </c>
      <c r="I122" t="inlineStr">
        <is>
          <t>2000-07-10</t>
        </is>
      </c>
      <c r="J122" t="inlineStr">
        <is>
          <t>2024-07-30</t>
        </is>
      </c>
      <c r="K122" t="inlineStr">
        <is>
          <t>ACTIVE</t>
        </is>
      </c>
      <c r="M122" t="inlineStr">
        <is>
          <t>317 KENILWORTH AVE SE</t>
        </is>
      </c>
      <c r="N122">
        <f>RIGHT(M122,LEN(M122)-FIND(" ",M122))</f>
        <v/>
      </c>
      <c r="P122" t="inlineStr">
        <is>
          <t>WARREN</t>
        </is>
      </c>
      <c r="Q122" t="inlineStr">
        <is>
          <t>OH</t>
        </is>
      </c>
      <c r="R122" t="n">
        <v>44483</v>
      </c>
      <c r="AD122" t="inlineStr">
        <is>
          <t>TRUMBULL CAREER &amp; TECH CENTER</t>
        </is>
      </c>
      <c r="AE122" t="inlineStr">
        <is>
          <t>WARREN CITY</t>
        </is>
      </c>
      <c r="AF122" t="inlineStr">
        <is>
          <t>WARREN CITY SD</t>
        </is>
      </c>
      <c r="AH122" t="n">
        <v>14</v>
      </c>
      <c r="AI122" t="n">
        <v>11</v>
      </c>
      <c r="AN122" t="inlineStr">
        <is>
          <t>WARREN</t>
        </is>
      </c>
      <c r="AO122" t="inlineStr">
        <is>
          <t>WARREN CITY 4A</t>
        </is>
      </c>
      <c r="AP122" t="inlineStr">
        <is>
          <t>78-P-ADI</t>
        </is>
      </c>
      <c r="AQ122" t="n">
        <v>9</v>
      </c>
      <c r="AR122" t="n">
        <v>64</v>
      </c>
      <c r="AS122" t="n">
        <v>32</v>
      </c>
      <c r="AU122">
        <f>COUNTA($BA$122:$EH$122)</f>
        <v/>
      </c>
      <c r="AV122">
        <f>COUNTIF($BA$122:$EH$122,"D")</f>
        <v/>
      </c>
      <c r="AW122">
        <f>COUNTIF($BA$122:$EH$122,"R")</f>
        <v/>
      </c>
      <c r="AX122">
        <f>IF(BN122="D",1,0)+IF(BO122="D",1,0)+IF(BT122="D",1,0)+IF(BU122="D",1,0)+IF(BW122="D",1,0)+IF(CC122="D",1,0)+IF(CD122="D",1,0)+IF(CE122="D",1,0)+IF(CF122="D",1,0)+IF(CL122="D",1,0)+IF(CM122="D",1,0)+IF(CQ122="D",1,0)+IF(CR122="D",1,0)+IF(CS122="D",1,0)+IF(CW122="D",1,0)+IF(CX122="D",1,0)+IF(DD122="D",1,0)+IF(DE122="D",1,0)+IF(DJ122="D",1,0)+IF(DK122="D",1,0)+IF(DO122="D",1,0)+IF(DP122="D",1,0)+IF(DQ122="D",1,0)+IF(DW122="D",1,0)+IF(DZ122="D",1,0)+IF(EH122="D",1,0)</f>
        <v/>
      </c>
      <c r="AY122">
        <f>IF(DJ122&lt;&gt;"",1,0)+IF(DK122&lt;&gt;"",1,0)+IF(DM122&lt;&gt;"",1,0)+IF(DO122&lt;&gt;"",1,0)+IF(DP122&lt;&gt;"",1,0)+IF(DQ122&lt;&gt;"",1,0)+IF(DS122&lt;&gt;"",1,0)+IF(DT122&lt;&gt;"",1,0)+IF(DV122&lt;&gt;"",1,0)+IF(DW122&lt;&gt;"",1,0)+IF(DX122&lt;&gt;"",1,0)+IF(DY122&lt;&gt;"",1,0)+IF(DZ122&lt;&gt;"",1,0)+IF(EB122&lt;&gt;"",1,0)+IF(EC122&lt;&gt;"",1,0)+IF(ED122&lt;&gt;"",1,0)+IF(EG122&lt;&gt;"",1,0)+IF(EH122&lt;&gt;"",1,0)</f>
        <v/>
      </c>
      <c r="AZ122">
        <f>IF(EH122&lt;&gt;"",1,0)</f>
        <v/>
      </c>
      <c r="BB122" t="inlineStr">
        <is>
          <t>WARREN-WARD 4</t>
        </is>
      </c>
    </row>
    <row r="123">
      <c r="A123" t="inlineStr">
        <is>
          <t>OH0022337968</t>
        </is>
      </c>
      <c r="B123" t="n">
        <v>78</v>
      </c>
      <c r="C123" t="n">
        <v>394965</v>
      </c>
      <c r="D123" t="inlineStr">
        <is>
          <t>JACKSON</t>
        </is>
      </c>
      <c r="E123" t="inlineStr">
        <is>
          <t>OSHA</t>
        </is>
      </c>
      <c r="F123">
        <f>CONCATENATE(D123," ",LEFT(H123,4),"T=",AU123,"D=",AV123,"R=",AW123,"M=",AX123,"L=",AY123,"B=",AZ123)</f>
        <v/>
      </c>
      <c r="G123" t="inlineStr">
        <is>
          <t>D</t>
        </is>
      </c>
      <c r="I123" t="inlineStr">
        <is>
          <t>1995-02-27</t>
        </is>
      </c>
      <c r="J123" t="inlineStr">
        <is>
          <t>2024-08-21</t>
        </is>
      </c>
      <c r="K123" t="inlineStr">
        <is>
          <t>ACTIVE</t>
        </is>
      </c>
      <c r="M123" t="inlineStr">
        <is>
          <t>521 KENILWORTH AVE SE</t>
        </is>
      </c>
      <c r="N123">
        <f>RIGHT(M123,LEN(M123)-FIND(" ",M123))</f>
        <v/>
      </c>
      <c r="P123" t="inlineStr">
        <is>
          <t>WARREN</t>
        </is>
      </c>
      <c r="Q123" t="inlineStr">
        <is>
          <t>OH</t>
        </is>
      </c>
      <c r="R123" t="n">
        <v>44483</v>
      </c>
      <c r="AD123" t="inlineStr">
        <is>
          <t>TRUMBULL CAREER &amp; TECH CENTER</t>
        </is>
      </c>
      <c r="AE123" t="inlineStr">
        <is>
          <t>WARREN CITY</t>
        </is>
      </c>
      <c r="AF123" t="inlineStr">
        <is>
          <t>WARREN CITY SD</t>
        </is>
      </c>
      <c r="AH123" t="n">
        <v>14</v>
      </c>
      <c r="AI123" t="n">
        <v>11</v>
      </c>
      <c r="AN123" t="inlineStr">
        <is>
          <t>WARREN</t>
        </is>
      </c>
      <c r="AO123" t="inlineStr">
        <is>
          <t>WARREN CITY 4A</t>
        </is>
      </c>
      <c r="AP123" t="inlineStr">
        <is>
          <t>78-P-ADI</t>
        </is>
      </c>
      <c r="AQ123" t="n">
        <v>9</v>
      </c>
      <c r="AR123" t="n">
        <v>64</v>
      </c>
      <c r="AS123" t="n">
        <v>32</v>
      </c>
      <c r="AU123">
        <f>COUNTA($BA$123:$EH$123)</f>
        <v/>
      </c>
      <c r="AV123">
        <f>COUNTIF($BA$123:$EH$123,"D")</f>
        <v/>
      </c>
      <c r="AW123">
        <f>COUNTIF($BA$123:$EH$123,"R")</f>
        <v/>
      </c>
      <c r="AX123">
        <f>IF(BN123="D",1,0)+IF(BO123="D",1,0)+IF(BT123="D",1,0)+IF(BU123="D",1,0)+IF(BW123="D",1,0)+IF(CC123="D",1,0)+IF(CD123="D",1,0)+IF(CE123="D",1,0)+IF(CF123="D",1,0)+IF(CL123="D",1,0)+IF(CM123="D",1,0)+IF(CQ123="D",1,0)+IF(CR123="D",1,0)+IF(CS123="D",1,0)+IF(CW123="D",1,0)+IF(CX123="D",1,0)+IF(DD123="D",1,0)+IF(DE123="D",1,0)+IF(DJ123="D",1,0)+IF(DK123="D",1,0)+IF(DO123="D",1,0)+IF(DP123="D",1,0)+IF(DQ123="D",1,0)+IF(DW123="D",1,0)+IF(DZ123="D",1,0)+IF(EH123="D",1,0)</f>
        <v/>
      </c>
      <c r="AY123">
        <f>IF(DJ123&lt;&gt;"",1,0)+IF(DK123&lt;&gt;"",1,0)+IF(DM123&lt;&gt;"",1,0)+IF(DO123&lt;&gt;"",1,0)+IF(DP123&lt;&gt;"",1,0)+IF(DQ123&lt;&gt;"",1,0)+IF(DS123&lt;&gt;"",1,0)+IF(DT123&lt;&gt;"",1,0)+IF(DV123&lt;&gt;"",1,0)+IF(DW123&lt;&gt;"",1,0)+IF(DX123&lt;&gt;"",1,0)+IF(DY123&lt;&gt;"",1,0)+IF(DZ123&lt;&gt;"",1,0)+IF(EB123&lt;&gt;"",1,0)+IF(EC123&lt;&gt;"",1,0)+IF(ED123&lt;&gt;"",1,0)+IF(EG123&lt;&gt;"",1,0)+IF(EH123&lt;&gt;"",1,0)</f>
        <v/>
      </c>
      <c r="AZ123">
        <f>IF(EH123&lt;&gt;"",1,0)</f>
        <v/>
      </c>
      <c r="BB123" t="inlineStr">
        <is>
          <t>WARREN-WARD 4</t>
        </is>
      </c>
    </row>
    <row r="124">
      <c r="A124" t="inlineStr">
        <is>
          <t>OH0015753139</t>
        </is>
      </c>
      <c r="B124" t="n">
        <v>78</v>
      </c>
      <c r="C124" t="n">
        <v>239819</v>
      </c>
      <c r="D124" t="inlineStr">
        <is>
          <t>EMERSON</t>
        </is>
      </c>
      <c r="E124" t="inlineStr">
        <is>
          <t>LISA</t>
        </is>
      </c>
      <c r="F124">
        <f>CONCATENATE(D124," ",LEFT(H124,4),"T=",AU124,"D=",AV124,"R=",AW124,"M=",AX124,"L=",AY124,"B=",AZ124)</f>
        <v/>
      </c>
      <c r="G124" t="inlineStr">
        <is>
          <t>A</t>
        </is>
      </c>
      <c r="I124" t="inlineStr">
        <is>
          <t>1966-07-02</t>
        </is>
      </c>
      <c r="J124" t="inlineStr">
        <is>
          <t>2011-12-05</t>
        </is>
      </c>
      <c r="K124" t="inlineStr">
        <is>
          <t>CONFIRMATION</t>
        </is>
      </c>
      <c r="M124" t="inlineStr">
        <is>
          <t>841 WOODBINE AVE SE</t>
        </is>
      </c>
      <c r="N124">
        <f>RIGHT(M124,LEN(M124)-FIND(" ",M124))</f>
        <v/>
      </c>
      <c r="P124" t="inlineStr">
        <is>
          <t>WARREN</t>
        </is>
      </c>
      <c r="Q124" t="inlineStr">
        <is>
          <t>OH</t>
        </is>
      </c>
      <c r="R124" t="n">
        <v>44484</v>
      </c>
      <c r="AD124" t="inlineStr">
        <is>
          <t>TRUMBULL CAREER &amp; TECH CENTER</t>
        </is>
      </c>
      <c r="AE124" t="inlineStr">
        <is>
          <t>WARREN CITY</t>
        </is>
      </c>
      <c r="AF124" t="inlineStr">
        <is>
          <t>WARREN CITY SD</t>
        </is>
      </c>
      <c r="AH124" t="n">
        <v>14</v>
      </c>
      <c r="AI124" t="n">
        <v>11</v>
      </c>
      <c r="AN124" t="inlineStr">
        <is>
          <t>WARREN</t>
        </is>
      </c>
      <c r="AO124" t="inlineStr">
        <is>
          <t>WARREN CITY 4A</t>
        </is>
      </c>
      <c r="AP124" t="inlineStr">
        <is>
          <t>78-P-ADI</t>
        </is>
      </c>
      <c r="AQ124" t="n">
        <v>9</v>
      </c>
      <c r="AR124" t="n">
        <v>64</v>
      </c>
      <c r="AS124" t="n">
        <v>32</v>
      </c>
      <c r="AU124">
        <f>COUNTA($BA$124:$EH$124)</f>
        <v/>
      </c>
      <c r="AV124">
        <f>COUNTIF($BA$124:$EH$124,"D")</f>
        <v/>
      </c>
      <c r="AW124">
        <f>COUNTIF($BA$124:$EH$124,"R")</f>
        <v/>
      </c>
      <c r="AX124">
        <f>IF(BN124="D",1,0)+IF(BO124="D",1,0)+IF(BT124="D",1,0)+IF(BU124="D",1,0)+IF(BW124="D",1,0)+IF(CC124="D",1,0)+IF(CD124="D",1,0)+IF(CE124="D",1,0)+IF(CF124="D",1,0)+IF(CL124="D",1,0)+IF(CM124="D",1,0)+IF(CQ124="D",1,0)+IF(CR124="D",1,0)+IF(CS124="D",1,0)+IF(CW124="D",1,0)+IF(CX124="D",1,0)+IF(DD124="D",1,0)+IF(DE124="D",1,0)+IF(DJ124="D",1,0)+IF(DK124="D",1,0)+IF(DO124="D",1,0)+IF(DP124="D",1,0)+IF(DQ124="D",1,0)+IF(DW124="D",1,0)+IF(DZ124="D",1,0)+IF(EH124="D",1,0)</f>
        <v/>
      </c>
      <c r="AY124">
        <f>IF(DJ124&lt;&gt;"",1,0)+IF(DK124&lt;&gt;"",1,0)+IF(DM124&lt;&gt;"",1,0)+IF(DO124&lt;&gt;"",1,0)+IF(DP124&lt;&gt;"",1,0)+IF(DQ124&lt;&gt;"",1,0)+IF(DS124&lt;&gt;"",1,0)+IF(DT124&lt;&gt;"",1,0)+IF(DV124&lt;&gt;"",1,0)+IF(DW124&lt;&gt;"",1,0)+IF(DX124&lt;&gt;"",1,0)+IF(DY124&lt;&gt;"",1,0)+IF(DZ124&lt;&gt;"",1,0)+IF(EB124&lt;&gt;"",1,0)+IF(EC124&lt;&gt;"",1,0)+IF(ED124&lt;&gt;"",1,0)+IF(EG124&lt;&gt;"",1,0)+IF(EH124&lt;&gt;"",1,0)</f>
        <v/>
      </c>
      <c r="AZ124">
        <f>IF(EH124&lt;&gt;"",1,0)</f>
        <v/>
      </c>
      <c r="BB124" t="inlineStr">
        <is>
          <t>WARREN-WARD 4</t>
        </is>
      </c>
      <c r="BC124" t="inlineStr">
        <is>
          <t>X</t>
        </is>
      </c>
      <c r="BD124" t="inlineStr">
        <is>
          <t>X</t>
        </is>
      </c>
      <c r="BH124" t="inlineStr">
        <is>
          <t>X</t>
        </is>
      </c>
      <c r="BL124" t="inlineStr">
        <is>
          <t>X</t>
        </is>
      </c>
      <c r="BS124" t="inlineStr">
        <is>
          <t>X</t>
        </is>
      </c>
      <c r="BY124" t="inlineStr">
        <is>
          <t>R</t>
        </is>
      </c>
      <c r="CA124" t="inlineStr">
        <is>
          <t>X</t>
        </is>
      </c>
      <c r="CP124" t="inlineStr">
        <is>
          <t>X</t>
        </is>
      </c>
      <c r="CY124" t="inlineStr">
        <is>
          <t>X</t>
        </is>
      </c>
      <c r="CZ124" t="inlineStr">
        <is>
          <t>R</t>
        </is>
      </c>
      <c r="DC124" t="inlineStr">
        <is>
          <t>X</t>
        </is>
      </c>
      <c r="DN124" t="inlineStr">
        <is>
          <t>X</t>
        </is>
      </c>
    </row>
    <row r="125">
      <c r="A125" t="inlineStr">
        <is>
          <t>OH0024588400</t>
        </is>
      </c>
      <c r="B125" t="n">
        <v>78</v>
      </c>
      <c r="C125" t="n">
        <v>430979</v>
      </c>
      <c r="D125" t="inlineStr">
        <is>
          <t>MOORE</t>
        </is>
      </c>
      <c r="E125" t="inlineStr">
        <is>
          <t>ASHLEY</t>
        </is>
      </c>
      <c r="F125">
        <f>CONCATENATE(D125," ",LEFT(H125,4),"T=",AU125,"D=",AV125,"R=",AW125,"M=",AX125,"L=",AY125,"B=",AZ125)</f>
        <v/>
      </c>
      <c r="G125" t="inlineStr">
        <is>
          <t>M</t>
        </is>
      </c>
      <c r="I125" t="inlineStr">
        <is>
          <t>1996-03-12</t>
        </is>
      </c>
      <c r="J125" t="inlineStr">
        <is>
          <t>2018-04-06</t>
        </is>
      </c>
      <c r="K125" t="inlineStr">
        <is>
          <t>CONFIRMATION</t>
        </is>
      </c>
      <c r="M125" t="inlineStr">
        <is>
          <t>529 KENILWORTH AVE SE</t>
        </is>
      </c>
      <c r="N125">
        <f>RIGHT(M125,LEN(M125)-FIND(" ",M125))</f>
        <v/>
      </c>
      <c r="P125" t="inlineStr">
        <is>
          <t>WARREN</t>
        </is>
      </c>
      <c r="Q125" t="inlineStr">
        <is>
          <t>OH</t>
        </is>
      </c>
      <c r="R125" t="n">
        <v>44483</v>
      </c>
      <c r="AD125" t="inlineStr">
        <is>
          <t>TRUMBULL CAREER &amp; TECH CENTER</t>
        </is>
      </c>
      <c r="AE125" t="inlineStr">
        <is>
          <t>WARREN CITY</t>
        </is>
      </c>
      <c r="AF125" t="inlineStr">
        <is>
          <t>WARREN CITY SD</t>
        </is>
      </c>
      <c r="AH125" t="n">
        <v>14</v>
      </c>
      <c r="AI125" t="n">
        <v>11</v>
      </c>
      <c r="AN125" t="inlineStr">
        <is>
          <t>WARREN</t>
        </is>
      </c>
      <c r="AO125" t="inlineStr">
        <is>
          <t>WARREN CITY 4A</t>
        </is>
      </c>
      <c r="AP125" t="inlineStr">
        <is>
          <t>78-P-ADI</t>
        </is>
      </c>
      <c r="AQ125" t="n">
        <v>9</v>
      </c>
      <c r="AR125" t="n">
        <v>64</v>
      </c>
      <c r="AS125" t="n">
        <v>32</v>
      </c>
      <c r="AU125">
        <f>COUNTA($BA$125:$EH$125)</f>
        <v/>
      </c>
      <c r="AV125">
        <f>COUNTIF($BA$125:$EH$125,"D")</f>
        <v/>
      </c>
      <c r="AW125">
        <f>COUNTIF($BA$125:$EH$125,"R")</f>
        <v/>
      </c>
      <c r="AX125">
        <f>IF(BN125="D",1,0)+IF(BO125="D",1,0)+IF(BT125="D",1,0)+IF(BU125="D",1,0)+IF(BW125="D",1,0)+IF(CC125="D",1,0)+IF(CD125="D",1,0)+IF(CE125="D",1,0)+IF(CF125="D",1,0)+IF(CL125="D",1,0)+IF(CM125="D",1,0)+IF(CQ125="D",1,0)+IF(CR125="D",1,0)+IF(CS125="D",1,0)+IF(CW125="D",1,0)+IF(CX125="D",1,0)+IF(DD125="D",1,0)+IF(DE125="D",1,0)+IF(DJ125="D",1,0)+IF(DK125="D",1,0)+IF(DO125="D",1,0)+IF(DP125="D",1,0)+IF(DQ125="D",1,0)+IF(DW125="D",1,0)+IF(DZ125="D",1,0)+IF(EH125="D",1,0)</f>
        <v/>
      </c>
      <c r="AY125">
        <f>IF(DJ125&lt;&gt;"",1,0)+IF(DK125&lt;&gt;"",1,0)+IF(DM125&lt;&gt;"",1,0)+IF(DO125&lt;&gt;"",1,0)+IF(DP125&lt;&gt;"",1,0)+IF(DQ125&lt;&gt;"",1,0)+IF(DS125&lt;&gt;"",1,0)+IF(DT125&lt;&gt;"",1,0)+IF(DV125&lt;&gt;"",1,0)+IF(DW125&lt;&gt;"",1,0)+IF(DX125&lt;&gt;"",1,0)+IF(DY125&lt;&gt;"",1,0)+IF(DZ125&lt;&gt;"",1,0)+IF(EB125&lt;&gt;"",1,0)+IF(EC125&lt;&gt;"",1,0)+IF(ED125&lt;&gt;"",1,0)+IF(EG125&lt;&gt;"",1,0)+IF(EH125&lt;&gt;"",1,0)</f>
        <v/>
      </c>
      <c r="AZ125">
        <f>IF(EH125&lt;&gt;"",1,0)</f>
        <v/>
      </c>
      <c r="BB125" t="inlineStr">
        <is>
          <t>WARREN-WARD 4</t>
        </is>
      </c>
    </row>
    <row r="126">
      <c r="A126" t="inlineStr">
        <is>
          <t>OH0023702703</t>
        </is>
      </c>
      <c r="B126" t="n">
        <v>78</v>
      </c>
      <c r="C126" t="n">
        <v>416951</v>
      </c>
      <c r="D126" t="inlineStr">
        <is>
          <t>BUTCHER</t>
        </is>
      </c>
      <c r="E126" t="inlineStr">
        <is>
          <t>CHRISTOPHER</t>
        </is>
      </c>
      <c r="F126">
        <f>CONCATENATE(D126," ",LEFT(H126,4),"T=",AU126,"D=",AV126,"R=",AW126,"M=",AX126,"L=",AY126,"B=",AZ126)</f>
        <v/>
      </c>
      <c r="G126" t="inlineStr">
        <is>
          <t>MICHAEL</t>
        </is>
      </c>
      <c r="I126" t="inlineStr">
        <is>
          <t>1996-07-14</t>
        </is>
      </c>
      <c r="J126" t="inlineStr">
        <is>
          <t>2016-05-26</t>
        </is>
      </c>
      <c r="K126" t="inlineStr">
        <is>
          <t>CONFIRMATION</t>
        </is>
      </c>
      <c r="M126" t="inlineStr">
        <is>
          <t>207 CHARLES AVE SE</t>
        </is>
      </c>
      <c r="N126">
        <f>RIGHT(M126,LEN(M126)-FIND(" ",M126))</f>
        <v/>
      </c>
      <c r="P126" t="inlineStr">
        <is>
          <t>WARREN</t>
        </is>
      </c>
      <c r="Q126" t="inlineStr">
        <is>
          <t>OH</t>
        </is>
      </c>
      <c r="R126" t="n">
        <v>44483</v>
      </c>
      <c r="AD126" t="inlineStr">
        <is>
          <t>TRUMBULL CAREER &amp; TECH CENTER</t>
        </is>
      </c>
      <c r="AE126" t="inlineStr">
        <is>
          <t>WARREN CITY</t>
        </is>
      </c>
      <c r="AF126" t="inlineStr">
        <is>
          <t>WARREN CITY SD</t>
        </is>
      </c>
      <c r="AH126" t="n">
        <v>14</v>
      </c>
      <c r="AI126" t="n">
        <v>11</v>
      </c>
      <c r="AN126" t="inlineStr">
        <is>
          <t>WARREN</t>
        </is>
      </c>
      <c r="AO126" t="inlineStr">
        <is>
          <t>WARREN CITY 4A</t>
        </is>
      </c>
      <c r="AP126" t="inlineStr">
        <is>
          <t>78-P-ADI</t>
        </is>
      </c>
      <c r="AQ126" t="n">
        <v>9</v>
      </c>
      <c r="AR126" t="n">
        <v>64</v>
      </c>
      <c r="AS126" t="n">
        <v>32</v>
      </c>
      <c r="AU126">
        <f>COUNTA($BA$126:$EH$126)</f>
        <v/>
      </c>
      <c r="AV126">
        <f>COUNTIF($BA$126:$EH$126,"D")</f>
        <v/>
      </c>
      <c r="AW126">
        <f>COUNTIF($BA$126:$EH$126,"R")</f>
        <v/>
      </c>
      <c r="AX126">
        <f>IF(BN126="D",1,0)+IF(BO126="D",1,0)+IF(BT126="D",1,0)+IF(BU126="D",1,0)+IF(BW126="D",1,0)+IF(CC126="D",1,0)+IF(CD126="D",1,0)+IF(CE126="D",1,0)+IF(CF126="D",1,0)+IF(CL126="D",1,0)+IF(CM126="D",1,0)+IF(CQ126="D",1,0)+IF(CR126="D",1,0)+IF(CS126="D",1,0)+IF(CW126="D",1,0)+IF(CX126="D",1,0)+IF(DD126="D",1,0)+IF(DE126="D",1,0)+IF(DJ126="D",1,0)+IF(DK126="D",1,0)+IF(DO126="D",1,0)+IF(DP126="D",1,0)+IF(DQ126="D",1,0)+IF(DW126="D",1,0)+IF(DZ126="D",1,0)+IF(EH126="D",1,0)</f>
        <v/>
      </c>
      <c r="AY126">
        <f>IF(DJ126&lt;&gt;"",1,0)+IF(DK126&lt;&gt;"",1,0)+IF(DM126&lt;&gt;"",1,0)+IF(DO126&lt;&gt;"",1,0)+IF(DP126&lt;&gt;"",1,0)+IF(DQ126&lt;&gt;"",1,0)+IF(DS126&lt;&gt;"",1,0)+IF(DT126&lt;&gt;"",1,0)+IF(DV126&lt;&gt;"",1,0)+IF(DW126&lt;&gt;"",1,0)+IF(DX126&lt;&gt;"",1,0)+IF(DY126&lt;&gt;"",1,0)+IF(DZ126&lt;&gt;"",1,0)+IF(EB126&lt;&gt;"",1,0)+IF(EC126&lt;&gt;"",1,0)+IF(ED126&lt;&gt;"",1,0)+IF(EG126&lt;&gt;"",1,0)+IF(EH126&lt;&gt;"",1,0)</f>
        <v/>
      </c>
      <c r="AZ126">
        <f>IF(EH126&lt;&gt;"",1,0)</f>
        <v/>
      </c>
      <c r="BB126" t="inlineStr">
        <is>
          <t>WARREN-WARD 4</t>
        </is>
      </c>
    </row>
    <row r="127">
      <c r="A127" t="inlineStr">
        <is>
          <t>OH0023084170</t>
        </is>
      </c>
      <c r="B127" t="n">
        <v>78</v>
      </c>
      <c r="C127" t="n">
        <v>406719</v>
      </c>
      <c r="D127" t="inlineStr">
        <is>
          <t>ROCK</t>
        </is>
      </c>
      <c r="E127" t="inlineStr">
        <is>
          <t>JOSEPH</t>
        </is>
      </c>
      <c r="F127">
        <f>CONCATENATE(D127," ",LEFT(H127,4),"T=",AU127,"D=",AV127,"R=",AW127,"M=",AX127,"L=",AY127,"B=",AZ127)</f>
        <v/>
      </c>
      <c r="G127" t="inlineStr">
        <is>
          <t>CD</t>
        </is>
      </c>
      <c r="I127" t="inlineStr">
        <is>
          <t>1996-04-10</t>
        </is>
      </c>
      <c r="J127" t="inlineStr">
        <is>
          <t>2015-03-30</t>
        </is>
      </c>
      <c r="K127" t="inlineStr">
        <is>
          <t>CONFIRMATION</t>
        </is>
      </c>
      <c r="M127" t="inlineStr">
        <is>
          <t>568 OAK KNOLL AVE SE</t>
        </is>
      </c>
      <c r="N127">
        <f>RIGHT(M127,LEN(M127)-FIND(" ",M127))</f>
        <v/>
      </c>
      <c r="P127" t="inlineStr">
        <is>
          <t>WARREN</t>
        </is>
      </c>
      <c r="Q127" t="inlineStr">
        <is>
          <t>OH</t>
        </is>
      </c>
      <c r="R127" t="n">
        <v>44483</v>
      </c>
      <c r="AD127" t="inlineStr">
        <is>
          <t>TRUMBULL CAREER &amp; TECH CENTER</t>
        </is>
      </c>
      <c r="AE127" t="inlineStr">
        <is>
          <t>WARREN CITY</t>
        </is>
      </c>
      <c r="AF127" t="inlineStr">
        <is>
          <t>WARREN CITY SD</t>
        </is>
      </c>
      <c r="AH127" t="n">
        <v>14</v>
      </c>
      <c r="AI127" t="n">
        <v>11</v>
      </c>
      <c r="AN127" t="inlineStr">
        <is>
          <t>WARREN</t>
        </is>
      </c>
      <c r="AO127" t="inlineStr">
        <is>
          <t>WARREN CITY 4A</t>
        </is>
      </c>
      <c r="AP127" t="inlineStr">
        <is>
          <t>78-P-ADI</t>
        </is>
      </c>
      <c r="AQ127" t="n">
        <v>9</v>
      </c>
      <c r="AR127" t="n">
        <v>64</v>
      </c>
      <c r="AS127" t="n">
        <v>32</v>
      </c>
      <c r="AU127">
        <f>COUNTA($BA$127:$EH$127)</f>
        <v/>
      </c>
      <c r="AV127">
        <f>COUNTIF($BA$127:$EH$127,"D")</f>
        <v/>
      </c>
      <c r="AW127">
        <f>COUNTIF($BA$127:$EH$127,"R")</f>
        <v/>
      </c>
      <c r="AX127">
        <f>IF(BN127="D",1,0)+IF(BO127="D",1,0)+IF(BT127="D",1,0)+IF(BU127="D",1,0)+IF(BW127="D",1,0)+IF(CC127="D",1,0)+IF(CD127="D",1,0)+IF(CE127="D",1,0)+IF(CF127="D",1,0)+IF(CL127="D",1,0)+IF(CM127="D",1,0)+IF(CQ127="D",1,0)+IF(CR127="D",1,0)+IF(CS127="D",1,0)+IF(CW127="D",1,0)+IF(CX127="D",1,0)+IF(DD127="D",1,0)+IF(DE127="D",1,0)+IF(DJ127="D",1,0)+IF(DK127="D",1,0)+IF(DO127="D",1,0)+IF(DP127="D",1,0)+IF(DQ127="D",1,0)+IF(DW127="D",1,0)+IF(DZ127="D",1,0)+IF(EH127="D",1,0)</f>
        <v/>
      </c>
      <c r="AY127">
        <f>IF(DJ127&lt;&gt;"",1,0)+IF(DK127&lt;&gt;"",1,0)+IF(DM127&lt;&gt;"",1,0)+IF(DO127&lt;&gt;"",1,0)+IF(DP127&lt;&gt;"",1,0)+IF(DQ127&lt;&gt;"",1,0)+IF(DS127&lt;&gt;"",1,0)+IF(DT127&lt;&gt;"",1,0)+IF(DV127&lt;&gt;"",1,0)+IF(DW127&lt;&gt;"",1,0)+IF(DX127&lt;&gt;"",1,0)+IF(DY127&lt;&gt;"",1,0)+IF(DZ127&lt;&gt;"",1,0)+IF(EB127&lt;&gt;"",1,0)+IF(EC127&lt;&gt;"",1,0)+IF(ED127&lt;&gt;"",1,0)+IF(EG127&lt;&gt;"",1,0)+IF(EH127&lt;&gt;"",1,0)</f>
        <v/>
      </c>
      <c r="AZ127">
        <f>IF(EH127&lt;&gt;"",1,0)</f>
        <v/>
      </c>
      <c r="BB127" t="inlineStr">
        <is>
          <t>WARREN-WARD 4</t>
        </is>
      </c>
    </row>
    <row r="128">
      <c r="A128" t="inlineStr">
        <is>
          <t>OH0025049055</t>
        </is>
      </c>
      <c r="B128" t="n">
        <v>78</v>
      </c>
      <c r="C128" t="n">
        <v>438505</v>
      </c>
      <c r="D128" t="inlineStr">
        <is>
          <t>SMELTZER</t>
        </is>
      </c>
      <c r="E128" t="inlineStr">
        <is>
          <t>KAITLYN</t>
        </is>
      </c>
      <c r="F128">
        <f>CONCATENATE(D128," ",LEFT(H128,4),"T=",AU128,"D=",AV128,"R=",AW128,"M=",AX128,"L=",AY128,"B=",AZ128)</f>
        <v/>
      </c>
      <c r="G128" t="inlineStr">
        <is>
          <t>N</t>
        </is>
      </c>
      <c r="I128" t="inlineStr">
        <is>
          <t>2001-06-23</t>
        </is>
      </c>
      <c r="J128" t="inlineStr">
        <is>
          <t>2020-02-14</t>
        </is>
      </c>
      <c r="K128" t="inlineStr">
        <is>
          <t>CONFIRMATION</t>
        </is>
      </c>
      <c r="M128" t="inlineStr">
        <is>
          <t>557 OAK KNOLL AVE SE</t>
        </is>
      </c>
      <c r="N128">
        <f>RIGHT(M128,LEN(M128)-FIND(" ",M128))</f>
        <v/>
      </c>
      <c r="P128" t="inlineStr">
        <is>
          <t>WARREN</t>
        </is>
      </c>
      <c r="Q128" t="inlineStr">
        <is>
          <t>OH</t>
        </is>
      </c>
      <c r="R128" t="n">
        <v>44483</v>
      </c>
      <c r="AD128" t="inlineStr">
        <is>
          <t>TRUMBULL CAREER &amp; TECH CENTER</t>
        </is>
      </c>
      <c r="AE128" t="inlineStr">
        <is>
          <t>WARREN CITY</t>
        </is>
      </c>
      <c r="AF128" t="inlineStr">
        <is>
          <t>WARREN CITY SD</t>
        </is>
      </c>
      <c r="AH128" t="n">
        <v>14</v>
      </c>
      <c r="AI128" t="n">
        <v>11</v>
      </c>
      <c r="AN128" t="inlineStr">
        <is>
          <t>WARREN</t>
        </is>
      </c>
      <c r="AO128" t="inlineStr">
        <is>
          <t>WARREN CITY 4A</t>
        </is>
      </c>
      <c r="AP128" t="inlineStr">
        <is>
          <t>78-P-ADI</t>
        </is>
      </c>
      <c r="AQ128" t="n">
        <v>9</v>
      </c>
      <c r="AR128" t="n">
        <v>64</v>
      </c>
      <c r="AS128" t="n">
        <v>32</v>
      </c>
      <c r="AU128">
        <f>COUNTA($BA$128:$EH$128)</f>
        <v/>
      </c>
      <c r="AV128">
        <f>COUNTIF($BA$128:$EH$128,"D")</f>
        <v/>
      </c>
      <c r="AW128">
        <f>COUNTIF($BA$128:$EH$128,"R")</f>
        <v/>
      </c>
      <c r="AX128">
        <f>IF(BN128="D",1,0)+IF(BO128="D",1,0)+IF(BT128="D",1,0)+IF(BU128="D",1,0)+IF(BW128="D",1,0)+IF(CC128="D",1,0)+IF(CD128="D",1,0)+IF(CE128="D",1,0)+IF(CF128="D",1,0)+IF(CL128="D",1,0)+IF(CM128="D",1,0)+IF(CQ128="D",1,0)+IF(CR128="D",1,0)+IF(CS128="D",1,0)+IF(CW128="D",1,0)+IF(CX128="D",1,0)+IF(DD128="D",1,0)+IF(DE128="D",1,0)+IF(DJ128="D",1,0)+IF(DK128="D",1,0)+IF(DO128="D",1,0)+IF(DP128="D",1,0)+IF(DQ128="D",1,0)+IF(DW128="D",1,0)+IF(DZ128="D",1,0)+IF(EH128="D",1,0)</f>
        <v/>
      </c>
      <c r="AY128">
        <f>IF(DJ128&lt;&gt;"",1,0)+IF(DK128&lt;&gt;"",1,0)+IF(DM128&lt;&gt;"",1,0)+IF(DO128&lt;&gt;"",1,0)+IF(DP128&lt;&gt;"",1,0)+IF(DQ128&lt;&gt;"",1,0)+IF(DS128&lt;&gt;"",1,0)+IF(DT128&lt;&gt;"",1,0)+IF(DV128&lt;&gt;"",1,0)+IF(DW128&lt;&gt;"",1,0)+IF(DX128&lt;&gt;"",1,0)+IF(DY128&lt;&gt;"",1,0)+IF(DZ128&lt;&gt;"",1,0)+IF(EB128&lt;&gt;"",1,0)+IF(EC128&lt;&gt;"",1,0)+IF(ED128&lt;&gt;"",1,0)+IF(EG128&lt;&gt;"",1,0)+IF(EH128&lt;&gt;"",1,0)</f>
        <v/>
      </c>
      <c r="AZ128">
        <f>IF(EH128&lt;&gt;"",1,0)</f>
        <v/>
      </c>
      <c r="BB128" t="inlineStr">
        <is>
          <t>WARREN-WARD 4</t>
        </is>
      </c>
    </row>
    <row r="129">
      <c r="A129" t="inlineStr">
        <is>
          <t>OH0024648923</t>
        </is>
      </c>
      <c r="B129" t="n">
        <v>78</v>
      </c>
      <c r="C129" t="n">
        <v>432082</v>
      </c>
      <c r="D129" t="inlineStr">
        <is>
          <t>BRYANT</t>
        </is>
      </c>
      <c r="E129" t="inlineStr">
        <is>
          <t>DARIEN</t>
        </is>
      </c>
      <c r="F129">
        <f>CONCATENATE(D129," ",LEFT(H129,4),"T=",AU129,"D=",AV129,"R=",AW129,"M=",AX129,"L=",AY129,"B=",AZ129)</f>
        <v/>
      </c>
      <c r="G129" t="inlineStr">
        <is>
          <t>LAQUAN</t>
        </is>
      </c>
      <c r="I129" t="inlineStr">
        <is>
          <t>1999-11-26</t>
        </is>
      </c>
      <c r="J129" t="inlineStr">
        <is>
          <t>2019-03-28</t>
        </is>
      </c>
      <c r="K129" t="inlineStr">
        <is>
          <t>CONFIRMATION</t>
        </is>
      </c>
      <c r="M129" t="inlineStr">
        <is>
          <t>510 KENILWORTH AVE SE</t>
        </is>
      </c>
      <c r="N129">
        <f>RIGHT(M129,LEN(M129)-FIND(" ",M129))</f>
        <v/>
      </c>
      <c r="P129" t="inlineStr">
        <is>
          <t>WARREN</t>
        </is>
      </c>
      <c r="Q129" t="inlineStr">
        <is>
          <t>OH</t>
        </is>
      </c>
      <c r="R129" t="n">
        <v>44483</v>
      </c>
      <c r="AD129" t="inlineStr">
        <is>
          <t>TRUMBULL CAREER &amp; TECH CENTER</t>
        </is>
      </c>
      <c r="AE129" t="inlineStr">
        <is>
          <t>WARREN CITY</t>
        </is>
      </c>
      <c r="AF129" t="inlineStr">
        <is>
          <t>WARREN CITY SD</t>
        </is>
      </c>
      <c r="AH129" t="n">
        <v>14</v>
      </c>
      <c r="AI129" t="n">
        <v>11</v>
      </c>
      <c r="AN129" t="inlineStr">
        <is>
          <t>WARREN</t>
        </is>
      </c>
      <c r="AO129" t="inlineStr">
        <is>
          <t>WARREN CITY 4A</t>
        </is>
      </c>
      <c r="AP129" t="inlineStr">
        <is>
          <t>78-P-ADI</t>
        </is>
      </c>
      <c r="AQ129" t="n">
        <v>9</v>
      </c>
      <c r="AR129" t="n">
        <v>64</v>
      </c>
      <c r="AS129" t="n">
        <v>32</v>
      </c>
      <c r="AU129">
        <f>COUNTA($BA$129:$EH$129)</f>
        <v/>
      </c>
      <c r="AV129">
        <f>COUNTIF($BA$129:$EH$129,"D")</f>
        <v/>
      </c>
      <c r="AW129">
        <f>COUNTIF($BA$129:$EH$129,"R")</f>
        <v/>
      </c>
      <c r="AX129">
        <f>IF(BN129="D",1,0)+IF(BO129="D",1,0)+IF(BT129="D",1,0)+IF(BU129="D",1,0)+IF(BW129="D",1,0)+IF(CC129="D",1,0)+IF(CD129="D",1,0)+IF(CE129="D",1,0)+IF(CF129="D",1,0)+IF(CL129="D",1,0)+IF(CM129="D",1,0)+IF(CQ129="D",1,0)+IF(CR129="D",1,0)+IF(CS129="D",1,0)+IF(CW129="D",1,0)+IF(CX129="D",1,0)+IF(DD129="D",1,0)+IF(DE129="D",1,0)+IF(DJ129="D",1,0)+IF(DK129="D",1,0)+IF(DO129="D",1,0)+IF(DP129="D",1,0)+IF(DQ129="D",1,0)+IF(DW129="D",1,0)+IF(DZ129="D",1,0)+IF(EH129="D",1,0)</f>
        <v/>
      </c>
      <c r="AY129">
        <f>IF(DJ129&lt;&gt;"",1,0)+IF(DK129&lt;&gt;"",1,0)+IF(DM129&lt;&gt;"",1,0)+IF(DO129&lt;&gt;"",1,0)+IF(DP129&lt;&gt;"",1,0)+IF(DQ129&lt;&gt;"",1,0)+IF(DS129&lt;&gt;"",1,0)+IF(DT129&lt;&gt;"",1,0)+IF(DV129&lt;&gt;"",1,0)+IF(DW129&lt;&gt;"",1,0)+IF(DX129&lt;&gt;"",1,0)+IF(DY129&lt;&gt;"",1,0)+IF(DZ129&lt;&gt;"",1,0)+IF(EB129&lt;&gt;"",1,0)+IF(EC129&lt;&gt;"",1,0)+IF(ED129&lt;&gt;"",1,0)+IF(EG129&lt;&gt;"",1,0)+IF(EH129&lt;&gt;"",1,0)</f>
        <v/>
      </c>
      <c r="AZ129">
        <f>IF(EH129&lt;&gt;"",1,0)</f>
        <v/>
      </c>
      <c r="BB129" t="inlineStr">
        <is>
          <t>WARREN-WARD 4</t>
        </is>
      </c>
    </row>
    <row r="130">
      <c r="A130" t="inlineStr">
        <is>
          <t>OH0023349759</t>
        </is>
      </c>
      <c r="B130" t="n">
        <v>78</v>
      </c>
      <c r="C130" t="n">
        <v>411048</v>
      </c>
      <c r="D130" t="inlineStr">
        <is>
          <t>STATEMA</t>
        </is>
      </c>
      <c r="E130" t="inlineStr">
        <is>
          <t>KAYLA</t>
        </is>
      </c>
      <c r="F130">
        <f>CONCATENATE(D130," ",LEFT(H130,4),"T=",AU130,"D=",AV130,"R=",AW130,"M=",AX130,"L=",AY130,"B=",AZ130)</f>
        <v/>
      </c>
      <c r="G130" t="inlineStr">
        <is>
          <t>MARIE</t>
        </is>
      </c>
      <c r="I130" t="inlineStr">
        <is>
          <t>1995-07-13</t>
        </is>
      </c>
      <c r="J130" t="inlineStr">
        <is>
          <t>2024-07-23</t>
        </is>
      </c>
      <c r="K130" t="inlineStr">
        <is>
          <t>ACTIVE</t>
        </is>
      </c>
      <c r="M130" t="inlineStr">
        <is>
          <t>661 WOODBINE AVE SE</t>
        </is>
      </c>
      <c r="N130">
        <f>RIGHT(M130,LEN(M130)-FIND(" ",M130))</f>
        <v/>
      </c>
      <c r="P130" t="inlineStr">
        <is>
          <t>WARREN</t>
        </is>
      </c>
      <c r="Q130" t="inlineStr">
        <is>
          <t>OH</t>
        </is>
      </c>
      <c r="R130" t="n">
        <v>44483</v>
      </c>
      <c r="AD130" t="inlineStr">
        <is>
          <t>TRUMBULL CAREER &amp; TECH CENTER</t>
        </is>
      </c>
      <c r="AE130" t="inlineStr">
        <is>
          <t>WARREN CITY</t>
        </is>
      </c>
      <c r="AF130" t="inlineStr">
        <is>
          <t>WARREN CITY SD</t>
        </is>
      </c>
      <c r="AH130" t="n">
        <v>14</v>
      </c>
      <c r="AI130" t="n">
        <v>11</v>
      </c>
      <c r="AN130" t="inlineStr">
        <is>
          <t>WARREN</t>
        </is>
      </c>
      <c r="AO130" t="inlineStr">
        <is>
          <t>WARREN CITY 4A</t>
        </is>
      </c>
      <c r="AP130" t="inlineStr">
        <is>
          <t>78-P-ADI</t>
        </is>
      </c>
      <c r="AQ130" t="n">
        <v>9</v>
      </c>
      <c r="AR130" t="n">
        <v>64</v>
      </c>
      <c r="AS130" t="n">
        <v>32</v>
      </c>
      <c r="AU130">
        <f>COUNTA($BA$130:$EH$130)</f>
        <v/>
      </c>
      <c r="AV130">
        <f>COUNTIF($BA$130:$EH$130,"D")</f>
        <v/>
      </c>
      <c r="AW130">
        <f>COUNTIF($BA$130:$EH$130,"R")</f>
        <v/>
      </c>
      <c r="AX130">
        <f>IF(BN130="D",1,0)+IF(BO130="D",1,0)+IF(BT130="D",1,0)+IF(BU130="D",1,0)+IF(BW130="D",1,0)+IF(CC130="D",1,0)+IF(CD130="D",1,0)+IF(CE130="D",1,0)+IF(CF130="D",1,0)+IF(CL130="D",1,0)+IF(CM130="D",1,0)+IF(CQ130="D",1,0)+IF(CR130="D",1,0)+IF(CS130="D",1,0)+IF(CW130="D",1,0)+IF(CX130="D",1,0)+IF(DD130="D",1,0)+IF(DE130="D",1,0)+IF(DJ130="D",1,0)+IF(DK130="D",1,0)+IF(DO130="D",1,0)+IF(DP130="D",1,0)+IF(DQ130="D",1,0)+IF(DW130="D",1,0)+IF(DZ130="D",1,0)+IF(EH130="D",1,0)</f>
        <v/>
      </c>
      <c r="AY130">
        <f>IF(DJ130&lt;&gt;"",1,0)+IF(DK130&lt;&gt;"",1,0)+IF(DM130&lt;&gt;"",1,0)+IF(DO130&lt;&gt;"",1,0)+IF(DP130&lt;&gt;"",1,0)+IF(DQ130&lt;&gt;"",1,0)+IF(DS130&lt;&gt;"",1,0)+IF(DT130&lt;&gt;"",1,0)+IF(DV130&lt;&gt;"",1,0)+IF(DW130&lt;&gt;"",1,0)+IF(DX130&lt;&gt;"",1,0)+IF(DY130&lt;&gt;"",1,0)+IF(DZ130&lt;&gt;"",1,0)+IF(EB130&lt;&gt;"",1,0)+IF(EC130&lt;&gt;"",1,0)+IF(ED130&lt;&gt;"",1,0)+IF(EG130&lt;&gt;"",1,0)+IF(EH130&lt;&gt;"",1,0)</f>
        <v/>
      </c>
      <c r="AZ130">
        <f>IF(EH130&lt;&gt;"",1,0)</f>
        <v/>
      </c>
      <c r="BB130" t="inlineStr">
        <is>
          <t>WARREN-WARD 4</t>
        </is>
      </c>
      <c r="DN130" t="inlineStr">
        <is>
          <t>X</t>
        </is>
      </c>
      <c r="EF130" t="inlineStr">
        <is>
          <t>X</t>
        </is>
      </c>
    </row>
    <row r="131">
      <c r="A131" t="inlineStr">
        <is>
          <t>OH0025378043</t>
        </is>
      </c>
      <c r="B131" t="n">
        <v>78</v>
      </c>
      <c r="C131" t="n">
        <v>443544</v>
      </c>
      <c r="D131" t="inlineStr">
        <is>
          <t>WARRICK</t>
        </is>
      </c>
      <c r="E131" t="inlineStr">
        <is>
          <t>FREDERICK</t>
        </is>
      </c>
      <c r="F131">
        <f>CONCATENATE(D131," ",LEFT(H131,4),"T=",AU131,"D=",AV131,"R=",AW131,"M=",AX131,"L=",AY131,"B=",AZ131)</f>
        <v/>
      </c>
      <c r="G131" t="inlineStr">
        <is>
          <t>HENRY</t>
        </is>
      </c>
      <c r="H131" t="inlineStr">
        <is>
          <t>III</t>
        </is>
      </c>
      <c r="I131" t="inlineStr">
        <is>
          <t>1976-02-02</t>
        </is>
      </c>
      <c r="J131" t="inlineStr">
        <is>
          <t>2020-01-12</t>
        </is>
      </c>
      <c r="K131" t="inlineStr">
        <is>
          <t>ACTIVE</t>
        </is>
      </c>
      <c r="M131" t="inlineStr">
        <is>
          <t>812 KENILWORTH AVE SE</t>
        </is>
      </c>
      <c r="N131">
        <f>RIGHT(M131,LEN(M131)-FIND(" ",M131))</f>
        <v/>
      </c>
      <c r="P131" t="inlineStr">
        <is>
          <t>WARREN</t>
        </is>
      </c>
      <c r="Q131" t="inlineStr">
        <is>
          <t>OH</t>
        </is>
      </c>
      <c r="R131" t="n">
        <v>44484</v>
      </c>
      <c r="AD131" t="inlineStr">
        <is>
          <t>TRUMBULL CAREER &amp; TECH CENTER</t>
        </is>
      </c>
      <c r="AE131" t="inlineStr">
        <is>
          <t>WARREN CITY</t>
        </is>
      </c>
      <c r="AF131" t="inlineStr">
        <is>
          <t>WARREN CITY SD</t>
        </is>
      </c>
      <c r="AH131" t="n">
        <v>14</v>
      </c>
      <c r="AI131" t="n">
        <v>11</v>
      </c>
      <c r="AN131" t="inlineStr">
        <is>
          <t>WARREN</t>
        </is>
      </c>
      <c r="AO131" t="inlineStr">
        <is>
          <t>WARREN CITY 4A</t>
        </is>
      </c>
      <c r="AP131" t="inlineStr">
        <is>
          <t>78-P-ADI</t>
        </is>
      </c>
      <c r="AQ131" t="n">
        <v>9</v>
      </c>
      <c r="AR131" t="n">
        <v>64</v>
      </c>
      <c r="AS131" t="n">
        <v>32</v>
      </c>
      <c r="AU131">
        <f>COUNTA($BA$131:$EH$131)</f>
        <v/>
      </c>
      <c r="AV131">
        <f>COUNTIF($BA$131:$EH$131,"D")</f>
        <v/>
      </c>
      <c r="AW131">
        <f>COUNTIF($BA$131:$EH$131,"R")</f>
        <v/>
      </c>
      <c r="AX131">
        <f>IF(BN131="D",1,0)+IF(BO131="D",1,0)+IF(BT131="D",1,0)+IF(BU131="D",1,0)+IF(BW131="D",1,0)+IF(CC131="D",1,0)+IF(CD131="D",1,0)+IF(CE131="D",1,0)+IF(CF131="D",1,0)+IF(CL131="D",1,0)+IF(CM131="D",1,0)+IF(CQ131="D",1,0)+IF(CR131="D",1,0)+IF(CS131="D",1,0)+IF(CW131="D",1,0)+IF(CX131="D",1,0)+IF(DD131="D",1,0)+IF(DE131="D",1,0)+IF(DJ131="D",1,0)+IF(DK131="D",1,0)+IF(DO131="D",1,0)+IF(DP131="D",1,0)+IF(DQ131="D",1,0)+IF(DW131="D",1,0)+IF(DZ131="D",1,0)+IF(EH131="D",1,0)</f>
        <v/>
      </c>
      <c r="AY131">
        <f>IF(DJ131&lt;&gt;"",1,0)+IF(DK131&lt;&gt;"",1,0)+IF(DM131&lt;&gt;"",1,0)+IF(DO131&lt;&gt;"",1,0)+IF(DP131&lt;&gt;"",1,0)+IF(DQ131&lt;&gt;"",1,0)+IF(DS131&lt;&gt;"",1,0)+IF(DT131&lt;&gt;"",1,0)+IF(DV131&lt;&gt;"",1,0)+IF(DW131&lt;&gt;"",1,0)+IF(DX131&lt;&gt;"",1,0)+IF(DY131&lt;&gt;"",1,0)+IF(DZ131&lt;&gt;"",1,0)+IF(EB131&lt;&gt;"",1,0)+IF(EC131&lt;&gt;"",1,0)+IF(ED131&lt;&gt;"",1,0)+IF(EG131&lt;&gt;"",1,0)+IF(EH131&lt;&gt;"",1,0)</f>
        <v/>
      </c>
      <c r="AZ131">
        <f>IF(EH131&lt;&gt;"",1,0)</f>
        <v/>
      </c>
      <c r="BB131" t="inlineStr">
        <is>
          <t>WARREN-WARD 4</t>
        </is>
      </c>
      <c r="CP131" t="inlineStr">
        <is>
          <t>X</t>
        </is>
      </c>
      <c r="CY131" t="inlineStr">
        <is>
          <t>X</t>
        </is>
      </c>
      <c r="CZ131" t="inlineStr">
        <is>
          <t>D</t>
        </is>
      </c>
      <c r="DC131" t="inlineStr">
        <is>
          <t>X</t>
        </is>
      </c>
      <c r="DF131" t="inlineStr">
        <is>
          <t>X</t>
        </is>
      </c>
      <c r="DI131" t="inlineStr">
        <is>
          <t>X</t>
        </is>
      </c>
      <c r="DM131" t="inlineStr">
        <is>
          <t>D</t>
        </is>
      </c>
      <c r="DN131" t="inlineStr">
        <is>
          <t>X</t>
        </is>
      </c>
      <c r="DU131" t="inlineStr">
        <is>
          <t>X</t>
        </is>
      </c>
      <c r="EF131" t="inlineStr">
        <is>
          <t>X</t>
        </is>
      </c>
    </row>
    <row r="132">
      <c r="A132" t="inlineStr">
        <is>
          <t>OH0022955516</t>
        </is>
      </c>
      <c r="B132" t="n">
        <v>78</v>
      </c>
      <c r="C132" t="n">
        <v>404649</v>
      </c>
      <c r="D132" t="inlineStr">
        <is>
          <t>STEIN</t>
        </is>
      </c>
      <c r="E132" t="inlineStr">
        <is>
          <t>BRAXTON</t>
        </is>
      </c>
      <c r="F132">
        <f>CONCATENATE(D132," ",LEFT(H132,4),"T=",AU132,"D=",AV132,"R=",AW132,"M=",AX132,"L=",AY132,"B=",AZ132)</f>
        <v/>
      </c>
      <c r="G132" t="inlineStr">
        <is>
          <t>R</t>
        </is>
      </c>
      <c r="I132" t="inlineStr">
        <is>
          <t>1996-10-18</t>
        </is>
      </c>
      <c r="J132" t="inlineStr">
        <is>
          <t>2020-10-02</t>
        </is>
      </c>
      <c r="K132" t="inlineStr">
        <is>
          <t>ACTIVE</t>
        </is>
      </c>
      <c r="M132" t="inlineStr">
        <is>
          <t>307 WOODBINE AVE SE</t>
        </is>
      </c>
      <c r="N132">
        <f>RIGHT(M132,LEN(M132)-FIND(" ",M132))</f>
        <v/>
      </c>
      <c r="P132" t="inlineStr">
        <is>
          <t>WARREN</t>
        </is>
      </c>
      <c r="Q132" t="inlineStr">
        <is>
          <t>OH</t>
        </is>
      </c>
      <c r="R132" t="n">
        <v>44483</v>
      </c>
      <c r="AD132" t="inlineStr">
        <is>
          <t>TRUMBULL CAREER &amp; TECH CENTER</t>
        </is>
      </c>
      <c r="AE132" t="inlineStr">
        <is>
          <t>WARREN CITY</t>
        </is>
      </c>
      <c r="AF132" t="inlineStr">
        <is>
          <t>WARREN CITY SD</t>
        </is>
      </c>
      <c r="AH132" t="n">
        <v>14</v>
      </c>
      <c r="AI132" t="n">
        <v>11</v>
      </c>
      <c r="AN132" t="inlineStr">
        <is>
          <t>WARREN</t>
        </is>
      </c>
      <c r="AO132" t="inlineStr">
        <is>
          <t>WARREN CITY 4A</t>
        </is>
      </c>
      <c r="AP132" t="inlineStr">
        <is>
          <t>78-P-ADI</t>
        </is>
      </c>
      <c r="AQ132" t="n">
        <v>9</v>
      </c>
      <c r="AR132" t="n">
        <v>64</v>
      </c>
      <c r="AS132" t="n">
        <v>32</v>
      </c>
      <c r="AU132">
        <f>COUNTA($BA$132:$EH$132)</f>
        <v/>
      </c>
      <c r="AV132">
        <f>COUNTIF($BA$132:$EH$132,"D")</f>
        <v/>
      </c>
      <c r="AW132">
        <f>COUNTIF($BA$132:$EH$132,"R")</f>
        <v/>
      </c>
      <c r="AX132">
        <f>IF(BN132="D",1,0)+IF(BO132="D",1,0)+IF(BT132="D",1,0)+IF(BU132="D",1,0)+IF(BW132="D",1,0)+IF(CC132="D",1,0)+IF(CD132="D",1,0)+IF(CE132="D",1,0)+IF(CF132="D",1,0)+IF(CL132="D",1,0)+IF(CM132="D",1,0)+IF(CQ132="D",1,0)+IF(CR132="D",1,0)+IF(CS132="D",1,0)+IF(CW132="D",1,0)+IF(CX132="D",1,0)+IF(DD132="D",1,0)+IF(DE132="D",1,0)+IF(DJ132="D",1,0)+IF(DK132="D",1,0)+IF(DO132="D",1,0)+IF(DP132="D",1,0)+IF(DQ132="D",1,0)+IF(DW132="D",1,0)+IF(DZ132="D",1,0)+IF(EH132="D",1,0)</f>
        <v/>
      </c>
      <c r="AY132">
        <f>IF(DJ132&lt;&gt;"",1,0)+IF(DK132&lt;&gt;"",1,0)+IF(DM132&lt;&gt;"",1,0)+IF(DO132&lt;&gt;"",1,0)+IF(DP132&lt;&gt;"",1,0)+IF(DQ132&lt;&gt;"",1,0)+IF(DS132&lt;&gt;"",1,0)+IF(DT132&lt;&gt;"",1,0)+IF(DV132&lt;&gt;"",1,0)+IF(DW132&lt;&gt;"",1,0)+IF(DX132&lt;&gt;"",1,0)+IF(DY132&lt;&gt;"",1,0)+IF(DZ132&lt;&gt;"",1,0)+IF(EB132&lt;&gt;"",1,0)+IF(EC132&lt;&gt;"",1,0)+IF(ED132&lt;&gt;"",1,0)+IF(EG132&lt;&gt;"",1,0)+IF(EH132&lt;&gt;"",1,0)</f>
        <v/>
      </c>
      <c r="AZ132">
        <f>IF(EH132&lt;&gt;"",1,0)</f>
        <v/>
      </c>
      <c r="BB132" t="inlineStr">
        <is>
          <t>WARREN-WARD 4</t>
        </is>
      </c>
      <c r="DC132" t="inlineStr">
        <is>
          <t>X</t>
        </is>
      </c>
      <c r="DN132" t="inlineStr">
        <is>
          <t>X</t>
        </is>
      </c>
      <c r="EA132" t="inlineStr">
        <is>
          <t>X</t>
        </is>
      </c>
      <c r="EF132" t="inlineStr">
        <is>
          <t>X</t>
        </is>
      </c>
    </row>
    <row r="133">
      <c r="A133" t="inlineStr">
        <is>
          <t>OH0026913028</t>
        </is>
      </c>
      <c r="B133" t="n">
        <v>78</v>
      </c>
      <c r="C133" t="n">
        <v>474158</v>
      </c>
      <c r="D133" t="inlineStr">
        <is>
          <t>DAVIS</t>
        </is>
      </c>
      <c r="E133" t="inlineStr">
        <is>
          <t>LAKOTA</t>
        </is>
      </c>
      <c r="F133">
        <f>CONCATENATE(D133," ",LEFT(H133,4),"T=",AU133,"D=",AV133,"R=",AW133,"M=",AX133,"L=",AY133,"B=",AZ133)</f>
        <v/>
      </c>
      <c r="G133" t="inlineStr">
        <is>
          <t>MAY</t>
        </is>
      </c>
      <c r="I133" t="inlineStr">
        <is>
          <t>2002-05-25</t>
        </is>
      </c>
      <c r="J133" t="inlineStr">
        <is>
          <t>2024-08-21</t>
        </is>
      </c>
      <c r="K133" t="inlineStr">
        <is>
          <t>ACTIVE</t>
        </is>
      </c>
      <c r="M133" t="inlineStr">
        <is>
          <t>357 LAIRD AVE SE</t>
        </is>
      </c>
      <c r="N133">
        <f>RIGHT(M133,LEN(M133)-FIND(" ",M133))</f>
        <v/>
      </c>
      <c r="P133" t="inlineStr">
        <is>
          <t>WARREN</t>
        </is>
      </c>
      <c r="Q133" t="inlineStr">
        <is>
          <t>OH</t>
        </is>
      </c>
      <c r="R133" t="n">
        <v>44483</v>
      </c>
      <c r="AD133" t="inlineStr">
        <is>
          <t>TRUMBULL CAREER &amp; TECH CENTER</t>
        </is>
      </c>
      <c r="AE133" t="inlineStr">
        <is>
          <t>WARREN CITY</t>
        </is>
      </c>
      <c r="AF133" t="inlineStr">
        <is>
          <t>WARREN CITY SD</t>
        </is>
      </c>
      <c r="AH133" t="n">
        <v>14</v>
      </c>
      <c r="AI133" t="n">
        <v>11</v>
      </c>
      <c r="AN133" t="inlineStr">
        <is>
          <t>WARREN</t>
        </is>
      </c>
      <c r="AO133" t="inlineStr">
        <is>
          <t>WARREN CITY 4A</t>
        </is>
      </c>
      <c r="AP133" t="inlineStr">
        <is>
          <t>78-P-ADI</t>
        </is>
      </c>
      <c r="AQ133" t="n">
        <v>9</v>
      </c>
      <c r="AR133" t="n">
        <v>64</v>
      </c>
      <c r="AS133" t="n">
        <v>32</v>
      </c>
      <c r="AU133">
        <f>COUNTA($BA$133:$EH$133)</f>
        <v/>
      </c>
      <c r="AV133">
        <f>COUNTIF($BA$133:$EH$133,"D")</f>
        <v/>
      </c>
      <c r="AW133">
        <f>COUNTIF($BA$133:$EH$133,"R")</f>
        <v/>
      </c>
      <c r="AX133">
        <f>IF(BN133="D",1,0)+IF(BO133="D",1,0)+IF(BT133="D",1,0)+IF(BU133="D",1,0)+IF(BW133="D",1,0)+IF(CC133="D",1,0)+IF(CD133="D",1,0)+IF(CE133="D",1,0)+IF(CF133="D",1,0)+IF(CL133="D",1,0)+IF(CM133="D",1,0)+IF(CQ133="D",1,0)+IF(CR133="D",1,0)+IF(CS133="D",1,0)+IF(CW133="D",1,0)+IF(CX133="D",1,0)+IF(DD133="D",1,0)+IF(DE133="D",1,0)+IF(DJ133="D",1,0)+IF(DK133="D",1,0)+IF(DO133="D",1,0)+IF(DP133="D",1,0)+IF(DQ133="D",1,0)+IF(DW133="D",1,0)+IF(DZ133="D",1,0)+IF(EH133="D",1,0)</f>
        <v/>
      </c>
      <c r="AY133">
        <f>IF(DJ133&lt;&gt;"",1,0)+IF(DK133&lt;&gt;"",1,0)+IF(DM133&lt;&gt;"",1,0)+IF(DO133&lt;&gt;"",1,0)+IF(DP133&lt;&gt;"",1,0)+IF(DQ133&lt;&gt;"",1,0)+IF(DS133&lt;&gt;"",1,0)+IF(DT133&lt;&gt;"",1,0)+IF(DV133&lt;&gt;"",1,0)+IF(DW133&lt;&gt;"",1,0)+IF(DX133&lt;&gt;"",1,0)+IF(DY133&lt;&gt;"",1,0)+IF(DZ133&lt;&gt;"",1,0)+IF(EB133&lt;&gt;"",1,0)+IF(EC133&lt;&gt;"",1,0)+IF(ED133&lt;&gt;"",1,0)+IF(EG133&lt;&gt;"",1,0)+IF(EH133&lt;&gt;"",1,0)</f>
        <v/>
      </c>
      <c r="AZ133">
        <f>IF(EH133&lt;&gt;"",1,0)</f>
        <v/>
      </c>
      <c r="BB133" t="inlineStr">
        <is>
          <t>WARREN-WARD 4</t>
        </is>
      </c>
    </row>
    <row r="134">
      <c r="A134" t="inlineStr">
        <is>
          <t>OH0019832197</t>
        </is>
      </c>
      <c r="B134" t="n">
        <v>78</v>
      </c>
      <c r="C134" t="n">
        <v>359823</v>
      </c>
      <c r="D134" t="inlineStr">
        <is>
          <t>CRITCHFIELD</t>
        </is>
      </c>
      <c r="E134" t="inlineStr">
        <is>
          <t>NATHAN</t>
        </is>
      </c>
      <c r="F134">
        <f>CONCATENATE(D134," ",LEFT(H134,4),"T=",AU134,"D=",AV134,"R=",AW134,"M=",AX134,"L=",AY134,"B=",AZ134)</f>
        <v/>
      </c>
      <c r="G134" t="inlineStr">
        <is>
          <t>E</t>
        </is>
      </c>
      <c r="I134" t="inlineStr">
        <is>
          <t>1970-09-03</t>
        </is>
      </c>
      <c r="J134" t="inlineStr">
        <is>
          <t>2011-06-16</t>
        </is>
      </c>
      <c r="K134" t="inlineStr">
        <is>
          <t>CONFIRMATION</t>
        </is>
      </c>
      <c r="M134" t="inlineStr">
        <is>
          <t>1000 E MARKET ST</t>
        </is>
      </c>
      <c r="N134">
        <f>RIGHT(M134,LEN(M134)-FIND(" ",M134))</f>
        <v/>
      </c>
      <c r="O134" t="inlineStr">
        <is>
          <t>APT B</t>
        </is>
      </c>
      <c r="P134" t="inlineStr">
        <is>
          <t>WARREN</t>
        </is>
      </c>
      <c r="Q134" t="inlineStr">
        <is>
          <t>OH</t>
        </is>
      </c>
      <c r="R134" t="n">
        <v>44483</v>
      </c>
      <c r="AD134" t="inlineStr">
        <is>
          <t>TRUMBULL CAREER &amp; TECH CENTER</t>
        </is>
      </c>
      <c r="AE134" t="inlineStr">
        <is>
          <t>WARREN CITY</t>
        </is>
      </c>
      <c r="AF134" t="inlineStr">
        <is>
          <t>WARREN CITY SD</t>
        </is>
      </c>
      <c r="AH134" t="n">
        <v>14</v>
      </c>
      <c r="AI134" t="n">
        <v>11</v>
      </c>
      <c r="AN134" t="inlineStr">
        <is>
          <t>WARREN</t>
        </is>
      </c>
      <c r="AO134" t="inlineStr">
        <is>
          <t>WARREN CITY 4A</t>
        </is>
      </c>
      <c r="AP134" t="inlineStr">
        <is>
          <t>78-P-ADI</t>
        </is>
      </c>
      <c r="AQ134" t="n">
        <v>9</v>
      </c>
      <c r="AR134" t="n">
        <v>64</v>
      </c>
      <c r="AS134" t="n">
        <v>32</v>
      </c>
      <c r="AU134">
        <f>COUNTA($BA$134:$EH$134)</f>
        <v/>
      </c>
      <c r="AV134">
        <f>COUNTIF($BA$134:$EH$134,"D")</f>
        <v/>
      </c>
      <c r="AW134">
        <f>COUNTIF($BA$134:$EH$134,"R")</f>
        <v/>
      </c>
      <c r="AX134">
        <f>IF(BN134="D",1,0)+IF(BO134="D",1,0)+IF(BT134="D",1,0)+IF(BU134="D",1,0)+IF(BW134="D",1,0)+IF(CC134="D",1,0)+IF(CD134="D",1,0)+IF(CE134="D",1,0)+IF(CF134="D",1,0)+IF(CL134="D",1,0)+IF(CM134="D",1,0)+IF(CQ134="D",1,0)+IF(CR134="D",1,0)+IF(CS134="D",1,0)+IF(CW134="D",1,0)+IF(CX134="D",1,0)+IF(DD134="D",1,0)+IF(DE134="D",1,0)+IF(DJ134="D",1,0)+IF(DK134="D",1,0)+IF(DO134="D",1,0)+IF(DP134="D",1,0)+IF(DQ134="D",1,0)+IF(DW134="D",1,0)+IF(DZ134="D",1,0)+IF(EH134="D",1,0)</f>
        <v/>
      </c>
      <c r="AY134">
        <f>IF(DJ134&lt;&gt;"",1,0)+IF(DK134&lt;&gt;"",1,0)+IF(DM134&lt;&gt;"",1,0)+IF(DO134&lt;&gt;"",1,0)+IF(DP134&lt;&gt;"",1,0)+IF(DQ134&lt;&gt;"",1,0)+IF(DS134&lt;&gt;"",1,0)+IF(DT134&lt;&gt;"",1,0)+IF(DV134&lt;&gt;"",1,0)+IF(DW134&lt;&gt;"",1,0)+IF(DX134&lt;&gt;"",1,0)+IF(DY134&lt;&gt;"",1,0)+IF(DZ134&lt;&gt;"",1,0)+IF(EB134&lt;&gt;"",1,0)+IF(EC134&lt;&gt;"",1,0)+IF(ED134&lt;&gt;"",1,0)+IF(EG134&lt;&gt;"",1,0)+IF(EH134&lt;&gt;"",1,0)</f>
        <v/>
      </c>
      <c r="AZ134">
        <f>IF(EH134&lt;&gt;"",1,0)</f>
        <v/>
      </c>
      <c r="BB134" t="inlineStr">
        <is>
          <t>WARREN-WARD 4</t>
        </is>
      </c>
      <c r="CA134" t="inlineStr">
        <is>
          <t>X</t>
        </is>
      </c>
      <c r="CP134" t="inlineStr">
        <is>
          <t>X</t>
        </is>
      </c>
      <c r="DC134" t="inlineStr">
        <is>
          <t>X</t>
        </is>
      </c>
      <c r="DI134" t="inlineStr">
        <is>
          <t>X</t>
        </is>
      </c>
      <c r="DN134" t="inlineStr">
        <is>
          <t>X</t>
        </is>
      </c>
    </row>
    <row r="135">
      <c r="A135" t="inlineStr">
        <is>
          <t>OH0024250503</t>
        </is>
      </c>
      <c r="B135" t="n">
        <v>78</v>
      </c>
      <c r="C135" t="n">
        <v>425690</v>
      </c>
      <c r="D135" t="inlineStr">
        <is>
          <t>WHITE</t>
        </is>
      </c>
      <c r="E135" t="inlineStr">
        <is>
          <t>JAWUAN</t>
        </is>
      </c>
      <c r="F135">
        <f>CONCATENATE(D135," ",LEFT(H135,4),"T=",AU135,"D=",AV135,"R=",AW135,"M=",AX135,"L=",AY135,"B=",AZ135)</f>
        <v/>
      </c>
      <c r="G135" t="inlineStr">
        <is>
          <t>MARCEL</t>
        </is>
      </c>
      <c r="I135" t="inlineStr">
        <is>
          <t>1996-01-04</t>
        </is>
      </c>
      <c r="J135" t="inlineStr">
        <is>
          <t>2017-03-24</t>
        </is>
      </c>
      <c r="K135" t="inlineStr">
        <is>
          <t>CONFIRMATION</t>
        </is>
      </c>
      <c r="M135" t="inlineStr">
        <is>
          <t>306 WOODBINE AVE SE</t>
        </is>
      </c>
      <c r="N135">
        <f>RIGHT(M135,LEN(M135)-FIND(" ",M135))</f>
        <v/>
      </c>
      <c r="P135" t="inlineStr">
        <is>
          <t>WARREN</t>
        </is>
      </c>
      <c r="Q135" t="inlineStr">
        <is>
          <t>OH</t>
        </is>
      </c>
      <c r="R135" t="n">
        <v>44483</v>
      </c>
      <c r="AD135" t="inlineStr">
        <is>
          <t>TRUMBULL CAREER &amp; TECH CENTER</t>
        </is>
      </c>
      <c r="AE135" t="inlineStr">
        <is>
          <t>WARREN CITY</t>
        </is>
      </c>
      <c r="AF135" t="inlineStr">
        <is>
          <t>WARREN CITY SD</t>
        </is>
      </c>
      <c r="AH135" t="n">
        <v>14</v>
      </c>
      <c r="AI135" t="n">
        <v>11</v>
      </c>
      <c r="AN135" t="inlineStr">
        <is>
          <t>WARREN</t>
        </is>
      </c>
      <c r="AO135" t="inlineStr">
        <is>
          <t>WARREN CITY 4A</t>
        </is>
      </c>
      <c r="AP135" t="inlineStr">
        <is>
          <t>78-P-ADI</t>
        </is>
      </c>
      <c r="AQ135" t="n">
        <v>9</v>
      </c>
      <c r="AR135" t="n">
        <v>64</v>
      </c>
      <c r="AS135" t="n">
        <v>32</v>
      </c>
      <c r="AU135">
        <f>COUNTA($BA$135:$EH$135)</f>
        <v/>
      </c>
      <c r="AV135">
        <f>COUNTIF($BA$135:$EH$135,"D")</f>
        <v/>
      </c>
      <c r="AW135">
        <f>COUNTIF($BA$135:$EH$135,"R")</f>
        <v/>
      </c>
      <c r="AX135">
        <f>IF(BN135="D",1,0)+IF(BO135="D",1,0)+IF(BT135="D",1,0)+IF(BU135="D",1,0)+IF(BW135="D",1,0)+IF(CC135="D",1,0)+IF(CD135="D",1,0)+IF(CE135="D",1,0)+IF(CF135="D",1,0)+IF(CL135="D",1,0)+IF(CM135="D",1,0)+IF(CQ135="D",1,0)+IF(CR135="D",1,0)+IF(CS135="D",1,0)+IF(CW135="D",1,0)+IF(CX135="D",1,0)+IF(DD135="D",1,0)+IF(DE135="D",1,0)+IF(DJ135="D",1,0)+IF(DK135="D",1,0)+IF(DO135="D",1,0)+IF(DP135="D",1,0)+IF(DQ135="D",1,0)+IF(DW135="D",1,0)+IF(DZ135="D",1,0)+IF(EH135="D",1,0)</f>
        <v/>
      </c>
      <c r="AY135">
        <f>IF(DJ135&lt;&gt;"",1,0)+IF(DK135&lt;&gt;"",1,0)+IF(DM135&lt;&gt;"",1,0)+IF(DO135&lt;&gt;"",1,0)+IF(DP135&lt;&gt;"",1,0)+IF(DQ135&lt;&gt;"",1,0)+IF(DS135&lt;&gt;"",1,0)+IF(DT135&lt;&gt;"",1,0)+IF(DV135&lt;&gt;"",1,0)+IF(DW135&lt;&gt;"",1,0)+IF(DX135&lt;&gt;"",1,0)+IF(DY135&lt;&gt;"",1,0)+IF(DZ135&lt;&gt;"",1,0)+IF(EB135&lt;&gt;"",1,0)+IF(EC135&lt;&gt;"",1,0)+IF(ED135&lt;&gt;"",1,0)+IF(EG135&lt;&gt;"",1,0)+IF(EH135&lt;&gt;"",1,0)</f>
        <v/>
      </c>
      <c r="AZ135">
        <f>IF(EH135&lt;&gt;"",1,0)</f>
        <v/>
      </c>
      <c r="BB135" t="inlineStr">
        <is>
          <t>WARREN-WARD 4</t>
        </is>
      </c>
    </row>
    <row r="136">
      <c r="A136" t="inlineStr">
        <is>
          <t>OH0022438678</t>
        </is>
      </c>
      <c r="B136" t="n">
        <v>78</v>
      </c>
      <c r="C136" t="n">
        <v>396568</v>
      </c>
      <c r="D136" t="inlineStr">
        <is>
          <t>HULLIHEN</t>
        </is>
      </c>
      <c r="E136" t="inlineStr">
        <is>
          <t>DARIAN</t>
        </is>
      </c>
      <c r="F136">
        <f>CONCATENATE(D136," ",LEFT(H136,4),"T=",AU136,"D=",AV136,"R=",AW136,"M=",AX136,"L=",AY136,"B=",AZ136)</f>
        <v/>
      </c>
      <c r="G136" t="inlineStr">
        <is>
          <t>J</t>
        </is>
      </c>
      <c r="I136" t="inlineStr">
        <is>
          <t>1992-04-25</t>
        </is>
      </c>
      <c r="J136" t="inlineStr">
        <is>
          <t>2019-09-24</t>
        </is>
      </c>
      <c r="K136" t="inlineStr">
        <is>
          <t>ACTIVE</t>
        </is>
      </c>
      <c r="M136" t="inlineStr">
        <is>
          <t>339 KENILWORTH AVE SE</t>
        </is>
      </c>
      <c r="N136">
        <f>RIGHT(M136,LEN(M136)-FIND(" ",M136))</f>
        <v/>
      </c>
      <c r="P136" t="inlineStr">
        <is>
          <t>WARREN</t>
        </is>
      </c>
      <c r="Q136" t="inlineStr">
        <is>
          <t>OH</t>
        </is>
      </c>
      <c r="R136" t="n">
        <v>44483</v>
      </c>
      <c r="AD136" t="inlineStr">
        <is>
          <t>TRUMBULL CAREER &amp; TECH CENTER</t>
        </is>
      </c>
      <c r="AE136" t="inlineStr">
        <is>
          <t>WARREN CITY</t>
        </is>
      </c>
      <c r="AF136" t="inlineStr">
        <is>
          <t>WARREN CITY SD</t>
        </is>
      </c>
      <c r="AH136" t="n">
        <v>14</v>
      </c>
      <c r="AI136" t="n">
        <v>11</v>
      </c>
      <c r="AN136" t="inlineStr">
        <is>
          <t>WARREN</t>
        </is>
      </c>
      <c r="AO136" t="inlineStr">
        <is>
          <t>WARREN CITY 4A</t>
        </is>
      </c>
      <c r="AP136" t="inlineStr">
        <is>
          <t>78-P-ADI</t>
        </is>
      </c>
      <c r="AQ136" t="n">
        <v>9</v>
      </c>
      <c r="AR136" t="n">
        <v>64</v>
      </c>
      <c r="AS136" t="n">
        <v>32</v>
      </c>
      <c r="AU136">
        <f>COUNTA($BA$136:$EH$136)</f>
        <v/>
      </c>
      <c r="AV136">
        <f>COUNTIF($BA$136:$EH$136,"D")</f>
        <v/>
      </c>
      <c r="AW136">
        <f>COUNTIF($BA$136:$EH$136,"R")</f>
        <v/>
      </c>
      <c r="AX136">
        <f>IF(BN136="D",1,0)+IF(BO136="D",1,0)+IF(BT136="D",1,0)+IF(BU136="D",1,0)+IF(BW136="D",1,0)+IF(CC136="D",1,0)+IF(CD136="D",1,0)+IF(CE136="D",1,0)+IF(CF136="D",1,0)+IF(CL136="D",1,0)+IF(CM136="D",1,0)+IF(CQ136="D",1,0)+IF(CR136="D",1,0)+IF(CS136="D",1,0)+IF(CW136="D",1,0)+IF(CX136="D",1,0)+IF(DD136="D",1,0)+IF(DE136="D",1,0)+IF(DJ136="D",1,0)+IF(DK136="D",1,0)+IF(DO136="D",1,0)+IF(DP136="D",1,0)+IF(DQ136="D",1,0)+IF(DW136="D",1,0)+IF(DZ136="D",1,0)+IF(EH136="D",1,0)</f>
        <v/>
      </c>
      <c r="AY136">
        <f>IF(DJ136&lt;&gt;"",1,0)+IF(DK136&lt;&gt;"",1,0)+IF(DM136&lt;&gt;"",1,0)+IF(DO136&lt;&gt;"",1,0)+IF(DP136&lt;&gt;"",1,0)+IF(DQ136&lt;&gt;"",1,0)+IF(DS136&lt;&gt;"",1,0)+IF(DT136&lt;&gt;"",1,0)+IF(DV136&lt;&gt;"",1,0)+IF(DW136&lt;&gt;"",1,0)+IF(DX136&lt;&gt;"",1,0)+IF(DY136&lt;&gt;"",1,0)+IF(DZ136&lt;&gt;"",1,0)+IF(EB136&lt;&gt;"",1,0)+IF(EC136&lt;&gt;"",1,0)+IF(ED136&lt;&gt;"",1,0)+IF(EG136&lt;&gt;"",1,0)+IF(EH136&lt;&gt;"",1,0)</f>
        <v/>
      </c>
      <c r="AZ136">
        <f>IF(EH136&lt;&gt;"",1,0)</f>
        <v/>
      </c>
      <c r="BB136" t="inlineStr">
        <is>
          <t>WARREN-WARD 4</t>
        </is>
      </c>
      <c r="DC136" t="inlineStr">
        <is>
          <t>X</t>
        </is>
      </c>
      <c r="DI136" t="inlineStr">
        <is>
          <t>X</t>
        </is>
      </c>
      <c r="DN136" t="inlineStr">
        <is>
          <t>X</t>
        </is>
      </c>
      <c r="EF136" t="inlineStr">
        <is>
          <t>X</t>
        </is>
      </c>
    </row>
    <row r="137">
      <c r="A137" t="inlineStr">
        <is>
          <t>OH0027952079</t>
        </is>
      </c>
      <c r="B137" t="n">
        <v>78</v>
      </c>
      <c r="C137" t="n">
        <v>496068</v>
      </c>
      <c r="D137" t="inlineStr">
        <is>
          <t>HELLER</t>
        </is>
      </c>
      <c r="E137" t="inlineStr">
        <is>
          <t>ZION</t>
        </is>
      </c>
      <c r="F137">
        <f>CONCATENATE(D137," ",LEFT(H137,4),"T=",AU137,"D=",AV137,"R=",AW137,"M=",AX137,"L=",AY137,"B=",AZ137)</f>
        <v/>
      </c>
      <c r="G137" t="inlineStr">
        <is>
          <t>ORNEIL</t>
        </is>
      </c>
      <c r="I137" t="inlineStr">
        <is>
          <t>2007-04-25</t>
        </is>
      </c>
      <c r="J137" t="inlineStr">
        <is>
          <t>2025-05-10</t>
        </is>
      </c>
      <c r="K137" t="inlineStr">
        <is>
          <t>ACTIVE</t>
        </is>
      </c>
      <c r="M137" t="inlineStr">
        <is>
          <t>1224 BELLE ST SE</t>
        </is>
      </c>
      <c r="N137">
        <f>RIGHT(M137,LEN(M137)-FIND(" ",M137))</f>
        <v/>
      </c>
      <c r="P137" t="inlineStr">
        <is>
          <t>WARREN</t>
        </is>
      </c>
      <c r="Q137" t="inlineStr">
        <is>
          <t>OH</t>
        </is>
      </c>
      <c r="R137" t="n">
        <v>44484</v>
      </c>
      <c r="AD137" t="inlineStr">
        <is>
          <t>TRUMBULL CAREER &amp; TECH CENTER</t>
        </is>
      </c>
      <c r="AE137" t="inlineStr">
        <is>
          <t>WARREN CITY</t>
        </is>
      </c>
      <c r="AF137" t="inlineStr">
        <is>
          <t>WARREN CITY SD</t>
        </is>
      </c>
      <c r="AH137" t="n">
        <v>14</v>
      </c>
      <c r="AI137" t="n">
        <v>11</v>
      </c>
      <c r="AN137" t="inlineStr">
        <is>
          <t>WARREN</t>
        </is>
      </c>
      <c r="AO137" t="inlineStr">
        <is>
          <t>WARREN CITY 4A</t>
        </is>
      </c>
      <c r="AP137" t="inlineStr">
        <is>
          <t>78-P-ADI</t>
        </is>
      </c>
      <c r="AQ137" t="n">
        <v>9</v>
      </c>
      <c r="AR137" t="n">
        <v>64</v>
      </c>
      <c r="AS137" t="n">
        <v>32</v>
      </c>
      <c r="AU137">
        <f>COUNTA($BA$137:$EH$137)</f>
        <v/>
      </c>
      <c r="AV137">
        <f>COUNTIF($BA$137:$EH$137,"D")</f>
        <v/>
      </c>
      <c r="AW137">
        <f>COUNTIF($BA$137:$EH$137,"R")</f>
        <v/>
      </c>
      <c r="AX137">
        <f>IF(BN137="D",1,0)+IF(BO137="D",1,0)+IF(BT137="D",1,0)+IF(BU137="D",1,0)+IF(BW137="D",1,0)+IF(CC137="D",1,0)+IF(CD137="D",1,0)+IF(CE137="D",1,0)+IF(CF137="D",1,0)+IF(CL137="D",1,0)+IF(CM137="D",1,0)+IF(CQ137="D",1,0)+IF(CR137="D",1,0)+IF(CS137="D",1,0)+IF(CW137="D",1,0)+IF(CX137="D",1,0)+IF(DD137="D",1,0)+IF(DE137="D",1,0)+IF(DJ137="D",1,0)+IF(DK137="D",1,0)+IF(DO137="D",1,0)+IF(DP137="D",1,0)+IF(DQ137="D",1,0)+IF(DW137="D",1,0)+IF(DZ137="D",1,0)+IF(EH137="D",1,0)</f>
        <v/>
      </c>
      <c r="AY137">
        <f>IF(DJ137&lt;&gt;"",1,0)+IF(DK137&lt;&gt;"",1,0)+IF(DM137&lt;&gt;"",1,0)+IF(DO137&lt;&gt;"",1,0)+IF(DP137&lt;&gt;"",1,0)+IF(DQ137&lt;&gt;"",1,0)+IF(DS137&lt;&gt;"",1,0)+IF(DT137&lt;&gt;"",1,0)+IF(DV137&lt;&gt;"",1,0)+IF(DW137&lt;&gt;"",1,0)+IF(DX137&lt;&gt;"",1,0)+IF(DY137&lt;&gt;"",1,0)+IF(DZ137&lt;&gt;"",1,0)+IF(EB137&lt;&gt;"",1,0)+IF(EC137&lt;&gt;"",1,0)+IF(ED137&lt;&gt;"",1,0)+IF(EG137&lt;&gt;"",1,0)+IF(EH137&lt;&gt;"",1,0)</f>
        <v/>
      </c>
      <c r="AZ137">
        <f>IF(EH137&lt;&gt;"",1,0)</f>
        <v/>
      </c>
      <c r="BB137" t="inlineStr">
        <is>
          <t>WARREN-WARD 4</t>
        </is>
      </c>
    </row>
    <row r="138">
      <c r="A138" t="inlineStr">
        <is>
          <t>OH0022329307</t>
        </is>
      </c>
      <c r="B138" t="n">
        <v>78</v>
      </c>
      <c r="C138" t="n">
        <v>394469</v>
      </c>
      <c r="D138" t="inlineStr">
        <is>
          <t>JOHNSON</t>
        </is>
      </c>
      <c r="E138" t="inlineStr">
        <is>
          <t>GARY</t>
        </is>
      </c>
      <c r="F138">
        <f>CONCATENATE(D138," ",LEFT(H138,4),"T=",AU138,"D=",AV138,"R=",AW138,"M=",AX138,"L=",AY138,"B=",AZ138)</f>
        <v/>
      </c>
      <c r="G138" t="inlineStr">
        <is>
          <t>D</t>
        </is>
      </c>
      <c r="I138" t="inlineStr">
        <is>
          <t>1961-11-10</t>
        </is>
      </c>
      <c r="J138" t="inlineStr">
        <is>
          <t>2013-07-29</t>
        </is>
      </c>
      <c r="K138" t="inlineStr">
        <is>
          <t>CONFIRMATION</t>
        </is>
      </c>
      <c r="M138" t="inlineStr">
        <is>
          <t>1934 E MARKET ST</t>
        </is>
      </c>
      <c r="N138">
        <f>RIGHT(M138,LEN(M138)-FIND(" ",M138))</f>
        <v/>
      </c>
      <c r="O138" t="inlineStr">
        <is>
          <t>APT 1</t>
        </is>
      </c>
      <c r="P138" t="inlineStr">
        <is>
          <t>WARREN</t>
        </is>
      </c>
      <c r="Q138" t="inlineStr">
        <is>
          <t>OH</t>
        </is>
      </c>
      <c r="R138" t="n">
        <v>44483</v>
      </c>
      <c r="AD138" t="inlineStr">
        <is>
          <t>TRUMBULL CAREER &amp; TECH CENTER</t>
        </is>
      </c>
      <c r="AE138" t="inlineStr">
        <is>
          <t>WARREN CITY</t>
        </is>
      </c>
      <c r="AF138" t="inlineStr">
        <is>
          <t>WARREN CITY SD</t>
        </is>
      </c>
      <c r="AH138" t="n">
        <v>14</v>
      </c>
      <c r="AI138" t="n">
        <v>11</v>
      </c>
      <c r="AN138" t="inlineStr">
        <is>
          <t>WARREN</t>
        </is>
      </c>
      <c r="AO138" t="inlineStr">
        <is>
          <t>WARREN CITY 4A</t>
        </is>
      </c>
      <c r="AP138" t="inlineStr">
        <is>
          <t>78-P-ADI</t>
        </is>
      </c>
      <c r="AQ138" t="n">
        <v>9</v>
      </c>
      <c r="AR138" t="n">
        <v>64</v>
      </c>
      <c r="AS138" t="n">
        <v>32</v>
      </c>
      <c r="AU138">
        <f>COUNTA($BA$138:$EH$138)</f>
        <v/>
      </c>
      <c r="AV138">
        <f>COUNTIF($BA$138:$EH$138,"D")</f>
        <v/>
      </c>
      <c r="AW138">
        <f>COUNTIF($BA$138:$EH$138,"R")</f>
        <v/>
      </c>
      <c r="AX138">
        <f>IF(BN138="D",1,0)+IF(BO138="D",1,0)+IF(BT138="D",1,0)+IF(BU138="D",1,0)+IF(BW138="D",1,0)+IF(CC138="D",1,0)+IF(CD138="D",1,0)+IF(CE138="D",1,0)+IF(CF138="D",1,0)+IF(CL138="D",1,0)+IF(CM138="D",1,0)+IF(CQ138="D",1,0)+IF(CR138="D",1,0)+IF(CS138="D",1,0)+IF(CW138="D",1,0)+IF(CX138="D",1,0)+IF(DD138="D",1,0)+IF(DE138="D",1,0)+IF(DJ138="D",1,0)+IF(DK138="D",1,0)+IF(DO138="D",1,0)+IF(DP138="D",1,0)+IF(DQ138="D",1,0)+IF(DW138="D",1,0)+IF(DZ138="D",1,0)+IF(EH138="D",1,0)</f>
        <v/>
      </c>
      <c r="AY138">
        <f>IF(DJ138&lt;&gt;"",1,0)+IF(DK138&lt;&gt;"",1,0)+IF(DM138&lt;&gt;"",1,0)+IF(DO138&lt;&gt;"",1,0)+IF(DP138&lt;&gt;"",1,0)+IF(DQ138&lt;&gt;"",1,0)+IF(DS138&lt;&gt;"",1,0)+IF(DT138&lt;&gt;"",1,0)+IF(DV138&lt;&gt;"",1,0)+IF(DW138&lt;&gt;"",1,0)+IF(DX138&lt;&gt;"",1,0)+IF(DY138&lt;&gt;"",1,0)+IF(DZ138&lt;&gt;"",1,0)+IF(EB138&lt;&gt;"",1,0)+IF(EC138&lt;&gt;"",1,0)+IF(ED138&lt;&gt;"",1,0)+IF(EG138&lt;&gt;"",1,0)+IF(EH138&lt;&gt;"",1,0)</f>
        <v/>
      </c>
      <c r="AZ138">
        <f>IF(EH138&lt;&gt;"",1,0)</f>
        <v/>
      </c>
      <c r="BB138" t="inlineStr">
        <is>
          <t>WARREN-WARD 4</t>
        </is>
      </c>
    </row>
    <row r="139">
      <c r="A139" t="inlineStr">
        <is>
          <t>OH0015722157</t>
        </is>
      </c>
      <c r="B139" t="n">
        <v>78</v>
      </c>
      <c r="C139" t="n">
        <v>314927</v>
      </c>
      <c r="D139" t="inlineStr">
        <is>
          <t>MORGAN</t>
        </is>
      </c>
      <c r="E139" t="inlineStr">
        <is>
          <t>JEREMY</t>
        </is>
      </c>
      <c r="F139">
        <f>CONCATENATE(D139," ",LEFT(H139,4),"T=",AU139,"D=",AV139,"R=",AW139,"M=",AX139,"L=",AY139,"B=",AZ139)</f>
        <v/>
      </c>
      <c r="I139" t="inlineStr">
        <is>
          <t>1981-03-02</t>
        </is>
      </c>
      <c r="J139" t="inlineStr">
        <is>
          <t>2012-09-24</t>
        </is>
      </c>
      <c r="K139" t="inlineStr">
        <is>
          <t>CONFIRMATION</t>
        </is>
      </c>
      <c r="M139" t="inlineStr">
        <is>
          <t>394 BONNIE BRAE AVE SE</t>
        </is>
      </c>
      <c r="N139">
        <f>RIGHT(M139,LEN(M139)-FIND(" ",M139))</f>
        <v/>
      </c>
      <c r="P139" t="inlineStr">
        <is>
          <t>WARREN</t>
        </is>
      </c>
      <c r="Q139" t="inlineStr">
        <is>
          <t>OH</t>
        </is>
      </c>
      <c r="R139" t="n">
        <v>44484</v>
      </c>
      <c r="AD139" t="inlineStr">
        <is>
          <t>TRUMBULL CAREER &amp; TECH CENTER</t>
        </is>
      </c>
      <c r="AE139" t="inlineStr">
        <is>
          <t>WARREN CITY</t>
        </is>
      </c>
      <c r="AF139" t="inlineStr">
        <is>
          <t>WARREN CITY SD</t>
        </is>
      </c>
      <c r="AH139" t="n">
        <v>14</v>
      </c>
      <c r="AI139" t="n">
        <v>11</v>
      </c>
      <c r="AN139" t="inlineStr">
        <is>
          <t>WARREN</t>
        </is>
      </c>
      <c r="AO139" t="inlineStr">
        <is>
          <t>WARREN CITY 4A</t>
        </is>
      </c>
      <c r="AP139" t="inlineStr">
        <is>
          <t>78-P-ADI</t>
        </is>
      </c>
      <c r="AQ139" t="n">
        <v>9</v>
      </c>
      <c r="AR139" t="n">
        <v>64</v>
      </c>
      <c r="AS139" t="n">
        <v>32</v>
      </c>
      <c r="AU139">
        <f>COUNTA($BA$139:$EH$139)</f>
        <v/>
      </c>
      <c r="AV139">
        <f>COUNTIF($BA$139:$EH$139,"D")</f>
        <v/>
      </c>
      <c r="AW139">
        <f>COUNTIF($BA$139:$EH$139,"R")</f>
        <v/>
      </c>
      <c r="AX139">
        <f>IF(BN139="D",1,0)+IF(BO139="D",1,0)+IF(BT139="D",1,0)+IF(BU139="D",1,0)+IF(BW139="D",1,0)+IF(CC139="D",1,0)+IF(CD139="D",1,0)+IF(CE139="D",1,0)+IF(CF139="D",1,0)+IF(CL139="D",1,0)+IF(CM139="D",1,0)+IF(CQ139="D",1,0)+IF(CR139="D",1,0)+IF(CS139="D",1,0)+IF(CW139="D",1,0)+IF(CX139="D",1,0)+IF(DD139="D",1,0)+IF(DE139="D",1,0)+IF(DJ139="D",1,0)+IF(DK139="D",1,0)+IF(DO139="D",1,0)+IF(DP139="D",1,0)+IF(DQ139="D",1,0)+IF(DW139="D",1,0)+IF(DZ139="D",1,0)+IF(EH139="D",1,0)</f>
        <v/>
      </c>
      <c r="AY139">
        <f>IF(DJ139&lt;&gt;"",1,0)+IF(DK139&lt;&gt;"",1,0)+IF(DM139&lt;&gt;"",1,0)+IF(DO139&lt;&gt;"",1,0)+IF(DP139&lt;&gt;"",1,0)+IF(DQ139&lt;&gt;"",1,0)+IF(DS139&lt;&gt;"",1,0)+IF(DT139&lt;&gt;"",1,0)+IF(DV139&lt;&gt;"",1,0)+IF(DW139&lt;&gt;"",1,0)+IF(DX139&lt;&gt;"",1,0)+IF(DY139&lt;&gt;"",1,0)+IF(DZ139&lt;&gt;"",1,0)+IF(EB139&lt;&gt;"",1,0)+IF(EC139&lt;&gt;"",1,0)+IF(ED139&lt;&gt;"",1,0)+IF(EG139&lt;&gt;"",1,0)+IF(EH139&lt;&gt;"",1,0)</f>
        <v/>
      </c>
      <c r="AZ139">
        <f>IF(EH139&lt;&gt;"",1,0)</f>
        <v/>
      </c>
      <c r="BB139" t="inlineStr">
        <is>
          <t>WARREN-WARD 4</t>
        </is>
      </c>
      <c r="BL139" t="inlineStr">
        <is>
          <t>X</t>
        </is>
      </c>
      <c r="BP139" t="inlineStr">
        <is>
          <t>X</t>
        </is>
      </c>
      <c r="BR139" t="inlineStr">
        <is>
          <t>X</t>
        </is>
      </c>
      <c r="BS139" t="inlineStr">
        <is>
          <t>X</t>
        </is>
      </c>
      <c r="BY139" t="inlineStr">
        <is>
          <t>D</t>
        </is>
      </c>
      <c r="CA139" t="inlineStr">
        <is>
          <t>X</t>
        </is>
      </c>
      <c r="CK139" t="inlineStr">
        <is>
          <t>X</t>
        </is>
      </c>
      <c r="CP139" t="inlineStr">
        <is>
          <t>X</t>
        </is>
      </c>
      <c r="CY139" t="inlineStr">
        <is>
          <t>X</t>
        </is>
      </c>
      <c r="DC139" t="inlineStr">
        <is>
          <t>X</t>
        </is>
      </c>
      <c r="DN139" t="inlineStr">
        <is>
          <t>X</t>
        </is>
      </c>
    </row>
    <row r="140">
      <c r="A140" t="inlineStr">
        <is>
          <t>OH0022209955</t>
        </is>
      </c>
      <c r="B140" t="n">
        <v>78</v>
      </c>
      <c r="C140" t="n">
        <v>392852</v>
      </c>
      <c r="D140" t="inlineStr">
        <is>
          <t>MCINTROY</t>
        </is>
      </c>
      <c r="E140" t="inlineStr">
        <is>
          <t>WALTER</t>
        </is>
      </c>
      <c r="F140">
        <f>CONCATENATE(D140," ",LEFT(H140,4),"T=",AU140,"D=",AV140,"R=",AW140,"M=",AX140,"L=",AY140,"B=",AZ140)</f>
        <v/>
      </c>
      <c r="G140" t="inlineStr">
        <is>
          <t>R</t>
        </is>
      </c>
      <c r="I140" t="inlineStr">
        <is>
          <t>1989-07-10</t>
        </is>
      </c>
      <c r="J140" t="inlineStr">
        <is>
          <t>2018-05-11</t>
        </is>
      </c>
      <c r="K140" t="inlineStr">
        <is>
          <t>CONFIRMATION</t>
        </is>
      </c>
      <c r="M140" t="inlineStr">
        <is>
          <t>1272 SOUTH ST SE</t>
        </is>
      </c>
      <c r="N140">
        <f>RIGHT(M140,LEN(M140)-FIND(" ",M140))</f>
        <v/>
      </c>
      <c r="P140" t="inlineStr">
        <is>
          <t>WARREN</t>
        </is>
      </c>
      <c r="Q140" t="inlineStr">
        <is>
          <t>OH</t>
        </is>
      </c>
      <c r="R140" t="n">
        <v>44483</v>
      </c>
      <c r="AD140" t="inlineStr">
        <is>
          <t>TRUMBULL CAREER &amp; TECH CENTER</t>
        </is>
      </c>
      <c r="AE140" t="inlineStr">
        <is>
          <t>WARREN CITY</t>
        </is>
      </c>
      <c r="AF140" t="inlineStr">
        <is>
          <t>WARREN CITY SD</t>
        </is>
      </c>
      <c r="AH140" t="n">
        <v>14</v>
      </c>
      <c r="AI140" t="n">
        <v>11</v>
      </c>
      <c r="AN140" t="inlineStr">
        <is>
          <t>WARREN</t>
        </is>
      </c>
      <c r="AO140" t="inlineStr">
        <is>
          <t>WARREN CITY 4A</t>
        </is>
      </c>
      <c r="AP140" t="inlineStr">
        <is>
          <t>78-P-ADI</t>
        </is>
      </c>
      <c r="AQ140" t="n">
        <v>9</v>
      </c>
      <c r="AR140" t="n">
        <v>64</v>
      </c>
      <c r="AS140" t="n">
        <v>32</v>
      </c>
      <c r="AU140">
        <f>COUNTA($BA$140:$EH$140)</f>
        <v/>
      </c>
      <c r="AV140">
        <f>COUNTIF($BA$140:$EH$140,"D")</f>
        <v/>
      </c>
      <c r="AW140">
        <f>COUNTIF($BA$140:$EH$140,"R")</f>
        <v/>
      </c>
      <c r="AX140">
        <f>IF(BN140="D",1,0)+IF(BO140="D",1,0)+IF(BT140="D",1,0)+IF(BU140="D",1,0)+IF(BW140="D",1,0)+IF(CC140="D",1,0)+IF(CD140="D",1,0)+IF(CE140="D",1,0)+IF(CF140="D",1,0)+IF(CL140="D",1,0)+IF(CM140="D",1,0)+IF(CQ140="D",1,0)+IF(CR140="D",1,0)+IF(CS140="D",1,0)+IF(CW140="D",1,0)+IF(CX140="D",1,0)+IF(DD140="D",1,0)+IF(DE140="D",1,0)+IF(DJ140="D",1,0)+IF(DK140="D",1,0)+IF(DO140="D",1,0)+IF(DP140="D",1,0)+IF(DQ140="D",1,0)+IF(DW140="D",1,0)+IF(DZ140="D",1,0)+IF(EH140="D",1,0)</f>
        <v/>
      </c>
      <c r="AY140">
        <f>IF(DJ140&lt;&gt;"",1,0)+IF(DK140&lt;&gt;"",1,0)+IF(DM140&lt;&gt;"",1,0)+IF(DO140&lt;&gt;"",1,0)+IF(DP140&lt;&gt;"",1,0)+IF(DQ140&lt;&gt;"",1,0)+IF(DS140&lt;&gt;"",1,0)+IF(DT140&lt;&gt;"",1,0)+IF(DV140&lt;&gt;"",1,0)+IF(DW140&lt;&gt;"",1,0)+IF(DX140&lt;&gt;"",1,0)+IF(DY140&lt;&gt;"",1,0)+IF(DZ140&lt;&gt;"",1,0)+IF(EB140&lt;&gt;"",1,0)+IF(EC140&lt;&gt;"",1,0)+IF(ED140&lt;&gt;"",1,0)+IF(EG140&lt;&gt;"",1,0)+IF(EH140&lt;&gt;"",1,0)</f>
        <v/>
      </c>
      <c r="AZ140">
        <f>IF(EH140&lt;&gt;"",1,0)</f>
        <v/>
      </c>
      <c r="BB140" t="inlineStr">
        <is>
          <t>WARREN-WARD 4</t>
        </is>
      </c>
    </row>
    <row r="141">
      <c r="A141" t="inlineStr">
        <is>
          <t>OH0022336732</t>
        </is>
      </c>
      <c r="B141" t="n">
        <v>78</v>
      </c>
      <c r="C141" t="n">
        <v>394876</v>
      </c>
      <c r="D141" t="inlineStr">
        <is>
          <t>BUMBICO</t>
        </is>
      </c>
      <c r="E141" t="inlineStr">
        <is>
          <t>LEONARD</t>
        </is>
      </c>
      <c r="F141">
        <f>CONCATENATE(D141," ",LEFT(H141,4),"T=",AU141,"D=",AV141,"R=",AW141,"M=",AX141,"L=",AY141,"B=",AZ141)</f>
        <v/>
      </c>
      <c r="G141" t="inlineStr">
        <is>
          <t>THOMAS</t>
        </is>
      </c>
      <c r="I141" t="inlineStr">
        <is>
          <t>1952-02-03</t>
        </is>
      </c>
      <c r="J141" t="inlineStr">
        <is>
          <t>2015-09-19</t>
        </is>
      </c>
      <c r="K141" t="inlineStr">
        <is>
          <t>CONFIRMATION</t>
        </is>
      </c>
      <c r="M141" t="inlineStr">
        <is>
          <t>729 BONNIE BRAE AVE SE</t>
        </is>
      </c>
      <c r="N141">
        <f>RIGHT(M141,LEN(M141)-FIND(" ",M141))</f>
        <v/>
      </c>
      <c r="P141" t="inlineStr">
        <is>
          <t>WARREN</t>
        </is>
      </c>
      <c r="Q141" t="inlineStr">
        <is>
          <t>OH</t>
        </is>
      </c>
      <c r="R141" t="n">
        <v>44484</v>
      </c>
      <c r="AD141" t="inlineStr">
        <is>
          <t>TRUMBULL CAREER &amp; TECH CENTER</t>
        </is>
      </c>
      <c r="AE141" t="inlineStr">
        <is>
          <t>WARREN CITY</t>
        </is>
      </c>
      <c r="AF141" t="inlineStr">
        <is>
          <t>WARREN CITY SD</t>
        </is>
      </c>
      <c r="AH141" t="n">
        <v>14</v>
      </c>
      <c r="AI141" t="n">
        <v>11</v>
      </c>
      <c r="AN141" t="inlineStr">
        <is>
          <t>WARREN</t>
        </is>
      </c>
      <c r="AO141" t="inlineStr">
        <is>
          <t>WARREN CITY 4A</t>
        </is>
      </c>
      <c r="AP141" t="inlineStr">
        <is>
          <t>78-P-ADI</t>
        </is>
      </c>
      <c r="AQ141" t="n">
        <v>9</v>
      </c>
      <c r="AR141" t="n">
        <v>64</v>
      </c>
      <c r="AS141" t="n">
        <v>32</v>
      </c>
      <c r="AU141">
        <f>COUNTA($BA$141:$EH$141)</f>
        <v/>
      </c>
      <c r="AV141">
        <f>COUNTIF($BA$141:$EH$141,"D")</f>
        <v/>
      </c>
      <c r="AW141">
        <f>COUNTIF($BA$141:$EH$141,"R")</f>
        <v/>
      </c>
      <c r="AX141">
        <f>IF(BN141="D",1,0)+IF(BO141="D",1,0)+IF(BT141="D",1,0)+IF(BU141="D",1,0)+IF(BW141="D",1,0)+IF(CC141="D",1,0)+IF(CD141="D",1,0)+IF(CE141="D",1,0)+IF(CF141="D",1,0)+IF(CL141="D",1,0)+IF(CM141="D",1,0)+IF(CQ141="D",1,0)+IF(CR141="D",1,0)+IF(CS141="D",1,0)+IF(CW141="D",1,0)+IF(CX141="D",1,0)+IF(DD141="D",1,0)+IF(DE141="D",1,0)+IF(DJ141="D",1,0)+IF(DK141="D",1,0)+IF(DO141="D",1,0)+IF(DP141="D",1,0)+IF(DQ141="D",1,0)+IF(DW141="D",1,0)+IF(DZ141="D",1,0)+IF(EH141="D",1,0)</f>
        <v/>
      </c>
      <c r="AY141">
        <f>IF(DJ141&lt;&gt;"",1,0)+IF(DK141&lt;&gt;"",1,0)+IF(DM141&lt;&gt;"",1,0)+IF(DO141&lt;&gt;"",1,0)+IF(DP141&lt;&gt;"",1,0)+IF(DQ141&lt;&gt;"",1,0)+IF(DS141&lt;&gt;"",1,0)+IF(DT141&lt;&gt;"",1,0)+IF(DV141&lt;&gt;"",1,0)+IF(DW141&lt;&gt;"",1,0)+IF(DX141&lt;&gt;"",1,0)+IF(DY141&lt;&gt;"",1,0)+IF(DZ141&lt;&gt;"",1,0)+IF(EB141&lt;&gt;"",1,0)+IF(EC141&lt;&gt;"",1,0)+IF(ED141&lt;&gt;"",1,0)+IF(EG141&lt;&gt;"",1,0)+IF(EH141&lt;&gt;"",1,0)</f>
        <v/>
      </c>
      <c r="AZ141">
        <f>IF(EH141&lt;&gt;"",1,0)</f>
        <v/>
      </c>
      <c r="BB141" t="inlineStr">
        <is>
          <t>WARREN-WARD 4</t>
        </is>
      </c>
      <c r="CY141" t="inlineStr">
        <is>
          <t>X</t>
        </is>
      </c>
      <c r="CZ141" t="inlineStr">
        <is>
          <t>R</t>
        </is>
      </c>
      <c r="DI141" t="inlineStr">
        <is>
          <t>X</t>
        </is>
      </c>
      <c r="DN141" t="inlineStr">
        <is>
          <t>X</t>
        </is>
      </c>
    </row>
    <row r="142">
      <c r="A142" t="inlineStr">
        <is>
          <t>OH0023080220</t>
        </is>
      </c>
      <c r="B142" t="n">
        <v>78</v>
      </c>
      <c r="C142" t="n">
        <v>405168</v>
      </c>
      <c r="D142" t="inlineStr">
        <is>
          <t>STAGGERS</t>
        </is>
      </c>
      <c r="E142" t="inlineStr">
        <is>
          <t>DEVYN</t>
        </is>
      </c>
      <c r="F142">
        <f>CONCATENATE(D142," ",LEFT(H142,4),"T=",AU142,"D=",AV142,"R=",AW142,"M=",AX142,"L=",AY142,"B=",AZ142)</f>
        <v/>
      </c>
      <c r="G142" t="inlineStr">
        <is>
          <t>R</t>
        </is>
      </c>
      <c r="I142" t="inlineStr">
        <is>
          <t>1996-11-11</t>
        </is>
      </c>
      <c r="J142" t="inlineStr">
        <is>
          <t>2024-08-21</t>
        </is>
      </c>
      <c r="K142" t="inlineStr">
        <is>
          <t>ACTIVE</t>
        </is>
      </c>
      <c r="M142" t="inlineStr">
        <is>
          <t>740 BONNIE BRAE AVE SE</t>
        </is>
      </c>
      <c r="N142">
        <f>RIGHT(M142,LEN(M142)-FIND(" ",M142))</f>
        <v/>
      </c>
      <c r="P142" t="inlineStr">
        <is>
          <t>WARREN</t>
        </is>
      </c>
      <c r="Q142" t="inlineStr">
        <is>
          <t>OH</t>
        </is>
      </c>
      <c r="R142" t="n">
        <v>44484</v>
      </c>
      <c r="AD142" t="inlineStr">
        <is>
          <t>TRUMBULL CAREER &amp; TECH CENTER</t>
        </is>
      </c>
      <c r="AE142" t="inlineStr">
        <is>
          <t>WARREN CITY</t>
        </is>
      </c>
      <c r="AF142" t="inlineStr">
        <is>
          <t>WARREN CITY SD</t>
        </is>
      </c>
      <c r="AH142" t="n">
        <v>14</v>
      </c>
      <c r="AI142" t="n">
        <v>11</v>
      </c>
      <c r="AN142" t="inlineStr">
        <is>
          <t>WARREN</t>
        </is>
      </c>
      <c r="AO142" t="inlineStr">
        <is>
          <t>WARREN CITY 4A</t>
        </is>
      </c>
      <c r="AP142" t="inlineStr">
        <is>
          <t>78-P-ADI</t>
        </is>
      </c>
      <c r="AQ142" t="n">
        <v>9</v>
      </c>
      <c r="AR142" t="n">
        <v>64</v>
      </c>
      <c r="AS142" t="n">
        <v>32</v>
      </c>
      <c r="AU142">
        <f>COUNTA($BA$142:$EH$142)</f>
        <v/>
      </c>
      <c r="AV142">
        <f>COUNTIF($BA$142:$EH$142,"D")</f>
        <v/>
      </c>
      <c r="AW142">
        <f>COUNTIF($BA$142:$EH$142,"R")</f>
        <v/>
      </c>
      <c r="AX142">
        <f>IF(BN142="D",1,0)+IF(BO142="D",1,0)+IF(BT142="D",1,0)+IF(BU142="D",1,0)+IF(BW142="D",1,0)+IF(CC142="D",1,0)+IF(CD142="D",1,0)+IF(CE142="D",1,0)+IF(CF142="D",1,0)+IF(CL142="D",1,0)+IF(CM142="D",1,0)+IF(CQ142="D",1,0)+IF(CR142="D",1,0)+IF(CS142="D",1,0)+IF(CW142="D",1,0)+IF(CX142="D",1,0)+IF(DD142="D",1,0)+IF(DE142="D",1,0)+IF(DJ142="D",1,0)+IF(DK142="D",1,0)+IF(DO142="D",1,0)+IF(DP142="D",1,0)+IF(DQ142="D",1,0)+IF(DW142="D",1,0)+IF(DZ142="D",1,0)+IF(EH142="D",1,0)</f>
        <v/>
      </c>
      <c r="AY142">
        <f>IF(DJ142&lt;&gt;"",1,0)+IF(DK142&lt;&gt;"",1,0)+IF(DM142&lt;&gt;"",1,0)+IF(DO142&lt;&gt;"",1,0)+IF(DP142&lt;&gt;"",1,0)+IF(DQ142&lt;&gt;"",1,0)+IF(DS142&lt;&gt;"",1,0)+IF(DT142&lt;&gt;"",1,0)+IF(DV142&lt;&gt;"",1,0)+IF(DW142&lt;&gt;"",1,0)+IF(DX142&lt;&gt;"",1,0)+IF(DY142&lt;&gt;"",1,0)+IF(DZ142&lt;&gt;"",1,0)+IF(EB142&lt;&gt;"",1,0)+IF(EC142&lt;&gt;"",1,0)+IF(ED142&lt;&gt;"",1,0)+IF(EG142&lt;&gt;"",1,0)+IF(EH142&lt;&gt;"",1,0)</f>
        <v/>
      </c>
      <c r="AZ142">
        <f>IF(EH142&lt;&gt;"",1,0)</f>
        <v/>
      </c>
      <c r="BB142" t="inlineStr">
        <is>
          <t>WARREN-WARD 4</t>
        </is>
      </c>
      <c r="EF142" t="inlineStr">
        <is>
          <t>X</t>
        </is>
      </c>
    </row>
    <row r="143">
      <c r="A143" t="inlineStr">
        <is>
          <t>OH0015714029</t>
        </is>
      </c>
      <c r="B143" t="n">
        <v>78</v>
      </c>
      <c r="C143" t="n">
        <v>301404</v>
      </c>
      <c r="D143" t="inlineStr">
        <is>
          <t>TOTHEROW</t>
        </is>
      </c>
      <c r="E143" t="inlineStr">
        <is>
          <t>KAREN</t>
        </is>
      </c>
      <c r="F143">
        <f>CONCATENATE(D143," ",LEFT(H143,4),"T=",AU143,"D=",AV143,"R=",AW143,"M=",AX143,"L=",AY143,"B=",AZ143)</f>
        <v/>
      </c>
      <c r="G143" t="inlineStr">
        <is>
          <t>LYNN</t>
        </is>
      </c>
      <c r="I143" t="inlineStr">
        <is>
          <t>1966-04-10</t>
        </is>
      </c>
      <c r="J143" t="inlineStr">
        <is>
          <t>2024-05-23</t>
        </is>
      </c>
      <c r="K143" t="inlineStr">
        <is>
          <t>ACTIVE</t>
        </is>
      </c>
      <c r="M143" t="inlineStr">
        <is>
          <t>1233 SOUTH ST SE</t>
        </is>
      </c>
      <c r="N143">
        <f>RIGHT(M143,LEN(M143)-FIND(" ",M143))</f>
        <v/>
      </c>
      <c r="P143" t="inlineStr">
        <is>
          <t>WARREN</t>
        </is>
      </c>
      <c r="Q143" t="inlineStr">
        <is>
          <t>OH</t>
        </is>
      </c>
      <c r="R143" t="n">
        <v>44483</v>
      </c>
      <c r="AD143" t="inlineStr">
        <is>
          <t>TRUMBULL CAREER &amp; TECH CENTER</t>
        </is>
      </c>
      <c r="AE143" t="inlineStr">
        <is>
          <t>WARREN CITY</t>
        </is>
      </c>
      <c r="AF143" t="inlineStr">
        <is>
          <t>WARREN CITY SD</t>
        </is>
      </c>
      <c r="AH143" t="n">
        <v>14</v>
      </c>
      <c r="AI143" t="n">
        <v>11</v>
      </c>
      <c r="AN143" t="inlineStr">
        <is>
          <t>WARREN</t>
        </is>
      </c>
      <c r="AO143" t="inlineStr">
        <is>
          <t>WARREN CITY 4A</t>
        </is>
      </c>
      <c r="AP143" t="inlineStr">
        <is>
          <t>78-P-ADI</t>
        </is>
      </c>
      <c r="AQ143" t="n">
        <v>9</v>
      </c>
      <c r="AR143" t="n">
        <v>64</v>
      </c>
      <c r="AS143" t="n">
        <v>32</v>
      </c>
      <c r="AU143">
        <f>COUNTA($BA$143:$EH$143)</f>
        <v/>
      </c>
      <c r="AV143">
        <f>COUNTIF($BA$143:$EH$143,"D")</f>
        <v/>
      </c>
      <c r="AW143">
        <f>COUNTIF($BA$143:$EH$143,"R")</f>
        <v/>
      </c>
      <c r="AX143">
        <f>IF(BN143="D",1,0)+IF(BO143="D",1,0)+IF(BT143="D",1,0)+IF(BU143="D",1,0)+IF(BW143="D",1,0)+IF(CC143="D",1,0)+IF(CD143="D",1,0)+IF(CE143="D",1,0)+IF(CF143="D",1,0)+IF(CL143="D",1,0)+IF(CM143="D",1,0)+IF(CQ143="D",1,0)+IF(CR143="D",1,0)+IF(CS143="D",1,0)+IF(CW143="D",1,0)+IF(CX143="D",1,0)+IF(DD143="D",1,0)+IF(DE143="D",1,0)+IF(DJ143="D",1,0)+IF(DK143="D",1,0)+IF(DO143="D",1,0)+IF(DP143="D",1,0)+IF(DQ143="D",1,0)+IF(DW143="D",1,0)+IF(DZ143="D",1,0)+IF(EH143="D",1,0)</f>
        <v/>
      </c>
      <c r="AY143">
        <f>IF(DJ143&lt;&gt;"",1,0)+IF(DK143&lt;&gt;"",1,0)+IF(DM143&lt;&gt;"",1,0)+IF(DO143&lt;&gt;"",1,0)+IF(DP143&lt;&gt;"",1,0)+IF(DQ143&lt;&gt;"",1,0)+IF(DS143&lt;&gt;"",1,0)+IF(DT143&lt;&gt;"",1,0)+IF(DV143&lt;&gt;"",1,0)+IF(DW143&lt;&gt;"",1,0)+IF(DX143&lt;&gt;"",1,0)+IF(DY143&lt;&gt;"",1,0)+IF(DZ143&lt;&gt;"",1,0)+IF(EB143&lt;&gt;"",1,0)+IF(EC143&lt;&gt;"",1,0)+IF(ED143&lt;&gt;"",1,0)+IF(EG143&lt;&gt;"",1,0)+IF(EH143&lt;&gt;"",1,0)</f>
        <v/>
      </c>
      <c r="AZ143">
        <f>IF(EH143&lt;&gt;"",1,0)</f>
        <v/>
      </c>
      <c r="BB143" t="inlineStr">
        <is>
          <t>WARREN-WARD 4</t>
        </is>
      </c>
      <c r="CA143" t="inlineStr">
        <is>
          <t>X</t>
        </is>
      </c>
      <c r="CP143" t="inlineStr">
        <is>
          <t>X</t>
        </is>
      </c>
    </row>
    <row r="144">
      <c r="A144" t="inlineStr">
        <is>
          <t>OH0021700156</t>
        </is>
      </c>
      <c r="B144" t="n">
        <v>78</v>
      </c>
      <c r="C144" t="n">
        <v>385254</v>
      </c>
      <c r="D144" t="inlineStr">
        <is>
          <t>GEARIN</t>
        </is>
      </c>
      <c r="E144" t="inlineStr">
        <is>
          <t>GREGORY</t>
        </is>
      </c>
      <c r="F144">
        <f>CONCATENATE(D144," ",LEFT(H144,4),"T=",AU144,"D=",AV144,"R=",AW144,"M=",AX144,"L=",AY144,"B=",AZ144)</f>
        <v/>
      </c>
      <c r="G144" t="inlineStr">
        <is>
          <t>S</t>
        </is>
      </c>
      <c r="I144" t="inlineStr">
        <is>
          <t>1993-06-05</t>
        </is>
      </c>
      <c r="J144" t="inlineStr">
        <is>
          <t>2017-09-03</t>
        </is>
      </c>
      <c r="K144" t="inlineStr">
        <is>
          <t>CONFIRMATION</t>
        </is>
      </c>
      <c r="M144" t="inlineStr">
        <is>
          <t>327 LAIRD AVE SE</t>
        </is>
      </c>
      <c r="N144">
        <f>RIGHT(M144,LEN(M144)-FIND(" ",M144))</f>
        <v/>
      </c>
      <c r="P144" t="inlineStr">
        <is>
          <t>WARREN</t>
        </is>
      </c>
      <c r="Q144" t="inlineStr">
        <is>
          <t>OH</t>
        </is>
      </c>
      <c r="R144" t="n">
        <v>44483</v>
      </c>
      <c r="AD144" t="inlineStr">
        <is>
          <t>TRUMBULL CAREER &amp; TECH CENTER</t>
        </is>
      </c>
      <c r="AE144" t="inlineStr">
        <is>
          <t>WARREN CITY</t>
        </is>
      </c>
      <c r="AF144" t="inlineStr">
        <is>
          <t>WARREN CITY SD</t>
        </is>
      </c>
      <c r="AH144" t="n">
        <v>14</v>
      </c>
      <c r="AI144" t="n">
        <v>11</v>
      </c>
      <c r="AN144" t="inlineStr">
        <is>
          <t>WARREN</t>
        </is>
      </c>
      <c r="AO144" t="inlineStr">
        <is>
          <t>WARREN CITY 4A</t>
        </is>
      </c>
      <c r="AP144" t="inlineStr">
        <is>
          <t>78-P-ADI</t>
        </is>
      </c>
      <c r="AQ144" t="n">
        <v>9</v>
      </c>
      <c r="AR144" t="n">
        <v>64</v>
      </c>
      <c r="AS144" t="n">
        <v>32</v>
      </c>
      <c r="AU144">
        <f>COUNTA($BA$144:$EH$144)</f>
        <v/>
      </c>
      <c r="AV144">
        <f>COUNTIF($BA$144:$EH$144,"D")</f>
        <v/>
      </c>
      <c r="AW144">
        <f>COUNTIF($BA$144:$EH$144,"R")</f>
        <v/>
      </c>
      <c r="AX144">
        <f>IF(BN144="D",1,0)+IF(BO144="D",1,0)+IF(BT144="D",1,0)+IF(BU144="D",1,0)+IF(BW144="D",1,0)+IF(CC144="D",1,0)+IF(CD144="D",1,0)+IF(CE144="D",1,0)+IF(CF144="D",1,0)+IF(CL144="D",1,0)+IF(CM144="D",1,0)+IF(CQ144="D",1,0)+IF(CR144="D",1,0)+IF(CS144="D",1,0)+IF(CW144="D",1,0)+IF(CX144="D",1,0)+IF(DD144="D",1,0)+IF(DE144="D",1,0)+IF(DJ144="D",1,0)+IF(DK144="D",1,0)+IF(DO144="D",1,0)+IF(DP144="D",1,0)+IF(DQ144="D",1,0)+IF(DW144="D",1,0)+IF(DZ144="D",1,0)+IF(EH144="D",1,0)</f>
        <v/>
      </c>
      <c r="AY144">
        <f>IF(DJ144&lt;&gt;"",1,0)+IF(DK144&lt;&gt;"",1,0)+IF(DM144&lt;&gt;"",1,0)+IF(DO144&lt;&gt;"",1,0)+IF(DP144&lt;&gt;"",1,0)+IF(DQ144&lt;&gt;"",1,0)+IF(DS144&lt;&gt;"",1,0)+IF(DT144&lt;&gt;"",1,0)+IF(DV144&lt;&gt;"",1,0)+IF(DW144&lt;&gt;"",1,0)+IF(DX144&lt;&gt;"",1,0)+IF(DY144&lt;&gt;"",1,0)+IF(DZ144&lt;&gt;"",1,0)+IF(EB144&lt;&gt;"",1,0)+IF(EC144&lt;&gt;"",1,0)+IF(ED144&lt;&gt;"",1,0)+IF(EG144&lt;&gt;"",1,0)+IF(EH144&lt;&gt;"",1,0)</f>
        <v/>
      </c>
      <c r="AZ144">
        <f>IF(EH144&lt;&gt;"",1,0)</f>
        <v/>
      </c>
      <c r="BB144" t="inlineStr">
        <is>
          <t>WARREN-WARD 4</t>
        </is>
      </c>
      <c r="CP144" t="inlineStr">
        <is>
          <t>X</t>
        </is>
      </c>
    </row>
    <row r="145">
      <c r="A145" t="inlineStr">
        <is>
          <t>OH0019298736</t>
        </is>
      </c>
      <c r="B145" t="n">
        <v>78</v>
      </c>
      <c r="C145" t="n">
        <v>352558</v>
      </c>
      <c r="D145" t="inlineStr">
        <is>
          <t>HUGHES</t>
        </is>
      </c>
      <c r="E145" t="inlineStr">
        <is>
          <t>JASON</t>
        </is>
      </c>
      <c r="F145">
        <f>CONCATENATE(D145," ",LEFT(H145,4),"T=",AU145,"D=",AV145,"R=",AW145,"M=",AX145,"L=",AY145,"B=",AZ145)</f>
        <v/>
      </c>
      <c r="G145" t="inlineStr">
        <is>
          <t>PAUL</t>
        </is>
      </c>
      <c r="I145" t="inlineStr">
        <is>
          <t>1974-01-14</t>
        </is>
      </c>
      <c r="J145" t="inlineStr">
        <is>
          <t>2016-08-06</t>
        </is>
      </c>
      <c r="K145" t="inlineStr">
        <is>
          <t>ACTIVE</t>
        </is>
      </c>
      <c r="M145" t="inlineStr">
        <is>
          <t>716 OAK KNOLL AVE SE</t>
        </is>
      </c>
      <c r="N145">
        <f>RIGHT(M145,LEN(M145)-FIND(" ",M145))</f>
        <v/>
      </c>
      <c r="P145" t="inlineStr">
        <is>
          <t>WARREN</t>
        </is>
      </c>
      <c r="Q145" t="inlineStr">
        <is>
          <t>OH</t>
        </is>
      </c>
      <c r="R145" t="n">
        <v>44484</v>
      </c>
      <c r="AD145" t="inlineStr">
        <is>
          <t>TRUMBULL CAREER &amp; TECH CENTER</t>
        </is>
      </c>
      <c r="AE145" t="inlineStr">
        <is>
          <t>WARREN CITY</t>
        </is>
      </c>
      <c r="AF145" t="inlineStr">
        <is>
          <t>WARREN CITY SD</t>
        </is>
      </c>
      <c r="AH145" t="n">
        <v>14</v>
      </c>
      <c r="AI145" t="n">
        <v>11</v>
      </c>
      <c r="AN145" t="inlineStr">
        <is>
          <t>WARREN</t>
        </is>
      </c>
      <c r="AO145" t="inlineStr">
        <is>
          <t>WARREN CITY 4A</t>
        </is>
      </c>
      <c r="AP145" t="inlineStr">
        <is>
          <t>78-P-ADI</t>
        </is>
      </c>
      <c r="AQ145" t="n">
        <v>9</v>
      </c>
      <c r="AR145" t="n">
        <v>64</v>
      </c>
      <c r="AS145" t="n">
        <v>32</v>
      </c>
      <c r="AU145">
        <f>COUNTA($BA$145:$EH$145)</f>
        <v/>
      </c>
      <c r="AV145">
        <f>COUNTIF($BA$145:$EH$145,"D")</f>
        <v/>
      </c>
      <c r="AW145">
        <f>COUNTIF($BA$145:$EH$145,"R")</f>
        <v/>
      </c>
      <c r="AX145">
        <f>IF(BN145="D",1,0)+IF(BO145="D",1,0)+IF(BT145="D",1,0)+IF(BU145="D",1,0)+IF(BW145="D",1,0)+IF(CC145="D",1,0)+IF(CD145="D",1,0)+IF(CE145="D",1,0)+IF(CF145="D",1,0)+IF(CL145="D",1,0)+IF(CM145="D",1,0)+IF(CQ145="D",1,0)+IF(CR145="D",1,0)+IF(CS145="D",1,0)+IF(CW145="D",1,0)+IF(CX145="D",1,0)+IF(DD145="D",1,0)+IF(DE145="D",1,0)+IF(DJ145="D",1,0)+IF(DK145="D",1,0)+IF(DO145="D",1,0)+IF(DP145="D",1,0)+IF(DQ145="D",1,0)+IF(DW145="D",1,0)+IF(DZ145="D",1,0)+IF(EH145="D",1,0)</f>
        <v/>
      </c>
      <c r="AY145">
        <f>IF(DJ145&lt;&gt;"",1,0)+IF(DK145&lt;&gt;"",1,0)+IF(DM145&lt;&gt;"",1,0)+IF(DO145&lt;&gt;"",1,0)+IF(DP145&lt;&gt;"",1,0)+IF(DQ145&lt;&gt;"",1,0)+IF(DS145&lt;&gt;"",1,0)+IF(DT145&lt;&gt;"",1,0)+IF(DV145&lt;&gt;"",1,0)+IF(DW145&lt;&gt;"",1,0)+IF(DX145&lt;&gt;"",1,0)+IF(DY145&lt;&gt;"",1,0)+IF(DZ145&lt;&gt;"",1,0)+IF(EB145&lt;&gt;"",1,0)+IF(EC145&lt;&gt;"",1,0)+IF(ED145&lt;&gt;"",1,0)+IF(EG145&lt;&gt;"",1,0)+IF(EH145&lt;&gt;"",1,0)</f>
        <v/>
      </c>
      <c r="AZ145">
        <f>IF(EH145&lt;&gt;"",1,0)</f>
        <v/>
      </c>
      <c r="BB145" t="inlineStr">
        <is>
          <t>WARREN-WARD 4</t>
        </is>
      </c>
      <c r="BY145" t="inlineStr">
        <is>
          <t>D</t>
        </is>
      </c>
      <c r="DC145" t="inlineStr">
        <is>
          <t>X</t>
        </is>
      </c>
      <c r="DD145" t="inlineStr">
        <is>
          <t>X</t>
        </is>
      </c>
      <c r="DU145" t="inlineStr">
        <is>
          <t>X</t>
        </is>
      </c>
      <c r="DX145" t="inlineStr">
        <is>
          <t>X</t>
        </is>
      </c>
      <c r="EF145" t="inlineStr">
        <is>
          <t>X</t>
        </is>
      </c>
    </row>
    <row r="146">
      <c r="A146" t="inlineStr">
        <is>
          <t>OH0023718226</t>
        </is>
      </c>
      <c r="B146" t="n">
        <v>78</v>
      </c>
      <c r="C146" t="n">
        <v>417180</v>
      </c>
      <c r="D146" t="inlineStr">
        <is>
          <t>KATONA</t>
        </is>
      </c>
      <c r="E146" t="inlineStr">
        <is>
          <t>MICHAEL</t>
        </is>
      </c>
      <c r="F146">
        <f>CONCATENATE(D146," ",LEFT(H146,4),"T=",AU146,"D=",AV146,"R=",AW146,"M=",AX146,"L=",AY146,"B=",AZ146)</f>
        <v/>
      </c>
      <c r="G146" t="inlineStr">
        <is>
          <t>PAUL</t>
        </is>
      </c>
      <c r="I146" t="inlineStr">
        <is>
          <t>1985-02-21</t>
        </is>
      </c>
      <c r="J146" t="inlineStr">
        <is>
          <t>2022-10-11</t>
        </is>
      </c>
      <c r="K146" t="inlineStr">
        <is>
          <t>ACTIVE</t>
        </is>
      </c>
      <c r="M146" t="inlineStr">
        <is>
          <t>703 HOMEWOOD AVE SE</t>
        </is>
      </c>
      <c r="N146">
        <f>RIGHT(M146,LEN(M146)-FIND(" ",M146))</f>
        <v/>
      </c>
      <c r="P146" t="inlineStr">
        <is>
          <t>WARREN</t>
        </is>
      </c>
      <c r="Q146" t="inlineStr">
        <is>
          <t>OH</t>
        </is>
      </c>
      <c r="R146" t="n">
        <v>44484</v>
      </c>
      <c r="AD146" t="inlineStr">
        <is>
          <t>TRUMBULL CAREER &amp; TECH CENTER</t>
        </is>
      </c>
      <c r="AE146" t="inlineStr">
        <is>
          <t>WARREN CITY</t>
        </is>
      </c>
      <c r="AF146" t="inlineStr">
        <is>
          <t>WARREN CITY SD</t>
        </is>
      </c>
      <c r="AH146" t="n">
        <v>14</v>
      </c>
      <c r="AI146" t="n">
        <v>11</v>
      </c>
      <c r="AN146" t="inlineStr">
        <is>
          <t>WARREN</t>
        </is>
      </c>
      <c r="AO146" t="inlineStr">
        <is>
          <t>WARREN CITY 4A</t>
        </is>
      </c>
      <c r="AP146" t="inlineStr">
        <is>
          <t>78-P-ADI</t>
        </is>
      </c>
      <c r="AQ146" t="n">
        <v>9</v>
      </c>
      <c r="AR146" t="n">
        <v>64</v>
      </c>
      <c r="AS146" t="n">
        <v>32</v>
      </c>
      <c r="AU146">
        <f>COUNTA($BA$146:$EH$146)</f>
        <v/>
      </c>
      <c r="AV146">
        <f>COUNTIF($BA$146:$EH$146,"D")</f>
        <v/>
      </c>
      <c r="AW146">
        <f>COUNTIF($BA$146:$EH$146,"R")</f>
        <v/>
      </c>
      <c r="AX146">
        <f>IF(BN146="D",1,0)+IF(BO146="D",1,0)+IF(BT146="D",1,0)+IF(BU146="D",1,0)+IF(BW146="D",1,0)+IF(CC146="D",1,0)+IF(CD146="D",1,0)+IF(CE146="D",1,0)+IF(CF146="D",1,0)+IF(CL146="D",1,0)+IF(CM146="D",1,0)+IF(CQ146="D",1,0)+IF(CR146="D",1,0)+IF(CS146="D",1,0)+IF(CW146="D",1,0)+IF(CX146="D",1,0)+IF(DD146="D",1,0)+IF(DE146="D",1,0)+IF(DJ146="D",1,0)+IF(DK146="D",1,0)+IF(DO146="D",1,0)+IF(DP146="D",1,0)+IF(DQ146="D",1,0)+IF(DW146="D",1,0)+IF(DZ146="D",1,0)+IF(EH146="D",1,0)</f>
        <v/>
      </c>
      <c r="AY146">
        <f>IF(DJ146&lt;&gt;"",1,0)+IF(DK146&lt;&gt;"",1,0)+IF(DM146&lt;&gt;"",1,0)+IF(DO146&lt;&gt;"",1,0)+IF(DP146&lt;&gt;"",1,0)+IF(DQ146&lt;&gt;"",1,0)+IF(DS146&lt;&gt;"",1,0)+IF(DT146&lt;&gt;"",1,0)+IF(DV146&lt;&gt;"",1,0)+IF(DW146&lt;&gt;"",1,0)+IF(DX146&lt;&gt;"",1,0)+IF(DY146&lt;&gt;"",1,0)+IF(DZ146&lt;&gt;"",1,0)+IF(EB146&lt;&gt;"",1,0)+IF(EC146&lt;&gt;"",1,0)+IF(ED146&lt;&gt;"",1,0)+IF(EG146&lt;&gt;"",1,0)+IF(EH146&lt;&gt;"",1,0)</f>
        <v/>
      </c>
      <c r="AZ146">
        <f>IF(EH146&lt;&gt;"",1,0)</f>
        <v/>
      </c>
      <c r="BB146" t="inlineStr">
        <is>
          <t>WARREN-WARD 4</t>
        </is>
      </c>
      <c r="DC146" t="inlineStr">
        <is>
          <t>X</t>
        </is>
      </c>
      <c r="DI146" t="inlineStr">
        <is>
          <t>X</t>
        </is>
      </c>
      <c r="DN146" t="inlineStr">
        <is>
          <t>X</t>
        </is>
      </c>
      <c r="DU146" t="inlineStr">
        <is>
          <t>X</t>
        </is>
      </c>
      <c r="EA146" t="inlineStr">
        <is>
          <t>X</t>
        </is>
      </c>
      <c r="EF146" t="inlineStr">
        <is>
          <t>X</t>
        </is>
      </c>
    </row>
    <row r="147">
      <c r="A147" t="inlineStr">
        <is>
          <t>OH0015794006</t>
        </is>
      </c>
      <c r="B147" t="n">
        <v>78</v>
      </c>
      <c r="C147" t="n">
        <v>288758</v>
      </c>
      <c r="D147" t="inlineStr">
        <is>
          <t>POWELL</t>
        </is>
      </c>
      <c r="E147" t="inlineStr">
        <is>
          <t>ROSALYN</t>
        </is>
      </c>
      <c r="F147">
        <f>CONCATENATE(D147," ",LEFT(H147,4),"T=",AU147,"D=",AV147,"R=",AW147,"M=",AX147,"L=",AY147,"B=",AZ147)</f>
        <v/>
      </c>
      <c r="G147" t="inlineStr">
        <is>
          <t>LEE</t>
        </is>
      </c>
      <c r="I147" t="inlineStr">
        <is>
          <t>1955-10-14</t>
        </is>
      </c>
      <c r="J147" t="inlineStr">
        <is>
          <t>2021-09-28</t>
        </is>
      </c>
      <c r="K147" t="inlineStr">
        <is>
          <t>ACTIVE</t>
        </is>
      </c>
      <c r="M147" t="inlineStr">
        <is>
          <t>364 OAK KNOLL AVE SE</t>
        </is>
      </c>
      <c r="N147">
        <f>RIGHT(M147,LEN(M147)-FIND(" ",M147))</f>
        <v/>
      </c>
      <c r="P147" t="inlineStr">
        <is>
          <t>WARREN</t>
        </is>
      </c>
      <c r="Q147" t="inlineStr">
        <is>
          <t>OH</t>
        </is>
      </c>
      <c r="R147" t="n">
        <v>44483</v>
      </c>
      <c r="AD147" t="inlineStr">
        <is>
          <t>TRUMBULL CAREER &amp; TECH CENTER</t>
        </is>
      </c>
      <c r="AE147" t="inlineStr">
        <is>
          <t>WARREN CITY</t>
        </is>
      </c>
      <c r="AF147" t="inlineStr">
        <is>
          <t>WARREN CITY SD</t>
        </is>
      </c>
      <c r="AH147" t="n">
        <v>14</v>
      </c>
      <c r="AI147" t="n">
        <v>11</v>
      </c>
      <c r="AN147" t="inlineStr">
        <is>
          <t>WARREN</t>
        </is>
      </c>
      <c r="AO147" t="inlineStr">
        <is>
          <t>WARREN CITY 4A</t>
        </is>
      </c>
      <c r="AP147" t="inlineStr">
        <is>
          <t>78-P-ADI</t>
        </is>
      </c>
      <c r="AQ147" t="n">
        <v>9</v>
      </c>
      <c r="AR147" t="n">
        <v>64</v>
      </c>
      <c r="AS147" t="n">
        <v>32</v>
      </c>
      <c r="AU147">
        <f>COUNTA($BA$147:$EH$147)</f>
        <v/>
      </c>
      <c r="AV147">
        <f>COUNTIF($BA$147:$EH$147,"D")</f>
        <v/>
      </c>
      <c r="AW147">
        <f>COUNTIF($BA$147:$EH$147,"R")</f>
        <v/>
      </c>
      <c r="AX147">
        <f>IF(BN147="D",1,0)+IF(BO147="D",1,0)+IF(BT147="D",1,0)+IF(BU147="D",1,0)+IF(BW147="D",1,0)+IF(CC147="D",1,0)+IF(CD147="D",1,0)+IF(CE147="D",1,0)+IF(CF147="D",1,0)+IF(CL147="D",1,0)+IF(CM147="D",1,0)+IF(CQ147="D",1,0)+IF(CR147="D",1,0)+IF(CS147="D",1,0)+IF(CW147="D",1,0)+IF(CX147="D",1,0)+IF(DD147="D",1,0)+IF(DE147="D",1,0)+IF(DJ147="D",1,0)+IF(DK147="D",1,0)+IF(DO147="D",1,0)+IF(DP147="D",1,0)+IF(DQ147="D",1,0)+IF(DW147="D",1,0)+IF(DZ147="D",1,0)+IF(EH147="D",1,0)</f>
        <v/>
      </c>
      <c r="AY147">
        <f>IF(DJ147&lt;&gt;"",1,0)+IF(DK147&lt;&gt;"",1,0)+IF(DM147&lt;&gt;"",1,0)+IF(DO147&lt;&gt;"",1,0)+IF(DP147&lt;&gt;"",1,0)+IF(DQ147&lt;&gt;"",1,0)+IF(DS147&lt;&gt;"",1,0)+IF(DT147&lt;&gt;"",1,0)+IF(DV147&lt;&gt;"",1,0)+IF(DW147&lt;&gt;"",1,0)+IF(DX147&lt;&gt;"",1,0)+IF(DY147&lt;&gt;"",1,0)+IF(DZ147&lt;&gt;"",1,0)+IF(EB147&lt;&gt;"",1,0)+IF(EC147&lt;&gt;"",1,0)+IF(ED147&lt;&gt;"",1,0)+IF(EG147&lt;&gt;"",1,0)+IF(EH147&lt;&gt;"",1,0)</f>
        <v/>
      </c>
      <c r="AZ147">
        <f>IF(EH147&lt;&gt;"",1,0)</f>
        <v/>
      </c>
      <c r="BB147" t="inlineStr">
        <is>
          <t>WARREN-WARD 4</t>
        </is>
      </c>
      <c r="BD147" t="inlineStr">
        <is>
          <t>X</t>
        </is>
      </c>
      <c r="BH147" t="inlineStr">
        <is>
          <t>X</t>
        </is>
      </c>
      <c r="BL147" t="inlineStr">
        <is>
          <t>X</t>
        </is>
      </c>
      <c r="BY147" t="inlineStr">
        <is>
          <t>D</t>
        </is>
      </c>
      <c r="CA147" t="inlineStr">
        <is>
          <t>X</t>
        </is>
      </c>
      <c r="CP147" t="inlineStr">
        <is>
          <t>X</t>
        </is>
      </c>
      <c r="CY147" t="inlineStr">
        <is>
          <t>X</t>
        </is>
      </c>
      <c r="DC147" t="inlineStr">
        <is>
          <t>X</t>
        </is>
      </c>
      <c r="DN147" t="inlineStr">
        <is>
          <t>X</t>
        </is>
      </c>
      <c r="EF147" t="inlineStr">
        <is>
          <t>X</t>
        </is>
      </c>
    </row>
    <row r="148">
      <c r="A148" t="inlineStr">
        <is>
          <t>OH0023448612</t>
        </is>
      </c>
      <c r="B148" t="n">
        <v>78</v>
      </c>
      <c r="C148" t="n">
        <v>412042</v>
      </c>
      <c r="D148" t="inlineStr">
        <is>
          <t>GLENN</t>
        </is>
      </c>
      <c r="E148" t="inlineStr">
        <is>
          <t>JON</t>
        </is>
      </c>
      <c r="F148">
        <f>CONCATENATE(D148," ",LEFT(H148,4),"T=",AU148,"D=",AV148,"R=",AW148,"M=",AX148,"L=",AY148,"B=",AZ148)</f>
        <v/>
      </c>
      <c r="G148" t="inlineStr">
        <is>
          <t>M</t>
        </is>
      </c>
      <c r="I148" t="inlineStr">
        <is>
          <t>1978-01-03</t>
        </is>
      </c>
      <c r="J148" t="inlineStr">
        <is>
          <t>2015-10-30</t>
        </is>
      </c>
      <c r="K148" t="inlineStr">
        <is>
          <t>ACTIVE</t>
        </is>
      </c>
      <c r="L148" t="inlineStr">
        <is>
          <t>D</t>
        </is>
      </c>
      <c r="M148" t="inlineStr">
        <is>
          <t>183 HOMEWOOD AVE SE</t>
        </is>
      </c>
      <c r="N148">
        <f>RIGHT(M148,LEN(M148)-FIND(" ",M148))</f>
        <v/>
      </c>
      <c r="P148" t="inlineStr">
        <is>
          <t>WARREN</t>
        </is>
      </c>
      <c r="Q148" t="inlineStr">
        <is>
          <t>OH</t>
        </is>
      </c>
      <c r="R148" t="n">
        <v>44483</v>
      </c>
      <c r="AD148" t="inlineStr">
        <is>
          <t>TRUMBULL CAREER &amp; TECH CENTER</t>
        </is>
      </c>
      <c r="AE148" t="inlineStr">
        <is>
          <t>WARREN CITY</t>
        </is>
      </c>
      <c r="AF148" t="inlineStr">
        <is>
          <t>WARREN CITY SD</t>
        </is>
      </c>
      <c r="AH148" t="n">
        <v>14</v>
      </c>
      <c r="AI148" t="n">
        <v>11</v>
      </c>
      <c r="AN148" t="inlineStr">
        <is>
          <t>WARREN</t>
        </is>
      </c>
      <c r="AO148" t="inlineStr">
        <is>
          <t>WARREN CITY 4A</t>
        </is>
      </c>
      <c r="AP148" t="inlineStr">
        <is>
          <t>78-P-ADI</t>
        </is>
      </c>
      <c r="AQ148" t="n">
        <v>9</v>
      </c>
      <c r="AR148" t="n">
        <v>64</v>
      </c>
      <c r="AS148" t="n">
        <v>32</v>
      </c>
      <c r="AU148">
        <f>COUNTA($BA$148:$EH$148)</f>
        <v/>
      </c>
      <c r="AV148">
        <f>COUNTIF($BA$148:$EH$148,"D")</f>
        <v/>
      </c>
      <c r="AW148">
        <f>COUNTIF($BA$148:$EH$148,"R")</f>
        <v/>
      </c>
      <c r="AX148">
        <f>IF(BN148="D",1,0)+IF(BO148="D",1,0)+IF(BT148="D",1,0)+IF(BU148="D",1,0)+IF(BW148="D",1,0)+IF(CC148="D",1,0)+IF(CD148="D",1,0)+IF(CE148="D",1,0)+IF(CF148="D",1,0)+IF(CL148="D",1,0)+IF(CM148="D",1,0)+IF(CQ148="D",1,0)+IF(CR148="D",1,0)+IF(CS148="D",1,0)+IF(CW148="D",1,0)+IF(CX148="D",1,0)+IF(DD148="D",1,0)+IF(DE148="D",1,0)+IF(DJ148="D",1,0)+IF(DK148="D",1,0)+IF(DO148="D",1,0)+IF(DP148="D",1,0)+IF(DQ148="D",1,0)+IF(DW148="D",1,0)+IF(DZ148="D",1,0)+IF(EH148="D",1,0)</f>
        <v/>
      </c>
      <c r="AY148">
        <f>IF(DJ148&lt;&gt;"",1,0)+IF(DK148&lt;&gt;"",1,0)+IF(DM148&lt;&gt;"",1,0)+IF(DO148&lt;&gt;"",1,0)+IF(DP148&lt;&gt;"",1,0)+IF(DQ148&lt;&gt;"",1,0)+IF(DS148&lt;&gt;"",1,0)+IF(DT148&lt;&gt;"",1,0)+IF(DV148&lt;&gt;"",1,0)+IF(DW148&lt;&gt;"",1,0)+IF(DX148&lt;&gt;"",1,0)+IF(DY148&lt;&gt;"",1,0)+IF(DZ148&lt;&gt;"",1,0)+IF(EB148&lt;&gt;"",1,0)+IF(EC148&lt;&gt;"",1,0)+IF(ED148&lt;&gt;"",1,0)+IF(EG148&lt;&gt;"",1,0)+IF(EH148&lt;&gt;"",1,0)</f>
        <v/>
      </c>
      <c r="AZ148">
        <f>IF(EH148&lt;&gt;"",1,0)</f>
        <v/>
      </c>
      <c r="BB148" t="inlineStr">
        <is>
          <t>WARREN-WARD 4</t>
        </is>
      </c>
      <c r="CZ148" t="inlineStr">
        <is>
          <t>D</t>
        </is>
      </c>
      <c r="DC148" t="inlineStr">
        <is>
          <t>X</t>
        </is>
      </c>
      <c r="DD148" t="inlineStr">
        <is>
          <t>D</t>
        </is>
      </c>
      <c r="DI148" t="inlineStr">
        <is>
          <t>X</t>
        </is>
      </c>
      <c r="DL148" t="inlineStr">
        <is>
          <t>X</t>
        </is>
      </c>
      <c r="DN148" t="inlineStr">
        <is>
          <t>X</t>
        </is>
      </c>
      <c r="DR148" t="inlineStr">
        <is>
          <t>X</t>
        </is>
      </c>
      <c r="DS148" t="inlineStr">
        <is>
          <t>D</t>
        </is>
      </c>
      <c r="DU148" t="inlineStr">
        <is>
          <t>X</t>
        </is>
      </c>
      <c r="DW148" t="inlineStr">
        <is>
          <t>D</t>
        </is>
      </c>
      <c r="DX148" t="inlineStr">
        <is>
          <t>X</t>
        </is>
      </c>
      <c r="EA148" t="inlineStr">
        <is>
          <t>X</t>
        </is>
      </c>
      <c r="ED148" t="inlineStr">
        <is>
          <t>D</t>
        </is>
      </c>
      <c r="EF148" t="inlineStr">
        <is>
          <t>X</t>
        </is>
      </c>
    </row>
    <row r="149">
      <c r="A149" t="inlineStr">
        <is>
          <t>OH0025640630</t>
        </is>
      </c>
      <c r="B149" t="n">
        <v>78</v>
      </c>
      <c r="C149" t="n">
        <v>447603</v>
      </c>
      <c r="D149" t="inlineStr">
        <is>
          <t>MCQUEEN</t>
        </is>
      </c>
      <c r="E149" t="inlineStr">
        <is>
          <t>JESSE</t>
        </is>
      </c>
      <c r="F149">
        <f>CONCATENATE(D149," ",LEFT(H149,4),"T=",AU149,"D=",AV149,"R=",AW149,"M=",AX149,"L=",AY149,"B=",AZ149)</f>
        <v/>
      </c>
      <c r="H149" t="inlineStr">
        <is>
          <t>JR</t>
        </is>
      </c>
      <c r="I149" t="inlineStr">
        <is>
          <t>1976-05-05</t>
        </is>
      </c>
      <c r="J149" t="inlineStr">
        <is>
          <t>2021-04-13</t>
        </is>
      </c>
      <c r="K149" t="inlineStr">
        <is>
          <t>ACTIVE</t>
        </is>
      </c>
      <c r="L149" t="inlineStr">
        <is>
          <t>R</t>
        </is>
      </c>
      <c r="M149" t="inlineStr">
        <is>
          <t>158 KENILWORTH AVE SE</t>
        </is>
      </c>
      <c r="N149">
        <f>RIGHT(M149,LEN(M149)-FIND(" ",M149))</f>
        <v/>
      </c>
      <c r="P149" t="inlineStr">
        <is>
          <t>WARREN</t>
        </is>
      </c>
      <c r="Q149" t="inlineStr">
        <is>
          <t>OH</t>
        </is>
      </c>
      <c r="R149" t="n">
        <v>44483</v>
      </c>
      <c r="AD149" t="inlineStr">
        <is>
          <t>TRUMBULL CAREER &amp; TECH CENTER</t>
        </is>
      </c>
      <c r="AE149" t="inlineStr">
        <is>
          <t>WARREN CITY</t>
        </is>
      </c>
      <c r="AF149" t="inlineStr">
        <is>
          <t>WARREN CITY SD</t>
        </is>
      </c>
      <c r="AH149" t="n">
        <v>14</v>
      </c>
      <c r="AI149" t="n">
        <v>11</v>
      </c>
      <c r="AN149" t="inlineStr">
        <is>
          <t>WARREN</t>
        </is>
      </c>
      <c r="AO149" t="inlineStr">
        <is>
          <t>WARREN CITY 4A</t>
        </is>
      </c>
      <c r="AP149" t="inlineStr">
        <is>
          <t>78-P-ADI</t>
        </is>
      </c>
      <c r="AQ149" t="n">
        <v>9</v>
      </c>
      <c r="AR149" t="n">
        <v>64</v>
      </c>
      <c r="AS149" t="n">
        <v>32</v>
      </c>
      <c r="AU149">
        <f>COUNTA($BA$149:$EH$149)</f>
        <v/>
      </c>
      <c r="AV149">
        <f>COUNTIF($BA$149:$EH$149,"D")</f>
        <v/>
      </c>
      <c r="AW149">
        <f>COUNTIF($BA$149:$EH$149,"R")</f>
        <v/>
      </c>
      <c r="AX149">
        <f>IF(BN149="D",1,0)+IF(BO149="D",1,0)+IF(BT149="D",1,0)+IF(BU149="D",1,0)+IF(BW149="D",1,0)+IF(CC149="D",1,0)+IF(CD149="D",1,0)+IF(CE149="D",1,0)+IF(CF149="D",1,0)+IF(CL149="D",1,0)+IF(CM149="D",1,0)+IF(CQ149="D",1,0)+IF(CR149="D",1,0)+IF(CS149="D",1,0)+IF(CW149="D",1,0)+IF(CX149="D",1,0)+IF(DD149="D",1,0)+IF(DE149="D",1,0)+IF(DJ149="D",1,0)+IF(DK149="D",1,0)+IF(DO149="D",1,0)+IF(DP149="D",1,0)+IF(DQ149="D",1,0)+IF(DW149="D",1,0)+IF(DZ149="D",1,0)+IF(EH149="D",1,0)</f>
        <v/>
      </c>
      <c r="AY149">
        <f>IF(DJ149&lt;&gt;"",1,0)+IF(DK149&lt;&gt;"",1,0)+IF(DM149&lt;&gt;"",1,0)+IF(DO149&lt;&gt;"",1,0)+IF(DP149&lt;&gt;"",1,0)+IF(DQ149&lt;&gt;"",1,0)+IF(DS149&lt;&gt;"",1,0)+IF(DT149&lt;&gt;"",1,0)+IF(DV149&lt;&gt;"",1,0)+IF(DW149&lt;&gt;"",1,0)+IF(DX149&lt;&gt;"",1,0)+IF(DY149&lt;&gt;"",1,0)+IF(DZ149&lt;&gt;"",1,0)+IF(EB149&lt;&gt;"",1,0)+IF(EC149&lt;&gt;"",1,0)+IF(ED149&lt;&gt;"",1,0)+IF(EG149&lt;&gt;"",1,0)+IF(EH149&lt;&gt;"",1,0)</f>
        <v/>
      </c>
      <c r="AZ149">
        <f>IF(EH149&lt;&gt;"",1,0)</f>
        <v/>
      </c>
      <c r="BB149" t="inlineStr">
        <is>
          <t>WARREN-WARD 4</t>
        </is>
      </c>
      <c r="BD149" t="inlineStr">
        <is>
          <t>X</t>
        </is>
      </c>
      <c r="BL149" t="inlineStr">
        <is>
          <t>X</t>
        </is>
      </c>
      <c r="DN149" t="inlineStr">
        <is>
          <t>X</t>
        </is>
      </c>
      <c r="ED149" t="inlineStr">
        <is>
          <t>R</t>
        </is>
      </c>
      <c r="EF149" t="inlineStr">
        <is>
          <t>X</t>
        </is>
      </c>
    </row>
    <row r="150">
      <c r="A150" t="inlineStr">
        <is>
          <t>OH0027839348</t>
        </is>
      </c>
      <c r="B150" t="n">
        <v>78</v>
      </c>
      <c r="C150" t="n">
        <v>492684</v>
      </c>
      <c r="D150" t="inlineStr">
        <is>
          <t>ALLEN</t>
        </is>
      </c>
      <c r="E150" t="inlineStr">
        <is>
          <t>ROY</t>
        </is>
      </c>
      <c r="F150">
        <f>CONCATENATE(D150," ",LEFT(H150,4),"T=",AU150,"D=",AV150,"R=",AW150,"M=",AX150,"L=",AY150,"B=",AZ150)</f>
        <v/>
      </c>
      <c r="G150" t="inlineStr">
        <is>
          <t>JAMES</t>
        </is>
      </c>
      <c r="H150" t="inlineStr">
        <is>
          <t>IV</t>
        </is>
      </c>
      <c r="I150" t="inlineStr">
        <is>
          <t>1993-07-13</t>
        </is>
      </c>
      <c r="J150" t="inlineStr">
        <is>
          <t>2025-06-13</t>
        </is>
      </c>
      <c r="K150" t="inlineStr">
        <is>
          <t>ACTIVE</t>
        </is>
      </c>
      <c r="M150" t="inlineStr">
        <is>
          <t>316 IDDINGS AVE SE</t>
        </is>
      </c>
      <c r="N150">
        <f>RIGHT(M150,LEN(M150)-FIND(" ",M150))</f>
        <v/>
      </c>
      <c r="P150" t="inlineStr">
        <is>
          <t>WARREN</t>
        </is>
      </c>
      <c r="Q150" t="inlineStr">
        <is>
          <t>OH</t>
        </is>
      </c>
      <c r="R150" t="n">
        <v>44483</v>
      </c>
      <c r="AD150" t="inlineStr">
        <is>
          <t>TRUMBULL CAREER &amp; TECH CENTER</t>
        </is>
      </c>
      <c r="AE150" t="inlineStr">
        <is>
          <t>WARREN CITY</t>
        </is>
      </c>
      <c r="AF150" t="inlineStr">
        <is>
          <t>WARREN CITY SD</t>
        </is>
      </c>
      <c r="AH150" t="n">
        <v>14</v>
      </c>
      <c r="AI150" t="n">
        <v>11</v>
      </c>
      <c r="AN150" t="inlineStr">
        <is>
          <t>WARREN</t>
        </is>
      </c>
      <c r="AO150" t="inlineStr">
        <is>
          <t>WARREN CITY 4A</t>
        </is>
      </c>
      <c r="AP150" t="inlineStr">
        <is>
          <t>78-P-ADI</t>
        </is>
      </c>
      <c r="AQ150" t="n">
        <v>9</v>
      </c>
      <c r="AR150" t="n">
        <v>64</v>
      </c>
      <c r="AS150" t="n">
        <v>32</v>
      </c>
      <c r="AU150">
        <f>COUNTA($BA$150:$EH$150)</f>
        <v/>
      </c>
      <c r="AV150">
        <f>COUNTIF($BA$150:$EH$150,"D")</f>
        <v/>
      </c>
      <c r="AW150">
        <f>COUNTIF($BA$150:$EH$150,"R")</f>
        <v/>
      </c>
      <c r="AX150">
        <f>IF(BN150="D",1,0)+IF(BO150="D",1,0)+IF(BT150="D",1,0)+IF(BU150="D",1,0)+IF(BW150="D",1,0)+IF(CC150="D",1,0)+IF(CD150="D",1,0)+IF(CE150="D",1,0)+IF(CF150="D",1,0)+IF(CL150="D",1,0)+IF(CM150="D",1,0)+IF(CQ150="D",1,0)+IF(CR150="D",1,0)+IF(CS150="D",1,0)+IF(CW150="D",1,0)+IF(CX150="D",1,0)+IF(DD150="D",1,0)+IF(DE150="D",1,0)+IF(DJ150="D",1,0)+IF(DK150="D",1,0)+IF(DO150="D",1,0)+IF(DP150="D",1,0)+IF(DQ150="D",1,0)+IF(DW150="D",1,0)+IF(DZ150="D",1,0)+IF(EH150="D",1,0)</f>
        <v/>
      </c>
      <c r="AY150">
        <f>IF(DJ150&lt;&gt;"",1,0)+IF(DK150&lt;&gt;"",1,0)+IF(DM150&lt;&gt;"",1,0)+IF(DO150&lt;&gt;"",1,0)+IF(DP150&lt;&gt;"",1,0)+IF(DQ150&lt;&gt;"",1,0)+IF(DS150&lt;&gt;"",1,0)+IF(DT150&lt;&gt;"",1,0)+IF(DV150&lt;&gt;"",1,0)+IF(DW150&lt;&gt;"",1,0)+IF(DX150&lt;&gt;"",1,0)+IF(DY150&lt;&gt;"",1,0)+IF(DZ150&lt;&gt;"",1,0)+IF(EB150&lt;&gt;"",1,0)+IF(EC150&lt;&gt;"",1,0)+IF(ED150&lt;&gt;"",1,0)+IF(EG150&lt;&gt;"",1,0)+IF(EH150&lt;&gt;"",1,0)</f>
        <v/>
      </c>
      <c r="AZ150">
        <f>IF(EH150&lt;&gt;"",1,0)</f>
        <v/>
      </c>
      <c r="BB150" t="inlineStr">
        <is>
          <t>WARREN-WARD 4</t>
        </is>
      </c>
      <c r="CN150" t="inlineStr">
        <is>
          <t>X</t>
        </is>
      </c>
      <c r="CO150" t="inlineStr">
        <is>
          <t>D</t>
        </is>
      </c>
      <c r="CP150" t="inlineStr">
        <is>
          <t>X</t>
        </is>
      </c>
    </row>
    <row r="151">
      <c r="A151" t="inlineStr">
        <is>
          <t>OH0025027453</t>
        </is>
      </c>
      <c r="B151" t="n">
        <v>78</v>
      </c>
      <c r="C151" t="n">
        <v>438137</v>
      </c>
      <c r="D151" t="inlineStr">
        <is>
          <t>SULECKI</t>
        </is>
      </c>
      <c r="E151" t="inlineStr">
        <is>
          <t>VALERIE</t>
        </is>
      </c>
      <c r="F151">
        <f>CONCATENATE(D151," ",LEFT(H151,4),"T=",AU151,"D=",AV151,"R=",AW151,"M=",AX151,"L=",AY151,"B=",AZ151)</f>
        <v/>
      </c>
      <c r="G151" t="inlineStr">
        <is>
          <t>ANN</t>
        </is>
      </c>
      <c r="I151" t="inlineStr">
        <is>
          <t>1971-10-18</t>
        </is>
      </c>
      <c r="J151" t="inlineStr">
        <is>
          <t>2019-02-09</t>
        </is>
      </c>
      <c r="K151" t="inlineStr">
        <is>
          <t>CONFIRMATION</t>
        </is>
      </c>
      <c r="M151" t="inlineStr">
        <is>
          <t>740 KENILWORTH AVE SE</t>
        </is>
      </c>
      <c r="N151">
        <f>RIGHT(M151,LEN(M151)-FIND(" ",M151))</f>
        <v/>
      </c>
      <c r="P151" t="inlineStr">
        <is>
          <t>WARREN</t>
        </is>
      </c>
      <c r="Q151" t="inlineStr">
        <is>
          <t>OH</t>
        </is>
      </c>
      <c r="R151" t="n">
        <v>44484</v>
      </c>
      <c r="AD151" t="inlineStr">
        <is>
          <t>TRUMBULL CAREER &amp; TECH CENTER</t>
        </is>
      </c>
      <c r="AE151" t="inlineStr">
        <is>
          <t>WARREN CITY</t>
        </is>
      </c>
      <c r="AF151" t="inlineStr">
        <is>
          <t>WARREN CITY SD</t>
        </is>
      </c>
      <c r="AH151" t="n">
        <v>14</v>
      </c>
      <c r="AI151" t="n">
        <v>11</v>
      </c>
      <c r="AN151" t="inlineStr">
        <is>
          <t>WARREN</t>
        </is>
      </c>
      <c r="AO151" t="inlineStr">
        <is>
          <t>WARREN CITY 4A</t>
        </is>
      </c>
      <c r="AP151" t="inlineStr">
        <is>
          <t>78-P-ADI</t>
        </is>
      </c>
      <c r="AQ151" t="n">
        <v>9</v>
      </c>
      <c r="AR151" t="n">
        <v>64</v>
      </c>
      <c r="AS151" t="n">
        <v>32</v>
      </c>
      <c r="AU151">
        <f>COUNTA($BA$151:$EH$151)</f>
        <v/>
      </c>
      <c r="AV151">
        <f>COUNTIF($BA$151:$EH$151,"D")</f>
        <v/>
      </c>
      <c r="AW151">
        <f>COUNTIF($BA$151:$EH$151,"R")</f>
        <v/>
      </c>
      <c r="AX151">
        <f>IF(BN151="D",1,0)+IF(BO151="D",1,0)+IF(BT151="D",1,0)+IF(BU151="D",1,0)+IF(BW151="D",1,0)+IF(CC151="D",1,0)+IF(CD151="D",1,0)+IF(CE151="D",1,0)+IF(CF151="D",1,0)+IF(CL151="D",1,0)+IF(CM151="D",1,0)+IF(CQ151="D",1,0)+IF(CR151="D",1,0)+IF(CS151="D",1,0)+IF(CW151="D",1,0)+IF(CX151="D",1,0)+IF(DD151="D",1,0)+IF(DE151="D",1,0)+IF(DJ151="D",1,0)+IF(DK151="D",1,0)+IF(DO151="D",1,0)+IF(DP151="D",1,0)+IF(DQ151="D",1,0)+IF(DW151="D",1,0)+IF(DZ151="D",1,0)+IF(EH151="D",1,0)</f>
        <v/>
      </c>
      <c r="AY151">
        <f>IF(DJ151&lt;&gt;"",1,0)+IF(DK151&lt;&gt;"",1,0)+IF(DM151&lt;&gt;"",1,0)+IF(DO151&lt;&gt;"",1,0)+IF(DP151&lt;&gt;"",1,0)+IF(DQ151&lt;&gt;"",1,0)+IF(DS151&lt;&gt;"",1,0)+IF(DT151&lt;&gt;"",1,0)+IF(DV151&lt;&gt;"",1,0)+IF(DW151&lt;&gt;"",1,0)+IF(DX151&lt;&gt;"",1,0)+IF(DY151&lt;&gt;"",1,0)+IF(DZ151&lt;&gt;"",1,0)+IF(EB151&lt;&gt;"",1,0)+IF(EC151&lt;&gt;"",1,0)+IF(ED151&lt;&gt;"",1,0)+IF(EG151&lt;&gt;"",1,0)+IF(EH151&lt;&gt;"",1,0)</f>
        <v/>
      </c>
      <c r="AZ151">
        <f>IF(EH151&lt;&gt;"",1,0)</f>
        <v/>
      </c>
      <c r="BB151" t="inlineStr">
        <is>
          <t>WARREN-WARD 4</t>
        </is>
      </c>
      <c r="DN151" t="inlineStr">
        <is>
          <t>X</t>
        </is>
      </c>
    </row>
    <row r="152">
      <c r="A152" t="inlineStr">
        <is>
          <t>OH0027979801</t>
        </is>
      </c>
      <c r="B152" t="n">
        <v>78</v>
      </c>
      <c r="C152" t="n">
        <v>496453</v>
      </c>
      <c r="D152" t="inlineStr">
        <is>
          <t>DOBOS</t>
        </is>
      </c>
      <c r="E152" t="inlineStr">
        <is>
          <t>HUNTER</t>
        </is>
      </c>
      <c r="F152">
        <f>CONCATENATE(D152," ",LEFT(H152,4),"T=",AU152,"D=",AV152,"R=",AW152,"M=",AX152,"L=",AY152,"B=",AZ152)</f>
        <v/>
      </c>
      <c r="G152" t="inlineStr">
        <is>
          <t>STEPHEN</t>
        </is>
      </c>
      <c r="I152" t="inlineStr">
        <is>
          <t>1996-06-07</t>
        </is>
      </c>
      <c r="J152" t="inlineStr">
        <is>
          <t>2025-06-13</t>
        </is>
      </c>
      <c r="K152" t="inlineStr">
        <is>
          <t>ACTIVE</t>
        </is>
      </c>
      <c r="M152" t="inlineStr">
        <is>
          <t>607 WOODBINE AVE SE</t>
        </is>
      </c>
      <c r="N152">
        <f>RIGHT(M152,LEN(M152)-FIND(" ",M152))</f>
        <v/>
      </c>
      <c r="P152" t="inlineStr">
        <is>
          <t>WARREN</t>
        </is>
      </c>
      <c r="Q152" t="inlineStr">
        <is>
          <t>OH</t>
        </is>
      </c>
      <c r="R152" t="n">
        <v>44483</v>
      </c>
      <c r="AD152" t="inlineStr">
        <is>
          <t>TRUMBULL CAREER &amp; TECH CENTER</t>
        </is>
      </c>
      <c r="AE152" t="inlineStr">
        <is>
          <t>WARREN CITY</t>
        </is>
      </c>
      <c r="AF152" t="inlineStr">
        <is>
          <t>WARREN CITY SD</t>
        </is>
      </c>
      <c r="AH152" t="n">
        <v>14</v>
      </c>
      <c r="AI152" t="n">
        <v>11</v>
      </c>
      <c r="AN152" t="inlineStr">
        <is>
          <t>WARREN</t>
        </is>
      </c>
      <c r="AO152" t="inlineStr">
        <is>
          <t>WARREN CITY 4A</t>
        </is>
      </c>
      <c r="AP152" t="inlineStr">
        <is>
          <t>78-P-ADI</t>
        </is>
      </c>
      <c r="AQ152" t="n">
        <v>9</v>
      </c>
      <c r="AR152" t="n">
        <v>64</v>
      </c>
      <c r="AS152" t="n">
        <v>32</v>
      </c>
      <c r="AU152">
        <f>COUNTA($BA$152:$EH$152)</f>
        <v/>
      </c>
      <c r="AV152">
        <f>COUNTIF($BA$152:$EH$152,"D")</f>
        <v/>
      </c>
      <c r="AW152">
        <f>COUNTIF($BA$152:$EH$152,"R")</f>
        <v/>
      </c>
      <c r="AX152">
        <f>IF(BN152="D",1,0)+IF(BO152="D",1,0)+IF(BT152="D",1,0)+IF(BU152="D",1,0)+IF(BW152="D",1,0)+IF(CC152="D",1,0)+IF(CD152="D",1,0)+IF(CE152="D",1,0)+IF(CF152="D",1,0)+IF(CL152="D",1,0)+IF(CM152="D",1,0)+IF(CQ152="D",1,0)+IF(CR152="D",1,0)+IF(CS152="D",1,0)+IF(CW152="D",1,0)+IF(CX152="D",1,0)+IF(DD152="D",1,0)+IF(DE152="D",1,0)+IF(DJ152="D",1,0)+IF(DK152="D",1,0)+IF(DO152="D",1,0)+IF(DP152="D",1,0)+IF(DQ152="D",1,0)+IF(DW152="D",1,0)+IF(DZ152="D",1,0)+IF(EH152="D",1,0)</f>
        <v/>
      </c>
      <c r="AY152">
        <f>IF(DJ152&lt;&gt;"",1,0)+IF(DK152&lt;&gt;"",1,0)+IF(DM152&lt;&gt;"",1,0)+IF(DO152&lt;&gt;"",1,0)+IF(DP152&lt;&gt;"",1,0)+IF(DQ152&lt;&gt;"",1,0)+IF(DS152&lt;&gt;"",1,0)+IF(DT152&lt;&gt;"",1,0)+IF(DV152&lt;&gt;"",1,0)+IF(DW152&lt;&gt;"",1,0)+IF(DX152&lt;&gt;"",1,0)+IF(DY152&lt;&gt;"",1,0)+IF(DZ152&lt;&gt;"",1,0)+IF(EB152&lt;&gt;"",1,0)+IF(EC152&lt;&gt;"",1,0)+IF(ED152&lt;&gt;"",1,0)+IF(EG152&lt;&gt;"",1,0)+IF(EH152&lt;&gt;"",1,0)</f>
        <v/>
      </c>
      <c r="AZ152">
        <f>IF(EH152&lt;&gt;"",1,0)</f>
        <v/>
      </c>
      <c r="BB152" t="inlineStr">
        <is>
          <t>WARREN-WARD 4</t>
        </is>
      </c>
      <c r="CY152" t="inlineStr">
        <is>
          <t>X</t>
        </is>
      </c>
      <c r="DC152" t="inlineStr">
        <is>
          <t>X</t>
        </is>
      </c>
    </row>
    <row r="153">
      <c r="A153" t="inlineStr">
        <is>
          <t>OH0019859568</t>
        </is>
      </c>
      <c r="B153" t="n">
        <v>78</v>
      </c>
      <c r="C153" t="n">
        <v>360135</v>
      </c>
      <c r="D153" t="inlineStr">
        <is>
          <t>TRAVIS</t>
        </is>
      </c>
      <c r="E153" t="inlineStr">
        <is>
          <t>ZACHERY</t>
        </is>
      </c>
      <c r="F153">
        <f>CONCATENATE(D153," ",LEFT(H153,4),"T=",AU153,"D=",AV153,"R=",AW153,"M=",AX153,"L=",AY153,"B=",AZ153)</f>
        <v/>
      </c>
      <c r="G153" t="inlineStr">
        <is>
          <t>LEE</t>
        </is>
      </c>
      <c r="H153" t="inlineStr">
        <is>
          <t>SR</t>
        </is>
      </c>
      <c r="I153" t="inlineStr">
        <is>
          <t>1988-10-06</t>
        </is>
      </c>
      <c r="J153" t="inlineStr">
        <is>
          <t>2024-09-24</t>
        </is>
      </c>
      <c r="K153" t="inlineStr">
        <is>
          <t>ACTIVE</t>
        </is>
      </c>
      <c r="M153" t="inlineStr">
        <is>
          <t>1194 ADELAIDE AVE SE</t>
        </is>
      </c>
      <c r="N153">
        <f>RIGHT(M153,LEN(M153)-FIND(" ",M153))</f>
        <v/>
      </c>
      <c r="O153" t="inlineStr">
        <is>
          <t>APT A</t>
        </is>
      </c>
      <c r="P153" t="inlineStr">
        <is>
          <t>WARREN</t>
        </is>
      </c>
      <c r="Q153" t="inlineStr">
        <is>
          <t>OH</t>
        </is>
      </c>
      <c r="R153" t="n">
        <v>44484</v>
      </c>
      <c r="AD153" t="inlineStr">
        <is>
          <t>TRUMBULL CAREER &amp; TECH CENTER</t>
        </is>
      </c>
      <c r="AE153" t="inlineStr">
        <is>
          <t>WARREN CITY</t>
        </is>
      </c>
      <c r="AF153" t="inlineStr">
        <is>
          <t>WARREN CITY SD</t>
        </is>
      </c>
      <c r="AH153" t="n">
        <v>14</v>
      </c>
      <c r="AI153" t="n">
        <v>11</v>
      </c>
      <c r="AN153" t="inlineStr">
        <is>
          <t>WARREN</t>
        </is>
      </c>
      <c r="AO153" t="inlineStr">
        <is>
          <t>WARREN CITY 4A</t>
        </is>
      </c>
      <c r="AP153" t="inlineStr">
        <is>
          <t>78-P-ADI</t>
        </is>
      </c>
      <c r="AQ153" t="n">
        <v>9</v>
      </c>
      <c r="AR153" t="n">
        <v>64</v>
      </c>
      <c r="AS153" t="n">
        <v>32</v>
      </c>
      <c r="AU153">
        <f>COUNTA($BA$153:$EH$153)</f>
        <v/>
      </c>
      <c r="AV153">
        <f>COUNTIF($BA$153:$EH$153,"D")</f>
        <v/>
      </c>
      <c r="AW153">
        <f>COUNTIF($BA$153:$EH$153,"R")</f>
        <v/>
      </c>
      <c r="AX153">
        <f>IF(BN153="D",1,0)+IF(BO153="D",1,0)+IF(BT153="D",1,0)+IF(BU153="D",1,0)+IF(BW153="D",1,0)+IF(CC153="D",1,0)+IF(CD153="D",1,0)+IF(CE153="D",1,0)+IF(CF153="D",1,0)+IF(CL153="D",1,0)+IF(CM153="D",1,0)+IF(CQ153="D",1,0)+IF(CR153="D",1,0)+IF(CS153="D",1,0)+IF(CW153="D",1,0)+IF(CX153="D",1,0)+IF(DD153="D",1,0)+IF(DE153="D",1,0)+IF(DJ153="D",1,0)+IF(DK153="D",1,0)+IF(DO153="D",1,0)+IF(DP153="D",1,0)+IF(DQ153="D",1,0)+IF(DW153="D",1,0)+IF(DZ153="D",1,0)+IF(EH153="D",1,0)</f>
        <v/>
      </c>
      <c r="AY153">
        <f>IF(DJ153&lt;&gt;"",1,0)+IF(DK153&lt;&gt;"",1,0)+IF(DM153&lt;&gt;"",1,0)+IF(DO153&lt;&gt;"",1,0)+IF(DP153&lt;&gt;"",1,0)+IF(DQ153&lt;&gt;"",1,0)+IF(DS153&lt;&gt;"",1,0)+IF(DT153&lt;&gt;"",1,0)+IF(DV153&lt;&gt;"",1,0)+IF(DW153&lt;&gt;"",1,0)+IF(DX153&lt;&gt;"",1,0)+IF(DY153&lt;&gt;"",1,0)+IF(DZ153&lt;&gt;"",1,0)+IF(EB153&lt;&gt;"",1,0)+IF(EC153&lt;&gt;"",1,0)+IF(ED153&lt;&gt;"",1,0)+IF(EG153&lt;&gt;"",1,0)+IF(EH153&lt;&gt;"",1,0)</f>
        <v/>
      </c>
      <c r="AZ153">
        <f>IF(EH153&lt;&gt;"",1,0)</f>
        <v/>
      </c>
      <c r="BB153" t="inlineStr">
        <is>
          <t>WARREN-WARD 4</t>
        </is>
      </c>
      <c r="DG153" t="inlineStr">
        <is>
          <t>D</t>
        </is>
      </c>
      <c r="DL153" t="inlineStr">
        <is>
          <t>X</t>
        </is>
      </c>
    </row>
    <row r="154">
      <c r="A154" t="inlineStr">
        <is>
          <t>OH0027139456</t>
        </is>
      </c>
      <c r="B154" t="n">
        <v>78</v>
      </c>
      <c r="C154" t="n">
        <v>477620</v>
      </c>
      <c r="D154" t="inlineStr">
        <is>
          <t>EDWARDS</t>
        </is>
      </c>
      <c r="E154" t="inlineStr">
        <is>
          <t>BLAIN</t>
        </is>
      </c>
      <c r="F154">
        <f>CONCATENATE(D154," ",LEFT(H154,4),"T=",AU154,"D=",AV154,"R=",AW154,"M=",AX154,"L=",AY154,"B=",AZ154)</f>
        <v/>
      </c>
      <c r="G154" t="inlineStr">
        <is>
          <t>RICHARD</t>
        </is>
      </c>
      <c r="I154" t="inlineStr">
        <is>
          <t>2001-06-28</t>
        </is>
      </c>
      <c r="J154" t="inlineStr">
        <is>
          <t>2023-11-06</t>
        </is>
      </c>
      <c r="K154" t="inlineStr">
        <is>
          <t>ACTIVE</t>
        </is>
      </c>
      <c r="M154" t="inlineStr">
        <is>
          <t>471 CHARLES AVE SE</t>
        </is>
      </c>
      <c r="N154">
        <f>RIGHT(M154,LEN(M154)-FIND(" ",M154))</f>
        <v/>
      </c>
      <c r="P154" t="inlineStr">
        <is>
          <t>WARREN</t>
        </is>
      </c>
      <c r="Q154" t="inlineStr">
        <is>
          <t>OH</t>
        </is>
      </c>
      <c r="R154" t="n">
        <v>44483</v>
      </c>
      <c r="AD154" t="inlineStr">
        <is>
          <t>TRUMBULL CAREER &amp; TECH CENTER</t>
        </is>
      </c>
      <c r="AE154" t="inlineStr">
        <is>
          <t>WARREN CITY</t>
        </is>
      </c>
      <c r="AF154" t="inlineStr">
        <is>
          <t>WARREN CITY SD</t>
        </is>
      </c>
      <c r="AH154" t="n">
        <v>14</v>
      </c>
      <c r="AI154" t="n">
        <v>11</v>
      </c>
      <c r="AN154" t="inlineStr">
        <is>
          <t>WARREN</t>
        </is>
      </c>
      <c r="AO154" t="inlineStr">
        <is>
          <t>WARREN CITY 4A</t>
        </is>
      </c>
      <c r="AP154" t="inlineStr">
        <is>
          <t>78-P-ADI</t>
        </is>
      </c>
      <c r="AQ154" t="n">
        <v>9</v>
      </c>
      <c r="AR154" t="n">
        <v>64</v>
      </c>
      <c r="AS154" t="n">
        <v>32</v>
      </c>
      <c r="AU154">
        <f>COUNTA($BA$154:$EH$154)</f>
        <v/>
      </c>
      <c r="AV154">
        <f>COUNTIF($BA$154:$EH$154,"D")</f>
        <v/>
      </c>
      <c r="AW154">
        <f>COUNTIF($BA$154:$EH$154,"R")</f>
        <v/>
      </c>
      <c r="AX154">
        <f>IF(BN154="D",1,0)+IF(BO154="D",1,0)+IF(BT154="D",1,0)+IF(BU154="D",1,0)+IF(BW154="D",1,0)+IF(CC154="D",1,0)+IF(CD154="D",1,0)+IF(CE154="D",1,0)+IF(CF154="D",1,0)+IF(CL154="D",1,0)+IF(CM154="D",1,0)+IF(CQ154="D",1,0)+IF(CR154="D",1,0)+IF(CS154="D",1,0)+IF(CW154="D",1,0)+IF(CX154="D",1,0)+IF(DD154="D",1,0)+IF(DE154="D",1,0)+IF(DJ154="D",1,0)+IF(DK154="D",1,0)+IF(DO154="D",1,0)+IF(DP154="D",1,0)+IF(DQ154="D",1,0)+IF(DW154="D",1,0)+IF(DZ154="D",1,0)+IF(EH154="D",1,0)</f>
        <v/>
      </c>
      <c r="AY154">
        <f>IF(DJ154&lt;&gt;"",1,0)+IF(DK154&lt;&gt;"",1,0)+IF(DM154&lt;&gt;"",1,0)+IF(DO154&lt;&gt;"",1,0)+IF(DP154&lt;&gt;"",1,0)+IF(DQ154&lt;&gt;"",1,0)+IF(DS154&lt;&gt;"",1,0)+IF(DT154&lt;&gt;"",1,0)+IF(DV154&lt;&gt;"",1,0)+IF(DW154&lt;&gt;"",1,0)+IF(DX154&lt;&gt;"",1,0)+IF(DY154&lt;&gt;"",1,0)+IF(DZ154&lt;&gt;"",1,0)+IF(EB154&lt;&gt;"",1,0)+IF(EC154&lt;&gt;"",1,0)+IF(ED154&lt;&gt;"",1,0)+IF(EG154&lt;&gt;"",1,0)+IF(EH154&lt;&gt;"",1,0)</f>
        <v/>
      </c>
      <c r="AZ154">
        <f>IF(EH154&lt;&gt;"",1,0)</f>
        <v/>
      </c>
      <c r="BB154" t="inlineStr">
        <is>
          <t>WARREN-WARD 4</t>
        </is>
      </c>
    </row>
    <row r="155">
      <c r="A155" t="inlineStr">
        <is>
          <t>OH0027730059</t>
        </is>
      </c>
      <c r="B155" t="n">
        <v>78</v>
      </c>
      <c r="C155" t="n">
        <v>491409</v>
      </c>
      <c r="D155" t="inlineStr">
        <is>
          <t>SULLIVAN</t>
        </is>
      </c>
      <c r="E155" t="inlineStr">
        <is>
          <t>KYLIE</t>
        </is>
      </c>
      <c r="F155">
        <f>CONCATENATE(D155," ",LEFT(H155,4),"T=",AU155,"D=",AV155,"R=",AW155,"M=",AX155,"L=",AY155,"B=",AZ155)</f>
        <v/>
      </c>
      <c r="G155" t="inlineStr">
        <is>
          <t>ANN</t>
        </is>
      </c>
      <c r="I155" t="inlineStr">
        <is>
          <t>2004-03-08</t>
        </is>
      </c>
      <c r="J155" t="inlineStr">
        <is>
          <t>2024-11-05</t>
        </is>
      </c>
      <c r="K155" t="inlineStr">
        <is>
          <t>ACTIVE</t>
        </is>
      </c>
      <c r="M155" t="inlineStr">
        <is>
          <t>409 KENILWORTH AVE SE</t>
        </is>
      </c>
      <c r="N155">
        <f>RIGHT(M155,LEN(M155)-FIND(" ",M155))</f>
        <v/>
      </c>
      <c r="P155" t="inlineStr">
        <is>
          <t>WARREN</t>
        </is>
      </c>
      <c r="Q155" t="inlineStr">
        <is>
          <t>OH</t>
        </is>
      </c>
      <c r="R155" t="n">
        <v>44483</v>
      </c>
      <c r="AD155" t="inlineStr">
        <is>
          <t>TRUMBULL CAREER &amp; TECH CENTER</t>
        </is>
      </c>
      <c r="AE155" t="inlineStr">
        <is>
          <t>WARREN CITY</t>
        </is>
      </c>
      <c r="AF155" t="inlineStr">
        <is>
          <t>WARREN CITY SD</t>
        </is>
      </c>
      <c r="AH155" t="n">
        <v>14</v>
      </c>
      <c r="AI155" t="n">
        <v>11</v>
      </c>
      <c r="AN155" t="inlineStr">
        <is>
          <t>WARREN</t>
        </is>
      </c>
      <c r="AO155" t="inlineStr">
        <is>
          <t>WARREN CITY 4A</t>
        </is>
      </c>
      <c r="AP155" t="inlineStr">
        <is>
          <t>78-P-ADI</t>
        </is>
      </c>
      <c r="AQ155" t="n">
        <v>9</v>
      </c>
      <c r="AR155" t="n">
        <v>64</v>
      </c>
      <c r="AS155" t="n">
        <v>32</v>
      </c>
      <c r="AU155">
        <f>COUNTA($BA$155:$EH$155)</f>
        <v/>
      </c>
      <c r="AV155">
        <f>COUNTIF($BA$155:$EH$155,"D")</f>
        <v/>
      </c>
      <c r="AW155">
        <f>COUNTIF($BA$155:$EH$155,"R")</f>
        <v/>
      </c>
      <c r="AX155">
        <f>IF(BN155="D",1,0)+IF(BO155="D",1,0)+IF(BT155="D",1,0)+IF(BU155="D",1,0)+IF(BW155="D",1,0)+IF(CC155="D",1,0)+IF(CD155="D",1,0)+IF(CE155="D",1,0)+IF(CF155="D",1,0)+IF(CL155="D",1,0)+IF(CM155="D",1,0)+IF(CQ155="D",1,0)+IF(CR155="D",1,0)+IF(CS155="D",1,0)+IF(CW155="D",1,0)+IF(CX155="D",1,0)+IF(DD155="D",1,0)+IF(DE155="D",1,0)+IF(DJ155="D",1,0)+IF(DK155="D",1,0)+IF(DO155="D",1,0)+IF(DP155="D",1,0)+IF(DQ155="D",1,0)+IF(DW155="D",1,0)+IF(DZ155="D",1,0)+IF(EH155="D",1,0)</f>
        <v/>
      </c>
      <c r="AY155">
        <f>IF(DJ155&lt;&gt;"",1,0)+IF(DK155&lt;&gt;"",1,0)+IF(DM155&lt;&gt;"",1,0)+IF(DO155&lt;&gt;"",1,0)+IF(DP155&lt;&gt;"",1,0)+IF(DQ155&lt;&gt;"",1,0)+IF(DS155&lt;&gt;"",1,0)+IF(DT155&lt;&gt;"",1,0)+IF(DV155&lt;&gt;"",1,0)+IF(DW155&lt;&gt;"",1,0)+IF(DX155&lt;&gt;"",1,0)+IF(DY155&lt;&gt;"",1,0)+IF(DZ155&lt;&gt;"",1,0)+IF(EB155&lt;&gt;"",1,0)+IF(EC155&lt;&gt;"",1,0)+IF(ED155&lt;&gt;"",1,0)+IF(EG155&lt;&gt;"",1,0)+IF(EH155&lt;&gt;"",1,0)</f>
        <v/>
      </c>
      <c r="AZ155">
        <f>IF(EH155&lt;&gt;"",1,0)</f>
        <v/>
      </c>
      <c r="BB155" t="inlineStr">
        <is>
          <t>WARREN-WARD 4</t>
        </is>
      </c>
      <c r="EF155" t="inlineStr">
        <is>
          <t>X</t>
        </is>
      </c>
    </row>
    <row r="156">
      <c r="A156" t="inlineStr">
        <is>
          <t>OH0026596741</t>
        </is>
      </c>
      <c r="B156" t="n">
        <v>78</v>
      </c>
      <c r="C156" t="n">
        <v>464805</v>
      </c>
      <c r="D156" t="inlineStr">
        <is>
          <t>STEPHENS</t>
        </is>
      </c>
      <c r="E156" t="inlineStr">
        <is>
          <t>COURTNEY</t>
        </is>
      </c>
      <c r="F156">
        <f>CONCATENATE(D156," ",LEFT(H156,4),"T=",AU156,"D=",AV156,"R=",AW156,"M=",AX156,"L=",AY156,"B=",AZ156)</f>
        <v/>
      </c>
      <c r="G156" t="inlineStr">
        <is>
          <t>ANN</t>
        </is>
      </c>
      <c r="I156" t="inlineStr">
        <is>
          <t>2001-10-05</t>
        </is>
      </c>
      <c r="J156" t="inlineStr">
        <is>
          <t>2022-11-25</t>
        </is>
      </c>
      <c r="K156" t="inlineStr">
        <is>
          <t>ACTIVE</t>
        </is>
      </c>
      <c r="M156" t="inlineStr">
        <is>
          <t>786 HOMEWOOD AVE SE</t>
        </is>
      </c>
      <c r="N156">
        <f>RIGHT(M156,LEN(M156)-FIND(" ",M156))</f>
        <v/>
      </c>
      <c r="P156" t="inlineStr">
        <is>
          <t>WARREN</t>
        </is>
      </c>
      <c r="Q156" t="inlineStr">
        <is>
          <t>OH</t>
        </is>
      </c>
      <c r="R156" t="n">
        <v>44484</v>
      </c>
      <c r="AD156" t="inlineStr">
        <is>
          <t>TRUMBULL CAREER &amp; TECH CENTER</t>
        </is>
      </c>
      <c r="AE156" t="inlineStr">
        <is>
          <t>WARREN CITY</t>
        </is>
      </c>
      <c r="AF156" t="inlineStr">
        <is>
          <t>WARREN CITY SD</t>
        </is>
      </c>
      <c r="AH156" t="n">
        <v>14</v>
      </c>
      <c r="AI156" t="n">
        <v>11</v>
      </c>
      <c r="AN156" t="inlineStr">
        <is>
          <t>WARREN</t>
        </is>
      </c>
      <c r="AO156" t="inlineStr">
        <is>
          <t>WARREN CITY 4A</t>
        </is>
      </c>
      <c r="AP156" t="inlineStr">
        <is>
          <t>78-P-ADI</t>
        </is>
      </c>
      <c r="AQ156" t="n">
        <v>9</v>
      </c>
      <c r="AR156" t="n">
        <v>64</v>
      </c>
      <c r="AS156" t="n">
        <v>32</v>
      </c>
      <c r="AU156">
        <f>COUNTA($BA$156:$EH$156)</f>
        <v/>
      </c>
      <c r="AV156">
        <f>COUNTIF($BA$156:$EH$156,"D")</f>
        <v/>
      </c>
      <c r="AW156">
        <f>COUNTIF($BA$156:$EH$156,"R")</f>
        <v/>
      </c>
      <c r="AX156">
        <f>IF(BN156="D",1,0)+IF(BO156="D",1,0)+IF(BT156="D",1,0)+IF(BU156="D",1,0)+IF(BW156="D",1,0)+IF(CC156="D",1,0)+IF(CD156="D",1,0)+IF(CE156="D",1,0)+IF(CF156="D",1,0)+IF(CL156="D",1,0)+IF(CM156="D",1,0)+IF(CQ156="D",1,0)+IF(CR156="D",1,0)+IF(CS156="D",1,0)+IF(CW156="D",1,0)+IF(CX156="D",1,0)+IF(DD156="D",1,0)+IF(DE156="D",1,0)+IF(DJ156="D",1,0)+IF(DK156="D",1,0)+IF(DO156="D",1,0)+IF(DP156="D",1,0)+IF(DQ156="D",1,0)+IF(DW156="D",1,0)+IF(DZ156="D",1,0)+IF(EH156="D",1,0)</f>
        <v/>
      </c>
      <c r="AY156">
        <f>IF(DJ156&lt;&gt;"",1,0)+IF(DK156&lt;&gt;"",1,0)+IF(DM156&lt;&gt;"",1,0)+IF(DO156&lt;&gt;"",1,0)+IF(DP156&lt;&gt;"",1,0)+IF(DQ156&lt;&gt;"",1,0)+IF(DS156&lt;&gt;"",1,0)+IF(DT156&lt;&gt;"",1,0)+IF(DV156&lt;&gt;"",1,0)+IF(DW156&lt;&gt;"",1,0)+IF(DX156&lt;&gt;"",1,0)+IF(DY156&lt;&gt;"",1,0)+IF(DZ156&lt;&gt;"",1,0)+IF(EB156&lt;&gt;"",1,0)+IF(EC156&lt;&gt;"",1,0)+IF(ED156&lt;&gt;"",1,0)+IF(EG156&lt;&gt;"",1,0)+IF(EH156&lt;&gt;"",1,0)</f>
        <v/>
      </c>
      <c r="AZ156">
        <f>IF(EH156&lt;&gt;"",1,0)</f>
        <v/>
      </c>
      <c r="BB156" t="inlineStr">
        <is>
          <t>WARREN-WARD 4</t>
        </is>
      </c>
    </row>
    <row r="157">
      <c r="A157" t="inlineStr">
        <is>
          <t>OH0015821125</t>
        </is>
      </c>
      <c r="B157" t="n">
        <v>78</v>
      </c>
      <c r="C157" t="n">
        <v>279136</v>
      </c>
      <c r="D157" t="inlineStr">
        <is>
          <t>ALLEN</t>
        </is>
      </c>
      <c r="E157" t="inlineStr">
        <is>
          <t>EMILY</t>
        </is>
      </c>
      <c r="F157">
        <f>CONCATENATE(D157," ",LEFT(H157,4),"T=",AU157,"D=",AV157,"R=",AW157,"M=",AX157,"L=",AY157,"B=",AZ157)</f>
        <v/>
      </c>
      <c r="G157" t="inlineStr">
        <is>
          <t>J</t>
        </is>
      </c>
      <c r="I157" t="inlineStr">
        <is>
          <t>1977-05-12</t>
        </is>
      </c>
      <c r="J157" t="inlineStr">
        <is>
          <t>2018-03-01</t>
        </is>
      </c>
      <c r="K157" t="inlineStr">
        <is>
          <t>ACTIVE</t>
        </is>
      </c>
      <c r="M157" t="inlineStr">
        <is>
          <t>781 BONNIE BRAE AVE SE</t>
        </is>
      </c>
      <c r="N157">
        <f>RIGHT(M157,LEN(M157)-FIND(" ",M157))</f>
        <v/>
      </c>
      <c r="P157" t="inlineStr">
        <is>
          <t>WARREN</t>
        </is>
      </c>
      <c r="Q157" t="inlineStr">
        <is>
          <t>OH</t>
        </is>
      </c>
      <c r="R157" t="n">
        <v>44484</v>
      </c>
      <c r="AD157" t="inlineStr">
        <is>
          <t>TRUMBULL CAREER &amp; TECH CENTER</t>
        </is>
      </c>
      <c r="AE157" t="inlineStr">
        <is>
          <t>WARREN CITY</t>
        </is>
      </c>
      <c r="AF157" t="inlineStr">
        <is>
          <t>WARREN CITY SD</t>
        </is>
      </c>
      <c r="AH157" t="n">
        <v>14</v>
      </c>
      <c r="AI157" t="n">
        <v>11</v>
      </c>
      <c r="AN157" t="inlineStr">
        <is>
          <t>WARREN</t>
        </is>
      </c>
      <c r="AO157" t="inlineStr">
        <is>
          <t>WARREN CITY 4A</t>
        </is>
      </c>
      <c r="AP157" t="inlineStr">
        <is>
          <t>78-P-ADI</t>
        </is>
      </c>
      <c r="AQ157" t="n">
        <v>9</v>
      </c>
      <c r="AR157" t="n">
        <v>64</v>
      </c>
      <c r="AS157" t="n">
        <v>32</v>
      </c>
      <c r="AU157">
        <f>COUNTA($BA$157:$EH$157)</f>
        <v/>
      </c>
      <c r="AV157">
        <f>COUNTIF($BA$157:$EH$157,"D")</f>
        <v/>
      </c>
      <c r="AW157">
        <f>COUNTIF($BA$157:$EH$157,"R")</f>
        <v/>
      </c>
      <c r="AX157">
        <f>IF(BN157="D",1,0)+IF(BO157="D",1,0)+IF(BT157="D",1,0)+IF(BU157="D",1,0)+IF(BW157="D",1,0)+IF(CC157="D",1,0)+IF(CD157="D",1,0)+IF(CE157="D",1,0)+IF(CF157="D",1,0)+IF(CL157="D",1,0)+IF(CM157="D",1,0)+IF(CQ157="D",1,0)+IF(CR157="D",1,0)+IF(CS157="D",1,0)+IF(CW157="D",1,0)+IF(CX157="D",1,0)+IF(DD157="D",1,0)+IF(DE157="D",1,0)+IF(DJ157="D",1,0)+IF(DK157="D",1,0)+IF(DO157="D",1,0)+IF(DP157="D",1,0)+IF(DQ157="D",1,0)+IF(DW157="D",1,0)+IF(DZ157="D",1,0)+IF(EH157="D",1,0)</f>
        <v/>
      </c>
      <c r="AY157">
        <f>IF(DJ157&lt;&gt;"",1,0)+IF(DK157&lt;&gt;"",1,0)+IF(DM157&lt;&gt;"",1,0)+IF(DO157&lt;&gt;"",1,0)+IF(DP157&lt;&gt;"",1,0)+IF(DQ157&lt;&gt;"",1,0)+IF(DS157&lt;&gt;"",1,0)+IF(DT157&lt;&gt;"",1,0)+IF(DV157&lt;&gt;"",1,0)+IF(DW157&lt;&gt;"",1,0)+IF(DX157&lt;&gt;"",1,0)+IF(DY157&lt;&gt;"",1,0)+IF(DZ157&lt;&gt;"",1,0)+IF(EB157&lt;&gt;"",1,0)+IF(EC157&lt;&gt;"",1,0)+IF(ED157&lt;&gt;"",1,0)+IF(EG157&lt;&gt;"",1,0)+IF(EH157&lt;&gt;"",1,0)</f>
        <v/>
      </c>
      <c r="AZ157">
        <f>IF(EH157&lt;&gt;"",1,0)</f>
        <v/>
      </c>
      <c r="BB157" t="inlineStr">
        <is>
          <t>WARREN-WARD 4</t>
        </is>
      </c>
      <c r="BD157" t="inlineStr">
        <is>
          <t>X</t>
        </is>
      </c>
      <c r="BE157" t="inlineStr">
        <is>
          <t>X</t>
        </is>
      </c>
      <c r="DC157" t="inlineStr">
        <is>
          <t>X</t>
        </is>
      </c>
      <c r="DN157" t="inlineStr">
        <is>
          <t>X</t>
        </is>
      </c>
    </row>
    <row r="158">
      <c r="A158" t="inlineStr">
        <is>
          <t>OH0015791205</t>
        </is>
      </c>
      <c r="B158" t="n">
        <v>78</v>
      </c>
      <c r="C158" t="n">
        <v>317656</v>
      </c>
      <c r="D158" t="inlineStr">
        <is>
          <t>ROBINSON</t>
        </is>
      </c>
      <c r="E158" t="inlineStr">
        <is>
          <t>RHONDA</t>
        </is>
      </c>
      <c r="F158">
        <f>CONCATENATE(D158," ",LEFT(H158,4),"T=",AU158,"D=",AV158,"R=",AW158,"M=",AX158,"L=",AY158,"B=",AZ158)</f>
        <v/>
      </c>
      <c r="G158" t="inlineStr">
        <is>
          <t>R</t>
        </is>
      </c>
      <c r="I158" t="inlineStr">
        <is>
          <t>1965-01-11</t>
        </is>
      </c>
      <c r="J158" t="inlineStr">
        <is>
          <t>2015-09-22</t>
        </is>
      </c>
      <c r="K158" t="inlineStr">
        <is>
          <t>CONFIRMATION</t>
        </is>
      </c>
      <c r="M158" t="inlineStr">
        <is>
          <t>810 WOODBINE AVE SE</t>
        </is>
      </c>
      <c r="N158">
        <f>RIGHT(M158,LEN(M158)-FIND(" ",M158))</f>
        <v/>
      </c>
      <c r="P158" t="inlineStr">
        <is>
          <t>WARREN</t>
        </is>
      </c>
      <c r="Q158" t="inlineStr">
        <is>
          <t>OH</t>
        </is>
      </c>
      <c r="R158" t="n">
        <v>44484</v>
      </c>
      <c r="AD158" t="inlineStr">
        <is>
          <t>TRUMBULL CAREER &amp; TECH CENTER</t>
        </is>
      </c>
      <c r="AE158" t="inlineStr">
        <is>
          <t>WARREN CITY</t>
        </is>
      </c>
      <c r="AF158" t="inlineStr">
        <is>
          <t>WARREN CITY SD</t>
        </is>
      </c>
      <c r="AH158" t="n">
        <v>14</v>
      </c>
      <c r="AI158" t="n">
        <v>11</v>
      </c>
      <c r="AN158" t="inlineStr">
        <is>
          <t>WARREN</t>
        </is>
      </c>
      <c r="AO158" t="inlineStr">
        <is>
          <t>WARREN CITY 4A</t>
        </is>
      </c>
      <c r="AP158" t="inlineStr">
        <is>
          <t>78-P-ADI</t>
        </is>
      </c>
      <c r="AQ158" t="n">
        <v>9</v>
      </c>
      <c r="AR158" t="n">
        <v>64</v>
      </c>
      <c r="AS158" t="n">
        <v>32</v>
      </c>
      <c r="AU158">
        <f>COUNTA($BA$158:$EH$158)</f>
        <v/>
      </c>
      <c r="AV158">
        <f>COUNTIF($BA$158:$EH$158,"D")</f>
        <v/>
      </c>
      <c r="AW158">
        <f>COUNTIF($BA$158:$EH$158,"R")</f>
        <v/>
      </c>
      <c r="AX158">
        <f>IF(BN158="D",1,0)+IF(BO158="D",1,0)+IF(BT158="D",1,0)+IF(BU158="D",1,0)+IF(BW158="D",1,0)+IF(CC158="D",1,0)+IF(CD158="D",1,0)+IF(CE158="D",1,0)+IF(CF158="D",1,0)+IF(CL158="D",1,0)+IF(CM158="D",1,0)+IF(CQ158="D",1,0)+IF(CR158="D",1,0)+IF(CS158="D",1,0)+IF(CW158="D",1,0)+IF(CX158="D",1,0)+IF(DD158="D",1,0)+IF(DE158="D",1,0)+IF(DJ158="D",1,0)+IF(DK158="D",1,0)+IF(DO158="D",1,0)+IF(DP158="D",1,0)+IF(DQ158="D",1,0)+IF(DW158="D",1,0)+IF(DZ158="D",1,0)+IF(EH158="D",1,0)</f>
        <v/>
      </c>
      <c r="AY158">
        <f>IF(DJ158&lt;&gt;"",1,0)+IF(DK158&lt;&gt;"",1,0)+IF(DM158&lt;&gt;"",1,0)+IF(DO158&lt;&gt;"",1,0)+IF(DP158&lt;&gt;"",1,0)+IF(DQ158&lt;&gt;"",1,0)+IF(DS158&lt;&gt;"",1,0)+IF(DT158&lt;&gt;"",1,0)+IF(DV158&lt;&gt;"",1,0)+IF(DW158&lt;&gt;"",1,0)+IF(DX158&lt;&gt;"",1,0)+IF(DY158&lt;&gt;"",1,0)+IF(DZ158&lt;&gt;"",1,0)+IF(EB158&lt;&gt;"",1,0)+IF(EC158&lt;&gt;"",1,0)+IF(ED158&lt;&gt;"",1,0)+IF(EG158&lt;&gt;"",1,0)+IF(EH158&lt;&gt;"",1,0)</f>
        <v/>
      </c>
      <c r="AZ158">
        <f>IF(EH158&lt;&gt;"",1,0)</f>
        <v/>
      </c>
      <c r="BB158" t="inlineStr">
        <is>
          <t>WARREN-WARD 4</t>
        </is>
      </c>
      <c r="BY158" t="inlineStr">
        <is>
          <t>D</t>
        </is>
      </c>
      <c r="CA158" t="inlineStr">
        <is>
          <t>X</t>
        </is>
      </c>
      <c r="CP158" t="inlineStr">
        <is>
          <t>X</t>
        </is>
      </c>
    </row>
    <row r="159">
      <c r="A159" t="inlineStr">
        <is>
          <t>OH0026205979</t>
        </is>
      </c>
      <c r="B159" t="n">
        <v>78</v>
      </c>
      <c r="C159" t="n">
        <v>458213</v>
      </c>
      <c r="D159" t="inlineStr">
        <is>
          <t>ANDERSON</t>
        </is>
      </c>
      <c r="E159" t="inlineStr">
        <is>
          <t>HOLLY</t>
        </is>
      </c>
      <c r="F159">
        <f>CONCATENATE(D159," ",LEFT(H159,4),"T=",AU159,"D=",AV159,"R=",AW159,"M=",AX159,"L=",AY159,"B=",AZ159)</f>
        <v/>
      </c>
      <c r="G159" t="inlineStr">
        <is>
          <t>ELIZABETH</t>
        </is>
      </c>
      <c r="I159" t="inlineStr">
        <is>
          <t>2002-12-30</t>
        </is>
      </c>
      <c r="J159" t="inlineStr">
        <is>
          <t>2024-10-01</t>
        </is>
      </c>
      <c r="K159" t="inlineStr">
        <is>
          <t>ACTIVE</t>
        </is>
      </c>
      <c r="M159" t="inlineStr">
        <is>
          <t>716 ADELAIDE AVE SE</t>
        </is>
      </c>
      <c r="N159">
        <f>RIGHT(M159,LEN(M159)-FIND(" ",M159))</f>
        <v/>
      </c>
      <c r="P159" t="inlineStr">
        <is>
          <t>WARREN</t>
        </is>
      </c>
      <c r="Q159" t="inlineStr">
        <is>
          <t>OH</t>
        </is>
      </c>
      <c r="R159" t="n">
        <v>44484</v>
      </c>
      <c r="AD159" t="inlineStr">
        <is>
          <t>TRUMBULL CAREER &amp; TECH CENTER</t>
        </is>
      </c>
      <c r="AE159" t="inlineStr">
        <is>
          <t>WARREN CITY</t>
        </is>
      </c>
      <c r="AF159" t="inlineStr">
        <is>
          <t>WARREN CITY SD</t>
        </is>
      </c>
      <c r="AH159" t="n">
        <v>14</v>
      </c>
      <c r="AI159" t="n">
        <v>11</v>
      </c>
      <c r="AN159" t="inlineStr">
        <is>
          <t>WARREN</t>
        </is>
      </c>
      <c r="AO159" t="inlineStr">
        <is>
          <t>WARREN CITY 4A</t>
        </is>
      </c>
      <c r="AP159" t="inlineStr">
        <is>
          <t>78-P-ADI</t>
        </is>
      </c>
      <c r="AQ159" t="n">
        <v>9</v>
      </c>
      <c r="AR159" t="n">
        <v>64</v>
      </c>
      <c r="AS159" t="n">
        <v>32</v>
      </c>
      <c r="AU159">
        <f>COUNTA($BA$159:$EH$159)</f>
        <v/>
      </c>
      <c r="AV159">
        <f>COUNTIF($BA$159:$EH$159,"D")</f>
        <v/>
      </c>
      <c r="AW159">
        <f>COUNTIF($BA$159:$EH$159,"R")</f>
        <v/>
      </c>
      <c r="AX159">
        <f>IF(BN159="D",1,0)+IF(BO159="D",1,0)+IF(BT159="D",1,0)+IF(BU159="D",1,0)+IF(BW159="D",1,0)+IF(CC159="D",1,0)+IF(CD159="D",1,0)+IF(CE159="D",1,0)+IF(CF159="D",1,0)+IF(CL159="D",1,0)+IF(CM159="D",1,0)+IF(CQ159="D",1,0)+IF(CR159="D",1,0)+IF(CS159="D",1,0)+IF(CW159="D",1,0)+IF(CX159="D",1,0)+IF(DD159="D",1,0)+IF(DE159="D",1,0)+IF(DJ159="D",1,0)+IF(DK159="D",1,0)+IF(DO159="D",1,0)+IF(DP159="D",1,0)+IF(DQ159="D",1,0)+IF(DW159="D",1,0)+IF(DZ159="D",1,0)+IF(EH159="D",1,0)</f>
        <v/>
      </c>
      <c r="AY159">
        <f>IF(DJ159&lt;&gt;"",1,0)+IF(DK159&lt;&gt;"",1,0)+IF(DM159&lt;&gt;"",1,0)+IF(DO159&lt;&gt;"",1,0)+IF(DP159&lt;&gt;"",1,0)+IF(DQ159&lt;&gt;"",1,0)+IF(DS159&lt;&gt;"",1,0)+IF(DT159&lt;&gt;"",1,0)+IF(DV159&lt;&gt;"",1,0)+IF(DW159&lt;&gt;"",1,0)+IF(DX159&lt;&gt;"",1,0)+IF(DY159&lt;&gt;"",1,0)+IF(DZ159&lt;&gt;"",1,0)+IF(EB159&lt;&gt;"",1,0)+IF(EC159&lt;&gt;"",1,0)+IF(ED159&lt;&gt;"",1,0)+IF(EG159&lt;&gt;"",1,0)+IF(EH159&lt;&gt;"",1,0)</f>
        <v/>
      </c>
      <c r="AZ159">
        <f>IF(EH159&lt;&gt;"",1,0)</f>
        <v/>
      </c>
      <c r="BB159" t="inlineStr">
        <is>
          <t>WARREN-WARD 4</t>
        </is>
      </c>
    </row>
    <row r="160">
      <c r="A160" t="inlineStr">
        <is>
          <t>OH0026707726</t>
        </is>
      </c>
      <c r="B160" t="n">
        <v>78</v>
      </c>
      <c r="C160" t="n">
        <v>466245</v>
      </c>
      <c r="D160" t="inlineStr">
        <is>
          <t>COPELAND</t>
        </is>
      </c>
      <c r="E160" t="inlineStr">
        <is>
          <t>CHERYL</t>
        </is>
      </c>
      <c r="F160">
        <f>CONCATENATE(D160," ",LEFT(H160,4),"T=",AU160,"D=",AV160,"R=",AW160,"M=",AX160,"L=",AY160,"B=",AZ160)</f>
        <v/>
      </c>
      <c r="G160" t="inlineStr">
        <is>
          <t>ALLENE</t>
        </is>
      </c>
      <c r="I160" t="inlineStr">
        <is>
          <t>1948-10-12</t>
        </is>
      </c>
      <c r="J160" t="inlineStr">
        <is>
          <t>2022-09-30</t>
        </is>
      </c>
      <c r="K160" t="inlineStr">
        <is>
          <t>ACTIVE</t>
        </is>
      </c>
      <c r="M160" t="inlineStr">
        <is>
          <t>159 KENILWORTH AVE SE</t>
        </is>
      </c>
      <c r="N160">
        <f>RIGHT(M160,LEN(M160)-FIND(" ",M160))</f>
        <v/>
      </c>
      <c r="P160" t="inlineStr">
        <is>
          <t>WARREN</t>
        </is>
      </c>
      <c r="Q160" t="inlineStr">
        <is>
          <t>OH</t>
        </is>
      </c>
      <c r="R160" t="n">
        <v>44483</v>
      </c>
      <c r="AD160" t="inlineStr">
        <is>
          <t>TRUMBULL CAREER &amp; TECH CENTER</t>
        </is>
      </c>
      <c r="AE160" t="inlineStr">
        <is>
          <t>WARREN CITY</t>
        </is>
      </c>
      <c r="AF160" t="inlineStr">
        <is>
          <t>WARREN CITY SD</t>
        </is>
      </c>
      <c r="AH160" t="n">
        <v>14</v>
      </c>
      <c r="AI160" t="n">
        <v>11</v>
      </c>
      <c r="AN160" t="inlineStr">
        <is>
          <t>WARREN</t>
        </is>
      </c>
      <c r="AO160" t="inlineStr">
        <is>
          <t>WARREN CITY 4A</t>
        </is>
      </c>
      <c r="AP160" t="inlineStr">
        <is>
          <t>78-P-ADI</t>
        </is>
      </c>
      <c r="AQ160" t="n">
        <v>9</v>
      </c>
      <c r="AR160" t="n">
        <v>64</v>
      </c>
      <c r="AS160" t="n">
        <v>32</v>
      </c>
      <c r="AU160">
        <f>COUNTA($BA$160:$EH$160)</f>
        <v/>
      </c>
      <c r="AV160">
        <f>COUNTIF($BA$160:$EH$160,"D")</f>
        <v/>
      </c>
      <c r="AW160">
        <f>COUNTIF($BA$160:$EH$160,"R")</f>
        <v/>
      </c>
      <c r="AX160">
        <f>IF(BN160="D",1,0)+IF(BO160="D",1,0)+IF(BT160="D",1,0)+IF(BU160="D",1,0)+IF(BW160="D",1,0)+IF(CC160="D",1,0)+IF(CD160="D",1,0)+IF(CE160="D",1,0)+IF(CF160="D",1,0)+IF(CL160="D",1,0)+IF(CM160="D",1,0)+IF(CQ160="D",1,0)+IF(CR160="D",1,0)+IF(CS160="D",1,0)+IF(CW160="D",1,0)+IF(CX160="D",1,0)+IF(DD160="D",1,0)+IF(DE160="D",1,0)+IF(DJ160="D",1,0)+IF(DK160="D",1,0)+IF(DO160="D",1,0)+IF(DP160="D",1,0)+IF(DQ160="D",1,0)+IF(DW160="D",1,0)+IF(DZ160="D",1,0)+IF(EH160="D",1,0)</f>
        <v/>
      </c>
      <c r="AY160">
        <f>IF(DJ160&lt;&gt;"",1,0)+IF(DK160&lt;&gt;"",1,0)+IF(DM160&lt;&gt;"",1,0)+IF(DO160&lt;&gt;"",1,0)+IF(DP160&lt;&gt;"",1,0)+IF(DQ160&lt;&gt;"",1,0)+IF(DS160&lt;&gt;"",1,0)+IF(DT160&lt;&gt;"",1,0)+IF(DV160&lt;&gt;"",1,0)+IF(DW160&lt;&gt;"",1,0)+IF(DX160&lt;&gt;"",1,0)+IF(DY160&lt;&gt;"",1,0)+IF(DZ160&lt;&gt;"",1,0)+IF(EB160&lt;&gt;"",1,0)+IF(EC160&lt;&gt;"",1,0)+IF(ED160&lt;&gt;"",1,0)+IF(EG160&lt;&gt;"",1,0)+IF(EH160&lt;&gt;"",1,0)</f>
        <v/>
      </c>
      <c r="AZ160">
        <f>IF(EH160&lt;&gt;"",1,0)</f>
        <v/>
      </c>
      <c r="BB160" t="inlineStr">
        <is>
          <t>WARREN-WARD 4</t>
        </is>
      </c>
      <c r="BD160" t="inlineStr">
        <is>
          <t>X</t>
        </is>
      </c>
      <c r="BF160" t="inlineStr">
        <is>
          <t>X</t>
        </is>
      </c>
      <c r="BL160" t="inlineStr">
        <is>
          <t>X</t>
        </is>
      </c>
      <c r="BS160" t="inlineStr">
        <is>
          <t>X</t>
        </is>
      </c>
      <c r="BV160" t="inlineStr">
        <is>
          <t>X</t>
        </is>
      </c>
      <c r="BY160" t="inlineStr">
        <is>
          <t>D</t>
        </is>
      </c>
      <c r="CA160" t="inlineStr">
        <is>
          <t>X</t>
        </is>
      </c>
      <c r="CG160" t="inlineStr">
        <is>
          <t>X</t>
        </is>
      </c>
      <c r="CK160" t="inlineStr">
        <is>
          <t>X</t>
        </is>
      </c>
      <c r="CN160" t="inlineStr">
        <is>
          <t>X</t>
        </is>
      </c>
      <c r="CP160" t="inlineStr">
        <is>
          <t>X</t>
        </is>
      </c>
      <c r="CT160" t="inlineStr">
        <is>
          <t>X</t>
        </is>
      </c>
      <c r="CZ160" t="inlineStr">
        <is>
          <t>D</t>
        </is>
      </c>
      <c r="DC160" t="inlineStr">
        <is>
          <t>X</t>
        </is>
      </c>
      <c r="DI160" t="inlineStr">
        <is>
          <t>X</t>
        </is>
      </c>
      <c r="DM160" t="inlineStr">
        <is>
          <t>D</t>
        </is>
      </c>
      <c r="DN160" t="inlineStr">
        <is>
          <t>X</t>
        </is>
      </c>
      <c r="DR160" t="inlineStr">
        <is>
          <t>X</t>
        </is>
      </c>
      <c r="EA160" t="inlineStr">
        <is>
          <t>X</t>
        </is>
      </c>
      <c r="EF160" t="inlineStr">
        <is>
          <t>X</t>
        </is>
      </c>
    </row>
    <row r="161">
      <c r="A161" t="inlineStr">
        <is>
          <t>OH0020848047</t>
        </is>
      </c>
      <c r="B161" t="n">
        <v>78</v>
      </c>
      <c r="C161" t="n">
        <v>370758</v>
      </c>
      <c r="D161" t="inlineStr">
        <is>
          <t>BLUEDORN</t>
        </is>
      </c>
      <c r="E161" t="inlineStr">
        <is>
          <t>SARA</t>
        </is>
      </c>
      <c r="F161">
        <f>CONCATENATE(D161," ",LEFT(H161,4),"T=",AU161,"D=",AV161,"R=",AW161,"M=",AX161,"L=",AY161,"B=",AZ161)</f>
        <v/>
      </c>
      <c r="G161" t="inlineStr">
        <is>
          <t>FLANNERY</t>
        </is>
      </c>
      <c r="I161" t="inlineStr">
        <is>
          <t>1991-07-05</t>
        </is>
      </c>
      <c r="J161" t="inlineStr">
        <is>
          <t>2015-11-29</t>
        </is>
      </c>
      <c r="K161" t="inlineStr">
        <is>
          <t>ACTIVE</t>
        </is>
      </c>
      <c r="M161" t="inlineStr">
        <is>
          <t>226 ADELAIDE AVE SE</t>
        </is>
      </c>
      <c r="N161">
        <f>RIGHT(M161,LEN(M161)-FIND(" ",M161))</f>
        <v/>
      </c>
      <c r="P161" t="inlineStr">
        <is>
          <t>WARREN</t>
        </is>
      </c>
      <c r="Q161" t="inlineStr">
        <is>
          <t>OH</t>
        </is>
      </c>
      <c r="R161" t="n">
        <v>44483</v>
      </c>
      <c r="AD161" t="inlineStr">
        <is>
          <t>TRUMBULL CAREER &amp; TECH CENTER</t>
        </is>
      </c>
      <c r="AE161" t="inlineStr">
        <is>
          <t>WARREN CITY</t>
        </is>
      </c>
      <c r="AF161" t="inlineStr">
        <is>
          <t>WARREN CITY SD</t>
        </is>
      </c>
      <c r="AH161" t="n">
        <v>14</v>
      </c>
      <c r="AI161" t="n">
        <v>11</v>
      </c>
      <c r="AN161" t="inlineStr">
        <is>
          <t>WARREN</t>
        </is>
      </c>
      <c r="AO161" t="inlineStr">
        <is>
          <t>WARREN CITY 4A</t>
        </is>
      </c>
      <c r="AP161" t="inlineStr">
        <is>
          <t>78-P-ADI</t>
        </is>
      </c>
      <c r="AQ161" t="n">
        <v>9</v>
      </c>
      <c r="AR161" t="n">
        <v>64</v>
      </c>
      <c r="AS161" t="n">
        <v>32</v>
      </c>
      <c r="AU161">
        <f>COUNTA($BA$161:$EH$161)</f>
        <v/>
      </c>
      <c r="AV161">
        <f>COUNTIF($BA$161:$EH$161,"D")</f>
        <v/>
      </c>
      <c r="AW161">
        <f>COUNTIF($BA$161:$EH$161,"R")</f>
        <v/>
      </c>
      <c r="AX161">
        <f>IF(BN161="D",1,0)+IF(BO161="D",1,0)+IF(BT161="D",1,0)+IF(BU161="D",1,0)+IF(BW161="D",1,0)+IF(CC161="D",1,0)+IF(CD161="D",1,0)+IF(CE161="D",1,0)+IF(CF161="D",1,0)+IF(CL161="D",1,0)+IF(CM161="D",1,0)+IF(CQ161="D",1,0)+IF(CR161="D",1,0)+IF(CS161="D",1,0)+IF(CW161="D",1,0)+IF(CX161="D",1,0)+IF(DD161="D",1,0)+IF(DE161="D",1,0)+IF(DJ161="D",1,0)+IF(DK161="D",1,0)+IF(DO161="D",1,0)+IF(DP161="D",1,0)+IF(DQ161="D",1,0)+IF(DW161="D",1,0)+IF(DZ161="D",1,0)+IF(EH161="D",1,0)</f>
        <v/>
      </c>
      <c r="AY161">
        <f>IF(DJ161&lt;&gt;"",1,0)+IF(DK161&lt;&gt;"",1,0)+IF(DM161&lt;&gt;"",1,0)+IF(DO161&lt;&gt;"",1,0)+IF(DP161&lt;&gt;"",1,0)+IF(DQ161&lt;&gt;"",1,0)+IF(DS161&lt;&gt;"",1,0)+IF(DT161&lt;&gt;"",1,0)+IF(DV161&lt;&gt;"",1,0)+IF(DW161&lt;&gt;"",1,0)+IF(DX161&lt;&gt;"",1,0)+IF(DY161&lt;&gt;"",1,0)+IF(DZ161&lt;&gt;"",1,0)+IF(EB161&lt;&gt;"",1,0)+IF(EC161&lt;&gt;"",1,0)+IF(ED161&lt;&gt;"",1,0)+IF(EG161&lt;&gt;"",1,0)+IF(EH161&lt;&gt;"",1,0)</f>
        <v/>
      </c>
      <c r="AZ161">
        <f>IF(EH161&lt;&gt;"",1,0)</f>
        <v/>
      </c>
      <c r="BB161" t="inlineStr">
        <is>
          <t>WARREN-WARD 4</t>
        </is>
      </c>
      <c r="CG161" t="inlineStr">
        <is>
          <t>X</t>
        </is>
      </c>
      <c r="CH161" t="inlineStr">
        <is>
          <t>D</t>
        </is>
      </c>
      <c r="CK161" t="inlineStr">
        <is>
          <t>X</t>
        </is>
      </c>
      <c r="CN161" t="inlineStr">
        <is>
          <t>X</t>
        </is>
      </c>
      <c r="CP161" t="inlineStr">
        <is>
          <t>X</t>
        </is>
      </c>
      <c r="CW161" t="inlineStr">
        <is>
          <t>D</t>
        </is>
      </c>
      <c r="CY161" t="inlineStr">
        <is>
          <t>X</t>
        </is>
      </c>
      <c r="CZ161" t="inlineStr">
        <is>
          <t>D</t>
        </is>
      </c>
      <c r="DC161" t="inlineStr">
        <is>
          <t>X</t>
        </is>
      </c>
    </row>
    <row r="162">
      <c r="A162" t="inlineStr">
        <is>
          <t>OH0021883008</t>
        </is>
      </c>
      <c r="B162" t="n">
        <v>78</v>
      </c>
      <c r="C162" t="n">
        <v>388759</v>
      </c>
      <c r="D162" t="inlineStr">
        <is>
          <t>DEPAZ</t>
        </is>
      </c>
      <c r="E162" t="inlineStr">
        <is>
          <t>YARALIZ</t>
        </is>
      </c>
      <c r="F162">
        <f>CONCATENATE(D162," ",LEFT(H162,4),"T=",AU162,"D=",AV162,"R=",AW162,"M=",AX162,"L=",AY162,"B=",AZ162)</f>
        <v/>
      </c>
      <c r="I162" t="inlineStr">
        <is>
          <t>1984-03-16</t>
        </is>
      </c>
      <c r="J162" t="inlineStr">
        <is>
          <t>2018-06-24</t>
        </is>
      </c>
      <c r="K162" t="inlineStr">
        <is>
          <t>ACTIVE</t>
        </is>
      </c>
      <c r="L162" t="inlineStr">
        <is>
          <t>R</t>
        </is>
      </c>
      <c r="M162" t="inlineStr">
        <is>
          <t>179 CHARLES AVE SE</t>
        </is>
      </c>
      <c r="N162">
        <f>RIGHT(M162,LEN(M162)-FIND(" ",M162))</f>
        <v/>
      </c>
      <c r="P162" t="inlineStr">
        <is>
          <t>WARREN</t>
        </is>
      </c>
      <c r="Q162" t="inlineStr">
        <is>
          <t>OH</t>
        </is>
      </c>
      <c r="R162" t="n">
        <v>44483</v>
      </c>
      <c r="AD162" t="inlineStr">
        <is>
          <t>TRUMBULL CAREER &amp; TECH CENTER</t>
        </is>
      </c>
      <c r="AE162" t="inlineStr">
        <is>
          <t>WARREN CITY</t>
        </is>
      </c>
      <c r="AF162" t="inlineStr">
        <is>
          <t>WARREN CITY SD</t>
        </is>
      </c>
      <c r="AH162" t="n">
        <v>14</v>
      </c>
      <c r="AI162" t="n">
        <v>11</v>
      </c>
      <c r="AN162" t="inlineStr">
        <is>
          <t>WARREN</t>
        </is>
      </c>
      <c r="AO162" t="inlineStr">
        <is>
          <t>WARREN CITY 4A</t>
        </is>
      </c>
      <c r="AP162" t="inlineStr">
        <is>
          <t>78-P-ADI</t>
        </is>
      </c>
      <c r="AQ162" t="n">
        <v>9</v>
      </c>
      <c r="AR162" t="n">
        <v>64</v>
      </c>
      <c r="AS162" t="n">
        <v>32</v>
      </c>
      <c r="AU162">
        <f>COUNTA($BA$162:$EH$162)</f>
        <v/>
      </c>
      <c r="AV162">
        <f>COUNTIF($BA$162:$EH$162,"D")</f>
        <v/>
      </c>
      <c r="AW162">
        <f>COUNTIF($BA$162:$EH$162,"R")</f>
        <v/>
      </c>
      <c r="AX162">
        <f>IF(BN162="D",1,0)+IF(BO162="D",1,0)+IF(BT162="D",1,0)+IF(BU162="D",1,0)+IF(BW162="D",1,0)+IF(CC162="D",1,0)+IF(CD162="D",1,0)+IF(CE162="D",1,0)+IF(CF162="D",1,0)+IF(CL162="D",1,0)+IF(CM162="D",1,0)+IF(CQ162="D",1,0)+IF(CR162="D",1,0)+IF(CS162="D",1,0)+IF(CW162="D",1,0)+IF(CX162="D",1,0)+IF(DD162="D",1,0)+IF(DE162="D",1,0)+IF(DJ162="D",1,0)+IF(DK162="D",1,0)+IF(DO162="D",1,0)+IF(DP162="D",1,0)+IF(DQ162="D",1,0)+IF(DW162="D",1,0)+IF(DZ162="D",1,0)+IF(EH162="D",1,0)</f>
        <v/>
      </c>
      <c r="AY162">
        <f>IF(DJ162&lt;&gt;"",1,0)+IF(DK162&lt;&gt;"",1,0)+IF(DM162&lt;&gt;"",1,0)+IF(DO162&lt;&gt;"",1,0)+IF(DP162&lt;&gt;"",1,0)+IF(DQ162&lt;&gt;"",1,0)+IF(DS162&lt;&gt;"",1,0)+IF(DT162&lt;&gt;"",1,0)+IF(DV162&lt;&gt;"",1,0)+IF(DW162&lt;&gt;"",1,0)+IF(DX162&lt;&gt;"",1,0)+IF(DY162&lt;&gt;"",1,0)+IF(DZ162&lt;&gt;"",1,0)+IF(EB162&lt;&gt;"",1,0)+IF(EC162&lt;&gt;"",1,0)+IF(ED162&lt;&gt;"",1,0)+IF(EG162&lt;&gt;"",1,0)+IF(EH162&lt;&gt;"",1,0)</f>
        <v/>
      </c>
      <c r="AZ162">
        <f>IF(EH162&lt;&gt;"",1,0)</f>
        <v/>
      </c>
      <c r="BB162" t="inlineStr">
        <is>
          <t>WARREN-WARD 4</t>
        </is>
      </c>
      <c r="CP162" t="inlineStr">
        <is>
          <t>X</t>
        </is>
      </c>
      <c r="CY162" t="inlineStr">
        <is>
          <t>X</t>
        </is>
      </c>
      <c r="CZ162" t="inlineStr">
        <is>
          <t>D</t>
        </is>
      </c>
      <c r="DC162" t="inlineStr">
        <is>
          <t>X</t>
        </is>
      </c>
      <c r="DI162" t="inlineStr">
        <is>
          <t>X</t>
        </is>
      </c>
      <c r="DL162" t="inlineStr">
        <is>
          <t>X</t>
        </is>
      </c>
      <c r="DN162" t="inlineStr">
        <is>
          <t>X</t>
        </is>
      </c>
      <c r="DX162" t="inlineStr">
        <is>
          <t>X</t>
        </is>
      </c>
      <c r="EA162" t="inlineStr">
        <is>
          <t>X</t>
        </is>
      </c>
      <c r="ED162" t="inlineStr">
        <is>
          <t>R</t>
        </is>
      </c>
      <c r="EF162" t="inlineStr">
        <is>
          <t>X</t>
        </is>
      </c>
    </row>
    <row r="163">
      <c r="A163" t="inlineStr">
        <is>
          <t>OH0015819994</t>
        </is>
      </c>
      <c r="B163" t="n">
        <v>78</v>
      </c>
      <c r="C163" t="n">
        <v>276403</v>
      </c>
      <c r="D163" t="inlineStr">
        <is>
          <t>ALBERT</t>
        </is>
      </c>
      <c r="E163" t="inlineStr">
        <is>
          <t>CRYSTAL</t>
        </is>
      </c>
      <c r="F163">
        <f>CONCATENATE(D163," ",LEFT(H163,4),"T=",AU163,"D=",AV163,"R=",AW163,"M=",AX163,"L=",AY163,"B=",AZ163)</f>
        <v/>
      </c>
      <c r="G163" t="inlineStr">
        <is>
          <t>GAIL</t>
        </is>
      </c>
      <c r="I163" t="inlineStr">
        <is>
          <t>1979-04-24</t>
        </is>
      </c>
      <c r="J163" t="inlineStr">
        <is>
          <t>2025-05-05</t>
        </is>
      </c>
      <c r="K163" t="inlineStr">
        <is>
          <t>ACTIVE</t>
        </is>
      </c>
      <c r="M163" t="inlineStr">
        <is>
          <t>731 WOODBINE AVE SE</t>
        </is>
      </c>
      <c r="N163">
        <f>RIGHT(M163,LEN(M163)-FIND(" ",M163))</f>
        <v/>
      </c>
      <c r="P163" t="inlineStr">
        <is>
          <t>WARREN</t>
        </is>
      </c>
      <c r="Q163" t="inlineStr">
        <is>
          <t>OH</t>
        </is>
      </c>
      <c r="R163" t="n">
        <v>44484</v>
      </c>
      <c r="AD163" t="inlineStr">
        <is>
          <t>TRUMBULL CAREER &amp; TECH CENTER</t>
        </is>
      </c>
      <c r="AE163" t="inlineStr">
        <is>
          <t>WARREN CITY</t>
        </is>
      </c>
      <c r="AF163" t="inlineStr">
        <is>
          <t>WARREN CITY SD</t>
        </is>
      </c>
      <c r="AH163" t="n">
        <v>14</v>
      </c>
      <c r="AI163" t="n">
        <v>11</v>
      </c>
      <c r="AN163" t="inlineStr">
        <is>
          <t>WARREN</t>
        </is>
      </c>
      <c r="AO163" t="inlineStr">
        <is>
          <t>WARREN CITY 4A</t>
        </is>
      </c>
      <c r="AP163" t="inlineStr">
        <is>
          <t>78-P-ADI</t>
        </is>
      </c>
      <c r="AQ163" t="n">
        <v>9</v>
      </c>
      <c r="AR163" t="n">
        <v>64</v>
      </c>
      <c r="AS163" t="n">
        <v>32</v>
      </c>
      <c r="AU163">
        <f>COUNTA($BA$163:$EH$163)</f>
        <v/>
      </c>
      <c r="AV163">
        <f>COUNTIF($BA$163:$EH$163,"D")</f>
        <v/>
      </c>
      <c r="AW163">
        <f>COUNTIF($BA$163:$EH$163,"R")</f>
        <v/>
      </c>
      <c r="AX163">
        <f>IF(BN163="D",1,0)+IF(BO163="D",1,0)+IF(BT163="D",1,0)+IF(BU163="D",1,0)+IF(BW163="D",1,0)+IF(CC163="D",1,0)+IF(CD163="D",1,0)+IF(CE163="D",1,0)+IF(CF163="D",1,0)+IF(CL163="D",1,0)+IF(CM163="D",1,0)+IF(CQ163="D",1,0)+IF(CR163="D",1,0)+IF(CS163="D",1,0)+IF(CW163="D",1,0)+IF(CX163="D",1,0)+IF(DD163="D",1,0)+IF(DE163="D",1,0)+IF(DJ163="D",1,0)+IF(DK163="D",1,0)+IF(DO163="D",1,0)+IF(DP163="D",1,0)+IF(DQ163="D",1,0)+IF(DW163="D",1,0)+IF(DZ163="D",1,0)+IF(EH163="D",1,0)</f>
        <v/>
      </c>
      <c r="AY163">
        <f>IF(DJ163&lt;&gt;"",1,0)+IF(DK163&lt;&gt;"",1,0)+IF(DM163&lt;&gt;"",1,0)+IF(DO163&lt;&gt;"",1,0)+IF(DP163&lt;&gt;"",1,0)+IF(DQ163&lt;&gt;"",1,0)+IF(DS163&lt;&gt;"",1,0)+IF(DT163&lt;&gt;"",1,0)+IF(DV163&lt;&gt;"",1,0)+IF(DW163&lt;&gt;"",1,0)+IF(DX163&lt;&gt;"",1,0)+IF(DY163&lt;&gt;"",1,0)+IF(DZ163&lt;&gt;"",1,0)+IF(EB163&lt;&gt;"",1,0)+IF(EC163&lt;&gt;"",1,0)+IF(ED163&lt;&gt;"",1,0)+IF(EG163&lt;&gt;"",1,0)+IF(EH163&lt;&gt;"",1,0)</f>
        <v/>
      </c>
      <c r="AZ163">
        <f>IF(EH163&lt;&gt;"",1,0)</f>
        <v/>
      </c>
      <c r="BB163" t="inlineStr">
        <is>
          <t>WARREN-WARD 4</t>
        </is>
      </c>
      <c r="BC163" t="inlineStr">
        <is>
          <t>X</t>
        </is>
      </c>
      <c r="BD163" t="inlineStr">
        <is>
          <t>X</t>
        </is>
      </c>
      <c r="BF163" t="inlineStr">
        <is>
          <t>X</t>
        </is>
      </c>
      <c r="BH163" t="inlineStr">
        <is>
          <t>X</t>
        </is>
      </c>
      <c r="BJ163" t="inlineStr">
        <is>
          <t>X</t>
        </is>
      </c>
      <c r="BP163" t="inlineStr">
        <is>
          <t>X</t>
        </is>
      </c>
      <c r="BS163" t="inlineStr">
        <is>
          <t>X</t>
        </is>
      </c>
      <c r="CY163" t="inlineStr">
        <is>
          <t>X</t>
        </is>
      </c>
      <c r="DC163" t="inlineStr">
        <is>
          <t>X</t>
        </is>
      </c>
      <c r="DF163" t="inlineStr">
        <is>
          <t>X</t>
        </is>
      </c>
      <c r="DI163" t="inlineStr">
        <is>
          <t>X</t>
        </is>
      </c>
      <c r="DL163" t="inlineStr">
        <is>
          <t>X</t>
        </is>
      </c>
      <c r="DN163" t="inlineStr">
        <is>
          <t>X</t>
        </is>
      </c>
      <c r="DR163" t="inlineStr">
        <is>
          <t>X</t>
        </is>
      </c>
      <c r="DU163" t="inlineStr">
        <is>
          <t>X</t>
        </is>
      </c>
    </row>
    <row r="164">
      <c r="A164" t="inlineStr">
        <is>
          <t>OH0026846134</t>
        </is>
      </c>
      <c r="B164" t="n">
        <v>78</v>
      </c>
      <c r="C164" t="n">
        <v>472367</v>
      </c>
      <c r="D164" t="inlineStr">
        <is>
          <t>BURCHETT</t>
        </is>
      </c>
      <c r="E164" t="inlineStr">
        <is>
          <t>COREY</t>
        </is>
      </c>
      <c r="F164">
        <f>CONCATENATE(D164," ",LEFT(H164,4),"T=",AU164,"D=",AV164,"R=",AW164,"M=",AX164,"L=",AY164,"B=",AZ164)</f>
        <v/>
      </c>
      <c r="G164" t="inlineStr">
        <is>
          <t>DEAN</t>
        </is>
      </c>
      <c r="I164" t="inlineStr">
        <is>
          <t>2005-03-08</t>
        </is>
      </c>
      <c r="J164" t="inlineStr">
        <is>
          <t>2023-03-10</t>
        </is>
      </c>
      <c r="K164" t="inlineStr">
        <is>
          <t>ACTIVE</t>
        </is>
      </c>
      <c r="M164" t="inlineStr">
        <is>
          <t>865 WOODBINE AVE SE</t>
        </is>
      </c>
      <c r="N164">
        <f>RIGHT(M164,LEN(M164)-FIND(" ",M164))</f>
        <v/>
      </c>
      <c r="P164" t="inlineStr">
        <is>
          <t>WARREN</t>
        </is>
      </c>
      <c r="Q164" t="inlineStr">
        <is>
          <t>OH</t>
        </is>
      </c>
      <c r="R164" t="n">
        <v>44484</v>
      </c>
      <c r="AD164" t="inlineStr">
        <is>
          <t>TRUMBULL CAREER &amp; TECH CENTER</t>
        </is>
      </c>
      <c r="AE164" t="inlineStr">
        <is>
          <t>WARREN CITY</t>
        </is>
      </c>
      <c r="AF164" t="inlineStr">
        <is>
          <t>WARREN CITY SD</t>
        </is>
      </c>
      <c r="AH164" t="n">
        <v>14</v>
      </c>
      <c r="AI164" t="n">
        <v>11</v>
      </c>
      <c r="AN164" t="inlineStr">
        <is>
          <t>WARREN</t>
        </is>
      </c>
      <c r="AO164" t="inlineStr">
        <is>
          <t>WARREN CITY 4A</t>
        </is>
      </c>
      <c r="AP164" t="inlineStr">
        <is>
          <t>78-P-ADI</t>
        </is>
      </c>
      <c r="AQ164" t="n">
        <v>9</v>
      </c>
      <c r="AR164" t="n">
        <v>64</v>
      </c>
      <c r="AS164" t="n">
        <v>32</v>
      </c>
      <c r="AU164">
        <f>COUNTA($BA$164:$EH$164)</f>
        <v/>
      </c>
      <c r="AV164">
        <f>COUNTIF($BA$164:$EH$164,"D")</f>
        <v/>
      </c>
      <c r="AW164">
        <f>COUNTIF($BA$164:$EH$164,"R")</f>
        <v/>
      </c>
      <c r="AX164">
        <f>IF(BN164="D",1,0)+IF(BO164="D",1,0)+IF(BT164="D",1,0)+IF(BU164="D",1,0)+IF(BW164="D",1,0)+IF(CC164="D",1,0)+IF(CD164="D",1,0)+IF(CE164="D",1,0)+IF(CF164="D",1,0)+IF(CL164="D",1,0)+IF(CM164="D",1,0)+IF(CQ164="D",1,0)+IF(CR164="D",1,0)+IF(CS164="D",1,0)+IF(CW164="D",1,0)+IF(CX164="D",1,0)+IF(DD164="D",1,0)+IF(DE164="D",1,0)+IF(DJ164="D",1,0)+IF(DK164="D",1,0)+IF(DO164="D",1,0)+IF(DP164="D",1,0)+IF(DQ164="D",1,0)+IF(DW164="D",1,0)+IF(DZ164="D",1,0)+IF(EH164="D",1,0)</f>
        <v/>
      </c>
      <c r="AY164">
        <f>IF(DJ164&lt;&gt;"",1,0)+IF(DK164&lt;&gt;"",1,0)+IF(DM164&lt;&gt;"",1,0)+IF(DO164&lt;&gt;"",1,0)+IF(DP164&lt;&gt;"",1,0)+IF(DQ164&lt;&gt;"",1,0)+IF(DS164&lt;&gt;"",1,0)+IF(DT164&lt;&gt;"",1,0)+IF(DV164&lt;&gt;"",1,0)+IF(DW164&lt;&gt;"",1,0)+IF(DX164&lt;&gt;"",1,0)+IF(DY164&lt;&gt;"",1,0)+IF(DZ164&lt;&gt;"",1,0)+IF(EB164&lt;&gt;"",1,0)+IF(EC164&lt;&gt;"",1,0)+IF(ED164&lt;&gt;"",1,0)+IF(EG164&lt;&gt;"",1,0)+IF(EH164&lt;&gt;"",1,0)</f>
        <v/>
      </c>
      <c r="AZ164">
        <f>IF(EH164&lt;&gt;"",1,0)</f>
        <v/>
      </c>
      <c r="BB164" t="inlineStr">
        <is>
          <t>WARREN-WARD 4</t>
        </is>
      </c>
    </row>
    <row r="165">
      <c r="A165" t="inlineStr">
        <is>
          <t>OH0021760673</t>
        </is>
      </c>
      <c r="B165" t="n">
        <v>78</v>
      </c>
      <c r="C165" t="n">
        <v>386448</v>
      </c>
      <c r="D165" t="inlineStr">
        <is>
          <t>HARSCH</t>
        </is>
      </c>
      <c r="E165" t="inlineStr">
        <is>
          <t>BRANDON</t>
        </is>
      </c>
      <c r="F165">
        <f>CONCATENATE(D165," ",LEFT(H165,4),"T=",AU165,"D=",AV165,"R=",AW165,"M=",AX165,"L=",AY165,"B=",AZ165)</f>
        <v/>
      </c>
      <c r="G165" t="inlineStr">
        <is>
          <t>L</t>
        </is>
      </c>
      <c r="I165" t="inlineStr">
        <is>
          <t>1991-03-03</t>
        </is>
      </c>
      <c r="J165" t="inlineStr">
        <is>
          <t>2024-03-15</t>
        </is>
      </c>
      <c r="K165" t="inlineStr">
        <is>
          <t>ACTIVE</t>
        </is>
      </c>
      <c r="M165" t="inlineStr">
        <is>
          <t>186 CHARLES AVE SE</t>
        </is>
      </c>
      <c r="N165">
        <f>RIGHT(M165,LEN(M165)-FIND(" ",M165))</f>
        <v/>
      </c>
      <c r="P165" t="inlineStr">
        <is>
          <t>WARREN</t>
        </is>
      </c>
      <c r="Q165" t="inlineStr">
        <is>
          <t>OH</t>
        </is>
      </c>
      <c r="R165" t="n">
        <v>44483</v>
      </c>
      <c r="AD165" t="inlineStr">
        <is>
          <t>TRUMBULL CAREER &amp; TECH CENTER</t>
        </is>
      </c>
      <c r="AE165" t="inlineStr">
        <is>
          <t>WARREN CITY</t>
        </is>
      </c>
      <c r="AF165" t="inlineStr">
        <is>
          <t>WARREN CITY SD</t>
        </is>
      </c>
      <c r="AH165" t="n">
        <v>14</v>
      </c>
      <c r="AI165" t="n">
        <v>11</v>
      </c>
      <c r="AN165" t="inlineStr">
        <is>
          <t>WARREN</t>
        </is>
      </c>
      <c r="AO165" t="inlineStr">
        <is>
          <t>WARREN CITY 4A</t>
        </is>
      </c>
      <c r="AP165" t="inlineStr">
        <is>
          <t>78-P-ADI</t>
        </is>
      </c>
      <c r="AQ165" t="n">
        <v>9</v>
      </c>
      <c r="AR165" t="n">
        <v>64</v>
      </c>
      <c r="AS165" t="n">
        <v>32</v>
      </c>
      <c r="AU165">
        <f>COUNTA($BA$165:$EH$165)</f>
        <v/>
      </c>
      <c r="AV165">
        <f>COUNTIF($BA$165:$EH$165,"D")</f>
        <v/>
      </c>
      <c r="AW165">
        <f>COUNTIF($BA$165:$EH$165,"R")</f>
        <v/>
      </c>
      <c r="AX165">
        <f>IF(BN165="D",1,0)+IF(BO165="D",1,0)+IF(BT165="D",1,0)+IF(BU165="D",1,0)+IF(BW165="D",1,0)+IF(CC165="D",1,0)+IF(CD165="D",1,0)+IF(CE165="D",1,0)+IF(CF165="D",1,0)+IF(CL165="D",1,0)+IF(CM165="D",1,0)+IF(CQ165="D",1,0)+IF(CR165="D",1,0)+IF(CS165="D",1,0)+IF(CW165="D",1,0)+IF(CX165="D",1,0)+IF(DD165="D",1,0)+IF(DE165="D",1,0)+IF(DJ165="D",1,0)+IF(DK165="D",1,0)+IF(DO165="D",1,0)+IF(DP165="D",1,0)+IF(DQ165="D",1,0)+IF(DW165="D",1,0)+IF(DZ165="D",1,0)+IF(EH165="D",1,0)</f>
        <v/>
      </c>
      <c r="AY165">
        <f>IF(DJ165&lt;&gt;"",1,0)+IF(DK165&lt;&gt;"",1,0)+IF(DM165&lt;&gt;"",1,0)+IF(DO165&lt;&gt;"",1,0)+IF(DP165&lt;&gt;"",1,0)+IF(DQ165&lt;&gt;"",1,0)+IF(DS165&lt;&gt;"",1,0)+IF(DT165&lt;&gt;"",1,0)+IF(DV165&lt;&gt;"",1,0)+IF(DW165&lt;&gt;"",1,0)+IF(DX165&lt;&gt;"",1,0)+IF(DY165&lt;&gt;"",1,0)+IF(DZ165&lt;&gt;"",1,0)+IF(EB165&lt;&gt;"",1,0)+IF(EC165&lt;&gt;"",1,0)+IF(ED165&lt;&gt;"",1,0)+IF(EG165&lt;&gt;"",1,0)+IF(EH165&lt;&gt;"",1,0)</f>
        <v/>
      </c>
      <c r="AZ165">
        <f>IF(EH165&lt;&gt;"",1,0)</f>
        <v/>
      </c>
      <c r="BB165" t="inlineStr">
        <is>
          <t>WARREN-WARD 4</t>
        </is>
      </c>
      <c r="CP165" t="inlineStr">
        <is>
          <t>X</t>
        </is>
      </c>
    </row>
    <row r="166">
      <c r="A166" t="inlineStr">
        <is>
          <t>OH0015738940</t>
        </is>
      </c>
      <c r="B166" t="n">
        <v>78</v>
      </c>
      <c r="C166" t="n">
        <v>224965</v>
      </c>
      <c r="D166" t="inlineStr">
        <is>
          <t>MCINTROY</t>
        </is>
      </c>
      <c r="E166" t="inlineStr">
        <is>
          <t>SHIRLEY</t>
        </is>
      </c>
      <c r="F166">
        <f>CONCATENATE(D166," ",LEFT(H166,4),"T=",AU166,"D=",AV166,"R=",AW166,"M=",AX166,"L=",AY166,"B=",AZ166)</f>
        <v/>
      </c>
      <c r="G166" t="inlineStr">
        <is>
          <t>L</t>
        </is>
      </c>
      <c r="I166" t="inlineStr">
        <is>
          <t>1967-04-19</t>
        </is>
      </c>
      <c r="J166" t="inlineStr">
        <is>
          <t>2015-09-19</t>
        </is>
      </c>
      <c r="K166" t="inlineStr">
        <is>
          <t>CONFIRMATION</t>
        </is>
      </c>
      <c r="M166" t="inlineStr">
        <is>
          <t>1272 SOUTH ST SE</t>
        </is>
      </c>
      <c r="N166">
        <f>RIGHT(M166,LEN(M166)-FIND(" ",M166))</f>
        <v/>
      </c>
      <c r="P166" t="inlineStr">
        <is>
          <t>WARREN</t>
        </is>
      </c>
      <c r="Q166" t="inlineStr">
        <is>
          <t>OH</t>
        </is>
      </c>
      <c r="R166" t="n">
        <v>44483</v>
      </c>
      <c r="AD166" t="inlineStr">
        <is>
          <t>TRUMBULL CAREER &amp; TECH CENTER</t>
        </is>
      </c>
      <c r="AE166" t="inlineStr">
        <is>
          <t>WARREN CITY</t>
        </is>
      </c>
      <c r="AF166" t="inlineStr">
        <is>
          <t>WARREN CITY SD</t>
        </is>
      </c>
      <c r="AH166" t="n">
        <v>14</v>
      </c>
      <c r="AI166" t="n">
        <v>11</v>
      </c>
      <c r="AN166" t="inlineStr">
        <is>
          <t>WARREN</t>
        </is>
      </c>
      <c r="AO166" t="inlineStr">
        <is>
          <t>WARREN CITY 4A</t>
        </is>
      </c>
      <c r="AP166" t="inlineStr">
        <is>
          <t>78-P-ADI</t>
        </is>
      </c>
      <c r="AQ166" t="n">
        <v>9</v>
      </c>
      <c r="AR166" t="n">
        <v>64</v>
      </c>
      <c r="AS166" t="n">
        <v>32</v>
      </c>
      <c r="AU166">
        <f>COUNTA($BA$166:$EH$166)</f>
        <v/>
      </c>
      <c r="AV166">
        <f>COUNTIF($BA$166:$EH$166,"D")</f>
        <v/>
      </c>
      <c r="AW166">
        <f>COUNTIF($BA$166:$EH$166,"R")</f>
        <v/>
      </c>
      <c r="AX166">
        <f>IF(BN166="D",1,0)+IF(BO166="D",1,0)+IF(BT166="D",1,0)+IF(BU166="D",1,0)+IF(BW166="D",1,0)+IF(CC166="D",1,0)+IF(CD166="D",1,0)+IF(CE166="D",1,0)+IF(CF166="D",1,0)+IF(CL166="D",1,0)+IF(CM166="D",1,0)+IF(CQ166="D",1,0)+IF(CR166="D",1,0)+IF(CS166="D",1,0)+IF(CW166="D",1,0)+IF(CX166="D",1,0)+IF(DD166="D",1,0)+IF(DE166="D",1,0)+IF(DJ166="D",1,0)+IF(DK166="D",1,0)+IF(DO166="D",1,0)+IF(DP166="D",1,0)+IF(DQ166="D",1,0)+IF(DW166="D",1,0)+IF(DZ166="D",1,0)+IF(EH166="D",1,0)</f>
        <v/>
      </c>
      <c r="AY166">
        <f>IF(DJ166&lt;&gt;"",1,0)+IF(DK166&lt;&gt;"",1,0)+IF(DM166&lt;&gt;"",1,0)+IF(DO166&lt;&gt;"",1,0)+IF(DP166&lt;&gt;"",1,0)+IF(DQ166&lt;&gt;"",1,0)+IF(DS166&lt;&gt;"",1,0)+IF(DT166&lt;&gt;"",1,0)+IF(DV166&lt;&gt;"",1,0)+IF(DW166&lt;&gt;"",1,0)+IF(DX166&lt;&gt;"",1,0)+IF(DY166&lt;&gt;"",1,0)+IF(DZ166&lt;&gt;"",1,0)+IF(EB166&lt;&gt;"",1,0)+IF(EC166&lt;&gt;"",1,0)+IF(ED166&lt;&gt;"",1,0)+IF(EG166&lt;&gt;"",1,0)+IF(EH166&lt;&gt;"",1,0)</f>
        <v/>
      </c>
      <c r="AZ166">
        <f>IF(EH166&lt;&gt;"",1,0)</f>
        <v/>
      </c>
      <c r="BB166" t="inlineStr">
        <is>
          <t>WARREN-WARD 4</t>
        </is>
      </c>
      <c r="CP166" t="inlineStr">
        <is>
          <t>X</t>
        </is>
      </c>
    </row>
    <row r="167">
      <c r="A167" t="inlineStr">
        <is>
          <t>OH0015807104</t>
        </is>
      </c>
      <c r="B167" t="n">
        <v>78</v>
      </c>
      <c r="C167" t="n">
        <v>312614</v>
      </c>
      <c r="D167" t="inlineStr">
        <is>
          <t>JONES</t>
        </is>
      </c>
      <c r="E167" t="inlineStr">
        <is>
          <t>AARON</t>
        </is>
      </c>
      <c r="F167">
        <f>CONCATENATE(D167," ",LEFT(H167,4),"T=",AU167,"D=",AV167,"R=",AW167,"M=",AX167,"L=",AY167,"B=",AZ167)</f>
        <v/>
      </c>
      <c r="G167" t="inlineStr">
        <is>
          <t>TODD</t>
        </is>
      </c>
      <c r="I167" t="inlineStr">
        <is>
          <t>1960-07-24</t>
        </is>
      </c>
      <c r="J167" t="inlineStr">
        <is>
          <t>2020-11-23</t>
        </is>
      </c>
      <c r="K167" t="inlineStr">
        <is>
          <t>ACTIVE</t>
        </is>
      </c>
      <c r="M167" t="inlineStr">
        <is>
          <t>483 HOMEWOOD AVE SE</t>
        </is>
      </c>
      <c r="N167">
        <f>RIGHT(M167,LEN(M167)-FIND(" ",M167))</f>
        <v/>
      </c>
      <c r="P167" t="inlineStr">
        <is>
          <t>WARREN</t>
        </is>
      </c>
      <c r="Q167" t="inlineStr">
        <is>
          <t>OH</t>
        </is>
      </c>
      <c r="R167" t="n">
        <v>44483</v>
      </c>
      <c r="AD167" t="inlineStr">
        <is>
          <t>TRUMBULL CAREER &amp; TECH CENTER</t>
        </is>
      </c>
      <c r="AE167" t="inlineStr">
        <is>
          <t>WARREN CITY</t>
        </is>
      </c>
      <c r="AF167" t="inlineStr">
        <is>
          <t>WARREN CITY SD</t>
        </is>
      </c>
      <c r="AH167" t="n">
        <v>14</v>
      </c>
      <c r="AI167" t="n">
        <v>11</v>
      </c>
      <c r="AN167" t="inlineStr">
        <is>
          <t>WARREN</t>
        </is>
      </c>
      <c r="AO167" t="inlineStr">
        <is>
          <t>WARREN CITY 4A</t>
        </is>
      </c>
      <c r="AP167" t="inlineStr">
        <is>
          <t>78-P-ADI</t>
        </is>
      </c>
      <c r="AQ167" t="n">
        <v>9</v>
      </c>
      <c r="AR167" t="n">
        <v>64</v>
      </c>
      <c r="AS167" t="n">
        <v>32</v>
      </c>
      <c r="AU167">
        <f>COUNTA($BA$167:$EH$167)</f>
        <v/>
      </c>
      <c r="AV167">
        <f>COUNTIF($BA$167:$EH$167,"D")</f>
        <v/>
      </c>
      <c r="AW167">
        <f>COUNTIF($BA$167:$EH$167,"R")</f>
        <v/>
      </c>
      <c r="AX167">
        <f>IF(BN167="D",1,0)+IF(BO167="D",1,0)+IF(BT167="D",1,0)+IF(BU167="D",1,0)+IF(BW167="D",1,0)+IF(CC167="D",1,0)+IF(CD167="D",1,0)+IF(CE167="D",1,0)+IF(CF167="D",1,0)+IF(CL167="D",1,0)+IF(CM167="D",1,0)+IF(CQ167="D",1,0)+IF(CR167="D",1,0)+IF(CS167="D",1,0)+IF(CW167="D",1,0)+IF(CX167="D",1,0)+IF(DD167="D",1,0)+IF(DE167="D",1,0)+IF(DJ167="D",1,0)+IF(DK167="D",1,0)+IF(DO167="D",1,0)+IF(DP167="D",1,0)+IF(DQ167="D",1,0)+IF(DW167="D",1,0)+IF(DZ167="D",1,0)+IF(EH167="D",1,0)</f>
        <v/>
      </c>
      <c r="AY167">
        <f>IF(DJ167&lt;&gt;"",1,0)+IF(DK167&lt;&gt;"",1,0)+IF(DM167&lt;&gt;"",1,0)+IF(DO167&lt;&gt;"",1,0)+IF(DP167&lt;&gt;"",1,0)+IF(DQ167&lt;&gt;"",1,0)+IF(DS167&lt;&gt;"",1,0)+IF(DT167&lt;&gt;"",1,0)+IF(DV167&lt;&gt;"",1,0)+IF(DW167&lt;&gt;"",1,0)+IF(DX167&lt;&gt;"",1,0)+IF(DY167&lt;&gt;"",1,0)+IF(DZ167&lt;&gt;"",1,0)+IF(EB167&lt;&gt;"",1,0)+IF(EC167&lt;&gt;"",1,0)+IF(ED167&lt;&gt;"",1,0)+IF(EG167&lt;&gt;"",1,0)+IF(EH167&lt;&gt;"",1,0)</f>
        <v/>
      </c>
      <c r="AZ167">
        <f>IF(EH167&lt;&gt;"",1,0)</f>
        <v/>
      </c>
      <c r="BB167" t="inlineStr">
        <is>
          <t>WARREN-WARD 4</t>
        </is>
      </c>
      <c r="BY167" t="inlineStr">
        <is>
          <t>D</t>
        </is>
      </c>
      <c r="CA167" t="inlineStr">
        <is>
          <t>X</t>
        </is>
      </c>
      <c r="CP167" t="inlineStr">
        <is>
          <t>X</t>
        </is>
      </c>
      <c r="CY167" t="inlineStr">
        <is>
          <t>X</t>
        </is>
      </c>
      <c r="DC167" t="inlineStr">
        <is>
          <t>X</t>
        </is>
      </c>
      <c r="DI167" t="inlineStr">
        <is>
          <t>X</t>
        </is>
      </c>
      <c r="DN167" t="inlineStr">
        <is>
          <t>X</t>
        </is>
      </c>
    </row>
    <row r="168">
      <c r="A168" t="inlineStr">
        <is>
          <t>OH0024664103</t>
        </is>
      </c>
      <c r="B168" t="n">
        <v>78</v>
      </c>
      <c r="C168" t="n">
        <v>432418</v>
      </c>
      <c r="D168" t="inlineStr">
        <is>
          <t>EVANS</t>
        </is>
      </c>
      <c r="E168" t="inlineStr">
        <is>
          <t>SHELIA</t>
        </is>
      </c>
      <c r="F168">
        <f>CONCATENATE(D168," ",LEFT(H168,4),"T=",AU168,"D=",AV168,"R=",AW168,"M=",AX168,"L=",AY168,"B=",AZ168)</f>
        <v/>
      </c>
      <c r="G168" t="inlineStr">
        <is>
          <t>R</t>
        </is>
      </c>
      <c r="I168" t="inlineStr">
        <is>
          <t>1953-07-16</t>
        </is>
      </c>
      <c r="J168" t="inlineStr">
        <is>
          <t>2023-07-31</t>
        </is>
      </c>
      <c r="K168" t="inlineStr">
        <is>
          <t>ACTIVE</t>
        </is>
      </c>
      <c r="M168" t="inlineStr">
        <is>
          <t>344 BONNIE BRAE AVE SE</t>
        </is>
      </c>
      <c r="N168">
        <f>RIGHT(M168,LEN(M168)-FIND(" ",M168))</f>
        <v/>
      </c>
      <c r="P168" t="inlineStr">
        <is>
          <t>WARREN</t>
        </is>
      </c>
      <c r="Q168" t="inlineStr">
        <is>
          <t>OH</t>
        </is>
      </c>
      <c r="R168" t="n">
        <v>44484</v>
      </c>
      <c r="AD168" t="inlineStr">
        <is>
          <t>TRUMBULL CAREER &amp; TECH CENTER</t>
        </is>
      </c>
      <c r="AE168" t="inlineStr">
        <is>
          <t>WARREN CITY</t>
        </is>
      </c>
      <c r="AF168" t="inlineStr">
        <is>
          <t>WARREN CITY SD</t>
        </is>
      </c>
      <c r="AH168" t="n">
        <v>14</v>
      </c>
      <c r="AI168" t="n">
        <v>11</v>
      </c>
      <c r="AN168" t="inlineStr">
        <is>
          <t>WARREN</t>
        </is>
      </c>
      <c r="AO168" t="inlineStr">
        <is>
          <t>WARREN CITY 4A</t>
        </is>
      </c>
      <c r="AP168" t="inlineStr">
        <is>
          <t>78-P-ADI</t>
        </is>
      </c>
      <c r="AQ168" t="n">
        <v>9</v>
      </c>
      <c r="AR168" t="n">
        <v>64</v>
      </c>
      <c r="AS168" t="n">
        <v>32</v>
      </c>
      <c r="AU168">
        <f>COUNTA($BA$168:$EH$168)</f>
        <v/>
      </c>
      <c r="AV168">
        <f>COUNTIF($BA$168:$EH$168,"D")</f>
        <v/>
      </c>
      <c r="AW168">
        <f>COUNTIF($BA$168:$EH$168,"R")</f>
        <v/>
      </c>
      <c r="AX168">
        <f>IF(BN168="D",1,0)+IF(BO168="D",1,0)+IF(BT168="D",1,0)+IF(BU168="D",1,0)+IF(BW168="D",1,0)+IF(CC168="D",1,0)+IF(CD168="D",1,0)+IF(CE168="D",1,0)+IF(CF168="D",1,0)+IF(CL168="D",1,0)+IF(CM168="D",1,0)+IF(CQ168="D",1,0)+IF(CR168="D",1,0)+IF(CS168="D",1,0)+IF(CW168="D",1,0)+IF(CX168="D",1,0)+IF(DD168="D",1,0)+IF(DE168="D",1,0)+IF(DJ168="D",1,0)+IF(DK168="D",1,0)+IF(DO168="D",1,0)+IF(DP168="D",1,0)+IF(DQ168="D",1,0)+IF(DW168="D",1,0)+IF(DZ168="D",1,0)+IF(EH168="D",1,0)</f>
        <v/>
      </c>
      <c r="AY168">
        <f>IF(DJ168&lt;&gt;"",1,0)+IF(DK168&lt;&gt;"",1,0)+IF(DM168&lt;&gt;"",1,0)+IF(DO168&lt;&gt;"",1,0)+IF(DP168&lt;&gt;"",1,0)+IF(DQ168&lt;&gt;"",1,0)+IF(DS168&lt;&gt;"",1,0)+IF(DT168&lt;&gt;"",1,0)+IF(DV168&lt;&gt;"",1,0)+IF(DW168&lt;&gt;"",1,0)+IF(DX168&lt;&gt;"",1,0)+IF(DY168&lt;&gt;"",1,0)+IF(DZ168&lt;&gt;"",1,0)+IF(EB168&lt;&gt;"",1,0)+IF(EC168&lt;&gt;"",1,0)+IF(ED168&lt;&gt;"",1,0)+IF(EG168&lt;&gt;"",1,0)+IF(EH168&lt;&gt;"",1,0)</f>
        <v/>
      </c>
      <c r="AZ168">
        <f>IF(EH168&lt;&gt;"",1,0)</f>
        <v/>
      </c>
      <c r="BB168" t="inlineStr">
        <is>
          <t>WARREN-WARD 4</t>
        </is>
      </c>
      <c r="BP168" t="inlineStr">
        <is>
          <t>X</t>
        </is>
      </c>
      <c r="CA168" t="inlineStr">
        <is>
          <t>X</t>
        </is>
      </c>
      <c r="CG168" t="inlineStr">
        <is>
          <t>X</t>
        </is>
      </c>
      <c r="CK168" t="inlineStr">
        <is>
          <t>X</t>
        </is>
      </c>
      <c r="CN168" t="inlineStr">
        <is>
          <t>X</t>
        </is>
      </c>
      <c r="CP168" t="inlineStr">
        <is>
          <t>X</t>
        </is>
      </c>
      <c r="CT168" t="inlineStr">
        <is>
          <t>X</t>
        </is>
      </c>
      <c r="CV168" t="inlineStr">
        <is>
          <t>X</t>
        </is>
      </c>
      <c r="DC168" t="inlineStr">
        <is>
          <t>X</t>
        </is>
      </c>
      <c r="DF168" t="inlineStr">
        <is>
          <t>X</t>
        </is>
      </c>
      <c r="DI168" t="inlineStr">
        <is>
          <t>X</t>
        </is>
      </c>
      <c r="DL168" t="inlineStr">
        <is>
          <t>X</t>
        </is>
      </c>
      <c r="DN168" t="inlineStr">
        <is>
          <t>X</t>
        </is>
      </c>
      <c r="DU168" t="inlineStr">
        <is>
          <t>X</t>
        </is>
      </c>
      <c r="EA168" t="inlineStr">
        <is>
          <t>X</t>
        </is>
      </c>
      <c r="EF168" t="inlineStr">
        <is>
          <t>X</t>
        </is>
      </c>
    </row>
    <row r="169">
      <c r="A169" t="inlineStr">
        <is>
          <t>OH0019107320</t>
        </is>
      </c>
      <c r="B169" t="n">
        <v>78</v>
      </c>
      <c r="C169" t="n">
        <v>349374</v>
      </c>
      <c r="D169" t="inlineStr">
        <is>
          <t>HARRINGTON</t>
        </is>
      </c>
      <c r="E169" t="inlineStr">
        <is>
          <t>BRIANA</t>
        </is>
      </c>
      <c r="F169">
        <f>CONCATENATE(D169," ",LEFT(H169,4),"T=",AU169,"D=",AV169,"R=",AW169,"M=",AX169,"L=",AY169,"B=",AZ169)</f>
        <v/>
      </c>
      <c r="G169" t="inlineStr">
        <is>
          <t>M</t>
        </is>
      </c>
      <c r="I169" t="inlineStr">
        <is>
          <t>1987-09-25</t>
        </is>
      </c>
      <c r="J169" t="inlineStr">
        <is>
          <t>2016-11-03</t>
        </is>
      </c>
      <c r="K169" t="inlineStr">
        <is>
          <t>ACTIVE</t>
        </is>
      </c>
      <c r="M169" t="inlineStr">
        <is>
          <t>577 WOODBINE AVE SE</t>
        </is>
      </c>
      <c r="N169">
        <f>RIGHT(M169,LEN(M169)-FIND(" ",M169))</f>
        <v/>
      </c>
      <c r="P169" t="inlineStr">
        <is>
          <t>WARREN</t>
        </is>
      </c>
      <c r="Q169" t="inlineStr">
        <is>
          <t>OH</t>
        </is>
      </c>
      <c r="R169" t="n">
        <v>44483</v>
      </c>
      <c r="AD169" t="inlineStr">
        <is>
          <t>TRUMBULL CAREER &amp; TECH CENTER</t>
        </is>
      </c>
      <c r="AE169" t="inlineStr">
        <is>
          <t>WARREN CITY</t>
        </is>
      </c>
      <c r="AF169" t="inlineStr">
        <is>
          <t>WARREN CITY SD</t>
        </is>
      </c>
      <c r="AH169" t="n">
        <v>14</v>
      </c>
      <c r="AI169" t="n">
        <v>11</v>
      </c>
      <c r="AN169" t="inlineStr">
        <is>
          <t>WARREN</t>
        </is>
      </c>
      <c r="AO169" t="inlineStr">
        <is>
          <t>WARREN CITY 4A</t>
        </is>
      </c>
      <c r="AP169" t="inlineStr">
        <is>
          <t>78-P-ADI</t>
        </is>
      </c>
      <c r="AQ169" t="n">
        <v>9</v>
      </c>
      <c r="AR169" t="n">
        <v>64</v>
      </c>
      <c r="AS169" t="n">
        <v>32</v>
      </c>
      <c r="AU169">
        <f>COUNTA($BA$169:$EH$169)</f>
        <v/>
      </c>
      <c r="AV169">
        <f>COUNTIF($BA$169:$EH$169,"D")</f>
        <v/>
      </c>
      <c r="AW169">
        <f>COUNTIF($BA$169:$EH$169,"R")</f>
        <v/>
      </c>
      <c r="AX169">
        <f>IF(BN169="D",1,0)+IF(BO169="D",1,0)+IF(BT169="D",1,0)+IF(BU169="D",1,0)+IF(BW169="D",1,0)+IF(CC169="D",1,0)+IF(CD169="D",1,0)+IF(CE169="D",1,0)+IF(CF169="D",1,0)+IF(CL169="D",1,0)+IF(CM169="D",1,0)+IF(CQ169="D",1,0)+IF(CR169="D",1,0)+IF(CS169="D",1,0)+IF(CW169="D",1,0)+IF(CX169="D",1,0)+IF(DD169="D",1,0)+IF(DE169="D",1,0)+IF(DJ169="D",1,0)+IF(DK169="D",1,0)+IF(DO169="D",1,0)+IF(DP169="D",1,0)+IF(DQ169="D",1,0)+IF(DW169="D",1,0)+IF(DZ169="D",1,0)+IF(EH169="D",1,0)</f>
        <v/>
      </c>
      <c r="AY169">
        <f>IF(DJ169&lt;&gt;"",1,0)+IF(DK169&lt;&gt;"",1,0)+IF(DM169&lt;&gt;"",1,0)+IF(DO169&lt;&gt;"",1,0)+IF(DP169&lt;&gt;"",1,0)+IF(DQ169&lt;&gt;"",1,0)+IF(DS169&lt;&gt;"",1,0)+IF(DT169&lt;&gt;"",1,0)+IF(DV169&lt;&gt;"",1,0)+IF(DW169&lt;&gt;"",1,0)+IF(DX169&lt;&gt;"",1,0)+IF(DY169&lt;&gt;"",1,0)+IF(DZ169&lt;&gt;"",1,0)+IF(EB169&lt;&gt;"",1,0)+IF(EC169&lt;&gt;"",1,0)+IF(ED169&lt;&gt;"",1,0)+IF(EG169&lt;&gt;"",1,0)+IF(EH169&lt;&gt;"",1,0)</f>
        <v/>
      </c>
      <c r="AZ169">
        <f>IF(EH169&lt;&gt;"",1,0)</f>
        <v/>
      </c>
      <c r="BB169" t="inlineStr">
        <is>
          <t>WARREN-WARD 4</t>
        </is>
      </c>
    </row>
    <row r="170">
      <c r="A170" t="inlineStr">
        <is>
          <t>OH0022220103</t>
        </is>
      </c>
      <c r="B170" t="n">
        <v>78</v>
      </c>
      <c r="C170" t="n">
        <v>393186</v>
      </c>
      <c r="D170" t="inlineStr">
        <is>
          <t>MARTINEZ</t>
        </is>
      </c>
      <c r="E170" t="inlineStr">
        <is>
          <t>PAIGE</t>
        </is>
      </c>
      <c r="F170">
        <f>CONCATENATE(D170," ",LEFT(H170,4),"T=",AU170,"D=",AV170,"R=",AW170,"M=",AX170,"L=",AY170,"B=",AZ170)</f>
        <v/>
      </c>
      <c r="G170" t="inlineStr">
        <is>
          <t>VICTORIA</t>
        </is>
      </c>
      <c r="I170" t="inlineStr">
        <is>
          <t>1992-08-15</t>
        </is>
      </c>
      <c r="J170" t="inlineStr">
        <is>
          <t>2019-11-06</t>
        </is>
      </c>
      <c r="K170" t="inlineStr">
        <is>
          <t>CONFIRMATION</t>
        </is>
      </c>
      <c r="M170" t="inlineStr">
        <is>
          <t>860 KENILWORTH AVE SE</t>
        </is>
      </c>
      <c r="N170">
        <f>RIGHT(M170,LEN(M170)-FIND(" ",M170))</f>
        <v/>
      </c>
      <c r="P170" t="inlineStr">
        <is>
          <t>WARREN</t>
        </is>
      </c>
      <c r="Q170" t="inlineStr">
        <is>
          <t>OH</t>
        </is>
      </c>
      <c r="R170" t="n">
        <v>44484</v>
      </c>
      <c r="AD170" t="inlineStr">
        <is>
          <t>TRUMBULL CAREER &amp; TECH CENTER</t>
        </is>
      </c>
      <c r="AE170" t="inlineStr">
        <is>
          <t>WARREN CITY</t>
        </is>
      </c>
      <c r="AF170" t="inlineStr">
        <is>
          <t>WARREN CITY SD</t>
        </is>
      </c>
      <c r="AH170" t="n">
        <v>14</v>
      </c>
      <c r="AI170" t="n">
        <v>11</v>
      </c>
      <c r="AN170" t="inlineStr">
        <is>
          <t>WARREN</t>
        </is>
      </c>
      <c r="AO170" t="inlineStr">
        <is>
          <t>WARREN CITY 4A</t>
        </is>
      </c>
      <c r="AP170" t="inlineStr">
        <is>
          <t>78-P-ADI</t>
        </is>
      </c>
      <c r="AQ170" t="n">
        <v>9</v>
      </c>
      <c r="AR170" t="n">
        <v>64</v>
      </c>
      <c r="AS170" t="n">
        <v>32</v>
      </c>
      <c r="AU170">
        <f>COUNTA($BA$170:$EH$170)</f>
        <v/>
      </c>
      <c r="AV170">
        <f>COUNTIF($BA$170:$EH$170,"D")</f>
        <v/>
      </c>
      <c r="AW170">
        <f>COUNTIF($BA$170:$EH$170,"R")</f>
        <v/>
      </c>
      <c r="AX170">
        <f>IF(BN170="D",1,0)+IF(BO170="D",1,0)+IF(BT170="D",1,0)+IF(BU170="D",1,0)+IF(BW170="D",1,0)+IF(CC170="D",1,0)+IF(CD170="D",1,0)+IF(CE170="D",1,0)+IF(CF170="D",1,0)+IF(CL170="D",1,0)+IF(CM170="D",1,0)+IF(CQ170="D",1,0)+IF(CR170="D",1,0)+IF(CS170="D",1,0)+IF(CW170="D",1,0)+IF(CX170="D",1,0)+IF(DD170="D",1,0)+IF(DE170="D",1,0)+IF(DJ170="D",1,0)+IF(DK170="D",1,0)+IF(DO170="D",1,0)+IF(DP170="D",1,0)+IF(DQ170="D",1,0)+IF(DW170="D",1,0)+IF(DZ170="D",1,0)+IF(EH170="D",1,0)</f>
        <v/>
      </c>
      <c r="AY170">
        <f>IF(DJ170&lt;&gt;"",1,0)+IF(DK170&lt;&gt;"",1,0)+IF(DM170&lt;&gt;"",1,0)+IF(DO170&lt;&gt;"",1,0)+IF(DP170&lt;&gt;"",1,0)+IF(DQ170&lt;&gt;"",1,0)+IF(DS170&lt;&gt;"",1,0)+IF(DT170&lt;&gt;"",1,0)+IF(DV170&lt;&gt;"",1,0)+IF(DW170&lt;&gt;"",1,0)+IF(DX170&lt;&gt;"",1,0)+IF(DY170&lt;&gt;"",1,0)+IF(DZ170&lt;&gt;"",1,0)+IF(EB170&lt;&gt;"",1,0)+IF(EC170&lt;&gt;"",1,0)+IF(ED170&lt;&gt;"",1,0)+IF(EG170&lt;&gt;"",1,0)+IF(EH170&lt;&gt;"",1,0)</f>
        <v/>
      </c>
      <c r="AZ170">
        <f>IF(EH170&lt;&gt;"",1,0)</f>
        <v/>
      </c>
      <c r="BB170" t="inlineStr">
        <is>
          <t>WARREN-WARD 4</t>
        </is>
      </c>
    </row>
    <row r="171">
      <c r="A171" t="inlineStr">
        <is>
          <t>OH0023395056</t>
        </is>
      </c>
      <c r="B171" t="n">
        <v>78</v>
      </c>
      <c r="C171" t="n">
        <v>411459</v>
      </c>
      <c r="D171" t="inlineStr">
        <is>
          <t>DYE</t>
        </is>
      </c>
      <c r="E171" t="inlineStr">
        <is>
          <t>ERIK</t>
        </is>
      </c>
      <c r="F171">
        <f>CONCATENATE(D171," ",LEFT(H171,4),"T=",AU171,"D=",AV171,"R=",AW171,"M=",AX171,"L=",AY171,"B=",AZ171)</f>
        <v/>
      </c>
      <c r="G171" t="inlineStr">
        <is>
          <t>MICHAEL</t>
        </is>
      </c>
      <c r="I171" t="inlineStr">
        <is>
          <t>1989-12-10</t>
        </is>
      </c>
      <c r="J171" t="inlineStr">
        <is>
          <t>2015-11-03</t>
        </is>
      </c>
      <c r="K171" t="inlineStr">
        <is>
          <t>CONFIRMATION</t>
        </is>
      </c>
      <c r="M171" t="inlineStr">
        <is>
          <t>930 OAK KNOLL AVE SE</t>
        </is>
      </c>
      <c r="N171">
        <f>RIGHT(M171,LEN(M171)-FIND(" ",M171))</f>
        <v/>
      </c>
      <c r="P171" t="inlineStr">
        <is>
          <t>WARREN</t>
        </is>
      </c>
      <c r="Q171" t="inlineStr">
        <is>
          <t>OH</t>
        </is>
      </c>
      <c r="R171" t="n">
        <v>44484</v>
      </c>
      <c r="AD171" t="inlineStr">
        <is>
          <t>TRUMBULL CAREER &amp; TECH CENTER</t>
        </is>
      </c>
      <c r="AE171" t="inlineStr">
        <is>
          <t>WARREN CITY</t>
        </is>
      </c>
      <c r="AF171" t="inlineStr">
        <is>
          <t>WARREN CITY SD</t>
        </is>
      </c>
      <c r="AH171" t="n">
        <v>14</v>
      </c>
      <c r="AI171" t="n">
        <v>11</v>
      </c>
      <c r="AN171" t="inlineStr">
        <is>
          <t>WARREN</t>
        </is>
      </c>
      <c r="AO171" t="inlineStr">
        <is>
          <t>WARREN CITY 4A</t>
        </is>
      </c>
      <c r="AP171" t="inlineStr">
        <is>
          <t>78-P-ADI</t>
        </is>
      </c>
      <c r="AQ171" t="n">
        <v>9</v>
      </c>
      <c r="AR171" t="n">
        <v>64</v>
      </c>
      <c r="AS171" t="n">
        <v>32</v>
      </c>
      <c r="AU171">
        <f>COUNTA($BA$171:$EH$171)</f>
        <v/>
      </c>
      <c r="AV171">
        <f>COUNTIF($BA$171:$EH$171,"D")</f>
        <v/>
      </c>
      <c r="AW171">
        <f>COUNTIF($BA$171:$EH$171,"R")</f>
        <v/>
      </c>
      <c r="AX171">
        <f>IF(BN171="D",1,0)+IF(BO171="D",1,0)+IF(BT171="D",1,0)+IF(BU171="D",1,0)+IF(BW171="D",1,0)+IF(CC171="D",1,0)+IF(CD171="D",1,0)+IF(CE171="D",1,0)+IF(CF171="D",1,0)+IF(CL171="D",1,0)+IF(CM171="D",1,0)+IF(CQ171="D",1,0)+IF(CR171="D",1,0)+IF(CS171="D",1,0)+IF(CW171="D",1,0)+IF(CX171="D",1,0)+IF(DD171="D",1,0)+IF(DE171="D",1,0)+IF(DJ171="D",1,0)+IF(DK171="D",1,0)+IF(DO171="D",1,0)+IF(DP171="D",1,0)+IF(DQ171="D",1,0)+IF(DW171="D",1,0)+IF(DZ171="D",1,0)+IF(EH171="D",1,0)</f>
        <v/>
      </c>
      <c r="AY171">
        <f>IF(DJ171&lt;&gt;"",1,0)+IF(DK171&lt;&gt;"",1,0)+IF(DM171&lt;&gt;"",1,0)+IF(DO171&lt;&gt;"",1,0)+IF(DP171&lt;&gt;"",1,0)+IF(DQ171&lt;&gt;"",1,0)+IF(DS171&lt;&gt;"",1,0)+IF(DT171&lt;&gt;"",1,0)+IF(DV171&lt;&gt;"",1,0)+IF(DW171&lt;&gt;"",1,0)+IF(DX171&lt;&gt;"",1,0)+IF(DY171&lt;&gt;"",1,0)+IF(DZ171&lt;&gt;"",1,0)+IF(EB171&lt;&gt;"",1,0)+IF(EC171&lt;&gt;"",1,0)+IF(ED171&lt;&gt;"",1,0)+IF(EG171&lt;&gt;"",1,0)+IF(EH171&lt;&gt;"",1,0)</f>
        <v/>
      </c>
      <c r="AZ171">
        <f>IF(EH171&lt;&gt;"",1,0)</f>
        <v/>
      </c>
      <c r="BB171" t="inlineStr">
        <is>
          <t>WARREN-WARD 4</t>
        </is>
      </c>
      <c r="BY171" t="inlineStr">
        <is>
          <t>D</t>
        </is>
      </c>
      <c r="CA171" t="inlineStr">
        <is>
          <t>X</t>
        </is>
      </c>
      <c r="CN171" t="inlineStr">
        <is>
          <t>X</t>
        </is>
      </c>
      <c r="CY171" t="inlineStr">
        <is>
          <t>X</t>
        </is>
      </c>
      <c r="CZ171" t="inlineStr">
        <is>
          <t>D</t>
        </is>
      </c>
      <c r="DI171" t="inlineStr">
        <is>
          <t>X</t>
        </is>
      </c>
    </row>
    <row r="172">
      <c r="A172" t="inlineStr">
        <is>
          <t>OH0015725509</t>
        </is>
      </c>
      <c r="B172" t="n">
        <v>78</v>
      </c>
      <c r="C172" t="n">
        <v>209676</v>
      </c>
      <c r="D172" t="inlineStr">
        <is>
          <t>BROWN</t>
        </is>
      </c>
      <c r="E172" t="inlineStr">
        <is>
          <t>PEGGY</t>
        </is>
      </c>
      <c r="F172">
        <f>CONCATENATE(D172," ",LEFT(H172,4),"T=",AU172,"D=",AV172,"R=",AW172,"M=",AX172,"L=",AY172,"B=",AZ172)</f>
        <v/>
      </c>
      <c r="G172" t="inlineStr">
        <is>
          <t>J</t>
        </is>
      </c>
      <c r="I172" t="inlineStr">
        <is>
          <t>1960-03-04</t>
        </is>
      </c>
      <c r="J172" t="inlineStr">
        <is>
          <t>1988-09-15</t>
        </is>
      </c>
      <c r="K172" t="inlineStr">
        <is>
          <t>ACTIVE</t>
        </is>
      </c>
      <c r="L172" t="inlineStr">
        <is>
          <t>D</t>
        </is>
      </c>
      <c r="M172" t="inlineStr">
        <is>
          <t>900 OAK KNOLL AVE SE</t>
        </is>
      </c>
      <c r="N172">
        <f>RIGHT(M172,LEN(M172)-FIND(" ",M172))</f>
        <v/>
      </c>
      <c r="P172" t="inlineStr">
        <is>
          <t>WARREN</t>
        </is>
      </c>
      <c r="Q172" t="inlineStr">
        <is>
          <t>OH</t>
        </is>
      </c>
      <c r="R172" t="n">
        <v>44484</v>
      </c>
      <c r="AD172" t="inlineStr">
        <is>
          <t>TRUMBULL CAREER &amp; TECH CENTER</t>
        </is>
      </c>
      <c r="AE172" t="inlineStr">
        <is>
          <t>WARREN CITY</t>
        </is>
      </c>
      <c r="AF172" t="inlineStr">
        <is>
          <t>WARREN CITY SD</t>
        </is>
      </c>
      <c r="AH172" t="n">
        <v>14</v>
      </c>
      <c r="AI172" t="n">
        <v>11</v>
      </c>
      <c r="AN172" t="inlineStr">
        <is>
          <t>WARREN</t>
        </is>
      </c>
      <c r="AO172" t="inlineStr">
        <is>
          <t>WARREN CITY 4A</t>
        </is>
      </c>
      <c r="AP172" t="inlineStr">
        <is>
          <t>78-P-ADI</t>
        </is>
      </c>
      <c r="AQ172" t="n">
        <v>9</v>
      </c>
      <c r="AR172" t="n">
        <v>64</v>
      </c>
      <c r="AS172" t="n">
        <v>32</v>
      </c>
      <c r="AU172">
        <f>COUNTA($BA$172:$EH$172)</f>
        <v/>
      </c>
      <c r="AV172">
        <f>COUNTIF($BA$172:$EH$172,"D")</f>
        <v/>
      </c>
      <c r="AW172">
        <f>COUNTIF($BA$172:$EH$172,"R")</f>
        <v/>
      </c>
      <c r="AX172">
        <f>IF(BN172="D",1,0)+IF(BO172="D",1,0)+IF(BT172="D",1,0)+IF(BU172="D",1,0)+IF(BW172="D",1,0)+IF(CC172="D",1,0)+IF(CD172="D",1,0)+IF(CE172="D",1,0)+IF(CF172="D",1,0)+IF(CL172="D",1,0)+IF(CM172="D",1,0)+IF(CQ172="D",1,0)+IF(CR172="D",1,0)+IF(CS172="D",1,0)+IF(CW172="D",1,0)+IF(CX172="D",1,0)+IF(DD172="D",1,0)+IF(DE172="D",1,0)+IF(DJ172="D",1,0)+IF(DK172="D",1,0)+IF(DO172="D",1,0)+IF(DP172="D",1,0)+IF(DQ172="D",1,0)+IF(DW172="D",1,0)+IF(DZ172="D",1,0)+IF(EH172="D",1,0)</f>
        <v/>
      </c>
      <c r="AY172">
        <f>IF(DJ172&lt;&gt;"",1,0)+IF(DK172&lt;&gt;"",1,0)+IF(DM172&lt;&gt;"",1,0)+IF(DO172&lt;&gt;"",1,0)+IF(DP172&lt;&gt;"",1,0)+IF(DQ172&lt;&gt;"",1,0)+IF(DS172&lt;&gt;"",1,0)+IF(DT172&lt;&gt;"",1,0)+IF(DV172&lt;&gt;"",1,0)+IF(DW172&lt;&gt;"",1,0)+IF(DX172&lt;&gt;"",1,0)+IF(DY172&lt;&gt;"",1,0)+IF(DZ172&lt;&gt;"",1,0)+IF(EB172&lt;&gt;"",1,0)+IF(EC172&lt;&gt;"",1,0)+IF(ED172&lt;&gt;"",1,0)+IF(EG172&lt;&gt;"",1,0)+IF(EH172&lt;&gt;"",1,0)</f>
        <v/>
      </c>
      <c r="AZ172">
        <f>IF(EH172&lt;&gt;"",1,0)</f>
        <v/>
      </c>
      <c r="BB172" t="inlineStr">
        <is>
          <t>WARREN-WARD 4</t>
        </is>
      </c>
      <c r="BC172" t="inlineStr">
        <is>
          <t>X</t>
        </is>
      </c>
      <c r="BD172" t="inlineStr">
        <is>
          <t>X</t>
        </is>
      </c>
      <c r="BE172" t="inlineStr">
        <is>
          <t>X</t>
        </is>
      </c>
      <c r="BF172" t="inlineStr">
        <is>
          <t>X</t>
        </is>
      </c>
      <c r="BG172" t="inlineStr">
        <is>
          <t>X</t>
        </is>
      </c>
      <c r="BH172" t="inlineStr">
        <is>
          <t>X</t>
        </is>
      </c>
      <c r="BI172" t="inlineStr">
        <is>
          <t>X</t>
        </is>
      </c>
      <c r="BJ172" t="inlineStr">
        <is>
          <t>X</t>
        </is>
      </c>
      <c r="BK172" t="inlineStr">
        <is>
          <t>X</t>
        </is>
      </c>
      <c r="BL172" t="inlineStr">
        <is>
          <t>X</t>
        </is>
      </c>
      <c r="BP172" t="inlineStr">
        <is>
          <t>X</t>
        </is>
      </c>
      <c r="BS172" t="inlineStr">
        <is>
          <t>X</t>
        </is>
      </c>
      <c r="BV172" t="inlineStr">
        <is>
          <t>X</t>
        </is>
      </c>
      <c r="BY172" t="inlineStr">
        <is>
          <t>D</t>
        </is>
      </c>
      <c r="CA172" t="inlineStr">
        <is>
          <t>X</t>
        </is>
      </c>
      <c r="CC172" t="inlineStr">
        <is>
          <t>D</t>
        </is>
      </c>
      <c r="CG172" t="inlineStr">
        <is>
          <t>X</t>
        </is>
      </c>
      <c r="CH172" t="inlineStr">
        <is>
          <t>D</t>
        </is>
      </c>
      <c r="CK172" t="inlineStr">
        <is>
          <t>X</t>
        </is>
      </c>
      <c r="CL172" t="inlineStr">
        <is>
          <t>D</t>
        </is>
      </c>
      <c r="CN172" t="inlineStr">
        <is>
          <t>X</t>
        </is>
      </c>
      <c r="CO172" t="inlineStr">
        <is>
          <t>D</t>
        </is>
      </c>
      <c r="CP172" t="inlineStr">
        <is>
          <t>X</t>
        </is>
      </c>
      <c r="CT172" t="inlineStr">
        <is>
          <t>X</t>
        </is>
      </c>
      <c r="CU172" t="inlineStr">
        <is>
          <t>D</t>
        </is>
      </c>
      <c r="CV172" t="inlineStr">
        <is>
          <t>X</t>
        </is>
      </c>
      <c r="CY172" t="inlineStr">
        <is>
          <t>X</t>
        </is>
      </c>
      <c r="CZ172" t="inlineStr">
        <is>
          <t>D</t>
        </is>
      </c>
      <c r="DC172" t="inlineStr">
        <is>
          <t>X</t>
        </is>
      </c>
      <c r="DD172" t="inlineStr">
        <is>
          <t>D</t>
        </is>
      </c>
      <c r="DF172" t="inlineStr">
        <is>
          <t>X</t>
        </is>
      </c>
      <c r="DG172" t="inlineStr">
        <is>
          <t>D</t>
        </is>
      </c>
      <c r="DI172" t="inlineStr">
        <is>
          <t>X</t>
        </is>
      </c>
      <c r="DJ172" t="inlineStr">
        <is>
          <t>D</t>
        </is>
      </c>
      <c r="DL172" t="inlineStr">
        <is>
          <t>X</t>
        </is>
      </c>
      <c r="DM172" t="inlineStr">
        <is>
          <t>D</t>
        </is>
      </c>
      <c r="DN172" t="inlineStr">
        <is>
          <t>X</t>
        </is>
      </c>
      <c r="DR172" t="inlineStr">
        <is>
          <t>X</t>
        </is>
      </c>
      <c r="DS172" t="inlineStr">
        <is>
          <t>D</t>
        </is>
      </c>
      <c r="DT172" t="inlineStr">
        <is>
          <t>D</t>
        </is>
      </c>
      <c r="DU172" t="inlineStr">
        <is>
          <t>X</t>
        </is>
      </c>
      <c r="DW172" t="inlineStr">
        <is>
          <t>D</t>
        </is>
      </c>
      <c r="DX172" t="inlineStr">
        <is>
          <t>X</t>
        </is>
      </c>
      <c r="EA172" t="inlineStr">
        <is>
          <t>X</t>
        </is>
      </c>
      <c r="ED172" t="inlineStr">
        <is>
          <t>D</t>
        </is>
      </c>
      <c r="EF172" t="inlineStr">
        <is>
          <t>X</t>
        </is>
      </c>
      <c r="EH172" t="inlineStr">
        <is>
          <t>D</t>
        </is>
      </c>
    </row>
    <row r="173">
      <c r="A173" t="inlineStr">
        <is>
          <t>OH0023186539</t>
        </is>
      </c>
      <c r="B173" t="n">
        <v>78</v>
      </c>
      <c r="C173" t="n">
        <v>407981</v>
      </c>
      <c r="D173" t="inlineStr">
        <is>
          <t>KUNTZ</t>
        </is>
      </c>
      <c r="E173" t="inlineStr">
        <is>
          <t>VANESSA</t>
        </is>
      </c>
      <c r="F173">
        <f>CONCATENATE(D173," ",LEFT(H173,4),"T=",AU173,"D=",AV173,"R=",AW173,"M=",AX173,"L=",AY173,"B=",AZ173)</f>
        <v/>
      </c>
      <c r="G173" t="inlineStr">
        <is>
          <t>J</t>
        </is>
      </c>
      <c r="I173" t="inlineStr">
        <is>
          <t>1980-05-27</t>
        </is>
      </c>
      <c r="J173" t="inlineStr">
        <is>
          <t>2018-03-23</t>
        </is>
      </c>
      <c r="K173" t="inlineStr">
        <is>
          <t>CONFIRMATION</t>
        </is>
      </c>
      <c r="M173" t="inlineStr">
        <is>
          <t>324 OAK KNOLL AVE SE</t>
        </is>
      </c>
      <c r="N173">
        <f>RIGHT(M173,LEN(M173)-FIND(" ",M173))</f>
        <v/>
      </c>
      <c r="P173" t="inlineStr">
        <is>
          <t>WARREN</t>
        </is>
      </c>
      <c r="Q173" t="inlineStr">
        <is>
          <t>OH</t>
        </is>
      </c>
      <c r="R173" t="n">
        <v>44483</v>
      </c>
      <c r="AD173" t="inlineStr">
        <is>
          <t>TRUMBULL CAREER &amp; TECH CENTER</t>
        </is>
      </c>
      <c r="AE173" t="inlineStr">
        <is>
          <t>WARREN CITY</t>
        </is>
      </c>
      <c r="AF173" t="inlineStr">
        <is>
          <t>WARREN CITY SD</t>
        </is>
      </c>
      <c r="AH173" t="n">
        <v>14</v>
      </c>
      <c r="AI173" t="n">
        <v>11</v>
      </c>
      <c r="AN173" t="inlineStr">
        <is>
          <t>WARREN</t>
        </is>
      </c>
      <c r="AO173" t="inlineStr">
        <is>
          <t>WARREN CITY 4A</t>
        </is>
      </c>
      <c r="AP173" t="inlineStr">
        <is>
          <t>78-P-ADI</t>
        </is>
      </c>
      <c r="AQ173" t="n">
        <v>9</v>
      </c>
      <c r="AR173" t="n">
        <v>64</v>
      </c>
      <c r="AS173" t="n">
        <v>32</v>
      </c>
      <c r="AU173">
        <f>COUNTA($BA$173:$EH$173)</f>
        <v/>
      </c>
      <c r="AV173">
        <f>COUNTIF($BA$173:$EH$173,"D")</f>
        <v/>
      </c>
      <c r="AW173">
        <f>COUNTIF($BA$173:$EH$173,"R")</f>
        <v/>
      </c>
      <c r="AX173">
        <f>IF(BN173="D",1,0)+IF(BO173="D",1,0)+IF(BT173="D",1,0)+IF(BU173="D",1,0)+IF(BW173="D",1,0)+IF(CC173="D",1,0)+IF(CD173="D",1,0)+IF(CE173="D",1,0)+IF(CF173="D",1,0)+IF(CL173="D",1,0)+IF(CM173="D",1,0)+IF(CQ173="D",1,0)+IF(CR173="D",1,0)+IF(CS173="D",1,0)+IF(CW173="D",1,0)+IF(CX173="D",1,0)+IF(DD173="D",1,0)+IF(DE173="D",1,0)+IF(DJ173="D",1,0)+IF(DK173="D",1,0)+IF(DO173="D",1,0)+IF(DP173="D",1,0)+IF(DQ173="D",1,0)+IF(DW173="D",1,0)+IF(DZ173="D",1,0)+IF(EH173="D",1,0)</f>
        <v/>
      </c>
      <c r="AY173">
        <f>IF(DJ173&lt;&gt;"",1,0)+IF(DK173&lt;&gt;"",1,0)+IF(DM173&lt;&gt;"",1,0)+IF(DO173&lt;&gt;"",1,0)+IF(DP173&lt;&gt;"",1,0)+IF(DQ173&lt;&gt;"",1,0)+IF(DS173&lt;&gt;"",1,0)+IF(DT173&lt;&gt;"",1,0)+IF(DV173&lt;&gt;"",1,0)+IF(DW173&lt;&gt;"",1,0)+IF(DX173&lt;&gt;"",1,0)+IF(DY173&lt;&gt;"",1,0)+IF(DZ173&lt;&gt;"",1,0)+IF(EB173&lt;&gt;"",1,0)+IF(EC173&lt;&gt;"",1,0)+IF(ED173&lt;&gt;"",1,0)+IF(EG173&lt;&gt;"",1,0)+IF(EH173&lt;&gt;"",1,0)</f>
        <v/>
      </c>
      <c r="AZ173">
        <f>IF(EH173&lt;&gt;"",1,0)</f>
        <v/>
      </c>
      <c r="BB173" t="inlineStr">
        <is>
          <t>WARREN-WARD 4</t>
        </is>
      </c>
    </row>
    <row r="174">
      <c r="A174" t="inlineStr">
        <is>
          <t>OH0018670391</t>
        </is>
      </c>
      <c r="B174" t="n">
        <v>78</v>
      </c>
      <c r="C174" t="n">
        <v>342371</v>
      </c>
      <c r="D174" t="inlineStr">
        <is>
          <t>STOREY WORKLEY</t>
        </is>
      </c>
      <c r="E174" t="inlineStr">
        <is>
          <t>MEGAN</t>
        </is>
      </c>
      <c r="F174">
        <f>CONCATENATE(D174," ",LEFT(H174,4),"T=",AU174,"D=",AV174,"R=",AW174,"M=",AX174,"L=",AY174,"B=",AZ174)</f>
        <v/>
      </c>
      <c r="G174" t="inlineStr">
        <is>
          <t>E</t>
        </is>
      </c>
      <c r="I174" t="inlineStr">
        <is>
          <t>1972-09-13</t>
        </is>
      </c>
      <c r="J174" t="inlineStr">
        <is>
          <t>2006-03-02</t>
        </is>
      </c>
      <c r="K174" t="inlineStr">
        <is>
          <t>ACTIVE</t>
        </is>
      </c>
      <c r="L174" t="inlineStr">
        <is>
          <t>R</t>
        </is>
      </c>
      <c r="M174" t="inlineStr">
        <is>
          <t>791 WOODBINE AVE SE</t>
        </is>
      </c>
      <c r="N174">
        <f>RIGHT(M174,LEN(M174)-FIND(" ",M174))</f>
        <v/>
      </c>
      <c r="P174" t="inlineStr">
        <is>
          <t>WARREN</t>
        </is>
      </c>
      <c r="Q174" t="inlineStr">
        <is>
          <t>OH</t>
        </is>
      </c>
      <c r="R174" t="n">
        <v>44484</v>
      </c>
      <c r="AD174" t="inlineStr">
        <is>
          <t>TRUMBULL CAREER &amp; TECH CENTER</t>
        </is>
      </c>
      <c r="AE174" t="inlineStr">
        <is>
          <t>WARREN CITY</t>
        </is>
      </c>
      <c r="AF174" t="inlineStr">
        <is>
          <t>WARREN CITY SD</t>
        </is>
      </c>
      <c r="AH174" t="n">
        <v>14</v>
      </c>
      <c r="AI174" t="n">
        <v>11</v>
      </c>
      <c r="AN174" t="inlineStr">
        <is>
          <t>WARREN</t>
        </is>
      </c>
      <c r="AO174" t="inlineStr">
        <is>
          <t>WARREN CITY 4A</t>
        </is>
      </c>
      <c r="AP174" t="inlineStr">
        <is>
          <t>78-P-ADI</t>
        </is>
      </c>
      <c r="AQ174" t="n">
        <v>9</v>
      </c>
      <c r="AR174" t="n">
        <v>64</v>
      </c>
      <c r="AS174" t="n">
        <v>32</v>
      </c>
      <c r="AU174">
        <f>COUNTA($BA$174:$EH$174)</f>
        <v/>
      </c>
      <c r="AV174">
        <f>COUNTIF($BA$174:$EH$174,"D")</f>
        <v/>
      </c>
      <c r="AW174">
        <f>COUNTIF($BA$174:$EH$174,"R")</f>
        <v/>
      </c>
      <c r="AX174">
        <f>IF(BN174="D",1,0)+IF(BO174="D",1,0)+IF(BT174="D",1,0)+IF(BU174="D",1,0)+IF(BW174="D",1,0)+IF(CC174="D",1,0)+IF(CD174="D",1,0)+IF(CE174="D",1,0)+IF(CF174="D",1,0)+IF(CL174="D",1,0)+IF(CM174="D",1,0)+IF(CQ174="D",1,0)+IF(CR174="D",1,0)+IF(CS174="D",1,0)+IF(CW174="D",1,0)+IF(CX174="D",1,0)+IF(DD174="D",1,0)+IF(DE174="D",1,0)+IF(DJ174="D",1,0)+IF(DK174="D",1,0)+IF(DO174="D",1,0)+IF(DP174="D",1,0)+IF(DQ174="D",1,0)+IF(DW174="D",1,0)+IF(DZ174="D",1,0)+IF(EH174="D",1,0)</f>
        <v/>
      </c>
      <c r="AY174">
        <f>IF(DJ174&lt;&gt;"",1,0)+IF(DK174&lt;&gt;"",1,0)+IF(DM174&lt;&gt;"",1,0)+IF(DO174&lt;&gt;"",1,0)+IF(DP174&lt;&gt;"",1,0)+IF(DQ174&lt;&gt;"",1,0)+IF(DS174&lt;&gt;"",1,0)+IF(DT174&lt;&gt;"",1,0)+IF(DV174&lt;&gt;"",1,0)+IF(DW174&lt;&gt;"",1,0)+IF(DX174&lt;&gt;"",1,0)+IF(DY174&lt;&gt;"",1,0)+IF(DZ174&lt;&gt;"",1,0)+IF(EB174&lt;&gt;"",1,0)+IF(EC174&lt;&gt;"",1,0)+IF(ED174&lt;&gt;"",1,0)+IF(EG174&lt;&gt;"",1,0)+IF(EH174&lt;&gt;"",1,0)</f>
        <v/>
      </c>
      <c r="AZ174">
        <f>IF(EH174&lt;&gt;"",1,0)</f>
        <v/>
      </c>
      <c r="BB174" t="inlineStr">
        <is>
          <t>WARREN-WARD 4</t>
        </is>
      </c>
      <c r="BL174" t="inlineStr">
        <is>
          <t>X</t>
        </is>
      </c>
      <c r="BP174" t="inlineStr">
        <is>
          <t>X</t>
        </is>
      </c>
      <c r="BR174" t="inlineStr">
        <is>
          <t>X</t>
        </is>
      </c>
      <c r="BS174" t="inlineStr">
        <is>
          <t>X</t>
        </is>
      </c>
      <c r="BT174" t="inlineStr">
        <is>
          <t>X</t>
        </is>
      </c>
      <c r="BV174" t="inlineStr">
        <is>
          <t>X</t>
        </is>
      </c>
      <c r="CA174" t="inlineStr">
        <is>
          <t>X</t>
        </is>
      </c>
      <c r="CG174" t="inlineStr">
        <is>
          <t>X</t>
        </is>
      </c>
      <c r="CK174" t="inlineStr">
        <is>
          <t>X</t>
        </is>
      </c>
      <c r="CN174" t="inlineStr">
        <is>
          <t>X</t>
        </is>
      </c>
      <c r="CO174" t="inlineStr">
        <is>
          <t>R</t>
        </is>
      </c>
      <c r="CP174" t="inlineStr">
        <is>
          <t>X</t>
        </is>
      </c>
      <c r="CT174" t="inlineStr">
        <is>
          <t>X</t>
        </is>
      </c>
      <c r="CV174" t="inlineStr">
        <is>
          <t>X</t>
        </is>
      </c>
      <c r="CY174" t="inlineStr">
        <is>
          <t>X</t>
        </is>
      </c>
      <c r="CZ174" t="inlineStr">
        <is>
          <t>R</t>
        </is>
      </c>
      <c r="DC174" t="inlineStr">
        <is>
          <t>X</t>
        </is>
      </c>
      <c r="DD174" t="inlineStr">
        <is>
          <t>D</t>
        </is>
      </c>
      <c r="DF174" t="inlineStr">
        <is>
          <t>X</t>
        </is>
      </c>
      <c r="DG174" t="inlineStr">
        <is>
          <t>R</t>
        </is>
      </c>
      <c r="DI174" t="inlineStr">
        <is>
          <t>X</t>
        </is>
      </c>
      <c r="DL174" t="inlineStr">
        <is>
          <t>X</t>
        </is>
      </c>
      <c r="DM174" t="inlineStr">
        <is>
          <t>R</t>
        </is>
      </c>
      <c r="DN174" t="inlineStr">
        <is>
          <t>X</t>
        </is>
      </c>
      <c r="DR174" t="inlineStr">
        <is>
          <t>X</t>
        </is>
      </c>
      <c r="DS174" t="inlineStr">
        <is>
          <t>R</t>
        </is>
      </c>
      <c r="DT174" t="inlineStr">
        <is>
          <t>R</t>
        </is>
      </c>
      <c r="DU174" t="inlineStr">
        <is>
          <t>X</t>
        </is>
      </c>
      <c r="DW174" t="inlineStr">
        <is>
          <t>X</t>
        </is>
      </c>
      <c r="DX174" t="inlineStr">
        <is>
          <t>X</t>
        </is>
      </c>
      <c r="EA174" t="inlineStr">
        <is>
          <t>X</t>
        </is>
      </c>
      <c r="ED174" t="inlineStr">
        <is>
          <t>R</t>
        </is>
      </c>
      <c r="EF174" t="inlineStr">
        <is>
          <t>X</t>
        </is>
      </c>
      <c r="EH174" t="inlineStr">
        <is>
          <t>X</t>
        </is>
      </c>
    </row>
    <row r="175">
      <c r="A175" t="inlineStr">
        <is>
          <t>OH0027302753</t>
        </is>
      </c>
      <c r="B175" t="n">
        <v>78</v>
      </c>
      <c r="C175" t="n">
        <v>484507</v>
      </c>
      <c r="D175" t="inlineStr">
        <is>
          <t>CARTER</t>
        </is>
      </c>
      <c r="E175" t="inlineStr">
        <is>
          <t>KENNETH</t>
        </is>
      </c>
      <c r="F175">
        <f>CONCATENATE(D175," ",LEFT(H175,4),"T=",AU175,"D=",AV175,"R=",AW175,"M=",AX175,"L=",AY175,"B=",AZ175)</f>
        <v/>
      </c>
      <c r="G175" t="inlineStr">
        <is>
          <t>L</t>
        </is>
      </c>
      <c r="H175" t="inlineStr">
        <is>
          <t>III</t>
        </is>
      </c>
      <c r="I175" t="inlineStr">
        <is>
          <t>1989-05-06</t>
        </is>
      </c>
      <c r="J175" t="inlineStr">
        <is>
          <t>2024-04-03</t>
        </is>
      </c>
      <c r="K175" t="inlineStr">
        <is>
          <t>ACTIVE</t>
        </is>
      </c>
      <c r="M175" t="inlineStr">
        <is>
          <t>426 LAIRD AVE SE</t>
        </is>
      </c>
      <c r="N175">
        <f>RIGHT(M175,LEN(M175)-FIND(" ",M175))</f>
        <v/>
      </c>
      <c r="O175" t="inlineStr">
        <is>
          <t>APT A</t>
        </is>
      </c>
      <c r="P175" t="inlineStr">
        <is>
          <t>WARREN</t>
        </is>
      </c>
      <c r="Q175" t="inlineStr">
        <is>
          <t>OH</t>
        </is>
      </c>
      <c r="R175" t="n">
        <v>44483</v>
      </c>
      <c r="S175" t="n">
        <v>6062</v>
      </c>
      <c r="AD175" t="inlineStr">
        <is>
          <t>TRUMBULL CAREER &amp; TECH CENTER</t>
        </is>
      </c>
      <c r="AE175" t="inlineStr">
        <is>
          <t>WARREN CITY</t>
        </is>
      </c>
      <c r="AF175" t="inlineStr">
        <is>
          <t>WARREN CITY SD</t>
        </is>
      </c>
      <c r="AH175" t="n">
        <v>14</v>
      </c>
      <c r="AI175" t="n">
        <v>11</v>
      </c>
      <c r="AN175" t="inlineStr">
        <is>
          <t>WARREN</t>
        </is>
      </c>
      <c r="AO175" t="inlineStr">
        <is>
          <t>WARREN CITY 4A</t>
        </is>
      </c>
      <c r="AP175" t="inlineStr">
        <is>
          <t>78-P-ADI</t>
        </is>
      </c>
      <c r="AQ175" t="n">
        <v>9</v>
      </c>
      <c r="AR175" t="n">
        <v>64</v>
      </c>
      <c r="AS175" t="n">
        <v>32</v>
      </c>
      <c r="AU175">
        <f>COUNTA($BA$175:$EH$175)</f>
        <v/>
      </c>
      <c r="AV175">
        <f>COUNTIF($BA$175:$EH$175,"D")</f>
        <v/>
      </c>
      <c r="AW175">
        <f>COUNTIF($BA$175:$EH$175,"R")</f>
        <v/>
      </c>
      <c r="AX175">
        <f>IF(BN175="D",1,0)+IF(BO175="D",1,0)+IF(BT175="D",1,0)+IF(BU175="D",1,0)+IF(BW175="D",1,0)+IF(CC175="D",1,0)+IF(CD175="D",1,0)+IF(CE175="D",1,0)+IF(CF175="D",1,0)+IF(CL175="D",1,0)+IF(CM175="D",1,0)+IF(CQ175="D",1,0)+IF(CR175="D",1,0)+IF(CS175="D",1,0)+IF(CW175="D",1,0)+IF(CX175="D",1,0)+IF(DD175="D",1,0)+IF(DE175="D",1,0)+IF(DJ175="D",1,0)+IF(DK175="D",1,0)+IF(DO175="D",1,0)+IF(DP175="D",1,0)+IF(DQ175="D",1,0)+IF(DW175="D",1,0)+IF(DZ175="D",1,0)+IF(EH175="D",1,0)</f>
        <v/>
      </c>
      <c r="AY175">
        <f>IF(DJ175&lt;&gt;"",1,0)+IF(DK175&lt;&gt;"",1,0)+IF(DM175&lt;&gt;"",1,0)+IF(DO175&lt;&gt;"",1,0)+IF(DP175&lt;&gt;"",1,0)+IF(DQ175&lt;&gt;"",1,0)+IF(DS175&lt;&gt;"",1,0)+IF(DT175&lt;&gt;"",1,0)+IF(DV175&lt;&gt;"",1,0)+IF(DW175&lt;&gt;"",1,0)+IF(DX175&lt;&gt;"",1,0)+IF(DY175&lt;&gt;"",1,0)+IF(DZ175&lt;&gt;"",1,0)+IF(EB175&lt;&gt;"",1,0)+IF(EC175&lt;&gt;"",1,0)+IF(ED175&lt;&gt;"",1,0)+IF(EG175&lt;&gt;"",1,0)+IF(EH175&lt;&gt;"",1,0)</f>
        <v/>
      </c>
      <c r="AZ175">
        <f>IF(EH175&lt;&gt;"",1,0)</f>
        <v/>
      </c>
      <c r="BB175" t="inlineStr">
        <is>
          <t>WARREN-WARD 4</t>
        </is>
      </c>
      <c r="EF175" t="inlineStr">
        <is>
          <t>X</t>
        </is>
      </c>
    </row>
    <row r="176">
      <c r="A176" t="inlineStr">
        <is>
          <t>OH0027497738</t>
        </is>
      </c>
      <c r="B176" t="n">
        <v>78</v>
      </c>
      <c r="C176" t="n">
        <v>487134</v>
      </c>
      <c r="D176" t="inlineStr">
        <is>
          <t>FUDGE</t>
        </is>
      </c>
      <c r="E176" t="inlineStr">
        <is>
          <t>JAMIR</t>
        </is>
      </c>
      <c r="F176">
        <f>CONCATENATE(D176," ",LEFT(H176,4),"T=",AU176,"D=",AV176,"R=",AW176,"M=",AX176,"L=",AY176,"B=",AZ176)</f>
        <v/>
      </c>
      <c r="G176" t="inlineStr">
        <is>
          <t>K</t>
        </is>
      </c>
      <c r="H176" t="inlineStr">
        <is>
          <t>SR</t>
        </is>
      </c>
      <c r="I176" t="inlineStr">
        <is>
          <t>1995-11-29</t>
        </is>
      </c>
      <c r="J176" t="inlineStr">
        <is>
          <t>2024-08-01</t>
        </is>
      </c>
      <c r="K176" t="inlineStr">
        <is>
          <t>ACTIVE</t>
        </is>
      </c>
      <c r="M176" t="inlineStr">
        <is>
          <t>386 LAIRD AVE SE</t>
        </is>
      </c>
      <c r="N176">
        <f>RIGHT(M176,LEN(M176)-FIND(" ",M176))</f>
        <v/>
      </c>
      <c r="P176" t="inlineStr">
        <is>
          <t>WARREN</t>
        </is>
      </c>
      <c r="Q176" t="inlineStr">
        <is>
          <t>OH</t>
        </is>
      </c>
      <c r="R176" t="n">
        <v>44483</v>
      </c>
      <c r="AD176" t="inlineStr">
        <is>
          <t>TRUMBULL CAREER &amp; TECH CENTER</t>
        </is>
      </c>
      <c r="AE176" t="inlineStr">
        <is>
          <t>WARREN CITY</t>
        </is>
      </c>
      <c r="AF176" t="inlineStr">
        <is>
          <t>WARREN CITY SD</t>
        </is>
      </c>
      <c r="AH176" t="n">
        <v>14</v>
      </c>
      <c r="AI176" t="n">
        <v>11</v>
      </c>
      <c r="AN176" t="inlineStr">
        <is>
          <t>WARREN</t>
        </is>
      </c>
      <c r="AO176" t="inlineStr">
        <is>
          <t>WARREN CITY 4A</t>
        </is>
      </c>
      <c r="AP176" t="inlineStr">
        <is>
          <t>78-P-ADI</t>
        </is>
      </c>
      <c r="AQ176" t="n">
        <v>9</v>
      </c>
      <c r="AR176" t="n">
        <v>64</v>
      </c>
      <c r="AS176" t="n">
        <v>32</v>
      </c>
      <c r="AU176">
        <f>COUNTA($BA$176:$EH$176)</f>
        <v/>
      </c>
      <c r="AV176">
        <f>COUNTIF($BA$176:$EH$176,"D")</f>
        <v/>
      </c>
      <c r="AW176">
        <f>COUNTIF($BA$176:$EH$176,"R")</f>
        <v/>
      </c>
      <c r="AX176">
        <f>IF(BN176="D",1,0)+IF(BO176="D",1,0)+IF(BT176="D",1,0)+IF(BU176="D",1,0)+IF(BW176="D",1,0)+IF(CC176="D",1,0)+IF(CD176="D",1,0)+IF(CE176="D",1,0)+IF(CF176="D",1,0)+IF(CL176="D",1,0)+IF(CM176="D",1,0)+IF(CQ176="D",1,0)+IF(CR176="D",1,0)+IF(CS176="D",1,0)+IF(CW176="D",1,0)+IF(CX176="D",1,0)+IF(DD176="D",1,0)+IF(DE176="D",1,0)+IF(DJ176="D",1,0)+IF(DK176="D",1,0)+IF(DO176="D",1,0)+IF(DP176="D",1,0)+IF(DQ176="D",1,0)+IF(DW176="D",1,0)+IF(DZ176="D",1,0)+IF(EH176="D",1,0)</f>
        <v/>
      </c>
      <c r="AY176">
        <f>IF(DJ176&lt;&gt;"",1,0)+IF(DK176&lt;&gt;"",1,0)+IF(DM176&lt;&gt;"",1,0)+IF(DO176&lt;&gt;"",1,0)+IF(DP176&lt;&gt;"",1,0)+IF(DQ176&lt;&gt;"",1,0)+IF(DS176&lt;&gt;"",1,0)+IF(DT176&lt;&gt;"",1,0)+IF(DV176&lt;&gt;"",1,0)+IF(DW176&lt;&gt;"",1,0)+IF(DX176&lt;&gt;"",1,0)+IF(DY176&lt;&gt;"",1,0)+IF(DZ176&lt;&gt;"",1,0)+IF(EB176&lt;&gt;"",1,0)+IF(EC176&lt;&gt;"",1,0)+IF(ED176&lt;&gt;"",1,0)+IF(EG176&lt;&gt;"",1,0)+IF(EH176&lt;&gt;"",1,0)</f>
        <v/>
      </c>
      <c r="AZ176">
        <f>IF(EH176&lt;&gt;"",1,0)</f>
        <v/>
      </c>
      <c r="BB176" t="inlineStr">
        <is>
          <t>WARREN-WARD 4</t>
        </is>
      </c>
    </row>
    <row r="177">
      <c r="A177" t="inlineStr">
        <is>
          <t>OH0027789036</t>
        </is>
      </c>
      <c r="B177" t="n">
        <v>78</v>
      </c>
      <c r="C177" t="n">
        <v>491760</v>
      </c>
      <c r="D177" t="inlineStr">
        <is>
          <t>BRECKNER</t>
        </is>
      </c>
      <c r="E177" t="inlineStr">
        <is>
          <t>KARLEY</t>
        </is>
      </c>
      <c r="F177">
        <f>CONCATENATE(D177," ",LEFT(H177,4),"T=",AU177,"D=",AV177,"R=",AW177,"M=",AX177,"L=",AY177,"B=",AZ177)</f>
        <v/>
      </c>
      <c r="G177" t="inlineStr">
        <is>
          <t>ROSE</t>
        </is>
      </c>
      <c r="I177" t="inlineStr">
        <is>
          <t>2002-04-03</t>
        </is>
      </c>
      <c r="J177" t="inlineStr">
        <is>
          <t>2024-11-05</t>
        </is>
      </c>
      <c r="K177" t="inlineStr">
        <is>
          <t>ACTIVE</t>
        </is>
      </c>
      <c r="M177" t="inlineStr">
        <is>
          <t>395 HOMEWOOD AVE SE</t>
        </is>
      </c>
      <c r="N177">
        <f>RIGHT(M177,LEN(M177)-FIND(" ",M177))</f>
        <v/>
      </c>
      <c r="P177" t="inlineStr">
        <is>
          <t>WARREN</t>
        </is>
      </c>
      <c r="Q177" t="inlineStr">
        <is>
          <t>OH</t>
        </is>
      </c>
      <c r="R177" t="n">
        <v>44483</v>
      </c>
      <c r="AD177" t="inlineStr">
        <is>
          <t>TRUMBULL CAREER &amp; TECH CENTER</t>
        </is>
      </c>
      <c r="AE177" t="inlineStr">
        <is>
          <t>WARREN CITY</t>
        </is>
      </c>
      <c r="AF177" t="inlineStr">
        <is>
          <t>WARREN CITY SD</t>
        </is>
      </c>
      <c r="AH177" t="n">
        <v>14</v>
      </c>
      <c r="AI177" t="n">
        <v>11</v>
      </c>
      <c r="AN177" t="inlineStr">
        <is>
          <t>WARREN</t>
        </is>
      </c>
      <c r="AO177" t="inlineStr">
        <is>
          <t>WARREN CITY 4A</t>
        </is>
      </c>
      <c r="AP177" t="inlineStr">
        <is>
          <t>78-P-ADI</t>
        </is>
      </c>
      <c r="AQ177" t="n">
        <v>9</v>
      </c>
      <c r="AR177" t="n">
        <v>64</v>
      </c>
      <c r="AS177" t="n">
        <v>32</v>
      </c>
      <c r="AU177">
        <f>COUNTA($BA$177:$EH$177)</f>
        <v/>
      </c>
      <c r="AV177">
        <f>COUNTIF($BA$177:$EH$177,"D")</f>
        <v/>
      </c>
      <c r="AW177">
        <f>COUNTIF($BA$177:$EH$177,"R")</f>
        <v/>
      </c>
      <c r="AX177">
        <f>IF(BN177="D",1,0)+IF(BO177="D",1,0)+IF(BT177="D",1,0)+IF(BU177="D",1,0)+IF(BW177="D",1,0)+IF(CC177="D",1,0)+IF(CD177="D",1,0)+IF(CE177="D",1,0)+IF(CF177="D",1,0)+IF(CL177="D",1,0)+IF(CM177="D",1,0)+IF(CQ177="D",1,0)+IF(CR177="D",1,0)+IF(CS177="D",1,0)+IF(CW177="D",1,0)+IF(CX177="D",1,0)+IF(DD177="D",1,0)+IF(DE177="D",1,0)+IF(DJ177="D",1,0)+IF(DK177="D",1,0)+IF(DO177="D",1,0)+IF(DP177="D",1,0)+IF(DQ177="D",1,0)+IF(DW177="D",1,0)+IF(DZ177="D",1,0)+IF(EH177="D",1,0)</f>
        <v/>
      </c>
      <c r="AY177">
        <f>IF(DJ177&lt;&gt;"",1,0)+IF(DK177&lt;&gt;"",1,0)+IF(DM177&lt;&gt;"",1,0)+IF(DO177&lt;&gt;"",1,0)+IF(DP177&lt;&gt;"",1,0)+IF(DQ177&lt;&gt;"",1,0)+IF(DS177&lt;&gt;"",1,0)+IF(DT177&lt;&gt;"",1,0)+IF(DV177&lt;&gt;"",1,0)+IF(DW177&lt;&gt;"",1,0)+IF(DX177&lt;&gt;"",1,0)+IF(DY177&lt;&gt;"",1,0)+IF(DZ177&lt;&gt;"",1,0)+IF(EB177&lt;&gt;"",1,0)+IF(EC177&lt;&gt;"",1,0)+IF(ED177&lt;&gt;"",1,0)+IF(EG177&lt;&gt;"",1,0)+IF(EH177&lt;&gt;"",1,0)</f>
        <v/>
      </c>
      <c r="AZ177">
        <f>IF(EH177&lt;&gt;"",1,0)</f>
        <v/>
      </c>
      <c r="BB177" t="inlineStr">
        <is>
          <t>WARREN-WARD 4</t>
        </is>
      </c>
      <c r="DN177" t="inlineStr">
        <is>
          <t>X</t>
        </is>
      </c>
      <c r="EF177" t="inlineStr">
        <is>
          <t>X</t>
        </is>
      </c>
    </row>
    <row r="178">
      <c r="A178" t="inlineStr">
        <is>
          <t>OH0015718846</t>
        </is>
      </c>
      <c r="B178" t="n">
        <v>78</v>
      </c>
      <c r="C178" t="n">
        <v>197565</v>
      </c>
      <c r="D178" t="inlineStr">
        <is>
          <t>STARR</t>
        </is>
      </c>
      <c r="E178" t="inlineStr">
        <is>
          <t>JANET</t>
        </is>
      </c>
      <c r="F178">
        <f>CONCATENATE(D178," ",LEFT(H178,4),"T=",AU178,"D=",AV178,"R=",AW178,"M=",AX178,"L=",AY178,"B=",AZ178)</f>
        <v/>
      </c>
      <c r="G178" t="inlineStr">
        <is>
          <t>M</t>
        </is>
      </c>
      <c r="I178" t="inlineStr">
        <is>
          <t>1958-05-15</t>
        </is>
      </c>
      <c r="J178" t="inlineStr">
        <is>
          <t>2015-08-24</t>
        </is>
      </c>
      <c r="K178" t="inlineStr">
        <is>
          <t>ACTIVE</t>
        </is>
      </c>
      <c r="L178" t="inlineStr">
        <is>
          <t>D</t>
        </is>
      </c>
      <c r="M178" t="inlineStr">
        <is>
          <t>841 OAK KNOLL AVE SE</t>
        </is>
      </c>
      <c r="N178">
        <f>RIGHT(M178,LEN(M178)-FIND(" ",M178))</f>
        <v/>
      </c>
      <c r="P178" t="inlineStr">
        <is>
          <t>WARREN</t>
        </is>
      </c>
      <c r="Q178" t="inlineStr">
        <is>
          <t>OH</t>
        </is>
      </c>
      <c r="R178" t="n">
        <v>44484</v>
      </c>
      <c r="AD178" t="inlineStr">
        <is>
          <t>TRUMBULL CAREER &amp; TECH CENTER</t>
        </is>
      </c>
      <c r="AE178" t="inlineStr">
        <is>
          <t>WARREN CITY</t>
        </is>
      </c>
      <c r="AF178" t="inlineStr">
        <is>
          <t>WARREN CITY SD</t>
        </is>
      </c>
      <c r="AH178" t="n">
        <v>14</v>
      </c>
      <c r="AI178" t="n">
        <v>11</v>
      </c>
      <c r="AN178" t="inlineStr">
        <is>
          <t>WARREN</t>
        </is>
      </c>
      <c r="AO178" t="inlineStr">
        <is>
          <t>WARREN CITY 4A</t>
        </is>
      </c>
      <c r="AP178" t="inlineStr">
        <is>
          <t>78-P-ADI</t>
        </is>
      </c>
      <c r="AQ178" t="n">
        <v>9</v>
      </c>
      <c r="AR178" t="n">
        <v>64</v>
      </c>
      <c r="AS178" t="n">
        <v>32</v>
      </c>
      <c r="AU178">
        <f>COUNTA($BA$178:$EH$178)</f>
        <v/>
      </c>
      <c r="AV178">
        <f>COUNTIF($BA$178:$EH$178,"D")</f>
        <v/>
      </c>
      <c r="AW178">
        <f>COUNTIF($BA$178:$EH$178,"R")</f>
        <v/>
      </c>
      <c r="AX178">
        <f>IF(BN178="D",1,0)+IF(BO178="D",1,0)+IF(BT178="D",1,0)+IF(BU178="D",1,0)+IF(BW178="D",1,0)+IF(CC178="D",1,0)+IF(CD178="D",1,0)+IF(CE178="D",1,0)+IF(CF178="D",1,0)+IF(CL178="D",1,0)+IF(CM178="D",1,0)+IF(CQ178="D",1,0)+IF(CR178="D",1,0)+IF(CS178="D",1,0)+IF(CW178="D",1,0)+IF(CX178="D",1,0)+IF(DD178="D",1,0)+IF(DE178="D",1,0)+IF(DJ178="D",1,0)+IF(DK178="D",1,0)+IF(DO178="D",1,0)+IF(DP178="D",1,0)+IF(DQ178="D",1,0)+IF(DW178="D",1,0)+IF(DZ178="D",1,0)+IF(EH178="D",1,0)</f>
        <v/>
      </c>
      <c r="AY178">
        <f>IF(DJ178&lt;&gt;"",1,0)+IF(DK178&lt;&gt;"",1,0)+IF(DM178&lt;&gt;"",1,0)+IF(DO178&lt;&gt;"",1,0)+IF(DP178&lt;&gt;"",1,0)+IF(DQ178&lt;&gt;"",1,0)+IF(DS178&lt;&gt;"",1,0)+IF(DT178&lt;&gt;"",1,0)+IF(DV178&lt;&gt;"",1,0)+IF(DW178&lt;&gt;"",1,0)+IF(DX178&lt;&gt;"",1,0)+IF(DY178&lt;&gt;"",1,0)+IF(DZ178&lt;&gt;"",1,0)+IF(EB178&lt;&gt;"",1,0)+IF(EC178&lt;&gt;"",1,0)+IF(ED178&lt;&gt;"",1,0)+IF(EG178&lt;&gt;"",1,0)+IF(EH178&lt;&gt;"",1,0)</f>
        <v/>
      </c>
      <c r="AZ178">
        <f>IF(EH178&lt;&gt;"",1,0)</f>
        <v/>
      </c>
      <c r="BB178" t="inlineStr">
        <is>
          <t>WARREN-WARD 4</t>
        </is>
      </c>
      <c r="BC178" t="inlineStr">
        <is>
          <t>X</t>
        </is>
      </c>
      <c r="BD178" t="inlineStr">
        <is>
          <t>X</t>
        </is>
      </c>
      <c r="BE178" t="inlineStr">
        <is>
          <t>X</t>
        </is>
      </c>
      <c r="BF178" t="inlineStr">
        <is>
          <t>X</t>
        </is>
      </c>
      <c r="BH178" t="inlineStr">
        <is>
          <t>X</t>
        </is>
      </c>
      <c r="BI178" t="inlineStr">
        <is>
          <t>X</t>
        </is>
      </c>
      <c r="BJ178" t="inlineStr">
        <is>
          <t>X</t>
        </is>
      </c>
      <c r="BK178" t="inlineStr">
        <is>
          <t>X</t>
        </is>
      </c>
      <c r="BL178" t="inlineStr">
        <is>
          <t>X</t>
        </is>
      </c>
      <c r="BR178" t="inlineStr">
        <is>
          <t>X</t>
        </is>
      </c>
      <c r="BS178" t="inlineStr">
        <is>
          <t>X</t>
        </is>
      </c>
      <c r="BY178" t="inlineStr">
        <is>
          <t>D</t>
        </is>
      </c>
      <c r="CA178" t="inlineStr">
        <is>
          <t>X</t>
        </is>
      </c>
      <c r="CN178" t="inlineStr">
        <is>
          <t>X</t>
        </is>
      </c>
      <c r="CP178" t="inlineStr">
        <is>
          <t>X</t>
        </is>
      </c>
      <c r="CY178" t="inlineStr">
        <is>
          <t>X</t>
        </is>
      </c>
      <c r="DC178" t="inlineStr">
        <is>
          <t>X</t>
        </is>
      </c>
      <c r="DI178" t="inlineStr">
        <is>
          <t>X</t>
        </is>
      </c>
      <c r="DN178" t="inlineStr">
        <is>
          <t>X</t>
        </is>
      </c>
      <c r="DX178" t="inlineStr">
        <is>
          <t>X</t>
        </is>
      </c>
      <c r="EA178" t="inlineStr">
        <is>
          <t>X</t>
        </is>
      </c>
      <c r="ED178" t="inlineStr">
        <is>
          <t>D</t>
        </is>
      </c>
      <c r="EF178" t="inlineStr">
        <is>
          <t>X</t>
        </is>
      </c>
    </row>
    <row r="179">
      <c r="A179" t="inlineStr">
        <is>
          <t>OH0027789043</t>
        </is>
      </c>
      <c r="B179" t="n">
        <v>78</v>
      </c>
      <c r="C179" t="n">
        <v>491747</v>
      </c>
      <c r="D179" t="inlineStr">
        <is>
          <t>COTTO CANCEL</t>
        </is>
      </c>
      <c r="E179" t="inlineStr">
        <is>
          <t>JOELIANYS</t>
        </is>
      </c>
      <c r="F179">
        <f>CONCATENATE(D179," ",LEFT(H179,4),"T=",AU179,"D=",AV179,"R=",AW179,"M=",AX179,"L=",AY179,"B=",AZ179)</f>
        <v/>
      </c>
      <c r="G179" t="inlineStr">
        <is>
          <t>MARIE</t>
        </is>
      </c>
      <c r="I179" t="inlineStr">
        <is>
          <t>1998-10-03</t>
        </is>
      </c>
      <c r="J179" t="inlineStr">
        <is>
          <t>2024-11-05</t>
        </is>
      </c>
      <c r="K179" t="inlineStr">
        <is>
          <t>ACTIVE</t>
        </is>
      </c>
      <c r="M179" t="inlineStr">
        <is>
          <t>314 ADELAIDE AVE SE</t>
        </is>
      </c>
      <c r="N179">
        <f>RIGHT(M179,LEN(M179)-FIND(" ",M179))</f>
        <v/>
      </c>
      <c r="P179" t="inlineStr">
        <is>
          <t>WARREN</t>
        </is>
      </c>
      <c r="Q179" t="inlineStr">
        <is>
          <t>OH</t>
        </is>
      </c>
      <c r="R179" t="n">
        <v>44483</v>
      </c>
      <c r="AD179" t="inlineStr">
        <is>
          <t>TRUMBULL CAREER &amp; TECH CENTER</t>
        </is>
      </c>
      <c r="AE179" t="inlineStr">
        <is>
          <t>WARREN CITY</t>
        </is>
      </c>
      <c r="AF179" t="inlineStr">
        <is>
          <t>WARREN CITY SD</t>
        </is>
      </c>
      <c r="AH179" t="n">
        <v>14</v>
      </c>
      <c r="AI179" t="n">
        <v>11</v>
      </c>
      <c r="AN179" t="inlineStr">
        <is>
          <t>WARREN</t>
        </is>
      </c>
      <c r="AO179" t="inlineStr">
        <is>
          <t>WARREN CITY 4A</t>
        </is>
      </c>
      <c r="AP179" t="inlineStr">
        <is>
          <t>78-P-ADI</t>
        </is>
      </c>
      <c r="AQ179" t="n">
        <v>9</v>
      </c>
      <c r="AR179" t="n">
        <v>64</v>
      </c>
      <c r="AS179" t="n">
        <v>32</v>
      </c>
      <c r="AU179">
        <f>COUNTA($BA$179:$EH$179)</f>
        <v/>
      </c>
      <c r="AV179">
        <f>COUNTIF($BA$179:$EH$179,"D")</f>
        <v/>
      </c>
      <c r="AW179">
        <f>COUNTIF($BA$179:$EH$179,"R")</f>
        <v/>
      </c>
      <c r="AX179">
        <f>IF(BN179="D",1,0)+IF(BO179="D",1,0)+IF(BT179="D",1,0)+IF(BU179="D",1,0)+IF(BW179="D",1,0)+IF(CC179="D",1,0)+IF(CD179="D",1,0)+IF(CE179="D",1,0)+IF(CF179="D",1,0)+IF(CL179="D",1,0)+IF(CM179="D",1,0)+IF(CQ179="D",1,0)+IF(CR179="D",1,0)+IF(CS179="D",1,0)+IF(CW179="D",1,0)+IF(CX179="D",1,0)+IF(DD179="D",1,0)+IF(DE179="D",1,0)+IF(DJ179="D",1,0)+IF(DK179="D",1,0)+IF(DO179="D",1,0)+IF(DP179="D",1,0)+IF(DQ179="D",1,0)+IF(DW179="D",1,0)+IF(DZ179="D",1,0)+IF(EH179="D",1,0)</f>
        <v/>
      </c>
      <c r="AY179">
        <f>IF(DJ179&lt;&gt;"",1,0)+IF(DK179&lt;&gt;"",1,0)+IF(DM179&lt;&gt;"",1,0)+IF(DO179&lt;&gt;"",1,0)+IF(DP179&lt;&gt;"",1,0)+IF(DQ179&lt;&gt;"",1,0)+IF(DS179&lt;&gt;"",1,0)+IF(DT179&lt;&gt;"",1,0)+IF(DV179&lt;&gt;"",1,0)+IF(DW179&lt;&gt;"",1,0)+IF(DX179&lt;&gt;"",1,0)+IF(DY179&lt;&gt;"",1,0)+IF(DZ179&lt;&gt;"",1,0)+IF(EB179&lt;&gt;"",1,0)+IF(EC179&lt;&gt;"",1,0)+IF(ED179&lt;&gt;"",1,0)+IF(EG179&lt;&gt;"",1,0)+IF(EH179&lt;&gt;"",1,0)</f>
        <v/>
      </c>
      <c r="AZ179">
        <f>IF(EH179&lt;&gt;"",1,0)</f>
        <v/>
      </c>
      <c r="BB179" t="inlineStr">
        <is>
          <t>WARREN-WARD 4</t>
        </is>
      </c>
      <c r="EA179" t="inlineStr">
        <is>
          <t>X</t>
        </is>
      </c>
      <c r="ED179" t="inlineStr">
        <is>
          <t>X</t>
        </is>
      </c>
      <c r="EF179" t="inlineStr">
        <is>
          <t>X</t>
        </is>
      </c>
    </row>
    <row r="180">
      <c r="A180" t="inlineStr">
        <is>
          <t>OH0024515725</t>
        </is>
      </c>
      <c r="B180" t="n">
        <v>78</v>
      </c>
      <c r="C180" t="n">
        <v>429711</v>
      </c>
      <c r="D180" t="inlineStr">
        <is>
          <t>NAGY</t>
        </is>
      </c>
      <c r="E180" t="inlineStr">
        <is>
          <t>ISABELLA</t>
        </is>
      </c>
      <c r="F180">
        <f>CONCATENATE(D180," ",LEFT(H180,4),"T=",AU180,"D=",AV180,"R=",AW180,"M=",AX180,"L=",AY180,"B=",AZ180)</f>
        <v/>
      </c>
      <c r="G180" t="inlineStr">
        <is>
          <t>HELENE</t>
        </is>
      </c>
      <c r="I180" t="inlineStr">
        <is>
          <t>1999-10-16</t>
        </is>
      </c>
      <c r="J180" t="inlineStr">
        <is>
          <t>2018-02-06</t>
        </is>
      </c>
      <c r="K180" t="inlineStr">
        <is>
          <t>ACTIVE</t>
        </is>
      </c>
      <c r="L180" t="inlineStr">
        <is>
          <t>R</t>
        </is>
      </c>
      <c r="M180" t="inlineStr">
        <is>
          <t>170 KENILWORTH AVE SE</t>
        </is>
      </c>
      <c r="N180">
        <f>RIGHT(M180,LEN(M180)-FIND(" ",M180))</f>
        <v/>
      </c>
      <c r="P180" t="inlineStr">
        <is>
          <t>WARREN</t>
        </is>
      </c>
      <c r="Q180" t="inlineStr">
        <is>
          <t>OH</t>
        </is>
      </c>
      <c r="R180" t="n">
        <v>44483</v>
      </c>
      <c r="AD180" t="inlineStr">
        <is>
          <t>TRUMBULL CAREER &amp; TECH CENTER</t>
        </is>
      </c>
      <c r="AE180" t="inlineStr">
        <is>
          <t>WARREN CITY</t>
        </is>
      </c>
      <c r="AF180" t="inlineStr">
        <is>
          <t>WARREN CITY SD</t>
        </is>
      </c>
      <c r="AH180" t="n">
        <v>14</v>
      </c>
      <c r="AI180" t="n">
        <v>11</v>
      </c>
      <c r="AN180" t="inlineStr">
        <is>
          <t>WARREN</t>
        </is>
      </c>
      <c r="AO180" t="inlineStr">
        <is>
          <t>WARREN CITY 4A</t>
        </is>
      </c>
      <c r="AP180" t="inlineStr">
        <is>
          <t>78-P-ADI</t>
        </is>
      </c>
      <c r="AQ180" t="n">
        <v>9</v>
      </c>
      <c r="AR180" t="n">
        <v>64</v>
      </c>
      <c r="AS180" t="n">
        <v>32</v>
      </c>
      <c r="AU180">
        <f>COUNTA($BA$180:$EH$180)</f>
        <v/>
      </c>
      <c r="AV180">
        <f>COUNTIF($BA$180:$EH$180,"D")</f>
        <v/>
      </c>
      <c r="AW180">
        <f>COUNTIF($BA$180:$EH$180,"R")</f>
        <v/>
      </c>
      <c r="AX180">
        <f>IF(BN180="D",1,0)+IF(BO180="D",1,0)+IF(BT180="D",1,0)+IF(BU180="D",1,0)+IF(BW180="D",1,0)+IF(CC180="D",1,0)+IF(CD180="D",1,0)+IF(CE180="D",1,0)+IF(CF180="D",1,0)+IF(CL180="D",1,0)+IF(CM180="D",1,0)+IF(CQ180="D",1,0)+IF(CR180="D",1,0)+IF(CS180="D",1,0)+IF(CW180="D",1,0)+IF(CX180="D",1,0)+IF(DD180="D",1,0)+IF(DE180="D",1,0)+IF(DJ180="D",1,0)+IF(DK180="D",1,0)+IF(DO180="D",1,0)+IF(DP180="D",1,0)+IF(DQ180="D",1,0)+IF(DW180="D",1,0)+IF(DZ180="D",1,0)+IF(EH180="D",1,0)</f>
        <v/>
      </c>
      <c r="AY180">
        <f>IF(DJ180&lt;&gt;"",1,0)+IF(DK180&lt;&gt;"",1,0)+IF(DM180&lt;&gt;"",1,0)+IF(DO180&lt;&gt;"",1,0)+IF(DP180&lt;&gt;"",1,0)+IF(DQ180&lt;&gt;"",1,0)+IF(DS180&lt;&gt;"",1,0)+IF(DT180&lt;&gt;"",1,0)+IF(DV180&lt;&gt;"",1,0)+IF(DW180&lt;&gt;"",1,0)+IF(DX180&lt;&gt;"",1,0)+IF(DY180&lt;&gt;"",1,0)+IF(DZ180&lt;&gt;"",1,0)+IF(EB180&lt;&gt;"",1,0)+IF(EC180&lt;&gt;"",1,0)+IF(ED180&lt;&gt;"",1,0)+IF(EG180&lt;&gt;"",1,0)+IF(EH180&lt;&gt;"",1,0)</f>
        <v/>
      </c>
      <c r="AZ180">
        <f>IF(EH180&lt;&gt;"",1,0)</f>
        <v/>
      </c>
      <c r="BB180" t="inlineStr">
        <is>
          <t>WARREN-WARD 4</t>
        </is>
      </c>
      <c r="DG180" t="inlineStr">
        <is>
          <t>R</t>
        </is>
      </c>
      <c r="DN180" t="inlineStr">
        <is>
          <t>X</t>
        </is>
      </c>
      <c r="DT180" t="inlineStr">
        <is>
          <t>R</t>
        </is>
      </c>
      <c r="DW180" t="inlineStr">
        <is>
          <t>X</t>
        </is>
      </c>
      <c r="ED180" t="inlineStr">
        <is>
          <t>R</t>
        </is>
      </c>
      <c r="EF180" t="inlineStr">
        <is>
          <t>X</t>
        </is>
      </c>
    </row>
    <row r="181">
      <c r="A181" t="inlineStr">
        <is>
          <t>OH0025131297</t>
        </is>
      </c>
      <c r="B181" t="n">
        <v>78</v>
      </c>
      <c r="C181" t="n">
        <v>440186</v>
      </c>
      <c r="D181" t="inlineStr">
        <is>
          <t>SPITZER</t>
        </is>
      </c>
      <c r="E181" t="inlineStr">
        <is>
          <t>ERIC</t>
        </is>
      </c>
      <c r="F181">
        <f>CONCATENATE(D181," ",LEFT(H181,4),"T=",AU181,"D=",AV181,"R=",AW181,"M=",AX181,"L=",AY181,"B=",AZ181)</f>
        <v/>
      </c>
      <c r="G181" t="inlineStr">
        <is>
          <t>MATTHEW</t>
        </is>
      </c>
      <c r="I181" t="inlineStr">
        <is>
          <t>1985-03-22</t>
        </is>
      </c>
      <c r="J181" t="inlineStr">
        <is>
          <t>2025-06-19</t>
        </is>
      </c>
      <c r="K181" t="inlineStr">
        <is>
          <t>ACTIVE</t>
        </is>
      </c>
      <c r="M181" t="inlineStr">
        <is>
          <t>526 LAIRD AVE SE</t>
        </is>
      </c>
      <c r="N181">
        <f>RIGHT(M181,LEN(M181)-FIND(" ",M181))</f>
        <v/>
      </c>
      <c r="P181" t="inlineStr">
        <is>
          <t>WARREN</t>
        </is>
      </c>
      <c r="Q181" t="inlineStr">
        <is>
          <t>OH</t>
        </is>
      </c>
      <c r="R181" t="n">
        <v>44484</v>
      </c>
      <c r="AD181" t="inlineStr">
        <is>
          <t>TRUMBULL CAREER &amp; TECH CENTER</t>
        </is>
      </c>
      <c r="AE181" t="inlineStr">
        <is>
          <t>WARREN CITY</t>
        </is>
      </c>
      <c r="AF181" t="inlineStr">
        <is>
          <t>WARREN CITY SD</t>
        </is>
      </c>
      <c r="AH181" t="n">
        <v>14</v>
      </c>
      <c r="AI181" t="n">
        <v>11</v>
      </c>
      <c r="AN181" t="inlineStr">
        <is>
          <t>WARREN</t>
        </is>
      </c>
      <c r="AO181" t="inlineStr">
        <is>
          <t>WARREN CITY 4A</t>
        </is>
      </c>
      <c r="AP181" t="inlineStr">
        <is>
          <t>78-P-ADI</t>
        </is>
      </c>
      <c r="AQ181" t="n">
        <v>9</v>
      </c>
      <c r="AR181" t="n">
        <v>64</v>
      </c>
      <c r="AS181" t="n">
        <v>32</v>
      </c>
      <c r="AU181">
        <f>COUNTA($BA$181:$EH$181)</f>
        <v/>
      </c>
      <c r="AV181">
        <f>COUNTIF($BA$181:$EH$181,"D")</f>
        <v/>
      </c>
      <c r="AW181">
        <f>COUNTIF($BA$181:$EH$181,"R")</f>
        <v/>
      </c>
      <c r="AX181">
        <f>IF(BN181="D",1,0)+IF(BO181="D",1,0)+IF(BT181="D",1,0)+IF(BU181="D",1,0)+IF(BW181="D",1,0)+IF(CC181="D",1,0)+IF(CD181="D",1,0)+IF(CE181="D",1,0)+IF(CF181="D",1,0)+IF(CL181="D",1,0)+IF(CM181="D",1,0)+IF(CQ181="D",1,0)+IF(CR181="D",1,0)+IF(CS181="D",1,0)+IF(CW181="D",1,0)+IF(CX181="D",1,0)+IF(DD181="D",1,0)+IF(DE181="D",1,0)+IF(DJ181="D",1,0)+IF(DK181="D",1,0)+IF(DO181="D",1,0)+IF(DP181="D",1,0)+IF(DQ181="D",1,0)+IF(DW181="D",1,0)+IF(DZ181="D",1,0)+IF(EH181="D",1,0)</f>
        <v/>
      </c>
      <c r="AY181">
        <f>IF(DJ181&lt;&gt;"",1,0)+IF(DK181&lt;&gt;"",1,0)+IF(DM181&lt;&gt;"",1,0)+IF(DO181&lt;&gt;"",1,0)+IF(DP181&lt;&gt;"",1,0)+IF(DQ181&lt;&gt;"",1,0)+IF(DS181&lt;&gt;"",1,0)+IF(DT181&lt;&gt;"",1,0)+IF(DV181&lt;&gt;"",1,0)+IF(DW181&lt;&gt;"",1,0)+IF(DX181&lt;&gt;"",1,0)+IF(DY181&lt;&gt;"",1,0)+IF(DZ181&lt;&gt;"",1,0)+IF(EB181&lt;&gt;"",1,0)+IF(EC181&lt;&gt;"",1,0)+IF(ED181&lt;&gt;"",1,0)+IF(EG181&lt;&gt;"",1,0)+IF(EH181&lt;&gt;"",1,0)</f>
        <v/>
      </c>
      <c r="AZ181">
        <f>IF(EH181&lt;&gt;"",1,0)</f>
        <v/>
      </c>
      <c r="BB181" t="inlineStr">
        <is>
          <t>WARREN-WARD 4</t>
        </is>
      </c>
      <c r="BS181" t="inlineStr">
        <is>
          <t>X</t>
        </is>
      </c>
      <c r="DN181" t="inlineStr">
        <is>
          <t>X</t>
        </is>
      </c>
      <c r="DU181" t="inlineStr">
        <is>
          <t>X</t>
        </is>
      </c>
      <c r="DX181" t="inlineStr">
        <is>
          <t>X</t>
        </is>
      </c>
      <c r="EA181" t="inlineStr">
        <is>
          <t>X</t>
        </is>
      </c>
      <c r="EF181" t="inlineStr">
        <is>
          <t>X</t>
        </is>
      </c>
    </row>
    <row r="182">
      <c r="A182" t="inlineStr">
        <is>
          <t>OH0018616619</t>
        </is>
      </c>
      <c r="B182" t="n">
        <v>78</v>
      </c>
      <c r="C182" t="n">
        <v>341863</v>
      </c>
      <c r="D182" t="inlineStr">
        <is>
          <t>LIMBECK</t>
        </is>
      </c>
      <c r="E182" t="inlineStr">
        <is>
          <t>DANIEL</t>
        </is>
      </c>
      <c r="F182">
        <f>CONCATENATE(D182," ",LEFT(H182,4),"T=",AU182,"D=",AV182,"R=",AW182,"M=",AX182,"L=",AY182,"B=",AZ182)</f>
        <v/>
      </c>
      <c r="G182" t="inlineStr">
        <is>
          <t>M</t>
        </is>
      </c>
      <c r="I182" t="inlineStr">
        <is>
          <t>1983-04-23</t>
        </is>
      </c>
      <c r="J182" t="inlineStr">
        <is>
          <t>2023-08-29</t>
        </is>
      </c>
      <c r="K182" t="inlineStr">
        <is>
          <t>ACTIVE</t>
        </is>
      </c>
      <c r="M182" t="inlineStr">
        <is>
          <t>816 HOMEWOOD AVE SE</t>
        </is>
      </c>
      <c r="N182">
        <f>RIGHT(M182,LEN(M182)-FIND(" ",M182))</f>
        <v/>
      </c>
      <c r="P182" t="inlineStr">
        <is>
          <t>WARREN</t>
        </is>
      </c>
      <c r="Q182" t="inlineStr">
        <is>
          <t>OH</t>
        </is>
      </c>
      <c r="R182" t="n">
        <v>44484</v>
      </c>
      <c r="AD182" t="inlineStr">
        <is>
          <t>TRUMBULL CAREER &amp; TECH CENTER</t>
        </is>
      </c>
      <c r="AE182" t="inlineStr">
        <is>
          <t>WARREN CITY</t>
        </is>
      </c>
      <c r="AF182" t="inlineStr">
        <is>
          <t>WARREN CITY SD</t>
        </is>
      </c>
      <c r="AH182" t="n">
        <v>14</v>
      </c>
      <c r="AI182" t="n">
        <v>11</v>
      </c>
      <c r="AN182" t="inlineStr">
        <is>
          <t>WARREN</t>
        </is>
      </c>
      <c r="AO182" t="inlineStr">
        <is>
          <t>WARREN CITY 4A</t>
        </is>
      </c>
      <c r="AP182" t="inlineStr">
        <is>
          <t>78-P-ADI</t>
        </is>
      </c>
      <c r="AQ182" t="n">
        <v>9</v>
      </c>
      <c r="AR182" t="n">
        <v>64</v>
      </c>
      <c r="AS182" t="n">
        <v>32</v>
      </c>
      <c r="AU182">
        <f>COUNTA($BA$182:$EH$182)</f>
        <v/>
      </c>
      <c r="AV182">
        <f>COUNTIF($BA$182:$EH$182,"D")</f>
        <v/>
      </c>
      <c r="AW182">
        <f>COUNTIF($BA$182:$EH$182,"R")</f>
        <v/>
      </c>
      <c r="AX182">
        <f>IF(BN182="D",1,0)+IF(BO182="D",1,0)+IF(BT182="D",1,0)+IF(BU182="D",1,0)+IF(BW182="D",1,0)+IF(CC182="D",1,0)+IF(CD182="D",1,0)+IF(CE182="D",1,0)+IF(CF182="D",1,0)+IF(CL182="D",1,0)+IF(CM182="D",1,0)+IF(CQ182="D",1,0)+IF(CR182="D",1,0)+IF(CS182="D",1,0)+IF(CW182="D",1,0)+IF(CX182="D",1,0)+IF(DD182="D",1,0)+IF(DE182="D",1,0)+IF(DJ182="D",1,0)+IF(DK182="D",1,0)+IF(DO182="D",1,0)+IF(DP182="D",1,0)+IF(DQ182="D",1,0)+IF(DW182="D",1,0)+IF(DZ182="D",1,0)+IF(EH182="D",1,0)</f>
        <v/>
      </c>
      <c r="AY182">
        <f>IF(DJ182&lt;&gt;"",1,0)+IF(DK182&lt;&gt;"",1,0)+IF(DM182&lt;&gt;"",1,0)+IF(DO182&lt;&gt;"",1,0)+IF(DP182&lt;&gt;"",1,0)+IF(DQ182&lt;&gt;"",1,0)+IF(DS182&lt;&gt;"",1,0)+IF(DT182&lt;&gt;"",1,0)+IF(DV182&lt;&gt;"",1,0)+IF(DW182&lt;&gt;"",1,0)+IF(DX182&lt;&gt;"",1,0)+IF(DY182&lt;&gt;"",1,0)+IF(DZ182&lt;&gt;"",1,0)+IF(EB182&lt;&gt;"",1,0)+IF(EC182&lt;&gt;"",1,0)+IF(ED182&lt;&gt;"",1,0)+IF(EG182&lt;&gt;"",1,0)+IF(EH182&lt;&gt;"",1,0)</f>
        <v/>
      </c>
      <c r="AZ182">
        <f>IF(EH182&lt;&gt;"",1,0)</f>
        <v/>
      </c>
      <c r="BB182" t="inlineStr">
        <is>
          <t>WARREN-WARD 4</t>
        </is>
      </c>
      <c r="CA182" t="inlineStr">
        <is>
          <t>X</t>
        </is>
      </c>
      <c r="CK182" t="inlineStr">
        <is>
          <t>X</t>
        </is>
      </c>
      <c r="CZ182" t="inlineStr">
        <is>
          <t>R</t>
        </is>
      </c>
      <c r="DC182" t="inlineStr">
        <is>
          <t>X</t>
        </is>
      </c>
      <c r="DG182" t="inlineStr">
        <is>
          <t>R</t>
        </is>
      </c>
      <c r="DI182" t="inlineStr">
        <is>
          <t>X</t>
        </is>
      </c>
      <c r="DL182" t="inlineStr">
        <is>
          <t>X</t>
        </is>
      </c>
      <c r="DN182" t="inlineStr">
        <is>
          <t>X</t>
        </is>
      </c>
      <c r="DU182" t="inlineStr">
        <is>
          <t>X</t>
        </is>
      </c>
      <c r="DX182" t="inlineStr">
        <is>
          <t>X</t>
        </is>
      </c>
    </row>
    <row r="183">
      <c r="A183" t="inlineStr">
        <is>
          <t>OH0015793490</t>
        </is>
      </c>
      <c r="B183" t="n">
        <v>78</v>
      </c>
      <c r="C183" t="n">
        <v>274971</v>
      </c>
      <c r="D183" t="inlineStr">
        <is>
          <t>ROBSON</t>
        </is>
      </c>
      <c r="E183" t="inlineStr">
        <is>
          <t>BRUCE</t>
        </is>
      </c>
      <c r="F183">
        <f>CONCATENATE(D183," ",LEFT(H183,4),"T=",AU183,"D=",AV183,"R=",AW183,"M=",AX183,"L=",AY183,"B=",AZ183)</f>
        <v/>
      </c>
      <c r="G183" t="inlineStr">
        <is>
          <t>E</t>
        </is>
      </c>
      <c r="I183" t="inlineStr">
        <is>
          <t>1964-12-11</t>
        </is>
      </c>
      <c r="J183" t="inlineStr">
        <is>
          <t>2010-09-28</t>
        </is>
      </c>
      <c r="K183" t="inlineStr">
        <is>
          <t>ACTIVE</t>
        </is>
      </c>
      <c r="L183" t="inlineStr">
        <is>
          <t>R</t>
        </is>
      </c>
      <c r="M183" t="inlineStr">
        <is>
          <t>780 OAK KNOLL AVE SE</t>
        </is>
      </c>
      <c r="N183">
        <f>RIGHT(M183,LEN(M183)-FIND(" ",M183))</f>
        <v/>
      </c>
      <c r="P183" t="inlineStr">
        <is>
          <t>WARREN</t>
        </is>
      </c>
      <c r="Q183" t="inlineStr">
        <is>
          <t>OH</t>
        </is>
      </c>
      <c r="R183" t="n">
        <v>44484</v>
      </c>
      <c r="AD183" t="inlineStr">
        <is>
          <t>TRUMBULL CAREER &amp; TECH CENTER</t>
        </is>
      </c>
      <c r="AE183" t="inlineStr">
        <is>
          <t>WARREN CITY</t>
        </is>
      </c>
      <c r="AF183" t="inlineStr">
        <is>
          <t>WARREN CITY SD</t>
        </is>
      </c>
      <c r="AH183" t="n">
        <v>14</v>
      </c>
      <c r="AI183" t="n">
        <v>11</v>
      </c>
      <c r="AN183" t="inlineStr">
        <is>
          <t>WARREN</t>
        </is>
      </c>
      <c r="AO183" t="inlineStr">
        <is>
          <t>WARREN CITY 4A</t>
        </is>
      </c>
      <c r="AP183" t="inlineStr">
        <is>
          <t>78-P-ADI</t>
        </is>
      </c>
      <c r="AQ183" t="n">
        <v>9</v>
      </c>
      <c r="AR183" t="n">
        <v>64</v>
      </c>
      <c r="AS183" t="n">
        <v>32</v>
      </c>
      <c r="AU183">
        <f>COUNTA($BA$183:$EH$183)</f>
        <v/>
      </c>
      <c r="AV183">
        <f>COUNTIF($BA$183:$EH$183,"D")</f>
        <v/>
      </c>
      <c r="AW183">
        <f>COUNTIF($BA$183:$EH$183,"R")</f>
        <v/>
      </c>
      <c r="AX183">
        <f>IF(BN183="D",1,0)+IF(BO183="D",1,0)+IF(BT183="D",1,0)+IF(BU183="D",1,0)+IF(BW183="D",1,0)+IF(CC183="D",1,0)+IF(CD183="D",1,0)+IF(CE183="D",1,0)+IF(CF183="D",1,0)+IF(CL183="D",1,0)+IF(CM183="D",1,0)+IF(CQ183="D",1,0)+IF(CR183="D",1,0)+IF(CS183="D",1,0)+IF(CW183="D",1,0)+IF(CX183="D",1,0)+IF(DD183="D",1,0)+IF(DE183="D",1,0)+IF(DJ183="D",1,0)+IF(DK183="D",1,0)+IF(DO183="D",1,0)+IF(DP183="D",1,0)+IF(DQ183="D",1,0)+IF(DW183="D",1,0)+IF(DZ183="D",1,0)+IF(EH183="D",1,0)</f>
        <v/>
      </c>
      <c r="AY183">
        <f>IF(DJ183&lt;&gt;"",1,0)+IF(DK183&lt;&gt;"",1,0)+IF(DM183&lt;&gt;"",1,0)+IF(DO183&lt;&gt;"",1,0)+IF(DP183&lt;&gt;"",1,0)+IF(DQ183&lt;&gt;"",1,0)+IF(DS183&lt;&gt;"",1,0)+IF(DT183&lt;&gt;"",1,0)+IF(DV183&lt;&gt;"",1,0)+IF(DW183&lt;&gt;"",1,0)+IF(DX183&lt;&gt;"",1,0)+IF(DY183&lt;&gt;"",1,0)+IF(DZ183&lt;&gt;"",1,0)+IF(EB183&lt;&gt;"",1,0)+IF(EC183&lt;&gt;"",1,0)+IF(ED183&lt;&gt;"",1,0)+IF(EG183&lt;&gt;"",1,0)+IF(EH183&lt;&gt;"",1,0)</f>
        <v/>
      </c>
      <c r="AZ183">
        <f>IF(EH183&lt;&gt;"",1,0)</f>
        <v/>
      </c>
      <c r="BB183" t="inlineStr">
        <is>
          <t>WARREN-WARD 4</t>
        </is>
      </c>
      <c r="BC183" t="inlineStr">
        <is>
          <t>X</t>
        </is>
      </c>
      <c r="BD183" t="inlineStr">
        <is>
          <t>X</t>
        </is>
      </c>
      <c r="BH183" t="inlineStr">
        <is>
          <t>X</t>
        </is>
      </c>
      <c r="BK183" t="inlineStr">
        <is>
          <t>X</t>
        </is>
      </c>
      <c r="BL183" t="inlineStr">
        <is>
          <t>X</t>
        </is>
      </c>
      <c r="BS183" t="inlineStr">
        <is>
          <t>X</t>
        </is>
      </c>
      <c r="BY183" t="inlineStr">
        <is>
          <t>R</t>
        </is>
      </c>
      <c r="CA183" t="inlineStr">
        <is>
          <t>X</t>
        </is>
      </c>
      <c r="CK183" t="inlineStr">
        <is>
          <t>X</t>
        </is>
      </c>
      <c r="CN183" t="inlineStr">
        <is>
          <t>X</t>
        </is>
      </c>
      <c r="CO183" t="inlineStr">
        <is>
          <t>R</t>
        </is>
      </c>
      <c r="CP183" t="inlineStr">
        <is>
          <t>X</t>
        </is>
      </c>
      <c r="CV183" t="inlineStr">
        <is>
          <t>X</t>
        </is>
      </c>
      <c r="CY183" t="inlineStr">
        <is>
          <t>X</t>
        </is>
      </c>
      <c r="CZ183" t="inlineStr">
        <is>
          <t>R</t>
        </is>
      </c>
      <c r="DC183" t="inlineStr">
        <is>
          <t>X</t>
        </is>
      </c>
      <c r="DF183" t="inlineStr">
        <is>
          <t>X</t>
        </is>
      </c>
      <c r="DI183" t="inlineStr">
        <is>
          <t>X</t>
        </is>
      </c>
      <c r="DL183" t="inlineStr">
        <is>
          <t>X</t>
        </is>
      </c>
      <c r="DM183" t="inlineStr">
        <is>
          <t>R</t>
        </is>
      </c>
      <c r="DN183" t="inlineStr">
        <is>
          <t>X</t>
        </is>
      </c>
      <c r="DS183" t="inlineStr">
        <is>
          <t>R</t>
        </is>
      </c>
      <c r="DU183" t="inlineStr">
        <is>
          <t>X</t>
        </is>
      </c>
      <c r="DX183" t="inlineStr">
        <is>
          <t>X</t>
        </is>
      </c>
      <c r="EA183" t="inlineStr">
        <is>
          <t>X</t>
        </is>
      </c>
      <c r="ED183" t="inlineStr">
        <is>
          <t>R</t>
        </is>
      </c>
      <c r="EF183" t="inlineStr">
        <is>
          <t>X</t>
        </is>
      </c>
    </row>
    <row r="184">
      <c r="A184" t="inlineStr">
        <is>
          <t>OH0025809494</t>
        </is>
      </c>
      <c r="B184" t="n">
        <v>78</v>
      </c>
      <c r="C184" t="n">
        <v>450908</v>
      </c>
      <c r="D184" t="inlineStr">
        <is>
          <t>KOON</t>
        </is>
      </c>
      <c r="E184" t="inlineStr">
        <is>
          <t>TARA</t>
        </is>
      </c>
      <c r="F184">
        <f>CONCATENATE(D184," ",LEFT(H184,4),"T=",AU184,"D=",AV184,"R=",AW184,"M=",AX184,"L=",AY184,"B=",AZ184)</f>
        <v/>
      </c>
      <c r="G184" t="inlineStr">
        <is>
          <t>LYNN</t>
        </is>
      </c>
      <c r="I184" t="inlineStr">
        <is>
          <t>1981-06-10</t>
        </is>
      </c>
      <c r="J184" t="inlineStr">
        <is>
          <t>2023-08-03</t>
        </is>
      </c>
      <c r="K184" t="inlineStr">
        <is>
          <t>ACTIVE</t>
        </is>
      </c>
      <c r="M184" t="inlineStr">
        <is>
          <t>368 KENILWORTH AVE SE</t>
        </is>
      </c>
      <c r="N184">
        <f>RIGHT(M184,LEN(M184)-FIND(" ",M184))</f>
        <v/>
      </c>
      <c r="P184" t="inlineStr">
        <is>
          <t>WARREN</t>
        </is>
      </c>
      <c r="Q184" t="inlineStr">
        <is>
          <t>OH</t>
        </is>
      </c>
      <c r="R184" t="n">
        <v>44483</v>
      </c>
      <c r="AD184" t="inlineStr">
        <is>
          <t>TRUMBULL CAREER &amp; TECH CENTER</t>
        </is>
      </c>
      <c r="AE184" t="inlineStr">
        <is>
          <t>WARREN CITY</t>
        </is>
      </c>
      <c r="AF184" t="inlineStr">
        <is>
          <t>WARREN CITY SD</t>
        </is>
      </c>
      <c r="AH184" t="n">
        <v>14</v>
      </c>
      <c r="AI184" t="n">
        <v>11</v>
      </c>
      <c r="AN184" t="inlineStr">
        <is>
          <t>WARREN</t>
        </is>
      </c>
      <c r="AO184" t="inlineStr">
        <is>
          <t>WARREN CITY 4A</t>
        </is>
      </c>
      <c r="AP184" t="inlineStr">
        <is>
          <t>78-P-ADI</t>
        </is>
      </c>
      <c r="AQ184" t="n">
        <v>9</v>
      </c>
      <c r="AR184" t="n">
        <v>64</v>
      </c>
      <c r="AS184" t="n">
        <v>32</v>
      </c>
      <c r="AU184">
        <f>COUNTA($BA$184:$EH$184)</f>
        <v/>
      </c>
      <c r="AV184">
        <f>COUNTIF($BA$184:$EH$184,"D")</f>
        <v/>
      </c>
      <c r="AW184">
        <f>COUNTIF($BA$184:$EH$184,"R")</f>
        <v/>
      </c>
      <c r="AX184">
        <f>IF(BN184="D",1,0)+IF(BO184="D",1,0)+IF(BT184="D",1,0)+IF(BU184="D",1,0)+IF(BW184="D",1,0)+IF(CC184="D",1,0)+IF(CD184="D",1,0)+IF(CE184="D",1,0)+IF(CF184="D",1,0)+IF(CL184="D",1,0)+IF(CM184="D",1,0)+IF(CQ184="D",1,0)+IF(CR184="D",1,0)+IF(CS184="D",1,0)+IF(CW184="D",1,0)+IF(CX184="D",1,0)+IF(DD184="D",1,0)+IF(DE184="D",1,0)+IF(DJ184="D",1,0)+IF(DK184="D",1,0)+IF(DO184="D",1,0)+IF(DP184="D",1,0)+IF(DQ184="D",1,0)+IF(DW184="D",1,0)+IF(DZ184="D",1,0)+IF(EH184="D",1,0)</f>
        <v/>
      </c>
      <c r="AY184">
        <f>IF(DJ184&lt;&gt;"",1,0)+IF(DK184&lt;&gt;"",1,0)+IF(DM184&lt;&gt;"",1,0)+IF(DO184&lt;&gt;"",1,0)+IF(DP184&lt;&gt;"",1,0)+IF(DQ184&lt;&gt;"",1,0)+IF(DS184&lt;&gt;"",1,0)+IF(DT184&lt;&gt;"",1,0)+IF(DV184&lt;&gt;"",1,0)+IF(DW184&lt;&gt;"",1,0)+IF(DX184&lt;&gt;"",1,0)+IF(DY184&lt;&gt;"",1,0)+IF(DZ184&lt;&gt;"",1,0)+IF(EB184&lt;&gt;"",1,0)+IF(EC184&lt;&gt;"",1,0)+IF(ED184&lt;&gt;"",1,0)+IF(EG184&lt;&gt;"",1,0)+IF(EH184&lt;&gt;"",1,0)</f>
        <v/>
      </c>
      <c r="AZ184">
        <f>IF(EH184&lt;&gt;"",1,0)</f>
        <v/>
      </c>
      <c r="BB184" t="inlineStr">
        <is>
          <t>WARREN-WARD 4</t>
        </is>
      </c>
      <c r="DN184" t="inlineStr">
        <is>
          <t>X</t>
        </is>
      </c>
    </row>
    <row r="185">
      <c r="A185" t="inlineStr">
        <is>
          <t>OH0025092093</t>
        </is>
      </c>
      <c r="B185" t="n">
        <v>78</v>
      </c>
      <c r="C185" t="n">
        <v>439245</v>
      </c>
      <c r="D185" t="inlineStr">
        <is>
          <t>SLATER</t>
        </is>
      </c>
      <c r="E185" t="inlineStr">
        <is>
          <t>LUKAS</t>
        </is>
      </c>
      <c r="F185">
        <f>CONCATENATE(D185," ",LEFT(H185,4),"T=",AU185,"D=",AV185,"R=",AW185,"M=",AX185,"L=",AY185,"B=",AZ185)</f>
        <v/>
      </c>
      <c r="G185" t="inlineStr">
        <is>
          <t>JC</t>
        </is>
      </c>
      <c r="I185" t="inlineStr">
        <is>
          <t>1989-10-03</t>
        </is>
      </c>
      <c r="J185" t="inlineStr">
        <is>
          <t>2021-11-28</t>
        </is>
      </c>
      <c r="K185" t="inlineStr">
        <is>
          <t>ACTIVE</t>
        </is>
      </c>
      <c r="M185" t="inlineStr">
        <is>
          <t>869 KENILWORTH AVE SE</t>
        </is>
      </c>
      <c r="N185">
        <f>RIGHT(M185,LEN(M185)-FIND(" ",M185))</f>
        <v/>
      </c>
      <c r="P185" t="inlineStr">
        <is>
          <t>WARREN</t>
        </is>
      </c>
      <c r="Q185" t="inlineStr">
        <is>
          <t>OH</t>
        </is>
      </c>
      <c r="R185" t="n">
        <v>44484</v>
      </c>
      <c r="AD185" t="inlineStr">
        <is>
          <t>TRUMBULL CAREER &amp; TECH CENTER</t>
        </is>
      </c>
      <c r="AE185" t="inlineStr">
        <is>
          <t>WARREN CITY</t>
        </is>
      </c>
      <c r="AF185" t="inlineStr">
        <is>
          <t>WARREN CITY SD</t>
        </is>
      </c>
      <c r="AH185" t="n">
        <v>14</v>
      </c>
      <c r="AI185" t="n">
        <v>11</v>
      </c>
      <c r="AN185" t="inlineStr">
        <is>
          <t>WARREN</t>
        </is>
      </c>
      <c r="AO185" t="inlineStr">
        <is>
          <t>WARREN CITY 4A</t>
        </is>
      </c>
      <c r="AP185" t="inlineStr">
        <is>
          <t>78-P-ADI</t>
        </is>
      </c>
      <c r="AQ185" t="n">
        <v>9</v>
      </c>
      <c r="AR185" t="n">
        <v>64</v>
      </c>
      <c r="AS185" t="n">
        <v>32</v>
      </c>
      <c r="AU185">
        <f>COUNTA($BA$185:$EH$185)</f>
        <v/>
      </c>
      <c r="AV185">
        <f>COUNTIF($BA$185:$EH$185,"D")</f>
        <v/>
      </c>
      <c r="AW185">
        <f>COUNTIF($BA$185:$EH$185,"R")</f>
        <v/>
      </c>
      <c r="AX185">
        <f>IF(BN185="D",1,0)+IF(BO185="D",1,0)+IF(BT185="D",1,0)+IF(BU185="D",1,0)+IF(BW185="D",1,0)+IF(CC185="D",1,0)+IF(CD185="D",1,0)+IF(CE185="D",1,0)+IF(CF185="D",1,0)+IF(CL185="D",1,0)+IF(CM185="D",1,0)+IF(CQ185="D",1,0)+IF(CR185="D",1,0)+IF(CS185="D",1,0)+IF(CW185="D",1,0)+IF(CX185="D",1,0)+IF(DD185="D",1,0)+IF(DE185="D",1,0)+IF(DJ185="D",1,0)+IF(DK185="D",1,0)+IF(DO185="D",1,0)+IF(DP185="D",1,0)+IF(DQ185="D",1,0)+IF(DW185="D",1,0)+IF(DZ185="D",1,0)+IF(EH185="D",1,0)</f>
        <v/>
      </c>
      <c r="AY185">
        <f>IF(DJ185&lt;&gt;"",1,0)+IF(DK185&lt;&gt;"",1,0)+IF(DM185&lt;&gt;"",1,0)+IF(DO185&lt;&gt;"",1,0)+IF(DP185&lt;&gt;"",1,0)+IF(DQ185&lt;&gt;"",1,0)+IF(DS185&lt;&gt;"",1,0)+IF(DT185&lt;&gt;"",1,0)+IF(DV185&lt;&gt;"",1,0)+IF(DW185&lt;&gt;"",1,0)+IF(DX185&lt;&gt;"",1,0)+IF(DY185&lt;&gt;"",1,0)+IF(DZ185&lt;&gt;"",1,0)+IF(EB185&lt;&gt;"",1,0)+IF(EC185&lt;&gt;"",1,0)+IF(ED185&lt;&gt;"",1,0)+IF(EG185&lt;&gt;"",1,0)+IF(EH185&lt;&gt;"",1,0)</f>
        <v/>
      </c>
      <c r="AZ185">
        <f>IF(EH185&lt;&gt;"",1,0)</f>
        <v/>
      </c>
      <c r="BB185" t="inlineStr">
        <is>
          <t>WARREN-WARD 4</t>
        </is>
      </c>
      <c r="DC185" t="inlineStr">
        <is>
          <t>X</t>
        </is>
      </c>
      <c r="DN185" t="inlineStr">
        <is>
          <t>X</t>
        </is>
      </c>
      <c r="DU185" t="inlineStr">
        <is>
          <t>X</t>
        </is>
      </c>
      <c r="EF185" t="inlineStr">
        <is>
          <t>X</t>
        </is>
      </c>
    </row>
    <row r="186">
      <c r="A186" t="inlineStr">
        <is>
          <t>OH0015764636</t>
        </is>
      </c>
      <c r="B186" t="n">
        <v>78</v>
      </c>
      <c r="C186" t="n">
        <v>252000</v>
      </c>
      <c r="D186" t="inlineStr">
        <is>
          <t>FOX</t>
        </is>
      </c>
      <c r="E186" t="inlineStr">
        <is>
          <t>CHARLES</t>
        </is>
      </c>
      <c r="F186">
        <f>CONCATENATE(D186," ",LEFT(H186,4),"T=",AU186,"D=",AV186,"R=",AW186,"M=",AX186,"L=",AY186,"B=",AZ186)</f>
        <v/>
      </c>
      <c r="G186" t="inlineStr">
        <is>
          <t>SAMUEL</t>
        </is>
      </c>
      <c r="I186" t="inlineStr">
        <is>
          <t>1952-01-19</t>
        </is>
      </c>
      <c r="J186" t="inlineStr">
        <is>
          <t>2020-10-21</t>
        </is>
      </c>
      <c r="K186" t="inlineStr">
        <is>
          <t>CONFIRMATION</t>
        </is>
      </c>
      <c r="M186" t="inlineStr">
        <is>
          <t>354 ADELAIDE AVE SE</t>
        </is>
      </c>
      <c r="N186">
        <f>RIGHT(M186,LEN(M186)-FIND(" ",M186))</f>
        <v/>
      </c>
      <c r="P186" t="inlineStr">
        <is>
          <t>WARREN</t>
        </is>
      </c>
      <c r="Q186" t="inlineStr">
        <is>
          <t>OH</t>
        </is>
      </c>
      <c r="R186" t="n">
        <v>44483</v>
      </c>
      <c r="AD186" t="inlineStr">
        <is>
          <t>TRUMBULL CAREER &amp; TECH CENTER</t>
        </is>
      </c>
      <c r="AE186" t="inlineStr">
        <is>
          <t>WARREN CITY</t>
        </is>
      </c>
      <c r="AF186" t="inlineStr">
        <is>
          <t>WARREN CITY SD</t>
        </is>
      </c>
      <c r="AH186" t="n">
        <v>14</v>
      </c>
      <c r="AI186" t="n">
        <v>11</v>
      </c>
      <c r="AN186" t="inlineStr">
        <is>
          <t>WARREN</t>
        </is>
      </c>
      <c r="AO186" t="inlineStr">
        <is>
          <t>WARREN CITY 4A</t>
        </is>
      </c>
      <c r="AP186" t="inlineStr">
        <is>
          <t>78-P-ADI</t>
        </is>
      </c>
      <c r="AQ186" t="n">
        <v>9</v>
      </c>
      <c r="AR186" t="n">
        <v>64</v>
      </c>
      <c r="AS186" t="n">
        <v>32</v>
      </c>
      <c r="AU186">
        <f>COUNTA($BA$186:$EH$186)</f>
        <v/>
      </c>
      <c r="AV186">
        <f>COUNTIF($BA$186:$EH$186,"D")</f>
        <v/>
      </c>
      <c r="AW186">
        <f>COUNTIF($BA$186:$EH$186,"R")</f>
        <v/>
      </c>
      <c r="AX186">
        <f>IF(BN186="D",1,0)+IF(BO186="D",1,0)+IF(BT186="D",1,0)+IF(BU186="D",1,0)+IF(BW186="D",1,0)+IF(CC186="D",1,0)+IF(CD186="D",1,0)+IF(CE186="D",1,0)+IF(CF186="D",1,0)+IF(CL186="D",1,0)+IF(CM186="D",1,0)+IF(CQ186="D",1,0)+IF(CR186="D",1,0)+IF(CS186="D",1,0)+IF(CW186="D",1,0)+IF(CX186="D",1,0)+IF(DD186="D",1,0)+IF(DE186="D",1,0)+IF(DJ186="D",1,0)+IF(DK186="D",1,0)+IF(DO186="D",1,0)+IF(DP186="D",1,0)+IF(DQ186="D",1,0)+IF(DW186="D",1,0)+IF(DZ186="D",1,0)+IF(EH186="D",1,0)</f>
        <v/>
      </c>
      <c r="AY186">
        <f>IF(DJ186&lt;&gt;"",1,0)+IF(DK186&lt;&gt;"",1,0)+IF(DM186&lt;&gt;"",1,0)+IF(DO186&lt;&gt;"",1,0)+IF(DP186&lt;&gt;"",1,0)+IF(DQ186&lt;&gt;"",1,0)+IF(DS186&lt;&gt;"",1,0)+IF(DT186&lt;&gt;"",1,0)+IF(DV186&lt;&gt;"",1,0)+IF(DW186&lt;&gt;"",1,0)+IF(DX186&lt;&gt;"",1,0)+IF(DY186&lt;&gt;"",1,0)+IF(DZ186&lt;&gt;"",1,0)+IF(EB186&lt;&gt;"",1,0)+IF(EC186&lt;&gt;"",1,0)+IF(ED186&lt;&gt;"",1,0)+IF(EG186&lt;&gt;"",1,0)+IF(EH186&lt;&gt;"",1,0)</f>
        <v/>
      </c>
      <c r="AZ186">
        <f>IF(EH186&lt;&gt;"",1,0)</f>
        <v/>
      </c>
      <c r="BB186" t="inlineStr">
        <is>
          <t>WARREN-WARD 4</t>
        </is>
      </c>
      <c r="BC186" t="inlineStr">
        <is>
          <t>X</t>
        </is>
      </c>
      <c r="BD186" t="inlineStr">
        <is>
          <t>X</t>
        </is>
      </c>
      <c r="BE186" t="inlineStr">
        <is>
          <t>X</t>
        </is>
      </c>
      <c r="BH186" t="inlineStr">
        <is>
          <t>X</t>
        </is>
      </c>
      <c r="BK186" t="inlineStr">
        <is>
          <t>X</t>
        </is>
      </c>
      <c r="BL186" t="inlineStr">
        <is>
          <t>X</t>
        </is>
      </c>
      <c r="BP186" t="inlineStr">
        <is>
          <t>X</t>
        </is>
      </c>
      <c r="BS186" t="inlineStr">
        <is>
          <t>X</t>
        </is>
      </c>
      <c r="BY186" t="inlineStr">
        <is>
          <t>D</t>
        </is>
      </c>
      <c r="CA186" t="inlineStr">
        <is>
          <t>X</t>
        </is>
      </c>
      <c r="CG186" t="inlineStr">
        <is>
          <t>X</t>
        </is>
      </c>
      <c r="CN186" t="inlineStr">
        <is>
          <t>X</t>
        </is>
      </c>
      <c r="CP186" t="inlineStr">
        <is>
          <t>X</t>
        </is>
      </c>
      <c r="CV186" t="inlineStr">
        <is>
          <t>X</t>
        </is>
      </c>
      <c r="CY186" t="inlineStr">
        <is>
          <t>X</t>
        </is>
      </c>
      <c r="DC186" t="inlineStr">
        <is>
          <t>X</t>
        </is>
      </c>
      <c r="DF186" t="inlineStr">
        <is>
          <t>X</t>
        </is>
      </c>
      <c r="DU186" t="inlineStr">
        <is>
          <t>X</t>
        </is>
      </c>
    </row>
    <row r="187">
      <c r="A187" t="inlineStr">
        <is>
          <t>OH0018955995</t>
        </is>
      </c>
      <c r="B187" t="n">
        <v>78</v>
      </c>
      <c r="C187" t="n">
        <v>345988</v>
      </c>
      <c r="D187" t="inlineStr">
        <is>
          <t>POLING</t>
        </is>
      </c>
      <c r="E187" t="inlineStr">
        <is>
          <t>LINDA</t>
        </is>
      </c>
      <c r="F187">
        <f>CONCATENATE(D187," ",LEFT(H187,4),"T=",AU187,"D=",AV187,"R=",AW187,"M=",AX187,"L=",AY187,"B=",AZ187)</f>
        <v/>
      </c>
      <c r="G187" t="inlineStr">
        <is>
          <t>L</t>
        </is>
      </c>
      <c r="I187" t="inlineStr">
        <is>
          <t>1965-08-24</t>
        </is>
      </c>
      <c r="J187" t="inlineStr">
        <is>
          <t>2011-06-27</t>
        </is>
      </c>
      <c r="K187" t="inlineStr">
        <is>
          <t>ACTIVE</t>
        </is>
      </c>
      <c r="M187" t="inlineStr">
        <is>
          <t>940 OAK KNOLL AVE SE</t>
        </is>
      </c>
      <c r="N187">
        <f>RIGHT(M187,LEN(M187)-FIND(" ",M187))</f>
        <v/>
      </c>
      <c r="P187" t="inlineStr">
        <is>
          <t>WARREN</t>
        </is>
      </c>
      <c r="Q187" t="inlineStr">
        <is>
          <t>OH</t>
        </is>
      </c>
      <c r="R187" t="n">
        <v>44484</v>
      </c>
      <c r="AD187" t="inlineStr">
        <is>
          <t>TRUMBULL CAREER &amp; TECH CENTER</t>
        </is>
      </c>
      <c r="AE187" t="inlineStr">
        <is>
          <t>WARREN CITY</t>
        </is>
      </c>
      <c r="AF187" t="inlineStr">
        <is>
          <t>WARREN CITY SD</t>
        </is>
      </c>
      <c r="AH187" t="n">
        <v>14</v>
      </c>
      <c r="AI187" t="n">
        <v>11</v>
      </c>
      <c r="AN187" t="inlineStr">
        <is>
          <t>WARREN</t>
        </is>
      </c>
      <c r="AO187" t="inlineStr">
        <is>
          <t>WARREN CITY 4A</t>
        </is>
      </c>
      <c r="AP187" t="inlineStr">
        <is>
          <t>78-P-ADI</t>
        </is>
      </c>
      <c r="AQ187" t="n">
        <v>9</v>
      </c>
      <c r="AR187" t="n">
        <v>64</v>
      </c>
      <c r="AS187" t="n">
        <v>32</v>
      </c>
      <c r="AU187">
        <f>COUNTA($BA$187:$EH$187)</f>
        <v/>
      </c>
      <c r="AV187">
        <f>COUNTIF($BA$187:$EH$187,"D")</f>
        <v/>
      </c>
      <c r="AW187">
        <f>COUNTIF($BA$187:$EH$187,"R")</f>
        <v/>
      </c>
      <c r="AX187">
        <f>IF(BN187="D",1,0)+IF(BO187="D",1,0)+IF(BT187="D",1,0)+IF(BU187="D",1,0)+IF(BW187="D",1,0)+IF(CC187="D",1,0)+IF(CD187="D",1,0)+IF(CE187="D",1,0)+IF(CF187="D",1,0)+IF(CL187="D",1,0)+IF(CM187="D",1,0)+IF(CQ187="D",1,0)+IF(CR187="D",1,0)+IF(CS187="D",1,0)+IF(CW187="D",1,0)+IF(CX187="D",1,0)+IF(DD187="D",1,0)+IF(DE187="D",1,0)+IF(DJ187="D",1,0)+IF(DK187="D",1,0)+IF(DO187="D",1,0)+IF(DP187="D",1,0)+IF(DQ187="D",1,0)+IF(DW187="D",1,0)+IF(DZ187="D",1,0)+IF(EH187="D",1,0)</f>
        <v/>
      </c>
      <c r="AY187">
        <f>IF(DJ187&lt;&gt;"",1,0)+IF(DK187&lt;&gt;"",1,0)+IF(DM187&lt;&gt;"",1,0)+IF(DO187&lt;&gt;"",1,0)+IF(DP187&lt;&gt;"",1,0)+IF(DQ187&lt;&gt;"",1,0)+IF(DS187&lt;&gt;"",1,0)+IF(DT187&lt;&gt;"",1,0)+IF(DV187&lt;&gt;"",1,0)+IF(DW187&lt;&gt;"",1,0)+IF(DX187&lt;&gt;"",1,0)+IF(DY187&lt;&gt;"",1,0)+IF(DZ187&lt;&gt;"",1,0)+IF(EB187&lt;&gt;"",1,0)+IF(EC187&lt;&gt;"",1,0)+IF(ED187&lt;&gt;"",1,0)+IF(EG187&lt;&gt;"",1,0)+IF(EH187&lt;&gt;"",1,0)</f>
        <v/>
      </c>
      <c r="AZ187">
        <f>IF(EH187&lt;&gt;"",1,0)</f>
        <v/>
      </c>
      <c r="BB187" t="inlineStr">
        <is>
          <t>WARREN-WARD 4</t>
        </is>
      </c>
      <c r="BS187" t="inlineStr">
        <is>
          <t>X</t>
        </is>
      </c>
      <c r="CA187" t="inlineStr">
        <is>
          <t>X</t>
        </is>
      </c>
      <c r="CP187" t="inlineStr">
        <is>
          <t>X</t>
        </is>
      </c>
      <c r="CV187" t="inlineStr">
        <is>
          <t>X</t>
        </is>
      </c>
      <c r="DC187" t="inlineStr">
        <is>
          <t>X</t>
        </is>
      </c>
      <c r="DI187" t="inlineStr">
        <is>
          <t>X</t>
        </is>
      </c>
      <c r="DN187" t="inlineStr">
        <is>
          <t>X</t>
        </is>
      </c>
      <c r="EF187" t="inlineStr">
        <is>
          <t>X</t>
        </is>
      </c>
    </row>
    <row r="188">
      <c r="A188" t="inlineStr">
        <is>
          <t>OH0015967097</t>
        </is>
      </c>
      <c r="B188" t="n">
        <v>78</v>
      </c>
      <c r="C188" t="n">
        <v>335328</v>
      </c>
      <c r="D188" t="inlineStr">
        <is>
          <t>CHIARELLA</t>
        </is>
      </c>
      <c r="E188" t="inlineStr">
        <is>
          <t>PEGGY</t>
        </is>
      </c>
      <c r="F188">
        <f>CONCATENATE(D188," ",LEFT(H188,4),"T=",AU188,"D=",AV188,"R=",AW188,"M=",AX188,"L=",AY188,"B=",AZ188)</f>
        <v/>
      </c>
      <c r="G188" t="inlineStr">
        <is>
          <t>A</t>
        </is>
      </c>
      <c r="I188" t="inlineStr">
        <is>
          <t>1952-12-11</t>
        </is>
      </c>
      <c r="J188" t="inlineStr">
        <is>
          <t>2019-07-29</t>
        </is>
      </c>
      <c r="K188" t="inlineStr">
        <is>
          <t>ACTIVE</t>
        </is>
      </c>
      <c r="L188" t="inlineStr">
        <is>
          <t>R</t>
        </is>
      </c>
      <c r="M188" t="inlineStr">
        <is>
          <t>538 OAK KNOLL AVE SE</t>
        </is>
      </c>
      <c r="N188">
        <f>RIGHT(M188,LEN(M188)-FIND(" ",M188))</f>
        <v/>
      </c>
      <c r="P188" t="inlineStr">
        <is>
          <t>WARREN</t>
        </is>
      </c>
      <c r="Q188" t="inlineStr">
        <is>
          <t>OH</t>
        </is>
      </c>
      <c r="R188" t="n">
        <v>44483</v>
      </c>
      <c r="AD188" t="inlineStr">
        <is>
          <t>TRUMBULL CAREER &amp; TECH CENTER</t>
        </is>
      </c>
      <c r="AE188" t="inlineStr">
        <is>
          <t>WARREN CITY</t>
        </is>
      </c>
      <c r="AF188" t="inlineStr">
        <is>
          <t>WARREN CITY SD</t>
        </is>
      </c>
      <c r="AH188" t="n">
        <v>14</v>
      </c>
      <c r="AI188" t="n">
        <v>11</v>
      </c>
      <c r="AN188" t="inlineStr">
        <is>
          <t>WARREN</t>
        </is>
      </c>
      <c r="AO188" t="inlineStr">
        <is>
          <t>WARREN CITY 4A</t>
        </is>
      </c>
      <c r="AP188" t="inlineStr">
        <is>
          <t>78-P-ADI</t>
        </is>
      </c>
      <c r="AQ188" t="n">
        <v>9</v>
      </c>
      <c r="AR188" t="n">
        <v>64</v>
      </c>
      <c r="AS188" t="n">
        <v>32</v>
      </c>
      <c r="AU188">
        <f>COUNTA($BA$188:$EH$188)</f>
        <v/>
      </c>
      <c r="AV188">
        <f>COUNTIF($BA$188:$EH$188,"D")</f>
        <v/>
      </c>
      <c r="AW188">
        <f>COUNTIF($BA$188:$EH$188,"R")</f>
        <v/>
      </c>
      <c r="AX188">
        <f>IF(BN188="D",1,0)+IF(BO188="D",1,0)+IF(BT188="D",1,0)+IF(BU188="D",1,0)+IF(BW188="D",1,0)+IF(CC188="D",1,0)+IF(CD188="D",1,0)+IF(CE188="D",1,0)+IF(CF188="D",1,0)+IF(CL188="D",1,0)+IF(CM188="D",1,0)+IF(CQ188="D",1,0)+IF(CR188="D",1,0)+IF(CS188="D",1,0)+IF(CW188="D",1,0)+IF(CX188="D",1,0)+IF(DD188="D",1,0)+IF(DE188="D",1,0)+IF(DJ188="D",1,0)+IF(DK188="D",1,0)+IF(DO188="D",1,0)+IF(DP188="D",1,0)+IF(DQ188="D",1,0)+IF(DW188="D",1,0)+IF(DZ188="D",1,0)+IF(EH188="D",1,0)</f>
        <v/>
      </c>
      <c r="AY188">
        <f>IF(DJ188&lt;&gt;"",1,0)+IF(DK188&lt;&gt;"",1,0)+IF(DM188&lt;&gt;"",1,0)+IF(DO188&lt;&gt;"",1,0)+IF(DP188&lt;&gt;"",1,0)+IF(DQ188&lt;&gt;"",1,0)+IF(DS188&lt;&gt;"",1,0)+IF(DT188&lt;&gt;"",1,0)+IF(DV188&lt;&gt;"",1,0)+IF(DW188&lt;&gt;"",1,0)+IF(DX188&lt;&gt;"",1,0)+IF(DY188&lt;&gt;"",1,0)+IF(DZ188&lt;&gt;"",1,0)+IF(EB188&lt;&gt;"",1,0)+IF(EC188&lt;&gt;"",1,0)+IF(ED188&lt;&gt;"",1,0)+IF(EG188&lt;&gt;"",1,0)+IF(EH188&lt;&gt;"",1,0)</f>
        <v/>
      </c>
      <c r="AZ188">
        <f>IF(EH188&lt;&gt;"",1,0)</f>
        <v/>
      </c>
      <c r="BB188" t="inlineStr">
        <is>
          <t>WARREN-WARD 4</t>
        </is>
      </c>
      <c r="BL188" t="inlineStr">
        <is>
          <t>X</t>
        </is>
      </c>
      <c r="BS188" t="inlineStr">
        <is>
          <t>X</t>
        </is>
      </c>
      <c r="BY188" t="inlineStr">
        <is>
          <t>D</t>
        </is>
      </c>
      <c r="CA188" t="inlineStr">
        <is>
          <t>X</t>
        </is>
      </c>
      <c r="CK188" t="inlineStr">
        <is>
          <t>X</t>
        </is>
      </c>
      <c r="CP188" t="inlineStr">
        <is>
          <t>X</t>
        </is>
      </c>
      <c r="DM188" t="inlineStr">
        <is>
          <t>R</t>
        </is>
      </c>
      <c r="DN188" t="inlineStr">
        <is>
          <t>X</t>
        </is>
      </c>
      <c r="DS188" t="inlineStr">
        <is>
          <t>R</t>
        </is>
      </c>
      <c r="DU188" t="inlineStr">
        <is>
          <t>X</t>
        </is>
      </c>
      <c r="EA188" t="inlineStr">
        <is>
          <t>X</t>
        </is>
      </c>
      <c r="ED188" t="inlineStr">
        <is>
          <t>R</t>
        </is>
      </c>
      <c r="EF188" t="inlineStr">
        <is>
          <t>X</t>
        </is>
      </c>
    </row>
    <row r="189">
      <c r="A189" t="inlineStr">
        <is>
          <t>OH0025720694</t>
        </is>
      </c>
      <c r="B189" t="n">
        <v>78</v>
      </c>
      <c r="C189" t="n">
        <v>449394</v>
      </c>
      <c r="D189" t="inlineStr">
        <is>
          <t>MAIESE</t>
        </is>
      </c>
      <c r="E189" t="inlineStr">
        <is>
          <t>TERRY</t>
        </is>
      </c>
      <c r="F189">
        <f>CONCATENATE(D189," ",LEFT(H189,4),"T=",AU189,"D=",AV189,"R=",AW189,"M=",AX189,"L=",AY189,"B=",AZ189)</f>
        <v/>
      </c>
      <c r="G189" t="inlineStr">
        <is>
          <t>HOWARD</t>
        </is>
      </c>
      <c r="H189" t="inlineStr">
        <is>
          <t>JR</t>
        </is>
      </c>
      <c r="I189" t="inlineStr">
        <is>
          <t>1994-02-08</t>
        </is>
      </c>
      <c r="J189" t="inlineStr">
        <is>
          <t>2024-07-30</t>
        </is>
      </c>
      <c r="K189" t="inlineStr">
        <is>
          <t>ACTIVE</t>
        </is>
      </c>
      <c r="M189" t="inlineStr">
        <is>
          <t>681 WOODBINE AVE SE</t>
        </is>
      </c>
      <c r="N189">
        <f>RIGHT(M189,LEN(M189)-FIND(" ",M189))</f>
        <v/>
      </c>
      <c r="P189" t="inlineStr">
        <is>
          <t>WARREN</t>
        </is>
      </c>
      <c r="Q189" t="inlineStr">
        <is>
          <t>OH</t>
        </is>
      </c>
      <c r="R189" t="n">
        <v>44483</v>
      </c>
      <c r="AD189" t="inlineStr">
        <is>
          <t>TRUMBULL CAREER &amp; TECH CENTER</t>
        </is>
      </c>
      <c r="AE189" t="inlineStr">
        <is>
          <t>WARREN CITY</t>
        </is>
      </c>
      <c r="AF189" t="inlineStr">
        <is>
          <t>WARREN CITY SD</t>
        </is>
      </c>
      <c r="AH189" t="n">
        <v>14</v>
      </c>
      <c r="AI189" t="n">
        <v>11</v>
      </c>
      <c r="AN189" t="inlineStr">
        <is>
          <t>WARREN</t>
        </is>
      </c>
      <c r="AO189" t="inlineStr">
        <is>
          <t>WARREN CITY 4A</t>
        </is>
      </c>
      <c r="AP189" t="inlineStr">
        <is>
          <t>78-P-ADI</t>
        </is>
      </c>
      <c r="AQ189" t="n">
        <v>9</v>
      </c>
      <c r="AR189" t="n">
        <v>64</v>
      </c>
      <c r="AS189" t="n">
        <v>32</v>
      </c>
      <c r="AU189">
        <f>COUNTA($BA$189:$EH$189)</f>
        <v/>
      </c>
      <c r="AV189">
        <f>COUNTIF($BA$189:$EH$189,"D")</f>
        <v/>
      </c>
      <c r="AW189">
        <f>COUNTIF($BA$189:$EH$189,"R")</f>
        <v/>
      </c>
      <c r="AX189">
        <f>IF(BN189="D",1,0)+IF(BO189="D",1,0)+IF(BT189="D",1,0)+IF(BU189="D",1,0)+IF(BW189="D",1,0)+IF(CC189="D",1,0)+IF(CD189="D",1,0)+IF(CE189="D",1,0)+IF(CF189="D",1,0)+IF(CL189="D",1,0)+IF(CM189="D",1,0)+IF(CQ189="D",1,0)+IF(CR189="D",1,0)+IF(CS189="D",1,0)+IF(CW189="D",1,0)+IF(CX189="D",1,0)+IF(DD189="D",1,0)+IF(DE189="D",1,0)+IF(DJ189="D",1,0)+IF(DK189="D",1,0)+IF(DO189="D",1,0)+IF(DP189="D",1,0)+IF(DQ189="D",1,0)+IF(DW189="D",1,0)+IF(DZ189="D",1,0)+IF(EH189="D",1,0)</f>
        <v/>
      </c>
      <c r="AY189">
        <f>IF(DJ189&lt;&gt;"",1,0)+IF(DK189&lt;&gt;"",1,0)+IF(DM189&lt;&gt;"",1,0)+IF(DO189&lt;&gt;"",1,0)+IF(DP189&lt;&gt;"",1,0)+IF(DQ189&lt;&gt;"",1,0)+IF(DS189&lt;&gt;"",1,0)+IF(DT189&lt;&gt;"",1,0)+IF(DV189&lt;&gt;"",1,0)+IF(DW189&lt;&gt;"",1,0)+IF(DX189&lt;&gt;"",1,0)+IF(DY189&lt;&gt;"",1,0)+IF(DZ189&lt;&gt;"",1,0)+IF(EB189&lt;&gt;"",1,0)+IF(EC189&lt;&gt;"",1,0)+IF(ED189&lt;&gt;"",1,0)+IF(EG189&lt;&gt;"",1,0)+IF(EH189&lt;&gt;"",1,0)</f>
        <v/>
      </c>
      <c r="AZ189">
        <f>IF(EH189&lt;&gt;"",1,0)</f>
        <v/>
      </c>
      <c r="BB189" t="inlineStr">
        <is>
          <t>WARREN-WARD 4</t>
        </is>
      </c>
      <c r="EF189" t="inlineStr">
        <is>
          <t>X</t>
        </is>
      </c>
    </row>
    <row r="190">
      <c r="A190" t="inlineStr">
        <is>
          <t>OH0015722834</t>
        </is>
      </c>
      <c r="B190" t="n">
        <v>78</v>
      </c>
      <c r="C190" t="n">
        <v>267985</v>
      </c>
      <c r="D190" t="inlineStr">
        <is>
          <t>ESHELMAN</t>
        </is>
      </c>
      <c r="E190" t="inlineStr">
        <is>
          <t>CLARENCE</t>
        </is>
      </c>
      <c r="F190">
        <f>CONCATENATE(D190," ",LEFT(H190,4),"T=",AU190,"D=",AV190,"R=",AW190,"M=",AX190,"L=",AY190,"B=",AZ190)</f>
        <v/>
      </c>
      <c r="G190" t="inlineStr">
        <is>
          <t>J</t>
        </is>
      </c>
      <c r="I190" t="inlineStr">
        <is>
          <t>1924-12-21</t>
        </is>
      </c>
      <c r="J190" t="inlineStr">
        <is>
          <t>1996-02-12</t>
        </is>
      </c>
      <c r="K190" t="inlineStr">
        <is>
          <t>ACTIVE</t>
        </is>
      </c>
      <c r="M190" t="inlineStr">
        <is>
          <t>790 OAK KNOLL AVE SE</t>
        </is>
      </c>
      <c r="N190">
        <f>RIGHT(M190,LEN(M190)-FIND(" ",M190))</f>
        <v/>
      </c>
      <c r="P190" t="inlineStr">
        <is>
          <t>WARREN</t>
        </is>
      </c>
      <c r="Q190" t="inlineStr">
        <is>
          <t>OH</t>
        </is>
      </c>
      <c r="R190" t="n">
        <v>44484</v>
      </c>
      <c r="AD190" t="inlineStr">
        <is>
          <t>TRUMBULL CAREER &amp; TECH CENTER</t>
        </is>
      </c>
      <c r="AE190" t="inlineStr">
        <is>
          <t>WARREN CITY</t>
        </is>
      </c>
      <c r="AF190" t="inlineStr">
        <is>
          <t>WARREN CITY SD</t>
        </is>
      </c>
      <c r="AH190" t="n">
        <v>14</v>
      </c>
      <c r="AI190" t="n">
        <v>11</v>
      </c>
      <c r="AN190" t="inlineStr">
        <is>
          <t>WARREN</t>
        </is>
      </c>
      <c r="AO190" t="inlineStr">
        <is>
          <t>WARREN CITY 4A</t>
        </is>
      </c>
      <c r="AP190" t="inlineStr">
        <is>
          <t>78-P-ADI</t>
        </is>
      </c>
      <c r="AQ190" t="n">
        <v>9</v>
      </c>
      <c r="AR190" t="n">
        <v>64</v>
      </c>
      <c r="AS190" t="n">
        <v>32</v>
      </c>
      <c r="AU190">
        <f>COUNTA($BA$190:$EH$190)</f>
        <v/>
      </c>
      <c r="AV190">
        <f>COUNTIF($BA$190:$EH$190,"D")</f>
        <v/>
      </c>
      <c r="AW190">
        <f>COUNTIF($BA$190:$EH$190,"R")</f>
        <v/>
      </c>
      <c r="AX190">
        <f>IF(BN190="D",1,0)+IF(BO190="D",1,0)+IF(BT190="D",1,0)+IF(BU190="D",1,0)+IF(BW190="D",1,0)+IF(CC190="D",1,0)+IF(CD190="D",1,0)+IF(CE190="D",1,0)+IF(CF190="D",1,0)+IF(CL190="D",1,0)+IF(CM190="D",1,0)+IF(CQ190="D",1,0)+IF(CR190="D",1,0)+IF(CS190="D",1,0)+IF(CW190="D",1,0)+IF(CX190="D",1,0)+IF(DD190="D",1,0)+IF(DE190="D",1,0)+IF(DJ190="D",1,0)+IF(DK190="D",1,0)+IF(DO190="D",1,0)+IF(DP190="D",1,0)+IF(DQ190="D",1,0)+IF(DW190="D",1,0)+IF(DZ190="D",1,0)+IF(EH190="D",1,0)</f>
        <v/>
      </c>
      <c r="AY190">
        <f>IF(DJ190&lt;&gt;"",1,0)+IF(DK190&lt;&gt;"",1,0)+IF(DM190&lt;&gt;"",1,0)+IF(DO190&lt;&gt;"",1,0)+IF(DP190&lt;&gt;"",1,0)+IF(DQ190&lt;&gt;"",1,0)+IF(DS190&lt;&gt;"",1,0)+IF(DT190&lt;&gt;"",1,0)+IF(DV190&lt;&gt;"",1,0)+IF(DW190&lt;&gt;"",1,0)+IF(DX190&lt;&gt;"",1,0)+IF(DY190&lt;&gt;"",1,0)+IF(DZ190&lt;&gt;"",1,0)+IF(EB190&lt;&gt;"",1,0)+IF(EC190&lt;&gt;"",1,0)+IF(ED190&lt;&gt;"",1,0)+IF(EG190&lt;&gt;"",1,0)+IF(EH190&lt;&gt;"",1,0)</f>
        <v/>
      </c>
      <c r="AZ190">
        <f>IF(EH190&lt;&gt;"",1,0)</f>
        <v/>
      </c>
      <c r="BB190" t="inlineStr">
        <is>
          <t>WARREN-WARD 4</t>
        </is>
      </c>
      <c r="BC190" t="inlineStr">
        <is>
          <t>X</t>
        </is>
      </c>
      <c r="BD190" t="inlineStr">
        <is>
          <t>X</t>
        </is>
      </c>
      <c r="BF190" t="inlineStr">
        <is>
          <t>X</t>
        </is>
      </c>
      <c r="BH190" t="inlineStr">
        <is>
          <t>X</t>
        </is>
      </c>
      <c r="BJ190" t="inlineStr">
        <is>
          <t>X</t>
        </is>
      </c>
      <c r="BK190" t="inlineStr">
        <is>
          <t>X</t>
        </is>
      </c>
      <c r="BL190" t="inlineStr">
        <is>
          <t>X</t>
        </is>
      </c>
      <c r="BP190" t="inlineStr">
        <is>
          <t>X</t>
        </is>
      </c>
      <c r="BS190" t="inlineStr">
        <is>
          <t>X</t>
        </is>
      </c>
      <c r="BY190" t="inlineStr">
        <is>
          <t>R</t>
        </is>
      </c>
      <c r="CA190" t="inlineStr">
        <is>
          <t>X</t>
        </is>
      </c>
      <c r="CG190" t="inlineStr">
        <is>
          <t>X</t>
        </is>
      </c>
      <c r="CK190" t="inlineStr">
        <is>
          <t>X</t>
        </is>
      </c>
      <c r="CN190" t="inlineStr">
        <is>
          <t>X</t>
        </is>
      </c>
      <c r="CO190" t="inlineStr">
        <is>
          <t>R</t>
        </is>
      </c>
      <c r="CP190" t="inlineStr">
        <is>
          <t>X</t>
        </is>
      </c>
      <c r="CV190" t="inlineStr">
        <is>
          <t>X</t>
        </is>
      </c>
      <c r="CY190" t="inlineStr">
        <is>
          <t>X</t>
        </is>
      </c>
      <c r="CZ190" t="inlineStr">
        <is>
          <t>R</t>
        </is>
      </c>
      <c r="DC190" t="inlineStr">
        <is>
          <t>X</t>
        </is>
      </c>
      <c r="DI190" t="inlineStr">
        <is>
          <t>X</t>
        </is>
      </c>
      <c r="DL190" t="inlineStr">
        <is>
          <t>X</t>
        </is>
      </c>
      <c r="DN190" t="inlineStr">
        <is>
          <t>X</t>
        </is>
      </c>
      <c r="DU190" t="inlineStr">
        <is>
          <t>X</t>
        </is>
      </c>
      <c r="EA190" t="inlineStr">
        <is>
          <t>X</t>
        </is>
      </c>
      <c r="EF190" t="inlineStr">
        <is>
          <t>X</t>
        </is>
      </c>
    </row>
    <row r="191">
      <c r="A191" t="inlineStr">
        <is>
          <t>OH0015816662</t>
        </is>
      </c>
      <c r="B191" t="n">
        <v>78</v>
      </c>
      <c r="C191" t="n">
        <v>272221</v>
      </c>
      <c r="D191" t="inlineStr">
        <is>
          <t>BROWN</t>
        </is>
      </c>
      <c r="E191" t="inlineStr">
        <is>
          <t>JEFFREY</t>
        </is>
      </c>
      <c r="F191">
        <f>CONCATENATE(D191," ",LEFT(H191,4),"T=",AU191,"D=",AV191,"R=",AW191,"M=",AX191,"L=",AY191,"B=",AZ191)</f>
        <v/>
      </c>
      <c r="G191" t="inlineStr">
        <is>
          <t>A</t>
        </is>
      </c>
      <c r="I191" t="inlineStr">
        <is>
          <t>1958-08-28</t>
        </is>
      </c>
      <c r="J191" t="inlineStr">
        <is>
          <t>1996-09-18</t>
        </is>
      </c>
      <c r="K191" t="inlineStr">
        <is>
          <t>ACTIVE</t>
        </is>
      </c>
      <c r="L191" t="inlineStr">
        <is>
          <t>D</t>
        </is>
      </c>
      <c r="M191" t="inlineStr">
        <is>
          <t>900 OAK KNOLL AVE SE</t>
        </is>
      </c>
      <c r="N191">
        <f>RIGHT(M191,LEN(M191)-FIND(" ",M191))</f>
        <v/>
      </c>
      <c r="P191" t="inlineStr">
        <is>
          <t>WARREN</t>
        </is>
      </c>
      <c r="Q191" t="inlineStr">
        <is>
          <t>OH</t>
        </is>
      </c>
      <c r="R191" t="n">
        <v>44484</v>
      </c>
      <c r="AD191" t="inlineStr">
        <is>
          <t>TRUMBULL CAREER &amp; TECH CENTER</t>
        </is>
      </c>
      <c r="AE191" t="inlineStr">
        <is>
          <t>WARREN CITY</t>
        </is>
      </c>
      <c r="AF191" t="inlineStr">
        <is>
          <t>WARREN CITY SD</t>
        </is>
      </c>
      <c r="AH191" t="n">
        <v>14</v>
      </c>
      <c r="AI191" t="n">
        <v>11</v>
      </c>
      <c r="AN191" t="inlineStr">
        <is>
          <t>WARREN</t>
        </is>
      </c>
      <c r="AO191" t="inlineStr">
        <is>
          <t>WARREN CITY 4A</t>
        </is>
      </c>
      <c r="AP191" t="inlineStr">
        <is>
          <t>78-P-ADI</t>
        </is>
      </c>
      <c r="AQ191" t="n">
        <v>9</v>
      </c>
      <c r="AR191" t="n">
        <v>64</v>
      </c>
      <c r="AS191" t="n">
        <v>32</v>
      </c>
      <c r="AU191">
        <f>COUNTA($BA$191:$EH$191)</f>
        <v/>
      </c>
      <c r="AV191">
        <f>COUNTIF($BA$191:$EH$191,"D")</f>
        <v/>
      </c>
      <c r="AW191">
        <f>COUNTIF($BA$191:$EH$191,"R")</f>
        <v/>
      </c>
      <c r="AX191">
        <f>IF(BN191="D",1,0)+IF(BO191="D",1,0)+IF(BT191="D",1,0)+IF(BU191="D",1,0)+IF(BW191="D",1,0)+IF(CC191="D",1,0)+IF(CD191="D",1,0)+IF(CE191="D",1,0)+IF(CF191="D",1,0)+IF(CL191="D",1,0)+IF(CM191="D",1,0)+IF(CQ191="D",1,0)+IF(CR191="D",1,0)+IF(CS191="D",1,0)+IF(CW191="D",1,0)+IF(CX191="D",1,0)+IF(DD191="D",1,0)+IF(DE191="D",1,0)+IF(DJ191="D",1,0)+IF(DK191="D",1,0)+IF(DO191="D",1,0)+IF(DP191="D",1,0)+IF(DQ191="D",1,0)+IF(DW191="D",1,0)+IF(DZ191="D",1,0)+IF(EH191="D",1,0)</f>
        <v/>
      </c>
      <c r="AY191">
        <f>IF(DJ191&lt;&gt;"",1,0)+IF(DK191&lt;&gt;"",1,0)+IF(DM191&lt;&gt;"",1,0)+IF(DO191&lt;&gt;"",1,0)+IF(DP191&lt;&gt;"",1,0)+IF(DQ191&lt;&gt;"",1,0)+IF(DS191&lt;&gt;"",1,0)+IF(DT191&lt;&gt;"",1,0)+IF(DV191&lt;&gt;"",1,0)+IF(DW191&lt;&gt;"",1,0)+IF(DX191&lt;&gt;"",1,0)+IF(DY191&lt;&gt;"",1,0)+IF(DZ191&lt;&gt;"",1,0)+IF(EB191&lt;&gt;"",1,0)+IF(EC191&lt;&gt;"",1,0)+IF(ED191&lt;&gt;"",1,0)+IF(EG191&lt;&gt;"",1,0)+IF(EH191&lt;&gt;"",1,0)</f>
        <v/>
      </c>
      <c r="AZ191">
        <f>IF(EH191&lt;&gt;"",1,0)</f>
        <v/>
      </c>
      <c r="BB191" t="inlineStr">
        <is>
          <t>WARREN-WARD 4</t>
        </is>
      </c>
      <c r="BC191" t="inlineStr">
        <is>
          <t>X</t>
        </is>
      </c>
      <c r="BD191" t="inlineStr">
        <is>
          <t>X</t>
        </is>
      </c>
      <c r="BE191" t="inlineStr">
        <is>
          <t>X</t>
        </is>
      </c>
      <c r="BF191" t="inlineStr">
        <is>
          <t>X</t>
        </is>
      </c>
      <c r="BH191" t="inlineStr">
        <is>
          <t>X</t>
        </is>
      </c>
      <c r="BI191" t="inlineStr">
        <is>
          <t>X</t>
        </is>
      </c>
      <c r="BJ191" t="inlineStr">
        <is>
          <t>X</t>
        </is>
      </c>
      <c r="BK191" t="inlineStr">
        <is>
          <t>X</t>
        </is>
      </c>
      <c r="BL191" t="inlineStr">
        <is>
          <t>X</t>
        </is>
      </c>
      <c r="BP191" t="inlineStr">
        <is>
          <t>X</t>
        </is>
      </c>
      <c r="BS191" t="inlineStr">
        <is>
          <t>X</t>
        </is>
      </c>
      <c r="BV191" t="inlineStr">
        <is>
          <t>X</t>
        </is>
      </c>
      <c r="BY191" t="inlineStr">
        <is>
          <t>D</t>
        </is>
      </c>
      <c r="CA191" t="inlineStr">
        <is>
          <t>X</t>
        </is>
      </c>
      <c r="CG191" t="inlineStr">
        <is>
          <t>X</t>
        </is>
      </c>
      <c r="CH191" t="inlineStr">
        <is>
          <t>D</t>
        </is>
      </c>
      <c r="CK191" t="inlineStr">
        <is>
          <t>X</t>
        </is>
      </c>
      <c r="CL191" t="inlineStr">
        <is>
          <t>D</t>
        </is>
      </c>
      <c r="CN191" t="inlineStr">
        <is>
          <t>X</t>
        </is>
      </c>
      <c r="CO191" t="inlineStr">
        <is>
          <t>D</t>
        </is>
      </c>
      <c r="CP191" t="inlineStr">
        <is>
          <t>X</t>
        </is>
      </c>
      <c r="CT191" t="inlineStr">
        <is>
          <t>X</t>
        </is>
      </c>
      <c r="CU191" t="inlineStr">
        <is>
          <t>D</t>
        </is>
      </c>
      <c r="CV191" t="inlineStr">
        <is>
          <t>X</t>
        </is>
      </c>
      <c r="CY191" t="inlineStr">
        <is>
          <t>X</t>
        </is>
      </c>
      <c r="CZ191" t="inlineStr">
        <is>
          <t>R</t>
        </is>
      </c>
      <c r="DC191" t="inlineStr">
        <is>
          <t>X</t>
        </is>
      </c>
      <c r="DD191" t="inlineStr">
        <is>
          <t>D</t>
        </is>
      </c>
      <c r="DF191" t="inlineStr">
        <is>
          <t>X</t>
        </is>
      </c>
      <c r="DG191" t="inlineStr">
        <is>
          <t>D</t>
        </is>
      </c>
      <c r="DI191" t="inlineStr">
        <is>
          <t>X</t>
        </is>
      </c>
      <c r="DM191" t="inlineStr">
        <is>
          <t>D</t>
        </is>
      </c>
      <c r="DN191" t="inlineStr">
        <is>
          <t>X</t>
        </is>
      </c>
      <c r="DS191" t="inlineStr">
        <is>
          <t>D</t>
        </is>
      </c>
      <c r="DU191" t="inlineStr">
        <is>
          <t>X</t>
        </is>
      </c>
      <c r="DW191" t="inlineStr">
        <is>
          <t>D</t>
        </is>
      </c>
      <c r="DX191" t="inlineStr">
        <is>
          <t>X</t>
        </is>
      </c>
      <c r="EA191" t="inlineStr">
        <is>
          <t>X</t>
        </is>
      </c>
      <c r="ED191" t="inlineStr">
        <is>
          <t>D</t>
        </is>
      </c>
      <c r="EF191" t="inlineStr">
        <is>
          <t>X</t>
        </is>
      </c>
      <c r="EH191" t="inlineStr">
        <is>
          <t>D</t>
        </is>
      </c>
    </row>
    <row r="192">
      <c r="A192" t="inlineStr">
        <is>
          <t>OH0023530940</t>
        </is>
      </c>
      <c r="B192" t="n">
        <v>78</v>
      </c>
      <c r="C192" t="n">
        <v>414345</v>
      </c>
      <c r="D192" t="inlineStr">
        <is>
          <t>RUITER</t>
        </is>
      </c>
      <c r="E192" t="inlineStr">
        <is>
          <t>JACLYN</t>
        </is>
      </c>
      <c r="F192">
        <f>CONCATENATE(D192," ",LEFT(H192,4),"T=",AU192,"D=",AV192,"R=",AW192,"M=",AX192,"L=",AY192,"B=",AZ192)</f>
        <v/>
      </c>
      <c r="G192" t="inlineStr">
        <is>
          <t>ALEXIS</t>
        </is>
      </c>
      <c r="I192" t="inlineStr">
        <is>
          <t>1997-12-17</t>
        </is>
      </c>
      <c r="J192" t="inlineStr">
        <is>
          <t>2020-06-20</t>
        </is>
      </c>
      <c r="K192" t="inlineStr">
        <is>
          <t>CONFIRMATION</t>
        </is>
      </c>
      <c r="M192" t="inlineStr">
        <is>
          <t>505 BONNIE BRAE AVE SE</t>
        </is>
      </c>
      <c r="N192">
        <f>RIGHT(M192,LEN(M192)-FIND(" ",M192))</f>
        <v/>
      </c>
      <c r="P192" t="inlineStr">
        <is>
          <t>WARREN</t>
        </is>
      </c>
      <c r="Q192" t="inlineStr">
        <is>
          <t>OH</t>
        </is>
      </c>
      <c r="R192" t="n">
        <v>44484</v>
      </c>
      <c r="AD192" t="inlineStr">
        <is>
          <t>TRUMBULL CAREER &amp; TECH CENTER</t>
        </is>
      </c>
      <c r="AE192" t="inlineStr">
        <is>
          <t>WARREN CITY</t>
        </is>
      </c>
      <c r="AF192" t="inlineStr">
        <is>
          <t>WARREN CITY SD</t>
        </is>
      </c>
      <c r="AH192" t="n">
        <v>14</v>
      </c>
      <c r="AI192" t="n">
        <v>11</v>
      </c>
      <c r="AN192" t="inlineStr">
        <is>
          <t>WARREN</t>
        </is>
      </c>
      <c r="AO192" t="inlineStr">
        <is>
          <t>WARREN CITY 4A</t>
        </is>
      </c>
      <c r="AP192" t="inlineStr">
        <is>
          <t>78-P-ADI</t>
        </is>
      </c>
      <c r="AQ192" t="n">
        <v>9</v>
      </c>
      <c r="AR192" t="n">
        <v>64</v>
      </c>
      <c r="AS192" t="n">
        <v>32</v>
      </c>
      <c r="AU192">
        <f>COUNTA($BA$192:$EH$192)</f>
        <v/>
      </c>
      <c r="AV192">
        <f>COUNTIF($BA$192:$EH$192,"D")</f>
        <v/>
      </c>
      <c r="AW192">
        <f>COUNTIF($BA$192:$EH$192,"R")</f>
        <v/>
      </c>
      <c r="AX192">
        <f>IF(BN192="D",1,0)+IF(BO192="D",1,0)+IF(BT192="D",1,0)+IF(BU192="D",1,0)+IF(BW192="D",1,0)+IF(CC192="D",1,0)+IF(CD192="D",1,0)+IF(CE192="D",1,0)+IF(CF192="D",1,0)+IF(CL192="D",1,0)+IF(CM192="D",1,0)+IF(CQ192="D",1,0)+IF(CR192="D",1,0)+IF(CS192="D",1,0)+IF(CW192="D",1,0)+IF(CX192="D",1,0)+IF(DD192="D",1,0)+IF(DE192="D",1,0)+IF(DJ192="D",1,0)+IF(DK192="D",1,0)+IF(DO192="D",1,0)+IF(DP192="D",1,0)+IF(DQ192="D",1,0)+IF(DW192="D",1,0)+IF(DZ192="D",1,0)+IF(EH192="D",1,0)</f>
        <v/>
      </c>
      <c r="AY192">
        <f>IF(DJ192&lt;&gt;"",1,0)+IF(DK192&lt;&gt;"",1,0)+IF(DM192&lt;&gt;"",1,0)+IF(DO192&lt;&gt;"",1,0)+IF(DP192&lt;&gt;"",1,0)+IF(DQ192&lt;&gt;"",1,0)+IF(DS192&lt;&gt;"",1,0)+IF(DT192&lt;&gt;"",1,0)+IF(DV192&lt;&gt;"",1,0)+IF(DW192&lt;&gt;"",1,0)+IF(DX192&lt;&gt;"",1,0)+IF(DY192&lt;&gt;"",1,0)+IF(DZ192&lt;&gt;"",1,0)+IF(EB192&lt;&gt;"",1,0)+IF(EC192&lt;&gt;"",1,0)+IF(ED192&lt;&gt;"",1,0)+IF(EG192&lt;&gt;"",1,0)+IF(EH192&lt;&gt;"",1,0)</f>
        <v/>
      </c>
      <c r="AZ192">
        <f>IF(EH192&lt;&gt;"",1,0)</f>
        <v/>
      </c>
      <c r="BB192" t="inlineStr">
        <is>
          <t>WARREN-WARD 4</t>
        </is>
      </c>
    </row>
    <row r="193">
      <c r="A193" t="inlineStr">
        <is>
          <t>OH0024069837</t>
        </is>
      </c>
      <c r="B193" t="n">
        <v>78</v>
      </c>
      <c r="C193" t="n">
        <v>421464</v>
      </c>
      <c r="D193" t="inlineStr">
        <is>
          <t>COY</t>
        </is>
      </c>
      <c r="E193" t="inlineStr">
        <is>
          <t>VICKIE</t>
        </is>
      </c>
      <c r="F193">
        <f>CONCATENATE(D193," ",LEFT(H193,4),"T=",AU193,"D=",AV193,"R=",AW193,"M=",AX193,"L=",AY193,"B=",AZ193)</f>
        <v/>
      </c>
      <c r="G193" t="inlineStr">
        <is>
          <t>L</t>
        </is>
      </c>
      <c r="I193" t="inlineStr">
        <is>
          <t>1960-07-23</t>
        </is>
      </c>
      <c r="J193" t="inlineStr">
        <is>
          <t>2016-10-11</t>
        </is>
      </c>
      <c r="K193" t="inlineStr">
        <is>
          <t>CONFIRMATION</t>
        </is>
      </c>
      <c r="M193" t="inlineStr">
        <is>
          <t>400 KENILWORTH AVE SE</t>
        </is>
      </c>
      <c r="N193">
        <f>RIGHT(M193,LEN(M193)-FIND(" ",M193))</f>
        <v/>
      </c>
      <c r="P193" t="inlineStr">
        <is>
          <t>WARREN</t>
        </is>
      </c>
      <c r="Q193" t="inlineStr">
        <is>
          <t>OH</t>
        </is>
      </c>
      <c r="R193" t="n">
        <v>44483</v>
      </c>
      <c r="AD193" t="inlineStr">
        <is>
          <t>TRUMBULL CAREER &amp; TECH CENTER</t>
        </is>
      </c>
      <c r="AE193" t="inlineStr">
        <is>
          <t>WARREN CITY</t>
        </is>
      </c>
      <c r="AF193" t="inlineStr">
        <is>
          <t>WARREN CITY SD</t>
        </is>
      </c>
      <c r="AH193" t="n">
        <v>14</v>
      </c>
      <c r="AI193" t="n">
        <v>11</v>
      </c>
      <c r="AN193" t="inlineStr">
        <is>
          <t>WARREN</t>
        </is>
      </c>
      <c r="AO193" t="inlineStr">
        <is>
          <t>WARREN CITY 4A</t>
        </is>
      </c>
      <c r="AP193" t="inlineStr">
        <is>
          <t>78-P-ADI</t>
        </is>
      </c>
      <c r="AQ193" t="n">
        <v>9</v>
      </c>
      <c r="AR193" t="n">
        <v>64</v>
      </c>
      <c r="AS193" t="n">
        <v>32</v>
      </c>
      <c r="AU193">
        <f>COUNTA($BA$193:$EH$193)</f>
        <v/>
      </c>
      <c r="AV193">
        <f>COUNTIF($BA$193:$EH$193,"D")</f>
        <v/>
      </c>
      <c r="AW193">
        <f>COUNTIF($BA$193:$EH$193,"R")</f>
        <v/>
      </c>
      <c r="AX193">
        <f>IF(BN193="D",1,0)+IF(BO193="D",1,0)+IF(BT193="D",1,0)+IF(BU193="D",1,0)+IF(BW193="D",1,0)+IF(CC193="D",1,0)+IF(CD193="D",1,0)+IF(CE193="D",1,0)+IF(CF193="D",1,0)+IF(CL193="D",1,0)+IF(CM193="D",1,0)+IF(CQ193="D",1,0)+IF(CR193="D",1,0)+IF(CS193="D",1,0)+IF(CW193="D",1,0)+IF(CX193="D",1,0)+IF(DD193="D",1,0)+IF(DE193="D",1,0)+IF(DJ193="D",1,0)+IF(DK193="D",1,0)+IF(DO193="D",1,0)+IF(DP193="D",1,0)+IF(DQ193="D",1,0)+IF(DW193="D",1,0)+IF(DZ193="D",1,0)+IF(EH193="D",1,0)</f>
        <v/>
      </c>
      <c r="AY193">
        <f>IF(DJ193&lt;&gt;"",1,0)+IF(DK193&lt;&gt;"",1,0)+IF(DM193&lt;&gt;"",1,0)+IF(DO193&lt;&gt;"",1,0)+IF(DP193&lt;&gt;"",1,0)+IF(DQ193&lt;&gt;"",1,0)+IF(DS193&lt;&gt;"",1,0)+IF(DT193&lt;&gt;"",1,0)+IF(DV193&lt;&gt;"",1,0)+IF(DW193&lt;&gt;"",1,0)+IF(DX193&lt;&gt;"",1,0)+IF(DY193&lt;&gt;"",1,0)+IF(DZ193&lt;&gt;"",1,0)+IF(EB193&lt;&gt;"",1,0)+IF(EC193&lt;&gt;"",1,0)+IF(ED193&lt;&gt;"",1,0)+IF(EG193&lt;&gt;"",1,0)+IF(EH193&lt;&gt;"",1,0)</f>
        <v/>
      </c>
      <c r="AZ193">
        <f>IF(EH193&lt;&gt;"",1,0)</f>
        <v/>
      </c>
      <c r="BB193" t="inlineStr">
        <is>
          <t>WARREN-WARD 4</t>
        </is>
      </c>
      <c r="BD193" t="inlineStr">
        <is>
          <t>X</t>
        </is>
      </c>
      <c r="BL193" t="inlineStr">
        <is>
          <t>X</t>
        </is>
      </c>
      <c r="BY193" t="inlineStr">
        <is>
          <t>D</t>
        </is>
      </c>
      <c r="CA193" t="inlineStr">
        <is>
          <t>X</t>
        </is>
      </c>
      <c r="DC193" t="inlineStr">
        <is>
          <t>X</t>
        </is>
      </c>
    </row>
    <row r="194">
      <c r="A194" t="inlineStr">
        <is>
          <t>OH0019687850</t>
        </is>
      </c>
      <c r="B194" t="n">
        <v>78</v>
      </c>
      <c r="C194" t="n">
        <v>357359</v>
      </c>
      <c r="D194" t="inlineStr">
        <is>
          <t>SCHULLER</t>
        </is>
      </c>
      <c r="E194" t="inlineStr">
        <is>
          <t>MARK</t>
        </is>
      </c>
      <c r="F194">
        <f>CONCATENATE(D194," ",LEFT(H194,4),"T=",AU194,"D=",AV194,"R=",AW194,"M=",AX194,"L=",AY194,"B=",AZ194)</f>
        <v/>
      </c>
      <c r="G194" t="inlineStr">
        <is>
          <t>A</t>
        </is>
      </c>
      <c r="I194" t="inlineStr">
        <is>
          <t>1979-07-31</t>
        </is>
      </c>
      <c r="J194" t="inlineStr">
        <is>
          <t>2008-03-04</t>
        </is>
      </c>
      <c r="K194" t="inlineStr">
        <is>
          <t>ACTIVE</t>
        </is>
      </c>
      <c r="L194" t="inlineStr">
        <is>
          <t>D</t>
        </is>
      </c>
      <c r="M194" t="inlineStr">
        <is>
          <t>526 OAK KNOLL AVE SE</t>
        </is>
      </c>
      <c r="N194">
        <f>RIGHT(M194,LEN(M194)-FIND(" ",M194))</f>
        <v/>
      </c>
      <c r="P194" t="inlineStr">
        <is>
          <t>WARREN</t>
        </is>
      </c>
      <c r="Q194" t="inlineStr">
        <is>
          <t>OH</t>
        </is>
      </c>
      <c r="R194" t="n">
        <v>44483</v>
      </c>
      <c r="AD194" t="inlineStr">
        <is>
          <t>TRUMBULL CAREER &amp; TECH CENTER</t>
        </is>
      </c>
      <c r="AE194" t="inlineStr">
        <is>
          <t>WARREN CITY</t>
        </is>
      </c>
      <c r="AF194" t="inlineStr">
        <is>
          <t>WARREN CITY SD</t>
        </is>
      </c>
      <c r="AH194" t="n">
        <v>14</v>
      </c>
      <c r="AI194" t="n">
        <v>11</v>
      </c>
      <c r="AN194" t="inlineStr">
        <is>
          <t>WARREN</t>
        </is>
      </c>
      <c r="AO194" t="inlineStr">
        <is>
          <t>WARREN CITY 4A</t>
        </is>
      </c>
      <c r="AP194" t="inlineStr">
        <is>
          <t>78-P-ADI</t>
        </is>
      </c>
      <c r="AQ194" t="n">
        <v>9</v>
      </c>
      <c r="AR194" t="n">
        <v>64</v>
      </c>
      <c r="AS194" t="n">
        <v>32</v>
      </c>
      <c r="AU194">
        <f>COUNTA($BA$194:$EH$194)</f>
        <v/>
      </c>
      <c r="AV194">
        <f>COUNTIF($BA$194:$EH$194,"D")</f>
        <v/>
      </c>
      <c r="AW194">
        <f>COUNTIF($BA$194:$EH$194,"R")</f>
        <v/>
      </c>
      <c r="AX194">
        <f>IF(BN194="D",1,0)+IF(BO194="D",1,0)+IF(BT194="D",1,0)+IF(BU194="D",1,0)+IF(BW194="D",1,0)+IF(CC194="D",1,0)+IF(CD194="D",1,0)+IF(CE194="D",1,0)+IF(CF194="D",1,0)+IF(CL194="D",1,0)+IF(CM194="D",1,0)+IF(CQ194="D",1,0)+IF(CR194="D",1,0)+IF(CS194="D",1,0)+IF(CW194="D",1,0)+IF(CX194="D",1,0)+IF(DD194="D",1,0)+IF(DE194="D",1,0)+IF(DJ194="D",1,0)+IF(DK194="D",1,0)+IF(DO194="D",1,0)+IF(DP194="D",1,0)+IF(DQ194="D",1,0)+IF(DW194="D",1,0)+IF(DZ194="D",1,0)+IF(EH194="D",1,0)</f>
        <v/>
      </c>
      <c r="AY194">
        <f>IF(DJ194&lt;&gt;"",1,0)+IF(DK194&lt;&gt;"",1,0)+IF(DM194&lt;&gt;"",1,0)+IF(DO194&lt;&gt;"",1,0)+IF(DP194&lt;&gt;"",1,0)+IF(DQ194&lt;&gt;"",1,0)+IF(DS194&lt;&gt;"",1,0)+IF(DT194&lt;&gt;"",1,0)+IF(DV194&lt;&gt;"",1,0)+IF(DW194&lt;&gt;"",1,0)+IF(DX194&lt;&gt;"",1,0)+IF(DY194&lt;&gt;"",1,0)+IF(DZ194&lt;&gt;"",1,0)+IF(EB194&lt;&gt;"",1,0)+IF(EC194&lt;&gt;"",1,0)+IF(ED194&lt;&gt;"",1,0)+IF(EG194&lt;&gt;"",1,0)+IF(EH194&lt;&gt;"",1,0)</f>
        <v/>
      </c>
      <c r="AZ194">
        <f>IF(EH194&lt;&gt;"",1,0)</f>
        <v/>
      </c>
      <c r="BB194" t="inlineStr">
        <is>
          <t>WARREN-WARD 4</t>
        </is>
      </c>
      <c r="CA194" t="inlineStr">
        <is>
          <t>X</t>
        </is>
      </c>
      <c r="CG194" t="inlineStr">
        <is>
          <t>X</t>
        </is>
      </c>
      <c r="CK194" t="inlineStr">
        <is>
          <t>X</t>
        </is>
      </c>
      <c r="CN194" t="inlineStr">
        <is>
          <t>X</t>
        </is>
      </c>
      <c r="CP194" t="inlineStr">
        <is>
          <t>X</t>
        </is>
      </c>
      <c r="CV194" t="inlineStr">
        <is>
          <t>X</t>
        </is>
      </c>
      <c r="CY194" t="inlineStr">
        <is>
          <t>X</t>
        </is>
      </c>
      <c r="CZ194" t="inlineStr">
        <is>
          <t>D</t>
        </is>
      </c>
      <c r="DC194" t="inlineStr">
        <is>
          <t>X</t>
        </is>
      </c>
      <c r="DI194" t="inlineStr">
        <is>
          <t>X</t>
        </is>
      </c>
      <c r="DN194" t="inlineStr">
        <is>
          <t>X</t>
        </is>
      </c>
      <c r="DU194" t="inlineStr">
        <is>
          <t>X</t>
        </is>
      </c>
      <c r="DW194" t="inlineStr">
        <is>
          <t>D</t>
        </is>
      </c>
      <c r="EF194" t="inlineStr">
        <is>
          <t>X</t>
        </is>
      </c>
    </row>
    <row r="195">
      <c r="A195" t="inlineStr">
        <is>
          <t>OH0015808771</t>
        </is>
      </c>
      <c r="B195" t="n">
        <v>78</v>
      </c>
      <c r="C195" t="n">
        <v>310401</v>
      </c>
      <c r="D195" t="inlineStr">
        <is>
          <t>HILLARD</t>
        </is>
      </c>
      <c r="E195" t="inlineStr">
        <is>
          <t>PATRICIA</t>
        </is>
      </c>
      <c r="F195">
        <f>CONCATENATE(D195," ",LEFT(H195,4),"T=",AU195,"D=",AV195,"R=",AW195,"M=",AX195,"L=",AY195,"B=",AZ195)</f>
        <v/>
      </c>
      <c r="G195" t="inlineStr">
        <is>
          <t>GRACE</t>
        </is>
      </c>
      <c r="I195" t="inlineStr">
        <is>
          <t>1984-08-07</t>
        </is>
      </c>
      <c r="J195" t="inlineStr">
        <is>
          <t>2023-07-08</t>
        </is>
      </c>
      <c r="K195" t="inlineStr">
        <is>
          <t>ACTIVE</t>
        </is>
      </c>
      <c r="M195" t="inlineStr">
        <is>
          <t>811 WOODBINE AVE SE</t>
        </is>
      </c>
      <c r="N195">
        <f>RIGHT(M195,LEN(M195)-FIND(" ",M195))</f>
        <v/>
      </c>
      <c r="P195" t="inlineStr">
        <is>
          <t>WARREN</t>
        </is>
      </c>
      <c r="Q195" t="inlineStr">
        <is>
          <t>OH</t>
        </is>
      </c>
      <c r="R195" t="n">
        <v>44484</v>
      </c>
      <c r="AD195" t="inlineStr">
        <is>
          <t>TRUMBULL CAREER &amp; TECH CENTER</t>
        </is>
      </c>
      <c r="AE195" t="inlineStr">
        <is>
          <t>WARREN CITY</t>
        </is>
      </c>
      <c r="AF195" t="inlineStr">
        <is>
          <t>WARREN CITY SD</t>
        </is>
      </c>
      <c r="AH195" t="n">
        <v>14</v>
      </c>
      <c r="AI195" t="n">
        <v>11</v>
      </c>
      <c r="AN195" t="inlineStr">
        <is>
          <t>WARREN</t>
        </is>
      </c>
      <c r="AO195" t="inlineStr">
        <is>
          <t>WARREN CITY 4A</t>
        </is>
      </c>
      <c r="AP195" t="inlineStr">
        <is>
          <t>78-P-ADI</t>
        </is>
      </c>
      <c r="AQ195" t="n">
        <v>9</v>
      </c>
      <c r="AR195" t="n">
        <v>64</v>
      </c>
      <c r="AS195" t="n">
        <v>32</v>
      </c>
      <c r="AU195">
        <f>COUNTA($BA$195:$EH$195)</f>
        <v/>
      </c>
      <c r="AV195">
        <f>COUNTIF($BA$195:$EH$195,"D")</f>
        <v/>
      </c>
      <c r="AW195">
        <f>COUNTIF($BA$195:$EH$195,"R")</f>
        <v/>
      </c>
      <c r="AX195">
        <f>IF(BN195="D",1,0)+IF(BO195="D",1,0)+IF(BT195="D",1,0)+IF(BU195="D",1,0)+IF(BW195="D",1,0)+IF(CC195="D",1,0)+IF(CD195="D",1,0)+IF(CE195="D",1,0)+IF(CF195="D",1,0)+IF(CL195="D",1,0)+IF(CM195="D",1,0)+IF(CQ195="D",1,0)+IF(CR195="D",1,0)+IF(CS195="D",1,0)+IF(CW195="D",1,0)+IF(CX195="D",1,0)+IF(DD195="D",1,0)+IF(DE195="D",1,0)+IF(DJ195="D",1,0)+IF(DK195="D",1,0)+IF(DO195="D",1,0)+IF(DP195="D",1,0)+IF(DQ195="D",1,0)+IF(DW195="D",1,0)+IF(DZ195="D",1,0)+IF(EH195="D",1,0)</f>
        <v/>
      </c>
      <c r="AY195">
        <f>IF(DJ195&lt;&gt;"",1,0)+IF(DK195&lt;&gt;"",1,0)+IF(DM195&lt;&gt;"",1,0)+IF(DO195&lt;&gt;"",1,0)+IF(DP195&lt;&gt;"",1,0)+IF(DQ195&lt;&gt;"",1,0)+IF(DS195&lt;&gt;"",1,0)+IF(DT195&lt;&gt;"",1,0)+IF(DV195&lt;&gt;"",1,0)+IF(DW195&lt;&gt;"",1,0)+IF(DX195&lt;&gt;"",1,0)+IF(DY195&lt;&gt;"",1,0)+IF(DZ195&lt;&gt;"",1,0)+IF(EB195&lt;&gt;"",1,0)+IF(EC195&lt;&gt;"",1,0)+IF(ED195&lt;&gt;"",1,0)+IF(EG195&lt;&gt;"",1,0)+IF(EH195&lt;&gt;"",1,0)</f>
        <v/>
      </c>
      <c r="AZ195">
        <f>IF(EH195&lt;&gt;"",1,0)</f>
        <v/>
      </c>
      <c r="BB195" t="inlineStr">
        <is>
          <t>WARREN-WARD 4</t>
        </is>
      </c>
      <c r="BH195" t="inlineStr">
        <is>
          <t>X</t>
        </is>
      </c>
      <c r="BS195" t="inlineStr">
        <is>
          <t>X</t>
        </is>
      </c>
      <c r="CA195" t="inlineStr">
        <is>
          <t>X</t>
        </is>
      </c>
      <c r="CH195" t="inlineStr">
        <is>
          <t>D</t>
        </is>
      </c>
      <c r="CP195" t="inlineStr">
        <is>
          <t>X</t>
        </is>
      </c>
      <c r="DC195" t="inlineStr">
        <is>
          <t>X</t>
        </is>
      </c>
      <c r="DN195" t="inlineStr">
        <is>
          <t>X</t>
        </is>
      </c>
    </row>
    <row r="196">
      <c r="A196" t="inlineStr">
        <is>
          <t>OH0023915549</t>
        </is>
      </c>
      <c r="B196" t="n">
        <v>78</v>
      </c>
      <c r="C196" t="n">
        <v>419914</v>
      </c>
      <c r="D196" t="inlineStr">
        <is>
          <t>ANDREWS</t>
        </is>
      </c>
      <c r="E196" t="inlineStr">
        <is>
          <t>IAN</t>
        </is>
      </c>
      <c r="F196">
        <f>CONCATENATE(D196," ",LEFT(H196,4),"T=",AU196,"D=",AV196,"R=",AW196,"M=",AX196,"L=",AY196,"B=",AZ196)</f>
        <v/>
      </c>
      <c r="G196" t="inlineStr">
        <is>
          <t>MATTHEW</t>
        </is>
      </c>
      <c r="I196" t="inlineStr">
        <is>
          <t>1997-06-13</t>
        </is>
      </c>
      <c r="J196" t="inlineStr">
        <is>
          <t>2016-12-10</t>
        </is>
      </c>
      <c r="K196" t="inlineStr">
        <is>
          <t>CONFIRMATION</t>
        </is>
      </c>
      <c r="M196" t="inlineStr">
        <is>
          <t>1106 ADELAIDE AVE SE</t>
        </is>
      </c>
      <c r="N196">
        <f>RIGHT(M196,LEN(M196)-FIND(" ",M196))</f>
        <v/>
      </c>
      <c r="P196" t="inlineStr">
        <is>
          <t>WARREN</t>
        </is>
      </c>
      <c r="Q196" t="inlineStr">
        <is>
          <t>OH</t>
        </is>
      </c>
      <c r="R196" t="n">
        <v>44484</v>
      </c>
      <c r="AD196" t="inlineStr">
        <is>
          <t>TRUMBULL CAREER &amp; TECH CENTER</t>
        </is>
      </c>
      <c r="AE196" t="inlineStr">
        <is>
          <t>WARREN CITY</t>
        </is>
      </c>
      <c r="AF196" t="inlineStr">
        <is>
          <t>WARREN CITY SD</t>
        </is>
      </c>
      <c r="AH196" t="n">
        <v>14</v>
      </c>
      <c r="AI196" t="n">
        <v>11</v>
      </c>
      <c r="AN196" t="inlineStr">
        <is>
          <t>WARREN</t>
        </is>
      </c>
      <c r="AO196" t="inlineStr">
        <is>
          <t>WARREN CITY 4A</t>
        </is>
      </c>
      <c r="AP196" t="inlineStr">
        <is>
          <t>78-P-ADI</t>
        </is>
      </c>
      <c r="AQ196" t="n">
        <v>9</v>
      </c>
      <c r="AR196" t="n">
        <v>64</v>
      </c>
      <c r="AS196" t="n">
        <v>32</v>
      </c>
      <c r="AU196">
        <f>COUNTA($BA$196:$EH$196)</f>
        <v/>
      </c>
      <c r="AV196">
        <f>COUNTIF($BA$196:$EH$196,"D")</f>
        <v/>
      </c>
      <c r="AW196">
        <f>COUNTIF($BA$196:$EH$196,"R")</f>
        <v/>
      </c>
      <c r="AX196">
        <f>IF(BN196="D",1,0)+IF(BO196="D",1,0)+IF(BT196="D",1,0)+IF(BU196="D",1,0)+IF(BW196="D",1,0)+IF(CC196="D",1,0)+IF(CD196="D",1,0)+IF(CE196="D",1,0)+IF(CF196="D",1,0)+IF(CL196="D",1,0)+IF(CM196="D",1,0)+IF(CQ196="D",1,0)+IF(CR196="D",1,0)+IF(CS196="D",1,0)+IF(CW196="D",1,0)+IF(CX196="D",1,0)+IF(DD196="D",1,0)+IF(DE196="D",1,0)+IF(DJ196="D",1,0)+IF(DK196="D",1,0)+IF(DO196="D",1,0)+IF(DP196="D",1,0)+IF(DQ196="D",1,0)+IF(DW196="D",1,0)+IF(DZ196="D",1,0)+IF(EH196="D",1,0)</f>
        <v/>
      </c>
      <c r="AY196">
        <f>IF(DJ196&lt;&gt;"",1,0)+IF(DK196&lt;&gt;"",1,0)+IF(DM196&lt;&gt;"",1,0)+IF(DO196&lt;&gt;"",1,0)+IF(DP196&lt;&gt;"",1,0)+IF(DQ196&lt;&gt;"",1,0)+IF(DS196&lt;&gt;"",1,0)+IF(DT196&lt;&gt;"",1,0)+IF(DV196&lt;&gt;"",1,0)+IF(DW196&lt;&gt;"",1,0)+IF(DX196&lt;&gt;"",1,0)+IF(DY196&lt;&gt;"",1,0)+IF(DZ196&lt;&gt;"",1,0)+IF(EB196&lt;&gt;"",1,0)+IF(EC196&lt;&gt;"",1,0)+IF(ED196&lt;&gt;"",1,0)+IF(EG196&lt;&gt;"",1,0)+IF(EH196&lt;&gt;"",1,0)</f>
        <v/>
      </c>
      <c r="AZ196">
        <f>IF(EH196&lt;&gt;"",1,0)</f>
        <v/>
      </c>
      <c r="BB196" t="inlineStr">
        <is>
          <t>WARREN-WARD 4</t>
        </is>
      </c>
      <c r="DC196" t="inlineStr">
        <is>
          <t>X</t>
        </is>
      </c>
    </row>
    <row r="197">
      <c r="A197" t="inlineStr">
        <is>
          <t>OH0018670396</t>
        </is>
      </c>
      <c r="B197" t="n">
        <v>78</v>
      </c>
      <c r="C197" t="n">
        <v>342368</v>
      </c>
      <c r="D197" t="inlineStr">
        <is>
          <t>WORKLEY</t>
        </is>
      </c>
      <c r="E197" t="inlineStr">
        <is>
          <t>DAVID</t>
        </is>
      </c>
      <c r="F197">
        <f>CONCATENATE(D197," ",LEFT(H197,4),"T=",AU197,"D=",AV197,"R=",AW197,"M=",AX197,"L=",AY197,"B=",AZ197)</f>
        <v/>
      </c>
      <c r="G197" t="inlineStr">
        <is>
          <t>G</t>
        </is>
      </c>
      <c r="I197" t="inlineStr">
        <is>
          <t>1969-08-28</t>
        </is>
      </c>
      <c r="J197" t="inlineStr">
        <is>
          <t>2006-01-31</t>
        </is>
      </c>
      <c r="K197" t="inlineStr">
        <is>
          <t>ACTIVE</t>
        </is>
      </c>
      <c r="L197" t="inlineStr">
        <is>
          <t>R</t>
        </is>
      </c>
      <c r="M197" t="inlineStr">
        <is>
          <t>791 WOODBINE AVE SE</t>
        </is>
      </c>
      <c r="N197">
        <f>RIGHT(M197,LEN(M197)-FIND(" ",M197))</f>
        <v/>
      </c>
      <c r="P197" t="inlineStr">
        <is>
          <t>WARREN</t>
        </is>
      </c>
      <c r="Q197" t="inlineStr">
        <is>
          <t>OH</t>
        </is>
      </c>
      <c r="R197" t="n">
        <v>44484</v>
      </c>
      <c r="AD197" t="inlineStr">
        <is>
          <t>TRUMBULL CAREER &amp; TECH CENTER</t>
        </is>
      </c>
      <c r="AE197" t="inlineStr">
        <is>
          <t>WARREN CITY</t>
        </is>
      </c>
      <c r="AF197" t="inlineStr">
        <is>
          <t>WARREN CITY SD</t>
        </is>
      </c>
      <c r="AH197" t="n">
        <v>14</v>
      </c>
      <c r="AI197" t="n">
        <v>11</v>
      </c>
      <c r="AN197" t="inlineStr">
        <is>
          <t>WARREN</t>
        </is>
      </c>
      <c r="AO197" t="inlineStr">
        <is>
          <t>WARREN CITY 4A</t>
        </is>
      </c>
      <c r="AP197" t="inlineStr">
        <is>
          <t>78-P-ADI</t>
        </is>
      </c>
      <c r="AQ197" t="n">
        <v>9</v>
      </c>
      <c r="AR197" t="n">
        <v>64</v>
      </c>
      <c r="AS197" t="n">
        <v>32</v>
      </c>
      <c r="AU197">
        <f>COUNTA($BA$197:$EH$197)</f>
        <v/>
      </c>
      <c r="AV197">
        <f>COUNTIF($BA$197:$EH$197,"D")</f>
        <v/>
      </c>
      <c r="AW197">
        <f>COUNTIF($BA$197:$EH$197,"R")</f>
        <v/>
      </c>
      <c r="AX197">
        <f>IF(BN197="D",1,0)+IF(BO197="D",1,0)+IF(BT197="D",1,0)+IF(BU197="D",1,0)+IF(BW197="D",1,0)+IF(CC197="D",1,0)+IF(CD197="D",1,0)+IF(CE197="D",1,0)+IF(CF197="D",1,0)+IF(CL197="D",1,0)+IF(CM197="D",1,0)+IF(CQ197="D",1,0)+IF(CR197="D",1,0)+IF(CS197="D",1,0)+IF(CW197="D",1,0)+IF(CX197="D",1,0)+IF(DD197="D",1,0)+IF(DE197="D",1,0)+IF(DJ197="D",1,0)+IF(DK197="D",1,0)+IF(DO197="D",1,0)+IF(DP197="D",1,0)+IF(DQ197="D",1,0)+IF(DW197="D",1,0)+IF(DZ197="D",1,0)+IF(EH197="D",1,0)</f>
        <v/>
      </c>
      <c r="AY197">
        <f>IF(DJ197&lt;&gt;"",1,0)+IF(DK197&lt;&gt;"",1,0)+IF(DM197&lt;&gt;"",1,0)+IF(DO197&lt;&gt;"",1,0)+IF(DP197&lt;&gt;"",1,0)+IF(DQ197&lt;&gt;"",1,0)+IF(DS197&lt;&gt;"",1,0)+IF(DT197&lt;&gt;"",1,0)+IF(DV197&lt;&gt;"",1,0)+IF(DW197&lt;&gt;"",1,0)+IF(DX197&lt;&gt;"",1,0)+IF(DY197&lt;&gt;"",1,0)+IF(DZ197&lt;&gt;"",1,0)+IF(EB197&lt;&gt;"",1,0)+IF(EC197&lt;&gt;"",1,0)+IF(ED197&lt;&gt;"",1,0)+IF(EG197&lt;&gt;"",1,0)+IF(EH197&lt;&gt;"",1,0)</f>
        <v/>
      </c>
      <c r="AZ197">
        <f>IF(EH197&lt;&gt;"",1,0)</f>
        <v/>
      </c>
      <c r="BB197" t="inlineStr">
        <is>
          <t>WARREN-WARD 4</t>
        </is>
      </c>
      <c r="BL197" t="inlineStr">
        <is>
          <t>X</t>
        </is>
      </c>
      <c r="BP197" t="inlineStr">
        <is>
          <t>X</t>
        </is>
      </c>
      <c r="BR197" t="inlineStr">
        <is>
          <t>X</t>
        </is>
      </c>
      <c r="BS197" t="inlineStr">
        <is>
          <t>X</t>
        </is>
      </c>
      <c r="BT197" t="inlineStr">
        <is>
          <t>X</t>
        </is>
      </c>
      <c r="BV197" t="inlineStr">
        <is>
          <t>X</t>
        </is>
      </c>
      <c r="BY197" t="inlineStr">
        <is>
          <t>R</t>
        </is>
      </c>
      <c r="CA197" t="inlineStr">
        <is>
          <t>X</t>
        </is>
      </c>
      <c r="CG197" t="inlineStr">
        <is>
          <t>X</t>
        </is>
      </c>
      <c r="CH197" t="inlineStr">
        <is>
          <t>R</t>
        </is>
      </c>
      <c r="CK197" t="inlineStr">
        <is>
          <t>X</t>
        </is>
      </c>
      <c r="CN197" t="inlineStr">
        <is>
          <t>X</t>
        </is>
      </c>
      <c r="CO197" t="inlineStr">
        <is>
          <t>R</t>
        </is>
      </c>
      <c r="CP197" t="inlineStr">
        <is>
          <t>X</t>
        </is>
      </c>
      <c r="CQ197" t="inlineStr">
        <is>
          <t>D</t>
        </is>
      </c>
      <c r="CT197" t="inlineStr">
        <is>
          <t>X</t>
        </is>
      </c>
      <c r="CU197" t="inlineStr">
        <is>
          <t>R</t>
        </is>
      </c>
      <c r="CV197" t="inlineStr">
        <is>
          <t>X</t>
        </is>
      </c>
      <c r="CY197" t="inlineStr">
        <is>
          <t>X</t>
        </is>
      </c>
      <c r="CZ197" t="inlineStr">
        <is>
          <t>R</t>
        </is>
      </c>
      <c r="DC197" t="inlineStr">
        <is>
          <t>X</t>
        </is>
      </c>
      <c r="DD197" t="inlineStr">
        <is>
          <t>D</t>
        </is>
      </c>
      <c r="DF197" t="inlineStr">
        <is>
          <t>X</t>
        </is>
      </c>
      <c r="DG197" t="inlineStr">
        <is>
          <t>R</t>
        </is>
      </c>
      <c r="DI197" t="inlineStr">
        <is>
          <t>X</t>
        </is>
      </c>
      <c r="DL197" t="inlineStr">
        <is>
          <t>X</t>
        </is>
      </c>
      <c r="DM197" t="inlineStr">
        <is>
          <t>R</t>
        </is>
      </c>
      <c r="DN197" t="inlineStr">
        <is>
          <t>X</t>
        </is>
      </c>
      <c r="DS197" t="inlineStr">
        <is>
          <t>R</t>
        </is>
      </c>
      <c r="DT197" t="inlineStr">
        <is>
          <t>R</t>
        </is>
      </c>
      <c r="DU197" t="inlineStr">
        <is>
          <t>X</t>
        </is>
      </c>
      <c r="DW197" t="inlineStr">
        <is>
          <t>X</t>
        </is>
      </c>
      <c r="DX197" t="inlineStr">
        <is>
          <t>X</t>
        </is>
      </c>
      <c r="EA197" t="inlineStr">
        <is>
          <t>X</t>
        </is>
      </c>
      <c r="ED197" t="inlineStr">
        <is>
          <t>R</t>
        </is>
      </c>
      <c r="EF197" t="inlineStr">
        <is>
          <t>X</t>
        </is>
      </c>
      <c r="EH197" t="inlineStr">
        <is>
          <t>X</t>
        </is>
      </c>
    </row>
    <row r="198">
      <c r="A198" t="inlineStr">
        <is>
          <t>OH0023702389</t>
        </is>
      </c>
      <c r="B198" t="n">
        <v>78</v>
      </c>
      <c r="C198" t="n">
        <v>416948</v>
      </c>
      <c r="D198" t="inlineStr">
        <is>
          <t>PADEN</t>
        </is>
      </c>
      <c r="E198" t="inlineStr">
        <is>
          <t>JENNIFER</t>
        </is>
      </c>
      <c r="F198">
        <f>CONCATENATE(D198," ",LEFT(H198,4),"T=",AU198,"D=",AV198,"R=",AW198,"M=",AX198,"L=",AY198,"B=",AZ198)</f>
        <v/>
      </c>
      <c r="G198" t="inlineStr">
        <is>
          <t>G</t>
        </is>
      </c>
      <c r="I198" t="inlineStr">
        <is>
          <t>1980-01-15</t>
        </is>
      </c>
      <c r="J198" t="inlineStr">
        <is>
          <t>2018-07-20</t>
        </is>
      </c>
      <c r="K198" t="inlineStr">
        <is>
          <t>ACTIVE</t>
        </is>
      </c>
      <c r="M198" t="inlineStr">
        <is>
          <t>800 WOODBINE AVE SE</t>
        </is>
      </c>
      <c r="N198">
        <f>RIGHT(M198,LEN(M198)-FIND(" ",M198))</f>
        <v/>
      </c>
      <c r="P198" t="inlineStr">
        <is>
          <t>WARREN</t>
        </is>
      </c>
      <c r="Q198" t="inlineStr">
        <is>
          <t>OH</t>
        </is>
      </c>
      <c r="R198" t="n">
        <v>44484</v>
      </c>
      <c r="AD198" t="inlineStr">
        <is>
          <t>TRUMBULL CAREER &amp; TECH CENTER</t>
        </is>
      </c>
      <c r="AE198" t="inlineStr">
        <is>
          <t>WARREN CITY</t>
        </is>
      </c>
      <c r="AF198" t="inlineStr">
        <is>
          <t>WARREN CITY SD</t>
        </is>
      </c>
      <c r="AH198" t="n">
        <v>14</v>
      </c>
      <c r="AI198" t="n">
        <v>11</v>
      </c>
      <c r="AN198" t="inlineStr">
        <is>
          <t>WARREN</t>
        </is>
      </c>
      <c r="AO198" t="inlineStr">
        <is>
          <t>WARREN CITY 4A</t>
        </is>
      </c>
      <c r="AP198" t="inlineStr">
        <is>
          <t>78-P-ADI</t>
        </is>
      </c>
      <c r="AQ198" t="n">
        <v>9</v>
      </c>
      <c r="AR198" t="n">
        <v>64</v>
      </c>
      <c r="AS198" t="n">
        <v>32</v>
      </c>
      <c r="AU198">
        <f>COUNTA($BA$198:$EH$198)</f>
        <v/>
      </c>
      <c r="AV198">
        <f>COUNTIF($BA$198:$EH$198,"D")</f>
        <v/>
      </c>
      <c r="AW198">
        <f>COUNTIF($BA$198:$EH$198,"R")</f>
        <v/>
      </c>
      <c r="AX198">
        <f>IF(BN198="D",1,0)+IF(BO198="D",1,0)+IF(BT198="D",1,0)+IF(BU198="D",1,0)+IF(BW198="D",1,0)+IF(CC198="D",1,0)+IF(CD198="D",1,0)+IF(CE198="D",1,0)+IF(CF198="D",1,0)+IF(CL198="D",1,0)+IF(CM198="D",1,0)+IF(CQ198="D",1,0)+IF(CR198="D",1,0)+IF(CS198="D",1,0)+IF(CW198="D",1,0)+IF(CX198="D",1,0)+IF(DD198="D",1,0)+IF(DE198="D",1,0)+IF(DJ198="D",1,0)+IF(DK198="D",1,0)+IF(DO198="D",1,0)+IF(DP198="D",1,0)+IF(DQ198="D",1,0)+IF(DW198="D",1,0)+IF(DZ198="D",1,0)+IF(EH198="D",1,0)</f>
        <v/>
      </c>
      <c r="AY198">
        <f>IF(DJ198&lt;&gt;"",1,0)+IF(DK198&lt;&gt;"",1,0)+IF(DM198&lt;&gt;"",1,0)+IF(DO198&lt;&gt;"",1,0)+IF(DP198&lt;&gt;"",1,0)+IF(DQ198&lt;&gt;"",1,0)+IF(DS198&lt;&gt;"",1,0)+IF(DT198&lt;&gt;"",1,0)+IF(DV198&lt;&gt;"",1,0)+IF(DW198&lt;&gt;"",1,0)+IF(DX198&lt;&gt;"",1,0)+IF(DY198&lt;&gt;"",1,0)+IF(DZ198&lt;&gt;"",1,0)+IF(EB198&lt;&gt;"",1,0)+IF(EC198&lt;&gt;"",1,0)+IF(ED198&lt;&gt;"",1,0)+IF(EG198&lt;&gt;"",1,0)+IF(EH198&lt;&gt;"",1,0)</f>
        <v/>
      </c>
      <c r="AZ198">
        <f>IF(EH198&lt;&gt;"",1,0)</f>
        <v/>
      </c>
      <c r="BB198" t="inlineStr">
        <is>
          <t>WARREN-WARD 4</t>
        </is>
      </c>
      <c r="DC198" t="inlineStr">
        <is>
          <t>X</t>
        </is>
      </c>
    </row>
    <row r="199">
      <c r="A199" t="inlineStr">
        <is>
          <t>OH0015687226</t>
        </is>
      </c>
      <c r="B199" t="n">
        <v>78</v>
      </c>
      <c r="C199" t="n">
        <v>12630</v>
      </c>
      <c r="D199" t="inlineStr">
        <is>
          <t>FERRIS</t>
        </is>
      </c>
      <c r="E199" t="inlineStr">
        <is>
          <t>ROSELYN</t>
        </is>
      </c>
      <c r="F199">
        <f>CONCATENATE(D199," ",LEFT(H199,4),"T=",AU199,"D=",AV199,"R=",AW199,"M=",AX199,"L=",AY199,"B=",AZ199)</f>
        <v/>
      </c>
      <c r="G199" t="inlineStr">
        <is>
          <t>J</t>
        </is>
      </c>
      <c r="I199" t="inlineStr">
        <is>
          <t>1945-06-04</t>
        </is>
      </c>
      <c r="J199" t="inlineStr">
        <is>
          <t>1967-03-22</t>
        </is>
      </c>
      <c r="K199" t="inlineStr">
        <is>
          <t>ACTIVE</t>
        </is>
      </c>
      <c r="L199" t="inlineStr">
        <is>
          <t>D</t>
        </is>
      </c>
      <c r="M199" t="inlineStr">
        <is>
          <t>517 WOODBINE AVE SE</t>
        </is>
      </c>
      <c r="N199">
        <f>RIGHT(M199,LEN(M199)-FIND(" ",M199))</f>
        <v/>
      </c>
      <c r="P199" t="inlineStr">
        <is>
          <t>WARREN</t>
        </is>
      </c>
      <c r="Q199" t="inlineStr">
        <is>
          <t>OH</t>
        </is>
      </c>
      <c r="R199" t="n">
        <v>44483</v>
      </c>
      <c r="AD199" t="inlineStr">
        <is>
          <t>TRUMBULL CAREER &amp; TECH CENTER</t>
        </is>
      </c>
      <c r="AE199" t="inlineStr">
        <is>
          <t>WARREN CITY</t>
        </is>
      </c>
      <c r="AF199" t="inlineStr">
        <is>
          <t>WARREN CITY SD</t>
        </is>
      </c>
      <c r="AH199" t="n">
        <v>14</v>
      </c>
      <c r="AI199" t="n">
        <v>11</v>
      </c>
      <c r="AN199" t="inlineStr">
        <is>
          <t>WARREN</t>
        </is>
      </c>
      <c r="AO199" t="inlineStr">
        <is>
          <t>WARREN CITY 4A</t>
        </is>
      </c>
      <c r="AP199" t="inlineStr">
        <is>
          <t>78-P-ADI</t>
        </is>
      </c>
      <c r="AQ199" t="n">
        <v>9</v>
      </c>
      <c r="AR199" t="n">
        <v>64</v>
      </c>
      <c r="AS199" t="n">
        <v>32</v>
      </c>
      <c r="AU199">
        <f>COUNTA($BA$199:$EH$199)</f>
        <v/>
      </c>
      <c r="AV199">
        <f>COUNTIF($BA$199:$EH$199,"D")</f>
        <v/>
      </c>
      <c r="AW199">
        <f>COUNTIF($BA$199:$EH$199,"R")</f>
        <v/>
      </c>
      <c r="AX199">
        <f>IF(BN199="D",1,0)+IF(BO199="D",1,0)+IF(BT199="D",1,0)+IF(BU199="D",1,0)+IF(BW199="D",1,0)+IF(CC199="D",1,0)+IF(CD199="D",1,0)+IF(CE199="D",1,0)+IF(CF199="D",1,0)+IF(CL199="D",1,0)+IF(CM199="D",1,0)+IF(CQ199="D",1,0)+IF(CR199="D",1,0)+IF(CS199="D",1,0)+IF(CW199="D",1,0)+IF(CX199="D",1,0)+IF(DD199="D",1,0)+IF(DE199="D",1,0)+IF(DJ199="D",1,0)+IF(DK199="D",1,0)+IF(DO199="D",1,0)+IF(DP199="D",1,0)+IF(DQ199="D",1,0)+IF(DW199="D",1,0)+IF(DZ199="D",1,0)+IF(EH199="D",1,0)</f>
        <v/>
      </c>
      <c r="AY199">
        <f>IF(DJ199&lt;&gt;"",1,0)+IF(DK199&lt;&gt;"",1,0)+IF(DM199&lt;&gt;"",1,0)+IF(DO199&lt;&gt;"",1,0)+IF(DP199&lt;&gt;"",1,0)+IF(DQ199&lt;&gt;"",1,0)+IF(DS199&lt;&gt;"",1,0)+IF(DT199&lt;&gt;"",1,0)+IF(DV199&lt;&gt;"",1,0)+IF(DW199&lt;&gt;"",1,0)+IF(DX199&lt;&gt;"",1,0)+IF(DY199&lt;&gt;"",1,0)+IF(DZ199&lt;&gt;"",1,0)+IF(EB199&lt;&gt;"",1,0)+IF(EC199&lt;&gt;"",1,0)+IF(ED199&lt;&gt;"",1,0)+IF(EG199&lt;&gt;"",1,0)+IF(EH199&lt;&gt;"",1,0)</f>
        <v/>
      </c>
      <c r="AZ199">
        <f>IF(EH199&lt;&gt;"",1,0)</f>
        <v/>
      </c>
      <c r="BB199" t="inlineStr">
        <is>
          <t>WARREN-WARD 4</t>
        </is>
      </c>
      <c r="BC199" t="inlineStr">
        <is>
          <t>X</t>
        </is>
      </c>
      <c r="BD199" t="inlineStr">
        <is>
          <t>X</t>
        </is>
      </c>
      <c r="BE199" t="inlineStr">
        <is>
          <t>X</t>
        </is>
      </c>
      <c r="BF199" t="inlineStr">
        <is>
          <t>X</t>
        </is>
      </c>
      <c r="BG199" t="inlineStr">
        <is>
          <t>X</t>
        </is>
      </c>
      <c r="BH199" t="inlineStr">
        <is>
          <t>X</t>
        </is>
      </c>
      <c r="BI199" t="inlineStr">
        <is>
          <t>X</t>
        </is>
      </c>
      <c r="BJ199" t="inlineStr">
        <is>
          <t>X</t>
        </is>
      </c>
      <c r="BK199" t="inlineStr">
        <is>
          <t>X</t>
        </is>
      </c>
      <c r="BL199" t="inlineStr">
        <is>
          <t>X</t>
        </is>
      </c>
      <c r="BP199" t="inlineStr">
        <is>
          <t>X</t>
        </is>
      </c>
      <c r="BR199" t="inlineStr">
        <is>
          <t>X</t>
        </is>
      </c>
      <c r="BS199" t="inlineStr">
        <is>
          <t>X</t>
        </is>
      </c>
      <c r="BT199" t="inlineStr">
        <is>
          <t>X</t>
        </is>
      </c>
      <c r="BV199" t="inlineStr">
        <is>
          <t>X</t>
        </is>
      </c>
      <c r="BY199" t="inlineStr">
        <is>
          <t>D</t>
        </is>
      </c>
      <c r="CA199" t="inlineStr">
        <is>
          <t>X</t>
        </is>
      </c>
      <c r="CC199" t="inlineStr">
        <is>
          <t>D</t>
        </is>
      </c>
      <c r="CG199" t="inlineStr">
        <is>
          <t>X</t>
        </is>
      </c>
      <c r="CH199" t="inlineStr">
        <is>
          <t>D</t>
        </is>
      </c>
      <c r="CK199" t="inlineStr">
        <is>
          <t>X</t>
        </is>
      </c>
      <c r="CL199" t="inlineStr">
        <is>
          <t>D</t>
        </is>
      </c>
      <c r="CN199" t="inlineStr">
        <is>
          <t>X</t>
        </is>
      </c>
      <c r="CO199" t="inlineStr">
        <is>
          <t>D</t>
        </is>
      </c>
      <c r="CP199" t="inlineStr">
        <is>
          <t>X</t>
        </is>
      </c>
      <c r="CQ199" t="inlineStr">
        <is>
          <t>D</t>
        </is>
      </c>
      <c r="CT199" t="inlineStr">
        <is>
          <t>X</t>
        </is>
      </c>
      <c r="CU199" t="inlineStr">
        <is>
          <t>D</t>
        </is>
      </c>
      <c r="CV199" t="inlineStr">
        <is>
          <t>X</t>
        </is>
      </c>
      <c r="CW199" t="inlineStr">
        <is>
          <t>D</t>
        </is>
      </c>
      <c r="CY199" t="inlineStr">
        <is>
          <t>X</t>
        </is>
      </c>
      <c r="CZ199" t="inlineStr">
        <is>
          <t>D</t>
        </is>
      </c>
      <c r="DC199" t="inlineStr">
        <is>
          <t>X</t>
        </is>
      </c>
      <c r="DD199" t="inlineStr">
        <is>
          <t>D</t>
        </is>
      </c>
      <c r="DF199" t="inlineStr">
        <is>
          <t>X</t>
        </is>
      </c>
      <c r="DG199" t="inlineStr">
        <is>
          <t>D</t>
        </is>
      </c>
      <c r="DI199" t="inlineStr">
        <is>
          <t>X</t>
        </is>
      </c>
      <c r="DL199" t="inlineStr">
        <is>
          <t>X</t>
        </is>
      </c>
      <c r="DM199" t="inlineStr">
        <is>
          <t>D</t>
        </is>
      </c>
      <c r="DN199" t="inlineStr">
        <is>
          <t>X</t>
        </is>
      </c>
      <c r="DR199" t="inlineStr">
        <is>
          <t>X</t>
        </is>
      </c>
      <c r="DS199" t="inlineStr">
        <is>
          <t>D</t>
        </is>
      </c>
      <c r="DT199" t="inlineStr">
        <is>
          <t>D</t>
        </is>
      </c>
      <c r="DU199" t="inlineStr">
        <is>
          <t>X</t>
        </is>
      </c>
      <c r="DW199" t="inlineStr">
        <is>
          <t>D</t>
        </is>
      </c>
      <c r="DX199" t="inlineStr">
        <is>
          <t>X</t>
        </is>
      </c>
      <c r="EA199" t="inlineStr">
        <is>
          <t>X</t>
        </is>
      </c>
      <c r="ED199" t="inlineStr">
        <is>
          <t>D</t>
        </is>
      </c>
      <c r="EF199" t="inlineStr">
        <is>
          <t>X</t>
        </is>
      </c>
      <c r="EH199" t="inlineStr">
        <is>
          <t>D</t>
        </is>
      </c>
    </row>
    <row r="200">
      <c r="A200" t="inlineStr">
        <is>
          <t>OH0019479988</t>
        </is>
      </c>
      <c r="B200" t="n">
        <v>78</v>
      </c>
      <c r="C200" t="n">
        <v>354355</v>
      </c>
      <c r="D200" t="inlineStr">
        <is>
          <t>DAVIS</t>
        </is>
      </c>
      <c r="E200" t="inlineStr">
        <is>
          <t>ROGER</t>
        </is>
      </c>
      <c r="F200">
        <f>CONCATENATE(D200," ",LEFT(H200,4),"T=",AU200,"D=",AV200,"R=",AW200,"M=",AX200,"L=",AY200,"B=",AZ200)</f>
        <v/>
      </c>
      <c r="G200" t="inlineStr">
        <is>
          <t>K</t>
        </is>
      </c>
      <c r="H200" t="inlineStr">
        <is>
          <t>JR</t>
        </is>
      </c>
      <c r="I200" t="inlineStr">
        <is>
          <t>1967-03-23</t>
        </is>
      </c>
      <c r="J200" t="inlineStr">
        <is>
          <t>2019-07-15</t>
        </is>
      </c>
      <c r="K200" t="inlineStr">
        <is>
          <t>ACTIVE</t>
        </is>
      </c>
      <c r="L200" t="inlineStr">
        <is>
          <t>R</t>
        </is>
      </c>
      <c r="M200" t="inlineStr">
        <is>
          <t>836 KENILWORTH AVE SE</t>
        </is>
      </c>
      <c r="N200">
        <f>RIGHT(M200,LEN(M200)-FIND(" ",M200))</f>
        <v/>
      </c>
      <c r="P200" t="inlineStr">
        <is>
          <t>WARREN</t>
        </is>
      </c>
      <c r="Q200" t="inlineStr">
        <is>
          <t>OH</t>
        </is>
      </c>
      <c r="R200" t="n">
        <v>44484</v>
      </c>
      <c r="AD200" t="inlineStr">
        <is>
          <t>TRUMBULL CAREER &amp; TECH CENTER</t>
        </is>
      </c>
      <c r="AE200" t="inlineStr">
        <is>
          <t>WARREN CITY</t>
        </is>
      </c>
      <c r="AF200" t="inlineStr">
        <is>
          <t>WARREN CITY SD</t>
        </is>
      </c>
      <c r="AH200" t="n">
        <v>14</v>
      </c>
      <c r="AI200" t="n">
        <v>11</v>
      </c>
      <c r="AN200" t="inlineStr">
        <is>
          <t>WARREN</t>
        </is>
      </c>
      <c r="AO200" t="inlineStr">
        <is>
          <t>WARREN CITY 4A</t>
        </is>
      </c>
      <c r="AP200" t="inlineStr">
        <is>
          <t>78-P-ADI</t>
        </is>
      </c>
      <c r="AQ200" t="n">
        <v>9</v>
      </c>
      <c r="AR200" t="n">
        <v>64</v>
      </c>
      <c r="AS200" t="n">
        <v>32</v>
      </c>
      <c r="AU200">
        <f>COUNTA($BA$200:$EH$200)</f>
        <v/>
      </c>
      <c r="AV200">
        <f>COUNTIF($BA$200:$EH$200,"D")</f>
        <v/>
      </c>
      <c r="AW200">
        <f>COUNTIF($BA$200:$EH$200,"R")</f>
        <v/>
      </c>
      <c r="AX200">
        <f>IF(BN200="D",1,0)+IF(BO200="D",1,0)+IF(BT200="D",1,0)+IF(BU200="D",1,0)+IF(BW200="D",1,0)+IF(CC200="D",1,0)+IF(CD200="D",1,0)+IF(CE200="D",1,0)+IF(CF200="D",1,0)+IF(CL200="D",1,0)+IF(CM200="D",1,0)+IF(CQ200="D",1,0)+IF(CR200="D",1,0)+IF(CS200="D",1,0)+IF(CW200="D",1,0)+IF(CX200="D",1,0)+IF(DD200="D",1,0)+IF(DE200="D",1,0)+IF(DJ200="D",1,0)+IF(DK200="D",1,0)+IF(DO200="D",1,0)+IF(DP200="D",1,0)+IF(DQ200="D",1,0)+IF(DW200="D",1,0)+IF(DZ200="D",1,0)+IF(EH200="D",1,0)</f>
        <v/>
      </c>
      <c r="AY200">
        <f>IF(DJ200&lt;&gt;"",1,0)+IF(DK200&lt;&gt;"",1,0)+IF(DM200&lt;&gt;"",1,0)+IF(DO200&lt;&gt;"",1,0)+IF(DP200&lt;&gt;"",1,0)+IF(DQ200&lt;&gt;"",1,0)+IF(DS200&lt;&gt;"",1,0)+IF(DT200&lt;&gt;"",1,0)+IF(DV200&lt;&gt;"",1,0)+IF(DW200&lt;&gt;"",1,0)+IF(DX200&lt;&gt;"",1,0)+IF(DY200&lt;&gt;"",1,0)+IF(DZ200&lt;&gt;"",1,0)+IF(EB200&lt;&gt;"",1,0)+IF(EC200&lt;&gt;"",1,0)+IF(ED200&lt;&gt;"",1,0)+IF(EG200&lt;&gt;"",1,0)+IF(EH200&lt;&gt;"",1,0)</f>
        <v/>
      </c>
      <c r="AZ200">
        <f>IF(EH200&lt;&gt;"",1,0)</f>
        <v/>
      </c>
      <c r="BB200" t="inlineStr">
        <is>
          <t>WARREN-WARD 4</t>
        </is>
      </c>
      <c r="BY200" t="inlineStr">
        <is>
          <t>D</t>
        </is>
      </c>
      <c r="CK200" t="inlineStr">
        <is>
          <t>X</t>
        </is>
      </c>
      <c r="CP200" t="inlineStr">
        <is>
          <t>X</t>
        </is>
      </c>
      <c r="DC200" t="inlineStr">
        <is>
          <t>X</t>
        </is>
      </c>
      <c r="DN200" t="inlineStr">
        <is>
          <t>X</t>
        </is>
      </c>
      <c r="DU200" t="inlineStr">
        <is>
          <t>X</t>
        </is>
      </c>
      <c r="EA200" t="inlineStr">
        <is>
          <t>X</t>
        </is>
      </c>
      <c r="ED200" t="inlineStr">
        <is>
          <t>R</t>
        </is>
      </c>
      <c r="EF200" t="inlineStr">
        <is>
          <t>X</t>
        </is>
      </c>
    </row>
    <row r="201">
      <c r="A201" t="inlineStr">
        <is>
          <t>OH0026722202</t>
        </is>
      </c>
      <c r="B201" t="n">
        <v>78</v>
      </c>
      <c r="C201" t="n">
        <v>466256</v>
      </c>
      <c r="D201" t="inlineStr">
        <is>
          <t>LENOX</t>
        </is>
      </c>
      <c r="E201" t="inlineStr">
        <is>
          <t>GREGORY</t>
        </is>
      </c>
      <c r="F201">
        <f>CONCATENATE(D201," ",LEFT(H201,4),"T=",AU201,"D=",AV201,"R=",AW201,"M=",AX201,"L=",AY201,"B=",AZ201)</f>
        <v/>
      </c>
      <c r="G201" t="inlineStr">
        <is>
          <t>C</t>
        </is>
      </c>
      <c r="I201" t="inlineStr">
        <is>
          <t>1975-04-25</t>
        </is>
      </c>
      <c r="J201" t="inlineStr">
        <is>
          <t>2022-11-08</t>
        </is>
      </c>
      <c r="K201" t="inlineStr">
        <is>
          <t>ACTIVE</t>
        </is>
      </c>
      <c r="L201" t="inlineStr">
        <is>
          <t>D</t>
        </is>
      </c>
      <c r="M201" t="inlineStr">
        <is>
          <t>797 KENILWORTH AVE SE</t>
        </is>
      </c>
      <c r="N201">
        <f>RIGHT(M201,LEN(M201)-FIND(" ",M201))</f>
        <v/>
      </c>
      <c r="P201" t="inlineStr">
        <is>
          <t>WARREN</t>
        </is>
      </c>
      <c r="Q201" t="inlineStr">
        <is>
          <t>OH</t>
        </is>
      </c>
      <c r="R201" t="n">
        <v>44484</v>
      </c>
      <c r="AD201" t="inlineStr">
        <is>
          <t>TRUMBULL CAREER &amp; TECH CENTER</t>
        </is>
      </c>
      <c r="AE201" t="inlineStr">
        <is>
          <t>WARREN CITY</t>
        </is>
      </c>
      <c r="AF201" t="inlineStr">
        <is>
          <t>WARREN CITY SD</t>
        </is>
      </c>
      <c r="AH201" t="n">
        <v>14</v>
      </c>
      <c r="AI201" t="n">
        <v>11</v>
      </c>
      <c r="AN201" t="inlineStr">
        <is>
          <t>WARREN</t>
        </is>
      </c>
      <c r="AO201" t="inlineStr">
        <is>
          <t>WARREN CITY 4A</t>
        </is>
      </c>
      <c r="AP201" t="inlineStr">
        <is>
          <t>78-P-ADI</t>
        </is>
      </c>
      <c r="AQ201" t="n">
        <v>9</v>
      </c>
      <c r="AR201" t="n">
        <v>64</v>
      </c>
      <c r="AS201" t="n">
        <v>32</v>
      </c>
      <c r="AU201">
        <f>COUNTA($BA$201:$EH$201)</f>
        <v/>
      </c>
      <c r="AV201">
        <f>COUNTIF($BA$201:$EH$201,"D")</f>
        <v/>
      </c>
      <c r="AW201">
        <f>COUNTIF($BA$201:$EH$201,"R")</f>
        <v/>
      </c>
      <c r="AX201">
        <f>IF(BN201="D",1,0)+IF(BO201="D",1,0)+IF(BT201="D",1,0)+IF(BU201="D",1,0)+IF(BW201="D",1,0)+IF(CC201="D",1,0)+IF(CD201="D",1,0)+IF(CE201="D",1,0)+IF(CF201="D",1,0)+IF(CL201="D",1,0)+IF(CM201="D",1,0)+IF(CQ201="D",1,0)+IF(CR201="D",1,0)+IF(CS201="D",1,0)+IF(CW201="D",1,0)+IF(CX201="D",1,0)+IF(DD201="D",1,0)+IF(DE201="D",1,0)+IF(DJ201="D",1,0)+IF(DK201="D",1,0)+IF(DO201="D",1,0)+IF(DP201="D",1,0)+IF(DQ201="D",1,0)+IF(DW201="D",1,0)+IF(DZ201="D",1,0)+IF(EH201="D",1,0)</f>
        <v/>
      </c>
      <c r="AY201">
        <f>IF(DJ201&lt;&gt;"",1,0)+IF(DK201&lt;&gt;"",1,0)+IF(DM201&lt;&gt;"",1,0)+IF(DO201&lt;&gt;"",1,0)+IF(DP201&lt;&gt;"",1,0)+IF(DQ201&lt;&gt;"",1,0)+IF(DS201&lt;&gt;"",1,0)+IF(DT201&lt;&gt;"",1,0)+IF(DV201&lt;&gt;"",1,0)+IF(DW201&lt;&gt;"",1,0)+IF(DX201&lt;&gt;"",1,0)+IF(DY201&lt;&gt;"",1,0)+IF(DZ201&lt;&gt;"",1,0)+IF(EB201&lt;&gt;"",1,0)+IF(EC201&lt;&gt;"",1,0)+IF(ED201&lt;&gt;"",1,0)+IF(EG201&lt;&gt;"",1,0)+IF(EH201&lt;&gt;"",1,0)</f>
        <v/>
      </c>
      <c r="AZ201">
        <f>IF(EH201&lt;&gt;"",1,0)</f>
        <v/>
      </c>
      <c r="BB201" t="inlineStr">
        <is>
          <t>WARREN-WARD 4</t>
        </is>
      </c>
      <c r="DC201" t="inlineStr">
        <is>
          <t>X</t>
        </is>
      </c>
      <c r="DN201" t="inlineStr">
        <is>
          <t>X</t>
        </is>
      </c>
      <c r="DU201" t="inlineStr">
        <is>
          <t>X</t>
        </is>
      </c>
      <c r="DW201" t="inlineStr">
        <is>
          <t>D</t>
        </is>
      </c>
      <c r="DX201" t="inlineStr">
        <is>
          <t>X</t>
        </is>
      </c>
      <c r="EA201" t="inlineStr">
        <is>
          <t>X</t>
        </is>
      </c>
      <c r="EF201" t="inlineStr">
        <is>
          <t>X</t>
        </is>
      </c>
    </row>
    <row r="202">
      <c r="A202" t="inlineStr">
        <is>
          <t>OH0015819232</t>
        </is>
      </c>
      <c r="B202" t="n">
        <v>78</v>
      </c>
      <c r="C202" t="n">
        <v>314214</v>
      </c>
      <c r="D202" t="inlineStr">
        <is>
          <t>GOYZUETA</t>
        </is>
      </c>
      <c r="E202" t="inlineStr">
        <is>
          <t>LUIS</t>
        </is>
      </c>
      <c r="F202">
        <f>CONCATENATE(D202," ",LEFT(H202,4),"T=",AU202,"D=",AV202,"R=",AW202,"M=",AX202,"L=",AY202,"B=",AZ202)</f>
        <v/>
      </c>
      <c r="G202" t="inlineStr">
        <is>
          <t>E</t>
        </is>
      </c>
      <c r="I202" t="inlineStr">
        <is>
          <t>1951-09-17</t>
        </is>
      </c>
      <c r="J202" t="inlineStr">
        <is>
          <t>2011-06-27</t>
        </is>
      </c>
      <c r="K202" t="inlineStr">
        <is>
          <t>ACTIVE</t>
        </is>
      </c>
      <c r="M202" t="inlineStr">
        <is>
          <t>438 HOMEWOOD AVE SE</t>
        </is>
      </c>
      <c r="N202">
        <f>RIGHT(M202,LEN(M202)-FIND(" ",M202))</f>
        <v/>
      </c>
      <c r="P202" t="inlineStr">
        <is>
          <t>WARREN</t>
        </is>
      </c>
      <c r="Q202" t="inlineStr">
        <is>
          <t>OH</t>
        </is>
      </c>
      <c r="R202" t="n">
        <v>44483</v>
      </c>
      <c r="AD202" t="inlineStr">
        <is>
          <t>TRUMBULL CAREER &amp; TECH CENTER</t>
        </is>
      </c>
      <c r="AE202" t="inlineStr">
        <is>
          <t>WARREN CITY</t>
        </is>
      </c>
      <c r="AF202" t="inlineStr">
        <is>
          <t>WARREN CITY SD</t>
        </is>
      </c>
      <c r="AH202" t="n">
        <v>14</v>
      </c>
      <c r="AI202" t="n">
        <v>11</v>
      </c>
      <c r="AN202" t="inlineStr">
        <is>
          <t>WARREN</t>
        </is>
      </c>
      <c r="AO202" t="inlineStr">
        <is>
          <t>WARREN CITY 4A</t>
        </is>
      </c>
      <c r="AP202" t="inlineStr">
        <is>
          <t>78-P-ADI</t>
        </is>
      </c>
      <c r="AQ202" t="n">
        <v>9</v>
      </c>
      <c r="AR202" t="n">
        <v>64</v>
      </c>
      <c r="AS202" t="n">
        <v>32</v>
      </c>
      <c r="AU202">
        <f>COUNTA($BA$202:$EH$202)</f>
        <v/>
      </c>
      <c r="AV202">
        <f>COUNTIF($BA$202:$EH$202,"D")</f>
        <v/>
      </c>
      <c r="AW202">
        <f>COUNTIF($BA$202:$EH$202,"R")</f>
        <v/>
      </c>
      <c r="AX202">
        <f>IF(BN202="D",1,0)+IF(BO202="D",1,0)+IF(BT202="D",1,0)+IF(BU202="D",1,0)+IF(BW202="D",1,0)+IF(CC202="D",1,0)+IF(CD202="D",1,0)+IF(CE202="D",1,0)+IF(CF202="D",1,0)+IF(CL202="D",1,0)+IF(CM202="D",1,0)+IF(CQ202="D",1,0)+IF(CR202="D",1,0)+IF(CS202="D",1,0)+IF(CW202="D",1,0)+IF(CX202="D",1,0)+IF(DD202="D",1,0)+IF(DE202="D",1,0)+IF(DJ202="D",1,0)+IF(DK202="D",1,0)+IF(DO202="D",1,0)+IF(DP202="D",1,0)+IF(DQ202="D",1,0)+IF(DW202="D",1,0)+IF(DZ202="D",1,0)+IF(EH202="D",1,0)</f>
        <v/>
      </c>
      <c r="AY202">
        <f>IF(DJ202&lt;&gt;"",1,0)+IF(DK202&lt;&gt;"",1,0)+IF(DM202&lt;&gt;"",1,0)+IF(DO202&lt;&gt;"",1,0)+IF(DP202&lt;&gt;"",1,0)+IF(DQ202&lt;&gt;"",1,0)+IF(DS202&lt;&gt;"",1,0)+IF(DT202&lt;&gt;"",1,0)+IF(DV202&lt;&gt;"",1,0)+IF(DW202&lt;&gt;"",1,0)+IF(DX202&lt;&gt;"",1,0)+IF(DY202&lt;&gt;"",1,0)+IF(DZ202&lt;&gt;"",1,0)+IF(EB202&lt;&gt;"",1,0)+IF(EC202&lt;&gt;"",1,0)+IF(ED202&lt;&gt;"",1,0)+IF(EG202&lt;&gt;"",1,0)+IF(EH202&lt;&gt;"",1,0)</f>
        <v/>
      </c>
      <c r="AZ202">
        <f>IF(EH202&lt;&gt;"",1,0)</f>
        <v/>
      </c>
      <c r="BB202" t="inlineStr">
        <is>
          <t>WARREN-WARD 4</t>
        </is>
      </c>
      <c r="BJ202" t="inlineStr">
        <is>
          <t>X</t>
        </is>
      </c>
      <c r="BL202" t="inlineStr">
        <is>
          <t>X</t>
        </is>
      </c>
      <c r="BY202" t="inlineStr">
        <is>
          <t>D</t>
        </is>
      </c>
      <c r="CA202" t="inlineStr">
        <is>
          <t>X</t>
        </is>
      </c>
      <c r="CP202" t="inlineStr">
        <is>
          <t>X</t>
        </is>
      </c>
      <c r="DC202" t="inlineStr">
        <is>
          <t>X</t>
        </is>
      </c>
      <c r="DI202" t="inlineStr">
        <is>
          <t>X</t>
        </is>
      </c>
      <c r="DN202" t="inlineStr">
        <is>
          <t>X</t>
        </is>
      </c>
      <c r="DU202" t="inlineStr">
        <is>
          <t>X</t>
        </is>
      </c>
      <c r="EA202" t="inlineStr">
        <is>
          <t>X</t>
        </is>
      </c>
      <c r="EF202" t="inlineStr">
        <is>
          <t>X</t>
        </is>
      </c>
    </row>
    <row r="203">
      <c r="A203" t="inlineStr">
        <is>
          <t>OH0015875256</t>
        </is>
      </c>
      <c r="B203" t="n">
        <v>78</v>
      </c>
      <c r="C203" t="n">
        <v>332497</v>
      </c>
      <c r="D203" t="inlineStr">
        <is>
          <t>CHIN</t>
        </is>
      </c>
      <c r="E203" t="inlineStr">
        <is>
          <t>KENNETH</t>
        </is>
      </c>
      <c r="F203">
        <f>CONCATENATE(D203," ",LEFT(H203,4),"T=",AU203,"D=",AV203,"R=",AW203,"M=",AX203,"L=",AY203,"B=",AZ203)</f>
        <v/>
      </c>
      <c r="G203" t="inlineStr">
        <is>
          <t>RAYMOND</t>
        </is>
      </c>
      <c r="I203" t="inlineStr">
        <is>
          <t>1958-05-16</t>
        </is>
      </c>
      <c r="J203" t="inlineStr">
        <is>
          <t>2022-06-28</t>
        </is>
      </c>
      <c r="K203" t="inlineStr">
        <is>
          <t>ACTIVE</t>
        </is>
      </c>
      <c r="L203" t="inlineStr">
        <is>
          <t>D</t>
        </is>
      </c>
      <c r="M203" t="inlineStr">
        <is>
          <t>796 EAST AVE SE</t>
        </is>
      </c>
      <c r="N203">
        <f>RIGHT(M203,LEN(M203)-FIND(" ",M203))</f>
        <v/>
      </c>
      <c r="P203" t="inlineStr">
        <is>
          <t>WARREN</t>
        </is>
      </c>
      <c r="Q203" t="inlineStr">
        <is>
          <t>OH</t>
        </is>
      </c>
      <c r="R203" t="n">
        <v>44484</v>
      </c>
      <c r="AD203" t="inlineStr">
        <is>
          <t>TRUMBULL CAREER &amp; TECH CENTER</t>
        </is>
      </c>
      <c r="AE203" t="inlineStr">
        <is>
          <t>WARREN CITY</t>
        </is>
      </c>
      <c r="AF203" t="inlineStr">
        <is>
          <t>WARREN CITY SD</t>
        </is>
      </c>
      <c r="AH203" t="n">
        <v>14</v>
      </c>
      <c r="AI203" t="n">
        <v>11</v>
      </c>
      <c r="AN203" t="inlineStr">
        <is>
          <t>WARREN</t>
        </is>
      </c>
      <c r="AO203" t="inlineStr">
        <is>
          <t>WARREN CITY 4A</t>
        </is>
      </c>
      <c r="AP203" t="inlineStr">
        <is>
          <t>78-P-ADI</t>
        </is>
      </c>
      <c r="AQ203" t="n">
        <v>9</v>
      </c>
      <c r="AR203" t="n">
        <v>64</v>
      </c>
      <c r="AS203" t="n">
        <v>32</v>
      </c>
      <c r="AU203">
        <f>COUNTA($BA$203:$EH$203)</f>
        <v/>
      </c>
      <c r="AV203">
        <f>COUNTIF($BA$203:$EH$203,"D")</f>
        <v/>
      </c>
      <c r="AW203">
        <f>COUNTIF($BA$203:$EH$203,"R")</f>
        <v/>
      </c>
      <c r="AX203">
        <f>IF(BN203="D",1,0)+IF(BO203="D",1,0)+IF(BT203="D",1,0)+IF(BU203="D",1,0)+IF(BW203="D",1,0)+IF(CC203="D",1,0)+IF(CD203="D",1,0)+IF(CE203="D",1,0)+IF(CF203="D",1,0)+IF(CL203="D",1,0)+IF(CM203="D",1,0)+IF(CQ203="D",1,0)+IF(CR203="D",1,0)+IF(CS203="D",1,0)+IF(CW203="D",1,0)+IF(CX203="D",1,0)+IF(DD203="D",1,0)+IF(DE203="D",1,0)+IF(DJ203="D",1,0)+IF(DK203="D",1,0)+IF(DO203="D",1,0)+IF(DP203="D",1,0)+IF(DQ203="D",1,0)+IF(DW203="D",1,0)+IF(DZ203="D",1,0)+IF(EH203="D",1,0)</f>
        <v/>
      </c>
      <c r="AY203">
        <f>IF(DJ203&lt;&gt;"",1,0)+IF(DK203&lt;&gt;"",1,0)+IF(DM203&lt;&gt;"",1,0)+IF(DO203&lt;&gt;"",1,0)+IF(DP203&lt;&gt;"",1,0)+IF(DQ203&lt;&gt;"",1,0)+IF(DS203&lt;&gt;"",1,0)+IF(DT203&lt;&gt;"",1,0)+IF(DV203&lt;&gt;"",1,0)+IF(DW203&lt;&gt;"",1,0)+IF(DX203&lt;&gt;"",1,0)+IF(DY203&lt;&gt;"",1,0)+IF(DZ203&lt;&gt;"",1,0)+IF(EB203&lt;&gt;"",1,0)+IF(EC203&lt;&gt;"",1,0)+IF(ED203&lt;&gt;"",1,0)+IF(EG203&lt;&gt;"",1,0)+IF(EH203&lt;&gt;"",1,0)</f>
        <v/>
      </c>
      <c r="AZ203">
        <f>IF(EH203&lt;&gt;"",1,0)</f>
        <v/>
      </c>
      <c r="BB203" t="inlineStr">
        <is>
          <t>WARREN-WARD 4</t>
        </is>
      </c>
      <c r="BL203" t="inlineStr">
        <is>
          <t>X</t>
        </is>
      </c>
      <c r="BS203" t="inlineStr">
        <is>
          <t>X</t>
        </is>
      </c>
      <c r="BY203" t="inlineStr">
        <is>
          <t>D</t>
        </is>
      </c>
      <c r="CA203" t="inlineStr">
        <is>
          <t>X</t>
        </is>
      </c>
      <c r="CG203" t="inlineStr">
        <is>
          <t>X</t>
        </is>
      </c>
      <c r="CK203" t="inlineStr">
        <is>
          <t>X</t>
        </is>
      </c>
      <c r="CL203" t="inlineStr">
        <is>
          <t>D</t>
        </is>
      </c>
      <c r="CN203" t="inlineStr">
        <is>
          <t>X</t>
        </is>
      </c>
      <c r="CP203" t="inlineStr">
        <is>
          <t>X</t>
        </is>
      </c>
      <c r="CQ203" t="inlineStr">
        <is>
          <t>D</t>
        </is>
      </c>
      <c r="CV203" t="inlineStr">
        <is>
          <t>X</t>
        </is>
      </c>
      <c r="CY203" t="inlineStr">
        <is>
          <t>X</t>
        </is>
      </c>
      <c r="CZ203" t="inlineStr">
        <is>
          <t>G</t>
        </is>
      </c>
      <c r="DC203" t="inlineStr">
        <is>
          <t>X</t>
        </is>
      </c>
      <c r="DI203" t="inlineStr">
        <is>
          <t>X</t>
        </is>
      </c>
      <c r="DN203" t="inlineStr">
        <is>
          <t>X</t>
        </is>
      </c>
      <c r="DR203" t="inlineStr">
        <is>
          <t>X</t>
        </is>
      </c>
      <c r="DU203" t="inlineStr">
        <is>
          <t>X</t>
        </is>
      </c>
      <c r="DW203" t="inlineStr">
        <is>
          <t>D</t>
        </is>
      </c>
      <c r="DX203" t="inlineStr">
        <is>
          <t>X</t>
        </is>
      </c>
      <c r="EA203" t="inlineStr">
        <is>
          <t>X</t>
        </is>
      </c>
      <c r="EF203" t="inlineStr">
        <is>
          <t>X</t>
        </is>
      </c>
      <c r="EH203" t="inlineStr">
        <is>
          <t>D</t>
        </is>
      </c>
    </row>
    <row r="204">
      <c r="A204" t="inlineStr">
        <is>
          <t>OH0025451123</t>
        </is>
      </c>
      <c r="B204" t="n">
        <v>78</v>
      </c>
      <c r="C204" t="n">
        <v>444907</v>
      </c>
      <c r="D204" t="inlineStr">
        <is>
          <t>RICE</t>
        </is>
      </c>
      <c r="E204" t="inlineStr">
        <is>
          <t>ANTHONY</t>
        </is>
      </c>
      <c r="F204">
        <f>CONCATENATE(D204," ",LEFT(H204,4),"T=",AU204,"D=",AV204,"R=",AW204,"M=",AX204,"L=",AY204,"B=",AZ204)</f>
        <v/>
      </c>
      <c r="G204" t="inlineStr">
        <is>
          <t>D</t>
        </is>
      </c>
      <c r="I204" t="inlineStr">
        <is>
          <t>2001-10-26</t>
        </is>
      </c>
      <c r="J204" t="inlineStr">
        <is>
          <t>2020-02-14</t>
        </is>
      </c>
      <c r="K204" t="inlineStr">
        <is>
          <t>CONFIRMATION</t>
        </is>
      </c>
      <c r="M204" t="inlineStr">
        <is>
          <t>567 OAK KNOLL AVE SE</t>
        </is>
      </c>
      <c r="N204">
        <f>RIGHT(M204,LEN(M204)-FIND(" ",M204))</f>
        <v/>
      </c>
      <c r="P204" t="inlineStr">
        <is>
          <t>WARREN</t>
        </is>
      </c>
      <c r="Q204" t="inlineStr">
        <is>
          <t>OH</t>
        </is>
      </c>
      <c r="R204" t="n">
        <v>44483</v>
      </c>
      <c r="AD204" t="inlineStr">
        <is>
          <t>TRUMBULL CAREER &amp; TECH CENTER</t>
        </is>
      </c>
      <c r="AE204" t="inlineStr">
        <is>
          <t>WARREN CITY</t>
        </is>
      </c>
      <c r="AF204" t="inlineStr">
        <is>
          <t>WARREN CITY SD</t>
        </is>
      </c>
      <c r="AH204" t="n">
        <v>14</v>
      </c>
      <c r="AI204" t="n">
        <v>11</v>
      </c>
      <c r="AN204" t="inlineStr">
        <is>
          <t>WARREN</t>
        </is>
      </c>
      <c r="AO204" t="inlineStr">
        <is>
          <t>WARREN CITY 4A</t>
        </is>
      </c>
      <c r="AP204" t="inlineStr">
        <is>
          <t>78-P-ADI</t>
        </is>
      </c>
      <c r="AQ204" t="n">
        <v>9</v>
      </c>
      <c r="AR204" t="n">
        <v>64</v>
      </c>
      <c r="AS204" t="n">
        <v>32</v>
      </c>
      <c r="AU204">
        <f>COUNTA($BA$204:$EH$204)</f>
        <v/>
      </c>
      <c r="AV204">
        <f>COUNTIF($BA$204:$EH$204,"D")</f>
        <v/>
      </c>
      <c r="AW204">
        <f>COUNTIF($BA$204:$EH$204,"R")</f>
        <v/>
      </c>
      <c r="AX204">
        <f>IF(BN204="D",1,0)+IF(BO204="D",1,0)+IF(BT204="D",1,0)+IF(BU204="D",1,0)+IF(BW204="D",1,0)+IF(CC204="D",1,0)+IF(CD204="D",1,0)+IF(CE204="D",1,0)+IF(CF204="D",1,0)+IF(CL204="D",1,0)+IF(CM204="D",1,0)+IF(CQ204="D",1,0)+IF(CR204="D",1,0)+IF(CS204="D",1,0)+IF(CW204="D",1,0)+IF(CX204="D",1,0)+IF(DD204="D",1,0)+IF(DE204="D",1,0)+IF(DJ204="D",1,0)+IF(DK204="D",1,0)+IF(DO204="D",1,0)+IF(DP204="D",1,0)+IF(DQ204="D",1,0)+IF(DW204="D",1,0)+IF(DZ204="D",1,0)+IF(EH204="D",1,0)</f>
        <v/>
      </c>
      <c r="AY204">
        <f>IF(DJ204&lt;&gt;"",1,0)+IF(DK204&lt;&gt;"",1,0)+IF(DM204&lt;&gt;"",1,0)+IF(DO204&lt;&gt;"",1,0)+IF(DP204&lt;&gt;"",1,0)+IF(DQ204&lt;&gt;"",1,0)+IF(DS204&lt;&gt;"",1,0)+IF(DT204&lt;&gt;"",1,0)+IF(DV204&lt;&gt;"",1,0)+IF(DW204&lt;&gt;"",1,0)+IF(DX204&lt;&gt;"",1,0)+IF(DY204&lt;&gt;"",1,0)+IF(DZ204&lt;&gt;"",1,0)+IF(EB204&lt;&gt;"",1,0)+IF(EC204&lt;&gt;"",1,0)+IF(ED204&lt;&gt;"",1,0)+IF(EG204&lt;&gt;"",1,0)+IF(EH204&lt;&gt;"",1,0)</f>
        <v/>
      </c>
      <c r="AZ204">
        <f>IF(EH204&lt;&gt;"",1,0)</f>
        <v/>
      </c>
      <c r="BB204" t="inlineStr">
        <is>
          <t>WARREN-WARD 4</t>
        </is>
      </c>
    </row>
    <row r="205">
      <c r="A205" t="inlineStr">
        <is>
          <t>OH0022575017</t>
        </is>
      </c>
      <c r="B205" t="n">
        <v>78</v>
      </c>
      <c r="C205" t="n">
        <v>398654</v>
      </c>
      <c r="D205" t="inlineStr">
        <is>
          <t>JOURNEY</t>
        </is>
      </c>
      <c r="E205" t="inlineStr">
        <is>
          <t>JUSTIN</t>
        </is>
      </c>
      <c r="F205">
        <f>CONCATENATE(D205," ",LEFT(H205,4),"T=",AU205,"D=",AV205,"R=",AW205,"M=",AX205,"L=",AY205,"B=",AZ205)</f>
        <v/>
      </c>
      <c r="G205" t="inlineStr">
        <is>
          <t>DAVID</t>
        </is>
      </c>
      <c r="I205" t="inlineStr">
        <is>
          <t>1995-10-05</t>
        </is>
      </c>
      <c r="J205" t="inlineStr">
        <is>
          <t>2024-11-05</t>
        </is>
      </c>
      <c r="K205" t="inlineStr">
        <is>
          <t>ACTIVE</t>
        </is>
      </c>
      <c r="M205" t="inlineStr">
        <is>
          <t>319 CHARLES AVE SE</t>
        </is>
      </c>
      <c r="N205">
        <f>RIGHT(M205,LEN(M205)-FIND(" ",M205))</f>
        <v/>
      </c>
      <c r="P205" t="inlineStr">
        <is>
          <t>WARREN</t>
        </is>
      </c>
      <c r="Q205" t="inlineStr">
        <is>
          <t>OH</t>
        </is>
      </c>
      <c r="R205" t="n">
        <v>44483</v>
      </c>
      <c r="AD205" t="inlineStr">
        <is>
          <t>TRUMBULL CAREER &amp; TECH CENTER</t>
        </is>
      </c>
      <c r="AE205" t="inlineStr">
        <is>
          <t>WARREN CITY</t>
        </is>
      </c>
      <c r="AF205" t="inlineStr">
        <is>
          <t>WARREN CITY SD</t>
        </is>
      </c>
      <c r="AH205" t="n">
        <v>14</v>
      </c>
      <c r="AI205" t="n">
        <v>11</v>
      </c>
      <c r="AN205" t="inlineStr">
        <is>
          <t>WARREN</t>
        </is>
      </c>
      <c r="AO205" t="inlineStr">
        <is>
          <t>WARREN CITY 4A</t>
        </is>
      </c>
      <c r="AP205" t="inlineStr">
        <is>
          <t>78-P-ADI</t>
        </is>
      </c>
      <c r="AQ205" t="n">
        <v>9</v>
      </c>
      <c r="AR205" t="n">
        <v>64</v>
      </c>
      <c r="AS205" t="n">
        <v>32</v>
      </c>
      <c r="AU205">
        <f>COUNTA($BA$205:$EH$205)</f>
        <v/>
      </c>
      <c r="AV205">
        <f>COUNTIF($BA$205:$EH$205,"D")</f>
        <v/>
      </c>
      <c r="AW205">
        <f>COUNTIF($BA$205:$EH$205,"R")</f>
        <v/>
      </c>
      <c r="AX205">
        <f>IF(BN205="D",1,0)+IF(BO205="D",1,0)+IF(BT205="D",1,0)+IF(BU205="D",1,0)+IF(BW205="D",1,0)+IF(CC205="D",1,0)+IF(CD205="D",1,0)+IF(CE205="D",1,0)+IF(CF205="D",1,0)+IF(CL205="D",1,0)+IF(CM205="D",1,0)+IF(CQ205="D",1,0)+IF(CR205="D",1,0)+IF(CS205="D",1,0)+IF(CW205="D",1,0)+IF(CX205="D",1,0)+IF(DD205="D",1,0)+IF(DE205="D",1,0)+IF(DJ205="D",1,0)+IF(DK205="D",1,0)+IF(DO205="D",1,0)+IF(DP205="D",1,0)+IF(DQ205="D",1,0)+IF(DW205="D",1,0)+IF(DZ205="D",1,0)+IF(EH205="D",1,0)</f>
        <v/>
      </c>
      <c r="AY205">
        <f>IF(DJ205&lt;&gt;"",1,0)+IF(DK205&lt;&gt;"",1,0)+IF(DM205&lt;&gt;"",1,0)+IF(DO205&lt;&gt;"",1,0)+IF(DP205&lt;&gt;"",1,0)+IF(DQ205&lt;&gt;"",1,0)+IF(DS205&lt;&gt;"",1,0)+IF(DT205&lt;&gt;"",1,0)+IF(DV205&lt;&gt;"",1,0)+IF(DW205&lt;&gt;"",1,0)+IF(DX205&lt;&gt;"",1,0)+IF(DY205&lt;&gt;"",1,0)+IF(DZ205&lt;&gt;"",1,0)+IF(EB205&lt;&gt;"",1,0)+IF(EC205&lt;&gt;"",1,0)+IF(ED205&lt;&gt;"",1,0)+IF(EG205&lt;&gt;"",1,0)+IF(EH205&lt;&gt;"",1,0)</f>
        <v/>
      </c>
      <c r="AZ205">
        <f>IF(EH205&lt;&gt;"",1,0)</f>
        <v/>
      </c>
      <c r="BB205" t="inlineStr">
        <is>
          <t>WARREN-WARD 4</t>
        </is>
      </c>
      <c r="CY205" t="inlineStr">
        <is>
          <t>X</t>
        </is>
      </c>
      <c r="CZ205" t="inlineStr">
        <is>
          <t>D</t>
        </is>
      </c>
      <c r="DI205" t="inlineStr">
        <is>
          <t>X</t>
        </is>
      </c>
      <c r="DM205" t="inlineStr">
        <is>
          <t>D</t>
        </is>
      </c>
      <c r="DN205" t="inlineStr">
        <is>
          <t>X</t>
        </is>
      </c>
    </row>
    <row r="206">
      <c r="A206" t="inlineStr">
        <is>
          <t>OH0022698061</t>
        </is>
      </c>
      <c r="B206" t="n">
        <v>78</v>
      </c>
      <c r="C206" t="n">
        <v>400590</v>
      </c>
      <c r="D206" t="inlineStr">
        <is>
          <t>MARIN</t>
        </is>
      </c>
      <c r="E206" t="inlineStr">
        <is>
          <t>BRYAN</t>
        </is>
      </c>
      <c r="F206">
        <f>CONCATENATE(D206," ",LEFT(H206,4),"T=",AU206,"D=",AV206,"R=",AW206,"M=",AX206,"L=",AY206,"B=",AZ206)</f>
        <v/>
      </c>
      <c r="G206" t="inlineStr">
        <is>
          <t>D</t>
        </is>
      </c>
      <c r="I206" t="inlineStr">
        <is>
          <t>1985-05-23</t>
        </is>
      </c>
      <c r="J206" t="inlineStr">
        <is>
          <t>2019-05-11</t>
        </is>
      </c>
      <c r="K206" t="inlineStr">
        <is>
          <t>CONFIRMATION</t>
        </is>
      </c>
      <c r="M206" t="inlineStr">
        <is>
          <t>328 KENILWORTH AVE SE</t>
        </is>
      </c>
      <c r="N206">
        <f>RIGHT(M206,LEN(M206)-FIND(" ",M206))</f>
        <v/>
      </c>
      <c r="P206" t="inlineStr">
        <is>
          <t>WARREN</t>
        </is>
      </c>
      <c r="Q206" t="inlineStr">
        <is>
          <t>OH</t>
        </is>
      </c>
      <c r="R206" t="n">
        <v>44483</v>
      </c>
      <c r="AD206" t="inlineStr">
        <is>
          <t>TRUMBULL CAREER &amp; TECH CENTER</t>
        </is>
      </c>
      <c r="AE206" t="inlineStr">
        <is>
          <t>WARREN CITY</t>
        </is>
      </c>
      <c r="AF206" t="inlineStr">
        <is>
          <t>WARREN CITY SD</t>
        </is>
      </c>
      <c r="AH206" t="n">
        <v>14</v>
      </c>
      <c r="AI206" t="n">
        <v>11</v>
      </c>
      <c r="AN206" t="inlineStr">
        <is>
          <t>WARREN</t>
        </is>
      </c>
      <c r="AO206" t="inlineStr">
        <is>
          <t>WARREN CITY 4A</t>
        </is>
      </c>
      <c r="AP206" t="inlineStr">
        <is>
          <t>78-P-ADI</t>
        </is>
      </c>
      <c r="AQ206" t="n">
        <v>9</v>
      </c>
      <c r="AR206" t="n">
        <v>64</v>
      </c>
      <c r="AS206" t="n">
        <v>32</v>
      </c>
      <c r="AU206">
        <f>COUNTA($BA$206:$EH$206)</f>
        <v/>
      </c>
      <c r="AV206">
        <f>COUNTIF($BA$206:$EH$206,"D")</f>
        <v/>
      </c>
      <c r="AW206">
        <f>COUNTIF($BA$206:$EH$206,"R")</f>
        <v/>
      </c>
      <c r="AX206">
        <f>IF(BN206="D",1,0)+IF(BO206="D",1,0)+IF(BT206="D",1,0)+IF(BU206="D",1,0)+IF(BW206="D",1,0)+IF(CC206="D",1,0)+IF(CD206="D",1,0)+IF(CE206="D",1,0)+IF(CF206="D",1,0)+IF(CL206="D",1,0)+IF(CM206="D",1,0)+IF(CQ206="D",1,0)+IF(CR206="D",1,0)+IF(CS206="D",1,0)+IF(CW206="D",1,0)+IF(CX206="D",1,0)+IF(DD206="D",1,0)+IF(DE206="D",1,0)+IF(DJ206="D",1,0)+IF(DK206="D",1,0)+IF(DO206="D",1,0)+IF(DP206="D",1,0)+IF(DQ206="D",1,0)+IF(DW206="D",1,0)+IF(DZ206="D",1,0)+IF(EH206="D",1,0)</f>
        <v/>
      </c>
      <c r="AY206">
        <f>IF(DJ206&lt;&gt;"",1,0)+IF(DK206&lt;&gt;"",1,0)+IF(DM206&lt;&gt;"",1,0)+IF(DO206&lt;&gt;"",1,0)+IF(DP206&lt;&gt;"",1,0)+IF(DQ206&lt;&gt;"",1,0)+IF(DS206&lt;&gt;"",1,0)+IF(DT206&lt;&gt;"",1,0)+IF(DV206&lt;&gt;"",1,0)+IF(DW206&lt;&gt;"",1,0)+IF(DX206&lt;&gt;"",1,0)+IF(DY206&lt;&gt;"",1,0)+IF(DZ206&lt;&gt;"",1,0)+IF(EB206&lt;&gt;"",1,0)+IF(EC206&lt;&gt;"",1,0)+IF(ED206&lt;&gt;"",1,0)+IF(EG206&lt;&gt;"",1,0)+IF(EH206&lt;&gt;"",1,0)</f>
        <v/>
      </c>
      <c r="AZ206">
        <f>IF(EH206&lt;&gt;"",1,0)</f>
        <v/>
      </c>
      <c r="BB206" t="inlineStr">
        <is>
          <t>WARREN-WARD 4</t>
        </is>
      </c>
    </row>
    <row r="207">
      <c r="A207" t="inlineStr">
        <is>
          <t>OH0018596003</t>
        </is>
      </c>
      <c r="B207" t="n">
        <v>78</v>
      </c>
      <c r="C207" t="n">
        <v>336839</v>
      </c>
      <c r="D207" t="inlineStr">
        <is>
          <t>DOUGHER</t>
        </is>
      </c>
      <c r="E207" t="inlineStr">
        <is>
          <t>SHAUN</t>
        </is>
      </c>
      <c r="F207">
        <f>CONCATENATE(D207," ",LEFT(H207,4),"T=",AU207,"D=",AV207,"R=",AW207,"M=",AX207,"L=",AY207,"B=",AZ207)</f>
        <v/>
      </c>
      <c r="G207" t="inlineStr">
        <is>
          <t>P</t>
        </is>
      </c>
      <c r="I207" t="inlineStr">
        <is>
          <t>1982-05-06</t>
        </is>
      </c>
      <c r="J207" t="inlineStr">
        <is>
          <t>2012-10-04</t>
        </is>
      </c>
      <c r="K207" t="inlineStr">
        <is>
          <t>ACTIVE</t>
        </is>
      </c>
      <c r="M207" t="inlineStr">
        <is>
          <t>701 WOODBINE AVE SE</t>
        </is>
      </c>
      <c r="N207">
        <f>RIGHT(M207,LEN(M207)-FIND(" ",M207))</f>
        <v/>
      </c>
      <c r="P207" t="inlineStr">
        <is>
          <t>WARREN</t>
        </is>
      </c>
      <c r="Q207" t="inlineStr">
        <is>
          <t>OH</t>
        </is>
      </c>
      <c r="R207" t="n">
        <v>44484</v>
      </c>
      <c r="AD207" t="inlineStr">
        <is>
          <t>TRUMBULL CAREER &amp; TECH CENTER</t>
        </is>
      </c>
      <c r="AE207" t="inlineStr">
        <is>
          <t>WARREN CITY</t>
        </is>
      </c>
      <c r="AF207" t="inlineStr">
        <is>
          <t>WARREN CITY SD</t>
        </is>
      </c>
      <c r="AH207" t="n">
        <v>14</v>
      </c>
      <c r="AI207" t="n">
        <v>11</v>
      </c>
      <c r="AN207" t="inlineStr">
        <is>
          <t>WARREN</t>
        </is>
      </c>
      <c r="AO207" t="inlineStr">
        <is>
          <t>WARREN CITY 4A</t>
        </is>
      </c>
      <c r="AP207" t="inlineStr">
        <is>
          <t>78-P-ADI</t>
        </is>
      </c>
      <c r="AQ207" t="n">
        <v>9</v>
      </c>
      <c r="AR207" t="n">
        <v>64</v>
      </c>
      <c r="AS207" t="n">
        <v>32</v>
      </c>
      <c r="AU207">
        <f>COUNTA($BA$207:$EH$207)</f>
        <v/>
      </c>
      <c r="AV207">
        <f>COUNTIF($BA$207:$EH$207,"D")</f>
        <v/>
      </c>
      <c r="AW207">
        <f>COUNTIF($BA$207:$EH$207,"R")</f>
        <v/>
      </c>
      <c r="AX207">
        <f>IF(BN207="D",1,0)+IF(BO207="D",1,0)+IF(BT207="D",1,0)+IF(BU207="D",1,0)+IF(BW207="D",1,0)+IF(CC207="D",1,0)+IF(CD207="D",1,0)+IF(CE207="D",1,0)+IF(CF207="D",1,0)+IF(CL207="D",1,0)+IF(CM207="D",1,0)+IF(CQ207="D",1,0)+IF(CR207="D",1,0)+IF(CS207="D",1,0)+IF(CW207="D",1,0)+IF(CX207="D",1,0)+IF(DD207="D",1,0)+IF(DE207="D",1,0)+IF(DJ207="D",1,0)+IF(DK207="D",1,0)+IF(DO207="D",1,0)+IF(DP207="D",1,0)+IF(DQ207="D",1,0)+IF(DW207="D",1,0)+IF(DZ207="D",1,0)+IF(EH207="D",1,0)</f>
        <v/>
      </c>
      <c r="AY207">
        <f>IF(DJ207&lt;&gt;"",1,0)+IF(DK207&lt;&gt;"",1,0)+IF(DM207&lt;&gt;"",1,0)+IF(DO207&lt;&gt;"",1,0)+IF(DP207&lt;&gt;"",1,0)+IF(DQ207&lt;&gt;"",1,0)+IF(DS207&lt;&gt;"",1,0)+IF(DT207&lt;&gt;"",1,0)+IF(DV207&lt;&gt;"",1,0)+IF(DW207&lt;&gt;"",1,0)+IF(DX207&lt;&gt;"",1,0)+IF(DY207&lt;&gt;"",1,0)+IF(DZ207&lt;&gt;"",1,0)+IF(EB207&lt;&gt;"",1,0)+IF(EC207&lt;&gt;"",1,0)+IF(ED207&lt;&gt;"",1,0)+IF(EG207&lt;&gt;"",1,0)+IF(EH207&lt;&gt;"",1,0)</f>
        <v/>
      </c>
      <c r="AZ207">
        <f>IF(EH207&lt;&gt;"",1,0)</f>
        <v/>
      </c>
      <c r="BB207" t="inlineStr">
        <is>
          <t>WARREN-WARD 4</t>
        </is>
      </c>
      <c r="CP207" t="inlineStr">
        <is>
          <t>X</t>
        </is>
      </c>
      <c r="DC207" t="inlineStr">
        <is>
          <t>X</t>
        </is>
      </c>
      <c r="DN207" t="inlineStr">
        <is>
          <t>X</t>
        </is>
      </c>
      <c r="EF207" t="inlineStr">
        <is>
          <t>X</t>
        </is>
      </c>
    </row>
    <row r="208">
      <c r="A208" t="inlineStr">
        <is>
          <t>OH0021351390</t>
        </is>
      </c>
      <c r="B208" t="n">
        <v>78</v>
      </c>
      <c r="C208" t="n">
        <v>379657</v>
      </c>
      <c r="D208" t="inlineStr">
        <is>
          <t>SCRUGGS</t>
        </is>
      </c>
      <c r="E208" t="inlineStr">
        <is>
          <t>TARHEA</t>
        </is>
      </c>
      <c r="F208">
        <f>CONCATENATE(D208," ",LEFT(H208,4),"T=",AU208,"D=",AV208,"R=",AW208,"M=",AX208,"L=",AY208,"B=",AZ208)</f>
        <v/>
      </c>
      <c r="G208" t="inlineStr">
        <is>
          <t>L</t>
        </is>
      </c>
      <c r="I208" t="inlineStr">
        <is>
          <t>1992-12-09</t>
        </is>
      </c>
      <c r="J208" t="inlineStr">
        <is>
          <t>2018-11-28</t>
        </is>
      </c>
      <c r="K208" t="inlineStr">
        <is>
          <t>ACTIVE</t>
        </is>
      </c>
      <c r="M208" t="inlineStr">
        <is>
          <t>147 OAK KNOLL AVE SE</t>
        </is>
      </c>
      <c r="N208">
        <f>RIGHT(M208,LEN(M208)-FIND(" ",M208))</f>
        <v/>
      </c>
      <c r="O208" t="inlineStr">
        <is>
          <t>UPPR</t>
        </is>
      </c>
      <c r="P208" t="inlineStr">
        <is>
          <t>WARREN</t>
        </is>
      </c>
      <c r="Q208" t="inlineStr">
        <is>
          <t>OH</t>
        </is>
      </c>
      <c r="R208" t="n">
        <v>44483</v>
      </c>
      <c r="AD208" t="inlineStr">
        <is>
          <t>TRUMBULL CAREER &amp; TECH CENTER</t>
        </is>
      </c>
      <c r="AE208" t="inlineStr">
        <is>
          <t>WARREN CITY</t>
        </is>
      </c>
      <c r="AF208" t="inlineStr">
        <is>
          <t>WARREN CITY SD</t>
        </is>
      </c>
      <c r="AH208" t="n">
        <v>14</v>
      </c>
      <c r="AI208" t="n">
        <v>11</v>
      </c>
      <c r="AN208" t="inlineStr">
        <is>
          <t>WARREN</t>
        </is>
      </c>
      <c r="AO208" t="inlineStr">
        <is>
          <t>WARREN CITY 4A</t>
        </is>
      </c>
      <c r="AP208" t="inlineStr">
        <is>
          <t>78-P-ADI</t>
        </is>
      </c>
      <c r="AQ208" t="n">
        <v>9</v>
      </c>
      <c r="AR208" t="n">
        <v>64</v>
      </c>
      <c r="AS208" t="n">
        <v>32</v>
      </c>
      <c r="AU208">
        <f>COUNTA($BA$208:$EH$208)</f>
        <v/>
      </c>
      <c r="AV208">
        <f>COUNTIF($BA$208:$EH$208,"D")</f>
        <v/>
      </c>
      <c r="AW208">
        <f>COUNTIF($BA$208:$EH$208,"R")</f>
        <v/>
      </c>
      <c r="AX208">
        <f>IF(BN208="D",1,0)+IF(BO208="D",1,0)+IF(BT208="D",1,0)+IF(BU208="D",1,0)+IF(BW208="D",1,0)+IF(CC208="D",1,0)+IF(CD208="D",1,0)+IF(CE208="D",1,0)+IF(CF208="D",1,0)+IF(CL208="D",1,0)+IF(CM208="D",1,0)+IF(CQ208="D",1,0)+IF(CR208="D",1,0)+IF(CS208="D",1,0)+IF(CW208="D",1,0)+IF(CX208="D",1,0)+IF(DD208="D",1,0)+IF(DE208="D",1,0)+IF(DJ208="D",1,0)+IF(DK208="D",1,0)+IF(DO208="D",1,0)+IF(DP208="D",1,0)+IF(DQ208="D",1,0)+IF(DW208="D",1,0)+IF(DZ208="D",1,0)+IF(EH208="D",1,0)</f>
        <v/>
      </c>
      <c r="AY208">
        <f>IF(DJ208&lt;&gt;"",1,0)+IF(DK208&lt;&gt;"",1,0)+IF(DM208&lt;&gt;"",1,0)+IF(DO208&lt;&gt;"",1,0)+IF(DP208&lt;&gt;"",1,0)+IF(DQ208&lt;&gt;"",1,0)+IF(DS208&lt;&gt;"",1,0)+IF(DT208&lt;&gt;"",1,0)+IF(DV208&lt;&gt;"",1,0)+IF(DW208&lt;&gt;"",1,0)+IF(DX208&lt;&gt;"",1,0)+IF(DY208&lt;&gt;"",1,0)+IF(DZ208&lt;&gt;"",1,0)+IF(EB208&lt;&gt;"",1,0)+IF(EC208&lt;&gt;"",1,0)+IF(ED208&lt;&gt;"",1,0)+IF(EG208&lt;&gt;"",1,0)+IF(EH208&lt;&gt;"",1,0)</f>
        <v/>
      </c>
      <c r="AZ208">
        <f>IF(EH208&lt;&gt;"",1,0)</f>
        <v/>
      </c>
      <c r="BB208" t="inlineStr">
        <is>
          <t>WARREN-WARD 4</t>
        </is>
      </c>
      <c r="CP208" t="inlineStr">
        <is>
          <t>X</t>
        </is>
      </c>
      <c r="CZ208" t="inlineStr">
        <is>
          <t>D</t>
        </is>
      </c>
      <c r="DC208" t="inlineStr">
        <is>
          <t>X</t>
        </is>
      </c>
      <c r="DI208" t="inlineStr">
        <is>
          <t>X</t>
        </is>
      </c>
      <c r="DN208" t="inlineStr">
        <is>
          <t>X</t>
        </is>
      </c>
      <c r="EF208" t="inlineStr">
        <is>
          <t>X</t>
        </is>
      </c>
    </row>
    <row r="209">
      <c r="A209" t="inlineStr">
        <is>
          <t>OH0016033188</t>
        </is>
      </c>
      <c r="B209" t="n">
        <v>78</v>
      </c>
      <c r="C209" t="n">
        <v>335877</v>
      </c>
      <c r="D209" t="inlineStr">
        <is>
          <t>HADZIGEORGE</t>
        </is>
      </c>
      <c r="E209" t="inlineStr">
        <is>
          <t>GEORGE</t>
        </is>
      </c>
      <c r="F209">
        <f>CONCATENATE(D209," ",LEFT(H209,4),"T=",AU209,"D=",AV209,"R=",AW209,"M=",AX209,"L=",AY209,"B=",AZ209)</f>
        <v/>
      </c>
      <c r="G209" t="inlineStr">
        <is>
          <t>I</t>
        </is>
      </c>
      <c r="I209" t="inlineStr">
        <is>
          <t>1958-05-16</t>
        </is>
      </c>
      <c r="J209" t="inlineStr">
        <is>
          <t>2015-09-02</t>
        </is>
      </c>
      <c r="K209" t="inlineStr">
        <is>
          <t>CONFIRMATION</t>
        </is>
      </c>
      <c r="M209" t="inlineStr">
        <is>
          <t>916 ADELAIDE AVE SE</t>
        </is>
      </c>
      <c r="N209">
        <f>RIGHT(M209,LEN(M209)-FIND(" ",M209))</f>
        <v/>
      </c>
      <c r="P209" t="inlineStr">
        <is>
          <t>WARREN</t>
        </is>
      </c>
      <c r="Q209" t="inlineStr">
        <is>
          <t>OH</t>
        </is>
      </c>
      <c r="R209" t="n">
        <v>44484</v>
      </c>
      <c r="AD209" t="inlineStr">
        <is>
          <t>TRUMBULL CAREER &amp; TECH CENTER</t>
        </is>
      </c>
      <c r="AE209" t="inlineStr">
        <is>
          <t>WARREN CITY</t>
        </is>
      </c>
      <c r="AF209" t="inlineStr">
        <is>
          <t>WARREN CITY SD</t>
        </is>
      </c>
      <c r="AH209" t="n">
        <v>14</v>
      </c>
      <c r="AI209" t="n">
        <v>11</v>
      </c>
      <c r="AN209" t="inlineStr">
        <is>
          <t>WARREN</t>
        </is>
      </c>
      <c r="AO209" t="inlineStr">
        <is>
          <t>WARREN CITY 4A</t>
        </is>
      </c>
      <c r="AP209" t="inlineStr">
        <is>
          <t>78-P-ADI</t>
        </is>
      </c>
      <c r="AQ209" t="n">
        <v>9</v>
      </c>
      <c r="AR209" t="n">
        <v>64</v>
      </c>
      <c r="AS209" t="n">
        <v>32</v>
      </c>
      <c r="AU209">
        <f>COUNTA($BA$209:$EH$209)</f>
        <v/>
      </c>
      <c r="AV209">
        <f>COUNTIF($BA$209:$EH$209,"D")</f>
        <v/>
      </c>
      <c r="AW209">
        <f>COUNTIF($BA$209:$EH$209,"R")</f>
        <v/>
      </c>
      <c r="AX209">
        <f>IF(BN209="D",1,0)+IF(BO209="D",1,0)+IF(BT209="D",1,0)+IF(BU209="D",1,0)+IF(BW209="D",1,0)+IF(CC209="D",1,0)+IF(CD209="D",1,0)+IF(CE209="D",1,0)+IF(CF209="D",1,0)+IF(CL209="D",1,0)+IF(CM209="D",1,0)+IF(CQ209="D",1,0)+IF(CR209="D",1,0)+IF(CS209="D",1,0)+IF(CW209="D",1,0)+IF(CX209="D",1,0)+IF(DD209="D",1,0)+IF(DE209="D",1,0)+IF(DJ209="D",1,0)+IF(DK209="D",1,0)+IF(DO209="D",1,0)+IF(DP209="D",1,0)+IF(DQ209="D",1,0)+IF(DW209="D",1,0)+IF(DZ209="D",1,0)+IF(EH209="D",1,0)</f>
        <v/>
      </c>
      <c r="AY209">
        <f>IF(DJ209&lt;&gt;"",1,0)+IF(DK209&lt;&gt;"",1,0)+IF(DM209&lt;&gt;"",1,0)+IF(DO209&lt;&gt;"",1,0)+IF(DP209&lt;&gt;"",1,0)+IF(DQ209&lt;&gt;"",1,0)+IF(DS209&lt;&gt;"",1,0)+IF(DT209&lt;&gt;"",1,0)+IF(DV209&lt;&gt;"",1,0)+IF(DW209&lt;&gt;"",1,0)+IF(DX209&lt;&gt;"",1,0)+IF(DY209&lt;&gt;"",1,0)+IF(DZ209&lt;&gt;"",1,0)+IF(EB209&lt;&gt;"",1,0)+IF(EC209&lt;&gt;"",1,0)+IF(ED209&lt;&gt;"",1,0)+IF(EG209&lt;&gt;"",1,0)+IF(EH209&lt;&gt;"",1,0)</f>
        <v/>
      </c>
      <c r="AZ209">
        <f>IF(EH209&lt;&gt;"",1,0)</f>
        <v/>
      </c>
      <c r="BB209" t="inlineStr">
        <is>
          <t>WARREN-WARD 4</t>
        </is>
      </c>
      <c r="BS209" t="inlineStr">
        <is>
          <t>X</t>
        </is>
      </c>
      <c r="CA209" t="inlineStr">
        <is>
          <t>X</t>
        </is>
      </c>
      <c r="CL209" t="inlineStr">
        <is>
          <t>D</t>
        </is>
      </c>
      <c r="CP209" t="inlineStr">
        <is>
          <t>X</t>
        </is>
      </c>
      <c r="DC209" t="inlineStr">
        <is>
          <t>X</t>
        </is>
      </c>
    </row>
    <row r="210">
      <c r="A210" t="inlineStr">
        <is>
          <t>OH0027841222</t>
        </is>
      </c>
      <c r="B210" t="n">
        <v>78</v>
      </c>
      <c r="C210" t="n">
        <v>494038</v>
      </c>
      <c r="D210" t="inlineStr">
        <is>
          <t>MAZUR</t>
        </is>
      </c>
      <c r="E210" t="inlineStr">
        <is>
          <t>TROY</t>
        </is>
      </c>
      <c r="F210">
        <f>CONCATENATE(D210," ",LEFT(H210,4),"T=",AU210,"D=",AV210,"R=",AW210,"M=",AX210,"L=",AY210,"B=",AZ210)</f>
        <v/>
      </c>
      <c r="G210" t="inlineStr">
        <is>
          <t>M</t>
        </is>
      </c>
      <c r="I210" t="inlineStr">
        <is>
          <t>1968-08-09</t>
        </is>
      </c>
      <c r="J210" t="inlineStr">
        <is>
          <t>2024-10-17</t>
        </is>
      </c>
      <c r="K210" t="inlineStr">
        <is>
          <t>ACTIVE</t>
        </is>
      </c>
      <c r="M210" t="inlineStr">
        <is>
          <t>1314 SOUTH ST SE</t>
        </is>
      </c>
      <c r="N210">
        <f>RIGHT(M210,LEN(M210)-FIND(" ",M210))</f>
        <v/>
      </c>
      <c r="P210" t="inlineStr">
        <is>
          <t>WARREN</t>
        </is>
      </c>
      <c r="Q210" t="inlineStr">
        <is>
          <t>OH</t>
        </is>
      </c>
      <c r="R210" t="n">
        <v>44483</v>
      </c>
      <c r="AD210" t="inlineStr">
        <is>
          <t>TRUMBULL CAREER &amp; TECH CENTER</t>
        </is>
      </c>
      <c r="AE210" t="inlineStr">
        <is>
          <t>WARREN CITY</t>
        </is>
      </c>
      <c r="AF210" t="inlineStr">
        <is>
          <t>WARREN CITY SD</t>
        </is>
      </c>
      <c r="AH210" t="n">
        <v>14</v>
      </c>
      <c r="AI210" t="n">
        <v>11</v>
      </c>
      <c r="AN210" t="inlineStr">
        <is>
          <t>WARREN</t>
        </is>
      </c>
      <c r="AO210" t="inlineStr">
        <is>
          <t>WARREN CITY 4A</t>
        </is>
      </c>
      <c r="AP210" t="inlineStr">
        <is>
          <t>78-P-ADI</t>
        </is>
      </c>
      <c r="AQ210" t="n">
        <v>9</v>
      </c>
      <c r="AR210" t="n">
        <v>64</v>
      </c>
      <c r="AS210" t="n">
        <v>32</v>
      </c>
      <c r="AU210">
        <f>COUNTA($BA$210:$EH$210)</f>
        <v/>
      </c>
      <c r="AV210">
        <f>COUNTIF($BA$210:$EH$210,"D")</f>
        <v/>
      </c>
      <c r="AW210">
        <f>COUNTIF($BA$210:$EH$210,"R")</f>
        <v/>
      </c>
      <c r="AX210">
        <f>IF(BN210="D",1,0)+IF(BO210="D",1,0)+IF(BT210="D",1,0)+IF(BU210="D",1,0)+IF(BW210="D",1,0)+IF(CC210="D",1,0)+IF(CD210="D",1,0)+IF(CE210="D",1,0)+IF(CF210="D",1,0)+IF(CL210="D",1,0)+IF(CM210="D",1,0)+IF(CQ210="D",1,0)+IF(CR210="D",1,0)+IF(CS210="D",1,0)+IF(CW210="D",1,0)+IF(CX210="D",1,0)+IF(DD210="D",1,0)+IF(DE210="D",1,0)+IF(DJ210="D",1,0)+IF(DK210="D",1,0)+IF(DO210="D",1,0)+IF(DP210="D",1,0)+IF(DQ210="D",1,0)+IF(DW210="D",1,0)+IF(DZ210="D",1,0)+IF(EH210="D",1,0)</f>
        <v/>
      </c>
      <c r="AY210">
        <f>IF(DJ210&lt;&gt;"",1,0)+IF(DK210&lt;&gt;"",1,0)+IF(DM210&lt;&gt;"",1,0)+IF(DO210&lt;&gt;"",1,0)+IF(DP210&lt;&gt;"",1,0)+IF(DQ210&lt;&gt;"",1,0)+IF(DS210&lt;&gt;"",1,0)+IF(DT210&lt;&gt;"",1,0)+IF(DV210&lt;&gt;"",1,0)+IF(DW210&lt;&gt;"",1,0)+IF(DX210&lt;&gt;"",1,0)+IF(DY210&lt;&gt;"",1,0)+IF(DZ210&lt;&gt;"",1,0)+IF(EB210&lt;&gt;"",1,0)+IF(EC210&lt;&gt;"",1,0)+IF(ED210&lt;&gt;"",1,0)+IF(EG210&lt;&gt;"",1,0)+IF(EH210&lt;&gt;"",1,0)</f>
        <v/>
      </c>
      <c r="AZ210">
        <f>IF(EH210&lt;&gt;"",1,0)</f>
        <v/>
      </c>
      <c r="BB210" t="inlineStr">
        <is>
          <t>WARREN-WARD 4</t>
        </is>
      </c>
    </row>
    <row r="211">
      <c r="A211" t="inlineStr">
        <is>
          <t>OH0027895891</t>
        </is>
      </c>
      <c r="B211" t="n">
        <v>78</v>
      </c>
      <c r="C211" t="n">
        <v>494996</v>
      </c>
      <c r="D211" t="inlineStr">
        <is>
          <t>PETERSON</t>
        </is>
      </c>
      <c r="E211" t="inlineStr">
        <is>
          <t>JAMES</t>
        </is>
      </c>
      <c r="F211">
        <f>CONCATENATE(D211," ",LEFT(H211,4),"T=",AU211,"D=",AV211,"R=",AW211,"M=",AX211,"L=",AY211,"B=",AZ211)</f>
        <v/>
      </c>
      <c r="G211" t="inlineStr">
        <is>
          <t>ALLEN</t>
        </is>
      </c>
      <c r="I211" t="inlineStr">
        <is>
          <t>1970-12-14</t>
        </is>
      </c>
      <c r="J211" t="inlineStr">
        <is>
          <t>2025-02-07</t>
        </is>
      </c>
      <c r="K211" t="inlineStr">
        <is>
          <t>ACTIVE</t>
        </is>
      </c>
      <c r="M211" t="inlineStr">
        <is>
          <t>357 LAIRD AVE SE</t>
        </is>
      </c>
      <c r="N211">
        <f>RIGHT(M211,LEN(M211)-FIND(" ",M211))</f>
        <v/>
      </c>
      <c r="P211" t="inlineStr">
        <is>
          <t>WARREN</t>
        </is>
      </c>
      <c r="Q211" t="inlineStr">
        <is>
          <t>OH</t>
        </is>
      </c>
      <c r="R211" t="n">
        <v>44483</v>
      </c>
      <c r="AD211" t="inlineStr">
        <is>
          <t>TRUMBULL CAREER &amp; TECH CENTER</t>
        </is>
      </c>
      <c r="AE211" t="inlineStr">
        <is>
          <t>WARREN CITY</t>
        </is>
      </c>
      <c r="AF211" t="inlineStr">
        <is>
          <t>WARREN CITY SD</t>
        </is>
      </c>
      <c r="AH211" t="n">
        <v>14</v>
      </c>
      <c r="AI211" t="n">
        <v>11</v>
      </c>
      <c r="AN211" t="inlineStr">
        <is>
          <t>WARREN</t>
        </is>
      </c>
      <c r="AO211" t="inlineStr">
        <is>
          <t>WARREN CITY 4A</t>
        </is>
      </c>
      <c r="AP211" t="inlineStr">
        <is>
          <t>78-P-ADI</t>
        </is>
      </c>
      <c r="AQ211" t="n">
        <v>9</v>
      </c>
      <c r="AR211" t="n">
        <v>64</v>
      </c>
      <c r="AS211" t="n">
        <v>32</v>
      </c>
      <c r="AU211">
        <f>COUNTA($BA$211:$EH$211)</f>
        <v/>
      </c>
      <c r="AV211">
        <f>COUNTIF($BA$211:$EH$211,"D")</f>
        <v/>
      </c>
      <c r="AW211">
        <f>COUNTIF($BA$211:$EH$211,"R")</f>
        <v/>
      </c>
      <c r="AX211">
        <f>IF(BN211="D",1,0)+IF(BO211="D",1,0)+IF(BT211="D",1,0)+IF(BU211="D",1,0)+IF(BW211="D",1,0)+IF(CC211="D",1,0)+IF(CD211="D",1,0)+IF(CE211="D",1,0)+IF(CF211="D",1,0)+IF(CL211="D",1,0)+IF(CM211="D",1,0)+IF(CQ211="D",1,0)+IF(CR211="D",1,0)+IF(CS211="D",1,0)+IF(CW211="D",1,0)+IF(CX211="D",1,0)+IF(DD211="D",1,0)+IF(DE211="D",1,0)+IF(DJ211="D",1,0)+IF(DK211="D",1,0)+IF(DO211="D",1,0)+IF(DP211="D",1,0)+IF(DQ211="D",1,0)+IF(DW211="D",1,0)+IF(DZ211="D",1,0)+IF(EH211="D",1,0)</f>
        <v/>
      </c>
      <c r="AY211">
        <f>IF(DJ211&lt;&gt;"",1,0)+IF(DK211&lt;&gt;"",1,0)+IF(DM211&lt;&gt;"",1,0)+IF(DO211&lt;&gt;"",1,0)+IF(DP211&lt;&gt;"",1,0)+IF(DQ211&lt;&gt;"",1,0)+IF(DS211&lt;&gt;"",1,0)+IF(DT211&lt;&gt;"",1,0)+IF(DV211&lt;&gt;"",1,0)+IF(DW211&lt;&gt;"",1,0)+IF(DX211&lt;&gt;"",1,0)+IF(DY211&lt;&gt;"",1,0)+IF(DZ211&lt;&gt;"",1,0)+IF(EB211&lt;&gt;"",1,0)+IF(EC211&lt;&gt;"",1,0)+IF(ED211&lt;&gt;"",1,0)+IF(EG211&lt;&gt;"",1,0)+IF(EH211&lt;&gt;"",1,0)</f>
        <v/>
      </c>
      <c r="AZ211">
        <f>IF(EH211&lt;&gt;"",1,0)</f>
        <v/>
      </c>
      <c r="BB211" t="inlineStr">
        <is>
          <t>WARREN-WARD 4</t>
        </is>
      </c>
    </row>
    <row r="212">
      <c r="A212" t="inlineStr">
        <is>
          <t>OH0015822224</t>
        </is>
      </c>
      <c r="B212" t="n">
        <v>78</v>
      </c>
      <c r="C212" t="n">
        <v>285281</v>
      </c>
      <c r="D212" t="inlineStr">
        <is>
          <t>SIMMONS</t>
        </is>
      </c>
      <c r="E212" t="inlineStr">
        <is>
          <t>MICHAEL</t>
        </is>
      </c>
      <c r="F212">
        <f>CONCATENATE(D212," ",LEFT(H212,4),"T=",AU212,"D=",AV212,"R=",AW212,"M=",AX212,"L=",AY212,"B=",AZ212)</f>
        <v/>
      </c>
      <c r="G212" t="inlineStr">
        <is>
          <t>P</t>
        </is>
      </c>
      <c r="I212" t="inlineStr">
        <is>
          <t>1980-09-14</t>
        </is>
      </c>
      <c r="J212" t="inlineStr">
        <is>
          <t>2024-09-10</t>
        </is>
      </c>
      <c r="K212" t="inlineStr">
        <is>
          <t>ACTIVE</t>
        </is>
      </c>
      <c r="M212" t="inlineStr">
        <is>
          <t>760 OAK KNOLL AVE SE</t>
        </is>
      </c>
      <c r="N212">
        <f>RIGHT(M212,LEN(M212)-FIND(" ",M212))</f>
        <v/>
      </c>
      <c r="P212" t="inlineStr">
        <is>
          <t>WARREN</t>
        </is>
      </c>
      <c r="Q212" t="inlineStr">
        <is>
          <t>OH</t>
        </is>
      </c>
      <c r="R212" t="n">
        <v>44484</v>
      </c>
      <c r="AD212" t="inlineStr">
        <is>
          <t>TRUMBULL CAREER &amp; TECH CENTER</t>
        </is>
      </c>
      <c r="AE212" t="inlineStr">
        <is>
          <t>WARREN CITY</t>
        </is>
      </c>
      <c r="AF212" t="inlineStr">
        <is>
          <t>WARREN CITY SD</t>
        </is>
      </c>
      <c r="AH212" t="n">
        <v>14</v>
      </c>
      <c r="AI212" t="n">
        <v>11</v>
      </c>
      <c r="AN212" t="inlineStr">
        <is>
          <t>WARREN</t>
        </is>
      </c>
      <c r="AO212" t="inlineStr">
        <is>
          <t>WARREN CITY 4A</t>
        </is>
      </c>
      <c r="AP212" t="inlineStr">
        <is>
          <t>78-P-ADI</t>
        </is>
      </c>
      <c r="AQ212" t="n">
        <v>9</v>
      </c>
      <c r="AR212" t="n">
        <v>64</v>
      </c>
      <c r="AS212" t="n">
        <v>32</v>
      </c>
      <c r="AU212">
        <f>COUNTA($BA$212:$EH$212)</f>
        <v/>
      </c>
      <c r="AV212">
        <f>COUNTIF($BA$212:$EH$212,"D")</f>
        <v/>
      </c>
      <c r="AW212">
        <f>COUNTIF($BA$212:$EH$212,"R")</f>
        <v/>
      </c>
      <c r="AX212">
        <f>IF(BN212="D",1,0)+IF(BO212="D",1,0)+IF(BT212="D",1,0)+IF(BU212="D",1,0)+IF(BW212="D",1,0)+IF(CC212="D",1,0)+IF(CD212="D",1,0)+IF(CE212="D",1,0)+IF(CF212="D",1,0)+IF(CL212="D",1,0)+IF(CM212="D",1,0)+IF(CQ212="D",1,0)+IF(CR212="D",1,0)+IF(CS212="D",1,0)+IF(CW212="D",1,0)+IF(CX212="D",1,0)+IF(DD212="D",1,0)+IF(DE212="D",1,0)+IF(DJ212="D",1,0)+IF(DK212="D",1,0)+IF(DO212="D",1,0)+IF(DP212="D",1,0)+IF(DQ212="D",1,0)+IF(DW212="D",1,0)+IF(DZ212="D",1,0)+IF(EH212="D",1,0)</f>
        <v/>
      </c>
      <c r="AY212">
        <f>IF(DJ212&lt;&gt;"",1,0)+IF(DK212&lt;&gt;"",1,0)+IF(DM212&lt;&gt;"",1,0)+IF(DO212&lt;&gt;"",1,0)+IF(DP212&lt;&gt;"",1,0)+IF(DQ212&lt;&gt;"",1,0)+IF(DS212&lt;&gt;"",1,0)+IF(DT212&lt;&gt;"",1,0)+IF(DV212&lt;&gt;"",1,0)+IF(DW212&lt;&gt;"",1,0)+IF(DX212&lt;&gt;"",1,0)+IF(DY212&lt;&gt;"",1,0)+IF(DZ212&lt;&gt;"",1,0)+IF(EB212&lt;&gt;"",1,0)+IF(EC212&lt;&gt;"",1,0)+IF(ED212&lt;&gt;"",1,0)+IF(EG212&lt;&gt;"",1,0)+IF(EH212&lt;&gt;"",1,0)</f>
        <v/>
      </c>
      <c r="AZ212">
        <f>IF(EH212&lt;&gt;"",1,0)</f>
        <v/>
      </c>
      <c r="BB212" t="inlineStr">
        <is>
          <t>WARREN-WARD 4</t>
        </is>
      </c>
      <c r="BL212" t="inlineStr">
        <is>
          <t>X</t>
        </is>
      </c>
      <c r="CA212" t="inlineStr">
        <is>
          <t>X</t>
        </is>
      </c>
      <c r="CK212" t="inlineStr">
        <is>
          <t>X</t>
        </is>
      </c>
      <c r="EF212" t="inlineStr">
        <is>
          <t>X</t>
        </is>
      </c>
    </row>
    <row r="213">
      <c r="A213" t="inlineStr">
        <is>
          <t>OH0015716939</t>
        </is>
      </c>
      <c r="B213" t="n">
        <v>78</v>
      </c>
      <c r="C213" t="n">
        <v>301176</v>
      </c>
      <c r="D213" t="inlineStr">
        <is>
          <t>SMITH</t>
        </is>
      </c>
      <c r="E213" t="inlineStr">
        <is>
          <t>MATTHEW</t>
        </is>
      </c>
      <c r="F213">
        <f>CONCATENATE(D213," ",LEFT(H213,4),"T=",AU213,"D=",AV213,"R=",AW213,"M=",AX213,"L=",AY213,"B=",AZ213)</f>
        <v/>
      </c>
      <c r="G213" t="inlineStr">
        <is>
          <t>P</t>
        </is>
      </c>
      <c r="I213" t="inlineStr">
        <is>
          <t>1969-01-05</t>
        </is>
      </c>
      <c r="J213" t="inlineStr">
        <is>
          <t>2001-01-11</t>
        </is>
      </c>
      <c r="K213" t="inlineStr">
        <is>
          <t>CONFIRMATION</t>
        </is>
      </c>
      <c r="M213" t="inlineStr">
        <is>
          <t>653 WOODBINE AVE SE</t>
        </is>
      </c>
      <c r="N213">
        <f>RIGHT(M213,LEN(M213)-FIND(" ",M213))</f>
        <v/>
      </c>
      <c r="P213" t="inlineStr">
        <is>
          <t>WARREN</t>
        </is>
      </c>
      <c r="Q213" t="inlineStr">
        <is>
          <t>OH</t>
        </is>
      </c>
      <c r="R213" t="n">
        <v>44483</v>
      </c>
      <c r="AD213" t="inlineStr">
        <is>
          <t>TRUMBULL CAREER &amp; TECH CENTER</t>
        </is>
      </c>
      <c r="AE213" t="inlineStr">
        <is>
          <t>WARREN CITY</t>
        </is>
      </c>
      <c r="AF213" t="inlineStr">
        <is>
          <t>WARREN CITY SD</t>
        </is>
      </c>
      <c r="AH213" t="n">
        <v>14</v>
      </c>
      <c r="AI213" t="n">
        <v>11</v>
      </c>
      <c r="AN213" t="inlineStr">
        <is>
          <t>WARREN</t>
        </is>
      </c>
      <c r="AO213" t="inlineStr">
        <is>
          <t>WARREN CITY 4A</t>
        </is>
      </c>
      <c r="AP213" t="inlineStr">
        <is>
          <t>78-P-ADI</t>
        </is>
      </c>
      <c r="AQ213" t="n">
        <v>9</v>
      </c>
      <c r="AR213" t="n">
        <v>64</v>
      </c>
      <c r="AS213" t="n">
        <v>32</v>
      </c>
      <c r="AU213">
        <f>COUNTA($BA$213:$EH$213)</f>
        <v/>
      </c>
      <c r="AV213">
        <f>COUNTIF($BA$213:$EH$213,"D")</f>
        <v/>
      </c>
      <c r="AW213">
        <f>COUNTIF($BA$213:$EH$213,"R")</f>
        <v/>
      </c>
      <c r="AX213">
        <f>IF(BN213="D",1,0)+IF(BO213="D",1,0)+IF(BT213="D",1,0)+IF(BU213="D",1,0)+IF(BW213="D",1,0)+IF(CC213="D",1,0)+IF(CD213="D",1,0)+IF(CE213="D",1,0)+IF(CF213="D",1,0)+IF(CL213="D",1,0)+IF(CM213="D",1,0)+IF(CQ213="D",1,0)+IF(CR213="D",1,0)+IF(CS213="D",1,0)+IF(CW213="D",1,0)+IF(CX213="D",1,0)+IF(DD213="D",1,0)+IF(DE213="D",1,0)+IF(DJ213="D",1,0)+IF(DK213="D",1,0)+IF(DO213="D",1,0)+IF(DP213="D",1,0)+IF(DQ213="D",1,0)+IF(DW213="D",1,0)+IF(DZ213="D",1,0)+IF(EH213="D",1,0)</f>
        <v/>
      </c>
      <c r="AY213">
        <f>IF(DJ213&lt;&gt;"",1,0)+IF(DK213&lt;&gt;"",1,0)+IF(DM213&lt;&gt;"",1,0)+IF(DO213&lt;&gt;"",1,0)+IF(DP213&lt;&gt;"",1,0)+IF(DQ213&lt;&gt;"",1,0)+IF(DS213&lt;&gt;"",1,0)+IF(DT213&lt;&gt;"",1,0)+IF(DV213&lt;&gt;"",1,0)+IF(DW213&lt;&gt;"",1,0)+IF(DX213&lt;&gt;"",1,0)+IF(DY213&lt;&gt;"",1,0)+IF(DZ213&lt;&gt;"",1,0)+IF(EB213&lt;&gt;"",1,0)+IF(EC213&lt;&gt;"",1,0)+IF(ED213&lt;&gt;"",1,0)+IF(EG213&lt;&gt;"",1,0)+IF(EH213&lt;&gt;"",1,0)</f>
        <v/>
      </c>
      <c r="AZ213">
        <f>IF(EH213&lt;&gt;"",1,0)</f>
        <v/>
      </c>
      <c r="BB213" t="inlineStr">
        <is>
          <t>WARREN-WARD 4</t>
        </is>
      </c>
      <c r="BS213" t="inlineStr">
        <is>
          <t>X</t>
        </is>
      </c>
      <c r="CA213" t="inlineStr">
        <is>
          <t>X</t>
        </is>
      </c>
      <c r="CN213" t="inlineStr">
        <is>
          <t>X</t>
        </is>
      </c>
      <c r="CV213" t="inlineStr">
        <is>
          <t>X</t>
        </is>
      </c>
      <c r="CY213" t="inlineStr">
        <is>
          <t>X</t>
        </is>
      </c>
      <c r="CZ213" t="inlineStr">
        <is>
          <t>D</t>
        </is>
      </c>
      <c r="DC213" t="inlineStr">
        <is>
          <t>X</t>
        </is>
      </c>
      <c r="DI213" t="inlineStr">
        <is>
          <t>X</t>
        </is>
      </c>
      <c r="DN213" t="inlineStr">
        <is>
          <t>X</t>
        </is>
      </c>
    </row>
    <row r="214">
      <c r="A214" t="inlineStr">
        <is>
          <t>OH0026083776</t>
        </is>
      </c>
      <c r="B214" t="n">
        <v>78</v>
      </c>
      <c r="C214" t="n">
        <v>456049</v>
      </c>
      <c r="D214" t="inlineStr">
        <is>
          <t>LAVIGNE</t>
        </is>
      </c>
      <c r="E214" t="inlineStr">
        <is>
          <t>CHRISTINA</t>
        </is>
      </c>
      <c r="F214">
        <f>CONCATENATE(D214," ",LEFT(H214,4),"T=",AU214,"D=",AV214,"R=",AW214,"M=",AX214,"L=",AY214,"B=",AZ214)</f>
        <v/>
      </c>
      <c r="G214" t="inlineStr">
        <is>
          <t>MARIA</t>
        </is>
      </c>
      <c r="I214" t="inlineStr">
        <is>
          <t>1977-10-06</t>
        </is>
      </c>
      <c r="J214" t="inlineStr">
        <is>
          <t>2023-05-03</t>
        </is>
      </c>
      <c r="K214" t="inlineStr">
        <is>
          <t>ACTIVE</t>
        </is>
      </c>
      <c r="M214" t="inlineStr">
        <is>
          <t>359 CHARLES AVE SE</t>
        </is>
      </c>
      <c r="N214">
        <f>RIGHT(M214,LEN(M214)-FIND(" ",M214))</f>
        <v/>
      </c>
      <c r="P214" t="inlineStr">
        <is>
          <t>WARREN</t>
        </is>
      </c>
      <c r="Q214" t="inlineStr">
        <is>
          <t>OH</t>
        </is>
      </c>
      <c r="R214" t="n">
        <v>44483</v>
      </c>
      <c r="AD214" t="inlineStr">
        <is>
          <t>TRUMBULL CAREER &amp; TECH CENTER</t>
        </is>
      </c>
      <c r="AE214" t="inlineStr">
        <is>
          <t>WARREN CITY</t>
        </is>
      </c>
      <c r="AF214" t="inlineStr">
        <is>
          <t>WARREN CITY SD</t>
        </is>
      </c>
      <c r="AH214" t="n">
        <v>14</v>
      </c>
      <c r="AI214" t="n">
        <v>11</v>
      </c>
      <c r="AN214" t="inlineStr">
        <is>
          <t>WARREN</t>
        </is>
      </c>
      <c r="AO214" t="inlineStr">
        <is>
          <t>WARREN CITY 4A</t>
        </is>
      </c>
      <c r="AP214" t="inlineStr">
        <is>
          <t>78-P-ADI</t>
        </is>
      </c>
      <c r="AQ214" t="n">
        <v>9</v>
      </c>
      <c r="AR214" t="n">
        <v>64</v>
      </c>
      <c r="AS214" t="n">
        <v>32</v>
      </c>
      <c r="AU214">
        <f>COUNTA($BA$214:$EH$214)</f>
        <v/>
      </c>
      <c r="AV214">
        <f>COUNTIF($BA$214:$EH$214,"D")</f>
        <v/>
      </c>
      <c r="AW214">
        <f>COUNTIF($BA$214:$EH$214,"R")</f>
        <v/>
      </c>
      <c r="AX214">
        <f>IF(BN214="D",1,0)+IF(BO214="D",1,0)+IF(BT214="D",1,0)+IF(BU214="D",1,0)+IF(BW214="D",1,0)+IF(CC214="D",1,0)+IF(CD214="D",1,0)+IF(CE214="D",1,0)+IF(CF214="D",1,0)+IF(CL214="D",1,0)+IF(CM214="D",1,0)+IF(CQ214="D",1,0)+IF(CR214="D",1,0)+IF(CS214="D",1,0)+IF(CW214="D",1,0)+IF(CX214="D",1,0)+IF(DD214="D",1,0)+IF(DE214="D",1,0)+IF(DJ214="D",1,0)+IF(DK214="D",1,0)+IF(DO214="D",1,0)+IF(DP214="D",1,0)+IF(DQ214="D",1,0)+IF(DW214="D",1,0)+IF(DZ214="D",1,0)+IF(EH214="D",1,0)</f>
        <v/>
      </c>
      <c r="AY214">
        <f>IF(DJ214&lt;&gt;"",1,0)+IF(DK214&lt;&gt;"",1,0)+IF(DM214&lt;&gt;"",1,0)+IF(DO214&lt;&gt;"",1,0)+IF(DP214&lt;&gt;"",1,0)+IF(DQ214&lt;&gt;"",1,0)+IF(DS214&lt;&gt;"",1,0)+IF(DT214&lt;&gt;"",1,0)+IF(DV214&lt;&gt;"",1,0)+IF(DW214&lt;&gt;"",1,0)+IF(DX214&lt;&gt;"",1,0)+IF(DY214&lt;&gt;"",1,0)+IF(DZ214&lt;&gt;"",1,0)+IF(EB214&lt;&gt;"",1,0)+IF(EC214&lt;&gt;"",1,0)+IF(ED214&lt;&gt;"",1,0)+IF(EG214&lt;&gt;"",1,0)+IF(EH214&lt;&gt;"",1,0)</f>
        <v/>
      </c>
      <c r="AZ214">
        <f>IF(EH214&lt;&gt;"",1,0)</f>
        <v/>
      </c>
      <c r="BB214" t="inlineStr">
        <is>
          <t>WARREN-WARD 4</t>
        </is>
      </c>
      <c r="EF214" t="inlineStr">
        <is>
          <t>X</t>
        </is>
      </c>
    </row>
    <row r="215">
      <c r="A215" t="inlineStr">
        <is>
          <t>OH0027250653</t>
        </is>
      </c>
      <c r="B215" t="n">
        <v>78</v>
      </c>
      <c r="C215" t="n">
        <v>483580</v>
      </c>
      <c r="D215" t="inlineStr">
        <is>
          <t>MALLORY</t>
        </is>
      </c>
      <c r="E215" t="inlineStr">
        <is>
          <t>ANTONIO</t>
        </is>
      </c>
      <c r="F215">
        <f>CONCATENATE(D215," ",LEFT(H215,4),"T=",AU215,"D=",AV215,"R=",AW215,"M=",AX215,"L=",AY215,"B=",AZ215)</f>
        <v/>
      </c>
      <c r="G215" t="inlineStr">
        <is>
          <t>DARNELL</t>
        </is>
      </c>
      <c r="I215" t="inlineStr">
        <is>
          <t>1971-12-31</t>
        </is>
      </c>
      <c r="J215" t="inlineStr">
        <is>
          <t>2024-02-12</t>
        </is>
      </c>
      <c r="K215" t="inlineStr">
        <is>
          <t>ACTIVE</t>
        </is>
      </c>
      <c r="M215" t="inlineStr">
        <is>
          <t>364 OAK KNOLL AVE SE</t>
        </is>
      </c>
      <c r="N215">
        <f>RIGHT(M215,LEN(M215)-FIND(" ",M215))</f>
        <v/>
      </c>
      <c r="P215" t="inlineStr">
        <is>
          <t>WARREN</t>
        </is>
      </c>
      <c r="Q215" t="inlineStr">
        <is>
          <t>OH</t>
        </is>
      </c>
      <c r="R215" t="n">
        <v>44483</v>
      </c>
      <c r="AD215" t="inlineStr">
        <is>
          <t>TRUMBULL CAREER &amp; TECH CENTER</t>
        </is>
      </c>
      <c r="AE215" t="inlineStr">
        <is>
          <t>WARREN CITY</t>
        </is>
      </c>
      <c r="AF215" t="inlineStr">
        <is>
          <t>WARREN CITY SD</t>
        </is>
      </c>
      <c r="AH215" t="n">
        <v>14</v>
      </c>
      <c r="AI215" t="n">
        <v>11</v>
      </c>
      <c r="AN215" t="inlineStr">
        <is>
          <t>WARREN</t>
        </is>
      </c>
      <c r="AO215" t="inlineStr">
        <is>
          <t>WARREN CITY 4A</t>
        </is>
      </c>
      <c r="AP215" t="inlineStr">
        <is>
          <t>78-P-ADI</t>
        </is>
      </c>
      <c r="AQ215" t="n">
        <v>9</v>
      </c>
      <c r="AR215" t="n">
        <v>64</v>
      </c>
      <c r="AS215" t="n">
        <v>32</v>
      </c>
      <c r="AU215">
        <f>COUNTA($BA$215:$EH$215)</f>
        <v/>
      </c>
      <c r="AV215">
        <f>COUNTIF($BA$215:$EH$215,"D")</f>
        <v/>
      </c>
      <c r="AW215">
        <f>COUNTIF($BA$215:$EH$215,"R")</f>
        <v/>
      </c>
      <c r="AX215">
        <f>IF(BN215="D",1,0)+IF(BO215="D",1,0)+IF(BT215="D",1,0)+IF(BU215="D",1,0)+IF(BW215="D",1,0)+IF(CC215="D",1,0)+IF(CD215="D",1,0)+IF(CE215="D",1,0)+IF(CF215="D",1,0)+IF(CL215="D",1,0)+IF(CM215="D",1,0)+IF(CQ215="D",1,0)+IF(CR215="D",1,0)+IF(CS215="D",1,0)+IF(CW215="D",1,0)+IF(CX215="D",1,0)+IF(DD215="D",1,0)+IF(DE215="D",1,0)+IF(DJ215="D",1,0)+IF(DK215="D",1,0)+IF(DO215="D",1,0)+IF(DP215="D",1,0)+IF(DQ215="D",1,0)+IF(DW215="D",1,0)+IF(DZ215="D",1,0)+IF(EH215="D",1,0)</f>
        <v/>
      </c>
      <c r="AY215">
        <f>IF(DJ215&lt;&gt;"",1,0)+IF(DK215&lt;&gt;"",1,0)+IF(DM215&lt;&gt;"",1,0)+IF(DO215&lt;&gt;"",1,0)+IF(DP215&lt;&gt;"",1,0)+IF(DQ215&lt;&gt;"",1,0)+IF(DS215&lt;&gt;"",1,0)+IF(DT215&lt;&gt;"",1,0)+IF(DV215&lt;&gt;"",1,0)+IF(DW215&lt;&gt;"",1,0)+IF(DX215&lt;&gt;"",1,0)+IF(DY215&lt;&gt;"",1,0)+IF(DZ215&lt;&gt;"",1,0)+IF(EB215&lt;&gt;"",1,0)+IF(EC215&lt;&gt;"",1,0)+IF(ED215&lt;&gt;"",1,0)+IF(EG215&lt;&gt;"",1,0)+IF(EH215&lt;&gt;"",1,0)</f>
        <v/>
      </c>
      <c r="AZ215">
        <f>IF(EH215&lt;&gt;"",1,0)</f>
        <v/>
      </c>
      <c r="BB215" t="inlineStr">
        <is>
          <t>WARREN-WARD 4</t>
        </is>
      </c>
    </row>
    <row r="216">
      <c r="A216" t="inlineStr">
        <is>
          <t>OH0021687931</t>
        </is>
      </c>
      <c r="B216" t="n">
        <v>78</v>
      </c>
      <c r="C216" t="n">
        <v>384823</v>
      </c>
      <c r="D216" t="inlineStr">
        <is>
          <t>HUGHES</t>
        </is>
      </c>
      <c r="E216" t="inlineStr">
        <is>
          <t>SETH</t>
        </is>
      </c>
      <c r="F216">
        <f>CONCATENATE(D216," ",LEFT(H216,4),"T=",AU216,"D=",AV216,"R=",AW216,"M=",AX216,"L=",AY216,"B=",AZ216)</f>
        <v/>
      </c>
      <c r="G216" t="inlineStr">
        <is>
          <t>M</t>
        </is>
      </c>
      <c r="I216" t="inlineStr">
        <is>
          <t>1994-08-19</t>
        </is>
      </c>
      <c r="J216" t="inlineStr">
        <is>
          <t>2024-06-11</t>
        </is>
      </c>
      <c r="K216" t="inlineStr">
        <is>
          <t>ACTIVE</t>
        </is>
      </c>
      <c r="M216" t="inlineStr">
        <is>
          <t>578 ADELAIDE AVE SE</t>
        </is>
      </c>
      <c r="N216">
        <f>RIGHT(M216,LEN(M216)-FIND(" ",M216))</f>
        <v/>
      </c>
      <c r="P216" t="inlineStr">
        <is>
          <t>WARREN</t>
        </is>
      </c>
      <c r="Q216" t="inlineStr">
        <is>
          <t>OH</t>
        </is>
      </c>
      <c r="R216" t="n">
        <v>44483</v>
      </c>
      <c r="AD216" t="inlineStr">
        <is>
          <t>TRUMBULL CAREER &amp; TECH CENTER</t>
        </is>
      </c>
      <c r="AE216" t="inlineStr">
        <is>
          <t>WARREN CITY</t>
        </is>
      </c>
      <c r="AF216" t="inlineStr">
        <is>
          <t>WARREN CITY SD</t>
        </is>
      </c>
      <c r="AH216" t="n">
        <v>14</v>
      </c>
      <c r="AI216" t="n">
        <v>11</v>
      </c>
      <c r="AN216" t="inlineStr">
        <is>
          <t>WARREN</t>
        </is>
      </c>
      <c r="AO216" t="inlineStr">
        <is>
          <t>WARREN CITY 4A</t>
        </is>
      </c>
      <c r="AP216" t="inlineStr">
        <is>
          <t>78-P-ADI</t>
        </is>
      </c>
      <c r="AQ216" t="n">
        <v>9</v>
      </c>
      <c r="AR216" t="n">
        <v>64</v>
      </c>
      <c r="AS216" t="n">
        <v>32</v>
      </c>
      <c r="AU216">
        <f>COUNTA($BA$216:$EH$216)</f>
        <v/>
      </c>
      <c r="AV216">
        <f>COUNTIF($BA$216:$EH$216,"D")</f>
        <v/>
      </c>
      <c r="AW216">
        <f>COUNTIF($BA$216:$EH$216,"R")</f>
        <v/>
      </c>
      <c r="AX216">
        <f>IF(BN216="D",1,0)+IF(BO216="D",1,0)+IF(BT216="D",1,0)+IF(BU216="D",1,0)+IF(BW216="D",1,0)+IF(CC216="D",1,0)+IF(CD216="D",1,0)+IF(CE216="D",1,0)+IF(CF216="D",1,0)+IF(CL216="D",1,0)+IF(CM216="D",1,0)+IF(CQ216="D",1,0)+IF(CR216="D",1,0)+IF(CS216="D",1,0)+IF(CW216="D",1,0)+IF(CX216="D",1,0)+IF(DD216="D",1,0)+IF(DE216="D",1,0)+IF(DJ216="D",1,0)+IF(DK216="D",1,0)+IF(DO216="D",1,0)+IF(DP216="D",1,0)+IF(DQ216="D",1,0)+IF(DW216="D",1,0)+IF(DZ216="D",1,0)+IF(EH216="D",1,0)</f>
        <v/>
      </c>
      <c r="AY216">
        <f>IF(DJ216&lt;&gt;"",1,0)+IF(DK216&lt;&gt;"",1,0)+IF(DM216&lt;&gt;"",1,0)+IF(DO216&lt;&gt;"",1,0)+IF(DP216&lt;&gt;"",1,0)+IF(DQ216&lt;&gt;"",1,0)+IF(DS216&lt;&gt;"",1,0)+IF(DT216&lt;&gt;"",1,0)+IF(DV216&lt;&gt;"",1,0)+IF(DW216&lt;&gt;"",1,0)+IF(DX216&lt;&gt;"",1,0)+IF(DY216&lt;&gt;"",1,0)+IF(DZ216&lt;&gt;"",1,0)+IF(EB216&lt;&gt;"",1,0)+IF(EC216&lt;&gt;"",1,0)+IF(ED216&lt;&gt;"",1,0)+IF(EG216&lt;&gt;"",1,0)+IF(EH216&lt;&gt;"",1,0)</f>
        <v/>
      </c>
      <c r="AZ216">
        <f>IF(EH216&lt;&gt;"",1,0)</f>
        <v/>
      </c>
      <c r="BB216" t="inlineStr">
        <is>
          <t>WARREN-WARD 4</t>
        </is>
      </c>
      <c r="CP216" t="inlineStr">
        <is>
          <t>X</t>
        </is>
      </c>
      <c r="CY216" t="inlineStr">
        <is>
          <t>X</t>
        </is>
      </c>
      <c r="CZ216" t="inlineStr">
        <is>
          <t>D</t>
        </is>
      </c>
      <c r="DC216" t="inlineStr">
        <is>
          <t>X</t>
        </is>
      </c>
      <c r="DN216" t="inlineStr">
        <is>
          <t>X</t>
        </is>
      </c>
      <c r="DU216" t="inlineStr">
        <is>
          <t>X</t>
        </is>
      </c>
      <c r="EF216" t="inlineStr">
        <is>
          <t>X</t>
        </is>
      </c>
    </row>
    <row r="217">
      <c r="A217" t="inlineStr">
        <is>
          <t>OH0023228612</t>
        </is>
      </c>
      <c r="B217" t="n">
        <v>78</v>
      </c>
      <c r="C217" t="n">
        <v>408852</v>
      </c>
      <c r="D217" t="inlineStr">
        <is>
          <t>KISH</t>
        </is>
      </c>
      <c r="E217" t="inlineStr">
        <is>
          <t>STEVE</t>
        </is>
      </c>
      <c r="F217">
        <f>CONCATENATE(D217," ",LEFT(H217,4),"T=",AU217,"D=",AV217,"R=",AW217,"M=",AX217,"L=",AY217,"B=",AZ217)</f>
        <v/>
      </c>
      <c r="G217" t="inlineStr">
        <is>
          <t>GEORGE</t>
        </is>
      </c>
      <c r="I217" t="inlineStr">
        <is>
          <t>1996-09-28</t>
        </is>
      </c>
      <c r="J217" t="inlineStr">
        <is>
          <t>2020-02-12</t>
        </is>
      </c>
      <c r="K217" t="inlineStr">
        <is>
          <t>CONFIRMATION</t>
        </is>
      </c>
      <c r="M217" t="inlineStr">
        <is>
          <t>766 ADELAIDE AVE SE</t>
        </is>
      </c>
      <c r="N217">
        <f>RIGHT(M217,LEN(M217)-FIND(" ",M217))</f>
        <v/>
      </c>
      <c r="P217" t="inlineStr">
        <is>
          <t>WARREN</t>
        </is>
      </c>
      <c r="Q217" t="inlineStr">
        <is>
          <t>OH</t>
        </is>
      </c>
      <c r="R217" t="n">
        <v>44484</v>
      </c>
      <c r="AD217" t="inlineStr">
        <is>
          <t>TRUMBULL CAREER &amp; TECH CENTER</t>
        </is>
      </c>
      <c r="AE217" t="inlineStr">
        <is>
          <t>WARREN CITY</t>
        </is>
      </c>
      <c r="AF217" t="inlineStr">
        <is>
          <t>WARREN CITY SD</t>
        </is>
      </c>
      <c r="AH217" t="n">
        <v>14</v>
      </c>
      <c r="AI217" t="n">
        <v>11</v>
      </c>
      <c r="AN217" t="inlineStr">
        <is>
          <t>WARREN</t>
        </is>
      </c>
      <c r="AO217" t="inlineStr">
        <is>
          <t>WARREN CITY 4A</t>
        </is>
      </c>
      <c r="AP217" t="inlineStr">
        <is>
          <t>78-P-ADI</t>
        </is>
      </c>
      <c r="AQ217" t="n">
        <v>9</v>
      </c>
      <c r="AR217" t="n">
        <v>64</v>
      </c>
      <c r="AS217" t="n">
        <v>32</v>
      </c>
      <c r="AU217">
        <f>COUNTA($BA$217:$EH$217)</f>
        <v/>
      </c>
      <c r="AV217">
        <f>COUNTIF($BA$217:$EH$217,"D")</f>
        <v/>
      </c>
      <c r="AW217">
        <f>COUNTIF($BA$217:$EH$217,"R")</f>
        <v/>
      </c>
      <c r="AX217">
        <f>IF(BN217="D",1,0)+IF(BO217="D",1,0)+IF(BT217="D",1,0)+IF(BU217="D",1,0)+IF(BW217="D",1,0)+IF(CC217="D",1,0)+IF(CD217="D",1,0)+IF(CE217="D",1,0)+IF(CF217="D",1,0)+IF(CL217="D",1,0)+IF(CM217="D",1,0)+IF(CQ217="D",1,0)+IF(CR217="D",1,0)+IF(CS217="D",1,0)+IF(CW217="D",1,0)+IF(CX217="D",1,0)+IF(DD217="D",1,0)+IF(DE217="D",1,0)+IF(DJ217="D",1,0)+IF(DK217="D",1,0)+IF(DO217="D",1,0)+IF(DP217="D",1,0)+IF(DQ217="D",1,0)+IF(DW217="D",1,0)+IF(DZ217="D",1,0)+IF(EH217="D",1,0)</f>
        <v/>
      </c>
      <c r="AY217">
        <f>IF(DJ217&lt;&gt;"",1,0)+IF(DK217&lt;&gt;"",1,0)+IF(DM217&lt;&gt;"",1,0)+IF(DO217&lt;&gt;"",1,0)+IF(DP217&lt;&gt;"",1,0)+IF(DQ217&lt;&gt;"",1,0)+IF(DS217&lt;&gt;"",1,0)+IF(DT217&lt;&gt;"",1,0)+IF(DV217&lt;&gt;"",1,0)+IF(DW217&lt;&gt;"",1,0)+IF(DX217&lt;&gt;"",1,0)+IF(DY217&lt;&gt;"",1,0)+IF(DZ217&lt;&gt;"",1,0)+IF(EB217&lt;&gt;"",1,0)+IF(EC217&lt;&gt;"",1,0)+IF(ED217&lt;&gt;"",1,0)+IF(EG217&lt;&gt;"",1,0)+IF(EH217&lt;&gt;"",1,0)</f>
        <v/>
      </c>
      <c r="AZ217">
        <f>IF(EH217&lt;&gt;"",1,0)</f>
        <v/>
      </c>
      <c r="BB217" t="inlineStr">
        <is>
          <t>WARREN-WARD 4</t>
        </is>
      </c>
    </row>
    <row r="218">
      <c r="A218" t="inlineStr">
        <is>
          <t>OH0015755968</t>
        </is>
      </c>
      <c r="B218" t="n">
        <v>78</v>
      </c>
      <c r="C218" t="n">
        <v>329033</v>
      </c>
      <c r="D218" t="inlineStr">
        <is>
          <t>WARD CHIN</t>
        </is>
      </c>
      <c r="E218" t="inlineStr">
        <is>
          <t>JACQUELINE</t>
        </is>
      </c>
      <c r="F218">
        <f>CONCATENATE(D218," ",LEFT(H218,4),"T=",AU218,"D=",AV218,"R=",AW218,"M=",AX218,"L=",AY218,"B=",AZ218)</f>
        <v/>
      </c>
      <c r="G218" t="inlineStr">
        <is>
          <t>MICHELLE</t>
        </is>
      </c>
      <c r="I218" t="inlineStr">
        <is>
          <t>1965-05-24</t>
        </is>
      </c>
      <c r="J218" t="inlineStr">
        <is>
          <t>2023-08-29</t>
        </is>
      </c>
      <c r="K218" t="inlineStr">
        <is>
          <t>ACTIVE</t>
        </is>
      </c>
      <c r="L218" t="inlineStr">
        <is>
          <t>D</t>
        </is>
      </c>
      <c r="M218" t="inlineStr">
        <is>
          <t>796 EAST AVE SE</t>
        </is>
      </c>
      <c r="N218">
        <f>RIGHT(M218,LEN(M218)-FIND(" ",M218))</f>
        <v/>
      </c>
      <c r="P218" t="inlineStr">
        <is>
          <t>WARREN</t>
        </is>
      </c>
      <c r="Q218" t="inlineStr">
        <is>
          <t>OH</t>
        </is>
      </c>
      <c r="R218" t="n">
        <v>44484</v>
      </c>
      <c r="AD218" t="inlineStr">
        <is>
          <t>TRUMBULL CAREER &amp; TECH CENTER</t>
        </is>
      </c>
      <c r="AE218" t="inlineStr">
        <is>
          <t>WARREN CITY</t>
        </is>
      </c>
      <c r="AF218" t="inlineStr">
        <is>
          <t>WARREN CITY SD</t>
        </is>
      </c>
      <c r="AH218" t="n">
        <v>14</v>
      </c>
      <c r="AI218" t="n">
        <v>11</v>
      </c>
      <c r="AN218" t="inlineStr">
        <is>
          <t>WARREN</t>
        </is>
      </c>
      <c r="AO218" t="inlineStr">
        <is>
          <t>WARREN CITY 4A</t>
        </is>
      </c>
      <c r="AP218" t="inlineStr">
        <is>
          <t>78-P-ADI</t>
        </is>
      </c>
      <c r="AQ218" t="n">
        <v>9</v>
      </c>
      <c r="AR218" t="n">
        <v>64</v>
      </c>
      <c r="AS218" t="n">
        <v>32</v>
      </c>
      <c r="AU218">
        <f>COUNTA($BA$218:$EH$218)</f>
        <v/>
      </c>
      <c r="AV218">
        <f>COUNTIF($BA$218:$EH$218,"D")</f>
        <v/>
      </c>
      <c r="AW218">
        <f>COUNTIF($BA$218:$EH$218,"R")</f>
        <v/>
      </c>
      <c r="AX218">
        <f>IF(BN218="D",1,0)+IF(BO218="D",1,0)+IF(BT218="D",1,0)+IF(BU218="D",1,0)+IF(BW218="D",1,0)+IF(CC218="D",1,0)+IF(CD218="D",1,0)+IF(CE218="D",1,0)+IF(CF218="D",1,0)+IF(CL218="D",1,0)+IF(CM218="D",1,0)+IF(CQ218="D",1,0)+IF(CR218="D",1,0)+IF(CS218="D",1,0)+IF(CW218="D",1,0)+IF(CX218="D",1,0)+IF(DD218="D",1,0)+IF(DE218="D",1,0)+IF(DJ218="D",1,0)+IF(DK218="D",1,0)+IF(DO218="D",1,0)+IF(DP218="D",1,0)+IF(DQ218="D",1,0)+IF(DW218="D",1,0)+IF(DZ218="D",1,0)+IF(EH218="D",1,0)</f>
        <v/>
      </c>
      <c r="AY218">
        <f>IF(DJ218&lt;&gt;"",1,0)+IF(DK218&lt;&gt;"",1,0)+IF(DM218&lt;&gt;"",1,0)+IF(DO218&lt;&gt;"",1,0)+IF(DP218&lt;&gt;"",1,0)+IF(DQ218&lt;&gt;"",1,0)+IF(DS218&lt;&gt;"",1,0)+IF(DT218&lt;&gt;"",1,0)+IF(DV218&lt;&gt;"",1,0)+IF(DW218&lt;&gt;"",1,0)+IF(DX218&lt;&gt;"",1,0)+IF(DY218&lt;&gt;"",1,0)+IF(DZ218&lt;&gt;"",1,0)+IF(EB218&lt;&gt;"",1,0)+IF(EC218&lt;&gt;"",1,0)+IF(ED218&lt;&gt;"",1,0)+IF(EG218&lt;&gt;"",1,0)+IF(EH218&lt;&gt;"",1,0)</f>
        <v/>
      </c>
      <c r="AZ218">
        <f>IF(EH218&lt;&gt;"",1,0)</f>
        <v/>
      </c>
      <c r="BB218" t="inlineStr">
        <is>
          <t>WARREN-WARD 4</t>
        </is>
      </c>
      <c r="BL218" t="inlineStr">
        <is>
          <t>X</t>
        </is>
      </c>
      <c r="BS218" t="inlineStr">
        <is>
          <t>X</t>
        </is>
      </c>
      <c r="BY218" t="inlineStr">
        <is>
          <t>D</t>
        </is>
      </c>
      <c r="CA218" t="inlineStr">
        <is>
          <t>X</t>
        </is>
      </c>
      <c r="CG218" t="inlineStr">
        <is>
          <t>X</t>
        </is>
      </c>
      <c r="CK218" t="inlineStr">
        <is>
          <t>X</t>
        </is>
      </c>
      <c r="CL218" t="inlineStr">
        <is>
          <t>D</t>
        </is>
      </c>
      <c r="CN218" t="inlineStr">
        <is>
          <t>X</t>
        </is>
      </c>
      <c r="CP218" t="inlineStr">
        <is>
          <t>X</t>
        </is>
      </c>
      <c r="CQ218" t="inlineStr">
        <is>
          <t>D</t>
        </is>
      </c>
      <c r="CV218" t="inlineStr">
        <is>
          <t>X</t>
        </is>
      </c>
      <c r="CY218" t="inlineStr">
        <is>
          <t>X</t>
        </is>
      </c>
      <c r="CZ218" t="inlineStr">
        <is>
          <t>D</t>
        </is>
      </c>
      <c r="DC218" t="inlineStr">
        <is>
          <t>X</t>
        </is>
      </c>
      <c r="DI218" t="inlineStr">
        <is>
          <t>X</t>
        </is>
      </c>
      <c r="DN218" t="inlineStr">
        <is>
          <t>X</t>
        </is>
      </c>
      <c r="DR218" t="inlineStr">
        <is>
          <t>X</t>
        </is>
      </c>
      <c r="DU218" t="inlineStr">
        <is>
          <t>X</t>
        </is>
      </c>
      <c r="DW218" t="inlineStr">
        <is>
          <t>D</t>
        </is>
      </c>
      <c r="DX218" t="inlineStr">
        <is>
          <t>X</t>
        </is>
      </c>
      <c r="EA218" t="inlineStr">
        <is>
          <t>X</t>
        </is>
      </c>
      <c r="ED218" t="inlineStr">
        <is>
          <t>D</t>
        </is>
      </c>
      <c r="EF218" t="inlineStr">
        <is>
          <t>X</t>
        </is>
      </c>
      <c r="EH218" t="inlineStr">
        <is>
          <t>D</t>
        </is>
      </c>
    </row>
    <row r="219">
      <c r="A219" t="inlineStr">
        <is>
          <t>OH0015721725</t>
        </is>
      </c>
      <c r="B219" t="n">
        <v>78</v>
      </c>
      <c r="C219" t="n">
        <v>202835</v>
      </c>
      <c r="D219" t="inlineStr">
        <is>
          <t>STOUFFER</t>
        </is>
      </c>
      <c r="E219" t="inlineStr">
        <is>
          <t>KATHY</t>
        </is>
      </c>
      <c r="F219">
        <f>CONCATENATE(D219," ",LEFT(H219,4),"T=",AU219,"D=",AV219,"R=",AW219,"M=",AX219,"L=",AY219,"B=",AZ219)</f>
        <v/>
      </c>
      <c r="G219" t="inlineStr">
        <is>
          <t>A</t>
        </is>
      </c>
      <c r="I219" t="inlineStr">
        <is>
          <t>1950-03-15</t>
        </is>
      </c>
      <c r="J219" t="inlineStr">
        <is>
          <t>2012-09-06</t>
        </is>
      </c>
      <c r="K219" t="inlineStr">
        <is>
          <t>ACTIVE</t>
        </is>
      </c>
      <c r="L219" t="inlineStr">
        <is>
          <t>D</t>
        </is>
      </c>
      <c r="M219" t="inlineStr">
        <is>
          <t>499 HOMEWOOD AVE SE</t>
        </is>
      </c>
      <c r="N219">
        <f>RIGHT(M219,LEN(M219)-FIND(" ",M219))</f>
        <v/>
      </c>
      <c r="P219" t="inlineStr">
        <is>
          <t>WARREN</t>
        </is>
      </c>
      <c r="Q219" t="inlineStr">
        <is>
          <t>OH</t>
        </is>
      </c>
      <c r="R219" t="n">
        <v>44483</v>
      </c>
      <c r="AD219" t="inlineStr">
        <is>
          <t>TRUMBULL CAREER &amp; TECH CENTER</t>
        </is>
      </c>
      <c r="AE219" t="inlineStr">
        <is>
          <t>WARREN CITY</t>
        </is>
      </c>
      <c r="AF219" t="inlineStr">
        <is>
          <t>WARREN CITY SD</t>
        </is>
      </c>
      <c r="AH219" t="n">
        <v>14</v>
      </c>
      <c r="AI219" t="n">
        <v>11</v>
      </c>
      <c r="AN219" t="inlineStr">
        <is>
          <t>WARREN</t>
        </is>
      </c>
      <c r="AO219" t="inlineStr">
        <is>
          <t>WARREN CITY 4A</t>
        </is>
      </c>
      <c r="AP219" t="inlineStr">
        <is>
          <t>78-P-ADI</t>
        </is>
      </c>
      <c r="AQ219" t="n">
        <v>9</v>
      </c>
      <c r="AR219" t="n">
        <v>64</v>
      </c>
      <c r="AS219" t="n">
        <v>32</v>
      </c>
      <c r="AU219">
        <f>COUNTA($BA$219:$EH$219)</f>
        <v/>
      </c>
      <c r="AV219">
        <f>COUNTIF($BA$219:$EH$219,"D")</f>
        <v/>
      </c>
      <c r="AW219">
        <f>COUNTIF($BA$219:$EH$219,"R")</f>
        <v/>
      </c>
      <c r="AX219">
        <f>IF(BN219="D",1,0)+IF(BO219="D",1,0)+IF(BT219="D",1,0)+IF(BU219="D",1,0)+IF(BW219="D",1,0)+IF(CC219="D",1,0)+IF(CD219="D",1,0)+IF(CE219="D",1,0)+IF(CF219="D",1,0)+IF(CL219="D",1,0)+IF(CM219="D",1,0)+IF(CQ219="D",1,0)+IF(CR219="D",1,0)+IF(CS219="D",1,0)+IF(CW219="D",1,0)+IF(CX219="D",1,0)+IF(DD219="D",1,0)+IF(DE219="D",1,0)+IF(DJ219="D",1,0)+IF(DK219="D",1,0)+IF(DO219="D",1,0)+IF(DP219="D",1,0)+IF(DQ219="D",1,0)+IF(DW219="D",1,0)+IF(DZ219="D",1,0)+IF(EH219="D",1,0)</f>
        <v/>
      </c>
      <c r="AY219">
        <f>IF(DJ219&lt;&gt;"",1,0)+IF(DK219&lt;&gt;"",1,0)+IF(DM219&lt;&gt;"",1,0)+IF(DO219&lt;&gt;"",1,0)+IF(DP219&lt;&gt;"",1,0)+IF(DQ219&lt;&gt;"",1,0)+IF(DS219&lt;&gt;"",1,0)+IF(DT219&lt;&gt;"",1,0)+IF(DV219&lt;&gt;"",1,0)+IF(DW219&lt;&gt;"",1,0)+IF(DX219&lt;&gt;"",1,0)+IF(DY219&lt;&gt;"",1,0)+IF(DZ219&lt;&gt;"",1,0)+IF(EB219&lt;&gt;"",1,0)+IF(EC219&lt;&gt;"",1,0)+IF(ED219&lt;&gt;"",1,0)+IF(EG219&lt;&gt;"",1,0)+IF(EH219&lt;&gt;"",1,0)</f>
        <v/>
      </c>
      <c r="AZ219">
        <f>IF(EH219&lt;&gt;"",1,0)</f>
        <v/>
      </c>
      <c r="BB219" t="inlineStr">
        <is>
          <t>WARREN-WARD 4</t>
        </is>
      </c>
      <c r="BC219" t="inlineStr">
        <is>
          <t>X</t>
        </is>
      </c>
      <c r="BD219" t="inlineStr">
        <is>
          <t>X</t>
        </is>
      </c>
      <c r="BH219" t="inlineStr">
        <is>
          <t>X</t>
        </is>
      </c>
      <c r="BJ219" t="inlineStr">
        <is>
          <t>X</t>
        </is>
      </c>
      <c r="BK219" t="inlineStr">
        <is>
          <t>X</t>
        </is>
      </c>
      <c r="BL219" t="inlineStr">
        <is>
          <t>X</t>
        </is>
      </c>
      <c r="BP219" t="inlineStr">
        <is>
          <t>X</t>
        </is>
      </c>
      <c r="BR219" t="inlineStr">
        <is>
          <t>X</t>
        </is>
      </c>
      <c r="BS219" t="inlineStr">
        <is>
          <t>X</t>
        </is>
      </c>
      <c r="BV219" t="inlineStr">
        <is>
          <t>X</t>
        </is>
      </c>
      <c r="BY219" t="inlineStr">
        <is>
          <t>D</t>
        </is>
      </c>
      <c r="CA219" t="inlineStr">
        <is>
          <t>X</t>
        </is>
      </c>
      <c r="CG219" t="inlineStr">
        <is>
          <t>X</t>
        </is>
      </c>
      <c r="CH219" t="inlineStr">
        <is>
          <t>D</t>
        </is>
      </c>
      <c r="CK219" t="inlineStr">
        <is>
          <t>X</t>
        </is>
      </c>
      <c r="CL219" t="inlineStr">
        <is>
          <t>D</t>
        </is>
      </c>
      <c r="CN219" t="inlineStr">
        <is>
          <t>X</t>
        </is>
      </c>
      <c r="CP219" t="inlineStr">
        <is>
          <t>X</t>
        </is>
      </c>
      <c r="CV219" t="inlineStr">
        <is>
          <t>X</t>
        </is>
      </c>
      <c r="CY219" t="inlineStr">
        <is>
          <t>X</t>
        </is>
      </c>
      <c r="CZ219" t="inlineStr">
        <is>
          <t>D</t>
        </is>
      </c>
      <c r="DC219" t="inlineStr">
        <is>
          <t>X</t>
        </is>
      </c>
      <c r="DF219" t="inlineStr">
        <is>
          <t>X</t>
        </is>
      </c>
      <c r="DG219" t="inlineStr">
        <is>
          <t>D</t>
        </is>
      </c>
      <c r="DI219" t="inlineStr">
        <is>
          <t>X</t>
        </is>
      </c>
      <c r="DL219" t="inlineStr">
        <is>
          <t>X</t>
        </is>
      </c>
      <c r="DM219" t="inlineStr">
        <is>
          <t>D</t>
        </is>
      </c>
      <c r="DN219" t="inlineStr">
        <is>
          <t>X</t>
        </is>
      </c>
      <c r="DR219" t="inlineStr">
        <is>
          <t>X</t>
        </is>
      </c>
      <c r="DS219" t="inlineStr">
        <is>
          <t>D</t>
        </is>
      </c>
      <c r="DT219" t="inlineStr">
        <is>
          <t>D</t>
        </is>
      </c>
      <c r="DU219" t="inlineStr">
        <is>
          <t>X</t>
        </is>
      </c>
      <c r="DX219" t="inlineStr">
        <is>
          <t>X</t>
        </is>
      </c>
      <c r="EA219" t="inlineStr">
        <is>
          <t>X</t>
        </is>
      </c>
      <c r="ED219" t="inlineStr">
        <is>
          <t>D</t>
        </is>
      </c>
      <c r="EF219" t="inlineStr">
        <is>
          <t>X</t>
        </is>
      </c>
      <c r="EH219" t="inlineStr">
        <is>
          <t>D</t>
        </is>
      </c>
    </row>
    <row r="220">
      <c r="A220" t="inlineStr">
        <is>
          <t>OH0026937155</t>
        </is>
      </c>
      <c r="B220" t="n">
        <v>78</v>
      </c>
      <c r="C220" t="n">
        <v>474702</v>
      </c>
      <c r="D220" t="inlineStr">
        <is>
          <t>JAYNES</t>
        </is>
      </c>
      <c r="E220" t="inlineStr">
        <is>
          <t>JENNIFER</t>
        </is>
      </c>
      <c r="F220">
        <f>CONCATENATE(D220," ",LEFT(H220,4),"T=",AU220,"D=",AV220,"R=",AW220,"M=",AX220,"L=",AY220,"B=",AZ220)</f>
        <v/>
      </c>
      <c r="G220" t="inlineStr">
        <is>
          <t>MELISA</t>
        </is>
      </c>
      <c r="I220" t="inlineStr">
        <is>
          <t>1972-06-22</t>
        </is>
      </c>
      <c r="J220" t="inlineStr">
        <is>
          <t>2023-05-01</t>
        </is>
      </c>
      <c r="K220" t="inlineStr">
        <is>
          <t>ACTIVE</t>
        </is>
      </c>
      <c r="M220" t="inlineStr">
        <is>
          <t>506 OAK KNOLL AVE SE</t>
        </is>
      </c>
      <c r="N220">
        <f>RIGHT(M220,LEN(M220)-FIND(" ",M220))</f>
        <v/>
      </c>
      <c r="P220" t="inlineStr">
        <is>
          <t>WARREN</t>
        </is>
      </c>
      <c r="Q220" t="inlineStr">
        <is>
          <t>OH</t>
        </is>
      </c>
      <c r="R220" t="n">
        <v>44483</v>
      </c>
      <c r="AD220" t="inlineStr">
        <is>
          <t>TRUMBULL CAREER &amp; TECH CENTER</t>
        </is>
      </c>
      <c r="AE220" t="inlineStr">
        <is>
          <t>WARREN CITY</t>
        </is>
      </c>
      <c r="AF220" t="inlineStr">
        <is>
          <t>WARREN CITY SD</t>
        </is>
      </c>
      <c r="AH220" t="n">
        <v>14</v>
      </c>
      <c r="AI220" t="n">
        <v>11</v>
      </c>
      <c r="AN220" t="inlineStr">
        <is>
          <t>WARREN</t>
        </is>
      </c>
      <c r="AO220" t="inlineStr">
        <is>
          <t>WARREN CITY 4A</t>
        </is>
      </c>
      <c r="AP220" t="inlineStr">
        <is>
          <t>78-P-ADI</t>
        </is>
      </c>
      <c r="AQ220" t="n">
        <v>9</v>
      </c>
      <c r="AR220" t="n">
        <v>64</v>
      </c>
      <c r="AS220" t="n">
        <v>32</v>
      </c>
      <c r="AU220">
        <f>COUNTA($BA$220:$EH$220)</f>
        <v/>
      </c>
      <c r="AV220">
        <f>COUNTIF($BA$220:$EH$220,"D")</f>
        <v/>
      </c>
      <c r="AW220">
        <f>COUNTIF($BA$220:$EH$220,"R")</f>
        <v/>
      </c>
      <c r="AX220">
        <f>IF(BN220="D",1,0)+IF(BO220="D",1,0)+IF(BT220="D",1,0)+IF(BU220="D",1,0)+IF(BW220="D",1,0)+IF(CC220="D",1,0)+IF(CD220="D",1,0)+IF(CE220="D",1,0)+IF(CF220="D",1,0)+IF(CL220="D",1,0)+IF(CM220="D",1,0)+IF(CQ220="D",1,0)+IF(CR220="D",1,0)+IF(CS220="D",1,0)+IF(CW220="D",1,0)+IF(CX220="D",1,0)+IF(DD220="D",1,0)+IF(DE220="D",1,0)+IF(DJ220="D",1,0)+IF(DK220="D",1,0)+IF(DO220="D",1,0)+IF(DP220="D",1,0)+IF(DQ220="D",1,0)+IF(DW220="D",1,0)+IF(DZ220="D",1,0)+IF(EH220="D",1,0)</f>
        <v/>
      </c>
      <c r="AY220">
        <f>IF(DJ220&lt;&gt;"",1,0)+IF(DK220&lt;&gt;"",1,0)+IF(DM220&lt;&gt;"",1,0)+IF(DO220&lt;&gt;"",1,0)+IF(DP220&lt;&gt;"",1,0)+IF(DQ220&lt;&gt;"",1,0)+IF(DS220&lt;&gt;"",1,0)+IF(DT220&lt;&gt;"",1,0)+IF(DV220&lt;&gt;"",1,0)+IF(DW220&lt;&gt;"",1,0)+IF(DX220&lt;&gt;"",1,0)+IF(DY220&lt;&gt;"",1,0)+IF(DZ220&lt;&gt;"",1,0)+IF(EB220&lt;&gt;"",1,0)+IF(EC220&lt;&gt;"",1,0)+IF(ED220&lt;&gt;"",1,0)+IF(EG220&lt;&gt;"",1,0)+IF(EH220&lt;&gt;"",1,0)</f>
        <v/>
      </c>
      <c r="AZ220">
        <f>IF(EH220&lt;&gt;"",1,0)</f>
        <v/>
      </c>
      <c r="BB220" t="inlineStr">
        <is>
          <t>WARREN-WARD 4</t>
        </is>
      </c>
      <c r="EF220" t="inlineStr">
        <is>
          <t>X</t>
        </is>
      </c>
    </row>
    <row r="221">
      <c r="A221" t="inlineStr">
        <is>
          <t>OH0022203011</t>
        </is>
      </c>
      <c r="B221" t="n">
        <v>78</v>
      </c>
      <c r="C221" t="n">
        <v>392604</v>
      </c>
      <c r="D221" t="inlineStr">
        <is>
          <t>ADAMS</t>
        </is>
      </c>
      <c r="E221" t="inlineStr">
        <is>
          <t>SHANE</t>
        </is>
      </c>
      <c r="F221">
        <f>CONCATENATE(D221," ",LEFT(H221,4),"T=",AU221,"D=",AV221,"R=",AW221,"M=",AX221,"L=",AY221,"B=",AZ221)</f>
        <v/>
      </c>
      <c r="G221" t="inlineStr">
        <is>
          <t>LAMAR</t>
        </is>
      </c>
      <c r="I221" t="inlineStr">
        <is>
          <t>1984-08-14</t>
        </is>
      </c>
      <c r="J221" t="inlineStr">
        <is>
          <t>2024-10-01</t>
        </is>
      </c>
      <c r="K221" t="inlineStr">
        <is>
          <t>ACTIVE</t>
        </is>
      </c>
      <c r="M221" t="inlineStr">
        <is>
          <t>861 KENILWORTH AVE SE</t>
        </is>
      </c>
      <c r="N221">
        <f>RIGHT(M221,LEN(M221)-FIND(" ",M221))</f>
        <v/>
      </c>
      <c r="P221" t="inlineStr">
        <is>
          <t>WARREN</t>
        </is>
      </c>
      <c r="Q221" t="inlineStr">
        <is>
          <t>OH</t>
        </is>
      </c>
      <c r="R221" t="n">
        <v>44484</v>
      </c>
      <c r="AD221" t="inlineStr">
        <is>
          <t>TRUMBULL CAREER &amp; TECH CENTER</t>
        </is>
      </c>
      <c r="AE221" t="inlineStr">
        <is>
          <t>WARREN CITY</t>
        </is>
      </c>
      <c r="AF221" t="inlineStr">
        <is>
          <t>WARREN CITY SD</t>
        </is>
      </c>
      <c r="AH221" t="n">
        <v>14</v>
      </c>
      <c r="AI221" t="n">
        <v>11</v>
      </c>
      <c r="AN221" t="inlineStr">
        <is>
          <t>WARREN</t>
        </is>
      </c>
      <c r="AO221" t="inlineStr">
        <is>
          <t>WARREN CITY 4A</t>
        </is>
      </c>
      <c r="AP221" t="inlineStr">
        <is>
          <t>78-P-ADI</t>
        </is>
      </c>
      <c r="AQ221" t="n">
        <v>9</v>
      </c>
      <c r="AR221" t="n">
        <v>64</v>
      </c>
      <c r="AS221" t="n">
        <v>32</v>
      </c>
      <c r="AU221">
        <f>COUNTA($BA$221:$EH$221)</f>
        <v/>
      </c>
      <c r="AV221">
        <f>COUNTIF($BA$221:$EH$221,"D")</f>
        <v/>
      </c>
      <c r="AW221">
        <f>COUNTIF($BA$221:$EH$221,"R")</f>
        <v/>
      </c>
      <c r="AX221">
        <f>IF(BN221="D",1,0)+IF(BO221="D",1,0)+IF(BT221="D",1,0)+IF(BU221="D",1,0)+IF(BW221="D",1,0)+IF(CC221="D",1,0)+IF(CD221="D",1,0)+IF(CE221="D",1,0)+IF(CF221="D",1,0)+IF(CL221="D",1,0)+IF(CM221="D",1,0)+IF(CQ221="D",1,0)+IF(CR221="D",1,0)+IF(CS221="D",1,0)+IF(CW221="D",1,0)+IF(CX221="D",1,0)+IF(DD221="D",1,0)+IF(DE221="D",1,0)+IF(DJ221="D",1,0)+IF(DK221="D",1,0)+IF(DO221="D",1,0)+IF(DP221="D",1,0)+IF(DQ221="D",1,0)+IF(DW221="D",1,0)+IF(DZ221="D",1,0)+IF(EH221="D",1,0)</f>
        <v/>
      </c>
      <c r="AY221">
        <f>IF(DJ221&lt;&gt;"",1,0)+IF(DK221&lt;&gt;"",1,0)+IF(DM221&lt;&gt;"",1,0)+IF(DO221&lt;&gt;"",1,0)+IF(DP221&lt;&gt;"",1,0)+IF(DQ221&lt;&gt;"",1,0)+IF(DS221&lt;&gt;"",1,0)+IF(DT221&lt;&gt;"",1,0)+IF(DV221&lt;&gt;"",1,0)+IF(DW221&lt;&gt;"",1,0)+IF(DX221&lt;&gt;"",1,0)+IF(DY221&lt;&gt;"",1,0)+IF(DZ221&lt;&gt;"",1,0)+IF(EB221&lt;&gt;"",1,0)+IF(EC221&lt;&gt;"",1,0)+IF(ED221&lt;&gt;"",1,0)+IF(EG221&lt;&gt;"",1,0)+IF(EH221&lt;&gt;"",1,0)</f>
        <v/>
      </c>
      <c r="AZ221">
        <f>IF(EH221&lt;&gt;"",1,0)</f>
        <v/>
      </c>
      <c r="BB221" t="inlineStr">
        <is>
          <t>WARREN-WARD 4</t>
        </is>
      </c>
      <c r="CP221" t="inlineStr">
        <is>
          <t>X</t>
        </is>
      </c>
      <c r="DC221" t="inlineStr">
        <is>
          <t>X</t>
        </is>
      </c>
    </row>
    <row r="222">
      <c r="A222" t="inlineStr">
        <is>
          <t>OH0023145847</t>
        </is>
      </c>
      <c r="B222" t="n">
        <v>78</v>
      </c>
      <c r="C222" t="n">
        <v>407234</v>
      </c>
      <c r="D222" t="inlineStr">
        <is>
          <t>HARRINGTON</t>
        </is>
      </c>
      <c r="E222" t="inlineStr">
        <is>
          <t>TONYA</t>
        </is>
      </c>
      <c r="F222">
        <f>CONCATENATE(D222," ",LEFT(H222,4),"T=",AU222,"D=",AV222,"R=",AW222,"M=",AX222,"L=",AY222,"B=",AZ222)</f>
        <v/>
      </c>
      <c r="G222" t="inlineStr">
        <is>
          <t>M</t>
        </is>
      </c>
      <c r="I222" t="inlineStr">
        <is>
          <t>1963-12-31</t>
        </is>
      </c>
      <c r="J222" t="inlineStr">
        <is>
          <t>2022-11-30</t>
        </is>
      </c>
      <c r="K222" t="inlineStr">
        <is>
          <t>ACTIVE</t>
        </is>
      </c>
      <c r="L222" t="inlineStr">
        <is>
          <t>R</t>
        </is>
      </c>
      <c r="M222" t="inlineStr">
        <is>
          <t>790 OAK KNOLL AVE SE</t>
        </is>
      </c>
      <c r="N222">
        <f>RIGHT(M222,LEN(M222)-FIND(" ",M222))</f>
        <v/>
      </c>
      <c r="P222" t="inlineStr">
        <is>
          <t>WARREN</t>
        </is>
      </c>
      <c r="Q222" t="inlineStr">
        <is>
          <t>OH</t>
        </is>
      </c>
      <c r="R222" t="n">
        <v>44484</v>
      </c>
      <c r="AD222" t="inlineStr">
        <is>
          <t>TRUMBULL CAREER &amp; TECH CENTER</t>
        </is>
      </c>
      <c r="AE222" t="inlineStr">
        <is>
          <t>WARREN CITY</t>
        </is>
      </c>
      <c r="AF222" t="inlineStr">
        <is>
          <t>WARREN CITY SD</t>
        </is>
      </c>
      <c r="AH222" t="n">
        <v>14</v>
      </c>
      <c r="AI222" t="n">
        <v>11</v>
      </c>
      <c r="AN222" t="inlineStr">
        <is>
          <t>WARREN</t>
        </is>
      </c>
      <c r="AO222" t="inlineStr">
        <is>
          <t>WARREN CITY 4A</t>
        </is>
      </c>
      <c r="AP222" t="inlineStr">
        <is>
          <t>78-P-ADI</t>
        </is>
      </c>
      <c r="AQ222" t="n">
        <v>9</v>
      </c>
      <c r="AR222" t="n">
        <v>64</v>
      </c>
      <c r="AS222" t="n">
        <v>32</v>
      </c>
      <c r="AU222">
        <f>COUNTA($BA$222:$EH$222)</f>
        <v/>
      </c>
      <c r="AV222">
        <f>COUNTIF($BA$222:$EH$222,"D")</f>
        <v/>
      </c>
      <c r="AW222">
        <f>COUNTIF($BA$222:$EH$222,"R")</f>
        <v/>
      </c>
      <c r="AX222">
        <f>IF(BN222="D",1,0)+IF(BO222="D",1,0)+IF(BT222="D",1,0)+IF(BU222="D",1,0)+IF(BW222="D",1,0)+IF(CC222="D",1,0)+IF(CD222="D",1,0)+IF(CE222="D",1,0)+IF(CF222="D",1,0)+IF(CL222="D",1,0)+IF(CM222="D",1,0)+IF(CQ222="D",1,0)+IF(CR222="D",1,0)+IF(CS222="D",1,0)+IF(CW222="D",1,0)+IF(CX222="D",1,0)+IF(DD222="D",1,0)+IF(DE222="D",1,0)+IF(DJ222="D",1,0)+IF(DK222="D",1,0)+IF(DO222="D",1,0)+IF(DP222="D",1,0)+IF(DQ222="D",1,0)+IF(DW222="D",1,0)+IF(DZ222="D",1,0)+IF(EH222="D",1,0)</f>
        <v/>
      </c>
      <c r="AY222">
        <f>IF(DJ222&lt;&gt;"",1,0)+IF(DK222&lt;&gt;"",1,0)+IF(DM222&lt;&gt;"",1,0)+IF(DO222&lt;&gt;"",1,0)+IF(DP222&lt;&gt;"",1,0)+IF(DQ222&lt;&gt;"",1,0)+IF(DS222&lt;&gt;"",1,0)+IF(DT222&lt;&gt;"",1,0)+IF(DV222&lt;&gt;"",1,0)+IF(DW222&lt;&gt;"",1,0)+IF(DX222&lt;&gt;"",1,0)+IF(DY222&lt;&gt;"",1,0)+IF(DZ222&lt;&gt;"",1,0)+IF(EB222&lt;&gt;"",1,0)+IF(EC222&lt;&gt;"",1,0)+IF(ED222&lt;&gt;"",1,0)+IF(EG222&lt;&gt;"",1,0)+IF(EH222&lt;&gt;"",1,0)</f>
        <v/>
      </c>
      <c r="AZ222">
        <f>IF(EH222&lt;&gt;"",1,0)</f>
        <v/>
      </c>
      <c r="BB222" t="inlineStr">
        <is>
          <t>WARREN-WARD 4</t>
        </is>
      </c>
      <c r="BL222" t="inlineStr">
        <is>
          <t>X</t>
        </is>
      </c>
      <c r="BP222" t="inlineStr">
        <is>
          <t>X</t>
        </is>
      </c>
      <c r="CY222" t="inlineStr">
        <is>
          <t>X</t>
        </is>
      </c>
      <c r="CZ222" t="inlineStr">
        <is>
          <t>R</t>
        </is>
      </c>
      <c r="DI222" t="inlineStr">
        <is>
          <t>X</t>
        </is>
      </c>
      <c r="DN222" t="inlineStr">
        <is>
          <t>X</t>
        </is>
      </c>
      <c r="DU222" t="inlineStr">
        <is>
          <t>X</t>
        </is>
      </c>
      <c r="DX222" t="inlineStr">
        <is>
          <t>X</t>
        </is>
      </c>
      <c r="EA222" t="inlineStr">
        <is>
          <t>X</t>
        </is>
      </c>
      <c r="ED222" t="inlineStr">
        <is>
          <t>R</t>
        </is>
      </c>
      <c r="EF222" t="inlineStr">
        <is>
          <t>X</t>
        </is>
      </c>
    </row>
    <row r="223">
      <c r="A223" t="inlineStr">
        <is>
          <t>OH0027064877</t>
        </is>
      </c>
      <c r="B223" t="n">
        <v>78</v>
      </c>
      <c r="C223" t="n">
        <v>476437</v>
      </c>
      <c r="D223" t="inlineStr">
        <is>
          <t>PATTERSON</t>
        </is>
      </c>
      <c r="E223" t="inlineStr">
        <is>
          <t>KAIL</t>
        </is>
      </c>
      <c r="F223">
        <f>CONCATENATE(D223," ",LEFT(H223,4),"T=",AU223,"D=",AV223,"R=",AW223,"M=",AX223,"L=",AY223,"B=",AZ223)</f>
        <v/>
      </c>
      <c r="G223" t="inlineStr">
        <is>
          <t>SHAE</t>
        </is>
      </c>
      <c r="I223" t="inlineStr">
        <is>
          <t>1993-09-17</t>
        </is>
      </c>
      <c r="J223" t="inlineStr">
        <is>
          <t>2023-11-07</t>
        </is>
      </c>
      <c r="K223" t="inlineStr">
        <is>
          <t>ACTIVE</t>
        </is>
      </c>
      <c r="M223" t="inlineStr">
        <is>
          <t>597 WOODBINE AVE SE</t>
        </is>
      </c>
      <c r="N223">
        <f>RIGHT(M223,LEN(M223)-FIND(" ",M223))</f>
        <v/>
      </c>
      <c r="P223" t="inlineStr">
        <is>
          <t>WARREN</t>
        </is>
      </c>
      <c r="Q223" t="inlineStr">
        <is>
          <t>OH</t>
        </is>
      </c>
      <c r="R223" t="n">
        <v>44483</v>
      </c>
      <c r="AD223" t="inlineStr">
        <is>
          <t>TRUMBULL CAREER &amp; TECH CENTER</t>
        </is>
      </c>
      <c r="AE223" t="inlineStr">
        <is>
          <t>WARREN CITY</t>
        </is>
      </c>
      <c r="AF223" t="inlineStr">
        <is>
          <t>WARREN CITY SD</t>
        </is>
      </c>
      <c r="AH223" t="n">
        <v>14</v>
      </c>
      <c r="AI223" t="n">
        <v>11</v>
      </c>
      <c r="AN223" t="inlineStr">
        <is>
          <t>WARREN</t>
        </is>
      </c>
      <c r="AO223" t="inlineStr">
        <is>
          <t>WARREN CITY 4A</t>
        </is>
      </c>
      <c r="AP223" t="inlineStr">
        <is>
          <t>78-P-ADI</t>
        </is>
      </c>
      <c r="AQ223" t="n">
        <v>9</v>
      </c>
      <c r="AR223" t="n">
        <v>64</v>
      </c>
      <c r="AS223" t="n">
        <v>32</v>
      </c>
      <c r="AU223">
        <f>COUNTA($BA$223:$EH$223)</f>
        <v/>
      </c>
      <c r="AV223">
        <f>COUNTIF($BA$223:$EH$223,"D")</f>
        <v/>
      </c>
      <c r="AW223">
        <f>COUNTIF($BA$223:$EH$223,"R")</f>
        <v/>
      </c>
      <c r="AX223">
        <f>IF(BN223="D",1,0)+IF(BO223="D",1,0)+IF(BT223="D",1,0)+IF(BU223="D",1,0)+IF(BW223="D",1,0)+IF(CC223="D",1,0)+IF(CD223="D",1,0)+IF(CE223="D",1,0)+IF(CF223="D",1,0)+IF(CL223="D",1,0)+IF(CM223="D",1,0)+IF(CQ223="D",1,0)+IF(CR223="D",1,0)+IF(CS223="D",1,0)+IF(CW223="D",1,0)+IF(CX223="D",1,0)+IF(DD223="D",1,0)+IF(DE223="D",1,0)+IF(DJ223="D",1,0)+IF(DK223="D",1,0)+IF(DO223="D",1,0)+IF(DP223="D",1,0)+IF(DQ223="D",1,0)+IF(DW223="D",1,0)+IF(DZ223="D",1,0)+IF(EH223="D",1,0)</f>
        <v/>
      </c>
      <c r="AY223">
        <f>IF(DJ223&lt;&gt;"",1,0)+IF(DK223&lt;&gt;"",1,0)+IF(DM223&lt;&gt;"",1,0)+IF(DO223&lt;&gt;"",1,0)+IF(DP223&lt;&gt;"",1,0)+IF(DQ223&lt;&gt;"",1,0)+IF(DS223&lt;&gt;"",1,0)+IF(DT223&lt;&gt;"",1,0)+IF(DV223&lt;&gt;"",1,0)+IF(DW223&lt;&gt;"",1,0)+IF(DX223&lt;&gt;"",1,0)+IF(DY223&lt;&gt;"",1,0)+IF(DZ223&lt;&gt;"",1,0)+IF(EB223&lt;&gt;"",1,0)+IF(EC223&lt;&gt;"",1,0)+IF(ED223&lt;&gt;"",1,0)+IF(EG223&lt;&gt;"",1,0)+IF(EH223&lt;&gt;"",1,0)</f>
        <v/>
      </c>
      <c r="AZ223">
        <f>IF(EH223&lt;&gt;"",1,0)</f>
        <v/>
      </c>
      <c r="BB223" t="inlineStr">
        <is>
          <t>WARREN-WARD 4</t>
        </is>
      </c>
      <c r="DC223" t="inlineStr">
        <is>
          <t>X</t>
        </is>
      </c>
      <c r="EF223" t="inlineStr">
        <is>
          <t>X</t>
        </is>
      </c>
    </row>
    <row r="224">
      <c r="A224" t="inlineStr">
        <is>
          <t>OH0015774877</t>
        </is>
      </c>
      <c r="B224" t="n">
        <v>78</v>
      </c>
      <c r="C224" t="n">
        <v>319548</v>
      </c>
      <c r="D224" t="inlineStr">
        <is>
          <t>MORGAN</t>
        </is>
      </c>
      <c r="E224" t="inlineStr">
        <is>
          <t>KAMECO</t>
        </is>
      </c>
      <c r="F224">
        <f>CONCATENATE(D224," ",LEFT(H224,4),"T=",AU224,"D=",AV224,"R=",AW224,"M=",AX224,"L=",AY224,"B=",AZ224)</f>
        <v/>
      </c>
      <c r="G224" t="inlineStr">
        <is>
          <t>A</t>
        </is>
      </c>
      <c r="I224" t="inlineStr">
        <is>
          <t>1979-06-13</t>
        </is>
      </c>
      <c r="J224" t="inlineStr">
        <is>
          <t>2024-10-28</t>
        </is>
      </c>
      <c r="K224" t="inlineStr">
        <is>
          <t>ACTIVE</t>
        </is>
      </c>
      <c r="M224" t="inlineStr">
        <is>
          <t>1176 ADELAIDE AVE SE</t>
        </is>
      </c>
      <c r="N224">
        <f>RIGHT(M224,LEN(M224)-FIND(" ",M224))</f>
        <v/>
      </c>
      <c r="P224" t="inlineStr">
        <is>
          <t>WARREN</t>
        </is>
      </c>
      <c r="Q224" t="inlineStr">
        <is>
          <t>OH</t>
        </is>
      </c>
      <c r="R224" t="n">
        <v>44484</v>
      </c>
      <c r="AD224" t="inlineStr">
        <is>
          <t>TRUMBULL CAREER &amp; TECH CENTER</t>
        </is>
      </c>
      <c r="AE224" t="inlineStr">
        <is>
          <t>WARREN CITY</t>
        </is>
      </c>
      <c r="AF224" t="inlineStr">
        <is>
          <t>WARREN CITY SD</t>
        </is>
      </c>
      <c r="AH224" t="n">
        <v>14</v>
      </c>
      <c r="AI224" t="n">
        <v>11</v>
      </c>
      <c r="AN224" t="inlineStr">
        <is>
          <t>WARREN</t>
        </is>
      </c>
      <c r="AO224" t="inlineStr">
        <is>
          <t>WARREN CITY 4A</t>
        </is>
      </c>
      <c r="AP224" t="inlineStr">
        <is>
          <t>78-P-ADI</t>
        </is>
      </c>
      <c r="AQ224" t="n">
        <v>9</v>
      </c>
      <c r="AR224" t="n">
        <v>64</v>
      </c>
      <c r="AS224" t="n">
        <v>32</v>
      </c>
      <c r="AU224">
        <f>COUNTA($BA$224:$EH$224)</f>
        <v/>
      </c>
      <c r="AV224">
        <f>COUNTIF($BA$224:$EH$224,"D")</f>
        <v/>
      </c>
      <c r="AW224">
        <f>COUNTIF($BA$224:$EH$224,"R")</f>
        <v/>
      </c>
      <c r="AX224">
        <f>IF(BN224="D",1,0)+IF(BO224="D",1,0)+IF(BT224="D",1,0)+IF(BU224="D",1,0)+IF(BW224="D",1,0)+IF(CC224="D",1,0)+IF(CD224="D",1,0)+IF(CE224="D",1,0)+IF(CF224="D",1,0)+IF(CL224="D",1,0)+IF(CM224="D",1,0)+IF(CQ224="D",1,0)+IF(CR224="D",1,0)+IF(CS224="D",1,0)+IF(CW224="D",1,0)+IF(CX224="D",1,0)+IF(DD224="D",1,0)+IF(DE224="D",1,0)+IF(DJ224="D",1,0)+IF(DK224="D",1,0)+IF(DO224="D",1,0)+IF(DP224="D",1,0)+IF(DQ224="D",1,0)+IF(DW224="D",1,0)+IF(DZ224="D",1,0)+IF(EH224="D",1,0)</f>
        <v/>
      </c>
      <c r="AY224">
        <f>IF(DJ224&lt;&gt;"",1,0)+IF(DK224&lt;&gt;"",1,0)+IF(DM224&lt;&gt;"",1,0)+IF(DO224&lt;&gt;"",1,0)+IF(DP224&lt;&gt;"",1,0)+IF(DQ224&lt;&gt;"",1,0)+IF(DS224&lt;&gt;"",1,0)+IF(DT224&lt;&gt;"",1,0)+IF(DV224&lt;&gt;"",1,0)+IF(DW224&lt;&gt;"",1,0)+IF(DX224&lt;&gt;"",1,0)+IF(DY224&lt;&gt;"",1,0)+IF(DZ224&lt;&gt;"",1,0)+IF(EB224&lt;&gt;"",1,0)+IF(EC224&lt;&gt;"",1,0)+IF(ED224&lt;&gt;"",1,0)+IF(EG224&lt;&gt;"",1,0)+IF(EH224&lt;&gt;"",1,0)</f>
        <v/>
      </c>
      <c r="AZ224">
        <f>IF(EH224&lt;&gt;"",1,0)</f>
        <v/>
      </c>
      <c r="BB224" t="inlineStr">
        <is>
          <t>WARREN-WARD 4</t>
        </is>
      </c>
      <c r="CP224" t="inlineStr">
        <is>
          <t>X</t>
        </is>
      </c>
    </row>
    <row r="225">
      <c r="A225" t="inlineStr">
        <is>
          <t>OH0015750586</t>
        </is>
      </c>
      <c r="B225" t="n">
        <v>78</v>
      </c>
      <c r="C225" t="n">
        <v>329997</v>
      </c>
      <c r="D225" t="inlineStr">
        <is>
          <t>IMES</t>
        </is>
      </c>
      <c r="E225" t="inlineStr">
        <is>
          <t>PAUL</t>
        </is>
      </c>
      <c r="F225">
        <f>CONCATENATE(D225," ",LEFT(H225,4),"T=",AU225,"D=",AV225,"R=",AW225,"M=",AX225,"L=",AY225,"B=",AZ225)</f>
        <v/>
      </c>
      <c r="G225" t="inlineStr">
        <is>
          <t>E</t>
        </is>
      </c>
      <c r="I225" t="inlineStr">
        <is>
          <t>1956-11-07</t>
        </is>
      </c>
      <c r="J225" t="inlineStr">
        <is>
          <t>2004-09-23</t>
        </is>
      </c>
      <c r="K225" t="inlineStr">
        <is>
          <t>CONFIRMATION</t>
        </is>
      </c>
      <c r="M225" t="inlineStr">
        <is>
          <t>1126 ADELAIDE AVE SE</t>
        </is>
      </c>
      <c r="N225">
        <f>RIGHT(M225,LEN(M225)-FIND(" ",M225))</f>
        <v/>
      </c>
      <c r="P225" t="inlineStr">
        <is>
          <t>WARREN</t>
        </is>
      </c>
      <c r="Q225" t="inlineStr">
        <is>
          <t>OH</t>
        </is>
      </c>
      <c r="R225" t="n">
        <v>44484</v>
      </c>
      <c r="AD225" t="inlineStr">
        <is>
          <t>TRUMBULL CAREER &amp; TECH CENTER</t>
        </is>
      </c>
      <c r="AE225" t="inlineStr">
        <is>
          <t>WARREN CITY</t>
        </is>
      </c>
      <c r="AF225" t="inlineStr">
        <is>
          <t>WARREN CITY SD</t>
        </is>
      </c>
      <c r="AH225" t="n">
        <v>14</v>
      </c>
      <c r="AI225" t="n">
        <v>11</v>
      </c>
      <c r="AN225" t="inlineStr">
        <is>
          <t>WARREN</t>
        </is>
      </c>
      <c r="AO225" t="inlineStr">
        <is>
          <t>WARREN CITY 4A</t>
        </is>
      </c>
      <c r="AP225" t="inlineStr">
        <is>
          <t>78-P-ADI</t>
        </is>
      </c>
      <c r="AQ225" t="n">
        <v>9</v>
      </c>
      <c r="AR225" t="n">
        <v>64</v>
      </c>
      <c r="AS225" t="n">
        <v>32</v>
      </c>
      <c r="AU225">
        <f>COUNTA($BA$225:$EH$225)</f>
        <v/>
      </c>
      <c r="AV225">
        <f>COUNTIF($BA$225:$EH$225,"D")</f>
        <v/>
      </c>
      <c r="AW225">
        <f>COUNTIF($BA$225:$EH$225,"R")</f>
        <v/>
      </c>
      <c r="AX225">
        <f>IF(BN225="D",1,0)+IF(BO225="D",1,0)+IF(BT225="D",1,0)+IF(BU225="D",1,0)+IF(BW225="D",1,0)+IF(CC225="D",1,0)+IF(CD225="D",1,0)+IF(CE225="D",1,0)+IF(CF225="D",1,0)+IF(CL225="D",1,0)+IF(CM225="D",1,0)+IF(CQ225="D",1,0)+IF(CR225="D",1,0)+IF(CS225="D",1,0)+IF(CW225="D",1,0)+IF(CX225="D",1,0)+IF(DD225="D",1,0)+IF(DE225="D",1,0)+IF(DJ225="D",1,0)+IF(DK225="D",1,0)+IF(DO225="D",1,0)+IF(DP225="D",1,0)+IF(DQ225="D",1,0)+IF(DW225="D",1,0)+IF(DZ225="D",1,0)+IF(EH225="D",1,0)</f>
        <v/>
      </c>
      <c r="AY225">
        <f>IF(DJ225&lt;&gt;"",1,0)+IF(DK225&lt;&gt;"",1,0)+IF(DM225&lt;&gt;"",1,0)+IF(DO225&lt;&gt;"",1,0)+IF(DP225&lt;&gt;"",1,0)+IF(DQ225&lt;&gt;"",1,0)+IF(DS225&lt;&gt;"",1,0)+IF(DT225&lt;&gt;"",1,0)+IF(DV225&lt;&gt;"",1,0)+IF(DW225&lt;&gt;"",1,0)+IF(DX225&lt;&gt;"",1,0)+IF(DY225&lt;&gt;"",1,0)+IF(DZ225&lt;&gt;"",1,0)+IF(EB225&lt;&gt;"",1,0)+IF(EC225&lt;&gt;"",1,0)+IF(ED225&lt;&gt;"",1,0)+IF(EG225&lt;&gt;"",1,0)+IF(EH225&lt;&gt;"",1,0)</f>
        <v/>
      </c>
      <c r="AZ225">
        <f>IF(EH225&lt;&gt;"",1,0)</f>
        <v/>
      </c>
      <c r="BB225" t="inlineStr">
        <is>
          <t>WARREN-WARD 4</t>
        </is>
      </c>
      <c r="BL225" t="inlineStr">
        <is>
          <t>X</t>
        </is>
      </c>
      <c r="CA225" t="inlineStr">
        <is>
          <t>X</t>
        </is>
      </c>
      <c r="CH225" t="inlineStr">
        <is>
          <t>D</t>
        </is>
      </c>
      <c r="CK225" t="inlineStr">
        <is>
          <t>X</t>
        </is>
      </c>
      <c r="CP225" t="inlineStr">
        <is>
          <t>X</t>
        </is>
      </c>
      <c r="CV225" t="inlineStr">
        <is>
          <t>X</t>
        </is>
      </c>
      <c r="DC225" t="inlineStr">
        <is>
          <t>X</t>
        </is>
      </c>
    </row>
    <row r="226">
      <c r="A226" t="inlineStr">
        <is>
          <t>OH0015742297</t>
        </is>
      </c>
      <c r="B226" t="n">
        <v>78</v>
      </c>
      <c r="C226" t="n">
        <v>322376</v>
      </c>
      <c r="D226" t="inlineStr">
        <is>
          <t>SANDERS</t>
        </is>
      </c>
      <c r="E226" t="inlineStr">
        <is>
          <t>FRANCES</t>
        </is>
      </c>
      <c r="F226">
        <f>CONCATENATE(D226," ",LEFT(H226,4),"T=",AU226,"D=",AV226,"R=",AW226,"M=",AX226,"L=",AY226,"B=",AZ226)</f>
        <v/>
      </c>
      <c r="G226" t="inlineStr">
        <is>
          <t>M</t>
        </is>
      </c>
      <c r="I226" t="inlineStr">
        <is>
          <t>1968-08-03</t>
        </is>
      </c>
      <c r="J226" t="inlineStr">
        <is>
          <t>2008-09-22</t>
        </is>
      </c>
      <c r="K226" t="inlineStr">
        <is>
          <t>ACTIVE</t>
        </is>
      </c>
      <c r="M226" t="inlineStr">
        <is>
          <t>1225 BELLE ST SE</t>
        </is>
      </c>
      <c r="N226">
        <f>RIGHT(M226,LEN(M226)-FIND(" ",M226))</f>
        <v/>
      </c>
      <c r="P226" t="inlineStr">
        <is>
          <t>WARREN</t>
        </is>
      </c>
      <c r="Q226" t="inlineStr">
        <is>
          <t>OH</t>
        </is>
      </c>
      <c r="R226" t="n">
        <v>44484</v>
      </c>
      <c r="AD226" t="inlineStr">
        <is>
          <t>TRUMBULL CAREER &amp; TECH CENTER</t>
        </is>
      </c>
      <c r="AE226" t="inlineStr">
        <is>
          <t>WARREN CITY</t>
        </is>
      </c>
      <c r="AF226" t="inlineStr">
        <is>
          <t>WARREN CITY SD</t>
        </is>
      </c>
      <c r="AH226" t="n">
        <v>14</v>
      </c>
      <c r="AI226" t="n">
        <v>11</v>
      </c>
      <c r="AN226" t="inlineStr">
        <is>
          <t>WARREN</t>
        </is>
      </c>
      <c r="AO226" t="inlineStr">
        <is>
          <t>WARREN CITY 4A</t>
        </is>
      </c>
      <c r="AP226" t="inlineStr">
        <is>
          <t>78-P-ADI</t>
        </is>
      </c>
      <c r="AQ226" t="n">
        <v>9</v>
      </c>
      <c r="AR226" t="n">
        <v>64</v>
      </c>
      <c r="AS226" t="n">
        <v>32</v>
      </c>
      <c r="AU226">
        <f>COUNTA($BA$226:$EH$226)</f>
        <v/>
      </c>
      <c r="AV226">
        <f>COUNTIF($BA$226:$EH$226,"D")</f>
        <v/>
      </c>
      <c r="AW226">
        <f>COUNTIF($BA$226:$EH$226,"R")</f>
        <v/>
      </c>
      <c r="AX226">
        <f>IF(BN226="D",1,0)+IF(BO226="D",1,0)+IF(BT226="D",1,0)+IF(BU226="D",1,0)+IF(BW226="D",1,0)+IF(CC226="D",1,0)+IF(CD226="D",1,0)+IF(CE226="D",1,0)+IF(CF226="D",1,0)+IF(CL226="D",1,0)+IF(CM226="D",1,0)+IF(CQ226="D",1,0)+IF(CR226="D",1,0)+IF(CS226="D",1,0)+IF(CW226="D",1,0)+IF(CX226="D",1,0)+IF(DD226="D",1,0)+IF(DE226="D",1,0)+IF(DJ226="D",1,0)+IF(DK226="D",1,0)+IF(DO226="D",1,0)+IF(DP226="D",1,0)+IF(DQ226="D",1,0)+IF(DW226="D",1,0)+IF(DZ226="D",1,0)+IF(EH226="D",1,0)</f>
        <v/>
      </c>
      <c r="AY226">
        <f>IF(DJ226&lt;&gt;"",1,0)+IF(DK226&lt;&gt;"",1,0)+IF(DM226&lt;&gt;"",1,0)+IF(DO226&lt;&gt;"",1,0)+IF(DP226&lt;&gt;"",1,0)+IF(DQ226&lt;&gt;"",1,0)+IF(DS226&lt;&gt;"",1,0)+IF(DT226&lt;&gt;"",1,0)+IF(DV226&lt;&gt;"",1,0)+IF(DW226&lt;&gt;"",1,0)+IF(DX226&lt;&gt;"",1,0)+IF(DY226&lt;&gt;"",1,0)+IF(DZ226&lt;&gt;"",1,0)+IF(EB226&lt;&gt;"",1,0)+IF(EC226&lt;&gt;"",1,0)+IF(ED226&lt;&gt;"",1,0)+IF(EG226&lt;&gt;"",1,0)+IF(EH226&lt;&gt;"",1,0)</f>
        <v/>
      </c>
      <c r="AZ226">
        <f>IF(EH226&lt;&gt;"",1,0)</f>
        <v/>
      </c>
      <c r="BB226" t="inlineStr">
        <is>
          <t>WARREN-WARD 4</t>
        </is>
      </c>
      <c r="BL226" t="inlineStr">
        <is>
          <t>X</t>
        </is>
      </c>
      <c r="CA226" t="inlineStr">
        <is>
          <t>X</t>
        </is>
      </c>
      <c r="CK226" t="inlineStr">
        <is>
          <t>X</t>
        </is>
      </c>
      <c r="CP226" t="inlineStr">
        <is>
          <t>X</t>
        </is>
      </c>
      <c r="CY226" t="inlineStr">
        <is>
          <t>X</t>
        </is>
      </c>
      <c r="CZ226" t="inlineStr">
        <is>
          <t>D</t>
        </is>
      </c>
      <c r="DC226" t="inlineStr">
        <is>
          <t>X</t>
        </is>
      </c>
      <c r="DI226" t="inlineStr">
        <is>
          <t>X</t>
        </is>
      </c>
      <c r="DN226" t="inlineStr">
        <is>
          <t>X</t>
        </is>
      </c>
      <c r="EA226" t="inlineStr">
        <is>
          <t>X</t>
        </is>
      </c>
      <c r="EF226" t="inlineStr">
        <is>
          <t>X</t>
        </is>
      </c>
    </row>
    <row r="227">
      <c r="A227" t="inlineStr">
        <is>
          <t>OH0023718235</t>
        </is>
      </c>
      <c r="B227" t="n">
        <v>78</v>
      </c>
      <c r="C227" t="n">
        <v>417181</v>
      </c>
      <c r="D227" t="inlineStr">
        <is>
          <t>KATONA</t>
        </is>
      </c>
      <c r="E227" t="inlineStr">
        <is>
          <t>RACHEL</t>
        </is>
      </c>
      <c r="F227">
        <f>CONCATENATE(D227," ",LEFT(H227,4),"T=",AU227,"D=",AV227,"R=",AW227,"M=",AX227,"L=",AY227,"B=",AZ227)</f>
        <v/>
      </c>
      <c r="G227" t="inlineStr">
        <is>
          <t>L</t>
        </is>
      </c>
      <c r="I227" t="inlineStr">
        <is>
          <t>1985-03-20</t>
        </is>
      </c>
      <c r="J227" t="inlineStr">
        <is>
          <t>2020-11-23</t>
        </is>
      </c>
      <c r="K227" t="inlineStr">
        <is>
          <t>ACTIVE</t>
        </is>
      </c>
      <c r="M227" t="inlineStr">
        <is>
          <t>703 HOMEWOOD AVE SE</t>
        </is>
      </c>
      <c r="N227">
        <f>RIGHT(M227,LEN(M227)-FIND(" ",M227))</f>
        <v/>
      </c>
      <c r="P227" t="inlineStr">
        <is>
          <t>WARREN</t>
        </is>
      </c>
      <c r="Q227" t="inlineStr">
        <is>
          <t>OH</t>
        </is>
      </c>
      <c r="R227" t="n">
        <v>44484</v>
      </c>
      <c r="AD227" t="inlineStr">
        <is>
          <t>TRUMBULL CAREER &amp; TECH CENTER</t>
        </is>
      </c>
      <c r="AE227" t="inlineStr">
        <is>
          <t>WARREN CITY</t>
        </is>
      </c>
      <c r="AF227" t="inlineStr">
        <is>
          <t>WARREN CITY SD</t>
        </is>
      </c>
      <c r="AH227" t="n">
        <v>14</v>
      </c>
      <c r="AI227" t="n">
        <v>11</v>
      </c>
      <c r="AN227" t="inlineStr">
        <is>
          <t>WARREN</t>
        </is>
      </c>
      <c r="AO227" t="inlineStr">
        <is>
          <t>WARREN CITY 4A</t>
        </is>
      </c>
      <c r="AP227" t="inlineStr">
        <is>
          <t>78-P-ADI</t>
        </is>
      </c>
      <c r="AQ227" t="n">
        <v>9</v>
      </c>
      <c r="AR227" t="n">
        <v>64</v>
      </c>
      <c r="AS227" t="n">
        <v>32</v>
      </c>
      <c r="AU227">
        <f>COUNTA($BA$227:$EH$227)</f>
        <v/>
      </c>
      <c r="AV227">
        <f>COUNTIF($BA$227:$EH$227,"D")</f>
        <v/>
      </c>
      <c r="AW227">
        <f>COUNTIF($BA$227:$EH$227,"R")</f>
        <v/>
      </c>
      <c r="AX227">
        <f>IF(BN227="D",1,0)+IF(BO227="D",1,0)+IF(BT227="D",1,0)+IF(BU227="D",1,0)+IF(BW227="D",1,0)+IF(CC227="D",1,0)+IF(CD227="D",1,0)+IF(CE227="D",1,0)+IF(CF227="D",1,0)+IF(CL227="D",1,0)+IF(CM227="D",1,0)+IF(CQ227="D",1,0)+IF(CR227="D",1,0)+IF(CS227="D",1,0)+IF(CW227="D",1,0)+IF(CX227="D",1,0)+IF(DD227="D",1,0)+IF(DE227="D",1,0)+IF(DJ227="D",1,0)+IF(DK227="D",1,0)+IF(DO227="D",1,0)+IF(DP227="D",1,0)+IF(DQ227="D",1,0)+IF(DW227="D",1,0)+IF(DZ227="D",1,0)+IF(EH227="D",1,0)</f>
        <v/>
      </c>
      <c r="AY227">
        <f>IF(DJ227&lt;&gt;"",1,0)+IF(DK227&lt;&gt;"",1,0)+IF(DM227&lt;&gt;"",1,0)+IF(DO227&lt;&gt;"",1,0)+IF(DP227&lt;&gt;"",1,0)+IF(DQ227&lt;&gt;"",1,0)+IF(DS227&lt;&gt;"",1,0)+IF(DT227&lt;&gt;"",1,0)+IF(DV227&lt;&gt;"",1,0)+IF(DW227&lt;&gt;"",1,0)+IF(DX227&lt;&gt;"",1,0)+IF(DY227&lt;&gt;"",1,0)+IF(DZ227&lt;&gt;"",1,0)+IF(EB227&lt;&gt;"",1,0)+IF(EC227&lt;&gt;"",1,0)+IF(ED227&lt;&gt;"",1,0)+IF(EG227&lt;&gt;"",1,0)+IF(EH227&lt;&gt;"",1,0)</f>
        <v/>
      </c>
      <c r="AZ227">
        <f>IF(EH227&lt;&gt;"",1,0)</f>
        <v/>
      </c>
      <c r="BB227" t="inlineStr">
        <is>
          <t>WARREN-WARD 4</t>
        </is>
      </c>
      <c r="DC227" t="inlineStr">
        <is>
          <t>X</t>
        </is>
      </c>
      <c r="DI227" t="inlineStr">
        <is>
          <t>X</t>
        </is>
      </c>
      <c r="DN227" t="inlineStr">
        <is>
          <t>X</t>
        </is>
      </c>
      <c r="DU227" t="inlineStr">
        <is>
          <t>X</t>
        </is>
      </c>
      <c r="EA227" t="inlineStr">
        <is>
          <t>X</t>
        </is>
      </c>
      <c r="EF227" t="inlineStr">
        <is>
          <t>X</t>
        </is>
      </c>
    </row>
    <row r="228">
      <c r="A228" t="inlineStr">
        <is>
          <t>OH0018597845</t>
        </is>
      </c>
      <c r="B228" t="n">
        <v>78</v>
      </c>
      <c r="C228" t="n">
        <v>341092</v>
      </c>
      <c r="D228" t="inlineStr">
        <is>
          <t>KURIATNYK</t>
        </is>
      </c>
      <c r="E228" t="inlineStr">
        <is>
          <t>SHIRLEY</t>
        </is>
      </c>
      <c r="F228">
        <f>CONCATENATE(D228," ",LEFT(H228,4),"T=",AU228,"D=",AV228,"R=",AW228,"M=",AX228,"L=",AY228,"B=",AZ228)</f>
        <v/>
      </c>
      <c r="G228" t="inlineStr">
        <is>
          <t>ANN</t>
        </is>
      </c>
      <c r="I228" t="inlineStr">
        <is>
          <t>1957-02-17</t>
        </is>
      </c>
      <c r="J228" t="inlineStr">
        <is>
          <t>2011-07-11</t>
        </is>
      </c>
      <c r="K228" t="inlineStr">
        <is>
          <t>ACTIVE</t>
        </is>
      </c>
      <c r="M228" t="inlineStr">
        <is>
          <t>491 HOMEWOOD AVE SE</t>
        </is>
      </c>
      <c r="N228">
        <f>RIGHT(M228,LEN(M228)-FIND(" ",M228))</f>
        <v/>
      </c>
      <c r="P228" t="inlineStr">
        <is>
          <t>WARREN</t>
        </is>
      </c>
      <c r="Q228" t="inlineStr">
        <is>
          <t>OH</t>
        </is>
      </c>
      <c r="R228" t="n">
        <v>44483</v>
      </c>
      <c r="AD228" t="inlineStr">
        <is>
          <t>TRUMBULL CAREER &amp; TECH CENTER</t>
        </is>
      </c>
      <c r="AE228" t="inlineStr">
        <is>
          <t>WARREN CITY</t>
        </is>
      </c>
      <c r="AF228" t="inlineStr">
        <is>
          <t>WARREN CITY SD</t>
        </is>
      </c>
      <c r="AH228" t="n">
        <v>14</v>
      </c>
      <c r="AI228" t="n">
        <v>11</v>
      </c>
      <c r="AN228" t="inlineStr">
        <is>
          <t>WARREN</t>
        </is>
      </c>
      <c r="AO228" t="inlineStr">
        <is>
          <t>WARREN CITY 4A</t>
        </is>
      </c>
      <c r="AP228" t="inlineStr">
        <is>
          <t>78-P-ADI</t>
        </is>
      </c>
      <c r="AQ228" t="n">
        <v>9</v>
      </c>
      <c r="AR228" t="n">
        <v>64</v>
      </c>
      <c r="AS228" t="n">
        <v>32</v>
      </c>
      <c r="AU228">
        <f>COUNTA($BA$228:$EH$228)</f>
        <v/>
      </c>
      <c r="AV228">
        <f>COUNTIF($BA$228:$EH$228,"D")</f>
        <v/>
      </c>
      <c r="AW228">
        <f>COUNTIF($BA$228:$EH$228,"R")</f>
        <v/>
      </c>
      <c r="AX228">
        <f>IF(BN228="D",1,0)+IF(BO228="D",1,0)+IF(BT228="D",1,0)+IF(BU228="D",1,0)+IF(BW228="D",1,0)+IF(CC228="D",1,0)+IF(CD228="D",1,0)+IF(CE228="D",1,0)+IF(CF228="D",1,0)+IF(CL228="D",1,0)+IF(CM228="D",1,0)+IF(CQ228="D",1,0)+IF(CR228="D",1,0)+IF(CS228="D",1,0)+IF(CW228="D",1,0)+IF(CX228="D",1,0)+IF(DD228="D",1,0)+IF(DE228="D",1,0)+IF(DJ228="D",1,0)+IF(DK228="D",1,0)+IF(DO228="D",1,0)+IF(DP228="D",1,0)+IF(DQ228="D",1,0)+IF(DW228="D",1,0)+IF(DZ228="D",1,0)+IF(EH228="D",1,0)</f>
        <v/>
      </c>
      <c r="AY228">
        <f>IF(DJ228&lt;&gt;"",1,0)+IF(DK228&lt;&gt;"",1,0)+IF(DM228&lt;&gt;"",1,0)+IF(DO228&lt;&gt;"",1,0)+IF(DP228&lt;&gt;"",1,0)+IF(DQ228&lt;&gt;"",1,0)+IF(DS228&lt;&gt;"",1,0)+IF(DT228&lt;&gt;"",1,0)+IF(DV228&lt;&gt;"",1,0)+IF(DW228&lt;&gt;"",1,0)+IF(DX228&lt;&gt;"",1,0)+IF(DY228&lt;&gt;"",1,0)+IF(DZ228&lt;&gt;"",1,0)+IF(EB228&lt;&gt;"",1,0)+IF(EC228&lt;&gt;"",1,0)+IF(ED228&lt;&gt;"",1,0)+IF(EG228&lt;&gt;"",1,0)+IF(EH228&lt;&gt;"",1,0)</f>
        <v/>
      </c>
      <c r="AZ228">
        <f>IF(EH228&lt;&gt;"",1,0)</f>
        <v/>
      </c>
      <c r="BB228" t="inlineStr">
        <is>
          <t>WARREN-WARD 4</t>
        </is>
      </c>
      <c r="BP228" t="inlineStr">
        <is>
          <t>X</t>
        </is>
      </c>
      <c r="BY228" t="inlineStr">
        <is>
          <t>D</t>
        </is>
      </c>
      <c r="CA228" t="inlineStr">
        <is>
          <t>X</t>
        </is>
      </c>
      <c r="CN228" t="inlineStr">
        <is>
          <t>X</t>
        </is>
      </c>
      <c r="CP228" t="inlineStr">
        <is>
          <t>X</t>
        </is>
      </c>
      <c r="CY228" t="inlineStr">
        <is>
          <t>X</t>
        </is>
      </c>
      <c r="DC228" t="inlineStr">
        <is>
          <t>X</t>
        </is>
      </c>
      <c r="DN228" t="inlineStr">
        <is>
          <t>X</t>
        </is>
      </c>
      <c r="EA228" t="inlineStr">
        <is>
          <t>X</t>
        </is>
      </c>
      <c r="EF228" t="inlineStr">
        <is>
          <t>X</t>
        </is>
      </c>
    </row>
    <row r="229">
      <c r="A229" t="inlineStr">
        <is>
          <t>OH0015819226</t>
        </is>
      </c>
      <c r="B229" t="n">
        <v>78</v>
      </c>
      <c r="C229" t="n">
        <v>314216</v>
      </c>
      <c r="D229" t="inlineStr">
        <is>
          <t>GOYZUETA</t>
        </is>
      </c>
      <c r="E229" t="inlineStr">
        <is>
          <t>RINA</t>
        </is>
      </c>
      <c r="F229">
        <f>CONCATENATE(D229," ",LEFT(H229,4),"T=",AU229,"D=",AV229,"R=",AW229,"M=",AX229,"L=",AY229,"B=",AZ229)</f>
        <v/>
      </c>
      <c r="G229" t="inlineStr">
        <is>
          <t>D</t>
        </is>
      </c>
      <c r="I229" t="inlineStr">
        <is>
          <t>1956-03-02</t>
        </is>
      </c>
      <c r="J229" t="inlineStr">
        <is>
          <t>2011-06-27</t>
        </is>
      </c>
      <c r="K229" t="inlineStr">
        <is>
          <t>ACTIVE</t>
        </is>
      </c>
      <c r="M229" t="inlineStr">
        <is>
          <t>438 HOMEWOOD AVE SE</t>
        </is>
      </c>
      <c r="N229">
        <f>RIGHT(M229,LEN(M229)-FIND(" ",M229))</f>
        <v/>
      </c>
      <c r="P229" t="inlineStr">
        <is>
          <t>WARREN</t>
        </is>
      </c>
      <c r="Q229" t="inlineStr">
        <is>
          <t>OH</t>
        </is>
      </c>
      <c r="R229" t="n">
        <v>44483</v>
      </c>
      <c r="AD229" t="inlineStr">
        <is>
          <t>TRUMBULL CAREER &amp; TECH CENTER</t>
        </is>
      </c>
      <c r="AE229" t="inlineStr">
        <is>
          <t>WARREN CITY</t>
        </is>
      </c>
      <c r="AF229" t="inlineStr">
        <is>
          <t>WARREN CITY SD</t>
        </is>
      </c>
      <c r="AH229" t="n">
        <v>14</v>
      </c>
      <c r="AI229" t="n">
        <v>11</v>
      </c>
      <c r="AN229" t="inlineStr">
        <is>
          <t>WARREN</t>
        </is>
      </c>
      <c r="AO229" t="inlineStr">
        <is>
          <t>WARREN CITY 4A</t>
        </is>
      </c>
      <c r="AP229" t="inlineStr">
        <is>
          <t>78-P-ADI</t>
        </is>
      </c>
      <c r="AQ229" t="n">
        <v>9</v>
      </c>
      <c r="AR229" t="n">
        <v>64</v>
      </c>
      <c r="AS229" t="n">
        <v>32</v>
      </c>
      <c r="AU229">
        <f>COUNTA($BA$229:$EH$229)</f>
        <v/>
      </c>
      <c r="AV229">
        <f>COUNTIF($BA$229:$EH$229,"D")</f>
        <v/>
      </c>
      <c r="AW229">
        <f>COUNTIF($BA$229:$EH$229,"R")</f>
        <v/>
      </c>
      <c r="AX229">
        <f>IF(BN229="D",1,0)+IF(BO229="D",1,0)+IF(BT229="D",1,0)+IF(BU229="D",1,0)+IF(BW229="D",1,0)+IF(CC229="D",1,0)+IF(CD229="D",1,0)+IF(CE229="D",1,0)+IF(CF229="D",1,0)+IF(CL229="D",1,0)+IF(CM229="D",1,0)+IF(CQ229="D",1,0)+IF(CR229="D",1,0)+IF(CS229="D",1,0)+IF(CW229="D",1,0)+IF(CX229="D",1,0)+IF(DD229="D",1,0)+IF(DE229="D",1,0)+IF(DJ229="D",1,0)+IF(DK229="D",1,0)+IF(DO229="D",1,0)+IF(DP229="D",1,0)+IF(DQ229="D",1,0)+IF(DW229="D",1,0)+IF(DZ229="D",1,0)+IF(EH229="D",1,0)</f>
        <v/>
      </c>
      <c r="AY229">
        <f>IF(DJ229&lt;&gt;"",1,0)+IF(DK229&lt;&gt;"",1,0)+IF(DM229&lt;&gt;"",1,0)+IF(DO229&lt;&gt;"",1,0)+IF(DP229&lt;&gt;"",1,0)+IF(DQ229&lt;&gt;"",1,0)+IF(DS229&lt;&gt;"",1,0)+IF(DT229&lt;&gt;"",1,0)+IF(DV229&lt;&gt;"",1,0)+IF(DW229&lt;&gt;"",1,0)+IF(DX229&lt;&gt;"",1,0)+IF(DY229&lt;&gt;"",1,0)+IF(DZ229&lt;&gt;"",1,0)+IF(EB229&lt;&gt;"",1,0)+IF(EC229&lt;&gt;"",1,0)+IF(ED229&lt;&gt;"",1,0)+IF(EG229&lt;&gt;"",1,0)+IF(EH229&lt;&gt;"",1,0)</f>
        <v/>
      </c>
      <c r="AZ229">
        <f>IF(EH229&lt;&gt;"",1,0)</f>
        <v/>
      </c>
      <c r="BB229" t="inlineStr">
        <is>
          <t>WARREN-WARD 4</t>
        </is>
      </c>
      <c r="BJ229" t="inlineStr">
        <is>
          <t>X</t>
        </is>
      </c>
      <c r="BL229" t="inlineStr">
        <is>
          <t>X</t>
        </is>
      </c>
      <c r="BY229" t="inlineStr">
        <is>
          <t>D</t>
        </is>
      </c>
      <c r="CA229" t="inlineStr">
        <is>
          <t>X</t>
        </is>
      </c>
      <c r="CP229" t="inlineStr">
        <is>
          <t>X</t>
        </is>
      </c>
      <c r="DC229" t="inlineStr">
        <is>
          <t>X</t>
        </is>
      </c>
      <c r="DI229" t="inlineStr">
        <is>
          <t>X</t>
        </is>
      </c>
      <c r="DN229" t="inlineStr">
        <is>
          <t>X</t>
        </is>
      </c>
      <c r="DU229" t="inlineStr">
        <is>
          <t>X</t>
        </is>
      </c>
      <c r="EA229" t="inlineStr">
        <is>
          <t>X</t>
        </is>
      </c>
      <c r="EF229" t="inlineStr">
        <is>
          <t>X</t>
        </is>
      </c>
    </row>
    <row r="230">
      <c r="A230" t="inlineStr">
        <is>
          <t>OH0027703186</t>
        </is>
      </c>
      <c r="B230" t="n">
        <v>78</v>
      </c>
      <c r="C230" t="n">
        <v>490924</v>
      </c>
      <c r="D230" t="inlineStr">
        <is>
          <t>EDWARDS</t>
        </is>
      </c>
      <c r="E230" t="inlineStr">
        <is>
          <t>RANDY</t>
        </is>
      </c>
      <c r="F230">
        <f>CONCATENATE(D230," ",LEFT(H230,4),"T=",AU230,"D=",AV230,"R=",AW230,"M=",AX230,"L=",AY230,"B=",AZ230)</f>
        <v/>
      </c>
      <c r="G230" t="inlineStr">
        <is>
          <t>A</t>
        </is>
      </c>
      <c r="I230" t="inlineStr">
        <is>
          <t>1977-01-30</t>
        </is>
      </c>
      <c r="J230" t="inlineStr">
        <is>
          <t>2024-10-06</t>
        </is>
      </c>
      <c r="K230" t="inlineStr">
        <is>
          <t>ACTIVE</t>
        </is>
      </c>
      <c r="M230" t="inlineStr">
        <is>
          <t>471 CHARLES AVE SE</t>
        </is>
      </c>
      <c r="N230">
        <f>RIGHT(M230,LEN(M230)-FIND(" ",M230))</f>
        <v/>
      </c>
      <c r="P230" t="inlineStr">
        <is>
          <t>WARREN</t>
        </is>
      </c>
      <c r="Q230" t="inlineStr">
        <is>
          <t>OH</t>
        </is>
      </c>
      <c r="R230" t="n">
        <v>44483</v>
      </c>
      <c r="AD230" t="inlineStr">
        <is>
          <t>TRUMBULL CAREER &amp; TECH CENTER</t>
        </is>
      </c>
      <c r="AE230" t="inlineStr">
        <is>
          <t>WARREN CITY</t>
        </is>
      </c>
      <c r="AF230" t="inlineStr">
        <is>
          <t>WARREN CITY SD</t>
        </is>
      </c>
      <c r="AH230" t="n">
        <v>14</v>
      </c>
      <c r="AI230" t="n">
        <v>11</v>
      </c>
      <c r="AN230" t="inlineStr">
        <is>
          <t>WARREN</t>
        </is>
      </c>
      <c r="AO230" t="inlineStr">
        <is>
          <t>WARREN CITY 4A</t>
        </is>
      </c>
      <c r="AP230" t="inlineStr">
        <is>
          <t>78-P-ADI</t>
        </is>
      </c>
      <c r="AQ230" t="n">
        <v>9</v>
      </c>
      <c r="AR230" t="n">
        <v>64</v>
      </c>
      <c r="AS230" t="n">
        <v>32</v>
      </c>
      <c r="AU230">
        <f>COUNTA($BA$230:$EH$230)</f>
        <v/>
      </c>
      <c r="AV230">
        <f>COUNTIF($BA$230:$EH$230,"D")</f>
        <v/>
      </c>
      <c r="AW230">
        <f>COUNTIF($BA$230:$EH$230,"R")</f>
        <v/>
      </c>
      <c r="AX230">
        <f>IF(BN230="D",1,0)+IF(BO230="D",1,0)+IF(BT230="D",1,0)+IF(BU230="D",1,0)+IF(BW230="D",1,0)+IF(CC230="D",1,0)+IF(CD230="D",1,0)+IF(CE230="D",1,0)+IF(CF230="D",1,0)+IF(CL230="D",1,0)+IF(CM230="D",1,0)+IF(CQ230="D",1,0)+IF(CR230="D",1,0)+IF(CS230="D",1,0)+IF(CW230="D",1,0)+IF(CX230="D",1,0)+IF(DD230="D",1,0)+IF(DE230="D",1,0)+IF(DJ230="D",1,0)+IF(DK230="D",1,0)+IF(DO230="D",1,0)+IF(DP230="D",1,0)+IF(DQ230="D",1,0)+IF(DW230="D",1,0)+IF(DZ230="D",1,0)+IF(EH230="D",1,0)</f>
        <v/>
      </c>
      <c r="AY230">
        <f>IF(DJ230&lt;&gt;"",1,0)+IF(DK230&lt;&gt;"",1,0)+IF(DM230&lt;&gt;"",1,0)+IF(DO230&lt;&gt;"",1,0)+IF(DP230&lt;&gt;"",1,0)+IF(DQ230&lt;&gt;"",1,0)+IF(DS230&lt;&gt;"",1,0)+IF(DT230&lt;&gt;"",1,0)+IF(DV230&lt;&gt;"",1,0)+IF(DW230&lt;&gt;"",1,0)+IF(DX230&lt;&gt;"",1,0)+IF(DY230&lt;&gt;"",1,0)+IF(DZ230&lt;&gt;"",1,0)+IF(EB230&lt;&gt;"",1,0)+IF(EC230&lt;&gt;"",1,0)+IF(ED230&lt;&gt;"",1,0)+IF(EG230&lt;&gt;"",1,0)+IF(EH230&lt;&gt;"",1,0)</f>
        <v/>
      </c>
      <c r="AZ230">
        <f>IF(EH230&lt;&gt;"",1,0)</f>
        <v/>
      </c>
      <c r="BB230" t="inlineStr">
        <is>
          <t>WARREN-WARD 4</t>
        </is>
      </c>
    </row>
    <row r="231">
      <c r="A231" t="inlineStr">
        <is>
          <t>OH0021577181</t>
        </is>
      </c>
      <c r="B231" t="n">
        <v>78</v>
      </c>
      <c r="C231" t="n">
        <v>383177</v>
      </c>
      <c r="D231" t="inlineStr">
        <is>
          <t>PERKS</t>
        </is>
      </c>
      <c r="E231" t="inlineStr">
        <is>
          <t>RACHEL</t>
        </is>
      </c>
      <c r="F231">
        <f>CONCATENATE(D231," ",LEFT(H231,4),"T=",AU231,"D=",AV231,"R=",AW231,"M=",AX231,"L=",AY231,"B=",AZ231)</f>
        <v/>
      </c>
      <c r="G231" t="inlineStr">
        <is>
          <t>NICOLE</t>
        </is>
      </c>
      <c r="I231" t="inlineStr">
        <is>
          <t>1993-04-28</t>
        </is>
      </c>
      <c r="J231" t="inlineStr">
        <is>
          <t>2021-05-09</t>
        </is>
      </c>
      <c r="K231" t="inlineStr">
        <is>
          <t>ACTIVE</t>
        </is>
      </c>
      <c r="M231" t="inlineStr">
        <is>
          <t>1282 SOUTH ST SE</t>
        </is>
      </c>
      <c r="N231">
        <f>RIGHT(M231,LEN(M231)-FIND(" ",M231))</f>
        <v/>
      </c>
      <c r="P231" t="inlineStr">
        <is>
          <t>WARREN</t>
        </is>
      </c>
      <c r="Q231" t="inlineStr">
        <is>
          <t>OH</t>
        </is>
      </c>
      <c r="R231" t="n">
        <v>44483</v>
      </c>
      <c r="AD231" t="inlineStr">
        <is>
          <t>TRUMBULL CAREER &amp; TECH CENTER</t>
        </is>
      </c>
      <c r="AE231" t="inlineStr">
        <is>
          <t>WARREN CITY</t>
        </is>
      </c>
      <c r="AF231" t="inlineStr">
        <is>
          <t>WARREN CITY SD</t>
        </is>
      </c>
      <c r="AH231" t="n">
        <v>14</v>
      </c>
      <c r="AI231" t="n">
        <v>11</v>
      </c>
      <c r="AN231" t="inlineStr">
        <is>
          <t>WARREN</t>
        </is>
      </c>
      <c r="AO231" t="inlineStr">
        <is>
          <t>WARREN CITY 4A</t>
        </is>
      </c>
      <c r="AP231" t="inlineStr">
        <is>
          <t>78-P-ADI</t>
        </is>
      </c>
      <c r="AQ231" t="n">
        <v>9</v>
      </c>
      <c r="AR231" t="n">
        <v>64</v>
      </c>
      <c r="AS231" t="n">
        <v>32</v>
      </c>
      <c r="AU231">
        <f>COUNTA($BA$231:$EH$231)</f>
        <v/>
      </c>
      <c r="AV231">
        <f>COUNTIF($BA$231:$EH$231,"D")</f>
        <v/>
      </c>
      <c r="AW231">
        <f>COUNTIF($BA$231:$EH$231,"R")</f>
        <v/>
      </c>
      <c r="AX231">
        <f>IF(BN231="D",1,0)+IF(BO231="D",1,0)+IF(BT231="D",1,0)+IF(BU231="D",1,0)+IF(BW231="D",1,0)+IF(CC231="D",1,0)+IF(CD231="D",1,0)+IF(CE231="D",1,0)+IF(CF231="D",1,0)+IF(CL231="D",1,0)+IF(CM231="D",1,0)+IF(CQ231="D",1,0)+IF(CR231="D",1,0)+IF(CS231="D",1,0)+IF(CW231="D",1,0)+IF(CX231="D",1,0)+IF(DD231="D",1,0)+IF(DE231="D",1,0)+IF(DJ231="D",1,0)+IF(DK231="D",1,0)+IF(DO231="D",1,0)+IF(DP231="D",1,0)+IF(DQ231="D",1,0)+IF(DW231="D",1,0)+IF(DZ231="D",1,0)+IF(EH231="D",1,0)</f>
        <v/>
      </c>
      <c r="AY231">
        <f>IF(DJ231&lt;&gt;"",1,0)+IF(DK231&lt;&gt;"",1,0)+IF(DM231&lt;&gt;"",1,0)+IF(DO231&lt;&gt;"",1,0)+IF(DP231&lt;&gt;"",1,0)+IF(DQ231&lt;&gt;"",1,0)+IF(DS231&lt;&gt;"",1,0)+IF(DT231&lt;&gt;"",1,0)+IF(DV231&lt;&gt;"",1,0)+IF(DW231&lt;&gt;"",1,0)+IF(DX231&lt;&gt;"",1,0)+IF(DY231&lt;&gt;"",1,0)+IF(DZ231&lt;&gt;"",1,0)+IF(EB231&lt;&gt;"",1,0)+IF(EC231&lt;&gt;"",1,0)+IF(ED231&lt;&gt;"",1,0)+IF(EG231&lt;&gt;"",1,0)+IF(EH231&lt;&gt;"",1,0)</f>
        <v/>
      </c>
      <c r="AZ231">
        <f>IF(EH231&lt;&gt;"",1,0)</f>
        <v/>
      </c>
      <c r="BB231" t="inlineStr">
        <is>
          <t>WARREN-WARD 4</t>
        </is>
      </c>
      <c r="CP231" t="inlineStr">
        <is>
          <t>X</t>
        </is>
      </c>
      <c r="DC231" t="inlineStr">
        <is>
          <t>X</t>
        </is>
      </c>
      <c r="EF231" t="inlineStr">
        <is>
          <t>X</t>
        </is>
      </c>
    </row>
    <row r="232">
      <c r="A232" t="inlineStr">
        <is>
          <t>OH0018798646</t>
        </is>
      </c>
      <c r="B232" t="n">
        <v>78</v>
      </c>
      <c r="C232" t="n">
        <v>344987</v>
      </c>
      <c r="D232" t="inlineStr">
        <is>
          <t>CURRAN</t>
        </is>
      </c>
      <c r="E232" t="inlineStr">
        <is>
          <t>TERRENCE</t>
        </is>
      </c>
      <c r="F232">
        <f>CONCATENATE(D232," ",LEFT(H232,4),"T=",AU232,"D=",AV232,"R=",AW232,"M=",AX232,"L=",AY232,"B=",AZ232)</f>
        <v/>
      </c>
      <c r="G232" t="inlineStr">
        <is>
          <t>D</t>
        </is>
      </c>
      <c r="I232" t="inlineStr">
        <is>
          <t>1987-08-29</t>
        </is>
      </c>
      <c r="J232" t="inlineStr">
        <is>
          <t>2009-08-12</t>
        </is>
      </c>
      <c r="K232" t="inlineStr">
        <is>
          <t>ACTIVE</t>
        </is>
      </c>
      <c r="L232" t="inlineStr">
        <is>
          <t>D</t>
        </is>
      </c>
      <c r="M232" t="inlineStr">
        <is>
          <t>470 HOMEWOOD AVE SE</t>
        </is>
      </c>
      <c r="N232">
        <f>RIGHT(M232,LEN(M232)-FIND(" ",M232))</f>
        <v/>
      </c>
      <c r="P232" t="inlineStr">
        <is>
          <t>WARREN</t>
        </is>
      </c>
      <c r="Q232" t="inlineStr">
        <is>
          <t>OH</t>
        </is>
      </c>
      <c r="R232" t="n">
        <v>44483</v>
      </c>
      <c r="AD232" t="inlineStr">
        <is>
          <t>TRUMBULL CAREER &amp; TECH CENTER</t>
        </is>
      </c>
      <c r="AE232" t="inlineStr">
        <is>
          <t>WARREN CITY</t>
        </is>
      </c>
      <c r="AF232" t="inlineStr">
        <is>
          <t>WARREN CITY SD</t>
        </is>
      </c>
      <c r="AH232" t="n">
        <v>14</v>
      </c>
      <c r="AI232" t="n">
        <v>11</v>
      </c>
      <c r="AN232" t="inlineStr">
        <is>
          <t>WARREN</t>
        </is>
      </c>
      <c r="AO232" t="inlineStr">
        <is>
          <t>WARREN CITY 4A</t>
        </is>
      </c>
      <c r="AP232" t="inlineStr">
        <is>
          <t>78-P-ADI</t>
        </is>
      </c>
      <c r="AQ232" t="n">
        <v>9</v>
      </c>
      <c r="AR232" t="n">
        <v>64</v>
      </c>
      <c r="AS232" t="n">
        <v>32</v>
      </c>
      <c r="AU232">
        <f>COUNTA($BA$232:$EH$232)</f>
        <v/>
      </c>
      <c r="AV232">
        <f>COUNTIF($BA$232:$EH$232,"D")</f>
        <v/>
      </c>
      <c r="AW232">
        <f>COUNTIF($BA$232:$EH$232,"R")</f>
        <v/>
      </c>
      <c r="AX232">
        <f>IF(BN232="D",1,0)+IF(BO232="D",1,0)+IF(BT232="D",1,0)+IF(BU232="D",1,0)+IF(BW232="D",1,0)+IF(CC232="D",1,0)+IF(CD232="D",1,0)+IF(CE232="D",1,0)+IF(CF232="D",1,0)+IF(CL232="D",1,0)+IF(CM232="D",1,0)+IF(CQ232="D",1,0)+IF(CR232="D",1,0)+IF(CS232="D",1,0)+IF(CW232="D",1,0)+IF(CX232="D",1,0)+IF(DD232="D",1,0)+IF(DE232="D",1,0)+IF(DJ232="D",1,0)+IF(DK232="D",1,0)+IF(DO232="D",1,0)+IF(DP232="D",1,0)+IF(DQ232="D",1,0)+IF(DW232="D",1,0)+IF(DZ232="D",1,0)+IF(EH232="D",1,0)</f>
        <v/>
      </c>
      <c r="AY232">
        <f>IF(DJ232&lt;&gt;"",1,0)+IF(DK232&lt;&gt;"",1,0)+IF(DM232&lt;&gt;"",1,0)+IF(DO232&lt;&gt;"",1,0)+IF(DP232&lt;&gt;"",1,0)+IF(DQ232&lt;&gt;"",1,0)+IF(DS232&lt;&gt;"",1,0)+IF(DT232&lt;&gt;"",1,0)+IF(DV232&lt;&gt;"",1,0)+IF(DW232&lt;&gt;"",1,0)+IF(DX232&lt;&gt;"",1,0)+IF(DY232&lt;&gt;"",1,0)+IF(DZ232&lt;&gt;"",1,0)+IF(EB232&lt;&gt;"",1,0)+IF(EC232&lt;&gt;"",1,0)+IF(ED232&lt;&gt;"",1,0)+IF(EG232&lt;&gt;"",1,0)+IF(EH232&lt;&gt;"",1,0)</f>
        <v/>
      </c>
      <c r="AZ232">
        <f>IF(EH232&lt;&gt;"",1,0)</f>
        <v/>
      </c>
      <c r="BB232" t="inlineStr">
        <is>
          <t>WARREN-WARD 4</t>
        </is>
      </c>
      <c r="BS232" t="inlineStr">
        <is>
          <t>X</t>
        </is>
      </c>
      <c r="CL232" t="inlineStr">
        <is>
          <t>D</t>
        </is>
      </c>
      <c r="CO232" t="inlineStr">
        <is>
          <t>D</t>
        </is>
      </c>
      <c r="CP232" t="inlineStr">
        <is>
          <t>X</t>
        </is>
      </c>
      <c r="CV232" t="inlineStr">
        <is>
          <t>X</t>
        </is>
      </c>
      <c r="CY232" t="inlineStr">
        <is>
          <t>X</t>
        </is>
      </c>
      <c r="CZ232" t="inlineStr">
        <is>
          <t>D</t>
        </is>
      </c>
      <c r="DC232" t="inlineStr">
        <is>
          <t>X</t>
        </is>
      </c>
      <c r="DF232" t="inlineStr">
        <is>
          <t>X</t>
        </is>
      </c>
      <c r="DI232" t="inlineStr">
        <is>
          <t>X</t>
        </is>
      </c>
      <c r="DM232" t="inlineStr">
        <is>
          <t>D</t>
        </is>
      </c>
      <c r="DN232" t="inlineStr">
        <is>
          <t>X</t>
        </is>
      </c>
      <c r="DW232" t="inlineStr">
        <is>
          <t>D</t>
        </is>
      </c>
      <c r="EA232" t="inlineStr">
        <is>
          <t>X</t>
        </is>
      </c>
      <c r="EF232" t="inlineStr">
        <is>
          <t>X</t>
        </is>
      </c>
    </row>
    <row r="233">
      <c r="A233" t="inlineStr">
        <is>
          <t>OH0027130555</t>
        </is>
      </c>
      <c r="B233" t="n">
        <v>78</v>
      </c>
      <c r="C233" t="n">
        <v>477169</v>
      </c>
      <c r="D233" t="inlineStr">
        <is>
          <t>RICHARDSON</t>
        </is>
      </c>
      <c r="E233" t="inlineStr">
        <is>
          <t>JENNIFER</t>
        </is>
      </c>
      <c r="F233">
        <f>CONCATENATE(D233," ",LEFT(H233,4),"T=",AU233,"D=",AV233,"R=",AW233,"M=",AX233,"L=",AY233,"B=",AZ233)</f>
        <v/>
      </c>
      <c r="G233" t="inlineStr">
        <is>
          <t>ANNE</t>
        </is>
      </c>
      <c r="I233" t="inlineStr">
        <is>
          <t>1971-12-28</t>
        </is>
      </c>
      <c r="J233" t="inlineStr">
        <is>
          <t>2023-11-07</t>
        </is>
      </c>
      <c r="K233" t="inlineStr">
        <is>
          <t>ACTIVE</t>
        </is>
      </c>
      <c r="M233" t="inlineStr">
        <is>
          <t>377 IDDINGS AVE SE</t>
        </is>
      </c>
      <c r="N233">
        <f>RIGHT(M233,LEN(M233)-FIND(" ",M233))</f>
        <v/>
      </c>
      <c r="P233" t="inlineStr">
        <is>
          <t>WARREN</t>
        </is>
      </c>
      <c r="Q233" t="inlineStr">
        <is>
          <t>OH</t>
        </is>
      </c>
      <c r="R233" t="n">
        <v>44483</v>
      </c>
      <c r="AD233" t="inlineStr">
        <is>
          <t>TRUMBULL CAREER &amp; TECH CENTER</t>
        </is>
      </c>
      <c r="AE233" t="inlineStr">
        <is>
          <t>WARREN CITY</t>
        </is>
      </c>
      <c r="AF233" t="inlineStr">
        <is>
          <t>WARREN CITY SD</t>
        </is>
      </c>
      <c r="AH233" t="n">
        <v>14</v>
      </c>
      <c r="AI233" t="n">
        <v>11</v>
      </c>
      <c r="AN233" t="inlineStr">
        <is>
          <t>WARREN</t>
        </is>
      </c>
      <c r="AO233" t="inlineStr">
        <is>
          <t>WARREN CITY 4A</t>
        </is>
      </c>
      <c r="AP233" t="inlineStr">
        <is>
          <t>78-P-ADI</t>
        </is>
      </c>
      <c r="AQ233" t="n">
        <v>9</v>
      </c>
      <c r="AR233" t="n">
        <v>64</v>
      </c>
      <c r="AS233" t="n">
        <v>32</v>
      </c>
      <c r="AU233">
        <f>COUNTA($BA$233:$EH$233)</f>
        <v/>
      </c>
      <c r="AV233">
        <f>COUNTIF($BA$233:$EH$233,"D")</f>
        <v/>
      </c>
      <c r="AW233">
        <f>COUNTIF($BA$233:$EH$233,"R")</f>
        <v/>
      </c>
      <c r="AX233">
        <f>IF(BN233="D",1,0)+IF(BO233="D",1,0)+IF(BT233="D",1,0)+IF(BU233="D",1,0)+IF(BW233="D",1,0)+IF(CC233="D",1,0)+IF(CD233="D",1,0)+IF(CE233="D",1,0)+IF(CF233="D",1,0)+IF(CL233="D",1,0)+IF(CM233="D",1,0)+IF(CQ233="D",1,0)+IF(CR233="D",1,0)+IF(CS233="D",1,0)+IF(CW233="D",1,0)+IF(CX233="D",1,0)+IF(DD233="D",1,0)+IF(DE233="D",1,0)+IF(DJ233="D",1,0)+IF(DK233="D",1,0)+IF(DO233="D",1,0)+IF(DP233="D",1,0)+IF(DQ233="D",1,0)+IF(DW233="D",1,0)+IF(DZ233="D",1,0)+IF(EH233="D",1,0)</f>
        <v/>
      </c>
      <c r="AY233">
        <f>IF(DJ233&lt;&gt;"",1,0)+IF(DK233&lt;&gt;"",1,0)+IF(DM233&lt;&gt;"",1,0)+IF(DO233&lt;&gt;"",1,0)+IF(DP233&lt;&gt;"",1,0)+IF(DQ233&lt;&gt;"",1,0)+IF(DS233&lt;&gt;"",1,0)+IF(DT233&lt;&gt;"",1,0)+IF(DV233&lt;&gt;"",1,0)+IF(DW233&lt;&gt;"",1,0)+IF(DX233&lt;&gt;"",1,0)+IF(DY233&lt;&gt;"",1,0)+IF(DZ233&lt;&gt;"",1,0)+IF(EB233&lt;&gt;"",1,0)+IF(EC233&lt;&gt;"",1,0)+IF(ED233&lt;&gt;"",1,0)+IF(EG233&lt;&gt;"",1,0)+IF(EH233&lt;&gt;"",1,0)</f>
        <v/>
      </c>
      <c r="AZ233">
        <f>IF(EH233&lt;&gt;"",1,0)</f>
        <v/>
      </c>
      <c r="BB233" t="inlineStr">
        <is>
          <t>WARREN-WARD 4</t>
        </is>
      </c>
      <c r="BD233" t="inlineStr">
        <is>
          <t>X</t>
        </is>
      </c>
      <c r="BP233" t="inlineStr">
        <is>
          <t>X</t>
        </is>
      </c>
      <c r="CA233" t="inlineStr">
        <is>
          <t>X</t>
        </is>
      </c>
      <c r="CP233" t="inlineStr">
        <is>
          <t>X</t>
        </is>
      </c>
      <c r="CV233" t="inlineStr">
        <is>
          <t>X</t>
        </is>
      </c>
      <c r="CY233" t="inlineStr">
        <is>
          <t>X</t>
        </is>
      </c>
      <c r="CZ233" t="inlineStr">
        <is>
          <t>R</t>
        </is>
      </c>
      <c r="DI233" t="inlineStr">
        <is>
          <t>X</t>
        </is>
      </c>
      <c r="DL233" t="inlineStr">
        <is>
          <t>X</t>
        </is>
      </c>
      <c r="EA233" t="inlineStr">
        <is>
          <t>X</t>
        </is>
      </c>
      <c r="EF233" t="inlineStr">
        <is>
          <t>X</t>
        </is>
      </c>
    </row>
    <row r="234">
      <c r="A234" t="inlineStr">
        <is>
          <t>OH0023079837</t>
        </is>
      </c>
      <c r="B234" t="n">
        <v>78</v>
      </c>
      <c r="C234" t="n">
        <v>406513</v>
      </c>
      <c r="D234" t="inlineStr">
        <is>
          <t>SCHEIDEGGER</t>
        </is>
      </c>
      <c r="E234" t="inlineStr">
        <is>
          <t>WILLIAM</t>
        </is>
      </c>
      <c r="F234">
        <f>CONCATENATE(D234," ",LEFT(H234,4),"T=",AU234,"D=",AV234,"R=",AW234,"M=",AX234,"L=",AY234,"B=",AZ234)</f>
        <v/>
      </c>
      <c r="G234" t="inlineStr">
        <is>
          <t>R</t>
        </is>
      </c>
      <c r="I234" t="inlineStr">
        <is>
          <t>1997-02-18</t>
        </is>
      </c>
      <c r="J234" t="inlineStr">
        <is>
          <t>2015-03-26</t>
        </is>
      </c>
      <c r="K234" t="inlineStr">
        <is>
          <t>ACTIVE</t>
        </is>
      </c>
      <c r="M234" t="inlineStr">
        <is>
          <t>393 WOODBINE AVE SE</t>
        </is>
      </c>
      <c r="N234">
        <f>RIGHT(M234,LEN(M234)-FIND(" ",M234))</f>
        <v/>
      </c>
      <c r="P234" t="inlineStr">
        <is>
          <t>WARREN</t>
        </is>
      </c>
      <c r="Q234" t="inlineStr">
        <is>
          <t>OH</t>
        </is>
      </c>
      <c r="R234" t="n">
        <v>44483</v>
      </c>
      <c r="AD234" t="inlineStr">
        <is>
          <t>TRUMBULL CAREER &amp; TECH CENTER</t>
        </is>
      </c>
      <c r="AE234" t="inlineStr">
        <is>
          <t>WARREN CITY</t>
        </is>
      </c>
      <c r="AF234" t="inlineStr">
        <is>
          <t>WARREN CITY SD</t>
        </is>
      </c>
      <c r="AH234" t="n">
        <v>14</v>
      </c>
      <c r="AI234" t="n">
        <v>11</v>
      </c>
      <c r="AN234" t="inlineStr">
        <is>
          <t>WARREN</t>
        </is>
      </c>
      <c r="AO234" t="inlineStr">
        <is>
          <t>WARREN CITY 4A</t>
        </is>
      </c>
      <c r="AP234" t="inlineStr">
        <is>
          <t>78-P-ADI</t>
        </is>
      </c>
      <c r="AQ234" t="n">
        <v>9</v>
      </c>
      <c r="AR234" t="n">
        <v>64</v>
      </c>
      <c r="AS234" t="n">
        <v>32</v>
      </c>
      <c r="AU234">
        <f>COUNTA($BA$234:$EH$234)</f>
        <v/>
      </c>
      <c r="AV234">
        <f>COUNTIF($BA$234:$EH$234,"D")</f>
        <v/>
      </c>
      <c r="AW234">
        <f>COUNTIF($BA$234:$EH$234,"R")</f>
        <v/>
      </c>
      <c r="AX234">
        <f>IF(BN234="D",1,0)+IF(BO234="D",1,0)+IF(BT234="D",1,0)+IF(BU234="D",1,0)+IF(BW234="D",1,0)+IF(CC234="D",1,0)+IF(CD234="D",1,0)+IF(CE234="D",1,0)+IF(CF234="D",1,0)+IF(CL234="D",1,0)+IF(CM234="D",1,0)+IF(CQ234="D",1,0)+IF(CR234="D",1,0)+IF(CS234="D",1,0)+IF(CW234="D",1,0)+IF(CX234="D",1,0)+IF(DD234="D",1,0)+IF(DE234="D",1,0)+IF(DJ234="D",1,0)+IF(DK234="D",1,0)+IF(DO234="D",1,0)+IF(DP234="D",1,0)+IF(DQ234="D",1,0)+IF(DW234="D",1,0)+IF(DZ234="D",1,0)+IF(EH234="D",1,0)</f>
        <v/>
      </c>
      <c r="AY234">
        <f>IF(DJ234&lt;&gt;"",1,0)+IF(DK234&lt;&gt;"",1,0)+IF(DM234&lt;&gt;"",1,0)+IF(DO234&lt;&gt;"",1,0)+IF(DP234&lt;&gt;"",1,0)+IF(DQ234&lt;&gt;"",1,0)+IF(DS234&lt;&gt;"",1,0)+IF(DT234&lt;&gt;"",1,0)+IF(DV234&lt;&gt;"",1,0)+IF(DW234&lt;&gt;"",1,0)+IF(DX234&lt;&gt;"",1,0)+IF(DY234&lt;&gt;"",1,0)+IF(DZ234&lt;&gt;"",1,0)+IF(EB234&lt;&gt;"",1,0)+IF(EC234&lt;&gt;"",1,0)+IF(ED234&lt;&gt;"",1,0)+IF(EG234&lt;&gt;"",1,0)+IF(EH234&lt;&gt;"",1,0)</f>
        <v/>
      </c>
      <c r="AZ234">
        <f>IF(EH234&lt;&gt;"",1,0)</f>
        <v/>
      </c>
      <c r="BB234" t="inlineStr">
        <is>
          <t>WARREN-WARD 4</t>
        </is>
      </c>
      <c r="CY234" t="inlineStr">
        <is>
          <t>X</t>
        </is>
      </c>
      <c r="CZ234" t="inlineStr">
        <is>
          <t>D</t>
        </is>
      </c>
      <c r="DC234" t="inlineStr">
        <is>
          <t>X</t>
        </is>
      </c>
      <c r="DF234" t="inlineStr">
        <is>
          <t>X</t>
        </is>
      </c>
      <c r="DN234" t="inlineStr">
        <is>
          <t>X</t>
        </is>
      </c>
      <c r="EF234" t="inlineStr">
        <is>
          <t>X</t>
        </is>
      </c>
    </row>
    <row r="235">
      <c r="A235" t="inlineStr">
        <is>
          <t>OH0015704814</t>
        </is>
      </c>
      <c r="B235" t="n">
        <v>78</v>
      </c>
      <c r="C235" t="n">
        <v>166646</v>
      </c>
      <c r="D235" t="inlineStr">
        <is>
          <t>COLLIER</t>
        </is>
      </c>
      <c r="E235" t="inlineStr">
        <is>
          <t>RICHARD</t>
        </is>
      </c>
      <c r="F235">
        <f>CONCATENATE(D235," ",LEFT(H235,4),"T=",AU235,"D=",AV235,"R=",AW235,"M=",AX235,"L=",AY235,"B=",AZ235)</f>
        <v/>
      </c>
      <c r="G235" t="inlineStr">
        <is>
          <t>N</t>
        </is>
      </c>
      <c r="I235" t="inlineStr">
        <is>
          <t>1953-11-04</t>
        </is>
      </c>
      <c r="J235" t="inlineStr">
        <is>
          <t>1984-04-05</t>
        </is>
      </c>
      <c r="K235" t="inlineStr">
        <is>
          <t>ACTIVE</t>
        </is>
      </c>
      <c r="L235" t="inlineStr">
        <is>
          <t>R</t>
        </is>
      </c>
      <c r="M235" t="inlineStr">
        <is>
          <t>484 HOMEWOOD AVE SE</t>
        </is>
      </c>
      <c r="N235">
        <f>RIGHT(M235,LEN(M235)-FIND(" ",M235))</f>
        <v/>
      </c>
      <c r="P235" t="inlineStr">
        <is>
          <t>WARREN</t>
        </is>
      </c>
      <c r="Q235" t="inlineStr">
        <is>
          <t>OH</t>
        </is>
      </c>
      <c r="R235" t="n">
        <v>44483</v>
      </c>
      <c r="AD235" t="inlineStr">
        <is>
          <t>TRUMBULL CAREER &amp; TECH CENTER</t>
        </is>
      </c>
      <c r="AE235" t="inlineStr">
        <is>
          <t>WARREN CITY</t>
        </is>
      </c>
      <c r="AF235" t="inlineStr">
        <is>
          <t>WARREN CITY SD</t>
        </is>
      </c>
      <c r="AH235" t="n">
        <v>14</v>
      </c>
      <c r="AI235" t="n">
        <v>11</v>
      </c>
      <c r="AN235" t="inlineStr">
        <is>
          <t>WARREN</t>
        </is>
      </c>
      <c r="AO235" t="inlineStr">
        <is>
          <t>WARREN CITY 4A</t>
        </is>
      </c>
      <c r="AP235" t="inlineStr">
        <is>
          <t>78-P-ADI</t>
        </is>
      </c>
      <c r="AQ235" t="n">
        <v>9</v>
      </c>
      <c r="AR235" t="n">
        <v>64</v>
      </c>
      <c r="AS235" t="n">
        <v>32</v>
      </c>
      <c r="AU235">
        <f>COUNTA($BA$235:$EH$235)</f>
        <v/>
      </c>
      <c r="AV235">
        <f>COUNTIF($BA$235:$EH$235,"D")</f>
        <v/>
      </c>
      <c r="AW235">
        <f>COUNTIF($BA$235:$EH$235,"R")</f>
        <v/>
      </c>
      <c r="AX235">
        <f>IF(BN235="D",1,0)+IF(BO235="D",1,0)+IF(BT235="D",1,0)+IF(BU235="D",1,0)+IF(BW235="D",1,0)+IF(CC235="D",1,0)+IF(CD235="D",1,0)+IF(CE235="D",1,0)+IF(CF235="D",1,0)+IF(CL235="D",1,0)+IF(CM235="D",1,0)+IF(CQ235="D",1,0)+IF(CR235="D",1,0)+IF(CS235="D",1,0)+IF(CW235="D",1,0)+IF(CX235="D",1,0)+IF(DD235="D",1,0)+IF(DE235="D",1,0)+IF(DJ235="D",1,0)+IF(DK235="D",1,0)+IF(DO235="D",1,0)+IF(DP235="D",1,0)+IF(DQ235="D",1,0)+IF(DW235="D",1,0)+IF(DZ235="D",1,0)+IF(EH235="D",1,0)</f>
        <v/>
      </c>
      <c r="AY235">
        <f>IF(DJ235&lt;&gt;"",1,0)+IF(DK235&lt;&gt;"",1,0)+IF(DM235&lt;&gt;"",1,0)+IF(DO235&lt;&gt;"",1,0)+IF(DP235&lt;&gt;"",1,0)+IF(DQ235&lt;&gt;"",1,0)+IF(DS235&lt;&gt;"",1,0)+IF(DT235&lt;&gt;"",1,0)+IF(DV235&lt;&gt;"",1,0)+IF(DW235&lt;&gt;"",1,0)+IF(DX235&lt;&gt;"",1,0)+IF(DY235&lt;&gt;"",1,0)+IF(DZ235&lt;&gt;"",1,0)+IF(EB235&lt;&gt;"",1,0)+IF(EC235&lt;&gt;"",1,0)+IF(ED235&lt;&gt;"",1,0)+IF(EG235&lt;&gt;"",1,0)+IF(EH235&lt;&gt;"",1,0)</f>
        <v/>
      </c>
      <c r="AZ235">
        <f>IF(EH235&lt;&gt;"",1,0)</f>
        <v/>
      </c>
      <c r="BB235" t="inlineStr">
        <is>
          <t>WARREN-WARD 4</t>
        </is>
      </c>
      <c r="BD235" t="inlineStr">
        <is>
          <t>X</t>
        </is>
      </c>
      <c r="BE235" t="inlineStr">
        <is>
          <t>X</t>
        </is>
      </c>
      <c r="BF235" t="inlineStr">
        <is>
          <t>X</t>
        </is>
      </c>
      <c r="BH235" t="inlineStr">
        <is>
          <t>X</t>
        </is>
      </c>
      <c r="BJ235" t="inlineStr">
        <is>
          <t>X</t>
        </is>
      </c>
      <c r="BL235" t="inlineStr">
        <is>
          <t>X</t>
        </is>
      </c>
      <c r="BS235" t="inlineStr">
        <is>
          <t>X</t>
        </is>
      </c>
      <c r="BV235" t="inlineStr">
        <is>
          <t>X</t>
        </is>
      </c>
      <c r="BY235" t="inlineStr">
        <is>
          <t>R</t>
        </is>
      </c>
      <c r="CA235" t="inlineStr">
        <is>
          <t>X</t>
        </is>
      </c>
      <c r="CG235" t="inlineStr">
        <is>
          <t>X</t>
        </is>
      </c>
      <c r="CK235" t="inlineStr">
        <is>
          <t>X</t>
        </is>
      </c>
      <c r="CN235" t="inlineStr">
        <is>
          <t>X</t>
        </is>
      </c>
      <c r="CO235" t="inlineStr">
        <is>
          <t>R</t>
        </is>
      </c>
      <c r="CP235" t="inlineStr">
        <is>
          <t>X</t>
        </is>
      </c>
      <c r="CV235" t="inlineStr">
        <is>
          <t>X</t>
        </is>
      </c>
      <c r="CY235" t="inlineStr">
        <is>
          <t>X</t>
        </is>
      </c>
      <c r="CZ235" t="inlineStr">
        <is>
          <t>R</t>
        </is>
      </c>
      <c r="DC235" t="inlineStr">
        <is>
          <t>X</t>
        </is>
      </c>
      <c r="DI235" t="inlineStr">
        <is>
          <t>X</t>
        </is>
      </c>
      <c r="DN235" t="inlineStr">
        <is>
          <t>X</t>
        </is>
      </c>
      <c r="DU235" t="inlineStr">
        <is>
          <t>X</t>
        </is>
      </c>
      <c r="DX235" t="inlineStr">
        <is>
          <t>X</t>
        </is>
      </c>
      <c r="EA235" t="inlineStr">
        <is>
          <t>X</t>
        </is>
      </c>
      <c r="ED235" t="inlineStr">
        <is>
          <t>R</t>
        </is>
      </c>
      <c r="EF235" t="inlineStr">
        <is>
          <t>X</t>
        </is>
      </c>
    </row>
    <row r="236">
      <c r="A236" t="inlineStr">
        <is>
          <t>OH0015814250</t>
        </is>
      </c>
      <c r="B236" t="n">
        <v>78</v>
      </c>
      <c r="C236" t="n">
        <v>283110</v>
      </c>
      <c r="D236" t="inlineStr">
        <is>
          <t>SCHULLER</t>
        </is>
      </c>
      <c r="E236" t="inlineStr">
        <is>
          <t>CORRIN</t>
        </is>
      </c>
      <c r="F236">
        <f>CONCATENATE(D236," ",LEFT(H236,4),"T=",AU236,"D=",AV236,"R=",AW236,"M=",AX236,"L=",AY236,"B=",AZ236)</f>
        <v/>
      </c>
      <c r="G236" t="inlineStr">
        <is>
          <t>L</t>
        </is>
      </c>
      <c r="I236" t="inlineStr">
        <is>
          <t>1979-08-26</t>
        </is>
      </c>
      <c r="J236" t="inlineStr">
        <is>
          <t>2009-12-09</t>
        </is>
      </c>
      <c r="K236" t="inlineStr">
        <is>
          <t>ACTIVE</t>
        </is>
      </c>
      <c r="M236" t="inlineStr">
        <is>
          <t>526 OAK KNOLL AVE SE</t>
        </is>
      </c>
      <c r="N236">
        <f>RIGHT(M236,LEN(M236)-FIND(" ",M236))</f>
        <v/>
      </c>
      <c r="P236" t="inlineStr">
        <is>
          <t>WARREN</t>
        </is>
      </c>
      <c r="Q236" t="inlineStr">
        <is>
          <t>OH</t>
        </is>
      </c>
      <c r="R236" t="n">
        <v>44483</v>
      </c>
      <c r="AD236" t="inlineStr">
        <is>
          <t>TRUMBULL CAREER &amp; TECH CENTER</t>
        </is>
      </c>
      <c r="AE236" t="inlineStr">
        <is>
          <t>WARREN CITY</t>
        </is>
      </c>
      <c r="AF236" t="inlineStr">
        <is>
          <t>WARREN CITY SD</t>
        </is>
      </c>
      <c r="AH236" t="n">
        <v>14</v>
      </c>
      <c r="AI236" t="n">
        <v>11</v>
      </c>
      <c r="AN236" t="inlineStr">
        <is>
          <t>WARREN</t>
        </is>
      </c>
      <c r="AO236" t="inlineStr">
        <is>
          <t>WARREN CITY 4A</t>
        </is>
      </c>
      <c r="AP236" t="inlineStr">
        <is>
          <t>78-P-ADI</t>
        </is>
      </c>
      <c r="AQ236" t="n">
        <v>9</v>
      </c>
      <c r="AR236" t="n">
        <v>64</v>
      </c>
      <c r="AS236" t="n">
        <v>32</v>
      </c>
      <c r="AU236">
        <f>COUNTA($BA$236:$EH$236)</f>
        <v/>
      </c>
      <c r="AV236">
        <f>COUNTIF($BA$236:$EH$236,"D")</f>
        <v/>
      </c>
      <c r="AW236">
        <f>COUNTIF($BA$236:$EH$236,"R")</f>
        <v/>
      </c>
      <c r="AX236">
        <f>IF(BN236="D",1,0)+IF(BO236="D",1,0)+IF(BT236="D",1,0)+IF(BU236="D",1,0)+IF(BW236="D",1,0)+IF(CC236="D",1,0)+IF(CD236="D",1,0)+IF(CE236="D",1,0)+IF(CF236="D",1,0)+IF(CL236="D",1,0)+IF(CM236="D",1,0)+IF(CQ236="D",1,0)+IF(CR236="D",1,0)+IF(CS236="D",1,0)+IF(CW236="D",1,0)+IF(CX236="D",1,0)+IF(DD236="D",1,0)+IF(DE236="D",1,0)+IF(DJ236="D",1,0)+IF(DK236="D",1,0)+IF(DO236="D",1,0)+IF(DP236="D",1,0)+IF(DQ236="D",1,0)+IF(DW236="D",1,0)+IF(DZ236="D",1,0)+IF(EH236="D",1,0)</f>
        <v/>
      </c>
      <c r="AY236">
        <f>IF(DJ236&lt;&gt;"",1,0)+IF(DK236&lt;&gt;"",1,0)+IF(DM236&lt;&gt;"",1,0)+IF(DO236&lt;&gt;"",1,0)+IF(DP236&lt;&gt;"",1,0)+IF(DQ236&lt;&gt;"",1,0)+IF(DS236&lt;&gt;"",1,0)+IF(DT236&lt;&gt;"",1,0)+IF(DV236&lt;&gt;"",1,0)+IF(DW236&lt;&gt;"",1,0)+IF(DX236&lt;&gt;"",1,0)+IF(DY236&lt;&gt;"",1,0)+IF(DZ236&lt;&gt;"",1,0)+IF(EB236&lt;&gt;"",1,0)+IF(EC236&lt;&gt;"",1,0)+IF(ED236&lt;&gt;"",1,0)+IF(EG236&lt;&gt;"",1,0)+IF(EH236&lt;&gt;"",1,0)</f>
        <v/>
      </c>
      <c r="AZ236">
        <f>IF(EH236&lt;&gt;"",1,0)</f>
        <v/>
      </c>
      <c r="BB236" t="inlineStr">
        <is>
          <t>WARREN-WARD 4</t>
        </is>
      </c>
      <c r="BH236" t="inlineStr">
        <is>
          <t>X</t>
        </is>
      </c>
      <c r="CA236" t="inlineStr">
        <is>
          <t>X</t>
        </is>
      </c>
      <c r="CK236" t="inlineStr">
        <is>
          <t>X</t>
        </is>
      </c>
      <c r="CN236" t="inlineStr">
        <is>
          <t>X</t>
        </is>
      </c>
      <c r="CP236" t="inlineStr">
        <is>
          <t>X</t>
        </is>
      </c>
      <c r="DC236" t="inlineStr">
        <is>
          <t>X</t>
        </is>
      </c>
      <c r="DI236" t="inlineStr">
        <is>
          <t>X</t>
        </is>
      </c>
      <c r="DN236" t="inlineStr">
        <is>
          <t>X</t>
        </is>
      </c>
    </row>
    <row r="237">
      <c r="A237" t="inlineStr">
        <is>
          <t>OH0027399812</t>
        </is>
      </c>
      <c r="B237" t="n">
        <v>78</v>
      </c>
      <c r="C237" t="n">
        <v>485582</v>
      </c>
      <c r="D237" t="inlineStr">
        <is>
          <t>OSBORNE</t>
        </is>
      </c>
      <c r="E237" t="inlineStr">
        <is>
          <t>JOHN</t>
        </is>
      </c>
      <c r="F237">
        <f>CONCATENATE(D237," ",LEFT(H237,4),"T=",AU237,"D=",AV237,"R=",AW237,"M=",AX237,"L=",AY237,"B=",AZ237)</f>
        <v/>
      </c>
      <c r="G237" t="inlineStr">
        <is>
          <t>J</t>
        </is>
      </c>
      <c r="I237" t="inlineStr">
        <is>
          <t>1954-01-27</t>
        </is>
      </c>
      <c r="J237" t="inlineStr">
        <is>
          <t>2024-06-26</t>
        </is>
      </c>
      <c r="K237" t="inlineStr">
        <is>
          <t>ACTIVE</t>
        </is>
      </c>
      <c r="M237" t="inlineStr">
        <is>
          <t>1224 SOUTH ST SE</t>
        </is>
      </c>
      <c r="N237">
        <f>RIGHT(M237,LEN(M237)-FIND(" ",M237))</f>
        <v/>
      </c>
      <c r="P237" t="inlineStr">
        <is>
          <t>WARREN</t>
        </is>
      </c>
      <c r="Q237" t="inlineStr">
        <is>
          <t>OH</t>
        </is>
      </c>
      <c r="R237" t="n">
        <v>44483</v>
      </c>
      <c r="AD237" t="inlineStr">
        <is>
          <t>TRUMBULL CAREER &amp; TECH CENTER</t>
        </is>
      </c>
      <c r="AE237" t="inlineStr">
        <is>
          <t>WARREN CITY</t>
        </is>
      </c>
      <c r="AF237" t="inlineStr">
        <is>
          <t>WARREN CITY SD</t>
        </is>
      </c>
      <c r="AH237" t="n">
        <v>14</v>
      </c>
      <c r="AI237" t="n">
        <v>11</v>
      </c>
      <c r="AN237" t="inlineStr">
        <is>
          <t>WARREN</t>
        </is>
      </c>
      <c r="AO237" t="inlineStr">
        <is>
          <t>WARREN CITY 4A</t>
        </is>
      </c>
      <c r="AP237" t="inlineStr">
        <is>
          <t>78-P-ADI</t>
        </is>
      </c>
      <c r="AQ237" t="n">
        <v>9</v>
      </c>
      <c r="AR237" t="n">
        <v>64</v>
      </c>
      <c r="AS237" t="n">
        <v>32</v>
      </c>
      <c r="AU237">
        <f>COUNTA($BA$237:$EH$237)</f>
        <v/>
      </c>
      <c r="AV237">
        <f>COUNTIF($BA$237:$EH$237,"D")</f>
        <v/>
      </c>
      <c r="AW237">
        <f>COUNTIF($BA$237:$EH$237,"R")</f>
        <v/>
      </c>
      <c r="AX237">
        <f>IF(BN237="D",1,0)+IF(BO237="D",1,0)+IF(BT237="D",1,0)+IF(BU237="D",1,0)+IF(BW237="D",1,0)+IF(CC237="D",1,0)+IF(CD237="D",1,0)+IF(CE237="D",1,0)+IF(CF237="D",1,0)+IF(CL237="D",1,0)+IF(CM237="D",1,0)+IF(CQ237="D",1,0)+IF(CR237="D",1,0)+IF(CS237="D",1,0)+IF(CW237="D",1,0)+IF(CX237="D",1,0)+IF(DD237="D",1,0)+IF(DE237="D",1,0)+IF(DJ237="D",1,0)+IF(DK237="D",1,0)+IF(DO237="D",1,0)+IF(DP237="D",1,0)+IF(DQ237="D",1,0)+IF(DW237="D",1,0)+IF(DZ237="D",1,0)+IF(EH237="D",1,0)</f>
        <v/>
      </c>
      <c r="AY237">
        <f>IF(DJ237&lt;&gt;"",1,0)+IF(DK237&lt;&gt;"",1,0)+IF(DM237&lt;&gt;"",1,0)+IF(DO237&lt;&gt;"",1,0)+IF(DP237&lt;&gt;"",1,0)+IF(DQ237&lt;&gt;"",1,0)+IF(DS237&lt;&gt;"",1,0)+IF(DT237&lt;&gt;"",1,0)+IF(DV237&lt;&gt;"",1,0)+IF(DW237&lt;&gt;"",1,0)+IF(DX237&lt;&gt;"",1,0)+IF(DY237&lt;&gt;"",1,0)+IF(DZ237&lt;&gt;"",1,0)+IF(EB237&lt;&gt;"",1,0)+IF(EC237&lt;&gt;"",1,0)+IF(ED237&lt;&gt;"",1,0)+IF(EG237&lt;&gt;"",1,0)+IF(EH237&lt;&gt;"",1,0)</f>
        <v/>
      </c>
      <c r="AZ237">
        <f>IF(EH237&lt;&gt;"",1,0)</f>
        <v/>
      </c>
      <c r="BB237" t="inlineStr">
        <is>
          <t>WARREN-WARD 4</t>
        </is>
      </c>
      <c r="EF237" t="inlineStr">
        <is>
          <t>X</t>
        </is>
      </c>
    </row>
    <row r="238">
      <c r="A238" t="inlineStr">
        <is>
          <t>OH0027567847</t>
        </is>
      </c>
      <c r="B238" t="n">
        <v>78</v>
      </c>
      <c r="C238" t="n">
        <v>488567</v>
      </c>
      <c r="D238" t="inlineStr">
        <is>
          <t>SMEAD</t>
        </is>
      </c>
      <c r="E238" t="inlineStr">
        <is>
          <t>TAMMIE</t>
        </is>
      </c>
      <c r="F238">
        <f>CONCATENATE(D238," ",LEFT(H238,4),"T=",AU238,"D=",AV238,"R=",AW238,"M=",AX238,"L=",AY238,"B=",AZ238)</f>
        <v/>
      </c>
      <c r="G238" t="inlineStr">
        <is>
          <t>G</t>
        </is>
      </c>
      <c r="I238" t="inlineStr">
        <is>
          <t>1977-01-25</t>
        </is>
      </c>
      <c r="J238" t="inlineStr">
        <is>
          <t>2024-08-14</t>
        </is>
      </c>
      <c r="K238" t="inlineStr">
        <is>
          <t>ACTIVE</t>
        </is>
      </c>
      <c r="M238" t="inlineStr">
        <is>
          <t>1324 BELLE ST SE</t>
        </is>
      </c>
      <c r="N238">
        <f>RIGHT(M238,LEN(M238)-FIND(" ",M238))</f>
        <v/>
      </c>
      <c r="P238" t="inlineStr">
        <is>
          <t>WARREN</t>
        </is>
      </c>
      <c r="Q238" t="inlineStr">
        <is>
          <t>OH</t>
        </is>
      </c>
      <c r="R238" t="n">
        <v>44484</v>
      </c>
      <c r="AD238" t="inlineStr">
        <is>
          <t>TRUMBULL CAREER &amp; TECH CENTER</t>
        </is>
      </c>
      <c r="AE238" t="inlineStr">
        <is>
          <t>WARREN CITY</t>
        </is>
      </c>
      <c r="AF238" t="inlineStr">
        <is>
          <t>WARREN CITY SD</t>
        </is>
      </c>
      <c r="AH238" t="n">
        <v>14</v>
      </c>
      <c r="AI238" t="n">
        <v>11</v>
      </c>
      <c r="AN238" t="inlineStr">
        <is>
          <t>WARREN</t>
        </is>
      </c>
      <c r="AO238" t="inlineStr">
        <is>
          <t>WARREN CITY 4A</t>
        </is>
      </c>
      <c r="AP238" t="inlineStr">
        <is>
          <t>78-P-ADI</t>
        </is>
      </c>
      <c r="AQ238" t="n">
        <v>9</v>
      </c>
      <c r="AR238" t="n">
        <v>64</v>
      </c>
      <c r="AS238" t="n">
        <v>32</v>
      </c>
      <c r="AU238">
        <f>COUNTA($BA$238:$EH$238)</f>
        <v/>
      </c>
      <c r="AV238">
        <f>COUNTIF($BA$238:$EH$238,"D")</f>
        <v/>
      </c>
      <c r="AW238">
        <f>COUNTIF($BA$238:$EH$238,"R")</f>
        <v/>
      </c>
      <c r="AX238">
        <f>IF(BN238="D",1,0)+IF(BO238="D",1,0)+IF(BT238="D",1,0)+IF(BU238="D",1,0)+IF(BW238="D",1,0)+IF(CC238="D",1,0)+IF(CD238="D",1,0)+IF(CE238="D",1,0)+IF(CF238="D",1,0)+IF(CL238="D",1,0)+IF(CM238="D",1,0)+IF(CQ238="D",1,0)+IF(CR238="D",1,0)+IF(CS238="D",1,0)+IF(CW238="D",1,0)+IF(CX238="D",1,0)+IF(DD238="D",1,0)+IF(DE238="D",1,0)+IF(DJ238="D",1,0)+IF(DK238="D",1,0)+IF(DO238="D",1,0)+IF(DP238="D",1,0)+IF(DQ238="D",1,0)+IF(DW238="D",1,0)+IF(DZ238="D",1,0)+IF(EH238="D",1,0)</f>
        <v/>
      </c>
      <c r="AY238">
        <f>IF(DJ238&lt;&gt;"",1,0)+IF(DK238&lt;&gt;"",1,0)+IF(DM238&lt;&gt;"",1,0)+IF(DO238&lt;&gt;"",1,0)+IF(DP238&lt;&gt;"",1,0)+IF(DQ238&lt;&gt;"",1,0)+IF(DS238&lt;&gt;"",1,0)+IF(DT238&lt;&gt;"",1,0)+IF(DV238&lt;&gt;"",1,0)+IF(DW238&lt;&gt;"",1,0)+IF(DX238&lt;&gt;"",1,0)+IF(DY238&lt;&gt;"",1,0)+IF(DZ238&lt;&gt;"",1,0)+IF(EB238&lt;&gt;"",1,0)+IF(EC238&lt;&gt;"",1,0)+IF(ED238&lt;&gt;"",1,0)+IF(EG238&lt;&gt;"",1,0)+IF(EH238&lt;&gt;"",1,0)</f>
        <v/>
      </c>
      <c r="AZ238">
        <f>IF(EH238&lt;&gt;"",1,0)</f>
        <v/>
      </c>
      <c r="BB238" t="inlineStr">
        <is>
          <t>WARREN-WARD 4</t>
        </is>
      </c>
    </row>
    <row r="239">
      <c r="A239" t="inlineStr">
        <is>
          <t>OH0015763698</t>
        </is>
      </c>
      <c r="B239" t="n">
        <v>78</v>
      </c>
      <c r="C239" t="n">
        <v>327283</v>
      </c>
      <c r="D239" t="inlineStr">
        <is>
          <t>JARRETTE</t>
        </is>
      </c>
      <c r="E239" t="inlineStr">
        <is>
          <t>TIMOTHY</t>
        </is>
      </c>
      <c r="F239">
        <f>CONCATENATE(D239," ",LEFT(H239,4),"T=",AU239,"D=",AV239,"R=",AW239,"M=",AX239,"L=",AY239,"B=",AZ239)</f>
        <v/>
      </c>
      <c r="G239" t="inlineStr">
        <is>
          <t>D</t>
        </is>
      </c>
      <c r="I239" t="inlineStr">
        <is>
          <t>1965-04-01</t>
        </is>
      </c>
      <c r="J239" t="inlineStr">
        <is>
          <t>2024-04-09</t>
        </is>
      </c>
      <c r="K239" t="inlineStr">
        <is>
          <t>ACTIVE</t>
        </is>
      </c>
      <c r="M239" t="inlineStr">
        <is>
          <t>1334 SOUTH ST SE</t>
        </is>
      </c>
      <c r="N239">
        <f>RIGHT(M239,LEN(M239)-FIND(" ",M239))</f>
        <v/>
      </c>
      <c r="P239" t="inlineStr">
        <is>
          <t>WARREN</t>
        </is>
      </c>
      <c r="Q239" t="inlineStr">
        <is>
          <t>OH</t>
        </is>
      </c>
      <c r="R239" t="n">
        <v>44483</v>
      </c>
      <c r="AD239" t="inlineStr">
        <is>
          <t>TRUMBULL CAREER &amp; TECH CENTER</t>
        </is>
      </c>
      <c r="AE239" t="inlineStr">
        <is>
          <t>WARREN CITY</t>
        </is>
      </c>
      <c r="AF239" t="inlineStr">
        <is>
          <t>WARREN CITY SD</t>
        </is>
      </c>
      <c r="AH239" t="n">
        <v>14</v>
      </c>
      <c r="AI239" t="n">
        <v>11</v>
      </c>
      <c r="AN239" t="inlineStr">
        <is>
          <t>WARREN</t>
        </is>
      </c>
      <c r="AO239" t="inlineStr">
        <is>
          <t>WARREN CITY 4A</t>
        </is>
      </c>
      <c r="AP239" t="inlineStr">
        <is>
          <t>78-P-ADI</t>
        </is>
      </c>
      <c r="AQ239" t="n">
        <v>9</v>
      </c>
      <c r="AR239" t="n">
        <v>64</v>
      </c>
      <c r="AS239" t="n">
        <v>32</v>
      </c>
      <c r="AU239">
        <f>COUNTA($BA$239:$EH$239)</f>
        <v/>
      </c>
      <c r="AV239">
        <f>COUNTIF($BA$239:$EH$239,"D")</f>
        <v/>
      </c>
      <c r="AW239">
        <f>COUNTIF($BA$239:$EH$239,"R")</f>
        <v/>
      </c>
      <c r="AX239">
        <f>IF(BN239="D",1,0)+IF(BO239="D",1,0)+IF(BT239="D",1,0)+IF(BU239="D",1,0)+IF(BW239="D",1,0)+IF(CC239="D",1,0)+IF(CD239="D",1,0)+IF(CE239="D",1,0)+IF(CF239="D",1,0)+IF(CL239="D",1,0)+IF(CM239="D",1,0)+IF(CQ239="D",1,0)+IF(CR239="D",1,0)+IF(CS239="D",1,0)+IF(CW239="D",1,0)+IF(CX239="D",1,0)+IF(DD239="D",1,0)+IF(DE239="D",1,0)+IF(DJ239="D",1,0)+IF(DK239="D",1,0)+IF(DO239="D",1,0)+IF(DP239="D",1,0)+IF(DQ239="D",1,0)+IF(DW239="D",1,0)+IF(DZ239="D",1,0)+IF(EH239="D",1,0)</f>
        <v/>
      </c>
      <c r="AY239">
        <f>IF(DJ239&lt;&gt;"",1,0)+IF(DK239&lt;&gt;"",1,0)+IF(DM239&lt;&gt;"",1,0)+IF(DO239&lt;&gt;"",1,0)+IF(DP239&lt;&gt;"",1,0)+IF(DQ239&lt;&gt;"",1,0)+IF(DS239&lt;&gt;"",1,0)+IF(DT239&lt;&gt;"",1,0)+IF(DV239&lt;&gt;"",1,0)+IF(DW239&lt;&gt;"",1,0)+IF(DX239&lt;&gt;"",1,0)+IF(DY239&lt;&gt;"",1,0)+IF(DZ239&lt;&gt;"",1,0)+IF(EB239&lt;&gt;"",1,0)+IF(EC239&lt;&gt;"",1,0)+IF(ED239&lt;&gt;"",1,0)+IF(EG239&lt;&gt;"",1,0)+IF(EH239&lt;&gt;"",1,0)</f>
        <v/>
      </c>
      <c r="AZ239">
        <f>IF(EH239&lt;&gt;"",1,0)</f>
        <v/>
      </c>
      <c r="BB239" t="inlineStr">
        <is>
          <t>WARREN-WARD 4</t>
        </is>
      </c>
      <c r="BL239" t="inlineStr">
        <is>
          <t>X</t>
        </is>
      </c>
      <c r="CA239" t="inlineStr">
        <is>
          <t>X</t>
        </is>
      </c>
      <c r="CK239" t="inlineStr">
        <is>
          <t>X</t>
        </is>
      </c>
      <c r="CP239" t="inlineStr">
        <is>
          <t>X</t>
        </is>
      </c>
      <c r="DC239" t="inlineStr">
        <is>
          <t>X</t>
        </is>
      </c>
      <c r="DI239" t="inlineStr">
        <is>
          <t>X</t>
        </is>
      </c>
    </row>
    <row r="240">
      <c r="A240" t="inlineStr">
        <is>
          <t>OH0015820694</t>
        </is>
      </c>
      <c r="B240" t="n">
        <v>78</v>
      </c>
      <c r="C240" t="n">
        <v>313805</v>
      </c>
      <c r="D240" t="inlineStr">
        <is>
          <t>EBBEN</t>
        </is>
      </c>
      <c r="E240" t="inlineStr">
        <is>
          <t>HENRY</t>
        </is>
      </c>
      <c r="F240">
        <f>CONCATENATE(D240," ",LEFT(H240,4),"T=",AU240,"D=",AV240,"R=",AW240,"M=",AX240,"L=",AY240,"B=",AZ240)</f>
        <v/>
      </c>
      <c r="G240" t="inlineStr">
        <is>
          <t>C</t>
        </is>
      </c>
      <c r="H240" t="inlineStr">
        <is>
          <t>III</t>
        </is>
      </c>
      <c r="I240" t="inlineStr">
        <is>
          <t>1971-11-08</t>
        </is>
      </c>
      <c r="J240" t="inlineStr">
        <is>
          <t>2003-04-03</t>
        </is>
      </c>
      <c r="K240" t="inlineStr">
        <is>
          <t>ACTIVE</t>
        </is>
      </c>
      <c r="L240" t="inlineStr">
        <is>
          <t>D</t>
        </is>
      </c>
      <c r="M240" t="inlineStr">
        <is>
          <t>459 KENILWORTH AVE SE</t>
        </is>
      </c>
      <c r="N240">
        <f>RIGHT(M240,LEN(M240)-FIND(" ",M240))</f>
        <v/>
      </c>
      <c r="P240" t="inlineStr">
        <is>
          <t>WARREN</t>
        </is>
      </c>
      <c r="Q240" t="inlineStr">
        <is>
          <t>OH</t>
        </is>
      </c>
      <c r="R240" t="n">
        <v>44483</v>
      </c>
      <c r="AD240" t="inlineStr">
        <is>
          <t>TRUMBULL CAREER &amp; TECH CENTER</t>
        </is>
      </c>
      <c r="AE240" t="inlineStr">
        <is>
          <t>WARREN CITY</t>
        </is>
      </c>
      <c r="AF240" t="inlineStr">
        <is>
          <t>WARREN CITY SD</t>
        </is>
      </c>
      <c r="AH240" t="n">
        <v>14</v>
      </c>
      <c r="AI240" t="n">
        <v>11</v>
      </c>
      <c r="AN240" t="inlineStr">
        <is>
          <t>WARREN</t>
        </is>
      </c>
      <c r="AO240" t="inlineStr">
        <is>
          <t>WARREN CITY 4A</t>
        </is>
      </c>
      <c r="AP240" t="inlineStr">
        <is>
          <t>78-P-ADI</t>
        </is>
      </c>
      <c r="AQ240" t="n">
        <v>9</v>
      </c>
      <c r="AR240" t="n">
        <v>64</v>
      </c>
      <c r="AS240" t="n">
        <v>32</v>
      </c>
      <c r="AU240">
        <f>COUNTA($BA$240:$EH$240)</f>
        <v/>
      </c>
      <c r="AV240">
        <f>COUNTIF($BA$240:$EH$240,"D")</f>
        <v/>
      </c>
      <c r="AW240">
        <f>COUNTIF($BA$240:$EH$240,"R")</f>
        <v/>
      </c>
      <c r="AX240">
        <f>IF(BN240="D",1,0)+IF(BO240="D",1,0)+IF(BT240="D",1,0)+IF(BU240="D",1,0)+IF(BW240="D",1,0)+IF(CC240="D",1,0)+IF(CD240="D",1,0)+IF(CE240="D",1,0)+IF(CF240="D",1,0)+IF(CL240="D",1,0)+IF(CM240="D",1,0)+IF(CQ240="D",1,0)+IF(CR240="D",1,0)+IF(CS240="D",1,0)+IF(CW240="D",1,0)+IF(CX240="D",1,0)+IF(DD240="D",1,0)+IF(DE240="D",1,0)+IF(DJ240="D",1,0)+IF(DK240="D",1,0)+IF(DO240="D",1,0)+IF(DP240="D",1,0)+IF(DQ240="D",1,0)+IF(DW240="D",1,0)+IF(DZ240="D",1,0)+IF(EH240="D",1,0)</f>
        <v/>
      </c>
      <c r="AY240">
        <f>IF(DJ240&lt;&gt;"",1,0)+IF(DK240&lt;&gt;"",1,0)+IF(DM240&lt;&gt;"",1,0)+IF(DO240&lt;&gt;"",1,0)+IF(DP240&lt;&gt;"",1,0)+IF(DQ240&lt;&gt;"",1,0)+IF(DS240&lt;&gt;"",1,0)+IF(DT240&lt;&gt;"",1,0)+IF(DV240&lt;&gt;"",1,0)+IF(DW240&lt;&gt;"",1,0)+IF(DX240&lt;&gt;"",1,0)+IF(DY240&lt;&gt;"",1,0)+IF(DZ240&lt;&gt;"",1,0)+IF(EB240&lt;&gt;"",1,0)+IF(EC240&lt;&gt;"",1,0)+IF(ED240&lt;&gt;"",1,0)+IF(EG240&lt;&gt;"",1,0)+IF(EH240&lt;&gt;"",1,0)</f>
        <v/>
      </c>
      <c r="AZ240">
        <f>IF(EH240&lt;&gt;"",1,0)</f>
        <v/>
      </c>
      <c r="BB240" t="inlineStr">
        <is>
          <t>WARREN-WARD 4</t>
        </is>
      </c>
      <c r="BJ240" t="inlineStr">
        <is>
          <t>X</t>
        </is>
      </c>
      <c r="BK240" t="inlineStr">
        <is>
          <t>X</t>
        </is>
      </c>
      <c r="BL240" t="inlineStr">
        <is>
          <t>X</t>
        </is>
      </c>
      <c r="BP240" t="inlineStr">
        <is>
          <t>X</t>
        </is>
      </c>
      <c r="BR240" t="inlineStr">
        <is>
          <t>X</t>
        </is>
      </c>
      <c r="BS240" t="inlineStr">
        <is>
          <t>X</t>
        </is>
      </c>
      <c r="CA240" t="inlineStr">
        <is>
          <t>X</t>
        </is>
      </c>
      <c r="CG240" t="inlineStr">
        <is>
          <t>X</t>
        </is>
      </c>
      <c r="CH240" t="inlineStr">
        <is>
          <t>D</t>
        </is>
      </c>
      <c r="CK240" t="inlineStr">
        <is>
          <t>X</t>
        </is>
      </c>
      <c r="CN240" t="inlineStr">
        <is>
          <t>X</t>
        </is>
      </c>
      <c r="CP240" t="inlineStr">
        <is>
          <t>X</t>
        </is>
      </c>
      <c r="CU240" t="inlineStr">
        <is>
          <t>D</t>
        </is>
      </c>
      <c r="CZ240" t="inlineStr">
        <is>
          <t>D</t>
        </is>
      </c>
      <c r="DC240" t="inlineStr">
        <is>
          <t>X</t>
        </is>
      </c>
      <c r="DF240" t="inlineStr">
        <is>
          <t>X</t>
        </is>
      </c>
      <c r="DI240" t="inlineStr">
        <is>
          <t>X</t>
        </is>
      </c>
      <c r="DL240" t="inlineStr">
        <is>
          <t>X</t>
        </is>
      </c>
      <c r="DM240" t="inlineStr">
        <is>
          <t>D</t>
        </is>
      </c>
      <c r="DN240" t="inlineStr">
        <is>
          <t>X</t>
        </is>
      </c>
      <c r="DU240" t="inlineStr">
        <is>
          <t>X</t>
        </is>
      </c>
      <c r="DX240" t="inlineStr">
        <is>
          <t>X</t>
        </is>
      </c>
      <c r="EA240" t="inlineStr">
        <is>
          <t>X</t>
        </is>
      </c>
      <c r="ED240" t="inlineStr">
        <is>
          <t>D</t>
        </is>
      </c>
      <c r="EF240" t="inlineStr">
        <is>
          <t>X</t>
        </is>
      </c>
      <c r="EH240" t="inlineStr">
        <is>
          <t>D</t>
        </is>
      </c>
    </row>
    <row r="241">
      <c r="A241" t="inlineStr">
        <is>
          <t>OH0023339128</t>
        </is>
      </c>
      <c r="B241" t="n">
        <v>78</v>
      </c>
      <c r="C241" t="n">
        <v>410781</v>
      </c>
      <c r="D241" t="inlineStr">
        <is>
          <t>TUCKER</t>
        </is>
      </c>
      <c r="E241" t="inlineStr">
        <is>
          <t>TOMMY</t>
        </is>
      </c>
      <c r="F241">
        <f>CONCATENATE(D241," ",LEFT(H241,4),"T=",AU241,"D=",AV241,"R=",AW241,"M=",AX241,"L=",AY241,"B=",AZ241)</f>
        <v/>
      </c>
      <c r="G241" t="inlineStr">
        <is>
          <t>L</t>
        </is>
      </c>
      <c r="I241" t="inlineStr">
        <is>
          <t>1981-10-14</t>
        </is>
      </c>
      <c r="J241" t="inlineStr">
        <is>
          <t>2015-09-24</t>
        </is>
      </c>
      <c r="K241" t="inlineStr">
        <is>
          <t>CONFIRMATION</t>
        </is>
      </c>
      <c r="M241" t="inlineStr">
        <is>
          <t>762 OAK KNOLL AVE SE</t>
        </is>
      </c>
      <c r="N241">
        <f>RIGHT(M241,LEN(M241)-FIND(" ",M241))</f>
        <v/>
      </c>
      <c r="P241" t="inlineStr">
        <is>
          <t>WARREN</t>
        </is>
      </c>
      <c r="Q241" t="inlineStr">
        <is>
          <t>OH</t>
        </is>
      </c>
      <c r="R241" t="n">
        <v>44484</v>
      </c>
      <c r="AD241" t="inlineStr">
        <is>
          <t>TRUMBULL CAREER &amp; TECH CENTER</t>
        </is>
      </c>
      <c r="AE241" t="inlineStr">
        <is>
          <t>WARREN CITY</t>
        </is>
      </c>
      <c r="AF241" t="inlineStr">
        <is>
          <t>WARREN CITY SD</t>
        </is>
      </c>
      <c r="AH241" t="n">
        <v>14</v>
      </c>
      <c r="AI241" t="n">
        <v>11</v>
      </c>
      <c r="AN241" t="inlineStr">
        <is>
          <t>WARREN</t>
        </is>
      </c>
      <c r="AO241" t="inlineStr">
        <is>
          <t>WARREN CITY 4A</t>
        </is>
      </c>
      <c r="AP241" t="inlineStr">
        <is>
          <t>78-P-ADI</t>
        </is>
      </c>
      <c r="AQ241" t="n">
        <v>9</v>
      </c>
      <c r="AR241" t="n">
        <v>64</v>
      </c>
      <c r="AS241" t="n">
        <v>32</v>
      </c>
      <c r="AU241">
        <f>COUNTA($BA$241:$EH$241)</f>
        <v/>
      </c>
      <c r="AV241">
        <f>COUNTIF($BA$241:$EH$241,"D")</f>
        <v/>
      </c>
      <c r="AW241">
        <f>COUNTIF($BA$241:$EH$241,"R")</f>
        <v/>
      </c>
      <c r="AX241">
        <f>IF(BN241="D",1,0)+IF(BO241="D",1,0)+IF(BT241="D",1,0)+IF(BU241="D",1,0)+IF(BW241="D",1,0)+IF(CC241="D",1,0)+IF(CD241="D",1,0)+IF(CE241="D",1,0)+IF(CF241="D",1,0)+IF(CL241="D",1,0)+IF(CM241="D",1,0)+IF(CQ241="D",1,0)+IF(CR241="D",1,0)+IF(CS241="D",1,0)+IF(CW241="D",1,0)+IF(CX241="D",1,0)+IF(DD241="D",1,0)+IF(DE241="D",1,0)+IF(DJ241="D",1,0)+IF(DK241="D",1,0)+IF(DO241="D",1,0)+IF(DP241="D",1,0)+IF(DQ241="D",1,0)+IF(DW241="D",1,0)+IF(DZ241="D",1,0)+IF(EH241="D",1,0)</f>
        <v/>
      </c>
      <c r="AY241">
        <f>IF(DJ241&lt;&gt;"",1,0)+IF(DK241&lt;&gt;"",1,0)+IF(DM241&lt;&gt;"",1,0)+IF(DO241&lt;&gt;"",1,0)+IF(DP241&lt;&gt;"",1,0)+IF(DQ241&lt;&gt;"",1,0)+IF(DS241&lt;&gt;"",1,0)+IF(DT241&lt;&gt;"",1,0)+IF(DV241&lt;&gt;"",1,0)+IF(DW241&lt;&gt;"",1,0)+IF(DX241&lt;&gt;"",1,0)+IF(DY241&lt;&gt;"",1,0)+IF(DZ241&lt;&gt;"",1,0)+IF(EB241&lt;&gt;"",1,0)+IF(EC241&lt;&gt;"",1,0)+IF(ED241&lt;&gt;"",1,0)+IF(EG241&lt;&gt;"",1,0)+IF(EH241&lt;&gt;"",1,0)</f>
        <v/>
      </c>
      <c r="AZ241">
        <f>IF(EH241&lt;&gt;"",1,0)</f>
        <v/>
      </c>
      <c r="BB241" t="inlineStr">
        <is>
          <t>WARREN-WARD 4</t>
        </is>
      </c>
    </row>
    <row r="242">
      <c r="A242" t="inlineStr">
        <is>
          <t>OH0027613019</t>
        </is>
      </c>
      <c r="B242" t="n">
        <v>78</v>
      </c>
      <c r="C242" t="n">
        <v>489358</v>
      </c>
      <c r="D242" t="inlineStr">
        <is>
          <t>TORRES</t>
        </is>
      </c>
      <c r="E242" t="inlineStr">
        <is>
          <t>KRYSTIBREA</t>
        </is>
      </c>
      <c r="F242">
        <f>CONCATENATE(D242," ",LEFT(H242,4),"T=",AU242,"D=",AV242,"R=",AW242,"M=",AX242,"L=",AY242,"B=",AZ242)</f>
        <v/>
      </c>
      <c r="G242" t="inlineStr">
        <is>
          <t>ANGELINA</t>
        </is>
      </c>
      <c r="I242" t="inlineStr">
        <is>
          <t>1996-09-27</t>
        </is>
      </c>
      <c r="J242" t="inlineStr">
        <is>
          <t>2024-09-17</t>
        </is>
      </c>
      <c r="K242" t="inlineStr">
        <is>
          <t>ACTIVE</t>
        </is>
      </c>
      <c r="M242" t="inlineStr">
        <is>
          <t>314 ADELAIDE AVE SE</t>
        </is>
      </c>
      <c r="N242">
        <f>RIGHT(M242,LEN(M242)-FIND(" ",M242))</f>
        <v/>
      </c>
      <c r="P242" t="inlineStr">
        <is>
          <t>WARREN</t>
        </is>
      </c>
      <c r="Q242" t="inlineStr">
        <is>
          <t>OH</t>
        </is>
      </c>
      <c r="R242" t="n">
        <v>44483</v>
      </c>
      <c r="AD242" t="inlineStr">
        <is>
          <t>TRUMBULL CAREER &amp; TECH CENTER</t>
        </is>
      </c>
      <c r="AE242" t="inlineStr">
        <is>
          <t>WARREN CITY</t>
        </is>
      </c>
      <c r="AF242" t="inlineStr">
        <is>
          <t>WARREN CITY SD</t>
        </is>
      </c>
      <c r="AH242" t="n">
        <v>14</v>
      </c>
      <c r="AI242" t="n">
        <v>11</v>
      </c>
      <c r="AN242" t="inlineStr">
        <is>
          <t>WARREN</t>
        </is>
      </c>
      <c r="AO242" t="inlineStr">
        <is>
          <t>WARREN CITY 4A</t>
        </is>
      </c>
      <c r="AP242" t="inlineStr">
        <is>
          <t>78-P-ADI</t>
        </is>
      </c>
      <c r="AQ242" t="n">
        <v>9</v>
      </c>
      <c r="AR242" t="n">
        <v>64</v>
      </c>
      <c r="AS242" t="n">
        <v>32</v>
      </c>
      <c r="AU242">
        <f>COUNTA($BA$242:$EH$242)</f>
        <v/>
      </c>
      <c r="AV242">
        <f>COUNTIF($BA$242:$EH$242,"D")</f>
        <v/>
      </c>
      <c r="AW242">
        <f>COUNTIF($BA$242:$EH$242,"R")</f>
        <v/>
      </c>
      <c r="AX242">
        <f>IF(BN242="D",1,0)+IF(BO242="D",1,0)+IF(BT242="D",1,0)+IF(BU242="D",1,0)+IF(BW242="D",1,0)+IF(CC242="D",1,0)+IF(CD242="D",1,0)+IF(CE242="D",1,0)+IF(CF242="D",1,0)+IF(CL242="D",1,0)+IF(CM242="D",1,0)+IF(CQ242="D",1,0)+IF(CR242="D",1,0)+IF(CS242="D",1,0)+IF(CW242="D",1,0)+IF(CX242="D",1,0)+IF(DD242="D",1,0)+IF(DE242="D",1,0)+IF(DJ242="D",1,0)+IF(DK242="D",1,0)+IF(DO242="D",1,0)+IF(DP242="D",1,0)+IF(DQ242="D",1,0)+IF(DW242="D",1,0)+IF(DZ242="D",1,0)+IF(EH242="D",1,0)</f>
        <v/>
      </c>
      <c r="AY242">
        <f>IF(DJ242&lt;&gt;"",1,0)+IF(DK242&lt;&gt;"",1,0)+IF(DM242&lt;&gt;"",1,0)+IF(DO242&lt;&gt;"",1,0)+IF(DP242&lt;&gt;"",1,0)+IF(DQ242&lt;&gt;"",1,0)+IF(DS242&lt;&gt;"",1,0)+IF(DT242&lt;&gt;"",1,0)+IF(DV242&lt;&gt;"",1,0)+IF(DW242&lt;&gt;"",1,0)+IF(DX242&lt;&gt;"",1,0)+IF(DY242&lt;&gt;"",1,0)+IF(DZ242&lt;&gt;"",1,0)+IF(EB242&lt;&gt;"",1,0)+IF(EC242&lt;&gt;"",1,0)+IF(ED242&lt;&gt;"",1,0)+IF(EG242&lt;&gt;"",1,0)+IF(EH242&lt;&gt;"",1,0)</f>
        <v/>
      </c>
      <c r="AZ242">
        <f>IF(EH242&lt;&gt;"",1,0)</f>
        <v/>
      </c>
      <c r="BB242" t="inlineStr">
        <is>
          <t>WARREN-WARD 4</t>
        </is>
      </c>
      <c r="DS242" t="inlineStr">
        <is>
          <t>D</t>
        </is>
      </c>
      <c r="DU242" t="inlineStr">
        <is>
          <t>X</t>
        </is>
      </c>
      <c r="DX242" t="inlineStr">
        <is>
          <t>X</t>
        </is>
      </c>
      <c r="EA242" t="inlineStr">
        <is>
          <t>X</t>
        </is>
      </c>
      <c r="ED242" t="inlineStr">
        <is>
          <t>X</t>
        </is>
      </c>
      <c r="EF242" t="inlineStr">
        <is>
          <t>X</t>
        </is>
      </c>
    </row>
    <row r="243">
      <c r="A243" t="inlineStr">
        <is>
          <t>OH0015810337</t>
        </is>
      </c>
      <c r="B243" t="n">
        <v>78</v>
      </c>
      <c r="C243" t="n">
        <v>304339</v>
      </c>
      <c r="D243" t="inlineStr">
        <is>
          <t>DURF</t>
        </is>
      </c>
      <c r="E243" t="inlineStr">
        <is>
          <t>CHARLES</t>
        </is>
      </c>
      <c r="F243">
        <f>CONCATENATE(D243," ",LEFT(H243,4),"T=",AU243,"D=",AV243,"R=",AW243,"M=",AX243,"L=",AY243,"B=",AZ243)</f>
        <v/>
      </c>
      <c r="G243" t="inlineStr">
        <is>
          <t>E</t>
        </is>
      </c>
      <c r="I243" t="inlineStr">
        <is>
          <t>1977-08-24</t>
        </is>
      </c>
      <c r="J243" t="inlineStr">
        <is>
          <t>2023-07-14</t>
        </is>
      </c>
      <c r="K243" t="inlineStr">
        <is>
          <t>ACTIVE</t>
        </is>
      </c>
      <c r="M243" t="inlineStr">
        <is>
          <t>430 HOMEWOOD AVE SE</t>
        </is>
      </c>
      <c r="N243">
        <f>RIGHT(M243,LEN(M243)-FIND(" ",M243))</f>
        <v/>
      </c>
      <c r="P243" t="inlineStr">
        <is>
          <t>WARREN</t>
        </is>
      </c>
      <c r="Q243" t="inlineStr">
        <is>
          <t>OH</t>
        </is>
      </c>
      <c r="R243" t="n">
        <v>44483</v>
      </c>
      <c r="AD243" t="inlineStr">
        <is>
          <t>TRUMBULL CAREER &amp; TECH CENTER</t>
        </is>
      </c>
      <c r="AE243" t="inlineStr">
        <is>
          <t>WARREN CITY</t>
        </is>
      </c>
      <c r="AF243" t="inlineStr">
        <is>
          <t>WARREN CITY SD</t>
        </is>
      </c>
      <c r="AH243" t="n">
        <v>14</v>
      </c>
      <c r="AI243" t="n">
        <v>11</v>
      </c>
      <c r="AN243" t="inlineStr">
        <is>
          <t>WARREN</t>
        </is>
      </c>
      <c r="AO243" t="inlineStr">
        <is>
          <t>WARREN CITY 4A</t>
        </is>
      </c>
      <c r="AP243" t="inlineStr">
        <is>
          <t>78-P-ADI</t>
        </is>
      </c>
      <c r="AQ243" t="n">
        <v>9</v>
      </c>
      <c r="AR243" t="n">
        <v>64</v>
      </c>
      <c r="AS243" t="n">
        <v>32</v>
      </c>
      <c r="AU243">
        <f>COUNTA($BA$243:$EH$243)</f>
        <v/>
      </c>
      <c r="AV243">
        <f>COUNTIF($BA$243:$EH$243,"D")</f>
        <v/>
      </c>
      <c r="AW243">
        <f>COUNTIF($BA$243:$EH$243,"R")</f>
        <v/>
      </c>
      <c r="AX243">
        <f>IF(BN243="D",1,0)+IF(BO243="D",1,0)+IF(BT243="D",1,0)+IF(BU243="D",1,0)+IF(BW243="D",1,0)+IF(CC243="D",1,0)+IF(CD243="D",1,0)+IF(CE243="D",1,0)+IF(CF243="D",1,0)+IF(CL243="D",1,0)+IF(CM243="D",1,0)+IF(CQ243="D",1,0)+IF(CR243="D",1,0)+IF(CS243="D",1,0)+IF(CW243="D",1,0)+IF(CX243="D",1,0)+IF(DD243="D",1,0)+IF(DE243="D",1,0)+IF(DJ243="D",1,0)+IF(DK243="D",1,0)+IF(DO243="D",1,0)+IF(DP243="D",1,0)+IF(DQ243="D",1,0)+IF(DW243="D",1,0)+IF(DZ243="D",1,0)+IF(EH243="D",1,0)</f>
        <v/>
      </c>
      <c r="AY243">
        <f>IF(DJ243&lt;&gt;"",1,0)+IF(DK243&lt;&gt;"",1,0)+IF(DM243&lt;&gt;"",1,0)+IF(DO243&lt;&gt;"",1,0)+IF(DP243&lt;&gt;"",1,0)+IF(DQ243&lt;&gt;"",1,0)+IF(DS243&lt;&gt;"",1,0)+IF(DT243&lt;&gt;"",1,0)+IF(DV243&lt;&gt;"",1,0)+IF(DW243&lt;&gt;"",1,0)+IF(DX243&lt;&gt;"",1,0)+IF(DY243&lt;&gt;"",1,0)+IF(DZ243&lt;&gt;"",1,0)+IF(EB243&lt;&gt;"",1,0)+IF(EC243&lt;&gt;"",1,0)+IF(ED243&lt;&gt;"",1,0)+IF(EG243&lt;&gt;"",1,0)+IF(EH243&lt;&gt;"",1,0)</f>
        <v/>
      </c>
      <c r="AZ243">
        <f>IF(EH243&lt;&gt;"",1,0)</f>
        <v/>
      </c>
      <c r="BB243" t="inlineStr">
        <is>
          <t>WARREN-WARD 4</t>
        </is>
      </c>
      <c r="BL243" t="inlineStr">
        <is>
          <t>X</t>
        </is>
      </c>
      <c r="CA243" t="inlineStr">
        <is>
          <t>X</t>
        </is>
      </c>
      <c r="CN243" t="inlineStr">
        <is>
          <t>X</t>
        </is>
      </c>
      <c r="CP243" t="inlineStr">
        <is>
          <t>X</t>
        </is>
      </c>
      <c r="DN243" t="inlineStr">
        <is>
          <t>X</t>
        </is>
      </c>
      <c r="EF243" t="inlineStr">
        <is>
          <t>X</t>
        </is>
      </c>
    </row>
    <row r="244">
      <c r="A244" t="inlineStr">
        <is>
          <t>OH0015806247</t>
        </is>
      </c>
      <c r="B244" t="n">
        <v>78</v>
      </c>
      <c r="C244" t="n">
        <v>310472</v>
      </c>
      <c r="D244" t="inlineStr">
        <is>
          <t>SWEET</t>
        </is>
      </c>
      <c r="E244" t="inlineStr">
        <is>
          <t>JAMES</t>
        </is>
      </c>
      <c r="F244">
        <f>CONCATENATE(D244," ",LEFT(H244,4),"T=",AU244,"D=",AV244,"R=",AW244,"M=",AX244,"L=",AY244,"B=",AZ244)</f>
        <v/>
      </c>
      <c r="G244" t="inlineStr">
        <is>
          <t>R</t>
        </is>
      </c>
      <c r="I244" t="inlineStr">
        <is>
          <t>1984-09-07</t>
        </is>
      </c>
      <c r="J244" t="inlineStr">
        <is>
          <t>2002-09-09</t>
        </is>
      </c>
      <c r="K244" t="inlineStr">
        <is>
          <t>ACTIVE</t>
        </is>
      </c>
      <c r="L244" t="inlineStr">
        <is>
          <t>D</t>
        </is>
      </c>
      <c r="M244" t="inlineStr">
        <is>
          <t>399 KENILWORTH AVE SE</t>
        </is>
      </c>
      <c r="N244">
        <f>RIGHT(M244,LEN(M244)-FIND(" ",M244))</f>
        <v/>
      </c>
      <c r="P244" t="inlineStr">
        <is>
          <t>WARREN</t>
        </is>
      </c>
      <c r="Q244" t="inlineStr">
        <is>
          <t>OH</t>
        </is>
      </c>
      <c r="R244" t="n">
        <v>44483</v>
      </c>
      <c r="AD244" t="inlineStr">
        <is>
          <t>TRUMBULL CAREER &amp; TECH CENTER</t>
        </is>
      </c>
      <c r="AE244" t="inlineStr">
        <is>
          <t>WARREN CITY</t>
        </is>
      </c>
      <c r="AF244" t="inlineStr">
        <is>
          <t>WARREN CITY SD</t>
        </is>
      </c>
      <c r="AH244" t="n">
        <v>14</v>
      </c>
      <c r="AI244" t="n">
        <v>11</v>
      </c>
      <c r="AN244" t="inlineStr">
        <is>
          <t>WARREN</t>
        </is>
      </c>
      <c r="AO244" t="inlineStr">
        <is>
          <t>WARREN CITY 4A</t>
        </is>
      </c>
      <c r="AP244" t="inlineStr">
        <is>
          <t>78-P-ADI</t>
        </is>
      </c>
      <c r="AQ244" t="n">
        <v>9</v>
      </c>
      <c r="AR244" t="n">
        <v>64</v>
      </c>
      <c r="AS244" t="n">
        <v>32</v>
      </c>
      <c r="AU244">
        <f>COUNTA($BA$244:$EH$244)</f>
        <v/>
      </c>
      <c r="AV244">
        <f>COUNTIF($BA$244:$EH$244,"D")</f>
        <v/>
      </c>
      <c r="AW244">
        <f>COUNTIF($BA$244:$EH$244,"R")</f>
        <v/>
      </c>
      <c r="AX244">
        <f>IF(BN244="D",1,0)+IF(BO244="D",1,0)+IF(BT244="D",1,0)+IF(BU244="D",1,0)+IF(BW244="D",1,0)+IF(CC244="D",1,0)+IF(CD244="D",1,0)+IF(CE244="D",1,0)+IF(CF244="D",1,0)+IF(CL244="D",1,0)+IF(CM244="D",1,0)+IF(CQ244="D",1,0)+IF(CR244="D",1,0)+IF(CS244="D",1,0)+IF(CW244="D",1,0)+IF(CX244="D",1,0)+IF(DD244="D",1,0)+IF(DE244="D",1,0)+IF(DJ244="D",1,0)+IF(DK244="D",1,0)+IF(DO244="D",1,0)+IF(DP244="D",1,0)+IF(DQ244="D",1,0)+IF(DW244="D",1,0)+IF(DZ244="D",1,0)+IF(EH244="D",1,0)</f>
        <v/>
      </c>
      <c r="AY244">
        <f>IF(DJ244&lt;&gt;"",1,0)+IF(DK244&lt;&gt;"",1,0)+IF(DM244&lt;&gt;"",1,0)+IF(DO244&lt;&gt;"",1,0)+IF(DP244&lt;&gt;"",1,0)+IF(DQ244&lt;&gt;"",1,0)+IF(DS244&lt;&gt;"",1,0)+IF(DT244&lt;&gt;"",1,0)+IF(DV244&lt;&gt;"",1,0)+IF(DW244&lt;&gt;"",1,0)+IF(DX244&lt;&gt;"",1,0)+IF(DY244&lt;&gt;"",1,0)+IF(DZ244&lt;&gt;"",1,0)+IF(EB244&lt;&gt;"",1,0)+IF(EC244&lt;&gt;"",1,0)+IF(ED244&lt;&gt;"",1,0)+IF(EG244&lt;&gt;"",1,0)+IF(EH244&lt;&gt;"",1,0)</f>
        <v/>
      </c>
      <c r="AZ244">
        <f>IF(EH244&lt;&gt;"",1,0)</f>
        <v/>
      </c>
      <c r="BB244" t="inlineStr">
        <is>
          <t>WARREN-WARD 4</t>
        </is>
      </c>
      <c r="BH244" t="inlineStr">
        <is>
          <t>X</t>
        </is>
      </c>
      <c r="BJ244" t="inlineStr">
        <is>
          <t>X</t>
        </is>
      </c>
      <c r="BK244" t="inlineStr">
        <is>
          <t>X</t>
        </is>
      </c>
      <c r="BL244" t="inlineStr">
        <is>
          <t>X</t>
        </is>
      </c>
      <c r="BP244" t="inlineStr">
        <is>
          <t>X</t>
        </is>
      </c>
      <c r="BR244" t="inlineStr">
        <is>
          <t>X</t>
        </is>
      </c>
      <c r="BS244" t="inlineStr">
        <is>
          <t>X</t>
        </is>
      </c>
      <c r="BT244" t="inlineStr">
        <is>
          <t>X</t>
        </is>
      </c>
      <c r="BV244" t="inlineStr">
        <is>
          <t>X</t>
        </is>
      </c>
      <c r="BY244" t="inlineStr">
        <is>
          <t>D</t>
        </is>
      </c>
      <c r="CA244" t="inlineStr">
        <is>
          <t>X</t>
        </is>
      </c>
      <c r="CK244" t="inlineStr">
        <is>
          <t>X</t>
        </is>
      </c>
      <c r="CL244" t="inlineStr">
        <is>
          <t>D</t>
        </is>
      </c>
      <c r="CN244" t="inlineStr">
        <is>
          <t>X</t>
        </is>
      </c>
      <c r="CO244" t="inlineStr">
        <is>
          <t>D</t>
        </is>
      </c>
      <c r="CP244" t="inlineStr">
        <is>
          <t>X</t>
        </is>
      </c>
      <c r="CQ244" t="inlineStr">
        <is>
          <t>D</t>
        </is>
      </c>
      <c r="CT244" t="inlineStr">
        <is>
          <t>X</t>
        </is>
      </c>
      <c r="CU244" t="inlineStr">
        <is>
          <t>D</t>
        </is>
      </c>
      <c r="CV244" t="inlineStr">
        <is>
          <t>X</t>
        </is>
      </c>
      <c r="CW244" t="inlineStr">
        <is>
          <t>D</t>
        </is>
      </c>
      <c r="CY244" t="inlineStr">
        <is>
          <t>X</t>
        </is>
      </c>
      <c r="CZ244" t="inlineStr">
        <is>
          <t>D</t>
        </is>
      </c>
      <c r="DC244" t="inlineStr">
        <is>
          <t>X</t>
        </is>
      </c>
      <c r="DD244" t="inlineStr">
        <is>
          <t>D</t>
        </is>
      </c>
      <c r="DF244" t="inlineStr">
        <is>
          <t>X</t>
        </is>
      </c>
      <c r="DG244" t="inlineStr">
        <is>
          <t>D</t>
        </is>
      </c>
      <c r="DI244" t="inlineStr">
        <is>
          <t>X</t>
        </is>
      </c>
      <c r="DJ244" t="inlineStr">
        <is>
          <t>D</t>
        </is>
      </c>
      <c r="DL244" t="inlineStr">
        <is>
          <t>X</t>
        </is>
      </c>
      <c r="DM244" t="inlineStr">
        <is>
          <t>D</t>
        </is>
      </c>
      <c r="DN244" t="inlineStr">
        <is>
          <t>X</t>
        </is>
      </c>
      <c r="DR244" t="inlineStr">
        <is>
          <t>X</t>
        </is>
      </c>
      <c r="DS244" t="inlineStr">
        <is>
          <t>D</t>
        </is>
      </c>
      <c r="DT244" t="inlineStr">
        <is>
          <t>D</t>
        </is>
      </c>
      <c r="DU244" t="inlineStr">
        <is>
          <t>X</t>
        </is>
      </c>
      <c r="DW244" t="inlineStr">
        <is>
          <t>D</t>
        </is>
      </c>
      <c r="DX244" t="inlineStr">
        <is>
          <t>X</t>
        </is>
      </c>
      <c r="EA244" t="inlineStr">
        <is>
          <t>X</t>
        </is>
      </c>
      <c r="ED244" t="inlineStr">
        <is>
          <t>D</t>
        </is>
      </c>
      <c r="EF244" t="inlineStr">
        <is>
          <t>X</t>
        </is>
      </c>
      <c r="EH244" t="inlineStr">
        <is>
          <t>D</t>
        </is>
      </c>
    </row>
    <row r="245">
      <c r="A245" t="inlineStr">
        <is>
          <t>OH0021291573</t>
        </is>
      </c>
      <c r="B245" t="n">
        <v>78</v>
      </c>
      <c r="C245" t="n">
        <v>378253</v>
      </c>
      <c r="D245" t="inlineStr">
        <is>
          <t>NEWLOVE</t>
        </is>
      </c>
      <c r="E245" t="inlineStr">
        <is>
          <t>KATHLEEN</t>
        </is>
      </c>
      <c r="F245">
        <f>CONCATENATE(D245," ",LEFT(H245,4),"T=",AU245,"D=",AV245,"R=",AW245,"M=",AX245,"L=",AY245,"B=",AZ245)</f>
        <v/>
      </c>
      <c r="G245" t="inlineStr">
        <is>
          <t>J</t>
        </is>
      </c>
      <c r="I245" t="inlineStr">
        <is>
          <t>1975-12-23</t>
        </is>
      </c>
      <c r="J245" t="inlineStr">
        <is>
          <t>2010-11-30</t>
        </is>
      </c>
      <c r="K245" t="inlineStr">
        <is>
          <t>ACTIVE</t>
        </is>
      </c>
      <c r="M245" t="inlineStr">
        <is>
          <t>446 KENILWORTH AVE SE</t>
        </is>
      </c>
      <c r="N245">
        <f>RIGHT(M245,LEN(M245)-FIND(" ",M245))</f>
        <v/>
      </c>
      <c r="P245" t="inlineStr">
        <is>
          <t>WARREN</t>
        </is>
      </c>
      <c r="Q245" t="inlineStr">
        <is>
          <t>OH</t>
        </is>
      </c>
      <c r="R245" t="n">
        <v>44483</v>
      </c>
      <c r="AD245" t="inlineStr">
        <is>
          <t>TRUMBULL CAREER &amp; TECH CENTER</t>
        </is>
      </c>
      <c r="AE245" t="inlineStr">
        <is>
          <t>WARREN CITY</t>
        </is>
      </c>
      <c r="AF245" t="inlineStr">
        <is>
          <t>WARREN CITY SD</t>
        </is>
      </c>
      <c r="AH245" t="n">
        <v>14</v>
      </c>
      <c r="AI245" t="n">
        <v>11</v>
      </c>
      <c r="AN245" t="inlineStr">
        <is>
          <t>WARREN</t>
        </is>
      </c>
      <c r="AO245" t="inlineStr">
        <is>
          <t>WARREN CITY 4A</t>
        </is>
      </c>
      <c r="AP245" t="inlineStr">
        <is>
          <t>78-P-ADI</t>
        </is>
      </c>
      <c r="AQ245" t="n">
        <v>9</v>
      </c>
      <c r="AR245" t="n">
        <v>64</v>
      </c>
      <c r="AS245" t="n">
        <v>32</v>
      </c>
      <c r="AU245">
        <f>COUNTA($BA$245:$EH$245)</f>
        <v/>
      </c>
      <c r="AV245">
        <f>COUNTIF($BA$245:$EH$245,"D")</f>
        <v/>
      </c>
      <c r="AW245">
        <f>COUNTIF($BA$245:$EH$245,"R")</f>
        <v/>
      </c>
      <c r="AX245">
        <f>IF(BN245="D",1,0)+IF(BO245="D",1,0)+IF(BT245="D",1,0)+IF(BU245="D",1,0)+IF(BW245="D",1,0)+IF(CC245="D",1,0)+IF(CD245="D",1,0)+IF(CE245="D",1,0)+IF(CF245="D",1,0)+IF(CL245="D",1,0)+IF(CM245="D",1,0)+IF(CQ245="D",1,0)+IF(CR245="D",1,0)+IF(CS245="D",1,0)+IF(CW245="D",1,0)+IF(CX245="D",1,0)+IF(DD245="D",1,0)+IF(DE245="D",1,0)+IF(DJ245="D",1,0)+IF(DK245="D",1,0)+IF(DO245="D",1,0)+IF(DP245="D",1,0)+IF(DQ245="D",1,0)+IF(DW245="D",1,0)+IF(DZ245="D",1,0)+IF(EH245="D",1,0)</f>
        <v/>
      </c>
      <c r="AY245">
        <f>IF(DJ245&lt;&gt;"",1,0)+IF(DK245&lt;&gt;"",1,0)+IF(DM245&lt;&gt;"",1,0)+IF(DO245&lt;&gt;"",1,0)+IF(DP245&lt;&gt;"",1,0)+IF(DQ245&lt;&gt;"",1,0)+IF(DS245&lt;&gt;"",1,0)+IF(DT245&lt;&gt;"",1,0)+IF(DV245&lt;&gt;"",1,0)+IF(DW245&lt;&gt;"",1,0)+IF(DX245&lt;&gt;"",1,0)+IF(DY245&lt;&gt;"",1,0)+IF(DZ245&lt;&gt;"",1,0)+IF(EB245&lt;&gt;"",1,0)+IF(EC245&lt;&gt;"",1,0)+IF(ED245&lt;&gt;"",1,0)+IF(EG245&lt;&gt;"",1,0)+IF(EH245&lt;&gt;"",1,0)</f>
        <v/>
      </c>
      <c r="AZ245">
        <f>IF(EH245&lt;&gt;"",1,0)</f>
        <v/>
      </c>
      <c r="BB245" t="inlineStr">
        <is>
          <t>WARREN-WARD 4</t>
        </is>
      </c>
      <c r="CP245" t="inlineStr">
        <is>
          <t>X</t>
        </is>
      </c>
      <c r="DC245" t="inlineStr">
        <is>
          <t>X</t>
        </is>
      </c>
      <c r="DI245" t="inlineStr">
        <is>
          <t>X</t>
        </is>
      </c>
      <c r="DN245" t="inlineStr">
        <is>
          <t>X</t>
        </is>
      </c>
      <c r="EF245" t="inlineStr">
        <is>
          <t>X</t>
        </is>
      </c>
    </row>
    <row r="246">
      <c r="A246" t="inlineStr">
        <is>
          <t>OH0025572886</t>
        </is>
      </c>
      <c r="B246" t="n">
        <v>78</v>
      </c>
      <c r="C246" t="n">
        <v>446521</v>
      </c>
      <c r="D246" t="inlineStr">
        <is>
          <t>MCADAMS</t>
        </is>
      </c>
      <c r="E246" t="inlineStr">
        <is>
          <t>SAMANTHA</t>
        </is>
      </c>
      <c r="F246">
        <f>CONCATENATE(D246," ",LEFT(H246,4),"T=",AU246,"D=",AV246,"R=",AW246,"M=",AX246,"L=",AY246,"B=",AZ246)</f>
        <v/>
      </c>
      <c r="G246" t="inlineStr">
        <is>
          <t>KAY</t>
        </is>
      </c>
      <c r="I246" t="inlineStr">
        <is>
          <t>1997-05-24</t>
        </is>
      </c>
      <c r="J246" t="inlineStr">
        <is>
          <t>2020-11-02</t>
        </is>
      </c>
      <c r="K246" t="inlineStr">
        <is>
          <t>ACTIVE</t>
        </is>
      </c>
      <c r="M246" t="inlineStr">
        <is>
          <t>1169 YOUNGSTOWN RD SE</t>
        </is>
      </c>
      <c r="N246">
        <f>RIGHT(M246,LEN(M246)-FIND(" ",M246))</f>
        <v/>
      </c>
      <c r="P246" t="inlineStr">
        <is>
          <t>WARREN</t>
        </is>
      </c>
      <c r="Q246" t="inlineStr">
        <is>
          <t>OH</t>
        </is>
      </c>
      <c r="R246" t="n">
        <v>44484</v>
      </c>
      <c r="AD246" t="inlineStr">
        <is>
          <t>TRUMBULL CAREER &amp; TECH CENTER</t>
        </is>
      </c>
      <c r="AE246" t="inlineStr">
        <is>
          <t>WARREN CITY</t>
        </is>
      </c>
      <c r="AF246" t="inlineStr">
        <is>
          <t>WARREN CITY SD</t>
        </is>
      </c>
      <c r="AH246" t="n">
        <v>14</v>
      </c>
      <c r="AI246" t="n">
        <v>11</v>
      </c>
      <c r="AN246" t="inlineStr">
        <is>
          <t>WARREN</t>
        </is>
      </c>
      <c r="AO246" t="inlineStr">
        <is>
          <t>WARREN CITY 4A</t>
        </is>
      </c>
      <c r="AP246" t="inlineStr">
        <is>
          <t>78-P-ADI</t>
        </is>
      </c>
      <c r="AQ246" t="n">
        <v>9</v>
      </c>
      <c r="AR246" t="n">
        <v>64</v>
      </c>
      <c r="AS246" t="n">
        <v>32</v>
      </c>
      <c r="AU246">
        <f>COUNTA($BA$246:$EH$246)</f>
        <v/>
      </c>
      <c r="AV246">
        <f>COUNTIF($BA$246:$EH$246,"D")</f>
        <v/>
      </c>
      <c r="AW246">
        <f>COUNTIF($BA$246:$EH$246,"R")</f>
        <v/>
      </c>
      <c r="AX246">
        <f>IF(BN246="D",1,0)+IF(BO246="D",1,0)+IF(BT246="D",1,0)+IF(BU246="D",1,0)+IF(BW246="D",1,0)+IF(CC246="D",1,0)+IF(CD246="D",1,0)+IF(CE246="D",1,0)+IF(CF246="D",1,0)+IF(CL246="D",1,0)+IF(CM246="D",1,0)+IF(CQ246="D",1,0)+IF(CR246="D",1,0)+IF(CS246="D",1,0)+IF(CW246="D",1,0)+IF(CX246="D",1,0)+IF(DD246="D",1,0)+IF(DE246="D",1,0)+IF(DJ246="D",1,0)+IF(DK246="D",1,0)+IF(DO246="D",1,0)+IF(DP246="D",1,0)+IF(DQ246="D",1,0)+IF(DW246="D",1,0)+IF(DZ246="D",1,0)+IF(EH246="D",1,0)</f>
        <v/>
      </c>
      <c r="AY246">
        <f>IF(DJ246&lt;&gt;"",1,0)+IF(DK246&lt;&gt;"",1,0)+IF(DM246&lt;&gt;"",1,0)+IF(DO246&lt;&gt;"",1,0)+IF(DP246&lt;&gt;"",1,0)+IF(DQ246&lt;&gt;"",1,0)+IF(DS246&lt;&gt;"",1,0)+IF(DT246&lt;&gt;"",1,0)+IF(DV246&lt;&gt;"",1,0)+IF(DW246&lt;&gt;"",1,0)+IF(DX246&lt;&gt;"",1,0)+IF(DY246&lt;&gt;"",1,0)+IF(DZ246&lt;&gt;"",1,0)+IF(EB246&lt;&gt;"",1,0)+IF(EC246&lt;&gt;"",1,0)+IF(ED246&lt;&gt;"",1,0)+IF(EG246&lt;&gt;"",1,0)+IF(EH246&lt;&gt;"",1,0)</f>
        <v/>
      </c>
      <c r="AZ246">
        <f>IF(EH246&lt;&gt;"",1,0)</f>
        <v/>
      </c>
      <c r="BB246" t="inlineStr">
        <is>
          <t>WARREN-WARD 4</t>
        </is>
      </c>
    </row>
    <row r="247">
      <c r="A247" t="inlineStr">
        <is>
          <t>OH0024237214</t>
        </is>
      </c>
      <c r="B247" t="n">
        <v>78</v>
      </c>
      <c r="C247" t="n">
        <v>424411</v>
      </c>
      <c r="D247" t="inlineStr">
        <is>
          <t>SOTAK</t>
        </is>
      </c>
      <c r="E247" t="inlineStr">
        <is>
          <t>CHASE</t>
        </is>
      </c>
      <c r="F247">
        <f>CONCATENATE(D247," ",LEFT(H247,4),"T=",AU247,"D=",AV247,"R=",AW247,"M=",AX247,"L=",AY247,"B=",AZ247)</f>
        <v/>
      </c>
      <c r="G247" t="inlineStr">
        <is>
          <t>ALLEN</t>
        </is>
      </c>
      <c r="I247" t="inlineStr">
        <is>
          <t>1998-09-10</t>
        </is>
      </c>
      <c r="J247" t="inlineStr">
        <is>
          <t>2017-03-01</t>
        </is>
      </c>
      <c r="K247" t="inlineStr">
        <is>
          <t>CONFIRMATION</t>
        </is>
      </c>
      <c r="M247" t="inlineStr">
        <is>
          <t>1749 YOUNGSTOWN RD SE</t>
        </is>
      </c>
      <c r="N247">
        <f>RIGHT(M247,LEN(M247)-FIND(" ",M247))</f>
        <v/>
      </c>
      <c r="P247" t="inlineStr">
        <is>
          <t>WARREN</t>
        </is>
      </c>
      <c r="Q247" t="inlineStr">
        <is>
          <t>OH</t>
        </is>
      </c>
      <c r="R247" t="n">
        <v>44484</v>
      </c>
      <c r="AD247" t="inlineStr">
        <is>
          <t>TRUMBULL CAREER &amp; TECH CENTER</t>
        </is>
      </c>
      <c r="AE247" t="inlineStr">
        <is>
          <t>WARREN CITY</t>
        </is>
      </c>
      <c r="AF247" t="inlineStr">
        <is>
          <t>WARREN CITY SD</t>
        </is>
      </c>
      <c r="AH247" t="n">
        <v>14</v>
      </c>
      <c r="AI247" t="n">
        <v>11</v>
      </c>
      <c r="AN247" t="inlineStr">
        <is>
          <t>WARREN</t>
        </is>
      </c>
      <c r="AO247" t="inlineStr">
        <is>
          <t>WARREN CITY 4A</t>
        </is>
      </c>
      <c r="AP247" t="inlineStr">
        <is>
          <t>78-P-ADI</t>
        </is>
      </c>
      <c r="AQ247" t="n">
        <v>9</v>
      </c>
      <c r="AR247" t="n">
        <v>64</v>
      </c>
      <c r="AS247" t="n">
        <v>32</v>
      </c>
      <c r="AU247">
        <f>COUNTA($BA$247:$EH$247)</f>
        <v/>
      </c>
      <c r="AV247">
        <f>COUNTIF($BA$247:$EH$247,"D")</f>
        <v/>
      </c>
      <c r="AW247">
        <f>COUNTIF($BA$247:$EH$247,"R")</f>
        <v/>
      </c>
      <c r="AX247">
        <f>IF(BN247="D",1,0)+IF(BO247="D",1,0)+IF(BT247="D",1,0)+IF(BU247="D",1,0)+IF(BW247="D",1,0)+IF(CC247="D",1,0)+IF(CD247="D",1,0)+IF(CE247="D",1,0)+IF(CF247="D",1,0)+IF(CL247="D",1,0)+IF(CM247="D",1,0)+IF(CQ247="D",1,0)+IF(CR247="D",1,0)+IF(CS247="D",1,0)+IF(CW247="D",1,0)+IF(CX247="D",1,0)+IF(DD247="D",1,0)+IF(DE247="D",1,0)+IF(DJ247="D",1,0)+IF(DK247="D",1,0)+IF(DO247="D",1,0)+IF(DP247="D",1,0)+IF(DQ247="D",1,0)+IF(DW247="D",1,0)+IF(DZ247="D",1,0)+IF(EH247="D",1,0)</f>
        <v/>
      </c>
      <c r="AY247">
        <f>IF(DJ247&lt;&gt;"",1,0)+IF(DK247&lt;&gt;"",1,0)+IF(DM247&lt;&gt;"",1,0)+IF(DO247&lt;&gt;"",1,0)+IF(DP247&lt;&gt;"",1,0)+IF(DQ247&lt;&gt;"",1,0)+IF(DS247&lt;&gt;"",1,0)+IF(DT247&lt;&gt;"",1,0)+IF(DV247&lt;&gt;"",1,0)+IF(DW247&lt;&gt;"",1,0)+IF(DX247&lt;&gt;"",1,0)+IF(DY247&lt;&gt;"",1,0)+IF(DZ247&lt;&gt;"",1,0)+IF(EB247&lt;&gt;"",1,0)+IF(EC247&lt;&gt;"",1,0)+IF(ED247&lt;&gt;"",1,0)+IF(EG247&lt;&gt;"",1,0)+IF(EH247&lt;&gt;"",1,0)</f>
        <v/>
      </c>
      <c r="AZ247">
        <f>IF(EH247&lt;&gt;"",1,0)</f>
        <v/>
      </c>
      <c r="BB247" t="inlineStr">
        <is>
          <t>WARREN-WARD 4</t>
        </is>
      </c>
    </row>
    <row r="248">
      <c r="A248" t="inlineStr">
        <is>
          <t>OH0015768304</t>
        </is>
      </c>
      <c r="B248" t="n">
        <v>78</v>
      </c>
      <c r="C248" t="n">
        <v>255744</v>
      </c>
      <c r="D248" t="inlineStr">
        <is>
          <t>SMITH</t>
        </is>
      </c>
      <c r="E248" t="inlineStr">
        <is>
          <t>LISA</t>
        </is>
      </c>
      <c r="F248">
        <f>CONCATENATE(D248," ",LEFT(H248,4),"T=",AU248,"D=",AV248,"R=",AW248,"M=",AX248,"L=",AY248,"B=",AZ248)</f>
        <v/>
      </c>
      <c r="G248" t="inlineStr">
        <is>
          <t>RAE</t>
        </is>
      </c>
      <c r="I248" t="inlineStr">
        <is>
          <t>1967-09-29</t>
        </is>
      </c>
      <c r="J248" t="inlineStr">
        <is>
          <t>2015-07-03</t>
        </is>
      </c>
      <c r="K248" t="inlineStr">
        <is>
          <t>ACTIVE</t>
        </is>
      </c>
      <c r="L248" t="inlineStr">
        <is>
          <t>D</t>
        </is>
      </c>
      <c r="M248" t="inlineStr">
        <is>
          <t>786 EAST AVE SE</t>
        </is>
      </c>
      <c r="N248">
        <f>RIGHT(M248,LEN(M248)-FIND(" ",M248))</f>
        <v/>
      </c>
      <c r="P248" t="inlineStr">
        <is>
          <t>WARREN</t>
        </is>
      </c>
      <c r="Q248" t="inlineStr">
        <is>
          <t>OH</t>
        </is>
      </c>
      <c r="R248" t="n">
        <v>44484</v>
      </c>
      <c r="AD248" t="inlineStr">
        <is>
          <t>TRUMBULL CAREER &amp; TECH CENTER</t>
        </is>
      </c>
      <c r="AE248" t="inlineStr">
        <is>
          <t>WARREN CITY</t>
        </is>
      </c>
      <c r="AF248" t="inlineStr">
        <is>
          <t>WARREN CITY SD</t>
        </is>
      </c>
      <c r="AH248" t="n">
        <v>14</v>
      </c>
      <c r="AI248" t="n">
        <v>11</v>
      </c>
      <c r="AN248" t="inlineStr">
        <is>
          <t>WARREN</t>
        </is>
      </c>
      <c r="AO248" t="inlineStr">
        <is>
          <t>WARREN CITY 4A</t>
        </is>
      </c>
      <c r="AP248" t="inlineStr">
        <is>
          <t>78-P-ADI</t>
        </is>
      </c>
      <c r="AQ248" t="n">
        <v>9</v>
      </c>
      <c r="AR248" t="n">
        <v>64</v>
      </c>
      <c r="AS248" t="n">
        <v>32</v>
      </c>
      <c r="AU248">
        <f>COUNTA($BA$248:$EH$248)</f>
        <v/>
      </c>
      <c r="AV248">
        <f>COUNTIF($BA$248:$EH$248,"D")</f>
        <v/>
      </c>
      <c r="AW248">
        <f>COUNTIF($BA$248:$EH$248,"R")</f>
        <v/>
      </c>
      <c r="AX248">
        <f>IF(BN248="D",1,0)+IF(BO248="D",1,0)+IF(BT248="D",1,0)+IF(BU248="D",1,0)+IF(BW248="D",1,0)+IF(CC248="D",1,0)+IF(CD248="D",1,0)+IF(CE248="D",1,0)+IF(CF248="D",1,0)+IF(CL248="D",1,0)+IF(CM248="D",1,0)+IF(CQ248="D",1,0)+IF(CR248="D",1,0)+IF(CS248="D",1,0)+IF(CW248="D",1,0)+IF(CX248="D",1,0)+IF(DD248="D",1,0)+IF(DE248="D",1,0)+IF(DJ248="D",1,0)+IF(DK248="D",1,0)+IF(DO248="D",1,0)+IF(DP248="D",1,0)+IF(DQ248="D",1,0)+IF(DW248="D",1,0)+IF(DZ248="D",1,0)+IF(EH248="D",1,0)</f>
        <v/>
      </c>
      <c r="AY248">
        <f>IF(DJ248&lt;&gt;"",1,0)+IF(DK248&lt;&gt;"",1,0)+IF(DM248&lt;&gt;"",1,0)+IF(DO248&lt;&gt;"",1,0)+IF(DP248&lt;&gt;"",1,0)+IF(DQ248&lt;&gt;"",1,0)+IF(DS248&lt;&gt;"",1,0)+IF(DT248&lt;&gt;"",1,0)+IF(DV248&lt;&gt;"",1,0)+IF(DW248&lt;&gt;"",1,0)+IF(DX248&lt;&gt;"",1,0)+IF(DY248&lt;&gt;"",1,0)+IF(DZ248&lt;&gt;"",1,0)+IF(EB248&lt;&gt;"",1,0)+IF(EC248&lt;&gt;"",1,0)+IF(ED248&lt;&gt;"",1,0)+IF(EG248&lt;&gt;"",1,0)+IF(EH248&lt;&gt;"",1,0)</f>
        <v/>
      </c>
      <c r="AZ248">
        <f>IF(EH248&lt;&gt;"",1,0)</f>
        <v/>
      </c>
      <c r="BB248" t="inlineStr">
        <is>
          <t>WARREN-WARD 4</t>
        </is>
      </c>
      <c r="BC248" t="inlineStr">
        <is>
          <t>X</t>
        </is>
      </c>
      <c r="BD248" t="inlineStr">
        <is>
          <t>X</t>
        </is>
      </c>
      <c r="BE248" t="inlineStr">
        <is>
          <t>X</t>
        </is>
      </c>
      <c r="BF248" t="inlineStr">
        <is>
          <t>X</t>
        </is>
      </c>
      <c r="BI248" t="inlineStr">
        <is>
          <t>X</t>
        </is>
      </c>
      <c r="BJ248" t="inlineStr">
        <is>
          <t>X</t>
        </is>
      </c>
      <c r="BL248" t="inlineStr">
        <is>
          <t>X</t>
        </is>
      </c>
      <c r="CA248" t="inlineStr">
        <is>
          <t>X</t>
        </is>
      </c>
      <c r="CP248" t="inlineStr">
        <is>
          <t>X</t>
        </is>
      </c>
      <c r="DC248" t="inlineStr">
        <is>
          <t>X</t>
        </is>
      </c>
      <c r="DM248" t="inlineStr">
        <is>
          <t>D</t>
        </is>
      </c>
      <c r="DN248" t="inlineStr">
        <is>
          <t>X</t>
        </is>
      </c>
      <c r="DS248" t="inlineStr">
        <is>
          <t>D</t>
        </is>
      </c>
      <c r="DU248" t="inlineStr">
        <is>
          <t>X</t>
        </is>
      </c>
      <c r="EA248" t="inlineStr">
        <is>
          <t>X</t>
        </is>
      </c>
      <c r="ED248" t="inlineStr">
        <is>
          <t>D</t>
        </is>
      </c>
      <c r="EF248" t="inlineStr">
        <is>
          <t>X</t>
        </is>
      </c>
    </row>
    <row r="249">
      <c r="A249" t="inlineStr">
        <is>
          <t>OH0015698034</t>
        </is>
      </c>
      <c r="B249" t="n">
        <v>78</v>
      </c>
      <c r="C249" t="n">
        <v>154904</v>
      </c>
      <c r="D249" t="inlineStr">
        <is>
          <t>MARSH</t>
        </is>
      </c>
      <c r="E249" t="inlineStr">
        <is>
          <t>CAROLYN</t>
        </is>
      </c>
      <c r="F249">
        <f>CONCATENATE(D249," ",LEFT(H249,4),"T=",AU249,"D=",AV249,"R=",AW249,"M=",AX249,"L=",AY249,"B=",AZ249)</f>
        <v/>
      </c>
      <c r="G249" t="inlineStr">
        <is>
          <t>JEAN</t>
        </is>
      </c>
      <c r="I249" t="inlineStr">
        <is>
          <t>1965-02-23</t>
        </is>
      </c>
      <c r="J249" t="inlineStr">
        <is>
          <t>2016-04-04</t>
        </is>
      </c>
      <c r="K249" t="inlineStr">
        <is>
          <t>ACTIVE</t>
        </is>
      </c>
      <c r="L249" t="inlineStr">
        <is>
          <t>D</t>
        </is>
      </c>
      <c r="M249" t="inlineStr">
        <is>
          <t>1253 SOUTH ST SE</t>
        </is>
      </c>
      <c r="N249">
        <f>RIGHT(M249,LEN(M249)-FIND(" ",M249))</f>
        <v/>
      </c>
      <c r="P249" t="inlineStr">
        <is>
          <t>WARREN</t>
        </is>
      </c>
      <c r="Q249" t="inlineStr">
        <is>
          <t>OH</t>
        </is>
      </c>
      <c r="R249" t="n">
        <v>44483</v>
      </c>
      <c r="AD249" t="inlineStr">
        <is>
          <t>TRUMBULL CAREER &amp; TECH CENTER</t>
        </is>
      </c>
      <c r="AE249" t="inlineStr">
        <is>
          <t>WARREN CITY</t>
        </is>
      </c>
      <c r="AF249" t="inlineStr">
        <is>
          <t>WARREN CITY SD</t>
        </is>
      </c>
      <c r="AH249" t="n">
        <v>14</v>
      </c>
      <c r="AI249" t="n">
        <v>11</v>
      </c>
      <c r="AN249" t="inlineStr">
        <is>
          <t>WARREN</t>
        </is>
      </c>
      <c r="AO249" t="inlineStr">
        <is>
          <t>WARREN CITY 4A</t>
        </is>
      </c>
      <c r="AP249" t="inlineStr">
        <is>
          <t>78-P-ADI</t>
        </is>
      </c>
      <c r="AQ249" t="n">
        <v>9</v>
      </c>
      <c r="AR249" t="n">
        <v>64</v>
      </c>
      <c r="AS249" t="n">
        <v>32</v>
      </c>
      <c r="AU249">
        <f>COUNTA($BA$249:$EH$249)</f>
        <v/>
      </c>
      <c r="AV249">
        <f>COUNTIF($BA$249:$EH$249,"D")</f>
        <v/>
      </c>
      <c r="AW249">
        <f>COUNTIF($BA$249:$EH$249,"R")</f>
        <v/>
      </c>
      <c r="AX249">
        <f>IF(BN249="D",1,0)+IF(BO249="D",1,0)+IF(BT249="D",1,0)+IF(BU249="D",1,0)+IF(BW249="D",1,0)+IF(CC249="D",1,0)+IF(CD249="D",1,0)+IF(CE249="D",1,0)+IF(CF249="D",1,0)+IF(CL249="D",1,0)+IF(CM249="D",1,0)+IF(CQ249="D",1,0)+IF(CR249="D",1,0)+IF(CS249="D",1,0)+IF(CW249="D",1,0)+IF(CX249="D",1,0)+IF(DD249="D",1,0)+IF(DE249="D",1,0)+IF(DJ249="D",1,0)+IF(DK249="D",1,0)+IF(DO249="D",1,0)+IF(DP249="D",1,0)+IF(DQ249="D",1,0)+IF(DW249="D",1,0)+IF(DZ249="D",1,0)+IF(EH249="D",1,0)</f>
        <v/>
      </c>
      <c r="AY249">
        <f>IF(DJ249&lt;&gt;"",1,0)+IF(DK249&lt;&gt;"",1,0)+IF(DM249&lt;&gt;"",1,0)+IF(DO249&lt;&gt;"",1,0)+IF(DP249&lt;&gt;"",1,0)+IF(DQ249&lt;&gt;"",1,0)+IF(DS249&lt;&gt;"",1,0)+IF(DT249&lt;&gt;"",1,0)+IF(DV249&lt;&gt;"",1,0)+IF(DW249&lt;&gt;"",1,0)+IF(DX249&lt;&gt;"",1,0)+IF(DY249&lt;&gt;"",1,0)+IF(DZ249&lt;&gt;"",1,0)+IF(EB249&lt;&gt;"",1,0)+IF(EC249&lt;&gt;"",1,0)+IF(ED249&lt;&gt;"",1,0)+IF(EG249&lt;&gt;"",1,0)+IF(EH249&lt;&gt;"",1,0)</f>
        <v/>
      </c>
      <c r="AZ249">
        <f>IF(EH249&lt;&gt;"",1,0)</f>
        <v/>
      </c>
      <c r="BB249" t="inlineStr">
        <is>
          <t>WARREN-WARD 4</t>
        </is>
      </c>
      <c r="BD249" t="inlineStr">
        <is>
          <t>X</t>
        </is>
      </c>
      <c r="BE249" t="inlineStr">
        <is>
          <t>X</t>
        </is>
      </c>
      <c r="BF249" t="inlineStr">
        <is>
          <t>X</t>
        </is>
      </c>
      <c r="BG249" t="inlineStr">
        <is>
          <t>X</t>
        </is>
      </c>
      <c r="BH249" t="inlineStr">
        <is>
          <t>X</t>
        </is>
      </c>
      <c r="BI249" t="inlineStr">
        <is>
          <t>X</t>
        </is>
      </c>
      <c r="BJ249" t="inlineStr">
        <is>
          <t>X</t>
        </is>
      </c>
      <c r="BK249" t="inlineStr">
        <is>
          <t>X</t>
        </is>
      </c>
      <c r="BL249" t="inlineStr">
        <is>
          <t>X</t>
        </is>
      </c>
      <c r="BP249" t="inlineStr">
        <is>
          <t>X</t>
        </is>
      </c>
      <c r="BR249" t="inlineStr">
        <is>
          <t>X</t>
        </is>
      </c>
      <c r="BS249" t="inlineStr">
        <is>
          <t>X</t>
        </is>
      </c>
      <c r="BT249" t="inlineStr">
        <is>
          <t>X</t>
        </is>
      </c>
      <c r="BV249" t="inlineStr">
        <is>
          <t>X</t>
        </is>
      </c>
      <c r="BY249" t="inlineStr">
        <is>
          <t>D</t>
        </is>
      </c>
      <c r="CA249" t="inlineStr">
        <is>
          <t>X</t>
        </is>
      </c>
      <c r="CC249" t="inlineStr">
        <is>
          <t>D</t>
        </is>
      </c>
      <c r="CG249" t="inlineStr">
        <is>
          <t>X</t>
        </is>
      </c>
      <c r="CH249" t="inlineStr">
        <is>
          <t>D</t>
        </is>
      </c>
      <c r="CK249" t="inlineStr">
        <is>
          <t>X</t>
        </is>
      </c>
      <c r="CL249" t="inlineStr">
        <is>
          <t>D</t>
        </is>
      </c>
      <c r="CN249" t="inlineStr">
        <is>
          <t>X</t>
        </is>
      </c>
      <c r="CO249" t="inlineStr">
        <is>
          <t>D</t>
        </is>
      </c>
      <c r="CP249" t="inlineStr">
        <is>
          <t>X</t>
        </is>
      </c>
      <c r="CQ249" t="inlineStr">
        <is>
          <t>D</t>
        </is>
      </c>
      <c r="CT249" t="inlineStr">
        <is>
          <t>X</t>
        </is>
      </c>
      <c r="CV249" t="inlineStr">
        <is>
          <t>X</t>
        </is>
      </c>
      <c r="CW249" t="inlineStr">
        <is>
          <t>D</t>
        </is>
      </c>
      <c r="CY249" t="inlineStr">
        <is>
          <t>X</t>
        </is>
      </c>
      <c r="CZ249" t="inlineStr">
        <is>
          <t>D</t>
        </is>
      </c>
      <c r="DC249" t="inlineStr">
        <is>
          <t>X</t>
        </is>
      </c>
      <c r="DD249" t="inlineStr">
        <is>
          <t>D</t>
        </is>
      </c>
      <c r="DF249" t="inlineStr">
        <is>
          <t>X</t>
        </is>
      </c>
      <c r="DI249" t="inlineStr">
        <is>
          <t>X</t>
        </is>
      </c>
      <c r="DL249" t="inlineStr">
        <is>
          <t>X</t>
        </is>
      </c>
      <c r="DM249" t="inlineStr">
        <is>
          <t>D</t>
        </is>
      </c>
      <c r="DN249" t="inlineStr">
        <is>
          <t>X</t>
        </is>
      </c>
      <c r="DS249" t="inlineStr">
        <is>
          <t>D</t>
        </is>
      </c>
      <c r="DU249" t="inlineStr">
        <is>
          <t>X</t>
        </is>
      </c>
      <c r="DX249" t="inlineStr">
        <is>
          <t>X</t>
        </is>
      </c>
      <c r="EA249" t="inlineStr">
        <is>
          <t>X</t>
        </is>
      </c>
      <c r="ED249" t="inlineStr">
        <is>
          <t>D</t>
        </is>
      </c>
      <c r="EF249" t="inlineStr">
        <is>
          <t>X</t>
        </is>
      </c>
    </row>
    <row r="250">
      <c r="A250" t="inlineStr">
        <is>
          <t>OH0015694838</t>
        </is>
      </c>
      <c r="B250" t="n">
        <v>78</v>
      </c>
      <c r="C250" t="n">
        <v>147518</v>
      </c>
      <c r="D250" t="inlineStr">
        <is>
          <t>COSTELLO</t>
        </is>
      </c>
      <c r="E250" t="inlineStr">
        <is>
          <t>MELANIE</t>
        </is>
      </c>
      <c r="F250">
        <f>CONCATENATE(D250," ",LEFT(H250,4),"T=",AU250,"D=",AV250,"R=",AW250,"M=",AX250,"L=",AY250,"B=",AZ250)</f>
        <v/>
      </c>
      <c r="I250" t="inlineStr">
        <is>
          <t>1963-02-21</t>
        </is>
      </c>
      <c r="J250" t="inlineStr">
        <is>
          <t>1986-12-23</t>
        </is>
      </c>
      <c r="K250" t="inlineStr">
        <is>
          <t>ACTIVE</t>
        </is>
      </c>
      <c r="L250" t="inlineStr">
        <is>
          <t>R</t>
        </is>
      </c>
      <c r="M250" t="inlineStr">
        <is>
          <t>725 KENILWORTH AVE SE</t>
        </is>
      </c>
      <c r="N250">
        <f>RIGHT(M250,LEN(M250)-FIND(" ",M250))</f>
        <v/>
      </c>
      <c r="P250" t="inlineStr">
        <is>
          <t>WARREN</t>
        </is>
      </c>
      <c r="Q250" t="inlineStr">
        <is>
          <t>OH</t>
        </is>
      </c>
      <c r="R250" t="n">
        <v>44484</v>
      </c>
      <c r="AD250" t="inlineStr">
        <is>
          <t>TRUMBULL CAREER &amp; TECH CENTER</t>
        </is>
      </c>
      <c r="AE250" t="inlineStr">
        <is>
          <t>WARREN CITY</t>
        </is>
      </c>
      <c r="AF250" t="inlineStr">
        <is>
          <t>WARREN CITY SD</t>
        </is>
      </c>
      <c r="AH250" t="n">
        <v>14</v>
      </c>
      <c r="AI250" t="n">
        <v>11</v>
      </c>
      <c r="AN250" t="inlineStr">
        <is>
          <t>WARREN</t>
        </is>
      </c>
      <c r="AO250" t="inlineStr">
        <is>
          <t>WARREN CITY 4A</t>
        </is>
      </c>
      <c r="AP250" t="inlineStr">
        <is>
          <t>78-P-ADI</t>
        </is>
      </c>
      <c r="AQ250" t="n">
        <v>9</v>
      </c>
      <c r="AR250" t="n">
        <v>64</v>
      </c>
      <c r="AS250" t="n">
        <v>32</v>
      </c>
      <c r="AU250">
        <f>COUNTA($BA$250:$EH$250)</f>
        <v/>
      </c>
      <c r="AV250">
        <f>COUNTIF($BA$250:$EH$250,"D")</f>
        <v/>
      </c>
      <c r="AW250">
        <f>COUNTIF($BA$250:$EH$250,"R")</f>
        <v/>
      </c>
      <c r="AX250">
        <f>IF(BN250="D",1,0)+IF(BO250="D",1,0)+IF(BT250="D",1,0)+IF(BU250="D",1,0)+IF(BW250="D",1,0)+IF(CC250="D",1,0)+IF(CD250="D",1,0)+IF(CE250="D",1,0)+IF(CF250="D",1,0)+IF(CL250="D",1,0)+IF(CM250="D",1,0)+IF(CQ250="D",1,0)+IF(CR250="D",1,0)+IF(CS250="D",1,0)+IF(CW250="D",1,0)+IF(CX250="D",1,0)+IF(DD250="D",1,0)+IF(DE250="D",1,0)+IF(DJ250="D",1,0)+IF(DK250="D",1,0)+IF(DO250="D",1,0)+IF(DP250="D",1,0)+IF(DQ250="D",1,0)+IF(DW250="D",1,0)+IF(DZ250="D",1,0)+IF(EH250="D",1,0)</f>
        <v/>
      </c>
      <c r="AY250">
        <f>IF(DJ250&lt;&gt;"",1,0)+IF(DK250&lt;&gt;"",1,0)+IF(DM250&lt;&gt;"",1,0)+IF(DO250&lt;&gt;"",1,0)+IF(DP250&lt;&gt;"",1,0)+IF(DQ250&lt;&gt;"",1,0)+IF(DS250&lt;&gt;"",1,0)+IF(DT250&lt;&gt;"",1,0)+IF(DV250&lt;&gt;"",1,0)+IF(DW250&lt;&gt;"",1,0)+IF(DX250&lt;&gt;"",1,0)+IF(DY250&lt;&gt;"",1,0)+IF(DZ250&lt;&gt;"",1,0)+IF(EB250&lt;&gt;"",1,0)+IF(EC250&lt;&gt;"",1,0)+IF(ED250&lt;&gt;"",1,0)+IF(EG250&lt;&gt;"",1,0)+IF(EH250&lt;&gt;"",1,0)</f>
        <v/>
      </c>
      <c r="AZ250">
        <f>IF(EH250&lt;&gt;"",1,0)</f>
        <v/>
      </c>
      <c r="BB250" t="inlineStr">
        <is>
          <t>WARREN-WARD 4</t>
        </is>
      </c>
      <c r="BC250" t="inlineStr">
        <is>
          <t>X</t>
        </is>
      </c>
      <c r="BD250" t="inlineStr">
        <is>
          <t>X</t>
        </is>
      </c>
      <c r="BE250" t="inlineStr">
        <is>
          <t>X</t>
        </is>
      </c>
      <c r="BF250" t="inlineStr">
        <is>
          <t>X</t>
        </is>
      </c>
      <c r="BG250" t="inlineStr">
        <is>
          <t>X</t>
        </is>
      </c>
      <c r="BH250" t="inlineStr">
        <is>
          <t>X</t>
        </is>
      </c>
      <c r="BI250" t="inlineStr">
        <is>
          <t>X</t>
        </is>
      </c>
      <c r="BJ250" t="inlineStr">
        <is>
          <t>X</t>
        </is>
      </c>
      <c r="BK250" t="inlineStr">
        <is>
          <t>X</t>
        </is>
      </c>
      <c r="BL250" t="inlineStr">
        <is>
          <t>X</t>
        </is>
      </c>
      <c r="BR250" t="inlineStr">
        <is>
          <t>X</t>
        </is>
      </c>
      <c r="BS250" t="inlineStr">
        <is>
          <t>X</t>
        </is>
      </c>
      <c r="BY250" t="inlineStr">
        <is>
          <t>D</t>
        </is>
      </c>
      <c r="CA250" t="inlineStr">
        <is>
          <t>X</t>
        </is>
      </c>
      <c r="CK250" t="inlineStr">
        <is>
          <t>X</t>
        </is>
      </c>
      <c r="CN250" t="inlineStr">
        <is>
          <t>X</t>
        </is>
      </c>
      <c r="CP250" t="inlineStr">
        <is>
          <t>X</t>
        </is>
      </c>
      <c r="CT250" t="inlineStr">
        <is>
          <t>X</t>
        </is>
      </c>
      <c r="CU250" t="inlineStr">
        <is>
          <t>D</t>
        </is>
      </c>
      <c r="CV250" t="inlineStr">
        <is>
          <t>X</t>
        </is>
      </c>
      <c r="CY250" t="inlineStr">
        <is>
          <t>X</t>
        </is>
      </c>
      <c r="CZ250" t="inlineStr">
        <is>
          <t>D</t>
        </is>
      </c>
      <c r="DF250" t="inlineStr">
        <is>
          <t>X</t>
        </is>
      </c>
      <c r="DG250" t="inlineStr">
        <is>
          <t>D</t>
        </is>
      </c>
      <c r="DI250" t="inlineStr">
        <is>
          <t>X</t>
        </is>
      </c>
      <c r="DJ250" t="inlineStr">
        <is>
          <t>D</t>
        </is>
      </c>
      <c r="DL250" t="inlineStr">
        <is>
          <t>X</t>
        </is>
      </c>
      <c r="DN250" t="inlineStr">
        <is>
          <t>X</t>
        </is>
      </c>
      <c r="DR250" t="inlineStr">
        <is>
          <t>X</t>
        </is>
      </c>
      <c r="DS250" t="inlineStr">
        <is>
          <t>D</t>
        </is>
      </c>
      <c r="DU250" t="inlineStr">
        <is>
          <t>X</t>
        </is>
      </c>
      <c r="DW250" t="inlineStr">
        <is>
          <t>D</t>
        </is>
      </c>
      <c r="DX250" t="inlineStr">
        <is>
          <t>X</t>
        </is>
      </c>
      <c r="EA250" t="inlineStr">
        <is>
          <t>X</t>
        </is>
      </c>
      <c r="ED250" t="inlineStr">
        <is>
          <t>R</t>
        </is>
      </c>
      <c r="EF250" t="inlineStr">
        <is>
          <t>X</t>
        </is>
      </c>
    </row>
    <row r="251">
      <c r="A251" t="inlineStr">
        <is>
          <t>OH0023700667</t>
        </is>
      </c>
      <c r="B251" t="n">
        <v>78</v>
      </c>
      <c r="C251" t="n">
        <v>416903</v>
      </c>
      <c r="D251" t="inlineStr">
        <is>
          <t>KATONA</t>
        </is>
      </c>
      <c r="E251" t="inlineStr">
        <is>
          <t>ELIZABETH</t>
        </is>
      </c>
      <c r="F251">
        <f>CONCATENATE(D251," ",LEFT(H251,4),"T=",AU251,"D=",AV251,"R=",AW251,"M=",AX251,"L=",AY251,"B=",AZ251)</f>
        <v/>
      </c>
      <c r="G251" t="inlineStr">
        <is>
          <t>J</t>
        </is>
      </c>
      <c r="I251" t="inlineStr">
        <is>
          <t>1966-11-12</t>
        </is>
      </c>
      <c r="J251" t="inlineStr">
        <is>
          <t>2023-10-22</t>
        </is>
      </c>
      <c r="K251" t="inlineStr">
        <is>
          <t>ACTIVE</t>
        </is>
      </c>
      <c r="M251" t="inlineStr">
        <is>
          <t>464 KENILWORTH AVE SE</t>
        </is>
      </c>
      <c r="N251">
        <f>RIGHT(M251,LEN(M251)-FIND(" ",M251))</f>
        <v/>
      </c>
      <c r="P251" t="inlineStr">
        <is>
          <t>WARREN</t>
        </is>
      </c>
      <c r="Q251" t="inlineStr">
        <is>
          <t>OH</t>
        </is>
      </c>
      <c r="R251" t="n">
        <v>44483</v>
      </c>
      <c r="AD251" t="inlineStr">
        <is>
          <t>TRUMBULL CAREER &amp; TECH CENTER</t>
        </is>
      </c>
      <c r="AE251" t="inlineStr">
        <is>
          <t>WARREN CITY</t>
        </is>
      </c>
      <c r="AF251" t="inlineStr">
        <is>
          <t>WARREN CITY SD</t>
        </is>
      </c>
      <c r="AH251" t="n">
        <v>14</v>
      </c>
      <c r="AI251" t="n">
        <v>11</v>
      </c>
      <c r="AN251" t="inlineStr">
        <is>
          <t>WARREN</t>
        </is>
      </c>
      <c r="AO251" t="inlineStr">
        <is>
          <t>WARREN CITY 4A</t>
        </is>
      </c>
      <c r="AP251" t="inlineStr">
        <is>
          <t>78-P-ADI</t>
        </is>
      </c>
      <c r="AQ251" t="n">
        <v>9</v>
      </c>
      <c r="AR251" t="n">
        <v>64</v>
      </c>
      <c r="AS251" t="n">
        <v>32</v>
      </c>
      <c r="AU251">
        <f>COUNTA($BA$251:$EH$251)</f>
        <v/>
      </c>
      <c r="AV251">
        <f>COUNTIF($BA$251:$EH$251,"D")</f>
        <v/>
      </c>
      <c r="AW251">
        <f>COUNTIF($BA$251:$EH$251,"R")</f>
        <v/>
      </c>
      <c r="AX251">
        <f>IF(BN251="D",1,0)+IF(BO251="D",1,0)+IF(BT251="D",1,0)+IF(BU251="D",1,0)+IF(BW251="D",1,0)+IF(CC251="D",1,0)+IF(CD251="D",1,0)+IF(CE251="D",1,0)+IF(CF251="D",1,0)+IF(CL251="D",1,0)+IF(CM251="D",1,0)+IF(CQ251="D",1,0)+IF(CR251="D",1,0)+IF(CS251="D",1,0)+IF(CW251="D",1,0)+IF(CX251="D",1,0)+IF(DD251="D",1,0)+IF(DE251="D",1,0)+IF(DJ251="D",1,0)+IF(DK251="D",1,0)+IF(DO251="D",1,0)+IF(DP251="D",1,0)+IF(DQ251="D",1,0)+IF(DW251="D",1,0)+IF(DZ251="D",1,0)+IF(EH251="D",1,0)</f>
        <v/>
      </c>
      <c r="AY251">
        <f>IF(DJ251&lt;&gt;"",1,0)+IF(DK251&lt;&gt;"",1,0)+IF(DM251&lt;&gt;"",1,0)+IF(DO251&lt;&gt;"",1,0)+IF(DP251&lt;&gt;"",1,0)+IF(DQ251&lt;&gt;"",1,0)+IF(DS251&lt;&gt;"",1,0)+IF(DT251&lt;&gt;"",1,0)+IF(DV251&lt;&gt;"",1,0)+IF(DW251&lt;&gt;"",1,0)+IF(DX251&lt;&gt;"",1,0)+IF(DY251&lt;&gt;"",1,0)+IF(DZ251&lt;&gt;"",1,0)+IF(EB251&lt;&gt;"",1,0)+IF(EC251&lt;&gt;"",1,0)+IF(ED251&lt;&gt;"",1,0)+IF(EG251&lt;&gt;"",1,0)+IF(EH251&lt;&gt;"",1,0)</f>
        <v/>
      </c>
      <c r="AZ251">
        <f>IF(EH251&lt;&gt;"",1,0)</f>
        <v/>
      </c>
      <c r="BB251" t="inlineStr">
        <is>
          <t>WARREN-WARD 4</t>
        </is>
      </c>
      <c r="CA251" t="inlineStr">
        <is>
          <t>X</t>
        </is>
      </c>
      <c r="DC251" t="inlineStr">
        <is>
          <t>X</t>
        </is>
      </c>
      <c r="EF251" t="inlineStr">
        <is>
          <t>X</t>
        </is>
      </c>
    </row>
    <row r="252">
      <c r="A252" t="inlineStr">
        <is>
          <t>OH0024224765</t>
        </is>
      </c>
      <c r="B252" t="n">
        <v>78</v>
      </c>
      <c r="C252" t="n">
        <v>424230</v>
      </c>
      <c r="D252" t="inlineStr">
        <is>
          <t>WATSON</t>
        </is>
      </c>
      <c r="E252" t="inlineStr">
        <is>
          <t>SEAN</t>
        </is>
      </c>
      <c r="F252">
        <f>CONCATENATE(D252," ",LEFT(H252,4),"T=",AU252,"D=",AV252,"R=",AW252,"M=",AX252,"L=",AY252,"B=",AZ252)</f>
        <v/>
      </c>
      <c r="G252" t="inlineStr">
        <is>
          <t>MICHAEL</t>
        </is>
      </c>
      <c r="I252" t="inlineStr">
        <is>
          <t>1986-02-28</t>
        </is>
      </c>
      <c r="J252" t="inlineStr">
        <is>
          <t>2024-10-02</t>
        </is>
      </c>
      <c r="K252" t="inlineStr">
        <is>
          <t>ACTIVE</t>
        </is>
      </c>
      <c r="M252" t="inlineStr">
        <is>
          <t>426 LAIRD AVE SE</t>
        </is>
      </c>
      <c r="N252">
        <f>RIGHT(M252,LEN(M252)-FIND(" ",M252))</f>
        <v/>
      </c>
      <c r="O252" t="inlineStr">
        <is>
          <t>FL 2</t>
        </is>
      </c>
      <c r="P252" t="inlineStr">
        <is>
          <t>WARREN</t>
        </is>
      </c>
      <c r="Q252" t="inlineStr">
        <is>
          <t>OH</t>
        </is>
      </c>
      <c r="R252" t="n">
        <v>44483</v>
      </c>
      <c r="AD252" t="inlineStr">
        <is>
          <t>TRUMBULL CAREER &amp; TECH CENTER</t>
        </is>
      </c>
      <c r="AE252" t="inlineStr">
        <is>
          <t>WARREN CITY</t>
        </is>
      </c>
      <c r="AF252" t="inlineStr">
        <is>
          <t>WARREN CITY SD</t>
        </is>
      </c>
      <c r="AH252" t="n">
        <v>14</v>
      </c>
      <c r="AI252" t="n">
        <v>11</v>
      </c>
      <c r="AN252" t="inlineStr">
        <is>
          <t>WARREN</t>
        </is>
      </c>
      <c r="AO252" t="inlineStr">
        <is>
          <t>WARREN CITY 4A</t>
        </is>
      </c>
      <c r="AP252" t="inlineStr">
        <is>
          <t>78-P-ADI</t>
        </is>
      </c>
      <c r="AQ252" t="n">
        <v>9</v>
      </c>
      <c r="AR252" t="n">
        <v>64</v>
      </c>
      <c r="AS252" t="n">
        <v>32</v>
      </c>
      <c r="AU252">
        <f>COUNTA($BA$252:$EH$252)</f>
        <v/>
      </c>
      <c r="AV252">
        <f>COUNTIF($BA$252:$EH$252,"D")</f>
        <v/>
      </c>
      <c r="AW252">
        <f>COUNTIF($BA$252:$EH$252,"R")</f>
        <v/>
      </c>
      <c r="AX252">
        <f>IF(BN252="D",1,0)+IF(BO252="D",1,0)+IF(BT252="D",1,0)+IF(BU252="D",1,0)+IF(BW252="D",1,0)+IF(CC252="D",1,0)+IF(CD252="D",1,0)+IF(CE252="D",1,0)+IF(CF252="D",1,0)+IF(CL252="D",1,0)+IF(CM252="D",1,0)+IF(CQ252="D",1,0)+IF(CR252="D",1,0)+IF(CS252="D",1,0)+IF(CW252="D",1,0)+IF(CX252="D",1,0)+IF(DD252="D",1,0)+IF(DE252="D",1,0)+IF(DJ252="D",1,0)+IF(DK252="D",1,0)+IF(DO252="D",1,0)+IF(DP252="D",1,0)+IF(DQ252="D",1,0)+IF(DW252="D",1,0)+IF(DZ252="D",1,0)+IF(EH252="D",1,0)</f>
        <v/>
      </c>
      <c r="AY252">
        <f>IF(DJ252&lt;&gt;"",1,0)+IF(DK252&lt;&gt;"",1,0)+IF(DM252&lt;&gt;"",1,0)+IF(DO252&lt;&gt;"",1,0)+IF(DP252&lt;&gt;"",1,0)+IF(DQ252&lt;&gt;"",1,0)+IF(DS252&lt;&gt;"",1,0)+IF(DT252&lt;&gt;"",1,0)+IF(DV252&lt;&gt;"",1,0)+IF(DW252&lt;&gt;"",1,0)+IF(DX252&lt;&gt;"",1,0)+IF(DY252&lt;&gt;"",1,0)+IF(DZ252&lt;&gt;"",1,0)+IF(EB252&lt;&gt;"",1,0)+IF(EC252&lt;&gt;"",1,0)+IF(ED252&lt;&gt;"",1,0)+IF(EG252&lt;&gt;"",1,0)+IF(EH252&lt;&gt;"",1,0)</f>
        <v/>
      </c>
      <c r="AZ252">
        <f>IF(EH252&lt;&gt;"",1,0)</f>
        <v/>
      </c>
      <c r="BB252" t="inlineStr">
        <is>
          <t>WARREN-WARD 4</t>
        </is>
      </c>
    </row>
    <row r="253">
      <c r="A253" t="inlineStr">
        <is>
          <t>OH0025720408</t>
        </is>
      </c>
      <c r="B253" t="n">
        <v>78</v>
      </c>
      <c r="C253" t="n">
        <v>449136</v>
      </c>
      <c r="D253" t="inlineStr">
        <is>
          <t>WESTHEAD</t>
        </is>
      </c>
      <c r="E253" t="inlineStr">
        <is>
          <t>MATTHEW</t>
        </is>
      </c>
      <c r="F253">
        <f>CONCATENATE(D253," ",LEFT(H253,4),"T=",AU253,"D=",AV253,"R=",AW253,"M=",AX253,"L=",AY253,"B=",AZ253)</f>
        <v/>
      </c>
      <c r="G253" t="inlineStr">
        <is>
          <t>W</t>
        </is>
      </c>
      <c r="I253" t="inlineStr">
        <is>
          <t>1987-09-30</t>
        </is>
      </c>
      <c r="J253" t="inlineStr">
        <is>
          <t>2020-09-22</t>
        </is>
      </c>
      <c r="K253" t="inlineStr">
        <is>
          <t>ACTIVE</t>
        </is>
      </c>
      <c r="M253" t="inlineStr">
        <is>
          <t>378 WOODBINE AVE SE</t>
        </is>
      </c>
      <c r="N253">
        <f>RIGHT(M253,LEN(M253)-FIND(" ",M253))</f>
        <v/>
      </c>
      <c r="P253" t="inlineStr">
        <is>
          <t>WARREN</t>
        </is>
      </c>
      <c r="Q253" t="inlineStr">
        <is>
          <t>OH</t>
        </is>
      </c>
      <c r="R253" t="n">
        <v>44483</v>
      </c>
      <c r="AD253" t="inlineStr">
        <is>
          <t>TRUMBULL CAREER &amp; TECH CENTER</t>
        </is>
      </c>
      <c r="AE253" t="inlineStr">
        <is>
          <t>WARREN CITY</t>
        </is>
      </c>
      <c r="AF253" t="inlineStr">
        <is>
          <t>WARREN CITY SD</t>
        </is>
      </c>
      <c r="AH253" t="n">
        <v>14</v>
      </c>
      <c r="AI253" t="n">
        <v>11</v>
      </c>
      <c r="AN253" t="inlineStr">
        <is>
          <t>WARREN</t>
        </is>
      </c>
      <c r="AO253" t="inlineStr">
        <is>
          <t>WARREN CITY 4A</t>
        </is>
      </c>
      <c r="AP253" t="inlineStr">
        <is>
          <t>78-P-ADI</t>
        </is>
      </c>
      <c r="AQ253" t="n">
        <v>9</v>
      </c>
      <c r="AR253" t="n">
        <v>64</v>
      </c>
      <c r="AS253" t="n">
        <v>32</v>
      </c>
      <c r="AU253">
        <f>COUNTA($BA$253:$EH$253)</f>
        <v/>
      </c>
      <c r="AV253">
        <f>COUNTIF($BA$253:$EH$253,"D")</f>
        <v/>
      </c>
      <c r="AW253">
        <f>COUNTIF($BA$253:$EH$253,"R")</f>
        <v/>
      </c>
      <c r="AX253">
        <f>IF(BN253="D",1,0)+IF(BO253="D",1,0)+IF(BT253="D",1,0)+IF(BU253="D",1,0)+IF(BW253="D",1,0)+IF(CC253="D",1,0)+IF(CD253="D",1,0)+IF(CE253="D",1,0)+IF(CF253="D",1,0)+IF(CL253="D",1,0)+IF(CM253="D",1,0)+IF(CQ253="D",1,0)+IF(CR253="D",1,0)+IF(CS253="D",1,0)+IF(CW253="D",1,0)+IF(CX253="D",1,0)+IF(DD253="D",1,0)+IF(DE253="D",1,0)+IF(DJ253="D",1,0)+IF(DK253="D",1,0)+IF(DO253="D",1,0)+IF(DP253="D",1,0)+IF(DQ253="D",1,0)+IF(DW253="D",1,0)+IF(DZ253="D",1,0)+IF(EH253="D",1,0)</f>
        <v/>
      </c>
      <c r="AY253">
        <f>IF(DJ253&lt;&gt;"",1,0)+IF(DK253&lt;&gt;"",1,0)+IF(DM253&lt;&gt;"",1,0)+IF(DO253&lt;&gt;"",1,0)+IF(DP253&lt;&gt;"",1,0)+IF(DQ253&lt;&gt;"",1,0)+IF(DS253&lt;&gt;"",1,0)+IF(DT253&lt;&gt;"",1,0)+IF(DV253&lt;&gt;"",1,0)+IF(DW253&lt;&gt;"",1,0)+IF(DX253&lt;&gt;"",1,0)+IF(DY253&lt;&gt;"",1,0)+IF(DZ253&lt;&gt;"",1,0)+IF(EB253&lt;&gt;"",1,0)+IF(EC253&lt;&gt;"",1,0)+IF(ED253&lt;&gt;"",1,0)+IF(EG253&lt;&gt;"",1,0)+IF(EH253&lt;&gt;"",1,0)</f>
        <v/>
      </c>
      <c r="AZ253">
        <f>IF(EH253&lt;&gt;"",1,0)</f>
        <v/>
      </c>
      <c r="BB253" t="inlineStr">
        <is>
          <t>WARREN-WARD 4</t>
        </is>
      </c>
      <c r="CA253" t="inlineStr">
        <is>
          <t>X</t>
        </is>
      </c>
      <c r="CP253" t="inlineStr">
        <is>
          <t>X</t>
        </is>
      </c>
      <c r="CZ253" t="inlineStr">
        <is>
          <t>D</t>
        </is>
      </c>
      <c r="DC253" t="inlineStr">
        <is>
          <t>X</t>
        </is>
      </c>
      <c r="DN253" t="inlineStr">
        <is>
          <t>X</t>
        </is>
      </c>
      <c r="DU253" t="inlineStr">
        <is>
          <t>X</t>
        </is>
      </c>
      <c r="DX253" t="inlineStr">
        <is>
          <t>X</t>
        </is>
      </c>
      <c r="EA253" t="inlineStr">
        <is>
          <t>X</t>
        </is>
      </c>
      <c r="EF253" t="inlineStr">
        <is>
          <t>X</t>
        </is>
      </c>
    </row>
    <row r="254">
      <c r="A254" t="inlineStr">
        <is>
          <t>OH0015699770</t>
        </is>
      </c>
      <c r="B254" t="n">
        <v>78</v>
      </c>
      <c r="C254" t="n">
        <v>157959</v>
      </c>
      <c r="D254" t="inlineStr">
        <is>
          <t>DENNIS</t>
        </is>
      </c>
      <c r="E254" t="inlineStr">
        <is>
          <t>MARTHA</t>
        </is>
      </c>
      <c r="F254">
        <f>CONCATENATE(D254," ",LEFT(H254,4),"T=",AU254,"D=",AV254,"R=",AW254,"M=",AX254,"L=",AY254,"B=",AZ254)</f>
        <v/>
      </c>
      <c r="G254" t="inlineStr">
        <is>
          <t>R</t>
        </is>
      </c>
      <c r="I254" t="inlineStr">
        <is>
          <t>1953-04-10</t>
        </is>
      </c>
      <c r="J254" t="inlineStr">
        <is>
          <t>2016-07-28</t>
        </is>
      </c>
      <c r="K254" t="inlineStr">
        <is>
          <t>ACTIVE</t>
        </is>
      </c>
      <c r="L254" t="inlineStr">
        <is>
          <t>D</t>
        </is>
      </c>
      <c r="M254" t="inlineStr">
        <is>
          <t>750 WOODBINE AVE SE</t>
        </is>
      </c>
      <c r="N254">
        <f>RIGHT(M254,LEN(M254)-FIND(" ",M254))</f>
        <v/>
      </c>
      <c r="P254" t="inlineStr">
        <is>
          <t>WARREN</t>
        </is>
      </c>
      <c r="Q254" t="inlineStr">
        <is>
          <t>OH</t>
        </is>
      </c>
      <c r="R254" t="n">
        <v>44484</v>
      </c>
      <c r="AD254" t="inlineStr">
        <is>
          <t>TRUMBULL CAREER &amp; TECH CENTER</t>
        </is>
      </c>
      <c r="AE254" t="inlineStr">
        <is>
          <t>WARREN CITY</t>
        </is>
      </c>
      <c r="AF254" t="inlineStr">
        <is>
          <t>WARREN CITY SD</t>
        </is>
      </c>
      <c r="AH254" t="n">
        <v>14</v>
      </c>
      <c r="AI254" t="n">
        <v>11</v>
      </c>
      <c r="AN254" t="inlineStr">
        <is>
          <t>WARREN</t>
        </is>
      </c>
      <c r="AO254" t="inlineStr">
        <is>
          <t>WARREN CITY 4A</t>
        </is>
      </c>
      <c r="AP254" t="inlineStr">
        <is>
          <t>78-P-ADI</t>
        </is>
      </c>
      <c r="AQ254" t="n">
        <v>9</v>
      </c>
      <c r="AR254" t="n">
        <v>64</v>
      </c>
      <c r="AS254" t="n">
        <v>32</v>
      </c>
      <c r="AU254">
        <f>COUNTA($BA$254:$EH$254)</f>
        <v/>
      </c>
      <c r="AV254">
        <f>COUNTIF($BA$254:$EH$254,"D")</f>
        <v/>
      </c>
      <c r="AW254">
        <f>COUNTIF($BA$254:$EH$254,"R")</f>
        <v/>
      </c>
      <c r="AX254">
        <f>IF(BN254="D",1,0)+IF(BO254="D",1,0)+IF(BT254="D",1,0)+IF(BU254="D",1,0)+IF(BW254="D",1,0)+IF(CC254="D",1,0)+IF(CD254="D",1,0)+IF(CE254="D",1,0)+IF(CF254="D",1,0)+IF(CL254="D",1,0)+IF(CM254="D",1,0)+IF(CQ254="D",1,0)+IF(CR254="D",1,0)+IF(CS254="D",1,0)+IF(CW254="D",1,0)+IF(CX254="D",1,0)+IF(DD254="D",1,0)+IF(DE254="D",1,0)+IF(DJ254="D",1,0)+IF(DK254="D",1,0)+IF(DO254="D",1,0)+IF(DP254="D",1,0)+IF(DQ254="D",1,0)+IF(DW254="D",1,0)+IF(DZ254="D",1,0)+IF(EH254="D",1,0)</f>
        <v/>
      </c>
      <c r="AY254">
        <f>IF(DJ254&lt;&gt;"",1,0)+IF(DK254&lt;&gt;"",1,0)+IF(DM254&lt;&gt;"",1,0)+IF(DO254&lt;&gt;"",1,0)+IF(DP254&lt;&gt;"",1,0)+IF(DQ254&lt;&gt;"",1,0)+IF(DS254&lt;&gt;"",1,0)+IF(DT254&lt;&gt;"",1,0)+IF(DV254&lt;&gt;"",1,0)+IF(DW254&lt;&gt;"",1,0)+IF(DX254&lt;&gt;"",1,0)+IF(DY254&lt;&gt;"",1,0)+IF(DZ254&lt;&gt;"",1,0)+IF(EB254&lt;&gt;"",1,0)+IF(EC254&lt;&gt;"",1,0)+IF(ED254&lt;&gt;"",1,0)+IF(EG254&lt;&gt;"",1,0)+IF(EH254&lt;&gt;"",1,0)</f>
        <v/>
      </c>
      <c r="AZ254">
        <f>IF(EH254&lt;&gt;"",1,0)</f>
        <v/>
      </c>
      <c r="BB254" t="inlineStr">
        <is>
          <t>WARREN-WARD 4</t>
        </is>
      </c>
      <c r="BC254" t="inlineStr">
        <is>
          <t>X</t>
        </is>
      </c>
      <c r="BD254" t="inlineStr">
        <is>
          <t>X</t>
        </is>
      </c>
      <c r="BF254" t="inlineStr">
        <is>
          <t>X</t>
        </is>
      </c>
      <c r="BH254" t="inlineStr">
        <is>
          <t>X</t>
        </is>
      </c>
      <c r="BJ254" t="inlineStr">
        <is>
          <t>X</t>
        </is>
      </c>
      <c r="BK254" t="inlineStr">
        <is>
          <t>X</t>
        </is>
      </c>
      <c r="BL254" t="inlineStr">
        <is>
          <t>X</t>
        </is>
      </c>
      <c r="BP254" t="inlineStr">
        <is>
          <t>X</t>
        </is>
      </c>
      <c r="BS254" t="inlineStr">
        <is>
          <t>X</t>
        </is>
      </c>
      <c r="CA254" t="inlineStr">
        <is>
          <t>X</t>
        </is>
      </c>
      <c r="CG254" t="inlineStr">
        <is>
          <t>X</t>
        </is>
      </c>
      <c r="CK254" t="inlineStr">
        <is>
          <t>X</t>
        </is>
      </c>
      <c r="CN254" t="inlineStr">
        <is>
          <t>X</t>
        </is>
      </c>
      <c r="CP254" t="inlineStr">
        <is>
          <t>X</t>
        </is>
      </c>
      <c r="CT254" t="inlineStr">
        <is>
          <t>X</t>
        </is>
      </c>
      <c r="CU254" t="inlineStr">
        <is>
          <t>D</t>
        </is>
      </c>
      <c r="CY254" t="inlineStr">
        <is>
          <t>X</t>
        </is>
      </c>
      <c r="CZ254" t="inlineStr">
        <is>
          <t>R</t>
        </is>
      </c>
      <c r="DC254" t="inlineStr">
        <is>
          <t>X</t>
        </is>
      </c>
      <c r="DI254" t="inlineStr">
        <is>
          <t>X</t>
        </is>
      </c>
      <c r="DJ254" t="inlineStr">
        <is>
          <t>D</t>
        </is>
      </c>
      <c r="DL254" t="inlineStr">
        <is>
          <t>X</t>
        </is>
      </c>
      <c r="DM254" t="inlineStr">
        <is>
          <t>D</t>
        </is>
      </c>
      <c r="DN254" t="inlineStr">
        <is>
          <t>X</t>
        </is>
      </c>
      <c r="DS254" t="inlineStr">
        <is>
          <t>D</t>
        </is>
      </c>
      <c r="DU254" t="inlineStr">
        <is>
          <t>X</t>
        </is>
      </c>
      <c r="DW254" t="inlineStr">
        <is>
          <t>D</t>
        </is>
      </c>
      <c r="EA254" t="inlineStr">
        <is>
          <t>X</t>
        </is>
      </c>
      <c r="ED254" t="inlineStr">
        <is>
          <t>D</t>
        </is>
      </c>
      <c r="EF254" t="inlineStr">
        <is>
          <t>X</t>
        </is>
      </c>
    </row>
    <row r="255">
      <c r="A255" t="inlineStr">
        <is>
          <t>OH0015746432</t>
        </is>
      </c>
      <c r="B255" t="n">
        <v>78</v>
      </c>
      <c r="C255" t="n">
        <v>232873</v>
      </c>
      <c r="D255" t="inlineStr">
        <is>
          <t>FRENCHKO</t>
        </is>
      </c>
      <c r="E255" t="inlineStr">
        <is>
          <t>MICHELE</t>
        </is>
      </c>
      <c r="F255">
        <f>CONCATENATE(D255," ",LEFT(H255,4),"T=",AU255,"D=",AV255,"R=",AW255,"M=",AX255,"L=",AY255,"B=",AZ255)</f>
        <v/>
      </c>
      <c r="G255" t="inlineStr">
        <is>
          <t>NICOLE</t>
        </is>
      </c>
      <c r="I255" t="inlineStr">
        <is>
          <t>1974-09-06</t>
        </is>
      </c>
      <c r="J255" t="inlineStr">
        <is>
          <t>2011-01-24</t>
        </is>
      </c>
      <c r="K255" t="inlineStr">
        <is>
          <t>ACTIVE</t>
        </is>
      </c>
      <c r="L255" t="inlineStr">
        <is>
          <t>R</t>
        </is>
      </c>
      <c r="M255" t="inlineStr">
        <is>
          <t>170 KENILWORTH AVE SE</t>
        </is>
      </c>
      <c r="N255">
        <f>RIGHT(M255,LEN(M255)-FIND(" ",M255))</f>
        <v/>
      </c>
      <c r="P255" t="inlineStr">
        <is>
          <t>WARREN</t>
        </is>
      </c>
      <c r="Q255" t="inlineStr">
        <is>
          <t>OH</t>
        </is>
      </c>
      <c r="R255" t="n">
        <v>44483</v>
      </c>
      <c r="AD255" t="inlineStr">
        <is>
          <t>TRUMBULL CAREER &amp; TECH CENTER</t>
        </is>
      </c>
      <c r="AE255" t="inlineStr">
        <is>
          <t>WARREN CITY</t>
        </is>
      </c>
      <c r="AF255" t="inlineStr">
        <is>
          <t>WARREN CITY SD</t>
        </is>
      </c>
      <c r="AH255" t="n">
        <v>14</v>
      </c>
      <c r="AI255" t="n">
        <v>11</v>
      </c>
      <c r="AN255" t="inlineStr">
        <is>
          <t>WARREN</t>
        </is>
      </c>
      <c r="AO255" t="inlineStr">
        <is>
          <t>WARREN CITY 4A</t>
        </is>
      </c>
      <c r="AP255" t="inlineStr">
        <is>
          <t>78-P-ADI</t>
        </is>
      </c>
      <c r="AQ255" t="n">
        <v>9</v>
      </c>
      <c r="AR255" t="n">
        <v>64</v>
      </c>
      <c r="AS255" t="n">
        <v>32</v>
      </c>
      <c r="AU255">
        <f>COUNTA($BA$255:$EH$255)</f>
        <v/>
      </c>
      <c r="AV255">
        <f>COUNTIF($BA$255:$EH$255,"D")</f>
        <v/>
      </c>
      <c r="AW255">
        <f>COUNTIF($BA$255:$EH$255,"R")</f>
        <v/>
      </c>
      <c r="AX255">
        <f>IF(BN255="D",1,0)+IF(BO255="D",1,0)+IF(BT255="D",1,0)+IF(BU255="D",1,0)+IF(BW255="D",1,0)+IF(CC255="D",1,0)+IF(CD255="D",1,0)+IF(CE255="D",1,0)+IF(CF255="D",1,0)+IF(CL255="D",1,0)+IF(CM255="D",1,0)+IF(CQ255="D",1,0)+IF(CR255="D",1,0)+IF(CS255="D",1,0)+IF(CW255="D",1,0)+IF(CX255="D",1,0)+IF(DD255="D",1,0)+IF(DE255="D",1,0)+IF(DJ255="D",1,0)+IF(DK255="D",1,0)+IF(DO255="D",1,0)+IF(DP255="D",1,0)+IF(DQ255="D",1,0)+IF(DW255="D",1,0)+IF(DZ255="D",1,0)+IF(EH255="D",1,0)</f>
        <v/>
      </c>
      <c r="AY255">
        <f>IF(DJ255&lt;&gt;"",1,0)+IF(DK255&lt;&gt;"",1,0)+IF(DM255&lt;&gt;"",1,0)+IF(DO255&lt;&gt;"",1,0)+IF(DP255&lt;&gt;"",1,0)+IF(DQ255&lt;&gt;"",1,0)+IF(DS255&lt;&gt;"",1,0)+IF(DT255&lt;&gt;"",1,0)+IF(DV255&lt;&gt;"",1,0)+IF(DW255&lt;&gt;"",1,0)+IF(DX255&lt;&gt;"",1,0)+IF(DY255&lt;&gt;"",1,0)+IF(DZ255&lt;&gt;"",1,0)+IF(EB255&lt;&gt;"",1,0)+IF(EC255&lt;&gt;"",1,0)+IF(ED255&lt;&gt;"",1,0)+IF(EG255&lt;&gt;"",1,0)+IF(EH255&lt;&gt;"",1,0)</f>
        <v/>
      </c>
      <c r="AZ255">
        <f>IF(EH255&lt;&gt;"",1,0)</f>
        <v/>
      </c>
      <c r="BB255" t="inlineStr">
        <is>
          <t>WARREN-WARD 4</t>
        </is>
      </c>
      <c r="BC255" t="inlineStr">
        <is>
          <t>X</t>
        </is>
      </c>
      <c r="BD255" t="inlineStr">
        <is>
          <t>X</t>
        </is>
      </c>
      <c r="BE255" t="inlineStr">
        <is>
          <t>X</t>
        </is>
      </c>
      <c r="BF255" t="inlineStr">
        <is>
          <t>X</t>
        </is>
      </c>
      <c r="BG255" t="inlineStr">
        <is>
          <t>X</t>
        </is>
      </c>
      <c r="BH255" t="inlineStr">
        <is>
          <t>X</t>
        </is>
      </c>
      <c r="BJ255" t="inlineStr">
        <is>
          <t>X</t>
        </is>
      </c>
      <c r="BL255" t="inlineStr">
        <is>
          <t>X</t>
        </is>
      </c>
      <c r="BP255" t="inlineStr">
        <is>
          <t>X</t>
        </is>
      </c>
      <c r="BR255" t="inlineStr">
        <is>
          <t>X</t>
        </is>
      </c>
      <c r="BS255" t="inlineStr">
        <is>
          <t>X</t>
        </is>
      </c>
      <c r="BV255" t="inlineStr">
        <is>
          <t>X</t>
        </is>
      </c>
      <c r="CA255" t="inlineStr">
        <is>
          <t>X</t>
        </is>
      </c>
      <c r="CC255" t="inlineStr">
        <is>
          <t>D</t>
        </is>
      </c>
      <c r="CK255" t="inlineStr">
        <is>
          <t>X</t>
        </is>
      </c>
      <c r="CL255" t="inlineStr">
        <is>
          <t>D</t>
        </is>
      </c>
      <c r="CN255" t="inlineStr">
        <is>
          <t>X</t>
        </is>
      </c>
      <c r="CO255" t="inlineStr">
        <is>
          <t>R</t>
        </is>
      </c>
      <c r="CP255" t="inlineStr">
        <is>
          <t>X</t>
        </is>
      </c>
      <c r="CU255" t="inlineStr">
        <is>
          <t>D</t>
        </is>
      </c>
      <c r="CV255" t="inlineStr">
        <is>
          <t>X</t>
        </is>
      </c>
      <c r="CY255" t="inlineStr">
        <is>
          <t>X</t>
        </is>
      </c>
      <c r="CZ255" t="inlineStr">
        <is>
          <t>D</t>
        </is>
      </c>
      <c r="DC255" t="inlineStr">
        <is>
          <t>X</t>
        </is>
      </c>
      <c r="DD255" t="inlineStr">
        <is>
          <t>D</t>
        </is>
      </c>
      <c r="DF255" t="inlineStr">
        <is>
          <t>X</t>
        </is>
      </c>
      <c r="DG255" t="inlineStr">
        <is>
          <t>X</t>
        </is>
      </c>
      <c r="DI255" t="inlineStr">
        <is>
          <t>X</t>
        </is>
      </c>
      <c r="DL255" t="inlineStr">
        <is>
          <t>X</t>
        </is>
      </c>
      <c r="DM255" t="inlineStr">
        <is>
          <t>R</t>
        </is>
      </c>
      <c r="DN255" t="inlineStr">
        <is>
          <t>X</t>
        </is>
      </c>
      <c r="DR255" t="inlineStr">
        <is>
          <t>X</t>
        </is>
      </c>
      <c r="DS255" t="inlineStr">
        <is>
          <t>R</t>
        </is>
      </c>
      <c r="DT255" t="inlineStr">
        <is>
          <t>R</t>
        </is>
      </c>
      <c r="DU255" t="inlineStr">
        <is>
          <t>X</t>
        </is>
      </c>
      <c r="DW255" t="inlineStr">
        <is>
          <t>X</t>
        </is>
      </c>
      <c r="EA255" t="inlineStr">
        <is>
          <t>X</t>
        </is>
      </c>
      <c r="ED255" t="inlineStr">
        <is>
          <t>R</t>
        </is>
      </c>
      <c r="EF255" t="inlineStr">
        <is>
          <t>X</t>
        </is>
      </c>
    </row>
    <row r="256">
      <c r="A256" t="inlineStr">
        <is>
          <t>OH0021280434</t>
        </is>
      </c>
      <c r="B256" t="n">
        <v>78</v>
      </c>
      <c r="C256" t="n">
        <v>377832</v>
      </c>
      <c r="D256" t="inlineStr">
        <is>
          <t>GONZALEZ</t>
        </is>
      </c>
      <c r="E256" t="inlineStr">
        <is>
          <t>ESTELLA</t>
        </is>
      </c>
      <c r="F256">
        <f>CONCATENATE(D256," ",LEFT(H256,4),"T=",AU256,"D=",AV256,"R=",AW256,"M=",AX256,"L=",AY256,"B=",AZ256)</f>
        <v/>
      </c>
      <c r="I256" t="inlineStr">
        <is>
          <t>1966-02-20</t>
        </is>
      </c>
      <c r="J256" t="inlineStr">
        <is>
          <t>2024-08-02</t>
        </is>
      </c>
      <c r="K256" t="inlineStr">
        <is>
          <t>ACTIVE</t>
        </is>
      </c>
      <c r="M256" t="inlineStr">
        <is>
          <t>820 WOODBINE AVE SE</t>
        </is>
      </c>
      <c r="N256">
        <f>RIGHT(M256,LEN(M256)-FIND(" ",M256))</f>
        <v/>
      </c>
      <c r="P256" t="inlineStr">
        <is>
          <t>WARREN</t>
        </is>
      </c>
      <c r="Q256" t="inlineStr">
        <is>
          <t>OH</t>
        </is>
      </c>
      <c r="R256" t="n">
        <v>44484</v>
      </c>
      <c r="AD256" t="inlineStr">
        <is>
          <t>TRUMBULL CAREER &amp; TECH CENTER</t>
        </is>
      </c>
      <c r="AE256" t="inlineStr">
        <is>
          <t>WARREN CITY</t>
        </is>
      </c>
      <c r="AF256" t="inlineStr">
        <is>
          <t>WARREN CITY SD</t>
        </is>
      </c>
      <c r="AH256" t="n">
        <v>14</v>
      </c>
      <c r="AI256" t="n">
        <v>11</v>
      </c>
      <c r="AN256" t="inlineStr">
        <is>
          <t>WARREN</t>
        </is>
      </c>
      <c r="AO256" t="inlineStr">
        <is>
          <t>WARREN CITY 4A</t>
        </is>
      </c>
      <c r="AP256" t="inlineStr">
        <is>
          <t>78-P-ADI</t>
        </is>
      </c>
      <c r="AQ256" t="n">
        <v>9</v>
      </c>
      <c r="AR256" t="n">
        <v>64</v>
      </c>
      <c r="AS256" t="n">
        <v>32</v>
      </c>
      <c r="AU256">
        <f>COUNTA($BA$256:$EH$256)</f>
        <v/>
      </c>
      <c r="AV256">
        <f>COUNTIF($BA$256:$EH$256,"D")</f>
        <v/>
      </c>
      <c r="AW256">
        <f>COUNTIF($BA$256:$EH$256,"R")</f>
        <v/>
      </c>
      <c r="AX256">
        <f>IF(BN256="D",1,0)+IF(BO256="D",1,0)+IF(BT256="D",1,0)+IF(BU256="D",1,0)+IF(BW256="D",1,0)+IF(CC256="D",1,0)+IF(CD256="D",1,0)+IF(CE256="D",1,0)+IF(CF256="D",1,0)+IF(CL256="D",1,0)+IF(CM256="D",1,0)+IF(CQ256="D",1,0)+IF(CR256="D",1,0)+IF(CS256="D",1,0)+IF(CW256="D",1,0)+IF(CX256="D",1,0)+IF(DD256="D",1,0)+IF(DE256="D",1,0)+IF(DJ256="D",1,0)+IF(DK256="D",1,0)+IF(DO256="D",1,0)+IF(DP256="D",1,0)+IF(DQ256="D",1,0)+IF(DW256="D",1,0)+IF(DZ256="D",1,0)+IF(EH256="D",1,0)</f>
        <v/>
      </c>
      <c r="AY256">
        <f>IF(DJ256&lt;&gt;"",1,0)+IF(DK256&lt;&gt;"",1,0)+IF(DM256&lt;&gt;"",1,0)+IF(DO256&lt;&gt;"",1,0)+IF(DP256&lt;&gt;"",1,0)+IF(DQ256&lt;&gt;"",1,0)+IF(DS256&lt;&gt;"",1,0)+IF(DT256&lt;&gt;"",1,0)+IF(DV256&lt;&gt;"",1,0)+IF(DW256&lt;&gt;"",1,0)+IF(DX256&lt;&gt;"",1,0)+IF(DY256&lt;&gt;"",1,0)+IF(DZ256&lt;&gt;"",1,0)+IF(EB256&lt;&gt;"",1,0)+IF(EC256&lt;&gt;"",1,0)+IF(ED256&lt;&gt;"",1,0)+IF(EG256&lt;&gt;"",1,0)+IF(EH256&lt;&gt;"",1,0)</f>
        <v/>
      </c>
      <c r="AZ256">
        <f>IF(EH256&lt;&gt;"",1,0)</f>
        <v/>
      </c>
      <c r="BB256" t="inlineStr">
        <is>
          <t>WARREN-WARD 4</t>
        </is>
      </c>
      <c r="CP256" t="inlineStr">
        <is>
          <t>X</t>
        </is>
      </c>
      <c r="CV256" t="inlineStr">
        <is>
          <t>X</t>
        </is>
      </c>
      <c r="EF256" t="inlineStr">
        <is>
          <t>X</t>
        </is>
      </c>
    </row>
    <row r="257">
      <c r="A257" t="inlineStr">
        <is>
          <t>OH0023981731</t>
        </is>
      </c>
      <c r="B257" t="n">
        <v>78</v>
      </c>
      <c r="C257" t="n">
        <v>420722</v>
      </c>
      <c r="D257" t="inlineStr">
        <is>
          <t>HERNON</t>
        </is>
      </c>
      <c r="E257" t="inlineStr">
        <is>
          <t>RITCHELLE</t>
        </is>
      </c>
      <c r="F257">
        <f>CONCATENATE(D257," ",LEFT(H257,4),"T=",AU257,"D=",AV257,"R=",AW257,"M=",AX257,"L=",AY257,"B=",AZ257)</f>
        <v/>
      </c>
      <c r="G257" t="inlineStr">
        <is>
          <t>SHIRLEYN</t>
        </is>
      </c>
      <c r="I257" t="inlineStr">
        <is>
          <t>1990-07-25</t>
        </is>
      </c>
      <c r="J257" t="inlineStr">
        <is>
          <t>2021-01-04</t>
        </is>
      </c>
      <c r="K257" t="inlineStr">
        <is>
          <t>ACTIVE</t>
        </is>
      </c>
      <c r="M257" t="inlineStr">
        <is>
          <t>567 WOODBINE AVE SE</t>
        </is>
      </c>
      <c r="N257">
        <f>RIGHT(M257,LEN(M257)-FIND(" ",M257))</f>
        <v/>
      </c>
      <c r="P257" t="inlineStr">
        <is>
          <t>WARREN</t>
        </is>
      </c>
      <c r="Q257" t="inlineStr">
        <is>
          <t>OH</t>
        </is>
      </c>
      <c r="R257" t="n">
        <v>44483</v>
      </c>
      <c r="AD257" t="inlineStr">
        <is>
          <t>TRUMBULL CAREER &amp; TECH CENTER</t>
        </is>
      </c>
      <c r="AE257" t="inlineStr">
        <is>
          <t>WARREN CITY</t>
        </is>
      </c>
      <c r="AF257" t="inlineStr">
        <is>
          <t>WARREN CITY SD</t>
        </is>
      </c>
      <c r="AH257" t="n">
        <v>14</v>
      </c>
      <c r="AI257" t="n">
        <v>11</v>
      </c>
      <c r="AN257" t="inlineStr">
        <is>
          <t>WARREN</t>
        </is>
      </c>
      <c r="AO257" t="inlineStr">
        <is>
          <t>WARREN CITY 4A</t>
        </is>
      </c>
      <c r="AP257" t="inlineStr">
        <is>
          <t>78-P-ADI</t>
        </is>
      </c>
      <c r="AQ257" t="n">
        <v>9</v>
      </c>
      <c r="AR257" t="n">
        <v>64</v>
      </c>
      <c r="AS257" t="n">
        <v>32</v>
      </c>
      <c r="AU257">
        <f>COUNTA($BA$257:$EH$257)</f>
        <v/>
      </c>
      <c r="AV257">
        <f>COUNTIF($BA$257:$EH$257,"D")</f>
        <v/>
      </c>
      <c r="AW257">
        <f>COUNTIF($BA$257:$EH$257,"R")</f>
        <v/>
      </c>
      <c r="AX257">
        <f>IF(BN257="D",1,0)+IF(BO257="D",1,0)+IF(BT257="D",1,0)+IF(BU257="D",1,0)+IF(BW257="D",1,0)+IF(CC257="D",1,0)+IF(CD257="D",1,0)+IF(CE257="D",1,0)+IF(CF257="D",1,0)+IF(CL257="D",1,0)+IF(CM257="D",1,0)+IF(CQ257="D",1,0)+IF(CR257="D",1,0)+IF(CS257="D",1,0)+IF(CW257="D",1,0)+IF(CX257="D",1,0)+IF(DD257="D",1,0)+IF(DE257="D",1,0)+IF(DJ257="D",1,0)+IF(DK257="D",1,0)+IF(DO257="D",1,0)+IF(DP257="D",1,0)+IF(DQ257="D",1,0)+IF(DW257="D",1,0)+IF(DZ257="D",1,0)+IF(EH257="D",1,0)</f>
        <v/>
      </c>
      <c r="AY257">
        <f>IF(DJ257&lt;&gt;"",1,0)+IF(DK257&lt;&gt;"",1,0)+IF(DM257&lt;&gt;"",1,0)+IF(DO257&lt;&gt;"",1,0)+IF(DP257&lt;&gt;"",1,0)+IF(DQ257&lt;&gt;"",1,0)+IF(DS257&lt;&gt;"",1,0)+IF(DT257&lt;&gt;"",1,0)+IF(DV257&lt;&gt;"",1,0)+IF(DW257&lt;&gt;"",1,0)+IF(DX257&lt;&gt;"",1,0)+IF(DY257&lt;&gt;"",1,0)+IF(DZ257&lt;&gt;"",1,0)+IF(EB257&lt;&gt;"",1,0)+IF(EC257&lt;&gt;"",1,0)+IF(ED257&lt;&gt;"",1,0)+IF(EG257&lt;&gt;"",1,0)+IF(EH257&lt;&gt;"",1,0)</f>
        <v/>
      </c>
      <c r="AZ257">
        <f>IF(EH257&lt;&gt;"",1,0)</f>
        <v/>
      </c>
      <c r="BB257" t="inlineStr">
        <is>
          <t>WARREN-WARD 4</t>
        </is>
      </c>
    </row>
    <row r="258">
      <c r="A258" t="inlineStr">
        <is>
          <t>OH0025640781</t>
        </is>
      </c>
      <c r="B258" t="n">
        <v>78</v>
      </c>
      <c r="C258" t="n">
        <v>447613</v>
      </c>
      <c r="D258" t="inlineStr">
        <is>
          <t>EVANS</t>
        </is>
      </c>
      <c r="E258" t="inlineStr">
        <is>
          <t>JENNIFER</t>
        </is>
      </c>
      <c r="F258">
        <f>CONCATENATE(D258," ",LEFT(H258,4),"T=",AU258,"D=",AV258,"R=",AW258,"M=",AX258,"L=",AY258,"B=",AZ258)</f>
        <v/>
      </c>
      <c r="G258" t="inlineStr">
        <is>
          <t>L</t>
        </is>
      </c>
      <c r="I258" t="inlineStr">
        <is>
          <t>1969-05-28</t>
        </is>
      </c>
      <c r="J258" t="inlineStr">
        <is>
          <t>2020-06-27</t>
        </is>
      </c>
      <c r="K258" t="inlineStr">
        <is>
          <t>ACTIVE</t>
        </is>
      </c>
      <c r="M258" t="inlineStr">
        <is>
          <t>404 ADELAIDE AVE SE</t>
        </is>
      </c>
      <c r="N258">
        <f>RIGHT(M258,LEN(M258)-FIND(" ",M258))</f>
        <v/>
      </c>
      <c r="P258" t="inlineStr">
        <is>
          <t>WARREN</t>
        </is>
      </c>
      <c r="Q258" t="inlineStr">
        <is>
          <t>OH</t>
        </is>
      </c>
      <c r="R258" t="n">
        <v>44483</v>
      </c>
      <c r="AD258" t="inlineStr">
        <is>
          <t>TRUMBULL CAREER &amp; TECH CENTER</t>
        </is>
      </c>
      <c r="AE258" t="inlineStr">
        <is>
          <t>WARREN CITY</t>
        </is>
      </c>
      <c r="AF258" t="inlineStr">
        <is>
          <t>WARREN CITY SD</t>
        </is>
      </c>
      <c r="AH258" t="n">
        <v>14</v>
      </c>
      <c r="AI258" t="n">
        <v>11</v>
      </c>
      <c r="AN258" t="inlineStr">
        <is>
          <t>WARREN</t>
        </is>
      </c>
      <c r="AO258" t="inlineStr">
        <is>
          <t>WARREN CITY 4A</t>
        </is>
      </c>
      <c r="AP258" t="inlineStr">
        <is>
          <t>78-P-ADI</t>
        </is>
      </c>
      <c r="AQ258" t="n">
        <v>9</v>
      </c>
      <c r="AR258" t="n">
        <v>64</v>
      </c>
      <c r="AS258" t="n">
        <v>32</v>
      </c>
      <c r="AU258">
        <f>COUNTA($BA$258:$EH$258)</f>
        <v/>
      </c>
      <c r="AV258">
        <f>COUNTIF($BA$258:$EH$258,"D")</f>
        <v/>
      </c>
      <c r="AW258">
        <f>COUNTIF($BA$258:$EH$258,"R")</f>
        <v/>
      </c>
      <c r="AX258">
        <f>IF(BN258="D",1,0)+IF(BO258="D",1,0)+IF(BT258="D",1,0)+IF(BU258="D",1,0)+IF(BW258="D",1,0)+IF(CC258="D",1,0)+IF(CD258="D",1,0)+IF(CE258="D",1,0)+IF(CF258="D",1,0)+IF(CL258="D",1,0)+IF(CM258="D",1,0)+IF(CQ258="D",1,0)+IF(CR258="D",1,0)+IF(CS258="D",1,0)+IF(CW258="D",1,0)+IF(CX258="D",1,0)+IF(DD258="D",1,0)+IF(DE258="D",1,0)+IF(DJ258="D",1,0)+IF(DK258="D",1,0)+IF(DO258="D",1,0)+IF(DP258="D",1,0)+IF(DQ258="D",1,0)+IF(DW258="D",1,0)+IF(DZ258="D",1,0)+IF(EH258="D",1,0)</f>
        <v/>
      </c>
      <c r="AY258">
        <f>IF(DJ258&lt;&gt;"",1,0)+IF(DK258&lt;&gt;"",1,0)+IF(DM258&lt;&gt;"",1,0)+IF(DO258&lt;&gt;"",1,0)+IF(DP258&lt;&gt;"",1,0)+IF(DQ258&lt;&gt;"",1,0)+IF(DS258&lt;&gt;"",1,0)+IF(DT258&lt;&gt;"",1,0)+IF(DV258&lt;&gt;"",1,0)+IF(DW258&lt;&gt;"",1,0)+IF(DX258&lt;&gt;"",1,0)+IF(DY258&lt;&gt;"",1,0)+IF(DZ258&lt;&gt;"",1,0)+IF(EB258&lt;&gt;"",1,0)+IF(EC258&lt;&gt;"",1,0)+IF(ED258&lt;&gt;"",1,0)+IF(EG258&lt;&gt;"",1,0)+IF(EH258&lt;&gt;"",1,0)</f>
        <v/>
      </c>
      <c r="AZ258">
        <f>IF(EH258&lt;&gt;"",1,0)</f>
        <v/>
      </c>
      <c r="BB258" t="inlineStr">
        <is>
          <t>WARREN-WARD 4</t>
        </is>
      </c>
      <c r="DN258" t="inlineStr">
        <is>
          <t>X</t>
        </is>
      </c>
      <c r="DU258" t="inlineStr">
        <is>
          <t>X</t>
        </is>
      </c>
    </row>
    <row r="259">
      <c r="A259" t="inlineStr">
        <is>
          <t>OH0024811035</t>
        </is>
      </c>
      <c r="B259" t="n">
        <v>78</v>
      </c>
      <c r="C259" t="n">
        <v>435287</v>
      </c>
      <c r="D259" t="inlineStr">
        <is>
          <t>CRENSHAW</t>
        </is>
      </c>
      <c r="E259" t="inlineStr">
        <is>
          <t>TREONA</t>
        </is>
      </c>
      <c r="F259">
        <f>CONCATENATE(D259," ",LEFT(H259,4),"T=",AU259,"D=",AV259,"R=",AW259,"M=",AX259,"L=",AY259,"B=",AZ259)</f>
        <v/>
      </c>
      <c r="G259" t="inlineStr">
        <is>
          <t>L</t>
        </is>
      </c>
      <c r="I259" t="inlineStr">
        <is>
          <t>2000-10-03</t>
        </is>
      </c>
      <c r="J259" t="inlineStr">
        <is>
          <t>2023-08-31</t>
        </is>
      </c>
      <c r="K259" t="inlineStr">
        <is>
          <t>ACTIVE</t>
        </is>
      </c>
      <c r="M259" t="inlineStr">
        <is>
          <t>637 WOODBINE AVE SE</t>
        </is>
      </c>
      <c r="N259">
        <f>RIGHT(M259,LEN(M259)-FIND(" ",M259))</f>
        <v/>
      </c>
      <c r="P259" t="inlineStr">
        <is>
          <t>WARREN</t>
        </is>
      </c>
      <c r="Q259" t="inlineStr">
        <is>
          <t>OH</t>
        </is>
      </c>
      <c r="R259" t="n">
        <v>44483</v>
      </c>
      <c r="AD259" t="inlineStr">
        <is>
          <t>TRUMBULL CAREER &amp; TECH CENTER</t>
        </is>
      </c>
      <c r="AE259" t="inlineStr">
        <is>
          <t>WARREN CITY</t>
        </is>
      </c>
      <c r="AF259" t="inlineStr">
        <is>
          <t>WARREN CITY SD</t>
        </is>
      </c>
      <c r="AH259" t="n">
        <v>14</v>
      </c>
      <c r="AI259" t="n">
        <v>11</v>
      </c>
      <c r="AN259" t="inlineStr">
        <is>
          <t>WARREN</t>
        </is>
      </c>
      <c r="AO259" t="inlineStr">
        <is>
          <t>WARREN CITY 4A</t>
        </is>
      </c>
      <c r="AP259" t="inlineStr">
        <is>
          <t>78-P-ADI</t>
        </is>
      </c>
      <c r="AQ259" t="n">
        <v>9</v>
      </c>
      <c r="AR259" t="n">
        <v>64</v>
      </c>
      <c r="AS259" t="n">
        <v>32</v>
      </c>
      <c r="AU259">
        <f>COUNTA($BA$259:$EH$259)</f>
        <v/>
      </c>
      <c r="AV259">
        <f>COUNTIF($BA$259:$EH$259,"D")</f>
        <v/>
      </c>
      <c r="AW259">
        <f>COUNTIF($BA$259:$EH$259,"R")</f>
        <v/>
      </c>
      <c r="AX259">
        <f>IF(BN259="D",1,0)+IF(BO259="D",1,0)+IF(BT259="D",1,0)+IF(BU259="D",1,0)+IF(BW259="D",1,0)+IF(CC259="D",1,0)+IF(CD259="D",1,0)+IF(CE259="D",1,0)+IF(CF259="D",1,0)+IF(CL259="D",1,0)+IF(CM259="D",1,0)+IF(CQ259="D",1,0)+IF(CR259="D",1,0)+IF(CS259="D",1,0)+IF(CW259="D",1,0)+IF(CX259="D",1,0)+IF(DD259="D",1,0)+IF(DE259="D",1,0)+IF(DJ259="D",1,0)+IF(DK259="D",1,0)+IF(DO259="D",1,0)+IF(DP259="D",1,0)+IF(DQ259="D",1,0)+IF(DW259="D",1,0)+IF(DZ259="D",1,0)+IF(EH259="D",1,0)</f>
        <v/>
      </c>
      <c r="AY259">
        <f>IF(DJ259&lt;&gt;"",1,0)+IF(DK259&lt;&gt;"",1,0)+IF(DM259&lt;&gt;"",1,0)+IF(DO259&lt;&gt;"",1,0)+IF(DP259&lt;&gt;"",1,0)+IF(DQ259&lt;&gt;"",1,0)+IF(DS259&lt;&gt;"",1,0)+IF(DT259&lt;&gt;"",1,0)+IF(DV259&lt;&gt;"",1,0)+IF(DW259&lt;&gt;"",1,0)+IF(DX259&lt;&gt;"",1,0)+IF(DY259&lt;&gt;"",1,0)+IF(DZ259&lt;&gt;"",1,0)+IF(EB259&lt;&gt;"",1,0)+IF(EC259&lt;&gt;"",1,0)+IF(ED259&lt;&gt;"",1,0)+IF(EG259&lt;&gt;"",1,0)+IF(EH259&lt;&gt;"",1,0)</f>
        <v/>
      </c>
      <c r="AZ259">
        <f>IF(EH259&lt;&gt;"",1,0)</f>
        <v/>
      </c>
      <c r="BB259" t="inlineStr">
        <is>
          <t>WARREN-WARD 4</t>
        </is>
      </c>
      <c r="DI259" t="inlineStr">
        <is>
          <t>X</t>
        </is>
      </c>
      <c r="DN259" t="inlineStr">
        <is>
          <t>X</t>
        </is>
      </c>
      <c r="DX259" t="inlineStr">
        <is>
          <t>X</t>
        </is>
      </c>
      <c r="EF259" t="inlineStr">
        <is>
          <t>X</t>
        </is>
      </c>
    </row>
    <row r="260">
      <c r="A260" t="inlineStr">
        <is>
          <t>OH0026438680</t>
        </is>
      </c>
      <c r="B260" t="n">
        <v>78</v>
      </c>
      <c r="C260" t="n">
        <v>462248</v>
      </c>
      <c r="D260" t="inlineStr">
        <is>
          <t>OCONNELL</t>
        </is>
      </c>
      <c r="E260" t="inlineStr">
        <is>
          <t>JEFFREY</t>
        </is>
      </c>
      <c r="F260">
        <f>CONCATENATE(D260," ",LEFT(H260,4),"T=",AU260,"D=",AV260,"R=",AW260,"M=",AX260,"L=",AY260,"B=",AZ260)</f>
        <v/>
      </c>
      <c r="G260" t="inlineStr">
        <is>
          <t>M</t>
        </is>
      </c>
      <c r="I260" t="inlineStr">
        <is>
          <t>1967-12-30</t>
        </is>
      </c>
      <c r="J260" t="inlineStr">
        <is>
          <t>2022-08-18</t>
        </is>
      </c>
      <c r="K260" t="inlineStr">
        <is>
          <t>ACTIVE</t>
        </is>
      </c>
      <c r="M260" t="inlineStr">
        <is>
          <t>526 WOODBINE AVE SE</t>
        </is>
      </c>
      <c r="N260">
        <f>RIGHT(M260,LEN(M260)-FIND(" ",M260))</f>
        <v/>
      </c>
      <c r="O260" t="inlineStr">
        <is>
          <t>APT B</t>
        </is>
      </c>
      <c r="P260" t="inlineStr">
        <is>
          <t>WARREN</t>
        </is>
      </c>
      <c r="Q260" t="inlineStr">
        <is>
          <t>OH</t>
        </is>
      </c>
      <c r="R260" t="n">
        <v>44483</v>
      </c>
      <c r="AD260" t="inlineStr">
        <is>
          <t>TRUMBULL CAREER &amp; TECH CENTER</t>
        </is>
      </c>
      <c r="AE260" t="inlineStr">
        <is>
          <t>WARREN CITY</t>
        </is>
      </c>
      <c r="AF260" t="inlineStr">
        <is>
          <t>WARREN CITY SD</t>
        </is>
      </c>
      <c r="AH260" t="n">
        <v>14</v>
      </c>
      <c r="AI260" t="n">
        <v>11</v>
      </c>
      <c r="AN260" t="inlineStr">
        <is>
          <t>WARREN</t>
        </is>
      </c>
      <c r="AO260" t="inlineStr">
        <is>
          <t>WARREN CITY 4A</t>
        </is>
      </c>
      <c r="AP260" t="inlineStr">
        <is>
          <t>78-P-ADI</t>
        </is>
      </c>
      <c r="AQ260" t="n">
        <v>9</v>
      </c>
      <c r="AR260" t="n">
        <v>64</v>
      </c>
      <c r="AS260" t="n">
        <v>32</v>
      </c>
      <c r="AU260">
        <f>COUNTA($BA$260:$EH$260)</f>
        <v/>
      </c>
      <c r="AV260">
        <f>COUNTIF($BA$260:$EH$260,"D")</f>
        <v/>
      </c>
      <c r="AW260">
        <f>COUNTIF($BA$260:$EH$260,"R")</f>
        <v/>
      </c>
      <c r="AX260">
        <f>IF(BN260="D",1,0)+IF(BO260="D",1,0)+IF(BT260="D",1,0)+IF(BU260="D",1,0)+IF(BW260="D",1,0)+IF(CC260="D",1,0)+IF(CD260="D",1,0)+IF(CE260="D",1,0)+IF(CF260="D",1,0)+IF(CL260="D",1,0)+IF(CM260="D",1,0)+IF(CQ260="D",1,0)+IF(CR260="D",1,0)+IF(CS260="D",1,0)+IF(CW260="D",1,0)+IF(CX260="D",1,0)+IF(DD260="D",1,0)+IF(DE260="D",1,0)+IF(DJ260="D",1,0)+IF(DK260="D",1,0)+IF(DO260="D",1,0)+IF(DP260="D",1,0)+IF(DQ260="D",1,0)+IF(DW260="D",1,0)+IF(DZ260="D",1,0)+IF(EH260="D",1,0)</f>
        <v/>
      </c>
      <c r="AY260">
        <f>IF(DJ260&lt;&gt;"",1,0)+IF(DK260&lt;&gt;"",1,0)+IF(DM260&lt;&gt;"",1,0)+IF(DO260&lt;&gt;"",1,0)+IF(DP260&lt;&gt;"",1,0)+IF(DQ260&lt;&gt;"",1,0)+IF(DS260&lt;&gt;"",1,0)+IF(DT260&lt;&gt;"",1,0)+IF(DV260&lt;&gt;"",1,0)+IF(DW260&lt;&gt;"",1,0)+IF(DX260&lt;&gt;"",1,0)+IF(DY260&lt;&gt;"",1,0)+IF(DZ260&lt;&gt;"",1,0)+IF(EB260&lt;&gt;"",1,0)+IF(EC260&lt;&gt;"",1,0)+IF(ED260&lt;&gt;"",1,0)+IF(EG260&lt;&gt;"",1,0)+IF(EH260&lt;&gt;"",1,0)</f>
        <v/>
      </c>
      <c r="AZ260">
        <f>IF(EH260&lt;&gt;"",1,0)</f>
        <v/>
      </c>
      <c r="BB260" t="inlineStr">
        <is>
          <t>WARREN-WARD 4</t>
        </is>
      </c>
      <c r="BD260" t="inlineStr">
        <is>
          <t>X</t>
        </is>
      </c>
      <c r="BE260" t="inlineStr">
        <is>
          <t>X</t>
        </is>
      </c>
      <c r="BG260" t="inlineStr">
        <is>
          <t>X</t>
        </is>
      </c>
      <c r="BH260" t="inlineStr">
        <is>
          <t>X</t>
        </is>
      </c>
      <c r="BJ260" t="inlineStr">
        <is>
          <t>X</t>
        </is>
      </c>
      <c r="BK260" t="inlineStr">
        <is>
          <t>X</t>
        </is>
      </c>
      <c r="BL260" t="inlineStr">
        <is>
          <t>X</t>
        </is>
      </c>
      <c r="BP260" t="inlineStr">
        <is>
          <t>X</t>
        </is>
      </c>
      <c r="BR260" t="inlineStr">
        <is>
          <t>X</t>
        </is>
      </c>
      <c r="BY260" t="inlineStr">
        <is>
          <t>D</t>
        </is>
      </c>
      <c r="CG260" t="inlineStr">
        <is>
          <t>X</t>
        </is>
      </c>
      <c r="CL260" t="inlineStr">
        <is>
          <t>D</t>
        </is>
      </c>
      <c r="CN260" t="inlineStr">
        <is>
          <t>X</t>
        </is>
      </c>
      <c r="CP260" t="inlineStr">
        <is>
          <t>X</t>
        </is>
      </c>
      <c r="CV260" t="inlineStr">
        <is>
          <t>X</t>
        </is>
      </c>
      <c r="CY260" t="inlineStr">
        <is>
          <t>X</t>
        </is>
      </c>
      <c r="CZ260" t="inlineStr">
        <is>
          <t>D</t>
        </is>
      </c>
      <c r="DN260" t="inlineStr">
        <is>
          <t>X</t>
        </is>
      </c>
    </row>
    <row r="261">
      <c r="A261" t="inlineStr">
        <is>
          <t>OH0026939200</t>
        </is>
      </c>
      <c r="B261" t="n">
        <v>78</v>
      </c>
      <c r="C261" t="n">
        <v>474732</v>
      </c>
      <c r="D261" t="inlineStr">
        <is>
          <t>BURDICK</t>
        </is>
      </c>
      <c r="E261" t="inlineStr">
        <is>
          <t>BRENDA</t>
        </is>
      </c>
      <c r="F261">
        <f>CONCATENATE(D261," ",LEFT(H261,4),"T=",AU261,"D=",AV261,"R=",AW261,"M=",AX261,"L=",AY261,"B=",AZ261)</f>
        <v/>
      </c>
      <c r="G261" t="inlineStr">
        <is>
          <t>S</t>
        </is>
      </c>
      <c r="I261" t="inlineStr">
        <is>
          <t>1960-02-04</t>
        </is>
      </c>
      <c r="J261" t="inlineStr">
        <is>
          <t>2023-05-08</t>
        </is>
      </c>
      <c r="K261" t="inlineStr">
        <is>
          <t>ACTIVE</t>
        </is>
      </c>
      <c r="M261" t="inlineStr">
        <is>
          <t>258 IDDINGS AVE SE</t>
        </is>
      </c>
      <c r="N261">
        <f>RIGHT(M261,LEN(M261)-FIND(" ",M261))</f>
        <v/>
      </c>
      <c r="P261" t="inlineStr">
        <is>
          <t>WARREN</t>
        </is>
      </c>
      <c r="Q261" t="inlineStr">
        <is>
          <t>OH</t>
        </is>
      </c>
      <c r="R261" t="n">
        <v>44483</v>
      </c>
      <c r="AD261" t="inlineStr">
        <is>
          <t>TRUMBULL CAREER &amp; TECH CENTER</t>
        </is>
      </c>
      <c r="AE261" t="inlineStr">
        <is>
          <t>WARREN CITY</t>
        </is>
      </c>
      <c r="AF261" t="inlineStr">
        <is>
          <t>WARREN CITY SD</t>
        </is>
      </c>
      <c r="AH261" t="n">
        <v>14</v>
      </c>
      <c r="AI261" t="n">
        <v>11</v>
      </c>
      <c r="AN261" t="inlineStr">
        <is>
          <t>WARREN</t>
        </is>
      </c>
      <c r="AO261" t="inlineStr">
        <is>
          <t>WARREN CITY 4A</t>
        </is>
      </c>
      <c r="AP261" t="inlineStr">
        <is>
          <t>78-P-ADI</t>
        </is>
      </c>
      <c r="AQ261" t="n">
        <v>9</v>
      </c>
      <c r="AR261" t="n">
        <v>64</v>
      </c>
      <c r="AS261" t="n">
        <v>32</v>
      </c>
      <c r="AU261">
        <f>COUNTA($BA$261:$EH$261)</f>
        <v/>
      </c>
      <c r="AV261">
        <f>COUNTIF($BA$261:$EH$261,"D")</f>
        <v/>
      </c>
      <c r="AW261">
        <f>COUNTIF($BA$261:$EH$261,"R")</f>
        <v/>
      </c>
      <c r="AX261">
        <f>IF(BN261="D",1,0)+IF(BO261="D",1,0)+IF(BT261="D",1,0)+IF(BU261="D",1,0)+IF(BW261="D",1,0)+IF(CC261="D",1,0)+IF(CD261="D",1,0)+IF(CE261="D",1,0)+IF(CF261="D",1,0)+IF(CL261="D",1,0)+IF(CM261="D",1,0)+IF(CQ261="D",1,0)+IF(CR261="D",1,0)+IF(CS261="D",1,0)+IF(CW261="D",1,0)+IF(CX261="D",1,0)+IF(DD261="D",1,0)+IF(DE261="D",1,0)+IF(DJ261="D",1,0)+IF(DK261="D",1,0)+IF(DO261="D",1,0)+IF(DP261="D",1,0)+IF(DQ261="D",1,0)+IF(DW261="D",1,0)+IF(DZ261="D",1,0)+IF(EH261="D",1,0)</f>
        <v/>
      </c>
      <c r="AY261">
        <f>IF(DJ261&lt;&gt;"",1,0)+IF(DK261&lt;&gt;"",1,0)+IF(DM261&lt;&gt;"",1,0)+IF(DO261&lt;&gt;"",1,0)+IF(DP261&lt;&gt;"",1,0)+IF(DQ261&lt;&gt;"",1,0)+IF(DS261&lt;&gt;"",1,0)+IF(DT261&lt;&gt;"",1,0)+IF(DV261&lt;&gt;"",1,0)+IF(DW261&lt;&gt;"",1,0)+IF(DX261&lt;&gt;"",1,0)+IF(DY261&lt;&gt;"",1,0)+IF(DZ261&lt;&gt;"",1,0)+IF(EB261&lt;&gt;"",1,0)+IF(EC261&lt;&gt;"",1,0)+IF(ED261&lt;&gt;"",1,0)+IF(EG261&lt;&gt;"",1,0)+IF(EH261&lt;&gt;"",1,0)</f>
        <v/>
      </c>
      <c r="AZ261">
        <f>IF(EH261&lt;&gt;"",1,0)</f>
        <v/>
      </c>
      <c r="BB261" t="inlineStr">
        <is>
          <t>WARREN-WARD 4</t>
        </is>
      </c>
      <c r="BD261" t="inlineStr">
        <is>
          <t>X</t>
        </is>
      </c>
      <c r="BL261" t="inlineStr">
        <is>
          <t>X</t>
        </is>
      </c>
      <c r="BS261" t="inlineStr">
        <is>
          <t>X</t>
        </is>
      </c>
      <c r="BY261" t="inlineStr">
        <is>
          <t>D</t>
        </is>
      </c>
      <c r="CA261" t="inlineStr">
        <is>
          <t>X</t>
        </is>
      </c>
      <c r="CP261" t="inlineStr">
        <is>
          <t>X</t>
        </is>
      </c>
      <c r="EF261" t="inlineStr">
        <is>
          <t>X</t>
        </is>
      </c>
    </row>
    <row r="262">
      <c r="A262" t="inlineStr">
        <is>
          <t>OH0024308683</t>
        </is>
      </c>
      <c r="B262" t="n">
        <v>78</v>
      </c>
      <c r="C262" t="n">
        <v>426810</v>
      </c>
      <c r="D262" t="inlineStr">
        <is>
          <t>MARXEN</t>
        </is>
      </c>
      <c r="E262" t="inlineStr">
        <is>
          <t>JAMES</t>
        </is>
      </c>
      <c r="F262">
        <f>CONCATENATE(D262," ",LEFT(H262,4),"T=",AU262,"D=",AV262,"R=",AW262,"M=",AX262,"L=",AY262,"B=",AZ262)</f>
        <v/>
      </c>
      <c r="G262" t="inlineStr">
        <is>
          <t>MICHAEL</t>
        </is>
      </c>
      <c r="H262" t="inlineStr">
        <is>
          <t>JR</t>
        </is>
      </c>
      <c r="I262" t="inlineStr">
        <is>
          <t>1995-04-16</t>
        </is>
      </c>
      <c r="J262" t="inlineStr">
        <is>
          <t>2017-06-21</t>
        </is>
      </c>
      <c r="K262" t="inlineStr">
        <is>
          <t>CONFIRMATION</t>
        </is>
      </c>
      <c r="M262" t="inlineStr">
        <is>
          <t>790 BONNIE BRAE AVE SE</t>
        </is>
      </c>
      <c r="N262">
        <f>RIGHT(M262,LEN(M262)-FIND(" ",M262))</f>
        <v/>
      </c>
      <c r="P262" t="inlineStr">
        <is>
          <t>WARREN</t>
        </is>
      </c>
      <c r="Q262" t="inlineStr">
        <is>
          <t>OH</t>
        </is>
      </c>
      <c r="R262" t="n">
        <v>44484</v>
      </c>
      <c r="AD262" t="inlineStr">
        <is>
          <t>TRUMBULL CAREER &amp; TECH CENTER</t>
        </is>
      </c>
      <c r="AE262" t="inlineStr">
        <is>
          <t>WARREN CITY</t>
        </is>
      </c>
      <c r="AF262" t="inlineStr">
        <is>
          <t>WARREN CITY SD</t>
        </is>
      </c>
      <c r="AH262" t="n">
        <v>14</v>
      </c>
      <c r="AI262" t="n">
        <v>11</v>
      </c>
      <c r="AN262" t="inlineStr">
        <is>
          <t>WARREN</t>
        </is>
      </c>
      <c r="AO262" t="inlineStr">
        <is>
          <t>WARREN CITY 4A</t>
        </is>
      </c>
      <c r="AP262" t="inlineStr">
        <is>
          <t>78-P-ADI</t>
        </is>
      </c>
      <c r="AQ262" t="n">
        <v>9</v>
      </c>
      <c r="AR262" t="n">
        <v>64</v>
      </c>
      <c r="AS262" t="n">
        <v>32</v>
      </c>
      <c r="AU262">
        <f>COUNTA($BA$262:$EH$262)</f>
        <v/>
      </c>
      <c r="AV262">
        <f>COUNTIF($BA$262:$EH$262,"D")</f>
        <v/>
      </c>
      <c r="AW262">
        <f>COUNTIF($BA$262:$EH$262,"R")</f>
        <v/>
      </c>
      <c r="AX262">
        <f>IF(BN262="D",1,0)+IF(BO262="D",1,0)+IF(BT262="D",1,0)+IF(BU262="D",1,0)+IF(BW262="D",1,0)+IF(CC262="D",1,0)+IF(CD262="D",1,0)+IF(CE262="D",1,0)+IF(CF262="D",1,0)+IF(CL262="D",1,0)+IF(CM262="D",1,0)+IF(CQ262="D",1,0)+IF(CR262="D",1,0)+IF(CS262="D",1,0)+IF(CW262="D",1,0)+IF(CX262="D",1,0)+IF(DD262="D",1,0)+IF(DE262="D",1,0)+IF(DJ262="D",1,0)+IF(DK262="D",1,0)+IF(DO262="D",1,0)+IF(DP262="D",1,0)+IF(DQ262="D",1,0)+IF(DW262="D",1,0)+IF(DZ262="D",1,0)+IF(EH262="D",1,0)</f>
        <v/>
      </c>
      <c r="AY262">
        <f>IF(DJ262&lt;&gt;"",1,0)+IF(DK262&lt;&gt;"",1,0)+IF(DM262&lt;&gt;"",1,0)+IF(DO262&lt;&gt;"",1,0)+IF(DP262&lt;&gt;"",1,0)+IF(DQ262&lt;&gt;"",1,0)+IF(DS262&lt;&gt;"",1,0)+IF(DT262&lt;&gt;"",1,0)+IF(DV262&lt;&gt;"",1,0)+IF(DW262&lt;&gt;"",1,0)+IF(DX262&lt;&gt;"",1,0)+IF(DY262&lt;&gt;"",1,0)+IF(DZ262&lt;&gt;"",1,0)+IF(EB262&lt;&gt;"",1,0)+IF(EC262&lt;&gt;"",1,0)+IF(ED262&lt;&gt;"",1,0)+IF(EG262&lt;&gt;"",1,0)+IF(EH262&lt;&gt;"",1,0)</f>
        <v/>
      </c>
      <c r="AZ262">
        <f>IF(EH262&lt;&gt;"",1,0)</f>
        <v/>
      </c>
      <c r="BB262" t="inlineStr">
        <is>
          <t>WARREN-WARD 4</t>
        </is>
      </c>
    </row>
    <row r="263">
      <c r="A263" t="inlineStr">
        <is>
          <t>OH0015818118</t>
        </is>
      </c>
      <c r="B263" t="n">
        <v>78</v>
      </c>
      <c r="C263" t="n">
        <v>273710</v>
      </c>
      <c r="D263" t="inlineStr">
        <is>
          <t>HIGGINS</t>
        </is>
      </c>
      <c r="E263" t="inlineStr">
        <is>
          <t>TIMOTHY</t>
        </is>
      </c>
      <c r="F263">
        <f>CONCATENATE(D263," ",LEFT(H263,4),"T=",AU263,"D=",AV263,"R=",AW263,"M=",AX263,"L=",AY263,"B=",AZ263)</f>
        <v/>
      </c>
      <c r="G263" t="inlineStr">
        <is>
          <t>S</t>
        </is>
      </c>
      <c r="I263" t="inlineStr">
        <is>
          <t>1972-11-14</t>
        </is>
      </c>
      <c r="J263" t="inlineStr">
        <is>
          <t>2019-07-29</t>
        </is>
      </c>
      <c r="K263" t="inlineStr">
        <is>
          <t>CONFIRMATION</t>
        </is>
      </c>
      <c r="M263" t="inlineStr">
        <is>
          <t>472 CHARLES AVE SE</t>
        </is>
      </c>
      <c r="N263">
        <f>RIGHT(M263,LEN(M263)-FIND(" ",M263))</f>
        <v/>
      </c>
      <c r="P263" t="inlineStr">
        <is>
          <t>WARREN</t>
        </is>
      </c>
      <c r="Q263" t="inlineStr">
        <is>
          <t>OH</t>
        </is>
      </c>
      <c r="R263" t="n">
        <v>44483</v>
      </c>
      <c r="AD263" t="inlineStr">
        <is>
          <t>TRUMBULL CAREER &amp; TECH CENTER</t>
        </is>
      </c>
      <c r="AE263" t="inlineStr">
        <is>
          <t>WARREN CITY</t>
        </is>
      </c>
      <c r="AF263" t="inlineStr">
        <is>
          <t>WARREN CITY SD</t>
        </is>
      </c>
      <c r="AH263" t="n">
        <v>14</v>
      </c>
      <c r="AI263" t="n">
        <v>11</v>
      </c>
      <c r="AN263" t="inlineStr">
        <is>
          <t>WARREN</t>
        </is>
      </c>
      <c r="AO263" t="inlineStr">
        <is>
          <t>WARREN CITY 4A</t>
        </is>
      </c>
      <c r="AP263" t="inlineStr">
        <is>
          <t>78-P-ADI</t>
        </is>
      </c>
      <c r="AQ263" t="n">
        <v>9</v>
      </c>
      <c r="AR263" t="n">
        <v>64</v>
      </c>
      <c r="AS263" t="n">
        <v>32</v>
      </c>
      <c r="AU263">
        <f>COUNTA($BA$263:$EH$263)</f>
        <v/>
      </c>
      <c r="AV263">
        <f>COUNTIF($BA$263:$EH$263,"D")</f>
        <v/>
      </c>
      <c r="AW263">
        <f>COUNTIF($BA$263:$EH$263,"R")</f>
        <v/>
      </c>
      <c r="AX263">
        <f>IF(BN263="D",1,0)+IF(BO263="D",1,0)+IF(BT263="D",1,0)+IF(BU263="D",1,0)+IF(BW263="D",1,0)+IF(CC263="D",1,0)+IF(CD263="D",1,0)+IF(CE263="D",1,0)+IF(CF263="D",1,0)+IF(CL263="D",1,0)+IF(CM263="D",1,0)+IF(CQ263="D",1,0)+IF(CR263="D",1,0)+IF(CS263="D",1,0)+IF(CW263="D",1,0)+IF(CX263="D",1,0)+IF(DD263="D",1,0)+IF(DE263="D",1,0)+IF(DJ263="D",1,0)+IF(DK263="D",1,0)+IF(DO263="D",1,0)+IF(DP263="D",1,0)+IF(DQ263="D",1,0)+IF(DW263="D",1,0)+IF(DZ263="D",1,0)+IF(EH263="D",1,0)</f>
        <v/>
      </c>
      <c r="AY263">
        <f>IF(DJ263&lt;&gt;"",1,0)+IF(DK263&lt;&gt;"",1,0)+IF(DM263&lt;&gt;"",1,0)+IF(DO263&lt;&gt;"",1,0)+IF(DP263&lt;&gt;"",1,0)+IF(DQ263&lt;&gt;"",1,0)+IF(DS263&lt;&gt;"",1,0)+IF(DT263&lt;&gt;"",1,0)+IF(DV263&lt;&gt;"",1,0)+IF(DW263&lt;&gt;"",1,0)+IF(DX263&lt;&gt;"",1,0)+IF(DY263&lt;&gt;"",1,0)+IF(DZ263&lt;&gt;"",1,0)+IF(EB263&lt;&gt;"",1,0)+IF(EC263&lt;&gt;"",1,0)+IF(ED263&lt;&gt;"",1,0)+IF(EG263&lt;&gt;"",1,0)+IF(EH263&lt;&gt;"",1,0)</f>
        <v/>
      </c>
      <c r="AZ263">
        <f>IF(EH263&lt;&gt;"",1,0)</f>
        <v/>
      </c>
      <c r="BB263" t="inlineStr">
        <is>
          <t>WARREN-WARD 4</t>
        </is>
      </c>
      <c r="BC263" t="inlineStr">
        <is>
          <t>X</t>
        </is>
      </c>
      <c r="BD263" t="inlineStr">
        <is>
          <t>X</t>
        </is>
      </c>
      <c r="BH263" t="inlineStr">
        <is>
          <t>X</t>
        </is>
      </c>
      <c r="BL263" t="inlineStr">
        <is>
          <t>X</t>
        </is>
      </c>
      <c r="BP263" t="inlineStr">
        <is>
          <t>X</t>
        </is>
      </c>
      <c r="BS263" t="inlineStr">
        <is>
          <t>X</t>
        </is>
      </c>
      <c r="BY263" t="inlineStr">
        <is>
          <t>D</t>
        </is>
      </c>
      <c r="CA263" t="inlineStr">
        <is>
          <t>X</t>
        </is>
      </c>
      <c r="CG263" t="inlineStr">
        <is>
          <t>X</t>
        </is>
      </c>
      <c r="CK263" t="inlineStr">
        <is>
          <t>X</t>
        </is>
      </c>
      <c r="CN263" t="inlineStr">
        <is>
          <t>X</t>
        </is>
      </c>
      <c r="CP263" t="inlineStr">
        <is>
          <t>X</t>
        </is>
      </c>
      <c r="CV263" t="inlineStr">
        <is>
          <t>X</t>
        </is>
      </c>
      <c r="CY263" t="inlineStr">
        <is>
          <t>X</t>
        </is>
      </c>
      <c r="CZ263" t="inlineStr">
        <is>
          <t>D</t>
        </is>
      </c>
      <c r="DC263" t="inlineStr">
        <is>
          <t>X</t>
        </is>
      </c>
      <c r="DF263" t="inlineStr">
        <is>
          <t>X</t>
        </is>
      </c>
      <c r="DI263" t="inlineStr">
        <is>
          <t>X</t>
        </is>
      </c>
      <c r="DN263" t="inlineStr">
        <is>
          <t>X</t>
        </is>
      </c>
    </row>
    <row r="264">
      <c r="A264" t="inlineStr">
        <is>
          <t>OH0025158579</t>
        </is>
      </c>
      <c r="B264" t="n">
        <v>78</v>
      </c>
      <c r="C264" t="n">
        <v>440586</v>
      </c>
      <c r="D264" t="inlineStr">
        <is>
          <t>KURDYLA</t>
        </is>
      </c>
      <c r="E264" t="inlineStr">
        <is>
          <t>CARYN</t>
        </is>
      </c>
      <c r="F264">
        <f>CONCATENATE(D264," ",LEFT(H264,4),"T=",AU264,"D=",AV264,"R=",AW264,"M=",AX264,"L=",AY264,"B=",AZ264)</f>
        <v/>
      </c>
      <c r="G264" t="inlineStr">
        <is>
          <t>MARIE</t>
        </is>
      </c>
      <c r="I264" t="inlineStr">
        <is>
          <t>2001-07-23</t>
        </is>
      </c>
      <c r="J264" t="inlineStr">
        <is>
          <t>2019-07-25</t>
        </is>
      </c>
      <c r="K264" t="inlineStr">
        <is>
          <t>CONFIRMATION</t>
        </is>
      </c>
      <c r="M264" t="inlineStr">
        <is>
          <t>485 KENILWORTH AVE SE</t>
        </is>
      </c>
      <c r="N264">
        <f>RIGHT(M264,LEN(M264)-FIND(" ",M264))</f>
        <v/>
      </c>
      <c r="P264" t="inlineStr">
        <is>
          <t>WARREN</t>
        </is>
      </c>
      <c r="Q264" t="inlineStr">
        <is>
          <t>OH</t>
        </is>
      </c>
      <c r="R264" t="n">
        <v>44483</v>
      </c>
      <c r="S264" t="n">
        <v>6017</v>
      </c>
      <c r="AD264" t="inlineStr">
        <is>
          <t>TRUMBULL CAREER &amp; TECH CENTER</t>
        </is>
      </c>
      <c r="AE264" t="inlineStr">
        <is>
          <t>WARREN CITY</t>
        </is>
      </c>
      <c r="AF264" t="inlineStr">
        <is>
          <t>WARREN CITY SD</t>
        </is>
      </c>
      <c r="AH264" t="n">
        <v>14</v>
      </c>
      <c r="AI264" t="n">
        <v>11</v>
      </c>
      <c r="AN264" t="inlineStr">
        <is>
          <t>WARREN</t>
        </is>
      </c>
      <c r="AO264" t="inlineStr">
        <is>
          <t>WARREN CITY 4A</t>
        </is>
      </c>
      <c r="AP264" t="inlineStr">
        <is>
          <t>78-P-ADI</t>
        </is>
      </c>
      <c r="AQ264" t="n">
        <v>9</v>
      </c>
      <c r="AR264" t="n">
        <v>64</v>
      </c>
      <c r="AS264" t="n">
        <v>32</v>
      </c>
      <c r="AU264">
        <f>COUNTA($BA$264:$EH$264)</f>
        <v/>
      </c>
      <c r="AV264">
        <f>COUNTIF($BA$264:$EH$264,"D")</f>
        <v/>
      </c>
      <c r="AW264">
        <f>COUNTIF($BA$264:$EH$264,"R")</f>
        <v/>
      </c>
      <c r="AX264">
        <f>IF(BN264="D",1,0)+IF(BO264="D",1,0)+IF(BT264="D",1,0)+IF(BU264="D",1,0)+IF(BW264="D",1,0)+IF(CC264="D",1,0)+IF(CD264="D",1,0)+IF(CE264="D",1,0)+IF(CF264="D",1,0)+IF(CL264="D",1,0)+IF(CM264="D",1,0)+IF(CQ264="D",1,0)+IF(CR264="D",1,0)+IF(CS264="D",1,0)+IF(CW264="D",1,0)+IF(CX264="D",1,0)+IF(DD264="D",1,0)+IF(DE264="D",1,0)+IF(DJ264="D",1,0)+IF(DK264="D",1,0)+IF(DO264="D",1,0)+IF(DP264="D",1,0)+IF(DQ264="D",1,0)+IF(DW264="D",1,0)+IF(DZ264="D",1,0)+IF(EH264="D",1,0)</f>
        <v/>
      </c>
      <c r="AY264">
        <f>IF(DJ264&lt;&gt;"",1,0)+IF(DK264&lt;&gt;"",1,0)+IF(DM264&lt;&gt;"",1,0)+IF(DO264&lt;&gt;"",1,0)+IF(DP264&lt;&gt;"",1,0)+IF(DQ264&lt;&gt;"",1,0)+IF(DS264&lt;&gt;"",1,0)+IF(DT264&lt;&gt;"",1,0)+IF(DV264&lt;&gt;"",1,0)+IF(DW264&lt;&gt;"",1,0)+IF(DX264&lt;&gt;"",1,0)+IF(DY264&lt;&gt;"",1,0)+IF(DZ264&lt;&gt;"",1,0)+IF(EB264&lt;&gt;"",1,0)+IF(EC264&lt;&gt;"",1,0)+IF(ED264&lt;&gt;"",1,0)+IF(EG264&lt;&gt;"",1,0)+IF(EH264&lt;&gt;"",1,0)</f>
        <v/>
      </c>
      <c r="AZ264">
        <f>IF(EH264&lt;&gt;"",1,0)</f>
        <v/>
      </c>
      <c r="BB264" t="inlineStr">
        <is>
          <t>WARREN-WARD 4</t>
        </is>
      </c>
      <c r="DN264" t="inlineStr">
        <is>
          <t>X</t>
        </is>
      </c>
    </row>
    <row r="265">
      <c r="A265" t="inlineStr">
        <is>
          <t>OH0015724448</t>
        </is>
      </c>
      <c r="B265" t="n">
        <v>78</v>
      </c>
      <c r="C265" t="n">
        <v>207872</v>
      </c>
      <c r="D265" t="inlineStr">
        <is>
          <t>KELLAR</t>
        </is>
      </c>
      <c r="E265" t="inlineStr">
        <is>
          <t>ROBERT</t>
        </is>
      </c>
      <c r="F265">
        <f>CONCATENATE(D265," ",LEFT(H265,4),"T=",AU265,"D=",AV265,"R=",AW265,"M=",AX265,"L=",AY265,"B=",AZ265)</f>
        <v/>
      </c>
      <c r="G265" t="inlineStr">
        <is>
          <t>C</t>
        </is>
      </c>
      <c r="I265" t="inlineStr">
        <is>
          <t>1963-01-29</t>
        </is>
      </c>
      <c r="J265" t="inlineStr">
        <is>
          <t>2024-06-11</t>
        </is>
      </c>
      <c r="K265" t="inlineStr">
        <is>
          <t>ACTIVE</t>
        </is>
      </c>
      <c r="L265" t="inlineStr">
        <is>
          <t>R</t>
        </is>
      </c>
      <c r="M265" t="inlineStr">
        <is>
          <t>217 KENILWORTH AVE SE</t>
        </is>
      </c>
      <c r="N265">
        <f>RIGHT(M265,LEN(M265)-FIND(" ",M265))</f>
        <v/>
      </c>
      <c r="P265" t="inlineStr">
        <is>
          <t>WARREN</t>
        </is>
      </c>
      <c r="Q265" t="inlineStr">
        <is>
          <t>OH</t>
        </is>
      </c>
      <c r="R265" t="n">
        <v>44483</v>
      </c>
      <c r="AD265" t="inlineStr">
        <is>
          <t>TRUMBULL CAREER &amp; TECH CENTER</t>
        </is>
      </c>
      <c r="AE265" t="inlineStr">
        <is>
          <t>WARREN CITY</t>
        </is>
      </c>
      <c r="AF265" t="inlineStr">
        <is>
          <t>WARREN CITY SD</t>
        </is>
      </c>
      <c r="AH265" t="n">
        <v>14</v>
      </c>
      <c r="AI265" t="n">
        <v>11</v>
      </c>
      <c r="AN265" t="inlineStr">
        <is>
          <t>WARREN</t>
        </is>
      </c>
      <c r="AO265" t="inlineStr">
        <is>
          <t>WARREN CITY 4A</t>
        </is>
      </c>
      <c r="AP265" t="inlineStr">
        <is>
          <t>78-P-ADI</t>
        </is>
      </c>
      <c r="AQ265" t="n">
        <v>9</v>
      </c>
      <c r="AR265" t="n">
        <v>64</v>
      </c>
      <c r="AS265" t="n">
        <v>32</v>
      </c>
      <c r="AU265">
        <f>COUNTA($BA$265:$EH$265)</f>
        <v/>
      </c>
      <c r="AV265">
        <f>COUNTIF($BA$265:$EH$265,"D")</f>
        <v/>
      </c>
      <c r="AW265">
        <f>COUNTIF($BA$265:$EH$265,"R")</f>
        <v/>
      </c>
      <c r="AX265">
        <f>IF(BN265="D",1,0)+IF(BO265="D",1,0)+IF(BT265="D",1,0)+IF(BU265="D",1,0)+IF(BW265="D",1,0)+IF(CC265="D",1,0)+IF(CD265="D",1,0)+IF(CE265="D",1,0)+IF(CF265="D",1,0)+IF(CL265="D",1,0)+IF(CM265="D",1,0)+IF(CQ265="D",1,0)+IF(CR265="D",1,0)+IF(CS265="D",1,0)+IF(CW265="D",1,0)+IF(CX265="D",1,0)+IF(DD265="D",1,0)+IF(DE265="D",1,0)+IF(DJ265="D",1,0)+IF(DK265="D",1,0)+IF(DO265="D",1,0)+IF(DP265="D",1,0)+IF(DQ265="D",1,0)+IF(DW265="D",1,0)+IF(DZ265="D",1,0)+IF(EH265="D",1,0)</f>
        <v/>
      </c>
      <c r="AY265">
        <f>IF(DJ265&lt;&gt;"",1,0)+IF(DK265&lt;&gt;"",1,0)+IF(DM265&lt;&gt;"",1,0)+IF(DO265&lt;&gt;"",1,0)+IF(DP265&lt;&gt;"",1,0)+IF(DQ265&lt;&gt;"",1,0)+IF(DS265&lt;&gt;"",1,0)+IF(DT265&lt;&gt;"",1,0)+IF(DV265&lt;&gt;"",1,0)+IF(DW265&lt;&gt;"",1,0)+IF(DX265&lt;&gt;"",1,0)+IF(DY265&lt;&gt;"",1,0)+IF(DZ265&lt;&gt;"",1,0)+IF(EB265&lt;&gt;"",1,0)+IF(EC265&lt;&gt;"",1,0)+IF(ED265&lt;&gt;"",1,0)+IF(EG265&lt;&gt;"",1,0)+IF(EH265&lt;&gt;"",1,0)</f>
        <v/>
      </c>
      <c r="AZ265">
        <f>IF(EH265&lt;&gt;"",1,0)</f>
        <v/>
      </c>
      <c r="BB265" t="inlineStr">
        <is>
          <t>WARREN-WARD 4</t>
        </is>
      </c>
      <c r="BC265" t="inlineStr">
        <is>
          <t>X</t>
        </is>
      </c>
      <c r="BD265" t="inlineStr">
        <is>
          <t>X</t>
        </is>
      </c>
      <c r="BF265" t="inlineStr">
        <is>
          <t>X</t>
        </is>
      </c>
      <c r="BJ265" t="inlineStr">
        <is>
          <t>X</t>
        </is>
      </c>
      <c r="BL265" t="inlineStr">
        <is>
          <t>X</t>
        </is>
      </c>
      <c r="BR265" t="inlineStr">
        <is>
          <t>X</t>
        </is>
      </c>
      <c r="BS265" t="inlineStr">
        <is>
          <t>X</t>
        </is>
      </c>
      <c r="CA265" t="inlineStr">
        <is>
          <t>X</t>
        </is>
      </c>
      <c r="CK265" t="inlineStr">
        <is>
          <t>X</t>
        </is>
      </c>
      <c r="CP265" t="inlineStr">
        <is>
          <t>X</t>
        </is>
      </c>
      <c r="DC265" t="inlineStr">
        <is>
          <t>X</t>
        </is>
      </c>
      <c r="DI265" t="inlineStr">
        <is>
          <t>X</t>
        </is>
      </c>
      <c r="DN265" t="inlineStr">
        <is>
          <t>X</t>
        </is>
      </c>
      <c r="DU265" t="inlineStr">
        <is>
          <t>X</t>
        </is>
      </c>
      <c r="DX265" t="inlineStr">
        <is>
          <t>X</t>
        </is>
      </c>
      <c r="ED265" t="inlineStr">
        <is>
          <t>R</t>
        </is>
      </c>
      <c r="EF265" t="inlineStr">
        <is>
          <t>X</t>
        </is>
      </c>
    </row>
    <row r="266">
      <c r="A266" t="inlineStr">
        <is>
          <t>OH0023339179</t>
        </is>
      </c>
      <c r="B266" t="n">
        <v>78</v>
      </c>
      <c r="C266" t="n">
        <v>410782</v>
      </c>
      <c r="D266" t="inlineStr">
        <is>
          <t>STROVEL</t>
        </is>
      </c>
      <c r="E266" t="inlineStr">
        <is>
          <t>TEKA</t>
        </is>
      </c>
      <c r="F266">
        <f>CONCATENATE(D266," ",LEFT(H266,4),"T=",AU266,"D=",AV266,"R=",AW266,"M=",AX266,"L=",AY266,"B=",AZ266)</f>
        <v/>
      </c>
      <c r="G266" t="inlineStr">
        <is>
          <t>T</t>
        </is>
      </c>
      <c r="I266" t="inlineStr">
        <is>
          <t>1987-03-17</t>
        </is>
      </c>
      <c r="J266" t="inlineStr">
        <is>
          <t>2015-09-24</t>
        </is>
      </c>
      <c r="K266" t="inlineStr">
        <is>
          <t>CONFIRMATION</t>
        </is>
      </c>
      <c r="M266" t="inlineStr">
        <is>
          <t>760 OAK KNOLL AVE SE</t>
        </is>
      </c>
      <c r="N266">
        <f>RIGHT(M266,LEN(M266)-FIND(" ",M266))</f>
        <v/>
      </c>
      <c r="P266" t="inlineStr">
        <is>
          <t>WARREN</t>
        </is>
      </c>
      <c r="Q266" t="inlineStr">
        <is>
          <t>OH</t>
        </is>
      </c>
      <c r="R266" t="n">
        <v>44484</v>
      </c>
      <c r="AD266" t="inlineStr">
        <is>
          <t>TRUMBULL CAREER &amp; TECH CENTER</t>
        </is>
      </c>
      <c r="AE266" t="inlineStr">
        <is>
          <t>WARREN CITY</t>
        </is>
      </c>
      <c r="AF266" t="inlineStr">
        <is>
          <t>WARREN CITY SD</t>
        </is>
      </c>
      <c r="AH266" t="n">
        <v>14</v>
      </c>
      <c r="AI266" t="n">
        <v>11</v>
      </c>
      <c r="AN266" t="inlineStr">
        <is>
          <t>WARREN</t>
        </is>
      </c>
      <c r="AO266" t="inlineStr">
        <is>
          <t>WARREN CITY 4A</t>
        </is>
      </c>
      <c r="AP266" t="inlineStr">
        <is>
          <t>78-P-ADI</t>
        </is>
      </c>
      <c r="AQ266" t="n">
        <v>9</v>
      </c>
      <c r="AR266" t="n">
        <v>64</v>
      </c>
      <c r="AS266" t="n">
        <v>32</v>
      </c>
      <c r="AU266">
        <f>COUNTA($BA$266:$EH$266)</f>
        <v/>
      </c>
      <c r="AV266">
        <f>COUNTIF($BA$266:$EH$266,"D")</f>
        <v/>
      </c>
      <c r="AW266">
        <f>COUNTIF($BA$266:$EH$266,"R")</f>
        <v/>
      </c>
      <c r="AX266">
        <f>IF(BN266="D",1,0)+IF(BO266="D",1,0)+IF(BT266="D",1,0)+IF(BU266="D",1,0)+IF(BW266="D",1,0)+IF(CC266="D",1,0)+IF(CD266="D",1,0)+IF(CE266="D",1,0)+IF(CF266="D",1,0)+IF(CL266="D",1,0)+IF(CM266="D",1,0)+IF(CQ266="D",1,0)+IF(CR266="D",1,0)+IF(CS266="D",1,0)+IF(CW266="D",1,0)+IF(CX266="D",1,0)+IF(DD266="D",1,0)+IF(DE266="D",1,0)+IF(DJ266="D",1,0)+IF(DK266="D",1,0)+IF(DO266="D",1,0)+IF(DP266="D",1,0)+IF(DQ266="D",1,0)+IF(DW266="D",1,0)+IF(DZ266="D",1,0)+IF(EH266="D",1,0)</f>
        <v/>
      </c>
      <c r="AY266">
        <f>IF(DJ266&lt;&gt;"",1,0)+IF(DK266&lt;&gt;"",1,0)+IF(DM266&lt;&gt;"",1,0)+IF(DO266&lt;&gt;"",1,0)+IF(DP266&lt;&gt;"",1,0)+IF(DQ266&lt;&gt;"",1,0)+IF(DS266&lt;&gt;"",1,0)+IF(DT266&lt;&gt;"",1,0)+IF(DV266&lt;&gt;"",1,0)+IF(DW266&lt;&gt;"",1,0)+IF(DX266&lt;&gt;"",1,0)+IF(DY266&lt;&gt;"",1,0)+IF(DZ266&lt;&gt;"",1,0)+IF(EB266&lt;&gt;"",1,0)+IF(EC266&lt;&gt;"",1,0)+IF(ED266&lt;&gt;"",1,0)+IF(EG266&lt;&gt;"",1,0)+IF(EH266&lt;&gt;"",1,0)</f>
        <v/>
      </c>
      <c r="AZ266">
        <f>IF(EH266&lt;&gt;"",1,0)</f>
        <v/>
      </c>
      <c r="BB266" t="inlineStr">
        <is>
          <t>WARREN-WARD 4</t>
        </is>
      </c>
    </row>
    <row r="267">
      <c r="A267" t="inlineStr">
        <is>
          <t>OH0026316115</t>
        </is>
      </c>
      <c r="B267" t="n">
        <v>78</v>
      </c>
      <c r="C267" t="n">
        <v>460159</v>
      </c>
      <c r="D267" t="inlineStr">
        <is>
          <t>FLASH</t>
        </is>
      </c>
      <c r="E267" t="inlineStr">
        <is>
          <t>TYLER</t>
        </is>
      </c>
      <c r="F267">
        <f>CONCATENATE(D267," ",LEFT(H267,4),"T=",AU267,"D=",AV267,"R=",AW267,"M=",AX267,"L=",AY267,"B=",AZ267)</f>
        <v/>
      </c>
      <c r="G267" t="inlineStr">
        <is>
          <t>B</t>
        </is>
      </c>
      <c r="I267" t="inlineStr">
        <is>
          <t>1992-04-10</t>
        </is>
      </c>
      <c r="J267" t="inlineStr">
        <is>
          <t>2021-09-23</t>
        </is>
      </c>
      <c r="K267" t="inlineStr">
        <is>
          <t>ACTIVE</t>
        </is>
      </c>
      <c r="L267" t="inlineStr">
        <is>
          <t>D</t>
        </is>
      </c>
      <c r="M267" t="inlineStr">
        <is>
          <t>577 OAK KNOLL AVE SE</t>
        </is>
      </c>
      <c r="N267">
        <f>RIGHT(M267,LEN(M267)-FIND(" ",M267))</f>
        <v/>
      </c>
      <c r="P267" t="inlineStr">
        <is>
          <t>WARREN</t>
        </is>
      </c>
      <c r="Q267" t="inlineStr">
        <is>
          <t>OH</t>
        </is>
      </c>
      <c r="R267" t="n">
        <v>44483</v>
      </c>
      <c r="AD267" t="inlineStr">
        <is>
          <t>TRUMBULL CAREER &amp; TECH CENTER</t>
        </is>
      </c>
      <c r="AE267" t="inlineStr">
        <is>
          <t>WARREN CITY</t>
        </is>
      </c>
      <c r="AF267" t="inlineStr">
        <is>
          <t>WARREN CITY SD</t>
        </is>
      </c>
      <c r="AH267" t="n">
        <v>14</v>
      </c>
      <c r="AI267" t="n">
        <v>11</v>
      </c>
      <c r="AN267" t="inlineStr">
        <is>
          <t>WARREN</t>
        </is>
      </c>
      <c r="AO267" t="inlineStr">
        <is>
          <t>WARREN CITY 4A</t>
        </is>
      </c>
      <c r="AP267" t="inlineStr">
        <is>
          <t>78-P-ADI</t>
        </is>
      </c>
      <c r="AQ267" t="n">
        <v>9</v>
      </c>
      <c r="AR267" t="n">
        <v>64</v>
      </c>
      <c r="AS267" t="n">
        <v>32</v>
      </c>
      <c r="AU267">
        <f>COUNTA($BA$267:$EH$267)</f>
        <v/>
      </c>
      <c r="AV267">
        <f>COUNTIF($BA$267:$EH$267,"D")</f>
        <v/>
      </c>
      <c r="AW267">
        <f>COUNTIF($BA$267:$EH$267,"R")</f>
        <v/>
      </c>
      <c r="AX267">
        <f>IF(BN267="D",1,0)+IF(BO267="D",1,0)+IF(BT267="D",1,0)+IF(BU267="D",1,0)+IF(BW267="D",1,0)+IF(CC267="D",1,0)+IF(CD267="D",1,0)+IF(CE267="D",1,0)+IF(CF267="D",1,0)+IF(CL267="D",1,0)+IF(CM267="D",1,0)+IF(CQ267="D",1,0)+IF(CR267="D",1,0)+IF(CS267="D",1,0)+IF(CW267="D",1,0)+IF(CX267="D",1,0)+IF(DD267="D",1,0)+IF(DE267="D",1,0)+IF(DJ267="D",1,0)+IF(DK267="D",1,0)+IF(DO267="D",1,0)+IF(DP267="D",1,0)+IF(DQ267="D",1,0)+IF(DW267="D",1,0)+IF(DZ267="D",1,0)+IF(EH267="D",1,0)</f>
        <v/>
      </c>
      <c r="AY267">
        <f>IF(DJ267&lt;&gt;"",1,0)+IF(DK267&lt;&gt;"",1,0)+IF(DM267&lt;&gt;"",1,0)+IF(DO267&lt;&gt;"",1,0)+IF(DP267&lt;&gt;"",1,0)+IF(DQ267&lt;&gt;"",1,0)+IF(DS267&lt;&gt;"",1,0)+IF(DT267&lt;&gt;"",1,0)+IF(DV267&lt;&gt;"",1,0)+IF(DW267&lt;&gt;"",1,0)+IF(DX267&lt;&gt;"",1,0)+IF(DY267&lt;&gt;"",1,0)+IF(DZ267&lt;&gt;"",1,0)+IF(EB267&lt;&gt;"",1,0)+IF(EC267&lt;&gt;"",1,0)+IF(ED267&lt;&gt;"",1,0)+IF(EG267&lt;&gt;"",1,0)+IF(EH267&lt;&gt;"",1,0)</f>
        <v/>
      </c>
      <c r="AZ267">
        <f>IF(EH267&lt;&gt;"",1,0)</f>
        <v/>
      </c>
      <c r="BB267" t="inlineStr">
        <is>
          <t>WARREN-WARD 4</t>
        </is>
      </c>
      <c r="CY267" t="inlineStr">
        <is>
          <t>X</t>
        </is>
      </c>
      <c r="DC267" t="inlineStr">
        <is>
          <t>X</t>
        </is>
      </c>
      <c r="DN267" t="inlineStr">
        <is>
          <t>X</t>
        </is>
      </c>
      <c r="DR267" t="inlineStr">
        <is>
          <t>X</t>
        </is>
      </c>
      <c r="DS267" t="inlineStr">
        <is>
          <t>D</t>
        </is>
      </c>
      <c r="DU267" t="inlineStr">
        <is>
          <t>X</t>
        </is>
      </c>
      <c r="DX267" t="inlineStr">
        <is>
          <t>X</t>
        </is>
      </c>
      <c r="EA267" t="inlineStr">
        <is>
          <t>X</t>
        </is>
      </c>
      <c r="ED267" t="inlineStr">
        <is>
          <t>D</t>
        </is>
      </c>
    </row>
    <row r="268">
      <c r="A268" t="inlineStr">
        <is>
          <t>OH0027292745</t>
        </is>
      </c>
      <c r="B268" t="n">
        <v>78</v>
      </c>
      <c r="C268" t="n">
        <v>484391</v>
      </c>
      <c r="D268" t="inlineStr">
        <is>
          <t>ROWLETT</t>
        </is>
      </c>
      <c r="E268" t="inlineStr">
        <is>
          <t>LARA</t>
        </is>
      </c>
      <c r="F268">
        <f>CONCATENATE(D268," ",LEFT(H268,4),"T=",AU268,"D=",AV268,"R=",AW268,"M=",AX268,"L=",AY268,"B=",AZ268)</f>
        <v/>
      </c>
      <c r="G268" t="inlineStr">
        <is>
          <t>LECRONE</t>
        </is>
      </c>
      <c r="I268" t="inlineStr">
        <is>
          <t>1969-03-31</t>
        </is>
      </c>
      <c r="J268" t="inlineStr">
        <is>
          <t>2024-03-15</t>
        </is>
      </c>
      <c r="K268" t="inlineStr">
        <is>
          <t>ACTIVE</t>
        </is>
      </c>
      <c r="M268" t="inlineStr">
        <is>
          <t>921 OAK KNOLL AVE SE</t>
        </is>
      </c>
      <c r="N268">
        <f>RIGHT(M268,LEN(M268)-FIND(" ",M268))</f>
        <v/>
      </c>
      <c r="P268" t="inlineStr">
        <is>
          <t>WARREN</t>
        </is>
      </c>
      <c r="Q268" t="inlineStr">
        <is>
          <t>OH</t>
        </is>
      </c>
      <c r="R268" t="n">
        <v>44484</v>
      </c>
      <c r="AD268" t="inlineStr">
        <is>
          <t>TRUMBULL CAREER &amp; TECH CENTER</t>
        </is>
      </c>
      <c r="AE268" t="inlineStr">
        <is>
          <t>WARREN CITY</t>
        </is>
      </c>
      <c r="AF268" t="inlineStr">
        <is>
          <t>WARREN CITY SD</t>
        </is>
      </c>
      <c r="AH268" t="n">
        <v>14</v>
      </c>
      <c r="AI268" t="n">
        <v>11</v>
      </c>
      <c r="AN268" t="inlineStr">
        <is>
          <t>WARREN</t>
        </is>
      </c>
      <c r="AO268" t="inlineStr">
        <is>
          <t>WARREN CITY 4A</t>
        </is>
      </c>
      <c r="AP268" t="inlineStr">
        <is>
          <t>78-P-ADI</t>
        </is>
      </c>
      <c r="AQ268" t="n">
        <v>9</v>
      </c>
      <c r="AR268" t="n">
        <v>64</v>
      </c>
      <c r="AS268" t="n">
        <v>32</v>
      </c>
      <c r="AU268">
        <f>COUNTA($BA$268:$EH$268)</f>
        <v/>
      </c>
      <c r="AV268">
        <f>COUNTIF($BA$268:$EH$268,"D")</f>
        <v/>
      </c>
      <c r="AW268">
        <f>COUNTIF($BA$268:$EH$268,"R")</f>
        <v/>
      </c>
      <c r="AX268">
        <f>IF(BN268="D",1,0)+IF(BO268="D",1,0)+IF(BT268="D",1,0)+IF(BU268="D",1,0)+IF(BW268="D",1,0)+IF(CC268="D",1,0)+IF(CD268="D",1,0)+IF(CE268="D",1,0)+IF(CF268="D",1,0)+IF(CL268="D",1,0)+IF(CM268="D",1,0)+IF(CQ268="D",1,0)+IF(CR268="D",1,0)+IF(CS268="D",1,0)+IF(CW268="D",1,0)+IF(CX268="D",1,0)+IF(DD268="D",1,0)+IF(DE268="D",1,0)+IF(DJ268="D",1,0)+IF(DK268="D",1,0)+IF(DO268="D",1,0)+IF(DP268="D",1,0)+IF(DQ268="D",1,0)+IF(DW268="D",1,0)+IF(DZ268="D",1,0)+IF(EH268="D",1,0)</f>
        <v/>
      </c>
      <c r="AY268">
        <f>IF(DJ268&lt;&gt;"",1,0)+IF(DK268&lt;&gt;"",1,0)+IF(DM268&lt;&gt;"",1,0)+IF(DO268&lt;&gt;"",1,0)+IF(DP268&lt;&gt;"",1,0)+IF(DQ268&lt;&gt;"",1,0)+IF(DS268&lt;&gt;"",1,0)+IF(DT268&lt;&gt;"",1,0)+IF(DV268&lt;&gt;"",1,0)+IF(DW268&lt;&gt;"",1,0)+IF(DX268&lt;&gt;"",1,0)+IF(DY268&lt;&gt;"",1,0)+IF(DZ268&lt;&gt;"",1,0)+IF(EB268&lt;&gt;"",1,0)+IF(EC268&lt;&gt;"",1,0)+IF(ED268&lt;&gt;"",1,0)+IF(EG268&lt;&gt;"",1,0)+IF(EH268&lt;&gt;"",1,0)</f>
        <v/>
      </c>
      <c r="AZ268">
        <f>IF(EH268&lt;&gt;"",1,0)</f>
        <v/>
      </c>
      <c r="BB268" t="inlineStr">
        <is>
          <t>WARREN-WARD 4</t>
        </is>
      </c>
      <c r="EF268" t="inlineStr">
        <is>
          <t>X</t>
        </is>
      </c>
    </row>
    <row r="269">
      <c r="A269" t="inlineStr">
        <is>
          <t>OH0024626208</t>
        </is>
      </c>
      <c r="B269" t="n">
        <v>78</v>
      </c>
      <c r="C269" t="n">
        <v>431596</v>
      </c>
      <c r="D269" t="inlineStr">
        <is>
          <t>PATTON</t>
        </is>
      </c>
      <c r="E269" t="inlineStr">
        <is>
          <t>JAMES</t>
        </is>
      </c>
      <c r="F269">
        <f>CONCATENATE(D269," ",LEFT(H269,4),"T=",AU269,"D=",AV269,"R=",AW269,"M=",AX269,"L=",AY269,"B=",AZ269)</f>
        <v/>
      </c>
      <c r="G269" t="inlineStr">
        <is>
          <t>D</t>
        </is>
      </c>
      <c r="I269" t="inlineStr">
        <is>
          <t>1976-08-17</t>
        </is>
      </c>
      <c r="J269" t="inlineStr">
        <is>
          <t>2018-04-23</t>
        </is>
      </c>
      <c r="K269" t="inlineStr">
        <is>
          <t>CONFIRMATION</t>
        </is>
      </c>
      <c r="M269" t="inlineStr">
        <is>
          <t>1617 YOUNGSTOWN RD SE</t>
        </is>
      </c>
      <c r="N269">
        <f>RIGHT(M269,LEN(M269)-FIND(" ",M269))</f>
        <v/>
      </c>
      <c r="P269" t="inlineStr">
        <is>
          <t>WARREN</t>
        </is>
      </c>
      <c r="Q269" t="inlineStr">
        <is>
          <t>OH</t>
        </is>
      </c>
      <c r="R269" t="n">
        <v>44484</v>
      </c>
      <c r="AD269" t="inlineStr">
        <is>
          <t>TRUMBULL CAREER &amp; TECH CENTER</t>
        </is>
      </c>
      <c r="AE269" t="inlineStr">
        <is>
          <t>WARREN CITY</t>
        </is>
      </c>
      <c r="AF269" t="inlineStr">
        <is>
          <t>WARREN CITY SD</t>
        </is>
      </c>
      <c r="AH269" t="n">
        <v>14</v>
      </c>
      <c r="AI269" t="n">
        <v>11</v>
      </c>
      <c r="AN269" t="inlineStr">
        <is>
          <t>WARREN</t>
        </is>
      </c>
      <c r="AO269" t="inlineStr">
        <is>
          <t>WARREN CITY 4A</t>
        </is>
      </c>
      <c r="AP269" t="inlineStr">
        <is>
          <t>78-P-ADI</t>
        </is>
      </c>
      <c r="AQ269" t="n">
        <v>9</v>
      </c>
      <c r="AR269" t="n">
        <v>64</v>
      </c>
      <c r="AS269" t="n">
        <v>32</v>
      </c>
      <c r="AU269">
        <f>COUNTA($BA$269:$EH$269)</f>
        <v/>
      </c>
      <c r="AV269">
        <f>COUNTIF($BA$269:$EH$269,"D")</f>
        <v/>
      </c>
      <c r="AW269">
        <f>COUNTIF($BA$269:$EH$269,"R")</f>
        <v/>
      </c>
      <c r="AX269">
        <f>IF(BN269="D",1,0)+IF(BO269="D",1,0)+IF(BT269="D",1,0)+IF(BU269="D",1,0)+IF(BW269="D",1,0)+IF(CC269="D",1,0)+IF(CD269="D",1,0)+IF(CE269="D",1,0)+IF(CF269="D",1,0)+IF(CL269="D",1,0)+IF(CM269="D",1,0)+IF(CQ269="D",1,0)+IF(CR269="D",1,0)+IF(CS269="D",1,0)+IF(CW269="D",1,0)+IF(CX269="D",1,0)+IF(DD269="D",1,0)+IF(DE269="D",1,0)+IF(DJ269="D",1,0)+IF(DK269="D",1,0)+IF(DO269="D",1,0)+IF(DP269="D",1,0)+IF(DQ269="D",1,0)+IF(DW269="D",1,0)+IF(DZ269="D",1,0)+IF(EH269="D",1,0)</f>
        <v/>
      </c>
      <c r="AY269">
        <f>IF(DJ269&lt;&gt;"",1,0)+IF(DK269&lt;&gt;"",1,0)+IF(DM269&lt;&gt;"",1,0)+IF(DO269&lt;&gt;"",1,0)+IF(DP269&lt;&gt;"",1,0)+IF(DQ269&lt;&gt;"",1,0)+IF(DS269&lt;&gt;"",1,0)+IF(DT269&lt;&gt;"",1,0)+IF(DV269&lt;&gt;"",1,0)+IF(DW269&lt;&gt;"",1,0)+IF(DX269&lt;&gt;"",1,0)+IF(DY269&lt;&gt;"",1,0)+IF(DZ269&lt;&gt;"",1,0)+IF(EB269&lt;&gt;"",1,0)+IF(EC269&lt;&gt;"",1,0)+IF(ED269&lt;&gt;"",1,0)+IF(EG269&lt;&gt;"",1,0)+IF(EH269&lt;&gt;"",1,0)</f>
        <v/>
      </c>
      <c r="AZ269">
        <f>IF(EH269&lt;&gt;"",1,0)</f>
        <v/>
      </c>
      <c r="BB269" t="inlineStr">
        <is>
          <t>WARREN-WARD 4</t>
        </is>
      </c>
      <c r="BL269" t="inlineStr">
        <is>
          <t>X</t>
        </is>
      </c>
      <c r="CA269" t="inlineStr">
        <is>
          <t>X</t>
        </is>
      </c>
      <c r="CP269" t="inlineStr">
        <is>
          <t>X</t>
        </is>
      </c>
    </row>
    <row r="270">
      <c r="A270" t="inlineStr">
        <is>
          <t>OH0019038219</t>
        </is>
      </c>
      <c r="B270" t="n">
        <v>78</v>
      </c>
      <c r="C270" t="n">
        <v>348215</v>
      </c>
      <c r="D270" t="inlineStr">
        <is>
          <t>STONE</t>
        </is>
      </c>
      <c r="E270" t="inlineStr">
        <is>
          <t>ROBERT</t>
        </is>
      </c>
      <c r="F270">
        <f>CONCATENATE(D270," ",LEFT(H270,4),"T=",AU270,"D=",AV270,"R=",AW270,"M=",AX270,"L=",AY270,"B=",AZ270)</f>
        <v/>
      </c>
      <c r="G270" t="inlineStr">
        <is>
          <t>ABRUM</t>
        </is>
      </c>
      <c r="H270" t="inlineStr">
        <is>
          <t>SR</t>
        </is>
      </c>
      <c r="I270" t="inlineStr">
        <is>
          <t>1978-09-10</t>
        </is>
      </c>
      <c r="J270" t="inlineStr">
        <is>
          <t>2024-09-12</t>
        </is>
      </c>
      <c r="K270" t="inlineStr">
        <is>
          <t>ACTIVE</t>
        </is>
      </c>
      <c r="M270" t="inlineStr">
        <is>
          <t>680 WOODBINE AVE SE</t>
        </is>
      </c>
      <c r="N270">
        <f>RIGHT(M270,LEN(M270)-FIND(" ",M270))</f>
        <v/>
      </c>
      <c r="P270" t="inlineStr">
        <is>
          <t>WARREN</t>
        </is>
      </c>
      <c r="Q270" t="inlineStr">
        <is>
          <t>OH</t>
        </is>
      </c>
      <c r="R270" t="n">
        <v>44483</v>
      </c>
      <c r="AD270" t="inlineStr">
        <is>
          <t>TRUMBULL CAREER &amp; TECH CENTER</t>
        </is>
      </c>
      <c r="AE270" t="inlineStr">
        <is>
          <t>WARREN CITY</t>
        </is>
      </c>
      <c r="AF270" t="inlineStr">
        <is>
          <t>WARREN CITY SD</t>
        </is>
      </c>
      <c r="AH270" t="n">
        <v>14</v>
      </c>
      <c r="AI270" t="n">
        <v>11</v>
      </c>
      <c r="AN270" t="inlineStr">
        <is>
          <t>WARREN</t>
        </is>
      </c>
      <c r="AO270" t="inlineStr">
        <is>
          <t>WARREN CITY 4A</t>
        </is>
      </c>
      <c r="AP270" t="inlineStr">
        <is>
          <t>78-P-ADI</t>
        </is>
      </c>
      <c r="AQ270" t="n">
        <v>9</v>
      </c>
      <c r="AR270" t="n">
        <v>64</v>
      </c>
      <c r="AS270" t="n">
        <v>32</v>
      </c>
      <c r="AU270">
        <f>COUNTA($BA$270:$EH$270)</f>
        <v/>
      </c>
      <c r="AV270">
        <f>COUNTIF($BA$270:$EH$270,"D")</f>
        <v/>
      </c>
      <c r="AW270">
        <f>COUNTIF($BA$270:$EH$270,"R")</f>
        <v/>
      </c>
      <c r="AX270">
        <f>IF(BN270="D",1,0)+IF(BO270="D",1,0)+IF(BT270="D",1,0)+IF(BU270="D",1,0)+IF(BW270="D",1,0)+IF(CC270="D",1,0)+IF(CD270="D",1,0)+IF(CE270="D",1,0)+IF(CF270="D",1,0)+IF(CL270="D",1,0)+IF(CM270="D",1,0)+IF(CQ270="D",1,0)+IF(CR270="D",1,0)+IF(CS270="D",1,0)+IF(CW270="D",1,0)+IF(CX270="D",1,0)+IF(DD270="D",1,0)+IF(DE270="D",1,0)+IF(DJ270="D",1,0)+IF(DK270="D",1,0)+IF(DO270="D",1,0)+IF(DP270="D",1,0)+IF(DQ270="D",1,0)+IF(DW270="D",1,0)+IF(DZ270="D",1,0)+IF(EH270="D",1,0)</f>
        <v/>
      </c>
      <c r="AY270">
        <f>IF(DJ270&lt;&gt;"",1,0)+IF(DK270&lt;&gt;"",1,0)+IF(DM270&lt;&gt;"",1,0)+IF(DO270&lt;&gt;"",1,0)+IF(DP270&lt;&gt;"",1,0)+IF(DQ270&lt;&gt;"",1,0)+IF(DS270&lt;&gt;"",1,0)+IF(DT270&lt;&gt;"",1,0)+IF(DV270&lt;&gt;"",1,0)+IF(DW270&lt;&gt;"",1,0)+IF(DX270&lt;&gt;"",1,0)+IF(DY270&lt;&gt;"",1,0)+IF(DZ270&lt;&gt;"",1,0)+IF(EB270&lt;&gt;"",1,0)+IF(EC270&lt;&gt;"",1,0)+IF(ED270&lt;&gt;"",1,0)+IF(EG270&lt;&gt;"",1,0)+IF(EH270&lt;&gt;"",1,0)</f>
        <v/>
      </c>
      <c r="AZ270">
        <f>IF(EH270&lt;&gt;"",1,0)</f>
        <v/>
      </c>
      <c r="BB270" t="inlineStr">
        <is>
          <t>WARREN-WARD 4</t>
        </is>
      </c>
      <c r="CK270" t="inlineStr">
        <is>
          <t>X</t>
        </is>
      </c>
      <c r="CP270" t="inlineStr">
        <is>
          <t>X</t>
        </is>
      </c>
      <c r="DC270" t="inlineStr">
        <is>
          <t>X</t>
        </is>
      </c>
      <c r="DI270" t="inlineStr">
        <is>
          <t>X</t>
        </is>
      </c>
      <c r="EF270" t="inlineStr">
        <is>
          <t>X</t>
        </is>
      </c>
    </row>
    <row r="271">
      <c r="A271" t="inlineStr">
        <is>
          <t>OH0015743008</t>
        </is>
      </c>
      <c r="B271" t="n">
        <v>78</v>
      </c>
      <c r="C271" t="n">
        <v>229371</v>
      </c>
      <c r="D271" t="inlineStr">
        <is>
          <t>DANDREA</t>
        </is>
      </c>
      <c r="E271" t="inlineStr">
        <is>
          <t>JOSEPH</t>
        </is>
      </c>
      <c r="F271">
        <f>CONCATENATE(D271," ",LEFT(H271,4),"T=",AU271,"D=",AV271,"R=",AW271,"M=",AX271,"L=",AY271,"B=",AZ271)</f>
        <v/>
      </c>
      <c r="I271" t="inlineStr">
        <is>
          <t>1936-01-29</t>
        </is>
      </c>
      <c r="J271" t="inlineStr">
        <is>
          <t>2015-06-30</t>
        </is>
      </c>
      <c r="K271" t="inlineStr">
        <is>
          <t>ACTIVE</t>
        </is>
      </c>
      <c r="M271" t="inlineStr">
        <is>
          <t>230 KENILWORTH AVE SE</t>
        </is>
      </c>
      <c r="N271">
        <f>RIGHT(M271,LEN(M271)-FIND(" ",M271))</f>
        <v/>
      </c>
      <c r="P271" t="inlineStr">
        <is>
          <t>WARREN</t>
        </is>
      </c>
      <c r="Q271" t="inlineStr">
        <is>
          <t>OH</t>
        </is>
      </c>
      <c r="R271" t="n">
        <v>44483</v>
      </c>
      <c r="AD271" t="inlineStr">
        <is>
          <t>TRUMBULL CAREER &amp; TECH CENTER</t>
        </is>
      </c>
      <c r="AE271" t="inlineStr">
        <is>
          <t>WARREN CITY</t>
        </is>
      </c>
      <c r="AF271" t="inlineStr">
        <is>
          <t>WARREN CITY SD</t>
        </is>
      </c>
      <c r="AH271" t="n">
        <v>14</v>
      </c>
      <c r="AI271" t="n">
        <v>11</v>
      </c>
      <c r="AN271" t="inlineStr">
        <is>
          <t>WARREN</t>
        </is>
      </c>
      <c r="AO271" t="inlineStr">
        <is>
          <t>WARREN CITY 4A</t>
        </is>
      </c>
      <c r="AP271" t="inlineStr">
        <is>
          <t>78-P-ADI</t>
        </is>
      </c>
      <c r="AQ271" t="n">
        <v>9</v>
      </c>
      <c r="AR271" t="n">
        <v>64</v>
      </c>
      <c r="AS271" t="n">
        <v>32</v>
      </c>
      <c r="AU271">
        <f>COUNTA($BA$271:$EH$271)</f>
        <v/>
      </c>
      <c r="AV271">
        <f>COUNTIF($BA$271:$EH$271,"D")</f>
        <v/>
      </c>
      <c r="AW271">
        <f>COUNTIF($BA$271:$EH$271,"R")</f>
        <v/>
      </c>
      <c r="AX271">
        <f>IF(BN271="D",1,0)+IF(BO271="D",1,0)+IF(BT271="D",1,0)+IF(BU271="D",1,0)+IF(BW271="D",1,0)+IF(CC271="D",1,0)+IF(CD271="D",1,0)+IF(CE271="D",1,0)+IF(CF271="D",1,0)+IF(CL271="D",1,0)+IF(CM271="D",1,0)+IF(CQ271="D",1,0)+IF(CR271="D",1,0)+IF(CS271="D",1,0)+IF(CW271="D",1,0)+IF(CX271="D",1,0)+IF(DD271="D",1,0)+IF(DE271="D",1,0)+IF(DJ271="D",1,0)+IF(DK271="D",1,0)+IF(DO271="D",1,0)+IF(DP271="D",1,0)+IF(DQ271="D",1,0)+IF(DW271="D",1,0)+IF(DZ271="D",1,0)+IF(EH271="D",1,0)</f>
        <v/>
      </c>
      <c r="AY271">
        <f>IF(DJ271&lt;&gt;"",1,0)+IF(DK271&lt;&gt;"",1,0)+IF(DM271&lt;&gt;"",1,0)+IF(DO271&lt;&gt;"",1,0)+IF(DP271&lt;&gt;"",1,0)+IF(DQ271&lt;&gt;"",1,0)+IF(DS271&lt;&gt;"",1,0)+IF(DT271&lt;&gt;"",1,0)+IF(DV271&lt;&gt;"",1,0)+IF(DW271&lt;&gt;"",1,0)+IF(DX271&lt;&gt;"",1,0)+IF(DY271&lt;&gt;"",1,0)+IF(DZ271&lt;&gt;"",1,0)+IF(EB271&lt;&gt;"",1,0)+IF(EC271&lt;&gt;"",1,0)+IF(ED271&lt;&gt;"",1,0)+IF(EG271&lt;&gt;"",1,0)+IF(EH271&lt;&gt;"",1,0)</f>
        <v/>
      </c>
      <c r="AZ271">
        <f>IF(EH271&lt;&gt;"",1,0)</f>
        <v/>
      </c>
      <c r="BB271" t="inlineStr">
        <is>
          <t>WARREN-WARD 4</t>
        </is>
      </c>
      <c r="BD271" t="inlineStr">
        <is>
          <t>X</t>
        </is>
      </c>
      <c r="BL271" t="inlineStr">
        <is>
          <t>X</t>
        </is>
      </c>
      <c r="BS271" t="inlineStr">
        <is>
          <t>X</t>
        </is>
      </c>
      <c r="BY271" t="inlineStr">
        <is>
          <t>D</t>
        </is>
      </c>
      <c r="CA271" t="inlineStr">
        <is>
          <t>X</t>
        </is>
      </c>
      <c r="CG271" t="inlineStr">
        <is>
          <t>X</t>
        </is>
      </c>
      <c r="CK271" t="inlineStr">
        <is>
          <t>X</t>
        </is>
      </c>
      <c r="CN271" t="inlineStr">
        <is>
          <t>X</t>
        </is>
      </c>
      <c r="CP271" t="inlineStr">
        <is>
          <t>X</t>
        </is>
      </c>
      <c r="DC271" t="inlineStr">
        <is>
          <t>X</t>
        </is>
      </c>
      <c r="DI271" t="inlineStr">
        <is>
          <t>X</t>
        </is>
      </c>
      <c r="DN271" t="inlineStr">
        <is>
          <t>X</t>
        </is>
      </c>
      <c r="DU271" t="inlineStr">
        <is>
          <t>X</t>
        </is>
      </c>
      <c r="EF271" t="inlineStr">
        <is>
          <t>X</t>
        </is>
      </c>
    </row>
    <row r="272">
      <c r="A272" t="inlineStr">
        <is>
          <t>OH0025716667</t>
        </is>
      </c>
      <c r="B272" t="n">
        <v>78</v>
      </c>
      <c r="C272" t="n">
        <v>449116</v>
      </c>
      <c r="D272" t="inlineStr">
        <is>
          <t>PLACER</t>
        </is>
      </c>
      <c r="E272" t="inlineStr">
        <is>
          <t>DONNA</t>
        </is>
      </c>
      <c r="F272">
        <f>CONCATENATE(D272," ",LEFT(H272,4),"T=",AU272,"D=",AV272,"R=",AW272,"M=",AX272,"L=",AY272,"B=",AZ272)</f>
        <v/>
      </c>
      <c r="G272" t="inlineStr">
        <is>
          <t>M</t>
        </is>
      </c>
      <c r="I272" t="inlineStr">
        <is>
          <t>1969-05-20</t>
        </is>
      </c>
      <c r="J272" t="inlineStr">
        <is>
          <t>2022-08-09</t>
        </is>
      </c>
      <c r="K272" t="inlineStr">
        <is>
          <t>ACTIVE</t>
        </is>
      </c>
      <c r="M272" t="inlineStr">
        <is>
          <t>904 ADELAIDE AVE SE</t>
        </is>
      </c>
      <c r="N272">
        <f>RIGHT(M272,LEN(M272)-FIND(" ",M272))</f>
        <v/>
      </c>
      <c r="P272" t="inlineStr">
        <is>
          <t>WARREN</t>
        </is>
      </c>
      <c r="Q272" t="inlineStr">
        <is>
          <t>OH</t>
        </is>
      </c>
      <c r="R272" t="n">
        <v>44484</v>
      </c>
      <c r="AD272" t="inlineStr">
        <is>
          <t>TRUMBULL CAREER &amp; TECH CENTER</t>
        </is>
      </c>
      <c r="AE272" t="inlineStr">
        <is>
          <t>WARREN CITY</t>
        </is>
      </c>
      <c r="AF272" t="inlineStr">
        <is>
          <t>WARREN CITY SD</t>
        </is>
      </c>
      <c r="AH272" t="n">
        <v>14</v>
      </c>
      <c r="AI272" t="n">
        <v>11</v>
      </c>
      <c r="AN272" t="inlineStr">
        <is>
          <t>WARREN</t>
        </is>
      </c>
      <c r="AO272" t="inlineStr">
        <is>
          <t>WARREN CITY 4A</t>
        </is>
      </c>
      <c r="AP272" t="inlineStr">
        <is>
          <t>78-P-ADI</t>
        </is>
      </c>
      <c r="AQ272" t="n">
        <v>9</v>
      </c>
      <c r="AR272" t="n">
        <v>64</v>
      </c>
      <c r="AS272" t="n">
        <v>32</v>
      </c>
      <c r="AU272">
        <f>COUNTA($BA$272:$EH$272)</f>
        <v/>
      </c>
      <c r="AV272">
        <f>COUNTIF($BA$272:$EH$272,"D")</f>
        <v/>
      </c>
      <c r="AW272">
        <f>COUNTIF($BA$272:$EH$272,"R")</f>
        <v/>
      </c>
      <c r="AX272">
        <f>IF(BN272="D",1,0)+IF(BO272="D",1,0)+IF(BT272="D",1,0)+IF(BU272="D",1,0)+IF(BW272="D",1,0)+IF(CC272="D",1,0)+IF(CD272="D",1,0)+IF(CE272="D",1,0)+IF(CF272="D",1,0)+IF(CL272="D",1,0)+IF(CM272="D",1,0)+IF(CQ272="D",1,0)+IF(CR272="D",1,0)+IF(CS272="D",1,0)+IF(CW272="D",1,0)+IF(CX272="D",1,0)+IF(DD272="D",1,0)+IF(DE272="D",1,0)+IF(DJ272="D",1,0)+IF(DK272="D",1,0)+IF(DO272="D",1,0)+IF(DP272="D",1,0)+IF(DQ272="D",1,0)+IF(DW272="D",1,0)+IF(DZ272="D",1,0)+IF(EH272="D",1,0)</f>
        <v/>
      </c>
      <c r="AY272">
        <f>IF(DJ272&lt;&gt;"",1,0)+IF(DK272&lt;&gt;"",1,0)+IF(DM272&lt;&gt;"",1,0)+IF(DO272&lt;&gt;"",1,0)+IF(DP272&lt;&gt;"",1,0)+IF(DQ272&lt;&gt;"",1,0)+IF(DS272&lt;&gt;"",1,0)+IF(DT272&lt;&gt;"",1,0)+IF(DV272&lt;&gt;"",1,0)+IF(DW272&lt;&gt;"",1,0)+IF(DX272&lt;&gt;"",1,0)+IF(DY272&lt;&gt;"",1,0)+IF(DZ272&lt;&gt;"",1,0)+IF(EB272&lt;&gt;"",1,0)+IF(EC272&lt;&gt;"",1,0)+IF(ED272&lt;&gt;"",1,0)+IF(EG272&lt;&gt;"",1,0)+IF(EH272&lt;&gt;"",1,0)</f>
        <v/>
      </c>
      <c r="AZ272">
        <f>IF(EH272&lt;&gt;"",1,0)</f>
        <v/>
      </c>
      <c r="BB272" t="inlineStr">
        <is>
          <t>WARREN-WARD 4</t>
        </is>
      </c>
      <c r="DN272" t="inlineStr">
        <is>
          <t>X</t>
        </is>
      </c>
    </row>
    <row r="273">
      <c r="A273" t="inlineStr">
        <is>
          <t>OH0024307734</t>
        </is>
      </c>
      <c r="B273" t="n">
        <v>78</v>
      </c>
      <c r="C273" t="n">
        <v>426774</v>
      </c>
      <c r="D273" t="inlineStr">
        <is>
          <t>MCANALLEN</t>
        </is>
      </c>
      <c r="E273" t="inlineStr">
        <is>
          <t>JEFFREY</t>
        </is>
      </c>
      <c r="F273">
        <f>CONCATENATE(D273," ",LEFT(H273,4),"T=",AU273,"D=",AV273,"R=",AW273,"M=",AX273,"L=",AY273,"B=",AZ273)</f>
        <v/>
      </c>
      <c r="G273" t="inlineStr">
        <is>
          <t>ALAN</t>
        </is>
      </c>
      <c r="H273" t="inlineStr">
        <is>
          <t>SR</t>
        </is>
      </c>
      <c r="I273" t="inlineStr">
        <is>
          <t>1987-07-27</t>
        </is>
      </c>
      <c r="J273" t="inlineStr">
        <is>
          <t>2018-04-27</t>
        </is>
      </c>
      <c r="K273" t="inlineStr">
        <is>
          <t>CONFIRMATION</t>
        </is>
      </c>
      <c r="M273" t="inlineStr">
        <is>
          <t>720 BONNIE BRAE AVE SE</t>
        </is>
      </c>
      <c r="N273">
        <f>RIGHT(M273,LEN(M273)-FIND(" ",M273))</f>
        <v/>
      </c>
      <c r="P273" t="inlineStr">
        <is>
          <t>WARREN</t>
        </is>
      </c>
      <c r="Q273" t="inlineStr">
        <is>
          <t>OH</t>
        </is>
      </c>
      <c r="R273" t="n">
        <v>44484</v>
      </c>
      <c r="AD273" t="inlineStr">
        <is>
          <t>TRUMBULL CAREER &amp; TECH CENTER</t>
        </is>
      </c>
      <c r="AE273" t="inlineStr">
        <is>
          <t>WARREN CITY</t>
        </is>
      </c>
      <c r="AF273" t="inlineStr">
        <is>
          <t>WARREN CITY SD</t>
        </is>
      </c>
      <c r="AH273" t="n">
        <v>14</v>
      </c>
      <c r="AI273" t="n">
        <v>11</v>
      </c>
      <c r="AN273" t="inlineStr">
        <is>
          <t>WARREN</t>
        </is>
      </c>
      <c r="AO273" t="inlineStr">
        <is>
          <t>WARREN CITY 4A</t>
        </is>
      </c>
      <c r="AP273" t="inlineStr">
        <is>
          <t>78-P-ADI</t>
        </is>
      </c>
      <c r="AQ273" t="n">
        <v>9</v>
      </c>
      <c r="AR273" t="n">
        <v>64</v>
      </c>
      <c r="AS273" t="n">
        <v>32</v>
      </c>
      <c r="AU273">
        <f>COUNTA($BA$273:$EH$273)</f>
        <v/>
      </c>
      <c r="AV273">
        <f>COUNTIF($BA$273:$EH$273,"D")</f>
        <v/>
      </c>
      <c r="AW273">
        <f>COUNTIF($BA$273:$EH$273,"R")</f>
        <v/>
      </c>
      <c r="AX273">
        <f>IF(BN273="D",1,0)+IF(BO273="D",1,0)+IF(BT273="D",1,0)+IF(BU273="D",1,0)+IF(BW273="D",1,0)+IF(CC273="D",1,0)+IF(CD273="D",1,0)+IF(CE273="D",1,0)+IF(CF273="D",1,0)+IF(CL273="D",1,0)+IF(CM273="D",1,0)+IF(CQ273="D",1,0)+IF(CR273="D",1,0)+IF(CS273="D",1,0)+IF(CW273="D",1,0)+IF(CX273="D",1,0)+IF(DD273="D",1,0)+IF(DE273="D",1,0)+IF(DJ273="D",1,0)+IF(DK273="D",1,0)+IF(DO273="D",1,0)+IF(DP273="D",1,0)+IF(DQ273="D",1,0)+IF(DW273="D",1,0)+IF(DZ273="D",1,0)+IF(EH273="D",1,0)</f>
        <v/>
      </c>
      <c r="AY273">
        <f>IF(DJ273&lt;&gt;"",1,0)+IF(DK273&lt;&gt;"",1,0)+IF(DM273&lt;&gt;"",1,0)+IF(DO273&lt;&gt;"",1,0)+IF(DP273&lt;&gt;"",1,0)+IF(DQ273&lt;&gt;"",1,0)+IF(DS273&lt;&gt;"",1,0)+IF(DT273&lt;&gt;"",1,0)+IF(DV273&lt;&gt;"",1,0)+IF(DW273&lt;&gt;"",1,0)+IF(DX273&lt;&gt;"",1,0)+IF(DY273&lt;&gt;"",1,0)+IF(DZ273&lt;&gt;"",1,0)+IF(EB273&lt;&gt;"",1,0)+IF(EC273&lt;&gt;"",1,0)+IF(ED273&lt;&gt;"",1,0)+IF(EG273&lt;&gt;"",1,0)+IF(EH273&lt;&gt;"",1,0)</f>
        <v/>
      </c>
      <c r="AZ273">
        <f>IF(EH273&lt;&gt;"",1,0)</f>
        <v/>
      </c>
      <c r="BB273" t="inlineStr">
        <is>
          <t>WARREN-WARD 4</t>
        </is>
      </c>
    </row>
    <row r="274">
      <c r="A274" t="inlineStr">
        <is>
          <t>OH0020626802</t>
        </is>
      </c>
      <c r="B274" t="n">
        <v>78</v>
      </c>
      <c r="C274" t="n">
        <v>369258</v>
      </c>
      <c r="D274" t="inlineStr">
        <is>
          <t>SPEARE</t>
        </is>
      </c>
      <c r="E274" t="inlineStr">
        <is>
          <t>JOSEPH</t>
        </is>
      </c>
      <c r="F274">
        <f>CONCATENATE(D274," ",LEFT(H274,4),"T=",AU274,"D=",AV274,"R=",AW274,"M=",AX274,"L=",AY274,"B=",AZ274)</f>
        <v/>
      </c>
      <c r="G274" t="inlineStr">
        <is>
          <t>H</t>
        </is>
      </c>
      <c r="H274" t="inlineStr">
        <is>
          <t>JR</t>
        </is>
      </c>
      <c r="I274" t="inlineStr">
        <is>
          <t>1989-04-22</t>
        </is>
      </c>
      <c r="J274" t="inlineStr">
        <is>
          <t>2017-02-21</t>
        </is>
      </c>
      <c r="K274" t="inlineStr">
        <is>
          <t>CONFIRMATION</t>
        </is>
      </c>
      <c r="M274" t="inlineStr">
        <is>
          <t>177 LOGAN AVE SE</t>
        </is>
      </c>
      <c r="N274">
        <f>RIGHT(M274,LEN(M274)-FIND(" ",M274))</f>
        <v/>
      </c>
      <c r="P274" t="inlineStr">
        <is>
          <t>WARREN</t>
        </is>
      </c>
      <c r="Q274" t="inlineStr">
        <is>
          <t>OH</t>
        </is>
      </c>
      <c r="R274" t="n">
        <v>44483</v>
      </c>
      <c r="AD274" t="inlineStr">
        <is>
          <t>TRUMBULL CAREER &amp; TECH CENTER</t>
        </is>
      </c>
      <c r="AE274" t="inlineStr">
        <is>
          <t>WARREN CITY</t>
        </is>
      </c>
      <c r="AF274" t="inlineStr">
        <is>
          <t>WARREN CITY SD</t>
        </is>
      </c>
      <c r="AH274" t="n">
        <v>14</v>
      </c>
      <c r="AI274" t="n">
        <v>11</v>
      </c>
      <c r="AN274" t="inlineStr">
        <is>
          <t>WARREN</t>
        </is>
      </c>
      <c r="AO274" t="inlineStr">
        <is>
          <t>WARREN CITY 4A</t>
        </is>
      </c>
      <c r="AP274" t="inlineStr">
        <is>
          <t>78-P-ADI</t>
        </is>
      </c>
      <c r="AQ274" t="n">
        <v>9</v>
      </c>
      <c r="AR274" t="n">
        <v>64</v>
      </c>
      <c r="AS274" t="n">
        <v>32</v>
      </c>
      <c r="AU274">
        <f>COUNTA($BA$274:$EH$274)</f>
        <v/>
      </c>
      <c r="AV274">
        <f>COUNTIF($BA$274:$EH$274,"D")</f>
        <v/>
      </c>
      <c r="AW274">
        <f>COUNTIF($BA$274:$EH$274,"R")</f>
        <v/>
      </c>
      <c r="AX274">
        <f>IF(BN274="D",1,0)+IF(BO274="D",1,0)+IF(BT274="D",1,0)+IF(BU274="D",1,0)+IF(BW274="D",1,0)+IF(CC274="D",1,0)+IF(CD274="D",1,0)+IF(CE274="D",1,0)+IF(CF274="D",1,0)+IF(CL274="D",1,0)+IF(CM274="D",1,0)+IF(CQ274="D",1,0)+IF(CR274="D",1,0)+IF(CS274="D",1,0)+IF(CW274="D",1,0)+IF(CX274="D",1,0)+IF(DD274="D",1,0)+IF(DE274="D",1,0)+IF(DJ274="D",1,0)+IF(DK274="D",1,0)+IF(DO274="D",1,0)+IF(DP274="D",1,0)+IF(DQ274="D",1,0)+IF(DW274="D",1,0)+IF(DZ274="D",1,0)+IF(EH274="D",1,0)</f>
        <v/>
      </c>
      <c r="AY274">
        <f>IF(DJ274&lt;&gt;"",1,0)+IF(DK274&lt;&gt;"",1,0)+IF(DM274&lt;&gt;"",1,0)+IF(DO274&lt;&gt;"",1,0)+IF(DP274&lt;&gt;"",1,0)+IF(DQ274&lt;&gt;"",1,0)+IF(DS274&lt;&gt;"",1,0)+IF(DT274&lt;&gt;"",1,0)+IF(DV274&lt;&gt;"",1,0)+IF(DW274&lt;&gt;"",1,0)+IF(DX274&lt;&gt;"",1,0)+IF(DY274&lt;&gt;"",1,0)+IF(DZ274&lt;&gt;"",1,0)+IF(EB274&lt;&gt;"",1,0)+IF(EC274&lt;&gt;"",1,0)+IF(ED274&lt;&gt;"",1,0)+IF(EG274&lt;&gt;"",1,0)+IF(EH274&lt;&gt;"",1,0)</f>
        <v/>
      </c>
      <c r="AZ274">
        <f>IF(EH274&lt;&gt;"",1,0)</f>
        <v/>
      </c>
      <c r="BB274" t="inlineStr">
        <is>
          <t>WARREN-WARD 4</t>
        </is>
      </c>
    </row>
    <row r="275">
      <c r="A275" t="inlineStr">
        <is>
          <t>OH0023484231</t>
        </is>
      </c>
      <c r="B275" t="n">
        <v>78</v>
      </c>
      <c r="C275" t="n">
        <v>413334</v>
      </c>
      <c r="D275" t="inlineStr">
        <is>
          <t>HURT</t>
        </is>
      </c>
      <c r="E275" t="inlineStr">
        <is>
          <t>MARK</t>
        </is>
      </c>
      <c r="F275">
        <f>CONCATENATE(D275," ",LEFT(H275,4),"T=",AU275,"D=",AV275,"R=",AW275,"M=",AX275,"L=",AY275,"B=",AZ275)</f>
        <v/>
      </c>
      <c r="G275" t="inlineStr">
        <is>
          <t>D</t>
        </is>
      </c>
      <c r="I275" t="inlineStr">
        <is>
          <t>1980-05-12</t>
        </is>
      </c>
      <c r="J275" t="inlineStr">
        <is>
          <t>2016-01-16</t>
        </is>
      </c>
      <c r="K275" t="inlineStr">
        <is>
          <t>CONFIRMATION</t>
        </is>
      </c>
      <c r="M275" t="inlineStr">
        <is>
          <t>149 CHARLES AVE SE</t>
        </is>
      </c>
      <c r="N275">
        <f>RIGHT(M275,LEN(M275)-FIND(" ",M275))</f>
        <v/>
      </c>
      <c r="P275" t="inlineStr">
        <is>
          <t>WARREN</t>
        </is>
      </c>
      <c r="Q275" t="inlineStr">
        <is>
          <t>OH</t>
        </is>
      </c>
      <c r="R275" t="n">
        <v>44483</v>
      </c>
      <c r="AD275" t="inlineStr">
        <is>
          <t>TRUMBULL CAREER &amp; TECH CENTER</t>
        </is>
      </c>
      <c r="AE275" t="inlineStr">
        <is>
          <t>WARREN CITY</t>
        </is>
      </c>
      <c r="AF275" t="inlineStr">
        <is>
          <t>WARREN CITY SD</t>
        </is>
      </c>
      <c r="AH275" t="n">
        <v>14</v>
      </c>
      <c r="AI275" t="n">
        <v>11</v>
      </c>
      <c r="AN275" t="inlineStr">
        <is>
          <t>WARREN</t>
        </is>
      </c>
      <c r="AO275" t="inlineStr">
        <is>
          <t>WARREN CITY 4A</t>
        </is>
      </c>
      <c r="AP275" t="inlineStr">
        <is>
          <t>78-P-ADI</t>
        </is>
      </c>
      <c r="AQ275" t="n">
        <v>9</v>
      </c>
      <c r="AR275" t="n">
        <v>64</v>
      </c>
      <c r="AS275" t="n">
        <v>32</v>
      </c>
      <c r="AU275">
        <f>COUNTA($BA$275:$EH$275)</f>
        <v/>
      </c>
      <c r="AV275">
        <f>COUNTIF($BA$275:$EH$275,"D")</f>
        <v/>
      </c>
      <c r="AW275">
        <f>COUNTIF($BA$275:$EH$275,"R")</f>
        <v/>
      </c>
      <c r="AX275">
        <f>IF(BN275="D",1,0)+IF(BO275="D",1,0)+IF(BT275="D",1,0)+IF(BU275="D",1,0)+IF(BW275="D",1,0)+IF(CC275="D",1,0)+IF(CD275="D",1,0)+IF(CE275="D",1,0)+IF(CF275="D",1,0)+IF(CL275="D",1,0)+IF(CM275="D",1,0)+IF(CQ275="D",1,0)+IF(CR275="D",1,0)+IF(CS275="D",1,0)+IF(CW275="D",1,0)+IF(CX275="D",1,0)+IF(DD275="D",1,0)+IF(DE275="D",1,0)+IF(DJ275="D",1,0)+IF(DK275="D",1,0)+IF(DO275="D",1,0)+IF(DP275="D",1,0)+IF(DQ275="D",1,0)+IF(DW275="D",1,0)+IF(DZ275="D",1,0)+IF(EH275="D",1,0)</f>
        <v/>
      </c>
      <c r="AY275">
        <f>IF(DJ275&lt;&gt;"",1,0)+IF(DK275&lt;&gt;"",1,0)+IF(DM275&lt;&gt;"",1,0)+IF(DO275&lt;&gt;"",1,0)+IF(DP275&lt;&gt;"",1,0)+IF(DQ275&lt;&gt;"",1,0)+IF(DS275&lt;&gt;"",1,0)+IF(DT275&lt;&gt;"",1,0)+IF(DV275&lt;&gt;"",1,0)+IF(DW275&lt;&gt;"",1,0)+IF(DX275&lt;&gt;"",1,0)+IF(DY275&lt;&gt;"",1,0)+IF(DZ275&lt;&gt;"",1,0)+IF(EB275&lt;&gt;"",1,0)+IF(EC275&lt;&gt;"",1,0)+IF(ED275&lt;&gt;"",1,0)+IF(EG275&lt;&gt;"",1,0)+IF(EH275&lt;&gt;"",1,0)</f>
        <v/>
      </c>
      <c r="AZ275">
        <f>IF(EH275&lt;&gt;"",1,0)</f>
        <v/>
      </c>
      <c r="BB275" t="inlineStr">
        <is>
          <t>WARREN-WARD 4</t>
        </is>
      </c>
      <c r="CP275" t="inlineStr">
        <is>
          <t>X</t>
        </is>
      </c>
    </row>
    <row r="276">
      <c r="A276" t="inlineStr">
        <is>
          <t>OH0023184487</t>
        </is>
      </c>
      <c r="B276" t="n">
        <v>78</v>
      </c>
      <c r="C276" t="n">
        <v>407931</v>
      </c>
      <c r="D276" t="inlineStr">
        <is>
          <t>MARTINEZ</t>
        </is>
      </c>
      <c r="E276" t="inlineStr">
        <is>
          <t>GINA</t>
        </is>
      </c>
      <c r="F276">
        <f>CONCATENATE(D276," ",LEFT(H276,4),"T=",AU276,"D=",AV276,"R=",AW276,"M=",AX276,"L=",AY276,"B=",AZ276)</f>
        <v/>
      </c>
      <c r="G276" t="inlineStr">
        <is>
          <t>C</t>
        </is>
      </c>
      <c r="I276" t="inlineStr">
        <is>
          <t>1995-09-22</t>
        </is>
      </c>
      <c r="J276" t="inlineStr">
        <is>
          <t>2015-06-12</t>
        </is>
      </c>
      <c r="K276" t="inlineStr">
        <is>
          <t>CONFIRMATION</t>
        </is>
      </c>
      <c r="M276" t="inlineStr">
        <is>
          <t>838 WOODBINE AVE SE</t>
        </is>
      </c>
      <c r="N276">
        <f>RIGHT(M276,LEN(M276)-FIND(" ",M276))</f>
        <v/>
      </c>
      <c r="P276" t="inlineStr">
        <is>
          <t>WARREN</t>
        </is>
      </c>
      <c r="Q276" t="inlineStr">
        <is>
          <t>OH</t>
        </is>
      </c>
      <c r="R276" t="n">
        <v>44484</v>
      </c>
      <c r="AD276" t="inlineStr">
        <is>
          <t>TRUMBULL CAREER &amp; TECH CENTER</t>
        </is>
      </c>
      <c r="AE276" t="inlineStr">
        <is>
          <t>WARREN CITY</t>
        </is>
      </c>
      <c r="AF276" t="inlineStr">
        <is>
          <t>WARREN CITY SD</t>
        </is>
      </c>
      <c r="AH276" t="n">
        <v>14</v>
      </c>
      <c r="AI276" t="n">
        <v>11</v>
      </c>
      <c r="AN276" t="inlineStr">
        <is>
          <t>WARREN</t>
        </is>
      </c>
      <c r="AO276" t="inlineStr">
        <is>
          <t>WARREN CITY 4A</t>
        </is>
      </c>
      <c r="AP276" t="inlineStr">
        <is>
          <t>78-P-ADI</t>
        </is>
      </c>
      <c r="AQ276" t="n">
        <v>9</v>
      </c>
      <c r="AR276" t="n">
        <v>64</v>
      </c>
      <c r="AS276" t="n">
        <v>32</v>
      </c>
      <c r="AU276">
        <f>COUNTA($BA$276:$EH$276)</f>
        <v/>
      </c>
      <c r="AV276">
        <f>COUNTIF($BA$276:$EH$276,"D")</f>
        <v/>
      </c>
      <c r="AW276">
        <f>COUNTIF($BA$276:$EH$276,"R")</f>
        <v/>
      </c>
      <c r="AX276">
        <f>IF(BN276="D",1,0)+IF(BO276="D",1,0)+IF(BT276="D",1,0)+IF(BU276="D",1,0)+IF(BW276="D",1,0)+IF(CC276="D",1,0)+IF(CD276="D",1,0)+IF(CE276="D",1,0)+IF(CF276="D",1,0)+IF(CL276="D",1,0)+IF(CM276="D",1,0)+IF(CQ276="D",1,0)+IF(CR276="D",1,0)+IF(CS276="D",1,0)+IF(CW276="D",1,0)+IF(CX276="D",1,0)+IF(DD276="D",1,0)+IF(DE276="D",1,0)+IF(DJ276="D",1,0)+IF(DK276="D",1,0)+IF(DO276="D",1,0)+IF(DP276="D",1,0)+IF(DQ276="D",1,0)+IF(DW276="D",1,0)+IF(DZ276="D",1,0)+IF(EH276="D",1,0)</f>
        <v/>
      </c>
      <c r="AY276">
        <f>IF(DJ276&lt;&gt;"",1,0)+IF(DK276&lt;&gt;"",1,0)+IF(DM276&lt;&gt;"",1,0)+IF(DO276&lt;&gt;"",1,0)+IF(DP276&lt;&gt;"",1,0)+IF(DQ276&lt;&gt;"",1,0)+IF(DS276&lt;&gt;"",1,0)+IF(DT276&lt;&gt;"",1,0)+IF(DV276&lt;&gt;"",1,0)+IF(DW276&lt;&gt;"",1,0)+IF(DX276&lt;&gt;"",1,0)+IF(DY276&lt;&gt;"",1,0)+IF(DZ276&lt;&gt;"",1,0)+IF(EB276&lt;&gt;"",1,0)+IF(EC276&lt;&gt;"",1,0)+IF(ED276&lt;&gt;"",1,0)+IF(EG276&lt;&gt;"",1,0)+IF(EH276&lt;&gt;"",1,0)</f>
        <v/>
      </c>
      <c r="AZ276">
        <f>IF(EH276&lt;&gt;"",1,0)</f>
        <v/>
      </c>
      <c r="BB276" t="inlineStr">
        <is>
          <t>WARREN-WARD 4</t>
        </is>
      </c>
      <c r="DN276" t="inlineStr">
        <is>
          <t>X</t>
        </is>
      </c>
    </row>
    <row r="277">
      <c r="A277" t="inlineStr">
        <is>
          <t>OH0015771015</t>
        </is>
      </c>
      <c r="B277" t="n">
        <v>78</v>
      </c>
      <c r="C277" t="n">
        <v>289056</v>
      </c>
      <c r="D277" t="inlineStr">
        <is>
          <t>LUNDY</t>
        </is>
      </c>
      <c r="E277" t="inlineStr">
        <is>
          <t>BRIAN</t>
        </is>
      </c>
      <c r="F277">
        <f>CONCATENATE(D277," ",LEFT(H277,4),"T=",AU277,"D=",AV277,"R=",AW277,"M=",AX277,"L=",AY277,"B=",AZ277)</f>
        <v/>
      </c>
      <c r="G277" t="inlineStr">
        <is>
          <t>EDWARD</t>
        </is>
      </c>
      <c r="I277" t="inlineStr">
        <is>
          <t>1961-01-11</t>
        </is>
      </c>
      <c r="J277" t="inlineStr">
        <is>
          <t>2016-04-04</t>
        </is>
      </c>
      <c r="K277" t="inlineStr">
        <is>
          <t>CONFIRMATION</t>
        </is>
      </c>
      <c r="M277" t="inlineStr">
        <is>
          <t>653 WOODBINE AVE SE</t>
        </is>
      </c>
      <c r="N277">
        <f>RIGHT(M277,LEN(M277)-FIND(" ",M277))</f>
        <v/>
      </c>
      <c r="P277" t="inlineStr">
        <is>
          <t>WARREN</t>
        </is>
      </c>
      <c r="Q277" t="inlineStr">
        <is>
          <t>OH</t>
        </is>
      </c>
      <c r="R277" t="n">
        <v>44483</v>
      </c>
      <c r="AD277" t="inlineStr">
        <is>
          <t>TRUMBULL CAREER &amp; TECH CENTER</t>
        </is>
      </c>
      <c r="AE277" t="inlineStr">
        <is>
          <t>WARREN CITY</t>
        </is>
      </c>
      <c r="AF277" t="inlineStr">
        <is>
          <t>WARREN CITY SD</t>
        </is>
      </c>
      <c r="AH277" t="n">
        <v>14</v>
      </c>
      <c r="AI277" t="n">
        <v>11</v>
      </c>
      <c r="AN277" t="inlineStr">
        <is>
          <t>WARREN</t>
        </is>
      </c>
      <c r="AO277" t="inlineStr">
        <is>
          <t>WARREN CITY 4A</t>
        </is>
      </c>
      <c r="AP277" t="inlineStr">
        <is>
          <t>78-P-ADI</t>
        </is>
      </c>
      <c r="AQ277" t="n">
        <v>9</v>
      </c>
      <c r="AR277" t="n">
        <v>64</v>
      </c>
      <c r="AS277" t="n">
        <v>32</v>
      </c>
      <c r="AU277">
        <f>COUNTA($BA$277:$EH$277)</f>
        <v/>
      </c>
      <c r="AV277">
        <f>COUNTIF($BA$277:$EH$277,"D")</f>
        <v/>
      </c>
      <c r="AW277">
        <f>COUNTIF($BA$277:$EH$277,"R")</f>
        <v/>
      </c>
      <c r="AX277">
        <f>IF(BN277="D",1,0)+IF(BO277="D",1,0)+IF(BT277="D",1,0)+IF(BU277="D",1,0)+IF(BW277="D",1,0)+IF(CC277="D",1,0)+IF(CD277="D",1,0)+IF(CE277="D",1,0)+IF(CF277="D",1,0)+IF(CL277="D",1,0)+IF(CM277="D",1,0)+IF(CQ277="D",1,0)+IF(CR277="D",1,0)+IF(CS277="D",1,0)+IF(CW277="D",1,0)+IF(CX277="D",1,0)+IF(DD277="D",1,0)+IF(DE277="D",1,0)+IF(DJ277="D",1,0)+IF(DK277="D",1,0)+IF(DO277="D",1,0)+IF(DP277="D",1,0)+IF(DQ277="D",1,0)+IF(DW277="D",1,0)+IF(DZ277="D",1,0)+IF(EH277="D",1,0)</f>
        <v/>
      </c>
      <c r="AY277">
        <f>IF(DJ277&lt;&gt;"",1,0)+IF(DK277&lt;&gt;"",1,0)+IF(DM277&lt;&gt;"",1,0)+IF(DO277&lt;&gt;"",1,0)+IF(DP277&lt;&gt;"",1,0)+IF(DQ277&lt;&gt;"",1,0)+IF(DS277&lt;&gt;"",1,0)+IF(DT277&lt;&gt;"",1,0)+IF(DV277&lt;&gt;"",1,0)+IF(DW277&lt;&gt;"",1,0)+IF(DX277&lt;&gt;"",1,0)+IF(DY277&lt;&gt;"",1,0)+IF(DZ277&lt;&gt;"",1,0)+IF(EB277&lt;&gt;"",1,0)+IF(EC277&lt;&gt;"",1,0)+IF(ED277&lt;&gt;"",1,0)+IF(EG277&lt;&gt;"",1,0)+IF(EH277&lt;&gt;"",1,0)</f>
        <v/>
      </c>
      <c r="AZ277">
        <f>IF(EH277&lt;&gt;"",1,0)</f>
        <v/>
      </c>
      <c r="BB277" t="inlineStr">
        <is>
          <t>WARREN-WARD 4</t>
        </is>
      </c>
      <c r="BS277" t="inlineStr">
        <is>
          <t>X</t>
        </is>
      </c>
      <c r="CA277" t="inlineStr">
        <is>
          <t>X</t>
        </is>
      </c>
      <c r="CP277" t="inlineStr">
        <is>
          <t>X</t>
        </is>
      </c>
      <c r="CV277" t="inlineStr">
        <is>
          <t>X</t>
        </is>
      </c>
      <c r="CY277" t="inlineStr">
        <is>
          <t>X</t>
        </is>
      </c>
      <c r="CZ277" t="inlineStr">
        <is>
          <t>D</t>
        </is>
      </c>
      <c r="DC277" t="inlineStr">
        <is>
          <t>X</t>
        </is>
      </c>
      <c r="DI277" t="inlineStr">
        <is>
          <t>X</t>
        </is>
      </c>
      <c r="DN277" t="inlineStr">
        <is>
          <t>X</t>
        </is>
      </c>
    </row>
    <row r="278">
      <c r="A278" t="inlineStr">
        <is>
          <t>OH0023630704</t>
        </is>
      </c>
      <c r="B278" t="n">
        <v>78</v>
      </c>
      <c r="C278" t="n">
        <v>415073</v>
      </c>
      <c r="D278" t="inlineStr">
        <is>
          <t>MCELROY</t>
        </is>
      </c>
      <c r="E278" t="inlineStr">
        <is>
          <t>BRITTANY</t>
        </is>
      </c>
      <c r="F278">
        <f>CONCATENATE(D278," ",LEFT(H278,4),"T=",AU278,"D=",AV278,"R=",AW278,"M=",AX278,"L=",AY278,"B=",AZ278)</f>
        <v/>
      </c>
      <c r="G278" t="inlineStr">
        <is>
          <t>C</t>
        </is>
      </c>
      <c r="I278" t="inlineStr">
        <is>
          <t>1986-03-31</t>
        </is>
      </c>
      <c r="J278" t="inlineStr">
        <is>
          <t>2024-07-26</t>
        </is>
      </c>
      <c r="K278" t="inlineStr">
        <is>
          <t>ACTIVE</t>
        </is>
      </c>
      <c r="M278" t="inlineStr">
        <is>
          <t>517 OAK KNOLL AVE SE</t>
        </is>
      </c>
      <c r="N278">
        <f>RIGHT(M278,LEN(M278)-FIND(" ",M278))</f>
        <v/>
      </c>
      <c r="P278" t="inlineStr">
        <is>
          <t>WARREN</t>
        </is>
      </c>
      <c r="Q278" t="inlineStr">
        <is>
          <t>OH</t>
        </is>
      </c>
      <c r="R278" t="n">
        <v>44483</v>
      </c>
      <c r="AD278" t="inlineStr">
        <is>
          <t>TRUMBULL CAREER &amp; TECH CENTER</t>
        </is>
      </c>
      <c r="AE278" t="inlineStr">
        <is>
          <t>WARREN CITY</t>
        </is>
      </c>
      <c r="AF278" t="inlineStr">
        <is>
          <t>WARREN CITY SD</t>
        </is>
      </c>
      <c r="AH278" t="n">
        <v>14</v>
      </c>
      <c r="AI278" t="n">
        <v>11</v>
      </c>
      <c r="AN278" t="inlineStr">
        <is>
          <t>WARREN</t>
        </is>
      </c>
      <c r="AO278" t="inlineStr">
        <is>
          <t>WARREN CITY 4A</t>
        </is>
      </c>
      <c r="AP278" t="inlineStr">
        <is>
          <t>78-P-ADI</t>
        </is>
      </c>
      <c r="AQ278" t="n">
        <v>9</v>
      </c>
      <c r="AR278" t="n">
        <v>64</v>
      </c>
      <c r="AS278" t="n">
        <v>32</v>
      </c>
      <c r="AU278">
        <f>COUNTA($BA$278:$EH$278)</f>
        <v/>
      </c>
      <c r="AV278">
        <f>COUNTIF($BA$278:$EH$278,"D")</f>
        <v/>
      </c>
      <c r="AW278">
        <f>COUNTIF($BA$278:$EH$278,"R")</f>
        <v/>
      </c>
      <c r="AX278">
        <f>IF(BN278="D",1,0)+IF(BO278="D",1,0)+IF(BT278="D",1,0)+IF(BU278="D",1,0)+IF(BW278="D",1,0)+IF(CC278="D",1,0)+IF(CD278="D",1,0)+IF(CE278="D",1,0)+IF(CF278="D",1,0)+IF(CL278="D",1,0)+IF(CM278="D",1,0)+IF(CQ278="D",1,0)+IF(CR278="D",1,0)+IF(CS278="D",1,0)+IF(CW278="D",1,0)+IF(CX278="D",1,0)+IF(DD278="D",1,0)+IF(DE278="D",1,0)+IF(DJ278="D",1,0)+IF(DK278="D",1,0)+IF(DO278="D",1,0)+IF(DP278="D",1,0)+IF(DQ278="D",1,0)+IF(DW278="D",1,0)+IF(DZ278="D",1,0)+IF(EH278="D",1,0)</f>
        <v/>
      </c>
      <c r="AY278">
        <f>IF(DJ278&lt;&gt;"",1,0)+IF(DK278&lt;&gt;"",1,0)+IF(DM278&lt;&gt;"",1,0)+IF(DO278&lt;&gt;"",1,0)+IF(DP278&lt;&gt;"",1,0)+IF(DQ278&lt;&gt;"",1,0)+IF(DS278&lt;&gt;"",1,0)+IF(DT278&lt;&gt;"",1,0)+IF(DV278&lt;&gt;"",1,0)+IF(DW278&lt;&gt;"",1,0)+IF(DX278&lt;&gt;"",1,0)+IF(DY278&lt;&gt;"",1,0)+IF(DZ278&lt;&gt;"",1,0)+IF(EB278&lt;&gt;"",1,0)+IF(EC278&lt;&gt;"",1,0)+IF(ED278&lt;&gt;"",1,0)+IF(EG278&lt;&gt;"",1,0)+IF(EH278&lt;&gt;"",1,0)</f>
        <v/>
      </c>
      <c r="AZ278">
        <f>IF(EH278&lt;&gt;"",1,0)</f>
        <v/>
      </c>
      <c r="BB278" t="inlineStr">
        <is>
          <t>WARREN-WARD 4</t>
        </is>
      </c>
      <c r="EF278" t="inlineStr">
        <is>
          <t>X</t>
        </is>
      </c>
    </row>
    <row r="279">
      <c r="A279" t="inlineStr">
        <is>
          <t>OH0024566237</t>
        </is>
      </c>
      <c r="B279" t="n">
        <v>78</v>
      </c>
      <c r="C279" t="n">
        <v>430563</v>
      </c>
      <c r="D279" t="inlineStr">
        <is>
          <t>SIMES</t>
        </is>
      </c>
      <c r="E279" t="inlineStr">
        <is>
          <t>JACOB</t>
        </is>
      </c>
      <c r="F279">
        <f>CONCATENATE(D279," ",LEFT(H279,4),"T=",AU279,"D=",AV279,"R=",AW279,"M=",AX279,"L=",AY279,"B=",AZ279)</f>
        <v/>
      </c>
      <c r="G279" t="inlineStr">
        <is>
          <t>T</t>
        </is>
      </c>
      <c r="I279" t="inlineStr">
        <is>
          <t>2000-08-01</t>
        </is>
      </c>
      <c r="J279" t="inlineStr">
        <is>
          <t>2024-03-05</t>
        </is>
      </c>
      <c r="K279" t="inlineStr">
        <is>
          <t>ACTIVE</t>
        </is>
      </c>
      <c r="M279" t="inlineStr">
        <is>
          <t>547 OAK KNOLL AVE SE</t>
        </is>
      </c>
      <c r="N279">
        <f>RIGHT(M279,LEN(M279)-FIND(" ",M279))</f>
        <v/>
      </c>
      <c r="P279" t="inlineStr">
        <is>
          <t>WARREN</t>
        </is>
      </c>
      <c r="Q279" t="inlineStr">
        <is>
          <t>OH</t>
        </is>
      </c>
      <c r="R279" t="n">
        <v>44483</v>
      </c>
      <c r="AD279" t="inlineStr">
        <is>
          <t>TRUMBULL CAREER &amp; TECH CENTER</t>
        </is>
      </c>
      <c r="AE279" t="inlineStr">
        <is>
          <t>WARREN CITY</t>
        </is>
      </c>
      <c r="AF279" t="inlineStr">
        <is>
          <t>WARREN CITY SD</t>
        </is>
      </c>
      <c r="AH279" t="n">
        <v>14</v>
      </c>
      <c r="AI279" t="n">
        <v>11</v>
      </c>
      <c r="AN279" t="inlineStr">
        <is>
          <t>WARREN</t>
        </is>
      </c>
      <c r="AO279" t="inlineStr">
        <is>
          <t>WARREN CITY 4A</t>
        </is>
      </c>
      <c r="AP279" t="inlineStr">
        <is>
          <t>78-P-ADI</t>
        </is>
      </c>
      <c r="AQ279" t="n">
        <v>9</v>
      </c>
      <c r="AR279" t="n">
        <v>64</v>
      </c>
      <c r="AS279" t="n">
        <v>32</v>
      </c>
      <c r="AU279">
        <f>COUNTA($BA$279:$EH$279)</f>
        <v/>
      </c>
      <c r="AV279">
        <f>COUNTIF($BA$279:$EH$279,"D")</f>
        <v/>
      </c>
      <c r="AW279">
        <f>COUNTIF($BA$279:$EH$279,"R")</f>
        <v/>
      </c>
      <c r="AX279">
        <f>IF(BN279="D",1,0)+IF(BO279="D",1,0)+IF(BT279="D",1,0)+IF(BU279="D",1,0)+IF(BW279="D",1,0)+IF(CC279="D",1,0)+IF(CD279="D",1,0)+IF(CE279="D",1,0)+IF(CF279="D",1,0)+IF(CL279="D",1,0)+IF(CM279="D",1,0)+IF(CQ279="D",1,0)+IF(CR279="D",1,0)+IF(CS279="D",1,0)+IF(CW279="D",1,0)+IF(CX279="D",1,0)+IF(DD279="D",1,0)+IF(DE279="D",1,0)+IF(DJ279="D",1,0)+IF(DK279="D",1,0)+IF(DO279="D",1,0)+IF(DP279="D",1,0)+IF(DQ279="D",1,0)+IF(DW279="D",1,0)+IF(DZ279="D",1,0)+IF(EH279="D",1,0)</f>
        <v/>
      </c>
      <c r="AY279">
        <f>IF(DJ279&lt;&gt;"",1,0)+IF(DK279&lt;&gt;"",1,0)+IF(DM279&lt;&gt;"",1,0)+IF(DO279&lt;&gt;"",1,0)+IF(DP279&lt;&gt;"",1,0)+IF(DQ279&lt;&gt;"",1,0)+IF(DS279&lt;&gt;"",1,0)+IF(DT279&lt;&gt;"",1,0)+IF(DV279&lt;&gt;"",1,0)+IF(DW279&lt;&gt;"",1,0)+IF(DX279&lt;&gt;"",1,0)+IF(DY279&lt;&gt;"",1,0)+IF(DZ279&lt;&gt;"",1,0)+IF(EB279&lt;&gt;"",1,0)+IF(EC279&lt;&gt;"",1,0)+IF(ED279&lt;&gt;"",1,0)+IF(EG279&lt;&gt;"",1,0)+IF(EH279&lt;&gt;"",1,0)</f>
        <v/>
      </c>
      <c r="AZ279">
        <f>IF(EH279&lt;&gt;"",1,0)</f>
        <v/>
      </c>
      <c r="BB279" t="inlineStr">
        <is>
          <t>WARREN-WARD 4</t>
        </is>
      </c>
    </row>
    <row r="280">
      <c r="A280" t="inlineStr">
        <is>
          <t>OH0018746413</t>
        </is>
      </c>
      <c r="B280" t="n">
        <v>78</v>
      </c>
      <c r="C280" t="n">
        <v>343805</v>
      </c>
      <c r="D280" t="inlineStr">
        <is>
          <t>BROWNING</t>
        </is>
      </c>
      <c r="E280" t="inlineStr">
        <is>
          <t>TIFFANY</t>
        </is>
      </c>
      <c r="F280">
        <f>CONCATENATE(D280," ",LEFT(H280,4),"T=",AU280,"D=",AV280,"R=",AW280,"M=",AX280,"L=",AY280,"B=",AZ280)</f>
        <v/>
      </c>
      <c r="G280" t="inlineStr">
        <is>
          <t>L</t>
        </is>
      </c>
      <c r="I280" t="inlineStr">
        <is>
          <t>1987-08-03</t>
        </is>
      </c>
      <c r="J280" t="inlineStr">
        <is>
          <t>2019-05-15</t>
        </is>
      </c>
      <c r="K280" t="inlineStr">
        <is>
          <t>ACTIVE</t>
        </is>
      </c>
      <c r="M280" t="inlineStr">
        <is>
          <t>394 BONNIE BRAE AVE SE</t>
        </is>
      </c>
      <c r="N280">
        <f>RIGHT(M280,LEN(M280)-FIND(" ",M280))</f>
        <v/>
      </c>
      <c r="P280" t="inlineStr">
        <is>
          <t>WARREN</t>
        </is>
      </c>
      <c r="Q280" t="inlineStr">
        <is>
          <t>OH</t>
        </is>
      </c>
      <c r="R280" t="n">
        <v>44484</v>
      </c>
      <c r="AD280" t="inlineStr">
        <is>
          <t>TRUMBULL CAREER &amp; TECH CENTER</t>
        </is>
      </c>
      <c r="AE280" t="inlineStr">
        <is>
          <t>WARREN CITY</t>
        </is>
      </c>
      <c r="AF280" t="inlineStr">
        <is>
          <t>WARREN CITY SD</t>
        </is>
      </c>
      <c r="AH280" t="n">
        <v>14</v>
      </c>
      <c r="AI280" t="n">
        <v>11</v>
      </c>
      <c r="AN280" t="inlineStr">
        <is>
          <t>WARREN</t>
        </is>
      </c>
      <c r="AO280" t="inlineStr">
        <is>
          <t>WARREN CITY 4A</t>
        </is>
      </c>
      <c r="AP280" t="inlineStr">
        <is>
          <t>78-P-ADI</t>
        </is>
      </c>
      <c r="AQ280" t="n">
        <v>9</v>
      </c>
      <c r="AR280" t="n">
        <v>64</v>
      </c>
      <c r="AS280" t="n">
        <v>32</v>
      </c>
      <c r="AU280">
        <f>COUNTA($BA$280:$EH$280)</f>
        <v/>
      </c>
      <c r="AV280">
        <f>COUNTIF($BA$280:$EH$280,"D")</f>
        <v/>
      </c>
      <c r="AW280">
        <f>COUNTIF($BA$280:$EH$280,"R")</f>
        <v/>
      </c>
      <c r="AX280">
        <f>IF(BN280="D",1,0)+IF(BO280="D",1,0)+IF(BT280="D",1,0)+IF(BU280="D",1,0)+IF(BW280="D",1,0)+IF(CC280="D",1,0)+IF(CD280="D",1,0)+IF(CE280="D",1,0)+IF(CF280="D",1,0)+IF(CL280="D",1,0)+IF(CM280="D",1,0)+IF(CQ280="D",1,0)+IF(CR280="D",1,0)+IF(CS280="D",1,0)+IF(CW280="D",1,0)+IF(CX280="D",1,0)+IF(DD280="D",1,0)+IF(DE280="D",1,0)+IF(DJ280="D",1,0)+IF(DK280="D",1,0)+IF(DO280="D",1,0)+IF(DP280="D",1,0)+IF(DQ280="D",1,0)+IF(DW280="D",1,0)+IF(DZ280="D",1,0)+IF(EH280="D",1,0)</f>
        <v/>
      </c>
      <c r="AY280">
        <f>IF(DJ280&lt;&gt;"",1,0)+IF(DK280&lt;&gt;"",1,0)+IF(DM280&lt;&gt;"",1,0)+IF(DO280&lt;&gt;"",1,0)+IF(DP280&lt;&gt;"",1,0)+IF(DQ280&lt;&gt;"",1,0)+IF(DS280&lt;&gt;"",1,0)+IF(DT280&lt;&gt;"",1,0)+IF(DV280&lt;&gt;"",1,0)+IF(DW280&lt;&gt;"",1,0)+IF(DX280&lt;&gt;"",1,0)+IF(DY280&lt;&gt;"",1,0)+IF(DZ280&lt;&gt;"",1,0)+IF(EB280&lt;&gt;"",1,0)+IF(EC280&lt;&gt;"",1,0)+IF(ED280&lt;&gt;"",1,0)+IF(EG280&lt;&gt;"",1,0)+IF(EH280&lt;&gt;"",1,0)</f>
        <v/>
      </c>
      <c r="AZ280">
        <f>IF(EH280&lt;&gt;"",1,0)</f>
        <v/>
      </c>
      <c r="BB280" t="inlineStr">
        <is>
          <t>WARREN-WARD 4</t>
        </is>
      </c>
      <c r="BY280" t="inlineStr">
        <is>
          <t>D</t>
        </is>
      </c>
      <c r="CA280" t="inlineStr">
        <is>
          <t>X</t>
        </is>
      </c>
      <c r="CK280" t="inlineStr">
        <is>
          <t>X</t>
        </is>
      </c>
      <c r="CP280" t="inlineStr">
        <is>
          <t>X</t>
        </is>
      </c>
      <c r="CY280" t="inlineStr">
        <is>
          <t>X</t>
        </is>
      </c>
      <c r="DC280" t="inlineStr">
        <is>
          <t>X</t>
        </is>
      </c>
      <c r="DN280" t="inlineStr">
        <is>
          <t>X</t>
        </is>
      </c>
    </row>
    <row r="281">
      <c r="A281" t="inlineStr">
        <is>
          <t>OH0023719100</t>
        </is>
      </c>
      <c r="B281" t="n">
        <v>78</v>
      </c>
      <c r="C281" t="n">
        <v>417209</v>
      </c>
      <c r="D281" t="inlineStr">
        <is>
          <t>GOINS</t>
        </is>
      </c>
      <c r="E281" t="inlineStr">
        <is>
          <t>CHRIS</t>
        </is>
      </c>
      <c r="F281">
        <f>CONCATENATE(D281," ",LEFT(H281,4),"T=",AU281,"D=",AV281,"R=",AW281,"M=",AX281,"L=",AY281,"B=",AZ281)</f>
        <v/>
      </c>
      <c r="G281" t="inlineStr">
        <is>
          <t>B</t>
        </is>
      </c>
      <c r="I281" t="inlineStr">
        <is>
          <t>1972-07-18</t>
        </is>
      </c>
      <c r="J281" t="inlineStr">
        <is>
          <t>2016-05-31</t>
        </is>
      </c>
      <c r="K281" t="inlineStr">
        <is>
          <t>CONFIRMATION</t>
        </is>
      </c>
      <c r="M281" t="inlineStr">
        <is>
          <t>492 HOMEWOOD AVE SE</t>
        </is>
      </c>
      <c r="N281">
        <f>RIGHT(M281,LEN(M281)-FIND(" ",M281))</f>
        <v/>
      </c>
      <c r="P281" t="inlineStr">
        <is>
          <t>WARREN</t>
        </is>
      </c>
      <c r="Q281" t="inlineStr">
        <is>
          <t>OH</t>
        </is>
      </c>
      <c r="R281" t="n">
        <v>44483</v>
      </c>
      <c r="AD281" t="inlineStr">
        <is>
          <t>TRUMBULL CAREER &amp; TECH CENTER</t>
        </is>
      </c>
      <c r="AE281" t="inlineStr">
        <is>
          <t>WARREN CITY</t>
        </is>
      </c>
      <c r="AF281" t="inlineStr">
        <is>
          <t>WARREN CITY SD</t>
        </is>
      </c>
      <c r="AH281" t="n">
        <v>14</v>
      </c>
      <c r="AI281" t="n">
        <v>11</v>
      </c>
      <c r="AN281" t="inlineStr">
        <is>
          <t>WARREN</t>
        </is>
      </c>
      <c r="AO281" t="inlineStr">
        <is>
          <t>WARREN CITY 4A</t>
        </is>
      </c>
      <c r="AP281" t="inlineStr">
        <is>
          <t>78-P-ADI</t>
        </is>
      </c>
      <c r="AQ281" t="n">
        <v>9</v>
      </c>
      <c r="AR281" t="n">
        <v>64</v>
      </c>
      <c r="AS281" t="n">
        <v>32</v>
      </c>
      <c r="AU281">
        <f>COUNTA($BA$281:$EH$281)</f>
        <v/>
      </c>
      <c r="AV281">
        <f>COUNTIF($BA$281:$EH$281,"D")</f>
        <v/>
      </c>
      <c r="AW281">
        <f>COUNTIF($BA$281:$EH$281,"R")</f>
        <v/>
      </c>
      <c r="AX281">
        <f>IF(BN281="D",1,0)+IF(BO281="D",1,0)+IF(BT281="D",1,0)+IF(BU281="D",1,0)+IF(BW281="D",1,0)+IF(CC281="D",1,0)+IF(CD281="D",1,0)+IF(CE281="D",1,0)+IF(CF281="D",1,0)+IF(CL281="D",1,0)+IF(CM281="D",1,0)+IF(CQ281="D",1,0)+IF(CR281="D",1,0)+IF(CS281="D",1,0)+IF(CW281="D",1,0)+IF(CX281="D",1,0)+IF(DD281="D",1,0)+IF(DE281="D",1,0)+IF(DJ281="D",1,0)+IF(DK281="D",1,0)+IF(DO281="D",1,0)+IF(DP281="D",1,0)+IF(DQ281="D",1,0)+IF(DW281="D",1,0)+IF(DZ281="D",1,0)+IF(EH281="D",1,0)</f>
        <v/>
      </c>
      <c r="AY281">
        <f>IF(DJ281&lt;&gt;"",1,0)+IF(DK281&lt;&gt;"",1,0)+IF(DM281&lt;&gt;"",1,0)+IF(DO281&lt;&gt;"",1,0)+IF(DP281&lt;&gt;"",1,0)+IF(DQ281&lt;&gt;"",1,0)+IF(DS281&lt;&gt;"",1,0)+IF(DT281&lt;&gt;"",1,0)+IF(DV281&lt;&gt;"",1,0)+IF(DW281&lt;&gt;"",1,0)+IF(DX281&lt;&gt;"",1,0)+IF(DY281&lt;&gt;"",1,0)+IF(DZ281&lt;&gt;"",1,0)+IF(EB281&lt;&gt;"",1,0)+IF(EC281&lt;&gt;"",1,0)+IF(ED281&lt;&gt;"",1,0)+IF(EG281&lt;&gt;"",1,0)+IF(EH281&lt;&gt;"",1,0)</f>
        <v/>
      </c>
      <c r="AZ281">
        <f>IF(EH281&lt;&gt;"",1,0)</f>
        <v/>
      </c>
      <c r="BB281" t="inlineStr">
        <is>
          <t>WARREN-WARD 4</t>
        </is>
      </c>
    </row>
    <row r="282">
      <c r="A282" t="inlineStr">
        <is>
          <t>OH0024096442</t>
        </is>
      </c>
      <c r="B282" t="n">
        <v>78</v>
      </c>
      <c r="C282" t="n">
        <v>422070</v>
      </c>
      <c r="D282" t="inlineStr">
        <is>
          <t>FULLER</t>
        </is>
      </c>
      <c r="E282" t="inlineStr">
        <is>
          <t>BARBARA</t>
        </is>
      </c>
      <c r="F282">
        <f>CONCATENATE(D282," ",LEFT(H282,4),"T=",AU282,"D=",AV282,"R=",AW282,"M=",AX282,"L=",AY282,"B=",AZ282)</f>
        <v/>
      </c>
      <c r="G282" t="inlineStr">
        <is>
          <t>A</t>
        </is>
      </c>
      <c r="I282" t="inlineStr">
        <is>
          <t>1985-11-17</t>
        </is>
      </c>
      <c r="J282" t="inlineStr">
        <is>
          <t>2017-02-21</t>
        </is>
      </c>
      <c r="K282" t="inlineStr">
        <is>
          <t>CONFIRMATION</t>
        </is>
      </c>
      <c r="M282" t="inlineStr">
        <is>
          <t>761 BONNIE BRAE AVE SE</t>
        </is>
      </c>
      <c r="N282">
        <f>RIGHT(M282,LEN(M282)-FIND(" ",M282))</f>
        <v/>
      </c>
      <c r="P282" t="inlineStr">
        <is>
          <t>WARREN</t>
        </is>
      </c>
      <c r="Q282" t="inlineStr">
        <is>
          <t>OH</t>
        </is>
      </c>
      <c r="R282" t="n">
        <v>44484</v>
      </c>
      <c r="AD282" t="inlineStr">
        <is>
          <t>TRUMBULL CAREER &amp; TECH CENTER</t>
        </is>
      </c>
      <c r="AE282" t="inlineStr">
        <is>
          <t>WARREN CITY</t>
        </is>
      </c>
      <c r="AF282" t="inlineStr">
        <is>
          <t>WARREN CITY SD</t>
        </is>
      </c>
      <c r="AH282" t="n">
        <v>14</v>
      </c>
      <c r="AI282" t="n">
        <v>11</v>
      </c>
      <c r="AN282" t="inlineStr">
        <is>
          <t>WARREN</t>
        </is>
      </c>
      <c r="AO282" t="inlineStr">
        <is>
          <t>WARREN CITY 4A</t>
        </is>
      </c>
      <c r="AP282" t="inlineStr">
        <is>
          <t>78-P-ADI</t>
        </is>
      </c>
      <c r="AQ282" t="n">
        <v>9</v>
      </c>
      <c r="AR282" t="n">
        <v>64</v>
      </c>
      <c r="AS282" t="n">
        <v>32</v>
      </c>
      <c r="AU282">
        <f>COUNTA($BA$282:$EH$282)</f>
        <v/>
      </c>
      <c r="AV282">
        <f>COUNTIF($BA$282:$EH$282,"D")</f>
        <v/>
      </c>
      <c r="AW282">
        <f>COUNTIF($BA$282:$EH$282,"R")</f>
        <v/>
      </c>
      <c r="AX282">
        <f>IF(BN282="D",1,0)+IF(BO282="D",1,0)+IF(BT282="D",1,0)+IF(BU282="D",1,0)+IF(BW282="D",1,0)+IF(CC282="D",1,0)+IF(CD282="D",1,0)+IF(CE282="D",1,0)+IF(CF282="D",1,0)+IF(CL282="D",1,0)+IF(CM282="D",1,0)+IF(CQ282="D",1,0)+IF(CR282="D",1,0)+IF(CS282="D",1,0)+IF(CW282="D",1,0)+IF(CX282="D",1,0)+IF(DD282="D",1,0)+IF(DE282="D",1,0)+IF(DJ282="D",1,0)+IF(DK282="D",1,0)+IF(DO282="D",1,0)+IF(DP282="D",1,0)+IF(DQ282="D",1,0)+IF(DW282="D",1,0)+IF(DZ282="D",1,0)+IF(EH282="D",1,0)</f>
        <v/>
      </c>
      <c r="AY282">
        <f>IF(DJ282&lt;&gt;"",1,0)+IF(DK282&lt;&gt;"",1,0)+IF(DM282&lt;&gt;"",1,0)+IF(DO282&lt;&gt;"",1,0)+IF(DP282&lt;&gt;"",1,0)+IF(DQ282&lt;&gt;"",1,0)+IF(DS282&lt;&gt;"",1,0)+IF(DT282&lt;&gt;"",1,0)+IF(DV282&lt;&gt;"",1,0)+IF(DW282&lt;&gt;"",1,0)+IF(DX282&lt;&gt;"",1,0)+IF(DY282&lt;&gt;"",1,0)+IF(DZ282&lt;&gt;"",1,0)+IF(EB282&lt;&gt;"",1,0)+IF(EC282&lt;&gt;"",1,0)+IF(ED282&lt;&gt;"",1,0)+IF(EG282&lt;&gt;"",1,0)+IF(EH282&lt;&gt;"",1,0)</f>
        <v/>
      </c>
      <c r="AZ282">
        <f>IF(EH282&lt;&gt;"",1,0)</f>
        <v/>
      </c>
      <c r="BB282" t="inlineStr">
        <is>
          <t>WARREN-WARD 4</t>
        </is>
      </c>
      <c r="BL282" t="inlineStr">
        <is>
          <t>X</t>
        </is>
      </c>
    </row>
    <row r="283">
      <c r="A283" t="inlineStr">
        <is>
          <t>OH0026156094</t>
        </is>
      </c>
      <c r="B283" t="n">
        <v>78</v>
      </c>
      <c r="C283" t="n">
        <v>457297</v>
      </c>
      <c r="D283" t="inlineStr">
        <is>
          <t>SANDERS</t>
        </is>
      </c>
      <c r="E283" t="inlineStr">
        <is>
          <t>ANDREA</t>
        </is>
      </c>
      <c r="F283">
        <f>CONCATENATE(D283," ",LEFT(H283,4),"T=",AU283,"D=",AV283,"R=",AW283,"M=",AX283,"L=",AY283,"B=",AZ283)</f>
        <v/>
      </c>
      <c r="G283" t="inlineStr">
        <is>
          <t>N</t>
        </is>
      </c>
      <c r="I283" t="inlineStr">
        <is>
          <t>2001-06-28</t>
        </is>
      </c>
      <c r="J283" t="inlineStr">
        <is>
          <t>2023-08-15</t>
        </is>
      </c>
      <c r="K283" t="inlineStr">
        <is>
          <t>ACTIVE</t>
        </is>
      </c>
      <c r="M283" t="inlineStr">
        <is>
          <t>1225 BELLE ST SE</t>
        </is>
      </c>
      <c r="N283">
        <f>RIGHT(M283,LEN(M283)-FIND(" ",M283))</f>
        <v/>
      </c>
      <c r="P283" t="inlineStr">
        <is>
          <t>WARREN</t>
        </is>
      </c>
      <c r="Q283" t="inlineStr">
        <is>
          <t>OH</t>
        </is>
      </c>
      <c r="R283" t="n">
        <v>44484</v>
      </c>
      <c r="AD283" t="inlineStr">
        <is>
          <t>TRUMBULL CAREER &amp; TECH CENTER</t>
        </is>
      </c>
      <c r="AE283" t="inlineStr">
        <is>
          <t>WARREN CITY</t>
        </is>
      </c>
      <c r="AF283" t="inlineStr">
        <is>
          <t>WARREN CITY SD</t>
        </is>
      </c>
      <c r="AH283" t="n">
        <v>14</v>
      </c>
      <c r="AI283" t="n">
        <v>11</v>
      </c>
      <c r="AN283" t="inlineStr">
        <is>
          <t>WARREN</t>
        </is>
      </c>
      <c r="AO283" t="inlineStr">
        <is>
          <t>WARREN CITY 4A</t>
        </is>
      </c>
      <c r="AP283" t="inlineStr">
        <is>
          <t>78-P-ADI</t>
        </is>
      </c>
      <c r="AQ283" t="n">
        <v>9</v>
      </c>
      <c r="AR283" t="n">
        <v>64</v>
      </c>
      <c r="AS283" t="n">
        <v>32</v>
      </c>
      <c r="AU283">
        <f>COUNTA($BA$283:$EH$283)</f>
        <v/>
      </c>
      <c r="AV283">
        <f>COUNTIF($BA$283:$EH$283,"D")</f>
        <v/>
      </c>
      <c r="AW283">
        <f>COUNTIF($BA$283:$EH$283,"R")</f>
        <v/>
      </c>
      <c r="AX283">
        <f>IF(BN283="D",1,0)+IF(BO283="D",1,0)+IF(BT283="D",1,0)+IF(BU283="D",1,0)+IF(BW283="D",1,0)+IF(CC283="D",1,0)+IF(CD283="D",1,0)+IF(CE283="D",1,0)+IF(CF283="D",1,0)+IF(CL283="D",1,0)+IF(CM283="D",1,0)+IF(CQ283="D",1,0)+IF(CR283="D",1,0)+IF(CS283="D",1,0)+IF(CW283="D",1,0)+IF(CX283="D",1,0)+IF(DD283="D",1,0)+IF(DE283="D",1,0)+IF(DJ283="D",1,0)+IF(DK283="D",1,0)+IF(DO283="D",1,0)+IF(DP283="D",1,0)+IF(DQ283="D",1,0)+IF(DW283="D",1,0)+IF(DZ283="D",1,0)+IF(EH283="D",1,0)</f>
        <v/>
      </c>
      <c r="AY283">
        <f>IF(DJ283&lt;&gt;"",1,0)+IF(DK283&lt;&gt;"",1,0)+IF(DM283&lt;&gt;"",1,0)+IF(DO283&lt;&gt;"",1,0)+IF(DP283&lt;&gt;"",1,0)+IF(DQ283&lt;&gt;"",1,0)+IF(DS283&lt;&gt;"",1,0)+IF(DT283&lt;&gt;"",1,0)+IF(DV283&lt;&gt;"",1,0)+IF(DW283&lt;&gt;"",1,0)+IF(DX283&lt;&gt;"",1,0)+IF(DY283&lt;&gt;"",1,0)+IF(DZ283&lt;&gt;"",1,0)+IF(EB283&lt;&gt;"",1,0)+IF(EC283&lt;&gt;"",1,0)+IF(ED283&lt;&gt;"",1,0)+IF(EG283&lt;&gt;"",1,0)+IF(EH283&lt;&gt;"",1,0)</f>
        <v/>
      </c>
      <c r="AZ283">
        <f>IF(EH283&lt;&gt;"",1,0)</f>
        <v/>
      </c>
      <c r="BB283" t="inlineStr">
        <is>
          <t>WARREN-WARD 4</t>
        </is>
      </c>
    </row>
    <row r="284">
      <c r="A284" t="inlineStr">
        <is>
          <t>OH0026995657</t>
        </is>
      </c>
      <c r="B284" t="n">
        <v>78</v>
      </c>
      <c r="C284" t="n">
        <v>475514</v>
      </c>
      <c r="D284" t="inlineStr">
        <is>
          <t>WOMER</t>
        </is>
      </c>
      <c r="E284" t="inlineStr">
        <is>
          <t>KAREN</t>
        </is>
      </c>
      <c r="F284">
        <f>CONCATENATE(D284," ",LEFT(H284,4),"T=",AU284,"D=",AV284,"R=",AW284,"M=",AX284,"L=",AY284,"B=",AZ284)</f>
        <v/>
      </c>
      <c r="G284" t="inlineStr">
        <is>
          <t>ABIGAIL</t>
        </is>
      </c>
      <c r="I284" t="inlineStr">
        <is>
          <t>1978-12-29</t>
        </is>
      </c>
      <c r="J284" t="inlineStr">
        <is>
          <t>2024-07-18</t>
        </is>
      </c>
      <c r="K284" t="inlineStr">
        <is>
          <t>ACTIVE</t>
        </is>
      </c>
      <c r="M284" t="inlineStr">
        <is>
          <t>231 KENILWORTH AVE SE</t>
        </is>
      </c>
      <c r="N284">
        <f>RIGHT(M284,LEN(M284)-FIND(" ",M284))</f>
        <v/>
      </c>
      <c r="P284" t="inlineStr">
        <is>
          <t>WARREN</t>
        </is>
      </c>
      <c r="Q284" t="inlineStr">
        <is>
          <t>OH</t>
        </is>
      </c>
      <c r="R284" t="n">
        <v>44483</v>
      </c>
      <c r="AD284" t="inlineStr">
        <is>
          <t>TRUMBULL CAREER &amp; TECH CENTER</t>
        </is>
      </c>
      <c r="AE284" t="inlineStr">
        <is>
          <t>WARREN CITY</t>
        </is>
      </c>
      <c r="AF284" t="inlineStr">
        <is>
          <t>WARREN CITY SD</t>
        </is>
      </c>
      <c r="AH284" t="n">
        <v>14</v>
      </c>
      <c r="AI284" t="n">
        <v>11</v>
      </c>
      <c r="AN284" t="inlineStr">
        <is>
          <t>WARREN</t>
        </is>
      </c>
      <c r="AO284" t="inlineStr">
        <is>
          <t>WARREN CITY 4A</t>
        </is>
      </c>
      <c r="AP284" t="inlineStr">
        <is>
          <t>78-P-ADI</t>
        </is>
      </c>
      <c r="AQ284" t="n">
        <v>9</v>
      </c>
      <c r="AR284" t="n">
        <v>64</v>
      </c>
      <c r="AS284" t="n">
        <v>32</v>
      </c>
      <c r="AU284">
        <f>COUNTA($BA$284:$EH$284)</f>
        <v/>
      </c>
      <c r="AV284">
        <f>COUNTIF($BA$284:$EH$284,"D")</f>
        <v/>
      </c>
      <c r="AW284">
        <f>COUNTIF($BA$284:$EH$284,"R")</f>
        <v/>
      </c>
      <c r="AX284">
        <f>IF(BN284="D",1,0)+IF(BO284="D",1,0)+IF(BT284="D",1,0)+IF(BU284="D",1,0)+IF(BW284="D",1,0)+IF(CC284="D",1,0)+IF(CD284="D",1,0)+IF(CE284="D",1,0)+IF(CF284="D",1,0)+IF(CL284="D",1,0)+IF(CM284="D",1,0)+IF(CQ284="D",1,0)+IF(CR284="D",1,0)+IF(CS284="D",1,0)+IF(CW284="D",1,0)+IF(CX284="D",1,0)+IF(DD284="D",1,0)+IF(DE284="D",1,0)+IF(DJ284="D",1,0)+IF(DK284="D",1,0)+IF(DO284="D",1,0)+IF(DP284="D",1,0)+IF(DQ284="D",1,0)+IF(DW284="D",1,0)+IF(DZ284="D",1,0)+IF(EH284="D",1,0)</f>
        <v/>
      </c>
      <c r="AY284">
        <f>IF(DJ284&lt;&gt;"",1,0)+IF(DK284&lt;&gt;"",1,0)+IF(DM284&lt;&gt;"",1,0)+IF(DO284&lt;&gt;"",1,0)+IF(DP284&lt;&gt;"",1,0)+IF(DQ284&lt;&gt;"",1,0)+IF(DS284&lt;&gt;"",1,0)+IF(DT284&lt;&gt;"",1,0)+IF(DV284&lt;&gt;"",1,0)+IF(DW284&lt;&gt;"",1,0)+IF(DX284&lt;&gt;"",1,0)+IF(DY284&lt;&gt;"",1,0)+IF(DZ284&lt;&gt;"",1,0)+IF(EB284&lt;&gt;"",1,0)+IF(EC284&lt;&gt;"",1,0)+IF(ED284&lt;&gt;"",1,0)+IF(EG284&lt;&gt;"",1,0)+IF(EH284&lt;&gt;"",1,0)</f>
        <v/>
      </c>
      <c r="AZ284">
        <f>IF(EH284&lt;&gt;"",1,0)</f>
        <v/>
      </c>
      <c r="BB284" t="inlineStr">
        <is>
          <t>WARREN-WARD 4</t>
        </is>
      </c>
      <c r="EF284" t="inlineStr">
        <is>
          <t>X</t>
        </is>
      </c>
    </row>
    <row r="285">
      <c r="A285" t="inlineStr">
        <is>
          <t>OH0018583059</t>
        </is>
      </c>
      <c r="B285" t="n">
        <v>78</v>
      </c>
      <c r="C285" t="n">
        <v>336711</v>
      </c>
      <c r="D285" t="inlineStr">
        <is>
          <t>MCCLELLAND</t>
        </is>
      </c>
      <c r="E285" t="inlineStr">
        <is>
          <t>ERIC</t>
        </is>
      </c>
      <c r="F285">
        <f>CONCATENATE(D285," ",LEFT(H285,4),"T=",AU285,"D=",AV285,"R=",AW285,"M=",AX285,"L=",AY285,"B=",AZ285)</f>
        <v/>
      </c>
      <c r="G285" t="inlineStr">
        <is>
          <t>D</t>
        </is>
      </c>
      <c r="I285" t="inlineStr">
        <is>
          <t>1983-08-14</t>
        </is>
      </c>
      <c r="J285" t="inlineStr">
        <is>
          <t>2016-02-29</t>
        </is>
      </c>
      <c r="K285" t="inlineStr">
        <is>
          <t>ACTIVE</t>
        </is>
      </c>
      <c r="M285" t="inlineStr">
        <is>
          <t>375 OAK KNOLL AVE SE</t>
        </is>
      </c>
      <c r="N285">
        <f>RIGHT(M285,LEN(M285)-FIND(" ",M285))</f>
        <v/>
      </c>
      <c r="P285" t="inlineStr">
        <is>
          <t>WARREN</t>
        </is>
      </c>
      <c r="Q285" t="inlineStr">
        <is>
          <t>OH</t>
        </is>
      </c>
      <c r="R285" t="n">
        <v>44483</v>
      </c>
      <c r="AD285" t="inlineStr">
        <is>
          <t>TRUMBULL CAREER &amp; TECH CENTER</t>
        </is>
      </c>
      <c r="AE285" t="inlineStr">
        <is>
          <t>WARREN CITY</t>
        </is>
      </c>
      <c r="AF285" t="inlineStr">
        <is>
          <t>WARREN CITY SD</t>
        </is>
      </c>
      <c r="AH285" t="n">
        <v>14</v>
      </c>
      <c r="AI285" t="n">
        <v>11</v>
      </c>
      <c r="AN285" t="inlineStr">
        <is>
          <t>WARREN</t>
        </is>
      </c>
      <c r="AO285" t="inlineStr">
        <is>
          <t>WARREN CITY 4A</t>
        </is>
      </c>
      <c r="AP285" t="inlineStr">
        <is>
          <t>78-P-ADI</t>
        </is>
      </c>
      <c r="AQ285" t="n">
        <v>9</v>
      </c>
      <c r="AR285" t="n">
        <v>64</v>
      </c>
      <c r="AS285" t="n">
        <v>32</v>
      </c>
      <c r="AU285">
        <f>COUNTA($BA$285:$EH$285)</f>
        <v/>
      </c>
      <c r="AV285">
        <f>COUNTIF($BA$285:$EH$285,"D")</f>
        <v/>
      </c>
      <c r="AW285">
        <f>COUNTIF($BA$285:$EH$285,"R")</f>
        <v/>
      </c>
      <c r="AX285">
        <f>IF(BN285="D",1,0)+IF(BO285="D",1,0)+IF(BT285="D",1,0)+IF(BU285="D",1,0)+IF(BW285="D",1,0)+IF(CC285="D",1,0)+IF(CD285="D",1,0)+IF(CE285="D",1,0)+IF(CF285="D",1,0)+IF(CL285="D",1,0)+IF(CM285="D",1,0)+IF(CQ285="D",1,0)+IF(CR285="D",1,0)+IF(CS285="D",1,0)+IF(CW285="D",1,0)+IF(CX285="D",1,0)+IF(DD285="D",1,0)+IF(DE285="D",1,0)+IF(DJ285="D",1,0)+IF(DK285="D",1,0)+IF(DO285="D",1,0)+IF(DP285="D",1,0)+IF(DQ285="D",1,0)+IF(DW285="D",1,0)+IF(DZ285="D",1,0)+IF(EH285="D",1,0)</f>
        <v/>
      </c>
      <c r="AY285">
        <f>IF(DJ285&lt;&gt;"",1,0)+IF(DK285&lt;&gt;"",1,0)+IF(DM285&lt;&gt;"",1,0)+IF(DO285&lt;&gt;"",1,0)+IF(DP285&lt;&gt;"",1,0)+IF(DQ285&lt;&gt;"",1,0)+IF(DS285&lt;&gt;"",1,0)+IF(DT285&lt;&gt;"",1,0)+IF(DV285&lt;&gt;"",1,0)+IF(DW285&lt;&gt;"",1,0)+IF(DX285&lt;&gt;"",1,0)+IF(DY285&lt;&gt;"",1,0)+IF(DZ285&lt;&gt;"",1,0)+IF(EB285&lt;&gt;"",1,0)+IF(EC285&lt;&gt;"",1,0)+IF(ED285&lt;&gt;"",1,0)+IF(EG285&lt;&gt;"",1,0)+IF(EH285&lt;&gt;"",1,0)</f>
        <v/>
      </c>
      <c r="AZ285">
        <f>IF(EH285&lt;&gt;"",1,0)</f>
        <v/>
      </c>
      <c r="BB285" t="inlineStr">
        <is>
          <t>WARREN-WARD 4</t>
        </is>
      </c>
      <c r="BS285" t="inlineStr">
        <is>
          <t>X</t>
        </is>
      </c>
      <c r="BY285" t="inlineStr">
        <is>
          <t>D</t>
        </is>
      </c>
      <c r="CP285" t="inlineStr">
        <is>
          <t>X</t>
        </is>
      </c>
      <c r="DC285" t="inlineStr">
        <is>
          <t>X</t>
        </is>
      </c>
      <c r="DI285" t="inlineStr">
        <is>
          <t>X</t>
        </is>
      </c>
      <c r="DN285" t="inlineStr">
        <is>
          <t>X</t>
        </is>
      </c>
      <c r="EF285" t="inlineStr">
        <is>
          <t>X</t>
        </is>
      </c>
    </row>
    <row r="286">
      <c r="A286" t="inlineStr">
        <is>
          <t>OH0027042685</t>
        </is>
      </c>
      <c r="B286" t="n">
        <v>78</v>
      </c>
      <c r="C286" t="n">
        <v>476138</v>
      </c>
      <c r="D286" t="inlineStr">
        <is>
          <t>CLAY</t>
        </is>
      </c>
      <c r="E286" t="inlineStr">
        <is>
          <t>TERRY</t>
        </is>
      </c>
      <c r="F286">
        <f>CONCATENATE(D286," ",LEFT(H286,4),"T=",AU286,"D=",AV286,"R=",AW286,"M=",AX286,"L=",AY286,"B=",AZ286)</f>
        <v/>
      </c>
      <c r="G286" t="inlineStr">
        <is>
          <t>EUGENE</t>
        </is>
      </c>
      <c r="H286" t="inlineStr">
        <is>
          <t>JR</t>
        </is>
      </c>
      <c r="I286" t="inlineStr">
        <is>
          <t>1979-08-25</t>
        </is>
      </c>
      <c r="J286" t="inlineStr">
        <is>
          <t>2023-08-17</t>
        </is>
      </c>
      <c r="K286" t="inlineStr">
        <is>
          <t>ACTIVE</t>
        </is>
      </c>
      <c r="M286" t="inlineStr">
        <is>
          <t>877 KENILWORTH AVE SE</t>
        </is>
      </c>
      <c r="N286">
        <f>RIGHT(M286,LEN(M286)-FIND(" ",M286))</f>
        <v/>
      </c>
      <c r="P286" t="inlineStr">
        <is>
          <t>WARREN</t>
        </is>
      </c>
      <c r="Q286" t="inlineStr">
        <is>
          <t>OH</t>
        </is>
      </c>
      <c r="R286" t="n">
        <v>44484</v>
      </c>
      <c r="AD286" t="inlineStr">
        <is>
          <t>TRUMBULL CAREER &amp; TECH CENTER</t>
        </is>
      </c>
      <c r="AE286" t="inlineStr">
        <is>
          <t>WARREN CITY</t>
        </is>
      </c>
      <c r="AF286" t="inlineStr">
        <is>
          <t>WARREN CITY SD</t>
        </is>
      </c>
      <c r="AH286" t="n">
        <v>14</v>
      </c>
      <c r="AI286" t="n">
        <v>11</v>
      </c>
      <c r="AN286" t="inlineStr">
        <is>
          <t>WARREN</t>
        </is>
      </c>
      <c r="AO286" t="inlineStr">
        <is>
          <t>WARREN CITY 4A</t>
        </is>
      </c>
      <c r="AP286" t="inlineStr">
        <is>
          <t>78-P-ADI</t>
        </is>
      </c>
      <c r="AQ286" t="n">
        <v>9</v>
      </c>
      <c r="AR286" t="n">
        <v>64</v>
      </c>
      <c r="AS286" t="n">
        <v>32</v>
      </c>
      <c r="AU286">
        <f>COUNTA($BA$286:$EH$286)</f>
        <v/>
      </c>
      <c r="AV286">
        <f>COUNTIF($BA$286:$EH$286,"D")</f>
        <v/>
      </c>
      <c r="AW286">
        <f>COUNTIF($BA$286:$EH$286,"R")</f>
        <v/>
      </c>
      <c r="AX286">
        <f>IF(BN286="D",1,0)+IF(BO286="D",1,0)+IF(BT286="D",1,0)+IF(BU286="D",1,0)+IF(BW286="D",1,0)+IF(CC286="D",1,0)+IF(CD286="D",1,0)+IF(CE286="D",1,0)+IF(CF286="D",1,0)+IF(CL286="D",1,0)+IF(CM286="D",1,0)+IF(CQ286="D",1,0)+IF(CR286="D",1,0)+IF(CS286="D",1,0)+IF(CW286="D",1,0)+IF(CX286="D",1,0)+IF(DD286="D",1,0)+IF(DE286="D",1,0)+IF(DJ286="D",1,0)+IF(DK286="D",1,0)+IF(DO286="D",1,0)+IF(DP286="D",1,0)+IF(DQ286="D",1,0)+IF(DW286="D",1,0)+IF(DZ286="D",1,0)+IF(EH286="D",1,0)</f>
        <v/>
      </c>
      <c r="AY286">
        <f>IF(DJ286&lt;&gt;"",1,0)+IF(DK286&lt;&gt;"",1,0)+IF(DM286&lt;&gt;"",1,0)+IF(DO286&lt;&gt;"",1,0)+IF(DP286&lt;&gt;"",1,0)+IF(DQ286&lt;&gt;"",1,0)+IF(DS286&lt;&gt;"",1,0)+IF(DT286&lt;&gt;"",1,0)+IF(DV286&lt;&gt;"",1,0)+IF(DW286&lt;&gt;"",1,0)+IF(DX286&lt;&gt;"",1,0)+IF(DY286&lt;&gt;"",1,0)+IF(DZ286&lt;&gt;"",1,0)+IF(EB286&lt;&gt;"",1,0)+IF(EC286&lt;&gt;"",1,0)+IF(ED286&lt;&gt;"",1,0)+IF(EG286&lt;&gt;"",1,0)+IF(EH286&lt;&gt;"",1,0)</f>
        <v/>
      </c>
      <c r="AZ286">
        <f>IF(EH286&lt;&gt;"",1,0)</f>
        <v/>
      </c>
      <c r="BB286" t="inlineStr">
        <is>
          <t>WARREN-WARD 4</t>
        </is>
      </c>
    </row>
    <row r="287">
      <c r="A287" t="inlineStr">
        <is>
          <t>OH0023221257</t>
        </is>
      </c>
      <c r="B287" t="n">
        <v>78</v>
      </c>
      <c r="C287" t="n">
        <v>408640</v>
      </c>
      <c r="D287" t="inlineStr">
        <is>
          <t>STEIN</t>
        </is>
      </c>
      <c r="E287" t="inlineStr">
        <is>
          <t>SYDNEY</t>
        </is>
      </c>
      <c r="F287">
        <f>CONCATENATE(D287," ",LEFT(H287,4),"T=",AU287,"D=",AV287,"R=",AW287,"M=",AX287,"L=",AY287,"B=",AZ287)</f>
        <v/>
      </c>
      <c r="G287" t="inlineStr">
        <is>
          <t>ELIZABETH</t>
        </is>
      </c>
      <c r="I287" t="inlineStr">
        <is>
          <t>1996-10-05</t>
        </is>
      </c>
      <c r="J287" t="inlineStr">
        <is>
          <t>2020-10-03</t>
        </is>
      </c>
      <c r="K287" t="inlineStr">
        <is>
          <t>ACTIVE</t>
        </is>
      </c>
      <c r="M287" t="inlineStr">
        <is>
          <t>307 WOODBINE AVE SE</t>
        </is>
      </c>
      <c r="N287">
        <f>RIGHT(M287,LEN(M287)-FIND(" ",M287))</f>
        <v/>
      </c>
      <c r="P287" t="inlineStr">
        <is>
          <t>WARREN</t>
        </is>
      </c>
      <c r="Q287" t="inlineStr">
        <is>
          <t>OH</t>
        </is>
      </c>
      <c r="R287" t="n">
        <v>44483</v>
      </c>
      <c r="AD287" t="inlineStr">
        <is>
          <t>TRUMBULL CAREER &amp; TECH CENTER</t>
        </is>
      </c>
      <c r="AE287" t="inlineStr">
        <is>
          <t>WARREN CITY</t>
        </is>
      </c>
      <c r="AF287" t="inlineStr">
        <is>
          <t>WARREN CITY SD</t>
        </is>
      </c>
      <c r="AH287" t="n">
        <v>14</v>
      </c>
      <c r="AI287" t="n">
        <v>11</v>
      </c>
      <c r="AN287" t="inlineStr">
        <is>
          <t>WARREN</t>
        </is>
      </c>
      <c r="AO287" t="inlineStr">
        <is>
          <t>WARREN CITY 4A</t>
        </is>
      </c>
      <c r="AP287" t="inlineStr">
        <is>
          <t>78-P-ADI</t>
        </is>
      </c>
      <c r="AQ287" t="n">
        <v>9</v>
      </c>
      <c r="AR287" t="n">
        <v>64</v>
      </c>
      <c r="AS287" t="n">
        <v>32</v>
      </c>
      <c r="AU287">
        <f>COUNTA($BA$287:$EH$287)</f>
        <v/>
      </c>
      <c r="AV287">
        <f>COUNTIF($BA$287:$EH$287,"D")</f>
        <v/>
      </c>
      <c r="AW287">
        <f>COUNTIF($BA$287:$EH$287,"R")</f>
        <v/>
      </c>
      <c r="AX287">
        <f>IF(BN287="D",1,0)+IF(BO287="D",1,0)+IF(BT287="D",1,0)+IF(BU287="D",1,0)+IF(BW287="D",1,0)+IF(CC287="D",1,0)+IF(CD287="D",1,0)+IF(CE287="D",1,0)+IF(CF287="D",1,0)+IF(CL287="D",1,0)+IF(CM287="D",1,0)+IF(CQ287="D",1,0)+IF(CR287="D",1,0)+IF(CS287="D",1,0)+IF(CW287="D",1,0)+IF(CX287="D",1,0)+IF(DD287="D",1,0)+IF(DE287="D",1,0)+IF(DJ287="D",1,0)+IF(DK287="D",1,0)+IF(DO287="D",1,0)+IF(DP287="D",1,0)+IF(DQ287="D",1,0)+IF(DW287="D",1,0)+IF(DZ287="D",1,0)+IF(EH287="D",1,0)</f>
        <v/>
      </c>
      <c r="AY287">
        <f>IF(DJ287&lt;&gt;"",1,0)+IF(DK287&lt;&gt;"",1,0)+IF(DM287&lt;&gt;"",1,0)+IF(DO287&lt;&gt;"",1,0)+IF(DP287&lt;&gt;"",1,0)+IF(DQ287&lt;&gt;"",1,0)+IF(DS287&lt;&gt;"",1,0)+IF(DT287&lt;&gt;"",1,0)+IF(DV287&lt;&gt;"",1,0)+IF(DW287&lt;&gt;"",1,0)+IF(DX287&lt;&gt;"",1,0)+IF(DY287&lt;&gt;"",1,0)+IF(DZ287&lt;&gt;"",1,0)+IF(EB287&lt;&gt;"",1,0)+IF(EC287&lt;&gt;"",1,0)+IF(ED287&lt;&gt;"",1,0)+IF(EG287&lt;&gt;"",1,0)+IF(EH287&lt;&gt;"",1,0)</f>
        <v/>
      </c>
      <c r="AZ287">
        <f>IF(EH287&lt;&gt;"",1,0)</f>
        <v/>
      </c>
      <c r="BB287" t="inlineStr">
        <is>
          <t>WARREN-WARD 4</t>
        </is>
      </c>
      <c r="DN287" t="inlineStr">
        <is>
          <t>X</t>
        </is>
      </c>
      <c r="DU287" t="inlineStr">
        <is>
          <t>X</t>
        </is>
      </c>
      <c r="EA287" t="inlineStr">
        <is>
          <t>X</t>
        </is>
      </c>
      <c r="EF287" t="inlineStr">
        <is>
          <t>X</t>
        </is>
      </c>
    </row>
    <row r="288">
      <c r="A288" t="inlineStr">
        <is>
          <t>OH0027495465</t>
        </is>
      </c>
      <c r="B288" t="n">
        <v>78</v>
      </c>
      <c r="C288" t="n">
        <v>487045</v>
      </c>
      <c r="D288" t="inlineStr">
        <is>
          <t>BARTLETT</t>
        </is>
      </c>
      <c r="E288" t="inlineStr">
        <is>
          <t>SIMON</t>
        </is>
      </c>
      <c r="F288">
        <f>CONCATENATE(D288," ",LEFT(H288,4),"T=",AU288,"D=",AV288,"R=",AW288,"M=",AX288,"L=",AY288,"B=",AZ288)</f>
        <v/>
      </c>
      <c r="I288" t="inlineStr">
        <is>
          <t>2003-06-10</t>
        </is>
      </c>
      <c r="J288" t="inlineStr">
        <is>
          <t>2024-07-31</t>
        </is>
      </c>
      <c r="K288" t="inlineStr">
        <is>
          <t>ACTIVE</t>
        </is>
      </c>
      <c r="M288" t="inlineStr">
        <is>
          <t>359 CHARLES AVE SE</t>
        </is>
      </c>
      <c r="N288">
        <f>RIGHT(M288,LEN(M288)-FIND(" ",M288))</f>
        <v/>
      </c>
      <c r="P288" t="inlineStr">
        <is>
          <t>WARREN</t>
        </is>
      </c>
      <c r="Q288" t="inlineStr">
        <is>
          <t>OH</t>
        </is>
      </c>
      <c r="R288" t="n">
        <v>44483</v>
      </c>
      <c r="AD288" t="inlineStr">
        <is>
          <t>TRUMBULL CAREER &amp; TECH CENTER</t>
        </is>
      </c>
      <c r="AE288" t="inlineStr">
        <is>
          <t>WARREN CITY</t>
        </is>
      </c>
      <c r="AF288" t="inlineStr">
        <is>
          <t>WARREN CITY SD</t>
        </is>
      </c>
      <c r="AH288" t="n">
        <v>14</v>
      </c>
      <c r="AI288" t="n">
        <v>11</v>
      </c>
      <c r="AN288" t="inlineStr">
        <is>
          <t>WARREN</t>
        </is>
      </c>
      <c r="AO288" t="inlineStr">
        <is>
          <t>WARREN CITY 4A</t>
        </is>
      </c>
      <c r="AP288" t="inlineStr">
        <is>
          <t>78-P-ADI</t>
        </is>
      </c>
      <c r="AQ288" t="n">
        <v>9</v>
      </c>
      <c r="AR288" t="n">
        <v>64</v>
      </c>
      <c r="AS288" t="n">
        <v>32</v>
      </c>
      <c r="AU288">
        <f>COUNTA($BA$288:$EH$288)</f>
        <v/>
      </c>
      <c r="AV288">
        <f>COUNTIF($BA$288:$EH$288,"D")</f>
        <v/>
      </c>
      <c r="AW288">
        <f>COUNTIF($BA$288:$EH$288,"R")</f>
        <v/>
      </c>
      <c r="AX288">
        <f>IF(BN288="D",1,0)+IF(BO288="D",1,0)+IF(BT288="D",1,0)+IF(BU288="D",1,0)+IF(BW288="D",1,0)+IF(CC288="D",1,0)+IF(CD288="D",1,0)+IF(CE288="D",1,0)+IF(CF288="D",1,0)+IF(CL288="D",1,0)+IF(CM288="D",1,0)+IF(CQ288="D",1,0)+IF(CR288="D",1,0)+IF(CS288="D",1,0)+IF(CW288="D",1,0)+IF(CX288="D",1,0)+IF(DD288="D",1,0)+IF(DE288="D",1,0)+IF(DJ288="D",1,0)+IF(DK288="D",1,0)+IF(DO288="D",1,0)+IF(DP288="D",1,0)+IF(DQ288="D",1,0)+IF(DW288="D",1,0)+IF(DZ288="D",1,0)+IF(EH288="D",1,0)</f>
        <v/>
      </c>
      <c r="AY288">
        <f>IF(DJ288&lt;&gt;"",1,0)+IF(DK288&lt;&gt;"",1,0)+IF(DM288&lt;&gt;"",1,0)+IF(DO288&lt;&gt;"",1,0)+IF(DP288&lt;&gt;"",1,0)+IF(DQ288&lt;&gt;"",1,0)+IF(DS288&lt;&gt;"",1,0)+IF(DT288&lt;&gt;"",1,0)+IF(DV288&lt;&gt;"",1,0)+IF(DW288&lt;&gt;"",1,0)+IF(DX288&lt;&gt;"",1,0)+IF(DY288&lt;&gt;"",1,0)+IF(DZ288&lt;&gt;"",1,0)+IF(EB288&lt;&gt;"",1,0)+IF(EC288&lt;&gt;"",1,0)+IF(ED288&lt;&gt;"",1,0)+IF(EG288&lt;&gt;"",1,0)+IF(EH288&lt;&gt;"",1,0)</f>
        <v/>
      </c>
      <c r="AZ288">
        <f>IF(EH288&lt;&gt;"",1,0)</f>
        <v/>
      </c>
      <c r="BB288" t="inlineStr">
        <is>
          <t>WARREN-WARD 4</t>
        </is>
      </c>
      <c r="EF288" t="inlineStr">
        <is>
          <t>X</t>
        </is>
      </c>
    </row>
    <row r="289">
      <c r="A289" t="inlineStr">
        <is>
          <t>OH0025536449</t>
        </is>
      </c>
      <c r="B289" t="n">
        <v>78</v>
      </c>
      <c r="C289" t="n">
        <v>445619</v>
      </c>
      <c r="D289" t="inlineStr">
        <is>
          <t>SULECKI</t>
        </is>
      </c>
      <c r="E289" t="inlineStr">
        <is>
          <t>MARK</t>
        </is>
      </c>
      <c r="F289">
        <f>CONCATENATE(D289," ",LEFT(H289,4),"T=",AU289,"D=",AV289,"R=",AW289,"M=",AX289,"L=",AY289,"B=",AZ289)</f>
        <v/>
      </c>
      <c r="G289" t="inlineStr">
        <is>
          <t>ALAN</t>
        </is>
      </c>
      <c r="I289" t="inlineStr">
        <is>
          <t>1970-04-30</t>
        </is>
      </c>
      <c r="J289" t="inlineStr">
        <is>
          <t>2020-03-16</t>
        </is>
      </c>
      <c r="K289" t="inlineStr">
        <is>
          <t>CONFIRMATION</t>
        </is>
      </c>
      <c r="M289" t="inlineStr">
        <is>
          <t>740 KENILWORTH AVE SE</t>
        </is>
      </c>
      <c r="N289">
        <f>RIGHT(M289,LEN(M289)-FIND(" ",M289))</f>
        <v/>
      </c>
      <c r="P289" t="inlineStr">
        <is>
          <t>WARREN</t>
        </is>
      </c>
      <c r="Q289" t="inlineStr">
        <is>
          <t>OH</t>
        </is>
      </c>
      <c r="R289" t="n">
        <v>44484</v>
      </c>
      <c r="AD289" t="inlineStr">
        <is>
          <t>TRUMBULL CAREER &amp; TECH CENTER</t>
        </is>
      </c>
      <c r="AE289" t="inlineStr">
        <is>
          <t>WARREN CITY</t>
        </is>
      </c>
      <c r="AF289" t="inlineStr">
        <is>
          <t>WARREN CITY SD</t>
        </is>
      </c>
      <c r="AH289" t="n">
        <v>14</v>
      </c>
      <c r="AI289" t="n">
        <v>11</v>
      </c>
      <c r="AN289" t="inlineStr">
        <is>
          <t>WARREN</t>
        </is>
      </c>
      <c r="AO289" t="inlineStr">
        <is>
          <t>WARREN CITY 4A</t>
        </is>
      </c>
      <c r="AP289" t="inlineStr">
        <is>
          <t>78-P-ADI</t>
        </is>
      </c>
      <c r="AQ289" t="n">
        <v>9</v>
      </c>
      <c r="AR289" t="n">
        <v>64</v>
      </c>
      <c r="AS289" t="n">
        <v>32</v>
      </c>
      <c r="AU289">
        <f>COUNTA($BA$289:$EH$289)</f>
        <v/>
      </c>
      <c r="AV289">
        <f>COUNTIF($BA$289:$EH$289,"D")</f>
        <v/>
      </c>
      <c r="AW289">
        <f>COUNTIF($BA$289:$EH$289,"R")</f>
        <v/>
      </c>
      <c r="AX289">
        <f>IF(BN289="D",1,0)+IF(BO289="D",1,0)+IF(BT289="D",1,0)+IF(BU289="D",1,0)+IF(BW289="D",1,0)+IF(CC289="D",1,0)+IF(CD289="D",1,0)+IF(CE289="D",1,0)+IF(CF289="D",1,0)+IF(CL289="D",1,0)+IF(CM289="D",1,0)+IF(CQ289="D",1,0)+IF(CR289="D",1,0)+IF(CS289="D",1,0)+IF(CW289="D",1,0)+IF(CX289="D",1,0)+IF(DD289="D",1,0)+IF(DE289="D",1,0)+IF(DJ289="D",1,0)+IF(DK289="D",1,0)+IF(DO289="D",1,0)+IF(DP289="D",1,0)+IF(DQ289="D",1,0)+IF(DW289="D",1,0)+IF(DZ289="D",1,0)+IF(EH289="D",1,0)</f>
        <v/>
      </c>
      <c r="AY289">
        <f>IF(DJ289&lt;&gt;"",1,0)+IF(DK289&lt;&gt;"",1,0)+IF(DM289&lt;&gt;"",1,0)+IF(DO289&lt;&gt;"",1,0)+IF(DP289&lt;&gt;"",1,0)+IF(DQ289&lt;&gt;"",1,0)+IF(DS289&lt;&gt;"",1,0)+IF(DT289&lt;&gt;"",1,0)+IF(DV289&lt;&gt;"",1,0)+IF(DW289&lt;&gt;"",1,0)+IF(DX289&lt;&gt;"",1,0)+IF(DY289&lt;&gt;"",1,0)+IF(DZ289&lt;&gt;"",1,0)+IF(EB289&lt;&gt;"",1,0)+IF(EC289&lt;&gt;"",1,0)+IF(ED289&lt;&gt;"",1,0)+IF(EG289&lt;&gt;"",1,0)+IF(EH289&lt;&gt;"",1,0)</f>
        <v/>
      </c>
      <c r="AZ289">
        <f>IF(EH289&lt;&gt;"",1,0)</f>
        <v/>
      </c>
      <c r="BB289" t="inlineStr">
        <is>
          <t>WARREN-WARD 4</t>
        </is>
      </c>
      <c r="DN289" t="inlineStr">
        <is>
          <t>X</t>
        </is>
      </c>
    </row>
    <row r="290">
      <c r="A290" t="inlineStr">
        <is>
          <t>OH0025816871</t>
        </is>
      </c>
      <c r="B290" t="n">
        <v>78</v>
      </c>
      <c r="C290" t="n">
        <v>450988</v>
      </c>
      <c r="D290" t="inlineStr">
        <is>
          <t>GABEL</t>
        </is>
      </c>
      <c r="E290" t="inlineStr">
        <is>
          <t>CAROL</t>
        </is>
      </c>
      <c r="F290">
        <f>CONCATENATE(D290," ",LEFT(H290,4),"T=",AU290,"D=",AV290,"R=",AW290,"M=",AX290,"L=",AY290,"B=",AZ290)</f>
        <v/>
      </c>
      <c r="G290" t="inlineStr">
        <is>
          <t>L</t>
        </is>
      </c>
      <c r="I290" t="inlineStr">
        <is>
          <t>1956-08-18</t>
        </is>
      </c>
      <c r="J290" t="inlineStr">
        <is>
          <t>2020-09-08</t>
        </is>
      </c>
      <c r="K290" t="inlineStr">
        <is>
          <t>ACTIVE</t>
        </is>
      </c>
      <c r="M290" t="inlineStr">
        <is>
          <t>771 OAK KNOLL AVE SE</t>
        </is>
      </c>
      <c r="N290">
        <f>RIGHT(M290,LEN(M290)-FIND(" ",M290))</f>
        <v/>
      </c>
      <c r="P290" t="inlineStr">
        <is>
          <t>WARREN</t>
        </is>
      </c>
      <c r="Q290" t="inlineStr">
        <is>
          <t>OH</t>
        </is>
      </c>
      <c r="R290" t="n">
        <v>44484</v>
      </c>
      <c r="AD290" t="inlineStr">
        <is>
          <t>TRUMBULL CAREER &amp; TECH CENTER</t>
        </is>
      </c>
      <c r="AE290" t="inlineStr">
        <is>
          <t>WARREN CITY</t>
        </is>
      </c>
      <c r="AF290" t="inlineStr">
        <is>
          <t>WARREN CITY SD</t>
        </is>
      </c>
      <c r="AH290" t="n">
        <v>14</v>
      </c>
      <c r="AI290" t="n">
        <v>11</v>
      </c>
      <c r="AN290" t="inlineStr">
        <is>
          <t>WARREN</t>
        </is>
      </c>
      <c r="AO290" t="inlineStr">
        <is>
          <t>WARREN CITY 4A</t>
        </is>
      </c>
      <c r="AP290" t="inlineStr">
        <is>
          <t>78-P-ADI</t>
        </is>
      </c>
      <c r="AQ290" t="n">
        <v>9</v>
      </c>
      <c r="AR290" t="n">
        <v>64</v>
      </c>
      <c r="AS290" t="n">
        <v>32</v>
      </c>
      <c r="AU290">
        <f>COUNTA($BA$290:$EH$290)</f>
        <v/>
      </c>
      <c r="AV290">
        <f>COUNTIF($BA$290:$EH$290,"D")</f>
        <v/>
      </c>
      <c r="AW290">
        <f>COUNTIF($BA$290:$EH$290,"R")</f>
        <v/>
      </c>
      <c r="AX290">
        <f>IF(BN290="D",1,0)+IF(BO290="D",1,0)+IF(BT290="D",1,0)+IF(BU290="D",1,0)+IF(BW290="D",1,0)+IF(CC290="D",1,0)+IF(CD290="D",1,0)+IF(CE290="D",1,0)+IF(CF290="D",1,0)+IF(CL290="D",1,0)+IF(CM290="D",1,0)+IF(CQ290="D",1,0)+IF(CR290="D",1,0)+IF(CS290="D",1,0)+IF(CW290="D",1,0)+IF(CX290="D",1,0)+IF(DD290="D",1,0)+IF(DE290="D",1,0)+IF(DJ290="D",1,0)+IF(DK290="D",1,0)+IF(DO290="D",1,0)+IF(DP290="D",1,0)+IF(DQ290="D",1,0)+IF(DW290="D",1,0)+IF(DZ290="D",1,0)+IF(EH290="D",1,0)</f>
        <v/>
      </c>
      <c r="AY290">
        <f>IF(DJ290&lt;&gt;"",1,0)+IF(DK290&lt;&gt;"",1,0)+IF(DM290&lt;&gt;"",1,0)+IF(DO290&lt;&gt;"",1,0)+IF(DP290&lt;&gt;"",1,0)+IF(DQ290&lt;&gt;"",1,0)+IF(DS290&lt;&gt;"",1,0)+IF(DT290&lt;&gt;"",1,0)+IF(DV290&lt;&gt;"",1,0)+IF(DW290&lt;&gt;"",1,0)+IF(DX290&lt;&gt;"",1,0)+IF(DY290&lt;&gt;"",1,0)+IF(DZ290&lt;&gt;"",1,0)+IF(EB290&lt;&gt;"",1,0)+IF(EC290&lt;&gt;"",1,0)+IF(ED290&lt;&gt;"",1,0)+IF(EG290&lt;&gt;"",1,0)+IF(EH290&lt;&gt;"",1,0)</f>
        <v/>
      </c>
      <c r="AZ290">
        <f>IF(EH290&lt;&gt;"",1,0)</f>
        <v/>
      </c>
      <c r="BB290" t="inlineStr">
        <is>
          <t>WARREN-WARD 4</t>
        </is>
      </c>
      <c r="CP290" t="inlineStr">
        <is>
          <t>X</t>
        </is>
      </c>
      <c r="DN290" t="inlineStr">
        <is>
          <t>X</t>
        </is>
      </c>
      <c r="DU290" t="inlineStr">
        <is>
          <t>X</t>
        </is>
      </c>
      <c r="EF290" t="inlineStr">
        <is>
          <t>X</t>
        </is>
      </c>
    </row>
    <row r="291">
      <c r="A291" t="inlineStr">
        <is>
          <t>OH0024735775</t>
        </is>
      </c>
      <c r="B291" t="n">
        <v>78</v>
      </c>
      <c r="C291" t="n">
        <v>434365</v>
      </c>
      <c r="D291" t="inlineStr">
        <is>
          <t>SANDERS</t>
        </is>
      </c>
      <c r="E291" t="inlineStr">
        <is>
          <t>ANDRE</t>
        </is>
      </c>
      <c r="F291">
        <f>CONCATENATE(D291," ",LEFT(H291,4),"T=",AU291,"D=",AV291,"R=",AW291,"M=",AX291,"L=",AY291,"B=",AZ291)</f>
        <v/>
      </c>
      <c r="I291" t="inlineStr">
        <is>
          <t>1971-09-03</t>
        </is>
      </c>
      <c r="J291" t="inlineStr">
        <is>
          <t>2022-10-15</t>
        </is>
      </c>
      <c r="K291" t="inlineStr">
        <is>
          <t>ACTIVE</t>
        </is>
      </c>
      <c r="M291" t="inlineStr">
        <is>
          <t>1227 BELLE ST SE</t>
        </is>
      </c>
      <c r="N291">
        <f>RIGHT(M291,LEN(M291)-FIND(" ",M291))</f>
        <v/>
      </c>
      <c r="P291" t="inlineStr">
        <is>
          <t>WARREN</t>
        </is>
      </c>
      <c r="Q291" t="inlineStr">
        <is>
          <t>OH</t>
        </is>
      </c>
      <c r="R291" t="n">
        <v>44484</v>
      </c>
      <c r="AD291" t="inlineStr">
        <is>
          <t>TRUMBULL CAREER &amp; TECH CENTER</t>
        </is>
      </c>
      <c r="AE291" t="inlineStr">
        <is>
          <t>WARREN CITY</t>
        </is>
      </c>
      <c r="AF291" t="inlineStr">
        <is>
          <t>WARREN CITY SD</t>
        </is>
      </c>
      <c r="AH291" t="n">
        <v>14</v>
      </c>
      <c r="AI291" t="n">
        <v>11</v>
      </c>
      <c r="AN291" t="inlineStr">
        <is>
          <t>WARREN</t>
        </is>
      </c>
      <c r="AO291" t="inlineStr">
        <is>
          <t>WARREN CITY 4A</t>
        </is>
      </c>
      <c r="AP291" t="inlineStr">
        <is>
          <t>78-P-ADI</t>
        </is>
      </c>
      <c r="AQ291" t="n">
        <v>9</v>
      </c>
      <c r="AR291" t="n">
        <v>64</v>
      </c>
      <c r="AS291" t="n">
        <v>32</v>
      </c>
      <c r="AU291">
        <f>COUNTA($BA$291:$EH$291)</f>
        <v/>
      </c>
      <c r="AV291">
        <f>COUNTIF($BA$291:$EH$291,"D")</f>
        <v/>
      </c>
      <c r="AW291">
        <f>COUNTIF($BA$291:$EH$291,"R")</f>
        <v/>
      </c>
      <c r="AX291">
        <f>IF(BN291="D",1,0)+IF(BO291="D",1,0)+IF(BT291="D",1,0)+IF(BU291="D",1,0)+IF(BW291="D",1,0)+IF(CC291="D",1,0)+IF(CD291="D",1,0)+IF(CE291="D",1,0)+IF(CF291="D",1,0)+IF(CL291="D",1,0)+IF(CM291="D",1,0)+IF(CQ291="D",1,0)+IF(CR291="D",1,0)+IF(CS291="D",1,0)+IF(CW291="D",1,0)+IF(CX291="D",1,0)+IF(DD291="D",1,0)+IF(DE291="D",1,0)+IF(DJ291="D",1,0)+IF(DK291="D",1,0)+IF(DO291="D",1,0)+IF(DP291="D",1,0)+IF(DQ291="D",1,0)+IF(DW291="D",1,0)+IF(DZ291="D",1,0)+IF(EH291="D",1,0)</f>
        <v/>
      </c>
      <c r="AY291">
        <f>IF(DJ291&lt;&gt;"",1,0)+IF(DK291&lt;&gt;"",1,0)+IF(DM291&lt;&gt;"",1,0)+IF(DO291&lt;&gt;"",1,0)+IF(DP291&lt;&gt;"",1,0)+IF(DQ291&lt;&gt;"",1,0)+IF(DS291&lt;&gt;"",1,0)+IF(DT291&lt;&gt;"",1,0)+IF(DV291&lt;&gt;"",1,0)+IF(DW291&lt;&gt;"",1,0)+IF(DX291&lt;&gt;"",1,0)+IF(DY291&lt;&gt;"",1,0)+IF(DZ291&lt;&gt;"",1,0)+IF(EB291&lt;&gt;"",1,0)+IF(EC291&lt;&gt;"",1,0)+IF(ED291&lt;&gt;"",1,0)+IF(EG291&lt;&gt;"",1,0)+IF(EH291&lt;&gt;"",1,0)</f>
        <v/>
      </c>
      <c r="AZ291">
        <f>IF(EH291&lt;&gt;"",1,0)</f>
        <v/>
      </c>
      <c r="BB291" t="inlineStr">
        <is>
          <t>WARREN-WARD 4</t>
        </is>
      </c>
      <c r="BL291" t="inlineStr">
        <is>
          <t>X</t>
        </is>
      </c>
      <c r="DI291" t="inlineStr">
        <is>
          <t>X</t>
        </is>
      </c>
      <c r="EF291" t="inlineStr">
        <is>
          <t>X</t>
        </is>
      </c>
    </row>
    <row r="292">
      <c r="A292" t="inlineStr">
        <is>
          <t>OH0027291327</t>
        </is>
      </c>
      <c r="B292" t="n">
        <v>78</v>
      </c>
      <c r="C292" t="n">
        <v>484363</v>
      </c>
      <c r="D292" t="inlineStr">
        <is>
          <t>MCTHENY</t>
        </is>
      </c>
      <c r="E292" t="inlineStr">
        <is>
          <t>JUSTIN</t>
        </is>
      </c>
      <c r="F292">
        <f>CONCATENATE(D292," ",LEFT(H292,4),"T=",AU292,"D=",AV292,"R=",AW292,"M=",AX292,"L=",AY292,"B=",AZ292)</f>
        <v/>
      </c>
      <c r="G292" t="inlineStr">
        <is>
          <t>DANIEL</t>
        </is>
      </c>
      <c r="I292" t="inlineStr">
        <is>
          <t>1987-03-07</t>
        </is>
      </c>
      <c r="J292" t="inlineStr">
        <is>
          <t>2024-03-08</t>
        </is>
      </c>
      <c r="K292" t="inlineStr">
        <is>
          <t>ACTIVE</t>
        </is>
      </c>
      <c r="M292" t="inlineStr">
        <is>
          <t>773 HOMEWOOD AVE SE</t>
        </is>
      </c>
      <c r="N292">
        <f>RIGHT(M292,LEN(M292)-FIND(" ",M292))</f>
        <v/>
      </c>
      <c r="P292" t="inlineStr">
        <is>
          <t>WARREN</t>
        </is>
      </c>
      <c r="Q292" t="inlineStr">
        <is>
          <t>OH</t>
        </is>
      </c>
      <c r="R292" t="n">
        <v>44484</v>
      </c>
      <c r="AD292" t="inlineStr">
        <is>
          <t>TRUMBULL CAREER &amp; TECH CENTER</t>
        </is>
      </c>
      <c r="AE292" t="inlineStr">
        <is>
          <t>WARREN CITY</t>
        </is>
      </c>
      <c r="AF292" t="inlineStr">
        <is>
          <t>WARREN CITY SD</t>
        </is>
      </c>
      <c r="AH292" t="n">
        <v>14</v>
      </c>
      <c r="AI292" t="n">
        <v>11</v>
      </c>
      <c r="AN292" t="inlineStr">
        <is>
          <t>WARREN</t>
        </is>
      </c>
      <c r="AO292" t="inlineStr">
        <is>
          <t>WARREN CITY 4A</t>
        </is>
      </c>
      <c r="AP292" t="inlineStr">
        <is>
          <t>78-P-ADI</t>
        </is>
      </c>
      <c r="AQ292" t="n">
        <v>9</v>
      </c>
      <c r="AR292" t="n">
        <v>64</v>
      </c>
      <c r="AS292" t="n">
        <v>32</v>
      </c>
      <c r="AU292">
        <f>COUNTA($BA$292:$EH$292)</f>
        <v/>
      </c>
      <c r="AV292">
        <f>COUNTIF($BA$292:$EH$292,"D")</f>
        <v/>
      </c>
      <c r="AW292">
        <f>COUNTIF($BA$292:$EH$292,"R")</f>
        <v/>
      </c>
      <c r="AX292">
        <f>IF(BN292="D",1,0)+IF(BO292="D",1,0)+IF(BT292="D",1,0)+IF(BU292="D",1,0)+IF(BW292="D",1,0)+IF(CC292="D",1,0)+IF(CD292="D",1,0)+IF(CE292="D",1,0)+IF(CF292="D",1,0)+IF(CL292="D",1,0)+IF(CM292="D",1,0)+IF(CQ292="D",1,0)+IF(CR292="D",1,0)+IF(CS292="D",1,0)+IF(CW292="D",1,0)+IF(CX292="D",1,0)+IF(DD292="D",1,0)+IF(DE292="D",1,0)+IF(DJ292="D",1,0)+IF(DK292="D",1,0)+IF(DO292="D",1,0)+IF(DP292="D",1,0)+IF(DQ292="D",1,0)+IF(DW292="D",1,0)+IF(DZ292="D",1,0)+IF(EH292="D",1,0)</f>
        <v/>
      </c>
      <c r="AY292">
        <f>IF(DJ292&lt;&gt;"",1,0)+IF(DK292&lt;&gt;"",1,0)+IF(DM292&lt;&gt;"",1,0)+IF(DO292&lt;&gt;"",1,0)+IF(DP292&lt;&gt;"",1,0)+IF(DQ292&lt;&gt;"",1,0)+IF(DS292&lt;&gt;"",1,0)+IF(DT292&lt;&gt;"",1,0)+IF(DV292&lt;&gt;"",1,0)+IF(DW292&lt;&gt;"",1,0)+IF(DX292&lt;&gt;"",1,0)+IF(DY292&lt;&gt;"",1,0)+IF(DZ292&lt;&gt;"",1,0)+IF(EB292&lt;&gt;"",1,0)+IF(EC292&lt;&gt;"",1,0)+IF(ED292&lt;&gt;"",1,0)+IF(EG292&lt;&gt;"",1,0)+IF(EH292&lt;&gt;"",1,0)</f>
        <v/>
      </c>
      <c r="AZ292">
        <f>IF(EH292&lt;&gt;"",1,0)</f>
        <v/>
      </c>
      <c r="BB292" t="inlineStr">
        <is>
          <t>WARREN-WARD 4</t>
        </is>
      </c>
      <c r="EF292" t="inlineStr">
        <is>
          <t>X</t>
        </is>
      </c>
    </row>
    <row r="293">
      <c r="A293" t="inlineStr">
        <is>
          <t>OH0023188356</t>
        </is>
      </c>
      <c r="B293" t="n">
        <v>78</v>
      </c>
      <c r="C293" t="n">
        <v>408210</v>
      </c>
      <c r="D293" t="inlineStr">
        <is>
          <t>SIMMONS</t>
        </is>
      </c>
      <c r="E293" t="inlineStr">
        <is>
          <t>JOSEPH</t>
        </is>
      </c>
      <c r="F293">
        <f>CONCATENATE(D293," ",LEFT(H293,4),"T=",AU293,"D=",AV293,"R=",AW293,"M=",AX293,"L=",AY293,"B=",AZ293)</f>
        <v/>
      </c>
      <c r="G293" t="inlineStr">
        <is>
          <t>E</t>
        </is>
      </c>
      <c r="I293" t="inlineStr">
        <is>
          <t>1978-10-01</t>
        </is>
      </c>
      <c r="J293" t="inlineStr">
        <is>
          <t>2016-05-05</t>
        </is>
      </c>
      <c r="K293" t="inlineStr">
        <is>
          <t>CONFIRMATION</t>
        </is>
      </c>
      <c r="M293" t="inlineStr">
        <is>
          <t>435 HOMEWOOD AVE SE</t>
        </is>
      </c>
      <c r="N293">
        <f>RIGHT(M293,LEN(M293)-FIND(" ",M293))</f>
        <v/>
      </c>
      <c r="P293" t="inlineStr">
        <is>
          <t>WARREN</t>
        </is>
      </c>
      <c r="Q293" t="inlineStr">
        <is>
          <t>OH</t>
        </is>
      </c>
      <c r="R293" t="n">
        <v>44483</v>
      </c>
      <c r="AD293" t="inlineStr">
        <is>
          <t>TRUMBULL CAREER &amp; TECH CENTER</t>
        </is>
      </c>
      <c r="AE293" t="inlineStr">
        <is>
          <t>WARREN CITY</t>
        </is>
      </c>
      <c r="AF293" t="inlineStr">
        <is>
          <t>WARREN CITY SD</t>
        </is>
      </c>
      <c r="AH293" t="n">
        <v>14</v>
      </c>
      <c r="AI293" t="n">
        <v>11</v>
      </c>
      <c r="AN293" t="inlineStr">
        <is>
          <t>WARREN</t>
        </is>
      </c>
      <c r="AO293" t="inlineStr">
        <is>
          <t>WARREN CITY 4A</t>
        </is>
      </c>
      <c r="AP293" t="inlineStr">
        <is>
          <t>78-P-ADI</t>
        </is>
      </c>
      <c r="AQ293" t="n">
        <v>9</v>
      </c>
      <c r="AR293" t="n">
        <v>64</v>
      </c>
      <c r="AS293" t="n">
        <v>32</v>
      </c>
      <c r="AU293">
        <f>COUNTA($BA$293:$EH$293)</f>
        <v/>
      </c>
      <c r="AV293">
        <f>COUNTIF($BA$293:$EH$293,"D")</f>
        <v/>
      </c>
      <c r="AW293">
        <f>COUNTIF($BA$293:$EH$293,"R")</f>
        <v/>
      </c>
      <c r="AX293">
        <f>IF(BN293="D",1,0)+IF(BO293="D",1,0)+IF(BT293="D",1,0)+IF(BU293="D",1,0)+IF(BW293="D",1,0)+IF(CC293="D",1,0)+IF(CD293="D",1,0)+IF(CE293="D",1,0)+IF(CF293="D",1,0)+IF(CL293="D",1,0)+IF(CM293="D",1,0)+IF(CQ293="D",1,0)+IF(CR293="D",1,0)+IF(CS293="D",1,0)+IF(CW293="D",1,0)+IF(CX293="D",1,0)+IF(DD293="D",1,0)+IF(DE293="D",1,0)+IF(DJ293="D",1,0)+IF(DK293="D",1,0)+IF(DO293="D",1,0)+IF(DP293="D",1,0)+IF(DQ293="D",1,0)+IF(DW293="D",1,0)+IF(DZ293="D",1,0)+IF(EH293="D",1,0)</f>
        <v/>
      </c>
      <c r="AY293">
        <f>IF(DJ293&lt;&gt;"",1,0)+IF(DK293&lt;&gt;"",1,0)+IF(DM293&lt;&gt;"",1,0)+IF(DO293&lt;&gt;"",1,0)+IF(DP293&lt;&gt;"",1,0)+IF(DQ293&lt;&gt;"",1,0)+IF(DS293&lt;&gt;"",1,0)+IF(DT293&lt;&gt;"",1,0)+IF(DV293&lt;&gt;"",1,0)+IF(DW293&lt;&gt;"",1,0)+IF(DX293&lt;&gt;"",1,0)+IF(DY293&lt;&gt;"",1,0)+IF(DZ293&lt;&gt;"",1,0)+IF(EB293&lt;&gt;"",1,0)+IF(EC293&lt;&gt;"",1,0)+IF(ED293&lt;&gt;"",1,0)+IF(EG293&lt;&gt;"",1,0)+IF(EH293&lt;&gt;"",1,0)</f>
        <v/>
      </c>
      <c r="AZ293">
        <f>IF(EH293&lt;&gt;"",1,0)</f>
        <v/>
      </c>
      <c r="BB293" t="inlineStr">
        <is>
          <t>WARREN-WARD 4</t>
        </is>
      </c>
    </row>
    <row r="294">
      <c r="A294" t="inlineStr">
        <is>
          <t>OH0026085856</t>
        </is>
      </c>
      <c r="B294" t="n">
        <v>78</v>
      </c>
      <c r="C294" t="n">
        <v>456186</v>
      </c>
      <c r="D294" t="inlineStr">
        <is>
          <t>LAWRENCE</t>
        </is>
      </c>
      <c r="E294" t="inlineStr">
        <is>
          <t>JEFFREY</t>
        </is>
      </c>
      <c r="F294">
        <f>CONCATENATE(D294," ",LEFT(H294,4),"T=",AU294,"D=",AV294,"R=",AW294,"M=",AX294,"L=",AY294,"B=",AZ294)</f>
        <v/>
      </c>
      <c r="G294" t="inlineStr">
        <is>
          <t>ALLEN</t>
        </is>
      </c>
      <c r="I294" t="inlineStr">
        <is>
          <t>1966-11-08</t>
        </is>
      </c>
      <c r="J294" t="inlineStr">
        <is>
          <t>2023-09-26</t>
        </is>
      </c>
      <c r="K294" t="inlineStr">
        <is>
          <t>ACTIVE</t>
        </is>
      </c>
      <c r="M294" t="inlineStr">
        <is>
          <t>911 OAK KNOLL AVE SE</t>
        </is>
      </c>
      <c r="N294">
        <f>RIGHT(M294,LEN(M294)-FIND(" ",M294))</f>
        <v/>
      </c>
      <c r="P294" t="inlineStr">
        <is>
          <t>WARREN</t>
        </is>
      </c>
      <c r="Q294" t="inlineStr">
        <is>
          <t>OH</t>
        </is>
      </c>
      <c r="R294" t="n">
        <v>44484</v>
      </c>
      <c r="AD294" t="inlineStr">
        <is>
          <t>TRUMBULL CAREER &amp; TECH CENTER</t>
        </is>
      </c>
      <c r="AE294" t="inlineStr">
        <is>
          <t>WARREN CITY</t>
        </is>
      </c>
      <c r="AF294" t="inlineStr">
        <is>
          <t>WARREN CITY SD</t>
        </is>
      </c>
      <c r="AH294" t="n">
        <v>14</v>
      </c>
      <c r="AI294" t="n">
        <v>11</v>
      </c>
      <c r="AN294" t="inlineStr">
        <is>
          <t>WARREN</t>
        </is>
      </c>
      <c r="AO294" t="inlineStr">
        <is>
          <t>WARREN CITY 4A</t>
        </is>
      </c>
      <c r="AP294" t="inlineStr">
        <is>
          <t>78-P-ADI</t>
        </is>
      </c>
      <c r="AQ294" t="n">
        <v>9</v>
      </c>
      <c r="AR294" t="n">
        <v>64</v>
      </c>
      <c r="AS294" t="n">
        <v>32</v>
      </c>
      <c r="AU294">
        <f>COUNTA($BA$294:$EH$294)</f>
        <v/>
      </c>
      <c r="AV294">
        <f>COUNTIF($BA$294:$EH$294,"D")</f>
        <v/>
      </c>
      <c r="AW294">
        <f>COUNTIF($BA$294:$EH$294,"R")</f>
        <v/>
      </c>
      <c r="AX294">
        <f>IF(BN294="D",1,0)+IF(BO294="D",1,0)+IF(BT294="D",1,0)+IF(BU294="D",1,0)+IF(BW294="D",1,0)+IF(CC294="D",1,0)+IF(CD294="D",1,0)+IF(CE294="D",1,0)+IF(CF294="D",1,0)+IF(CL294="D",1,0)+IF(CM294="D",1,0)+IF(CQ294="D",1,0)+IF(CR294="D",1,0)+IF(CS294="D",1,0)+IF(CW294="D",1,0)+IF(CX294="D",1,0)+IF(DD294="D",1,0)+IF(DE294="D",1,0)+IF(DJ294="D",1,0)+IF(DK294="D",1,0)+IF(DO294="D",1,0)+IF(DP294="D",1,0)+IF(DQ294="D",1,0)+IF(DW294="D",1,0)+IF(DZ294="D",1,0)+IF(EH294="D",1,0)</f>
        <v/>
      </c>
      <c r="AY294">
        <f>IF(DJ294&lt;&gt;"",1,0)+IF(DK294&lt;&gt;"",1,0)+IF(DM294&lt;&gt;"",1,0)+IF(DO294&lt;&gt;"",1,0)+IF(DP294&lt;&gt;"",1,0)+IF(DQ294&lt;&gt;"",1,0)+IF(DS294&lt;&gt;"",1,0)+IF(DT294&lt;&gt;"",1,0)+IF(DV294&lt;&gt;"",1,0)+IF(DW294&lt;&gt;"",1,0)+IF(DX294&lt;&gt;"",1,0)+IF(DY294&lt;&gt;"",1,0)+IF(DZ294&lt;&gt;"",1,0)+IF(EB294&lt;&gt;"",1,0)+IF(EC294&lt;&gt;"",1,0)+IF(ED294&lt;&gt;"",1,0)+IF(EG294&lt;&gt;"",1,0)+IF(EH294&lt;&gt;"",1,0)</f>
        <v/>
      </c>
      <c r="AZ294">
        <f>IF(EH294&lt;&gt;"",1,0)</f>
        <v/>
      </c>
      <c r="BB294" t="inlineStr">
        <is>
          <t>WARREN-WARD 4</t>
        </is>
      </c>
    </row>
    <row r="295">
      <c r="A295" t="inlineStr">
        <is>
          <t>OH0015763751</t>
        </is>
      </c>
      <c r="B295" t="n">
        <v>78</v>
      </c>
      <c r="C295" t="n">
        <v>327259</v>
      </c>
      <c r="D295" t="inlineStr">
        <is>
          <t>BARTLETT</t>
        </is>
      </c>
      <c r="E295" t="inlineStr">
        <is>
          <t>SARAH</t>
        </is>
      </c>
      <c r="F295">
        <f>CONCATENATE(D295," ",LEFT(H295,4),"T=",AU295,"D=",AV295,"R=",AW295,"M=",AX295,"L=",AY295,"B=",AZ295)</f>
        <v/>
      </c>
      <c r="G295" t="inlineStr">
        <is>
          <t>E</t>
        </is>
      </c>
      <c r="I295" t="inlineStr">
        <is>
          <t>1983-07-17</t>
        </is>
      </c>
      <c r="J295" t="inlineStr">
        <is>
          <t>2023-07-14</t>
        </is>
      </c>
      <c r="K295" t="inlineStr">
        <is>
          <t>ACTIVE</t>
        </is>
      </c>
      <c r="M295" t="inlineStr">
        <is>
          <t>430 HOMEWOOD AVE SE</t>
        </is>
      </c>
      <c r="N295">
        <f>RIGHT(M295,LEN(M295)-FIND(" ",M295))</f>
        <v/>
      </c>
      <c r="P295" t="inlineStr">
        <is>
          <t>WARREN</t>
        </is>
      </c>
      <c r="Q295" t="inlineStr">
        <is>
          <t>OH</t>
        </is>
      </c>
      <c r="R295" t="n">
        <v>44483</v>
      </c>
      <c r="AD295" t="inlineStr">
        <is>
          <t>TRUMBULL CAREER &amp; TECH CENTER</t>
        </is>
      </c>
      <c r="AE295" t="inlineStr">
        <is>
          <t>WARREN CITY</t>
        </is>
      </c>
      <c r="AF295" t="inlineStr">
        <is>
          <t>WARREN CITY SD</t>
        </is>
      </c>
      <c r="AH295" t="n">
        <v>14</v>
      </c>
      <c r="AI295" t="n">
        <v>11</v>
      </c>
      <c r="AN295" t="inlineStr">
        <is>
          <t>WARREN</t>
        </is>
      </c>
      <c r="AO295" t="inlineStr">
        <is>
          <t>WARREN CITY 4A</t>
        </is>
      </c>
      <c r="AP295" t="inlineStr">
        <is>
          <t>78-P-ADI</t>
        </is>
      </c>
      <c r="AQ295" t="n">
        <v>9</v>
      </c>
      <c r="AR295" t="n">
        <v>64</v>
      </c>
      <c r="AS295" t="n">
        <v>32</v>
      </c>
      <c r="AU295">
        <f>COUNTA($BA$295:$EH$295)</f>
        <v/>
      </c>
      <c r="AV295">
        <f>COUNTIF($BA$295:$EH$295,"D")</f>
        <v/>
      </c>
      <c r="AW295">
        <f>COUNTIF($BA$295:$EH$295,"R")</f>
        <v/>
      </c>
      <c r="AX295">
        <f>IF(BN295="D",1,0)+IF(BO295="D",1,0)+IF(BT295="D",1,0)+IF(BU295="D",1,0)+IF(BW295="D",1,0)+IF(CC295="D",1,0)+IF(CD295="D",1,0)+IF(CE295="D",1,0)+IF(CF295="D",1,0)+IF(CL295="D",1,0)+IF(CM295="D",1,0)+IF(CQ295="D",1,0)+IF(CR295="D",1,0)+IF(CS295="D",1,0)+IF(CW295="D",1,0)+IF(CX295="D",1,0)+IF(DD295="D",1,0)+IF(DE295="D",1,0)+IF(DJ295="D",1,0)+IF(DK295="D",1,0)+IF(DO295="D",1,0)+IF(DP295="D",1,0)+IF(DQ295="D",1,0)+IF(DW295="D",1,0)+IF(DZ295="D",1,0)+IF(EH295="D",1,0)</f>
        <v/>
      </c>
      <c r="AY295">
        <f>IF(DJ295&lt;&gt;"",1,0)+IF(DK295&lt;&gt;"",1,0)+IF(DM295&lt;&gt;"",1,0)+IF(DO295&lt;&gt;"",1,0)+IF(DP295&lt;&gt;"",1,0)+IF(DQ295&lt;&gt;"",1,0)+IF(DS295&lt;&gt;"",1,0)+IF(DT295&lt;&gt;"",1,0)+IF(DV295&lt;&gt;"",1,0)+IF(DW295&lt;&gt;"",1,0)+IF(DX295&lt;&gt;"",1,0)+IF(DY295&lt;&gt;"",1,0)+IF(DZ295&lt;&gt;"",1,0)+IF(EB295&lt;&gt;"",1,0)+IF(EC295&lt;&gt;"",1,0)+IF(ED295&lt;&gt;"",1,0)+IF(EG295&lt;&gt;"",1,0)+IF(EH295&lt;&gt;"",1,0)</f>
        <v/>
      </c>
      <c r="AZ295">
        <f>IF(EH295&lt;&gt;"",1,0)</f>
        <v/>
      </c>
      <c r="BB295" t="inlineStr">
        <is>
          <t>WARREN-WARD 4</t>
        </is>
      </c>
      <c r="BL295" t="inlineStr">
        <is>
          <t>X</t>
        </is>
      </c>
      <c r="CA295" t="inlineStr">
        <is>
          <t>X</t>
        </is>
      </c>
      <c r="CN295" t="inlineStr">
        <is>
          <t>X</t>
        </is>
      </c>
      <c r="CP295" t="inlineStr">
        <is>
          <t>X</t>
        </is>
      </c>
      <c r="DN295" t="inlineStr">
        <is>
          <t>X</t>
        </is>
      </c>
      <c r="EF295" t="inlineStr">
        <is>
          <t>X</t>
        </is>
      </c>
    </row>
    <row r="296">
      <c r="A296" t="inlineStr">
        <is>
          <t>OH0019362527</t>
        </is>
      </c>
      <c r="B296" t="n">
        <v>78</v>
      </c>
      <c r="C296" t="n">
        <v>353473</v>
      </c>
      <c r="D296" t="inlineStr">
        <is>
          <t>PATTERSON</t>
        </is>
      </c>
      <c r="E296" t="inlineStr">
        <is>
          <t>AMANDA</t>
        </is>
      </c>
      <c r="F296">
        <f>CONCATENATE(D296," ",LEFT(H296,4),"T=",AU296,"D=",AV296,"R=",AW296,"M=",AX296,"L=",AY296,"B=",AZ296)</f>
        <v/>
      </c>
      <c r="G296" t="inlineStr">
        <is>
          <t>LYNN</t>
        </is>
      </c>
      <c r="I296" t="inlineStr">
        <is>
          <t>1989-11-16</t>
        </is>
      </c>
      <c r="J296" t="inlineStr">
        <is>
          <t>2023-11-02</t>
        </is>
      </c>
      <c r="K296" t="inlineStr">
        <is>
          <t>ACTIVE</t>
        </is>
      </c>
      <c r="M296" t="inlineStr">
        <is>
          <t>597 WOODBINE AVE SE</t>
        </is>
      </c>
      <c r="N296">
        <f>RIGHT(M296,LEN(M296)-FIND(" ",M296))</f>
        <v/>
      </c>
      <c r="P296" t="inlineStr">
        <is>
          <t>WARREN</t>
        </is>
      </c>
      <c r="Q296" t="inlineStr">
        <is>
          <t>OH</t>
        </is>
      </c>
      <c r="R296" t="n">
        <v>44483</v>
      </c>
      <c r="AD296" t="inlineStr">
        <is>
          <t>TRUMBULL CAREER &amp; TECH CENTER</t>
        </is>
      </c>
      <c r="AE296" t="inlineStr">
        <is>
          <t>WARREN CITY</t>
        </is>
      </c>
      <c r="AF296" t="inlineStr">
        <is>
          <t>WARREN CITY SD</t>
        </is>
      </c>
      <c r="AH296" t="n">
        <v>14</v>
      </c>
      <c r="AI296" t="n">
        <v>11</v>
      </c>
      <c r="AN296" t="inlineStr">
        <is>
          <t>WARREN</t>
        </is>
      </c>
      <c r="AO296" t="inlineStr">
        <is>
          <t>WARREN CITY 4A</t>
        </is>
      </c>
      <c r="AP296" t="inlineStr">
        <is>
          <t>78-P-ADI</t>
        </is>
      </c>
      <c r="AQ296" t="n">
        <v>9</v>
      </c>
      <c r="AR296" t="n">
        <v>64</v>
      </c>
      <c r="AS296" t="n">
        <v>32</v>
      </c>
      <c r="AU296">
        <f>COUNTA($BA$296:$EH$296)</f>
        <v/>
      </c>
      <c r="AV296">
        <f>COUNTIF($BA$296:$EH$296,"D")</f>
        <v/>
      </c>
      <c r="AW296">
        <f>COUNTIF($BA$296:$EH$296,"R")</f>
        <v/>
      </c>
      <c r="AX296">
        <f>IF(BN296="D",1,0)+IF(BO296="D",1,0)+IF(BT296="D",1,0)+IF(BU296="D",1,0)+IF(BW296="D",1,0)+IF(CC296="D",1,0)+IF(CD296="D",1,0)+IF(CE296="D",1,0)+IF(CF296="D",1,0)+IF(CL296="D",1,0)+IF(CM296="D",1,0)+IF(CQ296="D",1,0)+IF(CR296="D",1,0)+IF(CS296="D",1,0)+IF(CW296="D",1,0)+IF(CX296="D",1,0)+IF(DD296="D",1,0)+IF(DE296="D",1,0)+IF(DJ296="D",1,0)+IF(DK296="D",1,0)+IF(DO296="D",1,0)+IF(DP296="D",1,0)+IF(DQ296="D",1,0)+IF(DW296="D",1,0)+IF(DZ296="D",1,0)+IF(EH296="D",1,0)</f>
        <v/>
      </c>
      <c r="AY296">
        <f>IF(DJ296&lt;&gt;"",1,0)+IF(DK296&lt;&gt;"",1,0)+IF(DM296&lt;&gt;"",1,0)+IF(DO296&lt;&gt;"",1,0)+IF(DP296&lt;&gt;"",1,0)+IF(DQ296&lt;&gt;"",1,0)+IF(DS296&lt;&gt;"",1,0)+IF(DT296&lt;&gt;"",1,0)+IF(DV296&lt;&gt;"",1,0)+IF(DW296&lt;&gt;"",1,0)+IF(DX296&lt;&gt;"",1,0)+IF(DY296&lt;&gt;"",1,0)+IF(DZ296&lt;&gt;"",1,0)+IF(EB296&lt;&gt;"",1,0)+IF(EC296&lt;&gt;"",1,0)+IF(ED296&lt;&gt;"",1,0)+IF(EG296&lt;&gt;"",1,0)+IF(EH296&lt;&gt;"",1,0)</f>
        <v/>
      </c>
      <c r="AZ296">
        <f>IF(EH296&lt;&gt;"",1,0)</f>
        <v/>
      </c>
      <c r="BB296" t="inlineStr">
        <is>
          <t>WARREN-WARD 4</t>
        </is>
      </c>
      <c r="BY296" t="inlineStr">
        <is>
          <t>R</t>
        </is>
      </c>
      <c r="CA296" t="inlineStr">
        <is>
          <t>X</t>
        </is>
      </c>
      <c r="CK296" t="inlineStr">
        <is>
          <t>X</t>
        </is>
      </c>
      <c r="CN296" t="inlineStr">
        <is>
          <t>X</t>
        </is>
      </c>
      <c r="CP296" t="inlineStr">
        <is>
          <t>X</t>
        </is>
      </c>
      <c r="CV296" t="inlineStr">
        <is>
          <t>X</t>
        </is>
      </c>
      <c r="DC296" t="inlineStr">
        <is>
          <t>X</t>
        </is>
      </c>
      <c r="DN296" t="inlineStr">
        <is>
          <t>X</t>
        </is>
      </c>
      <c r="DU296" t="inlineStr">
        <is>
          <t>X</t>
        </is>
      </c>
      <c r="DX296" t="inlineStr">
        <is>
          <t>X</t>
        </is>
      </c>
      <c r="EA296" t="inlineStr">
        <is>
          <t>X</t>
        </is>
      </c>
      <c r="EF296" t="inlineStr">
        <is>
          <t>X</t>
        </is>
      </c>
    </row>
    <row r="297">
      <c r="A297" t="inlineStr">
        <is>
          <t>OH0025859147</t>
        </is>
      </c>
      <c r="B297" t="n">
        <v>78</v>
      </c>
      <c r="C297" t="n">
        <v>451238</v>
      </c>
      <c r="D297" t="inlineStr">
        <is>
          <t>GABEL</t>
        </is>
      </c>
      <c r="E297" t="inlineStr">
        <is>
          <t>MARGARET</t>
        </is>
      </c>
      <c r="F297">
        <f>CONCATENATE(D297," ",LEFT(H297,4),"T=",AU297,"D=",AV297,"R=",AW297,"M=",AX297,"L=",AY297,"B=",AZ297)</f>
        <v/>
      </c>
      <c r="G297" t="inlineStr">
        <is>
          <t>I</t>
        </is>
      </c>
      <c r="I297" t="inlineStr">
        <is>
          <t>1931-05-03</t>
        </is>
      </c>
      <c r="J297" t="inlineStr">
        <is>
          <t>2020-09-16</t>
        </is>
      </c>
      <c r="K297" t="inlineStr">
        <is>
          <t>ACTIVE</t>
        </is>
      </c>
      <c r="M297" t="inlineStr">
        <is>
          <t>771 OAK KNOLL AVE SE</t>
        </is>
      </c>
      <c r="N297">
        <f>RIGHT(M297,LEN(M297)-FIND(" ",M297))</f>
        <v/>
      </c>
      <c r="P297" t="inlineStr">
        <is>
          <t>WARREN</t>
        </is>
      </c>
      <c r="Q297" t="inlineStr">
        <is>
          <t>OH</t>
        </is>
      </c>
      <c r="R297" t="n">
        <v>44484</v>
      </c>
      <c r="AD297" t="inlineStr">
        <is>
          <t>TRUMBULL CAREER &amp; TECH CENTER</t>
        </is>
      </c>
      <c r="AE297" t="inlineStr">
        <is>
          <t>WARREN CITY</t>
        </is>
      </c>
      <c r="AF297" t="inlineStr">
        <is>
          <t>WARREN CITY SD</t>
        </is>
      </c>
      <c r="AH297" t="n">
        <v>14</v>
      </c>
      <c r="AI297" t="n">
        <v>11</v>
      </c>
      <c r="AN297" t="inlineStr">
        <is>
          <t>WARREN</t>
        </is>
      </c>
      <c r="AO297" t="inlineStr">
        <is>
          <t>WARREN CITY 4A</t>
        </is>
      </c>
      <c r="AP297" t="inlineStr">
        <is>
          <t>78-P-ADI</t>
        </is>
      </c>
      <c r="AQ297" t="n">
        <v>9</v>
      </c>
      <c r="AR297" t="n">
        <v>64</v>
      </c>
      <c r="AS297" t="n">
        <v>32</v>
      </c>
      <c r="AU297">
        <f>COUNTA($BA$297:$EH$297)</f>
        <v/>
      </c>
      <c r="AV297">
        <f>COUNTIF($BA$297:$EH$297,"D")</f>
        <v/>
      </c>
      <c r="AW297">
        <f>COUNTIF($BA$297:$EH$297,"R")</f>
        <v/>
      </c>
      <c r="AX297">
        <f>IF(BN297="D",1,0)+IF(BO297="D",1,0)+IF(BT297="D",1,0)+IF(BU297="D",1,0)+IF(BW297="D",1,0)+IF(CC297="D",1,0)+IF(CD297="D",1,0)+IF(CE297="D",1,0)+IF(CF297="D",1,0)+IF(CL297="D",1,0)+IF(CM297="D",1,0)+IF(CQ297="D",1,0)+IF(CR297="D",1,0)+IF(CS297="D",1,0)+IF(CW297="D",1,0)+IF(CX297="D",1,0)+IF(DD297="D",1,0)+IF(DE297="D",1,0)+IF(DJ297="D",1,0)+IF(DK297="D",1,0)+IF(DO297="D",1,0)+IF(DP297="D",1,0)+IF(DQ297="D",1,0)+IF(DW297="D",1,0)+IF(DZ297="D",1,0)+IF(EH297="D",1,0)</f>
        <v/>
      </c>
      <c r="AY297">
        <f>IF(DJ297&lt;&gt;"",1,0)+IF(DK297&lt;&gt;"",1,0)+IF(DM297&lt;&gt;"",1,0)+IF(DO297&lt;&gt;"",1,0)+IF(DP297&lt;&gt;"",1,0)+IF(DQ297&lt;&gt;"",1,0)+IF(DS297&lt;&gt;"",1,0)+IF(DT297&lt;&gt;"",1,0)+IF(DV297&lt;&gt;"",1,0)+IF(DW297&lt;&gt;"",1,0)+IF(DX297&lt;&gt;"",1,0)+IF(DY297&lt;&gt;"",1,0)+IF(DZ297&lt;&gt;"",1,0)+IF(EB297&lt;&gt;"",1,0)+IF(EC297&lt;&gt;"",1,0)+IF(ED297&lt;&gt;"",1,0)+IF(EG297&lt;&gt;"",1,0)+IF(EH297&lt;&gt;"",1,0)</f>
        <v/>
      </c>
      <c r="AZ297">
        <f>IF(EH297&lt;&gt;"",1,0)</f>
        <v/>
      </c>
      <c r="BB297" t="inlineStr">
        <is>
          <t>WARREN-WARD 4</t>
        </is>
      </c>
      <c r="BD297" t="inlineStr">
        <is>
          <t>X</t>
        </is>
      </c>
      <c r="BF297" t="inlineStr">
        <is>
          <t>X</t>
        </is>
      </c>
      <c r="BH297" t="inlineStr">
        <is>
          <t>X</t>
        </is>
      </c>
      <c r="BJ297" t="inlineStr">
        <is>
          <t>X</t>
        </is>
      </c>
      <c r="BL297" t="inlineStr">
        <is>
          <t>X</t>
        </is>
      </c>
      <c r="BP297" t="inlineStr">
        <is>
          <t>X</t>
        </is>
      </c>
      <c r="BR297" t="inlineStr">
        <is>
          <t>D</t>
        </is>
      </c>
      <c r="BS297" t="inlineStr">
        <is>
          <t>X</t>
        </is>
      </c>
      <c r="CA297" t="inlineStr">
        <is>
          <t>X</t>
        </is>
      </c>
      <c r="CD297" t="inlineStr">
        <is>
          <t>D</t>
        </is>
      </c>
      <c r="CG297" t="inlineStr">
        <is>
          <t>X</t>
        </is>
      </c>
      <c r="CK297" t="inlineStr">
        <is>
          <t>X</t>
        </is>
      </c>
      <c r="CN297" t="inlineStr">
        <is>
          <t>X</t>
        </is>
      </c>
      <c r="CP297" t="inlineStr">
        <is>
          <t>X</t>
        </is>
      </c>
      <c r="CT297" t="inlineStr">
        <is>
          <t>X</t>
        </is>
      </c>
      <c r="CY297" t="inlineStr">
        <is>
          <t>X</t>
        </is>
      </c>
      <c r="DC297" t="inlineStr">
        <is>
          <t>X</t>
        </is>
      </c>
      <c r="DI297" t="inlineStr">
        <is>
          <t>X</t>
        </is>
      </c>
      <c r="DN297" t="inlineStr">
        <is>
          <t>X</t>
        </is>
      </c>
      <c r="DU297" t="inlineStr">
        <is>
          <t>X</t>
        </is>
      </c>
      <c r="EF297" t="inlineStr">
        <is>
          <t>X</t>
        </is>
      </c>
    </row>
    <row r="298">
      <c r="A298" t="inlineStr">
        <is>
          <t>OH0023965789</t>
        </is>
      </c>
      <c r="B298" t="n">
        <v>78</v>
      </c>
      <c r="C298" t="n">
        <v>420485</v>
      </c>
      <c r="D298" t="inlineStr">
        <is>
          <t>CUMMINGS</t>
        </is>
      </c>
      <c r="E298" t="inlineStr">
        <is>
          <t>RANDY</t>
        </is>
      </c>
      <c r="F298">
        <f>CONCATENATE(D298," ",LEFT(H298,4),"T=",AU298,"D=",AV298,"R=",AW298,"M=",AX298,"L=",AY298,"B=",AZ298)</f>
        <v/>
      </c>
      <c r="G298" t="inlineStr">
        <is>
          <t>L</t>
        </is>
      </c>
      <c r="I298" t="inlineStr">
        <is>
          <t>1955-03-02</t>
        </is>
      </c>
      <c r="J298" t="inlineStr">
        <is>
          <t>2016-09-21</t>
        </is>
      </c>
      <c r="K298" t="inlineStr">
        <is>
          <t>ACTIVE</t>
        </is>
      </c>
      <c r="M298" t="inlineStr">
        <is>
          <t>206 LAIRD AVE SE</t>
        </is>
      </c>
      <c r="N298">
        <f>RIGHT(M298,LEN(M298)-FIND(" ",M298))</f>
        <v/>
      </c>
      <c r="P298" t="inlineStr">
        <is>
          <t>WARREN</t>
        </is>
      </c>
      <c r="Q298" t="inlineStr">
        <is>
          <t>OH</t>
        </is>
      </c>
      <c r="R298" t="n">
        <v>44483</v>
      </c>
      <c r="AD298" t="inlineStr">
        <is>
          <t>TRUMBULL CAREER &amp; TECH CENTER</t>
        </is>
      </c>
      <c r="AE298" t="inlineStr">
        <is>
          <t>WARREN CITY</t>
        </is>
      </c>
      <c r="AF298" t="inlineStr">
        <is>
          <t>WARREN CITY SD</t>
        </is>
      </c>
      <c r="AH298" t="n">
        <v>14</v>
      </c>
      <c r="AI298" t="n">
        <v>11</v>
      </c>
      <c r="AN298" t="inlineStr">
        <is>
          <t>WARREN</t>
        </is>
      </c>
      <c r="AO298" t="inlineStr">
        <is>
          <t>WARREN CITY 4A</t>
        </is>
      </c>
      <c r="AP298" t="inlineStr">
        <is>
          <t>78-P-ADI</t>
        </is>
      </c>
      <c r="AQ298" t="n">
        <v>9</v>
      </c>
      <c r="AR298" t="n">
        <v>64</v>
      </c>
      <c r="AS298" t="n">
        <v>32</v>
      </c>
      <c r="AU298">
        <f>COUNTA($BA$298:$EH$298)</f>
        <v/>
      </c>
      <c r="AV298">
        <f>COUNTIF($BA$298:$EH$298,"D")</f>
        <v/>
      </c>
      <c r="AW298">
        <f>COUNTIF($BA$298:$EH$298,"R")</f>
        <v/>
      </c>
      <c r="AX298">
        <f>IF(BN298="D",1,0)+IF(BO298="D",1,0)+IF(BT298="D",1,0)+IF(BU298="D",1,0)+IF(BW298="D",1,0)+IF(CC298="D",1,0)+IF(CD298="D",1,0)+IF(CE298="D",1,0)+IF(CF298="D",1,0)+IF(CL298="D",1,0)+IF(CM298="D",1,0)+IF(CQ298="D",1,0)+IF(CR298="D",1,0)+IF(CS298="D",1,0)+IF(CW298="D",1,0)+IF(CX298="D",1,0)+IF(DD298="D",1,0)+IF(DE298="D",1,0)+IF(DJ298="D",1,0)+IF(DK298="D",1,0)+IF(DO298="D",1,0)+IF(DP298="D",1,0)+IF(DQ298="D",1,0)+IF(DW298="D",1,0)+IF(DZ298="D",1,0)+IF(EH298="D",1,0)</f>
        <v/>
      </c>
      <c r="AY298">
        <f>IF(DJ298&lt;&gt;"",1,0)+IF(DK298&lt;&gt;"",1,0)+IF(DM298&lt;&gt;"",1,0)+IF(DO298&lt;&gt;"",1,0)+IF(DP298&lt;&gt;"",1,0)+IF(DQ298&lt;&gt;"",1,0)+IF(DS298&lt;&gt;"",1,0)+IF(DT298&lt;&gt;"",1,0)+IF(DV298&lt;&gt;"",1,0)+IF(DW298&lt;&gt;"",1,0)+IF(DX298&lt;&gt;"",1,0)+IF(DY298&lt;&gt;"",1,0)+IF(DZ298&lt;&gt;"",1,0)+IF(EB298&lt;&gt;"",1,0)+IF(EC298&lt;&gt;"",1,0)+IF(ED298&lt;&gt;"",1,0)+IF(EG298&lt;&gt;"",1,0)+IF(EH298&lt;&gt;"",1,0)</f>
        <v/>
      </c>
      <c r="AZ298">
        <f>IF(EH298&lt;&gt;"",1,0)</f>
        <v/>
      </c>
      <c r="BB298" t="inlineStr">
        <is>
          <t>WARREN-WARD 4</t>
        </is>
      </c>
      <c r="DC298" t="inlineStr">
        <is>
          <t>X</t>
        </is>
      </c>
    </row>
    <row r="299">
      <c r="A299" t="inlineStr">
        <is>
          <t>OH0027498031</t>
        </is>
      </c>
      <c r="B299" t="n">
        <v>78</v>
      </c>
      <c r="C299" t="n">
        <v>487149</v>
      </c>
      <c r="D299" t="inlineStr">
        <is>
          <t>RAFFERTY</t>
        </is>
      </c>
      <c r="E299" t="inlineStr">
        <is>
          <t>RYAN</t>
        </is>
      </c>
      <c r="F299">
        <f>CONCATENATE(D299," ",LEFT(H299,4),"T=",AU299,"D=",AV299,"R=",AW299,"M=",AX299,"L=",AY299,"B=",AZ299)</f>
        <v/>
      </c>
      <c r="G299" t="inlineStr">
        <is>
          <t>M</t>
        </is>
      </c>
      <c r="I299" t="inlineStr">
        <is>
          <t>1990-01-23</t>
        </is>
      </c>
      <c r="J299" t="inlineStr">
        <is>
          <t>2024-08-02</t>
        </is>
      </c>
      <c r="K299" t="inlineStr">
        <is>
          <t>ACTIVE</t>
        </is>
      </c>
      <c r="M299" t="inlineStr">
        <is>
          <t>526 LAIRD AVE SE</t>
        </is>
      </c>
      <c r="N299">
        <f>RIGHT(M299,LEN(M299)-FIND(" ",M299))</f>
        <v/>
      </c>
      <c r="P299" t="inlineStr">
        <is>
          <t>WARREN</t>
        </is>
      </c>
      <c r="Q299" t="inlineStr">
        <is>
          <t>OH</t>
        </is>
      </c>
      <c r="R299" t="n">
        <v>44484</v>
      </c>
      <c r="AD299" t="inlineStr">
        <is>
          <t>TRUMBULL CAREER &amp; TECH CENTER</t>
        </is>
      </c>
      <c r="AE299" t="inlineStr">
        <is>
          <t>WARREN CITY</t>
        </is>
      </c>
      <c r="AF299" t="inlineStr">
        <is>
          <t>WARREN CITY SD</t>
        </is>
      </c>
      <c r="AH299" t="n">
        <v>14</v>
      </c>
      <c r="AI299" t="n">
        <v>11</v>
      </c>
      <c r="AN299" t="inlineStr">
        <is>
          <t>WARREN</t>
        </is>
      </c>
      <c r="AO299" t="inlineStr">
        <is>
          <t>WARREN CITY 4A</t>
        </is>
      </c>
      <c r="AP299" t="inlineStr">
        <is>
          <t>78-P-ADI</t>
        </is>
      </c>
      <c r="AQ299" t="n">
        <v>9</v>
      </c>
      <c r="AR299" t="n">
        <v>64</v>
      </c>
      <c r="AS299" t="n">
        <v>32</v>
      </c>
      <c r="AU299">
        <f>COUNTA($BA$299:$EH$299)</f>
        <v/>
      </c>
      <c r="AV299">
        <f>COUNTIF($BA$299:$EH$299,"D")</f>
        <v/>
      </c>
      <c r="AW299">
        <f>COUNTIF($BA$299:$EH$299,"R")</f>
        <v/>
      </c>
      <c r="AX299">
        <f>IF(BN299="D",1,0)+IF(BO299="D",1,0)+IF(BT299="D",1,0)+IF(BU299="D",1,0)+IF(BW299="D",1,0)+IF(CC299="D",1,0)+IF(CD299="D",1,0)+IF(CE299="D",1,0)+IF(CF299="D",1,0)+IF(CL299="D",1,0)+IF(CM299="D",1,0)+IF(CQ299="D",1,0)+IF(CR299="D",1,0)+IF(CS299="D",1,0)+IF(CW299="D",1,0)+IF(CX299="D",1,0)+IF(DD299="D",1,0)+IF(DE299="D",1,0)+IF(DJ299="D",1,0)+IF(DK299="D",1,0)+IF(DO299="D",1,0)+IF(DP299="D",1,0)+IF(DQ299="D",1,0)+IF(DW299="D",1,0)+IF(DZ299="D",1,0)+IF(EH299="D",1,0)</f>
        <v/>
      </c>
      <c r="AY299">
        <f>IF(DJ299&lt;&gt;"",1,0)+IF(DK299&lt;&gt;"",1,0)+IF(DM299&lt;&gt;"",1,0)+IF(DO299&lt;&gt;"",1,0)+IF(DP299&lt;&gt;"",1,0)+IF(DQ299&lt;&gt;"",1,0)+IF(DS299&lt;&gt;"",1,0)+IF(DT299&lt;&gt;"",1,0)+IF(DV299&lt;&gt;"",1,0)+IF(DW299&lt;&gt;"",1,0)+IF(DX299&lt;&gt;"",1,0)+IF(DY299&lt;&gt;"",1,0)+IF(DZ299&lt;&gt;"",1,0)+IF(EB299&lt;&gt;"",1,0)+IF(EC299&lt;&gt;"",1,0)+IF(ED299&lt;&gt;"",1,0)+IF(EG299&lt;&gt;"",1,0)+IF(EH299&lt;&gt;"",1,0)</f>
        <v/>
      </c>
      <c r="AZ299">
        <f>IF(EH299&lt;&gt;"",1,0)</f>
        <v/>
      </c>
      <c r="BB299" t="inlineStr">
        <is>
          <t>WARREN-WARD 4</t>
        </is>
      </c>
    </row>
    <row r="300">
      <c r="A300" t="inlineStr">
        <is>
          <t>OH0024484135</t>
        </is>
      </c>
      <c r="B300" t="n">
        <v>78</v>
      </c>
      <c r="C300" t="n">
        <v>429147</v>
      </c>
      <c r="D300" t="inlineStr">
        <is>
          <t>EDWARDS</t>
        </is>
      </c>
      <c r="E300" t="inlineStr">
        <is>
          <t>HANNA</t>
        </is>
      </c>
      <c r="F300">
        <f>CONCATENATE(D300," ",LEFT(H300,4),"T=",AU300,"D=",AV300,"R=",AW300,"M=",AX300,"L=",AY300,"B=",AZ300)</f>
        <v/>
      </c>
      <c r="G300" t="inlineStr">
        <is>
          <t>RUTH ANNE</t>
        </is>
      </c>
      <c r="I300" t="inlineStr">
        <is>
          <t>1999-09-08</t>
        </is>
      </c>
      <c r="J300" t="inlineStr">
        <is>
          <t>2018-01-06</t>
        </is>
      </c>
      <c r="K300" t="inlineStr">
        <is>
          <t>ACTIVE</t>
        </is>
      </c>
      <c r="M300" t="inlineStr">
        <is>
          <t>471 CHARLES AVE SE</t>
        </is>
      </c>
      <c r="N300">
        <f>RIGHT(M300,LEN(M300)-FIND(" ",M300))</f>
        <v/>
      </c>
      <c r="P300" t="inlineStr">
        <is>
          <t>WARREN</t>
        </is>
      </c>
      <c r="Q300" t="inlineStr">
        <is>
          <t>OH</t>
        </is>
      </c>
      <c r="R300" t="n">
        <v>44483</v>
      </c>
      <c r="AD300" t="inlineStr">
        <is>
          <t>TRUMBULL CAREER &amp; TECH CENTER</t>
        </is>
      </c>
      <c r="AE300" t="inlineStr">
        <is>
          <t>WARREN CITY</t>
        </is>
      </c>
      <c r="AF300" t="inlineStr">
        <is>
          <t>WARREN CITY SD</t>
        </is>
      </c>
      <c r="AH300" t="n">
        <v>14</v>
      </c>
      <c r="AI300" t="n">
        <v>11</v>
      </c>
      <c r="AN300" t="inlineStr">
        <is>
          <t>WARREN</t>
        </is>
      </c>
      <c r="AO300" t="inlineStr">
        <is>
          <t>WARREN CITY 4A</t>
        </is>
      </c>
      <c r="AP300" t="inlineStr">
        <is>
          <t>78-P-ADI</t>
        </is>
      </c>
      <c r="AQ300" t="n">
        <v>9</v>
      </c>
      <c r="AR300" t="n">
        <v>64</v>
      </c>
      <c r="AS300" t="n">
        <v>32</v>
      </c>
      <c r="AU300">
        <f>COUNTA($BA$300:$EH$300)</f>
        <v/>
      </c>
      <c r="AV300">
        <f>COUNTIF($BA$300:$EH$300,"D")</f>
        <v/>
      </c>
      <c r="AW300">
        <f>COUNTIF($BA$300:$EH$300,"R")</f>
        <v/>
      </c>
      <c r="AX300">
        <f>IF(BN300="D",1,0)+IF(BO300="D",1,0)+IF(BT300="D",1,0)+IF(BU300="D",1,0)+IF(BW300="D",1,0)+IF(CC300="D",1,0)+IF(CD300="D",1,0)+IF(CE300="D",1,0)+IF(CF300="D",1,0)+IF(CL300="D",1,0)+IF(CM300="D",1,0)+IF(CQ300="D",1,0)+IF(CR300="D",1,0)+IF(CS300="D",1,0)+IF(CW300="D",1,0)+IF(CX300="D",1,0)+IF(DD300="D",1,0)+IF(DE300="D",1,0)+IF(DJ300="D",1,0)+IF(DK300="D",1,0)+IF(DO300="D",1,0)+IF(DP300="D",1,0)+IF(DQ300="D",1,0)+IF(DW300="D",1,0)+IF(DZ300="D",1,0)+IF(EH300="D",1,0)</f>
        <v/>
      </c>
      <c r="AY300">
        <f>IF(DJ300&lt;&gt;"",1,0)+IF(DK300&lt;&gt;"",1,0)+IF(DM300&lt;&gt;"",1,0)+IF(DO300&lt;&gt;"",1,0)+IF(DP300&lt;&gt;"",1,0)+IF(DQ300&lt;&gt;"",1,0)+IF(DS300&lt;&gt;"",1,0)+IF(DT300&lt;&gt;"",1,0)+IF(DV300&lt;&gt;"",1,0)+IF(DW300&lt;&gt;"",1,0)+IF(DX300&lt;&gt;"",1,0)+IF(DY300&lt;&gt;"",1,0)+IF(DZ300&lt;&gt;"",1,0)+IF(EB300&lt;&gt;"",1,0)+IF(EC300&lt;&gt;"",1,0)+IF(ED300&lt;&gt;"",1,0)+IF(EG300&lt;&gt;"",1,0)+IF(EH300&lt;&gt;"",1,0)</f>
        <v/>
      </c>
      <c r="AZ300">
        <f>IF(EH300&lt;&gt;"",1,0)</f>
        <v/>
      </c>
      <c r="BB300" t="inlineStr">
        <is>
          <t>WARREN-WARD 4</t>
        </is>
      </c>
      <c r="DN300" t="inlineStr">
        <is>
          <t>X</t>
        </is>
      </c>
      <c r="DX300" t="inlineStr">
        <is>
          <t>X</t>
        </is>
      </c>
      <c r="EA300" t="inlineStr">
        <is>
          <t>X</t>
        </is>
      </c>
      <c r="EF300" t="inlineStr">
        <is>
          <t>X</t>
        </is>
      </c>
    </row>
    <row r="301">
      <c r="A301" t="inlineStr">
        <is>
          <t>OH0027497292</t>
        </is>
      </c>
      <c r="B301" t="n">
        <v>78</v>
      </c>
      <c r="C301" t="n">
        <v>487112</v>
      </c>
      <c r="D301" t="inlineStr">
        <is>
          <t>ADAMS</t>
        </is>
      </c>
      <c r="E301" t="inlineStr">
        <is>
          <t>KEITH</t>
        </is>
      </c>
      <c r="F301">
        <f>CONCATENATE(D301," ",LEFT(H301,4),"T=",AU301,"D=",AV301,"R=",AW301,"M=",AX301,"L=",AY301,"B=",AZ301)</f>
        <v/>
      </c>
      <c r="G301" t="inlineStr">
        <is>
          <t>L</t>
        </is>
      </c>
      <c r="I301" t="inlineStr">
        <is>
          <t>1996-01-08</t>
        </is>
      </c>
      <c r="J301" t="inlineStr">
        <is>
          <t>2024-08-02</t>
        </is>
      </c>
      <c r="K301" t="inlineStr">
        <is>
          <t>ACTIVE</t>
        </is>
      </c>
      <c r="M301" t="inlineStr">
        <is>
          <t>986 ADELAIDE AVE SE</t>
        </is>
      </c>
      <c r="N301">
        <f>RIGHT(M301,LEN(M301)-FIND(" ",M301))</f>
        <v/>
      </c>
      <c r="P301" t="inlineStr">
        <is>
          <t>WARREN</t>
        </is>
      </c>
      <c r="Q301" t="inlineStr">
        <is>
          <t>OH</t>
        </is>
      </c>
      <c r="R301" t="n">
        <v>44484</v>
      </c>
      <c r="AD301" t="inlineStr">
        <is>
          <t>TRUMBULL CAREER &amp; TECH CENTER</t>
        </is>
      </c>
      <c r="AE301" t="inlineStr">
        <is>
          <t>WARREN CITY</t>
        </is>
      </c>
      <c r="AF301" t="inlineStr">
        <is>
          <t>WARREN CITY SD</t>
        </is>
      </c>
      <c r="AH301" t="n">
        <v>14</v>
      </c>
      <c r="AI301" t="n">
        <v>11</v>
      </c>
      <c r="AN301" t="inlineStr">
        <is>
          <t>WARREN</t>
        </is>
      </c>
      <c r="AO301" t="inlineStr">
        <is>
          <t>WARREN CITY 4A</t>
        </is>
      </c>
      <c r="AP301" t="inlineStr">
        <is>
          <t>78-P-ADI</t>
        </is>
      </c>
      <c r="AQ301" t="n">
        <v>9</v>
      </c>
      <c r="AR301" t="n">
        <v>64</v>
      </c>
      <c r="AS301" t="n">
        <v>32</v>
      </c>
      <c r="AU301">
        <f>COUNTA($BA$301:$EH$301)</f>
        <v/>
      </c>
      <c r="AV301">
        <f>COUNTIF($BA$301:$EH$301,"D")</f>
        <v/>
      </c>
      <c r="AW301">
        <f>COUNTIF($BA$301:$EH$301,"R")</f>
        <v/>
      </c>
      <c r="AX301">
        <f>IF(BN301="D",1,0)+IF(BO301="D",1,0)+IF(BT301="D",1,0)+IF(BU301="D",1,0)+IF(BW301="D",1,0)+IF(CC301="D",1,0)+IF(CD301="D",1,0)+IF(CE301="D",1,0)+IF(CF301="D",1,0)+IF(CL301="D",1,0)+IF(CM301="D",1,0)+IF(CQ301="D",1,0)+IF(CR301="D",1,0)+IF(CS301="D",1,0)+IF(CW301="D",1,0)+IF(CX301="D",1,0)+IF(DD301="D",1,0)+IF(DE301="D",1,0)+IF(DJ301="D",1,0)+IF(DK301="D",1,0)+IF(DO301="D",1,0)+IF(DP301="D",1,0)+IF(DQ301="D",1,0)+IF(DW301="D",1,0)+IF(DZ301="D",1,0)+IF(EH301="D",1,0)</f>
        <v/>
      </c>
      <c r="AY301">
        <f>IF(DJ301&lt;&gt;"",1,0)+IF(DK301&lt;&gt;"",1,0)+IF(DM301&lt;&gt;"",1,0)+IF(DO301&lt;&gt;"",1,0)+IF(DP301&lt;&gt;"",1,0)+IF(DQ301&lt;&gt;"",1,0)+IF(DS301&lt;&gt;"",1,0)+IF(DT301&lt;&gt;"",1,0)+IF(DV301&lt;&gt;"",1,0)+IF(DW301&lt;&gt;"",1,0)+IF(DX301&lt;&gt;"",1,0)+IF(DY301&lt;&gt;"",1,0)+IF(DZ301&lt;&gt;"",1,0)+IF(EB301&lt;&gt;"",1,0)+IF(EC301&lt;&gt;"",1,0)+IF(ED301&lt;&gt;"",1,0)+IF(EG301&lt;&gt;"",1,0)+IF(EH301&lt;&gt;"",1,0)</f>
        <v/>
      </c>
      <c r="AZ301">
        <f>IF(EH301&lt;&gt;"",1,0)</f>
        <v/>
      </c>
      <c r="BB301" t="inlineStr">
        <is>
          <t>WARREN-WARD 4</t>
        </is>
      </c>
      <c r="EF301" t="inlineStr">
        <is>
          <t>X</t>
        </is>
      </c>
    </row>
    <row r="302">
      <c r="A302" t="inlineStr">
        <is>
          <t>OH0021868722</t>
        </is>
      </c>
      <c r="B302" t="n">
        <v>78</v>
      </c>
      <c r="C302" t="n">
        <v>388547</v>
      </c>
      <c r="D302" t="inlineStr">
        <is>
          <t>SHIPP</t>
        </is>
      </c>
      <c r="E302" t="inlineStr">
        <is>
          <t>RASHAAN</t>
        </is>
      </c>
      <c r="F302">
        <f>CONCATENATE(D302," ",LEFT(H302,4),"T=",AU302,"D=",AV302,"R=",AW302,"M=",AX302,"L=",AY302,"B=",AZ302)</f>
        <v/>
      </c>
      <c r="G302" t="inlineStr">
        <is>
          <t>D</t>
        </is>
      </c>
      <c r="I302" t="inlineStr">
        <is>
          <t>1974-09-18</t>
        </is>
      </c>
      <c r="J302" t="inlineStr">
        <is>
          <t>2019-07-23</t>
        </is>
      </c>
      <c r="K302" t="inlineStr">
        <is>
          <t>ACTIVE</t>
        </is>
      </c>
      <c r="M302" t="inlineStr">
        <is>
          <t>756 HOMEWOOD AVE SE</t>
        </is>
      </c>
      <c r="N302">
        <f>RIGHT(M302,LEN(M302)-FIND(" ",M302))</f>
        <v/>
      </c>
      <c r="P302" t="inlineStr">
        <is>
          <t>WARREN</t>
        </is>
      </c>
      <c r="Q302" t="inlineStr">
        <is>
          <t>OH</t>
        </is>
      </c>
      <c r="R302" t="n">
        <v>44484</v>
      </c>
      <c r="AD302" t="inlineStr">
        <is>
          <t>TRUMBULL CAREER &amp; TECH CENTER</t>
        </is>
      </c>
      <c r="AE302" t="inlineStr">
        <is>
          <t>WARREN CITY</t>
        </is>
      </c>
      <c r="AF302" t="inlineStr">
        <is>
          <t>WARREN CITY SD</t>
        </is>
      </c>
      <c r="AH302" t="n">
        <v>14</v>
      </c>
      <c r="AI302" t="n">
        <v>11</v>
      </c>
      <c r="AN302" t="inlineStr">
        <is>
          <t>WARREN</t>
        </is>
      </c>
      <c r="AO302" t="inlineStr">
        <is>
          <t>WARREN CITY 4A</t>
        </is>
      </c>
      <c r="AP302" t="inlineStr">
        <is>
          <t>78-P-ADI</t>
        </is>
      </c>
      <c r="AQ302" t="n">
        <v>9</v>
      </c>
      <c r="AR302" t="n">
        <v>64</v>
      </c>
      <c r="AS302" t="n">
        <v>32</v>
      </c>
      <c r="AU302">
        <f>COUNTA($BA$302:$EH$302)</f>
        <v/>
      </c>
      <c r="AV302">
        <f>COUNTIF($BA$302:$EH$302,"D")</f>
        <v/>
      </c>
      <c r="AW302">
        <f>COUNTIF($BA$302:$EH$302,"R")</f>
        <v/>
      </c>
      <c r="AX302">
        <f>IF(BN302="D",1,0)+IF(BO302="D",1,0)+IF(BT302="D",1,0)+IF(BU302="D",1,0)+IF(BW302="D",1,0)+IF(CC302="D",1,0)+IF(CD302="D",1,0)+IF(CE302="D",1,0)+IF(CF302="D",1,0)+IF(CL302="D",1,0)+IF(CM302="D",1,0)+IF(CQ302="D",1,0)+IF(CR302="D",1,0)+IF(CS302="D",1,0)+IF(CW302="D",1,0)+IF(CX302="D",1,0)+IF(DD302="D",1,0)+IF(DE302="D",1,0)+IF(DJ302="D",1,0)+IF(DK302="D",1,0)+IF(DO302="D",1,0)+IF(DP302="D",1,0)+IF(DQ302="D",1,0)+IF(DW302="D",1,0)+IF(DZ302="D",1,0)+IF(EH302="D",1,0)</f>
        <v/>
      </c>
      <c r="AY302">
        <f>IF(DJ302&lt;&gt;"",1,0)+IF(DK302&lt;&gt;"",1,0)+IF(DM302&lt;&gt;"",1,0)+IF(DO302&lt;&gt;"",1,0)+IF(DP302&lt;&gt;"",1,0)+IF(DQ302&lt;&gt;"",1,0)+IF(DS302&lt;&gt;"",1,0)+IF(DT302&lt;&gt;"",1,0)+IF(DV302&lt;&gt;"",1,0)+IF(DW302&lt;&gt;"",1,0)+IF(DX302&lt;&gt;"",1,0)+IF(DY302&lt;&gt;"",1,0)+IF(DZ302&lt;&gt;"",1,0)+IF(EB302&lt;&gt;"",1,0)+IF(EC302&lt;&gt;"",1,0)+IF(ED302&lt;&gt;"",1,0)+IF(EG302&lt;&gt;"",1,0)+IF(EH302&lt;&gt;"",1,0)</f>
        <v/>
      </c>
      <c r="AZ302">
        <f>IF(EH302&lt;&gt;"",1,0)</f>
        <v/>
      </c>
      <c r="BB302" t="inlineStr">
        <is>
          <t>WARREN-WARD 4</t>
        </is>
      </c>
    </row>
    <row r="303">
      <c r="A303" t="inlineStr">
        <is>
          <t>OH0027432536</t>
        </is>
      </c>
      <c r="B303" t="n">
        <v>78</v>
      </c>
      <c r="C303" t="n">
        <v>486056</v>
      </c>
      <c r="D303" t="inlineStr">
        <is>
          <t>LEWERENZ</t>
        </is>
      </c>
      <c r="E303" t="inlineStr">
        <is>
          <t>MICHAEL</t>
        </is>
      </c>
      <c r="F303">
        <f>CONCATENATE(D303," ",LEFT(H303,4),"T=",AU303,"D=",AV303,"R=",AW303,"M=",AX303,"L=",AY303,"B=",AZ303)</f>
        <v/>
      </c>
      <c r="G303" t="inlineStr">
        <is>
          <t>HENRY</t>
        </is>
      </c>
      <c r="I303" t="inlineStr">
        <is>
          <t>1970-07-11</t>
        </is>
      </c>
      <c r="J303" t="inlineStr">
        <is>
          <t>2024-07-10</t>
        </is>
      </c>
      <c r="K303" t="inlineStr">
        <is>
          <t>ACTIVE</t>
        </is>
      </c>
      <c r="M303" t="inlineStr">
        <is>
          <t>1234 E MARKET ST</t>
        </is>
      </c>
      <c r="N303">
        <f>RIGHT(M303,LEN(M303)-FIND(" ",M303))</f>
        <v/>
      </c>
      <c r="P303" t="inlineStr">
        <is>
          <t>WARREN</t>
        </is>
      </c>
      <c r="Q303" t="inlineStr">
        <is>
          <t>OH</t>
        </is>
      </c>
      <c r="R303" t="n">
        <v>44483</v>
      </c>
      <c r="AD303" t="inlineStr">
        <is>
          <t>TRUMBULL CAREER &amp; TECH CENTER</t>
        </is>
      </c>
      <c r="AE303" t="inlineStr">
        <is>
          <t>WARREN CITY</t>
        </is>
      </c>
      <c r="AF303" t="inlineStr">
        <is>
          <t>WARREN CITY SD</t>
        </is>
      </c>
      <c r="AH303" t="n">
        <v>14</v>
      </c>
      <c r="AI303" t="n">
        <v>11</v>
      </c>
      <c r="AN303" t="inlineStr">
        <is>
          <t>WARREN</t>
        </is>
      </c>
      <c r="AO303" t="inlineStr">
        <is>
          <t>WARREN CITY 4A</t>
        </is>
      </c>
      <c r="AP303" t="inlineStr">
        <is>
          <t>78-P-ADI</t>
        </is>
      </c>
      <c r="AQ303" t="n">
        <v>9</v>
      </c>
      <c r="AR303" t="n">
        <v>64</v>
      </c>
      <c r="AS303" t="n">
        <v>32</v>
      </c>
      <c r="AU303">
        <f>COUNTA($BA$303:$EH$303)</f>
        <v/>
      </c>
      <c r="AV303">
        <f>COUNTIF($BA$303:$EH$303,"D")</f>
        <v/>
      </c>
      <c r="AW303">
        <f>COUNTIF($BA$303:$EH$303,"R")</f>
        <v/>
      </c>
      <c r="AX303">
        <f>IF(BN303="D",1,0)+IF(BO303="D",1,0)+IF(BT303="D",1,0)+IF(BU303="D",1,0)+IF(BW303="D",1,0)+IF(CC303="D",1,0)+IF(CD303="D",1,0)+IF(CE303="D",1,0)+IF(CF303="D",1,0)+IF(CL303="D",1,0)+IF(CM303="D",1,0)+IF(CQ303="D",1,0)+IF(CR303="D",1,0)+IF(CS303="D",1,0)+IF(CW303="D",1,0)+IF(CX303="D",1,0)+IF(DD303="D",1,0)+IF(DE303="D",1,0)+IF(DJ303="D",1,0)+IF(DK303="D",1,0)+IF(DO303="D",1,0)+IF(DP303="D",1,0)+IF(DQ303="D",1,0)+IF(DW303="D",1,0)+IF(DZ303="D",1,0)+IF(EH303="D",1,0)</f>
        <v/>
      </c>
      <c r="AY303">
        <f>IF(DJ303&lt;&gt;"",1,0)+IF(DK303&lt;&gt;"",1,0)+IF(DM303&lt;&gt;"",1,0)+IF(DO303&lt;&gt;"",1,0)+IF(DP303&lt;&gt;"",1,0)+IF(DQ303&lt;&gt;"",1,0)+IF(DS303&lt;&gt;"",1,0)+IF(DT303&lt;&gt;"",1,0)+IF(DV303&lt;&gt;"",1,0)+IF(DW303&lt;&gt;"",1,0)+IF(DX303&lt;&gt;"",1,0)+IF(DY303&lt;&gt;"",1,0)+IF(DZ303&lt;&gt;"",1,0)+IF(EB303&lt;&gt;"",1,0)+IF(EC303&lt;&gt;"",1,0)+IF(ED303&lt;&gt;"",1,0)+IF(EG303&lt;&gt;"",1,0)+IF(EH303&lt;&gt;"",1,0)</f>
        <v/>
      </c>
      <c r="AZ303">
        <f>IF(EH303&lt;&gt;"",1,0)</f>
        <v/>
      </c>
      <c r="BB303" t="inlineStr">
        <is>
          <t>WARREN-WARD 4</t>
        </is>
      </c>
    </row>
    <row r="304">
      <c r="A304" t="inlineStr">
        <is>
          <t>OH0020982971</t>
        </is>
      </c>
      <c r="B304" t="n">
        <v>78</v>
      </c>
      <c r="C304" t="n">
        <v>373421</v>
      </c>
      <c r="D304" t="inlineStr">
        <is>
          <t>CREE</t>
        </is>
      </c>
      <c r="E304" t="inlineStr">
        <is>
          <t>BRITTANY</t>
        </is>
      </c>
      <c r="F304">
        <f>CONCATENATE(D304," ",LEFT(H304,4),"T=",AU304,"D=",AV304,"R=",AW304,"M=",AX304,"L=",AY304,"B=",AZ304)</f>
        <v/>
      </c>
      <c r="G304" t="inlineStr">
        <is>
          <t>AMBER</t>
        </is>
      </c>
      <c r="I304" t="inlineStr">
        <is>
          <t>1992-02-17</t>
        </is>
      </c>
      <c r="J304" t="inlineStr">
        <is>
          <t>2022-11-30</t>
        </is>
      </c>
      <c r="K304" t="inlineStr">
        <is>
          <t>ACTIVE</t>
        </is>
      </c>
      <c r="M304" t="inlineStr">
        <is>
          <t>174 IDDINGS AVE SE</t>
        </is>
      </c>
      <c r="N304">
        <f>RIGHT(M304,LEN(M304)-FIND(" ",M304))</f>
        <v/>
      </c>
      <c r="P304" t="inlineStr">
        <is>
          <t>WARREN</t>
        </is>
      </c>
      <c r="Q304" t="inlineStr">
        <is>
          <t>OH</t>
        </is>
      </c>
      <c r="R304" t="n">
        <v>44483</v>
      </c>
      <c r="AD304" t="inlineStr">
        <is>
          <t>TRUMBULL CAREER &amp; TECH CENTER</t>
        </is>
      </c>
      <c r="AE304" t="inlineStr">
        <is>
          <t>WARREN CITY</t>
        </is>
      </c>
      <c r="AF304" t="inlineStr">
        <is>
          <t>WARREN CITY SD</t>
        </is>
      </c>
      <c r="AH304" t="n">
        <v>14</v>
      </c>
      <c r="AI304" t="n">
        <v>11</v>
      </c>
      <c r="AN304" t="inlineStr">
        <is>
          <t>WARREN</t>
        </is>
      </c>
      <c r="AO304" t="inlineStr">
        <is>
          <t>WARREN CITY 4A</t>
        </is>
      </c>
      <c r="AP304" t="inlineStr">
        <is>
          <t>78-P-ADI</t>
        </is>
      </c>
      <c r="AQ304" t="n">
        <v>9</v>
      </c>
      <c r="AR304" t="n">
        <v>64</v>
      </c>
      <c r="AS304" t="n">
        <v>32</v>
      </c>
      <c r="AU304">
        <f>COUNTA($BA$304:$EH$304)</f>
        <v/>
      </c>
      <c r="AV304">
        <f>COUNTIF($BA$304:$EH$304,"D")</f>
        <v/>
      </c>
      <c r="AW304">
        <f>COUNTIF($BA$304:$EH$304,"R")</f>
        <v/>
      </c>
      <c r="AX304">
        <f>IF(BN304="D",1,0)+IF(BO304="D",1,0)+IF(BT304="D",1,0)+IF(BU304="D",1,0)+IF(BW304="D",1,0)+IF(CC304="D",1,0)+IF(CD304="D",1,0)+IF(CE304="D",1,0)+IF(CF304="D",1,0)+IF(CL304="D",1,0)+IF(CM304="D",1,0)+IF(CQ304="D",1,0)+IF(CR304="D",1,0)+IF(CS304="D",1,0)+IF(CW304="D",1,0)+IF(CX304="D",1,0)+IF(DD304="D",1,0)+IF(DE304="D",1,0)+IF(DJ304="D",1,0)+IF(DK304="D",1,0)+IF(DO304="D",1,0)+IF(DP304="D",1,0)+IF(DQ304="D",1,0)+IF(DW304="D",1,0)+IF(DZ304="D",1,0)+IF(EH304="D",1,0)</f>
        <v/>
      </c>
      <c r="AY304">
        <f>IF(DJ304&lt;&gt;"",1,0)+IF(DK304&lt;&gt;"",1,0)+IF(DM304&lt;&gt;"",1,0)+IF(DO304&lt;&gt;"",1,0)+IF(DP304&lt;&gt;"",1,0)+IF(DQ304&lt;&gt;"",1,0)+IF(DS304&lt;&gt;"",1,0)+IF(DT304&lt;&gt;"",1,0)+IF(DV304&lt;&gt;"",1,0)+IF(DW304&lt;&gt;"",1,0)+IF(DX304&lt;&gt;"",1,0)+IF(DY304&lt;&gt;"",1,0)+IF(DZ304&lt;&gt;"",1,0)+IF(EB304&lt;&gt;"",1,0)+IF(EC304&lt;&gt;"",1,0)+IF(ED304&lt;&gt;"",1,0)+IF(EG304&lt;&gt;"",1,0)+IF(EH304&lt;&gt;"",1,0)</f>
        <v/>
      </c>
      <c r="AZ304">
        <f>IF(EH304&lt;&gt;"",1,0)</f>
        <v/>
      </c>
      <c r="BB304" t="inlineStr">
        <is>
          <t>WARREN-WARD 4</t>
        </is>
      </c>
      <c r="CZ304" t="inlineStr">
        <is>
          <t>D</t>
        </is>
      </c>
      <c r="DC304" t="inlineStr">
        <is>
          <t>X</t>
        </is>
      </c>
      <c r="DN304" t="inlineStr">
        <is>
          <t>X</t>
        </is>
      </c>
      <c r="DU304" t="inlineStr">
        <is>
          <t>X</t>
        </is>
      </c>
      <c r="EA304" t="inlineStr">
        <is>
          <t>X</t>
        </is>
      </c>
      <c r="EF304" t="inlineStr">
        <is>
          <t>X</t>
        </is>
      </c>
    </row>
    <row r="305">
      <c r="A305" t="inlineStr">
        <is>
          <t>OH0027497289</t>
        </is>
      </c>
      <c r="B305" t="n">
        <v>78</v>
      </c>
      <c r="C305" t="n">
        <v>487111</v>
      </c>
      <c r="D305" t="inlineStr">
        <is>
          <t>JOHNSON</t>
        </is>
      </c>
      <c r="E305" t="inlineStr">
        <is>
          <t>VIRGINIA</t>
        </is>
      </c>
      <c r="F305">
        <f>CONCATENATE(D305," ",LEFT(H305,4),"T=",AU305,"D=",AV305,"R=",AW305,"M=",AX305,"L=",AY305,"B=",AZ305)</f>
        <v/>
      </c>
      <c r="G305" t="inlineStr">
        <is>
          <t>L</t>
        </is>
      </c>
      <c r="I305" t="inlineStr">
        <is>
          <t>1973-01-31</t>
        </is>
      </c>
      <c r="J305" t="inlineStr">
        <is>
          <t>2024-08-02</t>
        </is>
      </c>
      <c r="K305" t="inlineStr">
        <is>
          <t>ACTIVE</t>
        </is>
      </c>
      <c r="M305" t="inlineStr">
        <is>
          <t>821 WOODBINE AVE SE</t>
        </is>
      </c>
      <c r="N305">
        <f>RIGHT(M305,LEN(M305)-FIND(" ",M305))</f>
        <v/>
      </c>
      <c r="P305" t="inlineStr">
        <is>
          <t>WARREN</t>
        </is>
      </c>
      <c r="Q305" t="inlineStr">
        <is>
          <t>OH</t>
        </is>
      </c>
      <c r="R305" t="n">
        <v>44484</v>
      </c>
      <c r="AD305" t="inlineStr">
        <is>
          <t>TRUMBULL CAREER &amp; TECH CENTER</t>
        </is>
      </c>
      <c r="AE305" t="inlineStr">
        <is>
          <t>WARREN CITY</t>
        </is>
      </c>
      <c r="AF305" t="inlineStr">
        <is>
          <t>WARREN CITY SD</t>
        </is>
      </c>
      <c r="AH305" t="n">
        <v>14</v>
      </c>
      <c r="AI305" t="n">
        <v>11</v>
      </c>
      <c r="AN305" t="inlineStr">
        <is>
          <t>WARREN</t>
        </is>
      </c>
      <c r="AO305" t="inlineStr">
        <is>
          <t>WARREN CITY 4A</t>
        </is>
      </c>
      <c r="AP305" t="inlineStr">
        <is>
          <t>78-P-ADI</t>
        </is>
      </c>
      <c r="AQ305" t="n">
        <v>9</v>
      </c>
      <c r="AR305" t="n">
        <v>64</v>
      </c>
      <c r="AS305" t="n">
        <v>32</v>
      </c>
      <c r="AU305">
        <f>COUNTA($BA$305:$EH$305)</f>
        <v/>
      </c>
      <c r="AV305">
        <f>COUNTIF($BA$305:$EH$305,"D")</f>
        <v/>
      </c>
      <c r="AW305">
        <f>COUNTIF($BA$305:$EH$305,"R")</f>
        <v/>
      </c>
      <c r="AX305">
        <f>IF(BN305="D",1,0)+IF(BO305="D",1,0)+IF(BT305="D",1,0)+IF(BU305="D",1,0)+IF(BW305="D",1,0)+IF(CC305="D",1,0)+IF(CD305="D",1,0)+IF(CE305="D",1,0)+IF(CF305="D",1,0)+IF(CL305="D",1,0)+IF(CM305="D",1,0)+IF(CQ305="D",1,0)+IF(CR305="D",1,0)+IF(CS305="D",1,0)+IF(CW305="D",1,0)+IF(CX305="D",1,0)+IF(DD305="D",1,0)+IF(DE305="D",1,0)+IF(DJ305="D",1,0)+IF(DK305="D",1,0)+IF(DO305="D",1,0)+IF(DP305="D",1,0)+IF(DQ305="D",1,0)+IF(DW305="D",1,0)+IF(DZ305="D",1,0)+IF(EH305="D",1,0)</f>
        <v/>
      </c>
      <c r="AY305">
        <f>IF(DJ305&lt;&gt;"",1,0)+IF(DK305&lt;&gt;"",1,0)+IF(DM305&lt;&gt;"",1,0)+IF(DO305&lt;&gt;"",1,0)+IF(DP305&lt;&gt;"",1,0)+IF(DQ305&lt;&gt;"",1,0)+IF(DS305&lt;&gt;"",1,0)+IF(DT305&lt;&gt;"",1,0)+IF(DV305&lt;&gt;"",1,0)+IF(DW305&lt;&gt;"",1,0)+IF(DX305&lt;&gt;"",1,0)+IF(DY305&lt;&gt;"",1,0)+IF(DZ305&lt;&gt;"",1,0)+IF(EB305&lt;&gt;"",1,0)+IF(EC305&lt;&gt;"",1,0)+IF(ED305&lt;&gt;"",1,0)+IF(EG305&lt;&gt;"",1,0)+IF(EH305&lt;&gt;"",1,0)</f>
        <v/>
      </c>
      <c r="AZ305">
        <f>IF(EH305&lt;&gt;"",1,0)</f>
        <v/>
      </c>
      <c r="BB305" t="inlineStr">
        <is>
          <t>WARREN-WARD 4</t>
        </is>
      </c>
    </row>
    <row r="306">
      <c r="A306" t="inlineStr">
        <is>
          <t>OH0025974692</t>
        </is>
      </c>
      <c r="B306" t="n">
        <v>78</v>
      </c>
      <c r="C306" t="n">
        <v>454082</v>
      </c>
      <c r="D306" t="inlineStr">
        <is>
          <t>ZUCCARO</t>
        </is>
      </c>
      <c r="E306" t="inlineStr">
        <is>
          <t>ANTHONY</t>
        </is>
      </c>
      <c r="F306">
        <f>CONCATENATE(D306," ",LEFT(H306,4),"T=",AU306,"D=",AV306,"R=",AW306,"M=",AX306,"L=",AY306,"B=",AZ306)</f>
        <v/>
      </c>
      <c r="G306" t="inlineStr">
        <is>
          <t>ROBERT</t>
        </is>
      </c>
      <c r="I306" t="inlineStr">
        <is>
          <t>1990-03-02</t>
        </is>
      </c>
      <c r="J306" t="inlineStr">
        <is>
          <t>2020-10-05</t>
        </is>
      </c>
      <c r="K306" t="inlineStr">
        <is>
          <t>ACTIVE</t>
        </is>
      </c>
      <c r="M306" t="inlineStr">
        <is>
          <t>1050 SOUTH ST SE</t>
        </is>
      </c>
      <c r="N306">
        <f>RIGHT(M306,LEN(M306)-FIND(" ",M306))</f>
        <v/>
      </c>
      <c r="P306" t="inlineStr">
        <is>
          <t>WARREN</t>
        </is>
      </c>
      <c r="Q306" t="inlineStr">
        <is>
          <t>OH</t>
        </is>
      </c>
      <c r="R306" t="n">
        <v>44483</v>
      </c>
      <c r="AD306" t="inlineStr">
        <is>
          <t>TRUMBULL CAREER &amp; TECH CENTER</t>
        </is>
      </c>
      <c r="AE306" t="inlineStr">
        <is>
          <t>WARREN CITY</t>
        </is>
      </c>
      <c r="AF306" t="inlineStr">
        <is>
          <t>WARREN CITY SD</t>
        </is>
      </c>
      <c r="AH306" t="n">
        <v>14</v>
      </c>
      <c r="AI306" t="n">
        <v>11</v>
      </c>
      <c r="AN306" t="inlineStr">
        <is>
          <t>WARREN</t>
        </is>
      </c>
      <c r="AO306" t="inlineStr">
        <is>
          <t>WARREN CITY 4A</t>
        </is>
      </c>
      <c r="AP306" t="inlineStr">
        <is>
          <t>78-P-ADI</t>
        </is>
      </c>
      <c r="AQ306" t="n">
        <v>9</v>
      </c>
      <c r="AR306" t="n">
        <v>64</v>
      </c>
      <c r="AS306" t="n">
        <v>32</v>
      </c>
      <c r="AU306">
        <f>COUNTA($BA$306:$EH$306)</f>
        <v/>
      </c>
      <c r="AV306">
        <f>COUNTIF($BA$306:$EH$306,"D")</f>
        <v/>
      </c>
      <c r="AW306">
        <f>COUNTIF($BA$306:$EH$306,"R")</f>
        <v/>
      </c>
      <c r="AX306">
        <f>IF(BN306="D",1,0)+IF(BO306="D",1,0)+IF(BT306="D",1,0)+IF(BU306="D",1,0)+IF(BW306="D",1,0)+IF(CC306="D",1,0)+IF(CD306="D",1,0)+IF(CE306="D",1,0)+IF(CF306="D",1,0)+IF(CL306="D",1,0)+IF(CM306="D",1,0)+IF(CQ306="D",1,0)+IF(CR306="D",1,0)+IF(CS306="D",1,0)+IF(CW306="D",1,0)+IF(CX306="D",1,0)+IF(DD306="D",1,0)+IF(DE306="D",1,0)+IF(DJ306="D",1,0)+IF(DK306="D",1,0)+IF(DO306="D",1,0)+IF(DP306="D",1,0)+IF(DQ306="D",1,0)+IF(DW306="D",1,0)+IF(DZ306="D",1,0)+IF(EH306="D",1,0)</f>
        <v/>
      </c>
      <c r="AY306">
        <f>IF(DJ306&lt;&gt;"",1,0)+IF(DK306&lt;&gt;"",1,0)+IF(DM306&lt;&gt;"",1,0)+IF(DO306&lt;&gt;"",1,0)+IF(DP306&lt;&gt;"",1,0)+IF(DQ306&lt;&gt;"",1,0)+IF(DS306&lt;&gt;"",1,0)+IF(DT306&lt;&gt;"",1,0)+IF(DV306&lt;&gt;"",1,0)+IF(DW306&lt;&gt;"",1,0)+IF(DX306&lt;&gt;"",1,0)+IF(DY306&lt;&gt;"",1,0)+IF(DZ306&lt;&gt;"",1,0)+IF(EB306&lt;&gt;"",1,0)+IF(EC306&lt;&gt;"",1,0)+IF(ED306&lt;&gt;"",1,0)+IF(EG306&lt;&gt;"",1,0)+IF(EH306&lt;&gt;"",1,0)</f>
        <v/>
      </c>
      <c r="AZ306">
        <f>IF(EH306&lt;&gt;"",1,0)</f>
        <v/>
      </c>
      <c r="BB306" t="inlineStr">
        <is>
          <t>WARREN-WARD 4</t>
        </is>
      </c>
      <c r="DN306" t="inlineStr">
        <is>
          <t>X</t>
        </is>
      </c>
      <c r="DX306" t="inlineStr">
        <is>
          <t>X</t>
        </is>
      </c>
      <c r="EF306" t="inlineStr">
        <is>
          <t>X</t>
        </is>
      </c>
    </row>
    <row r="307">
      <c r="A307" t="inlineStr">
        <is>
          <t>OH0024228576</t>
        </is>
      </c>
      <c r="B307" t="n">
        <v>78</v>
      </c>
      <c r="C307" t="n">
        <v>424088</v>
      </c>
      <c r="D307" t="inlineStr">
        <is>
          <t>MUHAMMAD</t>
        </is>
      </c>
      <c r="E307" t="inlineStr">
        <is>
          <t>HASAN</t>
        </is>
      </c>
      <c r="F307">
        <f>CONCATENATE(D307," ",LEFT(H307,4),"T=",AU307,"D=",AV307,"R=",AW307,"M=",AX307,"L=",AY307,"B=",AZ307)</f>
        <v/>
      </c>
      <c r="G307" t="inlineStr">
        <is>
          <t>E</t>
        </is>
      </c>
      <c r="I307" t="inlineStr">
        <is>
          <t>1997-09-29</t>
        </is>
      </c>
      <c r="J307" t="inlineStr">
        <is>
          <t>2017-02-02</t>
        </is>
      </c>
      <c r="K307" t="inlineStr">
        <is>
          <t>CONFIRMATION</t>
        </is>
      </c>
      <c r="M307" t="inlineStr">
        <is>
          <t>806 EAST AVE SE</t>
        </is>
      </c>
      <c r="N307">
        <f>RIGHT(M307,LEN(M307)-FIND(" ",M307))</f>
        <v/>
      </c>
      <c r="P307" t="inlineStr">
        <is>
          <t>WARREN</t>
        </is>
      </c>
      <c r="Q307" t="inlineStr">
        <is>
          <t>OH</t>
        </is>
      </c>
      <c r="R307" t="n">
        <v>44484</v>
      </c>
      <c r="AD307" t="inlineStr">
        <is>
          <t>TRUMBULL CAREER &amp; TECH CENTER</t>
        </is>
      </c>
      <c r="AE307" t="inlineStr">
        <is>
          <t>WARREN CITY</t>
        </is>
      </c>
      <c r="AF307" t="inlineStr">
        <is>
          <t>WARREN CITY SD</t>
        </is>
      </c>
      <c r="AH307" t="n">
        <v>14</v>
      </c>
      <c r="AI307" t="n">
        <v>11</v>
      </c>
      <c r="AN307" t="inlineStr">
        <is>
          <t>WARREN</t>
        </is>
      </c>
      <c r="AO307" t="inlineStr">
        <is>
          <t>WARREN CITY 4A</t>
        </is>
      </c>
      <c r="AP307" t="inlineStr">
        <is>
          <t>78-P-ADI</t>
        </is>
      </c>
      <c r="AQ307" t="n">
        <v>9</v>
      </c>
      <c r="AR307" t="n">
        <v>64</v>
      </c>
      <c r="AS307" t="n">
        <v>32</v>
      </c>
      <c r="AU307">
        <f>COUNTA($BA$307:$EH$307)</f>
        <v/>
      </c>
      <c r="AV307">
        <f>COUNTIF($BA$307:$EH$307,"D")</f>
        <v/>
      </c>
      <c r="AW307">
        <f>COUNTIF($BA$307:$EH$307,"R")</f>
        <v/>
      </c>
      <c r="AX307">
        <f>IF(BN307="D",1,0)+IF(BO307="D",1,0)+IF(BT307="D",1,0)+IF(BU307="D",1,0)+IF(BW307="D",1,0)+IF(CC307="D",1,0)+IF(CD307="D",1,0)+IF(CE307="D",1,0)+IF(CF307="D",1,0)+IF(CL307="D",1,0)+IF(CM307="D",1,0)+IF(CQ307="D",1,0)+IF(CR307="D",1,0)+IF(CS307="D",1,0)+IF(CW307="D",1,0)+IF(CX307="D",1,0)+IF(DD307="D",1,0)+IF(DE307="D",1,0)+IF(DJ307="D",1,0)+IF(DK307="D",1,0)+IF(DO307="D",1,0)+IF(DP307="D",1,0)+IF(DQ307="D",1,0)+IF(DW307="D",1,0)+IF(DZ307="D",1,0)+IF(EH307="D",1,0)</f>
        <v/>
      </c>
      <c r="AY307">
        <f>IF(DJ307&lt;&gt;"",1,0)+IF(DK307&lt;&gt;"",1,0)+IF(DM307&lt;&gt;"",1,0)+IF(DO307&lt;&gt;"",1,0)+IF(DP307&lt;&gt;"",1,0)+IF(DQ307&lt;&gt;"",1,0)+IF(DS307&lt;&gt;"",1,0)+IF(DT307&lt;&gt;"",1,0)+IF(DV307&lt;&gt;"",1,0)+IF(DW307&lt;&gt;"",1,0)+IF(DX307&lt;&gt;"",1,0)+IF(DY307&lt;&gt;"",1,0)+IF(DZ307&lt;&gt;"",1,0)+IF(EB307&lt;&gt;"",1,0)+IF(EC307&lt;&gt;"",1,0)+IF(ED307&lt;&gt;"",1,0)+IF(EG307&lt;&gt;"",1,0)+IF(EH307&lt;&gt;"",1,0)</f>
        <v/>
      </c>
      <c r="AZ307">
        <f>IF(EH307&lt;&gt;"",1,0)</f>
        <v/>
      </c>
      <c r="BB307" t="inlineStr">
        <is>
          <t>WARREN-WARD 4</t>
        </is>
      </c>
    </row>
    <row r="308">
      <c r="A308" t="inlineStr">
        <is>
          <t>OH0018597424</t>
        </is>
      </c>
      <c r="B308" t="n">
        <v>78</v>
      </c>
      <c r="C308" t="n">
        <v>304707</v>
      </c>
      <c r="D308" t="inlineStr">
        <is>
          <t>ALLEN</t>
        </is>
      </c>
      <c r="E308" t="inlineStr">
        <is>
          <t>RODNEY</t>
        </is>
      </c>
      <c r="F308">
        <f>CONCATENATE(D308," ",LEFT(H308,4),"T=",AU308,"D=",AV308,"R=",AW308,"M=",AX308,"L=",AY308,"B=",AZ308)</f>
        <v/>
      </c>
      <c r="G308" t="inlineStr">
        <is>
          <t>R</t>
        </is>
      </c>
      <c r="I308" t="inlineStr">
        <is>
          <t>1976-03-23</t>
        </is>
      </c>
      <c r="J308" t="inlineStr">
        <is>
          <t>2001-10-05</t>
        </is>
      </c>
      <c r="K308" t="inlineStr">
        <is>
          <t>ACTIVE</t>
        </is>
      </c>
      <c r="M308" t="inlineStr">
        <is>
          <t>346 LAIRD AVE SE</t>
        </is>
      </c>
      <c r="N308">
        <f>RIGHT(M308,LEN(M308)-FIND(" ",M308))</f>
        <v/>
      </c>
      <c r="P308" t="inlineStr">
        <is>
          <t>WARREN</t>
        </is>
      </c>
      <c r="Q308" t="inlineStr">
        <is>
          <t>OH</t>
        </is>
      </c>
      <c r="R308" t="n">
        <v>44483</v>
      </c>
      <c r="AD308" t="inlineStr">
        <is>
          <t>TRUMBULL CAREER &amp; TECH CENTER</t>
        </is>
      </c>
      <c r="AE308" t="inlineStr">
        <is>
          <t>WARREN CITY</t>
        </is>
      </c>
      <c r="AF308" t="inlineStr">
        <is>
          <t>WARREN CITY SD</t>
        </is>
      </c>
      <c r="AH308" t="n">
        <v>14</v>
      </c>
      <c r="AI308" t="n">
        <v>11</v>
      </c>
      <c r="AN308" t="inlineStr">
        <is>
          <t>WARREN</t>
        </is>
      </c>
      <c r="AO308" t="inlineStr">
        <is>
          <t>WARREN CITY 4A</t>
        </is>
      </c>
      <c r="AP308" t="inlineStr">
        <is>
          <t>78-P-ADI</t>
        </is>
      </c>
      <c r="AQ308" t="n">
        <v>9</v>
      </c>
      <c r="AR308" t="n">
        <v>64</v>
      </c>
      <c r="AS308" t="n">
        <v>32</v>
      </c>
      <c r="AU308">
        <f>COUNTA($BA$308:$EH$308)</f>
        <v/>
      </c>
      <c r="AV308">
        <f>COUNTIF($BA$308:$EH$308,"D")</f>
        <v/>
      </c>
      <c r="AW308">
        <f>COUNTIF($BA$308:$EH$308,"R")</f>
        <v/>
      </c>
      <c r="AX308">
        <f>IF(BN308="D",1,0)+IF(BO308="D",1,0)+IF(BT308="D",1,0)+IF(BU308="D",1,0)+IF(BW308="D",1,0)+IF(CC308="D",1,0)+IF(CD308="D",1,0)+IF(CE308="D",1,0)+IF(CF308="D",1,0)+IF(CL308="D",1,0)+IF(CM308="D",1,0)+IF(CQ308="D",1,0)+IF(CR308="D",1,0)+IF(CS308="D",1,0)+IF(CW308="D",1,0)+IF(CX308="D",1,0)+IF(DD308="D",1,0)+IF(DE308="D",1,0)+IF(DJ308="D",1,0)+IF(DK308="D",1,0)+IF(DO308="D",1,0)+IF(DP308="D",1,0)+IF(DQ308="D",1,0)+IF(DW308="D",1,0)+IF(DZ308="D",1,0)+IF(EH308="D",1,0)</f>
        <v/>
      </c>
      <c r="AY308">
        <f>IF(DJ308&lt;&gt;"",1,0)+IF(DK308&lt;&gt;"",1,0)+IF(DM308&lt;&gt;"",1,0)+IF(DO308&lt;&gt;"",1,0)+IF(DP308&lt;&gt;"",1,0)+IF(DQ308&lt;&gt;"",1,0)+IF(DS308&lt;&gt;"",1,0)+IF(DT308&lt;&gt;"",1,0)+IF(DV308&lt;&gt;"",1,0)+IF(DW308&lt;&gt;"",1,0)+IF(DX308&lt;&gt;"",1,0)+IF(DY308&lt;&gt;"",1,0)+IF(DZ308&lt;&gt;"",1,0)+IF(EB308&lt;&gt;"",1,0)+IF(EC308&lt;&gt;"",1,0)+IF(ED308&lt;&gt;"",1,0)+IF(EG308&lt;&gt;"",1,0)+IF(EH308&lt;&gt;"",1,0)</f>
        <v/>
      </c>
      <c r="AZ308">
        <f>IF(EH308&lt;&gt;"",1,0)</f>
        <v/>
      </c>
      <c r="BB308" t="inlineStr">
        <is>
          <t>WARREN-WARD 4</t>
        </is>
      </c>
      <c r="BH308" t="inlineStr">
        <is>
          <t>X</t>
        </is>
      </c>
      <c r="BL308" t="inlineStr">
        <is>
          <t>X</t>
        </is>
      </c>
      <c r="BY308" t="inlineStr">
        <is>
          <t>D</t>
        </is>
      </c>
      <c r="CA308" t="inlineStr">
        <is>
          <t>X</t>
        </is>
      </c>
      <c r="CK308" t="inlineStr">
        <is>
          <t>X</t>
        </is>
      </c>
      <c r="CL308" t="inlineStr">
        <is>
          <t>D</t>
        </is>
      </c>
      <c r="CN308" t="inlineStr">
        <is>
          <t>X</t>
        </is>
      </c>
      <c r="CP308" t="inlineStr">
        <is>
          <t>X</t>
        </is>
      </c>
      <c r="CQ308" t="inlineStr">
        <is>
          <t>D</t>
        </is>
      </c>
      <c r="CV308" t="inlineStr">
        <is>
          <t>X</t>
        </is>
      </c>
      <c r="CZ308" t="inlineStr">
        <is>
          <t>D</t>
        </is>
      </c>
      <c r="DC308" t="inlineStr">
        <is>
          <t>X</t>
        </is>
      </c>
      <c r="DN308" t="inlineStr">
        <is>
          <t>X</t>
        </is>
      </c>
      <c r="EA308" t="inlineStr">
        <is>
          <t>X</t>
        </is>
      </c>
      <c r="EF308" t="inlineStr">
        <is>
          <t>X</t>
        </is>
      </c>
    </row>
    <row r="309">
      <c r="A309" t="inlineStr">
        <is>
          <t>OH0026939850</t>
        </is>
      </c>
      <c r="B309" t="n">
        <v>78</v>
      </c>
      <c r="C309" t="n">
        <v>474738</v>
      </c>
      <c r="D309" t="inlineStr">
        <is>
          <t>PECORELLI</t>
        </is>
      </c>
      <c r="E309" t="inlineStr">
        <is>
          <t>AALIYAH</t>
        </is>
      </c>
      <c r="F309">
        <f>CONCATENATE(D309," ",LEFT(H309,4),"T=",AU309,"D=",AV309,"R=",AW309,"M=",AX309,"L=",AY309,"B=",AZ309)</f>
        <v/>
      </c>
      <c r="G309" t="inlineStr">
        <is>
          <t>MICHELE</t>
        </is>
      </c>
      <c r="I309" t="inlineStr">
        <is>
          <t>2003-11-20</t>
        </is>
      </c>
      <c r="J309" t="inlineStr">
        <is>
          <t>2024-10-10</t>
        </is>
      </c>
      <c r="K309" t="inlineStr">
        <is>
          <t>ACTIVE</t>
        </is>
      </c>
      <c r="M309" t="inlineStr">
        <is>
          <t>336 IDDINGS AVE SE</t>
        </is>
      </c>
      <c r="N309">
        <f>RIGHT(M309,LEN(M309)-FIND(" ",M309))</f>
        <v/>
      </c>
      <c r="P309" t="inlineStr">
        <is>
          <t>WARREN</t>
        </is>
      </c>
      <c r="Q309" t="inlineStr">
        <is>
          <t>OH</t>
        </is>
      </c>
      <c r="R309" t="n">
        <v>44483</v>
      </c>
      <c r="AD309" t="inlineStr">
        <is>
          <t>TRUMBULL CAREER &amp; TECH CENTER</t>
        </is>
      </c>
      <c r="AE309" t="inlineStr">
        <is>
          <t>WARREN CITY</t>
        </is>
      </c>
      <c r="AF309" t="inlineStr">
        <is>
          <t>WARREN CITY SD</t>
        </is>
      </c>
      <c r="AH309" t="n">
        <v>14</v>
      </c>
      <c r="AI309" t="n">
        <v>11</v>
      </c>
      <c r="AN309" t="inlineStr">
        <is>
          <t>WARREN</t>
        </is>
      </c>
      <c r="AO309" t="inlineStr">
        <is>
          <t>WARREN CITY 4A</t>
        </is>
      </c>
      <c r="AP309" t="inlineStr">
        <is>
          <t>78-P-ADI</t>
        </is>
      </c>
      <c r="AQ309" t="n">
        <v>9</v>
      </c>
      <c r="AR309" t="n">
        <v>64</v>
      </c>
      <c r="AS309" t="n">
        <v>32</v>
      </c>
      <c r="AU309">
        <f>COUNTA($BA$309:$EH$309)</f>
        <v/>
      </c>
      <c r="AV309">
        <f>COUNTIF($BA$309:$EH$309,"D")</f>
        <v/>
      </c>
      <c r="AW309">
        <f>COUNTIF($BA$309:$EH$309,"R")</f>
        <v/>
      </c>
      <c r="AX309">
        <f>IF(BN309="D",1,0)+IF(BO309="D",1,0)+IF(BT309="D",1,0)+IF(BU309="D",1,0)+IF(BW309="D",1,0)+IF(CC309="D",1,0)+IF(CD309="D",1,0)+IF(CE309="D",1,0)+IF(CF309="D",1,0)+IF(CL309="D",1,0)+IF(CM309="D",1,0)+IF(CQ309="D",1,0)+IF(CR309="D",1,0)+IF(CS309="D",1,0)+IF(CW309="D",1,0)+IF(CX309="D",1,0)+IF(DD309="D",1,0)+IF(DE309="D",1,0)+IF(DJ309="D",1,0)+IF(DK309="D",1,0)+IF(DO309="D",1,0)+IF(DP309="D",1,0)+IF(DQ309="D",1,0)+IF(DW309="D",1,0)+IF(DZ309="D",1,0)+IF(EH309="D",1,0)</f>
        <v/>
      </c>
      <c r="AY309">
        <f>IF(DJ309&lt;&gt;"",1,0)+IF(DK309&lt;&gt;"",1,0)+IF(DM309&lt;&gt;"",1,0)+IF(DO309&lt;&gt;"",1,0)+IF(DP309&lt;&gt;"",1,0)+IF(DQ309&lt;&gt;"",1,0)+IF(DS309&lt;&gt;"",1,0)+IF(DT309&lt;&gt;"",1,0)+IF(DV309&lt;&gt;"",1,0)+IF(DW309&lt;&gt;"",1,0)+IF(DX309&lt;&gt;"",1,0)+IF(DY309&lt;&gt;"",1,0)+IF(DZ309&lt;&gt;"",1,0)+IF(EB309&lt;&gt;"",1,0)+IF(EC309&lt;&gt;"",1,0)+IF(ED309&lt;&gt;"",1,0)+IF(EG309&lt;&gt;"",1,0)+IF(EH309&lt;&gt;"",1,0)</f>
        <v/>
      </c>
      <c r="AZ309">
        <f>IF(EH309&lt;&gt;"",1,0)</f>
        <v/>
      </c>
      <c r="BB309" t="inlineStr">
        <is>
          <t>WARREN-WARD 4</t>
        </is>
      </c>
    </row>
    <row r="310">
      <c r="A310" t="inlineStr">
        <is>
          <t>OH0021297627</t>
        </is>
      </c>
      <c r="B310" t="n">
        <v>78</v>
      </c>
      <c r="C310" t="n">
        <v>378565</v>
      </c>
      <c r="D310" t="inlineStr">
        <is>
          <t>HILTY</t>
        </is>
      </c>
      <c r="E310" t="inlineStr">
        <is>
          <t>REBECCA</t>
        </is>
      </c>
      <c r="F310">
        <f>CONCATENATE(D310," ",LEFT(H310,4),"T=",AU310,"D=",AV310,"R=",AW310,"M=",AX310,"L=",AY310,"B=",AZ310)</f>
        <v/>
      </c>
      <c r="G310" t="inlineStr">
        <is>
          <t>A</t>
        </is>
      </c>
      <c r="I310" t="inlineStr">
        <is>
          <t>1974-12-09</t>
        </is>
      </c>
      <c r="J310" t="inlineStr">
        <is>
          <t>2018-03-20</t>
        </is>
      </c>
      <c r="K310" t="inlineStr">
        <is>
          <t>ACTIVE</t>
        </is>
      </c>
      <c r="M310" t="inlineStr">
        <is>
          <t>443 HOMEWOOD AVE SE</t>
        </is>
      </c>
      <c r="N310">
        <f>RIGHT(M310,LEN(M310)-FIND(" ",M310))</f>
        <v/>
      </c>
      <c r="P310" t="inlineStr">
        <is>
          <t>WARREN</t>
        </is>
      </c>
      <c r="Q310" t="inlineStr">
        <is>
          <t>OH</t>
        </is>
      </c>
      <c r="R310" t="n">
        <v>44483</v>
      </c>
      <c r="AD310" t="inlineStr">
        <is>
          <t>TRUMBULL CAREER &amp; TECH CENTER</t>
        </is>
      </c>
      <c r="AE310" t="inlineStr">
        <is>
          <t>WARREN CITY</t>
        </is>
      </c>
      <c r="AF310" t="inlineStr">
        <is>
          <t>WARREN CITY SD</t>
        </is>
      </c>
      <c r="AH310" t="n">
        <v>14</v>
      </c>
      <c r="AI310" t="n">
        <v>11</v>
      </c>
      <c r="AN310" t="inlineStr">
        <is>
          <t>WARREN</t>
        </is>
      </c>
      <c r="AO310" t="inlineStr">
        <is>
          <t>WARREN CITY 4A</t>
        </is>
      </c>
      <c r="AP310" t="inlineStr">
        <is>
          <t>78-P-ADI</t>
        </is>
      </c>
      <c r="AQ310" t="n">
        <v>9</v>
      </c>
      <c r="AR310" t="n">
        <v>64</v>
      </c>
      <c r="AS310" t="n">
        <v>32</v>
      </c>
      <c r="AU310">
        <f>COUNTA($BA$310:$EH$310)</f>
        <v/>
      </c>
      <c r="AV310">
        <f>COUNTIF($BA$310:$EH$310,"D")</f>
        <v/>
      </c>
      <c r="AW310">
        <f>COUNTIF($BA$310:$EH$310,"R")</f>
        <v/>
      </c>
      <c r="AX310">
        <f>IF(BN310="D",1,0)+IF(BO310="D",1,0)+IF(BT310="D",1,0)+IF(BU310="D",1,0)+IF(BW310="D",1,0)+IF(CC310="D",1,0)+IF(CD310="D",1,0)+IF(CE310="D",1,0)+IF(CF310="D",1,0)+IF(CL310="D",1,0)+IF(CM310="D",1,0)+IF(CQ310="D",1,0)+IF(CR310="D",1,0)+IF(CS310="D",1,0)+IF(CW310="D",1,0)+IF(CX310="D",1,0)+IF(DD310="D",1,0)+IF(DE310="D",1,0)+IF(DJ310="D",1,0)+IF(DK310="D",1,0)+IF(DO310="D",1,0)+IF(DP310="D",1,0)+IF(DQ310="D",1,0)+IF(DW310="D",1,0)+IF(DZ310="D",1,0)+IF(EH310="D",1,0)</f>
        <v/>
      </c>
      <c r="AY310">
        <f>IF(DJ310&lt;&gt;"",1,0)+IF(DK310&lt;&gt;"",1,0)+IF(DM310&lt;&gt;"",1,0)+IF(DO310&lt;&gt;"",1,0)+IF(DP310&lt;&gt;"",1,0)+IF(DQ310&lt;&gt;"",1,0)+IF(DS310&lt;&gt;"",1,0)+IF(DT310&lt;&gt;"",1,0)+IF(DV310&lt;&gt;"",1,0)+IF(DW310&lt;&gt;"",1,0)+IF(DX310&lt;&gt;"",1,0)+IF(DY310&lt;&gt;"",1,0)+IF(DZ310&lt;&gt;"",1,0)+IF(EB310&lt;&gt;"",1,0)+IF(EC310&lt;&gt;"",1,0)+IF(ED310&lt;&gt;"",1,0)+IF(EG310&lt;&gt;"",1,0)+IF(EH310&lt;&gt;"",1,0)</f>
        <v/>
      </c>
      <c r="AZ310">
        <f>IF(EH310&lt;&gt;"",1,0)</f>
        <v/>
      </c>
      <c r="BB310" t="inlineStr">
        <is>
          <t>WARREN-WARD 4</t>
        </is>
      </c>
      <c r="CN310" t="inlineStr">
        <is>
          <t>X</t>
        </is>
      </c>
      <c r="CP310" t="inlineStr">
        <is>
          <t>X</t>
        </is>
      </c>
      <c r="CV310" t="inlineStr">
        <is>
          <t>X</t>
        </is>
      </c>
      <c r="CY310" t="inlineStr">
        <is>
          <t>X</t>
        </is>
      </c>
      <c r="DC310" t="inlineStr">
        <is>
          <t>X</t>
        </is>
      </c>
      <c r="DI310" t="inlineStr">
        <is>
          <t>X</t>
        </is>
      </c>
      <c r="DN310" t="inlineStr">
        <is>
          <t>X</t>
        </is>
      </c>
      <c r="DU310" t="inlineStr">
        <is>
          <t>X</t>
        </is>
      </c>
      <c r="EA310" t="inlineStr">
        <is>
          <t>X</t>
        </is>
      </c>
      <c r="EF310" t="inlineStr">
        <is>
          <t>X</t>
        </is>
      </c>
    </row>
    <row r="311">
      <c r="A311" t="inlineStr">
        <is>
          <t>OH0025650629</t>
        </is>
      </c>
      <c r="B311" t="n">
        <v>78</v>
      </c>
      <c r="C311" t="n">
        <v>447870</v>
      </c>
      <c r="D311" t="inlineStr">
        <is>
          <t>FERRIS</t>
        </is>
      </c>
      <c r="E311" t="inlineStr">
        <is>
          <t>EVELYN</t>
        </is>
      </c>
      <c r="F311">
        <f>CONCATENATE(D311," ",LEFT(H311,4),"T=",AU311,"D=",AV311,"R=",AW311,"M=",AX311,"L=",AY311,"B=",AZ311)</f>
        <v/>
      </c>
      <c r="G311" t="inlineStr">
        <is>
          <t>J</t>
        </is>
      </c>
      <c r="I311" t="inlineStr">
        <is>
          <t>1943-04-13</t>
        </is>
      </c>
      <c r="J311" t="inlineStr">
        <is>
          <t>2020-07-21</t>
        </is>
      </c>
      <c r="K311" t="inlineStr">
        <is>
          <t>ACTIVE</t>
        </is>
      </c>
      <c r="L311" t="inlineStr">
        <is>
          <t>D</t>
        </is>
      </c>
      <c r="M311" t="inlineStr">
        <is>
          <t>517 WOODBINE AVE SE</t>
        </is>
      </c>
      <c r="N311">
        <f>RIGHT(M311,LEN(M311)-FIND(" ",M311))</f>
        <v/>
      </c>
      <c r="P311" t="inlineStr">
        <is>
          <t>WARREN</t>
        </is>
      </c>
      <c r="Q311" t="inlineStr">
        <is>
          <t>OH</t>
        </is>
      </c>
      <c r="R311" t="n">
        <v>44483</v>
      </c>
      <c r="AD311" t="inlineStr">
        <is>
          <t>TRUMBULL CAREER &amp; TECH CENTER</t>
        </is>
      </c>
      <c r="AE311" t="inlineStr">
        <is>
          <t>WARREN CITY</t>
        </is>
      </c>
      <c r="AF311" t="inlineStr">
        <is>
          <t>WARREN CITY SD</t>
        </is>
      </c>
      <c r="AH311" t="n">
        <v>14</v>
      </c>
      <c r="AI311" t="n">
        <v>11</v>
      </c>
      <c r="AN311" t="inlineStr">
        <is>
          <t>WARREN</t>
        </is>
      </c>
      <c r="AO311" t="inlineStr">
        <is>
          <t>WARREN CITY 4A</t>
        </is>
      </c>
      <c r="AP311" t="inlineStr">
        <is>
          <t>78-P-ADI</t>
        </is>
      </c>
      <c r="AQ311" t="n">
        <v>9</v>
      </c>
      <c r="AR311" t="n">
        <v>64</v>
      </c>
      <c r="AS311" t="n">
        <v>32</v>
      </c>
      <c r="AU311">
        <f>COUNTA($BA$311:$EH$311)</f>
        <v/>
      </c>
      <c r="AV311">
        <f>COUNTIF($BA$311:$EH$311,"D")</f>
        <v/>
      </c>
      <c r="AW311">
        <f>COUNTIF($BA$311:$EH$311,"R")</f>
        <v/>
      </c>
      <c r="AX311">
        <f>IF(BN311="D",1,0)+IF(BO311="D",1,0)+IF(BT311="D",1,0)+IF(BU311="D",1,0)+IF(BW311="D",1,0)+IF(CC311="D",1,0)+IF(CD311="D",1,0)+IF(CE311="D",1,0)+IF(CF311="D",1,0)+IF(CL311="D",1,0)+IF(CM311="D",1,0)+IF(CQ311="D",1,0)+IF(CR311="D",1,0)+IF(CS311="D",1,0)+IF(CW311="D",1,0)+IF(CX311="D",1,0)+IF(DD311="D",1,0)+IF(DE311="D",1,0)+IF(DJ311="D",1,0)+IF(DK311="D",1,0)+IF(DO311="D",1,0)+IF(DP311="D",1,0)+IF(DQ311="D",1,0)+IF(DW311="D",1,0)+IF(DZ311="D",1,0)+IF(EH311="D",1,0)</f>
        <v/>
      </c>
      <c r="AY311">
        <f>IF(DJ311&lt;&gt;"",1,0)+IF(DK311&lt;&gt;"",1,0)+IF(DM311&lt;&gt;"",1,0)+IF(DO311&lt;&gt;"",1,0)+IF(DP311&lt;&gt;"",1,0)+IF(DQ311&lt;&gt;"",1,0)+IF(DS311&lt;&gt;"",1,0)+IF(DT311&lt;&gt;"",1,0)+IF(DV311&lt;&gt;"",1,0)+IF(DW311&lt;&gt;"",1,0)+IF(DX311&lt;&gt;"",1,0)+IF(DY311&lt;&gt;"",1,0)+IF(DZ311&lt;&gt;"",1,0)+IF(EB311&lt;&gt;"",1,0)+IF(EC311&lt;&gt;"",1,0)+IF(ED311&lt;&gt;"",1,0)+IF(EG311&lt;&gt;"",1,0)+IF(EH311&lt;&gt;"",1,0)</f>
        <v/>
      </c>
      <c r="AZ311">
        <f>IF(EH311&lt;&gt;"",1,0)</f>
        <v/>
      </c>
      <c r="BB311" t="inlineStr">
        <is>
          <t>WARREN-WARD 4</t>
        </is>
      </c>
      <c r="BC311" t="inlineStr">
        <is>
          <t>X</t>
        </is>
      </c>
      <c r="BD311" t="inlineStr">
        <is>
          <t>X</t>
        </is>
      </c>
      <c r="BE311" t="inlineStr">
        <is>
          <t>X</t>
        </is>
      </c>
      <c r="BG311" t="inlineStr">
        <is>
          <t>X</t>
        </is>
      </c>
      <c r="BH311" t="inlineStr">
        <is>
          <t>X</t>
        </is>
      </c>
      <c r="BI311" t="inlineStr">
        <is>
          <t>X</t>
        </is>
      </c>
      <c r="BJ311" t="inlineStr">
        <is>
          <t>X</t>
        </is>
      </c>
      <c r="BK311" t="inlineStr">
        <is>
          <t>X</t>
        </is>
      </c>
      <c r="BL311" t="inlineStr">
        <is>
          <t>X</t>
        </is>
      </c>
      <c r="BP311" t="inlineStr">
        <is>
          <t>X</t>
        </is>
      </c>
      <c r="BR311" t="inlineStr">
        <is>
          <t>X</t>
        </is>
      </c>
      <c r="BS311" t="inlineStr">
        <is>
          <t>X</t>
        </is>
      </c>
      <c r="BT311" t="inlineStr">
        <is>
          <t>X</t>
        </is>
      </c>
      <c r="BV311" t="inlineStr">
        <is>
          <t>X</t>
        </is>
      </c>
      <c r="BY311" t="inlineStr">
        <is>
          <t>D</t>
        </is>
      </c>
      <c r="CA311" t="inlineStr">
        <is>
          <t>X</t>
        </is>
      </c>
      <c r="DN311" t="inlineStr">
        <is>
          <t>X</t>
        </is>
      </c>
      <c r="DR311" t="inlineStr">
        <is>
          <t>X</t>
        </is>
      </c>
      <c r="DS311" t="inlineStr">
        <is>
          <t>D</t>
        </is>
      </c>
      <c r="DT311" t="inlineStr">
        <is>
          <t>D</t>
        </is>
      </c>
      <c r="DU311" t="inlineStr">
        <is>
          <t>X</t>
        </is>
      </c>
      <c r="DW311" t="inlineStr">
        <is>
          <t>D</t>
        </is>
      </c>
      <c r="DX311" t="inlineStr">
        <is>
          <t>X</t>
        </is>
      </c>
      <c r="EA311" t="inlineStr">
        <is>
          <t>X</t>
        </is>
      </c>
      <c r="ED311" t="inlineStr">
        <is>
          <t>D</t>
        </is>
      </c>
      <c r="EF311" t="inlineStr">
        <is>
          <t>X</t>
        </is>
      </c>
      <c r="EH311" t="inlineStr">
        <is>
          <t>D</t>
        </is>
      </c>
    </row>
    <row r="312">
      <c r="A312" t="inlineStr">
        <is>
          <t>OH0027496962</t>
        </is>
      </c>
      <c r="B312" t="n">
        <v>78</v>
      </c>
      <c r="C312" t="n">
        <v>487102</v>
      </c>
      <c r="D312" t="inlineStr">
        <is>
          <t>BLOSE</t>
        </is>
      </c>
      <c r="E312" t="inlineStr">
        <is>
          <t>AMBER</t>
        </is>
      </c>
      <c r="F312">
        <f>CONCATENATE(D312," ",LEFT(H312,4),"T=",AU312,"D=",AV312,"R=",AW312,"M=",AX312,"L=",AY312,"B=",AZ312)</f>
        <v/>
      </c>
      <c r="G312" t="inlineStr">
        <is>
          <t>J</t>
        </is>
      </c>
      <c r="I312" t="inlineStr">
        <is>
          <t>1992-01-30</t>
        </is>
      </c>
      <c r="J312" t="inlineStr">
        <is>
          <t>2024-08-07</t>
        </is>
      </c>
      <c r="K312" t="inlineStr">
        <is>
          <t>ACTIVE</t>
        </is>
      </c>
      <c r="M312" t="inlineStr">
        <is>
          <t>390 HOMEWOOD AVE SE</t>
        </is>
      </c>
      <c r="N312">
        <f>RIGHT(M312,LEN(M312)-FIND(" ",M312))</f>
        <v/>
      </c>
      <c r="P312" t="inlineStr">
        <is>
          <t>WARREN</t>
        </is>
      </c>
      <c r="Q312" t="inlineStr">
        <is>
          <t>OH</t>
        </is>
      </c>
      <c r="R312" t="n">
        <v>44483</v>
      </c>
      <c r="AD312" t="inlineStr">
        <is>
          <t>TRUMBULL CAREER &amp; TECH CENTER</t>
        </is>
      </c>
      <c r="AE312" t="inlineStr">
        <is>
          <t>WARREN CITY</t>
        </is>
      </c>
      <c r="AF312" t="inlineStr">
        <is>
          <t>WARREN CITY SD</t>
        </is>
      </c>
      <c r="AH312" t="n">
        <v>14</v>
      </c>
      <c r="AI312" t="n">
        <v>11</v>
      </c>
      <c r="AN312" t="inlineStr">
        <is>
          <t>WARREN</t>
        </is>
      </c>
      <c r="AO312" t="inlineStr">
        <is>
          <t>WARREN CITY 4A</t>
        </is>
      </c>
      <c r="AP312" t="inlineStr">
        <is>
          <t>78-P-ADI</t>
        </is>
      </c>
      <c r="AQ312" t="n">
        <v>9</v>
      </c>
      <c r="AR312" t="n">
        <v>64</v>
      </c>
      <c r="AS312" t="n">
        <v>32</v>
      </c>
      <c r="AU312">
        <f>COUNTA($BA$312:$EH$312)</f>
        <v/>
      </c>
      <c r="AV312">
        <f>COUNTIF($BA$312:$EH$312,"D")</f>
        <v/>
      </c>
      <c r="AW312">
        <f>COUNTIF($BA$312:$EH$312,"R")</f>
        <v/>
      </c>
      <c r="AX312">
        <f>IF(BN312="D",1,0)+IF(BO312="D",1,0)+IF(BT312="D",1,0)+IF(BU312="D",1,0)+IF(BW312="D",1,0)+IF(CC312="D",1,0)+IF(CD312="D",1,0)+IF(CE312="D",1,0)+IF(CF312="D",1,0)+IF(CL312="D",1,0)+IF(CM312="D",1,0)+IF(CQ312="D",1,0)+IF(CR312="D",1,0)+IF(CS312="D",1,0)+IF(CW312="D",1,0)+IF(CX312="D",1,0)+IF(DD312="D",1,0)+IF(DE312="D",1,0)+IF(DJ312="D",1,0)+IF(DK312="D",1,0)+IF(DO312="D",1,0)+IF(DP312="D",1,0)+IF(DQ312="D",1,0)+IF(DW312="D",1,0)+IF(DZ312="D",1,0)+IF(EH312="D",1,0)</f>
        <v/>
      </c>
      <c r="AY312">
        <f>IF(DJ312&lt;&gt;"",1,0)+IF(DK312&lt;&gt;"",1,0)+IF(DM312&lt;&gt;"",1,0)+IF(DO312&lt;&gt;"",1,0)+IF(DP312&lt;&gt;"",1,0)+IF(DQ312&lt;&gt;"",1,0)+IF(DS312&lt;&gt;"",1,0)+IF(DT312&lt;&gt;"",1,0)+IF(DV312&lt;&gt;"",1,0)+IF(DW312&lt;&gt;"",1,0)+IF(DX312&lt;&gt;"",1,0)+IF(DY312&lt;&gt;"",1,0)+IF(DZ312&lt;&gt;"",1,0)+IF(EB312&lt;&gt;"",1,0)+IF(EC312&lt;&gt;"",1,0)+IF(ED312&lt;&gt;"",1,0)+IF(EG312&lt;&gt;"",1,0)+IF(EH312&lt;&gt;"",1,0)</f>
        <v/>
      </c>
      <c r="AZ312">
        <f>IF(EH312&lt;&gt;"",1,0)</f>
        <v/>
      </c>
      <c r="BB312" t="inlineStr">
        <is>
          <t>WARREN-WARD 4</t>
        </is>
      </c>
    </row>
    <row r="313">
      <c r="A313" t="inlineStr">
        <is>
          <t>OH0023486810</t>
        </is>
      </c>
      <c r="B313" t="n">
        <v>78</v>
      </c>
      <c r="C313" t="n">
        <v>413426</v>
      </c>
      <c r="D313" t="inlineStr">
        <is>
          <t>KRASKE</t>
        </is>
      </c>
      <c r="E313" t="inlineStr">
        <is>
          <t>JEFFRY</t>
        </is>
      </c>
      <c r="F313">
        <f>CONCATENATE(D313," ",LEFT(H313,4),"T=",AU313,"D=",AV313,"R=",AW313,"M=",AX313,"L=",AY313,"B=",AZ313)</f>
        <v/>
      </c>
      <c r="G313" t="inlineStr">
        <is>
          <t>ALLEN</t>
        </is>
      </c>
      <c r="I313" t="inlineStr">
        <is>
          <t>1972-05-07</t>
        </is>
      </c>
      <c r="J313" t="inlineStr">
        <is>
          <t>2016-01-15</t>
        </is>
      </c>
      <c r="K313" t="inlineStr">
        <is>
          <t>CONFIRMATION</t>
        </is>
      </c>
      <c r="M313" t="inlineStr">
        <is>
          <t>1234 BELLE ST SE</t>
        </is>
      </c>
      <c r="N313">
        <f>RIGHT(M313,LEN(M313)-FIND(" ",M313))</f>
        <v/>
      </c>
      <c r="P313" t="inlineStr">
        <is>
          <t>WARREN</t>
        </is>
      </c>
      <c r="Q313" t="inlineStr">
        <is>
          <t>OH</t>
        </is>
      </c>
      <c r="R313" t="n">
        <v>44484</v>
      </c>
      <c r="AD313" t="inlineStr">
        <is>
          <t>TRUMBULL CAREER &amp; TECH CENTER</t>
        </is>
      </c>
      <c r="AE313" t="inlineStr">
        <is>
          <t>WARREN CITY</t>
        </is>
      </c>
      <c r="AF313" t="inlineStr">
        <is>
          <t>WARREN CITY SD</t>
        </is>
      </c>
      <c r="AH313" t="n">
        <v>14</v>
      </c>
      <c r="AI313" t="n">
        <v>11</v>
      </c>
      <c r="AN313" t="inlineStr">
        <is>
          <t>WARREN</t>
        </is>
      </c>
      <c r="AO313" t="inlineStr">
        <is>
          <t>WARREN CITY 4A</t>
        </is>
      </c>
      <c r="AP313" t="inlineStr">
        <is>
          <t>78-P-ADI</t>
        </is>
      </c>
      <c r="AQ313" t="n">
        <v>9</v>
      </c>
      <c r="AR313" t="n">
        <v>64</v>
      </c>
      <c r="AS313" t="n">
        <v>32</v>
      </c>
      <c r="AU313">
        <f>COUNTA($BA$313:$EH$313)</f>
        <v/>
      </c>
      <c r="AV313">
        <f>COUNTIF($BA$313:$EH$313,"D")</f>
        <v/>
      </c>
      <c r="AW313">
        <f>COUNTIF($BA$313:$EH$313,"R")</f>
        <v/>
      </c>
      <c r="AX313">
        <f>IF(BN313="D",1,0)+IF(BO313="D",1,0)+IF(BT313="D",1,0)+IF(BU313="D",1,0)+IF(BW313="D",1,0)+IF(CC313="D",1,0)+IF(CD313="D",1,0)+IF(CE313="D",1,0)+IF(CF313="D",1,0)+IF(CL313="D",1,0)+IF(CM313="D",1,0)+IF(CQ313="D",1,0)+IF(CR313="D",1,0)+IF(CS313="D",1,0)+IF(CW313="D",1,0)+IF(CX313="D",1,0)+IF(DD313="D",1,0)+IF(DE313="D",1,0)+IF(DJ313="D",1,0)+IF(DK313="D",1,0)+IF(DO313="D",1,0)+IF(DP313="D",1,0)+IF(DQ313="D",1,0)+IF(DW313="D",1,0)+IF(DZ313="D",1,0)+IF(EH313="D",1,0)</f>
        <v/>
      </c>
      <c r="AY313">
        <f>IF(DJ313&lt;&gt;"",1,0)+IF(DK313&lt;&gt;"",1,0)+IF(DM313&lt;&gt;"",1,0)+IF(DO313&lt;&gt;"",1,0)+IF(DP313&lt;&gt;"",1,0)+IF(DQ313&lt;&gt;"",1,0)+IF(DS313&lt;&gt;"",1,0)+IF(DT313&lt;&gt;"",1,0)+IF(DV313&lt;&gt;"",1,0)+IF(DW313&lt;&gt;"",1,0)+IF(DX313&lt;&gt;"",1,0)+IF(DY313&lt;&gt;"",1,0)+IF(DZ313&lt;&gt;"",1,0)+IF(EB313&lt;&gt;"",1,0)+IF(EC313&lt;&gt;"",1,0)+IF(ED313&lt;&gt;"",1,0)+IF(EG313&lt;&gt;"",1,0)+IF(EH313&lt;&gt;"",1,0)</f>
        <v/>
      </c>
      <c r="AZ313">
        <f>IF(EH313&lt;&gt;"",1,0)</f>
        <v/>
      </c>
      <c r="BB313" t="inlineStr">
        <is>
          <t>WARREN-WARD 4</t>
        </is>
      </c>
      <c r="DC313" t="inlineStr">
        <is>
          <t>X</t>
        </is>
      </c>
    </row>
    <row r="314">
      <c r="A314" t="inlineStr">
        <is>
          <t>OH0023342601</t>
        </is>
      </c>
      <c r="B314" t="n">
        <v>78</v>
      </c>
      <c r="C314" t="n">
        <v>410919</v>
      </c>
      <c r="D314" t="inlineStr">
        <is>
          <t>MURPHY</t>
        </is>
      </c>
      <c r="E314" t="inlineStr">
        <is>
          <t>NICOLE</t>
        </is>
      </c>
      <c r="F314">
        <f>CONCATENATE(D314," ",LEFT(H314,4),"T=",AU314,"D=",AV314,"R=",AW314,"M=",AX314,"L=",AY314,"B=",AZ314)</f>
        <v/>
      </c>
      <c r="G314" t="inlineStr">
        <is>
          <t>M</t>
        </is>
      </c>
      <c r="I314" t="inlineStr">
        <is>
          <t>1980-03-01</t>
        </is>
      </c>
      <c r="J314" t="inlineStr">
        <is>
          <t>2024-08-09</t>
        </is>
      </c>
      <c r="K314" t="inlineStr">
        <is>
          <t>ACTIVE</t>
        </is>
      </c>
      <c r="M314" t="inlineStr">
        <is>
          <t>773 KENILWORTH AVE SE</t>
        </is>
      </c>
      <c r="N314">
        <f>RIGHT(M314,LEN(M314)-FIND(" ",M314))</f>
        <v/>
      </c>
      <c r="P314" t="inlineStr">
        <is>
          <t>WARREN</t>
        </is>
      </c>
      <c r="Q314" t="inlineStr">
        <is>
          <t>OH</t>
        </is>
      </c>
      <c r="R314" t="n">
        <v>44484</v>
      </c>
      <c r="AD314" t="inlineStr">
        <is>
          <t>TRUMBULL CAREER &amp; TECH CENTER</t>
        </is>
      </c>
      <c r="AE314" t="inlineStr">
        <is>
          <t>WARREN CITY</t>
        </is>
      </c>
      <c r="AF314" t="inlineStr">
        <is>
          <t>WARREN CITY SD</t>
        </is>
      </c>
      <c r="AH314" t="n">
        <v>14</v>
      </c>
      <c r="AI314" t="n">
        <v>11</v>
      </c>
      <c r="AN314" t="inlineStr">
        <is>
          <t>WARREN</t>
        </is>
      </c>
      <c r="AO314" t="inlineStr">
        <is>
          <t>WARREN CITY 4A</t>
        </is>
      </c>
      <c r="AP314" t="inlineStr">
        <is>
          <t>78-P-ADI</t>
        </is>
      </c>
      <c r="AQ314" t="n">
        <v>9</v>
      </c>
      <c r="AR314" t="n">
        <v>64</v>
      </c>
      <c r="AS314" t="n">
        <v>32</v>
      </c>
      <c r="AU314">
        <f>COUNTA($BA$314:$EH$314)</f>
        <v/>
      </c>
      <c r="AV314">
        <f>COUNTIF($BA$314:$EH$314,"D")</f>
        <v/>
      </c>
      <c r="AW314">
        <f>COUNTIF($BA$314:$EH$314,"R")</f>
        <v/>
      </c>
      <c r="AX314">
        <f>IF(BN314="D",1,0)+IF(BO314="D",1,0)+IF(BT314="D",1,0)+IF(BU314="D",1,0)+IF(BW314="D",1,0)+IF(CC314="D",1,0)+IF(CD314="D",1,0)+IF(CE314="D",1,0)+IF(CF314="D",1,0)+IF(CL314="D",1,0)+IF(CM314="D",1,0)+IF(CQ314="D",1,0)+IF(CR314="D",1,0)+IF(CS314="D",1,0)+IF(CW314="D",1,0)+IF(CX314="D",1,0)+IF(DD314="D",1,0)+IF(DE314="D",1,0)+IF(DJ314="D",1,0)+IF(DK314="D",1,0)+IF(DO314="D",1,0)+IF(DP314="D",1,0)+IF(DQ314="D",1,0)+IF(DW314="D",1,0)+IF(DZ314="D",1,0)+IF(EH314="D",1,0)</f>
        <v/>
      </c>
      <c r="AY314">
        <f>IF(DJ314&lt;&gt;"",1,0)+IF(DK314&lt;&gt;"",1,0)+IF(DM314&lt;&gt;"",1,0)+IF(DO314&lt;&gt;"",1,0)+IF(DP314&lt;&gt;"",1,0)+IF(DQ314&lt;&gt;"",1,0)+IF(DS314&lt;&gt;"",1,0)+IF(DT314&lt;&gt;"",1,0)+IF(DV314&lt;&gt;"",1,0)+IF(DW314&lt;&gt;"",1,0)+IF(DX314&lt;&gt;"",1,0)+IF(DY314&lt;&gt;"",1,0)+IF(DZ314&lt;&gt;"",1,0)+IF(EB314&lt;&gt;"",1,0)+IF(EC314&lt;&gt;"",1,0)+IF(ED314&lt;&gt;"",1,0)+IF(EG314&lt;&gt;"",1,0)+IF(EH314&lt;&gt;"",1,0)</f>
        <v/>
      </c>
      <c r="AZ314">
        <f>IF(EH314&lt;&gt;"",1,0)</f>
        <v/>
      </c>
      <c r="BB314" t="inlineStr">
        <is>
          <t>WARREN-WARD 4</t>
        </is>
      </c>
    </row>
    <row r="315">
      <c r="A315" t="inlineStr">
        <is>
          <t>OH0019521282</t>
        </is>
      </c>
      <c r="B315" t="n">
        <v>78</v>
      </c>
      <c r="C315" t="n">
        <v>354841</v>
      </c>
      <c r="D315" t="inlineStr">
        <is>
          <t>REEVES</t>
        </is>
      </c>
      <c r="E315" t="inlineStr">
        <is>
          <t>ANGELA</t>
        </is>
      </c>
      <c r="F315">
        <f>CONCATENATE(D315," ",LEFT(H315,4),"T=",AU315,"D=",AV315,"R=",AW315,"M=",AX315,"L=",AY315,"B=",AZ315)</f>
        <v/>
      </c>
      <c r="G315" t="inlineStr">
        <is>
          <t>DAWN</t>
        </is>
      </c>
      <c r="I315" t="inlineStr">
        <is>
          <t>1979-12-24</t>
        </is>
      </c>
      <c r="J315" t="inlineStr">
        <is>
          <t>2023-07-18</t>
        </is>
      </c>
      <c r="K315" t="inlineStr">
        <is>
          <t>ACTIVE</t>
        </is>
      </c>
      <c r="M315" t="inlineStr">
        <is>
          <t>318 KENILWORTH AVE SE</t>
        </is>
      </c>
      <c r="N315">
        <f>RIGHT(M315,LEN(M315)-FIND(" ",M315))</f>
        <v/>
      </c>
      <c r="P315" t="inlineStr">
        <is>
          <t>WARREN</t>
        </is>
      </c>
      <c r="Q315" t="inlineStr">
        <is>
          <t>OH</t>
        </is>
      </c>
      <c r="R315" t="n">
        <v>44483</v>
      </c>
      <c r="AD315" t="inlineStr">
        <is>
          <t>TRUMBULL CAREER &amp; TECH CENTER</t>
        </is>
      </c>
      <c r="AE315" t="inlineStr">
        <is>
          <t>WARREN CITY</t>
        </is>
      </c>
      <c r="AF315" t="inlineStr">
        <is>
          <t>WARREN CITY SD</t>
        </is>
      </c>
      <c r="AH315" t="n">
        <v>14</v>
      </c>
      <c r="AI315" t="n">
        <v>11</v>
      </c>
      <c r="AN315" t="inlineStr">
        <is>
          <t>WARREN</t>
        </is>
      </c>
      <c r="AO315" t="inlineStr">
        <is>
          <t>WARREN CITY 4A</t>
        </is>
      </c>
      <c r="AP315" t="inlineStr">
        <is>
          <t>78-P-ADI</t>
        </is>
      </c>
      <c r="AQ315" t="n">
        <v>9</v>
      </c>
      <c r="AR315" t="n">
        <v>64</v>
      </c>
      <c r="AS315" t="n">
        <v>32</v>
      </c>
      <c r="AU315">
        <f>COUNTA($BA$315:$EH$315)</f>
        <v/>
      </c>
      <c r="AV315">
        <f>COUNTIF($BA$315:$EH$315,"D")</f>
        <v/>
      </c>
      <c r="AW315">
        <f>COUNTIF($BA$315:$EH$315,"R")</f>
        <v/>
      </c>
      <c r="AX315">
        <f>IF(BN315="D",1,0)+IF(BO315="D",1,0)+IF(BT315="D",1,0)+IF(BU315="D",1,0)+IF(BW315="D",1,0)+IF(CC315="D",1,0)+IF(CD315="D",1,0)+IF(CE315="D",1,0)+IF(CF315="D",1,0)+IF(CL315="D",1,0)+IF(CM315="D",1,0)+IF(CQ315="D",1,0)+IF(CR315="D",1,0)+IF(CS315="D",1,0)+IF(CW315="D",1,0)+IF(CX315="D",1,0)+IF(DD315="D",1,0)+IF(DE315="D",1,0)+IF(DJ315="D",1,0)+IF(DK315="D",1,0)+IF(DO315="D",1,0)+IF(DP315="D",1,0)+IF(DQ315="D",1,0)+IF(DW315="D",1,0)+IF(DZ315="D",1,0)+IF(EH315="D",1,0)</f>
        <v/>
      </c>
      <c r="AY315">
        <f>IF(DJ315&lt;&gt;"",1,0)+IF(DK315&lt;&gt;"",1,0)+IF(DM315&lt;&gt;"",1,0)+IF(DO315&lt;&gt;"",1,0)+IF(DP315&lt;&gt;"",1,0)+IF(DQ315&lt;&gt;"",1,0)+IF(DS315&lt;&gt;"",1,0)+IF(DT315&lt;&gt;"",1,0)+IF(DV315&lt;&gt;"",1,0)+IF(DW315&lt;&gt;"",1,0)+IF(DX315&lt;&gt;"",1,0)+IF(DY315&lt;&gt;"",1,0)+IF(DZ315&lt;&gt;"",1,0)+IF(EB315&lt;&gt;"",1,0)+IF(EC315&lt;&gt;"",1,0)+IF(ED315&lt;&gt;"",1,0)+IF(EG315&lt;&gt;"",1,0)+IF(EH315&lt;&gt;"",1,0)</f>
        <v/>
      </c>
      <c r="AZ315">
        <f>IF(EH315&lt;&gt;"",1,0)</f>
        <v/>
      </c>
      <c r="BB315" t="inlineStr">
        <is>
          <t>WARREN-WARD 4</t>
        </is>
      </c>
      <c r="BY315" t="inlineStr">
        <is>
          <t>D</t>
        </is>
      </c>
      <c r="CA315" t="inlineStr">
        <is>
          <t>X</t>
        </is>
      </c>
      <c r="CP315" t="inlineStr">
        <is>
          <t>X</t>
        </is>
      </c>
      <c r="CY315" t="inlineStr">
        <is>
          <t>X</t>
        </is>
      </c>
      <c r="DC315" t="inlineStr">
        <is>
          <t>X</t>
        </is>
      </c>
      <c r="DI315" t="inlineStr">
        <is>
          <t>X</t>
        </is>
      </c>
      <c r="DM315" t="inlineStr">
        <is>
          <t>D</t>
        </is>
      </c>
      <c r="DN315" t="inlineStr">
        <is>
          <t>X</t>
        </is>
      </c>
      <c r="EA315" t="inlineStr">
        <is>
          <t>X</t>
        </is>
      </c>
      <c r="EF315" t="inlineStr">
        <is>
          <t>X</t>
        </is>
      </c>
    </row>
    <row r="316">
      <c r="A316" t="inlineStr">
        <is>
          <t>OH0027543808</t>
        </is>
      </c>
      <c r="B316" t="n">
        <v>78</v>
      </c>
      <c r="C316" t="n">
        <v>488202</v>
      </c>
      <c r="D316" t="inlineStr">
        <is>
          <t>MOATS</t>
        </is>
      </c>
      <c r="E316" t="inlineStr">
        <is>
          <t>ASHLEY</t>
        </is>
      </c>
      <c r="F316">
        <f>CONCATENATE(D316," ",LEFT(H316,4),"T=",AU316,"D=",AV316,"R=",AW316,"M=",AX316,"L=",AY316,"B=",AZ316)</f>
        <v/>
      </c>
      <c r="G316" t="inlineStr">
        <is>
          <t>T</t>
        </is>
      </c>
      <c r="I316" t="inlineStr">
        <is>
          <t>1998-05-06</t>
        </is>
      </c>
      <c r="J316" t="inlineStr">
        <is>
          <t>2024-08-23</t>
        </is>
      </c>
      <c r="K316" t="inlineStr">
        <is>
          <t>ACTIVE</t>
        </is>
      </c>
      <c r="M316" t="inlineStr">
        <is>
          <t>1335 BELLE ST SE</t>
        </is>
      </c>
      <c r="N316">
        <f>RIGHT(M316,LEN(M316)-FIND(" ",M316))</f>
        <v/>
      </c>
      <c r="O316" t="inlineStr">
        <is>
          <t>APT 1</t>
        </is>
      </c>
      <c r="P316" t="inlineStr">
        <is>
          <t>WARREN</t>
        </is>
      </c>
      <c r="Q316" t="inlineStr">
        <is>
          <t>OH</t>
        </is>
      </c>
      <c r="R316" t="n">
        <v>44484</v>
      </c>
      <c r="AD316" t="inlineStr">
        <is>
          <t>TRUMBULL CAREER &amp; TECH CENTER</t>
        </is>
      </c>
      <c r="AE316" t="inlineStr">
        <is>
          <t>WARREN CITY</t>
        </is>
      </c>
      <c r="AF316" t="inlineStr">
        <is>
          <t>WARREN CITY SD</t>
        </is>
      </c>
      <c r="AH316" t="n">
        <v>14</v>
      </c>
      <c r="AI316" t="n">
        <v>11</v>
      </c>
      <c r="AN316" t="inlineStr">
        <is>
          <t>WARREN</t>
        </is>
      </c>
      <c r="AO316" t="inlineStr">
        <is>
          <t>WARREN CITY 4A</t>
        </is>
      </c>
      <c r="AP316" t="inlineStr">
        <is>
          <t>78-P-ADI</t>
        </is>
      </c>
      <c r="AQ316" t="n">
        <v>9</v>
      </c>
      <c r="AR316" t="n">
        <v>64</v>
      </c>
      <c r="AS316" t="n">
        <v>32</v>
      </c>
      <c r="AU316">
        <f>COUNTA($BA$316:$EH$316)</f>
        <v/>
      </c>
      <c r="AV316">
        <f>COUNTIF($BA$316:$EH$316,"D")</f>
        <v/>
      </c>
      <c r="AW316">
        <f>COUNTIF($BA$316:$EH$316,"R")</f>
        <v/>
      </c>
      <c r="AX316">
        <f>IF(BN316="D",1,0)+IF(BO316="D",1,0)+IF(BT316="D",1,0)+IF(BU316="D",1,0)+IF(BW316="D",1,0)+IF(CC316="D",1,0)+IF(CD316="D",1,0)+IF(CE316="D",1,0)+IF(CF316="D",1,0)+IF(CL316="D",1,0)+IF(CM316="D",1,0)+IF(CQ316="D",1,0)+IF(CR316="D",1,0)+IF(CS316="D",1,0)+IF(CW316="D",1,0)+IF(CX316="D",1,0)+IF(DD316="D",1,0)+IF(DE316="D",1,0)+IF(DJ316="D",1,0)+IF(DK316="D",1,0)+IF(DO316="D",1,0)+IF(DP316="D",1,0)+IF(DQ316="D",1,0)+IF(DW316="D",1,0)+IF(DZ316="D",1,0)+IF(EH316="D",1,0)</f>
        <v/>
      </c>
      <c r="AY316">
        <f>IF(DJ316&lt;&gt;"",1,0)+IF(DK316&lt;&gt;"",1,0)+IF(DM316&lt;&gt;"",1,0)+IF(DO316&lt;&gt;"",1,0)+IF(DP316&lt;&gt;"",1,0)+IF(DQ316&lt;&gt;"",1,0)+IF(DS316&lt;&gt;"",1,0)+IF(DT316&lt;&gt;"",1,0)+IF(DV316&lt;&gt;"",1,0)+IF(DW316&lt;&gt;"",1,0)+IF(DX316&lt;&gt;"",1,0)+IF(DY316&lt;&gt;"",1,0)+IF(DZ316&lt;&gt;"",1,0)+IF(EB316&lt;&gt;"",1,0)+IF(EC316&lt;&gt;"",1,0)+IF(ED316&lt;&gt;"",1,0)+IF(EG316&lt;&gt;"",1,0)+IF(EH316&lt;&gt;"",1,0)</f>
        <v/>
      </c>
      <c r="AZ316">
        <f>IF(EH316&lt;&gt;"",1,0)</f>
        <v/>
      </c>
      <c r="BB316" t="inlineStr">
        <is>
          <t>WARREN-WARD 4</t>
        </is>
      </c>
      <c r="EF316" t="inlineStr">
        <is>
          <t>X</t>
        </is>
      </c>
    </row>
    <row r="317">
      <c r="A317" t="inlineStr">
        <is>
          <t>OH0024522720</t>
        </is>
      </c>
      <c r="B317" t="n">
        <v>78</v>
      </c>
      <c r="C317" t="n">
        <v>429778</v>
      </c>
      <c r="D317" t="inlineStr">
        <is>
          <t>MERRICK</t>
        </is>
      </c>
      <c r="E317" t="inlineStr">
        <is>
          <t>CASSANDRA</t>
        </is>
      </c>
      <c r="F317">
        <f>CONCATENATE(D317," ",LEFT(H317,4),"T=",AU317,"D=",AV317,"R=",AW317,"M=",AX317,"L=",AY317,"B=",AZ317)</f>
        <v/>
      </c>
      <c r="G317" t="inlineStr">
        <is>
          <t>LYNN</t>
        </is>
      </c>
      <c r="I317" t="inlineStr">
        <is>
          <t>1972-08-07</t>
        </is>
      </c>
      <c r="J317" t="inlineStr">
        <is>
          <t>2018-03-01</t>
        </is>
      </c>
      <c r="K317" t="inlineStr">
        <is>
          <t>ACTIVE</t>
        </is>
      </c>
      <c r="M317" t="inlineStr">
        <is>
          <t>578 OAK KNOLL AVE SE</t>
        </is>
      </c>
      <c r="N317">
        <f>RIGHT(M317,LEN(M317)-FIND(" ",M317))</f>
        <v/>
      </c>
      <c r="P317" t="inlineStr">
        <is>
          <t>WARREN</t>
        </is>
      </c>
      <c r="Q317" t="inlineStr">
        <is>
          <t>OH</t>
        </is>
      </c>
      <c r="R317" t="n">
        <v>44483</v>
      </c>
      <c r="AD317" t="inlineStr">
        <is>
          <t>TRUMBULL CAREER &amp; TECH CENTER</t>
        </is>
      </c>
      <c r="AE317" t="inlineStr">
        <is>
          <t>WARREN CITY</t>
        </is>
      </c>
      <c r="AF317" t="inlineStr">
        <is>
          <t>WARREN CITY SD</t>
        </is>
      </c>
      <c r="AH317" t="n">
        <v>14</v>
      </c>
      <c r="AI317" t="n">
        <v>11</v>
      </c>
      <c r="AN317" t="inlineStr">
        <is>
          <t>WARREN</t>
        </is>
      </c>
      <c r="AO317" t="inlineStr">
        <is>
          <t>WARREN CITY 4A</t>
        </is>
      </c>
      <c r="AP317" t="inlineStr">
        <is>
          <t>78-P-ADI</t>
        </is>
      </c>
      <c r="AQ317" t="n">
        <v>9</v>
      </c>
      <c r="AR317" t="n">
        <v>64</v>
      </c>
      <c r="AS317" t="n">
        <v>32</v>
      </c>
      <c r="AU317">
        <f>COUNTA($BA$317:$EH$317)</f>
        <v/>
      </c>
      <c r="AV317">
        <f>COUNTIF($BA$317:$EH$317,"D")</f>
        <v/>
      </c>
      <c r="AW317">
        <f>COUNTIF($BA$317:$EH$317,"R")</f>
        <v/>
      </c>
      <c r="AX317">
        <f>IF(BN317="D",1,0)+IF(BO317="D",1,0)+IF(BT317="D",1,0)+IF(BU317="D",1,0)+IF(BW317="D",1,0)+IF(CC317="D",1,0)+IF(CD317="D",1,0)+IF(CE317="D",1,0)+IF(CF317="D",1,0)+IF(CL317="D",1,0)+IF(CM317="D",1,0)+IF(CQ317="D",1,0)+IF(CR317="D",1,0)+IF(CS317="D",1,0)+IF(CW317="D",1,0)+IF(CX317="D",1,0)+IF(DD317="D",1,0)+IF(DE317="D",1,0)+IF(DJ317="D",1,0)+IF(DK317="D",1,0)+IF(DO317="D",1,0)+IF(DP317="D",1,0)+IF(DQ317="D",1,0)+IF(DW317="D",1,0)+IF(DZ317="D",1,0)+IF(EH317="D",1,0)</f>
        <v/>
      </c>
      <c r="AY317">
        <f>IF(DJ317&lt;&gt;"",1,0)+IF(DK317&lt;&gt;"",1,0)+IF(DM317&lt;&gt;"",1,0)+IF(DO317&lt;&gt;"",1,0)+IF(DP317&lt;&gt;"",1,0)+IF(DQ317&lt;&gt;"",1,0)+IF(DS317&lt;&gt;"",1,0)+IF(DT317&lt;&gt;"",1,0)+IF(DV317&lt;&gt;"",1,0)+IF(DW317&lt;&gt;"",1,0)+IF(DX317&lt;&gt;"",1,0)+IF(DY317&lt;&gt;"",1,0)+IF(DZ317&lt;&gt;"",1,0)+IF(EB317&lt;&gt;"",1,0)+IF(EC317&lt;&gt;"",1,0)+IF(ED317&lt;&gt;"",1,0)+IF(EG317&lt;&gt;"",1,0)+IF(EH317&lt;&gt;"",1,0)</f>
        <v/>
      </c>
      <c r="AZ317">
        <f>IF(EH317&lt;&gt;"",1,0)</f>
        <v/>
      </c>
      <c r="BB317" t="inlineStr">
        <is>
          <t>WARREN-WARD 4</t>
        </is>
      </c>
      <c r="BD317" t="inlineStr">
        <is>
          <t>X</t>
        </is>
      </c>
      <c r="BF317" t="inlineStr">
        <is>
          <t>X</t>
        </is>
      </c>
      <c r="BL317" t="inlineStr">
        <is>
          <t>X</t>
        </is>
      </c>
      <c r="BP317" t="inlineStr">
        <is>
          <t>X</t>
        </is>
      </c>
      <c r="BY317" t="inlineStr">
        <is>
          <t>D</t>
        </is>
      </c>
      <c r="CA317" t="inlineStr">
        <is>
          <t>X</t>
        </is>
      </c>
      <c r="CG317" t="inlineStr">
        <is>
          <t>X</t>
        </is>
      </c>
      <c r="CK317" t="inlineStr">
        <is>
          <t>X</t>
        </is>
      </c>
      <c r="CP317" t="inlineStr">
        <is>
          <t>X</t>
        </is>
      </c>
      <c r="DN317" t="inlineStr">
        <is>
          <t>X</t>
        </is>
      </c>
    </row>
    <row r="318">
      <c r="A318" t="inlineStr">
        <is>
          <t>OH0015697642</t>
        </is>
      </c>
      <c r="B318" t="n">
        <v>78</v>
      </c>
      <c r="C318" t="n">
        <v>306555</v>
      </c>
      <c r="D318" t="inlineStr">
        <is>
          <t>BHAIH</t>
        </is>
      </c>
      <c r="E318" t="inlineStr">
        <is>
          <t>LISA</t>
        </is>
      </c>
      <c r="F318">
        <f>CONCATENATE(D318," ",LEFT(H318,4),"T=",AU318,"D=",AV318,"R=",AW318,"M=",AX318,"L=",AY318,"B=",AZ318)</f>
        <v/>
      </c>
      <c r="G318" t="inlineStr">
        <is>
          <t>A</t>
        </is>
      </c>
      <c r="I318" t="inlineStr">
        <is>
          <t>1966-06-21</t>
        </is>
      </c>
      <c r="J318" t="inlineStr">
        <is>
          <t>2016-03-16</t>
        </is>
      </c>
      <c r="K318" t="inlineStr">
        <is>
          <t>CONFIRMATION</t>
        </is>
      </c>
      <c r="M318" t="inlineStr">
        <is>
          <t>125 CHARLES AVE SE</t>
        </is>
      </c>
      <c r="N318">
        <f>RIGHT(M318,LEN(M318)-FIND(" ",M318))</f>
        <v/>
      </c>
      <c r="P318" t="inlineStr">
        <is>
          <t>WARREN</t>
        </is>
      </c>
      <c r="Q318" t="inlineStr">
        <is>
          <t>OH</t>
        </is>
      </c>
      <c r="R318" t="n">
        <v>44483</v>
      </c>
      <c r="AD318" t="inlineStr">
        <is>
          <t>TRUMBULL CAREER &amp; TECH CENTER</t>
        </is>
      </c>
      <c r="AE318" t="inlineStr">
        <is>
          <t>WARREN CITY</t>
        </is>
      </c>
      <c r="AF318" t="inlineStr">
        <is>
          <t>WARREN CITY SD</t>
        </is>
      </c>
      <c r="AH318" t="n">
        <v>14</v>
      </c>
      <c r="AI318" t="n">
        <v>11</v>
      </c>
      <c r="AN318" t="inlineStr">
        <is>
          <t>WARREN</t>
        </is>
      </c>
      <c r="AO318" t="inlineStr">
        <is>
          <t>WARREN CITY 4A</t>
        </is>
      </c>
      <c r="AP318" t="inlineStr">
        <is>
          <t>78-P-ADI</t>
        </is>
      </c>
      <c r="AQ318" t="n">
        <v>9</v>
      </c>
      <c r="AR318" t="n">
        <v>64</v>
      </c>
      <c r="AS318" t="n">
        <v>32</v>
      </c>
      <c r="AU318">
        <f>COUNTA($BA$318:$EH$318)</f>
        <v/>
      </c>
      <c r="AV318">
        <f>COUNTIF($BA$318:$EH$318,"D")</f>
        <v/>
      </c>
      <c r="AW318">
        <f>COUNTIF($BA$318:$EH$318,"R")</f>
        <v/>
      </c>
      <c r="AX318">
        <f>IF(BN318="D",1,0)+IF(BO318="D",1,0)+IF(BT318="D",1,0)+IF(BU318="D",1,0)+IF(BW318="D",1,0)+IF(CC318="D",1,0)+IF(CD318="D",1,0)+IF(CE318="D",1,0)+IF(CF318="D",1,0)+IF(CL318="D",1,0)+IF(CM318="D",1,0)+IF(CQ318="D",1,0)+IF(CR318="D",1,0)+IF(CS318="D",1,0)+IF(CW318="D",1,0)+IF(CX318="D",1,0)+IF(DD318="D",1,0)+IF(DE318="D",1,0)+IF(DJ318="D",1,0)+IF(DK318="D",1,0)+IF(DO318="D",1,0)+IF(DP318="D",1,0)+IF(DQ318="D",1,0)+IF(DW318="D",1,0)+IF(DZ318="D",1,0)+IF(EH318="D",1,0)</f>
        <v/>
      </c>
      <c r="AY318">
        <f>IF(DJ318&lt;&gt;"",1,0)+IF(DK318&lt;&gt;"",1,0)+IF(DM318&lt;&gt;"",1,0)+IF(DO318&lt;&gt;"",1,0)+IF(DP318&lt;&gt;"",1,0)+IF(DQ318&lt;&gt;"",1,0)+IF(DS318&lt;&gt;"",1,0)+IF(DT318&lt;&gt;"",1,0)+IF(DV318&lt;&gt;"",1,0)+IF(DW318&lt;&gt;"",1,0)+IF(DX318&lt;&gt;"",1,0)+IF(DY318&lt;&gt;"",1,0)+IF(DZ318&lt;&gt;"",1,0)+IF(EB318&lt;&gt;"",1,0)+IF(EC318&lt;&gt;"",1,0)+IF(ED318&lt;&gt;"",1,0)+IF(EG318&lt;&gt;"",1,0)+IF(EH318&lt;&gt;"",1,0)</f>
        <v/>
      </c>
      <c r="AZ318">
        <f>IF(EH318&lt;&gt;"",1,0)</f>
        <v/>
      </c>
      <c r="BB318" t="inlineStr">
        <is>
          <t>WARREN-WARD 4</t>
        </is>
      </c>
      <c r="BY318" t="inlineStr">
        <is>
          <t>D</t>
        </is>
      </c>
      <c r="DC318" t="inlineStr">
        <is>
          <t>X</t>
        </is>
      </c>
    </row>
    <row r="319">
      <c r="A319" t="inlineStr">
        <is>
          <t>OH0023708763</t>
        </is>
      </c>
      <c r="B319" t="n">
        <v>78</v>
      </c>
      <c r="C319" t="n">
        <v>416871</v>
      </c>
      <c r="D319" t="inlineStr">
        <is>
          <t>HIPPO</t>
        </is>
      </c>
      <c r="E319" t="inlineStr">
        <is>
          <t>SABRINA</t>
        </is>
      </c>
      <c r="F319">
        <f>CONCATENATE(D319," ",LEFT(H319,4),"T=",AU319,"D=",AV319,"R=",AW319,"M=",AX319,"L=",AY319,"B=",AZ319)</f>
        <v/>
      </c>
      <c r="G319" t="inlineStr">
        <is>
          <t>M</t>
        </is>
      </c>
      <c r="I319" t="inlineStr">
        <is>
          <t>1998-10-22</t>
        </is>
      </c>
      <c r="J319" t="inlineStr">
        <is>
          <t>2017-02-21</t>
        </is>
      </c>
      <c r="K319" t="inlineStr">
        <is>
          <t>CONFIRMATION</t>
        </is>
      </c>
      <c r="M319" t="inlineStr">
        <is>
          <t>770 BONNIE BRAE AVE SE</t>
        </is>
      </c>
      <c r="N319">
        <f>RIGHT(M319,LEN(M319)-FIND(" ",M319))</f>
        <v/>
      </c>
      <c r="P319" t="inlineStr">
        <is>
          <t>WARREN</t>
        </is>
      </c>
      <c r="Q319" t="inlineStr">
        <is>
          <t>OH</t>
        </is>
      </c>
      <c r="R319" t="n">
        <v>44484</v>
      </c>
      <c r="AD319" t="inlineStr">
        <is>
          <t>TRUMBULL CAREER &amp; TECH CENTER</t>
        </is>
      </c>
      <c r="AE319" t="inlineStr">
        <is>
          <t>WARREN CITY</t>
        </is>
      </c>
      <c r="AF319" t="inlineStr">
        <is>
          <t>WARREN CITY SD</t>
        </is>
      </c>
      <c r="AH319" t="n">
        <v>14</v>
      </c>
      <c r="AI319" t="n">
        <v>11</v>
      </c>
      <c r="AN319" t="inlineStr">
        <is>
          <t>WARREN</t>
        </is>
      </c>
      <c r="AO319" t="inlineStr">
        <is>
          <t>WARREN CITY 4A</t>
        </is>
      </c>
      <c r="AP319" t="inlineStr">
        <is>
          <t>78-P-ADI</t>
        </is>
      </c>
      <c r="AQ319" t="n">
        <v>9</v>
      </c>
      <c r="AR319" t="n">
        <v>64</v>
      </c>
      <c r="AS319" t="n">
        <v>32</v>
      </c>
      <c r="AU319">
        <f>COUNTA($BA$319:$EH$319)</f>
        <v/>
      </c>
      <c r="AV319">
        <f>COUNTIF($BA$319:$EH$319,"D")</f>
        <v/>
      </c>
      <c r="AW319">
        <f>COUNTIF($BA$319:$EH$319,"R")</f>
        <v/>
      </c>
      <c r="AX319">
        <f>IF(BN319="D",1,0)+IF(BO319="D",1,0)+IF(BT319="D",1,0)+IF(BU319="D",1,0)+IF(BW319="D",1,0)+IF(CC319="D",1,0)+IF(CD319="D",1,0)+IF(CE319="D",1,0)+IF(CF319="D",1,0)+IF(CL319="D",1,0)+IF(CM319="D",1,0)+IF(CQ319="D",1,0)+IF(CR319="D",1,0)+IF(CS319="D",1,0)+IF(CW319="D",1,0)+IF(CX319="D",1,0)+IF(DD319="D",1,0)+IF(DE319="D",1,0)+IF(DJ319="D",1,0)+IF(DK319="D",1,0)+IF(DO319="D",1,0)+IF(DP319="D",1,0)+IF(DQ319="D",1,0)+IF(DW319="D",1,0)+IF(DZ319="D",1,0)+IF(EH319="D",1,0)</f>
        <v/>
      </c>
      <c r="AY319">
        <f>IF(DJ319&lt;&gt;"",1,0)+IF(DK319&lt;&gt;"",1,0)+IF(DM319&lt;&gt;"",1,0)+IF(DO319&lt;&gt;"",1,0)+IF(DP319&lt;&gt;"",1,0)+IF(DQ319&lt;&gt;"",1,0)+IF(DS319&lt;&gt;"",1,0)+IF(DT319&lt;&gt;"",1,0)+IF(DV319&lt;&gt;"",1,0)+IF(DW319&lt;&gt;"",1,0)+IF(DX319&lt;&gt;"",1,0)+IF(DY319&lt;&gt;"",1,0)+IF(DZ319&lt;&gt;"",1,0)+IF(EB319&lt;&gt;"",1,0)+IF(EC319&lt;&gt;"",1,0)+IF(ED319&lt;&gt;"",1,0)+IF(EG319&lt;&gt;"",1,0)+IF(EH319&lt;&gt;"",1,0)</f>
        <v/>
      </c>
      <c r="AZ319">
        <f>IF(EH319&lt;&gt;"",1,0)</f>
        <v/>
      </c>
      <c r="BB319" t="inlineStr">
        <is>
          <t>WARREN-WARD 4</t>
        </is>
      </c>
    </row>
    <row r="320">
      <c r="A320" t="inlineStr">
        <is>
          <t>OH0026388085</t>
        </is>
      </c>
      <c r="B320" t="n">
        <v>78</v>
      </c>
      <c r="C320" t="n">
        <v>461317</v>
      </c>
      <c r="D320" t="inlineStr">
        <is>
          <t>LUDWIG</t>
        </is>
      </c>
      <c r="E320" t="inlineStr">
        <is>
          <t>AMELIA</t>
        </is>
      </c>
      <c r="F320">
        <f>CONCATENATE(D320," ",LEFT(H320,4),"T=",AU320,"D=",AV320,"R=",AW320,"M=",AX320,"L=",AY320,"B=",AZ320)</f>
        <v/>
      </c>
      <c r="G320" t="inlineStr">
        <is>
          <t>GRACE</t>
        </is>
      </c>
      <c r="I320" t="inlineStr">
        <is>
          <t>1998-12-20</t>
        </is>
      </c>
      <c r="J320" t="inlineStr">
        <is>
          <t>2022-01-07</t>
        </is>
      </c>
      <c r="K320" t="inlineStr">
        <is>
          <t>CONFIRMATION</t>
        </is>
      </c>
      <c r="M320" t="inlineStr">
        <is>
          <t>1335 BELLE ST SE</t>
        </is>
      </c>
      <c r="N320">
        <f>RIGHT(M320,LEN(M320)-FIND(" ",M320))</f>
        <v/>
      </c>
      <c r="P320" t="inlineStr">
        <is>
          <t>WARREN</t>
        </is>
      </c>
      <c r="Q320" t="inlineStr">
        <is>
          <t>OH</t>
        </is>
      </c>
      <c r="R320" t="n">
        <v>44484</v>
      </c>
      <c r="AD320" t="inlineStr">
        <is>
          <t>TRUMBULL CAREER &amp; TECH CENTER</t>
        </is>
      </c>
      <c r="AE320" t="inlineStr">
        <is>
          <t>WARREN CITY</t>
        </is>
      </c>
      <c r="AF320" t="inlineStr">
        <is>
          <t>WARREN CITY SD</t>
        </is>
      </c>
      <c r="AH320" t="n">
        <v>14</v>
      </c>
      <c r="AI320" t="n">
        <v>11</v>
      </c>
      <c r="AN320" t="inlineStr">
        <is>
          <t>WARREN</t>
        </is>
      </c>
      <c r="AO320" t="inlineStr">
        <is>
          <t>WARREN CITY 4A</t>
        </is>
      </c>
      <c r="AP320" t="inlineStr">
        <is>
          <t>78-P-ADI</t>
        </is>
      </c>
      <c r="AQ320" t="n">
        <v>9</v>
      </c>
      <c r="AR320" t="n">
        <v>64</v>
      </c>
      <c r="AS320" t="n">
        <v>32</v>
      </c>
      <c r="AU320">
        <f>COUNTA($BA$320:$EH$320)</f>
        <v/>
      </c>
      <c r="AV320">
        <f>COUNTIF($BA$320:$EH$320,"D")</f>
        <v/>
      </c>
      <c r="AW320">
        <f>COUNTIF($BA$320:$EH$320,"R")</f>
        <v/>
      </c>
      <c r="AX320">
        <f>IF(BN320="D",1,0)+IF(BO320="D",1,0)+IF(BT320="D",1,0)+IF(BU320="D",1,0)+IF(BW320="D",1,0)+IF(CC320="D",1,0)+IF(CD320="D",1,0)+IF(CE320="D",1,0)+IF(CF320="D",1,0)+IF(CL320="D",1,0)+IF(CM320="D",1,0)+IF(CQ320="D",1,0)+IF(CR320="D",1,0)+IF(CS320="D",1,0)+IF(CW320="D",1,0)+IF(CX320="D",1,0)+IF(DD320="D",1,0)+IF(DE320="D",1,0)+IF(DJ320="D",1,0)+IF(DK320="D",1,0)+IF(DO320="D",1,0)+IF(DP320="D",1,0)+IF(DQ320="D",1,0)+IF(DW320="D",1,0)+IF(DZ320="D",1,0)+IF(EH320="D",1,0)</f>
        <v/>
      </c>
      <c r="AY320">
        <f>IF(DJ320&lt;&gt;"",1,0)+IF(DK320&lt;&gt;"",1,0)+IF(DM320&lt;&gt;"",1,0)+IF(DO320&lt;&gt;"",1,0)+IF(DP320&lt;&gt;"",1,0)+IF(DQ320&lt;&gt;"",1,0)+IF(DS320&lt;&gt;"",1,0)+IF(DT320&lt;&gt;"",1,0)+IF(DV320&lt;&gt;"",1,0)+IF(DW320&lt;&gt;"",1,0)+IF(DX320&lt;&gt;"",1,0)+IF(DY320&lt;&gt;"",1,0)+IF(DZ320&lt;&gt;"",1,0)+IF(EB320&lt;&gt;"",1,0)+IF(EC320&lt;&gt;"",1,0)+IF(ED320&lt;&gt;"",1,0)+IF(EG320&lt;&gt;"",1,0)+IF(EH320&lt;&gt;"",1,0)</f>
        <v/>
      </c>
      <c r="AZ320">
        <f>IF(EH320&lt;&gt;"",1,0)</f>
        <v/>
      </c>
      <c r="BB320" t="inlineStr">
        <is>
          <t>WARREN-WARD 4</t>
        </is>
      </c>
    </row>
    <row r="321">
      <c r="A321" t="inlineStr">
        <is>
          <t>OH0024289113</t>
        </is>
      </c>
      <c r="B321" t="n">
        <v>78</v>
      </c>
      <c r="C321" t="n">
        <v>426195</v>
      </c>
      <c r="D321" t="inlineStr">
        <is>
          <t>MILLIGAN</t>
        </is>
      </c>
      <c r="E321" t="inlineStr">
        <is>
          <t>BRIAN</t>
        </is>
      </c>
      <c r="F321">
        <f>CONCATENATE(D321," ",LEFT(H321,4),"T=",AU321,"D=",AV321,"R=",AW321,"M=",AX321,"L=",AY321,"B=",AZ321)</f>
        <v/>
      </c>
      <c r="G321" t="inlineStr">
        <is>
          <t>M</t>
        </is>
      </c>
      <c r="I321" t="inlineStr">
        <is>
          <t>1979-08-10</t>
        </is>
      </c>
      <c r="J321" t="inlineStr">
        <is>
          <t>2017-05-01</t>
        </is>
      </c>
      <c r="K321" t="inlineStr">
        <is>
          <t>CONFIRMATION</t>
        </is>
      </c>
      <c r="M321" t="inlineStr">
        <is>
          <t>680 WOODBINE AVE SE</t>
        </is>
      </c>
      <c r="N321">
        <f>RIGHT(M321,LEN(M321)-FIND(" ",M321))</f>
        <v/>
      </c>
      <c r="P321" t="inlineStr">
        <is>
          <t>WARREN</t>
        </is>
      </c>
      <c r="Q321" t="inlineStr">
        <is>
          <t>OH</t>
        </is>
      </c>
      <c r="R321" t="n">
        <v>44483</v>
      </c>
      <c r="AD321" t="inlineStr">
        <is>
          <t>TRUMBULL CAREER &amp; TECH CENTER</t>
        </is>
      </c>
      <c r="AE321" t="inlineStr">
        <is>
          <t>WARREN CITY</t>
        </is>
      </c>
      <c r="AF321" t="inlineStr">
        <is>
          <t>WARREN CITY SD</t>
        </is>
      </c>
      <c r="AH321" t="n">
        <v>14</v>
      </c>
      <c r="AI321" t="n">
        <v>11</v>
      </c>
      <c r="AN321" t="inlineStr">
        <is>
          <t>WARREN</t>
        </is>
      </c>
      <c r="AO321" t="inlineStr">
        <is>
          <t>WARREN CITY 4A</t>
        </is>
      </c>
      <c r="AP321" t="inlineStr">
        <is>
          <t>78-P-ADI</t>
        </is>
      </c>
      <c r="AQ321" t="n">
        <v>9</v>
      </c>
      <c r="AR321" t="n">
        <v>64</v>
      </c>
      <c r="AS321" t="n">
        <v>32</v>
      </c>
      <c r="AU321">
        <f>COUNTA($BA$321:$EH$321)</f>
        <v/>
      </c>
      <c r="AV321">
        <f>COUNTIF($BA$321:$EH$321,"D")</f>
        <v/>
      </c>
      <c r="AW321">
        <f>COUNTIF($BA$321:$EH$321,"R")</f>
        <v/>
      </c>
      <c r="AX321">
        <f>IF(BN321="D",1,0)+IF(BO321="D",1,0)+IF(BT321="D",1,0)+IF(BU321="D",1,0)+IF(BW321="D",1,0)+IF(CC321="D",1,0)+IF(CD321="D",1,0)+IF(CE321="D",1,0)+IF(CF321="D",1,0)+IF(CL321="D",1,0)+IF(CM321="D",1,0)+IF(CQ321="D",1,0)+IF(CR321="D",1,0)+IF(CS321="D",1,0)+IF(CW321="D",1,0)+IF(CX321="D",1,0)+IF(DD321="D",1,0)+IF(DE321="D",1,0)+IF(DJ321="D",1,0)+IF(DK321="D",1,0)+IF(DO321="D",1,0)+IF(DP321="D",1,0)+IF(DQ321="D",1,0)+IF(DW321="D",1,0)+IF(DZ321="D",1,0)+IF(EH321="D",1,0)</f>
        <v/>
      </c>
      <c r="AY321">
        <f>IF(DJ321&lt;&gt;"",1,0)+IF(DK321&lt;&gt;"",1,0)+IF(DM321&lt;&gt;"",1,0)+IF(DO321&lt;&gt;"",1,0)+IF(DP321&lt;&gt;"",1,0)+IF(DQ321&lt;&gt;"",1,0)+IF(DS321&lt;&gt;"",1,0)+IF(DT321&lt;&gt;"",1,0)+IF(DV321&lt;&gt;"",1,0)+IF(DW321&lt;&gt;"",1,0)+IF(DX321&lt;&gt;"",1,0)+IF(DY321&lt;&gt;"",1,0)+IF(DZ321&lt;&gt;"",1,0)+IF(EB321&lt;&gt;"",1,0)+IF(EC321&lt;&gt;"",1,0)+IF(ED321&lt;&gt;"",1,0)+IF(EG321&lt;&gt;"",1,0)+IF(EH321&lt;&gt;"",1,0)</f>
        <v/>
      </c>
      <c r="AZ321">
        <f>IF(EH321&lt;&gt;"",1,0)</f>
        <v/>
      </c>
      <c r="BB321" t="inlineStr">
        <is>
          <t>WARREN-WARD 4</t>
        </is>
      </c>
      <c r="BH321" t="inlineStr">
        <is>
          <t>X</t>
        </is>
      </c>
      <c r="BK321" t="inlineStr">
        <is>
          <t>X</t>
        </is>
      </c>
      <c r="BL321" t="inlineStr">
        <is>
          <t>X</t>
        </is>
      </c>
    </row>
    <row r="322">
      <c r="A322" t="inlineStr">
        <is>
          <t>OH0019537987</t>
        </is>
      </c>
      <c r="B322" t="n">
        <v>78</v>
      </c>
      <c r="C322" t="n">
        <v>356084</v>
      </c>
      <c r="D322" t="inlineStr">
        <is>
          <t>BANJACK</t>
        </is>
      </c>
      <c r="E322" t="inlineStr">
        <is>
          <t>SHANE</t>
        </is>
      </c>
      <c r="F322">
        <f>CONCATENATE(D322," ",LEFT(H322,4),"T=",AU322,"D=",AV322,"R=",AW322,"M=",AX322,"L=",AY322,"B=",AZ322)</f>
        <v/>
      </c>
      <c r="G322" t="inlineStr">
        <is>
          <t>ALLEN</t>
        </is>
      </c>
      <c r="I322" t="inlineStr">
        <is>
          <t>1990-06-01</t>
        </is>
      </c>
      <c r="J322" t="inlineStr">
        <is>
          <t>2024-06-03</t>
        </is>
      </c>
      <c r="K322" t="inlineStr">
        <is>
          <t>ACTIVE</t>
        </is>
      </c>
      <c r="M322" t="inlineStr">
        <is>
          <t>379 CHARLES AVE SE</t>
        </is>
      </c>
      <c r="N322">
        <f>RIGHT(M322,LEN(M322)-FIND(" ",M322))</f>
        <v/>
      </c>
      <c r="P322" t="inlineStr">
        <is>
          <t>WARREN</t>
        </is>
      </c>
      <c r="Q322" t="inlineStr">
        <is>
          <t>OH</t>
        </is>
      </c>
      <c r="R322" t="n">
        <v>44483</v>
      </c>
      <c r="AD322" t="inlineStr">
        <is>
          <t>TRUMBULL CAREER &amp; TECH CENTER</t>
        </is>
      </c>
      <c r="AE322" t="inlineStr">
        <is>
          <t>WARREN CITY</t>
        </is>
      </c>
      <c r="AF322" t="inlineStr">
        <is>
          <t>WARREN CITY SD</t>
        </is>
      </c>
      <c r="AH322" t="n">
        <v>14</v>
      </c>
      <c r="AI322" t="n">
        <v>11</v>
      </c>
      <c r="AN322" t="inlineStr">
        <is>
          <t>WARREN</t>
        </is>
      </c>
      <c r="AO322" t="inlineStr">
        <is>
          <t>WARREN CITY 4A</t>
        </is>
      </c>
      <c r="AP322" t="inlineStr">
        <is>
          <t>78-P-ADI</t>
        </is>
      </c>
      <c r="AQ322" t="n">
        <v>9</v>
      </c>
      <c r="AR322" t="n">
        <v>64</v>
      </c>
      <c r="AS322" t="n">
        <v>32</v>
      </c>
      <c r="AU322">
        <f>COUNTA($BA$322:$EH$322)</f>
        <v/>
      </c>
      <c r="AV322">
        <f>COUNTIF($BA$322:$EH$322,"D")</f>
        <v/>
      </c>
      <c r="AW322">
        <f>COUNTIF($BA$322:$EH$322,"R")</f>
        <v/>
      </c>
      <c r="AX322">
        <f>IF(BN322="D",1,0)+IF(BO322="D",1,0)+IF(BT322="D",1,0)+IF(BU322="D",1,0)+IF(BW322="D",1,0)+IF(CC322="D",1,0)+IF(CD322="D",1,0)+IF(CE322="D",1,0)+IF(CF322="D",1,0)+IF(CL322="D",1,0)+IF(CM322="D",1,0)+IF(CQ322="D",1,0)+IF(CR322="D",1,0)+IF(CS322="D",1,0)+IF(CW322="D",1,0)+IF(CX322="D",1,0)+IF(DD322="D",1,0)+IF(DE322="D",1,0)+IF(DJ322="D",1,0)+IF(DK322="D",1,0)+IF(DO322="D",1,0)+IF(DP322="D",1,0)+IF(DQ322="D",1,0)+IF(DW322="D",1,0)+IF(DZ322="D",1,0)+IF(EH322="D",1,0)</f>
        <v/>
      </c>
      <c r="AY322">
        <f>IF(DJ322&lt;&gt;"",1,0)+IF(DK322&lt;&gt;"",1,0)+IF(DM322&lt;&gt;"",1,0)+IF(DO322&lt;&gt;"",1,0)+IF(DP322&lt;&gt;"",1,0)+IF(DQ322&lt;&gt;"",1,0)+IF(DS322&lt;&gt;"",1,0)+IF(DT322&lt;&gt;"",1,0)+IF(DV322&lt;&gt;"",1,0)+IF(DW322&lt;&gt;"",1,0)+IF(DX322&lt;&gt;"",1,0)+IF(DY322&lt;&gt;"",1,0)+IF(DZ322&lt;&gt;"",1,0)+IF(EB322&lt;&gt;"",1,0)+IF(EC322&lt;&gt;"",1,0)+IF(ED322&lt;&gt;"",1,0)+IF(EG322&lt;&gt;"",1,0)+IF(EH322&lt;&gt;"",1,0)</f>
        <v/>
      </c>
      <c r="AZ322">
        <f>IF(EH322&lt;&gt;"",1,0)</f>
        <v/>
      </c>
      <c r="BB322" t="inlineStr">
        <is>
          <t>WARREN-WARD 4</t>
        </is>
      </c>
      <c r="CA322" t="inlineStr">
        <is>
          <t>X</t>
        </is>
      </c>
      <c r="CG322" t="inlineStr">
        <is>
          <t>X</t>
        </is>
      </c>
      <c r="CP322" t="inlineStr">
        <is>
          <t>X</t>
        </is>
      </c>
    </row>
    <row r="323">
      <c r="A323" t="inlineStr">
        <is>
          <t>OH0024289743</t>
        </is>
      </c>
      <c r="B323" t="n">
        <v>78</v>
      </c>
      <c r="C323" t="n">
        <v>426234</v>
      </c>
      <c r="D323" t="inlineStr">
        <is>
          <t>BHAIH</t>
        </is>
      </c>
      <c r="E323" t="inlineStr">
        <is>
          <t>MORAD</t>
        </is>
      </c>
      <c r="F323">
        <f>CONCATENATE(D323," ",LEFT(H323,4),"T=",AU323,"D=",AV323,"R=",AW323,"M=",AX323,"L=",AY323,"B=",AZ323)</f>
        <v/>
      </c>
      <c r="I323" t="inlineStr">
        <is>
          <t>1974-09-23</t>
        </is>
      </c>
      <c r="J323" t="inlineStr">
        <is>
          <t>2019-09-24</t>
        </is>
      </c>
      <c r="K323" t="inlineStr">
        <is>
          <t>CONFIRMATION</t>
        </is>
      </c>
      <c r="M323" t="inlineStr">
        <is>
          <t>125 CHARLES AVE SE</t>
        </is>
      </c>
      <c r="N323">
        <f>RIGHT(M323,LEN(M323)-FIND(" ",M323))</f>
        <v/>
      </c>
      <c r="P323" t="inlineStr">
        <is>
          <t>WARREN</t>
        </is>
      </c>
      <c r="Q323" t="inlineStr">
        <is>
          <t>OH</t>
        </is>
      </c>
      <c r="R323" t="n">
        <v>44483</v>
      </c>
      <c r="AD323" t="inlineStr">
        <is>
          <t>TRUMBULL CAREER &amp; TECH CENTER</t>
        </is>
      </c>
      <c r="AE323" t="inlineStr">
        <is>
          <t>WARREN CITY</t>
        </is>
      </c>
      <c r="AF323" t="inlineStr">
        <is>
          <t>WARREN CITY SD</t>
        </is>
      </c>
      <c r="AH323" t="n">
        <v>14</v>
      </c>
      <c r="AI323" t="n">
        <v>11</v>
      </c>
      <c r="AN323" t="inlineStr">
        <is>
          <t>WARREN</t>
        </is>
      </c>
      <c r="AO323" t="inlineStr">
        <is>
          <t>WARREN CITY 4A</t>
        </is>
      </c>
      <c r="AP323" t="inlineStr">
        <is>
          <t>78-P-ADI</t>
        </is>
      </c>
      <c r="AQ323" t="n">
        <v>9</v>
      </c>
      <c r="AR323" t="n">
        <v>64</v>
      </c>
      <c r="AS323" t="n">
        <v>32</v>
      </c>
      <c r="AU323">
        <f>COUNTA($BA$323:$EH$323)</f>
        <v/>
      </c>
      <c r="AV323">
        <f>COUNTIF($BA$323:$EH$323,"D")</f>
        <v/>
      </c>
      <c r="AW323">
        <f>COUNTIF($BA$323:$EH$323,"R")</f>
        <v/>
      </c>
      <c r="AX323">
        <f>IF(BN323="D",1,0)+IF(BO323="D",1,0)+IF(BT323="D",1,0)+IF(BU323="D",1,0)+IF(BW323="D",1,0)+IF(CC323="D",1,0)+IF(CD323="D",1,0)+IF(CE323="D",1,0)+IF(CF323="D",1,0)+IF(CL323="D",1,0)+IF(CM323="D",1,0)+IF(CQ323="D",1,0)+IF(CR323="D",1,0)+IF(CS323="D",1,0)+IF(CW323="D",1,0)+IF(CX323="D",1,0)+IF(DD323="D",1,0)+IF(DE323="D",1,0)+IF(DJ323="D",1,0)+IF(DK323="D",1,0)+IF(DO323="D",1,0)+IF(DP323="D",1,0)+IF(DQ323="D",1,0)+IF(DW323="D",1,0)+IF(DZ323="D",1,0)+IF(EH323="D",1,0)</f>
        <v/>
      </c>
      <c r="AY323">
        <f>IF(DJ323&lt;&gt;"",1,0)+IF(DK323&lt;&gt;"",1,0)+IF(DM323&lt;&gt;"",1,0)+IF(DO323&lt;&gt;"",1,0)+IF(DP323&lt;&gt;"",1,0)+IF(DQ323&lt;&gt;"",1,0)+IF(DS323&lt;&gt;"",1,0)+IF(DT323&lt;&gt;"",1,0)+IF(DV323&lt;&gt;"",1,0)+IF(DW323&lt;&gt;"",1,0)+IF(DX323&lt;&gt;"",1,0)+IF(DY323&lt;&gt;"",1,0)+IF(DZ323&lt;&gt;"",1,0)+IF(EB323&lt;&gt;"",1,0)+IF(EC323&lt;&gt;"",1,0)+IF(ED323&lt;&gt;"",1,0)+IF(EG323&lt;&gt;"",1,0)+IF(EH323&lt;&gt;"",1,0)</f>
        <v/>
      </c>
      <c r="AZ323">
        <f>IF(EH323&lt;&gt;"",1,0)</f>
        <v/>
      </c>
      <c r="BB323" t="inlineStr">
        <is>
          <t>WARREN-WARD 4</t>
        </is>
      </c>
    </row>
    <row r="324">
      <c r="A324" t="inlineStr">
        <is>
          <t>OH0027388461</t>
        </is>
      </c>
      <c r="B324" t="n">
        <v>78</v>
      </c>
      <c r="C324" t="n">
        <v>485464</v>
      </c>
      <c r="D324" t="inlineStr">
        <is>
          <t>WOJCIK</t>
        </is>
      </c>
      <c r="E324" t="inlineStr">
        <is>
          <t>JOSHUA</t>
        </is>
      </c>
      <c r="F324">
        <f>CONCATENATE(D324," ",LEFT(H324,4),"T=",AU324,"D=",AV324,"R=",AW324,"M=",AX324,"L=",AY324,"B=",AZ324)</f>
        <v/>
      </c>
      <c r="G324" t="inlineStr">
        <is>
          <t>DAVID</t>
        </is>
      </c>
      <c r="I324" t="inlineStr">
        <is>
          <t>1988-07-26</t>
        </is>
      </c>
      <c r="J324" t="inlineStr">
        <is>
          <t>2024-06-10</t>
        </is>
      </c>
      <c r="K324" t="inlineStr">
        <is>
          <t>ACTIVE</t>
        </is>
      </c>
      <c r="M324" t="inlineStr">
        <is>
          <t>1044 COTTAGE CT SE</t>
        </is>
      </c>
      <c r="N324">
        <f>RIGHT(M324,LEN(M324)-FIND(" ",M324))</f>
        <v/>
      </c>
      <c r="P324" t="inlineStr">
        <is>
          <t>WARREN</t>
        </is>
      </c>
      <c r="Q324" t="inlineStr">
        <is>
          <t>OH</t>
        </is>
      </c>
      <c r="R324" t="n">
        <v>44483</v>
      </c>
      <c r="AD324" t="inlineStr">
        <is>
          <t>TRUMBULL CAREER &amp; TECH CENTER</t>
        </is>
      </c>
      <c r="AE324" t="inlineStr">
        <is>
          <t>WARREN CITY</t>
        </is>
      </c>
      <c r="AF324" t="inlineStr">
        <is>
          <t>WARREN CITY SD</t>
        </is>
      </c>
      <c r="AH324" t="n">
        <v>14</v>
      </c>
      <c r="AI324" t="n">
        <v>11</v>
      </c>
      <c r="AN324" t="inlineStr">
        <is>
          <t>WARREN</t>
        </is>
      </c>
      <c r="AO324" t="inlineStr">
        <is>
          <t>WARREN CITY 4A</t>
        </is>
      </c>
      <c r="AP324" t="inlineStr">
        <is>
          <t>78-P-ADI</t>
        </is>
      </c>
      <c r="AQ324" t="n">
        <v>9</v>
      </c>
      <c r="AR324" t="n">
        <v>64</v>
      </c>
      <c r="AS324" t="n">
        <v>32</v>
      </c>
      <c r="AU324">
        <f>COUNTA($BA$324:$EH$324)</f>
        <v/>
      </c>
      <c r="AV324">
        <f>COUNTIF($BA$324:$EH$324,"D")</f>
        <v/>
      </c>
      <c r="AW324">
        <f>COUNTIF($BA$324:$EH$324,"R")</f>
        <v/>
      </c>
      <c r="AX324">
        <f>IF(BN324="D",1,0)+IF(BO324="D",1,0)+IF(BT324="D",1,0)+IF(BU324="D",1,0)+IF(BW324="D",1,0)+IF(CC324="D",1,0)+IF(CD324="D",1,0)+IF(CE324="D",1,0)+IF(CF324="D",1,0)+IF(CL324="D",1,0)+IF(CM324="D",1,0)+IF(CQ324="D",1,0)+IF(CR324="D",1,0)+IF(CS324="D",1,0)+IF(CW324="D",1,0)+IF(CX324="D",1,0)+IF(DD324="D",1,0)+IF(DE324="D",1,0)+IF(DJ324="D",1,0)+IF(DK324="D",1,0)+IF(DO324="D",1,0)+IF(DP324="D",1,0)+IF(DQ324="D",1,0)+IF(DW324="D",1,0)+IF(DZ324="D",1,0)+IF(EH324="D",1,0)</f>
        <v/>
      </c>
      <c r="AY324">
        <f>IF(DJ324&lt;&gt;"",1,0)+IF(DK324&lt;&gt;"",1,0)+IF(DM324&lt;&gt;"",1,0)+IF(DO324&lt;&gt;"",1,0)+IF(DP324&lt;&gt;"",1,0)+IF(DQ324&lt;&gt;"",1,0)+IF(DS324&lt;&gt;"",1,0)+IF(DT324&lt;&gt;"",1,0)+IF(DV324&lt;&gt;"",1,0)+IF(DW324&lt;&gt;"",1,0)+IF(DX324&lt;&gt;"",1,0)+IF(DY324&lt;&gt;"",1,0)+IF(DZ324&lt;&gt;"",1,0)+IF(EB324&lt;&gt;"",1,0)+IF(EC324&lt;&gt;"",1,0)+IF(ED324&lt;&gt;"",1,0)+IF(EG324&lt;&gt;"",1,0)+IF(EH324&lt;&gt;"",1,0)</f>
        <v/>
      </c>
      <c r="AZ324">
        <f>IF(EH324&lt;&gt;"",1,0)</f>
        <v/>
      </c>
      <c r="BB324" t="inlineStr">
        <is>
          <t>WARREN-WARD 4</t>
        </is>
      </c>
      <c r="EF324" t="inlineStr">
        <is>
          <t>X</t>
        </is>
      </c>
    </row>
    <row r="325">
      <c r="A325" t="inlineStr">
        <is>
          <t>OH0015808234</t>
        </is>
      </c>
      <c r="B325" t="n">
        <v>78</v>
      </c>
      <c r="C325" t="n">
        <v>258077</v>
      </c>
      <c r="D325" t="inlineStr">
        <is>
          <t>ROPER</t>
        </is>
      </c>
      <c r="E325" t="inlineStr">
        <is>
          <t>SHANNON</t>
        </is>
      </c>
      <c r="F325">
        <f>CONCATENATE(D325," ",LEFT(H325,4),"T=",AU325,"D=",AV325,"R=",AW325,"M=",AX325,"L=",AY325,"B=",AZ325)</f>
        <v/>
      </c>
      <c r="G325" t="inlineStr">
        <is>
          <t>MICHELLE</t>
        </is>
      </c>
      <c r="I325" t="inlineStr">
        <is>
          <t>1976-08-04</t>
        </is>
      </c>
      <c r="J325" t="inlineStr">
        <is>
          <t>2024-06-18</t>
        </is>
      </c>
      <c r="K325" t="inlineStr">
        <is>
          <t>ACTIVE</t>
        </is>
      </c>
      <c r="M325" t="inlineStr">
        <is>
          <t>356 IDDINGS AVE SE</t>
        </is>
      </c>
      <c r="N325">
        <f>RIGHT(M325,LEN(M325)-FIND(" ",M325))</f>
        <v/>
      </c>
      <c r="P325" t="inlineStr">
        <is>
          <t>WARREN</t>
        </is>
      </c>
      <c r="Q325" t="inlineStr">
        <is>
          <t>OH</t>
        </is>
      </c>
      <c r="R325" t="n">
        <v>44483</v>
      </c>
      <c r="AD325" t="inlineStr">
        <is>
          <t>TRUMBULL CAREER &amp; TECH CENTER</t>
        </is>
      </c>
      <c r="AE325" t="inlineStr">
        <is>
          <t>WARREN CITY</t>
        </is>
      </c>
      <c r="AF325" t="inlineStr">
        <is>
          <t>WARREN CITY SD</t>
        </is>
      </c>
      <c r="AH325" t="n">
        <v>14</v>
      </c>
      <c r="AI325" t="n">
        <v>11</v>
      </c>
      <c r="AN325" t="inlineStr">
        <is>
          <t>WARREN</t>
        </is>
      </c>
      <c r="AO325" t="inlineStr">
        <is>
          <t>WARREN CITY 4A</t>
        </is>
      </c>
      <c r="AP325" t="inlineStr">
        <is>
          <t>78-P-ADI</t>
        </is>
      </c>
      <c r="AQ325" t="n">
        <v>9</v>
      </c>
      <c r="AR325" t="n">
        <v>64</v>
      </c>
      <c r="AS325" t="n">
        <v>32</v>
      </c>
      <c r="AU325">
        <f>COUNTA($BA$325:$EH$325)</f>
        <v/>
      </c>
      <c r="AV325">
        <f>COUNTIF($BA$325:$EH$325,"D")</f>
        <v/>
      </c>
      <c r="AW325">
        <f>COUNTIF($BA$325:$EH$325,"R")</f>
        <v/>
      </c>
      <c r="AX325">
        <f>IF(BN325="D",1,0)+IF(BO325="D",1,0)+IF(BT325="D",1,0)+IF(BU325="D",1,0)+IF(BW325="D",1,0)+IF(CC325="D",1,0)+IF(CD325="D",1,0)+IF(CE325="D",1,0)+IF(CF325="D",1,0)+IF(CL325="D",1,0)+IF(CM325="D",1,0)+IF(CQ325="D",1,0)+IF(CR325="D",1,0)+IF(CS325="D",1,0)+IF(CW325="D",1,0)+IF(CX325="D",1,0)+IF(DD325="D",1,0)+IF(DE325="D",1,0)+IF(DJ325="D",1,0)+IF(DK325="D",1,0)+IF(DO325="D",1,0)+IF(DP325="D",1,0)+IF(DQ325="D",1,0)+IF(DW325="D",1,0)+IF(DZ325="D",1,0)+IF(EH325="D",1,0)</f>
        <v/>
      </c>
      <c r="AY325">
        <f>IF(DJ325&lt;&gt;"",1,0)+IF(DK325&lt;&gt;"",1,0)+IF(DM325&lt;&gt;"",1,0)+IF(DO325&lt;&gt;"",1,0)+IF(DP325&lt;&gt;"",1,0)+IF(DQ325&lt;&gt;"",1,0)+IF(DS325&lt;&gt;"",1,0)+IF(DT325&lt;&gt;"",1,0)+IF(DV325&lt;&gt;"",1,0)+IF(DW325&lt;&gt;"",1,0)+IF(DX325&lt;&gt;"",1,0)+IF(DY325&lt;&gt;"",1,0)+IF(DZ325&lt;&gt;"",1,0)+IF(EB325&lt;&gt;"",1,0)+IF(EC325&lt;&gt;"",1,0)+IF(ED325&lt;&gt;"",1,0)+IF(EG325&lt;&gt;"",1,0)+IF(EH325&lt;&gt;"",1,0)</f>
        <v/>
      </c>
      <c r="AZ325">
        <f>IF(EH325&lt;&gt;"",1,0)</f>
        <v/>
      </c>
      <c r="BB325" t="inlineStr">
        <is>
          <t>WARREN-WARD 4</t>
        </is>
      </c>
      <c r="BL325" t="inlineStr">
        <is>
          <t>X</t>
        </is>
      </c>
      <c r="BS325" t="inlineStr">
        <is>
          <t>X</t>
        </is>
      </c>
      <c r="BY325" t="inlineStr">
        <is>
          <t>D</t>
        </is>
      </c>
      <c r="CA325" t="inlineStr">
        <is>
          <t>X</t>
        </is>
      </c>
      <c r="CH325" t="inlineStr">
        <is>
          <t>D</t>
        </is>
      </c>
      <c r="CP325" t="inlineStr">
        <is>
          <t>X</t>
        </is>
      </c>
    </row>
    <row r="326">
      <c r="A326" t="inlineStr">
        <is>
          <t>OH0026082892</t>
        </is>
      </c>
      <c r="B326" t="n">
        <v>78</v>
      </c>
      <c r="C326" t="n">
        <v>455979</v>
      </c>
      <c r="D326" t="inlineStr">
        <is>
          <t>MACKELL</t>
        </is>
      </c>
      <c r="E326" t="inlineStr">
        <is>
          <t>RACHEL</t>
        </is>
      </c>
      <c r="F326">
        <f>CONCATENATE(D326," ",LEFT(H326,4),"T=",AU326,"D=",AV326,"R=",AW326,"M=",AX326,"L=",AY326,"B=",AZ326)</f>
        <v/>
      </c>
      <c r="G326" t="inlineStr">
        <is>
          <t>LEANN</t>
        </is>
      </c>
      <c r="I326" t="inlineStr">
        <is>
          <t>1995-09-05</t>
        </is>
      </c>
      <c r="J326" t="inlineStr">
        <is>
          <t>2024-11-05</t>
        </is>
      </c>
      <c r="K326" t="inlineStr">
        <is>
          <t>ACTIVE</t>
        </is>
      </c>
      <c r="M326" t="inlineStr">
        <is>
          <t>930 OAK KNOLL AVE SE</t>
        </is>
      </c>
      <c r="N326">
        <f>RIGHT(M326,LEN(M326)-FIND(" ",M326))</f>
        <v/>
      </c>
      <c r="P326" t="inlineStr">
        <is>
          <t>WARREN</t>
        </is>
      </c>
      <c r="Q326" t="inlineStr">
        <is>
          <t>OH</t>
        </is>
      </c>
      <c r="R326" t="n">
        <v>44484</v>
      </c>
      <c r="AD326" t="inlineStr">
        <is>
          <t>TRUMBULL CAREER &amp; TECH CENTER</t>
        </is>
      </c>
      <c r="AE326" t="inlineStr">
        <is>
          <t>WARREN CITY</t>
        </is>
      </c>
      <c r="AF326" t="inlineStr">
        <is>
          <t>WARREN CITY SD</t>
        </is>
      </c>
      <c r="AH326" t="n">
        <v>14</v>
      </c>
      <c r="AI326" t="n">
        <v>11</v>
      </c>
      <c r="AN326" t="inlineStr">
        <is>
          <t>WARREN</t>
        </is>
      </c>
      <c r="AO326" t="inlineStr">
        <is>
          <t>WARREN CITY 4A</t>
        </is>
      </c>
      <c r="AP326" t="inlineStr">
        <is>
          <t>78-P-ADI</t>
        </is>
      </c>
      <c r="AQ326" t="n">
        <v>9</v>
      </c>
      <c r="AR326" t="n">
        <v>64</v>
      </c>
      <c r="AS326" t="n">
        <v>32</v>
      </c>
      <c r="AU326">
        <f>COUNTA($BA$326:$EH$326)</f>
        <v/>
      </c>
      <c r="AV326">
        <f>COUNTIF($BA$326:$EH$326,"D")</f>
        <v/>
      </c>
      <c r="AW326">
        <f>COUNTIF($BA$326:$EH$326,"R")</f>
        <v/>
      </c>
      <c r="AX326">
        <f>IF(BN326="D",1,0)+IF(BO326="D",1,0)+IF(BT326="D",1,0)+IF(BU326="D",1,0)+IF(BW326="D",1,0)+IF(CC326="D",1,0)+IF(CD326="D",1,0)+IF(CE326="D",1,0)+IF(CF326="D",1,0)+IF(CL326="D",1,0)+IF(CM326="D",1,0)+IF(CQ326="D",1,0)+IF(CR326="D",1,0)+IF(CS326="D",1,0)+IF(CW326="D",1,0)+IF(CX326="D",1,0)+IF(DD326="D",1,0)+IF(DE326="D",1,0)+IF(DJ326="D",1,0)+IF(DK326="D",1,0)+IF(DO326="D",1,0)+IF(DP326="D",1,0)+IF(DQ326="D",1,0)+IF(DW326="D",1,0)+IF(DZ326="D",1,0)+IF(EH326="D",1,0)</f>
        <v/>
      </c>
      <c r="AY326">
        <f>IF(DJ326&lt;&gt;"",1,0)+IF(DK326&lt;&gt;"",1,0)+IF(DM326&lt;&gt;"",1,0)+IF(DO326&lt;&gt;"",1,0)+IF(DP326&lt;&gt;"",1,0)+IF(DQ326&lt;&gt;"",1,0)+IF(DS326&lt;&gt;"",1,0)+IF(DT326&lt;&gt;"",1,0)+IF(DV326&lt;&gt;"",1,0)+IF(DW326&lt;&gt;"",1,0)+IF(DX326&lt;&gt;"",1,0)+IF(DY326&lt;&gt;"",1,0)+IF(DZ326&lt;&gt;"",1,0)+IF(EB326&lt;&gt;"",1,0)+IF(EC326&lt;&gt;"",1,0)+IF(ED326&lt;&gt;"",1,0)+IF(EG326&lt;&gt;"",1,0)+IF(EH326&lt;&gt;"",1,0)</f>
        <v/>
      </c>
      <c r="AZ326">
        <f>IF(EH326&lt;&gt;"",1,0)</f>
        <v/>
      </c>
      <c r="BB326" t="inlineStr">
        <is>
          <t>WARREN-WARD 4</t>
        </is>
      </c>
      <c r="EF326" t="inlineStr">
        <is>
          <t>X</t>
        </is>
      </c>
    </row>
    <row r="327">
      <c r="A327" t="inlineStr">
        <is>
          <t>OH0025122788</t>
        </is>
      </c>
      <c r="B327" t="n">
        <v>78</v>
      </c>
      <c r="C327" t="n">
        <v>440042</v>
      </c>
      <c r="D327" t="inlineStr">
        <is>
          <t>HAUGHT</t>
        </is>
      </c>
      <c r="E327" t="inlineStr">
        <is>
          <t>MATTHEW</t>
        </is>
      </c>
      <c r="F327">
        <f>CONCATENATE(D327," ",LEFT(H327,4),"T=",AU327,"D=",AV327,"R=",AW327,"M=",AX327,"L=",AY327,"B=",AZ327)</f>
        <v/>
      </c>
      <c r="G327" t="inlineStr">
        <is>
          <t>T</t>
        </is>
      </c>
      <c r="I327" t="inlineStr">
        <is>
          <t>2001-03-10</t>
        </is>
      </c>
      <c r="J327" t="inlineStr">
        <is>
          <t>2024-11-05</t>
        </is>
      </c>
      <c r="K327" t="inlineStr">
        <is>
          <t>ACTIVE</t>
        </is>
      </c>
      <c r="M327" t="inlineStr">
        <is>
          <t>728 OAK KNOLL AVE SE</t>
        </is>
      </c>
      <c r="N327">
        <f>RIGHT(M327,LEN(M327)-FIND(" ",M327))</f>
        <v/>
      </c>
      <c r="P327" t="inlineStr">
        <is>
          <t>WARREN</t>
        </is>
      </c>
      <c r="Q327" t="inlineStr">
        <is>
          <t>OH</t>
        </is>
      </c>
      <c r="R327" t="n">
        <v>44484</v>
      </c>
      <c r="AD327" t="inlineStr">
        <is>
          <t>TRUMBULL CAREER &amp; TECH CENTER</t>
        </is>
      </c>
      <c r="AE327" t="inlineStr">
        <is>
          <t>WARREN CITY</t>
        </is>
      </c>
      <c r="AF327" t="inlineStr">
        <is>
          <t>WARREN CITY SD</t>
        </is>
      </c>
      <c r="AH327" t="n">
        <v>14</v>
      </c>
      <c r="AI327" t="n">
        <v>11</v>
      </c>
      <c r="AN327" t="inlineStr">
        <is>
          <t>WARREN</t>
        </is>
      </c>
      <c r="AO327" t="inlineStr">
        <is>
          <t>WARREN CITY 4A</t>
        </is>
      </c>
      <c r="AP327" t="inlineStr">
        <is>
          <t>78-P-ADI</t>
        </is>
      </c>
      <c r="AQ327" t="n">
        <v>9</v>
      </c>
      <c r="AR327" t="n">
        <v>64</v>
      </c>
      <c r="AS327" t="n">
        <v>32</v>
      </c>
      <c r="AU327">
        <f>COUNTA($BA$327:$EH$327)</f>
        <v/>
      </c>
      <c r="AV327">
        <f>COUNTIF($BA$327:$EH$327,"D")</f>
        <v/>
      </c>
      <c r="AW327">
        <f>COUNTIF($BA$327:$EH$327,"R")</f>
        <v/>
      </c>
      <c r="AX327">
        <f>IF(BN327="D",1,0)+IF(BO327="D",1,0)+IF(BT327="D",1,0)+IF(BU327="D",1,0)+IF(BW327="D",1,0)+IF(CC327="D",1,0)+IF(CD327="D",1,0)+IF(CE327="D",1,0)+IF(CF327="D",1,0)+IF(CL327="D",1,0)+IF(CM327="D",1,0)+IF(CQ327="D",1,0)+IF(CR327="D",1,0)+IF(CS327="D",1,0)+IF(CW327="D",1,0)+IF(CX327="D",1,0)+IF(DD327="D",1,0)+IF(DE327="D",1,0)+IF(DJ327="D",1,0)+IF(DK327="D",1,0)+IF(DO327="D",1,0)+IF(DP327="D",1,0)+IF(DQ327="D",1,0)+IF(DW327="D",1,0)+IF(DZ327="D",1,0)+IF(EH327="D",1,0)</f>
        <v/>
      </c>
      <c r="AY327">
        <f>IF(DJ327&lt;&gt;"",1,0)+IF(DK327&lt;&gt;"",1,0)+IF(DM327&lt;&gt;"",1,0)+IF(DO327&lt;&gt;"",1,0)+IF(DP327&lt;&gt;"",1,0)+IF(DQ327&lt;&gt;"",1,0)+IF(DS327&lt;&gt;"",1,0)+IF(DT327&lt;&gt;"",1,0)+IF(DV327&lt;&gt;"",1,0)+IF(DW327&lt;&gt;"",1,0)+IF(DX327&lt;&gt;"",1,0)+IF(DY327&lt;&gt;"",1,0)+IF(DZ327&lt;&gt;"",1,0)+IF(EB327&lt;&gt;"",1,0)+IF(EC327&lt;&gt;"",1,0)+IF(ED327&lt;&gt;"",1,0)+IF(EG327&lt;&gt;"",1,0)+IF(EH327&lt;&gt;"",1,0)</f>
        <v/>
      </c>
      <c r="AZ327">
        <f>IF(EH327&lt;&gt;"",1,0)</f>
        <v/>
      </c>
      <c r="BB327" t="inlineStr">
        <is>
          <t>WARREN-WARD 4</t>
        </is>
      </c>
      <c r="EF327" t="inlineStr">
        <is>
          <t>X</t>
        </is>
      </c>
    </row>
    <row r="328">
      <c r="A328" t="inlineStr">
        <is>
          <t>OH0026503378</t>
        </is>
      </c>
      <c r="B328" t="n">
        <v>78</v>
      </c>
      <c r="C328" t="n">
        <v>463099</v>
      </c>
      <c r="D328" t="inlineStr">
        <is>
          <t>JASKIEWICZ</t>
        </is>
      </c>
      <c r="E328" t="inlineStr">
        <is>
          <t>JEFFREY</t>
        </is>
      </c>
      <c r="F328">
        <f>CONCATENATE(D328," ",LEFT(H328,4),"T=",AU328,"D=",AV328,"R=",AW328,"M=",AX328,"L=",AY328,"B=",AZ328)</f>
        <v/>
      </c>
      <c r="G328" t="inlineStr">
        <is>
          <t>R</t>
        </is>
      </c>
      <c r="I328" t="inlineStr">
        <is>
          <t>1977-07-19</t>
        </is>
      </c>
      <c r="J328" t="inlineStr">
        <is>
          <t>2022-05-27</t>
        </is>
      </c>
      <c r="K328" t="inlineStr">
        <is>
          <t>ACTIVE</t>
        </is>
      </c>
      <c r="M328" t="inlineStr">
        <is>
          <t>322 BONNIE BRAE AVE SE</t>
        </is>
      </c>
      <c r="N328">
        <f>RIGHT(M328,LEN(M328)-FIND(" ",M328))</f>
        <v/>
      </c>
      <c r="P328" t="inlineStr">
        <is>
          <t>WARREN</t>
        </is>
      </c>
      <c r="Q328" t="inlineStr">
        <is>
          <t>OH</t>
        </is>
      </c>
      <c r="R328" t="n">
        <v>44484</v>
      </c>
      <c r="AD328" t="inlineStr">
        <is>
          <t>TRUMBULL CAREER &amp; TECH CENTER</t>
        </is>
      </c>
      <c r="AE328" t="inlineStr">
        <is>
          <t>WARREN CITY</t>
        </is>
      </c>
      <c r="AF328" t="inlineStr">
        <is>
          <t>WARREN CITY SD</t>
        </is>
      </c>
      <c r="AH328" t="n">
        <v>14</v>
      </c>
      <c r="AI328" t="n">
        <v>11</v>
      </c>
      <c r="AN328" t="inlineStr">
        <is>
          <t>WARREN</t>
        </is>
      </c>
      <c r="AO328" t="inlineStr">
        <is>
          <t>WARREN CITY 4A</t>
        </is>
      </c>
      <c r="AP328" t="inlineStr">
        <is>
          <t>78-P-ADI</t>
        </is>
      </c>
      <c r="AQ328" t="n">
        <v>9</v>
      </c>
      <c r="AR328" t="n">
        <v>64</v>
      </c>
      <c r="AS328" t="n">
        <v>32</v>
      </c>
      <c r="AU328">
        <f>COUNTA($BA$328:$EH$328)</f>
        <v/>
      </c>
      <c r="AV328">
        <f>COUNTIF($BA$328:$EH$328,"D")</f>
        <v/>
      </c>
      <c r="AW328">
        <f>COUNTIF($BA$328:$EH$328,"R")</f>
        <v/>
      </c>
      <c r="AX328">
        <f>IF(BN328="D",1,0)+IF(BO328="D",1,0)+IF(BT328="D",1,0)+IF(BU328="D",1,0)+IF(BW328="D",1,0)+IF(CC328="D",1,0)+IF(CD328="D",1,0)+IF(CE328="D",1,0)+IF(CF328="D",1,0)+IF(CL328="D",1,0)+IF(CM328="D",1,0)+IF(CQ328="D",1,0)+IF(CR328="D",1,0)+IF(CS328="D",1,0)+IF(CW328="D",1,0)+IF(CX328="D",1,0)+IF(DD328="D",1,0)+IF(DE328="D",1,0)+IF(DJ328="D",1,0)+IF(DK328="D",1,0)+IF(DO328="D",1,0)+IF(DP328="D",1,0)+IF(DQ328="D",1,0)+IF(DW328="D",1,0)+IF(DZ328="D",1,0)+IF(EH328="D",1,0)</f>
        <v/>
      </c>
      <c r="AY328">
        <f>IF(DJ328&lt;&gt;"",1,0)+IF(DK328&lt;&gt;"",1,0)+IF(DM328&lt;&gt;"",1,0)+IF(DO328&lt;&gt;"",1,0)+IF(DP328&lt;&gt;"",1,0)+IF(DQ328&lt;&gt;"",1,0)+IF(DS328&lt;&gt;"",1,0)+IF(DT328&lt;&gt;"",1,0)+IF(DV328&lt;&gt;"",1,0)+IF(DW328&lt;&gt;"",1,0)+IF(DX328&lt;&gt;"",1,0)+IF(DY328&lt;&gt;"",1,0)+IF(DZ328&lt;&gt;"",1,0)+IF(EB328&lt;&gt;"",1,0)+IF(EC328&lt;&gt;"",1,0)+IF(ED328&lt;&gt;"",1,0)+IF(EG328&lt;&gt;"",1,0)+IF(EH328&lt;&gt;"",1,0)</f>
        <v/>
      </c>
      <c r="AZ328">
        <f>IF(EH328&lt;&gt;"",1,0)</f>
        <v/>
      </c>
      <c r="BB328" t="inlineStr">
        <is>
          <t>WARREN-WARD 4</t>
        </is>
      </c>
      <c r="CA328" t="inlineStr">
        <is>
          <t>X</t>
        </is>
      </c>
    </row>
    <row r="329">
      <c r="A329" t="inlineStr">
        <is>
          <t>OH0019981696</t>
        </is>
      </c>
      <c r="B329" t="n">
        <v>78</v>
      </c>
      <c r="C329" t="n">
        <v>361027</v>
      </c>
      <c r="D329" t="inlineStr">
        <is>
          <t>CLAY</t>
        </is>
      </c>
      <c r="E329" t="inlineStr">
        <is>
          <t>CONSTANCE</t>
        </is>
      </c>
      <c r="F329">
        <f>CONCATENATE(D329," ",LEFT(H329,4),"T=",AU329,"D=",AV329,"R=",AW329,"M=",AX329,"L=",AY329,"B=",AZ329)</f>
        <v/>
      </c>
      <c r="G329" t="inlineStr">
        <is>
          <t>D</t>
        </is>
      </c>
      <c r="I329" t="inlineStr">
        <is>
          <t>1986-11-10</t>
        </is>
      </c>
      <c r="J329" t="inlineStr">
        <is>
          <t>2014-10-21</t>
        </is>
      </c>
      <c r="K329" t="inlineStr">
        <is>
          <t>CONFIRMATION</t>
        </is>
      </c>
      <c r="M329" t="inlineStr">
        <is>
          <t>397 IDDINGS AVE SE</t>
        </is>
      </c>
      <c r="N329">
        <f>RIGHT(M329,LEN(M329)-FIND(" ",M329))</f>
        <v/>
      </c>
      <c r="P329" t="inlineStr">
        <is>
          <t>WARREN</t>
        </is>
      </c>
      <c r="Q329" t="inlineStr">
        <is>
          <t>OH</t>
        </is>
      </c>
      <c r="R329" t="n">
        <v>44483</v>
      </c>
      <c r="AD329" t="inlineStr">
        <is>
          <t>TRUMBULL CAREER &amp; TECH CENTER</t>
        </is>
      </c>
      <c r="AE329" t="inlineStr">
        <is>
          <t>WARREN CITY</t>
        </is>
      </c>
      <c r="AF329" t="inlineStr">
        <is>
          <t>WARREN CITY SD</t>
        </is>
      </c>
      <c r="AH329" t="n">
        <v>14</v>
      </c>
      <c r="AI329" t="n">
        <v>11</v>
      </c>
      <c r="AN329" t="inlineStr">
        <is>
          <t>WARREN</t>
        </is>
      </c>
      <c r="AO329" t="inlineStr">
        <is>
          <t>WARREN CITY 4A</t>
        </is>
      </c>
      <c r="AP329" t="inlineStr">
        <is>
          <t>78-P-ADI</t>
        </is>
      </c>
      <c r="AQ329" t="n">
        <v>9</v>
      </c>
      <c r="AR329" t="n">
        <v>64</v>
      </c>
      <c r="AS329" t="n">
        <v>32</v>
      </c>
      <c r="AU329">
        <f>COUNTA($BA$329:$EH$329)</f>
        <v/>
      </c>
      <c r="AV329">
        <f>COUNTIF($BA$329:$EH$329,"D")</f>
        <v/>
      </c>
      <c r="AW329">
        <f>COUNTIF($BA$329:$EH$329,"R")</f>
        <v/>
      </c>
      <c r="AX329">
        <f>IF(BN329="D",1,0)+IF(BO329="D",1,0)+IF(BT329="D",1,0)+IF(BU329="D",1,0)+IF(BW329="D",1,0)+IF(CC329="D",1,0)+IF(CD329="D",1,0)+IF(CE329="D",1,0)+IF(CF329="D",1,0)+IF(CL329="D",1,0)+IF(CM329="D",1,0)+IF(CQ329="D",1,0)+IF(CR329="D",1,0)+IF(CS329="D",1,0)+IF(CW329="D",1,0)+IF(CX329="D",1,0)+IF(DD329="D",1,0)+IF(DE329="D",1,0)+IF(DJ329="D",1,0)+IF(DK329="D",1,0)+IF(DO329="D",1,0)+IF(DP329="D",1,0)+IF(DQ329="D",1,0)+IF(DW329="D",1,0)+IF(DZ329="D",1,0)+IF(EH329="D",1,0)</f>
        <v/>
      </c>
      <c r="AY329">
        <f>IF(DJ329&lt;&gt;"",1,0)+IF(DK329&lt;&gt;"",1,0)+IF(DM329&lt;&gt;"",1,0)+IF(DO329&lt;&gt;"",1,0)+IF(DP329&lt;&gt;"",1,0)+IF(DQ329&lt;&gt;"",1,0)+IF(DS329&lt;&gt;"",1,0)+IF(DT329&lt;&gt;"",1,0)+IF(DV329&lt;&gt;"",1,0)+IF(DW329&lt;&gt;"",1,0)+IF(DX329&lt;&gt;"",1,0)+IF(DY329&lt;&gt;"",1,0)+IF(DZ329&lt;&gt;"",1,0)+IF(EB329&lt;&gt;"",1,0)+IF(EC329&lt;&gt;"",1,0)+IF(ED329&lt;&gt;"",1,0)+IF(EG329&lt;&gt;"",1,0)+IF(EH329&lt;&gt;"",1,0)</f>
        <v/>
      </c>
      <c r="AZ329">
        <f>IF(EH329&lt;&gt;"",1,0)</f>
        <v/>
      </c>
      <c r="BB329" t="inlineStr">
        <is>
          <t>WARREN-WARD 4</t>
        </is>
      </c>
      <c r="CZ329" t="inlineStr">
        <is>
          <t>D</t>
        </is>
      </c>
      <c r="DI329" t="inlineStr">
        <is>
          <t>X</t>
        </is>
      </c>
      <c r="DN329" t="inlineStr">
        <is>
          <t>X</t>
        </is>
      </c>
    </row>
    <row r="330">
      <c r="A330" t="inlineStr">
        <is>
          <t>OH0024871967</t>
        </is>
      </c>
      <c r="B330" t="n">
        <v>78</v>
      </c>
      <c r="C330" t="n">
        <v>436243</v>
      </c>
      <c r="D330" t="inlineStr">
        <is>
          <t>LEWIS</t>
        </is>
      </c>
      <c r="E330" t="inlineStr">
        <is>
          <t>MICHAEL</t>
        </is>
      </c>
      <c r="F330">
        <f>CONCATENATE(D330," ",LEFT(H330,4),"T=",AU330,"D=",AV330,"R=",AW330,"M=",AX330,"L=",AY330,"B=",AZ330)</f>
        <v/>
      </c>
      <c r="G330" t="inlineStr">
        <is>
          <t>DWAYNE</t>
        </is>
      </c>
      <c r="I330" t="inlineStr">
        <is>
          <t>1979-05-03</t>
        </is>
      </c>
      <c r="J330" t="inlineStr">
        <is>
          <t>2018-10-09</t>
        </is>
      </c>
      <c r="K330" t="inlineStr">
        <is>
          <t>ACTIVE</t>
        </is>
      </c>
      <c r="M330" t="inlineStr">
        <is>
          <t>206 WOODBINE AVE SE</t>
        </is>
      </c>
      <c r="N330">
        <f>RIGHT(M330,LEN(M330)-FIND(" ",M330))</f>
        <v/>
      </c>
      <c r="P330" t="inlineStr">
        <is>
          <t>WARREN</t>
        </is>
      </c>
      <c r="Q330" t="inlineStr">
        <is>
          <t>OH</t>
        </is>
      </c>
      <c r="R330" t="n">
        <v>44483</v>
      </c>
      <c r="AD330" t="inlineStr">
        <is>
          <t>TRUMBULL CAREER &amp; TECH CENTER</t>
        </is>
      </c>
      <c r="AE330" t="inlineStr">
        <is>
          <t>WARREN CITY</t>
        </is>
      </c>
      <c r="AF330" t="inlineStr">
        <is>
          <t>WARREN CITY SD</t>
        </is>
      </c>
      <c r="AH330" t="n">
        <v>14</v>
      </c>
      <c r="AI330" t="n">
        <v>11</v>
      </c>
      <c r="AN330" t="inlineStr">
        <is>
          <t>WARREN</t>
        </is>
      </c>
      <c r="AO330" t="inlineStr">
        <is>
          <t>WARREN CITY 4A</t>
        </is>
      </c>
      <c r="AP330" t="inlineStr">
        <is>
          <t>78-P-ADI</t>
        </is>
      </c>
      <c r="AQ330" t="n">
        <v>9</v>
      </c>
      <c r="AR330" t="n">
        <v>64</v>
      </c>
      <c r="AS330" t="n">
        <v>32</v>
      </c>
      <c r="AU330">
        <f>COUNTA($BA$330:$EH$330)</f>
        <v/>
      </c>
      <c r="AV330">
        <f>COUNTIF($BA$330:$EH$330,"D")</f>
        <v/>
      </c>
      <c r="AW330">
        <f>COUNTIF($BA$330:$EH$330,"R")</f>
        <v/>
      </c>
      <c r="AX330">
        <f>IF(BN330="D",1,0)+IF(BO330="D",1,0)+IF(BT330="D",1,0)+IF(BU330="D",1,0)+IF(BW330="D",1,0)+IF(CC330="D",1,0)+IF(CD330="D",1,0)+IF(CE330="D",1,0)+IF(CF330="D",1,0)+IF(CL330="D",1,0)+IF(CM330="D",1,0)+IF(CQ330="D",1,0)+IF(CR330="D",1,0)+IF(CS330="D",1,0)+IF(CW330="D",1,0)+IF(CX330="D",1,0)+IF(DD330="D",1,0)+IF(DE330="D",1,0)+IF(DJ330="D",1,0)+IF(DK330="D",1,0)+IF(DO330="D",1,0)+IF(DP330="D",1,0)+IF(DQ330="D",1,0)+IF(DW330="D",1,0)+IF(DZ330="D",1,0)+IF(EH330="D",1,0)</f>
        <v/>
      </c>
      <c r="AY330">
        <f>IF(DJ330&lt;&gt;"",1,0)+IF(DK330&lt;&gt;"",1,0)+IF(DM330&lt;&gt;"",1,0)+IF(DO330&lt;&gt;"",1,0)+IF(DP330&lt;&gt;"",1,0)+IF(DQ330&lt;&gt;"",1,0)+IF(DS330&lt;&gt;"",1,0)+IF(DT330&lt;&gt;"",1,0)+IF(DV330&lt;&gt;"",1,0)+IF(DW330&lt;&gt;"",1,0)+IF(DX330&lt;&gt;"",1,0)+IF(DY330&lt;&gt;"",1,0)+IF(DZ330&lt;&gt;"",1,0)+IF(EB330&lt;&gt;"",1,0)+IF(EC330&lt;&gt;"",1,0)+IF(ED330&lt;&gt;"",1,0)+IF(EG330&lt;&gt;"",1,0)+IF(EH330&lt;&gt;"",1,0)</f>
        <v/>
      </c>
      <c r="AZ330">
        <f>IF(EH330&lt;&gt;"",1,0)</f>
        <v/>
      </c>
      <c r="BB330" t="inlineStr">
        <is>
          <t>WARREN-WARD 4</t>
        </is>
      </c>
      <c r="DI330" t="inlineStr">
        <is>
          <t>X</t>
        </is>
      </c>
      <c r="DN330" t="inlineStr">
        <is>
          <t>X</t>
        </is>
      </c>
      <c r="DU330" t="inlineStr">
        <is>
          <t>X</t>
        </is>
      </c>
      <c r="EA330" t="inlineStr">
        <is>
          <t>X</t>
        </is>
      </c>
      <c r="EF330" t="inlineStr">
        <is>
          <t>X</t>
        </is>
      </c>
    </row>
    <row r="331">
      <c r="A331" t="inlineStr">
        <is>
          <t>OH0019365974</t>
        </is>
      </c>
      <c r="B331" t="n">
        <v>78</v>
      </c>
      <c r="C331" t="n">
        <v>353594</v>
      </c>
      <c r="D331" t="inlineStr">
        <is>
          <t>DUDLEY</t>
        </is>
      </c>
      <c r="E331" t="inlineStr">
        <is>
          <t>BREANNA</t>
        </is>
      </c>
      <c r="F331">
        <f>CONCATENATE(D331," ",LEFT(H331,4),"T=",AU331,"D=",AV331,"R=",AW331,"M=",AX331,"L=",AY331,"B=",AZ331)</f>
        <v/>
      </c>
      <c r="G331" t="inlineStr">
        <is>
          <t>GENEA</t>
        </is>
      </c>
      <c r="I331" t="inlineStr">
        <is>
          <t>1989-11-24</t>
        </is>
      </c>
      <c r="J331" t="inlineStr">
        <is>
          <t>2017-02-21</t>
        </is>
      </c>
      <c r="K331" t="inlineStr">
        <is>
          <t>CONFIRMATION</t>
        </is>
      </c>
      <c r="M331" t="inlineStr">
        <is>
          <t>467 HOMEWOOD AVE SE</t>
        </is>
      </c>
      <c r="N331">
        <f>RIGHT(M331,LEN(M331)-FIND(" ",M331))</f>
        <v/>
      </c>
      <c r="P331" t="inlineStr">
        <is>
          <t>WARREN</t>
        </is>
      </c>
      <c r="Q331" t="inlineStr">
        <is>
          <t>OH</t>
        </is>
      </c>
      <c r="R331" t="n">
        <v>44483</v>
      </c>
      <c r="AD331" t="inlineStr">
        <is>
          <t>TRUMBULL CAREER &amp; TECH CENTER</t>
        </is>
      </c>
      <c r="AE331" t="inlineStr">
        <is>
          <t>WARREN CITY</t>
        </is>
      </c>
      <c r="AF331" t="inlineStr">
        <is>
          <t>WARREN CITY SD</t>
        </is>
      </c>
      <c r="AH331" t="n">
        <v>14</v>
      </c>
      <c r="AI331" t="n">
        <v>11</v>
      </c>
      <c r="AN331" t="inlineStr">
        <is>
          <t>WARREN</t>
        </is>
      </c>
      <c r="AO331" t="inlineStr">
        <is>
          <t>WARREN CITY 4A</t>
        </is>
      </c>
      <c r="AP331" t="inlineStr">
        <is>
          <t>78-P-ADI</t>
        </is>
      </c>
      <c r="AQ331" t="n">
        <v>9</v>
      </c>
      <c r="AR331" t="n">
        <v>64</v>
      </c>
      <c r="AS331" t="n">
        <v>32</v>
      </c>
      <c r="AU331">
        <f>COUNTA($BA$331:$EH$331)</f>
        <v/>
      </c>
      <c r="AV331">
        <f>COUNTIF($BA$331:$EH$331,"D")</f>
        <v/>
      </c>
      <c r="AW331">
        <f>COUNTIF($BA$331:$EH$331,"R")</f>
        <v/>
      </c>
      <c r="AX331">
        <f>IF(BN331="D",1,0)+IF(BO331="D",1,0)+IF(BT331="D",1,0)+IF(BU331="D",1,0)+IF(BW331="D",1,0)+IF(CC331="D",1,0)+IF(CD331="D",1,0)+IF(CE331="D",1,0)+IF(CF331="D",1,0)+IF(CL331="D",1,0)+IF(CM331="D",1,0)+IF(CQ331="D",1,0)+IF(CR331="D",1,0)+IF(CS331="D",1,0)+IF(CW331="D",1,0)+IF(CX331="D",1,0)+IF(DD331="D",1,0)+IF(DE331="D",1,0)+IF(DJ331="D",1,0)+IF(DK331="D",1,0)+IF(DO331="D",1,0)+IF(DP331="D",1,0)+IF(DQ331="D",1,0)+IF(DW331="D",1,0)+IF(DZ331="D",1,0)+IF(EH331="D",1,0)</f>
        <v/>
      </c>
      <c r="AY331">
        <f>IF(DJ331&lt;&gt;"",1,0)+IF(DK331&lt;&gt;"",1,0)+IF(DM331&lt;&gt;"",1,0)+IF(DO331&lt;&gt;"",1,0)+IF(DP331&lt;&gt;"",1,0)+IF(DQ331&lt;&gt;"",1,0)+IF(DS331&lt;&gt;"",1,0)+IF(DT331&lt;&gt;"",1,0)+IF(DV331&lt;&gt;"",1,0)+IF(DW331&lt;&gt;"",1,0)+IF(DX331&lt;&gt;"",1,0)+IF(DY331&lt;&gt;"",1,0)+IF(DZ331&lt;&gt;"",1,0)+IF(EB331&lt;&gt;"",1,0)+IF(EC331&lt;&gt;"",1,0)+IF(ED331&lt;&gt;"",1,0)+IF(EG331&lt;&gt;"",1,0)+IF(EH331&lt;&gt;"",1,0)</f>
        <v/>
      </c>
      <c r="AZ331">
        <f>IF(EH331&lt;&gt;"",1,0)</f>
        <v/>
      </c>
      <c r="BB331" t="inlineStr">
        <is>
          <t>WARREN-WARD 4</t>
        </is>
      </c>
      <c r="CU331" t="inlineStr">
        <is>
          <t>D</t>
        </is>
      </c>
      <c r="CY331" t="inlineStr">
        <is>
          <t>X</t>
        </is>
      </c>
    </row>
    <row r="332">
      <c r="A332" t="inlineStr">
        <is>
          <t>OH0027556702</t>
        </is>
      </c>
      <c r="B332" t="n">
        <v>78</v>
      </c>
      <c r="C332" t="n">
        <v>488355</v>
      </c>
      <c r="D332" t="inlineStr">
        <is>
          <t>DENNIS</t>
        </is>
      </c>
      <c r="E332" t="inlineStr">
        <is>
          <t>CARLI</t>
        </is>
      </c>
      <c r="F332">
        <f>CONCATENATE(D332," ",LEFT(H332,4),"T=",AU332,"D=",AV332,"R=",AW332,"M=",AX332,"L=",AY332,"B=",AZ332)</f>
        <v/>
      </c>
      <c r="G332" t="inlineStr">
        <is>
          <t>JO</t>
        </is>
      </c>
      <c r="I332" t="inlineStr">
        <is>
          <t>1981-10-12</t>
        </is>
      </c>
      <c r="J332" t="inlineStr">
        <is>
          <t>2024-09-03</t>
        </is>
      </c>
      <c r="K332" t="inlineStr">
        <is>
          <t>ACTIVE</t>
        </is>
      </c>
      <c r="M332" t="inlineStr">
        <is>
          <t>517 OAK KNOLL AVE SE</t>
        </is>
      </c>
      <c r="N332">
        <f>RIGHT(M332,LEN(M332)-FIND(" ",M332))</f>
        <v/>
      </c>
      <c r="P332" t="inlineStr">
        <is>
          <t>WARREN</t>
        </is>
      </c>
      <c r="Q332" t="inlineStr">
        <is>
          <t>OH</t>
        </is>
      </c>
      <c r="R332" t="n">
        <v>44483</v>
      </c>
      <c r="AD332" t="inlineStr">
        <is>
          <t>TRUMBULL CAREER &amp; TECH CENTER</t>
        </is>
      </c>
      <c r="AE332" t="inlineStr">
        <is>
          <t>WARREN CITY</t>
        </is>
      </c>
      <c r="AF332" t="inlineStr">
        <is>
          <t>WARREN CITY SD</t>
        </is>
      </c>
      <c r="AH332" t="n">
        <v>14</v>
      </c>
      <c r="AI332" t="n">
        <v>11</v>
      </c>
      <c r="AN332" t="inlineStr">
        <is>
          <t>WARREN</t>
        </is>
      </c>
      <c r="AO332" t="inlineStr">
        <is>
          <t>WARREN CITY 4A</t>
        </is>
      </c>
      <c r="AP332" t="inlineStr">
        <is>
          <t>78-P-ADI</t>
        </is>
      </c>
      <c r="AQ332" t="n">
        <v>9</v>
      </c>
      <c r="AR332" t="n">
        <v>64</v>
      </c>
      <c r="AS332" t="n">
        <v>32</v>
      </c>
      <c r="AU332">
        <f>COUNTA($BA$332:$EH$332)</f>
        <v/>
      </c>
      <c r="AV332">
        <f>COUNTIF($BA$332:$EH$332,"D")</f>
        <v/>
      </c>
      <c r="AW332">
        <f>COUNTIF($BA$332:$EH$332,"R")</f>
        <v/>
      </c>
      <c r="AX332">
        <f>IF(BN332="D",1,0)+IF(BO332="D",1,0)+IF(BT332="D",1,0)+IF(BU332="D",1,0)+IF(BW332="D",1,0)+IF(CC332="D",1,0)+IF(CD332="D",1,0)+IF(CE332="D",1,0)+IF(CF332="D",1,0)+IF(CL332="D",1,0)+IF(CM332="D",1,0)+IF(CQ332="D",1,0)+IF(CR332="D",1,0)+IF(CS332="D",1,0)+IF(CW332="D",1,0)+IF(CX332="D",1,0)+IF(DD332="D",1,0)+IF(DE332="D",1,0)+IF(DJ332="D",1,0)+IF(DK332="D",1,0)+IF(DO332="D",1,0)+IF(DP332="D",1,0)+IF(DQ332="D",1,0)+IF(DW332="D",1,0)+IF(DZ332="D",1,0)+IF(EH332="D",1,0)</f>
        <v/>
      </c>
      <c r="AY332">
        <f>IF(DJ332&lt;&gt;"",1,0)+IF(DK332&lt;&gt;"",1,0)+IF(DM332&lt;&gt;"",1,0)+IF(DO332&lt;&gt;"",1,0)+IF(DP332&lt;&gt;"",1,0)+IF(DQ332&lt;&gt;"",1,0)+IF(DS332&lt;&gt;"",1,0)+IF(DT332&lt;&gt;"",1,0)+IF(DV332&lt;&gt;"",1,0)+IF(DW332&lt;&gt;"",1,0)+IF(DX332&lt;&gt;"",1,0)+IF(DY332&lt;&gt;"",1,0)+IF(DZ332&lt;&gt;"",1,0)+IF(EB332&lt;&gt;"",1,0)+IF(EC332&lt;&gt;"",1,0)+IF(ED332&lt;&gt;"",1,0)+IF(EG332&lt;&gt;"",1,0)+IF(EH332&lt;&gt;"",1,0)</f>
        <v/>
      </c>
      <c r="AZ332">
        <f>IF(EH332&lt;&gt;"",1,0)</f>
        <v/>
      </c>
      <c r="BB332" t="inlineStr">
        <is>
          <t>WARREN-WARD 4</t>
        </is>
      </c>
      <c r="EF332" t="inlineStr">
        <is>
          <t>X</t>
        </is>
      </c>
    </row>
    <row r="333">
      <c r="A333" t="inlineStr">
        <is>
          <t>OH0015771738</t>
        </is>
      </c>
      <c r="B333" t="n">
        <v>78</v>
      </c>
      <c r="C333" t="n">
        <v>309779</v>
      </c>
      <c r="D333" t="inlineStr">
        <is>
          <t>GLENN</t>
        </is>
      </c>
      <c r="E333" t="inlineStr">
        <is>
          <t>CARRIE</t>
        </is>
      </c>
      <c r="F333">
        <f>CONCATENATE(D333," ",LEFT(H333,4),"T=",AU333,"D=",AV333,"R=",AW333,"M=",AX333,"L=",AY333,"B=",AZ333)</f>
        <v/>
      </c>
      <c r="G333" t="inlineStr">
        <is>
          <t>ELIZABETH</t>
        </is>
      </c>
      <c r="I333" t="inlineStr">
        <is>
          <t>1984-08-23</t>
        </is>
      </c>
      <c r="J333" t="inlineStr">
        <is>
          <t>2012-10-09</t>
        </is>
      </c>
      <c r="K333" t="inlineStr">
        <is>
          <t>ACTIVE</t>
        </is>
      </c>
      <c r="L333" t="inlineStr">
        <is>
          <t>D</t>
        </is>
      </c>
      <c r="M333" t="inlineStr">
        <is>
          <t>183 HOMEWOOD AVE SE</t>
        </is>
      </c>
      <c r="N333">
        <f>RIGHT(M333,LEN(M333)-FIND(" ",M333))</f>
        <v/>
      </c>
      <c r="P333" t="inlineStr">
        <is>
          <t>WARREN</t>
        </is>
      </c>
      <c r="Q333" t="inlineStr">
        <is>
          <t>OH</t>
        </is>
      </c>
      <c r="R333" t="n">
        <v>44483</v>
      </c>
      <c r="AD333" t="inlineStr">
        <is>
          <t>TRUMBULL CAREER &amp; TECH CENTER</t>
        </is>
      </c>
      <c r="AE333" t="inlineStr">
        <is>
          <t>WARREN CITY</t>
        </is>
      </c>
      <c r="AF333" t="inlineStr">
        <is>
          <t>WARREN CITY SD</t>
        </is>
      </c>
      <c r="AH333" t="n">
        <v>14</v>
      </c>
      <c r="AI333" t="n">
        <v>11</v>
      </c>
      <c r="AN333" t="inlineStr">
        <is>
          <t>WARREN</t>
        </is>
      </c>
      <c r="AO333" t="inlineStr">
        <is>
          <t>WARREN CITY 4A</t>
        </is>
      </c>
      <c r="AP333" t="inlineStr">
        <is>
          <t>78-P-ADI</t>
        </is>
      </c>
      <c r="AQ333" t="n">
        <v>9</v>
      </c>
      <c r="AR333" t="n">
        <v>64</v>
      </c>
      <c r="AS333" t="n">
        <v>32</v>
      </c>
      <c r="AU333">
        <f>COUNTA($BA$333:$EH$333)</f>
        <v/>
      </c>
      <c r="AV333">
        <f>COUNTIF($BA$333:$EH$333,"D")</f>
        <v/>
      </c>
      <c r="AW333">
        <f>COUNTIF($BA$333:$EH$333,"R")</f>
        <v/>
      </c>
      <c r="AX333">
        <f>IF(BN333="D",1,0)+IF(BO333="D",1,0)+IF(BT333="D",1,0)+IF(BU333="D",1,0)+IF(BW333="D",1,0)+IF(CC333="D",1,0)+IF(CD333="D",1,0)+IF(CE333="D",1,0)+IF(CF333="D",1,0)+IF(CL333="D",1,0)+IF(CM333="D",1,0)+IF(CQ333="D",1,0)+IF(CR333="D",1,0)+IF(CS333="D",1,0)+IF(CW333="D",1,0)+IF(CX333="D",1,0)+IF(DD333="D",1,0)+IF(DE333="D",1,0)+IF(DJ333="D",1,0)+IF(DK333="D",1,0)+IF(DO333="D",1,0)+IF(DP333="D",1,0)+IF(DQ333="D",1,0)+IF(DW333="D",1,0)+IF(DZ333="D",1,0)+IF(EH333="D",1,0)</f>
        <v/>
      </c>
      <c r="AY333">
        <f>IF(DJ333&lt;&gt;"",1,0)+IF(DK333&lt;&gt;"",1,0)+IF(DM333&lt;&gt;"",1,0)+IF(DO333&lt;&gt;"",1,0)+IF(DP333&lt;&gt;"",1,0)+IF(DQ333&lt;&gt;"",1,0)+IF(DS333&lt;&gt;"",1,0)+IF(DT333&lt;&gt;"",1,0)+IF(DV333&lt;&gt;"",1,0)+IF(DW333&lt;&gt;"",1,0)+IF(DX333&lt;&gt;"",1,0)+IF(DY333&lt;&gt;"",1,0)+IF(DZ333&lt;&gt;"",1,0)+IF(EB333&lt;&gt;"",1,0)+IF(EC333&lt;&gt;"",1,0)+IF(ED333&lt;&gt;"",1,0)+IF(EG333&lt;&gt;"",1,0)+IF(EH333&lt;&gt;"",1,0)</f>
        <v/>
      </c>
      <c r="AZ333">
        <f>IF(EH333&lt;&gt;"",1,0)</f>
        <v/>
      </c>
      <c r="BB333" t="inlineStr">
        <is>
          <t>WARREN-WARD 4</t>
        </is>
      </c>
      <c r="BH333" t="inlineStr">
        <is>
          <t>X</t>
        </is>
      </c>
      <c r="BI333" t="inlineStr">
        <is>
          <t>X</t>
        </is>
      </c>
      <c r="BJ333" t="inlineStr">
        <is>
          <t>X</t>
        </is>
      </c>
      <c r="BK333" t="inlineStr">
        <is>
          <t>X</t>
        </is>
      </c>
      <c r="BL333" t="inlineStr">
        <is>
          <t>X</t>
        </is>
      </c>
      <c r="BP333" t="inlineStr">
        <is>
          <t>X</t>
        </is>
      </c>
      <c r="BS333" t="inlineStr">
        <is>
          <t>X</t>
        </is>
      </c>
      <c r="CP333" t="inlineStr">
        <is>
          <t>X</t>
        </is>
      </c>
      <c r="CV333" t="inlineStr">
        <is>
          <t>X</t>
        </is>
      </c>
      <c r="CW333" t="inlineStr">
        <is>
          <t>D</t>
        </is>
      </c>
      <c r="CY333" t="inlineStr">
        <is>
          <t>X</t>
        </is>
      </c>
      <c r="CZ333" t="inlineStr">
        <is>
          <t>D</t>
        </is>
      </c>
      <c r="DC333" t="inlineStr">
        <is>
          <t>X</t>
        </is>
      </c>
      <c r="DD333" t="inlineStr">
        <is>
          <t>D</t>
        </is>
      </c>
      <c r="DF333" t="inlineStr">
        <is>
          <t>X</t>
        </is>
      </c>
      <c r="DI333" t="inlineStr">
        <is>
          <t>X</t>
        </is>
      </c>
      <c r="DJ333" t="inlineStr">
        <is>
          <t>D</t>
        </is>
      </c>
      <c r="DL333" t="inlineStr">
        <is>
          <t>X</t>
        </is>
      </c>
      <c r="DN333" t="inlineStr">
        <is>
          <t>X</t>
        </is>
      </c>
      <c r="DR333" t="inlineStr">
        <is>
          <t>X</t>
        </is>
      </c>
      <c r="DS333" t="inlineStr">
        <is>
          <t>D</t>
        </is>
      </c>
      <c r="DU333" t="inlineStr">
        <is>
          <t>X</t>
        </is>
      </c>
      <c r="DW333" t="inlineStr">
        <is>
          <t>D</t>
        </is>
      </c>
      <c r="DX333" t="inlineStr">
        <is>
          <t>X</t>
        </is>
      </c>
      <c r="EA333" t="inlineStr">
        <is>
          <t>X</t>
        </is>
      </c>
      <c r="ED333" t="inlineStr">
        <is>
          <t>D</t>
        </is>
      </c>
      <c r="EF333" t="inlineStr">
        <is>
          <t>X</t>
        </is>
      </c>
      <c r="EH333" t="inlineStr">
        <is>
          <t>D</t>
        </is>
      </c>
    </row>
    <row r="334">
      <c r="A334" t="inlineStr">
        <is>
          <t>OH0024248642</t>
        </is>
      </c>
      <c r="B334" t="n">
        <v>78</v>
      </c>
      <c r="C334" t="n">
        <v>424672</v>
      </c>
      <c r="D334" t="inlineStr">
        <is>
          <t>BEE</t>
        </is>
      </c>
      <c r="E334" t="inlineStr">
        <is>
          <t>CHAD</t>
        </is>
      </c>
      <c r="F334">
        <f>CONCATENATE(D334," ",LEFT(H334,4),"T=",AU334,"D=",AV334,"R=",AW334,"M=",AX334,"L=",AY334,"B=",AZ334)</f>
        <v/>
      </c>
      <c r="G334" t="inlineStr">
        <is>
          <t>D</t>
        </is>
      </c>
      <c r="I334" t="inlineStr">
        <is>
          <t>1983-09-14</t>
        </is>
      </c>
      <c r="J334" t="inlineStr">
        <is>
          <t>2024-08-21</t>
        </is>
      </c>
      <c r="K334" t="inlineStr">
        <is>
          <t>ACTIVE</t>
        </is>
      </c>
      <c r="M334" t="inlineStr">
        <is>
          <t>243 LOGAN AVE SE</t>
        </is>
      </c>
      <c r="N334">
        <f>RIGHT(M334,LEN(M334)-FIND(" ",M334))</f>
        <v/>
      </c>
      <c r="P334" t="inlineStr">
        <is>
          <t>WARREN</t>
        </is>
      </c>
      <c r="Q334" t="inlineStr">
        <is>
          <t>OH</t>
        </is>
      </c>
      <c r="R334" t="n">
        <v>44483</v>
      </c>
      <c r="AD334" t="inlineStr">
        <is>
          <t>TRUMBULL CAREER &amp; TECH CENTER</t>
        </is>
      </c>
      <c r="AE334" t="inlineStr">
        <is>
          <t>WARREN CITY</t>
        </is>
      </c>
      <c r="AF334" t="inlineStr">
        <is>
          <t>WARREN CITY SD</t>
        </is>
      </c>
      <c r="AH334" t="n">
        <v>14</v>
      </c>
      <c r="AI334" t="n">
        <v>11</v>
      </c>
      <c r="AN334" t="inlineStr">
        <is>
          <t>WARREN</t>
        </is>
      </c>
      <c r="AO334" t="inlineStr">
        <is>
          <t>WARREN CITY 4A</t>
        </is>
      </c>
      <c r="AP334" t="inlineStr">
        <is>
          <t>78-P-ADI</t>
        </is>
      </c>
      <c r="AQ334" t="n">
        <v>9</v>
      </c>
      <c r="AR334" t="n">
        <v>64</v>
      </c>
      <c r="AS334" t="n">
        <v>32</v>
      </c>
      <c r="AU334">
        <f>COUNTA($BA$334:$EH$334)</f>
        <v/>
      </c>
      <c r="AV334">
        <f>COUNTIF($BA$334:$EH$334,"D")</f>
        <v/>
      </c>
      <c r="AW334">
        <f>COUNTIF($BA$334:$EH$334,"R")</f>
        <v/>
      </c>
      <c r="AX334">
        <f>IF(BN334="D",1,0)+IF(BO334="D",1,0)+IF(BT334="D",1,0)+IF(BU334="D",1,0)+IF(BW334="D",1,0)+IF(CC334="D",1,0)+IF(CD334="D",1,0)+IF(CE334="D",1,0)+IF(CF334="D",1,0)+IF(CL334="D",1,0)+IF(CM334="D",1,0)+IF(CQ334="D",1,0)+IF(CR334="D",1,0)+IF(CS334="D",1,0)+IF(CW334="D",1,0)+IF(CX334="D",1,0)+IF(DD334="D",1,0)+IF(DE334="D",1,0)+IF(DJ334="D",1,0)+IF(DK334="D",1,0)+IF(DO334="D",1,0)+IF(DP334="D",1,0)+IF(DQ334="D",1,0)+IF(DW334="D",1,0)+IF(DZ334="D",1,0)+IF(EH334="D",1,0)</f>
        <v/>
      </c>
      <c r="AY334">
        <f>IF(DJ334&lt;&gt;"",1,0)+IF(DK334&lt;&gt;"",1,0)+IF(DM334&lt;&gt;"",1,0)+IF(DO334&lt;&gt;"",1,0)+IF(DP334&lt;&gt;"",1,0)+IF(DQ334&lt;&gt;"",1,0)+IF(DS334&lt;&gt;"",1,0)+IF(DT334&lt;&gt;"",1,0)+IF(DV334&lt;&gt;"",1,0)+IF(DW334&lt;&gt;"",1,0)+IF(DX334&lt;&gt;"",1,0)+IF(DY334&lt;&gt;"",1,0)+IF(DZ334&lt;&gt;"",1,0)+IF(EB334&lt;&gt;"",1,0)+IF(EC334&lt;&gt;"",1,0)+IF(ED334&lt;&gt;"",1,0)+IF(EG334&lt;&gt;"",1,0)+IF(EH334&lt;&gt;"",1,0)</f>
        <v/>
      </c>
      <c r="AZ334">
        <f>IF(EH334&lt;&gt;"",1,0)</f>
        <v/>
      </c>
      <c r="BB334" t="inlineStr">
        <is>
          <t>WARREN-WARD 4</t>
        </is>
      </c>
      <c r="DI334" t="inlineStr">
        <is>
          <t>X</t>
        </is>
      </c>
      <c r="DN334" t="inlineStr">
        <is>
          <t>X</t>
        </is>
      </c>
    </row>
    <row r="335">
      <c r="A335" t="inlineStr">
        <is>
          <t>OH0015731733</t>
        </is>
      </c>
      <c r="B335" t="n">
        <v>78</v>
      </c>
      <c r="C335" t="n">
        <v>322905</v>
      </c>
      <c r="D335" t="inlineStr">
        <is>
          <t>HENDERSON SPARKS</t>
        </is>
      </c>
      <c r="E335" t="inlineStr">
        <is>
          <t>SHELDON</t>
        </is>
      </c>
      <c r="F335">
        <f>CONCATENATE(D335," ",LEFT(H335,4),"T=",AU335,"D=",AV335,"R=",AW335,"M=",AX335,"L=",AY335,"B=",AZ335)</f>
        <v/>
      </c>
      <c r="G335" t="inlineStr">
        <is>
          <t>GARLEND</t>
        </is>
      </c>
      <c r="I335" t="inlineStr">
        <is>
          <t>1986-05-02</t>
        </is>
      </c>
      <c r="J335" t="inlineStr">
        <is>
          <t>2024-11-05</t>
        </is>
      </c>
      <c r="K335" t="inlineStr">
        <is>
          <t>ACTIVE</t>
        </is>
      </c>
      <c r="M335" t="inlineStr">
        <is>
          <t>428 KENILWORTH AVE SE</t>
        </is>
      </c>
      <c r="N335">
        <f>RIGHT(M335,LEN(M335)-FIND(" ",M335))</f>
        <v/>
      </c>
      <c r="P335" t="inlineStr">
        <is>
          <t>WARREN</t>
        </is>
      </c>
      <c r="Q335" t="inlineStr">
        <is>
          <t>OH</t>
        </is>
      </c>
      <c r="R335" t="n">
        <v>44483</v>
      </c>
      <c r="AD335" t="inlineStr">
        <is>
          <t>TRUMBULL CAREER &amp; TECH CENTER</t>
        </is>
      </c>
      <c r="AE335" t="inlineStr">
        <is>
          <t>WARREN CITY</t>
        </is>
      </c>
      <c r="AF335" t="inlineStr">
        <is>
          <t>WARREN CITY SD</t>
        </is>
      </c>
      <c r="AH335" t="n">
        <v>14</v>
      </c>
      <c r="AI335" t="n">
        <v>11</v>
      </c>
      <c r="AN335" t="inlineStr">
        <is>
          <t>WARREN</t>
        </is>
      </c>
      <c r="AO335" t="inlineStr">
        <is>
          <t>WARREN CITY 4A</t>
        </is>
      </c>
      <c r="AP335" t="inlineStr">
        <is>
          <t>78-P-ADI</t>
        </is>
      </c>
      <c r="AQ335" t="n">
        <v>9</v>
      </c>
      <c r="AR335" t="n">
        <v>64</v>
      </c>
      <c r="AS335" t="n">
        <v>32</v>
      </c>
      <c r="AU335">
        <f>COUNTA($BA$335:$EH$335)</f>
        <v/>
      </c>
      <c r="AV335">
        <f>COUNTIF($BA$335:$EH$335,"D")</f>
        <v/>
      </c>
      <c r="AW335">
        <f>COUNTIF($BA$335:$EH$335,"R")</f>
        <v/>
      </c>
      <c r="AX335">
        <f>IF(BN335="D",1,0)+IF(BO335="D",1,0)+IF(BT335="D",1,0)+IF(BU335="D",1,0)+IF(BW335="D",1,0)+IF(CC335="D",1,0)+IF(CD335="D",1,0)+IF(CE335="D",1,0)+IF(CF335="D",1,0)+IF(CL335="D",1,0)+IF(CM335="D",1,0)+IF(CQ335="D",1,0)+IF(CR335="D",1,0)+IF(CS335="D",1,0)+IF(CW335="D",1,0)+IF(CX335="D",1,0)+IF(DD335="D",1,0)+IF(DE335="D",1,0)+IF(DJ335="D",1,0)+IF(DK335="D",1,0)+IF(DO335="D",1,0)+IF(DP335="D",1,0)+IF(DQ335="D",1,0)+IF(DW335="D",1,0)+IF(DZ335="D",1,0)+IF(EH335="D",1,0)</f>
        <v/>
      </c>
      <c r="AY335">
        <f>IF(DJ335&lt;&gt;"",1,0)+IF(DK335&lt;&gt;"",1,0)+IF(DM335&lt;&gt;"",1,0)+IF(DO335&lt;&gt;"",1,0)+IF(DP335&lt;&gt;"",1,0)+IF(DQ335&lt;&gt;"",1,0)+IF(DS335&lt;&gt;"",1,0)+IF(DT335&lt;&gt;"",1,0)+IF(DV335&lt;&gt;"",1,0)+IF(DW335&lt;&gt;"",1,0)+IF(DX335&lt;&gt;"",1,0)+IF(DY335&lt;&gt;"",1,0)+IF(DZ335&lt;&gt;"",1,0)+IF(EB335&lt;&gt;"",1,0)+IF(EC335&lt;&gt;"",1,0)+IF(ED335&lt;&gt;"",1,0)+IF(EG335&lt;&gt;"",1,0)+IF(EH335&lt;&gt;"",1,0)</f>
        <v/>
      </c>
      <c r="AZ335">
        <f>IF(EH335&lt;&gt;"",1,0)</f>
        <v/>
      </c>
      <c r="BB335" t="inlineStr">
        <is>
          <t>WARREN-WARD 4</t>
        </is>
      </c>
      <c r="BL335" t="inlineStr">
        <is>
          <t>X</t>
        </is>
      </c>
      <c r="BS335" t="inlineStr">
        <is>
          <t>X</t>
        </is>
      </c>
      <c r="CA335" t="inlineStr">
        <is>
          <t>X</t>
        </is>
      </c>
      <c r="CK335" t="inlineStr">
        <is>
          <t>X</t>
        </is>
      </c>
      <c r="CL335" t="inlineStr">
        <is>
          <t>D</t>
        </is>
      </c>
      <c r="CN335" t="inlineStr">
        <is>
          <t>X</t>
        </is>
      </c>
      <c r="CP335" t="inlineStr">
        <is>
          <t>X</t>
        </is>
      </c>
      <c r="CY335" t="inlineStr">
        <is>
          <t>X</t>
        </is>
      </c>
      <c r="DC335" t="inlineStr">
        <is>
          <t>X</t>
        </is>
      </c>
      <c r="DI335" t="inlineStr">
        <is>
          <t>X</t>
        </is>
      </c>
      <c r="DN335" t="inlineStr">
        <is>
          <t>X</t>
        </is>
      </c>
      <c r="EA335" t="inlineStr">
        <is>
          <t>X</t>
        </is>
      </c>
      <c r="EF335" t="inlineStr">
        <is>
          <t>X</t>
        </is>
      </c>
    </row>
    <row r="336">
      <c r="A336" t="inlineStr">
        <is>
          <t>OH0026453605</t>
        </is>
      </c>
      <c r="B336" t="n">
        <v>78</v>
      </c>
      <c r="C336" t="n">
        <v>462651</v>
      </c>
      <c r="D336" t="inlineStr">
        <is>
          <t>CIESZENSKI</t>
        </is>
      </c>
      <c r="E336" t="inlineStr">
        <is>
          <t>TYLER</t>
        </is>
      </c>
      <c r="F336">
        <f>CONCATENATE(D336," ",LEFT(H336,4),"T=",AU336,"D=",AV336,"R=",AW336,"M=",AX336,"L=",AY336,"B=",AZ336)</f>
        <v/>
      </c>
      <c r="G336" t="inlineStr">
        <is>
          <t>A</t>
        </is>
      </c>
      <c r="I336" t="inlineStr">
        <is>
          <t>2001-01-18</t>
        </is>
      </c>
      <c r="J336" t="inlineStr">
        <is>
          <t>2024-11-05</t>
        </is>
      </c>
      <c r="K336" t="inlineStr">
        <is>
          <t>ACTIVE</t>
        </is>
      </c>
      <c r="M336" t="inlineStr">
        <is>
          <t>725 OAK KNOLL AVE SE</t>
        </is>
      </c>
      <c r="N336">
        <f>RIGHT(M336,LEN(M336)-FIND(" ",M336))</f>
        <v/>
      </c>
      <c r="P336" t="inlineStr">
        <is>
          <t>WARREN</t>
        </is>
      </c>
      <c r="Q336" t="inlineStr">
        <is>
          <t>OH</t>
        </is>
      </c>
      <c r="R336" t="n">
        <v>44484</v>
      </c>
      <c r="AD336" t="inlineStr">
        <is>
          <t>TRUMBULL CAREER &amp; TECH CENTER</t>
        </is>
      </c>
      <c r="AE336" t="inlineStr">
        <is>
          <t>WARREN CITY</t>
        </is>
      </c>
      <c r="AF336" t="inlineStr">
        <is>
          <t>WARREN CITY SD</t>
        </is>
      </c>
      <c r="AH336" t="n">
        <v>14</v>
      </c>
      <c r="AI336" t="n">
        <v>11</v>
      </c>
      <c r="AN336" t="inlineStr">
        <is>
          <t>WARREN</t>
        </is>
      </c>
      <c r="AO336" t="inlineStr">
        <is>
          <t>WARREN CITY 4A</t>
        </is>
      </c>
      <c r="AP336" t="inlineStr">
        <is>
          <t>78-P-ADI</t>
        </is>
      </c>
      <c r="AQ336" t="n">
        <v>9</v>
      </c>
      <c r="AR336" t="n">
        <v>64</v>
      </c>
      <c r="AS336" t="n">
        <v>32</v>
      </c>
      <c r="AU336">
        <f>COUNTA($BA$336:$EH$336)</f>
        <v/>
      </c>
      <c r="AV336">
        <f>COUNTIF($BA$336:$EH$336,"D")</f>
        <v/>
      </c>
      <c r="AW336">
        <f>COUNTIF($BA$336:$EH$336,"R")</f>
        <v/>
      </c>
      <c r="AX336">
        <f>IF(BN336="D",1,0)+IF(BO336="D",1,0)+IF(BT336="D",1,0)+IF(BU336="D",1,0)+IF(BW336="D",1,0)+IF(CC336="D",1,0)+IF(CD336="D",1,0)+IF(CE336="D",1,0)+IF(CF336="D",1,0)+IF(CL336="D",1,0)+IF(CM336="D",1,0)+IF(CQ336="D",1,0)+IF(CR336="D",1,0)+IF(CS336="D",1,0)+IF(CW336="D",1,0)+IF(CX336="D",1,0)+IF(DD336="D",1,0)+IF(DE336="D",1,0)+IF(DJ336="D",1,0)+IF(DK336="D",1,0)+IF(DO336="D",1,0)+IF(DP336="D",1,0)+IF(DQ336="D",1,0)+IF(DW336="D",1,0)+IF(DZ336="D",1,0)+IF(EH336="D",1,0)</f>
        <v/>
      </c>
      <c r="AY336">
        <f>IF(DJ336&lt;&gt;"",1,0)+IF(DK336&lt;&gt;"",1,0)+IF(DM336&lt;&gt;"",1,0)+IF(DO336&lt;&gt;"",1,0)+IF(DP336&lt;&gt;"",1,0)+IF(DQ336&lt;&gt;"",1,0)+IF(DS336&lt;&gt;"",1,0)+IF(DT336&lt;&gt;"",1,0)+IF(DV336&lt;&gt;"",1,0)+IF(DW336&lt;&gt;"",1,0)+IF(DX336&lt;&gt;"",1,0)+IF(DY336&lt;&gt;"",1,0)+IF(DZ336&lt;&gt;"",1,0)+IF(EB336&lt;&gt;"",1,0)+IF(EC336&lt;&gt;"",1,0)+IF(ED336&lt;&gt;"",1,0)+IF(EG336&lt;&gt;"",1,0)+IF(EH336&lt;&gt;"",1,0)</f>
        <v/>
      </c>
      <c r="AZ336">
        <f>IF(EH336&lt;&gt;"",1,0)</f>
        <v/>
      </c>
      <c r="BB336" t="inlineStr">
        <is>
          <t>WARREN-WARD 4</t>
        </is>
      </c>
      <c r="EF336" t="inlineStr">
        <is>
          <t>X</t>
        </is>
      </c>
    </row>
    <row r="337">
      <c r="A337" t="inlineStr">
        <is>
          <t>OH0015760087</t>
        </is>
      </c>
      <c r="B337" t="n">
        <v>78</v>
      </c>
      <c r="C337" t="n">
        <v>281360</v>
      </c>
      <c r="D337" t="inlineStr">
        <is>
          <t>NADAUD</t>
        </is>
      </c>
      <c r="E337" t="inlineStr">
        <is>
          <t>ERIN</t>
        </is>
      </c>
      <c r="F337">
        <f>CONCATENATE(D337," ",LEFT(H337,4),"T=",AU337,"D=",AV337,"R=",AW337,"M=",AX337,"L=",AY337,"B=",AZ337)</f>
        <v/>
      </c>
      <c r="G337" t="inlineStr">
        <is>
          <t>LEIGH</t>
        </is>
      </c>
      <c r="I337" t="inlineStr">
        <is>
          <t>1980-05-02</t>
        </is>
      </c>
      <c r="J337" t="inlineStr">
        <is>
          <t>2023-11-07</t>
        </is>
      </c>
      <c r="K337" t="inlineStr">
        <is>
          <t>ACTIVE</t>
        </is>
      </c>
      <c r="M337" t="inlineStr">
        <is>
          <t>374 OAK KNOLL AVE SE</t>
        </is>
      </c>
      <c r="N337">
        <f>RIGHT(M337,LEN(M337)-FIND(" ",M337))</f>
        <v/>
      </c>
      <c r="P337" t="inlineStr">
        <is>
          <t>WARREN</t>
        </is>
      </c>
      <c r="Q337" t="inlineStr">
        <is>
          <t>OH</t>
        </is>
      </c>
      <c r="R337" t="n">
        <v>44483</v>
      </c>
      <c r="AD337" t="inlineStr">
        <is>
          <t>TRUMBULL CAREER &amp; TECH CENTER</t>
        </is>
      </c>
      <c r="AE337" t="inlineStr">
        <is>
          <t>WARREN CITY</t>
        </is>
      </c>
      <c r="AF337" t="inlineStr">
        <is>
          <t>WARREN CITY SD</t>
        </is>
      </c>
      <c r="AH337" t="n">
        <v>14</v>
      </c>
      <c r="AI337" t="n">
        <v>11</v>
      </c>
      <c r="AN337" t="inlineStr">
        <is>
          <t>WARREN</t>
        </is>
      </c>
      <c r="AO337" t="inlineStr">
        <is>
          <t>WARREN CITY 4A</t>
        </is>
      </c>
      <c r="AP337" t="inlineStr">
        <is>
          <t>78-P-ADI</t>
        </is>
      </c>
      <c r="AQ337" t="n">
        <v>9</v>
      </c>
      <c r="AR337" t="n">
        <v>64</v>
      </c>
      <c r="AS337" t="n">
        <v>32</v>
      </c>
      <c r="AU337">
        <f>COUNTA($BA$337:$EH$337)</f>
        <v/>
      </c>
      <c r="AV337">
        <f>COUNTIF($BA$337:$EH$337,"D")</f>
        <v/>
      </c>
      <c r="AW337">
        <f>COUNTIF($BA$337:$EH$337,"R")</f>
        <v/>
      </c>
      <c r="AX337">
        <f>IF(BN337="D",1,0)+IF(BO337="D",1,0)+IF(BT337="D",1,0)+IF(BU337="D",1,0)+IF(BW337="D",1,0)+IF(CC337="D",1,0)+IF(CD337="D",1,0)+IF(CE337="D",1,0)+IF(CF337="D",1,0)+IF(CL337="D",1,0)+IF(CM337="D",1,0)+IF(CQ337="D",1,0)+IF(CR337="D",1,0)+IF(CS337="D",1,0)+IF(CW337="D",1,0)+IF(CX337="D",1,0)+IF(DD337="D",1,0)+IF(DE337="D",1,0)+IF(DJ337="D",1,0)+IF(DK337="D",1,0)+IF(DO337="D",1,0)+IF(DP337="D",1,0)+IF(DQ337="D",1,0)+IF(DW337="D",1,0)+IF(DZ337="D",1,0)+IF(EH337="D",1,0)</f>
        <v/>
      </c>
      <c r="AY337">
        <f>IF(DJ337&lt;&gt;"",1,0)+IF(DK337&lt;&gt;"",1,0)+IF(DM337&lt;&gt;"",1,0)+IF(DO337&lt;&gt;"",1,0)+IF(DP337&lt;&gt;"",1,0)+IF(DQ337&lt;&gt;"",1,0)+IF(DS337&lt;&gt;"",1,0)+IF(DT337&lt;&gt;"",1,0)+IF(DV337&lt;&gt;"",1,0)+IF(DW337&lt;&gt;"",1,0)+IF(DX337&lt;&gt;"",1,0)+IF(DY337&lt;&gt;"",1,0)+IF(DZ337&lt;&gt;"",1,0)+IF(EB337&lt;&gt;"",1,0)+IF(EC337&lt;&gt;"",1,0)+IF(ED337&lt;&gt;"",1,0)+IF(EG337&lt;&gt;"",1,0)+IF(EH337&lt;&gt;"",1,0)</f>
        <v/>
      </c>
      <c r="AZ337">
        <f>IF(EH337&lt;&gt;"",1,0)</f>
        <v/>
      </c>
      <c r="BB337" t="inlineStr">
        <is>
          <t>WARREN-WARD 4</t>
        </is>
      </c>
      <c r="BL337" t="inlineStr">
        <is>
          <t>X</t>
        </is>
      </c>
      <c r="CA337" t="inlineStr">
        <is>
          <t>X</t>
        </is>
      </c>
      <c r="CK337" t="inlineStr">
        <is>
          <t>X</t>
        </is>
      </c>
      <c r="CZ337" t="inlineStr">
        <is>
          <t>R</t>
        </is>
      </c>
      <c r="DC337" t="inlineStr">
        <is>
          <t>X</t>
        </is>
      </c>
      <c r="DN337" t="inlineStr">
        <is>
          <t>X</t>
        </is>
      </c>
      <c r="DU337" t="inlineStr">
        <is>
          <t>X</t>
        </is>
      </c>
      <c r="EA337" t="inlineStr">
        <is>
          <t>X</t>
        </is>
      </c>
      <c r="EF337" t="inlineStr">
        <is>
          <t>X</t>
        </is>
      </c>
    </row>
    <row r="338">
      <c r="A338" t="inlineStr">
        <is>
          <t>OH0024485188</t>
        </is>
      </c>
      <c r="B338" t="n">
        <v>78</v>
      </c>
      <c r="C338" t="n">
        <v>429179</v>
      </c>
      <c r="D338" t="inlineStr">
        <is>
          <t>BRADLEY</t>
        </is>
      </c>
      <c r="E338" t="inlineStr">
        <is>
          <t>GEORGE</t>
        </is>
      </c>
      <c r="F338">
        <f>CONCATENATE(D338," ",LEFT(H338,4),"T=",AU338,"D=",AV338,"R=",AW338,"M=",AX338,"L=",AY338,"B=",AZ338)</f>
        <v/>
      </c>
      <c r="G338" t="inlineStr">
        <is>
          <t>NEWTON</t>
        </is>
      </c>
      <c r="H338" t="inlineStr">
        <is>
          <t>III</t>
        </is>
      </c>
      <c r="I338" t="inlineStr">
        <is>
          <t>1957-01-23</t>
        </is>
      </c>
      <c r="J338" t="inlineStr">
        <is>
          <t>2018-01-12</t>
        </is>
      </c>
      <c r="K338" t="inlineStr">
        <is>
          <t>ACTIVE</t>
        </is>
      </c>
      <c r="L338" t="inlineStr">
        <is>
          <t>D</t>
        </is>
      </c>
      <c r="M338" t="inlineStr">
        <is>
          <t>761 WOODBINE AVE SE</t>
        </is>
      </c>
      <c r="N338">
        <f>RIGHT(M338,LEN(M338)-FIND(" ",M338))</f>
        <v/>
      </c>
      <c r="P338" t="inlineStr">
        <is>
          <t>WARREN</t>
        </is>
      </c>
      <c r="Q338" t="inlineStr">
        <is>
          <t>OH</t>
        </is>
      </c>
      <c r="R338" t="n">
        <v>44484</v>
      </c>
      <c r="AD338" t="inlineStr">
        <is>
          <t>TRUMBULL CAREER &amp; TECH CENTER</t>
        </is>
      </c>
      <c r="AE338" t="inlineStr">
        <is>
          <t>WARREN CITY</t>
        </is>
      </c>
      <c r="AF338" t="inlineStr">
        <is>
          <t>WARREN CITY SD</t>
        </is>
      </c>
      <c r="AH338" t="n">
        <v>14</v>
      </c>
      <c r="AI338" t="n">
        <v>11</v>
      </c>
      <c r="AN338" t="inlineStr">
        <is>
          <t>WARREN</t>
        </is>
      </c>
      <c r="AO338" t="inlineStr">
        <is>
          <t>WARREN CITY 4A</t>
        </is>
      </c>
      <c r="AP338" t="inlineStr">
        <is>
          <t>78-P-ADI</t>
        </is>
      </c>
      <c r="AQ338" t="n">
        <v>9</v>
      </c>
      <c r="AR338" t="n">
        <v>64</v>
      </c>
      <c r="AS338" t="n">
        <v>32</v>
      </c>
      <c r="AU338">
        <f>COUNTA($BA$338:$EH$338)</f>
        <v/>
      </c>
      <c r="AV338">
        <f>COUNTIF($BA$338:$EH$338,"D")</f>
        <v/>
      </c>
      <c r="AW338">
        <f>COUNTIF($BA$338:$EH$338,"R")</f>
        <v/>
      </c>
      <c r="AX338">
        <f>IF(BN338="D",1,0)+IF(BO338="D",1,0)+IF(BT338="D",1,0)+IF(BU338="D",1,0)+IF(BW338="D",1,0)+IF(CC338="D",1,0)+IF(CD338="D",1,0)+IF(CE338="D",1,0)+IF(CF338="D",1,0)+IF(CL338="D",1,0)+IF(CM338="D",1,0)+IF(CQ338="D",1,0)+IF(CR338="D",1,0)+IF(CS338="D",1,0)+IF(CW338="D",1,0)+IF(CX338="D",1,0)+IF(DD338="D",1,0)+IF(DE338="D",1,0)+IF(DJ338="D",1,0)+IF(DK338="D",1,0)+IF(DO338="D",1,0)+IF(DP338="D",1,0)+IF(DQ338="D",1,0)+IF(DW338="D",1,0)+IF(DZ338="D",1,0)+IF(EH338="D",1,0)</f>
        <v/>
      </c>
      <c r="AY338">
        <f>IF(DJ338&lt;&gt;"",1,0)+IF(DK338&lt;&gt;"",1,0)+IF(DM338&lt;&gt;"",1,0)+IF(DO338&lt;&gt;"",1,0)+IF(DP338&lt;&gt;"",1,0)+IF(DQ338&lt;&gt;"",1,0)+IF(DS338&lt;&gt;"",1,0)+IF(DT338&lt;&gt;"",1,0)+IF(DV338&lt;&gt;"",1,0)+IF(DW338&lt;&gt;"",1,0)+IF(DX338&lt;&gt;"",1,0)+IF(DY338&lt;&gt;"",1,0)+IF(DZ338&lt;&gt;"",1,0)+IF(EB338&lt;&gt;"",1,0)+IF(EC338&lt;&gt;"",1,0)+IF(ED338&lt;&gt;"",1,0)+IF(EG338&lt;&gt;"",1,0)+IF(EH338&lt;&gt;"",1,0)</f>
        <v/>
      </c>
      <c r="AZ338">
        <f>IF(EH338&lt;&gt;"",1,0)</f>
        <v/>
      </c>
      <c r="BB338" t="inlineStr">
        <is>
          <t>WARREN-WARD 4</t>
        </is>
      </c>
      <c r="DI338" t="inlineStr">
        <is>
          <t>X</t>
        </is>
      </c>
      <c r="DL338" t="inlineStr">
        <is>
          <t>X</t>
        </is>
      </c>
      <c r="DM338" t="inlineStr">
        <is>
          <t>D</t>
        </is>
      </c>
      <c r="DN338" t="inlineStr">
        <is>
          <t>X</t>
        </is>
      </c>
      <c r="DS338" t="inlineStr">
        <is>
          <t>D</t>
        </is>
      </c>
      <c r="DT338" t="inlineStr">
        <is>
          <t>D</t>
        </is>
      </c>
      <c r="DU338" t="inlineStr">
        <is>
          <t>X</t>
        </is>
      </c>
      <c r="DW338" t="inlineStr">
        <is>
          <t>D</t>
        </is>
      </c>
      <c r="DX338" t="inlineStr">
        <is>
          <t>X</t>
        </is>
      </c>
      <c r="EA338" t="inlineStr">
        <is>
          <t>X</t>
        </is>
      </c>
      <c r="ED338" t="inlineStr">
        <is>
          <t>D</t>
        </is>
      </c>
      <c r="EF338" t="inlineStr">
        <is>
          <t>X</t>
        </is>
      </c>
      <c r="EH338" t="inlineStr">
        <is>
          <t>D</t>
        </is>
      </c>
    </row>
    <row r="339">
      <c r="A339" t="inlineStr">
        <is>
          <t>OH0023751082</t>
        </is>
      </c>
      <c r="B339" t="n">
        <v>78</v>
      </c>
      <c r="C339" t="n">
        <v>417721</v>
      </c>
      <c r="D339" t="inlineStr">
        <is>
          <t>TUCKER</t>
        </is>
      </c>
      <c r="E339" t="inlineStr">
        <is>
          <t>RONALD</t>
        </is>
      </c>
      <c r="F339">
        <f>CONCATENATE(D339," ",LEFT(H339,4),"T=",AU339,"D=",AV339,"R=",AW339,"M=",AX339,"L=",AY339,"B=",AZ339)</f>
        <v/>
      </c>
      <c r="G339" t="inlineStr">
        <is>
          <t>H</t>
        </is>
      </c>
      <c r="I339" t="inlineStr">
        <is>
          <t>1983-04-06</t>
        </is>
      </c>
      <c r="J339" t="inlineStr">
        <is>
          <t>2016-06-25</t>
        </is>
      </c>
      <c r="K339" t="inlineStr">
        <is>
          <t>CONFIRMATION</t>
        </is>
      </c>
      <c r="M339" t="inlineStr">
        <is>
          <t>877 KENILWORTH AVE SE</t>
        </is>
      </c>
      <c r="N339">
        <f>RIGHT(M339,LEN(M339)-FIND(" ",M339))</f>
        <v/>
      </c>
      <c r="O339" t="inlineStr">
        <is>
          <t>APT 1</t>
        </is>
      </c>
      <c r="P339" t="inlineStr">
        <is>
          <t>WARREN</t>
        </is>
      </c>
      <c r="Q339" t="inlineStr">
        <is>
          <t>OH</t>
        </is>
      </c>
      <c r="R339" t="n">
        <v>44484</v>
      </c>
      <c r="AD339" t="inlineStr">
        <is>
          <t>TRUMBULL CAREER &amp; TECH CENTER</t>
        </is>
      </c>
      <c r="AE339" t="inlineStr">
        <is>
          <t>WARREN CITY</t>
        </is>
      </c>
      <c r="AF339" t="inlineStr">
        <is>
          <t>WARREN CITY SD</t>
        </is>
      </c>
      <c r="AH339" t="n">
        <v>14</v>
      </c>
      <c r="AI339" t="n">
        <v>11</v>
      </c>
      <c r="AN339" t="inlineStr">
        <is>
          <t>WARREN</t>
        </is>
      </c>
      <c r="AO339" t="inlineStr">
        <is>
          <t>WARREN CITY 4A</t>
        </is>
      </c>
      <c r="AP339" t="inlineStr">
        <is>
          <t>78-P-ADI</t>
        </is>
      </c>
      <c r="AQ339" t="n">
        <v>9</v>
      </c>
      <c r="AR339" t="n">
        <v>64</v>
      </c>
      <c r="AS339" t="n">
        <v>32</v>
      </c>
      <c r="AU339">
        <f>COUNTA($BA$339:$EH$339)</f>
        <v/>
      </c>
      <c r="AV339">
        <f>COUNTIF($BA$339:$EH$339,"D")</f>
        <v/>
      </c>
      <c r="AW339">
        <f>COUNTIF($BA$339:$EH$339,"R")</f>
        <v/>
      </c>
      <c r="AX339">
        <f>IF(BN339="D",1,0)+IF(BO339="D",1,0)+IF(BT339="D",1,0)+IF(BU339="D",1,0)+IF(BW339="D",1,0)+IF(CC339="D",1,0)+IF(CD339="D",1,0)+IF(CE339="D",1,0)+IF(CF339="D",1,0)+IF(CL339="D",1,0)+IF(CM339="D",1,0)+IF(CQ339="D",1,0)+IF(CR339="D",1,0)+IF(CS339="D",1,0)+IF(CW339="D",1,0)+IF(CX339="D",1,0)+IF(DD339="D",1,0)+IF(DE339="D",1,0)+IF(DJ339="D",1,0)+IF(DK339="D",1,0)+IF(DO339="D",1,0)+IF(DP339="D",1,0)+IF(DQ339="D",1,0)+IF(DW339="D",1,0)+IF(DZ339="D",1,0)+IF(EH339="D",1,0)</f>
        <v/>
      </c>
      <c r="AY339">
        <f>IF(DJ339&lt;&gt;"",1,0)+IF(DK339&lt;&gt;"",1,0)+IF(DM339&lt;&gt;"",1,0)+IF(DO339&lt;&gt;"",1,0)+IF(DP339&lt;&gt;"",1,0)+IF(DQ339&lt;&gt;"",1,0)+IF(DS339&lt;&gt;"",1,0)+IF(DT339&lt;&gt;"",1,0)+IF(DV339&lt;&gt;"",1,0)+IF(DW339&lt;&gt;"",1,0)+IF(DX339&lt;&gt;"",1,0)+IF(DY339&lt;&gt;"",1,0)+IF(DZ339&lt;&gt;"",1,0)+IF(EB339&lt;&gt;"",1,0)+IF(EC339&lt;&gt;"",1,0)+IF(ED339&lt;&gt;"",1,0)+IF(EG339&lt;&gt;"",1,0)+IF(EH339&lt;&gt;"",1,0)</f>
        <v/>
      </c>
      <c r="AZ339">
        <f>IF(EH339&lt;&gt;"",1,0)</f>
        <v/>
      </c>
      <c r="BB339" t="inlineStr">
        <is>
          <t>WARREN-WARD 4</t>
        </is>
      </c>
    </row>
    <row r="340">
      <c r="A340" t="inlineStr">
        <is>
          <t>OH0021886207</t>
        </is>
      </c>
      <c r="B340" t="n">
        <v>78</v>
      </c>
      <c r="C340" t="n">
        <v>388857</v>
      </c>
      <c r="D340" t="inlineStr">
        <is>
          <t>CARLSON</t>
        </is>
      </c>
      <c r="E340" t="inlineStr">
        <is>
          <t>SHANNON</t>
        </is>
      </c>
      <c r="F340">
        <f>CONCATENATE(D340," ",LEFT(H340,4),"T=",AU340,"D=",AV340,"R=",AW340,"M=",AX340,"L=",AY340,"B=",AZ340)</f>
        <v/>
      </c>
      <c r="G340" t="inlineStr">
        <is>
          <t>M</t>
        </is>
      </c>
      <c r="I340" t="inlineStr">
        <is>
          <t>1993-05-26</t>
        </is>
      </c>
      <c r="J340" t="inlineStr">
        <is>
          <t>2021-07-09</t>
        </is>
      </c>
      <c r="K340" t="inlineStr">
        <is>
          <t>ACTIVE</t>
        </is>
      </c>
      <c r="M340" t="inlineStr">
        <is>
          <t>539 KENILWORTH AVE SE</t>
        </is>
      </c>
      <c r="N340">
        <f>RIGHT(M340,LEN(M340)-FIND(" ",M340))</f>
        <v/>
      </c>
      <c r="P340" t="inlineStr">
        <is>
          <t>WARREN</t>
        </is>
      </c>
      <c r="Q340" t="inlineStr">
        <is>
          <t>OH</t>
        </is>
      </c>
      <c r="R340" t="n">
        <v>44483</v>
      </c>
      <c r="AD340" t="inlineStr">
        <is>
          <t>TRUMBULL CAREER &amp; TECH CENTER</t>
        </is>
      </c>
      <c r="AE340" t="inlineStr">
        <is>
          <t>WARREN CITY</t>
        </is>
      </c>
      <c r="AF340" t="inlineStr">
        <is>
          <t>WARREN CITY SD</t>
        </is>
      </c>
      <c r="AH340" t="n">
        <v>14</v>
      </c>
      <c r="AI340" t="n">
        <v>11</v>
      </c>
      <c r="AN340" t="inlineStr">
        <is>
          <t>WARREN</t>
        </is>
      </c>
      <c r="AO340" t="inlineStr">
        <is>
          <t>WARREN CITY 4A</t>
        </is>
      </c>
      <c r="AP340" t="inlineStr">
        <is>
          <t>78-P-ADI</t>
        </is>
      </c>
      <c r="AQ340" t="n">
        <v>9</v>
      </c>
      <c r="AR340" t="n">
        <v>64</v>
      </c>
      <c r="AS340" t="n">
        <v>32</v>
      </c>
      <c r="AU340">
        <f>COUNTA($BA$340:$EH$340)</f>
        <v/>
      </c>
      <c r="AV340">
        <f>COUNTIF($BA$340:$EH$340,"D")</f>
        <v/>
      </c>
      <c r="AW340">
        <f>COUNTIF($BA$340:$EH$340,"R")</f>
        <v/>
      </c>
      <c r="AX340">
        <f>IF(BN340="D",1,0)+IF(BO340="D",1,0)+IF(BT340="D",1,0)+IF(BU340="D",1,0)+IF(BW340="D",1,0)+IF(CC340="D",1,0)+IF(CD340="D",1,0)+IF(CE340="D",1,0)+IF(CF340="D",1,0)+IF(CL340="D",1,0)+IF(CM340="D",1,0)+IF(CQ340="D",1,0)+IF(CR340="D",1,0)+IF(CS340="D",1,0)+IF(CW340="D",1,0)+IF(CX340="D",1,0)+IF(DD340="D",1,0)+IF(DE340="D",1,0)+IF(DJ340="D",1,0)+IF(DK340="D",1,0)+IF(DO340="D",1,0)+IF(DP340="D",1,0)+IF(DQ340="D",1,0)+IF(DW340="D",1,0)+IF(DZ340="D",1,0)+IF(EH340="D",1,0)</f>
        <v/>
      </c>
      <c r="AY340">
        <f>IF(DJ340&lt;&gt;"",1,0)+IF(DK340&lt;&gt;"",1,0)+IF(DM340&lt;&gt;"",1,0)+IF(DO340&lt;&gt;"",1,0)+IF(DP340&lt;&gt;"",1,0)+IF(DQ340&lt;&gt;"",1,0)+IF(DS340&lt;&gt;"",1,0)+IF(DT340&lt;&gt;"",1,0)+IF(DV340&lt;&gt;"",1,0)+IF(DW340&lt;&gt;"",1,0)+IF(DX340&lt;&gt;"",1,0)+IF(DY340&lt;&gt;"",1,0)+IF(DZ340&lt;&gt;"",1,0)+IF(EB340&lt;&gt;"",1,0)+IF(EC340&lt;&gt;"",1,0)+IF(ED340&lt;&gt;"",1,0)+IF(EG340&lt;&gt;"",1,0)+IF(EH340&lt;&gt;"",1,0)</f>
        <v/>
      </c>
      <c r="AZ340">
        <f>IF(EH340&lt;&gt;"",1,0)</f>
        <v/>
      </c>
      <c r="BB340" t="inlineStr">
        <is>
          <t>WARREN-WARD 4</t>
        </is>
      </c>
      <c r="DC340" t="inlineStr">
        <is>
          <t>X</t>
        </is>
      </c>
      <c r="DN340" t="inlineStr">
        <is>
          <t>X</t>
        </is>
      </c>
      <c r="EF340" t="inlineStr">
        <is>
          <t>X</t>
        </is>
      </c>
    </row>
    <row r="341">
      <c r="A341" t="inlineStr">
        <is>
          <t>OH0027179799</t>
        </is>
      </c>
      <c r="B341" t="n">
        <v>78</v>
      </c>
      <c r="C341" t="n">
        <v>478273</v>
      </c>
      <c r="D341" t="inlineStr">
        <is>
          <t>MASTER</t>
        </is>
      </c>
      <c r="E341" t="inlineStr">
        <is>
          <t>SALLY</t>
        </is>
      </c>
      <c r="F341">
        <f>CONCATENATE(D341," ",LEFT(H341,4),"T=",AU341,"D=",AV341,"R=",AW341,"M=",AX341,"L=",AY341,"B=",AZ341)</f>
        <v/>
      </c>
      <c r="G341" t="inlineStr">
        <is>
          <t>JEAN MARIE</t>
        </is>
      </c>
      <c r="I341" t="inlineStr">
        <is>
          <t>1989-06-29</t>
        </is>
      </c>
      <c r="J341" t="inlineStr">
        <is>
          <t>2023-11-29</t>
        </is>
      </c>
      <c r="K341" t="inlineStr">
        <is>
          <t>ACTIVE</t>
        </is>
      </c>
      <c r="L341" t="inlineStr">
        <is>
          <t>D</t>
        </is>
      </c>
      <c r="M341" t="inlineStr">
        <is>
          <t>304 OAK KNOLL AVE SE</t>
        </is>
      </c>
      <c r="N341">
        <f>RIGHT(M341,LEN(M341)-FIND(" ",M341))</f>
        <v/>
      </c>
      <c r="P341" t="inlineStr">
        <is>
          <t>WARREN</t>
        </is>
      </c>
      <c r="Q341" t="inlineStr">
        <is>
          <t>OH</t>
        </is>
      </c>
      <c r="R341" t="n">
        <v>44483</v>
      </c>
      <c r="AD341" t="inlineStr">
        <is>
          <t>TRUMBULL CAREER &amp; TECH CENTER</t>
        </is>
      </c>
      <c r="AE341" t="inlineStr">
        <is>
          <t>WARREN CITY</t>
        </is>
      </c>
      <c r="AF341" t="inlineStr">
        <is>
          <t>WARREN CITY SD</t>
        </is>
      </c>
      <c r="AH341" t="n">
        <v>14</v>
      </c>
      <c r="AI341" t="n">
        <v>11</v>
      </c>
      <c r="AN341" t="inlineStr">
        <is>
          <t>WARREN</t>
        </is>
      </c>
      <c r="AO341" t="inlineStr">
        <is>
          <t>WARREN CITY 4A</t>
        </is>
      </c>
      <c r="AP341" t="inlineStr">
        <is>
          <t>78-P-ADI</t>
        </is>
      </c>
      <c r="AQ341" t="n">
        <v>9</v>
      </c>
      <c r="AR341" t="n">
        <v>64</v>
      </c>
      <c r="AS341" t="n">
        <v>32</v>
      </c>
      <c r="AU341">
        <f>COUNTA($BA$341:$EH$341)</f>
        <v/>
      </c>
      <c r="AV341">
        <f>COUNTIF($BA$341:$EH$341,"D")</f>
        <v/>
      </c>
      <c r="AW341">
        <f>COUNTIF($BA$341:$EH$341,"R")</f>
        <v/>
      </c>
      <c r="AX341">
        <f>IF(BN341="D",1,0)+IF(BO341="D",1,0)+IF(BT341="D",1,0)+IF(BU341="D",1,0)+IF(BW341="D",1,0)+IF(CC341="D",1,0)+IF(CD341="D",1,0)+IF(CE341="D",1,0)+IF(CF341="D",1,0)+IF(CL341="D",1,0)+IF(CM341="D",1,0)+IF(CQ341="D",1,0)+IF(CR341="D",1,0)+IF(CS341="D",1,0)+IF(CW341="D",1,0)+IF(CX341="D",1,0)+IF(DD341="D",1,0)+IF(DE341="D",1,0)+IF(DJ341="D",1,0)+IF(DK341="D",1,0)+IF(DO341="D",1,0)+IF(DP341="D",1,0)+IF(DQ341="D",1,0)+IF(DW341="D",1,0)+IF(DZ341="D",1,0)+IF(EH341="D",1,0)</f>
        <v/>
      </c>
      <c r="AY341">
        <f>IF(DJ341&lt;&gt;"",1,0)+IF(DK341&lt;&gt;"",1,0)+IF(DM341&lt;&gt;"",1,0)+IF(DO341&lt;&gt;"",1,0)+IF(DP341&lt;&gt;"",1,0)+IF(DQ341&lt;&gt;"",1,0)+IF(DS341&lt;&gt;"",1,0)+IF(DT341&lt;&gt;"",1,0)+IF(DV341&lt;&gt;"",1,0)+IF(DW341&lt;&gt;"",1,0)+IF(DX341&lt;&gt;"",1,0)+IF(DY341&lt;&gt;"",1,0)+IF(DZ341&lt;&gt;"",1,0)+IF(EB341&lt;&gt;"",1,0)+IF(EC341&lt;&gt;"",1,0)+IF(ED341&lt;&gt;"",1,0)+IF(EG341&lt;&gt;"",1,0)+IF(EH341&lt;&gt;"",1,0)</f>
        <v/>
      </c>
      <c r="AZ341">
        <f>IF(EH341&lt;&gt;"",1,0)</f>
        <v/>
      </c>
      <c r="BB341" t="inlineStr">
        <is>
          <t>WARREN-WARD 4</t>
        </is>
      </c>
      <c r="ED341" t="inlineStr">
        <is>
          <t>D</t>
        </is>
      </c>
      <c r="EF341" t="inlineStr">
        <is>
          <t>X</t>
        </is>
      </c>
    </row>
    <row r="342">
      <c r="A342" t="inlineStr">
        <is>
          <t>OH0027179551</t>
        </is>
      </c>
      <c r="B342" t="n">
        <v>78</v>
      </c>
      <c r="C342" t="n">
        <v>478268</v>
      </c>
      <c r="D342" t="inlineStr">
        <is>
          <t>QUINN</t>
        </is>
      </c>
      <c r="E342" t="inlineStr">
        <is>
          <t>LONI</t>
        </is>
      </c>
      <c r="F342">
        <f>CONCATENATE(D342," ",LEFT(H342,4),"T=",AU342,"D=",AV342,"R=",AW342,"M=",AX342,"L=",AY342,"B=",AZ342)</f>
        <v/>
      </c>
      <c r="I342" t="inlineStr">
        <is>
          <t>1990-07-05</t>
        </is>
      </c>
      <c r="J342" t="inlineStr">
        <is>
          <t>2023-11-29</t>
        </is>
      </c>
      <c r="K342" t="inlineStr">
        <is>
          <t>ACTIVE</t>
        </is>
      </c>
      <c r="M342" t="inlineStr">
        <is>
          <t>386 IDDINGS AVE SE</t>
        </is>
      </c>
      <c r="N342">
        <f>RIGHT(M342,LEN(M342)-FIND(" ",M342))</f>
        <v/>
      </c>
      <c r="P342" t="inlineStr">
        <is>
          <t>WARREN</t>
        </is>
      </c>
      <c r="Q342" t="inlineStr">
        <is>
          <t>OH</t>
        </is>
      </c>
      <c r="R342" t="n">
        <v>44483</v>
      </c>
      <c r="AD342" t="inlineStr">
        <is>
          <t>TRUMBULL CAREER &amp; TECH CENTER</t>
        </is>
      </c>
      <c r="AE342" t="inlineStr">
        <is>
          <t>WARREN CITY</t>
        </is>
      </c>
      <c r="AF342" t="inlineStr">
        <is>
          <t>WARREN CITY SD</t>
        </is>
      </c>
      <c r="AH342" t="n">
        <v>14</v>
      </c>
      <c r="AI342" t="n">
        <v>11</v>
      </c>
      <c r="AN342" t="inlineStr">
        <is>
          <t>WARREN</t>
        </is>
      </c>
      <c r="AO342" t="inlineStr">
        <is>
          <t>WARREN CITY 4A</t>
        </is>
      </c>
      <c r="AP342" t="inlineStr">
        <is>
          <t>78-P-ADI</t>
        </is>
      </c>
      <c r="AQ342" t="n">
        <v>9</v>
      </c>
      <c r="AR342" t="n">
        <v>64</v>
      </c>
      <c r="AS342" t="n">
        <v>32</v>
      </c>
      <c r="AU342">
        <f>COUNTA($BA$342:$EH$342)</f>
        <v/>
      </c>
      <c r="AV342">
        <f>COUNTIF($BA$342:$EH$342,"D")</f>
        <v/>
      </c>
      <c r="AW342">
        <f>COUNTIF($BA$342:$EH$342,"R")</f>
        <v/>
      </c>
      <c r="AX342">
        <f>IF(BN342="D",1,0)+IF(BO342="D",1,0)+IF(BT342="D",1,0)+IF(BU342="D",1,0)+IF(BW342="D",1,0)+IF(CC342="D",1,0)+IF(CD342="D",1,0)+IF(CE342="D",1,0)+IF(CF342="D",1,0)+IF(CL342="D",1,0)+IF(CM342="D",1,0)+IF(CQ342="D",1,0)+IF(CR342="D",1,0)+IF(CS342="D",1,0)+IF(CW342="D",1,0)+IF(CX342="D",1,0)+IF(DD342="D",1,0)+IF(DE342="D",1,0)+IF(DJ342="D",1,0)+IF(DK342="D",1,0)+IF(DO342="D",1,0)+IF(DP342="D",1,0)+IF(DQ342="D",1,0)+IF(DW342="D",1,0)+IF(DZ342="D",1,0)+IF(EH342="D",1,0)</f>
        <v/>
      </c>
      <c r="AY342">
        <f>IF(DJ342&lt;&gt;"",1,0)+IF(DK342&lt;&gt;"",1,0)+IF(DM342&lt;&gt;"",1,0)+IF(DO342&lt;&gt;"",1,0)+IF(DP342&lt;&gt;"",1,0)+IF(DQ342&lt;&gt;"",1,0)+IF(DS342&lt;&gt;"",1,0)+IF(DT342&lt;&gt;"",1,0)+IF(DV342&lt;&gt;"",1,0)+IF(DW342&lt;&gt;"",1,0)+IF(DX342&lt;&gt;"",1,0)+IF(DY342&lt;&gt;"",1,0)+IF(DZ342&lt;&gt;"",1,0)+IF(EB342&lt;&gt;"",1,0)+IF(EC342&lt;&gt;"",1,0)+IF(ED342&lt;&gt;"",1,0)+IF(EG342&lt;&gt;"",1,0)+IF(EH342&lt;&gt;"",1,0)</f>
        <v/>
      </c>
      <c r="AZ342">
        <f>IF(EH342&lt;&gt;"",1,0)</f>
        <v/>
      </c>
      <c r="BB342" t="inlineStr">
        <is>
          <t>WARREN-WARD 4</t>
        </is>
      </c>
    </row>
    <row r="343">
      <c r="A343" t="inlineStr">
        <is>
          <t>OH0021119946</t>
        </is>
      </c>
      <c r="B343" t="n">
        <v>78</v>
      </c>
      <c r="C343" t="n">
        <v>375873</v>
      </c>
      <c r="D343" t="inlineStr">
        <is>
          <t>SANKEY</t>
        </is>
      </c>
      <c r="E343" t="inlineStr">
        <is>
          <t>MARTIN</t>
        </is>
      </c>
      <c r="F343">
        <f>CONCATENATE(D343," ",LEFT(H343,4),"T=",AU343,"D=",AV343,"R=",AW343,"M=",AX343,"L=",AY343,"B=",AZ343)</f>
        <v/>
      </c>
      <c r="G343" t="inlineStr">
        <is>
          <t>EDGAR</t>
        </is>
      </c>
      <c r="I343" t="inlineStr">
        <is>
          <t>1957-07-12</t>
        </is>
      </c>
      <c r="J343" t="inlineStr">
        <is>
          <t>2018-03-01</t>
        </is>
      </c>
      <c r="K343" t="inlineStr">
        <is>
          <t>ACTIVE</t>
        </is>
      </c>
      <c r="L343" t="inlineStr">
        <is>
          <t>R</t>
        </is>
      </c>
      <c r="M343" t="inlineStr">
        <is>
          <t>354 OAK KNOLL AVE SE</t>
        </is>
      </c>
      <c r="N343">
        <f>RIGHT(M343,LEN(M343)-FIND(" ",M343))</f>
        <v/>
      </c>
      <c r="P343" t="inlineStr">
        <is>
          <t>WARREN</t>
        </is>
      </c>
      <c r="Q343" t="inlineStr">
        <is>
          <t>OH</t>
        </is>
      </c>
      <c r="R343" t="n">
        <v>44483</v>
      </c>
      <c r="AD343" t="inlineStr">
        <is>
          <t>TRUMBULL CAREER &amp; TECH CENTER</t>
        </is>
      </c>
      <c r="AE343" t="inlineStr">
        <is>
          <t>WARREN CITY</t>
        </is>
      </c>
      <c r="AF343" t="inlineStr">
        <is>
          <t>WARREN CITY SD</t>
        </is>
      </c>
      <c r="AH343" t="n">
        <v>14</v>
      </c>
      <c r="AI343" t="n">
        <v>11</v>
      </c>
      <c r="AN343" t="inlineStr">
        <is>
          <t>WARREN</t>
        </is>
      </c>
      <c r="AO343" t="inlineStr">
        <is>
          <t>WARREN CITY 4A</t>
        </is>
      </c>
      <c r="AP343" t="inlineStr">
        <is>
          <t>78-P-ADI</t>
        </is>
      </c>
      <c r="AQ343" t="n">
        <v>9</v>
      </c>
      <c r="AR343" t="n">
        <v>64</v>
      </c>
      <c r="AS343" t="n">
        <v>32</v>
      </c>
      <c r="AU343">
        <f>COUNTA($BA$343:$EH$343)</f>
        <v/>
      </c>
      <c r="AV343">
        <f>COUNTIF($BA$343:$EH$343,"D")</f>
        <v/>
      </c>
      <c r="AW343">
        <f>COUNTIF($BA$343:$EH$343,"R")</f>
        <v/>
      </c>
      <c r="AX343">
        <f>IF(BN343="D",1,0)+IF(BO343="D",1,0)+IF(BT343="D",1,0)+IF(BU343="D",1,0)+IF(BW343="D",1,0)+IF(CC343="D",1,0)+IF(CD343="D",1,0)+IF(CE343="D",1,0)+IF(CF343="D",1,0)+IF(CL343="D",1,0)+IF(CM343="D",1,0)+IF(CQ343="D",1,0)+IF(CR343="D",1,0)+IF(CS343="D",1,0)+IF(CW343="D",1,0)+IF(CX343="D",1,0)+IF(DD343="D",1,0)+IF(DE343="D",1,0)+IF(DJ343="D",1,0)+IF(DK343="D",1,0)+IF(DO343="D",1,0)+IF(DP343="D",1,0)+IF(DQ343="D",1,0)+IF(DW343="D",1,0)+IF(DZ343="D",1,0)+IF(EH343="D",1,0)</f>
        <v/>
      </c>
      <c r="AY343">
        <f>IF(DJ343&lt;&gt;"",1,0)+IF(DK343&lt;&gt;"",1,0)+IF(DM343&lt;&gt;"",1,0)+IF(DO343&lt;&gt;"",1,0)+IF(DP343&lt;&gt;"",1,0)+IF(DQ343&lt;&gt;"",1,0)+IF(DS343&lt;&gt;"",1,0)+IF(DT343&lt;&gt;"",1,0)+IF(DV343&lt;&gt;"",1,0)+IF(DW343&lt;&gt;"",1,0)+IF(DX343&lt;&gt;"",1,0)+IF(DY343&lt;&gt;"",1,0)+IF(DZ343&lt;&gt;"",1,0)+IF(EB343&lt;&gt;"",1,0)+IF(EC343&lt;&gt;"",1,0)+IF(ED343&lt;&gt;"",1,0)+IF(EG343&lt;&gt;"",1,0)+IF(EH343&lt;&gt;"",1,0)</f>
        <v/>
      </c>
      <c r="AZ343">
        <f>IF(EH343&lt;&gt;"",1,0)</f>
        <v/>
      </c>
      <c r="BB343" t="inlineStr">
        <is>
          <t>WARREN-WARD 4</t>
        </is>
      </c>
      <c r="BC343" t="inlineStr">
        <is>
          <t>R</t>
        </is>
      </c>
      <c r="BD343" t="inlineStr">
        <is>
          <t>X</t>
        </is>
      </c>
      <c r="BF343" t="inlineStr">
        <is>
          <t>X</t>
        </is>
      </c>
      <c r="BG343" t="inlineStr">
        <is>
          <t>R</t>
        </is>
      </c>
      <c r="BJ343" t="inlineStr">
        <is>
          <t>X</t>
        </is>
      </c>
      <c r="BL343" t="inlineStr">
        <is>
          <t>X</t>
        </is>
      </c>
      <c r="CA343" t="inlineStr">
        <is>
          <t>X</t>
        </is>
      </c>
      <c r="DN343" t="inlineStr">
        <is>
          <t>X</t>
        </is>
      </c>
      <c r="DU343" t="inlineStr">
        <is>
          <t>X</t>
        </is>
      </c>
      <c r="DX343" t="inlineStr">
        <is>
          <t>X</t>
        </is>
      </c>
      <c r="EA343" t="inlineStr">
        <is>
          <t>X</t>
        </is>
      </c>
      <c r="ED343" t="inlineStr">
        <is>
          <t>R</t>
        </is>
      </c>
      <c r="EF343" t="inlineStr">
        <is>
          <t>X</t>
        </is>
      </c>
      <c r="EH343" t="inlineStr">
        <is>
          <t>X</t>
        </is>
      </c>
    </row>
    <row r="344">
      <c r="A344" t="inlineStr">
        <is>
          <t>OH0024192540</t>
        </is>
      </c>
      <c r="B344" t="n">
        <v>78</v>
      </c>
      <c r="C344" t="n">
        <v>423647</v>
      </c>
      <c r="D344" t="inlineStr">
        <is>
          <t>WILSON</t>
        </is>
      </c>
      <c r="E344" t="inlineStr">
        <is>
          <t>JARED</t>
        </is>
      </c>
      <c r="F344">
        <f>CONCATENATE(D344," ",LEFT(H344,4),"T=",AU344,"D=",AV344,"R=",AW344,"M=",AX344,"L=",AY344,"B=",AZ344)</f>
        <v/>
      </c>
      <c r="G344" t="inlineStr">
        <is>
          <t>B</t>
        </is>
      </c>
      <c r="I344" t="inlineStr">
        <is>
          <t>1977-10-11</t>
        </is>
      </c>
      <c r="J344" t="inlineStr">
        <is>
          <t>2021-10-05</t>
        </is>
      </c>
      <c r="K344" t="inlineStr">
        <is>
          <t>CONFIRMATION</t>
        </is>
      </c>
      <c r="M344" t="inlineStr">
        <is>
          <t>482 KENILWORTH AVE SE</t>
        </is>
      </c>
      <c r="N344">
        <f>RIGHT(M344,LEN(M344)-FIND(" ",M344))</f>
        <v/>
      </c>
      <c r="P344" t="inlineStr">
        <is>
          <t>WARREN</t>
        </is>
      </c>
      <c r="Q344" t="inlineStr">
        <is>
          <t>OH</t>
        </is>
      </c>
      <c r="R344" t="n">
        <v>44483</v>
      </c>
      <c r="AD344" t="inlineStr">
        <is>
          <t>TRUMBULL CAREER &amp; TECH CENTER</t>
        </is>
      </c>
      <c r="AE344" t="inlineStr">
        <is>
          <t>WARREN CITY</t>
        </is>
      </c>
      <c r="AF344" t="inlineStr">
        <is>
          <t>WARREN CITY SD</t>
        </is>
      </c>
      <c r="AH344" t="n">
        <v>14</v>
      </c>
      <c r="AI344" t="n">
        <v>11</v>
      </c>
      <c r="AN344" t="inlineStr">
        <is>
          <t>WARREN</t>
        </is>
      </c>
      <c r="AO344" t="inlineStr">
        <is>
          <t>WARREN CITY 4A</t>
        </is>
      </c>
      <c r="AP344" t="inlineStr">
        <is>
          <t>78-P-ADI</t>
        </is>
      </c>
      <c r="AQ344" t="n">
        <v>9</v>
      </c>
      <c r="AR344" t="n">
        <v>64</v>
      </c>
      <c r="AS344" t="n">
        <v>32</v>
      </c>
      <c r="AU344">
        <f>COUNTA($BA$344:$EH$344)</f>
        <v/>
      </c>
      <c r="AV344">
        <f>COUNTIF($BA$344:$EH$344,"D")</f>
        <v/>
      </c>
      <c r="AW344">
        <f>COUNTIF($BA$344:$EH$344,"R")</f>
        <v/>
      </c>
      <c r="AX344">
        <f>IF(BN344="D",1,0)+IF(BO344="D",1,0)+IF(BT344="D",1,0)+IF(BU344="D",1,0)+IF(BW344="D",1,0)+IF(CC344="D",1,0)+IF(CD344="D",1,0)+IF(CE344="D",1,0)+IF(CF344="D",1,0)+IF(CL344="D",1,0)+IF(CM344="D",1,0)+IF(CQ344="D",1,0)+IF(CR344="D",1,0)+IF(CS344="D",1,0)+IF(CW344="D",1,0)+IF(CX344="D",1,0)+IF(DD344="D",1,0)+IF(DE344="D",1,0)+IF(DJ344="D",1,0)+IF(DK344="D",1,0)+IF(DO344="D",1,0)+IF(DP344="D",1,0)+IF(DQ344="D",1,0)+IF(DW344="D",1,0)+IF(DZ344="D",1,0)+IF(EH344="D",1,0)</f>
        <v/>
      </c>
      <c r="AY344">
        <f>IF(DJ344&lt;&gt;"",1,0)+IF(DK344&lt;&gt;"",1,0)+IF(DM344&lt;&gt;"",1,0)+IF(DO344&lt;&gt;"",1,0)+IF(DP344&lt;&gt;"",1,0)+IF(DQ344&lt;&gt;"",1,0)+IF(DS344&lt;&gt;"",1,0)+IF(DT344&lt;&gt;"",1,0)+IF(DV344&lt;&gt;"",1,0)+IF(DW344&lt;&gt;"",1,0)+IF(DX344&lt;&gt;"",1,0)+IF(DY344&lt;&gt;"",1,0)+IF(DZ344&lt;&gt;"",1,0)+IF(EB344&lt;&gt;"",1,0)+IF(EC344&lt;&gt;"",1,0)+IF(ED344&lt;&gt;"",1,0)+IF(EG344&lt;&gt;"",1,0)+IF(EH344&lt;&gt;"",1,0)</f>
        <v/>
      </c>
      <c r="AZ344">
        <f>IF(EH344&lt;&gt;"",1,0)</f>
        <v/>
      </c>
      <c r="BB344" t="inlineStr">
        <is>
          <t>WARREN-WARD 4</t>
        </is>
      </c>
      <c r="BJ344" t="inlineStr">
        <is>
          <t>X</t>
        </is>
      </c>
      <c r="BL344" t="inlineStr">
        <is>
          <t>X</t>
        </is>
      </c>
      <c r="BS344" t="inlineStr">
        <is>
          <t>X</t>
        </is>
      </c>
    </row>
    <row r="345">
      <c r="A345" t="inlineStr">
        <is>
          <t>OH0027240537</t>
        </is>
      </c>
      <c r="B345" t="n">
        <v>78</v>
      </c>
      <c r="C345" t="n">
        <v>483230</v>
      </c>
      <c r="D345" t="inlineStr">
        <is>
          <t>FRAZESKOS</t>
        </is>
      </c>
      <c r="E345" t="inlineStr">
        <is>
          <t>ISABELLA</t>
        </is>
      </c>
      <c r="F345">
        <f>CONCATENATE(D345," ",LEFT(H345,4),"T=",AU345,"D=",AV345,"R=",AW345,"M=",AX345,"L=",AY345,"B=",AZ345)</f>
        <v/>
      </c>
      <c r="G345" t="inlineStr">
        <is>
          <t>ANGELINA</t>
        </is>
      </c>
      <c r="I345" t="inlineStr">
        <is>
          <t>2001-06-01</t>
        </is>
      </c>
      <c r="J345" t="inlineStr">
        <is>
          <t>2024-02-10</t>
        </is>
      </c>
      <c r="K345" t="inlineStr">
        <is>
          <t>ACTIVE</t>
        </is>
      </c>
      <c r="M345" t="inlineStr">
        <is>
          <t>740 WOODBINE AVE SE</t>
        </is>
      </c>
      <c r="N345">
        <f>RIGHT(M345,LEN(M345)-FIND(" ",M345))</f>
        <v/>
      </c>
      <c r="P345" t="inlineStr">
        <is>
          <t>WARREN</t>
        </is>
      </c>
      <c r="Q345" t="inlineStr">
        <is>
          <t>OH</t>
        </is>
      </c>
      <c r="R345" t="n">
        <v>44484</v>
      </c>
      <c r="AD345" t="inlineStr">
        <is>
          <t>TRUMBULL CAREER &amp; TECH CENTER</t>
        </is>
      </c>
      <c r="AE345" t="inlineStr">
        <is>
          <t>WARREN CITY</t>
        </is>
      </c>
      <c r="AF345" t="inlineStr">
        <is>
          <t>WARREN CITY SD</t>
        </is>
      </c>
      <c r="AH345" t="n">
        <v>14</v>
      </c>
      <c r="AI345" t="n">
        <v>11</v>
      </c>
      <c r="AN345" t="inlineStr">
        <is>
          <t>WARREN</t>
        </is>
      </c>
      <c r="AO345" t="inlineStr">
        <is>
          <t>WARREN CITY 4A</t>
        </is>
      </c>
      <c r="AP345" t="inlineStr">
        <is>
          <t>78-P-ADI</t>
        </is>
      </c>
      <c r="AQ345" t="n">
        <v>9</v>
      </c>
      <c r="AR345" t="n">
        <v>64</v>
      </c>
      <c r="AS345" t="n">
        <v>32</v>
      </c>
      <c r="AU345">
        <f>COUNTA($BA$345:$EH$345)</f>
        <v/>
      </c>
      <c r="AV345">
        <f>COUNTIF($BA$345:$EH$345,"D")</f>
        <v/>
      </c>
      <c r="AW345">
        <f>COUNTIF($BA$345:$EH$345,"R")</f>
        <v/>
      </c>
      <c r="AX345">
        <f>IF(BN345="D",1,0)+IF(BO345="D",1,0)+IF(BT345="D",1,0)+IF(BU345="D",1,0)+IF(BW345="D",1,0)+IF(CC345="D",1,0)+IF(CD345="D",1,0)+IF(CE345="D",1,0)+IF(CF345="D",1,0)+IF(CL345="D",1,0)+IF(CM345="D",1,0)+IF(CQ345="D",1,0)+IF(CR345="D",1,0)+IF(CS345="D",1,0)+IF(CW345="D",1,0)+IF(CX345="D",1,0)+IF(DD345="D",1,0)+IF(DE345="D",1,0)+IF(DJ345="D",1,0)+IF(DK345="D",1,0)+IF(DO345="D",1,0)+IF(DP345="D",1,0)+IF(DQ345="D",1,0)+IF(DW345="D",1,0)+IF(DZ345="D",1,0)+IF(EH345="D",1,0)</f>
        <v/>
      </c>
      <c r="AY345">
        <f>IF(DJ345&lt;&gt;"",1,0)+IF(DK345&lt;&gt;"",1,0)+IF(DM345&lt;&gt;"",1,0)+IF(DO345&lt;&gt;"",1,0)+IF(DP345&lt;&gt;"",1,0)+IF(DQ345&lt;&gt;"",1,0)+IF(DS345&lt;&gt;"",1,0)+IF(DT345&lt;&gt;"",1,0)+IF(DV345&lt;&gt;"",1,0)+IF(DW345&lt;&gt;"",1,0)+IF(DX345&lt;&gt;"",1,0)+IF(DY345&lt;&gt;"",1,0)+IF(DZ345&lt;&gt;"",1,0)+IF(EB345&lt;&gt;"",1,0)+IF(EC345&lt;&gt;"",1,0)+IF(ED345&lt;&gt;"",1,0)+IF(EG345&lt;&gt;"",1,0)+IF(EH345&lt;&gt;"",1,0)</f>
        <v/>
      </c>
      <c r="AZ345">
        <f>IF(EH345&lt;&gt;"",1,0)</f>
        <v/>
      </c>
      <c r="BB345" t="inlineStr">
        <is>
          <t>WARREN-WARD 4</t>
        </is>
      </c>
      <c r="EF345" t="inlineStr">
        <is>
          <t>X</t>
        </is>
      </c>
    </row>
    <row r="346">
      <c r="A346" t="inlineStr">
        <is>
          <t>OH0026322602</t>
        </is>
      </c>
      <c r="B346" t="n">
        <v>78</v>
      </c>
      <c r="C346" t="n">
        <v>460230</v>
      </c>
      <c r="D346" t="inlineStr">
        <is>
          <t>WILLIAMS</t>
        </is>
      </c>
      <c r="E346" t="inlineStr">
        <is>
          <t>KERSTIN</t>
        </is>
      </c>
      <c r="F346">
        <f>CONCATENATE(D346," ",LEFT(H346,4),"T=",AU346,"D=",AV346,"R=",AW346,"M=",AX346,"L=",AY346,"B=",AZ346)</f>
        <v/>
      </c>
      <c r="G346" t="inlineStr">
        <is>
          <t>LEE</t>
        </is>
      </c>
      <c r="I346" t="inlineStr">
        <is>
          <t>1995-06-04</t>
        </is>
      </c>
      <c r="J346" t="inlineStr">
        <is>
          <t>2023-10-09</t>
        </is>
      </c>
      <c r="K346" t="inlineStr">
        <is>
          <t>ACTIVE</t>
        </is>
      </c>
      <c r="M346" t="inlineStr">
        <is>
          <t>1324 SOUTH ST SE</t>
        </is>
      </c>
      <c r="N346">
        <f>RIGHT(M346,LEN(M346)-FIND(" ",M346))</f>
        <v/>
      </c>
      <c r="P346" t="inlineStr">
        <is>
          <t>WARREN</t>
        </is>
      </c>
      <c r="Q346" t="inlineStr">
        <is>
          <t>OH</t>
        </is>
      </c>
      <c r="R346" t="n">
        <v>44483</v>
      </c>
      <c r="AD346" t="inlineStr">
        <is>
          <t>TRUMBULL CAREER &amp; TECH CENTER</t>
        </is>
      </c>
      <c r="AE346" t="inlineStr">
        <is>
          <t>WARREN CITY</t>
        </is>
      </c>
      <c r="AF346" t="inlineStr">
        <is>
          <t>WARREN CITY SD</t>
        </is>
      </c>
      <c r="AH346" t="n">
        <v>14</v>
      </c>
      <c r="AI346" t="n">
        <v>11</v>
      </c>
      <c r="AN346" t="inlineStr">
        <is>
          <t>WARREN</t>
        </is>
      </c>
      <c r="AO346" t="inlineStr">
        <is>
          <t>WARREN CITY 4A</t>
        </is>
      </c>
      <c r="AP346" t="inlineStr">
        <is>
          <t>78-P-ADI</t>
        </is>
      </c>
      <c r="AQ346" t="n">
        <v>9</v>
      </c>
      <c r="AR346" t="n">
        <v>64</v>
      </c>
      <c r="AS346" t="n">
        <v>32</v>
      </c>
      <c r="AU346">
        <f>COUNTA($BA$346:$EH$346)</f>
        <v/>
      </c>
      <c r="AV346">
        <f>COUNTIF($BA$346:$EH$346,"D")</f>
        <v/>
      </c>
      <c r="AW346">
        <f>COUNTIF($BA$346:$EH$346,"R")</f>
        <v/>
      </c>
      <c r="AX346">
        <f>IF(BN346="D",1,0)+IF(BO346="D",1,0)+IF(BT346="D",1,0)+IF(BU346="D",1,0)+IF(BW346="D",1,0)+IF(CC346="D",1,0)+IF(CD346="D",1,0)+IF(CE346="D",1,0)+IF(CF346="D",1,0)+IF(CL346="D",1,0)+IF(CM346="D",1,0)+IF(CQ346="D",1,0)+IF(CR346="D",1,0)+IF(CS346="D",1,0)+IF(CW346="D",1,0)+IF(CX346="D",1,0)+IF(DD346="D",1,0)+IF(DE346="D",1,0)+IF(DJ346="D",1,0)+IF(DK346="D",1,0)+IF(DO346="D",1,0)+IF(DP346="D",1,0)+IF(DQ346="D",1,0)+IF(DW346="D",1,0)+IF(DZ346="D",1,0)+IF(EH346="D",1,0)</f>
        <v/>
      </c>
      <c r="AY346">
        <f>IF(DJ346&lt;&gt;"",1,0)+IF(DK346&lt;&gt;"",1,0)+IF(DM346&lt;&gt;"",1,0)+IF(DO346&lt;&gt;"",1,0)+IF(DP346&lt;&gt;"",1,0)+IF(DQ346&lt;&gt;"",1,0)+IF(DS346&lt;&gt;"",1,0)+IF(DT346&lt;&gt;"",1,0)+IF(DV346&lt;&gt;"",1,0)+IF(DW346&lt;&gt;"",1,0)+IF(DX346&lt;&gt;"",1,0)+IF(DY346&lt;&gt;"",1,0)+IF(DZ346&lt;&gt;"",1,0)+IF(EB346&lt;&gt;"",1,0)+IF(EC346&lt;&gt;"",1,0)+IF(ED346&lt;&gt;"",1,0)+IF(EG346&lt;&gt;"",1,0)+IF(EH346&lt;&gt;"",1,0)</f>
        <v/>
      </c>
      <c r="AZ346">
        <f>IF(EH346&lt;&gt;"",1,0)</f>
        <v/>
      </c>
      <c r="BB346" t="inlineStr">
        <is>
          <t>WARREN-WARD 4</t>
        </is>
      </c>
      <c r="EA346" t="inlineStr">
        <is>
          <t>X</t>
        </is>
      </c>
      <c r="EF346" t="inlineStr">
        <is>
          <t>X</t>
        </is>
      </c>
    </row>
    <row r="347">
      <c r="A347" t="inlineStr">
        <is>
          <t>OH0021689582</t>
        </is>
      </c>
      <c r="B347" t="n">
        <v>78</v>
      </c>
      <c r="C347" t="n">
        <v>384874</v>
      </c>
      <c r="D347" t="inlineStr">
        <is>
          <t>MOORE</t>
        </is>
      </c>
      <c r="E347" t="inlineStr">
        <is>
          <t>SAMANTHA</t>
        </is>
      </c>
      <c r="F347">
        <f>CONCATENATE(D347," ",LEFT(H347,4),"T=",AU347,"D=",AV347,"R=",AW347,"M=",AX347,"L=",AY347,"B=",AZ347)</f>
        <v/>
      </c>
      <c r="G347" t="inlineStr">
        <is>
          <t>RENEE</t>
        </is>
      </c>
      <c r="I347" t="inlineStr">
        <is>
          <t>1994-02-11</t>
        </is>
      </c>
      <c r="J347" t="inlineStr">
        <is>
          <t>2012-01-27</t>
        </is>
      </c>
      <c r="K347" t="inlineStr">
        <is>
          <t>ACTIVE</t>
        </is>
      </c>
      <c r="M347" t="inlineStr">
        <is>
          <t>412 IDDINGS AVE SE</t>
        </is>
      </c>
      <c r="N347">
        <f>RIGHT(M347,LEN(M347)-FIND(" ",M347))</f>
        <v/>
      </c>
      <c r="P347" t="inlineStr">
        <is>
          <t>WARREN</t>
        </is>
      </c>
      <c r="Q347" t="inlineStr">
        <is>
          <t>OH</t>
        </is>
      </c>
      <c r="R347" t="n">
        <v>44483</v>
      </c>
      <c r="AD347" t="inlineStr">
        <is>
          <t>TRUMBULL CAREER &amp; TECH CENTER</t>
        </is>
      </c>
      <c r="AE347" t="inlineStr">
        <is>
          <t>WARREN CITY</t>
        </is>
      </c>
      <c r="AF347" t="inlineStr">
        <is>
          <t>WARREN CITY SD</t>
        </is>
      </c>
      <c r="AH347" t="n">
        <v>14</v>
      </c>
      <c r="AI347" t="n">
        <v>11</v>
      </c>
      <c r="AN347" t="inlineStr">
        <is>
          <t>WARREN</t>
        </is>
      </c>
      <c r="AO347" t="inlineStr">
        <is>
          <t>WARREN CITY 4A</t>
        </is>
      </c>
      <c r="AP347" t="inlineStr">
        <is>
          <t>78-P-ADI</t>
        </is>
      </c>
      <c r="AQ347" t="n">
        <v>9</v>
      </c>
      <c r="AR347" t="n">
        <v>64</v>
      </c>
      <c r="AS347" t="n">
        <v>32</v>
      </c>
      <c r="AU347">
        <f>COUNTA($BA$347:$EH$347)</f>
        <v/>
      </c>
      <c r="AV347">
        <f>COUNTIF($BA$347:$EH$347,"D")</f>
        <v/>
      </c>
      <c r="AW347">
        <f>COUNTIF($BA$347:$EH$347,"R")</f>
        <v/>
      </c>
      <c r="AX347">
        <f>IF(BN347="D",1,0)+IF(BO347="D",1,0)+IF(BT347="D",1,0)+IF(BU347="D",1,0)+IF(BW347="D",1,0)+IF(CC347="D",1,0)+IF(CD347="D",1,0)+IF(CE347="D",1,0)+IF(CF347="D",1,0)+IF(CL347="D",1,0)+IF(CM347="D",1,0)+IF(CQ347="D",1,0)+IF(CR347="D",1,0)+IF(CS347="D",1,0)+IF(CW347="D",1,0)+IF(CX347="D",1,0)+IF(DD347="D",1,0)+IF(DE347="D",1,0)+IF(DJ347="D",1,0)+IF(DK347="D",1,0)+IF(DO347="D",1,0)+IF(DP347="D",1,0)+IF(DQ347="D",1,0)+IF(DW347="D",1,0)+IF(DZ347="D",1,0)+IF(EH347="D",1,0)</f>
        <v/>
      </c>
      <c r="AY347">
        <f>IF(DJ347&lt;&gt;"",1,0)+IF(DK347&lt;&gt;"",1,0)+IF(DM347&lt;&gt;"",1,0)+IF(DO347&lt;&gt;"",1,0)+IF(DP347&lt;&gt;"",1,0)+IF(DQ347&lt;&gt;"",1,0)+IF(DS347&lt;&gt;"",1,0)+IF(DT347&lt;&gt;"",1,0)+IF(DV347&lt;&gt;"",1,0)+IF(DW347&lt;&gt;"",1,0)+IF(DX347&lt;&gt;"",1,0)+IF(DY347&lt;&gt;"",1,0)+IF(DZ347&lt;&gt;"",1,0)+IF(EB347&lt;&gt;"",1,0)+IF(EC347&lt;&gt;"",1,0)+IF(ED347&lt;&gt;"",1,0)+IF(EG347&lt;&gt;"",1,0)+IF(EH347&lt;&gt;"",1,0)</f>
        <v/>
      </c>
      <c r="AZ347">
        <f>IF(EH347&lt;&gt;"",1,0)</f>
        <v/>
      </c>
      <c r="BB347" t="inlineStr">
        <is>
          <t>WARREN-WARD 4</t>
        </is>
      </c>
      <c r="CP347" t="inlineStr">
        <is>
          <t>X</t>
        </is>
      </c>
      <c r="DX347" t="inlineStr">
        <is>
          <t>X</t>
        </is>
      </c>
      <c r="EA347" t="inlineStr">
        <is>
          <t>X</t>
        </is>
      </c>
    </row>
    <row r="348">
      <c r="A348" t="inlineStr">
        <is>
          <t>OH0024049037</t>
        </is>
      </c>
      <c r="B348" t="n">
        <v>78</v>
      </c>
      <c r="C348" t="n">
        <v>421350</v>
      </c>
      <c r="D348" t="inlineStr">
        <is>
          <t>PARKER</t>
        </is>
      </c>
      <c r="E348" t="inlineStr">
        <is>
          <t>TJ</t>
        </is>
      </c>
      <c r="F348">
        <f>CONCATENATE(D348," ",LEFT(H348,4),"T=",AU348,"D=",AV348,"R=",AW348,"M=",AX348,"L=",AY348,"B=",AZ348)</f>
        <v/>
      </c>
      <c r="G348" t="inlineStr">
        <is>
          <t>MATHEW</t>
        </is>
      </c>
      <c r="I348" t="inlineStr">
        <is>
          <t>1982-12-01</t>
        </is>
      </c>
      <c r="J348" t="inlineStr">
        <is>
          <t>2020-10-20</t>
        </is>
      </c>
      <c r="K348" t="inlineStr">
        <is>
          <t>CONFIRMATION</t>
        </is>
      </c>
      <c r="M348" t="inlineStr">
        <is>
          <t>578 ADELAIDE AVE SE</t>
        </is>
      </c>
      <c r="N348">
        <f>RIGHT(M348,LEN(M348)-FIND(" ",M348))</f>
        <v/>
      </c>
      <c r="P348" t="inlineStr">
        <is>
          <t>WARREN</t>
        </is>
      </c>
      <c r="Q348" t="inlineStr">
        <is>
          <t>OH</t>
        </is>
      </c>
      <c r="R348" t="n">
        <v>44483</v>
      </c>
      <c r="AD348" t="inlineStr">
        <is>
          <t>TRUMBULL CAREER &amp; TECH CENTER</t>
        </is>
      </c>
      <c r="AE348" t="inlineStr">
        <is>
          <t>WARREN CITY</t>
        </is>
      </c>
      <c r="AF348" t="inlineStr">
        <is>
          <t>WARREN CITY SD</t>
        </is>
      </c>
      <c r="AH348" t="n">
        <v>14</v>
      </c>
      <c r="AI348" t="n">
        <v>11</v>
      </c>
      <c r="AN348" t="inlineStr">
        <is>
          <t>WARREN</t>
        </is>
      </c>
      <c r="AO348" t="inlineStr">
        <is>
          <t>WARREN CITY 4A</t>
        </is>
      </c>
      <c r="AP348" t="inlineStr">
        <is>
          <t>78-P-ADI</t>
        </is>
      </c>
      <c r="AQ348" t="n">
        <v>9</v>
      </c>
      <c r="AR348" t="n">
        <v>64</v>
      </c>
      <c r="AS348" t="n">
        <v>32</v>
      </c>
      <c r="AU348">
        <f>COUNTA($BA$348:$EH$348)</f>
        <v/>
      </c>
      <c r="AV348">
        <f>COUNTIF($BA$348:$EH$348,"D")</f>
        <v/>
      </c>
      <c r="AW348">
        <f>COUNTIF($BA$348:$EH$348,"R")</f>
        <v/>
      </c>
      <c r="AX348">
        <f>IF(BN348="D",1,0)+IF(BO348="D",1,0)+IF(BT348="D",1,0)+IF(BU348="D",1,0)+IF(BW348="D",1,0)+IF(CC348="D",1,0)+IF(CD348="D",1,0)+IF(CE348="D",1,0)+IF(CF348="D",1,0)+IF(CL348="D",1,0)+IF(CM348="D",1,0)+IF(CQ348="D",1,0)+IF(CR348="D",1,0)+IF(CS348="D",1,0)+IF(CW348="D",1,0)+IF(CX348="D",1,0)+IF(DD348="D",1,0)+IF(DE348="D",1,0)+IF(DJ348="D",1,0)+IF(DK348="D",1,0)+IF(DO348="D",1,0)+IF(DP348="D",1,0)+IF(DQ348="D",1,0)+IF(DW348="D",1,0)+IF(DZ348="D",1,0)+IF(EH348="D",1,0)</f>
        <v/>
      </c>
      <c r="AY348">
        <f>IF(DJ348&lt;&gt;"",1,0)+IF(DK348&lt;&gt;"",1,0)+IF(DM348&lt;&gt;"",1,0)+IF(DO348&lt;&gt;"",1,0)+IF(DP348&lt;&gt;"",1,0)+IF(DQ348&lt;&gt;"",1,0)+IF(DS348&lt;&gt;"",1,0)+IF(DT348&lt;&gt;"",1,0)+IF(DV348&lt;&gt;"",1,0)+IF(DW348&lt;&gt;"",1,0)+IF(DX348&lt;&gt;"",1,0)+IF(DY348&lt;&gt;"",1,0)+IF(DZ348&lt;&gt;"",1,0)+IF(EB348&lt;&gt;"",1,0)+IF(EC348&lt;&gt;"",1,0)+IF(ED348&lt;&gt;"",1,0)+IF(EG348&lt;&gt;"",1,0)+IF(EH348&lt;&gt;"",1,0)</f>
        <v/>
      </c>
      <c r="AZ348">
        <f>IF(EH348&lt;&gt;"",1,0)</f>
        <v/>
      </c>
      <c r="BB348" t="inlineStr">
        <is>
          <t>WARREN-WARD 4</t>
        </is>
      </c>
      <c r="DN348" t="inlineStr">
        <is>
          <t>X</t>
        </is>
      </c>
    </row>
    <row r="349">
      <c r="A349" t="inlineStr">
        <is>
          <t>OH0023264234</t>
        </is>
      </c>
      <c r="B349" t="n">
        <v>78</v>
      </c>
      <c r="C349" t="n">
        <v>409355</v>
      </c>
      <c r="D349" t="inlineStr">
        <is>
          <t>BOWERS</t>
        </is>
      </c>
      <c r="E349" t="inlineStr">
        <is>
          <t>ELIZABETH</t>
        </is>
      </c>
      <c r="F349">
        <f>CONCATENATE(D349," ",LEFT(H349,4),"T=",AU349,"D=",AV349,"R=",AW349,"M=",AX349,"L=",AY349,"B=",AZ349)</f>
        <v/>
      </c>
      <c r="G349" t="inlineStr">
        <is>
          <t>ANN</t>
        </is>
      </c>
      <c r="I349" t="inlineStr">
        <is>
          <t>1995-10-07</t>
        </is>
      </c>
      <c r="J349" t="inlineStr">
        <is>
          <t>2024-08-21</t>
        </is>
      </c>
      <c r="K349" t="inlineStr">
        <is>
          <t>ACTIVE</t>
        </is>
      </c>
      <c r="M349" t="inlineStr">
        <is>
          <t>1324 BELLE ST SE</t>
        </is>
      </c>
      <c r="N349">
        <f>RIGHT(M349,LEN(M349)-FIND(" ",M349))</f>
        <v/>
      </c>
      <c r="P349" t="inlineStr">
        <is>
          <t>WARREN</t>
        </is>
      </c>
      <c r="Q349" t="inlineStr">
        <is>
          <t>OH</t>
        </is>
      </c>
      <c r="R349" t="n">
        <v>44484</v>
      </c>
      <c r="AD349" t="inlineStr">
        <is>
          <t>TRUMBULL CAREER &amp; TECH CENTER</t>
        </is>
      </c>
      <c r="AE349" t="inlineStr">
        <is>
          <t>WARREN CITY</t>
        </is>
      </c>
      <c r="AF349" t="inlineStr">
        <is>
          <t>WARREN CITY SD</t>
        </is>
      </c>
      <c r="AH349" t="n">
        <v>14</v>
      </c>
      <c r="AI349" t="n">
        <v>11</v>
      </c>
      <c r="AN349" t="inlineStr">
        <is>
          <t>WARREN</t>
        </is>
      </c>
      <c r="AO349" t="inlineStr">
        <is>
          <t>WARREN CITY 4A</t>
        </is>
      </c>
      <c r="AP349" t="inlineStr">
        <is>
          <t>78-P-ADI</t>
        </is>
      </c>
      <c r="AQ349" t="n">
        <v>9</v>
      </c>
      <c r="AR349" t="n">
        <v>64</v>
      </c>
      <c r="AS349" t="n">
        <v>32</v>
      </c>
      <c r="AU349">
        <f>COUNTA($BA$349:$EH$349)</f>
        <v/>
      </c>
      <c r="AV349">
        <f>COUNTIF($BA$349:$EH$349,"D")</f>
        <v/>
      </c>
      <c r="AW349">
        <f>COUNTIF($BA$349:$EH$349,"R")</f>
        <v/>
      </c>
      <c r="AX349">
        <f>IF(BN349="D",1,0)+IF(BO349="D",1,0)+IF(BT349="D",1,0)+IF(BU349="D",1,0)+IF(BW349="D",1,0)+IF(CC349="D",1,0)+IF(CD349="D",1,0)+IF(CE349="D",1,0)+IF(CF349="D",1,0)+IF(CL349="D",1,0)+IF(CM349="D",1,0)+IF(CQ349="D",1,0)+IF(CR349="D",1,0)+IF(CS349="D",1,0)+IF(CW349="D",1,0)+IF(CX349="D",1,0)+IF(DD349="D",1,0)+IF(DE349="D",1,0)+IF(DJ349="D",1,0)+IF(DK349="D",1,0)+IF(DO349="D",1,0)+IF(DP349="D",1,0)+IF(DQ349="D",1,0)+IF(DW349="D",1,0)+IF(DZ349="D",1,0)+IF(EH349="D",1,0)</f>
        <v/>
      </c>
      <c r="AY349">
        <f>IF(DJ349&lt;&gt;"",1,0)+IF(DK349&lt;&gt;"",1,0)+IF(DM349&lt;&gt;"",1,0)+IF(DO349&lt;&gt;"",1,0)+IF(DP349&lt;&gt;"",1,0)+IF(DQ349&lt;&gt;"",1,0)+IF(DS349&lt;&gt;"",1,0)+IF(DT349&lt;&gt;"",1,0)+IF(DV349&lt;&gt;"",1,0)+IF(DW349&lt;&gt;"",1,0)+IF(DX349&lt;&gt;"",1,0)+IF(DY349&lt;&gt;"",1,0)+IF(DZ349&lt;&gt;"",1,0)+IF(EB349&lt;&gt;"",1,0)+IF(EC349&lt;&gt;"",1,0)+IF(ED349&lt;&gt;"",1,0)+IF(EG349&lt;&gt;"",1,0)+IF(EH349&lt;&gt;"",1,0)</f>
        <v/>
      </c>
      <c r="AZ349">
        <f>IF(EH349&lt;&gt;"",1,0)</f>
        <v/>
      </c>
      <c r="BB349" t="inlineStr">
        <is>
          <t>WARREN-WARD 4</t>
        </is>
      </c>
    </row>
    <row r="350">
      <c r="A350" t="inlineStr">
        <is>
          <t>OH0015812664</t>
        </is>
      </c>
      <c r="B350" t="n">
        <v>78</v>
      </c>
      <c r="C350" t="n">
        <v>262681</v>
      </c>
      <c r="D350" t="inlineStr">
        <is>
          <t>ANDERSON</t>
        </is>
      </c>
      <c r="E350" t="inlineStr">
        <is>
          <t>STACEY</t>
        </is>
      </c>
      <c r="F350">
        <f>CONCATENATE(D350," ",LEFT(H350,4),"T=",AU350,"D=",AV350,"R=",AW350,"M=",AX350,"L=",AY350,"B=",AZ350)</f>
        <v/>
      </c>
      <c r="I350" t="inlineStr">
        <is>
          <t>1977-09-27</t>
        </is>
      </c>
      <c r="J350" t="inlineStr">
        <is>
          <t>2012-03-21</t>
        </is>
      </c>
      <c r="K350" t="inlineStr">
        <is>
          <t>ACTIVE</t>
        </is>
      </c>
      <c r="M350" t="inlineStr">
        <is>
          <t>587 WOODBINE AVE SE</t>
        </is>
      </c>
      <c r="N350">
        <f>RIGHT(M350,LEN(M350)-FIND(" ",M350))</f>
        <v/>
      </c>
      <c r="P350" t="inlineStr">
        <is>
          <t>WARREN</t>
        </is>
      </c>
      <c r="Q350" t="inlineStr">
        <is>
          <t>OH</t>
        </is>
      </c>
      <c r="R350" t="n">
        <v>44483</v>
      </c>
      <c r="AD350" t="inlineStr">
        <is>
          <t>TRUMBULL CAREER &amp; TECH CENTER</t>
        </is>
      </c>
      <c r="AE350" t="inlineStr">
        <is>
          <t>WARREN CITY</t>
        </is>
      </c>
      <c r="AF350" t="inlineStr">
        <is>
          <t>WARREN CITY SD</t>
        </is>
      </c>
      <c r="AH350" t="n">
        <v>14</v>
      </c>
      <c r="AI350" t="n">
        <v>11</v>
      </c>
      <c r="AN350" t="inlineStr">
        <is>
          <t>WARREN</t>
        </is>
      </c>
      <c r="AO350" t="inlineStr">
        <is>
          <t>WARREN CITY 4A</t>
        </is>
      </c>
      <c r="AP350" t="inlineStr">
        <is>
          <t>78-P-ADI</t>
        </is>
      </c>
      <c r="AQ350" t="n">
        <v>9</v>
      </c>
      <c r="AR350" t="n">
        <v>64</v>
      </c>
      <c r="AS350" t="n">
        <v>32</v>
      </c>
      <c r="AU350">
        <f>COUNTA($BA$350:$EH$350)</f>
        <v/>
      </c>
      <c r="AV350">
        <f>COUNTIF($BA$350:$EH$350,"D")</f>
        <v/>
      </c>
      <c r="AW350">
        <f>COUNTIF($BA$350:$EH$350,"R")</f>
        <v/>
      </c>
      <c r="AX350">
        <f>IF(BN350="D",1,0)+IF(BO350="D",1,0)+IF(BT350="D",1,0)+IF(BU350="D",1,0)+IF(BW350="D",1,0)+IF(CC350="D",1,0)+IF(CD350="D",1,0)+IF(CE350="D",1,0)+IF(CF350="D",1,0)+IF(CL350="D",1,0)+IF(CM350="D",1,0)+IF(CQ350="D",1,0)+IF(CR350="D",1,0)+IF(CS350="D",1,0)+IF(CW350="D",1,0)+IF(CX350="D",1,0)+IF(DD350="D",1,0)+IF(DE350="D",1,0)+IF(DJ350="D",1,0)+IF(DK350="D",1,0)+IF(DO350="D",1,0)+IF(DP350="D",1,0)+IF(DQ350="D",1,0)+IF(DW350="D",1,0)+IF(DZ350="D",1,0)+IF(EH350="D",1,0)</f>
        <v/>
      </c>
      <c r="AY350">
        <f>IF(DJ350&lt;&gt;"",1,0)+IF(DK350&lt;&gt;"",1,0)+IF(DM350&lt;&gt;"",1,0)+IF(DO350&lt;&gt;"",1,0)+IF(DP350&lt;&gt;"",1,0)+IF(DQ350&lt;&gt;"",1,0)+IF(DS350&lt;&gt;"",1,0)+IF(DT350&lt;&gt;"",1,0)+IF(DV350&lt;&gt;"",1,0)+IF(DW350&lt;&gt;"",1,0)+IF(DX350&lt;&gt;"",1,0)+IF(DY350&lt;&gt;"",1,0)+IF(DZ350&lt;&gt;"",1,0)+IF(EB350&lt;&gt;"",1,0)+IF(EC350&lt;&gt;"",1,0)+IF(ED350&lt;&gt;"",1,0)+IF(EG350&lt;&gt;"",1,0)+IF(EH350&lt;&gt;"",1,0)</f>
        <v/>
      </c>
      <c r="AZ350">
        <f>IF(EH350&lt;&gt;"",1,0)</f>
        <v/>
      </c>
      <c r="BB350" t="inlineStr">
        <is>
          <t>WARREN-WARD 4</t>
        </is>
      </c>
      <c r="BD350" t="inlineStr">
        <is>
          <t>X</t>
        </is>
      </c>
      <c r="BL350" t="inlineStr">
        <is>
          <t>X</t>
        </is>
      </c>
      <c r="BY350" t="inlineStr">
        <is>
          <t>D</t>
        </is>
      </c>
      <c r="CG350" t="inlineStr">
        <is>
          <t>X</t>
        </is>
      </c>
      <c r="CO350" t="inlineStr">
        <is>
          <t>D</t>
        </is>
      </c>
      <c r="CP350" t="inlineStr">
        <is>
          <t>X</t>
        </is>
      </c>
      <c r="CY350" t="inlineStr">
        <is>
          <t>X</t>
        </is>
      </c>
      <c r="CZ350" t="inlineStr">
        <is>
          <t>D</t>
        </is>
      </c>
      <c r="DC350" t="inlineStr">
        <is>
          <t>X</t>
        </is>
      </c>
      <c r="DN350" t="inlineStr">
        <is>
          <t>X</t>
        </is>
      </c>
      <c r="EF350" t="inlineStr">
        <is>
          <t>X</t>
        </is>
      </c>
    </row>
    <row r="351">
      <c r="A351" t="inlineStr">
        <is>
          <t>OH0025012994</t>
        </is>
      </c>
      <c r="B351" t="n">
        <v>78</v>
      </c>
      <c r="C351" t="n">
        <v>437856</v>
      </c>
      <c r="D351" t="inlineStr">
        <is>
          <t>ASHCRAFT</t>
        </is>
      </c>
      <c r="E351" t="inlineStr">
        <is>
          <t>STEVEN</t>
        </is>
      </c>
      <c r="F351">
        <f>CONCATENATE(D351," ",LEFT(H351,4),"T=",AU351,"D=",AV351,"R=",AW351,"M=",AX351,"L=",AY351,"B=",AZ351)</f>
        <v/>
      </c>
      <c r="G351" t="inlineStr">
        <is>
          <t>KERNS</t>
        </is>
      </c>
      <c r="I351" t="inlineStr">
        <is>
          <t>1970-05-26</t>
        </is>
      </c>
      <c r="J351" t="inlineStr">
        <is>
          <t>2019-01-10</t>
        </is>
      </c>
      <c r="K351" t="inlineStr">
        <is>
          <t>ACTIVE</t>
        </is>
      </c>
      <c r="M351" t="inlineStr">
        <is>
          <t>921 OAK KNOLL AVE SE</t>
        </is>
      </c>
      <c r="N351">
        <f>RIGHT(M351,LEN(M351)-FIND(" ",M351))</f>
        <v/>
      </c>
      <c r="P351" t="inlineStr">
        <is>
          <t>WARREN</t>
        </is>
      </c>
      <c r="Q351" t="inlineStr">
        <is>
          <t>OH</t>
        </is>
      </c>
      <c r="R351" t="n">
        <v>44484</v>
      </c>
      <c r="AD351" t="inlineStr">
        <is>
          <t>TRUMBULL CAREER &amp; TECH CENTER</t>
        </is>
      </c>
      <c r="AE351" t="inlineStr">
        <is>
          <t>WARREN CITY</t>
        </is>
      </c>
      <c r="AF351" t="inlineStr">
        <is>
          <t>WARREN CITY SD</t>
        </is>
      </c>
      <c r="AH351" t="n">
        <v>14</v>
      </c>
      <c r="AI351" t="n">
        <v>11</v>
      </c>
      <c r="AN351" t="inlineStr">
        <is>
          <t>WARREN</t>
        </is>
      </c>
      <c r="AO351" t="inlineStr">
        <is>
          <t>WARREN CITY 4A</t>
        </is>
      </c>
      <c r="AP351" t="inlineStr">
        <is>
          <t>78-P-ADI</t>
        </is>
      </c>
      <c r="AQ351" t="n">
        <v>9</v>
      </c>
      <c r="AR351" t="n">
        <v>64</v>
      </c>
      <c r="AS351" t="n">
        <v>32</v>
      </c>
      <c r="AU351">
        <f>COUNTA($BA$351:$EH$351)</f>
        <v/>
      </c>
      <c r="AV351">
        <f>COUNTIF($BA$351:$EH$351,"D")</f>
        <v/>
      </c>
      <c r="AW351">
        <f>COUNTIF($BA$351:$EH$351,"R")</f>
        <v/>
      </c>
      <c r="AX351">
        <f>IF(BN351="D",1,0)+IF(BO351="D",1,0)+IF(BT351="D",1,0)+IF(BU351="D",1,0)+IF(BW351="D",1,0)+IF(CC351="D",1,0)+IF(CD351="D",1,0)+IF(CE351="D",1,0)+IF(CF351="D",1,0)+IF(CL351="D",1,0)+IF(CM351="D",1,0)+IF(CQ351="D",1,0)+IF(CR351="D",1,0)+IF(CS351="D",1,0)+IF(CW351="D",1,0)+IF(CX351="D",1,0)+IF(DD351="D",1,0)+IF(DE351="D",1,0)+IF(DJ351="D",1,0)+IF(DK351="D",1,0)+IF(DO351="D",1,0)+IF(DP351="D",1,0)+IF(DQ351="D",1,0)+IF(DW351="D",1,0)+IF(DZ351="D",1,0)+IF(EH351="D",1,0)</f>
        <v/>
      </c>
      <c r="AY351">
        <f>IF(DJ351&lt;&gt;"",1,0)+IF(DK351&lt;&gt;"",1,0)+IF(DM351&lt;&gt;"",1,0)+IF(DO351&lt;&gt;"",1,0)+IF(DP351&lt;&gt;"",1,0)+IF(DQ351&lt;&gt;"",1,0)+IF(DS351&lt;&gt;"",1,0)+IF(DT351&lt;&gt;"",1,0)+IF(DV351&lt;&gt;"",1,0)+IF(DW351&lt;&gt;"",1,0)+IF(DX351&lt;&gt;"",1,0)+IF(DY351&lt;&gt;"",1,0)+IF(DZ351&lt;&gt;"",1,0)+IF(EB351&lt;&gt;"",1,0)+IF(EC351&lt;&gt;"",1,0)+IF(ED351&lt;&gt;"",1,0)+IF(EG351&lt;&gt;"",1,0)+IF(EH351&lt;&gt;"",1,0)</f>
        <v/>
      </c>
      <c r="AZ351">
        <f>IF(EH351&lt;&gt;"",1,0)</f>
        <v/>
      </c>
      <c r="BB351" t="inlineStr">
        <is>
          <t>WARREN-WARD 4</t>
        </is>
      </c>
      <c r="EF351" t="inlineStr">
        <is>
          <t>X</t>
        </is>
      </c>
    </row>
    <row r="352">
      <c r="A352" t="inlineStr">
        <is>
          <t>OH0025781710</t>
        </is>
      </c>
      <c r="B352" t="n">
        <v>78</v>
      </c>
      <c r="C352" t="n">
        <v>450339</v>
      </c>
      <c r="D352" t="inlineStr">
        <is>
          <t>STANLEY</t>
        </is>
      </c>
      <c r="E352" t="inlineStr">
        <is>
          <t>TYLER</t>
        </is>
      </c>
      <c r="F352">
        <f>CONCATENATE(D352," ",LEFT(H352,4),"T=",AU352,"D=",AV352,"R=",AW352,"M=",AX352,"L=",AY352,"B=",AZ352)</f>
        <v/>
      </c>
      <c r="G352" t="inlineStr">
        <is>
          <t>RYAN</t>
        </is>
      </c>
      <c r="I352" t="inlineStr">
        <is>
          <t>1987-05-18</t>
        </is>
      </c>
      <c r="J352" t="inlineStr">
        <is>
          <t>2020-08-27</t>
        </is>
      </c>
      <c r="K352" t="inlineStr">
        <is>
          <t>ACTIVE</t>
        </is>
      </c>
      <c r="M352" t="inlineStr">
        <is>
          <t>391 OAK KNOLL AVE SE</t>
        </is>
      </c>
      <c r="N352">
        <f>RIGHT(M352,LEN(M352)-FIND(" ",M352))</f>
        <v/>
      </c>
      <c r="P352" t="inlineStr">
        <is>
          <t>WARREN</t>
        </is>
      </c>
      <c r="Q352" t="inlineStr">
        <is>
          <t>OH</t>
        </is>
      </c>
      <c r="R352" t="n">
        <v>44483</v>
      </c>
      <c r="AD352" t="inlineStr">
        <is>
          <t>TRUMBULL CAREER &amp; TECH CENTER</t>
        </is>
      </c>
      <c r="AE352" t="inlineStr">
        <is>
          <t>WARREN CITY</t>
        </is>
      </c>
      <c r="AF352" t="inlineStr">
        <is>
          <t>WARREN CITY SD</t>
        </is>
      </c>
      <c r="AH352" t="n">
        <v>14</v>
      </c>
      <c r="AI352" t="n">
        <v>11</v>
      </c>
      <c r="AN352" t="inlineStr">
        <is>
          <t>WARREN</t>
        </is>
      </c>
      <c r="AO352" t="inlineStr">
        <is>
          <t>WARREN CITY 4A</t>
        </is>
      </c>
      <c r="AP352" t="inlineStr">
        <is>
          <t>78-P-ADI</t>
        </is>
      </c>
      <c r="AQ352" t="n">
        <v>9</v>
      </c>
      <c r="AR352" t="n">
        <v>64</v>
      </c>
      <c r="AS352" t="n">
        <v>32</v>
      </c>
      <c r="AU352">
        <f>COUNTA($BA$352:$EH$352)</f>
        <v/>
      </c>
      <c r="AV352">
        <f>COUNTIF($BA$352:$EH$352,"D")</f>
        <v/>
      </c>
      <c r="AW352">
        <f>COUNTIF($BA$352:$EH$352,"R")</f>
        <v/>
      </c>
      <c r="AX352">
        <f>IF(BN352="D",1,0)+IF(BO352="D",1,0)+IF(BT352="D",1,0)+IF(BU352="D",1,0)+IF(BW352="D",1,0)+IF(CC352="D",1,0)+IF(CD352="D",1,0)+IF(CE352="D",1,0)+IF(CF352="D",1,0)+IF(CL352="D",1,0)+IF(CM352="D",1,0)+IF(CQ352="D",1,0)+IF(CR352="D",1,0)+IF(CS352="D",1,0)+IF(CW352="D",1,0)+IF(CX352="D",1,0)+IF(DD352="D",1,0)+IF(DE352="D",1,0)+IF(DJ352="D",1,0)+IF(DK352="D",1,0)+IF(DO352="D",1,0)+IF(DP352="D",1,0)+IF(DQ352="D",1,0)+IF(DW352="D",1,0)+IF(DZ352="D",1,0)+IF(EH352="D",1,0)</f>
        <v/>
      </c>
      <c r="AY352">
        <f>IF(DJ352&lt;&gt;"",1,0)+IF(DK352&lt;&gt;"",1,0)+IF(DM352&lt;&gt;"",1,0)+IF(DO352&lt;&gt;"",1,0)+IF(DP352&lt;&gt;"",1,0)+IF(DQ352&lt;&gt;"",1,0)+IF(DS352&lt;&gt;"",1,0)+IF(DT352&lt;&gt;"",1,0)+IF(DV352&lt;&gt;"",1,0)+IF(DW352&lt;&gt;"",1,0)+IF(DX352&lt;&gt;"",1,0)+IF(DY352&lt;&gt;"",1,0)+IF(DZ352&lt;&gt;"",1,0)+IF(EB352&lt;&gt;"",1,0)+IF(EC352&lt;&gt;"",1,0)+IF(ED352&lt;&gt;"",1,0)+IF(EG352&lt;&gt;"",1,0)+IF(EH352&lt;&gt;"",1,0)</f>
        <v/>
      </c>
      <c r="AZ352">
        <f>IF(EH352&lt;&gt;"",1,0)</f>
        <v/>
      </c>
      <c r="BB352" t="inlineStr">
        <is>
          <t>WARREN-WARD 4</t>
        </is>
      </c>
      <c r="BR352" t="inlineStr">
        <is>
          <t>X</t>
        </is>
      </c>
      <c r="CL352" t="inlineStr">
        <is>
          <t>X</t>
        </is>
      </c>
      <c r="DN352" t="inlineStr">
        <is>
          <t>X</t>
        </is>
      </c>
      <c r="DU352" t="inlineStr">
        <is>
          <t>X</t>
        </is>
      </c>
      <c r="EA352" t="inlineStr">
        <is>
          <t>X</t>
        </is>
      </c>
      <c r="EF352" t="inlineStr">
        <is>
          <t>X</t>
        </is>
      </c>
    </row>
    <row r="353">
      <c r="A353" t="inlineStr">
        <is>
          <t>OH0022799845</t>
        </is>
      </c>
      <c r="B353" t="n">
        <v>78</v>
      </c>
      <c r="C353" t="n">
        <v>402481</v>
      </c>
      <c r="D353" t="inlineStr">
        <is>
          <t>SEALS</t>
        </is>
      </c>
      <c r="E353" t="inlineStr">
        <is>
          <t>FALON</t>
        </is>
      </c>
      <c r="F353">
        <f>CONCATENATE(D353," ",LEFT(H353,4),"T=",AU353,"D=",AV353,"R=",AW353,"M=",AX353,"L=",AY353,"B=",AZ353)</f>
        <v/>
      </c>
      <c r="G353" t="inlineStr">
        <is>
          <t>NICOLE</t>
        </is>
      </c>
      <c r="I353" t="inlineStr">
        <is>
          <t>1995-04-06</t>
        </is>
      </c>
      <c r="J353" t="inlineStr">
        <is>
          <t>2023-11-28</t>
        </is>
      </c>
      <c r="K353" t="inlineStr">
        <is>
          <t>ACTIVE</t>
        </is>
      </c>
      <c r="M353" t="inlineStr">
        <is>
          <t>726 ADELAIDE AVE SE</t>
        </is>
      </c>
      <c r="N353">
        <f>RIGHT(M353,LEN(M353)-FIND(" ",M353))</f>
        <v/>
      </c>
      <c r="P353" t="inlineStr">
        <is>
          <t>WARREN</t>
        </is>
      </c>
      <c r="Q353" t="inlineStr">
        <is>
          <t>OH</t>
        </is>
      </c>
      <c r="R353" t="n">
        <v>44484</v>
      </c>
      <c r="AD353" t="inlineStr">
        <is>
          <t>TRUMBULL CAREER &amp; TECH CENTER</t>
        </is>
      </c>
      <c r="AE353" t="inlineStr">
        <is>
          <t>WARREN CITY</t>
        </is>
      </c>
      <c r="AF353" t="inlineStr">
        <is>
          <t>WARREN CITY SD</t>
        </is>
      </c>
      <c r="AH353" t="n">
        <v>14</v>
      </c>
      <c r="AI353" t="n">
        <v>11</v>
      </c>
      <c r="AN353" t="inlineStr">
        <is>
          <t>WARREN</t>
        </is>
      </c>
      <c r="AO353" t="inlineStr">
        <is>
          <t>WARREN CITY 4A</t>
        </is>
      </c>
      <c r="AP353" t="inlineStr">
        <is>
          <t>78-P-ADI</t>
        </is>
      </c>
      <c r="AQ353" t="n">
        <v>9</v>
      </c>
      <c r="AR353" t="n">
        <v>64</v>
      </c>
      <c r="AS353" t="n">
        <v>32</v>
      </c>
      <c r="AU353">
        <f>COUNTA($BA$353:$EH$353)</f>
        <v/>
      </c>
      <c r="AV353">
        <f>COUNTIF($BA$353:$EH$353,"D")</f>
        <v/>
      </c>
      <c r="AW353">
        <f>COUNTIF($BA$353:$EH$353,"R")</f>
        <v/>
      </c>
      <c r="AX353">
        <f>IF(BN353="D",1,0)+IF(BO353="D",1,0)+IF(BT353="D",1,0)+IF(BU353="D",1,0)+IF(BW353="D",1,0)+IF(CC353="D",1,0)+IF(CD353="D",1,0)+IF(CE353="D",1,0)+IF(CF353="D",1,0)+IF(CL353="D",1,0)+IF(CM353="D",1,0)+IF(CQ353="D",1,0)+IF(CR353="D",1,0)+IF(CS353="D",1,0)+IF(CW353="D",1,0)+IF(CX353="D",1,0)+IF(DD353="D",1,0)+IF(DE353="D",1,0)+IF(DJ353="D",1,0)+IF(DK353="D",1,0)+IF(DO353="D",1,0)+IF(DP353="D",1,0)+IF(DQ353="D",1,0)+IF(DW353="D",1,0)+IF(DZ353="D",1,0)+IF(EH353="D",1,0)</f>
        <v/>
      </c>
      <c r="AY353">
        <f>IF(DJ353&lt;&gt;"",1,0)+IF(DK353&lt;&gt;"",1,0)+IF(DM353&lt;&gt;"",1,0)+IF(DO353&lt;&gt;"",1,0)+IF(DP353&lt;&gt;"",1,0)+IF(DQ353&lt;&gt;"",1,0)+IF(DS353&lt;&gt;"",1,0)+IF(DT353&lt;&gt;"",1,0)+IF(DV353&lt;&gt;"",1,0)+IF(DW353&lt;&gt;"",1,0)+IF(DX353&lt;&gt;"",1,0)+IF(DY353&lt;&gt;"",1,0)+IF(DZ353&lt;&gt;"",1,0)+IF(EB353&lt;&gt;"",1,0)+IF(EC353&lt;&gt;"",1,0)+IF(ED353&lt;&gt;"",1,0)+IF(EG353&lt;&gt;"",1,0)+IF(EH353&lt;&gt;"",1,0)</f>
        <v/>
      </c>
      <c r="AZ353">
        <f>IF(EH353&lt;&gt;"",1,0)</f>
        <v/>
      </c>
      <c r="BB353" t="inlineStr">
        <is>
          <t>WARREN-WARD 4</t>
        </is>
      </c>
      <c r="CY353" t="inlineStr">
        <is>
          <t>X</t>
        </is>
      </c>
      <c r="EA353" t="inlineStr">
        <is>
          <t>X</t>
        </is>
      </c>
    </row>
    <row r="354">
      <c r="A354" t="inlineStr">
        <is>
          <t>OH0020288863</t>
        </is>
      </c>
      <c r="B354" t="n">
        <v>78</v>
      </c>
      <c r="C354" t="n">
        <v>364731</v>
      </c>
      <c r="D354" t="inlineStr">
        <is>
          <t>WILDE</t>
        </is>
      </c>
      <c r="E354" t="inlineStr">
        <is>
          <t>ALYSSA</t>
        </is>
      </c>
      <c r="F354">
        <f>CONCATENATE(D354," ",LEFT(H354,4),"T=",AU354,"D=",AV354,"R=",AW354,"M=",AX354,"L=",AY354,"B=",AZ354)</f>
        <v/>
      </c>
      <c r="G354" t="inlineStr">
        <is>
          <t>D</t>
        </is>
      </c>
      <c r="I354" t="inlineStr">
        <is>
          <t>1990-06-08</t>
        </is>
      </c>
      <c r="J354" t="inlineStr">
        <is>
          <t>2020-06-07</t>
        </is>
      </c>
      <c r="K354" t="inlineStr">
        <is>
          <t>ACTIVE</t>
        </is>
      </c>
      <c r="M354" t="inlineStr">
        <is>
          <t>920 OAK KNOLL AVE SE</t>
        </is>
      </c>
      <c r="N354">
        <f>RIGHT(M354,LEN(M354)-FIND(" ",M354))</f>
        <v/>
      </c>
      <c r="P354" t="inlineStr">
        <is>
          <t>WARREN</t>
        </is>
      </c>
      <c r="Q354" t="inlineStr">
        <is>
          <t>OH</t>
        </is>
      </c>
      <c r="R354" t="n">
        <v>44484</v>
      </c>
      <c r="AD354" t="inlineStr">
        <is>
          <t>TRUMBULL CAREER &amp; TECH CENTER</t>
        </is>
      </c>
      <c r="AE354" t="inlineStr">
        <is>
          <t>WARREN CITY</t>
        </is>
      </c>
      <c r="AF354" t="inlineStr">
        <is>
          <t>WARREN CITY SD</t>
        </is>
      </c>
      <c r="AH354" t="n">
        <v>14</v>
      </c>
      <c r="AI354" t="n">
        <v>11</v>
      </c>
      <c r="AN354" t="inlineStr">
        <is>
          <t>WARREN</t>
        </is>
      </c>
      <c r="AO354" t="inlineStr">
        <is>
          <t>WARREN CITY 4A</t>
        </is>
      </c>
      <c r="AP354" t="inlineStr">
        <is>
          <t>78-P-ADI</t>
        </is>
      </c>
      <c r="AQ354" t="n">
        <v>9</v>
      </c>
      <c r="AR354" t="n">
        <v>64</v>
      </c>
      <c r="AS354" t="n">
        <v>32</v>
      </c>
      <c r="AU354">
        <f>COUNTA($BA$354:$EH$354)</f>
        <v/>
      </c>
      <c r="AV354">
        <f>COUNTIF($BA$354:$EH$354,"D")</f>
        <v/>
      </c>
      <c r="AW354">
        <f>COUNTIF($BA$354:$EH$354,"R")</f>
        <v/>
      </c>
      <c r="AX354">
        <f>IF(BN354="D",1,0)+IF(BO354="D",1,0)+IF(BT354="D",1,0)+IF(BU354="D",1,0)+IF(BW354="D",1,0)+IF(CC354="D",1,0)+IF(CD354="D",1,0)+IF(CE354="D",1,0)+IF(CF354="D",1,0)+IF(CL354="D",1,0)+IF(CM354="D",1,0)+IF(CQ354="D",1,0)+IF(CR354="D",1,0)+IF(CS354="D",1,0)+IF(CW354="D",1,0)+IF(CX354="D",1,0)+IF(DD354="D",1,0)+IF(DE354="D",1,0)+IF(DJ354="D",1,0)+IF(DK354="D",1,0)+IF(DO354="D",1,0)+IF(DP354="D",1,0)+IF(DQ354="D",1,0)+IF(DW354="D",1,0)+IF(DZ354="D",1,0)+IF(EH354="D",1,0)</f>
        <v/>
      </c>
      <c r="AY354">
        <f>IF(DJ354&lt;&gt;"",1,0)+IF(DK354&lt;&gt;"",1,0)+IF(DM354&lt;&gt;"",1,0)+IF(DO354&lt;&gt;"",1,0)+IF(DP354&lt;&gt;"",1,0)+IF(DQ354&lt;&gt;"",1,0)+IF(DS354&lt;&gt;"",1,0)+IF(DT354&lt;&gt;"",1,0)+IF(DV354&lt;&gt;"",1,0)+IF(DW354&lt;&gt;"",1,0)+IF(DX354&lt;&gt;"",1,0)+IF(DY354&lt;&gt;"",1,0)+IF(DZ354&lt;&gt;"",1,0)+IF(EB354&lt;&gt;"",1,0)+IF(EC354&lt;&gt;"",1,0)+IF(ED354&lt;&gt;"",1,0)+IF(EG354&lt;&gt;"",1,0)+IF(EH354&lt;&gt;"",1,0)</f>
        <v/>
      </c>
      <c r="AZ354">
        <f>IF(EH354&lt;&gt;"",1,0)</f>
        <v/>
      </c>
      <c r="BB354" t="inlineStr">
        <is>
          <t>WARREN-WARD 4</t>
        </is>
      </c>
      <c r="CA354" t="inlineStr">
        <is>
          <t>X</t>
        </is>
      </c>
      <c r="CP354" t="inlineStr">
        <is>
          <t>X</t>
        </is>
      </c>
      <c r="CY354" t="inlineStr">
        <is>
          <t>X</t>
        </is>
      </c>
      <c r="DX354" t="inlineStr">
        <is>
          <t>X</t>
        </is>
      </c>
      <c r="EA354" t="inlineStr">
        <is>
          <t>X</t>
        </is>
      </c>
      <c r="EF354" t="inlineStr">
        <is>
          <t>X</t>
        </is>
      </c>
    </row>
    <row r="355">
      <c r="A355" t="inlineStr">
        <is>
          <t>OH0020885322</t>
        </is>
      </c>
      <c r="B355" t="n">
        <v>78</v>
      </c>
      <c r="C355" t="n">
        <v>371252</v>
      </c>
      <c r="D355" t="inlineStr">
        <is>
          <t>GMUCS</t>
        </is>
      </c>
      <c r="E355" t="inlineStr">
        <is>
          <t>DEANNA</t>
        </is>
      </c>
      <c r="F355">
        <f>CONCATENATE(D355," ",LEFT(H355,4),"T=",AU355,"D=",AV355,"R=",AW355,"M=",AX355,"L=",AY355,"B=",AZ355)</f>
        <v/>
      </c>
      <c r="G355" t="inlineStr">
        <is>
          <t>M</t>
        </is>
      </c>
      <c r="I355" t="inlineStr">
        <is>
          <t>1989-09-23</t>
        </is>
      </c>
      <c r="J355" t="inlineStr">
        <is>
          <t>2018-05-07</t>
        </is>
      </c>
      <c r="K355" t="inlineStr">
        <is>
          <t>CONFIRMATION</t>
        </is>
      </c>
      <c r="M355" t="inlineStr">
        <is>
          <t>726 EAST AVE SE</t>
        </is>
      </c>
      <c r="N355">
        <f>RIGHT(M355,LEN(M355)-FIND(" ",M355))</f>
        <v/>
      </c>
      <c r="P355" t="inlineStr">
        <is>
          <t>WARREN</t>
        </is>
      </c>
      <c r="Q355" t="inlineStr">
        <is>
          <t>OH</t>
        </is>
      </c>
      <c r="R355" t="n">
        <v>44484</v>
      </c>
      <c r="AD355" t="inlineStr">
        <is>
          <t>TRUMBULL CAREER &amp; TECH CENTER</t>
        </is>
      </c>
      <c r="AE355" t="inlineStr">
        <is>
          <t>WARREN CITY</t>
        </is>
      </c>
      <c r="AF355" t="inlineStr">
        <is>
          <t>WARREN CITY SD</t>
        </is>
      </c>
      <c r="AH355" t="n">
        <v>14</v>
      </c>
      <c r="AI355" t="n">
        <v>11</v>
      </c>
      <c r="AN355" t="inlineStr">
        <is>
          <t>WARREN</t>
        </is>
      </c>
      <c r="AO355" t="inlineStr">
        <is>
          <t>WARREN CITY 4A</t>
        </is>
      </c>
      <c r="AP355" t="inlineStr">
        <is>
          <t>78-P-ADI</t>
        </is>
      </c>
      <c r="AQ355" t="n">
        <v>9</v>
      </c>
      <c r="AR355" t="n">
        <v>64</v>
      </c>
      <c r="AS355" t="n">
        <v>32</v>
      </c>
      <c r="AU355">
        <f>COUNTA($BA$355:$EH$355)</f>
        <v/>
      </c>
      <c r="AV355">
        <f>COUNTIF($BA$355:$EH$355,"D")</f>
        <v/>
      </c>
      <c r="AW355">
        <f>COUNTIF($BA$355:$EH$355,"R")</f>
        <v/>
      </c>
      <c r="AX355">
        <f>IF(BN355="D",1,0)+IF(BO355="D",1,0)+IF(BT355="D",1,0)+IF(BU355="D",1,0)+IF(BW355="D",1,0)+IF(CC355="D",1,0)+IF(CD355="D",1,0)+IF(CE355="D",1,0)+IF(CF355="D",1,0)+IF(CL355="D",1,0)+IF(CM355="D",1,0)+IF(CQ355="D",1,0)+IF(CR355="D",1,0)+IF(CS355="D",1,0)+IF(CW355="D",1,0)+IF(CX355="D",1,0)+IF(DD355="D",1,0)+IF(DE355="D",1,0)+IF(DJ355="D",1,0)+IF(DK355="D",1,0)+IF(DO355="D",1,0)+IF(DP355="D",1,0)+IF(DQ355="D",1,0)+IF(DW355="D",1,0)+IF(DZ355="D",1,0)+IF(EH355="D",1,0)</f>
        <v/>
      </c>
      <c r="AY355">
        <f>IF(DJ355&lt;&gt;"",1,0)+IF(DK355&lt;&gt;"",1,0)+IF(DM355&lt;&gt;"",1,0)+IF(DO355&lt;&gt;"",1,0)+IF(DP355&lt;&gt;"",1,0)+IF(DQ355&lt;&gt;"",1,0)+IF(DS355&lt;&gt;"",1,0)+IF(DT355&lt;&gt;"",1,0)+IF(DV355&lt;&gt;"",1,0)+IF(DW355&lt;&gt;"",1,0)+IF(DX355&lt;&gt;"",1,0)+IF(DY355&lt;&gt;"",1,0)+IF(DZ355&lt;&gt;"",1,0)+IF(EB355&lt;&gt;"",1,0)+IF(EC355&lt;&gt;"",1,0)+IF(ED355&lt;&gt;"",1,0)+IF(EG355&lt;&gt;"",1,0)+IF(EH355&lt;&gt;"",1,0)</f>
        <v/>
      </c>
      <c r="AZ355">
        <f>IF(EH355&lt;&gt;"",1,0)</f>
        <v/>
      </c>
      <c r="BB355" t="inlineStr">
        <is>
          <t>WARREN-WARD 4</t>
        </is>
      </c>
    </row>
    <row r="356">
      <c r="A356" t="inlineStr">
        <is>
          <t>OH0023271607</t>
        </is>
      </c>
      <c r="B356" t="n">
        <v>78</v>
      </c>
      <c r="C356" t="n">
        <v>409499</v>
      </c>
      <c r="D356" t="inlineStr">
        <is>
          <t>HERR</t>
        </is>
      </c>
      <c r="E356" t="inlineStr">
        <is>
          <t>CINDY</t>
        </is>
      </c>
      <c r="F356">
        <f>CONCATENATE(D356," ",LEFT(H356,4),"T=",AU356,"D=",AV356,"R=",AW356,"M=",AX356,"L=",AY356,"B=",AZ356)</f>
        <v/>
      </c>
      <c r="G356" t="inlineStr">
        <is>
          <t>L</t>
        </is>
      </c>
      <c r="I356" t="inlineStr">
        <is>
          <t>1958-12-26</t>
        </is>
      </c>
      <c r="J356" t="inlineStr">
        <is>
          <t>2015-09-01</t>
        </is>
      </c>
      <c r="K356" t="inlineStr">
        <is>
          <t>CONFIRMATION</t>
        </is>
      </c>
      <c r="M356" t="inlineStr">
        <is>
          <t>1234 BELLE ST SE</t>
        </is>
      </c>
      <c r="N356">
        <f>RIGHT(M356,LEN(M356)-FIND(" ",M356))</f>
        <v/>
      </c>
      <c r="P356" t="inlineStr">
        <is>
          <t>WARREN</t>
        </is>
      </c>
      <c r="Q356" t="inlineStr">
        <is>
          <t>OH</t>
        </is>
      </c>
      <c r="R356" t="n">
        <v>44484</v>
      </c>
      <c r="AD356" t="inlineStr">
        <is>
          <t>TRUMBULL CAREER &amp; TECH CENTER</t>
        </is>
      </c>
      <c r="AE356" t="inlineStr">
        <is>
          <t>WARREN CITY</t>
        </is>
      </c>
      <c r="AF356" t="inlineStr">
        <is>
          <t>WARREN CITY SD</t>
        </is>
      </c>
      <c r="AH356" t="n">
        <v>14</v>
      </c>
      <c r="AI356" t="n">
        <v>11</v>
      </c>
      <c r="AN356" t="inlineStr">
        <is>
          <t>WARREN</t>
        </is>
      </c>
      <c r="AO356" t="inlineStr">
        <is>
          <t>WARREN CITY 4A</t>
        </is>
      </c>
      <c r="AP356" t="inlineStr">
        <is>
          <t>78-P-ADI</t>
        </is>
      </c>
      <c r="AQ356" t="n">
        <v>9</v>
      </c>
      <c r="AR356" t="n">
        <v>64</v>
      </c>
      <c r="AS356" t="n">
        <v>32</v>
      </c>
      <c r="AU356">
        <f>COUNTA($BA$356:$EH$356)</f>
        <v/>
      </c>
      <c r="AV356">
        <f>COUNTIF($BA$356:$EH$356,"D")</f>
        <v/>
      </c>
      <c r="AW356">
        <f>COUNTIF($BA$356:$EH$356,"R")</f>
        <v/>
      </c>
      <c r="AX356">
        <f>IF(BN356="D",1,0)+IF(BO356="D",1,0)+IF(BT356="D",1,0)+IF(BU356="D",1,0)+IF(BW356="D",1,0)+IF(CC356="D",1,0)+IF(CD356="D",1,0)+IF(CE356="D",1,0)+IF(CF356="D",1,0)+IF(CL356="D",1,0)+IF(CM356="D",1,0)+IF(CQ356="D",1,0)+IF(CR356="D",1,0)+IF(CS356="D",1,0)+IF(CW356="D",1,0)+IF(CX356="D",1,0)+IF(DD356="D",1,0)+IF(DE356="D",1,0)+IF(DJ356="D",1,0)+IF(DK356="D",1,0)+IF(DO356="D",1,0)+IF(DP356="D",1,0)+IF(DQ356="D",1,0)+IF(DW356="D",1,0)+IF(DZ356="D",1,0)+IF(EH356="D",1,0)</f>
        <v/>
      </c>
      <c r="AY356">
        <f>IF(DJ356&lt;&gt;"",1,0)+IF(DK356&lt;&gt;"",1,0)+IF(DM356&lt;&gt;"",1,0)+IF(DO356&lt;&gt;"",1,0)+IF(DP356&lt;&gt;"",1,0)+IF(DQ356&lt;&gt;"",1,0)+IF(DS356&lt;&gt;"",1,0)+IF(DT356&lt;&gt;"",1,0)+IF(DV356&lt;&gt;"",1,0)+IF(DW356&lt;&gt;"",1,0)+IF(DX356&lt;&gt;"",1,0)+IF(DY356&lt;&gt;"",1,0)+IF(DZ356&lt;&gt;"",1,0)+IF(EB356&lt;&gt;"",1,0)+IF(EC356&lt;&gt;"",1,0)+IF(ED356&lt;&gt;"",1,0)+IF(EG356&lt;&gt;"",1,0)+IF(EH356&lt;&gt;"",1,0)</f>
        <v/>
      </c>
      <c r="AZ356">
        <f>IF(EH356&lt;&gt;"",1,0)</f>
        <v/>
      </c>
      <c r="BB356" t="inlineStr">
        <is>
          <t>WARREN-WARD 4</t>
        </is>
      </c>
      <c r="DC356" t="inlineStr">
        <is>
          <t>X</t>
        </is>
      </c>
    </row>
    <row r="357">
      <c r="A357" t="inlineStr">
        <is>
          <t>OH0026410300</t>
        </is>
      </c>
      <c r="B357" t="n">
        <v>78</v>
      </c>
      <c r="C357" t="n">
        <v>461730</v>
      </c>
      <c r="D357" t="inlineStr">
        <is>
          <t>SIGAN</t>
        </is>
      </c>
      <c r="E357" t="inlineStr">
        <is>
          <t>SAMANTHA</t>
        </is>
      </c>
      <c r="F357">
        <f>CONCATENATE(D357," ",LEFT(H357,4),"T=",AU357,"D=",AV357,"R=",AW357,"M=",AX357,"L=",AY357,"B=",AZ357)</f>
        <v/>
      </c>
      <c r="G357" t="inlineStr">
        <is>
          <t>S</t>
        </is>
      </c>
      <c r="I357" t="inlineStr">
        <is>
          <t>1998-06-09</t>
        </is>
      </c>
      <c r="J357" t="inlineStr">
        <is>
          <t>2022-02-12</t>
        </is>
      </c>
      <c r="K357" t="inlineStr">
        <is>
          <t>CONFIRMATION</t>
        </is>
      </c>
      <c r="M357" t="inlineStr">
        <is>
          <t>760 WOODBINE AVE SE</t>
        </is>
      </c>
      <c r="N357">
        <f>RIGHT(M357,LEN(M357)-FIND(" ",M357))</f>
        <v/>
      </c>
      <c r="P357" t="inlineStr">
        <is>
          <t>WARREN</t>
        </is>
      </c>
      <c r="Q357" t="inlineStr">
        <is>
          <t>OH</t>
        </is>
      </c>
      <c r="R357" t="n">
        <v>44484</v>
      </c>
      <c r="AD357" t="inlineStr">
        <is>
          <t>TRUMBULL CAREER &amp; TECH CENTER</t>
        </is>
      </c>
      <c r="AE357" t="inlineStr">
        <is>
          <t>WARREN CITY</t>
        </is>
      </c>
      <c r="AF357" t="inlineStr">
        <is>
          <t>WARREN CITY SD</t>
        </is>
      </c>
      <c r="AH357" t="n">
        <v>14</v>
      </c>
      <c r="AI357" t="n">
        <v>11</v>
      </c>
      <c r="AN357" t="inlineStr">
        <is>
          <t>WARREN</t>
        </is>
      </c>
      <c r="AO357" t="inlineStr">
        <is>
          <t>WARREN CITY 4A</t>
        </is>
      </c>
      <c r="AP357" t="inlineStr">
        <is>
          <t>78-P-ADI</t>
        </is>
      </c>
      <c r="AQ357" t="n">
        <v>9</v>
      </c>
      <c r="AR357" t="n">
        <v>64</v>
      </c>
      <c r="AS357" t="n">
        <v>32</v>
      </c>
      <c r="AU357">
        <f>COUNTA($BA$357:$EH$357)</f>
        <v/>
      </c>
      <c r="AV357">
        <f>COUNTIF($BA$357:$EH$357,"D")</f>
        <v/>
      </c>
      <c r="AW357">
        <f>COUNTIF($BA$357:$EH$357,"R")</f>
        <v/>
      </c>
      <c r="AX357">
        <f>IF(BN357="D",1,0)+IF(BO357="D",1,0)+IF(BT357="D",1,0)+IF(BU357="D",1,0)+IF(BW357="D",1,0)+IF(CC357="D",1,0)+IF(CD357="D",1,0)+IF(CE357="D",1,0)+IF(CF357="D",1,0)+IF(CL357="D",1,0)+IF(CM357="D",1,0)+IF(CQ357="D",1,0)+IF(CR357="D",1,0)+IF(CS357="D",1,0)+IF(CW357="D",1,0)+IF(CX357="D",1,0)+IF(DD357="D",1,0)+IF(DE357="D",1,0)+IF(DJ357="D",1,0)+IF(DK357="D",1,0)+IF(DO357="D",1,0)+IF(DP357="D",1,0)+IF(DQ357="D",1,0)+IF(DW357="D",1,0)+IF(DZ357="D",1,0)+IF(EH357="D",1,0)</f>
        <v/>
      </c>
      <c r="AY357">
        <f>IF(DJ357&lt;&gt;"",1,0)+IF(DK357&lt;&gt;"",1,0)+IF(DM357&lt;&gt;"",1,0)+IF(DO357&lt;&gt;"",1,0)+IF(DP357&lt;&gt;"",1,0)+IF(DQ357&lt;&gt;"",1,0)+IF(DS357&lt;&gt;"",1,0)+IF(DT357&lt;&gt;"",1,0)+IF(DV357&lt;&gt;"",1,0)+IF(DW357&lt;&gt;"",1,0)+IF(DX357&lt;&gt;"",1,0)+IF(DY357&lt;&gt;"",1,0)+IF(DZ357&lt;&gt;"",1,0)+IF(EB357&lt;&gt;"",1,0)+IF(EC357&lt;&gt;"",1,0)+IF(ED357&lt;&gt;"",1,0)+IF(EG357&lt;&gt;"",1,0)+IF(EH357&lt;&gt;"",1,0)</f>
        <v/>
      </c>
      <c r="AZ357">
        <f>IF(EH357&lt;&gt;"",1,0)</f>
        <v/>
      </c>
      <c r="BB357" t="inlineStr">
        <is>
          <t>WARREN-WARD 4</t>
        </is>
      </c>
      <c r="DN357" t="inlineStr">
        <is>
          <t>X</t>
        </is>
      </c>
    </row>
    <row r="358">
      <c r="A358" t="inlineStr">
        <is>
          <t>OH0026859897</t>
        </is>
      </c>
      <c r="B358" t="n">
        <v>78</v>
      </c>
      <c r="C358" t="n">
        <v>473608</v>
      </c>
      <c r="D358" t="inlineStr">
        <is>
          <t>PRISCILLA</t>
        </is>
      </c>
      <c r="E358" t="inlineStr">
        <is>
          <t>JARON</t>
        </is>
      </c>
      <c r="F358">
        <f>CONCATENATE(D358," ",LEFT(H358,4),"T=",AU358,"D=",AV358,"R=",AW358,"M=",AX358,"L=",AY358,"B=",AZ358)</f>
        <v/>
      </c>
      <c r="G358" t="inlineStr">
        <is>
          <t>C</t>
        </is>
      </c>
      <c r="I358" t="inlineStr">
        <is>
          <t>2005-03-26</t>
        </is>
      </c>
      <c r="J358" t="inlineStr">
        <is>
          <t>2023-03-31</t>
        </is>
      </c>
      <c r="K358" t="inlineStr">
        <is>
          <t>ACTIVE</t>
        </is>
      </c>
      <c r="M358" t="inlineStr">
        <is>
          <t>400 WOODBINE AVE SE</t>
        </is>
      </c>
      <c r="N358">
        <f>RIGHT(M358,LEN(M358)-FIND(" ",M358))</f>
        <v/>
      </c>
      <c r="P358" t="inlineStr">
        <is>
          <t>WARREN</t>
        </is>
      </c>
      <c r="Q358" t="inlineStr">
        <is>
          <t>OH</t>
        </is>
      </c>
      <c r="R358" t="n">
        <v>44483</v>
      </c>
      <c r="AD358" t="inlineStr">
        <is>
          <t>TRUMBULL CAREER &amp; TECH CENTER</t>
        </is>
      </c>
      <c r="AE358" t="inlineStr">
        <is>
          <t>WARREN CITY</t>
        </is>
      </c>
      <c r="AF358" t="inlineStr">
        <is>
          <t>WARREN CITY SD</t>
        </is>
      </c>
      <c r="AH358" t="n">
        <v>14</v>
      </c>
      <c r="AI358" t="n">
        <v>11</v>
      </c>
      <c r="AN358" t="inlineStr">
        <is>
          <t>WARREN</t>
        </is>
      </c>
      <c r="AO358" t="inlineStr">
        <is>
          <t>WARREN CITY 4A</t>
        </is>
      </c>
      <c r="AP358" t="inlineStr">
        <is>
          <t>78-P-ADI</t>
        </is>
      </c>
      <c r="AQ358" t="n">
        <v>9</v>
      </c>
      <c r="AR358" t="n">
        <v>64</v>
      </c>
      <c r="AS358" t="n">
        <v>32</v>
      </c>
      <c r="AU358">
        <f>COUNTA($BA$358:$EH$358)</f>
        <v/>
      </c>
      <c r="AV358">
        <f>COUNTIF($BA$358:$EH$358,"D")</f>
        <v/>
      </c>
      <c r="AW358">
        <f>COUNTIF($BA$358:$EH$358,"R")</f>
        <v/>
      </c>
      <c r="AX358">
        <f>IF(BN358="D",1,0)+IF(BO358="D",1,0)+IF(BT358="D",1,0)+IF(BU358="D",1,0)+IF(BW358="D",1,0)+IF(CC358="D",1,0)+IF(CD358="D",1,0)+IF(CE358="D",1,0)+IF(CF358="D",1,0)+IF(CL358="D",1,0)+IF(CM358="D",1,0)+IF(CQ358="D",1,0)+IF(CR358="D",1,0)+IF(CS358="D",1,0)+IF(CW358="D",1,0)+IF(CX358="D",1,0)+IF(DD358="D",1,0)+IF(DE358="D",1,0)+IF(DJ358="D",1,0)+IF(DK358="D",1,0)+IF(DO358="D",1,0)+IF(DP358="D",1,0)+IF(DQ358="D",1,0)+IF(DW358="D",1,0)+IF(DZ358="D",1,0)+IF(EH358="D",1,0)</f>
        <v/>
      </c>
      <c r="AY358">
        <f>IF(DJ358&lt;&gt;"",1,0)+IF(DK358&lt;&gt;"",1,0)+IF(DM358&lt;&gt;"",1,0)+IF(DO358&lt;&gt;"",1,0)+IF(DP358&lt;&gt;"",1,0)+IF(DQ358&lt;&gt;"",1,0)+IF(DS358&lt;&gt;"",1,0)+IF(DT358&lt;&gt;"",1,0)+IF(DV358&lt;&gt;"",1,0)+IF(DW358&lt;&gt;"",1,0)+IF(DX358&lt;&gt;"",1,0)+IF(DY358&lt;&gt;"",1,0)+IF(DZ358&lt;&gt;"",1,0)+IF(EB358&lt;&gt;"",1,0)+IF(EC358&lt;&gt;"",1,0)+IF(ED358&lt;&gt;"",1,0)+IF(EG358&lt;&gt;"",1,0)+IF(EH358&lt;&gt;"",1,0)</f>
        <v/>
      </c>
      <c r="AZ358">
        <f>IF(EH358&lt;&gt;"",1,0)</f>
        <v/>
      </c>
      <c r="BB358" t="inlineStr">
        <is>
          <t>WARREN-WARD 4</t>
        </is>
      </c>
    </row>
    <row r="359">
      <c r="A359" t="inlineStr">
        <is>
          <t>OH0025388162</t>
        </is>
      </c>
      <c r="B359" t="n">
        <v>78</v>
      </c>
      <c r="C359" t="n">
        <v>443951</v>
      </c>
      <c r="D359" t="inlineStr">
        <is>
          <t>FULLER</t>
        </is>
      </c>
      <c r="E359" t="inlineStr">
        <is>
          <t>MAX</t>
        </is>
      </c>
      <c r="F359">
        <f>CONCATENATE(D359," ",LEFT(H359,4),"T=",AU359,"D=",AV359,"R=",AW359,"M=",AX359,"L=",AY359,"B=",AZ359)</f>
        <v/>
      </c>
      <c r="G359" t="inlineStr">
        <is>
          <t>STEPHEN</t>
        </is>
      </c>
      <c r="I359" t="inlineStr">
        <is>
          <t>1999-01-27</t>
        </is>
      </c>
      <c r="J359" t="inlineStr">
        <is>
          <t>2023-08-29</t>
        </is>
      </c>
      <c r="K359" t="inlineStr">
        <is>
          <t>ACTIVE</t>
        </is>
      </c>
      <c r="M359" t="inlineStr">
        <is>
          <t>538 HOMEWOOD AVE SE</t>
        </is>
      </c>
      <c r="N359">
        <f>RIGHT(M359,LEN(M359)-FIND(" ",M359))</f>
        <v/>
      </c>
      <c r="P359" t="inlineStr">
        <is>
          <t>WARREN</t>
        </is>
      </c>
      <c r="Q359" t="inlineStr">
        <is>
          <t>OH</t>
        </is>
      </c>
      <c r="R359" t="n">
        <v>44483</v>
      </c>
      <c r="AD359" t="inlineStr">
        <is>
          <t>TRUMBULL CAREER &amp; TECH CENTER</t>
        </is>
      </c>
      <c r="AE359" t="inlineStr">
        <is>
          <t>WARREN CITY</t>
        </is>
      </c>
      <c r="AF359" t="inlineStr">
        <is>
          <t>WARREN CITY SD</t>
        </is>
      </c>
      <c r="AH359" t="n">
        <v>14</v>
      </c>
      <c r="AI359" t="n">
        <v>11</v>
      </c>
      <c r="AN359" t="inlineStr">
        <is>
          <t>WARREN</t>
        </is>
      </c>
      <c r="AO359" t="inlineStr">
        <is>
          <t>WARREN CITY 4A</t>
        </is>
      </c>
      <c r="AP359" t="inlineStr">
        <is>
          <t>78-P-ADI</t>
        </is>
      </c>
      <c r="AQ359" t="n">
        <v>9</v>
      </c>
      <c r="AR359" t="n">
        <v>64</v>
      </c>
      <c r="AS359" t="n">
        <v>32</v>
      </c>
      <c r="AU359">
        <f>COUNTA($BA$359:$EH$359)</f>
        <v/>
      </c>
      <c r="AV359">
        <f>COUNTIF($BA$359:$EH$359,"D")</f>
        <v/>
      </c>
      <c r="AW359">
        <f>COUNTIF($BA$359:$EH$359,"R")</f>
        <v/>
      </c>
      <c r="AX359">
        <f>IF(BN359="D",1,0)+IF(BO359="D",1,0)+IF(BT359="D",1,0)+IF(BU359="D",1,0)+IF(BW359="D",1,0)+IF(CC359="D",1,0)+IF(CD359="D",1,0)+IF(CE359="D",1,0)+IF(CF359="D",1,0)+IF(CL359="D",1,0)+IF(CM359="D",1,0)+IF(CQ359="D",1,0)+IF(CR359="D",1,0)+IF(CS359="D",1,0)+IF(CW359="D",1,0)+IF(CX359="D",1,0)+IF(DD359="D",1,0)+IF(DE359="D",1,0)+IF(DJ359="D",1,0)+IF(DK359="D",1,0)+IF(DO359="D",1,0)+IF(DP359="D",1,0)+IF(DQ359="D",1,0)+IF(DW359="D",1,0)+IF(DZ359="D",1,0)+IF(EH359="D",1,0)</f>
        <v/>
      </c>
      <c r="AY359">
        <f>IF(DJ359&lt;&gt;"",1,0)+IF(DK359&lt;&gt;"",1,0)+IF(DM359&lt;&gt;"",1,0)+IF(DO359&lt;&gt;"",1,0)+IF(DP359&lt;&gt;"",1,0)+IF(DQ359&lt;&gt;"",1,0)+IF(DS359&lt;&gt;"",1,0)+IF(DT359&lt;&gt;"",1,0)+IF(DV359&lt;&gt;"",1,0)+IF(DW359&lt;&gt;"",1,0)+IF(DX359&lt;&gt;"",1,0)+IF(DY359&lt;&gt;"",1,0)+IF(DZ359&lt;&gt;"",1,0)+IF(EB359&lt;&gt;"",1,0)+IF(EC359&lt;&gt;"",1,0)+IF(ED359&lt;&gt;"",1,0)+IF(EG359&lt;&gt;"",1,0)+IF(EH359&lt;&gt;"",1,0)</f>
        <v/>
      </c>
      <c r="AZ359">
        <f>IF(EH359&lt;&gt;"",1,0)</f>
        <v/>
      </c>
      <c r="BB359" t="inlineStr">
        <is>
          <t>WARREN-WARD 4</t>
        </is>
      </c>
      <c r="DX359" t="inlineStr">
        <is>
          <t>X</t>
        </is>
      </c>
      <c r="EA359" t="inlineStr">
        <is>
          <t>X</t>
        </is>
      </c>
      <c r="EF359" t="inlineStr">
        <is>
          <t>X</t>
        </is>
      </c>
    </row>
    <row r="360">
      <c r="A360" t="inlineStr">
        <is>
          <t>OH0015688367</t>
        </is>
      </c>
      <c r="B360" t="n">
        <v>78</v>
      </c>
      <c r="C360" t="n">
        <v>129542</v>
      </c>
      <c r="D360" t="inlineStr">
        <is>
          <t>SMITH</t>
        </is>
      </c>
      <c r="E360" t="inlineStr">
        <is>
          <t>CARMELLA</t>
        </is>
      </c>
      <c r="F360">
        <f>CONCATENATE(D360," ",LEFT(H360,4),"T=",AU360,"D=",AV360,"R=",AW360,"M=",AX360,"L=",AY360,"B=",AZ360)</f>
        <v/>
      </c>
      <c r="G360" t="inlineStr">
        <is>
          <t>M</t>
        </is>
      </c>
      <c r="I360" t="inlineStr">
        <is>
          <t>1951-11-18</t>
        </is>
      </c>
      <c r="J360" t="inlineStr">
        <is>
          <t>1980-09-12</t>
        </is>
      </c>
      <c r="K360" t="inlineStr">
        <is>
          <t>ACTIVE</t>
        </is>
      </c>
      <c r="L360" t="inlineStr">
        <is>
          <t>D</t>
        </is>
      </c>
      <c r="M360" t="inlineStr">
        <is>
          <t>182 KENILWORTH AVE SE</t>
        </is>
      </c>
      <c r="N360">
        <f>RIGHT(M360,LEN(M360)-FIND(" ",M360))</f>
        <v/>
      </c>
      <c r="P360" t="inlineStr">
        <is>
          <t>WARREN</t>
        </is>
      </c>
      <c r="Q360" t="inlineStr">
        <is>
          <t>OH</t>
        </is>
      </c>
      <c r="R360" t="n">
        <v>44483</v>
      </c>
      <c r="AD360" t="inlineStr">
        <is>
          <t>TRUMBULL CAREER &amp; TECH CENTER</t>
        </is>
      </c>
      <c r="AE360" t="inlineStr">
        <is>
          <t>WARREN CITY</t>
        </is>
      </c>
      <c r="AF360" t="inlineStr">
        <is>
          <t>WARREN CITY SD</t>
        </is>
      </c>
      <c r="AH360" t="n">
        <v>14</v>
      </c>
      <c r="AI360" t="n">
        <v>11</v>
      </c>
      <c r="AN360" t="inlineStr">
        <is>
          <t>WARREN</t>
        </is>
      </c>
      <c r="AO360" t="inlineStr">
        <is>
          <t>WARREN CITY 4A</t>
        </is>
      </c>
      <c r="AP360" t="inlineStr">
        <is>
          <t>78-P-ADI</t>
        </is>
      </c>
      <c r="AQ360" t="n">
        <v>9</v>
      </c>
      <c r="AR360" t="n">
        <v>64</v>
      </c>
      <c r="AS360" t="n">
        <v>32</v>
      </c>
      <c r="AU360">
        <f>COUNTA($BA$360:$EH$360)</f>
        <v/>
      </c>
      <c r="AV360">
        <f>COUNTIF($BA$360:$EH$360,"D")</f>
        <v/>
      </c>
      <c r="AW360">
        <f>COUNTIF($BA$360:$EH$360,"R")</f>
        <v/>
      </c>
      <c r="AX360">
        <f>IF(BN360="D",1,0)+IF(BO360="D",1,0)+IF(BT360="D",1,0)+IF(BU360="D",1,0)+IF(BW360="D",1,0)+IF(CC360="D",1,0)+IF(CD360="D",1,0)+IF(CE360="D",1,0)+IF(CF360="D",1,0)+IF(CL360="D",1,0)+IF(CM360="D",1,0)+IF(CQ360="D",1,0)+IF(CR360="D",1,0)+IF(CS360="D",1,0)+IF(CW360="D",1,0)+IF(CX360="D",1,0)+IF(DD360="D",1,0)+IF(DE360="D",1,0)+IF(DJ360="D",1,0)+IF(DK360="D",1,0)+IF(DO360="D",1,0)+IF(DP360="D",1,0)+IF(DQ360="D",1,0)+IF(DW360="D",1,0)+IF(DZ360="D",1,0)+IF(EH360="D",1,0)</f>
        <v/>
      </c>
      <c r="AY360">
        <f>IF(DJ360&lt;&gt;"",1,0)+IF(DK360&lt;&gt;"",1,0)+IF(DM360&lt;&gt;"",1,0)+IF(DO360&lt;&gt;"",1,0)+IF(DP360&lt;&gt;"",1,0)+IF(DQ360&lt;&gt;"",1,0)+IF(DS360&lt;&gt;"",1,0)+IF(DT360&lt;&gt;"",1,0)+IF(DV360&lt;&gt;"",1,0)+IF(DW360&lt;&gt;"",1,0)+IF(DX360&lt;&gt;"",1,0)+IF(DY360&lt;&gt;"",1,0)+IF(DZ360&lt;&gt;"",1,0)+IF(EB360&lt;&gt;"",1,0)+IF(EC360&lt;&gt;"",1,0)+IF(ED360&lt;&gt;"",1,0)+IF(EG360&lt;&gt;"",1,0)+IF(EH360&lt;&gt;"",1,0)</f>
        <v/>
      </c>
      <c r="AZ360">
        <f>IF(EH360&lt;&gt;"",1,0)</f>
        <v/>
      </c>
      <c r="BB360" t="inlineStr">
        <is>
          <t>WARREN-WARD 4</t>
        </is>
      </c>
      <c r="BC360" t="inlineStr">
        <is>
          <t>X</t>
        </is>
      </c>
      <c r="BD360" t="inlineStr">
        <is>
          <t>X</t>
        </is>
      </c>
      <c r="BE360" t="inlineStr">
        <is>
          <t>X</t>
        </is>
      </c>
      <c r="BF360" t="inlineStr">
        <is>
          <t>X</t>
        </is>
      </c>
      <c r="BG360" t="inlineStr">
        <is>
          <t>X</t>
        </is>
      </c>
      <c r="BH360" t="inlineStr">
        <is>
          <t>X</t>
        </is>
      </c>
      <c r="BI360" t="inlineStr">
        <is>
          <t>X</t>
        </is>
      </c>
      <c r="BJ360" t="inlineStr">
        <is>
          <t>X</t>
        </is>
      </c>
      <c r="BK360" t="inlineStr">
        <is>
          <t>X</t>
        </is>
      </c>
      <c r="BL360" t="inlineStr">
        <is>
          <t>X</t>
        </is>
      </c>
      <c r="BP360" t="inlineStr">
        <is>
          <t>X</t>
        </is>
      </c>
      <c r="BR360" t="inlineStr">
        <is>
          <t>X</t>
        </is>
      </c>
      <c r="BS360" t="inlineStr">
        <is>
          <t>X</t>
        </is>
      </c>
      <c r="BV360" t="inlineStr">
        <is>
          <t>X</t>
        </is>
      </c>
      <c r="BY360" t="inlineStr">
        <is>
          <t>D</t>
        </is>
      </c>
      <c r="CA360" t="inlineStr">
        <is>
          <t>X</t>
        </is>
      </c>
      <c r="CC360" t="inlineStr">
        <is>
          <t>D</t>
        </is>
      </c>
      <c r="CG360" t="inlineStr">
        <is>
          <t>X</t>
        </is>
      </c>
      <c r="CH360" t="inlineStr">
        <is>
          <t>D</t>
        </is>
      </c>
      <c r="CK360" t="inlineStr">
        <is>
          <t>X</t>
        </is>
      </c>
      <c r="CL360" t="inlineStr">
        <is>
          <t>D</t>
        </is>
      </c>
      <c r="CN360" t="inlineStr">
        <is>
          <t>X</t>
        </is>
      </c>
      <c r="CO360" t="inlineStr">
        <is>
          <t>D</t>
        </is>
      </c>
      <c r="CP360" t="inlineStr">
        <is>
          <t>X</t>
        </is>
      </c>
      <c r="CT360" t="inlineStr">
        <is>
          <t>X</t>
        </is>
      </c>
      <c r="CV360" t="inlineStr">
        <is>
          <t>X</t>
        </is>
      </c>
      <c r="CW360" t="inlineStr">
        <is>
          <t>D</t>
        </is>
      </c>
      <c r="CY360" t="inlineStr">
        <is>
          <t>X</t>
        </is>
      </c>
      <c r="CZ360" t="inlineStr">
        <is>
          <t>D</t>
        </is>
      </c>
      <c r="DC360" t="inlineStr">
        <is>
          <t>X</t>
        </is>
      </c>
      <c r="DF360" t="inlineStr">
        <is>
          <t>X</t>
        </is>
      </c>
      <c r="DG360" t="inlineStr">
        <is>
          <t>D</t>
        </is>
      </c>
      <c r="DI360" t="inlineStr">
        <is>
          <t>X</t>
        </is>
      </c>
      <c r="DL360" t="inlineStr">
        <is>
          <t>X</t>
        </is>
      </c>
      <c r="DM360" t="inlineStr">
        <is>
          <t>D</t>
        </is>
      </c>
      <c r="DN360" t="inlineStr">
        <is>
          <t>X</t>
        </is>
      </c>
      <c r="DS360" t="inlineStr">
        <is>
          <t>D</t>
        </is>
      </c>
      <c r="DT360" t="inlineStr">
        <is>
          <t>D</t>
        </is>
      </c>
      <c r="DU360" t="inlineStr">
        <is>
          <t>X</t>
        </is>
      </c>
      <c r="DX360" t="inlineStr">
        <is>
          <t>X</t>
        </is>
      </c>
      <c r="EA360" t="inlineStr">
        <is>
          <t>X</t>
        </is>
      </c>
      <c r="EF360" t="inlineStr">
        <is>
          <t>X</t>
        </is>
      </c>
    </row>
    <row r="361">
      <c r="A361" t="inlineStr">
        <is>
          <t>OH0015690818</t>
        </is>
      </c>
      <c r="B361" t="n">
        <v>78</v>
      </c>
      <c r="C361" t="n">
        <v>13574</v>
      </c>
      <c r="D361" t="inlineStr">
        <is>
          <t>LODY</t>
        </is>
      </c>
      <c r="E361" t="inlineStr">
        <is>
          <t>THOMAS</t>
        </is>
      </c>
      <c r="F361">
        <f>CONCATENATE(D361," ",LEFT(H361,4),"T=",AU361,"D=",AV361,"R=",AW361,"M=",AX361,"L=",AY361,"B=",AZ361)</f>
        <v/>
      </c>
      <c r="G361" t="inlineStr">
        <is>
          <t>M</t>
        </is>
      </c>
      <c r="I361" t="inlineStr">
        <is>
          <t>1940-05-10</t>
        </is>
      </c>
      <c r="J361" t="inlineStr">
        <is>
          <t>1968-03-27</t>
        </is>
      </c>
      <c r="K361" t="inlineStr">
        <is>
          <t>ACTIVE</t>
        </is>
      </c>
      <c r="M361" t="inlineStr">
        <is>
          <t>338 KENILWORTH AVE SE</t>
        </is>
      </c>
      <c r="N361">
        <f>RIGHT(M361,LEN(M361)-FIND(" ",M361))</f>
        <v/>
      </c>
      <c r="P361" t="inlineStr">
        <is>
          <t>WARREN</t>
        </is>
      </c>
      <c r="Q361" t="inlineStr">
        <is>
          <t>OH</t>
        </is>
      </c>
      <c r="R361" t="n">
        <v>44483</v>
      </c>
      <c r="AD361" t="inlineStr">
        <is>
          <t>TRUMBULL CAREER &amp; TECH CENTER</t>
        </is>
      </c>
      <c r="AE361" t="inlineStr">
        <is>
          <t>WARREN CITY</t>
        </is>
      </c>
      <c r="AF361" t="inlineStr">
        <is>
          <t>WARREN CITY SD</t>
        </is>
      </c>
      <c r="AH361" t="n">
        <v>14</v>
      </c>
      <c r="AI361" t="n">
        <v>11</v>
      </c>
      <c r="AN361" t="inlineStr">
        <is>
          <t>WARREN</t>
        </is>
      </c>
      <c r="AO361" t="inlineStr">
        <is>
          <t>WARREN CITY 4A</t>
        </is>
      </c>
      <c r="AP361" t="inlineStr">
        <is>
          <t>78-P-ADI</t>
        </is>
      </c>
      <c r="AQ361" t="n">
        <v>9</v>
      </c>
      <c r="AR361" t="n">
        <v>64</v>
      </c>
      <c r="AS361" t="n">
        <v>32</v>
      </c>
      <c r="AU361">
        <f>COUNTA($BA$361:$EH$361)</f>
        <v/>
      </c>
      <c r="AV361">
        <f>COUNTIF($BA$361:$EH$361,"D")</f>
        <v/>
      </c>
      <c r="AW361">
        <f>COUNTIF($BA$361:$EH$361,"R")</f>
        <v/>
      </c>
      <c r="AX361">
        <f>IF(BN361="D",1,0)+IF(BO361="D",1,0)+IF(BT361="D",1,0)+IF(BU361="D",1,0)+IF(BW361="D",1,0)+IF(CC361="D",1,0)+IF(CD361="D",1,0)+IF(CE361="D",1,0)+IF(CF361="D",1,0)+IF(CL361="D",1,0)+IF(CM361="D",1,0)+IF(CQ361="D",1,0)+IF(CR361="D",1,0)+IF(CS361="D",1,0)+IF(CW361="D",1,0)+IF(CX361="D",1,0)+IF(DD361="D",1,0)+IF(DE361="D",1,0)+IF(DJ361="D",1,0)+IF(DK361="D",1,0)+IF(DO361="D",1,0)+IF(DP361="D",1,0)+IF(DQ361="D",1,0)+IF(DW361="D",1,0)+IF(DZ361="D",1,0)+IF(EH361="D",1,0)</f>
        <v/>
      </c>
      <c r="AY361">
        <f>IF(DJ361&lt;&gt;"",1,0)+IF(DK361&lt;&gt;"",1,0)+IF(DM361&lt;&gt;"",1,0)+IF(DO361&lt;&gt;"",1,0)+IF(DP361&lt;&gt;"",1,0)+IF(DQ361&lt;&gt;"",1,0)+IF(DS361&lt;&gt;"",1,0)+IF(DT361&lt;&gt;"",1,0)+IF(DV361&lt;&gt;"",1,0)+IF(DW361&lt;&gt;"",1,0)+IF(DX361&lt;&gt;"",1,0)+IF(DY361&lt;&gt;"",1,0)+IF(DZ361&lt;&gt;"",1,0)+IF(EB361&lt;&gt;"",1,0)+IF(EC361&lt;&gt;"",1,0)+IF(ED361&lt;&gt;"",1,0)+IF(EG361&lt;&gt;"",1,0)+IF(EH361&lt;&gt;"",1,0)</f>
        <v/>
      </c>
      <c r="AZ361">
        <f>IF(EH361&lt;&gt;"",1,0)</f>
        <v/>
      </c>
      <c r="BB361" t="inlineStr">
        <is>
          <t>WARREN-WARD 4</t>
        </is>
      </c>
      <c r="BC361" t="inlineStr">
        <is>
          <t>X</t>
        </is>
      </c>
      <c r="BD361" t="inlineStr">
        <is>
          <t>X</t>
        </is>
      </c>
      <c r="BE361" t="inlineStr">
        <is>
          <t>X</t>
        </is>
      </c>
      <c r="BF361" t="inlineStr">
        <is>
          <t>X</t>
        </is>
      </c>
      <c r="BG361" t="inlineStr">
        <is>
          <t>X</t>
        </is>
      </c>
      <c r="BH361" t="inlineStr">
        <is>
          <t>X</t>
        </is>
      </c>
      <c r="BI361" t="inlineStr">
        <is>
          <t>X</t>
        </is>
      </c>
      <c r="BJ361" t="inlineStr">
        <is>
          <t>X</t>
        </is>
      </c>
      <c r="BL361" t="inlineStr">
        <is>
          <t>X</t>
        </is>
      </c>
      <c r="BP361" t="inlineStr">
        <is>
          <t>X</t>
        </is>
      </c>
      <c r="BR361" t="inlineStr">
        <is>
          <t>X</t>
        </is>
      </c>
      <c r="BS361" t="inlineStr">
        <is>
          <t>X</t>
        </is>
      </c>
      <c r="BT361" t="inlineStr">
        <is>
          <t>X</t>
        </is>
      </c>
      <c r="BV361" t="inlineStr">
        <is>
          <t>X</t>
        </is>
      </c>
      <c r="BY361" t="inlineStr">
        <is>
          <t>R</t>
        </is>
      </c>
      <c r="CA361" t="inlineStr">
        <is>
          <t>X</t>
        </is>
      </c>
      <c r="CG361" t="inlineStr">
        <is>
          <t>X</t>
        </is>
      </c>
      <c r="CH361" t="inlineStr">
        <is>
          <t>R</t>
        </is>
      </c>
      <c r="CK361" t="inlineStr">
        <is>
          <t>X</t>
        </is>
      </c>
      <c r="CN361" t="inlineStr">
        <is>
          <t>X</t>
        </is>
      </c>
      <c r="CO361" t="inlineStr">
        <is>
          <t>R</t>
        </is>
      </c>
      <c r="CP361" t="inlineStr">
        <is>
          <t>X</t>
        </is>
      </c>
      <c r="CT361" t="inlineStr">
        <is>
          <t>X</t>
        </is>
      </c>
      <c r="CV361" t="inlineStr">
        <is>
          <t>X</t>
        </is>
      </c>
      <c r="CY361" t="inlineStr">
        <is>
          <t>X</t>
        </is>
      </c>
      <c r="CZ361" t="inlineStr">
        <is>
          <t>R</t>
        </is>
      </c>
      <c r="DC361" t="inlineStr">
        <is>
          <t>X</t>
        </is>
      </c>
      <c r="DG361" t="inlineStr">
        <is>
          <t>R</t>
        </is>
      </c>
      <c r="DI361" t="inlineStr">
        <is>
          <t>X</t>
        </is>
      </c>
      <c r="DL361" t="inlineStr">
        <is>
          <t>X</t>
        </is>
      </c>
      <c r="DN361" t="inlineStr">
        <is>
          <t>X</t>
        </is>
      </c>
      <c r="DR361" t="inlineStr">
        <is>
          <t>X</t>
        </is>
      </c>
      <c r="DW361" t="inlineStr">
        <is>
          <t>X</t>
        </is>
      </c>
      <c r="EA361" t="inlineStr">
        <is>
          <t>X</t>
        </is>
      </c>
      <c r="ED361" t="inlineStr">
        <is>
          <t>X</t>
        </is>
      </c>
    </row>
    <row r="362">
      <c r="A362" t="inlineStr">
        <is>
          <t>OH0015691370</t>
        </is>
      </c>
      <c r="B362" t="n">
        <v>78</v>
      </c>
      <c r="C362" t="n">
        <v>13737</v>
      </c>
      <c r="D362" t="inlineStr">
        <is>
          <t>SUMMITT</t>
        </is>
      </c>
      <c r="E362" t="inlineStr">
        <is>
          <t>JOYCE</t>
        </is>
      </c>
      <c r="F362">
        <f>CONCATENATE(D362," ",LEFT(H362,4),"T=",AU362,"D=",AV362,"R=",AW362,"M=",AX362,"L=",AY362,"B=",AZ362)</f>
        <v/>
      </c>
      <c r="G362" t="inlineStr">
        <is>
          <t>Y</t>
        </is>
      </c>
      <c r="I362" t="inlineStr">
        <is>
          <t>1935-12-23</t>
        </is>
      </c>
      <c r="J362" t="inlineStr">
        <is>
          <t>1960-08-30</t>
        </is>
      </c>
      <c r="K362" t="inlineStr">
        <is>
          <t>ACTIVE</t>
        </is>
      </c>
      <c r="M362" t="inlineStr">
        <is>
          <t>242 KENILWORTH AVE SE</t>
        </is>
      </c>
      <c r="N362">
        <f>RIGHT(M362,LEN(M362)-FIND(" ",M362))</f>
        <v/>
      </c>
      <c r="P362" t="inlineStr">
        <is>
          <t>WARREN</t>
        </is>
      </c>
      <c r="Q362" t="inlineStr">
        <is>
          <t>OH</t>
        </is>
      </c>
      <c r="R362" t="n">
        <v>44483</v>
      </c>
      <c r="AD362" t="inlineStr">
        <is>
          <t>TRUMBULL CAREER &amp; TECH CENTER</t>
        </is>
      </c>
      <c r="AE362" t="inlineStr">
        <is>
          <t>WARREN CITY</t>
        </is>
      </c>
      <c r="AF362" t="inlineStr">
        <is>
          <t>WARREN CITY SD</t>
        </is>
      </c>
      <c r="AH362" t="n">
        <v>14</v>
      </c>
      <c r="AI362" t="n">
        <v>11</v>
      </c>
      <c r="AN362" t="inlineStr">
        <is>
          <t>WARREN</t>
        </is>
      </c>
      <c r="AO362" t="inlineStr">
        <is>
          <t>WARREN CITY 4A</t>
        </is>
      </c>
      <c r="AP362" t="inlineStr">
        <is>
          <t>78-P-ADI</t>
        </is>
      </c>
      <c r="AQ362" t="n">
        <v>9</v>
      </c>
      <c r="AR362" t="n">
        <v>64</v>
      </c>
      <c r="AS362" t="n">
        <v>32</v>
      </c>
      <c r="AU362">
        <f>COUNTA($BA$362:$EH$362)</f>
        <v/>
      </c>
      <c r="AV362">
        <f>COUNTIF($BA$362:$EH$362,"D")</f>
        <v/>
      </c>
      <c r="AW362">
        <f>COUNTIF($BA$362:$EH$362,"R")</f>
        <v/>
      </c>
      <c r="AX362">
        <f>IF(BN362="D",1,0)+IF(BO362="D",1,0)+IF(BT362="D",1,0)+IF(BU362="D",1,0)+IF(BW362="D",1,0)+IF(CC362="D",1,0)+IF(CD362="D",1,0)+IF(CE362="D",1,0)+IF(CF362="D",1,0)+IF(CL362="D",1,0)+IF(CM362="D",1,0)+IF(CQ362="D",1,0)+IF(CR362="D",1,0)+IF(CS362="D",1,0)+IF(CW362="D",1,0)+IF(CX362="D",1,0)+IF(DD362="D",1,0)+IF(DE362="D",1,0)+IF(DJ362="D",1,0)+IF(DK362="D",1,0)+IF(DO362="D",1,0)+IF(DP362="D",1,0)+IF(DQ362="D",1,0)+IF(DW362="D",1,0)+IF(DZ362="D",1,0)+IF(EH362="D",1,0)</f>
        <v/>
      </c>
      <c r="AY362">
        <f>IF(DJ362&lt;&gt;"",1,0)+IF(DK362&lt;&gt;"",1,0)+IF(DM362&lt;&gt;"",1,0)+IF(DO362&lt;&gt;"",1,0)+IF(DP362&lt;&gt;"",1,0)+IF(DQ362&lt;&gt;"",1,0)+IF(DS362&lt;&gt;"",1,0)+IF(DT362&lt;&gt;"",1,0)+IF(DV362&lt;&gt;"",1,0)+IF(DW362&lt;&gt;"",1,0)+IF(DX362&lt;&gt;"",1,0)+IF(DY362&lt;&gt;"",1,0)+IF(DZ362&lt;&gt;"",1,0)+IF(EB362&lt;&gt;"",1,0)+IF(EC362&lt;&gt;"",1,0)+IF(ED362&lt;&gt;"",1,0)+IF(EG362&lt;&gt;"",1,0)+IF(EH362&lt;&gt;"",1,0)</f>
        <v/>
      </c>
      <c r="AZ362">
        <f>IF(EH362&lt;&gt;"",1,0)</f>
        <v/>
      </c>
      <c r="BB362" t="inlineStr">
        <is>
          <t>WARREN-WARD 4</t>
        </is>
      </c>
      <c r="BC362" t="inlineStr">
        <is>
          <t>X</t>
        </is>
      </c>
      <c r="BD362" t="inlineStr">
        <is>
          <t>X</t>
        </is>
      </c>
      <c r="BE362" t="inlineStr">
        <is>
          <t>X</t>
        </is>
      </c>
      <c r="BF362" t="inlineStr">
        <is>
          <t>X</t>
        </is>
      </c>
      <c r="BG362" t="inlineStr">
        <is>
          <t>X</t>
        </is>
      </c>
      <c r="BH362" t="inlineStr">
        <is>
          <t>X</t>
        </is>
      </c>
      <c r="BJ362" t="inlineStr">
        <is>
          <t>X</t>
        </is>
      </c>
      <c r="BK362" t="inlineStr">
        <is>
          <t>X</t>
        </is>
      </c>
      <c r="BL362" t="inlineStr">
        <is>
          <t>X</t>
        </is>
      </c>
      <c r="BP362" t="inlineStr">
        <is>
          <t>X</t>
        </is>
      </c>
      <c r="BS362" t="inlineStr">
        <is>
          <t>X</t>
        </is>
      </c>
      <c r="BY362" t="inlineStr">
        <is>
          <t>D</t>
        </is>
      </c>
      <c r="CA362" t="inlineStr">
        <is>
          <t>X</t>
        </is>
      </c>
      <c r="CG362" t="inlineStr">
        <is>
          <t>X</t>
        </is>
      </c>
      <c r="CH362" t="inlineStr">
        <is>
          <t>D</t>
        </is>
      </c>
      <c r="CK362" t="inlineStr">
        <is>
          <t>X</t>
        </is>
      </c>
      <c r="CN362" t="inlineStr">
        <is>
          <t>X</t>
        </is>
      </c>
      <c r="CP362" t="inlineStr">
        <is>
          <t>X</t>
        </is>
      </c>
      <c r="CU362" t="inlineStr">
        <is>
          <t>D</t>
        </is>
      </c>
      <c r="CV362" t="inlineStr">
        <is>
          <t>X</t>
        </is>
      </c>
      <c r="CY362" t="inlineStr">
        <is>
          <t>X</t>
        </is>
      </c>
      <c r="DC362" t="inlineStr">
        <is>
          <t>X</t>
        </is>
      </c>
      <c r="DG362" t="inlineStr">
        <is>
          <t>D</t>
        </is>
      </c>
      <c r="DI362" t="inlineStr">
        <is>
          <t>X</t>
        </is>
      </c>
      <c r="DL362" t="inlineStr">
        <is>
          <t>X</t>
        </is>
      </c>
      <c r="DN362" t="inlineStr">
        <is>
          <t>X</t>
        </is>
      </c>
      <c r="DU362" t="inlineStr">
        <is>
          <t>X</t>
        </is>
      </c>
      <c r="EF362" t="inlineStr">
        <is>
          <t>X</t>
        </is>
      </c>
    </row>
    <row r="363">
      <c r="A363" t="inlineStr">
        <is>
          <t>OH0015722099</t>
        </is>
      </c>
      <c r="B363" t="n">
        <v>78</v>
      </c>
      <c r="C363" t="n">
        <v>203591</v>
      </c>
      <c r="D363" t="inlineStr">
        <is>
          <t>KELLAR</t>
        </is>
      </c>
      <c r="E363" t="inlineStr">
        <is>
          <t>KELLI</t>
        </is>
      </c>
      <c r="F363">
        <f>CONCATENATE(D363," ",LEFT(H363,4),"T=",AU363,"D=",AV363,"R=",AW363,"M=",AX363,"L=",AY363,"B=",AZ363)</f>
        <v/>
      </c>
      <c r="G363" t="inlineStr">
        <is>
          <t>E</t>
        </is>
      </c>
      <c r="I363" t="inlineStr">
        <is>
          <t>1970-02-27</t>
        </is>
      </c>
      <c r="J363" t="inlineStr">
        <is>
          <t>2016-12-08</t>
        </is>
      </c>
      <c r="K363" t="inlineStr">
        <is>
          <t>ACTIVE</t>
        </is>
      </c>
      <c r="L363" t="inlineStr">
        <is>
          <t>D</t>
        </is>
      </c>
      <c r="M363" t="inlineStr">
        <is>
          <t>217 KENILWORTH AVE SE</t>
        </is>
      </c>
      <c r="N363">
        <f>RIGHT(M363,LEN(M363)-FIND(" ",M363))</f>
        <v/>
      </c>
      <c r="P363" t="inlineStr">
        <is>
          <t>WARREN</t>
        </is>
      </c>
      <c r="Q363" t="inlineStr">
        <is>
          <t>OH</t>
        </is>
      </c>
      <c r="R363" t="n">
        <v>44483</v>
      </c>
      <c r="AD363" t="inlineStr">
        <is>
          <t>TRUMBULL CAREER &amp; TECH CENTER</t>
        </is>
      </c>
      <c r="AE363" t="inlineStr">
        <is>
          <t>WARREN CITY</t>
        </is>
      </c>
      <c r="AF363" t="inlineStr">
        <is>
          <t>WARREN CITY SD</t>
        </is>
      </c>
      <c r="AH363" t="n">
        <v>14</v>
      </c>
      <c r="AI363" t="n">
        <v>11</v>
      </c>
      <c r="AN363" t="inlineStr">
        <is>
          <t>WARREN</t>
        </is>
      </c>
      <c r="AO363" t="inlineStr">
        <is>
          <t>WARREN CITY 4A</t>
        </is>
      </c>
      <c r="AP363" t="inlineStr">
        <is>
          <t>78-P-ADI</t>
        </is>
      </c>
      <c r="AQ363" t="n">
        <v>9</v>
      </c>
      <c r="AR363" t="n">
        <v>64</v>
      </c>
      <c r="AS363" t="n">
        <v>32</v>
      </c>
      <c r="AU363">
        <f>COUNTA($BA$363:$EH$363)</f>
        <v/>
      </c>
      <c r="AV363">
        <f>COUNTIF($BA$363:$EH$363,"D")</f>
        <v/>
      </c>
      <c r="AW363">
        <f>COUNTIF($BA$363:$EH$363,"R")</f>
        <v/>
      </c>
      <c r="AX363">
        <f>IF(BN363="D",1,0)+IF(BO363="D",1,0)+IF(BT363="D",1,0)+IF(BU363="D",1,0)+IF(BW363="D",1,0)+IF(CC363="D",1,0)+IF(CD363="D",1,0)+IF(CE363="D",1,0)+IF(CF363="D",1,0)+IF(CL363="D",1,0)+IF(CM363="D",1,0)+IF(CQ363="D",1,0)+IF(CR363="D",1,0)+IF(CS363="D",1,0)+IF(CW363="D",1,0)+IF(CX363="D",1,0)+IF(DD363="D",1,0)+IF(DE363="D",1,0)+IF(DJ363="D",1,0)+IF(DK363="D",1,0)+IF(DO363="D",1,0)+IF(DP363="D",1,0)+IF(DQ363="D",1,0)+IF(DW363="D",1,0)+IF(DZ363="D",1,0)+IF(EH363="D",1,0)</f>
        <v/>
      </c>
      <c r="AY363">
        <f>IF(DJ363&lt;&gt;"",1,0)+IF(DK363&lt;&gt;"",1,0)+IF(DM363&lt;&gt;"",1,0)+IF(DO363&lt;&gt;"",1,0)+IF(DP363&lt;&gt;"",1,0)+IF(DQ363&lt;&gt;"",1,0)+IF(DS363&lt;&gt;"",1,0)+IF(DT363&lt;&gt;"",1,0)+IF(DV363&lt;&gt;"",1,0)+IF(DW363&lt;&gt;"",1,0)+IF(DX363&lt;&gt;"",1,0)+IF(DY363&lt;&gt;"",1,0)+IF(DZ363&lt;&gt;"",1,0)+IF(EB363&lt;&gt;"",1,0)+IF(EC363&lt;&gt;"",1,0)+IF(ED363&lt;&gt;"",1,0)+IF(EG363&lt;&gt;"",1,0)+IF(EH363&lt;&gt;"",1,0)</f>
        <v/>
      </c>
      <c r="AZ363">
        <f>IF(EH363&lt;&gt;"",1,0)</f>
        <v/>
      </c>
      <c r="BB363" t="inlineStr">
        <is>
          <t>WARREN-WARD 4</t>
        </is>
      </c>
      <c r="BC363" t="inlineStr">
        <is>
          <t>X</t>
        </is>
      </c>
      <c r="BD363" t="inlineStr">
        <is>
          <t>X</t>
        </is>
      </c>
      <c r="BF363" t="inlineStr">
        <is>
          <t>X</t>
        </is>
      </c>
      <c r="BH363" t="inlineStr">
        <is>
          <t>X</t>
        </is>
      </c>
      <c r="BJ363" t="inlineStr">
        <is>
          <t>X</t>
        </is>
      </c>
      <c r="BL363" t="inlineStr">
        <is>
          <t>X</t>
        </is>
      </c>
      <c r="BR363" t="inlineStr">
        <is>
          <t>X</t>
        </is>
      </c>
      <c r="BS363" t="inlineStr">
        <is>
          <t>X</t>
        </is>
      </c>
      <c r="CA363" t="inlineStr">
        <is>
          <t>X</t>
        </is>
      </c>
      <c r="CG363" t="inlineStr">
        <is>
          <t>X</t>
        </is>
      </c>
      <c r="CK363" t="inlineStr">
        <is>
          <t>X</t>
        </is>
      </c>
      <c r="CP363" t="inlineStr">
        <is>
          <t>X</t>
        </is>
      </c>
      <c r="CU363" t="inlineStr">
        <is>
          <t>R</t>
        </is>
      </c>
      <c r="CY363" t="inlineStr">
        <is>
          <t>X</t>
        </is>
      </c>
      <c r="DC363" t="inlineStr">
        <is>
          <t>X</t>
        </is>
      </c>
      <c r="DI363" t="inlineStr">
        <is>
          <t>X</t>
        </is>
      </c>
      <c r="DN363" t="inlineStr">
        <is>
          <t>X</t>
        </is>
      </c>
      <c r="DU363" t="inlineStr">
        <is>
          <t>X</t>
        </is>
      </c>
      <c r="DW363" t="inlineStr">
        <is>
          <t>D</t>
        </is>
      </c>
      <c r="DX363" t="inlineStr">
        <is>
          <t>X</t>
        </is>
      </c>
      <c r="ED363" t="inlineStr">
        <is>
          <t>D</t>
        </is>
      </c>
      <c r="EF363" t="inlineStr">
        <is>
          <t>X</t>
        </is>
      </c>
    </row>
    <row r="364">
      <c r="A364" t="inlineStr">
        <is>
          <t>OH0026995312</t>
        </is>
      </c>
      <c r="B364" t="n">
        <v>78</v>
      </c>
      <c r="C364" t="n">
        <v>475161</v>
      </c>
      <c r="D364" t="inlineStr">
        <is>
          <t>VANDESTEEG</t>
        </is>
      </c>
      <c r="E364" t="inlineStr">
        <is>
          <t>ERIC</t>
        </is>
      </c>
      <c r="F364">
        <f>CONCATENATE(D364," ",LEFT(H364,4),"T=",AU364,"D=",AV364,"R=",AW364,"M=",AX364,"L=",AY364,"B=",AZ364)</f>
        <v/>
      </c>
      <c r="G364" t="inlineStr">
        <is>
          <t>J</t>
        </is>
      </c>
      <c r="I364" t="inlineStr">
        <is>
          <t>1976-02-19</t>
        </is>
      </c>
      <c r="J364" t="inlineStr">
        <is>
          <t>2024-09-02</t>
        </is>
      </c>
      <c r="K364" t="inlineStr">
        <is>
          <t>ACTIVE</t>
        </is>
      </c>
      <c r="M364" t="inlineStr">
        <is>
          <t>1243 SOUTH ST SE</t>
        </is>
      </c>
      <c r="N364">
        <f>RIGHT(M364,LEN(M364)-FIND(" ",M364))</f>
        <v/>
      </c>
      <c r="P364" t="inlineStr">
        <is>
          <t>WARREN</t>
        </is>
      </c>
      <c r="Q364" t="inlineStr">
        <is>
          <t>OH</t>
        </is>
      </c>
      <c r="R364" t="n">
        <v>44483</v>
      </c>
      <c r="AD364" t="inlineStr">
        <is>
          <t>TRUMBULL CAREER &amp; TECH CENTER</t>
        </is>
      </c>
      <c r="AE364" t="inlineStr">
        <is>
          <t>WARREN CITY</t>
        </is>
      </c>
      <c r="AF364" t="inlineStr">
        <is>
          <t>WARREN CITY SD</t>
        </is>
      </c>
      <c r="AH364" t="n">
        <v>14</v>
      </c>
      <c r="AI364" t="n">
        <v>11</v>
      </c>
      <c r="AN364" t="inlineStr">
        <is>
          <t>WARREN</t>
        </is>
      </c>
      <c r="AO364" t="inlineStr">
        <is>
          <t>WARREN CITY 4A</t>
        </is>
      </c>
      <c r="AP364" t="inlineStr">
        <is>
          <t>78-P-ADI</t>
        </is>
      </c>
      <c r="AQ364" t="n">
        <v>9</v>
      </c>
      <c r="AR364" t="n">
        <v>64</v>
      </c>
      <c r="AS364" t="n">
        <v>32</v>
      </c>
      <c r="AU364">
        <f>COUNTA($BA$364:$EH$364)</f>
        <v/>
      </c>
      <c r="AV364">
        <f>COUNTIF($BA$364:$EH$364,"D")</f>
        <v/>
      </c>
      <c r="AW364">
        <f>COUNTIF($BA$364:$EH$364,"R")</f>
        <v/>
      </c>
      <c r="AX364">
        <f>IF(BN364="D",1,0)+IF(BO364="D",1,0)+IF(BT364="D",1,0)+IF(BU364="D",1,0)+IF(BW364="D",1,0)+IF(CC364="D",1,0)+IF(CD364="D",1,0)+IF(CE364="D",1,0)+IF(CF364="D",1,0)+IF(CL364="D",1,0)+IF(CM364="D",1,0)+IF(CQ364="D",1,0)+IF(CR364="D",1,0)+IF(CS364="D",1,0)+IF(CW364="D",1,0)+IF(CX364="D",1,0)+IF(DD364="D",1,0)+IF(DE364="D",1,0)+IF(DJ364="D",1,0)+IF(DK364="D",1,0)+IF(DO364="D",1,0)+IF(DP364="D",1,0)+IF(DQ364="D",1,0)+IF(DW364="D",1,0)+IF(DZ364="D",1,0)+IF(EH364="D",1,0)</f>
        <v/>
      </c>
      <c r="AY364">
        <f>IF(DJ364&lt;&gt;"",1,0)+IF(DK364&lt;&gt;"",1,0)+IF(DM364&lt;&gt;"",1,0)+IF(DO364&lt;&gt;"",1,0)+IF(DP364&lt;&gt;"",1,0)+IF(DQ364&lt;&gt;"",1,0)+IF(DS364&lt;&gt;"",1,0)+IF(DT364&lt;&gt;"",1,0)+IF(DV364&lt;&gt;"",1,0)+IF(DW364&lt;&gt;"",1,0)+IF(DX364&lt;&gt;"",1,0)+IF(DY364&lt;&gt;"",1,0)+IF(DZ364&lt;&gt;"",1,0)+IF(EB364&lt;&gt;"",1,0)+IF(EC364&lt;&gt;"",1,0)+IF(ED364&lt;&gt;"",1,0)+IF(EG364&lt;&gt;"",1,0)+IF(EH364&lt;&gt;"",1,0)</f>
        <v/>
      </c>
      <c r="AZ364">
        <f>IF(EH364&lt;&gt;"",1,0)</f>
        <v/>
      </c>
      <c r="BB364" t="inlineStr">
        <is>
          <t>WARREN-WARD 4</t>
        </is>
      </c>
      <c r="EA364" t="inlineStr">
        <is>
          <t>X</t>
        </is>
      </c>
      <c r="EF364" t="inlineStr">
        <is>
          <t>X</t>
        </is>
      </c>
    </row>
    <row r="365">
      <c r="A365" t="inlineStr">
        <is>
          <t>OH0023643703</t>
        </is>
      </c>
      <c r="B365" t="n">
        <v>78</v>
      </c>
      <c r="C365" t="n">
        <v>415810</v>
      </c>
      <c r="D365" t="inlineStr">
        <is>
          <t>MANN</t>
        </is>
      </c>
      <c r="E365" t="inlineStr">
        <is>
          <t>SAMUEL</t>
        </is>
      </c>
      <c r="F365">
        <f>CONCATENATE(D365," ",LEFT(H365,4),"T=",AU365,"D=",AV365,"R=",AW365,"M=",AX365,"L=",AY365,"B=",AZ365)</f>
        <v/>
      </c>
      <c r="G365" t="inlineStr">
        <is>
          <t>WILLIAMS</t>
        </is>
      </c>
      <c r="I365" t="inlineStr">
        <is>
          <t>1992-03-22</t>
        </is>
      </c>
      <c r="J365" t="inlineStr">
        <is>
          <t>2016-04-20</t>
        </is>
      </c>
      <c r="K365" t="inlineStr">
        <is>
          <t>CONFIRMATION</t>
        </is>
      </c>
      <c r="M365" t="inlineStr">
        <is>
          <t>327 LAIRD AVE SE</t>
        </is>
      </c>
      <c r="N365">
        <f>RIGHT(M365,LEN(M365)-FIND(" ",M365))</f>
        <v/>
      </c>
      <c r="P365" t="inlineStr">
        <is>
          <t>WARREN</t>
        </is>
      </c>
      <c r="Q365" t="inlineStr">
        <is>
          <t>OH</t>
        </is>
      </c>
      <c r="R365" t="n">
        <v>44483</v>
      </c>
      <c r="AD365" t="inlineStr">
        <is>
          <t>TRUMBULL CAREER &amp; TECH CENTER</t>
        </is>
      </c>
      <c r="AE365" t="inlineStr">
        <is>
          <t>WARREN CITY</t>
        </is>
      </c>
      <c r="AF365" t="inlineStr">
        <is>
          <t>WARREN CITY SD</t>
        </is>
      </c>
      <c r="AH365" t="n">
        <v>14</v>
      </c>
      <c r="AI365" t="n">
        <v>11</v>
      </c>
      <c r="AN365" t="inlineStr">
        <is>
          <t>WARREN</t>
        </is>
      </c>
      <c r="AO365" t="inlineStr">
        <is>
          <t>WARREN CITY 4A</t>
        </is>
      </c>
      <c r="AP365" t="inlineStr">
        <is>
          <t>78-P-ADI</t>
        </is>
      </c>
      <c r="AQ365" t="n">
        <v>9</v>
      </c>
      <c r="AR365" t="n">
        <v>64</v>
      </c>
      <c r="AS365" t="n">
        <v>32</v>
      </c>
      <c r="AU365">
        <f>COUNTA($BA$365:$EH$365)</f>
        <v/>
      </c>
      <c r="AV365">
        <f>COUNTIF($BA$365:$EH$365,"D")</f>
        <v/>
      </c>
      <c r="AW365">
        <f>COUNTIF($BA$365:$EH$365,"R")</f>
        <v/>
      </c>
      <c r="AX365">
        <f>IF(BN365="D",1,0)+IF(BO365="D",1,0)+IF(BT365="D",1,0)+IF(BU365="D",1,0)+IF(BW365="D",1,0)+IF(CC365="D",1,0)+IF(CD365="D",1,0)+IF(CE365="D",1,0)+IF(CF365="D",1,0)+IF(CL365="D",1,0)+IF(CM365="D",1,0)+IF(CQ365="D",1,0)+IF(CR365="D",1,0)+IF(CS365="D",1,0)+IF(CW365="D",1,0)+IF(CX365="D",1,0)+IF(DD365="D",1,0)+IF(DE365="D",1,0)+IF(DJ365="D",1,0)+IF(DK365="D",1,0)+IF(DO365="D",1,0)+IF(DP365="D",1,0)+IF(DQ365="D",1,0)+IF(DW365="D",1,0)+IF(DZ365="D",1,0)+IF(EH365="D",1,0)</f>
        <v/>
      </c>
      <c r="AY365">
        <f>IF(DJ365&lt;&gt;"",1,0)+IF(DK365&lt;&gt;"",1,0)+IF(DM365&lt;&gt;"",1,0)+IF(DO365&lt;&gt;"",1,0)+IF(DP365&lt;&gt;"",1,0)+IF(DQ365&lt;&gt;"",1,0)+IF(DS365&lt;&gt;"",1,0)+IF(DT365&lt;&gt;"",1,0)+IF(DV365&lt;&gt;"",1,0)+IF(DW365&lt;&gt;"",1,0)+IF(DX365&lt;&gt;"",1,0)+IF(DY365&lt;&gt;"",1,0)+IF(DZ365&lt;&gt;"",1,0)+IF(EB365&lt;&gt;"",1,0)+IF(EC365&lt;&gt;"",1,0)+IF(ED365&lt;&gt;"",1,0)+IF(EG365&lt;&gt;"",1,0)+IF(EH365&lt;&gt;"",1,0)</f>
        <v/>
      </c>
      <c r="AZ365">
        <f>IF(EH365&lt;&gt;"",1,0)</f>
        <v/>
      </c>
      <c r="BB365" t="inlineStr">
        <is>
          <t>WARREN-WARD 4</t>
        </is>
      </c>
    </row>
    <row r="366">
      <c r="A366" t="inlineStr">
        <is>
          <t>OH0026781557</t>
        </is>
      </c>
      <c r="B366" t="n">
        <v>78</v>
      </c>
      <c r="C366" t="n">
        <v>468332</v>
      </c>
      <c r="D366" t="inlineStr">
        <is>
          <t>GRAHAM</t>
        </is>
      </c>
      <c r="E366" t="inlineStr">
        <is>
          <t>STEWARD</t>
        </is>
      </c>
      <c r="F366">
        <f>CONCATENATE(D366," ",LEFT(H366,4),"T=",AU366,"D=",AV366,"R=",AW366,"M=",AX366,"L=",AY366,"B=",AZ366)</f>
        <v/>
      </c>
      <c r="G366" t="inlineStr">
        <is>
          <t>A</t>
        </is>
      </c>
      <c r="I366" t="inlineStr">
        <is>
          <t>1965-05-27</t>
        </is>
      </c>
      <c r="J366" t="inlineStr">
        <is>
          <t>2022-12-08</t>
        </is>
      </c>
      <c r="K366" t="inlineStr">
        <is>
          <t>ACTIVE</t>
        </is>
      </c>
      <c r="M366" t="inlineStr">
        <is>
          <t>338 CHARLES AVE SE</t>
        </is>
      </c>
      <c r="N366">
        <f>RIGHT(M366,LEN(M366)-FIND(" ",M366))</f>
        <v/>
      </c>
      <c r="P366" t="inlineStr">
        <is>
          <t>WARREN</t>
        </is>
      </c>
      <c r="Q366" t="inlineStr">
        <is>
          <t>OH</t>
        </is>
      </c>
      <c r="R366" t="n">
        <v>44483</v>
      </c>
      <c r="AD366" t="inlineStr">
        <is>
          <t>TRUMBULL CAREER &amp; TECH CENTER</t>
        </is>
      </c>
      <c r="AE366" t="inlineStr">
        <is>
          <t>WARREN CITY</t>
        </is>
      </c>
      <c r="AF366" t="inlineStr">
        <is>
          <t>WARREN CITY SD</t>
        </is>
      </c>
      <c r="AH366" t="n">
        <v>14</v>
      </c>
      <c r="AI366" t="n">
        <v>11</v>
      </c>
      <c r="AN366" t="inlineStr">
        <is>
          <t>WARREN</t>
        </is>
      </c>
      <c r="AO366" t="inlineStr">
        <is>
          <t>WARREN CITY 4A</t>
        </is>
      </c>
      <c r="AP366" t="inlineStr">
        <is>
          <t>78-P-ADI</t>
        </is>
      </c>
      <c r="AQ366" t="n">
        <v>9</v>
      </c>
      <c r="AR366" t="n">
        <v>64</v>
      </c>
      <c r="AS366" t="n">
        <v>32</v>
      </c>
      <c r="AU366">
        <f>COUNTA($BA$366:$EH$366)</f>
        <v/>
      </c>
      <c r="AV366">
        <f>COUNTIF($BA$366:$EH$366,"D")</f>
        <v/>
      </c>
      <c r="AW366">
        <f>COUNTIF($BA$366:$EH$366,"R")</f>
        <v/>
      </c>
      <c r="AX366">
        <f>IF(BN366="D",1,0)+IF(BO366="D",1,0)+IF(BT366="D",1,0)+IF(BU366="D",1,0)+IF(BW366="D",1,0)+IF(CC366="D",1,0)+IF(CD366="D",1,0)+IF(CE366="D",1,0)+IF(CF366="D",1,0)+IF(CL366="D",1,0)+IF(CM366="D",1,0)+IF(CQ366="D",1,0)+IF(CR366="D",1,0)+IF(CS366="D",1,0)+IF(CW366="D",1,0)+IF(CX366="D",1,0)+IF(DD366="D",1,0)+IF(DE366="D",1,0)+IF(DJ366="D",1,0)+IF(DK366="D",1,0)+IF(DO366="D",1,0)+IF(DP366="D",1,0)+IF(DQ366="D",1,0)+IF(DW366="D",1,0)+IF(DZ366="D",1,0)+IF(EH366="D",1,0)</f>
        <v/>
      </c>
      <c r="AY366">
        <f>IF(DJ366&lt;&gt;"",1,0)+IF(DK366&lt;&gt;"",1,0)+IF(DM366&lt;&gt;"",1,0)+IF(DO366&lt;&gt;"",1,0)+IF(DP366&lt;&gt;"",1,0)+IF(DQ366&lt;&gt;"",1,0)+IF(DS366&lt;&gt;"",1,0)+IF(DT366&lt;&gt;"",1,0)+IF(DV366&lt;&gt;"",1,0)+IF(DW366&lt;&gt;"",1,0)+IF(DX366&lt;&gt;"",1,0)+IF(DY366&lt;&gt;"",1,0)+IF(DZ366&lt;&gt;"",1,0)+IF(EB366&lt;&gt;"",1,0)+IF(EC366&lt;&gt;"",1,0)+IF(ED366&lt;&gt;"",1,0)+IF(EG366&lt;&gt;"",1,0)+IF(EH366&lt;&gt;"",1,0)</f>
        <v/>
      </c>
      <c r="AZ366">
        <f>IF(EH366&lt;&gt;"",1,0)</f>
        <v/>
      </c>
      <c r="BB366" t="inlineStr">
        <is>
          <t>WARREN-WARD 4</t>
        </is>
      </c>
      <c r="BD366" t="inlineStr">
        <is>
          <t>X</t>
        </is>
      </c>
      <c r="BG366" t="inlineStr">
        <is>
          <t>D</t>
        </is>
      </c>
      <c r="CA366" t="inlineStr">
        <is>
          <t>X</t>
        </is>
      </c>
      <c r="CG366" t="inlineStr">
        <is>
          <t>X</t>
        </is>
      </c>
      <c r="CK366" t="inlineStr">
        <is>
          <t>X</t>
        </is>
      </c>
      <c r="CP366" t="inlineStr">
        <is>
          <t>X</t>
        </is>
      </c>
      <c r="DC366" t="inlineStr">
        <is>
          <t>X</t>
        </is>
      </c>
    </row>
    <row r="367">
      <c r="A367" t="inlineStr">
        <is>
          <t>OH0015690815</t>
        </is>
      </c>
      <c r="B367" t="n">
        <v>78</v>
      </c>
      <c r="C367" t="n">
        <v>13573</v>
      </c>
      <c r="D367" t="inlineStr">
        <is>
          <t>LODY</t>
        </is>
      </c>
      <c r="E367" t="inlineStr">
        <is>
          <t>FRANCES</t>
        </is>
      </c>
      <c r="F367">
        <f>CONCATENATE(D367," ",LEFT(H367,4),"T=",AU367,"D=",AV367,"R=",AW367,"M=",AX367,"L=",AY367,"B=",AZ367)</f>
        <v/>
      </c>
      <c r="G367" t="inlineStr">
        <is>
          <t>L</t>
        </is>
      </c>
      <c r="I367" t="inlineStr">
        <is>
          <t>1941-12-12</t>
        </is>
      </c>
      <c r="J367" t="inlineStr">
        <is>
          <t>1968-03-27</t>
        </is>
      </c>
      <c r="K367" t="inlineStr">
        <is>
          <t>ACTIVE</t>
        </is>
      </c>
      <c r="L367" t="inlineStr">
        <is>
          <t>R</t>
        </is>
      </c>
      <c r="M367" t="inlineStr">
        <is>
          <t>338 KENILWORTH AVE SE</t>
        </is>
      </c>
      <c r="N367">
        <f>RIGHT(M367,LEN(M367)-FIND(" ",M367))</f>
        <v/>
      </c>
      <c r="P367" t="inlineStr">
        <is>
          <t>WARREN</t>
        </is>
      </c>
      <c r="Q367" t="inlineStr">
        <is>
          <t>OH</t>
        </is>
      </c>
      <c r="R367" t="n">
        <v>44483</v>
      </c>
      <c r="AD367" t="inlineStr">
        <is>
          <t>TRUMBULL CAREER &amp; TECH CENTER</t>
        </is>
      </c>
      <c r="AE367" t="inlineStr">
        <is>
          <t>WARREN CITY</t>
        </is>
      </c>
      <c r="AF367" t="inlineStr">
        <is>
          <t>WARREN CITY SD</t>
        </is>
      </c>
      <c r="AH367" t="n">
        <v>14</v>
      </c>
      <c r="AI367" t="n">
        <v>11</v>
      </c>
      <c r="AN367" t="inlineStr">
        <is>
          <t>WARREN</t>
        </is>
      </c>
      <c r="AO367" t="inlineStr">
        <is>
          <t>WARREN CITY 4A</t>
        </is>
      </c>
      <c r="AP367" t="inlineStr">
        <is>
          <t>78-P-ADI</t>
        </is>
      </c>
      <c r="AQ367" t="n">
        <v>9</v>
      </c>
      <c r="AR367" t="n">
        <v>64</v>
      </c>
      <c r="AS367" t="n">
        <v>32</v>
      </c>
      <c r="AU367">
        <f>COUNTA($BA$367:$EH$367)</f>
        <v/>
      </c>
      <c r="AV367">
        <f>COUNTIF($BA$367:$EH$367,"D")</f>
        <v/>
      </c>
      <c r="AW367">
        <f>COUNTIF($BA$367:$EH$367,"R")</f>
        <v/>
      </c>
      <c r="AX367">
        <f>IF(BN367="D",1,0)+IF(BO367="D",1,0)+IF(BT367="D",1,0)+IF(BU367="D",1,0)+IF(BW367="D",1,0)+IF(CC367="D",1,0)+IF(CD367="D",1,0)+IF(CE367="D",1,0)+IF(CF367="D",1,0)+IF(CL367="D",1,0)+IF(CM367="D",1,0)+IF(CQ367="D",1,0)+IF(CR367="D",1,0)+IF(CS367="D",1,0)+IF(CW367="D",1,0)+IF(CX367="D",1,0)+IF(DD367="D",1,0)+IF(DE367="D",1,0)+IF(DJ367="D",1,0)+IF(DK367="D",1,0)+IF(DO367="D",1,0)+IF(DP367="D",1,0)+IF(DQ367="D",1,0)+IF(DW367="D",1,0)+IF(DZ367="D",1,0)+IF(EH367="D",1,0)</f>
        <v/>
      </c>
      <c r="AY367">
        <f>IF(DJ367&lt;&gt;"",1,0)+IF(DK367&lt;&gt;"",1,0)+IF(DM367&lt;&gt;"",1,0)+IF(DO367&lt;&gt;"",1,0)+IF(DP367&lt;&gt;"",1,0)+IF(DQ367&lt;&gt;"",1,0)+IF(DS367&lt;&gt;"",1,0)+IF(DT367&lt;&gt;"",1,0)+IF(DV367&lt;&gt;"",1,0)+IF(DW367&lt;&gt;"",1,0)+IF(DX367&lt;&gt;"",1,0)+IF(DY367&lt;&gt;"",1,0)+IF(DZ367&lt;&gt;"",1,0)+IF(EB367&lt;&gt;"",1,0)+IF(EC367&lt;&gt;"",1,0)+IF(ED367&lt;&gt;"",1,0)+IF(EG367&lt;&gt;"",1,0)+IF(EH367&lt;&gt;"",1,0)</f>
        <v/>
      </c>
      <c r="AZ367">
        <f>IF(EH367&lt;&gt;"",1,0)</f>
        <v/>
      </c>
      <c r="BB367" t="inlineStr">
        <is>
          <t>WARREN-WARD 4</t>
        </is>
      </c>
      <c r="BC367" t="inlineStr">
        <is>
          <t>X</t>
        </is>
      </c>
      <c r="BD367" t="inlineStr">
        <is>
          <t>X</t>
        </is>
      </c>
      <c r="BE367" t="inlineStr">
        <is>
          <t>X</t>
        </is>
      </c>
      <c r="BF367" t="inlineStr">
        <is>
          <t>X</t>
        </is>
      </c>
      <c r="BG367" t="inlineStr">
        <is>
          <t>X</t>
        </is>
      </c>
      <c r="BH367" t="inlineStr">
        <is>
          <t>X</t>
        </is>
      </c>
      <c r="BI367" t="inlineStr">
        <is>
          <t>X</t>
        </is>
      </c>
      <c r="BJ367" t="inlineStr">
        <is>
          <t>X</t>
        </is>
      </c>
      <c r="BL367" t="inlineStr">
        <is>
          <t>X</t>
        </is>
      </c>
      <c r="BP367" t="inlineStr">
        <is>
          <t>X</t>
        </is>
      </c>
      <c r="BR367" t="inlineStr">
        <is>
          <t>X</t>
        </is>
      </c>
      <c r="BS367" t="inlineStr">
        <is>
          <t>X</t>
        </is>
      </c>
      <c r="BT367" t="inlineStr">
        <is>
          <t>X</t>
        </is>
      </c>
      <c r="BV367" t="inlineStr">
        <is>
          <t>X</t>
        </is>
      </c>
      <c r="BY367" t="inlineStr">
        <is>
          <t>R</t>
        </is>
      </c>
      <c r="CA367" t="inlineStr">
        <is>
          <t>X</t>
        </is>
      </c>
      <c r="CG367" t="inlineStr">
        <is>
          <t>X</t>
        </is>
      </c>
      <c r="CH367" t="inlineStr">
        <is>
          <t>R</t>
        </is>
      </c>
      <c r="CK367" t="inlineStr">
        <is>
          <t>X</t>
        </is>
      </c>
      <c r="CN367" t="inlineStr">
        <is>
          <t>X</t>
        </is>
      </c>
      <c r="CO367" t="inlineStr">
        <is>
          <t>R</t>
        </is>
      </c>
      <c r="CP367" t="inlineStr">
        <is>
          <t>X</t>
        </is>
      </c>
      <c r="CT367" t="inlineStr">
        <is>
          <t>X</t>
        </is>
      </c>
      <c r="CV367" t="inlineStr">
        <is>
          <t>X</t>
        </is>
      </c>
      <c r="CY367" t="inlineStr">
        <is>
          <t>X</t>
        </is>
      </c>
      <c r="CZ367" t="inlineStr">
        <is>
          <t>R</t>
        </is>
      </c>
      <c r="DC367" t="inlineStr">
        <is>
          <t>X</t>
        </is>
      </c>
      <c r="DF367" t="inlineStr">
        <is>
          <t>X</t>
        </is>
      </c>
      <c r="DG367" t="inlineStr">
        <is>
          <t>R</t>
        </is>
      </c>
      <c r="DI367" t="inlineStr">
        <is>
          <t>X</t>
        </is>
      </c>
      <c r="DL367" t="inlineStr">
        <is>
          <t>X</t>
        </is>
      </c>
      <c r="DN367" t="inlineStr">
        <is>
          <t>X</t>
        </is>
      </c>
      <c r="DR367" t="inlineStr">
        <is>
          <t>X</t>
        </is>
      </c>
      <c r="DS367" t="inlineStr">
        <is>
          <t>R</t>
        </is>
      </c>
      <c r="DT367" t="inlineStr">
        <is>
          <t>R</t>
        </is>
      </c>
      <c r="DU367" t="inlineStr">
        <is>
          <t>X</t>
        </is>
      </c>
      <c r="DW367" t="inlineStr">
        <is>
          <t>X</t>
        </is>
      </c>
      <c r="DX367" t="inlineStr">
        <is>
          <t>X</t>
        </is>
      </c>
      <c r="EA367" t="inlineStr">
        <is>
          <t>X</t>
        </is>
      </c>
      <c r="ED367" t="inlineStr">
        <is>
          <t>R</t>
        </is>
      </c>
      <c r="EF367" t="inlineStr">
        <is>
          <t>X</t>
        </is>
      </c>
      <c r="EH367" t="inlineStr">
        <is>
          <t>X</t>
        </is>
      </c>
    </row>
    <row r="368">
      <c r="A368" t="inlineStr">
        <is>
          <t>OH0026446532</t>
        </is>
      </c>
      <c r="B368" t="n">
        <v>78</v>
      </c>
      <c r="C368" t="n">
        <v>462454</v>
      </c>
      <c r="D368" t="inlineStr">
        <is>
          <t>GUMP</t>
        </is>
      </c>
      <c r="E368" t="inlineStr">
        <is>
          <t>JASON</t>
        </is>
      </c>
      <c r="F368">
        <f>CONCATENATE(D368," ",LEFT(H368,4),"T=",AU368,"D=",AV368,"R=",AW368,"M=",AX368,"L=",AY368,"B=",AZ368)</f>
        <v/>
      </c>
      <c r="G368" t="inlineStr">
        <is>
          <t>R</t>
        </is>
      </c>
      <c r="I368" t="inlineStr">
        <is>
          <t>1980-10-17</t>
        </is>
      </c>
      <c r="J368" t="inlineStr">
        <is>
          <t>2023-04-29</t>
        </is>
      </c>
      <c r="K368" t="inlineStr">
        <is>
          <t>ACTIVE</t>
        </is>
      </c>
      <c r="M368" t="inlineStr">
        <is>
          <t>636 WOODBINE AVE SE</t>
        </is>
      </c>
      <c r="N368">
        <f>RIGHT(M368,LEN(M368)-FIND(" ",M368))</f>
        <v/>
      </c>
      <c r="P368" t="inlineStr">
        <is>
          <t>WARREN</t>
        </is>
      </c>
      <c r="Q368" t="inlineStr">
        <is>
          <t>OH</t>
        </is>
      </c>
      <c r="R368" t="n">
        <v>44483</v>
      </c>
      <c r="AD368" t="inlineStr">
        <is>
          <t>TRUMBULL CAREER &amp; TECH CENTER</t>
        </is>
      </c>
      <c r="AE368" t="inlineStr">
        <is>
          <t>WARREN CITY</t>
        </is>
      </c>
      <c r="AF368" t="inlineStr">
        <is>
          <t>WARREN CITY SD</t>
        </is>
      </c>
      <c r="AH368" t="n">
        <v>14</v>
      </c>
      <c r="AI368" t="n">
        <v>11</v>
      </c>
      <c r="AN368" t="inlineStr">
        <is>
          <t>WARREN</t>
        </is>
      </c>
      <c r="AO368" t="inlineStr">
        <is>
          <t>WARREN CITY 4A</t>
        </is>
      </c>
      <c r="AP368" t="inlineStr">
        <is>
          <t>78-P-ADI</t>
        </is>
      </c>
      <c r="AQ368" t="n">
        <v>9</v>
      </c>
      <c r="AR368" t="n">
        <v>64</v>
      </c>
      <c r="AS368" t="n">
        <v>32</v>
      </c>
      <c r="AU368">
        <f>COUNTA($BA$368:$EH$368)</f>
        <v/>
      </c>
      <c r="AV368">
        <f>COUNTIF($BA$368:$EH$368,"D")</f>
        <v/>
      </c>
      <c r="AW368">
        <f>COUNTIF($BA$368:$EH$368,"R")</f>
        <v/>
      </c>
      <c r="AX368">
        <f>IF(BN368="D",1,0)+IF(BO368="D",1,0)+IF(BT368="D",1,0)+IF(BU368="D",1,0)+IF(BW368="D",1,0)+IF(CC368="D",1,0)+IF(CD368="D",1,0)+IF(CE368="D",1,0)+IF(CF368="D",1,0)+IF(CL368="D",1,0)+IF(CM368="D",1,0)+IF(CQ368="D",1,0)+IF(CR368="D",1,0)+IF(CS368="D",1,0)+IF(CW368="D",1,0)+IF(CX368="D",1,0)+IF(DD368="D",1,0)+IF(DE368="D",1,0)+IF(DJ368="D",1,0)+IF(DK368="D",1,0)+IF(DO368="D",1,0)+IF(DP368="D",1,0)+IF(DQ368="D",1,0)+IF(DW368="D",1,0)+IF(DZ368="D",1,0)+IF(EH368="D",1,0)</f>
        <v/>
      </c>
      <c r="AY368">
        <f>IF(DJ368&lt;&gt;"",1,0)+IF(DK368&lt;&gt;"",1,0)+IF(DM368&lt;&gt;"",1,0)+IF(DO368&lt;&gt;"",1,0)+IF(DP368&lt;&gt;"",1,0)+IF(DQ368&lt;&gt;"",1,0)+IF(DS368&lt;&gt;"",1,0)+IF(DT368&lt;&gt;"",1,0)+IF(DV368&lt;&gt;"",1,0)+IF(DW368&lt;&gt;"",1,0)+IF(DX368&lt;&gt;"",1,0)+IF(DY368&lt;&gt;"",1,0)+IF(DZ368&lt;&gt;"",1,0)+IF(EB368&lt;&gt;"",1,0)+IF(EC368&lt;&gt;"",1,0)+IF(ED368&lt;&gt;"",1,0)+IF(EG368&lt;&gt;"",1,0)+IF(EH368&lt;&gt;"",1,0)</f>
        <v/>
      </c>
      <c r="AZ368">
        <f>IF(EH368&lt;&gt;"",1,0)</f>
        <v/>
      </c>
      <c r="BB368" t="inlineStr">
        <is>
          <t>WARREN-WARD 4</t>
        </is>
      </c>
      <c r="BD368" t="inlineStr">
        <is>
          <t>X</t>
        </is>
      </c>
      <c r="CA368" t="inlineStr">
        <is>
          <t>X</t>
        </is>
      </c>
      <c r="CK368" t="inlineStr">
        <is>
          <t>X</t>
        </is>
      </c>
      <c r="CN368" t="inlineStr">
        <is>
          <t>X</t>
        </is>
      </c>
      <c r="CP368" t="inlineStr">
        <is>
          <t>X</t>
        </is>
      </c>
    </row>
    <row r="369">
      <c r="A369" t="inlineStr">
        <is>
          <t>OH0022780534</t>
        </is>
      </c>
      <c r="B369" t="n">
        <v>78</v>
      </c>
      <c r="C369" t="n">
        <v>402333</v>
      </c>
      <c r="D369" t="inlineStr">
        <is>
          <t>CAMPBELL</t>
        </is>
      </c>
      <c r="E369" t="inlineStr">
        <is>
          <t>MARCELLUS</t>
        </is>
      </c>
      <c r="F369">
        <f>CONCATENATE(D369," ",LEFT(H369,4),"T=",AU369,"D=",AV369,"R=",AW369,"M=",AX369,"L=",AY369,"B=",AZ369)</f>
        <v/>
      </c>
      <c r="G369" t="inlineStr">
        <is>
          <t>W</t>
        </is>
      </c>
      <c r="I369" t="inlineStr">
        <is>
          <t>1995-02-20</t>
        </is>
      </c>
      <c r="J369" t="inlineStr">
        <is>
          <t>2018-06-01</t>
        </is>
      </c>
      <c r="K369" t="inlineStr">
        <is>
          <t>CONFIRMATION</t>
        </is>
      </c>
      <c r="M369" t="inlineStr">
        <is>
          <t>829 KENILWORTH AVE SE</t>
        </is>
      </c>
      <c r="N369">
        <f>RIGHT(M369,LEN(M369)-FIND(" ",M369))</f>
        <v/>
      </c>
      <c r="P369" t="inlineStr">
        <is>
          <t>WARREN</t>
        </is>
      </c>
      <c r="Q369" t="inlineStr">
        <is>
          <t>OH</t>
        </is>
      </c>
      <c r="R369" t="n">
        <v>44484</v>
      </c>
      <c r="AD369" t="inlineStr">
        <is>
          <t>TRUMBULL CAREER &amp; TECH CENTER</t>
        </is>
      </c>
      <c r="AE369" t="inlineStr">
        <is>
          <t>WARREN CITY</t>
        </is>
      </c>
      <c r="AF369" t="inlineStr">
        <is>
          <t>WARREN CITY SD</t>
        </is>
      </c>
      <c r="AH369" t="n">
        <v>14</v>
      </c>
      <c r="AI369" t="n">
        <v>11</v>
      </c>
      <c r="AN369" t="inlineStr">
        <is>
          <t>WARREN</t>
        </is>
      </c>
      <c r="AO369" t="inlineStr">
        <is>
          <t>WARREN CITY 4A</t>
        </is>
      </c>
      <c r="AP369" t="inlineStr">
        <is>
          <t>78-P-ADI</t>
        </is>
      </c>
      <c r="AQ369" t="n">
        <v>9</v>
      </c>
      <c r="AR369" t="n">
        <v>64</v>
      </c>
      <c r="AS369" t="n">
        <v>32</v>
      </c>
      <c r="AU369">
        <f>COUNTA($BA$369:$EH$369)</f>
        <v/>
      </c>
      <c r="AV369">
        <f>COUNTIF($BA$369:$EH$369,"D")</f>
        <v/>
      </c>
      <c r="AW369">
        <f>COUNTIF($BA$369:$EH$369,"R")</f>
        <v/>
      </c>
      <c r="AX369">
        <f>IF(BN369="D",1,0)+IF(BO369="D",1,0)+IF(BT369="D",1,0)+IF(BU369="D",1,0)+IF(BW369="D",1,0)+IF(CC369="D",1,0)+IF(CD369="D",1,0)+IF(CE369="D",1,0)+IF(CF369="D",1,0)+IF(CL369="D",1,0)+IF(CM369="D",1,0)+IF(CQ369="D",1,0)+IF(CR369="D",1,0)+IF(CS369="D",1,0)+IF(CW369="D",1,0)+IF(CX369="D",1,0)+IF(DD369="D",1,0)+IF(DE369="D",1,0)+IF(DJ369="D",1,0)+IF(DK369="D",1,0)+IF(DO369="D",1,0)+IF(DP369="D",1,0)+IF(DQ369="D",1,0)+IF(DW369="D",1,0)+IF(DZ369="D",1,0)+IF(EH369="D",1,0)</f>
        <v/>
      </c>
      <c r="AY369">
        <f>IF(DJ369&lt;&gt;"",1,0)+IF(DK369&lt;&gt;"",1,0)+IF(DM369&lt;&gt;"",1,0)+IF(DO369&lt;&gt;"",1,0)+IF(DP369&lt;&gt;"",1,0)+IF(DQ369&lt;&gt;"",1,0)+IF(DS369&lt;&gt;"",1,0)+IF(DT369&lt;&gt;"",1,0)+IF(DV369&lt;&gt;"",1,0)+IF(DW369&lt;&gt;"",1,0)+IF(DX369&lt;&gt;"",1,0)+IF(DY369&lt;&gt;"",1,0)+IF(DZ369&lt;&gt;"",1,0)+IF(EB369&lt;&gt;"",1,0)+IF(EC369&lt;&gt;"",1,0)+IF(ED369&lt;&gt;"",1,0)+IF(EG369&lt;&gt;"",1,0)+IF(EH369&lt;&gt;"",1,0)</f>
        <v/>
      </c>
      <c r="AZ369">
        <f>IF(EH369&lt;&gt;"",1,0)</f>
        <v/>
      </c>
      <c r="BB369" t="inlineStr">
        <is>
          <t>WARREN-WARD 4</t>
        </is>
      </c>
    </row>
    <row r="370">
      <c r="A370" t="inlineStr">
        <is>
          <t>OH0015707919</t>
        </is>
      </c>
      <c r="B370" t="n">
        <v>78</v>
      </c>
      <c r="C370" t="n">
        <v>172380</v>
      </c>
      <c r="D370" t="inlineStr">
        <is>
          <t>SMITH</t>
        </is>
      </c>
      <c r="E370" t="inlineStr">
        <is>
          <t>GREGORY</t>
        </is>
      </c>
      <c r="F370">
        <f>CONCATENATE(D370," ",LEFT(H370,4),"T=",AU370,"D=",AV370,"R=",AW370,"M=",AX370,"L=",AY370,"B=",AZ370)</f>
        <v/>
      </c>
      <c r="G370" t="inlineStr">
        <is>
          <t>A</t>
        </is>
      </c>
      <c r="I370" t="inlineStr">
        <is>
          <t>1951-04-17</t>
        </is>
      </c>
      <c r="J370" t="inlineStr">
        <is>
          <t>1984-08-31</t>
        </is>
      </c>
      <c r="K370" t="inlineStr">
        <is>
          <t>ACTIVE</t>
        </is>
      </c>
      <c r="L370" t="inlineStr">
        <is>
          <t>D</t>
        </is>
      </c>
      <c r="M370" t="inlineStr">
        <is>
          <t>182 KENILWORTH AVE SE</t>
        </is>
      </c>
      <c r="N370">
        <f>RIGHT(M370,LEN(M370)-FIND(" ",M370))</f>
        <v/>
      </c>
      <c r="P370" t="inlineStr">
        <is>
          <t>WARREN</t>
        </is>
      </c>
      <c r="Q370" t="inlineStr">
        <is>
          <t>OH</t>
        </is>
      </c>
      <c r="R370" t="n">
        <v>44483</v>
      </c>
      <c r="AD370" t="inlineStr">
        <is>
          <t>TRUMBULL CAREER &amp; TECH CENTER</t>
        </is>
      </c>
      <c r="AE370" t="inlineStr">
        <is>
          <t>WARREN CITY</t>
        </is>
      </c>
      <c r="AF370" t="inlineStr">
        <is>
          <t>WARREN CITY SD</t>
        </is>
      </c>
      <c r="AH370" t="n">
        <v>14</v>
      </c>
      <c r="AI370" t="n">
        <v>11</v>
      </c>
      <c r="AN370" t="inlineStr">
        <is>
          <t>WARREN</t>
        </is>
      </c>
      <c r="AO370" t="inlineStr">
        <is>
          <t>WARREN CITY 4A</t>
        </is>
      </c>
      <c r="AP370" t="inlineStr">
        <is>
          <t>78-P-ADI</t>
        </is>
      </c>
      <c r="AQ370" t="n">
        <v>9</v>
      </c>
      <c r="AR370" t="n">
        <v>64</v>
      </c>
      <c r="AS370" t="n">
        <v>32</v>
      </c>
      <c r="AU370">
        <f>COUNTA($BA$370:$EH$370)</f>
        <v/>
      </c>
      <c r="AV370">
        <f>COUNTIF($BA$370:$EH$370,"D")</f>
        <v/>
      </c>
      <c r="AW370">
        <f>COUNTIF($BA$370:$EH$370,"R")</f>
        <v/>
      </c>
      <c r="AX370">
        <f>IF(BN370="D",1,0)+IF(BO370="D",1,0)+IF(BT370="D",1,0)+IF(BU370="D",1,0)+IF(BW370="D",1,0)+IF(CC370="D",1,0)+IF(CD370="D",1,0)+IF(CE370="D",1,0)+IF(CF370="D",1,0)+IF(CL370="D",1,0)+IF(CM370="D",1,0)+IF(CQ370="D",1,0)+IF(CR370="D",1,0)+IF(CS370="D",1,0)+IF(CW370="D",1,0)+IF(CX370="D",1,0)+IF(DD370="D",1,0)+IF(DE370="D",1,0)+IF(DJ370="D",1,0)+IF(DK370="D",1,0)+IF(DO370="D",1,0)+IF(DP370="D",1,0)+IF(DQ370="D",1,0)+IF(DW370="D",1,0)+IF(DZ370="D",1,0)+IF(EH370="D",1,0)</f>
        <v/>
      </c>
      <c r="AY370">
        <f>IF(DJ370&lt;&gt;"",1,0)+IF(DK370&lt;&gt;"",1,0)+IF(DM370&lt;&gt;"",1,0)+IF(DO370&lt;&gt;"",1,0)+IF(DP370&lt;&gt;"",1,0)+IF(DQ370&lt;&gt;"",1,0)+IF(DS370&lt;&gt;"",1,0)+IF(DT370&lt;&gt;"",1,0)+IF(DV370&lt;&gt;"",1,0)+IF(DW370&lt;&gt;"",1,0)+IF(DX370&lt;&gt;"",1,0)+IF(DY370&lt;&gt;"",1,0)+IF(DZ370&lt;&gt;"",1,0)+IF(EB370&lt;&gt;"",1,0)+IF(EC370&lt;&gt;"",1,0)+IF(ED370&lt;&gt;"",1,0)+IF(EG370&lt;&gt;"",1,0)+IF(EH370&lt;&gt;"",1,0)</f>
        <v/>
      </c>
      <c r="AZ370">
        <f>IF(EH370&lt;&gt;"",1,0)</f>
        <v/>
      </c>
      <c r="BB370" t="inlineStr">
        <is>
          <t>WARREN-WARD 4</t>
        </is>
      </c>
      <c r="BC370" t="inlineStr">
        <is>
          <t>X</t>
        </is>
      </c>
      <c r="BD370" t="inlineStr">
        <is>
          <t>X</t>
        </is>
      </c>
      <c r="BE370" t="inlineStr">
        <is>
          <t>X</t>
        </is>
      </c>
      <c r="BF370" t="inlineStr">
        <is>
          <t>X</t>
        </is>
      </c>
      <c r="BH370" t="inlineStr">
        <is>
          <t>X</t>
        </is>
      </c>
      <c r="BI370" t="inlineStr">
        <is>
          <t>X</t>
        </is>
      </c>
      <c r="BJ370" t="inlineStr">
        <is>
          <t>X</t>
        </is>
      </c>
      <c r="BK370" t="inlineStr">
        <is>
          <t>X</t>
        </is>
      </c>
      <c r="BL370" t="inlineStr">
        <is>
          <t>X</t>
        </is>
      </c>
      <c r="BP370" t="inlineStr">
        <is>
          <t>X</t>
        </is>
      </c>
      <c r="BR370" t="inlineStr">
        <is>
          <t>X</t>
        </is>
      </c>
      <c r="BS370" t="inlineStr">
        <is>
          <t>X</t>
        </is>
      </c>
      <c r="BV370" t="inlineStr">
        <is>
          <t>X</t>
        </is>
      </c>
      <c r="BY370" t="inlineStr">
        <is>
          <t>D</t>
        </is>
      </c>
      <c r="CA370" t="inlineStr">
        <is>
          <t>X</t>
        </is>
      </c>
      <c r="CG370" t="inlineStr">
        <is>
          <t>X</t>
        </is>
      </c>
      <c r="CH370" t="inlineStr">
        <is>
          <t>D</t>
        </is>
      </c>
      <c r="CK370" t="inlineStr">
        <is>
          <t>X</t>
        </is>
      </c>
      <c r="CL370" t="inlineStr">
        <is>
          <t>D</t>
        </is>
      </c>
      <c r="CN370" t="inlineStr">
        <is>
          <t>X</t>
        </is>
      </c>
      <c r="CO370" t="inlineStr">
        <is>
          <t>D</t>
        </is>
      </c>
      <c r="CP370" t="inlineStr">
        <is>
          <t>X</t>
        </is>
      </c>
      <c r="CT370" t="inlineStr">
        <is>
          <t>X</t>
        </is>
      </c>
      <c r="CW370" t="inlineStr">
        <is>
          <t>D</t>
        </is>
      </c>
      <c r="CY370" t="inlineStr">
        <is>
          <t>X</t>
        </is>
      </c>
      <c r="CZ370" t="inlineStr">
        <is>
          <t>D</t>
        </is>
      </c>
      <c r="DC370" t="inlineStr">
        <is>
          <t>X</t>
        </is>
      </c>
      <c r="DF370" t="inlineStr">
        <is>
          <t>X</t>
        </is>
      </c>
      <c r="DG370" t="inlineStr">
        <is>
          <t>D</t>
        </is>
      </c>
      <c r="DI370" t="inlineStr">
        <is>
          <t>X</t>
        </is>
      </c>
      <c r="DL370" t="inlineStr">
        <is>
          <t>X</t>
        </is>
      </c>
      <c r="DM370" t="inlineStr">
        <is>
          <t>D</t>
        </is>
      </c>
      <c r="DN370" t="inlineStr">
        <is>
          <t>X</t>
        </is>
      </c>
      <c r="DS370" t="inlineStr">
        <is>
          <t>D</t>
        </is>
      </c>
      <c r="DT370" t="inlineStr">
        <is>
          <t>D</t>
        </is>
      </c>
      <c r="DU370" t="inlineStr">
        <is>
          <t>X</t>
        </is>
      </c>
      <c r="DX370" t="inlineStr">
        <is>
          <t>X</t>
        </is>
      </c>
      <c r="EA370" t="inlineStr">
        <is>
          <t>X</t>
        </is>
      </c>
      <c r="EF370" t="inlineStr">
        <is>
          <t>X</t>
        </is>
      </c>
    </row>
    <row r="371">
      <c r="A371" t="inlineStr">
        <is>
          <t>OH0025584407</t>
        </is>
      </c>
      <c r="B371" t="n">
        <v>78</v>
      </c>
      <c r="C371" t="n">
        <v>446808</v>
      </c>
      <c r="D371" t="inlineStr">
        <is>
          <t>SMOCK</t>
        </is>
      </c>
      <c r="E371" t="inlineStr">
        <is>
          <t>JENNIE</t>
        </is>
      </c>
      <c r="F371">
        <f>CONCATENATE(D371," ",LEFT(H371,4),"T=",AU371,"D=",AV371,"R=",AW371,"M=",AX371,"L=",AY371,"B=",AZ371)</f>
        <v/>
      </c>
      <c r="G371" t="inlineStr">
        <is>
          <t>LYN</t>
        </is>
      </c>
      <c r="I371" t="inlineStr">
        <is>
          <t>1975-03-09</t>
        </is>
      </c>
      <c r="J371" t="inlineStr">
        <is>
          <t>2024-03-13</t>
        </is>
      </c>
      <c r="K371" t="inlineStr">
        <is>
          <t>ACTIVE</t>
        </is>
      </c>
      <c r="M371" t="inlineStr">
        <is>
          <t>354 ADELAIDE AVE SE</t>
        </is>
      </c>
      <c r="N371">
        <f>RIGHT(M371,LEN(M371)-FIND(" ",M371))</f>
        <v/>
      </c>
      <c r="P371" t="inlineStr">
        <is>
          <t>WARREN</t>
        </is>
      </c>
      <c r="Q371" t="inlineStr">
        <is>
          <t>OH</t>
        </is>
      </c>
      <c r="R371" t="n">
        <v>44483</v>
      </c>
      <c r="AD371" t="inlineStr">
        <is>
          <t>TRUMBULL CAREER &amp; TECH CENTER</t>
        </is>
      </c>
      <c r="AE371" t="inlineStr">
        <is>
          <t>WARREN CITY</t>
        </is>
      </c>
      <c r="AF371" t="inlineStr">
        <is>
          <t>WARREN CITY SD</t>
        </is>
      </c>
      <c r="AH371" t="n">
        <v>14</v>
      </c>
      <c r="AI371" t="n">
        <v>11</v>
      </c>
      <c r="AN371" t="inlineStr">
        <is>
          <t>WARREN</t>
        </is>
      </c>
      <c r="AO371" t="inlineStr">
        <is>
          <t>WARREN CITY 4A</t>
        </is>
      </c>
      <c r="AP371" t="inlineStr">
        <is>
          <t>78-P-ADI</t>
        </is>
      </c>
      <c r="AQ371" t="n">
        <v>9</v>
      </c>
      <c r="AR371" t="n">
        <v>64</v>
      </c>
      <c r="AS371" t="n">
        <v>32</v>
      </c>
      <c r="AU371">
        <f>COUNTA($BA$371:$EH$371)</f>
        <v/>
      </c>
      <c r="AV371">
        <f>COUNTIF($BA$371:$EH$371,"D")</f>
        <v/>
      </c>
      <c r="AW371">
        <f>COUNTIF($BA$371:$EH$371,"R")</f>
        <v/>
      </c>
      <c r="AX371">
        <f>IF(BN371="D",1,0)+IF(BO371="D",1,0)+IF(BT371="D",1,0)+IF(BU371="D",1,0)+IF(BW371="D",1,0)+IF(CC371="D",1,0)+IF(CD371="D",1,0)+IF(CE371="D",1,0)+IF(CF371="D",1,0)+IF(CL371="D",1,0)+IF(CM371="D",1,0)+IF(CQ371="D",1,0)+IF(CR371="D",1,0)+IF(CS371="D",1,0)+IF(CW371="D",1,0)+IF(CX371="D",1,0)+IF(DD371="D",1,0)+IF(DE371="D",1,0)+IF(DJ371="D",1,0)+IF(DK371="D",1,0)+IF(DO371="D",1,0)+IF(DP371="D",1,0)+IF(DQ371="D",1,0)+IF(DW371="D",1,0)+IF(DZ371="D",1,0)+IF(EH371="D",1,0)</f>
        <v/>
      </c>
      <c r="AY371">
        <f>IF(DJ371&lt;&gt;"",1,0)+IF(DK371&lt;&gt;"",1,0)+IF(DM371&lt;&gt;"",1,0)+IF(DO371&lt;&gt;"",1,0)+IF(DP371&lt;&gt;"",1,0)+IF(DQ371&lt;&gt;"",1,0)+IF(DS371&lt;&gt;"",1,0)+IF(DT371&lt;&gt;"",1,0)+IF(DV371&lt;&gt;"",1,0)+IF(DW371&lt;&gt;"",1,0)+IF(DX371&lt;&gt;"",1,0)+IF(DY371&lt;&gt;"",1,0)+IF(DZ371&lt;&gt;"",1,0)+IF(EB371&lt;&gt;"",1,0)+IF(EC371&lt;&gt;"",1,0)+IF(ED371&lt;&gt;"",1,0)+IF(EG371&lt;&gt;"",1,0)+IF(EH371&lt;&gt;"",1,0)</f>
        <v/>
      </c>
      <c r="AZ371">
        <f>IF(EH371&lt;&gt;"",1,0)</f>
        <v/>
      </c>
      <c r="BB371" t="inlineStr">
        <is>
          <t>WARREN-WARD 4</t>
        </is>
      </c>
      <c r="DN371" t="inlineStr">
        <is>
          <t>X</t>
        </is>
      </c>
      <c r="DU371" t="inlineStr">
        <is>
          <t>X</t>
        </is>
      </c>
      <c r="DX371" t="inlineStr">
        <is>
          <t>X</t>
        </is>
      </c>
      <c r="EF371" t="inlineStr">
        <is>
          <t>X</t>
        </is>
      </c>
    </row>
    <row r="372">
      <c r="A372" t="inlineStr">
        <is>
          <t>OH0015784188</t>
        </is>
      </c>
      <c r="B372" t="n">
        <v>78</v>
      </c>
      <c r="C372" t="n">
        <v>291697</v>
      </c>
      <c r="D372" t="inlineStr">
        <is>
          <t>SMITH MCGILL</t>
        </is>
      </c>
      <c r="E372" t="inlineStr">
        <is>
          <t>SARAH</t>
        </is>
      </c>
      <c r="F372">
        <f>CONCATENATE(D372," ",LEFT(H372,4),"T=",AU372,"D=",AV372,"R=",AW372,"M=",AX372,"L=",AY372,"B=",AZ372)</f>
        <v/>
      </c>
      <c r="G372" t="inlineStr">
        <is>
          <t>MARIE</t>
        </is>
      </c>
      <c r="I372" t="inlineStr">
        <is>
          <t>1981-12-31</t>
        </is>
      </c>
      <c r="J372" t="inlineStr">
        <is>
          <t>2023-06-10</t>
        </is>
      </c>
      <c r="K372" t="inlineStr">
        <is>
          <t>ACTIVE</t>
        </is>
      </c>
      <c r="M372" t="inlineStr">
        <is>
          <t>182 KENILWORTH AVE SE</t>
        </is>
      </c>
      <c r="N372">
        <f>RIGHT(M372,LEN(M372)-FIND(" ",M372))</f>
        <v/>
      </c>
      <c r="P372" t="inlineStr">
        <is>
          <t>WARREN</t>
        </is>
      </c>
      <c r="Q372" t="inlineStr">
        <is>
          <t>OH</t>
        </is>
      </c>
      <c r="R372" t="n">
        <v>44483</v>
      </c>
      <c r="AD372" t="inlineStr">
        <is>
          <t>TRUMBULL CAREER &amp; TECH CENTER</t>
        </is>
      </c>
      <c r="AE372" t="inlineStr">
        <is>
          <t>WARREN CITY</t>
        </is>
      </c>
      <c r="AF372" t="inlineStr">
        <is>
          <t>WARREN CITY SD</t>
        </is>
      </c>
      <c r="AH372" t="n">
        <v>14</v>
      </c>
      <c r="AI372" t="n">
        <v>11</v>
      </c>
      <c r="AN372" t="inlineStr">
        <is>
          <t>WARREN</t>
        </is>
      </c>
      <c r="AO372" t="inlineStr">
        <is>
          <t>WARREN CITY 4A</t>
        </is>
      </c>
      <c r="AP372" t="inlineStr">
        <is>
          <t>78-P-ADI</t>
        </is>
      </c>
      <c r="AQ372" t="n">
        <v>9</v>
      </c>
      <c r="AR372" t="n">
        <v>64</v>
      </c>
      <c r="AS372" t="n">
        <v>32</v>
      </c>
      <c r="AU372">
        <f>COUNTA($BA$372:$EH$372)</f>
        <v/>
      </c>
      <c r="AV372">
        <f>COUNTIF($BA$372:$EH$372,"D")</f>
        <v/>
      </c>
      <c r="AW372">
        <f>COUNTIF($BA$372:$EH$372,"R")</f>
        <v/>
      </c>
      <c r="AX372">
        <f>IF(BN372="D",1,0)+IF(BO372="D",1,0)+IF(BT372="D",1,0)+IF(BU372="D",1,0)+IF(BW372="D",1,0)+IF(CC372="D",1,0)+IF(CD372="D",1,0)+IF(CE372="D",1,0)+IF(CF372="D",1,0)+IF(CL372="D",1,0)+IF(CM372="D",1,0)+IF(CQ372="D",1,0)+IF(CR372="D",1,0)+IF(CS372="D",1,0)+IF(CW372="D",1,0)+IF(CX372="D",1,0)+IF(DD372="D",1,0)+IF(DE372="D",1,0)+IF(DJ372="D",1,0)+IF(DK372="D",1,0)+IF(DO372="D",1,0)+IF(DP372="D",1,0)+IF(DQ372="D",1,0)+IF(DW372="D",1,0)+IF(DZ372="D",1,0)+IF(EH372="D",1,0)</f>
        <v/>
      </c>
      <c r="AY372">
        <f>IF(DJ372&lt;&gt;"",1,0)+IF(DK372&lt;&gt;"",1,0)+IF(DM372&lt;&gt;"",1,0)+IF(DO372&lt;&gt;"",1,0)+IF(DP372&lt;&gt;"",1,0)+IF(DQ372&lt;&gt;"",1,0)+IF(DS372&lt;&gt;"",1,0)+IF(DT372&lt;&gt;"",1,0)+IF(DV372&lt;&gt;"",1,0)+IF(DW372&lt;&gt;"",1,0)+IF(DX372&lt;&gt;"",1,0)+IF(DY372&lt;&gt;"",1,0)+IF(DZ372&lt;&gt;"",1,0)+IF(EB372&lt;&gt;"",1,0)+IF(EC372&lt;&gt;"",1,0)+IF(ED372&lt;&gt;"",1,0)+IF(EG372&lt;&gt;"",1,0)+IF(EH372&lt;&gt;"",1,0)</f>
        <v/>
      </c>
      <c r="AZ372">
        <f>IF(EH372&lt;&gt;"",1,0)</f>
        <v/>
      </c>
      <c r="BB372" t="inlineStr">
        <is>
          <t>WARREN-WARD 4</t>
        </is>
      </c>
      <c r="BC372" t="inlineStr">
        <is>
          <t>X</t>
        </is>
      </c>
      <c r="BD372" t="inlineStr">
        <is>
          <t>X</t>
        </is>
      </c>
      <c r="BI372" t="inlineStr">
        <is>
          <t>X</t>
        </is>
      </c>
      <c r="BL372" t="inlineStr">
        <is>
          <t>X</t>
        </is>
      </c>
      <c r="BS372" t="inlineStr">
        <is>
          <t>X</t>
        </is>
      </c>
      <c r="CA372" t="inlineStr">
        <is>
          <t>X</t>
        </is>
      </c>
      <c r="CP372" t="inlineStr">
        <is>
          <t>X</t>
        </is>
      </c>
      <c r="CU372" t="inlineStr">
        <is>
          <t>D</t>
        </is>
      </c>
      <c r="DD372" t="inlineStr">
        <is>
          <t>D</t>
        </is>
      </c>
      <c r="EA372" t="inlineStr">
        <is>
          <t>X</t>
        </is>
      </c>
      <c r="EF372" t="inlineStr">
        <is>
          <t>X</t>
        </is>
      </c>
    </row>
    <row r="373">
      <c r="A373" t="inlineStr">
        <is>
          <t>OH0023647351</t>
        </is>
      </c>
      <c r="B373" t="n">
        <v>78</v>
      </c>
      <c r="C373" t="n">
        <v>416043</v>
      </c>
      <c r="D373" t="inlineStr">
        <is>
          <t>STAPLETON</t>
        </is>
      </c>
      <c r="E373" t="inlineStr">
        <is>
          <t>JONATHON</t>
        </is>
      </c>
      <c r="F373">
        <f>CONCATENATE(D373," ",LEFT(H373,4),"T=",AU373,"D=",AV373,"R=",AW373,"M=",AX373,"L=",AY373,"B=",AZ373)</f>
        <v/>
      </c>
      <c r="G373" t="inlineStr">
        <is>
          <t>M</t>
        </is>
      </c>
      <c r="I373" t="inlineStr">
        <is>
          <t>1994-07-18</t>
        </is>
      </c>
      <c r="J373" t="inlineStr">
        <is>
          <t>2016-04-22</t>
        </is>
      </c>
      <c r="K373" t="inlineStr">
        <is>
          <t>CONFIRMATION</t>
        </is>
      </c>
      <c r="M373" t="inlineStr">
        <is>
          <t>539 HOMEWOOD AVE SE</t>
        </is>
      </c>
      <c r="N373">
        <f>RIGHT(M373,LEN(M373)-FIND(" ",M373))</f>
        <v/>
      </c>
      <c r="P373" t="inlineStr">
        <is>
          <t>WARREN</t>
        </is>
      </c>
      <c r="Q373" t="inlineStr">
        <is>
          <t>OH</t>
        </is>
      </c>
      <c r="R373" t="n">
        <v>44483</v>
      </c>
      <c r="AD373" t="inlineStr">
        <is>
          <t>TRUMBULL CAREER &amp; TECH CENTER</t>
        </is>
      </c>
      <c r="AE373" t="inlineStr">
        <is>
          <t>WARREN CITY</t>
        </is>
      </c>
      <c r="AF373" t="inlineStr">
        <is>
          <t>WARREN CITY SD</t>
        </is>
      </c>
      <c r="AH373" t="n">
        <v>14</v>
      </c>
      <c r="AI373" t="n">
        <v>11</v>
      </c>
      <c r="AN373" t="inlineStr">
        <is>
          <t>WARREN</t>
        </is>
      </c>
      <c r="AO373" t="inlineStr">
        <is>
          <t>WARREN CITY 4A</t>
        </is>
      </c>
      <c r="AP373" t="inlineStr">
        <is>
          <t>78-P-ADI</t>
        </is>
      </c>
      <c r="AQ373" t="n">
        <v>9</v>
      </c>
      <c r="AR373" t="n">
        <v>64</v>
      </c>
      <c r="AS373" t="n">
        <v>32</v>
      </c>
      <c r="AU373">
        <f>COUNTA($BA$373:$EH$373)</f>
        <v/>
      </c>
      <c r="AV373">
        <f>COUNTIF($BA$373:$EH$373,"D")</f>
        <v/>
      </c>
      <c r="AW373">
        <f>COUNTIF($BA$373:$EH$373,"R")</f>
        <v/>
      </c>
      <c r="AX373">
        <f>IF(BN373="D",1,0)+IF(BO373="D",1,0)+IF(BT373="D",1,0)+IF(BU373="D",1,0)+IF(BW373="D",1,0)+IF(CC373="D",1,0)+IF(CD373="D",1,0)+IF(CE373="D",1,0)+IF(CF373="D",1,0)+IF(CL373="D",1,0)+IF(CM373="D",1,0)+IF(CQ373="D",1,0)+IF(CR373="D",1,0)+IF(CS373="D",1,0)+IF(CW373="D",1,0)+IF(CX373="D",1,0)+IF(DD373="D",1,0)+IF(DE373="D",1,0)+IF(DJ373="D",1,0)+IF(DK373="D",1,0)+IF(DO373="D",1,0)+IF(DP373="D",1,0)+IF(DQ373="D",1,0)+IF(DW373="D",1,0)+IF(DZ373="D",1,0)+IF(EH373="D",1,0)</f>
        <v/>
      </c>
      <c r="AY373">
        <f>IF(DJ373&lt;&gt;"",1,0)+IF(DK373&lt;&gt;"",1,0)+IF(DM373&lt;&gt;"",1,0)+IF(DO373&lt;&gt;"",1,0)+IF(DP373&lt;&gt;"",1,0)+IF(DQ373&lt;&gt;"",1,0)+IF(DS373&lt;&gt;"",1,0)+IF(DT373&lt;&gt;"",1,0)+IF(DV373&lt;&gt;"",1,0)+IF(DW373&lt;&gt;"",1,0)+IF(DX373&lt;&gt;"",1,0)+IF(DY373&lt;&gt;"",1,0)+IF(DZ373&lt;&gt;"",1,0)+IF(EB373&lt;&gt;"",1,0)+IF(EC373&lt;&gt;"",1,0)+IF(ED373&lt;&gt;"",1,0)+IF(EG373&lt;&gt;"",1,0)+IF(EH373&lt;&gt;"",1,0)</f>
        <v/>
      </c>
      <c r="AZ373">
        <f>IF(EH373&lt;&gt;"",1,0)</f>
        <v/>
      </c>
      <c r="BB373" t="inlineStr">
        <is>
          <t>WARREN-WARD 4</t>
        </is>
      </c>
    </row>
    <row r="374">
      <c r="A374" t="inlineStr">
        <is>
          <t>OH0026540477</t>
        </is>
      </c>
      <c r="B374" t="n">
        <v>78</v>
      </c>
      <c r="C374" t="n">
        <v>464030</v>
      </c>
      <c r="D374" t="inlineStr">
        <is>
          <t>CHIN</t>
        </is>
      </c>
      <c r="E374" t="inlineStr">
        <is>
          <t>NICODEMUS</t>
        </is>
      </c>
      <c r="F374">
        <f>CONCATENATE(D374," ",LEFT(H374,4),"T=",AU374,"D=",AV374,"R=",AW374,"M=",AX374,"L=",AY374,"B=",AZ374)</f>
        <v/>
      </c>
      <c r="G374" t="inlineStr">
        <is>
          <t>WING</t>
        </is>
      </c>
      <c r="I374" t="inlineStr">
        <is>
          <t>2004-04-27</t>
        </is>
      </c>
      <c r="J374" t="inlineStr">
        <is>
          <t>2022-06-18</t>
        </is>
      </c>
      <c r="K374" t="inlineStr">
        <is>
          <t>ACTIVE</t>
        </is>
      </c>
      <c r="M374" t="inlineStr">
        <is>
          <t>796 EAST AVE SE</t>
        </is>
      </c>
      <c r="N374">
        <f>RIGHT(M374,LEN(M374)-FIND(" ",M374))</f>
        <v/>
      </c>
      <c r="P374" t="inlineStr">
        <is>
          <t>WARREN</t>
        </is>
      </c>
      <c r="Q374" t="inlineStr">
        <is>
          <t>OH</t>
        </is>
      </c>
      <c r="R374" t="n">
        <v>44484</v>
      </c>
      <c r="AD374" t="inlineStr">
        <is>
          <t>TRUMBULL CAREER &amp; TECH CENTER</t>
        </is>
      </c>
      <c r="AE374" t="inlineStr">
        <is>
          <t>WARREN CITY</t>
        </is>
      </c>
      <c r="AF374" t="inlineStr">
        <is>
          <t>WARREN CITY SD</t>
        </is>
      </c>
      <c r="AH374" t="n">
        <v>14</v>
      </c>
      <c r="AI374" t="n">
        <v>11</v>
      </c>
      <c r="AN374" t="inlineStr">
        <is>
          <t>WARREN</t>
        </is>
      </c>
      <c r="AO374" t="inlineStr">
        <is>
          <t>WARREN CITY 4A</t>
        </is>
      </c>
      <c r="AP374" t="inlineStr">
        <is>
          <t>78-P-ADI</t>
        </is>
      </c>
      <c r="AQ374" t="n">
        <v>9</v>
      </c>
      <c r="AR374" t="n">
        <v>64</v>
      </c>
      <c r="AS374" t="n">
        <v>32</v>
      </c>
      <c r="AU374">
        <f>COUNTA($BA$374:$EH$374)</f>
        <v/>
      </c>
      <c r="AV374">
        <f>COUNTIF($BA$374:$EH$374,"D")</f>
        <v/>
      </c>
      <c r="AW374">
        <f>COUNTIF($BA$374:$EH$374,"R")</f>
        <v/>
      </c>
      <c r="AX374">
        <f>IF(BN374="D",1,0)+IF(BO374="D",1,0)+IF(BT374="D",1,0)+IF(BU374="D",1,0)+IF(BW374="D",1,0)+IF(CC374="D",1,0)+IF(CD374="D",1,0)+IF(CE374="D",1,0)+IF(CF374="D",1,0)+IF(CL374="D",1,0)+IF(CM374="D",1,0)+IF(CQ374="D",1,0)+IF(CR374="D",1,0)+IF(CS374="D",1,0)+IF(CW374="D",1,0)+IF(CX374="D",1,0)+IF(DD374="D",1,0)+IF(DE374="D",1,0)+IF(DJ374="D",1,0)+IF(DK374="D",1,0)+IF(DO374="D",1,0)+IF(DP374="D",1,0)+IF(DQ374="D",1,0)+IF(DW374="D",1,0)+IF(DZ374="D",1,0)+IF(EH374="D",1,0)</f>
        <v/>
      </c>
      <c r="AY374">
        <f>IF(DJ374&lt;&gt;"",1,0)+IF(DK374&lt;&gt;"",1,0)+IF(DM374&lt;&gt;"",1,0)+IF(DO374&lt;&gt;"",1,0)+IF(DP374&lt;&gt;"",1,0)+IF(DQ374&lt;&gt;"",1,0)+IF(DS374&lt;&gt;"",1,0)+IF(DT374&lt;&gt;"",1,0)+IF(DV374&lt;&gt;"",1,0)+IF(DW374&lt;&gt;"",1,0)+IF(DX374&lt;&gt;"",1,0)+IF(DY374&lt;&gt;"",1,0)+IF(DZ374&lt;&gt;"",1,0)+IF(EB374&lt;&gt;"",1,0)+IF(EC374&lt;&gt;"",1,0)+IF(ED374&lt;&gt;"",1,0)+IF(EG374&lt;&gt;"",1,0)+IF(EH374&lt;&gt;"",1,0)</f>
        <v/>
      </c>
      <c r="AZ374">
        <f>IF(EH374&lt;&gt;"",1,0)</f>
        <v/>
      </c>
      <c r="BB374" t="inlineStr">
        <is>
          <t>WARREN-WARD 4</t>
        </is>
      </c>
      <c r="EF374" t="inlineStr">
        <is>
          <t>X</t>
        </is>
      </c>
    </row>
    <row r="375">
      <c r="A375" t="inlineStr">
        <is>
          <t>OH0024013661</t>
        </is>
      </c>
      <c r="B375" t="n">
        <v>78</v>
      </c>
      <c r="C375" t="n">
        <v>421082</v>
      </c>
      <c r="D375" t="inlineStr">
        <is>
          <t>ABNER</t>
        </is>
      </c>
      <c r="E375" t="inlineStr">
        <is>
          <t>JOHN</t>
        </is>
      </c>
      <c r="F375">
        <f>CONCATENATE(D375," ",LEFT(H375,4),"T=",AU375,"D=",AV375,"R=",AW375,"M=",AX375,"L=",AY375,"B=",AZ375)</f>
        <v/>
      </c>
      <c r="G375" t="inlineStr">
        <is>
          <t>R</t>
        </is>
      </c>
      <c r="H375" t="inlineStr">
        <is>
          <t>IV</t>
        </is>
      </c>
      <c r="I375" t="inlineStr">
        <is>
          <t>1998-02-17</t>
        </is>
      </c>
      <c r="J375" t="inlineStr">
        <is>
          <t>2016-09-28</t>
        </is>
      </c>
      <c r="K375" t="inlineStr">
        <is>
          <t>CONFIRMATION</t>
        </is>
      </c>
      <c r="M375" t="inlineStr">
        <is>
          <t>325 BONNIE BRAE AVE SE</t>
        </is>
      </c>
      <c r="N375">
        <f>RIGHT(M375,LEN(M375)-FIND(" ",M375))</f>
        <v/>
      </c>
      <c r="P375" t="inlineStr">
        <is>
          <t>WARREN</t>
        </is>
      </c>
      <c r="Q375" t="inlineStr">
        <is>
          <t>OH</t>
        </is>
      </c>
      <c r="R375" t="n">
        <v>44484</v>
      </c>
      <c r="AD375" t="inlineStr">
        <is>
          <t>TRUMBULL CAREER &amp; TECH CENTER</t>
        </is>
      </c>
      <c r="AE375" t="inlineStr">
        <is>
          <t>WARREN CITY</t>
        </is>
      </c>
      <c r="AF375" t="inlineStr">
        <is>
          <t>WARREN CITY SD</t>
        </is>
      </c>
      <c r="AH375" t="n">
        <v>14</v>
      </c>
      <c r="AI375" t="n">
        <v>11</v>
      </c>
      <c r="AN375" t="inlineStr">
        <is>
          <t>WARREN</t>
        </is>
      </c>
      <c r="AO375" t="inlineStr">
        <is>
          <t>WARREN CITY 4A</t>
        </is>
      </c>
      <c r="AP375" t="inlineStr">
        <is>
          <t>78-P-ADI</t>
        </is>
      </c>
      <c r="AQ375" t="n">
        <v>9</v>
      </c>
      <c r="AR375" t="n">
        <v>64</v>
      </c>
      <c r="AS375" t="n">
        <v>32</v>
      </c>
      <c r="AU375">
        <f>COUNTA($BA$375:$EH$375)</f>
        <v/>
      </c>
      <c r="AV375">
        <f>COUNTIF($BA$375:$EH$375,"D")</f>
        <v/>
      </c>
      <c r="AW375">
        <f>COUNTIF($BA$375:$EH$375,"R")</f>
        <v/>
      </c>
      <c r="AX375">
        <f>IF(BN375="D",1,0)+IF(BO375="D",1,0)+IF(BT375="D",1,0)+IF(BU375="D",1,0)+IF(BW375="D",1,0)+IF(CC375="D",1,0)+IF(CD375="D",1,0)+IF(CE375="D",1,0)+IF(CF375="D",1,0)+IF(CL375="D",1,0)+IF(CM375="D",1,0)+IF(CQ375="D",1,0)+IF(CR375="D",1,0)+IF(CS375="D",1,0)+IF(CW375="D",1,0)+IF(CX375="D",1,0)+IF(DD375="D",1,0)+IF(DE375="D",1,0)+IF(DJ375="D",1,0)+IF(DK375="D",1,0)+IF(DO375="D",1,0)+IF(DP375="D",1,0)+IF(DQ375="D",1,0)+IF(DW375="D",1,0)+IF(DZ375="D",1,0)+IF(EH375="D",1,0)</f>
        <v/>
      </c>
      <c r="AY375">
        <f>IF(DJ375&lt;&gt;"",1,0)+IF(DK375&lt;&gt;"",1,0)+IF(DM375&lt;&gt;"",1,0)+IF(DO375&lt;&gt;"",1,0)+IF(DP375&lt;&gt;"",1,0)+IF(DQ375&lt;&gt;"",1,0)+IF(DS375&lt;&gt;"",1,0)+IF(DT375&lt;&gt;"",1,0)+IF(DV375&lt;&gt;"",1,0)+IF(DW375&lt;&gt;"",1,0)+IF(DX375&lt;&gt;"",1,0)+IF(DY375&lt;&gt;"",1,0)+IF(DZ375&lt;&gt;"",1,0)+IF(EB375&lt;&gt;"",1,0)+IF(EC375&lt;&gt;"",1,0)+IF(ED375&lt;&gt;"",1,0)+IF(EG375&lt;&gt;"",1,0)+IF(EH375&lt;&gt;"",1,0)</f>
        <v/>
      </c>
      <c r="AZ375">
        <f>IF(EH375&lt;&gt;"",1,0)</f>
        <v/>
      </c>
      <c r="BB375" t="inlineStr">
        <is>
          <t>WARREN-WARD 4</t>
        </is>
      </c>
      <c r="DC375" t="inlineStr">
        <is>
          <t>X</t>
        </is>
      </c>
    </row>
    <row r="376">
      <c r="A376" t="inlineStr">
        <is>
          <t>OH0025385355</t>
        </is>
      </c>
      <c r="B376" t="n">
        <v>78</v>
      </c>
      <c r="C376" t="n">
        <v>443849</v>
      </c>
      <c r="D376" t="inlineStr">
        <is>
          <t>DODGE</t>
        </is>
      </c>
      <c r="E376" t="inlineStr">
        <is>
          <t>MICHAEL</t>
        </is>
      </c>
      <c r="F376">
        <f>CONCATENATE(D376," ",LEFT(H376,4),"T=",AU376,"D=",AV376,"R=",AW376,"M=",AX376,"L=",AY376,"B=",AZ376)</f>
        <v/>
      </c>
      <c r="G376" t="inlineStr">
        <is>
          <t>G</t>
        </is>
      </c>
      <c r="I376" t="inlineStr">
        <is>
          <t>1967-01-11</t>
        </is>
      </c>
      <c r="J376" t="inlineStr">
        <is>
          <t>2020-01-31</t>
        </is>
      </c>
      <c r="K376" t="inlineStr">
        <is>
          <t>ACTIVE</t>
        </is>
      </c>
      <c r="M376" t="inlineStr">
        <is>
          <t>548 WOODBINE AVE SE</t>
        </is>
      </c>
      <c r="N376">
        <f>RIGHT(M376,LEN(M376)-FIND(" ",M376))</f>
        <v/>
      </c>
      <c r="P376" t="inlineStr">
        <is>
          <t>WARREN</t>
        </is>
      </c>
      <c r="Q376" t="inlineStr">
        <is>
          <t>OH</t>
        </is>
      </c>
      <c r="R376" t="n">
        <v>44483</v>
      </c>
      <c r="AD376" t="inlineStr">
        <is>
          <t>TRUMBULL CAREER &amp; TECH CENTER</t>
        </is>
      </c>
      <c r="AE376" t="inlineStr">
        <is>
          <t>WARREN CITY</t>
        </is>
      </c>
      <c r="AF376" t="inlineStr">
        <is>
          <t>WARREN CITY SD</t>
        </is>
      </c>
      <c r="AH376" t="n">
        <v>14</v>
      </c>
      <c r="AI376" t="n">
        <v>11</v>
      </c>
      <c r="AN376" t="inlineStr">
        <is>
          <t>WARREN</t>
        </is>
      </c>
      <c r="AO376" t="inlineStr">
        <is>
          <t>WARREN CITY 4A</t>
        </is>
      </c>
      <c r="AP376" t="inlineStr">
        <is>
          <t>78-P-ADI</t>
        </is>
      </c>
      <c r="AQ376" t="n">
        <v>9</v>
      </c>
      <c r="AR376" t="n">
        <v>64</v>
      </c>
      <c r="AS376" t="n">
        <v>32</v>
      </c>
      <c r="AU376">
        <f>COUNTA($BA$376:$EH$376)</f>
        <v/>
      </c>
      <c r="AV376">
        <f>COUNTIF($BA$376:$EH$376,"D")</f>
        <v/>
      </c>
      <c r="AW376">
        <f>COUNTIF($BA$376:$EH$376,"R")</f>
        <v/>
      </c>
      <c r="AX376">
        <f>IF(BN376="D",1,0)+IF(BO376="D",1,0)+IF(BT376="D",1,0)+IF(BU376="D",1,0)+IF(BW376="D",1,0)+IF(CC376="D",1,0)+IF(CD376="D",1,0)+IF(CE376="D",1,0)+IF(CF376="D",1,0)+IF(CL376="D",1,0)+IF(CM376="D",1,0)+IF(CQ376="D",1,0)+IF(CR376="D",1,0)+IF(CS376="D",1,0)+IF(CW376="D",1,0)+IF(CX376="D",1,0)+IF(DD376="D",1,0)+IF(DE376="D",1,0)+IF(DJ376="D",1,0)+IF(DK376="D",1,0)+IF(DO376="D",1,0)+IF(DP376="D",1,0)+IF(DQ376="D",1,0)+IF(DW376="D",1,0)+IF(DZ376="D",1,0)+IF(EH376="D",1,0)</f>
        <v/>
      </c>
      <c r="AY376">
        <f>IF(DJ376&lt;&gt;"",1,0)+IF(DK376&lt;&gt;"",1,0)+IF(DM376&lt;&gt;"",1,0)+IF(DO376&lt;&gt;"",1,0)+IF(DP376&lt;&gt;"",1,0)+IF(DQ376&lt;&gt;"",1,0)+IF(DS376&lt;&gt;"",1,0)+IF(DT376&lt;&gt;"",1,0)+IF(DV376&lt;&gt;"",1,0)+IF(DW376&lt;&gt;"",1,0)+IF(DX376&lt;&gt;"",1,0)+IF(DY376&lt;&gt;"",1,0)+IF(DZ376&lt;&gt;"",1,0)+IF(EB376&lt;&gt;"",1,0)+IF(EC376&lt;&gt;"",1,0)+IF(ED376&lt;&gt;"",1,0)+IF(EG376&lt;&gt;"",1,0)+IF(EH376&lt;&gt;"",1,0)</f>
        <v/>
      </c>
      <c r="AZ376">
        <f>IF(EH376&lt;&gt;"",1,0)</f>
        <v/>
      </c>
      <c r="BB376" t="inlineStr">
        <is>
          <t>WARREN-WARD 4</t>
        </is>
      </c>
      <c r="DM376" t="inlineStr">
        <is>
          <t>R</t>
        </is>
      </c>
      <c r="DN376" t="inlineStr">
        <is>
          <t>X</t>
        </is>
      </c>
      <c r="DU376" t="inlineStr">
        <is>
          <t>X</t>
        </is>
      </c>
      <c r="DW376" t="inlineStr">
        <is>
          <t>X</t>
        </is>
      </c>
      <c r="EA376" t="inlineStr">
        <is>
          <t>X</t>
        </is>
      </c>
      <c r="EF376" t="inlineStr">
        <is>
          <t>X</t>
        </is>
      </c>
    </row>
    <row r="377">
      <c r="A377" t="inlineStr">
        <is>
          <t>OH0015714025</t>
        </is>
      </c>
      <c r="B377" t="n">
        <v>78</v>
      </c>
      <c r="C377" t="n">
        <v>187146</v>
      </c>
      <c r="D377" t="inlineStr">
        <is>
          <t>MONTECALVO</t>
        </is>
      </c>
      <c r="E377" t="inlineStr">
        <is>
          <t>HOLLY</t>
        </is>
      </c>
      <c r="F377">
        <f>CONCATENATE(D377," ",LEFT(H377,4),"T=",AU377,"D=",AV377,"R=",AW377,"M=",AX377,"L=",AY377,"B=",AZ377)</f>
        <v/>
      </c>
      <c r="G377" t="inlineStr">
        <is>
          <t>M</t>
        </is>
      </c>
      <c r="I377" t="inlineStr">
        <is>
          <t>1967-12-03</t>
        </is>
      </c>
      <c r="J377" t="inlineStr">
        <is>
          <t>2022-07-02</t>
        </is>
      </c>
      <c r="K377" t="inlineStr">
        <is>
          <t>ACTIVE</t>
        </is>
      </c>
      <c r="L377" t="inlineStr">
        <is>
          <t>D</t>
        </is>
      </c>
      <c r="M377" t="inlineStr">
        <is>
          <t>729 BONNIE BRAE AVE SE</t>
        </is>
      </c>
      <c r="N377">
        <f>RIGHT(M377,LEN(M377)-FIND(" ",M377))</f>
        <v/>
      </c>
      <c r="P377" t="inlineStr">
        <is>
          <t>WARREN</t>
        </is>
      </c>
      <c r="Q377" t="inlineStr">
        <is>
          <t>OH</t>
        </is>
      </c>
      <c r="R377" t="n">
        <v>44484</v>
      </c>
      <c r="AD377" t="inlineStr">
        <is>
          <t>TRUMBULL CAREER &amp; TECH CENTER</t>
        </is>
      </c>
      <c r="AE377" t="inlineStr">
        <is>
          <t>WARREN CITY</t>
        </is>
      </c>
      <c r="AF377" t="inlineStr">
        <is>
          <t>WARREN CITY SD</t>
        </is>
      </c>
      <c r="AH377" t="n">
        <v>14</v>
      </c>
      <c r="AI377" t="n">
        <v>11</v>
      </c>
      <c r="AN377" t="inlineStr">
        <is>
          <t>WARREN</t>
        </is>
      </c>
      <c r="AO377" t="inlineStr">
        <is>
          <t>WARREN CITY 4A</t>
        </is>
      </c>
      <c r="AP377" t="inlineStr">
        <is>
          <t>78-P-ADI</t>
        </is>
      </c>
      <c r="AQ377" t="n">
        <v>9</v>
      </c>
      <c r="AR377" t="n">
        <v>64</v>
      </c>
      <c r="AS377" t="n">
        <v>32</v>
      </c>
      <c r="AU377">
        <f>COUNTA($BA$377:$EH$377)</f>
        <v/>
      </c>
      <c r="AV377">
        <f>COUNTIF($BA$377:$EH$377,"D")</f>
        <v/>
      </c>
      <c r="AW377">
        <f>COUNTIF($BA$377:$EH$377,"R")</f>
        <v/>
      </c>
      <c r="AX377">
        <f>IF(BN377="D",1,0)+IF(BO377="D",1,0)+IF(BT377="D",1,0)+IF(BU377="D",1,0)+IF(BW377="D",1,0)+IF(CC377="D",1,0)+IF(CD377="D",1,0)+IF(CE377="D",1,0)+IF(CF377="D",1,0)+IF(CL377="D",1,0)+IF(CM377="D",1,0)+IF(CQ377="D",1,0)+IF(CR377="D",1,0)+IF(CS377="D",1,0)+IF(CW377="D",1,0)+IF(CX377="D",1,0)+IF(DD377="D",1,0)+IF(DE377="D",1,0)+IF(DJ377="D",1,0)+IF(DK377="D",1,0)+IF(DO377="D",1,0)+IF(DP377="D",1,0)+IF(DQ377="D",1,0)+IF(DW377="D",1,0)+IF(DZ377="D",1,0)+IF(EH377="D",1,0)</f>
        <v/>
      </c>
      <c r="AY377">
        <f>IF(DJ377&lt;&gt;"",1,0)+IF(DK377&lt;&gt;"",1,0)+IF(DM377&lt;&gt;"",1,0)+IF(DO377&lt;&gt;"",1,0)+IF(DP377&lt;&gt;"",1,0)+IF(DQ377&lt;&gt;"",1,0)+IF(DS377&lt;&gt;"",1,0)+IF(DT377&lt;&gt;"",1,0)+IF(DV377&lt;&gt;"",1,0)+IF(DW377&lt;&gt;"",1,0)+IF(DX377&lt;&gt;"",1,0)+IF(DY377&lt;&gt;"",1,0)+IF(DZ377&lt;&gt;"",1,0)+IF(EB377&lt;&gt;"",1,0)+IF(EC377&lt;&gt;"",1,0)+IF(ED377&lt;&gt;"",1,0)+IF(EG377&lt;&gt;"",1,0)+IF(EH377&lt;&gt;"",1,0)</f>
        <v/>
      </c>
      <c r="AZ377">
        <f>IF(EH377&lt;&gt;"",1,0)</f>
        <v/>
      </c>
      <c r="BB377" t="inlineStr">
        <is>
          <t>WARREN-WARD 4</t>
        </is>
      </c>
      <c r="BC377" t="inlineStr">
        <is>
          <t>X</t>
        </is>
      </c>
      <c r="BD377" t="inlineStr">
        <is>
          <t>X</t>
        </is>
      </c>
      <c r="BE377" t="inlineStr">
        <is>
          <t>X</t>
        </is>
      </c>
      <c r="BH377" t="inlineStr">
        <is>
          <t>X</t>
        </is>
      </c>
      <c r="BI377" t="inlineStr">
        <is>
          <t>X</t>
        </is>
      </c>
      <c r="BK377" t="inlineStr">
        <is>
          <t>X</t>
        </is>
      </c>
      <c r="BR377" t="inlineStr">
        <is>
          <t>X</t>
        </is>
      </c>
      <c r="BS377" t="inlineStr">
        <is>
          <t>X</t>
        </is>
      </c>
      <c r="BV377" t="inlineStr">
        <is>
          <t>X</t>
        </is>
      </c>
      <c r="CA377" t="inlineStr">
        <is>
          <t>X</t>
        </is>
      </c>
      <c r="CC377" t="inlineStr">
        <is>
          <t>D</t>
        </is>
      </c>
      <c r="CH377" t="inlineStr">
        <is>
          <t>D</t>
        </is>
      </c>
      <c r="CL377" t="inlineStr">
        <is>
          <t>D</t>
        </is>
      </c>
      <c r="CN377" t="inlineStr">
        <is>
          <t>X</t>
        </is>
      </c>
      <c r="DJ377" t="inlineStr">
        <is>
          <t>D</t>
        </is>
      </c>
      <c r="DN377" t="inlineStr">
        <is>
          <t>X</t>
        </is>
      </c>
      <c r="DW377" t="inlineStr">
        <is>
          <t>D</t>
        </is>
      </c>
      <c r="EF377" t="inlineStr">
        <is>
          <t>X</t>
        </is>
      </c>
    </row>
    <row r="378">
      <c r="A378" t="inlineStr">
        <is>
          <t>OH0025593488</t>
        </is>
      </c>
      <c r="B378" t="n">
        <v>78</v>
      </c>
      <c r="C378" t="n">
        <v>447019</v>
      </c>
      <c r="D378" t="inlineStr">
        <is>
          <t>CORAM</t>
        </is>
      </c>
      <c r="E378" t="inlineStr">
        <is>
          <t>DEANA</t>
        </is>
      </c>
      <c r="F378">
        <f>CONCATENATE(D378," ",LEFT(H378,4),"T=",AU378,"D=",AV378,"R=",AW378,"M=",AX378,"L=",AY378,"B=",AZ378)</f>
        <v/>
      </c>
      <c r="G378" t="inlineStr">
        <is>
          <t>KARIM</t>
        </is>
      </c>
      <c r="I378" t="inlineStr">
        <is>
          <t>1993-04-23</t>
        </is>
      </c>
      <c r="J378" t="inlineStr">
        <is>
          <t>2022-07-01</t>
        </is>
      </c>
      <c r="K378" t="inlineStr">
        <is>
          <t>ACTIVE</t>
        </is>
      </c>
      <c r="M378" t="inlineStr">
        <is>
          <t>414 WOODBINE AVE SE</t>
        </is>
      </c>
      <c r="N378">
        <f>RIGHT(M378,LEN(M378)-FIND(" ",M378))</f>
        <v/>
      </c>
      <c r="P378" t="inlineStr">
        <is>
          <t>WARREN</t>
        </is>
      </c>
      <c r="Q378" t="inlineStr">
        <is>
          <t>OH</t>
        </is>
      </c>
      <c r="R378" t="n">
        <v>44483</v>
      </c>
      <c r="AD378" t="inlineStr">
        <is>
          <t>TRUMBULL CAREER &amp; TECH CENTER</t>
        </is>
      </c>
      <c r="AE378" t="inlineStr">
        <is>
          <t>WARREN CITY</t>
        </is>
      </c>
      <c r="AF378" t="inlineStr">
        <is>
          <t>WARREN CITY SD</t>
        </is>
      </c>
      <c r="AH378" t="n">
        <v>14</v>
      </c>
      <c r="AI378" t="n">
        <v>11</v>
      </c>
      <c r="AN378" t="inlineStr">
        <is>
          <t>WARREN</t>
        </is>
      </c>
      <c r="AO378" t="inlineStr">
        <is>
          <t>WARREN CITY 4A</t>
        </is>
      </c>
      <c r="AP378" t="inlineStr">
        <is>
          <t>78-P-ADI</t>
        </is>
      </c>
      <c r="AQ378" t="n">
        <v>9</v>
      </c>
      <c r="AR378" t="n">
        <v>64</v>
      </c>
      <c r="AS378" t="n">
        <v>32</v>
      </c>
      <c r="AU378">
        <f>COUNTA($BA$378:$EH$378)</f>
        <v/>
      </c>
      <c r="AV378">
        <f>COUNTIF($BA$378:$EH$378,"D")</f>
        <v/>
      </c>
      <c r="AW378">
        <f>COUNTIF($BA$378:$EH$378,"R")</f>
        <v/>
      </c>
      <c r="AX378">
        <f>IF(BN378="D",1,0)+IF(BO378="D",1,0)+IF(BT378="D",1,0)+IF(BU378="D",1,0)+IF(BW378="D",1,0)+IF(CC378="D",1,0)+IF(CD378="D",1,0)+IF(CE378="D",1,0)+IF(CF378="D",1,0)+IF(CL378="D",1,0)+IF(CM378="D",1,0)+IF(CQ378="D",1,0)+IF(CR378="D",1,0)+IF(CS378="D",1,0)+IF(CW378="D",1,0)+IF(CX378="D",1,0)+IF(DD378="D",1,0)+IF(DE378="D",1,0)+IF(DJ378="D",1,0)+IF(DK378="D",1,0)+IF(DO378="D",1,0)+IF(DP378="D",1,0)+IF(DQ378="D",1,0)+IF(DW378="D",1,0)+IF(DZ378="D",1,0)+IF(EH378="D",1,0)</f>
        <v/>
      </c>
      <c r="AY378">
        <f>IF(DJ378&lt;&gt;"",1,0)+IF(DK378&lt;&gt;"",1,0)+IF(DM378&lt;&gt;"",1,0)+IF(DO378&lt;&gt;"",1,0)+IF(DP378&lt;&gt;"",1,0)+IF(DQ378&lt;&gt;"",1,0)+IF(DS378&lt;&gt;"",1,0)+IF(DT378&lt;&gt;"",1,0)+IF(DV378&lt;&gt;"",1,0)+IF(DW378&lt;&gt;"",1,0)+IF(DX378&lt;&gt;"",1,0)+IF(DY378&lt;&gt;"",1,0)+IF(DZ378&lt;&gt;"",1,0)+IF(EB378&lt;&gt;"",1,0)+IF(EC378&lt;&gt;"",1,0)+IF(ED378&lt;&gt;"",1,0)+IF(EG378&lt;&gt;"",1,0)+IF(EH378&lt;&gt;"",1,0)</f>
        <v/>
      </c>
      <c r="AZ378">
        <f>IF(EH378&lt;&gt;"",1,0)</f>
        <v/>
      </c>
      <c r="BB378" t="inlineStr">
        <is>
          <t>WARREN-WARD 4</t>
        </is>
      </c>
      <c r="EF378" t="inlineStr">
        <is>
          <t>X</t>
        </is>
      </c>
    </row>
    <row r="379">
      <c r="A379" t="inlineStr">
        <is>
          <t>OH0015777567</t>
        </is>
      </c>
      <c r="B379" t="n">
        <v>78</v>
      </c>
      <c r="C379" t="n">
        <v>309569</v>
      </c>
      <c r="D379" t="inlineStr">
        <is>
          <t>MORSE</t>
        </is>
      </c>
      <c r="E379" t="inlineStr">
        <is>
          <t>REBECCA</t>
        </is>
      </c>
      <c r="F379">
        <f>CONCATENATE(D379," ",LEFT(H379,4),"T=",AU379,"D=",AV379,"R=",AW379,"M=",AX379,"L=",AY379,"B=",AZ379)</f>
        <v/>
      </c>
      <c r="G379" t="inlineStr">
        <is>
          <t>L</t>
        </is>
      </c>
      <c r="I379" t="inlineStr">
        <is>
          <t>1975-07-31</t>
        </is>
      </c>
      <c r="J379" t="inlineStr">
        <is>
          <t>2020-08-06</t>
        </is>
      </c>
      <c r="K379" t="inlineStr">
        <is>
          <t>CONFIRMATION</t>
        </is>
      </c>
      <c r="M379" t="inlineStr">
        <is>
          <t>801 OAK KNOLL AVE SE</t>
        </is>
      </c>
      <c r="N379">
        <f>RIGHT(M379,LEN(M379)-FIND(" ",M379))</f>
        <v/>
      </c>
      <c r="P379" t="inlineStr">
        <is>
          <t>WARREN</t>
        </is>
      </c>
      <c r="Q379" t="inlineStr">
        <is>
          <t>OH</t>
        </is>
      </c>
      <c r="R379" t="n">
        <v>44484</v>
      </c>
      <c r="AD379" t="inlineStr">
        <is>
          <t>TRUMBULL CAREER &amp; TECH CENTER</t>
        </is>
      </c>
      <c r="AE379" t="inlineStr">
        <is>
          <t>WARREN CITY</t>
        </is>
      </c>
      <c r="AF379" t="inlineStr">
        <is>
          <t>WARREN CITY SD</t>
        </is>
      </c>
      <c r="AH379" t="n">
        <v>14</v>
      </c>
      <c r="AI379" t="n">
        <v>11</v>
      </c>
      <c r="AN379" t="inlineStr">
        <is>
          <t>WARREN</t>
        </is>
      </c>
      <c r="AO379" t="inlineStr">
        <is>
          <t>WARREN CITY 4A</t>
        </is>
      </c>
      <c r="AP379" t="inlineStr">
        <is>
          <t>78-P-ADI</t>
        </is>
      </c>
      <c r="AQ379" t="n">
        <v>9</v>
      </c>
      <c r="AR379" t="n">
        <v>64</v>
      </c>
      <c r="AS379" t="n">
        <v>32</v>
      </c>
      <c r="AU379">
        <f>COUNTA($BA$379:$EH$379)</f>
        <v/>
      </c>
      <c r="AV379">
        <f>COUNTIF($BA$379:$EH$379,"D")</f>
        <v/>
      </c>
      <c r="AW379">
        <f>COUNTIF($BA$379:$EH$379,"R")</f>
        <v/>
      </c>
      <c r="AX379">
        <f>IF(BN379="D",1,0)+IF(BO379="D",1,0)+IF(BT379="D",1,0)+IF(BU379="D",1,0)+IF(BW379="D",1,0)+IF(CC379="D",1,0)+IF(CD379="D",1,0)+IF(CE379="D",1,0)+IF(CF379="D",1,0)+IF(CL379="D",1,0)+IF(CM379="D",1,0)+IF(CQ379="D",1,0)+IF(CR379="D",1,0)+IF(CS379="D",1,0)+IF(CW379="D",1,0)+IF(CX379="D",1,0)+IF(DD379="D",1,0)+IF(DE379="D",1,0)+IF(DJ379="D",1,0)+IF(DK379="D",1,0)+IF(DO379="D",1,0)+IF(DP379="D",1,0)+IF(DQ379="D",1,0)+IF(DW379="D",1,0)+IF(DZ379="D",1,0)+IF(EH379="D",1,0)</f>
        <v/>
      </c>
      <c r="AY379">
        <f>IF(DJ379&lt;&gt;"",1,0)+IF(DK379&lt;&gt;"",1,0)+IF(DM379&lt;&gt;"",1,0)+IF(DO379&lt;&gt;"",1,0)+IF(DP379&lt;&gt;"",1,0)+IF(DQ379&lt;&gt;"",1,0)+IF(DS379&lt;&gt;"",1,0)+IF(DT379&lt;&gt;"",1,0)+IF(DV379&lt;&gt;"",1,0)+IF(DW379&lt;&gt;"",1,0)+IF(DX379&lt;&gt;"",1,0)+IF(DY379&lt;&gt;"",1,0)+IF(DZ379&lt;&gt;"",1,0)+IF(EB379&lt;&gt;"",1,0)+IF(EC379&lt;&gt;"",1,0)+IF(ED379&lt;&gt;"",1,0)+IF(EG379&lt;&gt;"",1,0)+IF(EH379&lt;&gt;"",1,0)</f>
        <v/>
      </c>
      <c r="AZ379">
        <f>IF(EH379&lt;&gt;"",1,0)</f>
        <v/>
      </c>
      <c r="BB379" t="inlineStr">
        <is>
          <t>WARREN-WARD 4</t>
        </is>
      </c>
      <c r="BL379" t="inlineStr">
        <is>
          <t>X</t>
        </is>
      </c>
      <c r="BS379" t="inlineStr">
        <is>
          <t>X</t>
        </is>
      </c>
      <c r="CA379" t="inlineStr">
        <is>
          <t>X</t>
        </is>
      </c>
      <c r="CN379" t="inlineStr">
        <is>
          <t>X</t>
        </is>
      </c>
      <c r="CP379" t="inlineStr">
        <is>
          <t>X</t>
        </is>
      </c>
      <c r="CV379" t="inlineStr">
        <is>
          <t>X</t>
        </is>
      </c>
    </row>
    <row r="380">
      <c r="A380" t="inlineStr">
        <is>
          <t>OH0015725437</t>
        </is>
      </c>
      <c r="B380" t="n">
        <v>78</v>
      </c>
      <c r="C380" t="n">
        <v>296594</v>
      </c>
      <c r="D380" t="inlineStr">
        <is>
          <t>WALSH</t>
        </is>
      </c>
      <c r="E380" t="inlineStr">
        <is>
          <t>JAHONNA</t>
        </is>
      </c>
      <c r="F380">
        <f>CONCATENATE(D380," ",LEFT(H380,4),"T=",AU380,"D=",AV380,"R=",AW380,"M=",AX380,"L=",AY380,"B=",AZ380)</f>
        <v/>
      </c>
      <c r="G380" t="inlineStr">
        <is>
          <t>C</t>
        </is>
      </c>
      <c r="I380" t="inlineStr">
        <is>
          <t>1982-07-24</t>
        </is>
      </c>
      <c r="J380" t="inlineStr">
        <is>
          <t>2019-08-24</t>
        </is>
      </c>
      <c r="K380" t="inlineStr">
        <is>
          <t>CONFIRMATION</t>
        </is>
      </c>
      <c r="M380" t="inlineStr">
        <is>
          <t>521 KENILWORTH AVE SE</t>
        </is>
      </c>
      <c r="N380">
        <f>RIGHT(M380,LEN(M380)-FIND(" ",M380))</f>
        <v/>
      </c>
      <c r="P380" t="inlineStr">
        <is>
          <t>WARREN</t>
        </is>
      </c>
      <c r="Q380" t="inlineStr">
        <is>
          <t>OH</t>
        </is>
      </c>
      <c r="R380" t="n">
        <v>44483</v>
      </c>
      <c r="AD380" t="inlineStr">
        <is>
          <t>TRUMBULL CAREER &amp; TECH CENTER</t>
        </is>
      </c>
      <c r="AE380" t="inlineStr">
        <is>
          <t>WARREN CITY</t>
        </is>
      </c>
      <c r="AF380" t="inlineStr">
        <is>
          <t>WARREN CITY SD</t>
        </is>
      </c>
      <c r="AH380" t="n">
        <v>14</v>
      </c>
      <c r="AI380" t="n">
        <v>11</v>
      </c>
      <c r="AN380" t="inlineStr">
        <is>
          <t>WARREN</t>
        </is>
      </c>
      <c r="AO380" t="inlineStr">
        <is>
          <t>WARREN CITY 4A</t>
        </is>
      </c>
      <c r="AP380" t="inlineStr">
        <is>
          <t>78-P-ADI</t>
        </is>
      </c>
      <c r="AQ380" t="n">
        <v>9</v>
      </c>
      <c r="AR380" t="n">
        <v>64</v>
      </c>
      <c r="AS380" t="n">
        <v>32</v>
      </c>
      <c r="AU380">
        <f>COUNTA($BA$380:$EH$380)</f>
        <v/>
      </c>
      <c r="AV380">
        <f>COUNTIF($BA$380:$EH$380,"D")</f>
        <v/>
      </c>
      <c r="AW380">
        <f>COUNTIF($BA$380:$EH$380,"R")</f>
        <v/>
      </c>
      <c r="AX380">
        <f>IF(BN380="D",1,0)+IF(BO380="D",1,0)+IF(BT380="D",1,0)+IF(BU380="D",1,0)+IF(BW380="D",1,0)+IF(CC380="D",1,0)+IF(CD380="D",1,0)+IF(CE380="D",1,0)+IF(CF380="D",1,0)+IF(CL380="D",1,0)+IF(CM380="D",1,0)+IF(CQ380="D",1,0)+IF(CR380="D",1,0)+IF(CS380="D",1,0)+IF(CW380="D",1,0)+IF(CX380="D",1,0)+IF(DD380="D",1,0)+IF(DE380="D",1,0)+IF(DJ380="D",1,0)+IF(DK380="D",1,0)+IF(DO380="D",1,0)+IF(DP380="D",1,0)+IF(DQ380="D",1,0)+IF(DW380="D",1,0)+IF(DZ380="D",1,0)+IF(EH380="D",1,0)</f>
        <v/>
      </c>
      <c r="AY380">
        <f>IF(DJ380&lt;&gt;"",1,0)+IF(DK380&lt;&gt;"",1,0)+IF(DM380&lt;&gt;"",1,0)+IF(DO380&lt;&gt;"",1,0)+IF(DP380&lt;&gt;"",1,0)+IF(DQ380&lt;&gt;"",1,0)+IF(DS380&lt;&gt;"",1,0)+IF(DT380&lt;&gt;"",1,0)+IF(DV380&lt;&gt;"",1,0)+IF(DW380&lt;&gt;"",1,0)+IF(DX380&lt;&gt;"",1,0)+IF(DY380&lt;&gt;"",1,0)+IF(DZ380&lt;&gt;"",1,0)+IF(EB380&lt;&gt;"",1,0)+IF(EC380&lt;&gt;"",1,0)+IF(ED380&lt;&gt;"",1,0)+IF(EG380&lt;&gt;"",1,0)+IF(EH380&lt;&gt;"",1,0)</f>
        <v/>
      </c>
      <c r="AZ380">
        <f>IF(EH380&lt;&gt;"",1,0)</f>
        <v/>
      </c>
      <c r="BB380" t="inlineStr">
        <is>
          <t>WARREN-WARD 4</t>
        </is>
      </c>
      <c r="CA380" t="inlineStr">
        <is>
          <t>X</t>
        </is>
      </c>
    </row>
    <row r="381">
      <c r="A381" t="inlineStr">
        <is>
          <t>OH0027722401</t>
        </is>
      </c>
      <c r="B381" t="n">
        <v>78</v>
      </c>
      <c r="C381" t="n">
        <v>491243</v>
      </c>
      <c r="D381" t="inlineStr">
        <is>
          <t>ADAMSON</t>
        </is>
      </c>
      <c r="E381" t="inlineStr">
        <is>
          <t>ANTHONY</t>
        </is>
      </c>
      <c r="F381">
        <f>CONCATENATE(D381," ",LEFT(H381,4),"T=",AU381,"D=",AV381,"R=",AW381,"M=",AX381,"L=",AY381,"B=",AZ381)</f>
        <v/>
      </c>
      <c r="G381" t="inlineStr">
        <is>
          <t>L</t>
        </is>
      </c>
      <c r="I381" t="inlineStr">
        <is>
          <t>1960-05-18</t>
        </is>
      </c>
      <c r="J381" t="inlineStr">
        <is>
          <t>2024-09-07</t>
        </is>
      </c>
      <c r="K381" t="inlineStr">
        <is>
          <t>ACTIVE</t>
        </is>
      </c>
      <c r="M381" t="inlineStr">
        <is>
          <t>329 KENILWORTH AVE SE</t>
        </is>
      </c>
      <c r="N381">
        <f>RIGHT(M381,LEN(M381)-FIND(" ",M381))</f>
        <v/>
      </c>
      <c r="P381" t="inlineStr">
        <is>
          <t>WARREN</t>
        </is>
      </c>
      <c r="Q381" t="inlineStr">
        <is>
          <t>OH</t>
        </is>
      </c>
      <c r="R381" t="n">
        <v>44483</v>
      </c>
      <c r="AD381" t="inlineStr">
        <is>
          <t>TRUMBULL CAREER &amp; TECH CENTER</t>
        </is>
      </c>
      <c r="AE381" t="inlineStr">
        <is>
          <t>WARREN CITY</t>
        </is>
      </c>
      <c r="AF381" t="inlineStr">
        <is>
          <t>WARREN CITY SD</t>
        </is>
      </c>
      <c r="AH381" t="n">
        <v>14</v>
      </c>
      <c r="AI381" t="n">
        <v>11</v>
      </c>
      <c r="AN381" t="inlineStr">
        <is>
          <t>WARREN</t>
        </is>
      </c>
      <c r="AO381" t="inlineStr">
        <is>
          <t>WARREN CITY 4A</t>
        </is>
      </c>
      <c r="AP381" t="inlineStr">
        <is>
          <t>78-P-ADI</t>
        </is>
      </c>
      <c r="AQ381" t="n">
        <v>9</v>
      </c>
      <c r="AR381" t="n">
        <v>64</v>
      </c>
      <c r="AS381" t="n">
        <v>32</v>
      </c>
      <c r="AU381">
        <f>COUNTA($BA$381:$EH$381)</f>
        <v/>
      </c>
      <c r="AV381">
        <f>COUNTIF($BA$381:$EH$381,"D")</f>
        <v/>
      </c>
      <c r="AW381">
        <f>COUNTIF($BA$381:$EH$381,"R")</f>
        <v/>
      </c>
      <c r="AX381">
        <f>IF(BN381="D",1,0)+IF(BO381="D",1,0)+IF(BT381="D",1,0)+IF(BU381="D",1,0)+IF(BW381="D",1,0)+IF(CC381="D",1,0)+IF(CD381="D",1,0)+IF(CE381="D",1,0)+IF(CF381="D",1,0)+IF(CL381="D",1,0)+IF(CM381="D",1,0)+IF(CQ381="D",1,0)+IF(CR381="D",1,0)+IF(CS381="D",1,0)+IF(CW381="D",1,0)+IF(CX381="D",1,0)+IF(DD381="D",1,0)+IF(DE381="D",1,0)+IF(DJ381="D",1,0)+IF(DK381="D",1,0)+IF(DO381="D",1,0)+IF(DP381="D",1,0)+IF(DQ381="D",1,0)+IF(DW381="D",1,0)+IF(DZ381="D",1,0)+IF(EH381="D",1,0)</f>
        <v/>
      </c>
      <c r="AY381">
        <f>IF(DJ381&lt;&gt;"",1,0)+IF(DK381&lt;&gt;"",1,0)+IF(DM381&lt;&gt;"",1,0)+IF(DO381&lt;&gt;"",1,0)+IF(DP381&lt;&gt;"",1,0)+IF(DQ381&lt;&gt;"",1,0)+IF(DS381&lt;&gt;"",1,0)+IF(DT381&lt;&gt;"",1,0)+IF(DV381&lt;&gt;"",1,0)+IF(DW381&lt;&gt;"",1,0)+IF(DX381&lt;&gt;"",1,0)+IF(DY381&lt;&gt;"",1,0)+IF(DZ381&lt;&gt;"",1,0)+IF(EB381&lt;&gt;"",1,0)+IF(EC381&lt;&gt;"",1,0)+IF(ED381&lt;&gt;"",1,0)+IF(EG381&lt;&gt;"",1,0)+IF(EH381&lt;&gt;"",1,0)</f>
        <v/>
      </c>
      <c r="AZ381">
        <f>IF(EH381&lt;&gt;"",1,0)</f>
        <v/>
      </c>
      <c r="BB381" t="inlineStr">
        <is>
          <t>WARREN-WARD 4</t>
        </is>
      </c>
      <c r="EF381" t="inlineStr">
        <is>
          <t>X</t>
        </is>
      </c>
    </row>
    <row r="382">
      <c r="A382" t="inlineStr">
        <is>
          <t>OH0027640862</t>
        </is>
      </c>
      <c r="B382" t="n">
        <v>78</v>
      </c>
      <c r="C382" t="n">
        <v>489745</v>
      </c>
      <c r="D382" t="inlineStr">
        <is>
          <t>HAMRICK</t>
        </is>
      </c>
      <c r="E382" t="inlineStr">
        <is>
          <t>TY</t>
        </is>
      </c>
      <c r="F382">
        <f>CONCATENATE(D382," ",LEFT(H382,4),"T=",AU382,"D=",AV382,"R=",AW382,"M=",AX382,"L=",AY382,"B=",AZ382)</f>
        <v/>
      </c>
      <c r="G382" t="inlineStr">
        <is>
          <t>JOSEF</t>
        </is>
      </c>
      <c r="I382" t="inlineStr">
        <is>
          <t>2006-06-01</t>
        </is>
      </c>
      <c r="J382" t="inlineStr">
        <is>
          <t>2024-09-30</t>
        </is>
      </c>
      <c r="K382" t="inlineStr">
        <is>
          <t>ACTIVE</t>
        </is>
      </c>
      <c r="M382" t="inlineStr">
        <is>
          <t>366 LAIRD AVE SE</t>
        </is>
      </c>
      <c r="N382">
        <f>RIGHT(M382,LEN(M382)-FIND(" ",M382))</f>
        <v/>
      </c>
      <c r="P382" t="inlineStr">
        <is>
          <t>WARREN</t>
        </is>
      </c>
      <c r="Q382" t="inlineStr">
        <is>
          <t>OH</t>
        </is>
      </c>
      <c r="R382" t="n">
        <v>44483</v>
      </c>
      <c r="AD382" t="inlineStr">
        <is>
          <t>TRUMBULL CAREER &amp; TECH CENTER</t>
        </is>
      </c>
      <c r="AE382" t="inlineStr">
        <is>
          <t>WARREN CITY</t>
        </is>
      </c>
      <c r="AF382" t="inlineStr">
        <is>
          <t>WARREN CITY SD</t>
        </is>
      </c>
      <c r="AH382" t="n">
        <v>14</v>
      </c>
      <c r="AI382" t="n">
        <v>11</v>
      </c>
      <c r="AN382" t="inlineStr">
        <is>
          <t>WARREN</t>
        </is>
      </c>
      <c r="AO382" t="inlineStr">
        <is>
          <t>WARREN CITY 4A</t>
        </is>
      </c>
      <c r="AP382" t="inlineStr">
        <is>
          <t>78-P-ADI</t>
        </is>
      </c>
      <c r="AQ382" t="n">
        <v>9</v>
      </c>
      <c r="AR382" t="n">
        <v>64</v>
      </c>
      <c r="AS382" t="n">
        <v>32</v>
      </c>
      <c r="AU382">
        <f>COUNTA($BA$382:$EH$382)</f>
        <v/>
      </c>
      <c r="AV382">
        <f>COUNTIF($BA$382:$EH$382,"D")</f>
        <v/>
      </c>
      <c r="AW382">
        <f>COUNTIF($BA$382:$EH$382,"R")</f>
        <v/>
      </c>
      <c r="AX382">
        <f>IF(BN382="D",1,0)+IF(BO382="D",1,0)+IF(BT382="D",1,0)+IF(BU382="D",1,0)+IF(BW382="D",1,0)+IF(CC382="D",1,0)+IF(CD382="D",1,0)+IF(CE382="D",1,0)+IF(CF382="D",1,0)+IF(CL382="D",1,0)+IF(CM382="D",1,0)+IF(CQ382="D",1,0)+IF(CR382="D",1,0)+IF(CS382="D",1,0)+IF(CW382="D",1,0)+IF(CX382="D",1,0)+IF(DD382="D",1,0)+IF(DE382="D",1,0)+IF(DJ382="D",1,0)+IF(DK382="D",1,0)+IF(DO382="D",1,0)+IF(DP382="D",1,0)+IF(DQ382="D",1,0)+IF(DW382="D",1,0)+IF(DZ382="D",1,0)+IF(EH382="D",1,0)</f>
        <v/>
      </c>
      <c r="AY382">
        <f>IF(DJ382&lt;&gt;"",1,0)+IF(DK382&lt;&gt;"",1,0)+IF(DM382&lt;&gt;"",1,0)+IF(DO382&lt;&gt;"",1,0)+IF(DP382&lt;&gt;"",1,0)+IF(DQ382&lt;&gt;"",1,0)+IF(DS382&lt;&gt;"",1,0)+IF(DT382&lt;&gt;"",1,0)+IF(DV382&lt;&gt;"",1,0)+IF(DW382&lt;&gt;"",1,0)+IF(DX382&lt;&gt;"",1,0)+IF(DY382&lt;&gt;"",1,0)+IF(DZ382&lt;&gt;"",1,0)+IF(EB382&lt;&gt;"",1,0)+IF(EC382&lt;&gt;"",1,0)+IF(ED382&lt;&gt;"",1,0)+IF(EG382&lt;&gt;"",1,0)+IF(EH382&lt;&gt;"",1,0)</f>
        <v/>
      </c>
      <c r="AZ382">
        <f>IF(EH382&lt;&gt;"",1,0)</f>
        <v/>
      </c>
      <c r="BB382" t="inlineStr">
        <is>
          <t>WARREN-WARD 4</t>
        </is>
      </c>
      <c r="EF382" t="inlineStr">
        <is>
          <t>X</t>
        </is>
      </c>
    </row>
    <row r="383">
      <c r="A383" t="inlineStr">
        <is>
          <t>OH0026289965</t>
        </is>
      </c>
      <c r="B383" t="n">
        <v>78</v>
      </c>
      <c r="C383" t="n">
        <v>459718</v>
      </c>
      <c r="D383" t="inlineStr">
        <is>
          <t>NYE</t>
        </is>
      </c>
      <c r="E383" t="inlineStr">
        <is>
          <t>AUTUMN</t>
        </is>
      </c>
      <c r="F383">
        <f>CONCATENATE(D383," ",LEFT(H383,4),"T=",AU383,"D=",AV383,"R=",AW383,"M=",AX383,"L=",AY383,"B=",AZ383)</f>
        <v/>
      </c>
      <c r="G383" t="inlineStr">
        <is>
          <t>LAUREL</t>
        </is>
      </c>
      <c r="I383" t="inlineStr">
        <is>
          <t>1992-05-22</t>
        </is>
      </c>
      <c r="J383" t="inlineStr">
        <is>
          <t>2021-09-10</t>
        </is>
      </c>
      <c r="K383" t="inlineStr">
        <is>
          <t>CONFIRMATION</t>
        </is>
      </c>
      <c r="M383" t="inlineStr">
        <is>
          <t>1262 BELLE ST SE</t>
        </is>
      </c>
      <c r="N383">
        <f>RIGHT(M383,LEN(M383)-FIND(" ",M383))</f>
        <v/>
      </c>
      <c r="P383" t="inlineStr">
        <is>
          <t>WARREN</t>
        </is>
      </c>
      <c r="Q383" t="inlineStr">
        <is>
          <t>OH</t>
        </is>
      </c>
      <c r="R383" t="n">
        <v>44484</v>
      </c>
      <c r="AD383" t="inlineStr">
        <is>
          <t>TRUMBULL CAREER &amp; TECH CENTER</t>
        </is>
      </c>
      <c r="AE383" t="inlineStr">
        <is>
          <t>WARREN CITY</t>
        </is>
      </c>
      <c r="AF383" t="inlineStr">
        <is>
          <t>WARREN CITY SD</t>
        </is>
      </c>
      <c r="AH383" t="n">
        <v>14</v>
      </c>
      <c r="AI383" t="n">
        <v>11</v>
      </c>
      <c r="AN383" t="inlineStr">
        <is>
          <t>WARREN</t>
        </is>
      </c>
      <c r="AO383" t="inlineStr">
        <is>
          <t>WARREN CITY 4A</t>
        </is>
      </c>
      <c r="AP383" t="inlineStr">
        <is>
          <t>78-P-ADI</t>
        </is>
      </c>
      <c r="AQ383" t="n">
        <v>9</v>
      </c>
      <c r="AR383" t="n">
        <v>64</v>
      </c>
      <c r="AS383" t="n">
        <v>32</v>
      </c>
      <c r="AU383">
        <f>COUNTA($BA$383:$EH$383)</f>
        <v/>
      </c>
      <c r="AV383">
        <f>COUNTIF($BA$383:$EH$383,"D")</f>
        <v/>
      </c>
      <c r="AW383">
        <f>COUNTIF($BA$383:$EH$383,"R")</f>
        <v/>
      </c>
      <c r="AX383">
        <f>IF(BN383="D",1,0)+IF(BO383="D",1,0)+IF(BT383="D",1,0)+IF(BU383="D",1,0)+IF(BW383="D",1,0)+IF(CC383="D",1,0)+IF(CD383="D",1,0)+IF(CE383="D",1,0)+IF(CF383="D",1,0)+IF(CL383="D",1,0)+IF(CM383="D",1,0)+IF(CQ383="D",1,0)+IF(CR383="D",1,0)+IF(CS383="D",1,0)+IF(CW383="D",1,0)+IF(CX383="D",1,0)+IF(DD383="D",1,0)+IF(DE383="D",1,0)+IF(DJ383="D",1,0)+IF(DK383="D",1,0)+IF(DO383="D",1,0)+IF(DP383="D",1,0)+IF(DQ383="D",1,0)+IF(DW383="D",1,0)+IF(DZ383="D",1,0)+IF(EH383="D",1,0)</f>
        <v/>
      </c>
      <c r="AY383">
        <f>IF(DJ383&lt;&gt;"",1,0)+IF(DK383&lt;&gt;"",1,0)+IF(DM383&lt;&gt;"",1,0)+IF(DO383&lt;&gt;"",1,0)+IF(DP383&lt;&gt;"",1,0)+IF(DQ383&lt;&gt;"",1,0)+IF(DS383&lt;&gt;"",1,0)+IF(DT383&lt;&gt;"",1,0)+IF(DV383&lt;&gt;"",1,0)+IF(DW383&lt;&gt;"",1,0)+IF(DX383&lt;&gt;"",1,0)+IF(DY383&lt;&gt;"",1,0)+IF(DZ383&lt;&gt;"",1,0)+IF(EB383&lt;&gt;"",1,0)+IF(EC383&lt;&gt;"",1,0)+IF(ED383&lt;&gt;"",1,0)+IF(EG383&lt;&gt;"",1,0)+IF(EH383&lt;&gt;"",1,0)</f>
        <v/>
      </c>
      <c r="AZ383">
        <f>IF(EH383&lt;&gt;"",1,0)</f>
        <v/>
      </c>
      <c r="BB383" t="inlineStr">
        <is>
          <t>WARREN-WARD 4</t>
        </is>
      </c>
    </row>
    <row r="384">
      <c r="A384" t="inlineStr">
        <is>
          <t>OH0015761501</t>
        </is>
      </c>
      <c r="B384" t="n">
        <v>78</v>
      </c>
      <c r="C384" t="n">
        <v>248733</v>
      </c>
      <c r="D384" t="inlineStr">
        <is>
          <t>BURD</t>
        </is>
      </c>
      <c r="E384" t="inlineStr">
        <is>
          <t>AMY</t>
        </is>
      </c>
      <c r="F384">
        <f>CONCATENATE(D384," ",LEFT(H384,4),"T=",AU384,"D=",AV384,"R=",AW384,"M=",AX384,"L=",AY384,"B=",AZ384)</f>
        <v/>
      </c>
      <c r="G384" t="inlineStr">
        <is>
          <t>H</t>
        </is>
      </c>
      <c r="I384" t="inlineStr">
        <is>
          <t>1962-12-15</t>
        </is>
      </c>
      <c r="J384" t="inlineStr">
        <is>
          <t>2018-11-28</t>
        </is>
      </c>
      <c r="K384" t="inlineStr">
        <is>
          <t>ACTIVE</t>
        </is>
      </c>
      <c r="L384" t="inlineStr">
        <is>
          <t>D</t>
        </is>
      </c>
      <c r="M384" t="inlineStr">
        <is>
          <t>367 WOODBINE AVE SE</t>
        </is>
      </c>
      <c r="N384">
        <f>RIGHT(M384,LEN(M384)-FIND(" ",M384))</f>
        <v/>
      </c>
      <c r="P384" t="inlineStr">
        <is>
          <t>WARREN</t>
        </is>
      </c>
      <c r="Q384" t="inlineStr">
        <is>
          <t>OH</t>
        </is>
      </c>
      <c r="R384" t="n">
        <v>44483</v>
      </c>
      <c r="AD384" t="inlineStr">
        <is>
          <t>TRUMBULL CAREER &amp; TECH CENTER</t>
        </is>
      </c>
      <c r="AE384" t="inlineStr">
        <is>
          <t>WARREN CITY</t>
        </is>
      </c>
      <c r="AF384" t="inlineStr">
        <is>
          <t>WARREN CITY SD</t>
        </is>
      </c>
      <c r="AH384" t="n">
        <v>14</v>
      </c>
      <c r="AI384" t="n">
        <v>11</v>
      </c>
      <c r="AN384" t="inlineStr">
        <is>
          <t>WARREN</t>
        </is>
      </c>
      <c r="AO384" t="inlineStr">
        <is>
          <t>WARREN CITY 4A</t>
        </is>
      </c>
      <c r="AP384" t="inlineStr">
        <is>
          <t>78-P-ADI</t>
        </is>
      </c>
      <c r="AQ384" t="n">
        <v>9</v>
      </c>
      <c r="AR384" t="n">
        <v>64</v>
      </c>
      <c r="AS384" t="n">
        <v>32</v>
      </c>
      <c r="AU384">
        <f>COUNTA($BA$384:$EH$384)</f>
        <v/>
      </c>
      <c r="AV384">
        <f>COUNTIF($BA$384:$EH$384,"D")</f>
        <v/>
      </c>
      <c r="AW384">
        <f>COUNTIF($BA$384:$EH$384,"R")</f>
        <v/>
      </c>
      <c r="AX384">
        <f>IF(BN384="D",1,0)+IF(BO384="D",1,0)+IF(BT384="D",1,0)+IF(BU384="D",1,0)+IF(BW384="D",1,0)+IF(CC384="D",1,0)+IF(CD384="D",1,0)+IF(CE384="D",1,0)+IF(CF384="D",1,0)+IF(CL384="D",1,0)+IF(CM384="D",1,0)+IF(CQ384="D",1,0)+IF(CR384="D",1,0)+IF(CS384="D",1,0)+IF(CW384="D",1,0)+IF(CX384="D",1,0)+IF(DD384="D",1,0)+IF(DE384="D",1,0)+IF(DJ384="D",1,0)+IF(DK384="D",1,0)+IF(DO384="D",1,0)+IF(DP384="D",1,0)+IF(DQ384="D",1,0)+IF(DW384="D",1,0)+IF(DZ384="D",1,0)+IF(EH384="D",1,0)</f>
        <v/>
      </c>
      <c r="AY384">
        <f>IF(DJ384&lt;&gt;"",1,0)+IF(DK384&lt;&gt;"",1,0)+IF(DM384&lt;&gt;"",1,0)+IF(DO384&lt;&gt;"",1,0)+IF(DP384&lt;&gt;"",1,0)+IF(DQ384&lt;&gt;"",1,0)+IF(DS384&lt;&gt;"",1,0)+IF(DT384&lt;&gt;"",1,0)+IF(DV384&lt;&gt;"",1,0)+IF(DW384&lt;&gt;"",1,0)+IF(DX384&lt;&gt;"",1,0)+IF(DY384&lt;&gt;"",1,0)+IF(DZ384&lt;&gt;"",1,0)+IF(EB384&lt;&gt;"",1,0)+IF(EC384&lt;&gt;"",1,0)+IF(ED384&lt;&gt;"",1,0)+IF(EG384&lt;&gt;"",1,0)+IF(EH384&lt;&gt;"",1,0)</f>
        <v/>
      </c>
      <c r="AZ384">
        <f>IF(EH384&lt;&gt;"",1,0)</f>
        <v/>
      </c>
      <c r="BB384" t="inlineStr">
        <is>
          <t>WARREN-WARD 4</t>
        </is>
      </c>
      <c r="BC384" t="inlineStr">
        <is>
          <t>X</t>
        </is>
      </c>
      <c r="BD384" t="inlineStr">
        <is>
          <t>X</t>
        </is>
      </c>
      <c r="BE384" t="inlineStr">
        <is>
          <t>X</t>
        </is>
      </c>
      <c r="BG384" t="inlineStr">
        <is>
          <t>X</t>
        </is>
      </c>
      <c r="BI384" t="inlineStr">
        <is>
          <t>X</t>
        </is>
      </c>
      <c r="BJ384" t="inlineStr">
        <is>
          <t>X</t>
        </is>
      </c>
      <c r="BK384" t="inlineStr">
        <is>
          <t>X</t>
        </is>
      </c>
      <c r="BL384" t="inlineStr">
        <is>
          <t>X</t>
        </is>
      </c>
      <c r="BP384" t="inlineStr">
        <is>
          <t>X</t>
        </is>
      </c>
      <c r="BR384" t="inlineStr">
        <is>
          <t>X</t>
        </is>
      </c>
      <c r="BS384" t="inlineStr">
        <is>
          <t>X</t>
        </is>
      </c>
      <c r="BV384" t="inlineStr">
        <is>
          <t>X</t>
        </is>
      </c>
      <c r="BY384" t="inlineStr">
        <is>
          <t>D</t>
        </is>
      </c>
      <c r="CA384" t="inlineStr">
        <is>
          <t>X</t>
        </is>
      </c>
      <c r="CG384" t="inlineStr">
        <is>
          <t>X</t>
        </is>
      </c>
      <c r="CH384" t="inlineStr">
        <is>
          <t>D</t>
        </is>
      </c>
      <c r="CK384" t="inlineStr">
        <is>
          <t>X</t>
        </is>
      </c>
      <c r="CL384" t="inlineStr">
        <is>
          <t>D</t>
        </is>
      </c>
      <c r="CN384" t="inlineStr">
        <is>
          <t>X</t>
        </is>
      </c>
      <c r="CO384" t="inlineStr">
        <is>
          <t>D</t>
        </is>
      </c>
      <c r="CP384" t="inlineStr">
        <is>
          <t>X</t>
        </is>
      </c>
      <c r="CT384" t="inlineStr">
        <is>
          <t>X</t>
        </is>
      </c>
      <c r="CU384" t="inlineStr">
        <is>
          <t>D</t>
        </is>
      </c>
      <c r="CV384" t="inlineStr">
        <is>
          <t>X</t>
        </is>
      </c>
      <c r="CW384" t="inlineStr">
        <is>
          <t>D</t>
        </is>
      </c>
      <c r="CY384" t="inlineStr">
        <is>
          <t>X</t>
        </is>
      </c>
      <c r="CZ384" t="inlineStr">
        <is>
          <t>D</t>
        </is>
      </c>
      <c r="DC384" t="inlineStr">
        <is>
          <t>X</t>
        </is>
      </c>
      <c r="DD384" t="inlineStr">
        <is>
          <t>D</t>
        </is>
      </c>
      <c r="DF384" t="inlineStr">
        <is>
          <t>X</t>
        </is>
      </c>
      <c r="DG384" t="inlineStr">
        <is>
          <t>D</t>
        </is>
      </c>
      <c r="DI384" t="inlineStr">
        <is>
          <t>X</t>
        </is>
      </c>
      <c r="DL384" t="inlineStr">
        <is>
          <t>X</t>
        </is>
      </c>
      <c r="DN384" t="inlineStr">
        <is>
          <t>X</t>
        </is>
      </c>
      <c r="DR384" t="inlineStr">
        <is>
          <t>X</t>
        </is>
      </c>
      <c r="DU384" t="inlineStr">
        <is>
          <t>X</t>
        </is>
      </c>
      <c r="DX384" t="inlineStr">
        <is>
          <t>X</t>
        </is>
      </c>
      <c r="EA384" t="inlineStr">
        <is>
          <t>X</t>
        </is>
      </c>
      <c r="ED384" t="inlineStr">
        <is>
          <t>D</t>
        </is>
      </c>
      <c r="EF384" t="inlineStr">
        <is>
          <t>X</t>
        </is>
      </c>
    </row>
    <row r="385">
      <c r="A385" t="inlineStr">
        <is>
          <t>OH0023874885</t>
        </is>
      </c>
      <c r="B385" t="n">
        <v>78</v>
      </c>
      <c r="C385" t="n">
        <v>419365</v>
      </c>
      <c r="D385" t="inlineStr">
        <is>
          <t>REYES AYENDE</t>
        </is>
      </c>
      <c r="E385" t="inlineStr">
        <is>
          <t>JESUE</t>
        </is>
      </c>
      <c r="F385">
        <f>CONCATENATE(D385," ",LEFT(H385,4),"T=",AU385,"D=",AV385,"R=",AW385,"M=",AX385,"L=",AY385,"B=",AZ385)</f>
        <v/>
      </c>
      <c r="G385" t="inlineStr">
        <is>
          <t>RIGOBERTO</t>
        </is>
      </c>
      <c r="I385" t="inlineStr">
        <is>
          <t>1988-09-08</t>
        </is>
      </c>
      <c r="J385" t="inlineStr">
        <is>
          <t>2016-08-30</t>
        </is>
      </c>
      <c r="K385" t="inlineStr">
        <is>
          <t>CONFIRMATION</t>
        </is>
      </c>
      <c r="M385" t="inlineStr">
        <is>
          <t>374 HOMEWOOD AVE SE</t>
        </is>
      </c>
      <c r="N385">
        <f>RIGHT(M385,LEN(M385)-FIND(" ",M385))</f>
        <v/>
      </c>
      <c r="P385" t="inlineStr">
        <is>
          <t>WARREN</t>
        </is>
      </c>
      <c r="Q385" t="inlineStr">
        <is>
          <t>OH</t>
        </is>
      </c>
      <c r="R385" t="n">
        <v>44483</v>
      </c>
      <c r="AD385" t="inlineStr">
        <is>
          <t>TRUMBULL CAREER &amp; TECH CENTER</t>
        </is>
      </c>
      <c r="AE385" t="inlineStr">
        <is>
          <t>WARREN CITY</t>
        </is>
      </c>
      <c r="AF385" t="inlineStr">
        <is>
          <t>WARREN CITY SD</t>
        </is>
      </c>
      <c r="AH385" t="n">
        <v>14</v>
      </c>
      <c r="AI385" t="n">
        <v>11</v>
      </c>
      <c r="AN385" t="inlineStr">
        <is>
          <t>WARREN</t>
        </is>
      </c>
      <c r="AO385" t="inlineStr">
        <is>
          <t>WARREN CITY 4A</t>
        </is>
      </c>
      <c r="AP385" t="inlineStr">
        <is>
          <t>78-P-ADI</t>
        </is>
      </c>
      <c r="AQ385" t="n">
        <v>9</v>
      </c>
      <c r="AR385" t="n">
        <v>64</v>
      </c>
      <c r="AS385" t="n">
        <v>32</v>
      </c>
      <c r="AU385">
        <f>COUNTA($BA$385:$EH$385)</f>
        <v/>
      </c>
      <c r="AV385">
        <f>COUNTIF($BA$385:$EH$385,"D")</f>
        <v/>
      </c>
      <c r="AW385">
        <f>COUNTIF($BA$385:$EH$385,"R")</f>
        <v/>
      </c>
      <c r="AX385">
        <f>IF(BN385="D",1,0)+IF(BO385="D",1,0)+IF(BT385="D",1,0)+IF(BU385="D",1,0)+IF(BW385="D",1,0)+IF(CC385="D",1,0)+IF(CD385="D",1,0)+IF(CE385="D",1,0)+IF(CF385="D",1,0)+IF(CL385="D",1,0)+IF(CM385="D",1,0)+IF(CQ385="D",1,0)+IF(CR385="D",1,0)+IF(CS385="D",1,0)+IF(CW385="D",1,0)+IF(CX385="D",1,0)+IF(DD385="D",1,0)+IF(DE385="D",1,0)+IF(DJ385="D",1,0)+IF(DK385="D",1,0)+IF(DO385="D",1,0)+IF(DP385="D",1,0)+IF(DQ385="D",1,0)+IF(DW385="D",1,0)+IF(DZ385="D",1,0)+IF(EH385="D",1,0)</f>
        <v/>
      </c>
      <c r="AY385">
        <f>IF(DJ385&lt;&gt;"",1,0)+IF(DK385&lt;&gt;"",1,0)+IF(DM385&lt;&gt;"",1,0)+IF(DO385&lt;&gt;"",1,0)+IF(DP385&lt;&gt;"",1,0)+IF(DQ385&lt;&gt;"",1,0)+IF(DS385&lt;&gt;"",1,0)+IF(DT385&lt;&gt;"",1,0)+IF(DV385&lt;&gt;"",1,0)+IF(DW385&lt;&gt;"",1,0)+IF(DX385&lt;&gt;"",1,0)+IF(DY385&lt;&gt;"",1,0)+IF(DZ385&lt;&gt;"",1,0)+IF(EB385&lt;&gt;"",1,0)+IF(EC385&lt;&gt;"",1,0)+IF(ED385&lt;&gt;"",1,0)+IF(EG385&lt;&gt;"",1,0)+IF(EH385&lt;&gt;"",1,0)</f>
        <v/>
      </c>
      <c r="AZ385">
        <f>IF(EH385&lt;&gt;"",1,0)</f>
        <v/>
      </c>
      <c r="BB385" t="inlineStr">
        <is>
          <t>WARREN-WARD 4</t>
        </is>
      </c>
    </row>
    <row r="386">
      <c r="A386" t="inlineStr">
        <is>
          <t>OH0015778331</t>
        </is>
      </c>
      <c r="B386" t="n">
        <v>78</v>
      </c>
      <c r="C386" t="n">
        <v>291806</v>
      </c>
      <c r="D386" t="inlineStr">
        <is>
          <t>MILLS</t>
        </is>
      </c>
      <c r="E386" t="inlineStr">
        <is>
          <t>BRANDI</t>
        </is>
      </c>
      <c r="F386">
        <f>CONCATENATE(D386," ",LEFT(H386,4),"T=",AU386,"D=",AV386,"R=",AW386,"M=",AX386,"L=",AY386,"B=",AZ386)</f>
        <v/>
      </c>
      <c r="I386" t="inlineStr">
        <is>
          <t>1981-11-17</t>
        </is>
      </c>
      <c r="J386" t="inlineStr">
        <is>
          <t>2018-11-28</t>
        </is>
      </c>
      <c r="K386" t="inlineStr">
        <is>
          <t>ACTIVE</t>
        </is>
      </c>
      <c r="M386" t="inlineStr">
        <is>
          <t>370 CHARLES AVE SE</t>
        </is>
      </c>
      <c r="N386">
        <f>RIGHT(M386,LEN(M386)-FIND(" ",M386))</f>
        <v/>
      </c>
      <c r="P386" t="inlineStr">
        <is>
          <t>WARREN</t>
        </is>
      </c>
      <c r="Q386" t="inlineStr">
        <is>
          <t>OH</t>
        </is>
      </c>
      <c r="R386" t="n">
        <v>44483</v>
      </c>
      <c r="AD386" t="inlineStr">
        <is>
          <t>TRUMBULL CAREER &amp; TECH CENTER</t>
        </is>
      </c>
      <c r="AE386" t="inlineStr">
        <is>
          <t>WARREN CITY</t>
        </is>
      </c>
      <c r="AF386" t="inlineStr">
        <is>
          <t>WARREN CITY SD</t>
        </is>
      </c>
      <c r="AH386" t="n">
        <v>14</v>
      </c>
      <c r="AI386" t="n">
        <v>11</v>
      </c>
      <c r="AN386" t="inlineStr">
        <is>
          <t>WARREN</t>
        </is>
      </c>
      <c r="AO386" t="inlineStr">
        <is>
          <t>WARREN CITY 4A</t>
        </is>
      </c>
      <c r="AP386" t="inlineStr">
        <is>
          <t>78-P-ADI</t>
        </is>
      </c>
      <c r="AQ386" t="n">
        <v>9</v>
      </c>
      <c r="AR386" t="n">
        <v>64</v>
      </c>
      <c r="AS386" t="n">
        <v>32</v>
      </c>
      <c r="AU386">
        <f>COUNTA($BA$386:$EH$386)</f>
        <v/>
      </c>
      <c r="AV386">
        <f>COUNTIF($BA$386:$EH$386,"D")</f>
        <v/>
      </c>
      <c r="AW386">
        <f>COUNTIF($BA$386:$EH$386,"R")</f>
        <v/>
      </c>
      <c r="AX386">
        <f>IF(BN386="D",1,0)+IF(BO386="D",1,0)+IF(BT386="D",1,0)+IF(BU386="D",1,0)+IF(BW386="D",1,0)+IF(CC386="D",1,0)+IF(CD386="D",1,0)+IF(CE386="D",1,0)+IF(CF386="D",1,0)+IF(CL386="D",1,0)+IF(CM386="D",1,0)+IF(CQ386="D",1,0)+IF(CR386="D",1,0)+IF(CS386="D",1,0)+IF(CW386="D",1,0)+IF(CX386="D",1,0)+IF(DD386="D",1,0)+IF(DE386="D",1,0)+IF(DJ386="D",1,0)+IF(DK386="D",1,0)+IF(DO386="D",1,0)+IF(DP386="D",1,0)+IF(DQ386="D",1,0)+IF(DW386="D",1,0)+IF(DZ386="D",1,0)+IF(EH386="D",1,0)</f>
        <v/>
      </c>
      <c r="AY386">
        <f>IF(DJ386&lt;&gt;"",1,0)+IF(DK386&lt;&gt;"",1,0)+IF(DM386&lt;&gt;"",1,0)+IF(DO386&lt;&gt;"",1,0)+IF(DP386&lt;&gt;"",1,0)+IF(DQ386&lt;&gt;"",1,0)+IF(DS386&lt;&gt;"",1,0)+IF(DT386&lt;&gt;"",1,0)+IF(DV386&lt;&gt;"",1,0)+IF(DW386&lt;&gt;"",1,0)+IF(DX386&lt;&gt;"",1,0)+IF(DY386&lt;&gt;"",1,0)+IF(DZ386&lt;&gt;"",1,0)+IF(EB386&lt;&gt;"",1,0)+IF(EC386&lt;&gt;"",1,0)+IF(ED386&lt;&gt;"",1,0)+IF(EG386&lt;&gt;"",1,0)+IF(EH386&lt;&gt;"",1,0)</f>
        <v/>
      </c>
      <c r="AZ386">
        <f>IF(EH386&lt;&gt;"",1,0)</f>
        <v/>
      </c>
      <c r="BB386" t="inlineStr">
        <is>
          <t>WARREN-WARD 4</t>
        </is>
      </c>
      <c r="BD386" t="inlineStr">
        <is>
          <t>X</t>
        </is>
      </c>
      <c r="BL386" t="inlineStr">
        <is>
          <t>X</t>
        </is>
      </c>
      <c r="BS386" t="inlineStr">
        <is>
          <t>X</t>
        </is>
      </c>
      <c r="BY386" t="inlineStr">
        <is>
          <t>D</t>
        </is>
      </c>
      <c r="CA386" t="inlineStr">
        <is>
          <t>X</t>
        </is>
      </c>
      <c r="CN386" t="inlineStr">
        <is>
          <t>X</t>
        </is>
      </c>
      <c r="CP386" t="inlineStr">
        <is>
          <t>X</t>
        </is>
      </c>
      <c r="DI386" t="inlineStr">
        <is>
          <t>X</t>
        </is>
      </c>
      <c r="DN386" t="inlineStr">
        <is>
          <t>X</t>
        </is>
      </c>
      <c r="DX386" t="inlineStr">
        <is>
          <t>X</t>
        </is>
      </c>
    </row>
    <row r="387">
      <c r="A387" t="inlineStr">
        <is>
          <t>OH0023443478</t>
        </is>
      </c>
      <c r="B387" t="n">
        <v>78</v>
      </c>
      <c r="C387" t="n">
        <v>411762</v>
      </c>
      <c r="D387" t="inlineStr">
        <is>
          <t>MARTINEZ</t>
        </is>
      </c>
      <c r="E387" t="inlineStr">
        <is>
          <t>NADIA</t>
        </is>
      </c>
      <c r="F387">
        <f>CONCATENATE(D387," ",LEFT(H387,4),"T=",AU387,"D=",AV387,"R=",AW387,"M=",AX387,"L=",AY387,"B=",AZ387)</f>
        <v/>
      </c>
      <c r="G387" t="inlineStr">
        <is>
          <t>DENISE</t>
        </is>
      </c>
      <c r="I387" t="inlineStr">
        <is>
          <t>1988-11-22</t>
        </is>
      </c>
      <c r="J387" t="inlineStr">
        <is>
          <t>2016-09-15</t>
        </is>
      </c>
      <c r="K387" t="inlineStr">
        <is>
          <t>CONFIRMATION</t>
        </is>
      </c>
      <c r="M387" t="inlineStr">
        <is>
          <t>770 WOODBINE AVE SE</t>
        </is>
      </c>
      <c r="N387">
        <f>RIGHT(M387,LEN(M387)-FIND(" ",M387))</f>
        <v/>
      </c>
      <c r="P387" t="inlineStr">
        <is>
          <t>WARREN</t>
        </is>
      </c>
      <c r="Q387" t="inlineStr">
        <is>
          <t>OH</t>
        </is>
      </c>
      <c r="R387" t="n">
        <v>44484</v>
      </c>
      <c r="AD387" t="inlineStr">
        <is>
          <t>TRUMBULL CAREER &amp; TECH CENTER</t>
        </is>
      </c>
      <c r="AE387" t="inlineStr">
        <is>
          <t>WARREN CITY</t>
        </is>
      </c>
      <c r="AF387" t="inlineStr">
        <is>
          <t>WARREN CITY SD</t>
        </is>
      </c>
      <c r="AH387" t="n">
        <v>14</v>
      </c>
      <c r="AI387" t="n">
        <v>11</v>
      </c>
      <c r="AN387" t="inlineStr">
        <is>
          <t>WARREN</t>
        </is>
      </c>
      <c r="AO387" t="inlineStr">
        <is>
          <t>WARREN CITY 4A</t>
        </is>
      </c>
      <c r="AP387" t="inlineStr">
        <is>
          <t>78-P-ADI</t>
        </is>
      </c>
      <c r="AQ387" t="n">
        <v>9</v>
      </c>
      <c r="AR387" t="n">
        <v>64</v>
      </c>
      <c r="AS387" t="n">
        <v>32</v>
      </c>
      <c r="AU387">
        <f>COUNTA($BA$387:$EH$387)</f>
        <v/>
      </c>
      <c r="AV387">
        <f>COUNTIF($BA$387:$EH$387,"D")</f>
        <v/>
      </c>
      <c r="AW387">
        <f>COUNTIF($BA$387:$EH$387,"R")</f>
        <v/>
      </c>
      <c r="AX387">
        <f>IF(BN387="D",1,0)+IF(BO387="D",1,0)+IF(BT387="D",1,0)+IF(BU387="D",1,0)+IF(BW387="D",1,0)+IF(CC387="D",1,0)+IF(CD387="D",1,0)+IF(CE387="D",1,0)+IF(CF387="D",1,0)+IF(CL387="D",1,0)+IF(CM387="D",1,0)+IF(CQ387="D",1,0)+IF(CR387="D",1,0)+IF(CS387="D",1,0)+IF(CW387="D",1,0)+IF(CX387="D",1,0)+IF(DD387="D",1,0)+IF(DE387="D",1,0)+IF(DJ387="D",1,0)+IF(DK387="D",1,0)+IF(DO387="D",1,0)+IF(DP387="D",1,0)+IF(DQ387="D",1,0)+IF(DW387="D",1,0)+IF(DZ387="D",1,0)+IF(EH387="D",1,0)</f>
        <v/>
      </c>
      <c r="AY387">
        <f>IF(DJ387&lt;&gt;"",1,0)+IF(DK387&lt;&gt;"",1,0)+IF(DM387&lt;&gt;"",1,0)+IF(DO387&lt;&gt;"",1,0)+IF(DP387&lt;&gt;"",1,0)+IF(DQ387&lt;&gt;"",1,0)+IF(DS387&lt;&gt;"",1,0)+IF(DT387&lt;&gt;"",1,0)+IF(DV387&lt;&gt;"",1,0)+IF(DW387&lt;&gt;"",1,0)+IF(DX387&lt;&gt;"",1,0)+IF(DY387&lt;&gt;"",1,0)+IF(DZ387&lt;&gt;"",1,0)+IF(EB387&lt;&gt;"",1,0)+IF(EC387&lt;&gt;"",1,0)+IF(ED387&lt;&gt;"",1,0)+IF(EG387&lt;&gt;"",1,0)+IF(EH387&lt;&gt;"",1,0)</f>
        <v/>
      </c>
      <c r="AZ387">
        <f>IF(EH387&lt;&gt;"",1,0)</f>
        <v/>
      </c>
      <c r="BB387" t="inlineStr">
        <is>
          <t>WARREN-WARD 4</t>
        </is>
      </c>
    </row>
    <row r="388">
      <c r="A388" t="inlineStr">
        <is>
          <t>OH0021887079</t>
        </is>
      </c>
      <c r="B388" t="n">
        <v>78</v>
      </c>
      <c r="C388" t="n">
        <v>388898</v>
      </c>
      <c r="D388" t="inlineStr">
        <is>
          <t>NAMISH</t>
        </is>
      </c>
      <c r="E388" t="inlineStr">
        <is>
          <t>CONNIE</t>
        </is>
      </c>
      <c r="F388">
        <f>CONCATENATE(D388," ",LEFT(H388,4),"T=",AU388,"D=",AV388,"R=",AW388,"M=",AX388,"L=",AY388,"B=",AZ388)</f>
        <v/>
      </c>
      <c r="G388" t="inlineStr">
        <is>
          <t>ROSE</t>
        </is>
      </c>
      <c r="I388" t="inlineStr">
        <is>
          <t>1987-08-28</t>
        </is>
      </c>
      <c r="J388" t="inlineStr">
        <is>
          <t>2022-02-10</t>
        </is>
      </c>
      <c r="K388" t="inlineStr">
        <is>
          <t>CONFIRMATION</t>
        </is>
      </c>
      <c r="M388" t="inlineStr">
        <is>
          <t>226 IDDINGS AVE SE</t>
        </is>
      </c>
      <c r="N388">
        <f>RIGHT(M388,LEN(M388)-FIND(" ",M388))</f>
        <v/>
      </c>
      <c r="P388" t="inlineStr">
        <is>
          <t>WARREN</t>
        </is>
      </c>
      <c r="Q388" t="inlineStr">
        <is>
          <t>OH</t>
        </is>
      </c>
      <c r="R388" t="n">
        <v>44483</v>
      </c>
      <c r="AD388" t="inlineStr">
        <is>
          <t>TRUMBULL CAREER &amp; TECH CENTER</t>
        </is>
      </c>
      <c r="AE388" t="inlineStr">
        <is>
          <t>WARREN CITY</t>
        </is>
      </c>
      <c r="AF388" t="inlineStr">
        <is>
          <t>WARREN CITY SD</t>
        </is>
      </c>
      <c r="AH388" t="n">
        <v>14</v>
      </c>
      <c r="AI388" t="n">
        <v>11</v>
      </c>
      <c r="AN388" t="inlineStr">
        <is>
          <t>WARREN</t>
        </is>
      </c>
      <c r="AO388" t="inlineStr">
        <is>
          <t>WARREN CITY 4A</t>
        </is>
      </c>
      <c r="AP388" t="inlineStr">
        <is>
          <t>78-P-ADI</t>
        </is>
      </c>
      <c r="AQ388" t="n">
        <v>9</v>
      </c>
      <c r="AR388" t="n">
        <v>64</v>
      </c>
      <c r="AS388" t="n">
        <v>32</v>
      </c>
      <c r="AU388">
        <f>COUNTA($BA$388:$EH$388)</f>
        <v/>
      </c>
      <c r="AV388">
        <f>COUNTIF($BA$388:$EH$388,"D")</f>
        <v/>
      </c>
      <c r="AW388">
        <f>COUNTIF($BA$388:$EH$388,"R")</f>
        <v/>
      </c>
      <c r="AX388">
        <f>IF(BN388="D",1,0)+IF(BO388="D",1,0)+IF(BT388="D",1,0)+IF(BU388="D",1,0)+IF(BW388="D",1,0)+IF(CC388="D",1,0)+IF(CD388="D",1,0)+IF(CE388="D",1,0)+IF(CF388="D",1,0)+IF(CL388="D",1,0)+IF(CM388="D",1,0)+IF(CQ388="D",1,0)+IF(CR388="D",1,0)+IF(CS388="D",1,0)+IF(CW388="D",1,0)+IF(CX388="D",1,0)+IF(DD388="D",1,0)+IF(DE388="D",1,0)+IF(DJ388="D",1,0)+IF(DK388="D",1,0)+IF(DO388="D",1,0)+IF(DP388="D",1,0)+IF(DQ388="D",1,0)+IF(DW388="D",1,0)+IF(DZ388="D",1,0)+IF(EH388="D",1,0)</f>
        <v/>
      </c>
      <c r="AY388">
        <f>IF(DJ388&lt;&gt;"",1,0)+IF(DK388&lt;&gt;"",1,0)+IF(DM388&lt;&gt;"",1,0)+IF(DO388&lt;&gt;"",1,0)+IF(DP388&lt;&gt;"",1,0)+IF(DQ388&lt;&gt;"",1,0)+IF(DS388&lt;&gt;"",1,0)+IF(DT388&lt;&gt;"",1,0)+IF(DV388&lt;&gt;"",1,0)+IF(DW388&lt;&gt;"",1,0)+IF(DX388&lt;&gt;"",1,0)+IF(DY388&lt;&gt;"",1,0)+IF(DZ388&lt;&gt;"",1,0)+IF(EB388&lt;&gt;"",1,0)+IF(EC388&lt;&gt;"",1,0)+IF(ED388&lt;&gt;"",1,0)+IF(EG388&lt;&gt;"",1,0)+IF(EH388&lt;&gt;"",1,0)</f>
        <v/>
      </c>
      <c r="AZ388">
        <f>IF(EH388&lt;&gt;"",1,0)</f>
        <v/>
      </c>
      <c r="BB388" t="inlineStr">
        <is>
          <t>WARREN-WARD 4</t>
        </is>
      </c>
      <c r="CP388" t="inlineStr">
        <is>
          <t>X</t>
        </is>
      </c>
    </row>
    <row r="389">
      <c r="A389" t="inlineStr">
        <is>
          <t>OH0026335416</t>
        </is>
      </c>
      <c r="B389" t="n">
        <v>78</v>
      </c>
      <c r="C389" t="n">
        <v>460400</v>
      </c>
      <c r="D389" t="inlineStr">
        <is>
          <t>MARCH</t>
        </is>
      </c>
      <c r="E389" t="inlineStr">
        <is>
          <t>JACQUELINE</t>
        </is>
      </c>
      <c r="F389">
        <f>CONCATENATE(D389," ",LEFT(H389,4),"T=",AU389,"D=",AV389,"R=",AW389,"M=",AX389,"L=",AY389,"B=",AZ389)</f>
        <v/>
      </c>
      <c r="G389" t="inlineStr">
        <is>
          <t>DIANE</t>
        </is>
      </c>
      <c r="I389" t="inlineStr">
        <is>
          <t>2003-12-06</t>
        </is>
      </c>
      <c r="J389" t="inlineStr">
        <is>
          <t>2021-11-04</t>
        </is>
      </c>
      <c r="K389" t="inlineStr">
        <is>
          <t>ACTIVE</t>
        </is>
      </c>
      <c r="M389" t="inlineStr">
        <is>
          <t>617 OAK KNOLL AVE SE</t>
        </is>
      </c>
      <c r="N389">
        <f>RIGHT(M389,LEN(M389)-FIND(" ",M389))</f>
        <v/>
      </c>
      <c r="P389" t="inlineStr">
        <is>
          <t>WARREN</t>
        </is>
      </c>
      <c r="Q389" t="inlineStr">
        <is>
          <t>OH</t>
        </is>
      </c>
      <c r="R389" t="n">
        <v>44483</v>
      </c>
      <c r="AD389" t="inlineStr">
        <is>
          <t>TRUMBULL CAREER &amp; TECH CENTER</t>
        </is>
      </c>
      <c r="AE389" t="inlineStr">
        <is>
          <t>WARREN CITY</t>
        </is>
      </c>
      <c r="AF389" t="inlineStr">
        <is>
          <t>WARREN CITY SD</t>
        </is>
      </c>
      <c r="AH389" t="n">
        <v>14</v>
      </c>
      <c r="AI389" t="n">
        <v>11</v>
      </c>
      <c r="AN389" t="inlineStr">
        <is>
          <t>WARREN</t>
        </is>
      </c>
      <c r="AO389" t="inlineStr">
        <is>
          <t>WARREN CITY 4A</t>
        </is>
      </c>
      <c r="AP389" t="inlineStr">
        <is>
          <t>78-P-ADI</t>
        </is>
      </c>
      <c r="AQ389" t="n">
        <v>9</v>
      </c>
      <c r="AR389" t="n">
        <v>64</v>
      </c>
      <c r="AS389" t="n">
        <v>32</v>
      </c>
      <c r="AU389">
        <f>COUNTA($BA$389:$EH$389)</f>
        <v/>
      </c>
      <c r="AV389">
        <f>COUNTIF($BA$389:$EH$389,"D")</f>
        <v/>
      </c>
      <c r="AW389">
        <f>COUNTIF($BA$389:$EH$389,"R")</f>
        <v/>
      </c>
      <c r="AX389">
        <f>IF(BN389="D",1,0)+IF(BO389="D",1,0)+IF(BT389="D",1,0)+IF(BU389="D",1,0)+IF(BW389="D",1,0)+IF(CC389="D",1,0)+IF(CD389="D",1,0)+IF(CE389="D",1,0)+IF(CF389="D",1,0)+IF(CL389="D",1,0)+IF(CM389="D",1,0)+IF(CQ389="D",1,0)+IF(CR389="D",1,0)+IF(CS389="D",1,0)+IF(CW389="D",1,0)+IF(CX389="D",1,0)+IF(DD389="D",1,0)+IF(DE389="D",1,0)+IF(DJ389="D",1,0)+IF(DK389="D",1,0)+IF(DO389="D",1,0)+IF(DP389="D",1,0)+IF(DQ389="D",1,0)+IF(DW389="D",1,0)+IF(DZ389="D",1,0)+IF(EH389="D",1,0)</f>
        <v/>
      </c>
      <c r="AY389">
        <f>IF(DJ389&lt;&gt;"",1,0)+IF(DK389&lt;&gt;"",1,0)+IF(DM389&lt;&gt;"",1,0)+IF(DO389&lt;&gt;"",1,0)+IF(DP389&lt;&gt;"",1,0)+IF(DQ389&lt;&gt;"",1,0)+IF(DS389&lt;&gt;"",1,0)+IF(DT389&lt;&gt;"",1,0)+IF(DV389&lt;&gt;"",1,0)+IF(DW389&lt;&gt;"",1,0)+IF(DX389&lt;&gt;"",1,0)+IF(DY389&lt;&gt;"",1,0)+IF(DZ389&lt;&gt;"",1,0)+IF(EB389&lt;&gt;"",1,0)+IF(EC389&lt;&gt;"",1,0)+IF(ED389&lt;&gt;"",1,0)+IF(EG389&lt;&gt;"",1,0)+IF(EH389&lt;&gt;"",1,0)</f>
        <v/>
      </c>
      <c r="AZ389">
        <f>IF(EH389&lt;&gt;"",1,0)</f>
        <v/>
      </c>
      <c r="BB389" t="inlineStr">
        <is>
          <t>WARREN-WARD 4</t>
        </is>
      </c>
      <c r="EA389" t="inlineStr">
        <is>
          <t>X</t>
        </is>
      </c>
    </row>
    <row r="390">
      <c r="A390" t="inlineStr">
        <is>
          <t>OH0015741526</t>
        </is>
      </c>
      <c r="B390" t="n">
        <v>78</v>
      </c>
      <c r="C390" t="n">
        <v>322425</v>
      </c>
      <c r="D390" t="inlineStr">
        <is>
          <t>STROUD</t>
        </is>
      </c>
      <c r="E390" t="inlineStr">
        <is>
          <t>MARVIN</t>
        </is>
      </c>
      <c r="F390">
        <f>CONCATENATE(D390," ",LEFT(H390,4),"T=",AU390,"D=",AV390,"R=",AW390,"M=",AX390,"L=",AY390,"B=",AZ390)</f>
        <v/>
      </c>
      <c r="I390" t="inlineStr">
        <is>
          <t>1976-10-15</t>
        </is>
      </c>
      <c r="J390" t="inlineStr">
        <is>
          <t>2018-05-07</t>
        </is>
      </c>
      <c r="K390" t="inlineStr">
        <is>
          <t>CONFIRMATION</t>
        </is>
      </c>
      <c r="M390" t="inlineStr">
        <is>
          <t>459 HOMEWOOD AVE SE</t>
        </is>
      </c>
      <c r="N390">
        <f>RIGHT(M390,LEN(M390)-FIND(" ",M390))</f>
        <v/>
      </c>
      <c r="P390" t="inlineStr">
        <is>
          <t>WARREN</t>
        </is>
      </c>
      <c r="Q390" t="inlineStr">
        <is>
          <t>OH</t>
        </is>
      </c>
      <c r="R390" t="n">
        <v>44483</v>
      </c>
      <c r="AD390" t="inlineStr">
        <is>
          <t>TRUMBULL CAREER &amp; TECH CENTER</t>
        </is>
      </c>
      <c r="AE390" t="inlineStr">
        <is>
          <t>WARREN CITY</t>
        </is>
      </c>
      <c r="AF390" t="inlineStr">
        <is>
          <t>WARREN CITY SD</t>
        </is>
      </c>
      <c r="AH390" t="n">
        <v>14</v>
      </c>
      <c r="AI390" t="n">
        <v>11</v>
      </c>
      <c r="AN390" t="inlineStr">
        <is>
          <t>WARREN</t>
        </is>
      </c>
      <c r="AO390" t="inlineStr">
        <is>
          <t>WARREN CITY 4A</t>
        </is>
      </c>
      <c r="AP390" t="inlineStr">
        <is>
          <t>78-P-ADI</t>
        </is>
      </c>
      <c r="AQ390" t="n">
        <v>9</v>
      </c>
      <c r="AR390" t="n">
        <v>64</v>
      </c>
      <c r="AS390" t="n">
        <v>32</v>
      </c>
      <c r="AU390">
        <f>COUNTA($BA$390:$EH$390)</f>
        <v/>
      </c>
      <c r="AV390">
        <f>COUNTIF($BA$390:$EH$390,"D")</f>
        <v/>
      </c>
      <c r="AW390">
        <f>COUNTIF($BA$390:$EH$390,"R")</f>
        <v/>
      </c>
      <c r="AX390">
        <f>IF(BN390="D",1,0)+IF(BO390="D",1,0)+IF(BT390="D",1,0)+IF(BU390="D",1,0)+IF(BW390="D",1,0)+IF(CC390="D",1,0)+IF(CD390="D",1,0)+IF(CE390="D",1,0)+IF(CF390="D",1,0)+IF(CL390="D",1,0)+IF(CM390="D",1,0)+IF(CQ390="D",1,0)+IF(CR390="D",1,0)+IF(CS390="D",1,0)+IF(CW390="D",1,0)+IF(CX390="D",1,0)+IF(DD390="D",1,0)+IF(DE390="D",1,0)+IF(DJ390="D",1,0)+IF(DK390="D",1,0)+IF(DO390="D",1,0)+IF(DP390="D",1,0)+IF(DQ390="D",1,0)+IF(DW390="D",1,0)+IF(DZ390="D",1,0)+IF(EH390="D",1,0)</f>
        <v/>
      </c>
      <c r="AY390">
        <f>IF(DJ390&lt;&gt;"",1,0)+IF(DK390&lt;&gt;"",1,0)+IF(DM390&lt;&gt;"",1,0)+IF(DO390&lt;&gt;"",1,0)+IF(DP390&lt;&gt;"",1,0)+IF(DQ390&lt;&gt;"",1,0)+IF(DS390&lt;&gt;"",1,0)+IF(DT390&lt;&gt;"",1,0)+IF(DV390&lt;&gt;"",1,0)+IF(DW390&lt;&gt;"",1,0)+IF(DX390&lt;&gt;"",1,0)+IF(DY390&lt;&gt;"",1,0)+IF(DZ390&lt;&gt;"",1,0)+IF(EB390&lt;&gt;"",1,0)+IF(EC390&lt;&gt;"",1,0)+IF(ED390&lt;&gt;"",1,0)+IF(EG390&lt;&gt;"",1,0)+IF(EH390&lt;&gt;"",1,0)</f>
        <v/>
      </c>
      <c r="AZ390">
        <f>IF(EH390&lt;&gt;"",1,0)</f>
        <v/>
      </c>
      <c r="BB390" t="inlineStr">
        <is>
          <t>WARREN-WARD 4</t>
        </is>
      </c>
      <c r="CA390" t="inlineStr">
        <is>
          <t>X</t>
        </is>
      </c>
    </row>
    <row r="391">
      <c r="A391" t="inlineStr">
        <is>
          <t>OH0015817419</t>
        </is>
      </c>
      <c r="B391" t="n">
        <v>78</v>
      </c>
      <c r="C391" t="n">
        <v>272969</v>
      </c>
      <c r="D391" t="inlineStr">
        <is>
          <t>KIMBEL</t>
        </is>
      </c>
      <c r="E391" t="inlineStr">
        <is>
          <t>GLENDA</t>
        </is>
      </c>
      <c r="F391">
        <f>CONCATENATE(D391," ",LEFT(H391,4),"T=",AU391,"D=",AV391,"R=",AW391,"M=",AX391,"L=",AY391,"B=",AZ391)</f>
        <v/>
      </c>
      <c r="G391" t="inlineStr">
        <is>
          <t>SUE</t>
        </is>
      </c>
      <c r="I391" t="inlineStr">
        <is>
          <t>1965-09-17</t>
        </is>
      </c>
      <c r="J391" t="inlineStr">
        <is>
          <t>2020-06-29</t>
        </is>
      </c>
      <c r="K391" t="inlineStr">
        <is>
          <t>CONFIRMATION</t>
        </is>
      </c>
      <c r="M391" t="inlineStr">
        <is>
          <t>446 HOMEWOOD AVE SE</t>
        </is>
      </c>
      <c r="N391">
        <f>RIGHT(M391,LEN(M391)-FIND(" ",M391))</f>
        <v/>
      </c>
      <c r="P391" t="inlineStr">
        <is>
          <t>WARREN</t>
        </is>
      </c>
      <c r="Q391" t="inlineStr">
        <is>
          <t>OH</t>
        </is>
      </c>
      <c r="R391" t="n">
        <v>44483</v>
      </c>
      <c r="AD391" t="inlineStr">
        <is>
          <t>TRUMBULL CAREER &amp; TECH CENTER</t>
        </is>
      </c>
      <c r="AE391" t="inlineStr">
        <is>
          <t>WARREN CITY</t>
        </is>
      </c>
      <c r="AF391" t="inlineStr">
        <is>
          <t>WARREN CITY SD</t>
        </is>
      </c>
      <c r="AH391" t="n">
        <v>14</v>
      </c>
      <c r="AI391" t="n">
        <v>11</v>
      </c>
      <c r="AN391" t="inlineStr">
        <is>
          <t>WARREN</t>
        </is>
      </c>
      <c r="AO391" t="inlineStr">
        <is>
          <t>WARREN CITY 4A</t>
        </is>
      </c>
      <c r="AP391" t="inlineStr">
        <is>
          <t>78-P-ADI</t>
        </is>
      </c>
      <c r="AQ391" t="n">
        <v>9</v>
      </c>
      <c r="AR391" t="n">
        <v>64</v>
      </c>
      <c r="AS391" t="n">
        <v>32</v>
      </c>
      <c r="AU391">
        <f>COUNTA($BA$391:$EH$391)</f>
        <v/>
      </c>
      <c r="AV391">
        <f>COUNTIF($BA$391:$EH$391,"D")</f>
        <v/>
      </c>
      <c r="AW391">
        <f>COUNTIF($BA$391:$EH$391,"R")</f>
        <v/>
      </c>
      <c r="AX391">
        <f>IF(BN391="D",1,0)+IF(BO391="D",1,0)+IF(BT391="D",1,0)+IF(BU391="D",1,0)+IF(BW391="D",1,0)+IF(CC391="D",1,0)+IF(CD391="D",1,0)+IF(CE391="D",1,0)+IF(CF391="D",1,0)+IF(CL391="D",1,0)+IF(CM391="D",1,0)+IF(CQ391="D",1,0)+IF(CR391="D",1,0)+IF(CS391="D",1,0)+IF(CW391="D",1,0)+IF(CX391="D",1,0)+IF(DD391="D",1,0)+IF(DE391="D",1,0)+IF(DJ391="D",1,0)+IF(DK391="D",1,0)+IF(DO391="D",1,0)+IF(DP391="D",1,0)+IF(DQ391="D",1,0)+IF(DW391="D",1,0)+IF(DZ391="D",1,0)+IF(EH391="D",1,0)</f>
        <v/>
      </c>
      <c r="AY391">
        <f>IF(DJ391&lt;&gt;"",1,0)+IF(DK391&lt;&gt;"",1,0)+IF(DM391&lt;&gt;"",1,0)+IF(DO391&lt;&gt;"",1,0)+IF(DP391&lt;&gt;"",1,0)+IF(DQ391&lt;&gt;"",1,0)+IF(DS391&lt;&gt;"",1,0)+IF(DT391&lt;&gt;"",1,0)+IF(DV391&lt;&gt;"",1,0)+IF(DW391&lt;&gt;"",1,0)+IF(DX391&lt;&gt;"",1,0)+IF(DY391&lt;&gt;"",1,0)+IF(DZ391&lt;&gt;"",1,0)+IF(EB391&lt;&gt;"",1,0)+IF(EC391&lt;&gt;"",1,0)+IF(ED391&lt;&gt;"",1,0)+IF(EG391&lt;&gt;"",1,0)+IF(EH391&lt;&gt;"",1,0)</f>
        <v/>
      </c>
      <c r="AZ391">
        <f>IF(EH391&lt;&gt;"",1,0)</f>
        <v/>
      </c>
      <c r="BB391" t="inlineStr">
        <is>
          <t>WARREN-WARD 4</t>
        </is>
      </c>
      <c r="BD391" t="inlineStr">
        <is>
          <t>X</t>
        </is>
      </c>
      <c r="BE391" t="inlineStr">
        <is>
          <t>X</t>
        </is>
      </c>
      <c r="BF391" t="inlineStr">
        <is>
          <t>X</t>
        </is>
      </c>
      <c r="BG391" t="inlineStr">
        <is>
          <t>X</t>
        </is>
      </c>
      <c r="BH391" t="inlineStr">
        <is>
          <t>X</t>
        </is>
      </c>
      <c r="BI391" t="inlineStr">
        <is>
          <t>X</t>
        </is>
      </c>
      <c r="BJ391" t="inlineStr">
        <is>
          <t>X</t>
        </is>
      </c>
      <c r="BK391" t="inlineStr">
        <is>
          <t>X</t>
        </is>
      </c>
      <c r="BL391" t="inlineStr">
        <is>
          <t>X</t>
        </is>
      </c>
      <c r="BP391" t="inlineStr">
        <is>
          <t>X</t>
        </is>
      </c>
      <c r="BR391" t="inlineStr">
        <is>
          <t>X</t>
        </is>
      </c>
      <c r="BS391" t="inlineStr">
        <is>
          <t>X</t>
        </is>
      </c>
      <c r="BV391" t="inlineStr">
        <is>
          <t>X</t>
        </is>
      </c>
      <c r="BY391" t="inlineStr">
        <is>
          <t>D</t>
        </is>
      </c>
      <c r="CA391" t="inlineStr">
        <is>
          <t>X</t>
        </is>
      </c>
      <c r="CG391" t="inlineStr">
        <is>
          <t>X</t>
        </is>
      </c>
      <c r="CK391" t="inlineStr">
        <is>
          <t>X</t>
        </is>
      </c>
      <c r="CL391" t="inlineStr">
        <is>
          <t>D</t>
        </is>
      </c>
      <c r="CN391" t="inlineStr">
        <is>
          <t>X</t>
        </is>
      </c>
      <c r="CP391" t="inlineStr">
        <is>
          <t>X</t>
        </is>
      </c>
      <c r="CW391" t="inlineStr">
        <is>
          <t>D</t>
        </is>
      </c>
      <c r="CZ391" t="inlineStr">
        <is>
          <t>D</t>
        </is>
      </c>
      <c r="DC391" t="inlineStr">
        <is>
          <t>X</t>
        </is>
      </c>
    </row>
    <row r="392">
      <c r="A392" t="inlineStr">
        <is>
          <t>OH0025915038</t>
        </is>
      </c>
      <c r="B392" t="n">
        <v>78</v>
      </c>
      <c r="C392" t="n">
        <v>452547</v>
      </c>
      <c r="D392" t="inlineStr">
        <is>
          <t>BIRD</t>
        </is>
      </c>
      <c r="E392" t="inlineStr">
        <is>
          <t>NORMA</t>
        </is>
      </c>
      <c r="F392">
        <f>CONCATENATE(D392," ",LEFT(H392,4),"T=",AU392,"D=",AV392,"R=",AW392,"M=",AX392,"L=",AY392,"B=",AZ392)</f>
        <v/>
      </c>
      <c r="I392" t="inlineStr">
        <is>
          <t>1973-10-04</t>
        </is>
      </c>
      <c r="J392" t="inlineStr">
        <is>
          <t>2020-09-29</t>
        </is>
      </c>
      <c r="K392" t="inlineStr">
        <is>
          <t>ACTIVE</t>
        </is>
      </c>
      <c r="M392" t="inlineStr">
        <is>
          <t>451 HOMEWOOD AVE SE</t>
        </is>
      </c>
      <c r="N392">
        <f>RIGHT(M392,LEN(M392)-FIND(" ",M392))</f>
        <v/>
      </c>
      <c r="P392" t="inlineStr">
        <is>
          <t>WARREN</t>
        </is>
      </c>
      <c r="Q392" t="inlineStr">
        <is>
          <t>OH</t>
        </is>
      </c>
      <c r="R392" t="n">
        <v>44483</v>
      </c>
      <c r="AD392" t="inlineStr">
        <is>
          <t>TRUMBULL CAREER &amp; TECH CENTER</t>
        </is>
      </c>
      <c r="AE392" t="inlineStr">
        <is>
          <t>WARREN CITY</t>
        </is>
      </c>
      <c r="AF392" t="inlineStr">
        <is>
          <t>WARREN CITY SD</t>
        </is>
      </c>
      <c r="AH392" t="n">
        <v>14</v>
      </c>
      <c r="AI392" t="n">
        <v>11</v>
      </c>
      <c r="AN392" t="inlineStr">
        <is>
          <t>WARREN</t>
        </is>
      </c>
      <c r="AO392" t="inlineStr">
        <is>
          <t>WARREN CITY 4A</t>
        </is>
      </c>
      <c r="AP392" t="inlineStr">
        <is>
          <t>78-P-ADI</t>
        </is>
      </c>
      <c r="AQ392" t="n">
        <v>9</v>
      </c>
      <c r="AR392" t="n">
        <v>64</v>
      </c>
      <c r="AS392" t="n">
        <v>32</v>
      </c>
      <c r="AU392">
        <f>COUNTA($BA$392:$EH$392)</f>
        <v/>
      </c>
      <c r="AV392">
        <f>COUNTIF($BA$392:$EH$392,"D")</f>
        <v/>
      </c>
      <c r="AW392">
        <f>COUNTIF($BA$392:$EH$392,"R")</f>
        <v/>
      </c>
      <c r="AX392">
        <f>IF(BN392="D",1,0)+IF(BO392="D",1,0)+IF(BT392="D",1,0)+IF(BU392="D",1,0)+IF(BW392="D",1,0)+IF(CC392="D",1,0)+IF(CD392="D",1,0)+IF(CE392="D",1,0)+IF(CF392="D",1,0)+IF(CL392="D",1,0)+IF(CM392="D",1,0)+IF(CQ392="D",1,0)+IF(CR392="D",1,0)+IF(CS392="D",1,0)+IF(CW392="D",1,0)+IF(CX392="D",1,0)+IF(DD392="D",1,0)+IF(DE392="D",1,0)+IF(DJ392="D",1,0)+IF(DK392="D",1,0)+IF(DO392="D",1,0)+IF(DP392="D",1,0)+IF(DQ392="D",1,0)+IF(DW392="D",1,0)+IF(DZ392="D",1,0)+IF(EH392="D",1,0)</f>
        <v/>
      </c>
      <c r="AY392">
        <f>IF(DJ392&lt;&gt;"",1,0)+IF(DK392&lt;&gt;"",1,0)+IF(DM392&lt;&gt;"",1,0)+IF(DO392&lt;&gt;"",1,0)+IF(DP392&lt;&gt;"",1,0)+IF(DQ392&lt;&gt;"",1,0)+IF(DS392&lt;&gt;"",1,0)+IF(DT392&lt;&gt;"",1,0)+IF(DV392&lt;&gt;"",1,0)+IF(DW392&lt;&gt;"",1,0)+IF(DX392&lt;&gt;"",1,0)+IF(DY392&lt;&gt;"",1,0)+IF(DZ392&lt;&gt;"",1,0)+IF(EB392&lt;&gt;"",1,0)+IF(EC392&lt;&gt;"",1,0)+IF(ED392&lt;&gt;"",1,0)+IF(EG392&lt;&gt;"",1,0)+IF(EH392&lt;&gt;"",1,0)</f>
        <v/>
      </c>
      <c r="AZ392">
        <f>IF(EH392&lt;&gt;"",1,0)</f>
        <v/>
      </c>
      <c r="BB392" t="inlineStr">
        <is>
          <t>WARREN-WARD 4</t>
        </is>
      </c>
      <c r="EF392" t="inlineStr">
        <is>
          <t>X</t>
        </is>
      </c>
    </row>
    <row r="393">
      <c r="A393" t="inlineStr">
        <is>
          <t>OH0027521663</t>
        </is>
      </c>
      <c r="B393" t="n">
        <v>78</v>
      </c>
      <c r="C393" t="n">
        <v>487767</v>
      </c>
      <c r="D393" t="inlineStr">
        <is>
          <t>GONZALEZ</t>
        </is>
      </c>
      <c r="E393" t="inlineStr">
        <is>
          <t>CAMILA</t>
        </is>
      </c>
      <c r="F393">
        <f>CONCATENATE(D393," ",LEFT(H393,4),"T=",AU393,"D=",AV393,"R=",AW393,"M=",AX393,"L=",AY393,"B=",AZ393)</f>
        <v/>
      </c>
      <c r="I393" t="inlineStr">
        <is>
          <t>1996-05-15</t>
        </is>
      </c>
      <c r="J393" t="inlineStr">
        <is>
          <t>2024-08-21</t>
        </is>
      </c>
      <c r="K393" t="inlineStr">
        <is>
          <t>ACTIVE</t>
        </is>
      </c>
      <c r="M393" t="inlineStr">
        <is>
          <t>246 ADELAIDE AVE SE</t>
        </is>
      </c>
      <c r="N393">
        <f>RIGHT(M393,LEN(M393)-FIND(" ",M393))</f>
        <v/>
      </c>
      <c r="O393" t="inlineStr">
        <is>
          <t>APT B</t>
        </is>
      </c>
      <c r="P393" t="inlineStr">
        <is>
          <t>WARREN</t>
        </is>
      </c>
      <c r="Q393" t="inlineStr">
        <is>
          <t>OH</t>
        </is>
      </c>
      <c r="R393" t="n">
        <v>44483</v>
      </c>
      <c r="AD393" t="inlineStr">
        <is>
          <t>TRUMBULL CAREER &amp; TECH CENTER</t>
        </is>
      </c>
      <c r="AE393" t="inlineStr">
        <is>
          <t>WARREN CITY</t>
        </is>
      </c>
      <c r="AF393" t="inlineStr">
        <is>
          <t>WARREN CITY SD</t>
        </is>
      </c>
      <c r="AH393" t="n">
        <v>14</v>
      </c>
      <c r="AI393" t="n">
        <v>11</v>
      </c>
      <c r="AN393" t="inlineStr">
        <is>
          <t>WARREN</t>
        </is>
      </c>
      <c r="AO393" t="inlineStr">
        <is>
          <t>WARREN CITY 4A</t>
        </is>
      </c>
      <c r="AP393" t="inlineStr">
        <is>
          <t>78-P-ADI</t>
        </is>
      </c>
      <c r="AQ393" t="n">
        <v>9</v>
      </c>
      <c r="AR393" t="n">
        <v>64</v>
      </c>
      <c r="AS393" t="n">
        <v>32</v>
      </c>
      <c r="AU393">
        <f>COUNTA($BA$393:$EH$393)</f>
        <v/>
      </c>
      <c r="AV393">
        <f>COUNTIF($BA$393:$EH$393,"D")</f>
        <v/>
      </c>
      <c r="AW393">
        <f>COUNTIF($BA$393:$EH$393,"R")</f>
        <v/>
      </c>
      <c r="AX393">
        <f>IF(BN393="D",1,0)+IF(BO393="D",1,0)+IF(BT393="D",1,0)+IF(BU393="D",1,0)+IF(BW393="D",1,0)+IF(CC393="D",1,0)+IF(CD393="D",1,0)+IF(CE393="D",1,0)+IF(CF393="D",1,0)+IF(CL393="D",1,0)+IF(CM393="D",1,0)+IF(CQ393="D",1,0)+IF(CR393="D",1,0)+IF(CS393="D",1,0)+IF(CW393="D",1,0)+IF(CX393="D",1,0)+IF(DD393="D",1,0)+IF(DE393="D",1,0)+IF(DJ393="D",1,0)+IF(DK393="D",1,0)+IF(DO393="D",1,0)+IF(DP393="D",1,0)+IF(DQ393="D",1,0)+IF(DW393="D",1,0)+IF(DZ393="D",1,0)+IF(EH393="D",1,0)</f>
        <v/>
      </c>
      <c r="AY393">
        <f>IF(DJ393&lt;&gt;"",1,0)+IF(DK393&lt;&gt;"",1,0)+IF(DM393&lt;&gt;"",1,0)+IF(DO393&lt;&gt;"",1,0)+IF(DP393&lt;&gt;"",1,0)+IF(DQ393&lt;&gt;"",1,0)+IF(DS393&lt;&gt;"",1,0)+IF(DT393&lt;&gt;"",1,0)+IF(DV393&lt;&gt;"",1,0)+IF(DW393&lt;&gt;"",1,0)+IF(DX393&lt;&gt;"",1,0)+IF(DY393&lt;&gt;"",1,0)+IF(DZ393&lt;&gt;"",1,0)+IF(EB393&lt;&gt;"",1,0)+IF(EC393&lt;&gt;"",1,0)+IF(ED393&lt;&gt;"",1,0)+IF(EG393&lt;&gt;"",1,0)+IF(EH393&lt;&gt;"",1,0)</f>
        <v/>
      </c>
      <c r="AZ393">
        <f>IF(EH393&lt;&gt;"",1,0)</f>
        <v/>
      </c>
      <c r="BB393" t="inlineStr">
        <is>
          <t>WARREN-WARD 4</t>
        </is>
      </c>
      <c r="EF393" t="inlineStr">
        <is>
          <t>X</t>
        </is>
      </c>
    </row>
    <row r="394">
      <c r="A394" t="inlineStr">
        <is>
          <t>OH0022466690</t>
        </is>
      </c>
      <c r="B394" t="n">
        <v>78</v>
      </c>
      <c r="C394" t="n">
        <v>383644</v>
      </c>
      <c r="D394" t="inlineStr">
        <is>
          <t>BLACKWELL</t>
        </is>
      </c>
      <c r="E394" t="inlineStr">
        <is>
          <t>CHARLES</t>
        </is>
      </c>
      <c r="F394">
        <f>CONCATENATE(D394," ",LEFT(H394,4),"T=",AU394,"D=",AV394,"R=",AW394,"M=",AX394,"L=",AY394,"B=",AZ394)</f>
        <v/>
      </c>
      <c r="G394" t="inlineStr">
        <is>
          <t>T</t>
        </is>
      </c>
      <c r="I394" t="inlineStr">
        <is>
          <t>1991-04-08</t>
        </is>
      </c>
      <c r="J394" t="inlineStr">
        <is>
          <t>2016-08-12</t>
        </is>
      </c>
      <c r="K394" t="inlineStr">
        <is>
          <t>CONFIRMATION</t>
        </is>
      </c>
      <c r="M394" t="inlineStr">
        <is>
          <t>306 WOODBINE AVE SE</t>
        </is>
      </c>
      <c r="N394">
        <f>RIGHT(M394,LEN(M394)-FIND(" ",M394))</f>
        <v/>
      </c>
      <c r="P394" t="inlineStr">
        <is>
          <t>WARREN</t>
        </is>
      </c>
      <c r="Q394" t="inlineStr">
        <is>
          <t>OH</t>
        </is>
      </c>
      <c r="R394" t="n">
        <v>44483</v>
      </c>
      <c r="AD394" t="inlineStr">
        <is>
          <t>TRUMBULL CAREER &amp; TECH CENTER</t>
        </is>
      </c>
      <c r="AE394" t="inlineStr">
        <is>
          <t>WARREN CITY</t>
        </is>
      </c>
      <c r="AF394" t="inlineStr">
        <is>
          <t>WARREN CITY SD</t>
        </is>
      </c>
      <c r="AH394" t="n">
        <v>14</v>
      </c>
      <c r="AI394" t="n">
        <v>11</v>
      </c>
      <c r="AN394" t="inlineStr">
        <is>
          <t>WARREN</t>
        </is>
      </c>
      <c r="AO394" t="inlineStr">
        <is>
          <t>WARREN CITY 4A</t>
        </is>
      </c>
      <c r="AP394" t="inlineStr">
        <is>
          <t>78-P-ADI</t>
        </is>
      </c>
      <c r="AQ394" t="n">
        <v>9</v>
      </c>
      <c r="AR394" t="n">
        <v>64</v>
      </c>
      <c r="AS394" t="n">
        <v>32</v>
      </c>
      <c r="AU394">
        <f>COUNTA($BA$394:$EH$394)</f>
        <v/>
      </c>
      <c r="AV394">
        <f>COUNTIF($BA$394:$EH$394,"D")</f>
        <v/>
      </c>
      <c r="AW394">
        <f>COUNTIF($BA$394:$EH$394,"R")</f>
        <v/>
      </c>
      <c r="AX394">
        <f>IF(BN394="D",1,0)+IF(BO394="D",1,0)+IF(BT394="D",1,0)+IF(BU394="D",1,0)+IF(BW394="D",1,0)+IF(CC394="D",1,0)+IF(CD394="D",1,0)+IF(CE394="D",1,0)+IF(CF394="D",1,0)+IF(CL394="D",1,0)+IF(CM394="D",1,0)+IF(CQ394="D",1,0)+IF(CR394="D",1,0)+IF(CS394="D",1,0)+IF(CW394="D",1,0)+IF(CX394="D",1,0)+IF(DD394="D",1,0)+IF(DE394="D",1,0)+IF(DJ394="D",1,0)+IF(DK394="D",1,0)+IF(DO394="D",1,0)+IF(DP394="D",1,0)+IF(DQ394="D",1,0)+IF(DW394="D",1,0)+IF(DZ394="D",1,0)+IF(EH394="D",1,0)</f>
        <v/>
      </c>
      <c r="AY394">
        <f>IF(DJ394&lt;&gt;"",1,0)+IF(DK394&lt;&gt;"",1,0)+IF(DM394&lt;&gt;"",1,0)+IF(DO394&lt;&gt;"",1,0)+IF(DP394&lt;&gt;"",1,0)+IF(DQ394&lt;&gt;"",1,0)+IF(DS394&lt;&gt;"",1,0)+IF(DT394&lt;&gt;"",1,0)+IF(DV394&lt;&gt;"",1,0)+IF(DW394&lt;&gt;"",1,0)+IF(DX394&lt;&gt;"",1,0)+IF(DY394&lt;&gt;"",1,0)+IF(DZ394&lt;&gt;"",1,0)+IF(EB394&lt;&gt;"",1,0)+IF(EC394&lt;&gt;"",1,0)+IF(ED394&lt;&gt;"",1,0)+IF(EG394&lt;&gt;"",1,0)+IF(EH394&lt;&gt;"",1,0)</f>
        <v/>
      </c>
      <c r="AZ394">
        <f>IF(EH394&lt;&gt;"",1,0)</f>
        <v/>
      </c>
      <c r="BB394" t="inlineStr">
        <is>
          <t>WARREN-WARD 4</t>
        </is>
      </c>
    </row>
    <row r="395">
      <c r="A395" t="inlineStr">
        <is>
          <t>OH0027496932</t>
        </is>
      </c>
      <c r="B395" t="n">
        <v>78</v>
      </c>
      <c r="C395" t="n">
        <v>487100</v>
      </c>
      <c r="D395" t="inlineStr">
        <is>
          <t>CONLON</t>
        </is>
      </c>
      <c r="E395" t="inlineStr">
        <is>
          <t>RAY</t>
        </is>
      </c>
      <c r="F395">
        <f>CONCATENATE(D395," ",LEFT(H395,4),"T=",AU395,"D=",AV395,"R=",AW395,"M=",AX395,"L=",AY395,"B=",AZ395)</f>
        <v/>
      </c>
      <c r="G395" t="inlineStr">
        <is>
          <t>P</t>
        </is>
      </c>
      <c r="I395" t="inlineStr">
        <is>
          <t>1981-04-09</t>
        </is>
      </c>
      <c r="J395" t="inlineStr">
        <is>
          <t>2024-08-02</t>
        </is>
      </c>
      <c r="K395" t="inlineStr">
        <is>
          <t>CONFIRMATION</t>
        </is>
      </c>
      <c r="M395" t="inlineStr">
        <is>
          <t>1597 YOUNGSTOWN RD SE</t>
        </is>
      </c>
      <c r="N395">
        <f>RIGHT(M395,LEN(M395)-FIND(" ",M395))</f>
        <v/>
      </c>
      <c r="P395" t="inlineStr">
        <is>
          <t>WARREN</t>
        </is>
      </c>
      <c r="Q395" t="inlineStr">
        <is>
          <t>OH</t>
        </is>
      </c>
      <c r="R395" t="n">
        <v>44484</v>
      </c>
      <c r="AD395" t="inlineStr">
        <is>
          <t>TRUMBULL CAREER &amp; TECH CENTER</t>
        </is>
      </c>
      <c r="AE395" t="inlineStr">
        <is>
          <t>WARREN CITY</t>
        </is>
      </c>
      <c r="AF395" t="inlineStr">
        <is>
          <t>WARREN CITY SD</t>
        </is>
      </c>
      <c r="AH395" t="n">
        <v>14</v>
      </c>
      <c r="AI395" t="n">
        <v>11</v>
      </c>
      <c r="AN395" t="inlineStr">
        <is>
          <t>WARREN</t>
        </is>
      </c>
      <c r="AO395" t="inlineStr">
        <is>
          <t>WARREN CITY 4A</t>
        </is>
      </c>
      <c r="AP395" t="inlineStr">
        <is>
          <t>78-P-ADI</t>
        </is>
      </c>
      <c r="AQ395" t="n">
        <v>9</v>
      </c>
      <c r="AR395" t="n">
        <v>64</v>
      </c>
      <c r="AS395" t="n">
        <v>32</v>
      </c>
      <c r="AU395">
        <f>COUNTA($BA$395:$EH$395)</f>
        <v/>
      </c>
      <c r="AV395">
        <f>COUNTIF($BA$395:$EH$395,"D")</f>
        <v/>
      </c>
      <c r="AW395">
        <f>COUNTIF($BA$395:$EH$395,"R")</f>
        <v/>
      </c>
      <c r="AX395">
        <f>IF(BN395="D",1,0)+IF(BO395="D",1,0)+IF(BT395="D",1,0)+IF(BU395="D",1,0)+IF(BW395="D",1,0)+IF(CC395="D",1,0)+IF(CD395="D",1,0)+IF(CE395="D",1,0)+IF(CF395="D",1,0)+IF(CL395="D",1,0)+IF(CM395="D",1,0)+IF(CQ395="D",1,0)+IF(CR395="D",1,0)+IF(CS395="D",1,0)+IF(CW395="D",1,0)+IF(CX395="D",1,0)+IF(DD395="D",1,0)+IF(DE395="D",1,0)+IF(DJ395="D",1,0)+IF(DK395="D",1,0)+IF(DO395="D",1,0)+IF(DP395="D",1,0)+IF(DQ395="D",1,0)+IF(DW395="D",1,0)+IF(DZ395="D",1,0)+IF(EH395="D",1,0)</f>
        <v/>
      </c>
      <c r="AY395">
        <f>IF(DJ395&lt;&gt;"",1,0)+IF(DK395&lt;&gt;"",1,0)+IF(DM395&lt;&gt;"",1,0)+IF(DO395&lt;&gt;"",1,0)+IF(DP395&lt;&gt;"",1,0)+IF(DQ395&lt;&gt;"",1,0)+IF(DS395&lt;&gt;"",1,0)+IF(DT395&lt;&gt;"",1,0)+IF(DV395&lt;&gt;"",1,0)+IF(DW395&lt;&gt;"",1,0)+IF(DX395&lt;&gt;"",1,0)+IF(DY395&lt;&gt;"",1,0)+IF(DZ395&lt;&gt;"",1,0)+IF(EB395&lt;&gt;"",1,0)+IF(EC395&lt;&gt;"",1,0)+IF(ED395&lt;&gt;"",1,0)+IF(EG395&lt;&gt;"",1,0)+IF(EH395&lt;&gt;"",1,0)</f>
        <v/>
      </c>
      <c r="AZ395">
        <f>IF(EH395&lt;&gt;"",1,0)</f>
        <v/>
      </c>
      <c r="BB395" t="inlineStr">
        <is>
          <t>WARREN-WARD 4</t>
        </is>
      </c>
    </row>
    <row r="396">
      <c r="A396" t="inlineStr">
        <is>
          <t>OH0025720418</t>
        </is>
      </c>
      <c r="B396" t="n">
        <v>78</v>
      </c>
      <c r="C396" t="n">
        <v>449151</v>
      </c>
      <c r="D396" t="inlineStr">
        <is>
          <t>SANLO</t>
        </is>
      </c>
      <c r="E396" t="inlineStr">
        <is>
          <t>CURTIS</t>
        </is>
      </c>
      <c r="F396">
        <f>CONCATENATE(D396," ",LEFT(H396,4),"T=",AU396,"D=",AV396,"R=",AW396,"M=",AX396,"L=",AY396,"B=",AZ396)</f>
        <v/>
      </c>
      <c r="G396" t="inlineStr">
        <is>
          <t>LEE</t>
        </is>
      </c>
      <c r="H396" t="inlineStr">
        <is>
          <t>JR</t>
        </is>
      </c>
      <c r="I396" t="inlineStr">
        <is>
          <t>1996-03-11</t>
        </is>
      </c>
      <c r="J396" t="inlineStr">
        <is>
          <t>2024-11-05</t>
        </is>
      </c>
      <c r="K396" t="inlineStr">
        <is>
          <t>ACTIVE</t>
        </is>
      </c>
      <c r="M396" t="inlineStr">
        <is>
          <t>192 KENILWORTH AVE SE</t>
        </is>
      </c>
      <c r="N396">
        <f>RIGHT(M396,LEN(M396)-FIND(" ",M396))</f>
        <v/>
      </c>
      <c r="P396" t="inlineStr">
        <is>
          <t>WARREN</t>
        </is>
      </c>
      <c r="Q396" t="inlineStr">
        <is>
          <t>OH</t>
        </is>
      </c>
      <c r="R396" t="n">
        <v>44483</v>
      </c>
      <c r="AD396" t="inlineStr">
        <is>
          <t>TRUMBULL CAREER &amp; TECH CENTER</t>
        </is>
      </c>
      <c r="AE396" t="inlineStr">
        <is>
          <t>WARREN CITY</t>
        </is>
      </c>
      <c r="AF396" t="inlineStr">
        <is>
          <t>WARREN CITY SD</t>
        </is>
      </c>
      <c r="AH396" t="n">
        <v>14</v>
      </c>
      <c r="AI396" t="n">
        <v>11</v>
      </c>
      <c r="AN396" t="inlineStr">
        <is>
          <t>WARREN</t>
        </is>
      </c>
      <c r="AO396" t="inlineStr">
        <is>
          <t>WARREN CITY 4A</t>
        </is>
      </c>
      <c r="AP396" t="inlineStr">
        <is>
          <t>78-P-ADI</t>
        </is>
      </c>
      <c r="AQ396" t="n">
        <v>9</v>
      </c>
      <c r="AR396" t="n">
        <v>64</v>
      </c>
      <c r="AS396" t="n">
        <v>32</v>
      </c>
      <c r="AU396">
        <f>COUNTA($BA$396:$EH$396)</f>
        <v/>
      </c>
      <c r="AV396">
        <f>COUNTIF($BA$396:$EH$396,"D")</f>
        <v/>
      </c>
      <c r="AW396">
        <f>COUNTIF($BA$396:$EH$396,"R")</f>
        <v/>
      </c>
      <c r="AX396">
        <f>IF(BN396="D",1,0)+IF(BO396="D",1,0)+IF(BT396="D",1,0)+IF(BU396="D",1,0)+IF(BW396="D",1,0)+IF(CC396="D",1,0)+IF(CD396="D",1,0)+IF(CE396="D",1,0)+IF(CF396="D",1,0)+IF(CL396="D",1,0)+IF(CM396="D",1,0)+IF(CQ396="D",1,0)+IF(CR396="D",1,0)+IF(CS396="D",1,0)+IF(CW396="D",1,0)+IF(CX396="D",1,0)+IF(DD396="D",1,0)+IF(DE396="D",1,0)+IF(DJ396="D",1,0)+IF(DK396="D",1,0)+IF(DO396="D",1,0)+IF(DP396="D",1,0)+IF(DQ396="D",1,0)+IF(DW396="D",1,0)+IF(DZ396="D",1,0)+IF(EH396="D",1,0)</f>
        <v/>
      </c>
      <c r="AY396">
        <f>IF(DJ396&lt;&gt;"",1,0)+IF(DK396&lt;&gt;"",1,0)+IF(DM396&lt;&gt;"",1,0)+IF(DO396&lt;&gt;"",1,0)+IF(DP396&lt;&gt;"",1,0)+IF(DQ396&lt;&gt;"",1,0)+IF(DS396&lt;&gt;"",1,0)+IF(DT396&lt;&gt;"",1,0)+IF(DV396&lt;&gt;"",1,0)+IF(DW396&lt;&gt;"",1,0)+IF(DX396&lt;&gt;"",1,0)+IF(DY396&lt;&gt;"",1,0)+IF(DZ396&lt;&gt;"",1,0)+IF(EB396&lt;&gt;"",1,0)+IF(EC396&lt;&gt;"",1,0)+IF(ED396&lt;&gt;"",1,0)+IF(EG396&lt;&gt;"",1,0)+IF(EH396&lt;&gt;"",1,0)</f>
        <v/>
      </c>
      <c r="AZ396">
        <f>IF(EH396&lt;&gt;"",1,0)</f>
        <v/>
      </c>
      <c r="BB396" t="inlineStr">
        <is>
          <t>WARREN-WARD 4</t>
        </is>
      </c>
    </row>
    <row r="397">
      <c r="A397" t="inlineStr">
        <is>
          <t>OH0025220664</t>
        </is>
      </c>
      <c r="B397" t="n">
        <v>78</v>
      </c>
      <c r="C397" t="n">
        <v>441601</v>
      </c>
      <c r="D397" t="inlineStr">
        <is>
          <t>NOLAN</t>
        </is>
      </c>
      <c r="E397" t="inlineStr">
        <is>
          <t>JOSHUA</t>
        </is>
      </c>
      <c r="F397">
        <f>CONCATENATE(D397," ",LEFT(H397,4),"T=",AU397,"D=",AV397,"R=",AW397,"M=",AX397,"L=",AY397,"B=",AZ397)</f>
        <v/>
      </c>
      <c r="G397" t="inlineStr">
        <is>
          <t>P</t>
        </is>
      </c>
      <c r="I397" t="inlineStr">
        <is>
          <t>1988-03-16</t>
        </is>
      </c>
      <c r="J397" t="inlineStr">
        <is>
          <t>2021-06-01</t>
        </is>
      </c>
      <c r="K397" t="inlineStr">
        <is>
          <t>ACTIVE</t>
        </is>
      </c>
      <c r="L397" t="inlineStr">
        <is>
          <t>R</t>
        </is>
      </c>
      <c r="M397" t="inlineStr">
        <is>
          <t>206 ADELAIDE AVE SE</t>
        </is>
      </c>
      <c r="N397">
        <f>RIGHT(M397,LEN(M397)-FIND(" ",M397))</f>
        <v/>
      </c>
      <c r="P397" t="inlineStr">
        <is>
          <t>WARREN</t>
        </is>
      </c>
      <c r="Q397" t="inlineStr">
        <is>
          <t>OH</t>
        </is>
      </c>
      <c r="R397" t="n">
        <v>44483</v>
      </c>
      <c r="AD397" t="inlineStr">
        <is>
          <t>TRUMBULL CAREER &amp; TECH CENTER</t>
        </is>
      </c>
      <c r="AE397" t="inlineStr">
        <is>
          <t>WARREN CITY</t>
        </is>
      </c>
      <c r="AF397" t="inlineStr">
        <is>
          <t>WARREN CITY SD</t>
        </is>
      </c>
      <c r="AH397" t="n">
        <v>14</v>
      </c>
      <c r="AI397" t="n">
        <v>11</v>
      </c>
      <c r="AN397" t="inlineStr">
        <is>
          <t>WARREN</t>
        </is>
      </c>
      <c r="AO397" t="inlineStr">
        <is>
          <t>WARREN CITY 4A</t>
        </is>
      </c>
      <c r="AP397" t="inlineStr">
        <is>
          <t>78-P-ADI</t>
        </is>
      </c>
      <c r="AQ397" t="n">
        <v>9</v>
      </c>
      <c r="AR397" t="n">
        <v>64</v>
      </c>
      <c r="AS397" t="n">
        <v>32</v>
      </c>
      <c r="AU397">
        <f>COUNTA($BA$397:$EH$397)</f>
        <v/>
      </c>
      <c r="AV397">
        <f>COUNTIF($BA$397:$EH$397,"D")</f>
        <v/>
      </c>
      <c r="AW397">
        <f>COUNTIF($BA$397:$EH$397,"R")</f>
        <v/>
      </c>
      <c r="AX397">
        <f>IF(BN397="D",1,0)+IF(BO397="D",1,0)+IF(BT397="D",1,0)+IF(BU397="D",1,0)+IF(BW397="D",1,0)+IF(CC397="D",1,0)+IF(CD397="D",1,0)+IF(CE397="D",1,0)+IF(CF397="D",1,0)+IF(CL397="D",1,0)+IF(CM397="D",1,0)+IF(CQ397="D",1,0)+IF(CR397="D",1,0)+IF(CS397="D",1,0)+IF(CW397="D",1,0)+IF(CX397="D",1,0)+IF(DD397="D",1,0)+IF(DE397="D",1,0)+IF(DJ397="D",1,0)+IF(DK397="D",1,0)+IF(DO397="D",1,0)+IF(DP397="D",1,0)+IF(DQ397="D",1,0)+IF(DW397="D",1,0)+IF(DZ397="D",1,0)+IF(EH397="D",1,0)</f>
        <v/>
      </c>
      <c r="AY397">
        <f>IF(DJ397&lt;&gt;"",1,0)+IF(DK397&lt;&gt;"",1,0)+IF(DM397&lt;&gt;"",1,0)+IF(DO397&lt;&gt;"",1,0)+IF(DP397&lt;&gt;"",1,0)+IF(DQ397&lt;&gt;"",1,0)+IF(DS397&lt;&gt;"",1,0)+IF(DT397&lt;&gt;"",1,0)+IF(DV397&lt;&gt;"",1,0)+IF(DW397&lt;&gt;"",1,0)+IF(DX397&lt;&gt;"",1,0)+IF(DY397&lt;&gt;"",1,0)+IF(DZ397&lt;&gt;"",1,0)+IF(EB397&lt;&gt;"",1,0)+IF(EC397&lt;&gt;"",1,0)+IF(ED397&lt;&gt;"",1,0)+IF(EG397&lt;&gt;"",1,0)+IF(EH397&lt;&gt;"",1,0)</f>
        <v/>
      </c>
      <c r="AZ397">
        <f>IF(EH397&lt;&gt;"",1,0)</f>
        <v/>
      </c>
      <c r="BB397" t="inlineStr">
        <is>
          <t>WARREN-WARD 4</t>
        </is>
      </c>
      <c r="DN397" t="inlineStr">
        <is>
          <t>X</t>
        </is>
      </c>
      <c r="DR397" t="inlineStr">
        <is>
          <t>X</t>
        </is>
      </c>
      <c r="DS397" t="inlineStr">
        <is>
          <t>R</t>
        </is>
      </c>
    </row>
    <row r="398">
      <c r="A398" t="inlineStr">
        <is>
          <t>OH0024567734</t>
        </is>
      </c>
      <c r="B398" t="n">
        <v>78</v>
      </c>
      <c r="C398" t="n">
        <v>430625</v>
      </c>
      <c r="D398" t="inlineStr">
        <is>
          <t>KELLAR</t>
        </is>
      </c>
      <c r="E398" t="inlineStr">
        <is>
          <t>VIVIAN</t>
        </is>
      </c>
      <c r="F398">
        <f>CONCATENATE(D398," ",LEFT(H398,4),"T=",AU398,"D=",AV398,"R=",AW398,"M=",AX398,"L=",AY398,"B=",AZ398)</f>
        <v/>
      </c>
      <c r="G398" t="inlineStr">
        <is>
          <t>LEE</t>
        </is>
      </c>
      <c r="I398" t="inlineStr">
        <is>
          <t>1999-11-20</t>
        </is>
      </c>
      <c r="J398" t="inlineStr">
        <is>
          <t>2018-03-28</t>
        </is>
      </c>
      <c r="K398" t="inlineStr">
        <is>
          <t>ACTIVE</t>
        </is>
      </c>
      <c r="L398" t="inlineStr">
        <is>
          <t>D</t>
        </is>
      </c>
      <c r="M398" t="inlineStr">
        <is>
          <t>217 KENILWORTH AVE SE</t>
        </is>
      </c>
      <c r="N398">
        <f>RIGHT(M398,LEN(M398)-FIND(" ",M398))</f>
        <v/>
      </c>
      <c r="P398" t="inlineStr">
        <is>
          <t>WARREN</t>
        </is>
      </c>
      <c r="Q398" t="inlineStr">
        <is>
          <t>OH</t>
        </is>
      </c>
      <c r="R398" t="n">
        <v>44483</v>
      </c>
      <c r="AD398" t="inlineStr">
        <is>
          <t>TRUMBULL CAREER &amp; TECH CENTER</t>
        </is>
      </c>
      <c r="AE398" t="inlineStr">
        <is>
          <t>WARREN CITY</t>
        </is>
      </c>
      <c r="AF398" t="inlineStr">
        <is>
          <t>WARREN CITY SD</t>
        </is>
      </c>
      <c r="AH398" t="n">
        <v>14</v>
      </c>
      <c r="AI398" t="n">
        <v>11</v>
      </c>
      <c r="AN398" t="inlineStr">
        <is>
          <t>WARREN</t>
        </is>
      </c>
      <c r="AO398" t="inlineStr">
        <is>
          <t>WARREN CITY 4A</t>
        </is>
      </c>
      <c r="AP398" t="inlineStr">
        <is>
          <t>78-P-ADI</t>
        </is>
      </c>
      <c r="AQ398" t="n">
        <v>9</v>
      </c>
      <c r="AR398" t="n">
        <v>64</v>
      </c>
      <c r="AS398" t="n">
        <v>32</v>
      </c>
      <c r="AU398">
        <f>COUNTA($BA$398:$EH$398)</f>
        <v/>
      </c>
      <c r="AV398">
        <f>COUNTIF($BA$398:$EH$398,"D")</f>
        <v/>
      </c>
      <c r="AW398">
        <f>COUNTIF($BA$398:$EH$398,"R")</f>
        <v/>
      </c>
      <c r="AX398">
        <f>IF(BN398="D",1,0)+IF(BO398="D",1,0)+IF(BT398="D",1,0)+IF(BU398="D",1,0)+IF(BW398="D",1,0)+IF(CC398="D",1,0)+IF(CD398="D",1,0)+IF(CE398="D",1,0)+IF(CF398="D",1,0)+IF(CL398="D",1,0)+IF(CM398="D",1,0)+IF(CQ398="D",1,0)+IF(CR398="D",1,0)+IF(CS398="D",1,0)+IF(CW398="D",1,0)+IF(CX398="D",1,0)+IF(DD398="D",1,0)+IF(DE398="D",1,0)+IF(DJ398="D",1,0)+IF(DK398="D",1,0)+IF(DO398="D",1,0)+IF(DP398="D",1,0)+IF(DQ398="D",1,0)+IF(DW398="D",1,0)+IF(DZ398="D",1,0)+IF(EH398="D",1,0)</f>
        <v/>
      </c>
      <c r="AY398">
        <f>IF(DJ398&lt;&gt;"",1,0)+IF(DK398&lt;&gt;"",1,0)+IF(DM398&lt;&gt;"",1,0)+IF(DO398&lt;&gt;"",1,0)+IF(DP398&lt;&gt;"",1,0)+IF(DQ398&lt;&gt;"",1,0)+IF(DS398&lt;&gt;"",1,0)+IF(DT398&lt;&gt;"",1,0)+IF(DV398&lt;&gt;"",1,0)+IF(DW398&lt;&gt;"",1,0)+IF(DX398&lt;&gt;"",1,0)+IF(DY398&lt;&gt;"",1,0)+IF(DZ398&lt;&gt;"",1,0)+IF(EB398&lt;&gt;"",1,0)+IF(EC398&lt;&gt;"",1,0)+IF(ED398&lt;&gt;"",1,0)+IF(EG398&lt;&gt;"",1,0)+IF(EH398&lt;&gt;"",1,0)</f>
        <v/>
      </c>
      <c r="AZ398">
        <f>IF(EH398&lt;&gt;"",1,0)</f>
        <v/>
      </c>
      <c r="BB398" t="inlineStr">
        <is>
          <t>WARREN-WARD 4</t>
        </is>
      </c>
      <c r="DI398" t="inlineStr">
        <is>
          <t>X</t>
        </is>
      </c>
      <c r="DN398" t="inlineStr">
        <is>
          <t>X</t>
        </is>
      </c>
      <c r="DU398" t="inlineStr">
        <is>
          <t>X</t>
        </is>
      </c>
      <c r="DW398" t="inlineStr">
        <is>
          <t>D</t>
        </is>
      </c>
      <c r="DX398" t="inlineStr">
        <is>
          <t>X</t>
        </is>
      </c>
      <c r="EA398" t="inlineStr">
        <is>
          <t>X</t>
        </is>
      </c>
      <c r="EF398" t="inlineStr">
        <is>
          <t>X</t>
        </is>
      </c>
    </row>
    <row r="399">
      <c r="A399" t="inlineStr">
        <is>
          <t>OH0015738452</t>
        </is>
      </c>
      <c r="B399" t="n">
        <v>78</v>
      </c>
      <c r="C399" t="n">
        <v>322650</v>
      </c>
      <c r="D399" t="inlineStr">
        <is>
          <t>MORGAN</t>
        </is>
      </c>
      <c r="E399" t="inlineStr">
        <is>
          <t>MARK</t>
        </is>
      </c>
      <c r="F399">
        <f>CONCATENATE(D399," ",LEFT(H399,4),"T=",AU399,"D=",AV399,"R=",AW399,"M=",AX399,"L=",AY399,"B=",AZ399)</f>
        <v/>
      </c>
      <c r="I399" t="inlineStr">
        <is>
          <t>1984-01-10</t>
        </is>
      </c>
      <c r="J399" t="inlineStr">
        <is>
          <t>2004-02-28</t>
        </is>
      </c>
      <c r="K399" t="inlineStr">
        <is>
          <t>CONFIRMATION</t>
        </is>
      </c>
      <c r="M399" t="inlineStr">
        <is>
          <t>1354 BELLE ST SE</t>
        </is>
      </c>
      <c r="N399">
        <f>RIGHT(M399,LEN(M399)-FIND(" ",M399))</f>
        <v/>
      </c>
      <c r="P399" t="inlineStr">
        <is>
          <t>WARREN</t>
        </is>
      </c>
      <c r="Q399" t="inlineStr">
        <is>
          <t>OH</t>
        </is>
      </c>
      <c r="R399" t="n">
        <v>44484</v>
      </c>
      <c r="AD399" t="inlineStr">
        <is>
          <t>TRUMBULL CAREER &amp; TECH CENTER</t>
        </is>
      </c>
      <c r="AE399" t="inlineStr">
        <is>
          <t>WARREN CITY</t>
        </is>
      </c>
      <c r="AF399" t="inlineStr">
        <is>
          <t>WARREN CITY SD</t>
        </is>
      </c>
      <c r="AH399" t="n">
        <v>14</v>
      </c>
      <c r="AI399" t="n">
        <v>11</v>
      </c>
      <c r="AN399" t="inlineStr">
        <is>
          <t>WARREN</t>
        </is>
      </c>
      <c r="AO399" t="inlineStr">
        <is>
          <t>WARREN CITY 4A</t>
        </is>
      </c>
      <c r="AP399" t="inlineStr">
        <is>
          <t>78-P-ADI</t>
        </is>
      </c>
      <c r="AQ399" t="n">
        <v>9</v>
      </c>
      <c r="AR399" t="n">
        <v>64</v>
      </c>
      <c r="AS399" t="n">
        <v>32</v>
      </c>
      <c r="AU399">
        <f>COUNTA($BA$399:$EH$399)</f>
        <v/>
      </c>
      <c r="AV399">
        <f>COUNTIF($BA$399:$EH$399,"D")</f>
        <v/>
      </c>
      <c r="AW399">
        <f>COUNTIF($BA$399:$EH$399,"R")</f>
        <v/>
      </c>
      <c r="AX399">
        <f>IF(BN399="D",1,0)+IF(BO399="D",1,0)+IF(BT399="D",1,0)+IF(BU399="D",1,0)+IF(BW399="D",1,0)+IF(CC399="D",1,0)+IF(CD399="D",1,0)+IF(CE399="D",1,0)+IF(CF399="D",1,0)+IF(CL399="D",1,0)+IF(CM399="D",1,0)+IF(CQ399="D",1,0)+IF(CR399="D",1,0)+IF(CS399="D",1,0)+IF(CW399="D",1,0)+IF(CX399="D",1,0)+IF(DD399="D",1,0)+IF(DE399="D",1,0)+IF(DJ399="D",1,0)+IF(DK399="D",1,0)+IF(DO399="D",1,0)+IF(DP399="D",1,0)+IF(DQ399="D",1,0)+IF(DW399="D",1,0)+IF(DZ399="D",1,0)+IF(EH399="D",1,0)</f>
        <v/>
      </c>
      <c r="AY399">
        <f>IF(DJ399&lt;&gt;"",1,0)+IF(DK399&lt;&gt;"",1,0)+IF(DM399&lt;&gt;"",1,0)+IF(DO399&lt;&gt;"",1,0)+IF(DP399&lt;&gt;"",1,0)+IF(DQ399&lt;&gt;"",1,0)+IF(DS399&lt;&gt;"",1,0)+IF(DT399&lt;&gt;"",1,0)+IF(DV399&lt;&gt;"",1,0)+IF(DW399&lt;&gt;"",1,0)+IF(DX399&lt;&gt;"",1,0)+IF(DY399&lt;&gt;"",1,0)+IF(DZ399&lt;&gt;"",1,0)+IF(EB399&lt;&gt;"",1,0)+IF(EC399&lt;&gt;"",1,0)+IF(ED399&lt;&gt;"",1,0)+IF(EG399&lt;&gt;"",1,0)+IF(EH399&lt;&gt;"",1,0)</f>
        <v/>
      </c>
      <c r="AZ399">
        <f>IF(EH399&lt;&gt;"",1,0)</f>
        <v/>
      </c>
      <c r="BB399" t="inlineStr">
        <is>
          <t>WARREN-WARD 4</t>
        </is>
      </c>
      <c r="BL399" t="inlineStr">
        <is>
          <t>X</t>
        </is>
      </c>
      <c r="BP399" t="inlineStr">
        <is>
          <t>X</t>
        </is>
      </c>
      <c r="BR399" t="inlineStr">
        <is>
          <t>X</t>
        </is>
      </c>
      <c r="BS399" t="inlineStr">
        <is>
          <t>X</t>
        </is>
      </c>
      <c r="BY399" t="inlineStr">
        <is>
          <t>D</t>
        </is>
      </c>
      <c r="CA399" t="inlineStr">
        <is>
          <t>X</t>
        </is>
      </c>
      <c r="CK399" t="inlineStr">
        <is>
          <t>X</t>
        </is>
      </c>
      <c r="CN399" t="inlineStr">
        <is>
          <t>X</t>
        </is>
      </c>
      <c r="CP399" t="inlineStr">
        <is>
          <t>X</t>
        </is>
      </c>
      <c r="CV399" t="inlineStr">
        <is>
          <t>X</t>
        </is>
      </c>
      <c r="CY399" t="inlineStr">
        <is>
          <t>X</t>
        </is>
      </c>
      <c r="CZ399" t="inlineStr">
        <is>
          <t>D</t>
        </is>
      </c>
      <c r="DC399" t="inlineStr">
        <is>
          <t>X</t>
        </is>
      </c>
      <c r="DI399" t="inlineStr">
        <is>
          <t>X</t>
        </is>
      </c>
      <c r="DN399" t="inlineStr">
        <is>
          <t>X</t>
        </is>
      </c>
    </row>
    <row r="400">
      <c r="A400" t="inlineStr">
        <is>
          <t>OH0026063138</t>
        </is>
      </c>
      <c r="B400" t="n">
        <v>78</v>
      </c>
      <c r="C400" t="n">
        <v>454997</v>
      </c>
      <c r="D400" t="inlineStr">
        <is>
          <t>ALLEN</t>
        </is>
      </c>
      <c r="E400" t="inlineStr">
        <is>
          <t>JOI</t>
        </is>
      </c>
      <c r="F400">
        <f>CONCATENATE(D400," ",LEFT(H400,4),"T=",AU400,"D=",AV400,"R=",AW400,"M=",AX400,"L=",AY400,"B=",AZ400)</f>
        <v/>
      </c>
      <c r="G400" t="inlineStr">
        <is>
          <t>DIONNE</t>
        </is>
      </c>
      <c r="I400" t="inlineStr">
        <is>
          <t>2000-02-27</t>
        </is>
      </c>
      <c r="J400" t="inlineStr">
        <is>
          <t>2020-11-03</t>
        </is>
      </c>
      <c r="K400" t="inlineStr">
        <is>
          <t>CONFIRMATION</t>
        </is>
      </c>
      <c r="M400" t="inlineStr">
        <is>
          <t>346 LAIRD AVE SE</t>
        </is>
      </c>
      <c r="N400">
        <f>RIGHT(M400,LEN(M400)-FIND(" ",M400))</f>
        <v/>
      </c>
      <c r="P400" t="inlineStr">
        <is>
          <t>WARREN</t>
        </is>
      </c>
      <c r="Q400" t="inlineStr">
        <is>
          <t>OH</t>
        </is>
      </c>
      <c r="R400" t="n">
        <v>44483</v>
      </c>
      <c r="AD400" t="inlineStr">
        <is>
          <t>TRUMBULL CAREER &amp; TECH CENTER</t>
        </is>
      </c>
      <c r="AE400" t="inlineStr">
        <is>
          <t>WARREN CITY</t>
        </is>
      </c>
      <c r="AF400" t="inlineStr">
        <is>
          <t>WARREN CITY SD</t>
        </is>
      </c>
      <c r="AH400" t="n">
        <v>14</v>
      </c>
      <c r="AI400" t="n">
        <v>11</v>
      </c>
      <c r="AN400" t="inlineStr">
        <is>
          <t>WARREN</t>
        </is>
      </c>
      <c r="AO400" t="inlineStr">
        <is>
          <t>WARREN CITY 4A</t>
        </is>
      </c>
      <c r="AP400" t="inlineStr">
        <is>
          <t>78-P-ADI</t>
        </is>
      </c>
      <c r="AQ400" t="n">
        <v>9</v>
      </c>
      <c r="AR400" t="n">
        <v>64</v>
      </c>
      <c r="AS400" t="n">
        <v>32</v>
      </c>
      <c r="AU400">
        <f>COUNTA($BA$400:$EH$400)</f>
        <v/>
      </c>
      <c r="AV400">
        <f>COUNTIF($BA$400:$EH$400,"D")</f>
        <v/>
      </c>
      <c r="AW400">
        <f>COUNTIF($BA$400:$EH$400,"R")</f>
        <v/>
      </c>
      <c r="AX400">
        <f>IF(BN400="D",1,0)+IF(BO400="D",1,0)+IF(BT400="D",1,0)+IF(BU400="D",1,0)+IF(BW400="D",1,0)+IF(CC400="D",1,0)+IF(CD400="D",1,0)+IF(CE400="D",1,0)+IF(CF400="D",1,0)+IF(CL400="D",1,0)+IF(CM400="D",1,0)+IF(CQ400="D",1,0)+IF(CR400="D",1,0)+IF(CS400="D",1,0)+IF(CW400="D",1,0)+IF(CX400="D",1,0)+IF(DD400="D",1,0)+IF(DE400="D",1,0)+IF(DJ400="D",1,0)+IF(DK400="D",1,0)+IF(DO400="D",1,0)+IF(DP400="D",1,0)+IF(DQ400="D",1,0)+IF(DW400="D",1,0)+IF(DZ400="D",1,0)+IF(EH400="D",1,0)</f>
        <v/>
      </c>
      <c r="AY400">
        <f>IF(DJ400&lt;&gt;"",1,0)+IF(DK400&lt;&gt;"",1,0)+IF(DM400&lt;&gt;"",1,0)+IF(DO400&lt;&gt;"",1,0)+IF(DP400&lt;&gt;"",1,0)+IF(DQ400&lt;&gt;"",1,0)+IF(DS400&lt;&gt;"",1,0)+IF(DT400&lt;&gt;"",1,0)+IF(DV400&lt;&gt;"",1,0)+IF(DW400&lt;&gt;"",1,0)+IF(DX400&lt;&gt;"",1,0)+IF(DY400&lt;&gt;"",1,0)+IF(DZ400&lt;&gt;"",1,0)+IF(EB400&lt;&gt;"",1,0)+IF(EC400&lt;&gt;"",1,0)+IF(ED400&lt;&gt;"",1,0)+IF(EG400&lt;&gt;"",1,0)+IF(EH400&lt;&gt;"",1,0)</f>
        <v/>
      </c>
      <c r="AZ400">
        <f>IF(EH400&lt;&gt;"",1,0)</f>
        <v/>
      </c>
      <c r="BB400" t="inlineStr">
        <is>
          <t>WARREN-WARD 4</t>
        </is>
      </c>
      <c r="DN400" t="inlineStr">
        <is>
          <t>X</t>
        </is>
      </c>
    </row>
    <row r="401">
      <c r="A401" t="inlineStr">
        <is>
          <t>OH0020788531</t>
        </is>
      </c>
      <c r="B401" t="n">
        <v>78</v>
      </c>
      <c r="C401" t="n">
        <v>369908</v>
      </c>
      <c r="D401" t="inlineStr">
        <is>
          <t>DYE</t>
        </is>
      </c>
      <c r="E401" t="inlineStr">
        <is>
          <t>JOSEPH</t>
        </is>
      </c>
      <c r="F401">
        <f>CONCATENATE(D401," ",LEFT(H401,4),"T=",AU401,"D=",AV401,"R=",AW401,"M=",AX401,"L=",AY401,"B=",AZ401)</f>
        <v/>
      </c>
      <c r="G401" t="inlineStr">
        <is>
          <t>W</t>
        </is>
      </c>
      <c r="H401" t="inlineStr">
        <is>
          <t>JR</t>
        </is>
      </c>
      <c r="I401" t="inlineStr">
        <is>
          <t>1991-05-22</t>
        </is>
      </c>
      <c r="J401" t="inlineStr">
        <is>
          <t>2009-11-13</t>
        </is>
      </c>
      <c r="K401" t="inlineStr">
        <is>
          <t>CONFIRMATION</t>
        </is>
      </c>
      <c r="M401" t="inlineStr">
        <is>
          <t>930 OAK KNOLL AVE SE</t>
        </is>
      </c>
      <c r="N401">
        <f>RIGHT(M401,LEN(M401)-FIND(" ",M401))</f>
        <v/>
      </c>
      <c r="P401" t="inlineStr">
        <is>
          <t>WARREN</t>
        </is>
      </c>
      <c r="Q401" t="inlineStr">
        <is>
          <t>OH</t>
        </is>
      </c>
      <c r="R401" t="n">
        <v>44484</v>
      </c>
      <c r="AD401" t="inlineStr">
        <is>
          <t>TRUMBULL CAREER &amp; TECH CENTER</t>
        </is>
      </c>
      <c r="AE401" t="inlineStr">
        <is>
          <t>WARREN CITY</t>
        </is>
      </c>
      <c r="AF401" t="inlineStr">
        <is>
          <t>WARREN CITY SD</t>
        </is>
      </c>
      <c r="AH401" t="n">
        <v>14</v>
      </c>
      <c r="AI401" t="n">
        <v>11</v>
      </c>
      <c r="AN401" t="inlineStr">
        <is>
          <t>WARREN</t>
        </is>
      </c>
      <c r="AO401" t="inlineStr">
        <is>
          <t>WARREN CITY 4A</t>
        </is>
      </c>
      <c r="AP401" t="inlineStr">
        <is>
          <t>78-P-ADI</t>
        </is>
      </c>
      <c r="AQ401" t="n">
        <v>9</v>
      </c>
      <c r="AR401" t="n">
        <v>64</v>
      </c>
      <c r="AS401" t="n">
        <v>32</v>
      </c>
      <c r="AU401">
        <f>COUNTA($BA$401:$EH$401)</f>
        <v/>
      </c>
      <c r="AV401">
        <f>COUNTIF($BA$401:$EH$401,"D")</f>
        <v/>
      </c>
      <c r="AW401">
        <f>COUNTIF($BA$401:$EH$401,"R")</f>
        <v/>
      </c>
      <c r="AX401">
        <f>IF(BN401="D",1,0)+IF(BO401="D",1,0)+IF(BT401="D",1,0)+IF(BU401="D",1,0)+IF(BW401="D",1,0)+IF(CC401="D",1,0)+IF(CD401="D",1,0)+IF(CE401="D",1,0)+IF(CF401="D",1,0)+IF(CL401="D",1,0)+IF(CM401="D",1,0)+IF(CQ401="D",1,0)+IF(CR401="D",1,0)+IF(CS401="D",1,0)+IF(CW401="D",1,0)+IF(CX401="D",1,0)+IF(DD401="D",1,0)+IF(DE401="D",1,0)+IF(DJ401="D",1,0)+IF(DK401="D",1,0)+IF(DO401="D",1,0)+IF(DP401="D",1,0)+IF(DQ401="D",1,0)+IF(DW401="D",1,0)+IF(DZ401="D",1,0)+IF(EH401="D",1,0)</f>
        <v/>
      </c>
      <c r="AY401">
        <f>IF(DJ401&lt;&gt;"",1,0)+IF(DK401&lt;&gt;"",1,0)+IF(DM401&lt;&gt;"",1,0)+IF(DO401&lt;&gt;"",1,0)+IF(DP401&lt;&gt;"",1,0)+IF(DQ401&lt;&gt;"",1,0)+IF(DS401&lt;&gt;"",1,0)+IF(DT401&lt;&gt;"",1,0)+IF(DV401&lt;&gt;"",1,0)+IF(DW401&lt;&gt;"",1,0)+IF(DX401&lt;&gt;"",1,0)+IF(DY401&lt;&gt;"",1,0)+IF(DZ401&lt;&gt;"",1,0)+IF(EB401&lt;&gt;"",1,0)+IF(EC401&lt;&gt;"",1,0)+IF(ED401&lt;&gt;"",1,0)+IF(EG401&lt;&gt;"",1,0)+IF(EH401&lt;&gt;"",1,0)</f>
        <v/>
      </c>
      <c r="AZ401">
        <f>IF(EH401&lt;&gt;"",1,0)</f>
        <v/>
      </c>
      <c r="BB401" t="inlineStr">
        <is>
          <t>WARREN-WARD 4</t>
        </is>
      </c>
      <c r="CP401" t="inlineStr">
        <is>
          <t>X</t>
        </is>
      </c>
      <c r="CU401" t="inlineStr">
        <is>
          <t>D</t>
        </is>
      </c>
      <c r="CV401" t="inlineStr">
        <is>
          <t>X</t>
        </is>
      </c>
      <c r="CY401" t="inlineStr">
        <is>
          <t>X</t>
        </is>
      </c>
      <c r="DF401" t="inlineStr">
        <is>
          <t>X</t>
        </is>
      </c>
    </row>
    <row r="402">
      <c r="A402" t="inlineStr">
        <is>
          <t>OH0018611334</t>
        </is>
      </c>
      <c r="B402" t="n">
        <v>78</v>
      </c>
      <c r="C402" t="n">
        <v>341634</v>
      </c>
      <c r="D402" t="inlineStr">
        <is>
          <t>GALLAGHER</t>
        </is>
      </c>
      <c r="E402" t="inlineStr">
        <is>
          <t>JODI</t>
        </is>
      </c>
      <c r="F402">
        <f>CONCATENATE(D402," ",LEFT(H402,4),"T=",AU402,"D=",AV402,"R=",AW402,"M=",AX402,"L=",AY402,"B=",AZ402)</f>
        <v/>
      </c>
      <c r="G402" t="inlineStr">
        <is>
          <t>L</t>
        </is>
      </c>
      <c r="I402" t="inlineStr">
        <is>
          <t>1979-11-08</t>
        </is>
      </c>
      <c r="J402" t="inlineStr">
        <is>
          <t>2023-11-09</t>
        </is>
      </c>
      <c r="K402" t="inlineStr">
        <is>
          <t>ACTIVE</t>
        </is>
      </c>
      <c r="M402" t="inlineStr">
        <is>
          <t>777 EAST AVE SE</t>
        </is>
      </c>
      <c r="N402">
        <f>RIGHT(M402,LEN(M402)-FIND(" ",M402))</f>
        <v/>
      </c>
      <c r="P402" t="inlineStr">
        <is>
          <t>WARREN</t>
        </is>
      </c>
      <c r="Q402" t="inlineStr">
        <is>
          <t>OH</t>
        </is>
      </c>
      <c r="R402" t="n">
        <v>44484</v>
      </c>
      <c r="AD402" t="inlineStr">
        <is>
          <t>TRUMBULL CAREER &amp; TECH CENTER</t>
        </is>
      </c>
      <c r="AE402" t="inlineStr">
        <is>
          <t>WARREN CITY</t>
        </is>
      </c>
      <c r="AF402" t="inlineStr">
        <is>
          <t>WARREN CITY SD</t>
        </is>
      </c>
      <c r="AH402" t="n">
        <v>14</v>
      </c>
      <c r="AI402" t="n">
        <v>11</v>
      </c>
      <c r="AN402" t="inlineStr">
        <is>
          <t>WARREN</t>
        </is>
      </c>
      <c r="AO402" t="inlineStr">
        <is>
          <t>WARREN CITY 4A</t>
        </is>
      </c>
      <c r="AP402" t="inlineStr">
        <is>
          <t>78-P-ADI</t>
        </is>
      </c>
      <c r="AQ402" t="n">
        <v>9</v>
      </c>
      <c r="AR402" t="n">
        <v>64</v>
      </c>
      <c r="AS402" t="n">
        <v>32</v>
      </c>
      <c r="AU402">
        <f>COUNTA($BA$402:$EH$402)</f>
        <v/>
      </c>
      <c r="AV402">
        <f>COUNTIF($BA$402:$EH$402,"D")</f>
        <v/>
      </c>
      <c r="AW402">
        <f>COUNTIF($BA$402:$EH$402,"R")</f>
        <v/>
      </c>
      <c r="AX402">
        <f>IF(BN402="D",1,0)+IF(BO402="D",1,0)+IF(BT402="D",1,0)+IF(BU402="D",1,0)+IF(BW402="D",1,0)+IF(CC402="D",1,0)+IF(CD402="D",1,0)+IF(CE402="D",1,0)+IF(CF402="D",1,0)+IF(CL402="D",1,0)+IF(CM402="D",1,0)+IF(CQ402="D",1,0)+IF(CR402="D",1,0)+IF(CS402="D",1,0)+IF(CW402="D",1,0)+IF(CX402="D",1,0)+IF(DD402="D",1,0)+IF(DE402="D",1,0)+IF(DJ402="D",1,0)+IF(DK402="D",1,0)+IF(DO402="D",1,0)+IF(DP402="D",1,0)+IF(DQ402="D",1,0)+IF(DW402="D",1,0)+IF(DZ402="D",1,0)+IF(EH402="D",1,0)</f>
        <v/>
      </c>
      <c r="AY402">
        <f>IF(DJ402&lt;&gt;"",1,0)+IF(DK402&lt;&gt;"",1,0)+IF(DM402&lt;&gt;"",1,0)+IF(DO402&lt;&gt;"",1,0)+IF(DP402&lt;&gt;"",1,0)+IF(DQ402&lt;&gt;"",1,0)+IF(DS402&lt;&gt;"",1,0)+IF(DT402&lt;&gt;"",1,0)+IF(DV402&lt;&gt;"",1,0)+IF(DW402&lt;&gt;"",1,0)+IF(DX402&lt;&gt;"",1,0)+IF(DY402&lt;&gt;"",1,0)+IF(DZ402&lt;&gt;"",1,0)+IF(EB402&lt;&gt;"",1,0)+IF(EC402&lt;&gt;"",1,0)+IF(ED402&lt;&gt;"",1,0)+IF(EG402&lt;&gt;"",1,0)+IF(EH402&lt;&gt;"",1,0)</f>
        <v/>
      </c>
      <c r="AZ402">
        <f>IF(EH402&lt;&gt;"",1,0)</f>
        <v/>
      </c>
      <c r="BB402" t="inlineStr">
        <is>
          <t>WARREN-WARD 4</t>
        </is>
      </c>
    </row>
    <row r="403">
      <c r="A403" t="inlineStr">
        <is>
          <t>OH0027364155</t>
        </is>
      </c>
      <c r="B403" t="n">
        <v>78</v>
      </c>
      <c r="C403" t="n">
        <v>485165</v>
      </c>
      <c r="D403" t="inlineStr">
        <is>
          <t>WEDDELL</t>
        </is>
      </c>
      <c r="E403" t="inlineStr">
        <is>
          <t>CORY</t>
        </is>
      </c>
      <c r="F403">
        <f>CONCATENATE(D403," ",LEFT(H403,4),"T=",AU403,"D=",AV403,"R=",AW403,"M=",AX403,"L=",AY403,"B=",AZ403)</f>
        <v/>
      </c>
      <c r="G403" t="inlineStr">
        <is>
          <t>ROSS</t>
        </is>
      </c>
      <c r="I403" t="inlineStr">
        <is>
          <t>1988-08-21</t>
        </is>
      </c>
      <c r="J403" t="inlineStr">
        <is>
          <t>2024-06-03</t>
        </is>
      </c>
      <c r="K403" t="inlineStr">
        <is>
          <t>ACTIVE</t>
        </is>
      </c>
      <c r="M403" t="inlineStr">
        <is>
          <t>167 OAK KNOLL AVE SE</t>
        </is>
      </c>
      <c r="N403">
        <f>RIGHT(M403,LEN(M403)-FIND(" ",M403))</f>
        <v/>
      </c>
      <c r="P403" t="inlineStr">
        <is>
          <t>WARREN</t>
        </is>
      </c>
      <c r="Q403" t="inlineStr">
        <is>
          <t>OH</t>
        </is>
      </c>
      <c r="R403" t="n">
        <v>44483</v>
      </c>
      <c r="AD403" t="inlineStr">
        <is>
          <t>TRUMBULL CAREER &amp; TECH CENTER</t>
        </is>
      </c>
      <c r="AE403" t="inlineStr">
        <is>
          <t>WARREN CITY</t>
        </is>
      </c>
      <c r="AF403" t="inlineStr">
        <is>
          <t>WARREN CITY SD</t>
        </is>
      </c>
      <c r="AH403" t="n">
        <v>14</v>
      </c>
      <c r="AI403" t="n">
        <v>11</v>
      </c>
      <c r="AN403" t="inlineStr">
        <is>
          <t>WARREN</t>
        </is>
      </c>
      <c r="AO403" t="inlineStr">
        <is>
          <t>WARREN CITY 4A</t>
        </is>
      </c>
      <c r="AP403" t="inlineStr">
        <is>
          <t>78-P-ADI</t>
        </is>
      </c>
      <c r="AQ403" t="n">
        <v>9</v>
      </c>
      <c r="AR403" t="n">
        <v>64</v>
      </c>
      <c r="AS403" t="n">
        <v>32</v>
      </c>
      <c r="AU403">
        <f>COUNTA($BA$403:$EH$403)</f>
        <v/>
      </c>
      <c r="AV403">
        <f>COUNTIF($BA$403:$EH$403,"D")</f>
        <v/>
      </c>
      <c r="AW403">
        <f>COUNTIF($BA$403:$EH$403,"R")</f>
        <v/>
      </c>
      <c r="AX403">
        <f>IF(BN403="D",1,0)+IF(BO403="D",1,0)+IF(BT403="D",1,0)+IF(BU403="D",1,0)+IF(BW403="D",1,0)+IF(CC403="D",1,0)+IF(CD403="D",1,0)+IF(CE403="D",1,0)+IF(CF403="D",1,0)+IF(CL403="D",1,0)+IF(CM403="D",1,0)+IF(CQ403="D",1,0)+IF(CR403="D",1,0)+IF(CS403="D",1,0)+IF(CW403="D",1,0)+IF(CX403="D",1,0)+IF(DD403="D",1,0)+IF(DE403="D",1,0)+IF(DJ403="D",1,0)+IF(DK403="D",1,0)+IF(DO403="D",1,0)+IF(DP403="D",1,0)+IF(DQ403="D",1,0)+IF(DW403="D",1,0)+IF(DZ403="D",1,0)+IF(EH403="D",1,0)</f>
        <v/>
      </c>
      <c r="AY403">
        <f>IF(DJ403&lt;&gt;"",1,0)+IF(DK403&lt;&gt;"",1,0)+IF(DM403&lt;&gt;"",1,0)+IF(DO403&lt;&gt;"",1,0)+IF(DP403&lt;&gt;"",1,0)+IF(DQ403&lt;&gt;"",1,0)+IF(DS403&lt;&gt;"",1,0)+IF(DT403&lt;&gt;"",1,0)+IF(DV403&lt;&gt;"",1,0)+IF(DW403&lt;&gt;"",1,0)+IF(DX403&lt;&gt;"",1,0)+IF(DY403&lt;&gt;"",1,0)+IF(DZ403&lt;&gt;"",1,0)+IF(EB403&lt;&gt;"",1,0)+IF(EC403&lt;&gt;"",1,0)+IF(ED403&lt;&gt;"",1,0)+IF(EG403&lt;&gt;"",1,0)+IF(EH403&lt;&gt;"",1,0)</f>
        <v/>
      </c>
      <c r="AZ403">
        <f>IF(EH403&lt;&gt;"",1,0)</f>
        <v/>
      </c>
      <c r="BB403" t="inlineStr">
        <is>
          <t>WARREN-WARD 4</t>
        </is>
      </c>
      <c r="BS403" t="inlineStr">
        <is>
          <t>X</t>
        </is>
      </c>
      <c r="BV403" t="inlineStr">
        <is>
          <t>X</t>
        </is>
      </c>
      <c r="BY403" t="inlineStr">
        <is>
          <t>D</t>
        </is>
      </c>
      <c r="CA403" t="inlineStr">
        <is>
          <t>X</t>
        </is>
      </c>
      <c r="CN403" t="inlineStr">
        <is>
          <t>X</t>
        </is>
      </c>
      <c r="CP403" t="inlineStr">
        <is>
          <t>X</t>
        </is>
      </c>
      <c r="CV403" t="inlineStr">
        <is>
          <t>X</t>
        </is>
      </c>
      <c r="CW403" t="inlineStr">
        <is>
          <t>D</t>
        </is>
      </c>
      <c r="CY403" t="inlineStr">
        <is>
          <t>X</t>
        </is>
      </c>
      <c r="CZ403" t="inlineStr">
        <is>
          <t>D</t>
        </is>
      </c>
      <c r="DC403" t="inlineStr">
        <is>
          <t>X</t>
        </is>
      </c>
      <c r="DD403" t="inlineStr">
        <is>
          <t>D</t>
        </is>
      </c>
      <c r="DF403" t="inlineStr">
        <is>
          <t>X</t>
        </is>
      </c>
      <c r="DG403" t="inlineStr">
        <is>
          <t>D</t>
        </is>
      </c>
      <c r="DI403" t="inlineStr">
        <is>
          <t>X</t>
        </is>
      </c>
      <c r="DN403" t="inlineStr">
        <is>
          <t>X</t>
        </is>
      </c>
      <c r="DU403" t="inlineStr">
        <is>
          <t>X</t>
        </is>
      </c>
      <c r="DX403" t="inlineStr">
        <is>
          <t>X</t>
        </is>
      </c>
      <c r="EA403" t="inlineStr">
        <is>
          <t>X</t>
        </is>
      </c>
      <c r="EF403" t="inlineStr">
        <is>
          <t>X</t>
        </is>
      </c>
      <c r="EH403" t="inlineStr">
        <is>
          <t>X</t>
        </is>
      </c>
    </row>
    <row r="404">
      <c r="A404" t="inlineStr">
        <is>
          <t>OH0021374162</t>
        </is>
      </c>
      <c r="B404" t="n">
        <v>78</v>
      </c>
      <c r="C404" t="n">
        <v>380434</v>
      </c>
      <c r="D404" t="inlineStr">
        <is>
          <t>HURST</t>
        </is>
      </c>
      <c r="E404" t="inlineStr">
        <is>
          <t>PETER</t>
        </is>
      </c>
      <c r="F404">
        <f>CONCATENATE(D404," ",LEFT(H404,4),"T=",AU404,"D=",AV404,"R=",AW404,"M=",AX404,"L=",AY404,"B=",AZ404)</f>
        <v/>
      </c>
      <c r="G404" t="inlineStr">
        <is>
          <t>A</t>
        </is>
      </c>
      <c r="I404" t="inlineStr">
        <is>
          <t>1950-10-29</t>
        </is>
      </c>
      <c r="J404" t="inlineStr">
        <is>
          <t>2020-09-17</t>
        </is>
      </c>
      <c r="K404" t="inlineStr">
        <is>
          <t>CONFIRMATION</t>
        </is>
      </c>
      <c r="M404" t="inlineStr">
        <is>
          <t>871 OAK KNOLL AVE SE</t>
        </is>
      </c>
      <c r="N404">
        <f>RIGHT(M404,LEN(M404)-FIND(" ",M404))</f>
        <v/>
      </c>
      <c r="P404" t="inlineStr">
        <is>
          <t>WARREN</t>
        </is>
      </c>
      <c r="Q404" t="inlineStr">
        <is>
          <t>OH</t>
        </is>
      </c>
      <c r="R404" t="n">
        <v>44484</v>
      </c>
      <c r="AD404" t="inlineStr">
        <is>
          <t>TRUMBULL CAREER &amp; TECH CENTER</t>
        </is>
      </c>
      <c r="AE404" t="inlineStr">
        <is>
          <t>WARREN CITY</t>
        </is>
      </c>
      <c r="AF404" t="inlineStr">
        <is>
          <t>WARREN CITY SD</t>
        </is>
      </c>
      <c r="AH404" t="n">
        <v>14</v>
      </c>
      <c r="AI404" t="n">
        <v>11</v>
      </c>
      <c r="AN404" t="inlineStr">
        <is>
          <t>WARREN</t>
        </is>
      </c>
      <c r="AO404" t="inlineStr">
        <is>
          <t>WARREN CITY 4A</t>
        </is>
      </c>
      <c r="AP404" t="inlineStr">
        <is>
          <t>78-P-ADI</t>
        </is>
      </c>
      <c r="AQ404" t="n">
        <v>9</v>
      </c>
      <c r="AR404" t="n">
        <v>64</v>
      </c>
      <c r="AS404" t="n">
        <v>32</v>
      </c>
      <c r="AU404">
        <f>COUNTA($BA$404:$EH$404)</f>
        <v/>
      </c>
      <c r="AV404">
        <f>COUNTIF($BA$404:$EH$404,"D")</f>
        <v/>
      </c>
      <c r="AW404">
        <f>COUNTIF($BA$404:$EH$404,"R")</f>
        <v/>
      </c>
      <c r="AX404">
        <f>IF(BN404="D",1,0)+IF(BO404="D",1,0)+IF(BT404="D",1,0)+IF(BU404="D",1,0)+IF(BW404="D",1,0)+IF(CC404="D",1,0)+IF(CD404="D",1,0)+IF(CE404="D",1,0)+IF(CF404="D",1,0)+IF(CL404="D",1,0)+IF(CM404="D",1,0)+IF(CQ404="D",1,0)+IF(CR404="D",1,0)+IF(CS404="D",1,0)+IF(CW404="D",1,0)+IF(CX404="D",1,0)+IF(DD404="D",1,0)+IF(DE404="D",1,0)+IF(DJ404="D",1,0)+IF(DK404="D",1,0)+IF(DO404="D",1,0)+IF(DP404="D",1,0)+IF(DQ404="D",1,0)+IF(DW404="D",1,0)+IF(DZ404="D",1,0)+IF(EH404="D",1,0)</f>
        <v/>
      </c>
      <c r="AY404">
        <f>IF(DJ404&lt;&gt;"",1,0)+IF(DK404&lt;&gt;"",1,0)+IF(DM404&lt;&gt;"",1,0)+IF(DO404&lt;&gt;"",1,0)+IF(DP404&lt;&gt;"",1,0)+IF(DQ404&lt;&gt;"",1,0)+IF(DS404&lt;&gt;"",1,0)+IF(DT404&lt;&gt;"",1,0)+IF(DV404&lt;&gt;"",1,0)+IF(DW404&lt;&gt;"",1,0)+IF(DX404&lt;&gt;"",1,0)+IF(DY404&lt;&gt;"",1,0)+IF(DZ404&lt;&gt;"",1,0)+IF(EB404&lt;&gt;"",1,0)+IF(EC404&lt;&gt;"",1,0)+IF(ED404&lt;&gt;"",1,0)+IF(EG404&lt;&gt;"",1,0)+IF(EH404&lt;&gt;"",1,0)</f>
        <v/>
      </c>
      <c r="AZ404">
        <f>IF(EH404&lt;&gt;"",1,0)</f>
        <v/>
      </c>
      <c r="BB404" t="inlineStr">
        <is>
          <t>WARREN-WARD 4</t>
        </is>
      </c>
      <c r="CN404" t="inlineStr">
        <is>
          <t>X</t>
        </is>
      </c>
      <c r="CP404" t="inlineStr">
        <is>
          <t>X</t>
        </is>
      </c>
      <c r="CV404" t="inlineStr">
        <is>
          <t>X</t>
        </is>
      </c>
      <c r="CY404" t="inlineStr">
        <is>
          <t>X</t>
        </is>
      </c>
      <c r="DC404" t="inlineStr">
        <is>
          <t>X</t>
        </is>
      </c>
      <c r="DN404" t="inlineStr">
        <is>
          <t>X</t>
        </is>
      </c>
    </row>
    <row r="405">
      <c r="A405" t="inlineStr">
        <is>
          <t>OH0015811469</t>
        </is>
      </c>
      <c r="B405" t="n">
        <v>78</v>
      </c>
      <c r="C405" t="n">
        <v>296025</v>
      </c>
      <c r="D405" t="inlineStr">
        <is>
          <t>WALLS</t>
        </is>
      </c>
      <c r="E405" t="inlineStr">
        <is>
          <t>ROY</t>
        </is>
      </c>
      <c r="F405">
        <f>CONCATENATE(D405," ",LEFT(H405,4),"T=",AU405,"D=",AV405,"R=",AW405,"M=",AX405,"L=",AY405,"B=",AZ405)</f>
        <v/>
      </c>
      <c r="G405" t="inlineStr">
        <is>
          <t>E</t>
        </is>
      </c>
      <c r="I405" t="inlineStr">
        <is>
          <t>1947-06-01</t>
        </is>
      </c>
      <c r="J405" t="inlineStr">
        <is>
          <t>2000-06-03</t>
        </is>
      </c>
      <c r="K405" t="inlineStr">
        <is>
          <t>CONFIRMATION</t>
        </is>
      </c>
      <c r="M405" t="inlineStr">
        <is>
          <t>421 BONNIE BRAE AVE SE</t>
        </is>
      </c>
      <c r="N405">
        <f>RIGHT(M405,LEN(M405)-FIND(" ",M405))</f>
        <v/>
      </c>
      <c r="P405" t="inlineStr">
        <is>
          <t>WARREN</t>
        </is>
      </c>
      <c r="Q405" t="inlineStr">
        <is>
          <t>OH</t>
        </is>
      </c>
      <c r="R405" t="n">
        <v>44484</v>
      </c>
      <c r="AD405" t="inlineStr">
        <is>
          <t>TRUMBULL CAREER &amp; TECH CENTER</t>
        </is>
      </c>
      <c r="AE405" t="inlineStr">
        <is>
          <t>WARREN CITY</t>
        </is>
      </c>
      <c r="AF405" t="inlineStr">
        <is>
          <t>WARREN CITY SD</t>
        </is>
      </c>
      <c r="AH405" t="n">
        <v>14</v>
      </c>
      <c r="AI405" t="n">
        <v>11</v>
      </c>
      <c r="AN405" t="inlineStr">
        <is>
          <t>WARREN</t>
        </is>
      </c>
      <c r="AO405" t="inlineStr">
        <is>
          <t>WARREN CITY 4A</t>
        </is>
      </c>
      <c r="AP405" t="inlineStr">
        <is>
          <t>78-P-ADI</t>
        </is>
      </c>
      <c r="AQ405" t="n">
        <v>9</v>
      </c>
      <c r="AR405" t="n">
        <v>64</v>
      </c>
      <c r="AS405" t="n">
        <v>32</v>
      </c>
      <c r="AU405">
        <f>COUNTA($BA$405:$EH$405)</f>
        <v/>
      </c>
      <c r="AV405">
        <f>COUNTIF($BA$405:$EH$405,"D")</f>
        <v/>
      </c>
      <c r="AW405">
        <f>COUNTIF($BA$405:$EH$405,"R")</f>
        <v/>
      </c>
      <c r="AX405">
        <f>IF(BN405="D",1,0)+IF(BO405="D",1,0)+IF(BT405="D",1,0)+IF(BU405="D",1,0)+IF(BW405="D",1,0)+IF(CC405="D",1,0)+IF(CD405="D",1,0)+IF(CE405="D",1,0)+IF(CF405="D",1,0)+IF(CL405="D",1,0)+IF(CM405="D",1,0)+IF(CQ405="D",1,0)+IF(CR405="D",1,0)+IF(CS405="D",1,0)+IF(CW405="D",1,0)+IF(CX405="D",1,0)+IF(DD405="D",1,0)+IF(DE405="D",1,0)+IF(DJ405="D",1,0)+IF(DK405="D",1,0)+IF(DO405="D",1,0)+IF(DP405="D",1,0)+IF(DQ405="D",1,0)+IF(DW405="D",1,0)+IF(DZ405="D",1,0)+IF(EH405="D",1,0)</f>
        <v/>
      </c>
      <c r="AY405">
        <f>IF(DJ405&lt;&gt;"",1,0)+IF(DK405&lt;&gt;"",1,0)+IF(DM405&lt;&gt;"",1,0)+IF(DO405&lt;&gt;"",1,0)+IF(DP405&lt;&gt;"",1,0)+IF(DQ405&lt;&gt;"",1,0)+IF(DS405&lt;&gt;"",1,0)+IF(DT405&lt;&gt;"",1,0)+IF(DV405&lt;&gt;"",1,0)+IF(DW405&lt;&gt;"",1,0)+IF(DX405&lt;&gt;"",1,0)+IF(DY405&lt;&gt;"",1,0)+IF(DZ405&lt;&gt;"",1,0)+IF(EB405&lt;&gt;"",1,0)+IF(EC405&lt;&gt;"",1,0)+IF(ED405&lt;&gt;"",1,0)+IF(EG405&lt;&gt;"",1,0)+IF(EH405&lt;&gt;"",1,0)</f>
        <v/>
      </c>
      <c r="AZ405">
        <f>IF(EH405&lt;&gt;"",1,0)</f>
        <v/>
      </c>
      <c r="BB405" t="inlineStr">
        <is>
          <t>WARREN-WARD 4</t>
        </is>
      </c>
      <c r="BJ405" t="inlineStr">
        <is>
          <t>X</t>
        </is>
      </c>
      <c r="BK405" t="inlineStr">
        <is>
          <t>X</t>
        </is>
      </c>
      <c r="BL405" t="inlineStr">
        <is>
          <t>X</t>
        </is>
      </c>
      <c r="BP405" t="inlineStr">
        <is>
          <t>X</t>
        </is>
      </c>
      <c r="BR405" t="inlineStr">
        <is>
          <t>X</t>
        </is>
      </c>
      <c r="BS405" t="inlineStr">
        <is>
          <t>X</t>
        </is>
      </c>
      <c r="BT405" t="inlineStr">
        <is>
          <t>X</t>
        </is>
      </c>
      <c r="BV405" t="inlineStr">
        <is>
          <t>X</t>
        </is>
      </c>
      <c r="BY405" t="inlineStr">
        <is>
          <t>D</t>
        </is>
      </c>
      <c r="CA405" t="inlineStr">
        <is>
          <t>X</t>
        </is>
      </c>
      <c r="CC405" t="inlineStr">
        <is>
          <t>D</t>
        </is>
      </c>
      <c r="CG405" t="inlineStr">
        <is>
          <t>X</t>
        </is>
      </c>
      <c r="CH405" t="inlineStr">
        <is>
          <t>D</t>
        </is>
      </c>
      <c r="CK405" t="inlineStr">
        <is>
          <t>X</t>
        </is>
      </c>
      <c r="CL405" t="inlineStr">
        <is>
          <t>D</t>
        </is>
      </c>
      <c r="CN405" t="inlineStr">
        <is>
          <t>X</t>
        </is>
      </c>
      <c r="CO405" t="inlineStr">
        <is>
          <t>D</t>
        </is>
      </c>
      <c r="CP405" t="inlineStr">
        <is>
          <t>X</t>
        </is>
      </c>
      <c r="CQ405" t="inlineStr">
        <is>
          <t>D</t>
        </is>
      </c>
      <c r="CT405" t="inlineStr">
        <is>
          <t>X</t>
        </is>
      </c>
      <c r="CV405" t="inlineStr">
        <is>
          <t>X</t>
        </is>
      </c>
      <c r="CY405" t="inlineStr">
        <is>
          <t>X</t>
        </is>
      </c>
      <c r="DC405" t="inlineStr">
        <is>
          <t>X</t>
        </is>
      </c>
      <c r="DF405" t="inlineStr">
        <is>
          <t>X</t>
        </is>
      </c>
      <c r="DI405" t="inlineStr">
        <is>
          <t>X</t>
        </is>
      </c>
      <c r="DN405" t="inlineStr">
        <is>
          <t>X</t>
        </is>
      </c>
    </row>
    <row r="406">
      <c r="A406" t="inlineStr">
        <is>
          <t>OH0024660083</t>
        </is>
      </c>
      <c r="B406" t="n">
        <v>78</v>
      </c>
      <c r="C406" t="n">
        <v>432352</v>
      </c>
      <c r="D406" t="inlineStr">
        <is>
          <t>PERROTTI</t>
        </is>
      </c>
      <c r="E406" t="inlineStr">
        <is>
          <t>VINCENT</t>
        </is>
      </c>
      <c r="F406">
        <f>CONCATENATE(D406," ",LEFT(H406,4),"T=",AU406,"D=",AV406,"R=",AW406,"M=",AX406,"L=",AY406,"B=",AZ406)</f>
        <v/>
      </c>
      <c r="G406" t="inlineStr">
        <is>
          <t>MICHAEL</t>
        </is>
      </c>
      <c r="I406" t="inlineStr">
        <is>
          <t>2000-05-26</t>
        </is>
      </c>
      <c r="J406" t="inlineStr">
        <is>
          <t>2023-06-06</t>
        </is>
      </c>
      <c r="K406" t="inlineStr">
        <is>
          <t>ACTIVE</t>
        </is>
      </c>
      <c r="M406" t="inlineStr">
        <is>
          <t>616 WOODBINE AVE SE</t>
        </is>
      </c>
      <c r="N406">
        <f>RIGHT(M406,LEN(M406)-FIND(" ",M406))</f>
        <v/>
      </c>
      <c r="P406" t="inlineStr">
        <is>
          <t>WARREN</t>
        </is>
      </c>
      <c r="Q406" t="inlineStr">
        <is>
          <t>OH</t>
        </is>
      </c>
      <c r="R406" t="n">
        <v>44483</v>
      </c>
      <c r="AD406" t="inlineStr">
        <is>
          <t>TRUMBULL CAREER &amp; TECH CENTER</t>
        </is>
      </c>
      <c r="AE406" t="inlineStr">
        <is>
          <t>WARREN CITY</t>
        </is>
      </c>
      <c r="AF406" t="inlineStr">
        <is>
          <t>WARREN CITY SD</t>
        </is>
      </c>
      <c r="AH406" t="n">
        <v>14</v>
      </c>
      <c r="AI406" t="n">
        <v>11</v>
      </c>
      <c r="AN406" t="inlineStr">
        <is>
          <t>WARREN</t>
        </is>
      </c>
      <c r="AO406" t="inlineStr">
        <is>
          <t>WARREN CITY 4A</t>
        </is>
      </c>
      <c r="AP406" t="inlineStr">
        <is>
          <t>78-P-ADI</t>
        </is>
      </c>
      <c r="AQ406" t="n">
        <v>9</v>
      </c>
      <c r="AR406" t="n">
        <v>64</v>
      </c>
      <c r="AS406" t="n">
        <v>32</v>
      </c>
      <c r="AU406">
        <f>COUNTA($BA$406:$EH$406)</f>
        <v/>
      </c>
      <c r="AV406">
        <f>COUNTIF($BA$406:$EH$406,"D")</f>
        <v/>
      </c>
      <c r="AW406">
        <f>COUNTIF($BA$406:$EH$406,"R")</f>
        <v/>
      </c>
      <c r="AX406">
        <f>IF(BN406="D",1,0)+IF(BO406="D",1,0)+IF(BT406="D",1,0)+IF(BU406="D",1,0)+IF(BW406="D",1,0)+IF(CC406="D",1,0)+IF(CD406="D",1,0)+IF(CE406="D",1,0)+IF(CF406="D",1,0)+IF(CL406="D",1,0)+IF(CM406="D",1,0)+IF(CQ406="D",1,0)+IF(CR406="D",1,0)+IF(CS406="D",1,0)+IF(CW406="D",1,0)+IF(CX406="D",1,0)+IF(DD406="D",1,0)+IF(DE406="D",1,0)+IF(DJ406="D",1,0)+IF(DK406="D",1,0)+IF(DO406="D",1,0)+IF(DP406="D",1,0)+IF(DQ406="D",1,0)+IF(DW406="D",1,0)+IF(DZ406="D",1,0)+IF(EH406="D",1,0)</f>
        <v/>
      </c>
      <c r="AY406">
        <f>IF(DJ406&lt;&gt;"",1,0)+IF(DK406&lt;&gt;"",1,0)+IF(DM406&lt;&gt;"",1,0)+IF(DO406&lt;&gt;"",1,0)+IF(DP406&lt;&gt;"",1,0)+IF(DQ406&lt;&gt;"",1,0)+IF(DS406&lt;&gt;"",1,0)+IF(DT406&lt;&gt;"",1,0)+IF(DV406&lt;&gt;"",1,0)+IF(DW406&lt;&gt;"",1,0)+IF(DX406&lt;&gt;"",1,0)+IF(DY406&lt;&gt;"",1,0)+IF(DZ406&lt;&gt;"",1,0)+IF(EB406&lt;&gt;"",1,0)+IF(EC406&lt;&gt;"",1,0)+IF(ED406&lt;&gt;"",1,0)+IF(EG406&lt;&gt;"",1,0)+IF(EH406&lt;&gt;"",1,0)</f>
        <v/>
      </c>
      <c r="AZ406">
        <f>IF(EH406&lt;&gt;"",1,0)</f>
        <v/>
      </c>
      <c r="BB406" t="inlineStr">
        <is>
          <t>WARREN-WARD 4</t>
        </is>
      </c>
      <c r="DN406" t="inlineStr">
        <is>
          <t>X</t>
        </is>
      </c>
      <c r="EF406" t="inlineStr">
        <is>
          <t>X</t>
        </is>
      </c>
    </row>
    <row r="407">
      <c r="A407" t="inlineStr">
        <is>
          <t>OH0026908241</t>
        </is>
      </c>
      <c r="B407" t="n">
        <v>78</v>
      </c>
      <c r="C407" t="n">
        <v>474037</v>
      </c>
      <c r="D407" t="inlineStr">
        <is>
          <t>PAPASIN</t>
        </is>
      </c>
      <c r="E407" t="inlineStr">
        <is>
          <t>MARIA PHIBE</t>
        </is>
      </c>
      <c r="F407">
        <f>CONCATENATE(D407," ",LEFT(H407,4),"T=",AU407,"D=",AV407,"R=",AW407,"M=",AX407,"L=",AY407,"B=",AZ407)</f>
        <v/>
      </c>
      <c r="G407" t="inlineStr">
        <is>
          <t>D</t>
        </is>
      </c>
      <c r="I407" t="inlineStr">
        <is>
          <t>1985-10-08</t>
        </is>
      </c>
      <c r="J407" t="inlineStr">
        <is>
          <t>2023-06-07</t>
        </is>
      </c>
      <c r="K407" t="inlineStr">
        <is>
          <t>ACTIVE</t>
        </is>
      </c>
      <c r="M407" t="inlineStr">
        <is>
          <t>741 HOMEWOOD AVE SE</t>
        </is>
      </c>
      <c r="N407">
        <f>RIGHT(M407,LEN(M407)-FIND(" ",M407))</f>
        <v/>
      </c>
      <c r="P407" t="inlineStr">
        <is>
          <t>WARREN</t>
        </is>
      </c>
      <c r="Q407" t="inlineStr">
        <is>
          <t>OH</t>
        </is>
      </c>
      <c r="R407" t="n">
        <v>44484</v>
      </c>
      <c r="AD407" t="inlineStr">
        <is>
          <t>TRUMBULL CAREER &amp; TECH CENTER</t>
        </is>
      </c>
      <c r="AE407" t="inlineStr">
        <is>
          <t>WARREN CITY</t>
        </is>
      </c>
      <c r="AF407" t="inlineStr">
        <is>
          <t>WARREN CITY SD</t>
        </is>
      </c>
      <c r="AH407" t="n">
        <v>14</v>
      </c>
      <c r="AI407" t="n">
        <v>11</v>
      </c>
      <c r="AN407" t="inlineStr">
        <is>
          <t>WARREN</t>
        </is>
      </c>
      <c r="AO407" t="inlineStr">
        <is>
          <t>WARREN CITY 4A</t>
        </is>
      </c>
      <c r="AP407" t="inlineStr">
        <is>
          <t>78-P-ADI</t>
        </is>
      </c>
      <c r="AQ407" t="n">
        <v>9</v>
      </c>
      <c r="AR407" t="n">
        <v>64</v>
      </c>
      <c r="AS407" t="n">
        <v>32</v>
      </c>
      <c r="AU407">
        <f>COUNTA($BA$407:$EH$407)</f>
        <v/>
      </c>
      <c r="AV407">
        <f>COUNTIF($BA$407:$EH$407,"D")</f>
        <v/>
      </c>
      <c r="AW407">
        <f>COUNTIF($BA$407:$EH$407,"R")</f>
        <v/>
      </c>
      <c r="AX407">
        <f>IF(BN407="D",1,0)+IF(BO407="D",1,0)+IF(BT407="D",1,0)+IF(BU407="D",1,0)+IF(BW407="D",1,0)+IF(CC407="D",1,0)+IF(CD407="D",1,0)+IF(CE407="D",1,0)+IF(CF407="D",1,0)+IF(CL407="D",1,0)+IF(CM407="D",1,0)+IF(CQ407="D",1,0)+IF(CR407="D",1,0)+IF(CS407="D",1,0)+IF(CW407="D",1,0)+IF(CX407="D",1,0)+IF(DD407="D",1,0)+IF(DE407="D",1,0)+IF(DJ407="D",1,0)+IF(DK407="D",1,0)+IF(DO407="D",1,0)+IF(DP407="D",1,0)+IF(DQ407="D",1,0)+IF(DW407="D",1,0)+IF(DZ407="D",1,0)+IF(EH407="D",1,0)</f>
        <v/>
      </c>
      <c r="AY407">
        <f>IF(DJ407&lt;&gt;"",1,0)+IF(DK407&lt;&gt;"",1,0)+IF(DM407&lt;&gt;"",1,0)+IF(DO407&lt;&gt;"",1,0)+IF(DP407&lt;&gt;"",1,0)+IF(DQ407&lt;&gt;"",1,0)+IF(DS407&lt;&gt;"",1,0)+IF(DT407&lt;&gt;"",1,0)+IF(DV407&lt;&gt;"",1,0)+IF(DW407&lt;&gt;"",1,0)+IF(DX407&lt;&gt;"",1,0)+IF(DY407&lt;&gt;"",1,0)+IF(DZ407&lt;&gt;"",1,0)+IF(EB407&lt;&gt;"",1,0)+IF(EC407&lt;&gt;"",1,0)+IF(ED407&lt;&gt;"",1,0)+IF(EG407&lt;&gt;"",1,0)+IF(EH407&lt;&gt;"",1,0)</f>
        <v/>
      </c>
      <c r="AZ407">
        <f>IF(EH407&lt;&gt;"",1,0)</f>
        <v/>
      </c>
      <c r="BB407" t="inlineStr">
        <is>
          <t>WARREN-WARD 4</t>
        </is>
      </c>
      <c r="DN407" t="inlineStr">
        <is>
          <t>X</t>
        </is>
      </c>
      <c r="EF407" t="inlineStr">
        <is>
          <t>X</t>
        </is>
      </c>
    </row>
    <row r="408">
      <c r="A408" t="inlineStr">
        <is>
          <t>OH0027496896</t>
        </is>
      </c>
      <c r="B408" t="n">
        <v>78</v>
      </c>
      <c r="C408" t="n">
        <v>487098</v>
      </c>
      <c r="D408" t="inlineStr">
        <is>
          <t>CHOW</t>
        </is>
      </c>
      <c r="E408" t="inlineStr">
        <is>
          <t>CHRIS</t>
        </is>
      </c>
      <c r="F408">
        <f>CONCATENATE(D408," ",LEFT(H408,4),"T=",AU408,"D=",AV408,"R=",AW408,"M=",AX408,"L=",AY408,"B=",AZ408)</f>
        <v/>
      </c>
      <c r="I408" t="inlineStr">
        <is>
          <t>2001-01-21</t>
        </is>
      </c>
      <c r="J408" t="inlineStr">
        <is>
          <t>2024-08-01</t>
        </is>
      </c>
      <c r="K408" t="inlineStr">
        <is>
          <t>CONFIRMATION</t>
        </is>
      </c>
      <c r="M408" t="inlineStr">
        <is>
          <t>207 CHARLES AVE SE</t>
        </is>
      </c>
      <c r="N408">
        <f>RIGHT(M408,LEN(M408)-FIND(" ",M408))</f>
        <v/>
      </c>
      <c r="P408" t="inlineStr">
        <is>
          <t>WARREN</t>
        </is>
      </c>
      <c r="Q408" t="inlineStr">
        <is>
          <t>OH</t>
        </is>
      </c>
      <c r="R408" t="n">
        <v>44483</v>
      </c>
      <c r="AD408" t="inlineStr">
        <is>
          <t>TRUMBULL CAREER &amp; TECH CENTER</t>
        </is>
      </c>
      <c r="AE408" t="inlineStr">
        <is>
          <t>WARREN CITY</t>
        </is>
      </c>
      <c r="AF408" t="inlineStr">
        <is>
          <t>WARREN CITY SD</t>
        </is>
      </c>
      <c r="AH408" t="n">
        <v>14</v>
      </c>
      <c r="AI408" t="n">
        <v>11</v>
      </c>
      <c r="AN408" t="inlineStr">
        <is>
          <t>WARREN</t>
        </is>
      </c>
      <c r="AO408" t="inlineStr">
        <is>
          <t>WARREN CITY 4A</t>
        </is>
      </c>
      <c r="AP408" t="inlineStr">
        <is>
          <t>78-P-ADI</t>
        </is>
      </c>
      <c r="AQ408" t="n">
        <v>9</v>
      </c>
      <c r="AR408" t="n">
        <v>64</v>
      </c>
      <c r="AS408" t="n">
        <v>32</v>
      </c>
      <c r="AU408">
        <f>COUNTA($BA$408:$EH$408)</f>
        <v/>
      </c>
      <c r="AV408">
        <f>COUNTIF($BA$408:$EH$408,"D")</f>
        <v/>
      </c>
      <c r="AW408">
        <f>COUNTIF($BA$408:$EH$408,"R")</f>
        <v/>
      </c>
      <c r="AX408">
        <f>IF(BN408="D",1,0)+IF(BO408="D",1,0)+IF(BT408="D",1,0)+IF(BU408="D",1,0)+IF(BW408="D",1,0)+IF(CC408="D",1,0)+IF(CD408="D",1,0)+IF(CE408="D",1,0)+IF(CF408="D",1,0)+IF(CL408="D",1,0)+IF(CM408="D",1,0)+IF(CQ408="D",1,0)+IF(CR408="D",1,0)+IF(CS408="D",1,0)+IF(CW408="D",1,0)+IF(CX408="D",1,0)+IF(DD408="D",1,0)+IF(DE408="D",1,0)+IF(DJ408="D",1,0)+IF(DK408="D",1,0)+IF(DO408="D",1,0)+IF(DP408="D",1,0)+IF(DQ408="D",1,0)+IF(DW408="D",1,0)+IF(DZ408="D",1,0)+IF(EH408="D",1,0)</f>
        <v/>
      </c>
      <c r="AY408">
        <f>IF(DJ408&lt;&gt;"",1,0)+IF(DK408&lt;&gt;"",1,0)+IF(DM408&lt;&gt;"",1,0)+IF(DO408&lt;&gt;"",1,0)+IF(DP408&lt;&gt;"",1,0)+IF(DQ408&lt;&gt;"",1,0)+IF(DS408&lt;&gt;"",1,0)+IF(DT408&lt;&gt;"",1,0)+IF(DV408&lt;&gt;"",1,0)+IF(DW408&lt;&gt;"",1,0)+IF(DX408&lt;&gt;"",1,0)+IF(DY408&lt;&gt;"",1,0)+IF(DZ408&lt;&gt;"",1,0)+IF(EB408&lt;&gt;"",1,0)+IF(EC408&lt;&gt;"",1,0)+IF(ED408&lt;&gt;"",1,0)+IF(EG408&lt;&gt;"",1,0)+IF(EH408&lt;&gt;"",1,0)</f>
        <v/>
      </c>
      <c r="AZ408">
        <f>IF(EH408&lt;&gt;"",1,0)</f>
        <v/>
      </c>
      <c r="BB408" t="inlineStr">
        <is>
          <t>WARREN-WARD 4</t>
        </is>
      </c>
    </row>
    <row r="409">
      <c r="A409" t="inlineStr">
        <is>
          <t>OH0026995368</t>
        </is>
      </c>
      <c r="B409" t="n">
        <v>78</v>
      </c>
      <c r="C409" t="n">
        <v>475197</v>
      </c>
      <c r="D409" t="inlineStr">
        <is>
          <t>NEUMAN</t>
        </is>
      </c>
      <c r="E409" t="inlineStr">
        <is>
          <t>SARAH</t>
        </is>
      </c>
      <c r="F409">
        <f>CONCATENATE(D409," ",LEFT(H409,4),"T=",AU409,"D=",AV409,"R=",AW409,"M=",AX409,"L=",AY409,"B=",AZ409)</f>
        <v/>
      </c>
      <c r="G409" t="inlineStr">
        <is>
          <t>LYNN</t>
        </is>
      </c>
      <c r="I409" t="inlineStr">
        <is>
          <t>2004-10-22</t>
        </is>
      </c>
      <c r="J409" t="inlineStr">
        <is>
          <t>2024-10-07</t>
        </is>
      </c>
      <c r="K409" t="inlineStr">
        <is>
          <t>ACTIVE</t>
        </is>
      </c>
      <c r="M409" t="inlineStr">
        <is>
          <t>901 OAK KNOLL AVE SE</t>
        </is>
      </c>
      <c r="N409">
        <f>RIGHT(M409,LEN(M409)-FIND(" ",M409))</f>
        <v/>
      </c>
      <c r="P409" t="inlineStr">
        <is>
          <t>WARREN</t>
        </is>
      </c>
      <c r="Q409" t="inlineStr">
        <is>
          <t>OH</t>
        </is>
      </c>
      <c r="R409" t="n">
        <v>44484</v>
      </c>
      <c r="AD409" t="inlineStr">
        <is>
          <t>TRUMBULL CAREER &amp; TECH CENTER</t>
        </is>
      </c>
      <c r="AE409" t="inlineStr">
        <is>
          <t>WARREN CITY</t>
        </is>
      </c>
      <c r="AF409" t="inlineStr">
        <is>
          <t>WARREN CITY SD</t>
        </is>
      </c>
      <c r="AH409" t="n">
        <v>14</v>
      </c>
      <c r="AI409" t="n">
        <v>11</v>
      </c>
      <c r="AN409" t="inlineStr">
        <is>
          <t>WARREN</t>
        </is>
      </c>
      <c r="AO409" t="inlineStr">
        <is>
          <t>WARREN CITY 4A</t>
        </is>
      </c>
      <c r="AP409" t="inlineStr">
        <is>
          <t>78-P-ADI</t>
        </is>
      </c>
      <c r="AQ409" t="n">
        <v>9</v>
      </c>
      <c r="AR409" t="n">
        <v>64</v>
      </c>
      <c r="AS409" t="n">
        <v>32</v>
      </c>
      <c r="AU409">
        <f>COUNTA($BA$409:$EH$409)</f>
        <v/>
      </c>
      <c r="AV409">
        <f>COUNTIF($BA$409:$EH$409,"D")</f>
        <v/>
      </c>
      <c r="AW409">
        <f>COUNTIF($BA$409:$EH$409,"R")</f>
        <v/>
      </c>
      <c r="AX409">
        <f>IF(BN409="D",1,0)+IF(BO409="D",1,0)+IF(BT409="D",1,0)+IF(BU409="D",1,0)+IF(BW409="D",1,0)+IF(CC409="D",1,0)+IF(CD409="D",1,0)+IF(CE409="D",1,0)+IF(CF409="D",1,0)+IF(CL409="D",1,0)+IF(CM409="D",1,0)+IF(CQ409="D",1,0)+IF(CR409="D",1,0)+IF(CS409="D",1,0)+IF(CW409="D",1,0)+IF(CX409="D",1,0)+IF(DD409="D",1,0)+IF(DE409="D",1,0)+IF(DJ409="D",1,0)+IF(DK409="D",1,0)+IF(DO409="D",1,0)+IF(DP409="D",1,0)+IF(DQ409="D",1,0)+IF(DW409="D",1,0)+IF(DZ409="D",1,0)+IF(EH409="D",1,0)</f>
        <v/>
      </c>
      <c r="AY409">
        <f>IF(DJ409&lt;&gt;"",1,0)+IF(DK409&lt;&gt;"",1,0)+IF(DM409&lt;&gt;"",1,0)+IF(DO409&lt;&gt;"",1,0)+IF(DP409&lt;&gt;"",1,0)+IF(DQ409&lt;&gt;"",1,0)+IF(DS409&lt;&gt;"",1,0)+IF(DT409&lt;&gt;"",1,0)+IF(DV409&lt;&gt;"",1,0)+IF(DW409&lt;&gt;"",1,0)+IF(DX409&lt;&gt;"",1,0)+IF(DY409&lt;&gt;"",1,0)+IF(DZ409&lt;&gt;"",1,0)+IF(EB409&lt;&gt;"",1,0)+IF(EC409&lt;&gt;"",1,0)+IF(ED409&lt;&gt;"",1,0)+IF(EG409&lt;&gt;"",1,0)+IF(EH409&lt;&gt;"",1,0)</f>
        <v/>
      </c>
      <c r="AZ409">
        <f>IF(EH409&lt;&gt;"",1,0)</f>
        <v/>
      </c>
      <c r="BB409" t="inlineStr">
        <is>
          <t>WARREN-WARD 4</t>
        </is>
      </c>
      <c r="EF409" t="inlineStr">
        <is>
          <t>X</t>
        </is>
      </c>
    </row>
    <row r="410">
      <c r="A410" t="inlineStr">
        <is>
          <t>OH0026028775</t>
        </is>
      </c>
      <c r="B410" t="n">
        <v>78</v>
      </c>
      <c r="C410" t="n">
        <v>454635</v>
      </c>
      <c r="D410" t="inlineStr">
        <is>
          <t>ESTEVEZ</t>
        </is>
      </c>
      <c r="E410" t="inlineStr">
        <is>
          <t>JOHN</t>
        </is>
      </c>
      <c r="F410">
        <f>CONCATENATE(D410," ",LEFT(H410,4),"T=",AU410,"D=",AV410,"R=",AW410,"M=",AX410,"L=",AY410,"B=",AZ410)</f>
        <v/>
      </c>
      <c r="G410" t="inlineStr">
        <is>
          <t>CARLOS</t>
        </is>
      </c>
      <c r="I410" t="inlineStr">
        <is>
          <t>1982-05-29</t>
        </is>
      </c>
      <c r="J410" t="inlineStr">
        <is>
          <t>2020-10-02</t>
        </is>
      </c>
      <c r="K410" t="inlineStr">
        <is>
          <t>ACTIVE</t>
        </is>
      </c>
      <c r="M410" t="inlineStr">
        <is>
          <t>1657 YOUNGSTOWN RD SE</t>
        </is>
      </c>
      <c r="N410">
        <f>RIGHT(M410,LEN(M410)-FIND(" ",M410))</f>
        <v/>
      </c>
      <c r="P410" t="inlineStr">
        <is>
          <t>WARREN</t>
        </is>
      </c>
      <c r="Q410" t="inlineStr">
        <is>
          <t>OH</t>
        </is>
      </c>
      <c r="R410" t="n">
        <v>44484</v>
      </c>
      <c r="AD410" t="inlineStr">
        <is>
          <t>TRUMBULL CAREER &amp; TECH CENTER</t>
        </is>
      </c>
      <c r="AE410" t="inlineStr">
        <is>
          <t>WARREN CITY</t>
        </is>
      </c>
      <c r="AF410" t="inlineStr">
        <is>
          <t>WARREN CITY SD</t>
        </is>
      </c>
      <c r="AH410" t="n">
        <v>14</v>
      </c>
      <c r="AI410" t="n">
        <v>11</v>
      </c>
      <c r="AN410" t="inlineStr">
        <is>
          <t>WARREN</t>
        </is>
      </c>
      <c r="AO410" t="inlineStr">
        <is>
          <t>WARREN CITY 4A</t>
        </is>
      </c>
      <c r="AP410" t="inlineStr">
        <is>
          <t>78-P-ADI</t>
        </is>
      </c>
      <c r="AQ410" t="n">
        <v>9</v>
      </c>
      <c r="AR410" t="n">
        <v>64</v>
      </c>
      <c r="AS410" t="n">
        <v>32</v>
      </c>
      <c r="AU410">
        <f>COUNTA($BA$410:$EH$410)</f>
        <v/>
      </c>
      <c r="AV410">
        <f>COUNTIF($BA$410:$EH$410,"D")</f>
        <v/>
      </c>
      <c r="AW410">
        <f>COUNTIF($BA$410:$EH$410,"R")</f>
        <v/>
      </c>
      <c r="AX410">
        <f>IF(BN410="D",1,0)+IF(BO410="D",1,0)+IF(BT410="D",1,0)+IF(BU410="D",1,0)+IF(BW410="D",1,0)+IF(CC410="D",1,0)+IF(CD410="D",1,0)+IF(CE410="D",1,0)+IF(CF410="D",1,0)+IF(CL410="D",1,0)+IF(CM410="D",1,0)+IF(CQ410="D",1,0)+IF(CR410="D",1,0)+IF(CS410="D",1,0)+IF(CW410="D",1,0)+IF(CX410="D",1,0)+IF(DD410="D",1,0)+IF(DE410="D",1,0)+IF(DJ410="D",1,0)+IF(DK410="D",1,0)+IF(DO410="D",1,0)+IF(DP410="D",1,0)+IF(DQ410="D",1,0)+IF(DW410="D",1,0)+IF(DZ410="D",1,0)+IF(EH410="D",1,0)</f>
        <v/>
      </c>
      <c r="AY410">
        <f>IF(DJ410&lt;&gt;"",1,0)+IF(DK410&lt;&gt;"",1,0)+IF(DM410&lt;&gt;"",1,0)+IF(DO410&lt;&gt;"",1,0)+IF(DP410&lt;&gt;"",1,0)+IF(DQ410&lt;&gt;"",1,0)+IF(DS410&lt;&gt;"",1,0)+IF(DT410&lt;&gt;"",1,0)+IF(DV410&lt;&gt;"",1,0)+IF(DW410&lt;&gt;"",1,0)+IF(DX410&lt;&gt;"",1,0)+IF(DY410&lt;&gt;"",1,0)+IF(DZ410&lt;&gt;"",1,0)+IF(EB410&lt;&gt;"",1,0)+IF(EC410&lt;&gt;"",1,0)+IF(ED410&lt;&gt;"",1,0)+IF(EG410&lt;&gt;"",1,0)+IF(EH410&lt;&gt;"",1,0)</f>
        <v/>
      </c>
      <c r="AZ410">
        <f>IF(EH410&lt;&gt;"",1,0)</f>
        <v/>
      </c>
      <c r="BB410" t="inlineStr">
        <is>
          <t>WARREN-WARD 4</t>
        </is>
      </c>
    </row>
    <row r="411">
      <c r="A411" t="inlineStr">
        <is>
          <t>OH0027847426</t>
        </is>
      </c>
      <c r="B411" t="n">
        <v>78</v>
      </c>
      <c r="C411" t="n">
        <v>494223</v>
      </c>
      <c r="D411" t="inlineStr">
        <is>
          <t>ANDERSON</t>
        </is>
      </c>
      <c r="E411" t="inlineStr">
        <is>
          <t>NICOLE</t>
        </is>
      </c>
      <c r="F411">
        <f>CONCATENATE(D411," ",LEFT(H411,4),"T=",AU411,"D=",AV411,"R=",AW411,"M=",AX411,"L=",AY411,"B=",AZ411)</f>
        <v/>
      </c>
      <c r="G411" t="inlineStr">
        <is>
          <t>LYNN</t>
        </is>
      </c>
      <c r="I411" t="inlineStr">
        <is>
          <t>1996-09-30</t>
        </is>
      </c>
      <c r="J411" t="inlineStr">
        <is>
          <t>2024-11-06</t>
        </is>
      </c>
      <c r="K411" t="inlineStr">
        <is>
          <t>ACTIVE</t>
        </is>
      </c>
      <c r="M411" t="inlineStr">
        <is>
          <t>720 WOODBINE AVE SE</t>
        </is>
      </c>
      <c r="N411">
        <f>RIGHT(M411,LEN(M411)-FIND(" ",M411))</f>
        <v/>
      </c>
      <c r="P411" t="inlineStr">
        <is>
          <t>WARREN</t>
        </is>
      </c>
      <c r="Q411" t="inlineStr">
        <is>
          <t>OH</t>
        </is>
      </c>
      <c r="R411" t="n">
        <v>44484</v>
      </c>
      <c r="AD411" t="inlineStr">
        <is>
          <t>TRUMBULL CAREER &amp; TECH CENTER</t>
        </is>
      </c>
      <c r="AE411" t="inlineStr">
        <is>
          <t>WARREN CITY</t>
        </is>
      </c>
      <c r="AF411" t="inlineStr">
        <is>
          <t>WARREN CITY SD</t>
        </is>
      </c>
      <c r="AH411" t="n">
        <v>14</v>
      </c>
      <c r="AI411" t="n">
        <v>11</v>
      </c>
      <c r="AN411" t="inlineStr">
        <is>
          <t>WARREN</t>
        </is>
      </c>
      <c r="AO411" t="inlineStr">
        <is>
          <t>WARREN CITY 4A</t>
        </is>
      </c>
      <c r="AP411" t="inlineStr">
        <is>
          <t>78-P-ADI</t>
        </is>
      </c>
      <c r="AQ411" t="n">
        <v>9</v>
      </c>
      <c r="AR411" t="n">
        <v>64</v>
      </c>
      <c r="AS411" t="n">
        <v>32</v>
      </c>
      <c r="AU411">
        <f>COUNTA($BA$411:$EH$411)</f>
        <v/>
      </c>
      <c r="AV411">
        <f>COUNTIF($BA$411:$EH$411,"D")</f>
        <v/>
      </c>
      <c r="AW411">
        <f>COUNTIF($BA$411:$EH$411,"R")</f>
        <v/>
      </c>
      <c r="AX411">
        <f>IF(BN411="D",1,0)+IF(BO411="D",1,0)+IF(BT411="D",1,0)+IF(BU411="D",1,0)+IF(BW411="D",1,0)+IF(CC411="D",1,0)+IF(CD411="D",1,0)+IF(CE411="D",1,0)+IF(CF411="D",1,0)+IF(CL411="D",1,0)+IF(CM411="D",1,0)+IF(CQ411="D",1,0)+IF(CR411="D",1,0)+IF(CS411="D",1,0)+IF(CW411="D",1,0)+IF(CX411="D",1,0)+IF(DD411="D",1,0)+IF(DE411="D",1,0)+IF(DJ411="D",1,0)+IF(DK411="D",1,0)+IF(DO411="D",1,0)+IF(DP411="D",1,0)+IF(DQ411="D",1,0)+IF(DW411="D",1,0)+IF(DZ411="D",1,0)+IF(EH411="D",1,0)</f>
        <v/>
      </c>
      <c r="AY411">
        <f>IF(DJ411&lt;&gt;"",1,0)+IF(DK411&lt;&gt;"",1,0)+IF(DM411&lt;&gt;"",1,0)+IF(DO411&lt;&gt;"",1,0)+IF(DP411&lt;&gt;"",1,0)+IF(DQ411&lt;&gt;"",1,0)+IF(DS411&lt;&gt;"",1,0)+IF(DT411&lt;&gt;"",1,0)+IF(DV411&lt;&gt;"",1,0)+IF(DW411&lt;&gt;"",1,0)+IF(DX411&lt;&gt;"",1,0)+IF(DY411&lt;&gt;"",1,0)+IF(DZ411&lt;&gt;"",1,0)+IF(EB411&lt;&gt;"",1,0)+IF(EC411&lt;&gt;"",1,0)+IF(ED411&lt;&gt;"",1,0)+IF(EG411&lt;&gt;"",1,0)+IF(EH411&lt;&gt;"",1,0)</f>
        <v/>
      </c>
      <c r="AZ411">
        <f>IF(EH411&lt;&gt;"",1,0)</f>
        <v/>
      </c>
      <c r="BB411" t="inlineStr">
        <is>
          <t>WARREN-WARD 4</t>
        </is>
      </c>
    </row>
    <row r="412">
      <c r="A412" t="inlineStr">
        <is>
          <t>OH0020649265</t>
        </is>
      </c>
      <c r="B412" t="n">
        <v>78</v>
      </c>
      <c r="C412" t="n">
        <v>369546</v>
      </c>
      <c r="D412" t="inlineStr">
        <is>
          <t>FILE</t>
        </is>
      </c>
      <c r="E412" t="inlineStr">
        <is>
          <t>TAMMY</t>
        </is>
      </c>
      <c r="F412">
        <f>CONCATENATE(D412," ",LEFT(H412,4),"T=",AU412,"D=",AV412,"R=",AW412,"M=",AX412,"L=",AY412,"B=",AZ412)</f>
        <v/>
      </c>
      <c r="G412" t="inlineStr">
        <is>
          <t>M</t>
        </is>
      </c>
      <c r="I412" t="inlineStr">
        <is>
          <t>1973-09-13</t>
        </is>
      </c>
      <c r="J412" t="inlineStr">
        <is>
          <t>2009-05-05</t>
        </is>
      </c>
      <c r="K412" t="inlineStr">
        <is>
          <t>CONFIRMATION</t>
        </is>
      </c>
      <c r="M412" t="inlineStr">
        <is>
          <t>931 OAK KNOLL AVE SE</t>
        </is>
      </c>
      <c r="N412">
        <f>RIGHT(M412,LEN(M412)-FIND(" ",M412))</f>
        <v/>
      </c>
      <c r="P412" t="inlineStr">
        <is>
          <t>WARREN</t>
        </is>
      </c>
      <c r="Q412" t="inlineStr">
        <is>
          <t>OH</t>
        </is>
      </c>
      <c r="R412" t="n">
        <v>44484</v>
      </c>
      <c r="AD412" t="inlineStr">
        <is>
          <t>TRUMBULL CAREER &amp; TECH CENTER</t>
        </is>
      </c>
      <c r="AE412" t="inlineStr">
        <is>
          <t>WARREN CITY</t>
        </is>
      </c>
      <c r="AF412" t="inlineStr">
        <is>
          <t>WARREN CITY SD</t>
        </is>
      </c>
      <c r="AH412" t="n">
        <v>14</v>
      </c>
      <c r="AI412" t="n">
        <v>11</v>
      </c>
      <c r="AN412" t="inlineStr">
        <is>
          <t>WARREN</t>
        </is>
      </c>
      <c r="AO412" t="inlineStr">
        <is>
          <t>WARREN CITY 4A</t>
        </is>
      </c>
      <c r="AP412" t="inlineStr">
        <is>
          <t>78-P-ADI</t>
        </is>
      </c>
      <c r="AQ412" t="n">
        <v>9</v>
      </c>
      <c r="AR412" t="n">
        <v>64</v>
      </c>
      <c r="AS412" t="n">
        <v>32</v>
      </c>
      <c r="AU412">
        <f>COUNTA($BA$412:$EH$412)</f>
        <v/>
      </c>
      <c r="AV412">
        <f>COUNTIF($BA$412:$EH$412,"D")</f>
        <v/>
      </c>
      <c r="AW412">
        <f>COUNTIF($BA$412:$EH$412,"R")</f>
        <v/>
      </c>
      <c r="AX412">
        <f>IF(BN412="D",1,0)+IF(BO412="D",1,0)+IF(BT412="D",1,0)+IF(BU412="D",1,0)+IF(BW412="D",1,0)+IF(CC412="D",1,0)+IF(CD412="D",1,0)+IF(CE412="D",1,0)+IF(CF412="D",1,0)+IF(CL412="D",1,0)+IF(CM412="D",1,0)+IF(CQ412="D",1,0)+IF(CR412="D",1,0)+IF(CS412="D",1,0)+IF(CW412="D",1,0)+IF(CX412="D",1,0)+IF(DD412="D",1,0)+IF(DE412="D",1,0)+IF(DJ412="D",1,0)+IF(DK412="D",1,0)+IF(DO412="D",1,0)+IF(DP412="D",1,0)+IF(DQ412="D",1,0)+IF(DW412="D",1,0)+IF(DZ412="D",1,0)+IF(EH412="D",1,0)</f>
        <v/>
      </c>
      <c r="AY412">
        <f>IF(DJ412&lt;&gt;"",1,0)+IF(DK412&lt;&gt;"",1,0)+IF(DM412&lt;&gt;"",1,0)+IF(DO412&lt;&gt;"",1,0)+IF(DP412&lt;&gt;"",1,0)+IF(DQ412&lt;&gt;"",1,0)+IF(DS412&lt;&gt;"",1,0)+IF(DT412&lt;&gt;"",1,0)+IF(DV412&lt;&gt;"",1,0)+IF(DW412&lt;&gt;"",1,0)+IF(DX412&lt;&gt;"",1,0)+IF(DY412&lt;&gt;"",1,0)+IF(DZ412&lt;&gt;"",1,0)+IF(EB412&lt;&gt;"",1,0)+IF(EC412&lt;&gt;"",1,0)+IF(ED412&lt;&gt;"",1,0)+IF(EG412&lt;&gt;"",1,0)+IF(EH412&lt;&gt;"",1,0)</f>
        <v/>
      </c>
      <c r="AZ412">
        <f>IF(EH412&lt;&gt;"",1,0)</f>
        <v/>
      </c>
      <c r="BB412" t="inlineStr">
        <is>
          <t>WARREN-WARD 4</t>
        </is>
      </c>
    </row>
    <row r="413">
      <c r="A413" t="inlineStr">
        <is>
          <t>OH0015747445</t>
        </is>
      </c>
      <c r="B413" t="n">
        <v>78</v>
      </c>
      <c r="C413" t="n">
        <v>296499</v>
      </c>
      <c r="D413" t="inlineStr">
        <is>
          <t>SLOAN</t>
        </is>
      </c>
      <c r="E413" t="inlineStr">
        <is>
          <t>BOBBI</t>
        </is>
      </c>
      <c r="F413">
        <f>CONCATENATE(D413," ",LEFT(H413,4),"T=",AU413,"D=",AV413,"R=",AW413,"M=",AX413,"L=",AY413,"B=",AZ413)</f>
        <v/>
      </c>
      <c r="G413" t="inlineStr">
        <is>
          <t>JO</t>
        </is>
      </c>
      <c r="I413" t="inlineStr">
        <is>
          <t>1981-03-10</t>
        </is>
      </c>
      <c r="J413" t="inlineStr">
        <is>
          <t>2024-07-26</t>
        </is>
      </c>
      <c r="K413" t="inlineStr">
        <is>
          <t>ACTIVE</t>
        </is>
      </c>
      <c r="M413" t="inlineStr">
        <is>
          <t>733 LAIRD AVE SE</t>
        </is>
      </c>
      <c r="N413">
        <f>RIGHT(M413,LEN(M413)-FIND(" ",M413))</f>
        <v/>
      </c>
      <c r="P413" t="inlineStr">
        <is>
          <t>WARREN</t>
        </is>
      </c>
      <c r="Q413" t="inlineStr">
        <is>
          <t>OH</t>
        </is>
      </c>
      <c r="R413" t="n">
        <v>44484</v>
      </c>
      <c r="AD413" t="inlineStr">
        <is>
          <t>TRUMBULL CAREER &amp; TECH CENTER</t>
        </is>
      </c>
      <c r="AE413" t="inlineStr">
        <is>
          <t>WARREN CITY</t>
        </is>
      </c>
      <c r="AF413" t="inlineStr">
        <is>
          <t>WARREN CITY SD</t>
        </is>
      </c>
      <c r="AH413" t="n">
        <v>14</v>
      </c>
      <c r="AI413" t="n">
        <v>11</v>
      </c>
      <c r="AN413" t="inlineStr">
        <is>
          <t>WARREN</t>
        </is>
      </c>
      <c r="AO413" t="inlineStr">
        <is>
          <t>WARREN CITY 4A</t>
        </is>
      </c>
      <c r="AP413" t="inlineStr">
        <is>
          <t>78-P-ADI</t>
        </is>
      </c>
      <c r="AQ413" t="n">
        <v>9</v>
      </c>
      <c r="AR413" t="n">
        <v>64</v>
      </c>
      <c r="AS413" t="n">
        <v>32</v>
      </c>
      <c r="AU413">
        <f>COUNTA($BA$413:$EH$413)</f>
        <v/>
      </c>
      <c r="AV413">
        <f>COUNTIF($BA$413:$EH$413,"D")</f>
        <v/>
      </c>
      <c r="AW413">
        <f>COUNTIF($BA$413:$EH$413,"R")</f>
        <v/>
      </c>
      <c r="AX413">
        <f>IF(BN413="D",1,0)+IF(BO413="D",1,0)+IF(BT413="D",1,0)+IF(BU413="D",1,0)+IF(BW413="D",1,0)+IF(CC413="D",1,0)+IF(CD413="D",1,0)+IF(CE413="D",1,0)+IF(CF413="D",1,0)+IF(CL413="D",1,0)+IF(CM413="D",1,0)+IF(CQ413="D",1,0)+IF(CR413="D",1,0)+IF(CS413="D",1,0)+IF(CW413="D",1,0)+IF(CX413="D",1,0)+IF(DD413="D",1,0)+IF(DE413="D",1,0)+IF(DJ413="D",1,0)+IF(DK413="D",1,0)+IF(DO413="D",1,0)+IF(DP413="D",1,0)+IF(DQ413="D",1,0)+IF(DW413="D",1,0)+IF(DZ413="D",1,0)+IF(EH413="D",1,0)</f>
        <v/>
      </c>
      <c r="AY413">
        <f>IF(DJ413&lt;&gt;"",1,0)+IF(DK413&lt;&gt;"",1,0)+IF(DM413&lt;&gt;"",1,0)+IF(DO413&lt;&gt;"",1,0)+IF(DP413&lt;&gt;"",1,0)+IF(DQ413&lt;&gt;"",1,0)+IF(DS413&lt;&gt;"",1,0)+IF(DT413&lt;&gt;"",1,0)+IF(DV413&lt;&gt;"",1,0)+IF(DW413&lt;&gt;"",1,0)+IF(DX413&lt;&gt;"",1,0)+IF(DY413&lt;&gt;"",1,0)+IF(DZ413&lt;&gt;"",1,0)+IF(EB413&lt;&gt;"",1,0)+IF(EC413&lt;&gt;"",1,0)+IF(ED413&lt;&gt;"",1,0)+IF(EG413&lt;&gt;"",1,0)+IF(EH413&lt;&gt;"",1,0)</f>
        <v/>
      </c>
      <c r="AZ413">
        <f>IF(EH413&lt;&gt;"",1,0)</f>
        <v/>
      </c>
      <c r="BB413" t="inlineStr">
        <is>
          <t>WARREN-WARD 4</t>
        </is>
      </c>
      <c r="BR413" t="inlineStr">
        <is>
          <t>X</t>
        </is>
      </c>
      <c r="BY413" t="inlineStr">
        <is>
          <t>D</t>
        </is>
      </c>
    </row>
    <row r="414">
      <c r="A414" t="inlineStr">
        <is>
          <t>OH0026313468</t>
        </is>
      </c>
      <c r="B414" t="n">
        <v>78</v>
      </c>
      <c r="C414" t="n">
        <v>460106</v>
      </c>
      <c r="D414" t="inlineStr">
        <is>
          <t>BALINT</t>
        </is>
      </c>
      <c r="E414" t="inlineStr">
        <is>
          <t>HAYLEE</t>
        </is>
      </c>
      <c r="F414">
        <f>CONCATENATE(D414," ",LEFT(H414,4),"T=",AU414,"D=",AV414,"R=",AW414,"M=",AX414,"L=",AY414,"B=",AZ414)</f>
        <v/>
      </c>
      <c r="G414" t="inlineStr">
        <is>
          <t>M</t>
        </is>
      </c>
      <c r="I414" t="inlineStr">
        <is>
          <t>2003-08-31</t>
        </is>
      </c>
      <c r="J414" t="inlineStr">
        <is>
          <t>2021-09-24</t>
        </is>
      </c>
      <c r="K414" t="inlineStr">
        <is>
          <t>ACTIVE</t>
        </is>
      </c>
      <c r="M414" t="inlineStr">
        <is>
          <t>1116 ADELAIDE AVE SE</t>
        </is>
      </c>
      <c r="N414">
        <f>RIGHT(M414,LEN(M414)-FIND(" ",M414))</f>
        <v/>
      </c>
      <c r="P414" t="inlineStr">
        <is>
          <t>WARREN</t>
        </is>
      </c>
      <c r="Q414" t="inlineStr">
        <is>
          <t>OH</t>
        </is>
      </c>
      <c r="R414" t="n">
        <v>44484</v>
      </c>
      <c r="AD414" t="inlineStr">
        <is>
          <t>TRUMBULL CAREER &amp; TECH CENTER</t>
        </is>
      </c>
      <c r="AE414" t="inlineStr">
        <is>
          <t>WARREN CITY</t>
        </is>
      </c>
      <c r="AF414" t="inlineStr">
        <is>
          <t>WARREN CITY SD</t>
        </is>
      </c>
      <c r="AH414" t="n">
        <v>14</v>
      </c>
      <c r="AI414" t="n">
        <v>11</v>
      </c>
      <c r="AN414" t="inlineStr">
        <is>
          <t>WARREN</t>
        </is>
      </c>
      <c r="AO414" t="inlineStr">
        <is>
          <t>WARREN CITY 4A</t>
        </is>
      </c>
      <c r="AP414" t="inlineStr">
        <is>
          <t>78-P-ADI</t>
        </is>
      </c>
      <c r="AQ414" t="n">
        <v>9</v>
      </c>
      <c r="AR414" t="n">
        <v>64</v>
      </c>
      <c r="AS414" t="n">
        <v>32</v>
      </c>
      <c r="AU414">
        <f>COUNTA($BA$414:$EH$414)</f>
        <v/>
      </c>
      <c r="AV414">
        <f>COUNTIF($BA$414:$EH$414,"D")</f>
        <v/>
      </c>
      <c r="AW414">
        <f>COUNTIF($BA$414:$EH$414,"R")</f>
        <v/>
      </c>
      <c r="AX414">
        <f>IF(BN414="D",1,0)+IF(BO414="D",1,0)+IF(BT414="D",1,0)+IF(BU414="D",1,0)+IF(BW414="D",1,0)+IF(CC414="D",1,0)+IF(CD414="D",1,0)+IF(CE414="D",1,0)+IF(CF414="D",1,0)+IF(CL414="D",1,0)+IF(CM414="D",1,0)+IF(CQ414="D",1,0)+IF(CR414="D",1,0)+IF(CS414="D",1,0)+IF(CW414="D",1,0)+IF(CX414="D",1,0)+IF(DD414="D",1,0)+IF(DE414="D",1,0)+IF(DJ414="D",1,0)+IF(DK414="D",1,0)+IF(DO414="D",1,0)+IF(DP414="D",1,0)+IF(DQ414="D",1,0)+IF(DW414="D",1,0)+IF(DZ414="D",1,0)+IF(EH414="D",1,0)</f>
        <v/>
      </c>
      <c r="AY414">
        <f>IF(DJ414&lt;&gt;"",1,0)+IF(DK414&lt;&gt;"",1,0)+IF(DM414&lt;&gt;"",1,0)+IF(DO414&lt;&gt;"",1,0)+IF(DP414&lt;&gt;"",1,0)+IF(DQ414&lt;&gt;"",1,0)+IF(DS414&lt;&gt;"",1,0)+IF(DT414&lt;&gt;"",1,0)+IF(DV414&lt;&gt;"",1,0)+IF(DW414&lt;&gt;"",1,0)+IF(DX414&lt;&gt;"",1,0)+IF(DY414&lt;&gt;"",1,0)+IF(DZ414&lt;&gt;"",1,0)+IF(EB414&lt;&gt;"",1,0)+IF(EC414&lt;&gt;"",1,0)+IF(ED414&lt;&gt;"",1,0)+IF(EG414&lt;&gt;"",1,0)+IF(EH414&lt;&gt;"",1,0)</f>
        <v/>
      </c>
      <c r="AZ414">
        <f>IF(EH414&lt;&gt;"",1,0)</f>
        <v/>
      </c>
      <c r="BB414" t="inlineStr">
        <is>
          <t>WARREN-WARD 4</t>
        </is>
      </c>
    </row>
    <row r="415">
      <c r="A415" t="inlineStr">
        <is>
          <t>OH0020208054</t>
        </is>
      </c>
      <c r="B415" t="n">
        <v>78</v>
      </c>
      <c r="C415" t="n">
        <v>364173</v>
      </c>
      <c r="D415" t="inlineStr">
        <is>
          <t>RILEY</t>
        </is>
      </c>
      <c r="E415" t="inlineStr">
        <is>
          <t>TAWNYA</t>
        </is>
      </c>
      <c r="F415">
        <f>CONCATENATE(D415," ",LEFT(H415,4),"T=",AU415,"D=",AV415,"R=",AW415,"M=",AX415,"L=",AY415,"B=",AZ415)</f>
        <v/>
      </c>
      <c r="G415" t="inlineStr">
        <is>
          <t>NICOLE</t>
        </is>
      </c>
      <c r="I415" t="inlineStr">
        <is>
          <t>1986-12-19</t>
        </is>
      </c>
      <c r="J415" t="inlineStr">
        <is>
          <t>2020-01-08</t>
        </is>
      </c>
      <c r="K415" t="inlineStr">
        <is>
          <t>ACTIVE</t>
        </is>
      </c>
      <c r="M415" t="inlineStr">
        <is>
          <t>235 IDDINGS AVE SE</t>
        </is>
      </c>
      <c r="N415">
        <f>RIGHT(M415,LEN(M415)-FIND(" ",M415))</f>
        <v/>
      </c>
      <c r="P415" t="inlineStr">
        <is>
          <t>WARREN</t>
        </is>
      </c>
      <c r="Q415" t="inlineStr">
        <is>
          <t>OH</t>
        </is>
      </c>
      <c r="R415" t="n">
        <v>44483</v>
      </c>
      <c r="AD415" t="inlineStr">
        <is>
          <t>TRUMBULL CAREER &amp; TECH CENTER</t>
        </is>
      </c>
      <c r="AE415" t="inlineStr">
        <is>
          <t>WARREN CITY</t>
        </is>
      </c>
      <c r="AF415" t="inlineStr">
        <is>
          <t>WARREN CITY SD</t>
        </is>
      </c>
      <c r="AH415" t="n">
        <v>14</v>
      </c>
      <c r="AI415" t="n">
        <v>11</v>
      </c>
      <c r="AN415" t="inlineStr">
        <is>
          <t>WARREN</t>
        </is>
      </c>
      <c r="AO415" t="inlineStr">
        <is>
          <t>WARREN CITY 4A</t>
        </is>
      </c>
      <c r="AP415" t="inlineStr">
        <is>
          <t>78-P-ADI</t>
        </is>
      </c>
      <c r="AQ415" t="n">
        <v>9</v>
      </c>
      <c r="AR415" t="n">
        <v>64</v>
      </c>
      <c r="AS415" t="n">
        <v>32</v>
      </c>
      <c r="AU415">
        <f>COUNTA($BA$415:$EH$415)</f>
        <v/>
      </c>
      <c r="AV415">
        <f>COUNTIF($BA$415:$EH$415,"D")</f>
        <v/>
      </c>
      <c r="AW415">
        <f>COUNTIF($BA$415:$EH$415,"R")</f>
        <v/>
      </c>
      <c r="AX415">
        <f>IF(BN415="D",1,0)+IF(BO415="D",1,0)+IF(BT415="D",1,0)+IF(BU415="D",1,0)+IF(BW415="D",1,0)+IF(CC415="D",1,0)+IF(CD415="D",1,0)+IF(CE415="D",1,0)+IF(CF415="D",1,0)+IF(CL415="D",1,0)+IF(CM415="D",1,0)+IF(CQ415="D",1,0)+IF(CR415="D",1,0)+IF(CS415="D",1,0)+IF(CW415="D",1,0)+IF(CX415="D",1,0)+IF(DD415="D",1,0)+IF(DE415="D",1,0)+IF(DJ415="D",1,0)+IF(DK415="D",1,0)+IF(DO415="D",1,0)+IF(DP415="D",1,0)+IF(DQ415="D",1,0)+IF(DW415="D",1,0)+IF(DZ415="D",1,0)+IF(EH415="D",1,0)</f>
        <v/>
      </c>
      <c r="AY415">
        <f>IF(DJ415&lt;&gt;"",1,0)+IF(DK415&lt;&gt;"",1,0)+IF(DM415&lt;&gt;"",1,0)+IF(DO415&lt;&gt;"",1,0)+IF(DP415&lt;&gt;"",1,0)+IF(DQ415&lt;&gt;"",1,0)+IF(DS415&lt;&gt;"",1,0)+IF(DT415&lt;&gt;"",1,0)+IF(DV415&lt;&gt;"",1,0)+IF(DW415&lt;&gt;"",1,0)+IF(DX415&lt;&gt;"",1,0)+IF(DY415&lt;&gt;"",1,0)+IF(DZ415&lt;&gt;"",1,0)+IF(EB415&lt;&gt;"",1,0)+IF(EC415&lt;&gt;"",1,0)+IF(ED415&lt;&gt;"",1,0)+IF(EG415&lt;&gt;"",1,0)+IF(EH415&lt;&gt;"",1,0)</f>
        <v/>
      </c>
      <c r="AZ415">
        <f>IF(EH415&lt;&gt;"",1,0)</f>
        <v/>
      </c>
      <c r="BB415" t="inlineStr">
        <is>
          <t>WARREN-WARD 4</t>
        </is>
      </c>
    </row>
    <row r="416">
      <c r="A416" t="inlineStr">
        <is>
          <t>OH0024312749</t>
        </is>
      </c>
      <c r="B416" t="n">
        <v>78</v>
      </c>
      <c r="C416" t="n">
        <v>426840</v>
      </c>
      <c r="D416" t="inlineStr">
        <is>
          <t>NORMAN</t>
        </is>
      </c>
      <c r="E416" t="inlineStr">
        <is>
          <t>JAMES</t>
        </is>
      </c>
      <c r="F416">
        <f>CONCATENATE(D416," ",LEFT(H416,4),"T=",AU416,"D=",AV416,"R=",AW416,"M=",AX416,"L=",AY416,"B=",AZ416)</f>
        <v/>
      </c>
      <c r="G416" t="inlineStr">
        <is>
          <t>W</t>
        </is>
      </c>
      <c r="I416" t="inlineStr">
        <is>
          <t>1989-06-19</t>
        </is>
      </c>
      <c r="J416" t="inlineStr">
        <is>
          <t>2017-06-17</t>
        </is>
      </c>
      <c r="K416" t="inlineStr">
        <is>
          <t>ACTIVE</t>
        </is>
      </c>
      <c r="M416" t="inlineStr">
        <is>
          <t>801 WOODBINE AVE SE</t>
        </is>
      </c>
      <c r="N416">
        <f>RIGHT(M416,LEN(M416)-FIND(" ",M416))</f>
        <v/>
      </c>
      <c r="P416" t="inlineStr">
        <is>
          <t>WARREN</t>
        </is>
      </c>
      <c r="Q416" t="inlineStr">
        <is>
          <t>OH</t>
        </is>
      </c>
      <c r="R416" t="n">
        <v>44484</v>
      </c>
      <c r="AD416" t="inlineStr">
        <is>
          <t>TRUMBULL CAREER &amp; TECH CENTER</t>
        </is>
      </c>
      <c r="AE416" t="inlineStr">
        <is>
          <t>WARREN CITY</t>
        </is>
      </c>
      <c r="AF416" t="inlineStr">
        <is>
          <t>WARREN CITY SD</t>
        </is>
      </c>
      <c r="AH416" t="n">
        <v>14</v>
      </c>
      <c r="AI416" t="n">
        <v>11</v>
      </c>
      <c r="AN416" t="inlineStr">
        <is>
          <t>WARREN</t>
        </is>
      </c>
      <c r="AO416" t="inlineStr">
        <is>
          <t>WARREN CITY 4A</t>
        </is>
      </c>
      <c r="AP416" t="inlineStr">
        <is>
          <t>78-P-ADI</t>
        </is>
      </c>
      <c r="AQ416" t="n">
        <v>9</v>
      </c>
      <c r="AR416" t="n">
        <v>64</v>
      </c>
      <c r="AS416" t="n">
        <v>32</v>
      </c>
      <c r="AU416">
        <f>COUNTA($BA$416:$EH$416)</f>
        <v/>
      </c>
      <c r="AV416">
        <f>COUNTIF($BA$416:$EH$416,"D")</f>
        <v/>
      </c>
      <c r="AW416">
        <f>COUNTIF($BA$416:$EH$416,"R")</f>
        <v/>
      </c>
      <c r="AX416">
        <f>IF(BN416="D",1,0)+IF(BO416="D",1,0)+IF(BT416="D",1,0)+IF(BU416="D",1,0)+IF(BW416="D",1,0)+IF(CC416="D",1,0)+IF(CD416="D",1,0)+IF(CE416="D",1,0)+IF(CF416="D",1,0)+IF(CL416="D",1,0)+IF(CM416="D",1,0)+IF(CQ416="D",1,0)+IF(CR416="D",1,0)+IF(CS416="D",1,0)+IF(CW416="D",1,0)+IF(CX416="D",1,0)+IF(DD416="D",1,0)+IF(DE416="D",1,0)+IF(DJ416="D",1,0)+IF(DK416="D",1,0)+IF(DO416="D",1,0)+IF(DP416="D",1,0)+IF(DQ416="D",1,0)+IF(DW416="D",1,0)+IF(DZ416="D",1,0)+IF(EH416="D",1,0)</f>
        <v/>
      </c>
      <c r="AY416">
        <f>IF(DJ416&lt;&gt;"",1,0)+IF(DK416&lt;&gt;"",1,0)+IF(DM416&lt;&gt;"",1,0)+IF(DO416&lt;&gt;"",1,0)+IF(DP416&lt;&gt;"",1,0)+IF(DQ416&lt;&gt;"",1,0)+IF(DS416&lt;&gt;"",1,0)+IF(DT416&lt;&gt;"",1,0)+IF(DV416&lt;&gt;"",1,0)+IF(DW416&lt;&gt;"",1,0)+IF(DX416&lt;&gt;"",1,0)+IF(DY416&lt;&gt;"",1,0)+IF(DZ416&lt;&gt;"",1,0)+IF(EB416&lt;&gt;"",1,0)+IF(EC416&lt;&gt;"",1,0)+IF(ED416&lt;&gt;"",1,0)+IF(EG416&lt;&gt;"",1,0)+IF(EH416&lt;&gt;"",1,0)</f>
        <v/>
      </c>
      <c r="AZ416">
        <f>IF(EH416&lt;&gt;"",1,0)</f>
        <v/>
      </c>
      <c r="BB416" t="inlineStr">
        <is>
          <t>WARREN-WARD 4</t>
        </is>
      </c>
      <c r="DI416" t="inlineStr">
        <is>
          <t>X</t>
        </is>
      </c>
      <c r="DN416" t="inlineStr">
        <is>
          <t>X</t>
        </is>
      </c>
      <c r="DU416" t="inlineStr">
        <is>
          <t>X</t>
        </is>
      </c>
      <c r="EF416" t="inlineStr">
        <is>
          <t>X</t>
        </is>
      </c>
    </row>
    <row r="417">
      <c r="A417" t="inlineStr">
        <is>
          <t>OH0023628487</t>
        </is>
      </c>
      <c r="B417" t="n">
        <v>78</v>
      </c>
      <c r="C417" t="n">
        <v>414870</v>
      </c>
      <c r="D417" t="inlineStr">
        <is>
          <t>EDMONDS</t>
        </is>
      </c>
      <c r="E417" t="inlineStr">
        <is>
          <t>JARON</t>
        </is>
      </c>
      <c r="F417">
        <f>CONCATENATE(D417," ",LEFT(H417,4),"T=",AU417,"D=",AV417,"R=",AW417,"M=",AX417,"L=",AY417,"B=",AZ417)</f>
        <v/>
      </c>
      <c r="G417" t="inlineStr">
        <is>
          <t>J</t>
        </is>
      </c>
      <c r="H417" t="inlineStr">
        <is>
          <t>SR</t>
        </is>
      </c>
      <c r="I417" t="inlineStr">
        <is>
          <t>1989-04-19</t>
        </is>
      </c>
      <c r="J417" t="inlineStr">
        <is>
          <t>2016-04-14</t>
        </is>
      </c>
      <c r="K417" t="inlineStr">
        <is>
          <t>CONFIRMATION</t>
        </is>
      </c>
      <c r="M417" t="inlineStr">
        <is>
          <t>526 LAIRD AVE SE</t>
        </is>
      </c>
      <c r="N417">
        <f>RIGHT(M417,LEN(M417)-FIND(" ",M417))</f>
        <v/>
      </c>
      <c r="P417" t="inlineStr">
        <is>
          <t>WARREN</t>
        </is>
      </c>
      <c r="Q417" t="inlineStr">
        <is>
          <t>OH</t>
        </is>
      </c>
      <c r="R417" t="n">
        <v>44484</v>
      </c>
      <c r="AD417" t="inlineStr">
        <is>
          <t>TRUMBULL CAREER &amp; TECH CENTER</t>
        </is>
      </c>
      <c r="AE417" t="inlineStr">
        <is>
          <t>WARREN CITY</t>
        </is>
      </c>
      <c r="AF417" t="inlineStr">
        <is>
          <t>WARREN CITY SD</t>
        </is>
      </c>
      <c r="AH417" t="n">
        <v>14</v>
      </c>
      <c r="AI417" t="n">
        <v>11</v>
      </c>
      <c r="AN417" t="inlineStr">
        <is>
          <t>WARREN</t>
        </is>
      </c>
      <c r="AO417" t="inlineStr">
        <is>
          <t>WARREN CITY 4A</t>
        </is>
      </c>
      <c r="AP417" t="inlineStr">
        <is>
          <t>78-P-ADI</t>
        </is>
      </c>
      <c r="AQ417" t="n">
        <v>9</v>
      </c>
      <c r="AR417" t="n">
        <v>64</v>
      </c>
      <c r="AS417" t="n">
        <v>32</v>
      </c>
      <c r="AU417">
        <f>COUNTA($BA$417:$EH$417)</f>
        <v/>
      </c>
      <c r="AV417">
        <f>COUNTIF($BA$417:$EH$417,"D")</f>
        <v/>
      </c>
      <c r="AW417">
        <f>COUNTIF($BA$417:$EH$417,"R")</f>
        <v/>
      </c>
      <c r="AX417">
        <f>IF(BN417="D",1,0)+IF(BO417="D",1,0)+IF(BT417="D",1,0)+IF(BU417="D",1,0)+IF(BW417="D",1,0)+IF(CC417="D",1,0)+IF(CD417="D",1,0)+IF(CE417="D",1,0)+IF(CF417="D",1,0)+IF(CL417="D",1,0)+IF(CM417="D",1,0)+IF(CQ417="D",1,0)+IF(CR417="D",1,0)+IF(CS417="D",1,0)+IF(CW417="D",1,0)+IF(CX417="D",1,0)+IF(DD417="D",1,0)+IF(DE417="D",1,0)+IF(DJ417="D",1,0)+IF(DK417="D",1,0)+IF(DO417="D",1,0)+IF(DP417="D",1,0)+IF(DQ417="D",1,0)+IF(DW417="D",1,0)+IF(DZ417="D",1,0)+IF(EH417="D",1,0)</f>
        <v/>
      </c>
      <c r="AY417">
        <f>IF(DJ417&lt;&gt;"",1,0)+IF(DK417&lt;&gt;"",1,0)+IF(DM417&lt;&gt;"",1,0)+IF(DO417&lt;&gt;"",1,0)+IF(DP417&lt;&gt;"",1,0)+IF(DQ417&lt;&gt;"",1,0)+IF(DS417&lt;&gt;"",1,0)+IF(DT417&lt;&gt;"",1,0)+IF(DV417&lt;&gt;"",1,0)+IF(DW417&lt;&gt;"",1,0)+IF(DX417&lt;&gt;"",1,0)+IF(DY417&lt;&gt;"",1,0)+IF(DZ417&lt;&gt;"",1,0)+IF(EB417&lt;&gt;"",1,0)+IF(EC417&lt;&gt;"",1,0)+IF(ED417&lt;&gt;"",1,0)+IF(EG417&lt;&gt;"",1,0)+IF(EH417&lt;&gt;"",1,0)</f>
        <v/>
      </c>
      <c r="AZ417">
        <f>IF(EH417&lt;&gt;"",1,0)</f>
        <v/>
      </c>
      <c r="BB417" t="inlineStr">
        <is>
          <t>WARREN-WARD 4</t>
        </is>
      </c>
    </row>
    <row r="418">
      <c r="A418" t="inlineStr">
        <is>
          <t>OH0015692127</t>
        </is>
      </c>
      <c r="B418" t="n">
        <v>78</v>
      </c>
      <c r="C418" t="n">
        <v>300798</v>
      </c>
      <c r="D418" t="inlineStr">
        <is>
          <t>GEARHART</t>
        </is>
      </c>
      <c r="E418" t="inlineStr">
        <is>
          <t>BEVERLEE</t>
        </is>
      </c>
      <c r="F418">
        <f>CONCATENATE(D418," ",LEFT(H418,4),"T=",AU418,"D=",AV418,"R=",AW418,"M=",AX418,"L=",AY418,"B=",AZ418)</f>
        <v/>
      </c>
      <c r="G418" t="inlineStr">
        <is>
          <t>A</t>
        </is>
      </c>
      <c r="I418" t="inlineStr">
        <is>
          <t>1979-12-03</t>
        </is>
      </c>
      <c r="J418" t="inlineStr">
        <is>
          <t>2014-12-06</t>
        </is>
      </c>
      <c r="K418" t="inlineStr">
        <is>
          <t>CONFIRMATION</t>
        </is>
      </c>
      <c r="M418" t="inlineStr">
        <is>
          <t>1242 SOUTH ST SE</t>
        </is>
      </c>
      <c r="N418">
        <f>RIGHT(M418,LEN(M418)-FIND(" ",M418))</f>
        <v/>
      </c>
      <c r="P418" t="inlineStr">
        <is>
          <t>WARREN</t>
        </is>
      </c>
      <c r="Q418" t="inlineStr">
        <is>
          <t>OH</t>
        </is>
      </c>
      <c r="R418" t="n">
        <v>44483</v>
      </c>
      <c r="AD418" t="inlineStr">
        <is>
          <t>TRUMBULL CAREER &amp; TECH CENTER</t>
        </is>
      </c>
      <c r="AE418" t="inlineStr">
        <is>
          <t>WARREN CITY</t>
        </is>
      </c>
      <c r="AF418" t="inlineStr">
        <is>
          <t>WARREN CITY SD</t>
        </is>
      </c>
      <c r="AH418" t="n">
        <v>14</v>
      </c>
      <c r="AI418" t="n">
        <v>11</v>
      </c>
      <c r="AN418" t="inlineStr">
        <is>
          <t>WARREN</t>
        </is>
      </c>
      <c r="AO418" t="inlineStr">
        <is>
          <t>WARREN CITY 4A</t>
        </is>
      </c>
      <c r="AP418" t="inlineStr">
        <is>
          <t>78-P-ADI</t>
        </is>
      </c>
      <c r="AQ418" t="n">
        <v>9</v>
      </c>
      <c r="AR418" t="n">
        <v>64</v>
      </c>
      <c r="AS418" t="n">
        <v>32</v>
      </c>
      <c r="AU418">
        <f>COUNTA($BA$418:$EH$418)</f>
        <v/>
      </c>
      <c r="AV418">
        <f>COUNTIF($BA$418:$EH$418,"D")</f>
        <v/>
      </c>
      <c r="AW418">
        <f>COUNTIF($BA$418:$EH$418,"R")</f>
        <v/>
      </c>
      <c r="AX418">
        <f>IF(BN418="D",1,0)+IF(BO418="D",1,0)+IF(BT418="D",1,0)+IF(BU418="D",1,0)+IF(BW418="D",1,0)+IF(CC418="D",1,0)+IF(CD418="D",1,0)+IF(CE418="D",1,0)+IF(CF418="D",1,0)+IF(CL418="D",1,0)+IF(CM418="D",1,0)+IF(CQ418="D",1,0)+IF(CR418="D",1,0)+IF(CS418="D",1,0)+IF(CW418="D",1,0)+IF(CX418="D",1,0)+IF(DD418="D",1,0)+IF(DE418="D",1,0)+IF(DJ418="D",1,0)+IF(DK418="D",1,0)+IF(DO418="D",1,0)+IF(DP418="D",1,0)+IF(DQ418="D",1,0)+IF(DW418="D",1,0)+IF(DZ418="D",1,0)+IF(EH418="D",1,0)</f>
        <v/>
      </c>
      <c r="AY418">
        <f>IF(DJ418&lt;&gt;"",1,0)+IF(DK418&lt;&gt;"",1,0)+IF(DM418&lt;&gt;"",1,0)+IF(DO418&lt;&gt;"",1,0)+IF(DP418&lt;&gt;"",1,0)+IF(DQ418&lt;&gt;"",1,0)+IF(DS418&lt;&gt;"",1,0)+IF(DT418&lt;&gt;"",1,0)+IF(DV418&lt;&gt;"",1,0)+IF(DW418&lt;&gt;"",1,0)+IF(DX418&lt;&gt;"",1,0)+IF(DY418&lt;&gt;"",1,0)+IF(DZ418&lt;&gt;"",1,0)+IF(EB418&lt;&gt;"",1,0)+IF(EC418&lt;&gt;"",1,0)+IF(ED418&lt;&gt;"",1,0)+IF(EG418&lt;&gt;"",1,0)+IF(EH418&lt;&gt;"",1,0)</f>
        <v/>
      </c>
      <c r="AZ418">
        <f>IF(EH418&lt;&gt;"",1,0)</f>
        <v/>
      </c>
      <c r="BB418" t="inlineStr">
        <is>
          <t>WARREN-WARD 4</t>
        </is>
      </c>
    </row>
    <row r="419">
      <c r="A419" t="inlineStr">
        <is>
          <t>OH0021546908</t>
        </is>
      </c>
      <c r="B419" t="n">
        <v>78</v>
      </c>
      <c r="C419" t="n">
        <v>382731</v>
      </c>
      <c r="D419" t="inlineStr">
        <is>
          <t>BARR</t>
        </is>
      </c>
      <c r="E419" t="inlineStr">
        <is>
          <t>NICOLE</t>
        </is>
      </c>
      <c r="F419">
        <f>CONCATENATE(D419," ",LEFT(H419,4),"T=",AU419,"D=",AV419,"R=",AW419,"M=",AX419,"L=",AY419,"B=",AZ419)</f>
        <v/>
      </c>
      <c r="G419" t="inlineStr">
        <is>
          <t>M</t>
        </is>
      </c>
      <c r="I419" t="inlineStr">
        <is>
          <t>1984-03-14</t>
        </is>
      </c>
      <c r="J419" t="inlineStr">
        <is>
          <t>2021-08-11</t>
        </is>
      </c>
      <c r="K419" t="inlineStr">
        <is>
          <t>CONFIRMATION</t>
        </is>
      </c>
      <c r="M419" t="inlineStr">
        <is>
          <t>337 LAIRD AVE SE</t>
        </is>
      </c>
      <c r="N419">
        <f>RIGHT(M419,LEN(M419)-FIND(" ",M419))</f>
        <v/>
      </c>
      <c r="P419" t="inlineStr">
        <is>
          <t>WARREN</t>
        </is>
      </c>
      <c r="Q419" t="inlineStr">
        <is>
          <t>OH</t>
        </is>
      </c>
      <c r="R419" t="n">
        <v>44483</v>
      </c>
      <c r="AD419" t="inlineStr">
        <is>
          <t>TRUMBULL CAREER &amp; TECH CENTER</t>
        </is>
      </c>
      <c r="AE419" t="inlineStr">
        <is>
          <t>WARREN CITY</t>
        </is>
      </c>
      <c r="AF419" t="inlineStr">
        <is>
          <t>WARREN CITY SD</t>
        </is>
      </c>
      <c r="AH419" t="n">
        <v>14</v>
      </c>
      <c r="AI419" t="n">
        <v>11</v>
      </c>
      <c r="AN419" t="inlineStr">
        <is>
          <t>WARREN</t>
        </is>
      </c>
      <c r="AO419" t="inlineStr">
        <is>
          <t>WARREN CITY 4A</t>
        </is>
      </c>
      <c r="AP419" t="inlineStr">
        <is>
          <t>78-P-ADI</t>
        </is>
      </c>
      <c r="AQ419" t="n">
        <v>9</v>
      </c>
      <c r="AR419" t="n">
        <v>64</v>
      </c>
      <c r="AS419" t="n">
        <v>32</v>
      </c>
      <c r="AU419">
        <f>COUNTA($BA$419:$EH$419)</f>
        <v/>
      </c>
      <c r="AV419">
        <f>COUNTIF($BA$419:$EH$419,"D")</f>
        <v/>
      </c>
      <c r="AW419">
        <f>COUNTIF($BA$419:$EH$419,"R")</f>
        <v/>
      </c>
      <c r="AX419">
        <f>IF(BN419="D",1,0)+IF(BO419="D",1,0)+IF(BT419="D",1,0)+IF(BU419="D",1,0)+IF(BW419="D",1,0)+IF(CC419="D",1,0)+IF(CD419="D",1,0)+IF(CE419="D",1,0)+IF(CF419="D",1,0)+IF(CL419="D",1,0)+IF(CM419="D",1,0)+IF(CQ419="D",1,0)+IF(CR419="D",1,0)+IF(CS419="D",1,0)+IF(CW419="D",1,0)+IF(CX419="D",1,0)+IF(DD419="D",1,0)+IF(DE419="D",1,0)+IF(DJ419="D",1,0)+IF(DK419="D",1,0)+IF(DO419="D",1,0)+IF(DP419="D",1,0)+IF(DQ419="D",1,0)+IF(DW419="D",1,0)+IF(DZ419="D",1,0)+IF(EH419="D",1,0)</f>
        <v/>
      </c>
      <c r="AY419">
        <f>IF(DJ419&lt;&gt;"",1,0)+IF(DK419&lt;&gt;"",1,0)+IF(DM419&lt;&gt;"",1,0)+IF(DO419&lt;&gt;"",1,0)+IF(DP419&lt;&gt;"",1,0)+IF(DQ419&lt;&gt;"",1,0)+IF(DS419&lt;&gt;"",1,0)+IF(DT419&lt;&gt;"",1,0)+IF(DV419&lt;&gt;"",1,0)+IF(DW419&lt;&gt;"",1,0)+IF(DX419&lt;&gt;"",1,0)+IF(DY419&lt;&gt;"",1,0)+IF(DZ419&lt;&gt;"",1,0)+IF(EB419&lt;&gt;"",1,0)+IF(EC419&lt;&gt;"",1,0)+IF(ED419&lt;&gt;"",1,0)+IF(EG419&lt;&gt;"",1,0)+IF(EH419&lt;&gt;"",1,0)</f>
        <v/>
      </c>
      <c r="AZ419">
        <f>IF(EH419&lt;&gt;"",1,0)</f>
        <v/>
      </c>
      <c r="BB419" t="inlineStr">
        <is>
          <t>WARREN-WARD 4</t>
        </is>
      </c>
      <c r="CP419" t="inlineStr">
        <is>
          <t>X</t>
        </is>
      </c>
      <c r="CT419" t="inlineStr">
        <is>
          <t>X</t>
        </is>
      </c>
      <c r="DC419" t="inlineStr">
        <is>
          <t>X</t>
        </is>
      </c>
    </row>
    <row r="420">
      <c r="A420" t="inlineStr">
        <is>
          <t>OH0021851142</t>
        </is>
      </c>
      <c r="B420" t="n">
        <v>78</v>
      </c>
      <c r="C420" t="n">
        <v>388222</v>
      </c>
      <c r="D420" t="inlineStr">
        <is>
          <t>DOUGHERTY</t>
        </is>
      </c>
      <c r="E420" t="inlineStr">
        <is>
          <t>KELSEY</t>
        </is>
      </c>
      <c r="F420">
        <f>CONCATENATE(D420," ",LEFT(H420,4),"T=",AU420,"D=",AV420,"R=",AW420,"M=",AX420,"L=",AY420,"B=",AZ420)</f>
        <v/>
      </c>
      <c r="G420" t="inlineStr">
        <is>
          <t>ANNE</t>
        </is>
      </c>
      <c r="I420" t="inlineStr">
        <is>
          <t>1992-03-19</t>
        </is>
      </c>
      <c r="J420" t="inlineStr">
        <is>
          <t>2021-11-18</t>
        </is>
      </c>
      <c r="K420" t="inlineStr">
        <is>
          <t>ACTIVE</t>
        </is>
      </c>
      <c r="M420" t="inlineStr">
        <is>
          <t>1241 SEVERN CT SE</t>
        </is>
      </c>
      <c r="N420">
        <f>RIGHT(M420,LEN(M420)-FIND(" ",M420))</f>
        <v/>
      </c>
      <c r="P420" t="inlineStr">
        <is>
          <t>WARREN</t>
        </is>
      </c>
      <c r="Q420" t="inlineStr">
        <is>
          <t>OH</t>
        </is>
      </c>
      <c r="R420" t="n">
        <v>44483</v>
      </c>
      <c r="AD420" t="inlineStr">
        <is>
          <t>TRUMBULL CAREER &amp; TECH CENTER</t>
        </is>
      </c>
      <c r="AE420" t="inlineStr">
        <is>
          <t>WARREN CITY</t>
        </is>
      </c>
      <c r="AF420" t="inlineStr">
        <is>
          <t>WARREN CITY SD</t>
        </is>
      </c>
      <c r="AH420" t="n">
        <v>14</v>
      </c>
      <c r="AI420" t="n">
        <v>11</v>
      </c>
      <c r="AN420" t="inlineStr">
        <is>
          <t>WARREN</t>
        </is>
      </c>
      <c r="AO420" t="inlineStr">
        <is>
          <t>WARREN CITY 4A</t>
        </is>
      </c>
      <c r="AP420" t="inlineStr">
        <is>
          <t>78-P-ADI</t>
        </is>
      </c>
      <c r="AQ420" t="n">
        <v>9</v>
      </c>
      <c r="AR420" t="n">
        <v>64</v>
      </c>
      <c r="AS420" t="n">
        <v>32</v>
      </c>
      <c r="AU420">
        <f>COUNTA($BA$420:$EH$420)</f>
        <v/>
      </c>
      <c r="AV420">
        <f>COUNTIF($BA$420:$EH$420,"D")</f>
        <v/>
      </c>
      <c r="AW420">
        <f>COUNTIF($BA$420:$EH$420,"R")</f>
        <v/>
      </c>
      <c r="AX420">
        <f>IF(BN420="D",1,0)+IF(BO420="D",1,0)+IF(BT420="D",1,0)+IF(BU420="D",1,0)+IF(BW420="D",1,0)+IF(CC420="D",1,0)+IF(CD420="D",1,0)+IF(CE420="D",1,0)+IF(CF420="D",1,0)+IF(CL420="D",1,0)+IF(CM420="D",1,0)+IF(CQ420="D",1,0)+IF(CR420="D",1,0)+IF(CS420="D",1,0)+IF(CW420="D",1,0)+IF(CX420="D",1,0)+IF(DD420="D",1,0)+IF(DE420="D",1,0)+IF(DJ420="D",1,0)+IF(DK420="D",1,0)+IF(DO420="D",1,0)+IF(DP420="D",1,0)+IF(DQ420="D",1,0)+IF(DW420="D",1,0)+IF(DZ420="D",1,0)+IF(EH420="D",1,0)</f>
        <v/>
      </c>
      <c r="AY420">
        <f>IF(DJ420&lt;&gt;"",1,0)+IF(DK420&lt;&gt;"",1,0)+IF(DM420&lt;&gt;"",1,0)+IF(DO420&lt;&gt;"",1,0)+IF(DP420&lt;&gt;"",1,0)+IF(DQ420&lt;&gt;"",1,0)+IF(DS420&lt;&gt;"",1,0)+IF(DT420&lt;&gt;"",1,0)+IF(DV420&lt;&gt;"",1,0)+IF(DW420&lt;&gt;"",1,0)+IF(DX420&lt;&gt;"",1,0)+IF(DY420&lt;&gt;"",1,0)+IF(DZ420&lt;&gt;"",1,0)+IF(EB420&lt;&gt;"",1,0)+IF(EC420&lt;&gt;"",1,0)+IF(ED420&lt;&gt;"",1,0)+IF(EG420&lt;&gt;"",1,0)+IF(EH420&lt;&gt;"",1,0)</f>
        <v/>
      </c>
      <c r="AZ420">
        <f>IF(EH420&lt;&gt;"",1,0)</f>
        <v/>
      </c>
      <c r="BB420" t="inlineStr">
        <is>
          <t>WARREN-WARD 4</t>
        </is>
      </c>
      <c r="CP420" t="inlineStr">
        <is>
          <t>X</t>
        </is>
      </c>
      <c r="CY420" t="inlineStr">
        <is>
          <t>X</t>
        </is>
      </c>
      <c r="EA420" t="inlineStr">
        <is>
          <t>X</t>
        </is>
      </c>
    </row>
    <row r="421">
      <c r="A421" t="inlineStr">
        <is>
          <t>OH0023642754</t>
        </is>
      </c>
      <c r="B421" t="n">
        <v>78</v>
      </c>
      <c r="C421" t="n">
        <v>415746</v>
      </c>
      <c r="D421" t="inlineStr">
        <is>
          <t>RHODE</t>
        </is>
      </c>
      <c r="E421" t="inlineStr">
        <is>
          <t>TANYA</t>
        </is>
      </c>
      <c r="F421">
        <f>CONCATENATE(D421," ",LEFT(H421,4),"T=",AU421,"D=",AV421,"R=",AW421,"M=",AX421,"L=",AY421,"B=",AZ421)</f>
        <v/>
      </c>
      <c r="G421" t="inlineStr">
        <is>
          <t>L</t>
        </is>
      </c>
      <c r="I421" t="inlineStr">
        <is>
          <t>1981-05-29</t>
        </is>
      </c>
      <c r="J421" t="inlineStr">
        <is>
          <t>2016-04-04</t>
        </is>
      </c>
      <c r="K421" t="inlineStr">
        <is>
          <t>ACTIVE</t>
        </is>
      </c>
      <c r="M421" t="inlineStr">
        <is>
          <t>722 LAIRD AVE SE</t>
        </is>
      </c>
      <c r="N421">
        <f>RIGHT(M421,LEN(M421)-FIND(" ",M421))</f>
        <v/>
      </c>
      <c r="P421" t="inlineStr">
        <is>
          <t>WARREN</t>
        </is>
      </c>
      <c r="Q421" t="inlineStr">
        <is>
          <t>OH</t>
        </is>
      </c>
      <c r="R421" t="n">
        <v>44484</v>
      </c>
      <c r="AD421" t="inlineStr">
        <is>
          <t>TRUMBULL CAREER &amp; TECH CENTER</t>
        </is>
      </c>
      <c r="AE421" t="inlineStr">
        <is>
          <t>WARREN CITY</t>
        </is>
      </c>
      <c r="AF421" t="inlineStr">
        <is>
          <t>WARREN CITY SD</t>
        </is>
      </c>
      <c r="AH421" t="n">
        <v>14</v>
      </c>
      <c r="AI421" t="n">
        <v>11</v>
      </c>
      <c r="AN421" t="inlineStr">
        <is>
          <t>WARREN</t>
        </is>
      </c>
      <c r="AO421" t="inlineStr">
        <is>
          <t>WARREN CITY 4A</t>
        </is>
      </c>
      <c r="AP421" t="inlineStr">
        <is>
          <t>78-P-ADI</t>
        </is>
      </c>
      <c r="AQ421" t="n">
        <v>9</v>
      </c>
      <c r="AR421" t="n">
        <v>64</v>
      </c>
      <c r="AS421" t="n">
        <v>32</v>
      </c>
      <c r="AU421">
        <f>COUNTA($BA$421:$EH$421)</f>
        <v/>
      </c>
      <c r="AV421">
        <f>COUNTIF($BA$421:$EH$421,"D")</f>
        <v/>
      </c>
      <c r="AW421">
        <f>COUNTIF($BA$421:$EH$421,"R")</f>
        <v/>
      </c>
      <c r="AX421">
        <f>IF(BN421="D",1,0)+IF(BO421="D",1,0)+IF(BT421="D",1,0)+IF(BU421="D",1,0)+IF(BW421="D",1,0)+IF(CC421="D",1,0)+IF(CD421="D",1,0)+IF(CE421="D",1,0)+IF(CF421="D",1,0)+IF(CL421="D",1,0)+IF(CM421="D",1,0)+IF(CQ421="D",1,0)+IF(CR421="D",1,0)+IF(CS421="D",1,0)+IF(CW421="D",1,0)+IF(CX421="D",1,0)+IF(DD421="D",1,0)+IF(DE421="D",1,0)+IF(DJ421="D",1,0)+IF(DK421="D",1,0)+IF(DO421="D",1,0)+IF(DP421="D",1,0)+IF(DQ421="D",1,0)+IF(DW421="D",1,0)+IF(DZ421="D",1,0)+IF(EH421="D",1,0)</f>
        <v/>
      </c>
      <c r="AY421">
        <f>IF(DJ421&lt;&gt;"",1,0)+IF(DK421&lt;&gt;"",1,0)+IF(DM421&lt;&gt;"",1,0)+IF(DO421&lt;&gt;"",1,0)+IF(DP421&lt;&gt;"",1,0)+IF(DQ421&lt;&gt;"",1,0)+IF(DS421&lt;&gt;"",1,0)+IF(DT421&lt;&gt;"",1,0)+IF(DV421&lt;&gt;"",1,0)+IF(DW421&lt;&gt;"",1,0)+IF(DX421&lt;&gt;"",1,0)+IF(DY421&lt;&gt;"",1,0)+IF(DZ421&lt;&gt;"",1,0)+IF(EB421&lt;&gt;"",1,0)+IF(EC421&lt;&gt;"",1,0)+IF(ED421&lt;&gt;"",1,0)+IF(EG421&lt;&gt;"",1,0)+IF(EH421&lt;&gt;"",1,0)</f>
        <v/>
      </c>
      <c r="AZ421">
        <f>IF(EH421&lt;&gt;"",1,0)</f>
        <v/>
      </c>
      <c r="BB421" t="inlineStr">
        <is>
          <t>WARREN-WARD 4</t>
        </is>
      </c>
      <c r="DC421" t="inlineStr">
        <is>
          <t>X</t>
        </is>
      </c>
      <c r="DF421" t="inlineStr">
        <is>
          <t>X</t>
        </is>
      </c>
      <c r="DG421" t="inlineStr">
        <is>
          <t>D</t>
        </is>
      </c>
      <c r="DI421" t="inlineStr">
        <is>
          <t>X</t>
        </is>
      </c>
      <c r="DN421" t="inlineStr">
        <is>
          <t>X</t>
        </is>
      </c>
      <c r="EA421" t="inlineStr">
        <is>
          <t>X</t>
        </is>
      </c>
      <c r="EF421" t="inlineStr">
        <is>
          <t>X</t>
        </is>
      </c>
    </row>
    <row r="422">
      <c r="A422" t="inlineStr">
        <is>
          <t>OH0025598779</t>
        </is>
      </c>
      <c r="B422" t="n">
        <v>78</v>
      </c>
      <c r="C422" t="n">
        <v>447090</v>
      </c>
      <c r="D422" t="inlineStr">
        <is>
          <t>WESTHEAD</t>
        </is>
      </c>
      <c r="E422" t="inlineStr">
        <is>
          <t>ANGELA</t>
        </is>
      </c>
      <c r="F422">
        <f>CONCATENATE(D422," ",LEFT(H422,4),"T=",AU422,"D=",AV422,"R=",AW422,"M=",AX422,"L=",AY422,"B=",AZ422)</f>
        <v/>
      </c>
      <c r="G422" t="inlineStr">
        <is>
          <t>P</t>
        </is>
      </c>
      <c r="I422" t="inlineStr">
        <is>
          <t>1988-11-02</t>
        </is>
      </c>
      <c r="J422" t="inlineStr">
        <is>
          <t>2020-06-28</t>
        </is>
      </c>
      <c r="K422" t="inlineStr">
        <is>
          <t>ACTIVE</t>
        </is>
      </c>
      <c r="L422" t="inlineStr">
        <is>
          <t>D</t>
        </is>
      </c>
      <c r="M422" t="inlineStr">
        <is>
          <t>378 WOODBINE AVE SE</t>
        </is>
      </c>
      <c r="N422">
        <f>RIGHT(M422,LEN(M422)-FIND(" ",M422))</f>
        <v/>
      </c>
      <c r="P422" t="inlineStr">
        <is>
          <t>WARREN</t>
        </is>
      </c>
      <c r="Q422" t="inlineStr">
        <is>
          <t>OH</t>
        </is>
      </c>
      <c r="R422" t="n">
        <v>44483</v>
      </c>
      <c r="AD422" t="inlineStr">
        <is>
          <t>TRUMBULL CAREER &amp; TECH CENTER</t>
        </is>
      </c>
      <c r="AE422" t="inlineStr">
        <is>
          <t>WARREN CITY</t>
        </is>
      </c>
      <c r="AF422" t="inlineStr">
        <is>
          <t>WARREN CITY SD</t>
        </is>
      </c>
      <c r="AH422" t="n">
        <v>14</v>
      </c>
      <c r="AI422" t="n">
        <v>11</v>
      </c>
      <c r="AN422" t="inlineStr">
        <is>
          <t>WARREN</t>
        </is>
      </c>
      <c r="AO422" t="inlineStr">
        <is>
          <t>WARREN CITY 4A</t>
        </is>
      </c>
      <c r="AP422" t="inlineStr">
        <is>
          <t>78-P-ADI</t>
        </is>
      </c>
      <c r="AQ422" t="n">
        <v>9</v>
      </c>
      <c r="AR422" t="n">
        <v>64</v>
      </c>
      <c r="AS422" t="n">
        <v>32</v>
      </c>
      <c r="AU422">
        <f>COUNTA($BA$422:$EH$422)</f>
        <v/>
      </c>
      <c r="AV422">
        <f>COUNTIF($BA$422:$EH$422,"D")</f>
        <v/>
      </c>
      <c r="AW422">
        <f>COUNTIF($BA$422:$EH$422,"R")</f>
        <v/>
      </c>
      <c r="AX422">
        <f>IF(BN422="D",1,0)+IF(BO422="D",1,0)+IF(BT422="D",1,0)+IF(BU422="D",1,0)+IF(BW422="D",1,0)+IF(CC422="D",1,0)+IF(CD422="D",1,0)+IF(CE422="D",1,0)+IF(CF422="D",1,0)+IF(CL422="D",1,0)+IF(CM422="D",1,0)+IF(CQ422="D",1,0)+IF(CR422="D",1,0)+IF(CS422="D",1,0)+IF(CW422="D",1,0)+IF(CX422="D",1,0)+IF(DD422="D",1,0)+IF(DE422="D",1,0)+IF(DJ422="D",1,0)+IF(DK422="D",1,0)+IF(DO422="D",1,0)+IF(DP422="D",1,0)+IF(DQ422="D",1,0)+IF(DW422="D",1,0)+IF(DZ422="D",1,0)+IF(EH422="D",1,0)</f>
        <v/>
      </c>
      <c r="AY422">
        <f>IF(DJ422&lt;&gt;"",1,0)+IF(DK422&lt;&gt;"",1,0)+IF(DM422&lt;&gt;"",1,0)+IF(DO422&lt;&gt;"",1,0)+IF(DP422&lt;&gt;"",1,0)+IF(DQ422&lt;&gt;"",1,0)+IF(DS422&lt;&gt;"",1,0)+IF(DT422&lt;&gt;"",1,0)+IF(DV422&lt;&gt;"",1,0)+IF(DW422&lt;&gt;"",1,0)+IF(DX422&lt;&gt;"",1,0)+IF(DY422&lt;&gt;"",1,0)+IF(DZ422&lt;&gt;"",1,0)+IF(EB422&lt;&gt;"",1,0)+IF(EC422&lt;&gt;"",1,0)+IF(ED422&lt;&gt;"",1,0)+IF(EG422&lt;&gt;"",1,0)+IF(EH422&lt;&gt;"",1,0)</f>
        <v/>
      </c>
      <c r="AZ422">
        <f>IF(EH422&lt;&gt;"",1,0)</f>
        <v/>
      </c>
      <c r="BB422" t="inlineStr">
        <is>
          <t>WARREN-WARD 4</t>
        </is>
      </c>
      <c r="BS422" t="inlineStr">
        <is>
          <t>X</t>
        </is>
      </c>
      <c r="BY422" t="inlineStr">
        <is>
          <t>R</t>
        </is>
      </c>
      <c r="CA422" t="inlineStr">
        <is>
          <t>X</t>
        </is>
      </c>
      <c r="CP422" t="inlineStr">
        <is>
          <t>X</t>
        </is>
      </c>
      <c r="CZ422" t="inlineStr">
        <is>
          <t>D</t>
        </is>
      </c>
      <c r="DC422" t="inlineStr">
        <is>
          <t>X</t>
        </is>
      </c>
      <c r="DI422" t="inlineStr">
        <is>
          <t>X</t>
        </is>
      </c>
      <c r="DN422" t="inlineStr">
        <is>
          <t>X</t>
        </is>
      </c>
      <c r="DR422" t="inlineStr">
        <is>
          <t>X</t>
        </is>
      </c>
      <c r="DS422" t="inlineStr">
        <is>
          <t>D</t>
        </is>
      </c>
      <c r="DT422" t="inlineStr">
        <is>
          <t>D</t>
        </is>
      </c>
      <c r="DU422" t="inlineStr">
        <is>
          <t>X</t>
        </is>
      </c>
      <c r="DW422" t="inlineStr">
        <is>
          <t>D</t>
        </is>
      </c>
      <c r="DX422" t="inlineStr">
        <is>
          <t>X</t>
        </is>
      </c>
      <c r="EA422" t="inlineStr">
        <is>
          <t>X</t>
        </is>
      </c>
      <c r="ED422" t="inlineStr">
        <is>
          <t>D</t>
        </is>
      </c>
      <c r="EF422" t="inlineStr">
        <is>
          <t>X</t>
        </is>
      </c>
    </row>
    <row r="423">
      <c r="A423" t="inlineStr">
        <is>
          <t>OH0027493434</t>
        </is>
      </c>
      <c r="B423" t="n">
        <v>78</v>
      </c>
      <c r="C423" t="n">
        <v>486962</v>
      </c>
      <c r="D423" t="inlineStr">
        <is>
          <t>HALL</t>
        </is>
      </c>
      <c r="E423" t="inlineStr">
        <is>
          <t>STEVEN</t>
        </is>
      </c>
      <c r="F423">
        <f>CONCATENATE(D423," ",LEFT(H423,4),"T=",AU423,"D=",AV423,"R=",AW423,"M=",AX423,"L=",AY423,"B=",AZ423)</f>
        <v/>
      </c>
      <c r="I423" t="inlineStr">
        <is>
          <t>1974-01-02</t>
        </is>
      </c>
      <c r="J423" t="inlineStr">
        <is>
          <t>2024-07-31</t>
        </is>
      </c>
      <c r="K423" t="inlineStr">
        <is>
          <t>CONFIRMATION</t>
        </is>
      </c>
      <c r="M423" t="inlineStr">
        <is>
          <t>270 HOMEWOOD AVE SE</t>
        </is>
      </c>
      <c r="N423">
        <f>RIGHT(M423,LEN(M423)-FIND(" ",M423))</f>
        <v/>
      </c>
      <c r="P423" t="inlineStr">
        <is>
          <t>WARREN</t>
        </is>
      </c>
      <c r="Q423" t="inlineStr">
        <is>
          <t>OH</t>
        </is>
      </c>
      <c r="R423" t="n">
        <v>44483</v>
      </c>
      <c r="AD423" t="inlineStr">
        <is>
          <t>TRUMBULL CAREER &amp; TECH CENTER</t>
        </is>
      </c>
      <c r="AE423" t="inlineStr">
        <is>
          <t>WARREN CITY</t>
        </is>
      </c>
      <c r="AF423" t="inlineStr">
        <is>
          <t>WARREN CITY SD</t>
        </is>
      </c>
      <c r="AH423" t="n">
        <v>14</v>
      </c>
      <c r="AI423" t="n">
        <v>11</v>
      </c>
      <c r="AN423" t="inlineStr">
        <is>
          <t>WARREN</t>
        </is>
      </c>
      <c r="AO423" t="inlineStr">
        <is>
          <t>WARREN CITY 4A</t>
        </is>
      </c>
      <c r="AP423" t="inlineStr">
        <is>
          <t>78-P-ADI</t>
        </is>
      </c>
      <c r="AQ423" t="n">
        <v>9</v>
      </c>
      <c r="AR423" t="n">
        <v>64</v>
      </c>
      <c r="AS423" t="n">
        <v>32</v>
      </c>
      <c r="AU423">
        <f>COUNTA($BA$423:$EH$423)</f>
        <v/>
      </c>
      <c r="AV423">
        <f>COUNTIF($BA$423:$EH$423,"D")</f>
        <v/>
      </c>
      <c r="AW423">
        <f>COUNTIF($BA$423:$EH$423,"R")</f>
        <v/>
      </c>
      <c r="AX423">
        <f>IF(BN423="D",1,0)+IF(BO423="D",1,0)+IF(BT423="D",1,0)+IF(BU423="D",1,0)+IF(BW423="D",1,0)+IF(CC423="D",1,0)+IF(CD423="D",1,0)+IF(CE423="D",1,0)+IF(CF423="D",1,0)+IF(CL423="D",1,0)+IF(CM423="D",1,0)+IF(CQ423="D",1,0)+IF(CR423="D",1,0)+IF(CS423="D",1,0)+IF(CW423="D",1,0)+IF(CX423="D",1,0)+IF(DD423="D",1,0)+IF(DE423="D",1,0)+IF(DJ423="D",1,0)+IF(DK423="D",1,0)+IF(DO423="D",1,0)+IF(DP423="D",1,0)+IF(DQ423="D",1,0)+IF(DW423="D",1,0)+IF(DZ423="D",1,0)+IF(EH423="D",1,0)</f>
        <v/>
      </c>
      <c r="AY423">
        <f>IF(DJ423&lt;&gt;"",1,0)+IF(DK423&lt;&gt;"",1,0)+IF(DM423&lt;&gt;"",1,0)+IF(DO423&lt;&gt;"",1,0)+IF(DP423&lt;&gt;"",1,0)+IF(DQ423&lt;&gt;"",1,0)+IF(DS423&lt;&gt;"",1,0)+IF(DT423&lt;&gt;"",1,0)+IF(DV423&lt;&gt;"",1,0)+IF(DW423&lt;&gt;"",1,0)+IF(DX423&lt;&gt;"",1,0)+IF(DY423&lt;&gt;"",1,0)+IF(DZ423&lt;&gt;"",1,0)+IF(EB423&lt;&gt;"",1,0)+IF(EC423&lt;&gt;"",1,0)+IF(ED423&lt;&gt;"",1,0)+IF(EG423&lt;&gt;"",1,0)+IF(EH423&lt;&gt;"",1,0)</f>
        <v/>
      </c>
      <c r="AZ423">
        <f>IF(EH423&lt;&gt;"",1,0)</f>
        <v/>
      </c>
      <c r="BB423" t="inlineStr">
        <is>
          <t>WARREN-WARD 4</t>
        </is>
      </c>
    </row>
    <row r="424">
      <c r="A424" t="inlineStr">
        <is>
          <t>OH0019479544</t>
        </is>
      </c>
      <c r="B424" t="n">
        <v>78</v>
      </c>
      <c r="C424" t="n">
        <v>353836</v>
      </c>
      <c r="D424" t="inlineStr">
        <is>
          <t>ALBERT</t>
        </is>
      </c>
      <c r="E424" t="inlineStr">
        <is>
          <t>JASON</t>
        </is>
      </c>
      <c r="F424">
        <f>CONCATENATE(D424," ",LEFT(H424,4),"T=",AU424,"D=",AV424,"R=",AW424,"M=",AX424,"L=",AY424,"B=",AZ424)</f>
        <v/>
      </c>
      <c r="G424" t="inlineStr">
        <is>
          <t>MICHAEL</t>
        </is>
      </c>
      <c r="I424" t="inlineStr">
        <is>
          <t>1982-04-07</t>
        </is>
      </c>
      <c r="J424" t="inlineStr">
        <is>
          <t>2023-11-28</t>
        </is>
      </c>
      <c r="K424" t="inlineStr">
        <is>
          <t>ACTIVE</t>
        </is>
      </c>
      <c r="M424" t="inlineStr">
        <is>
          <t>731 WOODBINE AVE SE</t>
        </is>
      </c>
      <c r="N424">
        <f>RIGHT(M424,LEN(M424)-FIND(" ",M424))</f>
        <v/>
      </c>
      <c r="P424" t="inlineStr">
        <is>
          <t>WARREN</t>
        </is>
      </c>
      <c r="Q424" t="inlineStr">
        <is>
          <t>OH</t>
        </is>
      </c>
      <c r="R424" t="n">
        <v>44484</v>
      </c>
      <c r="AD424" t="inlineStr">
        <is>
          <t>TRUMBULL CAREER &amp; TECH CENTER</t>
        </is>
      </c>
      <c r="AE424" t="inlineStr">
        <is>
          <t>WARREN CITY</t>
        </is>
      </c>
      <c r="AF424" t="inlineStr">
        <is>
          <t>WARREN CITY SD</t>
        </is>
      </c>
      <c r="AH424" t="n">
        <v>14</v>
      </c>
      <c r="AI424" t="n">
        <v>11</v>
      </c>
      <c r="AN424" t="inlineStr">
        <is>
          <t>WARREN</t>
        </is>
      </c>
      <c r="AO424" t="inlineStr">
        <is>
          <t>WARREN CITY 4A</t>
        </is>
      </c>
      <c r="AP424" t="inlineStr">
        <is>
          <t>78-P-ADI</t>
        </is>
      </c>
      <c r="AQ424" t="n">
        <v>9</v>
      </c>
      <c r="AR424" t="n">
        <v>64</v>
      </c>
      <c r="AS424" t="n">
        <v>32</v>
      </c>
      <c r="AU424">
        <f>COUNTA($BA$424:$EH$424)</f>
        <v/>
      </c>
      <c r="AV424">
        <f>COUNTIF($BA$424:$EH$424,"D")</f>
        <v/>
      </c>
      <c r="AW424">
        <f>COUNTIF($BA$424:$EH$424,"R")</f>
        <v/>
      </c>
      <c r="AX424">
        <f>IF(BN424="D",1,0)+IF(BO424="D",1,0)+IF(BT424="D",1,0)+IF(BU424="D",1,0)+IF(BW424="D",1,0)+IF(CC424="D",1,0)+IF(CD424="D",1,0)+IF(CE424="D",1,0)+IF(CF424="D",1,0)+IF(CL424="D",1,0)+IF(CM424="D",1,0)+IF(CQ424="D",1,0)+IF(CR424="D",1,0)+IF(CS424="D",1,0)+IF(CW424="D",1,0)+IF(CX424="D",1,0)+IF(DD424="D",1,0)+IF(DE424="D",1,0)+IF(DJ424="D",1,0)+IF(DK424="D",1,0)+IF(DO424="D",1,0)+IF(DP424="D",1,0)+IF(DQ424="D",1,0)+IF(DW424="D",1,0)+IF(DZ424="D",1,0)+IF(EH424="D",1,0)</f>
        <v/>
      </c>
      <c r="AY424">
        <f>IF(DJ424&lt;&gt;"",1,0)+IF(DK424&lt;&gt;"",1,0)+IF(DM424&lt;&gt;"",1,0)+IF(DO424&lt;&gt;"",1,0)+IF(DP424&lt;&gt;"",1,0)+IF(DQ424&lt;&gt;"",1,0)+IF(DS424&lt;&gt;"",1,0)+IF(DT424&lt;&gt;"",1,0)+IF(DV424&lt;&gt;"",1,0)+IF(DW424&lt;&gt;"",1,0)+IF(DX424&lt;&gt;"",1,0)+IF(DY424&lt;&gt;"",1,0)+IF(DZ424&lt;&gt;"",1,0)+IF(EB424&lt;&gt;"",1,0)+IF(EC424&lt;&gt;"",1,0)+IF(ED424&lt;&gt;"",1,0)+IF(EG424&lt;&gt;"",1,0)+IF(EH424&lt;&gt;"",1,0)</f>
        <v/>
      </c>
      <c r="AZ424">
        <f>IF(EH424&lt;&gt;"",1,0)</f>
        <v/>
      </c>
      <c r="BB424" t="inlineStr">
        <is>
          <t>WARREN-WARD 4</t>
        </is>
      </c>
      <c r="BY424" t="inlineStr">
        <is>
          <t>D</t>
        </is>
      </c>
      <c r="CA424" t="inlineStr">
        <is>
          <t>X</t>
        </is>
      </c>
      <c r="DC424" t="inlineStr">
        <is>
          <t>X</t>
        </is>
      </c>
      <c r="DF424" t="inlineStr">
        <is>
          <t>X</t>
        </is>
      </c>
      <c r="DL424" t="inlineStr">
        <is>
          <t>X</t>
        </is>
      </c>
      <c r="DN424" t="inlineStr">
        <is>
          <t>X</t>
        </is>
      </c>
      <c r="EA424" t="inlineStr">
        <is>
          <t>X</t>
        </is>
      </c>
      <c r="EF424" t="inlineStr">
        <is>
          <t>X</t>
        </is>
      </c>
    </row>
    <row r="425">
      <c r="A425" t="inlineStr">
        <is>
          <t>OH0022534637</t>
        </is>
      </c>
      <c r="B425" t="n">
        <v>78</v>
      </c>
      <c r="C425" t="n">
        <v>398087</v>
      </c>
      <c r="D425" t="inlineStr">
        <is>
          <t>ALBERT</t>
        </is>
      </c>
      <c r="E425" t="inlineStr">
        <is>
          <t>CHARLES</t>
        </is>
      </c>
      <c r="F425">
        <f>CONCATENATE(D425," ",LEFT(H425,4),"T=",AU425,"D=",AV425,"R=",AW425,"M=",AX425,"L=",AY425,"B=",AZ425)</f>
        <v/>
      </c>
      <c r="G425" t="inlineStr">
        <is>
          <t>E</t>
        </is>
      </c>
      <c r="I425" t="inlineStr">
        <is>
          <t>1954-11-05</t>
        </is>
      </c>
      <c r="J425" t="inlineStr">
        <is>
          <t>2023-02-07</t>
        </is>
      </c>
      <c r="K425" t="inlineStr">
        <is>
          <t>ACTIVE</t>
        </is>
      </c>
      <c r="M425" t="inlineStr">
        <is>
          <t>731 WOODBINE AVE SE</t>
        </is>
      </c>
      <c r="N425">
        <f>RIGHT(M425,LEN(M425)-FIND(" ",M425))</f>
        <v/>
      </c>
      <c r="P425" t="inlineStr">
        <is>
          <t>WARREN</t>
        </is>
      </c>
      <c r="Q425" t="inlineStr">
        <is>
          <t>OH</t>
        </is>
      </c>
      <c r="R425" t="n">
        <v>44484</v>
      </c>
      <c r="AD425" t="inlineStr">
        <is>
          <t>TRUMBULL CAREER &amp; TECH CENTER</t>
        </is>
      </c>
      <c r="AE425" t="inlineStr">
        <is>
          <t>WARREN CITY</t>
        </is>
      </c>
      <c r="AF425" t="inlineStr">
        <is>
          <t>WARREN CITY SD</t>
        </is>
      </c>
      <c r="AH425" t="n">
        <v>14</v>
      </c>
      <c r="AI425" t="n">
        <v>11</v>
      </c>
      <c r="AN425" t="inlineStr">
        <is>
          <t>WARREN</t>
        </is>
      </c>
      <c r="AO425" t="inlineStr">
        <is>
          <t>WARREN CITY 4A</t>
        </is>
      </c>
      <c r="AP425" t="inlineStr">
        <is>
          <t>78-P-ADI</t>
        </is>
      </c>
      <c r="AQ425" t="n">
        <v>9</v>
      </c>
      <c r="AR425" t="n">
        <v>64</v>
      </c>
      <c r="AS425" t="n">
        <v>32</v>
      </c>
      <c r="AU425">
        <f>COUNTA($BA$425:$EH$425)</f>
        <v/>
      </c>
      <c r="AV425">
        <f>COUNTIF($BA$425:$EH$425,"D")</f>
        <v/>
      </c>
      <c r="AW425">
        <f>COUNTIF($BA$425:$EH$425,"R")</f>
        <v/>
      </c>
      <c r="AX425">
        <f>IF(BN425="D",1,0)+IF(BO425="D",1,0)+IF(BT425="D",1,0)+IF(BU425="D",1,0)+IF(BW425="D",1,0)+IF(CC425="D",1,0)+IF(CD425="D",1,0)+IF(CE425="D",1,0)+IF(CF425="D",1,0)+IF(CL425="D",1,0)+IF(CM425="D",1,0)+IF(CQ425="D",1,0)+IF(CR425="D",1,0)+IF(CS425="D",1,0)+IF(CW425="D",1,0)+IF(CX425="D",1,0)+IF(DD425="D",1,0)+IF(DE425="D",1,0)+IF(DJ425="D",1,0)+IF(DK425="D",1,0)+IF(DO425="D",1,0)+IF(DP425="D",1,0)+IF(DQ425="D",1,0)+IF(DW425="D",1,0)+IF(DZ425="D",1,0)+IF(EH425="D",1,0)</f>
        <v/>
      </c>
      <c r="AY425">
        <f>IF(DJ425&lt;&gt;"",1,0)+IF(DK425&lt;&gt;"",1,0)+IF(DM425&lt;&gt;"",1,0)+IF(DO425&lt;&gt;"",1,0)+IF(DP425&lt;&gt;"",1,0)+IF(DQ425&lt;&gt;"",1,0)+IF(DS425&lt;&gt;"",1,0)+IF(DT425&lt;&gt;"",1,0)+IF(DV425&lt;&gt;"",1,0)+IF(DW425&lt;&gt;"",1,0)+IF(DX425&lt;&gt;"",1,0)+IF(DY425&lt;&gt;"",1,0)+IF(DZ425&lt;&gt;"",1,0)+IF(EB425&lt;&gt;"",1,0)+IF(EC425&lt;&gt;"",1,0)+IF(ED425&lt;&gt;"",1,0)+IF(EG425&lt;&gt;"",1,0)+IF(EH425&lt;&gt;"",1,0)</f>
        <v/>
      </c>
      <c r="AZ425">
        <f>IF(EH425&lt;&gt;"",1,0)</f>
        <v/>
      </c>
      <c r="BB425" t="inlineStr">
        <is>
          <t>WARREN-WARD 4</t>
        </is>
      </c>
      <c r="BD425" t="inlineStr">
        <is>
          <t>X</t>
        </is>
      </c>
      <c r="BH425" t="inlineStr">
        <is>
          <t>X</t>
        </is>
      </c>
      <c r="BJ425" t="inlineStr">
        <is>
          <t>X</t>
        </is>
      </c>
      <c r="BL425" t="inlineStr">
        <is>
          <t>X</t>
        </is>
      </c>
      <c r="CY425" t="inlineStr">
        <is>
          <t>X</t>
        </is>
      </c>
      <c r="CZ425" t="inlineStr">
        <is>
          <t>D</t>
        </is>
      </c>
      <c r="DC425" t="inlineStr">
        <is>
          <t>X</t>
        </is>
      </c>
      <c r="DF425" t="inlineStr">
        <is>
          <t>X</t>
        </is>
      </c>
      <c r="DL425" t="inlineStr">
        <is>
          <t>X</t>
        </is>
      </c>
      <c r="DN425" t="inlineStr">
        <is>
          <t>X</t>
        </is>
      </c>
      <c r="EF425" t="inlineStr">
        <is>
          <t>X</t>
        </is>
      </c>
    </row>
    <row r="426">
      <c r="A426" t="inlineStr">
        <is>
          <t>OH0023016158</t>
        </is>
      </c>
      <c r="B426" t="n">
        <v>78</v>
      </c>
      <c r="C426" t="n">
        <v>405220</v>
      </c>
      <c r="D426" t="inlineStr">
        <is>
          <t>FREDERICK</t>
        </is>
      </c>
      <c r="E426" t="inlineStr">
        <is>
          <t>SUMMER</t>
        </is>
      </c>
      <c r="F426">
        <f>CONCATENATE(D426," ",LEFT(H426,4),"T=",AU426,"D=",AV426,"R=",AW426,"M=",AX426,"L=",AY426,"B=",AZ426)</f>
        <v/>
      </c>
      <c r="G426" t="inlineStr">
        <is>
          <t>R</t>
        </is>
      </c>
      <c r="I426" t="inlineStr">
        <is>
          <t>1996-07-06</t>
        </is>
      </c>
      <c r="J426" t="inlineStr">
        <is>
          <t>2024-05-04</t>
        </is>
      </c>
      <c r="K426" t="inlineStr">
        <is>
          <t>ACTIVE</t>
        </is>
      </c>
      <c r="M426" t="inlineStr">
        <is>
          <t>936 ADELAIDE AVE SE</t>
        </is>
      </c>
      <c r="N426">
        <f>RIGHT(M426,LEN(M426)-FIND(" ",M426))</f>
        <v/>
      </c>
      <c r="P426" t="inlineStr">
        <is>
          <t>WARREN</t>
        </is>
      </c>
      <c r="Q426" t="inlineStr">
        <is>
          <t>OH</t>
        </is>
      </c>
      <c r="R426" t="n">
        <v>44484</v>
      </c>
      <c r="AD426" t="inlineStr">
        <is>
          <t>TRUMBULL CAREER &amp; TECH CENTER</t>
        </is>
      </c>
      <c r="AE426" t="inlineStr">
        <is>
          <t>WARREN CITY</t>
        </is>
      </c>
      <c r="AF426" t="inlineStr">
        <is>
          <t>WARREN CITY SD</t>
        </is>
      </c>
      <c r="AH426" t="n">
        <v>14</v>
      </c>
      <c r="AI426" t="n">
        <v>11</v>
      </c>
      <c r="AN426" t="inlineStr">
        <is>
          <t>WARREN</t>
        </is>
      </c>
      <c r="AO426" t="inlineStr">
        <is>
          <t>WARREN CITY 4A</t>
        </is>
      </c>
      <c r="AP426" t="inlineStr">
        <is>
          <t>78-P-ADI</t>
        </is>
      </c>
      <c r="AQ426" t="n">
        <v>9</v>
      </c>
      <c r="AR426" t="n">
        <v>64</v>
      </c>
      <c r="AS426" t="n">
        <v>32</v>
      </c>
      <c r="AU426">
        <f>COUNTA($BA$426:$EH$426)</f>
        <v/>
      </c>
      <c r="AV426">
        <f>COUNTIF($BA$426:$EH$426,"D")</f>
        <v/>
      </c>
      <c r="AW426">
        <f>COUNTIF($BA$426:$EH$426,"R")</f>
        <v/>
      </c>
      <c r="AX426">
        <f>IF(BN426="D",1,0)+IF(BO426="D",1,0)+IF(BT426="D",1,0)+IF(BU426="D",1,0)+IF(BW426="D",1,0)+IF(CC426="D",1,0)+IF(CD426="D",1,0)+IF(CE426="D",1,0)+IF(CF426="D",1,0)+IF(CL426="D",1,0)+IF(CM426="D",1,0)+IF(CQ426="D",1,0)+IF(CR426="D",1,0)+IF(CS426="D",1,0)+IF(CW426="D",1,0)+IF(CX426="D",1,0)+IF(DD426="D",1,0)+IF(DE426="D",1,0)+IF(DJ426="D",1,0)+IF(DK426="D",1,0)+IF(DO426="D",1,0)+IF(DP426="D",1,0)+IF(DQ426="D",1,0)+IF(DW426="D",1,0)+IF(DZ426="D",1,0)+IF(EH426="D",1,0)</f>
        <v/>
      </c>
      <c r="AY426">
        <f>IF(DJ426&lt;&gt;"",1,0)+IF(DK426&lt;&gt;"",1,0)+IF(DM426&lt;&gt;"",1,0)+IF(DO426&lt;&gt;"",1,0)+IF(DP426&lt;&gt;"",1,0)+IF(DQ426&lt;&gt;"",1,0)+IF(DS426&lt;&gt;"",1,0)+IF(DT426&lt;&gt;"",1,0)+IF(DV426&lt;&gt;"",1,0)+IF(DW426&lt;&gt;"",1,0)+IF(DX426&lt;&gt;"",1,0)+IF(DY426&lt;&gt;"",1,0)+IF(DZ426&lt;&gt;"",1,0)+IF(EB426&lt;&gt;"",1,0)+IF(EC426&lt;&gt;"",1,0)+IF(ED426&lt;&gt;"",1,0)+IF(EG426&lt;&gt;"",1,0)+IF(EH426&lt;&gt;"",1,0)</f>
        <v/>
      </c>
      <c r="AZ426">
        <f>IF(EH426&lt;&gt;"",1,0)</f>
        <v/>
      </c>
      <c r="BB426" t="inlineStr">
        <is>
          <t>WARREN-WARD 4</t>
        </is>
      </c>
      <c r="CY426" t="inlineStr">
        <is>
          <t>X</t>
        </is>
      </c>
      <c r="EF426" t="inlineStr">
        <is>
          <t>X</t>
        </is>
      </c>
    </row>
    <row r="427">
      <c r="A427" t="inlineStr">
        <is>
          <t>OH0018712911</t>
        </is>
      </c>
      <c r="B427" t="n">
        <v>78</v>
      </c>
      <c r="C427" t="n">
        <v>343189</v>
      </c>
      <c r="D427" t="inlineStr">
        <is>
          <t>FOREBACK</t>
        </is>
      </c>
      <c r="E427" t="inlineStr">
        <is>
          <t>LASHAWN</t>
        </is>
      </c>
      <c r="F427">
        <f>CONCATENATE(D427," ",LEFT(H427,4),"T=",AU427,"D=",AV427,"R=",AW427,"M=",AX427,"L=",AY427,"B=",AZ427)</f>
        <v/>
      </c>
      <c r="G427" t="inlineStr">
        <is>
          <t>L</t>
        </is>
      </c>
      <c r="I427" t="inlineStr">
        <is>
          <t>1988-01-01</t>
        </is>
      </c>
      <c r="J427" t="inlineStr">
        <is>
          <t>2021-09-27</t>
        </is>
      </c>
      <c r="K427" t="inlineStr">
        <is>
          <t>ACTIVE</t>
        </is>
      </c>
      <c r="M427" t="inlineStr">
        <is>
          <t>690 WOODBINE AVE SE</t>
        </is>
      </c>
      <c r="N427">
        <f>RIGHT(M427,LEN(M427)-FIND(" ",M427))</f>
        <v/>
      </c>
      <c r="P427" t="inlineStr">
        <is>
          <t>WARREN</t>
        </is>
      </c>
      <c r="Q427" t="inlineStr">
        <is>
          <t>OH</t>
        </is>
      </c>
      <c r="R427" t="n">
        <v>44483</v>
      </c>
      <c r="AD427" t="inlineStr">
        <is>
          <t>TRUMBULL CAREER &amp; TECH CENTER</t>
        </is>
      </c>
      <c r="AE427" t="inlineStr">
        <is>
          <t>WARREN CITY</t>
        </is>
      </c>
      <c r="AF427" t="inlineStr">
        <is>
          <t>WARREN CITY SD</t>
        </is>
      </c>
      <c r="AH427" t="n">
        <v>14</v>
      </c>
      <c r="AI427" t="n">
        <v>11</v>
      </c>
      <c r="AN427" t="inlineStr">
        <is>
          <t>WARREN</t>
        </is>
      </c>
      <c r="AO427" t="inlineStr">
        <is>
          <t>WARREN CITY 4A</t>
        </is>
      </c>
      <c r="AP427" t="inlineStr">
        <is>
          <t>78-P-ADI</t>
        </is>
      </c>
      <c r="AQ427" t="n">
        <v>9</v>
      </c>
      <c r="AR427" t="n">
        <v>64</v>
      </c>
      <c r="AS427" t="n">
        <v>32</v>
      </c>
      <c r="AU427">
        <f>COUNTA($BA$427:$EH$427)</f>
        <v/>
      </c>
      <c r="AV427">
        <f>COUNTIF($BA$427:$EH$427,"D")</f>
        <v/>
      </c>
      <c r="AW427">
        <f>COUNTIF($BA$427:$EH$427,"R")</f>
        <v/>
      </c>
      <c r="AX427">
        <f>IF(BN427="D",1,0)+IF(BO427="D",1,0)+IF(BT427="D",1,0)+IF(BU427="D",1,0)+IF(BW427="D",1,0)+IF(CC427="D",1,0)+IF(CD427="D",1,0)+IF(CE427="D",1,0)+IF(CF427="D",1,0)+IF(CL427="D",1,0)+IF(CM427="D",1,0)+IF(CQ427="D",1,0)+IF(CR427="D",1,0)+IF(CS427="D",1,0)+IF(CW427="D",1,0)+IF(CX427="D",1,0)+IF(DD427="D",1,0)+IF(DE427="D",1,0)+IF(DJ427="D",1,0)+IF(DK427="D",1,0)+IF(DO427="D",1,0)+IF(DP427="D",1,0)+IF(DQ427="D",1,0)+IF(DW427="D",1,0)+IF(DZ427="D",1,0)+IF(EH427="D",1,0)</f>
        <v/>
      </c>
      <c r="AY427">
        <f>IF(DJ427&lt;&gt;"",1,0)+IF(DK427&lt;&gt;"",1,0)+IF(DM427&lt;&gt;"",1,0)+IF(DO427&lt;&gt;"",1,0)+IF(DP427&lt;&gt;"",1,0)+IF(DQ427&lt;&gt;"",1,0)+IF(DS427&lt;&gt;"",1,0)+IF(DT427&lt;&gt;"",1,0)+IF(DV427&lt;&gt;"",1,0)+IF(DW427&lt;&gt;"",1,0)+IF(DX427&lt;&gt;"",1,0)+IF(DY427&lt;&gt;"",1,0)+IF(DZ427&lt;&gt;"",1,0)+IF(EB427&lt;&gt;"",1,0)+IF(EC427&lt;&gt;"",1,0)+IF(ED427&lt;&gt;"",1,0)+IF(EG427&lt;&gt;"",1,0)+IF(EH427&lt;&gt;"",1,0)</f>
        <v/>
      </c>
      <c r="AZ427">
        <f>IF(EH427&lt;&gt;"",1,0)</f>
        <v/>
      </c>
      <c r="BB427" t="inlineStr">
        <is>
          <t>WARREN-WARD 4</t>
        </is>
      </c>
      <c r="BR427" t="inlineStr">
        <is>
          <t>X</t>
        </is>
      </c>
      <c r="CA427" t="inlineStr">
        <is>
          <t>X</t>
        </is>
      </c>
      <c r="CP427" t="inlineStr">
        <is>
          <t>X</t>
        </is>
      </c>
      <c r="DN427" t="inlineStr">
        <is>
          <t>X</t>
        </is>
      </c>
    </row>
    <row r="428">
      <c r="A428" t="inlineStr">
        <is>
          <t>OH0015694817</t>
        </is>
      </c>
      <c r="B428" t="n">
        <v>78</v>
      </c>
      <c r="C428" t="n">
        <v>147399</v>
      </c>
      <c r="D428" t="inlineStr">
        <is>
          <t>FULTZ</t>
        </is>
      </c>
      <c r="E428" t="inlineStr">
        <is>
          <t>TERRI</t>
        </is>
      </c>
      <c r="F428">
        <f>CONCATENATE(D428," ",LEFT(H428,4),"T=",AU428,"D=",AV428,"R=",AW428,"M=",AX428,"L=",AY428,"B=",AZ428)</f>
        <v/>
      </c>
      <c r="G428" t="inlineStr">
        <is>
          <t>LYNN</t>
        </is>
      </c>
      <c r="I428" t="inlineStr">
        <is>
          <t>1964-05-31</t>
        </is>
      </c>
      <c r="J428" t="inlineStr">
        <is>
          <t>1982-04-21</t>
        </is>
      </c>
      <c r="K428" t="inlineStr">
        <is>
          <t>CONFIRMATION</t>
        </is>
      </c>
      <c r="M428" t="inlineStr">
        <is>
          <t>831 OAK KNOLL AVE SE</t>
        </is>
      </c>
      <c r="N428">
        <f>RIGHT(M428,LEN(M428)-FIND(" ",M428))</f>
        <v/>
      </c>
      <c r="P428" t="inlineStr">
        <is>
          <t>WARREN</t>
        </is>
      </c>
      <c r="Q428" t="inlineStr">
        <is>
          <t>OH</t>
        </is>
      </c>
      <c r="R428" t="n">
        <v>44484</v>
      </c>
      <c r="AD428" t="inlineStr">
        <is>
          <t>TRUMBULL CAREER &amp; TECH CENTER</t>
        </is>
      </c>
      <c r="AE428" t="inlineStr">
        <is>
          <t>WARREN CITY</t>
        </is>
      </c>
      <c r="AF428" t="inlineStr">
        <is>
          <t>WARREN CITY SD</t>
        </is>
      </c>
      <c r="AH428" t="n">
        <v>14</v>
      </c>
      <c r="AI428" t="n">
        <v>11</v>
      </c>
      <c r="AN428" t="inlineStr">
        <is>
          <t>WARREN</t>
        </is>
      </c>
      <c r="AO428" t="inlineStr">
        <is>
          <t>WARREN CITY 4A</t>
        </is>
      </c>
      <c r="AP428" t="inlineStr">
        <is>
          <t>78-P-ADI</t>
        </is>
      </c>
      <c r="AQ428" t="n">
        <v>9</v>
      </c>
      <c r="AR428" t="n">
        <v>64</v>
      </c>
      <c r="AS428" t="n">
        <v>32</v>
      </c>
      <c r="AU428">
        <f>COUNTA($BA$428:$EH$428)</f>
        <v/>
      </c>
      <c r="AV428">
        <f>COUNTIF($BA$428:$EH$428,"D")</f>
        <v/>
      </c>
      <c r="AW428">
        <f>COUNTIF($BA$428:$EH$428,"R")</f>
        <v/>
      </c>
      <c r="AX428">
        <f>IF(BN428="D",1,0)+IF(BO428="D",1,0)+IF(BT428="D",1,0)+IF(BU428="D",1,0)+IF(BW428="D",1,0)+IF(CC428="D",1,0)+IF(CD428="D",1,0)+IF(CE428="D",1,0)+IF(CF428="D",1,0)+IF(CL428="D",1,0)+IF(CM428="D",1,0)+IF(CQ428="D",1,0)+IF(CR428="D",1,0)+IF(CS428="D",1,0)+IF(CW428="D",1,0)+IF(CX428="D",1,0)+IF(DD428="D",1,0)+IF(DE428="D",1,0)+IF(DJ428="D",1,0)+IF(DK428="D",1,0)+IF(DO428="D",1,0)+IF(DP428="D",1,0)+IF(DQ428="D",1,0)+IF(DW428="D",1,0)+IF(DZ428="D",1,0)+IF(EH428="D",1,0)</f>
        <v/>
      </c>
      <c r="AY428">
        <f>IF(DJ428&lt;&gt;"",1,0)+IF(DK428&lt;&gt;"",1,0)+IF(DM428&lt;&gt;"",1,0)+IF(DO428&lt;&gt;"",1,0)+IF(DP428&lt;&gt;"",1,0)+IF(DQ428&lt;&gt;"",1,0)+IF(DS428&lt;&gt;"",1,0)+IF(DT428&lt;&gt;"",1,0)+IF(DV428&lt;&gt;"",1,0)+IF(DW428&lt;&gt;"",1,0)+IF(DX428&lt;&gt;"",1,0)+IF(DY428&lt;&gt;"",1,0)+IF(DZ428&lt;&gt;"",1,0)+IF(EB428&lt;&gt;"",1,0)+IF(EC428&lt;&gt;"",1,0)+IF(ED428&lt;&gt;"",1,0)+IF(EG428&lt;&gt;"",1,0)+IF(EH428&lt;&gt;"",1,0)</f>
        <v/>
      </c>
      <c r="AZ428">
        <f>IF(EH428&lt;&gt;"",1,0)</f>
        <v/>
      </c>
      <c r="BB428" t="inlineStr">
        <is>
          <t>WARREN-WARD 4</t>
        </is>
      </c>
      <c r="BC428" t="inlineStr">
        <is>
          <t>X</t>
        </is>
      </c>
      <c r="BD428" t="inlineStr">
        <is>
          <t>X</t>
        </is>
      </c>
      <c r="BE428" t="inlineStr">
        <is>
          <t>X</t>
        </is>
      </c>
      <c r="BH428" t="inlineStr">
        <is>
          <t>X</t>
        </is>
      </c>
      <c r="BL428" t="inlineStr">
        <is>
          <t>X</t>
        </is>
      </c>
      <c r="BS428" t="inlineStr">
        <is>
          <t>X</t>
        </is>
      </c>
      <c r="BY428" t="inlineStr">
        <is>
          <t>D</t>
        </is>
      </c>
      <c r="CA428" t="inlineStr">
        <is>
          <t>X</t>
        </is>
      </c>
      <c r="CG428" t="inlineStr">
        <is>
          <t>X</t>
        </is>
      </c>
      <c r="CK428" t="inlineStr">
        <is>
          <t>X</t>
        </is>
      </c>
      <c r="CN428" t="inlineStr">
        <is>
          <t>X</t>
        </is>
      </c>
      <c r="CP428" t="inlineStr">
        <is>
          <t>X</t>
        </is>
      </c>
    </row>
    <row r="429">
      <c r="A429" t="inlineStr">
        <is>
          <t>OH0025761991</t>
        </is>
      </c>
      <c r="B429" t="n">
        <v>78</v>
      </c>
      <c r="C429" t="n">
        <v>450002</v>
      </c>
      <c r="D429" t="inlineStr">
        <is>
          <t>HOWARD</t>
        </is>
      </c>
      <c r="E429" t="inlineStr">
        <is>
          <t>MACY</t>
        </is>
      </c>
      <c r="F429">
        <f>CONCATENATE(D429," ",LEFT(H429,4),"T=",AU429,"D=",AV429,"R=",AW429,"M=",AX429,"L=",AY429,"B=",AZ429)</f>
        <v/>
      </c>
      <c r="G429" t="inlineStr">
        <is>
          <t>NICOLE</t>
        </is>
      </c>
      <c r="I429" t="inlineStr">
        <is>
          <t>1983-01-12</t>
        </is>
      </c>
      <c r="J429" t="inlineStr">
        <is>
          <t>2020-08-31</t>
        </is>
      </c>
      <c r="K429" t="inlineStr">
        <is>
          <t>ACTIVE</t>
        </is>
      </c>
      <c r="M429" t="inlineStr">
        <is>
          <t>317 BONNIE BRAE AVE SE</t>
        </is>
      </c>
      <c r="N429">
        <f>RIGHT(M429,LEN(M429)-FIND(" ",M429))</f>
        <v/>
      </c>
      <c r="P429" t="inlineStr">
        <is>
          <t>WARREN</t>
        </is>
      </c>
      <c r="Q429" t="inlineStr">
        <is>
          <t>OH</t>
        </is>
      </c>
      <c r="R429" t="n">
        <v>44484</v>
      </c>
      <c r="AD429" t="inlineStr">
        <is>
          <t>TRUMBULL CAREER &amp; TECH CENTER</t>
        </is>
      </c>
      <c r="AE429" t="inlineStr">
        <is>
          <t>WARREN CITY</t>
        </is>
      </c>
      <c r="AF429" t="inlineStr">
        <is>
          <t>WARREN CITY SD</t>
        </is>
      </c>
      <c r="AH429" t="n">
        <v>14</v>
      </c>
      <c r="AI429" t="n">
        <v>11</v>
      </c>
      <c r="AN429" t="inlineStr">
        <is>
          <t>WARREN</t>
        </is>
      </c>
      <c r="AO429" t="inlineStr">
        <is>
          <t>WARREN CITY 4A</t>
        </is>
      </c>
      <c r="AP429" t="inlineStr">
        <is>
          <t>78-P-ADI</t>
        </is>
      </c>
      <c r="AQ429" t="n">
        <v>9</v>
      </c>
      <c r="AR429" t="n">
        <v>64</v>
      </c>
      <c r="AS429" t="n">
        <v>32</v>
      </c>
      <c r="AU429">
        <f>COUNTA($BA$429:$EH$429)</f>
        <v/>
      </c>
      <c r="AV429">
        <f>COUNTIF($BA$429:$EH$429,"D")</f>
        <v/>
      </c>
      <c r="AW429">
        <f>COUNTIF($BA$429:$EH$429,"R")</f>
        <v/>
      </c>
      <c r="AX429">
        <f>IF(BN429="D",1,0)+IF(BO429="D",1,0)+IF(BT429="D",1,0)+IF(BU429="D",1,0)+IF(BW429="D",1,0)+IF(CC429="D",1,0)+IF(CD429="D",1,0)+IF(CE429="D",1,0)+IF(CF429="D",1,0)+IF(CL429="D",1,0)+IF(CM429="D",1,0)+IF(CQ429="D",1,0)+IF(CR429="D",1,0)+IF(CS429="D",1,0)+IF(CW429="D",1,0)+IF(CX429="D",1,0)+IF(DD429="D",1,0)+IF(DE429="D",1,0)+IF(DJ429="D",1,0)+IF(DK429="D",1,0)+IF(DO429="D",1,0)+IF(DP429="D",1,0)+IF(DQ429="D",1,0)+IF(DW429="D",1,0)+IF(DZ429="D",1,0)+IF(EH429="D",1,0)</f>
        <v/>
      </c>
      <c r="AY429">
        <f>IF(DJ429&lt;&gt;"",1,0)+IF(DK429&lt;&gt;"",1,0)+IF(DM429&lt;&gt;"",1,0)+IF(DO429&lt;&gt;"",1,0)+IF(DP429&lt;&gt;"",1,0)+IF(DQ429&lt;&gt;"",1,0)+IF(DS429&lt;&gt;"",1,0)+IF(DT429&lt;&gt;"",1,0)+IF(DV429&lt;&gt;"",1,0)+IF(DW429&lt;&gt;"",1,0)+IF(DX429&lt;&gt;"",1,0)+IF(DY429&lt;&gt;"",1,0)+IF(DZ429&lt;&gt;"",1,0)+IF(EB429&lt;&gt;"",1,0)+IF(EC429&lt;&gt;"",1,0)+IF(ED429&lt;&gt;"",1,0)+IF(EG429&lt;&gt;"",1,0)+IF(EH429&lt;&gt;"",1,0)</f>
        <v/>
      </c>
      <c r="AZ429">
        <f>IF(EH429&lt;&gt;"",1,0)</f>
        <v/>
      </c>
      <c r="BB429" t="inlineStr">
        <is>
          <t>WARREN-WARD 4</t>
        </is>
      </c>
      <c r="BS429" t="inlineStr">
        <is>
          <t>X</t>
        </is>
      </c>
      <c r="CA429" t="inlineStr">
        <is>
          <t>X</t>
        </is>
      </c>
      <c r="DC429" t="inlineStr">
        <is>
          <t>X</t>
        </is>
      </c>
      <c r="DI429" t="inlineStr">
        <is>
          <t>X</t>
        </is>
      </c>
      <c r="DN429" t="inlineStr">
        <is>
          <t>X</t>
        </is>
      </c>
      <c r="DU429" t="inlineStr">
        <is>
          <t>X</t>
        </is>
      </c>
      <c r="EA429" t="inlineStr">
        <is>
          <t>X</t>
        </is>
      </c>
      <c r="EF429" t="inlineStr">
        <is>
          <t>X</t>
        </is>
      </c>
    </row>
    <row r="430">
      <c r="A430" t="inlineStr">
        <is>
          <t>OH0027021506</t>
        </is>
      </c>
      <c r="B430" t="n">
        <v>78</v>
      </c>
      <c r="C430" t="n">
        <v>475816</v>
      </c>
      <c r="D430" t="inlineStr">
        <is>
          <t>OWENS</t>
        </is>
      </c>
      <c r="E430" t="inlineStr">
        <is>
          <t>LOVELY</t>
        </is>
      </c>
      <c r="F430">
        <f>CONCATENATE(D430," ",LEFT(H430,4),"T=",AU430,"D=",AV430,"R=",AW430,"M=",AX430,"L=",AY430,"B=",AZ430)</f>
        <v/>
      </c>
      <c r="G430" t="inlineStr">
        <is>
          <t>LASHA</t>
        </is>
      </c>
      <c r="I430" t="inlineStr">
        <is>
          <t>2000-07-20</t>
        </is>
      </c>
      <c r="J430" t="inlineStr">
        <is>
          <t>2023-07-12</t>
        </is>
      </c>
      <c r="K430" t="inlineStr">
        <is>
          <t>ACTIVE</t>
        </is>
      </c>
      <c r="M430" t="inlineStr">
        <is>
          <t>171 WOODBINE AVE SE</t>
        </is>
      </c>
      <c r="N430">
        <f>RIGHT(M430,LEN(M430)-FIND(" ",M430))</f>
        <v/>
      </c>
      <c r="P430" t="inlineStr">
        <is>
          <t>WARREN</t>
        </is>
      </c>
      <c r="Q430" t="inlineStr">
        <is>
          <t>OH</t>
        </is>
      </c>
      <c r="R430" t="n">
        <v>44483</v>
      </c>
      <c r="AD430" t="inlineStr">
        <is>
          <t>TRUMBULL CAREER &amp; TECH CENTER</t>
        </is>
      </c>
      <c r="AE430" t="inlineStr">
        <is>
          <t>WARREN CITY</t>
        </is>
      </c>
      <c r="AF430" t="inlineStr">
        <is>
          <t>WARREN CITY SD</t>
        </is>
      </c>
      <c r="AH430" t="n">
        <v>14</v>
      </c>
      <c r="AI430" t="n">
        <v>11</v>
      </c>
      <c r="AN430" t="inlineStr">
        <is>
          <t>WARREN</t>
        </is>
      </c>
      <c r="AO430" t="inlineStr">
        <is>
          <t>WARREN CITY 4A</t>
        </is>
      </c>
      <c r="AP430" t="inlineStr">
        <is>
          <t>78-P-ADI</t>
        </is>
      </c>
      <c r="AQ430" t="n">
        <v>9</v>
      </c>
      <c r="AR430" t="n">
        <v>64</v>
      </c>
      <c r="AS430" t="n">
        <v>32</v>
      </c>
      <c r="AU430">
        <f>COUNTA($BA$430:$EH$430)</f>
        <v/>
      </c>
      <c r="AV430">
        <f>COUNTIF($BA$430:$EH$430,"D")</f>
        <v/>
      </c>
      <c r="AW430">
        <f>COUNTIF($BA$430:$EH$430,"R")</f>
        <v/>
      </c>
      <c r="AX430">
        <f>IF(BN430="D",1,0)+IF(BO430="D",1,0)+IF(BT430="D",1,0)+IF(BU430="D",1,0)+IF(BW430="D",1,0)+IF(CC430="D",1,0)+IF(CD430="D",1,0)+IF(CE430="D",1,0)+IF(CF430="D",1,0)+IF(CL430="D",1,0)+IF(CM430="D",1,0)+IF(CQ430="D",1,0)+IF(CR430="D",1,0)+IF(CS430="D",1,0)+IF(CW430="D",1,0)+IF(CX430="D",1,0)+IF(DD430="D",1,0)+IF(DE430="D",1,0)+IF(DJ430="D",1,0)+IF(DK430="D",1,0)+IF(DO430="D",1,0)+IF(DP430="D",1,0)+IF(DQ430="D",1,0)+IF(DW430="D",1,0)+IF(DZ430="D",1,0)+IF(EH430="D",1,0)</f>
        <v/>
      </c>
      <c r="AY430">
        <f>IF(DJ430&lt;&gt;"",1,0)+IF(DK430&lt;&gt;"",1,0)+IF(DM430&lt;&gt;"",1,0)+IF(DO430&lt;&gt;"",1,0)+IF(DP430&lt;&gt;"",1,0)+IF(DQ430&lt;&gt;"",1,0)+IF(DS430&lt;&gt;"",1,0)+IF(DT430&lt;&gt;"",1,0)+IF(DV430&lt;&gt;"",1,0)+IF(DW430&lt;&gt;"",1,0)+IF(DX430&lt;&gt;"",1,0)+IF(DY430&lt;&gt;"",1,0)+IF(DZ430&lt;&gt;"",1,0)+IF(EB430&lt;&gt;"",1,0)+IF(EC430&lt;&gt;"",1,0)+IF(ED430&lt;&gt;"",1,0)+IF(EG430&lt;&gt;"",1,0)+IF(EH430&lt;&gt;"",1,0)</f>
        <v/>
      </c>
      <c r="AZ430">
        <f>IF(EH430&lt;&gt;"",1,0)</f>
        <v/>
      </c>
      <c r="BB430" t="inlineStr">
        <is>
          <t>WARREN-WARD 4</t>
        </is>
      </c>
    </row>
    <row r="431">
      <c r="A431" t="inlineStr">
        <is>
          <t>OH0022553235</t>
        </is>
      </c>
      <c r="B431" t="n">
        <v>78</v>
      </c>
      <c r="C431" t="n">
        <v>398255</v>
      </c>
      <c r="D431" t="inlineStr">
        <is>
          <t>SHAFFER</t>
        </is>
      </c>
      <c r="E431" t="inlineStr">
        <is>
          <t>CINDY</t>
        </is>
      </c>
      <c r="F431">
        <f>CONCATENATE(D431," ",LEFT(H431,4),"T=",AU431,"D=",AV431,"R=",AW431,"M=",AX431,"L=",AY431,"B=",AZ431)</f>
        <v/>
      </c>
      <c r="G431" t="inlineStr">
        <is>
          <t>L</t>
        </is>
      </c>
      <c r="I431" t="inlineStr">
        <is>
          <t>1981-09-23</t>
        </is>
      </c>
      <c r="J431" t="inlineStr">
        <is>
          <t>2018-12-28</t>
        </is>
      </c>
      <c r="K431" t="inlineStr">
        <is>
          <t>ACTIVE</t>
        </is>
      </c>
      <c r="M431" t="inlineStr">
        <is>
          <t>197 OAK KNOLL AVE SE</t>
        </is>
      </c>
      <c r="N431">
        <f>RIGHT(M431,LEN(M431)-FIND(" ",M431))</f>
        <v/>
      </c>
      <c r="P431" t="inlineStr">
        <is>
          <t>WARREN</t>
        </is>
      </c>
      <c r="Q431" t="inlineStr">
        <is>
          <t>OH</t>
        </is>
      </c>
      <c r="R431" t="n">
        <v>44483</v>
      </c>
      <c r="AD431" t="inlineStr">
        <is>
          <t>TRUMBULL CAREER &amp; TECH CENTER</t>
        </is>
      </c>
      <c r="AE431" t="inlineStr">
        <is>
          <t>WARREN CITY</t>
        </is>
      </c>
      <c r="AF431" t="inlineStr">
        <is>
          <t>WARREN CITY SD</t>
        </is>
      </c>
      <c r="AH431" t="n">
        <v>14</v>
      </c>
      <c r="AI431" t="n">
        <v>11</v>
      </c>
      <c r="AN431" t="inlineStr">
        <is>
          <t>WARREN</t>
        </is>
      </c>
      <c r="AO431" t="inlineStr">
        <is>
          <t>WARREN CITY 4A</t>
        </is>
      </c>
      <c r="AP431" t="inlineStr">
        <is>
          <t>78-P-ADI</t>
        </is>
      </c>
      <c r="AQ431" t="n">
        <v>9</v>
      </c>
      <c r="AR431" t="n">
        <v>64</v>
      </c>
      <c r="AS431" t="n">
        <v>32</v>
      </c>
      <c r="AU431">
        <f>COUNTA($BA$431:$EH$431)</f>
        <v/>
      </c>
      <c r="AV431">
        <f>COUNTIF($BA$431:$EH$431,"D")</f>
        <v/>
      </c>
      <c r="AW431">
        <f>COUNTIF($BA$431:$EH$431,"R")</f>
        <v/>
      </c>
      <c r="AX431">
        <f>IF(BN431="D",1,0)+IF(BO431="D",1,0)+IF(BT431="D",1,0)+IF(BU431="D",1,0)+IF(BW431="D",1,0)+IF(CC431="D",1,0)+IF(CD431="D",1,0)+IF(CE431="D",1,0)+IF(CF431="D",1,0)+IF(CL431="D",1,0)+IF(CM431="D",1,0)+IF(CQ431="D",1,0)+IF(CR431="D",1,0)+IF(CS431="D",1,0)+IF(CW431="D",1,0)+IF(CX431="D",1,0)+IF(DD431="D",1,0)+IF(DE431="D",1,0)+IF(DJ431="D",1,0)+IF(DK431="D",1,0)+IF(DO431="D",1,0)+IF(DP431="D",1,0)+IF(DQ431="D",1,0)+IF(DW431="D",1,0)+IF(DZ431="D",1,0)+IF(EH431="D",1,0)</f>
        <v/>
      </c>
      <c r="AY431">
        <f>IF(DJ431&lt;&gt;"",1,0)+IF(DK431&lt;&gt;"",1,0)+IF(DM431&lt;&gt;"",1,0)+IF(DO431&lt;&gt;"",1,0)+IF(DP431&lt;&gt;"",1,0)+IF(DQ431&lt;&gt;"",1,0)+IF(DS431&lt;&gt;"",1,0)+IF(DT431&lt;&gt;"",1,0)+IF(DV431&lt;&gt;"",1,0)+IF(DW431&lt;&gt;"",1,0)+IF(DX431&lt;&gt;"",1,0)+IF(DY431&lt;&gt;"",1,0)+IF(DZ431&lt;&gt;"",1,0)+IF(EB431&lt;&gt;"",1,0)+IF(EC431&lt;&gt;"",1,0)+IF(ED431&lt;&gt;"",1,0)+IF(EG431&lt;&gt;"",1,0)+IF(EH431&lt;&gt;"",1,0)</f>
        <v/>
      </c>
      <c r="AZ431">
        <f>IF(EH431&lt;&gt;"",1,0)</f>
        <v/>
      </c>
      <c r="BB431" t="inlineStr">
        <is>
          <t>WARREN-WARD 4</t>
        </is>
      </c>
      <c r="BD431" t="inlineStr">
        <is>
          <t>X</t>
        </is>
      </c>
      <c r="BF431" t="inlineStr">
        <is>
          <t>X</t>
        </is>
      </c>
      <c r="BG431" t="inlineStr">
        <is>
          <t>R</t>
        </is>
      </c>
      <c r="BH431" t="inlineStr">
        <is>
          <t>X</t>
        </is>
      </c>
      <c r="BL431" t="inlineStr">
        <is>
          <t>X</t>
        </is>
      </c>
      <c r="CA431" t="inlineStr">
        <is>
          <t>X</t>
        </is>
      </c>
      <c r="DN431" t="inlineStr">
        <is>
          <t>X</t>
        </is>
      </c>
      <c r="DX431" t="inlineStr">
        <is>
          <t>X</t>
        </is>
      </c>
      <c r="EA431" t="inlineStr">
        <is>
          <t>X</t>
        </is>
      </c>
      <c r="EF431" t="inlineStr">
        <is>
          <t>X</t>
        </is>
      </c>
    </row>
    <row r="432">
      <c r="A432" t="inlineStr">
        <is>
          <t>OH0025465129</t>
        </is>
      </c>
      <c r="B432" t="n">
        <v>78</v>
      </c>
      <c r="C432" t="n">
        <v>445132</v>
      </c>
      <c r="D432" t="inlineStr">
        <is>
          <t>TEASLEY</t>
        </is>
      </c>
      <c r="E432" t="inlineStr">
        <is>
          <t>JEROME</t>
        </is>
      </c>
      <c r="F432">
        <f>CONCATENATE(D432," ",LEFT(H432,4),"T=",AU432,"D=",AV432,"R=",AW432,"M=",AX432,"L=",AY432,"B=",AZ432)</f>
        <v/>
      </c>
      <c r="G432" t="inlineStr">
        <is>
          <t>W</t>
        </is>
      </c>
      <c r="I432" t="inlineStr">
        <is>
          <t>1984-10-03</t>
        </is>
      </c>
      <c r="J432" t="inlineStr">
        <is>
          <t>2022-05-12</t>
        </is>
      </c>
      <c r="K432" t="inlineStr">
        <is>
          <t>ACTIVE</t>
        </is>
      </c>
      <c r="M432" t="inlineStr">
        <is>
          <t>800 WOODBINE AVE SE</t>
        </is>
      </c>
      <c r="N432">
        <f>RIGHT(M432,LEN(M432)-FIND(" ",M432))</f>
        <v/>
      </c>
      <c r="P432" t="inlineStr">
        <is>
          <t>WARREN</t>
        </is>
      </c>
      <c r="Q432" t="inlineStr">
        <is>
          <t>OH</t>
        </is>
      </c>
      <c r="R432" t="n">
        <v>44484</v>
      </c>
      <c r="AD432" t="inlineStr">
        <is>
          <t>TRUMBULL CAREER &amp; TECH CENTER</t>
        </is>
      </c>
      <c r="AE432" t="inlineStr">
        <is>
          <t>WARREN CITY</t>
        </is>
      </c>
      <c r="AF432" t="inlineStr">
        <is>
          <t>WARREN CITY SD</t>
        </is>
      </c>
      <c r="AH432" t="n">
        <v>14</v>
      </c>
      <c r="AI432" t="n">
        <v>11</v>
      </c>
      <c r="AN432" t="inlineStr">
        <is>
          <t>WARREN</t>
        </is>
      </c>
      <c r="AO432" t="inlineStr">
        <is>
          <t>WARREN CITY 4A</t>
        </is>
      </c>
      <c r="AP432" t="inlineStr">
        <is>
          <t>78-P-ADI</t>
        </is>
      </c>
      <c r="AQ432" t="n">
        <v>9</v>
      </c>
      <c r="AR432" t="n">
        <v>64</v>
      </c>
      <c r="AS432" t="n">
        <v>32</v>
      </c>
      <c r="AU432">
        <f>COUNTA($BA$432:$EH$432)</f>
        <v/>
      </c>
      <c r="AV432">
        <f>COUNTIF($BA$432:$EH$432,"D")</f>
        <v/>
      </c>
      <c r="AW432">
        <f>COUNTIF($BA$432:$EH$432,"R")</f>
        <v/>
      </c>
      <c r="AX432">
        <f>IF(BN432="D",1,0)+IF(BO432="D",1,0)+IF(BT432="D",1,0)+IF(BU432="D",1,0)+IF(BW432="D",1,0)+IF(CC432="D",1,0)+IF(CD432="D",1,0)+IF(CE432="D",1,0)+IF(CF432="D",1,0)+IF(CL432="D",1,0)+IF(CM432="D",1,0)+IF(CQ432="D",1,0)+IF(CR432="D",1,0)+IF(CS432="D",1,0)+IF(CW432="D",1,0)+IF(CX432="D",1,0)+IF(DD432="D",1,0)+IF(DE432="D",1,0)+IF(DJ432="D",1,0)+IF(DK432="D",1,0)+IF(DO432="D",1,0)+IF(DP432="D",1,0)+IF(DQ432="D",1,0)+IF(DW432="D",1,0)+IF(DZ432="D",1,0)+IF(EH432="D",1,0)</f>
        <v/>
      </c>
      <c r="AY432">
        <f>IF(DJ432&lt;&gt;"",1,0)+IF(DK432&lt;&gt;"",1,0)+IF(DM432&lt;&gt;"",1,0)+IF(DO432&lt;&gt;"",1,0)+IF(DP432&lt;&gt;"",1,0)+IF(DQ432&lt;&gt;"",1,0)+IF(DS432&lt;&gt;"",1,0)+IF(DT432&lt;&gt;"",1,0)+IF(DV432&lt;&gt;"",1,0)+IF(DW432&lt;&gt;"",1,0)+IF(DX432&lt;&gt;"",1,0)+IF(DY432&lt;&gt;"",1,0)+IF(DZ432&lt;&gt;"",1,0)+IF(EB432&lt;&gt;"",1,0)+IF(EC432&lt;&gt;"",1,0)+IF(ED432&lt;&gt;"",1,0)+IF(EG432&lt;&gt;"",1,0)+IF(EH432&lt;&gt;"",1,0)</f>
        <v/>
      </c>
      <c r="AZ432">
        <f>IF(EH432&lt;&gt;"",1,0)</f>
        <v/>
      </c>
      <c r="BB432" t="inlineStr">
        <is>
          <t>WARREN-WARD 4</t>
        </is>
      </c>
      <c r="BL432" t="inlineStr">
        <is>
          <t>X</t>
        </is>
      </c>
    </row>
    <row r="433">
      <c r="A433" t="inlineStr">
        <is>
          <t>OH0026520714</t>
        </is>
      </c>
      <c r="B433" t="n">
        <v>78</v>
      </c>
      <c r="C433" t="n">
        <v>461371</v>
      </c>
      <c r="D433" t="inlineStr">
        <is>
          <t>GLENN</t>
        </is>
      </c>
      <c r="E433" t="inlineStr">
        <is>
          <t>RAYLEN</t>
        </is>
      </c>
      <c r="F433">
        <f>CONCATENATE(D433," ",LEFT(H433,4),"T=",AU433,"D=",AV433,"R=",AW433,"M=",AX433,"L=",AY433,"B=",AZ433)</f>
        <v/>
      </c>
      <c r="G433" t="inlineStr">
        <is>
          <t>YURI</t>
        </is>
      </c>
      <c r="I433" t="inlineStr">
        <is>
          <t>2002-12-16</t>
        </is>
      </c>
      <c r="J433" t="inlineStr">
        <is>
          <t>2021-08-23</t>
        </is>
      </c>
      <c r="K433" t="inlineStr">
        <is>
          <t>ACTIVE</t>
        </is>
      </c>
      <c r="L433" t="inlineStr">
        <is>
          <t>D</t>
        </is>
      </c>
      <c r="M433" t="inlineStr">
        <is>
          <t>183 HOMEWOOD AVE SE</t>
        </is>
      </c>
      <c r="N433">
        <f>RIGHT(M433,LEN(M433)-FIND(" ",M433))</f>
        <v/>
      </c>
      <c r="P433" t="inlineStr">
        <is>
          <t>WARREN</t>
        </is>
      </c>
      <c r="Q433" t="inlineStr">
        <is>
          <t>OH</t>
        </is>
      </c>
      <c r="R433" t="n">
        <v>44483</v>
      </c>
      <c r="AD433" t="inlineStr">
        <is>
          <t>TRUMBULL CAREER &amp; TECH CENTER</t>
        </is>
      </c>
      <c r="AE433" t="inlineStr">
        <is>
          <t>WARREN CITY</t>
        </is>
      </c>
      <c r="AF433" t="inlineStr">
        <is>
          <t>WARREN CITY SD</t>
        </is>
      </c>
      <c r="AH433" t="n">
        <v>14</v>
      </c>
      <c r="AI433" t="n">
        <v>11</v>
      </c>
      <c r="AN433" t="inlineStr">
        <is>
          <t>WARREN</t>
        </is>
      </c>
      <c r="AO433" t="inlineStr">
        <is>
          <t>WARREN CITY 4A</t>
        </is>
      </c>
      <c r="AP433" t="inlineStr">
        <is>
          <t>78-P-ADI</t>
        </is>
      </c>
      <c r="AQ433" t="n">
        <v>9</v>
      </c>
      <c r="AR433" t="n">
        <v>64</v>
      </c>
      <c r="AS433" t="n">
        <v>32</v>
      </c>
      <c r="AU433">
        <f>COUNTA($BA$433:$EH$433)</f>
        <v/>
      </c>
      <c r="AV433">
        <f>COUNTIF($BA$433:$EH$433,"D")</f>
        <v/>
      </c>
      <c r="AW433">
        <f>COUNTIF($BA$433:$EH$433,"R")</f>
        <v/>
      </c>
      <c r="AX433">
        <f>IF(BN433="D",1,0)+IF(BO433="D",1,0)+IF(BT433="D",1,0)+IF(BU433="D",1,0)+IF(BW433="D",1,0)+IF(CC433="D",1,0)+IF(CD433="D",1,0)+IF(CE433="D",1,0)+IF(CF433="D",1,0)+IF(CL433="D",1,0)+IF(CM433="D",1,0)+IF(CQ433="D",1,0)+IF(CR433="D",1,0)+IF(CS433="D",1,0)+IF(CW433="D",1,0)+IF(CX433="D",1,0)+IF(DD433="D",1,0)+IF(DE433="D",1,0)+IF(DJ433="D",1,0)+IF(DK433="D",1,0)+IF(DO433="D",1,0)+IF(DP433="D",1,0)+IF(DQ433="D",1,0)+IF(DW433="D",1,0)+IF(DZ433="D",1,0)+IF(EH433="D",1,0)</f>
        <v/>
      </c>
      <c r="AY433">
        <f>IF(DJ433&lt;&gt;"",1,0)+IF(DK433&lt;&gt;"",1,0)+IF(DM433&lt;&gt;"",1,0)+IF(DO433&lt;&gt;"",1,0)+IF(DP433&lt;&gt;"",1,0)+IF(DQ433&lt;&gt;"",1,0)+IF(DS433&lt;&gt;"",1,0)+IF(DT433&lt;&gt;"",1,0)+IF(DV433&lt;&gt;"",1,0)+IF(DW433&lt;&gt;"",1,0)+IF(DX433&lt;&gt;"",1,0)+IF(DY433&lt;&gt;"",1,0)+IF(DZ433&lt;&gt;"",1,0)+IF(EB433&lt;&gt;"",1,0)+IF(EC433&lt;&gt;"",1,0)+IF(ED433&lt;&gt;"",1,0)+IF(EG433&lt;&gt;"",1,0)+IF(EH433&lt;&gt;"",1,0)</f>
        <v/>
      </c>
      <c r="AZ433">
        <f>IF(EH433&lt;&gt;"",1,0)</f>
        <v/>
      </c>
      <c r="BB433" t="inlineStr">
        <is>
          <t>WARREN-WARD 4</t>
        </is>
      </c>
      <c r="DU433" t="inlineStr">
        <is>
          <t>X</t>
        </is>
      </c>
      <c r="DX433" t="inlineStr">
        <is>
          <t>X</t>
        </is>
      </c>
      <c r="EA433" t="inlineStr">
        <is>
          <t>X</t>
        </is>
      </c>
      <c r="EF433" t="inlineStr">
        <is>
          <t>X</t>
        </is>
      </c>
      <c r="EH433" t="inlineStr">
        <is>
          <t>D</t>
        </is>
      </c>
    </row>
    <row r="434">
      <c r="A434" t="inlineStr">
        <is>
          <t>OH0026520701</t>
        </is>
      </c>
      <c r="B434" t="n">
        <v>78</v>
      </c>
      <c r="C434" t="n">
        <v>463590</v>
      </c>
      <c r="D434" t="inlineStr">
        <is>
          <t>HALLETT</t>
        </is>
      </c>
      <c r="E434" t="inlineStr">
        <is>
          <t>JENNIFER</t>
        </is>
      </c>
      <c r="F434">
        <f>CONCATENATE(D434," ",LEFT(H434,4),"T=",AU434,"D=",AV434,"R=",AW434,"M=",AX434,"L=",AY434,"B=",AZ434)</f>
        <v/>
      </c>
      <c r="G434" t="inlineStr">
        <is>
          <t>ELIZABETH</t>
        </is>
      </c>
      <c r="I434" t="inlineStr">
        <is>
          <t>2003-06-04</t>
        </is>
      </c>
      <c r="J434" t="inlineStr">
        <is>
          <t>2022-05-10</t>
        </is>
      </c>
      <c r="K434" t="inlineStr">
        <is>
          <t>ACTIVE</t>
        </is>
      </c>
      <c r="M434" t="inlineStr">
        <is>
          <t>797 HOMEWOOD AVE SE</t>
        </is>
      </c>
      <c r="N434">
        <f>RIGHT(M434,LEN(M434)-FIND(" ",M434))</f>
        <v/>
      </c>
      <c r="P434" t="inlineStr">
        <is>
          <t>WARREN</t>
        </is>
      </c>
      <c r="Q434" t="inlineStr">
        <is>
          <t>OH</t>
        </is>
      </c>
      <c r="R434" t="n">
        <v>44484</v>
      </c>
      <c r="AD434" t="inlineStr">
        <is>
          <t>TRUMBULL CAREER &amp; TECH CENTER</t>
        </is>
      </c>
      <c r="AE434" t="inlineStr">
        <is>
          <t>WARREN CITY</t>
        </is>
      </c>
      <c r="AF434" t="inlineStr">
        <is>
          <t>WARREN CITY SD</t>
        </is>
      </c>
      <c r="AH434" t="n">
        <v>14</v>
      </c>
      <c r="AI434" t="n">
        <v>11</v>
      </c>
      <c r="AN434" t="inlineStr">
        <is>
          <t>WARREN</t>
        </is>
      </c>
      <c r="AO434" t="inlineStr">
        <is>
          <t>WARREN CITY 4A</t>
        </is>
      </c>
      <c r="AP434" t="inlineStr">
        <is>
          <t>78-P-ADI</t>
        </is>
      </c>
      <c r="AQ434" t="n">
        <v>9</v>
      </c>
      <c r="AR434" t="n">
        <v>64</v>
      </c>
      <c r="AS434" t="n">
        <v>32</v>
      </c>
      <c r="AU434">
        <f>COUNTA($BA$434:$EH$434)</f>
        <v/>
      </c>
      <c r="AV434">
        <f>COUNTIF($BA$434:$EH$434,"D")</f>
        <v/>
      </c>
      <c r="AW434">
        <f>COUNTIF($BA$434:$EH$434,"R")</f>
        <v/>
      </c>
      <c r="AX434">
        <f>IF(BN434="D",1,0)+IF(BO434="D",1,0)+IF(BT434="D",1,0)+IF(BU434="D",1,0)+IF(BW434="D",1,0)+IF(CC434="D",1,0)+IF(CD434="D",1,0)+IF(CE434="D",1,0)+IF(CF434="D",1,0)+IF(CL434="D",1,0)+IF(CM434="D",1,0)+IF(CQ434="D",1,0)+IF(CR434="D",1,0)+IF(CS434="D",1,0)+IF(CW434="D",1,0)+IF(CX434="D",1,0)+IF(DD434="D",1,0)+IF(DE434="D",1,0)+IF(DJ434="D",1,0)+IF(DK434="D",1,0)+IF(DO434="D",1,0)+IF(DP434="D",1,0)+IF(DQ434="D",1,0)+IF(DW434="D",1,0)+IF(DZ434="D",1,0)+IF(EH434="D",1,0)</f>
        <v/>
      </c>
      <c r="AY434">
        <f>IF(DJ434&lt;&gt;"",1,0)+IF(DK434&lt;&gt;"",1,0)+IF(DM434&lt;&gt;"",1,0)+IF(DO434&lt;&gt;"",1,0)+IF(DP434&lt;&gt;"",1,0)+IF(DQ434&lt;&gt;"",1,0)+IF(DS434&lt;&gt;"",1,0)+IF(DT434&lt;&gt;"",1,0)+IF(DV434&lt;&gt;"",1,0)+IF(DW434&lt;&gt;"",1,0)+IF(DX434&lt;&gt;"",1,0)+IF(DY434&lt;&gt;"",1,0)+IF(DZ434&lt;&gt;"",1,0)+IF(EB434&lt;&gt;"",1,0)+IF(EC434&lt;&gt;"",1,0)+IF(ED434&lt;&gt;"",1,0)+IF(EG434&lt;&gt;"",1,0)+IF(EH434&lt;&gt;"",1,0)</f>
        <v/>
      </c>
      <c r="AZ434">
        <f>IF(EH434&lt;&gt;"",1,0)</f>
        <v/>
      </c>
      <c r="BB434" t="inlineStr">
        <is>
          <t>WARREN-WARD 4</t>
        </is>
      </c>
    </row>
    <row r="435">
      <c r="A435" t="inlineStr">
        <is>
          <t>OH0026995483</t>
        </is>
      </c>
      <c r="B435" t="n">
        <v>78</v>
      </c>
      <c r="C435" t="n">
        <v>475297</v>
      </c>
      <c r="D435" t="inlineStr">
        <is>
          <t>CONAWAY</t>
        </is>
      </c>
      <c r="E435" t="inlineStr">
        <is>
          <t>LUKE</t>
        </is>
      </c>
      <c r="F435">
        <f>CONCATENATE(D435," ",LEFT(H435,4),"T=",AU435,"D=",AV435,"R=",AW435,"M=",AX435,"L=",AY435,"B=",AZ435)</f>
        <v/>
      </c>
      <c r="G435" t="inlineStr">
        <is>
          <t>ROBERT</t>
        </is>
      </c>
      <c r="I435" t="inlineStr">
        <is>
          <t>2003-12-27</t>
        </is>
      </c>
      <c r="J435" t="inlineStr">
        <is>
          <t>2024-02-21</t>
        </is>
      </c>
      <c r="K435" t="inlineStr">
        <is>
          <t>ACTIVE</t>
        </is>
      </c>
      <c r="M435" t="inlineStr">
        <is>
          <t>901 OAK KNOLL AVE SE</t>
        </is>
      </c>
      <c r="N435">
        <f>RIGHT(M435,LEN(M435)-FIND(" ",M435))</f>
        <v/>
      </c>
      <c r="P435" t="inlineStr">
        <is>
          <t>WARREN</t>
        </is>
      </c>
      <c r="Q435" t="inlineStr">
        <is>
          <t>OH</t>
        </is>
      </c>
      <c r="R435" t="n">
        <v>44484</v>
      </c>
      <c r="AD435" t="inlineStr">
        <is>
          <t>TRUMBULL CAREER &amp; TECH CENTER</t>
        </is>
      </c>
      <c r="AE435" t="inlineStr">
        <is>
          <t>WARREN CITY</t>
        </is>
      </c>
      <c r="AF435" t="inlineStr">
        <is>
          <t>WARREN CITY SD</t>
        </is>
      </c>
      <c r="AH435" t="n">
        <v>14</v>
      </c>
      <c r="AI435" t="n">
        <v>11</v>
      </c>
      <c r="AN435" t="inlineStr">
        <is>
          <t>WARREN</t>
        </is>
      </c>
      <c r="AO435" t="inlineStr">
        <is>
          <t>WARREN CITY 4A</t>
        </is>
      </c>
      <c r="AP435" t="inlineStr">
        <is>
          <t>78-P-ADI</t>
        </is>
      </c>
      <c r="AQ435" t="n">
        <v>9</v>
      </c>
      <c r="AR435" t="n">
        <v>64</v>
      </c>
      <c r="AS435" t="n">
        <v>32</v>
      </c>
      <c r="AU435">
        <f>COUNTA($BA$435:$EH$435)</f>
        <v/>
      </c>
      <c r="AV435">
        <f>COUNTIF($BA$435:$EH$435,"D")</f>
        <v/>
      </c>
      <c r="AW435">
        <f>COUNTIF($BA$435:$EH$435,"R")</f>
        <v/>
      </c>
      <c r="AX435">
        <f>IF(BN435="D",1,0)+IF(BO435="D",1,0)+IF(BT435="D",1,0)+IF(BU435="D",1,0)+IF(BW435="D",1,0)+IF(CC435="D",1,0)+IF(CD435="D",1,0)+IF(CE435="D",1,0)+IF(CF435="D",1,0)+IF(CL435="D",1,0)+IF(CM435="D",1,0)+IF(CQ435="D",1,0)+IF(CR435="D",1,0)+IF(CS435="D",1,0)+IF(CW435="D",1,0)+IF(CX435="D",1,0)+IF(DD435="D",1,0)+IF(DE435="D",1,0)+IF(DJ435="D",1,0)+IF(DK435="D",1,0)+IF(DO435="D",1,0)+IF(DP435="D",1,0)+IF(DQ435="D",1,0)+IF(DW435="D",1,0)+IF(DZ435="D",1,0)+IF(EH435="D",1,0)</f>
        <v/>
      </c>
      <c r="AY435">
        <f>IF(DJ435&lt;&gt;"",1,0)+IF(DK435&lt;&gt;"",1,0)+IF(DM435&lt;&gt;"",1,0)+IF(DO435&lt;&gt;"",1,0)+IF(DP435&lt;&gt;"",1,0)+IF(DQ435&lt;&gt;"",1,0)+IF(DS435&lt;&gt;"",1,0)+IF(DT435&lt;&gt;"",1,0)+IF(DV435&lt;&gt;"",1,0)+IF(DW435&lt;&gt;"",1,0)+IF(DX435&lt;&gt;"",1,0)+IF(DY435&lt;&gt;"",1,0)+IF(DZ435&lt;&gt;"",1,0)+IF(EB435&lt;&gt;"",1,0)+IF(EC435&lt;&gt;"",1,0)+IF(ED435&lt;&gt;"",1,0)+IF(EG435&lt;&gt;"",1,0)+IF(EH435&lt;&gt;"",1,0)</f>
        <v/>
      </c>
      <c r="AZ435">
        <f>IF(EH435&lt;&gt;"",1,0)</f>
        <v/>
      </c>
      <c r="BB435" t="inlineStr">
        <is>
          <t>WARREN-WARD 4</t>
        </is>
      </c>
      <c r="EA435" t="inlineStr">
        <is>
          <t>X</t>
        </is>
      </c>
      <c r="EF435" t="inlineStr">
        <is>
          <t>X</t>
        </is>
      </c>
    </row>
    <row r="436">
      <c r="A436" t="inlineStr">
        <is>
          <t>OH0018595321</t>
        </is>
      </c>
      <c r="B436" t="n">
        <v>78</v>
      </c>
      <c r="C436" t="n">
        <v>338410</v>
      </c>
      <c r="D436" t="inlineStr">
        <is>
          <t>DUNCAN</t>
        </is>
      </c>
      <c r="E436" t="inlineStr">
        <is>
          <t>JONATHAN</t>
        </is>
      </c>
      <c r="F436">
        <f>CONCATENATE(D436," ",LEFT(H436,4),"T=",AU436,"D=",AV436,"R=",AW436,"M=",AX436,"L=",AY436,"B=",AZ436)</f>
        <v/>
      </c>
      <c r="G436" t="inlineStr">
        <is>
          <t>WAYNE</t>
        </is>
      </c>
      <c r="I436" t="inlineStr">
        <is>
          <t>1987-08-18</t>
        </is>
      </c>
      <c r="J436" t="inlineStr">
        <is>
          <t>2024-10-16</t>
        </is>
      </c>
      <c r="K436" t="inlineStr">
        <is>
          <t>ACTIVE</t>
        </is>
      </c>
      <c r="M436" t="inlineStr">
        <is>
          <t>771 WOODBINE AVE SE</t>
        </is>
      </c>
      <c r="N436">
        <f>RIGHT(M436,LEN(M436)-FIND(" ",M436))</f>
        <v/>
      </c>
      <c r="P436" t="inlineStr">
        <is>
          <t>WARREN</t>
        </is>
      </c>
      <c r="Q436" t="inlineStr">
        <is>
          <t>OH</t>
        </is>
      </c>
      <c r="R436" t="n">
        <v>44484</v>
      </c>
      <c r="AD436" t="inlineStr">
        <is>
          <t>TRUMBULL CAREER &amp; TECH CENTER</t>
        </is>
      </c>
      <c r="AE436" t="inlineStr">
        <is>
          <t>WARREN CITY</t>
        </is>
      </c>
      <c r="AF436" t="inlineStr">
        <is>
          <t>WARREN CITY SD</t>
        </is>
      </c>
      <c r="AH436" t="n">
        <v>14</v>
      </c>
      <c r="AI436" t="n">
        <v>11</v>
      </c>
      <c r="AN436" t="inlineStr">
        <is>
          <t>WARREN</t>
        </is>
      </c>
      <c r="AO436" t="inlineStr">
        <is>
          <t>WARREN CITY 4A</t>
        </is>
      </c>
      <c r="AP436" t="inlineStr">
        <is>
          <t>78-P-ADI</t>
        </is>
      </c>
      <c r="AQ436" t="n">
        <v>9</v>
      </c>
      <c r="AR436" t="n">
        <v>64</v>
      </c>
      <c r="AS436" t="n">
        <v>32</v>
      </c>
      <c r="AU436">
        <f>COUNTA($BA$436:$EH$436)</f>
        <v/>
      </c>
      <c r="AV436">
        <f>COUNTIF($BA$436:$EH$436,"D")</f>
        <v/>
      </c>
      <c r="AW436">
        <f>COUNTIF($BA$436:$EH$436,"R")</f>
        <v/>
      </c>
      <c r="AX436">
        <f>IF(BN436="D",1,0)+IF(BO436="D",1,0)+IF(BT436="D",1,0)+IF(BU436="D",1,0)+IF(BW436="D",1,0)+IF(CC436="D",1,0)+IF(CD436="D",1,0)+IF(CE436="D",1,0)+IF(CF436="D",1,0)+IF(CL436="D",1,0)+IF(CM436="D",1,0)+IF(CQ436="D",1,0)+IF(CR436="D",1,0)+IF(CS436="D",1,0)+IF(CW436="D",1,0)+IF(CX436="D",1,0)+IF(DD436="D",1,0)+IF(DE436="D",1,0)+IF(DJ436="D",1,0)+IF(DK436="D",1,0)+IF(DO436="D",1,0)+IF(DP436="D",1,0)+IF(DQ436="D",1,0)+IF(DW436="D",1,0)+IF(DZ436="D",1,0)+IF(EH436="D",1,0)</f>
        <v/>
      </c>
      <c r="AY436">
        <f>IF(DJ436&lt;&gt;"",1,0)+IF(DK436&lt;&gt;"",1,0)+IF(DM436&lt;&gt;"",1,0)+IF(DO436&lt;&gt;"",1,0)+IF(DP436&lt;&gt;"",1,0)+IF(DQ436&lt;&gt;"",1,0)+IF(DS436&lt;&gt;"",1,0)+IF(DT436&lt;&gt;"",1,0)+IF(DV436&lt;&gt;"",1,0)+IF(DW436&lt;&gt;"",1,0)+IF(DX436&lt;&gt;"",1,0)+IF(DY436&lt;&gt;"",1,0)+IF(DZ436&lt;&gt;"",1,0)+IF(EB436&lt;&gt;"",1,0)+IF(EC436&lt;&gt;"",1,0)+IF(ED436&lt;&gt;"",1,0)+IF(EG436&lt;&gt;"",1,0)+IF(EH436&lt;&gt;"",1,0)</f>
        <v/>
      </c>
      <c r="AZ436">
        <f>IF(EH436&lt;&gt;"",1,0)</f>
        <v/>
      </c>
      <c r="BB436" t="inlineStr">
        <is>
          <t>WARREN-WARD 4</t>
        </is>
      </c>
    </row>
    <row r="437">
      <c r="A437" t="inlineStr">
        <is>
          <t>OH0027278003</t>
        </is>
      </c>
      <c r="B437" t="n">
        <v>78</v>
      </c>
      <c r="C437" t="n">
        <v>484195</v>
      </c>
      <c r="D437" t="inlineStr">
        <is>
          <t>SCOTT</t>
        </is>
      </c>
      <c r="E437" t="inlineStr">
        <is>
          <t>TYCEANTHONY</t>
        </is>
      </c>
      <c r="F437">
        <f>CONCATENATE(D437," ",LEFT(H437,4),"T=",AU437,"D=",AV437,"R=",AW437,"M=",AX437,"L=",AY437,"B=",AZ437)</f>
        <v/>
      </c>
      <c r="G437" t="inlineStr">
        <is>
          <t>JUSTIN</t>
        </is>
      </c>
      <c r="I437" t="inlineStr">
        <is>
          <t>2003-07-12</t>
        </is>
      </c>
      <c r="J437" t="inlineStr">
        <is>
          <t>2024-03-09</t>
        </is>
      </c>
      <c r="K437" t="inlineStr">
        <is>
          <t>ACTIVE</t>
        </is>
      </c>
      <c r="M437" t="inlineStr">
        <is>
          <t>197 WOODBINE AVE SE</t>
        </is>
      </c>
      <c r="N437">
        <f>RIGHT(M437,LEN(M437)-FIND(" ",M437))</f>
        <v/>
      </c>
      <c r="P437" t="inlineStr">
        <is>
          <t>WARREN</t>
        </is>
      </c>
      <c r="Q437" t="inlineStr">
        <is>
          <t>OH</t>
        </is>
      </c>
      <c r="R437" t="n">
        <v>44483</v>
      </c>
      <c r="AD437" t="inlineStr">
        <is>
          <t>TRUMBULL CAREER &amp; TECH CENTER</t>
        </is>
      </c>
      <c r="AE437" t="inlineStr">
        <is>
          <t>WARREN CITY</t>
        </is>
      </c>
      <c r="AF437" t="inlineStr">
        <is>
          <t>WARREN CITY SD</t>
        </is>
      </c>
      <c r="AH437" t="n">
        <v>14</v>
      </c>
      <c r="AI437" t="n">
        <v>11</v>
      </c>
      <c r="AN437" t="inlineStr">
        <is>
          <t>WARREN</t>
        </is>
      </c>
      <c r="AO437" t="inlineStr">
        <is>
          <t>WARREN CITY 4A</t>
        </is>
      </c>
      <c r="AP437" t="inlineStr">
        <is>
          <t>78-P-ADI</t>
        </is>
      </c>
      <c r="AQ437" t="n">
        <v>9</v>
      </c>
      <c r="AR437" t="n">
        <v>64</v>
      </c>
      <c r="AS437" t="n">
        <v>32</v>
      </c>
      <c r="AU437">
        <f>COUNTA($BA$437:$EH$437)</f>
        <v/>
      </c>
      <c r="AV437">
        <f>COUNTIF($BA$437:$EH$437,"D")</f>
        <v/>
      </c>
      <c r="AW437">
        <f>COUNTIF($BA$437:$EH$437,"R")</f>
        <v/>
      </c>
      <c r="AX437">
        <f>IF(BN437="D",1,0)+IF(BO437="D",1,0)+IF(BT437="D",1,0)+IF(BU437="D",1,0)+IF(BW437="D",1,0)+IF(CC437="D",1,0)+IF(CD437="D",1,0)+IF(CE437="D",1,0)+IF(CF437="D",1,0)+IF(CL437="D",1,0)+IF(CM437="D",1,0)+IF(CQ437="D",1,0)+IF(CR437="D",1,0)+IF(CS437="D",1,0)+IF(CW437="D",1,0)+IF(CX437="D",1,0)+IF(DD437="D",1,0)+IF(DE437="D",1,0)+IF(DJ437="D",1,0)+IF(DK437="D",1,0)+IF(DO437="D",1,0)+IF(DP437="D",1,0)+IF(DQ437="D",1,0)+IF(DW437="D",1,0)+IF(DZ437="D",1,0)+IF(EH437="D",1,0)</f>
        <v/>
      </c>
      <c r="AY437">
        <f>IF(DJ437&lt;&gt;"",1,0)+IF(DK437&lt;&gt;"",1,0)+IF(DM437&lt;&gt;"",1,0)+IF(DO437&lt;&gt;"",1,0)+IF(DP437&lt;&gt;"",1,0)+IF(DQ437&lt;&gt;"",1,0)+IF(DS437&lt;&gt;"",1,0)+IF(DT437&lt;&gt;"",1,0)+IF(DV437&lt;&gt;"",1,0)+IF(DW437&lt;&gt;"",1,0)+IF(DX437&lt;&gt;"",1,0)+IF(DY437&lt;&gt;"",1,0)+IF(DZ437&lt;&gt;"",1,0)+IF(EB437&lt;&gt;"",1,0)+IF(EC437&lt;&gt;"",1,0)+IF(ED437&lt;&gt;"",1,0)+IF(EG437&lt;&gt;"",1,0)+IF(EH437&lt;&gt;"",1,0)</f>
        <v/>
      </c>
      <c r="AZ437">
        <f>IF(EH437&lt;&gt;"",1,0)</f>
        <v/>
      </c>
      <c r="BB437" t="inlineStr">
        <is>
          <t>WARREN-WARD 4</t>
        </is>
      </c>
    </row>
    <row r="438">
      <c r="A438" t="inlineStr">
        <is>
          <t>OH0025403674</t>
        </is>
      </c>
      <c r="B438" t="n">
        <v>78</v>
      </c>
      <c r="C438" t="n">
        <v>444183</v>
      </c>
      <c r="D438" t="inlineStr">
        <is>
          <t>DUECASTER</t>
        </is>
      </c>
      <c r="E438" t="inlineStr">
        <is>
          <t>PHILLIP</t>
        </is>
      </c>
      <c r="F438">
        <f>CONCATENATE(D438," ",LEFT(H438,4),"T=",AU438,"D=",AV438,"R=",AW438,"M=",AX438,"L=",AY438,"B=",AZ438)</f>
        <v/>
      </c>
      <c r="G438" t="inlineStr">
        <is>
          <t>C</t>
        </is>
      </c>
      <c r="I438" t="inlineStr">
        <is>
          <t>1973-03-31</t>
        </is>
      </c>
      <c r="J438" t="inlineStr">
        <is>
          <t>2020-02-12</t>
        </is>
      </c>
      <c r="K438" t="inlineStr">
        <is>
          <t>ACTIVE</t>
        </is>
      </c>
      <c r="M438" t="inlineStr">
        <is>
          <t>306 BONNIE BRAE AVE SE</t>
        </is>
      </c>
      <c r="N438">
        <f>RIGHT(M438,LEN(M438)-FIND(" ",M438))</f>
        <v/>
      </c>
      <c r="P438" t="inlineStr">
        <is>
          <t>WARREN</t>
        </is>
      </c>
      <c r="Q438" t="inlineStr">
        <is>
          <t>OH</t>
        </is>
      </c>
      <c r="R438" t="n">
        <v>44484</v>
      </c>
      <c r="AD438" t="inlineStr">
        <is>
          <t>TRUMBULL CAREER &amp; TECH CENTER</t>
        </is>
      </c>
      <c r="AE438" t="inlineStr">
        <is>
          <t>WARREN CITY</t>
        </is>
      </c>
      <c r="AF438" t="inlineStr">
        <is>
          <t>WARREN CITY SD</t>
        </is>
      </c>
      <c r="AH438" t="n">
        <v>14</v>
      </c>
      <c r="AI438" t="n">
        <v>11</v>
      </c>
      <c r="AN438" t="inlineStr">
        <is>
          <t>WARREN</t>
        </is>
      </c>
      <c r="AO438" t="inlineStr">
        <is>
          <t>WARREN CITY 4A</t>
        </is>
      </c>
      <c r="AP438" t="inlineStr">
        <is>
          <t>78-P-ADI</t>
        </is>
      </c>
      <c r="AQ438" t="n">
        <v>9</v>
      </c>
      <c r="AR438" t="n">
        <v>64</v>
      </c>
      <c r="AS438" t="n">
        <v>32</v>
      </c>
      <c r="AU438">
        <f>COUNTA($BA$438:$EH$438)</f>
        <v/>
      </c>
      <c r="AV438">
        <f>COUNTIF($BA$438:$EH$438,"D")</f>
        <v/>
      </c>
      <c r="AW438">
        <f>COUNTIF($BA$438:$EH$438,"R")</f>
        <v/>
      </c>
      <c r="AX438">
        <f>IF(BN438="D",1,0)+IF(BO438="D",1,0)+IF(BT438="D",1,0)+IF(BU438="D",1,0)+IF(BW438="D",1,0)+IF(CC438="D",1,0)+IF(CD438="D",1,0)+IF(CE438="D",1,0)+IF(CF438="D",1,0)+IF(CL438="D",1,0)+IF(CM438="D",1,0)+IF(CQ438="D",1,0)+IF(CR438="D",1,0)+IF(CS438="D",1,0)+IF(CW438="D",1,0)+IF(CX438="D",1,0)+IF(DD438="D",1,0)+IF(DE438="D",1,0)+IF(DJ438="D",1,0)+IF(DK438="D",1,0)+IF(DO438="D",1,0)+IF(DP438="D",1,0)+IF(DQ438="D",1,0)+IF(DW438="D",1,0)+IF(DZ438="D",1,0)+IF(EH438="D",1,0)</f>
        <v/>
      </c>
      <c r="AY438">
        <f>IF(DJ438&lt;&gt;"",1,0)+IF(DK438&lt;&gt;"",1,0)+IF(DM438&lt;&gt;"",1,0)+IF(DO438&lt;&gt;"",1,0)+IF(DP438&lt;&gt;"",1,0)+IF(DQ438&lt;&gt;"",1,0)+IF(DS438&lt;&gt;"",1,0)+IF(DT438&lt;&gt;"",1,0)+IF(DV438&lt;&gt;"",1,0)+IF(DW438&lt;&gt;"",1,0)+IF(DX438&lt;&gt;"",1,0)+IF(DY438&lt;&gt;"",1,0)+IF(DZ438&lt;&gt;"",1,0)+IF(EB438&lt;&gt;"",1,0)+IF(EC438&lt;&gt;"",1,0)+IF(ED438&lt;&gt;"",1,0)+IF(EG438&lt;&gt;"",1,0)+IF(EH438&lt;&gt;"",1,0)</f>
        <v/>
      </c>
      <c r="AZ438">
        <f>IF(EH438&lt;&gt;"",1,0)</f>
        <v/>
      </c>
      <c r="BB438" t="inlineStr">
        <is>
          <t>WARREN-WARD 4</t>
        </is>
      </c>
      <c r="DN438" t="inlineStr">
        <is>
          <t>X</t>
        </is>
      </c>
      <c r="DU438" t="inlineStr">
        <is>
          <t>X</t>
        </is>
      </c>
    </row>
    <row r="439">
      <c r="A439" t="inlineStr">
        <is>
          <t>OH0027527045</t>
        </is>
      </c>
      <c r="B439" t="n">
        <v>78</v>
      </c>
      <c r="C439" t="n">
        <v>487901</v>
      </c>
      <c r="D439" t="inlineStr">
        <is>
          <t>WILLIAMS</t>
        </is>
      </c>
      <c r="E439" t="inlineStr">
        <is>
          <t>DARRELLE</t>
        </is>
      </c>
      <c r="F439">
        <f>CONCATENATE(D439," ",LEFT(H439,4),"T=",AU439,"D=",AV439,"R=",AW439,"M=",AX439,"L=",AY439,"B=",AZ439)</f>
        <v/>
      </c>
      <c r="G439" t="inlineStr">
        <is>
          <t>L</t>
        </is>
      </c>
      <c r="I439" t="inlineStr">
        <is>
          <t>1991-04-20</t>
        </is>
      </c>
      <c r="J439" t="inlineStr">
        <is>
          <t>2024-08-12</t>
        </is>
      </c>
      <c r="K439" t="inlineStr">
        <is>
          <t>ACTIVE</t>
        </is>
      </c>
      <c r="M439" t="inlineStr">
        <is>
          <t>760 WOODBINE AVE SE</t>
        </is>
      </c>
      <c r="N439">
        <f>RIGHT(M439,LEN(M439)-FIND(" ",M439))</f>
        <v/>
      </c>
      <c r="P439" t="inlineStr">
        <is>
          <t>WARREN</t>
        </is>
      </c>
      <c r="Q439" t="inlineStr">
        <is>
          <t>OH</t>
        </is>
      </c>
      <c r="R439" t="n">
        <v>44484</v>
      </c>
      <c r="AD439" t="inlineStr">
        <is>
          <t>TRUMBULL CAREER &amp; TECH CENTER</t>
        </is>
      </c>
      <c r="AE439" t="inlineStr">
        <is>
          <t>WARREN CITY</t>
        </is>
      </c>
      <c r="AF439" t="inlineStr">
        <is>
          <t>WARREN CITY SD</t>
        </is>
      </c>
      <c r="AH439" t="n">
        <v>14</v>
      </c>
      <c r="AI439" t="n">
        <v>11</v>
      </c>
      <c r="AN439" t="inlineStr">
        <is>
          <t>WARREN</t>
        </is>
      </c>
      <c r="AO439" t="inlineStr">
        <is>
          <t>WARREN CITY 4A</t>
        </is>
      </c>
      <c r="AP439" t="inlineStr">
        <is>
          <t>78-P-ADI</t>
        </is>
      </c>
      <c r="AQ439" t="n">
        <v>9</v>
      </c>
      <c r="AR439" t="n">
        <v>64</v>
      </c>
      <c r="AS439" t="n">
        <v>32</v>
      </c>
      <c r="AU439">
        <f>COUNTA($BA$439:$EH$439)</f>
        <v/>
      </c>
      <c r="AV439">
        <f>COUNTIF($BA$439:$EH$439,"D")</f>
        <v/>
      </c>
      <c r="AW439">
        <f>COUNTIF($BA$439:$EH$439,"R")</f>
        <v/>
      </c>
      <c r="AX439">
        <f>IF(BN439="D",1,0)+IF(BO439="D",1,0)+IF(BT439="D",1,0)+IF(BU439="D",1,0)+IF(BW439="D",1,0)+IF(CC439="D",1,0)+IF(CD439="D",1,0)+IF(CE439="D",1,0)+IF(CF439="D",1,0)+IF(CL439="D",1,0)+IF(CM439="D",1,0)+IF(CQ439="D",1,0)+IF(CR439="D",1,0)+IF(CS439="D",1,0)+IF(CW439="D",1,0)+IF(CX439="D",1,0)+IF(DD439="D",1,0)+IF(DE439="D",1,0)+IF(DJ439="D",1,0)+IF(DK439="D",1,0)+IF(DO439="D",1,0)+IF(DP439="D",1,0)+IF(DQ439="D",1,0)+IF(DW439="D",1,0)+IF(DZ439="D",1,0)+IF(EH439="D",1,0)</f>
        <v/>
      </c>
      <c r="AY439">
        <f>IF(DJ439&lt;&gt;"",1,0)+IF(DK439&lt;&gt;"",1,0)+IF(DM439&lt;&gt;"",1,0)+IF(DO439&lt;&gt;"",1,0)+IF(DP439&lt;&gt;"",1,0)+IF(DQ439&lt;&gt;"",1,0)+IF(DS439&lt;&gt;"",1,0)+IF(DT439&lt;&gt;"",1,0)+IF(DV439&lt;&gt;"",1,0)+IF(DW439&lt;&gt;"",1,0)+IF(DX439&lt;&gt;"",1,0)+IF(DY439&lt;&gt;"",1,0)+IF(DZ439&lt;&gt;"",1,0)+IF(EB439&lt;&gt;"",1,0)+IF(EC439&lt;&gt;"",1,0)+IF(ED439&lt;&gt;"",1,0)+IF(EG439&lt;&gt;"",1,0)+IF(EH439&lt;&gt;"",1,0)</f>
        <v/>
      </c>
      <c r="AZ439">
        <f>IF(EH439&lt;&gt;"",1,0)</f>
        <v/>
      </c>
      <c r="BB439" t="inlineStr">
        <is>
          <t>WARREN-WARD 4</t>
        </is>
      </c>
      <c r="CP439" t="inlineStr">
        <is>
          <t>X</t>
        </is>
      </c>
    </row>
    <row r="440">
      <c r="A440" t="inlineStr">
        <is>
          <t>OH0023639695</t>
        </is>
      </c>
      <c r="B440" t="n">
        <v>78</v>
      </c>
      <c r="C440" t="n">
        <v>415615</v>
      </c>
      <c r="D440" t="inlineStr">
        <is>
          <t>PEARSON</t>
        </is>
      </c>
      <c r="E440" t="inlineStr">
        <is>
          <t>MELISSA</t>
        </is>
      </c>
      <c r="F440">
        <f>CONCATENATE(D440," ",LEFT(H440,4),"T=",AU440,"D=",AV440,"R=",AW440,"M=",AX440,"L=",AY440,"B=",AZ440)</f>
        <v/>
      </c>
      <c r="G440" t="inlineStr">
        <is>
          <t>SUE</t>
        </is>
      </c>
      <c r="I440" t="inlineStr">
        <is>
          <t>1989-06-23</t>
        </is>
      </c>
      <c r="J440" t="inlineStr">
        <is>
          <t>2020-02-18</t>
        </is>
      </c>
      <c r="K440" t="inlineStr">
        <is>
          <t>ACTIVE</t>
        </is>
      </c>
      <c r="M440" t="inlineStr">
        <is>
          <t>437 BONNIE BRAE AVE SE</t>
        </is>
      </c>
      <c r="N440">
        <f>RIGHT(M440,LEN(M440)-FIND(" ",M440))</f>
        <v/>
      </c>
      <c r="P440" t="inlineStr">
        <is>
          <t>WARREN</t>
        </is>
      </c>
      <c r="Q440" t="inlineStr">
        <is>
          <t>OH</t>
        </is>
      </c>
      <c r="R440" t="n">
        <v>44484</v>
      </c>
      <c r="AD440" t="inlineStr">
        <is>
          <t>TRUMBULL CAREER &amp; TECH CENTER</t>
        </is>
      </c>
      <c r="AE440" t="inlineStr">
        <is>
          <t>WARREN CITY</t>
        </is>
      </c>
      <c r="AF440" t="inlineStr">
        <is>
          <t>WARREN CITY SD</t>
        </is>
      </c>
      <c r="AH440" t="n">
        <v>14</v>
      </c>
      <c r="AI440" t="n">
        <v>11</v>
      </c>
      <c r="AN440" t="inlineStr">
        <is>
          <t>WARREN</t>
        </is>
      </c>
      <c r="AO440" t="inlineStr">
        <is>
          <t>WARREN CITY 4A</t>
        </is>
      </c>
      <c r="AP440" t="inlineStr">
        <is>
          <t>78-P-ADI</t>
        </is>
      </c>
      <c r="AQ440" t="n">
        <v>9</v>
      </c>
      <c r="AR440" t="n">
        <v>64</v>
      </c>
      <c r="AS440" t="n">
        <v>32</v>
      </c>
      <c r="AU440">
        <f>COUNTA($BA$440:$EH$440)</f>
        <v/>
      </c>
      <c r="AV440">
        <f>COUNTIF($BA$440:$EH$440,"D")</f>
        <v/>
      </c>
      <c r="AW440">
        <f>COUNTIF($BA$440:$EH$440,"R")</f>
        <v/>
      </c>
      <c r="AX440">
        <f>IF(BN440="D",1,0)+IF(BO440="D",1,0)+IF(BT440="D",1,0)+IF(BU440="D",1,0)+IF(BW440="D",1,0)+IF(CC440="D",1,0)+IF(CD440="D",1,0)+IF(CE440="D",1,0)+IF(CF440="D",1,0)+IF(CL440="D",1,0)+IF(CM440="D",1,0)+IF(CQ440="D",1,0)+IF(CR440="D",1,0)+IF(CS440="D",1,0)+IF(CW440="D",1,0)+IF(CX440="D",1,0)+IF(DD440="D",1,0)+IF(DE440="D",1,0)+IF(DJ440="D",1,0)+IF(DK440="D",1,0)+IF(DO440="D",1,0)+IF(DP440="D",1,0)+IF(DQ440="D",1,0)+IF(DW440="D",1,0)+IF(DZ440="D",1,0)+IF(EH440="D",1,0)</f>
        <v/>
      </c>
      <c r="AY440">
        <f>IF(DJ440&lt;&gt;"",1,0)+IF(DK440&lt;&gt;"",1,0)+IF(DM440&lt;&gt;"",1,0)+IF(DO440&lt;&gt;"",1,0)+IF(DP440&lt;&gt;"",1,0)+IF(DQ440&lt;&gt;"",1,0)+IF(DS440&lt;&gt;"",1,0)+IF(DT440&lt;&gt;"",1,0)+IF(DV440&lt;&gt;"",1,0)+IF(DW440&lt;&gt;"",1,0)+IF(DX440&lt;&gt;"",1,0)+IF(DY440&lt;&gt;"",1,0)+IF(DZ440&lt;&gt;"",1,0)+IF(EB440&lt;&gt;"",1,0)+IF(EC440&lt;&gt;"",1,0)+IF(ED440&lt;&gt;"",1,0)+IF(EG440&lt;&gt;"",1,0)+IF(EH440&lt;&gt;"",1,0)</f>
        <v/>
      </c>
      <c r="AZ440">
        <f>IF(EH440&lt;&gt;"",1,0)</f>
        <v/>
      </c>
      <c r="BB440" t="inlineStr">
        <is>
          <t>WARREN-WARD 4</t>
        </is>
      </c>
      <c r="DC440" t="inlineStr">
        <is>
          <t>X</t>
        </is>
      </c>
      <c r="DI440" t="inlineStr">
        <is>
          <t>X</t>
        </is>
      </c>
      <c r="DL440" t="inlineStr">
        <is>
          <t>X</t>
        </is>
      </c>
      <c r="DM440" t="inlineStr">
        <is>
          <t>D</t>
        </is>
      </c>
      <c r="DN440" t="inlineStr">
        <is>
          <t>X</t>
        </is>
      </c>
      <c r="DU440" t="inlineStr">
        <is>
          <t>X</t>
        </is>
      </c>
      <c r="EA440" t="inlineStr">
        <is>
          <t>X</t>
        </is>
      </c>
      <c r="EF440" t="inlineStr">
        <is>
          <t>X</t>
        </is>
      </c>
    </row>
    <row r="441">
      <c r="A441" t="inlineStr">
        <is>
          <t>OH0027595808</t>
        </is>
      </c>
      <c r="B441" t="n">
        <v>78</v>
      </c>
      <c r="C441" t="n">
        <v>489041</v>
      </c>
      <c r="D441" t="inlineStr">
        <is>
          <t>SMITH</t>
        </is>
      </c>
      <c r="E441" t="inlineStr">
        <is>
          <t>LESTER</t>
        </is>
      </c>
      <c r="F441">
        <f>CONCATENATE(D441," ",LEFT(H441,4),"T=",AU441,"D=",AV441,"R=",AW441,"M=",AX441,"L=",AY441,"B=",AZ441)</f>
        <v/>
      </c>
      <c r="G441" t="inlineStr">
        <is>
          <t>H</t>
        </is>
      </c>
      <c r="I441" t="inlineStr">
        <is>
          <t>1986-12-14</t>
        </is>
      </c>
      <c r="J441" t="inlineStr">
        <is>
          <t>2024-09-12</t>
        </is>
      </c>
      <c r="K441" t="inlineStr">
        <is>
          <t>ACTIVE</t>
        </is>
      </c>
      <c r="M441" t="inlineStr">
        <is>
          <t>1208 GRANT ST SE</t>
        </is>
      </c>
      <c r="N441">
        <f>RIGHT(M441,LEN(M441)-FIND(" ",M441))</f>
        <v/>
      </c>
      <c r="P441" t="inlineStr">
        <is>
          <t>WARREN</t>
        </is>
      </c>
      <c r="Q441" t="inlineStr">
        <is>
          <t>OH</t>
        </is>
      </c>
      <c r="R441" t="n">
        <v>44483</v>
      </c>
      <c r="AD441" t="inlineStr">
        <is>
          <t>TRUMBULL CAREER &amp; TECH CENTER</t>
        </is>
      </c>
      <c r="AE441" t="inlineStr">
        <is>
          <t>WARREN CITY</t>
        </is>
      </c>
      <c r="AF441" t="inlineStr">
        <is>
          <t>WARREN CITY SD</t>
        </is>
      </c>
      <c r="AH441" t="n">
        <v>14</v>
      </c>
      <c r="AI441" t="n">
        <v>11</v>
      </c>
      <c r="AN441" t="inlineStr">
        <is>
          <t>WARREN</t>
        </is>
      </c>
      <c r="AO441" t="inlineStr">
        <is>
          <t>WARREN CITY 4A</t>
        </is>
      </c>
      <c r="AP441" t="inlineStr">
        <is>
          <t>78-P-ADI</t>
        </is>
      </c>
      <c r="AQ441" t="n">
        <v>9</v>
      </c>
      <c r="AR441" t="n">
        <v>64</v>
      </c>
      <c r="AS441" t="n">
        <v>32</v>
      </c>
      <c r="AU441">
        <f>COUNTA($BA$441:$EH$441)</f>
        <v/>
      </c>
      <c r="AV441">
        <f>COUNTIF($BA$441:$EH$441,"D")</f>
        <v/>
      </c>
      <c r="AW441">
        <f>COUNTIF($BA$441:$EH$441,"R")</f>
        <v/>
      </c>
      <c r="AX441">
        <f>IF(BN441="D",1,0)+IF(BO441="D",1,0)+IF(BT441="D",1,0)+IF(BU441="D",1,0)+IF(BW441="D",1,0)+IF(CC441="D",1,0)+IF(CD441="D",1,0)+IF(CE441="D",1,0)+IF(CF441="D",1,0)+IF(CL441="D",1,0)+IF(CM441="D",1,0)+IF(CQ441="D",1,0)+IF(CR441="D",1,0)+IF(CS441="D",1,0)+IF(CW441="D",1,0)+IF(CX441="D",1,0)+IF(DD441="D",1,0)+IF(DE441="D",1,0)+IF(DJ441="D",1,0)+IF(DK441="D",1,0)+IF(DO441="D",1,0)+IF(DP441="D",1,0)+IF(DQ441="D",1,0)+IF(DW441="D",1,0)+IF(DZ441="D",1,0)+IF(EH441="D",1,0)</f>
        <v/>
      </c>
      <c r="AY441">
        <f>IF(DJ441&lt;&gt;"",1,0)+IF(DK441&lt;&gt;"",1,0)+IF(DM441&lt;&gt;"",1,0)+IF(DO441&lt;&gt;"",1,0)+IF(DP441&lt;&gt;"",1,0)+IF(DQ441&lt;&gt;"",1,0)+IF(DS441&lt;&gt;"",1,0)+IF(DT441&lt;&gt;"",1,0)+IF(DV441&lt;&gt;"",1,0)+IF(DW441&lt;&gt;"",1,0)+IF(DX441&lt;&gt;"",1,0)+IF(DY441&lt;&gt;"",1,0)+IF(DZ441&lt;&gt;"",1,0)+IF(EB441&lt;&gt;"",1,0)+IF(EC441&lt;&gt;"",1,0)+IF(ED441&lt;&gt;"",1,0)+IF(EG441&lt;&gt;"",1,0)+IF(EH441&lt;&gt;"",1,0)</f>
        <v/>
      </c>
      <c r="AZ441">
        <f>IF(EH441&lt;&gt;"",1,0)</f>
        <v/>
      </c>
      <c r="BB441" t="inlineStr">
        <is>
          <t>WARREN-WARD 4</t>
        </is>
      </c>
      <c r="BY441" t="inlineStr">
        <is>
          <t>D</t>
        </is>
      </c>
      <c r="CA441" t="inlineStr">
        <is>
          <t>X</t>
        </is>
      </c>
      <c r="CC441" t="inlineStr">
        <is>
          <t>X</t>
        </is>
      </c>
      <c r="CK441" t="inlineStr">
        <is>
          <t>X</t>
        </is>
      </c>
      <c r="EF441" t="inlineStr">
        <is>
          <t>X</t>
        </is>
      </c>
    </row>
    <row r="442">
      <c r="A442" t="inlineStr">
        <is>
          <t>OH0015685815</t>
        </is>
      </c>
      <c r="B442" t="n">
        <v>78</v>
      </c>
      <c r="C442" t="n">
        <v>12326</v>
      </c>
      <c r="D442" t="inlineStr">
        <is>
          <t>CHELSTOWSKI</t>
        </is>
      </c>
      <c r="E442" t="inlineStr">
        <is>
          <t>DANIEL</t>
        </is>
      </c>
      <c r="F442">
        <f>CONCATENATE(D442," ",LEFT(H442,4),"T=",AU442,"D=",AV442,"R=",AW442,"M=",AX442,"L=",AY442,"B=",AZ442)</f>
        <v/>
      </c>
      <c r="G442" t="inlineStr">
        <is>
          <t>J</t>
        </is>
      </c>
      <c r="I442" t="inlineStr">
        <is>
          <t>1946-11-02</t>
        </is>
      </c>
      <c r="J442" t="inlineStr">
        <is>
          <t>1972-02-17</t>
        </is>
      </c>
      <c r="K442" t="inlineStr">
        <is>
          <t>CONFIRMATION</t>
        </is>
      </c>
      <c r="M442" t="inlineStr">
        <is>
          <t>335 OAK KNOLL AVE SE</t>
        </is>
      </c>
      <c r="N442">
        <f>RIGHT(M442,LEN(M442)-FIND(" ",M442))</f>
        <v/>
      </c>
      <c r="P442" t="inlineStr">
        <is>
          <t>WARREN</t>
        </is>
      </c>
      <c r="Q442" t="inlineStr">
        <is>
          <t>OH</t>
        </is>
      </c>
      <c r="R442" t="n">
        <v>44483</v>
      </c>
      <c r="AD442" t="inlineStr">
        <is>
          <t>TRUMBULL CAREER &amp; TECH CENTER</t>
        </is>
      </c>
      <c r="AE442" t="inlineStr">
        <is>
          <t>WARREN CITY</t>
        </is>
      </c>
      <c r="AF442" t="inlineStr">
        <is>
          <t>WARREN CITY SD</t>
        </is>
      </c>
      <c r="AH442" t="n">
        <v>14</v>
      </c>
      <c r="AI442" t="n">
        <v>11</v>
      </c>
      <c r="AN442" t="inlineStr">
        <is>
          <t>WARREN</t>
        </is>
      </c>
      <c r="AO442" t="inlineStr">
        <is>
          <t>WARREN CITY 4A</t>
        </is>
      </c>
      <c r="AP442" t="inlineStr">
        <is>
          <t>78-P-ADI</t>
        </is>
      </c>
      <c r="AQ442" t="n">
        <v>9</v>
      </c>
      <c r="AR442" t="n">
        <v>64</v>
      </c>
      <c r="AS442" t="n">
        <v>32</v>
      </c>
      <c r="AU442">
        <f>COUNTA($BA$442:$EH$442)</f>
        <v/>
      </c>
      <c r="AV442">
        <f>COUNTIF($BA$442:$EH$442,"D")</f>
        <v/>
      </c>
      <c r="AW442">
        <f>COUNTIF($BA$442:$EH$442,"R")</f>
        <v/>
      </c>
      <c r="AX442">
        <f>IF(BN442="D",1,0)+IF(BO442="D",1,0)+IF(BT442="D",1,0)+IF(BU442="D",1,0)+IF(BW442="D",1,0)+IF(CC442="D",1,0)+IF(CD442="D",1,0)+IF(CE442="D",1,0)+IF(CF442="D",1,0)+IF(CL442="D",1,0)+IF(CM442="D",1,0)+IF(CQ442="D",1,0)+IF(CR442="D",1,0)+IF(CS442="D",1,0)+IF(CW442="D",1,0)+IF(CX442="D",1,0)+IF(DD442="D",1,0)+IF(DE442="D",1,0)+IF(DJ442="D",1,0)+IF(DK442="D",1,0)+IF(DO442="D",1,0)+IF(DP442="D",1,0)+IF(DQ442="D",1,0)+IF(DW442="D",1,0)+IF(DZ442="D",1,0)+IF(EH442="D",1,0)</f>
        <v/>
      </c>
      <c r="AY442">
        <f>IF(DJ442&lt;&gt;"",1,0)+IF(DK442&lt;&gt;"",1,0)+IF(DM442&lt;&gt;"",1,0)+IF(DO442&lt;&gt;"",1,0)+IF(DP442&lt;&gt;"",1,0)+IF(DQ442&lt;&gt;"",1,0)+IF(DS442&lt;&gt;"",1,0)+IF(DT442&lt;&gt;"",1,0)+IF(DV442&lt;&gt;"",1,0)+IF(DW442&lt;&gt;"",1,0)+IF(DX442&lt;&gt;"",1,0)+IF(DY442&lt;&gt;"",1,0)+IF(DZ442&lt;&gt;"",1,0)+IF(EB442&lt;&gt;"",1,0)+IF(EC442&lt;&gt;"",1,0)+IF(ED442&lt;&gt;"",1,0)+IF(EG442&lt;&gt;"",1,0)+IF(EH442&lt;&gt;"",1,0)</f>
        <v/>
      </c>
      <c r="AZ442">
        <f>IF(EH442&lt;&gt;"",1,0)</f>
        <v/>
      </c>
      <c r="BB442" t="inlineStr">
        <is>
          <t>WARREN-WARD 4</t>
        </is>
      </c>
      <c r="BC442" t="inlineStr">
        <is>
          <t>X</t>
        </is>
      </c>
      <c r="BD442" t="inlineStr">
        <is>
          <t>X</t>
        </is>
      </c>
      <c r="BE442" t="inlineStr">
        <is>
          <t>X</t>
        </is>
      </c>
      <c r="BF442" t="inlineStr">
        <is>
          <t>X</t>
        </is>
      </c>
      <c r="BH442" t="inlineStr">
        <is>
          <t>X</t>
        </is>
      </c>
      <c r="BI442" t="inlineStr">
        <is>
          <t>X</t>
        </is>
      </c>
      <c r="BJ442" t="inlineStr">
        <is>
          <t>X</t>
        </is>
      </c>
      <c r="BK442" t="inlineStr">
        <is>
          <t>X</t>
        </is>
      </c>
      <c r="BL442" t="inlineStr">
        <is>
          <t>X</t>
        </is>
      </c>
      <c r="BP442" t="inlineStr">
        <is>
          <t>X</t>
        </is>
      </c>
      <c r="BR442" t="inlineStr">
        <is>
          <t>X</t>
        </is>
      </c>
      <c r="BS442" t="inlineStr">
        <is>
          <t>X</t>
        </is>
      </c>
      <c r="BV442" t="inlineStr">
        <is>
          <t>X</t>
        </is>
      </c>
      <c r="BY442" t="inlineStr">
        <is>
          <t>D</t>
        </is>
      </c>
      <c r="CA442" t="inlineStr">
        <is>
          <t>X</t>
        </is>
      </c>
      <c r="CG442" t="inlineStr">
        <is>
          <t>X</t>
        </is>
      </c>
      <c r="CH442" t="inlineStr">
        <is>
          <t>D</t>
        </is>
      </c>
      <c r="CK442" t="inlineStr">
        <is>
          <t>X</t>
        </is>
      </c>
      <c r="CL442" t="inlineStr">
        <is>
          <t>D</t>
        </is>
      </c>
      <c r="CN442" t="inlineStr">
        <is>
          <t>X</t>
        </is>
      </c>
      <c r="CO442" t="inlineStr">
        <is>
          <t>D</t>
        </is>
      </c>
      <c r="CP442" t="inlineStr">
        <is>
          <t>X</t>
        </is>
      </c>
      <c r="CV442" t="inlineStr">
        <is>
          <t>X</t>
        </is>
      </c>
      <c r="CW442" t="inlineStr">
        <is>
          <t>D</t>
        </is>
      </c>
      <c r="CY442" t="inlineStr">
        <is>
          <t>X</t>
        </is>
      </c>
      <c r="CZ442" t="inlineStr">
        <is>
          <t>R</t>
        </is>
      </c>
      <c r="DC442" t="inlineStr">
        <is>
          <t>X</t>
        </is>
      </c>
      <c r="DF442" t="inlineStr">
        <is>
          <t>X</t>
        </is>
      </c>
      <c r="DG442" t="inlineStr">
        <is>
          <t>D</t>
        </is>
      </c>
      <c r="DI442" t="inlineStr">
        <is>
          <t>X</t>
        </is>
      </c>
      <c r="DL442" t="inlineStr">
        <is>
          <t>X</t>
        </is>
      </c>
      <c r="DM442" t="inlineStr">
        <is>
          <t>D</t>
        </is>
      </c>
      <c r="DN442" t="inlineStr">
        <is>
          <t>X</t>
        </is>
      </c>
    </row>
    <row r="443">
      <c r="A443" t="inlineStr">
        <is>
          <t>OH0026283242</t>
        </is>
      </c>
      <c r="B443" t="n">
        <v>78</v>
      </c>
      <c r="C443" t="n">
        <v>459605</v>
      </c>
      <c r="D443" t="inlineStr">
        <is>
          <t>MARINO</t>
        </is>
      </c>
      <c r="E443" t="inlineStr">
        <is>
          <t>GUY</t>
        </is>
      </c>
      <c r="F443">
        <f>CONCATENATE(D443," ",LEFT(H443,4),"T=",AU443,"D=",AV443,"R=",AW443,"M=",AX443,"L=",AY443,"B=",AZ443)</f>
        <v/>
      </c>
      <c r="H443" t="inlineStr">
        <is>
          <t>JR</t>
        </is>
      </c>
      <c r="I443" t="inlineStr">
        <is>
          <t>1964-07-08</t>
        </is>
      </c>
      <c r="J443" t="inlineStr">
        <is>
          <t>2021-11-08</t>
        </is>
      </c>
      <c r="K443" t="inlineStr">
        <is>
          <t>CONFIRMATION</t>
        </is>
      </c>
      <c r="M443" t="inlineStr">
        <is>
          <t>1243 SOUTH ST SE</t>
        </is>
      </c>
      <c r="N443">
        <f>RIGHT(M443,LEN(M443)-FIND(" ",M443))</f>
        <v/>
      </c>
      <c r="P443" t="inlineStr">
        <is>
          <t>WARREN</t>
        </is>
      </c>
      <c r="Q443" t="inlineStr">
        <is>
          <t>OH</t>
        </is>
      </c>
      <c r="R443" t="n">
        <v>44483</v>
      </c>
      <c r="AD443" t="inlineStr">
        <is>
          <t>TRUMBULL CAREER &amp; TECH CENTER</t>
        </is>
      </c>
      <c r="AE443" t="inlineStr">
        <is>
          <t>WARREN CITY</t>
        </is>
      </c>
      <c r="AF443" t="inlineStr">
        <is>
          <t>WARREN CITY SD</t>
        </is>
      </c>
      <c r="AH443" t="n">
        <v>14</v>
      </c>
      <c r="AI443" t="n">
        <v>11</v>
      </c>
      <c r="AN443" t="inlineStr">
        <is>
          <t>WARREN</t>
        </is>
      </c>
      <c r="AO443" t="inlineStr">
        <is>
          <t>WARREN CITY 4A</t>
        </is>
      </c>
      <c r="AP443" t="inlineStr">
        <is>
          <t>78-P-ADI</t>
        </is>
      </c>
      <c r="AQ443" t="n">
        <v>9</v>
      </c>
      <c r="AR443" t="n">
        <v>64</v>
      </c>
      <c r="AS443" t="n">
        <v>32</v>
      </c>
      <c r="AU443">
        <f>COUNTA($BA$443:$EH$443)</f>
        <v/>
      </c>
      <c r="AV443">
        <f>COUNTIF($BA$443:$EH$443,"D")</f>
        <v/>
      </c>
      <c r="AW443">
        <f>COUNTIF($BA$443:$EH$443,"R")</f>
        <v/>
      </c>
      <c r="AX443">
        <f>IF(BN443="D",1,0)+IF(BO443="D",1,0)+IF(BT443="D",1,0)+IF(BU443="D",1,0)+IF(BW443="D",1,0)+IF(CC443="D",1,0)+IF(CD443="D",1,0)+IF(CE443="D",1,0)+IF(CF443="D",1,0)+IF(CL443="D",1,0)+IF(CM443="D",1,0)+IF(CQ443="D",1,0)+IF(CR443="D",1,0)+IF(CS443="D",1,0)+IF(CW443="D",1,0)+IF(CX443="D",1,0)+IF(DD443="D",1,0)+IF(DE443="D",1,0)+IF(DJ443="D",1,0)+IF(DK443="D",1,0)+IF(DO443="D",1,0)+IF(DP443="D",1,0)+IF(DQ443="D",1,0)+IF(DW443="D",1,0)+IF(DZ443="D",1,0)+IF(EH443="D",1,0)</f>
        <v/>
      </c>
      <c r="AY443">
        <f>IF(DJ443&lt;&gt;"",1,0)+IF(DK443&lt;&gt;"",1,0)+IF(DM443&lt;&gt;"",1,0)+IF(DO443&lt;&gt;"",1,0)+IF(DP443&lt;&gt;"",1,0)+IF(DQ443&lt;&gt;"",1,0)+IF(DS443&lt;&gt;"",1,0)+IF(DT443&lt;&gt;"",1,0)+IF(DV443&lt;&gt;"",1,0)+IF(DW443&lt;&gt;"",1,0)+IF(DX443&lt;&gt;"",1,0)+IF(DY443&lt;&gt;"",1,0)+IF(DZ443&lt;&gt;"",1,0)+IF(EB443&lt;&gt;"",1,0)+IF(EC443&lt;&gt;"",1,0)+IF(ED443&lt;&gt;"",1,0)+IF(EG443&lt;&gt;"",1,0)+IF(EH443&lt;&gt;"",1,0)</f>
        <v/>
      </c>
      <c r="AZ443">
        <f>IF(EH443&lt;&gt;"",1,0)</f>
        <v/>
      </c>
      <c r="BB443" t="inlineStr">
        <is>
          <t>WARREN-WARD 4</t>
        </is>
      </c>
      <c r="BD443" t="inlineStr">
        <is>
          <t>X</t>
        </is>
      </c>
      <c r="BL443" t="inlineStr">
        <is>
          <t>X</t>
        </is>
      </c>
      <c r="BP443" t="inlineStr">
        <is>
          <t>X</t>
        </is>
      </c>
      <c r="BS443" t="inlineStr">
        <is>
          <t>X</t>
        </is>
      </c>
      <c r="BY443" t="inlineStr">
        <is>
          <t>R</t>
        </is>
      </c>
      <c r="CA443" t="inlineStr">
        <is>
          <t>X</t>
        </is>
      </c>
      <c r="CH443" t="inlineStr">
        <is>
          <t>R</t>
        </is>
      </c>
      <c r="CK443" t="inlineStr">
        <is>
          <t>X</t>
        </is>
      </c>
      <c r="CP443" t="inlineStr">
        <is>
          <t>X</t>
        </is>
      </c>
      <c r="CQ443" t="inlineStr">
        <is>
          <t>X</t>
        </is>
      </c>
    </row>
    <row r="444">
      <c r="A444" t="inlineStr">
        <is>
          <t>OH0027701264</t>
        </is>
      </c>
      <c r="B444" t="n">
        <v>78</v>
      </c>
      <c r="C444" t="n">
        <v>490760</v>
      </c>
      <c r="D444" t="inlineStr">
        <is>
          <t>SUMMITT</t>
        </is>
      </c>
      <c r="E444" t="inlineStr">
        <is>
          <t>CHRISTOPHER</t>
        </is>
      </c>
      <c r="F444">
        <f>CONCATENATE(D444," ",LEFT(H444,4),"T=",AU444,"D=",AV444,"R=",AW444,"M=",AX444,"L=",AY444,"B=",AZ444)</f>
        <v/>
      </c>
      <c r="G444" t="inlineStr">
        <is>
          <t>JOHN</t>
        </is>
      </c>
      <c r="I444" t="inlineStr">
        <is>
          <t>1972-05-15</t>
        </is>
      </c>
      <c r="J444" t="inlineStr">
        <is>
          <t>2024-10-02</t>
        </is>
      </c>
      <c r="K444" t="inlineStr">
        <is>
          <t>ACTIVE</t>
        </is>
      </c>
      <c r="M444" t="inlineStr">
        <is>
          <t>242 KENILWORTH AVE SE</t>
        </is>
      </c>
      <c r="N444">
        <f>RIGHT(M444,LEN(M444)-FIND(" ",M444))</f>
        <v/>
      </c>
      <c r="P444" t="inlineStr">
        <is>
          <t>WARREN</t>
        </is>
      </c>
      <c r="Q444" t="inlineStr">
        <is>
          <t>OH</t>
        </is>
      </c>
      <c r="R444" t="n">
        <v>44483</v>
      </c>
      <c r="AD444" t="inlineStr">
        <is>
          <t>TRUMBULL CAREER &amp; TECH CENTER</t>
        </is>
      </c>
      <c r="AE444" t="inlineStr">
        <is>
          <t>WARREN CITY</t>
        </is>
      </c>
      <c r="AF444" t="inlineStr">
        <is>
          <t>WARREN CITY SD</t>
        </is>
      </c>
      <c r="AH444" t="n">
        <v>14</v>
      </c>
      <c r="AI444" t="n">
        <v>11</v>
      </c>
      <c r="AN444" t="inlineStr">
        <is>
          <t>WARREN</t>
        </is>
      </c>
      <c r="AO444" t="inlineStr">
        <is>
          <t>WARREN CITY 4A</t>
        </is>
      </c>
      <c r="AP444" t="inlineStr">
        <is>
          <t>78-P-ADI</t>
        </is>
      </c>
      <c r="AQ444" t="n">
        <v>9</v>
      </c>
      <c r="AR444" t="n">
        <v>64</v>
      </c>
      <c r="AS444" t="n">
        <v>32</v>
      </c>
      <c r="AU444">
        <f>COUNTA($BA$444:$EH$444)</f>
        <v/>
      </c>
      <c r="AV444">
        <f>COUNTIF($BA$444:$EH$444,"D")</f>
        <v/>
      </c>
      <c r="AW444">
        <f>COUNTIF($BA$444:$EH$444,"R")</f>
        <v/>
      </c>
      <c r="AX444">
        <f>IF(BN444="D",1,0)+IF(BO444="D",1,0)+IF(BT444="D",1,0)+IF(BU444="D",1,0)+IF(BW444="D",1,0)+IF(CC444="D",1,0)+IF(CD444="D",1,0)+IF(CE444="D",1,0)+IF(CF444="D",1,0)+IF(CL444="D",1,0)+IF(CM444="D",1,0)+IF(CQ444="D",1,0)+IF(CR444="D",1,0)+IF(CS444="D",1,0)+IF(CW444="D",1,0)+IF(CX444="D",1,0)+IF(DD444="D",1,0)+IF(DE444="D",1,0)+IF(DJ444="D",1,0)+IF(DK444="D",1,0)+IF(DO444="D",1,0)+IF(DP444="D",1,0)+IF(DQ444="D",1,0)+IF(DW444="D",1,0)+IF(DZ444="D",1,0)+IF(EH444="D",1,0)</f>
        <v/>
      </c>
      <c r="AY444">
        <f>IF(DJ444&lt;&gt;"",1,0)+IF(DK444&lt;&gt;"",1,0)+IF(DM444&lt;&gt;"",1,0)+IF(DO444&lt;&gt;"",1,0)+IF(DP444&lt;&gt;"",1,0)+IF(DQ444&lt;&gt;"",1,0)+IF(DS444&lt;&gt;"",1,0)+IF(DT444&lt;&gt;"",1,0)+IF(DV444&lt;&gt;"",1,0)+IF(DW444&lt;&gt;"",1,0)+IF(DX444&lt;&gt;"",1,0)+IF(DY444&lt;&gt;"",1,0)+IF(DZ444&lt;&gt;"",1,0)+IF(EB444&lt;&gt;"",1,0)+IF(EC444&lt;&gt;"",1,0)+IF(ED444&lt;&gt;"",1,0)+IF(EG444&lt;&gt;"",1,0)+IF(EH444&lt;&gt;"",1,0)</f>
        <v/>
      </c>
      <c r="AZ444">
        <f>IF(EH444&lt;&gt;"",1,0)</f>
        <v/>
      </c>
      <c r="BB444" t="inlineStr">
        <is>
          <t>WARREN-WARD 4</t>
        </is>
      </c>
      <c r="CP444" t="inlineStr">
        <is>
          <t>X</t>
        </is>
      </c>
      <c r="EF444" t="inlineStr">
        <is>
          <t>X</t>
        </is>
      </c>
    </row>
    <row r="445">
      <c r="A445" t="inlineStr">
        <is>
          <t>OH0015697555</t>
        </is>
      </c>
      <c r="B445" t="n">
        <v>78</v>
      </c>
      <c r="C445" t="n">
        <v>153922</v>
      </c>
      <c r="D445" t="inlineStr">
        <is>
          <t>SMELTZER</t>
        </is>
      </c>
      <c r="E445" t="inlineStr">
        <is>
          <t>GARY</t>
        </is>
      </c>
      <c r="F445">
        <f>CONCATENATE(D445," ",LEFT(H445,4),"T=",AU445,"D=",AV445,"R=",AW445,"M=",AX445,"L=",AY445,"B=",AZ445)</f>
        <v/>
      </c>
      <c r="I445" t="inlineStr">
        <is>
          <t>1965-02-26</t>
        </is>
      </c>
      <c r="J445" t="inlineStr">
        <is>
          <t>2013-04-12</t>
        </is>
      </c>
      <c r="K445" t="inlineStr">
        <is>
          <t>CONFIRMATION</t>
        </is>
      </c>
      <c r="M445" t="inlineStr">
        <is>
          <t>557 OAK KNOLL AVE SE</t>
        </is>
      </c>
      <c r="N445">
        <f>RIGHT(M445,LEN(M445)-FIND(" ",M445))</f>
        <v/>
      </c>
      <c r="P445" t="inlineStr">
        <is>
          <t>WARREN</t>
        </is>
      </c>
      <c r="Q445" t="inlineStr">
        <is>
          <t>OH</t>
        </is>
      </c>
      <c r="R445" t="n">
        <v>44483</v>
      </c>
      <c r="AD445" t="inlineStr">
        <is>
          <t>TRUMBULL CAREER &amp; TECH CENTER</t>
        </is>
      </c>
      <c r="AE445" t="inlineStr">
        <is>
          <t>WARREN CITY</t>
        </is>
      </c>
      <c r="AF445" t="inlineStr">
        <is>
          <t>WARREN CITY SD</t>
        </is>
      </c>
      <c r="AH445" t="n">
        <v>14</v>
      </c>
      <c r="AI445" t="n">
        <v>11</v>
      </c>
      <c r="AN445" t="inlineStr">
        <is>
          <t>WARREN</t>
        </is>
      </c>
      <c r="AO445" t="inlineStr">
        <is>
          <t>WARREN CITY 4A</t>
        </is>
      </c>
      <c r="AP445" t="inlineStr">
        <is>
          <t>78-P-ADI</t>
        </is>
      </c>
      <c r="AQ445" t="n">
        <v>9</v>
      </c>
      <c r="AR445" t="n">
        <v>64</v>
      </c>
      <c r="AS445" t="n">
        <v>32</v>
      </c>
      <c r="AU445">
        <f>COUNTA($BA$445:$EH$445)</f>
        <v/>
      </c>
      <c r="AV445">
        <f>COUNTIF($BA$445:$EH$445,"D")</f>
        <v/>
      </c>
      <c r="AW445">
        <f>COUNTIF($BA$445:$EH$445,"R")</f>
        <v/>
      </c>
      <c r="AX445">
        <f>IF(BN445="D",1,0)+IF(BO445="D",1,0)+IF(BT445="D",1,0)+IF(BU445="D",1,0)+IF(BW445="D",1,0)+IF(CC445="D",1,0)+IF(CD445="D",1,0)+IF(CE445="D",1,0)+IF(CF445="D",1,0)+IF(CL445="D",1,0)+IF(CM445="D",1,0)+IF(CQ445="D",1,0)+IF(CR445="D",1,0)+IF(CS445="D",1,0)+IF(CW445="D",1,0)+IF(CX445="D",1,0)+IF(DD445="D",1,0)+IF(DE445="D",1,0)+IF(DJ445="D",1,0)+IF(DK445="D",1,0)+IF(DO445="D",1,0)+IF(DP445="D",1,0)+IF(DQ445="D",1,0)+IF(DW445="D",1,0)+IF(DZ445="D",1,0)+IF(EH445="D",1,0)</f>
        <v/>
      </c>
      <c r="AY445">
        <f>IF(DJ445&lt;&gt;"",1,0)+IF(DK445&lt;&gt;"",1,0)+IF(DM445&lt;&gt;"",1,0)+IF(DO445&lt;&gt;"",1,0)+IF(DP445&lt;&gt;"",1,0)+IF(DQ445&lt;&gt;"",1,0)+IF(DS445&lt;&gt;"",1,0)+IF(DT445&lt;&gt;"",1,0)+IF(DV445&lt;&gt;"",1,0)+IF(DW445&lt;&gt;"",1,0)+IF(DX445&lt;&gt;"",1,0)+IF(DY445&lt;&gt;"",1,0)+IF(DZ445&lt;&gt;"",1,0)+IF(EB445&lt;&gt;"",1,0)+IF(EC445&lt;&gt;"",1,0)+IF(ED445&lt;&gt;"",1,0)+IF(EG445&lt;&gt;"",1,0)+IF(EH445&lt;&gt;"",1,0)</f>
        <v/>
      </c>
      <c r="AZ445">
        <f>IF(EH445&lt;&gt;"",1,0)</f>
        <v/>
      </c>
      <c r="BB445" t="inlineStr">
        <is>
          <t>WARREN-WARD 4</t>
        </is>
      </c>
      <c r="BC445" t="inlineStr">
        <is>
          <t>X</t>
        </is>
      </c>
      <c r="BD445" t="inlineStr">
        <is>
          <t>X</t>
        </is>
      </c>
      <c r="BF445" t="inlineStr">
        <is>
          <t>X</t>
        </is>
      </c>
      <c r="BH445" t="inlineStr">
        <is>
          <t>X</t>
        </is>
      </c>
      <c r="BI445" t="inlineStr">
        <is>
          <t>X</t>
        </is>
      </c>
      <c r="BJ445" t="inlineStr">
        <is>
          <t>X</t>
        </is>
      </c>
      <c r="BK445" t="inlineStr">
        <is>
          <t>X</t>
        </is>
      </c>
      <c r="BL445" t="inlineStr">
        <is>
          <t>X</t>
        </is>
      </c>
      <c r="CQ445" t="inlineStr">
        <is>
          <t>D</t>
        </is>
      </c>
      <c r="CZ445" t="inlineStr">
        <is>
          <t>R</t>
        </is>
      </c>
      <c r="DC445" t="inlineStr">
        <is>
          <t>X</t>
        </is>
      </c>
      <c r="DI445" t="inlineStr">
        <is>
          <t>X</t>
        </is>
      </c>
    </row>
    <row r="446">
      <c r="A446" t="inlineStr">
        <is>
          <t>OH0024977698</t>
        </is>
      </c>
      <c r="B446" t="n">
        <v>78</v>
      </c>
      <c r="C446" t="n">
        <v>437212</v>
      </c>
      <c r="D446" t="inlineStr">
        <is>
          <t>WILLIAMS</t>
        </is>
      </c>
      <c r="E446" t="inlineStr">
        <is>
          <t>BRIONA</t>
        </is>
      </c>
      <c r="F446">
        <f>CONCATENATE(D446," ",LEFT(H446,4),"T=",AU446,"D=",AV446,"R=",AW446,"M=",AX446,"L=",AY446,"B=",AZ446)</f>
        <v/>
      </c>
      <c r="G446" t="inlineStr">
        <is>
          <t>C</t>
        </is>
      </c>
      <c r="I446" t="inlineStr">
        <is>
          <t>1990-10-24</t>
        </is>
      </c>
      <c r="J446" t="inlineStr">
        <is>
          <t>2024-08-21</t>
        </is>
      </c>
      <c r="K446" t="inlineStr">
        <is>
          <t>ACTIVE</t>
        </is>
      </c>
      <c r="M446" t="inlineStr">
        <is>
          <t>1262 SOUTH ST SE</t>
        </is>
      </c>
      <c r="N446">
        <f>RIGHT(M446,LEN(M446)-FIND(" ",M446))</f>
        <v/>
      </c>
      <c r="P446" t="inlineStr">
        <is>
          <t>WARREN</t>
        </is>
      </c>
      <c r="Q446" t="inlineStr">
        <is>
          <t>OH</t>
        </is>
      </c>
      <c r="R446" t="n">
        <v>44483</v>
      </c>
      <c r="AD446" t="inlineStr">
        <is>
          <t>TRUMBULL CAREER &amp; TECH CENTER</t>
        </is>
      </c>
      <c r="AE446" t="inlineStr">
        <is>
          <t>WARREN CITY</t>
        </is>
      </c>
      <c r="AF446" t="inlineStr">
        <is>
          <t>WARREN CITY SD</t>
        </is>
      </c>
      <c r="AH446" t="n">
        <v>14</v>
      </c>
      <c r="AI446" t="n">
        <v>11</v>
      </c>
      <c r="AN446" t="inlineStr">
        <is>
          <t>WARREN</t>
        </is>
      </c>
      <c r="AO446" t="inlineStr">
        <is>
          <t>WARREN CITY 4A</t>
        </is>
      </c>
      <c r="AP446" t="inlineStr">
        <is>
          <t>78-P-ADI</t>
        </is>
      </c>
      <c r="AQ446" t="n">
        <v>9</v>
      </c>
      <c r="AR446" t="n">
        <v>64</v>
      </c>
      <c r="AS446" t="n">
        <v>32</v>
      </c>
      <c r="AU446">
        <f>COUNTA($BA$446:$EH$446)</f>
        <v/>
      </c>
      <c r="AV446">
        <f>COUNTIF($BA$446:$EH$446,"D")</f>
        <v/>
      </c>
      <c r="AW446">
        <f>COUNTIF($BA$446:$EH$446,"R")</f>
        <v/>
      </c>
      <c r="AX446">
        <f>IF(BN446="D",1,0)+IF(BO446="D",1,0)+IF(BT446="D",1,0)+IF(BU446="D",1,0)+IF(BW446="D",1,0)+IF(CC446="D",1,0)+IF(CD446="D",1,0)+IF(CE446="D",1,0)+IF(CF446="D",1,0)+IF(CL446="D",1,0)+IF(CM446="D",1,0)+IF(CQ446="D",1,0)+IF(CR446="D",1,0)+IF(CS446="D",1,0)+IF(CW446="D",1,0)+IF(CX446="D",1,0)+IF(DD446="D",1,0)+IF(DE446="D",1,0)+IF(DJ446="D",1,0)+IF(DK446="D",1,0)+IF(DO446="D",1,0)+IF(DP446="D",1,0)+IF(DQ446="D",1,0)+IF(DW446="D",1,0)+IF(DZ446="D",1,0)+IF(EH446="D",1,0)</f>
        <v/>
      </c>
      <c r="AY446">
        <f>IF(DJ446&lt;&gt;"",1,0)+IF(DK446&lt;&gt;"",1,0)+IF(DM446&lt;&gt;"",1,0)+IF(DO446&lt;&gt;"",1,0)+IF(DP446&lt;&gt;"",1,0)+IF(DQ446&lt;&gt;"",1,0)+IF(DS446&lt;&gt;"",1,0)+IF(DT446&lt;&gt;"",1,0)+IF(DV446&lt;&gt;"",1,0)+IF(DW446&lt;&gt;"",1,0)+IF(DX446&lt;&gt;"",1,0)+IF(DY446&lt;&gt;"",1,0)+IF(DZ446&lt;&gt;"",1,0)+IF(EB446&lt;&gt;"",1,0)+IF(EC446&lt;&gt;"",1,0)+IF(ED446&lt;&gt;"",1,0)+IF(EG446&lt;&gt;"",1,0)+IF(EH446&lt;&gt;"",1,0)</f>
        <v/>
      </c>
      <c r="AZ446">
        <f>IF(EH446&lt;&gt;"",1,0)</f>
        <v/>
      </c>
      <c r="BB446" t="inlineStr">
        <is>
          <t>WARREN-WARD 4</t>
        </is>
      </c>
      <c r="CP446" t="inlineStr">
        <is>
          <t>X</t>
        </is>
      </c>
      <c r="DC446" t="inlineStr">
        <is>
          <t>X</t>
        </is>
      </c>
    </row>
    <row r="447">
      <c r="A447" t="inlineStr">
        <is>
          <t>OH0026533749</t>
        </is>
      </c>
      <c r="B447" t="n">
        <v>78</v>
      </c>
      <c r="C447" t="n">
        <v>463939</v>
      </c>
      <c r="D447" t="inlineStr">
        <is>
          <t>RODRIGUEZ</t>
        </is>
      </c>
      <c r="E447" t="inlineStr">
        <is>
          <t>SAN MARTIN</t>
        </is>
      </c>
      <c r="F447">
        <f>CONCATENATE(D447," ",LEFT(H447,4),"T=",AU447,"D=",AV447,"R=",AW447,"M=",AX447,"L=",AY447,"B=",AZ447)</f>
        <v/>
      </c>
      <c r="I447" t="inlineStr">
        <is>
          <t>1970-08-28</t>
        </is>
      </c>
      <c r="J447" t="inlineStr">
        <is>
          <t>2022-06-27</t>
        </is>
      </c>
      <c r="K447" t="inlineStr">
        <is>
          <t>ACTIVE</t>
        </is>
      </c>
      <c r="M447" t="inlineStr">
        <is>
          <t>766 EAST AVE SE</t>
        </is>
      </c>
      <c r="N447">
        <f>RIGHT(M447,LEN(M447)-FIND(" ",M447))</f>
        <v/>
      </c>
      <c r="P447" t="inlineStr">
        <is>
          <t>WARREN</t>
        </is>
      </c>
      <c r="Q447" t="inlineStr">
        <is>
          <t>OH</t>
        </is>
      </c>
      <c r="R447" t="n">
        <v>44484</v>
      </c>
      <c r="AD447" t="inlineStr">
        <is>
          <t>TRUMBULL CAREER &amp; TECH CENTER</t>
        </is>
      </c>
      <c r="AE447" t="inlineStr">
        <is>
          <t>WARREN CITY</t>
        </is>
      </c>
      <c r="AF447" t="inlineStr">
        <is>
          <t>WARREN CITY SD</t>
        </is>
      </c>
      <c r="AH447" t="n">
        <v>14</v>
      </c>
      <c r="AI447" t="n">
        <v>11</v>
      </c>
      <c r="AN447" t="inlineStr">
        <is>
          <t>WARREN</t>
        </is>
      </c>
      <c r="AO447" t="inlineStr">
        <is>
          <t>WARREN CITY 4A</t>
        </is>
      </c>
      <c r="AP447" t="inlineStr">
        <is>
          <t>78-P-ADI</t>
        </is>
      </c>
      <c r="AQ447" t="n">
        <v>9</v>
      </c>
      <c r="AR447" t="n">
        <v>64</v>
      </c>
      <c r="AS447" t="n">
        <v>32</v>
      </c>
      <c r="AU447">
        <f>COUNTA($BA$447:$EH$447)</f>
        <v/>
      </c>
      <c r="AV447">
        <f>COUNTIF($BA$447:$EH$447,"D")</f>
        <v/>
      </c>
      <c r="AW447">
        <f>COUNTIF($BA$447:$EH$447,"R")</f>
        <v/>
      </c>
      <c r="AX447">
        <f>IF(BN447="D",1,0)+IF(BO447="D",1,0)+IF(BT447="D",1,0)+IF(BU447="D",1,0)+IF(BW447="D",1,0)+IF(CC447="D",1,0)+IF(CD447="D",1,0)+IF(CE447="D",1,0)+IF(CF447="D",1,0)+IF(CL447="D",1,0)+IF(CM447="D",1,0)+IF(CQ447="D",1,0)+IF(CR447="D",1,0)+IF(CS447="D",1,0)+IF(CW447="D",1,0)+IF(CX447="D",1,0)+IF(DD447="D",1,0)+IF(DE447="D",1,0)+IF(DJ447="D",1,0)+IF(DK447="D",1,0)+IF(DO447="D",1,0)+IF(DP447="D",1,0)+IF(DQ447="D",1,0)+IF(DW447="D",1,0)+IF(DZ447="D",1,0)+IF(EH447="D",1,0)</f>
        <v/>
      </c>
      <c r="AY447">
        <f>IF(DJ447&lt;&gt;"",1,0)+IF(DK447&lt;&gt;"",1,0)+IF(DM447&lt;&gt;"",1,0)+IF(DO447&lt;&gt;"",1,0)+IF(DP447&lt;&gt;"",1,0)+IF(DQ447&lt;&gt;"",1,0)+IF(DS447&lt;&gt;"",1,0)+IF(DT447&lt;&gt;"",1,0)+IF(DV447&lt;&gt;"",1,0)+IF(DW447&lt;&gt;"",1,0)+IF(DX447&lt;&gt;"",1,0)+IF(DY447&lt;&gt;"",1,0)+IF(DZ447&lt;&gt;"",1,0)+IF(EB447&lt;&gt;"",1,0)+IF(EC447&lt;&gt;"",1,0)+IF(ED447&lt;&gt;"",1,0)+IF(EG447&lt;&gt;"",1,0)+IF(EH447&lt;&gt;"",1,0)</f>
        <v/>
      </c>
      <c r="AZ447">
        <f>IF(EH447&lt;&gt;"",1,0)</f>
        <v/>
      </c>
      <c r="BB447" t="inlineStr">
        <is>
          <t>WARREN-WARD 4</t>
        </is>
      </c>
    </row>
    <row r="448">
      <c r="A448" t="inlineStr">
        <is>
          <t>OH0015715458</t>
        </is>
      </c>
      <c r="B448" t="n">
        <v>78</v>
      </c>
      <c r="C448" t="n">
        <v>301274</v>
      </c>
      <c r="D448" t="inlineStr">
        <is>
          <t>MOSS</t>
        </is>
      </c>
      <c r="E448" t="inlineStr">
        <is>
          <t>YVETTE</t>
        </is>
      </c>
      <c r="F448">
        <f>CONCATENATE(D448," ",LEFT(H448,4),"T=",AU448,"D=",AV448,"R=",AW448,"M=",AX448,"L=",AY448,"B=",AZ448)</f>
        <v/>
      </c>
      <c r="G448" t="inlineStr">
        <is>
          <t>D</t>
        </is>
      </c>
      <c r="I448" t="inlineStr">
        <is>
          <t>1962-02-03</t>
        </is>
      </c>
      <c r="J448" t="inlineStr">
        <is>
          <t>2017-02-21</t>
        </is>
      </c>
      <c r="K448" t="inlineStr">
        <is>
          <t>ACTIVE</t>
        </is>
      </c>
      <c r="L448" t="inlineStr">
        <is>
          <t>D</t>
        </is>
      </c>
      <c r="M448" t="inlineStr">
        <is>
          <t>467 HOMEWOOD AVE SE</t>
        </is>
      </c>
      <c r="N448">
        <f>RIGHT(M448,LEN(M448)-FIND(" ",M448))</f>
        <v/>
      </c>
      <c r="P448" t="inlineStr">
        <is>
          <t>WARREN</t>
        </is>
      </c>
      <c r="Q448" t="inlineStr">
        <is>
          <t>OH</t>
        </is>
      </c>
      <c r="R448" t="n">
        <v>44483</v>
      </c>
      <c r="AD448" t="inlineStr">
        <is>
          <t>TRUMBULL CAREER &amp; TECH CENTER</t>
        </is>
      </c>
      <c r="AE448" t="inlineStr">
        <is>
          <t>WARREN CITY</t>
        </is>
      </c>
      <c r="AF448" t="inlineStr">
        <is>
          <t>WARREN CITY SD</t>
        </is>
      </c>
      <c r="AH448" t="n">
        <v>14</v>
      </c>
      <c r="AI448" t="n">
        <v>11</v>
      </c>
      <c r="AN448" t="inlineStr">
        <is>
          <t>WARREN</t>
        </is>
      </c>
      <c r="AO448" t="inlineStr">
        <is>
          <t>WARREN CITY 4A</t>
        </is>
      </c>
      <c r="AP448" t="inlineStr">
        <is>
          <t>78-P-ADI</t>
        </is>
      </c>
      <c r="AQ448" t="n">
        <v>9</v>
      </c>
      <c r="AR448" t="n">
        <v>64</v>
      </c>
      <c r="AS448" t="n">
        <v>32</v>
      </c>
      <c r="AU448">
        <f>COUNTA($BA$448:$EH$448)</f>
        <v/>
      </c>
      <c r="AV448">
        <f>COUNTIF($BA$448:$EH$448,"D")</f>
        <v/>
      </c>
      <c r="AW448">
        <f>COUNTIF($BA$448:$EH$448,"R")</f>
        <v/>
      </c>
      <c r="AX448">
        <f>IF(BN448="D",1,0)+IF(BO448="D",1,0)+IF(BT448="D",1,0)+IF(BU448="D",1,0)+IF(BW448="D",1,0)+IF(CC448="D",1,0)+IF(CD448="D",1,0)+IF(CE448="D",1,0)+IF(CF448="D",1,0)+IF(CL448="D",1,0)+IF(CM448="D",1,0)+IF(CQ448="D",1,0)+IF(CR448="D",1,0)+IF(CS448="D",1,0)+IF(CW448="D",1,0)+IF(CX448="D",1,0)+IF(DD448="D",1,0)+IF(DE448="D",1,0)+IF(DJ448="D",1,0)+IF(DK448="D",1,0)+IF(DO448="D",1,0)+IF(DP448="D",1,0)+IF(DQ448="D",1,0)+IF(DW448="D",1,0)+IF(DZ448="D",1,0)+IF(EH448="D",1,0)</f>
        <v/>
      </c>
      <c r="AY448">
        <f>IF(DJ448&lt;&gt;"",1,0)+IF(DK448&lt;&gt;"",1,0)+IF(DM448&lt;&gt;"",1,0)+IF(DO448&lt;&gt;"",1,0)+IF(DP448&lt;&gt;"",1,0)+IF(DQ448&lt;&gt;"",1,0)+IF(DS448&lt;&gt;"",1,0)+IF(DT448&lt;&gt;"",1,0)+IF(DV448&lt;&gt;"",1,0)+IF(DW448&lt;&gt;"",1,0)+IF(DX448&lt;&gt;"",1,0)+IF(DY448&lt;&gt;"",1,0)+IF(DZ448&lt;&gt;"",1,0)+IF(EB448&lt;&gt;"",1,0)+IF(EC448&lt;&gt;"",1,0)+IF(ED448&lt;&gt;"",1,0)+IF(EG448&lt;&gt;"",1,0)+IF(EH448&lt;&gt;"",1,0)</f>
        <v/>
      </c>
      <c r="AZ448">
        <f>IF(EH448&lt;&gt;"",1,0)</f>
        <v/>
      </c>
      <c r="BB448" t="inlineStr">
        <is>
          <t>WARREN-WARD 4</t>
        </is>
      </c>
      <c r="CP448" t="inlineStr">
        <is>
          <t>X</t>
        </is>
      </c>
      <c r="CU448" t="inlineStr">
        <is>
          <t>D</t>
        </is>
      </c>
      <c r="CV448" t="inlineStr">
        <is>
          <t>X</t>
        </is>
      </c>
      <c r="CY448" t="inlineStr">
        <is>
          <t>X</t>
        </is>
      </c>
      <c r="DC448" t="inlineStr">
        <is>
          <t>X</t>
        </is>
      </c>
      <c r="DI448" t="inlineStr">
        <is>
          <t>X</t>
        </is>
      </c>
      <c r="DN448" t="inlineStr">
        <is>
          <t>X</t>
        </is>
      </c>
      <c r="DS448" t="inlineStr">
        <is>
          <t>D</t>
        </is>
      </c>
      <c r="DU448" t="inlineStr">
        <is>
          <t>X</t>
        </is>
      </c>
      <c r="DW448" t="inlineStr">
        <is>
          <t>D</t>
        </is>
      </c>
      <c r="DX448" t="inlineStr">
        <is>
          <t>X</t>
        </is>
      </c>
      <c r="EF448" t="inlineStr">
        <is>
          <t>X</t>
        </is>
      </c>
    </row>
    <row r="449">
      <c r="A449" t="inlineStr">
        <is>
          <t>OH0026588036</t>
        </is>
      </c>
      <c r="B449" t="n">
        <v>78</v>
      </c>
      <c r="C449" t="n">
        <v>464671</v>
      </c>
      <c r="D449" t="inlineStr">
        <is>
          <t>PARKER</t>
        </is>
      </c>
      <c r="E449" t="inlineStr">
        <is>
          <t>KARA</t>
        </is>
      </c>
      <c r="F449">
        <f>CONCATENATE(D449," ",LEFT(H449,4),"T=",AU449,"D=",AV449,"R=",AW449,"M=",AX449,"L=",AY449,"B=",AZ449)</f>
        <v/>
      </c>
      <c r="G449" t="inlineStr">
        <is>
          <t>LYNN</t>
        </is>
      </c>
      <c r="I449" t="inlineStr">
        <is>
          <t>2004-03-09</t>
        </is>
      </c>
      <c r="J449" t="inlineStr">
        <is>
          <t>2022-08-04</t>
        </is>
      </c>
      <c r="K449" t="inlineStr">
        <is>
          <t>ACTIVE</t>
        </is>
      </c>
      <c r="M449" t="inlineStr">
        <is>
          <t>368 KENILWORTH AVE SE</t>
        </is>
      </c>
      <c r="N449">
        <f>RIGHT(M449,LEN(M449)-FIND(" ",M449))</f>
        <v/>
      </c>
      <c r="P449" t="inlineStr">
        <is>
          <t>WARREN</t>
        </is>
      </c>
      <c r="Q449" t="inlineStr">
        <is>
          <t>OH</t>
        </is>
      </c>
      <c r="R449" t="n">
        <v>44483</v>
      </c>
      <c r="AD449" t="inlineStr">
        <is>
          <t>TRUMBULL CAREER &amp; TECH CENTER</t>
        </is>
      </c>
      <c r="AE449" t="inlineStr">
        <is>
          <t>WARREN CITY</t>
        </is>
      </c>
      <c r="AF449" t="inlineStr">
        <is>
          <t>WARREN CITY SD</t>
        </is>
      </c>
      <c r="AH449" t="n">
        <v>14</v>
      </c>
      <c r="AI449" t="n">
        <v>11</v>
      </c>
      <c r="AN449" t="inlineStr">
        <is>
          <t>WARREN</t>
        </is>
      </c>
      <c r="AO449" t="inlineStr">
        <is>
          <t>WARREN CITY 4A</t>
        </is>
      </c>
      <c r="AP449" t="inlineStr">
        <is>
          <t>78-P-ADI</t>
        </is>
      </c>
      <c r="AQ449" t="n">
        <v>9</v>
      </c>
      <c r="AR449" t="n">
        <v>64</v>
      </c>
      <c r="AS449" t="n">
        <v>32</v>
      </c>
      <c r="AU449">
        <f>COUNTA($BA$449:$EH$449)</f>
        <v/>
      </c>
      <c r="AV449">
        <f>COUNTIF($BA$449:$EH$449,"D")</f>
        <v/>
      </c>
      <c r="AW449">
        <f>COUNTIF($BA$449:$EH$449,"R")</f>
        <v/>
      </c>
      <c r="AX449">
        <f>IF(BN449="D",1,0)+IF(BO449="D",1,0)+IF(BT449="D",1,0)+IF(BU449="D",1,0)+IF(BW449="D",1,0)+IF(CC449="D",1,0)+IF(CD449="D",1,0)+IF(CE449="D",1,0)+IF(CF449="D",1,0)+IF(CL449="D",1,0)+IF(CM449="D",1,0)+IF(CQ449="D",1,0)+IF(CR449="D",1,0)+IF(CS449="D",1,0)+IF(CW449="D",1,0)+IF(CX449="D",1,0)+IF(DD449="D",1,0)+IF(DE449="D",1,0)+IF(DJ449="D",1,0)+IF(DK449="D",1,0)+IF(DO449="D",1,0)+IF(DP449="D",1,0)+IF(DQ449="D",1,0)+IF(DW449="D",1,0)+IF(DZ449="D",1,0)+IF(EH449="D",1,0)</f>
        <v/>
      </c>
      <c r="AY449">
        <f>IF(DJ449&lt;&gt;"",1,0)+IF(DK449&lt;&gt;"",1,0)+IF(DM449&lt;&gt;"",1,0)+IF(DO449&lt;&gt;"",1,0)+IF(DP449&lt;&gt;"",1,0)+IF(DQ449&lt;&gt;"",1,0)+IF(DS449&lt;&gt;"",1,0)+IF(DT449&lt;&gt;"",1,0)+IF(DV449&lt;&gt;"",1,0)+IF(DW449&lt;&gt;"",1,0)+IF(DX449&lt;&gt;"",1,0)+IF(DY449&lt;&gt;"",1,0)+IF(DZ449&lt;&gt;"",1,0)+IF(EB449&lt;&gt;"",1,0)+IF(EC449&lt;&gt;"",1,0)+IF(ED449&lt;&gt;"",1,0)+IF(EG449&lt;&gt;"",1,0)+IF(EH449&lt;&gt;"",1,0)</f>
        <v/>
      </c>
      <c r="AZ449">
        <f>IF(EH449&lt;&gt;"",1,0)</f>
        <v/>
      </c>
      <c r="BB449" t="inlineStr">
        <is>
          <t>WARREN-WARD 4</t>
        </is>
      </c>
    </row>
    <row r="450">
      <c r="A450" t="inlineStr">
        <is>
          <t>OH0022720602</t>
        </is>
      </c>
      <c r="B450" t="n">
        <v>78</v>
      </c>
      <c r="C450" t="n">
        <v>401042</v>
      </c>
      <c r="D450" t="inlineStr">
        <is>
          <t>BAUGH</t>
        </is>
      </c>
      <c r="E450" t="inlineStr">
        <is>
          <t>ROBERT</t>
        </is>
      </c>
      <c r="F450">
        <f>CONCATENATE(D450," ",LEFT(H450,4),"T=",AU450,"D=",AV450,"R=",AW450,"M=",AX450,"L=",AY450,"B=",AZ450)</f>
        <v/>
      </c>
      <c r="G450" t="inlineStr">
        <is>
          <t>D</t>
        </is>
      </c>
      <c r="I450" t="inlineStr">
        <is>
          <t>1985-09-27</t>
        </is>
      </c>
      <c r="J450" t="inlineStr">
        <is>
          <t>2021-09-27</t>
        </is>
      </c>
      <c r="K450" t="inlineStr">
        <is>
          <t>CONFIRMATION</t>
        </is>
      </c>
      <c r="M450" t="inlineStr">
        <is>
          <t>608 ADELAIDE AVE SE</t>
        </is>
      </c>
      <c r="N450">
        <f>RIGHT(M450,LEN(M450)-FIND(" ",M450))</f>
        <v/>
      </c>
      <c r="P450" t="inlineStr">
        <is>
          <t>WARREN</t>
        </is>
      </c>
      <c r="Q450" t="inlineStr">
        <is>
          <t>OH</t>
        </is>
      </c>
      <c r="R450" t="n">
        <v>44483</v>
      </c>
      <c r="AD450" t="inlineStr">
        <is>
          <t>TRUMBULL CAREER &amp; TECH CENTER</t>
        </is>
      </c>
      <c r="AE450" t="inlineStr">
        <is>
          <t>WARREN CITY</t>
        </is>
      </c>
      <c r="AF450" t="inlineStr">
        <is>
          <t>WARREN CITY SD</t>
        </is>
      </c>
      <c r="AH450" t="n">
        <v>14</v>
      </c>
      <c r="AI450" t="n">
        <v>11</v>
      </c>
      <c r="AN450" t="inlineStr">
        <is>
          <t>WARREN</t>
        </is>
      </c>
      <c r="AO450" t="inlineStr">
        <is>
          <t>WARREN CITY 4A</t>
        </is>
      </c>
      <c r="AP450" t="inlineStr">
        <is>
          <t>78-P-ADI</t>
        </is>
      </c>
      <c r="AQ450" t="n">
        <v>9</v>
      </c>
      <c r="AR450" t="n">
        <v>64</v>
      </c>
      <c r="AS450" t="n">
        <v>32</v>
      </c>
      <c r="AU450">
        <f>COUNTA($BA$450:$EH$450)</f>
        <v/>
      </c>
      <c r="AV450">
        <f>COUNTIF($BA$450:$EH$450,"D")</f>
        <v/>
      </c>
      <c r="AW450">
        <f>COUNTIF($BA$450:$EH$450,"R")</f>
        <v/>
      </c>
      <c r="AX450">
        <f>IF(BN450="D",1,0)+IF(BO450="D",1,0)+IF(BT450="D",1,0)+IF(BU450="D",1,0)+IF(BW450="D",1,0)+IF(CC450="D",1,0)+IF(CD450="D",1,0)+IF(CE450="D",1,0)+IF(CF450="D",1,0)+IF(CL450="D",1,0)+IF(CM450="D",1,0)+IF(CQ450="D",1,0)+IF(CR450="D",1,0)+IF(CS450="D",1,0)+IF(CW450="D",1,0)+IF(CX450="D",1,0)+IF(DD450="D",1,0)+IF(DE450="D",1,0)+IF(DJ450="D",1,0)+IF(DK450="D",1,0)+IF(DO450="D",1,0)+IF(DP450="D",1,0)+IF(DQ450="D",1,0)+IF(DW450="D",1,0)+IF(DZ450="D",1,0)+IF(EH450="D",1,0)</f>
        <v/>
      </c>
      <c r="AY450">
        <f>IF(DJ450&lt;&gt;"",1,0)+IF(DK450&lt;&gt;"",1,0)+IF(DM450&lt;&gt;"",1,0)+IF(DO450&lt;&gt;"",1,0)+IF(DP450&lt;&gt;"",1,0)+IF(DQ450&lt;&gt;"",1,0)+IF(DS450&lt;&gt;"",1,0)+IF(DT450&lt;&gt;"",1,0)+IF(DV450&lt;&gt;"",1,0)+IF(DW450&lt;&gt;"",1,0)+IF(DX450&lt;&gt;"",1,0)+IF(DY450&lt;&gt;"",1,0)+IF(DZ450&lt;&gt;"",1,0)+IF(EB450&lt;&gt;"",1,0)+IF(EC450&lt;&gt;"",1,0)+IF(ED450&lt;&gt;"",1,0)+IF(EG450&lt;&gt;"",1,0)+IF(EH450&lt;&gt;"",1,0)</f>
        <v/>
      </c>
      <c r="AZ450">
        <f>IF(EH450&lt;&gt;"",1,0)</f>
        <v/>
      </c>
      <c r="BB450" t="inlineStr">
        <is>
          <t>WARREN-WARD 4</t>
        </is>
      </c>
    </row>
    <row r="451">
      <c r="A451" t="inlineStr">
        <is>
          <t>OH0022187558</t>
        </is>
      </c>
      <c r="B451" t="n">
        <v>78</v>
      </c>
      <c r="C451" t="n">
        <v>392173</v>
      </c>
      <c r="D451" t="inlineStr">
        <is>
          <t>CATING</t>
        </is>
      </c>
      <c r="E451" t="inlineStr">
        <is>
          <t>LEWIS</t>
        </is>
      </c>
      <c r="F451">
        <f>CONCATENATE(D451," ",LEFT(H451,4),"T=",AU451,"D=",AV451,"R=",AW451,"M=",AX451,"L=",AY451,"B=",AZ451)</f>
        <v/>
      </c>
      <c r="G451" t="inlineStr">
        <is>
          <t>F</t>
        </is>
      </c>
      <c r="I451" t="inlineStr">
        <is>
          <t>1959-08-24</t>
        </is>
      </c>
      <c r="J451" t="inlineStr">
        <is>
          <t>2016-07-19</t>
        </is>
      </c>
      <c r="K451" t="inlineStr">
        <is>
          <t>CONFIRMATION</t>
        </is>
      </c>
      <c r="M451" t="inlineStr">
        <is>
          <t>781 HOMEWOOD AVE SE</t>
        </is>
      </c>
      <c r="N451">
        <f>RIGHT(M451,LEN(M451)-FIND(" ",M451))</f>
        <v/>
      </c>
      <c r="P451" t="inlineStr">
        <is>
          <t>WARREN</t>
        </is>
      </c>
      <c r="Q451" t="inlineStr">
        <is>
          <t>OH</t>
        </is>
      </c>
      <c r="R451" t="n">
        <v>44484</v>
      </c>
      <c r="AD451" t="inlineStr">
        <is>
          <t>TRUMBULL CAREER &amp; TECH CENTER</t>
        </is>
      </c>
      <c r="AE451" t="inlineStr">
        <is>
          <t>WARREN CITY</t>
        </is>
      </c>
      <c r="AF451" t="inlineStr">
        <is>
          <t>WARREN CITY SD</t>
        </is>
      </c>
      <c r="AH451" t="n">
        <v>14</v>
      </c>
      <c r="AI451" t="n">
        <v>11</v>
      </c>
      <c r="AN451" t="inlineStr">
        <is>
          <t>WARREN</t>
        </is>
      </c>
      <c r="AO451" t="inlineStr">
        <is>
          <t>WARREN CITY 4A</t>
        </is>
      </c>
      <c r="AP451" t="inlineStr">
        <is>
          <t>78-P-ADI</t>
        </is>
      </c>
      <c r="AQ451" t="n">
        <v>9</v>
      </c>
      <c r="AR451" t="n">
        <v>64</v>
      </c>
      <c r="AS451" t="n">
        <v>32</v>
      </c>
      <c r="AU451">
        <f>COUNTA($BA$451:$EH$451)</f>
        <v/>
      </c>
      <c r="AV451">
        <f>COUNTIF($BA$451:$EH$451,"D")</f>
        <v/>
      </c>
      <c r="AW451">
        <f>COUNTIF($BA$451:$EH$451,"R")</f>
        <v/>
      </c>
      <c r="AX451">
        <f>IF(BN451="D",1,0)+IF(BO451="D",1,0)+IF(BT451="D",1,0)+IF(BU451="D",1,0)+IF(BW451="D",1,0)+IF(CC451="D",1,0)+IF(CD451="D",1,0)+IF(CE451="D",1,0)+IF(CF451="D",1,0)+IF(CL451="D",1,0)+IF(CM451="D",1,0)+IF(CQ451="D",1,0)+IF(CR451="D",1,0)+IF(CS451="D",1,0)+IF(CW451="D",1,0)+IF(CX451="D",1,0)+IF(DD451="D",1,0)+IF(DE451="D",1,0)+IF(DJ451="D",1,0)+IF(DK451="D",1,0)+IF(DO451="D",1,0)+IF(DP451="D",1,0)+IF(DQ451="D",1,0)+IF(DW451="D",1,0)+IF(DZ451="D",1,0)+IF(EH451="D",1,0)</f>
        <v/>
      </c>
      <c r="AY451">
        <f>IF(DJ451&lt;&gt;"",1,0)+IF(DK451&lt;&gt;"",1,0)+IF(DM451&lt;&gt;"",1,0)+IF(DO451&lt;&gt;"",1,0)+IF(DP451&lt;&gt;"",1,0)+IF(DQ451&lt;&gt;"",1,0)+IF(DS451&lt;&gt;"",1,0)+IF(DT451&lt;&gt;"",1,0)+IF(DV451&lt;&gt;"",1,0)+IF(DW451&lt;&gt;"",1,0)+IF(DX451&lt;&gt;"",1,0)+IF(DY451&lt;&gt;"",1,0)+IF(DZ451&lt;&gt;"",1,0)+IF(EB451&lt;&gt;"",1,0)+IF(EC451&lt;&gt;"",1,0)+IF(ED451&lt;&gt;"",1,0)+IF(EG451&lt;&gt;"",1,0)+IF(EH451&lt;&gt;"",1,0)</f>
        <v/>
      </c>
      <c r="AZ451">
        <f>IF(EH451&lt;&gt;"",1,0)</f>
        <v/>
      </c>
      <c r="BB451" t="inlineStr">
        <is>
          <t>WARREN-WARD 4</t>
        </is>
      </c>
      <c r="BC451" t="inlineStr">
        <is>
          <t>X</t>
        </is>
      </c>
      <c r="BD451" t="inlineStr">
        <is>
          <t>X</t>
        </is>
      </c>
      <c r="BL451" t="inlineStr">
        <is>
          <t>X</t>
        </is>
      </c>
      <c r="CA451" t="inlineStr">
        <is>
          <t>X</t>
        </is>
      </c>
      <c r="CP451" t="inlineStr">
        <is>
          <t>X</t>
        </is>
      </c>
      <c r="DC451" t="inlineStr">
        <is>
          <t>X</t>
        </is>
      </c>
    </row>
    <row r="452">
      <c r="A452" t="inlineStr">
        <is>
          <t>OH0015691036</t>
        </is>
      </c>
      <c r="B452" t="n">
        <v>78</v>
      </c>
      <c r="C452" t="n">
        <v>136366</v>
      </c>
      <c r="D452" t="inlineStr">
        <is>
          <t>CATING</t>
        </is>
      </c>
      <c r="E452" t="inlineStr">
        <is>
          <t>JACQUELINE</t>
        </is>
      </c>
      <c r="F452">
        <f>CONCATENATE(D452," ",LEFT(H452,4),"T=",AU452,"D=",AV452,"R=",AW452,"M=",AX452,"L=",AY452,"B=",AZ452)</f>
        <v/>
      </c>
      <c r="G452" t="inlineStr">
        <is>
          <t>SUE</t>
        </is>
      </c>
      <c r="I452" t="inlineStr">
        <is>
          <t>1963-06-10</t>
        </is>
      </c>
      <c r="J452" t="inlineStr">
        <is>
          <t>2016-07-19</t>
        </is>
      </c>
      <c r="K452" t="inlineStr">
        <is>
          <t>CONFIRMATION</t>
        </is>
      </c>
      <c r="M452" t="inlineStr">
        <is>
          <t>781 HOMEWOOD AVE SE</t>
        </is>
      </c>
      <c r="N452">
        <f>RIGHT(M452,LEN(M452)-FIND(" ",M452))</f>
        <v/>
      </c>
      <c r="P452" t="inlineStr">
        <is>
          <t>WARREN</t>
        </is>
      </c>
      <c r="Q452" t="inlineStr">
        <is>
          <t>OH</t>
        </is>
      </c>
      <c r="R452" t="n">
        <v>44484</v>
      </c>
      <c r="AD452" t="inlineStr">
        <is>
          <t>TRUMBULL CAREER &amp; TECH CENTER</t>
        </is>
      </c>
      <c r="AE452" t="inlineStr">
        <is>
          <t>WARREN CITY</t>
        </is>
      </c>
      <c r="AF452" t="inlineStr">
        <is>
          <t>WARREN CITY SD</t>
        </is>
      </c>
      <c r="AH452" t="n">
        <v>14</v>
      </c>
      <c r="AI452" t="n">
        <v>11</v>
      </c>
      <c r="AN452" t="inlineStr">
        <is>
          <t>WARREN</t>
        </is>
      </c>
      <c r="AO452" t="inlineStr">
        <is>
          <t>WARREN CITY 4A</t>
        </is>
      </c>
      <c r="AP452" t="inlineStr">
        <is>
          <t>78-P-ADI</t>
        </is>
      </c>
      <c r="AQ452" t="n">
        <v>9</v>
      </c>
      <c r="AR452" t="n">
        <v>64</v>
      </c>
      <c r="AS452" t="n">
        <v>32</v>
      </c>
      <c r="AU452">
        <f>COUNTA($BA$452:$EH$452)</f>
        <v/>
      </c>
      <c r="AV452">
        <f>COUNTIF($BA$452:$EH$452,"D")</f>
        <v/>
      </c>
      <c r="AW452">
        <f>COUNTIF($BA$452:$EH$452,"R")</f>
        <v/>
      </c>
      <c r="AX452">
        <f>IF(BN452="D",1,0)+IF(BO452="D",1,0)+IF(BT452="D",1,0)+IF(BU452="D",1,0)+IF(BW452="D",1,0)+IF(CC452="D",1,0)+IF(CD452="D",1,0)+IF(CE452="D",1,0)+IF(CF452="D",1,0)+IF(CL452="D",1,0)+IF(CM452="D",1,0)+IF(CQ452="D",1,0)+IF(CR452="D",1,0)+IF(CS452="D",1,0)+IF(CW452="D",1,0)+IF(CX452="D",1,0)+IF(DD452="D",1,0)+IF(DE452="D",1,0)+IF(DJ452="D",1,0)+IF(DK452="D",1,0)+IF(DO452="D",1,0)+IF(DP452="D",1,0)+IF(DQ452="D",1,0)+IF(DW452="D",1,0)+IF(DZ452="D",1,0)+IF(EH452="D",1,0)</f>
        <v/>
      </c>
      <c r="AY452">
        <f>IF(DJ452&lt;&gt;"",1,0)+IF(DK452&lt;&gt;"",1,0)+IF(DM452&lt;&gt;"",1,0)+IF(DO452&lt;&gt;"",1,0)+IF(DP452&lt;&gt;"",1,0)+IF(DQ452&lt;&gt;"",1,0)+IF(DS452&lt;&gt;"",1,0)+IF(DT452&lt;&gt;"",1,0)+IF(DV452&lt;&gt;"",1,0)+IF(DW452&lt;&gt;"",1,0)+IF(DX452&lt;&gt;"",1,0)+IF(DY452&lt;&gt;"",1,0)+IF(DZ452&lt;&gt;"",1,0)+IF(EB452&lt;&gt;"",1,0)+IF(EC452&lt;&gt;"",1,0)+IF(ED452&lt;&gt;"",1,0)+IF(EG452&lt;&gt;"",1,0)+IF(EH452&lt;&gt;"",1,0)</f>
        <v/>
      </c>
      <c r="AZ452">
        <f>IF(EH452&lt;&gt;"",1,0)</f>
        <v/>
      </c>
      <c r="BB452" t="inlineStr">
        <is>
          <t>WARREN-WARD 4</t>
        </is>
      </c>
      <c r="BC452" t="inlineStr">
        <is>
          <t>X</t>
        </is>
      </c>
      <c r="BD452" t="inlineStr">
        <is>
          <t>X</t>
        </is>
      </c>
      <c r="BL452" t="inlineStr">
        <is>
          <t>X</t>
        </is>
      </c>
      <c r="CA452" t="inlineStr">
        <is>
          <t>X</t>
        </is>
      </c>
      <c r="CP452" t="inlineStr">
        <is>
          <t>X</t>
        </is>
      </c>
      <c r="DC452" t="inlineStr">
        <is>
          <t>X</t>
        </is>
      </c>
    </row>
    <row r="453">
      <c r="A453" t="inlineStr">
        <is>
          <t>OH0027497784</t>
        </is>
      </c>
      <c r="B453" t="n">
        <v>78</v>
      </c>
      <c r="C453" t="n">
        <v>487139</v>
      </c>
      <c r="D453" t="inlineStr">
        <is>
          <t>TALLEY</t>
        </is>
      </c>
      <c r="E453" t="inlineStr">
        <is>
          <t>DAVONTAE</t>
        </is>
      </c>
      <c r="F453">
        <f>CONCATENATE(D453," ",LEFT(H453,4),"T=",AU453,"D=",AV453,"R=",AW453,"M=",AX453,"L=",AY453,"B=",AZ453)</f>
        <v/>
      </c>
      <c r="G453" t="inlineStr">
        <is>
          <t>L</t>
        </is>
      </c>
      <c r="I453" t="inlineStr">
        <is>
          <t>2003-09-10</t>
        </is>
      </c>
      <c r="J453" t="inlineStr">
        <is>
          <t>2024-08-01</t>
        </is>
      </c>
      <c r="K453" t="inlineStr">
        <is>
          <t>CONFIRMATION</t>
        </is>
      </c>
      <c r="M453" t="inlineStr">
        <is>
          <t>813 HOMEWOOD AVE SE</t>
        </is>
      </c>
      <c r="N453">
        <f>RIGHT(M453,LEN(M453)-FIND(" ",M453))</f>
        <v/>
      </c>
      <c r="P453" t="inlineStr">
        <is>
          <t>WARREN</t>
        </is>
      </c>
      <c r="Q453" t="inlineStr">
        <is>
          <t>OH</t>
        </is>
      </c>
      <c r="R453" t="n">
        <v>44484</v>
      </c>
      <c r="AD453" t="inlineStr">
        <is>
          <t>TRUMBULL CAREER &amp; TECH CENTER</t>
        </is>
      </c>
      <c r="AE453" t="inlineStr">
        <is>
          <t>WARREN CITY</t>
        </is>
      </c>
      <c r="AF453" t="inlineStr">
        <is>
          <t>WARREN CITY SD</t>
        </is>
      </c>
      <c r="AH453" t="n">
        <v>14</v>
      </c>
      <c r="AI453" t="n">
        <v>11</v>
      </c>
      <c r="AN453" t="inlineStr">
        <is>
          <t>WARREN</t>
        </is>
      </c>
      <c r="AO453" t="inlineStr">
        <is>
          <t>WARREN CITY 4A</t>
        </is>
      </c>
      <c r="AP453" t="inlineStr">
        <is>
          <t>78-P-ADI</t>
        </is>
      </c>
      <c r="AQ453" t="n">
        <v>9</v>
      </c>
      <c r="AR453" t="n">
        <v>64</v>
      </c>
      <c r="AS453" t="n">
        <v>32</v>
      </c>
      <c r="AU453">
        <f>COUNTA($BA$453:$EH$453)</f>
        <v/>
      </c>
      <c r="AV453">
        <f>COUNTIF($BA$453:$EH$453,"D")</f>
        <v/>
      </c>
      <c r="AW453">
        <f>COUNTIF($BA$453:$EH$453,"R")</f>
        <v/>
      </c>
      <c r="AX453">
        <f>IF(BN453="D",1,0)+IF(BO453="D",1,0)+IF(BT453="D",1,0)+IF(BU453="D",1,0)+IF(BW453="D",1,0)+IF(CC453="D",1,0)+IF(CD453="D",1,0)+IF(CE453="D",1,0)+IF(CF453="D",1,0)+IF(CL453="D",1,0)+IF(CM453="D",1,0)+IF(CQ453="D",1,0)+IF(CR453="D",1,0)+IF(CS453="D",1,0)+IF(CW453="D",1,0)+IF(CX453="D",1,0)+IF(DD453="D",1,0)+IF(DE453="D",1,0)+IF(DJ453="D",1,0)+IF(DK453="D",1,0)+IF(DO453="D",1,0)+IF(DP453="D",1,0)+IF(DQ453="D",1,0)+IF(DW453="D",1,0)+IF(DZ453="D",1,0)+IF(EH453="D",1,0)</f>
        <v/>
      </c>
      <c r="AY453">
        <f>IF(DJ453&lt;&gt;"",1,0)+IF(DK453&lt;&gt;"",1,0)+IF(DM453&lt;&gt;"",1,0)+IF(DO453&lt;&gt;"",1,0)+IF(DP453&lt;&gt;"",1,0)+IF(DQ453&lt;&gt;"",1,0)+IF(DS453&lt;&gt;"",1,0)+IF(DT453&lt;&gt;"",1,0)+IF(DV453&lt;&gt;"",1,0)+IF(DW453&lt;&gt;"",1,0)+IF(DX453&lt;&gt;"",1,0)+IF(DY453&lt;&gt;"",1,0)+IF(DZ453&lt;&gt;"",1,0)+IF(EB453&lt;&gt;"",1,0)+IF(EC453&lt;&gt;"",1,0)+IF(ED453&lt;&gt;"",1,0)+IF(EG453&lt;&gt;"",1,0)+IF(EH453&lt;&gt;"",1,0)</f>
        <v/>
      </c>
      <c r="AZ453">
        <f>IF(EH453&lt;&gt;"",1,0)</f>
        <v/>
      </c>
      <c r="BB453" t="inlineStr">
        <is>
          <t>WARREN-WARD 4</t>
        </is>
      </c>
    </row>
    <row r="454">
      <c r="A454" t="inlineStr">
        <is>
          <t>OH0027295537</t>
        </is>
      </c>
      <c r="B454" t="n">
        <v>78</v>
      </c>
      <c r="C454" t="n">
        <v>484424</v>
      </c>
      <c r="D454" t="inlineStr">
        <is>
          <t>FOX</t>
        </is>
      </c>
      <c r="E454" t="inlineStr">
        <is>
          <t>CLARENCE</t>
        </is>
      </c>
      <c r="F454">
        <f>CONCATENATE(D454," ",LEFT(H454,4),"T=",AU454,"D=",AV454,"R=",AW454,"M=",AX454,"L=",AY454,"B=",AZ454)</f>
        <v/>
      </c>
      <c r="G454" t="inlineStr">
        <is>
          <t>WILLIAM</t>
        </is>
      </c>
      <c r="H454" t="inlineStr">
        <is>
          <t>III</t>
        </is>
      </c>
      <c r="I454" t="inlineStr">
        <is>
          <t>2005-03-23</t>
        </is>
      </c>
      <c r="J454" t="inlineStr">
        <is>
          <t>2024-03-26</t>
        </is>
      </c>
      <c r="K454" t="inlineStr">
        <is>
          <t>ACTIVE</t>
        </is>
      </c>
      <c r="M454" t="inlineStr">
        <is>
          <t>714 HOMEWOOD AVE SE</t>
        </is>
      </c>
      <c r="N454">
        <f>RIGHT(M454,LEN(M454)-FIND(" ",M454))</f>
        <v/>
      </c>
      <c r="P454" t="inlineStr">
        <is>
          <t>WARREN</t>
        </is>
      </c>
      <c r="Q454" t="inlineStr">
        <is>
          <t>OH</t>
        </is>
      </c>
      <c r="R454" t="n">
        <v>44484</v>
      </c>
      <c r="AD454" t="inlineStr">
        <is>
          <t>TRUMBULL CAREER &amp; TECH CENTER</t>
        </is>
      </c>
      <c r="AE454" t="inlineStr">
        <is>
          <t>WARREN CITY</t>
        </is>
      </c>
      <c r="AF454" t="inlineStr">
        <is>
          <t>WARREN CITY SD</t>
        </is>
      </c>
      <c r="AH454" t="n">
        <v>14</v>
      </c>
      <c r="AI454" t="n">
        <v>11</v>
      </c>
      <c r="AN454" t="inlineStr">
        <is>
          <t>WARREN</t>
        </is>
      </c>
      <c r="AO454" t="inlineStr">
        <is>
          <t>WARREN CITY 4A</t>
        </is>
      </c>
      <c r="AP454" t="inlineStr">
        <is>
          <t>78-P-ADI</t>
        </is>
      </c>
      <c r="AQ454" t="n">
        <v>9</v>
      </c>
      <c r="AR454" t="n">
        <v>64</v>
      </c>
      <c r="AS454" t="n">
        <v>32</v>
      </c>
      <c r="AU454">
        <f>COUNTA($BA$454:$EH$454)</f>
        <v/>
      </c>
      <c r="AV454">
        <f>COUNTIF($BA$454:$EH$454,"D")</f>
        <v/>
      </c>
      <c r="AW454">
        <f>COUNTIF($BA$454:$EH$454,"R")</f>
        <v/>
      </c>
      <c r="AX454">
        <f>IF(BN454="D",1,0)+IF(BO454="D",1,0)+IF(BT454="D",1,0)+IF(BU454="D",1,0)+IF(BW454="D",1,0)+IF(CC454="D",1,0)+IF(CD454="D",1,0)+IF(CE454="D",1,0)+IF(CF454="D",1,0)+IF(CL454="D",1,0)+IF(CM454="D",1,0)+IF(CQ454="D",1,0)+IF(CR454="D",1,0)+IF(CS454="D",1,0)+IF(CW454="D",1,0)+IF(CX454="D",1,0)+IF(DD454="D",1,0)+IF(DE454="D",1,0)+IF(DJ454="D",1,0)+IF(DK454="D",1,0)+IF(DO454="D",1,0)+IF(DP454="D",1,0)+IF(DQ454="D",1,0)+IF(DW454="D",1,0)+IF(DZ454="D",1,0)+IF(EH454="D",1,0)</f>
        <v/>
      </c>
      <c r="AY454">
        <f>IF(DJ454&lt;&gt;"",1,0)+IF(DK454&lt;&gt;"",1,0)+IF(DM454&lt;&gt;"",1,0)+IF(DO454&lt;&gt;"",1,0)+IF(DP454&lt;&gt;"",1,0)+IF(DQ454&lt;&gt;"",1,0)+IF(DS454&lt;&gt;"",1,0)+IF(DT454&lt;&gt;"",1,0)+IF(DV454&lt;&gt;"",1,0)+IF(DW454&lt;&gt;"",1,0)+IF(DX454&lt;&gt;"",1,0)+IF(DY454&lt;&gt;"",1,0)+IF(DZ454&lt;&gt;"",1,0)+IF(EB454&lt;&gt;"",1,0)+IF(EC454&lt;&gt;"",1,0)+IF(ED454&lt;&gt;"",1,0)+IF(EG454&lt;&gt;"",1,0)+IF(EH454&lt;&gt;"",1,0)</f>
        <v/>
      </c>
      <c r="AZ454">
        <f>IF(EH454&lt;&gt;"",1,0)</f>
        <v/>
      </c>
      <c r="BB454" t="inlineStr">
        <is>
          <t>WARREN-WARD 4</t>
        </is>
      </c>
    </row>
    <row r="455">
      <c r="A455" t="inlineStr">
        <is>
          <t>OH0019758990</t>
        </is>
      </c>
      <c r="B455" t="n">
        <v>78</v>
      </c>
      <c r="C455" t="n">
        <v>358347</v>
      </c>
      <c r="D455" t="inlineStr">
        <is>
          <t>ALLGOOD</t>
        </is>
      </c>
      <c r="E455" t="inlineStr">
        <is>
          <t>REGINALD</t>
        </is>
      </c>
      <c r="F455">
        <f>CONCATENATE(D455," ",LEFT(H455,4),"T=",AU455,"D=",AV455,"R=",AW455,"M=",AX455,"L=",AY455,"B=",AZ455)</f>
        <v/>
      </c>
      <c r="G455" t="inlineStr">
        <is>
          <t>B</t>
        </is>
      </c>
      <c r="H455" t="inlineStr">
        <is>
          <t>II</t>
        </is>
      </c>
      <c r="I455" t="inlineStr">
        <is>
          <t>1969-05-06</t>
        </is>
      </c>
      <c r="J455" t="inlineStr">
        <is>
          <t>2018-11-28</t>
        </is>
      </c>
      <c r="K455" t="inlineStr">
        <is>
          <t>ACTIVE</t>
        </is>
      </c>
      <c r="M455" t="inlineStr">
        <is>
          <t>829 HOMEWOOD AVE SE</t>
        </is>
      </c>
      <c r="N455">
        <f>RIGHT(M455,LEN(M455)-FIND(" ",M455))</f>
        <v/>
      </c>
      <c r="P455" t="inlineStr">
        <is>
          <t>WARREN</t>
        </is>
      </c>
      <c r="Q455" t="inlineStr">
        <is>
          <t>OH</t>
        </is>
      </c>
      <c r="R455" t="n">
        <v>44484</v>
      </c>
      <c r="AD455" t="inlineStr">
        <is>
          <t>TRUMBULL CAREER &amp; TECH CENTER</t>
        </is>
      </c>
      <c r="AE455" t="inlineStr">
        <is>
          <t>WARREN CITY</t>
        </is>
      </c>
      <c r="AF455" t="inlineStr">
        <is>
          <t>WARREN CITY SD</t>
        </is>
      </c>
      <c r="AH455" t="n">
        <v>14</v>
      </c>
      <c r="AI455" t="n">
        <v>11</v>
      </c>
      <c r="AN455" t="inlineStr">
        <is>
          <t>WARREN</t>
        </is>
      </c>
      <c r="AO455" t="inlineStr">
        <is>
          <t>WARREN CITY 4A</t>
        </is>
      </c>
      <c r="AP455" t="inlineStr">
        <is>
          <t>78-P-ADI</t>
        </is>
      </c>
      <c r="AQ455" t="n">
        <v>9</v>
      </c>
      <c r="AR455" t="n">
        <v>64</v>
      </c>
      <c r="AS455" t="n">
        <v>32</v>
      </c>
      <c r="AU455">
        <f>COUNTA($BA$455:$EH$455)</f>
        <v/>
      </c>
      <c r="AV455">
        <f>COUNTIF($BA$455:$EH$455,"D")</f>
        <v/>
      </c>
      <c r="AW455">
        <f>COUNTIF($BA$455:$EH$455,"R")</f>
        <v/>
      </c>
      <c r="AX455">
        <f>IF(BN455="D",1,0)+IF(BO455="D",1,0)+IF(BT455="D",1,0)+IF(BU455="D",1,0)+IF(BW455="D",1,0)+IF(CC455="D",1,0)+IF(CD455="D",1,0)+IF(CE455="D",1,0)+IF(CF455="D",1,0)+IF(CL455="D",1,0)+IF(CM455="D",1,0)+IF(CQ455="D",1,0)+IF(CR455="D",1,0)+IF(CS455="D",1,0)+IF(CW455="D",1,0)+IF(CX455="D",1,0)+IF(DD455="D",1,0)+IF(DE455="D",1,0)+IF(DJ455="D",1,0)+IF(DK455="D",1,0)+IF(DO455="D",1,0)+IF(DP455="D",1,0)+IF(DQ455="D",1,0)+IF(DW455="D",1,0)+IF(DZ455="D",1,0)+IF(EH455="D",1,0)</f>
        <v/>
      </c>
      <c r="AY455">
        <f>IF(DJ455&lt;&gt;"",1,0)+IF(DK455&lt;&gt;"",1,0)+IF(DM455&lt;&gt;"",1,0)+IF(DO455&lt;&gt;"",1,0)+IF(DP455&lt;&gt;"",1,0)+IF(DQ455&lt;&gt;"",1,0)+IF(DS455&lt;&gt;"",1,0)+IF(DT455&lt;&gt;"",1,0)+IF(DV455&lt;&gt;"",1,0)+IF(DW455&lt;&gt;"",1,0)+IF(DX455&lt;&gt;"",1,0)+IF(DY455&lt;&gt;"",1,0)+IF(DZ455&lt;&gt;"",1,0)+IF(EB455&lt;&gt;"",1,0)+IF(EC455&lt;&gt;"",1,0)+IF(ED455&lt;&gt;"",1,0)+IF(EG455&lt;&gt;"",1,0)+IF(EH455&lt;&gt;"",1,0)</f>
        <v/>
      </c>
      <c r="AZ455">
        <f>IF(EH455&lt;&gt;"",1,0)</f>
        <v/>
      </c>
      <c r="BB455" t="inlineStr">
        <is>
          <t>WARREN-WARD 4</t>
        </is>
      </c>
      <c r="CA455" t="inlineStr">
        <is>
          <t>X</t>
        </is>
      </c>
      <c r="CK455" t="inlineStr">
        <is>
          <t>X</t>
        </is>
      </c>
      <c r="CP455" t="inlineStr">
        <is>
          <t>X</t>
        </is>
      </c>
      <c r="CV455" t="inlineStr">
        <is>
          <t>X</t>
        </is>
      </c>
      <c r="DC455" t="inlineStr">
        <is>
          <t>X</t>
        </is>
      </c>
      <c r="DI455" t="inlineStr">
        <is>
          <t>X</t>
        </is>
      </c>
      <c r="EF455" t="inlineStr">
        <is>
          <t>X</t>
        </is>
      </c>
    </row>
    <row r="456">
      <c r="A456" t="inlineStr">
        <is>
          <t>OH0027567768</t>
        </is>
      </c>
      <c r="B456" t="n">
        <v>78</v>
      </c>
      <c r="C456" t="n">
        <v>488565</v>
      </c>
      <c r="D456" t="inlineStr">
        <is>
          <t>CONN</t>
        </is>
      </c>
      <c r="E456" t="inlineStr">
        <is>
          <t>HAROLD</t>
        </is>
      </c>
      <c r="F456">
        <f>CONCATENATE(D456," ",LEFT(H456,4),"T=",AU456,"D=",AV456,"R=",AW456,"M=",AX456,"L=",AY456,"B=",AZ456)</f>
        <v/>
      </c>
      <c r="G456" t="inlineStr">
        <is>
          <t>CRISS</t>
        </is>
      </c>
      <c r="I456" t="inlineStr">
        <is>
          <t>1945-08-28</t>
        </is>
      </c>
      <c r="J456" t="inlineStr">
        <is>
          <t>2024-09-04</t>
        </is>
      </c>
      <c r="K456" t="inlineStr">
        <is>
          <t>ACTIVE</t>
        </is>
      </c>
      <c r="M456" t="inlineStr">
        <is>
          <t>764 KENILWORTH AVE SE</t>
        </is>
      </c>
      <c r="N456">
        <f>RIGHT(M456,LEN(M456)-FIND(" ",M456))</f>
        <v/>
      </c>
      <c r="P456" t="inlineStr">
        <is>
          <t>WARREN</t>
        </is>
      </c>
      <c r="Q456" t="inlineStr">
        <is>
          <t>OH</t>
        </is>
      </c>
      <c r="R456" t="n">
        <v>44484</v>
      </c>
      <c r="AD456" t="inlineStr">
        <is>
          <t>TRUMBULL CAREER &amp; TECH CENTER</t>
        </is>
      </c>
      <c r="AE456" t="inlineStr">
        <is>
          <t>WARREN CITY</t>
        </is>
      </c>
      <c r="AF456" t="inlineStr">
        <is>
          <t>WARREN CITY SD</t>
        </is>
      </c>
      <c r="AH456" t="n">
        <v>14</v>
      </c>
      <c r="AI456" t="n">
        <v>11</v>
      </c>
      <c r="AN456" t="inlineStr">
        <is>
          <t>WARREN</t>
        </is>
      </c>
      <c r="AO456" t="inlineStr">
        <is>
          <t>WARREN CITY 4A</t>
        </is>
      </c>
      <c r="AP456" t="inlineStr">
        <is>
          <t>78-P-ADI</t>
        </is>
      </c>
      <c r="AQ456" t="n">
        <v>9</v>
      </c>
      <c r="AR456" t="n">
        <v>64</v>
      </c>
      <c r="AS456" t="n">
        <v>32</v>
      </c>
      <c r="AU456">
        <f>COUNTA($BA$456:$EH$456)</f>
        <v/>
      </c>
      <c r="AV456">
        <f>COUNTIF($BA$456:$EH$456,"D")</f>
        <v/>
      </c>
      <c r="AW456">
        <f>COUNTIF($BA$456:$EH$456,"R")</f>
        <v/>
      </c>
      <c r="AX456">
        <f>IF(BN456="D",1,0)+IF(BO456="D",1,0)+IF(BT456="D",1,0)+IF(BU456="D",1,0)+IF(BW456="D",1,0)+IF(CC456="D",1,0)+IF(CD456="D",1,0)+IF(CE456="D",1,0)+IF(CF456="D",1,0)+IF(CL456="D",1,0)+IF(CM456="D",1,0)+IF(CQ456="D",1,0)+IF(CR456="D",1,0)+IF(CS456="D",1,0)+IF(CW456="D",1,0)+IF(CX456="D",1,0)+IF(DD456="D",1,0)+IF(DE456="D",1,0)+IF(DJ456="D",1,0)+IF(DK456="D",1,0)+IF(DO456="D",1,0)+IF(DP456="D",1,0)+IF(DQ456="D",1,0)+IF(DW456="D",1,0)+IF(DZ456="D",1,0)+IF(EH456="D",1,0)</f>
        <v/>
      </c>
      <c r="AY456">
        <f>IF(DJ456&lt;&gt;"",1,0)+IF(DK456&lt;&gt;"",1,0)+IF(DM456&lt;&gt;"",1,0)+IF(DO456&lt;&gt;"",1,0)+IF(DP456&lt;&gt;"",1,0)+IF(DQ456&lt;&gt;"",1,0)+IF(DS456&lt;&gt;"",1,0)+IF(DT456&lt;&gt;"",1,0)+IF(DV456&lt;&gt;"",1,0)+IF(DW456&lt;&gt;"",1,0)+IF(DX456&lt;&gt;"",1,0)+IF(DY456&lt;&gt;"",1,0)+IF(DZ456&lt;&gt;"",1,0)+IF(EB456&lt;&gt;"",1,0)+IF(EC456&lt;&gt;"",1,0)+IF(ED456&lt;&gt;"",1,0)+IF(EG456&lt;&gt;"",1,0)+IF(EH456&lt;&gt;"",1,0)</f>
        <v/>
      </c>
      <c r="AZ456">
        <f>IF(EH456&lt;&gt;"",1,0)</f>
        <v/>
      </c>
      <c r="BB456" t="inlineStr">
        <is>
          <t>WARREN-WARD 4</t>
        </is>
      </c>
      <c r="EF456" t="inlineStr">
        <is>
          <t>X</t>
        </is>
      </c>
    </row>
    <row r="457">
      <c r="A457" t="inlineStr">
        <is>
          <t>OH0026272242</t>
        </is>
      </c>
      <c r="B457" t="n">
        <v>78</v>
      </c>
      <c r="C457" t="n">
        <v>459427</v>
      </c>
      <c r="D457" t="inlineStr">
        <is>
          <t>SEILER</t>
        </is>
      </c>
      <c r="E457" t="inlineStr">
        <is>
          <t>LOUIS</t>
        </is>
      </c>
      <c r="F457">
        <f>CONCATENATE(D457," ",LEFT(H457,4),"T=",AU457,"D=",AV457,"R=",AW457,"M=",AX457,"L=",AY457,"B=",AZ457)</f>
        <v/>
      </c>
      <c r="G457" t="inlineStr">
        <is>
          <t>J</t>
        </is>
      </c>
      <c r="I457" t="inlineStr">
        <is>
          <t>1992-08-13</t>
        </is>
      </c>
      <c r="J457" t="inlineStr">
        <is>
          <t>2021-08-24</t>
        </is>
      </c>
      <c r="K457" t="inlineStr">
        <is>
          <t>CONFIRMATION</t>
        </is>
      </c>
      <c r="M457" t="inlineStr">
        <is>
          <t>385 OAK KNOLL AVE SE</t>
        </is>
      </c>
      <c r="N457">
        <f>RIGHT(M457,LEN(M457)-FIND(" ",M457))</f>
        <v/>
      </c>
      <c r="P457" t="inlineStr">
        <is>
          <t>WARREN</t>
        </is>
      </c>
      <c r="Q457" t="inlineStr">
        <is>
          <t>OH</t>
        </is>
      </c>
      <c r="R457" t="n">
        <v>44483</v>
      </c>
      <c r="AD457" t="inlineStr">
        <is>
          <t>TRUMBULL CAREER &amp; TECH CENTER</t>
        </is>
      </c>
      <c r="AE457" t="inlineStr">
        <is>
          <t>WARREN CITY</t>
        </is>
      </c>
      <c r="AF457" t="inlineStr">
        <is>
          <t>WARREN CITY SD</t>
        </is>
      </c>
      <c r="AH457" t="n">
        <v>14</v>
      </c>
      <c r="AI457" t="n">
        <v>11</v>
      </c>
      <c r="AN457" t="inlineStr">
        <is>
          <t>WARREN</t>
        </is>
      </c>
      <c r="AO457" t="inlineStr">
        <is>
          <t>WARREN CITY 4A</t>
        </is>
      </c>
      <c r="AP457" t="inlineStr">
        <is>
          <t>78-P-ADI</t>
        </is>
      </c>
      <c r="AQ457" t="n">
        <v>9</v>
      </c>
      <c r="AR457" t="n">
        <v>64</v>
      </c>
      <c r="AS457" t="n">
        <v>32</v>
      </c>
      <c r="AU457">
        <f>COUNTA($BA$457:$EH$457)</f>
        <v/>
      </c>
      <c r="AV457">
        <f>COUNTIF($BA$457:$EH$457,"D")</f>
        <v/>
      </c>
      <c r="AW457">
        <f>COUNTIF($BA$457:$EH$457,"R")</f>
        <v/>
      </c>
      <c r="AX457">
        <f>IF(BN457="D",1,0)+IF(BO457="D",1,0)+IF(BT457="D",1,0)+IF(BU457="D",1,0)+IF(BW457="D",1,0)+IF(CC457="D",1,0)+IF(CD457="D",1,0)+IF(CE457="D",1,0)+IF(CF457="D",1,0)+IF(CL457="D",1,0)+IF(CM457="D",1,0)+IF(CQ457="D",1,0)+IF(CR457="D",1,0)+IF(CS457="D",1,0)+IF(CW457="D",1,0)+IF(CX457="D",1,0)+IF(DD457="D",1,0)+IF(DE457="D",1,0)+IF(DJ457="D",1,0)+IF(DK457="D",1,0)+IF(DO457="D",1,0)+IF(DP457="D",1,0)+IF(DQ457="D",1,0)+IF(DW457="D",1,0)+IF(DZ457="D",1,0)+IF(EH457="D",1,0)</f>
        <v/>
      </c>
      <c r="AY457">
        <f>IF(DJ457&lt;&gt;"",1,0)+IF(DK457&lt;&gt;"",1,0)+IF(DM457&lt;&gt;"",1,0)+IF(DO457&lt;&gt;"",1,0)+IF(DP457&lt;&gt;"",1,0)+IF(DQ457&lt;&gt;"",1,0)+IF(DS457&lt;&gt;"",1,0)+IF(DT457&lt;&gt;"",1,0)+IF(DV457&lt;&gt;"",1,0)+IF(DW457&lt;&gt;"",1,0)+IF(DX457&lt;&gt;"",1,0)+IF(DY457&lt;&gt;"",1,0)+IF(DZ457&lt;&gt;"",1,0)+IF(EB457&lt;&gt;"",1,0)+IF(EC457&lt;&gt;"",1,0)+IF(ED457&lt;&gt;"",1,0)+IF(EG457&lt;&gt;"",1,0)+IF(EH457&lt;&gt;"",1,0)</f>
        <v/>
      </c>
      <c r="AZ457">
        <f>IF(EH457&lt;&gt;"",1,0)</f>
        <v/>
      </c>
      <c r="BB457" t="inlineStr">
        <is>
          <t>WARREN-WARD 4</t>
        </is>
      </c>
      <c r="CL457" t="inlineStr">
        <is>
          <t>R</t>
        </is>
      </c>
      <c r="CT457" t="inlineStr">
        <is>
          <t>X</t>
        </is>
      </c>
    </row>
    <row r="458">
      <c r="A458" t="inlineStr">
        <is>
          <t>OH0019479995</t>
        </is>
      </c>
      <c r="B458" t="n">
        <v>78</v>
      </c>
      <c r="C458" t="n">
        <v>354348</v>
      </c>
      <c r="D458" t="inlineStr">
        <is>
          <t>DAVIS</t>
        </is>
      </c>
      <c r="E458" t="inlineStr">
        <is>
          <t>TINA</t>
        </is>
      </c>
      <c r="F458">
        <f>CONCATENATE(D458," ",LEFT(H458,4),"T=",AU458,"D=",AV458,"R=",AW458,"M=",AX458,"L=",AY458,"B=",AZ458)</f>
        <v/>
      </c>
      <c r="G458" t="inlineStr">
        <is>
          <t>M ROSE</t>
        </is>
      </c>
      <c r="I458" t="inlineStr">
        <is>
          <t>1962-03-17</t>
        </is>
      </c>
      <c r="J458" t="inlineStr">
        <is>
          <t>2019-07-15</t>
        </is>
      </c>
      <c r="K458" t="inlineStr">
        <is>
          <t>ACTIVE</t>
        </is>
      </c>
      <c r="M458" t="inlineStr">
        <is>
          <t>836 KENILWORTH AVE SE</t>
        </is>
      </c>
      <c r="N458">
        <f>RIGHT(M458,LEN(M458)-FIND(" ",M458))</f>
        <v/>
      </c>
      <c r="P458" t="inlineStr">
        <is>
          <t>WARREN</t>
        </is>
      </c>
      <c r="Q458" t="inlineStr">
        <is>
          <t>OH</t>
        </is>
      </c>
      <c r="R458" t="n">
        <v>44484</v>
      </c>
      <c r="AD458" t="inlineStr">
        <is>
          <t>TRUMBULL CAREER &amp; TECH CENTER</t>
        </is>
      </c>
      <c r="AE458" t="inlineStr">
        <is>
          <t>WARREN CITY</t>
        </is>
      </c>
      <c r="AF458" t="inlineStr">
        <is>
          <t>WARREN CITY SD</t>
        </is>
      </c>
      <c r="AH458" t="n">
        <v>14</v>
      </c>
      <c r="AI458" t="n">
        <v>11</v>
      </c>
      <c r="AN458" t="inlineStr">
        <is>
          <t>WARREN</t>
        </is>
      </c>
      <c r="AO458" t="inlineStr">
        <is>
          <t>WARREN CITY 4A</t>
        </is>
      </c>
      <c r="AP458" t="inlineStr">
        <is>
          <t>78-P-ADI</t>
        </is>
      </c>
      <c r="AQ458" t="n">
        <v>9</v>
      </c>
      <c r="AR458" t="n">
        <v>64</v>
      </c>
      <c r="AS458" t="n">
        <v>32</v>
      </c>
      <c r="AU458">
        <f>COUNTA($BA$458:$EH$458)</f>
        <v/>
      </c>
      <c r="AV458">
        <f>COUNTIF($BA$458:$EH$458,"D")</f>
        <v/>
      </c>
      <c r="AW458">
        <f>COUNTIF($BA$458:$EH$458,"R")</f>
        <v/>
      </c>
      <c r="AX458">
        <f>IF(BN458="D",1,0)+IF(BO458="D",1,0)+IF(BT458="D",1,0)+IF(BU458="D",1,0)+IF(BW458="D",1,0)+IF(CC458="D",1,0)+IF(CD458="D",1,0)+IF(CE458="D",1,0)+IF(CF458="D",1,0)+IF(CL458="D",1,0)+IF(CM458="D",1,0)+IF(CQ458="D",1,0)+IF(CR458="D",1,0)+IF(CS458="D",1,0)+IF(CW458="D",1,0)+IF(CX458="D",1,0)+IF(DD458="D",1,0)+IF(DE458="D",1,0)+IF(DJ458="D",1,0)+IF(DK458="D",1,0)+IF(DO458="D",1,0)+IF(DP458="D",1,0)+IF(DQ458="D",1,0)+IF(DW458="D",1,0)+IF(DZ458="D",1,0)+IF(EH458="D",1,0)</f>
        <v/>
      </c>
      <c r="AY458">
        <f>IF(DJ458&lt;&gt;"",1,0)+IF(DK458&lt;&gt;"",1,0)+IF(DM458&lt;&gt;"",1,0)+IF(DO458&lt;&gt;"",1,0)+IF(DP458&lt;&gt;"",1,0)+IF(DQ458&lt;&gt;"",1,0)+IF(DS458&lt;&gt;"",1,0)+IF(DT458&lt;&gt;"",1,0)+IF(DV458&lt;&gt;"",1,0)+IF(DW458&lt;&gt;"",1,0)+IF(DX458&lt;&gt;"",1,0)+IF(DY458&lt;&gt;"",1,0)+IF(DZ458&lt;&gt;"",1,0)+IF(EB458&lt;&gt;"",1,0)+IF(EC458&lt;&gt;"",1,0)+IF(ED458&lt;&gt;"",1,0)+IF(EG458&lt;&gt;"",1,0)+IF(EH458&lt;&gt;"",1,0)</f>
        <v/>
      </c>
      <c r="AZ458">
        <f>IF(EH458&lt;&gt;"",1,0)</f>
        <v/>
      </c>
      <c r="BB458" t="inlineStr">
        <is>
          <t>WARREN-WARD 4</t>
        </is>
      </c>
      <c r="BY458" t="inlineStr">
        <is>
          <t>D</t>
        </is>
      </c>
      <c r="CA458" t="inlineStr">
        <is>
          <t>X</t>
        </is>
      </c>
      <c r="CP458" t="inlineStr">
        <is>
          <t>X</t>
        </is>
      </c>
      <c r="CY458" t="inlineStr">
        <is>
          <t>X</t>
        </is>
      </c>
      <c r="DC458" t="inlineStr">
        <is>
          <t>X</t>
        </is>
      </c>
      <c r="DN458" t="inlineStr">
        <is>
          <t>X</t>
        </is>
      </c>
      <c r="DU458" t="inlineStr">
        <is>
          <t>X</t>
        </is>
      </c>
      <c r="EA458" t="inlineStr">
        <is>
          <t>X</t>
        </is>
      </c>
      <c r="EF458" t="inlineStr">
        <is>
          <t>X</t>
        </is>
      </c>
    </row>
    <row r="459">
      <c r="A459" t="inlineStr">
        <is>
          <t>OH0015791475</t>
        </is>
      </c>
      <c r="B459" t="n">
        <v>78</v>
      </c>
      <c r="C459" t="n">
        <v>317041</v>
      </c>
      <c r="D459" t="inlineStr">
        <is>
          <t>HURST</t>
        </is>
      </c>
      <c r="E459" t="inlineStr">
        <is>
          <t>CARLYN</t>
        </is>
      </c>
      <c r="F459">
        <f>CONCATENATE(D459," ",LEFT(H459,4),"T=",AU459,"D=",AV459,"R=",AW459,"M=",AX459,"L=",AY459,"B=",AZ459)</f>
        <v/>
      </c>
      <c r="G459" t="inlineStr">
        <is>
          <t>D</t>
        </is>
      </c>
      <c r="I459" t="inlineStr">
        <is>
          <t>1971-05-11</t>
        </is>
      </c>
      <c r="J459" t="inlineStr">
        <is>
          <t>2024-08-08</t>
        </is>
      </c>
      <c r="K459" t="inlineStr">
        <is>
          <t>ACTIVE</t>
        </is>
      </c>
      <c r="M459" t="inlineStr">
        <is>
          <t>588 OAK KNOLL AVE SE</t>
        </is>
      </c>
      <c r="N459">
        <f>RIGHT(M459,LEN(M459)-FIND(" ",M459))</f>
        <v/>
      </c>
      <c r="P459" t="inlineStr">
        <is>
          <t>WARREN</t>
        </is>
      </c>
      <c r="Q459" t="inlineStr">
        <is>
          <t>OH</t>
        </is>
      </c>
      <c r="R459" t="n">
        <v>44483</v>
      </c>
      <c r="AD459" t="inlineStr">
        <is>
          <t>TRUMBULL CAREER &amp; TECH CENTER</t>
        </is>
      </c>
      <c r="AE459" t="inlineStr">
        <is>
          <t>WARREN CITY</t>
        </is>
      </c>
      <c r="AF459" t="inlineStr">
        <is>
          <t>WARREN CITY SD</t>
        </is>
      </c>
      <c r="AH459" t="n">
        <v>14</v>
      </c>
      <c r="AI459" t="n">
        <v>11</v>
      </c>
      <c r="AN459" t="inlineStr">
        <is>
          <t>WARREN</t>
        </is>
      </c>
      <c r="AO459" t="inlineStr">
        <is>
          <t>WARREN CITY 4A</t>
        </is>
      </c>
      <c r="AP459" t="inlineStr">
        <is>
          <t>78-P-ADI</t>
        </is>
      </c>
      <c r="AQ459" t="n">
        <v>9</v>
      </c>
      <c r="AR459" t="n">
        <v>64</v>
      </c>
      <c r="AS459" t="n">
        <v>32</v>
      </c>
      <c r="AU459">
        <f>COUNTA($BA$459:$EH$459)</f>
        <v/>
      </c>
      <c r="AV459">
        <f>COUNTIF($BA$459:$EH$459,"D")</f>
        <v/>
      </c>
      <c r="AW459">
        <f>COUNTIF($BA$459:$EH$459,"R")</f>
        <v/>
      </c>
      <c r="AX459">
        <f>IF(BN459="D",1,0)+IF(BO459="D",1,0)+IF(BT459="D",1,0)+IF(BU459="D",1,0)+IF(BW459="D",1,0)+IF(CC459="D",1,0)+IF(CD459="D",1,0)+IF(CE459="D",1,0)+IF(CF459="D",1,0)+IF(CL459="D",1,0)+IF(CM459="D",1,0)+IF(CQ459="D",1,0)+IF(CR459="D",1,0)+IF(CS459="D",1,0)+IF(CW459="D",1,0)+IF(CX459="D",1,0)+IF(DD459="D",1,0)+IF(DE459="D",1,0)+IF(DJ459="D",1,0)+IF(DK459="D",1,0)+IF(DO459="D",1,0)+IF(DP459="D",1,0)+IF(DQ459="D",1,0)+IF(DW459="D",1,0)+IF(DZ459="D",1,0)+IF(EH459="D",1,0)</f>
        <v/>
      </c>
      <c r="AY459">
        <f>IF(DJ459&lt;&gt;"",1,0)+IF(DK459&lt;&gt;"",1,0)+IF(DM459&lt;&gt;"",1,0)+IF(DO459&lt;&gt;"",1,0)+IF(DP459&lt;&gt;"",1,0)+IF(DQ459&lt;&gt;"",1,0)+IF(DS459&lt;&gt;"",1,0)+IF(DT459&lt;&gt;"",1,0)+IF(DV459&lt;&gt;"",1,0)+IF(DW459&lt;&gt;"",1,0)+IF(DX459&lt;&gt;"",1,0)+IF(DY459&lt;&gt;"",1,0)+IF(DZ459&lt;&gt;"",1,0)+IF(EB459&lt;&gt;"",1,0)+IF(EC459&lt;&gt;"",1,0)+IF(ED459&lt;&gt;"",1,0)+IF(EG459&lt;&gt;"",1,0)+IF(EH459&lt;&gt;"",1,0)</f>
        <v/>
      </c>
      <c r="AZ459">
        <f>IF(EH459&lt;&gt;"",1,0)</f>
        <v/>
      </c>
      <c r="BB459" t="inlineStr">
        <is>
          <t>WARREN-WARD 4</t>
        </is>
      </c>
      <c r="BJ459" t="inlineStr">
        <is>
          <t>X</t>
        </is>
      </c>
      <c r="BK459" t="inlineStr">
        <is>
          <t>X</t>
        </is>
      </c>
      <c r="BL459" t="inlineStr">
        <is>
          <t>X</t>
        </is>
      </c>
      <c r="EF459" t="inlineStr">
        <is>
          <t>X</t>
        </is>
      </c>
    </row>
    <row r="460">
      <c r="A460" t="inlineStr">
        <is>
          <t>OH0023079887</t>
        </is>
      </c>
      <c r="B460" t="n">
        <v>78</v>
      </c>
      <c r="C460" t="n">
        <v>406523</v>
      </c>
      <c r="D460" t="inlineStr">
        <is>
          <t>MILLS</t>
        </is>
      </c>
      <c r="E460" t="inlineStr">
        <is>
          <t>ELLIS</t>
        </is>
      </c>
      <c r="F460">
        <f>CONCATENATE(D460," ",LEFT(H460,4),"T=",AU460,"D=",AV460,"R=",AW460,"M=",AX460,"L=",AY460,"B=",AZ460)</f>
        <v/>
      </c>
      <c r="G460" t="inlineStr">
        <is>
          <t>R</t>
        </is>
      </c>
      <c r="I460" t="inlineStr">
        <is>
          <t>1997-10-15</t>
        </is>
      </c>
      <c r="J460" t="inlineStr">
        <is>
          <t>2018-11-28</t>
        </is>
      </c>
      <c r="K460" t="inlineStr">
        <is>
          <t>ACTIVE</t>
        </is>
      </c>
      <c r="M460" t="inlineStr">
        <is>
          <t>370 CHARLES AVE SE</t>
        </is>
      </c>
      <c r="N460">
        <f>RIGHT(M460,LEN(M460)-FIND(" ",M460))</f>
        <v/>
      </c>
      <c r="P460" t="inlineStr">
        <is>
          <t>WARREN</t>
        </is>
      </c>
      <c r="Q460" t="inlineStr">
        <is>
          <t>OH</t>
        </is>
      </c>
      <c r="R460" t="n">
        <v>44483</v>
      </c>
      <c r="AD460" t="inlineStr">
        <is>
          <t>TRUMBULL CAREER &amp; TECH CENTER</t>
        </is>
      </c>
      <c r="AE460" t="inlineStr">
        <is>
          <t>WARREN CITY</t>
        </is>
      </c>
      <c r="AF460" t="inlineStr">
        <is>
          <t>WARREN CITY SD</t>
        </is>
      </c>
      <c r="AH460" t="n">
        <v>14</v>
      </c>
      <c r="AI460" t="n">
        <v>11</v>
      </c>
      <c r="AN460" t="inlineStr">
        <is>
          <t>WARREN</t>
        </is>
      </c>
      <c r="AO460" t="inlineStr">
        <is>
          <t>WARREN CITY 4A</t>
        </is>
      </c>
      <c r="AP460" t="inlineStr">
        <is>
          <t>78-P-ADI</t>
        </is>
      </c>
      <c r="AQ460" t="n">
        <v>9</v>
      </c>
      <c r="AR460" t="n">
        <v>64</v>
      </c>
      <c r="AS460" t="n">
        <v>32</v>
      </c>
      <c r="AU460">
        <f>COUNTA($BA$460:$EH$460)</f>
        <v/>
      </c>
      <c r="AV460">
        <f>COUNTIF($BA$460:$EH$460,"D")</f>
        <v/>
      </c>
      <c r="AW460">
        <f>COUNTIF($BA$460:$EH$460,"R")</f>
        <v/>
      </c>
      <c r="AX460">
        <f>IF(BN460="D",1,0)+IF(BO460="D",1,0)+IF(BT460="D",1,0)+IF(BU460="D",1,0)+IF(BW460="D",1,0)+IF(CC460="D",1,0)+IF(CD460="D",1,0)+IF(CE460="D",1,0)+IF(CF460="D",1,0)+IF(CL460="D",1,0)+IF(CM460="D",1,0)+IF(CQ460="D",1,0)+IF(CR460="D",1,0)+IF(CS460="D",1,0)+IF(CW460="D",1,0)+IF(CX460="D",1,0)+IF(DD460="D",1,0)+IF(DE460="D",1,0)+IF(DJ460="D",1,0)+IF(DK460="D",1,0)+IF(DO460="D",1,0)+IF(DP460="D",1,0)+IF(DQ460="D",1,0)+IF(DW460="D",1,0)+IF(DZ460="D",1,0)+IF(EH460="D",1,0)</f>
        <v/>
      </c>
      <c r="AY460">
        <f>IF(DJ460&lt;&gt;"",1,0)+IF(DK460&lt;&gt;"",1,0)+IF(DM460&lt;&gt;"",1,0)+IF(DO460&lt;&gt;"",1,0)+IF(DP460&lt;&gt;"",1,0)+IF(DQ460&lt;&gt;"",1,0)+IF(DS460&lt;&gt;"",1,0)+IF(DT460&lt;&gt;"",1,0)+IF(DV460&lt;&gt;"",1,0)+IF(DW460&lt;&gt;"",1,0)+IF(DX460&lt;&gt;"",1,0)+IF(DY460&lt;&gt;"",1,0)+IF(DZ460&lt;&gt;"",1,0)+IF(EB460&lt;&gt;"",1,0)+IF(EC460&lt;&gt;"",1,0)+IF(ED460&lt;&gt;"",1,0)+IF(EG460&lt;&gt;"",1,0)+IF(EH460&lt;&gt;"",1,0)</f>
        <v/>
      </c>
      <c r="AZ460">
        <f>IF(EH460&lt;&gt;"",1,0)</f>
        <v/>
      </c>
      <c r="BB460" t="inlineStr">
        <is>
          <t>WARREN-WARD 4</t>
        </is>
      </c>
      <c r="CY460" t="inlineStr">
        <is>
          <t>X</t>
        </is>
      </c>
      <c r="DI460" t="inlineStr">
        <is>
          <t>X</t>
        </is>
      </c>
      <c r="DN460" t="inlineStr">
        <is>
          <t>X</t>
        </is>
      </c>
      <c r="EA460" t="inlineStr">
        <is>
          <t>X</t>
        </is>
      </c>
      <c r="EF460" t="inlineStr">
        <is>
          <t>X</t>
        </is>
      </c>
    </row>
    <row r="461">
      <c r="A461" t="inlineStr">
        <is>
          <t>OH0023628635</t>
        </is>
      </c>
      <c r="B461" t="n">
        <v>78</v>
      </c>
      <c r="C461" t="n">
        <v>414887</v>
      </c>
      <c r="D461" t="inlineStr">
        <is>
          <t>KELLAR</t>
        </is>
      </c>
      <c r="E461" t="inlineStr">
        <is>
          <t>ELIZABETH</t>
        </is>
      </c>
      <c r="F461">
        <f>CONCATENATE(D461," ",LEFT(H461,4),"T=",AU461,"D=",AV461,"R=",AW461,"M=",AX461,"L=",AY461,"B=",AZ461)</f>
        <v/>
      </c>
      <c r="G461" t="inlineStr">
        <is>
          <t>JANE</t>
        </is>
      </c>
      <c r="I461" t="inlineStr">
        <is>
          <t>1997-07-29</t>
        </is>
      </c>
      <c r="J461" t="inlineStr">
        <is>
          <t>2016-02-03</t>
        </is>
      </c>
      <c r="K461" t="inlineStr">
        <is>
          <t>CONFIRMATION</t>
        </is>
      </c>
      <c r="M461" t="inlineStr">
        <is>
          <t>217 KENILWORTH AVE SE</t>
        </is>
      </c>
      <c r="N461">
        <f>RIGHT(M461,LEN(M461)-FIND(" ",M461))</f>
        <v/>
      </c>
      <c r="P461" t="inlineStr">
        <is>
          <t>WARREN</t>
        </is>
      </c>
      <c r="Q461" t="inlineStr">
        <is>
          <t>OH</t>
        </is>
      </c>
      <c r="R461" t="n">
        <v>44483</v>
      </c>
      <c r="AD461" t="inlineStr">
        <is>
          <t>TRUMBULL CAREER &amp; TECH CENTER</t>
        </is>
      </c>
      <c r="AE461" t="inlineStr">
        <is>
          <t>WARREN CITY</t>
        </is>
      </c>
      <c r="AF461" t="inlineStr">
        <is>
          <t>WARREN CITY SD</t>
        </is>
      </c>
      <c r="AH461" t="n">
        <v>14</v>
      </c>
      <c r="AI461" t="n">
        <v>11</v>
      </c>
      <c r="AN461" t="inlineStr">
        <is>
          <t>WARREN</t>
        </is>
      </c>
      <c r="AO461" t="inlineStr">
        <is>
          <t>WARREN CITY 4A</t>
        </is>
      </c>
      <c r="AP461" t="inlineStr">
        <is>
          <t>78-P-ADI</t>
        </is>
      </c>
      <c r="AQ461" t="n">
        <v>9</v>
      </c>
      <c r="AR461" t="n">
        <v>64</v>
      </c>
      <c r="AS461" t="n">
        <v>32</v>
      </c>
      <c r="AU461">
        <f>COUNTA($BA$461:$EH$461)</f>
        <v/>
      </c>
      <c r="AV461">
        <f>COUNTIF($BA$461:$EH$461,"D")</f>
        <v/>
      </c>
      <c r="AW461">
        <f>COUNTIF($BA$461:$EH$461,"R")</f>
        <v/>
      </c>
      <c r="AX461">
        <f>IF(BN461="D",1,0)+IF(BO461="D",1,0)+IF(BT461="D",1,0)+IF(BU461="D",1,0)+IF(BW461="D",1,0)+IF(CC461="D",1,0)+IF(CD461="D",1,0)+IF(CE461="D",1,0)+IF(CF461="D",1,0)+IF(CL461="D",1,0)+IF(CM461="D",1,0)+IF(CQ461="D",1,0)+IF(CR461="D",1,0)+IF(CS461="D",1,0)+IF(CW461="D",1,0)+IF(CX461="D",1,0)+IF(DD461="D",1,0)+IF(DE461="D",1,0)+IF(DJ461="D",1,0)+IF(DK461="D",1,0)+IF(DO461="D",1,0)+IF(DP461="D",1,0)+IF(DQ461="D",1,0)+IF(DW461="D",1,0)+IF(DZ461="D",1,0)+IF(EH461="D",1,0)</f>
        <v/>
      </c>
      <c r="AY461">
        <f>IF(DJ461&lt;&gt;"",1,0)+IF(DK461&lt;&gt;"",1,0)+IF(DM461&lt;&gt;"",1,0)+IF(DO461&lt;&gt;"",1,0)+IF(DP461&lt;&gt;"",1,0)+IF(DQ461&lt;&gt;"",1,0)+IF(DS461&lt;&gt;"",1,0)+IF(DT461&lt;&gt;"",1,0)+IF(DV461&lt;&gt;"",1,0)+IF(DW461&lt;&gt;"",1,0)+IF(DX461&lt;&gt;"",1,0)+IF(DY461&lt;&gt;"",1,0)+IF(DZ461&lt;&gt;"",1,0)+IF(EB461&lt;&gt;"",1,0)+IF(EC461&lt;&gt;"",1,0)+IF(ED461&lt;&gt;"",1,0)+IF(EG461&lt;&gt;"",1,0)+IF(EH461&lt;&gt;"",1,0)</f>
        <v/>
      </c>
      <c r="AZ461">
        <f>IF(EH461&lt;&gt;"",1,0)</f>
        <v/>
      </c>
      <c r="BB461" t="inlineStr">
        <is>
          <t>WARREN-WARD 4</t>
        </is>
      </c>
      <c r="DC461" t="inlineStr">
        <is>
          <t>X</t>
        </is>
      </c>
      <c r="DI461" t="inlineStr">
        <is>
          <t>X</t>
        </is>
      </c>
    </row>
    <row r="462">
      <c r="A462" t="inlineStr">
        <is>
          <t>OH0015688192</t>
        </is>
      </c>
      <c r="B462" t="n">
        <v>78</v>
      </c>
      <c r="C462" t="n">
        <v>129107</v>
      </c>
      <c r="D462" t="inlineStr">
        <is>
          <t>UJCZO</t>
        </is>
      </c>
      <c r="E462" t="inlineStr">
        <is>
          <t>DENNIS</t>
        </is>
      </c>
      <c r="F462">
        <f>CONCATENATE(D462," ",LEFT(H462,4),"T=",AU462,"D=",AV462,"R=",AW462,"M=",AX462,"L=",AY462,"B=",AZ462)</f>
        <v/>
      </c>
      <c r="G462" t="inlineStr">
        <is>
          <t>E</t>
        </is>
      </c>
      <c r="I462" t="inlineStr">
        <is>
          <t>1951-11-05</t>
        </is>
      </c>
      <c r="J462" t="inlineStr">
        <is>
          <t>1980-10-06</t>
        </is>
      </c>
      <c r="K462" t="inlineStr">
        <is>
          <t>ACTIVE</t>
        </is>
      </c>
      <c r="L462" t="inlineStr">
        <is>
          <t>D</t>
        </is>
      </c>
      <c r="M462" t="inlineStr">
        <is>
          <t>146 OAK KNOLL AVE SE</t>
        </is>
      </c>
      <c r="N462">
        <f>RIGHT(M462,LEN(M462)-FIND(" ",M462))</f>
        <v/>
      </c>
      <c r="P462" t="inlineStr">
        <is>
          <t>WARREN</t>
        </is>
      </c>
      <c r="Q462" t="inlineStr">
        <is>
          <t>OH</t>
        </is>
      </c>
      <c r="R462" t="n">
        <v>44483</v>
      </c>
      <c r="AD462" t="inlineStr">
        <is>
          <t>TRUMBULL CAREER &amp; TECH CENTER</t>
        </is>
      </c>
      <c r="AE462" t="inlineStr">
        <is>
          <t>WARREN CITY</t>
        </is>
      </c>
      <c r="AF462" t="inlineStr">
        <is>
          <t>WARREN CITY SD</t>
        </is>
      </c>
      <c r="AH462" t="n">
        <v>14</v>
      </c>
      <c r="AI462" t="n">
        <v>11</v>
      </c>
      <c r="AN462" t="inlineStr">
        <is>
          <t>WARREN</t>
        </is>
      </c>
      <c r="AO462" t="inlineStr">
        <is>
          <t>WARREN CITY 4A</t>
        </is>
      </c>
      <c r="AP462" t="inlineStr">
        <is>
          <t>78-P-ADI</t>
        </is>
      </c>
      <c r="AQ462" t="n">
        <v>9</v>
      </c>
      <c r="AR462" t="n">
        <v>64</v>
      </c>
      <c r="AS462" t="n">
        <v>32</v>
      </c>
      <c r="AU462">
        <f>COUNTA($BA$462:$EH$462)</f>
        <v/>
      </c>
      <c r="AV462">
        <f>COUNTIF($BA$462:$EH$462,"D")</f>
        <v/>
      </c>
      <c r="AW462">
        <f>COUNTIF($BA$462:$EH$462,"R")</f>
        <v/>
      </c>
      <c r="AX462">
        <f>IF(BN462="D",1,0)+IF(BO462="D",1,0)+IF(BT462="D",1,0)+IF(BU462="D",1,0)+IF(BW462="D",1,0)+IF(CC462="D",1,0)+IF(CD462="D",1,0)+IF(CE462="D",1,0)+IF(CF462="D",1,0)+IF(CL462="D",1,0)+IF(CM462="D",1,0)+IF(CQ462="D",1,0)+IF(CR462="D",1,0)+IF(CS462="D",1,0)+IF(CW462="D",1,0)+IF(CX462="D",1,0)+IF(DD462="D",1,0)+IF(DE462="D",1,0)+IF(DJ462="D",1,0)+IF(DK462="D",1,0)+IF(DO462="D",1,0)+IF(DP462="D",1,0)+IF(DQ462="D",1,0)+IF(DW462="D",1,0)+IF(DZ462="D",1,0)+IF(EH462="D",1,0)</f>
        <v/>
      </c>
      <c r="AY462">
        <f>IF(DJ462&lt;&gt;"",1,0)+IF(DK462&lt;&gt;"",1,0)+IF(DM462&lt;&gt;"",1,0)+IF(DO462&lt;&gt;"",1,0)+IF(DP462&lt;&gt;"",1,0)+IF(DQ462&lt;&gt;"",1,0)+IF(DS462&lt;&gt;"",1,0)+IF(DT462&lt;&gt;"",1,0)+IF(DV462&lt;&gt;"",1,0)+IF(DW462&lt;&gt;"",1,0)+IF(DX462&lt;&gt;"",1,0)+IF(DY462&lt;&gt;"",1,0)+IF(DZ462&lt;&gt;"",1,0)+IF(EB462&lt;&gt;"",1,0)+IF(EC462&lt;&gt;"",1,0)+IF(ED462&lt;&gt;"",1,0)+IF(EG462&lt;&gt;"",1,0)+IF(EH462&lt;&gt;"",1,0)</f>
        <v/>
      </c>
      <c r="AZ462">
        <f>IF(EH462&lt;&gt;"",1,0)</f>
        <v/>
      </c>
      <c r="BB462" t="inlineStr">
        <is>
          <t>WARREN-WARD 4</t>
        </is>
      </c>
      <c r="BC462" t="inlineStr">
        <is>
          <t>X</t>
        </is>
      </c>
      <c r="BD462" t="inlineStr">
        <is>
          <t>X</t>
        </is>
      </c>
      <c r="BE462" t="inlineStr">
        <is>
          <t>X</t>
        </is>
      </c>
      <c r="BF462" t="inlineStr">
        <is>
          <t>X</t>
        </is>
      </c>
      <c r="BG462" t="inlineStr">
        <is>
          <t>X</t>
        </is>
      </c>
      <c r="BH462" t="inlineStr">
        <is>
          <t>X</t>
        </is>
      </c>
      <c r="BI462" t="inlineStr">
        <is>
          <t>X</t>
        </is>
      </c>
      <c r="BJ462" t="inlineStr">
        <is>
          <t>X</t>
        </is>
      </c>
      <c r="BK462" t="inlineStr">
        <is>
          <t>X</t>
        </is>
      </c>
      <c r="BL462" t="inlineStr">
        <is>
          <t>X</t>
        </is>
      </c>
      <c r="BP462" t="inlineStr">
        <is>
          <t>X</t>
        </is>
      </c>
      <c r="BR462" t="inlineStr">
        <is>
          <t>X</t>
        </is>
      </c>
      <c r="BS462" t="inlineStr">
        <is>
          <t>X</t>
        </is>
      </c>
      <c r="BT462" t="inlineStr">
        <is>
          <t>X</t>
        </is>
      </c>
      <c r="BV462" t="inlineStr">
        <is>
          <t>X</t>
        </is>
      </c>
      <c r="BY462" t="inlineStr">
        <is>
          <t>D</t>
        </is>
      </c>
      <c r="CA462" t="inlineStr">
        <is>
          <t>X</t>
        </is>
      </c>
      <c r="CC462" t="inlineStr">
        <is>
          <t>D</t>
        </is>
      </c>
      <c r="CG462" t="inlineStr">
        <is>
          <t>X</t>
        </is>
      </c>
      <c r="CH462" t="inlineStr">
        <is>
          <t>D</t>
        </is>
      </c>
      <c r="CK462" t="inlineStr">
        <is>
          <t>X</t>
        </is>
      </c>
      <c r="CL462" t="inlineStr">
        <is>
          <t>D</t>
        </is>
      </c>
      <c r="CN462" t="inlineStr">
        <is>
          <t>X</t>
        </is>
      </c>
      <c r="CO462" t="inlineStr">
        <is>
          <t>D</t>
        </is>
      </c>
      <c r="CP462" t="inlineStr">
        <is>
          <t>X</t>
        </is>
      </c>
      <c r="CQ462" t="inlineStr">
        <is>
          <t>D</t>
        </is>
      </c>
      <c r="CT462" t="inlineStr">
        <is>
          <t>X</t>
        </is>
      </c>
      <c r="CU462" t="inlineStr">
        <is>
          <t>D</t>
        </is>
      </c>
      <c r="CV462" t="inlineStr">
        <is>
          <t>X</t>
        </is>
      </c>
      <c r="CY462" t="inlineStr">
        <is>
          <t>X</t>
        </is>
      </c>
      <c r="DC462" t="inlineStr">
        <is>
          <t>X</t>
        </is>
      </c>
      <c r="DD462" t="inlineStr">
        <is>
          <t>D</t>
        </is>
      </c>
      <c r="DF462" t="inlineStr">
        <is>
          <t>X</t>
        </is>
      </c>
      <c r="DG462" t="inlineStr">
        <is>
          <t>D</t>
        </is>
      </c>
      <c r="DI462" t="inlineStr">
        <is>
          <t>X</t>
        </is>
      </c>
      <c r="DJ462" t="inlineStr">
        <is>
          <t>D</t>
        </is>
      </c>
      <c r="DL462" t="inlineStr">
        <is>
          <t>X</t>
        </is>
      </c>
      <c r="DM462" t="inlineStr">
        <is>
          <t>D</t>
        </is>
      </c>
      <c r="DN462" t="inlineStr">
        <is>
          <t>X</t>
        </is>
      </c>
      <c r="DR462" t="inlineStr">
        <is>
          <t>X</t>
        </is>
      </c>
      <c r="DS462" t="inlineStr">
        <is>
          <t>D</t>
        </is>
      </c>
      <c r="DT462" t="inlineStr">
        <is>
          <t>D</t>
        </is>
      </c>
      <c r="DU462" t="inlineStr">
        <is>
          <t>X</t>
        </is>
      </c>
      <c r="DW462" t="inlineStr">
        <is>
          <t>D</t>
        </is>
      </c>
      <c r="DX462" t="inlineStr">
        <is>
          <t>X</t>
        </is>
      </c>
      <c r="EA462" t="inlineStr">
        <is>
          <t>X</t>
        </is>
      </c>
      <c r="ED462" t="inlineStr">
        <is>
          <t>D</t>
        </is>
      </c>
      <c r="EF462" t="inlineStr">
        <is>
          <t>X</t>
        </is>
      </c>
      <c r="EH462" t="inlineStr">
        <is>
          <t>D</t>
        </is>
      </c>
    </row>
    <row r="463">
      <c r="A463" t="inlineStr">
        <is>
          <t>OH0015712138</t>
        </is>
      </c>
      <c r="B463" t="n">
        <v>78</v>
      </c>
      <c r="C463" t="n">
        <v>293506</v>
      </c>
      <c r="D463" t="inlineStr">
        <is>
          <t>UJCZO</t>
        </is>
      </c>
      <c r="E463" t="inlineStr">
        <is>
          <t>MATTHEW</t>
        </is>
      </c>
      <c r="F463">
        <f>CONCATENATE(D463," ",LEFT(H463,4),"T=",AU463,"D=",AV463,"R=",AW463,"M=",AX463,"L=",AY463,"B=",AZ463)</f>
        <v/>
      </c>
      <c r="G463" t="inlineStr">
        <is>
          <t>C</t>
        </is>
      </c>
      <c r="I463" t="inlineStr">
        <is>
          <t>1981-11-20</t>
        </is>
      </c>
      <c r="J463" t="inlineStr">
        <is>
          <t>2010-02-08</t>
        </is>
      </c>
      <c r="K463" t="inlineStr">
        <is>
          <t>ACTIVE</t>
        </is>
      </c>
      <c r="L463" t="inlineStr">
        <is>
          <t>D</t>
        </is>
      </c>
      <c r="M463" t="inlineStr">
        <is>
          <t>146 OAK KNOLL AVE SE</t>
        </is>
      </c>
      <c r="N463">
        <f>RIGHT(M463,LEN(M463)-FIND(" ",M463))</f>
        <v/>
      </c>
      <c r="P463" t="inlineStr">
        <is>
          <t>WARREN</t>
        </is>
      </c>
      <c r="Q463" t="inlineStr">
        <is>
          <t>OH</t>
        </is>
      </c>
      <c r="R463" t="n">
        <v>44483</v>
      </c>
      <c r="AD463" t="inlineStr">
        <is>
          <t>TRUMBULL CAREER &amp; TECH CENTER</t>
        </is>
      </c>
      <c r="AE463" t="inlineStr">
        <is>
          <t>WARREN CITY</t>
        </is>
      </c>
      <c r="AF463" t="inlineStr">
        <is>
          <t>WARREN CITY SD</t>
        </is>
      </c>
      <c r="AH463" t="n">
        <v>14</v>
      </c>
      <c r="AI463" t="n">
        <v>11</v>
      </c>
      <c r="AN463" t="inlineStr">
        <is>
          <t>WARREN</t>
        </is>
      </c>
      <c r="AO463" t="inlineStr">
        <is>
          <t>WARREN CITY 4A</t>
        </is>
      </c>
      <c r="AP463" t="inlineStr">
        <is>
          <t>78-P-ADI</t>
        </is>
      </c>
      <c r="AQ463" t="n">
        <v>9</v>
      </c>
      <c r="AR463" t="n">
        <v>64</v>
      </c>
      <c r="AS463" t="n">
        <v>32</v>
      </c>
      <c r="AU463">
        <f>COUNTA($BA$463:$EH$463)</f>
        <v/>
      </c>
      <c r="AV463">
        <f>COUNTIF($BA$463:$EH$463,"D")</f>
        <v/>
      </c>
      <c r="AW463">
        <f>COUNTIF($BA$463:$EH$463,"R")</f>
        <v/>
      </c>
      <c r="AX463">
        <f>IF(BN463="D",1,0)+IF(BO463="D",1,0)+IF(BT463="D",1,0)+IF(BU463="D",1,0)+IF(BW463="D",1,0)+IF(CC463="D",1,0)+IF(CD463="D",1,0)+IF(CE463="D",1,0)+IF(CF463="D",1,0)+IF(CL463="D",1,0)+IF(CM463="D",1,0)+IF(CQ463="D",1,0)+IF(CR463="D",1,0)+IF(CS463="D",1,0)+IF(CW463="D",1,0)+IF(CX463="D",1,0)+IF(DD463="D",1,0)+IF(DE463="D",1,0)+IF(DJ463="D",1,0)+IF(DK463="D",1,0)+IF(DO463="D",1,0)+IF(DP463="D",1,0)+IF(DQ463="D",1,0)+IF(DW463="D",1,0)+IF(DZ463="D",1,0)+IF(EH463="D",1,0)</f>
        <v/>
      </c>
      <c r="AY463">
        <f>IF(DJ463&lt;&gt;"",1,0)+IF(DK463&lt;&gt;"",1,0)+IF(DM463&lt;&gt;"",1,0)+IF(DO463&lt;&gt;"",1,0)+IF(DP463&lt;&gt;"",1,0)+IF(DQ463&lt;&gt;"",1,0)+IF(DS463&lt;&gt;"",1,0)+IF(DT463&lt;&gt;"",1,0)+IF(DV463&lt;&gt;"",1,0)+IF(DW463&lt;&gt;"",1,0)+IF(DX463&lt;&gt;"",1,0)+IF(DY463&lt;&gt;"",1,0)+IF(DZ463&lt;&gt;"",1,0)+IF(EB463&lt;&gt;"",1,0)+IF(EC463&lt;&gt;"",1,0)+IF(ED463&lt;&gt;"",1,0)+IF(EG463&lt;&gt;"",1,0)+IF(EH463&lt;&gt;"",1,0)</f>
        <v/>
      </c>
      <c r="AZ463">
        <f>IF(EH463&lt;&gt;"",1,0)</f>
        <v/>
      </c>
      <c r="BB463" t="inlineStr">
        <is>
          <t>WARREN-WARD 4</t>
        </is>
      </c>
      <c r="BC463" t="inlineStr">
        <is>
          <t>X</t>
        </is>
      </c>
      <c r="BD463" t="inlineStr">
        <is>
          <t>X</t>
        </is>
      </c>
      <c r="BL463" t="inlineStr">
        <is>
          <t>X</t>
        </is>
      </c>
      <c r="BS463" t="inlineStr">
        <is>
          <t>X</t>
        </is>
      </c>
      <c r="CA463" t="inlineStr">
        <is>
          <t>X</t>
        </is>
      </c>
      <c r="CN463" t="inlineStr">
        <is>
          <t>X</t>
        </is>
      </c>
      <c r="CO463" t="inlineStr">
        <is>
          <t>D</t>
        </is>
      </c>
      <c r="CP463" t="inlineStr">
        <is>
          <t>X</t>
        </is>
      </c>
      <c r="CU463" t="inlineStr">
        <is>
          <t>D</t>
        </is>
      </c>
      <c r="CV463" t="inlineStr">
        <is>
          <t>X</t>
        </is>
      </c>
      <c r="CY463" t="inlineStr">
        <is>
          <t>X</t>
        </is>
      </c>
      <c r="CZ463" t="inlineStr">
        <is>
          <t>R</t>
        </is>
      </c>
      <c r="DC463" t="inlineStr">
        <is>
          <t>X</t>
        </is>
      </c>
      <c r="DI463" t="inlineStr">
        <is>
          <t>X</t>
        </is>
      </c>
      <c r="DL463" t="inlineStr">
        <is>
          <t>X</t>
        </is>
      </c>
      <c r="DM463" t="inlineStr">
        <is>
          <t>D</t>
        </is>
      </c>
      <c r="DN463" t="inlineStr">
        <is>
          <t>X</t>
        </is>
      </c>
      <c r="DR463" t="inlineStr">
        <is>
          <t>X</t>
        </is>
      </c>
      <c r="DU463" t="inlineStr">
        <is>
          <t>X</t>
        </is>
      </c>
      <c r="DW463" t="inlineStr">
        <is>
          <t>D</t>
        </is>
      </c>
      <c r="DX463" t="inlineStr">
        <is>
          <t>X</t>
        </is>
      </c>
      <c r="EA463" t="inlineStr">
        <is>
          <t>X</t>
        </is>
      </c>
      <c r="ED463" t="inlineStr">
        <is>
          <t>D</t>
        </is>
      </c>
      <c r="EF463" t="inlineStr">
        <is>
          <t>X</t>
        </is>
      </c>
    </row>
    <row r="464">
      <c r="A464" t="inlineStr">
        <is>
          <t>OH0015696560</t>
        </is>
      </c>
      <c r="B464" t="n">
        <v>78</v>
      </c>
      <c r="C464" t="n">
        <v>151497</v>
      </c>
      <c r="D464" t="inlineStr">
        <is>
          <t>BUYDOS</t>
        </is>
      </c>
      <c r="E464" t="inlineStr">
        <is>
          <t>CYNTHIA</t>
        </is>
      </c>
      <c r="F464">
        <f>CONCATENATE(D464," ",LEFT(H464,4),"T=",AU464,"D=",AV464,"R=",AW464,"M=",AX464,"L=",AY464,"B=",AZ464)</f>
        <v/>
      </c>
      <c r="G464" t="inlineStr">
        <is>
          <t>S</t>
        </is>
      </c>
      <c r="I464" t="inlineStr">
        <is>
          <t>1964-07-01</t>
        </is>
      </c>
      <c r="J464" t="inlineStr">
        <is>
          <t>1982-10-04</t>
        </is>
      </c>
      <c r="K464" t="inlineStr">
        <is>
          <t>ACTIVE</t>
        </is>
      </c>
      <c r="L464" t="inlineStr">
        <is>
          <t>D</t>
        </is>
      </c>
      <c r="M464" t="inlineStr">
        <is>
          <t>166 OAK KNOLL AVE SE</t>
        </is>
      </c>
      <c r="N464">
        <f>RIGHT(M464,LEN(M464)-FIND(" ",M464))</f>
        <v/>
      </c>
      <c r="P464" t="inlineStr">
        <is>
          <t>WARREN</t>
        </is>
      </c>
      <c r="Q464" t="inlineStr">
        <is>
          <t>OH</t>
        </is>
      </c>
      <c r="R464" t="n">
        <v>44483</v>
      </c>
      <c r="AD464" t="inlineStr">
        <is>
          <t>TRUMBULL CAREER &amp; TECH CENTER</t>
        </is>
      </c>
      <c r="AE464" t="inlineStr">
        <is>
          <t>WARREN CITY</t>
        </is>
      </c>
      <c r="AF464" t="inlineStr">
        <is>
          <t>WARREN CITY SD</t>
        </is>
      </c>
      <c r="AH464" t="n">
        <v>14</v>
      </c>
      <c r="AI464" t="n">
        <v>11</v>
      </c>
      <c r="AN464" t="inlineStr">
        <is>
          <t>WARREN</t>
        </is>
      </c>
      <c r="AO464" t="inlineStr">
        <is>
          <t>WARREN CITY 4A</t>
        </is>
      </c>
      <c r="AP464" t="inlineStr">
        <is>
          <t>78-P-ADI</t>
        </is>
      </c>
      <c r="AQ464" t="n">
        <v>9</v>
      </c>
      <c r="AR464" t="n">
        <v>64</v>
      </c>
      <c r="AS464" t="n">
        <v>32</v>
      </c>
      <c r="AU464">
        <f>COUNTA($BA$464:$EH$464)</f>
        <v/>
      </c>
      <c r="AV464">
        <f>COUNTIF($BA$464:$EH$464,"D")</f>
        <v/>
      </c>
      <c r="AW464">
        <f>COUNTIF($BA$464:$EH$464,"R")</f>
        <v/>
      </c>
      <c r="AX464">
        <f>IF(BN464="D",1,0)+IF(BO464="D",1,0)+IF(BT464="D",1,0)+IF(BU464="D",1,0)+IF(BW464="D",1,0)+IF(CC464="D",1,0)+IF(CD464="D",1,0)+IF(CE464="D",1,0)+IF(CF464="D",1,0)+IF(CL464="D",1,0)+IF(CM464="D",1,0)+IF(CQ464="D",1,0)+IF(CR464="D",1,0)+IF(CS464="D",1,0)+IF(CW464="D",1,0)+IF(CX464="D",1,0)+IF(DD464="D",1,0)+IF(DE464="D",1,0)+IF(DJ464="D",1,0)+IF(DK464="D",1,0)+IF(DO464="D",1,0)+IF(DP464="D",1,0)+IF(DQ464="D",1,0)+IF(DW464="D",1,0)+IF(DZ464="D",1,0)+IF(EH464="D",1,0)</f>
        <v/>
      </c>
      <c r="AY464">
        <f>IF(DJ464&lt;&gt;"",1,0)+IF(DK464&lt;&gt;"",1,0)+IF(DM464&lt;&gt;"",1,0)+IF(DO464&lt;&gt;"",1,0)+IF(DP464&lt;&gt;"",1,0)+IF(DQ464&lt;&gt;"",1,0)+IF(DS464&lt;&gt;"",1,0)+IF(DT464&lt;&gt;"",1,0)+IF(DV464&lt;&gt;"",1,0)+IF(DW464&lt;&gt;"",1,0)+IF(DX464&lt;&gt;"",1,0)+IF(DY464&lt;&gt;"",1,0)+IF(DZ464&lt;&gt;"",1,0)+IF(EB464&lt;&gt;"",1,0)+IF(EC464&lt;&gt;"",1,0)+IF(ED464&lt;&gt;"",1,0)+IF(EG464&lt;&gt;"",1,0)+IF(EH464&lt;&gt;"",1,0)</f>
        <v/>
      </c>
      <c r="AZ464">
        <f>IF(EH464&lt;&gt;"",1,0)</f>
        <v/>
      </c>
      <c r="BB464" t="inlineStr">
        <is>
          <t>WARREN-WARD 4</t>
        </is>
      </c>
      <c r="BC464" t="inlineStr">
        <is>
          <t>X</t>
        </is>
      </c>
      <c r="BD464" t="inlineStr">
        <is>
          <t>X</t>
        </is>
      </c>
      <c r="BE464" t="inlineStr">
        <is>
          <t>X</t>
        </is>
      </c>
      <c r="BF464" t="inlineStr">
        <is>
          <t>X</t>
        </is>
      </c>
      <c r="BG464" t="inlineStr">
        <is>
          <t>X</t>
        </is>
      </c>
      <c r="BH464" t="inlineStr">
        <is>
          <t>X</t>
        </is>
      </c>
      <c r="BI464" t="inlineStr">
        <is>
          <t>X</t>
        </is>
      </c>
      <c r="BJ464" t="inlineStr">
        <is>
          <t>X</t>
        </is>
      </c>
      <c r="BK464" t="inlineStr">
        <is>
          <t>X</t>
        </is>
      </c>
      <c r="BL464" t="inlineStr">
        <is>
          <t>X</t>
        </is>
      </c>
      <c r="BP464" t="inlineStr">
        <is>
          <t>X</t>
        </is>
      </c>
      <c r="BR464" t="inlineStr">
        <is>
          <t>X</t>
        </is>
      </c>
      <c r="BT464" t="inlineStr">
        <is>
          <t>X</t>
        </is>
      </c>
      <c r="BV464" t="inlineStr">
        <is>
          <t>X</t>
        </is>
      </c>
      <c r="BY464" t="inlineStr">
        <is>
          <t>D</t>
        </is>
      </c>
      <c r="CA464" t="inlineStr">
        <is>
          <t>X</t>
        </is>
      </c>
      <c r="CC464" t="inlineStr">
        <is>
          <t>D</t>
        </is>
      </c>
      <c r="CG464" t="inlineStr">
        <is>
          <t>X</t>
        </is>
      </c>
      <c r="CK464" t="inlineStr">
        <is>
          <t>X</t>
        </is>
      </c>
      <c r="CL464" t="inlineStr">
        <is>
          <t>D</t>
        </is>
      </c>
      <c r="CN464" t="inlineStr">
        <is>
          <t>X</t>
        </is>
      </c>
      <c r="CO464" t="inlineStr">
        <is>
          <t>D</t>
        </is>
      </c>
      <c r="CP464" t="inlineStr">
        <is>
          <t>X</t>
        </is>
      </c>
      <c r="CT464" t="inlineStr">
        <is>
          <t>X</t>
        </is>
      </c>
      <c r="CU464" t="inlineStr">
        <is>
          <t>D</t>
        </is>
      </c>
      <c r="CV464" t="inlineStr">
        <is>
          <t>X</t>
        </is>
      </c>
      <c r="CY464" t="inlineStr">
        <is>
          <t>X</t>
        </is>
      </c>
      <c r="CZ464" t="inlineStr">
        <is>
          <t>D</t>
        </is>
      </c>
      <c r="DC464" t="inlineStr">
        <is>
          <t>X</t>
        </is>
      </c>
      <c r="DI464" t="inlineStr">
        <is>
          <t>X</t>
        </is>
      </c>
      <c r="DJ464" t="inlineStr">
        <is>
          <t>D</t>
        </is>
      </c>
      <c r="DS464" t="inlineStr">
        <is>
          <t>D</t>
        </is>
      </c>
      <c r="DU464" t="inlineStr">
        <is>
          <t>X</t>
        </is>
      </c>
      <c r="DW464" t="inlineStr">
        <is>
          <t>D</t>
        </is>
      </c>
      <c r="DX464" t="inlineStr">
        <is>
          <t>X</t>
        </is>
      </c>
      <c r="EA464" t="inlineStr">
        <is>
          <t>X</t>
        </is>
      </c>
      <c r="ED464" t="inlineStr">
        <is>
          <t>D</t>
        </is>
      </c>
      <c r="EF464" t="inlineStr">
        <is>
          <t>X</t>
        </is>
      </c>
      <c r="EH464" t="inlineStr">
        <is>
          <t>D</t>
        </is>
      </c>
    </row>
    <row r="465">
      <c r="A465" t="inlineStr">
        <is>
          <t>OH0015788923</t>
        </is>
      </c>
      <c r="B465" t="n">
        <v>78</v>
      </c>
      <c r="C465" t="n">
        <v>309111</v>
      </c>
      <c r="D465" t="inlineStr">
        <is>
          <t>PROVITT</t>
        </is>
      </c>
      <c r="E465" t="inlineStr">
        <is>
          <t>TRIVA</t>
        </is>
      </c>
      <c r="F465">
        <f>CONCATENATE(D465," ",LEFT(H465,4),"T=",AU465,"D=",AV465,"R=",AW465,"M=",AX465,"L=",AY465,"B=",AZ465)</f>
        <v/>
      </c>
      <c r="G465" t="inlineStr">
        <is>
          <t>N</t>
        </is>
      </c>
      <c r="I465" t="inlineStr">
        <is>
          <t>1978-08-15</t>
        </is>
      </c>
      <c r="J465" t="inlineStr">
        <is>
          <t>2023-11-26</t>
        </is>
      </c>
      <c r="K465" t="inlineStr">
        <is>
          <t>ACTIVE</t>
        </is>
      </c>
      <c r="M465" t="inlineStr">
        <is>
          <t>239 HOMEWOOD AVE SE</t>
        </is>
      </c>
      <c r="N465">
        <f>RIGHT(M465,LEN(M465)-FIND(" ",M465))</f>
        <v/>
      </c>
      <c r="P465" t="inlineStr">
        <is>
          <t>WARREN</t>
        </is>
      </c>
      <c r="Q465" t="inlineStr">
        <is>
          <t>OH</t>
        </is>
      </c>
      <c r="R465" t="n">
        <v>44483</v>
      </c>
      <c r="AD465" t="inlineStr">
        <is>
          <t>TRUMBULL CAREER &amp; TECH CENTER</t>
        </is>
      </c>
      <c r="AE465" t="inlineStr">
        <is>
          <t>WARREN CITY</t>
        </is>
      </c>
      <c r="AF465" t="inlineStr">
        <is>
          <t>WARREN CITY SD</t>
        </is>
      </c>
      <c r="AH465" t="n">
        <v>14</v>
      </c>
      <c r="AI465" t="n">
        <v>11</v>
      </c>
      <c r="AN465" t="inlineStr">
        <is>
          <t>WARREN</t>
        </is>
      </c>
      <c r="AO465" t="inlineStr">
        <is>
          <t>WARREN CITY 4A</t>
        </is>
      </c>
      <c r="AP465" t="inlineStr">
        <is>
          <t>78-P-ADI</t>
        </is>
      </c>
      <c r="AQ465" t="n">
        <v>9</v>
      </c>
      <c r="AR465" t="n">
        <v>64</v>
      </c>
      <c r="AS465" t="n">
        <v>32</v>
      </c>
      <c r="AU465">
        <f>COUNTA($BA$465:$EH$465)</f>
        <v/>
      </c>
      <c r="AV465">
        <f>COUNTIF($BA$465:$EH$465,"D")</f>
        <v/>
      </c>
      <c r="AW465">
        <f>COUNTIF($BA$465:$EH$465,"R")</f>
        <v/>
      </c>
      <c r="AX465">
        <f>IF(BN465="D",1,0)+IF(BO465="D",1,0)+IF(BT465="D",1,0)+IF(BU465="D",1,0)+IF(BW465="D",1,0)+IF(CC465="D",1,0)+IF(CD465="D",1,0)+IF(CE465="D",1,0)+IF(CF465="D",1,0)+IF(CL465="D",1,0)+IF(CM465="D",1,0)+IF(CQ465="D",1,0)+IF(CR465="D",1,0)+IF(CS465="D",1,0)+IF(CW465="D",1,0)+IF(CX465="D",1,0)+IF(DD465="D",1,0)+IF(DE465="D",1,0)+IF(DJ465="D",1,0)+IF(DK465="D",1,0)+IF(DO465="D",1,0)+IF(DP465="D",1,0)+IF(DQ465="D",1,0)+IF(DW465="D",1,0)+IF(DZ465="D",1,0)+IF(EH465="D",1,0)</f>
        <v/>
      </c>
      <c r="AY465">
        <f>IF(DJ465&lt;&gt;"",1,0)+IF(DK465&lt;&gt;"",1,0)+IF(DM465&lt;&gt;"",1,0)+IF(DO465&lt;&gt;"",1,0)+IF(DP465&lt;&gt;"",1,0)+IF(DQ465&lt;&gt;"",1,0)+IF(DS465&lt;&gt;"",1,0)+IF(DT465&lt;&gt;"",1,0)+IF(DV465&lt;&gt;"",1,0)+IF(DW465&lt;&gt;"",1,0)+IF(DX465&lt;&gt;"",1,0)+IF(DY465&lt;&gt;"",1,0)+IF(DZ465&lt;&gt;"",1,0)+IF(EB465&lt;&gt;"",1,0)+IF(EC465&lt;&gt;"",1,0)+IF(ED465&lt;&gt;"",1,0)+IF(EG465&lt;&gt;"",1,0)+IF(EH465&lt;&gt;"",1,0)</f>
        <v/>
      </c>
      <c r="AZ465">
        <f>IF(EH465&lt;&gt;"",1,0)</f>
        <v/>
      </c>
      <c r="BB465" t="inlineStr">
        <is>
          <t>WARREN-WARD 4</t>
        </is>
      </c>
      <c r="BL465" t="inlineStr">
        <is>
          <t>X</t>
        </is>
      </c>
      <c r="BP465" t="inlineStr">
        <is>
          <t>X</t>
        </is>
      </c>
      <c r="CA465" t="inlineStr">
        <is>
          <t>X</t>
        </is>
      </c>
      <c r="CK465" t="inlineStr">
        <is>
          <t>X</t>
        </is>
      </c>
      <c r="CP465" t="inlineStr">
        <is>
          <t>X</t>
        </is>
      </c>
      <c r="DM465" t="inlineStr">
        <is>
          <t>D</t>
        </is>
      </c>
      <c r="DN465" t="inlineStr">
        <is>
          <t>X</t>
        </is>
      </c>
      <c r="EF465" t="inlineStr">
        <is>
          <t>X</t>
        </is>
      </c>
    </row>
    <row r="466">
      <c r="A466" t="inlineStr">
        <is>
          <t>OH0015693047</t>
        </is>
      </c>
      <c r="B466" t="n">
        <v>78</v>
      </c>
      <c r="C466" t="n">
        <v>142498</v>
      </c>
      <c r="D466" t="inlineStr">
        <is>
          <t>UJCZO</t>
        </is>
      </c>
      <c r="E466" t="inlineStr">
        <is>
          <t>GRACE</t>
        </is>
      </c>
      <c r="F466">
        <f>CONCATENATE(D466," ",LEFT(H466,4),"T=",AU466,"D=",AV466,"R=",AW466,"M=",AX466,"L=",AY466,"B=",AZ466)</f>
        <v/>
      </c>
      <c r="G466" t="inlineStr">
        <is>
          <t>M</t>
        </is>
      </c>
      <c r="I466" t="inlineStr">
        <is>
          <t>1952-09-29</t>
        </is>
      </c>
      <c r="J466" t="inlineStr">
        <is>
          <t>1980-10-06</t>
        </is>
      </c>
      <c r="K466" t="inlineStr">
        <is>
          <t>ACTIVE</t>
        </is>
      </c>
      <c r="L466" t="inlineStr">
        <is>
          <t>D</t>
        </is>
      </c>
      <c r="M466" t="inlineStr">
        <is>
          <t>146 OAK KNOLL AVE SE</t>
        </is>
      </c>
      <c r="N466">
        <f>RIGHT(M466,LEN(M466)-FIND(" ",M466))</f>
        <v/>
      </c>
      <c r="P466" t="inlineStr">
        <is>
          <t>WARREN</t>
        </is>
      </c>
      <c r="Q466" t="inlineStr">
        <is>
          <t>OH</t>
        </is>
      </c>
      <c r="R466" t="n">
        <v>44483</v>
      </c>
      <c r="AD466" t="inlineStr">
        <is>
          <t>TRUMBULL CAREER &amp; TECH CENTER</t>
        </is>
      </c>
      <c r="AE466" t="inlineStr">
        <is>
          <t>WARREN CITY</t>
        </is>
      </c>
      <c r="AF466" t="inlineStr">
        <is>
          <t>WARREN CITY SD</t>
        </is>
      </c>
      <c r="AH466" t="n">
        <v>14</v>
      </c>
      <c r="AI466" t="n">
        <v>11</v>
      </c>
      <c r="AN466" t="inlineStr">
        <is>
          <t>WARREN</t>
        </is>
      </c>
      <c r="AO466" t="inlineStr">
        <is>
          <t>WARREN CITY 4A</t>
        </is>
      </c>
      <c r="AP466" t="inlineStr">
        <is>
          <t>78-P-ADI</t>
        </is>
      </c>
      <c r="AQ466" t="n">
        <v>9</v>
      </c>
      <c r="AR466" t="n">
        <v>64</v>
      </c>
      <c r="AS466" t="n">
        <v>32</v>
      </c>
      <c r="AU466">
        <f>COUNTA($BA$466:$EH$466)</f>
        <v/>
      </c>
      <c r="AV466">
        <f>COUNTIF($BA$466:$EH$466,"D")</f>
        <v/>
      </c>
      <c r="AW466">
        <f>COUNTIF($BA$466:$EH$466,"R")</f>
        <v/>
      </c>
      <c r="AX466">
        <f>IF(BN466="D",1,0)+IF(BO466="D",1,0)+IF(BT466="D",1,0)+IF(BU466="D",1,0)+IF(BW466="D",1,0)+IF(CC466="D",1,0)+IF(CD466="D",1,0)+IF(CE466="D",1,0)+IF(CF466="D",1,0)+IF(CL466="D",1,0)+IF(CM466="D",1,0)+IF(CQ466="D",1,0)+IF(CR466="D",1,0)+IF(CS466="D",1,0)+IF(CW466="D",1,0)+IF(CX466="D",1,0)+IF(DD466="D",1,0)+IF(DE466="D",1,0)+IF(DJ466="D",1,0)+IF(DK466="D",1,0)+IF(DO466="D",1,0)+IF(DP466="D",1,0)+IF(DQ466="D",1,0)+IF(DW466="D",1,0)+IF(DZ466="D",1,0)+IF(EH466="D",1,0)</f>
        <v/>
      </c>
      <c r="AY466">
        <f>IF(DJ466&lt;&gt;"",1,0)+IF(DK466&lt;&gt;"",1,0)+IF(DM466&lt;&gt;"",1,0)+IF(DO466&lt;&gt;"",1,0)+IF(DP466&lt;&gt;"",1,0)+IF(DQ466&lt;&gt;"",1,0)+IF(DS466&lt;&gt;"",1,0)+IF(DT466&lt;&gt;"",1,0)+IF(DV466&lt;&gt;"",1,0)+IF(DW466&lt;&gt;"",1,0)+IF(DX466&lt;&gt;"",1,0)+IF(DY466&lt;&gt;"",1,0)+IF(DZ466&lt;&gt;"",1,0)+IF(EB466&lt;&gt;"",1,0)+IF(EC466&lt;&gt;"",1,0)+IF(ED466&lt;&gt;"",1,0)+IF(EG466&lt;&gt;"",1,0)+IF(EH466&lt;&gt;"",1,0)</f>
        <v/>
      </c>
      <c r="AZ466">
        <f>IF(EH466&lt;&gt;"",1,0)</f>
        <v/>
      </c>
      <c r="BB466" t="inlineStr">
        <is>
          <t>WARREN-WARD 4</t>
        </is>
      </c>
      <c r="BC466" t="inlineStr">
        <is>
          <t>X</t>
        </is>
      </c>
      <c r="BD466" t="inlineStr">
        <is>
          <t>X</t>
        </is>
      </c>
      <c r="BE466" t="inlineStr">
        <is>
          <t>X</t>
        </is>
      </c>
      <c r="BF466" t="inlineStr">
        <is>
          <t>X</t>
        </is>
      </c>
      <c r="BG466" t="inlineStr">
        <is>
          <t>X</t>
        </is>
      </c>
      <c r="BH466" t="inlineStr">
        <is>
          <t>X</t>
        </is>
      </c>
      <c r="BI466" t="inlineStr">
        <is>
          <t>X</t>
        </is>
      </c>
      <c r="BJ466" t="inlineStr">
        <is>
          <t>X</t>
        </is>
      </c>
      <c r="BK466" t="inlineStr">
        <is>
          <t>X</t>
        </is>
      </c>
      <c r="BL466" t="inlineStr">
        <is>
          <t>X</t>
        </is>
      </c>
      <c r="BP466" t="inlineStr">
        <is>
          <t>X</t>
        </is>
      </c>
      <c r="BR466" t="inlineStr">
        <is>
          <t>X</t>
        </is>
      </c>
      <c r="BS466" t="inlineStr">
        <is>
          <t>X</t>
        </is>
      </c>
      <c r="BT466" t="inlineStr">
        <is>
          <t>X</t>
        </is>
      </c>
      <c r="BV466" t="inlineStr">
        <is>
          <t>X</t>
        </is>
      </c>
      <c r="BY466" t="inlineStr">
        <is>
          <t>D</t>
        </is>
      </c>
      <c r="CA466" t="inlineStr">
        <is>
          <t>X</t>
        </is>
      </c>
      <c r="CC466" t="inlineStr">
        <is>
          <t>D</t>
        </is>
      </c>
      <c r="CG466" t="inlineStr">
        <is>
          <t>X</t>
        </is>
      </c>
      <c r="CH466" t="inlineStr">
        <is>
          <t>D</t>
        </is>
      </c>
      <c r="CK466" t="inlineStr">
        <is>
          <t>X</t>
        </is>
      </c>
      <c r="CL466" t="inlineStr">
        <is>
          <t>D</t>
        </is>
      </c>
      <c r="CN466" t="inlineStr">
        <is>
          <t>X</t>
        </is>
      </c>
      <c r="CO466" t="inlineStr">
        <is>
          <t>D</t>
        </is>
      </c>
      <c r="CP466" t="inlineStr">
        <is>
          <t>X</t>
        </is>
      </c>
      <c r="CQ466" t="inlineStr">
        <is>
          <t>D</t>
        </is>
      </c>
      <c r="CT466" t="inlineStr">
        <is>
          <t>X</t>
        </is>
      </c>
      <c r="CU466" t="inlineStr">
        <is>
          <t>D</t>
        </is>
      </c>
      <c r="CV466" t="inlineStr">
        <is>
          <t>X</t>
        </is>
      </c>
      <c r="CY466" t="inlineStr">
        <is>
          <t>X</t>
        </is>
      </c>
      <c r="CZ466" t="inlineStr">
        <is>
          <t>D</t>
        </is>
      </c>
      <c r="DC466" t="inlineStr">
        <is>
          <t>X</t>
        </is>
      </c>
      <c r="DD466" t="inlineStr">
        <is>
          <t>D</t>
        </is>
      </c>
      <c r="DF466" t="inlineStr">
        <is>
          <t>X</t>
        </is>
      </c>
      <c r="DG466" t="inlineStr">
        <is>
          <t>D</t>
        </is>
      </c>
      <c r="DI466" t="inlineStr">
        <is>
          <t>X</t>
        </is>
      </c>
      <c r="DJ466" t="inlineStr">
        <is>
          <t>D</t>
        </is>
      </c>
      <c r="DL466" t="inlineStr">
        <is>
          <t>X</t>
        </is>
      </c>
      <c r="DM466" t="inlineStr">
        <is>
          <t>D</t>
        </is>
      </c>
      <c r="DN466" t="inlineStr">
        <is>
          <t>X</t>
        </is>
      </c>
      <c r="DR466" t="inlineStr">
        <is>
          <t>X</t>
        </is>
      </c>
      <c r="DS466" t="inlineStr">
        <is>
          <t>D</t>
        </is>
      </c>
      <c r="DT466" t="inlineStr">
        <is>
          <t>D</t>
        </is>
      </c>
      <c r="DU466" t="inlineStr">
        <is>
          <t>X</t>
        </is>
      </c>
      <c r="DW466" t="inlineStr">
        <is>
          <t>D</t>
        </is>
      </c>
      <c r="DX466" t="inlineStr">
        <is>
          <t>X</t>
        </is>
      </c>
      <c r="EA466" t="inlineStr">
        <is>
          <t>X</t>
        </is>
      </c>
      <c r="ED466" t="inlineStr">
        <is>
          <t>D</t>
        </is>
      </c>
      <c r="EF466" t="inlineStr">
        <is>
          <t>X</t>
        </is>
      </c>
      <c r="EH466" t="inlineStr">
        <is>
          <t>D</t>
        </is>
      </c>
    </row>
    <row r="467">
      <c r="A467" t="inlineStr">
        <is>
          <t>OH0025797820</t>
        </is>
      </c>
      <c r="B467" t="n">
        <v>78</v>
      </c>
      <c r="C467" t="n">
        <v>450595</v>
      </c>
      <c r="D467" t="inlineStr">
        <is>
          <t>BOWLES</t>
        </is>
      </c>
      <c r="E467" t="inlineStr">
        <is>
          <t>TIFFANY</t>
        </is>
      </c>
      <c r="F467">
        <f>CONCATENATE(D467," ",LEFT(H467,4),"T=",AU467,"D=",AV467,"R=",AW467,"M=",AX467,"L=",AY467,"B=",AZ467)</f>
        <v/>
      </c>
      <c r="G467" t="inlineStr">
        <is>
          <t>D</t>
        </is>
      </c>
      <c r="I467" t="inlineStr">
        <is>
          <t>1979-09-20</t>
        </is>
      </c>
      <c r="J467" t="inlineStr">
        <is>
          <t>2024-09-23</t>
        </is>
      </c>
      <c r="K467" t="inlineStr">
        <is>
          <t>ACTIVE</t>
        </is>
      </c>
      <c r="M467" t="inlineStr">
        <is>
          <t>860 KENILWORTH AVE SE</t>
        </is>
      </c>
      <c r="N467">
        <f>RIGHT(M467,LEN(M467)-FIND(" ",M467))</f>
        <v/>
      </c>
      <c r="P467" t="inlineStr">
        <is>
          <t>WARREN</t>
        </is>
      </c>
      <c r="Q467" t="inlineStr">
        <is>
          <t>OH</t>
        </is>
      </c>
      <c r="R467" t="n">
        <v>44484</v>
      </c>
      <c r="AD467" t="inlineStr">
        <is>
          <t>TRUMBULL CAREER &amp; TECH CENTER</t>
        </is>
      </c>
      <c r="AE467" t="inlineStr">
        <is>
          <t>WARREN CITY</t>
        </is>
      </c>
      <c r="AF467" t="inlineStr">
        <is>
          <t>WARREN CITY SD</t>
        </is>
      </c>
      <c r="AH467" t="n">
        <v>14</v>
      </c>
      <c r="AI467" t="n">
        <v>11</v>
      </c>
      <c r="AN467" t="inlineStr">
        <is>
          <t>WARREN</t>
        </is>
      </c>
      <c r="AO467" t="inlineStr">
        <is>
          <t>WARREN CITY 4A</t>
        </is>
      </c>
      <c r="AP467" t="inlineStr">
        <is>
          <t>78-P-ADI</t>
        </is>
      </c>
      <c r="AQ467" t="n">
        <v>9</v>
      </c>
      <c r="AR467" t="n">
        <v>64</v>
      </c>
      <c r="AS467" t="n">
        <v>32</v>
      </c>
      <c r="AU467">
        <f>COUNTA($BA$467:$EH$467)</f>
        <v/>
      </c>
      <c r="AV467">
        <f>COUNTIF($BA$467:$EH$467,"D")</f>
        <v/>
      </c>
      <c r="AW467">
        <f>COUNTIF($BA$467:$EH$467,"R")</f>
        <v/>
      </c>
      <c r="AX467">
        <f>IF(BN467="D",1,0)+IF(BO467="D",1,0)+IF(BT467="D",1,0)+IF(BU467="D",1,0)+IF(BW467="D",1,0)+IF(CC467="D",1,0)+IF(CD467="D",1,0)+IF(CE467="D",1,0)+IF(CF467="D",1,0)+IF(CL467="D",1,0)+IF(CM467="D",1,0)+IF(CQ467="D",1,0)+IF(CR467="D",1,0)+IF(CS467="D",1,0)+IF(CW467="D",1,0)+IF(CX467="D",1,0)+IF(DD467="D",1,0)+IF(DE467="D",1,0)+IF(DJ467="D",1,0)+IF(DK467="D",1,0)+IF(DO467="D",1,0)+IF(DP467="D",1,0)+IF(DQ467="D",1,0)+IF(DW467="D",1,0)+IF(DZ467="D",1,0)+IF(EH467="D",1,0)</f>
        <v/>
      </c>
      <c r="AY467">
        <f>IF(DJ467&lt;&gt;"",1,0)+IF(DK467&lt;&gt;"",1,0)+IF(DM467&lt;&gt;"",1,0)+IF(DO467&lt;&gt;"",1,0)+IF(DP467&lt;&gt;"",1,0)+IF(DQ467&lt;&gt;"",1,0)+IF(DS467&lt;&gt;"",1,0)+IF(DT467&lt;&gt;"",1,0)+IF(DV467&lt;&gt;"",1,0)+IF(DW467&lt;&gt;"",1,0)+IF(DX467&lt;&gt;"",1,0)+IF(DY467&lt;&gt;"",1,0)+IF(DZ467&lt;&gt;"",1,0)+IF(EB467&lt;&gt;"",1,0)+IF(EC467&lt;&gt;"",1,0)+IF(ED467&lt;&gt;"",1,0)+IF(EG467&lt;&gt;"",1,0)+IF(EH467&lt;&gt;"",1,0)</f>
        <v/>
      </c>
      <c r="AZ467">
        <f>IF(EH467&lt;&gt;"",1,0)</f>
        <v/>
      </c>
      <c r="BB467" t="inlineStr">
        <is>
          <t>WARREN-WARD 4</t>
        </is>
      </c>
      <c r="DN467" t="inlineStr">
        <is>
          <t>X</t>
        </is>
      </c>
    </row>
    <row r="468">
      <c r="A468" t="inlineStr">
        <is>
          <t>OH0021351043</t>
        </is>
      </c>
      <c r="B468" t="n">
        <v>78</v>
      </c>
      <c r="C468" t="n">
        <v>379628</v>
      </c>
      <c r="D468" t="inlineStr">
        <is>
          <t>JORDAN</t>
        </is>
      </c>
      <c r="E468" t="inlineStr">
        <is>
          <t>KANISHA</t>
        </is>
      </c>
      <c r="F468">
        <f>CONCATENATE(D468," ",LEFT(H468,4),"T=",AU468,"D=",AV468,"R=",AW468,"M=",AX468,"L=",AY468,"B=",AZ468)</f>
        <v/>
      </c>
      <c r="G468" t="inlineStr">
        <is>
          <t>A</t>
        </is>
      </c>
      <c r="I468" t="inlineStr">
        <is>
          <t>1992-04-27</t>
        </is>
      </c>
      <c r="J468" t="inlineStr">
        <is>
          <t>2024-10-07</t>
        </is>
      </c>
      <c r="K468" t="inlineStr">
        <is>
          <t>ACTIVE</t>
        </is>
      </c>
      <c r="M468" t="inlineStr">
        <is>
          <t>147 OAK KNOLL AVE SE</t>
        </is>
      </c>
      <c r="N468">
        <f>RIGHT(M468,LEN(M468)-FIND(" ",M468))</f>
        <v/>
      </c>
      <c r="O468" t="inlineStr">
        <is>
          <t>APT D</t>
        </is>
      </c>
      <c r="P468" t="inlineStr">
        <is>
          <t>WARREN</t>
        </is>
      </c>
      <c r="Q468" t="inlineStr">
        <is>
          <t>OH</t>
        </is>
      </c>
      <c r="R468" t="n">
        <v>44483</v>
      </c>
      <c r="AD468" t="inlineStr">
        <is>
          <t>TRUMBULL CAREER &amp; TECH CENTER</t>
        </is>
      </c>
      <c r="AE468" t="inlineStr">
        <is>
          <t>WARREN CITY</t>
        </is>
      </c>
      <c r="AF468" t="inlineStr">
        <is>
          <t>WARREN CITY SD</t>
        </is>
      </c>
      <c r="AH468" t="n">
        <v>14</v>
      </c>
      <c r="AI468" t="n">
        <v>11</v>
      </c>
      <c r="AN468" t="inlineStr">
        <is>
          <t>WARREN</t>
        </is>
      </c>
      <c r="AO468" t="inlineStr">
        <is>
          <t>WARREN CITY 4A</t>
        </is>
      </c>
      <c r="AP468" t="inlineStr">
        <is>
          <t>78-P-ADI</t>
        </is>
      </c>
      <c r="AQ468" t="n">
        <v>9</v>
      </c>
      <c r="AR468" t="n">
        <v>64</v>
      </c>
      <c r="AS468" t="n">
        <v>32</v>
      </c>
      <c r="AU468">
        <f>COUNTA($BA$468:$EH$468)</f>
        <v/>
      </c>
      <c r="AV468">
        <f>COUNTIF($BA$468:$EH$468,"D")</f>
        <v/>
      </c>
      <c r="AW468">
        <f>COUNTIF($BA$468:$EH$468,"R")</f>
        <v/>
      </c>
      <c r="AX468">
        <f>IF(BN468="D",1,0)+IF(BO468="D",1,0)+IF(BT468="D",1,0)+IF(BU468="D",1,0)+IF(BW468="D",1,0)+IF(CC468="D",1,0)+IF(CD468="D",1,0)+IF(CE468="D",1,0)+IF(CF468="D",1,0)+IF(CL468="D",1,0)+IF(CM468="D",1,0)+IF(CQ468="D",1,0)+IF(CR468="D",1,0)+IF(CS468="D",1,0)+IF(CW468="D",1,0)+IF(CX468="D",1,0)+IF(DD468="D",1,0)+IF(DE468="D",1,0)+IF(DJ468="D",1,0)+IF(DK468="D",1,0)+IF(DO468="D",1,0)+IF(DP468="D",1,0)+IF(DQ468="D",1,0)+IF(DW468="D",1,0)+IF(DZ468="D",1,0)+IF(EH468="D",1,0)</f>
        <v/>
      </c>
      <c r="AY468">
        <f>IF(DJ468&lt;&gt;"",1,0)+IF(DK468&lt;&gt;"",1,0)+IF(DM468&lt;&gt;"",1,0)+IF(DO468&lt;&gt;"",1,0)+IF(DP468&lt;&gt;"",1,0)+IF(DQ468&lt;&gt;"",1,0)+IF(DS468&lt;&gt;"",1,0)+IF(DT468&lt;&gt;"",1,0)+IF(DV468&lt;&gt;"",1,0)+IF(DW468&lt;&gt;"",1,0)+IF(DX468&lt;&gt;"",1,0)+IF(DY468&lt;&gt;"",1,0)+IF(DZ468&lt;&gt;"",1,0)+IF(EB468&lt;&gt;"",1,0)+IF(EC468&lt;&gt;"",1,0)+IF(ED468&lt;&gt;"",1,0)+IF(EG468&lt;&gt;"",1,0)+IF(EH468&lt;&gt;"",1,0)</f>
        <v/>
      </c>
      <c r="AZ468">
        <f>IF(EH468&lt;&gt;"",1,0)</f>
        <v/>
      </c>
      <c r="BB468" t="inlineStr">
        <is>
          <t>WARREN-WARD 4</t>
        </is>
      </c>
      <c r="DN468" t="inlineStr">
        <is>
          <t>X</t>
        </is>
      </c>
      <c r="EF468" t="inlineStr">
        <is>
          <t>X</t>
        </is>
      </c>
    </row>
    <row r="469">
      <c r="A469" t="inlineStr">
        <is>
          <t>OH0015768886</t>
        </is>
      </c>
      <c r="B469" t="n">
        <v>78</v>
      </c>
      <c r="C469" t="n">
        <v>256345</v>
      </c>
      <c r="D469" t="inlineStr">
        <is>
          <t>TURNER</t>
        </is>
      </c>
      <c r="E469" t="inlineStr">
        <is>
          <t>ARLISHA</t>
        </is>
      </c>
      <c r="F469">
        <f>CONCATENATE(D469," ",LEFT(H469,4),"T=",AU469,"D=",AV469,"R=",AW469,"M=",AX469,"L=",AY469,"B=",AZ469)</f>
        <v/>
      </c>
      <c r="I469" t="inlineStr">
        <is>
          <t>1971-06-24</t>
        </is>
      </c>
      <c r="J469" t="inlineStr">
        <is>
          <t>2024-04-04</t>
        </is>
      </c>
      <c r="K469" t="inlineStr">
        <is>
          <t>ACTIVE</t>
        </is>
      </c>
      <c r="M469" t="inlineStr">
        <is>
          <t>375 BONNIE BRAE AVE SE</t>
        </is>
      </c>
      <c r="N469">
        <f>RIGHT(M469,LEN(M469)-FIND(" ",M469))</f>
        <v/>
      </c>
      <c r="P469" t="inlineStr">
        <is>
          <t>WARREN</t>
        </is>
      </c>
      <c r="Q469" t="inlineStr">
        <is>
          <t>OH</t>
        </is>
      </c>
      <c r="R469" t="n">
        <v>44484</v>
      </c>
      <c r="AD469" t="inlineStr">
        <is>
          <t>TRUMBULL CAREER &amp; TECH CENTER</t>
        </is>
      </c>
      <c r="AE469" t="inlineStr">
        <is>
          <t>WARREN CITY</t>
        </is>
      </c>
      <c r="AF469" t="inlineStr">
        <is>
          <t>WARREN CITY SD</t>
        </is>
      </c>
      <c r="AH469" t="n">
        <v>14</v>
      </c>
      <c r="AI469" t="n">
        <v>11</v>
      </c>
      <c r="AN469" t="inlineStr">
        <is>
          <t>WARREN</t>
        </is>
      </c>
      <c r="AO469" t="inlineStr">
        <is>
          <t>WARREN CITY 4A</t>
        </is>
      </c>
      <c r="AP469" t="inlineStr">
        <is>
          <t>78-P-ADI</t>
        </is>
      </c>
      <c r="AQ469" t="n">
        <v>9</v>
      </c>
      <c r="AR469" t="n">
        <v>64</v>
      </c>
      <c r="AS469" t="n">
        <v>32</v>
      </c>
      <c r="AU469">
        <f>COUNTA($BA$469:$EH$469)</f>
        <v/>
      </c>
      <c r="AV469">
        <f>COUNTIF($BA$469:$EH$469,"D")</f>
        <v/>
      </c>
      <c r="AW469">
        <f>COUNTIF($BA$469:$EH$469,"R")</f>
        <v/>
      </c>
      <c r="AX469">
        <f>IF(BN469="D",1,0)+IF(BO469="D",1,0)+IF(BT469="D",1,0)+IF(BU469="D",1,0)+IF(BW469="D",1,0)+IF(CC469="D",1,0)+IF(CD469="D",1,0)+IF(CE469="D",1,0)+IF(CF469="D",1,0)+IF(CL469="D",1,0)+IF(CM469="D",1,0)+IF(CQ469="D",1,0)+IF(CR469="D",1,0)+IF(CS469="D",1,0)+IF(CW469="D",1,0)+IF(CX469="D",1,0)+IF(DD469="D",1,0)+IF(DE469="D",1,0)+IF(DJ469="D",1,0)+IF(DK469="D",1,0)+IF(DO469="D",1,0)+IF(DP469="D",1,0)+IF(DQ469="D",1,0)+IF(DW469="D",1,0)+IF(DZ469="D",1,0)+IF(EH469="D",1,0)</f>
        <v/>
      </c>
      <c r="AY469">
        <f>IF(DJ469&lt;&gt;"",1,0)+IF(DK469&lt;&gt;"",1,0)+IF(DM469&lt;&gt;"",1,0)+IF(DO469&lt;&gt;"",1,0)+IF(DP469&lt;&gt;"",1,0)+IF(DQ469&lt;&gt;"",1,0)+IF(DS469&lt;&gt;"",1,0)+IF(DT469&lt;&gt;"",1,0)+IF(DV469&lt;&gt;"",1,0)+IF(DW469&lt;&gt;"",1,0)+IF(DX469&lt;&gt;"",1,0)+IF(DY469&lt;&gt;"",1,0)+IF(DZ469&lt;&gt;"",1,0)+IF(EB469&lt;&gt;"",1,0)+IF(EC469&lt;&gt;"",1,0)+IF(ED469&lt;&gt;"",1,0)+IF(EG469&lt;&gt;"",1,0)+IF(EH469&lt;&gt;"",1,0)</f>
        <v/>
      </c>
      <c r="AZ469">
        <f>IF(EH469&lt;&gt;"",1,0)</f>
        <v/>
      </c>
      <c r="BB469" t="inlineStr">
        <is>
          <t>WARREN-WARD 4</t>
        </is>
      </c>
      <c r="BD469" t="inlineStr">
        <is>
          <t>X</t>
        </is>
      </c>
      <c r="BH469" t="inlineStr">
        <is>
          <t>X</t>
        </is>
      </c>
      <c r="BL469" t="inlineStr">
        <is>
          <t>X</t>
        </is>
      </c>
      <c r="BY469" t="inlineStr">
        <is>
          <t>D</t>
        </is>
      </c>
      <c r="CA469" t="inlineStr">
        <is>
          <t>X</t>
        </is>
      </c>
      <c r="CP469" t="inlineStr">
        <is>
          <t>X</t>
        </is>
      </c>
      <c r="DC469" t="inlineStr">
        <is>
          <t>X</t>
        </is>
      </c>
      <c r="DI469" t="inlineStr">
        <is>
          <t>X</t>
        </is>
      </c>
      <c r="DN469" t="inlineStr">
        <is>
          <t>X</t>
        </is>
      </c>
    </row>
    <row r="470">
      <c r="A470" t="inlineStr">
        <is>
          <t>OH0026082365</t>
        </is>
      </c>
      <c r="B470" t="n">
        <v>78</v>
      </c>
      <c r="C470" t="n">
        <v>455489</v>
      </c>
      <c r="D470" t="inlineStr">
        <is>
          <t>MYERS</t>
        </is>
      </c>
      <c r="E470" t="inlineStr">
        <is>
          <t>FRANK</t>
        </is>
      </c>
      <c r="F470">
        <f>CONCATENATE(D470," ",LEFT(H470,4),"T=",AU470,"D=",AV470,"R=",AW470,"M=",AX470,"L=",AY470,"B=",AZ470)</f>
        <v/>
      </c>
      <c r="G470" t="inlineStr">
        <is>
          <t>G</t>
        </is>
      </c>
      <c r="H470" t="inlineStr">
        <is>
          <t>JR</t>
        </is>
      </c>
      <c r="I470" t="inlineStr">
        <is>
          <t>1987-01-28</t>
        </is>
      </c>
      <c r="J470" t="inlineStr">
        <is>
          <t>2020-10-13</t>
        </is>
      </c>
      <c r="K470" t="inlineStr">
        <is>
          <t>ACTIVE</t>
        </is>
      </c>
      <c r="M470" t="inlineStr">
        <is>
          <t>419 HOMEWOOD AVE SE</t>
        </is>
      </c>
      <c r="N470">
        <f>RIGHT(M470,LEN(M470)-FIND(" ",M470))</f>
        <v/>
      </c>
      <c r="P470" t="inlineStr">
        <is>
          <t>WARREN</t>
        </is>
      </c>
      <c r="Q470" t="inlineStr">
        <is>
          <t>OH</t>
        </is>
      </c>
      <c r="R470" t="n">
        <v>44483</v>
      </c>
      <c r="AD470" t="inlineStr">
        <is>
          <t>TRUMBULL CAREER &amp; TECH CENTER</t>
        </is>
      </c>
      <c r="AE470" t="inlineStr">
        <is>
          <t>WARREN CITY</t>
        </is>
      </c>
      <c r="AF470" t="inlineStr">
        <is>
          <t>WARREN CITY SD</t>
        </is>
      </c>
      <c r="AH470" t="n">
        <v>14</v>
      </c>
      <c r="AI470" t="n">
        <v>11</v>
      </c>
      <c r="AN470" t="inlineStr">
        <is>
          <t>WARREN</t>
        </is>
      </c>
      <c r="AO470" t="inlineStr">
        <is>
          <t>WARREN CITY 4A</t>
        </is>
      </c>
      <c r="AP470" t="inlineStr">
        <is>
          <t>78-P-ADI</t>
        </is>
      </c>
      <c r="AQ470" t="n">
        <v>9</v>
      </c>
      <c r="AR470" t="n">
        <v>64</v>
      </c>
      <c r="AS470" t="n">
        <v>32</v>
      </c>
      <c r="AU470">
        <f>COUNTA($BA$470:$EH$470)</f>
        <v/>
      </c>
      <c r="AV470">
        <f>COUNTIF($BA$470:$EH$470,"D")</f>
        <v/>
      </c>
      <c r="AW470">
        <f>COUNTIF($BA$470:$EH$470,"R")</f>
        <v/>
      </c>
      <c r="AX470">
        <f>IF(BN470="D",1,0)+IF(BO470="D",1,0)+IF(BT470="D",1,0)+IF(BU470="D",1,0)+IF(BW470="D",1,0)+IF(CC470="D",1,0)+IF(CD470="D",1,0)+IF(CE470="D",1,0)+IF(CF470="D",1,0)+IF(CL470="D",1,0)+IF(CM470="D",1,0)+IF(CQ470="D",1,0)+IF(CR470="D",1,0)+IF(CS470="D",1,0)+IF(CW470="D",1,0)+IF(CX470="D",1,0)+IF(DD470="D",1,0)+IF(DE470="D",1,0)+IF(DJ470="D",1,0)+IF(DK470="D",1,0)+IF(DO470="D",1,0)+IF(DP470="D",1,0)+IF(DQ470="D",1,0)+IF(DW470="D",1,0)+IF(DZ470="D",1,0)+IF(EH470="D",1,0)</f>
        <v/>
      </c>
      <c r="AY470">
        <f>IF(DJ470&lt;&gt;"",1,0)+IF(DK470&lt;&gt;"",1,0)+IF(DM470&lt;&gt;"",1,0)+IF(DO470&lt;&gt;"",1,0)+IF(DP470&lt;&gt;"",1,0)+IF(DQ470&lt;&gt;"",1,0)+IF(DS470&lt;&gt;"",1,0)+IF(DT470&lt;&gt;"",1,0)+IF(DV470&lt;&gt;"",1,0)+IF(DW470&lt;&gt;"",1,0)+IF(DX470&lt;&gt;"",1,0)+IF(DY470&lt;&gt;"",1,0)+IF(DZ470&lt;&gt;"",1,0)+IF(EB470&lt;&gt;"",1,0)+IF(EC470&lt;&gt;"",1,0)+IF(ED470&lt;&gt;"",1,0)+IF(EG470&lt;&gt;"",1,0)+IF(EH470&lt;&gt;"",1,0)</f>
        <v/>
      </c>
      <c r="AZ470">
        <f>IF(EH470&lt;&gt;"",1,0)</f>
        <v/>
      </c>
      <c r="BB470" t="inlineStr">
        <is>
          <t>WARREN-WARD 4</t>
        </is>
      </c>
      <c r="BS470" t="inlineStr">
        <is>
          <t>X</t>
        </is>
      </c>
      <c r="BY470" t="inlineStr">
        <is>
          <t>D</t>
        </is>
      </c>
      <c r="CA470" t="inlineStr">
        <is>
          <t>X</t>
        </is>
      </c>
      <c r="CP470" t="inlineStr">
        <is>
          <t>X</t>
        </is>
      </c>
      <c r="EF470" t="inlineStr">
        <is>
          <t>X</t>
        </is>
      </c>
    </row>
    <row r="471">
      <c r="A471" t="inlineStr">
        <is>
          <t>OH0027248329</t>
        </is>
      </c>
      <c r="B471" t="n">
        <v>78</v>
      </c>
      <c r="C471" t="n">
        <v>483436</v>
      </c>
      <c r="D471" t="inlineStr">
        <is>
          <t>JOHNSON</t>
        </is>
      </c>
      <c r="E471" t="inlineStr">
        <is>
          <t>SARA</t>
        </is>
      </c>
      <c r="F471">
        <f>CONCATENATE(D471," ",LEFT(H471,4),"T=",AU471,"D=",AV471,"R=",AW471,"M=",AX471,"L=",AY471,"B=",AZ471)</f>
        <v/>
      </c>
      <c r="G471" t="inlineStr">
        <is>
          <t>RENEE</t>
        </is>
      </c>
      <c r="I471" t="inlineStr">
        <is>
          <t>2004-09-16</t>
        </is>
      </c>
      <c r="J471" t="inlineStr">
        <is>
          <t>2024-06-21</t>
        </is>
      </c>
      <c r="K471" t="inlineStr">
        <is>
          <t>ACTIVE</t>
        </is>
      </c>
      <c r="M471" t="inlineStr">
        <is>
          <t>598 OAK KNOLL AVE SE</t>
        </is>
      </c>
      <c r="N471">
        <f>RIGHT(M471,LEN(M471)-FIND(" ",M471))</f>
        <v/>
      </c>
      <c r="P471" t="inlineStr">
        <is>
          <t>WARREN</t>
        </is>
      </c>
      <c r="Q471" t="inlineStr">
        <is>
          <t>OH</t>
        </is>
      </c>
      <c r="R471" t="n">
        <v>44483</v>
      </c>
      <c r="AD471" t="inlineStr">
        <is>
          <t>TRUMBULL CAREER &amp; TECH CENTER</t>
        </is>
      </c>
      <c r="AE471" t="inlineStr">
        <is>
          <t>WARREN CITY</t>
        </is>
      </c>
      <c r="AF471" t="inlineStr">
        <is>
          <t>WARREN CITY SD</t>
        </is>
      </c>
      <c r="AH471" t="n">
        <v>14</v>
      </c>
      <c r="AI471" t="n">
        <v>11</v>
      </c>
      <c r="AN471" t="inlineStr">
        <is>
          <t>WARREN</t>
        </is>
      </c>
      <c r="AO471" t="inlineStr">
        <is>
          <t>WARREN CITY 4A</t>
        </is>
      </c>
      <c r="AP471" t="inlineStr">
        <is>
          <t>78-P-ADI</t>
        </is>
      </c>
      <c r="AQ471" t="n">
        <v>9</v>
      </c>
      <c r="AR471" t="n">
        <v>64</v>
      </c>
      <c r="AS471" t="n">
        <v>32</v>
      </c>
      <c r="AU471">
        <f>COUNTA($BA$471:$EH$471)</f>
        <v/>
      </c>
      <c r="AV471">
        <f>COUNTIF($BA$471:$EH$471,"D")</f>
        <v/>
      </c>
      <c r="AW471">
        <f>COUNTIF($BA$471:$EH$471,"R")</f>
        <v/>
      </c>
      <c r="AX471">
        <f>IF(BN471="D",1,0)+IF(BO471="D",1,0)+IF(BT471="D",1,0)+IF(BU471="D",1,0)+IF(BW471="D",1,0)+IF(CC471="D",1,0)+IF(CD471="D",1,0)+IF(CE471="D",1,0)+IF(CF471="D",1,0)+IF(CL471="D",1,0)+IF(CM471="D",1,0)+IF(CQ471="D",1,0)+IF(CR471="D",1,0)+IF(CS471="D",1,0)+IF(CW471="D",1,0)+IF(CX471="D",1,0)+IF(DD471="D",1,0)+IF(DE471="D",1,0)+IF(DJ471="D",1,0)+IF(DK471="D",1,0)+IF(DO471="D",1,0)+IF(DP471="D",1,0)+IF(DQ471="D",1,0)+IF(DW471="D",1,0)+IF(DZ471="D",1,0)+IF(EH471="D",1,0)</f>
        <v/>
      </c>
      <c r="AY471">
        <f>IF(DJ471&lt;&gt;"",1,0)+IF(DK471&lt;&gt;"",1,0)+IF(DM471&lt;&gt;"",1,0)+IF(DO471&lt;&gt;"",1,0)+IF(DP471&lt;&gt;"",1,0)+IF(DQ471&lt;&gt;"",1,0)+IF(DS471&lt;&gt;"",1,0)+IF(DT471&lt;&gt;"",1,0)+IF(DV471&lt;&gt;"",1,0)+IF(DW471&lt;&gt;"",1,0)+IF(DX471&lt;&gt;"",1,0)+IF(DY471&lt;&gt;"",1,0)+IF(DZ471&lt;&gt;"",1,0)+IF(EB471&lt;&gt;"",1,0)+IF(EC471&lt;&gt;"",1,0)+IF(ED471&lt;&gt;"",1,0)+IF(EG471&lt;&gt;"",1,0)+IF(EH471&lt;&gt;"",1,0)</f>
        <v/>
      </c>
      <c r="AZ471">
        <f>IF(EH471&lt;&gt;"",1,0)</f>
        <v/>
      </c>
      <c r="BB471" t="inlineStr">
        <is>
          <t>WARREN-WARD 4</t>
        </is>
      </c>
      <c r="EF471" t="inlineStr">
        <is>
          <t>X</t>
        </is>
      </c>
    </row>
    <row r="472">
      <c r="A472" t="inlineStr">
        <is>
          <t>OH0023489023</t>
        </is>
      </c>
      <c r="B472" t="n">
        <v>78</v>
      </c>
      <c r="C472" t="n">
        <v>413605</v>
      </c>
      <c r="D472" t="inlineStr">
        <is>
          <t>RILEY</t>
        </is>
      </c>
      <c r="E472" t="inlineStr">
        <is>
          <t>JOANNA</t>
        </is>
      </c>
      <c r="F472">
        <f>CONCATENATE(D472," ",LEFT(H472,4),"T=",AU472,"D=",AV472,"R=",AW472,"M=",AX472,"L=",AY472,"B=",AZ472)</f>
        <v/>
      </c>
      <c r="G472" t="inlineStr">
        <is>
          <t>LEA</t>
        </is>
      </c>
      <c r="I472" t="inlineStr">
        <is>
          <t>1998-09-25</t>
        </is>
      </c>
      <c r="J472" t="inlineStr">
        <is>
          <t>2024-06-21</t>
        </is>
      </c>
      <c r="K472" t="inlineStr">
        <is>
          <t>ACTIVE</t>
        </is>
      </c>
      <c r="M472" t="inlineStr">
        <is>
          <t>304 ADELAIDE AVE SE</t>
        </is>
      </c>
      <c r="N472">
        <f>RIGHT(M472,LEN(M472)-FIND(" ",M472))</f>
        <v/>
      </c>
      <c r="P472" t="inlineStr">
        <is>
          <t>WARREN</t>
        </is>
      </c>
      <c r="Q472" t="inlineStr">
        <is>
          <t>OH</t>
        </is>
      </c>
      <c r="R472" t="n">
        <v>44483</v>
      </c>
      <c r="AD472" t="inlineStr">
        <is>
          <t>TRUMBULL CAREER &amp; TECH CENTER</t>
        </is>
      </c>
      <c r="AE472" t="inlineStr">
        <is>
          <t>WARREN CITY</t>
        </is>
      </c>
      <c r="AF472" t="inlineStr">
        <is>
          <t>WARREN CITY SD</t>
        </is>
      </c>
      <c r="AH472" t="n">
        <v>14</v>
      </c>
      <c r="AI472" t="n">
        <v>11</v>
      </c>
      <c r="AN472" t="inlineStr">
        <is>
          <t>WARREN</t>
        </is>
      </c>
      <c r="AO472" t="inlineStr">
        <is>
          <t>WARREN CITY 4A</t>
        </is>
      </c>
      <c r="AP472" t="inlineStr">
        <is>
          <t>78-P-ADI</t>
        </is>
      </c>
      <c r="AQ472" t="n">
        <v>9</v>
      </c>
      <c r="AR472" t="n">
        <v>64</v>
      </c>
      <c r="AS472" t="n">
        <v>32</v>
      </c>
      <c r="AU472">
        <f>COUNTA($BA$472:$EH$472)</f>
        <v/>
      </c>
      <c r="AV472">
        <f>COUNTIF($BA$472:$EH$472,"D")</f>
        <v/>
      </c>
      <c r="AW472">
        <f>COUNTIF($BA$472:$EH$472,"R")</f>
        <v/>
      </c>
      <c r="AX472">
        <f>IF(BN472="D",1,0)+IF(BO472="D",1,0)+IF(BT472="D",1,0)+IF(BU472="D",1,0)+IF(BW472="D",1,0)+IF(CC472="D",1,0)+IF(CD472="D",1,0)+IF(CE472="D",1,0)+IF(CF472="D",1,0)+IF(CL472="D",1,0)+IF(CM472="D",1,0)+IF(CQ472="D",1,0)+IF(CR472="D",1,0)+IF(CS472="D",1,0)+IF(CW472="D",1,0)+IF(CX472="D",1,0)+IF(DD472="D",1,0)+IF(DE472="D",1,0)+IF(DJ472="D",1,0)+IF(DK472="D",1,0)+IF(DO472="D",1,0)+IF(DP472="D",1,0)+IF(DQ472="D",1,0)+IF(DW472="D",1,0)+IF(DZ472="D",1,0)+IF(EH472="D",1,0)</f>
        <v/>
      </c>
      <c r="AY472">
        <f>IF(DJ472&lt;&gt;"",1,0)+IF(DK472&lt;&gt;"",1,0)+IF(DM472&lt;&gt;"",1,0)+IF(DO472&lt;&gt;"",1,0)+IF(DP472&lt;&gt;"",1,0)+IF(DQ472&lt;&gt;"",1,0)+IF(DS472&lt;&gt;"",1,0)+IF(DT472&lt;&gt;"",1,0)+IF(DV472&lt;&gt;"",1,0)+IF(DW472&lt;&gt;"",1,0)+IF(DX472&lt;&gt;"",1,0)+IF(DY472&lt;&gt;"",1,0)+IF(DZ472&lt;&gt;"",1,0)+IF(EB472&lt;&gt;"",1,0)+IF(EC472&lt;&gt;"",1,0)+IF(ED472&lt;&gt;"",1,0)+IF(EG472&lt;&gt;"",1,0)+IF(EH472&lt;&gt;"",1,0)</f>
        <v/>
      </c>
      <c r="AZ472">
        <f>IF(EH472&lt;&gt;"",1,0)</f>
        <v/>
      </c>
      <c r="BB472" t="inlineStr">
        <is>
          <t>WARREN-WARD 4</t>
        </is>
      </c>
      <c r="CZ472" t="inlineStr">
        <is>
          <t>D</t>
        </is>
      </c>
      <c r="DC472" t="inlineStr">
        <is>
          <t>X</t>
        </is>
      </c>
      <c r="DI472" t="inlineStr">
        <is>
          <t>X</t>
        </is>
      </c>
      <c r="DN472" t="inlineStr">
        <is>
          <t>X</t>
        </is>
      </c>
      <c r="DU472" t="inlineStr">
        <is>
          <t>X</t>
        </is>
      </c>
      <c r="EF472" t="inlineStr">
        <is>
          <t>X</t>
        </is>
      </c>
    </row>
    <row r="473">
      <c r="A473" t="inlineStr">
        <is>
          <t>OH0027906508</t>
        </is>
      </c>
      <c r="B473" t="n">
        <v>78</v>
      </c>
      <c r="C473" t="n">
        <v>495164</v>
      </c>
      <c r="D473" t="inlineStr">
        <is>
          <t>DAILEY</t>
        </is>
      </c>
      <c r="E473" t="inlineStr">
        <is>
          <t>SADEAH</t>
        </is>
      </c>
      <c r="F473">
        <f>CONCATENATE(D473," ",LEFT(H473,4),"T=",AU473,"D=",AV473,"R=",AW473,"M=",AX473,"L=",AY473,"B=",AZ473)</f>
        <v/>
      </c>
      <c r="G473" t="inlineStr">
        <is>
          <t>ALESSIA</t>
        </is>
      </c>
      <c r="I473" t="inlineStr">
        <is>
          <t>2006-06-19</t>
        </is>
      </c>
      <c r="J473" t="inlineStr">
        <is>
          <t>2025-02-22</t>
        </is>
      </c>
      <c r="K473" t="inlineStr">
        <is>
          <t>ACTIVE</t>
        </is>
      </c>
      <c r="M473" t="inlineStr">
        <is>
          <t>367 LAIRD AVE SE</t>
        </is>
      </c>
      <c r="N473">
        <f>RIGHT(M473,LEN(M473)-FIND(" ",M473))</f>
        <v/>
      </c>
      <c r="P473" t="inlineStr">
        <is>
          <t>WARREN</t>
        </is>
      </c>
      <c r="Q473" t="inlineStr">
        <is>
          <t>OH</t>
        </is>
      </c>
      <c r="R473" t="n">
        <v>44483</v>
      </c>
      <c r="AD473" t="inlineStr">
        <is>
          <t>TRUMBULL CAREER &amp; TECH CENTER</t>
        </is>
      </c>
      <c r="AE473" t="inlineStr">
        <is>
          <t>WARREN CITY</t>
        </is>
      </c>
      <c r="AF473" t="inlineStr">
        <is>
          <t>WARREN CITY SD</t>
        </is>
      </c>
      <c r="AH473" t="n">
        <v>14</v>
      </c>
      <c r="AI473" t="n">
        <v>11</v>
      </c>
      <c r="AN473" t="inlineStr">
        <is>
          <t>WARREN</t>
        </is>
      </c>
      <c r="AO473" t="inlineStr">
        <is>
          <t>WARREN CITY 4A</t>
        </is>
      </c>
      <c r="AP473" t="inlineStr">
        <is>
          <t>78-P-ADI</t>
        </is>
      </c>
      <c r="AQ473" t="n">
        <v>9</v>
      </c>
      <c r="AR473" t="n">
        <v>64</v>
      </c>
      <c r="AS473" t="n">
        <v>32</v>
      </c>
      <c r="AU473">
        <f>COUNTA($BA$473:$EH$473)</f>
        <v/>
      </c>
      <c r="AV473">
        <f>COUNTIF($BA$473:$EH$473,"D")</f>
        <v/>
      </c>
      <c r="AW473">
        <f>COUNTIF($BA$473:$EH$473,"R")</f>
        <v/>
      </c>
      <c r="AX473">
        <f>IF(BN473="D",1,0)+IF(BO473="D",1,0)+IF(BT473="D",1,0)+IF(BU473="D",1,0)+IF(BW473="D",1,0)+IF(CC473="D",1,0)+IF(CD473="D",1,0)+IF(CE473="D",1,0)+IF(CF473="D",1,0)+IF(CL473="D",1,0)+IF(CM473="D",1,0)+IF(CQ473="D",1,0)+IF(CR473="D",1,0)+IF(CS473="D",1,0)+IF(CW473="D",1,0)+IF(CX473="D",1,0)+IF(DD473="D",1,0)+IF(DE473="D",1,0)+IF(DJ473="D",1,0)+IF(DK473="D",1,0)+IF(DO473="D",1,0)+IF(DP473="D",1,0)+IF(DQ473="D",1,0)+IF(DW473="D",1,0)+IF(DZ473="D",1,0)+IF(EH473="D",1,0)</f>
        <v/>
      </c>
      <c r="AY473">
        <f>IF(DJ473&lt;&gt;"",1,0)+IF(DK473&lt;&gt;"",1,0)+IF(DM473&lt;&gt;"",1,0)+IF(DO473&lt;&gt;"",1,0)+IF(DP473&lt;&gt;"",1,0)+IF(DQ473&lt;&gt;"",1,0)+IF(DS473&lt;&gt;"",1,0)+IF(DT473&lt;&gt;"",1,0)+IF(DV473&lt;&gt;"",1,0)+IF(DW473&lt;&gt;"",1,0)+IF(DX473&lt;&gt;"",1,0)+IF(DY473&lt;&gt;"",1,0)+IF(DZ473&lt;&gt;"",1,0)+IF(EB473&lt;&gt;"",1,0)+IF(EC473&lt;&gt;"",1,0)+IF(ED473&lt;&gt;"",1,0)+IF(EG473&lt;&gt;"",1,0)+IF(EH473&lt;&gt;"",1,0)</f>
        <v/>
      </c>
      <c r="AZ473">
        <f>IF(EH473&lt;&gt;"",1,0)</f>
        <v/>
      </c>
      <c r="BB473" t="inlineStr">
        <is>
          <t>WARREN-WARD 4</t>
        </is>
      </c>
    </row>
    <row r="474">
      <c r="A474" t="inlineStr">
        <is>
          <t>OH0027139510</t>
        </is>
      </c>
      <c r="B474" t="n">
        <v>78</v>
      </c>
      <c r="C474" t="n">
        <v>477667</v>
      </c>
      <c r="D474" t="inlineStr">
        <is>
          <t>HAUN</t>
        </is>
      </c>
      <c r="E474" t="inlineStr">
        <is>
          <t>BRANDI</t>
        </is>
      </c>
      <c r="F474">
        <f>CONCATENATE(D474," ",LEFT(H474,4),"T=",AU474,"D=",AV474,"R=",AW474,"M=",AX474,"L=",AY474,"B=",AZ474)</f>
        <v/>
      </c>
      <c r="G474" t="inlineStr">
        <is>
          <t>L</t>
        </is>
      </c>
      <c r="I474" t="inlineStr">
        <is>
          <t>1992-02-21</t>
        </is>
      </c>
      <c r="J474" t="inlineStr">
        <is>
          <t>2023-11-07</t>
        </is>
      </c>
      <c r="K474" t="inlineStr">
        <is>
          <t>ACTIVE</t>
        </is>
      </c>
      <c r="M474" t="inlineStr">
        <is>
          <t>337 LAIRD AVE SE</t>
        </is>
      </c>
      <c r="N474">
        <f>RIGHT(M474,LEN(M474)-FIND(" ",M474))</f>
        <v/>
      </c>
      <c r="P474" t="inlineStr">
        <is>
          <t>WARREN</t>
        </is>
      </c>
      <c r="Q474" t="inlineStr">
        <is>
          <t>OH</t>
        </is>
      </c>
      <c r="R474" t="n">
        <v>44483</v>
      </c>
      <c r="AD474" t="inlineStr">
        <is>
          <t>TRUMBULL CAREER &amp; TECH CENTER</t>
        </is>
      </c>
      <c r="AE474" t="inlineStr">
        <is>
          <t>WARREN CITY</t>
        </is>
      </c>
      <c r="AF474" t="inlineStr">
        <is>
          <t>WARREN CITY SD</t>
        </is>
      </c>
      <c r="AH474" t="n">
        <v>14</v>
      </c>
      <c r="AI474" t="n">
        <v>11</v>
      </c>
      <c r="AN474" t="inlineStr">
        <is>
          <t>WARREN</t>
        </is>
      </c>
      <c r="AO474" t="inlineStr">
        <is>
          <t>WARREN CITY 4A</t>
        </is>
      </c>
      <c r="AP474" t="inlineStr">
        <is>
          <t>78-P-ADI</t>
        </is>
      </c>
      <c r="AQ474" t="n">
        <v>9</v>
      </c>
      <c r="AR474" t="n">
        <v>64</v>
      </c>
      <c r="AS474" t="n">
        <v>32</v>
      </c>
      <c r="AU474">
        <f>COUNTA($BA$474:$EH$474)</f>
        <v/>
      </c>
      <c r="AV474">
        <f>COUNTIF($BA$474:$EH$474,"D")</f>
        <v/>
      </c>
      <c r="AW474">
        <f>COUNTIF($BA$474:$EH$474,"R")</f>
        <v/>
      </c>
      <c r="AX474">
        <f>IF(BN474="D",1,0)+IF(BO474="D",1,0)+IF(BT474="D",1,0)+IF(BU474="D",1,0)+IF(BW474="D",1,0)+IF(CC474="D",1,0)+IF(CD474="D",1,0)+IF(CE474="D",1,0)+IF(CF474="D",1,0)+IF(CL474="D",1,0)+IF(CM474="D",1,0)+IF(CQ474="D",1,0)+IF(CR474="D",1,0)+IF(CS474="D",1,0)+IF(CW474="D",1,0)+IF(CX474="D",1,0)+IF(DD474="D",1,0)+IF(DE474="D",1,0)+IF(DJ474="D",1,0)+IF(DK474="D",1,0)+IF(DO474="D",1,0)+IF(DP474="D",1,0)+IF(DQ474="D",1,0)+IF(DW474="D",1,0)+IF(DZ474="D",1,0)+IF(EH474="D",1,0)</f>
        <v/>
      </c>
      <c r="AY474">
        <f>IF(DJ474&lt;&gt;"",1,0)+IF(DK474&lt;&gt;"",1,0)+IF(DM474&lt;&gt;"",1,0)+IF(DO474&lt;&gt;"",1,0)+IF(DP474&lt;&gt;"",1,0)+IF(DQ474&lt;&gt;"",1,0)+IF(DS474&lt;&gt;"",1,0)+IF(DT474&lt;&gt;"",1,0)+IF(DV474&lt;&gt;"",1,0)+IF(DW474&lt;&gt;"",1,0)+IF(DX474&lt;&gt;"",1,0)+IF(DY474&lt;&gt;"",1,0)+IF(DZ474&lt;&gt;"",1,0)+IF(EB474&lt;&gt;"",1,0)+IF(EC474&lt;&gt;"",1,0)+IF(ED474&lt;&gt;"",1,0)+IF(EG474&lt;&gt;"",1,0)+IF(EH474&lt;&gt;"",1,0)</f>
        <v/>
      </c>
      <c r="AZ474">
        <f>IF(EH474&lt;&gt;"",1,0)</f>
        <v/>
      </c>
      <c r="BB474" t="inlineStr">
        <is>
          <t>WARREN-WARD 4</t>
        </is>
      </c>
    </row>
    <row r="475">
      <c r="A475" t="inlineStr">
        <is>
          <t>OH0026524027</t>
        </is>
      </c>
      <c r="B475" t="n">
        <v>78</v>
      </c>
      <c r="C475" t="n">
        <v>463714</v>
      </c>
      <c r="D475" t="inlineStr">
        <is>
          <t>SEARS</t>
        </is>
      </c>
      <c r="E475" t="inlineStr">
        <is>
          <t>CHRISTEN</t>
        </is>
      </c>
      <c r="F475">
        <f>CONCATENATE(D475," ",LEFT(H475,4),"T=",AU475,"D=",AV475,"R=",AW475,"M=",AX475,"L=",AY475,"B=",AZ475)</f>
        <v/>
      </c>
      <c r="G475" t="inlineStr">
        <is>
          <t>MICHELE</t>
        </is>
      </c>
      <c r="I475" t="inlineStr">
        <is>
          <t>1988-10-12</t>
        </is>
      </c>
      <c r="J475" t="inlineStr">
        <is>
          <t>2022-05-23</t>
        </is>
      </c>
      <c r="K475" t="inlineStr">
        <is>
          <t>ACTIVE</t>
        </is>
      </c>
      <c r="M475" t="inlineStr">
        <is>
          <t>714 LAIRD AVE SE</t>
        </is>
      </c>
      <c r="N475">
        <f>RIGHT(M475,LEN(M475)-FIND(" ",M475))</f>
        <v/>
      </c>
      <c r="P475" t="inlineStr">
        <is>
          <t>WARREN</t>
        </is>
      </c>
      <c r="Q475" t="inlineStr">
        <is>
          <t>OH</t>
        </is>
      </c>
      <c r="R475" t="n">
        <v>44484</v>
      </c>
      <c r="AD475" t="inlineStr">
        <is>
          <t>TRUMBULL CAREER &amp; TECH CENTER</t>
        </is>
      </c>
      <c r="AE475" t="inlineStr">
        <is>
          <t>WARREN CITY</t>
        </is>
      </c>
      <c r="AF475" t="inlineStr">
        <is>
          <t>WARREN CITY SD</t>
        </is>
      </c>
      <c r="AH475" t="n">
        <v>14</v>
      </c>
      <c r="AI475" t="n">
        <v>11</v>
      </c>
      <c r="AN475" t="inlineStr">
        <is>
          <t>WARREN</t>
        </is>
      </c>
      <c r="AO475" t="inlineStr">
        <is>
          <t>WARREN CITY 4A</t>
        </is>
      </c>
      <c r="AP475" t="inlineStr">
        <is>
          <t>78-P-ADI</t>
        </is>
      </c>
      <c r="AQ475" t="n">
        <v>9</v>
      </c>
      <c r="AR475" t="n">
        <v>64</v>
      </c>
      <c r="AS475" t="n">
        <v>32</v>
      </c>
      <c r="AU475">
        <f>COUNTA($BA$475:$EH$475)</f>
        <v/>
      </c>
      <c r="AV475">
        <f>COUNTIF($BA$475:$EH$475,"D")</f>
        <v/>
      </c>
      <c r="AW475">
        <f>COUNTIF($BA$475:$EH$475,"R")</f>
        <v/>
      </c>
      <c r="AX475">
        <f>IF(BN475="D",1,0)+IF(BO475="D",1,0)+IF(BT475="D",1,0)+IF(BU475="D",1,0)+IF(BW475="D",1,0)+IF(CC475="D",1,0)+IF(CD475="D",1,0)+IF(CE475="D",1,0)+IF(CF475="D",1,0)+IF(CL475="D",1,0)+IF(CM475="D",1,0)+IF(CQ475="D",1,0)+IF(CR475="D",1,0)+IF(CS475="D",1,0)+IF(CW475="D",1,0)+IF(CX475="D",1,0)+IF(DD475="D",1,0)+IF(DE475="D",1,0)+IF(DJ475="D",1,0)+IF(DK475="D",1,0)+IF(DO475="D",1,0)+IF(DP475="D",1,0)+IF(DQ475="D",1,0)+IF(DW475="D",1,0)+IF(DZ475="D",1,0)+IF(EH475="D",1,0)</f>
        <v/>
      </c>
      <c r="AY475">
        <f>IF(DJ475&lt;&gt;"",1,0)+IF(DK475&lt;&gt;"",1,0)+IF(DM475&lt;&gt;"",1,0)+IF(DO475&lt;&gt;"",1,0)+IF(DP475&lt;&gt;"",1,0)+IF(DQ475&lt;&gt;"",1,0)+IF(DS475&lt;&gt;"",1,0)+IF(DT475&lt;&gt;"",1,0)+IF(DV475&lt;&gt;"",1,0)+IF(DW475&lt;&gt;"",1,0)+IF(DX475&lt;&gt;"",1,0)+IF(DY475&lt;&gt;"",1,0)+IF(DZ475&lt;&gt;"",1,0)+IF(EB475&lt;&gt;"",1,0)+IF(EC475&lt;&gt;"",1,0)+IF(ED475&lt;&gt;"",1,0)+IF(EG475&lt;&gt;"",1,0)+IF(EH475&lt;&gt;"",1,0)</f>
        <v/>
      </c>
      <c r="AZ475">
        <f>IF(EH475&lt;&gt;"",1,0)</f>
        <v/>
      </c>
      <c r="BB475" t="inlineStr">
        <is>
          <t>WARREN-WARD 4</t>
        </is>
      </c>
      <c r="DU475" t="inlineStr">
        <is>
          <t>X</t>
        </is>
      </c>
      <c r="EA475" t="inlineStr">
        <is>
          <t>X</t>
        </is>
      </c>
      <c r="EF475" t="inlineStr">
        <is>
          <t>X</t>
        </is>
      </c>
    </row>
    <row r="476">
      <c r="A476" t="inlineStr">
        <is>
          <t>OH0027962530</t>
        </is>
      </c>
      <c r="B476" t="n">
        <v>78</v>
      </c>
      <c r="C476" t="n">
        <v>496340</v>
      </c>
      <c r="D476" t="inlineStr">
        <is>
          <t>MARTIN</t>
        </is>
      </c>
      <c r="E476" t="inlineStr">
        <is>
          <t>JOYCE</t>
        </is>
      </c>
      <c r="F476">
        <f>CONCATENATE(D476," ",LEFT(H476,4),"T=",AU476,"D=",AV476,"R=",AW476,"M=",AX476,"L=",AY476,"B=",AZ476)</f>
        <v/>
      </c>
      <c r="G476" t="inlineStr">
        <is>
          <t>ANN</t>
        </is>
      </c>
      <c r="I476" t="inlineStr">
        <is>
          <t>1968-06-18</t>
        </is>
      </c>
      <c r="J476" t="inlineStr">
        <is>
          <t>2025-05-27</t>
        </is>
      </c>
      <c r="K476" t="inlineStr">
        <is>
          <t>ACTIVE</t>
        </is>
      </c>
      <c r="M476" t="inlineStr">
        <is>
          <t>840 OAK KNOLL AVE SE</t>
        </is>
      </c>
      <c r="N476">
        <f>RIGHT(M476,LEN(M476)-FIND(" ",M476))</f>
        <v/>
      </c>
      <c r="P476" t="inlineStr">
        <is>
          <t>WARREN</t>
        </is>
      </c>
      <c r="Q476" t="inlineStr">
        <is>
          <t>OH</t>
        </is>
      </c>
      <c r="R476" t="n">
        <v>44484</v>
      </c>
      <c r="AD476" t="inlineStr">
        <is>
          <t>TRUMBULL CAREER &amp; TECH CENTER</t>
        </is>
      </c>
      <c r="AE476" t="inlineStr">
        <is>
          <t>WARREN CITY</t>
        </is>
      </c>
      <c r="AF476" t="inlineStr">
        <is>
          <t>WARREN CITY SD</t>
        </is>
      </c>
      <c r="AH476" t="n">
        <v>14</v>
      </c>
      <c r="AI476" t="n">
        <v>11</v>
      </c>
      <c r="AN476" t="inlineStr">
        <is>
          <t>WARREN</t>
        </is>
      </c>
      <c r="AO476" t="inlineStr">
        <is>
          <t>WARREN CITY 4A</t>
        </is>
      </c>
      <c r="AP476" t="inlineStr">
        <is>
          <t>78-P-ADI</t>
        </is>
      </c>
      <c r="AQ476" t="n">
        <v>9</v>
      </c>
      <c r="AR476" t="n">
        <v>64</v>
      </c>
      <c r="AS476" t="n">
        <v>32</v>
      </c>
      <c r="AU476">
        <f>COUNTA($BA$476:$EH$476)</f>
        <v/>
      </c>
      <c r="AV476">
        <f>COUNTIF($BA$476:$EH$476,"D")</f>
        <v/>
      </c>
      <c r="AW476">
        <f>COUNTIF($BA$476:$EH$476,"R")</f>
        <v/>
      </c>
      <c r="AX476">
        <f>IF(BN476="D",1,0)+IF(BO476="D",1,0)+IF(BT476="D",1,0)+IF(BU476="D",1,0)+IF(BW476="D",1,0)+IF(CC476="D",1,0)+IF(CD476="D",1,0)+IF(CE476="D",1,0)+IF(CF476="D",1,0)+IF(CL476="D",1,0)+IF(CM476="D",1,0)+IF(CQ476="D",1,0)+IF(CR476="D",1,0)+IF(CS476="D",1,0)+IF(CW476="D",1,0)+IF(CX476="D",1,0)+IF(DD476="D",1,0)+IF(DE476="D",1,0)+IF(DJ476="D",1,0)+IF(DK476="D",1,0)+IF(DO476="D",1,0)+IF(DP476="D",1,0)+IF(DQ476="D",1,0)+IF(DW476="D",1,0)+IF(DZ476="D",1,0)+IF(EH476="D",1,0)</f>
        <v/>
      </c>
      <c r="AY476">
        <f>IF(DJ476&lt;&gt;"",1,0)+IF(DK476&lt;&gt;"",1,0)+IF(DM476&lt;&gt;"",1,0)+IF(DO476&lt;&gt;"",1,0)+IF(DP476&lt;&gt;"",1,0)+IF(DQ476&lt;&gt;"",1,0)+IF(DS476&lt;&gt;"",1,0)+IF(DT476&lt;&gt;"",1,0)+IF(DV476&lt;&gt;"",1,0)+IF(DW476&lt;&gt;"",1,0)+IF(DX476&lt;&gt;"",1,0)+IF(DY476&lt;&gt;"",1,0)+IF(DZ476&lt;&gt;"",1,0)+IF(EB476&lt;&gt;"",1,0)+IF(EC476&lt;&gt;"",1,0)+IF(ED476&lt;&gt;"",1,0)+IF(EG476&lt;&gt;"",1,0)+IF(EH476&lt;&gt;"",1,0)</f>
        <v/>
      </c>
      <c r="AZ476">
        <f>IF(EH476&lt;&gt;"",1,0)</f>
        <v/>
      </c>
      <c r="BB476" t="inlineStr">
        <is>
          <t>WARREN-WARD 4</t>
        </is>
      </c>
    </row>
    <row r="477">
      <c r="A477" t="inlineStr">
        <is>
          <t>OH0023495222</t>
        </is>
      </c>
      <c r="B477" t="n">
        <v>78</v>
      </c>
      <c r="C477" t="n">
        <v>413729</v>
      </c>
      <c r="D477" t="inlineStr">
        <is>
          <t>STAMP</t>
        </is>
      </c>
      <c r="E477" t="inlineStr">
        <is>
          <t>MELISSA</t>
        </is>
      </c>
      <c r="F477">
        <f>CONCATENATE(D477," ",LEFT(H477,4),"T=",AU477,"D=",AV477,"R=",AW477,"M=",AX477,"L=",AY477,"B=",AZ477)</f>
        <v/>
      </c>
      <c r="G477" t="inlineStr">
        <is>
          <t>A</t>
        </is>
      </c>
      <c r="I477" t="inlineStr">
        <is>
          <t>1977-09-23</t>
        </is>
      </c>
      <c r="J477" t="inlineStr">
        <is>
          <t>2024-12-30</t>
        </is>
      </c>
      <c r="K477" t="inlineStr">
        <is>
          <t>ACTIVE</t>
        </is>
      </c>
      <c r="M477" t="inlineStr">
        <is>
          <t>851 OAK KNOLL AVE SE</t>
        </is>
      </c>
      <c r="N477">
        <f>RIGHT(M477,LEN(M477)-FIND(" ",M477))</f>
        <v/>
      </c>
      <c r="P477" t="inlineStr">
        <is>
          <t>WARREN</t>
        </is>
      </c>
      <c r="Q477" t="inlineStr">
        <is>
          <t>OH</t>
        </is>
      </c>
      <c r="R477" t="n">
        <v>44484</v>
      </c>
      <c r="AD477" t="inlineStr">
        <is>
          <t>TRUMBULL CAREER &amp; TECH CENTER</t>
        </is>
      </c>
      <c r="AE477" t="inlineStr">
        <is>
          <t>WARREN CITY</t>
        </is>
      </c>
      <c r="AF477" t="inlineStr">
        <is>
          <t>WARREN CITY SD</t>
        </is>
      </c>
      <c r="AH477" t="n">
        <v>14</v>
      </c>
      <c r="AI477" t="n">
        <v>11</v>
      </c>
      <c r="AN477" t="inlineStr">
        <is>
          <t>WARREN</t>
        </is>
      </c>
      <c r="AO477" t="inlineStr">
        <is>
          <t>WARREN CITY 4A</t>
        </is>
      </c>
      <c r="AP477" t="inlineStr">
        <is>
          <t>78-P-ADI</t>
        </is>
      </c>
      <c r="AQ477" t="n">
        <v>9</v>
      </c>
      <c r="AR477" t="n">
        <v>64</v>
      </c>
      <c r="AS477" t="n">
        <v>32</v>
      </c>
      <c r="AU477">
        <f>COUNTA($BA$477:$EH$477)</f>
        <v/>
      </c>
      <c r="AV477">
        <f>COUNTIF($BA$477:$EH$477,"D")</f>
        <v/>
      </c>
      <c r="AW477">
        <f>COUNTIF($BA$477:$EH$477,"R")</f>
        <v/>
      </c>
      <c r="AX477">
        <f>IF(BN477="D",1,0)+IF(BO477="D",1,0)+IF(BT477="D",1,0)+IF(BU477="D",1,0)+IF(BW477="D",1,0)+IF(CC477="D",1,0)+IF(CD477="D",1,0)+IF(CE477="D",1,0)+IF(CF477="D",1,0)+IF(CL477="D",1,0)+IF(CM477="D",1,0)+IF(CQ477="D",1,0)+IF(CR477="D",1,0)+IF(CS477="D",1,0)+IF(CW477="D",1,0)+IF(CX477="D",1,0)+IF(DD477="D",1,0)+IF(DE477="D",1,0)+IF(DJ477="D",1,0)+IF(DK477="D",1,0)+IF(DO477="D",1,0)+IF(DP477="D",1,0)+IF(DQ477="D",1,0)+IF(DW477="D",1,0)+IF(DZ477="D",1,0)+IF(EH477="D",1,0)</f>
        <v/>
      </c>
      <c r="AY477">
        <f>IF(DJ477&lt;&gt;"",1,0)+IF(DK477&lt;&gt;"",1,0)+IF(DM477&lt;&gt;"",1,0)+IF(DO477&lt;&gt;"",1,0)+IF(DP477&lt;&gt;"",1,0)+IF(DQ477&lt;&gt;"",1,0)+IF(DS477&lt;&gt;"",1,0)+IF(DT477&lt;&gt;"",1,0)+IF(DV477&lt;&gt;"",1,0)+IF(DW477&lt;&gt;"",1,0)+IF(DX477&lt;&gt;"",1,0)+IF(DY477&lt;&gt;"",1,0)+IF(DZ477&lt;&gt;"",1,0)+IF(EB477&lt;&gt;"",1,0)+IF(EC477&lt;&gt;"",1,0)+IF(ED477&lt;&gt;"",1,0)+IF(EG477&lt;&gt;"",1,0)+IF(EH477&lt;&gt;"",1,0)</f>
        <v/>
      </c>
      <c r="AZ477">
        <f>IF(EH477&lt;&gt;"",1,0)</f>
        <v/>
      </c>
      <c r="BB477" t="inlineStr">
        <is>
          <t>WARREN-WARD 4</t>
        </is>
      </c>
      <c r="BS477" t="inlineStr">
        <is>
          <t>X</t>
        </is>
      </c>
      <c r="BY477" t="inlineStr">
        <is>
          <t>D</t>
        </is>
      </c>
      <c r="CA477" t="inlineStr">
        <is>
          <t>X</t>
        </is>
      </c>
    </row>
    <row r="478">
      <c r="A478" t="inlineStr">
        <is>
          <t>OH0026524441</t>
        </is>
      </c>
      <c r="B478" t="n">
        <v>78</v>
      </c>
      <c r="C478" t="n">
        <v>463719</v>
      </c>
      <c r="D478" t="inlineStr">
        <is>
          <t>NEISS</t>
        </is>
      </c>
      <c r="E478" t="inlineStr">
        <is>
          <t>RYAN</t>
        </is>
      </c>
      <c r="F478">
        <f>CONCATENATE(D478," ",LEFT(H478,4),"T=",AU478,"D=",AV478,"R=",AW478,"M=",AX478,"L=",AY478,"B=",AZ478)</f>
        <v/>
      </c>
      <c r="G478" t="inlineStr">
        <is>
          <t>M</t>
        </is>
      </c>
      <c r="I478" t="inlineStr">
        <is>
          <t>1981-05-20</t>
        </is>
      </c>
      <c r="J478" t="inlineStr">
        <is>
          <t>2022-05-20</t>
        </is>
      </c>
      <c r="K478" t="inlineStr">
        <is>
          <t>ACTIVE</t>
        </is>
      </c>
      <c r="M478" t="inlineStr">
        <is>
          <t>161 WOODBINE AVE SE</t>
        </is>
      </c>
      <c r="N478">
        <f>RIGHT(M478,LEN(M478)-FIND(" ",M478))</f>
        <v/>
      </c>
      <c r="P478" t="inlineStr">
        <is>
          <t>WARREN</t>
        </is>
      </c>
      <c r="Q478" t="inlineStr">
        <is>
          <t>OH</t>
        </is>
      </c>
      <c r="R478" t="n">
        <v>44483</v>
      </c>
      <c r="AD478" t="inlineStr">
        <is>
          <t>TRUMBULL CAREER &amp; TECH CENTER</t>
        </is>
      </c>
      <c r="AE478" t="inlineStr">
        <is>
          <t>WARREN CITY</t>
        </is>
      </c>
      <c r="AF478" t="inlineStr">
        <is>
          <t>WARREN CITY SD</t>
        </is>
      </c>
      <c r="AH478" t="n">
        <v>14</v>
      </c>
      <c r="AI478" t="n">
        <v>11</v>
      </c>
      <c r="AN478" t="inlineStr">
        <is>
          <t>WARREN</t>
        </is>
      </c>
      <c r="AO478" t="inlineStr">
        <is>
          <t>WARREN CITY 4A</t>
        </is>
      </c>
      <c r="AP478" t="inlineStr">
        <is>
          <t>78-P-ADI</t>
        </is>
      </c>
      <c r="AQ478" t="n">
        <v>9</v>
      </c>
      <c r="AR478" t="n">
        <v>64</v>
      </c>
      <c r="AS478" t="n">
        <v>32</v>
      </c>
      <c r="AU478">
        <f>COUNTA($BA$478:$EH$478)</f>
        <v/>
      </c>
      <c r="AV478">
        <f>COUNTIF($BA$478:$EH$478,"D")</f>
        <v/>
      </c>
      <c r="AW478">
        <f>COUNTIF($BA$478:$EH$478,"R")</f>
        <v/>
      </c>
      <c r="AX478">
        <f>IF(BN478="D",1,0)+IF(BO478="D",1,0)+IF(BT478="D",1,0)+IF(BU478="D",1,0)+IF(BW478="D",1,0)+IF(CC478="D",1,0)+IF(CD478="D",1,0)+IF(CE478="D",1,0)+IF(CF478="D",1,0)+IF(CL478="D",1,0)+IF(CM478="D",1,0)+IF(CQ478="D",1,0)+IF(CR478="D",1,0)+IF(CS478="D",1,0)+IF(CW478="D",1,0)+IF(CX478="D",1,0)+IF(DD478="D",1,0)+IF(DE478="D",1,0)+IF(DJ478="D",1,0)+IF(DK478="D",1,0)+IF(DO478="D",1,0)+IF(DP478="D",1,0)+IF(DQ478="D",1,0)+IF(DW478="D",1,0)+IF(DZ478="D",1,0)+IF(EH478="D",1,0)</f>
        <v/>
      </c>
      <c r="AY478">
        <f>IF(DJ478&lt;&gt;"",1,0)+IF(DK478&lt;&gt;"",1,0)+IF(DM478&lt;&gt;"",1,0)+IF(DO478&lt;&gt;"",1,0)+IF(DP478&lt;&gt;"",1,0)+IF(DQ478&lt;&gt;"",1,0)+IF(DS478&lt;&gt;"",1,0)+IF(DT478&lt;&gt;"",1,0)+IF(DV478&lt;&gt;"",1,0)+IF(DW478&lt;&gt;"",1,0)+IF(DX478&lt;&gt;"",1,0)+IF(DY478&lt;&gt;"",1,0)+IF(DZ478&lt;&gt;"",1,0)+IF(EB478&lt;&gt;"",1,0)+IF(EC478&lt;&gt;"",1,0)+IF(ED478&lt;&gt;"",1,0)+IF(EG478&lt;&gt;"",1,0)+IF(EH478&lt;&gt;"",1,0)</f>
        <v/>
      </c>
      <c r="AZ478">
        <f>IF(EH478&lt;&gt;"",1,0)</f>
        <v/>
      </c>
      <c r="BB478" t="inlineStr">
        <is>
          <t>WARREN-WARD 4</t>
        </is>
      </c>
      <c r="BC478" t="inlineStr">
        <is>
          <t>X</t>
        </is>
      </c>
      <c r="BD478" t="inlineStr">
        <is>
          <t>X</t>
        </is>
      </c>
      <c r="BE478" t="inlineStr">
        <is>
          <t>X</t>
        </is>
      </c>
      <c r="BF478" t="inlineStr">
        <is>
          <t>X</t>
        </is>
      </c>
      <c r="BJ478" t="inlineStr">
        <is>
          <t>X</t>
        </is>
      </c>
      <c r="BK478" t="inlineStr">
        <is>
          <t>X</t>
        </is>
      </c>
      <c r="BL478" t="inlineStr">
        <is>
          <t>X</t>
        </is>
      </c>
    </row>
    <row r="479">
      <c r="A479" t="inlineStr">
        <is>
          <t>OH0027962525</t>
        </is>
      </c>
      <c r="B479" t="n">
        <v>78</v>
      </c>
      <c r="C479" t="n">
        <v>496337</v>
      </c>
      <c r="D479" t="inlineStr">
        <is>
          <t>FOSTER</t>
        </is>
      </c>
      <c r="E479" t="inlineStr">
        <is>
          <t>DENNIS</t>
        </is>
      </c>
      <c r="F479">
        <f>CONCATENATE(D479," ",LEFT(H479,4),"T=",AU479,"D=",AV479,"R=",AW479,"M=",AX479,"L=",AY479,"B=",AZ479)</f>
        <v/>
      </c>
      <c r="G479" t="inlineStr">
        <is>
          <t>A</t>
        </is>
      </c>
      <c r="I479" t="inlineStr">
        <is>
          <t>1986-03-17</t>
        </is>
      </c>
      <c r="J479" t="inlineStr">
        <is>
          <t>2025-05-27</t>
        </is>
      </c>
      <c r="K479" t="inlineStr">
        <is>
          <t>ACTIVE</t>
        </is>
      </c>
      <c r="M479" t="inlineStr">
        <is>
          <t>419 KENILWORTH AVE SE</t>
        </is>
      </c>
      <c r="N479">
        <f>RIGHT(M479,LEN(M479)-FIND(" ",M479))</f>
        <v/>
      </c>
      <c r="P479" t="inlineStr">
        <is>
          <t>WARREN</t>
        </is>
      </c>
      <c r="Q479" t="inlineStr">
        <is>
          <t>OH</t>
        </is>
      </c>
      <c r="R479" t="n">
        <v>44483</v>
      </c>
      <c r="AD479" t="inlineStr">
        <is>
          <t>TRUMBULL CAREER &amp; TECH CENTER</t>
        </is>
      </c>
      <c r="AE479" t="inlineStr">
        <is>
          <t>WARREN CITY</t>
        </is>
      </c>
      <c r="AF479" t="inlineStr">
        <is>
          <t>WARREN CITY SD</t>
        </is>
      </c>
      <c r="AH479" t="n">
        <v>14</v>
      </c>
      <c r="AI479" t="n">
        <v>11</v>
      </c>
      <c r="AN479" t="inlineStr">
        <is>
          <t>WARREN</t>
        </is>
      </c>
      <c r="AO479" t="inlineStr">
        <is>
          <t>WARREN CITY 4A</t>
        </is>
      </c>
      <c r="AP479" t="inlineStr">
        <is>
          <t>78-P-ADI</t>
        </is>
      </c>
      <c r="AQ479" t="n">
        <v>9</v>
      </c>
      <c r="AR479" t="n">
        <v>64</v>
      </c>
      <c r="AS479" t="n">
        <v>32</v>
      </c>
      <c r="AU479">
        <f>COUNTA($BA$479:$EH$479)</f>
        <v/>
      </c>
      <c r="AV479">
        <f>COUNTIF($BA$479:$EH$479,"D")</f>
        <v/>
      </c>
      <c r="AW479">
        <f>COUNTIF($BA$479:$EH$479,"R")</f>
        <v/>
      </c>
      <c r="AX479">
        <f>IF(BN479="D",1,0)+IF(BO479="D",1,0)+IF(BT479="D",1,0)+IF(BU479="D",1,0)+IF(BW479="D",1,0)+IF(CC479="D",1,0)+IF(CD479="D",1,0)+IF(CE479="D",1,0)+IF(CF479="D",1,0)+IF(CL479="D",1,0)+IF(CM479="D",1,0)+IF(CQ479="D",1,0)+IF(CR479="D",1,0)+IF(CS479="D",1,0)+IF(CW479="D",1,0)+IF(CX479="D",1,0)+IF(DD479="D",1,0)+IF(DE479="D",1,0)+IF(DJ479="D",1,0)+IF(DK479="D",1,0)+IF(DO479="D",1,0)+IF(DP479="D",1,0)+IF(DQ479="D",1,0)+IF(DW479="D",1,0)+IF(DZ479="D",1,0)+IF(EH479="D",1,0)</f>
        <v/>
      </c>
      <c r="AY479">
        <f>IF(DJ479&lt;&gt;"",1,0)+IF(DK479&lt;&gt;"",1,0)+IF(DM479&lt;&gt;"",1,0)+IF(DO479&lt;&gt;"",1,0)+IF(DP479&lt;&gt;"",1,0)+IF(DQ479&lt;&gt;"",1,0)+IF(DS479&lt;&gt;"",1,0)+IF(DT479&lt;&gt;"",1,0)+IF(DV479&lt;&gt;"",1,0)+IF(DW479&lt;&gt;"",1,0)+IF(DX479&lt;&gt;"",1,0)+IF(DY479&lt;&gt;"",1,0)+IF(DZ479&lt;&gt;"",1,0)+IF(EB479&lt;&gt;"",1,0)+IF(EC479&lt;&gt;"",1,0)+IF(ED479&lt;&gt;"",1,0)+IF(EG479&lt;&gt;"",1,0)+IF(EH479&lt;&gt;"",1,0)</f>
        <v/>
      </c>
      <c r="AZ479">
        <f>IF(EH479&lt;&gt;"",1,0)</f>
        <v/>
      </c>
      <c r="BB479" t="inlineStr">
        <is>
          <t>WARREN-WARD 4</t>
        </is>
      </c>
    </row>
    <row r="480">
      <c r="A480" t="inlineStr">
        <is>
          <t>OH0015817340</t>
        </is>
      </c>
      <c r="B480" t="n">
        <v>78</v>
      </c>
      <c r="C480" t="n">
        <v>272888</v>
      </c>
      <c r="D480" t="inlineStr">
        <is>
          <t>WOMER</t>
        </is>
      </c>
      <c r="E480" t="inlineStr">
        <is>
          <t>BRIAN</t>
        </is>
      </c>
      <c r="F480">
        <f>CONCATENATE(D480," ",LEFT(H480,4),"T=",AU480,"D=",AV480,"R=",AW480,"M=",AX480,"L=",AY480,"B=",AZ480)</f>
        <v/>
      </c>
      <c r="G480" t="inlineStr">
        <is>
          <t>K</t>
        </is>
      </c>
      <c r="I480" t="inlineStr">
        <is>
          <t>1977-01-23</t>
        </is>
      </c>
      <c r="J480" t="inlineStr">
        <is>
          <t>2025-01-21</t>
        </is>
      </c>
      <c r="K480" t="inlineStr">
        <is>
          <t>ACTIVE</t>
        </is>
      </c>
      <c r="M480" t="inlineStr">
        <is>
          <t>231 KENILWORTH AVE SE</t>
        </is>
      </c>
      <c r="N480">
        <f>RIGHT(M480,LEN(M480)-FIND(" ",M480))</f>
        <v/>
      </c>
      <c r="P480" t="inlineStr">
        <is>
          <t>WARREN</t>
        </is>
      </c>
      <c r="Q480" t="inlineStr">
        <is>
          <t>OH</t>
        </is>
      </c>
      <c r="R480" t="n">
        <v>44483</v>
      </c>
      <c r="AD480" t="inlineStr">
        <is>
          <t>TRUMBULL CAREER &amp; TECH CENTER</t>
        </is>
      </c>
      <c r="AE480" t="inlineStr">
        <is>
          <t>WARREN CITY</t>
        </is>
      </c>
      <c r="AF480" t="inlineStr">
        <is>
          <t>WARREN CITY SD</t>
        </is>
      </c>
      <c r="AH480" t="n">
        <v>14</v>
      </c>
      <c r="AI480" t="n">
        <v>11</v>
      </c>
      <c r="AN480" t="inlineStr">
        <is>
          <t>WARREN</t>
        </is>
      </c>
      <c r="AO480" t="inlineStr">
        <is>
          <t>WARREN CITY 4A</t>
        </is>
      </c>
      <c r="AP480" t="inlineStr">
        <is>
          <t>78-P-ADI</t>
        </is>
      </c>
      <c r="AQ480" t="n">
        <v>9</v>
      </c>
      <c r="AR480" t="n">
        <v>64</v>
      </c>
      <c r="AS480" t="n">
        <v>32</v>
      </c>
      <c r="AU480">
        <f>COUNTA($BA$480:$EH$480)</f>
        <v/>
      </c>
      <c r="AV480">
        <f>COUNTIF($BA$480:$EH$480,"D")</f>
        <v/>
      </c>
      <c r="AW480">
        <f>COUNTIF($BA$480:$EH$480,"R")</f>
        <v/>
      </c>
      <c r="AX480">
        <f>IF(BN480="D",1,0)+IF(BO480="D",1,0)+IF(BT480="D",1,0)+IF(BU480="D",1,0)+IF(BW480="D",1,0)+IF(CC480="D",1,0)+IF(CD480="D",1,0)+IF(CE480="D",1,0)+IF(CF480="D",1,0)+IF(CL480="D",1,0)+IF(CM480="D",1,0)+IF(CQ480="D",1,0)+IF(CR480="D",1,0)+IF(CS480="D",1,0)+IF(CW480="D",1,0)+IF(CX480="D",1,0)+IF(DD480="D",1,0)+IF(DE480="D",1,0)+IF(DJ480="D",1,0)+IF(DK480="D",1,0)+IF(DO480="D",1,0)+IF(DP480="D",1,0)+IF(DQ480="D",1,0)+IF(DW480="D",1,0)+IF(DZ480="D",1,0)+IF(EH480="D",1,0)</f>
        <v/>
      </c>
      <c r="AY480">
        <f>IF(DJ480&lt;&gt;"",1,0)+IF(DK480&lt;&gt;"",1,0)+IF(DM480&lt;&gt;"",1,0)+IF(DO480&lt;&gt;"",1,0)+IF(DP480&lt;&gt;"",1,0)+IF(DQ480&lt;&gt;"",1,0)+IF(DS480&lt;&gt;"",1,0)+IF(DT480&lt;&gt;"",1,0)+IF(DV480&lt;&gt;"",1,0)+IF(DW480&lt;&gt;"",1,0)+IF(DX480&lt;&gt;"",1,0)+IF(DY480&lt;&gt;"",1,0)+IF(DZ480&lt;&gt;"",1,0)+IF(EB480&lt;&gt;"",1,0)+IF(EC480&lt;&gt;"",1,0)+IF(ED480&lt;&gt;"",1,0)+IF(EG480&lt;&gt;"",1,0)+IF(EH480&lt;&gt;"",1,0)</f>
        <v/>
      </c>
      <c r="AZ480">
        <f>IF(EH480&lt;&gt;"",1,0)</f>
        <v/>
      </c>
      <c r="BB480" t="inlineStr">
        <is>
          <t>WARREN-WARD 4</t>
        </is>
      </c>
      <c r="EF480" t="inlineStr">
        <is>
          <t>X</t>
        </is>
      </c>
    </row>
    <row r="481">
      <c r="A481" t="inlineStr">
        <is>
          <t>OH0015742580</t>
        </is>
      </c>
      <c r="B481" t="n">
        <v>78</v>
      </c>
      <c r="C481" t="n">
        <v>311706</v>
      </c>
      <c r="D481" t="inlineStr">
        <is>
          <t>WAYBRIGHT</t>
        </is>
      </c>
      <c r="E481" t="inlineStr">
        <is>
          <t>PAULETTE</t>
        </is>
      </c>
      <c r="F481">
        <f>CONCATENATE(D481," ",LEFT(H481,4),"T=",AU481,"D=",AV481,"R=",AW481,"M=",AX481,"L=",AY481,"B=",AZ481)</f>
        <v/>
      </c>
      <c r="G481" t="inlineStr">
        <is>
          <t>J</t>
        </is>
      </c>
      <c r="I481" t="inlineStr">
        <is>
          <t>1983-01-27</t>
        </is>
      </c>
      <c r="J481" t="inlineStr">
        <is>
          <t>2023-11-28</t>
        </is>
      </c>
      <c r="K481" t="inlineStr">
        <is>
          <t>ACTIVE</t>
        </is>
      </c>
      <c r="L481" t="inlineStr">
        <is>
          <t>R</t>
        </is>
      </c>
      <c r="M481" t="inlineStr">
        <is>
          <t>117 LOGAN AVE SE</t>
        </is>
      </c>
      <c r="N481">
        <f>RIGHT(M481,LEN(M481)-FIND(" ",M481))</f>
        <v/>
      </c>
      <c r="P481" t="inlineStr">
        <is>
          <t>WARREN</t>
        </is>
      </c>
      <c r="Q481" t="inlineStr">
        <is>
          <t>OH</t>
        </is>
      </c>
      <c r="R481" t="n">
        <v>44483</v>
      </c>
      <c r="AD481" t="inlineStr">
        <is>
          <t>TRUMBULL CAREER &amp; TECH CENTER</t>
        </is>
      </c>
      <c r="AE481" t="inlineStr">
        <is>
          <t>WARREN CITY</t>
        </is>
      </c>
      <c r="AF481" t="inlineStr">
        <is>
          <t>WARREN CITY SD</t>
        </is>
      </c>
      <c r="AH481" t="n">
        <v>14</v>
      </c>
      <c r="AI481" t="n">
        <v>11</v>
      </c>
      <c r="AN481" t="inlineStr">
        <is>
          <t>WARREN</t>
        </is>
      </c>
      <c r="AO481" t="inlineStr">
        <is>
          <t>WARREN CITY 4A</t>
        </is>
      </c>
      <c r="AP481" t="inlineStr">
        <is>
          <t>78-P-ADI</t>
        </is>
      </c>
      <c r="AQ481" t="n">
        <v>9</v>
      </c>
      <c r="AR481" t="n">
        <v>64</v>
      </c>
      <c r="AS481" t="n">
        <v>32</v>
      </c>
      <c r="AU481">
        <f>COUNTA($BA$481:$EH$481)</f>
        <v/>
      </c>
      <c r="AV481">
        <f>COUNTIF($BA$481:$EH$481,"D")</f>
        <v/>
      </c>
      <c r="AW481">
        <f>COUNTIF($BA$481:$EH$481,"R")</f>
        <v/>
      </c>
      <c r="AX481">
        <f>IF(BN481="D",1,0)+IF(BO481="D",1,0)+IF(BT481="D",1,0)+IF(BU481="D",1,0)+IF(BW481="D",1,0)+IF(CC481="D",1,0)+IF(CD481="D",1,0)+IF(CE481="D",1,0)+IF(CF481="D",1,0)+IF(CL481="D",1,0)+IF(CM481="D",1,0)+IF(CQ481="D",1,0)+IF(CR481="D",1,0)+IF(CS481="D",1,0)+IF(CW481="D",1,0)+IF(CX481="D",1,0)+IF(DD481="D",1,0)+IF(DE481="D",1,0)+IF(DJ481="D",1,0)+IF(DK481="D",1,0)+IF(DO481="D",1,0)+IF(DP481="D",1,0)+IF(DQ481="D",1,0)+IF(DW481="D",1,0)+IF(DZ481="D",1,0)+IF(EH481="D",1,0)</f>
        <v/>
      </c>
      <c r="AY481">
        <f>IF(DJ481&lt;&gt;"",1,0)+IF(DK481&lt;&gt;"",1,0)+IF(DM481&lt;&gt;"",1,0)+IF(DO481&lt;&gt;"",1,0)+IF(DP481&lt;&gt;"",1,0)+IF(DQ481&lt;&gt;"",1,0)+IF(DS481&lt;&gt;"",1,0)+IF(DT481&lt;&gt;"",1,0)+IF(DV481&lt;&gt;"",1,0)+IF(DW481&lt;&gt;"",1,0)+IF(DX481&lt;&gt;"",1,0)+IF(DY481&lt;&gt;"",1,0)+IF(DZ481&lt;&gt;"",1,0)+IF(EB481&lt;&gt;"",1,0)+IF(EC481&lt;&gt;"",1,0)+IF(ED481&lt;&gt;"",1,0)+IF(EG481&lt;&gt;"",1,0)+IF(EH481&lt;&gt;"",1,0)</f>
        <v/>
      </c>
      <c r="AZ481">
        <f>IF(EH481&lt;&gt;"",1,0)</f>
        <v/>
      </c>
      <c r="BB481" t="inlineStr">
        <is>
          <t>WARREN-WARD 4</t>
        </is>
      </c>
      <c r="BL481" t="inlineStr">
        <is>
          <t>X</t>
        </is>
      </c>
      <c r="BP481" t="inlineStr">
        <is>
          <t>X</t>
        </is>
      </c>
      <c r="BV481" t="inlineStr">
        <is>
          <t>X</t>
        </is>
      </c>
      <c r="CA481" t="inlineStr">
        <is>
          <t>X</t>
        </is>
      </c>
      <c r="CK481" t="inlineStr">
        <is>
          <t>X</t>
        </is>
      </c>
      <c r="CO481" t="inlineStr">
        <is>
          <t>D</t>
        </is>
      </c>
      <c r="CY481" t="inlineStr">
        <is>
          <t>X</t>
        </is>
      </c>
      <c r="CZ481" t="inlineStr">
        <is>
          <t>R</t>
        </is>
      </c>
      <c r="DC481" t="inlineStr">
        <is>
          <t>X</t>
        </is>
      </c>
      <c r="DI481" t="inlineStr">
        <is>
          <t>X</t>
        </is>
      </c>
      <c r="DN481" t="inlineStr">
        <is>
          <t>X</t>
        </is>
      </c>
      <c r="DT481" t="inlineStr">
        <is>
          <t>R</t>
        </is>
      </c>
      <c r="DU481" t="inlineStr">
        <is>
          <t>X</t>
        </is>
      </c>
      <c r="EA481" t="inlineStr">
        <is>
          <t>X</t>
        </is>
      </c>
      <c r="ED481" t="inlineStr">
        <is>
          <t>R</t>
        </is>
      </c>
      <c r="EF481" t="inlineStr">
        <is>
          <t>X</t>
        </is>
      </c>
    </row>
    <row r="482">
      <c r="A482" t="inlineStr">
        <is>
          <t>OH0023890265</t>
        </is>
      </c>
      <c r="B482" t="n">
        <v>78</v>
      </c>
      <c r="C482" t="n">
        <v>419488</v>
      </c>
      <c r="D482" t="inlineStr">
        <is>
          <t>OFORI</t>
        </is>
      </c>
      <c r="E482" t="inlineStr">
        <is>
          <t>ANITA</t>
        </is>
      </c>
      <c r="F482">
        <f>CONCATENATE(D482," ",LEFT(H482,4),"T=",AU482,"D=",AV482,"R=",AW482,"M=",AX482,"L=",AY482,"B=",AZ482)</f>
        <v/>
      </c>
      <c r="G482" t="inlineStr">
        <is>
          <t>A</t>
        </is>
      </c>
      <c r="I482" t="inlineStr">
        <is>
          <t>1981-11-02</t>
        </is>
      </c>
      <c r="J482" t="inlineStr">
        <is>
          <t>2022-12-22</t>
        </is>
      </c>
      <c r="K482" t="inlineStr">
        <is>
          <t>ACTIVE</t>
        </is>
      </c>
      <c r="L482" t="inlineStr">
        <is>
          <t>R</t>
        </is>
      </c>
      <c r="M482" t="inlineStr">
        <is>
          <t>324 ADELAIDE AVE SE</t>
        </is>
      </c>
      <c r="N482">
        <f>RIGHT(M482,LEN(M482)-FIND(" ",M482))</f>
        <v/>
      </c>
      <c r="P482" t="inlineStr">
        <is>
          <t>WARREN</t>
        </is>
      </c>
      <c r="Q482" t="inlineStr">
        <is>
          <t>OH</t>
        </is>
      </c>
      <c r="R482" t="n">
        <v>44483</v>
      </c>
      <c r="AD482" t="inlineStr">
        <is>
          <t>TRUMBULL CAREER &amp; TECH CENTER</t>
        </is>
      </c>
      <c r="AE482" t="inlineStr">
        <is>
          <t>WARREN CITY</t>
        </is>
      </c>
      <c r="AF482" t="inlineStr">
        <is>
          <t>WARREN CITY SD</t>
        </is>
      </c>
      <c r="AH482" t="n">
        <v>14</v>
      </c>
      <c r="AI482" t="n">
        <v>11</v>
      </c>
      <c r="AN482" t="inlineStr">
        <is>
          <t>WARREN</t>
        </is>
      </c>
      <c r="AO482" t="inlineStr">
        <is>
          <t>WARREN CITY 4A</t>
        </is>
      </c>
      <c r="AP482" t="inlineStr">
        <is>
          <t>78-P-ADI</t>
        </is>
      </c>
      <c r="AQ482" t="n">
        <v>9</v>
      </c>
      <c r="AR482" t="n">
        <v>64</v>
      </c>
      <c r="AS482" t="n">
        <v>32</v>
      </c>
      <c r="AU482">
        <f>COUNTA($BA$482:$EH$482)</f>
        <v/>
      </c>
      <c r="AV482">
        <f>COUNTIF($BA$482:$EH$482,"D")</f>
        <v/>
      </c>
      <c r="AW482">
        <f>COUNTIF($BA$482:$EH$482,"R")</f>
        <v/>
      </c>
      <c r="AX482">
        <f>IF(BN482="D",1,0)+IF(BO482="D",1,0)+IF(BT482="D",1,0)+IF(BU482="D",1,0)+IF(BW482="D",1,0)+IF(CC482="D",1,0)+IF(CD482="D",1,0)+IF(CE482="D",1,0)+IF(CF482="D",1,0)+IF(CL482="D",1,0)+IF(CM482="D",1,0)+IF(CQ482="D",1,0)+IF(CR482="D",1,0)+IF(CS482="D",1,0)+IF(CW482="D",1,0)+IF(CX482="D",1,0)+IF(DD482="D",1,0)+IF(DE482="D",1,0)+IF(DJ482="D",1,0)+IF(DK482="D",1,0)+IF(DO482="D",1,0)+IF(DP482="D",1,0)+IF(DQ482="D",1,0)+IF(DW482="D",1,0)+IF(DZ482="D",1,0)+IF(EH482="D",1,0)</f>
        <v/>
      </c>
      <c r="AY482">
        <f>IF(DJ482&lt;&gt;"",1,0)+IF(DK482&lt;&gt;"",1,0)+IF(DM482&lt;&gt;"",1,0)+IF(DO482&lt;&gt;"",1,0)+IF(DP482&lt;&gt;"",1,0)+IF(DQ482&lt;&gt;"",1,0)+IF(DS482&lt;&gt;"",1,0)+IF(DT482&lt;&gt;"",1,0)+IF(DV482&lt;&gt;"",1,0)+IF(DW482&lt;&gt;"",1,0)+IF(DX482&lt;&gt;"",1,0)+IF(DY482&lt;&gt;"",1,0)+IF(DZ482&lt;&gt;"",1,0)+IF(EB482&lt;&gt;"",1,0)+IF(EC482&lt;&gt;"",1,0)+IF(ED482&lt;&gt;"",1,0)+IF(EG482&lt;&gt;"",1,0)+IF(EH482&lt;&gt;"",1,0)</f>
        <v/>
      </c>
      <c r="AZ482">
        <f>IF(EH482&lt;&gt;"",1,0)</f>
        <v/>
      </c>
      <c r="BB482" t="inlineStr">
        <is>
          <t>WARREN-WARD 4</t>
        </is>
      </c>
      <c r="BL482" t="inlineStr">
        <is>
          <t>X</t>
        </is>
      </c>
      <c r="BP482" t="inlineStr">
        <is>
          <t>X</t>
        </is>
      </c>
      <c r="BS482" t="inlineStr">
        <is>
          <t>X</t>
        </is>
      </c>
      <c r="DC482" t="inlineStr">
        <is>
          <t>X</t>
        </is>
      </c>
      <c r="DF482" t="inlineStr">
        <is>
          <t>X</t>
        </is>
      </c>
      <c r="DG482" t="inlineStr">
        <is>
          <t>R</t>
        </is>
      </c>
      <c r="DI482" t="inlineStr">
        <is>
          <t>X</t>
        </is>
      </c>
      <c r="DM482" t="inlineStr">
        <is>
          <t>R</t>
        </is>
      </c>
      <c r="DN482" t="inlineStr">
        <is>
          <t>X</t>
        </is>
      </c>
      <c r="DX482" t="inlineStr">
        <is>
          <t>X</t>
        </is>
      </c>
      <c r="EA482" t="inlineStr">
        <is>
          <t>X</t>
        </is>
      </c>
      <c r="ED482" t="inlineStr">
        <is>
          <t>R</t>
        </is>
      </c>
      <c r="EF482" t="inlineStr">
        <is>
          <t>X</t>
        </is>
      </c>
    </row>
    <row r="483">
      <c r="A483" t="inlineStr">
        <is>
          <t>OH0023945172</t>
        </is>
      </c>
      <c r="B483" t="n">
        <v>78</v>
      </c>
      <c r="C483" t="n">
        <v>420219</v>
      </c>
      <c r="D483" t="inlineStr">
        <is>
          <t>COFFMAN</t>
        </is>
      </c>
      <c r="E483" t="inlineStr">
        <is>
          <t>JACOB</t>
        </is>
      </c>
      <c r="F483">
        <f>CONCATENATE(D483," ",LEFT(H483,4),"T=",AU483,"D=",AV483,"R=",AW483,"M=",AX483,"L=",AY483,"B=",AZ483)</f>
        <v/>
      </c>
      <c r="G483" t="inlineStr">
        <is>
          <t>S</t>
        </is>
      </c>
      <c r="I483" t="inlineStr">
        <is>
          <t>1997-11-25</t>
        </is>
      </c>
      <c r="J483" t="inlineStr">
        <is>
          <t>2018-06-27</t>
        </is>
      </c>
      <c r="K483" t="inlineStr">
        <is>
          <t>CONFIRMATION</t>
        </is>
      </c>
      <c r="M483" t="inlineStr">
        <is>
          <t>186 CHARLES AVE SE</t>
        </is>
      </c>
      <c r="N483">
        <f>RIGHT(M483,LEN(M483)-FIND(" ",M483))</f>
        <v/>
      </c>
      <c r="P483" t="inlineStr">
        <is>
          <t>WARREN</t>
        </is>
      </c>
      <c r="Q483" t="inlineStr">
        <is>
          <t>OH</t>
        </is>
      </c>
      <c r="R483" t="n">
        <v>44483</v>
      </c>
      <c r="AD483" t="inlineStr">
        <is>
          <t>TRUMBULL CAREER &amp; TECH CENTER</t>
        </is>
      </c>
      <c r="AE483" t="inlineStr">
        <is>
          <t>WARREN CITY</t>
        </is>
      </c>
      <c r="AF483" t="inlineStr">
        <is>
          <t>WARREN CITY SD</t>
        </is>
      </c>
      <c r="AH483" t="n">
        <v>14</v>
      </c>
      <c r="AI483" t="n">
        <v>11</v>
      </c>
      <c r="AN483" t="inlineStr">
        <is>
          <t>WARREN</t>
        </is>
      </c>
      <c r="AO483" t="inlineStr">
        <is>
          <t>WARREN CITY 4A</t>
        </is>
      </c>
      <c r="AP483" t="inlineStr">
        <is>
          <t>78-P-ADI</t>
        </is>
      </c>
      <c r="AQ483" t="n">
        <v>9</v>
      </c>
      <c r="AR483" t="n">
        <v>64</v>
      </c>
      <c r="AS483" t="n">
        <v>32</v>
      </c>
      <c r="AU483">
        <f>COUNTA($BA$483:$EH$483)</f>
        <v/>
      </c>
      <c r="AV483">
        <f>COUNTIF($BA$483:$EH$483,"D")</f>
        <v/>
      </c>
      <c r="AW483">
        <f>COUNTIF($BA$483:$EH$483,"R")</f>
        <v/>
      </c>
      <c r="AX483">
        <f>IF(BN483="D",1,0)+IF(BO483="D",1,0)+IF(BT483="D",1,0)+IF(BU483="D",1,0)+IF(BW483="D",1,0)+IF(CC483="D",1,0)+IF(CD483="D",1,0)+IF(CE483="D",1,0)+IF(CF483="D",1,0)+IF(CL483="D",1,0)+IF(CM483="D",1,0)+IF(CQ483="D",1,0)+IF(CR483="D",1,0)+IF(CS483="D",1,0)+IF(CW483="D",1,0)+IF(CX483="D",1,0)+IF(DD483="D",1,0)+IF(DE483="D",1,0)+IF(DJ483="D",1,0)+IF(DK483="D",1,0)+IF(DO483="D",1,0)+IF(DP483="D",1,0)+IF(DQ483="D",1,0)+IF(DW483="D",1,0)+IF(DZ483="D",1,0)+IF(EH483="D",1,0)</f>
        <v/>
      </c>
      <c r="AY483">
        <f>IF(DJ483&lt;&gt;"",1,0)+IF(DK483&lt;&gt;"",1,0)+IF(DM483&lt;&gt;"",1,0)+IF(DO483&lt;&gt;"",1,0)+IF(DP483&lt;&gt;"",1,0)+IF(DQ483&lt;&gt;"",1,0)+IF(DS483&lt;&gt;"",1,0)+IF(DT483&lt;&gt;"",1,0)+IF(DV483&lt;&gt;"",1,0)+IF(DW483&lt;&gt;"",1,0)+IF(DX483&lt;&gt;"",1,0)+IF(DY483&lt;&gt;"",1,0)+IF(DZ483&lt;&gt;"",1,0)+IF(EB483&lt;&gt;"",1,0)+IF(EC483&lt;&gt;"",1,0)+IF(ED483&lt;&gt;"",1,0)+IF(EG483&lt;&gt;"",1,0)+IF(EH483&lt;&gt;"",1,0)</f>
        <v/>
      </c>
      <c r="AZ483">
        <f>IF(EH483&lt;&gt;"",1,0)</f>
        <v/>
      </c>
      <c r="BB483" t="inlineStr">
        <is>
          <t>WARREN-WARD 4</t>
        </is>
      </c>
    </row>
    <row r="484">
      <c r="A484" t="inlineStr">
        <is>
          <t>OH0015762129</t>
        </is>
      </c>
      <c r="B484" t="n">
        <v>78</v>
      </c>
      <c r="C484" t="n">
        <v>320314</v>
      </c>
      <c r="D484" t="inlineStr">
        <is>
          <t>MOORMAN</t>
        </is>
      </c>
      <c r="E484" t="inlineStr">
        <is>
          <t>TARA</t>
        </is>
      </c>
      <c r="F484">
        <f>CONCATENATE(D484," ",LEFT(H484,4),"T=",AU484,"D=",AV484,"R=",AW484,"M=",AX484,"L=",AY484,"B=",AZ484)</f>
        <v/>
      </c>
      <c r="G484" t="inlineStr">
        <is>
          <t>LYNNE</t>
        </is>
      </c>
      <c r="I484" t="inlineStr">
        <is>
          <t>1986-09-08</t>
        </is>
      </c>
      <c r="J484" t="inlineStr">
        <is>
          <t>2024-07-14</t>
        </is>
      </c>
      <c r="K484" t="inlineStr">
        <is>
          <t>ACTIVE</t>
        </is>
      </c>
      <c r="M484" t="inlineStr">
        <is>
          <t>462 CHARLES AVE SE</t>
        </is>
      </c>
      <c r="N484">
        <f>RIGHT(M484,LEN(M484)-FIND(" ",M484))</f>
        <v/>
      </c>
      <c r="P484" t="inlineStr">
        <is>
          <t>WARREN</t>
        </is>
      </c>
      <c r="Q484" t="inlineStr">
        <is>
          <t>OH</t>
        </is>
      </c>
      <c r="R484" t="n">
        <v>44483</v>
      </c>
      <c r="AD484" t="inlineStr">
        <is>
          <t>TRUMBULL CAREER &amp; TECH CENTER</t>
        </is>
      </c>
      <c r="AE484" t="inlineStr">
        <is>
          <t>WARREN CITY</t>
        </is>
      </c>
      <c r="AF484" t="inlineStr">
        <is>
          <t>WARREN CITY SD</t>
        </is>
      </c>
      <c r="AH484" t="n">
        <v>14</v>
      </c>
      <c r="AI484" t="n">
        <v>11</v>
      </c>
      <c r="AN484" t="inlineStr">
        <is>
          <t>WARREN</t>
        </is>
      </c>
      <c r="AO484" t="inlineStr">
        <is>
          <t>WARREN CITY 4A</t>
        </is>
      </c>
      <c r="AP484" t="inlineStr">
        <is>
          <t>78-P-ADI</t>
        </is>
      </c>
      <c r="AQ484" t="n">
        <v>9</v>
      </c>
      <c r="AR484" t="n">
        <v>64</v>
      </c>
      <c r="AS484" t="n">
        <v>32</v>
      </c>
      <c r="AU484">
        <f>COUNTA($BA$484:$EH$484)</f>
        <v/>
      </c>
      <c r="AV484">
        <f>COUNTIF($BA$484:$EH$484,"D")</f>
        <v/>
      </c>
      <c r="AW484">
        <f>COUNTIF($BA$484:$EH$484,"R")</f>
        <v/>
      </c>
      <c r="AX484">
        <f>IF(BN484="D",1,0)+IF(BO484="D",1,0)+IF(BT484="D",1,0)+IF(BU484="D",1,0)+IF(BW484="D",1,0)+IF(CC484="D",1,0)+IF(CD484="D",1,0)+IF(CE484="D",1,0)+IF(CF484="D",1,0)+IF(CL484="D",1,0)+IF(CM484="D",1,0)+IF(CQ484="D",1,0)+IF(CR484="D",1,0)+IF(CS484="D",1,0)+IF(CW484="D",1,0)+IF(CX484="D",1,0)+IF(DD484="D",1,0)+IF(DE484="D",1,0)+IF(DJ484="D",1,0)+IF(DK484="D",1,0)+IF(DO484="D",1,0)+IF(DP484="D",1,0)+IF(DQ484="D",1,0)+IF(DW484="D",1,0)+IF(DZ484="D",1,0)+IF(EH484="D",1,0)</f>
        <v/>
      </c>
      <c r="AY484">
        <f>IF(DJ484&lt;&gt;"",1,0)+IF(DK484&lt;&gt;"",1,0)+IF(DM484&lt;&gt;"",1,0)+IF(DO484&lt;&gt;"",1,0)+IF(DP484&lt;&gt;"",1,0)+IF(DQ484&lt;&gt;"",1,0)+IF(DS484&lt;&gt;"",1,0)+IF(DT484&lt;&gt;"",1,0)+IF(DV484&lt;&gt;"",1,0)+IF(DW484&lt;&gt;"",1,0)+IF(DX484&lt;&gt;"",1,0)+IF(DY484&lt;&gt;"",1,0)+IF(DZ484&lt;&gt;"",1,0)+IF(EB484&lt;&gt;"",1,0)+IF(EC484&lt;&gt;"",1,0)+IF(ED484&lt;&gt;"",1,0)+IF(EG484&lt;&gt;"",1,0)+IF(EH484&lt;&gt;"",1,0)</f>
        <v/>
      </c>
      <c r="AZ484">
        <f>IF(EH484&lt;&gt;"",1,0)</f>
        <v/>
      </c>
      <c r="BB484" t="inlineStr">
        <is>
          <t>WARREN-WARD 4</t>
        </is>
      </c>
      <c r="DN484" t="inlineStr">
        <is>
          <t>X</t>
        </is>
      </c>
      <c r="EF484" t="inlineStr">
        <is>
          <t>X</t>
        </is>
      </c>
    </row>
    <row r="485">
      <c r="A485" t="inlineStr">
        <is>
          <t>OH0027962533</t>
        </is>
      </c>
      <c r="B485" t="n">
        <v>78</v>
      </c>
      <c r="C485" t="n">
        <v>496338</v>
      </c>
      <c r="D485" t="inlineStr">
        <is>
          <t>FOSTER</t>
        </is>
      </c>
      <c r="E485" t="inlineStr">
        <is>
          <t>AME</t>
        </is>
      </c>
      <c r="F485">
        <f>CONCATENATE(D485," ",LEFT(H485,4),"T=",AU485,"D=",AV485,"R=",AW485,"M=",AX485,"L=",AY485,"B=",AZ485)</f>
        <v/>
      </c>
      <c r="I485" t="inlineStr">
        <is>
          <t>1988-04-08</t>
        </is>
      </c>
      <c r="J485" t="inlineStr">
        <is>
          <t>2025-05-27</t>
        </is>
      </c>
      <c r="K485" t="inlineStr">
        <is>
          <t>ACTIVE</t>
        </is>
      </c>
      <c r="M485" t="inlineStr">
        <is>
          <t>419 KENILWORTH AVE SE</t>
        </is>
      </c>
      <c r="N485">
        <f>RIGHT(M485,LEN(M485)-FIND(" ",M485))</f>
        <v/>
      </c>
      <c r="P485" t="inlineStr">
        <is>
          <t>WARREN</t>
        </is>
      </c>
      <c r="Q485" t="inlineStr">
        <is>
          <t>OH</t>
        </is>
      </c>
      <c r="R485" t="n">
        <v>44483</v>
      </c>
      <c r="AD485" t="inlineStr">
        <is>
          <t>TRUMBULL CAREER &amp; TECH CENTER</t>
        </is>
      </c>
      <c r="AE485" t="inlineStr">
        <is>
          <t>WARREN CITY</t>
        </is>
      </c>
      <c r="AF485" t="inlineStr">
        <is>
          <t>WARREN CITY SD</t>
        </is>
      </c>
      <c r="AH485" t="n">
        <v>14</v>
      </c>
      <c r="AI485" t="n">
        <v>11</v>
      </c>
      <c r="AN485" t="inlineStr">
        <is>
          <t>WARREN</t>
        </is>
      </c>
      <c r="AO485" t="inlineStr">
        <is>
          <t>WARREN CITY 4A</t>
        </is>
      </c>
      <c r="AP485" t="inlineStr">
        <is>
          <t>78-P-ADI</t>
        </is>
      </c>
      <c r="AQ485" t="n">
        <v>9</v>
      </c>
      <c r="AR485" t="n">
        <v>64</v>
      </c>
      <c r="AS485" t="n">
        <v>32</v>
      </c>
      <c r="AU485">
        <f>COUNTA($BA$485:$EH$485)</f>
        <v/>
      </c>
      <c r="AV485">
        <f>COUNTIF($BA$485:$EH$485,"D")</f>
        <v/>
      </c>
      <c r="AW485">
        <f>COUNTIF($BA$485:$EH$485,"R")</f>
        <v/>
      </c>
      <c r="AX485">
        <f>IF(BN485="D",1,0)+IF(BO485="D",1,0)+IF(BT485="D",1,0)+IF(BU485="D",1,0)+IF(BW485="D",1,0)+IF(CC485="D",1,0)+IF(CD485="D",1,0)+IF(CE485="D",1,0)+IF(CF485="D",1,0)+IF(CL485="D",1,0)+IF(CM485="D",1,0)+IF(CQ485="D",1,0)+IF(CR485="D",1,0)+IF(CS485="D",1,0)+IF(CW485="D",1,0)+IF(CX485="D",1,0)+IF(DD485="D",1,0)+IF(DE485="D",1,0)+IF(DJ485="D",1,0)+IF(DK485="D",1,0)+IF(DO485="D",1,0)+IF(DP485="D",1,0)+IF(DQ485="D",1,0)+IF(DW485="D",1,0)+IF(DZ485="D",1,0)+IF(EH485="D",1,0)</f>
        <v/>
      </c>
      <c r="AY485">
        <f>IF(DJ485&lt;&gt;"",1,0)+IF(DK485&lt;&gt;"",1,0)+IF(DM485&lt;&gt;"",1,0)+IF(DO485&lt;&gt;"",1,0)+IF(DP485&lt;&gt;"",1,0)+IF(DQ485&lt;&gt;"",1,0)+IF(DS485&lt;&gt;"",1,0)+IF(DT485&lt;&gt;"",1,0)+IF(DV485&lt;&gt;"",1,0)+IF(DW485&lt;&gt;"",1,0)+IF(DX485&lt;&gt;"",1,0)+IF(DY485&lt;&gt;"",1,0)+IF(DZ485&lt;&gt;"",1,0)+IF(EB485&lt;&gt;"",1,0)+IF(EC485&lt;&gt;"",1,0)+IF(ED485&lt;&gt;"",1,0)+IF(EG485&lt;&gt;"",1,0)+IF(EH485&lt;&gt;"",1,0)</f>
        <v/>
      </c>
      <c r="AZ485">
        <f>IF(EH485&lt;&gt;"",1,0)</f>
        <v/>
      </c>
      <c r="BB485" t="inlineStr">
        <is>
          <t>WARREN-WARD 4</t>
        </is>
      </c>
    </row>
    <row r="486">
      <c r="A486" t="inlineStr">
        <is>
          <t>OH0015687716</t>
        </is>
      </c>
      <c r="B486" t="n">
        <v>78</v>
      </c>
      <c r="C486" t="n">
        <v>325354</v>
      </c>
      <c r="D486" t="inlineStr">
        <is>
          <t>WISHART KILLIAS</t>
        </is>
      </c>
      <c r="E486" t="inlineStr">
        <is>
          <t>CRISTY</t>
        </is>
      </c>
      <c r="F486">
        <f>CONCATENATE(D486," ",LEFT(H486,4),"T=",AU486,"D=",AV486,"R=",AW486,"M=",AX486,"L=",AY486,"B=",AZ486)</f>
        <v/>
      </c>
      <c r="G486" t="inlineStr">
        <is>
          <t>L</t>
        </is>
      </c>
      <c r="I486" t="inlineStr">
        <is>
          <t>1973-12-04</t>
        </is>
      </c>
      <c r="J486" t="inlineStr">
        <is>
          <t>2004-07-06</t>
        </is>
      </c>
      <c r="K486" t="inlineStr">
        <is>
          <t>CONFIRMATION</t>
        </is>
      </c>
      <c r="M486" t="inlineStr">
        <is>
          <t>361 HOMEWOOD AVE SE</t>
        </is>
      </c>
      <c r="N486">
        <f>RIGHT(M486,LEN(M486)-FIND(" ",M486))</f>
        <v/>
      </c>
      <c r="P486" t="inlineStr">
        <is>
          <t>WARREN</t>
        </is>
      </c>
      <c r="Q486" t="inlineStr">
        <is>
          <t>OH</t>
        </is>
      </c>
      <c r="R486" t="n">
        <v>44483</v>
      </c>
      <c r="AD486" t="inlineStr">
        <is>
          <t>TRUMBULL CAREER &amp; TECH CENTER</t>
        </is>
      </c>
      <c r="AE486" t="inlineStr">
        <is>
          <t>WARREN CITY</t>
        </is>
      </c>
      <c r="AF486" t="inlineStr">
        <is>
          <t>WARREN CITY SD</t>
        </is>
      </c>
      <c r="AH486" t="n">
        <v>14</v>
      </c>
      <c r="AI486" t="n">
        <v>11</v>
      </c>
      <c r="AN486" t="inlineStr">
        <is>
          <t>WARREN</t>
        </is>
      </c>
      <c r="AO486" t="inlineStr">
        <is>
          <t>WARREN CITY 4A</t>
        </is>
      </c>
      <c r="AP486" t="inlineStr">
        <is>
          <t>78-P-ADI</t>
        </is>
      </c>
      <c r="AQ486" t="n">
        <v>9</v>
      </c>
      <c r="AR486" t="n">
        <v>64</v>
      </c>
      <c r="AS486" t="n">
        <v>32</v>
      </c>
      <c r="AU486">
        <f>COUNTA($BA$486:$EH$486)</f>
        <v/>
      </c>
      <c r="AV486">
        <f>COUNTIF($BA$486:$EH$486,"D")</f>
        <v/>
      </c>
      <c r="AW486">
        <f>COUNTIF($BA$486:$EH$486,"R")</f>
        <v/>
      </c>
      <c r="AX486">
        <f>IF(BN486="D",1,0)+IF(BO486="D",1,0)+IF(BT486="D",1,0)+IF(BU486="D",1,0)+IF(BW486="D",1,0)+IF(CC486="D",1,0)+IF(CD486="D",1,0)+IF(CE486="D",1,0)+IF(CF486="D",1,0)+IF(CL486="D",1,0)+IF(CM486="D",1,0)+IF(CQ486="D",1,0)+IF(CR486="D",1,0)+IF(CS486="D",1,0)+IF(CW486="D",1,0)+IF(CX486="D",1,0)+IF(DD486="D",1,0)+IF(DE486="D",1,0)+IF(DJ486="D",1,0)+IF(DK486="D",1,0)+IF(DO486="D",1,0)+IF(DP486="D",1,0)+IF(DQ486="D",1,0)+IF(DW486="D",1,0)+IF(DZ486="D",1,0)+IF(EH486="D",1,0)</f>
        <v/>
      </c>
      <c r="AY486">
        <f>IF(DJ486&lt;&gt;"",1,0)+IF(DK486&lt;&gt;"",1,0)+IF(DM486&lt;&gt;"",1,0)+IF(DO486&lt;&gt;"",1,0)+IF(DP486&lt;&gt;"",1,0)+IF(DQ486&lt;&gt;"",1,0)+IF(DS486&lt;&gt;"",1,0)+IF(DT486&lt;&gt;"",1,0)+IF(DV486&lt;&gt;"",1,0)+IF(DW486&lt;&gt;"",1,0)+IF(DX486&lt;&gt;"",1,0)+IF(DY486&lt;&gt;"",1,0)+IF(DZ486&lt;&gt;"",1,0)+IF(EB486&lt;&gt;"",1,0)+IF(EC486&lt;&gt;"",1,0)+IF(ED486&lt;&gt;"",1,0)+IF(EG486&lt;&gt;"",1,0)+IF(EH486&lt;&gt;"",1,0)</f>
        <v/>
      </c>
      <c r="AZ486">
        <f>IF(EH486&lt;&gt;"",1,0)</f>
        <v/>
      </c>
      <c r="BB486" t="inlineStr">
        <is>
          <t>WARREN-WARD 4</t>
        </is>
      </c>
      <c r="BL486" t="inlineStr">
        <is>
          <t>X</t>
        </is>
      </c>
      <c r="BS486" t="inlineStr">
        <is>
          <t>X</t>
        </is>
      </c>
      <c r="BY486" t="inlineStr">
        <is>
          <t>D</t>
        </is>
      </c>
      <c r="CA486" t="inlineStr">
        <is>
          <t>X</t>
        </is>
      </c>
      <c r="CP486" t="inlineStr">
        <is>
          <t>X</t>
        </is>
      </c>
      <c r="CY486" t="inlineStr">
        <is>
          <t>X</t>
        </is>
      </c>
      <c r="CZ486" t="inlineStr">
        <is>
          <t>D</t>
        </is>
      </c>
      <c r="DC486" t="inlineStr">
        <is>
          <t>X</t>
        </is>
      </c>
      <c r="DI486" t="inlineStr">
        <is>
          <t>X</t>
        </is>
      </c>
      <c r="DN486" t="inlineStr">
        <is>
          <t>X</t>
        </is>
      </c>
    </row>
    <row r="487">
      <c r="A487" t="inlineStr">
        <is>
          <t>OH0018595739</t>
        </is>
      </c>
      <c r="B487" t="n">
        <v>78</v>
      </c>
      <c r="C487" t="n">
        <v>337294</v>
      </c>
      <c r="D487" t="inlineStr">
        <is>
          <t>MOYER</t>
        </is>
      </c>
      <c r="E487" t="inlineStr">
        <is>
          <t>DUSTIN</t>
        </is>
      </c>
      <c r="F487">
        <f>CONCATENATE(D487," ",LEFT(H487,4),"T=",AU487,"D=",AV487,"R=",AW487,"M=",AX487,"L=",AY487,"B=",AZ487)</f>
        <v/>
      </c>
      <c r="G487" t="inlineStr">
        <is>
          <t>L</t>
        </is>
      </c>
      <c r="I487" t="inlineStr">
        <is>
          <t>1986-12-08</t>
        </is>
      </c>
      <c r="J487" t="inlineStr">
        <is>
          <t>2015-06-30</t>
        </is>
      </c>
      <c r="K487" t="inlineStr">
        <is>
          <t>CONFIRMATION</t>
        </is>
      </c>
      <c r="M487" t="inlineStr">
        <is>
          <t>1335 BELLE ST SE</t>
        </is>
      </c>
      <c r="N487">
        <f>RIGHT(M487,LEN(M487)-FIND(" ",M487))</f>
        <v/>
      </c>
      <c r="O487" t="inlineStr">
        <is>
          <t>APT 1</t>
        </is>
      </c>
      <c r="P487" t="inlineStr">
        <is>
          <t>WARREN</t>
        </is>
      </c>
      <c r="Q487" t="inlineStr">
        <is>
          <t>OH</t>
        </is>
      </c>
      <c r="R487" t="n">
        <v>44484</v>
      </c>
      <c r="AD487" t="inlineStr">
        <is>
          <t>TRUMBULL CAREER &amp; TECH CENTER</t>
        </is>
      </c>
      <c r="AE487" t="inlineStr">
        <is>
          <t>WARREN CITY</t>
        </is>
      </c>
      <c r="AF487" t="inlineStr">
        <is>
          <t>WARREN CITY SD</t>
        </is>
      </c>
      <c r="AH487" t="n">
        <v>14</v>
      </c>
      <c r="AI487" t="n">
        <v>11</v>
      </c>
      <c r="AN487" t="inlineStr">
        <is>
          <t>WARREN</t>
        </is>
      </c>
      <c r="AO487" t="inlineStr">
        <is>
          <t>WARREN CITY 4A</t>
        </is>
      </c>
      <c r="AP487" t="inlineStr">
        <is>
          <t>78-P-ADI</t>
        </is>
      </c>
      <c r="AQ487" t="n">
        <v>9</v>
      </c>
      <c r="AR487" t="n">
        <v>64</v>
      </c>
      <c r="AS487" t="n">
        <v>32</v>
      </c>
      <c r="AU487">
        <f>COUNTA($BA$487:$EH$487)</f>
        <v/>
      </c>
      <c r="AV487">
        <f>COUNTIF($BA$487:$EH$487,"D")</f>
        <v/>
      </c>
      <c r="AW487">
        <f>COUNTIF($BA$487:$EH$487,"R")</f>
        <v/>
      </c>
      <c r="AX487">
        <f>IF(BN487="D",1,0)+IF(BO487="D",1,0)+IF(BT487="D",1,0)+IF(BU487="D",1,0)+IF(BW487="D",1,0)+IF(CC487="D",1,0)+IF(CD487="D",1,0)+IF(CE487="D",1,0)+IF(CF487="D",1,0)+IF(CL487="D",1,0)+IF(CM487="D",1,0)+IF(CQ487="D",1,0)+IF(CR487="D",1,0)+IF(CS487="D",1,0)+IF(CW487="D",1,0)+IF(CX487="D",1,0)+IF(DD487="D",1,0)+IF(DE487="D",1,0)+IF(DJ487="D",1,0)+IF(DK487="D",1,0)+IF(DO487="D",1,0)+IF(DP487="D",1,0)+IF(DQ487="D",1,0)+IF(DW487="D",1,0)+IF(DZ487="D",1,0)+IF(EH487="D",1,0)</f>
        <v/>
      </c>
      <c r="AY487">
        <f>IF(DJ487&lt;&gt;"",1,0)+IF(DK487&lt;&gt;"",1,0)+IF(DM487&lt;&gt;"",1,0)+IF(DO487&lt;&gt;"",1,0)+IF(DP487&lt;&gt;"",1,0)+IF(DQ487&lt;&gt;"",1,0)+IF(DS487&lt;&gt;"",1,0)+IF(DT487&lt;&gt;"",1,0)+IF(DV487&lt;&gt;"",1,0)+IF(DW487&lt;&gt;"",1,0)+IF(DX487&lt;&gt;"",1,0)+IF(DY487&lt;&gt;"",1,0)+IF(DZ487&lt;&gt;"",1,0)+IF(EB487&lt;&gt;"",1,0)+IF(EC487&lt;&gt;"",1,0)+IF(ED487&lt;&gt;"",1,0)+IF(EG487&lt;&gt;"",1,0)+IF(EH487&lt;&gt;"",1,0)</f>
        <v/>
      </c>
      <c r="AZ487">
        <f>IF(EH487&lt;&gt;"",1,0)</f>
        <v/>
      </c>
      <c r="BB487" t="inlineStr">
        <is>
          <t>WARREN-WARD 4</t>
        </is>
      </c>
    </row>
    <row r="488">
      <c r="A488" t="inlineStr">
        <is>
          <t>OH0015909229</t>
        </is>
      </c>
      <c r="B488" t="n">
        <v>78</v>
      </c>
      <c r="C488" t="n">
        <v>334379</v>
      </c>
      <c r="D488" t="inlineStr">
        <is>
          <t>JOHNSON</t>
        </is>
      </c>
      <c r="E488" t="inlineStr">
        <is>
          <t>RICKIEA</t>
        </is>
      </c>
      <c r="F488">
        <f>CONCATENATE(D488," ",LEFT(H488,4),"T=",AU488,"D=",AV488,"R=",AW488,"M=",AX488,"L=",AY488,"B=",AZ488)</f>
        <v/>
      </c>
      <c r="G488" t="inlineStr">
        <is>
          <t>MONIQUE</t>
        </is>
      </c>
      <c r="I488" t="inlineStr">
        <is>
          <t>1986-09-11</t>
        </is>
      </c>
      <c r="J488" t="inlineStr">
        <is>
          <t>2014-05-02</t>
        </is>
      </c>
      <c r="K488" t="inlineStr">
        <is>
          <t>ACTIVE</t>
        </is>
      </c>
      <c r="M488" t="inlineStr">
        <is>
          <t>507 HOMEWOOD AVE SE</t>
        </is>
      </c>
      <c r="N488">
        <f>RIGHT(M488,LEN(M488)-FIND(" ",M488))</f>
        <v/>
      </c>
      <c r="P488" t="inlineStr">
        <is>
          <t>WARREN</t>
        </is>
      </c>
      <c r="Q488" t="inlineStr">
        <is>
          <t>OH</t>
        </is>
      </c>
      <c r="R488" t="n">
        <v>44483</v>
      </c>
      <c r="AD488" t="inlineStr">
        <is>
          <t>TRUMBULL CAREER &amp; TECH CENTER</t>
        </is>
      </c>
      <c r="AE488" t="inlineStr">
        <is>
          <t>WARREN CITY</t>
        </is>
      </c>
      <c r="AF488" t="inlineStr">
        <is>
          <t>WARREN CITY SD</t>
        </is>
      </c>
      <c r="AH488" t="n">
        <v>14</v>
      </c>
      <c r="AI488" t="n">
        <v>11</v>
      </c>
      <c r="AN488" t="inlineStr">
        <is>
          <t>WARREN</t>
        </is>
      </c>
      <c r="AO488" t="inlineStr">
        <is>
          <t>WARREN CITY 4A</t>
        </is>
      </c>
      <c r="AP488" t="inlineStr">
        <is>
          <t>78-P-ADI</t>
        </is>
      </c>
      <c r="AQ488" t="n">
        <v>9</v>
      </c>
      <c r="AR488" t="n">
        <v>64</v>
      </c>
      <c r="AS488" t="n">
        <v>32</v>
      </c>
      <c r="AU488">
        <f>COUNTA($BA$488:$EH$488)</f>
        <v/>
      </c>
      <c r="AV488">
        <f>COUNTIF($BA$488:$EH$488,"D")</f>
        <v/>
      </c>
      <c r="AW488">
        <f>COUNTIF($BA$488:$EH$488,"R")</f>
        <v/>
      </c>
      <c r="AX488">
        <f>IF(BN488="D",1,0)+IF(BO488="D",1,0)+IF(BT488="D",1,0)+IF(BU488="D",1,0)+IF(BW488="D",1,0)+IF(CC488="D",1,0)+IF(CD488="D",1,0)+IF(CE488="D",1,0)+IF(CF488="D",1,0)+IF(CL488="D",1,0)+IF(CM488="D",1,0)+IF(CQ488="D",1,0)+IF(CR488="D",1,0)+IF(CS488="D",1,0)+IF(CW488="D",1,0)+IF(CX488="D",1,0)+IF(DD488="D",1,0)+IF(DE488="D",1,0)+IF(DJ488="D",1,0)+IF(DK488="D",1,0)+IF(DO488="D",1,0)+IF(DP488="D",1,0)+IF(DQ488="D",1,0)+IF(DW488="D",1,0)+IF(DZ488="D",1,0)+IF(EH488="D",1,0)</f>
        <v/>
      </c>
      <c r="AY488">
        <f>IF(DJ488&lt;&gt;"",1,0)+IF(DK488&lt;&gt;"",1,0)+IF(DM488&lt;&gt;"",1,0)+IF(DO488&lt;&gt;"",1,0)+IF(DP488&lt;&gt;"",1,0)+IF(DQ488&lt;&gt;"",1,0)+IF(DS488&lt;&gt;"",1,0)+IF(DT488&lt;&gt;"",1,0)+IF(DV488&lt;&gt;"",1,0)+IF(DW488&lt;&gt;"",1,0)+IF(DX488&lt;&gt;"",1,0)+IF(DY488&lt;&gt;"",1,0)+IF(DZ488&lt;&gt;"",1,0)+IF(EB488&lt;&gt;"",1,0)+IF(EC488&lt;&gt;"",1,0)+IF(ED488&lt;&gt;"",1,0)+IF(EG488&lt;&gt;"",1,0)+IF(EH488&lt;&gt;"",1,0)</f>
        <v/>
      </c>
      <c r="AZ488">
        <f>IF(EH488&lt;&gt;"",1,0)</f>
        <v/>
      </c>
      <c r="BB488" t="inlineStr">
        <is>
          <t>WARREN-WARD 4</t>
        </is>
      </c>
      <c r="BL488" t="inlineStr">
        <is>
          <t>X</t>
        </is>
      </c>
      <c r="CA488" t="inlineStr">
        <is>
          <t>X</t>
        </is>
      </c>
      <c r="CP488" t="inlineStr">
        <is>
          <t>X</t>
        </is>
      </c>
      <c r="CV488" t="inlineStr">
        <is>
          <t>X</t>
        </is>
      </c>
      <c r="CY488" t="inlineStr">
        <is>
          <t>X</t>
        </is>
      </c>
      <c r="CZ488" t="inlineStr">
        <is>
          <t>D</t>
        </is>
      </c>
      <c r="DC488" t="inlineStr">
        <is>
          <t>X</t>
        </is>
      </c>
      <c r="DI488" t="inlineStr">
        <is>
          <t>X</t>
        </is>
      </c>
      <c r="DN488" t="inlineStr">
        <is>
          <t>X</t>
        </is>
      </c>
      <c r="DU488" t="inlineStr">
        <is>
          <t>X</t>
        </is>
      </c>
      <c r="DX488" t="inlineStr">
        <is>
          <t>X</t>
        </is>
      </c>
      <c r="EA488" t="inlineStr">
        <is>
          <t>X</t>
        </is>
      </c>
      <c r="EF488" t="inlineStr">
        <is>
          <t>X</t>
        </is>
      </c>
    </row>
    <row r="489">
      <c r="A489" t="inlineStr">
        <is>
          <t>OH0022002026</t>
        </is>
      </c>
      <c r="B489" t="n">
        <v>78</v>
      </c>
      <c r="C489" t="n">
        <v>389991</v>
      </c>
      <c r="D489" t="inlineStr">
        <is>
          <t>TYSON</t>
        </is>
      </c>
      <c r="E489" t="inlineStr">
        <is>
          <t>REGIE</t>
        </is>
      </c>
      <c r="F489">
        <f>CONCATENATE(D489," ",LEFT(H489,4),"T=",AU489,"D=",AV489,"R=",AW489,"M=",AX489,"L=",AY489,"B=",AZ489)</f>
        <v/>
      </c>
      <c r="I489" t="inlineStr">
        <is>
          <t>1982-08-17</t>
        </is>
      </c>
      <c r="J489" t="inlineStr">
        <is>
          <t>2025-03-31</t>
        </is>
      </c>
      <c r="K489" t="inlineStr">
        <is>
          <t>ACTIVE</t>
        </is>
      </c>
      <c r="M489" t="inlineStr">
        <is>
          <t>820 WOODBINE AVE SE</t>
        </is>
      </c>
      <c r="N489">
        <f>RIGHT(M489,LEN(M489)-FIND(" ",M489))</f>
        <v/>
      </c>
      <c r="O489" t="inlineStr">
        <is>
          <t>APT 2</t>
        </is>
      </c>
      <c r="P489" t="inlineStr">
        <is>
          <t>WARREN</t>
        </is>
      </c>
      <c r="Q489" t="inlineStr">
        <is>
          <t>OH</t>
        </is>
      </c>
      <c r="R489" t="n">
        <v>44484</v>
      </c>
      <c r="AD489" t="inlineStr">
        <is>
          <t>TRUMBULL CAREER &amp; TECH CENTER</t>
        </is>
      </c>
      <c r="AE489" t="inlineStr">
        <is>
          <t>WARREN CITY</t>
        </is>
      </c>
      <c r="AF489" t="inlineStr">
        <is>
          <t>WARREN CITY SD</t>
        </is>
      </c>
      <c r="AH489" t="n">
        <v>14</v>
      </c>
      <c r="AI489" t="n">
        <v>11</v>
      </c>
      <c r="AN489" t="inlineStr">
        <is>
          <t>WARREN</t>
        </is>
      </c>
      <c r="AO489" t="inlineStr">
        <is>
          <t>WARREN CITY 4A</t>
        </is>
      </c>
      <c r="AP489" t="inlineStr">
        <is>
          <t>78-P-ADI</t>
        </is>
      </c>
      <c r="AQ489" t="n">
        <v>9</v>
      </c>
      <c r="AR489" t="n">
        <v>64</v>
      </c>
      <c r="AS489" t="n">
        <v>32</v>
      </c>
      <c r="AU489">
        <f>COUNTA($BA$489:$EH$489)</f>
        <v/>
      </c>
      <c r="AV489">
        <f>COUNTIF($BA$489:$EH$489,"D")</f>
        <v/>
      </c>
      <c r="AW489">
        <f>COUNTIF($BA$489:$EH$489,"R")</f>
        <v/>
      </c>
      <c r="AX489">
        <f>IF(BN489="D",1,0)+IF(BO489="D",1,0)+IF(BT489="D",1,0)+IF(BU489="D",1,0)+IF(BW489="D",1,0)+IF(CC489="D",1,0)+IF(CD489="D",1,0)+IF(CE489="D",1,0)+IF(CF489="D",1,0)+IF(CL489="D",1,0)+IF(CM489="D",1,0)+IF(CQ489="D",1,0)+IF(CR489="D",1,0)+IF(CS489="D",1,0)+IF(CW489="D",1,0)+IF(CX489="D",1,0)+IF(DD489="D",1,0)+IF(DE489="D",1,0)+IF(DJ489="D",1,0)+IF(DK489="D",1,0)+IF(DO489="D",1,0)+IF(DP489="D",1,0)+IF(DQ489="D",1,0)+IF(DW489="D",1,0)+IF(DZ489="D",1,0)+IF(EH489="D",1,0)</f>
        <v/>
      </c>
      <c r="AY489">
        <f>IF(DJ489&lt;&gt;"",1,0)+IF(DK489&lt;&gt;"",1,0)+IF(DM489&lt;&gt;"",1,0)+IF(DO489&lt;&gt;"",1,0)+IF(DP489&lt;&gt;"",1,0)+IF(DQ489&lt;&gt;"",1,0)+IF(DS489&lt;&gt;"",1,0)+IF(DT489&lt;&gt;"",1,0)+IF(DV489&lt;&gt;"",1,0)+IF(DW489&lt;&gt;"",1,0)+IF(DX489&lt;&gt;"",1,0)+IF(DY489&lt;&gt;"",1,0)+IF(DZ489&lt;&gt;"",1,0)+IF(EB489&lt;&gt;"",1,0)+IF(EC489&lt;&gt;"",1,0)+IF(ED489&lt;&gt;"",1,0)+IF(EG489&lt;&gt;"",1,0)+IF(EH489&lt;&gt;"",1,0)</f>
        <v/>
      </c>
      <c r="AZ489">
        <f>IF(EH489&lt;&gt;"",1,0)</f>
        <v/>
      </c>
      <c r="BB489" t="inlineStr">
        <is>
          <t>WARREN-WARD 4</t>
        </is>
      </c>
      <c r="BL489" t="inlineStr">
        <is>
          <t>X</t>
        </is>
      </c>
      <c r="CA489" t="inlineStr">
        <is>
          <t>X</t>
        </is>
      </c>
      <c r="CP489" t="inlineStr">
        <is>
          <t>X</t>
        </is>
      </c>
      <c r="DC489" t="inlineStr">
        <is>
          <t>X</t>
        </is>
      </c>
      <c r="DN489" t="inlineStr">
        <is>
          <t>X</t>
        </is>
      </c>
    </row>
    <row r="490">
      <c r="A490" t="inlineStr">
        <is>
          <t>OH0026316086</t>
        </is>
      </c>
      <c r="B490" t="n">
        <v>78</v>
      </c>
      <c r="C490" t="n">
        <v>460158</v>
      </c>
      <c r="D490" t="inlineStr">
        <is>
          <t>FLASH</t>
        </is>
      </c>
      <c r="E490" t="inlineStr">
        <is>
          <t>TERRY</t>
        </is>
      </c>
      <c r="F490">
        <f>CONCATENATE(D490," ",LEFT(H490,4),"T=",AU490,"D=",AV490,"R=",AW490,"M=",AX490,"L=",AY490,"B=",AZ490)</f>
        <v/>
      </c>
      <c r="G490" t="inlineStr">
        <is>
          <t>SUSAN</t>
        </is>
      </c>
      <c r="I490" t="inlineStr">
        <is>
          <t>1954-09-12</t>
        </is>
      </c>
      <c r="J490" t="inlineStr">
        <is>
          <t>2021-11-19</t>
        </is>
      </c>
      <c r="K490" t="inlineStr">
        <is>
          <t>ACTIVE</t>
        </is>
      </c>
      <c r="L490" t="inlineStr">
        <is>
          <t>D</t>
        </is>
      </c>
      <c r="M490" t="inlineStr">
        <is>
          <t>577 OAK KNOLL AVE SE</t>
        </is>
      </c>
      <c r="N490">
        <f>RIGHT(M490,LEN(M490)-FIND(" ",M490))</f>
        <v/>
      </c>
      <c r="P490" t="inlineStr">
        <is>
          <t>WARREN</t>
        </is>
      </c>
      <c r="Q490" t="inlineStr">
        <is>
          <t>OH</t>
        </is>
      </c>
      <c r="R490" t="n">
        <v>44483</v>
      </c>
      <c r="AD490" t="inlineStr">
        <is>
          <t>TRUMBULL CAREER &amp; TECH CENTER</t>
        </is>
      </c>
      <c r="AE490" t="inlineStr">
        <is>
          <t>WARREN CITY</t>
        </is>
      </c>
      <c r="AF490" t="inlineStr">
        <is>
          <t>WARREN CITY SD</t>
        </is>
      </c>
      <c r="AH490" t="n">
        <v>14</v>
      </c>
      <c r="AI490" t="n">
        <v>11</v>
      </c>
      <c r="AN490" t="inlineStr">
        <is>
          <t>WARREN</t>
        </is>
      </c>
      <c r="AO490" t="inlineStr">
        <is>
          <t>WARREN CITY 4A</t>
        </is>
      </c>
      <c r="AP490" t="inlineStr">
        <is>
          <t>78-P-ADI</t>
        </is>
      </c>
      <c r="AQ490" t="n">
        <v>9</v>
      </c>
      <c r="AR490" t="n">
        <v>64</v>
      </c>
      <c r="AS490" t="n">
        <v>32</v>
      </c>
      <c r="AU490">
        <f>COUNTA($BA$490:$EH$490)</f>
        <v/>
      </c>
      <c r="AV490">
        <f>COUNTIF($BA$490:$EH$490,"D")</f>
        <v/>
      </c>
      <c r="AW490">
        <f>COUNTIF($BA$490:$EH$490,"R")</f>
        <v/>
      </c>
      <c r="AX490">
        <f>IF(BN490="D",1,0)+IF(BO490="D",1,0)+IF(BT490="D",1,0)+IF(BU490="D",1,0)+IF(BW490="D",1,0)+IF(CC490="D",1,0)+IF(CD490="D",1,0)+IF(CE490="D",1,0)+IF(CF490="D",1,0)+IF(CL490="D",1,0)+IF(CM490="D",1,0)+IF(CQ490="D",1,0)+IF(CR490="D",1,0)+IF(CS490="D",1,0)+IF(CW490="D",1,0)+IF(CX490="D",1,0)+IF(DD490="D",1,0)+IF(DE490="D",1,0)+IF(DJ490="D",1,0)+IF(DK490="D",1,0)+IF(DO490="D",1,0)+IF(DP490="D",1,0)+IF(DQ490="D",1,0)+IF(DW490="D",1,0)+IF(DZ490="D",1,0)+IF(EH490="D",1,0)</f>
        <v/>
      </c>
      <c r="AY490">
        <f>IF(DJ490&lt;&gt;"",1,0)+IF(DK490&lt;&gt;"",1,0)+IF(DM490&lt;&gt;"",1,0)+IF(DO490&lt;&gt;"",1,0)+IF(DP490&lt;&gt;"",1,0)+IF(DQ490&lt;&gt;"",1,0)+IF(DS490&lt;&gt;"",1,0)+IF(DT490&lt;&gt;"",1,0)+IF(DV490&lt;&gt;"",1,0)+IF(DW490&lt;&gt;"",1,0)+IF(DX490&lt;&gt;"",1,0)+IF(DY490&lt;&gt;"",1,0)+IF(DZ490&lt;&gt;"",1,0)+IF(EB490&lt;&gt;"",1,0)+IF(EC490&lt;&gt;"",1,0)+IF(ED490&lt;&gt;"",1,0)+IF(EG490&lt;&gt;"",1,0)+IF(EH490&lt;&gt;"",1,0)</f>
        <v/>
      </c>
      <c r="AZ490">
        <f>IF(EH490&lt;&gt;"",1,0)</f>
        <v/>
      </c>
      <c r="BB490" t="inlineStr">
        <is>
          <t>WARREN-WARD 4</t>
        </is>
      </c>
      <c r="DC490" t="inlineStr">
        <is>
          <t>X</t>
        </is>
      </c>
      <c r="DH490" t="inlineStr">
        <is>
          <t>X</t>
        </is>
      </c>
      <c r="DI490" t="inlineStr">
        <is>
          <t>X</t>
        </is>
      </c>
      <c r="DJ490" t="inlineStr">
        <is>
          <t>D</t>
        </is>
      </c>
      <c r="DN490" t="inlineStr">
        <is>
          <t>X</t>
        </is>
      </c>
      <c r="DR490" t="inlineStr">
        <is>
          <t>X</t>
        </is>
      </c>
      <c r="DS490" t="inlineStr">
        <is>
          <t>D</t>
        </is>
      </c>
      <c r="DU490" t="inlineStr">
        <is>
          <t>X</t>
        </is>
      </c>
      <c r="DW490" t="inlineStr">
        <is>
          <t>D</t>
        </is>
      </c>
      <c r="DX490" t="inlineStr">
        <is>
          <t>X</t>
        </is>
      </c>
      <c r="EA490" t="inlineStr">
        <is>
          <t>X</t>
        </is>
      </c>
      <c r="ED490" t="inlineStr">
        <is>
          <t>D</t>
        </is>
      </c>
      <c r="EF490" t="inlineStr">
        <is>
          <t>X</t>
        </is>
      </c>
      <c r="EH490" t="inlineStr">
        <is>
          <t>D</t>
        </is>
      </c>
    </row>
    <row r="491">
      <c r="A491" t="inlineStr">
        <is>
          <t>OH0025584052</t>
        </is>
      </c>
      <c r="B491" t="n">
        <v>78</v>
      </c>
      <c r="C491" t="n">
        <v>446763</v>
      </c>
      <c r="D491" t="inlineStr">
        <is>
          <t>SMITH</t>
        </is>
      </c>
      <c r="E491" t="inlineStr">
        <is>
          <t>AARON</t>
        </is>
      </c>
      <c r="F491">
        <f>CONCATENATE(D491," ",LEFT(H491,4),"T=",AU491,"D=",AV491,"R=",AW491,"M=",AX491,"L=",AY491,"B=",AZ491)</f>
        <v/>
      </c>
      <c r="G491" t="inlineStr">
        <is>
          <t>DOUGLAS</t>
        </is>
      </c>
      <c r="I491" t="inlineStr">
        <is>
          <t>1977-09-13</t>
        </is>
      </c>
      <c r="J491" t="inlineStr">
        <is>
          <t>2020-06-05</t>
        </is>
      </c>
      <c r="K491" t="inlineStr">
        <is>
          <t>CONFIRMATION</t>
        </is>
      </c>
      <c r="M491" t="inlineStr">
        <is>
          <t>206 WOODBINE AVE SE</t>
        </is>
      </c>
      <c r="N491">
        <f>RIGHT(M491,LEN(M491)-FIND(" ",M491))</f>
        <v/>
      </c>
      <c r="P491" t="inlineStr">
        <is>
          <t>WARREN</t>
        </is>
      </c>
      <c r="Q491" t="inlineStr">
        <is>
          <t>OH</t>
        </is>
      </c>
      <c r="R491" t="n">
        <v>44483</v>
      </c>
      <c r="S491" t="n">
        <v>6033</v>
      </c>
      <c r="AD491" t="inlineStr">
        <is>
          <t>TRUMBULL CAREER &amp; TECH CENTER</t>
        </is>
      </c>
      <c r="AE491" t="inlineStr">
        <is>
          <t>WARREN CITY</t>
        </is>
      </c>
      <c r="AF491" t="inlineStr">
        <is>
          <t>WARREN CITY SD</t>
        </is>
      </c>
      <c r="AH491" t="n">
        <v>14</v>
      </c>
      <c r="AI491" t="n">
        <v>11</v>
      </c>
      <c r="AN491" t="inlineStr">
        <is>
          <t>WARREN</t>
        </is>
      </c>
      <c r="AO491" t="inlineStr">
        <is>
          <t>WARREN CITY 4A</t>
        </is>
      </c>
      <c r="AP491" t="inlineStr">
        <is>
          <t>78-P-ADI</t>
        </is>
      </c>
      <c r="AQ491" t="n">
        <v>9</v>
      </c>
      <c r="AR491" t="n">
        <v>64</v>
      </c>
      <c r="AS491" t="n">
        <v>32</v>
      </c>
      <c r="AU491">
        <f>COUNTA($BA$491:$EH$491)</f>
        <v/>
      </c>
      <c r="AV491">
        <f>COUNTIF($BA$491:$EH$491,"D")</f>
        <v/>
      </c>
      <c r="AW491">
        <f>COUNTIF($BA$491:$EH$491,"R")</f>
        <v/>
      </c>
      <c r="AX491">
        <f>IF(BN491="D",1,0)+IF(BO491="D",1,0)+IF(BT491="D",1,0)+IF(BU491="D",1,0)+IF(BW491="D",1,0)+IF(CC491="D",1,0)+IF(CD491="D",1,0)+IF(CE491="D",1,0)+IF(CF491="D",1,0)+IF(CL491="D",1,0)+IF(CM491="D",1,0)+IF(CQ491="D",1,0)+IF(CR491="D",1,0)+IF(CS491="D",1,0)+IF(CW491="D",1,0)+IF(CX491="D",1,0)+IF(DD491="D",1,0)+IF(DE491="D",1,0)+IF(DJ491="D",1,0)+IF(DK491="D",1,0)+IF(DO491="D",1,0)+IF(DP491="D",1,0)+IF(DQ491="D",1,0)+IF(DW491="D",1,0)+IF(DZ491="D",1,0)+IF(EH491="D",1,0)</f>
        <v/>
      </c>
      <c r="AY491">
        <f>IF(DJ491&lt;&gt;"",1,0)+IF(DK491&lt;&gt;"",1,0)+IF(DM491&lt;&gt;"",1,0)+IF(DO491&lt;&gt;"",1,0)+IF(DP491&lt;&gt;"",1,0)+IF(DQ491&lt;&gt;"",1,0)+IF(DS491&lt;&gt;"",1,0)+IF(DT491&lt;&gt;"",1,0)+IF(DV491&lt;&gt;"",1,0)+IF(DW491&lt;&gt;"",1,0)+IF(DX491&lt;&gt;"",1,0)+IF(DY491&lt;&gt;"",1,0)+IF(DZ491&lt;&gt;"",1,0)+IF(EB491&lt;&gt;"",1,0)+IF(EC491&lt;&gt;"",1,0)+IF(ED491&lt;&gt;"",1,0)+IF(EG491&lt;&gt;"",1,0)+IF(EH491&lt;&gt;"",1,0)</f>
        <v/>
      </c>
      <c r="AZ491">
        <f>IF(EH491&lt;&gt;"",1,0)</f>
        <v/>
      </c>
      <c r="BB491" t="inlineStr">
        <is>
          <t>WARREN-WARD 4</t>
        </is>
      </c>
      <c r="DN491" t="inlineStr">
        <is>
          <t>X</t>
        </is>
      </c>
      <c r="DU491" t="inlineStr">
        <is>
          <t>X</t>
        </is>
      </c>
    </row>
    <row r="492">
      <c r="A492" t="inlineStr">
        <is>
          <t>OH0025584057</t>
        </is>
      </c>
      <c r="B492" t="n">
        <v>78</v>
      </c>
      <c r="C492" t="n">
        <v>446764</v>
      </c>
      <c r="D492" t="inlineStr">
        <is>
          <t>SMITH</t>
        </is>
      </c>
      <c r="E492" t="inlineStr">
        <is>
          <t>RACHEL</t>
        </is>
      </c>
      <c r="F492">
        <f>CONCATENATE(D492," ",LEFT(H492,4),"T=",AU492,"D=",AV492,"R=",AW492,"M=",AX492,"L=",AY492,"B=",AZ492)</f>
        <v/>
      </c>
      <c r="G492" t="inlineStr">
        <is>
          <t>DAWN</t>
        </is>
      </c>
      <c r="I492" t="inlineStr">
        <is>
          <t>1977-09-20</t>
        </is>
      </c>
      <c r="J492" t="inlineStr">
        <is>
          <t>2020-06-05</t>
        </is>
      </c>
      <c r="K492" t="inlineStr">
        <is>
          <t>CONFIRMATION</t>
        </is>
      </c>
      <c r="M492" t="inlineStr">
        <is>
          <t>206 WOODBINE AVE SE</t>
        </is>
      </c>
      <c r="N492">
        <f>RIGHT(M492,LEN(M492)-FIND(" ",M492))</f>
        <v/>
      </c>
      <c r="P492" t="inlineStr">
        <is>
          <t>WARREN</t>
        </is>
      </c>
      <c r="Q492" t="inlineStr">
        <is>
          <t>OH</t>
        </is>
      </c>
      <c r="R492" t="n">
        <v>44483</v>
      </c>
      <c r="S492" t="n">
        <v>6033</v>
      </c>
      <c r="AD492" t="inlineStr">
        <is>
          <t>TRUMBULL CAREER &amp; TECH CENTER</t>
        </is>
      </c>
      <c r="AE492" t="inlineStr">
        <is>
          <t>WARREN CITY</t>
        </is>
      </c>
      <c r="AF492" t="inlineStr">
        <is>
          <t>WARREN CITY SD</t>
        </is>
      </c>
      <c r="AH492" t="n">
        <v>14</v>
      </c>
      <c r="AI492" t="n">
        <v>11</v>
      </c>
      <c r="AN492" t="inlineStr">
        <is>
          <t>WARREN</t>
        </is>
      </c>
      <c r="AO492" t="inlineStr">
        <is>
          <t>WARREN CITY 4A</t>
        </is>
      </c>
      <c r="AP492" t="inlineStr">
        <is>
          <t>78-P-ADI</t>
        </is>
      </c>
      <c r="AQ492" t="n">
        <v>9</v>
      </c>
      <c r="AR492" t="n">
        <v>64</v>
      </c>
      <c r="AS492" t="n">
        <v>32</v>
      </c>
      <c r="AU492">
        <f>COUNTA($BA$492:$EH$492)</f>
        <v/>
      </c>
      <c r="AV492">
        <f>COUNTIF($BA$492:$EH$492,"D")</f>
        <v/>
      </c>
      <c r="AW492">
        <f>COUNTIF($BA$492:$EH$492,"R")</f>
        <v/>
      </c>
      <c r="AX492">
        <f>IF(BN492="D",1,0)+IF(BO492="D",1,0)+IF(BT492="D",1,0)+IF(BU492="D",1,0)+IF(BW492="D",1,0)+IF(CC492="D",1,0)+IF(CD492="D",1,0)+IF(CE492="D",1,0)+IF(CF492="D",1,0)+IF(CL492="D",1,0)+IF(CM492="D",1,0)+IF(CQ492="D",1,0)+IF(CR492="D",1,0)+IF(CS492="D",1,0)+IF(CW492="D",1,0)+IF(CX492="D",1,0)+IF(DD492="D",1,0)+IF(DE492="D",1,0)+IF(DJ492="D",1,0)+IF(DK492="D",1,0)+IF(DO492="D",1,0)+IF(DP492="D",1,0)+IF(DQ492="D",1,0)+IF(DW492="D",1,0)+IF(DZ492="D",1,0)+IF(EH492="D",1,0)</f>
        <v/>
      </c>
      <c r="AY492">
        <f>IF(DJ492&lt;&gt;"",1,0)+IF(DK492&lt;&gt;"",1,0)+IF(DM492&lt;&gt;"",1,0)+IF(DO492&lt;&gt;"",1,0)+IF(DP492&lt;&gt;"",1,0)+IF(DQ492&lt;&gt;"",1,0)+IF(DS492&lt;&gt;"",1,0)+IF(DT492&lt;&gt;"",1,0)+IF(DV492&lt;&gt;"",1,0)+IF(DW492&lt;&gt;"",1,0)+IF(DX492&lt;&gt;"",1,0)+IF(DY492&lt;&gt;"",1,0)+IF(DZ492&lt;&gt;"",1,0)+IF(EB492&lt;&gt;"",1,0)+IF(EC492&lt;&gt;"",1,0)+IF(ED492&lt;&gt;"",1,0)+IF(EG492&lt;&gt;"",1,0)+IF(EH492&lt;&gt;"",1,0)</f>
        <v/>
      </c>
      <c r="AZ492">
        <f>IF(EH492&lt;&gt;"",1,0)</f>
        <v/>
      </c>
      <c r="BB492" t="inlineStr">
        <is>
          <t>WARREN-WARD 4</t>
        </is>
      </c>
      <c r="DN492" t="inlineStr">
        <is>
          <t>X</t>
        </is>
      </c>
      <c r="DU492" t="inlineStr">
        <is>
          <t>X</t>
        </is>
      </c>
    </row>
    <row r="493">
      <c r="A493" t="inlineStr">
        <is>
          <t>OH0027229786</t>
        </is>
      </c>
      <c r="B493" t="n">
        <v>78</v>
      </c>
      <c r="C493" t="n">
        <v>481027</v>
      </c>
      <c r="D493" t="inlineStr">
        <is>
          <t>BOYCE</t>
        </is>
      </c>
      <c r="E493" t="inlineStr">
        <is>
          <t>KENNETH</t>
        </is>
      </c>
      <c r="F493">
        <f>CONCATENATE(D493," ",LEFT(H493,4),"T=",AU493,"D=",AV493,"R=",AW493,"M=",AX493,"L=",AY493,"B=",AZ493)</f>
        <v/>
      </c>
      <c r="G493" t="inlineStr">
        <is>
          <t>JOHN</t>
        </is>
      </c>
      <c r="I493" t="inlineStr">
        <is>
          <t>1971-02-19</t>
        </is>
      </c>
      <c r="J493" t="inlineStr">
        <is>
          <t>2024-01-24</t>
        </is>
      </c>
      <c r="K493" t="inlineStr">
        <is>
          <t>ACTIVE</t>
        </is>
      </c>
      <c r="M493" t="inlineStr">
        <is>
          <t>243 KENILWORTH AVE SE</t>
        </is>
      </c>
      <c r="N493">
        <f>RIGHT(M493,LEN(M493)-FIND(" ",M493))</f>
        <v/>
      </c>
      <c r="P493" t="inlineStr">
        <is>
          <t>WARREN</t>
        </is>
      </c>
      <c r="Q493" t="inlineStr">
        <is>
          <t>OH</t>
        </is>
      </c>
      <c r="R493" t="n">
        <v>44483</v>
      </c>
      <c r="AD493" t="inlineStr">
        <is>
          <t>TRUMBULL CAREER &amp; TECH CENTER</t>
        </is>
      </c>
      <c r="AE493" t="inlineStr">
        <is>
          <t>WARREN CITY</t>
        </is>
      </c>
      <c r="AF493" t="inlineStr">
        <is>
          <t>WARREN CITY SD</t>
        </is>
      </c>
      <c r="AH493" t="n">
        <v>14</v>
      </c>
      <c r="AI493" t="n">
        <v>11</v>
      </c>
      <c r="AN493" t="inlineStr">
        <is>
          <t>WARREN</t>
        </is>
      </c>
      <c r="AO493" t="inlineStr">
        <is>
          <t>WARREN CITY 4A</t>
        </is>
      </c>
      <c r="AP493" t="inlineStr">
        <is>
          <t>78-P-ADI</t>
        </is>
      </c>
      <c r="AQ493" t="n">
        <v>9</v>
      </c>
      <c r="AR493" t="n">
        <v>64</v>
      </c>
      <c r="AS493" t="n">
        <v>32</v>
      </c>
      <c r="AU493">
        <f>COUNTA($BA$493:$EH$493)</f>
        <v/>
      </c>
      <c r="AV493">
        <f>COUNTIF($BA$493:$EH$493,"D")</f>
        <v/>
      </c>
      <c r="AW493">
        <f>COUNTIF($BA$493:$EH$493,"R")</f>
        <v/>
      </c>
      <c r="AX493">
        <f>IF(BN493="D",1,0)+IF(BO493="D",1,0)+IF(BT493="D",1,0)+IF(BU493="D",1,0)+IF(BW493="D",1,0)+IF(CC493="D",1,0)+IF(CD493="D",1,0)+IF(CE493="D",1,0)+IF(CF493="D",1,0)+IF(CL493="D",1,0)+IF(CM493="D",1,0)+IF(CQ493="D",1,0)+IF(CR493="D",1,0)+IF(CS493="D",1,0)+IF(CW493="D",1,0)+IF(CX493="D",1,0)+IF(DD493="D",1,0)+IF(DE493="D",1,0)+IF(DJ493="D",1,0)+IF(DK493="D",1,0)+IF(DO493="D",1,0)+IF(DP493="D",1,0)+IF(DQ493="D",1,0)+IF(DW493="D",1,0)+IF(DZ493="D",1,0)+IF(EH493="D",1,0)</f>
        <v/>
      </c>
      <c r="AY493">
        <f>IF(DJ493&lt;&gt;"",1,0)+IF(DK493&lt;&gt;"",1,0)+IF(DM493&lt;&gt;"",1,0)+IF(DO493&lt;&gt;"",1,0)+IF(DP493&lt;&gt;"",1,0)+IF(DQ493&lt;&gt;"",1,0)+IF(DS493&lt;&gt;"",1,0)+IF(DT493&lt;&gt;"",1,0)+IF(DV493&lt;&gt;"",1,0)+IF(DW493&lt;&gt;"",1,0)+IF(DX493&lt;&gt;"",1,0)+IF(DY493&lt;&gt;"",1,0)+IF(DZ493&lt;&gt;"",1,0)+IF(EB493&lt;&gt;"",1,0)+IF(EC493&lt;&gt;"",1,0)+IF(ED493&lt;&gt;"",1,0)+IF(EG493&lt;&gt;"",1,0)+IF(EH493&lt;&gt;"",1,0)</f>
        <v/>
      </c>
      <c r="AZ493">
        <f>IF(EH493&lt;&gt;"",1,0)</f>
        <v/>
      </c>
      <c r="BB493" t="inlineStr">
        <is>
          <t>WARREN-WARD 4</t>
        </is>
      </c>
    </row>
    <row r="494">
      <c r="A494" t="inlineStr">
        <is>
          <t>OH0024648590</t>
        </is>
      </c>
      <c r="B494" t="n">
        <v>78</v>
      </c>
      <c r="C494" t="n">
        <v>432064</v>
      </c>
      <c r="D494" t="inlineStr">
        <is>
          <t>LOUCKS</t>
        </is>
      </c>
      <c r="E494" t="inlineStr">
        <is>
          <t>CHRISTOPHER</t>
        </is>
      </c>
      <c r="F494">
        <f>CONCATENATE(D494," ",LEFT(H494,4),"T=",AU494,"D=",AV494,"R=",AW494,"M=",AX494,"L=",AY494,"B=",AZ494)</f>
        <v/>
      </c>
      <c r="G494" t="inlineStr">
        <is>
          <t>DAVID</t>
        </is>
      </c>
      <c r="I494" t="inlineStr">
        <is>
          <t>1983-12-03</t>
        </is>
      </c>
      <c r="J494" t="inlineStr">
        <is>
          <t>2018-04-23</t>
        </is>
      </c>
      <c r="K494" t="inlineStr">
        <is>
          <t>CONFIRMATION</t>
        </is>
      </c>
      <c r="M494" t="inlineStr">
        <is>
          <t>1250 GRANT ST SE</t>
        </is>
      </c>
      <c r="N494">
        <f>RIGHT(M494,LEN(M494)-FIND(" ",M494))</f>
        <v/>
      </c>
      <c r="O494" t="inlineStr">
        <is>
          <t>APT 1</t>
        </is>
      </c>
      <c r="P494" t="inlineStr">
        <is>
          <t>WARREN</t>
        </is>
      </c>
      <c r="Q494" t="inlineStr">
        <is>
          <t>OH</t>
        </is>
      </c>
      <c r="R494" t="n">
        <v>44483</v>
      </c>
      <c r="AD494" t="inlineStr">
        <is>
          <t>TRUMBULL CAREER &amp; TECH CENTER</t>
        </is>
      </c>
      <c r="AE494" t="inlineStr">
        <is>
          <t>WARREN CITY</t>
        </is>
      </c>
      <c r="AF494" t="inlineStr">
        <is>
          <t>WARREN CITY SD</t>
        </is>
      </c>
      <c r="AH494" t="n">
        <v>14</v>
      </c>
      <c r="AI494" t="n">
        <v>11</v>
      </c>
      <c r="AN494" t="inlineStr">
        <is>
          <t>WARREN</t>
        </is>
      </c>
      <c r="AO494" t="inlineStr">
        <is>
          <t>WARREN CITY 4A</t>
        </is>
      </c>
      <c r="AP494" t="inlineStr">
        <is>
          <t>78-P-ADI</t>
        </is>
      </c>
      <c r="AQ494" t="n">
        <v>9</v>
      </c>
      <c r="AR494" t="n">
        <v>64</v>
      </c>
      <c r="AS494" t="n">
        <v>32</v>
      </c>
      <c r="AU494">
        <f>COUNTA($BA$494:$EH$494)</f>
        <v/>
      </c>
      <c r="AV494">
        <f>COUNTIF($BA$494:$EH$494,"D")</f>
        <v/>
      </c>
      <c r="AW494">
        <f>COUNTIF($BA$494:$EH$494,"R")</f>
        <v/>
      </c>
      <c r="AX494">
        <f>IF(BN494="D",1,0)+IF(BO494="D",1,0)+IF(BT494="D",1,0)+IF(BU494="D",1,0)+IF(BW494="D",1,0)+IF(CC494="D",1,0)+IF(CD494="D",1,0)+IF(CE494="D",1,0)+IF(CF494="D",1,0)+IF(CL494="D",1,0)+IF(CM494="D",1,0)+IF(CQ494="D",1,0)+IF(CR494="D",1,0)+IF(CS494="D",1,0)+IF(CW494="D",1,0)+IF(CX494="D",1,0)+IF(DD494="D",1,0)+IF(DE494="D",1,0)+IF(DJ494="D",1,0)+IF(DK494="D",1,0)+IF(DO494="D",1,0)+IF(DP494="D",1,0)+IF(DQ494="D",1,0)+IF(DW494="D",1,0)+IF(DZ494="D",1,0)+IF(EH494="D",1,0)</f>
        <v/>
      </c>
      <c r="AY494">
        <f>IF(DJ494&lt;&gt;"",1,0)+IF(DK494&lt;&gt;"",1,0)+IF(DM494&lt;&gt;"",1,0)+IF(DO494&lt;&gt;"",1,0)+IF(DP494&lt;&gt;"",1,0)+IF(DQ494&lt;&gt;"",1,0)+IF(DS494&lt;&gt;"",1,0)+IF(DT494&lt;&gt;"",1,0)+IF(DV494&lt;&gt;"",1,0)+IF(DW494&lt;&gt;"",1,0)+IF(DX494&lt;&gt;"",1,0)+IF(DY494&lt;&gt;"",1,0)+IF(DZ494&lt;&gt;"",1,0)+IF(EB494&lt;&gt;"",1,0)+IF(EC494&lt;&gt;"",1,0)+IF(ED494&lt;&gt;"",1,0)+IF(EG494&lt;&gt;"",1,0)+IF(EH494&lt;&gt;"",1,0)</f>
        <v/>
      </c>
      <c r="AZ494">
        <f>IF(EH494&lt;&gt;"",1,0)</f>
        <v/>
      </c>
      <c r="BB494" t="inlineStr">
        <is>
          <t>WARREN-WARD 4</t>
        </is>
      </c>
    </row>
    <row r="495">
      <c r="A495" t="inlineStr">
        <is>
          <t>OH0027248683</t>
        </is>
      </c>
      <c r="B495" t="n">
        <v>78</v>
      </c>
      <c r="C495" t="n">
        <v>483457</v>
      </c>
      <c r="D495" t="inlineStr">
        <is>
          <t>NIEVES LOPEZ</t>
        </is>
      </c>
      <c r="E495" t="inlineStr">
        <is>
          <t>KEVEN</t>
        </is>
      </c>
      <c r="F495">
        <f>CONCATENATE(D495," ",LEFT(H495,4),"T=",AU495,"D=",AV495,"R=",AW495,"M=",AX495,"L=",AY495,"B=",AZ495)</f>
        <v/>
      </c>
      <c r="I495" t="inlineStr">
        <is>
          <t>2005-06-30</t>
        </is>
      </c>
      <c r="J495" t="inlineStr">
        <is>
          <t>2024-02-13</t>
        </is>
      </c>
      <c r="K495" t="inlineStr">
        <is>
          <t>ACTIVE</t>
        </is>
      </c>
      <c r="M495" t="inlineStr">
        <is>
          <t>1228 GRANT ST SE</t>
        </is>
      </c>
      <c r="N495">
        <f>RIGHT(M495,LEN(M495)-FIND(" ",M495))</f>
        <v/>
      </c>
      <c r="P495" t="inlineStr">
        <is>
          <t>WARREN</t>
        </is>
      </c>
      <c r="Q495" t="inlineStr">
        <is>
          <t>OH</t>
        </is>
      </c>
      <c r="R495" t="n">
        <v>44483</v>
      </c>
      <c r="AD495" t="inlineStr">
        <is>
          <t>TRUMBULL CAREER &amp; TECH CENTER</t>
        </is>
      </c>
      <c r="AE495" t="inlineStr">
        <is>
          <t>WARREN CITY</t>
        </is>
      </c>
      <c r="AF495" t="inlineStr">
        <is>
          <t>WARREN CITY SD</t>
        </is>
      </c>
      <c r="AH495" t="n">
        <v>14</v>
      </c>
      <c r="AI495" t="n">
        <v>11</v>
      </c>
      <c r="AN495" t="inlineStr">
        <is>
          <t>WARREN</t>
        </is>
      </c>
      <c r="AO495" t="inlineStr">
        <is>
          <t>WARREN CITY 4A</t>
        </is>
      </c>
      <c r="AP495" t="inlineStr">
        <is>
          <t>78-P-ADI</t>
        </is>
      </c>
      <c r="AQ495" t="n">
        <v>9</v>
      </c>
      <c r="AR495" t="n">
        <v>64</v>
      </c>
      <c r="AS495" t="n">
        <v>32</v>
      </c>
      <c r="AU495">
        <f>COUNTA($BA$495:$EH$495)</f>
        <v/>
      </c>
      <c r="AV495">
        <f>COUNTIF($BA$495:$EH$495,"D")</f>
        <v/>
      </c>
      <c r="AW495">
        <f>COUNTIF($BA$495:$EH$495,"R")</f>
        <v/>
      </c>
      <c r="AX495">
        <f>IF(BN495="D",1,0)+IF(BO495="D",1,0)+IF(BT495="D",1,0)+IF(BU495="D",1,0)+IF(BW495="D",1,0)+IF(CC495="D",1,0)+IF(CD495="D",1,0)+IF(CE495="D",1,0)+IF(CF495="D",1,0)+IF(CL495="D",1,0)+IF(CM495="D",1,0)+IF(CQ495="D",1,0)+IF(CR495="D",1,0)+IF(CS495="D",1,0)+IF(CW495="D",1,0)+IF(CX495="D",1,0)+IF(DD495="D",1,0)+IF(DE495="D",1,0)+IF(DJ495="D",1,0)+IF(DK495="D",1,0)+IF(DO495="D",1,0)+IF(DP495="D",1,0)+IF(DQ495="D",1,0)+IF(DW495="D",1,0)+IF(DZ495="D",1,0)+IF(EH495="D",1,0)</f>
        <v/>
      </c>
      <c r="AY495">
        <f>IF(DJ495&lt;&gt;"",1,0)+IF(DK495&lt;&gt;"",1,0)+IF(DM495&lt;&gt;"",1,0)+IF(DO495&lt;&gt;"",1,0)+IF(DP495&lt;&gt;"",1,0)+IF(DQ495&lt;&gt;"",1,0)+IF(DS495&lt;&gt;"",1,0)+IF(DT495&lt;&gt;"",1,0)+IF(DV495&lt;&gt;"",1,0)+IF(DW495&lt;&gt;"",1,0)+IF(DX495&lt;&gt;"",1,0)+IF(DY495&lt;&gt;"",1,0)+IF(DZ495&lt;&gt;"",1,0)+IF(EB495&lt;&gt;"",1,0)+IF(EC495&lt;&gt;"",1,0)+IF(ED495&lt;&gt;"",1,0)+IF(EG495&lt;&gt;"",1,0)+IF(EH495&lt;&gt;"",1,0)</f>
        <v/>
      </c>
      <c r="AZ495">
        <f>IF(EH495&lt;&gt;"",1,0)</f>
        <v/>
      </c>
      <c r="BB495" t="inlineStr">
        <is>
          <t>WARREN-WARD 4</t>
        </is>
      </c>
      <c r="EF495" t="inlineStr">
        <is>
          <t>X</t>
        </is>
      </c>
    </row>
    <row r="496">
      <c r="A496" t="inlineStr">
        <is>
          <t>OH0015778426</t>
        </is>
      </c>
      <c r="B496" t="n">
        <v>78</v>
      </c>
      <c r="C496" t="n">
        <v>314844</v>
      </c>
      <c r="D496" t="inlineStr">
        <is>
          <t>SHAFER</t>
        </is>
      </c>
      <c r="E496" t="inlineStr">
        <is>
          <t>MELISSA</t>
        </is>
      </c>
      <c r="F496">
        <f>CONCATENATE(D496," ",LEFT(H496,4),"T=",AU496,"D=",AV496,"R=",AW496,"M=",AX496,"L=",AY496,"B=",AZ496)</f>
        <v/>
      </c>
      <c r="G496" t="inlineStr">
        <is>
          <t>JANE</t>
        </is>
      </c>
      <c r="I496" t="inlineStr">
        <is>
          <t>1985-05-07</t>
        </is>
      </c>
      <c r="J496" t="inlineStr">
        <is>
          <t>2023-07-16</t>
        </is>
      </c>
      <c r="K496" t="inlineStr">
        <is>
          <t>ACTIVE</t>
        </is>
      </c>
      <c r="M496" t="inlineStr">
        <is>
          <t>318 KENILWORTH AVE SE</t>
        </is>
      </c>
      <c r="N496">
        <f>RIGHT(M496,LEN(M496)-FIND(" ",M496))</f>
        <v/>
      </c>
      <c r="P496" t="inlineStr">
        <is>
          <t>WARREN</t>
        </is>
      </c>
      <c r="Q496" t="inlineStr">
        <is>
          <t>OH</t>
        </is>
      </c>
      <c r="R496" t="n">
        <v>44483</v>
      </c>
      <c r="AD496" t="inlineStr">
        <is>
          <t>TRUMBULL CAREER &amp; TECH CENTER</t>
        </is>
      </c>
      <c r="AE496" t="inlineStr">
        <is>
          <t>WARREN CITY</t>
        </is>
      </c>
      <c r="AF496" t="inlineStr">
        <is>
          <t>WARREN CITY SD</t>
        </is>
      </c>
      <c r="AH496" t="n">
        <v>14</v>
      </c>
      <c r="AI496" t="n">
        <v>11</v>
      </c>
      <c r="AN496" t="inlineStr">
        <is>
          <t>WARREN</t>
        </is>
      </c>
      <c r="AO496" t="inlineStr">
        <is>
          <t>WARREN CITY 4A</t>
        </is>
      </c>
      <c r="AP496" t="inlineStr">
        <is>
          <t>78-P-ADI</t>
        </is>
      </c>
      <c r="AQ496" t="n">
        <v>9</v>
      </c>
      <c r="AR496" t="n">
        <v>64</v>
      </c>
      <c r="AS496" t="n">
        <v>32</v>
      </c>
      <c r="AU496">
        <f>COUNTA($BA$496:$EH$496)</f>
        <v/>
      </c>
      <c r="AV496">
        <f>COUNTIF($BA$496:$EH$496,"D")</f>
        <v/>
      </c>
      <c r="AW496">
        <f>COUNTIF($BA$496:$EH$496,"R")</f>
        <v/>
      </c>
      <c r="AX496">
        <f>IF(BN496="D",1,0)+IF(BO496="D",1,0)+IF(BT496="D",1,0)+IF(BU496="D",1,0)+IF(BW496="D",1,0)+IF(CC496="D",1,0)+IF(CD496="D",1,0)+IF(CE496="D",1,0)+IF(CF496="D",1,0)+IF(CL496="D",1,0)+IF(CM496="D",1,0)+IF(CQ496="D",1,0)+IF(CR496="D",1,0)+IF(CS496="D",1,0)+IF(CW496="D",1,0)+IF(CX496="D",1,0)+IF(DD496="D",1,0)+IF(DE496="D",1,0)+IF(DJ496="D",1,0)+IF(DK496="D",1,0)+IF(DO496="D",1,0)+IF(DP496="D",1,0)+IF(DQ496="D",1,0)+IF(DW496="D",1,0)+IF(DZ496="D",1,0)+IF(EH496="D",1,0)</f>
        <v/>
      </c>
      <c r="AY496">
        <f>IF(DJ496&lt;&gt;"",1,0)+IF(DK496&lt;&gt;"",1,0)+IF(DM496&lt;&gt;"",1,0)+IF(DO496&lt;&gt;"",1,0)+IF(DP496&lt;&gt;"",1,0)+IF(DQ496&lt;&gt;"",1,0)+IF(DS496&lt;&gt;"",1,0)+IF(DT496&lt;&gt;"",1,0)+IF(DV496&lt;&gt;"",1,0)+IF(DW496&lt;&gt;"",1,0)+IF(DX496&lt;&gt;"",1,0)+IF(DY496&lt;&gt;"",1,0)+IF(DZ496&lt;&gt;"",1,0)+IF(EB496&lt;&gt;"",1,0)+IF(EC496&lt;&gt;"",1,0)+IF(ED496&lt;&gt;"",1,0)+IF(EG496&lt;&gt;"",1,0)+IF(EH496&lt;&gt;"",1,0)</f>
        <v/>
      </c>
      <c r="AZ496">
        <f>IF(EH496&lt;&gt;"",1,0)</f>
        <v/>
      </c>
      <c r="BB496" t="inlineStr">
        <is>
          <t>WARREN-WARD 4</t>
        </is>
      </c>
      <c r="BJ496" t="inlineStr">
        <is>
          <t>X</t>
        </is>
      </c>
      <c r="BK496" t="inlineStr">
        <is>
          <t>X</t>
        </is>
      </c>
      <c r="BL496" t="inlineStr">
        <is>
          <t>X</t>
        </is>
      </c>
      <c r="BS496" t="inlineStr">
        <is>
          <t>X</t>
        </is>
      </c>
      <c r="CA496" t="inlineStr">
        <is>
          <t>X</t>
        </is>
      </c>
      <c r="CP496" t="inlineStr">
        <is>
          <t>X</t>
        </is>
      </c>
      <c r="CY496" t="inlineStr">
        <is>
          <t>X</t>
        </is>
      </c>
      <c r="DC496" t="inlineStr">
        <is>
          <t>X</t>
        </is>
      </c>
      <c r="DI496" t="inlineStr">
        <is>
          <t>X</t>
        </is>
      </c>
      <c r="DN496" t="inlineStr">
        <is>
          <t>X</t>
        </is>
      </c>
      <c r="EF496" t="inlineStr">
        <is>
          <t>X</t>
        </is>
      </c>
    </row>
    <row r="497">
      <c r="A497" t="inlineStr">
        <is>
          <t>OH0025230323</t>
        </is>
      </c>
      <c r="B497" t="n">
        <v>78</v>
      </c>
      <c r="C497" t="n">
        <v>441757</v>
      </c>
      <c r="D497" t="inlineStr">
        <is>
          <t>SULLIVAN</t>
        </is>
      </c>
      <c r="E497" t="inlineStr">
        <is>
          <t>CODEE</t>
        </is>
      </c>
      <c r="F497">
        <f>CONCATENATE(D497," ",LEFT(H497,4),"T=",AU497,"D=",AV497,"R=",AW497,"M=",AX497,"L=",AY497,"B=",AZ497)</f>
        <v/>
      </c>
      <c r="G497" t="inlineStr">
        <is>
          <t>R</t>
        </is>
      </c>
      <c r="I497" t="inlineStr">
        <is>
          <t>2001-10-22</t>
        </is>
      </c>
      <c r="J497" t="inlineStr">
        <is>
          <t>2022-09-08</t>
        </is>
      </c>
      <c r="K497" t="inlineStr">
        <is>
          <t>ACTIVE</t>
        </is>
      </c>
      <c r="M497" t="inlineStr">
        <is>
          <t>527 LAIRD AVE SE</t>
        </is>
      </c>
      <c r="N497">
        <f>RIGHT(M497,LEN(M497)-FIND(" ",M497))</f>
        <v/>
      </c>
      <c r="P497" t="inlineStr">
        <is>
          <t>WARREN</t>
        </is>
      </c>
      <c r="Q497" t="inlineStr">
        <is>
          <t>OH</t>
        </is>
      </c>
      <c r="R497" t="n">
        <v>44484</v>
      </c>
      <c r="AD497" t="inlineStr">
        <is>
          <t>TRUMBULL CAREER &amp; TECH CENTER</t>
        </is>
      </c>
      <c r="AE497" t="inlineStr">
        <is>
          <t>WARREN CITY</t>
        </is>
      </c>
      <c r="AF497" t="inlineStr">
        <is>
          <t>WARREN CITY SD</t>
        </is>
      </c>
      <c r="AH497" t="n">
        <v>14</v>
      </c>
      <c r="AI497" t="n">
        <v>11</v>
      </c>
      <c r="AN497" t="inlineStr">
        <is>
          <t>WARREN</t>
        </is>
      </c>
      <c r="AO497" t="inlineStr">
        <is>
          <t>WARREN CITY 4A</t>
        </is>
      </c>
      <c r="AP497" t="inlineStr">
        <is>
          <t>78-P-ADI</t>
        </is>
      </c>
      <c r="AQ497" t="n">
        <v>9</v>
      </c>
      <c r="AR497" t="n">
        <v>64</v>
      </c>
      <c r="AS497" t="n">
        <v>32</v>
      </c>
      <c r="AU497">
        <f>COUNTA($BA$497:$EH$497)</f>
        <v/>
      </c>
      <c r="AV497">
        <f>COUNTIF($BA$497:$EH$497,"D")</f>
        <v/>
      </c>
      <c r="AW497">
        <f>COUNTIF($BA$497:$EH$497,"R")</f>
        <v/>
      </c>
      <c r="AX497">
        <f>IF(BN497="D",1,0)+IF(BO497="D",1,0)+IF(BT497="D",1,0)+IF(BU497="D",1,0)+IF(BW497="D",1,0)+IF(CC497="D",1,0)+IF(CD497="D",1,0)+IF(CE497="D",1,0)+IF(CF497="D",1,0)+IF(CL497="D",1,0)+IF(CM497="D",1,0)+IF(CQ497="D",1,0)+IF(CR497="D",1,0)+IF(CS497="D",1,0)+IF(CW497="D",1,0)+IF(CX497="D",1,0)+IF(DD497="D",1,0)+IF(DE497="D",1,0)+IF(DJ497="D",1,0)+IF(DK497="D",1,0)+IF(DO497="D",1,0)+IF(DP497="D",1,0)+IF(DQ497="D",1,0)+IF(DW497="D",1,0)+IF(DZ497="D",1,0)+IF(EH497="D",1,0)</f>
        <v/>
      </c>
      <c r="AY497">
        <f>IF(DJ497&lt;&gt;"",1,0)+IF(DK497&lt;&gt;"",1,0)+IF(DM497&lt;&gt;"",1,0)+IF(DO497&lt;&gt;"",1,0)+IF(DP497&lt;&gt;"",1,0)+IF(DQ497&lt;&gt;"",1,0)+IF(DS497&lt;&gt;"",1,0)+IF(DT497&lt;&gt;"",1,0)+IF(DV497&lt;&gt;"",1,0)+IF(DW497&lt;&gt;"",1,0)+IF(DX497&lt;&gt;"",1,0)+IF(DY497&lt;&gt;"",1,0)+IF(DZ497&lt;&gt;"",1,0)+IF(EB497&lt;&gt;"",1,0)+IF(EC497&lt;&gt;"",1,0)+IF(ED497&lt;&gt;"",1,0)+IF(EG497&lt;&gt;"",1,0)+IF(EH497&lt;&gt;"",1,0)</f>
        <v/>
      </c>
      <c r="AZ497">
        <f>IF(EH497&lt;&gt;"",1,0)</f>
        <v/>
      </c>
      <c r="BB497" t="inlineStr">
        <is>
          <t>WARREN-WARD 4</t>
        </is>
      </c>
    </row>
    <row r="498">
      <c r="A498" t="inlineStr">
        <is>
          <t>OH0015675807</t>
        </is>
      </c>
      <c r="B498" t="n">
        <v>78</v>
      </c>
      <c r="C498" t="n">
        <v>287234</v>
      </c>
      <c r="D498" t="inlineStr">
        <is>
          <t>PARKS</t>
        </is>
      </c>
      <c r="E498" t="inlineStr">
        <is>
          <t>CARL</t>
        </is>
      </c>
      <c r="F498">
        <f>CONCATENATE(D498," ",LEFT(H498,4),"T=",AU498,"D=",AV498,"R=",AW498,"M=",AX498,"L=",AY498,"B=",AZ498)</f>
        <v/>
      </c>
      <c r="G498" t="inlineStr">
        <is>
          <t>K</t>
        </is>
      </c>
      <c r="I498" t="inlineStr">
        <is>
          <t>1973-05-27</t>
        </is>
      </c>
      <c r="J498" t="inlineStr">
        <is>
          <t>2024-01-19</t>
        </is>
      </c>
      <c r="K498" t="inlineStr">
        <is>
          <t>ACTIVE</t>
        </is>
      </c>
      <c r="M498" t="inlineStr">
        <is>
          <t>343 WOODBINE AVE SE</t>
        </is>
      </c>
      <c r="N498">
        <f>RIGHT(M498,LEN(M498)-FIND(" ",M498))</f>
        <v/>
      </c>
      <c r="P498" t="inlineStr">
        <is>
          <t>WARREN</t>
        </is>
      </c>
      <c r="Q498" t="inlineStr">
        <is>
          <t>OH</t>
        </is>
      </c>
      <c r="R498" t="n">
        <v>44483</v>
      </c>
      <c r="AD498" t="inlineStr">
        <is>
          <t>TRUMBULL CAREER &amp; TECH CENTER</t>
        </is>
      </c>
      <c r="AE498" t="inlineStr">
        <is>
          <t>WARREN CITY</t>
        </is>
      </c>
      <c r="AF498" t="inlineStr">
        <is>
          <t>WARREN CITY SD</t>
        </is>
      </c>
      <c r="AH498" t="n">
        <v>14</v>
      </c>
      <c r="AI498" t="n">
        <v>11</v>
      </c>
      <c r="AN498" t="inlineStr">
        <is>
          <t>WARREN</t>
        </is>
      </c>
      <c r="AO498" t="inlineStr">
        <is>
          <t>WARREN CITY 4A</t>
        </is>
      </c>
      <c r="AP498" t="inlineStr">
        <is>
          <t>78-P-ADI</t>
        </is>
      </c>
      <c r="AQ498" t="n">
        <v>9</v>
      </c>
      <c r="AR498" t="n">
        <v>64</v>
      </c>
      <c r="AS498" t="n">
        <v>32</v>
      </c>
      <c r="AU498">
        <f>COUNTA($BA$498:$EH$498)</f>
        <v/>
      </c>
      <c r="AV498">
        <f>COUNTIF($BA$498:$EH$498,"D")</f>
        <v/>
      </c>
      <c r="AW498">
        <f>COUNTIF($BA$498:$EH$498,"R")</f>
        <v/>
      </c>
      <c r="AX498">
        <f>IF(BN498="D",1,0)+IF(BO498="D",1,0)+IF(BT498="D",1,0)+IF(BU498="D",1,0)+IF(BW498="D",1,0)+IF(CC498="D",1,0)+IF(CD498="D",1,0)+IF(CE498="D",1,0)+IF(CF498="D",1,0)+IF(CL498="D",1,0)+IF(CM498="D",1,0)+IF(CQ498="D",1,0)+IF(CR498="D",1,0)+IF(CS498="D",1,0)+IF(CW498="D",1,0)+IF(CX498="D",1,0)+IF(DD498="D",1,0)+IF(DE498="D",1,0)+IF(DJ498="D",1,0)+IF(DK498="D",1,0)+IF(DO498="D",1,0)+IF(DP498="D",1,0)+IF(DQ498="D",1,0)+IF(DW498="D",1,0)+IF(DZ498="D",1,0)+IF(EH498="D",1,0)</f>
        <v/>
      </c>
      <c r="AY498">
        <f>IF(DJ498&lt;&gt;"",1,0)+IF(DK498&lt;&gt;"",1,0)+IF(DM498&lt;&gt;"",1,0)+IF(DO498&lt;&gt;"",1,0)+IF(DP498&lt;&gt;"",1,0)+IF(DQ498&lt;&gt;"",1,0)+IF(DS498&lt;&gt;"",1,0)+IF(DT498&lt;&gt;"",1,0)+IF(DV498&lt;&gt;"",1,0)+IF(DW498&lt;&gt;"",1,0)+IF(DX498&lt;&gt;"",1,0)+IF(DY498&lt;&gt;"",1,0)+IF(DZ498&lt;&gt;"",1,0)+IF(EB498&lt;&gt;"",1,0)+IF(EC498&lt;&gt;"",1,0)+IF(ED498&lt;&gt;"",1,0)+IF(EG498&lt;&gt;"",1,0)+IF(EH498&lt;&gt;"",1,0)</f>
        <v/>
      </c>
      <c r="AZ498">
        <f>IF(EH498&lt;&gt;"",1,0)</f>
        <v/>
      </c>
      <c r="BB498" t="inlineStr">
        <is>
          <t>WARREN-WARD 4</t>
        </is>
      </c>
      <c r="CA498" t="inlineStr">
        <is>
          <t>X</t>
        </is>
      </c>
      <c r="EF498" t="inlineStr">
        <is>
          <t>X</t>
        </is>
      </c>
    </row>
    <row r="499">
      <c r="A499" t="inlineStr">
        <is>
          <t>OH0026411499</t>
        </is>
      </c>
      <c r="B499" t="n">
        <v>78</v>
      </c>
      <c r="C499" t="n">
        <v>461742</v>
      </c>
      <c r="D499" t="inlineStr">
        <is>
          <t>FOSTER</t>
        </is>
      </c>
      <c r="E499" t="inlineStr">
        <is>
          <t>COLIN</t>
        </is>
      </c>
      <c r="F499">
        <f>CONCATENATE(D499," ",LEFT(H499,4),"T=",AU499,"D=",AV499,"R=",AW499,"M=",AX499,"L=",AY499,"B=",AZ499)</f>
        <v/>
      </c>
      <c r="G499" t="inlineStr">
        <is>
          <t>LEWIS</t>
        </is>
      </c>
      <c r="I499" t="inlineStr">
        <is>
          <t>1982-06-11</t>
        </is>
      </c>
      <c r="J499" t="inlineStr">
        <is>
          <t>2022-02-09</t>
        </is>
      </c>
      <c r="K499" t="inlineStr">
        <is>
          <t>CONFIRMATION</t>
        </is>
      </c>
      <c r="M499" t="inlineStr">
        <is>
          <t>384 OAK KNOLL AVE SE</t>
        </is>
      </c>
      <c r="N499">
        <f>RIGHT(M499,LEN(M499)-FIND(" ",M499))</f>
        <v/>
      </c>
      <c r="P499" t="inlineStr">
        <is>
          <t>WARREN</t>
        </is>
      </c>
      <c r="Q499" t="inlineStr">
        <is>
          <t>OH</t>
        </is>
      </c>
      <c r="R499" t="n">
        <v>44483</v>
      </c>
      <c r="AD499" t="inlineStr">
        <is>
          <t>TRUMBULL CAREER &amp; TECH CENTER</t>
        </is>
      </c>
      <c r="AE499" t="inlineStr">
        <is>
          <t>WARREN CITY</t>
        </is>
      </c>
      <c r="AF499" t="inlineStr">
        <is>
          <t>WARREN CITY SD</t>
        </is>
      </c>
      <c r="AH499" t="n">
        <v>14</v>
      </c>
      <c r="AI499" t="n">
        <v>11</v>
      </c>
      <c r="AN499" t="inlineStr">
        <is>
          <t>WARREN</t>
        </is>
      </c>
      <c r="AO499" t="inlineStr">
        <is>
          <t>WARREN CITY 4A</t>
        </is>
      </c>
      <c r="AP499" t="inlineStr">
        <is>
          <t>78-P-ADI</t>
        </is>
      </c>
      <c r="AQ499" t="n">
        <v>9</v>
      </c>
      <c r="AR499" t="n">
        <v>64</v>
      </c>
      <c r="AS499" t="n">
        <v>32</v>
      </c>
      <c r="AU499">
        <f>COUNTA($BA$499:$EH$499)</f>
        <v/>
      </c>
      <c r="AV499">
        <f>COUNTIF($BA$499:$EH$499,"D")</f>
        <v/>
      </c>
      <c r="AW499">
        <f>COUNTIF($BA$499:$EH$499,"R")</f>
        <v/>
      </c>
      <c r="AX499">
        <f>IF(BN499="D",1,0)+IF(BO499="D",1,0)+IF(BT499="D",1,0)+IF(BU499="D",1,0)+IF(BW499="D",1,0)+IF(CC499="D",1,0)+IF(CD499="D",1,0)+IF(CE499="D",1,0)+IF(CF499="D",1,0)+IF(CL499="D",1,0)+IF(CM499="D",1,0)+IF(CQ499="D",1,0)+IF(CR499="D",1,0)+IF(CS499="D",1,0)+IF(CW499="D",1,0)+IF(CX499="D",1,0)+IF(DD499="D",1,0)+IF(DE499="D",1,0)+IF(DJ499="D",1,0)+IF(DK499="D",1,0)+IF(DO499="D",1,0)+IF(DP499="D",1,0)+IF(DQ499="D",1,0)+IF(DW499="D",1,0)+IF(DZ499="D",1,0)+IF(EH499="D",1,0)</f>
        <v/>
      </c>
      <c r="AY499">
        <f>IF(DJ499&lt;&gt;"",1,0)+IF(DK499&lt;&gt;"",1,0)+IF(DM499&lt;&gt;"",1,0)+IF(DO499&lt;&gt;"",1,0)+IF(DP499&lt;&gt;"",1,0)+IF(DQ499&lt;&gt;"",1,0)+IF(DS499&lt;&gt;"",1,0)+IF(DT499&lt;&gt;"",1,0)+IF(DV499&lt;&gt;"",1,0)+IF(DW499&lt;&gt;"",1,0)+IF(DX499&lt;&gt;"",1,0)+IF(DY499&lt;&gt;"",1,0)+IF(DZ499&lt;&gt;"",1,0)+IF(EB499&lt;&gt;"",1,0)+IF(EC499&lt;&gt;"",1,0)+IF(ED499&lt;&gt;"",1,0)+IF(EG499&lt;&gt;"",1,0)+IF(EH499&lt;&gt;"",1,0)</f>
        <v/>
      </c>
      <c r="AZ499">
        <f>IF(EH499&lt;&gt;"",1,0)</f>
        <v/>
      </c>
      <c r="BB499" t="inlineStr">
        <is>
          <t>WARREN-WARD 4</t>
        </is>
      </c>
    </row>
    <row r="500">
      <c r="A500" t="inlineStr">
        <is>
          <t>OH0023187447</t>
        </is>
      </c>
      <c r="B500" t="n">
        <v>78</v>
      </c>
      <c r="C500" t="n">
        <v>408083</v>
      </c>
      <c r="D500" t="inlineStr">
        <is>
          <t>RADCLIFFE</t>
        </is>
      </c>
      <c r="E500" t="inlineStr">
        <is>
          <t>JOLENE</t>
        </is>
      </c>
      <c r="F500">
        <f>CONCATENATE(D500," ",LEFT(H500,4),"T=",AU500,"D=",AV500,"R=",AW500,"M=",AX500,"L=",AY500,"B=",AZ500)</f>
        <v/>
      </c>
      <c r="G500" t="inlineStr">
        <is>
          <t>R</t>
        </is>
      </c>
      <c r="I500" t="inlineStr">
        <is>
          <t>1982-10-19</t>
        </is>
      </c>
      <c r="J500" t="inlineStr">
        <is>
          <t>2015-06-09</t>
        </is>
      </c>
      <c r="K500" t="inlineStr">
        <is>
          <t>ACTIVE</t>
        </is>
      </c>
      <c r="M500" t="inlineStr">
        <is>
          <t>865 WOODBINE AVE SE</t>
        </is>
      </c>
      <c r="N500">
        <f>RIGHT(M500,LEN(M500)-FIND(" ",M500))</f>
        <v/>
      </c>
      <c r="P500" t="inlineStr">
        <is>
          <t>WARREN</t>
        </is>
      </c>
      <c r="Q500" t="inlineStr">
        <is>
          <t>OH</t>
        </is>
      </c>
      <c r="R500" t="n">
        <v>44484</v>
      </c>
      <c r="AD500" t="inlineStr">
        <is>
          <t>TRUMBULL CAREER &amp; TECH CENTER</t>
        </is>
      </c>
      <c r="AE500" t="inlineStr">
        <is>
          <t>WARREN CITY</t>
        </is>
      </c>
      <c r="AF500" t="inlineStr">
        <is>
          <t>WARREN CITY SD</t>
        </is>
      </c>
      <c r="AH500" t="n">
        <v>14</v>
      </c>
      <c r="AI500" t="n">
        <v>11</v>
      </c>
      <c r="AN500" t="inlineStr">
        <is>
          <t>WARREN</t>
        </is>
      </c>
      <c r="AO500" t="inlineStr">
        <is>
          <t>WARREN CITY 4A</t>
        </is>
      </c>
      <c r="AP500" t="inlineStr">
        <is>
          <t>78-P-ADI</t>
        </is>
      </c>
      <c r="AQ500" t="n">
        <v>9</v>
      </c>
      <c r="AR500" t="n">
        <v>64</v>
      </c>
      <c r="AS500" t="n">
        <v>32</v>
      </c>
      <c r="AU500">
        <f>COUNTA($BA$500:$EH$500)</f>
        <v/>
      </c>
      <c r="AV500">
        <f>COUNTIF($BA$500:$EH$500,"D")</f>
        <v/>
      </c>
      <c r="AW500">
        <f>COUNTIF($BA$500:$EH$500,"R")</f>
        <v/>
      </c>
      <c r="AX500">
        <f>IF(BN500="D",1,0)+IF(BO500="D",1,0)+IF(BT500="D",1,0)+IF(BU500="D",1,0)+IF(BW500="D",1,0)+IF(CC500="D",1,0)+IF(CD500="D",1,0)+IF(CE500="D",1,0)+IF(CF500="D",1,0)+IF(CL500="D",1,0)+IF(CM500="D",1,0)+IF(CQ500="D",1,0)+IF(CR500="D",1,0)+IF(CS500="D",1,0)+IF(CW500="D",1,0)+IF(CX500="D",1,0)+IF(DD500="D",1,0)+IF(DE500="D",1,0)+IF(DJ500="D",1,0)+IF(DK500="D",1,0)+IF(DO500="D",1,0)+IF(DP500="D",1,0)+IF(DQ500="D",1,0)+IF(DW500="D",1,0)+IF(DZ500="D",1,0)+IF(EH500="D",1,0)</f>
        <v/>
      </c>
      <c r="AY500">
        <f>IF(DJ500&lt;&gt;"",1,0)+IF(DK500&lt;&gt;"",1,0)+IF(DM500&lt;&gt;"",1,0)+IF(DO500&lt;&gt;"",1,0)+IF(DP500&lt;&gt;"",1,0)+IF(DQ500&lt;&gt;"",1,0)+IF(DS500&lt;&gt;"",1,0)+IF(DT500&lt;&gt;"",1,0)+IF(DV500&lt;&gt;"",1,0)+IF(DW500&lt;&gt;"",1,0)+IF(DX500&lt;&gt;"",1,0)+IF(DY500&lt;&gt;"",1,0)+IF(DZ500&lt;&gt;"",1,0)+IF(EB500&lt;&gt;"",1,0)+IF(EC500&lt;&gt;"",1,0)+IF(ED500&lt;&gt;"",1,0)+IF(EG500&lt;&gt;"",1,0)+IF(EH500&lt;&gt;"",1,0)</f>
        <v/>
      </c>
      <c r="AZ500">
        <f>IF(EH500&lt;&gt;"",1,0)</f>
        <v/>
      </c>
      <c r="BB500" t="inlineStr">
        <is>
          <t>WARREN-WARD 4</t>
        </is>
      </c>
    </row>
    <row r="501">
      <c r="A501" t="inlineStr">
        <is>
          <t>OH0015758437</t>
        </is>
      </c>
      <c r="B501" t="n">
        <v>78</v>
      </c>
      <c r="C501" t="n">
        <v>320959</v>
      </c>
      <c r="D501" t="inlineStr">
        <is>
          <t>HERNON</t>
        </is>
      </c>
      <c r="E501" t="inlineStr">
        <is>
          <t>JASON</t>
        </is>
      </c>
      <c r="F501">
        <f>CONCATENATE(D501," ",LEFT(H501,4),"T=",AU501,"D=",AV501,"R=",AW501,"M=",AX501,"L=",AY501,"B=",AZ501)</f>
        <v/>
      </c>
      <c r="G501" t="inlineStr">
        <is>
          <t>M</t>
        </is>
      </c>
      <c r="I501" t="inlineStr">
        <is>
          <t>1983-07-20</t>
        </is>
      </c>
      <c r="J501" t="inlineStr">
        <is>
          <t>2016-08-01</t>
        </is>
      </c>
      <c r="K501" t="inlineStr">
        <is>
          <t>CONFIRMATION</t>
        </is>
      </c>
      <c r="M501" t="inlineStr">
        <is>
          <t>829 KENILWORTH AVE SE</t>
        </is>
      </c>
      <c r="N501">
        <f>RIGHT(M501,LEN(M501)-FIND(" ",M501))</f>
        <v/>
      </c>
      <c r="P501" t="inlineStr">
        <is>
          <t>WARREN</t>
        </is>
      </c>
      <c r="Q501" t="inlineStr">
        <is>
          <t>OH</t>
        </is>
      </c>
      <c r="R501" t="n">
        <v>44484</v>
      </c>
      <c r="AD501" t="inlineStr">
        <is>
          <t>TRUMBULL CAREER &amp; TECH CENTER</t>
        </is>
      </c>
      <c r="AE501" t="inlineStr">
        <is>
          <t>WARREN CITY</t>
        </is>
      </c>
      <c r="AF501" t="inlineStr">
        <is>
          <t>WARREN CITY SD</t>
        </is>
      </c>
      <c r="AH501" t="n">
        <v>14</v>
      </c>
      <c r="AI501" t="n">
        <v>11</v>
      </c>
      <c r="AN501" t="inlineStr">
        <is>
          <t>WARREN</t>
        </is>
      </c>
      <c r="AO501" t="inlineStr">
        <is>
          <t>WARREN CITY 4A</t>
        </is>
      </c>
      <c r="AP501" t="inlineStr">
        <is>
          <t>78-P-ADI</t>
        </is>
      </c>
      <c r="AQ501" t="n">
        <v>9</v>
      </c>
      <c r="AR501" t="n">
        <v>64</v>
      </c>
      <c r="AS501" t="n">
        <v>32</v>
      </c>
      <c r="AU501">
        <f>COUNTA($BA$501:$EH$501)</f>
        <v/>
      </c>
      <c r="AV501">
        <f>COUNTIF($BA$501:$EH$501,"D")</f>
        <v/>
      </c>
      <c r="AW501">
        <f>COUNTIF($BA$501:$EH$501,"R")</f>
        <v/>
      </c>
      <c r="AX501">
        <f>IF(BN501="D",1,0)+IF(BO501="D",1,0)+IF(BT501="D",1,0)+IF(BU501="D",1,0)+IF(BW501="D",1,0)+IF(CC501="D",1,0)+IF(CD501="D",1,0)+IF(CE501="D",1,0)+IF(CF501="D",1,0)+IF(CL501="D",1,0)+IF(CM501="D",1,0)+IF(CQ501="D",1,0)+IF(CR501="D",1,0)+IF(CS501="D",1,0)+IF(CW501="D",1,0)+IF(CX501="D",1,0)+IF(DD501="D",1,0)+IF(DE501="D",1,0)+IF(DJ501="D",1,0)+IF(DK501="D",1,0)+IF(DO501="D",1,0)+IF(DP501="D",1,0)+IF(DQ501="D",1,0)+IF(DW501="D",1,0)+IF(DZ501="D",1,0)+IF(EH501="D",1,0)</f>
        <v/>
      </c>
      <c r="AY501">
        <f>IF(DJ501&lt;&gt;"",1,0)+IF(DK501&lt;&gt;"",1,0)+IF(DM501&lt;&gt;"",1,0)+IF(DO501&lt;&gt;"",1,0)+IF(DP501&lt;&gt;"",1,0)+IF(DQ501&lt;&gt;"",1,0)+IF(DS501&lt;&gt;"",1,0)+IF(DT501&lt;&gt;"",1,0)+IF(DV501&lt;&gt;"",1,0)+IF(DW501&lt;&gt;"",1,0)+IF(DX501&lt;&gt;"",1,0)+IF(DY501&lt;&gt;"",1,0)+IF(DZ501&lt;&gt;"",1,0)+IF(EB501&lt;&gt;"",1,0)+IF(EC501&lt;&gt;"",1,0)+IF(ED501&lt;&gt;"",1,0)+IF(EG501&lt;&gt;"",1,0)+IF(EH501&lt;&gt;"",1,0)</f>
        <v/>
      </c>
      <c r="AZ501">
        <f>IF(EH501&lt;&gt;"",1,0)</f>
        <v/>
      </c>
      <c r="BB501" t="inlineStr">
        <is>
          <t>WARREN-WARD 4</t>
        </is>
      </c>
      <c r="DD501" t="inlineStr">
        <is>
          <t>D</t>
        </is>
      </c>
    </row>
    <row r="502">
      <c r="A502" t="inlineStr">
        <is>
          <t>OH0025657768</t>
        </is>
      </c>
      <c r="B502" t="n">
        <v>78</v>
      </c>
      <c r="C502" t="n">
        <v>448022</v>
      </c>
      <c r="D502" t="inlineStr">
        <is>
          <t>WILLIAMS</t>
        </is>
      </c>
      <c r="E502" t="inlineStr">
        <is>
          <t>KRISTEN</t>
        </is>
      </c>
      <c r="F502">
        <f>CONCATENATE(D502," ",LEFT(H502,4),"T=",AU502,"D=",AV502,"R=",AW502,"M=",AX502,"L=",AY502,"B=",AZ502)</f>
        <v/>
      </c>
      <c r="G502" t="inlineStr">
        <is>
          <t>M</t>
        </is>
      </c>
      <c r="I502" t="inlineStr">
        <is>
          <t>1970-04-13</t>
        </is>
      </c>
      <c r="J502" t="inlineStr">
        <is>
          <t>2020-07-27</t>
        </is>
      </c>
      <c r="K502" t="inlineStr">
        <is>
          <t>ACTIVE</t>
        </is>
      </c>
      <c r="M502" t="inlineStr">
        <is>
          <t>576 WOODBINE AVE SE</t>
        </is>
      </c>
      <c r="N502">
        <f>RIGHT(M502,LEN(M502)-FIND(" ",M502))</f>
        <v/>
      </c>
      <c r="P502" t="inlineStr">
        <is>
          <t>WARREN</t>
        </is>
      </c>
      <c r="Q502" t="inlineStr">
        <is>
          <t>OH</t>
        </is>
      </c>
      <c r="R502" t="n">
        <v>44483</v>
      </c>
      <c r="AD502" t="inlineStr">
        <is>
          <t>TRUMBULL CAREER &amp; TECH CENTER</t>
        </is>
      </c>
      <c r="AE502" t="inlineStr">
        <is>
          <t>WARREN CITY</t>
        </is>
      </c>
      <c r="AF502" t="inlineStr">
        <is>
          <t>WARREN CITY SD</t>
        </is>
      </c>
      <c r="AH502" t="n">
        <v>14</v>
      </c>
      <c r="AI502" t="n">
        <v>11</v>
      </c>
      <c r="AN502" t="inlineStr">
        <is>
          <t>WARREN</t>
        </is>
      </c>
      <c r="AO502" t="inlineStr">
        <is>
          <t>WARREN CITY 4A</t>
        </is>
      </c>
      <c r="AP502" t="inlineStr">
        <is>
          <t>78-P-ADI</t>
        </is>
      </c>
      <c r="AQ502" t="n">
        <v>9</v>
      </c>
      <c r="AR502" t="n">
        <v>64</v>
      </c>
      <c r="AS502" t="n">
        <v>32</v>
      </c>
      <c r="AU502">
        <f>COUNTA($BA$502:$EH$502)</f>
        <v/>
      </c>
      <c r="AV502">
        <f>COUNTIF($BA$502:$EH$502,"D")</f>
        <v/>
      </c>
      <c r="AW502">
        <f>COUNTIF($BA$502:$EH$502,"R")</f>
        <v/>
      </c>
      <c r="AX502">
        <f>IF(BN502="D",1,0)+IF(BO502="D",1,0)+IF(BT502="D",1,0)+IF(BU502="D",1,0)+IF(BW502="D",1,0)+IF(CC502="D",1,0)+IF(CD502="D",1,0)+IF(CE502="D",1,0)+IF(CF502="D",1,0)+IF(CL502="D",1,0)+IF(CM502="D",1,0)+IF(CQ502="D",1,0)+IF(CR502="D",1,0)+IF(CS502="D",1,0)+IF(CW502="D",1,0)+IF(CX502="D",1,0)+IF(DD502="D",1,0)+IF(DE502="D",1,0)+IF(DJ502="D",1,0)+IF(DK502="D",1,0)+IF(DO502="D",1,0)+IF(DP502="D",1,0)+IF(DQ502="D",1,0)+IF(DW502="D",1,0)+IF(DZ502="D",1,0)+IF(EH502="D",1,0)</f>
        <v/>
      </c>
      <c r="AY502">
        <f>IF(DJ502&lt;&gt;"",1,0)+IF(DK502&lt;&gt;"",1,0)+IF(DM502&lt;&gt;"",1,0)+IF(DO502&lt;&gt;"",1,0)+IF(DP502&lt;&gt;"",1,0)+IF(DQ502&lt;&gt;"",1,0)+IF(DS502&lt;&gt;"",1,0)+IF(DT502&lt;&gt;"",1,0)+IF(DV502&lt;&gt;"",1,0)+IF(DW502&lt;&gt;"",1,0)+IF(DX502&lt;&gt;"",1,0)+IF(DY502&lt;&gt;"",1,0)+IF(DZ502&lt;&gt;"",1,0)+IF(EB502&lt;&gt;"",1,0)+IF(EC502&lt;&gt;"",1,0)+IF(ED502&lt;&gt;"",1,0)+IF(EG502&lt;&gt;"",1,0)+IF(EH502&lt;&gt;"",1,0)</f>
        <v/>
      </c>
      <c r="AZ502">
        <f>IF(EH502&lt;&gt;"",1,0)</f>
        <v/>
      </c>
      <c r="BB502" t="inlineStr">
        <is>
          <t>WARREN-WARD 4</t>
        </is>
      </c>
      <c r="DN502" t="inlineStr">
        <is>
          <t>X</t>
        </is>
      </c>
      <c r="DU502" t="inlineStr">
        <is>
          <t>X</t>
        </is>
      </c>
      <c r="EF502" t="inlineStr">
        <is>
          <t>X</t>
        </is>
      </c>
    </row>
    <row r="503">
      <c r="A503" t="inlineStr">
        <is>
          <t>OH0020624431</t>
        </is>
      </c>
      <c r="B503" t="n">
        <v>78</v>
      </c>
      <c r="C503" t="n">
        <v>369069</v>
      </c>
      <c r="D503" t="inlineStr">
        <is>
          <t>MOYER</t>
        </is>
      </c>
      <c r="E503" t="inlineStr">
        <is>
          <t>BRITTANEE</t>
        </is>
      </c>
      <c r="F503">
        <f>CONCATENATE(D503," ",LEFT(H503,4),"T=",AU503,"D=",AV503,"R=",AW503,"M=",AX503,"L=",AY503,"B=",AZ503)</f>
        <v/>
      </c>
      <c r="G503" t="inlineStr">
        <is>
          <t>NIKOLE</t>
        </is>
      </c>
      <c r="I503" t="inlineStr">
        <is>
          <t>1990-11-09</t>
        </is>
      </c>
      <c r="J503" t="inlineStr">
        <is>
          <t>2023-12-08</t>
        </is>
      </c>
      <c r="K503" t="inlineStr">
        <is>
          <t>ACTIVE</t>
        </is>
      </c>
      <c r="M503" t="inlineStr">
        <is>
          <t>457 CHARLES AVE SE</t>
        </is>
      </c>
      <c r="N503">
        <f>RIGHT(M503,LEN(M503)-FIND(" ",M503))</f>
        <v/>
      </c>
      <c r="P503" t="inlineStr">
        <is>
          <t>WARREN</t>
        </is>
      </c>
      <c r="Q503" t="inlineStr">
        <is>
          <t>OH</t>
        </is>
      </c>
      <c r="R503" t="n">
        <v>44483</v>
      </c>
      <c r="AD503" t="inlineStr">
        <is>
          <t>TRUMBULL CAREER &amp; TECH CENTER</t>
        </is>
      </c>
      <c r="AE503" t="inlineStr">
        <is>
          <t>WARREN CITY</t>
        </is>
      </c>
      <c r="AF503" t="inlineStr">
        <is>
          <t>WARREN CITY SD</t>
        </is>
      </c>
      <c r="AH503" t="n">
        <v>14</v>
      </c>
      <c r="AI503" t="n">
        <v>11</v>
      </c>
      <c r="AN503" t="inlineStr">
        <is>
          <t>WARREN</t>
        </is>
      </c>
      <c r="AO503" t="inlineStr">
        <is>
          <t>WARREN CITY 4A</t>
        </is>
      </c>
      <c r="AP503" t="inlineStr">
        <is>
          <t>78-P-ADI</t>
        </is>
      </c>
      <c r="AQ503" t="n">
        <v>9</v>
      </c>
      <c r="AR503" t="n">
        <v>64</v>
      </c>
      <c r="AS503" t="n">
        <v>32</v>
      </c>
      <c r="AU503">
        <f>COUNTA($BA$503:$EH$503)</f>
        <v/>
      </c>
      <c r="AV503">
        <f>COUNTIF($BA$503:$EH$503,"D")</f>
        <v/>
      </c>
      <c r="AW503">
        <f>COUNTIF($BA$503:$EH$503,"R")</f>
        <v/>
      </c>
      <c r="AX503">
        <f>IF(BN503="D",1,0)+IF(BO503="D",1,0)+IF(BT503="D",1,0)+IF(BU503="D",1,0)+IF(BW503="D",1,0)+IF(CC503="D",1,0)+IF(CD503="D",1,0)+IF(CE503="D",1,0)+IF(CF503="D",1,0)+IF(CL503="D",1,0)+IF(CM503="D",1,0)+IF(CQ503="D",1,0)+IF(CR503="D",1,0)+IF(CS503="D",1,0)+IF(CW503="D",1,0)+IF(CX503="D",1,0)+IF(DD503="D",1,0)+IF(DE503="D",1,0)+IF(DJ503="D",1,0)+IF(DK503="D",1,0)+IF(DO503="D",1,0)+IF(DP503="D",1,0)+IF(DQ503="D",1,0)+IF(DW503="D",1,0)+IF(DZ503="D",1,0)+IF(EH503="D",1,0)</f>
        <v/>
      </c>
      <c r="AY503">
        <f>IF(DJ503&lt;&gt;"",1,0)+IF(DK503&lt;&gt;"",1,0)+IF(DM503&lt;&gt;"",1,0)+IF(DO503&lt;&gt;"",1,0)+IF(DP503&lt;&gt;"",1,0)+IF(DQ503&lt;&gt;"",1,0)+IF(DS503&lt;&gt;"",1,0)+IF(DT503&lt;&gt;"",1,0)+IF(DV503&lt;&gt;"",1,0)+IF(DW503&lt;&gt;"",1,0)+IF(DX503&lt;&gt;"",1,0)+IF(DY503&lt;&gt;"",1,0)+IF(DZ503&lt;&gt;"",1,0)+IF(EB503&lt;&gt;"",1,0)+IF(EC503&lt;&gt;"",1,0)+IF(ED503&lt;&gt;"",1,0)+IF(EG503&lt;&gt;"",1,0)+IF(EH503&lt;&gt;"",1,0)</f>
        <v/>
      </c>
      <c r="AZ503">
        <f>IF(EH503&lt;&gt;"",1,0)</f>
        <v/>
      </c>
      <c r="BB503" t="inlineStr">
        <is>
          <t>WARREN-WARD 4</t>
        </is>
      </c>
      <c r="DC503" t="inlineStr">
        <is>
          <t>X</t>
        </is>
      </c>
      <c r="DN503" t="inlineStr">
        <is>
          <t>X</t>
        </is>
      </c>
    </row>
    <row r="504">
      <c r="A504" t="inlineStr">
        <is>
          <t>OH0026623355</t>
        </is>
      </c>
      <c r="B504" t="n">
        <v>78</v>
      </c>
      <c r="C504" t="n">
        <v>465183</v>
      </c>
      <c r="D504" t="inlineStr">
        <is>
          <t>EARLY</t>
        </is>
      </c>
      <c r="E504" t="inlineStr">
        <is>
          <t>JESSICA</t>
        </is>
      </c>
      <c r="F504">
        <f>CONCATENATE(D504," ",LEFT(H504,4),"T=",AU504,"D=",AV504,"R=",AW504,"M=",AX504,"L=",AY504,"B=",AZ504)</f>
        <v/>
      </c>
      <c r="G504" t="inlineStr">
        <is>
          <t>L</t>
        </is>
      </c>
      <c r="I504" t="inlineStr">
        <is>
          <t>1976-03-15</t>
        </is>
      </c>
      <c r="J504" t="inlineStr">
        <is>
          <t>2024-09-24</t>
        </is>
      </c>
      <c r="K504" t="inlineStr">
        <is>
          <t>ACTIVE</t>
        </is>
      </c>
      <c r="M504" t="inlineStr">
        <is>
          <t>207 CHARLES AVE SE</t>
        </is>
      </c>
      <c r="N504">
        <f>RIGHT(M504,LEN(M504)-FIND(" ",M504))</f>
        <v/>
      </c>
      <c r="P504" t="inlineStr">
        <is>
          <t>WARREN</t>
        </is>
      </c>
      <c r="Q504" t="inlineStr">
        <is>
          <t>OH</t>
        </is>
      </c>
      <c r="R504" t="n">
        <v>44483</v>
      </c>
      <c r="AD504" t="inlineStr">
        <is>
          <t>TRUMBULL CAREER &amp; TECH CENTER</t>
        </is>
      </c>
      <c r="AE504" t="inlineStr">
        <is>
          <t>WARREN CITY</t>
        </is>
      </c>
      <c r="AF504" t="inlineStr">
        <is>
          <t>WARREN CITY SD</t>
        </is>
      </c>
      <c r="AH504" t="n">
        <v>14</v>
      </c>
      <c r="AI504" t="n">
        <v>11</v>
      </c>
      <c r="AN504" t="inlineStr">
        <is>
          <t>WARREN</t>
        </is>
      </c>
      <c r="AO504" t="inlineStr">
        <is>
          <t>WARREN CITY 4A</t>
        </is>
      </c>
      <c r="AP504" t="inlineStr">
        <is>
          <t>78-P-ADI</t>
        </is>
      </c>
      <c r="AQ504" t="n">
        <v>9</v>
      </c>
      <c r="AR504" t="n">
        <v>64</v>
      </c>
      <c r="AS504" t="n">
        <v>32</v>
      </c>
      <c r="AU504">
        <f>COUNTA($BA$504:$EH$504)</f>
        <v/>
      </c>
      <c r="AV504">
        <f>COUNTIF($BA$504:$EH$504,"D")</f>
        <v/>
      </c>
      <c r="AW504">
        <f>COUNTIF($BA$504:$EH$504,"R")</f>
        <v/>
      </c>
      <c r="AX504">
        <f>IF(BN504="D",1,0)+IF(BO504="D",1,0)+IF(BT504="D",1,0)+IF(BU504="D",1,0)+IF(BW504="D",1,0)+IF(CC504="D",1,0)+IF(CD504="D",1,0)+IF(CE504="D",1,0)+IF(CF504="D",1,0)+IF(CL504="D",1,0)+IF(CM504="D",1,0)+IF(CQ504="D",1,0)+IF(CR504="D",1,0)+IF(CS504="D",1,0)+IF(CW504="D",1,0)+IF(CX504="D",1,0)+IF(DD504="D",1,0)+IF(DE504="D",1,0)+IF(DJ504="D",1,0)+IF(DK504="D",1,0)+IF(DO504="D",1,0)+IF(DP504="D",1,0)+IF(DQ504="D",1,0)+IF(DW504="D",1,0)+IF(DZ504="D",1,0)+IF(EH504="D",1,0)</f>
        <v/>
      </c>
      <c r="AY504">
        <f>IF(DJ504&lt;&gt;"",1,0)+IF(DK504&lt;&gt;"",1,0)+IF(DM504&lt;&gt;"",1,0)+IF(DO504&lt;&gt;"",1,0)+IF(DP504&lt;&gt;"",1,0)+IF(DQ504&lt;&gt;"",1,0)+IF(DS504&lt;&gt;"",1,0)+IF(DT504&lt;&gt;"",1,0)+IF(DV504&lt;&gt;"",1,0)+IF(DW504&lt;&gt;"",1,0)+IF(DX504&lt;&gt;"",1,0)+IF(DY504&lt;&gt;"",1,0)+IF(DZ504&lt;&gt;"",1,0)+IF(EB504&lt;&gt;"",1,0)+IF(EC504&lt;&gt;"",1,0)+IF(ED504&lt;&gt;"",1,0)+IF(EG504&lt;&gt;"",1,0)+IF(EH504&lt;&gt;"",1,0)</f>
        <v/>
      </c>
      <c r="AZ504">
        <f>IF(EH504&lt;&gt;"",1,0)</f>
        <v/>
      </c>
      <c r="BB504" t="inlineStr">
        <is>
          <t>WARREN-WARD 4</t>
        </is>
      </c>
    </row>
    <row r="505">
      <c r="A505" t="inlineStr">
        <is>
          <t>OH0023347599</t>
        </is>
      </c>
      <c r="B505" t="n">
        <v>78</v>
      </c>
      <c r="C505" t="n">
        <v>411005</v>
      </c>
      <c r="D505" t="inlineStr">
        <is>
          <t>HAMRICK</t>
        </is>
      </c>
      <c r="E505" t="inlineStr">
        <is>
          <t>JAMES</t>
        </is>
      </c>
      <c r="F505">
        <f>CONCATENATE(D505," ",LEFT(H505,4),"T=",AU505,"D=",AV505,"R=",AW505,"M=",AX505,"L=",AY505,"B=",AZ505)</f>
        <v/>
      </c>
      <c r="G505" t="inlineStr">
        <is>
          <t>L</t>
        </is>
      </c>
      <c r="I505" t="inlineStr">
        <is>
          <t>1975-03-31</t>
        </is>
      </c>
      <c r="J505" t="inlineStr">
        <is>
          <t>2015-10-05</t>
        </is>
      </c>
      <c r="K505" t="inlineStr">
        <is>
          <t>ACTIVE</t>
        </is>
      </c>
      <c r="L505" t="inlineStr">
        <is>
          <t>R</t>
        </is>
      </c>
      <c r="M505" t="inlineStr">
        <is>
          <t>366 LAIRD AVE SE</t>
        </is>
      </c>
      <c r="N505">
        <f>RIGHT(M505,LEN(M505)-FIND(" ",M505))</f>
        <v/>
      </c>
      <c r="P505" t="inlineStr">
        <is>
          <t>WARREN</t>
        </is>
      </c>
      <c r="Q505" t="inlineStr">
        <is>
          <t>OH</t>
        </is>
      </c>
      <c r="R505" t="n">
        <v>44483</v>
      </c>
      <c r="AD505" t="inlineStr">
        <is>
          <t>TRUMBULL CAREER &amp; TECH CENTER</t>
        </is>
      </c>
      <c r="AE505" t="inlineStr">
        <is>
          <t>WARREN CITY</t>
        </is>
      </c>
      <c r="AF505" t="inlineStr">
        <is>
          <t>WARREN CITY SD</t>
        </is>
      </c>
      <c r="AH505" t="n">
        <v>14</v>
      </c>
      <c r="AI505" t="n">
        <v>11</v>
      </c>
      <c r="AN505" t="inlineStr">
        <is>
          <t>WARREN</t>
        </is>
      </c>
      <c r="AO505" t="inlineStr">
        <is>
          <t>WARREN CITY 4A</t>
        </is>
      </c>
      <c r="AP505" t="inlineStr">
        <is>
          <t>78-P-ADI</t>
        </is>
      </c>
      <c r="AQ505" t="n">
        <v>9</v>
      </c>
      <c r="AR505" t="n">
        <v>64</v>
      </c>
      <c r="AS505" t="n">
        <v>32</v>
      </c>
      <c r="AU505">
        <f>COUNTA($BA$505:$EH$505)</f>
        <v/>
      </c>
      <c r="AV505">
        <f>COUNTIF($BA$505:$EH$505,"D")</f>
        <v/>
      </c>
      <c r="AW505">
        <f>COUNTIF($BA$505:$EH$505,"R")</f>
        <v/>
      </c>
      <c r="AX505">
        <f>IF(BN505="D",1,0)+IF(BO505="D",1,0)+IF(BT505="D",1,0)+IF(BU505="D",1,0)+IF(BW505="D",1,0)+IF(CC505="D",1,0)+IF(CD505="D",1,0)+IF(CE505="D",1,0)+IF(CF505="D",1,0)+IF(CL505="D",1,0)+IF(CM505="D",1,0)+IF(CQ505="D",1,0)+IF(CR505="D",1,0)+IF(CS505="D",1,0)+IF(CW505="D",1,0)+IF(CX505="D",1,0)+IF(DD505="D",1,0)+IF(DE505="D",1,0)+IF(DJ505="D",1,0)+IF(DK505="D",1,0)+IF(DO505="D",1,0)+IF(DP505="D",1,0)+IF(DQ505="D",1,0)+IF(DW505="D",1,0)+IF(DZ505="D",1,0)+IF(EH505="D",1,0)</f>
        <v/>
      </c>
      <c r="AY505">
        <f>IF(DJ505&lt;&gt;"",1,0)+IF(DK505&lt;&gt;"",1,0)+IF(DM505&lt;&gt;"",1,0)+IF(DO505&lt;&gt;"",1,0)+IF(DP505&lt;&gt;"",1,0)+IF(DQ505&lt;&gt;"",1,0)+IF(DS505&lt;&gt;"",1,0)+IF(DT505&lt;&gt;"",1,0)+IF(DV505&lt;&gt;"",1,0)+IF(DW505&lt;&gt;"",1,0)+IF(DX505&lt;&gt;"",1,0)+IF(DY505&lt;&gt;"",1,0)+IF(DZ505&lt;&gt;"",1,0)+IF(EB505&lt;&gt;"",1,0)+IF(EC505&lt;&gt;"",1,0)+IF(ED505&lt;&gt;"",1,0)+IF(EG505&lt;&gt;"",1,0)+IF(EH505&lt;&gt;"",1,0)</f>
        <v/>
      </c>
      <c r="AZ505">
        <f>IF(EH505&lt;&gt;"",1,0)</f>
        <v/>
      </c>
      <c r="BB505" t="inlineStr">
        <is>
          <t>WARREN-WARD 4</t>
        </is>
      </c>
      <c r="CY505" t="inlineStr">
        <is>
          <t>X</t>
        </is>
      </c>
      <c r="DC505" t="inlineStr">
        <is>
          <t>X</t>
        </is>
      </c>
      <c r="DI505" t="inlineStr">
        <is>
          <t>X</t>
        </is>
      </c>
      <c r="DN505" t="inlineStr">
        <is>
          <t>X</t>
        </is>
      </c>
      <c r="DR505" t="inlineStr">
        <is>
          <t>X</t>
        </is>
      </c>
      <c r="DS505" t="inlineStr">
        <is>
          <t>R</t>
        </is>
      </c>
      <c r="DU505" t="inlineStr">
        <is>
          <t>X</t>
        </is>
      </c>
      <c r="DX505" t="inlineStr">
        <is>
          <t>X</t>
        </is>
      </c>
      <c r="EA505" t="inlineStr">
        <is>
          <t>X</t>
        </is>
      </c>
      <c r="EF505" t="inlineStr">
        <is>
          <t>X</t>
        </is>
      </c>
    </row>
    <row r="506">
      <c r="A506" t="inlineStr">
        <is>
          <t>OH0027932007</t>
        </is>
      </c>
      <c r="B506" t="n">
        <v>78</v>
      </c>
      <c r="C506" t="n">
        <v>495641</v>
      </c>
      <c r="D506" t="inlineStr">
        <is>
          <t>PETERSON</t>
        </is>
      </c>
      <c r="E506" t="inlineStr">
        <is>
          <t>SUSAN</t>
        </is>
      </c>
      <c r="F506">
        <f>CONCATENATE(D506," ",LEFT(H506,4),"T=",AU506,"D=",AV506,"R=",AW506,"M=",AX506,"L=",AY506,"B=",AZ506)</f>
        <v/>
      </c>
      <c r="G506" t="inlineStr">
        <is>
          <t>REBECCA</t>
        </is>
      </c>
      <c r="I506" t="inlineStr">
        <is>
          <t>1974-03-14</t>
        </is>
      </c>
      <c r="J506" t="inlineStr">
        <is>
          <t>2025-03-28</t>
        </is>
      </c>
      <c r="K506" t="inlineStr">
        <is>
          <t>ACTIVE</t>
        </is>
      </c>
      <c r="M506" t="inlineStr">
        <is>
          <t>357 LAIRD AVE SE</t>
        </is>
      </c>
      <c r="N506">
        <f>RIGHT(M506,LEN(M506)-FIND(" ",M506))</f>
        <v/>
      </c>
      <c r="P506" t="inlineStr">
        <is>
          <t>WARREN</t>
        </is>
      </c>
      <c r="Q506" t="inlineStr">
        <is>
          <t>OH</t>
        </is>
      </c>
      <c r="R506" t="n">
        <v>44483</v>
      </c>
      <c r="AD506" t="inlineStr">
        <is>
          <t>TRUMBULL CAREER &amp; TECH CENTER</t>
        </is>
      </c>
      <c r="AE506" t="inlineStr">
        <is>
          <t>WARREN CITY</t>
        </is>
      </c>
      <c r="AF506" t="inlineStr">
        <is>
          <t>WARREN CITY SD</t>
        </is>
      </c>
      <c r="AH506" t="n">
        <v>14</v>
      </c>
      <c r="AI506" t="n">
        <v>11</v>
      </c>
      <c r="AN506" t="inlineStr">
        <is>
          <t>WARREN</t>
        </is>
      </c>
      <c r="AO506" t="inlineStr">
        <is>
          <t>WARREN CITY 4A</t>
        </is>
      </c>
      <c r="AP506" t="inlineStr">
        <is>
          <t>78-P-ADI</t>
        </is>
      </c>
      <c r="AQ506" t="n">
        <v>9</v>
      </c>
      <c r="AR506" t="n">
        <v>64</v>
      </c>
      <c r="AS506" t="n">
        <v>32</v>
      </c>
      <c r="AU506">
        <f>COUNTA($BA$506:$EH$506)</f>
        <v/>
      </c>
      <c r="AV506">
        <f>COUNTIF($BA$506:$EH$506,"D")</f>
        <v/>
      </c>
      <c r="AW506">
        <f>COUNTIF($BA$506:$EH$506,"R")</f>
        <v/>
      </c>
      <c r="AX506">
        <f>IF(BN506="D",1,0)+IF(BO506="D",1,0)+IF(BT506="D",1,0)+IF(BU506="D",1,0)+IF(BW506="D",1,0)+IF(CC506="D",1,0)+IF(CD506="D",1,0)+IF(CE506="D",1,0)+IF(CF506="D",1,0)+IF(CL506="D",1,0)+IF(CM506="D",1,0)+IF(CQ506="D",1,0)+IF(CR506="D",1,0)+IF(CS506="D",1,0)+IF(CW506="D",1,0)+IF(CX506="D",1,0)+IF(DD506="D",1,0)+IF(DE506="D",1,0)+IF(DJ506="D",1,0)+IF(DK506="D",1,0)+IF(DO506="D",1,0)+IF(DP506="D",1,0)+IF(DQ506="D",1,0)+IF(DW506="D",1,0)+IF(DZ506="D",1,0)+IF(EH506="D",1,0)</f>
        <v/>
      </c>
      <c r="AY506">
        <f>IF(DJ506&lt;&gt;"",1,0)+IF(DK506&lt;&gt;"",1,0)+IF(DM506&lt;&gt;"",1,0)+IF(DO506&lt;&gt;"",1,0)+IF(DP506&lt;&gt;"",1,0)+IF(DQ506&lt;&gt;"",1,0)+IF(DS506&lt;&gt;"",1,0)+IF(DT506&lt;&gt;"",1,0)+IF(DV506&lt;&gt;"",1,0)+IF(DW506&lt;&gt;"",1,0)+IF(DX506&lt;&gt;"",1,0)+IF(DY506&lt;&gt;"",1,0)+IF(DZ506&lt;&gt;"",1,0)+IF(EB506&lt;&gt;"",1,0)+IF(EC506&lt;&gt;"",1,0)+IF(ED506&lt;&gt;"",1,0)+IF(EG506&lt;&gt;"",1,0)+IF(EH506&lt;&gt;"",1,0)</f>
        <v/>
      </c>
      <c r="AZ506">
        <f>IF(EH506&lt;&gt;"",1,0)</f>
        <v/>
      </c>
      <c r="BB506" t="inlineStr">
        <is>
          <t>WARREN-WARD 4</t>
        </is>
      </c>
    </row>
    <row r="507">
      <c r="A507" t="inlineStr">
        <is>
          <t>OH0027789022</t>
        </is>
      </c>
      <c r="B507" t="n">
        <v>78</v>
      </c>
      <c r="C507" t="n">
        <v>491748</v>
      </c>
      <c r="D507" t="inlineStr">
        <is>
          <t>JACKSON</t>
        </is>
      </c>
      <c r="E507" t="inlineStr">
        <is>
          <t>LISA</t>
        </is>
      </c>
      <c r="F507">
        <f>CONCATENATE(D507," ",LEFT(H507,4),"T=",AU507,"D=",AV507,"R=",AW507,"M=",AX507,"L=",AY507,"B=",AZ507)</f>
        <v/>
      </c>
      <c r="G507" t="inlineStr">
        <is>
          <t>DIANE</t>
        </is>
      </c>
      <c r="I507" t="inlineStr">
        <is>
          <t>1964-11-14</t>
        </is>
      </c>
      <c r="J507" t="inlineStr">
        <is>
          <t>2024-11-05</t>
        </is>
      </c>
      <c r="K507" t="inlineStr">
        <is>
          <t>ACTIVE</t>
        </is>
      </c>
      <c r="M507" t="inlineStr">
        <is>
          <t>748 HOMEWOOD AVE SE</t>
        </is>
      </c>
      <c r="N507">
        <f>RIGHT(M507,LEN(M507)-FIND(" ",M507))</f>
        <v/>
      </c>
      <c r="P507" t="inlineStr">
        <is>
          <t>WARREN</t>
        </is>
      </c>
      <c r="Q507" t="inlineStr">
        <is>
          <t>OH</t>
        </is>
      </c>
      <c r="R507" t="n">
        <v>44484</v>
      </c>
      <c r="AD507" t="inlineStr">
        <is>
          <t>TRUMBULL CAREER &amp; TECH CENTER</t>
        </is>
      </c>
      <c r="AE507" t="inlineStr">
        <is>
          <t>WARREN CITY</t>
        </is>
      </c>
      <c r="AF507" t="inlineStr">
        <is>
          <t>WARREN CITY SD</t>
        </is>
      </c>
      <c r="AH507" t="n">
        <v>14</v>
      </c>
      <c r="AI507" t="n">
        <v>11</v>
      </c>
      <c r="AN507" t="inlineStr">
        <is>
          <t>WARREN</t>
        </is>
      </c>
      <c r="AO507" t="inlineStr">
        <is>
          <t>WARREN CITY 4A</t>
        </is>
      </c>
      <c r="AP507" t="inlineStr">
        <is>
          <t>78-P-ADI</t>
        </is>
      </c>
      <c r="AQ507" t="n">
        <v>9</v>
      </c>
      <c r="AR507" t="n">
        <v>64</v>
      </c>
      <c r="AS507" t="n">
        <v>32</v>
      </c>
      <c r="AU507">
        <f>COUNTA($BA$507:$EH$507)</f>
        <v/>
      </c>
      <c r="AV507">
        <f>COUNTIF($BA$507:$EH$507,"D")</f>
        <v/>
      </c>
      <c r="AW507">
        <f>COUNTIF($BA$507:$EH$507,"R")</f>
        <v/>
      </c>
      <c r="AX507">
        <f>IF(BN507="D",1,0)+IF(BO507="D",1,0)+IF(BT507="D",1,0)+IF(BU507="D",1,0)+IF(BW507="D",1,0)+IF(CC507="D",1,0)+IF(CD507="D",1,0)+IF(CE507="D",1,0)+IF(CF507="D",1,0)+IF(CL507="D",1,0)+IF(CM507="D",1,0)+IF(CQ507="D",1,0)+IF(CR507="D",1,0)+IF(CS507="D",1,0)+IF(CW507="D",1,0)+IF(CX507="D",1,0)+IF(DD507="D",1,0)+IF(DE507="D",1,0)+IF(DJ507="D",1,0)+IF(DK507="D",1,0)+IF(DO507="D",1,0)+IF(DP507="D",1,0)+IF(DQ507="D",1,0)+IF(DW507="D",1,0)+IF(DZ507="D",1,0)+IF(EH507="D",1,0)</f>
        <v/>
      </c>
      <c r="AY507">
        <f>IF(DJ507&lt;&gt;"",1,0)+IF(DK507&lt;&gt;"",1,0)+IF(DM507&lt;&gt;"",1,0)+IF(DO507&lt;&gt;"",1,0)+IF(DP507&lt;&gt;"",1,0)+IF(DQ507&lt;&gt;"",1,0)+IF(DS507&lt;&gt;"",1,0)+IF(DT507&lt;&gt;"",1,0)+IF(DV507&lt;&gt;"",1,0)+IF(DW507&lt;&gt;"",1,0)+IF(DX507&lt;&gt;"",1,0)+IF(DY507&lt;&gt;"",1,0)+IF(DZ507&lt;&gt;"",1,0)+IF(EB507&lt;&gt;"",1,0)+IF(EC507&lt;&gt;"",1,0)+IF(ED507&lt;&gt;"",1,0)+IF(EG507&lt;&gt;"",1,0)+IF(EH507&lt;&gt;"",1,0)</f>
        <v/>
      </c>
      <c r="AZ507">
        <f>IF(EH507&lt;&gt;"",1,0)</f>
        <v/>
      </c>
      <c r="BB507" t="inlineStr">
        <is>
          <t>WARREN-WARD 4</t>
        </is>
      </c>
      <c r="BK507" t="inlineStr">
        <is>
          <t>X</t>
        </is>
      </c>
      <c r="BL507" t="inlineStr">
        <is>
          <t>X</t>
        </is>
      </c>
      <c r="CA507" t="inlineStr">
        <is>
          <t>X</t>
        </is>
      </c>
      <c r="CP507" t="inlineStr">
        <is>
          <t>X</t>
        </is>
      </c>
      <c r="CV507" t="inlineStr">
        <is>
          <t>X</t>
        </is>
      </c>
      <c r="DC507" t="inlineStr">
        <is>
          <t>X</t>
        </is>
      </c>
      <c r="DI507" t="inlineStr">
        <is>
          <t>X</t>
        </is>
      </c>
      <c r="DN507" t="inlineStr">
        <is>
          <t>X</t>
        </is>
      </c>
      <c r="EF507" t="inlineStr">
        <is>
          <t>X</t>
        </is>
      </c>
    </row>
    <row r="508">
      <c r="A508" t="inlineStr">
        <is>
          <t>OH0023186813</t>
        </is>
      </c>
      <c r="B508" t="n">
        <v>78</v>
      </c>
      <c r="C508" t="n">
        <v>407994</v>
      </c>
      <c r="D508" t="inlineStr">
        <is>
          <t>HARRIS</t>
        </is>
      </c>
      <c r="E508" t="inlineStr">
        <is>
          <t>DEVIN</t>
        </is>
      </c>
      <c r="F508">
        <f>CONCATENATE(D508," ",LEFT(H508,4),"T=",AU508,"D=",AV508,"R=",AW508,"M=",AX508,"L=",AY508,"B=",AZ508)</f>
        <v/>
      </c>
      <c r="G508" t="inlineStr">
        <is>
          <t>M</t>
        </is>
      </c>
      <c r="I508" t="inlineStr">
        <is>
          <t>1996-04-30</t>
        </is>
      </c>
      <c r="J508" t="inlineStr">
        <is>
          <t>2023-08-03</t>
        </is>
      </c>
      <c r="K508" t="inlineStr">
        <is>
          <t>ACTIVE</t>
        </is>
      </c>
      <c r="M508" t="inlineStr">
        <is>
          <t>324 OAK KNOLL AVE SE</t>
        </is>
      </c>
      <c r="N508">
        <f>RIGHT(M508,LEN(M508)-FIND(" ",M508))</f>
        <v/>
      </c>
      <c r="P508" t="inlineStr">
        <is>
          <t>WARREN</t>
        </is>
      </c>
      <c r="Q508" t="inlineStr">
        <is>
          <t>OH</t>
        </is>
      </c>
      <c r="R508" t="n">
        <v>44483</v>
      </c>
      <c r="AD508" t="inlineStr">
        <is>
          <t>TRUMBULL CAREER &amp; TECH CENTER</t>
        </is>
      </c>
      <c r="AE508" t="inlineStr">
        <is>
          <t>WARREN CITY</t>
        </is>
      </c>
      <c r="AF508" t="inlineStr">
        <is>
          <t>WARREN CITY SD</t>
        </is>
      </c>
      <c r="AH508" t="n">
        <v>14</v>
      </c>
      <c r="AI508" t="n">
        <v>11</v>
      </c>
      <c r="AN508" t="inlineStr">
        <is>
          <t>WARREN</t>
        </is>
      </c>
      <c r="AO508" t="inlineStr">
        <is>
          <t>WARREN CITY 4A</t>
        </is>
      </c>
      <c r="AP508" t="inlineStr">
        <is>
          <t>78-P-ADI</t>
        </is>
      </c>
      <c r="AQ508" t="n">
        <v>9</v>
      </c>
      <c r="AR508" t="n">
        <v>64</v>
      </c>
      <c r="AS508" t="n">
        <v>32</v>
      </c>
      <c r="AU508">
        <f>COUNTA($BA$508:$EH$508)</f>
        <v/>
      </c>
      <c r="AV508">
        <f>COUNTIF($BA$508:$EH$508,"D")</f>
        <v/>
      </c>
      <c r="AW508">
        <f>COUNTIF($BA$508:$EH$508,"R")</f>
        <v/>
      </c>
      <c r="AX508">
        <f>IF(BN508="D",1,0)+IF(BO508="D",1,0)+IF(BT508="D",1,0)+IF(BU508="D",1,0)+IF(BW508="D",1,0)+IF(CC508="D",1,0)+IF(CD508="D",1,0)+IF(CE508="D",1,0)+IF(CF508="D",1,0)+IF(CL508="D",1,0)+IF(CM508="D",1,0)+IF(CQ508="D",1,0)+IF(CR508="D",1,0)+IF(CS508="D",1,0)+IF(CW508="D",1,0)+IF(CX508="D",1,0)+IF(DD508="D",1,0)+IF(DE508="D",1,0)+IF(DJ508="D",1,0)+IF(DK508="D",1,0)+IF(DO508="D",1,0)+IF(DP508="D",1,0)+IF(DQ508="D",1,0)+IF(DW508="D",1,0)+IF(DZ508="D",1,0)+IF(EH508="D",1,0)</f>
        <v/>
      </c>
      <c r="AY508">
        <f>IF(DJ508&lt;&gt;"",1,0)+IF(DK508&lt;&gt;"",1,0)+IF(DM508&lt;&gt;"",1,0)+IF(DO508&lt;&gt;"",1,0)+IF(DP508&lt;&gt;"",1,0)+IF(DQ508&lt;&gt;"",1,0)+IF(DS508&lt;&gt;"",1,0)+IF(DT508&lt;&gt;"",1,0)+IF(DV508&lt;&gt;"",1,0)+IF(DW508&lt;&gt;"",1,0)+IF(DX508&lt;&gt;"",1,0)+IF(DY508&lt;&gt;"",1,0)+IF(DZ508&lt;&gt;"",1,0)+IF(EB508&lt;&gt;"",1,0)+IF(EC508&lt;&gt;"",1,0)+IF(ED508&lt;&gt;"",1,0)+IF(EG508&lt;&gt;"",1,0)+IF(EH508&lt;&gt;"",1,0)</f>
        <v/>
      </c>
      <c r="AZ508">
        <f>IF(EH508&lt;&gt;"",1,0)</f>
        <v/>
      </c>
      <c r="BB508" t="inlineStr">
        <is>
          <t>WARREN-WARD 4</t>
        </is>
      </c>
      <c r="DC508" t="inlineStr">
        <is>
          <t>X</t>
        </is>
      </c>
      <c r="DN508" t="inlineStr">
        <is>
          <t>X</t>
        </is>
      </c>
      <c r="EF508" t="inlineStr">
        <is>
          <t>X</t>
        </is>
      </c>
    </row>
    <row r="509">
      <c r="A509" t="inlineStr">
        <is>
          <t>OH0019792364</t>
        </is>
      </c>
      <c r="B509" t="n">
        <v>78</v>
      </c>
      <c r="C509" t="n">
        <v>359249</v>
      </c>
      <c r="D509" t="inlineStr">
        <is>
          <t>JONES</t>
        </is>
      </c>
      <c r="E509" t="inlineStr">
        <is>
          <t>WENDY</t>
        </is>
      </c>
      <c r="F509">
        <f>CONCATENATE(D509," ",LEFT(H509,4),"T=",AU509,"D=",AV509,"R=",AW509,"M=",AX509,"L=",AY509,"B=",AZ509)</f>
        <v/>
      </c>
      <c r="G509" t="inlineStr">
        <is>
          <t>MARIE</t>
        </is>
      </c>
      <c r="I509" t="inlineStr">
        <is>
          <t>1989-07-16</t>
        </is>
      </c>
      <c r="J509" t="inlineStr">
        <is>
          <t>2022-09-27</t>
        </is>
      </c>
      <c r="K509" t="inlineStr">
        <is>
          <t>ACTIVE</t>
        </is>
      </c>
      <c r="M509" t="inlineStr">
        <is>
          <t>821 WOODBINE AVE SE</t>
        </is>
      </c>
      <c r="N509">
        <f>RIGHT(M509,LEN(M509)-FIND(" ",M509))</f>
        <v/>
      </c>
      <c r="P509" t="inlineStr">
        <is>
          <t>WARREN</t>
        </is>
      </c>
      <c r="Q509" t="inlineStr">
        <is>
          <t>OH</t>
        </is>
      </c>
      <c r="R509" t="n">
        <v>44484</v>
      </c>
      <c r="AD509" t="inlineStr">
        <is>
          <t>TRUMBULL CAREER &amp; TECH CENTER</t>
        </is>
      </c>
      <c r="AE509" t="inlineStr">
        <is>
          <t>WARREN CITY</t>
        </is>
      </c>
      <c r="AF509" t="inlineStr">
        <is>
          <t>WARREN CITY SD</t>
        </is>
      </c>
      <c r="AH509" t="n">
        <v>14</v>
      </c>
      <c r="AI509" t="n">
        <v>11</v>
      </c>
      <c r="AN509" t="inlineStr">
        <is>
          <t>WARREN</t>
        </is>
      </c>
      <c r="AO509" t="inlineStr">
        <is>
          <t>WARREN CITY 4A</t>
        </is>
      </c>
      <c r="AP509" t="inlineStr">
        <is>
          <t>78-P-ADI</t>
        </is>
      </c>
      <c r="AQ509" t="n">
        <v>9</v>
      </c>
      <c r="AR509" t="n">
        <v>64</v>
      </c>
      <c r="AS509" t="n">
        <v>32</v>
      </c>
      <c r="AU509">
        <f>COUNTA($BA$509:$EH$509)</f>
        <v/>
      </c>
      <c r="AV509">
        <f>COUNTIF($BA$509:$EH$509,"D")</f>
        <v/>
      </c>
      <c r="AW509">
        <f>COUNTIF($BA$509:$EH$509,"R")</f>
        <v/>
      </c>
      <c r="AX509">
        <f>IF(BN509="D",1,0)+IF(BO509="D",1,0)+IF(BT509="D",1,0)+IF(BU509="D",1,0)+IF(BW509="D",1,0)+IF(CC509="D",1,0)+IF(CD509="D",1,0)+IF(CE509="D",1,0)+IF(CF509="D",1,0)+IF(CL509="D",1,0)+IF(CM509="D",1,0)+IF(CQ509="D",1,0)+IF(CR509="D",1,0)+IF(CS509="D",1,0)+IF(CW509="D",1,0)+IF(CX509="D",1,0)+IF(DD509="D",1,0)+IF(DE509="D",1,0)+IF(DJ509="D",1,0)+IF(DK509="D",1,0)+IF(DO509="D",1,0)+IF(DP509="D",1,0)+IF(DQ509="D",1,0)+IF(DW509="D",1,0)+IF(DZ509="D",1,0)+IF(EH509="D",1,0)</f>
        <v/>
      </c>
      <c r="AY509">
        <f>IF(DJ509&lt;&gt;"",1,0)+IF(DK509&lt;&gt;"",1,0)+IF(DM509&lt;&gt;"",1,0)+IF(DO509&lt;&gt;"",1,0)+IF(DP509&lt;&gt;"",1,0)+IF(DQ509&lt;&gt;"",1,0)+IF(DS509&lt;&gt;"",1,0)+IF(DT509&lt;&gt;"",1,0)+IF(DV509&lt;&gt;"",1,0)+IF(DW509&lt;&gt;"",1,0)+IF(DX509&lt;&gt;"",1,0)+IF(DY509&lt;&gt;"",1,0)+IF(DZ509&lt;&gt;"",1,0)+IF(EB509&lt;&gt;"",1,0)+IF(EC509&lt;&gt;"",1,0)+IF(ED509&lt;&gt;"",1,0)+IF(EG509&lt;&gt;"",1,0)+IF(EH509&lt;&gt;"",1,0)</f>
        <v/>
      </c>
      <c r="AZ509">
        <f>IF(EH509&lt;&gt;"",1,0)</f>
        <v/>
      </c>
      <c r="BB509" t="inlineStr">
        <is>
          <t>WARREN-WARD 4</t>
        </is>
      </c>
      <c r="CA509" t="inlineStr">
        <is>
          <t>X</t>
        </is>
      </c>
      <c r="CG509" t="inlineStr">
        <is>
          <t>X</t>
        </is>
      </c>
      <c r="CU509" t="inlineStr">
        <is>
          <t>D</t>
        </is>
      </c>
    </row>
    <row r="510">
      <c r="A510" t="inlineStr">
        <is>
          <t>OH0019752391</t>
        </is>
      </c>
      <c r="B510" t="n">
        <v>78</v>
      </c>
      <c r="C510" t="n">
        <v>358092</v>
      </c>
      <c r="D510" t="inlineStr">
        <is>
          <t>PALM</t>
        </is>
      </c>
      <c r="E510" t="inlineStr">
        <is>
          <t>RUTHEDA</t>
        </is>
      </c>
      <c r="F510">
        <f>CONCATENATE(D510," ",LEFT(H510,4),"T=",AU510,"D=",AV510,"R=",AW510,"M=",AX510,"L=",AY510,"B=",AZ510)</f>
        <v/>
      </c>
      <c r="G510" t="inlineStr">
        <is>
          <t>L</t>
        </is>
      </c>
      <c r="I510" t="inlineStr">
        <is>
          <t>1969-03-19</t>
        </is>
      </c>
      <c r="J510" t="inlineStr">
        <is>
          <t>2021-09-17</t>
        </is>
      </c>
      <c r="K510" t="inlineStr">
        <is>
          <t>ACTIVE</t>
        </is>
      </c>
      <c r="M510" t="inlineStr">
        <is>
          <t>821 WOODBINE AVE SE</t>
        </is>
      </c>
      <c r="N510">
        <f>RIGHT(M510,LEN(M510)-FIND(" ",M510))</f>
        <v/>
      </c>
      <c r="P510" t="inlineStr">
        <is>
          <t>WARREN</t>
        </is>
      </c>
      <c r="Q510" t="inlineStr">
        <is>
          <t>OH</t>
        </is>
      </c>
      <c r="R510" t="n">
        <v>44484</v>
      </c>
      <c r="AD510" t="inlineStr">
        <is>
          <t>TRUMBULL CAREER &amp; TECH CENTER</t>
        </is>
      </c>
      <c r="AE510" t="inlineStr">
        <is>
          <t>WARREN CITY</t>
        </is>
      </c>
      <c r="AF510" t="inlineStr">
        <is>
          <t>WARREN CITY SD</t>
        </is>
      </c>
      <c r="AH510" t="n">
        <v>14</v>
      </c>
      <c r="AI510" t="n">
        <v>11</v>
      </c>
      <c r="AN510" t="inlineStr">
        <is>
          <t>WARREN</t>
        </is>
      </c>
      <c r="AO510" t="inlineStr">
        <is>
          <t>WARREN CITY 4A</t>
        </is>
      </c>
      <c r="AP510" t="inlineStr">
        <is>
          <t>78-P-ADI</t>
        </is>
      </c>
      <c r="AQ510" t="n">
        <v>9</v>
      </c>
      <c r="AR510" t="n">
        <v>64</v>
      </c>
      <c r="AS510" t="n">
        <v>32</v>
      </c>
      <c r="AU510">
        <f>COUNTA($BA$510:$EH$510)</f>
        <v/>
      </c>
      <c r="AV510">
        <f>COUNTIF($BA$510:$EH$510,"D")</f>
        <v/>
      </c>
      <c r="AW510">
        <f>COUNTIF($BA$510:$EH$510,"R")</f>
        <v/>
      </c>
      <c r="AX510">
        <f>IF(BN510="D",1,0)+IF(BO510="D",1,0)+IF(BT510="D",1,0)+IF(BU510="D",1,0)+IF(BW510="D",1,0)+IF(CC510="D",1,0)+IF(CD510="D",1,0)+IF(CE510="D",1,0)+IF(CF510="D",1,0)+IF(CL510="D",1,0)+IF(CM510="D",1,0)+IF(CQ510="D",1,0)+IF(CR510="D",1,0)+IF(CS510="D",1,0)+IF(CW510="D",1,0)+IF(CX510="D",1,0)+IF(DD510="D",1,0)+IF(DE510="D",1,0)+IF(DJ510="D",1,0)+IF(DK510="D",1,0)+IF(DO510="D",1,0)+IF(DP510="D",1,0)+IF(DQ510="D",1,0)+IF(DW510="D",1,0)+IF(DZ510="D",1,0)+IF(EH510="D",1,0)</f>
        <v/>
      </c>
      <c r="AY510">
        <f>IF(DJ510&lt;&gt;"",1,0)+IF(DK510&lt;&gt;"",1,0)+IF(DM510&lt;&gt;"",1,0)+IF(DO510&lt;&gt;"",1,0)+IF(DP510&lt;&gt;"",1,0)+IF(DQ510&lt;&gt;"",1,0)+IF(DS510&lt;&gt;"",1,0)+IF(DT510&lt;&gt;"",1,0)+IF(DV510&lt;&gt;"",1,0)+IF(DW510&lt;&gt;"",1,0)+IF(DX510&lt;&gt;"",1,0)+IF(DY510&lt;&gt;"",1,0)+IF(DZ510&lt;&gt;"",1,0)+IF(EB510&lt;&gt;"",1,0)+IF(EC510&lt;&gt;"",1,0)+IF(ED510&lt;&gt;"",1,0)+IF(EG510&lt;&gt;"",1,0)+IF(EH510&lt;&gt;"",1,0)</f>
        <v/>
      </c>
      <c r="AZ510">
        <f>IF(EH510&lt;&gt;"",1,0)</f>
        <v/>
      </c>
      <c r="BB510" t="inlineStr">
        <is>
          <t>WARREN-WARD 4</t>
        </is>
      </c>
      <c r="CA510" t="inlineStr">
        <is>
          <t>X</t>
        </is>
      </c>
      <c r="CG510" t="inlineStr">
        <is>
          <t>X</t>
        </is>
      </c>
      <c r="CU510" t="inlineStr">
        <is>
          <t>D</t>
        </is>
      </c>
      <c r="CZ510" t="inlineStr">
        <is>
          <t>D</t>
        </is>
      </c>
      <c r="DC510" t="inlineStr">
        <is>
          <t>X</t>
        </is>
      </c>
      <c r="DI510" t="inlineStr">
        <is>
          <t>X</t>
        </is>
      </c>
      <c r="DN510" t="inlineStr">
        <is>
          <t>X</t>
        </is>
      </c>
      <c r="DX510" t="inlineStr">
        <is>
          <t>X</t>
        </is>
      </c>
      <c r="EF510" t="inlineStr">
        <is>
          <t>X</t>
        </is>
      </c>
    </row>
    <row r="511">
      <c r="A511" t="inlineStr">
        <is>
          <t>OH0022387342</t>
        </is>
      </c>
      <c r="B511" t="n">
        <v>78</v>
      </c>
      <c r="C511" t="n">
        <v>396068</v>
      </c>
      <c r="D511" t="inlineStr">
        <is>
          <t>KRAFT</t>
        </is>
      </c>
      <c r="E511" t="inlineStr">
        <is>
          <t>NICOLE</t>
        </is>
      </c>
      <c r="F511">
        <f>CONCATENATE(D511," ",LEFT(H511,4),"T=",AU511,"D=",AV511,"R=",AW511,"M=",AX511,"L=",AY511,"B=",AZ511)</f>
        <v/>
      </c>
      <c r="G511" t="inlineStr">
        <is>
          <t>L</t>
        </is>
      </c>
      <c r="I511" t="inlineStr">
        <is>
          <t>1971-11-04</t>
        </is>
      </c>
      <c r="J511" t="inlineStr">
        <is>
          <t>2013-04-08</t>
        </is>
      </c>
      <c r="K511" t="inlineStr">
        <is>
          <t>ACTIVE</t>
        </is>
      </c>
      <c r="M511" t="inlineStr">
        <is>
          <t>1240 SEVERN CT SE</t>
        </is>
      </c>
      <c r="N511">
        <f>RIGHT(M511,LEN(M511)-FIND(" ",M511))</f>
        <v/>
      </c>
      <c r="P511" t="inlineStr">
        <is>
          <t>WARREN</t>
        </is>
      </c>
      <c r="Q511" t="inlineStr">
        <is>
          <t>OH</t>
        </is>
      </c>
      <c r="R511" t="n">
        <v>44483</v>
      </c>
      <c r="AD511" t="inlineStr">
        <is>
          <t>TRUMBULL CAREER &amp; TECH CENTER</t>
        </is>
      </c>
      <c r="AE511" t="inlineStr">
        <is>
          <t>WARREN CITY</t>
        </is>
      </c>
      <c r="AF511" t="inlineStr">
        <is>
          <t>WARREN CITY SD</t>
        </is>
      </c>
      <c r="AH511" t="n">
        <v>14</v>
      </c>
      <c r="AI511" t="n">
        <v>11</v>
      </c>
      <c r="AN511" t="inlineStr">
        <is>
          <t>WARREN</t>
        </is>
      </c>
      <c r="AO511" t="inlineStr">
        <is>
          <t>WARREN CITY 4A</t>
        </is>
      </c>
      <c r="AP511" t="inlineStr">
        <is>
          <t>78-P-ADI</t>
        </is>
      </c>
      <c r="AQ511" t="n">
        <v>9</v>
      </c>
      <c r="AR511" t="n">
        <v>64</v>
      </c>
      <c r="AS511" t="n">
        <v>32</v>
      </c>
      <c r="AU511">
        <f>COUNTA($BA$511:$EH$511)</f>
        <v/>
      </c>
      <c r="AV511">
        <f>COUNTIF($BA$511:$EH$511,"D")</f>
        <v/>
      </c>
      <c r="AW511">
        <f>COUNTIF($BA$511:$EH$511,"R")</f>
        <v/>
      </c>
      <c r="AX511">
        <f>IF(BN511="D",1,0)+IF(BO511="D",1,0)+IF(BT511="D",1,0)+IF(BU511="D",1,0)+IF(BW511="D",1,0)+IF(CC511="D",1,0)+IF(CD511="D",1,0)+IF(CE511="D",1,0)+IF(CF511="D",1,0)+IF(CL511="D",1,0)+IF(CM511="D",1,0)+IF(CQ511="D",1,0)+IF(CR511="D",1,0)+IF(CS511="D",1,0)+IF(CW511="D",1,0)+IF(CX511="D",1,0)+IF(DD511="D",1,0)+IF(DE511="D",1,0)+IF(DJ511="D",1,0)+IF(DK511="D",1,0)+IF(DO511="D",1,0)+IF(DP511="D",1,0)+IF(DQ511="D",1,0)+IF(DW511="D",1,0)+IF(DZ511="D",1,0)+IF(EH511="D",1,0)</f>
        <v/>
      </c>
      <c r="AY511">
        <f>IF(DJ511&lt;&gt;"",1,0)+IF(DK511&lt;&gt;"",1,0)+IF(DM511&lt;&gt;"",1,0)+IF(DO511&lt;&gt;"",1,0)+IF(DP511&lt;&gt;"",1,0)+IF(DQ511&lt;&gt;"",1,0)+IF(DS511&lt;&gt;"",1,0)+IF(DT511&lt;&gt;"",1,0)+IF(DV511&lt;&gt;"",1,0)+IF(DW511&lt;&gt;"",1,0)+IF(DX511&lt;&gt;"",1,0)+IF(DY511&lt;&gt;"",1,0)+IF(DZ511&lt;&gt;"",1,0)+IF(EB511&lt;&gt;"",1,0)+IF(EC511&lt;&gt;"",1,0)+IF(ED511&lt;&gt;"",1,0)+IF(EG511&lt;&gt;"",1,0)+IF(EH511&lt;&gt;"",1,0)</f>
        <v/>
      </c>
      <c r="AZ511">
        <f>IF(EH511&lt;&gt;"",1,0)</f>
        <v/>
      </c>
      <c r="BB511" t="inlineStr">
        <is>
          <t>WARREN-WARD 4</t>
        </is>
      </c>
      <c r="BL511" t="inlineStr">
        <is>
          <t>X</t>
        </is>
      </c>
      <c r="BS511" t="inlineStr">
        <is>
          <t>X</t>
        </is>
      </c>
      <c r="CA511" t="inlineStr">
        <is>
          <t>X</t>
        </is>
      </c>
      <c r="CT511" t="inlineStr">
        <is>
          <t>X</t>
        </is>
      </c>
      <c r="CV511" t="inlineStr">
        <is>
          <t>X</t>
        </is>
      </c>
      <c r="CW511" t="inlineStr">
        <is>
          <t>D</t>
        </is>
      </c>
      <c r="CY511" t="inlineStr">
        <is>
          <t>X</t>
        </is>
      </c>
      <c r="CZ511" t="inlineStr">
        <is>
          <t>X</t>
        </is>
      </c>
      <c r="DC511" t="inlineStr">
        <is>
          <t>X</t>
        </is>
      </c>
      <c r="DN511" t="inlineStr">
        <is>
          <t>X</t>
        </is>
      </c>
      <c r="EA511" t="inlineStr">
        <is>
          <t>X</t>
        </is>
      </c>
      <c r="EF511" t="inlineStr">
        <is>
          <t>X</t>
        </is>
      </c>
    </row>
    <row r="512">
      <c r="A512" t="inlineStr">
        <is>
          <t>OH0025853911</t>
        </is>
      </c>
      <c r="B512" t="n">
        <v>78</v>
      </c>
      <c r="C512" t="n">
        <v>451616</v>
      </c>
      <c r="D512" t="inlineStr">
        <is>
          <t>WORKMAN</t>
        </is>
      </c>
      <c r="E512" t="inlineStr">
        <is>
          <t>GABRIELLE</t>
        </is>
      </c>
      <c r="F512">
        <f>CONCATENATE(D512," ",LEFT(H512,4),"T=",AU512,"D=",AV512,"R=",AW512,"M=",AX512,"L=",AY512,"B=",AZ512)</f>
        <v/>
      </c>
      <c r="G512" t="inlineStr">
        <is>
          <t>PAIGE</t>
        </is>
      </c>
      <c r="I512" t="inlineStr">
        <is>
          <t>1998-12-03</t>
        </is>
      </c>
      <c r="J512" t="inlineStr">
        <is>
          <t>2025-01-04</t>
        </is>
      </c>
      <c r="K512" t="inlineStr">
        <is>
          <t>ACTIVE</t>
        </is>
      </c>
      <c r="M512" t="inlineStr">
        <is>
          <t>741 KENILWORTH AVE SE</t>
        </is>
      </c>
      <c r="N512">
        <f>RIGHT(M512,LEN(M512)-FIND(" ",M512))</f>
        <v/>
      </c>
      <c r="P512" t="inlineStr">
        <is>
          <t>WARREN</t>
        </is>
      </c>
      <c r="Q512" t="inlineStr">
        <is>
          <t>OH</t>
        </is>
      </c>
      <c r="R512" t="n">
        <v>44484</v>
      </c>
      <c r="AD512" t="inlineStr">
        <is>
          <t>TRUMBULL CAREER &amp; TECH CENTER</t>
        </is>
      </c>
      <c r="AE512" t="inlineStr">
        <is>
          <t>WARREN CITY</t>
        </is>
      </c>
      <c r="AF512" t="inlineStr">
        <is>
          <t>WARREN CITY SD</t>
        </is>
      </c>
      <c r="AH512" t="n">
        <v>14</v>
      </c>
      <c r="AI512" t="n">
        <v>11</v>
      </c>
      <c r="AN512" t="inlineStr">
        <is>
          <t>WARREN</t>
        </is>
      </c>
      <c r="AO512" t="inlineStr">
        <is>
          <t>WARREN CITY 4A</t>
        </is>
      </c>
      <c r="AP512" t="inlineStr">
        <is>
          <t>78-P-ADI</t>
        </is>
      </c>
      <c r="AQ512" t="n">
        <v>9</v>
      </c>
      <c r="AR512" t="n">
        <v>64</v>
      </c>
      <c r="AS512" t="n">
        <v>32</v>
      </c>
      <c r="AU512">
        <f>COUNTA($BA$512:$EH$512)</f>
        <v/>
      </c>
      <c r="AV512">
        <f>COUNTIF($BA$512:$EH$512,"D")</f>
        <v/>
      </c>
      <c r="AW512">
        <f>COUNTIF($BA$512:$EH$512,"R")</f>
        <v/>
      </c>
      <c r="AX512">
        <f>IF(BN512="D",1,0)+IF(BO512="D",1,0)+IF(BT512="D",1,0)+IF(BU512="D",1,0)+IF(BW512="D",1,0)+IF(CC512="D",1,0)+IF(CD512="D",1,0)+IF(CE512="D",1,0)+IF(CF512="D",1,0)+IF(CL512="D",1,0)+IF(CM512="D",1,0)+IF(CQ512="D",1,0)+IF(CR512="D",1,0)+IF(CS512="D",1,0)+IF(CW512="D",1,0)+IF(CX512="D",1,0)+IF(DD512="D",1,0)+IF(DE512="D",1,0)+IF(DJ512="D",1,0)+IF(DK512="D",1,0)+IF(DO512="D",1,0)+IF(DP512="D",1,0)+IF(DQ512="D",1,0)+IF(DW512="D",1,0)+IF(DZ512="D",1,0)+IF(EH512="D",1,0)</f>
        <v/>
      </c>
      <c r="AY512">
        <f>IF(DJ512&lt;&gt;"",1,0)+IF(DK512&lt;&gt;"",1,0)+IF(DM512&lt;&gt;"",1,0)+IF(DO512&lt;&gt;"",1,0)+IF(DP512&lt;&gt;"",1,0)+IF(DQ512&lt;&gt;"",1,0)+IF(DS512&lt;&gt;"",1,0)+IF(DT512&lt;&gt;"",1,0)+IF(DV512&lt;&gt;"",1,0)+IF(DW512&lt;&gt;"",1,0)+IF(DX512&lt;&gt;"",1,0)+IF(DY512&lt;&gt;"",1,0)+IF(DZ512&lt;&gt;"",1,0)+IF(EB512&lt;&gt;"",1,0)+IF(EC512&lt;&gt;"",1,0)+IF(ED512&lt;&gt;"",1,0)+IF(EG512&lt;&gt;"",1,0)+IF(EH512&lt;&gt;"",1,0)</f>
        <v/>
      </c>
      <c r="AZ512">
        <f>IF(EH512&lt;&gt;"",1,0)</f>
        <v/>
      </c>
      <c r="BB512" t="inlineStr">
        <is>
          <t>WARREN-WARD 4</t>
        </is>
      </c>
      <c r="DN512" t="inlineStr">
        <is>
          <t>X</t>
        </is>
      </c>
      <c r="EF512" t="inlineStr">
        <is>
          <t>X</t>
        </is>
      </c>
    </row>
    <row r="513">
      <c r="A513" t="inlineStr">
        <is>
          <t>OH0019538177</t>
        </is>
      </c>
      <c r="B513" t="n">
        <v>78</v>
      </c>
      <c r="C513" t="n">
        <v>356248</v>
      </c>
      <c r="D513" t="inlineStr">
        <is>
          <t>WELKER</t>
        </is>
      </c>
      <c r="E513" t="inlineStr">
        <is>
          <t>MICHAEL</t>
        </is>
      </c>
      <c r="F513">
        <f>CONCATENATE(D513," ",LEFT(H513,4),"T=",AU513,"D=",AV513,"R=",AW513,"M=",AX513,"L=",AY513,"B=",AZ513)</f>
        <v/>
      </c>
      <c r="G513" t="inlineStr">
        <is>
          <t>C</t>
        </is>
      </c>
      <c r="I513" t="inlineStr">
        <is>
          <t>1987-01-31</t>
        </is>
      </c>
      <c r="J513" t="inlineStr">
        <is>
          <t>2014-01-28</t>
        </is>
      </c>
      <c r="K513" t="inlineStr">
        <is>
          <t>ACTIVE</t>
        </is>
      </c>
      <c r="L513" t="inlineStr">
        <is>
          <t>D</t>
        </is>
      </c>
      <c r="M513" t="inlineStr">
        <is>
          <t>771 BONNIE BRAE AVE SE</t>
        </is>
      </c>
      <c r="N513">
        <f>RIGHT(M513,LEN(M513)-FIND(" ",M513))</f>
        <v/>
      </c>
      <c r="P513" t="inlineStr">
        <is>
          <t>WARREN</t>
        </is>
      </c>
      <c r="Q513" t="inlineStr">
        <is>
          <t>OH</t>
        </is>
      </c>
      <c r="R513" t="n">
        <v>44484</v>
      </c>
      <c r="AD513" t="inlineStr">
        <is>
          <t>TRUMBULL CAREER &amp; TECH CENTER</t>
        </is>
      </c>
      <c r="AE513" t="inlineStr">
        <is>
          <t>WARREN CITY</t>
        </is>
      </c>
      <c r="AF513" t="inlineStr">
        <is>
          <t>WARREN CITY SD</t>
        </is>
      </c>
      <c r="AH513" t="n">
        <v>14</v>
      </c>
      <c r="AI513" t="n">
        <v>11</v>
      </c>
      <c r="AN513" t="inlineStr">
        <is>
          <t>WARREN</t>
        </is>
      </c>
      <c r="AO513" t="inlineStr">
        <is>
          <t>WARREN CITY 4A</t>
        </is>
      </c>
      <c r="AP513" t="inlineStr">
        <is>
          <t>78-P-ADI</t>
        </is>
      </c>
      <c r="AQ513" t="n">
        <v>9</v>
      </c>
      <c r="AR513" t="n">
        <v>64</v>
      </c>
      <c r="AS513" t="n">
        <v>32</v>
      </c>
      <c r="AU513">
        <f>COUNTA($BA$513:$EH$513)</f>
        <v/>
      </c>
      <c r="AV513">
        <f>COUNTIF($BA$513:$EH$513,"D")</f>
        <v/>
      </c>
      <c r="AW513">
        <f>COUNTIF($BA$513:$EH$513,"R")</f>
        <v/>
      </c>
      <c r="AX513">
        <f>IF(BN513="D",1,0)+IF(BO513="D",1,0)+IF(BT513="D",1,0)+IF(BU513="D",1,0)+IF(BW513="D",1,0)+IF(CC513="D",1,0)+IF(CD513="D",1,0)+IF(CE513="D",1,0)+IF(CF513="D",1,0)+IF(CL513="D",1,0)+IF(CM513="D",1,0)+IF(CQ513="D",1,0)+IF(CR513="D",1,0)+IF(CS513="D",1,0)+IF(CW513="D",1,0)+IF(CX513="D",1,0)+IF(DD513="D",1,0)+IF(DE513="D",1,0)+IF(DJ513="D",1,0)+IF(DK513="D",1,0)+IF(DO513="D",1,0)+IF(DP513="D",1,0)+IF(DQ513="D",1,0)+IF(DW513="D",1,0)+IF(DZ513="D",1,0)+IF(EH513="D",1,0)</f>
        <v/>
      </c>
      <c r="AY513">
        <f>IF(DJ513&lt;&gt;"",1,0)+IF(DK513&lt;&gt;"",1,0)+IF(DM513&lt;&gt;"",1,0)+IF(DO513&lt;&gt;"",1,0)+IF(DP513&lt;&gt;"",1,0)+IF(DQ513&lt;&gt;"",1,0)+IF(DS513&lt;&gt;"",1,0)+IF(DT513&lt;&gt;"",1,0)+IF(DV513&lt;&gt;"",1,0)+IF(DW513&lt;&gt;"",1,0)+IF(DX513&lt;&gt;"",1,0)+IF(DY513&lt;&gt;"",1,0)+IF(DZ513&lt;&gt;"",1,0)+IF(EB513&lt;&gt;"",1,0)+IF(EC513&lt;&gt;"",1,0)+IF(ED513&lt;&gt;"",1,0)+IF(EG513&lt;&gt;"",1,0)+IF(EH513&lt;&gt;"",1,0)</f>
        <v/>
      </c>
      <c r="AZ513">
        <f>IF(EH513&lt;&gt;"",1,0)</f>
        <v/>
      </c>
      <c r="BB513" t="inlineStr">
        <is>
          <t>WARREN-WARD 4</t>
        </is>
      </c>
      <c r="CG513" t="inlineStr">
        <is>
          <t>X</t>
        </is>
      </c>
      <c r="CP513" t="inlineStr">
        <is>
          <t>X</t>
        </is>
      </c>
      <c r="CY513" t="inlineStr">
        <is>
          <t>X</t>
        </is>
      </c>
      <c r="DS513" t="inlineStr">
        <is>
          <t>D</t>
        </is>
      </c>
    </row>
    <row r="514">
      <c r="A514" t="inlineStr">
        <is>
          <t>OH0015772837</t>
        </is>
      </c>
      <c r="B514" t="n">
        <v>78</v>
      </c>
      <c r="C514" t="n">
        <v>290193</v>
      </c>
      <c r="D514" t="inlineStr">
        <is>
          <t>FANT</t>
        </is>
      </c>
      <c r="E514" t="inlineStr">
        <is>
          <t>BRIAN</t>
        </is>
      </c>
      <c r="F514">
        <f>CONCATENATE(D514," ",LEFT(H514,4),"T=",AU514,"D=",AV514,"R=",AW514,"M=",AX514,"L=",AY514,"B=",AZ514)</f>
        <v/>
      </c>
      <c r="I514" t="inlineStr">
        <is>
          <t>1971-09-01</t>
        </is>
      </c>
      <c r="J514" t="inlineStr">
        <is>
          <t>2008-12-01</t>
        </is>
      </c>
      <c r="K514" t="inlineStr">
        <is>
          <t>ACTIVE</t>
        </is>
      </c>
      <c r="M514" t="inlineStr">
        <is>
          <t>366 IDDINGS AVE SE</t>
        </is>
      </c>
      <c r="N514">
        <f>RIGHT(M514,LEN(M514)-FIND(" ",M514))</f>
        <v/>
      </c>
      <c r="P514" t="inlineStr">
        <is>
          <t>WARREN</t>
        </is>
      </c>
      <c r="Q514" t="inlineStr">
        <is>
          <t>OH</t>
        </is>
      </c>
      <c r="R514" t="n">
        <v>44483</v>
      </c>
      <c r="AD514" t="inlineStr">
        <is>
          <t>TRUMBULL CAREER &amp; TECH CENTER</t>
        </is>
      </c>
      <c r="AE514" t="inlineStr">
        <is>
          <t>WARREN CITY</t>
        </is>
      </c>
      <c r="AF514" t="inlineStr">
        <is>
          <t>WARREN CITY SD</t>
        </is>
      </c>
      <c r="AH514" t="n">
        <v>14</v>
      </c>
      <c r="AI514" t="n">
        <v>11</v>
      </c>
      <c r="AN514" t="inlineStr">
        <is>
          <t>WARREN</t>
        </is>
      </c>
      <c r="AO514" t="inlineStr">
        <is>
          <t>WARREN CITY 4A</t>
        </is>
      </c>
      <c r="AP514" t="inlineStr">
        <is>
          <t>78-P-ADI</t>
        </is>
      </c>
      <c r="AQ514" t="n">
        <v>9</v>
      </c>
      <c r="AR514" t="n">
        <v>64</v>
      </c>
      <c r="AS514" t="n">
        <v>32</v>
      </c>
      <c r="AU514">
        <f>COUNTA($BA$514:$EH$514)</f>
        <v/>
      </c>
      <c r="AV514">
        <f>COUNTIF($BA$514:$EH$514,"D")</f>
        <v/>
      </c>
      <c r="AW514">
        <f>COUNTIF($BA$514:$EH$514,"R")</f>
        <v/>
      </c>
      <c r="AX514">
        <f>IF(BN514="D",1,0)+IF(BO514="D",1,0)+IF(BT514="D",1,0)+IF(BU514="D",1,0)+IF(BW514="D",1,0)+IF(CC514="D",1,0)+IF(CD514="D",1,0)+IF(CE514="D",1,0)+IF(CF514="D",1,0)+IF(CL514="D",1,0)+IF(CM514="D",1,0)+IF(CQ514="D",1,0)+IF(CR514="D",1,0)+IF(CS514="D",1,0)+IF(CW514="D",1,0)+IF(CX514="D",1,0)+IF(DD514="D",1,0)+IF(DE514="D",1,0)+IF(DJ514="D",1,0)+IF(DK514="D",1,0)+IF(DO514="D",1,0)+IF(DP514="D",1,0)+IF(DQ514="D",1,0)+IF(DW514="D",1,0)+IF(DZ514="D",1,0)+IF(EH514="D",1,0)</f>
        <v/>
      </c>
      <c r="AY514">
        <f>IF(DJ514&lt;&gt;"",1,0)+IF(DK514&lt;&gt;"",1,0)+IF(DM514&lt;&gt;"",1,0)+IF(DO514&lt;&gt;"",1,0)+IF(DP514&lt;&gt;"",1,0)+IF(DQ514&lt;&gt;"",1,0)+IF(DS514&lt;&gt;"",1,0)+IF(DT514&lt;&gt;"",1,0)+IF(DV514&lt;&gt;"",1,0)+IF(DW514&lt;&gt;"",1,0)+IF(DX514&lt;&gt;"",1,0)+IF(DY514&lt;&gt;"",1,0)+IF(DZ514&lt;&gt;"",1,0)+IF(EB514&lt;&gt;"",1,0)+IF(EC514&lt;&gt;"",1,0)+IF(ED514&lt;&gt;"",1,0)+IF(EG514&lt;&gt;"",1,0)+IF(EH514&lt;&gt;"",1,0)</f>
        <v/>
      </c>
      <c r="AZ514">
        <f>IF(EH514&lt;&gt;"",1,0)</f>
        <v/>
      </c>
      <c r="BB514" t="inlineStr">
        <is>
          <t>WARREN-WARD 4</t>
        </is>
      </c>
      <c r="BL514" t="inlineStr">
        <is>
          <t>X</t>
        </is>
      </c>
      <c r="CA514" t="inlineStr">
        <is>
          <t>X</t>
        </is>
      </c>
      <c r="CP514" t="inlineStr">
        <is>
          <t>X</t>
        </is>
      </c>
      <c r="DC514" t="inlineStr">
        <is>
          <t>X</t>
        </is>
      </c>
      <c r="EA514" t="inlineStr">
        <is>
          <t>X</t>
        </is>
      </c>
      <c r="EF514" t="inlineStr">
        <is>
          <t>X</t>
        </is>
      </c>
    </row>
    <row r="515">
      <c r="A515" t="inlineStr">
        <is>
          <t>OH0015815734</t>
        </is>
      </c>
      <c r="B515" t="n">
        <v>78</v>
      </c>
      <c r="C515" t="n">
        <v>271930</v>
      </c>
      <c r="D515" t="inlineStr">
        <is>
          <t>KERNS</t>
        </is>
      </c>
      <c r="E515" t="inlineStr">
        <is>
          <t>MATTHEW</t>
        </is>
      </c>
      <c r="F515">
        <f>CONCATENATE(D515," ",LEFT(H515,4),"T=",AU515,"D=",AV515,"R=",AW515,"M=",AX515,"L=",AY515,"B=",AZ515)</f>
        <v/>
      </c>
      <c r="G515" t="inlineStr">
        <is>
          <t>L</t>
        </is>
      </c>
      <c r="I515" t="inlineStr">
        <is>
          <t>1962-08-17</t>
        </is>
      </c>
      <c r="J515" t="inlineStr">
        <is>
          <t>2011-05-03</t>
        </is>
      </c>
      <c r="K515" t="inlineStr">
        <is>
          <t>ACTIVE</t>
        </is>
      </c>
      <c r="L515" t="inlineStr">
        <is>
          <t>D</t>
        </is>
      </c>
      <c r="M515" t="inlineStr">
        <is>
          <t>367 IDDINGS AVE SE</t>
        </is>
      </c>
      <c r="N515">
        <f>RIGHT(M515,LEN(M515)-FIND(" ",M515))</f>
        <v/>
      </c>
      <c r="P515" t="inlineStr">
        <is>
          <t>WARREN</t>
        </is>
      </c>
      <c r="Q515" t="inlineStr">
        <is>
          <t>OH</t>
        </is>
      </c>
      <c r="R515" t="n">
        <v>44483</v>
      </c>
      <c r="AD515" t="inlineStr">
        <is>
          <t>TRUMBULL CAREER &amp; TECH CENTER</t>
        </is>
      </c>
      <c r="AE515" t="inlineStr">
        <is>
          <t>WARREN CITY</t>
        </is>
      </c>
      <c r="AF515" t="inlineStr">
        <is>
          <t>WARREN CITY SD</t>
        </is>
      </c>
      <c r="AH515" t="n">
        <v>14</v>
      </c>
      <c r="AI515" t="n">
        <v>11</v>
      </c>
      <c r="AN515" t="inlineStr">
        <is>
          <t>WARREN</t>
        </is>
      </c>
      <c r="AO515" t="inlineStr">
        <is>
          <t>WARREN CITY 4A</t>
        </is>
      </c>
      <c r="AP515" t="inlineStr">
        <is>
          <t>78-P-ADI</t>
        </is>
      </c>
      <c r="AQ515" t="n">
        <v>9</v>
      </c>
      <c r="AR515" t="n">
        <v>64</v>
      </c>
      <c r="AS515" t="n">
        <v>32</v>
      </c>
      <c r="AU515">
        <f>COUNTA($BA$515:$EH$515)</f>
        <v/>
      </c>
      <c r="AV515">
        <f>COUNTIF($BA$515:$EH$515,"D")</f>
        <v/>
      </c>
      <c r="AW515">
        <f>COUNTIF($BA$515:$EH$515,"R")</f>
        <v/>
      </c>
      <c r="AX515">
        <f>IF(BN515="D",1,0)+IF(BO515="D",1,0)+IF(BT515="D",1,0)+IF(BU515="D",1,0)+IF(BW515="D",1,0)+IF(CC515="D",1,0)+IF(CD515="D",1,0)+IF(CE515="D",1,0)+IF(CF515="D",1,0)+IF(CL515="D",1,0)+IF(CM515="D",1,0)+IF(CQ515="D",1,0)+IF(CR515="D",1,0)+IF(CS515="D",1,0)+IF(CW515="D",1,0)+IF(CX515="D",1,0)+IF(DD515="D",1,0)+IF(DE515="D",1,0)+IF(DJ515="D",1,0)+IF(DK515="D",1,0)+IF(DO515="D",1,0)+IF(DP515="D",1,0)+IF(DQ515="D",1,0)+IF(DW515="D",1,0)+IF(DZ515="D",1,0)+IF(EH515="D",1,0)</f>
        <v/>
      </c>
      <c r="AY515">
        <f>IF(DJ515&lt;&gt;"",1,0)+IF(DK515&lt;&gt;"",1,0)+IF(DM515&lt;&gt;"",1,0)+IF(DO515&lt;&gt;"",1,0)+IF(DP515&lt;&gt;"",1,0)+IF(DQ515&lt;&gt;"",1,0)+IF(DS515&lt;&gt;"",1,0)+IF(DT515&lt;&gt;"",1,0)+IF(DV515&lt;&gt;"",1,0)+IF(DW515&lt;&gt;"",1,0)+IF(DX515&lt;&gt;"",1,0)+IF(DY515&lt;&gt;"",1,0)+IF(DZ515&lt;&gt;"",1,0)+IF(EB515&lt;&gt;"",1,0)+IF(EC515&lt;&gt;"",1,0)+IF(ED515&lt;&gt;"",1,0)+IF(EG515&lt;&gt;"",1,0)+IF(EH515&lt;&gt;"",1,0)</f>
        <v/>
      </c>
      <c r="AZ515">
        <f>IF(EH515&lt;&gt;"",1,0)</f>
        <v/>
      </c>
      <c r="BB515" t="inlineStr">
        <is>
          <t>WARREN-WARD 4</t>
        </is>
      </c>
      <c r="BC515" t="inlineStr">
        <is>
          <t>X</t>
        </is>
      </c>
      <c r="BD515" t="inlineStr">
        <is>
          <t>X</t>
        </is>
      </c>
      <c r="BE515" t="inlineStr">
        <is>
          <t>X</t>
        </is>
      </c>
      <c r="BG515" t="inlineStr">
        <is>
          <t>X</t>
        </is>
      </c>
      <c r="BH515" t="inlineStr">
        <is>
          <t>X</t>
        </is>
      </c>
      <c r="BI515" t="inlineStr">
        <is>
          <t>X</t>
        </is>
      </c>
      <c r="BJ515" t="inlineStr">
        <is>
          <t>X</t>
        </is>
      </c>
      <c r="BL515" t="inlineStr">
        <is>
          <t>X</t>
        </is>
      </c>
      <c r="BP515" t="inlineStr">
        <is>
          <t>X</t>
        </is>
      </c>
      <c r="BS515" t="inlineStr">
        <is>
          <t>X</t>
        </is>
      </c>
      <c r="BV515" t="inlineStr">
        <is>
          <t>X</t>
        </is>
      </c>
      <c r="BY515" t="inlineStr">
        <is>
          <t>D</t>
        </is>
      </c>
      <c r="CA515" t="inlineStr">
        <is>
          <t>X</t>
        </is>
      </c>
      <c r="CG515" t="inlineStr">
        <is>
          <t>X</t>
        </is>
      </c>
      <c r="CL515" t="inlineStr">
        <is>
          <t>D</t>
        </is>
      </c>
      <c r="CN515" t="inlineStr">
        <is>
          <t>X</t>
        </is>
      </c>
      <c r="CP515" t="inlineStr">
        <is>
          <t>X</t>
        </is>
      </c>
      <c r="CQ515" t="inlineStr">
        <is>
          <t>D</t>
        </is>
      </c>
      <c r="CU515" t="inlineStr">
        <is>
          <t>D</t>
        </is>
      </c>
      <c r="CV515" t="inlineStr">
        <is>
          <t>X</t>
        </is>
      </c>
      <c r="CY515" t="inlineStr">
        <is>
          <t>X</t>
        </is>
      </c>
      <c r="CZ515" t="inlineStr">
        <is>
          <t>D</t>
        </is>
      </c>
      <c r="DC515" t="inlineStr">
        <is>
          <t>X</t>
        </is>
      </c>
      <c r="DI515" t="inlineStr">
        <is>
          <t>X</t>
        </is>
      </c>
      <c r="DN515" t="inlineStr">
        <is>
          <t>X</t>
        </is>
      </c>
      <c r="DU515" t="inlineStr">
        <is>
          <t>X</t>
        </is>
      </c>
      <c r="DW515" t="inlineStr">
        <is>
          <t>D</t>
        </is>
      </c>
      <c r="DX515" t="inlineStr">
        <is>
          <t>X</t>
        </is>
      </c>
      <c r="EA515" t="inlineStr">
        <is>
          <t>X</t>
        </is>
      </c>
      <c r="ED515" t="inlineStr">
        <is>
          <t>D</t>
        </is>
      </c>
      <c r="EF515" t="inlineStr">
        <is>
          <t>X</t>
        </is>
      </c>
      <c r="EH515" t="inlineStr">
        <is>
          <t>D</t>
        </is>
      </c>
    </row>
    <row r="516">
      <c r="A516" t="inlineStr">
        <is>
          <t>OH0015698685</t>
        </is>
      </c>
      <c r="B516" t="n">
        <v>78</v>
      </c>
      <c r="C516" t="n">
        <v>296729</v>
      </c>
      <c r="D516" t="inlineStr">
        <is>
          <t>POOLE</t>
        </is>
      </c>
      <c r="E516" t="inlineStr">
        <is>
          <t>GERALD</t>
        </is>
      </c>
      <c r="F516">
        <f>CONCATENATE(D516," ",LEFT(H516,4),"T=",AU516,"D=",AV516,"R=",AW516,"M=",AX516,"L=",AY516,"B=",AZ516)</f>
        <v/>
      </c>
      <c r="G516" t="inlineStr">
        <is>
          <t>J</t>
        </is>
      </c>
      <c r="H516" t="inlineStr">
        <is>
          <t>JR</t>
        </is>
      </c>
      <c r="I516" t="inlineStr">
        <is>
          <t>1979-08-26</t>
        </is>
      </c>
      <c r="J516" t="inlineStr">
        <is>
          <t>2020-09-15</t>
        </is>
      </c>
      <c r="K516" t="inlineStr">
        <is>
          <t>ACTIVE</t>
        </is>
      </c>
      <c r="M516" t="inlineStr">
        <is>
          <t>1306 SOUTH ST SE</t>
        </is>
      </c>
      <c r="N516">
        <f>RIGHT(M516,LEN(M516)-FIND(" ",M516))</f>
        <v/>
      </c>
      <c r="P516" t="inlineStr">
        <is>
          <t>WARREN</t>
        </is>
      </c>
      <c r="Q516" t="inlineStr">
        <is>
          <t>OH</t>
        </is>
      </c>
      <c r="R516" t="n">
        <v>44483</v>
      </c>
      <c r="V516" t="inlineStr">
        <is>
          <t>PO BOX 2302</t>
        </is>
      </c>
      <c r="X516" t="inlineStr">
        <is>
          <t>WARREN</t>
        </is>
      </c>
      <c r="Y516" t="inlineStr">
        <is>
          <t>OH</t>
        </is>
      </c>
      <c r="Z516" t="n">
        <v>44484</v>
      </c>
      <c r="AD516" t="inlineStr">
        <is>
          <t>TRUMBULL CAREER &amp; TECH CENTER</t>
        </is>
      </c>
      <c r="AE516" t="inlineStr">
        <is>
          <t>WARREN CITY</t>
        </is>
      </c>
      <c r="AF516" t="inlineStr">
        <is>
          <t>WARREN CITY SD</t>
        </is>
      </c>
      <c r="AH516" t="n">
        <v>14</v>
      </c>
      <c r="AI516" t="n">
        <v>11</v>
      </c>
      <c r="AN516" t="inlineStr">
        <is>
          <t>WARREN</t>
        </is>
      </c>
      <c r="AO516" t="inlineStr">
        <is>
          <t>WARREN CITY 4A</t>
        </is>
      </c>
      <c r="AP516" t="inlineStr">
        <is>
          <t>78-P-ADI</t>
        </is>
      </c>
      <c r="AQ516" t="n">
        <v>9</v>
      </c>
      <c r="AR516" t="n">
        <v>64</v>
      </c>
      <c r="AS516" t="n">
        <v>32</v>
      </c>
      <c r="AU516">
        <f>COUNTA($BA$516:$EH$516)</f>
        <v/>
      </c>
      <c r="AV516">
        <f>COUNTIF($BA$516:$EH$516,"D")</f>
        <v/>
      </c>
      <c r="AW516">
        <f>COUNTIF($BA$516:$EH$516,"R")</f>
        <v/>
      </c>
      <c r="AX516">
        <f>IF(BN516="D",1,0)+IF(BO516="D",1,0)+IF(BT516="D",1,0)+IF(BU516="D",1,0)+IF(BW516="D",1,0)+IF(CC516="D",1,0)+IF(CD516="D",1,0)+IF(CE516="D",1,0)+IF(CF516="D",1,0)+IF(CL516="D",1,0)+IF(CM516="D",1,0)+IF(CQ516="D",1,0)+IF(CR516="D",1,0)+IF(CS516="D",1,0)+IF(CW516="D",1,0)+IF(CX516="D",1,0)+IF(DD516="D",1,0)+IF(DE516="D",1,0)+IF(DJ516="D",1,0)+IF(DK516="D",1,0)+IF(DO516="D",1,0)+IF(DP516="D",1,0)+IF(DQ516="D",1,0)+IF(DW516="D",1,0)+IF(DZ516="D",1,0)+IF(EH516="D",1,0)</f>
        <v/>
      </c>
      <c r="AY516">
        <f>IF(DJ516&lt;&gt;"",1,0)+IF(DK516&lt;&gt;"",1,0)+IF(DM516&lt;&gt;"",1,0)+IF(DO516&lt;&gt;"",1,0)+IF(DP516&lt;&gt;"",1,0)+IF(DQ516&lt;&gt;"",1,0)+IF(DS516&lt;&gt;"",1,0)+IF(DT516&lt;&gt;"",1,0)+IF(DV516&lt;&gt;"",1,0)+IF(DW516&lt;&gt;"",1,0)+IF(DX516&lt;&gt;"",1,0)+IF(DY516&lt;&gt;"",1,0)+IF(DZ516&lt;&gt;"",1,0)+IF(EB516&lt;&gt;"",1,0)+IF(EC516&lt;&gt;"",1,0)+IF(ED516&lt;&gt;"",1,0)+IF(EG516&lt;&gt;"",1,0)+IF(EH516&lt;&gt;"",1,0)</f>
        <v/>
      </c>
      <c r="AZ516">
        <f>IF(EH516&lt;&gt;"",1,0)</f>
        <v/>
      </c>
      <c r="BB516" t="inlineStr">
        <is>
          <t>WARREN-WARD 4</t>
        </is>
      </c>
      <c r="BL516" t="inlineStr">
        <is>
          <t>X</t>
        </is>
      </c>
      <c r="CA516" t="inlineStr">
        <is>
          <t>X</t>
        </is>
      </c>
      <c r="DC516" t="inlineStr">
        <is>
          <t>X</t>
        </is>
      </c>
      <c r="DI516" t="inlineStr">
        <is>
          <t>X</t>
        </is>
      </c>
      <c r="DN516" t="inlineStr">
        <is>
          <t>X</t>
        </is>
      </c>
      <c r="DU516" t="inlineStr">
        <is>
          <t>X</t>
        </is>
      </c>
    </row>
    <row r="517">
      <c r="A517" t="inlineStr">
        <is>
          <t>OH0027921120</t>
        </is>
      </c>
      <c r="B517" t="n">
        <v>78</v>
      </c>
      <c r="C517" t="n">
        <v>495442</v>
      </c>
      <c r="D517" t="inlineStr">
        <is>
          <t>KATONA</t>
        </is>
      </c>
      <c r="E517" t="inlineStr">
        <is>
          <t>MICHAEL</t>
        </is>
      </c>
      <c r="F517">
        <f>CONCATENATE(D517," ",LEFT(H517,4),"T=",AU517,"D=",AV517,"R=",AW517,"M=",AX517,"L=",AY517,"B=",AZ517)</f>
        <v/>
      </c>
      <c r="G517" t="inlineStr">
        <is>
          <t>PAUL</t>
        </is>
      </c>
      <c r="H517" t="inlineStr">
        <is>
          <t>JR</t>
        </is>
      </c>
      <c r="I517" t="inlineStr">
        <is>
          <t>2006-06-08</t>
        </is>
      </c>
      <c r="J517" t="inlineStr">
        <is>
          <t>2025-03-19</t>
        </is>
      </c>
      <c r="K517" t="inlineStr">
        <is>
          <t>ACTIVE</t>
        </is>
      </c>
      <c r="M517" t="inlineStr">
        <is>
          <t>703 HOMEWOOD AVE SE</t>
        </is>
      </c>
      <c r="N517">
        <f>RIGHT(M517,LEN(M517)-FIND(" ",M517))</f>
        <v/>
      </c>
      <c r="P517" t="inlineStr">
        <is>
          <t>WARREN</t>
        </is>
      </c>
      <c r="Q517" t="inlineStr">
        <is>
          <t>OH</t>
        </is>
      </c>
      <c r="R517" t="n">
        <v>44484</v>
      </c>
      <c r="AD517" t="inlineStr">
        <is>
          <t>TRUMBULL CAREER &amp; TECH CENTER</t>
        </is>
      </c>
      <c r="AE517" t="inlineStr">
        <is>
          <t>WARREN CITY</t>
        </is>
      </c>
      <c r="AF517" t="inlineStr">
        <is>
          <t>WARREN CITY SD</t>
        </is>
      </c>
      <c r="AH517" t="n">
        <v>14</v>
      </c>
      <c r="AI517" t="n">
        <v>11</v>
      </c>
      <c r="AN517" t="inlineStr">
        <is>
          <t>WARREN</t>
        </is>
      </c>
      <c r="AO517" t="inlineStr">
        <is>
          <t>WARREN CITY 4A</t>
        </is>
      </c>
      <c r="AP517" t="inlineStr">
        <is>
          <t>78-P-ADI</t>
        </is>
      </c>
      <c r="AQ517" t="n">
        <v>9</v>
      </c>
      <c r="AR517" t="n">
        <v>64</v>
      </c>
      <c r="AS517" t="n">
        <v>32</v>
      </c>
      <c r="AU517">
        <f>COUNTA($BA$517:$EH$517)</f>
        <v/>
      </c>
      <c r="AV517">
        <f>COUNTIF($BA$517:$EH$517,"D")</f>
        <v/>
      </c>
      <c r="AW517">
        <f>COUNTIF($BA$517:$EH$517,"R")</f>
        <v/>
      </c>
      <c r="AX517">
        <f>IF(BN517="D",1,0)+IF(BO517="D",1,0)+IF(BT517="D",1,0)+IF(BU517="D",1,0)+IF(BW517="D",1,0)+IF(CC517="D",1,0)+IF(CD517="D",1,0)+IF(CE517="D",1,0)+IF(CF517="D",1,0)+IF(CL517="D",1,0)+IF(CM517="D",1,0)+IF(CQ517="D",1,0)+IF(CR517="D",1,0)+IF(CS517="D",1,0)+IF(CW517="D",1,0)+IF(CX517="D",1,0)+IF(DD517="D",1,0)+IF(DE517="D",1,0)+IF(DJ517="D",1,0)+IF(DK517="D",1,0)+IF(DO517="D",1,0)+IF(DP517="D",1,0)+IF(DQ517="D",1,0)+IF(DW517="D",1,0)+IF(DZ517="D",1,0)+IF(EH517="D",1,0)</f>
        <v/>
      </c>
      <c r="AY517">
        <f>IF(DJ517&lt;&gt;"",1,0)+IF(DK517&lt;&gt;"",1,0)+IF(DM517&lt;&gt;"",1,0)+IF(DO517&lt;&gt;"",1,0)+IF(DP517&lt;&gt;"",1,0)+IF(DQ517&lt;&gt;"",1,0)+IF(DS517&lt;&gt;"",1,0)+IF(DT517&lt;&gt;"",1,0)+IF(DV517&lt;&gt;"",1,0)+IF(DW517&lt;&gt;"",1,0)+IF(DX517&lt;&gt;"",1,0)+IF(DY517&lt;&gt;"",1,0)+IF(DZ517&lt;&gt;"",1,0)+IF(EB517&lt;&gt;"",1,0)+IF(EC517&lt;&gt;"",1,0)+IF(ED517&lt;&gt;"",1,0)+IF(EG517&lt;&gt;"",1,0)+IF(EH517&lt;&gt;"",1,0)</f>
        <v/>
      </c>
      <c r="AZ517">
        <f>IF(EH517&lt;&gt;"",1,0)</f>
        <v/>
      </c>
      <c r="BB517" t="inlineStr">
        <is>
          <t>WARREN-WARD 4</t>
        </is>
      </c>
    </row>
    <row r="518">
      <c r="A518" t="inlineStr">
        <is>
          <t>OH0025458932</t>
        </is>
      </c>
      <c r="B518" t="n">
        <v>78</v>
      </c>
      <c r="C518" t="n">
        <v>445026</v>
      </c>
      <c r="D518" t="inlineStr">
        <is>
          <t>THOMPSON</t>
        </is>
      </c>
      <c r="E518" t="inlineStr">
        <is>
          <t>CODY</t>
        </is>
      </c>
      <c r="F518">
        <f>CONCATENATE(D518," ",LEFT(H518,4),"T=",AU518,"D=",AV518,"R=",AW518,"M=",AX518,"L=",AY518,"B=",AZ518)</f>
        <v/>
      </c>
      <c r="G518" t="inlineStr">
        <is>
          <t>A</t>
        </is>
      </c>
      <c r="I518" t="inlineStr">
        <is>
          <t>2002-10-26</t>
        </is>
      </c>
      <c r="J518" t="inlineStr">
        <is>
          <t>2020-02-18</t>
        </is>
      </c>
      <c r="K518" t="inlineStr">
        <is>
          <t>CONFIRMATION</t>
        </is>
      </c>
      <c r="M518" t="inlineStr">
        <is>
          <t>491 HOMEWOOD AVE SE</t>
        </is>
      </c>
      <c r="N518">
        <f>RIGHT(M518,LEN(M518)-FIND(" ",M518))</f>
        <v/>
      </c>
      <c r="P518" t="inlineStr">
        <is>
          <t>WARREN</t>
        </is>
      </c>
      <c r="Q518" t="inlineStr">
        <is>
          <t>OH</t>
        </is>
      </c>
      <c r="R518" t="n">
        <v>44483</v>
      </c>
      <c r="AD518" t="inlineStr">
        <is>
          <t>TRUMBULL CAREER &amp; TECH CENTER</t>
        </is>
      </c>
      <c r="AE518" t="inlineStr">
        <is>
          <t>WARREN CITY</t>
        </is>
      </c>
      <c r="AF518" t="inlineStr">
        <is>
          <t>WARREN CITY SD</t>
        </is>
      </c>
      <c r="AH518" t="n">
        <v>14</v>
      </c>
      <c r="AI518" t="n">
        <v>11</v>
      </c>
      <c r="AN518" t="inlineStr">
        <is>
          <t>WARREN</t>
        </is>
      </c>
      <c r="AO518" t="inlineStr">
        <is>
          <t>WARREN CITY 4A</t>
        </is>
      </c>
      <c r="AP518" t="inlineStr">
        <is>
          <t>78-P-ADI</t>
        </is>
      </c>
      <c r="AQ518" t="n">
        <v>9</v>
      </c>
      <c r="AR518" t="n">
        <v>64</v>
      </c>
      <c r="AS518" t="n">
        <v>32</v>
      </c>
      <c r="AU518">
        <f>COUNTA($BA$518:$EH$518)</f>
        <v/>
      </c>
      <c r="AV518">
        <f>COUNTIF($BA$518:$EH$518,"D")</f>
        <v/>
      </c>
      <c r="AW518">
        <f>COUNTIF($BA$518:$EH$518,"R")</f>
        <v/>
      </c>
      <c r="AX518">
        <f>IF(BN518="D",1,0)+IF(BO518="D",1,0)+IF(BT518="D",1,0)+IF(BU518="D",1,0)+IF(BW518="D",1,0)+IF(CC518="D",1,0)+IF(CD518="D",1,0)+IF(CE518="D",1,0)+IF(CF518="D",1,0)+IF(CL518="D",1,0)+IF(CM518="D",1,0)+IF(CQ518="D",1,0)+IF(CR518="D",1,0)+IF(CS518="D",1,0)+IF(CW518="D",1,0)+IF(CX518="D",1,0)+IF(DD518="D",1,0)+IF(DE518="D",1,0)+IF(DJ518="D",1,0)+IF(DK518="D",1,0)+IF(DO518="D",1,0)+IF(DP518="D",1,0)+IF(DQ518="D",1,0)+IF(DW518="D",1,0)+IF(DZ518="D",1,0)+IF(EH518="D",1,0)</f>
        <v/>
      </c>
      <c r="AY518">
        <f>IF(DJ518&lt;&gt;"",1,0)+IF(DK518&lt;&gt;"",1,0)+IF(DM518&lt;&gt;"",1,0)+IF(DO518&lt;&gt;"",1,0)+IF(DP518&lt;&gt;"",1,0)+IF(DQ518&lt;&gt;"",1,0)+IF(DS518&lt;&gt;"",1,0)+IF(DT518&lt;&gt;"",1,0)+IF(DV518&lt;&gt;"",1,0)+IF(DW518&lt;&gt;"",1,0)+IF(DX518&lt;&gt;"",1,0)+IF(DY518&lt;&gt;"",1,0)+IF(DZ518&lt;&gt;"",1,0)+IF(EB518&lt;&gt;"",1,0)+IF(EC518&lt;&gt;"",1,0)+IF(ED518&lt;&gt;"",1,0)+IF(EG518&lt;&gt;"",1,0)+IF(EH518&lt;&gt;"",1,0)</f>
        <v/>
      </c>
      <c r="AZ518">
        <f>IF(EH518&lt;&gt;"",1,0)</f>
        <v/>
      </c>
      <c r="BB518" t="inlineStr">
        <is>
          <t>WARREN-WARD 4</t>
        </is>
      </c>
    </row>
    <row r="519">
      <c r="A519" t="inlineStr">
        <is>
          <t>OH0025199260</t>
        </is>
      </c>
      <c r="B519" t="n">
        <v>78</v>
      </c>
      <c r="C519" t="n">
        <v>441202</v>
      </c>
      <c r="D519" t="inlineStr">
        <is>
          <t>BARNARD</t>
        </is>
      </c>
      <c r="E519" t="inlineStr">
        <is>
          <t>AMBER</t>
        </is>
      </c>
      <c r="F519">
        <f>CONCATENATE(D519," ",LEFT(H519,4),"T=",AU519,"D=",AV519,"R=",AW519,"M=",AX519,"L=",AY519,"B=",AZ519)</f>
        <v/>
      </c>
      <c r="G519" t="inlineStr">
        <is>
          <t>A</t>
        </is>
      </c>
      <c r="I519" t="inlineStr">
        <is>
          <t>2000-11-29</t>
        </is>
      </c>
      <c r="J519" t="inlineStr">
        <is>
          <t>2019-09-10</t>
        </is>
      </c>
      <c r="K519" t="inlineStr">
        <is>
          <t>CONFIRMATION</t>
        </is>
      </c>
      <c r="M519" t="inlineStr">
        <is>
          <t>557 OAK KNOLL AVE SE</t>
        </is>
      </c>
      <c r="N519">
        <f>RIGHT(M519,LEN(M519)-FIND(" ",M519))</f>
        <v/>
      </c>
      <c r="P519" t="inlineStr">
        <is>
          <t>WARREN</t>
        </is>
      </c>
      <c r="Q519" t="inlineStr">
        <is>
          <t>OH</t>
        </is>
      </c>
      <c r="R519" t="n">
        <v>44483</v>
      </c>
      <c r="AD519" t="inlineStr">
        <is>
          <t>TRUMBULL CAREER &amp; TECH CENTER</t>
        </is>
      </c>
      <c r="AE519" t="inlineStr">
        <is>
          <t>WARREN CITY</t>
        </is>
      </c>
      <c r="AF519" t="inlineStr">
        <is>
          <t>WARREN CITY SD</t>
        </is>
      </c>
      <c r="AH519" t="n">
        <v>14</v>
      </c>
      <c r="AI519" t="n">
        <v>11</v>
      </c>
      <c r="AN519" t="inlineStr">
        <is>
          <t>WARREN</t>
        </is>
      </c>
      <c r="AO519" t="inlineStr">
        <is>
          <t>WARREN CITY 4A</t>
        </is>
      </c>
      <c r="AP519" t="inlineStr">
        <is>
          <t>78-P-ADI</t>
        </is>
      </c>
      <c r="AQ519" t="n">
        <v>9</v>
      </c>
      <c r="AR519" t="n">
        <v>64</v>
      </c>
      <c r="AS519" t="n">
        <v>32</v>
      </c>
      <c r="AU519">
        <f>COUNTA($BA$519:$EH$519)</f>
        <v/>
      </c>
      <c r="AV519">
        <f>COUNTIF($BA$519:$EH$519,"D")</f>
        <v/>
      </c>
      <c r="AW519">
        <f>COUNTIF($BA$519:$EH$519,"R")</f>
        <v/>
      </c>
      <c r="AX519">
        <f>IF(BN519="D",1,0)+IF(BO519="D",1,0)+IF(BT519="D",1,0)+IF(BU519="D",1,0)+IF(BW519="D",1,0)+IF(CC519="D",1,0)+IF(CD519="D",1,0)+IF(CE519="D",1,0)+IF(CF519="D",1,0)+IF(CL519="D",1,0)+IF(CM519="D",1,0)+IF(CQ519="D",1,0)+IF(CR519="D",1,0)+IF(CS519="D",1,0)+IF(CW519="D",1,0)+IF(CX519="D",1,0)+IF(DD519="D",1,0)+IF(DE519="D",1,0)+IF(DJ519="D",1,0)+IF(DK519="D",1,0)+IF(DO519="D",1,0)+IF(DP519="D",1,0)+IF(DQ519="D",1,0)+IF(DW519="D",1,0)+IF(DZ519="D",1,0)+IF(EH519="D",1,0)</f>
        <v/>
      </c>
      <c r="AY519">
        <f>IF(DJ519&lt;&gt;"",1,0)+IF(DK519&lt;&gt;"",1,0)+IF(DM519&lt;&gt;"",1,0)+IF(DO519&lt;&gt;"",1,0)+IF(DP519&lt;&gt;"",1,0)+IF(DQ519&lt;&gt;"",1,0)+IF(DS519&lt;&gt;"",1,0)+IF(DT519&lt;&gt;"",1,0)+IF(DV519&lt;&gt;"",1,0)+IF(DW519&lt;&gt;"",1,0)+IF(DX519&lt;&gt;"",1,0)+IF(DY519&lt;&gt;"",1,0)+IF(DZ519&lt;&gt;"",1,0)+IF(EB519&lt;&gt;"",1,0)+IF(EC519&lt;&gt;"",1,0)+IF(ED519&lt;&gt;"",1,0)+IF(EG519&lt;&gt;"",1,0)+IF(EH519&lt;&gt;"",1,0)</f>
        <v/>
      </c>
      <c r="AZ519">
        <f>IF(EH519&lt;&gt;"",1,0)</f>
        <v/>
      </c>
      <c r="BB519" t="inlineStr">
        <is>
          <t>WARREN-WARD 4</t>
        </is>
      </c>
    </row>
    <row r="520">
      <c r="A520" t="inlineStr">
        <is>
          <t>OH0026322582</t>
        </is>
      </c>
      <c r="B520" t="n">
        <v>78</v>
      </c>
      <c r="C520" t="n">
        <v>460228</v>
      </c>
      <c r="D520" t="inlineStr">
        <is>
          <t>REEDER</t>
        </is>
      </c>
      <c r="E520" t="inlineStr">
        <is>
          <t>MARY</t>
        </is>
      </c>
      <c r="F520">
        <f>CONCATENATE(D520," ",LEFT(H520,4),"T=",AU520,"D=",AV520,"R=",AW520,"M=",AX520,"L=",AY520,"B=",AZ520)</f>
        <v/>
      </c>
      <c r="G520" t="inlineStr">
        <is>
          <t>BETH</t>
        </is>
      </c>
      <c r="I520" t="inlineStr">
        <is>
          <t>1997-09-14</t>
        </is>
      </c>
      <c r="J520" t="inlineStr">
        <is>
          <t>2021-09-22</t>
        </is>
      </c>
      <c r="K520" t="inlineStr">
        <is>
          <t>CONFIRMATION</t>
        </is>
      </c>
      <c r="M520" t="inlineStr">
        <is>
          <t>315 OAK KNOLL AVE SE</t>
        </is>
      </c>
      <c r="N520">
        <f>RIGHT(M520,LEN(M520)-FIND(" ",M520))</f>
        <v/>
      </c>
      <c r="P520" t="inlineStr">
        <is>
          <t>WARREN</t>
        </is>
      </c>
      <c r="Q520" t="inlineStr">
        <is>
          <t>OH</t>
        </is>
      </c>
      <c r="R520" t="n">
        <v>44483</v>
      </c>
      <c r="AD520" t="inlineStr">
        <is>
          <t>TRUMBULL CAREER &amp; TECH CENTER</t>
        </is>
      </c>
      <c r="AE520" t="inlineStr">
        <is>
          <t>WARREN CITY</t>
        </is>
      </c>
      <c r="AF520" t="inlineStr">
        <is>
          <t>WARREN CITY SD</t>
        </is>
      </c>
      <c r="AH520" t="n">
        <v>14</v>
      </c>
      <c r="AI520" t="n">
        <v>11</v>
      </c>
      <c r="AN520" t="inlineStr">
        <is>
          <t>WARREN</t>
        </is>
      </c>
      <c r="AO520" t="inlineStr">
        <is>
          <t>WARREN CITY 4A</t>
        </is>
      </c>
      <c r="AP520" t="inlineStr">
        <is>
          <t>78-P-ADI</t>
        </is>
      </c>
      <c r="AQ520" t="n">
        <v>9</v>
      </c>
      <c r="AR520" t="n">
        <v>64</v>
      </c>
      <c r="AS520" t="n">
        <v>32</v>
      </c>
      <c r="AU520">
        <f>COUNTA($BA$520:$EH$520)</f>
        <v/>
      </c>
      <c r="AV520">
        <f>COUNTIF($BA$520:$EH$520,"D")</f>
        <v/>
      </c>
      <c r="AW520">
        <f>COUNTIF($BA$520:$EH$520,"R")</f>
        <v/>
      </c>
      <c r="AX520">
        <f>IF(BN520="D",1,0)+IF(BO520="D",1,0)+IF(BT520="D",1,0)+IF(BU520="D",1,0)+IF(BW520="D",1,0)+IF(CC520="D",1,0)+IF(CD520="D",1,0)+IF(CE520="D",1,0)+IF(CF520="D",1,0)+IF(CL520="D",1,0)+IF(CM520="D",1,0)+IF(CQ520="D",1,0)+IF(CR520="D",1,0)+IF(CS520="D",1,0)+IF(CW520="D",1,0)+IF(CX520="D",1,0)+IF(DD520="D",1,0)+IF(DE520="D",1,0)+IF(DJ520="D",1,0)+IF(DK520="D",1,0)+IF(DO520="D",1,0)+IF(DP520="D",1,0)+IF(DQ520="D",1,0)+IF(DW520="D",1,0)+IF(DZ520="D",1,0)+IF(EH520="D",1,0)</f>
        <v/>
      </c>
      <c r="AY520">
        <f>IF(DJ520&lt;&gt;"",1,0)+IF(DK520&lt;&gt;"",1,0)+IF(DM520&lt;&gt;"",1,0)+IF(DO520&lt;&gt;"",1,0)+IF(DP520&lt;&gt;"",1,0)+IF(DQ520&lt;&gt;"",1,0)+IF(DS520&lt;&gt;"",1,0)+IF(DT520&lt;&gt;"",1,0)+IF(DV520&lt;&gt;"",1,0)+IF(DW520&lt;&gt;"",1,0)+IF(DX520&lt;&gt;"",1,0)+IF(DY520&lt;&gt;"",1,0)+IF(DZ520&lt;&gt;"",1,0)+IF(EB520&lt;&gt;"",1,0)+IF(EC520&lt;&gt;"",1,0)+IF(ED520&lt;&gt;"",1,0)+IF(EG520&lt;&gt;"",1,0)+IF(EH520&lt;&gt;"",1,0)</f>
        <v/>
      </c>
      <c r="AZ520">
        <f>IF(EH520&lt;&gt;"",1,0)</f>
        <v/>
      </c>
      <c r="BB520" t="inlineStr">
        <is>
          <t>WARREN-WARD 4</t>
        </is>
      </c>
      <c r="DN520" t="inlineStr">
        <is>
          <t>X</t>
        </is>
      </c>
    </row>
    <row r="521">
      <c r="A521" t="inlineStr">
        <is>
          <t>OH0020330934</t>
        </is>
      </c>
      <c r="B521" t="n">
        <v>78</v>
      </c>
      <c r="C521" t="n">
        <v>366606</v>
      </c>
      <c r="D521" t="inlineStr">
        <is>
          <t>BLOOM</t>
        </is>
      </c>
      <c r="E521" t="inlineStr">
        <is>
          <t>ELIZABETH</t>
        </is>
      </c>
      <c r="F521">
        <f>CONCATENATE(D521," ",LEFT(H521,4),"T=",AU521,"D=",AV521,"R=",AW521,"M=",AX521,"L=",AY521,"B=",AZ521)</f>
        <v/>
      </c>
      <c r="G521" t="inlineStr">
        <is>
          <t>WILSON</t>
        </is>
      </c>
      <c r="I521" t="inlineStr">
        <is>
          <t>1947-09-24</t>
        </is>
      </c>
      <c r="J521" t="inlineStr">
        <is>
          <t>2012-09-10</t>
        </is>
      </c>
      <c r="K521" t="inlineStr">
        <is>
          <t>ACTIVE</t>
        </is>
      </c>
      <c r="L521" t="inlineStr">
        <is>
          <t>D</t>
        </is>
      </c>
      <c r="M521" t="inlineStr">
        <is>
          <t>578 OAK KNOLL AVE SE</t>
        </is>
      </c>
      <c r="N521">
        <f>RIGHT(M521,LEN(M521)-FIND(" ",M521))</f>
        <v/>
      </c>
      <c r="P521" t="inlineStr">
        <is>
          <t>WARREN</t>
        </is>
      </c>
      <c r="Q521" t="inlineStr">
        <is>
          <t>OH</t>
        </is>
      </c>
      <c r="R521" t="n">
        <v>44483</v>
      </c>
      <c r="AD521" t="inlineStr">
        <is>
          <t>TRUMBULL CAREER &amp; TECH CENTER</t>
        </is>
      </c>
      <c r="AE521" t="inlineStr">
        <is>
          <t>WARREN CITY</t>
        </is>
      </c>
      <c r="AF521" t="inlineStr">
        <is>
          <t>WARREN CITY SD</t>
        </is>
      </c>
      <c r="AH521" t="n">
        <v>14</v>
      </c>
      <c r="AI521" t="n">
        <v>11</v>
      </c>
      <c r="AN521" t="inlineStr">
        <is>
          <t>WARREN</t>
        </is>
      </c>
      <c r="AO521" t="inlineStr">
        <is>
          <t>WARREN CITY 4A</t>
        </is>
      </c>
      <c r="AP521" t="inlineStr">
        <is>
          <t>78-P-ADI</t>
        </is>
      </c>
      <c r="AQ521" t="n">
        <v>9</v>
      </c>
      <c r="AR521" t="n">
        <v>64</v>
      </c>
      <c r="AS521" t="n">
        <v>32</v>
      </c>
      <c r="AU521">
        <f>COUNTA($BA$521:$EH$521)</f>
        <v/>
      </c>
      <c r="AV521">
        <f>COUNTIF($BA$521:$EH$521,"D")</f>
        <v/>
      </c>
      <c r="AW521">
        <f>COUNTIF($BA$521:$EH$521,"R")</f>
        <v/>
      </c>
      <c r="AX521">
        <f>IF(BN521="D",1,0)+IF(BO521="D",1,0)+IF(BT521="D",1,0)+IF(BU521="D",1,0)+IF(BW521="D",1,0)+IF(CC521="D",1,0)+IF(CD521="D",1,0)+IF(CE521="D",1,0)+IF(CF521="D",1,0)+IF(CL521="D",1,0)+IF(CM521="D",1,0)+IF(CQ521="D",1,0)+IF(CR521="D",1,0)+IF(CS521="D",1,0)+IF(CW521="D",1,0)+IF(CX521="D",1,0)+IF(DD521="D",1,0)+IF(DE521="D",1,0)+IF(DJ521="D",1,0)+IF(DK521="D",1,0)+IF(DO521="D",1,0)+IF(DP521="D",1,0)+IF(DQ521="D",1,0)+IF(DW521="D",1,0)+IF(DZ521="D",1,0)+IF(EH521="D",1,0)</f>
        <v/>
      </c>
      <c r="AY521">
        <f>IF(DJ521&lt;&gt;"",1,0)+IF(DK521&lt;&gt;"",1,0)+IF(DM521&lt;&gt;"",1,0)+IF(DO521&lt;&gt;"",1,0)+IF(DP521&lt;&gt;"",1,0)+IF(DQ521&lt;&gt;"",1,0)+IF(DS521&lt;&gt;"",1,0)+IF(DT521&lt;&gt;"",1,0)+IF(DV521&lt;&gt;"",1,0)+IF(DW521&lt;&gt;"",1,0)+IF(DX521&lt;&gt;"",1,0)+IF(DY521&lt;&gt;"",1,0)+IF(DZ521&lt;&gt;"",1,0)+IF(EB521&lt;&gt;"",1,0)+IF(EC521&lt;&gt;"",1,0)+IF(ED521&lt;&gt;"",1,0)+IF(EG521&lt;&gt;"",1,0)+IF(EH521&lt;&gt;"",1,0)</f>
        <v/>
      </c>
      <c r="AZ521">
        <f>IF(EH521&lt;&gt;"",1,0)</f>
        <v/>
      </c>
      <c r="BB521" t="inlineStr">
        <is>
          <t>WARREN-WARD 4</t>
        </is>
      </c>
      <c r="CP521" t="inlineStr">
        <is>
          <t>X</t>
        </is>
      </c>
      <c r="CU521" t="inlineStr">
        <is>
          <t>D</t>
        </is>
      </c>
      <c r="CV521" t="inlineStr">
        <is>
          <t>X</t>
        </is>
      </c>
      <c r="CY521" t="inlineStr">
        <is>
          <t>X</t>
        </is>
      </c>
      <c r="DC521" t="inlineStr">
        <is>
          <t>X</t>
        </is>
      </c>
      <c r="DI521" t="inlineStr">
        <is>
          <t>X</t>
        </is>
      </c>
      <c r="DL521" t="inlineStr">
        <is>
          <t>X</t>
        </is>
      </c>
      <c r="DN521" t="inlineStr">
        <is>
          <t>X</t>
        </is>
      </c>
      <c r="DR521" t="inlineStr">
        <is>
          <t>X</t>
        </is>
      </c>
      <c r="DS521" t="inlineStr">
        <is>
          <t>D</t>
        </is>
      </c>
      <c r="DU521" t="inlineStr">
        <is>
          <t>X</t>
        </is>
      </c>
      <c r="DW521" t="inlineStr">
        <is>
          <t>D</t>
        </is>
      </c>
      <c r="DX521" t="inlineStr">
        <is>
          <t>X</t>
        </is>
      </c>
      <c r="EA521" t="inlineStr">
        <is>
          <t>X</t>
        </is>
      </c>
      <c r="ED521" t="inlineStr">
        <is>
          <t>D</t>
        </is>
      </c>
      <c r="EF521" t="inlineStr">
        <is>
          <t>X</t>
        </is>
      </c>
    </row>
    <row r="522">
      <c r="A522" t="inlineStr">
        <is>
          <t>OH0018813032</t>
        </is>
      </c>
      <c r="B522" t="n">
        <v>78</v>
      </c>
      <c r="C522" t="n">
        <v>345094</v>
      </c>
      <c r="D522" t="inlineStr">
        <is>
          <t>MARSHALL</t>
        </is>
      </c>
      <c r="E522" t="inlineStr">
        <is>
          <t>BONITA</t>
        </is>
      </c>
      <c r="F522">
        <f>CONCATENATE(D522," ",LEFT(H522,4),"T=",AU522,"D=",AV522,"R=",AW522,"M=",AX522,"L=",AY522,"B=",AZ522)</f>
        <v/>
      </c>
      <c r="G522" t="inlineStr">
        <is>
          <t>SUE</t>
        </is>
      </c>
      <c r="I522" t="inlineStr">
        <is>
          <t>1959-04-20</t>
        </is>
      </c>
      <c r="J522" t="inlineStr">
        <is>
          <t>2022-11-30</t>
        </is>
      </c>
      <c r="K522" t="inlineStr">
        <is>
          <t>ACTIVE</t>
        </is>
      </c>
      <c r="M522" t="inlineStr">
        <is>
          <t>780 BONNIE BRAE AVE SE</t>
        </is>
      </c>
      <c r="N522">
        <f>RIGHT(M522,LEN(M522)-FIND(" ",M522))</f>
        <v/>
      </c>
      <c r="P522" t="inlineStr">
        <is>
          <t>WARREN</t>
        </is>
      </c>
      <c r="Q522" t="inlineStr">
        <is>
          <t>OH</t>
        </is>
      </c>
      <c r="R522" t="n">
        <v>44484</v>
      </c>
      <c r="AD522" t="inlineStr">
        <is>
          <t>TRUMBULL CAREER &amp; TECH CENTER</t>
        </is>
      </c>
      <c r="AE522" t="inlineStr">
        <is>
          <t>WARREN CITY</t>
        </is>
      </c>
      <c r="AF522" t="inlineStr">
        <is>
          <t>WARREN CITY SD</t>
        </is>
      </c>
      <c r="AH522" t="n">
        <v>14</v>
      </c>
      <c r="AI522" t="n">
        <v>11</v>
      </c>
      <c r="AN522" t="inlineStr">
        <is>
          <t>WARREN</t>
        </is>
      </c>
      <c r="AO522" t="inlineStr">
        <is>
          <t>WARREN CITY 4A</t>
        </is>
      </c>
      <c r="AP522" t="inlineStr">
        <is>
          <t>78-P-ADI</t>
        </is>
      </c>
      <c r="AQ522" t="n">
        <v>9</v>
      </c>
      <c r="AR522" t="n">
        <v>64</v>
      </c>
      <c r="AS522" t="n">
        <v>32</v>
      </c>
      <c r="AU522">
        <f>COUNTA($BA$522:$EH$522)</f>
        <v/>
      </c>
      <c r="AV522">
        <f>COUNTIF($BA$522:$EH$522,"D")</f>
        <v/>
      </c>
      <c r="AW522">
        <f>COUNTIF($BA$522:$EH$522,"R")</f>
        <v/>
      </c>
      <c r="AX522">
        <f>IF(BN522="D",1,0)+IF(BO522="D",1,0)+IF(BT522="D",1,0)+IF(BU522="D",1,0)+IF(BW522="D",1,0)+IF(CC522="D",1,0)+IF(CD522="D",1,0)+IF(CE522="D",1,0)+IF(CF522="D",1,0)+IF(CL522="D",1,0)+IF(CM522="D",1,0)+IF(CQ522="D",1,0)+IF(CR522="D",1,0)+IF(CS522="D",1,0)+IF(CW522="D",1,0)+IF(CX522="D",1,0)+IF(DD522="D",1,0)+IF(DE522="D",1,0)+IF(DJ522="D",1,0)+IF(DK522="D",1,0)+IF(DO522="D",1,0)+IF(DP522="D",1,0)+IF(DQ522="D",1,0)+IF(DW522="D",1,0)+IF(DZ522="D",1,0)+IF(EH522="D",1,0)</f>
        <v/>
      </c>
      <c r="AY522">
        <f>IF(DJ522&lt;&gt;"",1,0)+IF(DK522&lt;&gt;"",1,0)+IF(DM522&lt;&gt;"",1,0)+IF(DO522&lt;&gt;"",1,0)+IF(DP522&lt;&gt;"",1,0)+IF(DQ522&lt;&gt;"",1,0)+IF(DS522&lt;&gt;"",1,0)+IF(DT522&lt;&gt;"",1,0)+IF(DV522&lt;&gt;"",1,0)+IF(DW522&lt;&gt;"",1,0)+IF(DX522&lt;&gt;"",1,0)+IF(DY522&lt;&gt;"",1,0)+IF(DZ522&lt;&gt;"",1,0)+IF(EB522&lt;&gt;"",1,0)+IF(EC522&lt;&gt;"",1,0)+IF(ED522&lt;&gt;"",1,0)+IF(EG522&lt;&gt;"",1,0)+IF(EH522&lt;&gt;"",1,0)</f>
        <v/>
      </c>
      <c r="AZ522">
        <f>IF(EH522&lt;&gt;"",1,0)</f>
        <v/>
      </c>
      <c r="BB522" t="inlineStr">
        <is>
          <t>WARREN-WARD 4</t>
        </is>
      </c>
      <c r="DC522" t="inlineStr">
        <is>
          <t>X</t>
        </is>
      </c>
      <c r="DN522" t="inlineStr">
        <is>
          <t>X</t>
        </is>
      </c>
      <c r="DU522" t="inlineStr">
        <is>
          <t>X</t>
        </is>
      </c>
      <c r="EA522" t="inlineStr">
        <is>
          <t>X</t>
        </is>
      </c>
      <c r="EF522" t="inlineStr">
        <is>
          <t>X</t>
        </is>
      </c>
    </row>
    <row r="523">
      <c r="A523" t="inlineStr">
        <is>
          <t>OH0025363442</t>
        </is>
      </c>
      <c r="B523" t="n">
        <v>78</v>
      </c>
      <c r="C523" t="n">
        <v>443111</v>
      </c>
      <c r="D523" t="inlineStr">
        <is>
          <t>CARTER</t>
        </is>
      </c>
      <c r="E523" t="inlineStr">
        <is>
          <t>INDIA</t>
        </is>
      </c>
      <c r="F523">
        <f>CONCATENATE(D523," ",LEFT(H523,4),"T=",AU523,"D=",AV523,"R=",AW523,"M=",AX523,"L=",AY523,"B=",AZ523)</f>
        <v/>
      </c>
      <c r="G523" t="inlineStr">
        <is>
          <t>ASHLEY</t>
        </is>
      </c>
      <c r="I523" t="inlineStr">
        <is>
          <t>1992-07-21</t>
        </is>
      </c>
      <c r="J523" t="inlineStr">
        <is>
          <t>2024-10-25</t>
        </is>
      </c>
      <c r="K523" t="inlineStr">
        <is>
          <t>ACTIVE</t>
        </is>
      </c>
      <c r="M523" t="inlineStr">
        <is>
          <t>422 HOMEWOOD AVE SE</t>
        </is>
      </c>
      <c r="N523">
        <f>RIGHT(M523,LEN(M523)-FIND(" ",M523))</f>
        <v/>
      </c>
      <c r="P523" t="inlineStr">
        <is>
          <t>WARREN</t>
        </is>
      </c>
      <c r="Q523" t="inlineStr">
        <is>
          <t>OH</t>
        </is>
      </c>
      <c r="R523" t="n">
        <v>44483</v>
      </c>
      <c r="AD523" t="inlineStr">
        <is>
          <t>TRUMBULL CAREER &amp; TECH CENTER</t>
        </is>
      </c>
      <c r="AE523" t="inlineStr">
        <is>
          <t>WARREN CITY</t>
        </is>
      </c>
      <c r="AF523" t="inlineStr">
        <is>
          <t>WARREN CITY SD</t>
        </is>
      </c>
      <c r="AH523" t="n">
        <v>14</v>
      </c>
      <c r="AI523" t="n">
        <v>11</v>
      </c>
      <c r="AN523" t="inlineStr">
        <is>
          <t>WARREN</t>
        </is>
      </c>
      <c r="AO523" t="inlineStr">
        <is>
          <t>WARREN CITY 4A</t>
        </is>
      </c>
      <c r="AP523" t="inlineStr">
        <is>
          <t>78-P-ADI</t>
        </is>
      </c>
      <c r="AQ523" t="n">
        <v>9</v>
      </c>
      <c r="AR523" t="n">
        <v>64</v>
      </c>
      <c r="AS523" t="n">
        <v>32</v>
      </c>
      <c r="AU523">
        <f>COUNTA($BA$523:$EH$523)</f>
        <v/>
      </c>
      <c r="AV523">
        <f>COUNTIF($BA$523:$EH$523,"D")</f>
        <v/>
      </c>
      <c r="AW523">
        <f>COUNTIF($BA$523:$EH$523,"R")</f>
        <v/>
      </c>
      <c r="AX523">
        <f>IF(BN523="D",1,0)+IF(BO523="D",1,0)+IF(BT523="D",1,0)+IF(BU523="D",1,0)+IF(BW523="D",1,0)+IF(CC523="D",1,0)+IF(CD523="D",1,0)+IF(CE523="D",1,0)+IF(CF523="D",1,0)+IF(CL523="D",1,0)+IF(CM523="D",1,0)+IF(CQ523="D",1,0)+IF(CR523="D",1,0)+IF(CS523="D",1,0)+IF(CW523="D",1,0)+IF(CX523="D",1,0)+IF(DD523="D",1,0)+IF(DE523="D",1,0)+IF(DJ523="D",1,0)+IF(DK523="D",1,0)+IF(DO523="D",1,0)+IF(DP523="D",1,0)+IF(DQ523="D",1,0)+IF(DW523="D",1,0)+IF(DZ523="D",1,0)+IF(EH523="D",1,0)</f>
        <v/>
      </c>
      <c r="AY523">
        <f>IF(DJ523&lt;&gt;"",1,0)+IF(DK523&lt;&gt;"",1,0)+IF(DM523&lt;&gt;"",1,0)+IF(DO523&lt;&gt;"",1,0)+IF(DP523&lt;&gt;"",1,0)+IF(DQ523&lt;&gt;"",1,0)+IF(DS523&lt;&gt;"",1,0)+IF(DT523&lt;&gt;"",1,0)+IF(DV523&lt;&gt;"",1,0)+IF(DW523&lt;&gt;"",1,0)+IF(DX523&lt;&gt;"",1,0)+IF(DY523&lt;&gt;"",1,0)+IF(DZ523&lt;&gt;"",1,0)+IF(EB523&lt;&gt;"",1,0)+IF(EC523&lt;&gt;"",1,0)+IF(ED523&lt;&gt;"",1,0)+IF(EG523&lt;&gt;"",1,0)+IF(EH523&lt;&gt;"",1,0)</f>
        <v/>
      </c>
      <c r="AZ523">
        <f>IF(EH523&lt;&gt;"",1,0)</f>
        <v/>
      </c>
      <c r="BB523" t="inlineStr">
        <is>
          <t>WARREN-WARD 4</t>
        </is>
      </c>
    </row>
    <row r="524">
      <c r="A524" t="inlineStr">
        <is>
          <t>OH0015814026</t>
        </is>
      </c>
      <c r="B524" t="n">
        <v>78</v>
      </c>
      <c r="C524" t="n">
        <v>308130</v>
      </c>
      <c r="D524" t="inlineStr">
        <is>
          <t>EDWARDS</t>
        </is>
      </c>
      <c r="E524" t="inlineStr">
        <is>
          <t>LAURA</t>
        </is>
      </c>
      <c r="F524">
        <f>CONCATENATE(D524," ",LEFT(H524,4),"T=",AU524,"D=",AV524,"R=",AW524,"M=",AX524,"L=",AY524,"B=",AZ524)</f>
        <v/>
      </c>
      <c r="G524" t="inlineStr">
        <is>
          <t>J</t>
        </is>
      </c>
      <c r="I524" t="inlineStr">
        <is>
          <t>1969-09-03</t>
        </is>
      </c>
      <c r="J524" t="inlineStr">
        <is>
          <t>2018-07-20</t>
        </is>
      </c>
      <c r="K524" t="inlineStr">
        <is>
          <t>ACTIVE</t>
        </is>
      </c>
      <c r="L524" t="inlineStr">
        <is>
          <t>D</t>
        </is>
      </c>
      <c r="M524" t="inlineStr">
        <is>
          <t>716 ADELAIDE AVE SE</t>
        </is>
      </c>
      <c r="N524">
        <f>RIGHT(M524,LEN(M524)-FIND(" ",M524))</f>
        <v/>
      </c>
      <c r="P524" t="inlineStr">
        <is>
          <t>WARREN</t>
        </is>
      </c>
      <c r="Q524" t="inlineStr">
        <is>
          <t>OH</t>
        </is>
      </c>
      <c r="R524" t="n">
        <v>44484</v>
      </c>
      <c r="AD524" t="inlineStr">
        <is>
          <t>TRUMBULL CAREER &amp; TECH CENTER</t>
        </is>
      </c>
      <c r="AE524" t="inlineStr">
        <is>
          <t>WARREN CITY</t>
        </is>
      </c>
      <c r="AF524" t="inlineStr">
        <is>
          <t>WARREN CITY SD</t>
        </is>
      </c>
      <c r="AH524" t="n">
        <v>14</v>
      </c>
      <c r="AI524" t="n">
        <v>11</v>
      </c>
      <c r="AN524" t="inlineStr">
        <is>
          <t>WARREN</t>
        </is>
      </c>
      <c r="AO524" t="inlineStr">
        <is>
          <t>WARREN CITY 4A</t>
        </is>
      </c>
      <c r="AP524" t="inlineStr">
        <is>
          <t>78-P-ADI</t>
        </is>
      </c>
      <c r="AQ524" t="n">
        <v>9</v>
      </c>
      <c r="AR524" t="n">
        <v>64</v>
      </c>
      <c r="AS524" t="n">
        <v>32</v>
      </c>
      <c r="AU524">
        <f>COUNTA($BA$524:$EH$524)</f>
        <v/>
      </c>
      <c r="AV524">
        <f>COUNTIF($BA$524:$EH$524,"D")</f>
        <v/>
      </c>
      <c r="AW524">
        <f>COUNTIF($BA$524:$EH$524,"R")</f>
        <v/>
      </c>
      <c r="AX524">
        <f>IF(BN524="D",1,0)+IF(BO524="D",1,0)+IF(BT524="D",1,0)+IF(BU524="D",1,0)+IF(BW524="D",1,0)+IF(CC524="D",1,0)+IF(CD524="D",1,0)+IF(CE524="D",1,0)+IF(CF524="D",1,0)+IF(CL524="D",1,0)+IF(CM524="D",1,0)+IF(CQ524="D",1,0)+IF(CR524="D",1,0)+IF(CS524="D",1,0)+IF(CW524="D",1,0)+IF(CX524="D",1,0)+IF(DD524="D",1,0)+IF(DE524="D",1,0)+IF(DJ524="D",1,0)+IF(DK524="D",1,0)+IF(DO524="D",1,0)+IF(DP524="D",1,0)+IF(DQ524="D",1,0)+IF(DW524="D",1,0)+IF(DZ524="D",1,0)+IF(EH524="D",1,0)</f>
        <v/>
      </c>
      <c r="AY524">
        <f>IF(DJ524&lt;&gt;"",1,0)+IF(DK524&lt;&gt;"",1,0)+IF(DM524&lt;&gt;"",1,0)+IF(DO524&lt;&gt;"",1,0)+IF(DP524&lt;&gt;"",1,0)+IF(DQ524&lt;&gt;"",1,0)+IF(DS524&lt;&gt;"",1,0)+IF(DT524&lt;&gt;"",1,0)+IF(DV524&lt;&gt;"",1,0)+IF(DW524&lt;&gt;"",1,0)+IF(DX524&lt;&gt;"",1,0)+IF(DY524&lt;&gt;"",1,0)+IF(DZ524&lt;&gt;"",1,0)+IF(EB524&lt;&gt;"",1,0)+IF(EC524&lt;&gt;"",1,0)+IF(ED524&lt;&gt;"",1,0)+IF(EG524&lt;&gt;"",1,0)+IF(EH524&lt;&gt;"",1,0)</f>
        <v/>
      </c>
      <c r="AZ524">
        <f>IF(EH524&lt;&gt;"",1,0)</f>
        <v/>
      </c>
      <c r="BB524" t="inlineStr">
        <is>
          <t>WARREN-WARD 4</t>
        </is>
      </c>
      <c r="BH524" t="inlineStr">
        <is>
          <t>X</t>
        </is>
      </c>
      <c r="BI524" t="inlineStr">
        <is>
          <t>X</t>
        </is>
      </c>
      <c r="BJ524" t="inlineStr">
        <is>
          <t>X</t>
        </is>
      </c>
      <c r="BK524" t="inlineStr">
        <is>
          <t>X</t>
        </is>
      </c>
      <c r="BL524" t="inlineStr">
        <is>
          <t>X</t>
        </is>
      </c>
      <c r="BP524" t="inlineStr">
        <is>
          <t>X</t>
        </is>
      </c>
      <c r="CA524" t="inlineStr">
        <is>
          <t>X</t>
        </is>
      </c>
      <c r="CG524" t="inlineStr">
        <is>
          <t>X</t>
        </is>
      </c>
      <c r="CZ524" t="inlineStr">
        <is>
          <t>D</t>
        </is>
      </c>
      <c r="DC524" t="inlineStr">
        <is>
          <t>X</t>
        </is>
      </c>
      <c r="DI524" t="inlineStr">
        <is>
          <t>X</t>
        </is>
      </c>
      <c r="DN524" t="inlineStr">
        <is>
          <t>X</t>
        </is>
      </c>
      <c r="DT524" t="inlineStr">
        <is>
          <t>D</t>
        </is>
      </c>
      <c r="DU524" t="inlineStr">
        <is>
          <t>X</t>
        </is>
      </c>
      <c r="DX524" t="inlineStr">
        <is>
          <t>X</t>
        </is>
      </c>
      <c r="EA524" t="inlineStr">
        <is>
          <t>X</t>
        </is>
      </c>
    </row>
    <row r="525">
      <c r="A525" t="inlineStr">
        <is>
          <t>OH0015807892</t>
        </is>
      </c>
      <c r="B525" t="n">
        <v>78</v>
      </c>
      <c r="C525" t="n">
        <v>291301</v>
      </c>
      <c r="D525" t="inlineStr">
        <is>
          <t>MILLER</t>
        </is>
      </c>
      <c r="E525" t="inlineStr">
        <is>
          <t>DERRICK</t>
        </is>
      </c>
      <c r="F525">
        <f>CONCATENATE(D525," ",LEFT(H525,4),"T=",AU525,"D=",AV525,"R=",AW525,"M=",AX525,"L=",AY525,"B=",AZ525)</f>
        <v/>
      </c>
      <c r="G525" t="inlineStr">
        <is>
          <t>D</t>
        </is>
      </c>
      <c r="I525" t="inlineStr">
        <is>
          <t>1981-05-29</t>
        </is>
      </c>
      <c r="J525" t="inlineStr">
        <is>
          <t>2023-12-22</t>
        </is>
      </c>
      <c r="K525" t="inlineStr">
        <is>
          <t>ACTIVE</t>
        </is>
      </c>
      <c r="M525" t="inlineStr">
        <is>
          <t>374 HOMEWOOD AVE SE</t>
        </is>
      </c>
      <c r="N525">
        <f>RIGHT(M525,LEN(M525)-FIND(" ",M525))</f>
        <v/>
      </c>
      <c r="P525" t="inlineStr">
        <is>
          <t>WARREN</t>
        </is>
      </c>
      <c r="Q525" t="inlineStr">
        <is>
          <t>OH</t>
        </is>
      </c>
      <c r="R525" t="n">
        <v>44483</v>
      </c>
      <c r="AD525" t="inlineStr">
        <is>
          <t>TRUMBULL CAREER &amp; TECH CENTER</t>
        </is>
      </c>
      <c r="AE525" t="inlineStr">
        <is>
          <t>WARREN CITY</t>
        </is>
      </c>
      <c r="AF525" t="inlineStr">
        <is>
          <t>WARREN CITY SD</t>
        </is>
      </c>
      <c r="AH525" t="n">
        <v>14</v>
      </c>
      <c r="AI525" t="n">
        <v>11</v>
      </c>
      <c r="AN525" t="inlineStr">
        <is>
          <t>WARREN</t>
        </is>
      </c>
      <c r="AO525" t="inlineStr">
        <is>
          <t>WARREN CITY 4A</t>
        </is>
      </c>
      <c r="AP525" t="inlineStr">
        <is>
          <t>78-P-ADI</t>
        </is>
      </c>
      <c r="AQ525" t="n">
        <v>9</v>
      </c>
      <c r="AR525" t="n">
        <v>64</v>
      </c>
      <c r="AS525" t="n">
        <v>32</v>
      </c>
      <c r="AU525">
        <f>COUNTA($BA$525:$EH$525)</f>
        <v/>
      </c>
      <c r="AV525">
        <f>COUNTIF($BA$525:$EH$525,"D")</f>
        <v/>
      </c>
      <c r="AW525">
        <f>COUNTIF($BA$525:$EH$525,"R")</f>
        <v/>
      </c>
      <c r="AX525">
        <f>IF(BN525="D",1,0)+IF(BO525="D",1,0)+IF(BT525="D",1,0)+IF(BU525="D",1,0)+IF(BW525="D",1,0)+IF(CC525="D",1,0)+IF(CD525="D",1,0)+IF(CE525="D",1,0)+IF(CF525="D",1,0)+IF(CL525="D",1,0)+IF(CM525="D",1,0)+IF(CQ525="D",1,0)+IF(CR525="D",1,0)+IF(CS525="D",1,0)+IF(CW525="D",1,0)+IF(CX525="D",1,0)+IF(DD525="D",1,0)+IF(DE525="D",1,0)+IF(DJ525="D",1,0)+IF(DK525="D",1,0)+IF(DO525="D",1,0)+IF(DP525="D",1,0)+IF(DQ525="D",1,0)+IF(DW525="D",1,0)+IF(DZ525="D",1,0)+IF(EH525="D",1,0)</f>
        <v/>
      </c>
      <c r="AY525">
        <f>IF(DJ525&lt;&gt;"",1,0)+IF(DK525&lt;&gt;"",1,0)+IF(DM525&lt;&gt;"",1,0)+IF(DO525&lt;&gt;"",1,0)+IF(DP525&lt;&gt;"",1,0)+IF(DQ525&lt;&gt;"",1,0)+IF(DS525&lt;&gt;"",1,0)+IF(DT525&lt;&gt;"",1,0)+IF(DV525&lt;&gt;"",1,0)+IF(DW525&lt;&gt;"",1,0)+IF(DX525&lt;&gt;"",1,0)+IF(DY525&lt;&gt;"",1,0)+IF(DZ525&lt;&gt;"",1,0)+IF(EB525&lt;&gt;"",1,0)+IF(EC525&lt;&gt;"",1,0)+IF(ED525&lt;&gt;"",1,0)+IF(EG525&lt;&gt;"",1,0)+IF(EH525&lt;&gt;"",1,0)</f>
        <v/>
      </c>
      <c r="AZ525">
        <f>IF(EH525&lt;&gt;"",1,0)</f>
        <v/>
      </c>
      <c r="BB525" t="inlineStr">
        <is>
          <t>WARREN-WARD 4</t>
        </is>
      </c>
      <c r="CP525" t="inlineStr">
        <is>
          <t>X</t>
        </is>
      </c>
      <c r="DC525" t="inlineStr">
        <is>
          <t>X</t>
        </is>
      </c>
      <c r="EF525" t="inlineStr">
        <is>
          <t>X</t>
        </is>
      </c>
    </row>
    <row r="526">
      <c r="A526" t="inlineStr">
        <is>
          <t>OH0015755025</t>
        </is>
      </c>
      <c r="B526" t="n">
        <v>78</v>
      </c>
      <c r="C526" t="n">
        <v>306706</v>
      </c>
      <c r="D526" t="inlineStr">
        <is>
          <t>GILBERT</t>
        </is>
      </c>
      <c r="E526" t="inlineStr">
        <is>
          <t>LORI</t>
        </is>
      </c>
      <c r="F526">
        <f>CONCATENATE(D526," ",LEFT(H526,4),"T=",AU526,"D=",AV526,"R=",AW526,"M=",AX526,"L=",AY526,"B=",AZ526)</f>
        <v/>
      </c>
      <c r="G526" t="inlineStr">
        <is>
          <t>S</t>
        </is>
      </c>
      <c r="I526" t="inlineStr">
        <is>
          <t>1966-03-02</t>
        </is>
      </c>
      <c r="J526" t="inlineStr">
        <is>
          <t>2002-02-28</t>
        </is>
      </c>
      <c r="K526" t="inlineStr">
        <is>
          <t>ACTIVE</t>
        </is>
      </c>
      <c r="L526" t="inlineStr">
        <is>
          <t>D</t>
        </is>
      </c>
      <c r="M526" t="inlineStr">
        <is>
          <t>452 CHARLES AVE SE</t>
        </is>
      </c>
      <c r="N526">
        <f>RIGHT(M526,LEN(M526)-FIND(" ",M526))</f>
        <v/>
      </c>
      <c r="P526" t="inlineStr">
        <is>
          <t>WARREN</t>
        </is>
      </c>
      <c r="Q526" t="inlineStr">
        <is>
          <t>OH</t>
        </is>
      </c>
      <c r="R526" t="n">
        <v>44483</v>
      </c>
      <c r="AD526" t="inlineStr">
        <is>
          <t>TRUMBULL CAREER &amp; TECH CENTER</t>
        </is>
      </c>
      <c r="AE526" t="inlineStr">
        <is>
          <t>WARREN CITY</t>
        </is>
      </c>
      <c r="AF526" t="inlineStr">
        <is>
          <t>WARREN CITY SD</t>
        </is>
      </c>
      <c r="AH526" t="n">
        <v>14</v>
      </c>
      <c r="AI526" t="n">
        <v>11</v>
      </c>
      <c r="AN526" t="inlineStr">
        <is>
          <t>WARREN</t>
        </is>
      </c>
      <c r="AO526" t="inlineStr">
        <is>
          <t>WARREN CITY 4A</t>
        </is>
      </c>
      <c r="AP526" t="inlineStr">
        <is>
          <t>78-P-ADI</t>
        </is>
      </c>
      <c r="AQ526" t="n">
        <v>9</v>
      </c>
      <c r="AR526" t="n">
        <v>64</v>
      </c>
      <c r="AS526" t="n">
        <v>32</v>
      </c>
      <c r="AU526">
        <f>COUNTA($BA$526:$EH$526)</f>
        <v/>
      </c>
      <c r="AV526">
        <f>COUNTIF($BA$526:$EH$526,"D")</f>
        <v/>
      </c>
      <c r="AW526">
        <f>COUNTIF($BA$526:$EH$526,"R")</f>
        <v/>
      </c>
      <c r="AX526">
        <f>IF(BN526="D",1,0)+IF(BO526="D",1,0)+IF(BT526="D",1,0)+IF(BU526="D",1,0)+IF(BW526="D",1,0)+IF(CC526="D",1,0)+IF(CD526="D",1,0)+IF(CE526="D",1,0)+IF(CF526="D",1,0)+IF(CL526="D",1,0)+IF(CM526="D",1,0)+IF(CQ526="D",1,0)+IF(CR526="D",1,0)+IF(CS526="D",1,0)+IF(CW526="D",1,0)+IF(CX526="D",1,0)+IF(DD526="D",1,0)+IF(DE526="D",1,0)+IF(DJ526="D",1,0)+IF(DK526="D",1,0)+IF(DO526="D",1,0)+IF(DP526="D",1,0)+IF(DQ526="D",1,0)+IF(DW526="D",1,0)+IF(DZ526="D",1,0)+IF(EH526="D",1,0)</f>
        <v/>
      </c>
      <c r="AY526">
        <f>IF(DJ526&lt;&gt;"",1,0)+IF(DK526&lt;&gt;"",1,0)+IF(DM526&lt;&gt;"",1,0)+IF(DO526&lt;&gt;"",1,0)+IF(DP526&lt;&gt;"",1,0)+IF(DQ526&lt;&gt;"",1,0)+IF(DS526&lt;&gt;"",1,0)+IF(DT526&lt;&gt;"",1,0)+IF(DV526&lt;&gt;"",1,0)+IF(DW526&lt;&gt;"",1,0)+IF(DX526&lt;&gt;"",1,0)+IF(DY526&lt;&gt;"",1,0)+IF(DZ526&lt;&gt;"",1,0)+IF(EB526&lt;&gt;"",1,0)+IF(EC526&lt;&gt;"",1,0)+IF(ED526&lt;&gt;"",1,0)+IF(EG526&lt;&gt;"",1,0)+IF(EH526&lt;&gt;"",1,0)</f>
        <v/>
      </c>
      <c r="AZ526">
        <f>IF(EH526&lt;&gt;"",1,0)</f>
        <v/>
      </c>
      <c r="BB526" t="inlineStr">
        <is>
          <t>WARREN-WARD 4</t>
        </is>
      </c>
      <c r="BJ526" t="inlineStr">
        <is>
          <t>X</t>
        </is>
      </c>
      <c r="BL526" t="inlineStr">
        <is>
          <t>X</t>
        </is>
      </c>
      <c r="BP526" t="inlineStr">
        <is>
          <t>X</t>
        </is>
      </c>
      <c r="BV526" t="inlineStr">
        <is>
          <t>X</t>
        </is>
      </c>
      <c r="BY526" t="inlineStr">
        <is>
          <t>D</t>
        </is>
      </c>
      <c r="CA526" t="inlineStr">
        <is>
          <t>X</t>
        </is>
      </c>
      <c r="CG526" t="inlineStr">
        <is>
          <t>X</t>
        </is>
      </c>
      <c r="CK526" t="inlineStr">
        <is>
          <t>X</t>
        </is>
      </c>
      <c r="CN526" t="inlineStr">
        <is>
          <t>X</t>
        </is>
      </c>
      <c r="CP526" t="inlineStr">
        <is>
          <t>X</t>
        </is>
      </c>
      <c r="CQ526" t="inlineStr">
        <is>
          <t>D</t>
        </is>
      </c>
      <c r="CT526" t="inlineStr">
        <is>
          <t>X</t>
        </is>
      </c>
      <c r="CU526" t="inlineStr">
        <is>
          <t>D</t>
        </is>
      </c>
      <c r="DC526" t="inlineStr">
        <is>
          <t>X</t>
        </is>
      </c>
      <c r="DN526" t="inlineStr">
        <is>
          <t>X</t>
        </is>
      </c>
      <c r="DU526" t="inlineStr">
        <is>
          <t>X</t>
        </is>
      </c>
      <c r="DX526" t="inlineStr">
        <is>
          <t>X</t>
        </is>
      </c>
      <c r="EA526" t="inlineStr">
        <is>
          <t>X</t>
        </is>
      </c>
      <c r="ED526" t="inlineStr">
        <is>
          <t>D</t>
        </is>
      </c>
      <c r="EF526" t="inlineStr">
        <is>
          <t>X</t>
        </is>
      </c>
    </row>
    <row r="527">
      <c r="A527" t="inlineStr">
        <is>
          <t>OH0027839493</t>
        </is>
      </c>
      <c r="B527" t="n">
        <v>78</v>
      </c>
      <c r="C527" t="n">
        <v>492820</v>
      </c>
      <c r="D527" t="inlineStr">
        <is>
          <t>KILLIAS</t>
        </is>
      </c>
      <c r="E527" t="inlineStr">
        <is>
          <t>JORDAN</t>
        </is>
      </c>
      <c r="F527">
        <f>CONCATENATE(D527," ",LEFT(H527,4),"T=",AU527,"D=",AV527,"R=",AW527,"M=",AX527,"L=",AY527,"B=",AZ527)</f>
        <v/>
      </c>
      <c r="G527" t="inlineStr">
        <is>
          <t>DAVID</t>
        </is>
      </c>
      <c r="I527" t="inlineStr">
        <is>
          <t>1997-06-08</t>
        </is>
      </c>
      <c r="J527" t="inlineStr">
        <is>
          <t>2024-11-05</t>
        </is>
      </c>
      <c r="K527" t="inlineStr">
        <is>
          <t>ACTIVE</t>
        </is>
      </c>
      <c r="M527" t="inlineStr">
        <is>
          <t>361 HOMEWOOD AVE SE</t>
        </is>
      </c>
      <c r="N527">
        <f>RIGHT(M527,LEN(M527)-FIND(" ",M527))</f>
        <v/>
      </c>
      <c r="P527" t="inlineStr">
        <is>
          <t>WARREN</t>
        </is>
      </c>
      <c r="Q527" t="inlineStr">
        <is>
          <t>OH</t>
        </is>
      </c>
      <c r="R527" t="n">
        <v>44483</v>
      </c>
      <c r="AD527" t="inlineStr">
        <is>
          <t>TRUMBULL CAREER &amp; TECH CENTER</t>
        </is>
      </c>
      <c r="AE527" t="inlineStr">
        <is>
          <t>WARREN CITY</t>
        </is>
      </c>
      <c r="AF527" t="inlineStr">
        <is>
          <t>WARREN CITY SD</t>
        </is>
      </c>
      <c r="AH527" t="n">
        <v>14</v>
      </c>
      <c r="AI527" t="n">
        <v>11</v>
      </c>
      <c r="AN527" t="inlineStr">
        <is>
          <t>WARREN</t>
        </is>
      </c>
      <c r="AO527" t="inlineStr">
        <is>
          <t>WARREN CITY 4A</t>
        </is>
      </c>
      <c r="AP527" t="inlineStr">
        <is>
          <t>78-P-ADI</t>
        </is>
      </c>
      <c r="AQ527" t="n">
        <v>9</v>
      </c>
      <c r="AR527" t="n">
        <v>64</v>
      </c>
      <c r="AS527" t="n">
        <v>32</v>
      </c>
      <c r="AU527">
        <f>COUNTA($BA$527:$EH$527)</f>
        <v/>
      </c>
      <c r="AV527">
        <f>COUNTIF($BA$527:$EH$527,"D")</f>
        <v/>
      </c>
      <c r="AW527">
        <f>COUNTIF($BA$527:$EH$527,"R")</f>
        <v/>
      </c>
      <c r="AX527">
        <f>IF(BN527="D",1,0)+IF(BO527="D",1,0)+IF(BT527="D",1,0)+IF(BU527="D",1,0)+IF(BW527="D",1,0)+IF(CC527="D",1,0)+IF(CD527="D",1,0)+IF(CE527="D",1,0)+IF(CF527="D",1,0)+IF(CL527="D",1,0)+IF(CM527="D",1,0)+IF(CQ527="D",1,0)+IF(CR527="D",1,0)+IF(CS527="D",1,0)+IF(CW527="D",1,0)+IF(CX527="D",1,0)+IF(DD527="D",1,0)+IF(DE527="D",1,0)+IF(DJ527="D",1,0)+IF(DK527="D",1,0)+IF(DO527="D",1,0)+IF(DP527="D",1,0)+IF(DQ527="D",1,0)+IF(DW527="D",1,0)+IF(DZ527="D",1,0)+IF(EH527="D",1,0)</f>
        <v/>
      </c>
      <c r="AY527">
        <f>IF(DJ527&lt;&gt;"",1,0)+IF(DK527&lt;&gt;"",1,0)+IF(DM527&lt;&gt;"",1,0)+IF(DO527&lt;&gt;"",1,0)+IF(DP527&lt;&gt;"",1,0)+IF(DQ527&lt;&gt;"",1,0)+IF(DS527&lt;&gt;"",1,0)+IF(DT527&lt;&gt;"",1,0)+IF(DV527&lt;&gt;"",1,0)+IF(DW527&lt;&gt;"",1,0)+IF(DX527&lt;&gt;"",1,0)+IF(DY527&lt;&gt;"",1,0)+IF(DZ527&lt;&gt;"",1,0)+IF(EB527&lt;&gt;"",1,0)+IF(EC527&lt;&gt;"",1,0)+IF(ED527&lt;&gt;"",1,0)+IF(EG527&lt;&gt;"",1,0)+IF(EH527&lt;&gt;"",1,0)</f>
        <v/>
      </c>
      <c r="AZ527">
        <f>IF(EH527&lt;&gt;"",1,0)</f>
        <v/>
      </c>
      <c r="BB527" t="inlineStr">
        <is>
          <t>WARREN-WARD 4</t>
        </is>
      </c>
    </row>
    <row r="528">
      <c r="A528" t="inlineStr">
        <is>
          <t>OH0015909125</t>
        </is>
      </c>
      <c r="B528" t="n">
        <v>78</v>
      </c>
      <c r="C528" t="n">
        <v>334327</v>
      </c>
      <c r="D528" t="inlineStr">
        <is>
          <t>GILBERT</t>
        </is>
      </c>
      <c r="E528" t="inlineStr">
        <is>
          <t>PETER</t>
        </is>
      </c>
      <c r="F528">
        <f>CONCATENATE(D528," ",LEFT(H528,4),"T=",AU528,"D=",AV528,"R=",AW528,"M=",AX528,"L=",AY528,"B=",AZ528)</f>
        <v/>
      </c>
      <c r="G528" t="inlineStr">
        <is>
          <t>B</t>
        </is>
      </c>
      <c r="I528" t="inlineStr">
        <is>
          <t>1959-12-01</t>
        </is>
      </c>
      <c r="J528" t="inlineStr">
        <is>
          <t>2004-09-18</t>
        </is>
      </c>
      <c r="K528" t="inlineStr">
        <is>
          <t>ACTIVE</t>
        </is>
      </c>
      <c r="L528" t="inlineStr">
        <is>
          <t>D</t>
        </is>
      </c>
      <c r="M528" t="inlineStr">
        <is>
          <t>452 CHARLES AVE SE</t>
        </is>
      </c>
      <c r="N528">
        <f>RIGHT(M528,LEN(M528)-FIND(" ",M528))</f>
        <v/>
      </c>
      <c r="P528" t="inlineStr">
        <is>
          <t>WARREN</t>
        </is>
      </c>
      <c r="Q528" t="inlineStr">
        <is>
          <t>OH</t>
        </is>
      </c>
      <c r="R528" t="n">
        <v>44483</v>
      </c>
      <c r="AD528" t="inlineStr">
        <is>
          <t>TRUMBULL CAREER &amp; TECH CENTER</t>
        </is>
      </c>
      <c r="AE528" t="inlineStr">
        <is>
          <t>WARREN CITY</t>
        </is>
      </c>
      <c r="AF528" t="inlineStr">
        <is>
          <t>WARREN CITY SD</t>
        </is>
      </c>
      <c r="AH528" t="n">
        <v>14</v>
      </c>
      <c r="AI528" t="n">
        <v>11</v>
      </c>
      <c r="AN528" t="inlineStr">
        <is>
          <t>WARREN</t>
        </is>
      </c>
      <c r="AO528" t="inlineStr">
        <is>
          <t>WARREN CITY 4A</t>
        </is>
      </c>
      <c r="AP528" t="inlineStr">
        <is>
          <t>78-P-ADI</t>
        </is>
      </c>
      <c r="AQ528" t="n">
        <v>9</v>
      </c>
      <c r="AR528" t="n">
        <v>64</v>
      </c>
      <c r="AS528" t="n">
        <v>32</v>
      </c>
      <c r="AU528">
        <f>COUNTA($BA$528:$EH$528)</f>
        <v/>
      </c>
      <c r="AV528">
        <f>COUNTIF($BA$528:$EH$528,"D")</f>
        <v/>
      </c>
      <c r="AW528">
        <f>COUNTIF($BA$528:$EH$528,"R")</f>
        <v/>
      </c>
      <c r="AX528">
        <f>IF(BN528="D",1,0)+IF(BO528="D",1,0)+IF(BT528="D",1,0)+IF(BU528="D",1,0)+IF(BW528="D",1,0)+IF(CC528="D",1,0)+IF(CD528="D",1,0)+IF(CE528="D",1,0)+IF(CF528="D",1,0)+IF(CL528="D",1,0)+IF(CM528="D",1,0)+IF(CQ528="D",1,0)+IF(CR528="D",1,0)+IF(CS528="D",1,0)+IF(CW528="D",1,0)+IF(CX528="D",1,0)+IF(DD528="D",1,0)+IF(DE528="D",1,0)+IF(DJ528="D",1,0)+IF(DK528="D",1,0)+IF(DO528="D",1,0)+IF(DP528="D",1,0)+IF(DQ528="D",1,0)+IF(DW528="D",1,0)+IF(DZ528="D",1,0)+IF(EH528="D",1,0)</f>
        <v/>
      </c>
      <c r="AY528">
        <f>IF(DJ528&lt;&gt;"",1,0)+IF(DK528&lt;&gt;"",1,0)+IF(DM528&lt;&gt;"",1,0)+IF(DO528&lt;&gt;"",1,0)+IF(DP528&lt;&gt;"",1,0)+IF(DQ528&lt;&gt;"",1,0)+IF(DS528&lt;&gt;"",1,0)+IF(DT528&lt;&gt;"",1,0)+IF(DV528&lt;&gt;"",1,0)+IF(DW528&lt;&gt;"",1,0)+IF(DX528&lt;&gt;"",1,0)+IF(DY528&lt;&gt;"",1,0)+IF(DZ528&lt;&gt;"",1,0)+IF(EB528&lt;&gt;"",1,0)+IF(EC528&lt;&gt;"",1,0)+IF(ED528&lt;&gt;"",1,0)+IF(EG528&lt;&gt;"",1,0)+IF(EH528&lt;&gt;"",1,0)</f>
        <v/>
      </c>
      <c r="AZ528">
        <f>IF(EH528&lt;&gt;"",1,0)</f>
        <v/>
      </c>
      <c r="BB528" t="inlineStr">
        <is>
          <t>WARREN-WARD 4</t>
        </is>
      </c>
      <c r="BL528" t="inlineStr">
        <is>
          <t>X</t>
        </is>
      </c>
      <c r="BP528" t="inlineStr">
        <is>
          <t>X</t>
        </is>
      </c>
      <c r="BV528" t="inlineStr">
        <is>
          <t>X</t>
        </is>
      </c>
      <c r="BY528" t="inlineStr">
        <is>
          <t>D</t>
        </is>
      </c>
      <c r="CA528" t="inlineStr">
        <is>
          <t>X</t>
        </is>
      </c>
      <c r="CG528" t="inlineStr">
        <is>
          <t>X</t>
        </is>
      </c>
      <c r="CK528" t="inlineStr">
        <is>
          <t>X</t>
        </is>
      </c>
      <c r="CN528" t="inlineStr">
        <is>
          <t>X</t>
        </is>
      </c>
      <c r="CP528" t="inlineStr">
        <is>
          <t>X</t>
        </is>
      </c>
      <c r="CQ528" t="inlineStr">
        <is>
          <t>D</t>
        </is>
      </c>
      <c r="CT528" t="inlineStr">
        <is>
          <t>X</t>
        </is>
      </c>
      <c r="CU528" t="inlineStr">
        <is>
          <t>D</t>
        </is>
      </c>
      <c r="DN528" t="inlineStr">
        <is>
          <t>X</t>
        </is>
      </c>
      <c r="DR528" t="inlineStr">
        <is>
          <t>X</t>
        </is>
      </c>
      <c r="DU528" t="inlineStr">
        <is>
          <t>X</t>
        </is>
      </c>
      <c r="DX528" t="inlineStr">
        <is>
          <t>X</t>
        </is>
      </c>
      <c r="EA528" t="inlineStr">
        <is>
          <t>X</t>
        </is>
      </c>
      <c r="ED528" t="inlineStr">
        <is>
          <t>D</t>
        </is>
      </c>
      <c r="EF528" t="inlineStr">
        <is>
          <t>X</t>
        </is>
      </c>
    </row>
    <row r="529">
      <c r="A529" t="inlineStr">
        <is>
          <t>OH0023187277</t>
        </is>
      </c>
      <c r="B529" t="n">
        <v>78</v>
      </c>
      <c r="C529" t="n">
        <v>408043</v>
      </c>
      <c r="D529" t="inlineStr">
        <is>
          <t>BUTCHER</t>
        </is>
      </c>
      <c r="E529" t="inlineStr">
        <is>
          <t>ANTHONY</t>
        </is>
      </c>
      <c r="F529">
        <f>CONCATENATE(D529," ",LEFT(H529,4),"T=",AU529,"D=",AV529,"R=",AW529,"M=",AX529,"L=",AY529,"B=",AZ529)</f>
        <v/>
      </c>
      <c r="G529" t="inlineStr">
        <is>
          <t>D</t>
        </is>
      </c>
      <c r="I529" t="inlineStr">
        <is>
          <t>1997-07-27</t>
        </is>
      </c>
      <c r="J529" t="inlineStr">
        <is>
          <t>2017-05-17</t>
        </is>
      </c>
      <c r="K529" t="inlineStr">
        <is>
          <t>CONFIRMATION</t>
        </is>
      </c>
      <c r="M529" t="inlineStr">
        <is>
          <t>1343 BELLE ST SE</t>
        </is>
      </c>
      <c r="N529">
        <f>RIGHT(M529,LEN(M529)-FIND(" ",M529))</f>
        <v/>
      </c>
      <c r="P529" t="inlineStr">
        <is>
          <t>WARREN</t>
        </is>
      </c>
      <c r="Q529" t="inlineStr">
        <is>
          <t>OH</t>
        </is>
      </c>
      <c r="R529" t="n">
        <v>44484</v>
      </c>
      <c r="AD529" t="inlineStr">
        <is>
          <t>TRUMBULL CAREER &amp; TECH CENTER</t>
        </is>
      </c>
      <c r="AE529" t="inlineStr">
        <is>
          <t>WARREN CITY</t>
        </is>
      </c>
      <c r="AF529" t="inlineStr">
        <is>
          <t>WARREN CITY SD</t>
        </is>
      </c>
      <c r="AH529" t="n">
        <v>14</v>
      </c>
      <c r="AI529" t="n">
        <v>11</v>
      </c>
      <c r="AN529" t="inlineStr">
        <is>
          <t>WARREN</t>
        </is>
      </c>
      <c r="AO529" t="inlineStr">
        <is>
          <t>WARREN CITY 4A</t>
        </is>
      </c>
      <c r="AP529" t="inlineStr">
        <is>
          <t>78-P-ADI</t>
        </is>
      </c>
      <c r="AQ529" t="n">
        <v>9</v>
      </c>
      <c r="AR529" t="n">
        <v>64</v>
      </c>
      <c r="AS529" t="n">
        <v>32</v>
      </c>
      <c r="AU529">
        <f>COUNTA($BA$529:$EH$529)</f>
        <v/>
      </c>
      <c r="AV529">
        <f>COUNTIF($BA$529:$EH$529,"D")</f>
        <v/>
      </c>
      <c r="AW529">
        <f>COUNTIF($BA$529:$EH$529,"R")</f>
        <v/>
      </c>
      <c r="AX529">
        <f>IF(BN529="D",1,0)+IF(BO529="D",1,0)+IF(BT529="D",1,0)+IF(BU529="D",1,0)+IF(BW529="D",1,0)+IF(CC529="D",1,0)+IF(CD529="D",1,0)+IF(CE529="D",1,0)+IF(CF529="D",1,0)+IF(CL529="D",1,0)+IF(CM529="D",1,0)+IF(CQ529="D",1,0)+IF(CR529="D",1,0)+IF(CS529="D",1,0)+IF(CW529="D",1,0)+IF(CX529="D",1,0)+IF(DD529="D",1,0)+IF(DE529="D",1,0)+IF(DJ529="D",1,0)+IF(DK529="D",1,0)+IF(DO529="D",1,0)+IF(DP529="D",1,0)+IF(DQ529="D",1,0)+IF(DW529="D",1,0)+IF(DZ529="D",1,0)+IF(EH529="D",1,0)</f>
        <v/>
      </c>
      <c r="AY529">
        <f>IF(DJ529&lt;&gt;"",1,0)+IF(DK529&lt;&gt;"",1,0)+IF(DM529&lt;&gt;"",1,0)+IF(DO529&lt;&gt;"",1,0)+IF(DP529&lt;&gt;"",1,0)+IF(DQ529&lt;&gt;"",1,0)+IF(DS529&lt;&gt;"",1,0)+IF(DT529&lt;&gt;"",1,0)+IF(DV529&lt;&gt;"",1,0)+IF(DW529&lt;&gt;"",1,0)+IF(DX529&lt;&gt;"",1,0)+IF(DY529&lt;&gt;"",1,0)+IF(DZ529&lt;&gt;"",1,0)+IF(EB529&lt;&gt;"",1,0)+IF(EC529&lt;&gt;"",1,0)+IF(ED529&lt;&gt;"",1,0)+IF(EG529&lt;&gt;"",1,0)+IF(EH529&lt;&gt;"",1,0)</f>
        <v/>
      </c>
      <c r="AZ529">
        <f>IF(EH529&lt;&gt;"",1,0)</f>
        <v/>
      </c>
      <c r="BB529" t="inlineStr">
        <is>
          <t>WARREN-WARD 4</t>
        </is>
      </c>
      <c r="CY529" t="inlineStr">
        <is>
          <t>X</t>
        </is>
      </c>
    </row>
    <row r="530">
      <c r="A530" t="inlineStr">
        <is>
          <t>OH0025051392</t>
        </is>
      </c>
      <c r="B530" t="n">
        <v>78</v>
      </c>
      <c r="C530" t="n">
        <v>438642</v>
      </c>
      <c r="D530" t="inlineStr">
        <is>
          <t>HALLETT</t>
        </is>
      </c>
      <c r="E530" t="inlineStr">
        <is>
          <t>ALYSSA</t>
        </is>
      </c>
      <c r="F530">
        <f>CONCATENATE(D530," ",LEFT(H530,4),"T=",AU530,"D=",AV530,"R=",AW530,"M=",AX530,"L=",AY530,"B=",AZ530)</f>
        <v/>
      </c>
      <c r="G530" t="inlineStr">
        <is>
          <t>NICOLE</t>
        </is>
      </c>
      <c r="I530" t="inlineStr">
        <is>
          <t>2001-07-10</t>
        </is>
      </c>
      <c r="J530" t="inlineStr">
        <is>
          <t>2019-03-28</t>
        </is>
      </c>
      <c r="K530" t="inlineStr">
        <is>
          <t>CONFIRMATION</t>
        </is>
      </c>
      <c r="M530" t="inlineStr">
        <is>
          <t>797 HOMEWOOD AVE SE</t>
        </is>
      </c>
      <c r="N530">
        <f>RIGHT(M530,LEN(M530)-FIND(" ",M530))</f>
        <v/>
      </c>
      <c r="P530" t="inlineStr">
        <is>
          <t>WARREN</t>
        </is>
      </c>
      <c r="Q530" t="inlineStr">
        <is>
          <t>OH</t>
        </is>
      </c>
      <c r="R530" t="n">
        <v>44484</v>
      </c>
      <c r="AD530" t="inlineStr">
        <is>
          <t>TRUMBULL CAREER &amp; TECH CENTER</t>
        </is>
      </c>
      <c r="AE530" t="inlineStr">
        <is>
          <t>WARREN CITY</t>
        </is>
      </c>
      <c r="AF530" t="inlineStr">
        <is>
          <t>WARREN CITY SD</t>
        </is>
      </c>
      <c r="AH530" t="n">
        <v>14</v>
      </c>
      <c r="AI530" t="n">
        <v>11</v>
      </c>
      <c r="AN530" t="inlineStr">
        <is>
          <t>WARREN</t>
        </is>
      </c>
      <c r="AO530" t="inlineStr">
        <is>
          <t>WARREN CITY 4A</t>
        </is>
      </c>
      <c r="AP530" t="inlineStr">
        <is>
          <t>78-P-ADI</t>
        </is>
      </c>
      <c r="AQ530" t="n">
        <v>9</v>
      </c>
      <c r="AR530" t="n">
        <v>64</v>
      </c>
      <c r="AS530" t="n">
        <v>32</v>
      </c>
      <c r="AU530">
        <f>COUNTA($BA$530:$EH$530)</f>
        <v/>
      </c>
      <c r="AV530">
        <f>COUNTIF($BA$530:$EH$530,"D")</f>
        <v/>
      </c>
      <c r="AW530">
        <f>COUNTIF($BA$530:$EH$530,"R")</f>
        <v/>
      </c>
      <c r="AX530">
        <f>IF(BN530="D",1,0)+IF(BO530="D",1,0)+IF(BT530="D",1,0)+IF(BU530="D",1,0)+IF(BW530="D",1,0)+IF(CC530="D",1,0)+IF(CD530="D",1,0)+IF(CE530="D",1,0)+IF(CF530="D",1,0)+IF(CL530="D",1,0)+IF(CM530="D",1,0)+IF(CQ530="D",1,0)+IF(CR530="D",1,0)+IF(CS530="D",1,0)+IF(CW530="D",1,0)+IF(CX530="D",1,0)+IF(DD530="D",1,0)+IF(DE530="D",1,0)+IF(DJ530="D",1,0)+IF(DK530="D",1,0)+IF(DO530="D",1,0)+IF(DP530="D",1,0)+IF(DQ530="D",1,0)+IF(DW530="D",1,0)+IF(DZ530="D",1,0)+IF(EH530="D",1,0)</f>
        <v/>
      </c>
      <c r="AY530">
        <f>IF(DJ530&lt;&gt;"",1,0)+IF(DK530&lt;&gt;"",1,0)+IF(DM530&lt;&gt;"",1,0)+IF(DO530&lt;&gt;"",1,0)+IF(DP530&lt;&gt;"",1,0)+IF(DQ530&lt;&gt;"",1,0)+IF(DS530&lt;&gt;"",1,0)+IF(DT530&lt;&gt;"",1,0)+IF(DV530&lt;&gt;"",1,0)+IF(DW530&lt;&gt;"",1,0)+IF(DX530&lt;&gt;"",1,0)+IF(DY530&lt;&gt;"",1,0)+IF(DZ530&lt;&gt;"",1,0)+IF(EB530&lt;&gt;"",1,0)+IF(EC530&lt;&gt;"",1,0)+IF(ED530&lt;&gt;"",1,0)+IF(EG530&lt;&gt;"",1,0)+IF(EH530&lt;&gt;"",1,0)</f>
        <v/>
      </c>
      <c r="AZ530">
        <f>IF(EH530&lt;&gt;"",1,0)</f>
        <v/>
      </c>
      <c r="BB530" t="inlineStr">
        <is>
          <t>WARREN-WARD 4</t>
        </is>
      </c>
      <c r="DN530" t="inlineStr">
        <is>
          <t>X</t>
        </is>
      </c>
    </row>
    <row r="531">
      <c r="A531" t="inlineStr">
        <is>
          <t>OH0026906015</t>
        </is>
      </c>
      <c r="B531" t="n">
        <v>78</v>
      </c>
      <c r="C531" t="n">
        <v>473993</v>
      </c>
      <c r="D531" t="inlineStr">
        <is>
          <t>TURVEY</t>
        </is>
      </c>
      <c r="E531" t="inlineStr">
        <is>
          <t>LOIS</t>
        </is>
      </c>
      <c r="F531">
        <f>CONCATENATE(D531," ",LEFT(H531,4),"T=",AU531,"D=",AV531,"R=",AW531,"M=",AX531,"L=",AY531,"B=",AZ531)</f>
        <v/>
      </c>
      <c r="G531" t="inlineStr">
        <is>
          <t>MAE</t>
        </is>
      </c>
      <c r="I531" t="inlineStr">
        <is>
          <t>1962-03-14</t>
        </is>
      </c>
      <c r="J531" t="inlineStr">
        <is>
          <t>2024-10-21</t>
        </is>
      </c>
      <c r="K531" t="inlineStr">
        <is>
          <t>ACTIVE</t>
        </is>
      </c>
      <c r="M531" t="inlineStr">
        <is>
          <t>221 CHARLES AVE SE</t>
        </is>
      </c>
      <c r="N531">
        <f>RIGHT(M531,LEN(M531)-FIND(" ",M531))</f>
        <v/>
      </c>
      <c r="O531" t="inlineStr">
        <is>
          <t>APT 4</t>
        </is>
      </c>
      <c r="P531" t="inlineStr">
        <is>
          <t>WARREN</t>
        </is>
      </c>
      <c r="Q531" t="inlineStr">
        <is>
          <t>OH</t>
        </is>
      </c>
      <c r="R531" t="n">
        <v>44483</v>
      </c>
      <c r="AD531" t="inlineStr">
        <is>
          <t>TRUMBULL CAREER &amp; TECH CENTER</t>
        </is>
      </c>
      <c r="AE531" t="inlineStr">
        <is>
          <t>WARREN CITY</t>
        </is>
      </c>
      <c r="AF531" t="inlineStr">
        <is>
          <t>WARREN CITY SD</t>
        </is>
      </c>
      <c r="AH531" t="n">
        <v>14</v>
      </c>
      <c r="AI531" t="n">
        <v>11</v>
      </c>
      <c r="AN531" t="inlineStr">
        <is>
          <t>WARREN</t>
        </is>
      </c>
      <c r="AO531" t="inlineStr">
        <is>
          <t>WARREN CITY 4A</t>
        </is>
      </c>
      <c r="AP531" t="inlineStr">
        <is>
          <t>78-P-ADI</t>
        </is>
      </c>
      <c r="AQ531" t="n">
        <v>9</v>
      </c>
      <c r="AR531" t="n">
        <v>64</v>
      </c>
      <c r="AS531" t="n">
        <v>32</v>
      </c>
      <c r="AU531">
        <f>COUNTA($BA$531:$EH$531)</f>
        <v/>
      </c>
      <c r="AV531">
        <f>COUNTIF($BA$531:$EH$531,"D")</f>
        <v/>
      </c>
      <c r="AW531">
        <f>COUNTIF($BA$531:$EH$531,"R")</f>
        <v/>
      </c>
      <c r="AX531">
        <f>IF(BN531="D",1,0)+IF(BO531="D",1,0)+IF(BT531="D",1,0)+IF(BU531="D",1,0)+IF(BW531="D",1,0)+IF(CC531="D",1,0)+IF(CD531="D",1,0)+IF(CE531="D",1,0)+IF(CF531="D",1,0)+IF(CL531="D",1,0)+IF(CM531="D",1,0)+IF(CQ531="D",1,0)+IF(CR531="D",1,0)+IF(CS531="D",1,0)+IF(CW531="D",1,0)+IF(CX531="D",1,0)+IF(DD531="D",1,0)+IF(DE531="D",1,0)+IF(DJ531="D",1,0)+IF(DK531="D",1,0)+IF(DO531="D",1,0)+IF(DP531="D",1,0)+IF(DQ531="D",1,0)+IF(DW531="D",1,0)+IF(DZ531="D",1,0)+IF(EH531="D",1,0)</f>
        <v/>
      </c>
      <c r="AY531">
        <f>IF(DJ531&lt;&gt;"",1,0)+IF(DK531&lt;&gt;"",1,0)+IF(DM531&lt;&gt;"",1,0)+IF(DO531&lt;&gt;"",1,0)+IF(DP531&lt;&gt;"",1,0)+IF(DQ531&lt;&gt;"",1,0)+IF(DS531&lt;&gt;"",1,0)+IF(DT531&lt;&gt;"",1,0)+IF(DV531&lt;&gt;"",1,0)+IF(DW531&lt;&gt;"",1,0)+IF(DX531&lt;&gt;"",1,0)+IF(DY531&lt;&gt;"",1,0)+IF(DZ531&lt;&gt;"",1,0)+IF(EB531&lt;&gt;"",1,0)+IF(EC531&lt;&gt;"",1,0)+IF(ED531&lt;&gt;"",1,0)+IF(EG531&lt;&gt;"",1,0)+IF(EH531&lt;&gt;"",1,0)</f>
        <v/>
      </c>
      <c r="AZ531">
        <f>IF(EH531&lt;&gt;"",1,0)</f>
        <v/>
      </c>
      <c r="BB531" t="inlineStr">
        <is>
          <t>WARREN-WARD 4</t>
        </is>
      </c>
      <c r="BD531" t="inlineStr">
        <is>
          <t>X</t>
        </is>
      </c>
      <c r="BL531" t="inlineStr">
        <is>
          <t>X</t>
        </is>
      </c>
      <c r="CA531" t="inlineStr">
        <is>
          <t>X</t>
        </is>
      </c>
      <c r="CP531" t="inlineStr">
        <is>
          <t>X</t>
        </is>
      </c>
      <c r="CV531" t="inlineStr">
        <is>
          <t>X</t>
        </is>
      </c>
      <c r="CY531" t="inlineStr">
        <is>
          <t>X</t>
        </is>
      </c>
      <c r="DC531" t="inlineStr">
        <is>
          <t>X</t>
        </is>
      </c>
      <c r="DI531" t="inlineStr">
        <is>
          <t>X</t>
        </is>
      </c>
      <c r="DN531" t="inlineStr">
        <is>
          <t>X</t>
        </is>
      </c>
    </row>
    <row r="532">
      <c r="A532" t="inlineStr">
        <is>
          <t>OH0026734456</t>
        </is>
      </c>
      <c r="B532" t="n">
        <v>78</v>
      </c>
      <c r="C532" t="n">
        <v>466821</v>
      </c>
      <c r="D532" t="inlineStr">
        <is>
          <t>CONDE</t>
        </is>
      </c>
      <c r="E532" t="inlineStr">
        <is>
          <t>JACOB</t>
        </is>
      </c>
      <c r="F532">
        <f>CONCATENATE(D532," ",LEFT(H532,4),"T=",AU532,"D=",AV532,"R=",AW532,"M=",AX532,"L=",AY532,"B=",AZ532)</f>
        <v/>
      </c>
      <c r="G532" t="inlineStr">
        <is>
          <t>JEAN LUC</t>
        </is>
      </c>
      <c r="I532" t="inlineStr">
        <is>
          <t>2005-10-23</t>
        </is>
      </c>
      <c r="J532" t="inlineStr">
        <is>
          <t>2022-12-02</t>
        </is>
      </c>
      <c r="K532" t="inlineStr">
        <is>
          <t>ACTIVE</t>
        </is>
      </c>
      <c r="L532" t="inlineStr">
        <is>
          <t>D</t>
        </is>
      </c>
      <c r="M532" t="inlineStr">
        <is>
          <t>351 CHARLES AVE SE</t>
        </is>
      </c>
      <c r="N532">
        <f>RIGHT(M532,LEN(M532)-FIND(" ",M532))</f>
        <v/>
      </c>
      <c r="P532" t="inlineStr">
        <is>
          <t>WARREN</t>
        </is>
      </c>
      <c r="Q532" t="inlineStr">
        <is>
          <t>OH</t>
        </is>
      </c>
      <c r="R532" t="n">
        <v>44483</v>
      </c>
      <c r="AD532" t="inlineStr">
        <is>
          <t>TRUMBULL CAREER &amp; TECH CENTER</t>
        </is>
      </c>
      <c r="AE532" t="inlineStr">
        <is>
          <t>WARREN CITY</t>
        </is>
      </c>
      <c r="AF532" t="inlineStr">
        <is>
          <t>WARREN CITY SD</t>
        </is>
      </c>
      <c r="AH532" t="n">
        <v>14</v>
      </c>
      <c r="AI532" t="n">
        <v>11</v>
      </c>
      <c r="AN532" t="inlineStr">
        <is>
          <t>WARREN</t>
        </is>
      </c>
      <c r="AO532" t="inlineStr">
        <is>
          <t>WARREN CITY 4A</t>
        </is>
      </c>
      <c r="AP532" t="inlineStr">
        <is>
          <t>78-P-ADI</t>
        </is>
      </c>
      <c r="AQ532" t="n">
        <v>9</v>
      </c>
      <c r="AR532" t="n">
        <v>64</v>
      </c>
      <c r="AS532" t="n">
        <v>32</v>
      </c>
      <c r="AU532">
        <f>COUNTA($BA$532:$EH$532)</f>
        <v/>
      </c>
      <c r="AV532">
        <f>COUNTIF($BA$532:$EH$532,"D")</f>
        <v/>
      </c>
      <c r="AW532">
        <f>COUNTIF($BA$532:$EH$532,"R")</f>
        <v/>
      </c>
      <c r="AX532">
        <f>IF(BN532="D",1,0)+IF(BO532="D",1,0)+IF(BT532="D",1,0)+IF(BU532="D",1,0)+IF(BW532="D",1,0)+IF(CC532="D",1,0)+IF(CD532="D",1,0)+IF(CE532="D",1,0)+IF(CF532="D",1,0)+IF(CL532="D",1,0)+IF(CM532="D",1,0)+IF(CQ532="D",1,0)+IF(CR532="D",1,0)+IF(CS532="D",1,0)+IF(CW532="D",1,0)+IF(CX532="D",1,0)+IF(DD532="D",1,0)+IF(DE532="D",1,0)+IF(DJ532="D",1,0)+IF(DK532="D",1,0)+IF(DO532="D",1,0)+IF(DP532="D",1,0)+IF(DQ532="D",1,0)+IF(DW532="D",1,0)+IF(DZ532="D",1,0)+IF(EH532="D",1,0)</f>
        <v/>
      </c>
      <c r="AY532">
        <f>IF(DJ532&lt;&gt;"",1,0)+IF(DK532&lt;&gt;"",1,0)+IF(DM532&lt;&gt;"",1,0)+IF(DO532&lt;&gt;"",1,0)+IF(DP532&lt;&gt;"",1,0)+IF(DQ532&lt;&gt;"",1,0)+IF(DS532&lt;&gt;"",1,0)+IF(DT532&lt;&gt;"",1,0)+IF(DV532&lt;&gt;"",1,0)+IF(DW532&lt;&gt;"",1,0)+IF(DX532&lt;&gt;"",1,0)+IF(DY532&lt;&gt;"",1,0)+IF(DZ532&lt;&gt;"",1,0)+IF(EB532&lt;&gt;"",1,0)+IF(EC532&lt;&gt;"",1,0)+IF(ED532&lt;&gt;"",1,0)+IF(EG532&lt;&gt;"",1,0)+IF(EH532&lt;&gt;"",1,0)</f>
        <v/>
      </c>
      <c r="AZ532">
        <f>IF(EH532&lt;&gt;"",1,0)</f>
        <v/>
      </c>
      <c r="BB532" t="inlineStr">
        <is>
          <t>WARREN-WARD 4</t>
        </is>
      </c>
      <c r="DW532" t="inlineStr">
        <is>
          <t>D</t>
        </is>
      </c>
      <c r="EA532" t="inlineStr">
        <is>
          <t>X</t>
        </is>
      </c>
      <c r="ED532" t="inlineStr">
        <is>
          <t>D</t>
        </is>
      </c>
      <c r="EF532" t="inlineStr">
        <is>
          <t>X</t>
        </is>
      </c>
      <c r="EH532" t="inlineStr">
        <is>
          <t>D</t>
        </is>
      </c>
    </row>
    <row r="533">
      <c r="A533" t="inlineStr">
        <is>
          <t>OH0026734469</t>
        </is>
      </c>
      <c r="B533" t="n">
        <v>78</v>
      </c>
      <c r="C533" t="n">
        <v>466805</v>
      </c>
      <c r="D533" t="inlineStr">
        <is>
          <t>HENDRIX</t>
        </is>
      </c>
      <c r="E533" t="inlineStr">
        <is>
          <t>CHRISTINA</t>
        </is>
      </c>
      <c r="F533">
        <f>CONCATENATE(D533," ",LEFT(H533,4),"T=",AU533,"D=",AV533,"R=",AW533,"M=",AX533,"L=",AY533,"B=",AZ533)</f>
        <v/>
      </c>
      <c r="G533" t="inlineStr">
        <is>
          <t>ANN</t>
        </is>
      </c>
      <c r="I533" t="inlineStr">
        <is>
          <t>1974-11-25</t>
        </is>
      </c>
      <c r="J533" t="inlineStr">
        <is>
          <t>2022-11-25</t>
        </is>
      </c>
      <c r="K533" t="inlineStr">
        <is>
          <t>ACTIVE</t>
        </is>
      </c>
      <c r="M533" t="inlineStr">
        <is>
          <t>374 BONNIE BRAE AVE SE</t>
        </is>
      </c>
      <c r="N533">
        <f>RIGHT(M533,LEN(M533)-FIND(" ",M533))</f>
        <v/>
      </c>
      <c r="P533" t="inlineStr">
        <is>
          <t>WARREN</t>
        </is>
      </c>
      <c r="Q533" t="inlineStr">
        <is>
          <t>OH</t>
        </is>
      </c>
      <c r="R533" t="n">
        <v>44484</v>
      </c>
      <c r="AD533" t="inlineStr">
        <is>
          <t>TRUMBULL CAREER &amp; TECH CENTER</t>
        </is>
      </c>
      <c r="AE533" t="inlineStr">
        <is>
          <t>WARREN CITY</t>
        </is>
      </c>
      <c r="AF533" t="inlineStr">
        <is>
          <t>WARREN CITY SD</t>
        </is>
      </c>
      <c r="AH533" t="n">
        <v>14</v>
      </c>
      <c r="AI533" t="n">
        <v>11</v>
      </c>
      <c r="AN533" t="inlineStr">
        <is>
          <t>WARREN</t>
        </is>
      </c>
      <c r="AO533" t="inlineStr">
        <is>
          <t>WARREN CITY 4A</t>
        </is>
      </c>
      <c r="AP533" t="inlineStr">
        <is>
          <t>78-P-ADI</t>
        </is>
      </c>
      <c r="AQ533" t="n">
        <v>9</v>
      </c>
      <c r="AR533" t="n">
        <v>64</v>
      </c>
      <c r="AS533" t="n">
        <v>32</v>
      </c>
      <c r="AU533">
        <f>COUNTA($BA$533:$EH$533)</f>
        <v/>
      </c>
      <c r="AV533">
        <f>COUNTIF($BA$533:$EH$533,"D")</f>
        <v/>
      </c>
      <c r="AW533">
        <f>COUNTIF($BA$533:$EH$533,"R")</f>
        <v/>
      </c>
      <c r="AX533">
        <f>IF(BN533="D",1,0)+IF(BO533="D",1,0)+IF(BT533="D",1,0)+IF(BU533="D",1,0)+IF(BW533="D",1,0)+IF(CC533="D",1,0)+IF(CD533="D",1,0)+IF(CE533="D",1,0)+IF(CF533="D",1,0)+IF(CL533="D",1,0)+IF(CM533="D",1,0)+IF(CQ533="D",1,0)+IF(CR533="D",1,0)+IF(CS533="D",1,0)+IF(CW533="D",1,0)+IF(CX533="D",1,0)+IF(DD533="D",1,0)+IF(DE533="D",1,0)+IF(DJ533="D",1,0)+IF(DK533="D",1,0)+IF(DO533="D",1,0)+IF(DP533="D",1,0)+IF(DQ533="D",1,0)+IF(DW533="D",1,0)+IF(DZ533="D",1,0)+IF(EH533="D",1,0)</f>
        <v/>
      </c>
      <c r="AY533">
        <f>IF(DJ533&lt;&gt;"",1,0)+IF(DK533&lt;&gt;"",1,0)+IF(DM533&lt;&gt;"",1,0)+IF(DO533&lt;&gt;"",1,0)+IF(DP533&lt;&gt;"",1,0)+IF(DQ533&lt;&gt;"",1,0)+IF(DS533&lt;&gt;"",1,0)+IF(DT533&lt;&gt;"",1,0)+IF(DV533&lt;&gt;"",1,0)+IF(DW533&lt;&gt;"",1,0)+IF(DX533&lt;&gt;"",1,0)+IF(DY533&lt;&gt;"",1,0)+IF(DZ533&lt;&gt;"",1,0)+IF(EB533&lt;&gt;"",1,0)+IF(EC533&lt;&gt;"",1,0)+IF(ED533&lt;&gt;"",1,0)+IF(EG533&lt;&gt;"",1,0)+IF(EH533&lt;&gt;"",1,0)</f>
        <v/>
      </c>
      <c r="AZ533">
        <f>IF(EH533&lt;&gt;"",1,0)</f>
        <v/>
      </c>
      <c r="BB533" t="inlineStr">
        <is>
          <t>WARREN-WARD 4</t>
        </is>
      </c>
      <c r="CP533" t="inlineStr">
        <is>
          <t>X</t>
        </is>
      </c>
    </row>
    <row r="534">
      <c r="A534" t="inlineStr">
        <is>
          <t>OH0026238957</t>
        </is>
      </c>
      <c r="B534" t="n">
        <v>78</v>
      </c>
      <c r="C534" t="n">
        <v>458872</v>
      </c>
      <c r="D534" t="inlineStr">
        <is>
          <t>NORIEGA</t>
        </is>
      </c>
      <c r="E534" t="inlineStr">
        <is>
          <t>DENISE</t>
        </is>
      </c>
      <c r="F534">
        <f>CONCATENATE(D534," ",LEFT(H534,4),"T=",AU534,"D=",AV534,"R=",AW534,"M=",AX534,"L=",AY534,"B=",AZ534)</f>
        <v/>
      </c>
      <c r="G534" t="inlineStr">
        <is>
          <t>ALMA</t>
        </is>
      </c>
      <c r="I534" t="inlineStr">
        <is>
          <t>1997-10-21</t>
        </is>
      </c>
      <c r="J534" t="inlineStr">
        <is>
          <t>2021-07-20</t>
        </is>
      </c>
      <c r="K534" t="inlineStr">
        <is>
          <t>CONFIRMATION</t>
        </is>
      </c>
      <c r="M534" t="inlineStr">
        <is>
          <t>926 ADELAIDE AVE SE</t>
        </is>
      </c>
      <c r="N534">
        <f>RIGHT(M534,LEN(M534)-FIND(" ",M534))</f>
        <v/>
      </c>
      <c r="P534" t="inlineStr">
        <is>
          <t>WARREN</t>
        </is>
      </c>
      <c r="Q534" t="inlineStr">
        <is>
          <t>OH</t>
        </is>
      </c>
      <c r="R534" t="n">
        <v>44484</v>
      </c>
      <c r="AD534" t="inlineStr">
        <is>
          <t>TRUMBULL CAREER &amp; TECH CENTER</t>
        </is>
      </c>
      <c r="AE534" t="inlineStr">
        <is>
          <t>WARREN CITY</t>
        </is>
      </c>
      <c r="AF534" t="inlineStr">
        <is>
          <t>WARREN CITY SD</t>
        </is>
      </c>
      <c r="AH534" t="n">
        <v>14</v>
      </c>
      <c r="AI534" t="n">
        <v>11</v>
      </c>
      <c r="AN534" t="inlineStr">
        <is>
          <t>WARREN</t>
        </is>
      </c>
      <c r="AO534" t="inlineStr">
        <is>
          <t>WARREN CITY 4A</t>
        </is>
      </c>
      <c r="AP534" t="inlineStr">
        <is>
          <t>78-P-ADI</t>
        </is>
      </c>
      <c r="AQ534" t="n">
        <v>9</v>
      </c>
      <c r="AR534" t="n">
        <v>64</v>
      </c>
      <c r="AS534" t="n">
        <v>32</v>
      </c>
      <c r="AU534">
        <f>COUNTA($BA$534:$EH$534)</f>
        <v/>
      </c>
      <c r="AV534">
        <f>COUNTIF($BA$534:$EH$534,"D")</f>
        <v/>
      </c>
      <c r="AW534">
        <f>COUNTIF($BA$534:$EH$534,"R")</f>
        <v/>
      </c>
      <c r="AX534">
        <f>IF(BN534="D",1,0)+IF(BO534="D",1,0)+IF(BT534="D",1,0)+IF(BU534="D",1,0)+IF(BW534="D",1,0)+IF(CC534="D",1,0)+IF(CD534="D",1,0)+IF(CE534="D",1,0)+IF(CF534="D",1,0)+IF(CL534="D",1,0)+IF(CM534="D",1,0)+IF(CQ534="D",1,0)+IF(CR534="D",1,0)+IF(CS534="D",1,0)+IF(CW534="D",1,0)+IF(CX534="D",1,0)+IF(DD534="D",1,0)+IF(DE534="D",1,0)+IF(DJ534="D",1,0)+IF(DK534="D",1,0)+IF(DO534="D",1,0)+IF(DP534="D",1,0)+IF(DQ534="D",1,0)+IF(DW534="D",1,0)+IF(DZ534="D",1,0)+IF(EH534="D",1,0)</f>
        <v/>
      </c>
      <c r="AY534">
        <f>IF(DJ534&lt;&gt;"",1,0)+IF(DK534&lt;&gt;"",1,0)+IF(DM534&lt;&gt;"",1,0)+IF(DO534&lt;&gt;"",1,0)+IF(DP534&lt;&gt;"",1,0)+IF(DQ534&lt;&gt;"",1,0)+IF(DS534&lt;&gt;"",1,0)+IF(DT534&lt;&gt;"",1,0)+IF(DV534&lt;&gt;"",1,0)+IF(DW534&lt;&gt;"",1,0)+IF(DX534&lt;&gt;"",1,0)+IF(DY534&lt;&gt;"",1,0)+IF(DZ534&lt;&gt;"",1,0)+IF(EB534&lt;&gt;"",1,0)+IF(EC534&lt;&gt;"",1,0)+IF(ED534&lt;&gt;"",1,0)+IF(EG534&lt;&gt;"",1,0)+IF(EH534&lt;&gt;"",1,0)</f>
        <v/>
      </c>
      <c r="AZ534">
        <f>IF(EH534&lt;&gt;"",1,0)</f>
        <v/>
      </c>
      <c r="BB534" t="inlineStr">
        <is>
          <t>WARREN-WARD 4</t>
        </is>
      </c>
    </row>
    <row r="535">
      <c r="A535" t="inlineStr">
        <is>
          <t>OH0024445202</t>
        </is>
      </c>
      <c r="B535" t="n">
        <v>78</v>
      </c>
      <c r="C535" t="n">
        <v>428539</v>
      </c>
      <c r="D535" t="inlineStr">
        <is>
          <t>ALEXANDER</t>
        </is>
      </c>
      <c r="E535" t="inlineStr">
        <is>
          <t>CASSANDRA</t>
        </is>
      </c>
      <c r="F535">
        <f>CONCATENATE(D535," ",LEFT(H535,4),"T=",AU535,"D=",AV535,"R=",AW535,"M=",AX535,"L=",AY535,"B=",AZ535)</f>
        <v/>
      </c>
      <c r="G535" t="inlineStr">
        <is>
          <t>J</t>
        </is>
      </c>
      <c r="I535" t="inlineStr">
        <is>
          <t>1992-04-06</t>
        </is>
      </c>
      <c r="J535" t="inlineStr">
        <is>
          <t>2017-11-02</t>
        </is>
      </c>
      <c r="K535" t="inlineStr">
        <is>
          <t>CONFIRMATION</t>
        </is>
      </c>
      <c r="M535" t="inlineStr">
        <is>
          <t>377 IDDINGS AVE SE</t>
        </is>
      </c>
      <c r="N535">
        <f>RIGHT(M535,LEN(M535)-FIND(" ",M535))</f>
        <v/>
      </c>
      <c r="P535" t="inlineStr">
        <is>
          <t>WARREN</t>
        </is>
      </c>
      <c r="Q535" t="inlineStr">
        <is>
          <t>OH</t>
        </is>
      </c>
      <c r="R535" t="n">
        <v>44483</v>
      </c>
      <c r="AD535" t="inlineStr">
        <is>
          <t>TRUMBULL CAREER &amp; TECH CENTER</t>
        </is>
      </c>
      <c r="AE535" t="inlineStr">
        <is>
          <t>WARREN CITY</t>
        </is>
      </c>
      <c r="AF535" t="inlineStr">
        <is>
          <t>WARREN CITY SD</t>
        </is>
      </c>
      <c r="AH535" t="n">
        <v>14</v>
      </c>
      <c r="AI535" t="n">
        <v>11</v>
      </c>
      <c r="AN535" t="inlineStr">
        <is>
          <t>WARREN</t>
        </is>
      </c>
      <c r="AO535" t="inlineStr">
        <is>
          <t>WARREN CITY 4A</t>
        </is>
      </c>
      <c r="AP535" t="inlineStr">
        <is>
          <t>78-P-ADI</t>
        </is>
      </c>
      <c r="AQ535" t="n">
        <v>9</v>
      </c>
      <c r="AR535" t="n">
        <v>64</v>
      </c>
      <c r="AS535" t="n">
        <v>32</v>
      </c>
      <c r="AU535">
        <f>COUNTA($BA$535:$EH$535)</f>
        <v/>
      </c>
      <c r="AV535">
        <f>COUNTIF($BA$535:$EH$535,"D")</f>
        <v/>
      </c>
      <c r="AW535">
        <f>COUNTIF($BA$535:$EH$535,"R")</f>
        <v/>
      </c>
      <c r="AX535">
        <f>IF(BN535="D",1,0)+IF(BO535="D",1,0)+IF(BT535="D",1,0)+IF(BU535="D",1,0)+IF(BW535="D",1,0)+IF(CC535="D",1,0)+IF(CD535="D",1,0)+IF(CE535="D",1,0)+IF(CF535="D",1,0)+IF(CL535="D",1,0)+IF(CM535="D",1,0)+IF(CQ535="D",1,0)+IF(CR535="D",1,0)+IF(CS535="D",1,0)+IF(CW535="D",1,0)+IF(CX535="D",1,0)+IF(DD535="D",1,0)+IF(DE535="D",1,0)+IF(DJ535="D",1,0)+IF(DK535="D",1,0)+IF(DO535="D",1,0)+IF(DP535="D",1,0)+IF(DQ535="D",1,0)+IF(DW535="D",1,0)+IF(DZ535="D",1,0)+IF(EH535="D",1,0)</f>
        <v/>
      </c>
      <c r="AY535">
        <f>IF(DJ535&lt;&gt;"",1,0)+IF(DK535&lt;&gt;"",1,0)+IF(DM535&lt;&gt;"",1,0)+IF(DO535&lt;&gt;"",1,0)+IF(DP535&lt;&gt;"",1,0)+IF(DQ535&lt;&gt;"",1,0)+IF(DS535&lt;&gt;"",1,0)+IF(DT535&lt;&gt;"",1,0)+IF(DV535&lt;&gt;"",1,0)+IF(DW535&lt;&gt;"",1,0)+IF(DX535&lt;&gt;"",1,0)+IF(DY535&lt;&gt;"",1,0)+IF(DZ535&lt;&gt;"",1,0)+IF(EB535&lt;&gt;"",1,0)+IF(EC535&lt;&gt;"",1,0)+IF(ED535&lt;&gt;"",1,0)+IF(EG535&lt;&gt;"",1,0)+IF(EH535&lt;&gt;"",1,0)</f>
        <v/>
      </c>
      <c r="AZ535">
        <f>IF(EH535&lt;&gt;"",1,0)</f>
        <v/>
      </c>
      <c r="BB535" t="inlineStr">
        <is>
          <t>WARREN-WARD 4</t>
        </is>
      </c>
    </row>
    <row r="536">
      <c r="A536" t="inlineStr">
        <is>
          <t>OH0022922424</t>
        </is>
      </c>
      <c r="B536" t="n">
        <v>78</v>
      </c>
      <c r="C536" t="n">
        <v>404088</v>
      </c>
      <c r="D536" t="inlineStr">
        <is>
          <t>MCCUE</t>
        </is>
      </c>
      <c r="E536" t="inlineStr">
        <is>
          <t>ANNA</t>
        </is>
      </c>
      <c r="F536">
        <f>CONCATENATE(D536," ",LEFT(H536,4),"T=",AU536,"D=",AV536,"R=",AW536,"M=",AX536,"L=",AY536,"B=",AZ536)</f>
        <v/>
      </c>
      <c r="G536" t="inlineStr">
        <is>
          <t>C</t>
        </is>
      </c>
      <c r="I536" t="inlineStr">
        <is>
          <t>1996-10-18</t>
        </is>
      </c>
      <c r="J536" t="inlineStr">
        <is>
          <t>2014-09-12</t>
        </is>
      </c>
      <c r="K536" t="inlineStr">
        <is>
          <t>CONFIRMATION</t>
        </is>
      </c>
      <c r="M536" t="inlineStr">
        <is>
          <t>389 KENILWORTH AVE SE</t>
        </is>
      </c>
      <c r="N536">
        <f>RIGHT(M536,LEN(M536)-FIND(" ",M536))</f>
        <v/>
      </c>
      <c r="P536" t="inlineStr">
        <is>
          <t>WARREN</t>
        </is>
      </c>
      <c r="Q536" t="inlineStr">
        <is>
          <t>OH</t>
        </is>
      </c>
      <c r="R536" t="n">
        <v>44483</v>
      </c>
      <c r="AD536" t="inlineStr">
        <is>
          <t>TRUMBULL CAREER &amp; TECH CENTER</t>
        </is>
      </c>
      <c r="AE536" t="inlineStr">
        <is>
          <t>WARREN CITY</t>
        </is>
      </c>
      <c r="AF536" t="inlineStr">
        <is>
          <t>WARREN CITY SD</t>
        </is>
      </c>
      <c r="AH536" t="n">
        <v>14</v>
      </c>
      <c r="AI536" t="n">
        <v>11</v>
      </c>
      <c r="AN536" t="inlineStr">
        <is>
          <t>WARREN</t>
        </is>
      </c>
      <c r="AO536" t="inlineStr">
        <is>
          <t>WARREN CITY 4A</t>
        </is>
      </c>
      <c r="AP536" t="inlineStr">
        <is>
          <t>78-P-ADI</t>
        </is>
      </c>
      <c r="AQ536" t="n">
        <v>9</v>
      </c>
      <c r="AR536" t="n">
        <v>64</v>
      </c>
      <c r="AS536" t="n">
        <v>32</v>
      </c>
      <c r="AU536">
        <f>COUNTA($BA$536:$EH$536)</f>
        <v/>
      </c>
      <c r="AV536">
        <f>COUNTIF($BA$536:$EH$536,"D")</f>
        <v/>
      </c>
      <c r="AW536">
        <f>COUNTIF($BA$536:$EH$536,"R")</f>
        <v/>
      </c>
      <c r="AX536">
        <f>IF(BN536="D",1,0)+IF(BO536="D",1,0)+IF(BT536="D",1,0)+IF(BU536="D",1,0)+IF(BW536="D",1,0)+IF(CC536="D",1,0)+IF(CD536="D",1,0)+IF(CE536="D",1,0)+IF(CF536="D",1,0)+IF(CL536="D",1,0)+IF(CM536="D",1,0)+IF(CQ536="D",1,0)+IF(CR536="D",1,0)+IF(CS536="D",1,0)+IF(CW536="D",1,0)+IF(CX536="D",1,0)+IF(DD536="D",1,0)+IF(DE536="D",1,0)+IF(DJ536="D",1,0)+IF(DK536="D",1,0)+IF(DO536="D",1,0)+IF(DP536="D",1,0)+IF(DQ536="D",1,0)+IF(DW536="D",1,0)+IF(DZ536="D",1,0)+IF(EH536="D",1,0)</f>
        <v/>
      </c>
      <c r="AY536">
        <f>IF(DJ536&lt;&gt;"",1,0)+IF(DK536&lt;&gt;"",1,0)+IF(DM536&lt;&gt;"",1,0)+IF(DO536&lt;&gt;"",1,0)+IF(DP536&lt;&gt;"",1,0)+IF(DQ536&lt;&gt;"",1,0)+IF(DS536&lt;&gt;"",1,0)+IF(DT536&lt;&gt;"",1,0)+IF(DV536&lt;&gt;"",1,0)+IF(DW536&lt;&gt;"",1,0)+IF(DX536&lt;&gt;"",1,0)+IF(DY536&lt;&gt;"",1,0)+IF(DZ536&lt;&gt;"",1,0)+IF(EB536&lt;&gt;"",1,0)+IF(EC536&lt;&gt;"",1,0)+IF(ED536&lt;&gt;"",1,0)+IF(EG536&lt;&gt;"",1,0)+IF(EH536&lt;&gt;"",1,0)</f>
        <v/>
      </c>
      <c r="AZ536">
        <f>IF(EH536&lt;&gt;"",1,0)</f>
        <v/>
      </c>
      <c r="BB536" t="inlineStr">
        <is>
          <t>WARREN-WARD 4</t>
        </is>
      </c>
      <c r="CV536" t="inlineStr">
        <is>
          <t>X</t>
        </is>
      </c>
      <c r="CW536" t="inlineStr">
        <is>
          <t>D</t>
        </is>
      </c>
      <c r="CZ536" t="inlineStr">
        <is>
          <t>D</t>
        </is>
      </c>
      <c r="DC536" t="inlineStr">
        <is>
          <t>X</t>
        </is>
      </c>
      <c r="DI536" t="inlineStr">
        <is>
          <t>X</t>
        </is>
      </c>
      <c r="DM536" t="inlineStr">
        <is>
          <t>D</t>
        </is>
      </c>
      <c r="DN536" t="inlineStr">
        <is>
          <t>X</t>
        </is>
      </c>
    </row>
    <row r="537">
      <c r="A537" t="inlineStr">
        <is>
          <t>OH0021291213</t>
        </is>
      </c>
      <c r="B537" t="n">
        <v>78</v>
      </c>
      <c r="C537" t="n">
        <v>378244</v>
      </c>
      <c r="D537" t="inlineStr">
        <is>
          <t>BACON</t>
        </is>
      </c>
      <c r="E537" t="inlineStr">
        <is>
          <t>ROGER</t>
        </is>
      </c>
      <c r="F537">
        <f>CONCATENATE(D537," ",LEFT(H537,4),"T=",AU537,"D=",AV537,"R=",AW537,"M=",AX537,"L=",AY537,"B=",AZ537)</f>
        <v/>
      </c>
      <c r="I537" t="inlineStr">
        <is>
          <t>1976-08-03</t>
        </is>
      </c>
      <c r="J537" t="inlineStr">
        <is>
          <t>2022-12-01</t>
        </is>
      </c>
      <c r="K537" t="inlineStr">
        <is>
          <t>ACTIVE</t>
        </is>
      </c>
      <c r="M537" t="inlineStr">
        <is>
          <t>870 OAK KNOLL AVE SE</t>
        </is>
      </c>
      <c r="N537">
        <f>RIGHT(M537,LEN(M537)-FIND(" ",M537))</f>
        <v/>
      </c>
      <c r="P537" t="inlineStr">
        <is>
          <t>WARREN</t>
        </is>
      </c>
      <c r="Q537" t="inlineStr">
        <is>
          <t>OH</t>
        </is>
      </c>
      <c r="R537" t="n">
        <v>44484</v>
      </c>
      <c r="AD537" t="inlineStr">
        <is>
          <t>TRUMBULL CAREER &amp; TECH CENTER</t>
        </is>
      </c>
      <c r="AE537" t="inlineStr">
        <is>
          <t>WARREN CITY</t>
        </is>
      </c>
      <c r="AF537" t="inlineStr">
        <is>
          <t>WARREN CITY SD</t>
        </is>
      </c>
      <c r="AH537" t="n">
        <v>14</v>
      </c>
      <c r="AI537" t="n">
        <v>11</v>
      </c>
      <c r="AN537" t="inlineStr">
        <is>
          <t>WARREN</t>
        </is>
      </c>
      <c r="AO537" t="inlineStr">
        <is>
          <t>WARREN CITY 4A</t>
        </is>
      </c>
      <c r="AP537" t="inlineStr">
        <is>
          <t>78-P-ADI</t>
        </is>
      </c>
      <c r="AQ537" t="n">
        <v>9</v>
      </c>
      <c r="AR537" t="n">
        <v>64</v>
      </c>
      <c r="AS537" t="n">
        <v>32</v>
      </c>
      <c r="AU537">
        <f>COUNTA($BA$537:$EH$537)</f>
        <v/>
      </c>
      <c r="AV537">
        <f>COUNTIF($BA$537:$EH$537,"D")</f>
        <v/>
      </c>
      <c r="AW537">
        <f>COUNTIF($BA$537:$EH$537,"R")</f>
        <v/>
      </c>
      <c r="AX537">
        <f>IF(BN537="D",1,0)+IF(BO537="D",1,0)+IF(BT537="D",1,0)+IF(BU537="D",1,0)+IF(BW537="D",1,0)+IF(CC537="D",1,0)+IF(CD537="D",1,0)+IF(CE537="D",1,0)+IF(CF537="D",1,0)+IF(CL537="D",1,0)+IF(CM537="D",1,0)+IF(CQ537="D",1,0)+IF(CR537="D",1,0)+IF(CS537="D",1,0)+IF(CW537="D",1,0)+IF(CX537="D",1,0)+IF(DD537="D",1,0)+IF(DE537="D",1,0)+IF(DJ537="D",1,0)+IF(DK537="D",1,0)+IF(DO537="D",1,0)+IF(DP537="D",1,0)+IF(DQ537="D",1,0)+IF(DW537="D",1,0)+IF(DZ537="D",1,0)+IF(EH537="D",1,0)</f>
        <v/>
      </c>
      <c r="AY537">
        <f>IF(DJ537&lt;&gt;"",1,0)+IF(DK537&lt;&gt;"",1,0)+IF(DM537&lt;&gt;"",1,0)+IF(DO537&lt;&gt;"",1,0)+IF(DP537&lt;&gt;"",1,0)+IF(DQ537&lt;&gt;"",1,0)+IF(DS537&lt;&gt;"",1,0)+IF(DT537&lt;&gt;"",1,0)+IF(DV537&lt;&gt;"",1,0)+IF(DW537&lt;&gt;"",1,0)+IF(DX537&lt;&gt;"",1,0)+IF(DY537&lt;&gt;"",1,0)+IF(DZ537&lt;&gt;"",1,0)+IF(EB537&lt;&gt;"",1,0)+IF(EC537&lt;&gt;"",1,0)+IF(ED537&lt;&gt;"",1,0)+IF(EG537&lt;&gt;"",1,0)+IF(EH537&lt;&gt;"",1,0)</f>
        <v/>
      </c>
      <c r="AZ537">
        <f>IF(EH537&lt;&gt;"",1,0)</f>
        <v/>
      </c>
      <c r="BB537" t="inlineStr">
        <is>
          <t>WARREN-WARD 4</t>
        </is>
      </c>
      <c r="CP537" t="inlineStr">
        <is>
          <t>X</t>
        </is>
      </c>
    </row>
    <row r="538">
      <c r="A538" t="inlineStr">
        <is>
          <t>OH0021685447</t>
        </is>
      </c>
      <c r="B538" t="n">
        <v>78</v>
      </c>
      <c r="C538" t="n">
        <v>384737</v>
      </c>
      <c r="D538" t="inlineStr">
        <is>
          <t>NOVOTNY</t>
        </is>
      </c>
      <c r="E538" t="inlineStr">
        <is>
          <t>DESTINEE</t>
        </is>
      </c>
      <c r="F538">
        <f>CONCATENATE(D538," ",LEFT(H538,4),"T=",AU538,"D=",AV538,"R=",AW538,"M=",AX538,"L=",AY538,"B=",AZ538)</f>
        <v/>
      </c>
      <c r="G538" t="inlineStr">
        <is>
          <t>NICOLE</t>
        </is>
      </c>
      <c r="I538" t="inlineStr">
        <is>
          <t>1994-08-31</t>
        </is>
      </c>
      <c r="J538" t="inlineStr">
        <is>
          <t>2024-11-05</t>
        </is>
      </c>
      <c r="K538" t="inlineStr">
        <is>
          <t>ACTIVE</t>
        </is>
      </c>
      <c r="L538" t="inlineStr">
        <is>
          <t>R</t>
        </is>
      </c>
      <c r="M538" t="inlineStr">
        <is>
          <t>578 ADELAIDE AVE SE</t>
        </is>
      </c>
      <c r="N538">
        <f>RIGHT(M538,LEN(M538)-FIND(" ",M538))</f>
        <v/>
      </c>
      <c r="P538" t="inlineStr">
        <is>
          <t>WARREN</t>
        </is>
      </c>
      <c r="Q538" t="inlineStr">
        <is>
          <t>OH</t>
        </is>
      </c>
      <c r="R538" t="n">
        <v>44483</v>
      </c>
      <c r="AD538" t="inlineStr">
        <is>
          <t>TRUMBULL CAREER &amp; TECH CENTER</t>
        </is>
      </c>
      <c r="AE538" t="inlineStr">
        <is>
          <t>WARREN CITY</t>
        </is>
      </c>
      <c r="AF538" t="inlineStr">
        <is>
          <t>WARREN CITY SD</t>
        </is>
      </c>
      <c r="AH538" t="n">
        <v>14</v>
      </c>
      <c r="AI538" t="n">
        <v>11</v>
      </c>
      <c r="AN538" t="inlineStr">
        <is>
          <t>WARREN</t>
        </is>
      </c>
      <c r="AO538" t="inlineStr">
        <is>
          <t>WARREN CITY 4A</t>
        </is>
      </c>
      <c r="AP538" t="inlineStr">
        <is>
          <t>78-P-ADI</t>
        </is>
      </c>
      <c r="AQ538" t="n">
        <v>9</v>
      </c>
      <c r="AR538" t="n">
        <v>64</v>
      </c>
      <c r="AS538" t="n">
        <v>32</v>
      </c>
      <c r="AU538">
        <f>COUNTA($BA$538:$EH$538)</f>
        <v/>
      </c>
      <c r="AV538">
        <f>COUNTIF($BA$538:$EH$538,"D")</f>
        <v/>
      </c>
      <c r="AW538">
        <f>COUNTIF($BA$538:$EH$538,"R")</f>
        <v/>
      </c>
      <c r="AX538">
        <f>IF(BN538="D",1,0)+IF(BO538="D",1,0)+IF(BT538="D",1,0)+IF(BU538="D",1,0)+IF(BW538="D",1,0)+IF(CC538="D",1,0)+IF(CD538="D",1,0)+IF(CE538="D",1,0)+IF(CF538="D",1,0)+IF(CL538="D",1,0)+IF(CM538="D",1,0)+IF(CQ538="D",1,0)+IF(CR538="D",1,0)+IF(CS538="D",1,0)+IF(CW538="D",1,0)+IF(CX538="D",1,0)+IF(DD538="D",1,0)+IF(DE538="D",1,0)+IF(DJ538="D",1,0)+IF(DK538="D",1,0)+IF(DO538="D",1,0)+IF(DP538="D",1,0)+IF(DQ538="D",1,0)+IF(DW538="D",1,0)+IF(DZ538="D",1,0)+IF(EH538="D",1,0)</f>
        <v/>
      </c>
      <c r="AY538">
        <f>IF(DJ538&lt;&gt;"",1,0)+IF(DK538&lt;&gt;"",1,0)+IF(DM538&lt;&gt;"",1,0)+IF(DO538&lt;&gt;"",1,0)+IF(DP538&lt;&gt;"",1,0)+IF(DQ538&lt;&gt;"",1,0)+IF(DS538&lt;&gt;"",1,0)+IF(DT538&lt;&gt;"",1,0)+IF(DV538&lt;&gt;"",1,0)+IF(DW538&lt;&gt;"",1,0)+IF(DX538&lt;&gt;"",1,0)+IF(DY538&lt;&gt;"",1,0)+IF(DZ538&lt;&gt;"",1,0)+IF(EB538&lt;&gt;"",1,0)+IF(EC538&lt;&gt;"",1,0)+IF(ED538&lt;&gt;"",1,0)+IF(EG538&lt;&gt;"",1,0)+IF(EH538&lt;&gt;"",1,0)</f>
        <v/>
      </c>
      <c r="AZ538">
        <f>IF(EH538&lt;&gt;"",1,0)</f>
        <v/>
      </c>
      <c r="BB538" t="inlineStr">
        <is>
          <t>WARREN-WARD 4</t>
        </is>
      </c>
      <c r="CP538" t="inlineStr">
        <is>
          <t>X</t>
        </is>
      </c>
      <c r="CZ538" t="inlineStr">
        <is>
          <t>R</t>
        </is>
      </c>
      <c r="DN538" t="inlineStr">
        <is>
          <t>X</t>
        </is>
      </c>
      <c r="DT538" t="inlineStr">
        <is>
          <t>R</t>
        </is>
      </c>
      <c r="DU538" t="inlineStr">
        <is>
          <t>X</t>
        </is>
      </c>
      <c r="EF538" t="inlineStr">
        <is>
          <t>X</t>
        </is>
      </c>
    </row>
    <row r="539">
      <c r="A539" t="inlineStr">
        <is>
          <t>OH0026206189</t>
        </is>
      </c>
      <c r="B539" t="n">
        <v>78</v>
      </c>
      <c r="C539" t="n">
        <v>458241</v>
      </c>
      <c r="D539" t="inlineStr">
        <is>
          <t>SHERWOOD</t>
        </is>
      </c>
      <c r="E539" t="inlineStr">
        <is>
          <t>MATTHEW</t>
        </is>
      </c>
      <c r="F539">
        <f>CONCATENATE(D539," ",LEFT(H539,4),"T=",AU539,"D=",AV539,"R=",AW539,"M=",AX539,"L=",AY539,"B=",AZ539)</f>
        <v/>
      </c>
      <c r="G539" t="inlineStr">
        <is>
          <t>JAMES</t>
        </is>
      </c>
      <c r="I539" t="inlineStr">
        <is>
          <t>2000-11-04</t>
        </is>
      </c>
      <c r="J539" t="inlineStr">
        <is>
          <t>2021-05-27</t>
        </is>
      </c>
      <c r="K539" t="inlineStr">
        <is>
          <t>CONFIRMATION</t>
        </is>
      </c>
      <c r="M539" t="inlineStr">
        <is>
          <t>428 BONNIE BRAE AVE SE</t>
        </is>
      </c>
      <c r="N539">
        <f>RIGHT(M539,LEN(M539)-FIND(" ",M539))</f>
        <v/>
      </c>
      <c r="P539" t="inlineStr">
        <is>
          <t>WARREN</t>
        </is>
      </c>
      <c r="Q539" t="inlineStr">
        <is>
          <t>OH</t>
        </is>
      </c>
      <c r="R539" t="n">
        <v>44484</v>
      </c>
      <c r="AD539" t="inlineStr">
        <is>
          <t>TRUMBULL CAREER &amp; TECH CENTER</t>
        </is>
      </c>
      <c r="AE539" t="inlineStr">
        <is>
          <t>WARREN CITY</t>
        </is>
      </c>
      <c r="AF539" t="inlineStr">
        <is>
          <t>WARREN CITY SD</t>
        </is>
      </c>
      <c r="AH539" t="n">
        <v>14</v>
      </c>
      <c r="AI539" t="n">
        <v>11</v>
      </c>
      <c r="AN539" t="inlineStr">
        <is>
          <t>WARREN</t>
        </is>
      </c>
      <c r="AO539" t="inlineStr">
        <is>
          <t>WARREN CITY 4A</t>
        </is>
      </c>
      <c r="AP539" t="inlineStr">
        <is>
          <t>78-P-ADI</t>
        </is>
      </c>
      <c r="AQ539" t="n">
        <v>9</v>
      </c>
      <c r="AR539" t="n">
        <v>64</v>
      </c>
      <c r="AS539" t="n">
        <v>32</v>
      </c>
      <c r="AU539">
        <f>COUNTA($BA$539:$EH$539)</f>
        <v/>
      </c>
      <c r="AV539">
        <f>COUNTIF($BA$539:$EH$539,"D")</f>
        <v/>
      </c>
      <c r="AW539">
        <f>COUNTIF($BA$539:$EH$539,"R")</f>
        <v/>
      </c>
      <c r="AX539">
        <f>IF(BN539="D",1,0)+IF(BO539="D",1,0)+IF(BT539="D",1,0)+IF(BU539="D",1,0)+IF(BW539="D",1,0)+IF(CC539="D",1,0)+IF(CD539="D",1,0)+IF(CE539="D",1,0)+IF(CF539="D",1,0)+IF(CL539="D",1,0)+IF(CM539="D",1,0)+IF(CQ539="D",1,0)+IF(CR539="D",1,0)+IF(CS539="D",1,0)+IF(CW539="D",1,0)+IF(CX539="D",1,0)+IF(DD539="D",1,0)+IF(DE539="D",1,0)+IF(DJ539="D",1,0)+IF(DK539="D",1,0)+IF(DO539="D",1,0)+IF(DP539="D",1,0)+IF(DQ539="D",1,0)+IF(DW539="D",1,0)+IF(DZ539="D",1,0)+IF(EH539="D",1,0)</f>
        <v/>
      </c>
      <c r="AY539">
        <f>IF(DJ539&lt;&gt;"",1,0)+IF(DK539&lt;&gt;"",1,0)+IF(DM539&lt;&gt;"",1,0)+IF(DO539&lt;&gt;"",1,0)+IF(DP539&lt;&gt;"",1,0)+IF(DQ539&lt;&gt;"",1,0)+IF(DS539&lt;&gt;"",1,0)+IF(DT539&lt;&gt;"",1,0)+IF(DV539&lt;&gt;"",1,0)+IF(DW539&lt;&gt;"",1,0)+IF(DX539&lt;&gt;"",1,0)+IF(DY539&lt;&gt;"",1,0)+IF(DZ539&lt;&gt;"",1,0)+IF(EB539&lt;&gt;"",1,0)+IF(EC539&lt;&gt;"",1,0)+IF(ED539&lt;&gt;"",1,0)+IF(EG539&lt;&gt;"",1,0)+IF(EH539&lt;&gt;"",1,0)</f>
        <v/>
      </c>
      <c r="AZ539">
        <f>IF(EH539&lt;&gt;"",1,0)</f>
        <v/>
      </c>
      <c r="BB539" t="inlineStr">
        <is>
          <t>WARREN-WARD 4</t>
        </is>
      </c>
    </row>
    <row r="540">
      <c r="A540" t="inlineStr">
        <is>
          <t>OH0026934214</t>
        </is>
      </c>
      <c r="B540" t="n">
        <v>78</v>
      </c>
      <c r="C540" t="n">
        <v>474674</v>
      </c>
      <c r="D540" t="inlineStr">
        <is>
          <t>CALDWELL</t>
        </is>
      </c>
      <c r="E540" t="inlineStr">
        <is>
          <t>BRIAN</t>
        </is>
      </c>
      <c r="F540">
        <f>CONCATENATE(D540," ",LEFT(H540,4),"T=",AU540,"D=",AV540,"R=",AW540,"M=",AX540,"L=",AY540,"B=",AZ540)</f>
        <v/>
      </c>
      <c r="G540" t="inlineStr">
        <is>
          <t>CAMERON</t>
        </is>
      </c>
      <c r="H540" t="inlineStr">
        <is>
          <t>JR</t>
        </is>
      </c>
      <c r="I540" t="inlineStr">
        <is>
          <t>1994-08-19</t>
        </is>
      </c>
      <c r="J540" t="inlineStr">
        <is>
          <t>2023-07-01</t>
        </is>
      </c>
      <c r="K540" t="inlineStr">
        <is>
          <t>ACTIVE</t>
        </is>
      </c>
      <c r="M540" t="inlineStr">
        <is>
          <t>1234 E MARKET ST</t>
        </is>
      </c>
      <c r="N540">
        <f>RIGHT(M540,LEN(M540)-FIND(" ",M540))</f>
        <v/>
      </c>
      <c r="P540" t="inlineStr">
        <is>
          <t>WARREN</t>
        </is>
      </c>
      <c r="Q540" t="inlineStr">
        <is>
          <t>OH</t>
        </is>
      </c>
      <c r="R540" t="n">
        <v>44483</v>
      </c>
      <c r="AD540" t="inlineStr">
        <is>
          <t>TRUMBULL CAREER &amp; TECH CENTER</t>
        </is>
      </c>
      <c r="AE540" t="inlineStr">
        <is>
          <t>WARREN CITY</t>
        </is>
      </c>
      <c r="AF540" t="inlineStr">
        <is>
          <t>WARREN CITY SD</t>
        </is>
      </c>
      <c r="AH540" t="n">
        <v>14</v>
      </c>
      <c r="AI540" t="n">
        <v>11</v>
      </c>
      <c r="AN540" t="inlineStr">
        <is>
          <t>WARREN</t>
        </is>
      </c>
      <c r="AO540" t="inlineStr">
        <is>
          <t>WARREN CITY 4A</t>
        </is>
      </c>
      <c r="AP540" t="inlineStr">
        <is>
          <t>78-P-ADI</t>
        </is>
      </c>
      <c r="AQ540" t="n">
        <v>9</v>
      </c>
      <c r="AR540" t="n">
        <v>64</v>
      </c>
      <c r="AS540" t="n">
        <v>32</v>
      </c>
      <c r="AU540">
        <f>COUNTA($BA$540:$EH$540)</f>
        <v/>
      </c>
      <c r="AV540">
        <f>COUNTIF($BA$540:$EH$540,"D")</f>
        <v/>
      </c>
      <c r="AW540">
        <f>COUNTIF($BA$540:$EH$540,"R")</f>
        <v/>
      </c>
      <c r="AX540">
        <f>IF(BN540="D",1,0)+IF(BO540="D",1,0)+IF(BT540="D",1,0)+IF(BU540="D",1,0)+IF(BW540="D",1,0)+IF(CC540="D",1,0)+IF(CD540="D",1,0)+IF(CE540="D",1,0)+IF(CF540="D",1,0)+IF(CL540="D",1,0)+IF(CM540="D",1,0)+IF(CQ540="D",1,0)+IF(CR540="D",1,0)+IF(CS540="D",1,0)+IF(CW540="D",1,0)+IF(CX540="D",1,0)+IF(DD540="D",1,0)+IF(DE540="D",1,0)+IF(DJ540="D",1,0)+IF(DK540="D",1,0)+IF(DO540="D",1,0)+IF(DP540="D",1,0)+IF(DQ540="D",1,0)+IF(DW540="D",1,0)+IF(DZ540="D",1,0)+IF(EH540="D",1,0)</f>
        <v/>
      </c>
      <c r="AY540">
        <f>IF(DJ540&lt;&gt;"",1,0)+IF(DK540&lt;&gt;"",1,0)+IF(DM540&lt;&gt;"",1,0)+IF(DO540&lt;&gt;"",1,0)+IF(DP540&lt;&gt;"",1,0)+IF(DQ540&lt;&gt;"",1,0)+IF(DS540&lt;&gt;"",1,0)+IF(DT540&lt;&gt;"",1,0)+IF(DV540&lt;&gt;"",1,0)+IF(DW540&lt;&gt;"",1,0)+IF(DX540&lt;&gt;"",1,0)+IF(DY540&lt;&gt;"",1,0)+IF(DZ540&lt;&gt;"",1,0)+IF(EB540&lt;&gt;"",1,0)+IF(EC540&lt;&gt;"",1,0)+IF(ED540&lt;&gt;"",1,0)+IF(EG540&lt;&gt;"",1,0)+IF(EH540&lt;&gt;"",1,0)</f>
        <v/>
      </c>
      <c r="AZ540">
        <f>IF(EH540&lt;&gt;"",1,0)</f>
        <v/>
      </c>
      <c r="BB540" t="inlineStr">
        <is>
          <t>WARREN-WARD 4</t>
        </is>
      </c>
      <c r="EF540" t="inlineStr">
        <is>
          <t>X</t>
        </is>
      </c>
    </row>
    <row r="541">
      <c r="A541" t="inlineStr">
        <is>
          <t>OH0022637025</t>
        </is>
      </c>
      <c r="B541" t="n">
        <v>78</v>
      </c>
      <c r="C541" t="n">
        <v>399436</v>
      </c>
      <c r="D541" t="inlineStr">
        <is>
          <t>COPE</t>
        </is>
      </c>
      <c r="E541" t="inlineStr">
        <is>
          <t>LISA</t>
        </is>
      </c>
      <c r="F541">
        <f>CONCATENATE(D541," ",LEFT(H541,4),"T=",AU541,"D=",AV541,"R=",AW541,"M=",AX541,"L=",AY541,"B=",AZ541)</f>
        <v/>
      </c>
      <c r="G541" t="inlineStr">
        <is>
          <t>M</t>
        </is>
      </c>
      <c r="I541" t="inlineStr">
        <is>
          <t>1969-04-27</t>
        </is>
      </c>
      <c r="J541" t="inlineStr">
        <is>
          <t>2024-08-26</t>
        </is>
      </c>
      <c r="K541" t="inlineStr">
        <is>
          <t>ACTIVE</t>
        </is>
      </c>
      <c r="M541" t="inlineStr">
        <is>
          <t>1344 GRANDVIEW ST SE</t>
        </is>
      </c>
      <c r="N541">
        <f>RIGHT(M541,LEN(M541)-FIND(" ",M541))</f>
        <v/>
      </c>
      <c r="P541" t="inlineStr">
        <is>
          <t>WARREN</t>
        </is>
      </c>
      <c r="Q541" t="inlineStr">
        <is>
          <t>OH</t>
        </is>
      </c>
      <c r="R541" t="n">
        <v>44484</v>
      </c>
      <c r="AD541" t="inlineStr">
        <is>
          <t>TRUMBULL CAREER &amp; TECH CENTER</t>
        </is>
      </c>
      <c r="AE541" t="inlineStr">
        <is>
          <t>WARREN CITY</t>
        </is>
      </c>
      <c r="AF541" t="inlineStr">
        <is>
          <t>WARREN CITY SD</t>
        </is>
      </c>
      <c r="AH541" t="n">
        <v>14</v>
      </c>
      <c r="AI541" t="n">
        <v>11</v>
      </c>
      <c r="AN541" t="inlineStr">
        <is>
          <t>WARREN</t>
        </is>
      </c>
      <c r="AO541" t="inlineStr">
        <is>
          <t>WARREN CITY 4A</t>
        </is>
      </c>
      <c r="AP541" t="inlineStr">
        <is>
          <t>78-P-ADI</t>
        </is>
      </c>
      <c r="AQ541" t="n">
        <v>9</v>
      </c>
      <c r="AR541" t="n">
        <v>64</v>
      </c>
      <c r="AS541" t="n">
        <v>32</v>
      </c>
      <c r="AU541">
        <f>COUNTA($BA$541:$EH$541)</f>
        <v/>
      </c>
      <c r="AV541">
        <f>COUNTIF($BA$541:$EH$541,"D")</f>
        <v/>
      </c>
      <c r="AW541">
        <f>COUNTIF($BA$541:$EH$541,"R")</f>
        <v/>
      </c>
      <c r="AX541">
        <f>IF(BN541="D",1,0)+IF(BO541="D",1,0)+IF(BT541="D",1,0)+IF(BU541="D",1,0)+IF(BW541="D",1,0)+IF(CC541="D",1,0)+IF(CD541="D",1,0)+IF(CE541="D",1,0)+IF(CF541="D",1,0)+IF(CL541="D",1,0)+IF(CM541="D",1,0)+IF(CQ541="D",1,0)+IF(CR541="D",1,0)+IF(CS541="D",1,0)+IF(CW541="D",1,0)+IF(CX541="D",1,0)+IF(DD541="D",1,0)+IF(DE541="D",1,0)+IF(DJ541="D",1,0)+IF(DK541="D",1,0)+IF(DO541="D",1,0)+IF(DP541="D",1,0)+IF(DQ541="D",1,0)+IF(DW541="D",1,0)+IF(DZ541="D",1,0)+IF(EH541="D",1,0)</f>
        <v/>
      </c>
      <c r="AY541">
        <f>IF(DJ541&lt;&gt;"",1,0)+IF(DK541&lt;&gt;"",1,0)+IF(DM541&lt;&gt;"",1,0)+IF(DO541&lt;&gt;"",1,0)+IF(DP541&lt;&gt;"",1,0)+IF(DQ541&lt;&gt;"",1,0)+IF(DS541&lt;&gt;"",1,0)+IF(DT541&lt;&gt;"",1,0)+IF(DV541&lt;&gt;"",1,0)+IF(DW541&lt;&gt;"",1,0)+IF(DX541&lt;&gt;"",1,0)+IF(DY541&lt;&gt;"",1,0)+IF(DZ541&lt;&gt;"",1,0)+IF(EB541&lt;&gt;"",1,0)+IF(EC541&lt;&gt;"",1,0)+IF(ED541&lt;&gt;"",1,0)+IF(EG541&lt;&gt;"",1,0)+IF(EH541&lt;&gt;"",1,0)</f>
        <v/>
      </c>
      <c r="AZ541">
        <f>IF(EH541&lt;&gt;"",1,0)</f>
        <v/>
      </c>
      <c r="BB541" t="inlineStr">
        <is>
          <t>WARREN-WARD 4</t>
        </is>
      </c>
    </row>
    <row r="542">
      <c r="A542" t="inlineStr">
        <is>
          <t>OH0022671618</t>
        </is>
      </c>
      <c r="B542" t="n">
        <v>78</v>
      </c>
      <c r="C542" t="n">
        <v>400190</v>
      </c>
      <c r="D542" t="inlineStr">
        <is>
          <t>WILLIAMS</t>
        </is>
      </c>
      <c r="E542" t="inlineStr">
        <is>
          <t>BENJAMIN</t>
        </is>
      </c>
      <c r="F542">
        <f>CONCATENATE(D542," ",LEFT(H542,4),"T=",AU542,"D=",AV542,"R=",AW542,"M=",AX542,"L=",AY542,"B=",AZ542)</f>
        <v/>
      </c>
      <c r="G542" t="inlineStr">
        <is>
          <t>THOMAS</t>
        </is>
      </c>
      <c r="I542" t="inlineStr">
        <is>
          <t>1993-12-02</t>
        </is>
      </c>
      <c r="J542" t="inlineStr">
        <is>
          <t>2022-12-02</t>
        </is>
      </c>
      <c r="K542" t="inlineStr">
        <is>
          <t>ACTIVE</t>
        </is>
      </c>
      <c r="M542" t="inlineStr">
        <is>
          <t>1206 SOUTH ST SE</t>
        </is>
      </c>
      <c r="N542">
        <f>RIGHT(M542,LEN(M542)-FIND(" ",M542))</f>
        <v/>
      </c>
      <c r="P542" t="inlineStr">
        <is>
          <t>WARREN</t>
        </is>
      </c>
      <c r="Q542" t="inlineStr">
        <is>
          <t>OH</t>
        </is>
      </c>
      <c r="R542" t="n">
        <v>44483</v>
      </c>
      <c r="AD542" t="inlineStr">
        <is>
          <t>TRUMBULL CAREER &amp; TECH CENTER</t>
        </is>
      </c>
      <c r="AE542" t="inlineStr">
        <is>
          <t>WARREN CITY</t>
        </is>
      </c>
      <c r="AF542" t="inlineStr">
        <is>
          <t>WARREN CITY SD</t>
        </is>
      </c>
      <c r="AH542" t="n">
        <v>14</v>
      </c>
      <c r="AI542" t="n">
        <v>11</v>
      </c>
      <c r="AN542" t="inlineStr">
        <is>
          <t>WARREN</t>
        </is>
      </c>
      <c r="AO542" t="inlineStr">
        <is>
          <t>WARREN CITY 4A</t>
        </is>
      </c>
      <c r="AP542" t="inlineStr">
        <is>
          <t>78-P-ADI</t>
        </is>
      </c>
      <c r="AQ542" t="n">
        <v>9</v>
      </c>
      <c r="AR542" t="n">
        <v>64</v>
      </c>
      <c r="AS542" t="n">
        <v>32</v>
      </c>
      <c r="AU542">
        <f>COUNTA($BA$542:$EH$542)</f>
        <v/>
      </c>
      <c r="AV542">
        <f>COUNTIF($BA$542:$EH$542,"D")</f>
        <v/>
      </c>
      <c r="AW542">
        <f>COUNTIF($BA$542:$EH$542,"R")</f>
        <v/>
      </c>
      <c r="AX542">
        <f>IF(BN542="D",1,0)+IF(BO542="D",1,0)+IF(BT542="D",1,0)+IF(BU542="D",1,0)+IF(BW542="D",1,0)+IF(CC542="D",1,0)+IF(CD542="D",1,0)+IF(CE542="D",1,0)+IF(CF542="D",1,0)+IF(CL542="D",1,0)+IF(CM542="D",1,0)+IF(CQ542="D",1,0)+IF(CR542="D",1,0)+IF(CS542="D",1,0)+IF(CW542="D",1,0)+IF(CX542="D",1,0)+IF(DD542="D",1,0)+IF(DE542="D",1,0)+IF(DJ542="D",1,0)+IF(DK542="D",1,0)+IF(DO542="D",1,0)+IF(DP542="D",1,0)+IF(DQ542="D",1,0)+IF(DW542="D",1,0)+IF(DZ542="D",1,0)+IF(EH542="D",1,0)</f>
        <v/>
      </c>
      <c r="AY542">
        <f>IF(DJ542&lt;&gt;"",1,0)+IF(DK542&lt;&gt;"",1,0)+IF(DM542&lt;&gt;"",1,0)+IF(DO542&lt;&gt;"",1,0)+IF(DP542&lt;&gt;"",1,0)+IF(DQ542&lt;&gt;"",1,0)+IF(DS542&lt;&gt;"",1,0)+IF(DT542&lt;&gt;"",1,0)+IF(DV542&lt;&gt;"",1,0)+IF(DW542&lt;&gt;"",1,0)+IF(DX542&lt;&gt;"",1,0)+IF(DY542&lt;&gt;"",1,0)+IF(DZ542&lt;&gt;"",1,0)+IF(EB542&lt;&gt;"",1,0)+IF(EC542&lt;&gt;"",1,0)+IF(ED542&lt;&gt;"",1,0)+IF(EG542&lt;&gt;"",1,0)+IF(EH542&lt;&gt;"",1,0)</f>
        <v/>
      </c>
      <c r="AZ542">
        <f>IF(EH542&lt;&gt;"",1,0)</f>
        <v/>
      </c>
      <c r="BB542" t="inlineStr">
        <is>
          <t>WARREN-WARD 4</t>
        </is>
      </c>
      <c r="CZ542" t="inlineStr">
        <is>
          <t>D</t>
        </is>
      </c>
    </row>
    <row r="543">
      <c r="A543" t="inlineStr">
        <is>
          <t>OH0015689725</t>
        </is>
      </c>
      <c r="B543" t="n">
        <v>78</v>
      </c>
      <c r="C543" t="n">
        <v>13290</v>
      </c>
      <c r="D543" t="inlineStr">
        <is>
          <t>MINES</t>
        </is>
      </c>
      <c r="E543" t="inlineStr">
        <is>
          <t>CATHERINE</t>
        </is>
      </c>
      <c r="F543">
        <f>CONCATENATE(D543," ",LEFT(H543,4),"T=",AU543,"D=",AV543,"R=",AW543,"M=",AX543,"L=",AY543,"B=",AZ543)</f>
        <v/>
      </c>
      <c r="G543" t="inlineStr">
        <is>
          <t>J</t>
        </is>
      </c>
      <c r="I543" t="inlineStr">
        <is>
          <t>1936-04-02</t>
        </is>
      </c>
      <c r="J543" t="inlineStr">
        <is>
          <t>1958-03-26</t>
        </is>
      </c>
      <c r="K543" t="inlineStr">
        <is>
          <t>CONFIRMATION</t>
        </is>
      </c>
      <c r="M543" t="inlineStr">
        <is>
          <t>1220 GRANT ST SE</t>
        </is>
      </c>
      <c r="N543">
        <f>RIGHT(M543,LEN(M543)-FIND(" ",M543))</f>
        <v/>
      </c>
      <c r="P543" t="inlineStr">
        <is>
          <t>WARREN</t>
        </is>
      </c>
      <c r="Q543" t="inlineStr">
        <is>
          <t>OH</t>
        </is>
      </c>
      <c r="R543" t="n">
        <v>44483</v>
      </c>
      <c r="AD543" t="inlineStr">
        <is>
          <t>TRUMBULL CAREER &amp; TECH CENTER</t>
        </is>
      </c>
      <c r="AE543" t="inlineStr">
        <is>
          <t>WARREN CITY</t>
        </is>
      </c>
      <c r="AF543" t="inlineStr">
        <is>
          <t>WARREN CITY SD</t>
        </is>
      </c>
      <c r="AH543" t="n">
        <v>14</v>
      </c>
      <c r="AI543" t="n">
        <v>11</v>
      </c>
      <c r="AN543" t="inlineStr">
        <is>
          <t>WARREN</t>
        </is>
      </c>
      <c r="AO543" t="inlineStr">
        <is>
          <t>WARREN CITY 4A</t>
        </is>
      </c>
      <c r="AP543" t="inlineStr">
        <is>
          <t>78-P-ADI</t>
        </is>
      </c>
      <c r="AQ543" t="n">
        <v>9</v>
      </c>
      <c r="AR543" t="n">
        <v>64</v>
      </c>
      <c r="AS543" t="n">
        <v>32</v>
      </c>
      <c r="AU543">
        <f>COUNTA($BA$543:$EH$543)</f>
        <v/>
      </c>
      <c r="AV543">
        <f>COUNTIF($BA$543:$EH$543,"D")</f>
        <v/>
      </c>
      <c r="AW543">
        <f>COUNTIF($BA$543:$EH$543,"R")</f>
        <v/>
      </c>
      <c r="AX543">
        <f>IF(BN543="D",1,0)+IF(BO543="D",1,0)+IF(BT543="D",1,0)+IF(BU543="D",1,0)+IF(BW543="D",1,0)+IF(CC543="D",1,0)+IF(CD543="D",1,0)+IF(CE543="D",1,0)+IF(CF543="D",1,0)+IF(CL543="D",1,0)+IF(CM543="D",1,0)+IF(CQ543="D",1,0)+IF(CR543="D",1,0)+IF(CS543="D",1,0)+IF(CW543="D",1,0)+IF(CX543="D",1,0)+IF(DD543="D",1,0)+IF(DE543="D",1,0)+IF(DJ543="D",1,0)+IF(DK543="D",1,0)+IF(DO543="D",1,0)+IF(DP543="D",1,0)+IF(DQ543="D",1,0)+IF(DW543="D",1,0)+IF(DZ543="D",1,0)+IF(EH543="D",1,0)</f>
        <v/>
      </c>
      <c r="AY543">
        <f>IF(DJ543&lt;&gt;"",1,0)+IF(DK543&lt;&gt;"",1,0)+IF(DM543&lt;&gt;"",1,0)+IF(DO543&lt;&gt;"",1,0)+IF(DP543&lt;&gt;"",1,0)+IF(DQ543&lt;&gt;"",1,0)+IF(DS543&lt;&gt;"",1,0)+IF(DT543&lt;&gt;"",1,0)+IF(DV543&lt;&gt;"",1,0)+IF(DW543&lt;&gt;"",1,0)+IF(DX543&lt;&gt;"",1,0)+IF(DY543&lt;&gt;"",1,0)+IF(DZ543&lt;&gt;"",1,0)+IF(EB543&lt;&gt;"",1,0)+IF(EC543&lt;&gt;"",1,0)+IF(ED543&lt;&gt;"",1,0)+IF(EG543&lt;&gt;"",1,0)+IF(EH543&lt;&gt;"",1,0)</f>
        <v/>
      </c>
      <c r="AZ543">
        <f>IF(EH543&lt;&gt;"",1,0)</f>
        <v/>
      </c>
      <c r="BB543" t="inlineStr">
        <is>
          <t>WARREN-WARD 4</t>
        </is>
      </c>
      <c r="BD543" t="inlineStr">
        <is>
          <t>X</t>
        </is>
      </c>
      <c r="BE543" t="inlineStr">
        <is>
          <t>X</t>
        </is>
      </c>
      <c r="BH543" t="inlineStr">
        <is>
          <t>X</t>
        </is>
      </c>
      <c r="BJ543" t="inlineStr">
        <is>
          <t>X</t>
        </is>
      </c>
      <c r="BK543" t="inlineStr">
        <is>
          <t>X</t>
        </is>
      </c>
      <c r="BL543" t="inlineStr">
        <is>
          <t>X</t>
        </is>
      </c>
      <c r="BP543" t="inlineStr">
        <is>
          <t>X</t>
        </is>
      </c>
      <c r="BS543" t="inlineStr">
        <is>
          <t>X</t>
        </is>
      </c>
      <c r="CA543" t="inlineStr">
        <is>
          <t>X</t>
        </is>
      </c>
      <c r="CG543" t="inlineStr">
        <is>
          <t>X</t>
        </is>
      </c>
      <c r="CK543" t="inlineStr">
        <is>
          <t>X</t>
        </is>
      </c>
      <c r="CN543" t="inlineStr">
        <is>
          <t>X</t>
        </is>
      </c>
      <c r="CP543" t="inlineStr">
        <is>
          <t>X</t>
        </is>
      </c>
      <c r="DI543" t="inlineStr">
        <is>
          <t>X</t>
        </is>
      </c>
    </row>
    <row r="544">
      <c r="A544" t="inlineStr">
        <is>
          <t>OH0015810448</t>
        </is>
      </c>
      <c r="B544" t="n">
        <v>78</v>
      </c>
      <c r="C544" t="n">
        <v>260458</v>
      </c>
      <c r="D544" t="inlineStr">
        <is>
          <t>NETTLES</t>
        </is>
      </c>
      <c r="E544" t="inlineStr">
        <is>
          <t>CARMELITA</t>
        </is>
      </c>
      <c r="F544">
        <f>CONCATENATE(D544," ",LEFT(H544,4),"T=",AU544,"D=",AV544,"R=",AW544,"M=",AX544,"L=",AY544,"B=",AZ544)</f>
        <v/>
      </c>
      <c r="G544" t="inlineStr">
        <is>
          <t>JUNE</t>
        </is>
      </c>
      <c r="I544" t="inlineStr">
        <is>
          <t>1966-02-17</t>
        </is>
      </c>
      <c r="J544" t="inlineStr">
        <is>
          <t>2025-06-02</t>
        </is>
      </c>
      <c r="K544" t="inlineStr">
        <is>
          <t>ACTIVE</t>
        </is>
      </c>
      <c r="M544" t="inlineStr">
        <is>
          <t>137 IDDINGS AVE SE</t>
        </is>
      </c>
      <c r="N544">
        <f>RIGHT(M544,LEN(M544)-FIND(" ",M544))</f>
        <v/>
      </c>
      <c r="P544" t="inlineStr">
        <is>
          <t>WARREN</t>
        </is>
      </c>
      <c r="Q544" t="inlineStr">
        <is>
          <t>OH</t>
        </is>
      </c>
      <c r="R544" t="n">
        <v>44483</v>
      </c>
      <c r="AD544" t="inlineStr">
        <is>
          <t>TRUMBULL CAREER &amp; TECH CENTER</t>
        </is>
      </c>
      <c r="AE544" t="inlineStr">
        <is>
          <t>WARREN CITY</t>
        </is>
      </c>
      <c r="AF544" t="inlineStr">
        <is>
          <t>WARREN CITY SD</t>
        </is>
      </c>
      <c r="AH544" t="n">
        <v>14</v>
      </c>
      <c r="AI544" t="n">
        <v>11</v>
      </c>
      <c r="AN544" t="inlineStr">
        <is>
          <t>WARREN</t>
        </is>
      </c>
      <c r="AO544" t="inlineStr">
        <is>
          <t>WARREN CITY 4A</t>
        </is>
      </c>
      <c r="AP544" t="inlineStr">
        <is>
          <t>78-P-ADI</t>
        </is>
      </c>
      <c r="AQ544" t="n">
        <v>9</v>
      </c>
      <c r="AR544" t="n">
        <v>64</v>
      </c>
      <c r="AS544" t="n">
        <v>32</v>
      </c>
      <c r="AU544">
        <f>COUNTA($BA$544:$EH$544)</f>
        <v/>
      </c>
      <c r="AV544">
        <f>COUNTIF($BA$544:$EH$544,"D")</f>
        <v/>
      </c>
      <c r="AW544">
        <f>COUNTIF($BA$544:$EH$544,"R")</f>
        <v/>
      </c>
      <c r="AX544">
        <f>IF(BN544="D",1,0)+IF(BO544="D",1,0)+IF(BT544="D",1,0)+IF(BU544="D",1,0)+IF(BW544="D",1,0)+IF(CC544="D",1,0)+IF(CD544="D",1,0)+IF(CE544="D",1,0)+IF(CF544="D",1,0)+IF(CL544="D",1,0)+IF(CM544="D",1,0)+IF(CQ544="D",1,0)+IF(CR544="D",1,0)+IF(CS544="D",1,0)+IF(CW544="D",1,0)+IF(CX544="D",1,0)+IF(DD544="D",1,0)+IF(DE544="D",1,0)+IF(DJ544="D",1,0)+IF(DK544="D",1,0)+IF(DO544="D",1,0)+IF(DP544="D",1,0)+IF(DQ544="D",1,0)+IF(DW544="D",1,0)+IF(DZ544="D",1,0)+IF(EH544="D",1,0)</f>
        <v/>
      </c>
      <c r="AY544">
        <f>IF(DJ544&lt;&gt;"",1,0)+IF(DK544&lt;&gt;"",1,0)+IF(DM544&lt;&gt;"",1,0)+IF(DO544&lt;&gt;"",1,0)+IF(DP544&lt;&gt;"",1,0)+IF(DQ544&lt;&gt;"",1,0)+IF(DS544&lt;&gt;"",1,0)+IF(DT544&lt;&gt;"",1,0)+IF(DV544&lt;&gt;"",1,0)+IF(DW544&lt;&gt;"",1,0)+IF(DX544&lt;&gt;"",1,0)+IF(DY544&lt;&gt;"",1,0)+IF(DZ544&lt;&gt;"",1,0)+IF(EB544&lt;&gt;"",1,0)+IF(EC544&lt;&gt;"",1,0)+IF(ED544&lt;&gt;"",1,0)+IF(EG544&lt;&gt;"",1,0)+IF(EH544&lt;&gt;"",1,0)</f>
        <v/>
      </c>
      <c r="AZ544">
        <f>IF(EH544&lt;&gt;"",1,0)</f>
        <v/>
      </c>
      <c r="BB544" t="inlineStr">
        <is>
          <t>WARREN-WARD 4</t>
        </is>
      </c>
      <c r="BL544" t="inlineStr">
        <is>
          <t>X</t>
        </is>
      </c>
      <c r="BS544" t="inlineStr">
        <is>
          <t>X</t>
        </is>
      </c>
      <c r="CA544" t="inlineStr">
        <is>
          <t>X</t>
        </is>
      </c>
      <c r="DC544" t="inlineStr">
        <is>
          <t>X</t>
        </is>
      </c>
      <c r="DI544" t="inlineStr">
        <is>
          <t>X</t>
        </is>
      </c>
      <c r="DN544" t="inlineStr">
        <is>
          <t>X</t>
        </is>
      </c>
    </row>
    <row r="545">
      <c r="A545" t="inlineStr">
        <is>
          <t>OH0019808529</t>
        </is>
      </c>
      <c r="B545" t="n">
        <v>78</v>
      </c>
      <c r="C545" t="n">
        <v>359435</v>
      </c>
      <c r="D545" t="inlineStr">
        <is>
          <t>CARR</t>
        </is>
      </c>
      <c r="E545" t="inlineStr">
        <is>
          <t>KATRINA</t>
        </is>
      </c>
      <c r="F545">
        <f>CONCATENATE(D545," ",LEFT(H545,4),"T=",AU545,"D=",AV545,"R=",AW545,"M=",AX545,"L=",AY545,"B=",AZ545)</f>
        <v/>
      </c>
      <c r="G545" t="inlineStr">
        <is>
          <t>M</t>
        </is>
      </c>
      <c r="I545" t="inlineStr">
        <is>
          <t>1988-05-30</t>
        </is>
      </c>
      <c r="J545" t="inlineStr">
        <is>
          <t>2018-09-21</t>
        </is>
      </c>
      <c r="K545" t="inlineStr">
        <is>
          <t>ACTIVE</t>
        </is>
      </c>
      <c r="M545" t="inlineStr">
        <is>
          <t>428 KENILWORTH AVE SE</t>
        </is>
      </c>
      <c r="N545">
        <f>RIGHT(M545,LEN(M545)-FIND(" ",M545))</f>
        <v/>
      </c>
      <c r="P545" t="inlineStr">
        <is>
          <t>WARREN</t>
        </is>
      </c>
      <c r="Q545" t="inlineStr">
        <is>
          <t>OH</t>
        </is>
      </c>
      <c r="R545" t="n">
        <v>44483</v>
      </c>
      <c r="AD545" t="inlineStr">
        <is>
          <t>TRUMBULL CAREER &amp; TECH CENTER</t>
        </is>
      </c>
      <c r="AE545" t="inlineStr">
        <is>
          <t>WARREN CITY</t>
        </is>
      </c>
      <c r="AF545" t="inlineStr">
        <is>
          <t>WARREN CITY SD</t>
        </is>
      </c>
      <c r="AH545" t="n">
        <v>14</v>
      </c>
      <c r="AI545" t="n">
        <v>11</v>
      </c>
      <c r="AN545" t="inlineStr">
        <is>
          <t>WARREN</t>
        </is>
      </c>
      <c r="AO545" t="inlineStr">
        <is>
          <t>WARREN CITY 4A</t>
        </is>
      </c>
      <c r="AP545" t="inlineStr">
        <is>
          <t>78-P-ADI</t>
        </is>
      </c>
      <c r="AQ545" t="n">
        <v>9</v>
      </c>
      <c r="AR545" t="n">
        <v>64</v>
      </c>
      <c r="AS545" t="n">
        <v>32</v>
      </c>
      <c r="AU545">
        <f>COUNTA($BA$545:$EH$545)</f>
        <v/>
      </c>
      <c r="AV545">
        <f>COUNTIF($BA$545:$EH$545,"D")</f>
        <v/>
      </c>
      <c r="AW545">
        <f>COUNTIF($BA$545:$EH$545,"R")</f>
        <v/>
      </c>
      <c r="AX545">
        <f>IF(BN545="D",1,0)+IF(BO545="D",1,0)+IF(BT545="D",1,0)+IF(BU545="D",1,0)+IF(BW545="D",1,0)+IF(CC545="D",1,0)+IF(CD545="D",1,0)+IF(CE545="D",1,0)+IF(CF545="D",1,0)+IF(CL545="D",1,0)+IF(CM545="D",1,0)+IF(CQ545="D",1,0)+IF(CR545="D",1,0)+IF(CS545="D",1,0)+IF(CW545="D",1,0)+IF(CX545="D",1,0)+IF(DD545="D",1,0)+IF(DE545="D",1,0)+IF(DJ545="D",1,0)+IF(DK545="D",1,0)+IF(DO545="D",1,0)+IF(DP545="D",1,0)+IF(DQ545="D",1,0)+IF(DW545="D",1,0)+IF(DZ545="D",1,0)+IF(EH545="D",1,0)</f>
        <v/>
      </c>
      <c r="AY545">
        <f>IF(DJ545&lt;&gt;"",1,0)+IF(DK545&lt;&gt;"",1,0)+IF(DM545&lt;&gt;"",1,0)+IF(DO545&lt;&gt;"",1,0)+IF(DP545&lt;&gt;"",1,0)+IF(DQ545&lt;&gt;"",1,0)+IF(DS545&lt;&gt;"",1,0)+IF(DT545&lt;&gt;"",1,0)+IF(DV545&lt;&gt;"",1,0)+IF(DW545&lt;&gt;"",1,0)+IF(DX545&lt;&gt;"",1,0)+IF(DY545&lt;&gt;"",1,0)+IF(DZ545&lt;&gt;"",1,0)+IF(EB545&lt;&gt;"",1,0)+IF(EC545&lt;&gt;"",1,0)+IF(ED545&lt;&gt;"",1,0)+IF(EG545&lt;&gt;"",1,0)+IF(EH545&lt;&gt;"",1,0)</f>
        <v/>
      </c>
      <c r="AZ545">
        <f>IF(EH545&lt;&gt;"",1,0)</f>
        <v/>
      </c>
      <c r="BB545" t="inlineStr">
        <is>
          <t>WARREN-WARD 4</t>
        </is>
      </c>
      <c r="CA545" t="inlineStr">
        <is>
          <t>X</t>
        </is>
      </c>
      <c r="CL545" t="inlineStr">
        <is>
          <t>D</t>
        </is>
      </c>
      <c r="CP545" t="inlineStr">
        <is>
          <t>X</t>
        </is>
      </c>
      <c r="CY545" t="inlineStr">
        <is>
          <t>X</t>
        </is>
      </c>
      <c r="CZ545" t="inlineStr">
        <is>
          <t>D</t>
        </is>
      </c>
      <c r="DC545" t="inlineStr">
        <is>
          <t>X</t>
        </is>
      </c>
      <c r="DI545" t="inlineStr">
        <is>
          <t>X</t>
        </is>
      </c>
      <c r="DM545" t="inlineStr">
        <is>
          <t>D</t>
        </is>
      </c>
      <c r="DN545" t="inlineStr">
        <is>
          <t>X</t>
        </is>
      </c>
      <c r="DX545" t="inlineStr">
        <is>
          <t>X</t>
        </is>
      </c>
      <c r="EA545" t="inlineStr">
        <is>
          <t>X</t>
        </is>
      </c>
      <c r="EF545" t="inlineStr">
        <is>
          <t>X</t>
        </is>
      </c>
    </row>
    <row r="546">
      <c r="A546" t="inlineStr">
        <is>
          <t>OH0026203538</t>
        </is>
      </c>
      <c r="B546" t="n">
        <v>78</v>
      </c>
      <c r="C546" t="n">
        <v>458106</v>
      </c>
      <c r="D546" t="inlineStr">
        <is>
          <t>MANSFIELD</t>
        </is>
      </c>
      <c r="E546" t="inlineStr">
        <is>
          <t>DONALD</t>
        </is>
      </c>
      <c r="F546">
        <f>CONCATENATE(D546," ",LEFT(H546,4),"T=",AU546,"D=",AV546,"R=",AW546,"M=",AX546,"L=",AY546,"B=",AZ546)</f>
        <v/>
      </c>
      <c r="G546" t="inlineStr">
        <is>
          <t>E</t>
        </is>
      </c>
      <c r="H546" t="inlineStr">
        <is>
          <t>JR</t>
        </is>
      </c>
      <c r="I546" t="inlineStr">
        <is>
          <t>1983-07-02</t>
        </is>
      </c>
      <c r="J546" t="inlineStr">
        <is>
          <t>2021-05-24</t>
        </is>
      </c>
      <c r="K546" t="inlineStr">
        <is>
          <t>ACTIVE</t>
        </is>
      </c>
      <c r="L546" t="inlineStr">
        <is>
          <t>D</t>
        </is>
      </c>
      <c r="M546" t="inlineStr">
        <is>
          <t>335 OAK KNOLL AVE SE</t>
        </is>
      </c>
      <c r="N546">
        <f>RIGHT(M546,LEN(M546)-FIND(" ",M546))</f>
        <v/>
      </c>
      <c r="P546" t="inlineStr">
        <is>
          <t>WARREN</t>
        </is>
      </c>
      <c r="Q546" t="inlineStr">
        <is>
          <t>OH</t>
        </is>
      </c>
      <c r="R546" t="n">
        <v>44483</v>
      </c>
      <c r="AD546" t="inlineStr">
        <is>
          <t>TRUMBULL CAREER &amp; TECH CENTER</t>
        </is>
      </c>
      <c r="AE546" t="inlineStr">
        <is>
          <t>WARREN CITY</t>
        </is>
      </c>
      <c r="AF546" t="inlineStr">
        <is>
          <t>WARREN CITY SD</t>
        </is>
      </c>
      <c r="AH546" t="n">
        <v>14</v>
      </c>
      <c r="AI546" t="n">
        <v>11</v>
      </c>
      <c r="AN546" t="inlineStr">
        <is>
          <t>WARREN</t>
        </is>
      </c>
      <c r="AO546" t="inlineStr">
        <is>
          <t>WARREN CITY 4A</t>
        </is>
      </c>
      <c r="AP546" t="inlineStr">
        <is>
          <t>78-P-ADI</t>
        </is>
      </c>
      <c r="AQ546" t="n">
        <v>9</v>
      </c>
      <c r="AR546" t="n">
        <v>64</v>
      </c>
      <c r="AS546" t="n">
        <v>32</v>
      </c>
      <c r="AU546">
        <f>COUNTA($BA$546:$EH$546)</f>
        <v/>
      </c>
      <c r="AV546">
        <f>COUNTIF($BA$546:$EH$546,"D")</f>
        <v/>
      </c>
      <c r="AW546">
        <f>COUNTIF($BA$546:$EH$546,"R")</f>
        <v/>
      </c>
      <c r="AX546">
        <f>IF(BN546="D",1,0)+IF(BO546="D",1,0)+IF(BT546="D",1,0)+IF(BU546="D",1,0)+IF(BW546="D",1,0)+IF(CC546="D",1,0)+IF(CD546="D",1,0)+IF(CE546="D",1,0)+IF(CF546="D",1,0)+IF(CL546="D",1,0)+IF(CM546="D",1,0)+IF(CQ546="D",1,0)+IF(CR546="D",1,0)+IF(CS546="D",1,0)+IF(CW546="D",1,0)+IF(CX546="D",1,0)+IF(DD546="D",1,0)+IF(DE546="D",1,0)+IF(DJ546="D",1,0)+IF(DK546="D",1,0)+IF(DO546="D",1,0)+IF(DP546="D",1,0)+IF(DQ546="D",1,0)+IF(DW546="D",1,0)+IF(DZ546="D",1,0)+IF(EH546="D",1,0)</f>
        <v/>
      </c>
      <c r="AY546">
        <f>IF(DJ546&lt;&gt;"",1,0)+IF(DK546&lt;&gt;"",1,0)+IF(DM546&lt;&gt;"",1,0)+IF(DO546&lt;&gt;"",1,0)+IF(DP546&lt;&gt;"",1,0)+IF(DQ546&lt;&gt;"",1,0)+IF(DS546&lt;&gt;"",1,0)+IF(DT546&lt;&gt;"",1,0)+IF(DV546&lt;&gt;"",1,0)+IF(DW546&lt;&gt;"",1,0)+IF(DX546&lt;&gt;"",1,0)+IF(DY546&lt;&gt;"",1,0)+IF(DZ546&lt;&gt;"",1,0)+IF(EB546&lt;&gt;"",1,0)+IF(EC546&lt;&gt;"",1,0)+IF(ED546&lt;&gt;"",1,0)+IF(EG546&lt;&gt;"",1,0)+IF(EH546&lt;&gt;"",1,0)</f>
        <v/>
      </c>
      <c r="AZ546">
        <f>IF(EH546&lt;&gt;"",1,0)</f>
        <v/>
      </c>
      <c r="BB546" t="inlineStr">
        <is>
          <t>WARREN-WARD 4</t>
        </is>
      </c>
      <c r="BJ546" t="inlineStr">
        <is>
          <t>X</t>
        </is>
      </c>
      <c r="BL546" t="inlineStr">
        <is>
          <t>X</t>
        </is>
      </c>
      <c r="CA546" t="inlineStr">
        <is>
          <t>X</t>
        </is>
      </c>
      <c r="CP546" t="inlineStr">
        <is>
          <t>X</t>
        </is>
      </c>
      <c r="CV546" t="inlineStr">
        <is>
          <t>X</t>
        </is>
      </c>
      <c r="CY546" t="inlineStr">
        <is>
          <t>X</t>
        </is>
      </c>
      <c r="CZ546" t="inlineStr">
        <is>
          <t>D</t>
        </is>
      </c>
      <c r="DC546" t="inlineStr">
        <is>
          <t>X</t>
        </is>
      </c>
      <c r="DG546" t="inlineStr">
        <is>
          <t>D</t>
        </is>
      </c>
      <c r="DI546" t="inlineStr">
        <is>
          <t>X</t>
        </is>
      </c>
      <c r="DN546" t="inlineStr">
        <is>
          <t>X</t>
        </is>
      </c>
      <c r="DS546" t="inlineStr">
        <is>
          <t>D</t>
        </is>
      </c>
      <c r="DU546" t="inlineStr">
        <is>
          <t>X</t>
        </is>
      </c>
      <c r="DX546" t="inlineStr">
        <is>
          <t>X</t>
        </is>
      </c>
      <c r="EA546" t="inlineStr">
        <is>
          <t>X</t>
        </is>
      </c>
      <c r="EF546" t="inlineStr">
        <is>
          <t>X</t>
        </is>
      </c>
    </row>
    <row r="547">
      <c r="A547" t="inlineStr">
        <is>
          <t>OH0015691033</t>
        </is>
      </c>
      <c r="B547" t="n">
        <v>78</v>
      </c>
      <c r="C547" t="n">
        <v>136344</v>
      </c>
      <c r="D547" t="inlineStr">
        <is>
          <t>PLACANICA FRAZESKOS</t>
        </is>
      </c>
      <c r="E547" t="inlineStr">
        <is>
          <t>SANDRA</t>
        </is>
      </c>
      <c r="F547">
        <f>CONCATENATE(D547," ",LEFT(H547,4),"T=",AU547,"D=",AV547,"R=",AW547,"M=",AX547,"L=",AY547,"B=",AZ547)</f>
        <v/>
      </c>
      <c r="G547" t="inlineStr">
        <is>
          <t>A</t>
        </is>
      </c>
      <c r="I547" t="inlineStr">
        <is>
          <t>1963-06-09</t>
        </is>
      </c>
      <c r="J547" t="inlineStr">
        <is>
          <t>2014-05-20</t>
        </is>
      </c>
      <c r="K547" t="inlineStr">
        <is>
          <t>ACTIVE</t>
        </is>
      </c>
      <c r="L547" t="inlineStr">
        <is>
          <t>D</t>
        </is>
      </c>
      <c r="M547" t="inlineStr">
        <is>
          <t>740 WOODBINE AVE SE</t>
        </is>
      </c>
      <c r="N547">
        <f>RIGHT(M547,LEN(M547)-FIND(" ",M547))</f>
        <v/>
      </c>
      <c r="P547" t="inlineStr">
        <is>
          <t>WARREN</t>
        </is>
      </c>
      <c r="Q547" t="inlineStr">
        <is>
          <t>OH</t>
        </is>
      </c>
      <c r="R547" t="n">
        <v>44484</v>
      </c>
      <c r="AD547" t="inlineStr">
        <is>
          <t>TRUMBULL CAREER &amp; TECH CENTER</t>
        </is>
      </c>
      <c r="AE547" t="inlineStr">
        <is>
          <t>WARREN CITY</t>
        </is>
      </c>
      <c r="AF547" t="inlineStr">
        <is>
          <t>WARREN CITY SD</t>
        </is>
      </c>
      <c r="AH547" t="n">
        <v>14</v>
      </c>
      <c r="AI547" t="n">
        <v>11</v>
      </c>
      <c r="AN547" t="inlineStr">
        <is>
          <t>WARREN</t>
        </is>
      </c>
      <c r="AO547" t="inlineStr">
        <is>
          <t>WARREN CITY 4A</t>
        </is>
      </c>
      <c r="AP547" t="inlineStr">
        <is>
          <t>78-P-ADI</t>
        </is>
      </c>
      <c r="AQ547" t="n">
        <v>9</v>
      </c>
      <c r="AR547" t="n">
        <v>64</v>
      </c>
      <c r="AS547" t="n">
        <v>32</v>
      </c>
      <c r="AU547">
        <f>COUNTA($BA$547:$EH$547)</f>
        <v/>
      </c>
      <c r="AV547">
        <f>COUNTIF($BA$547:$EH$547,"D")</f>
        <v/>
      </c>
      <c r="AW547">
        <f>COUNTIF($BA$547:$EH$547,"R")</f>
        <v/>
      </c>
      <c r="AX547">
        <f>IF(BN547="D",1,0)+IF(BO547="D",1,0)+IF(BT547="D",1,0)+IF(BU547="D",1,0)+IF(BW547="D",1,0)+IF(CC547="D",1,0)+IF(CD547="D",1,0)+IF(CE547="D",1,0)+IF(CF547="D",1,0)+IF(CL547="D",1,0)+IF(CM547="D",1,0)+IF(CQ547="D",1,0)+IF(CR547="D",1,0)+IF(CS547="D",1,0)+IF(CW547="D",1,0)+IF(CX547="D",1,0)+IF(DD547="D",1,0)+IF(DE547="D",1,0)+IF(DJ547="D",1,0)+IF(DK547="D",1,0)+IF(DO547="D",1,0)+IF(DP547="D",1,0)+IF(DQ547="D",1,0)+IF(DW547="D",1,0)+IF(DZ547="D",1,0)+IF(EH547="D",1,0)</f>
        <v/>
      </c>
      <c r="AY547">
        <f>IF(DJ547&lt;&gt;"",1,0)+IF(DK547&lt;&gt;"",1,0)+IF(DM547&lt;&gt;"",1,0)+IF(DO547&lt;&gt;"",1,0)+IF(DP547&lt;&gt;"",1,0)+IF(DQ547&lt;&gt;"",1,0)+IF(DS547&lt;&gt;"",1,0)+IF(DT547&lt;&gt;"",1,0)+IF(DV547&lt;&gt;"",1,0)+IF(DW547&lt;&gt;"",1,0)+IF(DX547&lt;&gt;"",1,0)+IF(DY547&lt;&gt;"",1,0)+IF(DZ547&lt;&gt;"",1,0)+IF(EB547&lt;&gt;"",1,0)+IF(EC547&lt;&gt;"",1,0)+IF(ED547&lt;&gt;"",1,0)+IF(EG547&lt;&gt;"",1,0)+IF(EH547&lt;&gt;"",1,0)</f>
        <v/>
      </c>
      <c r="AZ547">
        <f>IF(EH547&lt;&gt;"",1,0)</f>
        <v/>
      </c>
      <c r="BB547" t="inlineStr">
        <is>
          <t>WARREN-WARD 4</t>
        </is>
      </c>
      <c r="BC547" t="inlineStr">
        <is>
          <t>X</t>
        </is>
      </c>
      <c r="BD547" t="inlineStr">
        <is>
          <t>X</t>
        </is>
      </c>
      <c r="BE547" t="inlineStr">
        <is>
          <t>X</t>
        </is>
      </c>
      <c r="BF547" t="inlineStr">
        <is>
          <t>X</t>
        </is>
      </c>
      <c r="BG547" t="inlineStr">
        <is>
          <t>X</t>
        </is>
      </c>
      <c r="BI547" t="inlineStr">
        <is>
          <t>X</t>
        </is>
      </c>
      <c r="BJ547" t="inlineStr">
        <is>
          <t>X</t>
        </is>
      </c>
      <c r="BK547" t="inlineStr">
        <is>
          <t>X</t>
        </is>
      </c>
      <c r="BL547" t="inlineStr">
        <is>
          <t>X</t>
        </is>
      </c>
      <c r="BP547" t="inlineStr">
        <is>
          <t>X</t>
        </is>
      </c>
      <c r="BR547" t="inlineStr">
        <is>
          <t>X</t>
        </is>
      </c>
      <c r="BS547" t="inlineStr">
        <is>
          <t>X</t>
        </is>
      </c>
      <c r="BV547" t="inlineStr">
        <is>
          <t>X</t>
        </is>
      </c>
      <c r="BY547" t="inlineStr">
        <is>
          <t>D</t>
        </is>
      </c>
      <c r="CA547" t="inlineStr">
        <is>
          <t>X</t>
        </is>
      </c>
      <c r="CG547" t="inlineStr">
        <is>
          <t>X</t>
        </is>
      </c>
      <c r="CH547" t="inlineStr">
        <is>
          <t>D</t>
        </is>
      </c>
      <c r="CK547" t="inlineStr">
        <is>
          <t>X</t>
        </is>
      </c>
      <c r="CN547" t="inlineStr">
        <is>
          <t>X</t>
        </is>
      </c>
      <c r="CO547" t="inlineStr">
        <is>
          <t>D</t>
        </is>
      </c>
      <c r="CP547" t="inlineStr">
        <is>
          <t>X</t>
        </is>
      </c>
      <c r="CT547" t="inlineStr">
        <is>
          <t>X</t>
        </is>
      </c>
      <c r="CU547" t="inlineStr">
        <is>
          <t>D</t>
        </is>
      </c>
      <c r="CV547" t="inlineStr">
        <is>
          <t>X</t>
        </is>
      </c>
      <c r="CW547" t="inlineStr">
        <is>
          <t>D</t>
        </is>
      </c>
      <c r="CY547" t="inlineStr">
        <is>
          <t>X</t>
        </is>
      </c>
      <c r="CZ547" t="inlineStr">
        <is>
          <t>D</t>
        </is>
      </c>
      <c r="DC547" t="inlineStr">
        <is>
          <t>X</t>
        </is>
      </c>
      <c r="DF547" t="inlineStr">
        <is>
          <t>X</t>
        </is>
      </c>
      <c r="DG547" t="inlineStr">
        <is>
          <t>D</t>
        </is>
      </c>
      <c r="DI547" t="inlineStr">
        <is>
          <t>X</t>
        </is>
      </c>
      <c r="DL547" t="inlineStr">
        <is>
          <t>X</t>
        </is>
      </c>
      <c r="DN547" t="inlineStr">
        <is>
          <t>X</t>
        </is>
      </c>
      <c r="DR547" t="inlineStr">
        <is>
          <t>X</t>
        </is>
      </c>
      <c r="DS547" t="inlineStr">
        <is>
          <t>D</t>
        </is>
      </c>
      <c r="DU547" t="inlineStr">
        <is>
          <t>X</t>
        </is>
      </c>
      <c r="DW547" t="inlineStr">
        <is>
          <t>D</t>
        </is>
      </c>
      <c r="DX547" t="inlineStr">
        <is>
          <t>X</t>
        </is>
      </c>
      <c r="EA547" t="inlineStr">
        <is>
          <t>X</t>
        </is>
      </c>
      <c r="EF547" t="inlineStr">
        <is>
          <t>X</t>
        </is>
      </c>
    </row>
    <row r="548">
      <c r="A548" t="inlineStr">
        <is>
          <t>OH0021013017</t>
        </is>
      </c>
      <c r="B548" t="n">
        <v>78</v>
      </c>
      <c r="C548" t="n">
        <v>373942</v>
      </c>
      <c r="D548" t="inlineStr">
        <is>
          <t>SWEGAN</t>
        </is>
      </c>
      <c r="E548" t="inlineStr">
        <is>
          <t>TATIANA</t>
        </is>
      </c>
      <c r="F548">
        <f>CONCATENATE(D548," ",LEFT(H548,4),"T=",AU548,"D=",AV548,"R=",AW548,"M=",AX548,"L=",AY548,"B=",AZ548)</f>
        <v/>
      </c>
      <c r="G548" t="inlineStr">
        <is>
          <t>V</t>
        </is>
      </c>
      <c r="I548" t="inlineStr">
        <is>
          <t>1962-02-28</t>
        </is>
      </c>
      <c r="J548" t="inlineStr">
        <is>
          <t>2010-03-11</t>
        </is>
      </c>
      <c r="K548" t="inlineStr">
        <is>
          <t>ACTIVE</t>
        </is>
      </c>
      <c r="L548" t="inlineStr">
        <is>
          <t>R</t>
        </is>
      </c>
      <c r="M548" t="inlineStr">
        <is>
          <t>146 WOODBINE AVE SE</t>
        </is>
      </c>
      <c r="N548">
        <f>RIGHT(M548,LEN(M548)-FIND(" ",M548))</f>
        <v/>
      </c>
      <c r="P548" t="inlineStr">
        <is>
          <t>WARREN</t>
        </is>
      </c>
      <c r="Q548" t="inlineStr">
        <is>
          <t>OH</t>
        </is>
      </c>
      <c r="R548" t="n">
        <v>44483</v>
      </c>
      <c r="AD548" t="inlineStr">
        <is>
          <t>TRUMBULL CAREER &amp; TECH CENTER</t>
        </is>
      </c>
      <c r="AE548" t="inlineStr">
        <is>
          <t>WARREN CITY</t>
        </is>
      </c>
      <c r="AF548" t="inlineStr">
        <is>
          <t>WARREN CITY SD</t>
        </is>
      </c>
      <c r="AH548" t="n">
        <v>14</v>
      </c>
      <c r="AI548" t="n">
        <v>11</v>
      </c>
      <c r="AN548" t="inlineStr">
        <is>
          <t>WARREN</t>
        </is>
      </c>
      <c r="AO548" t="inlineStr">
        <is>
          <t>WARREN CITY 4A</t>
        </is>
      </c>
      <c r="AP548" t="inlineStr">
        <is>
          <t>78-P-ADI</t>
        </is>
      </c>
      <c r="AQ548" t="n">
        <v>9</v>
      </c>
      <c r="AR548" t="n">
        <v>64</v>
      </c>
      <c r="AS548" t="n">
        <v>32</v>
      </c>
      <c r="AU548">
        <f>COUNTA($BA$548:$EH$548)</f>
        <v/>
      </c>
      <c r="AV548">
        <f>COUNTIF($BA$548:$EH$548,"D")</f>
        <v/>
      </c>
      <c r="AW548">
        <f>COUNTIF($BA$548:$EH$548,"R")</f>
        <v/>
      </c>
      <c r="AX548">
        <f>IF(BN548="D",1,0)+IF(BO548="D",1,0)+IF(BT548="D",1,0)+IF(BU548="D",1,0)+IF(BW548="D",1,0)+IF(CC548="D",1,0)+IF(CD548="D",1,0)+IF(CE548="D",1,0)+IF(CF548="D",1,0)+IF(CL548="D",1,0)+IF(CM548="D",1,0)+IF(CQ548="D",1,0)+IF(CR548="D",1,0)+IF(CS548="D",1,0)+IF(CW548="D",1,0)+IF(CX548="D",1,0)+IF(DD548="D",1,0)+IF(DE548="D",1,0)+IF(DJ548="D",1,0)+IF(DK548="D",1,0)+IF(DO548="D",1,0)+IF(DP548="D",1,0)+IF(DQ548="D",1,0)+IF(DW548="D",1,0)+IF(DZ548="D",1,0)+IF(EH548="D",1,0)</f>
        <v/>
      </c>
      <c r="AY548">
        <f>IF(DJ548&lt;&gt;"",1,0)+IF(DK548&lt;&gt;"",1,0)+IF(DM548&lt;&gt;"",1,0)+IF(DO548&lt;&gt;"",1,0)+IF(DP548&lt;&gt;"",1,0)+IF(DQ548&lt;&gt;"",1,0)+IF(DS548&lt;&gt;"",1,0)+IF(DT548&lt;&gt;"",1,0)+IF(DV548&lt;&gt;"",1,0)+IF(DW548&lt;&gt;"",1,0)+IF(DX548&lt;&gt;"",1,0)+IF(DY548&lt;&gt;"",1,0)+IF(DZ548&lt;&gt;"",1,0)+IF(EB548&lt;&gt;"",1,0)+IF(EC548&lt;&gt;"",1,0)+IF(ED548&lt;&gt;"",1,0)+IF(EG548&lt;&gt;"",1,0)+IF(EH548&lt;&gt;"",1,0)</f>
        <v/>
      </c>
      <c r="AZ548">
        <f>IF(EH548&lt;&gt;"",1,0)</f>
        <v/>
      </c>
      <c r="BB548" t="inlineStr">
        <is>
          <t>WARREN-WARD 4</t>
        </is>
      </c>
      <c r="CK548" t="inlineStr">
        <is>
          <t>X</t>
        </is>
      </c>
      <c r="CN548" t="inlineStr">
        <is>
          <t>X</t>
        </is>
      </c>
      <c r="CP548" t="inlineStr">
        <is>
          <t>X</t>
        </is>
      </c>
      <c r="CV548" t="inlineStr">
        <is>
          <t>X</t>
        </is>
      </c>
      <c r="CY548" t="inlineStr">
        <is>
          <t>X</t>
        </is>
      </c>
      <c r="CZ548" t="inlineStr">
        <is>
          <t>R</t>
        </is>
      </c>
      <c r="DC548" t="inlineStr">
        <is>
          <t>X</t>
        </is>
      </c>
      <c r="DI548" t="inlineStr">
        <is>
          <t>X</t>
        </is>
      </c>
      <c r="DN548" t="inlineStr">
        <is>
          <t>X</t>
        </is>
      </c>
      <c r="DS548" t="inlineStr">
        <is>
          <t>R</t>
        </is>
      </c>
      <c r="DU548" t="inlineStr">
        <is>
          <t>X</t>
        </is>
      </c>
      <c r="EA548" t="inlineStr">
        <is>
          <t>X</t>
        </is>
      </c>
      <c r="EF548" t="inlineStr">
        <is>
          <t>X</t>
        </is>
      </c>
    </row>
    <row r="549">
      <c r="A549" t="inlineStr">
        <is>
          <t>OH0026185866</t>
        </is>
      </c>
      <c r="B549" t="n">
        <v>78</v>
      </c>
      <c r="C549" t="n">
        <v>457940</v>
      </c>
      <c r="D549" t="inlineStr">
        <is>
          <t>CORAM</t>
        </is>
      </c>
      <c r="E549" t="inlineStr">
        <is>
          <t>DESIREE</t>
        </is>
      </c>
      <c r="F549">
        <f>CONCATENATE(D549," ",LEFT(H549,4),"T=",AU549,"D=",AV549,"R=",AW549,"M=",AX549,"L=",AY549,"B=",AZ549)</f>
        <v/>
      </c>
      <c r="G549" t="inlineStr">
        <is>
          <t>KEANA</t>
        </is>
      </c>
      <c r="I549" t="inlineStr">
        <is>
          <t>1993-04-23</t>
        </is>
      </c>
      <c r="J549" t="inlineStr">
        <is>
          <t>2021-05-05</t>
        </is>
      </c>
      <c r="K549" t="inlineStr">
        <is>
          <t>CONFIRMATION</t>
        </is>
      </c>
      <c r="M549" t="inlineStr">
        <is>
          <t>414 WOODBINE AVE SE</t>
        </is>
      </c>
      <c r="N549">
        <f>RIGHT(M549,LEN(M549)-FIND(" ",M549))</f>
        <v/>
      </c>
      <c r="P549" t="inlineStr">
        <is>
          <t>WARREN</t>
        </is>
      </c>
      <c r="Q549" t="inlineStr">
        <is>
          <t>OH</t>
        </is>
      </c>
      <c r="R549" t="n">
        <v>44483</v>
      </c>
      <c r="AD549" t="inlineStr">
        <is>
          <t>TRUMBULL CAREER &amp; TECH CENTER</t>
        </is>
      </c>
      <c r="AE549" t="inlineStr">
        <is>
          <t>WARREN CITY</t>
        </is>
      </c>
      <c r="AF549" t="inlineStr">
        <is>
          <t>WARREN CITY SD</t>
        </is>
      </c>
      <c r="AH549" t="n">
        <v>14</v>
      </c>
      <c r="AI549" t="n">
        <v>11</v>
      </c>
      <c r="AN549" t="inlineStr">
        <is>
          <t>WARREN</t>
        </is>
      </c>
      <c r="AO549" t="inlineStr">
        <is>
          <t>WARREN CITY 4A</t>
        </is>
      </c>
      <c r="AP549" t="inlineStr">
        <is>
          <t>78-P-ADI</t>
        </is>
      </c>
      <c r="AQ549" t="n">
        <v>9</v>
      </c>
      <c r="AR549" t="n">
        <v>64</v>
      </c>
      <c r="AS549" t="n">
        <v>32</v>
      </c>
      <c r="AU549">
        <f>COUNTA($BA$549:$EH$549)</f>
        <v/>
      </c>
      <c r="AV549">
        <f>COUNTIF($BA$549:$EH$549,"D")</f>
        <v/>
      </c>
      <c r="AW549">
        <f>COUNTIF($BA$549:$EH$549,"R")</f>
        <v/>
      </c>
      <c r="AX549">
        <f>IF(BN549="D",1,0)+IF(BO549="D",1,0)+IF(BT549="D",1,0)+IF(BU549="D",1,0)+IF(BW549="D",1,0)+IF(CC549="D",1,0)+IF(CD549="D",1,0)+IF(CE549="D",1,0)+IF(CF549="D",1,0)+IF(CL549="D",1,0)+IF(CM549="D",1,0)+IF(CQ549="D",1,0)+IF(CR549="D",1,0)+IF(CS549="D",1,0)+IF(CW549="D",1,0)+IF(CX549="D",1,0)+IF(DD549="D",1,0)+IF(DE549="D",1,0)+IF(DJ549="D",1,0)+IF(DK549="D",1,0)+IF(DO549="D",1,0)+IF(DP549="D",1,0)+IF(DQ549="D",1,0)+IF(DW549="D",1,0)+IF(DZ549="D",1,0)+IF(EH549="D",1,0)</f>
        <v/>
      </c>
      <c r="AY549">
        <f>IF(DJ549&lt;&gt;"",1,0)+IF(DK549&lt;&gt;"",1,0)+IF(DM549&lt;&gt;"",1,0)+IF(DO549&lt;&gt;"",1,0)+IF(DP549&lt;&gt;"",1,0)+IF(DQ549&lt;&gt;"",1,0)+IF(DS549&lt;&gt;"",1,0)+IF(DT549&lt;&gt;"",1,0)+IF(DV549&lt;&gt;"",1,0)+IF(DW549&lt;&gt;"",1,0)+IF(DX549&lt;&gt;"",1,0)+IF(DY549&lt;&gt;"",1,0)+IF(DZ549&lt;&gt;"",1,0)+IF(EB549&lt;&gt;"",1,0)+IF(EC549&lt;&gt;"",1,0)+IF(ED549&lt;&gt;"",1,0)+IF(EG549&lt;&gt;"",1,0)+IF(EH549&lt;&gt;"",1,0)</f>
        <v/>
      </c>
      <c r="AZ549">
        <f>IF(EH549&lt;&gt;"",1,0)</f>
        <v/>
      </c>
      <c r="BB549" t="inlineStr">
        <is>
          <t>WARREN-WARD 4</t>
        </is>
      </c>
    </row>
    <row r="550">
      <c r="A550" t="inlineStr">
        <is>
          <t>OH0019264342</t>
        </is>
      </c>
      <c r="B550" t="n">
        <v>78</v>
      </c>
      <c r="C550" t="n">
        <v>352129</v>
      </c>
      <c r="D550" t="inlineStr">
        <is>
          <t>ROSASCO</t>
        </is>
      </c>
      <c r="E550" t="inlineStr">
        <is>
          <t>TREMAYNE</t>
        </is>
      </c>
      <c r="F550">
        <f>CONCATENATE(D550," ",LEFT(H550,4),"T=",AU550,"D=",AV550,"R=",AW550,"M=",AX550,"L=",AY550,"B=",AZ550)</f>
        <v/>
      </c>
      <c r="I550" t="inlineStr">
        <is>
          <t>1987-08-07</t>
        </is>
      </c>
      <c r="J550" t="inlineStr">
        <is>
          <t>2020-08-04</t>
        </is>
      </c>
      <c r="K550" t="inlineStr">
        <is>
          <t>CONFIRMATION</t>
        </is>
      </c>
      <c r="M550" t="inlineStr">
        <is>
          <t>815 KENILWORTH AVE SE</t>
        </is>
      </c>
      <c r="N550">
        <f>RIGHT(M550,LEN(M550)-FIND(" ",M550))</f>
        <v/>
      </c>
      <c r="P550" t="inlineStr">
        <is>
          <t>WARREN</t>
        </is>
      </c>
      <c r="Q550" t="inlineStr">
        <is>
          <t>OH</t>
        </is>
      </c>
      <c r="R550" t="n">
        <v>44484</v>
      </c>
      <c r="AD550" t="inlineStr">
        <is>
          <t>TRUMBULL CAREER &amp; TECH CENTER</t>
        </is>
      </c>
      <c r="AE550" t="inlineStr">
        <is>
          <t>WARREN CITY</t>
        </is>
      </c>
      <c r="AF550" t="inlineStr">
        <is>
          <t>WARREN CITY SD</t>
        </is>
      </c>
      <c r="AH550" t="n">
        <v>14</v>
      </c>
      <c r="AI550" t="n">
        <v>11</v>
      </c>
      <c r="AN550" t="inlineStr">
        <is>
          <t>WARREN</t>
        </is>
      </c>
      <c r="AO550" t="inlineStr">
        <is>
          <t>WARREN CITY 4A</t>
        </is>
      </c>
      <c r="AP550" t="inlineStr">
        <is>
          <t>78-P-ADI</t>
        </is>
      </c>
      <c r="AQ550" t="n">
        <v>9</v>
      </c>
      <c r="AR550" t="n">
        <v>64</v>
      </c>
      <c r="AS550" t="n">
        <v>32</v>
      </c>
      <c r="AU550">
        <f>COUNTA($BA$550:$EH$550)</f>
        <v/>
      </c>
      <c r="AV550">
        <f>COUNTIF($BA$550:$EH$550,"D")</f>
        <v/>
      </c>
      <c r="AW550">
        <f>COUNTIF($BA$550:$EH$550,"R")</f>
        <v/>
      </c>
      <c r="AX550">
        <f>IF(BN550="D",1,0)+IF(BO550="D",1,0)+IF(BT550="D",1,0)+IF(BU550="D",1,0)+IF(BW550="D",1,0)+IF(CC550="D",1,0)+IF(CD550="D",1,0)+IF(CE550="D",1,0)+IF(CF550="D",1,0)+IF(CL550="D",1,0)+IF(CM550="D",1,0)+IF(CQ550="D",1,0)+IF(CR550="D",1,0)+IF(CS550="D",1,0)+IF(CW550="D",1,0)+IF(CX550="D",1,0)+IF(DD550="D",1,0)+IF(DE550="D",1,0)+IF(DJ550="D",1,0)+IF(DK550="D",1,0)+IF(DO550="D",1,0)+IF(DP550="D",1,0)+IF(DQ550="D",1,0)+IF(DW550="D",1,0)+IF(DZ550="D",1,0)+IF(EH550="D",1,0)</f>
        <v/>
      </c>
      <c r="AY550">
        <f>IF(DJ550&lt;&gt;"",1,0)+IF(DK550&lt;&gt;"",1,0)+IF(DM550&lt;&gt;"",1,0)+IF(DO550&lt;&gt;"",1,0)+IF(DP550&lt;&gt;"",1,0)+IF(DQ550&lt;&gt;"",1,0)+IF(DS550&lt;&gt;"",1,0)+IF(DT550&lt;&gt;"",1,0)+IF(DV550&lt;&gt;"",1,0)+IF(DW550&lt;&gt;"",1,0)+IF(DX550&lt;&gt;"",1,0)+IF(DY550&lt;&gt;"",1,0)+IF(DZ550&lt;&gt;"",1,0)+IF(EB550&lt;&gt;"",1,0)+IF(EC550&lt;&gt;"",1,0)+IF(ED550&lt;&gt;"",1,0)+IF(EG550&lt;&gt;"",1,0)+IF(EH550&lt;&gt;"",1,0)</f>
        <v/>
      </c>
      <c r="AZ550">
        <f>IF(EH550&lt;&gt;"",1,0)</f>
        <v/>
      </c>
      <c r="BB550" t="inlineStr">
        <is>
          <t>WARREN-WARD 4</t>
        </is>
      </c>
    </row>
    <row r="551">
      <c r="A551" t="inlineStr">
        <is>
          <t>OH0015753320</t>
        </is>
      </c>
      <c r="B551" t="n">
        <v>78</v>
      </c>
      <c r="C551" t="n">
        <v>294666</v>
      </c>
      <c r="D551" t="inlineStr">
        <is>
          <t>BRYNER</t>
        </is>
      </c>
      <c r="E551" t="inlineStr">
        <is>
          <t>SUMMAR</t>
        </is>
      </c>
      <c r="F551">
        <f>CONCATENATE(D551," ",LEFT(H551,4),"T=",AU551,"D=",AV551,"R=",AW551,"M=",AX551,"L=",AY551,"B=",AZ551)</f>
        <v/>
      </c>
      <c r="G551" t="inlineStr">
        <is>
          <t>LEIGH</t>
        </is>
      </c>
      <c r="I551" t="inlineStr">
        <is>
          <t>1982-01-20</t>
        </is>
      </c>
      <c r="J551" t="inlineStr">
        <is>
          <t>2013-04-08</t>
        </is>
      </c>
      <c r="K551" t="inlineStr">
        <is>
          <t>CONFIRMATION</t>
        </is>
      </c>
      <c r="M551" t="inlineStr">
        <is>
          <t>770 BONNIE BRAE AVE SE</t>
        </is>
      </c>
      <c r="N551">
        <f>RIGHT(M551,LEN(M551)-FIND(" ",M551))</f>
        <v/>
      </c>
      <c r="P551" t="inlineStr">
        <is>
          <t>WARREN</t>
        </is>
      </c>
      <c r="Q551" t="inlineStr">
        <is>
          <t>OH</t>
        </is>
      </c>
      <c r="R551" t="n">
        <v>44484</v>
      </c>
      <c r="AD551" t="inlineStr">
        <is>
          <t>TRUMBULL CAREER &amp; TECH CENTER</t>
        </is>
      </c>
      <c r="AE551" t="inlineStr">
        <is>
          <t>WARREN CITY</t>
        </is>
      </c>
      <c r="AF551" t="inlineStr">
        <is>
          <t>WARREN CITY SD</t>
        </is>
      </c>
      <c r="AH551" t="n">
        <v>14</v>
      </c>
      <c r="AI551" t="n">
        <v>11</v>
      </c>
      <c r="AN551" t="inlineStr">
        <is>
          <t>WARREN</t>
        </is>
      </c>
      <c r="AO551" t="inlineStr">
        <is>
          <t>WARREN CITY 4A</t>
        </is>
      </c>
      <c r="AP551" t="inlineStr">
        <is>
          <t>78-P-ADI</t>
        </is>
      </c>
      <c r="AQ551" t="n">
        <v>9</v>
      </c>
      <c r="AR551" t="n">
        <v>64</v>
      </c>
      <c r="AS551" t="n">
        <v>32</v>
      </c>
      <c r="AU551">
        <f>COUNTA($BA$551:$EH$551)</f>
        <v/>
      </c>
      <c r="AV551">
        <f>COUNTIF($BA$551:$EH$551,"D")</f>
        <v/>
      </c>
      <c r="AW551">
        <f>COUNTIF($BA$551:$EH$551,"R")</f>
        <v/>
      </c>
      <c r="AX551">
        <f>IF(BN551="D",1,0)+IF(BO551="D",1,0)+IF(BT551="D",1,0)+IF(BU551="D",1,0)+IF(BW551="D",1,0)+IF(CC551="D",1,0)+IF(CD551="D",1,0)+IF(CE551="D",1,0)+IF(CF551="D",1,0)+IF(CL551="D",1,0)+IF(CM551="D",1,0)+IF(CQ551="D",1,0)+IF(CR551="D",1,0)+IF(CS551="D",1,0)+IF(CW551="D",1,0)+IF(CX551="D",1,0)+IF(DD551="D",1,0)+IF(DE551="D",1,0)+IF(DJ551="D",1,0)+IF(DK551="D",1,0)+IF(DO551="D",1,0)+IF(DP551="D",1,0)+IF(DQ551="D",1,0)+IF(DW551="D",1,0)+IF(DZ551="D",1,0)+IF(EH551="D",1,0)</f>
        <v/>
      </c>
      <c r="AY551">
        <f>IF(DJ551&lt;&gt;"",1,0)+IF(DK551&lt;&gt;"",1,0)+IF(DM551&lt;&gt;"",1,0)+IF(DO551&lt;&gt;"",1,0)+IF(DP551&lt;&gt;"",1,0)+IF(DQ551&lt;&gt;"",1,0)+IF(DS551&lt;&gt;"",1,0)+IF(DT551&lt;&gt;"",1,0)+IF(DV551&lt;&gt;"",1,0)+IF(DW551&lt;&gt;"",1,0)+IF(DX551&lt;&gt;"",1,0)+IF(DY551&lt;&gt;"",1,0)+IF(DZ551&lt;&gt;"",1,0)+IF(EB551&lt;&gt;"",1,0)+IF(EC551&lt;&gt;"",1,0)+IF(ED551&lt;&gt;"",1,0)+IF(EG551&lt;&gt;"",1,0)+IF(EH551&lt;&gt;"",1,0)</f>
        <v/>
      </c>
      <c r="AZ551">
        <f>IF(EH551&lt;&gt;"",1,0)</f>
        <v/>
      </c>
      <c r="BB551" t="inlineStr">
        <is>
          <t>WARREN-WARD 4</t>
        </is>
      </c>
      <c r="BG551" t="inlineStr">
        <is>
          <t>X</t>
        </is>
      </c>
      <c r="BL551" t="inlineStr">
        <is>
          <t>X</t>
        </is>
      </c>
      <c r="BP551" t="inlineStr">
        <is>
          <t>X</t>
        </is>
      </c>
      <c r="BR551" t="inlineStr">
        <is>
          <t>X</t>
        </is>
      </c>
      <c r="BS551" t="inlineStr">
        <is>
          <t>X</t>
        </is>
      </c>
      <c r="CA551" t="inlineStr">
        <is>
          <t>X</t>
        </is>
      </c>
      <c r="CC551" t="inlineStr">
        <is>
          <t>X</t>
        </is>
      </c>
      <c r="CY551" t="inlineStr">
        <is>
          <t>X</t>
        </is>
      </c>
      <c r="CZ551" t="inlineStr">
        <is>
          <t>R</t>
        </is>
      </c>
    </row>
    <row r="552">
      <c r="A552" t="inlineStr">
        <is>
          <t>OH0023225305</t>
        </is>
      </c>
      <c r="B552" t="n">
        <v>78</v>
      </c>
      <c r="C552" t="n">
        <v>408774</v>
      </c>
      <c r="D552" t="inlineStr">
        <is>
          <t>LEANO</t>
        </is>
      </c>
      <c r="E552" t="inlineStr">
        <is>
          <t>DIANE</t>
        </is>
      </c>
      <c r="F552">
        <f>CONCATENATE(D552," ",LEFT(H552,4),"T=",AU552,"D=",AV552,"R=",AW552,"M=",AX552,"L=",AY552,"B=",AZ552)</f>
        <v/>
      </c>
      <c r="I552" t="inlineStr">
        <is>
          <t>1954-10-21</t>
        </is>
      </c>
      <c r="J552" t="inlineStr">
        <is>
          <t>2015-08-04</t>
        </is>
      </c>
      <c r="K552" t="inlineStr">
        <is>
          <t>CONFIRMATION</t>
        </is>
      </c>
      <c r="M552" t="inlineStr">
        <is>
          <t>332 BONNIE BRAE AVE SE</t>
        </is>
      </c>
      <c r="N552">
        <f>RIGHT(M552,LEN(M552)-FIND(" ",M552))</f>
        <v/>
      </c>
      <c r="P552" t="inlineStr">
        <is>
          <t>WARREN</t>
        </is>
      </c>
      <c r="Q552" t="inlineStr">
        <is>
          <t>OH</t>
        </is>
      </c>
      <c r="R552" t="n">
        <v>44484</v>
      </c>
      <c r="AD552" t="inlineStr">
        <is>
          <t>TRUMBULL CAREER &amp; TECH CENTER</t>
        </is>
      </c>
      <c r="AE552" t="inlineStr">
        <is>
          <t>WARREN CITY</t>
        </is>
      </c>
      <c r="AF552" t="inlineStr">
        <is>
          <t>WARREN CITY SD</t>
        </is>
      </c>
      <c r="AH552" t="n">
        <v>14</v>
      </c>
      <c r="AI552" t="n">
        <v>11</v>
      </c>
      <c r="AN552" t="inlineStr">
        <is>
          <t>WARREN</t>
        </is>
      </c>
      <c r="AO552" t="inlineStr">
        <is>
          <t>WARREN CITY 4A</t>
        </is>
      </c>
      <c r="AP552" t="inlineStr">
        <is>
          <t>78-P-ADI</t>
        </is>
      </c>
      <c r="AQ552" t="n">
        <v>9</v>
      </c>
      <c r="AR552" t="n">
        <v>64</v>
      </c>
      <c r="AS552" t="n">
        <v>32</v>
      </c>
      <c r="AU552">
        <f>COUNTA($BA$552:$EH$552)</f>
        <v/>
      </c>
      <c r="AV552">
        <f>COUNTIF($BA$552:$EH$552,"D")</f>
        <v/>
      </c>
      <c r="AW552">
        <f>COUNTIF($BA$552:$EH$552,"R")</f>
        <v/>
      </c>
      <c r="AX552">
        <f>IF(BN552="D",1,0)+IF(BO552="D",1,0)+IF(BT552="D",1,0)+IF(BU552="D",1,0)+IF(BW552="D",1,0)+IF(CC552="D",1,0)+IF(CD552="D",1,0)+IF(CE552="D",1,0)+IF(CF552="D",1,0)+IF(CL552="D",1,0)+IF(CM552="D",1,0)+IF(CQ552="D",1,0)+IF(CR552="D",1,0)+IF(CS552="D",1,0)+IF(CW552="D",1,0)+IF(CX552="D",1,0)+IF(DD552="D",1,0)+IF(DE552="D",1,0)+IF(DJ552="D",1,0)+IF(DK552="D",1,0)+IF(DO552="D",1,0)+IF(DP552="D",1,0)+IF(DQ552="D",1,0)+IF(DW552="D",1,0)+IF(DZ552="D",1,0)+IF(EH552="D",1,0)</f>
        <v/>
      </c>
      <c r="AY552">
        <f>IF(DJ552&lt;&gt;"",1,0)+IF(DK552&lt;&gt;"",1,0)+IF(DM552&lt;&gt;"",1,0)+IF(DO552&lt;&gt;"",1,0)+IF(DP552&lt;&gt;"",1,0)+IF(DQ552&lt;&gt;"",1,0)+IF(DS552&lt;&gt;"",1,0)+IF(DT552&lt;&gt;"",1,0)+IF(DV552&lt;&gt;"",1,0)+IF(DW552&lt;&gt;"",1,0)+IF(DX552&lt;&gt;"",1,0)+IF(DY552&lt;&gt;"",1,0)+IF(DZ552&lt;&gt;"",1,0)+IF(EB552&lt;&gt;"",1,0)+IF(EC552&lt;&gt;"",1,0)+IF(ED552&lt;&gt;"",1,0)+IF(EG552&lt;&gt;"",1,0)+IF(EH552&lt;&gt;"",1,0)</f>
        <v/>
      </c>
      <c r="AZ552">
        <f>IF(EH552&lt;&gt;"",1,0)</f>
        <v/>
      </c>
      <c r="BB552" t="inlineStr">
        <is>
          <t>WARREN-WARD 4</t>
        </is>
      </c>
    </row>
    <row r="553">
      <c r="A553" t="inlineStr">
        <is>
          <t>OH0027789284</t>
        </is>
      </c>
      <c r="B553" t="n">
        <v>78</v>
      </c>
      <c r="C553" t="n">
        <v>491955</v>
      </c>
      <c r="D553" t="inlineStr">
        <is>
          <t>HICKS</t>
        </is>
      </c>
      <c r="E553" t="inlineStr">
        <is>
          <t>RYAN</t>
        </is>
      </c>
      <c r="F553">
        <f>CONCATENATE(D553," ",LEFT(H553,4),"T=",AU553,"D=",AV553,"R=",AW553,"M=",AX553,"L=",AY553,"B=",AZ553)</f>
        <v/>
      </c>
      <c r="G553" t="inlineStr">
        <is>
          <t>S</t>
        </is>
      </c>
      <c r="I553" t="inlineStr">
        <is>
          <t>1986-08-22</t>
        </is>
      </c>
      <c r="J553" t="inlineStr">
        <is>
          <t>2024-11-05</t>
        </is>
      </c>
      <c r="K553" t="inlineStr">
        <is>
          <t>ACTIVE</t>
        </is>
      </c>
      <c r="M553" t="inlineStr">
        <is>
          <t>1101 YOUNGSTOWN RD SE</t>
        </is>
      </c>
      <c r="N553">
        <f>RIGHT(M553,LEN(M553)-FIND(" ",M553))</f>
        <v/>
      </c>
      <c r="O553" t="inlineStr">
        <is>
          <t>APT 2</t>
        </is>
      </c>
      <c r="P553" t="inlineStr">
        <is>
          <t>WARREN</t>
        </is>
      </c>
      <c r="Q553" t="inlineStr">
        <is>
          <t>OH</t>
        </is>
      </c>
      <c r="R553" t="n">
        <v>44484</v>
      </c>
      <c r="AD553" t="inlineStr">
        <is>
          <t>TRUMBULL CAREER &amp; TECH CENTER</t>
        </is>
      </c>
      <c r="AE553" t="inlineStr">
        <is>
          <t>WARREN CITY</t>
        </is>
      </c>
      <c r="AF553" t="inlineStr">
        <is>
          <t>WARREN CITY SD</t>
        </is>
      </c>
      <c r="AH553" t="n">
        <v>14</v>
      </c>
      <c r="AI553" t="n">
        <v>11</v>
      </c>
      <c r="AN553" t="inlineStr">
        <is>
          <t>WARREN</t>
        </is>
      </c>
      <c r="AO553" t="inlineStr">
        <is>
          <t>WARREN CITY 4A</t>
        </is>
      </c>
      <c r="AP553" t="inlineStr">
        <is>
          <t>78-P-ADI</t>
        </is>
      </c>
      <c r="AQ553" t="n">
        <v>9</v>
      </c>
      <c r="AR553" t="n">
        <v>64</v>
      </c>
      <c r="AS553" t="n">
        <v>32</v>
      </c>
      <c r="AU553">
        <f>COUNTA($BA$553:$EH$553)</f>
        <v/>
      </c>
      <c r="AV553">
        <f>COUNTIF($BA$553:$EH$553,"D")</f>
        <v/>
      </c>
      <c r="AW553">
        <f>COUNTIF($BA$553:$EH$553,"R")</f>
        <v/>
      </c>
      <c r="AX553">
        <f>IF(BN553="D",1,0)+IF(BO553="D",1,0)+IF(BT553="D",1,0)+IF(BU553="D",1,0)+IF(BW553="D",1,0)+IF(CC553="D",1,0)+IF(CD553="D",1,0)+IF(CE553="D",1,0)+IF(CF553="D",1,0)+IF(CL553="D",1,0)+IF(CM553="D",1,0)+IF(CQ553="D",1,0)+IF(CR553="D",1,0)+IF(CS553="D",1,0)+IF(CW553="D",1,0)+IF(CX553="D",1,0)+IF(DD553="D",1,0)+IF(DE553="D",1,0)+IF(DJ553="D",1,0)+IF(DK553="D",1,0)+IF(DO553="D",1,0)+IF(DP553="D",1,0)+IF(DQ553="D",1,0)+IF(DW553="D",1,0)+IF(DZ553="D",1,0)+IF(EH553="D",1,0)</f>
        <v/>
      </c>
      <c r="AY553">
        <f>IF(DJ553&lt;&gt;"",1,0)+IF(DK553&lt;&gt;"",1,0)+IF(DM553&lt;&gt;"",1,0)+IF(DO553&lt;&gt;"",1,0)+IF(DP553&lt;&gt;"",1,0)+IF(DQ553&lt;&gt;"",1,0)+IF(DS553&lt;&gt;"",1,0)+IF(DT553&lt;&gt;"",1,0)+IF(DV553&lt;&gt;"",1,0)+IF(DW553&lt;&gt;"",1,0)+IF(DX553&lt;&gt;"",1,0)+IF(DY553&lt;&gt;"",1,0)+IF(DZ553&lt;&gt;"",1,0)+IF(EB553&lt;&gt;"",1,0)+IF(EC553&lt;&gt;"",1,0)+IF(ED553&lt;&gt;"",1,0)+IF(EG553&lt;&gt;"",1,0)+IF(EH553&lt;&gt;"",1,0)</f>
        <v/>
      </c>
      <c r="AZ553">
        <f>IF(EH553&lt;&gt;"",1,0)</f>
        <v/>
      </c>
      <c r="BB553" t="inlineStr">
        <is>
          <t>WARREN-WARD 4</t>
        </is>
      </c>
      <c r="DC553" t="inlineStr">
        <is>
          <t>X</t>
        </is>
      </c>
      <c r="DN553" t="inlineStr">
        <is>
          <t>X</t>
        </is>
      </c>
      <c r="DU553" t="inlineStr">
        <is>
          <t>X</t>
        </is>
      </c>
      <c r="EF553" t="inlineStr">
        <is>
          <t>X</t>
        </is>
      </c>
    </row>
    <row r="554">
      <c r="A554" t="inlineStr">
        <is>
          <t>OH0026420363</t>
        </is>
      </c>
      <c r="B554" t="n">
        <v>78</v>
      </c>
      <c r="C554" t="n">
        <v>461914</v>
      </c>
      <c r="D554" t="inlineStr">
        <is>
          <t>KING</t>
        </is>
      </c>
      <c r="E554" t="inlineStr">
        <is>
          <t>KYLE</t>
        </is>
      </c>
      <c r="F554">
        <f>CONCATENATE(D554," ",LEFT(H554,4),"T=",AU554,"D=",AV554,"R=",AW554,"M=",AX554,"L=",AY554,"B=",AZ554)</f>
        <v/>
      </c>
      <c r="G554" t="inlineStr">
        <is>
          <t>LEE</t>
        </is>
      </c>
      <c r="I554" t="inlineStr">
        <is>
          <t>1990-04-28</t>
        </is>
      </c>
      <c r="J554" t="inlineStr">
        <is>
          <t>2022-02-28</t>
        </is>
      </c>
      <c r="K554" t="inlineStr">
        <is>
          <t>CONFIRMATION</t>
        </is>
      </c>
      <c r="M554" t="inlineStr">
        <is>
          <t>531 HOMEWOOD AVE SE</t>
        </is>
      </c>
      <c r="N554">
        <f>RIGHT(M554,LEN(M554)-FIND(" ",M554))</f>
        <v/>
      </c>
      <c r="P554" t="inlineStr">
        <is>
          <t>WARREN</t>
        </is>
      </c>
      <c r="Q554" t="inlineStr">
        <is>
          <t>OH</t>
        </is>
      </c>
      <c r="R554" t="n">
        <v>44483</v>
      </c>
      <c r="AD554" t="inlineStr">
        <is>
          <t>TRUMBULL CAREER &amp; TECH CENTER</t>
        </is>
      </c>
      <c r="AE554" t="inlineStr">
        <is>
          <t>WARREN CITY</t>
        </is>
      </c>
      <c r="AF554" t="inlineStr">
        <is>
          <t>WARREN CITY SD</t>
        </is>
      </c>
      <c r="AH554" t="n">
        <v>14</v>
      </c>
      <c r="AI554" t="n">
        <v>11</v>
      </c>
      <c r="AN554" t="inlineStr">
        <is>
          <t>WARREN</t>
        </is>
      </c>
      <c r="AO554" t="inlineStr">
        <is>
          <t>WARREN CITY 4A</t>
        </is>
      </c>
      <c r="AP554" t="inlineStr">
        <is>
          <t>78-P-ADI</t>
        </is>
      </c>
      <c r="AQ554" t="n">
        <v>9</v>
      </c>
      <c r="AR554" t="n">
        <v>64</v>
      </c>
      <c r="AS554" t="n">
        <v>32</v>
      </c>
      <c r="AU554">
        <f>COUNTA($BA$554:$EH$554)</f>
        <v/>
      </c>
      <c r="AV554">
        <f>COUNTIF($BA$554:$EH$554,"D")</f>
        <v/>
      </c>
      <c r="AW554">
        <f>COUNTIF($BA$554:$EH$554,"R")</f>
        <v/>
      </c>
      <c r="AX554">
        <f>IF(BN554="D",1,0)+IF(BO554="D",1,0)+IF(BT554="D",1,0)+IF(BU554="D",1,0)+IF(BW554="D",1,0)+IF(CC554="D",1,0)+IF(CD554="D",1,0)+IF(CE554="D",1,0)+IF(CF554="D",1,0)+IF(CL554="D",1,0)+IF(CM554="D",1,0)+IF(CQ554="D",1,0)+IF(CR554="D",1,0)+IF(CS554="D",1,0)+IF(CW554="D",1,0)+IF(CX554="D",1,0)+IF(DD554="D",1,0)+IF(DE554="D",1,0)+IF(DJ554="D",1,0)+IF(DK554="D",1,0)+IF(DO554="D",1,0)+IF(DP554="D",1,0)+IF(DQ554="D",1,0)+IF(DW554="D",1,0)+IF(DZ554="D",1,0)+IF(EH554="D",1,0)</f>
        <v/>
      </c>
      <c r="AY554">
        <f>IF(DJ554&lt;&gt;"",1,0)+IF(DK554&lt;&gt;"",1,0)+IF(DM554&lt;&gt;"",1,0)+IF(DO554&lt;&gt;"",1,0)+IF(DP554&lt;&gt;"",1,0)+IF(DQ554&lt;&gt;"",1,0)+IF(DS554&lt;&gt;"",1,0)+IF(DT554&lt;&gt;"",1,0)+IF(DV554&lt;&gt;"",1,0)+IF(DW554&lt;&gt;"",1,0)+IF(DX554&lt;&gt;"",1,0)+IF(DY554&lt;&gt;"",1,0)+IF(DZ554&lt;&gt;"",1,0)+IF(EB554&lt;&gt;"",1,0)+IF(EC554&lt;&gt;"",1,0)+IF(ED554&lt;&gt;"",1,0)+IF(EG554&lt;&gt;"",1,0)+IF(EH554&lt;&gt;"",1,0)</f>
        <v/>
      </c>
      <c r="AZ554">
        <f>IF(EH554&lt;&gt;"",1,0)</f>
        <v/>
      </c>
      <c r="BB554" t="inlineStr">
        <is>
          <t>WARREN-WARD 4</t>
        </is>
      </c>
      <c r="CA554" t="inlineStr">
        <is>
          <t>X</t>
        </is>
      </c>
      <c r="DN554" t="inlineStr">
        <is>
          <t>X</t>
        </is>
      </c>
    </row>
    <row r="555">
      <c r="A555" t="inlineStr">
        <is>
          <t>OH0026995595</t>
        </is>
      </c>
      <c r="B555" t="n">
        <v>78</v>
      </c>
      <c r="C555" t="n">
        <v>475385</v>
      </c>
      <c r="D555" t="inlineStr">
        <is>
          <t>COLE</t>
        </is>
      </c>
      <c r="E555" t="inlineStr">
        <is>
          <t>WILLIAM</t>
        </is>
      </c>
      <c r="F555">
        <f>CONCATENATE(D555," ",LEFT(H555,4),"T=",AU555,"D=",AV555,"R=",AW555,"M=",AX555,"L=",AY555,"B=",AZ555)</f>
        <v/>
      </c>
      <c r="G555" t="inlineStr">
        <is>
          <t>T</t>
        </is>
      </c>
      <c r="I555" t="inlineStr">
        <is>
          <t>1975-12-15</t>
        </is>
      </c>
      <c r="J555" t="inlineStr">
        <is>
          <t>2023-08-05</t>
        </is>
      </c>
      <c r="K555" t="inlineStr">
        <is>
          <t>ACTIVE</t>
        </is>
      </c>
      <c r="M555" t="inlineStr">
        <is>
          <t>216 OAK KNOLL AVE SE</t>
        </is>
      </c>
      <c r="N555">
        <f>RIGHT(M555,LEN(M555)-FIND(" ",M555))</f>
        <v/>
      </c>
      <c r="P555" t="inlineStr">
        <is>
          <t>WARREN</t>
        </is>
      </c>
      <c r="Q555" t="inlineStr">
        <is>
          <t>OH</t>
        </is>
      </c>
      <c r="R555" t="n">
        <v>44483</v>
      </c>
      <c r="AD555" t="inlineStr">
        <is>
          <t>TRUMBULL CAREER &amp; TECH CENTER</t>
        </is>
      </c>
      <c r="AE555" t="inlineStr">
        <is>
          <t>WARREN CITY</t>
        </is>
      </c>
      <c r="AF555" t="inlineStr">
        <is>
          <t>WARREN CITY SD</t>
        </is>
      </c>
      <c r="AH555" t="n">
        <v>14</v>
      </c>
      <c r="AI555" t="n">
        <v>11</v>
      </c>
      <c r="AN555" t="inlineStr">
        <is>
          <t>WARREN</t>
        </is>
      </c>
      <c r="AO555" t="inlineStr">
        <is>
          <t>WARREN CITY 4A</t>
        </is>
      </c>
      <c r="AP555" t="inlineStr">
        <is>
          <t>78-P-ADI</t>
        </is>
      </c>
      <c r="AQ555" t="n">
        <v>9</v>
      </c>
      <c r="AR555" t="n">
        <v>64</v>
      </c>
      <c r="AS555" t="n">
        <v>32</v>
      </c>
      <c r="AU555">
        <f>COUNTA($BA$555:$EH$555)</f>
        <v/>
      </c>
      <c r="AV555">
        <f>COUNTIF($BA$555:$EH$555,"D")</f>
        <v/>
      </c>
      <c r="AW555">
        <f>COUNTIF($BA$555:$EH$555,"R")</f>
        <v/>
      </c>
      <c r="AX555">
        <f>IF(BN555="D",1,0)+IF(BO555="D",1,0)+IF(BT555="D",1,0)+IF(BU555="D",1,0)+IF(BW555="D",1,0)+IF(CC555="D",1,0)+IF(CD555="D",1,0)+IF(CE555="D",1,0)+IF(CF555="D",1,0)+IF(CL555="D",1,0)+IF(CM555="D",1,0)+IF(CQ555="D",1,0)+IF(CR555="D",1,0)+IF(CS555="D",1,0)+IF(CW555="D",1,0)+IF(CX555="D",1,0)+IF(DD555="D",1,0)+IF(DE555="D",1,0)+IF(DJ555="D",1,0)+IF(DK555="D",1,0)+IF(DO555="D",1,0)+IF(DP555="D",1,0)+IF(DQ555="D",1,0)+IF(DW555="D",1,0)+IF(DZ555="D",1,0)+IF(EH555="D",1,0)</f>
        <v/>
      </c>
      <c r="AY555">
        <f>IF(DJ555&lt;&gt;"",1,0)+IF(DK555&lt;&gt;"",1,0)+IF(DM555&lt;&gt;"",1,0)+IF(DO555&lt;&gt;"",1,0)+IF(DP555&lt;&gt;"",1,0)+IF(DQ555&lt;&gt;"",1,0)+IF(DS555&lt;&gt;"",1,0)+IF(DT555&lt;&gt;"",1,0)+IF(DV555&lt;&gt;"",1,0)+IF(DW555&lt;&gt;"",1,0)+IF(DX555&lt;&gt;"",1,0)+IF(DY555&lt;&gt;"",1,0)+IF(DZ555&lt;&gt;"",1,0)+IF(EB555&lt;&gt;"",1,0)+IF(EC555&lt;&gt;"",1,0)+IF(ED555&lt;&gt;"",1,0)+IF(EG555&lt;&gt;"",1,0)+IF(EH555&lt;&gt;"",1,0)</f>
        <v/>
      </c>
      <c r="AZ555">
        <f>IF(EH555&lt;&gt;"",1,0)</f>
        <v/>
      </c>
      <c r="BB555" t="inlineStr">
        <is>
          <t>WARREN-WARD 4</t>
        </is>
      </c>
    </row>
    <row r="556">
      <c r="A556" t="inlineStr">
        <is>
          <t>OH0019521285</t>
        </is>
      </c>
      <c r="B556" t="n">
        <v>78</v>
      </c>
      <c r="C556" t="n">
        <v>354840</v>
      </c>
      <c r="D556" t="inlineStr">
        <is>
          <t>JOHNSON</t>
        </is>
      </c>
      <c r="E556" t="inlineStr">
        <is>
          <t>DAVID</t>
        </is>
      </c>
      <c r="F556">
        <f>CONCATENATE(D556," ",LEFT(H556,4),"T=",AU556,"D=",AV556,"R=",AW556,"M=",AX556,"L=",AY556,"B=",AZ556)</f>
        <v/>
      </c>
      <c r="G556" t="inlineStr">
        <is>
          <t>E</t>
        </is>
      </c>
      <c r="I556" t="inlineStr">
        <is>
          <t>1961-08-23</t>
        </is>
      </c>
      <c r="J556" t="inlineStr">
        <is>
          <t>2018-06-01</t>
        </is>
      </c>
      <c r="K556" t="inlineStr">
        <is>
          <t>ACTIVE</t>
        </is>
      </c>
      <c r="M556" t="inlineStr">
        <is>
          <t>820 WOODBINE AVE SE</t>
        </is>
      </c>
      <c r="N556">
        <f>RIGHT(M556,LEN(M556)-FIND(" ",M556))</f>
        <v/>
      </c>
      <c r="P556" t="inlineStr">
        <is>
          <t>WARREN</t>
        </is>
      </c>
      <c r="Q556" t="inlineStr">
        <is>
          <t>OH</t>
        </is>
      </c>
      <c r="R556" t="n">
        <v>44484</v>
      </c>
      <c r="AD556" t="inlineStr">
        <is>
          <t>TRUMBULL CAREER &amp; TECH CENTER</t>
        </is>
      </c>
      <c r="AE556" t="inlineStr">
        <is>
          <t>WARREN CITY</t>
        </is>
      </c>
      <c r="AF556" t="inlineStr">
        <is>
          <t>WARREN CITY SD</t>
        </is>
      </c>
      <c r="AH556" t="n">
        <v>14</v>
      </c>
      <c r="AI556" t="n">
        <v>11</v>
      </c>
      <c r="AN556" t="inlineStr">
        <is>
          <t>WARREN</t>
        </is>
      </c>
      <c r="AO556" t="inlineStr">
        <is>
          <t>WARREN CITY 4A</t>
        </is>
      </c>
      <c r="AP556" t="inlineStr">
        <is>
          <t>78-P-ADI</t>
        </is>
      </c>
      <c r="AQ556" t="n">
        <v>9</v>
      </c>
      <c r="AR556" t="n">
        <v>64</v>
      </c>
      <c r="AS556" t="n">
        <v>32</v>
      </c>
      <c r="AU556">
        <f>COUNTA($BA$556:$EH$556)</f>
        <v/>
      </c>
      <c r="AV556">
        <f>COUNTIF($BA$556:$EH$556,"D")</f>
        <v/>
      </c>
      <c r="AW556">
        <f>COUNTIF($BA$556:$EH$556,"R")</f>
        <v/>
      </c>
      <c r="AX556">
        <f>IF(BN556="D",1,0)+IF(BO556="D",1,0)+IF(BT556="D",1,0)+IF(BU556="D",1,0)+IF(BW556="D",1,0)+IF(CC556="D",1,0)+IF(CD556="D",1,0)+IF(CE556="D",1,0)+IF(CF556="D",1,0)+IF(CL556="D",1,0)+IF(CM556="D",1,0)+IF(CQ556="D",1,0)+IF(CR556="D",1,0)+IF(CS556="D",1,0)+IF(CW556="D",1,0)+IF(CX556="D",1,0)+IF(DD556="D",1,0)+IF(DE556="D",1,0)+IF(DJ556="D",1,0)+IF(DK556="D",1,0)+IF(DO556="D",1,0)+IF(DP556="D",1,0)+IF(DQ556="D",1,0)+IF(DW556="D",1,0)+IF(DZ556="D",1,0)+IF(EH556="D",1,0)</f>
        <v/>
      </c>
      <c r="AY556">
        <f>IF(DJ556&lt;&gt;"",1,0)+IF(DK556&lt;&gt;"",1,0)+IF(DM556&lt;&gt;"",1,0)+IF(DO556&lt;&gt;"",1,0)+IF(DP556&lt;&gt;"",1,0)+IF(DQ556&lt;&gt;"",1,0)+IF(DS556&lt;&gt;"",1,0)+IF(DT556&lt;&gt;"",1,0)+IF(DV556&lt;&gt;"",1,0)+IF(DW556&lt;&gt;"",1,0)+IF(DX556&lt;&gt;"",1,0)+IF(DY556&lt;&gt;"",1,0)+IF(DZ556&lt;&gt;"",1,0)+IF(EB556&lt;&gt;"",1,0)+IF(EC556&lt;&gt;"",1,0)+IF(ED556&lt;&gt;"",1,0)+IF(EG556&lt;&gt;"",1,0)+IF(EH556&lt;&gt;"",1,0)</f>
        <v/>
      </c>
      <c r="AZ556">
        <f>IF(EH556&lt;&gt;"",1,0)</f>
        <v/>
      </c>
      <c r="BB556" t="inlineStr">
        <is>
          <t>WARREN-WARD 4</t>
        </is>
      </c>
      <c r="CP556" t="inlineStr">
        <is>
          <t>X</t>
        </is>
      </c>
    </row>
    <row r="557">
      <c r="A557" t="inlineStr">
        <is>
          <t>OH0025119082</t>
        </is>
      </c>
      <c r="B557" t="n">
        <v>78</v>
      </c>
      <c r="C557" t="n">
        <v>439907</v>
      </c>
      <c r="D557" t="inlineStr">
        <is>
          <t>DRUMMOND</t>
        </is>
      </c>
      <c r="E557" t="inlineStr">
        <is>
          <t>DANIEL</t>
        </is>
      </c>
      <c r="F557">
        <f>CONCATENATE(D557," ",LEFT(H557,4),"T=",AU557,"D=",AV557,"R=",AW557,"M=",AX557,"L=",AY557,"B=",AZ557)</f>
        <v/>
      </c>
      <c r="G557" t="inlineStr">
        <is>
          <t>E</t>
        </is>
      </c>
      <c r="I557" t="inlineStr">
        <is>
          <t>1980-11-24</t>
        </is>
      </c>
      <c r="J557" t="inlineStr">
        <is>
          <t>2019-06-21</t>
        </is>
      </c>
      <c r="K557" t="inlineStr">
        <is>
          <t>ACTIVE</t>
        </is>
      </c>
      <c r="L557" t="inlineStr">
        <is>
          <t>D</t>
        </is>
      </c>
      <c r="M557" t="inlineStr">
        <is>
          <t>354 OAK KNOLL AVE SE</t>
        </is>
      </c>
      <c r="N557">
        <f>RIGHT(M557,LEN(M557)-FIND(" ",M557))</f>
        <v/>
      </c>
      <c r="P557" t="inlineStr">
        <is>
          <t>WARREN</t>
        </is>
      </c>
      <c r="Q557" t="inlineStr">
        <is>
          <t>OH</t>
        </is>
      </c>
      <c r="R557" t="n">
        <v>44483</v>
      </c>
      <c r="AD557" t="inlineStr">
        <is>
          <t>TRUMBULL CAREER &amp; TECH CENTER</t>
        </is>
      </c>
      <c r="AE557" t="inlineStr">
        <is>
          <t>WARREN CITY</t>
        </is>
      </c>
      <c r="AF557" t="inlineStr">
        <is>
          <t>WARREN CITY SD</t>
        </is>
      </c>
      <c r="AH557" t="n">
        <v>14</v>
      </c>
      <c r="AI557" t="n">
        <v>11</v>
      </c>
      <c r="AN557" t="inlineStr">
        <is>
          <t>WARREN</t>
        </is>
      </c>
      <c r="AO557" t="inlineStr">
        <is>
          <t>WARREN CITY 4A</t>
        </is>
      </c>
      <c r="AP557" t="inlineStr">
        <is>
          <t>78-P-ADI</t>
        </is>
      </c>
      <c r="AQ557" t="n">
        <v>9</v>
      </c>
      <c r="AR557" t="n">
        <v>64</v>
      </c>
      <c r="AS557" t="n">
        <v>32</v>
      </c>
      <c r="AU557">
        <f>COUNTA($BA$557:$EH$557)</f>
        <v/>
      </c>
      <c r="AV557">
        <f>COUNTIF($BA$557:$EH$557,"D")</f>
        <v/>
      </c>
      <c r="AW557">
        <f>COUNTIF($BA$557:$EH$557,"R")</f>
        <v/>
      </c>
      <c r="AX557">
        <f>IF(BN557="D",1,0)+IF(BO557="D",1,0)+IF(BT557="D",1,0)+IF(BU557="D",1,0)+IF(BW557="D",1,0)+IF(CC557="D",1,0)+IF(CD557="D",1,0)+IF(CE557="D",1,0)+IF(CF557="D",1,0)+IF(CL557="D",1,0)+IF(CM557="D",1,0)+IF(CQ557="D",1,0)+IF(CR557="D",1,0)+IF(CS557="D",1,0)+IF(CW557="D",1,0)+IF(CX557="D",1,0)+IF(DD557="D",1,0)+IF(DE557="D",1,0)+IF(DJ557="D",1,0)+IF(DK557="D",1,0)+IF(DO557="D",1,0)+IF(DP557="D",1,0)+IF(DQ557="D",1,0)+IF(DW557="D",1,0)+IF(DZ557="D",1,0)+IF(EH557="D",1,0)</f>
        <v/>
      </c>
      <c r="AY557">
        <f>IF(DJ557&lt;&gt;"",1,0)+IF(DK557&lt;&gt;"",1,0)+IF(DM557&lt;&gt;"",1,0)+IF(DO557&lt;&gt;"",1,0)+IF(DP557&lt;&gt;"",1,0)+IF(DQ557&lt;&gt;"",1,0)+IF(DS557&lt;&gt;"",1,0)+IF(DT557&lt;&gt;"",1,0)+IF(DV557&lt;&gt;"",1,0)+IF(DW557&lt;&gt;"",1,0)+IF(DX557&lt;&gt;"",1,0)+IF(DY557&lt;&gt;"",1,0)+IF(DZ557&lt;&gt;"",1,0)+IF(EB557&lt;&gt;"",1,0)+IF(EC557&lt;&gt;"",1,0)+IF(ED557&lt;&gt;"",1,0)+IF(EG557&lt;&gt;"",1,0)+IF(EH557&lt;&gt;"",1,0)</f>
        <v/>
      </c>
      <c r="AZ557">
        <f>IF(EH557&lt;&gt;"",1,0)</f>
        <v/>
      </c>
      <c r="BB557" t="inlineStr">
        <is>
          <t>WARREN-WARD 4</t>
        </is>
      </c>
      <c r="BC557" t="inlineStr">
        <is>
          <t>X</t>
        </is>
      </c>
      <c r="BD557" t="inlineStr">
        <is>
          <t>X</t>
        </is>
      </c>
      <c r="BE557" t="inlineStr">
        <is>
          <t>X</t>
        </is>
      </c>
      <c r="BF557" t="inlineStr">
        <is>
          <t>X</t>
        </is>
      </c>
      <c r="BH557" t="inlineStr">
        <is>
          <t>X</t>
        </is>
      </c>
      <c r="BL557" t="inlineStr">
        <is>
          <t>X</t>
        </is>
      </c>
      <c r="BP557" t="inlineStr">
        <is>
          <t>X</t>
        </is>
      </c>
      <c r="BS557" t="inlineStr">
        <is>
          <t>X</t>
        </is>
      </c>
      <c r="BY557" t="inlineStr">
        <is>
          <t>D</t>
        </is>
      </c>
      <c r="CA557" t="inlineStr">
        <is>
          <t>X</t>
        </is>
      </c>
      <c r="CG557" t="inlineStr">
        <is>
          <t>X</t>
        </is>
      </c>
      <c r="CK557" t="inlineStr">
        <is>
          <t>X</t>
        </is>
      </c>
      <c r="CL557" t="inlineStr">
        <is>
          <t>D</t>
        </is>
      </c>
      <c r="CN557" t="inlineStr">
        <is>
          <t>X</t>
        </is>
      </c>
      <c r="CP557" t="inlineStr">
        <is>
          <t>X</t>
        </is>
      </c>
      <c r="CV557" t="inlineStr">
        <is>
          <t>X</t>
        </is>
      </c>
      <c r="CW557" t="inlineStr">
        <is>
          <t>D</t>
        </is>
      </c>
      <c r="CY557" t="inlineStr">
        <is>
          <t>X</t>
        </is>
      </c>
      <c r="DC557" t="inlineStr">
        <is>
          <t>X</t>
        </is>
      </c>
      <c r="DI557" t="inlineStr">
        <is>
          <t>X</t>
        </is>
      </c>
      <c r="DM557" t="inlineStr">
        <is>
          <t>D</t>
        </is>
      </c>
      <c r="DN557" t="inlineStr">
        <is>
          <t>X</t>
        </is>
      </c>
      <c r="DU557" t="inlineStr">
        <is>
          <t>X</t>
        </is>
      </c>
      <c r="DX557" t="inlineStr">
        <is>
          <t>X</t>
        </is>
      </c>
      <c r="EA557" t="inlineStr">
        <is>
          <t>X</t>
        </is>
      </c>
      <c r="ED557" t="inlineStr">
        <is>
          <t>D</t>
        </is>
      </c>
      <c r="EF557" t="inlineStr">
        <is>
          <t>X</t>
        </is>
      </c>
      <c r="EH557" t="inlineStr">
        <is>
          <t>D</t>
        </is>
      </c>
    </row>
    <row r="558">
      <c r="A558" t="inlineStr">
        <is>
          <t>OH0026995588</t>
        </is>
      </c>
      <c r="B558" t="n">
        <v>78</v>
      </c>
      <c r="C558" t="n">
        <v>475421</v>
      </c>
      <c r="D558" t="inlineStr">
        <is>
          <t>PRIEST</t>
        </is>
      </c>
      <c r="E558" t="inlineStr">
        <is>
          <t>ASHLEY</t>
        </is>
      </c>
      <c r="F558">
        <f>CONCATENATE(D558," ",LEFT(H558,4),"T=",AU558,"D=",AV558,"R=",AW558,"M=",AX558,"L=",AY558,"B=",AZ558)</f>
        <v/>
      </c>
      <c r="G558" t="inlineStr">
        <is>
          <t>L</t>
        </is>
      </c>
      <c r="I558" t="inlineStr">
        <is>
          <t>1994-12-02</t>
        </is>
      </c>
      <c r="J558" t="inlineStr">
        <is>
          <t>2023-08-07</t>
        </is>
      </c>
      <c r="K558" t="inlineStr">
        <is>
          <t>ACTIVE</t>
        </is>
      </c>
      <c r="M558" t="inlineStr">
        <is>
          <t>377 IDDINGS AVE SE</t>
        </is>
      </c>
      <c r="N558">
        <f>RIGHT(M558,LEN(M558)-FIND(" ",M558))</f>
        <v/>
      </c>
      <c r="P558" t="inlineStr">
        <is>
          <t>WARREN</t>
        </is>
      </c>
      <c r="Q558" t="inlineStr">
        <is>
          <t>OH</t>
        </is>
      </c>
      <c r="R558" t="n">
        <v>44483</v>
      </c>
      <c r="AD558" t="inlineStr">
        <is>
          <t>TRUMBULL CAREER &amp; TECH CENTER</t>
        </is>
      </c>
      <c r="AE558" t="inlineStr">
        <is>
          <t>WARREN CITY</t>
        </is>
      </c>
      <c r="AF558" t="inlineStr">
        <is>
          <t>WARREN CITY SD</t>
        </is>
      </c>
      <c r="AH558" t="n">
        <v>14</v>
      </c>
      <c r="AI558" t="n">
        <v>11</v>
      </c>
      <c r="AN558" t="inlineStr">
        <is>
          <t>WARREN</t>
        </is>
      </c>
      <c r="AO558" t="inlineStr">
        <is>
          <t>WARREN CITY 4A</t>
        </is>
      </c>
      <c r="AP558" t="inlineStr">
        <is>
          <t>78-P-ADI</t>
        </is>
      </c>
      <c r="AQ558" t="n">
        <v>9</v>
      </c>
      <c r="AR558" t="n">
        <v>64</v>
      </c>
      <c r="AS558" t="n">
        <v>32</v>
      </c>
      <c r="AU558">
        <f>COUNTA($BA$558:$EH$558)</f>
        <v/>
      </c>
      <c r="AV558">
        <f>COUNTIF($BA$558:$EH$558,"D")</f>
        <v/>
      </c>
      <c r="AW558">
        <f>COUNTIF($BA$558:$EH$558,"R")</f>
        <v/>
      </c>
      <c r="AX558">
        <f>IF(BN558="D",1,0)+IF(BO558="D",1,0)+IF(BT558="D",1,0)+IF(BU558="D",1,0)+IF(BW558="D",1,0)+IF(CC558="D",1,0)+IF(CD558="D",1,0)+IF(CE558="D",1,0)+IF(CF558="D",1,0)+IF(CL558="D",1,0)+IF(CM558="D",1,0)+IF(CQ558="D",1,0)+IF(CR558="D",1,0)+IF(CS558="D",1,0)+IF(CW558="D",1,0)+IF(CX558="D",1,0)+IF(DD558="D",1,0)+IF(DE558="D",1,0)+IF(DJ558="D",1,0)+IF(DK558="D",1,0)+IF(DO558="D",1,0)+IF(DP558="D",1,0)+IF(DQ558="D",1,0)+IF(DW558="D",1,0)+IF(DZ558="D",1,0)+IF(EH558="D",1,0)</f>
        <v/>
      </c>
      <c r="AY558">
        <f>IF(DJ558&lt;&gt;"",1,0)+IF(DK558&lt;&gt;"",1,0)+IF(DM558&lt;&gt;"",1,0)+IF(DO558&lt;&gt;"",1,0)+IF(DP558&lt;&gt;"",1,0)+IF(DQ558&lt;&gt;"",1,0)+IF(DS558&lt;&gt;"",1,0)+IF(DT558&lt;&gt;"",1,0)+IF(DV558&lt;&gt;"",1,0)+IF(DW558&lt;&gt;"",1,0)+IF(DX558&lt;&gt;"",1,0)+IF(DY558&lt;&gt;"",1,0)+IF(DZ558&lt;&gt;"",1,0)+IF(EB558&lt;&gt;"",1,0)+IF(EC558&lt;&gt;"",1,0)+IF(ED558&lt;&gt;"",1,0)+IF(EG558&lt;&gt;"",1,0)+IF(EH558&lt;&gt;"",1,0)</f>
        <v/>
      </c>
      <c r="AZ558">
        <f>IF(EH558&lt;&gt;"",1,0)</f>
        <v/>
      </c>
      <c r="BB558" t="inlineStr">
        <is>
          <t>WARREN-WARD 4</t>
        </is>
      </c>
      <c r="EF558" t="inlineStr">
        <is>
          <t>X</t>
        </is>
      </c>
    </row>
    <row r="559">
      <c r="A559" t="inlineStr">
        <is>
          <t>OH0026992158</t>
        </is>
      </c>
      <c r="B559" t="n">
        <v>78</v>
      </c>
      <c r="C559" t="n">
        <v>475076</v>
      </c>
      <c r="D559" t="inlineStr">
        <is>
          <t>POTTER</t>
        </is>
      </c>
      <c r="E559" t="inlineStr">
        <is>
          <t>GLOREECE</t>
        </is>
      </c>
      <c r="F559">
        <f>CONCATENATE(D559," ",LEFT(H559,4),"T=",AU559,"D=",AV559,"R=",AW559,"M=",AX559,"L=",AY559,"B=",AZ559)</f>
        <v/>
      </c>
      <c r="G559" t="inlineStr">
        <is>
          <t>DANAE</t>
        </is>
      </c>
      <c r="I559" t="inlineStr">
        <is>
          <t>1998-06-29</t>
        </is>
      </c>
      <c r="J559" t="inlineStr">
        <is>
          <t>2023-08-05</t>
        </is>
      </c>
      <c r="K559" t="inlineStr">
        <is>
          <t>ACTIVE</t>
        </is>
      </c>
      <c r="M559" t="inlineStr">
        <is>
          <t>831 WOODBINE AVE SE</t>
        </is>
      </c>
      <c r="N559">
        <f>RIGHT(M559,LEN(M559)-FIND(" ",M559))</f>
        <v/>
      </c>
      <c r="P559" t="inlineStr">
        <is>
          <t>WARREN</t>
        </is>
      </c>
      <c r="Q559" t="inlineStr">
        <is>
          <t>OH</t>
        </is>
      </c>
      <c r="R559" t="n">
        <v>44484</v>
      </c>
      <c r="AD559" t="inlineStr">
        <is>
          <t>TRUMBULL CAREER &amp; TECH CENTER</t>
        </is>
      </c>
      <c r="AE559" t="inlineStr">
        <is>
          <t>WARREN CITY</t>
        </is>
      </c>
      <c r="AF559" t="inlineStr">
        <is>
          <t>WARREN CITY SD</t>
        </is>
      </c>
      <c r="AH559" t="n">
        <v>14</v>
      </c>
      <c r="AI559" t="n">
        <v>11</v>
      </c>
      <c r="AN559" t="inlineStr">
        <is>
          <t>WARREN</t>
        </is>
      </c>
      <c r="AO559" t="inlineStr">
        <is>
          <t>WARREN CITY 4A</t>
        </is>
      </c>
      <c r="AP559" t="inlineStr">
        <is>
          <t>78-P-ADI</t>
        </is>
      </c>
      <c r="AQ559" t="n">
        <v>9</v>
      </c>
      <c r="AR559" t="n">
        <v>64</v>
      </c>
      <c r="AS559" t="n">
        <v>32</v>
      </c>
      <c r="AU559">
        <f>COUNTA($BA$559:$EH$559)</f>
        <v/>
      </c>
      <c r="AV559">
        <f>COUNTIF($BA$559:$EH$559,"D")</f>
        <v/>
      </c>
      <c r="AW559">
        <f>COUNTIF($BA$559:$EH$559,"R")</f>
        <v/>
      </c>
      <c r="AX559">
        <f>IF(BN559="D",1,0)+IF(BO559="D",1,0)+IF(BT559="D",1,0)+IF(BU559="D",1,0)+IF(BW559="D",1,0)+IF(CC559="D",1,0)+IF(CD559="D",1,0)+IF(CE559="D",1,0)+IF(CF559="D",1,0)+IF(CL559="D",1,0)+IF(CM559="D",1,0)+IF(CQ559="D",1,0)+IF(CR559="D",1,0)+IF(CS559="D",1,0)+IF(CW559="D",1,0)+IF(CX559="D",1,0)+IF(DD559="D",1,0)+IF(DE559="D",1,0)+IF(DJ559="D",1,0)+IF(DK559="D",1,0)+IF(DO559="D",1,0)+IF(DP559="D",1,0)+IF(DQ559="D",1,0)+IF(DW559="D",1,0)+IF(DZ559="D",1,0)+IF(EH559="D",1,0)</f>
        <v/>
      </c>
      <c r="AY559">
        <f>IF(DJ559&lt;&gt;"",1,0)+IF(DK559&lt;&gt;"",1,0)+IF(DM559&lt;&gt;"",1,0)+IF(DO559&lt;&gt;"",1,0)+IF(DP559&lt;&gt;"",1,0)+IF(DQ559&lt;&gt;"",1,0)+IF(DS559&lt;&gt;"",1,0)+IF(DT559&lt;&gt;"",1,0)+IF(DV559&lt;&gt;"",1,0)+IF(DW559&lt;&gt;"",1,0)+IF(DX559&lt;&gt;"",1,0)+IF(DY559&lt;&gt;"",1,0)+IF(DZ559&lt;&gt;"",1,0)+IF(EB559&lt;&gt;"",1,0)+IF(EC559&lt;&gt;"",1,0)+IF(ED559&lt;&gt;"",1,0)+IF(EG559&lt;&gt;"",1,0)+IF(EH559&lt;&gt;"",1,0)</f>
        <v/>
      </c>
      <c r="AZ559">
        <f>IF(EH559&lt;&gt;"",1,0)</f>
        <v/>
      </c>
      <c r="BB559" t="inlineStr">
        <is>
          <t>WARREN-WARD 4</t>
        </is>
      </c>
      <c r="DX559" t="inlineStr">
        <is>
          <t>X</t>
        </is>
      </c>
      <c r="EA559" t="inlineStr">
        <is>
          <t>X</t>
        </is>
      </c>
      <c r="EF559" t="inlineStr">
        <is>
          <t>X</t>
        </is>
      </c>
    </row>
    <row r="560">
      <c r="A560" t="inlineStr">
        <is>
          <t>OH0023484215</t>
        </is>
      </c>
      <c r="B560" t="n">
        <v>78</v>
      </c>
      <c r="C560" t="n">
        <v>413330</v>
      </c>
      <c r="D560" t="inlineStr">
        <is>
          <t>KILLIAS</t>
        </is>
      </c>
      <c r="E560" t="inlineStr">
        <is>
          <t>JEWELIA</t>
        </is>
      </c>
      <c r="F560">
        <f>CONCATENATE(D560," ",LEFT(H560,4),"T=",AU560,"D=",AV560,"R=",AW560,"M=",AX560,"L=",AY560,"B=",AZ560)</f>
        <v/>
      </c>
      <c r="G560" t="inlineStr">
        <is>
          <t>C</t>
        </is>
      </c>
      <c r="I560" t="inlineStr">
        <is>
          <t>1998-10-26</t>
        </is>
      </c>
      <c r="J560" t="inlineStr">
        <is>
          <t>2016-01-27</t>
        </is>
      </c>
      <c r="K560" t="inlineStr">
        <is>
          <t>ACTIVE</t>
        </is>
      </c>
      <c r="M560" t="inlineStr">
        <is>
          <t>361 HOMEWOOD AVE SE</t>
        </is>
      </c>
      <c r="N560">
        <f>RIGHT(M560,LEN(M560)-FIND(" ",M560))</f>
        <v/>
      </c>
      <c r="P560" t="inlineStr">
        <is>
          <t>WARREN</t>
        </is>
      </c>
      <c r="Q560" t="inlineStr">
        <is>
          <t>OH</t>
        </is>
      </c>
      <c r="R560" t="n">
        <v>44483</v>
      </c>
      <c r="AD560" t="inlineStr">
        <is>
          <t>TRUMBULL CAREER &amp; TECH CENTER</t>
        </is>
      </c>
      <c r="AE560" t="inlineStr">
        <is>
          <t>WARREN CITY</t>
        </is>
      </c>
      <c r="AF560" t="inlineStr">
        <is>
          <t>WARREN CITY SD</t>
        </is>
      </c>
      <c r="AH560" t="n">
        <v>14</v>
      </c>
      <c r="AI560" t="n">
        <v>11</v>
      </c>
      <c r="AN560" t="inlineStr">
        <is>
          <t>WARREN</t>
        </is>
      </c>
      <c r="AO560" t="inlineStr">
        <is>
          <t>WARREN CITY 4A</t>
        </is>
      </c>
      <c r="AP560" t="inlineStr">
        <is>
          <t>78-P-ADI</t>
        </is>
      </c>
      <c r="AQ560" t="n">
        <v>9</v>
      </c>
      <c r="AR560" t="n">
        <v>64</v>
      </c>
      <c r="AS560" t="n">
        <v>32</v>
      </c>
      <c r="AU560">
        <f>COUNTA($BA$560:$EH$560)</f>
        <v/>
      </c>
      <c r="AV560">
        <f>COUNTIF($BA$560:$EH$560,"D")</f>
        <v/>
      </c>
      <c r="AW560">
        <f>COUNTIF($BA$560:$EH$560,"R")</f>
        <v/>
      </c>
      <c r="AX560">
        <f>IF(BN560="D",1,0)+IF(BO560="D",1,0)+IF(BT560="D",1,0)+IF(BU560="D",1,0)+IF(BW560="D",1,0)+IF(CC560="D",1,0)+IF(CD560="D",1,0)+IF(CE560="D",1,0)+IF(CF560="D",1,0)+IF(CL560="D",1,0)+IF(CM560="D",1,0)+IF(CQ560="D",1,0)+IF(CR560="D",1,0)+IF(CS560="D",1,0)+IF(CW560="D",1,0)+IF(CX560="D",1,0)+IF(DD560="D",1,0)+IF(DE560="D",1,0)+IF(DJ560="D",1,0)+IF(DK560="D",1,0)+IF(DO560="D",1,0)+IF(DP560="D",1,0)+IF(DQ560="D",1,0)+IF(DW560="D",1,0)+IF(DZ560="D",1,0)+IF(EH560="D",1,0)</f>
        <v/>
      </c>
      <c r="AY560">
        <f>IF(DJ560&lt;&gt;"",1,0)+IF(DK560&lt;&gt;"",1,0)+IF(DM560&lt;&gt;"",1,0)+IF(DO560&lt;&gt;"",1,0)+IF(DP560&lt;&gt;"",1,0)+IF(DQ560&lt;&gt;"",1,0)+IF(DS560&lt;&gt;"",1,0)+IF(DT560&lt;&gt;"",1,0)+IF(DV560&lt;&gt;"",1,0)+IF(DW560&lt;&gt;"",1,0)+IF(DX560&lt;&gt;"",1,0)+IF(DY560&lt;&gt;"",1,0)+IF(DZ560&lt;&gt;"",1,0)+IF(EB560&lt;&gt;"",1,0)+IF(EC560&lt;&gt;"",1,0)+IF(ED560&lt;&gt;"",1,0)+IF(EG560&lt;&gt;"",1,0)+IF(EH560&lt;&gt;"",1,0)</f>
        <v/>
      </c>
      <c r="AZ560">
        <f>IF(EH560&lt;&gt;"",1,0)</f>
        <v/>
      </c>
      <c r="BB560" t="inlineStr">
        <is>
          <t>WARREN-WARD 4</t>
        </is>
      </c>
      <c r="CZ560" t="inlineStr">
        <is>
          <t>D</t>
        </is>
      </c>
      <c r="EF560" t="inlineStr">
        <is>
          <t>X</t>
        </is>
      </c>
    </row>
    <row r="561">
      <c r="A561" t="inlineStr">
        <is>
          <t>OH0015729783</t>
        </is>
      </c>
      <c r="B561" t="n">
        <v>78</v>
      </c>
      <c r="C561" t="n">
        <v>318239</v>
      </c>
      <c r="D561" t="inlineStr">
        <is>
          <t>KOLTAK</t>
        </is>
      </c>
      <c r="E561" t="inlineStr">
        <is>
          <t>SUZETTE</t>
        </is>
      </c>
      <c r="F561">
        <f>CONCATENATE(D561," ",LEFT(H561,4),"T=",AU561,"D=",AV561,"R=",AW561,"M=",AX561,"L=",AY561,"B=",AZ561)</f>
        <v/>
      </c>
      <c r="G561" t="inlineStr">
        <is>
          <t>E</t>
        </is>
      </c>
      <c r="I561" t="inlineStr">
        <is>
          <t>1953-09-11</t>
        </is>
      </c>
      <c r="J561" t="inlineStr">
        <is>
          <t>2003-12-12</t>
        </is>
      </c>
      <c r="K561" t="inlineStr">
        <is>
          <t>ACTIVE</t>
        </is>
      </c>
      <c r="L561" t="inlineStr">
        <is>
          <t>D</t>
        </is>
      </c>
      <c r="M561" t="inlineStr">
        <is>
          <t>628 WOODBINE AVE SE</t>
        </is>
      </c>
      <c r="N561">
        <f>RIGHT(M561,LEN(M561)-FIND(" ",M561))</f>
        <v/>
      </c>
      <c r="P561" t="inlineStr">
        <is>
          <t>WARREN</t>
        </is>
      </c>
      <c r="Q561" t="inlineStr">
        <is>
          <t>OH</t>
        </is>
      </c>
      <c r="R561" t="n">
        <v>44483</v>
      </c>
      <c r="AD561" t="inlineStr">
        <is>
          <t>TRUMBULL CAREER &amp; TECH CENTER</t>
        </is>
      </c>
      <c r="AE561" t="inlineStr">
        <is>
          <t>WARREN CITY</t>
        </is>
      </c>
      <c r="AF561" t="inlineStr">
        <is>
          <t>WARREN CITY SD</t>
        </is>
      </c>
      <c r="AH561" t="n">
        <v>14</v>
      </c>
      <c r="AI561" t="n">
        <v>11</v>
      </c>
      <c r="AN561" t="inlineStr">
        <is>
          <t>WARREN</t>
        </is>
      </c>
      <c r="AO561" t="inlineStr">
        <is>
          <t>WARREN CITY 4A</t>
        </is>
      </c>
      <c r="AP561" t="inlineStr">
        <is>
          <t>78-P-ADI</t>
        </is>
      </c>
      <c r="AQ561" t="n">
        <v>9</v>
      </c>
      <c r="AR561" t="n">
        <v>64</v>
      </c>
      <c r="AS561" t="n">
        <v>32</v>
      </c>
      <c r="AU561">
        <f>COUNTA($BA$561:$EH$561)</f>
        <v/>
      </c>
      <c r="AV561">
        <f>COUNTIF($BA$561:$EH$561,"D")</f>
        <v/>
      </c>
      <c r="AW561">
        <f>COUNTIF($BA$561:$EH$561,"R")</f>
        <v/>
      </c>
      <c r="AX561">
        <f>IF(BN561="D",1,0)+IF(BO561="D",1,0)+IF(BT561="D",1,0)+IF(BU561="D",1,0)+IF(BW561="D",1,0)+IF(CC561="D",1,0)+IF(CD561="D",1,0)+IF(CE561="D",1,0)+IF(CF561="D",1,0)+IF(CL561="D",1,0)+IF(CM561="D",1,0)+IF(CQ561="D",1,0)+IF(CR561="D",1,0)+IF(CS561="D",1,0)+IF(CW561="D",1,0)+IF(CX561="D",1,0)+IF(DD561="D",1,0)+IF(DE561="D",1,0)+IF(DJ561="D",1,0)+IF(DK561="D",1,0)+IF(DO561="D",1,0)+IF(DP561="D",1,0)+IF(DQ561="D",1,0)+IF(DW561="D",1,0)+IF(DZ561="D",1,0)+IF(EH561="D",1,0)</f>
        <v/>
      </c>
      <c r="AY561">
        <f>IF(DJ561&lt;&gt;"",1,0)+IF(DK561&lt;&gt;"",1,0)+IF(DM561&lt;&gt;"",1,0)+IF(DO561&lt;&gt;"",1,0)+IF(DP561&lt;&gt;"",1,0)+IF(DQ561&lt;&gt;"",1,0)+IF(DS561&lt;&gt;"",1,0)+IF(DT561&lt;&gt;"",1,0)+IF(DV561&lt;&gt;"",1,0)+IF(DW561&lt;&gt;"",1,0)+IF(DX561&lt;&gt;"",1,0)+IF(DY561&lt;&gt;"",1,0)+IF(DZ561&lt;&gt;"",1,0)+IF(EB561&lt;&gt;"",1,0)+IF(EC561&lt;&gt;"",1,0)+IF(ED561&lt;&gt;"",1,0)+IF(EG561&lt;&gt;"",1,0)+IF(EH561&lt;&gt;"",1,0)</f>
        <v/>
      </c>
      <c r="AZ561">
        <f>IF(EH561&lt;&gt;"",1,0)</f>
        <v/>
      </c>
      <c r="BB561" t="inlineStr">
        <is>
          <t>WARREN-WARD 4</t>
        </is>
      </c>
      <c r="BK561" t="inlineStr">
        <is>
          <t>X</t>
        </is>
      </c>
      <c r="BL561" t="inlineStr">
        <is>
          <t>X</t>
        </is>
      </c>
      <c r="BS561" t="inlineStr">
        <is>
          <t>X</t>
        </is>
      </c>
      <c r="BV561" t="inlineStr">
        <is>
          <t>X</t>
        </is>
      </c>
      <c r="BY561" t="inlineStr">
        <is>
          <t>D</t>
        </is>
      </c>
      <c r="CA561" t="inlineStr">
        <is>
          <t>X</t>
        </is>
      </c>
      <c r="CG561" t="inlineStr">
        <is>
          <t>X</t>
        </is>
      </c>
      <c r="CH561" t="inlineStr">
        <is>
          <t>D</t>
        </is>
      </c>
      <c r="CK561" t="inlineStr">
        <is>
          <t>X</t>
        </is>
      </c>
      <c r="CL561" t="inlineStr">
        <is>
          <t>D</t>
        </is>
      </c>
      <c r="CN561" t="inlineStr">
        <is>
          <t>X</t>
        </is>
      </c>
      <c r="CP561" t="inlineStr">
        <is>
          <t>X</t>
        </is>
      </c>
      <c r="CV561" t="inlineStr">
        <is>
          <t>X</t>
        </is>
      </c>
      <c r="CY561" t="inlineStr">
        <is>
          <t>X</t>
        </is>
      </c>
      <c r="CZ561" t="inlineStr">
        <is>
          <t>D</t>
        </is>
      </c>
      <c r="DC561" t="inlineStr">
        <is>
          <t>X</t>
        </is>
      </c>
      <c r="DI561" t="inlineStr">
        <is>
          <t>X</t>
        </is>
      </c>
      <c r="DN561" t="inlineStr">
        <is>
          <t>X</t>
        </is>
      </c>
      <c r="DU561" t="inlineStr">
        <is>
          <t>X</t>
        </is>
      </c>
      <c r="DX561" t="inlineStr">
        <is>
          <t>X</t>
        </is>
      </c>
      <c r="EA561" t="inlineStr">
        <is>
          <t>X</t>
        </is>
      </c>
      <c r="ED561" t="inlineStr">
        <is>
          <t>D</t>
        </is>
      </c>
    </row>
    <row r="562">
      <c r="A562" t="inlineStr">
        <is>
          <t>OH0027542514</t>
        </is>
      </c>
      <c r="B562" t="n">
        <v>78</v>
      </c>
      <c r="C562" t="n">
        <v>488125</v>
      </c>
      <c r="D562" t="inlineStr">
        <is>
          <t>HALL</t>
        </is>
      </c>
      <c r="E562" t="inlineStr">
        <is>
          <t>MARLON</t>
        </is>
      </c>
      <c r="F562">
        <f>CONCATENATE(D562," ",LEFT(H562,4),"T=",AU562,"D=",AV562,"R=",AW562,"M=",AX562,"L=",AY562,"B=",AZ562)</f>
        <v/>
      </c>
      <c r="G562" t="inlineStr">
        <is>
          <t>A</t>
        </is>
      </c>
      <c r="I562" t="inlineStr">
        <is>
          <t>1989-04-03</t>
        </is>
      </c>
      <c r="J562" t="inlineStr">
        <is>
          <t>2024-07-17</t>
        </is>
      </c>
      <c r="K562" t="inlineStr">
        <is>
          <t>ACTIVE</t>
        </is>
      </c>
      <c r="M562" t="inlineStr">
        <is>
          <t>1066 E MARKET ST</t>
        </is>
      </c>
      <c r="N562">
        <f>RIGHT(M562,LEN(M562)-FIND(" ",M562))</f>
        <v/>
      </c>
      <c r="P562" t="inlineStr">
        <is>
          <t>WARREN</t>
        </is>
      </c>
      <c r="Q562" t="inlineStr">
        <is>
          <t>OH</t>
        </is>
      </c>
      <c r="R562" t="n">
        <v>44483</v>
      </c>
      <c r="AD562" t="inlineStr">
        <is>
          <t>TRUMBULL CAREER &amp; TECH CENTER</t>
        </is>
      </c>
      <c r="AE562" t="inlineStr">
        <is>
          <t>WARREN CITY</t>
        </is>
      </c>
      <c r="AF562" t="inlineStr">
        <is>
          <t>WARREN CITY SD</t>
        </is>
      </c>
      <c r="AH562" t="n">
        <v>14</v>
      </c>
      <c r="AI562" t="n">
        <v>11</v>
      </c>
      <c r="AN562" t="inlineStr">
        <is>
          <t>WARREN</t>
        </is>
      </c>
      <c r="AO562" t="inlineStr">
        <is>
          <t>WARREN CITY 4A</t>
        </is>
      </c>
      <c r="AP562" t="inlineStr">
        <is>
          <t>78-P-ADI</t>
        </is>
      </c>
      <c r="AQ562" t="n">
        <v>9</v>
      </c>
      <c r="AR562" t="n">
        <v>64</v>
      </c>
      <c r="AS562" t="n">
        <v>32</v>
      </c>
      <c r="AU562">
        <f>COUNTA($BA$562:$EH$562)</f>
        <v/>
      </c>
      <c r="AV562">
        <f>COUNTIF($BA$562:$EH$562,"D")</f>
        <v/>
      </c>
      <c r="AW562">
        <f>COUNTIF($BA$562:$EH$562,"R")</f>
        <v/>
      </c>
      <c r="AX562">
        <f>IF(BN562="D",1,0)+IF(BO562="D",1,0)+IF(BT562="D",1,0)+IF(BU562="D",1,0)+IF(BW562="D",1,0)+IF(CC562="D",1,0)+IF(CD562="D",1,0)+IF(CE562="D",1,0)+IF(CF562="D",1,0)+IF(CL562="D",1,0)+IF(CM562="D",1,0)+IF(CQ562="D",1,0)+IF(CR562="D",1,0)+IF(CS562="D",1,0)+IF(CW562="D",1,0)+IF(CX562="D",1,0)+IF(DD562="D",1,0)+IF(DE562="D",1,0)+IF(DJ562="D",1,0)+IF(DK562="D",1,0)+IF(DO562="D",1,0)+IF(DP562="D",1,0)+IF(DQ562="D",1,0)+IF(DW562="D",1,0)+IF(DZ562="D",1,0)+IF(EH562="D",1,0)</f>
        <v/>
      </c>
      <c r="AY562">
        <f>IF(DJ562&lt;&gt;"",1,0)+IF(DK562&lt;&gt;"",1,0)+IF(DM562&lt;&gt;"",1,0)+IF(DO562&lt;&gt;"",1,0)+IF(DP562&lt;&gt;"",1,0)+IF(DQ562&lt;&gt;"",1,0)+IF(DS562&lt;&gt;"",1,0)+IF(DT562&lt;&gt;"",1,0)+IF(DV562&lt;&gt;"",1,0)+IF(DW562&lt;&gt;"",1,0)+IF(DX562&lt;&gt;"",1,0)+IF(DY562&lt;&gt;"",1,0)+IF(DZ562&lt;&gt;"",1,0)+IF(EB562&lt;&gt;"",1,0)+IF(EC562&lt;&gt;"",1,0)+IF(ED562&lt;&gt;"",1,0)+IF(EG562&lt;&gt;"",1,0)+IF(EH562&lt;&gt;"",1,0)</f>
        <v/>
      </c>
      <c r="AZ562">
        <f>IF(EH562&lt;&gt;"",1,0)</f>
        <v/>
      </c>
      <c r="BB562" t="inlineStr">
        <is>
          <t>WARREN-WARD 4</t>
        </is>
      </c>
      <c r="CA562" t="inlineStr">
        <is>
          <t>X</t>
        </is>
      </c>
    </row>
    <row r="563">
      <c r="A563" t="inlineStr">
        <is>
          <t>OH0024003641</t>
        </is>
      </c>
      <c r="B563" t="n">
        <v>78</v>
      </c>
      <c r="C563" t="n">
        <v>420941</v>
      </c>
      <c r="D563" t="inlineStr">
        <is>
          <t>DAILEY</t>
        </is>
      </c>
      <c r="E563" t="inlineStr">
        <is>
          <t>SAMARIA</t>
        </is>
      </c>
      <c r="F563">
        <f>CONCATENATE(D563," ",LEFT(H563,4),"T=",AU563,"D=",AV563,"R=",AW563,"M=",AX563,"L=",AY563,"B=",AZ563)</f>
        <v/>
      </c>
      <c r="G563" t="inlineStr">
        <is>
          <t>TLYRICAL</t>
        </is>
      </c>
      <c r="I563" t="inlineStr">
        <is>
          <t>1998-05-19</t>
        </is>
      </c>
      <c r="J563" t="inlineStr">
        <is>
          <t>2023-04-10</t>
        </is>
      </c>
      <c r="K563" t="inlineStr">
        <is>
          <t>ACTIVE</t>
        </is>
      </c>
      <c r="M563" t="inlineStr">
        <is>
          <t>367 LAIRD AVE SE</t>
        </is>
      </c>
      <c r="N563">
        <f>RIGHT(M563,LEN(M563)-FIND(" ",M563))</f>
        <v/>
      </c>
      <c r="P563" t="inlineStr">
        <is>
          <t>WARREN</t>
        </is>
      </c>
      <c r="Q563" t="inlineStr">
        <is>
          <t>OH</t>
        </is>
      </c>
      <c r="R563" t="n">
        <v>44483</v>
      </c>
      <c r="AD563" t="inlineStr">
        <is>
          <t>TRUMBULL CAREER &amp; TECH CENTER</t>
        </is>
      </c>
      <c r="AE563" t="inlineStr">
        <is>
          <t>WARREN CITY</t>
        </is>
      </c>
      <c r="AF563" t="inlineStr">
        <is>
          <t>WARREN CITY SD</t>
        </is>
      </c>
      <c r="AH563" t="n">
        <v>14</v>
      </c>
      <c r="AI563" t="n">
        <v>11</v>
      </c>
      <c r="AN563" t="inlineStr">
        <is>
          <t>WARREN</t>
        </is>
      </c>
      <c r="AO563" t="inlineStr">
        <is>
          <t>WARREN CITY 4A</t>
        </is>
      </c>
      <c r="AP563" t="inlineStr">
        <is>
          <t>78-P-ADI</t>
        </is>
      </c>
      <c r="AQ563" t="n">
        <v>9</v>
      </c>
      <c r="AR563" t="n">
        <v>64</v>
      </c>
      <c r="AS563" t="n">
        <v>32</v>
      </c>
      <c r="AU563">
        <f>COUNTA($BA$563:$EH$563)</f>
        <v/>
      </c>
      <c r="AV563">
        <f>COUNTIF($BA$563:$EH$563,"D")</f>
        <v/>
      </c>
      <c r="AW563">
        <f>COUNTIF($BA$563:$EH$563,"R")</f>
        <v/>
      </c>
      <c r="AX563">
        <f>IF(BN563="D",1,0)+IF(BO563="D",1,0)+IF(BT563="D",1,0)+IF(BU563="D",1,0)+IF(BW563="D",1,0)+IF(CC563="D",1,0)+IF(CD563="D",1,0)+IF(CE563="D",1,0)+IF(CF563="D",1,0)+IF(CL563="D",1,0)+IF(CM563="D",1,0)+IF(CQ563="D",1,0)+IF(CR563="D",1,0)+IF(CS563="D",1,0)+IF(CW563="D",1,0)+IF(CX563="D",1,0)+IF(DD563="D",1,0)+IF(DE563="D",1,0)+IF(DJ563="D",1,0)+IF(DK563="D",1,0)+IF(DO563="D",1,0)+IF(DP563="D",1,0)+IF(DQ563="D",1,0)+IF(DW563="D",1,0)+IF(DZ563="D",1,0)+IF(EH563="D",1,0)</f>
        <v/>
      </c>
      <c r="AY563">
        <f>IF(DJ563&lt;&gt;"",1,0)+IF(DK563&lt;&gt;"",1,0)+IF(DM563&lt;&gt;"",1,0)+IF(DO563&lt;&gt;"",1,0)+IF(DP563&lt;&gt;"",1,0)+IF(DQ563&lt;&gt;"",1,0)+IF(DS563&lt;&gt;"",1,0)+IF(DT563&lt;&gt;"",1,0)+IF(DV563&lt;&gt;"",1,0)+IF(DW563&lt;&gt;"",1,0)+IF(DX563&lt;&gt;"",1,0)+IF(DY563&lt;&gt;"",1,0)+IF(DZ563&lt;&gt;"",1,0)+IF(EB563&lt;&gt;"",1,0)+IF(EC563&lt;&gt;"",1,0)+IF(ED563&lt;&gt;"",1,0)+IF(EG563&lt;&gt;"",1,0)+IF(EH563&lt;&gt;"",1,0)</f>
        <v/>
      </c>
      <c r="AZ563">
        <f>IF(EH563&lt;&gt;"",1,0)</f>
        <v/>
      </c>
      <c r="BB563" t="inlineStr">
        <is>
          <t>WARREN-WARD 4</t>
        </is>
      </c>
      <c r="DC563" t="inlineStr">
        <is>
          <t>X</t>
        </is>
      </c>
    </row>
    <row r="564">
      <c r="A564" t="inlineStr">
        <is>
          <t>OH0023184254</t>
        </is>
      </c>
      <c r="B564" t="n">
        <v>78</v>
      </c>
      <c r="C564" t="n">
        <v>407913</v>
      </c>
      <c r="D564" t="inlineStr">
        <is>
          <t>JACOBS</t>
        </is>
      </c>
      <c r="E564" t="inlineStr">
        <is>
          <t>MELANIE</t>
        </is>
      </c>
      <c r="F564">
        <f>CONCATENATE(D564," ",LEFT(H564,4),"T=",AU564,"D=",AV564,"R=",AW564,"M=",AX564,"L=",AY564,"B=",AZ564)</f>
        <v/>
      </c>
      <c r="G564" t="inlineStr">
        <is>
          <t>ANN</t>
        </is>
      </c>
      <c r="I564" t="inlineStr">
        <is>
          <t>1986-09-21</t>
        </is>
      </c>
      <c r="J564" t="inlineStr">
        <is>
          <t>2021-11-20</t>
        </is>
      </c>
      <c r="K564" t="inlineStr">
        <is>
          <t>CONFIRMATION</t>
        </is>
      </c>
      <c r="M564" t="inlineStr">
        <is>
          <t>125 CHARLES AVE SE</t>
        </is>
      </c>
      <c r="N564">
        <f>RIGHT(M564,LEN(M564)-FIND(" ",M564))</f>
        <v/>
      </c>
      <c r="P564" t="inlineStr">
        <is>
          <t>WARREN</t>
        </is>
      </c>
      <c r="Q564" t="inlineStr">
        <is>
          <t>OH</t>
        </is>
      </c>
      <c r="R564" t="n">
        <v>44483</v>
      </c>
      <c r="AD564" t="inlineStr">
        <is>
          <t>TRUMBULL CAREER &amp; TECH CENTER</t>
        </is>
      </c>
      <c r="AE564" t="inlineStr">
        <is>
          <t>WARREN CITY</t>
        </is>
      </c>
      <c r="AF564" t="inlineStr">
        <is>
          <t>WARREN CITY SD</t>
        </is>
      </c>
      <c r="AH564" t="n">
        <v>14</v>
      </c>
      <c r="AI564" t="n">
        <v>11</v>
      </c>
      <c r="AN564" t="inlineStr">
        <is>
          <t>WARREN</t>
        </is>
      </c>
      <c r="AO564" t="inlineStr">
        <is>
          <t>WARREN CITY 4A</t>
        </is>
      </c>
      <c r="AP564" t="inlineStr">
        <is>
          <t>78-P-ADI</t>
        </is>
      </c>
      <c r="AQ564" t="n">
        <v>9</v>
      </c>
      <c r="AR564" t="n">
        <v>64</v>
      </c>
      <c r="AS564" t="n">
        <v>32</v>
      </c>
      <c r="AU564">
        <f>COUNTA($BA$564:$EH$564)</f>
        <v/>
      </c>
      <c r="AV564">
        <f>COUNTIF($BA$564:$EH$564,"D")</f>
        <v/>
      </c>
      <c r="AW564">
        <f>COUNTIF($BA$564:$EH$564,"R")</f>
        <v/>
      </c>
      <c r="AX564">
        <f>IF(BN564="D",1,0)+IF(BO564="D",1,0)+IF(BT564="D",1,0)+IF(BU564="D",1,0)+IF(BW564="D",1,0)+IF(CC564="D",1,0)+IF(CD564="D",1,0)+IF(CE564="D",1,0)+IF(CF564="D",1,0)+IF(CL564="D",1,0)+IF(CM564="D",1,0)+IF(CQ564="D",1,0)+IF(CR564="D",1,0)+IF(CS564="D",1,0)+IF(CW564="D",1,0)+IF(CX564="D",1,0)+IF(DD564="D",1,0)+IF(DE564="D",1,0)+IF(DJ564="D",1,0)+IF(DK564="D",1,0)+IF(DO564="D",1,0)+IF(DP564="D",1,0)+IF(DQ564="D",1,0)+IF(DW564="D",1,0)+IF(DZ564="D",1,0)+IF(EH564="D",1,0)</f>
        <v/>
      </c>
      <c r="AY564">
        <f>IF(DJ564&lt;&gt;"",1,0)+IF(DK564&lt;&gt;"",1,0)+IF(DM564&lt;&gt;"",1,0)+IF(DO564&lt;&gt;"",1,0)+IF(DP564&lt;&gt;"",1,0)+IF(DQ564&lt;&gt;"",1,0)+IF(DS564&lt;&gt;"",1,0)+IF(DT564&lt;&gt;"",1,0)+IF(DV564&lt;&gt;"",1,0)+IF(DW564&lt;&gt;"",1,0)+IF(DX564&lt;&gt;"",1,0)+IF(DY564&lt;&gt;"",1,0)+IF(DZ564&lt;&gt;"",1,0)+IF(EB564&lt;&gt;"",1,0)+IF(EC564&lt;&gt;"",1,0)+IF(ED564&lt;&gt;"",1,0)+IF(EG564&lt;&gt;"",1,0)+IF(EH564&lt;&gt;"",1,0)</f>
        <v/>
      </c>
      <c r="AZ564">
        <f>IF(EH564&lt;&gt;"",1,0)</f>
        <v/>
      </c>
      <c r="BB564" t="inlineStr">
        <is>
          <t>WARREN-WARD 4</t>
        </is>
      </c>
    </row>
    <row r="565">
      <c r="A565" t="inlineStr">
        <is>
          <t>OH0021851636</t>
        </is>
      </c>
      <c r="B565" t="n">
        <v>78</v>
      </c>
      <c r="C565" t="n">
        <v>388252</v>
      </c>
      <c r="D565" t="inlineStr">
        <is>
          <t>SUDNIK</t>
        </is>
      </c>
      <c r="E565" t="inlineStr">
        <is>
          <t>DANIELLE</t>
        </is>
      </c>
      <c r="F565">
        <f>CONCATENATE(D565," ",LEFT(H565,4),"T=",AU565,"D=",AV565,"R=",AW565,"M=",AX565,"L=",AY565,"B=",AZ565)</f>
        <v/>
      </c>
      <c r="G565" t="inlineStr">
        <is>
          <t>R</t>
        </is>
      </c>
      <c r="I565" t="inlineStr">
        <is>
          <t>1984-01-13</t>
        </is>
      </c>
      <c r="J565" t="inlineStr">
        <is>
          <t>2017-07-07</t>
        </is>
      </c>
      <c r="K565" t="inlineStr">
        <is>
          <t>CONFIRMATION</t>
        </is>
      </c>
      <c r="M565" t="inlineStr">
        <is>
          <t>483 HOMEWOOD AVE SE</t>
        </is>
      </c>
      <c r="N565">
        <f>RIGHT(M565,LEN(M565)-FIND(" ",M565))</f>
        <v/>
      </c>
      <c r="P565" t="inlineStr">
        <is>
          <t>WARREN</t>
        </is>
      </c>
      <c r="Q565" t="inlineStr">
        <is>
          <t>OH</t>
        </is>
      </c>
      <c r="R565" t="n">
        <v>44483</v>
      </c>
      <c r="AD565" t="inlineStr">
        <is>
          <t>TRUMBULL CAREER &amp; TECH CENTER</t>
        </is>
      </c>
      <c r="AE565" t="inlineStr">
        <is>
          <t>WARREN CITY</t>
        </is>
      </c>
      <c r="AF565" t="inlineStr">
        <is>
          <t>WARREN CITY SD</t>
        </is>
      </c>
      <c r="AH565" t="n">
        <v>14</v>
      </c>
      <c r="AI565" t="n">
        <v>11</v>
      </c>
      <c r="AN565" t="inlineStr">
        <is>
          <t>WARREN</t>
        </is>
      </c>
      <c r="AO565" t="inlineStr">
        <is>
          <t>WARREN CITY 4A</t>
        </is>
      </c>
      <c r="AP565" t="inlineStr">
        <is>
          <t>78-P-ADI</t>
        </is>
      </c>
      <c r="AQ565" t="n">
        <v>9</v>
      </c>
      <c r="AR565" t="n">
        <v>64</v>
      </c>
      <c r="AS565" t="n">
        <v>32</v>
      </c>
      <c r="AU565">
        <f>COUNTA($BA$565:$EH$565)</f>
        <v/>
      </c>
      <c r="AV565">
        <f>COUNTIF($BA$565:$EH$565,"D")</f>
        <v/>
      </c>
      <c r="AW565">
        <f>COUNTIF($BA$565:$EH$565,"R")</f>
        <v/>
      </c>
      <c r="AX565">
        <f>IF(BN565="D",1,0)+IF(BO565="D",1,0)+IF(BT565="D",1,0)+IF(BU565="D",1,0)+IF(BW565="D",1,0)+IF(CC565="D",1,0)+IF(CD565="D",1,0)+IF(CE565="D",1,0)+IF(CF565="D",1,0)+IF(CL565="D",1,0)+IF(CM565="D",1,0)+IF(CQ565="D",1,0)+IF(CR565="D",1,0)+IF(CS565="D",1,0)+IF(CW565="D",1,0)+IF(CX565="D",1,0)+IF(DD565="D",1,0)+IF(DE565="D",1,0)+IF(DJ565="D",1,0)+IF(DK565="D",1,0)+IF(DO565="D",1,0)+IF(DP565="D",1,0)+IF(DQ565="D",1,0)+IF(DW565="D",1,0)+IF(DZ565="D",1,0)+IF(EH565="D",1,0)</f>
        <v/>
      </c>
      <c r="AY565">
        <f>IF(DJ565&lt;&gt;"",1,0)+IF(DK565&lt;&gt;"",1,0)+IF(DM565&lt;&gt;"",1,0)+IF(DO565&lt;&gt;"",1,0)+IF(DP565&lt;&gt;"",1,0)+IF(DQ565&lt;&gt;"",1,0)+IF(DS565&lt;&gt;"",1,0)+IF(DT565&lt;&gt;"",1,0)+IF(DV565&lt;&gt;"",1,0)+IF(DW565&lt;&gt;"",1,0)+IF(DX565&lt;&gt;"",1,0)+IF(DY565&lt;&gt;"",1,0)+IF(DZ565&lt;&gt;"",1,0)+IF(EB565&lt;&gt;"",1,0)+IF(EC565&lt;&gt;"",1,0)+IF(ED565&lt;&gt;"",1,0)+IF(EG565&lt;&gt;"",1,0)+IF(EH565&lt;&gt;"",1,0)</f>
        <v/>
      </c>
      <c r="AZ565">
        <f>IF(EH565&lt;&gt;"",1,0)</f>
        <v/>
      </c>
      <c r="BB565" t="inlineStr">
        <is>
          <t>WARREN-WARD 4</t>
        </is>
      </c>
      <c r="BL565" t="inlineStr">
        <is>
          <t>X</t>
        </is>
      </c>
      <c r="BN565" t="inlineStr">
        <is>
          <t>X</t>
        </is>
      </c>
      <c r="CA565" t="inlineStr">
        <is>
          <t>X</t>
        </is>
      </c>
      <c r="CP565" t="inlineStr">
        <is>
          <t>X</t>
        </is>
      </c>
    </row>
    <row r="566">
      <c r="A566" t="inlineStr">
        <is>
          <t>OH0026406889</t>
        </is>
      </c>
      <c r="B566" t="n">
        <v>78</v>
      </c>
      <c r="C566" t="n">
        <v>461620</v>
      </c>
      <c r="D566" t="inlineStr">
        <is>
          <t>GONZALEZ</t>
        </is>
      </c>
      <c r="E566" t="inlineStr">
        <is>
          <t>CLARALIZ</t>
        </is>
      </c>
      <c r="F566">
        <f>CONCATENATE(D566," ",LEFT(H566,4),"T=",AU566,"D=",AV566,"R=",AW566,"M=",AX566,"L=",AY566,"B=",AZ566)</f>
        <v/>
      </c>
      <c r="I566" t="inlineStr">
        <is>
          <t>1992-06-12</t>
        </is>
      </c>
      <c r="J566" t="inlineStr">
        <is>
          <t>2022-02-08</t>
        </is>
      </c>
      <c r="K566" t="inlineStr">
        <is>
          <t>CONFIRMATION</t>
        </is>
      </c>
      <c r="M566" t="inlineStr">
        <is>
          <t>805 HOMEWOOD AVE SE</t>
        </is>
      </c>
      <c r="N566">
        <f>RIGHT(M566,LEN(M566)-FIND(" ",M566))</f>
        <v/>
      </c>
      <c r="P566" t="inlineStr">
        <is>
          <t>WARREN</t>
        </is>
      </c>
      <c r="Q566" t="inlineStr">
        <is>
          <t>OH</t>
        </is>
      </c>
      <c r="R566" t="n">
        <v>44484</v>
      </c>
      <c r="AD566" t="inlineStr">
        <is>
          <t>TRUMBULL CAREER &amp; TECH CENTER</t>
        </is>
      </c>
      <c r="AE566" t="inlineStr">
        <is>
          <t>WARREN CITY</t>
        </is>
      </c>
      <c r="AF566" t="inlineStr">
        <is>
          <t>WARREN CITY SD</t>
        </is>
      </c>
      <c r="AH566" t="n">
        <v>14</v>
      </c>
      <c r="AI566" t="n">
        <v>11</v>
      </c>
      <c r="AN566" t="inlineStr">
        <is>
          <t>WARREN</t>
        </is>
      </c>
      <c r="AO566" t="inlineStr">
        <is>
          <t>WARREN CITY 4A</t>
        </is>
      </c>
      <c r="AP566" t="inlineStr">
        <is>
          <t>78-P-ADI</t>
        </is>
      </c>
      <c r="AQ566" t="n">
        <v>9</v>
      </c>
      <c r="AR566" t="n">
        <v>64</v>
      </c>
      <c r="AS566" t="n">
        <v>32</v>
      </c>
      <c r="AU566">
        <f>COUNTA($BA$566:$EH$566)</f>
        <v/>
      </c>
      <c r="AV566">
        <f>COUNTIF($BA$566:$EH$566,"D")</f>
        <v/>
      </c>
      <c r="AW566">
        <f>COUNTIF($BA$566:$EH$566,"R")</f>
        <v/>
      </c>
      <c r="AX566">
        <f>IF(BN566="D",1,0)+IF(BO566="D",1,0)+IF(BT566="D",1,0)+IF(BU566="D",1,0)+IF(BW566="D",1,0)+IF(CC566="D",1,0)+IF(CD566="D",1,0)+IF(CE566="D",1,0)+IF(CF566="D",1,0)+IF(CL566="D",1,0)+IF(CM566="D",1,0)+IF(CQ566="D",1,0)+IF(CR566="D",1,0)+IF(CS566="D",1,0)+IF(CW566="D",1,0)+IF(CX566="D",1,0)+IF(DD566="D",1,0)+IF(DE566="D",1,0)+IF(DJ566="D",1,0)+IF(DK566="D",1,0)+IF(DO566="D",1,0)+IF(DP566="D",1,0)+IF(DQ566="D",1,0)+IF(DW566="D",1,0)+IF(DZ566="D",1,0)+IF(EH566="D",1,0)</f>
        <v/>
      </c>
      <c r="AY566">
        <f>IF(DJ566&lt;&gt;"",1,0)+IF(DK566&lt;&gt;"",1,0)+IF(DM566&lt;&gt;"",1,0)+IF(DO566&lt;&gt;"",1,0)+IF(DP566&lt;&gt;"",1,0)+IF(DQ566&lt;&gt;"",1,0)+IF(DS566&lt;&gt;"",1,0)+IF(DT566&lt;&gt;"",1,0)+IF(DV566&lt;&gt;"",1,0)+IF(DW566&lt;&gt;"",1,0)+IF(DX566&lt;&gt;"",1,0)+IF(DY566&lt;&gt;"",1,0)+IF(DZ566&lt;&gt;"",1,0)+IF(EB566&lt;&gt;"",1,0)+IF(EC566&lt;&gt;"",1,0)+IF(ED566&lt;&gt;"",1,0)+IF(EG566&lt;&gt;"",1,0)+IF(EH566&lt;&gt;"",1,0)</f>
        <v/>
      </c>
      <c r="AZ566">
        <f>IF(EH566&lt;&gt;"",1,0)</f>
        <v/>
      </c>
      <c r="BB566" t="inlineStr">
        <is>
          <t>WARREN-WARD 4</t>
        </is>
      </c>
    </row>
    <row r="567">
      <c r="A567" t="inlineStr">
        <is>
          <t>OH0015804940</t>
        </is>
      </c>
      <c r="B567" t="n">
        <v>78</v>
      </c>
      <c r="C567" t="n">
        <v>316557</v>
      </c>
      <c r="D567" t="inlineStr">
        <is>
          <t>WHITE</t>
        </is>
      </c>
      <c r="E567" t="inlineStr">
        <is>
          <t>ALEXIS</t>
        </is>
      </c>
      <c r="F567">
        <f>CONCATENATE(D567," ",LEFT(H567,4),"T=",AU567,"D=",AV567,"R=",AW567,"M=",AX567,"L=",AY567,"B=",AZ567)</f>
        <v/>
      </c>
      <c r="G567" t="inlineStr">
        <is>
          <t>YVETTE</t>
        </is>
      </c>
      <c r="I567" t="inlineStr">
        <is>
          <t>1983-07-26</t>
        </is>
      </c>
      <c r="J567" t="inlineStr">
        <is>
          <t>2024-11-05</t>
        </is>
      </c>
      <c r="K567" t="inlineStr">
        <is>
          <t>ACTIVE</t>
        </is>
      </c>
      <c r="M567" t="inlineStr">
        <is>
          <t>427 LAIRD AVE SE</t>
        </is>
      </c>
      <c r="N567">
        <f>RIGHT(M567,LEN(M567)-FIND(" ",M567))</f>
        <v/>
      </c>
      <c r="P567" t="inlineStr">
        <is>
          <t>WARREN</t>
        </is>
      </c>
      <c r="Q567" t="inlineStr">
        <is>
          <t>OH</t>
        </is>
      </c>
      <c r="R567" t="n">
        <v>44483</v>
      </c>
      <c r="AD567" t="inlineStr">
        <is>
          <t>TRUMBULL CAREER &amp; TECH CENTER</t>
        </is>
      </c>
      <c r="AE567" t="inlineStr">
        <is>
          <t>WARREN CITY</t>
        </is>
      </c>
      <c r="AF567" t="inlineStr">
        <is>
          <t>WARREN CITY SD</t>
        </is>
      </c>
      <c r="AH567" t="n">
        <v>14</v>
      </c>
      <c r="AI567" t="n">
        <v>11</v>
      </c>
      <c r="AN567" t="inlineStr">
        <is>
          <t>WARREN</t>
        </is>
      </c>
      <c r="AO567" t="inlineStr">
        <is>
          <t>WARREN CITY 4A</t>
        </is>
      </c>
      <c r="AP567" t="inlineStr">
        <is>
          <t>78-P-ADI</t>
        </is>
      </c>
      <c r="AQ567" t="n">
        <v>9</v>
      </c>
      <c r="AR567" t="n">
        <v>64</v>
      </c>
      <c r="AS567" t="n">
        <v>32</v>
      </c>
      <c r="AU567">
        <f>COUNTA($BA$567:$EH$567)</f>
        <v/>
      </c>
      <c r="AV567">
        <f>COUNTIF($BA$567:$EH$567,"D")</f>
        <v/>
      </c>
      <c r="AW567">
        <f>COUNTIF($BA$567:$EH$567,"R")</f>
        <v/>
      </c>
      <c r="AX567">
        <f>IF(BN567="D",1,0)+IF(BO567="D",1,0)+IF(BT567="D",1,0)+IF(BU567="D",1,0)+IF(BW567="D",1,0)+IF(CC567="D",1,0)+IF(CD567="D",1,0)+IF(CE567="D",1,0)+IF(CF567="D",1,0)+IF(CL567="D",1,0)+IF(CM567="D",1,0)+IF(CQ567="D",1,0)+IF(CR567="D",1,0)+IF(CS567="D",1,0)+IF(CW567="D",1,0)+IF(CX567="D",1,0)+IF(DD567="D",1,0)+IF(DE567="D",1,0)+IF(DJ567="D",1,0)+IF(DK567="D",1,0)+IF(DO567="D",1,0)+IF(DP567="D",1,0)+IF(DQ567="D",1,0)+IF(DW567="D",1,0)+IF(DZ567="D",1,0)+IF(EH567="D",1,0)</f>
        <v/>
      </c>
      <c r="AY567">
        <f>IF(DJ567&lt;&gt;"",1,0)+IF(DK567&lt;&gt;"",1,0)+IF(DM567&lt;&gt;"",1,0)+IF(DO567&lt;&gt;"",1,0)+IF(DP567&lt;&gt;"",1,0)+IF(DQ567&lt;&gt;"",1,0)+IF(DS567&lt;&gt;"",1,0)+IF(DT567&lt;&gt;"",1,0)+IF(DV567&lt;&gt;"",1,0)+IF(DW567&lt;&gt;"",1,0)+IF(DX567&lt;&gt;"",1,0)+IF(DY567&lt;&gt;"",1,0)+IF(DZ567&lt;&gt;"",1,0)+IF(EB567&lt;&gt;"",1,0)+IF(EC567&lt;&gt;"",1,0)+IF(ED567&lt;&gt;"",1,0)+IF(EG567&lt;&gt;"",1,0)+IF(EH567&lt;&gt;"",1,0)</f>
        <v/>
      </c>
      <c r="AZ567">
        <f>IF(EH567&lt;&gt;"",1,0)</f>
        <v/>
      </c>
      <c r="BB567" t="inlineStr">
        <is>
          <t>WARREN-WARD 4</t>
        </is>
      </c>
      <c r="BL567" t="inlineStr">
        <is>
          <t>X</t>
        </is>
      </c>
      <c r="CA567" t="inlineStr">
        <is>
          <t>X</t>
        </is>
      </c>
      <c r="EF567" t="inlineStr">
        <is>
          <t>X</t>
        </is>
      </c>
    </row>
    <row r="568">
      <c r="A568" t="inlineStr">
        <is>
          <t>OH0022865163</t>
        </is>
      </c>
      <c r="B568" t="n">
        <v>78</v>
      </c>
      <c r="C568" t="n">
        <v>402094</v>
      </c>
      <c r="D568" t="inlineStr">
        <is>
          <t>CAMPANA</t>
        </is>
      </c>
      <c r="E568" t="inlineStr">
        <is>
          <t>JOE</t>
        </is>
      </c>
      <c r="F568">
        <f>CONCATENATE(D568," ",LEFT(H568,4),"T=",AU568,"D=",AV568,"R=",AW568,"M=",AX568,"L=",AY568,"B=",AZ568)</f>
        <v/>
      </c>
      <c r="G568" t="inlineStr">
        <is>
          <t>HOWARD</t>
        </is>
      </c>
      <c r="I568" t="inlineStr">
        <is>
          <t>1996-06-12</t>
        </is>
      </c>
      <c r="J568" t="inlineStr">
        <is>
          <t>2016-09-20</t>
        </is>
      </c>
      <c r="K568" t="inlineStr">
        <is>
          <t>CONFIRMATION</t>
        </is>
      </c>
      <c r="M568" t="inlineStr">
        <is>
          <t>1334 BELLE ST SE</t>
        </is>
      </c>
      <c r="N568">
        <f>RIGHT(M568,LEN(M568)-FIND(" ",M568))</f>
        <v/>
      </c>
      <c r="P568" t="inlineStr">
        <is>
          <t>WARREN</t>
        </is>
      </c>
      <c r="Q568" t="inlineStr">
        <is>
          <t>OH</t>
        </is>
      </c>
      <c r="R568" t="n">
        <v>44484</v>
      </c>
      <c r="AD568" t="inlineStr">
        <is>
          <t>TRUMBULL CAREER &amp; TECH CENTER</t>
        </is>
      </c>
      <c r="AE568" t="inlineStr">
        <is>
          <t>WARREN CITY</t>
        </is>
      </c>
      <c r="AF568" t="inlineStr">
        <is>
          <t>WARREN CITY SD</t>
        </is>
      </c>
      <c r="AH568" t="n">
        <v>14</v>
      </c>
      <c r="AI568" t="n">
        <v>11</v>
      </c>
      <c r="AN568" t="inlineStr">
        <is>
          <t>WARREN</t>
        </is>
      </c>
      <c r="AO568" t="inlineStr">
        <is>
          <t>WARREN CITY 4A</t>
        </is>
      </c>
      <c r="AP568" t="inlineStr">
        <is>
          <t>78-P-ADI</t>
        </is>
      </c>
      <c r="AQ568" t="n">
        <v>9</v>
      </c>
      <c r="AR568" t="n">
        <v>64</v>
      </c>
      <c r="AS568" t="n">
        <v>32</v>
      </c>
      <c r="AU568">
        <f>COUNTA($BA$568:$EH$568)</f>
        <v/>
      </c>
      <c r="AV568">
        <f>COUNTIF($BA$568:$EH$568,"D")</f>
        <v/>
      </c>
      <c r="AW568">
        <f>COUNTIF($BA$568:$EH$568,"R")</f>
        <v/>
      </c>
      <c r="AX568">
        <f>IF(BN568="D",1,0)+IF(BO568="D",1,0)+IF(BT568="D",1,0)+IF(BU568="D",1,0)+IF(BW568="D",1,0)+IF(CC568="D",1,0)+IF(CD568="D",1,0)+IF(CE568="D",1,0)+IF(CF568="D",1,0)+IF(CL568="D",1,0)+IF(CM568="D",1,0)+IF(CQ568="D",1,0)+IF(CR568="D",1,0)+IF(CS568="D",1,0)+IF(CW568="D",1,0)+IF(CX568="D",1,0)+IF(DD568="D",1,0)+IF(DE568="D",1,0)+IF(DJ568="D",1,0)+IF(DK568="D",1,0)+IF(DO568="D",1,0)+IF(DP568="D",1,0)+IF(DQ568="D",1,0)+IF(DW568="D",1,0)+IF(DZ568="D",1,0)+IF(EH568="D",1,0)</f>
        <v/>
      </c>
      <c r="AY568">
        <f>IF(DJ568&lt;&gt;"",1,0)+IF(DK568&lt;&gt;"",1,0)+IF(DM568&lt;&gt;"",1,0)+IF(DO568&lt;&gt;"",1,0)+IF(DP568&lt;&gt;"",1,0)+IF(DQ568&lt;&gt;"",1,0)+IF(DS568&lt;&gt;"",1,0)+IF(DT568&lt;&gt;"",1,0)+IF(DV568&lt;&gt;"",1,0)+IF(DW568&lt;&gt;"",1,0)+IF(DX568&lt;&gt;"",1,0)+IF(DY568&lt;&gt;"",1,0)+IF(DZ568&lt;&gt;"",1,0)+IF(EB568&lt;&gt;"",1,0)+IF(EC568&lt;&gt;"",1,0)+IF(ED568&lt;&gt;"",1,0)+IF(EG568&lt;&gt;"",1,0)+IF(EH568&lt;&gt;"",1,0)</f>
        <v/>
      </c>
      <c r="AZ568">
        <f>IF(EH568&lt;&gt;"",1,0)</f>
        <v/>
      </c>
      <c r="BB568" t="inlineStr">
        <is>
          <t>WARREN-WARD 4</t>
        </is>
      </c>
      <c r="DN568" t="inlineStr">
        <is>
          <t>X</t>
        </is>
      </c>
    </row>
    <row r="569">
      <c r="A569" t="inlineStr">
        <is>
          <t>OH0025106736</t>
        </is>
      </c>
      <c r="B569" t="n">
        <v>78</v>
      </c>
      <c r="C569" t="n">
        <v>439481</v>
      </c>
      <c r="D569" t="inlineStr">
        <is>
          <t>VINCZAN</t>
        </is>
      </c>
      <c r="E569" t="inlineStr">
        <is>
          <t>TERESA</t>
        </is>
      </c>
      <c r="F569">
        <f>CONCATENATE(D569," ",LEFT(H569,4),"T=",AU569,"D=",AV569,"R=",AW569,"M=",AX569,"L=",AY569,"B=",AZ569)</f>
        <v/>
      </c>
      <c r="G569" t="inlineStr">
        <is>
          <t>LYNN</t>
        </is>
      </c>
      <c r="I569" t="inlineStr">
        <is>
          <t>1970-11-02</t>
        </is>
      </c>
      <c r="J569" t="inlineStr">
        <is>
          <t>2019-06-05</t>
        </is>
      </c>
      <c r="K569" t="inlineStr">
        <is>
          <t>CONFIRMATION</t>
        </is>
      </c>
      <c r="M569" t="inlineStr">
        <is>
          <t>1000 E MARKET ST</t>
        </is>
      </c>
      <c r="N569">
        <f>RIGHT(M569,LEN(M569)-FIND(" ",M569))</f>
        <v/>
      </c>
      <c r="P569" t="inlineStr">
        <is>
          <t>WARREN</t>
        </is>
      </c>
      <c r="Q569" t="inlineStr">
        <is>
          <t>OH</t>
        </is>
      </c>
      <c r="R569" t="n">
        <v>44483</v>
      </c>
      <c r="AD569" t="inlineStr">
        <is>
          <t>TRUMBULL CAREER &amp; TECH CENTER</t>
        </is>
      </c>
      <c r="AE569" t="inlineStr">
        <is>
          <t>WARREN CITY</t>
        </is>
      </c>
      <c r="AF569" t="inlineStr">
        <is>
          <t>WARREN CITY SD</t>
        </is>
      </c>
      <c r="AH569" t="n">
        <v>14</v>
      </c>
      <c r="AI569" t="n">
        <v>11</v>
      </c>
      <c r="AN569" t="inlineStr">
        <is>
          <t>WARREN</t>
        </is>
      </c>
      <c r="AO569" t="inlineStr">
        <is>
          <t>WARREN CITY 4A</t>
        </is>
      </c>
      <c r="AP569" t="inlineStr">
        <is>
          <t>78-P-ADI</t>
        </is>
      </c>
      <c r="AQ569" t="n">
        <v>9</v>
      </c>
      <c r="AR569" t="n">
        <v>64</v>
      </c>
      <c r="AS569" t="n">
        <v>32</v>
      </c>
      <c r="AU569">
        <f>COUNTA($BA$569:$EH$569)</f>
        <v/>
      </c>
      <c r="AV569">
        <f>COUNTIF($BA$569:$EH$569,"D")</f>
        <v/>
      </c>
      <c r="AW569">
        <f>COUNTIF($BA$569:$EH$569,"R")</f>
        <v/>
      </c>
      <c r="AX569">
        <f>IF(BN569="D",1,0)+IF(BO569="D",1,0)+IF(BT569="D",1,0)+IF(BU569="D",1,0)+IF(BW569="D",1,0)+IF(CC569="D",1,0)+IF(CD569="D",1,0)+IF(CE569="D",1,0)+IF(CF569="D",1,0)+IF(CL569="D",1,0)+IF(CM569="D",1,0)+IF(CQ569="D",1,0)+IF(CR569="D",1,0)+IF(CS569="D",1,0)+IF(CW569="D",1,0)+IF(CX569="D",1,0)+IF(DD569="D",1,0)+IF(DE569="D",1,0)+IF(DJ569="D",1,0)+IF(DK569="D",1,0)+IF(DO569="D",1,0)+IF(DP569="D",1,0)+IF(DQ569="D",1,0)+IF(DW569="D",1,0)+IF(DZ569="D",1,0)+IF(EH569="D",1,0)</f>
        <v/>
      </c>
      <c r="AY569">
        <f>IF(DJ569&lt;&gt;"",1,0)+IF(DK569&lt;&gt;"",1,0)+IF(DM569&lt;&gt;"",1,0)+IF(DO569&lt;&gt;"",1,0)+IF(DP569&lt;&gt;"",1,0)+IF(DQ569&lt;&gt;"",1,0)+IF(DS569&lt;&gt;"",1,0)+IF(DT569&lt;&gt;"",1,0)+IF(DV569&lt;&gt;"",1,0)+IF(DW569&lt;&gt;"",1,0)+IF(DX569&lt;&gt;"",1,0)+IF(DY569&lt;&gt;"",1,0)+IF(DZ569&lt;&gt;"",1,0)+IF(EB569&lt;&gt;"",1,0)+IF(EC569&lt;&gt;"",1,0)+IF(ED569&lt;&gt;"",1,0)+IF(EG569&lt;&gt;"",1,0)+IF(EH569&lt;&gt;"",1,0)</f>
        <v/>
      </c>
      <c r="AZ569">
        <f>IF(EH569&lt;&gt;"",1,0)</f>
        <v/>
      </c>
      <c r="BB569" t="inlineStr">
        <is>
          <t>WARREN-WARD 4</t>
        </is>
      </c>
    </row>
    <row r="570">
      <c r="A570" t="inlineStr">
        <is>
          <t>OH0015695556</t>
        </is>
      </c>
      <c r="B570" t="n">
        <v>78</v>
      </c>
      <c r="C570" t="n">
        <v>149280</v>
      </c>
      <c r="D570" t="inlineStr">
        <is>
          <t>BREWER</t>
        </is>
      </c>
      <c r="E570" t="inlineStr">
        <is>
          <t>BILLIE</t>
        </is>
      </c>
      <c r="F570">
        <f>CONCATENATE(D570," ",LEFT(H570,4),"T=",AU570,"D=",AV570,"R=",AW570,"M=",AX570,"L=",AY570,"B=",AZ570)</f>
        <v/>
      </c>
      <c r="G570" t="inlineStr">
        <is>
          <t>J</t>
        </is>
      </c>
      <c r="I570" t="inlineStr">
        <is>
          <t>1941-04-28</t>
        </is>
      </c>
      <c r="J570" t="inlineStr">
        <is>
          <t>2022-07-11</t>
        </is>
      </c>
      <c r="K570" t="inlineStr">
        <is>
          <t>ACTIVE</t>
        </is>
      </c>
      <c r="M570" t="inlineStr">
        <is>
          <t>1324 BELLE ST SE</t>
        </is>
      </c>
      <c r="N570">
        <f>RIGHT(M570,LEN(M570)-FIND(" ",M570))</f>
        <v/>
      </c>
      <c r="P570" t="inlineStr">
        <is>
          <t>WARREN</t>
        </is>
      </c>
      <c r="Q570" t="inlineStr">
        <is>
          <t>OH</t>
        </is>
      </c>
      <c r="R570" t="n">
        <v>44484</v>
      </c>
      <c r="AD570" t="inlineStr">
        <is>
          <t>TRUMBULL CAREER &amp; TECH CENTER</t>
        </is>
      </c>
      <c r="AE570" t="inlineStr">
        <is>
          <t>WARREN CITY</t>
        </is>
      </c>
      <c r="AF570" t="inlineStr">
        <is>
          <t>WARREN CITY SD</t>
        </is>
      </c>
      <c r="AH570" t="n">
        <v>14</v>
      </c>
      <c r="AI570" t="n">
        <v>11</v>
      </c>
      <c r="AN570" t="inlineStr">
        <is>
          <t>WARREN</t>
        </is>
      </c>
      <c r="AO570" t="inlineStr">
        <is>
          <t>WARREN CITY 4A</t>
        </is>
      </c>
      <c r="AP570" t="inlineStr">
        <is>
          <t>78-P-ADI</t>
        </is>
      </c>
      <c r="AQ570" t="n">
        <v>9</v>
      </c>
      <c r="AR570" t="n">
        <v>64</v>
      </c>
      <c r="AS570" t="n">
        <v>32</v>
      </c>
      <c r="AU570">
        <f>COUNTA($BA$570:$EH$570)</f>
        <v/>
      </c>
      <c r="AV570">
        <f>COUNTIF($BA$570:$EH$570,"D")</f>
        <v/>
      </c>
      <c r="AW570">
        <f>COUNTIF($BA$570:$EH$570,"R")</f>
        <v/>
      </c>
      <c r="AX570">
        <f>IF(BN570="D",1,0)+IF(BO570="D",1,0)+IF(BT570="D",1,0)+IF(BU570="D",1,0)+IF(BW570="D",1,0)+IF(CC570="D",1,0)+IF(CD570="D",1,0)+IF(CE570="D",1,0)+IF(CF570="D",1,0)+IF(CL570="D",1,0)+IF(CM570="D",1,0)+IF(CQ570="D",1,0)+IF(CR570="D",1,0)+IF(CS570="D",1,0)+IF(CW570="D",1,0)+IF(CX570="D",1,0)+IF(DD570="D",1,0)+IF(DE570="D",1,0)+IF(DJ570="D",1,0)+IF(DK570="D",1,0)+IF(DO570="D",1,0)+IF(DP570="D",1,0)+IF(DQ570="D",1,0)+IF(DW570="D",1,0)+IF(DZ570="D",1,0)+IF(EH570="D",1,0)</f>
        <v/>
      </c>
      <c r="AY570">
        <f>IF(DJ570&lt;&gt;"",1,0)+IF(DK570&lt;&gt;"",1,0)+IF(DM570&lt;&gt;"",1,0)+IF(DO570&lt;&gt;"",1,0)+IF(DP570&lt;&gt;"",1,0)+IF(DQ570&lt;&gt;"",1,0)+IF(DS570&lt;&gt;"",1,0)+IF(DT570&lt;&gt;"",1,0)+IF(DV570&lt;&gt;"",1,0)+IF(DW570&lt;&gt;"",1,0)+IF(DX570&lt;&gt;"",1,0)+IF(DY570&lt;&gt;"",1,0)+IF(DZ570&lt;&gt;"",1,0)+IF(EB570&lt;&gt;"",1,0)+IF(EC570&lt;&gt;"",1,0)+IF(ED570&lt;&gt;"",1,0)+IF(EG570&lt;&gt;"",1,0)+IF(EH570&lt;&gt;"",1,0)</f>
        <v/>
      </c>
      <c r="AZ570">
        <f>IF(EH570&lt;&gt;"",1,0)</f>
        <v/>
      </c>
      <c r="BB570" t="inlineStr">
        <is>
          <t>WARREN-WARD 4</t>
        </is>
      </c>
      <c r="BD570" t="inlineStr">
        <is>
          <t>X</t>
        </is>
      </c>
      <c r="BG570" t="inlineStr">
        <is>
          <t>X</t>
        </is>
      </c>
      <c r="BH570" t="inlineStr">
        <is>
          <t>X</t>
        </is>
      </c>
      <c r="BJ570" t="inlineStr">
        <is>
          <t>X</t>
        </is>
      </c>
      <c r="BL570" t="inlineStr">
        <is>
          <t>X</t>
        </is>
      </c>
      <c r="BR570" t="inlineStr">
        <is>
          <t>X</t>
        </is>
      </c>
      <c r="BS570" t="inlineStr">
        <is>
          <t>X</t>
        </is>
      </c>
      <c r="BV570" t="inlineStr">
        <is>
          <t>X</t>
        </is>
      </c>
      <c r="BY570" t="inlineStr">
        <is>
          <t>R</t>
        </is>
      </c>
      <c r="CA570" t="inlineStr">
        <is>
          <t>X</t>
        </is>
      </c>
      <c r="CG570" t="inlineStr">
        <is>
          <t>X</t>
        </is>
      </c>
      <c r="CK570" t="inlineStr">
        <is>
          <t>X</t>
        </is>
      </c>
      <c r="CN570" t="inlineStr">
        <is>
          <t>X</t>
        </is>
      </c>
      <c r="CP570" t="inlineStr">
        <is>
          <t>X</t>
        </is>
      </c>
      <c r="CV570" t="inlineStr">
        <is>
          <t>X</t>
        </is>
      </c>
      <c r="CY570" t="inlineStr">
        <is>
          <t>X</t>
        </is>
      </c>
      <c r="CZ570" t="inlineStr">
        <is>
          <t>R</t>
        </is>
      </c>
      <c r="DC570" t="inlineStr">
        <is>
          <t>X</t>
        </is>
      </c>
      <c r="DF570" t="inlineStr">
        <is>
          <t>X</t>
        </is>
      </c>
    </row>
    <row r="571">
      <c r="A571" t="inlineStr">
        <is>
          <t>OH0026603378</t>
        </is>
      </c>
      <c r="B571" t="n">
        <v>78</v>
      </c>
      <c r="C571" t="n">
        <v>464918</v>
      </c>
      <c r="D571" t="inlineStr">
        <is>
          <t>TAYLOR</t>
        </is>
      </c>
      <c r="E571" t="inlineStr">
        <is>
          <t>TROY</t>
        </is>
      </c>
      <c r="F571">
        <f>CONCATENATE(D571," ",LEFT(H571,4),"T=",AU571,"D=",AV571,"R=",AW571,"M=",AX571,"L=",AY571,"B=",AZ571)</f>
        <v/>
      </c>
      <c r="G571" t="inlineStr">
        <is>
          <t>TYRONE</t>
        </is>
      </c>
      <c r="I571" t="inlineStr">
        <is>
          <t>2001-05-10</t>
        </is>
      </c>
      <c r="J571" t="inlineStr">
        <is>
          <t>2022-08-03</t>
        </is>
      </c>
      <c r="K571" t="inlineStr">
        <is>
          <t>ACTIVE</t>
        </is>
      </c>
      <c r="M571" t="inlineStr">
        <is>
          <t>483 HOMEWOOD AVE SE</t>
        </is>
      </c>
      <c r="N571">
        <f>RIGHT(M571,LEN(M571)-FIND(" ",M571))</f>
        <v/>
      </c>
      <c r="P571" t="inlineStr">
        <is>
          <t>WARREN</t>
        </is>
      </c>
      <c r="Q571" t="inlineStr">
        <is>
          <t>OH</t>
        </is>
      </c>
      <c r="R571" t="n">
        <v>44483</v>
      </c>
      <c r="AD571" t="inlineStr">
        <is>
          <t>TRUMBULL CAREER &amp; TECH CENTER</t>
        </is>
      </c>
      <c r="AE571" t="inlineStr">
        <is>
          <t>WARREN CITY</t>
        </is>
      </c>
      <c r="AF571" t="inlineStr">
        <is>
          <t>WARREN CITY SD</t>
        </is>
      </c>
      <c r="AH571" t="n">
        <v>14</v>
      </c>
      <c r="AI571" t="n">
        <v>11</v>
      </c>
      <c r="AN571" t="inlineStr">
        <is>
          <t>WARREN</t>
        </is>
      </c>
      <c r="AO571" t="inlineStr">
        <is>
          <t>WARREN CITY 4A</t>
        </is>
      </c>
      <c r="AP571" t="inlineStr">
        <is>
          <t>78-P-ADI</t>
        </is>
      </c>
      <c r="AQ571" t="n">
        <v>9</v>
      </c>
      <c r="AR571" t="n">
        <v>64</v>
      </c>
      <c r="AS571" t="n">
        <v>32</v>
      </c>
      <c r="AU571">
        <f>COUNTA($BA$571:$EH$571)</f>
        <v/>
      </c>
      <c r="AV571">
        <f>COUNTIF($BA$571:$EH$571,"D")</f>
        <v/>
      </c>
      <c r="AW571">
        <f>COUNTIF($BA$571:$EH$571,"R")</f>
        <v/>
      </c>
      <c r="AX571">
        <f>IF(BN571="D",1,0)+IF(BO571="D",1,0)+IF(BT571="D",1,0)+IF(BU571="D",1,0)+IF(BW571="D",1,0)+IF(CC571="D",1,0)+IF(CD571="D",1,0)+IF(CE571="D",1,0)+IF(CF571="D",1,0)+IF(CL571="D",1,0)+IF(CM571="D",1,0)+IF(CQ571="D",1,0)+IF(CR571="D",1,0)+IF(CS571="D",1,0)+IF(CW571="D",1,0)+IF(CX571="D",1,0)+IF(DD571="D",1,0)+IF(DE571="D",1,0)+IF(DJ571="D",1,0)+IF(DK571="D",1,0)+IF(DO571="D",1,0)+IF(DP571="D",1,0)+IF(DQ571="D",1,0)+IF(DW571="D",1,0)+IF(DZ571="D",1,0)+IF(EH571="D",1,0)</f>
        <v/>
      </c>
      <c r="AY571">
        <f>IF(DJ571&lt;&gt;"",1,0)+IF(DK571&lt;&gt;"",1,0)+IF(DM571&lt;&gt;"",1,0)+IF(DO571&lt;&gt;"",1,0)+IF(DP571&lt;&gt;"",1,0)+IF(DQ571&lt;&gt;"",1,0)+IF(DS571&lt;&gt;"",1,0)+IF(DT571&lt;&gt;"",1,0)+IF(DV571&lt;&gt;"",1,0)+IF(DW571&lt;&gt;"",1,0)+IF(DX571&lt;&gt;"",1,0)+IF(DY571&lt;&gt;"",1,0)+IF(DZ571&lt;&gt;"",1,0)+IF(EB571&lt;&gt;"",1,0)+IF(EC571&lt;&gt;"",1,0)+IF(ED571&lt;&gt;"",1,0)+IF(EG571&lt;&gt;"",1,0)+IF(EH571&lt;&gt;"",1,0)</f>
        <v/>
      </c>
      <c r="AZ571">
        <f>IF(EH571&lt;&gt;"",1,0)</f>
        <v/>
      </c>
      <c r="BB571" t="inlineStr">
        <is>
          <t>WARREN-WARD 4</t>
        </is>
      </c>
    </row>
    <row r="572">
      <c r="A572" t="inlineStr">
        <is>
          <t>OH0022138261</t>
        </is>
      </c>
      <c r="B572" t="n">
        <v>78</v>
      </c>
      <c r="C572" t="n">
        <v>391630</v>
      </c>
      <c r="D572" t="inlineStr">
        <is>
          <t>HOWE</t>
        </is>
      </c>
      <c r="E572" t="inlineStr">
        <is>
          <t>NICHOLAS</t>
        </is>
      </c>
      <c r="F572">
        <f>CONCATENATE(D572," ",LEFT(H572,4),"T=",AU572,"D=",AV572,"R=",AW572,"M=",AX572,"L=",AY572,"B=",AZ572)</f>
        <v/>
      </c>
      <c r="G572" t="inlineStr">
        <is>
          <t>M</t>
        </is>
      </c>
      <c r="I572" t="inlineStr">
        <is>
          <t>1994-10-07</t>
        </is>
      </c>
      <c r="J572" t="inlineStr">
        <is>
          <t>2014-06-09</t>
        </is>
      </c>
      <c r="K572" t="inlineStr">
        <is>
          <t>ACTIVE</t>
        </is>
      </c>
      <c r="M572" t="inlineStr">
        <is>
          <t>1344 BELLE ST SE</t>
        </is>
      </c>
      <c r="N572">
        <f>RIGHT(M572,LEN(M572)-FIND(" ",M572))</f>
        <v/>
      </c>
      <c r="P572" t="inlineStr">
        <is>
          <t>WARREN</t>
        </is>
      </c>
      <c r="Q572" t="inlineStr">
        <is>
          <t>OH</t>
        </is>
      </c>
      <c r="R572" t="n">
        <v>44484</v>
      </c>
      <c r="AD572" t="inlineStr">
        <is>
          <t>TRUMBULL CAREER &amp; TECH CENTER</t>
        </is>
      </c>
      <c r="AE572" t="inlineStr">
        <is>
          <t>WARREN CITY</t>
        </is>
      </c>
      <c r="AF572" t="inlineStr">
        <is>
          <t>WARREN CITY SD</t>
        </is>
      </c>
      <c r="AH572" t="n">
        <v>14</v>
      </c>
      <c r="AI572" t="n">
        <v>11</v>
      </c>
      <c r="AN572" t="inlineStr">
        <is>
          <t>WARREN</t>
        </is>
      </c>
      <c r="AO572" t="inlineStr">
        <is>
          <t>WARREN CITY 4A</t>
        </is>
      </c>
      <c r="AP572" t="inlineStr">
        <is>
          <t>78-P-ADI</t>
        </is>
      </c>
      <c r="AQ572" t="n">
        <v>9</v>
      </c>
      <c r="AR572" t="n">
        <v>64</v>
      </c>
      <c r="AS572" t="n">
        <v>32</v>
      </c>
      <c r="AU572">
        <f>COUNTA($BA$572:$EH$572)</f>
        <v/>
      </c>
      <c r="AV572">
        <f>COUNTIF($BA$572:$EH$572,"D")</f>
        <v/>
      </c>
      <c r="AW572">
        <f>COUNTIF($BA$572:$EH$572,"R")</f>
        <v/>
      </c>
      <c r="AX572">
        <f>IF(BN572="D",1,0)+IF(BO572="D",1,0)+IF(BT572="D",1,0)+IF(BU572="D",1,0)+IF(BW572="D",1,0)+IF(CC572="D",1,0)+IF(CD572="D",1,0)+IF(CE572="D",1,0)+IF(CF572="D",1,0)+IF(CL572="D",1,0)+IF(CM572="D",1,0)+IF(CQ572="D",1,0)+IF(CR572="D",1,0)+IF(CS572="D",1,0)+IF(CW572="D",1,0)+IF(CX572="D",1,0)+IF(DD572="D",1,0)+IF(DE572="D",1,0)+IF(DJ572="D",1,0)+IF(DK572="D",1,0)+IF(DO572="D",1,0)+IF(DP572="D",1,0)+IF(DQ572="D",1,0)+IF(DW572="D",1,0)+IF(DZ572="D",1,0)+IF(EH572="D",1,0)</f>
        <v/>
      </c>
      <c r="AY572">
        <f>IF(DJ572&lt;&gt;"",1,0)+IF(DK572&lt;&gt;"",1,0)+IF(DM572&lt;&gt;"",1,0)+IF(DO572&lt;&gt;"",1,0)+IF(DP572&lt;&gt;"",1,0)+IF(DQ572&lt;&gt;"",1,0)+IF(DS572&lt;&gt;"",1,0)+IF(DT572&lt;&gt;"",1,0)+IF(DV572&lt;&gt;"",1,0)+IF(DW572&lt;&gt;"",1,0)+IF(DX572&lt;&gt;"",1,0)+IF(DY572&lt;&gt;"",1,0)+IF(DZ572&lt;&gt;"",1,0)+IF(EB572&lt;&gt;"",1,0)+IF(EC572&lt;&gt;"",1,0)+IF(ED572&lt;&gt;"",1,0)+IF(EG572&lt;&gt;"",1,0)+IF(EH572&lt;&gt;"",1,0)</f>
        <v/>
      </c>
      <c r="AZ572">
        <f>IF(EH572&lt;&gt;"",1,0)</f>
        <v/>
      </c>
      <c r="BB572" t="inlineStr">
        <is>
          <t>WARREN-WARD 4</t>
        </is>
      </c>
      <c r="CP572" t="inlineStr">
        <is>
          <t>X</t>
        </is>
      </c>
      <c r="CY572" t="inlineStr">
        <is>
          <t>X</t>
        </is>
      </c>
      <c r="CZ572" t="inlineStr">
        <is>
          <t>D</t>
        </is>
      </c>
      <c r="DC572" t="inlineStr">
        <is>
          <t>X</t>
        </is>
      </c>
      <c r="DI572" t="inlineStr">
        <is>
          <t>X</t>
        </is>
      </c>
      <c r="DN572" t="inlineStr">
        <is>
          <t>X</t>
        </is>
      </c>
      <c r="EA572" t="inlineStr">
        <is>
          <t>X</t>
        </is>
      </c>
      <c r="EF572" t="inlineStr">
        <is>
          <t>X</t>
        </is>
      </c>
    </row>
    <row r="573">
      <c r="A573" t="inlineStr">
        <is>
          <t>OH0027542243</t>
        </is>
      </c>
      <c r="B573" t="n">
        <v>78</v>
      </c>
      <c r="C573" t="n">
        <v>488120</v>
      </c>
      <c r="D573" t="inlineStr">
        <is>
          <t>HUGHES</t>
        </is>
      </c>
      <c r="E573" t="inlineStr">
        <is>
          <t>MORGAN</t>
        </is>
      </c>
      <c r="F573">
        <f>CONCATENATE(D573," ",LEFT(H573,4),"T=",AU573,"D=",AV573,"R=",AW573,"M=",AX573,"L=",AY573,"B=",AZ573)</f>
        <v/>
      </c>
      <c r="G573" t="inlineStr">
        <is>
          <t>A</t>
        </is>
      </c>
      <c r="I573" t="inlineStr">
        <is>
          <t>1996-10-15</t>
        </is>
      </c>
      <c r="J573" t="inlineStr">
        <is>
          <t>2024-08-23</t>
        </is>
      </c>
      <c r="K573" t="inlineStr">
        <is>
          <t>ACTIVE</t>
        </is>
      </c>
      <c r="M573" t="inlineStr">
        <is>
          <t>716 OAK KNOLL AVE SE</t>
        </is>
      </c>
      <c r="N573">
        <f>RIGHT(M573,LEN(M573)-FIND(" ",M573))</f>
        <v/>
      </c>
      <c r="P573" t="inlineStr">
        <is>
          <t>WARREN</t>
        </is>
      </c>
      <c r="Q573" t="inlineStr">
        <is>
          <t>OH</t>
        </is>
      </c>
      <c r="R573" t="n">
        <v>44484</v>
      </c>
      <c r="AD573" t="inlineStr">
        <is>
          <t>TRUMBULL CAREER &amp; TECH CENTER</t>
        </is>
      </c>
      <c r="AE573" t="inlineStr">
        <is>
          <t>WARREN CITY</t>
        </is>
      </c>
      <c r="AF573" t="inlineStr">
        <is>
          <t>WARREN CITY SD</t>
        </is>
      </c>
      <c r="AH573" t="n">
        <v>14</v>
      </c>
      <c r="AI573" t="n">
        <v>11</v>
      </c>
      <c r="AN573" t="inlineStr">
        <is>
          <t>WARREN</t>
        </is>
      </c>
      <c r="AO573" t="inlineStr">
        <is>
          <t>WARREN CITY 4A</t>
        </is>
      </c>
      <c r="AP573" t="inlineStr">
        <is>
          <t>78-P-ADI</t>
        </is>
      </c>
      <c r="AQ573" t="n">
        <v>9</v>
      </c>
      <c r="AR573" t="n">
        <v>64</v>
      </c>
      <c r="AS573" t="n">
        <v>32</v>
      </c>
      <c r="AU573">
        <f>COUNTA($BA$573:$EH$573)</f>
        <v/>
      </c>
      <c r="AV573">
        <f>COUNTIF($BA$573:$EH$573,"D")</f>
        <v/>
      </c>
      <c r="AW573">
        <f>COUNTIF($BA$573:$EH$573,"R")</f>
        <v/>
      </c>
      <c r="AX573">
        <f>IF(BN573="D",1,0)+IF(BO573="D",1,0)+IF(BT573="D",1,0)+IF(BU573="D",1,0)+IF(BW573="D",1,0)+IF(CC573="D",1,0)+IF(CD573="D",1,0)+IF(CE573="D",1,0)+IF(CF573="D",1,0)+IF(CL573="D",1,0)+IF(CM573="D",1,0)+IF(CQ573="D",1,0)+IF(CR573="D",1,0)+IF(CS573="D",1,0)+IF(CW573="D",1,0)+IF(CX573="D",1,0)+IF(DD573="D",1,0)+IF(DE573="D",1,0)+IF(DJ573="D",1,0)+IF(DK573="D",1,0)+IF(DO573="D",1,0)+IF(DP573="D",1,0)+IF(DQ573="D",1,0)+IF(DW573="D",1,0)+IF(DZ573="D",1,0)+IF(EH573="D",1,0)</f>
        <v/>
      </c>
      <c r="AY573">
        <f>IF(DJ573&lt;&gt;"",1,0)+IF(DK573&lt;&gt;"",1,0)+IF(DM573&lt;&gt;"",1,0)+IF(DO573&lt;&gt;"",1,0)+IF(DP573&lt;&gt;"",1,0)+IF(DQ573&lt;&gt;"",1,0)+IF(DS573&lt;&gt;"",1,0)+IF(DT573&lt;&gt;"",1,0)+IF(DV573&lt;&gt;"",1,0)+IF(DW573&lt;&gt;"",1,0)+IF(DX573&lt;&gt;"",1,0)+IF(DY573&lt;&gt;"",1,0)+IF(DZ573&lt;&gt;"",1,0)+IF(EB573&lt;&gt;"",1,0)+IF(EC573&lt;&gt;"",1,0)+IF(ED573&lt;&gt;"",1,0)+IF(EG573&lt;&gt;"",1,0)+IF(EH573&lt;&gt;"",1,0)</f>
        <v/>
      </c>
      <c r="AZ573">
        <f>IF(EH573&lt;&gt;"",1,0)</f>
        <v/>
      </c>
      <c r="BB573" t="inlineStr">
        <is>
          <t>WARREN-WARD 4</t>
        </is>
      </c>
    </row>
    <row r="574">
      <c r="A574" t="inlineStr">
        <is>
          <t>OH0027701500</t>
        </is>
      </c>
      <c r="B574" t="n">
        <v>78</v>
      </c>
      <c r="C574" t="n">
        <v>490805</v>
      </c>
      <c r="D574" t="inlineStr">
        <is>
          <t>LEAGUE</t>
        </is>
      </c>
      <c r="E574" t="inlineStr">
        <is>
          <t>ASHLEY</t>
        </is>
      </c>
      <c r="F574">
        <f>CONCATENATE(D574," ",LEFT(H574,4),"T=",AU574,"D=",AV574,"R=",AW574,"M=",AX574,"L=",AY574,"B=",AZ574)</f>
        <v/>
      </c>
      <c r="G574" t="inlineStr">
        <is>
          <t>NICOLE</t>
        </is>
      </c>
      <c r="I574" t="inlineStr">
        <is>
          <t>2000-05-15</t>
        </is>
      </c>
      <c r="J574" t="inlineStr">
        <is>
          <t>2024-09-27</t>
        </is>
      </c>
      <c r="K574" t="inlineStr">
        <is>
          <t>ACTIVE</t>
        </is>
      </c>
      <c r="M574" t="inlineStr">
        <is>
          <t>568 OAK KNOLL AVE SE</t>
        </is>
      </c>
      <c r="N574">
        <f>RIGHT(M574,LEN(M574)-FIND(" ",M574))</f>
        <v/>
      </c>
      <c r="P574" t="inlineStr">
        <is>
          <t>WARREN</t>
        </is>
      </c>
      <c r="Q574" t="inlineStr">
        <is>
          <t>OH</t>
        </is>
      </c>
      <c r="R574" t="n">
        <v>44483</v>
      </c>
      <c r="AD574" t="inlineStr">
        <is>
          <t>TRUMBULL CAREER &amp; TECH CENTER</t>
        </is>
      </c>
      <c r="AE574" t="inlineStr">
        <is>
          <t>WARREN CITY</t>
        </is>
      </c>
      <c r="AF574" t="inlineStr">
        <is>
          <t>WARREN CITY SD</t>
        </is>
      </c>
      <c r="AH574" t="n">
        <v>14</v>
      </c>
      <c r="AI574" t="n">
        <v>11</v>
      </c>
      <c r="AN574" t="inlineStr">
        <is>
          <t>WARREN</t>
        </is>
      </c>
      <c r="AO574" t="inlineStr">
        <is>
          <t>WARREN CITY 4A</t>
        </is>
      </c>
      <c r="AP574" t="inlineStr">
        <is>
          <t>78-P-ADI</t>
        </is>
      </c>
      <c r="AQ574" t="n">
        <v>9</v>
      </c>
      <c r="AR574" t="n">
        <v>64</v>
      </c>
      <c r="AS574" t="n">
        <v>32</v>
      </c>
      <c r="AU574">
        <f>COUNTA($BA$574:$EH$574)</f>
        <v/>
      </c>
      <c r="AV574">
        <f>COUNTIF($BA$574:$EH$574,"D")</f>
        <v/>
      </c>
      <c r="AW574">
        <f>COUNTIF($BA$574:$EH$574,"R")</f>
        <v/>
      </c>
      <c r="AX574">
        <f>IF(BN574="D",1,0)+IF(BO574="D",1,0)+IF(BT574="D",1,0)+IF(BU574="D",1,0)+IF(BW574="D",1,0)+IF(CC574="D",1,0)+IF(CD574="D",1,0)+IF(CE574="D",1,0)+IF(CF574="D",1,0)+IF(CL574="D",1,0)+IF(CM574="D",1,0)+IF(CQ574="D",1,0)+IF(CR574="D",1,0)+IF(CS574="D",1,0)+IF(CW574="D",1,0)+IF(CX574="D",1,0)+IF(DD574="D",1,0)+IF(DE574="D",1,0)+IF(DJ574="D",1,0)+IF(DK574="D",1,0)+IF(DO574="D",1,0)+IF(DP574="D",1,0)+IF(DQ574="D",1,0)+IF(DW574="D",1,0)+IF(DZ574="D",1,0)+IF(EH574="D",1,0)</f>
        <v/>
      </c>
      <c r="AY574">
        <f>IF(DJ574&lt;&gt;"",1,0)+IF(DK574&lt;&gt;"",1,0)+IF(DM574&lt;&gt;"",1,0)+IF(DO574&lt;&gt;"",1,0)+IF(DP574&lt;&gt;"",1,0)+IF(DQ574&lt;&gt;"",1,0)+IF(DS574&lt;&gt;"",1,0)+IF(DT574&lt;&gt;"",1,0)+IF(DV574&lt;&gt;"",1,0)+IF(DW574&lt;&gt;"",1,0)+IF(DX574&lt;&gt;"",1,0)+IF(DY574&lt;&gt;"",1,0)+IF(DZ574&lt;&gt;"",1,0)+IF(EB574&lt;&gt;"",1,0)+IF(EC574&lt;&gt;"",1,0)+IF(ED574&lt;&gt;"",1,0)+IF(EG574&lt;&gt;"",1,0)+IF(EH574&lt;&gt;"",1,0)</f>
        <v/>
      </c>
      <c r="AZ574">
        <f>IF(EH574&lt;&gt;"",1,0)</f>
        <v/>
      </c>
      <c r="BB574" t="inlineStr">
        <is>
          <t>WARREN-WARD 4</t>
        </is>
      </c>
      <c r="EF574" t="inlineStr">
        <is>
          <t>X</t>
        </is>
      </c>
    </row>
    <row r="575">
      <c r="A575" t="inlineStr">
        <is>
          <t>OH0027335956</t>
        </is>
      </c>
      <c r="B575" t="n">
        <v>78</v>
      </c>
      <c r="C575" t="n">
        <v>484816</v>
      </c>
      <c r="D575" t="inlineStr">
        <is>
          <t>RAMSEY</t>
        </is>
      </c>
      <c r="E575" t="inlineStr">
        <is>
          <t>SHAWN</t>
        </is>
      </c>
      <c r="F575">
        <f>CONCATENATE(D575," ",LEFT(H575,4),"T=",AU575,"D=",AV575,"R=",AW575,"M=",AX575,"L=",AY575,"B=",AZ575)</f>
        <v/>
      </c>
      <c r="G575" t="inlineStr">
        <is>
          <t>D</t>
        </is>
      </c>
      <c r="H575" t="inlineStr">
        <is>
          <t>JR</t>
        </is>
      </c>
      <c r="I575" t="inlineStr">
        <is>
          <t>2004-11-24</t>
        </is>
      </c>
      <c r="J575" t="inlineStr">
        <is>
          <t>2024-04-30</t>
        </is>
      </c>
      <c r="K575" t="inlineStr">
        <is>
          <t>ACTIVE</t>
        </is>
      </c>
      <c r="M575" t="inlineStr">
        <is>
          <t>714 HOMEWOOD AVE SE</t>
        </is>
      </c>
      <c r="N575">
        <f>RIGHT(M575,LEN(M575)-FIND(" ",M575))</f>
        <v/>
      </c>
      <c r="P575" t="inlineStr">
        <is>
          <t>WARREN</t>
        </is>
      </c>
      <c r="Q575" t="inlineStr">
        <is>
          <t>OH</t>
        </is>
      </c>
      <c r="R575" t="n">
        <v>44484</v>
      </c>
      <c r="AD575" t="inlineStr">
        <is>
          <t>TRUMBULL CAREER &amp; TECH CENTER</t>
        </is>
      </c>
      <c r="AE575" t="inlineStr">
        <is>
          <t>WARREN CITY</t>
        </is>
      </c>
      <c r="AF575" t="inlineStr">
        <is>
          <t>WARREN CITY SD</t>
        </is>
      </c>
      <c r="AH575" t="n">
        <v>14</v>
      </c>
      <c r="AI575" t="n">
        <v>11</v>
      </c>
      <c r="AN575" t="inlineStr">
        <is>
          <t>WARREN</t>
        </is>
      </c>
      <c r="AO575" t="inlineStr">
        <is>
          <t>WARREN CITY 4A</t>
        </is>
      </c>
      <c r="AP575" t="inlineStr">
        <is>
          <t>78-P-ADI</t>
        </is>
      </c>
      <c r="AQ575" t="n">
        <v>9</v>
      </c>
      <c r="AR575" t="n">
        <v>64</v>
      </c>
      <c r="AS575" t="n">
        <v>32</v>
      </c>
      <c r="AU575">
        <f>COUNTA($BA$575:$EH$575)</f>
        <v/>
      </c>
      <c r="AV575">
        <f>COUNTIF($BA$575:$EH$575,"D")</f>
        <v/>
      </c>
      <c r="AW575">
        <f>COUNTIF($BA$575:$EH$575,"R")</f>
        <v/>
      </c>
      <c r="AX575">
        <f>IF(BN575="D",1,0)+IF(BO575="D",1,0)+IF(BT575="D",1,0)+IF(BU575="D",1,0)+IF(BW575="D",1,0)+IF(CC575="D",1,0)+IF(CD575="D",1,0)+IF(CE575="D",1,0)+IF(CF575="D",1,0)+IF(CL575="D",1,0)+IF(CM575="D",1,0)+IF(CQ575="D",1,0)+IF(CR575="D",1,0)+IF(CS575="D",1,0)+IF(CW575="D",1,0)+IF(CX575="D",1,0)+IF(DD575="D",1,0)+IF(DE575="D",1,0)+IF(DJ575="D",1,0)+IF(DK575="D",1,0)+IF(DO575="D",1,0)+IF(DP575="D",1,0)+IF(DQ575="D",1,0)+IF(DW575="D",1,0)+IF(DZ575="D",1,0)+IF(EH575="D",1,0)</f>
        <v/>
      </c>
      <c r="AY575">
        <f>IF(DJ575&lt;&gt;"",1,0)+IF(DK575&lt;&gt;"",1,0)+IF(DM575&lt;&gt;"",1,0)+IF(DO575&lt;&gt;"",1,0)+IF(DP575&lt;&gt;"",1,0)+IF(DQ575&lt;&gt;"",1,0)+IF(DS575&lt;&gt;"",1,0)+IF(DT575&lt;&gt;"",1,0)+IF(DV575&lt;&gt;"",1,0)+IF(DW575&lt;&gt;"",1,0)+IF(DX575&lt;&gt;"",1,0)+IF(DY575&lt;&gt;"",1,0)+IF(DZ575&lt;&gt;"",1,0)+IF(EB575&lt;&gt;"",1,0)+IF(EC575&lt;&gt;"",1,0)+IF(ED575&lt;&gt;"",1,0)+IF(EG575&lt;&gt;"",1,0)+IF(EH575&lt;&gt;"",1,0)</f>
        <v/>
      </c>
      <c r="AZ575">
        <f>IF(EH575&lt;&gt;"",1,0)</f>
        <v/>
      </c>
      <c r="BB575" t="inlineStr">
        <is>
          <t>WARREN-WARD 4</t>
        </is>
      </c>
    </row>
    <row r="576">
      <c r="A576" t="inlineStr">
        <is>
          <t>OH0027286370</t>
        </is>
      </c>
      <c r="B576" t="n">
        <v>78</v>
      </c>
      <c r="C576" t="n">
        <v>484308</v>
      </c>
      <c r="D576" t="inlineStr">
        <is>
          <t>CESSNA</t>
        </is>
      </c>
      <c r="E576" t="inlineStr">
        <is>
          <t>CHARLES</t>
        </is>
      </c>
      <c r="F576">
        <f>CONCATENATE(D576," ",LEFT(H576,4),"T=",AU576,"D=",AV576,"R=",AW576,"M=",AX576,"L=",AY576,"B=",AZ576)</f>
        <v/>
      </c>
      <c r="G576" t="inlineStr">
        <is>
          <t>EDWIN</t>
        </is>
      </c>
      <c r="I576" t="inlineStr">
        <is>
          <t>1936-08-31</t>
        </is>
      </c>
      <c r="J576" t="inlineStr">
        <is>
          <t>2024-04-08</t>
        </is>
      </c>
      <c r="K576" t="inlineStr">
        <is>
          <t>ACTIVE</t>
        </is>
      </c>
      <c r="M576" t="inlineStr">
        <is>
          <t>837 HOMEWOOD AVE SE</t>
        </is>
      </c>
      <c r="N576">
        <f>RIGHT(M576,LEN(M576)-FIND(" ",M576))</f>
        <v/>
      </c>
      <c r="P576" t="inlineStr">
        <is>
          <t>WARREN</t>
        </is>
      </c>
      <c r="Q576" t="inlineStr">
        <is>
          <t>OH</t>
        </is>
      </c>
      <c r="R576" t="n">
        <v>44484</v>
      </c>
      <c r="AD576" t="inlineStr">
        <is>
          <t>TRUMBULL CAREER &amp; TECH CENTER</t>
        </is>
      </c>
      <c r="AE576" t="inlineStr">
        <is>
          <t>WARREN CITY</t>
        </is>
      </c>
      <c r="AF576" t="inlineStr">
        <is>
          <t>WARREN CITY SD</t>
        </is>
      </c>
      <c r="AH576" t="n">
        <v>14</v>
      </c>
      <c r="AI576" t="n">
        <v>11</v>
      </c>
      <c r="AN576" t="inlineStr">
        <is>
          <t>WARREN</t>
        </is>
      </c>
      <c r="AO576" t="inlineStr">
        <is>
          <t>WARREN CITY 4A</t>
        </is>
      </c>
      <c r="AP576" t="inlineStr">
        <is>
          <t>78-P-ADI</t>
        </is>
      </c>
      <c r="AQ576" t="n">
        <v>9</v>
      </c>
      <c r="AR576" t="n">
        <v>64</v>
      </c>
      <c r="AS576" t="n">
        <v>32</v>
      </c>
      <c r="AU576">
        <f>COUNTA($BA$576:$EH$576)</f>
        <v/>
      </c>
      <c r="AV576">
        <f>COUNTIF($BA$576:$EH$576,"D")</f>
        <v/>
      </c>
      <c r="AW576">
        <f>COUNTIF($BA$576:$EH$576,"R")</f>
        <v/>
      </c>
      <c r="AX576">
        <f>IF(BN576="D",1,0)+IF(BO576="D",1,0)+IF(BT576="D",1,0)+IF(BU576="D",1,0)+IF(BW576="D",1,0)+IF(CC576="D",1,0)+IF(CD576="D",1,0)+IF(CE576="D",1,0)+IF(CF576="D",1,0)+IF(CL576="D",1,0)+IF(CM576="D",1,0)+IF(CQ576="D",1,0)+IF(CR576="D",1,0)+IF(CS576="D",1,0)+IF(CW576="D",1,0)+IF(CX576="D",1,0)+IF(DD576="D",1,0)+IF(DE576="D",1,0)+IF(DJ576="D",1,0)+IF(DK576="D",1,0)+IF(DO576="D",1,0)+IF(DP576="D",1,0)+IF(DQ576="D",1,0)+IF(DW576="D",1,0)+IF(DZ576="D",1,0)+IF(EH576="D",1,0)</f>
        <v/>
      </c>
      <c r="AY576">
        <f>IF(DJ576&lt;&gt;"",1,0)+IF(DK576&lt;&gt;"",1,0)+IF(DM576&lt;&gt;"",1,0)+IF(DO576&lt;&gt;"",1,0)+IF(DP576&lt;&gt;"",1,0)+IF(DQ576&lt;&gt;"",1,0)+IF(DS576&lt;&gt;"",1,0)+IF(DT576&lt;&gt;"",1,0)+IF(DV576&lt;&gt;"",1,0)+IF(DW576&lt;&gt;"",1,0)+IF(DX576&lt;&gt;"",1,0)+IF(DY576&lt;&gt;"",1,0)+IF(DZ576&lt;&gt;"",1,0)+IF(EB576&lt;&gt;"",1,0)+IF(EC576&lt;&gt;"",1,0)+IF(ED576&lt;&gt;"",1,0)+IF(EG576&lt;&gt;"",1,0)+IF(EH576&lt;&gt;"",1,0)</f>
        <v/>
      </c>
      <c r="AZ576">
        <f>IF(EH576&lt;&gt;"",1,0)</f>
        <v/>
      </c>
      <c r="BB576" t="inlineStr">
        <is>
          <t>WARREN-WARD 4</t>
        </is>
      </c>
      <c r="BL576" t="inlineStr">
        <is>
          <t>X</t>
        </is>
      </c>
      <c r="CA576" t="inlineStr">
        <is>
          <t>X</t>
        </is>
      </c>
      <c r="EF576" t="inlineStr">
        <is>
          <t>X</t>
        </is>
      </c>
    </row>
    <row r="577">
      <c r="A577" t="inlineStr">
        <is>
          <t>OH0020289587</t>
        </is>
      </c>
      <c r="B577" t="n">
        <v>78</v>
      </c>
      <c r="C577" t="n">
        <v>364690</v>
      </c>
      <c r="D577" t="inlineStr">
        <is>
          <t>RUPLE</t>
        </is>
      </c>
      <c r="E577" t="inlineStr">
        <is>
          <t>ALEXIS</t>
        </is>
      </c>
      <c r="F577">
        <f>CONCATENATE(D577," ",LEFT(H577,4),"T=",AU577,"D=",AV577,"R=",AW577,"M=",AX577,"L=",AY577,"B=",AZ577)</f>
        <v/>
      </c>
      <c r="G577" t="inlineStr">
        <is>
          <t>D</t>
        </is>
      </c>
      <c r="I577" t="inlineStr">
        <is>
          <t>1987-09-29</t>
        </is>
      </c>
      <c r="J577" t="inlineStr">
        <is>
          <t>2018-05-10</t>
        </is>
      </c>
      <c r="K577" t="inlineStr">
        <is>
          <t>ACTIVE</t>
        </is>
      </c>
      <c r="M577" t="inlineStr">
        <is>
          <t>756 KENILWORTH AVE SE</t>
        </is>
      </c>
      <c r="N577">
        <f>RIGHT(M577,LEN(M577)-FIND(" ",M577))</f>
        <v/>
      </c>
      <c r="P577" t="inlineStr">
        <is>
          <t>WARREN</t>
        </is>
      </c>
      <c r="Q577" t="inlineStr">
        <is>
          <t>OH</t>
        </is>
      </c>
      <c r="R577" t="n">
        <v>44484</v>
      </c>
      <c r="AD577" t="inlineStr">
        <is>
          <t>TRUMBULL CAREER &amp; TECH CENTER</t>
        </is>
      </c>
      <c r="AE577" t="inlineStr">
        <is>
          <t>WARREN CITY</t>
        </is>
      </c>
      <c r="AF577" t="inlineStr">
        <is>
          <t>WARREN CITY SD</t>
        </is>
      </c>
      <c r="AH577" t="n">
        <v>14</v>
      </c>
      <c r="AI577" t="n">
        <v>11</v>
      </c>
      <c r="AN577" t="inlineStr">
        <is>
          <t>WARREN</t>
        </is>
      </c>
      <c r="AO577" t="inlineStr">
        <is>
          <t>WARREN CITY 4A</t>
        </is>
      </c>
      <c r="AP577" t="inlineStr">
        <is>
          <t>78-P-ADI</t>
        </is>
      </c>
      <c r="AQ577" t="n">
        <v>9</v>
      </c>
      <c r="AR577" t="n">
        <v>64</v>
      </c>
      <c r="AS577" t="n">
        <v>32</v>
      </c>
      <c r="AU577">
        <f>COUNTA($BA$577:$EH$577)</f>
        <v/>
      </c>
      <c r="AV577">
        <f>COUNTIF($BA$577:$EH$577,"D")</f>
        <v/>
      </c>
      <c r="AW577">
        <f>COUNTIF($BA$577:$EH$577,"R")</f>
        <v/>
      </c>
      <c r="AX577">
        <f>IF(BN577="D",1,0)+IF(BO577="D",1,0)+IF(BT577="D",1,0)+IF(BU577="D",1,0)+IF(BW577="D",1,0)+IF(CC577="D",1,0)+IF(CD577="D",1,0)+IF(CE577="D",1,0)+IF(CF577="D",1,0)+IF(CL577="D",1,0)+IF(CM577="D",1,0)+IF(CQ577="D",1,0)+IF(CR577="D",1,0)+IF(CS577="D",1,0)+IF(CW577="D",1,0)+IF(CX577="D",1,0)+IF(DD577="D",1,0)+IF(DE577="D",1,0)+IF(DJ577="D",1,0)+IF(DK577="D",1,0)+IF(DO577="D",1,0)+IF(DP577="D",1,0)+IF(DQ577="D",1,0)+IF(DW577="D",1,0)+IF(DZ577="D",1,0)+IF(EH577="D",1,0)</f>
        <v/>
      </c>
      <c r="AY577">
        <f>IF(DJ577&lt;&gt;"",1,0)+IF(DK577&lt;&gt;"",1,0)+IF(DM577&lt;&gt;"",1,0)+IF(DO577&lt;&gt;"",1,0)+IF(DP577&lt;&gt;"",1,0)+IF(DQ577&lt;&gt;"",1,0)+IF(DS577&lt;&gt;"",1,0)+IF(DT577&lt;&gt;"",1,0)+IF(DV577&lt;&gt;"",1,0)+IF(DW577&lt;&gt;"",1,0)+IF(DX577&lt;&gt;"",1,0)+IF(DY577&lt;&gt;"",1,0)+IF(DZ577&lt;&gt;"",1,0)+IF(EB577&lt;&gt;"",1,0)+IF(EC577&lt;&gt;"",1,0)+IF(ED577&lt;&gt;"",1,0)+IF(EG577&lt;&gt;"",1,0)+IF(EH577&lt;&gt;"",1,0)</f>
        <v/>
      </c>
      <c r="AZ577">
        <f>IF(EH577&lt;&gt;"",1,0)</f>
        <v/>
      </c>
      <c r="BB577" t="inlineStr">
        <is>
          <t>WARREN-WARD 4</t>
        </is>
      </c>
      <c r="CA577" t="inlineStr">
        <is>
          <t>X</t>
        </is>
      </c>
      <c r="DX577" t="inlineStr">
        <is>
          <t>X</t>
        </is>
      </c>
      <c r="EF577" t="inlineStr">
        <is>
          <t>X</t>
        </is>
      </c>
    </row>
    <row r="578">
      <c r="A578" t="inlineStr">
        <is>
          <t>OH0025916358</t>
        </is>
      </c>
      <c r="B578" t="n">
        <v>78</v>
      </c>
      <c r="C578" t="n">
        <v>452678</v>
      </c>
      <c r="D578" t="inlineStr">
        <is>
          <t>HUTCHISON</t>
        </is>
      </c>
      <c r="E578" t="inlineStr">
        <is>
          <t>ROBERT</t>
        </is>
      </c>
      <c r="F578">
        <f>CONCATENATE(D578," ",LEFT(H578,4),"T=",AU578,"D=",AV578,"R=",AW578,"M=",AX578,"L=",AY578,"B=",AZ578)</f>
        <v/>
      </c>
      <c r="G578" t="inlineStr">
        <is>
          <t>HARRY</t>
        </is>
      </c>
      <c r="I578" t="inlineStr">
        <is>
          <t>2002-01-28</t>
        </is>
      </c>
      <c r="J578" t="inlineStr">
        <is>
          <t>2020-09-29</t>
        </is>
      </c>
      <c r="K578" t="inlineStr">
        <is>
          <t>CONFIRMATION</t>
        </is>
      </c>
      <c r="M578" t="inlineStr">
        <is>
          <t>1344 BELLE ST SE</t>
        </is>
      </c>
      <c r="N578">
        <f>RIGHT(M578,LEN(M578)-FIND(" ",M578))</f>
        <v/>
      </c>
      <c r="P578" t="inlineStr">
        <is>
          <t>WARREN</t>
        </is>
      </c>
      <c r="Q578" t="inlineStr">
        <is>
          <t>OH</t>
        </is>
      </c>
      <c r="R578" t="n">
        <v>44484</v>
      </c>
      <c r="AD578" t="inlineStr">
        <is>
          <t>TRUMBULL CAREER &amp; TECH CENTER</t>
        </is>
      </c>
      <c r="AE578" t="inlineStr">
        <is>
          <t>WARREN CITY</t>
        </is>
      </c>
      <c r="AF578" t="inlineStr">
        <is>
          <t>WARREN CITY SD</t>
        </is>
      </c>
      <c r="AH578" t="n">
        <v>14</v>
      </c>
      <c r="AI578" t="n">
        <v>11</v>
      </c>
      <c r="AN578" t="inlineStr">
        <is>
          <t>WARREN</t>
        </is>
      </c>
      <c r="AO578" t="inlineStr">
        <is>
          <t>WARREN CITY 4A</t>
        </is>
      </c>
      <c r="AP578" t="inlineStr">
        <is>
          <t>78-P-ADI</t>
        </is>
      </c>
      <c r="AQ578" t="n">
        <v>9</v>
      </c>
      <c r="AR578" t="n">
        <v>64</v>
      </c>
      <c r="AS578" t="n">
        <v>32</v>
      </c>
      <c r="AU578">
        <f>COUNTA($BA$578:$EH$578)</f>
        <v/>
      </c>
      <c r="AV578">
        <f>COUNTIF($BA$578:$EH$578,"D")</f>
        <v/>
      </c>
      <c r="AW578">
        <f>COUNTIF($BA$578:$EH$578,"R")</f>
        <v/>
      </c>
      <c r="AX578">
        <f>IF(BN578="D",1,0)+IF(BO578="D",1,0)+IF(BT578="D",1,0)+IF(BU578="D",1,0)+IF(BW578="D",1,0)+IF(CC578="D",1,0)+IF(CD578="D",1,0)+IF(CE578="D",1,0)+IF(CF578="D",1,0)+IF(CL578="D",1,0)+IF(CM578="D",1,0)+IF(CQ578="D",1,0)+IF(CR578="D",1,0)+IF(CS578="D",1,0)+IF(CW578="D",1,0)+IF(CX578="D",1,0)+IF(DD578="D",1,0)+IF(DE578="D",1,0)+IF(DJ578="D",1,0)+IF(DK578="D",1,0)+IF(DO578="D",1,0)+IF(DP578="D",1,0)+IF(DQ578="D",1,0)+IF(DW578="D",1,0)+IF(DZ578="D",1,0)+IF(EH578="D",1,0)</f>
        <v/>
      </c>
      <c r="AY578">
        <f>IF(DJ578&lt;&gt;"",1,0)+IF(DK578&lt;&gt;"",1,0)+IF(DM578&lt;&gt;"",1,0)+IF(DO578&lt;&gt;"",1,0)+IF(DP578&lt;&gt;"",1,0)+IF(DQ578&lt;&gt;"",1,0)+IF(DS578&lt;&gt;"",1,0)+IF(DT578&lt;&gt;"",1,0)+IF(DV578&lt;&gt;"",1,0)+IF(DW578&lt;&gt;"",1,0)+IF(DX578&lt;&gt;"",1,0)+IF(DY578&lt;&gt;"",1,0)+IF(DZ578&lt;&gt;"",1,0)+IF(EB578&lt;&gt;"",1,0)+IF(EC578&lt;&gt;"",1,0)+IF(ED578&lt;&gt;"",1,0)+IF(EG578&lt;&gt;"",1,0)+IF(EH578&lt;&gt;"",1,0)</f>
        <v/>
      </c>
      <c r="AZ578">
        <f>IF(EH578&lt;&gt;"",1,0)</f>
        <v/>
      </c>
      <c r="BB578" t="inlineStr">
        <is>
          <t>WARREN-WARD 4</t>
        </is>
      </c>
      <c r="DN578" t="inlineStr">
        <is>
          <t>X</t>
        </is>
      </c>
    </row>
    <row r="579">
      <c r="A579" t="inlineStr">
        <is>
          <t>OH0022239732</t>
        </is>
      </c>
      <c r="B579" t="n">
        <v>78</v>
      </c>
      <c r="C579" t="n">
        <v>393413</v>
      </c>
      <c r="D579" t="inlineStr">
        <is>
          <t>HINES</t>
        </is>
      </c>
      <c r="E579" t="inlineStr">
        <is>
          <t>RACHAEL</t>
        </is>
      </c>
      <c r="F579">
        <f>CONCATENATE(D579," ",LEFT(H579,4),"T=",AU579,"D=",AV579,"R=",AW579,"M=",AX579,"L=",AY579,"B=",AZ579)</f>
        <v/>
      </c>
      <c r="G579" t="inlineStr">
        <is>
          <t>M</t>
        </is>
      </c>
      <c r="I579" t="inlineStr">
        <is>
          <t>1985-09-09</t>
        </is>
      </c>
      <c r="J579" t="inlineStr">
        <is>
          <t>2016-12-08</t>
        </is>
      </c>
      <c r="K579" t="inlineStr">
        <is>
          <t>ACTIVE</t>
        </is>
      </c>
      <c r="M579" t="inlineStr">
        <is>
          <t>193 HOMEWOOD AVE SE</t>
        </is>
      </c>
      <c r="N579">
        <f>RIGHT(M579,LEN(M579)-FIND(" ",M579))</f>
        <v/>
      </c>
      <c r="P579" t="inlineStr">
        <is>
          <t>WARREN</t>
        </is>
      </c>
      <c r="Q579" t="inlineStr">
        <is>
          <t>OH</t>
        </is>
      </c>
      <c r="R579" t="n">
        <v>44483</v>
      </c>
      <c r="AD579" t="inlineStr">
        <is>
          <t>TRUMBULL CAREER &amp; TECH CENTER</t>
        </is>
      </c>
      <c r="AE579" t="inlineStr">
        <is>
          <t>WARREN CITY</t>
        </is>
      </c>
      <c r="AF579" t="inlineStr">
        <is>
          <t>WARREN CITY SD</t>
        </is>
      </c>
      <c r="AH579" t="n">
        <v>14</v>
      </c>
      <c r="AI579" t="n">
        <v>11</v>
      </c>
      <c r="AN579" t="inlineStr">
        <is>
          <t>WARREN</t>
        </is>
      </c>
      <c r="AO579" t="inlineStr">
        <is>
          <t>WARREN CITY 4A</t>
        </is>
      </c>
      <c r="AP579" t="inlineStr">
        <is>
          <t>78-P-ADI</t>
        </is>
      </c>
      <c r="AQ579" t="n">
        <v>9</v>
      </c>
      <c r="AR579" t="n">
        <v>64</v>
      </c>
      <c r="AS579" t="n">
        <v>32</v>
      </c>
      <c r="AU579">
        <f>COUNTA($BA$579:$EH$579)</f>
        <v/>
      </c>
      <c r="AV579">
        <f>COUNTIF($BA$579:$EH$579,"D")</f>
        <v/>
      </c>
      <c r="AW579">
        <f>COUNTIF($BA$579:$EH$579,"R")</f>
        <v/>
      </c>
      <c r="AX579">
        <f>IF(BN579="D",1,0)+IF(BO579="D",1,0)+IF(BT579="D",1,0)+IF(BU579="D",1,0)+IF(BW579="D",1,0)+IF(CC579="D",1,0)+IF(CD579="D",1,0)+IF(CE579="D",1,0)+IF(CF579="D",1,0)+IF(CL579="D",1,0)+IF(CM579="D",1,0)+IF(CQ579="D",1,0)+IF(CR579="D",1,0)+IF(CS579="D",1,0)+IF(CW579="D",1,0)+IF(CX579="D",1,0)+IF(DD579="D",1,0)+IF(DE579="D",1,0)+IF(DJ579="D",1,0)+IF(DK579="D",1,0)+IF(DO579="D",1,0)+IF(DP579="D",1,0)+IF(DQ579="D",1,0)+IF(DW579="D",1,0)+IF(DZ579="D",1,0)+IF(EH579="D",1,0)</f>
        <v/>
      </c>
      <c r="AY579">
        <f>IF(DJ579&lt;&gt;"",1,0)+IF(DK579&lt;&gt;"",1,0)+IF(DM579&lt;&gt;"",1,0)+IF(DO579&lt;&gt;"",1,0)+IF(DP579&lt;&gt;"",1,0)+IF(DQ579&lt;&gt;"",1,0)+IF(DS579&lt;&gt;"",1,0)+IF(DT579&lt;&gt;"",1,0)+IF(DV579&lt;&gt;"",1,0)+IF(DW579&lt;&gt;"",1,0)+IF(DX579&lt;&gt;"",1,0)+IF(DY579&lt;&gt;"",1,0)+IF(DZ579&lt;&gt;"",1,0)+IF(EB579&lt;&gt;"",1,0)+IF(EC579&lt;&gt;"",1,0)+IF(ED579&lt;&gt;"",1,0)+IF(EG579&lt;&gt;"",1,0)+IF(EH579&lt;&gt;"",1,0)</f>
        <v/>
      </c>
      <c r="AZ579">
        <f>IF(EH579&lt;&gt;"",1,0)</f>
        <v/>
      </c>
      <c r="BB579" t="inlineStr">
        <is>
          <t>WARREN-WARD 4</t>
        </is>
      </c>
      <c r="BL579" t="inlineStr">
        <is>
          <t>X</t>
        </is>
      </c>
      <c r="BY579" t="inlineStr">
        <is>
          <t>D</t>
        </is>
      </c>
      <c r="CA579" t="inlineStr">
        <is>
          <t>X</t>
        </is>
      </c>
      <c r="CP579" t="inlineStr">
        <is>
          <t>X</t>
        </is>
      </c>
      <c r="CV579" t="inlineStr">
        <is>
          <t>X</t>
        </is>
      </c>
      <c r="DC579" t="inlineStr">
        <is>
          <t>X</t>
        </is>
      </c>
      <c r="DN579" t="inlineStr">
        <is>
          <t>X</t>
        </is>
      </c>
      <c r="EF579" t="inlineStr">
        <is>
          <t>X</t>
        </is>
      </c>
    </row>
    <row r="580">
      <c r="A580" t="inlineStr">
        <is>
          <t>OH0018999311</t>
        </is>
      </c>
      <c r="B580" t="n">
        <v>78</v>
      </c>
      <c r="C580" t="n">
        <v>347337</v>
      </c>
      <c r="D580" t="inlineStr">
        <is>
          <t>SWEGAN</t>
        </is>
      </c>
      <c r="E580" t="inlineStr">
        <is>
          <t>RALPH</t>
        </is>
      </c>
      <c r="F580">
        <f>CONCATENATE(D580," ",LEFT(H580,4),"T=",AU580,"D=",AV580,"R=",AW580,"M=",AX580,"L=",AY580,"B=",AZ580)</f>
        <v/>
      </c>
      <c r="G580" t="inlineStr">
        <is>
          <t>WENDELL</t>
        </is>
      </c>
      <c r="I580" t="inlineStr">
        <is>
          <t>1939-08-22</t>
        </is>
      </c>
      <c r="J580" t="inlineStr">
        <is>
          <t>2006-10-20</t>
        </is>
      </c>
      <c r="K580" t="inlineStr">
        <is>
          <t>ACTIVE</t>
        </is>
      </c>
      <c r="L580" t="inlineStr">
        <is>
          <t>R</t>
        </is>
      </c>
      <c r="M580" t="inlineStr">
        <is>
          <t>146 WOODBINE AVE SE</t>
        </is>
      </c>
      <c r="N580">
        <f>RIGHT(M580,LEN(M580)-FIND(" ",M580))</f>
        <v/>
      </c>
      <c r="P580" t="inlineStr">
        <is>
          <t>WARREN</t>
        </is>
      </c>
      <c r="Q580" t="inlineStr">
        <is>
          <t>OH</t>
        </is>
      </c>
      <c r="R580" t="n">
        <v>44483</v>
      </c>
      <c r="AD580" t="inlineStr">
        <is>
          <t>TRUMBULL CAREER &amp; TECH CENTER</t>
        </is>
      </c>
      <c r="AE580" t="inlineStr">
        <is>
          <t>WARREN CITY</t>
        </is>
      </c>
      <c r="AF580" t="inlineStr">
        <is>
          <t>WARREN CITY SD</t>
        </is>
      </c>
      <c r="AH580" t="n">
        <v>14</v>
      </c>
      <c r="AI580" t="n">
        <v>11</v>
      </c>
      <c r="AN580" t="inlineStr">
        <is>
          <t>WARREN</t>
        </is>
      </c>
      <c r="AO580" t="inlineStr">
        <is>
          <t>WARREN CITY 4A</t>
        </is>
      </c>
      <c r="AP580" t="inlineStr">
        <is>
          <t>78-P-ADI</t>
        </is>
      </c>
      <c r="AQ580" t="n">
        <v>9</v>
      </c>
      <c r="AR580" t="n">
        <v>64</v>
      </c>
      <c r="AS580" t="n">
        <v>32</v>
      </c>
      <c r="AU580">
        <f>COUNTA($BA$580:$EH$580)</f>
        <v/>
      </c>
      <c r="AV580">
        <f>COUNTIF($BA$580:$EH$580,"D")</f>
        <v/>
      </c>
      <c r="AW580">
        <f>COUNTIF($BA$580:$EH$580,"R")</f>
        <v/>
      </c>
      <c r="AX580">
        <f>IF(BN580="D",1,0)+IF(BO580="D",1,0)+IF(BT580="D",1,0)+IF(BU580="D",1,0)+IF(BW580="D",1,0)+IF(CC580="D",1,0)+IF(CD580="D",1,0)+IF(CE580="D",1,0)+IF(CF580="D",1,0)+IF(CL580="D",1,0)+IF(CM580="D",1,0)+IF(CQ580="D",1,0)+IF(CR580="D",1,0)+IF(CS580="D",1,0)+IF(CW580="D",1,0)+IF(CX580="D",1,0)+IF(DD580="D",1,0)+IF(DE580="D",1,0)+IF(DJ580="D",1,0)+IF(DK580="D",1,0)+IF(DO580="D",1,0)+IF(DP580="D",1,0)+IF(DQ580="D",1,0)+IF(DW580="D",1,0)+IF(DZ580="D",1,0)+IF(EH580="D",1,0)</f>
        <v/>
      </c>
      <c r="AY580">
        <f>IF(DJ580&lt;&gt;"",1,0)+IF(DK580&lt;&gt;"",1,0)+IF(DM580&lt;&gt;"",1,0)+IF(DO580&lt;&gt;"",1,0)+IF(DP580&lt;&gt;"",1,0)+IF(DQ580&lt;&gt;"",1,0)+IF(DS580&lt;&gt;"",1,0)+IF(DT580&lt;&gt;"",1,0)+IF(DV580&lt;&gt;"",1,0)+IF(DW580&lt;&gt;"",1,0)+IF(DX580&lt;&gt;"",1,0)+IF(DY580&lt;&gt;"",1,0)+IF(DZ580&lt;&gt;"",1,0)+IF(EB580&lt;&gt;"",1,0)+IF(EC580&lt;&gt;"",1,0)+IF(ED580&lt;&gt;"",1,0)+IF(EG580&lt;&gt;"",1,0)+IF(EH580&lt;&gt;"",1,0)</f>
        <v/>
      </c>
      <c r="AZ580">
        <f>IF(EH580&lt;&gt;"",1,0)</f>
        <v/>
      </c>
      <c r="BB580" t="inlineStr">
        <is>
          <t>WARREN-WARD 4</t>
        </is>
      </c>
      <c r="BC580" t="inlineStr">
        <is>
          <t>R</t>
        </is>
      </c>
      <c r="BD580" t="inlineStr">
        <is>
          <t>X</t>
        </is>
      </c>
      <c r="BF580" t="inlineStr">
        <is>
          <t>X</t>
        </is>
      </c>
      <c r="BJ580" t="inlineStr">
        <is>
          <t>X</t>
        </is>
      </c>
      <c r="BL580" t="inlineStr">
        <is>
          <t>X</t>
        </is>
      </c>
      <c r="BP580" t="inlineStr">
        <is>
          <t>X</t>
        </is>
      </c>
      <c r="BS580" t="inlineStr">
        <is>
          <t>X</t>
        </is>
      </c>
      <c r="CA580" t="inlineStr">
        <is>
          <t>X</t>
        </is>
      </c>
      <c r="CG580" t="inlineStr">
        <is>
          <t>X</t>
        </is>
      </c>
      <c r="CK580" t="inlineStr">
        <is>
          <t>X</t>
        </is>
      </c>
      <c r="CN580" t="inlineStr">
        <is>
          <t>X</t>
        </is>
      </c>
      <c r="CP580" t="inlineStr">
        <is>
          <t>X</t>
        </is>
      </c>
      <c r="CV580" t="inlineStr">
        <is>
          <t>X</t>
        </is>
      </c>
      <c r="CY580" t="inlineStr">
        <is>
          <t>X</t>
        </is>
      </c>
      <c r="CZ580" t="inlineStr">
        <is>
          <t>R</t>
        </is>
      </c>
      <c r="DC580" t="inlineStr">
        <is>
          <t>X</t>
        </is>
      </c>
      <c r="DI580" t="inlineStr">
        <is>
          <t>X</t>
        </is>
      </c>
      <c r="DN580" t="inlineStr">
        <is>
          <t>X</t>
        </is>
      </c>
      <c r="DS580" t="inlineStr">
        <is>
          <t>R</t>
        </is>
      </c>
      <c r="DU580" t="inlineStr">
        <is>
          <t>X</t>
        </is>
      </c>
      <c r="EA580" t="inlineStr">
        <is>
          <t>X</t>
        </is>
      </c>
      <c r="EF580" t="inlineStr">
        <is>
          <t>X</t>
        </is>
      </c>
    </row>
    <row r="581">
      <c r="A581" t="inlineStr">
        <is>
          <t>OH0027269866</t>
        </is>
      </c>
      <c r="B581" t="n">
        <v>78</v>
      </c>
      <c r="C581" t="n">
        <v>483784</v>
      </c>
      <c r="D581" t="inlineStr">
        <is>
          <t>SLATER</t>
        </is>
      </c>
      <c r="E581" t="inlineStr">
        <is>
          <t>MATTHEW</t>
        </is>
      </c>
      <c r="F581">
        <f>CONCATENATE(D581," ",LEFT(H581,4),"T=",AU581,"D=",AV581,"R=",AW581,"M=",AX581,"L=",AY581,"B=",AZ581)</f>
        <v/>
      </c>
      <c r="G581" t="inlineStr">
        <is>
          <t>ROBERT</t>
        </is>
      </c>
      <c r="I581" t="inlineStr">
        <is>
          <t>1996-10-18</t>
        </is>
      </c>
      <c r="J581" t="inlineStr">
        <is>
          <t>2024-02-28</t>
        </is>
      </c>
      <c r="K581" t="inlineStr">
        <is>
          <t>ACTIVE</t>
        </is>
      </c>
      <c r="M581" t="inlineStr">
        <is>
          <t>1335 BELLE ST SE</t>
        </is>
      </c>
      <c r="N581">
        <f>RIGHT(M581,LEN(M581)-FIND(" ",M581))</f>
        <v/>
      </c>
      <c r="O581" t="inlineStr">
        <is>
          <t>APT 1</t>
        </is>
      </c>
      <c r="P581" t="inlineStr">
        <is>
          <t>WARREN</t>
        </is>
      </c>
      <c r="Q581" t="inlineStr">
        <is>
          <t>OH</t>
        </is>
      </c>
      <c r="R581" t="n">
        <v>44484</v>
      </c>
      <c r="AD581" t="inlineStr">
        <is>
          <t>TRUMBULL CAREER &amp; TECH CENTER</t>
        </is>
      </c>
      <c r="AE581" t="inlineStr">
        <is>
          <t>WARREN CITY</t>
        </is>
      </c>
      <c r="AF581" t="inlineStr">
        <is>
          <t>WARREN CITY SD</t>
        </is>
      </c>
      <c r="AH581" t="n">
        <v>14</v>
      </c>
      <c r="AI581" t="n">
        <v>11</v>
      </c>
      <c r="AN581" t="inlineStr">
        <is>
          <t>WARREN</t>
        </is>
      </c>
      <c r="AO581" t="inlineStr">
        <is>
          <t>WARREN CITY 4A</t>
        </is>
      </c>
      <c r="AP581" t="inlineStr">
        <is>
          <t>78-P-ADI</t>
        </is>
      </c>
      <c r="AQ581" t="n">
        <v>9</v>
      </c>
      <c r="AR581" t="n">
        <v>64</v>
      </c>
      <c r="AS581" t="n">
        <v>32</v>
      </c>
      <c r="AU581">
        <f>COUNTA($BA$581:$EH$581)</f>
        <v/>
      </c>
      <c r="AV581">
        <f>COUNTIF($BA$581:$EH$581,"D")</f>
        <v/>
      </c>
      <c r="AW581">
        <f>COUNTIF($BA$581:$EH$581,"R")</f>
        <v/>
      </c>
      <c r="AX581">
        <f>IF(BN581="D",1,0)+IF(BO581="D",1,0)+IF(BT581="D",1,0)+IF(BU581="D",1,0)+IF(BW581="D",1,0)+IF(CC581="D",1,0)+IF(CD581="D",1,0)+IF(CE581="D",1,0)+IF(CF581="D",1,0)+IF(CL581="D",1,0)+IF(CM581="D",1,0)+IF(CQ581="D",1,0)+IF(CR581="D",1,0)+IF(CS581="D",1,0)+IF(CW581="D",1,0)+IF(CX581="D",1,0)+IF(DD581="D",1,0)+IF(DE581="D",1,0)+IF(DJ581="D",1,0)+IF(DK581="D",1,0)+IF(DO581="D",1,0)+IF(DP581="D",1,0)+IF(DQ581="D",1,0)+IF(DW581="D",1,0)+IF(DZ581="D",1,0)+IF(EH581="D",1,0)</f>
        <v/>
      </c>
      <c r="AY581">
        <f>IF(DJ581&lt;&gt;"",1,0)+IF(DK581&lt;&gt;"",1,0)+IF(DM581&lt;&gt;"",1,0)+IF(DO581&lt;&gt;"",1,0)+IF(DP581&lt;&gt;"",1,0)+IF(DQ581&lt;&gt;"",1,0)+IF(DS581&lt;&gt;"",1,0)+IF(DT581&lt;&gt;"",1,0)+IF(DV581&lt;&gt;"",1,0)+IF(DW581&lt;&gt;"",1,0)+IF(DX581&lt;&gt;"",1,0)+IF(DY581&lt;&gt;"",1,0)+IF(DZ581&lt;&gt;"",1,0)+IF(EB581&lt;&gt;"",1,0)+IF(EC581&lt;&gt;"",1,0)+IF(ED581&lt;&gt;"",1,0)+IF(EG581&lt;&gt;"",1,0)+IF(EH581&lt;&gt;"",1,0)</f>
        <v/>
      </c>
      <c r="AZ581">
        <f>IF(EH581&lt;&gt;"",1,0)</f>
        <v/>
      </c>
      <c r="BB581" t="inlineStr">
        <is>
          <t>WARREN-WARD 4</t>
        </is>
      </c>
      <c r="DC581" t="inlineStr">
        <is>
          <t>X</t>
        </is>
      </c>
      <c r="EF581" t="inlineStr">
        <is>
          <t>X</t>
        </is>
      </c>
    </row>
    <row r="582">
      <c r="A582" t="inlineStr">
        <is>
          <t>OH0026406879</t>
        </is>
      </c>
      <c r="B582" t="n">
        <v>78</v>
      </c>
      <c r="C582" t="n">
        <v>461605</v>
      </c>
      <c r="D582" t="inlineStr">
        <is>
          <t>GEARHART</t>
        </is>
      </c>
      <c r="E582" t="inlineStr">
        <is>
          <t>VICTORIA</t>
        </is>
      </c>
      <c r="F582">
        <f>CONCATENATE(D582," ",LEFT(H582,4),"T=",AU582,"D=",AV582,"R=",AW582,"M=",AX582,"L=",AY582,"B=",AZ582)</f>
        <v/>
      </c>
      <c r="I582" t="inlineStr">
        <is>
          <t>1996-12-11</t>
        </is>
      </c>
      <c r="J582" t="inlineStr">
        <is>
          <t>2022-01-27</t>
        </is>
      </c>
      <c r="K582" t="inlineStr">
        <is>
          <t>CONFIRMATION</t>
        </is>
      </c>
      <c r="M582" t="inlineStr">
        <is>
          <t>317 BONNIE BRAE AVE SE</t>
        </is>
      </c>
      <c r="N582">
        <f>RIGHT(M582,LEN(M582)-FIND(" ",M582))</f>
        <v/>
      </c>
      <c r="P582" t="inlineStr">
        <is>
          <t>WARREN</t>
        </is>
      </c>
      <c r="Q582" t="inlineStr">
        <is>
          <t>OH</t>
        </is>
      </c>
      <c r="R582" t="n">
        <v>44484</v>
      </c>
      <c r="AD582" t="inlineStr">
        <is>
          <t>TRUMBULL CAREER &amp; TECH CENTER</t>
        </is>
      </c>
      <c r="AE582" t="inlineStr">
        <is>
          <t>WARREN CITY</t>
        </is>
      </c>
      <c r="AF582" t="inlineStr">
        <is>
          <t>WARREN CITY SD</t>
        </is>
      </c>
      <c r="AH582" t="n">
        <v>14</v>
      </c>
      <c r="AI582" t="n">
        <v>11</v>
      </c>
      <c r="AN582" t="inlineStr">
        <is>
          <t>WARREN</t>
        </is>
      </c>
      <c r="AO582" t="inlineStr">
        <is>
          <t>WARREN CITY 4A</t>
        </is>
      </c>
      <c r="AP582" t="inlineStr">
        <is>
          <t>78-P-ADI</t>
        </is>
      </c>
      <c r="AQ582" t="n">
        <v>9</v>
      </c>
      <c r="AR582" t="n">
        <v>64</v>
      </c>
      <c r="AS582" t="n">
        <v>32</v>
      </c>
      <c r="AU582">
        <f>COUNTA($BA$582:$EH$582)</f>
        <v/>
      </c>
      <c r="AV582">
        <f>COUNTIF($BA$582:$EH$582,"D")</f>
        <v/>
      </c>
      <c r="AW582">
        <f>COUNTIF($BA$582:$EH$582,"R")</f>
        <v/>
      </c>
      <c r="AX582">
        <f>IF(BN582="D",1,0)+IF(BO582="D",1,0)+IF(BT582="D",1,0)+IF(BU582="D",1,0)+IF(BW582="D",1,0)+IF(CC582="D",1,0)+IF(CD582="D",1,0)+IF(CE582="D",1,0)+IF(CF582="D",1,0)+IF(CL582="D",1,0)+IF(CM582="D",1,0)+IF(CQ582="D",1,0)+IF(CR582="D",1,0)+IF(CS582="D",1,0)+IF(CW582="D",1,0)+IF(CX582="D",1,0)+IF(DD582="D",1,0)+IF(DE582="D",1,0)+IF(DJ582="D",1,0)+IF(DK582="D",1,0)+IF(DO582="D",1,0)+IF(DP582="D",1,0)+IF(DQ582="D",1,0)+IF(DW582="D",1,0)+IF(DZ582="D",1,0)+IF(EH582="D",1,0)</f>
        <v/>
      </c>
      <c r="AY582">
        <f>IF(DJ582&lt;&gt;"",1,0)+IF(DK582&lt;&gt;"",1,0)+IF(DM582&lt;&gt;"",1,0)+IF(DO582&lt;&gt;"",1,0)+IF(DP582&lt;&gt;"",1,0)+IF(DQ582&lt;&gt;"",1,0)+IF(DS582&lt;&gt;"",1,0)+IF(DT582&lt;&gt;"",1,0)+IF(DV582&lt;&gt;"",1,0)+IF(DW582&lt;&gt;"",1,0)+IF(DX582&lt;&gt;"",1,0)+IF(DY582&lt;&gt;"",1,0)+IF(DZ582&lt;&gt;"",1,0)+IF(EB582&lt;&gt;"",1,0)+IF(EC582&lt;&gt;"",1,0)+IF(ED582&lt;&gt;"",1,0)+IF(EG582&lt;&gt;"",1,0)+IF(EH582&lt;&gt;"",1,0)</f>
        <v/>
      </c>
      <c r="AZ582">
        <f>IF(EH582&lt;&gt;"",1,0)</f>
        <v/>
      </c>
      <c r="BB582" t="inlineStr">
        <is>
          <t>WARREN-WARD 4</t>
        </is>
      </c>
    </row>
    <row r="583">
      <c r="A583" t="inlineStr">
        <is>
          <t>OH0025039886</t>
        </is>
      </c>
      <c r="B583" t="n">
        <v>78</v>
      </c>
      <c r="C583" t="n">
        <v>438326</v>
      </c>
      <c r="D583" t="inlineStr">
        <is>
          <t>MCMURRAY</t>
        </is>
      </c>
      <c r="E583" t="inlineStr">
        <is>
          <t>ALYNZCIA</t>
        </is>
      </c>
      <c r="F583">
        <f>CONCATENATE(D583," ",LEFT(H583,4),"T=",AU583,"D=",AV583,"R=",AW583,"M=",AX583,"L=",AY583,"B=",AZ583)</f>
        <v/>
      </c>
      <c r="G583" t="inlineStr">
        <is>
          <t>BLAIR</t>
        </is>
      </c>
      <c r="I583" t="inlineStr">
        <is>
          <t>1988-06-20</t>
        </is>
      </c>
      <c r="J583" t="inlineStr">
        <is>
          <t>2024-09-25</t>
        </is>
      </c>
      <c r="K583" t="inlineStr">
        <is>
          <t>ACTIVE</t>
        </is>
      </c>
      <c r="M583" t="inlineStr">
        <is>
          <t>329 CHARLES AVE SE</t>
        </is>
      </c>
      <c r="N583">
        <f>RIGHT(M583,LEN(M583)-FIND(" ",M583))</f>
        <v/>
      </c>
      <c r="P583" t="inlineStr">
        <is>
          <t>WARREN</t>
        </is>
      </c>
      <c r="Q583" t="inlineStr">
        <is>
          <t>OH</t>
        </is>
      </c>
      <c r="R583" t="n">
        <v>44483</v>
      </c>
      <c r="AD583" t="inlineStr">
        <is>
          <t>TRUMBULL CAREER &amp; TECH CENTER</t>
        </is>
      </c>
      <c r="AE583" t="inlineStr">
        <is>
          <t>WARREN CITY</t>
        </is>
      </c>
      <c r="AF583" t="inlineStr">
        <is>
          <t>WARREN CITY SD</t>
        </is>
      </c>
      <c r="AH583" t="n">
        <v>14</v>
      </c>
      <c r="AI583" t="n">
        <v>11</v>
      </c>
      <c r="AN583" t="inlineStr">
        <is>
          <t>WARREN</t>
        </is>
      </c>
      <c r="AO583" t="inlineStr">
        <is>
          <t>WARREN CITY 4A</t>
        </is>
      </c>
      <c r="AP583" t="inlineStr">
        <is>
          <t>78-P-ADI</t>
        </is>
      </c>
      <c r="AQ583" t="n">
        <v>9</v>
      </c>
      <c r="AR583" t="n">
        <v>64</v>
      </c>
      <c r="AS583" t="n">
        <v>32</v>
      </c>
      <c r="AU583">
        <f>COUNTA($BA$583:$EH$583)</f>
        <v/>
      </c>
      <c r="AV583">
        <f>COUNTIF($BA$583:$EH$583,"D")</f>
        <v/>
      </c>
      <c r="AW583">
        <f>COUNTIF($BA$583:$EH$583,"R")</f>
        <v/>
      </c>
      <c r="AX583">
        <f>IF(BN583="D",1,0)+IF(BO583="D",1,0)+IF(BT583="D",1,0)+IF(BU583="D",1,0)+IF(BW583="D",1,0)+IF(CC583="D",1,0)+IF(CD583="D",1,0)+IF(CE583="D",1,0)+IF(CF583="D",1,0)+IF(CL583="D",1,0)+IF(CM583="D",1,0)+IF(CQ583="D",1,0)+IF(CR583="D",1,0)+IF(CS583="D",1,0)+IF(CW583="D",1,0)+IF(CX583="D",1,0)+IF(DD583="D",1,0)+IF(DE583="D",1,0)+IF(DJ583="D",1,0)+IF(DK583="D",1,0)+IF(DO583="D",1,0)+IF(DP583="D",1,0)+IF(DQ583="D",1,0)+IF(DW583="D",1,0)+IF(DZ583="D",1,0)+IF(EH583="D",1,0)</f>
        <v/>
      </c>
      <c r="AY583">
        <f>IF(DJ583&lt;&gt;"",1,0)+IF(DK583&lt;&gt;"",1,0)+IF(DM583&lt;&gt;"",1,0)+IF(DO583&lt;&gt;"",1,0)+IF(DP583&lt;&gt;"",1,0)+IF(DQ583&lt;&gt;"",1,0)+IF(DS583&lt;&gt;"",1,0)+IF(DT583&lt;&gt;"",1,0)+IF(DV583&lt;&gt;"",1,0)+IF(DW583&lt;&gt;"",1,0)+IF(DX583&lt;&gt;"",1,0)+IF(DY583&lt;&gt;"",1,0)+IF(DZ583&lt;&gt;"",1,0)+IF(EB583&lt;&gt;"",1,0)+IF(EC583&lt;&gt;"",1,0)+IF(ED583&lt;&gt;"",1,0)+IF(EG583&lt;&gt;"",1,0)+IF(EH583&lt;&gt;"",1,0)</f>
        <v/>
      </c>
      <c r="AZ583">
        <f>IF(EH583&lt;&gt;"",1,0)</f>
        <v/>
      </c>
      <c r="BB583" t="inlineStr">
        <is>
          <t>WARREN-WARD 4</t>
        </is>
      </c>
      <c r="DN583" t="inlineStr">
        <is>
          <t>X</t>
        </is>
      </c>
      <c r="DX583" t="inlineStr">
        <is>
          <t>X</t>
        </is>
      </c>
      <c r="EF583" t="inlineStr">
        <is>
          <t>X</t>
        </is>
      </c>
    </row>
    <row r="584">
      <c r="A584" t="inlineStr">
        <is>
          <t>OH0025228668</t>
        </is>
      </c>
      <c r="B584" t="n">
        <v>78</v>
      </c>
      <c r="C584" t="n">
        <v>441726</v>
      </c>
      <c r="D584" t="inlineStr">
        <is>
          <t>DAVIS</t>
        </is>
      </c>
      <c r="E584" t="inlineStr">
        <is>
          <t>CHRISTOPHER</t>
        </is>
      </c>
      <c r="F584">
        <f>CONCATENATE(D584," ",LEFT(H584,4),"T=",AU584,"D=",AV584,"R=",AW584,"M=",AX584,"L=",AY584,"B=",AZ584)</f>
        <v/>
      </c>
      <c r="G584" t="inlineStr">
        <is>
          <t>LAMAR</t>
        </is>
      </c>
      <c r="H584" t="inlineStr">
        <is>
          <t>JR</t>
        </is>
      </c>
      <c r="I584" t="inlineStr">
        <is>
          <t>1992-12-24</t>
        </is>
      </c>
      <c r="J584" t="inlineStr">
        <is>
          <t>2024-10-07</t>
        </is>
      </c>
      <c r="K584" t="inlineStr">
        <is>
          <t>ACTIVE</t>
        </is>
      </c>
      <c r="M584" t="inlineStr">
        <is>
          <t>661 WOODBINE AVE SE</t>
        </is>
      </c>
      <c r="N584">
        <f>RIGHT(M584,LEN(M584)-FIND(" ",M584))</f>
        <v/>
      </c>
      <c r="P584" t="inlineStr">
        <is>
          <t>WARREN</t>
        </is>
      </c>
      <c r="Q584" t="inlineStr">
        <is>
          <t>OH</t>
        </is>
      </c>
      <c r="R584" t="n">
        <v>44483</v>
      </c>
      <c r="AD584" t="inlineStr">
        <is>
          <t>TRUMBULL CAREER &amp; TECH CENTER</t>
        </is>
      </c>
      <c r="AE584" t="inlineStr">
        <is>
          <t>WARREN CITY</t>
        </is>
      </c>
      <c r="AF584" t="inlineStr">
        <is>
          <t>WARREN CITY SD</t>
        </is>
      </c>
      <c r="AH584" t="n">
        <v>14</v>
      </c>
      <c r="AI584" t="n">
        <v>11</v>
      </c>
      <c r="AN584" t="inlineStr">
        <is>
          <t>WARREN</t>
        </is>
      </c>
      <c r="AO584" t="inlineStr">
        <is>
          <t>WARREN CITY 4A</t>
        </is>
      </c>
      <c r="AP584" t="inlineStr">
        <is>
          <t>78-P-ADI</t>
        </is>
      </c>
      <c r="AQ584" t="n">
        <v>9</v>
      </c>
      <c r="AR584" t="n">
        <v>64</v>
      </c>
      <c r="AS584" t="n">
        <v>32</v>
      </c>
      <c r="AU584">
        <f>COUNTA($BA$584:$EH$584)</f>
        <v/>
      </c>
      <c r="AV584">
        <f>COUNTIF($BA$584:$EH$584,"D")</f>
        <v/>
      </c>
      <c r="AW584">
        <f>COUNTIF($BA$584:$EH$584,"R")</f>
        <v/>
      </c>
      <c r="AX584">
        <f>IF(BN584="D",1,0)+IF(BO584="D",1,0)+IF(BT584="D",1,0)+IF(BU584="D",1,0)+IF(BW584="D",1,0)+IF(CC584="D",1,0)+IF(CD584="D",1,0)+IF(CE584="D",1,0)+IF(CF584="D",1,0)+IF(CL584="D",1,0)+IF(CM584="D",1,0)+IF(CQ584="D",1,0)+IF(CR584="D",1,0)+IF(CS584="D",1,0)+IF(CW584="D",1,0)+IF(CX584="D",1,0)+IF(DD584="D",1,0)+IF(DE584="D",1,0)+IF(DJ584="D",1,0)+IF(DK584="D",1,0)+IF(DO584="D",1,0)+IF(DP584="D",1,0)+IF(DQ584="D",1,0)+IF(DW584="D",1,0)+IF(DZ584="D",1,0)+IF(EH584="D",1,0)</f>
        <v/>
      </c>
      <c r="AY584">
        <f>IF(DJ584&lt;&gt;"",1,0)+IF(DK584&lt;&gt;"",1,0)+IF(DM584&lt;&gt;"",1,0)+IF(DO584&lt;&gt;"",1,0)+IF(DP584&lt;&gt;"",1,0)+IF(DQ584&lt;&gt;"",1,0)+IF(DS584&lt;&gt;"",1,0)+IF(DT584&lt;&gt;"",1,0)+IF(DV584&lt;&gt;"",1,0)+IF(DW584&lt;&gt;"",1,0)+IF(DX584&lt;&gt;"",1,0)+IF(DY584&lt;&gt;"",1,0)+IF(DZ584&lt;&gt;"",1,0)+IF(EB584&lt;&gt;"",1,0)+IF(EC584&lt;&gt;"",1,0)+IF(ED584&lt;&gt;"",1,0)+IF(EG584&lt;&gt;"",1,0)+IF(EH584&lt;&gt;"",1,0)</f>
        <v/>
      </c>
      <c r="AZ584">
        <f>IF(EH584&lt;&gt;"",1,0)</f>
        <v/>
      </c>
      <c r="BB584" t="inlineStr">
        <is>
          <t>WARREN-WARD 4</t>
        </is>
      </c>
      <c r="CP584" t="inlineStr">
        <is>
          <t>X</t>
        </is>
      </c>
      <c r="DN584" t="inlineStr">
        <is>
          <t>X</t>
        </is>
      </c>
      <c r="EF584" t="inlineStr">
        <is>
          <t>X</t>
        </is>
      </c>
    </row>
    <row r="585">
      <c r="A585" t="inlineStr">
        <is>
          <t>OH0018878595</t>
        </is>
      </c>
      <c r="B585" t="n">
        <v>78</v>
      </c>
      <c r="C585" t="n">
        <v>345694</v>
      </c>
      <c r="D585" t="inlineStr">
        <is>
          <t>JAKUBEC</t>
        </is>
      </c>
      <c r="E585" t="inlineStr">
        <is>
          <t>LACIE</t>
        </is>
      </c>
      <c r="F585">
        <f>CONCATENATE(D585," ",LEFT(H585,4),"T=",AU585,"D=",AV585,"R=",AW585,"M=",AX585,"L=",AY585,"B=",AZ585)</f>
        <v/>
      </c>
      <c r="G585" t="inlineStr">
        <is>
          <t>M</t>
        </is>
      </c>
      <c r="I585" t="inlineStr">
        <is>
          <t>1987-09-13</t>
        </is>
      </c>
      <c r="J585" t="inlineStr">
        <is>
          <t>2016-09-30</t>
        </is>
      </c>
      <c r="K585" t="inlineStr">
        <is>
          <t>ACTIVE</t>
        </is>
      </c>
      <c r="L585" t="inlineStr">
        <is>
          <t>R</t>
        </is>
      </c>
      <c r="M585" t="inlineStr">
        <is>
          <t>232 WOODBINE AVE SE</t>
        </is>
      </c>
      <c r="N585">
        <f>RIGHT(M585,LEN(M585)-FIND(" ",M585))</f>
        <v/>
      </c>
      <c r="P585" t="inlineStr">
        <is>
          <t>WARREN</t>
        </is>
      </c>
      <c r="Q585" t="inlineStr">
        <is>
          <t>OH</t>
        </is>
      </c>
      <c r="R585" t="n">
        <v>44483</v>
      </c>
      <c r="AD585" t="inlineStr">
        <is>
          <t>TRUMBULL CAREER &amp; TECH CENTER</t>
        </is>
      </c>
      <c r="AE585" t="inlineStr">
        <is>
          <t>WARREN CITY</t>
        </is>
      </c>
      <c r="AF585" t="inlineStr">
        <is>
          <t>WARREN CITY SD</t>
        </is>
      </c>
      <c r="AH585" t="n">
        <v>14</v>
      </c>
      <c r="AI585" t="n">
        <v>11</v>
      </c>
      <c r="AN585" t="inlineStr">
        <is>
          <t>WARREN</t>
        </is>
      </c>
      <c r="AO585" t="inlineStr">
        <is>
          <t>WARREN CITY 4A</t>
        </is>
      </c>
      <c r="AP585" t="inlineStr">
        <is>
          <t>78-P-ADI</t>
        </is>
      </c>
      <c r="AQ585" t="n">
        <v>9</v>
      </c>
      <c r="AR585" t="n">
        <v>64</v>
      </c>
      <c r="AS585" t="n">
        <v>32</v>
      </c>
      <c r="AU585">
        <f>COUNTA($BA$585:$EH$585)</f>
        <v/>
      </c>
      <c r="AV585">
        <f>COUNTIF($BA$585:$EH$585,"D")</f>
        <v/>
      </c>
      <c r="AW585">
        <f>COUNTIF($BA$585:$EH$585,"R")</f>
        <v/>
      </c>
      <c r="AX585">
        <f>IF(BN585="D",1,0)+IF(BO585="D",1,0)+IF(BT585="D",1,0)+IF(BU585="D",1,0)+IF(BW585="D",1,0)+IF(CC585="D",1,0)+IF(CD585="D",1,0)+IF(CE585="D",1,0)+IF(CF585="D",1,0)+IF(CL585="D",1,0)+IF(CM585="D",1,0)+IF(CQ585="D",1,0)+IF(CR585="D",1,0)+IF(CS585="D",1,0)+IF(CW585="D",1,0)+IF(CX585="D",1,0)+IF(DD585="D",1,0)+IF(DE585="D",1,0)+IF(DJ585="D",1,0)+IF(DK585="D",1,0)+IF(DO585="D",1,0)+IF(DP585="D",1,0)+IF(DQ585="D",1,0)+IF(DW585="D",1,0)+IF(DZ585="D",1,0)+IF(EH585="D",1,0)</f>
        <v/>
      </c>
      <c r="AY585">
        <f>IF(DJ585&lt;&gt;"",1,0)+IF(DK585&lt;&gt;"",1,0)+IF(DM585&lt;&gt;"",1,0)+IF(DO585&lt;&gt;"",1,0)+IF(DP585&lt;&gt;"",1,0)+IF(DQ585&lt;&gt;"",1,0)+IF(DS585&lt;&gt;"",1,0)+IF(DT585&lt;&gt;"",1,0)+IF(DV585&lt;&gt;"",1,0)+IF(DW585&lt;&gt;"",1,0)+IF(DX585&lt;&gt;"",1,0)+IF(DY585&lt;&gt;"",1,0)+IF(DZ585&lt;&gt;"",1,0)+IF(EB585&lt;&gt;"",1,0)+IF(EC585&lt;&gt;"",1,0)+IF(ED585&lt;&gt;"",1,0)+IF(EG585&lt;&gt;"",1,0)+IF(EH585&lt;&gt;"",1,0)</f>
        <v/>
      </c>
      <c r="AZ585">
        <f>IF(EH585&lt;&gt;"",1,0)</f>
        <v/>
      </c>
      <c r="BB585" t="inlineStr">
        <is>
          <t>WARREN-WARD 4</t>
        </is>
      </c>
      <c r="BS585" t="inlineStr">
        <is>
          <t>X</t>
        </is>
      </c>
      <c r="BV585" t="inlineStr">
        <is>
          <t>X</t>
        </is>
      </c>
      <c r="BY585" t="inlineStr">
        <is>
          <t>R</t>
        </is>
      </c>
      <c r="CA585" t="inlineStr">
        <is>
          <t>X</t>
        </is>
      </c>
      <c r="CG585" t="inlineStr">
        <is>
          <t>X</t>
        </is>
      </c>
      <c r="CN585" t="inlineStr">
        <is>
          <t>X</t>
        </is>
      </c>
      <c r="CP585" t="inlineStr">
        <is>
          <t>X</t>
        </is>
      </c>
      <c r="DC585" t="inlineStr">
        <is>
          <t>X</t>
        </is>
      </c>
      <c r="DI585" t="inlineStr">
        <is>
          <t>X</t>
        </is>
      </c>
      <c r="DN585" t="inlineStr">
        <is>
          <t>X</t>
        </is>
      </c>
      <c r="EA585" t="inlineStr">
        <is>
          <t>X</t>
        </is>
      </c>
      <c r="ED585" t="inlineStr">
        <is>
          <t>R</t>
        </is>
      </c>
      <c r="EF585" t="inlineStr">
        <is>
          <t>X</t>
        </is>
      </c>
    </row>
    <row r="586">
      <c r="A586" t="inlineStr">
        <is>
          <t>OH0026817961</t>
        </is>
      </c>
      <c r="B586" t="n">
        <v>78</v>
      </c>
      <c r="C586" t="n">
        <v>470889</v>
      </c>
      <c r="D586" t="inlineStr">
        <is>
          <t>KELLAR</t>
        </is>
      </c>
      <c r="E586" t="inlineStr">
        <is>
          <t>CLARK</t>
        </is>
      </c>
      <c r="F586">
        <f>CONCATENATE(D586," ",LEFT(H586,4),"T=",AU586,"D=",AV586,"R=",AW586,"M=",AX586,"L=",AY586,"B=",AZ586)</f>
        <v/>
      </c>
      <c r="G586" t="inlineStr">
        <is>
          <t>R</t>
        </is>
      </c>
      <c r="I586" t="inlineStr">
        <is>
          <t>2005-09-12</t>
        </is>
      </c>
      <c r="J586" t="inlineStr">
        <is>
          <t>2023-02-15</t>
        </is>
      </c>
      <c r="K586" t="inlineStr">
        <is>
          <t>ACTIVE</t>
        </is>
      </c>
      <c r="M586" t="inlineStr">
        <is>
          <t>217 KENILWORTH AVE SE</t>
        </is>
      </c>
      <c r="N586">
        <f>RIGHT(M586,LEN(M586)-FIND(" ",M586))</f>
        <v/>
      </c>
      <c r="P586" t="inlineStr">
        <is>
          <t>WARREN</t>
        </is>
      </c>
      <c r="Q586" t="inlineStr">
        <is>
          <t>OH</t>
        </is>
      </c>
      <c r="R586" t="n">
        <v>44483</v>
      </c>
      <c r="AD586" t="inlineStr">
        <is>
          <t>TRUMBULL CAREER &amp; TECH CENTER</t>
        </is>
      </c>
      <c r="AE586" t="inlineStr">
        <is>
          <t>WARREN CITY</t>
        </is>
      </c>
      <c r="AF586" t="inlineStr">
        <is>
          <t>WARREN CITY SD</t>
        </is>
      </c>
      <c r="AH586" t="n">
        <v>14</v>
      </c>
      <c r="AI586" t="n">
        <v>11</v>
      </c>
      <c r="AN586" t="inlineStr">
        <is>
          <t>WARREN</t>
        </is>
      </c>
      <c r="AO586" t="inlineStr">
        <is>
          <t>WARREN CITY 4A</t>
        </is>
      </c>
      <c r="AP586" t="inlineStr">
        <is>
          <t>78-P-ADI</t>
        </is>
      </c>
      <c r="AQ586" t="n">
        <v>9</v>
      </c>
      <c r="AR586" t="n">
        <v>64</v>
      </c>
      <c r="AS586" t="n">
        <v>32</v>
      </c>
      <c r="AU586">
        <f>COUNTA($BA$586:$EH$586)</f>
        <v/>
      </c>
      <c r="AV586">
        <f>COUNTIF($BA$586:$EH$586,"D")</f>
        <v/>
      </c>
      <c r="AW586">
        <f>COUNTIF($BA$586:$EH$586,"R")</f>
        <v/>
      </c>
      <c r="AX586">
        <f>IF(BN586="D",1,0)+IF(BO586="D",1,0)+IF(BT586="D",1,0)+IF(BU586="D",1,0)+IF(BW586="D",1,0)+IF(CC586="D",1,0)+IF(CD586="D",1,0)+IF(CE586="D",1,0)+IF(CF586="D",1,0)+IF(CL586="D",1,0)+IF(CM586="D",1,0)+IF(CQ586="D",1,0)+IF(CR586="D",1,0)+IF(CS586="D",1,0)+IF(CW586="D",1,0)+IF(CX586="D",1,0)+IF(DD586="D",1,0)+IF(DE586="D",1,0)+IF(DJ586="D",1,0)+IF(DK586="D",1,0)+IF(DO586="D",1,0)+IF(DP586="D",1,0)+IF(DQ586="D",1,0)+IF(DW586="D",1,0)+IF(DZ586="D",1,0)+IF(EH586="D",1,0)</f>
        <v/>
      </c>
      <c r="AY586">
        <f>IF(DJ586&lt;&gt;"",1,0)+IF(DK586&lt;&gt;"",1,0)+IF(DM586&lt;&gt;"",1,0)+IF(DO586&lt;&gt;"",1,0)+IF(DP586&lt;&gt;"",1,0)+IF(DQ586&lt;&gt;"",1,0)+IF(DS586&lt;&gt;"",1,0)+IF(DT586&lt;&gt;"",1,0)+IF(DV586&lt;&gt;"",1,0)+IF(DW586&lt;&gt;"",1,0)+IF(DX586&lt;&gt;"",1,0)+IF(DY586&lt;&gt;"",1,0)+IF(DZ586&lt;&gt;"",1,0)+IF(EB586&lt;&gt;"",1,0)+IF(EC586&lt;&gt;"",1,0)+IF(ED586&lt;&gt;"",1,0)+IF(EG586&lt;&gt;"",1,0)+IF(EH586&lt;&gt;"",1,0)</f>
        <v/>
      </c>
      <c r="AZ586">
        <f>IF(EH586&lt;&gt;"",1,0)</f>
        <v/>
      </c>
      <c r="BB586" t="inlineStr">
        <is>
          <t>WARREN-WARD 4</t>
        </is>
      </c>
    </row>
    <row r="587">
      <c r="A587" t="inlineStr">
        <is>
          <t>OH0025208766</t>
        </is>
      </c>
      <c r="B587" t="n">
        <v>78</v>
      </c>
      <c r="C587" t="n">
        <v>441340</v>
      </c>
      <c r="D587" t="inlineStr">
        <is>
          <t>TAYLOR</t>
        </is>
      </c>
      <c r="E587" t="inlineStr">
        <is>
          <t>TI MAUANIA</t>
        </is>
      </c>
      <c r="F587">
        <f>CONCATENATE(D587," ",LEFT(H587,4),"T=",AU587,"D=",AV587,"R=",AW587,"M=",AX587,"L=",AY587,"B=",AZ587)</f>
        <v/>
      </c>
      <c r="G587" t="inlineStr">
        <is>
          <t>B</t>
        </is>
      </c>
      <c r="I587" t="inlineStr">
        <is>
          <t>1993-03-02</t>
        </is>
      </c>
      <c r="J587" t="inlineStr">
        <is>
          <t>2019-09-17</t>
        </is>
      </c>
      <c r="K587" t="inlineStr">
        <is>
          <t>CONFIRMATION</t>
        </is>
      </c>
      <c r="M587" t="inlineStr">
        <is>
          <t>167 CHARLES AVE SE</t>
        </is>
      </c>
      <c r="N587">
        <f>RIGHT(M587,LEN(M587)-FIND(" ",M587))</f>
        <v/>
      </c>
      <c r="P587" t="inlineStr">
        <is>
          <t>WARREN</t>
        </is>
      </c>
      <c r="Q587" t="inlineStr">
        <is>
          <t>OH</t>
        </is>
      </c>
      <c r="R587" t="n">
        <v>44483</v>
      </c>
      <c r="AD587" t="inlineStr">
        <is>
          <t>TRUMBULL CAREER &amp; TECH CENTER</t>
        </is>
      </c>
      <c r="AE587" t="inlineStr">
        <is>
          <t>WARREN CITY</t>
        </is>
      </c>
      <c r="AF587" t="inlineStr">
        <is>
          <t>WARREN CITY SD</t>
        </is>
      </c>
      <c r="AH587" t="n">
        <v>14</v>
      </c>
      <c r="AI587" t="n">
        <v>11</v>
      </c>
      <c r="AN587" t="inlineStr">
        <is>
          <t>WARREN</t>
        </is>
      </c>
      <c r="AO587" t="inlineStr">
        <is>
          <t>WARREN CITY 4A</t>
        </is>
      </c>
      <c r="AP587" t="inlineStr">
        <is>
          <t>78-P-ADI</t>
        </is>
      </c>
      <c r="AQ587" t="n">
        <v>9</v>
      </c>
      <c r="AR587" t="n">
        <v>64</v>
      </c>
      <c r="AS587" t="n">
        <v>32</v>
      </c>
      <c r="AU587">
        <f>COUNTA($BA$587:$EH$587)</f>
        <v/>
      </c>
      <c r="AV587">
        <f>COUNTIF($BA$587:$EH$587,"D")</f>
        <v/>
      </c>
      <c r="AW587">
        <f>COUNTIF($BA$587:$EH$587,"R")</f>
        <v/>
      </c>
      <c r="AX587">
        <f>IF(BN587="D",1,0)+IF(BO587="D",1,0)+IF(BT587="D",1,0)+IF(BU587="D",1,0)+IF(BW587="D",1,0)+IF(CC587="D",1,0)+IF(CD587="D",1,0)+IF(CE587="D",1,0)+IF(CF587="D",1,0)+IF(CL587="D",1,0)+IF(CM587="D",1,0)+IF(CQ587="D",1,0)+IF(CR587="D",1,0)+IF(CS587="D",1,0)+IF(CW587="D",1,0)+IF(CX587="D",1,0)+IF(DD587="D",1,0)+IF(DE587="D",1,0)+IF(DJ587="D",1,0)+IF(DK587="D",1,0)+IF(DO587="D",1,0)+IF(DP587="D",1,0)+IF(DQ587="D",1,0)+IF(DW587="D",1,0)+IF(DZ587="D",1,0)+IF(EH587="D",1,0)</f>
        <v/>
      </c>
      <c r="AY587">
        <f>IF(DJ587&lt;&gt;"",1,0)+IF(DK587&lt;&gt;"",1,0)+IF(DM587&lt;&gt;"",1,0)+IF(DO587&lt;&gt;"",1,0)+IF(DP587&lt;&gt;"",1,0)+IF(DQ587&lt;&gt;"",1,0)+IF(DS587&lt;&gt;"",1,0)+IF(DT587&lt;&gt;"",1,0)+IF(DV587&lt;&gt;"",1,0)+IF(DW587&lt;&gt;"",1,0)+IF(DX587&lt;&gt;"",1,0)+IF(DY587&lt;&gt;"",1,0)+IF(DZ587&lt;&gt;"",1,0)+IF(EB587&lt;&gt;"",1,0)+IF(EC587&lt;&gt;"",1,0)+IF(ED587&lt;&gt;"",1,0)+IF(EG587&lt;&gt;"",1,0)+IF(EH587&lt;&gt;"",1,0)</f>
        <v/>
      </c>
      <c r="AZ587">
        <f>IF(EH587&lt;&gt;"",1,0)</f>
        <v/>
      </c>
      <c r="BB587" t="inlineStr">
        <is>
          <t>WARREN-WARD 4</t>
        </is>
      </c>
    </row>
    <row r="588">
      <c r="A588" t="inlineStr">
        <is>
          <t>OH0027838784</t>
        </is>
      </c>
      <c r="B588" t="n">
        <v>78</v>
      </c>
      <c r="C588" t="n">
        <v>492119</v>
      </c>
      <c r="D588" t="inlineStr">
        <is>
          <t>WASHINGTON</t>
        </is>
      </c>
      <c r="E588" t="inlineStr">
        <is>
          <t>CURTIS</t>
        </is>
      </c>
      <c r="F588">
        <f>CONCATENATE(D588," ",LEFT(H588,4),"T=",AU588,"D=",AV588,"R=",AW588,"M=",AX588,"L=",AY588,"B=",AZ588)</f>
        <v/>
      </c>
      <c r="G588" t="inlineStr">
        <is>
          <t>J</t>
        </is>
      </c>
      <c r="I588" t="inlineStr">
        <is>
          <t>1975-07-28</t>
        </is>
      </c>
      <c r="J588" t="inlineStr">
        <is>
          <t>2024-10-08</t>
        </is>
      </c>
      <c r="K588" t="inlineStr">
        <is>
          <t>ACTIVE</t>
        </is>
      </c>
      <c r="M588" t="inlineStr">
        <is>
          <t>743 OAK KNOLL AVE SE</t>
        </is>
      </c>
      <c r="N588">
        <f>RIGHT(M588,LEN(M588)-FIND(" ",M588))</f>
        <v/>
      </c>
      <c r="P588" t="inlineStr">
        <is>
          <t>WARREN</t>
        </is>
      </c>
      <c r="Q588" t="inlineStr">
        <is>
          <t>OH</t>
        </is>
      </c>
      <c r="R588" t="n">
        <v>44484</v>
      </c>
      <c r="AD588" t="inlineStr">
        <is>
          <t>TRUMBULL CAREER &amp; TECH CENTER</t>
        </is>
      </c>
      <c r="AE588" t="inlineStr">
        <is>
          <t>WARREN CITY</t>
        </is>
      </c>
      <c r="AF588" t="inlineStr">
        <is>
          <t>WARREN CITY SD</t>
        </is>
      </c>
      <c r="AH588" t="n">
        <v>14</v>
      </c>
      <c r="AI588" t="n">
        <v>11</v>
      </c>
      <c r="AN588" t="inlineStr">
        <is>
          <t>WARREN</t>
        </is>
      </c>
      <c r="AO588" t="inlineStr">
        <is>
          <t>WARREN CITY 4A</t>
        </is>
      </c>
      <c r="AP588" t="inlineStr">
        <is>
          <t>78-P-ADI</t>
        </is>
      </c>
      <c r="AQ588" t="n">
        <v>9</v>
      </c>
      <c r="AR588" t="n">
        <v>64</v>
      </c>
      <c r="AS588" t="n">
        <v>32</v>
      </c>
      <c r="AU588">
        <f>COUNTA($BA$588:$EH$588)</f>
        <v/>
      </c>
      <c r="AV588">
        <f>COUNTIF($BA$588:$EH$588,"D")</f>
        <v/>
      </c>
      <c r="AW588">
        <f>COUNTIF($BA$588:$EH$588,"R")</f>
        <v/>
      </c>
      <c r="AX588">
        <f>IF(BN588="D",1,0)+IF(BO588="D",1,0)+IF(BT588="D",1,0)+IF(BU588="D",1,0)+IF(BW588="D",1,0)+IF(CC588="D",1,0)+IF(CD588="D",1,0)+IF(CE588="D",1,0)+IF(CF588="D",1,0)+IF(CL588="D",1,0)+IF(CM588="D",1,0)+IF(CQ588="D",1,0)+IF(CR588="D",1,0)+IF(CS588="D",1,0)+IF(CW588="D",1,0)+IF(CX588="D",1,0)+IF(DD588="D",1,0)+IF(DE588="D",1,0)+IF(DJ588="D",1,0)+IF(DK588="D",1,0)+IF(DO588="D",1,0)+IF(DP588="D",1,0)+IF(DQ588="D",1,0)+IF(DW588="D",1,0)+IF(DZ588="D",1,0)+IF(EH588="D",1,0)</f>
        <v/>
      </c>
      <c r="AY588">
        <f>IF(DJ588&lt;&gt;"",1,0)+IF(DK588&lt;&gt;"",1,0)+IF(DM588&lt;&gt;"",1,0)+IF(DO588&lt;&gt;"",1,0)+IF(DP588&lt;&gt;"",1,0)+IF(DQ588&lt;&gt;"",1,0)+IF(DS588&lt;&gt;"",1,0)+IF(DT588&lt;&gt;"",1,0)+IF(DV588&lt;&gt;"",1,0)+IF(DW588&lt;&gt;"",1,0)+IF(DX588&lt;&gt;"",1,0)+IF(DY588&lt;&gt;"",1,0)+IF(DZ588&lt;&gt;"",1,0)+IF(EB588&lt;&gt;"",1,0)+IF(EC588&lt;&gt;"",1,0)+IF(ED588&lt;&gt;"",1,0)+IF(EG588&lt;&gt;"",1,0)+IF(EH588&lt;&gt;"",1,0)</f>
        <v/>
      </c>
      <c r="AZ588">
        <f>IF(EH588&lt;&gt;"",1,0)</f>
        <v/>
      </c>
      <c r="BB588" t="inlineStr">
        <is>
          <t>WARREN-WARD 4</t>
        </is>
      </c>
      <c r="BL588" t="inlineStr">
        <is>
          <t>X</t>
        </is>
      </c>
    </row>
    <row r="589">
      <c r="A589" t="inlineStr">
        <is>
          <t>OH0015758906</t>
        </is>
      </c>
      <c r="B589" t="n">
        <v>78</v>
      </c>
      <c r="C589" t="n">
        <v>245992</v>
      </c>
      <c r="D589" t="inlineStr">
        <is>
          <t>NICHOLL</t>
        </is>
      </c>
      <c r="E589" t="inlineStr">
        <is>
          <t>STEPHANIE</t>
        </is>
      </c>
      <c r="F589">
        <f>CONCATENATE(D589," ",LEFT(H589,4),"T=",AU589,"D=",AV589,"R=",AW589,"M=",AX589,"L=",AY589,"B=",AZ589)</f>
        <v/>
      </c>
      <c r="G589" t="inlineStr">
        <is>
          <t>R</t>
        </is>
      </c>
      <c r="I589" t="inlineStr">
        <is>
          <t>1974-03-20</t>
        </is>
      </c>
      <c r="J589" t="inlineStr">
        <is>
          <t>2015-07-21</t>
        </is>
      </c>
      <c r="K589" t="inlineStr">
        <is>
          <t>ACTIVE</t>
        </is>
      </c>
      <c r="M589" t="inlineStr">
        <is>
          <t>157 LOGAN AVE SE</t>
        </is>
      </c>
      <c r="N589">
        <f>RIGHT(M589,LEN(M589)-FIND(" ",M589))</f>
        <v/>
      </c>
      <c r="P589" t="inlineStr">
        <is>
          <t>WARREN</t>
        </is>
      </c>
      <c r="Q589" t="inlineStr">
        <is>
          <t>OH</t>
        </is>
      </c>
      <c r="R589" t="n">
        <v>44483</v>
      </c>
      <c r="AD589" t="inlineStr">
        <is>
          <t>TRUMBULL CAREER &amp; TECH CENTER</t>
        </is>
      </c>
      <c r="AE589" t="inlineStr">
        <is>
          <t>WARREN CITY</t>
        </is>
      </c>
      <c r="AF589" t="inlineStr">
        <is>
          <t>WARREN CITY SD</t>
        </is>
      </c>
      <c r="AH589" t="n">
        <v>14</v>
      </c>
      <c r="AI589" t="n">
        <v>11</v>
      </c>
      <c r="AN589" t="inlineStr">
        <is>
          <t>WARREN</t>
        </is>
      </c>
      <c r="AO589" t="inlineStr">
        <is>
          <t>WARREN CITY 4A</t>
        </is>
      </c>
      <c r="AP589" t="inlineStr">
        <is>
          <t>78-P-ADI</t>
        </is>
      </c>
      <c r="AQ589" t="n">
        <v>9</v>
      </c>
      <c r="AR589" t="n">
        <v>64</v>
      </c>
      <c r="AS589" t="n">
        <v>32</v>
      </c>
      <c r="AU589">
        <f>COUNTA($BA$589:$EH$589)</f>
        <v/>
      </c>
      <c r="AV589">
        <f>COUNTIF($BA$589:$EH$589,"D")</f>
        <v/>
      </c>
      <c r="AW589">
        <f>COUNTIF($BA$589:$EH$589,"R")</f>
        <v/>
      </c>
      <c r="AX589">
        <f>IF(BN589="D",1,0)+IF(BO589="D",1,0)+IF(BT589="D",1,0)+IF(BU589="D",1,0)+IF(BW589="D",1,0)+IF(CC589="D",1,0)+IF(CD589="D",1,0)+IF(CE589="D",1,0)+IF(CF589="D",1,0)+IF(CL589="D",1,0)+IF(CM589="D",1,0)+IF(CQ589="D",1,0)+IF(CR589="D",1,0)+IF(CS589="D",1,0)+IF(CW589="D",1,0)+IF(CX589="D",1,0)+IF(DD589="D",1,0)+IF(DE589="D",1,0)+IF(DJ589="D",1,0)+IF(DK589="D",1,0)+IF(DO589="D",1,0)+IF(DP589="D",1,0)+IF(DQ589="D",1,0)+IF(DW589="D",1,0)+IF(DZ589="D",1,0)+IF(EH589="D",1,0)</f>
        <v/>
      </c>
      <c r="AY589">
        <f>IF(DJ589&lt;&gt;"",1,0)+IF(DK589&lt;&gt;"",1,0)+IF(DM589&lt;&gt;"",1,0)+IF(DO589&lt;&gt;"",1,0)+IF(DP589&lt;&gt;"",1,0)+IF(DQ589&lt;&gt;"",1,0)+IF(DS589&lt;&gt;"",1,0)+IF(DT589&lt;&gt;"",1,0)+IF(DV589&lt;&gt;"",1,0)+IF(DW589&lt;&gt;"",1,0)+IF(DX589&lt;&gt;"",1,0)+IF(DY589&lt;&gt;"",1,0)+IF(DZ589&lt;&gt;"",1,0)+IF(EB589&lt;&gt;"",1,0)+IF(EC589&lt;&gt;"",1,0)+IF(ED589&lt;&gt;"",1,0)+IF(EG589&lt;&gt;"",1,0)+IF(EH589&lt;&gt;"",1,0)</f>
        <v/>
      </c>
      <c r="AZ589">
        <f>IF(EH589&lt;&gt;"",1,0)</f>
        <v/>
      </c>
      <c r="BB589" t="inlineStr">
        <is>
          <t>WARREN-WARD 4</t>
        </is>
      </c>
      <c r="BD589" t="inlineStr">
        <is>
          <t>X</t>
        </is>
      </c>
      <c r="BL589" t="inlineStr">
        <is>
          <t>X</t>
        </is>
      </c>
      <c r="BY589" t="inlineStr">
        <is>
          <t>D</t>
        </is>
      </c>
      <c r="CA589" t="inlineStr">
        <is>
          <t>X</t>
        </is>
      </c>
      <c r="CP589" t="inlineStr">
        <is>
          <t>X</t>
        </is>
      </c>
      <c r="DC589" t="inlineStr">
        <is>
          <t>X</t>
        </is>
      </c>
      <c r="DI589" t="inlineStr">
        <is>
          <t>X</t>
        </is>
      </c>
      <c r="DN589" t="inlineStr">
        <is>
          <t>X</t>
        </is>
      </c>
      <c r="EF589" t="inlineStr">
        <is>
          <t>X</t>
        </is>
      </c>
    </row>
    <row r="590">
      <c r="A590" t="inlineStr">
        <is>
          <t>OH0020061785</t>
        </is>
      </c>
      <c r="B590" t="n">
        <v>78</v>
      </c>
      <c r="C590" t="n">
        <v>362369</v>
      </c>
      <c r="D590" t="inlineStr">
        <is>
          <t>CASTERLINE</t>
        </is>
      </c>
      <c r="E590" t="inlineStr">
        <is>
          <t>BRANDON</t>
        </is>
      </c>
      <c r="F590">
        <f>CONCATENATE(D590," ",LEFT(H590,4),"T=",AU590,"D=",AV590,"R=",AW590,"M=",AX590,"L=",AY590,"B=",AZ590)</f>
        <v/>
      </c>
      <c r="G590" t="inlineStr">
        <is>
          <t>A</t>
        </is>
      </c>
      <c r="I590" t="inlineStr">
        <is>
          <t>1985-08-18</t>
        </is>
      </c>
      <c r="J590" t="inlineStr">
        <is>
          <t>2022-09-16</t>
        </is>
      </c>
      <c r="K590" t="inlineStr">
        <is>
          <t>ACTIVE</t>
        </is>
      </c>
      <c r="M590" t="inlineStr">
        <is>
          <t>177 LOGAN AVE SE</t>
        </is>
      </c>
      <c r="N590">
        <f>RIGHT(M590,LEN(M590)-FIND(" ",M590))</f>
        <v/>
      </c>
      <c r="P590" t="inlineStr">
        <is>
          <t>WARREN</t>
        </is>
      </c>
      <c r="Q590" t="inlineStr">
        <is>
          <t>OH</t>
        </is>
      </c>
      <c r="R590" t="n">
        <v>44483</v>
      </c>
      <c r="AD590" t="inlineStr">
        <is>
          <t>TRUMBULL CAREER &amp; TECH CENTER</t>
        </is>
      </c>
      <c r="AE590" t="inlineStr">
        <is>
          <t>WARREN CITY</t>
        </is>
      </c>
      <c r="AF590" t="inlineStr">
        <is>
          <t>WARREN CITY SD</t>
        </is>
      </c>
      <c r="AH590" t="n">
        <v>14</v>
      </c>
      <c r="AI590" t="n">
        <v>11</v>
      </c>
      <c r="AN590" t="inlineStr">
        <is>
          <t>WARREN</t>
        </is>
      </c>
      <c r="AO590" t="inlineStr">
        <is>
          <t>WARREN CITY 4A</t>
        </is>
      </c>
      <c r="AP590" t="inlineStr">
        <is>
          <t>78-P-ADI</t>
        </is>
      </c>
      <c r="AQ590" t="n">
        <v>9</v>
      </c>
      <c r="AR590" t="n">
        <v>64</v>
      </c>
      <c r="AS590" t="n">
        <v>32</v>
      </c>
      <c r="AU590">
        <f>COUNTA($BA$590:$EH$590)</f>
        <v/>
      </c>
      <c r="AV590">
        <f>COUNTIF($BA$590:$EH$590,"D")</f>
        <v/>
      </c>
      <c r="AW590">
        <f>COUNTIF($BA$590:$EH$590,"R")</f>
        <v/>
      </c>
      <c r="AX590">
        <f>IF(BN590="D",1,0)+IF(BO590="D",1,0)+IF(BT590="D",1,0)+IF(BU590="D",1,0)+IF(BW590="D",1,0)+IF(CC590="D",1,0)+IF(CD590="D",1,0)+IF(CE590="D",1,0)+IF(CF590="D",1,0)+IF(CL590="D",1,0)+IF(CM590="D",1,0)+IF(CQ590="D",1,0)+IF(CR590="D",1,0)+IF(CS590="D",1,0)+IF(CW590="D",1,0)+IF(CX590="D",1,0)+IF(DD590="D",1,0)+IF(DE590="D",1,0)+IF(DJ590="D",1,0)+IF(DK590="D",1,0)+IF(DO590="D",1,0)+IF(DP590="D",1,0)+IF(DQ590="D",1,0)+IF(DW590="D",1,0)+IF(DZ590="D",1,0)+IF(EH590="D",1,0)</f>
        <v/>
      </c>
      <c r="AY590">
        <f>IF(DJ590&lt;&gt;"",1,0)+IF(DK590&lt;&gt;"",1,0)+IF(DM590&lt;&gt;"",1,0)+IF(DO590&lt;&gt;"",1,0)+IF(DP590&lt;&gt;"",1,0)+IF(DQ590&lt;&gt;"",1,0)+IF(DS590&lt;&gt;"",1,0)+IF(DT590&lt;&gt;"",1,0)+IF(DV590&lt;&gt;"",1,0)+IF(DW590&lt;&gt;"",1,0)+IF(DX590&lt;&gt;"",1,0)+IF(DY590&lt;&gt;"",1,0)+IF(DZ590&lt;&gt;"",1,0)+IF(EB590&lt;&gt;"",1,0)+IF(EC590&lt;&gt;"",1,0)+IF(ED590&lt;&gt;"",1,0)+IF(EG590&lt;&gt;"",1,0)+IF(EH590&lt;&gt;"",1,0)</f>
        <v/>
      </c>
      <c r="AZ590">
        <f>IF(EH590&lt;&gt;"",1,0)</f>
        <v/>
      </c>
      <c r="BB590" t="inlineStr">
        <is>
          <t>WARREN-WARD 4</t>
        </is>
      </c>
      <c r="BL590" t="inlineStr">
        <is>
          <t>X</t>
        </is>
      </c>
    </row>
    <row r="591">
      <c r="A591" t="inlineStr">
        <is>
          <t>OH0023914241</t>
        </is>
      </c>
      <c r="B591" t="n">
        <v>78</v>
      </c>
      <c r="C591" t="n">
        <v>419876</v>
      </c>
      <c r="D591" t="inlineStr">
        <is>
          <t>FRAZESKOS</t>
        </is>
      </c>
      <c r="E591" t="inlineStr">
        <is>
          <t>FRANCESCA</t>
        </is>
      </c>
      <c r="F591">
        <f>CONCATENATE(D591," ",LEFT(H591,4),"T=",AU591,"D=",AV591,"R=",AW591,"M=",AX591,"L=",AY591,"B=",AZ591)</f>
        <v/>
      </c>
      <c r="G591" t="inlineStr">
        <is>
          <t>N</t>
        </is>
      </c>
      <c r="I591" t="inlineStr">
        <is>
          <t>1998-06-02</t>
        </is>
      </c>
      <c r="J591" t="inlineStr">
        <is>
          <t>2023-08-01</t>
        </is>
      </c>
      <c r="K591" t="inlineStr">
        <is>
          <t>ACTIVE</t>
        </is>
      </c>
      <c r="M591" t="inlineStr">
        <is>
          <t>740 WOODBINE AVE SE</t>
        </is>
      </c>
      <c r="N591">
        <f>RIGHT(M591,LEN(M591)-FIND(" ",M591))</f>
        <v/>
      </c>
      <c r="P591" t="inlineStr">
        <is>
          <t>WARREN</t>
        </is>
      </c>
      <c r="Q591" t="inlineStr">
        <is>
          <t>OH</t>
        </is>
      </c>
      <c r="R591" t="n">
        <v>44484</v>
      </c>
      <c r="AD591" t="inlineStr">
        <is>
          <t>TRUMBULL CAREER &amp; TECH CENTER</t>
        </is>
      </c>
      <c r="AE591" t="inlineStr">
        <is>
          <t>WARREN CITY</t>
        </is>
      </c>
      <c r="AF591" t="inlineStr">
        <is>
          <t>WARREN CITY SD</t>
        </is>
      </c>
      <c r="AH591" t="n">
        <v>14</v>
      </c>
      <c r="AI591" t="n">
        <v>11</v>
      </c>
      <c r="AN591" t="inlineStr">
        <is>
          <t>WARREN</t>
        </is>
      </c>
      <c r="AO591" t="inlineStr">
        <is>
          <t>WARREN CITY 4A</t>
        </is>
      </c>
      <c r="AP591" t="inlineStr">
        <is>
          <t>78-P-ADI</t>
        </is>
      </c>
      <c r="AQ591" t="n">
        <v>9</v>
      </c>
      <c r="AR591" t="n">
        <v>64</v>
      </c>
      <c r="AS591" t="n">
        <v>32</v>
      </c>
      <c r="AU591">
        <f>COUNTA($BA$591:$EH$591)</f>
        <v/>
      </c>
      <c r="AV591">
        <f>COUNTIF($BA$591:$EH$591,"D")</f>
        <v/>
      </c>
      <c r="AW591">
        <f>COUNTIF($BA$591:$EH$591,"R")</f>
        <v/>
      </c>
      <c r="AX591">
        <f>IF(BN591="D",1,0)+IF(BO591="D",1,0)+IF(BT591="D",1,0)+IF(BU591="D",1,0)+IF(BW591="D",1,0)+IF(CC591="D",1,0)+IF(CD591="D",1,0)+IF(CE591="D",1,0)+IF(CF591="D",1,0)+IF(CL591="D",1,0)+IF(CM591="D",1,0)+IF(CQ591="D",1,0)+IF(CR591="D",1,0)+IF(CS591="D",1,0)+IF(CW591="D",1,0)+IF(CX591="D",1,0)+IF(DD591="D",1,0)+IF(DE591="D",1,0)+IF(DJ591="D",1,0)+IF(DK591="D",1,0)+IF(DO591="D",1,0)+IF(DP591="D",1,0)+IF(DQ591="D",1,0)+IF(DW591="D",1,0)+IF(DZ591="D",1,0)+IF(EH591="D",1,0)</f>
        <v/>
      </c>
      <c r="AY591">
        <f>IF(DJ591&lt;&gt;"",1,0)+IF(DK591&lt;&gt;"",1,0)+IF(DM591&lt;&gt;"",1,0)+IF(DO591&lt;&gt;"",1,0)+IF(DP591&lt;&gt;"",1,0)+IF(DQ591&lt;&gt;"",1,0)+IF(DS591&lt;&gt;"",1,0)+IF(DT591&lt;&gt;"",1,0)+IF(DV591&lt;&gt;"",1,0)+IF(DW591&lt;&gt;"",1,0)+IF(DX591&lt;&gt;"",1,0)+IF(DY591&lt;&gt;"",1,0)+IF(DZ591&lt;&gt;"",1,0)+IF(EB591&lt;&gt;"",1,0)+IF(EC591&lt;&gt;"",1,0)+IF(ED591&lt;&gt;"",1,0)+IF(EG591&lt;&gt;"",1,0)+IF(EH591&lt;&gt;"",1,0)</f>
        <v/>
      </c>
      <c r="AZ591">
        <f>IF(EH591&lt;&gt;"",1,0)</f>
        <v/>
      </c>
      <c r="BB591" t="inlineStr">
        <is>
          <t>WARREN-WARD 4</t>
        </is>
      </c>
      <c r="DC591" t="inlineStr">
        <is>
          <t>X</t>
        </is>
      </c>
      <c r="DI591" t="inlineStr">
        <is>
          <t>X</t>
        </is>
      </c>
      <c r="DN591" t="inlineStr">
        <is>
          <t>X</t>
        </is>
      </c>
      <c r="DU591" t="inlineStr">
        <is>
          <t>X</t>
        </is>
      </c>
      <c r="EA591" t="inlineStr">
        <is>
          <t>X</t>
        </is>
      </c>
      <c r="EF591" t="inlineStr">
        <is>
          <t>X</t>
        </is>
      </c>
    </row>
    <row r="592">
      <c r="A592" t="inlineStr">
        <is>
          <t>OH0026817993</t>
        </is>
      </c>
      <c r="B592" t="n">
        <v>78</v>
      </c>
      <c r="C592" t="n">
        <v>470897</v>
      </c>
      <c r="D592" t="inlineStr">
        <is>
          <t>SCHULLER</t>
        </is>
      </c>
      <c r="E592" t="inlineStr">
        <is>
          <t>BRAYLEN</t>
        </is>
      </c>
      <c r="F592">
        <f>CONCATENATE(D592," ",LEFT(H592,4),"T=",AU592,"D=",AV592,"R=",AW592,"M=",AX592,"L=",AY592,"B=",AZ592)</f>
        <v/>
      </c>
      <c r="G592" t="inlineStr">
        <is>
          <t>A</t>
        </is>
      </c>
      <c r="I592" t="inlineStr">
        <is>
          <t>2004-12-15</t>
        </is>
      </c>
      <c r="J592" t="inlineStr">
        <is>
          <t>2023-02-15</t>
        </is>
      </c>
      <c r="K592" t="inlineStr">
        <is>
          <t>ACTIVE</t>
        </is>
      </c>
      <c r="M592" t="inlineStr">
        <is>
          <t>526 OAK KNOLL AVE SE</t>
        </is>
      </c>
      <c r="N592">
        <f>RIGHT(M592,LEN(M592)-FIND(" ",M592))</f>
        <v/>
      </c>
      <c r="P592" t="inlineStr">
        <is>
          <t>WARREN</t>
        </is>
      </c>
      <c r="Q592" t="inlineStr">
        <is>
          <t>OH</t>
        </is>
      </c>
      <c r="R592" t="n">
        <v>44483</v>
      </c>
      <c r="AD592" t="inlineStr">
        <is>
          <t>TRUMBULL CAREER &amp; TECH CENTER</t>
        </is>
      </c>
      <c r="AE592" t="inlineStr">
        <is>
          <t>WARREN CITY</t>
        </is>
      </c>
      <c r="AF592" t="inlineStr">
        <is>
          <t>WARREN CITY SD</t>
        </is>
      </c>
      <c r="AH592" t="n">
        <v>14</v>
      </c>
      <c r="AI592" t="n">
        <v>11</v>
      </c>
      <c r="AN592" t="inlineStr">
        <is>
          <t>WARREN</t>
        </is>
      </c>
      <c r="AO592" t="inlineStr">
        <is>
          <t>WARREN CITY 4A</t>
        </is>
      </c>
      <c r="AP592" t="inlineStr">
        <is>
          <t>78-P-ADI</t>
        </is>
      </c>
      <c r="AQ592" t="n">
        <v>9</v>
      </c>
      <c r="AR592" t="n">
        <v>64</v>
      </c>
      <c r="AS592" t="n">
        <v>32</v>
      </c>
      <c r="AU592">
        <f>COUNTA($BA$592:$EH$592)</f>
        <v/>
      </c>
      <c r="AV592">
        <f>COUNTIF($BA$592:$EH$592,"D")</f>
        <v/>
      </c>
      <c r="AW592">
        <f>COUNTIF($BA$592:$EH$592,"R")</f>
        <v/>
      </c>
      <c r="AX592">
        <f>IF(BN592="D",1,0)+IF(BO592="D",1,0)+IF(BT592="D",1,0)+IF(BU592="D",1,0)+IF(BW592="D",1,0)+IF(CC592="D",1,0)+IF(CD592="D",1,0)+IF(CE592="D",1,0)+IF(CF592="D",1,0)+IF(CL592="D",1,0)+IF(CM592="D",1,0)+IF(CQ592="D",1,0)+IF(CR592="D",1,0)+IF(CS592="D",1,0)+IF(CW592="D",1,0)+IF(CX592="D",1,0)+IF(DD592="D",1,0)+IF(DE592="D",1,0)+IF(DJ592="D",1,0)+IF(DK592="D",1,0)+IF(DO592="D",1,0)+IF(DP592="D",1,0)+IF(DQ592="D",1,0)+IF(DW592="D",1,0)+IF(DZ592="D",1,0)+IF(EH592="D",1,0)</f>
        <v/>
      </c>
      <c r="AY592">
        <f>IF(DJ592&lt;&gt;"",1,0)+IF(DK592&lt;&gt;"",1,0)+IF(DM592&lt;&gt;"",1,0)+IF(DO592&lt;&gt;"",1,0)+IF(DP592&lt;&gt;"",1,0)+IF(DQ592&lt;&gt;"",1,0)+IF(DS592&lt;&gt;"",1,0)+IF(DT592&lt;&gt;"",1,0)+IF(DV592&lt;&gt;"",1,0)+IF(DW592&lt;&gt;"",1,0)+IF(DX592&lt;&gt;"",1,0)+IF(DY592&lt;&gt;"",1,0)+IF(DZ592&lt;&gt;"",1,0)+IF(EB592&lt;&gt;"",1,0)+IF(EC592&lt;&gt;"",1,0)+IF(ED592&lt;&gt;"",1,0)+IF(EG592&lt;&gt;"",1,0)+IF(EH592&lt;&gt;"",1,0)</f>
        <v/>
      </c>
      <c r="AZ592">
        <f>IF(EH592&lt;&gt;"",1,0)</f>
        <v/>
      </c>
      <c r="BB592" t="inlineStr">
        <is>
          <t>WARREN-WARD 4</t>
        </is>
      </c>
      <c r="EF592" t="inlineStr">
        <is>
          <t>X</t>
        </is>
      </c>
    </row>
    <row r="593">
      <c r="A593" t="inlineStr">
        <is>
          <t>OH0020819986</t>
        </is>
      </c>
      <c r="B593" t="n">
        <v>78</v>
      </c>
      <c r="C593" t="n">
        <v>370393</v>
      </c>
      <c r="D593" t="inlineStr">
        <is>
          <t>BARNES</t>
        </is>
      </c>
      <c r="E593" t="inlineStr">
        <is>
          <t>JOHN</t>
        </is>
      </c>
      <c r="F593">
        <f>CONCATENATE(D593," ",LEFT(H593,4),"T=",AU593,"D=",AV593,"R=",AW593,"M=",AX593,"L=",AY593,"B=",AZ593)</f>
        <v/>
      </c>
      <c r="G593" t="inlineStr">
        <is>
          <t>DOUGLAS</t>
        </is>
      </c>
      <c r="I593" t="inlineStr">
        <is>
          <t>1962-07-26</t>
        </is>
      </c>
      <c r="J593" t="inlineStr">
        <is>
          <t>2020-07-07</t>
        </is>
      </c>
      <c r="K593" t="inlineStr">
        <is>
          <t>ACTIVE</t>
        </is>
      </c>
      <c r="M593" t="inlineStr">
        <is>
          <t>817 EAST AVE SE</t>
        </is>
      </c>
      <c r="N593">
        <f>RIGHT(M593,LEN(M593)-FIND(" ",M593))</f>
        <v/>
      </c>
      <c r="P593" t="inlineStr">
        <is>
          <t>WARREN</t>
        </is>
      </c>
      <c r="Q593" t="inlineStr">
        <is>
          <t>OH</t>
        </is>
      </c>
      <c r="R593" t="n">
        <v>44484</v>
      </c>
      <c r="AD593" t="inlineStr">
        <is>
          <t>TRUMBULL CAREER &amp; TECH CENTER</t>
        </is>
      </c>
      <c r="AE593" t="inlineStr">
        <is>
          <t>WARREN CITY</t>
        </is>
      </c>
      <c r="AF593" t="inlineStr">
        <is>
          <t>WARREN CITY SD</t>
        </is>
      </c>
      <c r="AH593" t="n">
        <v>14</v>
      </c>
      <c r="AI593" t="n">
        <v>11</v>
      </c>
      <c r="AN593" t="inlineStr">
        <is>
          <t>WARREN</t>
        </is>
      </c>
      <c r="AO593" t="inlineStr">
        <is>
          <t>WARREN CITY 4A</t>
        </is>
      </c>
      <c r="AP593" t="inlineStr">
        <is>
          <t>78-P-ADI</t>
        </is>
      </c>
      <c r="AQ593" t="n">
        <v>9</v>
      </c>
      <c r="AR593" t="n">
        <v>64</v>
      </c>
      <c r="AS593" t="n">
        <v>32</v>
      </c>
      <c r="AU593">
        <f>COUNTA($BA$593:$EH$593)</f>
        <v/>
      </c>
      <c r="AV593">
        <f>COUNTIF($BA$593:$EH$593,"D")</f>
        <v/>
      </c>
      <c r="AW593">
        <f>COUNTIF($BA$593:$EH$593,"R")</f>
        <v/>
      </c>
      <c r="AX593">
        <f>IF(BN593="D",1,0)+IF(BO593="D",1,0)+IF(BT593="D",1,0)+IF(BU593="D",1,0)+IF(BW593="D",1,0)+IF(CC593="D",1,0)+IF(CD593="D",1,0)+IF(CE593="D",1,0)+IF(CF593="D",1,0)+IF(CL593="D",1,0)+IF(CM593="D",1,0)+IF(CQ593="D",1,0)+IF(CR593="D",1,0)+IF(CS593="D",1,0)+IF(CW593="D",1,0)+IF(CX593="D",1,0)+IF(DD593="D",1,0)+IF(DE593="D",1,0)+IF(DJ593="D",1,0)+IF(DK593="D",1,0)+IF(DO593="D",1,0)+IF(DP593="D",1,0)+IF(DQ593="D",1,0)+IF(DW593="D",1,0)+IF(DZ593="D",1,0)+IF(EH593="D",1,0)</f>
        <v/>
      </c>
      <c r="AY593">
        <f>IF(DJ593&lt;&gt;"",1,0)+IF(DK593&lt;&gt;"",1,0)+IF(DM593&lt;&gt;"",1,0)+IF(DO593&lt;&gt;"",1,0)+IF(DP593&lt;&gt;"",1,0)+IF(DQ593&lt;&gt;"",1,0)+IF(DS593&lt;&gt;"",1,0)+IF(DT593&lt;&gt;"",1,0)+IF(DV593&lt;&gt;"",1,0)+IF(DW593&lt;&gt;"",1,0)+IF(DX593&lt;&gt;"",1,0)+IF(DY593&lt;&gt;"",1,0)+IF(DZ593&lt;&gt;"",1,0)+IF(EB593&lt;&gt;"",1,0)+IF(EC593&lt;&gt;"",1,0)+IF(ED593&lt;&gt;"",1,0)+IF(EG593&lt;&gt;"",1,0)+IF(EH593&lt;&gt;"",1,0)</f>
        <v/>
      </c>
      <c r="AZ593">
        <f>IF(EH593&lt;&gt;"",1,0)</f>
        <v/>
      </c>
      <c r="BB593" t="inlineStr">
        <is>
          <t>WARREN-WARD 4</t>
        </is>
      </c>
      <c r="BC593" t="inlineStr">
        <is>
          <t>X</t>
        </is>
      </c>
      <c r="BD593" t="inlineStr">
        <is>
          <t>X</t>
        </is>
      </c>
      <c r="BE593" t="inlineStr">
        <is>
          <t>X</t>
        </is>
      </c>
      <c r="BH593" t="inlineStr">
        <is>
          <t>X</t>
        </is>
      </c>
      <c r="BJ593" t="inlineStr">
        <is>
          <t>X</t>
        </is>
      </c>
      <c r="BL593" t="inlineStr">
        <is>
          <t>X</t>
        </is>
      </c>
      <c r="BS593" t="inlineStr">
        <is>
          <t>X</t>
        </is>
      </c>
      <c r="BY593" t="inlineStr">
        <is>
          <t>D</t>
        </is>
      </c>
      <c r="CA593" t="inlineStr">
        <is>
          <t>X</t>
        </is>
      </c>
      <c r="CH593" t="inlineStr">
        <is>
          <t>D</t>
        </is>
      </c>
      <c r="CK593" t="inlineStr">
        <is>
          <t>X</t>
        </is>
      </c>
      <c r="CP593" t="inlineStr">
        <is>
          <t>X</t>
        </is>
      </c>
      <c r="CU593" t="inlineStr">
        <is>
          <t>D</t>
        </is>
      </c>
      <c r="CV593" t="inlineStr">
        <is>
          <t>X</t>
        </is>
      </c>
      <c r="CZ593" t="inlineStr">
        <is>
          <t>D</t>
        </is>
      </c>
      <c r="DC593" t="inlineStr">
        <is>
          <t>X</t>
        </is>
      </c>
      <c r="DN593" t="inlineStr">
        <is>
          <t>X</t>
        </is>
      </c>
      <c r="DU593" t="inlineStr">
        <is>
          <t>X</t>
        </is>
      </c>
      <c r="EA593" t="inlineStr">
        <is>
          <t>X</t>
        </is>
      </c>
    </row>
    <row r="594">
      <c r="A594" t="inlineStr">
        <is>
          <t>OH0025916392</t>
        </is>
      </c>
      <c r="B594" t="n">
        <v>78</v>
      </c>
      <c r="C594" t="n">
        <v>452722</v>
      </c>
      <c r="D594" t="inlineStr">
        <is>
          <t>SCHRAGAL</t>
        </is>
      </c>
      <c r="E594" t="inlineStr">
        <is>
          <t>CHRISTINA</t>
        </is>
      </c>
      <c r="F594">
        <f>CONCATENATE(D594," ",LEFT(H594,4),"T=",AU594,"D=",AV594,"R=",AW594,"M=",AX594,"L=",AY594,"B=",AZ594)</f>
        <v/>
      </c>
      <c r="G594" t="inlineStr">
        <is>
          <t>ANN</t>
        </is>
      </c>
      <c r="I594" t="inlineStr">
        <is>
          <t>1997-08-29</t>
        </is>
      </c>
      <c r="J594" t="inlineStr">
        <is>
          <t>2024-09-23</t>
        </is>
      </c>
      <c r="K594" t="inlineStr">
        <is>
          <t>ACTIVE</t>
        </is>
      </c>
      <c r="M594" t="inlineStr">
        <is>
          <t>511 BONNIE BRAE AVE SE</t>
        </is>
      </c>
      <c r="N594">
        <f>RIGHT(M594,LEN(M594)-FIND(" ",M594))</f>
        <v/>
      </c>
      <c r="P594" t="inlineStr">
        <is>
          <t>WARREN</t>
        </is>
      </c>
      <c r="Q594" t="inlineStr">
        <is>
          <t>OH</t>
        </is>
      </c>
      <c r="R594" t="n">
        <v>44484</v>
      </c>
      <c r="AD594" t="inlineStr">
        <is>
          <t>TRUMBULL CAREER &amp; TECH CENTER</t>
        </is>
      </c>
      <c r="AE594" t="inlineStr">
        <is>
          <t>WARREN CITY</t>
        </is>
      </c>
      <c r="AF594" t="inlineStr">
        <is>
          <t>WARREN CITY SD</t>
        </is>
      </c>
      <c r="AH594" t="n">
        <v>14</v>
      </c>
      <c r="AI594" t="n">
        <v>11</v>
      </c>
      <c r="AN594" t="inlineStr">
        <is>
          <t>WARREN</t>
        </is>
      </c>
      <c r="AO594" t="inlineStr">
        <is>
          <t>WARREN CITY 4A</t>
        </is>
      </c>
      <c r="AP594" t="inlineStr">
        <is>
          <t>78-P-ADI</t>
        </is>
      </c>
      <c r="AQ594" t="n">
        <v>9</v>
      </c>
      <c r="AR594" t="n">
        <v>64</v>
      </c>
      <c r="AS594" t="n">
        <v>32</v>
      </c>
      <c r="AU594">
        <f>COUNTA($BA$594:$EH$594)</f>
        <v/>
      </c>
      <c r="AV594">
        <f>COUNTIF($BA$594:$EH$594,"D")</f>
        <v/>
      </c>
      <c r="AW594">
        <f>COUNTIF($BA$594:$EH$594,"R")</f>
        <v/>
      </c>
      <c r="AX594">
        <f>IF(BN594="D",1,0)+IF(BO594="D",1,0)+IF(BT594="D",1,0)+IF(BU594="D",1,0)+IF(BW594="D",1,0)+IF(CC594="D",1,0)+IF(CD594="D",1,0)+IF(CE594="D",1,0)+IF(CF594="D",1,0)+IF(CL594="D",1,0)+IF(CM594="D",1,0)+IF(CQ594="D",1,0)+IF(CR594="D",1,0)+IF(CS594="D",1,0)+IF(CW594="D",1,0)+IF(CX594="D",1,0)+IF(DD594="D",1,0)+IF(DE594="D",1,0)+IF(DJ594="D",1,0)+IF(DK594="D",1,0)+IF(DO594="D",1,0)+IF(DP594="D",1,0)+IF(DQ594="D",1,0)+IF(DW594="D",1,0)+IF(DZ594="D",1,0)+IF(EH594="D",1,0)</f>
        <v/>
      </c>
      <c r="AY594">
        <f>IF(DJ594&lt;&gt;"",1,0)+IF(DK594&lt;&gt;"",1,0)+IF(DM594&lt;&gt;"",1,0)+IF(DO594&lt;&gt;"",1,0)+IF(DP594&lt;&gt;"",1,0)+IF(DQ594&lt;&gt;"",1,0)+IF(DS594&lt;&gt;"",1,0)+IF(DT594&lt;&gt;"",1,0)+IF(DV594&lt;&gt;"",1,0)+IF(DW594&lt;&gt;"",1,0)+IF(DX594&lt;&gt;"",1,0)+IF(DY594&lt;&gt;"",1,0)+IF(DZ594&lt;&gt;"",1,0)+IF(EB594&lt;&gt;"",1,0)+IF(EC594&lt;&gt;"",1,0)+IF(ED594&lt;&gt;"",1,0)+IF(EG594&lt;&gt;"",1,0)+IF(EH594&lt;&gt;"",1,0)</f>
        <v/>
      </c>
      <c r="AZ594">
        <f>IF(EH594&lt;&gt;"",1,0)</f>
        <v/>
      </c>
      <c r="BB594" t="inlineStr">
        <is>
          <t>WARREN-WARD 4</t>
        </is>
      </c>
      <c r="DN594" t="inlineStr">
        <is>
          <t>X</t>
        </is>
      </c>
      <c r="EF594" t="inlineStr">
        <is>
          <t>X</t>
        </is>
      </c>
    </row>
    <row r="595">
      <c r="A595" t="inlineStr">
        <is>
          <t>OH0024673344</t>
        </is>
      </c>
      <c r="B595" t="n">
        <v>78</v>
      </c>
      <c r="C595" t="n">
        <v>433516</v>
      </c>
      <c r="D595" t="inlineStr">
        <is>
          <t>MORGAN</t>
        </is>
      </c>
      <c r="E595" t="inlineStr">
        <is>
          <t>MALIA</t>
        </is>
      </c>
      <c r="F595">
        <f>CONCATENATE(D595," ",LEFT(H595,4),"T=",AU595,"D=",AV595,"R=",AW595,"M=",AX595,"L=",AY595,"B=",AZ595)</f>
        <v/>
      </c>
      <c r="G595" t="inlineStr">
        <is>
          <t>B</t>
        </is>
      </c>
      <c r="I595" t="inlineStr">
        <is>
          <t>2000-03-02</t>
        </is>
      </c>
      <c r="J595" t="inlineStr">
        <is>
          <t>2018-09-18</t>
        </is>
      </c>
      <c r="K595" t="inlineStr">
        <is>
          <t>ACTIVE</t>
        </is>
      </c>
      <c r="M595" t="inlineStr">
        <is>
          <t>607 OAK KNOLL AVE SE</t>
        </is>
      </c>
      <c r="N595">
        <f>RIGHT(M595,LEN(M595)-FIND(" ",M595))</f>
        <v/>
      </c>
      <c r="P595" t="inlineStr">
        <is>
          <t>WARREN</t>
        </is>
      </c>
      <c r="Q595" t="inlineStr">
        <is>
          <t>OH</t>
        </is>
      </c>
      <c r="R595" t="n">
        <v>44483</v>
      </c>
      <c r="AD595" t="inlineStr">
        <is>
          <t>TRUMBULL CAREER &amp; TECH CENTER</t>
        </is>
      </c>
      <c r="AE595" t="inlineStr">
        <is>
          <t>WARREN CITY</t>
        </is>
      </c>
      <c r="AF595" t="inlineStr">
        <is>
          <t>WARREN CITY SD</t>
        </is>
      </c>
      <c r="AH595" t="n">
        <v>14</v>
      </c>
      <c r="AI595" t="n">
        <v>11</v>
      </c>
      <c r="AN595" t="inlineStr">
        <is>
          <t>WARREN</t>
        </is>
      </c>
      <c r="AO595" t="inlineStr">
        <is>
          <t>WARREN CITY 4A</t>
        </is>
      </c>
      <c r="AP595" t="inlineStr">
        <is>
          <t>78-P-ADI</t>
        </is>
      </c>
      <c r="AQ595" t="n">
        <v>9</v>
      </c>
      <c r="AR595" t="n">
        <v>64</v>
      </c>
      <c r="AS595" t="n">
        <v>32</v>
      </c>
      <c r="AU595">
        <f>COUNTA($BA$595:$EH$595)</f>
        <v/>
      </c>
      <c r="AV595">
        <f>COUNTIF($BA$595:$EH$595,"D")</f>
        <v/>
      </c>
      <c r="AW595">
        <f>COUNTIF($BA$595:$EH$595,"R")</f>
        <v/>
      </c>
      <c r="AX595">
        <f>IF(BN595="D",1,0)+IF(BO595="D",1,0)+IF(BT595="D",1,0)+IF(BU595="D",1,0)+IF(BW595="D",1,0)+IF(CC595="D",1,0)+IF(CD595="D",1,0)+IF(CE595="D",1,0)+IF(CF595="D",1,0)+IF(CL595="D",1,0)+IF(CM595="D",1,0)+IF(CQ595="D",1,0)+IF(CR595="D",1,0)+IF(CS595="D",1,0)+IF(CW595="D",1,0)+IF(CX595="D",1,0)+IF(DD595="D",1,0)+IF(DE595="D",1,0)+IF(DJ595="D",1,0)+IF(DK595="D",1,0)+IF(DO595="D",1,0)+IF(DP595="D",1,0)+IF(DQ595="D",1,0)+IF(DW595="D",1,0)+IF(DZ595="D",1,0)+IF(EH595="D",1,0)</f>
        <v/>
      </c>
      <c r="AY595">
        <f>IF(DJ595&lt;&gt;"",1,0)+IF(DK595&lt;&gt;"",1,0)+IF(DM595&lt;&gt;"",1,0)+IF(DO595&lt;&gt;"",1,0)+IF(DP595&lt;&gt;"",1,0)+IF(DQ595&lt;&gt;"",1,0)+IF(DS595&lt;&gt;"",1,0)+IF(DT595&lt;&gt;"",1,0)+IF(DV595&lt;&gt;"",1,0)+IF(DW595&lt;&gt;"",1,0)+IF(DX595&lt;&gt;"",1,0)+IF(DY595&lt;&gt;"",1,0)+IF(DZ595&lt;&gt;"",1,0)+IF(EB595&lt;&gt;"",1,0)+IF(EC595&lt;&gt;"",1,0)+IF(ED595&lt;&gt;"",1,0)+IF(EG595&lt;&gt;"",1,0)+IF(EH595&lt;&gt;"",1,0)</f>
        <v/>
      </c>
      <c r="AZ595">
        <f>IF(EH595&lt;&gt;"",1,0)</f>
        <v/>
      </c>
      <c r="BB595" t="inlineStr">
        <is>
          <t>WARREN-WARD 4</t>
        </is>
      </c>
      <c r="DI595" t="inlineStr">
        <is>
          <t>X</t>
        </is>
      </c>
      <c r="DX595" t="inlineStr">
        <is>
          <t>X</t>
        </is>
      </c>
      <c r="EA595" t="inlineStr">
        <is>
          <t>X</t>
        </is>
      </c>
      <c r="EF595" t="inlineStr">
        <is>
          <t>X</t>
        </is>
      </c>
    </row>
    <row r="596">
      <c r="A596" t="inlineStr">
        <is>
          <t>OH0027842761</t>
        </is>
      </c>
      <c r="B596" t="n">
        <v>78</v>
      </c>
      <c r="C596" t="n">
        <v>494058</v>
      </c>
      <c r="D596" t="inlineStr">
        <is>
          <t>JONES</t>
        </is>
      </c>
      <c r="E596" t="inlineStr">
        <is>
          <t>STEPHANIE</t>
        </is>
      </c>
      <c r="F596">
        <f>CONCATENATE(D596," ",LEFT(H596,4),"T=",AU596,"D=",AV596,"R=",AW596,"M=",AX596,"L=",AY596,"B=",AZ596)</f>
        <v/>
      </c>
      <c r="G596" t="inlineStr">
        <is>
          <t>JF</t>
        </is>
      </c>
      <c r="I596" t="inlineStr">
        <is>
          <t>1991-12-19</t>
        </is>
      </c>
      <c r="J596" t="inlineStr">
        <is>
          <t>2024-10-24</t>
        </is>
      </c>
      <c r="K596" t="inlineStr">
        <is>
          <t>ACTIVE</t>
        </is>
      </c>
      <c r="M596" t="inlineStr">
        <is>
          <t>1243 SOUTH ST SE</t>
        </is>
      </c>
      <c r="N596">
        <f>RIGHT(M596,LEN(M596)-FIND(" ",M596))</f>
        <v/>
      </c>
      <c r="P596" t="inlineStr">
        <is>
          <t>WARREN</t>
        </is>
      </c>
      <c r="Q596" t="inlineStr">
        <is>
          <t>OH</t>
        </is>
      </c>
      <c r="R596" t="n">
        <v>44483</v>
      </c>
      <c r="AD596" t="inlineStr">
        <is>
          <t>TRUMBULL CAREER &amp; TECH CENTER</t>
        </is>
      </c>
      <c r="AE596" t="inlineStr">
        <is>
          <t>WARREN CITY</t>
        </is>
      </c>
      <c r="AF596" t="inlineStr">
        <is>
          <t>WARREN CITY SD</t>
        </is>
      </c>
      <c r="AH596" t="n">
        <v>14</v>
      </c>
      <c r="AI596" t="n">
        <v>11</v>
      </c>
      <c r="AN596" t="inlineStr">
        <is>
          <t>WARREN</t>
        </is>
      </c>
      <c r="AO596" t="inlineStr">
        <is>
          <t>WARREN CITY 4A</t>
        </is>
      </c>
      <c r="AP596" t="inlineStr">
        <is>
          <t>78-P-ADI</t>
        </is>
      </c>
      <c r="AQ596" t="n">
        <v>9</v>
      </c>
      <c r="AR596" t="n">
        <v>64</v>
      </c>
      <c r="AS596" t="n">
        <v>32</v>
      </c>
      <c r="AU596">
        <f>COUNTA($BA$596:$EH$596)</f>
        <v/>
      </c>
      <c r="AV596">
        <f>COUNTIF($BA$596:$EH$596,"D")</f>
        <v/>
      </c>
      <c r="AW596">
        <f>COUNTIF($BA$596:$EH$596,"R")</f>
        <v/>
      </c>
      <c r="AX596">
        <f>IF(BN596="D",1,0)+IF(BO596="D",1,0)+IF(BT596="D",1,0)+IF(BU596="D",1,0)+IF(BW596="D",1,0)+IF(CC596="D",1,0)+IF(CD596="D",1,0)+IF(CE596="D",1,0)+IF(CF596="D",1,0)+IF(CL596="D",1,0)+IF(CM596="D",1,0)+IF(CQ596="D",1,0)+IF(CR596="D",1,0)+IF(CS596="D",1,0)+IF(CW596="D",1,0)+IF(CX596="D",1,0)+IF(DD596="D",1,0)+IF(DE596="D",1,0)+IF(DJ596="D",1,0)+IF(DK596="D",1,0)+IF(DO596="D",1,0)+IF(DP596="D",1,0)+IF(DQ596="D",1,0)+IF(DW596="D",1,0)+IF(DZ596="D",1,0)+IF(EH596="D",1,0)</f>
        <v/>
      </c>
      <c r="AY596">
        <f>IF(DJ596&lt;&gt;"",1,0)+IF(DK596&lt;&gt;"",1,0)+IF(DM596&lt;&gt;"",1,0)+IF(DO596&lt;&gt;"",1,0)+IF(DP596&lt;&gt;"",1,0)+IF(DQ596&lt;&gt;"",1,0)+IF(DS596&lt;&gt;"",1,0)+IF(DT596&lt;&gt;"",1,0)+IF(DV596&lt;&gt;"",1,0)+IF(DW596&lt;&gt;"",1,0)+IF(DX596&lt;&gt;"",1,0)+IF(DY596&lt;&gt;"",1,0)+IF(DZ596&lt;&gt;"",1,0)+IF(EB596&lt;&gt;"",1,0)+IF(EC596&lt;&gt;"",1,0)+IF(ED596&lt;&gt;"",1,0)+IF(EG596&lt;&gt;"",1,0)+IF(EH596&lt;&gt;"",1,0)</f>
        <v/>
      </c>
      <c r="AZ596">
        <f>IF(EH596&lt;&gt;"",1,0)</f>
        <v/>
      </c>
      <c r="BB596" t="inlineStr">
        <is>
          <t>WARREN-WARD 4</t>
        </is>
      </c>
    </row>
    <row r="597">
      <c r="A597" t="inlineStr">
        <is>
          <t>OH0015785643</t>
        </is>
      </c>
      <c r="B597" t="n">
        <v>78</v>
      </c>
      <c r="C597" t="n">
        <v>309228</v>
      </c>
      <c r="D597" t="inlineStr">
        <is>
          <t>PRIEST</t>
        </is>
      </c>
      <c r="E597" t="inlineStr">
        <is>
          <t>LASHONDA</t>
        </is>
      </c>
      <c r="F597">
        <f>CONCATENATE(D597," ",LEFT(H597,4),"T=",AU597,"D=",AV597,"R=",AW597,"M=",AX597,"L=",AY597,"B=",AZ597)</f>
        <v/>
      </c>
      <c r="G597" t="inlineStr">
        <is>
          <t>ALICIA</t>
        </is>
      </c>
      <c r="I597" t="inlineStr">
        <is>
          <t>1984-08-28</t>
        </is>
      </c>
      <c r="J597" t="inlineStr">
        <is>
          <t>2021-03-10</t>
        </is>
      </c>
      <c r="K597" t="inlineStr">
        <is>
          <t>ACTIVE</t>
        </is>
      </c>
      <c r="M597" t="inlineStr">
        <is>
          <t>308 HOMEWOOD AVE SE</t>
        </is>
      </c>
      <c r="N597">
        <f>RIGHT(M597,LEN(M597)-FIND(" ",M597))</f>
        <v/>
      </c>
      <c r="P597" t="inlineStr">
        <is>
          <t>WARREN</t>
        </is>
      </c>
      <c r="Q597" t="inlineStr">
        <is>
          <t>OH</t>
        </is>
      </c>
      <c r="R597" t="n">
        <v>44483</v>
      </c>
      <c r="AD597" t="inlineStr">
        <is>
          <t>TRUMBULL CAREER &amp; TECH CENTER</t>
        </is>
      </c>
      <c r="AE597" t="inlineStr">
        <is>
          <t>WARREN CITY</t>
        </is>
      </c>
      <c r="AF597" t="inlineStr">
        <is>
          <t>WARREN CITY SD</t>
        </is>
      </c>
      <c r="AH597" t="n">
        <v>14</v>
      </c>
      <c r="AI597" t="n">
        <v>11</v>
      </c>
      <c r="AN597" t="inlineStr">
        <is>
          <t>WARREN</t>
        </is>
      </c>
      <c r="AO597" t="inlineStr">
        <is>
          <t>WARREN CITY 4A</t>
        </is>
      </c>
      <c r="AP597" t="inlineStr">
        <is>
          <t>78-P-ADI</t>
        </is>
      </c>
      <c r="AQ597" t="n">
        <v>9</v>
      </c>
      <c r="AR597" t="n">
        <v>64</v>
      </c>
      <c r="AS597" t="n">
        <v>32</v>
      </c>
      <c r="AU597">
        <f>COUNTA($BA$597:$EH$597)</f>
        <v/>
      </c>
      <c r="AV597">
        <f>COUNTIF($BA$597:$EH$597,"D")</f>
        <v/>
      </c>
      <c r="AW597">
        <f>COUNTIF($BA$597:$EH$597,"R")</f>
        <v/>
      </c>
      <c r="AX597">
        <f>IF(BN597="D",1,0)+IF(BO597="D",1,0)+IF(BT597="D",1,0)+IF(BU597="D",1,0)+IF(BW597="D",1,0)+IF(CC597="D",1,0)+IF(CD597="D",1,0)+IF(CE597="D",1,0)+IF(CF597="D",1,0)+IF(CL597="D",1,0)+IF(CM597="D",1,0)+IF(CQ597="D",1,0)+IF(CR597="D",1,0)+IF(CS597="D",1,0)+IF(CW597="D",1,0)+IF(CX597="D",1,0)+IF(DD597="D",1,0)+IF(DE597="D",1,0)+IF(DJ597="D",1,0)+IF(DK597="D",1,0)+IF(DO597="D",1,0)+IF(DP597="D",1,0)+IF(DQ597="D",1,0)+IF(DW597="D",1,0)+IF(DZ597="D",1,0)+IF(EH597="D",1,0)</f>
        <v/>
      </c>
      <c r="AY597">
        <f>IF(DJ597&lt;&gt;"",1,0)+IF(DK597&lt;&gt;"",1,0)+IF(DM597&lt;&gt;"",1,0)+IF(DO597&lt;&gt;"",1,0)+IF(DP597&lt;&gt;"",1,0)+IF(DQ597&lt;&gt;"",1,0)+IF(DS597&lt;&gt;"",1,0)+IF(DT597&lt;&gt;"",1,0)+IF(DV597&lt;&gt;"",1,0)+IF(DW597&lt;&gt;"",1,0)+IF(DX597&lt;&gt;"",1,0)+IF(DY597&lt;&gt;"",1,0)+IF(DZ597&lt;&gt;"",1,0)+IF(EB597&lt;&gt;"",1,0)+IF(EC597&lt;&gt;"",1,0)+IF(ED597&lt;&gt;"",1,0)+IF(EG597&lt;&gt;"",1,0)+IF(EH597&lt;&gt;"",1,0)</f>
        <v/>
      </c>
      <c r="AZ597">
        <f>IF(EH597&lt;&gt;"",1,0)</f>
        <v/>
      </c>
      <c r="BB597" t="inlineStr">
        <is>
          <t>WARREN-WARD 4</t>
        </is>
      </c>
      <c r="CL597" t="inlineStr">
        <is>
          <t>D</t>
        </is>
      </c>
      <c r="CN597" t="inlineStr">
        <is>
          <t>X</t>
        </is>
      </c>
      <c r="CP597" t="inlineStr">
        <is>
          <t>X</t>
        </is>
      </c>
      <c r="CZ597" t="inlineStr">
        <is>
          <t>D</t>
        </is>
      </c>
      <c r="DC597" t="inlineStr">
        <is>
          <t>X</t>
        </is>
      </c>
      <c r="DI597" t="inlineStr">
        <is>
          <t>X</t>
        </is>
      </c>
      <c r="DL597" t="inlineStr">
        <is>
          <t>X</t>
        </is>
      </c>
      <c r="DN597" t="inlineStr">
        <is>
          <t>X</t>
        </is>
      </c>
      <c r="DU597" t="inlineStr">
        <is>
          <t>X</t>
        </is>
      </c>
    </row>
    <row r="598">
      <c r="A598" t="inlineStr">
        <is>
          <t>OH0027564839</t>
        </is>
      </c>
      <c r="B598" t="n">
        <v>78</v>
      </c>
      <c r="C598" t="n">
        <v>488493</v>
      </c>
      <c r="D598" t="inlineStr">
        <is>
          <t>ANDERSON</t>
        </is>
      </c>
      <c r="E598" t="inlineStr">
        <is>
          <t>AMIR</t>
        </is>
      </c>
      <c r="F598">
        <f>CONCATENATE(D598," ",LEFT(H598,4),"T=",AU598,"D=",AV598,"R=",AW598,"M=",AX598,"L=",AY598,"B=",AZ598)</f>
        <v/>
      </c>
      <c r="G598" t="inlineStr">
        <is>
          <t>D</t>
        </is>
      </c>
      <c r="I598" t="inlineStr">
        <is>
          <t>2006-05-23</t>
        </is>
      </c>
      <c r="J598" t="inlineStr">
        <is>
          <t>2024-09-04</t>
        </is>
      </c>
      <c r="K598" t="inlineStr">
        <is>
          <t>ACTIVE</t>
        </is>
      </c>
      <c r="M598" t="inlineStr">
        <is>
          <t>156 CHARLES AVE SE</t>
        </is>
      </c>
      <c r="N598">
        <f>RIGHT(M598,LEN(M598)-FIND(" ",M598))</f>
        <v/>
      </c>
      <c r="P598" t="inlineStr">
        <is>
          <t>WARREN</t>
        </is>
      </c>
      <c r="Q598" t="inlineStr">
        <is>
          <t>OH</t>
        </is>
      </c>
      <c r="R598" t="n">
        <v>44483</v>
      </c>
      <c r="AD598" t="inlineStr">
        <is>
          <t>TRUMBULL CAREER &amp; TECH CENTER</t>
        </is>
      </c>
      <c r="AE598" t="inlineStr">
        <is>
          <t>WARREN CITY</t>
        </is>
      </c>
      <c r="AF598" t="inlineStr">
        <is>
          <t>WARREN CITY SD</t>
        </is>
      </c>
      <c r="AH598" t="n">
        <v>14</v>
      </c>
      <c r="AI598" t="n">
        <v>11</v>
      </c>
      <c r="AN598" t="inlineStr">
        <is>
          <t>WARREN</t>
        </is>
      </c>
      <c r="AO598" t="inlineStr">
        <is>
          <t>WARREN CITY 4A</t>
        </is>
      </c>
      <c r="AP598" t="inlineStr">
        <is>
          <t>78-P-ADI</t>
        </is>
      </c>
      <c r="AQ598" t="n">
        <v>9</v>
      </c>
      <c r="AR598" t="n">
        <v>64</v>
      </c>
      <c r="AS598" t="n">
        <v>32</v>
      </c>
      <c r="AU598">
        <f>COUNTA($BA$598:$EH$598)</f>
        <v/>
      </c>
      <c r="AV598">
        <f>COUNTIF($BA$598:$EH$598,"D")</f>
        <v/>
      </c>
      <c r="AW598">
        <f>COUNTIF($BA$598:$EH$598,"R")</f>
        <v/>
      </c>
      <c r="AX598">
        <f>IF(BN598="D",1,0)+IF(BO598="D",1,0)+IF(BT598="D",1,0)+IF(BU598="D",1,0)+IF(BW598="D",1,0)+IF(CC598="D",1,0)+IF(CD598="D",1,0)+IF(CE598="D",1,0)+IF(CF598="D",1,0)+IF(CL598="D",1,0)+IF(CM598="D",1,0)+IF(CQ598="D",1,0)+IF(CR598="D",1,0)+IF(CS598="D",1,0)+IF(CW598="D",1,0)+IF(CX598="D",1,0)+IF(DD598="D",1,0)+IF(DE598="D",1,0)+IF(DJ598="D",1,0)+IF(DK598="D",1,0)+IF(DO598="D",1,0)+IF(DP598="D",1,0)+IF(DQ598="D",1,0)+IF(DW598="D",1,0)+IF(DZ598="D",1,0)+IF(EH598="D",1,0)</f>
        <v/>
      </c>
      <c r="AY598">
        <f>IF(DJ598&lt;&gt;"",1,0)+IF(DK598&lt;&gt;"",1,0)+IF(DM598&lt;&gt;"",1,0)+IF(DO598&lt;&gt;"",1,0)+IF(DP598&lt;&gt;"",1,0)+IF(DQ598&lt;&gt;"",1,0)+IF(DS598&lt;&gt;"",1,0)+IF(DT598&lt;&gt;"",1,0)+IF(DV598&lt;&gt;"",1,0)+IF(DW598&lt;&gt;"",1,0)+IF(DX598&lt;&gt;"",1,0)+IF(DY598&lt;&gt;"",1,0)+IF(DZ598&lt;&gt;"",1,0)+IF(EB598&lt;&gt;"",1,0)+IF(EC598&lt;&gt;"",1,0)+IF(ED598&lt;&gt;"",1,0)+IF(EG598&lt;&gt;"",1,0)+IF(EH598&lt;&gt;"",1,0)</f>
        <v/>
      </c>
      <c r="AZ598">
        <f>IF(EH598&lt;&gt;"",1,0)</f>
        <v/>
      </c>
      <c r="BB598" t="inlineStr">
        <is>
          <t>WARREN-WARD 4</t>
        </is>
      </c>
    </row>
    <row r="599">
      <c r="A599" t="inlineStr">
        <is>
          <t>OH0021220645</t>
        </is>
      </c>
      <c r="B599" t="n">
        <v>78</v>
      </c>
      <c r="C599" t="n">
        <v>377492</v>
      </c>
      <c r="D599" t="inlineStr">
        <is>
          <t>SINGLETON</t>
        </is>
      </c>
      <c r="E599" t="inlineStr">
        <is>
          <t>JEANNETTE</t>
        </is>
      </c>
      <c r="F599">
        <f>CONCATENATE(D599," ",LEFT(H599,4),"T=",AU599,"D=",AV599,"R=",AW599,"M=",AX599,"L=",AY599,"B=",AZ599)</f>
        <v/>
      </c>
      <c r="G599" t="inlineStr">
        <is>
          <t>MARIE</t>
        </is>
      </c>
      <c r="I599" t="inlineStr">
        <is>
          <t>1961-03-08</t>
        </is>
      </c>
      <c r="J599" t="inlineStr">
        <is>
          <t>2018-11-28</t>
        </is>
      </c>
      <c r="K599" t="inlineStr">
        <is>
          <t>ACTIVE</t>
        </is>
      </c>
      <c r="L599" t="inlineStr">
        <is>
          <t>D</t>
        </is>
      </c>
      <c r="M599" t="inlineStr">
        <is>
          <t>710 WOODBINE AVE SE</t>
        </is>
      </c>
      <c r="N599">
        <f>RIGHT(M599,LEN(M599)-FIND(" ",M599))</f>
        <v/>
      </c>
      <c r="P599" t="inlineStr">
        <is>
          <t>WARREN</t>
        </is>
      </c>
      <c r="Q599" t="inlineStr">
        <is>
          <t>OH</t>
        </is>
      </c>
      <c r="R599" t="n">
        <v>44484</v>
      </c>
      <c r="AD599" t="inlineStr">
        <is>
          <t>TRUMBULL CAREER &amp; TECH CENTER</t>
        </is>
      </c>
      <c r="AE599" t="inlineStr">
        <is>
          <t>WARREN CITY</t>
        </is>
      </c>
      <c r="AF599" t="inlineStr">
        <is>
          <t>WARREN CITY SD</t>
        </is>
      </c>
      <c r="AH599" t="n">
        <v>14</v>
      </c>
      <c r="AI599" t="n">
        <v>11</v>
      </c>
      <c r="AN599" t="inlineStr">
        <is>
          <t>WARREN</t>
        </is>
      </c>
      <c r="AO599" t="inlineStr">
        <is>
          <t>WARREN CITY 4A</t>
        </is>
      </c>
      <c r="AP599" t="inlineStr">
        <is>
          <t>78-P-ADI</t>
        </is>
      </c>
      <c r="AQ599" t="n">
        <v>9</v>
      </c>
      <c r="AR599" t="n">
        <v>64</v>
      </c>
      <c r="AS599" t="n">
        <v>32</v>
      </c>
      <c r="AU599">
        <f>COUNTA($BA$599:$EH$599)</f>
        <v/>
      </c>
      <c r="AV599">
        <f>COUNTIF($BA$599:$EH$599,"D")</f>
        <v/>
      </c>
      <c r="AW599">
        <f>COUNTIF($BA$599:$EH$599,"R")</f>
        <v/>
      </c>
      <c r="AX599">
        <f>IF(BN599="D",1,0)+IF(BO599="D",1,0)+IF(BT599="D",1,0)+IF(BU599="D",1,0)+IF(BW599="D",1,0)+IF(CC599="D",1,0)+IF(CD599="D",1,0)+IF(CE599="D",1,0)+IF(CF599="D",1,0)+IF(CL599="D",1,0)+IF(CM599="D",1,0)+IF(CQ599="D",1,0)+IF(CR599="D",1,0)+IF(CS599="D",1,0)+IF(CW599="D",1,0)+IF(CX599="D",1,0)+IF(DD599="D",1,0)+IF(DE599="D",1,0)+IF(DJ599="D",1,0)+IF(DK599="D",1,0)+IF(DO599="D",1,0)+IF(DP599="D",1,0)+IF(DQ599="D",1,0)+IF(DW599="D",1,0)+IF(DZ599="D",1,0)+IF(EH599="D",1,0)</f>
        <v/>
      </c>
      <c r="AY599">
        <f>IF(DJ599&lt;&gt;"",1,0)+IF(DK599&lt;&gt;"",1,0)+IF(DM599&lt;&gt;"",1,0)+IF(DO599&lt;&gt;"",1,0)+IF(DP599&lt;&gt;"",1,0)+IF(DQ599&lt;&gt;"",1,0)+IF(DS599&lt;&gt;"",1,0)+IF(DT599&lt;&gt;"",1,0)+IF(DV599&lt;&gt;"",1,0)+IF(DW599&lt;&gt;"",1,0)+IF(DX599&lt;&gt;"",1,0)+IF(DY599&lt;&gt;"",1,0)+IF(DZ599&lt;&gt;"",1,0)+IF(EB599&lt;&gt;"",1,0)+IF(EC599&lt;&gt;"",1,0)+IF(ED599&lt;&gt;"",1,0)+IF(EG599&lt;&gt;"",1,0)+IF(EH599&lt;&gt;"",1,0)</f>
        <v/>
      </c>
      <c r="AZ599">
        <f>IF(EH599&lt;&gt;"",1,0)</f>
        <v/>
      </c>
      <c r="BB599" t="inlineStr">
        <is>
          <t>WARREN-WARD 4</t>
        </is>
      </c>
      <c r="BI599" t="inlineStr">
        <is>
          <t>X</t>
        </is>
      </c>
      <c r="BK599" t="inlineStr">
        <is>
          <t>X</t>
        </is>
      </c>
      <c r="BL599" t="inlineStr">
        <is>
          <t>X</t>
        </is>
      </c>
      <c r="BP599" t="inlineStr">
        <is>
          <t>X</t>
        </is>
      </c>
      <c r="BR599" t="inlineStr">
        <is>
          <t>D</t>
        </is>
      </c>
      <c r="BT599" t="inlineStr">
        <is>
          <t>X</t>
        </is>
      </c>
      <c r="BV599" t="inlineStr">
        <is>
          <t>X</t>
        </is>
      </c>
      <c r="BY599" t="inlineStr">
        <is>
          <t>D</t>
        </is>
      </c>
      <c r="CA599" t="inlineStr">
        <is>
          <t>X</t>
        </is>
      </c>
      <c r="CK599" t="inlineStr">
        <is>
          <t>X</t>
        </is>
      </c>
      <c r="CP599" t="inlineStr">
        <is>
          <t>X</t>
        </is>
      </c>
      <c r="CZ599" t="inlineStr">
        <is>
          <t>D</t>
        </is>
      </c>
      <c r="DI599" t="inlineStr">
        <is>
          <t>X</t>
        </is>
      </c>
      <c r="DM599" t="inlineStr">
        <is>
          <t>D</t>
        </is>
      </c>
      <c r="DN599" t="inlineStr">
        <is>
          <t>X</t>
        </is>
      </c>
      <c r="DR599" t="inlineStr">
        <is>
          <t>X</t>
        </is>
      </c>
      <c r="DS599" t="inlineStr">
        <is>
          <t>D</t>
        </is>
      </c>
      <c r="DU599" t="inlineStr">
        <is>
          <t>X</t>
        </is>
      </c>
      <c r="DW599" t="inlineStr">
        <is>
          <t>D</t>
        </is>
      </c>
      <c r="DX599" t="inlineStr">
        <is>
          <t>X</t>
        </is>
      </c>
      <c r="EA599" t="inlineStr">
        <is>
          <t>X</t>
        </is>
      </c>
      <c r="ED599" t="inlineStr">
        <is>
          <t>D</t>
        </is>
      </c>
      <c r="EF599" t="inlineStr">
        <is>
          <t>X</t>
        </is>
      </c>
    </row>
    <row r="600">
      <c r="A600" t="inlineStr">
        <is>
          <t>OH0015802095</t>
        </is>
      </c>
      <c r="B600" t="n">
        <v>78</v>
      </c>
      <c r="C600" t="n">
        <v>90376</v>
      </c>
      <c r="D600" t="inlineStr">
        <is>
          <t>SINGELIS</t>
        </is>
      </c>
      <c r="E600" t="inlineStr">
        <is>
          <t>JAMES</t>
        </is>
      </c>
      <c r="F600">
        <f>CONCATENATE(D600," ",LEFT(H600,4),"T=",AU600,"D=",AV600,"R=",AW600,"M=",AX600,"L=",AY600,"B=",AZ600)</f>
        <v/>
      </c>
      <c r="I600" t="inlineStr">
        <is>
          <t>1953-08-07</t>
        </is>
      </c>
      <c r="J600" t="inlineStr">
        <is>
          <t>2008-03-04</t>
        </is>
      </c>
      <c r="K600" t="inlineStr">
        <is>
          <t>ACTIVE</t>
        </is>
      </c>
      <c r="L600" t="inlineStr">
        <is>
          <t>R</t>
        </is>
      </c>
      <c r="M600" t="inlineStr">
        <is>
          <t>185 WOODBINE AVE SE</t>
        </is>
      </c>
      <c r="N600">
        <f>RIGHT(M600,LEN(M600)-FIND(" ",M600))</f>
        <v/>
      </c>
      <c r="P600" t="inlineStr">
        <is>
          <t>WARREN</t>
        </is>
      </c>
      <c r="Q600" t="inlineStr">
        <is>
          <t>OH</t>
        </is>
      </c>
      <c r="R600" t="n">
        <v>44483</v>
      </c>
      <c r="AD600" t="inlineStr">
        <is>
          <t>TRUMBULL CAREER &amp; TECH CENTER</t>
        </is>
      </c>
      <c r="AE600" t="inlineStr">
        <is>
          <t>WARREN CITY</t>
        </is>
      </c>
      <c r="AF600" t="inlineStr">
        <is>
          <t>WARREN CITY SD</t>
        </is>
      </c>
      <c r="AH600" t="n">
        <v>14</v>
      </c>
      <c r="AI600" t="n">
        <v>11</v>
      </c>
      <c r="AN600" t="inlineStr">
        <is>
          <t>WARREN</t>
        </is>
      </c>
      <c r="AO600" t="inlineStr">
        <is>
          <t>WARREN CITY 4A</t>
        </is>
      </c>
      <c r="AP600" t="inlineStr">
        <is>
          <t>78-P-ADI</t>
        </is>
      </c>
      <c r="AQ600" t="n">
        <v>9</v>
      </c>
      <c r="AR600" t="n">
        <v>64</v>
      </c>
      <c r="AS600" t="n">
        <v>32</v>
      </c>
      <c r="AU600">
        <f>COUNTA($BA$600:$EH$600)</f>
        <v/>
      </c>
      <c r="AV600">
        <f>COUNTIF($BA$600:$EH$600,"D")</f>
        <v/>
      </c>
      <c r="AW600">
        <f>COUNTIF($BA$600:$EH$600,"R")</f>
        <v/>
      </c>
      <c r="AX600">
        <f>IF(BN600="D",1,0)+IF(BO600="D",1,0)+IF(BT600="D",1,0)+IF(BU600="D",1,0)+IF(BW600="D",1,0)+IF(CC600="D",1,0)+IF(CD600="D",1,0)+IF(CE600="D",1,0)+IF(CF600="D",1,0)+IF(CL600="D",1,0)+IF(CM600="D",1,0)+IF(CQ600="D",1,0)+IF(CR600="D",1,0)+IF(CS600="D",1,0)+IF(CW600="D",1,0)+IF(CX600="D",1,0)+IF(DD600="D",1,0)+IF(DE600="D",1,0)+IF(DJ600="D",1,0)+IF(DK600="D",1,0)+IF(DO600="D",1,0)+IF(DP600="D",1,0)+IF(DQ600="D",1,0)+IF(DW600="D",1,0)+IF(DZ600="D",1,0)+IF(EH600="D",1,0)</f>
        <v/>
      </c>
      <c r="AY600">
        <f>IF(DJ600&lt;&gt;"",1,0)+IF(DK600&lt;&gt;"",1,0)+IF(DM600&lt;&gt;"",1,0)+IF(DO600&lt;&gt;"",1,0)+IF(DP600&lt;&gt;"",1,0)+IF(DQ600&lt;&gt;"",1,0)+IF(DS600&lt;&gt;"",1,0)+IF(DT600&lt;&gt;"",1,0)+IF(DV600&lt;&gt;"",1,0)+IF(DW600&lt;&gt;"",1,0)+IF(DX600&lt;&gt;"",1,0)+IF(DY600&lt;&gt;"",1,0)+IF(DZ600&lt;&gt;"",1,0)+IF(EB600&lt;&gt;"",1,0)+IF(EC600&lt;&gt;"",1,0)+IF(ED600&lt;&gt;"",1,0)+IF(EG600&lt;&gt;"",1,0)+IF(EH600&lt;&gt;"",1,0)</f>
        <v/>
      </c>
      <c r="AZ600">
        <f>IF(EH600&lt;&gt;"",1,0)</f>
        <v/>
      </c>
      <c r="BB600" t="inlineStr">
        <is>
          <t>WARREN-WARD 4</t>
        </is>
      </c>
      <c r="BD600" t="inlineStr">
        <is>
          <t>X</t>
        </is>
      </c>
      <c r="BH600" t="inlineStr">
        <is>
          <t>X</t>
        </is>
      </c>
      <c r="BK600" t="inlineStr">
        <is>
          <t>X</t>
        </is>
      </c>
      <c r="BL600" t="inlineStr">
        <is>
          <t>X</t>
        </is>
      </c>
      <c r="BP600" t="inlineStr">
        <is>
          <t>X</t>
        </is>
      </c>
      <c r="BR600" t="inlineStr">
        <is>
          <t>X</t>
        </is>
      </c>
      <c r="BS600" t="inlineStr">
        <is>
          <t>X</t>
        </is>
      </c>
      <c r="BY600" t="inlineStr">
        <is>
          <t>R</t>
        </is>
      </c>
      <c r="CA600" t="inlineStr">
        <is>
          <t>X</t>
        </is>
      </c>
      <c r="CG600" t="inlineStr">
        <is>
          <t>X</t>
        </is>
      </c>
      <c r="CH600" t="inlineStr">
        <is>
          <t>R</t>
        </is>
      </c>
      <c r="CK600" t="inlineStr">
        <is>
          <t>X</t>
        </is>
      </c>
      <c r="CP600" t="inlineStr">
        <is>
          <t>X</t>
        </is>
      </c>
      <c r="CZ600" t="inlineStr">
        <is>
          <t>R</t>
        </is>
      </c>
      <c r="DC600" t="inlineStr">
        <is>
          <t>X</t>
        </is>
      </c>
      <c r="DI600" t="inlineStr">
        <is>
          <t>X</t>
        </is>
      </c>
      <c r="DJ600" t="inlineStr">
        <is>
          <t>D</t>
        </is>
      </c>
      <c r="DL600" t="inlineStr">
        <is>
          <t>X</t>
        </is>
      </c>
      <c r="DM600" t="inlineStr">
        <is>
          <t>R</t>
        </is>
      </c>
      <c r="DN600" t="inlineStr">
        <is>
          <t>X</t>
        </is>
      </c>
      <c r="DR600" t="inlineStr">
        <is>
          <t>X</t>
        </is>
      </c>
      <c r="DU600" t="inlineStr">
        <is>
          <t>X</t>
        </is>
      </c>
      <c r="EA600" t="inlineStr">
        <is>
          <t>X</t>
        </is>
      </c>
      <c r="ED600" t="inlineStr">
        <is>
          <t>R</t>
        </is>
      </c>
      <c r="EF600" t="inlineStr">
        <is>
          <t>X</t>
        </is>
      </c>
    </row>
    <row r="601">
      <c r="A601" t="inlineStr">
        <is>
          <t>OH0027140928</t>
        </is>
      </c>
      <c r="B601" t="n">
        <v>78</v>
      </c>
      <c r="C601" t="n">
        <v>477842</v>
      </c>
      <c r="D601" t="inlineStr">
        <is>
          <t>GOSS</t>
        </is>
      </c>
      <c r="E601" t="inlineStr">
        <is>
          <t>DRAKAYNE</t>
        </is>
      </c>
      <c r="F601">
        <f>CONCATENATE(D601," ",LEFT(H601,4),"T=",AU601,"D=",AV601,"R=",AW601,"M=",AX601,"L=",AY601,"B=",AZ601)</f>
        <v/>
      </c>
      <c r="G601" t="inlineStr">
        <is>
          <t>COY</t>
        </is>
      </c>
      <c r="I601" t="inlineStr">
        <is>
          <t>2005-03-01</t>
        </is>
      </c>
      <c r="J601" t="inlineStr">
        <is>
          <t>2023-10-03</t>
        </is>
      </c>
      <c r="K601" t="inlineStr">
        <is>
          <t>ACTIVE</t>
        </is>
      </c>
      <c r="M601" t="inlineStr">
        <is>
          <t>891 OAK KNOLL AVE SE</t>
        </is>
      </c>
      <c r="N601">
        <f>RIGHT(M601,LEN(M601)-FIND(" ",M601))</f>
        <v/>
      </c>
      <c r="P601" t="inlineStr">
        <is>
          <t>WARREN</t>
        </is>
      </c>
      <c r="Q601" t="inlineStr">
        <is>
          <t>OH</t>
        </is>
      </c>
      <c r="R601" t="n">
        <v>44484</v>
      </c>
      <c r="AD601" t="inlineStr">
        <is>
          <t>TRUMBULL CAREER &amp; TECH CENTER</t>
        </is>
      </c>
      <c r="AE601" t="inlineStr">
        <is>
          <t>WARREN CITY</t>
        </is>
      </c>
      <c r="AF601" t="inlineStr">
        <is>
          <t>WARREN CITY SD</t>
        </is>
      </c>
      <c r="AH601" t="n">
        <v>14</v>
      </c>
      <c r="AI601" t="n">
        <v>11</v>
      </c>
      <c r="AN601" t="inlineStr">
        <is>
          <t>WARREN</t>
        </is>
      </c>
      <c r="AO601" t="inlineStr">
        <is>
          <t>WARREN CITY 4A</t>
        </is>
      </c>
      <c r="AP601" t="inlineStr">
        <is>
          <t>78-P-ADI</t>
        </is>
      </c>
      <c r="AQ601" t="n">
        <v>9</v>
      </c>
      <c r="AR601" t="n">
        <v>64</v>
      </c>
      <c r="AS601" t="n">
        <v>32</v>
      </c>
      <c r="AU601">
        <f>COUNTA($BA$601:$EH$601)</f>
        <v/>
      </c>
      <c r="AV601">
        <f>COUNTIF($BA$601:$EH$601,"D")</f>
        <v/>
      </c>
      <c r="AW601">
        <f>COUNTIF($BA$601:$EH$601,"R")</f>
        <v/>
      </c>
      <c r="AX601">
        <f>IF(BN601="D",1,0)+IF(BO601="D",1,0)+IF(BT601="D",1,0)+IF(BU601="D",1,0)+IF(BW601="D",1,0)+IF(CC601="D",1,0)+IF(CD601="D",1,0)+IF(CE601="D",1,0)+IF(CF601="D",1,0)+IF(CL601="D",1,0)+IF(CM601="D",1,0)+IF(CQ601="D",1,0)+IF(CR601="D",1,0)+IF(CS601="D",1,0)+IF(CW601="D",1,0)+IF(CX601="D",1,0)+IF(DD601="D",1,0)+IF(DE601="D",1,0)+IF(DJ601="D",1,0)+IF(DK601="D",1,0)+IF(DO601="D",1,0)+IF(DP601="D",1,0)+IF(DQ601="D",1,0)+IF(DW601="D",1,0)+IF(DZ601="D",1,0)+IF(EH601="D",1,0)</f>
        <v/>
      </c>
      <c r="AY601">
        <f>IF(DJ601&lt;&gt;"",1,0)+IF(DK601&lt;&gt;"",1,0)+IF(DM601&lt;&gt;"",1,0)+IF(DO601&lt;&gt;"",1,0)+IF(DP601&lt;&gt;"",1,0)+IF(DQ601&lt;&gt;"",1,0)+IF(DS601&lt;&gt;"",1,0)+IF(DT601&lt;&gt;"",1,0)+IF(DV601&lt;&gt;"",1,0)+IF(DW601&lt;&gt;"",1,0)+IF(DX601&lt;&gt;"",1,0)+IF(DY601&lt;&gt;"",1,0)+IF(DZ601&lt;&gt;"",1,0)+IF(EB601&lt;&gt;"",1,0)+IF(EC601&lt;&gt;"",1,0)+IF(ED601&lt;&gt;"",1,0)+IF(EG601&lt;&gt;"",1,0)+IF(EH601&lt;&gt;"",1,0)</f>
        <v/>
      </c>
      <c r="AZ601">
        <f>IF(EH601&lt;&gt;"",1,0)</f>
        <v/>
      </c>
      <c r="BB601" t="inlineStr">
        <is>
          <t>WARREN-WARD 4</t>
        </is>
      </c>
      <c r="EF601" t="inlineStr">
        <is>
          <t>X</t>
        </is>
      </c>
    </row>
    <row r="602">
      <c r="A602" t="inlineStr">
        <is>
          <t>OH0026817908</t>
        </is>
      </c>
      <c r="B602" t="n">
        <v>78</v>
      </c>
      <c r="C602" t="n">
        <v>470885</v>
      </c>
      <c r="D602" t="inlineStr">
        <is>
          <t>PITTRELL</t>
        </is>
      </c>
      <c r="E602" t="inlineStr">
        <is>
          <t>SARAE</t>
        </is>
      </c>
      <c r="F602">
        <f>CONCATENATE(D602," ",LEFT(H602,4),"T=",AU602,"D=",AV602,"R=",AW602,"M=",AX602,"L=",AY602,"B=",AZ602)</f>
        <v/>
      </c>
      <c r="G602" t="inlineStr">
        <is>
          <t>C</t>
        </is>
      </c>
      <c r="I602" t="inlineStr">
        <is>
          <t>2005-11-04</t>
        </is>
      </c>
      <c r="J602" t="inlineStr">
        <is>
          <t>2023-09-19</t>
        </is>
      </c>
      <c r="K602" t="inlineStr">
        <is>
          <t>ACTIVE</t>
        </is>
      </c>
      <c r="M602" t="inlineStr">
        <is>
          <t>306 IDDINGS AVE SE</t>
        </is>
      </c>
      <c r="N602">
        <f>RIGHT(M602,LEN(M602)-FIND(" ",M602))</f>
        <v/>
      </c>
      <c r="P602" t="inlineStr">
        <is>
          <t>WARREN</t>
        </is>
      </c>
      <c r="Q602" t="inlineStr">
        <is>
          <t>OH</t>
        </is>
      </c>
      <c r="R602" t="n">
        <v>44483</v>
      </c>
      <c r="AD602" t="inlineStr">
        <is>
          <t>TRUMBULL CAREER &amp; TECH CENTER</t>
        </is>
      </c>
      <c r="AE602" t="inlineStr">
        <is>
          <t>WARREN CITY</t>
        </is>
      </c>
      <c r="AF602" t="inlineStr">
        <is>
          <t>WARREN CITY SD</t>
        </is>
      </c>
      <c r="AH602" t="n">
        <v>14</v>
      </c>
      <c r="AI602" t="n">
        <v>11</v>
      </c>
      <c r="AN602" t="inlineStr">
        <is>
          <t>WARREN</t>
        </is>
      </c>
      <c r="AO602" t="inlineStr">
        <is>
          <t>WARREN CITY 4A</t>
        </is>
      </c>
      <c r="AP602" t="inlineStr">
        <is>
          <t>78-P-ADI</t>
        </is>
      </c>
      <c r="AQ602" t="n">
        <v>9</v>
      </c>
      <c r="AR602" t="n">
        <v>64</v>
      </c>
      <c r="AS602" t="n">
        <v>32</v>
      </c>
      <c r="AU602">
        <f>COUNTA($BA$602:$EH$602)</f>
        <v/>
      </c>
      <c r="AV602">
        <f>COUNTIF($BA$602:$EH$602,"D")</f>
        <v/>
      </c>
      <c r="AW602">
        <f>COUNTIF($BA$602:$EH$602,"R")</f>
        <v/>
      </c>
      <c r="AX602">
        <f>IF(BN602="D",1,0)+IF(BO602="D",1,0)+IF(BT602="D",1,0)+IF(BU602="D",1,0)+IF(BW602="D",1,0)+IF(CC602="D",1,0)+IF(CD602="D",1,0)+IF(CE602="D",1,0)+IF(CF602="D",1,0)+IF(CL602="D",1,0)+IF(CM602="D",1,0)+IF(CQ602="D",1,0)+IF(CR602="D",1,0)+IF(CS602="D",1,0)+IF(CW602="D",1,0)+IF(CX602="D",1,0)+IF(DD602="D",1,0)+IF(DE602="D",1,0)+IF(DJ602="D",1,0)+IF(DK602="D",1,0)+IF(DO602="D",1,0)+IF(DP602="D",1,0)+IF(DQ602="D",1,0)+IF(DW602="D",1,0)+IF(DZ602="D",1,0)+IF(EH602="D",1,0)</f>
        <v/>
      </c>
      <c r="AY602">
        <f>IF(DJ602&lt;&gt;"",1,0)+IF(DK602&lt;&gt;"",1,0)+IF(DM602&lt;&gt;"",1,0)+IF(DO602&lt;&gt;"",1,0)+IF(DP602&lt;&gt;"",1,0)+IF(DQ602&lt;&gt;"",1,0)+IF(DS602&lt;&gt;"",1,0)+IF(DT602&lt;&gt;"",1,0)+IF(DV602&lt;&gt;"",1,0)+IF(DW602&lt;&gt;"",1,0)+IF(DX602&lt;&gt;"",1,0)+IF(DY602&lt;&gt;"",1,0)+IF(DZ602&lt;&gt;"",1,0)+IF(EB602&lt;&gt;"",1,0)+IF(EC602&lt;&gt;"",1,0)+IF(ED602&lt;&gt;"",1,0)+IF(EG602&lt;&gt;"",1,0)+IF(EH602&lt;&gt;"",1,0)</f>
        <v/>
      </c>
      <c r="AZ602">
        <f>IF(EH602&lt;&gt;"",1,0)</f>
        <v/>
      </c>
      <c r="BB602" t="inlineStr">
        <is>
          <t>WARREN-WARD 4</t>
        </is>
      </c>
      <c r="EA602" t="inlineStr">
        <is>
          <t>X</t>
        </is>
      </c>
      <c r="EF602" t="inlineStr">
        <is>
          <t>X</t>
        </is>
      </c>
    </row>
    <row r="603">
      <c r="A603" t="inlineStr">
        <is>
          <t>OH0023357935</t>
        </is>
      </c>
      <c r="B603" t="n">
        <v>78</v>
      </c>
      <c r="C603" t="n">
        <v>411341</v>
      </c>
      <c r="D603" t="inlineStr">
        <is>
          <t>WAGNER</t>
        </is>
      </c>
      <c r="E603" t="inlineStr">
        <is>
          <t>LAMONT</t>
        </is>
      </c>
      <c r="F603">
        <f>CONCATENATE(D603," ",LEFT(H603,4),"T=",AU603,"D=",AV603,"R=",AW603,"M=",AX603,"L=",AY603,"B=",AZ603)</f>
        <v/>
      </c>
      <c r="G603" t="inlineStr">
        <is>
          <t>D</t>
        </is>
      </c>
      <c r="I603" t="inlineStr">
        <is>
          <t>1984-11-26</t>
        </is>
      </c>
      <c r="J603" t="inlineStr">
        <is>
          <t>2015-10-05</t>
        </is>
      </c>
      <c r="K603" t="inlineStr">
        <is>
          <t>CONFIRMATION</t>
        </is>
      </c>
      <c r="M603" t="inlineStr">
        <is>
          <t>376 LAIRD AVE SE</t>
        </is>
      </c>
      <c r="N603">
        <f>RIGHT(M603,LEN(M603)-FIND(" ",M603))</f>
        <v/>
      </c>
      <c r="P603" t="inlineStr">
        <is>
          <t>WARREN</t>
        </is>
      </c>
      <c r="Q603" t="inlineStr">
        <is>
          <t>OH</t>
        </is>
      </c>
      <c r="R603" t="n">
        <v>44483</v>
      </c>
      <c r="AD603" t="inlineStr">
        <is>
          <t>TRUMBULL CAREER &amp; TECH CENTER</t>
        </is>
      </c>
      <c r="AE603" t="inlineStr">
        <is>
          <t>WARREN CITY</t>
        </is>
      </c>
      <c r="AF603" t="inlineStr">
        <is>
          <t>WARREN CITY SD</t>
        </is>
      </c>
      <c r="AH603" t="n">
        <v>14</v>
      </c>
      <c r="AI603" t="n">
        <v>11</v>
      </c>
      <c r="AN603" t="inlineStr">
        <is>
          <t>WARREN</t>
        </is>
      </c>
      <c r="AO603" t="inlineStr">
        <is>
          <t>WARREN CITY 4A</t>
        </is>
      </c>
      <c r="AP603" t="inlineStr">
        <is>
          <t>78-P-ADI</t>
        </is>
      </c>
      <c r="AQ603" t="n">
        <v>9</v>
      </c>
      <c r="AR603" t="n">
        <v>64</v>
      </c>
      <c r="AS603" t="n">
        <v>32</v>
      </c>
      <c r="AU603">
        <f>COUNTA($BA$603:$EH$603)</f>
        <v/>
      </c>
      <c r="AV603">
        <f>COUNTIF($BA$603:$EH$603,"D")</f>
        <v/>
      </c>
      <c r="AW603">
        <f>COUNTIF($BA$603:$EH$603,"R")</f>
        <v/>
      </c>
      <c r="AX603">
        <f>IF(BN603="D",1,0)+IF(BO603="D",1,0)+IF(BT603="D",1,0)+IF(BU603="D",1,0)+IF(BW603="D",1,0)+IF(CC603="D",1,0)+IF(CD603="D",1,0)+IF(CE603="D",1,0)+IF(CF603="D",1,0)+IF(CL603="D",1,0)+IF(CM603="D",1,0)+IF(CQ603="D",1,0)+IF(CR603="D",1,0)+IF(CS603="D",1,0)+IF(CW603="D",1,0)+IF(CX603="D",1,0)+IF(DD603="D",1,0)+IF(DE603="D",1,0)+IF(DJ603="D",1,0)+IF(DK603="D",1,0)+IF(DO603="D",1,0)+IF(DP603="D",1,0)+IF(DQ603="D",1,0)+IF(DW603="D",1,0)+IF(DZ603="D",1,0)+IF(EH603="D",1,0)</f>
        <v/>
      </c>
      <c r="AY603">
        <f>IF(DJ603&lt;&gt;"",1,0)+IF(DK603&lt;&gt;"",1,0)+IF(DM603&lt;&gt;"",1,0)+IF(DO603&lt;&gt;"",1,0)+IF(DP603&lt;&gt;"",1,0)+IF(DQ603&lt;&gt;"",1,0)+IF(DS603&lt;&gt;"",1,0)+IF(DT603&lt;&gt;"",1,0)+IF(DV603&lt;&gt;"",1,0)+IF(DW603&lt;&gt;"",1,0)+IF(DX603&lt;&gt;"",1,0)+IF(DY603&lt;&gt;"",1,0)+IF(DZ603&lt;&gt;"",1,0)+IF(EB603&lt;&gt;"",1,0)+IF(EC603&lt;&gt;"",1,0)+IF(ED603&lt;&gt;"",1,0)+IF(EG603&lt;&gt;"",1,0)+IF(EH603&lt;&gt;"",1,0)</f>
        <v/>
      </c>
      <c r="AZ603">
        <f>IF(EH603&lt;&gt;"",1,0)</f>
        <v/>
      </c>
      <c r="BB603" t="inlineStr">
        <is>
          <t>WARREN-WARD 4</t>
        </is>
      </c>
      <c r="CA603" t="inlineStr">
        <is>
          <t>X</t>
        </is>
      </c>
      <c r="CP603" t="inlineStr">
        <is>
          <t>X</t>
        </is>
      </c>
      <c r="CY603" t="inlineStr">
        <is>
          <t>X</t>
        </is>
      </c>
    </row>
    <row r="604">
      <c r="A604" t="inlineStr">
        <is>
          <t>OH0025647186</t>
        </is>
      </c>
      <c r="B604" t="n">
        <v>78</v>
      </c>
      <c r="C604" t="n">
        <v>447765</v>
      </c>
      <c r="D604" t="inlineStr">
        <is>
          <t>SLATER</t>
        </is>
      </c>
      <c r="E604" t="inlineStr">
        <is>
          <t>KIMBERLY</t>
        </is>
      </c>
      <c r="F604">
        <f>CONCATENATE(D604," ",LEFT(H604,4),"T=",AU604,"D=",AV604,"R=",AW604,"M=",AX604,"L=",AY604,"B=",AZ604)</f>
        <v/>
      </c>
      <c r="G604" t="inlineStr">
        <is>
          <t>LEE</t>
        </is>
      </c>
      <c r="I604" t="inlineStr">
        <is>
          <t>1992-10-21</t>
        </is>
      </c>
      <c r="J604" t="inlineStr">
        <is>
          <t>2023-10-20</t>
        </is>
      </c>
      <c r="K604" t="inlineStr">
        <is>
          <t>ACTIVE</t>
        </is>
      </c>
      <c r="M604" t="inlineStr">
        <is>
          <t>869 KENILWORTH AVE SE</t>
        </is>
      </c>
      <c r="N604">
        <f>RIGHT(M604,LEN(M604)-FIND(" ",M604))</f>
        <v/>
      </c>
      <c r="P604" t="inlineStr">
        <is>
          <t>WARREN</t>
        </is>
      </c>
      <c r="Q604" t="inlineStr">
        <is>
          <t>OH</t>
        </is>
      </c>
      <c r="R604" t="n">
        <v>44484</v>
      </c>
      <c r="AD604" t="inlineStr">
        <is>
          <t>TRUMBULL CAREER &amp; TECH CENTER</t>
        </is>
      </c>
      <c r="AE604" t="inlineStr">
        <is>
          <t>WARREN CITY</t>
        </is>
      </c>
      <c r="AF604" t="inlineStr">
        <is>
          <t>WARREN CITY SD</t>
        </is>
      </c>
      <c r="AH604" t="n">
        <v>14</v>
      </c>
      <c r="AI604" t="n">
        <v>11</v>
      </c>
      <c r="AN604" t="inlineStr">
        <is>
          <t>WARREN</t>
        </is>
      </c>
      <c r="AO604" t="inlineStr">
        <is>
          <t>WARREN CITY 4A</t>
        </is>
      </c>
      <c r="AP604" t="inlineStr">
        <is>
          <t>78-P-ADI</t>
        </is>
      </c>
      <c r="AQ604" t="n">
        <v>9</v>
      </c>
      <c r="AR604" t="n">
        <v>64</v>
      </c>
      <c r="AS604" t="n">
        <v>32</v>
      </c>
      <c r="AU604">
        <f>COUNTA($BA$604:$EH$604)</f>
        <v/>
      </c>
      <c r="AV604">
        <f>COUNTIF($BA$604:$EH$604,"D")</f>
        <v/>
      </c>
      <c r="AW604">
        <f>COUNTIF($BA$604:$EH$604,"R")</f>
        <v/>
      </c>
      <c r="AX604">
        <f>IF(BN604="D",1,0)+IF(BO604="D",1,0)+IF(BT604="D",1,0)+IF(BU604="D",1,0)+IF(BW604="D",1,0)+IF(CC604="D",1,0)+IF(CD604="D",1,0)+IF(CE604="D",1,0)+IF(CF604="D",1,0)+IF(CL604="D",1,0)+IF(CM604="D",1,0)+IF(CQ604="D",1,0)+IF(CR604="D",1,0)+IF(CS604="D",1,0)+IF(CW604="D",1,0)+IF(CX604="D",1,0)+IF(DD604="D",1,0)+IF(DE604="D",1,0)+IF(DJ604="D",1,0)+IF(DK604="D",1,0)+IF(DO604="D",1,0)+IF(DP604="D",1,0)+IF(DQ604="D",1,0)+IF(DW604="D",1,0)+IF(DZ604="D",1,0)+IF(EH604="D",1,0)</f>
        <v/>
      </c>
      <c r="AY604">
        <f>IF(DJ604&lt;&gt;"",1,0)+IF(DK604&lt;&gt;"",1,0)+IF(DM604&lt;&gt;"",1,0)+IF(DO604&lt;&gt;"",1,0)+IF(DP604&lt;&gt;"",1,0)+IF(DQ604&lt;&gt;"",1,0)+IF(DS604&lt;&gt;"",1,0)+IF(DT604&lt;&gt;"",1,0)+IF(DV604&lt;&gt;"",1,0)+IF(DW604&lt;&gt;"",1,0)+IF(DX604&lt;&gt;"",1,0)+IF(DY604&lt;&gt;"",1,0)+IF(DZ604&lt;&gt;"",1,0)+IF(EB604&lt;&gt;"",1,0)+IF(EC604&lt;&gt;"",1,0)+IF(ED604&lt;&gt;"",1,0)+IF(EG604&lt;&gt;"",1,0)+IF(EH604&lt;&gt;"",1,0)</f>
        <v/>
      </c>
      <c r="AZ604">
        <f>IF(EH604&lt;&gt;"",1,0)</f>
        <v/>
      </c>
      <c r="BB604" t="inlineStr">
        <is>
          <t>WARREN-WARD 4</t>
        </is>
      </c>
      <c r="CP604" t="inlineStr">
        <is>
          <t>X</t>
        </is>
      </c>
      <c r="DN604" t="inlineStr">
        <is>
          <t>X</t>
        </is>
      </c>
      <c r="DU604" t="inlineStr">
        <is>
          <t>X</t>
        </is>
      </c>
      <c r="EA604" t="inlineStr">
        <is>
          <t>X</t>
        </is>
      </c>
      <c r="EF604" t="inlineStr">
        <is>
          <t>X</t>
        </is>
      </c>
    </row>
    <row r="605">
      <c r="A605" t="inlineStr">
        <is>
          <t>OH0023323371</t>
        </is>
      </c>
      <c r="B605" t="n">
        <v>78</v>
      </c>
      <c r="C605" t="n">
        <v>410106</v>
      </c>
      <c r="D605" t="inlineStr">
        <is>
          <t>FOSTER</t>
        </is>
      </c>
      <c r="E605" t="inlineStr">
        <is>
          <t>GENEVA</t>
        </is>
      </c>
      <c r="F605">
        <f>CONCATENATE(D605," ",LEFT(H605,4),"T=",AU605,"D=",AV605,"R=",AW605,"M=",AX605,"L=",AY605,"B=",AZ605)</f>
        <v/>
      </c>
      <c r="I605" t="inlineStr">
        <is>
          <t>1997-10-12</t>
        </is>
      </c>
      <c r="J605" t="inlineStr">
        <is>
          <t>2015-09-24</t>
        </is>
      </c>
      <c r="K605" t="inlineStr">
        <is>
          <t>CONFIRMATION</t>
        </is>
      </c>
      <c r="M605" t="inlineStr">
        <is>
          <t>810 WOODBINE AVE SE</t>
        </is>
      </c>
      <c r="N605">
        <f>RIGHT(M605,LEN(M605)-FIND(" ",M605))</f>
        <v/>
      </c>
      <c r="P605" t="inlineStr">
        <is>
          <t>WARREN</t>
        </is>
      </c>
      <c r="Q605" t="inlineStr">
        <is>
          <t>OH</t>
        </is>
      </c>
      <c r="R605" t="n">
        <v>44484</v>
      </c>
      <c r="AD605" t="inlineStr">
        <is>
          <t>TRUMBULL CAREER &amp; TECH CENTER</t>
        </is>
      </c>
      <c r="AE605" t="inlineStr">
        <is>
          <t>WARREN CITY</t>
        </is>
      </c>
      <c r="AF605" t="inlineStr">
        <is>
          <t>WARREN CITY SD</t>
        </is>
      </c>
      <c r="AH605" t="n">
        <v>14</v>
      </c>
      <c r="AI605" t="n">
        <v>11</v>
      </c>
      <c r="AN605" t="inlineStr">
        <is>
          <t>WARREN</t>
        </is>
      </c>
      <c r="AO605" t="inlineStr">
        <is>
          <t>WARREN CITY 4A</t>
        </is>
      </c>
      <c r="AP605" t="inlineStr">
        <is>
          <t>78-P-ADI</t>
        </is>
      </c>
      <c r="AQ605" t="n">
        <v>9</v>
      </c>
      <c r="AR605" t="n">
        <v>64</v>
      </c>
      <c r="AS605" t="n">
        <v>32</v>
      </c>
      <c r="AU605">
        <f>COUNTA($BA$605:$EH$605)</f>
        <v/>
      </c>
      <c r="AV605">
        <f>COUNTIF($BA$605:$EH$605,"D")</f>
        <v/>
      </c>
      <c r="AW605">
        <f>COUNTIF($BA$605:$EH$605,"R")</f>
        <v/>
      </c>
      <c r="AX605">
        <f>IF(BN605="D",1,0)+IF(BO605="D",1,0)+IF(BT605="D",1,0)+IF(BU605="D",1,0)+IF(BW605="D",1,0)+IF(CC605="D",1,0)+IF(CD605="D",1,0)+IF(CE605="D",1,0)+IF(CF605="D",1,0)+IF(CL605="D",1,0)+IF(CM605="D",1,0)+IF(CQ605="D",1,0)+IF(CR605="D",1,0)+IF(CS605="D",1,0)+IF(CW605="D",1,0)+IF(CX605="D",1,0)+IF(DD605="D",1,0)+IF(DE605="D",1,0)+IF(DJ605="D",1,0)+IF(DK605="D",1,0)+IF(DO605="D",1,0)+IF(DP605="D",1,0)+IF(DQ605="D",1,0)+IF(DW605="D",1,0)+IF(DZ605="D",1,0)+IF(EH605="D",1,0)</f>
        <v/>
      </c>
      <c r="AY605">
        <f>IF(DJ605&lt;&gt;"",1,0)+IF(DK605&lt;&gt;"",1,0)+IF(DM605&lt;&gt;"",1,0)+IF(DO605&lt;&gt;"",1,0)+IF(DP605&lt;&gt;"",1,0)+IF(DQ605&lt;&gt;"",1,0)+IF(DS605&lt;&gt;"",1,0)+IF(DT605&lt;&gt;"",1,0)+IF(DV605&lt;&gt;"",1,0)+IF(DW605&lt;&gt;"",1,0)+IF(DX605&lt;&gt;"",1,0)+IF(DY605&lt;&gt;"",1,0)+IF(DZ605&lt;&gt;"",1,0)+IF(EB605&lt;&gt;"",1,0)+IF(EC605&lt;&gt;"",1,0)+IF(ED605&lt;&gt;"",1,0)+IF(EG605&lt;&gt;"",1,0)+IF(EH605&lt;&gt;"",1,0)</f>
        <v/>
      </c>
      <c r="AZ605">
        <f>IF(EH605&lt;&gt;"",1,0)</f>
        <v/>
      </c>
      <c r="BB605" t="inlineStr">
        <is>
          <t>WARREN-WARD 4</t>
        </is>
      </c>
    </row>
    <row r="606">
      <c r="A606" t="inlineStr">
        <is>
          <t>OH0015801096</t>
        </is>
      </c>
      <c r="B606" t="n">
        <v>78</v>
      </c>
      <c r="C606" t="n">
        <v>316692</v>
      </c>
      <c r="D606" t="inlineStr">
        <is>
          <t>GOSLING</t>
        </is>
      </c>
      <c r="E606" t="inlineStr">
        <is>
          <t>TIMOTHY</t>
        </is>
      </c>
      <c r="F606">
        <f>CONCATENATE(D606," ",LEFT(H606,4),"T=",AU606,"D=",AV606,"R=",AW606,"M=",AX606,"L=",AY606,"B=",AZ606)</f>
        <v/>
      </c>
      <c r="G606" t="inlineStr">
        <is>
          <t>WAYNE</t>
        </is>
      </c>
      <c r="I606" t="inlineStr">
        <is>
          <t>1985-08-03</t>
        </is>
      </c>
      <c r="J606" t="inlineStr">
        <is>
          <t>2016-12-03</t>
        </is>
      </c>
      <c r="K606" t="inlineStr">
        <is>
          <t>CONFIRMATION</t>
        </is>
      </c>
      <c r="M606" t="inlineStr">
        <is>
          <t>1262 SOUTH ST SE</t>
        </is>
      </c>
      <c r="N606">
        <f>RIGHT(M606,LEN(M606)-FIND(" ",M606))</f>
        <v/>
      </c>
      <c r="P606" t="inlineStr">
        <is>
          <t>WARREN</t>
        </is>
      </c>
      <c r="Q606" t="inlineStr">
        <is>
          <t>OH</t>
        </is>
      </c>
      <c r="R606" t="n">
        <v>44483</v>
      </c>
      <c r="AD606" t="inlineStr">
        <is>
          <t>TRUMBULL CAREER &amp; TECH CENTER</t>
        </is>
      </c>
      <c r="AE606" t="inlineStr">
        <is>
          <t>WARREN CITY</t>
        </is>
      </c>
      <c r="AF606" t="inlineStr">
        <is>
          <t>WARREN CITY SD</t>
        </is>
      </c>
      <c r="AH606" t="n">
        <v>14</v>
      </c>
      <c r="AI606" t="n">
        <v>11</v>
      </c>
      <c r="AN606" t="inlineStr">
        <is>
          <t>WARREN</t>
        </is>
      </c>
      <c r="AO606" t="inlineStr">
        <is>
          <t>WARREN CITY 4A</t>
        </is>
      </c>
      <c r="AP606" t="inlineStr">
        <is>
          <t>78-P-ADI</t>
        </is>
      </c>
      <c r="AQ606" t="n">
        <v>9</v>
      </c>
      <c r="AR606" t="n">
        <v>64</v>
      </c>
      <c r="AS606" t="n">
        <v>32</v>
      </c>
      <c r="AU606">
        <f>COUNTA($BA$606:$EH$606)</f>
        <v/>
      </c>
      <c r="AV606">
        <f>COUNTIF($BA$606:$EH$606,"D")</f>
        <v/>
      </c>
      <c r="AW606">
        <f>COUNTIF($BA$606:$EH$606,"R")</f>
        <v/>
      </c>
      <c r="AX606">
        <f>IF(BN606="D",1,0)+IF(BO606="D",1,0)+IF(BT606="D",1,0)+IF(BU606="D",1,0)+IF(BW606="D",1,0)+IF(CC606="D",1,0)+IF(CD606="D",1,0)+IF(CE606="D",1,0)+IF(CF606="D",1,0)+IF(CL606="D",1,0)+IF(CM606="D",1,0)+IF(CQ606="D",1,0)+IF(CR606="D",1,0)+IF(CS606="D",1,0)+IF(CW606="D",1,0)+IF(CX606="D",1,0)+IF(DD606="D",1,0)+IF(DE606="D",1,0)+IF(DJ606="D",1,0)+IF(DK606="D",1,0)+IF(DO606="D",1,0)+IF(DP606="D",1,0)+IF(DQ606="D",1,0)+IF(DW606="D",1,0)+IF(DZ606="D",1,0)+IF(EH606="D",1,0)</f>
        <v/>
      </c>
      <c r="AY606">
        <f>IF(DJ606&lt;&gt;"",1,0)+IF(DK606&lt;&gt;"",1,0)+IF(DM606&lt;&gt;"",1,0)+IF(DO606&lt;&gt;"",1,0)+IF(DP606&lt;&gt;"",1,0)+IF(DQ606&lt;&gt;"",1,0)+IF(DS606&lt;&gt;"",1,0)+IF(DT606&lt;&gt;"",1,0)+IF(DV606&lt;&gt;"",1,0)+IF(DW606&lt;&gt;"",1,0)+IF(DX606&lt;&gt;"",1,0)+IF(DY606&lt;&gt;"",1,0)+IF(DZ606&lt;&gt;"",1,0)+IF(EB606&lt;&gt;"",1,0)+IF(EC606&lt;&gt;"",1,0)+IF(ED606&lt;&gt;"",1,0)+IF(EG606&lt;&gt;"",1,0)+IF(EH606&lt;&gt;"",1,0)</f>
        <v/>
      </c>
      <c r="AZ606">
        <f>IF(EH606&lt;&gt;"",1,0)</f>
        <v/>
      </c>
      <c r="BB606" t="inlineStr">
        <is>
          <t>WARREN-WARD 4</t>
        </is>
      </c>
    </row>
    <row r="607">
      <c r="A607" t="inlineStr">
        <is>
          <t>OH0025212368</t>
        </is>
      </c>
      <c r="B607" t="n">
        <v>78</v>
      </c>
      <c r="C607" t="n">
        <v>441483</v>
      </c>
      <c r="D607" t="inlineStr">
        <is>
          <t>LOUGH</t>
        </is>
      </c>
      <c r="E607" t="inlineStr">
        <is>
          <t>DANIEL</t>
        </is>
      </c>
      <c r="F607">
        <f>CONCATENATE(D607," ",LEFT(H607,4),"T=",AU607,"D=",AV607,"R=",AW607,"M=",AX607,"L=",AY607,"B=",AZ607)</f>
        <v/>
      </c>
      <c r="G607" t="inlineStr">
        <is>
          <t>D</t>
        </is>
      </c>
      <c r="I607" t="inlineStr">
        <is>
          <t>1972-03-05</t>
        </is>
      </c>
      <c r="J607" t="inlineStr">
        <is>
          <t>2019-09-19</t>
        </is>
      </c>
      <c r="K607" t="inlineStr">
        <is>
          <t>CONFIRMATION</t>
        </is>
      </c>
      <c r="M607" t="inlineStr">
        <is>
          <t>703 HOMEWOOD AVE SE</t>
        </is>
      </c>
      <c r="N607">
        <f>RIGHT(M607,LEN(M607)-FIND(" ",M607))</f>
        <v/>
      </c>
      <c r="P607" t="inlineStr">
        <is>
          <t>WARREN</t>
        </is>
      </c>
      <c r="Q607" t="inlineStr">
        <is>
          <t>OH</t>
        </is>
      </c>
      <c r="R607" t="n">
        <v>44484</v>
      </c>
      <c r="AD607" t="inlineStr">
        <is>
          <t>TRUMBULL CAREER &amp; TECH CENTER</t>
        </is>
      </c>
      <c r="AE607" t="inlineStr">
        <is>
          <t>WARREN CITY</t>
        </is>
      </c>
      <c r="AF607" t="inlineStr">
        <is>
          <t>WARREN CITY SD</t>
        </is>
      </c>
      <c r="AH607" t="n">
        <v>14</v>
      </c>
      <c r="AI607" t="n">
        <v>11</v>
      </c>
      <c r="AN607" t="inlineStr">
        <is>
          <t>WARREN</t>
        </is>
      </c>
      <c r="AO607" t="inlineStr">
        <is>
          <t>WARREN CITY 4A</t>
        </is>
      </c>
      <c r="AP607" t="inlineStr">
        <is>
          <t>78-P-ADI</t>
        </is>
      </c>
      <c r="AQ607" t="n">
        <v>9</v>
      </c>
      <c r="AR607" t="n">
        <v>64</v>
      </c>
      <c r="AS607" t="n">
        <v>32</v>
      </c>
      <c r="AU607">
        <f>COUNTA($BA$607:$EH$607)</f>
        <v/>
      </c>
      <c r="AV607">
        <f>COUNTIF($BA$607:$EH$607,"D")</f>
        <v/>
      </c>
      <c r="AW607">
        <f>COUNTIF($BA$607:$EH$607,"R")</f>
        <v/>
      </c>
      <c r="AX607">
        <f>IF(BN607="D",1,0)+IF(BO607="D",1,0)+IF(BT607="D",1,0)+IF(BU607="D",1,0)+IF(BW607="D",1,0)+IF(CC607="D",1,0)+IF(CD607="D",1,0)+IF(CE607="D",1,0)+IF(CF607="D",1,0)+IF(CL607="D",1,0)+IF(CM607="D",1,0)+IF(CQ607="D",1,0)+IF(CR607="D",1,0)+IF(CS607="D",1,0)+IF(CW607="D",1,0)+IF(CX607="D",1,0)+IF(DD607="D",1,0)+IF(DE607="D",1,0)+IF(DJ607="D",1,0)+IF(DK607="D",1,0)+IF(DO607="D",1,0)+IF(DP607="D",1,0)+IF(DQ607="D",1,0)+IF(DW607="D",1,0)+IF(DZ607="D",1,0)+IF(EH607="D",1,0)</f>
        <v/>
      </c>
      <c r="AY607">
        <f>IF(DJ607&lt;&gt;"",1,0)+IF(DK607&lt;&gt;"",1,0)+IF(DM607&lt;&gt;"",1,0)+IF(DO607&lt;&gt;"",1,0)+IF(DP607&lt;&gt;"",1,0)+IF(DQ607&lt;&gt;"",1,0)+IF(DS607&lt;&gt;"",1,0)+IF(DT607&lt;&gt;"",1,0)+IF(DV607&lt;&gt;"",1,0)+IF(DW607&lt;&gt;"",1,0)+IF(DX607&lt;&gt;"",1,0)+IF(DY607&lt;&gt;"",1,0)+IF(DZ607&lt;&gt;"",1,0)+IF(EB607&lt;&gt;"",1,0)+IF(EC607&lt;&gt;"",1,0)+IF(ED607&lt;&gt;"",1,0)+IF(EG607&lt;&gt;"",1,0)+IF(EH607&lt;&gt;"",1,0)</f>
        <v/>
      </c>
      <c r="AZ607">
        <f>IF(EH607&lt;&gt;"",1,0)</f>
        <v/>
      </c>
      <c r="BB607" t="inlineStr">
        <is>
          <t>WARREN-WARD 4</t>
        </is>
      </c>
      <c r="BD607" t="inlineStr">
        <is>
          <t>X</t>
        </is>
      </c>
      <c r="BG607" t="inlineStr">
        <is>
          <t>X</t>
        </is>
      </c>
      <c r="BH607" t="inlineStr">
        <is>
          <t>X</t>
        </is>
      </c>
      <c r="BI607" t="inlineStr">
        <is>
          <t>X</t>
        </is>
      </c>
      <c r="BJ607" t="inlineStr">
        <is>
          <t>X</t>
        </is>
      </c>
      <c r="BK607" t="inlineStr">
        <is>
          <t>X</t>
        </is>
      </c>
      <c r="BL607" t="inlineStr">
        <is>
          <t>X</t>
        </is>
      </c>
      <c r="BS607" t="inlineStr">
        <is>
          <t>X</t>
        </is>
      </c>
      <c r="CA607" t="inlineStr">
        <is>
          <t>X</t>
        </is>
      </c>
      <c r="DL607" t="inlineStr">
        <is>
          <t>X</t>
        </is>
      </c>
      <c r="DN607" t="inlineStr">
        <is>
          <t>X</t>
        </is>
      </c>
    </row>
    <row r="608">
      <c r="A608" t="inlineStr">
        <is>
          <t>OH0025010287</t>
        </is>
      </c>
      <c r="B608" t="n">
        <v>78</v>
      </c>
      <c r="C608" t="n">
        <v>437705</v>
      </c>
      <c r="D608" t="inlineStr">
        <is>
          <t>DAWSON</t>
        </is>
      </c>
      <c r="E608" t="inlineStr">
        <is>
          <t>YVONNE</t>
        </is>
      </c>
      <c r="F608">
        <f>CONCATENATE(D608," ",LEFT(H608,4),"T=",AU608,"D=",AV608,"R=",AW608,"M=",AX608,"L=",AY608,"B=",AZ608)</f>
        <v/>
      </c>
      <c r="G608" t="inlineStr">
        <is>
          <t>M</t>
        </is>
      </c>
      <c r="I608" t="inlineStr">
        <is>
          <t>1961-03-20</t>
        </is>
      </c>
      <c r="J608" t="inlineStr">
        <is>
          <t>2018-12-28</t>
        </is>
      </c>
      <c r="K608" t="inlineStr">
        <is>
          <t>CONFIRMATION</t>
        </is>
      </c>
      <c r="M608" t="inlineStr">
        <is>
          <t>1249 GRANT ST SE</t>
        </is>
      </c>
      <c r="N608">
        <f>RIGHT(M608,LEN(M608)-FIND(" ",M608))</f>
        <v/>
      </c>
      <c r="P608" t="inlineStr">
        <is>
          <t>WARREN</t>
        </is>
      </c>
      <c r="Q608" t="inlineStr">
        <is>
          <t>OH</t>
        </is>
      </c>
      <c r="R608" t="n">
        <v>44483</v>
      </c>
      <c r="AD608" t="inlineStr">
        <is>
          <t>TRUMBULL CAREER &amp; TECH CENTER</t>
        </is>
      </c>
      <c r="AE608" t="inlineStr">
        <is>
          <t>WARREN CITY</t>
        </is>
      </c>
      <c r="AF608" t="inlineStr">
        <is>
          <t>WARREN CITY SD</t>
        </is>
      </c>
      <c r="AH608" t="n">
        <v>14</v>
      </c>
      <c r="AI608" t="n">
        <v>11</v>
      </c>
      <c r="AN608" t="inlineStr">
        <is>
          <t>WARREN</t>
        </is>
      </c>
      <c r="AO608" t="inlineStr">
        <is>
          <t>WARREN CITY 4A</t>
        </is>
      </c>
      <c r="AP608" t="inlineStr">
        <is>
          <t>78-P-ADI</t>
        </is>
      </c>
      <c r="AQ608" t="n">
        <v>9</v>
      </c>
      <c r="AR608" t="n">
        <v>64</v>
      </c>
      <c r="AS608" t="n">
        <v>32</v>
      </c>
      <c r="AU608">
        <f>COUNTA($BA$608:$EH$608)</f>
        <v/>
      </c>
      <c r="AV608">
        <f>COUNTIF($BA$608:$EH$608,"D")</f>
        <v/>
      </c>
      <c r="AW608">
        <f>COUNTIF($BA$608:$EH$608,"R")</f>
        <v/>
      </c>
      <c r="AX608">
        <f>IF(BN608="D",1,0)+IF(BO608="D",1,0)+IF(BT608="D",1,0)+IF(BU608="D",1,0)+IF(BW608="D",1,0)+IF(CC608="D",1,0)+IF(CD608="D",1,0)+IF(CE608="D",1,0)+IF(CF608="D",1,0)+IF(CL608="D",1,0)+IF(CM608="D",1,0)+IF(CQ608="D",1,0)+IF(CR608="D",1,0)+IF(CS608="D",1,0)+IF(CW608="D",1,0)+IF(CX608="D",1,0)+IF(DD608="D",1,0)+IF(DE608="D",1,0)+IF(DJ608="D",1,0)+IF(DK608="D",1,0)+IF(DO608="D",1,0)+IF(DP608="D",1,0)+IF(DQ608="D",1,0)+IF(DW608="D",1,0)+IF(DZ608="D",1,0)+IF(EH608="D",1,0)</f>
        <v/>
      </c>
      <c r="AY608">
        <f>IF(DJ608&lt;&gt;"",1,0)+IF(DK608&lt;&gt;"",1,0)+IF(DM608&lt;&gt;"",1,0)+IF(DO608&lt;&gt;"",1,0)+IF(DP608&lt;&gt;"",1,0)+IF(DQ608&lt;&gt;"",1,0)+IF(DS608&lt;&gt;"",1,0)+IF(DT608&lt;&gt;"",1,0)+IF(DV608&lt;&gt;"",1,0)+IF(DW608&lt;&gt;"",1,0)+IF(DX608&lt;&gt;"",1,0)+IF(DY608&lt;&gt;"",1,0)+IF(DZ608&lt;&gt;"",1,0)+IF(EB608&lt;&gt;"",1,0)+IF(EC608&lt;&gt;"",1,0)+IF(ED608&lt;&gt;"",1,0)+IF(EG608&lt;&gt;"",1,0)+IF(EH608&lt;&gt;"",1,0)</f>
        <v/>
      </c>
      <c r="AZ608">
        <f>IF(EH608&lt;&gt;"",1,0)</f>
        <v/>
      </c>
      <c r="BB608" t="inlineStr">
        <is>
          <t>WARREN-WARD 4</t>
        </is>
      </c>
    </row>
    <row r="609">
      <c r="A609" t="inlineStr">
        <is>
          <t>OH0023652849</t>
        </is>
      </c>
      <c r="B609" t="n">
        <v>78</v>
      </c>
      <c r="C609" t="n">
        <v>416310</v>
      </c>
      <c r="D609" t="inlineStr">
        <is>
          <t>CONLON</t>
        </is>
      </c>
      <c r="E609" t="inlineStr">
        <is>
          <t>RAYMOND</t>
        </is>
      </c>
      <c r="F609">
        <f>CONCATENATE(D609," ",LEFT(H609,4),"T=",AU609,"D=",AV609,"R=",AW609,"M=",AX609,"L=",AY609,"B=",AZ609)</f>
        <v/>
      </c>
      <c r="G609" t="inlineStr">
        <is>
          <t>PAUL</t>
        </is>
      </c>
      <c r="I609" t="inlineStr">
        <is>
          <t>1982-03-23</t>
        </is>
      </c>
      <c r="J609" t="inlineStr">
        <is>
          <t>2019-01-24</t>
        </is>
      </c>
      <c r="K609" t="inlineStr">
        <is>
          <t>CONFIRMATION</t>
        </is>
      </c>
      <c r="M609" t="inlineStr">
        <is>
          <t>1755 YOUNGSTOWN RD SE</t>
        </is>
      </c>
      <c r="N609">
        <f>RIGHT(M609,LEN(M609)-FIND(" ",M609))</f>
        <v/>
      </c>
      <c r="P609" t="inlineStr">
        <is>
          <t>WARREN</t>
        </is>
      </c>
      <c r="Q609" t="inlineStr">
        <is>
          <t>OH</t>
        </is>
      </c>
      <c r="R609" t="n">
        <v>44484</v>
      </c>
      <c r="AD609" t="inlineStr">
        <is>
          <t>TRUMBULL CAREER &amp; TECH CENTER</t>
        </is>
      </c>
      <c r="AE609" t="inlineStr">
        <is>
          <t>WARREN CITY</t>
        </is>
      </c>
      <c r="AF609" t="inlineStr">
        <is>
          <t>WARREN CITY SD</t>
        </is>
      </c>
      <c r="AH609" t="n">
        <v>14</v>
      </c>
      <c r="AI609" t="n">
        <v>11</v>
      </c>
      <c r="AN609" t="inlineStr">
        <is>
          <t>WARREN</t>
        </is>
      </c>
      <c r="AO609" t="inlineStr">
        <is>
          <t>WARREN CITY 4A</t>
        </is>
      </c>
      <c r="AP609" t="inlineStr">
        <is>
          <t>78-P-ADI</t>
        </is>
      </c>
      <c r="AQ609" t="n">
        <v>9</v>
      </c>
      <c r="AR609" t="n">
        <v>64</v>
      </c>
      <c r="AS609" t="n">
        <v>32</v>
      </c>
      <c r="AU609">
        <f>COUNTA($BA$609:$EH$609)</f>
        <v/>
      </c>
      <c r="AV609">
        <f>COUNTIF($BA$609:$EH$609,"D")</f>
        <v/>
      </c>
      <c r="AW609">
        <f>COUNTIF($BA$609:$EH$609,"R")</f>
        <v/>
      </c>
      <c r="AX609">
        <f>IF(BN609="D",1,0)+IF(BO609="D",1,0)+IF(BT609="D",1,0)+IF(BU609="D",1,0)+IF(BW609="D",1,0)+IF(CC609="D",1,0)+IF(CD609="D",1,0)+IF(CE609="D",1,0)+IF(CF609="D",1,0)+IF(CL609="D",1,0)+IF(CM609="D",1,0)+IF(CQ609="D",1,0)+IF(CR609="D",1,0)+IF(CS609="D",1,0)+IF(CW609="D",1,0)+IF(CX609="D",1,0)+IF(DD609="D",1,0)+IF(DE609="D",1,0)+IF(DJ609="D",1,0)+IF(DK609="D",1,0)+IF(DO609="D",1,0)+IF(DP609="D",1,0)+IF(DQ609="D",1,0)+IF(DW609="D",1,0)+IF(DZ609="D",1,0)+IF(EH609="D",1,0)</f>
        <v/>
      </c>
      <c r="AY609">
        <f>IF(DJ609&lt;&gt;"",1,0)+IF(DK609&lt;&gt;"",1,0)+IF(DM609&lt;&gt;"",1,0)+IF(DO609&lt;&gt;"",1,0)+IF(DP609&lt;&gt;"",1,0)+IF(DQ609&lt;&gt;"",1,0)+IF(DS609&lt;&gt;"",1,0)+IF(DT609&lt;&gt;"",1,0)+IF(DV609&lt;&gt;"",1,0)+IF(DW609&lt;&gt;"",1,0)+IF(DX609&lt;&gt;"",1,0)+IF(DY609&lt;&gt;"",1,0)+IF(DZ609&lt;&gt;"",1,0)+IF(EB609&lt;&gt;"",1,0)+IF(EC609&lt;&gt;"",1,0)+IF(ED609&lt;&gt;"",1,0)+IF(EG609&lt;&gt;"",1,0)+IF(EH609&lt;&gt;"",1,0)</f>
        <v/>
      </c>
      <c r="AZ609">
        <f>IF(EH609&lt;&gt;"",1,0)</f>
        <v/>
      </c>
      <c r="BB609" t="inlineStr">
        <is>
          <t>WARREN-WARD 4</t>
        </is>
      </c>
    </row>
    <row r="610">
      <c r="A610" t="inlineStr">
        <is>
          <t>OH0018615408</t>
        </is>
      </c>
      <c r="B610" t="n">
        <v>78</v>
      </c>
      <c r="C610" t="n">
        <v>341749</v>
      </c>
      <c r="D610" t="inlineStr">
        <is>
          <t>SHADER</t>
        </is>
      </c>
      <c r="E610" t="inlineStr">
        <is>
          <t>ROSE</t>
        </is>
      </c>
      <c r="F610">
        <f>CONCATENATE(D610," ",LEFT(H610,4),"T=",AU610,"D=",AV610,"R=",AW610,"M=",AX610,"L=",AY610,"B=",AZ610)</f>
        <v/>
      </c>
      <c r="G610" t="inlineStr">
        <is>
          <t>MARIE</t>
        </is>
      </c>
      <c r="I610" t="inlineStr">
        <is>
          <t>1949-04-13</t>
        </is>
      </c>
      <c r="J610" t="inlineStr">
        <is>
          <t>2005-11-18</t>
        </is>
      </c>
      <c r="K610" t="inlineStr">
        <is>
          <t>ACTIVE</t>
        </is>
      </c>
      <c r="L610" t="inlineStr">
        <is>
          <t>D</t>
        </is>
      </c>
      <c r="M610" t="inlineStr">
        <is>
          <t>761 WOODBINE AVE SE</t>
        </is>
      </c>
      <c r="N610">
        <f>RIGHT(M610,LEN(M610)-FIND(" ",M610))</f>
        <v/>
      </c>
      <c r="P610" t="inlineStr">
        <is>
          <t>WARREN</t>
        </is>
      </c>
      <c r="Q610" t="inlineStr">
        <is>
          <t>OH</t>
        </is>
      </c>
      <c r="R610" t="n">
        <v>44484</v>
      </c>
      <c r="AD610" t="inlineStr">
        <is>
          <t>TRUMBULL CAREER &amp; TECH CENTER</t>
        </is>
      </c>
      <c r="AE610" t="inlineStr">
        <is>
          <t>WARREN CITY</t>
        </is>
      </c>
      <c r="AF610" t="inlineStr">
        <is>
          <t>WARREN CITY SD</t>
        </is>
      </c>
      <c r="AH610" t="n">
        <v>14</v>
      </c>
      <c r="AI610" t="n">
        <v>11</v>
      </c>
      <c r="AN610" t="inlineStr">
        <is>
          <t>WARREN</t>
        </is>
      </c>
      <c r="AO610" t="inlineStr">
        <is>
          <t>WARREN CITY 4A</t>
        </is>
      </c>
      <c r="AP610" t="inlineStr">
        <is>
          <t>78-P-ADI</t>
        </is>
      </c>
      <c r="AQ610" t="n">
        <v>9</v>
      </c>
      <c r="AR610" t="n">
        <v>64</v>
      </c>
      <c r="AS610" t="n">
        <v>32</v>
      </c>
      <c r="AU610">
        <f>COUNTA($BA$610:$EH$610)</f>
        <v/>
      </c>
      <c r="AV610">
        <f>COUNTIF($BA$610:$EH$610,"D")</f>
        <v/>
      </c>
      <c r="AW610">
        <f>COUNTIF($BA$610:$EH$610,"R")</f>
        <v/>
      </c>
      <c r="AX610">
        <f>IF(BN610="D",1,0)+IF(BO610="D",1,0)+IF(BT610="D",1,0)+IF(BU610="D",1,0)+IF(BW610="D",1,0)+IF(CC610="D",1,0)+IF(CD610="D",1,0)+IF(CE610="D",1,0)+IF(CF610="D",1,0)+IF(CL610="D",1,0)+IF(CM610="D",1,0)+IF(CQ610="D",1,0)+IF(CR610="D",1,0)+IF(CS610="D",1,0)+IF(CW610="D",1,0)+IF(CX610="D",1,0)+IF(DD610="D",1,0)+IF(DE610="D",1,0)+IF(DJ610="D",1,0)+IF(DK610="D",1,0)+IF(DO610="D",1,0)+IF(DP610="D",1,0)+IF(DQ610="D",1,0)+IF(DW610="D",1,0)+IF(DZ610="D",1,0)+IF(EH610="D",1,0)</f>
        <v/>
      </c>
      <c r="AY610">
        <f>IF(DJ610&lt;&gt;"",1,0)+IF(DK610&lt;&gt;"",1,0)+IF(DM610&lt;&gt;"",1,0)+IF(DO610&lt;&gt;"",1,0)+IF(DP610&lt;&gt;"",1,0)+IF(DQ610&lt;&gt;"",1,0)+IF(DS610&lt;&gt;"",1,0)+IF(DT610&lt;&gt;"",1,0)+IF(DV610&lt;&gt;"",1,0)+IF(DW610&lt;&gt;"",1,0)+IF(DX610&lt;&gt;"",1,0)+IF(DY610&lt;&gt;"",1,0)+IF(DZ610&lt;&gt;"",1,0)+IF(EB610&lt;&gt;"",1,0)+IF(EC610&lt;&gt;"",1,0)+IF(ED610&lt;&gt;"",1,0)+IF(EG610&lt;&gt;"",1,0)+IF(EH610&lt;&gt;"",1,0)</f>
        <v/>
      </c>
      <c r="AZ610">
        <f>IF(EH610&lt;&gt;"",1,0)</f>
        <v/>
      </c>
      <c r="BB610" t="inlineStr">
        <is>
          <t>WARREN-WARD 4</t>
        </is>
      </c>
      <c r="BR610" t="inlineStr">
        <is>
          <t>X</t>
        </is>
      </c>
      <c r="BS610" t="inlineStr">
        <is>
          <t>X</t>
        </is>
      </c>
      <c r="BY610" t="inlineStr">
        <is>
          <t>D</t>
        </is>
      </c>
      <c r="CA610" t="inlineStr">
        <is>
          <t>X</t>
        </is>
      </c>
      <c r="CG610" t="inlineStr">
        <is>
          <t>X</t>
        </is>
      </c>
      <c r="CH610" t="inlineStr">
        <is>
          <t>D</t>
        </is>
      </c>
      <c r="CK610" t="inlineStr">
        <is>
          <t>X</t>
        </is>
      </c>
      <c r="CL610" t="inlineStr">
        <is>
          <t>D</t>
        </is>
      </c>
      <c r="CN610" t="inlineStr">
        <is>
          <t>X</t>
        </is>
      </c>
      <c r="CO610" t="inlineStr">
        <is>
          <t>D</t>
        </is>
      </c>
      <c r="CP610" t="inlineStr">
        <is>
          <t>X</t>
        </is>
      </c>
      <c r="CQ610" t="inlineStr">
        <is>
          <t>D</t>
        </is>
      </c>
      <c r="CT610" t="inlineStr">
        <is>
          <t>X</t>
        </is>
      </c>
      <c r="CU610" t="inlineStr">
        <is>
          <t>D</t>
        </is>
      </c>
      <c r="CV610" t="inlineStr">
        <is>
          <t>X</t>
        </is>
      </c>
      <c r="CW610" t="inlineStr">
        <is>
          <t>D</t>
        </is>
      </c>
      <c r="CY610" t="inlineStr">
        <is>
          <t>X</t>
        </is>
      </c>
      <c r="CZ610" t="inlineStr">
        <is>
          <t>D</t>
        </is>
      </c>
      <c r="DC610" t="inlineStr">
        <is>
          <t>X</t>
        </is>
      </c>
      <c r="DD610" t="inlineStr">
        <is>
          <t>D</t>
        </is>
      </c>
      <c r="DF610" t="inlineStr">
        <is>
          <t>X</t>
        </is>
      </c>
      <c r="DG610" t="inlineStr">
        <is>
          <t>D</t>
        </is>
      </c>
      <c r="DI610" t="inlineStr">
        <is>
          <t>X</t>
        </is>
      </c>
      <c r="DJ610" t="inlineStr">
        <is>
          <t>D</t>
        </is>
      </c>
      <c r="DL610" t="inlineStr">
        <is>
          <t>X</t>
        </is>
      </c>
      <c r="DM610" t="inlineStr">
        <is>
          <t>D</t>
        </is>
      </c>
      <c r="DN610" t="inlineStr">
        <is>
          <t>X</t>
        </is>
      </c>
      <c r="DS610" t="inlineStr">
        <is>
          <t>D</t>
        </is>
      </c>
      <c r="DT610" t="inlineStr">
        <is>
          <t>D</t>
        </is>
      </c>
      <c r="DU610" t="inlineStr">
        <is>
          <t>X</t>
        </is>
      </c>
      <c r="DW610" t="inlineStr">
        <is>
          <t>D</t>
        </is>
      </c>
      <c r="DX610" t="inlineStr">
        <is>
          <t>X</t>
        </is>
      </c>
      <c r="EA610" t="inlineStr">
        <is>
          <t>X</t>
        </is>
      </c>
      <c r="ED610" t="inlineStr">
        <is>
          <t>D</t>
        </is>
      </c>
      <c r="EF610" t="inlineStr">
        <is>
          <t>X</t>
        </is>
      </c>
      <c r="EH610" t="inlineStr">
        <is>
          <t>D</t>
        </is>
      </c>
    </row>
    <row r="611">
      <c r="A611" t="inlineStr">
        <is>
          <t>OH0025046771</t>
        </is>
      </c>
      <c r="B611" t="n">
        <v>78</v>
      </c>
      <c r="C611" t="n">
        <v>438455</v>
      </c>
      <c r="D611" t="inlineStr">
        <is>
          <t>SAURUK</t>
        </is>
      </c>
      <c r="E611" t="inlineStr">
        <is>
          <t>CORAL</t>
        </is>
      </c>
      <c r="F611">
        <f>CONCATENATE(D611," ",LEFT(H611,4),"T=",AU611,"D=",AV611,"R=",AW611,"M=",AX611,"L=",AY611,"B=",AZ611)</f>
        <v/>
      </c>
      <c r="G611" t="inlineStr">
        <is>
          <t>JULIANNE</t>
        </is>
      </c>
      <c r="I611" t="inlineStr">
        <is>
          <t>1994-01-17</t>
        </is>
      </c>
      <c r="J611" t="inlineStr">
        <is>
          <t>2019-02-27</t>
        </is>
      </c>
      <c r="K611" t="inlineStr">
        <is>
          <t>CONFIRMATION</t>
        </is>
      </c>
      <c r="M611" t="inlineStr">
        <is>
          <t>820 OAK KNOLL AVE SE</t>
        </is>
      </c>
      <c r="N611">
        <f>RIGHT(M611,LEN(M611)-FIND(" ",M611))</f>
        <v/>
      </c>
      <c r="P611" t="inlineStr">
        <is>
          <t>WARREN</t>
        </is>
      </c>
      <c r="Q611" t="inlineStr">
        <is>
          <t>OH</t>
        </is>
      </c>
      <c r="R611" t="n">
        <v>44484</v>
      </c>
      <c r="AD611" t="inlineStr">
        <is>
          <t>TRUMBULL CAREER &amp; TECH CENTER</t>
        </is>
      </c>
      <c r="AE611" t="inlineStr">
        <is>
          <t>WARREN CITY</t>
        </is>
      </c>
      <c r="AF611" t="inlineStr">
        <is>
          <t>WARREN CITY SD</t>
        </is>
      </c>
      <c r="AH611" t="n">
        <v>14</v>
      </c>
      <c r="AI611" t="n">
        <v>11</v>
      </c>
      <c r="AN611" t="inlineStr">
        <is>
          <t>WARREN</t>
        </is>
      </c>
      <c r="AO611" t="inlineStr">
        <is>
          <t>WARREN CITY 4A</t>
        </is>
      </c>
      <c r="AP611" t="inlineStr">
        <is>
          <t>78-P-ADI</t>
        </is>
      </c>
      <c r="AQ611" t="n">
        <v>9</v>
      </c>
      <c r="AR611" t="n">
        <v>64</v>
      </c>
      <c r="AS611" t="n">
        <v>32</v>
      </c>
      <c r="AU611">
        <f>COUNTA($BA$611:$EH$611)</f>
        <v/>
      </c>
      <c r="AV611">
        <f>COUNTIF($BA$611:$EH$611,"D")</f>
        <v/>
      </c>
      <c r="AW611">
        <f>COUNTIF($BA$611:$EH$611,"R")</f>
        <v/>
      </c>
      <c r="AX611">
        <f>IF(BN611="D",1,0)+IF(BO611="D",1,0)+IF(BT611="D",1,0)+IF(BU611="D",1,0)+IF(BW611="D",1,0)+IF(CC611="D",1,0)+IF(CD611="D",1,0)+IF(CE611="D",1,0)+IF(CF611="D",1,0)+IF(CL611="D",1,0)+IF(CM611="D",1,0)+IF(CQ611="D",1,0)+IF(CR611="D",1,0)+IF(CS611="D",1,0)+IF(CW611="D",1,0)+IF(CX611="D",1,0)+IF(DD611="D",1,0)+IF(DE611="D",1,0)+IF(DJ611="D",1,0)+IF(DK611="D",1,0)+IF(DO611="D",1,0)+IF(DP611="D",1,0)+IF(DQ611="D",1,0)+IF(DW611="D",1,0)+IF(DZ611="D",1,0)+IF(EH611="D",1,0)</f>
        <v/>
      </c>
      <c r="AY611">
        <f>IF(DJ611&lt;&gt;"",1,0)+IF(DK611&lt;&gt;"",1,0)+IF(DM611&lt;&gt;"",1,0)+IF(DO611&lt;&gt;"",1,0)+IF(DP611&lt;&gt;"",1,0)+IF(DQ611&lt;&gt;"",1,0)+IF(DS611&lt;&gt;"",1,0)+IF(DT611&lt;&gt;"",1,0)+IF(DV611&lt;&gt;"",1,0)+IF(DW611&lt;&gt;"",1,0)+IF(DX611&lt;&gt;"",1,0)+IF(DY611&lt;&gt;"",1,0)+IF(DZ611&lt;&gt;"",1,0)+IF(EB611&lt;&gt;"",1,0)+IF(EC611&lt;&gt;"",1,0)+IF(ED611&lt;&gt;"",1,0)+IF(EG611&lt;&gt;"",1,0)+IF(EH611&lt;&gt;"",1,0)</f>
        <v/>
      </c>
      <c r="AZ611">
        <f>IF(EH611&lt;&gt;"",1,0)</f>
        <v/>
      </c>
      <c r="BB611" t="inlineStr">
        <is>
          <t>WARREN-WARD 4</t>
        </is>
      </c>
    </row>
    <row r="612">
      <c r="A612" t="inlineStr">
        <is>
          <t>OH0023649376</t>
        </is>
      </c>
      <c r="B612" t="n">
        <v>78</v>
      </c>
      <c r="C612" t="n">
        <v>416104</v>
      </c>
      <c r="D612" t="inlineStr">
        <is>
          <t>DIBELL</t>
        </is>
      </c>
      <c r="E612" t="inlineStr">
        <is>
          <t>BETHANY</t>
        </is>
      </c>
      <c r="F612">
        <f>CONCATENATE(D612," ",LEFT(H612,4),"T=",AU612,"D=",AV612,"R=",AW612,"M=",AX612,"L=",AY612,"B=",AZ612)</f>
        <v/>
      </c>
      <c r="G612" t="inlineStr">
        <is>
          <t>L</t>
        </is>
      </c>
      <c r="I612" t="inlineStr">
        <is>
          <t>1995-08-07</t>
        </is>
      </c>
      <c r="J612" t="inlineStr">
        <is>
          <t>2020-04-29</t>
        </is>
      </c>
      <c r="K612" t="inlineStr">
        <is>
          <t>CONFIRMATION</t>
        </is>
      </c>
      <c r="M612" t="inlineStr">
        <is>
          <t>325 BONNIE BRAE AVE SE</t>
        </is>
      </c>
      <c r="N612">
        <f>RIGHT(M612,LEN(M612)-FIND(" ",M612))</f>
        <v/>
      </c>
      <c r="P612" t="inlineStr">
        <is>
          <t>WARREN</t>
        </is>
      </c>
      <c r="Q612" t="inlineStr">
        <is>
          <t>OH</t>
        </is>
      </c>
      <c r="R612" t="n">
        <v>44484</v>
      </c>
      <c r="AD612" t="inlineStr">
        <is>
          <t>TRUMBULL CAREER &amp; TECH CENTER</t>
        </is>
      </c>
      <c r="AE612" t="inlineStr">
        <is>
          <t>WARREN CITY</t>
        </is>
      </c>
      <c r="AF612" t="inlineStr">
        <is>
          <t>WARREN CITY SD</t>
        </is>
      </c>
      <c r="AH612" t="n">
        <v>14</v>
      </c>
      <c r="AI612" t="n">
        <v>11</v>
      </c>
      <c r="AN612" t="inlineStr">
        <is>
          <t>WARREN</t>
        </is>
      </c>
      <c r="AO612" t="inlineStr">
        <is>
          <t>WARREN CITY 4A</t>
        </is>
      </c>
      <c r="AP612" t="inlineStr">
        <is>
          <t>78-P-ADI</t>
        </is>
      </c>
      <c r="AQ612" t="n">
        <v>9</v>
      </c>
      <c r="AR612" t="n">
        <v>64</v>
      </c>
      <c r="AS612" t="n">
        <v>32</v>
      </c>
      <c r="AU612">
        <f>COUNTA($BA$612:$EH$612)</f>
        <v/>
      </c>
      <c r="AV612">
        <f>COUNTIF($BA$612:$EH$612,"D")</f>
        <v/>
      </c>
      <c r="AW612">
        <f>COUNTIF($BA$612:$EH$612,"R")</f>
        <v/>
      </c>
      <c r="AX612">
        <f>IF(BN612="D",1,0)+IF(BO612="D",1,0)+IF(BT612="D",1,0)+IF(BU612="D",1,0)+IF(BW612="D",1,0)+IF(CC612="D",1,0)+IF(CD612="D",1,0)+IF(CE612="D",1,0)+IF(CF612="D",1,0)+IF(CL612="D",1,0)+IF(CM612="D",1,0)+IF(CQ612="D",1,0)+IF(CR612="D",1,0)+IF(CS612="D",1,0)+IF(CW612="D",1,0)+IF(CX612="D",1,0)+IF(DD612="D",1,0)+IF(DE612="D",1,0)+IF(DJ612="D",1,0)+IF(DK612="D",1,0)+IF(DO612="D",1,0)+IF(DP612="D",1,0)+IF(DQ612="D",1,0)+IF(DW612="D",1,0)+IF(DZ612="D",1,0)+IF(EH612="D",1,0)</f>
        <v/>
      </c>
      <c r="AY612">
        <f>IF(DJ612&lt;&gt;"",1,0)+IF(DK612&lt;&gt;"",1,0)+IF(DM612&lt;&gt;"",1,0)+IF(DO612&lt;&gt;"",1,0)+IF(DP612&lt;&gt;"",1,0)+IF(DQ612&lt;&gt;"",1,0)+IF(DS612&lt;&gt;"",1,0)+IF(DT612&lt;&gt;"",1,0)+IF(DV612&lt;&gt;"",1,0)+IF(DW612&lt;&gt;"",1,0)+IF(DX612&lt;&gt;"",1,0)+IF(DY612&lt;&gt;"",1,0)+IF(DZ612&lt;&gt;"",1,0)+IF(EB612&lt;&gt;"",1,0)+IF(EC612&lt;&gt;"",1,0)+IF(ED612&lt;&gt;"",1,0)+IF(EG612&lt;&gt;"",1,0)+IF(EH612&lt;&gt;"",1,0)</f>
        <v/>
      </c>
      <c r="AZ612">
        <f>IF(EH612&lt;&gt;"",1,0)</f>
        <v/>
      </c>
      <c r="BB612" t="inlineStr">
        <is>
          <t>WARREN-WARD 4</t>
        </is>
      </c>
      <c r="DC612" t="inlineStr">
        <is>
          <t>X</t>
        </is>
      </c>
      <c r="DN612" t="inlineStr">
        <is>
          <t>X</t>
        </is>
      </c>
    </row>
    <row r="613">
      <c r="A613" t="inlineStr">
        <is>
          <t>OH0025451419</t>
        </is>
      </c>
      <c r="B613" t="n">
        <v>78</v>
      </c>
      <c r="C613" t="n">
        <v>444929</v>
      </c>
      <c r="D613" t="inlineStr">
        <is>
          <t>CRENSHAW</t>
        </is>
      </c>
      <c r="E613" t="inlineStr">
        <is>
          <t>KEONA</t>
        </is>
      </c>
      <c r="F613">
        <f>CONCATENATE(D613," ",LEFT(H613,4),"T=",AU613,"D=",AV613,"R=",AW613,"M=",AX613,"L=",AY613,"B=",AZ613)</f>
        <v/>
      </c>
      <c r="G613" t="inlineStr">
        <is>
          <t>D</t>
        </is>
      </c>
      <c r="I613" t="inlineStr">
        <is>
          <t>2002-04-24</t>
        </is>
      </c>
      <c r="J613" t="inlineStr">
        <is>
          <t>2020-02-14</t>
        </is>
      </c>
      <c r="K613" t="inlineStr">
        <is>
          <t>ACTIVE</t>
        </is>
      </c>
      <c r="M613" t="inlineStr">
        <is>
          <t>637 WOODBINE AVE SE</t>
        </is>
      </c>
      <c r="N613">
        <f>RIGHT(M613,LEN(M613)-FIND(" ",M613))</f>
        <v/>
      </c>
      <c r="P613" t="inlineStr">
        <is>
          <t>WARREN</t>
        </is>
      </c>
      <c r="Q613" t="inlineStr">
        <is>
          <t>OH</t>
        </is>
      </c>
      <c r="R613" t="n">
        <v>44483</v>
      </c>
      <c r="AD613" t="inlineStr">
        <is>
          <t>TRUMBULL CAREER &amp; TECH CENTER</t>
        </is>
      </c>
      <c r="AE613" t="inlineStr">
        <is>
          <t>WARREN CITY</t>
        </is>
      </c>
      <c r="AF613" t="inlineStr">
        <is>
          <t>WARREN CITY SD</t>
        </is>
      </c>
      <c r="AH613" t="n">
        <v>14</v>
      </c>
      <c r="AI613" t="n">
        <v>11</v>
      </c>
      <c r="AN613" t="inlineStr">
        <is>
          <t>WARREN</t>
        </is>
      </c>
      <c r="AO613" t="inlineStr">
        <is>
          <t>WARREN CITY 4A</t>
        </is>
      </c>
      <c r="AP613" t="inlineStr">
        <is>
          <t>78-P-ADI</t>
        </is>
      </c>
      <c r="AQ613" t="n">
        <v>9</v>
      </c>
      <c r="AR613" t="n">
        <v>64</v>
      </c>
      <c r="AS613" t="n">
        <v>32</v>
      </c>
      <c r="AU613">
        <f>COUNTA($BA$613:$EH$613)</f>
        <v/>
      </c>
      <c r="AV613">
        <f>COUNTIF($BA$613:$EH$613,"D")</f>
        <v/>
      </c>
      <c r="AW613">
        <f>COUNTIF($BA$613:$EH$613,"R")</f>
        <v/>
      </c>
      <c r="AX613">
        <f>IF(BN613="D",1,0)+IF(BO613="D",1,0)+IF(BT613="D",1,0)+IF(BU613="D",1,0)+IF(BW613="D",1,0)+IF(CC613="D",1,0)+IF(CD613="D",1,0)+IF(CE613="D",1,0)+IF(CF613="D",1,0)+IF(CL613="D",1,0)+IF(CM613="D",1,0)+IF(CQ613="D",1,0)+IF(CR613="D",1,0)+IF(CS613="D",1,0)+IF(CW613="D",1,0)+IF(CX613="D",1,0)+IF(DD613="D",1,0)+IF(DE613="D",1,0)+IF(DJ613="D",1,0)+IF(DK613="D",1,0)+IF(DO613="D",1,0)+IF(DP613="D",1,0)+IF(DQ613="D",1,0)+IF(DW613="D",1,0)+IF(DZ613="D",1,0)+IF(EH613="D",1,0)</f>
        <v/>
      </c>
      <c r="AY613">
        <f>IF(DJ613&lt;&gt;"",1,0)+IF(DK613&lt;&gt;"",1,0)+IF(DM613&lt;&gt;"",1,0)+IF(DO613&lt;&gt;"",1,0)+IF(DP613&lt;&gt;"",1,0)+IF(DQ613&lt;&gt;"",1,0)+IF(DS613&lt;&gt;"",1,0)+IF(DT613&lt;&gt;"",1,0)+IF(DV613&lt;&gt;"",1,0)+IF(DW613&lt;&gt;"",1,0)+IF(DX613&lt;&gt;"",1,0)+IF(DY613&lt;&gt;"",1,0)+IF(DZ613&lt;&gt;"",1,0)+IF(EB613&lt;&gt;"",1,0)+IF(EC613&lt;&gt;"",1,0)+IF(ED613&lt;&gt;"",1,0)+IF(EG613&lt;&gt;"",1,0)+IF(EH613&lt;&gt;"",1,0)</f>
        <v/>
      </c>
      <c r="AZ613">
        <f>IF(EH613&lt;&gt;"",1,0)</f>
        <v/>
      </c>
      <c r="BB613" t="inlineStr">
        <is>
          <t>WARREN-WARD 4</t>
        </is>
      </c>
      <c r="EA613" t="inlineStr">
        <is>
          <t>X</t>
        </is>
      </c>
      <c r="EF613" t="inlineStr">
        <is>
          <t>X</t>
        </is>
      </c>
    </row>
    <row r="614">
      <c r="A614" t="inlineStr">
        <is>
          <t>OH0022054459</t>
        </is>
      </c>
      <c r="B614" t="n">
        <v>78</v>
      </c>
      <c r="C614" t="n">
        <v>391084</v>
      </c>
      <c r="D614" t="inlineStr">
        <is>
          <t>CROSS</t>
        </is>
      </c>
      <c r="E614" t="inlineStr">
        <is>
          <t>DARLENE</t>
        </is>
      </c>
      <c r="F614">
        <f>CONCATENATE(D614," ",LEFT(H614,4),"T=",AU614,"D=",AV614,"R=",AW614,"M=",AX614,"L=",AY614,"B=",AZ614)</f>
        <v/>
      </c>
      <c r="G614" t="inlineStr">
        <is>
          <t>L</t>
        </is>
      </c>
      <c r="I614" t="inlineStr">
        <is>
          <t>1954-10-17</t>
        </is>
      </c>
      <c r="J614" t="inlineStr">
        <is>
          <t>2024-09-13</t>
        </is>
      </c>
      <c r="K614" t="inlineStr">
        <is>
          <t>ACTIVE</t>
        </is>
      </c>
      <c r="L614" t="inlineStr">
        <is>
          <t>D</t>
        </is>
      </c>
      <c r="M614" t="inlineStr">
        <is>
          <t>608 OAK KNOLL AVE SE</t>
        </is>
      </c>
      <c r="N614">
        <f>RIGHT(M614,LEN(M614)-FIND(" ",M614))</f>
        <v/>
      </c>
      <c r="P614" t="inlineStr">
        <is>
          <t>WARREN</t>
        </is>
      </c>
      <c r="Q614" t="inlineStr">
        <is>
          <t>OH</t>
        </is>
      </c>
      <c r="R614" t="n">
        <v>44483</v>
      </c>
      <c r="AD614" t="inlineStr">
        <is>
          <t>TRUMBULL CAREER &amp; TECH CENTER</t>
        </is>
      </c>
      <c r="AE614" t="inlineStr">
        <is>
          <t>WARREN CITY</t>
        </is>
      </c>
      <c r="AF614" t="inlineStr">
        <is>
          <t>WARREN CITY SD</t>
        </is>
      </c>
      <c r="AH614" t="n">
        <v>14</v>
      </c>
      <c r="AI614" t="n">
        <v>11</v>
      </c>
      <c r="AN614" t="inlineStr">
        <is>
          <t>WARREN</t>
        </is>
      </c>
      <c r="AO614" t="inlineStr">
        <is>
          <t>WARREN CITY 4A</t>
        </is>
      </c>
      <c r="AP614" t="inlineStr">
        <is>
          <t>78-P-ADI</t>
        </is>
      </c>
      <c r="AQ614" t="n">
        <v>9</v>
      </c>
      <c r="AR614" t="n">
        <v>64</v>
      </c>
      <c r="AS614" t="n">
        <v>32</v>
      </c>
      <c r="AU614">
        <f>COUNTA($BA$614:$EH$614)</f>
        <v/>
      </c>
      <c r="AV614">
        <f>COUNTIF($BA$614:$EH$614,"D")</f>
        <v/>
      </c>
      <c r="AW614">
        <f>COUNTIF($BA$614:$EH$614,"R")</f>
        <v/>
      </c>
      <c r="AX614">
        <f>IF(BN614="D",1,0)+IF(BO614="D",1,0)+IF(BT614="D",1,0)+IF(BU614="D",1,0)+IF(BW614="D",1,0)+IF(CC614="D",1,0)+IF(CD614="D",1,0)+IF(CE614="D",1,0)+IF(CF614="D",1,0)+IF(CL614="D",1,0)+IF(CM614="D",1,0)+IF(CQ614="D",1,0)+IF(CR614="D",1,0)+IF(CS614="D",1,0)+IF(CW614="D",1,0)+IF(CX614="D",1,0)+IF(DD614="D",1,0)+IF(DE614="D",1,0)+IF(DJ614="D",1,0)+IF(DK614="D",1,0)+IF(DO614="D",1,0)+IF(DP614="D",1,0)+IF(DQ614="D",1,0)+IF(DW614="D",1,0)+IF(DZ614="D",1,0)+IF(EH614="D",1,0)</f>
        <v/>
      </c>
      <c r="AY614">
        <f>IF(DJ614&lt;&gt;"",1,0)+IF(DK614&lt;&gt;"",1,0)+IF(DM614&lt;&gt;"",1,0)+IF(DO614&lt;&gt;"",1,0)+IF(DP614&lt;&gt;"",1,0)+IF(DQ614&lt;&gt;"",1,0)+IF(DS614&lt;&gt;"",1,0)+IF(DT614&lt;&gt;"",1,0)+IF(DV614&lt;&gt;"",1,0)+IF(DW614&lt;&gt;"",1,0)+IF(DX614&lt;&gt;"",1,0)+IF(DY614&lt;&gt;"",1,0)+IF(DZ614&lt;&gt;"",1,0)+IF(EB614&lt;&gt;"",1,0)+IF(EC614&lt;&gt;"",1,0)+IF(ED614&lt;&gt;"",1,0)+IF(EG614&lt;&gt;"",1,0)+IF(EH614&lt;&gt;"",1,0)</f>
        <v/>
      </c>
      <c r="AZ614">
        <f>IF(EH614&lt;&gt;"",1,0)</f>
        <v/>
      </c>
      <c r="BB614" t="inlineStr">
        <is>
          <t>WARREN-WARD 4</t>
        </is>
      </c>
      <c r="CP614" t="inlineStr">
        <is>
          <t>X</t>
        </is>
      </c>
      <c r="DN614" t="inlineStr">
        <is>
          <t>X</t>
        </is>
      </c>
      <c r="DW614" t="inlineStr">
        <is>
          <t>D</t>
        </is>
      </c>
      <c r="EF614" t="inlineStr">
        <is>
          <t>X</t>
        </is>
      </c>
      <c r="EH614" t="inlineStr">
        <is>
          <t>D</t>
        </is>
      </c>
    </row>
    <row r="615">
      <c r="A615" t="inlineStr">
        <is>
          <t>OH0015739702</t>
        </is>
      </c>
      <c r="B615" t="n">
        <v>78</v>
      </c>
      <c r="C615" t="n">
        <v>322555</v>
      </c>
      <c r="D615" t="inlineStr">
        <is>
          <t>HERNON</t>
        </is>
      </c>
      <c r="E615" t="inlineStr">
        <is>
          <t>JOHN</t>
        </is>
      </c>
      <c r="F615">
        <f>CONCATENATE(D615," ",LEFT(H615,4),"T=",AU615,"D=",AV615,"R=",AW615,"M=",AX615,"L=",AY615,"B=",AZ615)</f>
        <v/>
      </c>
      <c r="G615" t="inlineStr">
        <is>
          <t>R</t>
        </is>
      </c>
      <c r="I615" t="inlineStr">
        <is>
          <t>1979-06-22</t>
        </is>
      </c>
      <c r="J615" t="inlineStr">
        <is>
          <t>2004-04-07</t>
        </is>
      </c>
      <c r="K615" t="inlineStr">
        <is>
          <t>ACTIVE</t>
        </is>
      </c>
      <c r="M615" t="inlineStr">
        <is>
          <t>567 WOODBINE AVE SE</t>
        </is>
      </c>
      <c r="N615">
        <f>RIGHT(M615,LEN(M615)-FIND(" ",M615))</f>
        <v/>
      </c>
      <c r="P615" t="inlineStr">
        <is>
          <t>WARREN</t>
        </is>
      </c>
      <c r="Q615" t="inlineStr">
        <is>
          <t>OH</t>
        </is>
      </c>
      <c r="R615" t="n">
        <v>44483</v>
      </c>
      <c r="AD615" t="inlineStr">
        <is>
          <t>TRUMBULL CAREER &amp; TECH CENTER</t>
        </is>
      </c>
      <c r="AE615" t="inlineStr">
        <is>
          <t>WARREN CITY</t>
        </is>
      </c>
      <c r="AF615" t="inlineStr">
        <is>
          <t>WARREN CITY SD</t>
        </is>
      </c>
      <c r="AH615" t="n">
        <v>14</v>
      </c>
      <c r="AI615" t="n">
        <v>11</v>
      </c>
      <c r="AN615" t="inlineStr">
        <is>
          <t>WARREN</t>
        </is>
      </c>
      <c r="AO615" t="inlineStr">
        <is>
          <t>WARREN CITY 4A</t>
        </is>
      </c>
      <c r="AP615" t="inlineStr">
        <is>
          <t>78-P-ADI</t>
        </is>
      </c>
      <c r="AQ615" t="n">
        <v>9</v>
      </c>
      <c r="AR615" t="n">
        <v>64</v>
      </c>
      <c r="AS615" t="n">
        <v>32</v>
      </c>
      <c r="AU615">
        <f>COUNTA($BA$615:$EH$615)</f>
        <v/>
      </c>
      <c r="AV615">
        <f>COUNTIF($BA$615:$EH$615,"D")</f>
        <v/>
      </c>
      <c r="AW615">
        <f>COUNTIF($BA$615:$EH$615,"R")</f>
        <v/>
      </c>
      <c r="AX615">
        <f>IF(BN615="D",1,0)+IF(BO615="D",1,0)+IF(BT615="D",1,0)+IF(BU615="D",1,0)+IF(BW615="D",1,0)+IF(CC615="D",1,0)+IF(CD615="D",1,0)+IF(CE615="D",1,0)+IF(CF615="D",1,0)+IF(CL615="D",1,0)+IF(CM615="D",1,0)+IF(CQ615="D",1,0)+IF(CR615="D",1,0)+IF(CS615="D",1,0)+IF(CW615="D",1,0)+IF(CX615="D",1,0)+IF(DD615="D",1,0)+IF(DE615="D",1,0)+IF(DJ615="D",1,0)+IF(DK615="D",1,0)+IF(DO615="D",1,0)+IF(DP615="D",1,0)+IF(DQ615="D",1,0)+IF(DW615="D",1,0)+IF(DZ615="D",1,0)+IF(EH615="D",1,0)</f>
        <v/>
      </c>
      <c r="AY615">
        <f>IF(DJ615&lt;&gt;"",1,0)+IF(DK615&lt;&gt;"",1,0)+IF(DM615&lt;&gt;"",1,0)+IF(DO615&lt;&gt;"",1,0)+IF(DP615&lt;&gt;"",1,0)+IF(DQ615&lt;&gt;"",1,0)+IF(DS615&lt;&gt;"",1,0)+IF(DT615&lt;&gt;"",1,0)+IF(DV615&lt;&gt;"",1,0)+IF(DW615&lt;&gt;"",1,0)+IF(DX615&lt;&gt;"",1,0)+IF(DY615&lt;&gt;"",1,0)+IF(DZ615&lt;&gt;"",1,0)+IF(EB615&lt;&gt;"",1,0)+IF(EC615&lt;&gt;"",1,0)+IF(ED615&lt;&gt;"",1,0)+IF(EG615&lt;&gt;"",1,0)+IF(EH615&lt;&gt;"",1,0)</f>
        <v/>
      </c>
      <c r="AZ615">
        <f>IF(EH615&lt;&gt;"",1,0)</f>
        <v/>
      </c>
      <c r="BB615" t="inlineStr">
        <is>
          <t>WARREN-WARD 4</t>
        </is>
      </c>
      <c r="BL615" t="inlineStr">
        <is>
          <t>X</t>
        </is>
      </c>
      <c r="CA615" t="inlineStr">
        <is>
          <t>X</t>
        </is>
      </c>
      <c r="CL615" t="inlineStr">
        <is>
          <t>D</t>
        </is>
      </c>
      <c r="CN615" t="inlineStr">
        <is>
          <t>X</t>
        </is>
      </c>
      <c r="CY615" t="inlineStr">
        <is>
          <t>X</t>
        </is>
      </c>
      <c r="DC615" t="inlineStr">
        <is>
          <t>X</t>
        </is>
      </c>
    </row>
    <row r="616">
      <c r="A616" t="inlineStr">
        <is>
          <t>OH0023632834</t>
        </is>
      </c>
      <c r="B616" t="n">
        <v>78</v>
      </c>
      <c r="C616" t="n">
        <v>415288</v>
      </c>
      <c r="D616" t="inlineStr">
        <is>
          <t>YOCOLANO</t>
        </is>
      </c>
      <c r="E616" t="inlineStr">
        <is>
          <t>KATHY</t>
        </is>
      </c>
      <c r="F616">
        <f>CONCATENATE(D616," ",LEFT(H616,4),"T=",AU616,"D=",AV616,"R=",AW616,"M=",AX616,"L=",AY616,"B=",AZ616)</f>
        <v/>
      </c>
      <c r="I616" t="inlineStr">
        <is>
          <t>1951-04-17</t>
        </is>
      </c>
      <c r="J616" t="inlineStr">
        <is>
          <t>2016-03-08</t>
        </is>
      </c>
      <c r="K616" t="inlineStr">
        <is>
          <t>ACTIVE</t>
        </is>
      </c>
      <c r="L616" t="inlineStr">
        <is>
          <t>R</t>
        </is>
      </c>
      <c r="M616" t="inlineStr">
        <is>
          <t>617 WOODBINE AVE SE</t>
        </is>
      </c>
      <c r="N616">
        <f>RIGHT(M616,LEN(M616)-FIND(" ",M616))</f>
        <v/>
      </c>
      <c r="P616" t="inlineStr">
        <is>
          <t>WARREN</t>
        </is>
      </c>
      <c r="Q616" t="inlineStr">
        <is>
          <t>OH</t>
        </is>
      </c>
      <c r="R616" t="n">
        <v>44483</v>
      </c>
      <c r="AD616" t="inlineStr">
        <is>
          <t>TRUMBULL CAREER &amp; TECH CENTER</t>
        </is>
      </c>
      <c r="AE616" t="inlineStr">
        <is>
          <t>WARREN CITY</t>
        </is>
      </c>
      <c r="AF616" t="inlineStr">
        <is>
          <t>WARREN CITY SD</t>
        </is>
      </c>
      <c r="AH616" t="n">
        <v>14</v>
      </c>
      <c r="AI616" t="n">
        <v>11</v>
      </c>
      <c r="AN616" t="inlineStr">
        <is>
          <t>WARREN</t>
        </is>
      </c>
      <c r="AO616" t="inlineStr">
        <is>
          <t>WARREN CITY 4A</t>
        </is>
      </c>
      <c r="AP616" t="inlineStr">
        <is>
          <t>78-P-ADI</t>
        </is>
      </c>
      <c r="AQ616" t="n">
        <v>9</v>
      </c>
      <c r="AR616" t="n">
        <v>64</v>
      </c>
      <c r="AS616" t="n">
        <v>32</v>
      </c>
      <c r="AU616">
        <f>COUNTA($BA$616:$EH$616)</f>
        <v/>
      </c>
      <c r="AV616">
        <f>COUNTIF($BA$616:$EH$616,"D")</f>
        <v/>
      </c>
      <c r="AW616">
        <f>COUNTIF($BA$616:$EH$616,"R")</f>
        <v/>
      </c>
      <c r="AX616">
        <f>IF(BN616="D",1,0)+IF(BO616="D",1,0)+IF(BT616="D",1,0)+IF(BU616="D",1,0)+IF(BW616="D",1,0)+IF(CC616="D",1,0)+IF(CD616="D",1,0)+IF(CE616="D",1,0)+IF(CF616="D",1,0)+IF(CL616="D",1,0)+IF(CM616="D",1,0)+IF(CQ616="D",1,0)+IF(CR616="D",1,0)+IF(CS616="D",1,0)+IF(CW616="D",1,0)+IF(CX616="D",1,0)+IF(DD616="D",1,0)+IF(DE616="D",1,0)+IF(DJ616="D",1,0)+IF(DK616="D",1,0)+IF(DO616="D",1,0)+IF(DP616="D",1,0)+IF(DQ616="D",1,0)+IF(DW616="D",1,0)+IF(DZ616="D",1,0)+IF(EH616="D",1,0)</f>
        <v/>
      </c>
      <c r="AY616">
        <f>IF(DJ616&lt;&gt;"",1,0)+IF(DK616&lt;&gt;"",1,0)+IF(DM616&lt;&gt;"",1,0)+IF(DO616&lt;&gt;"",1,0)+IF(DP616&lt;&gt;"",1,0)+IF(DQ616&lt;&gt;"",1,0)+IF(DS616&lt;&gt;"",1,0)+IF(DT616&lt;&gt;"",1,0)+IF(DV616&lt;&gt;"",1,0)+IF(DW616&lt;&gt;"",1,0)+IF(DX616&lt;&gt;"",1,0)+IF(DY616&lt;&gt;"",1,0)+IF(DZ616&lt;&gt;"",1,0)+IF(EB616&lt;&gt;"",1,0)+IF(EC616&lt;&gt;"",1,0)+IF(ED616&lt;&gt;"",1,0)+IF(EG616&lt;&gt;"",1,0)+IF(EH616&lt;&gt;"",1,0)</f>
        <v/>
      </c>
      <c r="AZ616">
        <f>IF(EH616&lt;&gt;"",1,0)</f>
        <v/>
      </c>
      <c r="BB616" t="inlineStr">
        <is>
          <t>WARREN-WARD 4</t>
        </is>
      </c>
      <c r="DC616" t="inlineStr">
        <is>
          <t>X</t>
        </is>
      </c>
      <c r="DG616" t="inlineStr">
        <is>
          <t>R</t>
        </is>
      </c>
      <c r="DI616" t="inlineStr">
        <is>
          <t>X</t>
        </is>
      </c>
      <c r="DM616" t="inlineStr">
        <is>
          <t>R</t>
        </is>
      </c>
      <c r="DN616" t="inlineStr">
        <is>
          <t>X</t>
        </is>
      </c>
      <c r="DS616" t="inlineStr">
        <is>
          <t>R</t>
        </is>
      </c>
      <c r="DU616" t="inlineStr">
        <is>
          <t>X</t>
        </is>
      </c>
      <c r="DX616" t="inlineStr">
        <is>
          <t>X</t>
        </is>
      </c>
      <c r="ED616" t="inlineStr">
        <is>
          <t>R</t>
        </is>
      </c>
      <c r="EF616" t="inlineStr">
        <is>
          <t>X</t>
        </is>
      </c>
    </row>
    <row r="617">
      <c r="A617" t="inlineStr">
        <is>
          <t>OH0015811070</t>
        </is>
      </c>
      <c r="B617" t="n">
        <v>78</v>
      </c>
      <c r="C617" t="n">
        <v>261083</v>
      </c>
      <c r="D617" t="inlineStr">
        <is>
          <t>STAN</t>
        </is>
      </c>
      <c r="E617" t="inlineStr">
        <is>
          <t>JAMES</t>
        </is>
      </c>
      <c r="F617">
        <f>CONCATENATE(D617," ",LEFT(H617,4),"T=",AU617,"D=",AV617,"R=",AW617,"M=",AX617,"L=",AY617,"B=",AZ617)</f>
        <v/>
      </c>
      <c r="G617" t="inlineStr">
        <is>
          <t>P</t>
        </is>
      </c>
      <c r="I617" t="inlineStr">
        <is>
          <t>1963-03-24</t>
        </is>
      </c>
      <c r="J617" t="inlineStr">
        <is>
          <t>1995-04-07</t>
        </is>
      </c>
      <c r="K617" t="inlineStr">
        <is>
          <t>ACTIVE</t>
        </is>
      </c>
      <c r="L617" t="inlineStr">
        <is>
          <t>R</t>
        </is>
      </c>
      <c r="M617" t="inlineStr">
        <is>
          <t>244 WOODBINE AVE SE</t>
        </is>
      </c>
      <c r="N617">
        <f>RIGHT(M617,LEN(M617)-FIND(" ",M617))</f>
        <v/>
      </c>
      <c r="P617" t="inlineStr">
        <is>
          <t>WARREN</t>
        </is>
      </c>
      <c r="Q617" t="inlineStr">
        <is>
          <t>OH</t>
        </is>
      </c>
      <c r="R617" t="n">
        <v>44483</v>
      </c>
      <c r="AD617" t="inlineStr">
        <is>
          <t>TRUMBULL CAREER &amp; TECH CENTER</t>
        </is>
      </c>
      <c r="AE617" t="inlineStr">
        <is>
          <t>WARREN CITY</t>
        </is>
      </c>
      <c r="AF617" t="inlineStr">
        <is>
          <t>WARREN CITY SD</t>
        </is>
      </c>
      <c r="AH617" t="n">
        <v>14</v>
      </c>
      <c r="AI617" t="n">
        <v>11</v>
      </c>
      <c r="AN617" t="inlineStr">
        <is>
          <t>WARREN</t>
        </is>
      </c>
      <c r="AO617" t="inlineStr">
        <is>
          <t>WARREN CITY 4A</t>
        </is>
      </c>
      <c r="AP617" t="inlineStr">
        <is>
          <t>78-P-ADI</t>
        </is>
      </c>
      <c r="AQ617" t="n">
        <v>9</v>
      </c>
      <c r="AR617" t="n">
        <v>64</v>
      </c>
      <c r="AS617" t="n">
        <v>32</v>
      </c>
      <c r="AU617">
        <f>COUNTA($BA$617:$EH$617)</f>
        <v/>
      </c>
      <c r="AV617">
        <f>COUNTIF($BA$617:$EH$617,"D")</f>
        <v/>
      </c>
      <c r="AW617">
        <f>COUNTIF($BA$617:$EH$617,"R")</f>
        <v/>
      </c>
      <c r="AX617">
        <f>IF(BN617="D",1,0)+IF(BO617="D",1,0)+IF(BT617="D",1,0)+IF(BU617="D",1,0)+IF(BW617="D",1,0)+IF(CC617="D",1,0)+IF(CD617="D",1,0)+IF(CE617="D",1,0)+IF(CF617="D",1,0)+IF(CL617="D",1,0)+IF(CM617="D",1,0)+IF(CQ617="D",1,0)+IF(CR617="D",1,0)+IF(CS617="D",1,0)+IF(CW617="D",1,0)+IF(CX617="D",1,0)+IF(DD617="D",1,0)+IF(DE617="D",1,0)+IF(DJ617="D",1,0)+IF(DK617="D",1,0)+IF(DO617="D",1,0)+IF(DP617="D",1,0)+IF(DQ617="D",1,0)+IF(DW617="D",1,0)+IF(DZ617="D",1,0)+IF(EH617="D",1,0)</f>
        <v/>
      </c>
      <c r="AY617">
        <f>IF(DJ617&lt;&gt;"",1,0)+IF(DK617&lt;&gt;"",1,0)+IF(DM617&lt;&gt;"",1,0)+IF(DO617&lt;&gt;"",1,0)+IF(DP617&lt;&gt;"",1,0)+IF(DQ617&lt;&gt;"",1,0)+IF(DS617&lt;&gt;"",1,0)+IF(DT617&lt;&gt;"",1,0)+IF(DV617&lt;&gt;"",1,0)+IF(DW617&lt;&gt;"",1,0)+IF(DX617&lt;&gt;"",1,0)+IF(DY617&lt;&gt;"",1,0)+IF(DZ617&lt;&gt;"",1,0)+IF(EB617&lt;&gt;"",1,0)+IF(EC617&lt;&gt;"",1,0)+IF(ED617&lt;&gt;"",1,0)+IF(EG617&lt;&gt;"",1,0)+IF(EH617&lt;&gt;"",1,0)</f>
        <v/>
      </c>
      <c r="AZ617">
        <f>IF(EH617&lt;&gt;"",1,0)</f>
        <v/>
      </c>
      <c r="BB617" t="inlineStr">
        <is>
          <t>WARREN-WARD 4</t>
        </is>
      </c>
      <c r="BC617" t="inlineStr">
        <is>
          <t>X</t>
        </is>
      </c>
      <c r="BD617" t="inlineStr">
        <is>
          <t>X</t>
        </is>
      </c>
      <c r="BG617" t="inlineStr">
        <is>
          <t>X</t>
        </is>
      </c>
      <c r="BH617" t="inlineStr">
        <is>
          <t>X</t>
        </is>
      </c>
      <c r="BJ617" t="inlineStr">
        <is>
          <t>X</t>
        </is>
      </c>
      <c r="BK617" t="inlineStr">
        <is>
          <t>X</t>
        </is>
      </c>
      <c r="BL617" t="inlineStr">
        <is>
          <t>X</t>
        </is>
      </c>
      <c r="BP617" t="inlineStr">
        <is>
          <t>X</t>
        </is>
      </c>
      <c r="BR617" t="inlineStr">
        <is>
          <t>X</t>
        </is>
      </c>
      <c r="BS617" t="inlineStr">
        <is>
          <t>X</t>
        </is>
      </c>
      <c r="BV617" t="inlineStr">
        <is>
          <t>X</t>
        </is>
      </c>
      <c r="BY617" t="inlineStr">
        <is>
          <t>D</t>
        </is>
      </c>
      <c r="CA617" t="inlineStr">
        <is>
          <t>X</t>
        </is>
      </c>
      <c r="CK617" t="inlineStr">
        <is>
          <t>X</t>
        </is>
      </c>
      <c r="CL617" t="inlineStr">
        <is>
          <t>D</t>
        </is>
      </c>
      <c r="CN617" t="inlineStr">
        <is>
          <t>X</t>
        </is>
      </c>
      <c r="CP617" t="inlineStr">
        <is>
          <t>X</t>
        </is>
      </c>
      <c r="CU617" t="inlineStr">
        <is>
          <t>D</t>
        </is>
      </c>
      <c r="CV617" t="inlineStr">
        <is>
          <t>X</t>
        </is>
      </c>
      <c r="CY617" t="inlineStr">
        <is>
          <t>X</t>
        </is>
      </c>
      <c r="CZ617" t="inlineStr">
        <is>
          <t>D</t>
        </is>
      </c>
      <c r="DC617" t="inlineStr">
        <is>
          <t>X</t>
        </is>
      </c>
      <c r="DF617" t="inlineStr">
        <is>
          <t>X</t>
        </is>
      </c>
      <c r="DG617" t="inlineStr">
        <is>
          <t>D</t>
        </is>
      </c>
      <c r="DI617" t="inlineStr">
        <is>
          <t>X</t>
        </is>
      </c>
      <c r="DN617" t="inlineStr">
        <is>
          <t>X</t>
        </is>
      </c>
      <c r="DS617" t="inlineStr">
        <is>
          <t>D</t>
        </is>
      </c>
      <c r="DU617" t="inlineStr">
        <is>
          <t>X</t>
        </is>
      </c>
      <c r="DX617" t="inlineStr">
        <is>
          <t>X</t>
        </is>
      </c>
      <c r="EA617" t="inlineStr">
        <is>
          <t>X</t>
        </is>
      </c>
      <c r="ED617" t="inlineStr">
        <is>
          <t>R</t>
        </is>
      </c>
      <c r="EF617" t="inlineStr">
        <is>
          <t>X</t>
        </is>
      </c>
    </row>
    <row r="618">
      <c r="A618" t="inlineStr">
        <is>
          <t>OH0022640787</t>
        </is>
      </c>
      <c r="B618" t="n">
        <v>78</v>
      </c>
      <c r="C618" t="n">
        <v>399472</v>
      </c>
      <c r="D618" t="inlineStr">
        <is>
          <t>HUGHES</t>
        </is>
      </c>
      <c r="E618" t="inlineStr">
        <is>
          <t>JOSHUA</t>
        </is>
      </c>
      <c r="F618">
        <f>CONCATENATE(D618," ",LEFT(H618,4),"T=",AU618,"D=",AV618,"R=",AW618,"M=",AX618,"L=",AY618,"B=",AZ618)</f>
        <v/>
      </c>
      <c r="G618" t="inlineStr">
        <is>
          <t>N</t>
        </is>
      </c>
      <c r="I618" t="inlineStr">
        <is>
          <t>1993-10-07</t>
        </is>
      </c>
      <c r="J618" t="inlineStr">
        <is>
          <t>2023-01-25</t>
        </is>
      </c>
      <c r="K618" t="inlineStr">
        <is>
          <t>ACTIVE</t>
        </is>
      </c>
      <c r="M618" t="inlineStr">
        <is>
          <t>726 ADELAIDE AVE SE</t>
        </is>
      </c>
      <c r="N618">
        <f>RIGHT(M618,LEN(M618)-FIND(" ",M618))</f>
        <v/>
      </c>
      <c r="P618" t="inlineStr">
        <is>
          <t>WARREN</t>
        </is>
      </c>
      <c r="Q618" t="inlineStr">
        <is>
          <t>OH</t>
        </is>
      </c>
      <c r="R618" t="n">
        <v>44484</v>
      </c>
      <c r="AD618" t="inlineStr">
        <is>
          <t>TRUMBULL CAREER &amp; TECH CENTER</t>
        </is>
      </c>
      <c r="AE618" t="inlineStr">
        <is>
          <t>WARREN CITY</t>
        </is>
      </c>
      <c r="AF618" t="inlineStr">
        <is>
          <t>WARREN CITY SD</t>
        </is>
      </c>
      <c r="AH618" t="n">
        <v>14</v>
      </c>
      <c r="AI618" t="n">
        <v>11</v>
      </c>
      <c r="AN618" t="inlineStr">
        <is>
          <t>WARREN</t>
        </is>
      </c>
      <c r="AO618" t="inlineStr">
        <is>
          <t>WARREN CITY 4A</t>
        </is>
      </c>
      <c r="AP618" t="inlineStr">
        <is>
          <t>78-P-ADI</t>
        </is>
      </c>
      <c r="AQ618" t="n">
        <v>9</v>
      </c>
      <c r="AR618" t="n">
        <v>64</v>
      </c>
      <c r="AS618" t="n">
        <v>32</v>
      </c>
      <c r="AU618">
        <f>COUNTA($BA$618:$EH$618)</f>
        <v/>
      </c>
      <c r="AV618">
        <f>COUNTIF($BA$618:$EH$618,"D")</f>
        <v/>
      </c>
      <c r="AW618">
        <f>COUNTIF($BA$618:$EH$618,"R")</f>
        <v/>
      </c>
      <c r="AX618">
        <f>IF(BN618="D",1,0)+IF(BO618="D",1,0)+IF(BT618="D",1,0)+IF(BU618="D",1,0)+IF(BW618="D",1,0)+IF(CC618="D",1,0)+IF(CD618="D",1,0)+IF(CE618="D",1,0)+IF(CF618="D",1,0)+IF(CL618="D",1,0)+IF(CM618="D",1,0)+IF(CQ618="D",1,0)+IF(CR618="D",1,0)+IF(CS618="D",1,0)+IF(CW618="D",1,0)+IF(CX618="D",1,0)+IF(DD618="D",1,0)+IF(DE618="D",1,0)+IF(DJ618="D",1,0)+IF(DK618="D",1,0)+IF(DO618="D",1,0)+IF(DP618="D",1,0)+IF(DQ618="D",1,0)+IF(DW618="D",1,0)+IF(DZ618="D",1,0)+IF(EH618="D",1,0)</f>
        <v/>
      </c>
      <c r="AY618">
        <f>IF(DJ618&lt;&gt;"",1,0)+IF(DK618&lt;&gt;"",1,0)+IF(DM618&lt;&gt;"",1,0)+IF(DO618&lt;&gt;"",1,0)+IF(DP618&lt;&gt;"",1,0)+IF(DQ618&lt;&gt;"",1,0)+IF(DS618&lt;&gt;"",1,0)+IF(DT618&lt;&gt;"",1,0)+IF(DV618&lt;&gt;"",1,0)+IF(DW618&lt;&gt;"",1,0)+IF(DX618&lt;&gt;"",1,0)+IF(DY618&lt;&gt;"",1,0)+IF(DZ618&lt;&gt;"",1,0)+IF(EB618&lt;&gt;"",1,0)+IF(EC618&lt;&gt;"",1,0)+IF(ED618&lt;&gt;"",1,0)+IF(EG618&lt;&gt;"",1,0)+IF(EH618&lt;&gt;"",1,0)</f>
        <v/>
      </c>
      <c r="AZ618">
        <f>IF(EH618&lt;&gt;"",1,0)</f>
        <v/>
      </c>
      <c r="BB618" t="inlineStr">
        <is>
          <t>WARREN-WARD 4</t>
        </is>
      </c>
      <c r="EA618" t="inlineStr">
        <is>
          <t>X</t>
        </is>
      </c>
      <c r="EF618" t="inlineStr">
        <is>
          <t>X</t>
        </is>
      </c>
    </row>
    <row r="619">
      <c r="A619" t="inlineStr">
        <is>
          <t>OH0024598605</t>
        </is>
      </c>
      <c r="B619" t="n">
        <v>78</v>
      </c>
      <c r="C619" t="n">
        <v>431143</v>
      </c>
      <c r="D619" t="inlineStr">
        <is>
          <t>FRANCIS</t>
        </is>
      </c>
      <c r="E619" t="inlineStr">
        <is>
          <t>DANIEL</t>
        </is>
      </c>
      <c r="F619">
        <f>CONCATENATE(D619," ",LEFT(H619,4),"T=",AU619,"D=",AV619,"R=",AW619,"M=",AX619,"L=",AY619,"B=",AZ619)</f>
        <v/>
      </c>
      <c r="G619" t="inlineStr">
        <is>
          <t>R</t>
        </is>
      </c>
      <c r="I619" t="inlineStr">
        <is>
          <t>1966-10-01</t>
        </is>
      </c>
      <c r="J619" t="inlineStr">
        <is>
          <t>2019-08-18</t>
        </is>
      </c>
      <c r="K619" t="inlineStr">
        <is>
          <t>CONFIRMATION</t>
        </is>
      </c>
      <c r="M619" t="inlineStr">
        <is>
          <t>742 LAIRD AVE SE</t>
        </is>
      </c>
      <c r="N619">
        <f>RIGHT(M619,LEN(M619)-FIND(" ",M619))</f>
        <v/>
      </c>
      <c r="P619" t="inlineStr">
        <is>
          <t>WARREN</t>
        </is>
      </c>
      <c r="Q619" t="inlineStr">
        <is>
          <t>OH</t>
        </is>
      </c>
      <c r="R619" t="n">
        <v>44484</v>
      </c>
      <c r="AD619" t="inlineStr">
        <is>
          <t>TRUMBULL CAREER &amp; TECH CENTER</t>
        </is>
      </c>
      <c r="AE619" t="inlineStr">
        <is>
          <t>WARREN CITY</t>
        </is>
      </c>
      <c r="AF619" t="inlineStr">
        <is>
          <t>WARREN CITY SD</t>
        </is>
      </c>
      <c r="AH619" t="n">
        <v>14</v>
      </c>
      <c r="AI619" t="n">
        <v>11</v>
      </c>
      <c r="AN619" t="inlineStr">
        <is>
          <t>WARREN</t>
        </is>
      </c>
      <c r="AO619" t="inlineStr">
        <is>
          <t>WARREN CITY 4A</t>
        </is>
      </c>
      <c r="AP619" t="inlineStr">
        <is>
          <t>78-P-ADI</t>
        </is>
      </c>
      <c r="AQ619" t="n">
        <v>9</v>
      </c>
      <c r="AR619" t="n">
        <v>64</v>
      </c>
      <c r="AS619" t="n">
        <v>32</v>
      </c>
      <c r="AU619">
        <f>COUNTA($BA$619:$EH$619)</f>
        <v/>
      </c>
      <c r="AV619">
        <f>COUNTIF($BA$619:$EH$619,"D")</f>
        <v/>
      </c>
      <c r="AW619">
        <f>COUNTIF($BA$619:$EH$619,"R")</f>
        <v/>
      </c>
      <c r="AX619">
        <f>IF(BN619="D",1,0)+IF(BO619="D",1,0)+IF(BT619="D",1,0)+IF(BU619="D",1,0)+IF(BW619="D",1,0)+IF(CC619="D",1,0)+IF(CD619="D",1,0)+IF(CE619="D",1,0)+IF(CF619="D",1,0)+IF(CL619="D",1,0)+IF(CM619="D",1,0)+IF(CQ619="D",1,0)+IF(CR619="D",1,0)+IF(CS619="D",1,0)+IF(CW619="D",1,0)+IF(CX619="D",1,0)+IF(DD619="D",1,0)+IF(DE619="D",1,0)+IF(DJ619="D",1,0)+IF(DK619="D",1,0)+IF(DO619="D",1,0)+IF(DP619="D",1,0)+IF(DQ619="D",1,0)+IF(DW619="D",1,0)+IF(DZ619="D",1,0)+IF(EH619="D",1,0)</f>
        <v/>
      </c>
      <c r="AY619">
        <f>IF(DJ619&lt;&gt;"",1,0)+IF(DK619&lt;&gt;"",1,0)+IF(DM619&lt;&gt;"",1,0)+IF(DO619&lt;&gt;"",1,0)+IF(DP619&lt;&gt;"",1,0)+IF(DQ619&lt;&gt;"",1,0)+IF(DS619&lt;&gt;"",1,0)+IF(DT619&lt;&gt;"",1,0)+IF(DV619&lt;&gt;"",1,0)+IF(DW619&lt;&gt;"",1,0)+IF(DX619&lt;&gt;"",1,0)+IF(DY619&lt;&gt;"",1,0)+IF(DZ619&lt;&gt;"",1,0)+IF(EB619&lt;&gt;"",1,0)+IF(EC619&lt;&gt;"",1,0)+IF(ED619&lt;&gt;"",1,0)+IF(EG619&lt;&gt;"",1,0)+IF(EH619&lt;&gt;"",1,0)</f>
        <v/>
      </c>
      <c r="AZ619">
        <f>IF(EH619&lt;&gt;"",1,0)</f>
        <v/>
      </c>
      <c r="BB619" t="inlineStr">
        <is>
          <t>WARREN-WARD 4</t>
        </is>
      </c>
      <c r="DC619" t="inlineStr">
        <is>
          <t>X</t>
        </is>
      </c>
      <c r="DG619" t="inlineStr">
        <is>
          <t>R</t>
        </is>
      </c>
      <c r="DI619" t="inlineStr">
        <is>
          <t>X</t>
        </is>
      </c>
    </row>
    <row r="620">
      <c r="A620" t="inlineStr">
        <is>
          <t>OH0026063393</t>
        </is>
      </c>
      <c r="B620" t="n">
        <v>78</v>
      </c>
      <c r="C620" t="n">
        <v>455171</v>
      </c>
      <c r="D620" t="inlineStr">
        <is>
          <t>GUNTHER</t>
        </is>
      </c>
      <c r="E620" t="inlineStr">
        <is>
          <t>DENNIS</t>
        </is>
      </c>
      <c r="F620">
        <f>CONCATENATE(D620," ",LEFT(H620,4),"T=",AU620,"D=",AV620,"R=",AW620,"M=",AX620,"L=",AY620,"B=",AZ620)</f>
        <v/>
      </c>
      <c r="G620" t="inlineStr">
        <is>
          <t>M</t>
        </is>
      </c>
      <c r="I620" t="inlineStr">
        <is>
          <t>1967-09-12</t>
        </is>
      </c>
      <c r="J620" t="inlineStr">
        <is>
          <t>2020-11-03</t>
        </is>
      </c>
      <c r="K620" t="inlineStr">
        <is>
          <t>CONFIRMATION</t>
        </is>
      </c>
      <c r="M620" t="inlineStr">
        <is>
          <t>403 WOODBINE AVE SE</t>
        </is>
      </c>
      <c r="N620">
        <f>RIGHT(M620,LEN(M620)-FIND(" ",M620))</f>
        <v/>
      </c>
      <c r="P620" t="inlineStr">
        <is>
          <t>WARREN</t>
        </is>
      </c>
      <c r="Q620" t="inlineStr">
        <is>
          <t>OH</t>
        </is>
      </c>
      <c r="R620" t="n">
        <v>44483</v>
      </c>
      <c r="AD620" t="inlineStr">
        <is>
          <t>TRUMBULL CAREER &amp; TECH CENTER</t>
        </is>
      </c>
      <c r="AE620" t="inlineStr">
        <is>
          <t>WARREN CITY</t>
        </is>
      </c>
      <c r="AF620" t="inlineStr">
        <is>
          <t>WARREN CITY SD</t>
        </is>
      </c>
      <c r="AH620" t="n">
        <v>14</v>
      </c>
      <c r="AI620" t="n">
        <v>11</v>
      </c>
      <c r="AN620" t="inlineStr">
        <is>
          <t>WARREN</t>
        </is>
      </c>
      <c r="AO620" t="inlineStr">
        <is>
          <t>WARREN CITY 4A</t>
        </is>
      </c>
      <c r="AP620" t="inlineStr">
        <is>
          <t>78-P-ADI</t>
        </is>
      </c>
      <c r="AQ620" t="n">
        <v>9</v>
      </c>
      <c r="AR620" t="n">
        <v>64</v>
      </c>
      <c r="AS620" t="n">
        <v>32</v>
      </c>
      <c r="AU620">
        <f>COUNTA($BA$620:$EH$620)</f>
        <v/>
      </c>
      <c r="AV620">
        <f>COUNTIF($BA$620:$EH$620,"D")</f>
        <v/>
      </c>
      <c r="AW620">
        <f>COUNTIF($BA$620:$EH$620,"R")</f>
        <v/>
      </c>
      <c r="AX620">
        <f>IF(BN620="D",1,0)+IF(BO620="D",1,0)+IF(BT620="D",1,0)+IF(BU620="D",1,0)+IF(BW620="D",1,0)+IF(CC620="D",1,0)+IF(CD620="D",1,0)+IF(CE620="D",1,0)+IF(CF620="D",1,0)+IF(CL620="D",1,0)+IF(CM620="D",1,0)+IF(CQ620="D",1,0)+IF(CR620="D",1,0)+IF(CS620="D",1,0)+IF(CW620="D",1,0)+IF(CX620="D",1,0)+IF(DD620="D",1,0)+IF(DE620="D",1,0)+IF(DJ620="D",1,0)+IF(DK620="D",1,0)+IF(DO620="D",1,0)+IF(DP620="D",1,0)+IF(DQ620="D",1,0)+IF(DW620="D",1,0)+IF(DZ620="D",1,0)+IF(EH620="D",1,0)</f>
        <v/>
      </c>
      <c r="AY620">
        <f>IF(DJ620&lt;&gt;"",1,0)+IF(DK620&lt;&gt;"",1,0)+IF(DM620&lt;&gt;"",1,0)+IF(DO620&lt;&gt;"",1,0)+IF(DP620&lt;&gt;"",1,0)+IF(DQ620&lt;&gt;"",1,0)+IF(DS620&lt;&gt;"",1,0)+IF(DT620&lt;&gt;"",1,0)+IF(DV620&lt;&gt;"",1,0)+IF(DW620&lt;&gt;"",1,0)+IF(DX620&lt;&gt;"",1,0)+IF(DY620&lt;&gt;"",1,0)+IF(DZ620&lt;&gt;"",1,0)+IF(EB620&lt;&gt;"",1,0)+IF(EC620&lt;&gt;"",1,0)+IF(ED620&lt;&gt;"",1,0)+IF(EG620&lt;&gt;"",1,0)+IF(EH620&lt;&gt;"",1,0)</f>
        <v/>
      </c>
      <c r="AZ620">
        <f>IF(EH620&lt;&gt;"",1,0)</f>
        <v/>
      </c>
      <c r="BB620" t="inlineStr">
        <is>
          <t>WARREN-WARD 4</t>
        </is>
      </c>
      <c r="DN620" t="inlineStr">
        <is>
          <t>X</t>
        </is>
      </c>
    </row>
    <row r="621">
      <c r="A621" t="inlineStr">
        <is>
          <t>OH0025736678</t>
        </is>
      </c>
      <c r="B621" t="n">
        <v>78</v>
      </c>
      <c r="C621" t="n">
        <v>449615</v>
      </c>
      <c r="D621" t="inlineStr">
        <is>
          <t>FIZET</t>
        </is>
      </c>
      <c r="E621" t="inlineStr">
        <is>
          <t>KOHL</t>
        </is>
      </c>
      <c r="F621">
        <f>CONCATENATE(D621," ",LEFT(H621,4),"T=",AU621,"D=",AV621,"R=",AW621,"M=",AX621,"L=",AY621,"B=",AZ621)</f>
        <v/>
      </c>
      <c r="G621" t="inlineStr">
        <is>
          <t>ALEXANDER</t>
        </is>
      </c>
      <c r="I621" t="inlineStr">
        <is>
          <t>2001-09-06</t>
        </is>
      </c>
      <c r="J621" t="inlineStr">
        <is>
          <t>2022-07-05</t>
        </is>
      </c>
      <c r="K621" t="inlineStr">
        <is>
          <t>ACTIVE</t>
        </is>
      </c>
      <c r="M621" t="inlineStr">
        <is>
          <t>385 BONNIE BRAE AVE SE</t>
        </is>
      </c>
      <c r="N621">
        <f>RIGHT(M621,LEN(M621)-FIND(" ",M621))</f>
        <v/>
      </c>
      <c r="P621" t="inlineStr">
        <is>
          <t>WARREN</t>
        </is>
      </c>
      <c r="Q621" t="inlineStr">
        <is>
          <t>OH</t>
        </is>
      </c>
      <c r="R621" t="n">
        <v>44484</v>
      </c>
      <c r="AD621" t="inlineStr">
        <is>
          <t>TRUMBULL CAREER &amp; TECH CENTER</t>
        </is>
      </c>
      <c r="AE621" t="inlineStr">
        <is>
          <t>WARREN CITY</t>
        </is>
      </c>
      <c r="AF621" t="inlineStr">
        <is>
          <t>WARREN CITY SD</t>
        </is>
      </c>
      <c r="AH621" t="n">
        <v>14</v>
      </c>
      <c r="AI621" t="n">
        <v>11</v>
      </c>
      <c r="AN621" t="inlineStr">
        <is>
          <t>WARREN</t>
        </is>
      </c>
      <c r="AO621" t="inlineStr">
        <is>
          <t>WARREN CITY 4A</t>
        </is>
      </c>
      <c r="AP621" t="inlineStr">
        <is>
          <t>78-P-ADI</t>
        </is>
      </c>
      <c r="AQ621" t="n">
        <v>9</v>
      </c>
      <c r="AR621" t="n">
        <v>64</v>
      </c>
      <c r="AS621" t="n">
        <v>32</v>
      </c>
      <c r="AU621">
        <f>COUNTA($BA$621:$EH$621)</f>
        <v/>
      </c>
      <c r="AV621">
        <f>COUNTIF($BA$621:$EH$621,"D")</f>
        <v/>
      </c>
      <c r="AW621">
        <f>COUNTIF($BA$621:$EH$621,"R")</f>
        <v/>
      </c>
      <c r="AX621">
        <f>IF(BN621="D",1,0)+IF(BO621="D",1,0)+IF(BT621="D",1,0)+IF(BU621="D",1,0)+IF(BW621="D",1,0)+IF(CC621="D",1,0)+IF(CD621="D",1,0)+IF(CE621="D",1,0)+IF(CF621="D",1,0)+IF(CL621="D",1,0)+IF(CM621="D",1,0)+IF(CQ621="D",1,0)+IF(CR621="D",1,0)+IF(CS621="D",1,0)+IF(CW621="D",1,0)+IF(CX621="D",1,0)+IF(DD621="D",1,0)+IF(DE621="D",1,0)+IF(DJ621="D",1,0)+IF(DK621="D",1,0)+IF(DO621="D",1,0)+IF(DP621="D",1,0)+IF(DQ621="D",1,0)+IF(DW621="D",1,0)+IF(DZ621="D",1,0)+IF(EH621="D",1,0)</f>
        <v/>
      </c>
      <c r="AY621">
        <f>IF(DJ621&lt;&gt;"",1,0)+IF(DK621&lt;&gt;"",1,0)+IF(DM621&lt;&gt;"",1,0)+IF(DO621&lt;&gt;"",1,0)+IF(DP621&lt;&gt;"",1,0)+IF(DQ621&lt;&gt;"",1,0)+IF(DS621&lt;&gt;"",1,0)+IF(DT621&lt;&gt;"",1,0)+IF(DV621&lt;&gt;"",1,0)+IF(DW621&lt;&gt;"",1,0)+IF(DX621&lt;&gt;"",1,0)+IF(DY621&lt;&gt;"",1,0)+IF(DZ621&lt;&gt;"",1,0)+IF(EB621&lt;&gt;"",1,0)+IF(EC621&lt;&gt;"",1,0)+IF(ED621&lt;&gt;"",1,0)+IF(EG621&lt;&gt;"",1,0)+IF(EH621&lt;&gt;"",1,0)</f>
        <v/>
      </c>
      <c r="AZ621">
        <f>IF(EH621&lt;&gt;"",1,0)</f>
        <v/>
      </c>
      <c r="BB621" t="inlineStr">
        <is>
          <t>WARREN-WARD 4</t>
        </is>
      </c>
    </row>
    <row r="622">
      <c r="A622" t="inlineStr">
        <is>
          <t>OH0026366337</t>
        </is>
      </c>
      <c r="B622" t="n">
        <v>78</v>
      </c>
      <c r="C622" t="n">
        <v>460971</v>
      </c>
      <c r="D622" t="inlineStr">
        <is>
          <t>VELEZ VELEZ</t>
        </is>
      </c>
      <c r="E622" t="inlineStr">
        <is>
          <t>JONATHAN</t>
        </is>
      </c>
      <c r="F622">
        <f>CONCATENATE(D622," ",LEFT(H622,4),"T=",AU622,"D=",AV622,"R=",AW622,"M=",AX622,"L=",AY622,"B=",AZ622)</f>
        <v/>
      </c>
      <c r="G622" t="inlineStr">
        <is>
          <t>JAVIER</t>
        </is>
      </c>
      <c r="I622" t="inlineStr">
        <is>
          <t>1998-11-12</t>
        </is>
      </c>
      <c r="J622" t="inlineStr">
        <is>
          <t>2021-12-01</t>
        </is>
      </c>
      <c r="K622" t="inlineStr">
        <is>
          <t>CONFIRMATION</t>
        </is>
      </c>
      <c r="M622" t="inlineStr">
        <is>
          <t>475 HOMEWOOD AVE SE</t>
        </is>
      </c>
      <c r="N622">
        <f>RIGHT(M622,LEN(M622)-FIND(" ",M622))</f>
        <v/>
      </c>
      <c r="P622" t="inlineStr">
        <is>
          <t>WARREN</t>
        </is>
      </c>
      <c r="Q622" t="inlineStr">
        <is>
          <t>OH</t>
        </is>
      </c>
      <c r="R622" t="n">
        <v>44483</v>
      </c>
      <c r="AD622" t="inlineStr">
        <is>
          <t>TRUMBULL CAREER &amp; TECH CENTER</t>
        </is>
      </c>
      <c r="AE622" t="inlineStr">
        <is>
          <t>WARREN CITY</t>
        </is>
      </c>
      <c r="AF622" t="inlineStr">
        <is>
          <t>WARREN CITY SD</t>
        </is>
      </c>
      <c r="AH622" t="n">
        <v>14</v>
      </c>
      <c r="AI622" t="n">
        <v>11</v>
      </c>
      <c r="AN622" t="inlineStr">
        <is>
          <t>WARREN</t>
        </is>
      </c>
      <c r="AO622" t="inlineStr">
        <is>
          <t>WARREN CITY 4A</t>
        </is>
      </c>
      <c r="AP622" t="inlineStr">
        <is>
          <t>78-P-ADI</t>
        </is>
      </c>
      <c r="AQ622" t="n">
        <v>9</v>
      </c>
      <c r="AR622" t="n">
        <v>64</v>
      </c>
      <c r="AS622" t="n">
        <v>32</v>
      </c>
      <c r="AU622">
        <f>COUNTA($BA$622:$EH$622)</f>
        <v/>
      </c>
      <c r="AV622">
        <f>COUNTIF($BA$622:$EH$622,"D")</f>
        <v/>
      </c>
      <c r="AW622">
        <f>COUNTIF($BA$622:$EH$622,"R")</f>
        <v/>
      </c>
      <c r="AX622">
        <f>IF(BN622="D",1,0)+IF(BO622="D",1,0)+IF(BT622="D",1,0)+IF(BU622="D",1,0)+IF(BW622="D",1,0)+IF(CC622="D",1,0)+IF(CD622="D",1,0)+IF(CE622="D",1,0)+IF(CF622="D",1,0)+IF(CL622="D",1,0)+IF(CM622="D",1,0)+IF(CQ622="D",1,0)+IF(CR622="D",1,0)+IF(CS622="D",1,0)+IF(CW622="D",1,0)+IF(CX622="D",1,0)+IF(DD622="D",1,0)+IF(DE622="D",1,0)+IF(DJ622="D",1,0)+IF(DK622="D",1,0)+IF(DO622="D",1,0)+IF(DP622="D",1,0)+IF(DQ622="D",1,0)+IF(DW622="D",1,0)+IF(DZ622="D",1,0)+IF(EH622="D",1,0)</f>
        <v/>
      </c>
      <c r="AY622">
        <f>IF(DJ622&lt;&gt;"",1,0)+IF(DK622&lt;&gt;"",1,0)+IF(DM622&lt;&gt;"",1,0)+IF(DO622&lt;&gt;"",1,0)+IF(DP622&lt;&gt;"",1,0)+IF(DQ622&lt;&gt;"",1,0)+IF(DS622&lt;&gt;"",1,0)+IF(DT622&lt;&gt;"",1,0)+IF(DV622&lt;&gt;"",1,0)+IF(DW622&lt;&gt;"",1,0)+IF(DX622&lt;&gt;"",1,0)+IF(DY622&lt;&gt;"",1,0)+IF(DZ622&lt;&gt;"",1,0)+IF(EB622&lt;&gt;"",1,0)+IF(EC622&lt;&gt;"",1,0)+IF(ED622&lt;&gt;"",1,0)+IF(EG622&lt;&gt;"",1,0)+IF(EH622&lt;&gt;"",1,0)</f>
        <v/>
      </c>
      <c r="AZ622">
        <f>IF(EH622&lt;&gt;"",1,0)</f>
        <v/>
      </c>
      <c r="BB622" t="inlineStr">
        <is>
          <t>WARREN-WARD 4</t>
        </is>
      </c>
    </row>
    <row r="623">
      <c r="A623" t="inlineStr">
        <is>
          <t>OH0021812004</t>
        </is>
      </c>
      <c r="B623" t="n">
        <v>78</v>
      </c>
      <c r="C623" t="n">
        <v>387619</v>
      </c>
      <c r="D623" t="inlineStr">
        <is>
          <t>SANDERS</t>
        </is>
      </c>
      <c r="E623" t="inlineStr">
        <is>
          <t>MICHELLE</t>
        </is>
      </c>
      <c r="F623">
        <f>CONCATENATE(D623," ",LEFT(H623,4),"T=",AU623,"D=",AV623,"R=",AW623,"M=",AX623,"L=",AY623,"B=",AZ623)</f>
        <v/>
      </c>
      <c r="G623" t="inlineStr">
        <is>
          <t>M</t>
        </is>
      </c>
      <c r="I623" t="inlineStr">
        <is>
          <t>1987-10-21</t>
        </is>
      </c>
      <c r="J623" t="inlineStr">
        <is>
          <t>2016-04-12</t>
        </is>
      </c>
      <c r="K623" t="inlineStr">
        <is>
          <t>ACTIVE</t>
        </is>
      </c>
      <c r="M623" t="inlineStr">
        <is>
          <t>587 OAK KNOLL AVE SE</t>
        </is>
      </c>
      <c r="N623">
        <f>RIGHT(M623,LEN(M623)-FIND(" ",M623))</f>
        <v/>
      </c>
      <c r="P623" t="inlineStr">
        <is>
          <t>WARREN</t>
        </is>
      </c>
      <c r="Q623" t="inlineStr">
        <is>
          <t>OH</t>
        </is>
      </c>
      <c r="R623" t="n">
        <v>44483</v>
      </c>
      <c r="AD623" t="inlineStr">
        <is>
          <t>TRUMBULL CAREER &amp; TECH CENTER</t>
        </is>
      </c>
      <c r="AE623" t="inlineStr">
        <is>
          <t>WARREN CITY</t>
        </is>
      </c>
      <c r="AF623" t="inlineStr">
        <is>
          <t>WARREN CITY SD</t>
        </is>
      </c>
      <c r="AH623" t="n">
        <v>14</v>
      </c>
      <c r="AI623" t="n">
        <v>11</v>
      </c>
      <c r="AN623" t="inlineStr">
        <is>
          <t>WARREN</t>
        </is>
      </c>
      <c r="AO623" t="inlineStr">
        <is>
          <t>WARREN CITY 4A</t>
        </is>
      </c>
      <c r="AP623" t="inlineStr">
        <is>
          <t>78-P-ADI</t>
        </is>
      </c>
      <c r="AQ623" t="n">
        <v>9</v>
      </c>
      <c r="AR623" t="n">
        <v>64</v>
      </c>
      <c r="AS623" t="n">
        <v>32</v>
      </c>
      <c r="AU623">
        <f>COUNTA($BA$623:$EH$623)</f>
        <v/>
      </c>
      <c r="AV623">
        <f>COUNTIF($BA$623:$EH$623,"D")</f>
        <v/>
      </c>
      <c r="AW623">
        <f>COUNTIF($BA$623:$EH$623,"R")</f>
        <v/>
      </c>
      <c r="AX623">
        <f>IF(BN623="D",1,0)+IF(BO623="D",1,0)+IF(BT623="D",1,0)+IF(BU623="D",1,0)+IF(BW623="D",1,0)+IF(CC623="D",1,0)+IF(CD623="D",1,0)+IF(CE623="D",1,0)+IF(CF623="D",1,0)+IF(CL623="D",1,0)+IF(CM623="D",1,0)+IF(CQ623="D",1,0)+IF(CR623="D",1,0)+IF(CS623="D",1,0)+IF(CW623="D",1,0)+IF(CX623="D",1,0)+IF(DD623="D",1,0)+IF(DE623="D",1,0)+IF(DJ623="D",1,0)+IF(DK623="D",1,0)+IF(DO623="D",1,0)+IF(DP623="D",1,0)+IF(DQ623="D",1,0)+IF(DW623="D",1,0)+IF(DZ623="D",1,0)+IF(EH623="D",1,0)</f>
        <v/>
      </c>
      <c r="AY623">
        <f>IF(DJ623&lt;&gt;"",1,0)+IF(DK623&lt;&gt;"",1,0)+IF(DM623&lt;&gt;"",1,0)+IF(DO623&lt;&gt;"",1,0)+IF(DP623&lt;&gt;"",1,0)+IF(DQ623&lt;&gt;"",1,0)+IF(DS623&lt;&gt;"",1,0)+IF(DT623&lt;&gt;"",1,0)+IF(DV623&lt;&gt;"",1,0)+IF(DW623&lt;&gt;"",1,0)+IF(DX623&lt;&gt;"",1,0)+IF(DY623&lt;&gt;"",1,0)+IF(DZ623&lt;&gt;"",1,0)+IF(EB623&lt;&gt;"",1,0)+IF(EC623&lt;&gt;"",1,0)+IF(ED623&lt;&gt;"",1,0)+IF(EG623&lt;&gt;"",1,0)+IF(EH623&lt;&gt;"",1,0)</f>
        <v/>
      </c>
      <c r="AZ623">
        <f>IF(EH623&lt;&gt;"",1,0)</f>
        <v/>
      </c>
      <c r="BB623" t="inlineStr">
        <is>
          <t>WARREN-WARD 4</t>
        </is>
      </c>
      <c r="CP623" t="inlineStr">
        <is>
          <t>X</t>
        </is>
      </c>
      <c r="DC623" t="inlineStr">
        <is>
          <t>X</t>
        </is>
      </c>
      <c r="DI623" t="inlineStr">
        <is>
          <t>X</t>
        </is>
      </c>
      <c r="DN623" t="inlineStr">
        <is>
          <t>X</t>
        </is>
      </c>
      <c r="DU623" t="inlineStr">
        <is>
          <t>X</t>
        </is>
      </c>
      <c r="EA623" t="inlineStr">
        <is>
          <t>X</t>
        </is>
      </c>
      <c r="EF623" t="inlineStr">
        <is>
          <t>X</t>
        </is>
      </c>
    </row>
    <row r="624">
      <c r="A624" t="inlineStr">
        <is>
          <t>OH0027499728</t>
        </is>
      </c>
      <c r="B624" t="n">
        <v>78</v>
      </c>
      <c r="C624" t="n">
        <v>487194</v>
      </c>
      <c r="D624" t="inlineStr">
        <is>
          <t>BOWERS</t>
        </is>
      </c>
      <c r="E624" t="inlineStr">
        <is>
          <t>ANDRE</t>
        </is>
      </c>
      <c r="F624">
        <f>CONCATENATE(D624," ",LEFT(H624,4),"T=",AU624,"D=",AV624,"R=",AW624,"M=",AX624,"L=",AY624,"B=",AZ624)</f>
        <v/>
      </c>
      <c r="G624" t="inlineStr">
        <is>
          <t>L</t>
        </is>
      </c>
      <c r="H624" t="inlineStr">
        <is>
          <t>JR</t>
        </is>
      </c>
      <c r="I624" t="inlineStr">
        <is>
          <t>1993-08-25</t>
        </is>
      </c>
      <c r="J624" t="inlineStr">
        <is>
          <t>2024-07-31</t>
        </is>
      </c>
      <c r="K624" t="inlineStr">
        <is>
          <t>ACTIVE</t>
        </is>
      </c>
      <c r="M624" t="inlineStr">
        <is>
          <t>256 LAIRD AVE SE</t>
        </is>
      </c>
      <c r="N624">
        <f>RIGHT(M624,LEN(M624)-FIND(" ",M624))</f>
        <v/>
      </c>
      <c r="P624" t="inlineStr">
        <is>
          <t>WARREN</t>
        </is>
      </c>
      <c r="Q624" t="inlineStr">
        <is>
          <t>OH</t>
        </is>
      </c>
      <c r="R624" t="n">
        <v>44483</v>
      </c>
      <c r="AD624" t="inlineStr">
        <is>
          <t>TRUMBULL CAREER &amp; TECH CENTER</t>
        </is>
      </c>
      <c r="AE624" t="inlineStr">
        <is>
          <t>WARREN CITY</t>
        </is>
      </c>
      <c r="AF624" t="inlineStr">
        <is>
          <t>WARREN CITY SD</t>
        </is>
      </c>
      <c r="AH624" t="n">
        <v>14</v>
      </c>
      <c r="AI624" t="n">
        <v>11</v>
      </c>
      <c r="AN624" t="inlineStr">
        <is>
          <t>WARREN</t>
        </is>
      </c>
      <c r="AO624" t="inlineStr">
        <is>
          <t>WARREN CITY 4A</t>
        </is>
      </c>
      <c r="AP624" t="inlineStr">
        <is>
          <t>78-P-ADI</t>
        </is>
      </c>
      <c r="AQ624" t="n">
        <v>9</v>
      </c>
      <c r="AR624" t="n">
        <v>64</v>
      </c>
      <c r="AS624" t="n">
        <v>32</v>
      </c>
      <c r="AU624">
        <f>COUNTA($BA$624:$EH$624)</f>
        <v/>
      </c>
      <c r="AV624">
        <f>COUNTIF($BA$624:$EH$624,"D")</f>
        <v/>
      </c>
      <c r="AW624">
        <f>COUNTIF($BA$624:$EH$624,"R")</f>
        <v/>
      </c>
      <c r="AX624">
        <f>IF(BN624="D",1,0)+IF(BO624="D",1,0)+IF(BT624="D",1,0)+IF(BU624="D",1,0)+IF(BW624="D",1,0)+IF(CC624="D",1,0)+IF(CD624="D",1,0)+IF(CE624="D",1,0)+IF(CF624="D",1,0)+IF(CL624="D",1,0)+IF(CM624="D",1,0)+IF(CQ624="D",1,0)+IF(CR624="D",1,0)+IF(CS624="D",1,0)+IF(CW624="D",1,0)+IF(CX624="D",1,0)+IF(DD624="D",1,0)+IF(DE624="D",1,0)+IF(DJ624="D",1,0)+IF(DK624="D",1,0)+IF(DO624="D",1,0)+IF(DP624="D",1,0)+IF(DQ624="D",1,0)+IF(DW624="D",1,0)+IF(DZ624="D",1,0)+IF(EH624="D",1,0)</f>
        <v/>
      </c>
      <c r="AY624">
        <f>IF(DJ624&lt;&gt;"",1,0)+IF(DK624&lt;&gt;"",1,0)+IF(DM624&lt;&gt;"",1,0)+IF(DO624&lt;&gt;"",1,0)+IF(DP624&lt;&gt;"",1,0)+IF(DQ624&lt;&gt;"",1,0)+IF(DS624&lt;&gt;"",1,0)+IF(DT624&lt;&gt;"",1,0)+IF(DV624&lt;&gt;"",1,0)+IF(DW624&lt;&gt;"",1,0)+IF(DX624&lt;&gt;"",1,0)+IF(DY624&lt;&gt;"",1,0)+IF(DZ624&lt;&gt;"",1,0)+IF(EB624&lt;&gt;"",1,0)+IF(EC624&lt;&gt;"",1,0)+IF(ED624&lt;&gt;"",1,0)+IF(EG624&lt;&gt;"",1,0)+IF(EH624&lt;&gt;"",1,0)</f>
        <v/>
      </c>
      <c r="AZ624">
        <f>IF(EH624&lt;&gt;"",1,0)</f>
        <v/>
      </c>
      <c r="BB624" t="inlineStr">
        <is>
          <t>WARREN-WARD 4</t>
        </is>
      </c>
      <c r="CP624" t="inlineStr">
        <is>
          <t>X</t>
        </is>
      </c>
    </row>
    <row r="625">
      <c r="A625" t="inlineStr">
        <is>
          <t>OH0027183315</t>
        </is>
      </c>
      <c r="B625" t="n">
        <v>78</v>
      </c>
      <c r="C625" t="n">
        <v>478382</v>
      </c>
      <c r="D625" t="inlineStr">
        <is>
          <t>RIVERA</t>
        </is>
      </c>
      <c r="E625" t="inlineStr">
        <is>
          <t>LUIS</t>
        </is>
      </c>
      <c r="F625">
        <f>CONCATENATE(D625," ",LEFT(H625,4),"T=",AU625,"D=",AV625,"R=",AW625,"M=",AX625,"L=",AY625,"B=",AZ625)</f>
        <v/>
      </c>
      <c r="G625" t="inlineStr">
        <is>
          <t>Y</t>
        </is>
      </c>
      <c r="I625" t="inlineStr">
        <is>
          <t>2003-05-23</t>
        </is>
      </c>
      <c r="J625" t="inlineStr">
        <is>
          <t>2023-11-22</t>
        </is>
      </c>
      <c r="K625" t="inlineStr">
        <is>
          <t>ACTIVE</t>
        </is>
      </c>
      <c r="L625" t="inlineStr">
        <is>
          <t>R</t>
        </is>
      </c>
      <c r="M625" t="inlineStr">
        <is>
          <t>179 CHARLES AVE SE</t>
        </is>
      </c>
      <c r="N625">
        <f>RIGHT(M625,LEN(M625)-FIND(" ",M625))</f>
        <v/>
      </c>
      <c r="P625" t="inlineStr">
        <is>
          <t>WARREN</t>
        </is>
      </c>
      <c r="Q625" t="inlineStr">
        <is>
          <t>OH</t>
        </is>
      </c>
      <c r="R625" t="n">
        <v>44483</v>
      </c>
      <c r="AD625" t="inlineStr">
        <is>
          <t>TRUMBULL CAREER &amp; TECH CENTER</t>
        </is>
      </c>
      <c r="AE625" t="inlineStr">
        <is>
          <t>WARREN CITY</t>
        </is>
      </c>
      <c r="AF625" t="inlineStr">
        <is>
          <t>WARREN CITY SD</t>
        </is>
      </c>
      <c r="AH625" t="n">
        <v>14</v>
      </c>
      <c r="AI625" t="n">
        <v>11</v>
      </c>
      <c r="AN625" t="inlineStr">
        <is>
          <t>WARREN</t>
        </is>
      </c>
      <c r="AO625" t="inlineStr">
        <is>
          <t>WARREN CITY 4A</t>
        </is>
      </c>
      <c r="AP625" t="inlineStr">
        <is>
          <t>78-P-ADI</t>
        </is>
      </c>
      <c r="AQ625" t="n">
        <v>9</v>
      </c>
      <c r="AR625" t="n">
        <v>64</v>
      </c>
      <c r="AS625" t="n">
        <v>32</v>
      </c>
      <c r="AU625">
        <f>COUNTA($BA$625:$EH$625)</f>
        <v/>
      </c>
      <c r="AV625">
        <f>COUNTIF($BA$625:$EH$625,"D")</f>
        <v/>
      </c>
      <c r="AW625">
        <f>COUNTIF($BA$625:$EH$625,"R")</f>
        <v/>
      </c>
      <c r="AX625">
        <f>IF(BN625="D",1,0)+IF(BO625="D",1,0)+IF(BT625="D",1,0)+IF(BU625="D",1,0)+IF(BW625="D",1,0)+IF(CC625="D",1,0)+IF(CD625="D",1,0)+IF(CE625="D",1,0)+IF(CF625="D",1,0)+IF(CL625="D",1,0)+IF(CM625="D",1,0)+IF(CQ625="D",1,0)+IF(CR625="D",1,0)+IF(CS625="D",1,0)+IF(CW625="D",1,0)+IF(CX625="D",1,0)+IF(DD625="D",1,0)+IF(DE625="D",1,0)+IF(DJ625="D",1,0)+IF(DK625="D",1,0)+IF(DO625="D",1,0)+IF(DP625="D",1,0)+IF(DQ625="D",1,0)+IF(DW625="D",1,0)+IF(DZ625="D",1,0)+IF(EH625="D",1,0)</f>
        <v/>
      </c>
      <c r="AY625">
        <f>IF(DJ625&lt;&gt;"",1,0)+IF(DK625&lt;&gt;"",1,0)+IF(DM625&lt;&gt;"",1,0)+IF(DO625&lt;&gt;"",1,0)+IF(DP625&lt;&gt;"",1,0)+IF(DQ625&lt;&gt;"",1,0)+IF(DS625&lt;&gt;"",1,0)+IF(DT625&lt;&gt;"",1,0)+IF(DV625&lt;&gt;"",1,0)+IF(DW625&lt;&gt;"",1,0)+IF(DX625&lt;&gt;"",1,0)+IF(DY625&lt;&gt;"",1,0)+IF(DZ625&lt;&gt;"",1,0)+IF(EB625&lt;&gt;"",1,0)+IF(EC625&lt;&gt;"",1,0)+IF(ED625&lt;&gt;"",1,0)+IF(EG625&lt;&gt;"",1,0)+IF(EH625&lt;&gt;"",1,0)</f>
        <v/>
      </c>
      <c r="AZ625">
        <f>IF(EH625&lt;&gt;"",1,0)</f>
        <v/>
      </c>
      <c r="BB625" t="inlineStr">
        <is>
          <t>WARREN-WARD 4</t>
        </is>
      </c>
      <c r="ED625" t="inlineStr">
        <is>
          <t>R</t>
        </is>
      </c>
      <c r="EF625" t="inlineStr">
        <is>
          <t>X</t>
        </is>
      </c>
    </row>
    <row r="626">
      <c r="A626" t="inlineStr">
        <is>
          <t>OH0021797076</t>
        </is>
      </c>
      <c r="B626" t="n">
        <v>78</v>
      </c>
      <c r="C626" t="n">
        <v>387408</v>
      </c>
      <c r="D626" t="inlineStr">
        <is>
          <t>SANDERS</t>
        </is>
      </c>
      <c r="E626" t="inlineStr">
        <is>
          <t>SUSAN</t>
        </is>
      </c>
      <c r="F626">
        <f>CONCATENATE(D626," ",LEFT(H626,4),"T=",AU626,"D=",AV626,"R=",AW626,"M=",AX626,"L=",AY626,"B=",AZ626)</f>
        <v/>
      </c>
      <c r="G626" t="inlineStr">
        <is>
          <t>MARIE</t>
        </is>
      </c>
      <c r="I626" t="inlineStr">
        <is>
          <t>1949-03-15</t>
        </is>
      </c>
      <c r="J626" t="inlineStr">
        <is>
          <t>2016-04-12</t>
        </is>
      </c>
      <c r="K626" t="inlineStr">
        <is>
          <t>ACTIVE</t>
        </is>
      </c>
      <c r="L626" t="inlineStr">
        <is>
          <t>R</t>
        </is>
      </c>
      <c r="M626" t="inlineStr">
        <is>
          <t>587 OAK KNOLL AVE SE</t>
        </is>
      </c>
      <c r="N626">
        <f>RIGHT(M626,LEN(M626)-FIND(" ",M626))</f>
        <v/>
      </c>
      <c r="P626" t="inlineStr">
        <is>
          <t>WARREN</t>
        </is>
      </c>
      <c r="Q626" t="inlineStr">
        <is>
          <t>OH</t>
        </is>
      </c>
      <c r="R626" t="n">
        <v>44483</v>
      </c>
      <c r="AD626" t="inlineStr">
        <is>
          <t>TRUMBULL CAREER &amp; TECH CENTER</t>
        </is>
      </c>
      <c r="AE626" t="inlineStr">
        <is>
          <t>WARREN CITY</t>
        </is>
      </c>
      <c r="AF626" t="inlineStr">
        <is>
          <t>WARREN CITY SD</t>
        </is>
      </c>
      <c r="AH626" t="n">
        <v>14</v>
      </c>
      <c r="AI626" t="n">
        <v>11</v>
      </c>
      <c r="AN626" t="inlineStr">
        <is>
          <t>WARREN</t>
        </is>
      </c>
      <c r="AO626" t="inlineStr">
        <is>
          <t>WARREN CITY 4A</t>
        </is>
      </c>
      <c r="AP626" t="inlineStr">
        <is>
          <t>78-P-ADI</t>
        </is>
      </c>
      <c r="AQ626" t="n">
        <v>9</v>
      </c>
      <c r="AR626" t="n">
        <v>64</v>
      </c>
      <c r="AS626" t="n">
        <v>32</v>
      </c>
      <c r="AU626">
        <f>COUNTA($BA$626:$EH$626)</f>
        <v/>
      </c>
      <c r="AV626">
        <f>COUNTIF($BA$626:$EH$626,"D")</f>
        <v/>
      </c>
      <c r="AW626">
        <f>COUNTIF($BA$626:$EH$626,"R")</f>
        <v/>
      </c>
      <c r="AX626">
        <f>IF(BN626="D",1,0)+IF(BO626="D",1,0)+IF(BT626="D",1,0)+IF(BU626="D",1,0)+IF(BW626="D",1,0)+IF(CC626="D",1,0)+IF(CD626="D",1,0)+IF(CE626="D",1,0)+IF(CF626="D",1,0)+IF(CL626="D",1,0)+IF(CM626="D",1,0)+IF(CQ626="D",1,0)+IF(CR626="D",1,0)+IF(CS626="D",1,0)+IF(CW626="D",1,0)+IF(CX626="D",1,0)+IF(DD626="D",1,0)+IF(DE626="D",1,0)+IF(DJ626="D",1,0)+IF(DK626="D",1,0)+IF(DO626="D",1,0)+IF(DP626="D",1,0)+IF(DQ626="D",1,0)+IF(DW626="D",1,0)+IF(DZ626="D",1,0)+IF(EH626="D",1,0)</f>
        <v/>
      </c>
      <c r="AY626">
        <f>IF(DJ626&lt;&gt;"",1,0)+IF(DK626&lt;&gt;"",1,0)+IF(DM626&lt;&gt;"",1,0)+IF(DO626&lt;&gt;"",1,0)+IF(DP626&lt;&gt;"",1,0)+IF(DQ626&lt;&gt;"",1,0)+IF(DS626&lt;&gt;"",1,0)+IF(DT626&lt;&gt;"",1,0)+IF(DV626&lt;&gt;"",1,0)+IF(DW626&lt;&gt;"",1,0)+IF(DX626&lt;&gt;"",1,0)+IF(DY626&lt;&gt;"",1,0)+IF(DZ626&lt;&gt;"",1,0)+IF(EB626&lt;&gt;"",1,0)+IF(EC626&lt;&gt;"",1,0)+IF(ED626&lt;&gt;"",1,0)+IF(EG626&lt;&gt;"",1,0)+IF(EH626&lt;&gt;"",1,0)</f>
        <v/>
      </c>
      <c r="AZ626">
        <f>IF(EH626&lt;&gt;"",1,0)</f>
        <v/>
      </c>
      <c r="BB626" t="inlineStr">
        <is>
          <t>WARREN-WARD 4</t>
        </is>
      </c>
      <c r="CP626" t="inlineStr">
        <is>
          <t>X</t>
        </is>
      </c>
      <c r="DC626" t="inlineStr">
        <is>
          <t>X</t>
        </is>
      </c>
      <c r="DI626" t="inlineStr">
        <is>
          <t>X</t>
        </is>
      </c>
      <c r="DN626" t="inlineStr">
        <is>
          <t>X</t>
        </is>
      </c>
      <c r="DU626" t="inlineStr">
        <is>
          <t>X</t>
        </is>
      </c>
      <c r="DX626" t="inlineStr">
        <is>
          <t>X</t>
        </is>
      </c>
      <c r="EA626" t="inlineStr">
        <is>
          <t>X</t>
        </is>
      </c>
      <c r="ED626" t="inlineStr">
        <is>
          <t>R</t>
        </is>
      </c>
      <c r="EF626" t="inlineStr">
        <is>
          <t>X</t>
        </is>
      </c>
    </row>
    <row r="627">
      <c r="A627" t="inlineStr">
        <is>
          <t>OH0015725685</t>
        </is>
      </c>
      <c r="B627" t="n">
        <v>78</v>
      </c>
      <c r="C627" t="n">
        <v>210043</v>
      </c>
      <c r="D627" t="inlineStr">
        <is>
          <t>KLINGER</t>
        </is>
      </c>
      <c r="E627" t="inlineStr">
        <is>
          <t>WILLIAM</t>
        </is>
      </c>
      <c r="F627">
        <f>CONCATENATE(D627," ",LEFT(H627,4),"T=",AU627,"D=",AV627,"R=",AW627,"M=",AX627,"L=",AY627,"B=",AZ627)</f>
        <v/>
      </c>
      <c r="G627" t="inlineStr">
        <is>
          <t>JAMES</t>
        </is>
      </c>
      <c r="I627" t="inlineStr">
        <is>
          <t>1955-08-03</t>
        </is>
      </c>
      <c r="J627" t="inlineStr">
        <is>
          <t>1988-10-04</t>
        </is>
      </c>
      <c r="K627" t="inlineStr">
        <is>
          <t>ACTIVE</t>
        </is>
      </c>
      <c r="M627" t="inlineStr">
        <is>
          <t>358 KENILWORTH AVE SE</t>
        </is>
      </c>
      <c r="N627">
        <f>RIGHT(M627,LEN(M627)-FIND(" ",M627))</f>
        <v/>
      </c>
      <c r="P627" t="inlineStr">
        <is>
          <t>WARREN</t>
        </is>
      </c>
      <c r="Q627" t="inlineStr">
        <is>
          <t>OH</t>
        </is>
      </c>
      <c r="R627" t="n">
        <v>44483</v>
      </c>
      <c r="AD627" t="inlineStr">
        <is>
          <t>TRUMBULL CAREER &amp; TECH CENTER</t>
        </is>
      </c>
      <c r="AE627" t="inlineStr">
        <is>
          <t>WARREN CITY</t>
        </is>
      </c>
      <c r="AF627" t="inlineStr">
        <is>
          <t>WARREN CITY SD</t>
        </is>
      </c>
      <c r="AH627" t="n">
        <v>14</v>
      </c>
      <c r="AI627" t="n">
        <v>11</v>
      </c>
      <c r="AN627" t="inlineStr">
        <is>
          <t>WARREN</t>
        </is>
      </c>
      <c r="AO627" t="inlineStr">
        <is>
          <t>WARREN CITY 4A</t>
        </is>
      </c>
      <c r="AP627" t="inlineStr">
        <is>
          <t>78-P-ADI</t>
        </is>
      </c>
      <c r="AQ627" t="n">
        <v>9</v>
      </c>
      <c r="AR627" t="n">
        <v>64</v>
      </c>
      <c r="AS627" t="n">
        <v>32</v>
      </c>
      <c r="AU627">
        <f>COUNTA($BA$627:$EH$627)</f>
        <v/>
      </c>
      <c r="AV627">
        <f>COUNTIF($BA$627:$EH$627,"D")</f>
        <v/>
      </c>
      <c r="AW627">
        <f>COUNTIF($BA$627:$EH$627,"R")</f>
        <v/>
      </c>
      <c r="AX627">
        <f>IF(BN627="D",1,0)+IF(BO627="D",1,0)+IF(BT627="D",1,0)+IF(BU627="D",1,0)+IF(BW627="D",1,0)+IF(CC627="D",1,0)+IF(CD627="D",1,0)+IF(CE627="D",1,0)+IF(CF627="D",1,0)+IF(CL627="D",1,0)+IF(CM627="D",1,0)+IF(CQ627="D",1,0)+IF(CR627="D",1,0)+IF(CS627="D",1,0)+IF(CW627="D",1,0)+IF(CX627="D",1,0)+IF(DD627="D",1,0)+IF(DE627="D",1,0)+IF(DJ627="D",1,0)+IF(DK627="D",1,0)+IF(DO627="D",1,0)+IF(DP627="D",1,0)+IF(DQ627="D",1,0)+IF(DW627="D",1,0)+IF(DZ627="D",1,0)+IF(EH627="D",1,0)</f>
        <v/>
      </c>
      <c r="AY627">
        <f>IF(DJ627&lt;&gt;"",1,0)+IF(DK627&lt;&gt;"",1,0)+IF(DM627&lt;&gt;"",1,0)+IF(DO627&lt;&gt;"",1,0)+IF(DP627&lt;&gt;"",1,0)+IF(DQ627&lt;&gt;"",1,0)+IF(DS627&lt;&gt;"",1,0)+IF(DT627&lt;&gt;"",1,0)+IF(DV627&lt;&gt;"",1,0)+IF(DW627&lt;&gt;"",1,0)+IF(DX627&lt;&gt;"",1,0)+IF(DY627&lt;&gt;"",1,0)+IF(DZ627&lt;&gt;"",1,0)+IF(EB627&lt;&gt;"",1,0)+IF(EC627&lt;&gt;"",1,0)+IF(ED627&lt;&gt;"",1,0)+IF(EG627&lt;&gt;"",1,0)+IF(EH627&lt;&gt;"",1,0)</f>
        <v/>
      </c>
      <c r="AZ627">
        <f>IF(EH627&lt;&gt;"",1,0)</f>
        <v/>
      </c>
      <c r="BB627" t="inlineStr">
        <is>
          <t>WARREN-WARD 4</t>
        </is>
      </c>
      <c r="BC627" t="inlineStr">
        <is>
          <t>X</t>
        </is>
      </c>
      <c r="BD627" t="inlineStr">
        <is>
          <t>X</t>
        </is>
      </c>
      <c r="BH627" t="inlineStr">
        <is>
          <t>X</t>
        </is>
      </c>
      <c r="BK627" t="inlineStr">
        <is>
          <t>X</t>
        </is>
      </c>
      <c r="BL627" t="inlineStr">
        <is>
          <t>X</t>
        </is>
      </c>
      <c r="BR627" t="inlineStr">
        <is>
          <t>X</t>
        </is>
      </c>
      <c r="BS627" t="inlineStr">
        <is>
          <t>X</t>
        </is>
      </c>
      <c r="BY627" t="inlineStr">
        <is>
          <t>D</t>
        </is>
      </c>
      <c r="CA627" t="inlineStr">
        <is>
          <t>X</t>
        </is>
      </c>
      <c r="CG627" t="inlineStr">
        <is>
          <t>X</t>
        </is>
      </c>
      <c r="CK627" t="inlineStr">
        <is>
          <t>X</t>
        </is>
      </c>
      <c r="CN627" t="inlineStr">
        <is>
          <t>X</t>
        </is>
      </c>
      <c r="CP627" t="inlineStr">
        <is>
          <t>X</t>
        </is>
      </c>
      <c r="CV627" t="inlineStr">
        <is>
          <t>X</t>
        </is>
      </c>
      <c r="CY627" t="inlineStr">
        <is>
          <t>X</t>
        </is>
      </c>
      <c r="DC627" t="inlineStr">
        <is>
          <t>X</t>
        </is>
      </c>
      <c r="DI627" t="inlineStr">
        <is>
          <t>X</t>
        </is>
      </c>
      <c r="DL627" t="inlineStr">
        <is>
          <t>X</t>
        </is>
      </c>
      <c r="DN627" t="inlineStr">
        <is>
          <t>X</t>
        </is>
      </c>
      <c r="DU627" t="inlineStr">
        <is>
          <t>X</t>
        </is>
      </c>
    </row>
    <row r="628">
      <c r="A628" t="inlineStr">
        <is>
          <t>OH0022443899</t>
        </is>
      </c>
      <c r="B628" t="n">
        <v>78</v>
      </c>
      <c r="C628" t="n">
        <v>396870</v>
      </c>
      <c r="D628" t="inlineStr">
        <is>
          <t>WEAVER</t>
        </is>
      </c>
      <c r="E628" t="inlineStr">
        <is>
          <t>RICHARD</t>
        </is>
      </c>
      <c r="F628">
        <f>CONCATENATE(D628," ",LEFT(H628,4),"T=",AU628,"D=",AV628,"R=",AW628,"M=",AX628,"L=",AY628,"B=",AZ628)</f>
        <v/>
      </c>
      <c r="G628" t="inlineStr">
        <is>
          <t>G</t>
        </is>
      </c>
      <c r="H628" t="inlineStr">
        <is>
          <t>III</t>
        </is>
      </c>
      <c r="I628" t="inlineStr">
        <is>
          <t>1988-03-19</t>
        </is>
      </c>
      <c r="J628" t="inlineStr">
        <is>
          <t>2017-05-02</t>
        </is>
      </c>
      <c r="K628" t="inlineStr">
        <is>
          <t>ACTIVE</t>
        </is>
      </c>
      <c r="M628" t="inlineStr">
        <is>
          <t>820 OAK KNOLL AVE SE</t>
        </is>
      </c>
      <c r="N628">
        <f>RIGHT(M628,LEN(M628)-FIND(" ",M628))</f>
        <v/>
      </c>
      <c r="P628" t="inlineStr">
        <is>
          <t>WARREN</t>
        </is>
      </c>
      <c r="Q628" t="inlineStr">
        <is>
          <t>OH</t>
        </is>
      </c>
      <c r="R628" t="n">
        <v>44484</v>
      </c>
      <c r="AD628" t="inlineStr">
        <is>
          <t>TRUMBULL CAREER &amp; TECH CENTER</t>
        </is>
      </c>
      <c r="AE628" t="inlineStr">
        <is>
          <t>WARREN CITY</t>
        </is>
      </c>
      <c r="AF628" t="inlineStr">
        <is>
          <t>WARREN CITY SD</t>
        </is>
      </c>
      <c r="AH628" t="n">
        <v>14</v>
      </c>
      <c r="AI628" t="n">
        <v>11</v>
      </c>
      <c r="AN628" t="inlineStr">
        <is>
          <t>WARREN</t>
        </is>
      </c>
      <c r="AO628" t="inlineStr">
        <is>
          <t>WARREN CITY 4A</t>
        </is>
      </c>
      <c r="AP628" t="inlineStr">
        <is>
          <t>78-P-ADI</t>
        </is>
      </c>
      <c r="AQ628" t="n">
        <v>9</v>
      </c>
      <c r="AR628" t="n">
        <v>64</v>
      </c>
      <c r="AS628" t="n">
        <v>32</v>
      </c>
      <c r="AU628">
        <f>COUNTA($BA$628:$EH$628)</f>
        <v/>
      </c>
      <c r="AV628">
        <f>COUNTIF($BA$628:$EH$628,"D")</f>
        <v/>
      </c>
      <c r="AW628">
        <f>COUNTIF($BA$628:$EH$628,"R")</f>
        <v/>
      </c>
      <c r="AX628">
        <f>IF(BN628="D",1,0)+IF(BO628="D",1,0)+IF(BT628="D",1,0)+IF(BU628="D",1,0)+IF(BW628="D",1,0)+IF(CC628="D",1,0)+IF(CD628="D",1,0)+IF(CE628="D",1,0)+IF(CF628="D",1,0)+IF(CL628="D",1,0)+IF(CM628="D",1,0)+IF(CQ628="D",1,0)+IF(CR628="D",1,0)+IF(CS628="D",1,0)+IF(CW628="D",1,0)+IF(CX628="D",1,0)+IF(DD628="D",1,0)+IF(DE628="D",1,0)+IF(DJ628="D",1,0)+IF(DK628="D",1,0)+IF(DO628="D",1,0)+IF(DP628="D",1,0)+IF(DQ628="D",1,0)+IF(DW628="D",1,0)+IF(DZ628="D",1,0)+IF(EH628="D",1,0)</f>
        <v/>
      </c>
      <c r="AY628">
        <f>IF(DJ628&lt;&gt;"",1,0)+IF(DK628&lt;&gt;"",1,0)+IF(DM628&lt;&gt;"",1,0)+IF(DO628&lt;&gt;"",1,0)+IF(DP628&lt;&gt;"",1,0)+IF(DQ628&lt;&gt;"",1,0)+IF(DS628&lt;&gt;"",1,0)+IF(DT628&lt;&gt;"",1,0)+IF(DV628&lt;&gt;"",1,0)+IF(DW628&lt;&gt;"",1,0)+IF(DX628&lt;&gt;"",1,0)+IF(DY628&lt;&gt;"",1,0)+IF(DZ628&lt;&gt;"",1,0)+IF(EB628&lt;&gt;"",1,0)+IF(EC628&lt;&gt;"",1,0)+IF(ED628&lt;&gt;"",1,0)+IF(EG628&lt;&gt;"",1,0)+IF(EH628&lt;&gt;"",1,0)</f>
        <v/>
      </c>
      <c r="AZ628">
        <f>IF(EH628&lt;&gt;"",1,0)</f>
        <v/>
      </c>
      <c r="BB628" t="inlineStr">
        <is>
          <t>WARREN-WARD 4</t>
        </is>
      </c>
      <c r="DC628" t="inlineStr">
        <is>
          <t>X</t>
        </is>
      </c>
      <c r="DN628" t="inlineStr">
        <is>
          <t>X</t>
        </is>
      </c>
    </row>
    <row r="629">
      <c r="A629" t="inlineStr">
        <is>
          <t>OH0023489350</t>
        </is>
      </c>
      <c r="B629" t="n">
        <v>78</v>
      </c>
      <c r="C629" t="n">
        <v>413621</v>
      </c>
      <c r="D629" t="inlineStr">
        <is>
          <t>HERNON</t>
        </is>
      </c>
      <c r="E629" t="inlineStr">
        <is>
          <t>JORDAN</t>
        </is>
      </c>
      <c r="F629">
        <f>CONCATENATE(D629," ",LEFT(H629,4),"T=",AU629,"D=",AV629,"R=",AW629,"M=",AX629,"L=",AY629,"B=",AZ629)</f>
        <v/>
      </c>
      <c r="G629" t="inlineStr">
        <is>
          <t>ROBERT</t>
        </is>
      </c>
      <c r="I629" t="inlineStr">
        <is>
          <t>1997-10-09</t>
        </is>
      </c>
      <c r="J629" t="inlineStr">
        <is>
          <t>2022-10-19</t>
        </is>
      </c>
      <c r="K629" t="inlineStr">
        <is>
          <t>ACTIVE</t>
        </is>
      </c>
      <c r="M629" t="inlineStr">
        <is>
          <t>567 WOODBINE AVE SE</t>
        </is>
      </c>
      <c r="N629">
        <f>RIGHT(M629,LEN(M629)-FIND(" ",M629))</f>
        <v/>
      </c>
      <c r="P629" t="inlineStr">
        <is>
          <t>WARREN</t>
        </is>
      </c>
      <c r="Q629" t="inlineStr">
        <is>
          <t>OH</t>
        </is>
      </c>
      <c r="R629" t="n">
        <v>44483</v>
      </c>
      <c r="AD629" t="inlineStr">
        <is>
          <t>TRUMBULL CAREER &amp; TECH CENTER</t>
        </is>
      </c>
      <c r="AE629" t="inlineStr">
        <is>
          <t>WARREN CITY</t>
        </is>
      </c>
      <c r="AF629" t="inlineStr">
        <is>
          <t>WARREN CITY SD</t>
        </is>
      </c>
      <c r="AH629" t="n">
        <v>14</v>
      </c>
      <c r="AI629" t="n">
        <v>11</v>
      </c>
      <c r="AN629" t="inlineStr">
        <is>
          <t>WARREN</t>
        </is>
      </c>
      <c r="AO629" t="inlineStr">
        <is>
          <t>WARREN CITY 4A</t>
        </is>
      </c>
      <c r="AP629" t="inlineStr">
        <is>
          <t>78-P-ADI</t>
        </is>
      </c>
      <c r="AQ629" t="n">
        <v>9</v>
      </c>
      <c r="AR629" t="n">
        <v>64</v>
      </c>
      <c r="AS629" t="n">
        <v>32</v>
      </c>
      <c r="AU629">
        <f>COUNTA($BA$629:$EH$629)</f>
        <v/>
      </c>
      <c r="AV629">
        <f>COUNTIF($BA$629:$EH$629,"D")</f>
        <v/>
      </c>
      <c r="AW629">
        <f>COUNTIF($BA$629:$EH$629,"R")</f>
        <v/>
      </c>
      <c r="AX629">
        <f>IF(BN629="D",1,0)+IF(BO629="D",1,0)+IF(BT629="D",1,0)+IF(BU629="D",1,0)+IF(BW629="D",1,0)+IF(CC629="D",1,0)+IF(CD629="D",1,0)+IF(CE629="D",1,0)+IF(CF629="D",1,0)+IF(CL629="D",1,0)+IF(CM629="D",1,0)+IF(CQ629="D",1,0)+IF(CR629="D",1,0)+IF(CS629="D",1,0)+IF(CW629="D",1,0)+IF(CX629="D",1,0)+IF(DD629="D",1,0)+IF(DE629="D",1,0)+IF(DJ629="D",1,0)+IF(DK629="D",1,0)+IF(DO629="D",1,0)+IF(DP629="D",1,0)+IF(DQ629="D",1,0)+IF(DW629="D",1,0)+IF(DZ629="D",1,0)+IF(EH629="D",1,0)</f>
        <v/>
      </c>
      <c r="AY629">
        <f>IF(DJ629&lt;&gt;"",1,0)+IF(DK629&lt;&gt;"",1,0)+IF(DM629&lt;&gt;"",1,0)+IF(DO629&lt;&gt;"",1,0)+IF(DP629&lt;&gt;"",1,0)+IF(DQ629&lt;&gt;"",1,0)+IF(DS629&lt;&gt;"",1,0)+IF(DT629&lt;&gt;"",1,0)+IF(DV629&lt;&gt;"",1,0)+IF(DW629&lt;&gt;"",1,0)+IF(DX629&lt;&gt;"",1,0)+IF(DY629&lt;&gt;"",1,0)+IF(DZ629&lt;&gt;"",1,0)+IF(EB629&lt;&gt;"",1,0)+IF(EC629&lt;&gt;"",1,0)+IF(ED629&lt;&gt;"",1,0)+IF(EG629&lt;&gt;"",1,0)+IF(EH629&lt;&gt;"",1,0)</f>
        <v/>
      </c>
      <c r="AZ629">
        <f>IF(EH629&lt;&gt;"",1,0)</f>
        <v/>
      </c>
      <c r="BB629" t="inlineStr">
        <is>
          <t>WARREN-WARD 4</t>
        </is>
      </c>
    </row>
    <row r="630">
      <c r="A630" t="inlineStr">
        <is>
          <t>OH0015691414</t>
        </is>
      </c>
      <c r="B630" t="n">
        <v>78</v>
      </c>
      <c r="C630" t="n">
        <v>13756</v>
      </c>
      <c r="D630" t="inlineStr">
        <is>
          <t>WERNER</t>
        </is>
      </c>
      <c r="E630" t="inlineStr">
        <is>
          <t>WILLIAM</t>
        </is>
      </c>
      <c r="F630">
        <f>CONCATENATE(D630," ",LEFT(H630,4),"T=",AU630,"D=",AV630,"R=",AW630,"M=",AX630,"L=",AY630,"B=",AZ630)</f>
        <v/>
      </c>
      <c r="G630" t="inlineStr">
        <is>
          <t>M</t>
        </is>
      </c>
      <c r="I630" t="inlineStr">
        <is>
          <t>1941-08-08</t>
        </is>
      </c>
      <c r="J630" t="inlineStr">
        <is>
          <t>1972-10-10</t>
        </is>
      </c>
      <c r="K630" t="inlineStr">
        <is>
          <t>ACTIVE</t>
        </is>
      </c>
      <c r="L630" t="inlineStr">
        <is>
          <t>R</t>
        </is>
      </c>
      <c r="M630" t="inlineStr">
        <is>
          <t>418 KENILWORTH AVE SE</t>
        </is>
      </c>
      <c r="N630">
        <f>RIGHT(M630,LEN(M630)-FIND(" ",M630))</f>
        <v/>
      </c>
      <c r="P630" t="inlineStr">
        <is>
          <t>WARREN</t>
        </is>
      </c>
      <c r="Q630" t="inlineStr">
        <is>
          <t>OH</t>
        </is>
      </c>
      <c r="R630" t="n">
        <v>44483</v>
      </c>
      <c r="AD630" t="inlineStr">
        <is>
          <t>TRUMBULL CAREER &amp; TECH CENTER</t>
        </is>
      </c>
      <c r="AE630" t="inlineStr">
        <is>
          <t>WARREN CITY</t>
        </is>
      </c>
      <c r="AF630" t="inlineStr">
        <is>
          <t>WARREN CITY SD</t>
        </is>
      </c>
      <c r="AH630" t="n">
        <v>14</v>
      </c>
      <c r="AI630" t="n">
        <v>11</v>
      </c>
      <c r="AN630" t="inlineStr">
        <is>
          <t>WARREN</t>
        </is>
      </c>
      <c r="AO630" t="inlineStr">
        <is>
          <t>WARREN CITY 4A</t>
        </is>
      </c>
      <c r="AP630" t="inlineStr">
        <is>
          <t>78-P-ADI</t>
        </is>
      </c>
      <c r="AQ630" t="n">
        <v>9</v>
      </c>
      <c r="AR630" t="n">
        <v>64</v>
      </c>
      <c r="AS630" t="n">
        <v>32</v>
      </c>
      <c r="AU630">
        <f>COUNTA($BA$630:$EH$630)</f>
        <v/>
      </c>
      <c r="AV630">
        <f>COUNTIF($BA$630:$EH$630,"D")</f>
        <v/>
      </c>
      <c r="AW630">
        <f>COUNTIF($BA$630:$EH$630,"R")</f>
        <v/>
      </c>
      <c r="AX630">
        <f>IF(BN630="D",1,0)+IF(BO630="D",1,0)+IF(BT630="D",1,0)+IF(BU630="D",1,0)+IF(BW630="D",1,0)+IF(CC630="D",1,0)+IF(CD630="D",1,0)+IF(CE630="D",1,0)+IF(CF630="D",1,0)+IF(CL630="D",1,0)+IF(CM630="D",1,0)+IF(CQ630="D",1,0)+IF(CR630="D",1,0)+IF(CS630="D",1,0)+IF(CW630="D",1,0)+IF(CX630="D",1,0)+IF(DD630="D",1,0)+IF(DE630="D",1,0)+IF(DJ630="D",1,0)+IF(DK630="D",1,0)+IF(DO630="D",1,0)+IF(DP630="D",1,0)+IF(DQ630="D",1,0)+IF(DW630="D",1,0)+IF(DZ630="D",1,0)+IF(EH630="D",1,0)</f>
        <v/>
      </c>
      <c r="AY630">
        <f>IF(DJ630&lt;&gt;"",1,0)+IF(DK630&lt;&gt;"",1,0)+IF(DM630&lt;&gt;"",1,0)+IF(DO630&lt;&gt;"",1,0)+IF(DP630&lt;&gt;"",1,0)+IF(DQ630&lt;&gt;"",1,0)+IF(DS630&lt;&gt;"",1,0)+IF(DT630&lt;&gt;"",1,0)+IF(DV630&lt;&gt;"",1,0)+IF(DW630&lt;&gt;"",1,0)+IF(DX630&lt;&gt;"",1,0)+IF(DY630&lt;&gt;"",1,0)+IF(DZ630&lt;&gt;"",1,0)+IF(EB630&lt;&gt;"",1,0)+IF(EC630&lt;&gt;"",1,0)+IF(ED630&lt;&gt;"",1,0)+IF(EG630&lt;&gt;"",1,0)+IF(EH630&lt;&gt;"",1,0)</f>
        <v/>
      </c>
      <c r="AZ630">
        <f>IF(EH630&lt;&gt;"",1,0)</f>
        <v/>
      </c>
      <c r="BB630" t="inlineStr">
        <is>
          <t>WARREN-WARD 4</t>
        </is>
      </c>
      <c r="BC630" t="inlineStr">
        <is>
          <t>X</t>
        </is>
      </c>
      <c r="BD630" t="inlineStr">
        <is>
          <t>X</t>
        </is>
      </c>
      <c r="BE630" t="inlineStr">
        <is>
          <t>X</t>
        </is>
      </c>
      <c r="BF630" t="inlineStr">
        <is>
          <t>X</t>
        </is>
      </c>
      <c r="BJ630" t="inlineStr">
        <is>
          <t>X</t>
        </is>
      </c>
      <c r="BL630" t="inlineStr">
        <is>
          <t>X</t>
        </is>
      </c>
      <c r="BS630" t="inlineStr">
        <is>
          <t>X</t>
        </is>
      </c>
      <c r="CA630" t="inlineStr">
        <is>
          <t>X</t>
        </is>
      </c>
      <c r="CG630" t="inlineStr">
        <is>
          <t>X</t>
        </is>
      </c>
      <c r="CK630" t="inlineStr">
        <is>
          <t>X</t>
        </is>
      </c>
      <c r="CN630" t="inlineStr">
        <is>
          <t>X</t>
        </is>
      </c>
      <c r="CO630" t="inlineStr">
        <is>
          <t>R</t>
        </is>
      </c>
      <c r="CP630" t="inlineStr">
        <is>
          <t>X</t>
        </is>
      </c>
      <c r="CV630" t="inlineStr">
        <is>
          <t>X</t>
        </is>
      </c>
      <c r="CY630" t="inlineStr">
        <is>
          <t>X</t>
        </is>
      </c>
      <c r="CZ630" t="inlineStr">
        <is>
          <t>R</t>
        </is>
      </c>
      <c r="DC630" t="inlineStr">
        <is>
          <t>X</t>
        </is>
      </c>
      <c r="DF630" t="inlineStr">
        <is>
          <t>X</t>
        </is>
      </c>
      <c r="DI630" t="inlineStr">
        <is>
          <t>X</t>
        </is>
      </c>
      <c r="DN630" t="inlineStr">
        <is>
          <t>X</t>
        </is>
      </c>
      <c r="DS630" t="inlineStr">
        <is>
          <t>R</t>
        </is>
      </c>
      <c r="DU630" t="inlineStr">
        <is>
          <t>X</t>
        </is>
      </c>
      <c r="DX630" t="inlineStr">
        <is>
          <t>X</t>
        </is>
      </c>
      <c r="EA630" t="inlineStr">
        <is>
          <t>X</t>
        </is>
      </c>
      <c r="ED630" t="inlineStr">
        <is>
          <t>R</t>
        </is>
      </c>
      <c r="EF630" t="inlineStr">
        <is>
          <t>X</t>
        </is>
      </c>
      <c r="EH630" t="inlineStr">
        <is>
          <t>X</t>
        </is>
      </c>
    </row>
    <row r="631">
      <c r="A631" t="inlineStr">
        <is>
          <t>OH0019791972</t>
        </is>
      </c>
      <c r="B631" t="n">
        <v>78</v>
      </c>
      <c r="C631" t="n">
        <v>359238</v>
      </c>
      <c r="D631" t="inlineStr">
        <is>
          <t>SHETTERLY</t>
        </is>
      </c>
      <c r="E631" t="inlineStr">
        <is>
          <t>LOGAN</t>
        </is>
      </c>
      <c r="F631">
        <f>CONCATENATE(D631," ",LEFT(H631,4),"T=",AU631,"D=",AV631,"R=",AW631,"M=",AX631,"L=",AY631,"B=",AZ631)</f>
        <v/>
      </c>
      <c r="G631" t="inlineStr">
        <is>
          <t>MICHAEL</t>
        </is>
      </c>
      <c r="I631" t="inlineStr">
        <is>
          <t>1990-04-29</t>
        </is>
      </c>
      <c r="J631" t="inlineStr">
        <is>
          <t>2021-02-26</t>
        </is>
      </c>
      <c r="K631" t="inlineStr">
        <is>
          <t>ACTIVE</t>
        </is>
      </c>
      <c r="M631" t="inlineStr">
        <is>
          <t>133 LOGAN AVE SE</t>
        </is>
      </c>
      <c r="N631">
        <f>RIGHT(M631,LEN(M631)-FIND(" ",M631))</f>
        <v/>
      </c>
      <c r="P631" t="inlineStr">
        <is>
          <t>WARREN</t>
        </is>
      </c>
      <c r="Q631" t="inlineStr">
        <is>
          <t>OH</t>
        </is>
      </c>
      <c r="R631" t="n">
        <v>44483</v>
      </c>
      <c r="AD631" t="inlineStr">
        <is>
          <t>TRUMBULL CAREER &amp; TECH CENTER</t>
        </is>
      </c>
      <c r="AE631" t="inlineStr">
        <is>
          <t>WARREN CITY</t>
        </is>
      </c>
      <c r="AF631" t="inlineStr">
        <is>
          <t>WARREN CITY SD</t>
        </is>
      </c>
      <c r="AH631" t="n">
        <v>14</v>
      </c>
      <c r="AI631" t="n">
        <v>11</v>
      </c>
      <c r="AN631" t="inlineStr">
        <is>
          <t>WARREN</t>
        </is>
      </c>
      <c r="AO631" t="inlineStr">
        <is>
          <t>WARREN CITY 4A</t>
        </is>
      </c>
      <c r="AP631" t="inlineStr">
        <is>
          <t>78-P-ADI</t>
        </is>
      </c>
      <c r="AQ631" t="n">
        <v>9</v>
      </c>
      <c r="AR631" t="n">
        <v>64</v>
      </c>
      <c r="AS631" t="n">
        <v>32</v>
      </c>
      <c r="AU631">
        <f>COUNTA($BA$631:$EH$631)</f>
        <v/>
      </c>
      <c r="AV631">
        <f>COUNTIF($BA$631:$EH$631,"D")</f>
        <v/>
      </c>
      <c r="AW631">
        <f>COUNTIF($BA$631:$EH$631,"R")</f>
        <v/>
      </c>
      <c r="AX631">
        <f>IF(BN631="D",1,0)+IF(BO631="D",1,0)+IF(BT631="D",1,0)+IF(BU631="D",1,0)+IF(BW631="D",1,0)+IF(CC631="D",1,0)+IF(CD631="D",1,0)+IF(CE631="D",1,0)+IF(CF631="D",1,0)+IF(CL631="D",1,0)+IF(CM631="D",1,0)+IF(CQ631="D",1,0)+IF(CR631="D",1,0)+IF(CS631="D",1,0)+IF(CW631="D",1,0)+IF(CX631="D",1,0)+IF(DD631="D",1,0)+IF(DE631="D",1,0)+IF(DJ631="D",1,0)+IF(DK631="D",1,0)+IF(DO631="D",1,0)+IF(DP631="D",1,0)+IF(DQ631="D",1,0)+IF(DW631="D",1,0)+IF(DZ631="D",1,0)+IF(EH631="D",1,0)</f>
        <v/>
      </c>
      <c r="AY631">
        <f>IF(DJ631&lt;&gt;"",1,0)+IF(DK631&lt;&gt;"",1,0)+IF(DM631&lt;&gt;"",1,0)+IF(DO631&lt;&gt;"",1,0)+IF(DP631&lt;&gt;"",1,0)+IF(DQ631&lt;&gt;"",1,0)+IF(DS631&lt;&gt;"",1,0)+IF(DT631&lt;&gt;"",1,0)+IF(DV631&lt;&gt;"",1,0)+IF(DW631&lt;&gt;"",1,0)+IF(DX631&lt;&gt;"",1,0)+IF(DY631&lt;&gt;"",1,0)+IF(DZ631&lt;&gt;"",1,0)+IF(EB631&lt;&gt;"",1,0)+IF(EC631&lt;&gt;"",1,0)+IF(ED631&lt;&gt;"",1,0)+IF(EG631&lt;&gt;"",1,0)+IF(EH631&lt;&gt;"",1,0)</f>
        <v/>
      </c>
      <c r="AZ631">
        <f>IF(EH631&lt;&gt;"",1,0)</f>
        <v/>
      </c>
      <c r="BB631" t="inlineStr">
        <is>
          <t>WARREN-WARD 4</t>
        </is>
      </c>
      <c r="CA631" t="inlineStr">
        <is>
          <t>X</t>
        </is>
      </c>
      <c r="CG631" t="inlineStr">
        <is>
          <t>X</t>
        </is>
      </c>
      <c r="DC631" t="inlineStr">
        <is>
          <t>X</t>
        </is>
      </c>
      <c r="EF631" t="inlineStr">
        <is>
          <t>X</t>
        </is>
      </c>
    </row>
    <row r="632">
      <c r="A632" t="inlineStr">
        <is>
          <t>OH0025863939</t>
        </is>
      </c>
      <c r="B632" t="n">
        <v>78</v>
      </c>
      <c r="C632" t="n">
        <v>451870</v>
      </c>
      <c r="D632" t="inlineStr">
        <is>
          <t>RUST</t>
        </is>
      </c>
      <c r="E632" t="inlineStr">
        <is>
          <t>JOYCE</t>
        </is>
      </c>
      <c r="F632">
        <f>CONCATENATE(D632," ",LEFT(H632,4),"T=",AU632,"D=",AV632,"R=",AW632,"M=",AX632,"L=",AY632,"B=",AZ632)</f>
        <v/>
      </c>
      <c r="G632" t="inlineStr">
        <is>
          <t>ROSE</t>
        </is>
      </c>
      <c r="I632" t="inlineStr">
        <is>
          <t>1953-09-24</t>
        </is>
      </c>
      <c r="J632" t="inlineStr">
        <is>
          <t>2020-09-28</t>
        </is>
      </c>
      <c r="K632" t="inlineStr">
        <is>
          <t>CONFIRMATION</t>
        </is>
      </c>
      <c r="M632" t="inlineStr">
        <is>
          <t>345 BONNIE BRAE AVE SE</t>
        </is>
      </c>
      <c r="N632">
        <f>RIGHT(M632,LEN(M632)-FIND(" ",M632))</f>
        <v/>
      </c>
      <c r="P632" t="inlineStr">
        <is>
          <t>WARREN</t>
        </is>
      </c>
      <c r="Q632" t="inlineStr">
        <is>
          <t>OH</t>
        </is>
      </c>
      <c r="R632" t="n">
        <v>44484</v>
      </c>
      <c r="AD632" t="inlineStr">
        <is>
          <t>TRUMBULL CAREER &amp; TECH CENTER</t>
        </is>
      </c>
      <c r="AE632" t="inlineStr">
        <is>
          <t>WARREN CITY</t>
        </is>
      </c>
      <c r="AF632" t="inlineStr">
        <is>
          <t>WARREN CITY SD</t>
        </is>
      </c>
      <c r="AH632" t="n">
        <v>14</v>
      </c>
      <c r="AI632" t="n">
        <v>11</v>
      </c>
      <c r="AN632" t="inlineStr">
        <is>
          <t>WARREN</t>
        </is>
      </c>
      <c r="AO632" t="inlineStr">
        <is>
          <t>WARREN CITY 4A</t>
        </is>
      </c>
      <c r="AP632" t="inlineStr">
        <is>
          <t>78-P-ADI</t>
        </is>
      </c>
      <c r="AQ632" t="n">
        <v>9</v>
      </c>
      <c r="AR632" t="n">
        <v>64</v>
      </c>
      <c r="AS632" t="n">
        <v>32</v>
      </c>
      <c r="AU632">
        <f>COUNTA($BA$632:$EH$632)</f>
        <v/>
      </c>
      <c r="AV632">
        <f>COUNTIF($BA$632:$EH$632,"D")</f>
        <v/>
      </c>
      <c r="AW632">
        <f>COUNTIF($BA$632:$EH$632,"R")</f>
        <v/>
      </c>
      <c r="AX632">
        <f>IF(BN632="D",1,0)+IF(BO632="D",1,0)+IF(BT632="D",1,0)+IF(BU632="D",1,0)+IF(BW632="D",1,0)+IF(CC632="D",1,0)+IF(CD632="D",1,0)+IF(CE632="D",1,0)+IF(CF632="D",1,0)+IF(CL632="D",1,0)+IF(CM632="D",1,0)+IF(CQ632="D",1,0)+IF(CR632="D",1,0)+IF(CS632="D",1,0)+IF(CW632="D",1,0)+IF(CX632="D",1,0)+IF(DD632="D",1,0)+IF(DE632="D",1,0)+IF(DJ632="D",1,0)+IF(DK632="D",1,0)+IF(DO632="D",1,0)+IF(DP632="D",1,0)+IF(DQ632="D",1,0)+IF(DW632="D",1,0)+IF(DZ632="D",1,0)+IF(EH632="D",1,0)</f>
        <v/>
      </c>
      <c r="AY632">
        <f>IF(DJ632&lt;&gt;"",1,0)+IF(DK632&lt;&gt;"",1,0)+IF(DM632&lt;&gt;"",1,0)+IF(DO632&lt;&gt;"",1,0)+IF(DP632&lt;&gt;"",1,0)+IF(DQ632&lt;&gt;"",1,0)+IF(DS632&lt;&gt;"",1,0)+IF(DT632&lt;&gt;"",1,0)+IF(DV632&lt;&gt;"",1,0)+IF(DW632&lt;&gt;"",1,0)+IF(DX632&lt;&gt;"",1,0)+IF(DY632&lt;&gt;"",1,0)+IF(DZ632&lt;&gt;"",1,0)+IF(EB632&lt;&gt;"",1,0)+IF(EC632&lt;&gt;"",1,0)+IF(ED632&lt;&gt;"",1,0)+IF(EG632&lt;&gt;"",1,0)+IF(EH632&lt;&gt;"",1,0)</f>
        <v/>
      </c>
      <c r="AZ632">
        <f>IF(EH632&lt;&gt;"",1,0)</f>
        <v/>
      </c>
      <c r="BB632" t="inlineStr">
        <is>
          <t>WARREN-WARD 4</t>
        </is>
      </c>
    </row>
    <row r="633">
      <c r="A633" t="inlineStr">
        <is>
          <t>OH0025224727</t>
        </is>
      </c>
      <c r="B633" t="n">
        <v>78</v>
      </c>
      <c r="C633" t="n">
        <v>441675</v>
      </c>
      <c r="D633" t="inlineStr">
        <is>
          <t>RANTILLA</t>
        </is>
      </c>
      <c r="E633" t="inlineStr">
        <is>
          <t>NATASHA</t>
        </is>
      </c>
      <c r="F633">
        <f>CONCATENATE(D633," ",LEFT(H633,4),"T=",AU633,"D=",AV633,"R=",AW633,"M=",AX633,"L=",AY633,"B=",AZ633)</f>
        <v/>
      </c>
      <c r="I633" t="inlineStr">
        <is>
          <t>2000-08-18</t>
        </is>
      </c>
      <c r="J633" t="inlineStr">
        <is>
          <t>2025-05-14</t>
        </is>
      </c>
      <c r="K633" t="inlineStr">
        <is>
          <t>ACTIVE</t>
        </is>
      </c>
      <c r="M633" t="inlineStr">
        <is>
          <t>870 OAK KNOLL AVE SE</t>
        </is>
      </c>
      <c r="N633">
        <f>RIGHT(M633,LEN(M633)-FIND(" ",M633))</f>
        <v/>
      </c>
      <c r="P633" t="inlineStr">
        <is>
          <t>WARREN</t>
        </is>
      </c>
      <c r="Q633" t="inlineStr">
        <is>
          <t>OH</t>
        </is>
      </c>
      <c r="R633" t="n">
        <v>44484</v>
      </c>
      <c r="AD633" t="inlineStr">
        <is>
          <t>TRUMBULL CAREER &amp; TECH CENTER</t>
        </is>
      </c>
      <c r="AE633" t="inlineStr">
        <is>
          <t>WARREN CITY</t>
        </is>
      </c>
      <c r="AF633" t="inlineStr">
        <is>
          <t>WARREN CITY SD</t>
        </is>
      </c>
      <c r="AH633" t="n">
        <v>14</v>
      </c>
      <c r="AI633" t="n">
        <v>11</v>
      </c>
      <c r="AN633" t="inlineStr">
        <is>
          <t>WARREN</t>
        </is>
      </c>
      <c r="AO633" t="inlineStr">
        <is>
          <t>WARREN CITY 4A</t>
        </is>
      </c>
      <c r="AP633" t="inlineStr">
        <is>
          <t>78-P-ADI</t>
        </is>
      </c>
      <c r="AQ633" t="n">
        <v>9</v>
      </c>
      <c r="AR633" t="n">
        <v>64</v>
      </c>
      <c r="AS633" t="n">
        <v>32</v>
      </c>
      <c r="AU633">
        <f>COUNTA($BA$633:$EH$633)</f>
        <v/>
      </c>
      <c r="AV633">
        <f>COUNTIF($BA$633:$EH$633,"D")</f>
        <v/>
      </c>
      <c r="AW633">
        <f>COUNTIF($BA$633:$EH$633,"R")</f>
        <v/>
      </c>
      <c r="AX633">
        <f>IF(BN633="D",1,0)+IF(BO633="D",1,0)+IF(BT633="D",1,0)+IF(BU633="D",1,0)+IF(BW633="D",1,0)+IF(CC633="D",1,0)+IF(CD633="D",1,0)+IF(CE633="D",1,0)+IF(CF633="D",1,0)+IF(CL633="D",1,0)+IF(CM633="D",1,0)+IF(CQ633="D",1,0)+IF(CR633="D",1,0)+IF(CS633="D",1,0)+IF(CW633="D",1,0)+IF(CX633="D",1,0)+IF(DD633="D",1,0)+IF(DE633="D",1,0)+IF(DJ633="D",1,0)+IF(DK633="D",1,0)+IF(DO633="D",1,0)+IF(DP633="D",1,0)+IF(DQ633="D",1,0)+IF(DW633="D",1,0)+IF(DZ633="D",1,0)+IF(EH633="D",1,0)</f>
        <v/>
      </c>
      <c r="AY633">
        <f>IF(DJ633&lt;&gt;"",1,0)+IF(DK633&lt;&gt;"",1,0)+IF(DM633&lt;&gt;"",1,0)+IF(DO633&lt;&gt;"",1,0)+IF(DP633&lt;&gt;"",1,0)+IF(DQ633&lt;&gt;"",1,0)+IF(DS633&lt;&gt;"",1,0)+IF(DT633&lt;&gt;"",1,0)+IF(DV633&lt;&gt;"",1,0)+IF(DW633&lt;&gt;"",1,0)+IF(DX633&lt;&gt;"",1,0)+IF(DY633&lt;&gt;"",1,0)+IF(DZ633&lt;&gt;"",1,0)+IF(EB633&lt;&gt;"",1,0)+IF(EC633&lt;&gt;"",1,0)+IF(ED633&lt;&gt;"",1,0)+IF(EG633&lt;&gt;"",1,0)+IF(EH633&lt;&gt;"",1,0)</f>
        <v/>
      </c>
      <c r="AZ633">
        <f>IF(EH633&lt;&gt;"",1,0)</f>
        <v/>
      </c>
      <c r="BB633" t="inlineStr">
        <is>
          <t>WARREN-WARD 4</t>
        </is>
      </c>
      <c r="DL633" t="inlineStr">
        <is>
          <t>X</t>
        </is>
      </c>
      <c r="DM633" t="inlineStr">
        <is>
          <t>D</t>
        </is>
      </c>
      <c r="DN633" t="inlineStr">
        <is>
          <t>X</t>
        </is>
      </c>
      <c r="DU633" t="inlineStr">
        <is>
          <t>X</t>
        </is>
      </c>
      <c r="DX633" t="inlineStr">
        <is>
          <t>X</t>
        </is>
      </c>
      <c r="EA633" t="inlineStr">
        <is>
          <t>X</t>
        </is>
      </c>
      <c r="EF633" t="inlineStr">
        <is>
          <t>X</t>
        </is>
      </c>
    </row>
    <row r="634">
      <c r="A634" t="inlineStr">
        <is>
          <t>OH0026768456</t>
        </is>
      </c>
      <c r="B634" t="n">
        <v>78</v>
      </c>
      <c r="C634" t="n">
        <v>468221</v>
      </c>
      <c r="D634" t="inlineStr">
        <is>
          <t>WALERYSZAK</t>
        </is>
      </c>
      <c r="E634" t="inlineStr">
        <is>
          <t>BRIAN</t>
        </is>
      </c>
      <c r="F634">
        <f>CONCATENATE(D634," ",LEFT(H634,4),"T=",AU634,"D=",AV634,"R=",AW634,"M=",AX634,"L=",AY634,"B=",AZ634)</f>
        <v/>
      </c>
      <c r="G634" t="inlineStr">
        <is>
          <t>W</t>
        </is>
      </c>
      <c r="I634" t="inlineStr">
        <is>
          <t>1973-10-24</t>
        </is>
      </c>
      <c r="J634" t="inlineStr">
        <is>
          <t>2022-10-26</t>
        </is>
      </c>
      <c r="K634" t="inlineStr">
        <is>
          <t>ACTIVE</t>
        </is>
      </c>
      <c r="M634" t="inlineStr">
        <is>
          <t>431 BONNIE BRAE AVE SE</t>
        </is>
      </c>
      <c r="N634">
        <f>RIGHT(M634,LEN(M634)-FIND(" ",M634))</f>
        <v/>
      </c>
      <c r="P634" t="inlineStr">
        <is>
          <t>WARREN</t>
        </is>
      </c>
      <c r="Q634" t="inlineStr">
        <is>
          <t>OH</t>
        </is>
      </c>
      <c r="R634" t="n">
        <v>44484</v>
      </c>
      <c r="AD634" t="inlineStr">
        <is>
          <t>TRUMBULL CAREER &amp; TECH CENTER</t>
        </is>
      </c>
      <c r="AE634" t="inlineStr">
        <is>
          <t>WARREN CITY</t>
        </is>
      </c>
      <c r="AF634" t="inlineStr">
        <is>
          <t>WARREN CITY SD</t>
        </is>
      </c>
      <c r="AH634" t="n">
        <v>14</v>
      </c>
      <c r="AI634" t="n">
        <v>11</v>
      </c>
      <c r="AN634" t="inlineStr">
        <is>
          <t>WARREN</t>
        </is>
      </c>
      <c r="AO634" t="inlineStr">
        <is>
          <t>WARREN CITY 4A</t>
        </is>
      </c>
      <c r="AP634" t="inlineStr">
        <is>
          <t>78-P-ADI</t>
        </is>
      </c>
      <c r="AQ634" t="n">
        <v>9</v>
      </c>
      <c r="AR634" t="n">
        <v>64</v>
      </c>
      <c r="AS634" t="n">
        <v>32</v>
      </c>
      <c r="AU634">
        <f>COUNTA($BA$634:$EH$634)</f>
        <v/>
      </c>
      <c r="AV634">
        <f>COUNTIF($BA$634:$EH$634,"D")</f>
        <v/>
      </c>
      <c r="AW634">
        <f>COUNTIF($BA$634:$EH$634,"R")</f>
        <v/>
      </c>
      <c r="AX634">
        <f>IF(BN634="D",1,0)+IF(BO634="D",1,0)+IF(BT634="D",1,0)+IF(BU634="D",1,0)+IF(BW634="D",1,0)+IF(CC634="D",1,0)+IF(CD634="D",1,0)+IF(CE634="D",1,0)+IF(CF634="D",1,0)+IF(CL634="D",1,0)+IF(CM634="D",1,0)+IF(CQ634="D",1,0)+IF(CR634="D",1,0)+IF(CS634="D",1,0)+IF(CW634="D",1,0)+IF(CX634="D",1,0)+IF(DD634="D",1,0)+IF(DE634="D",1,0)+IF(DJ634="D",1,0)+IF(DK634="D",1,0)+IF(DO634="D",1,0)+IF(DP634="D",1,0)+IF(DQ634="D",1,0)+IF(DW634="D",1,0)+IF(DZ634="D",1,0)+IF(EH634="D",1,0)</f>
        <v/>
      </c>
      <c r="AY634">
        <f>IF(DJ634&lt;&gt;"",1,0)+IF(DK634&lt;&gt;"",1,0)+IF(DM634&lt;&gt;"",1,0)+IF(DO634&lt;&gt;"",1,0)+IF(DP634&lt;&gt;"",1,0)+IF(DQ634&lt;&gt;"",1,0)+IF(DS634&lt;&gt;"",1,0)+IF(DT634&lt;&gt;"",1,0)+IF(DV634&lt;&gt;"",1,0)+IF(DW634&lt;&gt;"",1,0)+IF(DX634&lt;&gt;"",1,0)+IF(DY634&lt;&gt;"",1,0)+IF(DZ634&lt;&gt;"",1,0)+IF(EB634&lt;&gt;"",1,0)+IF(EC634&lt;&gt;"",1,0)+IF(ED634&lt;&gt;"",1,0)+IF(EG634&lt;&gt;"",1,0)+IF(EH634&lt;&gt;"",1,0)</f>
        <v/>
      </c>
      <c r="AZ634">
        <f>IF(EH634&lt;&gt;"",1,0)</f>
        <v/>
      </c>
      <c r="BB634" t="inlineStr">
        <is>
          <t>WARREN-WARD 4</t>
        </is>
      </c>
    </row>
    <row r="635">
      <c r="A635" t="inlineStr">
        <is>
          <t>OH0020315145</t>
        </is>
      </c>
      <c r="B635" t="n">
        <v>78</v>
      </c>
      <c r="C635" t="n">
        <v>366177</v>
      </c>
      <c r="D635" t="inlineStr">
        <is>
          <t>HAUGHT</t>
        </is>
      </c>
      <c r="E635" t="inlineStr">
        <is>
          <t>BRIAN</t>
        </is>
      </c>
      <c r="F635">
        <f>CONCATENATE(D635," ",LEFT(H635,4),"T=",AU635,"D=",AV635,"R=",AW635,"M=",AX635,"L=",AY635,"B=",AZ635)</f>
        <v/>
      </c>
      <c r="G635" t="inlineStr">
        <is>
          <t>K</t>
        </is>
      </c>
      <c r="I635" t="inlineStr">
        <is>
          <t>1989-03-21</t>
        </is>
      </c>
      <c r="J635" t="inlineStr">
        <is>
          <t>2020-08-14</t>
        </is>
      </c>
      <c r="K635" t="inlineStr">
        <is>
          <t>CONFIRMATION</t>
        </is>
      </c>
      <c r="M635" t="inlineStr">
        <is>
          <t>217 LOGAN AVE SE</t>
        </is>
      </c>
      <c r="N635">
        <f>RIGHT(M635,LEN(M635)-FIND(" ",M635))</f>
        <v/>
      </c>
      <c r="P635" t="inlineStr">
        <is>
          <t>WARREN</t>
        </is>
      </c>
      <c r="Q635" t="inlineStr">
        <is>
          <t>OH</t>
        </is>
      </c>
      <c r="R635" t="n">
        <v>44483</v>
      </c>
      <c r="AD635" t="inlineStr">
        <is>
          <t>TRUMBULL CAREER &amp; TECH CENTER</t>
        </is>
      </c>
      <c r="AE635" t="inlineStr">
        <is>
          <t>WARREN CITY</t>
        </is>
      </c>
      <c r="AF635" t="inlineStr">
        <is>
          <t>WARREN CITY SD</t>
        </is>
      </c>
      <c r="AH635" t="n">
        <v>14</v>
      </c>
      <c r="AI635" t="n">
        <v>11</v>
      </c>
      <c r="AN635" t="inlineStr">
        <is>
          <t>WARREN</t>
        </is>
      </c>
      <c r="AO635" t="inlineStr">
        <is>
          <t>WARREN CITY 4A</t>
        </is>
      </c>
      <c r="AP635" t="inlineStr">
        <is>
          <t>78-P-ADI</t>
        </is>
      </c>
      <c r="AQ635" t="n">
        <v>9</v>
      </c>
      <c r="AR635" t="n">
        <v>64</v>
      </c>
      <c r="AS635" t="n">
        <v>32</v>
      </c>
      <c r="AU635">
        <f>COUNTA($BA$635:$EH$635)</f>
        <v/>
      </c>
      <c r="AV635">
        <f>COUNTIF($BA$635:$EH$635,"D")</f>
        <v/>
      </c>
      <c r="AW635">
        <f>COUNTIF($BA$635:$EH$635,"R")</f>
        <v/>
      </c>
      <c r="AX635">
        <f>IF(BN635="D",1,0)+IF(BO635="D",1,0)+IF(BT635="D",1,0)+IF(BU635="D",1,0)+IF(BW635="D",1,0)+IF(CC635="D",1,0)+IF(CD635="D",1,0)+IF(CE635="D",1,0)+IF(CF635="D",1,0)+IF(CL635="D",1,0)+IF(CM635="D",1,0)+IF(CQ635="D",1,0)+IF(CR635="D",1,0)+IF(CS635="D",1,0)+IF(CW635="D",1,0)+IF(CX635="D",1,0)+IF(DD635="D",1,0)+IF(DE635="D",1,0)+IF(DJ635="D",1,0)+IF(DK635="D",1,0)+IF(DO635="D",1,0)+IF(DP635="D",1,0)+IF(DQ635="D",1,0)+IF(DW635="D",1,0)+IF(DZ635="D",1,0)+IF(EH635="D",1,0)</f>
        <v/>
      </c>
      <c r="AY635">
        <f>IF(DJ635&lt;&gt;"",1,0)+IF(DK635&lt;&gt;"",1,0)+IF(DM635&lt;&gt;"",1,0)+IF(DO635&lt;&gt;"",1,0)+IF(DP635&lt;&gt;"",1,0)+IF(DQ635&lt;&gt;"",1,0)+IF(DS635&lt;&gt;"",1,0)+IF(DT635&lt;&gt;"",1,0)+IF(DV635&lt;&gt;"",1,0)+IF(DW635&lt;&gt;"",1,0)+IF(DX635&lt;&gt;"",1,0)+IF(DY635&lt;&gt;"",1,0)+IF(DZ635&lt;&gt;"",1,0)+IF(EB635&lt;&gt;"",1,0)+IF(EC635&lt;&gt;"",1,0)+IF(ED635&lt;&gt;"",1,0)+IF(EG635&lt;&gt;"",1,0)+IF(EH635&lt;&gt;"",1,0)</f>
        <v/>
      </c>
      <c r="AZ635">
        <f>IF(EH635&lt;&gt;"",1,0)</f>
        <v/>
      </c>
      <c r="BB635" t="inlineStr">
        <is>
          <t>WARREN-WARD 4</t>
        </is>
      </c>
    </row>
    <row r="636">
      <c r="A636" t="inlineStr">
        <is>
          <t>OH0026063371</t>
        </is>
      </c>
      <c r="B636" t="n">
        <v>78</v>
      </c>
      <c r="C636" t="n">
        <v>455172</v>
      </c>
      <c r="D636" t="inlineStr">
        <is>
          <t>REMEIKA PIRTZ</t>
        </is>
      </c>
      <c r="E636" t="inlineStr">
        <is>
          <t>JULIE</t>
        </is>
      </c>
      <c r="F636">
        <f>CONCATENATE(D636," ",LEFT(H636,4),"T=",AU636,"D=",AV636,"R=",AW636,"M=",AX636,"L=",AY636,"B=",AZ636)</f>
        <v/>
      </c>
      <c r="G636" t="inlineStr">
        <is>
          <t>MARIA</t>
        </is>
      </c>
      <c r="I636" t="inlineStr">
        <is>
          <t>1979-01-30</t>
        </is>
      </c>
      <c r="J636" t="inlineStr">
        <is>
          <t>2020-11-03</t>
        </is>
      </c>
      <c r="K636" t="inlineStr">
        <is>
          <t>ACTIVE</t>
        </is>
      </c>
      <c r="M636" t="inlineStr">
        <is>
          <t>1106 ADELAIDE AVE SE</t>
        </is>
      </c>
      <c r="N636">
        <f>RIGHT(M636,LEN(M636)-FIND(" ",M636))</f>
        <v/>
      </c>
      <c r="P636" t="inlineStr">
        <is>
          <t>WARREN</t>
        </is>
      </c>
      <c r="Q636" t="inlineStr">
        <is>
          <t>OH</t>
        </is>
      </c>
      <c r="R636" t="n">
        <v>44484</v>
      </c>
      <c r="AD636" t="inlineStr">
        <is>
          <t>TRUMBULL CAREER &amp; TECH CENTER</t>
        </is>
      </c>
      <c r="AE636" t="inlineStr">
        <is>
          <t>WARREN CITY</t>
        </is>
      </c>
      <c r="AF636" t="inlineStr">
        <is>
          <t>WARREN CITY SD</t>
        </is>
      </c>
      <c r="AH636" t="n">
        <v>14</v>
      </c>
      <c r="AI636" t="n">
        <v>11</v>
      </c>
      <c r="AN636" t="inlineStr">
        <is>
          <t>WARREN</t>
        </is>
      </c>
      <c r="AO636" t="inlineStr">
        <is>
          <t>WARREN CITY 4A</t>
        </is>
      </c>
      <c r="AP636" t="inlineStr">
        <is>
          <t>78-P-ADI</t>
        </is>
      </c>
      <c r="AQ636" t="n">
        <v>9</v>
      </c>
      <c r="AR636" t="n">
        <v>64</v>
      </c>
      <c r="AS636" t="n">
        <v>32</v>
      </c>
      <c r="AU636">
        <f>COUNTA($BA$636:$EH$636)</f>
        <v/>
      </c>
      <c r="AV636">
        <f>COUNTIF($BA$636:$EH$636,"D")</f>
        <v/>
      </c>
      <c r="AW636">
        <f>COUNTIF($BA$636:$EH$636,"R")</f>
        <v/>
      </c>
      <c r="AX636">
        <f>IF(BN636="D",1,0)+IF(BO636="D",1,0)+IF(BT636="D",1,0)+IF(BU636="D",1,0)+IF(BW636="D",1,0)+IF(CC636="D",1,0)+IF(CD636="D",1,0)+IF(CE636="D",1,0)+IF(CF636="D",1,0)+IF(CL636="D",1,0)+IF(CM636="D",1,0)+IF(CQ636="D",1,0)+IF(CR636="D",1,0)+IF(CS636="D",1,0)+IF(CW636="D",1,0)+IF(CX636="D",1,0)+IF(DD636="D",1,0)+IF(DE636="D",1,0)+IF(DJ636="D",1,0)+IF(DK636="D",1,0)+IF(DO636="D",1,0)+IF(DP636="D",1,0)+IF(DQ636="D",1,0)+IF(DW636="D",1,0)+IF(DZ636="D",1,0)+IF(EH636="D",1,0)</f>
        <v/>
      </c>
      <c r="AY636">
        <f>IF(DJ636&lt;&gt;"",1,0)+IF(DK636&lt;&gt;"",1,0)+IF(DM636&lt;&gt;"",1,0)+IF(DO636&lt;&gt;"",1,0)+IF(DP636&lt;&gt;"",1,0)+IF(DQ636&lt;&gt;"",1,0)+IF(DS636&lt;&gt;"",1,0)+IF(DT636&lt;&gt;"",1,0)+IF(DV636&lt;&gt;"",1,0)+IF(DW636&lt;&gt;"",1,0)+IF(DX636&lt;&gt;"",1,0)+IF(DY636&lt;&gt;"",1,0)+IF(DZ636&lt;&gt;"",1,0)+IF(EB636&lt;&gt;"",1,0)+IF(EC636&lt;&gt;"",1,0)+IF(ED636&lt;&gt;"",1,0)+IF(EG636&lt;&gt;"",1,0)+IF(EH636&lt;&gt;"",1,0)</f>
        <v/>
      </c>
      <c r="AZ636">
        <f>IF(EH636&lt;&gt;"",1,0)</f>
        <v/>
      </c>
      <c r="BB636" t="inlineStr">
        <is>
          <t>WARREN-WARD 4</t>
        </is>
      </c>
      <c r="DN636" t="inlineStr">
        <is>
          <t>X</t>
        </is>
      </c>
    </row>
    <row r="637">
      <c r="A637" t="inlineStr">
        <is>
          <t>OH0026364475</t>
        </is>
      </c>
      <c r="B637" t="n">
        <v>78</v>
      </c>
      <c r="C637" t="n">
        <v>460959</v>
      </c>
      <c r="D637" t="inlineStr">
        <is>
          <t>MINNICK</t>
        </is>
      </c>
      <c r="E637" t="inlineStr">
        <is>
          <t>ALEXANDER</t>
        </is>
      </c>
      <c r="F637">
        <f>CONCATENATE(D637," ",LEFT(H637,4),"T=",AU637,"D=",AV637,"R=",AW637,"M=",AX637,"L=",AY637,"B=",AZ637)</f>
        <v/>
      </c>
      <c r="G637" t="inlineStr">
        <is>
          <t>THOMAS</t>
        </is>
      </c>
      <c r="I637" t="inlineStr">
        <is>
          <t>1996-02-11</t>
        </is>
      </c>
      <c r="J637" t="inlineStr">
        <is>
          <t>2021-11-27</t>
        </is>
      </c>
      <c r="K637" t="inlineStr">
        <is>
          <t>ACTIVE</t>
        </is>
      </c>
      <c r="M637" t="inlineStr">
        <is>
          <t>390 WOODBINE AVE SE</t>
        </is>
      </c>
      <c r="N637">
        <f>RIGHT(M637,LEN(M637)-FIND(" ",M637))</f>
        <v/>
      </c>
      <c r="P637" t="inlineStr">
        <is>
          <t>WARREN</t>
        </is>
      </c>
      <c r="Q637" t="inlineStr">
        <is>
          <t>OH</t>
        </is>
      </c>
      <c r="R637" t="n">
        <v>44483</v>
      </c>
      <c r="AD637" t="inlineStr">
        <is>
          <t>TRUMBULL CAREER &amp; TECH CENTER</t>
        </is>
      </c>
      <c r="AE637" t="inlineStr">
        <is>
          <t>WARREN CITY</t>
        </is>
      </c>
      <c r="AF637" t="inlineStr">
        <is>
          <t>WARREN CITY SD</t>
        </is>
      </c>
      <c r="AH637" t="n">
        <v>14</v>
      </c>
      <c r="AI637" t="n">
        <v>11</v>
      </c>
      <c r="AN637" t="inlineStr">
        <is>
          <t>WARREN</t>
        </is>
      </c>
      <c r="AO637" t="inlineStr">
        <is>
          <t>WARREN CITY 4A</t>
        </is>
      </c>
      <c r="AP637" t="inlineStr">
        <is>
          <t>78-P-ADI</t>
        </is>
      </c>
      <c r="AQ637" t="n">
        <v>9</v>
      </c>
      <c r="AR637" t="n">
        <v>64</v>
      </c>
      <c r="AS637" t="n">
        <v>32</v>
      </c>
      <c r="AU637">
        <f>COUNTA($BA$637:$EH$637)</f>
        <v/>
      </c>
      <c r="AV637">
        <f>COUNTIF($BA$637:$EH$637,"D")</f>
        <v/>
      </c>
      <c r="AW637">
        <f>COUNTIF($BA$637:$EH$637,"R")</f>
        <v/>
      </c>
      <c r="AX637">
        <f>IF(BN637="D",1,0)+IF(BO637="D",1,0)+IF(BT637="D",1,0)+IF(BU637="D",1,0)+IF(BW637="D",1,0)+IF(CC637="D",1,0)+IF(CD637="D",1,0)+IF(CE637="D",1,0)+IF(CF637="D",1,0)+IF(CL637="D",1,0)+IF(CM637="D",1,0)+IF(CQ637="D",1,0)+IF(CR637="D",1,0)+IF(CS637="D",1,0)+IF(CW637="D",1,0)+IF(CX637="D",1,0)+IF(DD637="D",1,0)+IF(DE637="D",1,0)+IF(DJ637="D",1,0)+IF(DK637="D",1,0)+IF(DO637="D",1,0)+IF(DP637="D",1,0)+IF(DQ637="D",1,0)+IF(DW637="D",1,0)+IF(DZ637="D",1,0)+IF(EH637="D",1,0)</f>
        <v/>
      </c>
      <c r="AY637">
        <f>IF(DJ637&lt;&gt;"",1,0)+IF(DK637&lt;&gt;"",1,0)+IF(DM637&lt;&gt;"",1,0)+IF(DO637&lt;&gt;"",1,0)+IF(DP637&lt;&gt;"",1,0)+IF(DQ637&lt;&gt;"",1,0)+IF(DS637&lt;&gt;"",1,0)+IF(DT637&lt;&gt;"",1,0)+IF(DV637&lt;&gt;"",1,0)+IF(DW637&lt;&gt;"",1,0)+IF(DX637&lt;&gt;"",1,0)+IF(DY637&lt;&gt;"",1,0)+IF(DZ637&lt;&gt;"",1,0)+IF(EB637&lt;&gt;"",1,0)+IF(EC637&lt;&gt;"",1,0)+IF(ED637&lt;&gt;"",1,0)+IF(EG637&lt;&gt;"",1,0)+IF(EH637&lt;&gt;"",1,0)</f>
        <v/>
      </c>
      <c r="AZ637">
        <f>IF(EH637&lt;&gt;"",1,0)</f>
        <v/>
      </c>
      <c r="BB637" t="inlineStr">
        <is>
          <t>WARREN-WARD 4</t>
        </is>
      </c>
      <c r="DU637" t="inlineStr">
        <is>
          <t>X</t>
        </is>
      </c>
      <c r="DX637" t="inlineStr">
        <is>
          <t>X</t>
        </is>
      </c>
      <c r="EF637" t="inlineStr">
        <is>
          <t>X</t>
        </is>
      </c>
    </row>
    <row r="638">
      <c r="A638" t="inlineStr">
        <is>
          <t>OH0023150571</t>
        </is>
      </c>
      <c r="B638" t="n">
        <v>78</v>
      </c>
      <c r="C638" t="n">
        <v>402941</v>
      </c>
      <c r="D638" t="inlineStr">
        <is>
          <t>CASTERLINE</t>
        </is>
      </c>
      <c r="E638" t="inlineStr">
        <is>
          <t>CLARENCE</t>
        </is>
      </c>
      <c r="F638">
        <f>CONCATENATE(D638," ",LEFT(H638,4),"T=",AU638,"D=",AV638,"R=",AW638,"M=",AX638,"L=",AY638,"B=",AZ638)</f>
        <v/>
      </c>
      <c r="G638" t="inlineStr">
        <is>
          <t>J</t>
        </is>
      </c>
      <c r="I638" t="inlineStr">
        <is>
          <t>1984-01-09</t>
        </is>
      </c>
      <c r="J638" t="inlineStr">
        <is>
          <t>2015-05-07</t>
        </is>
      </c>
      <c r="K638" t="inlineStr">
        <is>
          <t>CONFIRMATION</t>
        </is>
      </c>
      <c r="M638" t="inlineStr">
        <is>
          <t>177 LOGAN AVE SE</t>
        </is>
      </c>
      <c r="N638">
        <f>RIGHT(M638,LEN(M638)-FIND(" ",M638))</f>
        <v/>
      </c>
      <c r="P638" t="inlineStr">
        <is>
          <t>WARREN</t>
        </is>
      </c>
      <c r="Q638" t="inlineStr">
        <is>
          <t>OH</t>
        </is>
      </c>
      <c r="R638" t="n">
        <v>44483</v>
      </c>
      <c r="AD638" t="inlineStr">
        <is>
          <t>TRUMBULL CAREER &amp; TECH CENTER</t>
        </is>
      </c>
      <c r="AE638" t="inlineStr">
        <is>
          <t>WARREN CITY</t>
        </is>
      </c>
      <c r="AF638" t="inlineStr">
        <is>
          <t>WARREN CITY SD</t>
        </is>
      </c>
      <c r="AH638" t="n">
        <v>14</v>
      </c>
      <c r="AI638" t="n">
        <v>11</v>
      </c>
      <c r="AN638" t="inlineStr">
        <is>
          <t>WARREN</t>
        </is>
      </c>
      <c r="AO638" t="inlineStr">
        <is>
          <t>WARREN CITY 4A</t>
        </is>
      </c>
      <c r="AP638" t="inlineStr">
        <is>
          <t>78-P-ADI</t>
        </is>
      </c>
      <c r="AQ638" t="n">
        <v>9</v>
      </c>
      <c r="AR638" t="n">
        <v>64</v>
      </c>
      <c r="AS638" t="n">
        <v>32</v>
      </c>
      <c r="AU638">
        <f>COUNTA($BA$638:$EH$638)</f>
        <v/>
      </c>
      <c r="AV638">
        <f>COUNTIF($BA$638:$EH$638,"D")</f>
        <v/>
      </c>
      <c r="AW638">
        <f>COUNTIF($BA$638:$EH$638,"R")</f>
        <v/>
      </c>
      <c r="AX638">
        <f>IF(BN638="D",1,0)+IF(BO638="D",1,0)+IF(BT638="D",1,0)+IF(BU638="D",1,0)+IF(BW638="D",1,0)+IF(CC638="D",1,0)+IF(CD638="D",1,0)+IF(CE638="D",1,0)+IF(CF638="D",1,0)+IF(CL638="D",1,0)+IF(CM638="D",1,0)+IF(CQ638="D",1,0)+IF(CR638="D",1,0)+IF(CS638="D",1,0)+IF(CW638="D",1,0)+IF(CX638="D",1,0)+IF(DD638="D",1,0)+IF(DE638="D",1,0)+IF(DJ638="D",1,0)+IF(DK638="D",1,0)+IF(DO638="D",1,0)+IF(DP638="D",1,0)+IF(DQ638="D",1,0)+IF(DW638="D",1,0)+IF(DZ638="D",1,0)+IF(EH638="D",1,0)</f>
        <v/>
      </c>
      <c r="AY638">
        <f>IF(DJ638&lt;&gt;"",1,0)+IF(DK638&lt;&gt;"",1,0)+IF(DM638&lt;&gt;"",1,0)+IF(DO638&lt;&gt;"",1,0)+IF(DP638&lt;&gt;"",1,0)+IF(DQ638&lt;&gt;"",1,0)+IF(DS638&lt;&gt;"",1,0)+IF(DT638&lt;&gt;"",1,0)+IF(DV638&lt;&gt;"",1,0)+IF(DW638&lt;&gt;"",1,0)+IF(DX638&lt;&gt;"",1,0)+IF(DY638&lt;&gt;"",1,0)+IF(DZ638&lt;&gt;"",1,0)+IF(EB638&lt;&gt;"",1,0)+IF(EC638&lt;&gt;"",1,0)+IF(ED638&lt;&gt;"",1,0)+IF(EG638&lt;&gt;"",1,0)+IF(EH638&lt;&gt;"",1,0)</f>
        <v/>
      </c>
      <c r="AZ638">
        <f>IF(EH638&lt;&gt;"",1,0)</f>
        <v/>
      </c>
      <c r="BB638" t="inlineStr">
        <is>
          <t>WARREN-WARD 4</t>
        </is>
      </c>
      <c r="BP638" t="inlineStr">
        <is>
          <t>X</t>
        </is>
      </c>
    </row>
    <row r="639">
      <c r="A639" t="inlineStr">
        <is>
          <t>OH0027232911</t>
        </is>
      </c>
      <c r="B639" t="n">
        <v>78</v>
      </c>
      <c r="C639" t="n">
        <v>481094</v>
      </c>
      <c r="D639" t="inlineStr">
        <is>
          <t>GREGORY</t>
        </is>
      </c>
      <c r="E639" t="inlineStr">
        <is>
          <t>ELAYSHA</t>
        </is>
      </c>
      <c r="F639">
        <f>CONCATENATE(D639," ",LEFT(H639,4),"T=",AU639,"D=",AV639,"R=",AW639,"M=",AX639,"L=",AY639,"B=",AZ639)</f>
        <v/>
      </c>
      <c r="G639" t="inlineStr">
        <is>
          <t>SYDNEY MONET</t>
        </is>
      </c>
      <c r="I639" t="inlineStr">
        <is>
          <t>2005-10-21</t>
        </is>
      </c>
      <c r="J639" t="inlineStr">
        <is>
          <t>2024-05-15</t>
        </is>
      </c>
      <c r="K639" t="inlineStr">
        <is>
          <t>ACTIVE</t>
        </is>
      </c>
      <c r="M639" t="inlineStr">
        <is>
          <t>317 KENILWORTH AVE SE</t>
        </is>
      </c>
      <c r="N639">
        <f>RIGHT(M639,LEN(M639)-FIND(" ",M639))</f>
        <v/>
      </c>
      <c r="P639" t="inlineStr">
        <is>
          <t>WARREN</t>
        </is>
      </c>
      <c r="Q639" t="inlineStr">
        <is>
          <t>OH</t>
        </is>
      </c>
      <c r="R639" t="n">
        <v>44483</v>
      </c>
      <c r="AD639" t="inlineStr">
        <is>
          <t>TRUMBULL CAREER &amp; TECH CENTER</t>
        </is>
      </c>
      <c r="AE639" t="inlineStr">
        <is>
          <t>WARREN CITY</t>
        </is>
      </c>
      <c r="AF639" t="inlineStr">
        <is>
          <t>WARREN CITY SD</t>
        </is>
      </c>
      <c r="AH639" t="n">
        <v>14</v>
      </c>
      <c r="AI639" t="n">
        <v>11</v>
      </c>
      <c r="AN639" t="inlineStr">
        <is>
          <t>WARREN</t>
        </is>
      </c>
      <c r="AO639" t="inlineStr">
        <is>
          <t>WARREN CITY 4A</t>
        </is>
      </c>
      <c r="AP639" t="inlineStr">
        <is>
          <t>78-P-ADI</t>
        </is>
      </c>
      <c r="AQ639" t="n">
        <v>9</v>
      </c>
      <c r="AR639" t="n">
        <v>64</v>
      </c>
      <c r="AS639" t="n">
        <v>32</v>
      </c>
      <c r="AU639">
        <f>COUNTA($BA$639:$EH$639)</f>
        <v/>
      </c>
      <c r="AV639">
        <f>COUNTIF($BA$639:$EH$639,"D")</f>
        <v/>
      </c>
      <c r="AW639">
        <f>COUNTIF($BA$639:$EH$639,"R")</f>
        <v/>
      </c>
      <c r="AX639">
        <f>IF(BN639="D",1,0)+IF(BO639="D",1,0)+IF(BT639="D",1,0)+IF(BU639="D",1,0)+IF(BW639="D",1,0)+IF(CC639="D",1,0)+IF(CD639="D",1,0)+IF(CE639="D",1,0)+IF(CF639="D",1,0)+IF(CL639="D",1,0)+IF(CM639="D",1,0)+IF(CQ639="D",1,0)+IF(CR639="D",1,0)+IF(CS639="D",1,0)+IF(CW639="D",1,0)+IF(CX639="D",1,0)+IF(DD639="D",1,0)+IF(DE639="D",1,0)+IF(DJ639="D",1,0)+IF(DK639="D",1,0)+IF(DO639="D",1,0)+IF(DP639="D",1,0)+IF(DQ639="D",1,0)+IF(DW639="D",1,0)+IF(DZ639="D",1,0)+IF(EH639="D",1,0)</f>
        <v/>
      </c>
      <c r="AY639">
        <f>IF(DJ639&lt;&gt;"",1,0)+IF(DK639&lt;&gt;"",1,0)+IF(DM639&lt;&gt;"",1,0)+IF(DO639&lt;&gt;"",1,0)+IF(DP639&lt;&gt;"",1,0)+IF(DQ639&lt;&gt;"",1,0)+IF(DS639&lt;&gt;"",1,0)+IF(DT639&lt;&gt;"",1,0)+IF(DV639&lt;&gt;"",1,0)+IF(DW639&lt;&gt;"",1,0)+IF(DX639&lt;&gt;"",1,0)+IF(DY639&lt;&gt;"",1,0)+IF(DZ639&lt;&gt;"",1,0)+IF(EB639&lt;&gt;"",1,0)+IF(EC639&lt;&gt;"",1,0)+IF(ED639&lt;&gt;"",1,0)+IF(EG639&lt;&gt;"",1,0)+IF(EH639&lt;&gt;"",1,0)</f>
        <v/>
      </c>
      <c r="AZ639">
        <f>IF(EH639&lt;&gt;"",1,0)</f>
        <v/>
      </c>
      <c r="BB639" t="inlineStr">
        <is>
          <t>WARREN-WARD 4</t>
        </is>
      </c>
    </row>
    <row r="640">
      <c r="A640" t="inlineStr">
        <is>
          <t>OH0023184578</t>
        </is>
      </c>
      <c r="B640" t="n">
        <v>78</v>
      </c>
      <c r="C640" t="n">
        <v>407946</v>
      </c>
      <c r="D640" t="inlineStr">
        <is>
          <t>MURPHY</t>
        </is>
      </c>
      <c r="E640" t="inlineStr">
        <is>
          <t>ADAM</t>
        </is>
      </c>
      <c r="F640">
        <f>CONCATENATE(D640," ",LEFT(H640,4),"T=",AU640,"D=",AV640,"R=",AW640,"M=",AX640,"L=",AY640,"B=",AZ640)</f>
        <v/>
      </c>
      <c r="G640" t="inlineStr">
        <is>
          <t>F</t>
        </is>
      </c>
      <c r="I640" t="inlineStr">
        <is>
          <t>1984-03-26</t>
        </is>
      </c>
      <c r="J640" t="inlineStr">
        <is>
          <t>2024-08-01</t>
        </is>
      </c>
      <c r="K640" t="inlineStr">
        <is>
          <t>ACTIVE</t>
        </is>
      </c>
      <c r="M640" t="inlineStr">
        <is>
          <t>773 KENILWORTH AVE SE</t>
        </is>
      </c>
      <c r="N640">
        <f>RIGHT(M640,LEN(M640)-FIND(" ",M640))</f>
        <v/>
      </c>
      <c r="P640" t="inlineStr">
        <is>
          <t>WARREN</t>
        </is>
      </c>
      <c r="Q640" t="inlineStr">
        <is>
          <t>OH</t>
        </is>
      </c>
      <c r="R640" t="n">
        <v>44484</v>
      </c>
      <c r="AD640" t="inlineStr">
        <is>
          <t>TRUMBULL CAREER &amp; TECH CENTER</t>
        </is>
      </c>
      <c r="AE640" t="inlineStr">
        <is>
          <t>WARREN CITY</t>
        </is>
      </c>
      <c r="AF640" t="inlineStr">
        <is>
          <t>WARREN CITY SD</t>
        </is>
      </c>
      <c r="AH640" t="n">
        <v>14</v>
      </c>
      <c r="AI640" t="n">
        <v>11</v>
      </c>
      <c r="AN640" t="inlineStr">
        <is>
          <t>WARREN</t>
        </is>
      </c>
      <c r="AO640" t="inlineStr">
        <is>
          <t>WARREN CITY 4A</t>
        </is>
      </c>
      <c r="AP640" t="inlineStr">
        <is>
          <t>78-P-ADI</t>
        </is>
      </c>
      <c r="AQ640" t="n">
        <v>9</v>
      </c>
      <c r="AR640" t="n">
        <v>64</v>
      </c>
      <c r="AS640" t="n">
        <v>32</v>
      </c>
      <c r="AU640">
        <f>COUNTA($BA$640:$EH$640)</f>
        <v/>
      </c>
      <c r="AV640">
        <f>COUNTIF($BA$640:$EH$640,"D")</f>
        <v/>
      </c>
      <c r="AW640">
        <f>COUNTIF($BA$640:$EH$640,"R")</f>
        <v/>
      </c>
      <c r="AX640">
        <f>IF(BN640="D",1,0)+IF(BO640="D",1,0)+IF(BT640="D",1,0)+IF(BU640="D",1,0)+IF(BW640="D",1,0)+IF(CC640="D",1,0)+IF(CD640="D",1,0)+IF(CE640="D",1,0)+IF(CF640="D",1,0)+IF(CL640="D",1,0)+IF(CM640="D",1,0)+IF(CQ640="D",1,0)+IF(CR640="D",1,0)+IF(CS640="D",1,0)+IF(CW640="D",1,0)+IF(CX640="D",1,0)+IF(DD640="D",1,0)+IF(DE640="D",1,0)+IF(DJ640="D",1,0)+IF(DK640="D",1,0)+IF(DO640="D",1,0)+IF(DP640="D",1,0)+IF(DQ640="D",1,0)+IF(DW640="D",1,0)+IF(DZ640="D",1,0)+IF(EH640="D",1,0)</f>
        <v/>
      </c>
      <c r="AY640">
        <f>IF(DJ640&lt;&gt;"",1,0)+IF(DK640&lt;&gt;"",1,0)+IF(DM640&lt;&gt;"",1,0)+IF(DO640&lt;&gt;"",1,0)+IF(DP640&lt;&gt;"",1,0)+IF(DQ640&lt;&gt;"",1,0)+IF(DS640&lt;&gt;"",1,0)+IF(DT640&lt;&gt;"",1,0)+IF(DV640&lt;&gt;"",1,0)+IF(DW640&lt;&gt;"",1,0)+IF(DX640&lt;&gt;"",1,0)+IF(DY640&lt;&gt;"",1,0)+IF(DZ640&lt;&gt;"",1,0)+IF(EB640&lt;&gt;"",1,0)+IF(EC640&lt;&gt;"",1,0)+IF(ED640&lt;&gt;"",1,0)+IF(EG640&lt;&gt;"",1,0)+IF(EH640&lt;&gt;"",1,0)</f>
        <v/>
      </c>
      <c r="AZ640">
        <f>IF(EH640&lt;&gt;"",1,0)</f>
        <v/>
      </c>
      <c r="BB640" t="inlineStr">
        <is>
          <t>WARREN-WARD 4</t>
        </is>
      </c>
    </row>
    <row r="641">
      <c r="A641" t="inlineStr">
        <is>
          <t>OH0023636169</t>
        </is>
      </c>
      <c r="B641" t="n">
        <v>78</v>
      </c>
      <c r="C641" t="n">
        <v>415470</v>
      </c>
      <c r="D641" t="inlineStr">
        <is>
          <t>MOORMAN</t>
        </is>
      </c>
      <c r="E641" t="inlineStr">
        <is>
          <t>ROBERT</t>
        </is>
      </c>
      <c r="F641">
        <f>CONCATENATE(D641," ",LEFT(H641,4),"T=",AU641,"D=",AV641,"R=",AW641,"M=",AX641,"L=",AY641,"B=",AZ641)</f>
        <v/>
      </c>
      <c r="G641" t="inlineStr">
        <is>
          <t>ADAM</t>
        </is>
      </c>
      <c r="I641" t="inlineStr">
        <is>
          <t>1984-09-25</t>
        </is>
      </c>
      <c r="J641" t="inlineStr">
        <is>
          <t>2024-07-14</t>
        </is>
      </c>
      <c r="K641" t="inlineStr">
        <is>
          <t>ACTIVE</t>
        </is>
      </c>
      <c r="M641" t="inlineStr">
        <is>
          <t>462 CHARLES AVE SE</t>
        </is>
      </c>
      <c r="N641">
        <f>RIGHT(M641,LEN(M641)-FIND(" ",M641))</f>
        <v/>
      </c>
      <c r="P641" t="inlineStr">
        <is>
          <t>WARREN</t>
        </is>
      </c>
      <c r="Q641" t="inlineStr">
        <is>
          <t>OH</t>
        </is>
      </c>
      <c r="R641" t="n">
        <v>44483</v>
      </c>
      <c r="AD641" t="inlineStr">
        <is>
          <t>TRUMBULL CAREER &amp; TECH CENTER</t>
        </is>
      </c>
      <c r="AE641" t="inlineStr">
        <is>
          <t>WARREN CITY</t>
        </is>
      </c>
      <c r="AF641" t="inlineStr">
        <is>
          <t>WARREN CITY SD</t>
        </is>
      </c>
      <c r="AH641" t="n">
        <v>14</v>
      </c>
      <c r="AI641" t="n">
        <v>11</v>
      </c>
      <c r="AN641" t="inlineStr">
        <is>
          <t>WARREN</t>
        </is>
      </c>
      <c r="AO641" t="inlineStr">
        <is>
          <t>WARREN CITY 4A</t>
        </is>
      </c>
      <c r="AP641" t="inlineStr">
        <is>
          <t>78-P-ADI</t>
        </is>
      </c>
      <c r="AQ641" t="n">
        <v>9</v>
      </c>
      <c r="AR641" t="n">
        <v>64</v>
      </c>
      <c r="AS641" t="n">
        <v>32</v>
      </c>
      <c r="AU641">
        <f>COUNTA($BA$641:$EH$641)</f>
        <v/>
      </c>
      <c r="AV641">
        <f>COUNTIF($BA$641:$EH$641,"D")</f>
        <v/>
      </c>
      <c r="AW641">
        <f>COUNTIF($BA$641:$EH$641,"R")</f>
        <v/>
      </c>
      <c r="AX641">
        <f>IF(BN641="D",1,0)+IF(BO641="D",1,0)+IF(BT641="D",1,0)+IF(BU641="D",1,0)+IF(BW641="D",1,0)+IF(CC641="D",1,0)+IF(CD641="D",1,0)+IF(CE641="D",1,0)+IF(CF641="D",1,0)+IF(CL641="D",1,0)+IF(CM641="D",1,0)+IF(CQ641="D",1,0)+IF(CR641="D",1,0)+IF(CS641="D",1,0)+IF(CW641="D",1,0)+IF(CX641="D",1,0)+IF(DD641="D",1,0)+IF(DE641="D",1,0)+IF(DJ641="D",1,0)+IF(DK641="D",1,0)+IF(DO641="D",1,0)+IF(DP641="D",1,0)+IF(DQ641="D",1,0)+IF(DW641="D",1,0)+IF(DZ641="D",1,0)+IF(EH641="D",1,0)</f>
        <v/>
      </c>
      <c r="AY641">
        <f>IF(DJ641&lt;&gt;"",1,0)+IF(DK641&lt;&gt;"",1,0)+IF(DM641&lt;&gt;"",1,0)+IF(DO641&lt;&gt;"",1,0)+IF(DP641&lt;&gt;"",1,0)+IF(DQ641&lt;&gt;"",1,0)+IF(DS641&lt;&gt;"",1,0)+IF(DT641&lt;&gt;"",1,0)+IF(DV641&lt;&gt;"",1,0)+IF(DW641&lt;&gt;"",1,0)+IF(DX641&lt;&gt;"",1,0)+IF(DY641&lt;&gt;"",1,0)+IF(DZ641&lt;&gt;"",1,0)+IF(EB641&lt;&gt;"",1,0)+IF(EC641&lt;&gt;"",1,0)+IF(ED641&lt;&gt;"",1,0)+IF(EG641&lt;&gt;"",1,0)+IF(EH641&lt;&gt;"",1,0)</f>
        <v/>
      </c>
      <c r="AZ641">
        <f>IF(EH641&lt;&gt;"",1,0)</f>
        <v/>
      </c>
      <c r="BB641" t="inlineStr">
        <is>
          <t>WARREN-WARD 4</t>
        </is>
      </c>
      <c r="DN641" t="inlineStr">
        <is>
          <t>X</t>
        </is>
      </c>
      <c r="EF641" t="inlineStr">
        <is>
          <t>X</t>
        </is>
      </c>
    </row>
    <row r="642">
      <c r="A642" t="inlineStr">
        <is>
          <t>OH0015756114</t>
        </is>
      </c>
      <c r="B642" t="n">
        <v>78</v>
      </c>
      <c r="C642" t="n">
        <v>308525</v>
      </c>
      <c r="D642" t="inlineStr">
        <is>
          <t>RAY</t>
        </is>
      </c>
      <c r="E642" t="inlineStr">
        <is>
          <t>NANCY</t>
        </is>
      </c>
      <c r="F642">
        <f>CONCATENATE(D642," ",LEFT(H642,4),"T=",AU642,"D=",AV642,"R=",AW642,"M=",AX642,"L=",AY642,"B=",AZ642)</f>
        <v/>
      </c>
      <c r="G642" t="inlineStr">
        <is>
          <t>A</t>
        </is>
      </c>
      <c r="I642" t="inlineStr">
        <is>
          <t>1948-07-03</t>
        </is>
      </c>
      <c r="J642" t="inlineStr">
        <is>
          <t>2002-05-30</t>
        </is>
      </c>
      <c r="K642" t="inlineStr">
        <is>
          <t>ACTIVE</t>
        </is>
      </c>
      <c r="L642" t="inlineStr">
        <is>
          <t>R</t>
        </is>
      </c>
      <c r="M642" t="inlineStr">
        <is>
          <t>492 KENILWORTH AVE SE</t>
        </is>
      </c>
      <c r="N642">
        <f>RIGHT(M642,LEN(M642)-FIND(" ",M642))</f>
        <v/>
      </c>
      <c r="P642" t="inlineStr">
        <is>
          <t>WARREN</t>
        </is>
      </c>
      <c r="Q642" t="inlineStr">
        <is>
          <t>OH</t>
        </is>
      </c>
      <c r="R642" t="n">
        <v>44483</v>
      </c>
      <c r="AD642" t="inlineStr">
        <is>
          <t>TRUMBULL CAREER &amp; TECH CENTER</t>
        </is>
      </c>
      <c r="AE642" t="inlineStr">
        <is>
          <t>WARREN CITY</t>
        </is>
      </c>
      <c r="AF642" t="inlineStr">
        <is>
          <t>WARREN CITY SD</t>
        </is>
      </c>
      <c r="AH642" t="n">
        <v>14</v>
      </c>
      <c r="AI642" t="n">
        <v>11</v>
      </c>
      <c r="AN642" t="inlineStr">
        <is>
          <t>WARREN</t>
        </is>
      </c>
      <c r="AO642" t="inlineStr">
        <is>
          <t>WARREN CITY 4A</t>
        </is>
      </c>
      <c r="AP642" t="inlineStr">
        <is>
          <t>78-P-ADI</t>
        </is>
      </c>
      <c r="AQ642" t="n">
        <v>9</v>
      </c>
      <c r="AR642" t="n">
        <v>64</v>
      </c>
      <c r="AS642" t="n">
        <v>32</v>
      </c>
      <c r="AU642">
        <f>COUNTA($BA$642:$EH$642)</f>
        <v/>
      </c>
      <c r="AV642">
        <f>COUNTIF($BA$642:$EH$642,"D")</f>
        <v/>
      </c>
      <c r="AW642">
        <f>COUNTIF($BA$642:$EH$642,"R")</f>
        <v/>
      </c>
      <c r="AX642">
        <f>IF(BN642="D",1,0)+IF(BO642="D",1,0)+IF(BT642="D",1,0)+IF(BU642="D",1,0)+IF(BW642="D",1,0)+IF(CC642="D",1,0)+IF(CD642="D",1,0)+IF(CE642="D",1,0)+IF(CF642="D",1,0)+IF(CL642="D",1,0)+IF(CM642="D",1,0)+IF(CQ642="D",1,0)+IF(CR642="D",1,0)+IF(CS642="D",1,0)+IF(CW642="D",1,0)+IF(CX642="D",1,0)+IF(DD642="D",1,0)+IF(DE642="D",1,0)+IF(DJ642="D",1,0)+IF(DK642="D",1,0)+IF(DO642="D",1,0)+IF(DP642="D",1,0)+IF(DQ642="D",1,0)+IF(DW642="D",1,0)+IF(DZ642="D",1,0)+IF(EH642="D",1,0)</f>
        <v/>
      </c>
      <c r="AY642">
        <f>IF(DJ642&lt;&gt;"",1,0)+IF(DK642&lt;&gt;"",1,0)+IF(DM642&lt;&gt;"",1,0)+IF(DO642&lt;&gt;"",1,0)+IF(DP642&lt;&gt;"",1,0)+IF(DQ642&lt;&gt;"",1,0)+IF(DS642&lt;&gt;"",1,0)+IF(DT642&lt;&gt;"",1,0)+IF(DV642&lt;&gt;"",1,0)+IF(DW642&lt;&gt;"",1,0)+IF(DX642&lt;&gt;"",1,0)+IF(DY642&lt;&gt;"",1,0)+IF(DZ642&lt;&gt;"",1,0)+IF(EB642&lt;&gt;"",1,0)+IF(EC642&lt;&gt;"",1,0)+IF(ED642&lt;&gt;"",1,0)+IF(EG642&lt;&gt;"",1,0)+IF(EH642&lt;&gt;"",1,0)</f>
        <v/>
      </c>
      <c r="AZ642">
        <f>IF(EH642&lt;&gt;"",1,0)</f>
        <v/>
      </c>
      <c r="BB642" t="inlineStr">
        <is>
          <t>WARREN-WARD 4</t>
        </is>
      </c>
      <c r="BH642" t="inlineStr">
        <is>
          <t>X</t>
        </is>
      </c>
      <c r="BJ642" t="inlineStr">
        <is>
          <t>X</t>
        </is>
      </c>
      <c r="BL642" t="inlineStr">
        <is>
          <t>X</t>
        </is>
      </c>
      <c r="BP642" t="inlineStr">
        <is>
          <t>X</t>
        </is>
      </c>
      <c r="BR642" t="inlineStr">
        <is>
          <t>X</t>
        </is>
      </c>
      <c r="BS642" t="inlineStr">
        <is>
          <t>X</t>
        </is>
      </c>
      <c r="BY642" t="inlineStr">
        <is>
          <t>D</t>
        </is>
      </c>
      <c r="CA642" t="inlineStr">
        <is>
          <t>X</t>
        </is>
      </c>
      <c r="CK642" t="inlineStr">
        <is>
          <t>X</t>
        </is>
      </c>
      <c r="CL642" t="inlineStr">
        <is>
          <t>D</t>
        </is>
      </c>
      <c r="CN642" t="inlineStr">
        <is>
          <t>X</t>
        </is>
      </c>
      <c r="CP642" t="inlineStr">
        <is>
          <t>X</t>
        </is>
      </c>
      <c r="CV642" t="inlineStr">
        <is>
          <t>X</t>
        </is>
      </c>
      <c r="CY642" t="inlineStr">
        <is>
          <t>X</t>
        </is>
      </c>
      <c r="CZ642" t="inlineStr">
        <is>
          <t>R</t>
        </is>
      </c>
      <c r="DC642" t="inlineStr">
        <is>
          <t>X</t>
        </is>
      </c>
      <c r="DI642" t="inlineStr">
        <is>
          <t>X</t>
        </is>
      </c>
      <c r="DL642" t="inlineStr">
        <is>
          <t>X</t>
        </is>
      </c>
      <c r="DM642" t="inlineStr">
        <is>
          <t>R</t>
        </is>
      </c>
      <c r="DN642" t="inlineStr">
        <is>
          <t>X</t>
        </is>
      </c>
      <c r="DS642" t="inlineStr">
        <is>
          <t>R</t>
        </is>
      </c>
      <c r="DU642" t="inlineStr">
        <is>
          <t>X</t>
        </is>
      </c>
      <c r="DX642" t="inlineStr">
        <is>
          <t>X</t>
        </is>
      </c>
      <c r="EA642" t="inlineStr">
        <is>
          <t>X</t>
        </is>
      </c>
      <c r="ED642" t="inlineStr">
        <is>
          <t>R</t>
        </is>
      </c>
      <c r="EF642" t="inlineStr">
        <is>
          <t>X</t>
        </is>
      </c>
    </row>
    <row r="643">
      <c r="A643" t="inlineStr">
        <is>
          <t>OH0027067598</t>
        </is>
      </c>
      <c r="B643" t="n">
        <v>78</v>
      </c>
      <c r="C643" t="n">
        <v>476490</v>
      </c>
      <c r="D643" t="inlineStr">
        <is>
          <t>GRAHAM</t>
        </is>
      </c>
      <c r="E643" t="inlineStr">
        <is>
          <t>WILLIAM</t>
        </is>
      </c>
      <c r="F643">
        <f>CONCATENATE(D643," ",LEFT(H643,4),"T=",AU643,"D=",AV643,"R=",AW643,"M=",AX643,"L=",AY643,"B=",AZ643)</f>
        <v/>
      </c>
      <c r="G643" t="inlineStr">
        <is>
          <t>D</t>
        </is>
      </c>
      <c r="I643" t="inlineStr">
        <is>
          <t>1989-10-29</t>
        </is>
      </c>
      <c r="J643" t="inlineStr">
        <is>
          <t>2023-09-26</t>
        </is>
      </c>
      <c r="K643" t="inlineStr">
        <is>
          <t>ACTIVE</t>
        </is>
      </c>
      <c r="M643" t="inlineStr">
        <is>
          <t>328 LAIRD AVE SE</t>
        </is>
      </c>
      <c r="N643">
        <f>RIGHT(M643,LEN(M643)-FIND(" ",M643))</f>
        <v/>
      </c>
      <c r="P643" t="inlineStr">
        <is>
          <t>WARREN</t>
        </is>
      </c>
      <c r="Q643" t="inlineStr">
        <is>
          <t>OH</t>
        </is>
      </c>
      <c r="R643" t="n">
        <v>44483</v>
      </c>
      <c r="AD643" t="inlineStr">
        <is>
          <t>TRUMBULL CAREER &amp; TECH CENTER</t>
        </is>
      </c>
      <c r="AE643" t="inlineStr">
        <is>
          <t>WARREN CITY</t>
        </is>
      </c>
      <c r="AF643" t="inlineStr">
        <is>
          <t>WARREN CITY SD</t>
        </is>
      </c>
      <c r="AH643" t="n">
        <v>14</v>
      </c>
      <c r="AI643" t="n">
        <v>11</v>
      </c>
      <c r="AN643" t="inlineStr">
        <is>
          <t>WARREN</t>
        </is>
      </c>
      <c r="AO643" t="inlineStr">
        <is>
          <t>WARREN CITY 4A</t>
        </is>
      </c>
      <c r="AP643" t="inlineStr">
        <is>
          <t>78-P-ADI</t>
        </is>
      </c>
      <c r="AQ643" t="n">
        <v>9</v>
      </c>
      <c r="AR643" t="n">
        <v>64</v>
      </c>
      <c r="AS643" t="n">
        <v>32</v>
      </c>
      <c r="AU643">
        <f>COUNTA($BA$643:$EH$643)</f>
        <v/>
      </c>
      <c r="AV643">
        <f>COUNTIF($BA$643:$EH$643,"D")</f>
        <v/>
      </c>
      <c r="AW643">
        <f>COUNTIF($BA$643:$EH$643,"R")</f>
        <v/>
      </c>
      <c r="AX643">
        <f>IF(BN643="D",1,0)+IF(BO643="D",1,0)+IF(BT643="D",1,0)+IF(BU643="D",1,0)+IF(BW643="D",1,0)+IF(CC643="D",1,0)+IF(CD643="D",1,0)+IF(CE643="D",1,0)+IF(CF643="D",1,0)+IF(CL643="D",1,0)+IF(CM643="D",1,0)+IF(CQ643="D",1,0)+IF(CR643="D",1,0)+IF(CS643="D",1,0)+IF(CW643="D",1,0)+IF(CX643="D",1,0)+IF(DD643="D",1,0)+IF(DE643="D",1,0)+IF(DJ643="D",1,0)+IF(DK643="D",1,0)+IF(DO643="D",1,0)+IF(DP643="D",1,0)+IF(DQ643="D",1,0)+IF(DW643="D",1,0)+IF(DZ643="D",1,0)+IF(EH643="D",1,0)</f>
        <v/>
      </c>
      <c r="AY643">
        <f>IF(DJ643&lt;&gt;"",1,0)+IF(DK643&lt;&gt;"",1,0)+IF(DM643&lt;&gt;"",1,0)+IF(DO643&lt;&gt;"",1,0)+IF(DP643&lt;&gt;"",1,0)+IF(DQ643&lt;&gt;"",1,0)+IF(DS643&lt;&gt;"",1,0)+IF(DT643&lt;&gt;"",1,0)+IF(DV643&lt;&gt;"",1,0)+IF(DW643&lt;&gt;"",1,0)+IF(DX643&lt;&gt;"",1,0)+IF(DY643&lt;&gt;"",1,0)+IF(DZ643&lt;&gt;"",1,0)+IF(EB643&lt;&gt;"",1,0)+IF(EC643&lt;&gt;"",1,0)+IF(ED643&lt;&gt;"",1,0)+IF(EG643&lt;&gt;"",1,0)+IF(EH643&lt;&gt;"",1,0)</f>
        <v/>
      </c>
      <c r="AZ643">
        <f>IF(EH643&lt;&gt;"",1,0)</f>
        <v/>
      </c>
      <c r="BB643" t="inlineStr">
        <is>
          <t>WARREN-WARD 4</t>
        </is>
      </c>
      <c r="EA643" t="inlineStr">
        <is>
          <t>X</t>
        </is>
      </c>
    </row>
    <row r="644">
      <c r="A644" t="inlineStr">
        <is>
          <t>OH0025720573</t>
        </is>
      </c>
      <c r="B644" t="n">
        <v>78</v>
      </c>
      <c r="C644" t="n">
        <v>449294</v>
      </c>
      <c r="D644" t="inlineStr">
        <is>
          <t>DAVIS</t>
        </is>
      </c>
      <c r="E644" t="inlineStr">
        <is>
          <t>ALBERTA</t>
        </is>
      </c>
      <c r="F644">
        <f>CONCATENATE(D644," ",LEFT(H644,4),"T=",AU644,"D=",AV644,"R=",AW644,"M=",AX644,"L=",AY644,"B=",AZ644)</f>
        <v/>
      </c>
      <c r="G644" t="inlineStr">
        <is>
          <t>LORETTA</t>
        </is>
      </c>
      <c r="I644" t="inlineStr">
        <is>
          <t>1945-12-30</t>
        </is>
      </c>
      <c r="J644" t="inlineStr">
        <is>
          <t>2020-08-21</t>
        </is>
      </c>
      <c r="K644" t="inlineStr">
        <is>
          <t>ACTIVE</t>
        </is>
      </c>
      <c r="M644" t="inlineStr">
        <is>
          <t>731 WOODBINE AVE SE</t>
        </is>
      </c>
      <c r="N644">
        <f>RIGHT(M644,LEN(M644)-FIND(" ",M644))</f>
        <v/>
      </c>
      <c r="P644" t="inlineStr">
        <is>
          <t>WARREN</t>
        </is>
      </c>
      <c r="Q644" t="inlineStr">
        <is>
          <t>OH</t>
        </is>
      </c>
      <c r="R644" t="n">
        <v>44484</v>
      </c>
      <c r="AD644" t="inlineStr">
        <is>
          <t>TRUMBULL CAREER &amp; TECH CENTER</t>
        </is>
      </c>
      <c r="AE644" t="inlineStr">
        <is>
          <t>WARREN CITY</t>
        </is>
      </c>
      <c r="AF644" t="inlineStr">
        <is>
          <t>WARREN CITY SD</t>
        </is>
      </c>
      <c r="AH644" t="n">
        <v>14</v>
      </c>
      <c r="AI644" t="n">
        <v>11</v>
      </c>
      <c r="AN644" t="inlineStr">
        <is>
          <t>WARREN</t>
        </is>
      </c>
      <c r="AO644" t="inlineStr">
        <is>
          <t>WARREN CITY 4A</t>
        </is>
      </c>
      <c r="AP644" t="inlineStr">
        <is>
          <t>78-P-ADI</t>
        </is>
      </c>
      <c r="AQ644" t="n">
        <v>9</v>
      </c>
      <c r="AR644" t="n">
        <v>64</v>
      </c>
      <c r="AS644" t="n">
        <v>32</v>
      </c>
      <c r="AU644">
        <f>COUNTA($BA$644:$EH$644)</f>
        <v/>
      </c>
      <c r="AV644">
        <f>COUNTIF($BA$644:$EH$644,"D")</f>
        <v/>
      </c>
      <c r="AW644">
        <f>COUNTIF($BA$644:$EH$644,"R")</f>
        <v/>
      </c>
      <c r="AX644">
        <f>IF(BN644="D",1,0)+IF(BO644="D",1,0)+IF(BT644="D",1,0)+IF(BU644="D",1,0)+IF(BW644="D",1,0)+IF(CC644="D",1,0)+IF(CD644="D",1,0)+IF(CE644="D",1,0)+IF(CF644="D",1,0)+IF(CL644="D",1,0)+IF(CM644="D",1,0)+IF(CQ644="D",1,0)+IF(CR644="D",1,0)+IF(CS644="D",1,0)+IF(CW644="D",1,0)+IF(CX644="D",1,0)+IF(DD644="D",1,0)+IF(DE644="D",1,0)+IF(DJ644="D",1,0)+IF(DK644="D",1,0)+IF(DO644="D",1,0)+IF(DP644="D",1,0)+IF(DQ644="D",1,0)+IF(DW644="D",1,0)+IF(DZ644="D",1,0)+IF(EH644="D",1,0)</f>
        <v/>
      </c>
      <c r="AY644">
        <f>IF(DJ644&lt;&gt;"",1,0)+IF(DK644&lt;&gt;"",1,0)+IF(DM644&lt;&gt;"",1,0)+IF(DO644&lt;&gt;"",1,0)+IF(DP644&lt;&gt;"",1,0)+IF(DQ644&lt;&gt;"",1,0)+IF(DS644&lt;&gt;"",1,0)+IF(DT644&lt;&gt;"",1,0)+IF(DV644&lt;&gt;"",1,0)+IF(DW644&lt;&gt;"",1,0)+IF(DX644&lt;&gt;"",1,0)+IF(DY644&lt;&gt;"",1,0)+IF(DZ644&lt;&gt;"",1,0)+IF(EB644&lt;&gt;"",1,0)+IF(EC644&lt;&gt;"",1,0)+IF(ED644&lt;&gt;"",1,0)+IF(EG644&lt;&gt;"",1,0)+IF(EH644&lt;&gt;"",1,0)</f>
        <v/>
      </c>
      <c r="AZ644">
        <f>IF(EH644&lt;&gt;"",1,0)</f>
        <v/>
      </c>
      <c r="BB644" t="inlineStr">
        <is>
          <t>WARREN-WARD 4</t>
        </is>
      </c>
      <c r="DN644" t="inlineStr">
        <is>
          <t>X</t>
        </is>
      </c>
    </row>
    <row r="645">
      <c r="A645" t="inlineStr">
        <is>
          <t>OH0027491135</t>
        </is>
      </c>
      <c r="B645" t="n">
        <v>78</v>
      </c>
      <c r="C645" t="n">
        <v>486896</v>
      </c>
      <c r="D645" t="inlineStr">
        <is>
          <t>STRANGE</t>
        </is>
      </c>
      <c r="E645" t="inlineStr">
        <is>
          <t>ABBAGAIL</t>
        </is>
      </c>
      <c r="F645">
        <f>CONCATENATE(D645," ",LEFT(H645,4),"T=",AU645,"D=",AV645,"R=",AW645,"M=",AX645,"L=",AY645,"B=",AZ645)</f>
        <v/>
      </c>
      <c r="G645" t="inlineStr">
        <is>
          <t>RUTH</t>
        </is>
      </c>
      <c r="I645" t="inlineStr">
        <is>
          <t>2004-10-09</t>
        </is>
      </c>
      <c r="J645" t="inlineStr">
        <is>
          <t>2024-08-08</t>
        </is>
      </c>
      <c r="K645" t="inlineStr">
        <is>
          <t>ACTIVE</t>
        </is>
      </c>
      <c r="M645" t="inlineStr">
        <is>
          <t>322 BONNIE BRAE AVE SE</t>
        </is>
      </c>
      <c r="N645">
        <f>RIGHT(M645,LEN(M645)-FIND(" ",M645))</f>
        <v/>
      </c>
      <c r="P645" t="inlineStr">
        <is>
          <t>WARREN</t>
        </is>
      </c>
      <c r="Q645" t="inlineStr">
        <is>
          <t>OH</t>
        </is>
      </c>
      <c r="R645" t="n">
        <v>44484</v>
      </c>
      <c r="AD645" t="inlineStr">
        <is>
          <t>TRUMBULL CAREER &amp; TECH CENTER</t>
        </is>
      </c>
      <c r="AE645" t="inlineStr">
        <is>
          <t>WARREN CITY</t>
        </is>
      </c>
      <c r="AF645" t="inlineStr">
        <is>
          <t>WARREN CITY SD</t>
        </is>
      </c>
      <c r="AH645" t="n">
        <v>14</v>
      </c>
      <c r="AI645" t="n">
        <v>11</v>
      </c>
      <c r="AN645" t="inlineStr">
        <is>
          <t>WARREN</t>
        </is>
      </c>
      <c r="AO645" t="inlineStr">
        <is>
          <t>WARREN CITY 4A</t>
        </is>
      </c>
      <c r="AP645" t="inlineStr">
        <is>
          <t>78-P-ADI</t>
        </is>
      </c>
      <c r="AQ645" t="n">
        <v>9</v>
      </c>
      <c r="AR645" t="n">
        <v>64</v>
      </c>
      <c r="AS645" t="n">
        <v>32</v>
      </c>
      <c r="AU645">
        <f>COUNTA($BA$645:$EH$645)</f>
        <v/>
      </c>
      <c r="AV645">
        <f>COUNTIF($BA$645:$EH$645,"D")</f>
        <v/>
      </c>
      <c r="AW645">
        <f>COUNTIF($BA$645:$EH$645,"R")</f>
        <v/>
      </c>
      <c r="AX645">
        <f>IF(BN645="D",1,0)+IF(BO645="D",1,0)+IF(BT645="D",1,0)+IF(BU645="D",1,0)+IF(BW645="D",1,0)+IF(CC645="D",1,0)+IF(CD645="D",1,0)+IF(CE645="D",1,0)+IF(CF645="D",1,0)+IF(CL645="D",1,0)+IF(CM645="D",1,0)+IF(CQ645="D",1,0)+IF(CR645="D",1,0)+IF(CS645="D",1,0)+IF(CW645="D",1,0)+IF(CX645="D",1,0)+IF(DD645="D",1,0)+IF(DE645="D",1,0)+IF(DJ645="D",1,0)+IF(DK645="D",1,0)+IF(DO645="D",1,0)+IF(DP645="D",1,0)+IF(DQ645="D",1,0)+IF(DW645="D",1,0)+IF(DZ645="D",1,0)+IF(EH645="D",1,0)</f>
        <v/>
      </c>
      <c r="AY645">
        <f>IF(DJ645&lt;&gt;"",1,0)+IF(DK645&lt;&gt;"",1,0)+IF(DM645&lt;&gt;"",1,0)+IF(DO645&lt;&gt;"",1,0)+IF(DP645&lt;&gt;"",1,0)+IF(DQ645&lt;&gt;"",1,0)+IF(DS645&lt;&gt;"",1,0)+IF(DT645&lt;&gt;"",1,0)+IF(DV645&lt;&gt;"",1,0)+IF(DW645&lt;&gt;"",1,0)+IF(DX645&lt;&gt;"",1,0)+IF(DY645&lt;&gt;"",1,0)+IF(DZ645&lt;&gt;"",1,0)+IF(EB645&lt;&gt;"",1,0)+IF(EC645&lt;&gt;"",1,0)+IF(ED645&lt;&gt;"",1,0)+IF(EG645&lt;&gt;"",1,0)+IF(EH645&lt;&gt;"",1,0)</f>
        <v/>
      </c>
      <c r="AZ645">
        <f>IF(EH645&lt;&gt;"",1,0)</f>
        <v/>
      </c>
      <c r="BB645" t="inlineStr">
        <is>
          <t>WARREN-WARD 4</t>
        </is>
      </c>
    </row>
    <row r="646">
      <c r="A646" t="inlineStr">
        <is>
          <t>OH0024299866</t>
        </is>
      </c>
      <c r="B646" t="n">
        <v>78</v>
      </c>
      <c r="C646" t="n">
        <v>426675</v>
      </c>
      <c r="D646" t="inlineStr">
        <is>
          <t>PARKER DOUGLAS</t>
        </is>
      </c>
      <c r="E646" t="inlineStr">
        <is>
          <t>DARRIELL</t>
        </is>
      </c>
      <c r="F646">
        <f>CONCATENATE(D646," ",LEFT(H646,4),"T=",AU646,"D=",AV646,"R=",AW646,"M=",AX646,"L=",AY646,"B=",AZ646)</f>
        <v/>
      </c>
      <c r="G646" t="inlineStr">
        <is>
          <t>DESHARRAY</t>
        </is>
      </c>
      <c r="I646" t="inlineStr">
        <is>
          <t>1996-10-25</t>
        </is>
      </c>
      <c r="J646" t="inlineStr">
        <is>
          <t>2017-09-01</t>
        </is>
      </c>
      <c r="K646" t="inlineStr">
        <is>
          <t>CONFIRMATION</t>
        </is>
      </c>
      <c r="M646" t="inlineStr">
        <is>
          <t>167 CHARLES AVE SE</t>
        </is>
      </c>
      <c r="N646">
        <f>RIGHT(M646,LEN(M646)-FIND(" ",M646))</f>
        <v/>
      </c>
      <c r="O646" t="inlineStr">
        <is>
          <t>UPPR</t>
        </is>
      </c>
      <c r="P646" t="inlineStr">
        <is>
          <t>WARREN</t>
        </is>
      </c>
      <c r="Q646" t="inlineStr">
        <is>
          <t>OH</t>
        </is>
      </c>
      <c r="R646" t="n">
        <v>44483</v>
      </c>
      <c r="AD646" t="inlineStr">
        <is>
          <t>TRUMBULL CAREER &amp; TECH CENTER</t>
        </is>
      </c>
      <c r="AE646" t="inlineStr">
        <is>
          <t>WARREN CITY</t>
        </is>
      </c>
      <c r="AF646" t="inlineStr">
        <is>
          <t>WARREN CITY SD</t>
        </is>
      </c>
      <c r="AH646" t="n">
        <v>14</v>
      </c>
      <c r="AI646" t="n">
        <v>11</v>
      </c>
      <c r="AN646" t="inlineStr">
        <is>
          <t>WARREN</t>
        </is>
      </c>
      <c r="AO646" t="inlineStr">
        <is>
          <t>WARREN CITY 4A</t>
        </is>
      </c>
      <c r="AP646" t="inlineStr">
        <is>
          <t>78-P-ADI</t>
        </is>
      </c>
      <c r="AQ646" t="n">
        <v>9</v>
      </c>
      <c r="AR646" t="n">
        <v>64</v>
      </c>
      <c r="AS646" t="n">
        <v>32</v>
      </c>
      <c r="AU646">
        <f>COUNTA($BA$646:$EH$646)</f>
        <v/>
      </c>
      <c r="AV646">
        <f>COUNTIF($BA$646:$EH$646,"D")</f>
        <v/>
      </c>
      <c r="AW646">
        <f>COUNTIF($BA$646:$EH$646,"R")</f>
        <v/>
      </c>
      <c r="AX646">
        <f>IF(BN646="D",1,0)+IF(BO646="D",1,0)+IF(BT646="D",1,0)+IF(BU646="D",1,0)+IF(BW646="D",1,0)+IF(CC646="D",1,0)+IF(CD646="D",1,0)+IF(CE646="D",1,0)+IF(CF646="D",1,0)+IF(CL646="D",1,0)+IF(CM646="D",1,0)+IF(CQ646="D",1,0)+IF(CR646="D",1,0)+IF(CS646="D",1,0)+IF(CW646="D",1,0)+IF(CX646="D",1,0)+IF(DD646="D",1,0)+IF(DE646="D",1,0)+IF(DJ646="D",1,0)+IF(DK646="D",1,0)+IF(DO646="D",1,0)+IF(DP646="D",1,0)+IF(DQ646="D",1,0)+IF(DW646="D",1,0)+IF(DZ646="D",1,0)+IF(EH646="D",1,0)</f>
        <v/>
      </c>
      <c r="AY646">
        <f>IF(DJ646&lt;&gt;"",1,0)+IF(DK646&lt;&gt;"",1,0)+IF(DM646&lt;&gt;"",1,0)+IF(DO646&lt;&gt;"",1,0)+IF(DP646&lt;&gt;"",1,0)+IF(DQ646&lt;&gt;"",1,0)+IF(DS646&lt;&gt;"",1,0)+IF(DT646&lt;&gt;"",1,0)+IF(DV646&lt;&gt;"",1,0)+IF(DW646&lt;&gt;"",1,0)+IF(DX646&lt;&gt;"",1,0)+IF(DY646&lt;&gt;"",1,0)+IF(DZ646&lt;&gt;"",1,0)+IF(EB646&lt;&gt;"",1,0)+IF(EC646&lt;&gt;"",1,0)+IF(ED646&lt;&gt;"",1,0)+IF(EG646&lt;&gt;"",1,0)+IF(EH646&lt;&gt;"",1,0)</f>
        <v/>
      </c>
      <c r="AZ646">
        <f>IF(EH646&lt;&gt;"",1,0)</f>
        <v/>
      </c>
      <c r="BB646" t="inlineStr">
        <is>
          <t>WARREN-WARD 4</t>
        </is>
      </c>
    </row>
    <row r="647">
      <c r="A647" t="inlineStr">
        <is>
          <t>OH0024866222</t>
        </is>
      </c>
      <c r="B647" t="n">
        <v>78</v>
      </c>
      <c r="C647" t="n">
        <v>435983</v>
      </c>
      <c r="D647" t="inlineStr">
        <is>
          <t>BOGGS</t>
        </is>
      </c>
      <c r="E647" t="inlineStr">
        <is>
          <t>TERENCE</t>
        </is>
      </c>
      <c r="F647">
        <f>CONCATENATE(D647," ",LEFT(H647,4),"T=",AU647,"D=",AV647,"R=",AW647,"M=",AX647,"L=",AY647,"B=",AZ647)</f>
        <v/>
      </c>
      <c r="G647" t="inlineStr">
        <is>
          <t>MALCOLM</t>
        </is>
      </c>
      <c r="I647" t="inlineStr">
        <is>
          <t>2000-05-19</t>
        </is>
      </c>
      <c r="J647" t="inlineStr">
        <is>
          <t>2018-10-09</t>
        </is>
      </c>
      <c r="K647" t="inlineStr">
        <is>
          <t>ACTIVE</t>
        </is>
      </c>
      <c r="M647" t="inlineStr">
        <is>
          <t>539 HOMEWOOD AVE SE</t>
        </is>
      </c>
      <c r="N647">
        <f>RIGHT(M647,LEN(M647)-FIND(" ",M647))</f>
        <v/>
      </c>
      <c r="P647" t="inlineStr">
        <is>
          <t>WARREN</t>
        </is>
      </c>
      <c r="Q647" t="inlineStr">
        <is>
          <t>OH</t>
        </is>
      </c>
      <c r="R647" t="n">
        <v>44483</v>
      </c>
      <c r="AD647" t="inlineStr">
        <is>
          <t>TRUMBULL CAREER &amp; TECH CENTER</t>
        </is>
      </c>
      <c r="AE647" t="inlineStr">
        <is>
          <t>WARREN CITY</t>
        </is>
      </c>
      <c r="AF647" t="inlineStr">
        <is>
          <t>WARREN CITY SD</t>
        </is>
      </c>
      <c r="AH647" t="n">
        <v>14</v>
      </c>
      <c r="AI647" t="n">
        <v>11</v>
      </c>
      <c r="AN647" t="inlineStr">
        <is>
          <t>WARREN</t>
        </is>
      </c>
      <c r="AO647" t="inlineStr">
        <is>
          <t>WARREN CITY 4A</t>
        </is>
      </c>
      <c r="AP647" t="inlineStr">
        <is>
          <t>78-P-ADI</t>
        </is>
      </c>
      <c r="AQ647" t="n">
        <v>9</v>
      </c>
      <c r="AR647" t="n">
        <v>64</v>
      </c>
      <c r="AS647" t="n">
        <v>32</v>
      </c>
      <c r="AU647">
        <f>COUNTA($BA$647:$EH$647)</f>
        <v/>
      </c>
      <c r="AV647">
        <f>COUNTIF($BA$647:$EH$647,"D")</f>
        <v/>
      </c>
      <c r="AW647">
        <f>COUNTIF($BA$647:$EH$647,"R")</f>
        <v/>
      </c>
      <c r="AX647">
        <f>IF(BN647="D",1,0)+IF(BO647="D",1,0)+IF(BT647="D",1,0)+IF(BU647="D",1,0)+IF(BW647="D",1,0)+IF(CC647="D",1,0)+IF(CD647="D",1,0)+IF(CE647="D",1,0)+IF(CF647="D",1,0)+IF(CL647="D",1,0)+IF(CM647="D",1,0)+IF(CQ647="D",1,0)+IF(CR647="D",1,0)+IF(CS647="D",1,0)+IF(CW647="D",1,0)+IF(CX647="D",1,0)+IF(DD647="D",1,0)+IF(DE647="D",1,0)+IF(DJ647="D",1,0)+IF(DK647="D",1,0)+IF(DO647="D",1,0)+IF(DP647="D",1,0)+IF(DQ647="D",1,0)+IF(DW647="D",1,0)+IF(DZ647="D",1,0)+IF(EH647="D",1,0)</f>
        <v/>
      </c>
      <c r="AY647">
        <f>IF(DJ647&lt;&gt;"",1,0)+IF(DK647&lt;&gt;"",1,0)+IF(DM647&lt;&gt;"",1,0)+IF(DO647&lt;&gt;"",1,0)+IF(DP647&lt;&gt;"",1,0)+IF(DQ647&lt;&gt;"",1,0)+IF(DS647&lt;&gt;"",1,0)+IF(DT647&lt;&gt;"",1,0)+IF(DV647&lt;&gt;"",1,0)+IF(DW647&lt;&gt;"",1,0)+IF(DX647&lt;&gt;"",1,0)+IF(DY647&lt;&gt;"",1,0)+IF(DZ647&lt;&gt;"",1,0)+IF(EB647&lt;&gt;"",1,0)+IF(EC647&lt;&gt;"",1,0)+IF(ED647&lt;&gt;"",1,0)+IF(EG647&lt;&gt;"",1,0)+IF(EH647&lt;&gt;"",1,0)</f>
        <v/>
      </c>
      <c r="AZ647">
        <f>IF(EH647&lt;&gt;"",1,0)</f>
        <v/>
      </c>
      <c r="BB647" t="inlineStr">
        <is>
          <t>WARREN-WARD 4</t>
        </is>
      </c>
      <c r="DI647" t="inlineStr">
        <is>
          <t>X</t>
        </is>
      </c>
      <c r="DN647" t="inlineStr">
        <is>
          <t>X</t>
        </is>
      </c>
      <c r="DX647" t="inlineStr">
        <is>
          <t>X</t>
        </is>
      </c>
      <c r="EA647" t="inlineStr">
        <is>
          <t>X</t>
        </is>
      </c>
      <c r="EF647" t="inlineStr">
        <is>
          <t>X</t>
        </is>
      </c>
    </row>
    <row r="648">
      <c r="A648" t="inlineStr">
        <is>
          <t>OH0019882944</t>
        </is>
      </c>
      <c r="B648" t="n">
        <v>78</v>
      </c>
      <c r="C648" t="n">
        <v>360459</v>
      </c>
      <c r="D648" t="inlineStr">
        <is>
          <t>CONDE</t>
        </is>
      </c>
      <c r="E648" t="inlineStr">
        <is>
          <t>THOMAS</t>
        </is>
      </c>
      <c r="F648">
        <f>CONCATENATE(D648," ",LEFT(H648,4),"T=",AU648,"D=",AV648,"R=",AW648,"M=",AX648,"L=",AY648,"B=",AZ648)</f>
        <v/>
      </c>
      <c r="G648" t="inlineStr">
        <is>
          <t>N</t>
        </is>
      </c>
      <c r="I648" t="inlineStr">
        <is>
          <t>1974-09-15</t>
        </is>
      </c>
      <c r="J648" t="inlineStr">
        <is>
          <t>2016-10-08</t>
        </is>
      </c>
      <c r="K648" t="inlineStr">
        <is>
          <t>CONFIRMATION</t>
        </is>
      </c>
      <c r="M648" t="inlineStr">
        <is>
          <t>351 CHARLES AVE SE</t>
        </is>
      </c>
      <c r="N648">
        <f>RIGHT(M648,LEN(M648)-FIND(" ",M648))</f>
        <v/>
      </c>
      <c r="P648" t="inlineStr">
        <is>
          <t>WARREN</t>
        </is>
      </c>
      <c r="Q648" t="inlineStr">
        <is>
          <t>OH</t>
        </is>
      </c>
      <c r="R648" t="n">
        <v>44483</v>
      </c>
      <c r="AD648" t="inlineStr">
        <is>
          <t>TRUMBULL CAREER &amp; TECH CENTER</t>
        </is>
      </c>
      <c r="AE648" t="inlineStr">
        <is>
          <t>WARREN CITY</t>
        </is>
      </c>
      <c r="AF648" t="inlineStr">
        <is>
          <t>WARREN CITY SD</t>
        </is>
      </c>
      <c r="AH648" t="n">
        <v>14</v>
      </c>
      <c r="AI648" t="n">
        <v>11</v>
      </c>
      <c r="AN648" t="inlineStr">
        <is>
          <t>WARREN</t>
        </is>
      </c>
      <c r="AO648" t="inlineStr">
        <is>
          <t>WARREN CITY 4A</t>
        </is>
      </c>
      <c r="AP648" t="inlineStr">
        <is>
          <t>78-P-ADI</t>
        </is>
      </c>
      <c r="AQ648" t="n">
        <v>9</v>
      </c>
      <c r="AR648" t="n">
        <v>64</v>
      </c>
      <c r="AS648" t="n">
        <v>32</v>
      </c>
      <c r="AU648">
        <f>COUNTA($BA$648:$EH$648)</f>
        <v/>
      </c>
      <c r="AV648">
        <f>COUNTIF($BA$648:$EH$648,"D")</f>
        <v/>
      </c>
      <c r="AW648">
        <f>COUNTIF($BA$648:$EH$648,"R")</f>
        <v/>
      </c>
      <c r="AX648">
        <f>IF(BN648="D",1,0)+IF(BO648="D",1,0)+IF(BT648="D",1,0)+IF(BU648="D",1,0)+IF(BW648="D",1,0)+IF(CC648="D",1,0)+IF(CD648="D",1,0)+IF(CE648="D",1,0)+IF(CF648="D",1,0)+IF(CL648="D",1,0)+IF(CM648="D",1,0)+IF(CQ648="D",1,0)+IF(CR648="D",1,0)+IF(CS648="D",1,0)+IF(CW648="D",1,0)+IF(CX648="D",1,0)+IF(DD648="D",1,0)+IF(DE648="D",1,0)+IF(DJ648="D",1,0)+IF(DK648="D",1,0)+IF(DO648="D",1,0)+IF(DP648="D",1,0)+IF(DQ648="D",1,0)+IF(DW648="D",1,0)+IF(DZ648="D",1,0)+IF(EH648="D",1,0)</f>
        <v/>
      </c>
      <c r="AY648">
        <f>IF(DJ648&lt;&gt;"",1,0)+IF(DK648&lt;&gt;"",1,0)+IF(DM648&lt;&gt;"",1,0)+IF(DO648&lt;&gt;"",1,0)+IF(DP648&lt;&gt;"",1,0)+IF(DQ648&lt;&gt;"",1,0)+IF(DS648&lt;&gt;"",1,0)+IF(DT648&lt;&gt;"",1,0)+IF(DV648&lt;&gt;"",1,0)+IF(DW648&lt;&gt;"",1,0)+IF(DX648&lt;&gt;"",1,0)+IF(DY648&lt;&gt;"",1,0)+IF(DZ648&lt;&gt;"",1,0)+IF(EB648&lt;&gt;"",1,0)+IF(EC648&lt;&gt;"",1,0)+IF(ED648&lt;&gt;"",1,0)+IF(EG648&lt;&gt;"",1,0)+IF(EH648&lt;&gt;"",1,0)</f>
        <v/>
      </c>
      <c r="AZ648">
        <f>IF(EH648&lt;&gt;"",1,0)</f>
        <v/>
      </c>
      <c r="BB648" t="inlineStr">
        <is>
          <t>WARREN-WARD 4</t>
        </is>
      </c>
    </row>
    <row r="649">
      <c r="A649" t="inlineStr">
        <is>
          <t>OH0019358216</t>
        </is>
      </c>
      <c r="B649" t="n">
        <v>78</v>
      </c>
      <c r="C649" t="n">
        <v>353233</v>
      </c>
      <c r="D649" t="inlineStr">
        <is>
          <t>BOGANY</t>
        </is>
      </c>
      <c r="E649" t="inlineStr">
        <is>
          <t>MARCICE</t>
        </is>
      </c>
      <c r="F649">
        <f>CONCATENATE(D649," ",LEFT(H649,4),"T=",AU649,"D=",AV649,"R=",AW649,"M=",AX649,"L=",AY649,"B=",AZ649)</f>
        <v/>
      </c>
      <c r="G649" t="inlineStr">
        <is>
          <t>JEROME</t>
        </is>
      </c>
      <c r="I649" t="inlineStr">
        <is>
          <t>1979-08-17</t>
        </is>
      </c>
      <c r="J649" t="inlineStr">
        <is>
          <t>2009-03-03</t>
        </is>
      </c>
      <c r="K649" t="inlineStr">
        <is>
          <t>CONFIRMATION</t>
        </is>
      </c>
      <c r="M649" t="inlineStr">
        <is>
          <t>196 CHARLES AVE SE</t>
        </is>
      </c>
      <c r="N649">
        <f>RIGHT(M649,LEN(M649)-FIND(" ",M649))</f>
        <v/>
      </c>
      <c r="P649" t="inlineStr">
        <is>
          <t>WARREN</t>
        </is>
      </c>
      <c r="Q649" t="inlineStr">
        <is>
          <t>OH</t>
        </is>
      </c>
      <c r="R649" t="n">
        <v>44483</v>
      </c>
      <c r="AD649" t="inlineStr">
        <is>
          <t>TRUMBULL CAREER &amp; TECH CENTER</t>
        </is>
      </c>
      <c r="AE649" t="inlineStr">
        <is>
          <t>WARREN CITY</t>
        </is>
      </c>
      <c r="AF649" t="inlineStr">
        <is>
          <t>WARREN CITY SD</t>
        </is>
      </c>
      <c r="AH649" t="n">
        <v>14</v>
      </c>
      <c r="AI649" t="n">
        <v>11</v>
      </c>
      <c r="AN649" t="inlineStr">
        <is>
          <t>WARREN</t>
        </is>
      </c>
      <c r="AO649" t="inlineStr">
        <is>
          <t>WARREN CITY 4A</t>
        </is>
      </c>
      <c r="AP649" t="inlineStr">
        <is>
          <t>78-P-ADI</t>
        </is>
      </c>
      <c r="AQ649" t="n">
        <v>9</v>
      </c>
      <c r="AR649" t="n">
        <v>64</v>
      </c>
      <c r="AS649" t="n">
        <v>32</v>
      </c>
      <c r="AU649">
        <f>COUNTA($BA$649:$EH$649)</f>
        <v/>
      </c>
      <c r="AV649">
        <f>COUNTIF($BA$649:$EH$649,"D")</f>
        <v/>
      </c>
      <c r="AW649">
        <f>COUNTIF($BA$649:$EH$649,"R")</f>
        <v/>
      </c>
      <c r="AX649">
        <f>IF(BN649="D",1,0)+IF(BO649="D",1,0)+IF(BT649="D",1,0)+IF(BU649="D",1,0)+IF(BW649="D",1,0)+IF(CC649="D",1,0)+IF(CD649="D",1,0)+IF(CE649="D",1,0)+IF(CF649="D",1,0)+IF(CL649="D",1,0)+IF(CM649="D",1,0)+IF(CQ649="D",1,0)+IF(CR649="D",1,0)+IF(CS649="D",1,0)+IF(CW649="D",1,0)+IF(CX649="D",1,0)+IF(DD649="D",1,0)+IF(DE649="D",1,0)+IF(DJ649="D",1,0)+IF(DK649="D",1,0)+IF(DO649="D",1,0)+IF(DP649="D",1,0)+IF(DQ649="D",1,0)+IF(DW649="D",1,0)+IF(DZ649="D",1,0)+IF(EH649="D",1,0)</f>
        <v/>
      </c>
      <c r="AY649">
        <f>IF(DJ649&lt;&gt;"",1,0)+IF(DK649&lt;&gt;"",1,0)+IF(DM649&lt;&gt;"",1,0)+IF(DO649&lt;&gt;"",1,0)+IF(DP649&lt;&gt;"",1,0)+IF(DQ649&lt;&gt;"",1,0)+IF(DS649&lt;&gt;"",1,0)+IF(DT649&lt;&gt;"",1,0)+IF(DV649&lt;&gt;"",1,0)+IF(DW649&lt;&gt;"",1,0)+IF(DX649&lt;&gt;"",1,0)+IF(DY649&lt;&gt;"",1,0)+IF(DZ649&lt;&gt;"",1,0)+IF(EB649&lt;&gt;"",1,0)+IF(EC649&lt;&gt;"",1,0)+IF(ED649&lt;&gt;"",1,0)+IF(EG649&lt;&gt;"",1,0)+IF(EH649&lt;&gt;"",1,0)</f>
        <v/>
      </c>
      <c r="AZ649">
        <f>IF(EH649&lt;&gt;"",1,0)</f>
        <v/>
      </c>
      <c r="BB649" t="inlineStr">
        <is>
          <t>WARREN-WARD 4</t>
        </is>
      </c>
    </row>
    <row r="650">
      <c r="A650" t="inlineStr">
        <is>
          <t>OH0015751677</t>
        </is>
      </c>
      <c r="B650" t="n">
        <v>78</v>
      </c>
      <c r="C650" t="n">
        <v>308537</v>
      </c>
      <c r="D650" t="inlineStr">
        <is>
          <t>RAY</t>
        </is>
      </c>
      <c r="E650" t="inlineStr">
        <is>
          <t>ROBERT</t>
        </is>
      </c>
      <c r="F650">
        <f>CONCATENATE(D650," ",LEFT(H650,4),"T=",AU650,"D=",AV650,"R=",AW650,"M=",AX650,"L=",AY650,"B=",AZ650)</f>
        <v/>
      </c>
      <c r="G650" t="inlineStr">
        <is>
          <t>W</t>
        </is>
      </c>
      <c r="I650" t="inlineStr">
        <is>
          <t>1931-05-24</t>
        </is>
      </c>
      <c r="J650" t="inlineStr">
        <is>
          <t>2002-05-30</t>
        </is>
      </c>
      <c r="K650" t="inlineStr">
        <is>
          <t>ACTIVE</t>
        </is>
      </c>
      <c r="L650" t="inlineStr">
        <is>
          <t>R</t>
        </is>
      </c>
      <c r="M650" t="inlineStr">
        <is>
          <t>492 KENILWORTH AVE SE</t>
        </is>
      </c>
      <c r="N650">
        <f>RIGHT(M650,LEN(M650)-FIND(" ",M650))</f>
        <v/>
      </c>
      <c r="P650" t="inlineStr">
        <is>
          <t>WARREN</t>
        </is>
      </c>
      <c r="Q650" t="inlineStr">
        <is>
          <t>OH</t>
        </is>
      </c>
      <c r="R650" t="n">
        <v>44483</v>
      </c>
      <c r="AD650" t="inlineStr">
        <is>
          <t>TRUMBULL CAREER &amp; TECH CENTER</t>
        </is>
      </c>
      <c r="AE650" t="inlineStr">
        <is>
          <t>WARREN CITY</t>
        </is>
      </c>
      <c r="AF650" t="inlineStr">
        <is>
          <t>WARREN CITY SD</t>
        </is>
      </c>
      <c r="AH650" t="n">
        <v>14</v>
      </c>
      <c r="AI650" t="n">
        <v>11</v>
      </c>
      <c r="AN650" t="inlineStr">
        <is>
          <t>WARREN</t>
        </is>
      </c>
      <c r="AO650" t="inlineStr">
        <is>
          <t>WARREN CITY 4A</t>
        </is>
      </c>
      <c r="AP650" t="inlineStr">
        <is>
          <t>78-P-ADI</t>
        </is>
      </c>
      <c r="AQ650" t="n">
        <v>9</v>
      </c>
      <c r="AR650" t="n">
        <v>64</v>
      </c>
      <c r="AS650" t="n">
        <v>32</v>
      </c>
      <c r="AU650">
        <f>COUNTA($BA$650:$EH$650)</f>
        <v/>
      </c>
      <c r="AV650">
        <f>COUNTIF($BA$650:$EH$650,"D")</f>
        <v/>
      </c>
      <c r="AW650">
        <f>COUNTIF($BA$650:$EH$650,"R")</f>
        <v/>
      </c>
      <c r="AX650">
        <f>IF(BN650="D",1,0)+IF(BO650="D",1,0)+IF(BT650="D",1,0)+IF(BU650="D",1,0)+IF(BW650="D",1,0)+IF(CC650="D",1,0)+IF(CD650="D",1,0)+IF(CE650="D",1,0)+IF(CF650="D",1,0)+IF(CL650="D",1,0)+IF(CM650="D",1,0)+IF(CQ650="D",1,0)+IF(CR650="D",1,0)+IF(CS650="D",1,0)+IF(CW650="D",1,0)+IF(CX650="D",1,0)+IF(DD650="D",1,0)+IF(DE650="D",1,0)+IF(DJ650="D",1,0)+IF(DK650="D",1,0)+IF(DO650="D",1,0)+IF(DP650="D",1,0)+IF(DQ650="D",1,0)+IF(DW650="D",1,0)+IF(DZ650="D",1,0)+IF(EH650="D",1,0)</f>
        <v/>
      </c>
      <c r="AY650">
        <f>IF(DJ650&lt;&gt;"",1,0)+IF(DK650&lt;&gt;"",1,0)+IF(DM650&lt;&gt;"",1,0)+IF(DO650&lt;&gt;"",1,0)+IF(DP650&lt;&gt;"",1,0)+IF(DQ650&lt;&gt;"",1,0)+IF(DS650&lt;&gt;"",1,0)+IF(DT650&lt;&gt;"",1,0)+IF(DV650&lt;&gt;"",1,0)+IF(DW650&lt;&gt;"",1,0)+IF(DX650&lt;&gt;"",1,0)+IF(DY650&lt;&gt;"",1,0)+IF(DZ650&lt;&gt;"",1,0)+IF(EB650&lt;&gt;"",1,0)+IF(EC650&lt;&gt;"",1,0)+IF(ED650&lt;&gt;"",1,0)+IF(EG650&lt;&gt;"",1,0)+IF(EH650&lt;&gt;"",1,0)</f>
        <v/>
      </c>
      <c r="AZ650">
        <f>IF(EH650&lt;&gt;"",1,0)</f>
        <v/>
      </c>
      <c r="BB650" t="inlineStr">
        <is>
          <t>WARREN-WARD 4</t>
        </is>
      </c>
      <c r="BH650" t="inlineStr">
        <is>
          <t>X</t>
        </is>
      </c>
      <c r="BJ650" t="inlineStr">
        <is>
          <t>X</t>
        </is>
      </c>
      <c r="BL650" t="inlineStr">
        <is>
          <t>X</t>
        </is>
      </c>
      <c r="BP650" t="inlineStr">
        <is>
          <t>X</t>
        </is>
      </c>
      <c r="BR650" t="inlineStr">
        <is>
          <t>X</t>
        </is>
      </c>
      <c r="BS650" t="inlineStr">
        <is>
          <t>X</t>
        </is>
      </c>
      <c r="BY650" t="inlineStr">
        <is>
          <t>D</t>
        </is>
      </c>
      <c r="CA650" t="inlineStr">
        <is>
          <t>X</t>
        </is>
      </c>
      <c r="CH650" t="inlineStr">
        <is>
          <t>R</t>
        </is>
      </c>
      <c r="CK650" t="inlineStr">
        <is>
          <t>X</t>
        </is>
      </c>
      <c r="CN650" t="inlineStr">
        <is>
          <t>X</t>
        </is>
      </c>
      <c r="CP650" t="inlineStr">
        <is>
          <t>X</t>
        </is>
      </c>
      <c r="CV650" t="inlineStr">
        <is>
          <t>X</t>
        </is>
      </c>
      <c r="CY650" t="inlineStr">
        <is>
          <t>X</t>
        </is>
      </c>
      <c r="CZ650" t="inlineStr">
        <is>
          <t>R</t>
        </is>
      </c>
      <c r="DC650" t="inlineStr">
        <is>
          <t>X</t>
        </is>
      </c>
      <c r="DI650" t="inlineStr">
        <is>
          <t>X</t>
        </is>
      </c>
      <c r="DL650" t="inlineStr">
        <is>
          <t>X</t>
        </is>
      </c>
      <c r="DM650" t="inlineStr">
        <is>
          <t>R</t>
        </is>
      </c>
      <c r="DN650" t="inlineStr">
        <is>
          <t>X</t>
        </is>
      </c>
      <c r="DS650" t="inlineStr">
        <is>
          <t>R</t>
        </is>
      </c>
      <c r="DU650" t="inlineStr">
        <is>
          <t>X</t>
        </is>
      </c>
      <c r="EA650" t="inlineStr">
        <is>
          <t>X</t>
        </is>
      </c>
      <c r="ED650" t="inlineStr">
        <is>
          <t>R</t>
        </is>
      </c>
      <c r="EF650" t="inlineStr">
        <is>
          <t>X</t>
        </is>
      </c>
    </row>
    <row r="651">
      <c r="A651" t="inlineStr">
        <is>
          <t>OH0018670386</t>
        </is>
      </c>
      <c r="B651" t="n">
        <v>78</v>
      </c>
      <c r="C651" t="n">
        <v>342393</v>
      </c>
      <c r="D651" t="inlineStr">
        <is>
          <t>SMITH</t>
        </is>
      </c>
      <c r="E651" t="inlineStr">
        <is>
          <t>MAURICE</t>
        </is>
      </c>
      <c r="F651">
        <f>CONCATENATE(D651," ",LEFT(H651,4),"T=",AU651,"D=",AV651,"R=",AW651,"M=",AX651,"L=",AY651,"B=",AZ651)</f>
        <v/>
      </c>
      <c r="G651" t="inlineStr">
        <is>
          <t>A</t>
        </is>
      </c>
      <c r="I651" t="inlineStr">
        <is>
          <t>1987-12-27</t>
        </is>
      </c>
      <c r="J651" t="inlineStr">
        <is>
          <t>2018-10-09</t>
        </is>
      </c>
      <c r="K651" t="inlineStr">
        <is>
          <t>ACTIVE</t>
        </is>
      </c>
      <c r="L651" t="inlineStr">
        <is>
          <t>D</t>
        </is>
      </c>
      <c r="M651" t="inlineStr">
        <is>
          <t>529 KENILWORTH AVE SE</t>
        </is>
      </c>
      <c r="N651">
        <f>RIGHT(M651,LEN(M651)-FIND(" ",M651))</f>
        <v/>
      </c>
      <c r="P651" t="inlineStr">
        <is>
          <t>WARREN</t>
        </is>
      </c>
      <c r="Q651" t="inlineStr">
        <is>
          <t>OH</t>
        </is>
      </c>
      <c r="R651" t="n">
        <v>44483</v>
      </c>
      <c r="AD651" t="inlineStr">
        <is>
          <t>TRUMBULL CAREER &amp; TECH CENTER</t>
        </is>
      </c>
      <c r="AE651" t="inlineStr">
        <is>
          <t>WARREN CITY</t>
        </is>
      </c>
      <c r="AF651" t="inlineStr">
        <is>
          <t>WARREN CITY SD</t>
        </is>
      </c>
      <c r="AH651" t="n">
        <v>14</v>
      </c>
      <c r="AI651" t="n">
        <v>11</v>
      </c>
      <c r="AN651" t="inlineStr">
        <is>
          <t>WARREN</t>
        </is>
      </c>
      <c r="AO651" t="inlineStr">
        <is>
          <t>WARREN CITY 4A</t>
        </is>
      </c>
      <c r="AP651" t="inlineStr">
        <is>
          <t>78-P-ADI</t>
        </is>
      </c>
      <c r="AQ651" t="n">
        <v>9</v>
      </c>
      <c r="AR651" t="n">
        <v>64</v>
      </c>
      <c r="AS651" t="n">
        <v>32</v>
      </c>
      <c r="AU651">
        <f>COUNTA($BA$651:$EH$651)</f>
        <v/>
      </c>
      <c r="AV651">
        <f>COUNTIF($BA$651:$EH$651,"D")</f>
        <v/>
      </c>
      <c r="AW651">
        <f>COUNTIF($BA$651:$EH$651,"R")</f>
        <v/>
      </c>
      <c r="AX651">
        <f>IF(BN651="D",1,0)+IF(BO651="D",1,0)+IF(BT651="D",1,0)+IF(BU651="D",1,0)+IF(BW651="D",1,0)+IF(CC651="D",1,0)+IF(CD651="D",1,0)+IF(CE651="D",1,0)+IF(CF651="D",1,0)+IF(CL651="D",1,0)+IF(CM651="D",1,0)+IF(CQ651="D",1,0)+IF(CR651="D",1,0)+IF(CS651="D",1,0)+IF(CW651="D",1,0)+IF(CX651="D",1,0)+IF(DD651="D",1,0)+IF(DE651="D",1,0)+IF(DJ651="D",1,0)+IF(DK651="D",1,0)+IF(DO651="D",1,0)+IF(DP651="D",1,0)+IF(DQ651="D",1,0)+IF(DW651="D",1,0)+IF(DZ651="D",1,0)+IF(EH651="D",1,0)</f>
        <v/>
      </c>
      <c r="AY651">
        <f>IF(DJ651&lt;&gt;"",1,0)+IF(DK651&lt;&gt;"",1,0)+IF(DM651&lt;&gt;"",1,0)+IF(DO651&lt;&gt;"",1,0)+IF(DP651&lt;&gt;"",1,0)+IF(DQ651&lt;&gt;"",1,0)+IF(DS651&lt;&gt;"",1,0)+IF(DT651&lt;&gt;"",1,0)+IF(DV651&lt;&gt;"",1,0)+IF(DW651&lt;&gt;"",1,0)+IF(DX651&lt;&gt;"",1,0)+IF(DY651&lt;&gt;"",1,0)+IF(DZ651&lt;&gt;"",1,0)+IF(EB651&lt;&gt;"",1,0)+IF(EC651&lt;&gt;"",1,0)+IF(ED651&lt;&gt;"",1,0)+IF(EG651&lt;&gt;"",1,0)+IF(EH651&lt;&gt;"",1,0)</f>
        <v/>
      </c>
      <c r="AZ651">
        <f>IF(EH651&lt;&gt;"",1,0)</f>
        <v/>
      </c>
      <c r="BB651" t="inlineStr">
        <is>
          <t>WARREN-WARD 4</t>
        </is>
      </c>
      <c r="CP651" t="inlineStr">
        <is>
          <t>X</t>
        </is>
      </c>
      <c r="DN651" t="inlineStr">
        <is>
          <t>X</t>
        </is>
      </c>
      <c r="DU651" t="inlineStr">
        <is>
          <t>X</t>
        </is>
      </c>
      <c r="DX651" t="inlineStr">
        <is>
          <t>X</t>
        </is>
      </c>
      <c r="EA651" t="inlineStr">
        <is>
          <t>X</t>
        </is>
      </c>
      <c r="ED651" t="inlineStr">
        <is>
          <t>D</t>
        </is>
      </c>
      <c r="EF651" t="inlineStr">
        <is>
          <t>X</t>
        </is>
      </c>
    </row>
    <row r="652">
      <c r="A652" t="inlineStr">
        <is>
          <t>OH0024082381</t>
        </is>
      </c>
      <c r="B652" t="n">
        <v>78</v>
      </c>
      <c r="C652" t="n">
        <v>421533</v>
      </c>
      <c r="D652" t="inlineStr">
        <is>
          <t>SCHEIDEGGER</t>
        </is>
      </c>
      <c r="E652" t="inlineStr">
        <is>
          <t>JACOB</t>
        </is>
      </c>
      <c r="F652">
        <f>CONCATENATE(D652," ",LEFT(H652,4),"T=",AU652,"D=",AV652,"R=",AW652,"M=",AX652,"L=",AY652,"B=",AZ652)</f>
        <v/>
      </c>
      <c r="G652" t="inlineStr">
        <is>
          <t>D</t>
        </is>
      </c>
      <c r="I652" t="inlineStr">
        <is>
          <t>1998-07-29</t>
        </is>
      </c>
      <c r="J652" t="inlineStr">
        <is>
          <t>2020-10-02</t>
        </is>
      </c>
      <c r="K652" t="inlineStr">
        <is>
          <t>ACTIVE</t>
        </is>
      </c>
      <c r="M652" t="inlineStr">
        <is>
          <t>393 WOODBINE AVE SE</t>
        </is>
      </c>
      <c r="N652">
        <f>RIGHT(M652,LEN(M652)-FIND(" ",M652))</f>
        <v/>
      </c>
      <c r="P652" t="inlineStr">
        <is>
          <t>WARREN</t>
        </is>
      </c>
      <c r="Q652" t="inlineStr">
        <is>
          <t>OH</t>
        </is>
      </c>
      <c r="R652" t="n">
        <v>44483</v>
      </c>
      <c r="AD652" t="inlineStr">
        <is>
          <t>TRUMBULL CAREER &amp; TECH CENTER</t>
        </is>
      </c>
      <c r="AE652" t="inlineStr">
        <is>
          <t>WARREN CITY</t>
        </is>
      </c>
      <c r="AF652" t="inlineStr">
        <is>
          <t>WARREN CITY SD</t>
        </is>
      </c>
      <c r="AH652" t="n">
        <v>14</v>
      </c>
      <c r="AI652" t="n">
        <v>11</v>
      </c>
      <c r="AN652" t="inlineStr">
        <is>
          <t>WARREN</t>
        </is>
      </c>
      <c r="AO652" t="inlineStr">
        <is>
          <t>WARREN CITY 4A</t>
        </is>
      </c>
      <c r="AP652" t="inlineStr">
        <is>
          <t>78-P-ADI</t>
        </is>
      </c>
      <c r="AQ652" t="n">
        <v>9</v>
      </c>
      <c r="AR652" t="n">
        <v>64</v>
      </c>
      <c r="AS652" t="n">
        <v>32</v>
      </c>
      <c r="AU652">
        <f>COUNTA($BA$652:$EH$652)</f>
        <v/>
      </c>
      <c r="AV652">
        <f>COUNTIF($BA$652:$EH$652,"D")</f>
        <v/>
      </c>
      <c r="AW652">
        <f>COUNTIF($BA$652:$EH$652,"R")</f>
        <v/>
      </c>
      <c r="AX652">
        <f>IF(BN652="D",1,0)+IF(BO652="D",1,0)+IF(BT652="D",1,0)+IF(BU652="D",1,0)+IF(BW652="D",1,0)+IF(CC652="D",1,0)+IF(CD652="D",1,0)+IF(CE652="D",1,0)+IF(CF652="D",1,0)+IF(CL652="D",1,0)+IF(CM652="D",1,0)+IF(CQ652="D",1,0)+IF(CR652="D",1,0)+IF(CS652="D",1,0)+IF(CW652="D",1,0)+IF(CX652="D",1,0)+IF(DD652="D",1,0)+IF(DE652="D",1,0)+IF(DJ652="D",1,0)+IF(DK652="D",1,0)+IF(DO652="D",1,0)+IF(DP652="D",1,0)+IF(DQ652="D",1,0)+IF(DW652="D",1,0)+IF(DZ652="D",1,0)+IF(EH652="D",1,0)</f>
        <v/>
      </c>
      <c r="AY652">
        <f>IF(DJ652&lt;&gt;"",1,0)+IF(DK652&lt;&gt;"",1,0)+IF(DM652&lt;&gt;"",1,0)+IF(DO652&lt;&gt;"",1,0)+IF(DP652&lt;&gt;"",1,0)+IF(DQ652&lt;&gt;"",1,0)+IF(DS652&lt;&gt;"",1,0)+IF(DT652&lt;&gt;"",1,0)+IF(DV652&lt;&gt;"",1,0)+IF(DW652&lt;&gt;"",1,0)+IF(DX652&lt;&gt;"",1,0)+IF(DY652&lt;&gt;"",1,0)+IF(DZ652&lt;&gt;"",1,0)+IF(EB652&lt;&gt;"",1,0)+IF(EC652&lt;&gt;"",1,0)+IF(ED652&lt;&gt;"",1,0)+IF(EG652&lt;&gt;"",1,0)+IF(EH652&lt;&gt;"",1,0)</f>
        <v/>
      </c>
      <c r="AZ652">
        <f>IF(EH652&lt;&gt;"",1,0)</f>
        <v/>
      </c>
      <c r="BB652" t="inlineStr">
        <is>
          <t>WARREN-WARD 4</t>
        </is>
      </c>
      <c r="DC652" t="inlineStr">
        <is>
          <t>X</t>
        </is>
      </c>
      <c r="DF652" t="inlineStr">
        <is>
          <t>X</t>
        </is>
      </c>
      <c r="DN652" t="inlineStr">
        <is>
          <t>X</t>
        </is>
      </c>
      <c r="DU652" t="inlineStr">
        <is>
          <t>X</t>
        </is>
      </c>
    </row>
    <row r="653">
      <c r="A653" t="inlineStr">
        <is>
          <t>OH0018589282</t>
        </is>
      </c>
      <c r="B653" t="n">
        <v>78</v>
      </c>
      <c r="C653" t="n">
        <v>338343</v>
      </c>
      <c r="D653" t="inlineStr">
        <is>
          <t>DUNCAN</t>
        </is>
      </c>
      <c r="E653" t="inlineStr">
        <is>
          <t>KAYLA</t>
        </is>
      </c>
      <c r="F653">
        <f>CONCATENATE(D653," ",LEFT(H653,4),"T=",AU653,"D=",AV653,"R=",AW653,"M=",AX653,"L=",AY653,"B=",AZ653)</f>
        <v/>
      </c>
      <c r="G653" t="inlineStr">
        <is>
          <t>RENEE</t>
        </is>
      </c>
      <c r="I653" t="inlineStr">
        <is>
          <t>1986-11-25</t>
        </is>
      </c>
      <c r="J653" t="inlineStr">
        <is>
          <t>2021-07-08</t>
        </is>
      </c>
      <c r="K653" t="inlineStr">
        <is>
          <t>ACTIVE</t>
        </is>
      </c>
      <c r="M653" t="inlineStr">
        <is>
          <t>771 WOODBINE AVE SE</t>
        </is>
      </c>
      <c r="N653">
        <f>RIGHT(M653,LEN(M653)-FIND(" ",M653))</f>
        <v/>
      </c>
      <c r="P653" t="inlineStr">
        <is>
          <t>WARREN</t>
        </is>
      </c>
      <c r="Q653" t="inlineStr">
        <is>
          <t>OH</t>
        </is>
      </c>
      <c r="R653" t="n">
        <v>44484</v>
      </c>
      <c r="AD653" t="inlineStr">
        <is>
          <t>TRUMBULL CAREER &amp; TECH CENTER</t>
        </is>
      </c>
      <c r="AE653" t="inlineStr">
        <is>
          <t>WARREN CITY</t>
        </is>
      </c>
      <c r="AF653" t="inlineStr">
        <is>
          <t>WARREN CITY SD</t>
        </is>
      </c>
      <c r="AH653" t="n">
        <v>14</v>
      </c>
      <c r="AI653" t="n">
        <v>11</v>
      </c>
      <c r="AN653" t="inlineStr">
        <is>
          <t>WARREN</t>
        </is>
      </c>
      <c r="AO653" t="inlineStr">
        <is>
          <t>WARREN CITY 4A</t>
        </is>
      </c>
      <c r="AP653" t="inlineStr">
        <is>
          <t>78-P-ADI</t>
        </is>
      </c>
      <c r="AQ653" t="n">
        <v>9</v>
      </c>
      <c r="AR653" t="n">
        <v>64</v>
      </c>
      <c r="AS653" t="n">
        <v>32</v>
      </c>
      <c r="AU653">
        <f>COUNTA($BA$653:$EH$653)</f>
        <v/>
      </c>
      <c r="AV653">
        <f>COUNTIF($BA$653:$EH$653,"D")</f>
        <v/>
      </c>
      <c r="AW653">
        <f>COUNTIF($BA$653:$EH$653,"R")</f>
        <v/>
      </c>
      <c r="AX653">
        <f>IF(BN653="D",1,0)+IF(BO653="D",1,0)+IF(BT653="D",1,0)+IF(BU653="D",1,0)+IF(BW653="D",1,0)+IF(CC653="D",1,0)+IF(CD653="D",1,0)+IF(CE653="D",1,0)+IF(CF653="D",1,0)+IF(CL653="D",1,0)+IF(CM653="D",1,0)+IF(CQ653="D",1,0)+IF(CR653="D",1,0)+IF(CS653="D",1,0)+IF(CW653="D",1,0)+IF(CX653="D",1,0)+IF(DD653="D",1,0)+IF(DE653="D",1,0)+IF(DJ653="D",1,0)+IF(DK653="D",1,0)+IF(DO653="D",1,0)+IF(DP653="D",1,0)+IF(DQ653="D",1,0)+IF(DW653="D",1,0)+IF(DZ653="D",1,0)+IF(EH653="D",1,0)</f>
        <v/>
      </c>
      <c r="AY653">
        <f>IF(DJ653&lt;&gt;"",1,0)+IF(DK653&lt;&gt;"",1,0)+IF(DM653&lt;&gt;"",1,0)+IF(DO653&lt;&gt;"",1,0)+IF(DP653&lt;&gt;"",1,0)+IF(DQ653&lt;&gt;"",1,0)+IF(DS653&lt;&gt;"",1,0)+IF(DT653&lt;&gt;"",1,0)+IF(DV653&lt;&gt;"",1,0)+IF(DW653&lt;&gt;"",1,0)+IF(DX653&lt;&gt;"",1,0)+IF(DY653&lt;&gt;"",1,0)+IF(DZ653&lt;&gt;"",1,0)+IF(EB653&lt;&gt;"",1,0)+IF(EC653&lt;&gt;"",1,0)+IF(ED653&lt;&gt;"",1,0)+IF(EG653&lt;&gt;"",1,0)+IF(EH653&lt;&gt;"",1,0)</f>
        <v/>
      </c>
      <c r="AZ653">
        <f>IF(EH653&lt;&gt;"",1,0)</f>
        <v/>
      </c>
      <c r="BB653" t="inlineStr">
        <is>
          <t>WARREN-WARD 4</t>
        </is>
      </c>
      <c r="BP653" t="inlineStr">
        <is>
          <t>X</t>
        </is>
      </c>
      <c r="CP653" t="inlineStr">
        <is>
          <t>X</t>
        </is>
      </c>
      <c r="CY653" t="inlineStr">
        <is>
          <t>X</t>
        </is>
      </c>
      <c r="EF653" t="inlineStr">
        <is>
          <t>X</t>
        </is>
      </c>
    </row>
    <row r="654">
      <c r="A654" t="inlineStr">
        <is>
          <t>OH0015795997</t>
        </is>
      </c>
      <c r="B654" t="n">
        <v>78</v>
      </c>
      <c r="C654" t="n">
        <v>316871</v>
      </c>
      <c r="D654" t="inlineStr">
        <is>
          <t>AMBROSE</t>
        </is>
      </c>
      <c r="E654" t="inlineStr">
        <is>
          <t>ALBERT</t>
        </is>
      </c>
      <c r="F654">
        <f>CONCATENATE(D654," ",LEFT(H654,4),"T=",AU654,"D=",AV654,"R=",AW654,"M=",AX654,"L=",AY654,"B=",AZ654)</f>
        <v/>
      </c>
      <c r="G654" t="inlineStr">
        <is>
          <t>J</t>
        </is>
      </c>
      <c r="H654" t="inlineStr">
        <is>
          <t>SR</t>
        </is>
      </c>
      <c r="I654" t="inlineStr">
        <is>
          <t>1945-04-14</t>
        </is>
      </c>
      <c r="J654" t="inlineStr">
        <is>
          <t>2011-10-04</t>
        </is>
      </c>
      <c r="K654" t="inlineStr">
        <is>
          <t>ACTIVE</t>
        </is>
      </c>
      <c r="L654" t="inlineStr">
        <is>
          <t>D</t>
        </is>
      </c>
      <c r="M654" t="inlineStr">
        <is>
          <t>853 KENILWORTH AVE SE</t>
        </is>
      </c>
      <c r="N654">
        <f>RIGHT(M654,LEN(M654)-FIND(" ",M654))</f>
        <v/>
      </c>
      <c r="P654" t="inlineStr">
        <is>
          <t>WARREN</t>
        </is>
      </c>
      <c r="Q654" t="inlineStr">
        <is>
          <t>OH</t>
        </is>
      </c>
      <c r="R654" t="n">
        <v>44484</v>
      </c>
      <c r="AD654" t="inlineStr">
        <is>
          <t>TRUMBULL CAREER &amp; TECH CENTER</t>
        </is>
      </c>
      <c r="AE654" t="inlineStr">
        <is>
          <t>WARREN CITY</t>
        </is>
      </c>
      <c r="AF654" t="inlineStr">
        <is>
          <t>WARREN CITY SD</t>
        </is>
      </c>
      <c r="AH654" t="n">
        <v>14</v>
      </c>
      <c r="AI654" t="n">
        <v>11</v>
      </c>
      <c r="AN654" t="inlineStr">
        <is>
          <t>WARREN</t>
        </is>
      </c>
      <c r="AO654" t="inlineStr">
        <is>
          <t>WARREN CITY 4A</t>
        </is>
      </c>
      <c r="AP654" t="inlineStr">
        <is>
          <t>78-P-ADI</t>
        </is>
      </c>
      <c r="AQ654" t="n">
        <v>9</v>
      </c>
      <c r="AR654" t="n">
        <v>64</v>
      </c>
      <c r="AS654" t="n">
        <v>32</v>
      </c>
      <c r="AU654">
        <f>COUNTA($BA$654:$EH$654)</f>
        <v/>
      </c>
      <c r="AV654">
        <f>COUNTIF($BA$654:$EH$654,"D")</f>
        <v/>
      </c>
      <c r="AW654">
        <f>COUNTIF($BA$654:$EH$654,"R")</f>
        <v/>
      </c>
      <c r="AX654">
        <f>IF(BN654="D",1,0)+IF(BO654="D",1,0)+IF(BT654="D",1,0)+IF(BU654="D",1,0)+IF(BW654="D",1,0)+IF(CC654="D",1,0)+IF(CD654="D",1,0)+IF(CE654="D",1,0)+IF(CF654="D",1,0)+IF(CL654="D",1,0)+IF(CM654="D",1,0)+IF(CQ654="D",1,0)+IF(CR654="D",1,0)+IF(CS654="D",1,0)+IF(CW654="D",1,0)+IF(CX654="D",1,0)+IF(DD654="D",1,0)+IF(DE654="D",1,0)+IF(DJ654="D",1,0)+IF(DK654="D",1,0)+IF(DO654="D",1,0)+IF(DP654="D",1,0)+IF(DQ654="D",1,0)+IF(DW654="D",1,0)+IF(DZ654="D",1,0)+IF(EH654="D",1,0)</f>
        <v/>
      </c>
      <c r="AY654">
        <f>IF(DJ654&lt;&gt;"",1,0)+IF(DK654&lt;&gt;"",1,0)+IF(DM654&lt;&gt;"",1,0)+IF(DO654&lt;&gt;"",1,0)+IF(DP654&lt;&gt;"",1,0)+IF(DQ654&lt;&gt;"",1,0)+IF(DS654&lt;&gt;"",1,0)+IF(DT654&lt;&gt;"",1,0)+IF(DV654&lt;&gt;"",1,0)+IF(DW654&lt;&gt;"",1,0)+IF(DX654&lt;&gt;"",1,0)+IF(DY654&lt;&gt;"",1,0)+IF(DZ654&lt;&gt;"",1,0)+IF(EB654&lt;&gt;"",1,0)+IF(EC654&lt;&gt;"",1,0)+IF(ED654&lt;&gt;"",1,0)+IF(EG654&lt;&gt;"",1,0)+IF(EH654&lt;&gt;"",1,0)</f>
        <v/>
      </c>
      <c r="AZ654">
        <f>IF(EH654&lt;&gt;"",1,0)</f>
        <v/>
      </c>
      <c r="BB654" t="inlineStr">
        <is>
          <t>WARREN-WARD 4</t>
        </is>
      </c>
      <c r="BJ654" t="inlineStr">
        <is>
          <t>X</t>
        </is>
      </c>
      <c r="BK654" t="inlineStr">
        <is>
          <t>X</t>
        </is>
      </c>
      <c r="BL654" t="inlineStr">
        <is>
          <t>X</t>
        </is>
      </c>
      <c r="BY654" t="inlineStr">
        <is>
          <t>D</t>
        </is>
      </c>
      <c r="CA654" t="inlineStr">
        <is>
          <t>X</t>
        </is>
      </c>
      <c r="CN654" t="inlineStr">
        <is>
          <t>X</t>
        </is>
      </c>
      <c r="CP654" t="inlineStr">
        <is>
          <t>X</t>
        </is>
      </c>
      <c r="CY654" t="inlineStr">
        <is>
          <t>X</t>
        </is>
      </c>
      <c r="CZ654" t="inlineStr">
        <is>
          <t>D</t>
        </is>
      </c>
      <c r="DC654" t="inlineStr">
        <is>
          <t>X</t>
        </is>
      </c>
      <c r="DF654" t="inlineStr">
        <is>
          <t>X</t>
        </is>
      </c>
      <c r="DG654" t="inlineStr">
        <is>
          <t>D</t>
        </is>
      </c>
      <c r="DI654" t="inlineStr">
        <is>
          <t>X</t>
        </is>
      </c>
      <c r="DL654" t="inlineStr">
        <is>
          <t>X</t>
        </is>
      </c>
      <c r="DN654" t="inlineStr">
        <is>
          <t>X</t>
        </is>
      </c>
      <c r="DW654" t="inlineStr">
        <is>
          <t>D</t>
        </is>
      </c>
      <c r="EA654" t="inlineStr">
        <is>
          <t>X</t>
        </is>
      </c>
      <c r="ED654" t="inlineStr">
        <is>
          <t>D</t>
        </is>
      </c>
      <c r="EF654" t="inlineStr">
        <is>
          <t>X</t>
        </is>
      </c>
      <c r="EH654" t="inlineStr">
        <is>
          <t>D</t>
        </is>
      </c>
    </row>
    <row r="655">
      <c r="A655" t="inlineStr">
        <is>
          <t>OH0015724915</t>
        </is>
      </c>
      <c r="B655" t="n">
        <v>78</v>
      </c>
      <c r="C655" t="n">
        <v>208647</v>
      </c>
      <c r="D655" t="inlineStr">
        <is>
          <t>DONALD</t>
        </is>
      </c>
      <c r="E655" t="inlineStr">
        <is>
          <t>CYNTHIA</t>
        </is>
      </c>
      <c r="F655">
        <f>CONCATENATE(D655," ",LEFT(H655,4),"T=",AU655,"D=",AV655,"R=",AW655,"M=",AX655,"L=",AY655,"B=",AZ655)</f>
        <v/>
      </c>
      <c r="G655" t="inlineStr">
        <is>
          <t>A</t>
        </is>
      </c>
      <c r="I655" t="inlineStr">
        <is>
          <t>1964-01-02</t>
        </is>
      </c>
      <c r="J655" t="inlineStr">
        <is>
          <t>1991-11-13</t>
        </is>
      </c>
      <c r="K655" t="inlineStr">
        <is>
          <t>ACTIVE</t>
        </is>
      </c>
      <c r="L655" t="inlineStr">
        <is>
          <t>D</t>
        </is>
      </c>
      <c r="M655" t="inlineStr">
        <is>
          <t>378 KENILWORTH AVE SE</t>
        </is>
      </c>
      <c r="N655">
        <f>RIGHT(M655,LEN(M655)-FIND(" ",M655))</f>
        <v/>
      </c>
      <c r="P655" t="inlineStr">
        <is>
          <t>WARREN</t>
        </is>
      </c>
      <c r="Q655" t="inlineStr">
        <is>
          <t>OH</t>
        </is>
      </c>
      <c r="R655" t="n">
        <v>44483</v>
      </c>
      <c r="AD655" t="inlineStr">
        <is>
          <t>TRUMBULL CAREER &amp; TECH CENTER</t>
        </is>
      </c>
      <c r="AE655" t="inlineStr">
        <is>
          <t>WARREN CITY</t>
        </is>
      </c>
      <c r="AF655" t="inlineStr">
        <is>
          <t>WARREN CITY SD</t>
        </is>
      </c>
      <c r="AH655" t="n">
        <v>14</v>
      </c>
      <c r="AI655" t="n">
        <v>11</v>
      </c>
      <c r="AN655" t="inlineStr">
        <is>
          <t>WARREN</t>
        </is>
      </c>
      <c r="AO655" t="inlineStr">
        <is>
          <t>WARREN CITY 4A</t>
        </is>
      </c>
      <c r="AP655" t="inlineStr">
        <is>
          <t>78-P-ADI</t>
        </is>
      </c>
      <c r="AQ655" t="n">
        <v>9</v>
      </c>
      <c r="AR655" t="n">
        <v>64</v>
      </c>
      <c r="AS655" t="n">
        <v>32</v>
      </c>
      <c r="AU655">
        <f>COUNTA($BA$655:$EH$655)</f>
        <v/>
      </c>
      <c r="AV655">
        <f>COUNTIF($BA$655:$EH$655,"D")</f>
        <v/>
      </c>
      <c r="AW655">
        <f>COUNTIF($BA$655:$EH$655,"R")</f>
        <v/>
      </c>
      <c r="AX655">
        <f>IF(BN655="D",1,0)+IF(BO655="D",1,0)+IF(BT655="D",1,0)+IF(BU655="D",1,0)+IF(BW655="D",1,0)+IF(CC655="D",1,0)+IF(CD655="D",1,0)+IF(CE655="D",1,0)+IF(CF655="D",1,0)+IF(CL655="D",1,0)+IF(CM655="D",1,0)+IF(CQ655="D",1,0)+IF(CR655="D",1,0)+IF(CS655="D",1,0)+IF(CW655="D",1,0)+IF(CX655="D",1,0)+IF(DD655="D",1,0)+IF(DE655="D",1,0)+IF(DJ655="D",1,0)+IF(DK655="D",1,0)+IF(DO655="D",1,0)+IF(DP655="D",1,0)+IF(DQ655="D",1,0)+IF(DW655="D",1,0)+IF(DZ655="D",1,0)+IF(EH655="D",1,0)</f>
        <v/>
      </c>
      <c r="AY655">
        <f>IF(DJ655&lt;&gt;"",1,0)+IF(DK655&lt;&gt;"",1,0)+IF(DM655&lt;&gt;"",1,0)+IF(DO655&lt;&gt;"",1,0)+IF(DP655&lt;&gt;"",1,0)+IF(DQ655&lt;&gt;"",1,0)+IF(DS655&lt;&gt;"",1,0)+IF(DT655&lt;&gt;"",1,0)+IF(DV655&lt;&gt;"",1,0)+IF(DW655&lt;&gt;"",1,0)+IF(DX655&lt;&gt;"",1,0)+IF(DY655&lt;&gt;"",1,0)+IF(DZ655&lt;&gt;"",1,0)+IF(EB655&lt;&gt;"",1,0)+IF(EC655&lt;&gt;"",1,0)+IF(ED655&lt;&gt;"",1,0)+IF(EG655&lt;&gt;"",1,0)+IF(EH655&lt;&gt;"",1,0)</f>
        <v/>
      </c>
      <c r="AZ655">
        <f>IF(EH655&lt;&gt;"",1,0)</f>
        <v/>
      </c>
      <c r="BB655" t="inlineStr">
        <is>
          <t>WARREN-WARD 4</t>
        </is>
      </c>
      <c r="BC655" t="inlineStr">
        <is>
          <t>X</t>
        </is>
      </c>
      <c r="BD655" t="inlineStr">
        <is>
          <t>X</t>
        </is>
      </c>
      <c r="BG655" t="inlineStr">
        <is>
          <t>X</t>
        </is>
      </c>
      <c r="BH655" t="inlineStr">
        <is>
          <t>X</t>
        </is>
      </c>
      <c r="BJ655" t="inlineStr">
        <is>
          <t>X</t>
        </is>
      </c>
      <c r="BL655" t="inlineStr">
        <is>
          <t>X</t>
        </is>
      </c>
      <c r="BR655" t="inlineStr">
        <is>
          <t>X</t>
        </is>
      </c>
      <c r="BS655" t="inlineStr">
        <is>
          <t>X</t>
        </is>
      </c>
      <c r="BY655" t="inlineStr">
        <is>
          <t>D</t>
        </is>
      </c>
      <c r="CA655" t="inlineStr">
        <is>
          <t>X</t>
        </is>
      </c>
      <c r="CG655" t="inlineStr">
        <is>
          <t>X</t>
        </is>
      </c>
      <c r="CK655" t="inlineStr">
        <is>
          <t>X</t>
        </is>
      </c>
      <c r="CN655" t="inlineStr">
        <is>
          <t>X</t>
        </is>
      </c>
      <c r="CO655" t="inlineStr">
        <is>
          <t>D</t>
        </is>
      </c>
      <c r="CP655" t="inlineStr">
        <is>
          <t>X</t>
        </is>
      </c>
      <c r="CT655" t="inlineStr">
        <is>
          <t>X</t>
        </is>
      </c>
      <c r="CY655" t="inlineStr">
        <is>
          <t>X</t>
        </is>
      </c>
      <c r="CZ655" t="inlineStr">
        <is>
          <t>D</t>
        </is>
      </c>
      <c r="DC655" t="inlineStr">
        <is>
          <t>X</t>
        </is>
      </c>
      <c r="DI655" t="inlineStr">
        <is>
          <t>X</t>
        </is>
      </c>
      <c r="DL655" t="inlineStr">
        <is>
          <t>X</t>
        </is>
      </c>
      <c r="DN655" t="inlineStr">
        <is>
          <t>X</t>
        </is>
      </c>
      <c r="DT655" t="inlineStr">
        <is>
          <t>D</t>
        </is>
      </c>
      <c r="DU655" t="inlineStr">
        <is>
          <t>X</t>
        </is>
      </c>
      <c r="DW655" t="inlineStr">
        <is>
          <t>D</t>
        </is>
      </c>
      <c r="DX655" t="inlineStr">
        <is>
          <t>X</t>
        </is>
      </c>
      <c r="EA655" t="inlineStr">
        <is>
          <t>X</t>
        </is>
      </c>
      <c r="ED655" t="inlineStr">
        <is>
          <t>D</t>
        </is>
      </c>
      <c r="EF655" t="inlineStr">
        <is>
          <t>X</t>
        </is>
      </c>
    </row>
    <row r="656">
      <c r="A656" t="inlineStr">
        <is>
          <t>OH0027496326</t>
        </is>
      </c>
      <c r="B656" t="n">
        <v>78</v>
      </c>
      <c r="C656" t="n">
        <v>487059</v>
      </c>
      <c r="D656" t="inlineStr">
        <is>
          <t>BROWN</t>
        </is>
      </c>
      <c r="E656" t="inlineStr">
        <is>
          <t>KALYN</t>
        </is>
      </c>
      <c r="F656">
        <f>CONCATENATE(D656," ",LEFT(H656,4),"T=",AU656,"D=",AV656,"R=",AW656,"M=",AX656,"L=",AY656,"B=",AZ656)</f>
        <v/>
      </c>
      <c r="G656" t="inlineStr">
        <is>
          <t>N</t>
        </is>
      </c>
      <c r="I656" t="inlineStr">
        <is>
          <t>1988-03-18</t>
        </is>
      </c>
      <c r="J656" t="inlineStr">
        <is>
          <t>2024-07-31</t>
        </is>
      </c>
      <c r="K656" t="inlineStr">
        <is>
          <t>ACTIVE</t>
        </is>
      </c>
      <c r="M656" t="inlineStr">
        <is>
          <t>330 OAK KNOLL AVE SE</t>
        </is>
      </c>
      <c r="N656">
        <f>RIGHT(M656,LEN(M656)-FIND(" ",M656))</f>
        <v/>
      </c>
      <c r="P656" t="inlineStr">
        <is>
          <t>WARREN</t>
        </is>
      </c>
      <c r="Q656" t="inlineStr">
        <is>
          <t>OH</t>
        </is>
      </c>
      <c r="R656" t="n">
        <v>44483</v>
      </c>
      <c r="AD656" t="inlineStr">
        <is>
          <t>TRUMBULL CAREER &amp; TECH CENTER</t>
        </is>
      </c>
      <c r="AE656" t="inlineStr">
        <is>
          <t>WARREN CITY</t>
        </is>
      </c>
      <c r="AF656" t="inlineStr">
        <is>
          <t>WARREN CITY SD</t>
        </is>
      </c>
      <c r="AH656" t="n">
        <v>14</v>
      </c>
      <c r="AI656" t="n">
        <v>11</v>
      </c>
      <c r="AN656" t="inlineStr">
        <is>
          <t>WARREN</t>
        </is>
      </c>
      <c r="AO656" t="inlineStr">
        <is>
          <t>WARREN CITY 4A</t>
        </is>
      </c>
      <c r="AP656" t="inlineStr">
        <is>
          <t>78-P-ADI</t>
        </is>
      </c>
      <c r="AQ656" t="n">
        <v>9</v>
      </c>
      <c r="AR656" t="n">
        <v>64</v>
      </c>
      <c r="AS656" t="n">
        <v>32</v>
      </c>
      <c r="AU656">
        <f>COUNTA($BA$656:$EH$656)</f>
        <v/>
      </c>
      <c r="AV656">
        <f>COUNTIF($BA$656:$EH$656,"D")</f>
        <v/>
      </c>
      <c r="AW656">
        <f>COUNTIF($BA$656:$EH$656,"R")</f>
        <v/>
      </c>
      <c r="AX656">
        <f>IF(BN656="D",1,0)+IF(BO656="D",1,0)+IF(BT656="D",1,0)+IF(BU656="D",1,0)+IF(BW656="D",1,0)+IF(CC656="D",1,0)+IF(CD656="D",1,0)+IF(CE656="D",1,0)+IF(CF656="D",1,0)+IF(CL656="D",1,0)+IF(CM656="D",1,0)+IF(CQ656="D",1,0)+IF(CR656="D",1,0)+IF(CS656="D",1,0)+IF(CW656="D",1,0)+IF(CX656="D",1,0)+IF(DD656="D",1,0)+IF(DE656="D",1,0)+IF(DJ656="D",1,0)+IF(DK656="D",1,0)+IF(DO656="D",1,0)+IF(DP656="D",1,0)+IF(DQ656="D",1,0)+IF(DW656="D",1,0)+IF(DZ656="D",1,0)+IF(EH656="D",1,0)</f>
        <v/>
      </c>
      <c r="AY656">
        <f>IF(DJ656&lt;&gt;"",1,0)+IF(DK656&lt;&gt;"",1,0)+IF(DM656&lt;&gt;"",1,0)+IF(DO656&lt;&gt;"",1,0)+IF(DP656&lt;&gt;"",1,0)+IF(DQ656&lt;&gt;"",1,0)+IF(DS656&lt;&gt;"",1,0)+IF(DT656&lt;&gt;"",1,0)+IF(DV656&lt;&gt;"",1,0)+IF(DW656&lt;&gt;"",1,0)+IF(DX656&lt;&gt;"",1,0)+IF(DY656&lt;&gt;"",1,0)+IF(DZ656&lt;&gt;"",1,0)+IF(EB656&lt;&gt;"",1,0)+IF(EC656&lt;&gt;"",1,0)+IF(ED656&lt;&gt;"",1,0)+IF(EG656&lt;&gt;"",1,0)+IF(EH656&lt;&gt;"",1,0)</f>
        <v/>
      </c>
      <c r="AZ656">
        <f>IF(EH656&lt;&gt;"",1,0)</f>
        <v/>
      </c>
      <c r="BB656" t="inlineStr">
        <is>
          <t>WARREN-WARD 4</t>
        </is>
      </c>
    </row>
    <row r="657">
      <c r="A657" t="inlineStr">
        <is>
          <t>OH0015688344</t>
        </is>
      </c>
      <c r="B657" t="n">
        <v>78</v>
      </c>
      <c r="C657" t="n">
        <v>129460</v>
      </c>
      <c r="D657" t="inlineStr">
        <is>
          <t>SWEET</t>
        </is>
      </c>
      <c r="E657" t="inlineStr">
        <is>
          <t>KATHLEEN</t>
        </is>
      </c>
      <c r="F657">
        <f>CONCATENATE(D657," ",LEFT(H657,4),"T=",AU657,"D=",AV657,"R=",AW657,"M=",AX657,"L=",AY657,"B=",AZ657)</f>
        <v/>
      </c>
      <c r="G657" t="inlineStr">
        <is>
          <t>C</t>
        </is>
      </c>
      <c r="I657" t="inlineStr">
        <is>
          <t>1949-04-25</t>
        </is>
      </c>
      <c r="J657" t="inlineStr">
        <is>
          <t>1980-07-15</t>
        </is>
      </c>
      <c r="K657" t="inlineStr">
        <is>
          <t>ACTIVE</t>
        </is>
      </c>
      <c r="L657" t="inlineStr">
        <is>
          <t>D</t>
        </is>
      </c>
      <c r="M657" t="inlineStr">
        <is>
          <t>399 KENILWORTH AVE SE</t>
        </is>
      </c>
      <c r="N657">
        <f>RIGHT(M657,LEN(M657)-FIND(" ",M657))</f>
        <v/>
      </c>
      <c r="P657" t="inlineStr">
        <is>
          <t>WARREN</t>
        </is>
      </c>
      <c r="Q657" t="inlineStr">
        <is>
          <t>OH</t>
        </is>
      </c>
      <c r="R657" t="n">
        <v>44483</v>
      </c>
      <c r="AD657" t="inlineStr">
        <is>
          <t>TRUMBULL CAREER &amp; TECH CENTER</t>
        </is>
      </c>
      <c r="AE657" t="inlineStr">
        <is>
          <t>WARREN CITY</t>
        </is>
      </c>
      <c r="AF657" t="inlineStr">
        <is>
          <t>WARREN CITY SD</t>
        </is>
      </c>
      <c r="AH657" t="n">
        <v>14</v>
      </c>
      <c r="AI657" t="n">
        <v>11</v>
      </c>
      <c r="AN657" t="inlineStr">
        <is>
          <t>WARREN</t>
        </is>
      </c>
      <c r="AO657" t="inlineStr">
        <is>
          <t>WARREN CITY 4A</t>
        </is>
      </c>
      <c r="AP657" t="inlineStr">
        <is>
          <t>78-P-ADI</t>
        </is>
      </c>
      <c r="AQ657" t="n">
        <v>9</v>
      </c>
      <c r="AR657" t="n">
        <v>64</v>
      </c>
      <c r="AS657" t="n">
        <v>32</v>
      </c>
      <c r="AU657">
        <f>COUNTA($BA$657:$EH$657)</f>
        <v/>
      </c>
      <c r="AV657">
        <f>COUNTIF($BA$657:$EH$657,"D")</f>
        <v/>
      </c>
      <c r="AW657">
        <f>COUNTIF($BA$657:$EH$657,"R")</f>
        <v/>
      </c>
      <c r="AX657">
        <f>IF(BN657="D",1,0)+IF(BO657="D",1,0)+IF(BT657="D",1,0)+IF(BU657="D",1,0)+IF(BW657="D",1,0)+IF(CC657="D",1,0)+IF(CD657="D",1,0)+IF(CE657="D",1,0)+IF(CF657="D",1,0)+IF(CL657="D",1,0)+IF(CM657="D",1,0)+IF(CQ657="D",1,0)+IF(CR657="D",1,0)+IF(CS657="D",1,0)+IF(CW657="D",1,0)+IF(CX657="D",1,0)+IF(DD657="D",1,0)+IF(DE657="D",1,0)+IF(DJ657="D",1,0)+IF(DK657="D",1,0)+IF(DO657="D",1,0)+IF(DP657="D",1,0)+IF(DQ657="D",1,0)+IF(DW657="D",1,0)+IF(DZ657="D",1,0)+IF(EH657="D",1,0)</f>
        <v/>
      </c>
      <c r="AY657">
        <f>IF(DJ657&lt;&gt;"",1,0)+IF(DK657&lt;&gt;"",1,0)+IF(DM657&lt;&gt;"",1,0)+IF(DO657&lt;&gt;"",1,0)+IF(DP657&lt;&gt;"",1,0)+IF(DQ657&lt;&gt;"",1,0)+IF(DS657&lt;&gt;"",1,0)+IF(DT657&lt;&gt;"",1,0)+IF(DV657&lt;&gt;"",1,0)+IF(DW657&lt;&gt;"",1,0)+IF(DX657&lt;&gt;"",1,0)+IF(DY657&lt;&gt;"",1,0)+IF(DZ657&lt;&gt;"",1,0)+IF(EB657&lt;&gt;"",1,0)+IF(EC657&lt;&gt;"",1,0)+IF(ED657&lt;&gt;"",1,0)+IF(EG657&lt;&gt;"",1,0)+IF(EH657&lt;&gt;"",1,0)</f>
        <v/>
      </c>
      <c r="AZ657">
        <f>IF(EH657&lt;&gt;"",1,0)</f>
        <v/>
      </c>
      <c r="BB657" t="inlineStr">
        <is>
          <t>WARREN-WARD 4</t>
        </is>
      </c>
      <c r="BC657" t="inlineStr">
        <is>
          <t>X</t>
        </is>
      </c>
      <c r="BD657" t="inlineStr">
        <is>
          <t>X</t>
        </is>
      </c>
      <c r="BE657" t="inlineStr">
        <is>
          <t>X</t>
        </is>
      </c>
      <c r="BF657" t="inlineStr">
        <is>
          <t>X</t>
        </is>
      </c>
      <c r="BG657" t="inlineStr">
        <is>
          <t>X</t>
        </is>
      </c>
      <c r="BH657" t="inlineStr">
        <is>
          <t>X</t>
        </is>
      </c>
      <c r="BI657" t="inlineStr">
        <is>
          <t>X</t>
        </is>
      </c>
      <c r="BJ657" t="inlineStr">
        <is>
          <t>X</t>
        </is>
      </c>
      <c r="BK657" t="inlineStr">
        <is>
          <t>X</t>
        </is>
      </c>
      <c r="BL657" t="inlineStr">
        <is>
          <t>X</t>
        </is>
      </c>
      <c r="BP657" t="inlineStr">
        <is>
          <t>X</t>
        </is>
      </c>
      <c r="BR657" t="inlineStr">
        <is>
          <t>X</t>
        </is>
      </c>
      <c r="BS657" t="inlineStr">
        <is>
          <t>X</t>
        </is>
      </c>
      <c r="BT657" t="inlineStr">
        <is>
          <t>X</t>
        </is>
      </c>
      <c r="BV657" t="inlineStr">
        <is>
          <t>X</t>
        </is>
      </c>
      <c r="BY657" t="inlineStr">
        <is>
          <t>D</t>
        </is>
      </c>
      <c r="CA657" t="inlineStr">
        <is>
          <t>X</t>
        </is>
      </c>
      <c r="CC657" t="inlineStr">
        <is>
          <t>D</t>
        </is>
      </c>
      <c r="CG657" t="inlineStr">
        <is>
          <t>X</t>
        </is>
      </c>
      <c r="CH657" t="inlineStr">
        <is>
          <t>D</t>
        </is>
      </c>
      <c r="CK657" t="inlineStr">
        <is>
          <t>X</t>
        </is>
      </c>
      <c r="CL657" t="inlineStr">
        <is>
          <t>D</t>
        </is>
      </c>
      <c r="CN657" t="inlineStr">
        <is>
          <t>X</t>
        </is>
      </c>
      <c r="CO657" t="inlineStr">
        <is>
          <t>D</t>
        </is>
      </c>
      <c r="CP657" t="inlineStr">
        <is>
          <t>X</t>
        </is>
      </c>
      <c r="CQ657" t="inlineStr">
        <is>
          <t>D</t>
        </is>
      </c>
      <c r="CT657" t="inlineStr">
        <is>
          <t>X</t>
        </is>
      </c>
      <c r="CU657" t="inlineStr">
        <is>
          <t>D</t>
        </is>
      </c>
      <c r="CV657" t="inlineStr">
        <is>
          <t>X</t>
        </is>
      </c>
      <c r="CW657" t="inlineStr">
        <is>
          <t>D</t>
        </is>
      </c>
      <c r="CY657" t="inlineStr">
        <is>
          <t>X</t>
        </is>
      </c>
      <c r="CZ657" t="inlineStr">
        <is>
          <t>D</t>
        </is>
      </c>
      <c r="DC657" t="inlineStr">
        <is>
          <t>X</t>
        </is>
      </c>
      <c r="DD657" t="inlineStr">
        <is>
          <t>D</t>
        </is>
      </c>
      <c r="DF657" t="inlineStr">
        <is>
          <t>X</t>
        </is>
      </c>
      <c r="DG657" t="inlineStr">
        <is>
          <t>D</t>
        </is>
      </c>
      <c r="DI657" t="inlineStr">
        <is>
          <t>X</t>
        </is>
      </c>
      <c r="DJ657" t="inlineStr">
        <is>
          <t>D</t>
        </is>
      </c>
      <c r="DL657" t="inlineStr">
        <is>
          <t>X</t>
        </is>
      </c>
      <c r="DM657" t="inlineStr">
        <is>
          <t>D</t>
        </is>
      </c>
      <c r="DN657" t="inlineStr">
        <is>
          <t>X</t>
        </is>
      </c>
      <c r="DR657" t="inlineStr">
        <is>
          <t>X</t>
        </is>
      </c>
      <c r="DS657" t="inlineStr">
        <is>
          <t>D</t>
        </is>
      </c>
      <c r="DT657" t="inlineStr">
        <is>
          <t>D</t>
        </is>
      </c>
      <c r="DU657" t="inlineStr">
        <is>
          <t>X</t>
        </is>
      </c>
      <c r="DW657" t="inlineStr">
        <is>
          <t>D</t>
        </is>
      </c>
      <c r="DX657" t="inlineStr">
        <is>
          <t>X</t>
        </is>
      </c>
      <c r="EA657" t="inlineStr">
        <is>
          <t>X</t>
        </is>
      </c>
      <c r="ED657" t="inlineStr">
        <is>
          <t>D</t>
        </is>
      </c>
      <c r="EF657" t="inlineStr">
        <is>
          <t>X</t>
        </is>
      </c>
      <c r="EH657" t="inlineStr">
        <is>
          <t>D</t>
        </is>
      </c>
    </row>
    <row r="658">
      <c r="A658" t="inlineStr">
        <is>
          <t>OH0025118144</t>
        </is>
      </c>
      <c r="B658" t="n">
        <v>78</v>
      </c>
      <c r="C658" t="n">
        <v>439861</v>
      </c>
      <c r="D658" t="inlineStr">
        <is>
          <t>THORNE</t>
        </is>
      </c>
      <c r="E658" t="inlineStr">
        <is>
          <t>DAVEDA</t>
        </is>
      </c>
      <c r="F658">
        <f>CONCATENATE(D658," ",LEFT(H658,4),"T=",AU658,"D=",AV658,"R=",AW658,"M=",AX658,"L=",AY658,"B=",AZ658)</f>
        <v/>
      </c>
      <c r="G658" t="inlineStr">
        <is>
          <t>ELAINE</t>
        </is>
      </c>
      <c r="I658" t="inlineStr">
        <is>
          <t>1984-10-19</t>
        </is>
      </c>
      <c r="J658" t="inlineStr">
        <is>
          <t>2019-05-30</t>
        </is>
      </c>
      <c r="K658" t="inlineStr">
        <is>
          <t>CONFIRMATION</t>
        </is>
      </c>
      <c r="M658" t="inlineStr">
        <is>
          <t>861 OAK KNOLL AVE SE</t>
        </is>
      </c>
      <c r="N658">
        <f>RIGHT(M658,LEN(M658)-FIND(" ",M658))</f>
        <v/>
      </c>
      <c r="P658" t="inlineStr">
        <is>
          <t>WARREN</t>
        </is>
      </c>
      <c r="Q658" t="inlineStr">
        <is>
          <t>OH</t>
        </is>
      </c>
      <c r="R658" t="n">
        <v>44484</v>
      </c>
      <c r="AD658" t="inlineStr">
        <is>
          <t>TRUMBULL CAREER &amp; TECH CENTER</t>
        </is>
      </c>
      <c r="AE658" t="inlineStr">
        <is>
          <t>WARREN CITY</t>
        </is>
      </c>
      <c r="AF658" t="inlineStr">
        <is>
          <t>WARREN CITY SD</t>
        </is>
      </c>
      <c r="AH658" t="n">
        <v>14</v>
      </c>
      <c r="AI658" t="n">
        <v>11</v>
      </c>
      <c r="AN658" t="inlineStr">
        <is>
          <t>WARREN</t>
        </is>
      </c>
      <c r="AO658" t="inlineStr">
        <is>
          <t>WARREN CITY 4A</t>
        </is>
      </c>
      <c r="AP658" t="inlineStr">
        <is>
          <t>78-P-ADI</t>
        </is>
      </c>
      <c r="AQ658" t="n">
        <v>9</v>
      </c>
      <c r="AR658" t="n">
        <v>64</v>
      </c>
      <c r="AS658" t="n">
        <v>32</v>
      </c>
      <c r="AU658">
        <f>COUNTA($BA$658:$EH$658)</f>
        <v/>
      </c>
      <c r="AV658">
        <f>COUNTIF($BA$658:$EH$658,"D")</f>
        <v/>
      </c>
      <c r="AW658">
        <f>COUNTIF($BA$658:$EH$658,"R")</f>
        <v/>
      </c>
      <c r="AX658">
        <f>IF(BN658="D",1,0)+IF(BO658="D",1,0)+IF(BT658="D",1,0)+IF(BU658="D",1,0)+IF(BW658="D",1,0)+IF(CC658="D",1,0)+IF(CD658="D",1,0)+IF(CE658="D",1,0)+IF(CF658="D",1,0)+IF(CL658="D",1,0)+IF(CM658="D",1,0)+IF(CQ658="D",1,0)+IF(CR658="D",1,0)+IF(CS658="D",1,0)+IF(CW658="D",1,0)+IF(CX658="D",1,0)+IF(DD658="D",1,0)+IF(DE658="D",1,0)+IF(DJ658="D",1,0)+IF(DK658="D",1,0)+IF(DO658="D",1,0)+IF(DP658="D",1,0)+IF(DQ658="D",1,0)+IF(DW658="D",1,0)+IF(DZ658="D",1,0)+IF(EH658="D",1,0)</f>
        <v/>
      </c>
      <c r="AY658">
        <f>IF(DJ658&lt;&gt;"",1,0)+IF(DK658&lt;&gt;"",1,0)+IF(DM658&lt;&gt;"",1,0)+IF(DO658&lt;&gt;"",1,0)+IF(DP658&lt;&gt;"",1,0)+IF(DQ658&lt;&gt;"",1,0)+IF(DS658&lt;&gt;"",1,0)+IF(DT658&lt;&gt;"",1,0)+IF(DV658&lt;&gt;"",1,0)+IF(DW658&lt;&gt;"",1,0)+IF(DX658&lt;&gt;"",1,0)+IF(DY658&lt;&gt;"",1,0)+IF(DZ658&lt;&gt;"",1,0)+IF(EB658&lt;&gt;"",1,0)+IF(EC658&lt;&gt;"",1,0)+IF(ED658&lt;&gt;"",1,0)+IF(EG658&lt;&gt;"",1,0)+IF(EH658&lt;&gt;"",1,0)</f>
        <v/>
      </c>
      <c r="AZ658">
        <f>IF(EH658&lt;&gt;"",1,0)</f>
        <v/>
      </c>
      <c r="BB658" t="inlineStr">
        <is>
          <t>WARREN-WARD 4</t>
        </is>
      </c>
    </row>
    <row r="659">
      <c r="A659" t="inlineStr">
        <is>
          <t>OH0025657203</t>
        </is>
      </c>
      <c r="B659" t="n">
        <v>78</v>
      </c>
      <c r="C659" t="n">
        <v>448006</v>
      </c>
      <c r="D659" t="inlineStr">
        <is>
          <t>QUISENBERRY</t>
        </is>
      </c>
      <c r="E659" t="inlineStr">
        <is>
          <t>AUSTIN</t>
        </is>
      </c>
      <c r="F659">
        <f>CONCATENATE(D659," ",LEFT(H659,4),"T=",AU659,"D=",AV659,"R=",AW659,"M=",AX659,"L=",AY659,"B=",AZ659)</f>
        <v/>
      </c>
      <c r="I659" t="inlineStr">
        <is>
          <t>1997-07-23</t>
        </is>
      </c>
      <c r="J659" t="inlineStr">
        <is>
          <t>2021-09-24</t>
        </is>
      </c>
      <c r="K659" t="inlineStr">
        <is>
          <t>CONFIRMATION</t>
        </is>
      </c>
      <c r="M659" t="inlineStr">
        <is>
          <t>379 KENILWORTH AVE SE</t>
        </is>
      </c>
      <c r="N659">
        <f>RIGHT(M659,LEN(M659)-FIND(" ",M659))</f>
        <v/>
      </c>
      <c r="P659" t="inlineStr">
        <is>
          <t>WARREN</t>
        </is>
      </c>
      <c r="Q659" t="inlineStr">
        <is>
          <t>OH</t>
        </is>
      </c>
      <c r="R659" t="n">
        <v>44483</v>
      </c>
      <c r="AD659" t="inlineStr">
        <is>
          <t>TRUMBULL CAREER &amp; TECH CENTER</t>
        </is>
      </c>
      <c r="AE659" t="inlineStr">
        <is>
          <t>WARREN CITY</t>
        </is>
      </c>
      <c r="AF659" t="inlineStr">
        <is>
          <t>WARREN CITY SD</t>
        </is>
      </c>
      <c r="AH659" t="n">
        <v>14</v>
      </c>
      <c r="AI659" t="n">
        <v>11</v>
      </c>
      <c r="AN659" t="inlineStr">
        <is>
          <t>WARREN</t>
        </is>
      </c>
      <c r="AO659" t="inlineStr">
        <is>
          <t>WARREN CITY 4A</t>
        </is>
      </c>
      <c r="AP659" t="inlineStr">
        <is>
          <t>78-P-ADI</t>
        </is>
      </c>
      <c r="AQ659" t="n">
        <v>9</v>
      </c>
      <c r="AR659" t="n">
        <v>64</v>
      </c>
      <c r="AS659" t="n">
        <v>32</v>
      </c>
      <c r="AU659">
        <f>COUNTA($BA$659:$EH$659)</f>
        <v/>
      </c>
      <c r="AV659">
        <f>COUNTIF($BA$659:$EH$659,"D")</f>
        <v/>
      </c>
      <c r="AW659">
        <f>COUNTIF($BA$659:$EH$659,"R")</f>
        <v/>
      </c>
      <c r="AX659">
        <f>IF(BN659="D",1,0)+IF(BO659="D",1,0)+IF(BT659="D",1,0)+IF(BU659="D",1,0)+IF(BW659="D",1,0)+IF(CC659="D",1,0)+IF(CD659="D",1,0)+IF(CE659="D",1,0)+IF(CF659="D",1,0)+IF(CL659="D",1,0)+IF(CM659="D",1,0)+IF(CQ659="D",1,0)+IF(CR659="D",1,0)+IF(CS659="D",1,0)+IF(CW659="D",1,0)+IF(CX659="D",1,0)+IF(DD659="D",1,0)+IF(DE659="D",1,0)+IF(DJ659="D",1,0)+IF(DK659="D",1,0)+IF(DO659="D",1,0)+IF(DP659="D",1,0)+IF(DQ659="D",1,0)+IF(DW659="D",1,0)+IF(DZ659="D",1,0)+IF(EH659="D",1,0)</f>
        <v/>
      </c>
      <c r="AY659">
        <f>IF(DJ659&lt;&gt;"",1,0)+IF(DK659&lt;&gt;"",1,0)+IF(DM659&lt;&gt;"",1,0)+IF(DO659&lt;&gt;"",1,0)+IF(DP659&lt;&gt;"",1,0)+IF(DQ659&lt;&gt;"",1,0)+IF(DS659&lt;&gt;"",1,0)+IF(DT659&lt;&gt;"",1,0)+IF(DV659&lt;&gt;"",1,0)+IF(DW659&lt;&gt;"",1,0)+IF(DX659&lt;&gt;"",1,0)+IF(DY659&lt;&gt;"",1,0)+IF(DZ659&lt;&gt;"",1,0)+IF(EB659&lt;&gt;"",1,0)+IF(EC659&lt;&gt;"",1,0)+IF(ED659&lt;&gt;"",1,0)+IF(EG659&lt;&gt;"",1,0)+IF(EH659&lt;&gt;"",1,0)</f>
        <v/>
      </c>
      <c r="AZ659">
        <f>IF(EH659&lt;&gt;"",1,0)</f>
        <v/>
      </c>
      <c r="BB659" t="inlineStr">
        <is>
          <t>WARREN-WARD 4</t>
        </is>
      </c>
      <c r="DC659" t="inlineStr">
        <is>
          <t>X</t>
        </is>
      </c>
    </row>
    <row r="660">
      <c r="A660" t="inlineStr">
        <is>
          <t>OH0027512381</t>
        </is>
      </c>
      <c r="B660" t="n">
        <v>78</v>
      </c>
      <c r="C660" t="n">
        <v>487521</v>
      </c>
      <c r="D660" t="inlineStr">
        <is>
          <t>WHEELER</t>
        </is>
      </c>
      <c r="E660" t="inlineStr">
        <is>
          <t>MELISSA</t>
        </is>
      </c>
      <c r="F660">
        <f>CONCATENATE(D660," ",LEFT(H660,4),"T=",AU660,"D=",AV660,"R=",AW660,"M=",AX660,"L=",AY660,"B=",AZ660)</f>
        <v/>
      </c>
      <c r="G660" t="inlineStr">
        <is>
          <t>ANNA</t>
        </is>
      </c>
      <c r="I660" t="inlineStr">
        <is>
          <t>1995-07-19</t>
        </is>
      </c>
      <c r="J660" t="inlineStr">
        <is>
          <t>2024-08-10</t>
        </is>
      </c>
      <c r="K660" t="inlineStr">
        <is>
          <t>ACTIVE</t>
        </is>
      </c>
      <c r="M660" t="inlineStr">
        <is>
          <t>806 EAST AVE SE</t>
        </is>
      </c>
      <c r="N660">
        <f>RIGHT(M660,LEN(M660)-FIND(" ",M660))</f>
        <v/>
      </c>
      <c r="P660" t="inlineStr">
        <is>
          <t>WARREN</t>
        </is>
      </c>
      <c r="Q660" t="inlineStr">
        <is>
          <t>OH</t>
        </is>
      </c>
      <c r="R660" t="n">
        <v>44484</v>
      </c>
      <c r="AD660" t="inlineStr">
        <is>
          <t>TRUMBULL CAREER &amp; TECH CENTER</t>
        </is>
      </c>
      <c r="AE660" t="inlineStr">
        <is>
          <t>WARREN CITY</t>
        </is>
      </c>
      <c r="AF660" t="inlineStr">
        <is>
          <t>WARREN CITY SD</t>
        </is>
      </c>
      <c r="AH660" t="n">
        <v>14</v>
      </c>
      <c r="AI660" t="n">
        <v>11</v>
      </c>
      <c r="AN660" t="inlineStr">
        <is>
          <t>WARREN</t>
        </is>
      </c>
      <c r="AO660" t="inlineStr">
        <is>
          <t>WARREN CITY 4A</t>
        </is>
      </c>
      <c r="AP660" t="inlineStr">
        <is>
          <t>78-P-ADI</t>
        </is>
      </c>
      <c r="AQ660" t="n">
        <v>9</v>
      </c>
      <c r="AR660" t="n">
        <v>64</v>
      </c>
      <c r="AS660" t="n">
        <v>32</v>
      </c>
      <c r="AU660">
        <f>COUNTA($BA$660:$EH$660)</f>
        <v/>
      </c>
      <c r="AV660">
        <f>COUNTIF($BA$660:$EH$660,"D")</f>
        <v/>
      </c>
      <c r="AW660">
        <f>COUNTIF($BA$660:$EH$660,"R")</f>
        <v/>
      </c>
      <c r="AX660">
        <f>IF(BN660="D",1,0)+IF(BO660="D",1,0)+IF(BT660="D",1,0)+IF(BU660="D",1,0)+IF(BW660="D",1,0)+IF(CC660="D",1,0)+IF(CD660="D",1,0)+IF(CE660="D",1,0)+IF(CF660="D",1,0)+IF(CL660="D",1,0)+IF(CM660="D",1,0)+IF(CQ660="D",1,0)+IF(CR660="D",1,0)+IF(CS660="D",1,0)+IF(CW660="D",1,0)+IF(CX660="D",1,0)+IF(DD660="D",1,0)+IF(DE660="D",1,0)+IF(DJ660="D",1,0)+IF(DK660="D",1,0)+IF(DO660="D",1,0)+IF(DP660="D",1,0)+IF(DQ660="D",1,0)+IF(DW660="D",1,0)+IF(DZ660="D",1,0)+IF(EH660="D",1,0)</f>
        <v/>
      </c>
      <c r="AY660">
        <f>IF(DJ660&lt;&gt;"",1,0)+IF(DK660&lt;&gt;"",1,0)+IF(DM660&lt;&gt;"",1,0)+IF(DO660&lt;&gt;"",1,0)+IF(DP660&lt;&gt;"",1,0)+IF(DQ660&lt;&gt;"",1,0)+IF(DS660&lt;&gt;"",1,0)+IF(DT660&lt;&gt;"",1,0)+IF(DV660&lt;&gt;"",1,0)+IF(DW660&lt;&gt;"",1,0)+IF(DX660&lt;&gt;"",1,0)+IF(DY660&lt;&gt;"",1,0)+IF(DZ660&lt;&gt;"",1,0)+IF(EB660&lt;&gt;"",1,0)+IF(EC660&lt;&gt;"",1,0)+IF(ED660&lt;&gt;"",1,0)+IF(EG660&lt;&gt;"",1,0)+IF(EH660&lt;&gt;"",1,0)</f>
        <v/>
      </c>
      <c r="AZ660">
        <f>IF(EH660&lt;&gt;"",1,0)</f>
        <v/>
      </c>
      <c r="BB660" t="inlineStr">
        <is>
          <t>WARREN-WARD 4</t>
        </is>
      </c>
      <c r="EF660" t="inlineStr">
        <is>
          <t>X</t>
        </is>
      </c>
    </row>
    <row r="661">
      <c r="A661" t="inlineStr">
        <is>
          <t>OH0021800330</t>
        </is>
      </c>
      <c r="B661" t="n">
        <v>78</v>
      </c>
      <c r="C661" t="n">
        <v>387562</v>
      </c>
      <c r="D661" t="inlineStr">
        <is>
          <t>BROWN</t>
        </is>
      </c>
      <c r="E661" t="inlineStr">
        <is>
          <t>STEPHAWN</t>
        </is>
      </c>
      <c r="F661">
        <f>CONCATENATE(D661," ",LEFT(H661,4),"T=",AU661,"D=",AV661,"R=",AW661,"M=",AX661,"L=",AY661,"B=",AZ661)</f>
        <v/>
      </c>
      <c r="G661" t="inlineStr">
        <is>
          <t>K</t>
        </is>
      </c>
      <c r="I661" t="inlineStr">
        <is>
          <t>1993-01-16</t>
        </is>
      </c>
      <c r="J661" t="inlineStr">
        <is>
          <t>2012-06-02</t>
        </is>
      </c>
      <c r="K661" t="inlineStr">
        <is>
          <t>CONFIRMATION</t>
        </is>
      </c>
      <c r="M661" t="inlineStr">
        <is>
          <t>796 KENILWORTH AVE SE</t>
        </is>
      </c>
      <c r="N661">
        <f>RIGHT(M661,LEN(M661)-FIND(" ",M661))</f>
        <v/>
      </c>
      <c r="P661" t="inlineStr">
        <is>
          <t>WARREN</t>
        </is>
      </c>
      <c r="Q661" t="inlineStr">
        <is>
          <t>OH</t>
        </is>
      </c>
      <c r="R661" t="n">
        <v>44484</v>
      </c>
      <c r="AD661" t="inlineStr">
        <is>
          <t>TRUMBULL CAREER &amp; TECH CENTER</t>
        </is>
      </c>
      <c r="AE661" t="inlineStr">
        <is>
          <t>WARREN CITY</t>
        </is>
      </c>
      <c r="AF661" t="inlineStr">
        <is>
          <t>WARREN CITY SD</t>
        </is>
      </c>
      <c r="AH661" t="n">
        <v>14</v>
      </c>
      <c r="AI661" t="n">
        <v>11</v>
      </c>
      <c r="AN661" t="inlineStr">
        <is>
          <t>WARREN</t>
        </is>
      </c>
      <c r="AO661" t="inlineStr">
        <is>
          <t>WARREN CITY 4A</t>
        </is>
      </c>
      <c r="AP661" t="inlineStr">
        <is>
          <t>78-P-ADI</t>
        </is>
      </c>
      <c r="AQ661" t="n">
        <v>9</v>
      </c>
      <c r="AR661" t="n">
        <v>64</v>
      </c>
      <c r="AS661" t="n">
        <v>32</v>
      </c>
      <c r="AU661">
        <f>COUNTA($BA$661:$EH$661)</f>
        <v/>
      </c>
      <c r="AV661">
        <f>COUNTIF($BA$661:$EH$661,"D")</f>
        <v/>
      </c>
      <c r="AW661">
        <f>COUNTIF($BA$661:$EH$661,"R")</f>
        <v/>
      </c>
      <c r="AX661">
        <f>IF(BN661="D",1,0)+IF(BO661="D",1,0)+IF(BT661="D",1,0)+IF(BU661="D",1,0)+IF(BW661="D",1,0)+IF(CC661="D",1,0)+IF(CD661="D",1,0)+IF(CE661="D",1,0)+IF(CF661="D",1,0)+IF(CL661="D",1,0)+IF(CM661="D",1,0)+IF(CQ661="D",1,0)+IF(CR661="D",1,0)+IF(CS661="D",1,0)+IF(CW661="D",1,0)+IF(CX661="D",1,0)+IF(DD661="D",1,0)+IF(DE661="D",1,0)+IF(DJ661="D",1,0)+IF(DK661="D",1,0)+IF(DO661="D",1,0)+IF(DP661="D",1,0)+IF(DQ661="D",1,0)+IF(DW661="D",1,0)+IF(DZ661="D",1,0)+IF(EH661="D",1,0)</f>
        <v/>
      </c>
      <c r="AY661">
        <f>IF(DJ661&lt;&gt;"",1,0)+IF(DK661&lt;&gt;"",1,0)+IF(DM661&lt;&gt;"",1,0)+IF(DO661&lt;&gt;"",1,0)+IF(DP661&lt;&gt;"",1,0)+IF(DQ661&lt;&gt;"",1,0)+IF(DS661&lt;&gt;"",1,0)+IF(DT661&lt;&gt;"",1,0)+IF(DV661&lt;&gt;"",1,0)+IF(DW661&lt;&gt;"",1,0)+IF(DX661&lt;&gt;"",1,0)+IF(DY661&lt;&gt;"",1,0)+IF(DZ661&lt;&gt;"",1,0)+IF(EB661&lt;&gt;"",1,0)+IF(EC661&lt;&gt;"",1,0)+IF(ED661&lt;&gt;"",1,0)+IF(EG661&lt;&gt;"",1,0)+IF(EH661&lt;&gt;"",1,0)</f>
        <v/>
      </c>
      <c r="AZ661">
        <f>IF(EH661&lt;&gt;"",1,0)</f>
        <v/>
      </c>
      <c r="BB661" t="inlineStr">
        <is>
          <t>WARREN-WARD 4</t>
        </is>
      </c>
    </row>
    <row r="662">
      <c r="A662" t="inlineStr">
        <is>
          <t>OH0026688884</t>
        </is>
      </c>
      <c r="B662" t="n">
        <v>78</v>
      </c>
      <c r="C662" t="n">
        <v>466061</v>
      </c>
      <c r="D662" t="inlineStr">
        <is>
          <t>WILLIAMS</t>
        </is>
      </c>
      <c r="E662" t="inlineStr">
        <is>
          <t>CHRISTOPHER</t>
        </is>
      </c>
      <c r="F662">
        <f>CONCATENATE(D662," ",LEFT(H662,4),"T=",AU662,"D=",AV662,"R=",AW662,"M=",AX662,"L=",AY662,"B=",AZ662)</f>
        <v/>
      </c>
      <c r="G662" t="inlineStr">
        <is>
          <t>L</t>
        </is>
      </c>
      <c r="I662" t="inlineStr">
        <is>
          <t>1980-03-02</t>
        </is>
      </c>
      <c r="J662" t="inlineStr">
        <is>
          <t>2024-08-21</t>
        </is>
      </c>
      <c r="K662" t="inlineStr">
        <is>
          <t>ACTIVE</t>
        </is>
      </c>
      <c r="M662" t="inlineStr">
        <is>
          <t>1262 SOUTH ST SE</t>
        </is>
      </c>
      <c r="N662">
        <f>RIGHT(M662,LEN(M662)-FIND(" ",M662))</f>
        <v/>
      </c>
      <c r="P662" t="inlineStr">
        <is>
          <t>WARREN</t>
        </is>
      </c>
      <c r="Q662" t="inlineStr">
        <is>
          <t>OH</t>
        </is>
      </c>
      <c r="R662" t="n">
        <v>44483</v>
      </c>
      <c r="AD662" t="inlineStr">
        <is>
          <t>TRUMBULL CAREER &amp; TECH CENTER</t>
        </is>
      </c>
      <c r="AE662" t="inlineStr">
        <is>
          <t>WARREN CITY</t>
        </is>
      </c>
      <c r="AF662" t="inlineStr">
        <is>
          <t>WARREN CITY SD</t>
        </is>
      </c>
      <c r="AH662" t="n">
        <v>14</v>
      </c>
      <c r="AI662" t="n">
        <v>11</v>
      </c>
      <c r="AN662" t="inlineStr">
        <is>
          <t>WARREN</t>
        </is>
      </c>
      <c r="AO662" t="inlineStr">
        <is>
          <t>WARREN CITY 4A</t>
        </is>
      </c>
      <c r="AP662" t="inlineStr">
        <is>
          <t>78-P-ADI</t>
        </is>
      </c>
      <c r="AQ662" t="n">
        <v>9</v>
      </c>
      <c r="AR662" t="n">
        <v>64</v>
      </c>
      <c r="AS662" t="n">
        <v>32</v>
      </c>
      <c r="AU662">
        <f>COUNTA($BA$662:$EH$662)</f>
        <v/>
      </c>
      <c r="AV662">
        <f>COUNTIF($BA$662:$EH$662,"D")</f>
        <v/>
      </c>
      <c r="AW662">
        <f>COUNTIF($BA$662:$EH$662,"R")</f>
        <v/>
      </c>
      <c r="AX662">
        <f>IF(BN662="D",1,0)+IF(BO662="D",1,0)+IF(BT662="D",1,0)+IF(BU662="D",1,0)+IF(BW662="D",1,0)+IF(CC662="D",1,0)+IF(CD662="D",1,0)+IF(CE662="D",1,0)+IF(CF662="D",1,0)+IF(CL662="D",1,0)+IF(CM662="D",1,0)+IF(CQ662="D",1,0)+IF(CR662="D",1,0)+IF(CS662="D",1,0)+IF(CW662="D",1,0)+IF(CX662="D",1,0)+IF(DD662="D",1,0)+IF(DE662="D",1,0)+IF(DJ662="D",1,0)+IF(DK662="D",1,0)+IF(DO662="D",1,0)+IF(DP662="D",1,0)+IF(DQ662="D",1,0)+IF(DW662="D",1,0)+IF(DZ662="D",1,0)+IF(EH662="D",1,0)</f>
        <v/>
      </c>
      <c r="AY662">
        <f>IF(DJ662&lt;&gt;"",1,0)+IF(DK662&lt;&gt;"",1,0)+IF(DM662&lt;&gt;"",1,0)+IF(DO662&lt;&gt;"",1,0)+IF(DP662&lt;&gt;"",1,0)+IF(DQ662&lt;&gt;"",1,0)+IF(DS662&lt;&gt;"",1,0)+IF(DT662&lt;&gt;"",1,0)+IF(DV662&lt;&gt;"",1,0)+IF(DW662&lt;&gt;"",1,0)+IF(DX662&lt;&gt;"",1,0)+IF(DY662&lt;&gt;"",1,0)+IF(DZ662&lt;&gt;"",1,0)+IF(EB662&lt;&gt;"",1,0)+IF(EC662&lt;&gt;"",1,0)+IF(ED662&lt;&gt;"",1,0)+IF(EG662&lt;&gt;"",1,0)+IF(EH662&lt;&gt;"",1,0)</f>
        <v/>
      </c>
      <c r="AZ662">
        <f>IF(EH662&lt;&gt;"",1,0)</f>
        <v/>
      </c>
      <c r="BB662" t="inlineStr">
        <is>
          <t>WARREN-WARD 4</t>
        </is>
      </c>
    </row>
    <row r="663">
      <c r="A663" t="inlineStr">
        <is>
          <t>OH0026586179</t>
        </is>
      </c>
      <c r="B663" t="n">
        <v>78</v>
      </c>
      <c r="C663" t="n">
        <v>464634</v>
      </c>
      <c r="D663" t="inlineStr">
        <is>
          <t>LOVE</t>
        </is>
      </c>
      <c r="E663" t="inlineStr">
        <is>
          <t>CASEY</t>
        </is>
      </c>
      <c r="F663">
        <f>CONCATENATE(D663," ",LEFT(H663,4),"T=",AU663,"D=",AV663,"R=",AW663,"M=",AX663,"L=",AY663,"B=",AZ663)</f>
        <v/>
      </c>
      <c r="G663" t="inlineStr">
        <is>
          <t>W</t>
        </is>
      </c>
      <c r="I663" t="inlineStr">
        <is>
          <t>2000-10-15</t>
        </is>
      </c>
      <c r="J663" t="inlineStr">
        <is>
          <t>2022-10-11</t>
        </is>
      </c>
      <c r="K663" t="inlineStr">
        <is>
          <t>ACTIVE</t>
        </is>
      </c>
      <c r="L663" t="inlineStr">
        <is>
          <t>R</t>
        </is>
      </c>
      <c r="M663" t="inlineStr">
        <is>
          <t>790 OAK KNOLL AVE SE</t>
        </is>
      </c>
      <c r="N663">
        <f>RIGHT(M663,LEN(M663)-FIND(" ",M663))</f>
        <v/>
      </c>
      <c r="P663" t="inlineStr">
        <is>
          <t>WARREN</t>
        </is>
      </c>
      <c r="Q663" t="inlineStr">
        <is>
          <t>OH</t>
        </is>
      </c>
      <c r="R663" t="n">
        <v>44484</v>
      </c>
      <c r="AD663" t="inlineStr">
        <is>
          <t>TRUMBULL CAREER &amp; TECH CENTER</t>
        </is>
      </c>
      <c r="AE663" t="inlineStr">
        <is>
          <t>WARREN CITY</t>
        </is>
      </c>
      <c r="AF663" t="inlineStr">
        <is>
          <t>WARREN CITY SD</t>
        </is>
      </c>
      <c r="AH663" t="n">
        <v>14</v>
      </c>
      <c r="AI663" t="n">
        <v>11</v>
      </c>
      <c r="AN663" t="inlineStr">
        <is>
          <t>WARREN</t>
        </is>
      </c>
      <c r="AO663" t="inlineStr">
        <is>
          <t>WARREN CITY 4A</t>
        </is>
      </c>
      <c r="AP663" t="inlineStr">
        <is>
          <t>78-P-ADI</t>
        </is>
      </c>
      <c r="AQ663" t="n">
        <v>9</v>
      </c>
      <c r="AR663" t="n">
        <v>64</v>
      </c>
      <c r="AS663" t="n">
        <v>32</v>
      </c>
      <c r="AU663">
        <f>COUNTA($BA$663:$EH$663)</f>
        <v/>
      </c>
      <c r="AV663">
        <f>COUNTIF($BA$663:$EH$663,"D")</f>
        <v/>
      </c>
      <c r="AW663">
        <f>COUNTIF($BA$663:$EH$663,"R")</f>
        <v/>
      </c>
      <c r="AX663">
        <f>IF(BN663="D",1,0)+IF(BO663="D",1,0)+IF(BT663="D",1,0)+IF(BU663="D",1,0)+IF(BW663="D",1,0)+IF(CC663="D",1,0)+IF(CD663="D",1,0)+IF(CE663="D",1,0)+IF(CF663="D",1,0)+IF(CL663="D",1,0)+IF(CM663="D",1,0)+IF(CQ663="D",1,0)+IF(CR663="D",1,0)+IF(CS663="D",1,0)+IF(CW663="D",1,0)+IF(CX663="D",1,0)+IF(DD663="D",1,0)+IF(DE663="D",1,0)+IF(DJ663="D",1,0)+IF(DK663="D",1,0)+IF(DO663="D",1,0)+IF(DP663="D",1,0)+IF(DQ663="D",1,0)+IF(DW663="D",1,0)+IF(DZ663="D",1,0)+IF(EH663="D",1,0)</f>
        <v/>
      </c>
      <c r="AY663">
        <f>IF(DJ663&lt;&gt;"",1,0)+IF(DK663&lt;&gt;"",1,0)+IF(DM663&lt;&gt;"",1,0)+IF(DO663&lt;&gt;"",1,0)+IF(DP663&lt;&gt;"",1,0)+IF(DQ663&lt;&gt;"",1,0)+IF(DS663&lt;&gt;"",1,0)+IF(DT663&lt;&gt;"",1,0)+IF(DV663&lt;&gt;"",1,0)+IF(DW663&lt;&gt;"",1,0)+IF(DX663&lt;&gt;"",1,0)+IF(DY663&lt;&gt;"",1,0)+IF(DZ663&lt;&gt;"",1,0)+IF(EB663&lt;&gt;"",1,0)+IF(EC663&lt;&gt;"",1,0)+IF(ED663&lt;&gt;"",1,0)+IF(EG663&lt;&gt;"",1,0)+IF(EH663&lt;&gt;"",1,0)</f>
        <v/>
      </c>
      <c r="AZ663">
        <f>IF(EH663&lt;&gt;"",1,0)</f>
        <v/>
      </c>
      <c r="BB663" t="inlineStr">
        <is>
          <t>WARREN-WARD 4</t>
        </is>
      </c>
      <c r="DU663" t="inlineStr">
        <is>
          <t>X</t>
        </is>
      </c>
      <c r="DX663" t="inlineStr">
        <is>
          <t>X</t>
        </is>
      </c>
      <c r="EA663" t="inlineStr">
        <is>
          <t>X</t>
        </is>
      </c>
      <c r="ED663" t="inlineStr">
        <is>
          <t>R</t>
        </is>
      </c>
      <c r="EF663" t="inlineStr">
        <is>
          <t>X</t>
        </is>
      </c>
    </row>
    <row r="664">
      <c r="A664" t="inlineStr">
        <is>
          <t>OH0024391863</t>
        </is>
      </c>
      <c r="B664" t="n">
        <v>78</v>
      </c>
      <c r="C664" t="n">
        <v>427865</v>
      </c>
      <c r="D664" t="inlineStr">
        <is>
          <t>CAMPBELL</t>
        </is>
      </c>
      <c r="E664" t="inlineStr">
        <is>
          <t>JAMES</t>
        </is>
      </c>
      <c r="F664">
        <f>CONCATENATE(D664," ",LEFT(H664,4),"T=",AU664,"D=",AV664,"R=",AW664,"M=",AX664,"L=",AY664,"B=",AZ664)</f>
        <v/>
      </c>
      <c r="G664" t="inlineStr">
        <is>
          <t>T</t>
        </is>
      </c>
      <c r="I664" t="inlineStr">
        <is>
          <t>1985-07-23</t>
        </is>
      </c>
      <c r="J664" t="inlineStr">
        <is>
          <t>2024-07-31</t>
        </is>
      </c>
      <c r="K664" t="inlineStr">
        <is>
          <t>ACTIVE</t>
        </is>
      </c>
      <c r="M664" t="inlineStr">
        <is>
          <t>219 CHARLES AVE SE</t>
        </is>
      </c>
      <c r="N664">
        <f>RIGHT(M664,LEN(M664)-FIND(" ",M664))</f>
        <v/>
      </c>
      <c r="O664" t="inlineStr">
        <is>
          <t>APT 3</t>
        </is>
      </c>
      <c r="P664" t="inlineStr">
        <is>
          <t>WARREN</t>
        </is>
      </c>
      <c r="Q664" t="inlineStr">
        <is>
          <t>OH</t>
        </is>
      </c>
      <c r="R664" t="n">
        <v>44483</v>
      </c>
      <c r="AD664" t="inlineStr">
        <is>
          <t>TRUMBULL CAREER &amp; TECH CENTER</t>
        </is>
      </c>
      <c r="AE664" t="inlineStr">
        <is>
          <t>WARREN CITY</t>
        </is>
      </c>
      <c r="AF664" t="inlineStr">
        <is>
          <t>WARREN CITY SD</t>
        </is>
      </c>
      <c r="AH664" t="n">
        <v>14</v>
      </c>
      <c r="AI664" t="n">
        <v>11</v>
      </c>
      <c r="AN664" t="inlineStr">
        <is>
          <t>WARREN</t>
        </is>
      </c>
      <c r="AO664" t="inlineStr">
        <is>
          <t>WARREN CITY 4A</t>
        </is>
      </c>
      <c r="AP664" t="inlineStr">
        <is>
          <t>78-P-ADI</t>
        </is>
      </c>
      <c r="AQ664" t="n">
        <v>9</v>
      </c>
      <c r="AR664" t="n">
        <v>64</v>
      </c>
      <c r="AS664" t="n">
        <v>32</v>
      </c>
      <c r="AU664">
        <f>COUNTA($BA$664:$EH$664)</f>
        <v/>
      </c>
      <c r="AV664">
        <f>COUNTIF($BA$664:$EH$664,"D")</f>
        <v/>
      </c>
      <c r="AW664">
        <f>COUNTIF($BA$664:$EH$664,"R")</f>
        <v/>
      </c>
      <c r="AX664">
        <f>IF(BN664="D",1,0)+IF(BO664="D",1,0)+IF(BT664="D",1,0)+IF(BU664="D",1,0)+IF(BW664="D",1,0)+IF(CC664="D",1,0)+IF(CD664="D",1,0)+IF(CE664="D",1,0)+IF(CF664="D",1,0)+IF(CL664="D",1,0)+IF(CM664="D",1,0)+IF(CQ664="D",1,0)+IF(CR664="D",1,0)+IF(CS664="D",1,0)+IF(CW664="D",1,0)+IF(CX664="D",1,0)+IF(DD664="D",1,0)+IF(DE664="D",1,0)+IF(DJ664="D",1,0)+IF(DK664="D",1,0)+IF(DO664="D",1,0)+IF(DP664="D",1,0)+IF(DQ664="D",1,0)+IF(DW664="D",1,0)+IF(DZ664="D",1,0)+IF(EH664="D",1,0)</f>
        <v/>
      </c>
      <c r="AY664">
        <f>IF(DJ664&lt;&gt;"",1,0)+IF(DK664&lt;&gt;"",1,0)+IF(DM664&lt;&gt;"",1,0)+IF(DO664&lt;&gt;"",1,0)+IF(DP664&lt;&gt;"",1,0)+IF(DQ664&lt;&gt;"",1,0)+IF(DS664&lt;&gt;"",1,0)+IF(DT664&lt;&gt;"",1,0)+IF(DV664&lt;&gt;"",1,0)+IF(DW664&lt;&gt;"",1,0)+IF(DX664&lt;&gt;"",1,0)+IF(DY664&lt;&gt;"",1,0)+IF(DZ664&lt;&gt;"",1,0)+IF(EB664&lt;&gt;"",1,0)+IF(EC664&lt;&gt;"",1,0)+IF(ED664&lt;&gt;"",1,0)+IF(EG664&lt;&gt;"",1,0)+IF(EH664&lt;&gt;"",1,0)</f>
        <v/>
      </c>
      <c r="AZ664">
        <f>IF(EH664&lt;&gt;"",1,0)</f>
        <v/>
      </c>
      <c r="BB664" t="inlineStr">
        <is>
          <t>WARREN-WARD 4</t>
        </is>
      </c>
      <c r="BL664" t="inlineStr">
        <is>
          <t>X</t>
        </is>
      </c>
    </row>
    <row r="665">
      <c r="A665" t="inlineStr">
        <is>
          <t>OH0015685104</t>
        </is>
      </c>
      <c r="B665" t="n">
        <v>78</v>
      </c>
      <c r="C665" t="n">
        <v>283733</v>
      </c>
      <c r="D665" t="inlineStr">
        <is>
          <t>WILLIAMS</t>
        </is>
      </c>
      <c r="E665" t="inlineStr">
        <is>
          <t>NATASHA</t>
        </is>
      </c>
      <c r="F665">
        <f>CONCATENATE(D665," ",LEFT(H665,4),"T=",AU665,"D=",AV665,"R=",AW665,"M=",AX665,"L=",AY665,"B=",AZ665)</f>
        <v/>
      </c>
      <c r="G665" t="inlineStr">
        <is>
          <t>D</t>
        </is>
      </c>
      <c r="I665" t="inlineStr">
        <is>
          <t>1980-01-08</t>
        </is>
      </c>
      <c r="J665" t="inlineStr">
        <is>
          <t>2015-08-29</t>
        </is>
      </c>
      <c r="K665" t="inlineStr">
        <is>
          <t>CONFIRMATION</t>
        </is>
      </c>
      <c r="M665" t="inlineStr">
        <is>
          <t>804 KENILWORTH AVE SE</t>
        </is>
      </c>
      <c r="N665">
        <f>RIGHT(M665,LEN(M665)-FIND(" ",M665))</f>
        <v/>
      </c>
      <c r="P665" t="inlineStr">
        <is>
          <t>WARREN</t>
        </is>
      </c>
      <c r="Q665" t="inlineStr">
        <is>
          <t>OH</t>
        </is>
      </c>
      <c r="R665" t="n">
        <v>44484</v>
      </c>
      <c r="AD665" t="inlineStr">
        <is>
          <t>TRUMBULL CAREER &amp; TECH CENTER</t>
        </is>
      </c>
      <c r="AE665" t="inlineStr">
        <is>
          <t>WARREN CITY</t>
        </is>
      </c>
      <c r="AF665" t="inlineStr">
        <is>
          <t>WARREN CITY SD</t>
        </is>
      </c>
      <c r="AH665" t="n">
        <v>14</v>
      </c>
      <c r="AI665" t="n">
        <v>11</v>
      </c>
      <c r="AN665" t="inlineStr">
        <is>
          <t>WARREN</t>
        </is>
      </c>
      <c r="AO665" t="inlineStr">
        <is>
          <t>WARREN CITY 4A</t>
        </is>
      </c>
      <c r="AP665" t="inlineStr">
        <is>
          <t>78-P-ADI</t>
        </is>
      </c>
      <c r="AQ665" t="n">
        <v>9</v>
      </c>
      <c r="AR665" t="n">
        <v>64</v>
      </c>
      <c r="AS665" t="n">
        <v>32</v>
      </c>
      <c r="AU665">
        <f>COUNTA($BA$665:$EH$665)</f>
        <v/>
      </c>
      <c r="AV665">
        <f>COUNTIF($BA$665:$EH$665,"D")</f>
        <v/>
      </c>
      <c r="AW665">
        <f>COUNTIF($BA$665:$EH$665,"R")</f>
        <v/>
      </c>
      <c r="AX665">
        <f>IF(BN665="D",1,0)+IF(BO665="D",1,0)+IF(BT665="D",1,0)+IF(BU665="D",1,0)+IF(BW665="D",1,0)+IF(CC665="D",1,0)+IF(CD665="D",1,0)+IF(CE665="D",1,0)+IF(CF665="D",1,0)+IF(CL665="D",1,0)+IF(CM665="D",1,0)+IF(CQ665="D",1,0)+IF(CR665="D",1,0)+IF(CS665="D",1,0)+IF(CW665="D",1,0)+IF(CX665="D",1,0)+IF(DD665="D",1,0)+IF(DE665="D",1,0)+IF(DJ665="D",1,0)+IF(DK665="D",1,0)+IF(DO665="D",1,0)+IF(DP665="D",1,0)+IF(DQ665="D",1,0)+IF(DW665="D",1,0)+IF(DZ665="D",1,0)+IF(EH665="D",1,0)</f>
        <v/>
      </c>
      <c r="AY665">
        <f>IF(DJ665&lt;&gt;"",1,0)+IF(DK665&lt;&gt;"",1,0)+IF(DM665&lt;&gt;"",1,0)+IF(DO665&lt;&gt;"",1,0)+IF(DP665&lt;&gt;"",1,0)+IF(DQ665&lt;&gt;"",1,0)+IF(DS665&lt;&gt;"",1,0)+IF(DT665&lt;&gt;"",1,0)+IF(DV665&lt;&gt;"",1,0)+IF(DW665&lt;&gt;"",1,0)+IF(DX665&lt;&gt;"",1,0)+IF(DY665&lt;&gt;"",1,0)+IF(DZ665&lt;&gt;"",1,0)+IF(EB665&lt;&gt;"",1,0)+IF(EC665&lt;&gt;"",1,0)+IF(ED665&lt;&gt;"",1,0)+IF(EG665&lt;&gt;"",1,0)+IF(EH665&lt;&gt;"",1,0)</f>
        <v/>
      </c>
      <c r="AZ665">
        <f>IF(EH665&lt;&gt;"",1,0)</f>
        <v/>
      </c>
      <c r="BB665" t="inlineStr">
        <is>
          <t>WARREN-WARD 4</t>
        </is>
      </c>
      <c r="BL665" t="inlineStr">
        <is>
          <t>X</t>
        </is>
      </c>
      <c r="BV665" t="inlineStr">
        <is>
          <t>X</t>
        </is>
      </c>
      <c r="CA665" t="inlineStr">
        <is>
          <t>X</t>
        </is>
      </c>
      <c r="CN665" t="inlineStr">
        <is>
          <t>X</t>
        </is>
      </c>
      <c r="CP665" t="inlineStr">
        <is>
          <t>X</t>
        </is>
      </c>
      <c r="CV665" t="inlineStr">
        <is>
          <t>X</t>
        </is>
      </c>
      <c r="CY665" t="inlineStr">
        <is>
          <t>X</t>
        </is>
      </c>
      <c r="CZ665" t="inlineStr">
        <is>
          <t>D</t>
        </is>
      </c>
      <c r="DC665" t="inlineStr">
        <is>
          <t>X</t>
        </is>
      </c>
      <c r="DI665" t="inlineStr">
        <is>
          <t>X</t>
        </is>
      </c>
      <c r="DN665" t="inlineStr">
        <is>
          <t>X</t>
        </is>
      </c>
    </row>
    <row r="666">
      <c r="A666" t="inlineStr">
        <is>
          <t>OH0026518864</t>
        </is>
      </c>
      <c r="B666" t="n">
        <v>78</v>
      </c>
      <c r="C666" t="n">
        <v>463527</v>
      </c>
      <c r="D666" t="inlineStr">
        <is>
          <t>UYGUN</t>
        </is>
      </c>
      <c r="E666" t="inlineStr">
        <is>
          <t>KILEE</t>
        </is>
      </c>
      <c r="F666">
        <f>CONCATENATE(D666," ",LEFT(H666,4),"T=",AU666,"D=",AV666,"R=",AW666,"M=",AX666,"L=",AY666,"B=",AZ666)</f>
        <v/>
      </c>
      <c r="G666" t="inlineStr">
        <is>
          <t>JAZMINE ANN</t>
        </is>
      </c>
      <c r="I666" t="inlineStr">
        <is>
          <t>1999-07-20</t>
        </is>
      </c>
      <c r="J666" t="inlineStr">
        <is>
          <t>2022-05-19</t>
        </is>
      </c>
      <c r="K666" t="inlineStr">
        <is>
          <t>ACTIVE</t>
        </is>
      </c>
      <c r="M666" t="inlineStr">
        <is>
          <t>221 CHARLES AVE SE</t>
        </is>
      </c>
      <c r="N666">
        <f>RIGHT(M666,LEN(M666)-FIND(" ",M666))</f>
        <v/>
      </c>
      <c r="O666" t="inlineStr">
        <is>
          <t>APT 3</t>
        </is>
      </c>
      <c r="P666" t="inlineStr">
        <is>
          <t>WARREN</t>
        </is>
      </c>
      <c r="Q666" t="inlineStr">
        <is>
          <t>OH</t>
        </is>
      </c>
      <c r="R666" t="n">
        <v>44483</v>
      </c>
      <c r="AD666" t="inlineStr">
        <is>
          <t>TRUMBULL CAREER &amp; TECH CENTER</t>
        </is>
      </c>
      <c r="AE666" t="inlineStr">
        <is>
          <t>WARREN CITY</t>
        </is>
      </c>
      <c r="AF666" t="inlineStr">
        <is>
          <t>WARREN CITY SD</t>
        </is>
      </c>
      <c r="AH666" t="n">
        <v>14</v>
      </c>
      <c r="AI666" t="n">
        <v>11</v>
      </c>
      <c r="AN666" t="inlineStr">
        <is>
          <t>WARREN</t>
        </is>
      </c>
      <c r="AO666" t="inlineStr">
        <is>
          <t>WARREN CITY 4A</t>
        </is>
      </c>
      <c r="AP666" t="inlineStr">
        <is>
          <t>78-P-ADI</t>
        </is>
      </c>
      <c r="AQ666" t="n">
        <v>9</v>
      </c>
      <c r="AR666" t="n">
        <v>64</v>
      </c>
      <c r="AS666" t="n">
        <v>32</v>
      </c>
      <c r="AU666">
        <f>COUNTA($BA$666:$EH$666)</f>
        <v/>
      </c>
      <c r="AV666">
        <f>COUNTIF($BA$666:$EH$666,"D")</f>
        <v/>
      </c>
      <c r="AW666">
        <f>COUNTIF($BA$666:$EH$666,"R")</f>
        <v/>
      </c>
      <c r="AX666">
        <f>IF(BN666="D",1,0)+IF(BO666="D",1,0)+IF(BT666="D",1,0)+IF(BU666="D",1,0)+IF(BW666="D",1,0)+IF(CC666="D",1,0)+IF(CD666="D",1,0)+IF(CE666="D",1,0)+IF(CF666="D",1,0)+IF(CL666="D",1,0)+IF(CM666="D",1,0)+IF(CQ666="D",1,0)+IF(CR666="D",1,0)+IF(CS666="D",1,0)+IF(CW666="D",1,0)+IF(CX666="D",1,0)+IF(DD666="D",1,0)+IF(DE666="D",1,0)+IF(DJ666="D",1,0)+IF(DK666="D",1,0)+IF(DO666="D",1,0)+IF(DP666="D",1,0)+IF(DQ666="D",1,0)+IF(DW666="D",1,0)+IF(DZ666="D",1,0)+IF(EH666="D",1,0)</f>
        <v/>
      </c>
      <c r="AY666">
        <f>IF(DJ666&lt;&gt;"",1,0)+IF(DK666&lt;&gt;"",1,0)+IF(DM666&lt;&gt;"",1,0)+IF(DO666&lt;&gt;"",1,0)+IF(DP666&lt;&gt;"",1,0)+IF(DQ666&lt;&gt;"",1,0)+IF(DS666&lt;&gt;"",1,0)+IF(DT666&lt;&gt;"",1,0)+IF(DV666&lt;&gt;"",1,0)+IF(DW666&lt;&gt;"",1,0)+IF(DX666&lt;&gt;"",1,0)+IF(DY666&lt;&gt;"",1,0)+IF(DZ666&lt;&gt;"",1,0)+IF(EB666&lt;&gt;"",1,0)+IF(EC666&lt;&gt;"",1,0)+IF(ED666&lt;&gt;"",1,0)+IF(EG666&lt;&gt;"",1,0)+IF(EH666&lt;&gt;"",1,0)</f>
        <v/>
      </c>
      <c r="AZ666">
        <f>IF(EH666&lt;&gt;"",1,0)</f>
        <v/>
      </c>
      <c r="BB666" t="inlineStr">
        <is>
          <t>WARREN-WARD 4</t>
        </is>
      </c>
    </row>
    <row r="667">
      <c r="A667" t="inlineStr">
        <is>
          <t>OH0019492258</t>
        </is>
      </c>
      <c r="B667" t="n">
        <v>78</v>
      </c>
      <c r="C667" t="n">
        <v>354519</v>
      </c>
      <c r="D667" t="inlineStr">
        <is>
          <t>SCISINGER</t>
        </is>
      </c>
      <c r="E667" t="inlineStr">
        <is>
          <t>CAROL</t>
        </is>
      </c>
      <c r="F667">
        <f>CONCATENATE(D667," ",LEFT(H667,4),"T=",AU667,"D=",AV667,"R=",AW667,"M=",AX667,"L=",AY667,"B=",AZ667)</f>
        <v/>
      </c>
      <c r="G667" t="inlineStr">
        <is>
          <t>M</t>
        </is>
      </c>
      <c r="I667" t="inlineStr">
        <is>
          <t>1946-02-18</t>
        </is>
      </c>
      <c r="J667" t="inlineStr">
        <is>
          <t>2013-02-14</t>
        </is>
      </c>
      <c r="K667" t="inlineStr">
        <is>
          <t>ACTIVE</t>
        </is>
      </c>
      <c r="M667" t="inlineStr">
        <is>
          <t>890 OAK KNOLL AVE SE</t>
        </is>
      </c>
      <c r="N667">
        <f>RIGHT(M667,LEN(M667)-FIND(" ",M667))</f>
        <v/>
      </c>
      <c r="P667" t="inlineStr">
        <is>
          <t>WARREN</t>
        </is>
      </c>
      <c r="Q667" t="inlineStr">
        <is>
          <t>OH</t>
        </is>
      </c>
      <c r="R667" t="n">
        <v>44484</v>
      </c>
      <c r="AD667" t="inlineStr">
        <is>
          <t>TRUMBULL CAREER &amp; TECH CENTER</t>
        </is>
      </c>
      <c r="AE667" t="inlineStr">
        <is>
          <t>WARREN CITY</t>
        </is>
      </c>
      <c r="AF667" t="inlineStr">
        <is>
          <t>WARREN CITY SD</t>
        </is>
      </c>
      <c r="AH667" t="n">
        <v>14</v>
      </c>
      <c r="AI667" t="n">
        <v>11</v>
      </c>
      <c r="AN667" t="inlineStr">
        <is>
          <t>WARREN</t>
        </is>
      </c>
      <c r="AO667" t="inlineStr">
        <is>
          <t>WARREN CITY 4A</t>
        </is>
      </c>
      <c r="AP667" t="inlineStr">
        <is>
          <t>78-P-ADI</t>
        </is>
      </c>
      <c r="AQ667" t="n">
        <v>9</v>
      </c>
      <c r="AR667" t="n">
        <v>64</v>
      </c>
      <c r="AS667" t="n">
        <v>32</v>
      </c>
      <c r="AU667">
        <f>COUNTA($BA$667:$EH$667)</f>
        <v/>
      </c>
      <c r="AV667">
        <f>COUNTIF($BA$667:$EH$667,"D")</f>
        <v/>
      </c>
      <c r="AW667">
        <f>COUNTIF($BA$667:$EH$667,"R")</f>
        <v/>
      </c>
      <c r="AX667">
        <f>IF(BN667="D",1,0)+IF(BO667="D",1,0)+IF(BT667="D",1,0)+IF(BU667="D",1,0)+IF(BW667="D",1,0)+IF(CC667="D",1,0)+IF(CD667="D",1,0)+IF(CE667="D",1,0)+IF(CF667="D",1,0)+IF(CL667="D",1,0)+IF(CM667="D",1,0)+IF(CQ667="D",1,0)+IF(CR667="D",1,0)+IF(CS667="D",1,0)+IF(CW667="D",1,0)+IF(CX667="D",1,0)+IF(DD667="D",1,0)+IF(DE667="D",1,0)+IF(DJ667="D",1,0)+IF(DK667="D",1,0)+IF(DO667="D",1,0)+IF(DP667="D",1,0)+IF(DQ667="D",1,0)+IF(DW667="D",1,0)+IF(DZ667="D",1,0)+IF(EH667="D",1,0)</f>
        <v/>
      </c>
      <c r="AY667">
        <f>IF(DJ667&lt;&gt;"",1,0)+IF(DK667&lt;&gt;"",1,0)+IF(DM667&lt;&gt;"",1,0)+IF(DO667&lt;&gt;"",1,0)+IF(DP667&lt;&gt;"",1,0)+IF(DQ667&lt;&gt;"",1,0)+IF(DS667&lt;&gt;"",1,0)+IF(DT667&lt;&gt;"",1,0)+IF(DV667&lt;&gt;"",1,0)+IF(DW667&lt;&gt;"",1,0)+IF(DX667&lt;&gt;"",1,0)+IF(DY667&lt;&gt;"",1,0)+IF(DZ667&lt;&gt;"",1,0)+IF(EB667&lt;&gt;"",1,0)+IF(EC667&lt;&gt;"",1,0)+IF(ED667&lt;&gt;"",1,0)+IF(EG667&lt;&gt;"",1,0)+IF(EH667&lt;&gt;"",1,0)</f>
        <v/>
      </c>
      <c r="AZ667">
        <f>IF(EH667&lt;&gt;"",1,0)</f>
        <v/>
      </c>
      <c r="BB667" t="inlineStr">
        <is>
          <t>WARREN-WARD 4</t>
        </is>
      </c>
      <c r="BY667" t="inlineStr">
        <is>
          <t>D</t>
        </is>
      </c>
      <c r="CA667" t="inlineStr">
        <is>
          <t>X</t>
        </is>
      </c>
      <c r="CP667" t="inlineStr">
        <is>
          <t>X</t>
        </is>
      </c>
      <c r="DC667" t="inlineStr">
        <is>
          <t>X</t>
        </is>
      </c>
      <c r="DI667" t="inlineStr">
        <is>
          <t>X</t>
        </is>
      </c>
      <c r="DM667" t="inlineStr">
        <is>
          <t>D</t>
        </is>
      </c>
      <c r="DN667" t="inlineStr">
        <is>
          <t>X</t>
        </is>
      </c>
      <c r="DU667" t="inlineStr">
        <is>
          <t>X</t>
        </is>
      </c>
      <c r="EF667" t="inlineStr">
        <is>
          <t>X</t>
        </is>
      </c>
    </row>
    <row r="668">
      <c r="A668" t="inlineStr">
        <is>
          <t>OH0027544296</t>
        </is>
      </c>
      <c r="B668" t="n">
        <v>78</v>
      </c>
      <c r="C668" t="n">
        <v>488205</v>
      </c>
      <c r="D668" t="inlineStr">
        <is>
          <t>ALLISON</t>
        </is>
      </c>
      <c r="E668" t="inlineStr">
        <is>
          <t>CASEY</t>
        </is>
      </c>
      <c r="F668">
        <f>CONCATENATE(D668," ",LEFT(H668,4),"T=",AU668,"D=",AV668,"R=",AW668,"M=",AX668,"L=",AY668,"B=",AZ668)</f>
        <v/>
      </c>
      <c r="G668" t="inlineStr">
        <is>
          <t>W</t>
        </is>
      </c>
      <c r="I668" t="inlineStr">
        <is>
          <t>2000-10-24</t>
        </is>
      </c>
      <c r="J668" t="inlineStr">
        <is>
          <t>2024-08-21</t>
        </is>
      </c>
      <c r="K668" t="inlineStr">
        <is>
          <t>ACTIVE</t>
        </is>
      </c>
      <c r="M668" t="inlineStr">
        <is>
          <t>206 LAIRD AVE SE</t>
        </is>
      </c>
      <c r="N668">
        <f>RIGHT(M668,LEN(M668)-FIND(" ",M668))</f>
        <v/>
      </c>
      <c r="P668" t="inlineStr">
        <is>
          <t>WARREN</t>
        </is>
      </c>
      <c r="Q668" t="inlineStr">
        <is>
          <t>OH</t>
        </is>
      </c>
      <c r="R668" t="n">
        <v>44483</v>
      </c>
      <c r="AD668" t="inlineStr">
        <is>
          <t>TRUMBULL CAREER &amp; TECH CENTER</t>
        </is>
      </c>
      <c r="AE668" t="inlineStr">
        <is>
          <t>WARREN CITY</t>
        </is>
      </c>
      <c r="AF668" t="inlineStr">
        <is>
          <t>WARREN CITY SD</t>
        </is>
      </c>
      <c r="AH668" t="n">
        <v>14</v>
      </c>
      <c r="AI668" t="n">
        <v>11</v>
      </c>
      <c r="AN668" t="inlineStr">
        <is>
          <t>WARREN</t>
        </is>
      </c>
      <c r="AO668" t="inlineStr">
        <is>
          <t>WARREN CITY 4A</t>
        </is>
      </c>
      <c r="AP668" t="inlineStr">
        <is>
          <t>78-P-ADI</t>
        </is>
      </c>
      <c r="AQ668" t="n">
        <v>9</v>
      </c>
      <c r="AR668" t="n">
        <v>64</v>
      </c>
      <c r="AS668" t="n">
        <v>32</v>
      </c>
      <c r="AU668">
        <f>COUNTA($BA$668:$EH$668)</f>
        <v/>
      </c>
      <c r="AV668">
        <f>COUNTIF($BA$668:$EH$668,"D")</f>
        <v/>
      </c>
      <c r="AW668">
        <f>COUNTIF($BA$668:$EH$668,"R")</f>
        <v/>
      </c>
      <c r="AX668">
        <f>IF(BN668="D",1,0)+IF(BO668="D",1,0)+IF(BT668="D",1,0)+IF(BU668="D",1,0)+IF(BW668="D",1,0)+IF(CC668="D",1,0)+IF(CD668="D",1,0)+IF(CE668="D",1,0)+IF(CF668="D",1,0)+IF(CL668="D",1,0)+IF(CM668="D",1,0)+IF(CQ668="D",1,0)+IF(CR668="D",1,0)+IF(CS668="D",1,0)+IF(CW668="D",1,0)+IF(CX668="D",1,0)+IF(DD668="D",1,0)+IF(DE668="D",1,0)+IF(DJ668="D",1,0)+IF(DK668="D",1,0)+IF(DO668="D",1,0)+IF(DP668="D",1,0)+IF(DQ668="D",1,0)+IF(DW668="D",1,0)+IF(DZ668="D",1,0)+IF(EH668="D",1,0)</f>
        <v/>
      </c>
      <c r="AY668">
        <f>IF(DJ668&lt;&gt;"",1,0)+IF(DK668&lt;&gt;"",1,0)+IF(DM668&lt;&gt;"",1,0)+IF(DO668&lt;&gt;"",1,0)+IF(DP668&lt;&gt;"",1,0)+IF(DQ668&lt;&gt;"",1,0)+IF(DS668&lt;&gt;"",1,0)+IF(DT668&lt;&gt;"",1,0)+IF(DV668&lt;&gt;"",1,0)+IF(DW668&lt;&gt;"",1,0)+IF(DX668&lt;&gt;"",1,0)+IF(DY668&lt;&gt;"",1,0)+IF(DZ668&lt;&gt;"",1,0)+IF(EB668&lt;&gt;"",1,0)+IF(EC668&lt;&gt;"",1,0)+IF(ED668&lt;&gt;"",1,0)+IF(EG668&lt;&gt;"",1,0)+IF(EH668&lt;&gt;"",1,0)</f>
        <v/>
      </c>
      <c r="AZ668">
        <f>IF(EH668&lt;&gt;"",1,0)</f>
        <v/>
      </c>
      <c r="BB668" t="inlineStr">
        <is>
          <t>WARREN-WARD 4</t>
        </is>
      </c>
    </row>
    <row r="669">
      <c r="A669" t="inlineStr">
        <is>
          <t>OH0015863727</t>
        </is>
      </c>
      <c r="B669" t="n">
        <v>78</v>
      </c>
      <c r="C669" t="n">
        <v>332177</v>
      </c>
      <c r="D669" t="inlineStr">
        <is>
          <t>ANDERSON</t>
        </is>
      </c>
      <c r="E669" t="inlineStr">
        <is>
          <t>WILLIAM</t>
        </is>
      </c>
      <c r="F669">
        <f>CONCATENATE(D669," ",LEFT(H669,4),"T=",AU669,"D=",AV669,"R=",AW669,"M=",AX669,"L=",AY669,"B=",AZ669)</f>
        <v/>
      </c>
      <c r="G669" t="inlineStr">
        <is>
          <t>J</t>
        </is>
      </c>
      <c r="I669" t="inlineStr">
        <is>
          <t>1973-12-23</t>
        </is>
      </c>
      <c r="J669" t="inlineStr">
        <is>
          <t>2019-01-07</t>
        </is>
      </c>
      <c r="K669" t="inlineStr">
        <is>
          <t>ACTIVE</t>
        </is>
      </c>
      <c r="M669" t="inlineStr">
        <is>
          <t>587 WOODBINE AVE SE</t>
        </is>
      </c>
      <c r="N669">
        <f>RIGHT(M669,LEN(M669)-FIND(" ",M669))</f>
        <v/>
      </c>
      <c r="P669" t="inlineStr">
        <is>
          <t>WARREN</t>
        </is>
      </c>
      <c r="Q669" t="inlineStr">
        <is>
          <t>OH</t>
        </is>
      </c>
      <c r="R669" t="n">
        <v>44483</v>
      </c>
      <c r="AD669" t="inlineStr">
        <is>
          <t>TRUMBULL CAREER &amp; TECH CENTER</t>
        </is>
      </c>
      <c r="AE669" t="inlineStr">
        <is>
          <t>WARREN CITY</t>
        </is>
      </c>
      <c r="AF669" t="inlineStr">
        <is>
          <t>WARREN CITY SD</t>
        </is>
      </c>
      <c r="AH669" t="n">
        <v>14</v>
      </c>
      <c r="AI669" t="n">
        <v>11</v>
      </c>
      <c r="AN669" t="inlineStr">
        <is>
          <t>WARREN</t>
        </is>
      </c>
      <c r="AO669" t="inlineStr">
        <is>
          <t>WARREN CITY 4A</t>
        </is>
      </c>
      <c r="AP669" t="inlineStr">
        <is>
          <t>78-P-ADI</t>
        </is>
      </c>
      <c r="AQ669" t="n">
        <v>9</v>
      </c>
      <c r="AR669" t="n">
        <v>64</v>
      </c>
      <c r="AS669" t="n">
        <v>32</v>
      </c>
      <c r="AU669">
        <f>COUNTA($BA$669:$EH$669)</f>
        <v/>
      </c>
      <c r="AV669">
        <f>COUNTIF($BA$669:$EH$669,"D")</f>
        <v/>
      </c>
      <c r="AW669">
        <f>COUNTIF($BA$669:$EH$669,"R")</f>
        <v/>
      </c>
      <c r="AX669">
        <f>IF(BN669="D",1,0)+IF(BO669="D",1,0)+IF(BT669="D",1,0)+IF(BU669="D",1,0)+IF(BW669="D",1,0)+IF(CC669="D",1,0)+IF(CD669="D",1,0)+IF(CE669="D",1,0)+IF(CF669="D",1,0)+IF(CL669="D",1,0)+IF(CM669="D",1,0)+IF(CQ669="D",1,0)+IF(CR669="D",1,0)+IF(CS669="D",1,0)+IF(CW669="D",1,0)+IF(CX669="D",1,0)+IF(DD669="D",1,0)+IF(DE669="D",1,0)+IF(DJ669="D",1,0)+IF(DK669="D",1,0)+IF(DO669="D",1,0)+IF(DP669="D",1,0)+IF(DQ669="D",1,0)+IF(DW669="D",1,0)+IF(DZ669="D",1,0)+IF(EH669="D",1,0)</f>
        <v/>
      </c>
      <c r="AY669">
        <f>IF(DJ669&lt;&gt;"",1,0)+IF(DK669&lt;&gt;"",1,0)+IF(DM669&lt;&gt;"",1,0)+IF(DO669&lt;&gt;"",1,0)+IF(DP669&lt;&gt;"",1,0)+IF(DQ669&lt;&gt;"",1,0)+IF(DS669&lt;&gt;"",1,0)+IF(DT669&lt;&gt;"",1,0)+IF(DV669&lt;&gt;"",1,0)+IF(DW669&lt;&gt;"",1,0)+IF(DX669&lt;&gt;"",1,0)+IF(DY669&lt;&gt;"",1,0)+IF(DZ669&lt;&gt;"",1,0)+IF(EB669&lt;&gt;"",1,0)+IF(EC669&lt;&gt;"",1,0)+IF(ED669&lt;&gt;"",1,0)+IF(EG669&lt;&gt;"",1,0)+IF(EH669&lt;&gt;"",1,0)</f>
        <v/>
      </c>
      <c r="AZ669">
        <f>IF(EH669&lt;&gt;"",1,0)</f>
        <v/>
      </c>
      <c r="BB669" t="inlineStr">
        <is>
          <t>WARREN-WARD 4</t>
        </is>
      </c>
      <c r="BL669" t="inlineStr">
        <is>
          <t>X</t>
        </is>
      </c>
      <c r="BS669" t="inlineStr">
        <is>
          <t>X</t>
        </is>
      </c>
      <c r="BY669" t="inlineStr">
        <is>
          <t>D</t>
        </is>
      </c>
      <c r="CA669" t="inlineStr">
        <is>
          <t>X</t>
        </is>
      </c>
      <c r="CG669" t="inlineStr">
        <is>
          <t>X</t>
        </is>
      </c>
      <c r="CO669" t="inlineStr">
        <is>
          <t>D</t>
        </is>
      </c>
      <c r="CP669" t="inlineStr">
        <is>
          <t>X</t>
        </is>
      </c>
      <c r="CY669" t="inlineStr">
        <is>
          <t>X</t>
        </is>
      </c>
      <c r="CZ669" t="inlineStr">
        <is>
          <t>D</t>
        </is>
      </c>
      <c r="DC669" t="inlineStr">
        <is>
          <t>X</t>
        </is>
      </c>
      <c r="DG669" t="inlineStr">
        <is>
          <t>D</t>
        </is>
      </c>
      <c r="DN669" t="inlineStr">
        <is>
          <t>X</t>
        </is>
      </c>
      <c r="EF669" t="inlineStr">
        <is>
          <t>X</t>
        </is>
      </c>
    </row>
    <row r="670">
      <c r="A670" t="inlineStr">
        <is>
          <t>OH0015818480</t>
        </is>
      </c>
      <c r="B670" t="n">
        <v>78</v>
      </c>
      <c r="C670" t="n">
        <v>301845</v>
      </c>
      <c r="D670" t="inlineStr">
        <is>
          <t>MCCULLOUGH</t>
        </is>
      </c>
      <c r="E670" t="inlineStr">
        <is>
          <t>ROY</t>
        </is>
      </c>
      <c r="F670">
        <f>CONCATENATE(D670," ",LEFT(H670,4),"T=",AU670,"D=",AV670,"R=",AW670,"M=",AX670,"L=",AY670,"B=",AZ670)</f>
        <v/>
      </c>
      <c r="H670" t="inlineStr">
        <is>
          <t>JR</t>
        </is>
      </c>
      <c r="I670" t="inlineStr">
        <is>
          <t>1982-08-09</t>
        </is>
      </c>
      <c r="J670" t="inlineStr">
        <is>
          <t>2013-09-06</t>
        </is>
      </c>
      <c r="K670" t="inlineStr">
        <is>
          <t>CONFIRMATION</t>
        </is>
      </c>
      <c r="M670" t="inlineStr">
        <is>
          <t>186 OAK KNOLL AVE SE</t>
        </is>
      </c>
      <c r="N670">
        <f>RIGHT(M670,LEN(M670)-FIND(" ",M670))</f>
        <v/>
      </c>
      <c r="P670" t="inlineStr">
        <is>
          <t>WARREN</t>
        </is>
      </c>
      <c r="Q670" t="inlineStr">
        <is>
          <t>OH</t>
        </is>
      </c>
      <c r="R670" t="n">
        <v>44483</v>
      </c>
      <c r="AD670" t="inlineStr">
        <is>
          <t>TRUMBULL CAREER &amp; TECH CENTER</t>
        </is>
      </c>
      <c r="AE670" t="inlineStr">
        <is>
          <t>WARREN CITY</t>
        </is>
      </c>
      <c r="AF670" t="inlineStr">
        <is>
          <t>WARREN CITY SD</t>
        </is>
      </c>
      <c r="AH670" t="n">
        <v>14</v>
      </c>
      <c r="AI670" t="n">
        <v>11</v>
      </c>
      <c r="AN670" t="inlineStr">
        <is>
          <t>WARREN</t>
        </is>
      </c>
      <c r="AO670" t="inlineStr">
        <is>
          <t>WARREN CITY 4A</t>
        </is>
      </c>
      <c r="AP670" t="inlineStr">
        <is>
          <t>78-P-ADI</t>
        </is>
      </c>
      <c r="AQ670" t="n">
        <v>9</v>
      </c>
      <c r="AR670" t="n">
        <v>64</v>
      </c>
      <c r="AS670" t="n">
        <v>32</v>
      </c>
      <c r="AU670">
        <f>COUNTA($BA$670:$EH$670)</f>
        <v/>
      </c>
      <c r="AV670">
        <f>COUNTIF($BA$670:$EH$670,"D")</f>
        <v/>
      </c>
      <c r="AW670">
        <f>COUNTIF($BA$670:$EH$670,"R")</f>
        <v/>
      </c>
      <c r="AX670">
        <f>IF(BN670="D",1,0)+IF(BO670="D",1,0)+IF(BT670="D",1,0)+IF(BU670="D",1,0)+IF(BW670="D",1,0)+IF(CC670="D",1,0)+IF(CD670="D",1,0)+IF(CE670="D",1,0)+IF(CF670="D",1,0)+IF(CL670="D",1,0)+IF(CM670="D",1,0)+IF(CQ670="D",1,0)+IF(CR670="D",1,0)+IF(CS670="D",1,0)+IF(CW670="D",1,0)+IF(CX670="D",1,0)+IF(DD670="D",1,0)+IF(DE670="D",1,0)+IF(DJ670="D",1,0)+IF(DK670="D",1,0)+IF(DO670="D",1,0)+IF(DP670="D",1,0)+IF(DQ670="D",1,0)+IF(DW670="D",1,0)+IF(DZ670="D",1,0)+IF(EH670="D",1,0)</f>
        <v/>
      </c>
      <c r="AY670">
        <f>IF(DJ670&lt;&gt;"",1,0)+IF(DK670&lt;&gt;"",1,0)+IF(DM670&lt;&gt;"",1,0)+IF(DO670&lt;&gt;"",1,0)+IF(DP670&lt;&gt;"",1,0)+IF(DQ670&lt;&gt;"",1,0)+IF(DS670&lt;&gt;"",1,0)+IF(DT670&lt;&gt;"",1,0)+IF(DV670&lt;&gt;"",1,0)+IF(DW670&lt;&gt;"",1,0)+IF(DX670&lt;&gt;"",1,0)+IF(DY670&lt;&gt;"",1,0)+IF(DZ670&lt;&gt;"",1,0)+IF(EB670&lt;&gt;"",1,0)+IF(EC670&lt;&gt;"",1,0)+IF(ED670&lt;&gt;"",1,0)+IF(EG670&lt;&gt;"",1,0)+IF(EH670&lt;&gt;"",1,0)</f>
        <v/>
      </c>
      <c r="AZ670">
        <f>IF(EH670&lt;&gt;"",1,0)</f>
        <v/>
      </c>
      <c r="BB670" t="inlineStr">
        <is>
          <t>WARREN-WARD 4</t>
        </is>
      </c>
      <c r="CA670" t="inlineStr">
        <is>
          <t>X</t>
        </is>
      </c>
      <c r="CP670" t="inlineStr">
        <is>
          <t>X</t>
        </is>
      </c>
    </row>
    <row r="671">
      <c r="A671" t="inlineStr">
        <is>
          <t>OH0024827803</t>
        </is>
      </c>
      <c r="B671" t="n">
        <v>78</v>
      </c>
      <c r="C671" t="n">
        <v>435500</v>
      </c>
      <c r="D671" t="inlineStr">
        <is>
          <t>COLE</t>
        </is>
      </c>
      <c r="E671" t="inlineStr">
        <is>
          <t>CAMERON</t>
        </is>
      </c>
      <c r="F671">
        <f>CONCATENATE(D671," ",LEFT(H671,4),"T=",AU671,"D=",AV671,"R=",AW671,"M=",AX671,"L=",AY671,"B=",AZ671)</f>
        <v/>
      </c>
      <c r="G671" t="inlineStr">
        <is>
          <t>P</t>
        </is>
      </c>
      <c r="I671" t="inlineStr">
        <is>
          <t>1992-08-07</t>
        </is>
      </c>
      <c r="J671" t="inlineStr">
        <is>
          <t>2018-09-19</t>
        </is>
      </c>
      <c r="K671" t="inlineStr">
        <is>
          <t>CONFIRMATION</t>
        </is>
      </c>
      <c r="M671" t="inlineStr">
        <is>
          <t>742 LAIRD AVE SE</t>
        </is>
      </c>
      <c r="N671">
        <f>RIGHT(M671,LEN(M671)-FIND(" ",M671))</f>
        <v/>
      </c>
      <c r="P671" t="inlineStr">
        <is>
          <t>WARREN</t>
        </is>
      </c>
      <c r="Q671" t="inlineStr">
        <is>
          <t>OH</t>
        </is>
      </c>
      <c r="R671" t="n">
        <v>44484</v>
      </c>
      <c r="AD671" t="inlineStr">
        <is>
          <t>TRUMBULL CAREER &amp; TECH CENTER</t>
        </is>
      </c>
      <c r="AE671" t="inlineStr">
        <is>
          <t>WARREN CITY</t>
        </is>
      </c>
      <c r="AF671" t="inlineStr">
        <is>
          <t>WARREN CITY SD</t>
        </is>
      </c>
      <c r="AH671" t="n">
        <v>14</v>
      </c>
      <c r="AI671" t="n">
        <v>11</v>
      </c>
      <c r="AN671" t="inlineStr">
        <is>
          <t>WARREN</t>
        </is>
      </c>
      <c r="AO671" t="inlineStr">
        <is>
          <t>WARREN CITY 4A</t>
        </is>
      </c>
      <c r="AP671" t="inlineStr">
        <is>
          <t>78-P-ADI</t>
        </is>
      </c>
      <c r="AQ671" t="n">
        <v>9</v>
      </c>
      <c r="AR671" t="n">
        <v>64</v>
      </c>
      <c r="AS671" t="n">
        <v>32</v>
      </c>
      <c r="AU671">
        <f>COUNTA($BA$671:$EH$671)</f>
        <v/>
      </c>
      <c r="AV671">
        <f>COUNTIF($BA$671:$EH$671,"D")</f>
        <v/>
      </c>
      <c r="AW671">
        <f>COUNTIF($BA$671:$EH$671,"R")</f>
        <v/>
      </c>
      <c r="AX671">
        <f>IF(BN671="D",1,0)+IF(BO671="D",1,0)+IF(BT671="D",1,0)+IF(BU671="D",1,0)+IF(BW671="D",1,0)+IF(CC671="D",1,0)+IF(CD671="D",1,0)+IF(CE671="D",1,0)+IF(CF671="D",1,0)+IF(CL671="D",1,0)+IF(CM671="D",1,0)+IF(CQ671="D",1,0)+IF(CR671="D",1,0)+IF(CS671="D",1,0)+IF(CW671="D",1,0)+IF(CX671="D",1,0)+IF(DD671="D",1,0)+IF(DE671="D",1,0)+IF(DJ671="D",1,0)+IF(DK671="D",1,0)+IF(DO671="D",1,0)+IF(DP671="D",1,0)+IF(DQ671="D",1,0)+IF(DW671="D",1,0)+IF(DZ671="D",1,0)+IF(EH671="D",1,0)</f>
        <v/>
      </c>
      <c r="AY671">
        <f>IF(DJ671&lt;&gt;"",1,0)+IF(DK671&lt;&gt;"",1,0)+IF(DM671&lt;&gt;"",1,0)+IF(DO671&lt;&gt;"",1,0)+IF(DP671&lt;&gt;"",1,0)+IF(DQ671&lt;&gt;"",1,0)+IF(DS671&lt;&gt;"",1,0)+IF(DT671&lt;&gt;"",1,0)+IF(DV671&lt;&gt;"",1,0)+IF(DW671&lt;&gt;"",1,0)+IF(DX671&lt;&gt;"",1,0)+IF(DY671&lt;&gt;"",1,0)+IF(DZ671&lt;&gt;"",1,0)+IF(EB671&lt;&gt;"",1,0)+IF(EC671&lt;&gt;"",1,0)+IF(ED671&lt;&gt;"",1,0)+IF(EG671&lt;&gt;"",1,0)+IF(EH671&lt;&gt;"",1,0)</f>
        <v/>
      </c>
      <c r="AZ671">
        <f>IF(EH671&lt;&gt;"",1,0)</f>
        <v/>
      </c>
      <c r="BB671" t="inlineStr">
        <is>
          <t>WARREN-WARD 4</t>
        </is>
      </c>
    </row>
    <row r="672">
      <c r="A672" t="inlineStr">
        <is>
          <t>OH0027659145</t>
        </is>
      </c>
      <c r="B672" t="n">
        <v>78</v>
      </c>
      <c r="C672" t="n">
        <v>490009</v>
      </c>
      <c r="D672" t="inlineStr">
        <is>
          <t>ANDERSON</t>
        </is>
      </c>
      <c r="E672" t="inlineStr">
        <is>
          <t>LINDSEY</t>
        </is>
      </c>
      <c r="F672">
        <f>CONCATENATE(D672," ",LEFT(H672,4),"T=",AU672,"D=",AV672,"R=",AW672,"M=",AX672,"L=",AY672,"B=",AZ672)</f>
        <v/>
      </c>
      <c r="G672" t="inlineStr">
        <is>
          <t>DAWN</t>
        </is>
      </c>
      <c r="I672" t="inlineStr">
        <is>
          <t>1986-01-21</t>
        </is>
      </c>
      <c r="J672" t="inlineStr">
        <is>
          <t>2024-09-26</t>
        </is>
      </c>
      <c r="K672" t="inlineStr">
        <is>
          <t>ACTIVE</t>
        </is>
      </c>
      <c r="M672" t="inlineStr">
        <is>
          <t>607 WOODBINE AVE SE</t>
        </is>
      </c>
      <c r="N672">
        <f>RIGHT(M672,LEN(M672)-FIND(" ",M672))</f>
        <v/>
      </c>
      <c r="P672" t="inlineStr">
        <is>
          <t>WARREN</t>
        </is>
      </c>
      <c r="Q672" t="inlineStr">
        <is>
          <t>OH</t>
        </is>
      </c>
      <c r="R672" t="n">
        <v>44483</v>
      </c>
      <c r="AD672" t="inlineStr">
        <is>
          <t>TRUMBULL CAREER &amp; TECH CENTER</t>
        </is>
      </c>
      <c r="AE672" t="inlineStr">
        <is>
          <t>WARREN CITY</t>
        </is>
      </c>
      <c r="AF672" t="inlineStr">
        <is>
          <t>WARREN CITY SD</t>
        </is>
      </c>
      <c r="AH672" t="n">
        <v>14</v>
      </c>
      <c r="AI672" t="n">
        <v>11</v>
      </c>
      <c r="AN672" t="inlineStr">
        <is>
          <t>WARREN</t>
        </is>
      </c>
      <c r="AO672" t="inlineStr">
        <is>
          <t>WARREN CITY 4A</t>
        </is>
      </c>
      <c r="AP672" t="inlineStr">
        <is>
          <t>78-P-ADI</t>
        </is>
      </c>
      <c r="AQ672" t="n">
        <v>9</v>
      </c>
      <c r="AR672" t="n">
        <v>64</v>
      </c>
      <c r="AS672" t="n">
        <v>32</v>
      </c>
      <c r="AU672">
        <f>COUNTA($BA$672:$EH$672)</f>
        <v/>
      </c>
      <c r="AV672">
        <f>COUNTIF($BA$672:$EH$672,"D")</f>
        <v/>
      </c>
      <c r="AW672">
        <f>COUNTIF($BA$672:$EH$672,"R")</f>
        <v/>
      </c>
      <c r="AX672">
        <f>IF(BN672="D",1,0)+IF(BO672="D",1,0)+IF(BT672="D",1,0)+IF(BU672="D",1,0)+IF(BW672="D",1,0)+IF(CC672="D",1,0)+IF(CD672="D",1,0)+IF(CE672="D",1,0)+IF(CF672="D",1,0)+IF(CL672="D",1,0)+IF(CM672="D",1,0)+IF(CQ672="D",1,0)+IF(CR672="D",1,0)+IF(CS672="D",1,0)+IF(CW672="D",1,0)+IF(CX672="D",1,0)+IF(DD672="D",1,0)+IF(DE672="D",1,0)+IF(DJ672="D",1,0)+IF(DK672="D",1,0)+IF(DO672="D",1,0)+IF(DP672="D",1,0)+IF(DQ672="D",1,0)+IF(DW672="D",1,0)+IF(DZ672="D",1,0)+IF(EH672="D",1,0)</f>
        <v/>
      </c>
      <c r="AY672">
        <f>IF(DJ672&lt;&gt;"",1,0)+IF(DK672&lt;&gt;"",1,0)+IF(DM672&lt;&gt;"",1,0)+IF(DO672&lt;&gt;"",1,0)+IF(DP672&lt;&gt;"",1,0)+IF(DQ672&lt;&gt;"",1,0)+IF(DS672&lt;&gt;"",1,0)+IF(DT672&lt;&gt;"",1,0)+IF(DV672&lt;&gt;"",1,0)+IF(DW672&lt;&gt;"",1,0)+IF(DX672&lt;&gt;"",1,0)+IF(DY672&lt;&gt;"",1,0)+IF(DZ672&lt;&gt;"",1,0)+IF(EB672&lt;&gt;"",1,0)+IF(EC672&lt;&gt;"",1,0)+IF(ED672&lt;&gt;"",1,0)+IF(EG672&lt;&gt;"",1,0)+IF(EH672&lt;&gt;"",1,0)</f>
        <v/>
      </c>
      <c r="AZ672">
        <f>IF(EH672&lt;&gt;"",1,0)</f>
        <v/>
      </c>
      <c r="BB672" t="inlineStr">
        <is>
          <t>WARREN-WARD 4</t>
        </is>
      </c>
      <c r="BL672" t="inlineStr">
        <is>
          <t>X</t>
        </is>
      </c>
      <c r="CA672" t="inlineStr">
        <is>
          <t>X</t>
        </is>
      </c>
      <c r="CP672" t="inlineStr">
        <is>
          <t>X</t>
        </is>
      </c>
      <c r="CY672" t="inlineStr">
        <is>
          <t>X</t>
        </is>
      </c>
      <c r="DC672" t="inlineStr">
        <is>
          <t>X</t>
        </is>
      </c>
      <c r="DN672" t="inlineStr">
        <is>
          <t>X</t>
        </is>
      </c>
      <c r="EF672" t="inlineStr">
        <is>
          <t>X</t>
        </is>
      </c>
    </row>
    <row r="673">
      <c r="A673" t="inlineStr">
        <is>
          <t>OH0022823669</t>
        </is>
      </c>
      <c r="B673" t="n">
        <v>78</v>
      </c>
      <c r="C673" t="n">
        <v>402840</v>
      </c>
      <c r="D673" t="inlineStr">
        <is>
          <t>SPITLER</t>
        </is>
      </c>
      <c r="E673" t="inlineStr">
        <is>
          <t>PAMELA</t>
        </is>
      </c>
      <c r="F673">
        <f>CONCATENATE(D673," ",LEFT(H673,4),"T=",AU673,"D=",AV673,"R=",AW673,"M=",AX673,"L=",AY673,"B=",AZ673)</f>
        <v/>
      </c>
      <c r="G673" t="inlineStr">
        <is>
          <t>SUSAN</t>
        </is>
      </c>
      <c r="I673" t="inlineStr">
        <is>
          <t>1971-09-08</t>
        </is>
      </c>
      <c r="J673" t="inlineStr">
        <is>
          <t>2024-09-26</t>
        </is>
      </c>
      <c r="K673" t="inlineStr">
        <is>
          <t>ACTIVE</t>
        </is>
      </c>
      <c r="M673" t="inlineStr">
        <is>
          <t>770 BONNIE BRAE AVE SE</t>
        </is>
      </c>
      <c r="N673">
        <f>RIGHT(M673,LEN(M673)-FIND(" ",M673))</f>
        <v/>
      </c>
      <c r="P673" t="inlineStr">
        <is>
          <t>WARREN</t>
        </is>
      </c>
      <c r="Q673" t="inlineStr">
        <is>
          <t>OH</t>
        </is>
      </c>
      <c r="R673" t="n">
        <v>44484</v>
      </c>
      <c r="AD673" t="inlineStr">
        <is>
          <t>TRUMBULL CAREER &amp; TECH CENTER</t>
        </is>
      </c>
      <c r="AE673" t="inlineStr">
        <is>
          <t>WARREN CITY</t>
        </is>
      </c>
      <c r="AF673" t="inlineStr">
        <is>
          <t>WARREN CITY SD</t>
        </is>
      </c>
      <c r="AH673" t="n">
        <v>14</v>
      </c>
      <c r="AI673" t="n">
        <v>11</v>
      </c>
      <c r="AN673" t="inlineStr">
        <is>
          <t>WARREN</t>
        </is>
      </c>
      <c r="AO673" t="inlineStr">
        <is>
          <t>WARREN CITY 4A</t>
        </is>
      </c>
      <c r="AP673" t="inlineStr">
        <is>
          <t>78-P-ADI</t>
        </is>
      </c>
      <c r="AQ673" t="n">
        <v>9</v>
      </c>
      <c r="AR673" t="n">
        <v>64</v>
      </c>
      <c r="AS673" t="n">
        <v>32</v>
      </c>
      <c r="AU673">
        <f>COUNTA($BA$673:$EH$673)</f>
        <v/>
      </c>
      <c r="AV673">
        <f>COUNTIF($BA$673:$EH$673,"D")</f>
        <v/>
      </c>
      <c r="AW673">
        <f>COUNTIF($BA$673:$EH$673,"R")</f>
        <v/>
      </c>
      <c r="AX673">
        <f>IF(BN673="D",1,0)+IF(BO673="D",1,0)+IF(BT673="D",1,0)+IF(BU673="D",1,0)+IF(BW673="D",1,0)+IF(CC673="D",1,0)+IF(CD673="D",1,0)+IF(CE673="D",1,0)+IF(CF673="D",1,0)+IF(CL673="D",1,0)+IF(CM673="D",1,0)+IF(CQ673="D",1,0)+IF(CR673="D",1,0)+IF(CS673="D",1,0)+IF(CW673="D",1,0)+IF(CX673="D",1,0)+IF(DD673="D",1,0)+IF(DE673="D",1,0)+IF(DJ673="D",1,0)+IF(DK673="D",1,0)+IF(DO673="D",1,0)+IF(DP673="D",1,0)+IF(DQ673="D",1,0)+IF(DW673="D",1,0)+IF(DZ673="D",1,0)+IF(EH673="D",1,0)</f>
        <v/>
      </c>
      <c r="AY673">
        <f>IF(DJ673&lt;&gt;"",1,0)+IF(DK673&lt;&gt;"",1,0)+IF(DM673&lt;&gt;"",1,0)+IF(DO673&lt;&gt;"",1,0)+IF(DP673&lt;&gt;"",1,0)+IF(DQ673&lt;&gt;"",1,0)+IF(DS673&lt;&gt;"",1,0)+IF(DT673&lt;&gt;"",1,0)+IF(DV673&lt;&gt;"",1,0)+IF(DW673&lt;&gt;"",1,0)+IF(DX673&lt;&gt;"",1,0)+IF(DY673&lt;&gt;"",1,0)+IF(DZ673&lt;&gt;"",1,0)+IF(EB673&lt;&gt;"",1,0)+IF(EC673&lt;&gt;"",1,0)+IF(ED673&lt;&gt;"",1,0)+IF(EG673&lt;&gt;"",1,0)+IF(EH673&lt;&gt;"",1,0)</f>
        <v/>
      </c>
      <c r="AZ673">
        <f>IF(EH673&lt;&gt;"",1,0)</f>
        <v/>
      </c>
      <c r="BB673" t="inlineStr">
        <is>
          <t>WARREN-WARD 4</t>
        </is>
      </c>
      <c r="BL673" t="inlineStr">
        <is>
          <t>X</t>
        </is>
      </c>
      <c r="BN673" t="inlineStr">
        <is>
          <t>X</t>
        </is>
      </c>
      <c r="BP673" t="inlineStr">
        <is>
          <t>X</t>
        </is>
      </c>
      <c r="BS673" t="inlineStr">
        <is>
          <t>X</t>
        </is>
      </c>
      <c r="BY673" t="inlineStr">
        <is>
          <t>D</t>
        </is>
      </c>
      <c r="CA673" t="inlineStr">
        <is>
          <t>X</t>
        </is>
      </c>
      <c r="CK673" t="inlineStr">
        <is>
          <t>X</t>
        </is>
      </c>
      <c r="CY673" t="inlineStr">
        <is>
          <t>X</t>
        </is>
      </c>
      <c r="EF673" t="inlineStr">
        <is>
          <t>X</t>
        </is>
      </c>
    </row>
    <row r="674">
      <c r="A674" t="inlineStr">
        <is>
          <t>OH0024828000</t>
        </is>
      </c>
      <c r="B674" t="n">
        <v>78</v>
      </c>
      <c r="C674" t="n">
        <v>435507</v>
      </c>
      <c r="D674" t="inlineStr">
        <is>
          <t>WILLIAMS</t>
        </is>
      </c>
      <c r="E674" t="inlineStr">
        <is>
          <t>KYLE</t>
        </is>
      </c>
      <c r="F674">
        <f>CONCATENATE(D674," ",LEFT(H674,4),"T=",AU674,"D=",AV674,"R=",AW674,"M=",AX674,"L=",AY674,"B=",AZ674)</f>
        <v/>
      </c>
      <c r="G674" t="inlineStr">
        <is>
          <t>NORRIS</t>
        </is>
      </c>
      <c r="I674" t="inlineStr">
        <is>
          <t>1968-10-10</t>
        </is>
      </c>
      <c r="J674" t="inlineStr">
        <is>
          <t>2018-10-02</t>
        </is>
      </c>
      <c r="K674" t="inlineStr">
        <is>
          <t>ACTIVE</t>
        </is>
      </c>
      <c r="L674" t="inlineStr">
        <is>
          <t>R</t>
        </is>
      </c>
      <c r="M674" t="inlineStr">
        <is>
          <t>576 WOODBINE AVE SE</t>
        </is>
      </c>
      <c r="N674">
        <f>RIGHT(M674,LEN(M674)-FIND(" ",M674))</f>
        <v/>
      </c>
      <c r="P674" t="inlineStr">
        <is>
          <t>WARREN</t>
        </is>
      </c>
      <c r="Q674" t="inlineStr">
        <is>
          <t>OH</t>
        </is>
      </c>
      <c r="R674" t="n">
        <v>44483</v>
      </c>
      <c r="AD674" t="inlineStr">
        <is>
          <t>TRUMBULL CAREER &amp; TECH CENTER</t>
        </is>
      </c>
      <c r="AE674" t="inlineStr">
        <is>
          <t>WARREN CITY</t>
        </is>
      </c>
      <c r="AF674" t="inlineStr">
        <is>
          <t>WARREN CITY SD</t>
        </is>
      </c>
      <c r="AH674" t="n">
        <v>14</v>
      </c>
      <c r="AI674" t="n">
        <v>11</v>
      </c>
      <c r="AN674" t="inlineStr">
        <is>
          <t>WARREN</t>
        </is>
      </c>
      <c r="AO674" t="inlineStr">
        <is>
          <t>WARREN CITY 4A</t>
        </is>
      </c>
      <c r="AP674" t="inlineStr">
        <is>
          <t>78-P-ADI</t>
        </is>
      </c>
      <c r="AQ674" t="n">
        <v>9</v>
      </c>
      <c r="AR674" t="n">
        <v>64</v>
      </c>
      <c r="AS674" t="n">
        <v>32</v>
      </c>
      <c r="AU674">
        <f>COUNTA($BA$674:$EH$674)</f>
        <v/>
      </c>
      <c r="AV674">
        <f>COUNTIF($BA$674:$EH$674,"D")</f>
        <v/>
      </c>
      <c r="AW674">
        <f>COUNTIF($BA$674:$EH$674,"R")</f>
        <v/>
      </c>
      <c r="AX674">
        <f>IF(BN674="D",1,0)+IF(BO674="D",1,0)+IF(BT674="D",1,0)+IF(BU674="D",1,0)+IF(BW674="D",1,0)+IF(CC674="D",1,0)+IF(CD674="D",1,0)+IF(CE674="D",1,0)+IF(CF674="D",1,0)+IF(CL674="D",1,0)+IF(CM674="D",1,0)+IF(CQ674="D",1,0)+IF(CR674="D",1,0)+IF(CS674="D",1,0)+IF(CW674="D",1,0)+IF(CX674="D",1,0)+IF(DD674="D",1,0)+IF(DE674="D",1,0)+IF(DJ674="D",1,0)+IF(DK674="D",1,0)+IF(DO674="D",1,0)+IF(DP674="D",1,0)+IF(DQ674="D",1,0)+IF(DW674="D",1,0)+IF(DZ674="D",1,0)+IF(EH674="D",1,0)</f>
        <v/>
      </c>
      <c r="AY674">
        <f>IF(DJ674&lt;&gt;"",1,0)+IF(DK674&lt;&gt;"",1,0)+IF(DM674&lt;&gt;"",1,0)+IF(DO674&lt;&gt;"",1,0)+IF(DP674&lt;&gt;"",1,0)+IF(DQ674&lt;&gt;"",1,0)+IF(DS674&lt;&gt;"",1,0)+IF(DT674&lt;&gt;"",1,0)+IF(DV674&lt;&gt;"",1,0)+IF(DW674&lt;&gt;"",1,0)+IF(DX674&lt;&gt;"",1,0)+IF(DY674&lt;&gt;"",1,0)+IF(DZ674&lt;&gt;"",1,0)+IF(EB674&lt;&gt;"",1,0)+IF(EC674&lt;&gt;"",1,0)+IF(ED674&lt;&gt;"",1,0)+IF(EG674&lt;&gt;"",1,0)+IF(EH674&lt;&gt;"",1,0)</f>
        <v/>
      </c>
      <c r="AZ674">
        <f>IF(EH674&lt;&gt;"",1,0)</f>
        <v/>
      </c>
      <c r="BB674" t="inlineStr">
        <is>
          <t>WARREN-WARD 4</t>
        </is>
      </c>
      <c r="CA674" t="inlineStr">
        <is>
          <t>X</t>
        </is>
      </c>
      <c r="DI674" t="inlineStr">
        <is>
          <t>X</t>
        </is>
      </c>
      <c r="DN674" t="inlineStr">
        <is>
          <t>X</t>
        </is>
      </c>
      <c r="DU674" t="inlineStr">
        <is>
          <t>X</t>
        </is>
      </c>
      <c r="DX674" t="inlineStr">
        <is>
          <t>X</t>
        </is>
      </c>
      <c r="EA674" t="inlineStr">
        <is>
          <t>X</t>
        </is>
      </c>
      <c r="ED674" t="inlineStr">
        <is>
          <t>R</t>
        </is>
      </c>
      <c r="EF674" t="inlineStr">
        <is>
          <t>X</t>
        </is>
      </c>
    </row>
    <row r="675">
      <c r="A675" t="inlineStr">
        <is>
          <t>OH0022933314</t>
        </is>
      </c>
      <c r="B675" t="n">
        <v>78</v>
      </c>
      <c r="C675" t="n">
        <v>404335</v>
      </c>
      <c r="D675" t="inlineStr">
        <is>
          <t>BEAUCHENE</t>
        </is>
      </c>
      <c r="E675" t="inlineStr">
        <is>
          <t>DUSTIN</t>
        </is>
      </c>
      <c r="F675">
        <f>CONCATENATE(D675," ",LEFT(H675,4),"T=",AU675,"D=",AV675,"R=",AW675,"M=",AX675,"L=",AY675,"B=",AZ675)</f>
        <v/>
      </c>
      <c r="G675" t="inlineStr">
        <is>
          <t>JAMES</t>
        </is>
      </c>
      <c r="I675" t="inlineStr">
        <is>
          <t>1996-07-23</t>
        </is>
      </c>
      <c r="J675" t="inlineStr">
        <is>
          <t>2024-06-11</t>
        </is>
      </c>
      <c r="K675" t="inlineStr">
        <is>
          <t>ACTIVE</t>
        </is>
      </c>
      <c r="M675" t="inlineStr">
        <is>
          <t>355 WOODBINE AVE SE</t>
        </is>
      </c>
      <c r="N675">
        <f>RIGHT(M675,LEN(M675)-FIND(" ",M675))</f>
        <v/>
      </c>
      <c r="P675" t="inlineStr">
        <is>
          <t>WARREN</t>
        </is>
      </c>
      <c r="Q675" t="inlineStr">
        <is>
          <t>OH</t>
        </is>
      </c>
      <c r="R675" t="n">
        <v>44483</v>
      </c>
      <c r="AD675" t="inlineStr">
        <is>
          <t>TRUMBULL CAREER &amp; TECH CENTER</t>
        </is>
      </c>
      <c r="AE675" t="inlineStr">
        <is>
          <t>WARREN CITY</t>
        </is>
      </c>
      <c r="AF675" t="inlineStr">
        <is>
          <t>WARREN CITY SD</t>
        </is>
      </c>
      <c r="AH675" t="n">
        <v>14</v>
      </c>
      <c r="AI675" t="n">
        <v>11</v>
      </c>
      <c r="AN675" t="inlineStr">
        <is>
          <t>WARREN</t>
        </is>
      </c>
      <c r="AO675" t="inlineStr">
        <is>
          <t>WARREN CITY 4A</t>
        </is>
      </c>
      <c r="AP675" t="inlineStr">
        <is>
          <t>78-P-ADI</t>
        </is>
      </c>
      <c r="AQ675" t="n">
        <v>9</v>
      </c>
      <c r="AR675" t="n">
        <v>64</v>
      </c>
      <c r="AS675" t="n">
        <v>32</v>
      </c>
      <c r="AU675">
        <f>COUNTA($BA$675:$EH$675)</f>
        <v/>
      </c>
      <c r="AV675">
        <f>COUNTIF($BA$675:$EH$675,"D")</f>
        <v/>
      </c>
      <c r="AW675">
        <f>COUNTIF($BA$675:$EH$675,"R")</f>
        <v/>
      </c>
      <c r="AX675">
        <f>IF(BN675="D",1,0)+IF(BO675="D",1,0)+IF(BT675="D",1,0)+IF(BU675="D",1,0)+IF(BW675="D",1,0)+IF(CC675="D",1,0)+IF(CD675="D",1,0)+IF(CE675="D",1,0)+IF(CF675="D",1,0)+IF(CL675="D",1,0)+IF(CM675="D",1,0)+IF(CQ675="D",1,0)+IF(CR675="D",1,0)+IF(CS675="D",1,0)+IF(CW675="D",1,0)+IF(CX675="D",1,0)+IF(DD675="D",1,0)+IF(DE675="D",1,0)+IF(DJ675="D",1,0)+IF(DK675="D",1,0)+IF(DO675="D",1,0)+IF(DP675="D",1,0)+IF(DQ675="D",1,0)+IF(DW675="D",1,0)+IF(DZ675="D",1,0)+IF(EH675="D",1,0)</f>
        <v/>
      </c>
      <c r="AY675">
        <f>IF(DJ675&lt;&gt;"",1,0)+IF(DK675&lt;&gt;"",1,0)+IF(DM675&lt;&gt;"",1,0)+IF(DO675&lt;&gt;"",1,0)+IF(DP675&lt;&gt;"",1,0)+IF(DQ675&lt;&gt;"",1,0)+IF(DS675&lt;&gt;"",1,0)+IF(DT675&lt;&gt;"",1,0)+IF(DV675&lt;&gt;"",1,0)+IF(DW675&lt;&gt;"",1,0)+IF(DX675&lt;&gt;"",1,0)+IF(DY675&lt;&gt;"",1,0)+IF(DZ675&lt;&gt;"",1,0)+IF(EB675&lt;&gt;"",1,0)+IF(EC675&lt;&gt;"",1,0)+IF(ED675&lt;&gt;"",1,0)+IF(EG675&lt;&gt;"",1,0)+IF(EH675&lt;&gt;"",1,0)</f>
        <v/>
      </c>
      <c r="AZ675">
        <f>IF(EH675&lt;&gt;"",1,0)</f>
        <v/>
      </c>
      <c r="BB675" t="inlineStr">
        <is>
          <t>WARREN-WARD 4</t>
        </is>
      </c>
      <c r="DC675" t="inlineStr">
        <is>
          <t>X</t>
        </is>
      </c>
      <c r="EF675" t="inlineStr">
        <is>
          <t>X</t>
        </is>
      </c>
    </row>
    <row r="676">
      <c r="A676" t="inlineStr">
        <is>
          <t>OH0015750896</t>
        </is>
      </c>
      <c r="B676" t="n">
        <v>78</v>
      </c>
      <c r="C676" t="n">
        <v>237521</v>
      </c>
      <c r="D676" t="inlineStr">
        <is>
          <t>MOORE</t>
        </is>
      </c>
      <c r="E676" t="inlineStr">
        <is>
          <t>CHIQUITA</t>
        </is>
      </c>
      <c r="F676">
        <f>CONCATENATE(D676," ",LEFT(H676,4),"T=",AU676,"D=",AV676,"R=",AW676,"M=",AX676,"L=",AY676,"B=",AZ676)</f>
        <v/>
      </c>
      <c r="G676" t="inlineStr">
        <is>
          <t>M</t>
        </is>
      </c>
      <c r="I676" t="inlineStr">
        <is>
          <t>1974-05-04</t>
        </is>
      </c>
      <c r="J676" t="inlineStr">
        <is>
          <t>2020-07-03</t>
        </is>
      </c>
      <c r="K676" t="inlineStr">
        <is>
          <t>CONFIRMATION</t>
        </is>
      </c>
      <c r="M676" t="inlineStr">
        <is>
          <t>756 HOMEWOOD AVE SE</t>
        </is>
      </c>
      <c r="N676">
        <f>RIGHT(M676,LEN(M676)-FIND(" ",M676))</f>
        <v/>
      </c>
      <c r="P676" t="inlineStr">
        <is>
          <t>WARREN</t>
        </is>
      </c>
      <c r="Q676" t="inlineStr">
        <is>
          <t>OH</t>
        </is>
      </c>
      <c r="R676" t="n">
        <v>44484</v>
      </c>
      <c r="AD676" t="inlineStr">
        <is>
          <t>TRUMBULL CAREER &amp; TECH CENTER</t>
        </is>
      </c>
      <c r="AE676" t="inlineStr">
        <is>
          <t>WARREN CITY</t>
        </is>
      </c>
      <c r="AF676" t="inlineStr">
        <is>
          <t>WARREN CITY SD</t>
        </is>
      </c>
      <c r="AH676" t="n">
        <v>14</v>
      </c>
      <c r="AI676" t="n">
        <v>11</v>
      </c>
      <c r="AN676" t="inlineStr">
        <is>
          <t>WARREN</t>
        </is>
      </c>
      <c r="AO676" t="inlineStr">
        <is>
          <t>WARREN CITY 4A</t>
        </is>
      </c>
      <c r="AP676" t="inlineStr">
        <is>
          <t>78-P-ADI</t>
        </is>
      </c>
      <c r="AQ676" t="n">
        <v>9</v>
      </c>
      <c r="AR676" t="n">
        <v>64</v>
      </c>
      <c r="AS676" t="n">
        <v>32</v>
      </c>
      <c r="AU676">
        <f>COUNTA($BA$676:$EH$676)</f>
        <v/>
      </c>
      <c r="AV676">
        <f>COUNTIF($BA$676:$EH$676,"D")</f>
        <v/>
      </c>
      <c r="AW676">
        <f>COUNTIF($BA$676:$EH$676,"R")</f>
        <v/>
      </c>
      <c r="AX676">
        <f>IF(BN676="D",1,0)+IF(BO676="D",1,0)+IF(BT676="D",1,0)+IF(BU676="D",1,0)+IF(BW676="D",1,0)+IF(CC676="D",1,0)+IF(CD676="D",1,0)+IF(CE676="D",1,0)+IF(CF676="D",1,0)+IF(CL676="D",1,0)+IF(CM676="D",1,0)+IF(CQ676="D",1,0)+IF(CR676="D",1,0)+IF(CS676="D",1,0)+IF(CW676="D",1,0)+IF(CX676="D",1,0)+IF(DD676="D",1,0)+IF(DE676="D",1,0)+IF(DJ676="D",1,0)+IF(DK676="D",1,0)+IF(DO676="D",1,0)+IF(DP676="D",1,0)+IF(DQ676="D",1,0)+IF(DW676="D",1,0)+IF(DZ676="D",1,0)+IF(EH676="D",1,0)</f>
        <v/>
      </c>
      <c r="AY676">
        <f>IF(DJ676&lt;&gt;"",1,0)+IF(DK676&lt;&gt;"",1,0)+IF(DM676&lt;&gt;"",1,0)+IF(DO676&lt;&gt;"",1,0)+IF(DP676&lt;&gt;"",1,0)+IF(DQ676&lt;&gt;"",1,0)+IF(DS676&lt;&gt;"",1,0)+IF(DT676&lt;&gt;"",1,0)+IF(DV676&lt;&gt;"",1,0)+IF(DW676&lt;&gt;"",1,0)+IF(DX676&lt;&gt;"",1,0)+IF(DY676&lt;&gt;"",1,0)+IF(DZ676&lt;&gt;"",1,0)+IF(EB676&lt;&gt;"",1,0)+IF(EC676&lt;&gt;"",1,0)+IF(ED676&lt;&gt;"",1,0)+IF(EG676&lt;&gt;"",1,0)+IF(EH676&lt;&gt;"",1,0)</f>
        <v/>
      </c>
      <c r="AZ676">
        <f>IF(EH676&lt;&gt;"",1,0)</f>
        <v/>
      </c>
      <c r="BB676" t="inlineStr">
        <is>
          <t>WARREN-WARD 4</t>
        </is>
      </c>
      <c r="BL676" t="inlineStr">
        <is>
          <t>X</t>
        </is>
      </c>
      <c r="CA676" t="inlineStr">
        <is>
          <t>X</t>
        </is>
      </c>
    </row>
    <row r="677">
      <c r="A677" t="inlineStr">
        <is>
          <t>OH0024340469</t>
        </is>
      </c>
      <c r="B677" t="n">
        <v>78</v>
      </c>
      <c r="C677" t="n">
        <v>427219</v>
      </c>
      <c r="D677" t="inlineStr">
        <is>
          <t>ZEITLER</t>
        </is>
      </c>
      <c r="E677" t="inlineStr">
        <is>
          <t>LAUREN</t>
        </is>
      </c>
      <c r="F677">
        <f>CONCATENATE(D677," ",LEFT(H677,4),"T=",AU677,"D=",AV677,"R=",AW677,"M=",AX677,"L=",AY677,"B=",AZ677)</f>
        <v/>
      </c>
      <c r="G677" t="inlineStr">
        <is>
          <t>B</t>
        </is>
      </c>
      <c r="I677" t="inlineStr">
        <is>
          <t>1988-07-22</t>
        </is>
      </c>
      <c r="J677" t="inlineStr">
        <is>
          <t>2017-08-02</t>
        </is>
      </c>
      <c r="K677" t="inlineStr">
        <is>
          <t>CONFIRMATION</t>
        </is>
      </c>
      <c r="M677" t="inlineStr">
        <is>
          <t>720 WOODBINE AVE SE</t>
        </is>
      </c>
      <c r="N677">
        <f>RIGHT(M677,LEN(M677)-FIND(" ",M677))</f>
        <v/>
      </c>
      <c r="P677" t="inlineStr">
        <is>
          <t>WARREN</t>
        </is>
      </c>
      <c r="Q677" t="inlineStr">
        <is>
          <t>OH</t>
        </is>
      </c>
      <c r="R677" t="n">
        <v>44484</v>
      </c>
      <c r="AD677" t="inlineStr">
        <is>
          <t>TRUMBULL CAREER &amp; TECH CENTER</t>
        </is>
      </c>
      <c r="AE677" t="inlineStr">
        <is>
          <t>WARREN CITY</t>
        </is>
      </c>
      <c r="AF677" t="inlineStr">
        <is>
          <t>WARREN CITY SD</t>
        </is>
      </c>
      <c r="AH677" t="n">
        <v>14</v>
      </c>
      <c r="AI677" t="n">
        <v>11</v>
      </c>
      <c r="AN677" t="inlineStr">
        <is>
          <t>WARREN</t>
        </is>
      </c>
      <c r="AO677" t="inlineStr">
        <is>
          <t>WARREN CITY 4A</t>
        </is>
      </c>
      <c r="AP677" t="inlineStr">
        <is>
          <t>78-P-ADI</t>
        </is>
      </c>
      <c r="AQ677" t="n">
        <v>9</v>
      </c>
      <c r="AR677" t="n">
        <v>64</v>
      </c>
      <c r="AS677" t="n">
        <v>32</v>
      </c>
      <c r="AU677">
        <f>COUNTA($BA$677:$EH$677)</f>
        <v/>
      </c>
      <c r="AV677">
        <f>COUNTIF($BA$677:$EH$677,"D")</f>
        <v/>
      </c>
      <c r="AW677">
        <f>COUNTIF($BA$677:$EH$677,"R")</f>
        <v/>
      </c>
      <c r="AX677">
        <f>IF(BN677="D",1,0)+IF(BO677="D",1,0)+IF(BT677="D",1,0)+IF(BU677="D",1,0)+IF(BW677="D",1,0)+IF(CC677="D",1,0)+IF(CD677="D",1,0)+IF(CE677="D",1,0)+IF(CF677="D",1,0)+IF(CL677="D",1,0)+IF(CM677="D",1,0)+IF(CQ677="D",1,0)+IF(CR677="D",1,0)+IF(CS677="D",1,0)+IF(CW677="D",1,0)+IF(CX677="D",1,0)+IF(DD677="D",1,0)+IF(DE677="D",1,0)+IF(DJ677="D",1,0)+IF(DK677="D",1,0)+IF(DO677="D",1,0)+IF(DP677="D",1,0)+IF(DQ677="D",1,0)+IF(DW677="D",1,0)+IF(DZ677="D",1,0)+IF(EH677="D",1,0)</f>
        <v/>
      </c>
      <c r="AY677">
        <f>IF(DJ677&lt;&gt;"",1,0)+IF(DK677&lt;&gt;"",1,0)+IF(DM677&lt;&gt;"",1,0)+IF(DO677&lt;&gt;"",1,0)+IF(DP677&lt;&gt;"",1,0)+IF(DQ677&lt;&gt;"",1,0)+IF(DS677&lt;&gt;"",1,0)+IF(DT677&lt;&gt;"",1,0)+IF(DV677&lt;&gt;"",1,0)+IF(DW677&lt;&gt;"",1,0)+IF(DX677&lt;&gt;"",1,0)+IF(DY677&lt;&gt;"",1,0)+IF(DZ677&lt;&gt;"",1,0)+IF(EB677&lt;&gt;"",1,0)+IF(EC677&lt;&gt;"",1,0)+IF(ED677&lt;&gt;"",1,0)+IF(EG677&lt;&gt;"",1,0)+IF(EH677&lt;&gt;"",1,0)</f>
        <v/>
      </c>
      <c r="AZ677">
        <f>IF(EH677&lt;&gt;"",1,0)</f>
        <v/>
      </c>
      <c r="BB677" t="inlineStr">
        <is>
          <t>WARREN-WARD 4</t>
        </is>
      </c>
      <c r="DC677" t="inlineStr">
        <is>
          <t>X</t>
        </is>
      </c>
    </row>
    <row r="678">
      <c r="A678" t="inlineStr">
        <is>
          <t>OH0026307416</t>
        </is>
      </c>
      <c r="B678" t="n">
        <v>78</v>
      </c>
      <c r="C678" t="n">
        <v>460015</v>
      </c>
      <c r="D678" t="inlineStr">
        <is>
          <t>MACKELL</t>
        </is>
      </c>
      <c r="E678" t="inlineStr">
        <is>
          <t>JEFFREY</t>
        </is>
      </c>
      <c r="F678">
        <f>CONCATENATE(D678," ",LEFT(H678,4),"T=",AU678,"D=",AV678,"R=",AW678,"M=",AX678,"L=",AY678,"B=",AZ678)</f>
        <v/>
      </c>
      <c r="G678" t="inlineStr">
        <is>
          <t>BRUCE</t>
        </is>
      </c>
      <c r="I678" t="inlineStr">
        <is>
          <t>1992-10-25</t>
        </is>
      </c>
      <c r="J678" t="inlineStr">
        <is>
          <t>2024-08-21</t>
        </is>
      </c>
      <c r="K678" t="inlineStr">
        <is>
          <t>ACTIVE</t>
        </is>
      </c>
      <c r="M678" t="inlineStr">
        <is>
          <t>930 OAK KNOLL AVE SE</t>
        </is>
      </c>
      <c r="N678">
        <f>RIGHT(M678,LEN(M678)-FIND(" ",M678))</f>
        <v/>
      </c>
      <c r="P678" t="inlineStr">
        <is>
          <t>WARREN</t>
        </is>
      </c>
      <c r="Q678" t="inlineStr">
        <is>
          <t>OH</t>
        </is>
      </c>
      <c r="R678" t="n">
        <v>44484</v>
      </c>
      <c r="AD678" t="inlineStr">
        <is>
          <t>TRUMBULL CAREER &amp; TECH CENTER</t>
        </is>
      </c>
      <c r="AE678" t="inlineStr">
        <is>
          <t>WARREN CITY</t>
        </is>
      </c>
      <c r="AF678" t="inlineStr">
        <is>
          <t>WARREN CITY SD</t>
        </is>
      </c>
      <c r="AH678" t="n">
        <v>14</v>
      </c>
      <c r="AI678" t="n">
        <v>11</v>
      </c>
      <c r="AN678" t="inlineStr">
        <is>
          <t>WARREN</t>
        </is>
      </c>
      <c r="AO678" t="inlineStr">
        <is>
          <t>WARREN CITY 4A</t>
        </is>
      </c>
      <c r="AP678" t="inlineStr">
        <is>
          <t>78-P-ADI</t>
        </is>
      </c>
      <c r="AQ678" t="n">
        <v>9</v>
      </c>
      <c r="AR678" t="n">
        <v>64</v>
      </c>
      <c r="AS678" t="n">
        <v>32</v>
      </c>
      <c r="AU678">
        <f>COUNTA($BA$678:$EH$678)</f>
        <v/>
      </c>
      <c r="AV678">
        <f>COUNTIF($BA$678:$EH$678,"D")</f>
        <v/>
      </c>
      <c r="AW678">
        <f>COUNTIF($BA$678:$EH$678,"R")</f>
        <v/>
      </c>
      <c r="AX678">
        <f>IF(BN678="D",1,0)+IF(BO678="D",1,0)+IF(BT678="D",1,0)+IF(BU678="D",1,0)+IF(BW678="D",1,0)+IF(CC678="D",1,0)+IF(CD678="D",1,0)+IF(CE678="D",1,0)+IF(CF678="D",1,0)+IF(CL678="D",1,0)+IF(CM678="D",1,0)+IF(CQ678="D",1,0)+IF(CR678="D",1,0)+IF(CS678="D",1,0)+IF(CW678="D",1,0)+IF(CX678="D",1,0)+IF(DD678="D",1,0)+IF(DE678="D",1,0)+IF(DJ678="D",1,0)+IF(DK678="D",1,0)+IF(DO678="D",1,0)+IF(DP678="D",1,0)+IF(DQ678="D",1,0)+IF(DW678="D",1,0)+IF(DZ678="D",1,0)+IF(EH678="D",1,0)</f>
        <v/>
      </c>
      <c r="AY678">
        <f>IF(DJ678&lt;&gt;"",1,0)+IF(DK678&lt;&gt;"",1,0)+IF(DM678&lt;&gt;"",1,0)+IF(DO678&lt;&gt;"",1,0)+IF(DP678&lt;&gt;"",1,0)+IF(DQ678&lt;&gt;"",1,0)+IF(DS678&lt;&gt;"",1,0)+IF(DT678&lt;&gt;"",1,0)+IF(DV678&lt;&gt;"",1,0)+IF(DW678&lt;&gt;"",1,0)+IF(DX678&lt;&gt;"",1,0)+IF(DY678&lt;&gt;"",1,0)+IF(DZ678&lt;&gt;"",1,0)+IF(EB678&lt;&gt;"",1,0)+IF(EC678&lt;&gt;"",1,0)+IF(ED678&lt;&gt;"",1,0)+IF(EG678&lt;&gt;"",1,0)+IF(EH678&lt;&gt;"",1,0)</f>
        <v/>
      </c>
      <c r="AZ678">
        <f>IF(EH678&lt;&gt;"",1,0)</f>
        <v/>
      </c>
      <c r="BB678" t="inlineStr">
        <is>
          <t>WARREN-WARD 4</t>
        </is>
      </c>
      <c r="DC678" t="inlineStr">
        <is>
          <t>X</t>
        </is>
      </c>
      <c r="DN678" t="inlineStr">
        <is>
          <t>X</t>
        </is>
      </c>
      <c r="EF678" t="inlineStr">
        <is>
          <t>X</t>
        </is>
      </c>
    </row>
    <row r="679">
      <c r="A679" t="inlineStr">
        <is>
          <t>OH0023908565</t>
        </is>
      </c>
      <c r="B679" t="n">
        <v>78</v>
      </c>
      <c r="C679" t="n">
        <v>419722</v>
      </c>
      <c r="D679" t="inlineStr">
        <is>
          <t>DEVALL</t>
        </is>
      </c>
      <c r="E679" t="inlineStr">
        <is>
          <t>CAROL</t>
        </is>
      </c>
      <c r="F679">
        <f>CONCATENATE(D679," ",LEFT(H679,4),"T=",AU679,"D=",AV679,"R=",AW679,"M=",AX679,"L=",AY679,"B=",AZ679)</f>
        <v/>
      </c>
      <c r="G679" t="inlineStr">
        <is>
          <t>LYNN</t>
        </is>
      </c>
      <c r="I679" t="inlineStr">
        <is>
          <t>1957-11-12</t>
        </is>
      </c>
      <c r="J679" t="inlineStr">
        <is>
          <t>2016-08-30</t>
        </is>
      </c>
      <c r="K679" t="inlineStr">
        <is>
          <t>ACTIVE</t>
        </is>
      </c>
      <c r="L679" t="inlineStr">
        <is>
          <t>D</t>
        </is>
      </c>
      <c r="M679" t="inlineStr">
        <is>
          <t>207 LOGAN AVE SE</t>
        </is>
      </c>
      <c r="N679">
        <f>RIGHT(M679,LEN(M679)-FIND(" ",M679))</f>
        <v/>
      </c>
      <c r="P679" t="inlineStr">
        <is>
          <t>WARREN</t>
        </is>
      </c>
      <c r="Q679" t="inlineStr">
        <is>
          <t>OH</t>
        </is>
      </c>
      <c r="R679" t="n">
        <v>44483</v>
      </c>
      <c r="AD679" t="inlineStr">
        <is>
          <t>TRUMBULL CAREER &amp; TECH CENTER</t>
        </is>
      </c>
      <c r="AE679" t="inlineStr">
        <is>
          <t>WARREN CITY</t>
        </is>
      </c>
      <c r="AF679" t="inlineStr">
        <is>
          <t>WARREN CITY SD</t>
        </is>
      </c>
      <c r="AH679" t="n">
        <v>14</v>
      </c>
      <c r="AI679" t="n">
        <v>11</v>
      </c>
      <c r="AN679" t="inlineStr">
        <is>
          <t>WARREN</t>
        </is>
      </c>
      <c r="AO679" t="inlineStr">
        <is>
          <t>WARREN CITY 4A</t>
        </is>
      </c>
      <c r="AP679" t="inlineStr">
        <is>
          <t>78-P-ADI</t>
        </is>
      </c>
      <c r="AQ679" t="n">
        <v>9</v>
      </c>
      <c r="AR679" t="n">
        <v>64</v>
      </c>
      <c r="AS679" t="n">
        <v>32</v>
      </c>
      <c r="AU679">
        <f>COUNTA($BA$679:$EH$679)</f>
        <v/>
      </c>
      <c r="AV679">
        <f>COUNTIF($BA$679:$EH$679,"D")</f>
        <v/>
      </c>
      <c r="AW679">
        <f>COUNTIF($BA$679:$EH$679,"R")</f>
        <v/>
      </c>
      <c r="AX679">
        <f>IF(BN679="D",1,0)+IF(BO679="D",1,0)+IF(BT679="D",1,0)+IF(BU679="D",1,0)+IF(BW679="D",1,0)+IF(CC679="D",1,0)+IF(CD679="D",1,0)+IF(CE679="D",1,0)+IF(CF679="D",1,0)+IF(CL679="D",1,0)+IF(CM679="D",1,0)+IF(CQ679="D",1,0)+IF(CR679="D",1,0)+IF(CS679="D",1,0)+IF(CW679="D",1,0)+IF(CX679="D",1,0)+IF(DD679="D",1,0)+IF(DE679="D",1,0)+IF(DJ679="D",1,0)+IF(DK679="D",1,0)+IF(DO679="D",1,0)+IF(DP679="D",1,0)+IF(DQ679="D",1,0)+IF(DW679="D",1,0)+IF(DZ679="D",1,0)+IF(EH679="D",1,0)</f>
        <v/>
      </c>
      <c r="AY679">
        <f>IF(DJ679&lt;&gt;"",1,0)+IF(DK679&lt;&gt;"",1,0)+IF(DM679&lt;&gt;"",1,0)+IF(DO679&lt;&gt;"",1,0)+IF(DP679&lt;&gt;"",1,0)+IF(DQ679&lt;&gt;"",1,0)+IF(DS679&lt;&gt;"",1,0)+IF(DT679&lt;&gt;"",1,0)+IF(DV679&lt;&gt;"",1,0)+IF(DW679&lt;&gt;"",1,0)+IF(DX679&lt;&gt;"",1,0)+IF(DY679&lt;&gt;"",1,0)+IF(DZ679&lt;&gt;"",1,0)+IF(EB679&lt;&gt;"",1,0)+IF(EC679&lt;&gt;"",1,0)+IF(ED679&lt;&gt;"",1,0)+IF(EG679&lt;&gt;"",1,0)+IF(EH679&lt;&gt;"",1,0)</f>
        <v/>
      </c>
      <c r="AZ679">
        <f>IF(EH679&lt;&gt;"",1,0)</f>
        <v/>
      </c>
      <c r="BB679" t="inlineStr">
        <is>
          <t>WARREN-WARD 4</t>
        </is>
      </c>
      <c r="DC679" t="inlineStr">
        <is>
          <t>X</t>
        </is>
      </c>
      <c r="DG679" t="inlineStr">
        <is>
          <t>D</t>
        </is>
      </c>
      <c r="DI679" t="inlineStr">
        <is>
          <t>X</t>
        </is>
      </c>
      <c r="DJ679" t="inlineStr">
        <is>
          <t>D</t>
        </is>
      </c>
      <c r="DL679" t="inlineStr">
        <is>
          <t>X</t>
        </is>
      </c>
      <c r="DM679" t="inlineStr">
        <is>
          <t>D</t>
        </is>
      </c>
      <c r="DN679" t="inlineStr">
        <is>
          <t>X</t>
        </is>
      </c>
      <c r="DS679" t="inlineStr">
        <is>
          <t>D</t>
        </is>
      </c>
      <c r="DT679" t="inlineStr">
        <is>
          <t>D</t>
        </is>
      </c>
      <c r="DU679" t="inlineStr">
        <is>
          <t>X</t>
        </is>
      </c>
      <c r="DW679" t="inlineStr">
        <is>
          <t>D</t>
        </is>
      </c>
      <c r="DX679" t="inlineStr">
        <is>
          <t>X</t>
        </is>
      </c>
      <c r="EA679" t="inlineStr">
        <is>
          <t>X</t>
        </is>
      </c>
      <c r="ED679" t="inlineStr">
        <is>
          <t>D</t>
        </is>
      </c>
      <c r="EF679" t="inlineStr">
        <is>
          <t>X</t>
        </is>
      </c>
      <c r="EH679" t="inlineStr">
        <is>
          <t>D</t>
        </is>
      </c>
    </row>
    <row r="680">
      <c r="A680" t="inlineStr">
        <is>
          <t>OH0025338790</t>
        </is>
      </c>
      <c r="B680" t="n">
        <v>78</v>
      </c>
      <c r="C680" t="n">
        <v>442896</v>
      </c>
      <c r="D680" t="inlineStr">
        <is>
          <t>OSTROW</t>
        </is>
      </c>
      <c r="E680" t="inlineStr">
        <is>
          <t>OWEN</t>
        </is>
      </c>
      <c r="F680">
        <f>CONCATENATE(D680," ",LEFT(H680,4),"T=",AU680,"D=",AV680,"R=",AW680,"M=",AX680,"L=",AY680,"B=",AZ680)</f>
        <v/>
      </c>
      <c r="G680" t="inlineStr">
        <is>
          <t>THOMAS</t>
        </is>
      </c>
      <c r="I680" t="inlineStr">
        <is>
          <t>2001-07-05</t>
        </is>
      </c>
      <c r="J680" t="inlineStr">
        <is>
          <t>2025-04-09</t>
        </is>
      </c>
      <c r="K680" t="inlineStr">
        <is>
          <t>ACTIVE</t>
        </is>
      </c>
      <c r="M680" t="inlineStr">
        <is>
          <t>1194 ADELAIDE AVE SE</t>
        </is>
      </c>
      <c r="N680">
        <f>RIGHT(M680,LEN(M680)-FIND(" ",M680))</f>
        <v/>
      </c>
      <c r="P680" t="inlineStr">
        <is>
          <t>WARREN</t>
        </is>
      </c>
      <c r="Q680" t="inlineStr">
        <is>
          <t>OH</t>
        </is>
      </c>
      <c r="R680" t="n">
        <v>44484</v>
      </c>
      <c r="AD680" t="inlineStr">
        <is>
          <t>TRUMBULL CAREER &amp; TECH CENTER</t>
        </is>
      </c>
      <c r="AE680" t="inlineStr">
        <is>
          <t>WARREN CITY</t>
        </is>
      </c>
      <c r="AF680" t="inlineStr">
        <is>
          <t>WARREN CITY SD</t>
        </is>
      </c>
      <c r="AH680" t="n">
        <v>14</v>
      </c>
      <c r="AI680" t="n">
        <v>11</v>
      </c>
      <c r="AN680" t="inlineStr">
        <is>
          <t>WARREN</t>
        </is>
      </c>
      <c r="AO680" t="inlineStr">
        <is>
          <t>WARREN CITY 4A</t>
        </is>
      </c>
      <c r="AP680" t="inlineStr">
        <is>
          <t>78-P-ADI</t>
        </is>
      </c>
      <c r="AQ680" t="n">
        <v>9</v>
      </c>
      <c r="AR680" t="n">
        <v>64</v>
      </c>
      <c r="AS680" t="n">
        <v>32</v>
      </c>
      <c r="AU680">
        <f>COUNTA($BA$680:$EH$680)</f>
        <v/>
      </c>
      <c r="AV680">
        <f>COUNTIF($BA$680:$EH$680,"D")</f>
        <v/>
      </c>
      <c r="AW680">
        <f>COUNTIF($BA$680:$EH$680,"R")</f>
        <v/>
      </c>
      <c r="AX680">
        <f>IF(BN680="D",1,0)+IF(BO680="D",1,0)+IF(BT680="D",1,0)+IF(BU680="D",1,0)+IF(BW680="D",1,0)+IF(CC680="D",1,0)+IF(CD680="D",1,0)+IF(CE680="D",1,0)+IF(CF680="D",1,0)+IF(CL680="D",1,0)+IF(CM680="D",1,0)+IF(CQ680="D",1,0)+IF(CR680="D",1,0)+IF(CS680="D",1,0)+IF(CW680="D",1,0)+IF(CX680="D",1,0)+IF(DD680="D",1,0)+IF(DE680="D",1,0)+IF(DJ680="D",1,0)+IF(DK680="D",1,0)+IF(DO680="D",1,0)+IF(DP680="D",1,0)+IF(DQ680="D",1,0)+IF(DW680="D",1,0)+IF(DZ680="D",1,0)+IF(EH680="D",1,0)</f>
        <v/>
      </c>
      <c r="AY680">
        <f>IF(DJ680&lt;&gt;"",1,0)+IF(DK680&lt;&gt;"",1,0)+IF(DM680&lt;&gt;"",1,0)+IF(DO680&lt;&gt;"",1,0)+IF(DP680&lt;&gt;"",1,0)+IF(DQ680&lt;&gt;"",1,0)+IF(DS680&lt;&gt;"",1,0)+IF(DT680&lt;&gt;"",1,0)+IF(DV680&lt;&gt;"",1,0)+IF(DW680&lt;&gt;"",1,0)+IF(DX680&lt;&gt;"",1,0)+IF(DY680&lt;&gt;"",1,0)+IF(DZ680&lt;&gt;"",1,0)+IF(EB680&lt;&gt;"",1,0)+IF(EC680&lt;&gt;"",1,0)+IF(ED680&lt;&gt;"",1,0)+IF(EG680&lt;&gt;"",1,0)+IF(EH680&lt;&gt;"",1,0)</f>
        <v/>
      </c>
      <c r="AZ680">
        <f>IF(EH680&lt;&gt;"",1,0)</f>
        <v/>
      </c>
      <c r="BB680" t="inlineStr">
        <is>
          <t>WARREN-WARD 4</t>
        </is>
      </c>
      <c r="DN680" t="inlineStr">
        <is>
          <t>X</t>
        </is>
      </c>
      <c r="EF680" t="inlineStr">
        <is>
          <t>X</t>
        </is>
      </c>
    </row>
    <row r="681">
      <c r="A681" t="inlineStr">
        <is>
          <t>OH0020061422</t>
        </is>
      </c>
      <c r="B681" t="n">
        <v>78</v>
      </c>
      <c r="C681" t="n">
        <v>362321</v>
      </c>
      <c r="D681" t="inlineStr">
        <is>
          <t>ESTES</t>
        </is>
      </c>
      <c r="E681" t="inlineStr">
        <is>
          <t>DANIELLE</t>
        </is>
      </c>
      <c r="F681">
        <f>CONCATENATE(D681," ",LEFT(H681,4),"T=",AU681,"D=",AV681,"R=",AW681,"M=",AX681,"L=",AY681,"B=",AZ681)</f>
        <v/>
      </c>
      <c r="G681" t="inlineStr">
        <is>
          <t>LEAH</t>
        </is>
      </c>
      <c r="I681" t="inlineStr">
        <is>
          <t>1977-07-30</t>
        </is>
      </c>
      <c r="J681" t="inlineStr">
        <is>
          <t>2014-07-25</t>
        </is>
      </c>
      <c r="K681" t="inlineStr">
        <is>
          <t>CONFIRMATION</t>
        </is>
      </c>
      <c r="M681" t="inlineStr">
        <is>
          <t>568 OAK KNOLL AVE SE</t>
        </is>
      </c>
      <c r="N681">
        <f>RIGHT(M681,LEN(M681)-FIND(" ",M681))</f>
        <v/>
      </c>
      <c r="P681" t="inlineStr">
        <is>
          <t>WARREN</t>
        </is>
      </c>
      <c r="Q681" t="inlineStr">
        <is>
          <t>OH</t>
        </is>
      </c>
      <c r="R681" t="n">
        <v>44483</v>
      </c>
      <c r="AD681" t="inlineStr">
        <is>
          <t>TRUMBULL CAREER &amp; TECH CENTER</t>
        </is>
      </c>
      <c r="AE681" t="inlineStr">
        <is>
          <t>WARREN CITY</t>
        </is>
      </c>
      <c r="AF681" t="inlineStr">
        <is>
          <t>WARREN CITY SD</t>
        </is>
      </c>
      <c r="AH681" t="n">
        <v>14</v>
      </c>
      <c r="AI681" t="n">
        <v>11</v>
      </c>
      <c r="AN681" t="inlineStr">
        <is>
          <t>WARREN</t>
        </is>
      </c>
      <c r="AO681" t="inlineStr">
        <is>
          <t>WARREN CITY 4A</t>
        </is>
      </c>
      <c r="AP681" t="inlineStr">
        <is>
          <t>78-P-ADI</t>
        </is>
      </c>
      <c r="AQ681" t="n">
        <v>9</v>
      </c>
      <c r="AR681" t="n">
        <v>64</v>
      </c>
      <c r="AS681" t="n">
        <v>32</v>
      </c>
      <c r="AU681">
        <f>COUNTA($BA$681:$EH$681)</f>
        <v/>
      </c>
      <c r="AV681">
        <f>COUNTIF($BA$681:$EH$681,"D")</f>
        <v/>
      </c>
      <c r="AW681">
        <f>COUNTIF($BA$681:$EH$681,"R")</f>
        <v/>
      </c>
      <c r="AX681">
        <f>IF(BN681="D",1,0)+IF(BO681="D",1,0)+IF(BT681="D",1,0)+IF(BU681="D",1,0)+IF(BW681="D",1,0)+IF(CC681="D",1,0)+IF(CD681="D",1,0)+IF(CE681="D",1,0)+IF(CF681="D",1,0)+IF(CL681="D",1,0)+IF(CM681="D",1,0)+IF(CQ681="D",1,0)+IF(CR681="D",1,0)+IF(CS681="D",1,0)+IF(CW681="D",1,0)+IF(CX681="D",1,0)+IF(DD681="D",1,0)+IF(DE681="D",1,0)+IF(DJ681="D",1,0)+IF(DK681="D",1,0)+IF(DO681="D",1,0)+IF(DP681="D",1,0)+IF(DQ681="D",1,0)+IF(DW681="D",1,0)+IF(DZ681="D",1,0)+IF(EH681="D",1,0)</f>
        <v/>
      </c>
      <c r="AY681">
        <f>IF(DJ681&lt;&gt;"",1,0)+IF(DK681&lt;&gt;"",1,0)+IF(DM681&lt;&gt;"",1,0)+IF(DO681&lt;&gt;"",1,0)+IF(DP681&lt;&gt;"",1,0)+IF(DQ681&lt;&gt;"",1,0)+IF(DS681&lt;&gt;"",1,0)+IF(DT681&lt;&gt;"",1,0)+IF(DV681&lt;&gt;"",1,0)+IF(DW681&lt;&gt;"",1,0)+IF(DX681&lt;&gt;"",1,0)+IF(DY681&lt;&gt;"",1,0)+IF(DZ681&lt;&gt;"",1,0)+IF(EB681&lt;&gt;"",1,0)+IF(EC681&lt;&gt;"",1,0)+IF(ED681&lt;&gt;"",1,0)+IF(EG681&lt;&gt;"",1,0)+IF(EH681&lt;&gt;"",1,0)</f>
        <v/>
      </c>
      <c r="AZ681">
        <f>IF(EH681&lt;&gt;"",1,0)</f>
        <v/>
      </c>
      <c r="BB681" t="inlineStr">
        <is>
          <t>WARREN-WARD 4</t>
        </is>
      </c>
      <c r="CA681" t="inlineStr">
        <is>
          <t>X</t>
        </is>
      </c>
      <c r="CG681" t="inlineStr">
        <is>
          <t>X</t>
        </is>
      </c>
    </row>
    <row r="682">
      <c r="A682" t="inlineStr">
        <is>
          <t>OH0025161184</t>
        </is>
      </c>
      <c r="B682" t="n">
        <v>78</v>
      </c>
      <c r="C682" t="n">
        <v>440638</v>
      </c>
      <c r="D682" t="inlineStr">
        <is>
          <t>HILTY</t>
        </is>
      </c>
      <c r="E682" t="inlineStr">
        <is>
          <t>LINDSEY</t>
        </is>
      </c>
      <c r="F682">
        <f>CONCATENATE(D682," ",LEFT(H682,4),"T=",AU682,"D=",AV682,"R=",AW682,"M=",AX682,"L=",AY682,"B=",AZ682)</f>
        <v/>
      </c>
      <c r="G682" t="inlineStr">
        <is>
          <t>RAE</t>
        </is>
      </c>
      <c r="I682" t="inlineStr">
        <is>
          <t>1999-04-08</t>
        </is>
      </c>
      <c r="J682" t="inlineStr">
        <is>
          <t>2019-07-29</t>
        </is>
      </c>
      <c r="K682" t="inlineStr">
        <is>
          <t>CONFIRMATION</t>
        </is>
      </c>
      <c r="M682" t="inlineStr">
        <is>
          <t>443 HOMEWOOD AVE SE</t>
        </is>
      </c>
      <c r="N682">
        <f>RIGHT(M682,LEN(M682)-FIND(" ",M682))</f>
        <v/>
      </c>
      <c r="P682" t="inlineStr">
        <is>
          <t>WARREN</t>
        </is>
      </c>
      <c r="Q682" t="inlineStr">
        <is>
          <t>OH</t>
        </is>
      </c>
      <c r="R682" t="n">
        <v>44483</v>
      </c>
      <c r="AD682" t="inlineStr">
        <is>
          <t>TRUMBULL CAREER &amp; TECH CENTER</t>
        </is>
      </c>
      <c r="AE682" t="inlineStr">
        <is>
          <t>WARREN CITY</t>
        </is>
      </c>
      <c r="AF682" t="inlineStr">
        <is>
          <t>WARREN CITY SD</t>
        </is>
      </c>
      <c r="AH682" t="n">
        <v>14</v>
      </c>
      <c r="AI682" t="n">
        <v>11</v>
      </c>
      <c r="AN682" t="inlineStr">
        <is>
          <t>WARREN</t>
        </is>
      </c>
      <c r="AO682" t="inlineStr">
        <is>
          <t>WARREN CITY 4A</t>
        </is>
      </c>
      <c r="AP682" t="inlineStr">
        <is>
          <t>78-P-ADI</t>
        </is>
      </c>
      <c r="AQ682" t="n">
        <v>9</v>
      </c>
      <c r="AR682" t="n">
        <v>64</v>
      </c>
      <c r="AS682" t="n">
        <v>32</v>
      </c>
      <c r="AU682">
        <f>COUNTA($BA$682:$EH$682)</f>
        <v/>
      </c>
      <c r="AV682">
        <f>COUNTIF($BA$682:$EH$682,"D")</f>
        <v/>
      </c>
      <c r="AW682">
        <f>COUNTIF($BA$682:$EH$682,"R")</f>
        <v/>
      </c>
      <c r="AX682">
        <f>IF(BN682="D",1,0)+IF(BO682="D",1,0)+IF(BT682="D",1,0)+IF(BU682="D",1,0)+IF(BW682="D",1,0)+IF(CC682="D",1,0)+IF(CD682="D",1,0)+IF(CE682="D",1,0)+IF(CF682="D",1,0)+IF(CL682="D",1,0)+IF(CM682="D",1,0)+IF(CQ682="D",1,0)+IF(CR682="D",1,0)+IF(CS682="D",1,0)+IF(CW682="D",1,0)+IF(CX682="D",1,0)+IF(DD682="D",1,0)+IF(DE682="D",1,0)+IF(DJ682="D",1,0)+IF(DK682="D",1,0)+IF(DO682="D",1,0)+IF(DP682="D",1,0)+IF(DQ682="D",1,0)+IF(DW682="D",1,0)+IF(DZ682="D",1,0)+IF(EH682="D",1,0)</f>
        <v/>
      </c>
      <c r="AY682">
        <f>IF(DJ682&lt;&gt;"",1,0)+IF(DK682&lt;&gt;"",1,0)+IF(DM682&lt;&gt;"",1,0)+IF(DO682&lt;&gt;"",1,0)+IF(DP682&lt;&gt;"",1,0)+IF(DQ682&lt;&gt;"",1,0)+IF(DS682&lt;&gt;"",1,0)+IF(DT682&lt;&gt;"",1,0)+IF(DV682&lt;&gt;"",1,0)+IF(DW682&lt;&gt;"",1,0)+IF(DX682&lt;&gt;"",1,0)+IF(DY682&lt;&gt;"",1,0)+IF(DZ682&lt;&gt;"",1,0)+IF(EB682&lt;&gt;"",1,0)+IF(EC682&lt;&gt;"",1,0)+IF(ED682&lt;&gt;"",1,0)+IF(EG682&lt;&gt;"",1,0)+IF(EH682&lt;&gt;"",1,0)</f>
        <v/>
      </c>
      <c r="AZ682">
        <f>IF(EH682&lt;&gt;"",1,0)</f>
        <v/>
      </c>
      <c r="BB682" t="inlineStr">
        <is>
          <t>WARREN-WARD 4</t>
        </is>
      </c>
    </row>
    <row r="683">
      <c r="A683" t="inlineStr">
        <is>
          <t>OH0024454055</t>
        </is>
      </c>
      <c r="B683" t="n">
        <v>78</v>
      </c>
      <c r="C683" t="n">
        <v>428754</v>
      </c>
      <c r="D683" t="inlineStr">
        <is>
          <t>MCELRATH</t>
        </is>
      </c>
      <c r="E683" t="inlineStr">
        <is>
          <t>SEARRA</t>
        </is>
      </c>
      <c r="F683">
        <f>CONCATENATE(D683," ",LEFT(H683,4),"T=",AU683,"D=",AV683,"R=",AW683,"M=",AX683,"L=",AY683,"B=",AZ683)</f>
        <v/>
      </c>
      <c r="G683" t="inlineStr">
        <is>
          <t>CHRISTINE</t>
        </is>
      </c>
      <c r="I683" t="inlineStr">
        <is>
          <t>1996-02-23</t>
        </is>
      </c>
      <c r="J683" t="inlineStr">
        <is>
          <t>2021-02-17</t>
        </is>
      </c>
      <c r="K683" t="inlineStr">
        <is>
          <t>ACTIVE</t>
        </is>
      </c>
      <c r="M683" t="inlineStr">
        <is>
          <t>406 HOMEWOOD AVE SE</t>
        </is>
      </c>
      <c r="N683">
        <f>RIGHT(M683,LEN(M683)-FIND(" ",M683))</f>
        <v/>
      </c>
      <c r="P683" t="inlineStr">
        <is>
          <t>WARREN</t>
        </is>
      </c>
      <c r="Q683" t="inlineStr">
        <is>
          <t>OH</t>
        </is>
      </c>
      <c r="R683" t="n">
        <v>44483</v>
      </c>
      <c r="AD683" t="inlineStr">
        <is>
          <t>TRUMBULL CAREER &amp; TECH CENTER</t>
        </is>
      </c>
      <c r="AE683" t="inlineStr">
        <is>
          <t>WARREN CITY</t>
        </is>
      </c>
      <c r="AF683" t="inlineStr">
        <is>
          <t>WARREN CITY SD</t>
        </is>
      </c>
      <c r="AH683" t="n">
        <v>14</v>
      </c>
      <c r="AI683" t="n">
        <v>11</v>
      </c>
      <c r="AN683" t="inlineStr">
        <is>
          <t>WARREN</t>
        </is>
      </c>
      <c r="AO683" t="inlineStr">
        <is>
          <t>WARREN CITY 4A</t>
        </is>
      </c>
      <c r="AP683" t="inlineStr">
        <is>
          <t>78-P-ADI</t>
        </is>
      </c>
      <c r="AQ683" t="n">
        <v>9</v>
      </c>
      <c r="AR683" t="n">
        <v>64</v>
      </c>
      <c r="AS683" t="n">
        <v>32</v>
      </c>
      <c r="AU683">
        <f>COUNTA($BA$683:$EH$683)</f>
        <v/>
      </c>
      <c r="AV683">
        <f>COUNTIF($BA$683:$EH$683,"D")</f>
        <v/>
      </c>
      <c r="AW683">
        <f>COUNTIF($BA$683:$EH$683,"R")</f>
        <v/>
      </c>
      <c r="AX683">
        <f>IF(BN683="D",1,0)+IF(BO683="D",1,0)+IF(BT683="D",1,0)+IF(BU683="D",1,0)+IF(BW683="D",1,0)+IF(CC683="D",1,0)+IF(CD683="D",1,0)+IF(CE683="D",1,0)+IF(CF683="D",1,0)+IF(CL683="D",1,0)+IF(CM683="D",1,0)+IF(CQ683="D",1,0)+IF(CR683="D",1,0)+IF(CS683="D",1,0)+IF(CW683="D",1,0)+IF(CX683="D",1,0)+IF(DD683="D",1,0)+IF(DE683="D",1,0)+IF(DJ683="D",1,0)+IF(DK683="D",1,0)+IF(DO683="D",1,0)+IF(DP683="D",1,0)+IF(DQ683="D",1,0)+IF(DW683="D",1,0)+IF(DZ683="D",1,0)+IF(EH683="D",1,0)</f>
        <v/>
      </c>
      <c r="AY683">
        <f>IF(DJ683&lt;&gt;"",1,0)+IF(DK683&lt;&gt;"",1,0)+IF(DM683&lt;&gt;"",1,0)+IF(DO683&lt;&gt;"",1,0)+IF(DP683&lt;&gt;"",1,0)+IF(DQ683&lt;&gt;"",1,0)+IF(DS683&lt;&gt;"",1,0)+IF(DT683&lt;&gt;"",1,0)+IF(DV683&lt;&gt;"",1,0)+IF(DW683&lt;&gt;"",1,0)+IF(DX683&lt;&gt;"",1,0)+IF(DY683&lt;&gt;"",1,0)+IF(DZ683&lt;&gt;"",1,0)+IF(EB683&lt;&gt;"",1,0)+IF(EC683&lt;&gt;"",1,0)+IF(ED683&lt;&gt;"",1,0)+IF(EG683&lt;&gt;"",1,0)+IF(EH683&lt;&gt;"",1,0)</f>
        <v/>
      </c>
      <c r="AZ683">
        <f>IF(EH683&lt;&gt;"",1,0)</f>
        <v/>
      </c>
      <c r="BB683" t="inlineStr">
        <is>
          <t>WARREN-WARD 4</t>
        </is>
      </c>
      <c r="DN683" t="inlineStr">
        <is>
          <t>X</t>
        </is>
      </c>
      <c r="EF683" t="inlineStr">
        <is>
          <t>X</t>
        </is>
      </c>
    </row>
    <row r="684">
      <c r="A684" t="inlineStr">
        <is>
          <t>OH0025781683</t>
        </is>
      </c>
      <c r="B684" t="n">
        <v>78</v>
      </c>
      <c r="C684" t="n">
        <v>450329</v>
      </c>
      <c r="D684" t="inlineStr">
        <is>
          <t>MARLOWE</t>
        </is>
      </c>
      <c r="E684" t="inlineStr">
        <is>
          <t>TYRE</t>
        </is>
      </c>
      <c r="F684">
        <f>CONCATENATE(D684," ",LEFT(H684,4),"T=",AU684,"D=",AV684,"R=",AW684,"M=",AX684,"L=",AY684,"B=",AZ684)</f>
        <v/>
      </c>
      <c r="G684" t="inlineStr">
        <is>
          <t>MICHAEL</t>
        </is>
      </c>
      <c r="I684" t="inlineStr">
        <is>
          <t>1999-07-02</t>
        </is>
      </c>
      <c r="J684" t="inlineStr">
        <is>
          <t>2020-08-24</t>
        </is>
      </c>
      <c r="K684" t="inlineStr">
        <is>
          <t>CONFIRMATION</t>
        </is>
      </c>
      <c r="M684" t="inlineStr">
        <is>
          <t>740 BONNIE BRAE AVE SE</t>
        </is>
      </c>
      <c r="N684">
        <f>RIGHT(M684,LEN(M684)-FIND(" ",M684))</f>
        <v/>
      </c>
      <c r="P684" t="inlineStr">
        <is>
          <t>WARREN</t>
        </is>
      </c>
      <c r="Q684" t="inlineStr">
        <is>
          <t>OH</t>
        </is>
      </c>
      <c r="R684" t="n">
        <v>44484</v>
      </c>
      <c r="AD684" t="inlineStr">
        <is>
          <t>TRUMBULL CAREER &amp; TECH CENTER</t>
        </is>
      </c>
      <c r="AE684" t="inlineStr">
        <is>
          <t>WARREN CITY</t>
        </is>
      </c>
      <c r="AF684" t="inlineStr">
        <is>
          <t>WARREN CITY SD</t>
        </is>
      </c>
      <c r="AH684" t="n">
        <v>14</v>
      </c>
      <c r="AI684" t="n">
        <v>11</v>
      </c>
      <c r="AN684" t="inlineStr">
        <is>
          <t>WARREN</t>
        </is>
      </c>
      <c r="AO684" t="inlineStr">
        <is>
          <t>WARREN CITY 4A</t>
        </is>
      </c>
      <c r="AP684" t="inlineStr">
        <is>
          <t>78-P-ADI</t>
        </is>
      </c>
      <c r="AQ684" t="n">
        <v>9</v>
      </c>
      <c r="AR684" t="n">
        <v>64</v>
      </c>
      <c r="AS684" t="n">
        <v>32</v>
      </c>
      <c r="AU684">
        <f>COUNTA($BA$684:$EH$684)</f>
        <v/>
      </c>
      <c r="AV684">
        <f>COUNTIF($BA$684:$EH$684,"D")</f>
        <v/>
      </c>
      <c r="AW684">
        <f>COUNTIF($BA$684:$EH$684,"R")</f>
        <v/>
      </c>
      <c r="AX684">
        <f>IF(BN684="D",1,0)+IF(BO684="D",1,0)+IF(BT684="D",1,0)+IF(BU684="D",1,0)+IF(BW684="D",1,0)+IF(CC684="D",1,0)+IF(CD684="D",1,0)+IF(CE684="D",1,0)+IF(CF684="D",1,0)+IF(CL684="D",1,0)+IF(CM684="D",1,0)+IF(CQ684="D",1,0)+IF(CR684="D",1,0)+IF(CS684="D",1,0)+IF(CW684="D",1,0)+IF(CX684="D",1,0)+IF(DD684="D",1,0)+IF(DE684="D",1,0)+IF(DJ684="D",1,0)+IF(DK684="D",1,0)+IF(DO684="D",1,0)+IF(DP684="D",1,0)+IF(DQ684="D",1,0)+IF(DW684="D",1,0)+IF(DZ684="D",1,0)+IF(EH684="D",1,0)</f>
        <v/>
      </c>
      <c r="AY684">
        <f>IF(DJ684&lt;&gt;"",1,0)+IF(DK684&lt;&gt;"",1,0)+IF(DM684&lt;&gt;"",1,0)+IF(DO684&lt;&gt;"",1,0)+IF(DP684&lt;&gt;"",1,0)+IF(DQ684&lt;&gt;"",1,0)+IF(DS684&lt;&gt;"",1,0)+IF(DT684&lt;&gt;"",1,0)+IF(DV684&lt;&gt;"",1,0)+IF(DW684&lt;&gt;"",1,0)+IF(DX684&lt;&gt;"",1,0)+IF(DY684&lt;&gt;"",1,0)+IF(DZ684&lt;&gt;"",1,0)+IF(EB684&lt;&gt;"",1,0)+IF(EC684&lt;&gt;"",1,0)+IF(ED684&lt;&gt;"",1,0)+IF(EG684&lt;&gt;"",1,0)+IF(EH684&lt;&gt;"",1,0)</f>
        <v/>
      </c>
      <c r="AZ684">
        <f>IF(EH684&lt;&gt;"",1,0)</f>
        <v/>
      </c>
      <c r="BB684" t="inlineStr">
        <is>
          <t>WARREN-WARD 4</t>
        </is>
      </c>
    </row>
    <row r="685">
      <c r="A685" t="inlineStr">
        <is>
          <t>OH0015823110</t>
        </is>
      </c>
      <c r="B685" t="n">
        <v>78</v>
      </c>
      <c r="C685" t="n">
        <v>291016</v>
      </c>
      <c r="D685" t="inlineStr">
        <is>
          <t>LYNCH</t>
        </is>
      </c>
      <c r="E685" t="inlineStr">
        <is>
          <t>KATIEA</t>
        </is>
      </c>
      <c r="F685">
        <f>CONCATENATE(D685," ",LEFT(H685,4),"T=",AU685,"D=",AV685,"R=",AW685,"M=",AX685,"L=",AY685,"B=",AZ685)</f>
        <v/>
      </c>
      <c r="G685" t="inlineStr">
        <is>
          <t>D</t>
        </is>
      </c>
      <c r="I685" t="inlineStr">
        <is>
          <t>1973-07-24</t>
        </is>
      </c>
      <c r="J685" t="inlineStr">
        <is>
          <t>2016-04-04</t>
        </is>
      </c>
      <c r="K685" t="inlineStr">
        <is>
          <t>CONFIRMATION</t>
        </is>
      </c>
      <c r="M685" t="inlineStr">
        <is>
          <t>233 KENILWORTH AVE SE</t>
        </is>
      </c>
      <c r="N685">
        <f>RIGHT(M685,LEN(M685)-FIND(" ",M685))</f>
        <v/>
      </c>
      <c r="P685" t="inlineStr">
        <is>
          <t>WARREN</t>
        </is>
      </c>
      <c r="Q685" t="inlineStr">
        <is>
          <t>OH</t>
        </is>
      </c>
      <c r="R685" t="n">
        <v>44483</v>
      </c>
      <c r="AD685" t="inlineStr">
        <is>
          <t>TRUMBULL CAREER &amp; TECH CENTER</t>
        </is>
      </c>
      <c r="AE685" t="inlineStr">
        <is>
          <t>WARREN CITY</t>
        </is>
      </c>
      <c r="AF685" t="inlineStr">
        <is>
          <t>WARREN CITY SD</t>
        </is>
      </c>
      <c r="AH685" t="n">
        <v>14</v>
      </c>
      <c r="AI685" t="n">
        <v>11</v>
      </c>
      <c r="AN685" t="inlineStr">
        <is>
          <t>WARREN</t>
        </is>
      </c>
      <c r="AO685" t="inlineStr">
        <is>
          <t>WARREN CITY 4A</t>
        </is>
      </c>
      <c r="AP685" t="inlineStr">
        <is>
          <t>78-P-ADI</t>
        </is>
      </c>
      <c r="AQ685" t="n">
        <v>9</v>
      </c>
      <c r="AR685" t="n">
        <v>64</v>
      </c>
      <c r="AS685" t="n">
        <v>32</v>
      </c>
      <c r="AU685">
        <f>COUNTA($BA$685:$EH$685)</f>
        <v/>
      </c>
      <c r="AV685">
        <f>COUNTIF($BA$685:$EH$685,"D")</f>
        <v/>
      </c>
      <c r="AW685">
        <f>COUNTIF($BA$685:$EH$685,"R")</f>
        <v/>
      </c>
      <c r="AX685">
        <f>IF(BN685="D",1,0)+IF(BO685="D",1,0)+IF(BT685="D",1,0)+IF(BU685="D",1,0)+IF(BW685="D",1,0)+IF(CC685="D",1,0)+IF(CD685="D",1,0)+IF(CE685="D",1,0)+IF(CF685="D",1,0)+IF(CL685="D",1,0)+IF(CM685="D",1,0)+IF(CQ685="D",1,0)+IF(CR685="D",1,0)+IF(CS685="D",1,0)+IF(CW685="D",1,0)+IF(CX685="D",1,0)+IF(DD685="D",1,0)+IF(DE685="D",1,0)+IF(DJ685="D",1,0)+IF(DK685="D",1,0)+IF(DO685="D",1,0)+IF(DP685="D",1,0)+IF(DQ685="D",1,0)+IF(DW685="D",1,0)+IF(DZ685="D",1,0)+IF(EH685="D",1,0)</f>
        <v/>
      </c>
      <c r="AY685">
        <f>IF(DJ685&lt;&gt;"",1,0)+IF(DK685&lt;&gt;"",1,0)+IF(DM685&lt;&gt;"",1,0)+IF(DO685&lt;&gt;"",1,0)+IF(DP685&lt;&gt;"",1,0)+IF(DQ685&lt;&gt;"",1,0)+IF(DS685&lt;&gt;"",1,0)+IF(DT685&lt;&gt;"",1,0)+IF(DV685&lt;&gt;"",1,0)+IF(DW685&lt;&gt;"",1,0)+IF(DX685&lt;&gt;"",1,0)+IF(DY685&lt;&gt;"",1,0)+IF(DZ685&lt;&gt;"",1,0)+IF(EB685&lt;&gt;"",1,0)+IF(EC685&lt;&gt;"",1,0)+IF(ED685&lt;&gt;"",1,0)+IF(EG685&lt;&gt;"",1,0)+IF(EH685&lt;&gt;"",1,0)</f>
        <v/>
      </c>
      <c r="AZ685">
        <f>IF(EH685&lt;&gt;"",1,0)</f>
        <v/>
      </c>
      <c r="BB685" t="inlineStr">
        <is>
          <t>WARREN-WARD 4</t>
        </is>
      </c>
      <c r="BL685" t="inlineStr">
        <is>
          <t>X</t>
        </is>
      </c>
      <c r="CV685" t="inlineStr">
        <is>
          <t>X</t>
        </is>
      </c>
      <c r="CZ685" t="inlineStr">
        <is>
          <t>R</t>
        </is>
      </c>
      <c r="DN685" t="inlineStr">
        <is>
          <t>X</t>
        </is>
      </c>
    </row>
    <row r="686">
      <c r="A686" t="inlineStr">
        <is>
          <t>OH0024248014</t>
        </is>
      </c>
      <c r="B686" t="n">
        <v>78</v>
      </c>
      <c r="C686" t="n">
        <v>424648</v>
      </c>
      <c r="D686" t="inlineStr">
        <is>
          <t>JONES</t>
        </is>
      </c>
      <c r="E686" t="inlineStr">
        <is>
          <t>EVANELDE</t>
        </is>
      </c>
      <c r="F686">
        <f>CONCATENATE(D686," ",LEFT(H686,4),"T=",AU686,"D=",AV686,"R=",AW686,"M=",AX686,"L=",AY686,"B=",AZ686)</f>
        <v/>
      </c>
      <c r="G686" t="inlineStr">
        <is>
          <t>B</t>
        </is>
      </c>
      <c r="I686" t="inlineStr">
        <is>
          <t>1969-06-09</t>
        </is>
      </c>
      <c r="J686" t="inlineStr">
        <is>
          <t>2017-03-24</t>
        </is>
      </c>
      <c r="K686" t="inlineStr">
        <is>
          <t>CONFIRMATION</t>
        </is>
      </c>
      <c r="M686" t="inlineStr">
        <is>
          <t>197 LOGAN AVE SE</t>
        </is>
      </c>
      <c r="N686">
        <f>RIGHT(M686,LEN(M686)-FIND(" ",M686))</f>
        <v/>
      </c>
      <c r="P686" t="inlineStr">
        <is>
          <t>WARREN</t>
        </is>
      </c>
      <c r="Q686" t="inlineStr">
        <is>
          <t>OH</t>
        </is>
      </c>
      <c r="R686" t="n">
        <v>44483</v>
      </c>
      <c r="AD686" t="inlineStr">
        <is>
          <t>TRUMBULL CAREER &amp; TECH CENTER</t>
        </is>
      </c>
      <c r="AE686" t="inlineStr">
        <is>
          <t>WARREN CITY</t>
        </is>
      </c>
      <c r="AF686" t="inlineStr">
        <is>
          <t>WARREN CITY SD</t>
        </is>
      </c>
      <c r="AH686" t="n">
        <v>14</v>
      </c>
      <c r="AI686" t="n">
        <v>11</v>
      </c>
      <c r="AN686" t="inlineStr">
        <is>
          <t>WARREN</t>
        </is>
      </c>
      <c r="AO686" t="inlineStr">
        <is>
          <t>WARREN CITY 4A</t>
        </is>
      </c>
      <c r="AP686" t="inlineStr">
        <is>
          <t>78-P-ADI</t>
        </is>
      </c>
      <c r="AQ686" t="n">
        <v>9</v>
      </c>
      <c r="AR686" t="n">
        <v>64</v>
      </c>
      <c r="AS686" t="n">
        <v>32</v>
      </c>
      <c r="AU686">
        <f>COUNTA($BA$686:$EH$686)</f>
        <v/>
      </c>
      <c r="AV686">
        <f>COUNTIF($BA$686:$EH$686,"D")</f>
        <v/>
      </c>
      <c r="AW686">
        <f>COUNTIF($BA$686:$EH$686,"R")</f>
        <v/>
      </c>
      <c r="AX686">
        <f>IF(BN686="D",1,0)+IF(BO686="D",1,0)+IF(BT686="D",1,0)+IF(BU686="D",1,0)+IF(BW686="D",1,0)+IF(CC686="D",1,0)+IF(CD686="D",1,0)+IF(CE686="D",1,0)+IF(CF686="D",1,0)+IF(CL686="D",1,0)+IF(CM686="D",1,0)+IF(CQ686="D",1,0)+IF(CR686="D",1,0)+IF(CS686="D",1,0)+IF(CW686="D",1,0)+IF(CX686="D",1,0)+IF(DD686="D",1,0)+IF(DE686="D",1,0)+IF(DJ686="D",1,0)+IF(DK686="D",1,0)+IF(DO686="D",1,0)+IF(DP686="D",1,0)+IF(DQ686="D",1,0)+IF(DW686="D",1,0)+IF(DZ686="D",1,0)+IF(EH686="D",1,0)</f>
        <v/>
      </c>
      <c r="AY686">
        <f>IF(DJ686&lt;&gt;"",1,0)+IF(DK686&lt;&gt;"",1,0)+IF(DM686&lt;&gt;"",1,0)+IF(DO686&lt;&gt;"",1,0)+IF(DP686&lt;&gt;"",1,0)+IF(DQ686&lt;&gt;"",1,0)+IF(DS686&lt;&gt;"",1,0)+IF(DT686&lt;&gt;"",1,0)+IF(DV686&lt;&gt;"",1,0)+IF(DW686&lt;&gt;"",1,0)+IF(DX686&lt;&gt;"",1,0)+IF(DY686&lt;&gt;"",1,0)+IF(DZ686&lt;&gt;"",1,0)+IF(EB686&lt;&gt;"",1,0)+IF(EC686&lt;&gt;"",1,0)+IF(ED686&lt;&gt;"",1,0)+IF(EG686&lt;&gt;"",1,0)+IF(EH686&lt;&gt;"",1,0)</f>
        <v/>
      </c>
      <c r="AZ686">
        <f>IF(EH686&lt;&gt;"",1,0)</f>
        <v/>
      </c>
      <c r="BB686" t="inlineStr">
        <is>
          <t>WARREN-WARD 4</t>
        </is>
      </c>
    </row>
    <row r="687">
      <c r="A687" t="inlineStr">
        <is>
          <t>OH0025808056</t>
        </is>
      </c>
      <c r="B687" t="n">
        <v>78</v>
      </c>
      <c r="C687" t="n">
        <v>450785</v>
      </c>
      <c r="D687" t="inlineStr">
        <is>
          <t>DARNO</t>
        </is>
      </c>
      <c r="E687" t="inlineStr">
        <is>
          <t>NICHOLAS</t>
        </is>
      </c>
      <c r="F687">
        <f>CONCATENATE(D687," ",LEFT(H687,4),"T=",AU687,"D=",AV687,"R=",AW687,"M=",AX687,"L=",AY687,"B=",AZ687)</f>
        <v/>
      </c>
      <c r="G687" t="inlineStr">
        <is>
          <t>ANTHONY</t>
        </is>
      </c>
      <c r="I687" t="inlineStr">
        <is>
          <t>1983-12-01</t>
        </is>
      </c>
      <c r="J687" t="inlineStr">
        <is>
          <t>2020-09-02</t>
        </is>
      </c>
      <c r="K687" t="inlineStr">
        <is>
          <t>ACTIVE</t>
        </is>
      </c>
      <c r="L687" t="inlineStr">
        <is>
          <t>R</t>
        </is>
      </c>
      <c r="M687" t="inlineStr">
        <is>
          <t>403 HOMEWOOD AVE SE</t>
        </is>
      </c>
      <c r="N687">
        <f>RIGHT(M687,LEN(M687)-FIND(" ",M687))</f>
        <v/>
      </c>
      <c r="P687" t="inlineStr">
        <is>
          <t>WARREN</t>
        </is>
      </c>
      <c r="Q687" t="inlineStr">
        <is>
          <t>OH</t>
        </is>
      </c>
      <c r="R687" t="n">
        <v>44483</v>
      </c>
      <c r="AD687" t="inlineStr">
        <is>
          <t>TRUMBULL CAREER &amp; TECH CENTER</t>
        </is>
      </c>
      <c r="AE687" t="inlineStr">
        <is>
          <t>WARREN CITY</t>
        </is>
      </c>
      <c r="AF687" t="inlineStr">
        <is>
          <t>WARREN CITY SD</t>
        </is>
      </c>
      <c r="AH687" t="n">
        <v>14</v>
      </c>
      <c r="AI687" t="n">
        <v>11</v>
      </c>
      <c r="AN687" t="inlineStr">
        <is>
          <t>WARREN</t>
        </is>
      </c>
      <c r="AO687" t="inlineStr">
        <is>
          <t>WARREN CITY 4A</t>
        </is>
      </c>
      <c r="AP687" t="inlineStr">
        <is>
          <t>78-P-ADI</t>
        </is>
      </c>
      <c r="AQ687" t="n">
        <v>9</v>
      </c>
      <c r="AR687" t="n">
        <v>64</v>
      </c>
      <c r="AS687" t="n">
        <v>32</v>
      </c>
      <c r="AU687">
        <f>COUNTA($BA$687:$EH$687)</f>
        <v/>
      </c>
      <c r="AV687">
        <f>COUNTIF($BA$687:$EH$687,"D")</f>
        <v/>
      </c>
      <c r="AW687">
        <f>COUNTIF($BA$687:$EH$687,"R")</f>
        <v/>
      </c>
      <c r="AX687">
        <f>IF(BN687="D",1,0)+IF(BO687="D",1,0)+IF(BT687="D",1,0)+IF(BU687="D",1,0)+IF(BW687="D",1,0)+IF(CC687="D",1,0)+IF(CD687="D",1,0)+IF(CE687="D",1,0)+IF(CF687="D",1,0)+IF(CL687="D",1,0)+IF(CM687="D",1,0)+IF(CQ687="D",1,0)+IF(CR687="D",1,0)+IF(CS687="D",1,0)+IF(CW687="D",1,0)+IF(CX687="D",1,0)+IF(DD687="D",1,0)+IF(DE687="D",1,0)+IF(DJ687="D",1,0)+IF(DK687="D",1,0)+IF(DO687="D",1,0)+IF(DP687="D",1,0)+IF(DQ687="D",1,0)+IF(DW687="D",1,0)+IF(DZ687="D",1,0)+IF(EH687="D",1,0)</f>
        <v/>
      </c>
      <c r="AY687">
        <f>IF(DJ687&lt;&gt;"",1,0)+IF(DK687&lt;&gt;"",1,0)+IF(DM687&lt;&gt;"",1,0)+IF(DO687&lt;&gt;"",1,0)+IF(DP687&lt;&gt;"",1,0)+IF(DQ687&lt;&gt;"",1,0)+IF(DS687&lt;&gt;"",1,0)+IF(DT687&lt;&gt;"",1,0)+IF(DV687&lt;&gt;"",1,0)+IF(DW687&lt;&gt;"",1,0)+IF(DX687&lt;&gt;"",1,0)+IF(DY687&lt;&gt;"",1,0)+IF(DZ687&lt;&gt;"",1,0)+IF(EB687&lt;&gt;"",1,0)+IF(EC687&lt;&gt;"",1,0)+IF(ED687&lt;&gt;"",1,0)+IF(EG687&lt;&gt;"",1,0)+IF(EH687&lt;&gt;"",1,0)</f>
        <v/>
      </c>
      <c r="AZ687">
        <f>IF(EH687&lt;&gt;"",1,0)</f>
        <v/>
      </c>
      <c r="BB687" t="inlineStr">
        <is>
          <t>WARREN-WARD 4</t>
        </is>
      </c>
      <c r="BG687" t="inlineStr">
        <is>
          <t>X</t>
        </is>
      </c>
      <c r="BI687" t="inlineStr">
        <is>
          <t>X</t>
        </is>
      </c>
      <c r="BY687" t="inlineStr">
        <is>
          <t>D</t>
        </is>
      </c>
      <c r="CA687" t="inlineStr">
        <is>
          <t>X</t>
        </is>
      </c>
      <c r="CK687" t="inlineStr">
        <is>
          <t>X</t>
        </is>
      </c>
      <c r="CL687" t="inlineStr">
        <is>
          <t>D</t>
        </is>
      </c>
      <c r="DN687" t="inlineStr">
        <is>
          <t>X</t>
        </is>
      </c>
      <c r="DS687" t="inlineStr">
        <is>
          <t>R</t>
        </is>
      </c>
      <c r="DU687" t="inlineStr">
        <is>
          <t>X</t>
        </is>
      </c>
      <c r="DX687" t="inlineStr">
        <is>
          <t>X</t>
        </is>
      </c>
      <c r="EA687" t="inlineStr">
        <is>
          <t>X</t>
        </is>
      </c>
      <c r="ED687" t="inlineStr">
        <is>
          <t>R</t>
        </is>
      </c>
      <c r="EF687" t="inlineStr">
        <is>
          <t>X</t>
        </is>
      </c>
    </row>
    <row r="688">
      <c r="A688" t="inlineStr">
        <is>
          <t>OH0021315660</t>
        </is>
      </c>
      <c r="B688" t="n">
        <v>78</v>
      </c>
      <c r="C688" t="n">
        <v>378985</v>
      </c>
      <c r="D688" t="inlineStr">
        <is>
          <t>ROBINSON</t>
        </is>
      </c>
      <c r="E688" t="inlineStr">
        <is>
          <t>DAJAUN</t>
        </is>
      </c>
      <c r="F688">
        <f>CONCATENATE(D688," ",LEFT(H688,4),"T=",AU688,"D=",AV688,"R=",AW688,"M=",AX688,"L=",AY688,"B=",AZ688)</f>
        <v/>
      </c>
      <c r="G688" t="inlineStr">
        <is>
          <t>KINYATA</t>
        </is>
      </c>
      <c r="I688" t="inlineStr">
        <is>
          <t>1977-11-28</t>
        </is>
      </c>
      <c r="J688" t="inlineStr">
        <is>
          <t>2022-11-30</t>
        </is>
      </c>
      <c r="K688" t="inlineStr">
        <is>
          <t>ACTIVE</t>
        </is>
      </c>
      <c r="M688" t="inlineStr">
        <is>
          <t>876 KENILWORTH AVE SE</t>
        </is>
      </c>
      <c r="N688">
        <f>RIGHT(M688,LEN(M688)-FIND(" ",M688))</f>
        <v/>
      </c>
      <c r="P688" t="inlineStr">
        <is>
          <t>WARREN</t>
        </is>
      </c>
      <c r="Q688" t="inlineStr">
        <is>
          <t>OH</t>
        </is>
      </c>
      <c r="R688" t="n">
        <v>44484</v>
      </c>
      <c r="AD688" t="inlineStr">
        <is>
          <t>TRUMBULL CAREER &amp; TECH CENTER</t>
        </is>
      </c>
      <c r="AE688" t="inlineStr">
        <is>
          <t>WARREN CITY</t>
        </is>
      </c>
      <c r="AF688" t="inlineStr">
        <is>
          <t>WARREN CITY SD</t>
        </is>
      </c>
      <c r="AH688" t="n">
        <v>14</v>
      </c>
      <c r="AI688" t="n">
        <v>11</v>
      </c>
      <c r="AN688" t="inlineStr">
        <is>
          <t>WARREN</t>
        </is>
      </c>
      <c r="AO688" t="inlineStr">
        <is>
          <t>WARREN CITY 4A</t>
        </is>
      </c>
      <c r="AP688" t="inlineStr">
        <is>
          <t>78-P-ADI</t>
        </is>
      </c>
      <c r="AQ688" t="n">
        <v>9</v>
      </c>
      <c r="AR688" t="n">
        <v>64</v>
      </c>
      <c r="AS688" t="n">
        <v>32</v>
      </c>
      <c r="AU688">
        <f>COUNTA($BA$688:$EH$688)</f>
        <v/>
      </c>
      <c r="AV688">
        <f>COUNTIF($BA$688:$EH$688,"D")</f>
        <v/>
      </c>
      <c r="AW688">
        <f>COUNTIF($BA$688:$EH$688,"R")</f>
        <v/>
      </c>
      <c r="AX688">
        <f>IF(BN688="D",1,0)+IF(BO688="D",1,0)+IF(BT688="D",1,0)+IF(BU688="D",1,0)+IF(BW688="D",1,0)+IF(CC688="D",1,0)+IF(CD688="D",1,0)+IF(CE688="D",1,0)+IF(CF688="D",1,0)+IF(CL688="D",1,0)+IF(CM688="D",1,0)+IF(CQ688="D",1,0)+IF(CR688="D",1,0)+IF(CS688="D",1,0)+IF(CW688="D",1,0)+IF(CX688="D",1,0)+IF(DD688="D",1,0)+IF(DE688="D",1,0)+IF(DJ688="D",1,0)+IF(DK688="D",1,0)+IF(DO688="D",1,0)+IF(DP688="D",1,0)+IF(DQ688="D",1,0)+IF(DW688="D",1,0)+IF(DZ688="D",1,0)+IF(EH688="D",1,0)</f>
        <v/>
      </c>
      <c r="AY688">
        <f>IF(DJ688&lt;&gt;"",1,0)+IF(DK688&lt;&gt;"",1,0)+IF(DM688&lt;&gt;"",1,0)+IF(DO688&lt;&gt;"",1,0)+IF(DP688&lt;&gt;"",1,0)+IF(DQ688&lt;&gt;"",1,0)+IF(DS688&lt;&gt;"",1,0)+IF(DT688&lt;&gt;"",1,0)+IF(DV688&lt;&gt;"",1,0)+IF(DW688&lt;&gt;"",1,0)+IF(DX688&lt;&gt;"",1,0)+IF(DY688&lt;&gt;"",1,0)+IF(DZ688&lt;&gt;"",1,0)+IF(EB688&lt;&gt;"",1,0)+IF(EC688&lt;&gt;"",1,0)+IF(ED688&lt;&gt;"",1,0)+IF(EG688&lt;&gt;"",1,0)+IF(EH688&lt;&gt;"",1,0)</f>
        <v/>
      </c>
      <c r="AZ688">
        <f>IF(EH688&lt;&gt;"",1,0)</f>
        <v/>
      </c>
      <c r="BB688" t="inlineStr">
        <is>
          <t>WARREN-WARD 4</t>
        </is>
      </c>
      <c r="CN688" t="inlineStr">
        <is>
          <t>X</t>
        </is>
      </c>
      <c r="CP688" t="inlineStr">
        <is>
          <t>X</t>
        </is>
      </c>
      <c r="CW688" t="inlineStr">
        <is>
          <t>D</t>
        </is>
      </c>
      <c r="CY688" t="inlineStr">
        <is>
          <t>X</t>
        </is>
      </c>
      <c r="CZ688" t="inlineStr">
        <is>
          <t>D</t>
        </is>
      </c>
      <c r="DC688" t="inlineStr">
        <is>
          <t>X</t>
        </is>
      </c>
      <c r="DI688" t="inlineStr">
        <is>
          <t>X</t>
        </is>
      </c>
      <c r="DN688" t="inlineStr">
        <is>
          <t>X</t>
        </is>
      </c>
      <c r="DU688" t="inlineStr">
        <is>
          <t>X</t>
        </is>
      </c>
      <c r="DX688" t="inlineStr">
        <is>
          <t>X</t>
        </is>
      </c>
      <c r="EA688" t="inlineStr">
        <is>
          <t>X</t>
        </is>
      </c>
      <c r="EF688" t="inlineStr">
        <is>
          <t>X</t>
        </is>
      </c>
    </row>
    <row r="689">
      <c r="A689" t="inlineStr">
        <is>
          <t>OH0026171894</t>
        </is>
      </c>
      <c r="B689" t="n">
        <v>78</v>
      </c>
      <c r="C689" t="n">
        <v>360147</v>
      </c>
      <c r="D689" t="inlineStr">
        <is>
          <t>STREETER</t>
        </is>
      </c>
      <c r="E689" t="inlineStr">
        <is>
          <t>JOHN</t>
        </is>
      </c>
      <c r="F689">
        <f>CONCATENATE(D689," ",LEFT(H689,4),"T=",AU689,"D=",AV689,"R=",AW689,"M=",AX689,"L=",AY689,"B=",AZ689)</f>
        <v/>
      </c>
      <c r="G689" t="inlineStr">
        <is>
          <t>D</t>
        </is>
      </c>
      <c r="I689" t="inlineStr">
        <is>
          <t>1960-05-29</t>
        </is>
      </c>
      <c r="J689" t="inlineStr">
        <is>
          <t>2024-08-12</t>
        </is>
      </c>
      <c r="K689" t="inlineStr">
        <is>
          <t>ACTIVE</t>
        </is>
      </c>
      <c r="M689" t="inlineStr">
        <is>
          <t>1938 E MARKET ST</t>
        </is>
      </c>
      <c r="N689">
        <f>RIGHT(M689,LEN(M689)-FIND(" ",M689))</f>
        <v/>
      </c>
      <c r="P689" t="inlineStr">
        <is>
          <t>WARREN</t>
        </is>
      </c>
      <c r="Q689" t="inlineStr">
        <is>
          <t>OH</t>
        </is>
      </c>
      <c r="R689" t="n">
        <v>44483</v>
      </c>
      <c r="AD689" t="inlineStr">
        <is>
          <t>TRUMBULL CAREER &amp; TECH CENTER</t>
        </is>
      </c>
      <c r="AE689" t="inlineStr">
        <is>
          <t>WARREN CITY</t>
        </is>
      </c>
      <c r="AF689" t="inlineStr">
        <is>
          <t>WARREN CITY SD</t>
        </is>
      </c>
      <c r="AH689" t="n">
        <v>14</v>
      </c>
      <c r="AI689" t="n">
        <v>11</v>
      </c>
      <c r="AN689" t="inlineStr">
        <is>
          <t>WARREN</t>
        </is>
      </c>
      <c r="AO689" t="inlineStr">
        <is>
          <t>WARREN CITY 4A</t>
        </is>
      </c>
      <c r="AP689" t="inlineStr">
        <is>
          <t>78-P-ADI</t>
        </is>
      </c>
      <c r="AQ689" t="n">
        <v>9</v>
      </c>
      <c r="AR689" t="n">
        <v>64</v>
      </c>
      <c r="AS689" t="n">
        <v>32</v>
      </c>
      <c r="AU689">
        <f>COUNTA($BA$689:$EH$689)</f>
        <v/>
      </c>
      <c r="AV689">
        <f>COUNTIF($BA$689:$EH$689,"D")</f>
        <v/>
      </c>
      <c r="AW689">
        <f>COUNTIF($BA$689:$EH$689,"R")</f>
        <v/>
      </c>
      <c r="AX689">
        <f>IF(BN689="D",1,0)+IF(BO689="D",1,0)+IF(BT689="D",1,0)+IF(BU689="D",1,0)+IF(BW689="D",1,0)+IF(CC689="D",1,0)+IF(CD689="D",1,0)+IF(CE689="D",1,0)+IF(CF689="D",1,0)+IF(CL689="D",1,0)+IF(CM689="D",1,0)+IF(CQ689="D",1,0)+IF(CR689="D",1,0)+IF(CS689="D",1,0)+IF(CW689="D",1,0)+IF(CX689="D",1,0)+IF(DD689="D",1,0)+IF(DE689="D",1,0)+IF(DJ689="D",1,0)+IF(DK689="D",1,0)+IF(DO689="D",1,0)+IF(DP689="D",1,0)+IF(DQ689="D",1,0)+IF(DW689="D",1,0)+IF(DZ689="D",1,0)+IF(EH689="D",1,0)</f>
        <v/>
      </c>
      <c r="AY689">
        <f>IF(DJ689&lt;&gt;"",1,0)+IF(DK689&lt;&gt;"",1,0)+IF(DM689&lt;&gt;"",1,0)+IF(DO689&lt;&gt;"",1,0)+IF(DP689&lt;&gt;"",1,0)+IF(DQ689&lt;&gt;"",1,0)+IF(DS689&lt;&gt;"",1,0)+IF(DT689&lt;&gt;"",1,0)+IF(DV689&lt;&gt;"",1,0)+IF(DW689&lt;&gt;"",1,0)+IF(DX689&lt;&gt;"",1,0)+IF(DY689&lt;&gt;"",1,0)+IF(DZ689&lt;&gt;"",1,0)+IF(EB689&lt;&gt;"",1,0)+IF(EC689&lt;&gt;"",1,0)+IF(ED689&lt;&gt;"",1,0)+IF(EG689&lt;&gt;"",1,0)+IF(EH689&lt;&gt;"",1,0)</f>
        <v/>
      </c>
      <c r="AZ689">
        <f>IF(EH689&lt;&gt;"",1,0)</f>
        <v/>
      </c>
      <c r="BB689" t="inlineStr">
        <is>
          <t>WARREN-WARD 4</t>
        </is>
      </c>
    </row>
    <row r="690">
      <c r="A690" t="inlineStr">
        <is>
          <t>OH0021297923</t>
        </is>
      </c>
      <c r="B690" t="n">
        <v>78</v>
      </c>
      <c r="C690" t="n">
        <v>378584</v>
      </c>
      <c r="D690" t="inlineStr">
        <is>
          <t>CALLAWAY</t>
        </is>
      </c>
      <c r="E690" t="inlineStr">
        <is>
          <t>TROLAUNDA</t>
        </is>
      </c>
      <c r="F690">
        <f>CONCATENATE(D690," ",LEFT(H690,4),"T=",AU690,"D=",AV690,"R=",AW690,"M=",AX690,"L=",AY690,"B=",AZ690)</f>
        <v/>
      </c>
      <c r="G690" t="inlineStr">
        <is>
          <t>L</t>
        </is>
      </c>
      <c r="I690" t="inlineStr">
        <is>
          <t>1980-07-03</t>
        </is>
      </c>
      <c r="J690" t="inlineStr">
        <is>
          <t>2023-10-12</t>
        </is>
      </c>
      <c r="K690" t="inlineStr">
        <is>
          <t>ACTIVE</t>
        </is>
      </c>
      <c r="M690" t="inlineStr">
        <is>
          <t>1214 SOUTH ST SE</t>
        </is>
      </c>
      <c r="N690">
        <f>RIGHT(M690,LEN(M690)-FIND(" ",M690))</f>
        <v/>
      </c>
      <c r="P690" t="inlineStr">
        <is>
          <t>WARREN</t>
        </is>
      </c>
      <c r="Q690" t="inlineStr">
        <is>
          <t>OH</t>
        </is>
      </c>
      <c r="R690" t="n">
        <v>44483</v>
      </c>
      <c r="AD690" t="inlineStr">
        <is>
          <t>TRUMBULL CAREER &amp; TECH CENTER</t>
        </is>
      </c>
      <c r="AE690" t="inlineStr">
        <is>
          <t>WARREN CITY</t>
        </is>
      </c>
      <c r="AF690" t="inlineStr">
        <is>
          <t>WARREN CITY SD</t>
        </is>
      </c>
      <c r="AH690" t="n">
        <v>14</v>
      </c>
      <c r="AI690" t="n">
        <v>11</v>
      </c>
      <c r="AN690" t="inlineStr">
        <is>
          <t>WARREN</t>
        </is>
      </c>
      <c r="AO690" t="inlineStr">
        <is>
          <t>WARREN CITY 4A</t>
        </is>
      </c>
      <c r="AP690" t="inlineStr">
        <is>
          <t>78-P-ADI</t>
        </is>
      </c>
      <c r="AQ690" t="n">
        <v>9</v>
      </c>
      <c r="AR690" t="n">
        <v>64</v>
      </c>
      <c r="AS690" t="n">
        <v>32</v>
      </c>
      <c r="AU690">
        <f>COUNTA($BA$690:$EH$690)</f>
        <v/>
      </c>
      <c r="AV690">
        <f>COUNTIF($BA$690:$EH$690,"D")</f>
        <v/>
      </c>
      <c r="AW690">
        <f>COUNTIF($BA$690:$EH$690,"R")</f>
        <v/>
      </c>
      <c r="AX690">
        <f>IF(BN690="D",1,0)+IF(BO690="D",1,0)+IF(BT690="D",1,0)+IF(BU690="D",1,0)+IF(BW690="D",1,0)+IF(CC690="D",1,0)+IF(CD690="D",1,0)+IF(CE690="D",1,0)+IF(CF690="D",1,0)+IF(CL690="D",1,0)+IF(CM690="D",1,0)+IF(CQ690="D",1,0)+IF(CR690="D",1,0)+IF(CS690="D",1,0)+IF(CW690="D",1,0)+IF(CX690="D",1,0)+IF(DD690="D",1,0)+IF(DE690="D",1,0)+IF(DJ690="D",1,0)+IF(DK690="D",1,0)+IF(DO690="D",1,0)+IF(DP690="D",1,0)+IF(DQ690="D",1,0)+IF(DW690="D",1,0)+IF(DZ690="D",1,0)+IF(EH690="D",1,0)</f>
        <v/>
      </c>
      <c r="AY690">
        <f>IF(DJ690&lt;&gt;"",1,0)+IF(DK690&lt;&gt;"",1,0)+IF(DM690&lt;&gt;"",1,0)+IF(DO690&lt;&gt;"",1,0)+IF(DP690&lt;&gt;"",1,0)+IF(DQ690&lt;&gt;"",1,0)+IF(DS690&lt;&gt;"",1,0)+IF(DT690&lt;&gt;"",1,0)+IF(DV690&lt;&gt;"",1,0)+IF(DW690&lt;&gt;"",1,0)+IF(DX690&lt;&gt;"",1,0)+IF(DY690&lt;&gt;"",1,0)+IF(DZ690&lt;&gt;"",1,0)+IF(EB690&lt;&gt;"",1,0)+IF(EC690&lt;&gt;"",1,0)+IF(ED690&lt;&gt;"",1,0)+IF(EG690&lt;&gt;"",1,0)+IF(EH690&lt;&gt;"",1,0)</f>
        <v/>
      </c>
      <c r="AZ690">
        <f>IF(EH690&lt;&gt;"",1,0)</f>
        <v/>
      </c>
      <c r="BB690" t="inlineStr">
        <is>
          <t>WARREN-WARD 4</t>
        </is>
      </c>
      <c r="CN690" t="inlineStr">
        <is>
          <t>X</t>
        </is>
      </c>
      <c r="CO690" t="inlineStr">
        <is>
          <t>D</t>
        </is>
      </c>
      <c r="CP690" t="inlineStr">
        <is>
          <t>X</t>
        </is>
      </c>
      <c r="CV690" t="inlineStr">
        <is>
          <t>X</t>
        </is>
      </c>
      <c r="CW690" t="inlineStr">
        <is>
          <t>D</t>
        </is>
      </c>
      <c r="CY690" t="inlineStr">
        <is>
          <t>X</t>
        </is>
      </c>
      <c r="CZ690" t="inlineStr">
        <is>
          <t>D</t>
        </is>
      </c>
      <c r="DC690" t="inlineStr">
        <is>
          <t>X</t>
        </is>
      </c>
      <c r="EF690" t="inlineStr">
        <is>
          <t>X</t>
        </is>
      </c>
    </row>
    <row r="691">
      <c r="A691" t="inlineStr">
        <is>
          <t>OH0025686783</t>
        </is>
      </c>
      <c r="B691" t="n">
        <v>78</v>
      </c>
      <c r="C691" t="n">
        <v>448566</v>
      </c>
      <c r="D691" t="inlineStr">
        <is>
          <t>PITTRELL</t>
        </is>
      </c>
      <c r="E691" t="inlineStr">
        <is>
          <t>QURAN</t>
        </is>
      </c>
      <c r="F691">
        <f>CONCATENATE(D691," ",LEFT(H691,4),"T=",AU691,"D=",AV691,"R=",AW691,"M=",AX691,"L=",AY691,"B=",AZ691)</f>
        <v/>
      </c>
      <c r="G691" t="inlineStr">
        <is>
          <t>L</t>
        </is>
      </c>
      <c r="I691" t="inlineStr">
        <is>
          <t>2001-08-04</t>
        </is>
      </c>
      <c r="J691" t="inlineStr">
        <is>
          <t>2021-10-15</t>
        </is>
      </c>
      <c r="K691" t="inlineStr">
        <is>
          <t>CONFIRMATION</t>
        </is>
      </c>
      <c r="M691" t="inlineStr">
        <is>
          <t>306 IDDINGS AVE SE</t>
        </is>
      </c>
      <c r="N691">
        <f>RIGHT(M691,LEN(M691)-FIND(" ",M691))</f>
        <v/>
      </c>
      <c r="P691" t="inlineStr">
        <is>
          <t>WARREN</t>
        </is>
      </c>
      <c r="Q691" t="inlineStr">
        <is>
          <t>OH</t>
        </is>
      </c>
      <c r="R691" t="n">
        <v>44483</v>
      </c>
      <c r="AD691" t="inlineStr">
        <is>
          <t>TRUMBULL CAREER &amp; TECH CENTER</t>
        </is>
      </c>
      <c r="AE691" t="inlineStr">
        <is>
          <t>WARREN CITY</t>
        </is>
      </c>
      <c r="AF691" t="inlineStr">
        <is>
          <t>WARREN CITY SD</t>
        </is>
      </c>
      <c r="AH691" t="n">
        <v>14</v>
      </c>
      <c r="AI691" t="n">
        <v>11</v>
      </c>
      <c r="AN691" t="inlineStr">
        <is>
          <t>WARREN</t>
        </is>
      </c>
      <c r="AO691" t="inlineStr">
        <is>
          <t>WARREN CITY 4A</t>
        </is>
      </c>
      <c r="AP691" t="inlineStr">
        <is>
          <t>78-P-ADI</t>
        </is>
      </c>
      <c r="AQ691" t="n">
        <v>9</v>
      </c>
      <c r="AR691" t="n">
        <v>64</v>
      </c>
      <c r="AS691" t="n">
        <v>32</v>
      </c>
      <c r="AU691">
        <f>COUNTA($BA$691:$EH$691)</f>
        <v/>
      </c>
      <c r="AV691">
        <f>COUNTIF($BA$691:$EH$691,"D")</f>
        <v/>
      </c>
      <c r="AW691">
        <f>COUNTIF($BA$691:$EH$691,"R")</f>
        <v/>
      </c>
      <c r="AX691">
        <f>IF(BN691="D",1,0)+IF(BO691="D",1,0)+IF(BT691="D",1,0)+IF(BU691="D",1,0)+IF(BW691="D",1,0)+IF(CC691="D",1,0)+IF(CD691="D",1,0)+IF(CE691="D",1,0)+IF(CF691="D",1,0)+IF(CL691="D",1,0)+IF(CM691="D",1,0)+IF(CQ691="D",1,0)+IF(CR691="D",1,0)+IF(CS691="D",1,0)+IF(CW691="D",1,0)+IF(CX691="D",1,0)+IF(DD691="D",1,0)+IF(DE691="D",1,0)+IF(DJ691="D",1,0)+IF(DK691="D",1,0)+IF(DO691="D",1,0)+IF(DP691="D",1,0)+IF(DQ691="D",1,0)+IF(DW691="D",1,0)+IF(DZ691="D",1,0)+IF(EH691="D",1,0)</f>
        <v/>
      </c>
      <c r="AY691">
        <f>IF(DJ691&lt;&gt;"",1,0)+IF(DK691&lt;&gt;"",1,0)+IF(DM691&lt;&gt;"",1,0)+IF(DO691&lt;&gt;"",1,0)+IF(DP691&lt;&gt;"",1,0)+IF(DQ691&lt;&gt;"",1,0)+IF(DS691&lt;&gt;"",1,0)+IF(DT691&lt;&gt;"",1,0)+IF(DV691&lt;&gt;"",1,0)+IF(DW691&lt;&gt;"",1,0)+IF(DX691&lt;&gt;"",1,0)+IF(DY691&lt;&gt;"",1,0)+IF(DZ691&lt;&gt;"",1,0)+IF(EB691&lt;&gt;"",1,0)+IF(EC691&lt;&gt;"",1,0)+IF(ED691&lt;&gt;"",1,0)+IF(EG691&lt;&gt;"",1,0)+IF(EH691&lt;&gt;"",1,0)</f>
        <v/>
      </c>
      <c r="AZ691">
        <f>IF(EH691&lt;&gt;"",1,0)</f>
        <v/>
      </c>
      <c r="BB691" t="inlineStr">
        <is>
          <t>WARREN-WARD 4</t>
        </is>
      </c>
    </row>
    <row r="692">
      <c r="A692" t="inlineStr">
        <is>
          <t>OH0025128737</t>
        </is>
      </c>
      <c r="B692" t="n">
        <v>78</v>
      </c>
      <c r="C692" t="n">
        <v>440127</v>
      </c>
      <c r="D692" t="inlineStr">
        <is>
          <t>SCHULLER</t>
        </is>
      </c>
      <c r="E692" t="inlineStr">
        <is>
          <t>PAYTON</t>
        </is>
      </c>
      <c r="F692">
        <f>CONCATENATE(D692," ",LEFT(H692,4),"T=",AU692,"D=",AV692,"R=",AW692,"M=",AX692,"L=",AY692,"B=",AZ692)</f>
        <v/>
      </c>
      <c r="I692" t="inlineStr">
        <is>
          <t>2001-02-14</t>
        </is>
      </c>
      <c r="J692" t="inlineStr">
        <is>
          <t>2019-06-20</t>
        </is>
      </c>
      <c r="K692" t="inlineStr">
        <is>
          <t>ACTIVE</t>
        </is>
      </c>
      <c r="M692" t="inlineStr">
        <is>
          <t>526 OAK KNOLL AVE SE</t>
        </is>
      </c>
      <c r="N692">
        <f>RIGHT(M692,LEN(M692)-FIND(" ",M692))</f>
        <v/>
      </c>
      <c r="P692" t="inlineStr">
        <is>
          <t>WARREN</t>
        </is>
      </c>
      <c r="Q692" t="inlineStr">
        <is>
          <t>OH</t>
        </is>
      </c>
      <c r="R692" t="n">
        <v>44483</v>
      </c>
      <c r="AD692" t="inlineStr">
        <is>
          <t>TRUMBULL CAREER &amp; TECH CENTER</t>
        </is>
      </c>
      <c r="AE692" t="inlineStr">
        <is>
          <t>WARREN CITY</t>
        </is>
      </c>
      <c r="AF692" t="inlineStr">
        <is>
          <t>WARREN CITY SD</t>
        </is>
      </c>
      <c r="AH692" t="n">
        <v>14</v>
      </c>
      <c r="AI692" t="n">
        <v>11</v>
      </c>
      <c r="AN692" t="inlineStr">
        <is>
          <t>WARREN</t>
        </is>
      </c>
      <c r="AO692" t="inlineStr">
        <is>
          <t>WARREN CITY 4A</t>
        </is>
      </c>
      <c r="AP692" t="inlineStr">
        <is>
          <t>78-P-ADI</t>
        </is>
      </c>
      <c r="AQ692" t="n">
        <v>9</v>
      </c>
      <c r="AR692" t="n">
        <v>64</v>
      </c>
      <c r="AS692" t="n">
        <v>32</v>
      </c>
      <c r="AU692">
        <f>COUNTA($BA$692:$EH$692)</f>
        <v/>
      </c>
      <c r="AV692">
        <f>COUNTIF($BA$692:$EH$692,"D")</f>
        <v/>
      </c>
      <c r="AW692">
        <f>COUNTIF($BA$692:$EH$692,"R")</f>
        <v/>
      </c>
      <c r="AX692">
        <f>IF(BN692="D",1,0)+IF(BO692="D",1,0)+IF(BT692="D",1,0)+IF(BU692="D",1,0)+IF(BW692="D",1,0)+IF(CC692="D",1,0)+IF(CD692="D",1,0)+IF(CE692="D",1,0)+IF(CF692="D",1,0)+IF(CL692="D",1,0)+IF(CM692="D",1,0)+IF(CQ692="D",1,0)+IF(CR692="D",1,0)+IF(CS692="D",1,0)+IF(CW692="D",1,0)+IF(CX692="D",1,0)+IF(DD692="D",1,0)+IF(DE692="D",1,0)+IF(DJ692="D",1,0)+IF(DK692="D",1,0)+IF(DO692="D",1,0)+IF(DP692="D",1,0)+IF(DQ692="D",1,0)+IF(DW692="D",1,0)+IF(DZ692="D",1,0)+IF(EH692="D",1,0)</f>
        <v/>
      </c>
      <c r="AY692">
        <f>IF(DJ692&lt;&gt;"",1,0)+IF(DK692&lt;&gt;"",1,0)+IF(DM692&lt;&gt;"",1,0)+IF(DO692&lt;&gt;"",1,0)+IF(DP692&lt;&gt;"",1,0)+IF(DQ692&lt;&gt;"",1,0)+IF(DS692&lt;&gt;"",1,0)+IF(DT692&lt;&gt;"",1,0)+IF(DV692&lt;&gt;"",1,0)+IF(DW692&lt;&gt;"",1,0)+IF(DX692&lt;&gt;"",1,0)+IF(DY692&lt;&gt;"",1,0)+IF(DZ692&lt;&gt;"",1,0)+IF(EB692&lt;&gt;"",1,0)+IF(EC692&lt;&gt;"",1,0)+IF(ED692&lt;&gt;"",1,0)+IF(EG692&lt;&gt;"",1,0)+IF(EH692&lt;&gt;"",1,0)</f>
        <v/>
      </c>
      <c r="AZ692">
        <f>IF(EH692&lt;&gt;"",1,0)</f>
        <v/>
      </c>
      <c r="BB692" t="inlineStr">
        <is>
          <t>WARREN-WARD 4</t>
        </is>
      </c>
      <c r="DN692" t="inlineStr">
        <is>
          <t>X</t>
        </is>
      </c>
      <c r="DX692" t="inlineStr">
        <is>
          <t>X</t>
        </is>
      </c>
      <c r="EA692" t="inlineStr">
        <is>
          <t>X</t>
        </is>
      </c>
      <c r="EF692" t="inlineStr">
        <is>
          <t>X</t>
        </is>
      </c>
    </row>
    <row r="693">
      <c r="A693" t="inlineStr">
        <is>
          <t>OH0027187601</t>
        </is>
      </c>
      <c r="B693" t="n">
        <v>78</v>
      </c>
      <c r="C693" t="n">
        <v>478397</v>
      </c>
      <c r="D693" t="inlineStr">
        <is>
          <t>MACHOR</t>
        </is>
      </c>
      <c r="E693" t="inlineStr">
        <is>
          <t>NICOLE</t>
        </is>
      </c>
      <c r="F693">
        <f>CONCATENATE(D693," ",LEFT(H693,4),"T=",AU693,"D=",AV693,"R=",AW693,"M=",AX693,"L=",AY693,"B=",AZ693)</f>
        <v/>
      </c>
      <c r="G693" t="inlineStr">
        <is>
          <t>SARAI</t>
        </is>
      </c>
      <c r="I693" t="inlineStr">
        <is>
          <t>2001-06-20</t>
        </is>
      </c>
      <c r="J693" t="inlineStr">
        <is>
          <t>2023-12-13</t>
        </is>
      </c>
      <c r="K693" t="inlineStr">
        <is>
          <t>ACTIVE</t>
        </is>
      </c>
      <c r="M693" t="inlineStr">
        <is>
          <t>243 KENILWORTH AVE SE</t>
        </is>
      </c>
      <c r="N693">
        <f>RIGHT(M693,LEN(M693)-FIND(" ",M693))</f>
        <v/>
      </c>
      <c r="P693" t="inlineStr">
        <is>
          <t>WARREN</t>
        </is>
      </c>
      <c r="Q693" t="inlineStr">
        <is>
          <t>OH</t>
        </is>
      </c>
      <c r="R693" t="n">
        <v>44483</v>
      </c>
      <c r="AD693" t="inlineStr">
        <is>
          <t>TRUMBULL CAREER &amp; TECH CENTER</t>
        </is>
      </c>
      <c r="AE693" t="inlineStr">
        <is>
          <t>WARREN CITY</t>
        </is>
      </c>
      <c r="AF693" t="inlineStr">
        <is>
          <t>WARREN CITY SD</t>
        </is>
      </c>
      <c r="AH693" t="n">
        <v>14</v>
      </c>
      <c r="AI693" t="n">
        <v>11</v>
      </c>
      <c r="AN693" t="inlineStr">
        <is>
          <t>WARREN</t>
        </is>
      </c>
      <c r="AO693" t="inlineStr">
        <is>
          <t>WARREN CITY 4A</t>
        </is>
      </c>
      <c r="AP693" t="inlineStr">
        <is>
          <t>78-P-ADI</t>
        </is>
      </c>
      <c r="AQ693" t="n">
        <v>9</v>
      </c>
      <c r="AR693" t="n">
        <v>64</v>
      </c>
      <c r="AS693" t="n">
        <v>32</v>
      </c>
      <c r="AU693">
        <f>COUNTA($BA$693:$EH$693)</f>
        <v/>
      </c>
      <c r="AV693">
        <f>COUNTIF($BA$693:$EH$693,"D")</f>
        <v/>
      </c>
      <c r="AW693">
        <f>COUNTIF($BA$693:$EH$693,"R")</f>
        <v/>
      </c>
      <c r="AX693">
        <f>IF(BN693="D",1,0)+IF(BO693="D",1,0)+IF(BT693="D",1,0)+IF(BU693="D",1,0)+IF(BW693="D",1,0)+IF(CC693="D",1,0)+IF(CD693="D",1,0)+IF(CE693="D",1,0)+IF(CF693="D",1,0)+IF(CL693="D",1,0)+IF(CM693="D",1,0)+IF(CQ693="D",1,0)+IF(CR693="D",1,0)+IF(CS693="D",1,0)+IF(CW693="D",1,0)+IF(CX693="D",1,0)+IF(DD693="D",1,0)+IF(DE693="D",1,0)+IF(DJ693="D",1,0)+IF(DK693="D",1,0)+IF(DO693="D",1,0)+IF(DP693="D",1,0)+IF(DQ693="D",1,0)+IF(DW693="D",1,0)+IF(DZ693="D",1,0)+IF(EH693="D",1,0)</f>
        <v/>
      </c>
      <c r="AY693">
        <f>IF(DJ693&lt;&gt;"",1,0)+IF(DK693&lt;&gt;"",1,0)+IF(DM693&lt;&gt;"",1,0)+IF(DO693&lt;&gt;"",1,0)+IF(DP693&lt;&gt;"",1,0)+IF(DQ693&lt;&gt;"",1,0)+IF(DS693&lt;&gt;"",1,0)+IF(DT693&lt;&gt;"",1,0)+IF(DV693&lt;&gt;"",1,0)+IF(DW693&lt;&gt;"",1,0)+IF(DX693&lt;&gt;"",1,0)+IF(DY693&lt;&gt;"",1,0)+IF(DZ693&lt;&gt;"",1,0)+IF(EB693&lt;&gt;"",1,0)+IF(EC693&lt;&gt;"",1,0)+IF(ED693&lt;&gt;"",1,0)+IF(EG693&lt;&gt;"",1,0)+IF(EH693&lt;&gt;"",1,0)</f>
        <v/>
      </c>
      <c r="AZ693">
        <f>IF(EH693&lt;&gt;"",1,0)</f>
        <v/>
      </c>
      <c r="BB693" t="inlineStr">
        <is>
          <t>WARREN-WARD 4</t>
        </is>
      </c>
    </row>
    <row r="694">
      <c r="A694" t="inlineStr">
        <is>
          <t>OH0027303477</t>
        </is>
      </c>
      <c r="B694" t="n">
        <v>78</v>
      </c>
      <c r="C694" t="n">
        <v>484534</v>
      </c>
      <c r="D694" t="inlineStr">
        <is>
          <t>SERRANO HERRERA</t>
        </is>
      </c>
      <c r="E694" t="inlineStr">
        <is>
          <t>YADIRA</t>
        </is>
      </c>
      <c r="F694">
        <f>CONCATENATE(D694," ",LEFT(H694,4),"T=",AU694,"D=",AV694,"R=",AW694,"M=",AX694,"L=",AY694,"B=",AZ694)</f>
        <v/>
      </c>
      <c r="G694" t="inlineStr">
        <is>
          <t>LUZ</t>
        </is>
      </c>
      <c r="I694" t="inlineStr">
        <is>
          <t>1994-11-01</t>
        </is>
      </c>
      <c r="J694" t="inlineStr">
        <is>
          <t>2024-03-29</t>
        </is>
      </c>
      <c r="K694" t="inlineStr">
        <is>
          <t>ACTIVE</t>
        </is>
      </c>
      <c r="M694" t="inlineStr">
        <is>
          <t>1191 YOUNGSTOWN RD SE</t>
        </is>
      </c>
      <c r="N694">
        <f>RIGHT(M694,LEN(M694)-FIND(" ",M694))</f>
        <v/>
      </c>
      <c r="P694" t="inlineStr">
        <is>
          <t>WARREN</t>
        </is>
      </c>
      <c r="Q694" t="inlineStr">
        <is>
          <t>OH</t>
        </is>
      </c>
      <c r="R694" t="n">
        <v>44484</v>
      </c>
      <c r="S694" t="n">
        <v>4241</v>
      </c>
      <c r="AD694" t="inlineStr">
        <is>
          <t>TRUMBULL CAREER &amp; TECH CENTER</t>
        </is>
      </c>
      <c r="AE694" t="inlineStr">
        <is>
          <t>WARREN CITY</t>
        </is>
      </c>
      <c r="AF694" t="inlineStr">
        <is>
          <t>WARREN CITY SD</t>
        </is>
      </c>
      <c r="AH694" t="n">
        <v>14</v>
      </c>
      <c r="AI694" t="n">
        <v>11</v>
      </c>
      <c r="AN694" t="inlineStr">
        <is>
          <t>WARREN</t>
        </is>
      </c>
      <c r="AO694" t="inlineStr">
        <is>
          <t>WARREN CITY 4A</t>
        </is>
      </c>
      <c r="AP694" t="inlineStr">
        <is>
          <t>78-P-ADI</t>
        </is>
      </c>
      <c r="AQ694" t="n">
        <v>9</v>
      </c>
      <c r="AR694" t="n">
        <v>64</v>
      </c>
      <c r="AS694" t="n">
        <v>32</v>
      </c>
      <c r="AU694">
        <f>COUNTA($BA$694:$EH$694)</f>
        <v/>
      </c>
      <c r="AV694">
        <f>COUNTIF($BA$694:$EH$694,"D")</f>
        <v/>
      </c>
      <c r="AW694">
        <f>COUNTIF($BA$694:$EH$694,"R")</f>
        <v/>
      </c>
      <c r="AX694">
        <f>IF(BN694="D",1,0)+IF(BO694="D",1,0)+IF(BT694="D",1,0)+IF(BU694="D",1,0)+IF(BW694="D",1,0)+IF(CC694="D",1,0)+IF(CD694="D",1,0)+IF(CE694="D",1,0)+IF(CF694="D",1,0)+IF(CL694="D",1,0)+IF(CM694="D",1,0)+IF(CQ694="D",1,0)+IF(CR694="D",1,0)+IF(CS694="D",1,0)+IF(CW694="D",1,0)+IF(CX694="D",1,0)+IF(DD694="D",1,0)+IF(DE694="D",1,0)+IF(DJ694="D",1,0)+IF(DK694="D",1,0)+IF(DO694="D",1,0)+IF(DP694="D",1,0)+IF(DQ694="D",1,0)+IF(DW694="D",1,0)+IF(DZ694="D",1,0)+IF(EH694="D",1,0)</f>
        <v/>
      </c>
      <c r="AY694">
        <f>IF(DJ694&lt;&gt;"",1,0)+IF(DK694&lt;&gt;"",1,0)+IF(DM694&lt;&gt;"",1,0)+IF(DO694&lt;&gt;"",1,0)+IF(DP694&lt;&gt;"",1,0)+IF(DQ694&lt;&gt;"",1,0)+IF(DS694&lt;&gt;"",1,0)+IF(DT694&lt;&gt;"",1,0)+IF(DV694&lt;&gt;"",1,0)+IF(DW694&lt;&gt;"",1,0)+IF(DX694&lt;&gt;"",1,0)+IF(DY694&lt;&gt;"",1,0)+IF(DZ694&lt;&gt;"",1,0)+IF(EB694&lt;&gt;"",1,0)+IF(EC694&lt;&gt;"",1,0)+IF(ED694&lt;&gt;"",1,0)+IF(EG694&lt;&gt;"",1,0)+IF(EH694&lt;&gt;"",1,0)</f>
        <v/>
      </c>
      <c r="AZ694">
        <f>IF(EH694&lt;&gt;"",1,0)</f>
        <v/>
      </c>
      <c r="BB694" t="inlineStr">
        <is>
          <t>WARREN-WARD 4</t>
        </is>
      </c>
    </row>
    <row r="695">
      <c r="A695" t="inlineStr">
        <is>
          <t>OH0027303494</t>
        </is>
      </c>
      <c r="B695" t="n">
        <v>78</v>
      </c>
      <c r="C695" t="n">
        <v>484535</v>
      </c>
      <c r="D695" t="inlineStr">
        <is>
          <t>FLORES</t>
        </is>
      </c>
      <c r="E695" t="inlineStr">
        <is>
          <t>JASMINE</t>
        </is>
      </c>
      <c r="F695">
        <f>CONCATENATE(D695," ",LEFT(H695,4),"T=",AU695,"D=",AV695,"R=",AW695,"M=",AX695,"L=",AY695,"B=",AZ695)</f>
        <v/>
      </c>
      <c r="G695" t="inlineStr">
        <is>
          <t>GUADALUPE</t>
        </is>
      </c>
      <c r="I695" t="inlineStr">
        <is>
          <t>1997-12-31</t>
        </is>
      </c>
      <c r="J695" t="inlineStr">
        <is>
          <t>2024-03-29</t>
        </is>
      </c>
      <c r="K695" t="inlineStr">
        <is>
          <t>ACTIVE</t>
        </is>
      </c>
      <c r="M695" t="inlineStr">
        <is>
          <t>1911 YOUNGSTOWN RD SE</t>
        </is>
      </c>
      <c r="N695">
        <f>RIGHT(M695,LEN(M695)-FIND(" ",M695))</f>
        <v/>
      </c>
      <c r="P695" t="inlineStr">
        <is>
          <t>WARREN</t>
        </is>
      </c>
      <c r="Q695" t="inlineStr">
        <is>
          <t>OH</t>
        </is>
      </c>
      <c r="R695" t="n">
        <v>44484</v>
      </c>
      <c r="S695" t="n">
        <v>4271</v>
      </c>
      <c r="AD695" t="inlineStr">
        <is>
          <t>TRUMBULL CAREER &amp; TECH CENTER</t>
        </is>
      </c>
      <c r="AE695" t="inlineStr">
        <is>
          <t>WARREN CITY</t>
        </is>
      </c>
      <c r="AF695" t="inlineStr">
        <is>
          <t>WARREN CITY SD</t>
        </is>
      </c>
      <c r="AH695" t="n">
        <v>14</v>
      </c>
      <c r="AI695" t="n">
        <v>11</v>
      </c>
      <c r="AN695" t="inlineStr">
        <is>
          <t>WARREN</t>
        </is>
      </c>
      <c r="AO695" t="inlineStr">
        <is>
          <t>WARREN CITY 4A</t>
        </is>
      </c>
      <c r="AP695" t="inlineStr">
        <is>
          <t>78-P-ADI</t>
        </is>
      </c>
      <c r="AQ695" t="n">
        <v>9</v>
      </c>
      <c r="AR695" t="n">
        <v>64</v>
      </c>
      <c r="AS695" t="n">
        <v>32</v>
      </c>
      <c r="AU695">
        <f>COUNTA($BA$695:$EH$695)</f>
        <v/>
      </c>
      <c r="AV695">
        <f>COUNTIF($BA$695:$EH$695,"D")</f>
        <v/>
      </c>
      <c r="AW695">
        <f>COUNTIF($BA$695:$EH$695,"R")</f>
        <v/>
      </c>
      <c r="AX695">
        <f>IF(BN695="D",1,0)+IF(BO695="D",1,0)+IF(BT695="D",1,0)+IF(BU695="D",1,0)+IF(BW695="D",1,0)+IF(CC695="D",1,0)+IF(CD695="D",1,0)+IF(CE695="D",1,0)+IF(CF695="D",1,0)+IF(CL695="D",1,0)+IF(CM695="D",1,0)+IF(CQ695="D",1,0)+IF(CR695="D",1,0)+IF(CS695="D",1,0)+IF(CW695="D",1,0)+IF(CX695="D",1,0)+IF(DD695="D",1,0)+IF(DE695="D",1,0)+IF(DJ695="D",1,0)+IF(DK695="D",1,0)+IF(DO695="D",1,0)+IF(DP695="D",1,0)+IF(DQ695="D",1,0)+IF(DW695="D",1,0)+IF(DZ695="D",1,0)+IF(EH695="D",1,0)</f>
        <v/>
      </c>
      <c r="AY695">
        <f>IF(DJ695&lt;&gt;"",1,0)+IF(DK695&lt;&gt;"",1,0)+IF(DM695&lt;&gt;"",1,0)+IF(DO695&lt;&gt;"",1,0)+IF(DP695&lt;&gt;"",1,0)+IF(DQ695&lt;&gt;"",1,0)+IF(DS695&lt;&gt;"",1,0)+IF(DT695&lt;&gt;"",1,0)+IF(DV695&lt;&gt;"",1,0)+IF(DW695&lt;&gt;"",1,0)+IF(DX695&lt;&gt;"",1,0)+IF(DY695&lt;&gt;"",1,0)+IF(DZ695&lt;&gt;"",1,0)+IF(EB695&lt;&gt;"",1,0)+IF(EC695&lt;&gt;"",1,0)+IF(ED695&lt;&gt;"",1,0)+IF(EG695&lt;&gt;"",1,0)+IF(EH695&lt;&gt;"",1,0)</f>
        <v/>
      </c>
      <c r="AZ695">
        <f>IF(EH695&lt;&gt;"",1,0)</f>
        <v/>
      </c>
      <c r="BB695" t="inlineStr">
        <is>
          <t>WARREN-WARD 4</t>
        </is>
      </c>
    </row>
    <row r="696">
      <c r="A696" t="inlineStr">
        <is>
          <t>OH0020096072</t>
        </is>
      </c>
      <c r="B696" t="n">
        <v>78</v>
      </c>
      <c r="C696" t="n">
        <v>362850</v>
      </c>
      <c r="D696" t="inlineStr">
        <is>
          <t>CARMICHAEL</t>
        </is>
      </c>
      <c r="E696" t="inlineStr">
        <is>
          <t>LINDA</t>
        </is>
      </c>
      <c r="F696">
        <f>CONCATENATE(D696," ",LEFT(H696,4),"T=",AU696,"D=",AV696,"R=",AW696,"M=",AX696,"L=",AY696,"B=",AZ696)</f>
        <v/>
      </c>
      <c r="G696" t="inlineStr">
        <is>
          <t>K</t>
        </is>
      </c>
      <c r="I696" t="inlineStr">
        <is>
          <t>1962-07-02</t>
        </is>
      </c>
      <c r="J696" t="inlineStr">
        <is>
          <t>2022-11-30</t>
        </is>
      </c>
      <c r="K696" t="inlineStr">
        <is>
          <t>ACTIVE</t>
        </is>
      </c>
      <c r="M696" t="inlineStr">
        <is>
          <t>238 IDDINGS AVE SE</t>
        </is>
      </c>
      <c r="N696">
        <f>RIGHT(M696,LEN(M696)-FIND(" ",M696))</f>
        <v/>
      </c>
      <c r="P696" t="inlineStr">
        <is>
          <t>WARREN</t>
        </is>
      </c>
      <c r="Q696" t="inlineStr">
        <is>
          <t>OH</t>
        </is>
      </c>
      <c r="R696" t="n">
        <v>44483</v>
      </c>
      <c r="AD696" t="inlineStr">
        <is>
          <t>TRUMBULL CAREER &amp; TECH CENTER</t>
        </is>
      </c>
      <c r="AE696" t="inlineStr">
        <is>
          <t>WARREN CITY</t>
        </is>
      </c>
      <c r="AF696" t="inlineStr">
        <is>
          <t>WARREN CITY SD</t>
        </is>
      </c>
      <c r="AH696" t="n">
        <v>14</v>
      </c>
      <c r="AI696" t="n">
        <v>11</v>
      </c>
      <c r="AN696" t="inlineStr">
        <is>
          <t>WARREN</t>
        </is>
      </c>
      <c r="AO696" t="inlineStr">
        <is>
          <t>WARREN CITY 4A</t>
        </is>
      </c>
      <c r="AP696" t="inlineStr">
        <is>
          <t>78-P-ADI</t>
        </is>
      </c>
      <c r="AQ696" t="n">
        <v>9</v>
      </c>
      <c r="AR696" t="n">
        <v>64</v>
      </c>
      <c r="AS696" t="n">
        <v>32</v>
      </c>
      <c r="AU696">
        <f>COUNTA($BA$696:$EH$696)</f>
        <v/>
      </c>
      <c r="AV696">
        <f>COUNTIF($BA$696:$EH$696,"D")</f>
        <v/>
      </c>
      <c r="AW696">
        <f>COUNTIF($BA$696:$EH$696,"R")</f>
        <v/>
      </c>
      <c r="AX696">
        <f>IF(BN696="D",1,0)+IF(BO696="D",1,0)+IF(BT696="D",1,0)+IF(BU696="D",1,0)+IF(BW696="D",1,0)+IF(CC696="D",1,0)+IF(CD696="D",1,0)+IF(CE696="D",1,0)+IF(CF696="D",1,0)+IF(CL696="D",1,0)+IF(CM696="D",1,0)+IF(CQ696="D",1,0)+IF(CR696="D",1,0)+IF(CS696="D",1,0)+IF(CW696="D",1,0)+IF(CX696="D",1,0)+IF(DD696="D",1,0)+IF(DE696="D",1,0)+IF(DJ696="D",1,0)+IF(DK696="D",1,0)+IF(DO696="D",1,0)+IF(DP696="D",1,0)+IF(DQ696="D",1,0)+IF(DW696="D",1,0)+IF(DZ696="D",1,0)+IF(EH696="D",1,0)</f>
        <v/>
      </c>
      <c r="AY696">
        <f>IF(DJ696&lt;&gt;"",1,0)+IF(DK696&lt;&gt;"",1,0)+IF(DM696&lt;&gt;"",1,0)+IF(DO696&lt;&gt;"",1,0)+IF(DP696&lt;&gt;"",1,0)+IF(DQ696&lt;&gt;"",1,0)+IF(DS696&lt;&gt;"",1,0)+IF(DT696&lt;&gt;"",1,0)+IF(DV696&lt;&gt;"",1,0)+IF(DW696&lt;&gt;"",1,0)+IF(DX696&lt;&gt;"",1,0)+IF(DY696&lt;&gt;"",1,0)+IF(DZ696&lt;&gt;"",1,0)+IF(EB696&lt;&gt;"",1,0)+IF(EC696&lt;&gt;"",1,0)+IF(ED696&lt;&gt;"",1,0)+IF(EG696&lt;&gt;"",1,0)+IF(EH696&lt;&gt;"",1,0)</f>
        <v/>
      </c>
      <c r="AZ696">
        <f>IF(EH696&lt;&gt;"",1,0)</f>
        <v/>
      </c>
      <c r="BB696" t="inlineStr">
        <is>
          <t>WARREN-WARD 4</t>
        </is>
      </c>
      <c r="CA696" t="inlineStr">
        <is>
          <t>X</t>
        </is>
      </c>
      <c r="CK696" t="inlineStr">
        <is>
          <t>X</t>
        </is>
      </c>
      <c r="CP696" t="inlineStr">
        <is>
          <t>X</t>
        </is>
      </c>
      <c r="DC696" t="inlineStr">
        <is>
          <t>X</t>
        </is>
      </c>
      <c r="DF696" t="inlineStr">
        <is>
          <t>X</t>
        </is>
      </c>
      <c r="DG696" t="inlineStr">
        <is>
          <t>D</t>
        </is>
      </c>
      <c r="DI696" t="inlineStr">
        <is>
          <t>X</t>
        </is>
      </c>
      <c r="DM696" t="inlineStr">
        <is>
          <t>D</t>
        </is>
      </c>
      <c r="DN696" t="inlineStr">
        <is>
          <t>X</t>
        </is>
      </c>
      <c r="DU696" t="inlineStr">
        <is>
          <t>X</t>
        </is>
      </c>
    </row>
    <row r="697">
      <c r="A697" t="inlineStr">
        <is>
          <t>OH0019305491</t>
        </is>
      </c>
      <c r="B697" t="n">
        <v>78</v>
      </c>
      <c r="C697" t="n">
        <v>352756</v>
      </c>
      <c r="D697" t="inlineStr">
        <is>
          <t>BUTCHER</t>
        </is>
      </c>
      <c r="E697" t="inlineStr">
        <is>
          <t>DAVID</t>
        </is>
      </c>
      <c r="F697">
        <f>CONCATENATE(D697," ",LEFT(H697,4),"T=",AU697,"D=",AV697,"R=",AW697,"M=",AX697,"L=",AY697,"B=",AZ697)</f>
        <v/>
      </c>
      <c r="G697" t="inlineStr">
        <is>
          <t>W</t>
        </is>
      </c>
      <c r="I697" t="inlineStr">
        <is>
          <t>1971-09-14</t>
        </is>
      </c>
      <c r="J697" t="inlineStr">
        <is>
          <t>2016-09-15</t>
        </is>
      </c>
      <c r="K697" t="inlineStr">
        <is>
          <t>CONFIRMATION</t>
        </is>
      </c>
      <c r="M697" t="inlineStr">
        <is>
          <t>1343 BELLE ST SE</t>
        </is>
      </c>
      <c r="N697">
        <f>RIGHT(M697,LEN(M697)-FIND(" ",M697))</f>
        <v/>
      </c>
      <c r="P697" t="inlineStr">
        <is>
          <t>WARREN</t>
        </is>
      </c>
      <c r="Q697" t="inlineStr">
        <is>
          <t>OH</t>
        </is>
      </c>
      <c r="R697" t="n">
        <v>44484</v>
      </c>
      <c r="AD697" t="inlineStr">
        <is>
          <t>TRUMBULL CAREER &amp; TECH CENTER</t>
        </is>
      </c>
      <c r="AE697" t="inlineStr">
        <is>
          <t>WARREN CITY</t>
        </is>
      </c>
      <c r="AF697" t="inlineStr">
        <is>
          <t>WARREN CITY SD</t>
        </is>
      </c>
      <c r="AH697" t="n">
        <v>14</v>
      </c>
      <c r="AI697" t="n">
        <v>11</v>
      </c>
      <c r="AN697" t="inlineStr">
        <is>
          <t>WARREN</t>
        </is>
      </c>
      <c r="AO697" t="inlineStr">
        <is>
          <t>WARREN CITY 4A</t>
        </is>
      </c>
      <c r="AP697" t="inlineStr">
        <is>
          <t>78-P-ADI</t>
        </is>
      </c>
      <c r="AQ697" t="n">
        <v>9</v>
      </c>
      <c r="AR697" t="n">
        <v>64</v>
      </c>
      <c r="AS697" t="n">
        <v>32</v>
      </c>
      <c r="AU697">
        <f>COUNTA($BA$697:$EH$697)</f>
        <v/>
      </c>
      <c r="AV697">
        <f>COUNTIF($BA$697:$EH$697,"D")</f>
        <v/>
      </c>
      <c r="AW697">
        <f>COUNTIF($BA$697:$EH$697,"R")</f>
        <v/>
      </c>
      <c r="AX697">
        <f>IF(BN697="D",1,0)+IF(BO697="D",1,0)+IF(BT697="D",1,0)+IF(BU697="D",1,0)+IF(BW697="D",1,0)+IF(CC697="D",1,0)+IF(CD697="D",1,0)+IF(CE697="D",1,0)+IF(CF697="D",1,0)+IF(CL697="D",1,0)+IF(CM697="D",1,0)+IF(CQ697="D",1,0)+IF(CR697="D",1,0)+IF(CS697="D",1,0)+IF(CW697="D",1,0)+IF(CX697="D",1,0)+IF(DD697="D",1,0)+IF(DE697="D",1,0)+IF(DJ697="D",1,0)+IF(DK697="D",1,0)+IF(DO697="D",1,0)+IF(DP697="D",1,0)+IF(DQ697="D",1,0)+IF(DW697="D",1,0)+IF(DZ697="D",1,0)+IF(EH697="D",1,0)</f>
        <v/>
      </c>
      <c r="AY697">
        <f>IF(DJ697&lt;&gt;"",1,0)+IF(DK697&lt;&gt;"",1,0)+IF(DM697&lt;&gt;"",1,0)+IF(DO697&lt;&gt;"",1,0)+IF(DP697&lt;&gt;"",1,0)+IF(DQ697&lt;&gt;"",1,0)+IF(DS697&lt;&gt;"",1,0)+IF(DT697&lt;&gt;"",1,0)+IF(DV697&lt;&gt;"",1,0)+IF(DW697&lt;&gt;"",1,0)+IF(DX697&lt;&gt;"",1,0)+IF(DY697&lt;&gt;"",1,0)+IF(DZ697&lt;&gt;"",1,0)+IF(EB697&lt;&gt;"",1,0)+IF(EC697&lt;&gt;"",1,0)+IF(ED697&lt;&gt;"",1,0)+IF(EG697&lt;&gt;"",1,0)+IF(EH697&lt;&gt;"",1,0)</f>
        <v/>
      </c>
      <c r="AZ697">
        <f>IF(EH697&lt;&gt;"",1,0)</f>
        <v/>
      </c>
      <c r="BB697" t="inlineStr">
        <is>
          <t>WARREN-WARD 4</t>
        </is>
      </c>
      <c r="BV697" t="inlineStr">
        <is>
          <t>X</t>
        </is>
      </c>
      <c r="CA697" t="inlineStr">
        <is>
          <t>X</t>
        </is>
      </c>
      <c r="CG697" t="inlineStr">
        <is>
          <t>X</t>
        </is>
      </c>
    </row>
    <row r="698">
      <c r="A698" t="inlineStr">
        <is>
          <t>OH0015692442</t>
        </is>
      </c>
      <c r="B698" t="n">
        <v>78</v>
      </c>
      <c r="C698" t="n">
        <v>14095</v>
      </c>
      <c r="D698" t="inlineStr">
        <is>
          <t>JONES</t>
        </is>
      </c>
      <c r="E698" t="inlineStr">
        <is>
          <t>GARY</t>
        </is>
      </c>
      <c r="F698">
        <f>CONCATENATE(D698," ",LEFT(H698,4),"T=",AU698,"D=",AV698,"R=",AW698,"M=",AX698,"L=",AY698,"B=",AZ698)</f>
        <v/>
      </c>
      <c r="G698" t="inlineStr">
        <is>
          <t>R</t>
        </is>
      </c>
      <c r="I698" t="inlineStr">
        <is>
          <t>1959-08-20</t>
        </is>
      </c>
      <c r="J698" t="inlineStr">
        <is>
          <t>2010-05-04</t>
        </is>
      </c>
      <c r="K698" t="inlineStr">
        <is>
          <t>ACTIVE</t>
        </is>
      </c>
      <c r="L698" t="inlineStr">
        <is>
          <t>R</t>
        </is>
      </c>
      <c r="M698" t="inlineStr">
        <is>
          <t>197 LOGAN AVE SE</t>
        </is>
      </c>
      <c r="N698">
        <f>RIGHT(M698,LEN(M698)-FIND(" ",M698))</f>
        <v/>
      </c>
      <c r="P698" t="inlineStr">
        <is>
          <t>WARREN</t>
        </is>
      </c>
      <c r="Q698" t="inlineStr">
        <is>
          <t>OH</t>
        </is>
      </c>
      <c r="R698" t="n">
        <v>44483</v>
      </c>
      <c r="AD698" t="inlineStr">
        <is>
          <t>TRUMBULL CAREER &amp; TECH CENTER</t>
        </is>
      </c>
      <c r="AE698" t="inlineStr">
        <is>
          <t>WARREN CITY</t>
        </is>
      </c>
      <c r="AF698" t="inlineStr">
        <is>
          <t>WARREN CITY SD</t>
        </is>
      </c>
      <c r="AH698" t="n">
        <v>14</v>
      </c>
      <c r="AI698" t="n">
        <v>11</v>
      </c>
      <c r="AN698" t="inlineStr">
        <is>
          <t>WARREN</t>
        </is>
      </c>
      <c r="AO698" t="inlineStr">
        <is>
          <t>WARREN CITY 4A</t>
        </is>
      </c>
      <c r="AP698" t="inlineStr">
        <is>
          <t>78-P-ADI</t>
        </is>
      </c>
      <c r="AQ698" t="n">
        <v>9</v>
      </c>
      <c r="AR698" t="n">
        <v>64</v>
      </c>
      <c r="AS698" t="n">
        <v>32</v>
      </c>
      <c r="AU698">
        <f>COUNTA($BA$698:$EH$698)</f>
        <v/>
      </c>
      <c r="AV698">
        <f>COUNTIF($BA$698:$EH$698,"D")</f>
        <v/>
      </c>
      <c r="AW698">
        <f>COUNTIF($BA$698:$EH$698,"R")</f>
        <v/>
      </c>
      <c r="AX698">
        <f>IF(BN698="D",1,0)+IF(BO698="D",1,0)+IF(BT698="D",1,0)+IF(BU698="D",1,0)+IF(BW698="D",1,0)+IF(CC698="D",1,0)+IF(CD698="D",1,0)+IF(CE698="D",1,0)+IF(CF698="D",1,0)+IF(CL698="D",1,0)+IF(CM698="D",1,0)+IF(CQ698="D",1,0)+IF(CR698="D",1,0)+IF(CS698="D",1,0)+IF(CW698="D",1,0)+IF(CX698="D",1,0)+IF(DD698="D",1,0)+IF(DE698="D",1,0)+IF(DJ698="D",1,0)+IF(DK698="D",1,0)+IF(DO698="D",1,0)+IF(DP698="D",1,0)+IF(DQ698="D",1,0)+IF(DW698="D",1,0)+IF(DZ698="D",1,0)+IF(EH698="D",1,0)</f>
        <v/>
      </c>
      <c r="AY698">
        <f>IF(DJ698&lt;&gt;"",1,0)+IF(DK698&lt;&gt;"",1,0)+IF(DM698&lt;&gt;"",1,0)+IF(DO698&lt;&gt;"",1,0)+IF(DP698&lt;&gt;"",1,0)+IF(DQ698&lt;&gt;"",1,0)+IF(DS698&lt;&gt;"",1,0)+IF(DT698&lt;&gt;"",1,0)+IF(DV698&lt;&gt;"",1,0)+IF(DW698&lt;&gt;"",1,0)+IF(DX698&lt;&gt;"",1,0)+IF(DY698&lt;&gt;"",1,0)+IF(DZ698&lt;&gt;"",1,0)+IF(EB698&lt;&gt;"",1,0)+IF(EC698&lt;&gt;"",1,0)+IF(ED698&lt;&gt;"",1,0)+IF(EG698&lt;&gt;"",1,0)+IF(EH698&lt;&gt;"",1,0)</f>
        <v/>
      </c>
      <c r="AZ698">
        <f>IF(EH698&lt;&gt;"",1,0)</f>
        <v/>
      </c>
      <c r="BB698" t="inlineStr">
        <is>
          <t>WARREN-WARD 4</t>
        </is>
      </c>
      <c r="BC698" t="inlineStr">
        <is>
          <t>X</t>
        </is>
      </c>
      <c r="BD698" t="inlineStr">
        <is>
          <t>X</t>
        </is>
      </c>
      <c r="BF698" t="inlineStr">
        <is>
          <t>X</t>
        </is>
      </c>
      <c r="BH698" t="inlineStr">
        <is>
          <t>X</t>
        </is>
      </c>
      <c r="BJ698" t="inlineStr">
        <is>
          <t>X</t>
        </is>
      </c>
      <c r="BL698" t="inlineStr">
        <is>
          <t>X</t>
        </is>
      </c>
      <c r="BP698" t="inlineStr">
        <is>
          <t>X</t>
        </is>
      </c>
      <c r="BR698" t="inlineStr">
        <is>
          <t>X</t>
        </is>
      </c>
      <c r="BS698" t="inlineStr">
        <is>
          <t>X</t>
        </is>
      </c>
      <c r="BY698" t="inlineStr">
        <is>
          <t>R</t>
        </is>
      </c>
      <c r="CA698" t="inlineStr">
        <is>
          <t>X</t>
        </is>
      </c>
      <c r="CH698" t="inlineStr">
        <is>
          <t>R</t>
        </is>
      </c>
      <c r="CK698" t="inlineStr">
        <is>
          <t>X</t>
        </is>
      </c>
      <c r="CL698" t="inlineStr">
        <is>
          <t>D</t>
        </is>
      </c>
      <c r="CN698" t="inlineStr">
        <is>
          <t>X</t>
        </is>
      </c>
      <c r="CO698" t="inlineStr">
        <is>
          <t>R</t>
        </is>
      </c>
      <c r="CP698" t="inlineStr">
        <is>
          <t>X</t>
        </is>
      </c>
      <c r="CU698" t="inlineStr">
        <is>
          <t>R</t>
        </is>
      </c>
      <c r="CZ698" t="inlineStr">
        <is>
          <t>R</t>
        </is>
      </c>
      <c r="DC698" t="inlineStr">
        <is>
          <t>X</t>
        </is>
      </c>
      <c r="DI698" t="inlineStr">
        <is>
          <t>X</t>
        </is>
      </c>
      <c r="DN698" t="inlineStr">
        <is>
          <t>X</t>
        </is>
      </c>
      <c r="DR698" t="inlineStr">
        <is>
          <t>X</t>
        </is>
      </c>
      <c r="DS698" t="inlineStr">
        <is>
          <t>R</t>
        </is>
      </c>
      <c r="DT698" t="inlineStr">
        <is>
          <t>R</t>
        </is>
      </c>
      <c r="DU698" t="inlineStr">
        <is>
          <t>X</t>
        </is>
      </c>
      <c r="DX698" t="inlineStr">
        <is>
          <t>X</t>
        </is>
      </c>
      <c r="EA698" t="inlineStr">
        <is>
          <t>X</t>
        </is>
      </c>
      <c r="ED698" t="inlineStr">
        <is>
          <t>R</t>
        </is>
      </c>
      <c r="EF698" t="inlineStr">
        <is>
          <t>X</t>
        </is>
      </c>
    </row>
    <row r="699">
      <c r="A699" t="inlineStr">
        <is>
          <t>OH0025020533</t>
        </is>
      </c>
      <c r="B699" t="n">
        <v>78</v>
      </c>
      <c r="C699" t="n">
        <v>437939</v>
      </c>
      <c r="D699" t="inlineStr">
        <is>
          <t>RICE</t>
        </is>
      </c>
      <c r="E699" t="inlineStr">
        <is>
          <t>MEGAN</t>
        </is>
      </c>
      <c r="F699">
        <f>CONCATENATE(D699," ",LEFT(H699,4),"T=",AU699,"D=",AV699,"R=",AW699,"M=",AX699,"L=",AY699,"B=",AZ699)</f>
        <v/>
      </c>
      <c r="G699" t="inlineStr">
        <is>
          <t>MARIE</t>
        </is>
      </c>
      <c r="I699" t="inlineStr">
        <is>
          <t>1981-07-17</t>
        </is>
      </c>
      <c r="J699" t="inlineStr">
        <is>
          <t>2019-01-24</t>
        </is>
      </c>
      <c r="K699" t="inlineStr">
        <is>
          <t>CONFIRMATION</t>
        </is>
      </c>
      <c r="M699" t="inlineStr">
        <is>
          <t>567 OAK KNOLL AVE SE</t>
        </is>
      </c>
      <c r="N699">
        <f>RIGHT(M699,LEN(M699)-FIND(" ",M699))</f>
        <v/>
      </c>
      <c r="P699" t="inlineStr">
        <is>
          <t>WARREN</t>
        </is>
      </c>
      <c r="Q699" t="inlineStr">
        <is>
          <t>OH</t>
        </is>
      </c>
      <c r="R699" t="n">
        <v>44483</v>
      </c>
      <c r="AD699" t="inlineStr">
        <is>
          <t>TRUMBULL CAREER &amp; TECH CENTER</t>
        </is>
      </c>
      <c r="AE699" t="inlineStr">
        <is>
          <t>WARREN CITY</t>
        </is>
      </c>
      <c r="AF699" t="inlineStr">
        <is>
          <t>WARREN CITY SD</t>
        </is>
      </c>
      <c r="AH699" t="n">
        <v>14</v>
      </c>
      <c r="AI699" t="n">
        <v>11</v>
      </c>
      <c r="AN699" t="inlineStr">
        <is>
          <t>WARREN</t>
        </is>
      </c>
      <c r="AO699" t="inlineStr">
        <is>
          <t>WARREN CITY 4A</t>
        </is>
      </c>
      <c r="AP699" t="inlineStr">
        <is>
          <t>78-P-ADI</t>
        </is>
      </c>
      <c r="AQ699" t="n">
        <v>9</v>
      </c>
      <c r="AR699" t="n">
        <v>64</v>
      </c>
      <c r="AS699" t="n">
        <v>32</v>
      </c>
      <c r="AU699">
        <f>COUNTA($BA$699:$EH$699)</f>
        <v/>
      </c>
      <c r="AV699">
        <f>COUNTIF($BA$699:$EH$699,"D")</f>
        <v/>
      </c>
      <c r="AW699">
        <f>COUNTIF($BA$699:$EH$699,"R")</f>
        <v/>
      </c>
      <c r="AX699">
        <f>IF(BN699="D",1,0)+IF(BO699="D",1,0)+IF(BT699="D",1,0)+IF(BU699="D",1,0)+IF(BW699="D",1,0)+IF(CC699="D",1,0)+IF(CD699="D",1,0)+IF(CE699="D",1,0)+IF(CF699="D",1,0)+IF(CL699="D",1,0)+IF(CM699="D",1,0)+IF(CQ699="D",1,0)+IF(CR699="D",1,0)+IF(CS699="D",1,0)+IF(CW699="D",1,0)+IF(CX699="D",1,0)+IF(DD699="D",1,0)+IF(DE699="D",1,0)+IF(DJ699="D",1,0)+IF(DK699="D",1,0)+IF(DO699="D",1,0)+IF(DP699="D",1,0)+IF(DQ699="D",1,0)+IF(DW699="D",1,0)+IF(DZ699="D",1,0)+IF(EH699="D",1,0)</f>
        <v/>
      </c>
      <c r="AY699">
        <f>IF(DJ699&lt;&gt;"",1,0)+IF(DK699&lt;&gt;"",1,0)+IF(DM699&lt;&gt;"",1,0)+IF(DO699&lt;&gt;"",1,0)+IF(DP699&lt;&gt;"",1,0)+IF(DQ699&lt;&gt;"",1,0)+IF(DS699&lt;&gt;"",1,0)+IF(DT699&lt;&gt;"",1,0)+IF(DV699&lt;&gt;"",1,0)+IF(DW699&lt;&gt;"",1,0)+IF(DX699&lt;&gt;"",1,0)+IF(DY699&lt;&gt;"",1,0)+IF(DZ699&lt;&gt;"",1,0)+IF(EB699&lt;&gt;"",1,0)+IF(EC699&lt;&gt;"",1,0)+IF(ED699&lt;&gt;"",1,0)+IF(EG699&lt;&gt;"",1,0)+IF(EH699&lt;&gt;"",1,0)</f>
        <v/>
      </c>
      <c r="AZ699">
        <f>IF(EH699&lt;&gt;"",1,0)</f>
        <v/>
      </c>
      <c r="BB699" t="inlineStr">
        <is>
          <t>WARREN-WARD 4</t>
        </is>
      </c>
      <c r="BL699" t="inlineStr">
        <is>
          <t>X</t>
        </is>
      </c>
    </row>
    <row r="700">
      <c r="A700" t="inlineStr">
        <is>
          <t>OH0024359099</t>
        </is>
      </c>
      <c r="B700" t="n">
        <v>78</v>
      </c>
      <c r="C700" t="n">
        <v>387532</v>
      </c>
      <c r="D700" t="inlineStr">
        <is>
          <t>COLEMAN</t>
        </is>
      </c>
      <c r="E700" t="inlineStr">
        <is>
          <t>SHALEIKA</t>
        </is>
      </c>
      <c r="F700">
        <f>CONCATENATE(D700," ",LEFT(H700,4),"T=",AU700,"D=",AV700,"R=",AW700,"M=",AX700,"L=",AY700,"B=",AZ700)</f>
        <v/>
      </c>
      <c r="G700" t="inlineStr">
        <is>
          <t>MONA</t>
        </is>
      </c>
      <c r="I700" t="inlineStr">
        <is>
          <t>1989-07-10</t>
        </is>
      </c>
      <c r="J700" t="inlineStr">
        <is>
          <t>2017-08-14</t>
        </is>
      </c>
      <c r="K700" t="inlineStr">
        <is>
          <t>CONFIRMATION</t>
        </is>
      </c>
      <c r="M700" t="inlineStr">
        <is>
          <t>395 OAK KNOLL AVE SE</t>
        </is>
      </c>
      <c r="N700">
        <f>RIGHT(M700,LEN(M700)-FIND(" ",M700))</f>
        <v/>
      </c>
      <c r="P700" t="inlineStr">
        <is>
          <t>WARREN</t>
        </is>
      </c>
      <c r="Q700" t="inlineStr">
        <is>
          <t>OH</t>
        </is>
      </c>
      <c r="R700" t="n">
        <v>44483</v>
      </c>
      <c r="AD700" t="inlineStr">
        <is>
          <t>TRUMBULL CAREER &amp; TECH CENTER</t>
        </is>
      </c>
      <c r="AE700" t="inlineStr">
        <is>
          <t>WARREN CITY</t>
        </is>
      </c>
      <c r="AF700" t="inlineStr">
        <is>
          <t>WARREN CITY SD</t>
        </is>
      </c>
      <c r="AH700" t="n">
        <v>14</v>
      </c>
      <c r="AI700" t="n">
        <v>11</v>
      </c>
      <c r="AN700" t="inlineStr">
        <is>
          <t>WARREN</t>
        </is>
      </c>
      <c r="AO700" t="inlineStr">
        <is>
          <t>WARREN CITY 4A</t>
        </is>
      </c>
      <c r="AP700" t="inlineStr">
        <is>
          <t>78-P-ADI</t>
        </is>
      </c>
      <c r="AQ700" t="n">
        <v>9</v>
      </c>
      <c r="AR700" t="n">
        <v>64</v>
      </c>
      <c r="AS700" t="n">
        <v>32</v>
      </c>
      <c r="AU700">
        <f>COUNTA($BA$700:$EH$700)</f>
        <v/>
      </c>
      <c r="AV700">
        <f>COUNTIF($BA$700:$EH$700,"D")</f>
        <v/>
      </c>
      <c r="AW700">
        <f>COUNTIF($BA$700:$EH$700,"R")</f>
        <v/>
      </c>
      <c r="AX700">
        <f>IF(BN700="D",1,0)+IF(BO700="D",1,0)+IF(BT700="D",1,0)+IF(BU700="D",1,0)+IF(BW700="D",1,0)+IF(CC700="D",1,0)+IF(CD700="D",1,0)+IF(CE700="D",1,0)+IF(CF700="D",1,0)+IF(CL700="D",1,0)+IF(CM700="D",1,0)+IF(CQ700="D",1,0)+IF(CR700="D",1,0)+IF(CS700="D",1,0)+IF(CW700="D",1,0)+IF(CX700="D",1,0)+IF(DD700="D",1,0)+IF(DE700="D",1,0)+IF(DJ700="D",1,0)+IF(DK700="D",1,0)+IF(DO700="D",1,0)+IF(DP700="D",1,0)+IF(DQ700="D",1,0)+IF(DW700="D",1,0)+IF(DZ700="D",1,0)+IF(EH700="D",1,0)</f>
        <v/>
      </c>
      <c r="AY700">
        <f>IF(DJ700&lt;&gt;"",1,0)+IF(DK700&lt;&gt;"",1,0)+IF(DM700&lt;&gt;"",1,0)+IF(DO700&lt;&gt;"",1,0)+IF(DP700&lt;&gt;"",1,0)+IF(DQ700&lt;&gt;"",1,0)+IF(DS700&lt;&gt;"",1,0)+IF(DT700&lt;&gt;"",1,0)+IF(DV700&lt;&gt;"",1,0)+IF(DW700&lt;&gt;"",1,0)+IF(DX700&lt;&gt;"",1,0)+IF(DY700&lt;&gt;"",1,0)+IF(DZ700&lt;&gt;"",1,0)+IF(EB700&lt;&gt;"",1,0)+IF(EC700&lt;&gt;"",1,0)+IF(ED700&lt;&gt;"",1,0)+IF(EG700&lt;&gt;"",1,0)+IF(EH700&lt;&gt;"",1,0)</f>
        <v/>
      </c>
      <c r="AZ700">
        <f>IF(EH700&lt;&gt;"",1,0)</f>
        <v/>
      </c>
      <c r="BB700" t="inlineStr">
        <is>
          <t>WARREN-WARD 4</t>
        </is>
      </c>
    </row>
    <row r="701">
      <c r="A701" t="inlineStr">
        <is>
          <t>OH0027577520</t>
        </is>
      </c>
      <c r="B701" t="n">
        <v>78</v>
      </c>
      <c r="C701" t="n">
        <v>488720</v>
      </c>
      <c r="D701" t="inlineStr">
        <is>
          <t>DETCHON</t>
        </is>
      </c>
      <c r="E701" t="inlineStr">
        <is>
          <t>MICHAEL</t>
        </is>
      </c>
      <c r="F701">
        <f>CONCATENATE(D701," ",LEFT(H701,4),"T=",AU701,"D=",AV701,"R=",AW701,"M=",AX701,"L=",AY701,"B=",AZ701)</f>
        <v/>
      </c>
      <c r="I701" t="inlineStr">
        <is>
          <t>1987-10-27</t>
        </is>
      </c>
      <c r="J701" t="inlineStr">
        <is>
          <t>2024-09-06</t>
        </is>
      </c>
      <c r="K701" t="inlineStr">
        <is>
          <t>ACTIVE</t>
        </is>
      </c>
      <c r="M701" t="inlineStr">
        <is>
          <t>207 WOODBINE AVE SE</t>
        </is>
      </c>
      <c r="N701">
        <f>RIGHT(M701,LEN(M701)-FIND(" ",M701))</f>
        <v/>
      </c>
      <c r="P701" t="inlineStr">
        <is>
          <t>WARREN</t>
        </is>
      </c>
      <c r="Q701" t="inlineStr">
        <is>
          <t>OH</t>
        </is>
      </c>
      <c r="R701" t="n">
        <v>44483</v>
      </c>
      <c r="AD701" t="inlineStr">
        <is>
          <t>TRUMBULL CAREER &amp; TECH CENTER</t>
        </is>
      </c>
      <c r="AE701" t="inlineStr">
        <is>
          <t>WARREN CITY</t>
        </is>
      </c>
      <c r="AF701" t="inlineStr">
        <is>
          <t>WARREN CITY SD</t>
        </is>
      </c>
      <c r="AH701" t="n">
        <v>14</v>
      </c>
      <c r="AI701" t="n">
        <v>11</v>
      </c>
      <c r="AN701" t="inlineStr">
        <is>
          <t>WARREN</t>
        </is>
      </c>
      <c r="AO701" t="inlineStr">
        <is>
          <t>WARREN CITY 4A</t>
        </is>
      </c>
      <c r="AP701" t="inlineStr">
        <is>
          <t>78-P-ADI</t>
        </is>
      </c>
      <c r="AQ701" t="n">
        <v>9</v>
      </c>
      <c r="AR701" t="n">
        <v>64</v>
      </c>
      <c r="AS701" t="n">
        <v>32</v>
      </c>
      <c r="AU701">
        <f>COUNTA($BA$701:$EH$701)</f>
        <v/>
      </c>
      <c r="AV701">
        <f>COUNTIF($BA$701:$EH$701,"D")</f>
        <v/>
      </c>
      <c r="AW701">
        <f>COUNTIF($BA$701:$EH$701,"R")</f>
        <v/>
      </c>
      <c r="AX701">
        <f>IF(BN701="D",1,0)+IF(BO701="D",1,0)+IF(BT701="D",1,0)+IF(BU701="D",1,0)+IF(BW701="D",1,0)+IF(CC701="D",1,0)+IF(CD701="D",1,0)+IF(CE701="D",1,0)+IF(CF701="D",1,0)+IF(CL701="D",1,0)+IF(CM701="D",1,0)+IF(CQ701="D",1,0)+IF(CR701="D",1,0)+IF(CS701="D",1,0)+IF(CW701="D",1,0)+IF(CX701="D",1,0)+IF(DD701="D",1,0)+IF(DE701="D",1,0)+IF(DJ701="D",1,0)+IF(DK701="D",1,0)+IF(DO701="D",1,0)+IF(DP701="D",1,0)+IF(DQ701="D",1,0)+IF(DW701="D",1,0)+IF(DZ701="D",1,0)+IF(EH701="D",1,0)</f>
        <v/>
      </c>
      <c r="AY701">
        <f>IF(DJ701&lt;&gt;"",1,0)+IF(DK701&lt;&gt;"",1,0)+IF(DM701&lt;&gt;"",1,0)+IF(DO701&lt;&gt;"",1,0)+IF(DP701&lt;&gt;"",1,0)+IF(DQ701&lt;&gt;"",1,0)+IF(DS701&lt;&gt;"",1,0)+IF(DT701&lt;&gt;"",1,0)+IF(DV701&lt;&gt;"",1,0)+IF(DW701&lt;&gt;"",1,0)+IF(DX701&lt;&gt;"",1,0)+IF(DY701&lt;&gt;"",1,0)+IF(DZ701&lt;&gt;"",1,0)+IF(EB701&lt;&gt;"",1,0)+IF(EC701&lt;&gt;"",1,0)+IF(ED701&lt;&gt;"",1,0)+IF(EG701&lt;&gt;"",1,0)+IF(EH701&lt;&gt;"",1,0)</f>
        <v/>
      </c>
      <c r="AZ701">
        <f>IF(EH701&lt;&gt;"",1,0)</f>
        <v/>
      </c>
      <c r="BB701" t="inlineStr">
        <is>
          <t>WARREN-WARD 4</t>
        </is>
      </c>
    </row>
    <row r="702">
      <c r="A702" t="inlineStr">
        <is>
          <t>OH0015694972</t>
        </is>
      </c>
      <c r="B702" t="n">
        <v>78</v>
      </c>
      <c r="C702" t="n">
        <v>147883</v>
      </c>
      <c r="D702" t="inlineStr">
        <is>
          <t>PERIGO</t>
        </is>
      </c>
      <c r="E702" t="inlineStr">
        <is>
          <t>ROBERT</t>
        </is>
      </c>
      <c r="F702">
        <f>CONCATENATE(D702," ",LEFT(H702,4),"T=",AU702,"D=",AV702,"R=",AW702,"M=",AX702,"L=",AY702,"B=",AZ702)</f>
        <v/>
      </c>
      <c r="G702" t="inlineStr">
        <is>
          <t>W</t>
        </is>
      </c>
      <c r="I702" t="inlineStr">
        <is>
          <t>1955-09-25</t>
        </is>
      </c>
      <c r="J702" t="inlineStr">
        <is>
          <t>1982-08-27</t>
        </is>
      </c>
      <c r="K702" t="inlineStr">
        <is>
          <t>ACTIVE</t>
        </is>
      </c>
      <c r="L702" t="inlineStr">
        <is>
          <t>D</t>
        </is>
      </c>
      <c r="M702" t="inlineStr">
        <is>
          <t>1527 GRANDVIEW ST SE</t>
        </is>
      </c>
      <c r="N702">
        <f>RIGHT(M702,LEN(M702)-FIND(" ",M702))</f>
        <v/>
      </c>
      <c r="P702" t="inlineStr">
        <is>
          <t>WARREN</t>
        </is>
      </c>
      <c r="Q702" t="inlineStr">
        <is>
          <t>OH</t>
        </is>
      </c>
      <c r="R702" t="n">
        <v>44484</v>
      </c>
      <c r="AD702" t="inlineStr">
        <is>
          <t>TRUMBULL CAREER &amp; TECH CENTER</t>
        </is>
      </c>
      <c r="AE702" t="inlineStr">
        <is>
          <t>WARREN CITY</t>
        </is>
      </c>
      <c r="AF702" t="inlineStr">
        <is>
          <t>WARREN CITY SD</t>
        </is>
      </c>
      <c r="AH702" t="n">
        <v>14</v>
      </c>
      <c r="AI702" t="n">
        <v>11</v>
      </c>
      <c r="AN702" t="inlineStr">
        <is>
          <t>WARREN</t>
        </is>
      </c>
      <c r="AO702" t="inlineStr">
        <is>
          <t>WARREN CITY 4A</t>
        </is>
      </c>
      <c r="AP702" t="inlineStr">
        <is>
          <t>78-P-ADI</t>
        </is>
      </c>
      <c r="AQ702" t="n">
        <v>9</v>
      </c>
      <c r="AR702" t="n">
        <v>64</v>
      </c>
      <c r="AS702" t="n">
        <v>32</v>
      </c>
      <c r="AU702">
        <f>COUNTA($BA$702:$EH$702)</f>
        <v/>
      </c>
      <c r="AV702">
        <f>COUNTIF($BA$702:$EH$702,"D")</f>
        <v/>
      </c>
      <c r="AW702">
        <f>COUNTIF($BA$702:$EH$702,"R")</f>
        <v/>
      </c>
      <c r="AX702">
        <f>IF(BN702="D",1,0)+IF(BO702="D",1,0)+IF(BT702="D",1,0)+IF(BU702="D",1,0)+IF(BW702="D",1,0)+IF(CC702="D",1,0)+IF(CD702="D",1,0)+IF(CE702="D",1,0)+IF(CF702="D",1,0)+IF(CL702="D",1,0)+IF(CM702="D",1,0)+IF(CQ702="D",1,0)+IF(CR702="D",1,0)+IF(CS702="D",1,0)+IF(CW702="D",1,0)+IF(CX702="D",1,0)+IF(DD702="D",1,0)+IF(DE702="D",1,0)+IF(DJ702="D",1,0)+IF(DK702="D",1,0)+IF(DO702="D",1,0)+IF(DP702="D",1,0)+IF(DQ702="D",1,0)+IF(DW702="D",1,0)+IF(DZ702="D",1,0)+IF(EH702="D",1,0)</f>
        <v/>
      </c>
      <c r="AY702">
        <f>IF(DJ702&lt;&gt;"",1,0)+IF(DK702&lt;&gt;"",1,0)+IF(DM702&lt;&gt;"",1,0)+IF(DO702&lt;&gt;"",1,0)+IF(DP702&lt;&gt;"",1,0)+IF(DQ702&lt;&gt;"",1,0)+IF(DS702&lt;&gt;"",1,0)+IF(DT702&lt;&gt;"",1,0)+IF(DV702&lt;&gt;"",1,0)+IF(DW702&lt;&gt;"",1,0)+IF(DX702&lt;&gt;"",1,0)+IF(DY702&lt;&gt;"",1,0)+IF(DZ702&lt;&gt;"",1,0)+IF(EB702&lt;&gt;"",1,0)+IF(EC702&lt;&gt;"",1,0)+IF(ED702&lt;&gt;"",1,0)+IF(EG702&lt;&gt;"",1,0)+IF(EH702&lt;&gt;"",1,0)</f>
        <v/>
      </c>
      <c r="AZ702">
        <f>IF(EH702&lt;&gt;"",1,0)</f>
        <v/>
      </c>
      <c r="BB702" t="inlineStr">
        <is>
          <t>WARREN-WARD 4</t>
        </is>
      </c>
      <c r="BC702" t="inlineStr">
        <is>
          <t>X</t>
        </is>
      </c>
      <c r="BD702" t="inlineStr">
        <is>
          <t>X</t>
        </is>
      </c>
      <c r="BE702" t="inlineStr">
        <is>
          <t>X</t>
        </is>
      </c>
      <c r="BF702" t="inlineStr">
        <is>
          <t>X</t>
        </is>
      </c>
      <c r="BG702" t="inlineStr">
        <is>
          <t>X</t>
        </is>
      </c>
      <c r="BH702" t="inlineStr">
        <is>
          <t>X</t>
        </is>
      </c>
      <c r="BJ702" t="inlineStr">
        <is>
          <t>X</t>
        </is>
      </c>
      <c r="BK702" t="inlineStr">
        <is>
          <t>X</t>
        </is>
      </c>
      <c r="BL702" t="inlineStr">
        <is>
          <t>X</t>
        </is>
      </c>
      <c r="BP702" t="inlineStr">
        <is>
          <t>X</t>
        </is>
      </c>
      <c r="BR702" t="inlineStr">
        <is>
          <t>X</t>
        </is>
      </c>
      <c r="BS702" t="inlineStr">
        <is>
          <t>X</t>
        </is>
      </c>
      <c r="BT702" t="inlineStr">
        <is>
          <t>X</t>
        </is>
      </c>
      <c r="BY702" t="inlineStr">
        <is>
          <t>D</t>
        </is>
      </c>
      <c r="CA702" t="inlineStr">
        <is>
          <t>X</t>
        </is>
      </c>
      <c r="CG702" t="inlineStr">
        <is>
          <t>X</t>
        </is>
      </c>
      <c r="CH702" t="inlineStr">
        <is>
          <t>D</t>
        </is>
      </c>
      <c r="CK702" t="inlineStr">
        <is>
          <t>X</t>
        </is>
      </c>
      <c r="CL702" t="inlineStr">
        <is>
          <t>D</t>
        </is>
      </c>
      <c r="CN702" t="inlineStr">
        <is>
          <t>X</t>
        </is>
      </c>
      <c r="CO702" t="inlineStr">
        <is>
          <t>D</t>
        </is>
      </c>
      <c r="CP702" t="inlineStr">
        <is>
          <t>X</t>
        </is>
      </c>
      <c r="CT702" t="inlineStr">
        <is>
          <t>X</t>
        </is>
      </c>
      <c r="CU702" t="inlineStr">
        <is>
          <t>D</t>
        </is>
      </c>
      <c r="CY702" t="inlineStr">
        <is>
          <t>X</t>
        </is>
      </c>
      <c r="DC702" t="inlineStr">
        <is>
          <t>X</t>
        </is>
      </c>
      <c r="DD702" t="inlineStr">
        <is>
          <t>D</t>
        </is>
      </c>
      <c r="DF702" t="inlineStr">
        <is>
          <t>X</t>
        </is>
      </c>
      <c r="DG702" t="inlineStr">
        <is>
          <t>D</t>
        </is>
      </c>
      <c r="DI702" t="inlineStr">
        <is>
          <t>X</t>
        </is>
      </c>
      <c r="DL702" t="inlineStr">
        <is>
          <t>X</t>
        </is>
      </c>
      <c r="DM702" t="inlineStr">
        <is>
          <t>D</t>
        </is>
      </c>
      <c r="DN702" t="inlineStr">
        <is>
          <t>X</t>
        </is>
      </c>
      <c r="DU702" t="inlineStr">
        <is>
          <t>X</t>
        </is>
      </c>
      <c r="DW702" t="inlineStr">
        <is>
          <t>D</t>
        </is>
      </c>
      <c r="DX702" t="inlineStr">
        <is>
          <t>X</t>
        </is>
      </c>
      <c r="EA702" t="inlineStr">
        <is>
          <t>X</t>
        </is>
      </c>
      <c r="ED702" t="inlineStr">
        <is>
          <t>D</t>
        </is>
      </c>
      <c r="EF702" t="inlineStr">
        <is>
          <t>X</t>
        </is>
      </c>
    </row>
    <row r="703">
      <c r="A703" t="inlineStr">
        <is>
          <t>OH0023009398</t>
        </is>
      </c>
      <c r="B703" t="n">
        <v>78</v>
      </c>
      <c r="C703" t="n">
        <v>404972</v>
      </c>
      <c r="D703" t="inlineStr">
        <is>
          <t>JOHNSON</t>
        </is>
      </c>
      <c r="E703" t="inlineStr">
        <is>
          <t>JOSEPH</t>
        </is>
      </c>
      <c r="F703">
        <f>CONCATENATE(D703," ",LEFT(H703,4),"T=",AU703,"D=",AV703,"R=",AW703,"M=",AX703,"L=",AY703,"B=",AZ703)</f>
        <v/>
      </c>
      <c r="G703" t="inlineStr">
        <is>
          <t>R</t>
        </is>
      </c>
      <c r="H703" t="inlineStr">
        <is>
          <t>JR</t>
        </is>
      </c>
      <c r="I703" t="inlineStr">
        <is>
          <t>1951-10-10</t>
        </is>
      </c>
      <c r="J703" t="inlineStr">
        <is>
          <t>2016-10-10</t>
        </is>
      </c>
      <c r="K703" t="inlineStr">
        <is>
          <t>CONFIRMATION</t>
        </is>
      </c>
      <c r="M703" t="inlineStr">
        <is>
          <t>1609 YOUNGSTOWN RD SE</t>
        </is>
      </c>
      <c r="N703">
        <f>RIGHT(M703,LEN(M703)-FIND(" ",M703))</f>
        <v/>
      </c>
      <c r="P703" t="inlineStr">
        <is>
          <t>WARREN</t>
        </is>
      </c>
      <c r="Q703" t="inlineStr">
        <is>
          <t>OH</t>
        </is>
      </c>
      <c r="R703" t="n">
        <v>44484</v>
      </c>
      <c r="AD703" t="inlineStr">
        <is>
          <t>TRUMBULL CAREER &amp; TECH CENTER</t>
        </is>
      </c>
      <c r="AE703" t="inlineStr">
        <is>
          <t>WARREN CITY</t>
        </is>
      </c>
      <c r="AF703" t="inlineStr">
        <is>
          <t>WARREN CITY SD</t>
        </is>
      </c>
      <c r="AH703" t="n">
        <v>14</v>
      </c>
      <c r="AI703" t="n">
        <v>11</v>
      </c>
      <c r="AN703" t="inlineStr">
        <is>
          <t>WARREN</t>
        </is>
      </c>
      <c r="AO703" t="inlineStr">
        <is>
          <t>WARREN CITY 4A</t>
        </is>
      </c>
      <c r="AP703" t="inlineStr">
        <is>
          <t>78-P-ADI</t>
        </is>
      </c>
      <c r="AQ703" t="n">
        <v>9</v>
      </c>
      <c r="AR703" t="n">
        <v>64</v>
      </c>
      <c r="AS703" t="n">
        <v>32</v>
      </c>
      <c r="AU703">
        <f>COUNTA($BA$703:$EH$703)</f>
        <v/>
      </c>
      <c r="AV703">
        <f>COUNTIF($BA$703:$EH$703,"D")</f>
        <v/>
      </c>
      <c r="AW703">
        <f>COUNTIF($BA$703:$EH$703,"R")</f>
        <v/>
      </c>
      <c r="AX703">
        <f>IF(BN703="D",1,0)+IF(BO703="D",1,0)+IF(BT703="D",1,0)+IF(BU703="D",1,0)+IF(BW703="D",1,0)+IF(CC703="D",1,0)+IF(CD703="D",1,0)+IF(CE703="D",1,0)+IF(CF703="D",1,0)+IF(CL703="D",1,0)+IF(CM703="D",1,0)+IF(CQ703="D",1,0)+IF(CR703="D",1,0)+IF(CS703="D",1,0)+IF(CW703="D",1,0)+IF(CX703="D",1,0)+IF(DD703="D",1,0)+IF(DE703="D",1,0)+IF(DJ703="D",1,0)+IF(DK703="D",1,0)+IF(DO703="D",1,0)+IF(DP703="D",1,0)+IF(DQ703="D",1,0)+IF(DW703="D",1,0)+IF(DZ703="D",1,0)+IF(EH703="D",1,0)</f>
        <v/>
      </c>
      <c r="AY703">
        <f>IF(DJ703&lt;&gt;"",1,0)+IF(DK703&lt;&gt;"",1,0)+IF(DM703&lt;&gt;"",1,0)+IF(DO703&lt;&gt;"",1,0)+IF(DP703&lt;&gt;"",1,0)+IF(DQ703&lt;&gt;"",1,0)+IF(DS703&lt;&gt;"",1,0)+IF(DT703&lt;&gt;"",1,0)+IF(DV703&lt;&gt;"",1,0)+IF(DW703&lt;&gt;"",1,0)+IF(DX703&lt;&gt;"",1,0)+IF(DY703&lt;&gt;"",1,0)+IF(DZ703&lt;&gt;"",1,0)+IF(EB703&lt;&gt;"",1,0)+IF(EC703&lt;&gt;"",1,0)+IF(ED703&lt;&gt;"",1,0)+IF(EG703&lt;&gt;"",1,0)+IF(EH703&lt;&gt;"",1,0)</f>
        <v/>
      </c>
      <c r="AZ703">
        <f>IF(EH703&lt;&gt;"",1,0)</f>
        <v/>
      </c>
      <c r="BB703" t="inlineStr">
        <is>
          <t>WARREN-WARD 4</t>
        </is>
      </c>
    </row>
    <row r="704">
      <c r="A704" t="inlineStr">
        <is>
          <t>OH0015696569</t>
        </is>
      </c>
      <c r="B704" t="n">
        <v>78</v>
      </c>
      <c r="C704" t="n">
        <v>151510</v>
      </c>
      <c r="D704" t="inlineStr">
        <is>
          <t>CAPERS</t>
        </is>
      </c>
      <c r="E704" t="inlineStr">
        <is>
          <t>LINDA</t>
        </is>
      </c>
      <c r="F704">
        <f>CONCATENATE(D704," ",LEFT(H704,4),"T=",AU704,"D=",AV704,"R=",AW704,"M=",AX704,"L=",AY704,"B=",AZ704)</f>
        <v/>
      </c>
      <c r="I704" t="inlineStr">
        <is>
          <t>1952-05-04</t>
        </is>
      </c>
      <c r="J704" t="inlineStr">
        <is>
          <t>1983-10-03</t>
        </is>
      </c>
      <c r="K704" t="inlineStr">
        <is>
          <t>ACTIVE</t>
        </is>
      </c>
      <c r="L704" t="inlineStr">
        <is>
          <t>D</t>
        </is>
      </c>
      <c r="M704" t="inlineStr">
        <is>
          <t>146 ADELAIDE AVE SE</t>
        </is>
      </c>
      <c r="N704">
        <f>RIGHT(M704,LEN(M704)-FIND(" ",M704))</f>
        <v/>
      </c>
      <c r="P704" t="inlineStr">
        <is>
          <t>WARREN</t>
        </is>
      </c>
      <c r="Q704" t="inlineStr">
        <is>
          <t>OH</t>
        </is>
      </c>
      <c r="R704" t="n">
        <v>44483</v>
      </c>
      <c r="AD704" t="inlineStr">
        <is>
          <t>TRUMBULL CAREER &amp; TECH CENTER</t>
        </is>
      </c>
      <c r="AE704" t="inlineStr">
        <is>
          <t>WARREN CITY</t>
        </is>
      </c>
      <c r="AF704" t="inlineStr">
        <is>
          <t>WARREN CITY SD</t>
        </is>
      </c>
      <c r="AH704" t="n">
        <v>14</v>
      </c>
      <c r="AI704" t="n">
        <v>11</v>
      </c>
      <c r="AN704" t="inlineStr">
        <is>
          <t>WARREN</t>
        </is>
      </c>
      <c r="AO704" t="inlineStr">
        <is>
          <t>WARREN CITY 4A</t>
        </is>
      </c>
      <c r="AP704" t="inlineStr">
        <is>
          <t>78-P-ADI</t>
        </is>
      </c>
      <c r="AQ704" t="n">
        <v>9</v>
      </c>
      <c r="AR704" t="n">
        <v>64</v>
      </c>
      <c r="AS704" t="n">
        <v>32</v>
      </c>
      <c r="AU704">
        <f>COUNTA($BA$704:$EH$704)</f>
        <v/>
      </c>
      <c r="AV704">
        <f>COUNTIF($BA$704:$EH$704,"D")</f>
        <v/>
      </c>
      <c r="AW704">
        <f>COUNTIF($BA$704:$EH$704,"R")</f>
        <v/>
      </c>
      <c r="AX704">
        <f>IF(BN704="D",1,0)+IF(BO704="D",1,0)+IF(BT704="D",1,0)+IF(BU704="D",1,0)+IF(BW704="D",1,0)+IF(CC704="D",1,0)+IF(CD704="D",1,0)+IF(CE704="D",1,0)+IF(CF704="D",1,0)+IF(CL704="D",1,0)+IF(CM704="D",1,0)+IF(CQ704="D",1,0)+IF(CR704="D",1,0)+IF(CS704="D",1,0)+IF(CW704="D",1,0)+IF(CX704="D",1,0)+IF(DD704="D",1,0)+IF(DE704="D",1,0)+IF(DJ704="D",1,0)+IF(DK704="D",1,0)+IF(DO704="D",1,0)+IF(DP704="D",1,0)+IF(DQ704="D",1,0)+IF(DW704="D",1,0)+IF(DZ704="D",1,0)+IF(EH704="D",1,0)</f>
        <v/>
      </c>
      <c r="AY704">
        <f>IF(DJ704&lt;&gt;"",1,0)+IF(DK704&lt;&gt;"",1,0)+IF(DM704&lt;&gt;"",1,0)+IF(DO704&lt;&gt;"",1,0)+IF(DP704&lt;&gt;"",1,0)+IF(DQ704&lt;&gt;"",1,0)+IF(DS704&lt;&gt;"",1,0)+IF(DT704&lt;&gt;"",1,0)+IF(DV704&lt;&gt;"",1,0)+IF(DW704&lt;&gt;"",1,0)+IF(DX704&lt;&gt;"",1,0)+IF(DY704&lt;&gt;"",1,0)+IF(DZ704&lt;&gt;"",1,0)+IF(EB704&lt;&gt;"",1,0)+IF(EC704&lt;&gt;"",1,0)+IF(ED704&lt;&gt;"",1,0)+IF(EG704&lt;&gt;"",1,0)+IF(EH704&lt;&gt;"",1,0)</f>
        <v/>
      </c>
      <c r="AZ704">
        <f>IF(EH704&lt;&gt;"",1,0)</f>
        <v/>
      </c>
      <c r="BB704" t="inlineStr">
        <is>
          <t>WARREN-WARD 4</t>
        </is>
      </c>
      <c r="BC704" t="inlineStr">
        <is>
          <t>X</t>
        </is>
      </c>
      <c r="BD704" t="inlineStr">
        <is>
          <t>X</t>
        </is>
      </c>
      <c r="BE704" t="inlineStr">
        <is>
          <t>X</t>
        </is>
      </c>
      <c r="BH704" t="inlineStr">
        <is>
          <t>X</t>
        </is>
      </c>
      <c r="BI704" t="inlineStr">
        <is>
          <t>X</t>
        </is>
      </c>
      <c r="BJ704" t="inlineStr">
        <is>
          <t>X</t>
        </is>
      </c>
      <c r="BK704" t="inlineStr">
        <is>
          <t>X</t>
        </is>
      </c>
      <c r="BL704" t="inlineStr">
        <is>
          <t>X</t>
        </is>
      </c>
      <c r="BP704" t="inlineStr">
        <is>
          <t>X</t>
        </is>
      </c>
      <c r="BS704" t="inlineStr">
        <is>
          <t>X</t>
        </is>
      </c>
      <c r="BV704" t="inlineStr">
        <is>
          <t>X</t>
        </is>
      </c>
      <c r="BY704" t="inlineStr">
        <is>
          <t>D</t>
        </is>
      </c>
      <c r="CA704" t="inlineStr">
        <is>
          <t>X</t>
        </is>
      </c>
      <c r="CG704" t="inlineStr">
        <is>
          <t>X</t>
        </is>
      </c>
      <c r="CH704" t="inlineStr">
        <is>
          <t>D</t>
        </is>
      </c>
      <c r="CK704" t="inlineStr">
        <is>
          <t>X</t>
        </is>
      </c>
      <c r="CL704" t="inlineStr">
        <is>
          <t>D</t>
        </is>
      </c>
      <c r="CN704" t="inlineStr">
        <is>
          <t>X</t>
        </is>
      </c>
      <c r="CO704" t="inlineStr">
        <is>
          <t>D</t>
        </is>
      </c>
      <c r="CP704" t="inlineStr">
        <is>
          <t>X</t>
        </is>
      </c>
      <c r="CT704" t="inlineStr">
        <is>
          <t>X</t>
        </is>
      </c>
      <c r="CU704" t="inlineStr">
        <is>
          <t>D</t>
        </is>
      </c>
      <c r="CV704" t="inlineStr">
        <is>
          <t>X</t>
        </is>
      </c>
      <c r="CW704" t="inlineStr">
        <is>
          <t>D</t>
        </is>
      </c>
      <c r="CY704" t="inlineStr">
        <is>
          <t>X</t>
        </is>
      </c>
      <c r="CZ704" t="inlineStr">
        <is>
          <t>D</t>
        </is>
      </c>
      <c r="DC704" t="inlineStr">
        <is>
          <t>X</t>
        </is>
      </c>
      <c r="DD704" t="inlineStr">
        <is>
          <t>D</t>
        </is>
      </c>
      <c r="DF704" t="inlineStr">
        <is>
          <t>X</t>
        </is>
      </c>
      <c r="DG704" t="inlineStr">
        <is>
          <t>D</t>
        </is>
      </c>
      <c r="DI704" t="inlineStr">
        <is>
          <t>X</t>
        </is>
      </c>
      <c r="DJ704" t="inlineStr">
        <is>
          <t>D</t>
        </is>
      </c>
      <c r="DL704" t="inlineStr">
        <is>
          <t>X</t>
        </is>
      </c>
      <c r="DM704" t="inlineStr">
        <is>
          <t>D</t>
        </is>
      </c>
      <c r="DN704" t="inlineStr">
        <is>
          <t>X</t>
        </is>
      </c>
      <c r="DR704" t="inlineStr">
        <is>
          <t>X</t>
        </is>
      </c>
      <c r="DS704" t="inlineStr">
        <is>
          <t>D</t>
        </is>
      </c>
      <c r="DT704" t="inlineStr">
        <is>
          <t>D</t>
        </is>
      </c>
      <c r="DU704" t="inlineStr">
        <is>
          <t>X</t>
        </is>
      </c>
      <c r="DW704" t="inlineStr">
        <is>
          <t>D</t>
        </is>
      </c>
      <c r="DX704" t="inlineStr">
        <is>
          <t>X</t>
        </is>
      </c>
      <c r="EA704" t="inlineStr">
        <is>
          <t>X</t>
        </is>
      </c>
      <c r="ED704" t="inlineStr">
        <is>
          <t>D</t>
        </is>
      </c>
      <c r="EF704" t="inlineStr">
        <is>
          <t>X</t>
        </is>
      </c>
      <c r="EH704" t="inlineStr">
        <is>
          <t>D</t>
        </is>
      </c>
    </row>
    <row r="705">
      <c r="A705" t="inlineStr">
        <is>
          <t>OH0027501749</t>
        </is>
      </c>
      <c r="B705" t="n">
        <v>78</v>
      </c>
      <c r="C705" t="n">
        <v>487253</v>
      </c>
      <c r="D705" t="inlineStr">
        <is>
          <t>KEMP</t>
        </is>
      </c>
      <c r="E705" t="inlineStr">
        <is>
          <t>TONAYA</t>
        </is>
      </c>
      <c r="F705">
        <f>CONCATENATE(D705," ",LEFT(H705,4),"T=",AU705,"D=",AV705,"R=",AW705,"M=",AX705,"L=",AY705,"B=",AZ705)</f>
        <v/>
      </c>
      <c r="I705" t="inlineStr">
        <is>
          <t>2006-09-02</t>
        </is>
      </c>
      <c r="J705" t="inlineStr">
        <is>
          <t>2024-07-31</t>
        </is>
      </c>
      <c r="K705" t="inlineStr">
        <is>
          <t>ACTIVE</t>
        </is>
      </c>
      <c r="M705" t="inlineStr">
        <is>
          <t>1234 BELLE ST SE</t>
        </is>
      </c>
      <c r="N705">
        <f>RIGHT(M705,LEN(M705)-FIND(" ",M705))</f>
        <v/>
      </c>
      <c r="P705" t="inlineStr">
        <is>
          <t>WARREN</t>
        </is>
      </c>
      <c r="Q705" t="inlineStr">
        <is>
          <t>OH</t>
        </is>
      </c>
      <c r="R705" t="n">
        <v>44484</v>
      </c>
      <c r="AD705" t="inlineStr">
        <is>
          <t>TRUMBULL CAREER &amp; TECH CENTER</t>
        </is>
      </c>
      <c r="AE705" t="inlineStr">
        <is>
          <t>WARREN CITY</t>
        </is>
      </c>
      <c r="AF705" t="inlineStr">
        <is>
          <t>WARREN CITY SD</t>
        </is>
      </c>
      <c r="AH705" t="n">
        <v>14</v>
      </c>
      <c r="AI705" t="n">
        <v>11</v>
      </c>
      <c r="AN705" t="inlineStr">
        <is>
          <t>WARREN</t>
        </is>
      </c>
      <c r="AO705" t="inlineStr">
        <is>
          <t>WARREN CITY 4A</t>
        </is>
      </c>
      <c r="AP705" t="inlineStr">
        <is>
          <t>78-P-ADI</t>
        </is>
      </c>
      <c r="AQ705" t="n">
        <v>9</v>
      </c>
      <c r="AR705" t="n">
        <v>64</v>
      </c>
      <c r="AS705" t="n">
        <v>32</v>
      </c>
      <c r="AU705">
        <f>COUNTA($BA$705:$EH$705)</f>
        <v/>
      </c>
      <c r="AV705">
        <f>COUNTIF($BA$705:$EH$705,"D")</f>
        <v/>
      </c>
      <c r="AW705">
        <f>COUNTIF($BA$705:$EH$705,"R")</f>
        <v/>
      </c>
      <c r="AX705">
        <f>IF(BN705="D",1,0)+IF(BO705="D",1,0)+IF(BT705="D",1,0)+IF(BU705="D",1,0)+IF(BW705="D",1,0)+IF(CC705="D",1,0)+IF(CD705="D",1,0)+IF(CE705="D",1,0)+IF(CF705="D",1,0)+IF(CL705="D",1,0)+IF(CM705="D",1,0)+IF(CQ705="D",1,0)+IF(CR705="D",1,0)+IF(CS705="D",1,0)+IF(CW705="D",1,0)+IF(CX705="D",1,0)+IF(DD705="D",1,0)+IF(DE705="D",1,0)+IF(DJ705="D",1,0)+IF(DK705="D",1,0)+IF(DO705="D",1,0)+IF(DP705="D",1,0)+IF(DQ705="D",1,0)+IF(DW705="D",1,0)+IF(DZ705="D",1,0)+IF(EH705="D",1,0)</f>
        <v/>
      </c>
      <c r="AY705">
        <f>IF(DJ705&lt;&gt;"",1,0)+IF(DK705&lt;&gt;"",1,0)+IF(DM705&lt;&gt;"",1,0)+IF(DO705&lt;&gt;"",1,0)+IF(DP705&lt;&gt;"",1,0)+IF(DQ705&lt;&gt;"",1,0)+IF(DS705&lt;&gt;"",1,0)+IF(DT705&lt;&gt;"",1,0)+IF(DV705&lt;&gt;"",1,0)+IF(DW705&lt;&gt;"",1,0)+IF(DX705&lt;&gt;"",1,0)+IF(DY705&lt;&gt;"",1,0)+IF(DZ705&lt;&gt;"",1,0)+IF(EB705&lt;&gt;"",1,0)+IF(EC705&lt;&gt;"",1,0)+IF(ED705&lt;&gt;"",1,0)+IF(EG705&lt;&gt;"",1,0)+IF(EH705&lt;&gt;"",1,0)</f>
        <v/>
      </c>
      <c r="AZ705">
        <f>IF(EH705&lt;&gt;"",1,0)</f>
        <v/>
      </c>
      <c r="BB705" t="inlineStr">
        <is>
          <t>WARREN-WARD 4</t>
        </is>
      </c>
    </row>
    <row r="706">
      <c r="A706" t="inlineStr">
        <is>
          <t>OH0015799749</t>
        </is>
      </c>
      <c r="B706" t="n">
        <v>78</v>
      </c>
      <c r="C706" t="n">
        <v>85895</v>
      </c>
      <c r="D706" t="inlineStr">
        <is>
          <t>GILMORE</t>
        </is>
      </c>
      <c r="E706" t="inlineStr">
        <is>
          <t>JOHN</t>
        </is>
      </c>
      <c r="F706">
        <f>CONCATENATE(D706," ",LEFT(H706,4),"T=",AU706,"D=",AV706,"R=",AW706,"M=",AX706,"L=",AY706,"B=",AZ706)</f>
        <v/>
      </c>
      <c r="G706" t="inlineStr">
        <is>
          <t>M</t>
        </is>
      </c>
      <c r="I706" t="inlineStr">
        <is>
          <t>1957-12-24</t>
        </is>
      </c>
      <c r="J706" t="inlineStr">
        <is>
          <t>1976-05-04</t>
        </is>
      </c>
      <c r="K706" t="inlineStr">
        <is>
          <t>ACTIVE</t>
        </is>
      </c>
      <c r="L706" t="inlineStr">
        <is>
          <t>D</t>
        </is>
      </c>
      <c r="M706" t="inlineStr">
        <is>
          <t>166 ADELAIDE AVE SE</t>
        </is>
      </c>
      <c r="N706">
        <f>RIGHT(M706,LEN(M706)-FIND(" ",M706))</f>
        <v/>
      </c>
      <c r="P706" t="inlineStr">
        <is>
          <t>WARREN</t>
        </is>
      </c>
      <c r="Q706" t="inlineStr">
        <is>
          <t>OH</t>
        </is>
      </c>
      <c r="R706" t="n">
        <v>44483</v>
      </c>
      <c r="AD706" t="inlineStr">
        <is>
          <t>TRUMBULL CAREER &amp; TECH CENTER</t>
        </is>
      </c>
      <c r="AE706" t="inlineStr">
        <is>
          <t>WARREN CITY</t>
        </is>
      </c>
      <c r="AF706" t="inlineStr">
        <is>
          <t>WARREN CITY SD</t>
        </is>
      </c>
      <c r="AH706" t="n">
        <v>14</v>
      </c>
      <c r="AI706" t="n">
        <v>11</v>
      </c>
      <c r="AN706" t="inlineStr">
        <is>
          <t>WARREN</t>
        </is>
      </c>
      <c r="AO706" t="inlineStr">
        <is>
          <t>WARREN CITY 4A</t>
        </is>
      </c>
      <c r="AP706" t="inlineStr">
        <is>
          <t>78-P-ADI</t>
        </is>
      </c>
      <c r="AQ706" t="n">
        <v>9</v>
      </c>
      <c r="AR706" t="n">
        <v>64</v>
      </c>
      <c r="AS706" t="n">
        <v>32</v>
      </c>
      <c r="AU706">
        <f>COUNTA($BA$706:$EH$706)</f>
        <v/>
      </c>
      <c r="AV706">
        <f>COUNTIF($BA$706:$EH$706,"D")</f>
        <v/>
      </c>
      <c r="AW706">
        <f>COUNTIF($BA$706:$EH$706,"R")</f>
        <v/>
      </c>
      <c r="AX706">
        <f>IF(BN706="D",1,0)+IF(BO706="D",1,0)+IF(BT706="D",1,0)+IF(BU706="D",1,0)+IF(BW706="D",1,0)+IF(CC706="D",1,0)+IF(CD706="D",1,0)+IF(CE706="D",1,0)+IF(CF706="D",1,0)+IF(CL706="D",1,0)+IF(CM706="D",1,0)+IF(CQ706="D",1,0)+IF(CR706="D",1,0)+IF(CS706="D",1,0)+IF(CW706="D",1,0)+IF(CX706="D",1,0)+IF(DD706="D",1,0)+IF(DE706="D",1,0)+IF(DJ706="D",1,0)+IF(DK706="D",1,0)+IF(DO706="D",1,0)+IF(DP706="D",1,0)+IF(DQ706="D",1,0)+IF(DW706="D",1,0)+IF(DZ706="D",1,0)+IF(EH706="D",1,0)</f>
        <v/>
      </c>
      <c r="AY706">
        <f>IF(DJ706&lt;&gt;"",1,0)+IF(DK706&lt;&gt;"",1,0)+IF(DM706&lt;&gt;"",1,0)+IF(DO706&lt;&gt;"",1,0)+IF(DP706&lt;&gt;"",1,0)+IF(DQ706&lt;&gt;"",1,0)+IF(DS706&lt;&gt;"",1,0)+IF(DT706&lt;&gt;"",1,0)+IF(DV706&lt;&gt;"",1,0)+IF(DW706&lt;&gt;"",1,0)+IF(DX706&lt;&gt;"",1,0)+IF(DY706&lt;&gt;"",1,0)+IF(DZ706&lt;&gt;"",1,0)+IF(EB706&lt;&gt;"",1,0)+IF(EC706&lt;&gt;"",1,0)+IF(ED706&lt;&gt;"",1,0)+IF(EG706&lt;&gt;"",1,0)+IF(EH706&lt;&gt;"",1,0)</f>
        <v/>
      </c>
      <c r="AZ706">
        <f>IF(EH706&lt;&gt;"",1,0)</f>
        <v/>
      </c>
      <c r="BB706" t="inlineStr">
        <is>
          <t>WARREN-WARD 4</t>
        </is>
      </c>
      <c r="BC706" t="inlineStr">
        <is>
          <t>X</t>
        </is>
      </c>
      <c r="BD706" t="inlineStr">
        <is>
          <t>X</t>
        </is>
      </c>
      <c r="BG706" t="inlineStr">
        <is>
          <t>X</t>
        </is>
      </c>
      <c r="BH706" t="inlineStr">
        <is>
          <t>X</t>
        </is>
      </c>
      <c r="BI706" t="inlineStr">
        <is>
          <t>X</t>
        </is>
      </c>
      <c r="BJ706" t="inlineStr">
        <is>
          <t>X</t>
        </is>
      </c>
      <c r="BK706" t="inlineStr">
        <is>
          <t>X</t>
        </is>
      </c>
      <c r="BL706" t="inlineStr">
        <is>
          <t>X</t>
        </is>
      </c>
      <c r="BS706" t="inlineStr">
        <is>
          <t>X</t>
        </is>
      </c>
      <c r="BY706" t="inlineStr">
        <is>
          <t>D</t>
        </is>
      </c>
      <c r="CA706" t="inlineStr">
        <is>
          <t>X</t>
        </is>
      </c>
      <c r="CK706" t="inlineStr">
        <is>
          <t>X</t>
        </is>
      </c>
      <c r="CL706" t="inlineStr">
        <is>
          <t>D</t>
        </is>
      </c>
      <c r="CN706" t="inlineStr">
        <is>
          <t>X</t>
        </is>
      </c>
      <c r="CO706" t="inlineStr">
        <is>
          <t>D</t>
        </is>
      </c>
      <c r="CP706" t="inlineStr">
        <is>
          <t>X</t>
        </is>
      </c>
      <c r="CU706" t="inlineStr">
        <is>
          <t>D</t>
        </is>
      </c>
      <c r="CV706" t="inlineStr">
        <is>
          <t>X</t>
        </is>
      </c>
      <c r="CY706" t="inlineStr">
        <is>
          <t>X</t>
        </is>
      </c>
      <c r="CZ706" t="inlineStr">
        <is>
          <t>D</t>
        </is>
      </c>
      <c r="DC706" t="inlineStr">
        <is>
          <t>X</t>
        </is>
      </c>
      <c r="DI706" t="inlineStr">
        <is>
          <t>X</t>
        </is>
      </c>
      <c r="DN706" t="inlineStr">
        <is>
          <t>X</t>
        </is>
      </c>
      <c r="DU706" t="inlineStr">
        <is>
          <t>X</t>
        </is>
      </c>
      <c r="DW706" t="inlineStr">
        <is>
          <t>D</t>
        </is>
      </c>
      <c r="EA706" t="inlineStr">
        <is>
          <t>X</t>
        </is>
      </c>
      <c r="ED706" t="inlineStr">
        <is>
          <t>D</t>
        </is>
      </c>
      <c r="EF706" t="inlineStr">
        <is>
          <t>X</t>
        </is>
      </c>
    </row>
    <row r="707">
      <c r="A707" t="inlineStr">
        <is>
          <t>OH0018603618</t>
        </is>
      </c>
      <c r="B707" t="n">
        <v>78</v>
      </c>
      <c r="C707" t="n">
        <v>341501</v>
      </c>
      <c r="D707" t="inlineStr">
        <is>
          <t>GILMORE</t>
        </is>
      </c>
      <c r="E707" t="inlineStr">
        <is>
          <t>ROBERT</t>
        </is>
      </c>
      <c r="F707">
        <f>CONCATENATE(D707," ",LEFT(H707,4),"T=",AU707,"D=",AV707,"R=",AW707,"M=",AX707,"L=",AY707,"B=",AZ707)</f>
        <v/>
      </c>
      <c r="I707" t="inlineStr">
        <is>
          <t>1986-09-19</t>
        </is>
      </c>
      <c r="J707" t="inlineStr">
        <is>
          <t>2005-10-13</t>
        </is>
      </c>
      <c r="K707" t="inlineStr">
        <is>
          <t>ACTIVE</t>
        </is>
      </c>
      <c r="L707" t="inlineStr">
        <is>
          <t>D</t>
        </is>
      </c>
      <c r="M707" t="inlineStr">
        <is>
          <t>166 ADELAIDE AVE SE</t>
        </is>
      </c>
      <c r="N707">
        <f>RIGHT(M707,LEN(M707)-FIND(" ",M707))</f>
        <v/>
      </c>
      <c r="P707" t="inlineStr">
        <is>
          <t>WARREN</t>
        </is>
      </c>
      <c r="Q707" t="inlineStr">
        <is>
          <t>OH</t>
        </is>
      </c>
      <c r="R707" t="n">
        <v>44483</v>
      </c>
      <c r="AD707" t="inlineStr">
        <is>
          <t>TRUMBULL CAREER &amp; TECH CENTER</t>
        </is>
      </c>
      <c r="AE707" t="inlineStr">
        <is>
          <t>WARREN CITY</t>
        </is>
      </c>
      <c r="AF707" t="inlineStr">
        <is>
          <t>WARREN CITY SD</t>
        </is>
      </c>
      <c r="AH707" t="n">
        <v>14</v>
      </c>
      <c r="AI707" t="n">
        <v>11</v>
      </c>
      <c r="AN707" t="inlineStr">
        <is>
          <t>WARREN</t>
        </is>
      </c>
      <c r="AO707" t="inlineStr">
        <is>
          <t>WARREN CITY 4A</t>
        </is>
      </c>
      <c r="AP707" t="inlineStr">
        <is>
          <t>78-P-ADI</t>
        </is>
      </c>
      <c r="AQ707" t="n">
        <v>9</v>
      </c>
      <c r="AR707" t="n">
        <v>64</v>
      </c>
      <c r="AS707" t="n">
        <v>32</v>
      </c>
      <c r="AU707">
        <f>COUNTA($BA$707:$EH$707)</f>
        <v/>
      </c>
      <c r="AV707">
        <f>COUNTIF($BA$707:$EH$707,"D")</f>
        <v/>
      </c>
      <c r="AW707">
        <f>COUNTIF($BA$707:$EH$707,"R")</f>
        <v/>
      </c>
      <c r="AX707">
        <f>IF(BN707="D",1,0)+IF(BO707="D",1,0)+IF(BT707="D",1,0)+IF(BU707="D",1,0)+IF(BW707="D",1,0)+IF(CC707="D",1,0)+IF(CD707="D",1,0)+IF(CE707="D",1,0)+IF(CF707="D",1,0)+IF(CL707="D",1,0)+IF(CM707="D",1,0)+IF(CQ707="D",1,0)+IF(CR707="D",1,0)+IF(CS707="D",1,0)+IF(CW707="D",1,0)+IF(CX707="D",1,0)+IF(DD707="D",1,0)+IF(DE707="D",1,0)+IF(DJ707="D",1,0)+IF(DK707="D",1,0)+IF(DO707="D",1,0)+IF(DP707="D",1,0)+IF(DQ707="D",1,0)+IF(DW707="D",1,0)+IF(DZ707="D",1,0)+IF(EH707="D",1,0)</f>
        <v/>
      </c>
      <c r="AY707">
        <f>IF(DJ707&lt;&gt;"",1,0)+IF(DK707&lt;&gt;"",1,0)+IF(DM707&lt;&gt;"",1,0)+IF(DO707&lt;&gt;"",1,0)+IF(DP707&lt;&gt;"",1,0)+IF(DQ707&lt;&gt;"",1,0)+IF(DS707&lt;&gt;"",1,0)+IF(DT707&lt;&gt;"",1,0)+IF(DV707&lt;&gt;"",1,0)+IF(DW707&lt;&gt;"",1,0)+IF(DX707&lt;&gt;"",1,0)+IF(DY707&lt;&gt;"",1,0)+IF(DZ707&lt;&gt;"",1,0)+IF(EB707&lt;&gt;"",1,0)+IF(EC707&lt;&gt;"",1,0)+IF(ED707&lt;&gt;"",1,0)+IF(EG707&lt;&gt;"",1,0)+IF(EH707&lt;&gt;"",1,0)</f>
        <v/>
      </c>
      <c r="AZ707">
        <f>IF(EH707&lt;&gt;"",1,0)</f>
        <v/>
      </c>
      <c r="BB707" t="inlineStr">
        <is>
          <t>WARREN-WARD 4</t>
        </is>
      </c>
      <c r="BY707" t="inlineStr">
        <is>
          <t>D</t>
        </is>
      </c>
      <c r="CA707" t="inlineStr">
        <is>
          <t>X</t>
        </is>
      </c>
      <c r="CG707" t="inlineStr">
        <is>
          <t>X</t>
        </is>
      </c>
      <c r="CK707" t="inlineStr">
        <is>
          <t>X</t>
        </is>
      </c>
      <c r="CN707" t="inlineStr">
        <is>
          <t>X</t>
        </is>
      </c>
      <c r="CO707" t="inlineStr">
        <is>
          <t>D</t>
        </is>
      </c>
      <c r="CP707" t="inlineStr">
        <is>
          <t>X</t>
        </is>
      </c>
      <c r="CU707" t="inlineStr">
        <is>
          <t>D</t>
        </is>
      </c>
      <c r="CV707" t="inlineStr">
        <is>
          <t>X</t>
        </is>
      </c>
      <c r="CW707" t="inlineStr">
        <is>
          <t>D</t>
        </is>
      </c>
      <c r="CY707" t="inlineStr">
        <is>
          <t>X</t>
        </is>
      </c>
      <c r="CZ707" t="inlineStr">
        <is>
          <t>D</t>
        </is>
      </c>
      <c r="DC707" t="inlineStr">
        <is>
          <t>X</t>
        </is>
      </c>
      <c r="DF707" t="inlineStr">
        <is>
          <t>X</t>
        </is>
      </c>
      <c r="DG707" t="inlineStr">
        <is>
          <t>D</t>
        </is>
      </c>
      <c r="DI707" t="inlineStr">
        <is>
          <t>X</t>
        </is>
      </c>
      <c r="DN707" t="inlineStr">
        <is>
          <t>X</t>
        </is>
      </c>
      <c r="DU707" t="inlineStr">
        <is>
          <t>X</t>
        </is>
      </c>
      <c r="DW707" t="inlineStr">
        <is>
          <t>D</t>
        </is>
      </c>
      <c r="DX707" t="inlineStr">
        <is>
          <t>X</t>
        </is>
      </c>
      <c r="EA707" t="inlineStr">
        <is>
          <t>X</t>
        </is>
      </c>
      <c r="ED707" t="inlineStr">
        <is>
          <t>D</t>
        </is>
      </c>
      <c r="EF707" t="inlineStr">
        <is>
          <t>X</t>
        </is>
      </c>
    </row>
    <row r="708">
      <c r="A708" t="inlineStr">
        <is>
          <t>OH0015694963</t>
        </is>
      </c>
      <c r="B708" t="n">
        <v>78</v>
      </c>
      <c r="C708" t="n">
        <v>147871</v>
      </c>
      <c r="D708" t="inlineStr">
        <is>
          <t>GILMORE</t>
        </is>
      </c>
      <c r="E708" t="inlineStr">
        <is>
          <t>TONI</t>
        </is>
      </c>
      <c r="F708">
        <f>CONCATENATE(D708," ",LEFT(H708,4),"T=",AU708,"D=",AV708,"R=",AW708,"M=",AX708,"L=",AY708,"B=",AZ708)</f>
        <v/>
      </c>
      <c r="G708" t="inlineStr">
        <is>
          <t>M</t>
        </is>
      </c>
      <c r="I708" t="inlineStr">
        <is>
          <t>1958-08-17</t>
        </is>
      </c>
      <c r="J708" t="inlineStr">
        <is>
          <t>1982-08-28</t>
        </is>
      </c>
      <c r="K708" t="inlineStr">
        <is>
          <t>ACTIVE</t>
        </is>
      </c>
      <c r="L708" t="inlineStr">
        <is>
          <t>D</t>
        </is>
      </c>
      <c r="M708" t="inlineStr">
        <is>
          <t>166 ADELAIDE AVE SE</t>
        </is>
      </c>
      <c r="N708">
        <f>RIGHT(M708,LEN(M708)-FIND(" ",M708))</f>
        <v/>
      </c>
      <c r="P708" t="inlineStr">
        <is>
          <t>WARREN</t>
        </is>
      </c>
      <c r="Q708" t="inlineStr">
        <is>
          <t>OH</t>
        </is>
      </c>
      <c r="R708" t="n">
        <v>44483</v>
      </c>
      <c r="AD708" t="inlineStr">
        <is>
          <t>TRUMBULL CAREER &amp; TECH CENTER</t>
        </is>
      </c>
      <c r="AE708" t="inlineStr">
        <is>
          <t>WARREN CITY</t>
        </is>
      </c>
      <c r="AF708" t="inlineStr">
        <is>
          <t>WARREN CITY SD</t>
        </is>
      </c>
      <c r="AH708" t="n">
        <v>14</v>
      </c>
      <c r="AI708" t="n">
        <v>11</v>
      </c>
      <c r="AN708" t="inlineStr">
        <is>
          <t>WARREN</t>
        </is>
      </c>
      <c r="AO708" t="inlineStr">
        <is>
          <t>WARREN CITY 4A</t>
        </is>
      </c>
      <c r="AP708" t="inlineStr">
        <is>
          <t>78-P-ADI</t>
        </is>
      </c>
      <c r="AQ708" t="n">
        <v>9</v>
      </c>
      <c r="AR708" t="n">
        <v>64</v>
      </c>
      <c r="AS708" t="n">
        <v>32</v>
      </c>
      <c r="AU708">
        <f>COUNTA($BA$708:$EH$708)</f>
        <v/>
      </c>
      <c r="AV708">
        <f>COUNTIF($BA$708:$EH$708,"D")</f>
        <v/>
      </c>
      <c r="AW708">
        <f>COUNTIF($BA$708:$EH$708,"R")</f>
        <v/>
      </c>
      <c r="AX708">
        <f>IF(BN708="D",1,0)+IF(BO708="D",1,0)+IF(BT708="D",1,0)+IF(BU708="D",1,0)+IF(BW708="D",1,0)+IF(CC708="D",1,0)+IF(CD708="D",1,0)+IF(CE708="D",1,0)+IF(CF708="D",1,0)+IF(CL708="D",1,0)+IF(CM708="D",1,0)+IF(CQ708="D",1,0)+IF(CR708="D",1,0)+IF(CS708="D",1,0)+IF(CW708="D",1,0)+IF(CX708="D",1,0)+IF(DD708="D",1,0)+IF(DE708="D",1,0)+IF(DJ708="D",1,0)+IF(DK708="D",1,0)+IF(DO708="D",1,0)+IF(DP708="D",1,0)+IF(DQ708="D",1,0)+IF(DW708="D",1,0)+IF(DZ708="D",1,0)+IF(EH708="D",1,0)</f>
        <v/>
      </c>
      <c r="AY708">
        <f>IF(DJ708&lt;&gt;"",1,0)+IF(DK708&lt;&gt;"",1,0)+IF(DM708&lt;&gt;"",1,0)+IF(DO708&lt;&gt;"",1,0)+IF(DP708&lt;&gt;"",1,0)+IF(DQ708&lt;&gt;"",1,0)+IF(DS708&lt;&gt;"",1,0)+IF(DT708&lt;&gt;"",1,0)+IF(DV708&lt;&gt;"",1,0)+IF(DW708&lt;&gt;"",1,0)+IF(DX708&lt;&gt;"",1,0)+IF(DY708&lt;&gt;"",1,0)+IF(DZ708&lt;&gt;"",1,0)+IF(EB708&lt;&gt;"",1,0)+IF(EC708&lt;&gt;"",1,0)+IF(ED708&lt;&gt;"",1,0)+IF(EG708&lt;&gt;"",1,0)+IF(EH708&lt;&gt;"",1,0)</f>
        <v/>
      </c>
      <c r="AZ708">
        <f>IF(EH708&lt;&gt;"",1,0)</f>
        <v/>
      </c>
      <c r="BB708" t="inlineStr">
        <is>
          <t>WARREN-WARD 4</t>
        </is>
      </c>
      <c r="BC708" t="inlineStr">
        <is>
          <t>X</t>
        </is>
      </c>
      <c r="BD708" t="inlineStr">
        <is>
          <t>X</t>
        </is>
      </c>
      <c r="BE708" t="inlineStr">
        <is>
          <t>X</t>
        </is>
      </c>
      <c r="BG708" t="inlineStr">
        <is>
          <t>X</t>
        </is>
      </c>
      <c r="BH708" t="inlineStr">
        <is>
          <t>X</t>
        </is>
      </c>
      <c r="BI708" t="inlineStr">
        <is>
          <t>X</t>
        </is>
      </c>
      <c r="BJ708" t="inlineStr">
        <is>
          <t>X</t>
        </is>
      </c>
      <c r="BK708" t="inlineStr">
        <is>
          <t>X</t>
        </is>
      </c>
      <c r="BL708" t="inlineStr">
        <is>
          <t>X</t>
        </is>
      </c>
      <c r="BP708" t="inlineStr">
        <is>
          <t>X</t>
        </is>
      </c>
      <c r="BR708" t="inlineStr">
        <is>
          <t>X</t>
        </is>
      </c>
      <c r="BS708" t="inlineStr">
        <is>
          <t>X</t>
        </is>
      </c>
      <c r="BY708" t="inlineStr">
        <is>
          <t>D</t>
        </is>
      </c>
      <c r="CA708" t="inlineStr">
        <is>
          <t>X</t>
        </is>
      </c>
      <c r="CC708" t="inlineStr">
        <is>
          <t>D</t>
        </is>
      </c>
      <c r="CG708" t="inlineStr">
        <is>
          <t>X</t>
        </is>
      </c>
      <c r="CH708" t="inlineStr">
        <is>
          <t>D</t>
        </is>
      </c>
      <c r="CK708" t="inlineStr">
        <is>
          <t>X</t>
        </is>
      </c>
      <c r="CL708" t="inlineStr">
        <is>
          <t>D</t>
        </is>
      </c>
      <c r="CN708" t="inlineStr">
        <is>
          <t>X</t>
        </is>
      </c>
      <c r="CO708" t="inlineStr">
        <is>
          <t>D</t>
        </is>
      </c>
      <c r="CP708" t="inlineStr">
        <is>
          <t>X</t>
        </is>
      </c>
      <c r="CT708" t="inlineStr">
        <is>
          <t>X</t>
        </is>
      </c>
      <c r="CU708" t="inlineStr">
        <is>
          <t>D</t>
        </is>
      </c>
      <c r="CV708" t="inlineStr">
        <is>
          <t>X</t>
        </is>
      </c>
      <c r="CW708" t="inlineStr">
        <is>
          <t>D</t>
        </is>
      </c>
      <c r="CY708" t="inlineStr">
        <is>
          <t>X</t>
        </is>
      </c>
      <c r="CZ708" t="inlineStr">
        <is>
          <t>D</t>
        </is>
      </c>
      <c r="DC708" t="inlineStr">
        <is>
          <t>X</t>
        </is>
      </c>
      <c r="DD708" t="inlineStr">
        <is>
          <t>D</t>
        </is>
      </c>
      <c r="DF708" t="inlineStr">
        <is>
          <t>X</t>
        </is>
      </c>
      <c r="DG708" t="inlineStr">
        <is>
          <t>D</t>
        </is>
      </c>
      <c r="DI708" t="inlineStr">
        <is>
          <t>X</t>
        </is>
      </c>
      <c r="DJ708" t="inlineStr">
        <is>
          <t>D</t>
        </is>
      </c>
      <c r="DL708" t="inlineStr">
        <is>
          <t>X</t>
        </is>
      </c>
      <c r="DN708" t="inlineStr">
        <is>
          <t>X</t>
        </is>
      </c>
      <c r="DR708" t="inlineStr">
        <is>
          <t>X</t>
        </is>
      </c>
      <c r="DS708" t="inlineStr">
        <is>
          <t>R</t>
        </is>
      </c>
      <c r="DT708" t="inlineStr">
        <is>
          <t>R</t>
        </is>
      </c>
      <c r="DU708" t="inlineStr">
        <is>
          <t>X</t>
        </is>
      </c>
      <c r="DW708" t="inlineStr">
        <is>
          <t>D</t>
        </is>
      </c>
      <c r="DX708" t="inlineStr">
        <is>
          <t>X</t>
        </is>
      </c>
      <c r="EA708" t="inlineStr">
        <is>
          <t>X</t>
        </is>
      </c>
      <c r="ED708" t="inlineStr">
        <is>
          <t>D</t>
        </is>
      </c>
      <c r="EF708" t="inlineStr">
        <is>
          <t>X</t>
        </is>
      </c>
      <c r="EH708" t="inlineStr">
        <is>
          <t>D</t>
        </is>
      </c>
    </row>
    <row r="709">
      <c r="A709" t="inlineStr">
        <is>
          <t>OH0023996272</t>
        </is>
      </c>
      <c r="B709" t="n">
        <v>78</v>
      </c>
      <c r="C709" t="n">
        <v>420883</v>
      </c>
      <c r="D709" t="inlineStr">
        <is>
          <t>WILSON</t>
        </is>
      </c>
      <c r="E709" t="inlineStr">
        <is>
          <t>CHERYL</t>
        </is>
      </c>
      <c r="F709">
        <f>CONCATENATE(D709," ",LEFT(H709,4),"T=",AU709,"D=",AV709,"R=",AW709,"M=",AX709,"L=",AY709,"B=",AZ709)</f>
        <v/>
      </c>
      <c r="G709" t="inlineStr">
        <is>
          <t>ABY</t>
        </is>
      </c>
      <c r="I709" t="inlineStr">
        <is>
          <t>1950-08-19</t>
        </is>
      </c>
      <c r="J709" t="inlineStr">
        <is>
          <t>2021-12-03</t>
        </is>
      </c>
      <c r="K709" t="inlineStr">
        <is>
          <t>CONFIRMATION</t>
        </is>
      </c>
      <c r="M709" t="inlineStr">
        <is>
          <t>482 KENILWORTH AVE SE</t>
        </is>
      </c>
      <c r="N709">
        <f>RIGHT(M709,LEN(M709)-FIND(" ",M709))</f>
        <v/>
      </c>
      <c r="P709" t="inlineStr">
        <is>
          <t>WARREN</t>
        </is>
      </c>
      <c r="Q709" t="inlineStr">
        <is>
          <t>OH</t>
        </is>
      </c>
      <c r="R709" t="n">
        <v>44483</v>
      </c>
      <c r="AD709" t="inlineStr">
        <is>
          <t>TRUMBULL CAREER &amp; TECH CENTER</t>
        </is>
      </c>
      <c r="AE709" t="inlineStr">
        <is>
          <t>WARREN CITY</t>
        </is>
      </c>
      <c r="AF709" t="inlineStr">
        <is>
          <t>WARREN CITY SD</t>
        </is>
      </c>
      <c r="AH709" t="n">
        <v>14</v>
      </c>
      <c r="AI709" t="n">
        <v>11</v>
      </c>
      <c r="AN709" t="inlineStr">
        <is>
          <t>WARREN</t>
        </is>
      </c>
      <c r="AO709" t="inlineStr">
        <is>
          <t>WARREN CITY 4A</t>
        </is>
      </c>
      <c r="AP709" t="inlineStr">
        <is>
          <t>78-P-ADI</t>
        </is>
      </c>
      <c r="AQ709" t="n">
        <v>9</v>
      </c>
      <c r="AR709" t="n">
        <v>64</v>
      </c>
      <c r="AS709" t="n">
        <v>32</v>
      </c>
      <c r="AU709">
        <f>COUNTA($BA$709:$EH$709)</f>
        <v/>
      </c>
      <c r="AV709">
        <f>COUNTIF($BA$709:$EH$709,"D")</f>
        <v/>
      </c>
      <c r="AW709">
        <f>COUNTIF($BA$709:$EH$709,"R")</f>
        <v/>
      </c>
      <c r="AX709">
        <f>IF(BN709="D",1,0)+IF(BO709="D",1,0)+IF(BT709="D",1,0)+IF(BU709="D",1,0)+IF(BW709="D",1,0)+IF(CC709="D",1,0)+IF(CD709="D",1,0)+IF(CE709="D",1,0)+IF(CF709="D",1,0)+IF(CL709="D",1,0)+IF(CM709="D",1,0)+IF(CQ709="D",1,0)+IF(CR709="D",1,0)+IF(CS709="D",1,0)+IF(CW709="D",1,0)+IF(CX709="D",1,0)+IF(DD709="D",1,0)+IF(DE709="D",1,0)+IF(DJ709="D",1,0)+IF(DK709="D",1,0)+IF(DO709="D",1,0)+IF(DP709="D",1,0)+IF(DQ709="D",1,0)+IF(DW709="D",1,0)+IF(DZ709="D",1,0)+IF(EH709="D",1,0)</f>
        <v/>
      </c>
      <c r="AY709">
        <f>IF(DJ709&lt;&gt;"",1,0)+IF(DK709&lt;&gt;"",1,0)+IF(DM709&lt;&gt;"",1,0)+IF(DO709&lt;&gt;"",1,0)+IF(DP709&lt;&gt;"",1,0)+IF(DQ709&lt;&gt;"",1,0)+IF(DS709&lt;&gt;"",1,0)+IF(DT709&lt;&gt;"",1,0)+IF(DV709&lt;&gt;"",1,0)+IF(DW709&lt;&gt;"",1,0)+IF(DX709&lt;&gt;"",1,0)+IF(DY709&lt;&gt;"",1,0)+IF(DZ709&lt;&gt;"",1,0)+IF(EB709&lt;&gt;"",1,0)+IF(EC709&lt;&gt;"",1,0)+IF(ED709&lt;&gt;"",1,0)+IF(EG709&lt;&gt;"",1,0)+IF(EH709&lt;&gt;"",1,0)</f>
        <v/>
      </c>
      <c r="AZ709">
        <f>IF(EH709&lt;&gt;"",1,0)</f>
        <v/>
      </c>
      <c r="BB709" t="inlineStr">
        <is>
          <t>WARREN-WARD 4</t>
        </is>
      </c>
      <c r="DC709" t="inlineStr">
        <is>
          <t>X</t>
        </is>
      </c>
    </row>
    <row r="710">
      <c r="A710" t="inlineStr">
        <is>
          <t>OH0023859505</t>
        </is>
      </c>
      <c r="B710" t="n">
        <v>78</v>
      </c>
      <c r="C710" t="n">
        <v>419176</v>
      </c>
      <c r="D710" t="inlineStr">
        <is>
          <t>BLACKWELL</t>
        </is>
      </c>
      <c r="E710" t="inlineStr">
        <is>
          <t>TRESAN</t>
        </is>
      </c>
      <c r="F710">
        <f>CONCATENATE(D710," ",LEFT(H710,4),"T=",AU710,"D=",AV710,"R=",AW710,"M=",AX710,"L=",AY710,"B=",AZ710)</f>
        <v/>
      </c>
      <c r="G710" t="inlineStr">
        <is>
          <t>DEANTE DEWITT</t>
        </is>
      </c>
      <c r="I710" t="inlineStr">
        <is>
          <t>1993-04-23</t>
        </is>
      </c>
      <c r="J710" t="inlineStr">
        <is>
          <t>2019-10-09</t>
        </is>
      </c>
      <c r="K710" t="inlineStr">
        <is>
          <t>CONFIRMATION</t>
        </is>
      </c>
      <c r="M710" t="inlineStr">
        <is>
          <t>306 WOODBINE AVE SE</t>
        </is>
      </c>
      <c r="N710">
        <f>RIGHT(M710,LEN(M710)-FIND(" ",M710))</f>
        <v/>
      </c>
      <c r="P710" t="inlineStr">
        <is>
          <t>WARREN</t>
        </is>
      </c>
      <c r="Q710" t="inlineStr">
        <is>
          <t>OH</t>
        </is>
      </c>
      <c r="R710" t="n">
        <v>44483</v>
      </c>
      <c r="AD710" t="inlineStr">
        <is>
          <t>TRUMBULL CAREER &amp; TECH CENTER</t>
        </is>
      </c>
      <c r="AE710" t="inlineStr">
        <is>
          <t>WARREN CITY</t>
        </is>
      </c>
      <c r="AF710" t="inlineStr">
        <is>
          <t>WARREN CITY SD</t>
        </is>
      </c>
      <c r="AH710" t="n">
        <v>14</v>
      </c>
      <c r="AI710" t="n">
        <v>11</v>
      </c>
      <c r="AN710" t="inlineStr">
        <is>
          <t>WARREN</t>
        </is>
      </c>
      <c r="AO710" t="inlineStr">
        <is>
          <t>WARREN CITY 4A</t>
        </is>
      </c>
      <c r="AP710" t="inlineStr">
        <is>
          <t>78-P-ADI</t>
        </is>
      </c>
      <c r="AQ710" t="n">
        <v>9</v>
      </c>
      <c r="AR710" t="n">
        <v>64</v>
      </c>
      <c r="AS710" t="n">
        <v>32</v>
      </c>
      <c r="AU710">
        <f>COUNTA($BA$710:$EH$710)</f>
        <v/>
      </c>
      <c r="AV710">
        <f>COUNTIF($BA$710:$EH$710,"D")</f>
        <v/>
      </c>
      <c r="AW710">
        <f>COUNTIF($BA$710:$EH$710,"R")</f>
        <v/>
      </c>
      <c r="AX710">
        <f>IF(BN710="D",1,0)+IF(BO710="D",1,0)+IF(BT710="D",1,0)+IF(BU710="D",1,0)+IF(BW710="D",1,0)+IF(CC710="D",1,0)+IF(CD710="D",1,0)+IF(CE710="D",1,0)+IF(CF710="D",1,0)+IF(CL710="D",1,0)+IF(CM710="D",1,0)+IF(CQ710="D",1,0)+IF(CR710="D",1,0)+IF(CS710="D",1,0)+IF(CW710="D",1,0)+IF(CX710="D",1,0)+IF(DD710="D",1,0)+IF(DE710="D",1,0)+IF(DJ710="D",1,0)+IF(DK710="D",1,0)+IF(DO710="D",1,0)+IF(DP710="D",1,0)+IF(DQ710="D",1,0)+IF(DW710="D",1,0)+IF(DZ710="D",1,0)+IF(EH710="D",1,0)</f>
        <v/>
      </c>
      <c r="AY710">
        <f>IF(DJ710&lt;&gt;"",1,0)+IF(DK710&lt;&gt;"",1,0)+IF(DM710&lt;&gt;"",1,0)+IF(DO710&lt;&gt;"",1,0)+IF(DP710&lt;&gt;"",1,0)+IF(DQ710&lt;&gt;"",1,0)+IF(DS710&lt;&gt;"",1,0)+IF(DT710&lt;&gt;"",1,0)+IF(DV710&lt;&gt;"",1,0)+IF(DW710&lt;&gt;"",1,0)+IF(DX710&lt;&gt;"",1,0)+IF(DY710&lt;&gt;"",1,0)+IF(DZ710&lt;&gt;"",1,0)+IF(EB710&lt;&gt;"",1,0)+IF(EC710&lt;&gt;"",1,0)+IF(ED710&lt;&gt;"",1,0)+IF(EG710&lt;&gt;"",1,0)+IF(EH710&lt;&gt;"",1,0)</f>
        <v/>
      </c>
      <c r="AZ710">
        <f>IF(EH710&lt;&gt;"",1,0)</f>
        <v/>
      </c>
      <c r="BB710" t="inlineStr">
        <is>
          <t>WARREN-WARD 4</t>
        </is>
      </c>
    </row>
    <row r="711">
      <c r="A711" t="inlineStr">
        <is>
          <t>OH0022789195</t>
        </is>
      </c>
      <c r="B711" t="n">
        <v>78</v>
      </c>
      <c r="C711" t="n">
        <v>402362</v>
      </c>
      <c r="D711" t="inlineStr">
        <is>
          <t>MANGLE</t>
        </is>
      </c>
      <c r="E711" t="inlineStr">
        <is>
          <t>ERIC</t>
        </is>
      </c>
      <c r="F711">
        <f>CONCATENATE(D711," ",LEFT(H711,4),"T=",AU711,"D=",AV711,"R=",AW711,"M=",AX711,"L=",AY711,"B=",AZ711)</f>
        <v/>
      </c>
      <c r="G711" t="inlineStr">
        <is>
          <t>W</t>
        </is>
      </c>
      <c r="I711" t="inlineStr">
        <is>
          <t>1970-05-27</t>
        </is>
      </c>
      <c r="J711" t="inlineStr">
        <is>
          <t>2014-05-30</t>
        </is>
      </c>
      <c r="K711" t="inlineStr">
        <is>
          <t>ACTIVE</t>
        </is>
      </c>
      <c r="M711" t="inlineStr">
        <is>
          <t>305 OAK KNOLL AVE SE</t>
        </is>
      </c>
      <c r="N711">
        <f>RIGHT(M711,LEN(M711)-FIND(" ",M711))</f>
        <v/>
      </c>
      <c r="P711" t="inlineStr">
        <is>
          <t>WARREN</t>
        </is>
      </c>
      <c r="Q711" t="inlineStr">
        <is>
          <t>OH</t>
        </is>
      </c>
      <c r="R711" t="n">
        <v>44483</v>
      </c>
      <c r="AD711" t="inlineStr">
        <is>
          <t>TRUMBULL CAREER &amp; TECH CENTER</t>
        </is>
      </c>
      <c r="AE711" t="inlineStr">
        <is>
          <t>WARREN CITY</t>
        </is>
      </c>
      <c r="AF711" t="inlineStr">
        <is>
          <t>WARREN CITY SD</t>
        </is>
      </c>
      <c r="AH711" t="n">
        <v>14</v>
      </c>
      <c r="AI711" t="n">
        <v>11</v>
      </c>
      <c r="AN711" t="inlineStr">
        <is>
          <t>WARREN</t>
        </is>
      </c>
      <c r="AO711" t="inlineStr">
        <is>
          <t>WARREN CITY 4A</t>
        </is>
      </c>
      <c r="AP711" t="inlineStr">
        <is>
          <t>78-P-ADI</t>
        </is>
      </c>
      <c r="AQ711" t="n">
        <v>9</v>
      </c>
      <c r="AR711" t="n">
        <v>64</v>
      </c>
      <c r="AS711" t="n">
        <v>32</v>
      </c>
      <c r="AU711">
        <f>COUNTA($BA$711:$EH$711)</f>
        <v/>
      </c>
      <c r="AV711">
        <f>COUNTIF($BA$711:$EH$711,"D")</f>
        <v/>
      </c>
      <c r="AW711">
        <f>COUNTIF($BA$711:$EH$711,"R")</f>
        <v/>
      </c>
      <c r="AX711">
        <f>IF(BN711="D",1,0)+IF(BO711="D",1,0)+IF(BT711="D",1,0)+IF(BU711="D",1,0)+IF(BW711="D",1,0)+IF(CC711="D",1,0)+IF(CD711="D",1,0)+IF(CE711="D",1,0)+IF(CF711="D",1,0)+IF(CL711="D",1,0)+IF(CM711="D",1,0)+IF(CQ711="D",1,0)+IF(CR711="D",1,0)+IF(CS711="D",1,0)+IF(CW711="D",1,0)+IF(CX711="D",1,0)+IF(DD711="D",1,0)+IF(DE711="D",1,0)+IF(DJ711="D",1,0)+IF(DK711="D",1,0)+IF(DO711="D",1,0)+IF(DP711="D",1,0)+IF(DQ711="D",1,0)+IF(DW711="D",1,0)+IF(DZ711="D",1,0)+IF(EH711="D",1,0)</f>
        <v/>
      </c>
      <c r="AY711">
        <f>IF(DJ711&lt;&gt;"",1,0)+IF(DK711&lt;&gt;"",1,0)+IF(DM711&lt;&gt;"",1,0)+IF(DO711&lt;&gt;"",1,0)+IF(DP711&lt;&gt;"",1,0)+IF(DQ711&lt;&gt;"",1,0)+IF(DS711&lt;&gt;"",1,0)+IF(DT711&lt;&gt;"",1,0)+IF(DV711&lt;&gt;"",1,0)+IF(DW711&lt;&gt;"",1,0)+IF(DX711&lt;&gt;"",1,0)+IF(DY711&lt;&gt;"",1,0)+IF(DZ711&lt;&gt;"",1,0)+IF(EB711&lt;&gt;"",1,0)+IF(EC711&lt;&gt;"",1,0)+IF(ED711&lt;&gt;"",1,0)+IF(EG711&lt;&gt;"",1,0)+IF(EH711&lt;&gt;"",1,0)</f>
        <v/>
      </c>
      <c r="AZ711">
        <f>IF(EH711&lt;&gt;"",1,0)</f>
        <v/>
      </c>
      <c r="BB711" t="inlineStr">
        <is>
          <t>WARREN-WARD 4</t>
        </is>
      </c>
      <c r="CA711" t="inlineStr">
        <is>
          <t>X</t>
        </is>
      </c>
      <c r="DC711" t="inlineStr">
        <is>
          <t>X</t>
        </is>
      </c>
      <c r="DI711" t="inlineStr">
        <is>
          <t>X</t>
        </is>
      </c>
      <c r="DJ711" t="inlineStr">
        <is>
          <t>D</t>
        </is>
      </c>
      <c r="DL711" t="inlineStr">
        <is>
          <t>X</t>
        </is>
      </c>
      <c r="DM711" t="inlineStr">
        <is>
          <t>R</t>
        </is>
      </c>
      <c r="DN711" t="inlineStr">
        <is>
          <t>X</t>
        </is>
      </c>
      <c r="DU711" t="inlineStr">
        <is>
          <t>X</t>
        </is>
      </c>
      <c r="DX711" t="inlineStr">
        <is>
          <t>X</t>
        </is>
      </c>
      <c r="EF711" t="inlineStr">
        <is>
          <t>X</t>
        </is>
      </c>
    </row>
    <row r="712">
      <c r="A712" t="inlineStr">
        <is>
          <t>OH0023890230</t>
        </is>
      </c>
      <c r="B712" t="n">
        <v>78</v>
      </c>
      <c r="C712" t="n">
        <v>419487</v>
      </c>
      <c r="D712" t="inlineStr">
        <is>
          <t>RYAN</t>
        </is>
      </c>
      <c r="E712" t="inlineStr">
        <is>
          <t>JOHN</t>
        </is>
      </c>
      <c r="F712">
        <f>CONCATENATE(D712," ",LEFT(H712,4),"T=",AU712,"D=",AV712,"R=",AW712,"M=",AX712,"L=",AY712,"B=",AZ712)</f>
        <v/>
      </c>
      <c r="G712" t="inlineStr">
        <is>
          <t>DOUGLAS</t>
        </is>
      </c>
      <c r="I712" t="inlineStr">
        <is>
          <t>1955-11-24</t>
        </is>
      </c>
      <c r="J712" t="inlineStr">
        <is>
          <t>2022-05-27</t>
        </is>
      </c>
      <c r="K712" t="inlineStr">
        <is>
          <t>ACTIVE</t>
        </is>
      </c>
      <c r="L712" t="inlineStr">
        <is>
          <t>R</t>
        </is>
      </c>
      <c r="M712" t="inlineStr">
        <is>
          <t>324 ADELAIDE AVE SE</t>
        </is>
      </c>
      <c r="N712">
        <f>RIGHT(M712,LEN(M712)-FIND(" ",M712))</f>
        <v/>
      </c>
      <c r="P712" t="inlineStr">
        <is>
          <t>WARREN</t>
        </is>
      </c>
      <c r="Q712" t="inlineStr">
        <is>
          <t>OH</t>
        </is>
      </c>
      <c r="R712" t="n">
        <v>44483</v>
      </c>
      <c r="AD712" t="inlineStr">
        <is>
          <t>TRUMBULL CAREER &amp; TECH CENTER</t>
        </is>
      </c>
      <c r="AE712" t="inlineStr">
        <is>
          <t>WARREN CITY</t>
        </is>
      </c>
      <c r="AF712" t="inlineStr">
        <is>
          <t>WARREN CITY SD</t>
        </is>
      </c>
      <c r="AH712" t="n">
        <v>14</v>
      </c>
      <c r="AI712" t="n">
        <v>11</v>
      </c>
      <c r="AN712" t="inlineStr">
        <is>
          <t>WARREN</t>
        </is>
      </c>
      <c r="AO712" t="inlineStr">
        <is>
          <t>WARREN CITY 4A</t>
        </is>
      </c>
      <c r="AP712" t="inlineStr">
        <is>
          <t>78-P-ADI</t>
        </is>
      </c>
      <c r="AQ712" t="n">
        <v>9</v>
      </c>
      <c r="AR712" t="n">
        <v>64</v>
      </c>
      <c r="AS712" t="n">
        <v>32</v>
      </c>
      <c r="AU712">
        <f>COUNTA($BA$712:$EH$712)</f>
        <v/>
      </c>
      <c r="AV712">
        <f>COUNTIF($BA$712:$EH$712,"D")</f>
        <v/>
      </c>
      <c r="AW712">
        <f>COUNTIF($BA$712:$EH$712,"R")</f>
        <v/>
      </c>
      <c r="AX712">
        <f>IF(BN712="D",1,0)+IF(BO712="D",1,0)+IF(BT712="D",1,0)+IF(BU712="D",1,0)+IF(BW712="D",1,0)+IF(CC712="D",1,0)+IF(CD712="D",1,0)+IF(CE712="D",1,0)+IF(CF712="D",1,0)+IF(CL712="D",1,0)+IF(CM712="D",1,0)+IF(CQ712="D",1,0)+IF(CR712="D",1,0)+IF(CS712="D",1,0)+IF(CW712="D",1,0)+IF(CX712="D",1,0)+IF(DD712="D",1,0)+IF(DE712="D",1,0)+IF(DJ712="D",1,0)+IF(DK712="D",1,0)+IF(DO712="D",1,0)+IF(DP712="D",1,0)+IF(DQ712="D",1,0)+IF(DW712="D",1,0)+IF(DZ712="D",1,0)+IF(EH712="D",1,0)</f>
        <v/>
      </c>
      <c r="AY712">
        <f>IF(DJ712&lt;&gt;"",1,0)+IF(DK712&lt;&gt;"",1,0)+IF(DM712&lt;&gt;"",1,0)+IF(DO712&lt;&gt;"",1,0)+IF(DP712&lt;&gt;"",1,0)+IF(DQ712&lt;&gt;"",1,0)+IF(DS712&lt;&gt;"",1,0)+IF(DT712&lt;&gt;"",1,0)+IF(DV712&lt;&gt;"",1,0)+IF(DW712&lt;&gt;"",1,0)+IF(DX712&lt;&gt;"",1,0)+IF(DY712&lt;&gt;"",1,0)+IF(DZ712&lt;&gt;"",1,0)+IF(EB712&lt;&gt;"",1,0)+IF(EC712&lt;&gt;"",1,0)+IF(ED712&lt;&gt;"",1,0)+IF(EG712&lt;&gt;"",1,0)+IF(EH712&lt;&gt;"",1,0)</f>
        <v/>
      </c>
      <c r="AZ712">
        <f>IF(EH712&lt;&gt;"",1,0)</f>
        <v/>
      </c>
      <c r="BB712" t="inlineStr">
        <is>
          <t>WARREN-WARD 4</t>
        </is>
      </c>
      <c r="DC712" t="inlineStr">
        <is>
          <t>X</t>
        </is>
      </c>
      <c r="DG712" t="inlineStr">
        <is>
          <t>R</t>
        </is>
      </c>
      <c r="DI712" t="inlineStr">
        <is>
          <t>X</t>
        </is>
      </c>
      <c r="DM712" t="inlineStr">
        <is>
          <t>R</t>
        </is>
      </c>
      <c r="DN712" t="inlineStr">
        <is>
          <t>X</t>
        </is>
      </c>
      <c r="DS712" t="inlineStr">
        <is>
          <t>R</t>
        </is>
      </c>
      <c r="DU712" t="inlineStr">
        <is>
          <t>X</t>
        </is>
      </c>
      <c r="DX712" t="inlineStr">
        <is>
          <t>X</t>
        </is>
      </c>
      <c r="EA712" t="inlineStr">
        <is>
          <t>X</t>
        </is>
      </c>
      <c r="ED712" t="inlineStr">
        <is>
          <t>R</t>
        </is>
      </c>
      <c r="EF712" t="inlineStr">
        <is>
          <t>X</t>
        </is>
      </c>
    </row>
    <row r="713">
      <c r="A713" t="inlineStr">
        <is>
          <t>OH0025897010</t>
        </is>
      </c>
      <c r="B713" t="n">
        <v>78</v>
      </c>
      <c r="C713" t="n">
        <v>452343</v>
      </c>
      <c r="D713" t="inlineStr">
        <is>
          <t>ODELL</t>
        </is>
      </c>
      <c r="E713" t="inlineStr">
        <is>
          <t>DOUGLAS</t>
        </is>
      </c>
      <c r="F713">
        <f>CONCATENATE(D713," ",LEFT(H713,4),"T=",AU713,"D=",AV713,"R=",AW713,"M=",AX713,"L=",AY713,"B=",AZ713)</f>
        <v/>
      </c>
      <c r="G713" t="inlineStr">
        <is>
          <t>JAMES</t>
        </is>
      </c>
      <c r="I713" t="inlineStr">
        <is>
          <t>1967-07-14</t>
        </is>
      </c>
      <c r="J713" t="inlineStr">
        <is>
          <t>2020-09-27</t>
        </is>
      </c>
      <c r="K713" t="inlineStr">
        <is>
          <t>ACTIVE</t>
        </is>
      </c>
      <c r="M713" t="inlineStr">
        <is>
          <t>653 WOODBINE AVE SE</t>
        </is>
      </c>
      <c r="N713">
        <f>RIGHT(M713,LEN(M713)-FIND(" ",M713))</f>
        <v/>
      </c>
      <c r="P713" t="inlineStr">
        <is>
          <t>WARREN</t>
        </is>
      </c>
      <c r="Q713" t="inlineStr">
        <is>
          <t>OH</t>
        </is>
      </c>
      <c r="R713" t="n">
        <v>44483</v>
      </c>
      <c r="AD713" t="inlineStr">
        <is>
          <t>TRUMBULL CAREER &amp; TECH CENTER</t>
        </is>
      </c>
      <c r="AE713" t="inlineStr">
        <is>
          <t>WARREN CITY</t>
        </is>
      </c>
      <c r="AF713" t="inlineStr">
        <is>
          <t>WARREN CITY SD</t>
        </is>
      </c>
      <c r="AH713" t="n">
        <v>14</v>
      </c>
      <c r="AI713" t="n">
        <v>11</v>
      </c>
      <c r="AN713" t="inlineStr">
        <is>
          <t>WARREN</t>
        </is>
      </c>
      <c r="AO713" t="inlineStr">
        <is>
          <t>WARREN CITY 4A</t>
        </is>
      </c>
      <c r="AP713" t="inlineStr">
        <is>
          <t>78-P-ADI</t>
        </is>
      </c>
      <c r="AQ713" t="n">
        <v>9</v>
      </c>
      <c r="AR713" t="n">
        <v>64</v>
      </c>
      <c r="AS713" t="n">
        <v>32</v>
      </c>
      <c r="AU713">
        <f>COUNTA($BA$713:$EH$713)</f>
        <v/>
      </c>
      <c r="AV713">
        <f>COUNTIF($BA$713:$EH$713,"D")</f>
        <v/>
      </c>
      <c r="AW713">
        <f>COUNTIF($BA$713:$EH$713,"R")</f>
        <v/>
      </c>
      <c r="AX713">
        <f>IF(BN713="D",1,0)+IF(BO713="D",1,0)+IF(BT713="D",1,0)+IF(BU713="D",1,0)+IF(BW713="D",1,0)+IF(CC713="D",1,0)+IF(CD713="D",1,0)+IF(CE713="D",1,0)+IF(CF713="D",1,0)+IF(CL713="D",1,0)+IF(CM713="D",1,0)+IF(CQ713="D",1,0)+IF(CR713="D",1,0)+IF(CS713="D",1,0)+IF(CW713="D",1,0)+IF(CX713="D",1,0)+IF(DD713="D",1,0)+IF(DE713="D",1,0)+IF(DJ713="D",1,0)+IF(DK713="D",1,0)+IF(DO713="D",1,0)+IF(DP713="D",1,0)+IF(DQ713="D",1,0)+IF(DW713="D",1,0)+IF(DZ713="D",1,0)+IF(EH713="D",1,0)</f>
        <v/>
      </c>
      <c r="AY713">
        <f>IF(DJ713&lt;&gt;"",1,0)+IF(DK713&lt;&gt;"",1,0)+IF(DM713&lt;&gt;"",1,0)+IF(DO713&lt;&gt;"",1,0)+IF(DP713&lt;&gt;"",1,0)+IF(DQ713&lt;&gt;"",1,0)+IF(DS713&lt;&gt;"",1,0)+IF(DT713&lt;&gt;"",1,0)+IF(DV713&lt;&gt;"",1,0)+IF(DW713&lt;&gt;"",1,0)+IF(DX713&lt;&gt;"",1,0)+IF(DY713&lt;&gt;"",1,0)+IF(DZ713&lt;&gt;"",1,0)+IF(EB713&lt;&gt;"",1,0)+IF(EC713&lt;&gt;"",1,0)+IF(ED713&lt;&gt;"",1,0)+IF(EG713&lt;&gt;"",1,0)+IF(EH713&lt;&gt;"",1,0)</f>
        <v/>
      </c>
      <c r="AZ713">
        <f>IF(EH713&lt;&gt;"",1,0)</f>
        <v/>
      </c>
      <c r="BB713" t="inlineStr">
        <is>
          <t>WARREN-WARD 4</t>
        </is>
      </c>
      <c r="BC713" t="inlineStr">
        <is>
          <t>X</t>
        </is>
      </c>
      <c r="BD713" t="inlineStr">
        <is>
          <t>X</t>
        </is>
      </c>
      <c r="BE713" t="inlineStr">
        <is>
          <t>X</t>
        </is>
      </c>
      <c r="BF713" t="inlineStr">
        <is>
          <t>X</t>
        </is>
      </c>
      <c r="BG713" t="inlineStr">
        <is>
          <t>X</t>
        </is>
      </c>
      <c r="BH713" t="inlineStr">
        <is>
          <t>X</t>
        </is>
      </c>
      <c r="BJ713" t="inlineStr">
        <is>
          <t>X</t>
        </is>
      </c>
      <c r="BK713" t="inlineStr">
        <is>
          <t>X</t>
        </is>
      </c>
      <c r="BL713" t="inlineStr">
        <is>
          <t>X</t>
        </is>
      </c>
      <c r="BP713" t="inlineStr">
        <is>
          <t>X</t>
        </is>
      </c>
      <c r="BS713" t="inlineStr">
        <is>
          <t>X</t>
        </is>
      </c>
      <c r="BY713" t="inlineStr">
        <is>
          <t>R</t>
        </is>
      </c>
      <c r="CA713" t="inlineStr">
        <is>
          <t>X</t>
        </is>
      </c>
      <c r="DN713" t="inlineStr">
        <is>
          <t>X</t>
        </is>
      </c>
      <c r="DU713" t="inlineStr">
        <is>
          <t>X</t>
        </is>
      </c>
      <c r="DX713" t="inlineStr">
        <is>
          <t>X</t>
        </is>
      </c>
      <c r="EA713" t="inlineStr">
        <is>
          <t>X</t>
        </is>
      </c>
      <c r="EF713" t="inlineStr">
        <is>
          <t>X</t>
        </is>
      </c>
    </row>
    <row r="714">
      <c r="A714" t="inlineStr">
        <is>
          <t>OH0015723708</t>
        </is>
      </c>
      <c r="B714" t="n">
        <v>78</v>
      </c>
      <c r="C714" t="n">
        <v>206558</v>
      </c>
      <c r="D714" t="inlineStr">
        <is>
          <t>ANDREWS MOORE</t>
        </is>
      </c>
      <c r="E714" t="inlineStr">
        <is>
          <t>SUSAN</t>
        </is>
      </c>
      <c r="F714">
        <f>CONCATENATE(D714," ",LEFT(H714,4),"T=",AU714,"D=",AV714,"R=",AW714,"M=",AX714,"L=",AY714,"B=",AZ714)</f>
        <v/>
      </c>
      <c r="I714" t="inlineStr">
        <is>
          <t>1970-05-11</t>
        </is>
      </c>
      <c r="J714" t="inlineStr">
        <is>
          <t>1988-05-13</t>
        </is>
      </c>
      <c r="K714" t="inlineStr">
        <is>
          <t>ACTIVE</t>
        </is>
      </c>
      <c r="L714" t="inlineStr">
        <is>
          <t>R</t>
        </is>
      </c>
      <c r="M714" t="inlineStr">
        <is>
          <t>216 ADELAIDE AVE SE</t>
        </is>
      </c>
      <c r="N714">
        <f>RIGHT(M714,LEN(M714)-FIND(" ",M714))</f>
        <v/>
      </c>
      <c r="P714" t="inlineStr">
        <is>
          <t>WARREN</t>
        </is>
      </c>
      <c r="Q714" t="inlineStr">
        <is>
          <t>OH</t>
        </is>
      </c>
      <c r="R714" t="n">
        <v>44483</v>
      </c>
      <c r="AD714" t="inlineStr">
        <is>
          <t>TRUMBULL CAREER &amp; TECH CENTER</t>
        </is>
      </c>
      <c r="AE714" t="inlineStr">
        <is>
          <t>WARREN CITY</t>
        </is>
      </c>
      <c r="AF714" t="inlineStr">
        <is>
          <t>WARREN CITY SD</t>
        </is>
      </c>
      <c r="AH714" t="n">
        <v>14</v>
      </c>
      <c r="AI714" t="n">
        <v>11</v>
      </c>
      <c r="AN714" t="inlineStr">
        <is>
          <t>WARREN</t>
        </is>
      </c>
      <c r="AO714" t="inlineStr">
        <is>
          <t>WARREN CITY 4A</t>
        </is>
      </c>
      <c r="AP714" t="inlineStr">
        <is>
          <t>78-P-ADI</t>
        </is>
      </c>
      <c r="AQ714" t="n">
        <v>9</v>
      </c>
      <c r="AR714" t="n">
        <v>64</v>
      </c>
      <c r="AS714" t="n">
        <v>32</v>
      </c>
      <c r="AU714">
        <f>COUNTA($BA$714:$EH$714)</f>
        <v/>
      </c>
      <c r="AV714">
        <f>COUNTIF($BA$714:$EH$714,"D")</f>
        <v/>
      </c>
      <c r="AW714">
        <f>COUNTIF($BA$714:$EH$714,"R")</f>
        <v/>
      </c>
      <c r="AX714">
        <f>IF(BN714="D",1,0)+IF(BO714="D",1,0)+IF(BT714="D",1,0)+IF(BU714="D",1,0)+IF(BW714="D",1,0)+IF(CC714="D",1,0)+IF(CD714="D",1,0)+IF(CE714="D",1,0)+IF(CF714="D",1,0)+IF(CL714="D",1,0)+IF(CM714="D",1,0)+IF(CQ714="D",1,0)+IF(CR714="D",1,0)+IF(CS714="D",1,0)+IF(CW714="D",1,0)+IF(CX714="D",1,0)+IF(DD714="D",1,0)+IF(DE714="D",1,0)+IF(DJ714="D",1,0)+IF(DK714="D",1,0)+IF(DO714="D",1,0)+IF(DP714="D",1,0)+IF(DQ714="D",1,0)+IF(DW714="D",1,0)+IF(DZ714="D",1,0)+IF(EH714="D",1,0)</f>
        <v/>
      </c>
      <c r="AY714">
        <f>IF(DJ714&lt;&gt;"",1,0)+IF(DK714&lt;&gt;"",1,0)+IF(DM714&lt;&gt;"",1,0)+IF(DO714&lt;&gt;"",1,0)+IF(DP714&lt;&gt;"",1,0)+IF(DQ714&lt;&gt;"",1,0)+IF(DS714&lt;&gt;"",1,0)+IF(DT714&lt;&gt;"",1,0)+IF(DV714&lt;&gt;"",1,0)+IF(DW714&lt;&gt;"",1,0)+IF(DX714&lt;&gt;"",1,0)+IF(DY714&lt;&gt;"",1,0)+IF(DZ714&lt;&gt;"",1,0)+IF(EB714&lt;&gt;"",1,0)+IF(EC714&lt;&gt;"",1,0)+IF(ED714&lt;&gt;"",1,0)+IF(EG714&lt;&gt;"",1,0)+IF(EH714&lt;&gt;"",1,0)</f>
        <v/>
      </c>
      <c r="AZ714">
        <f>IF(EH714&lt;&gt;"",1,0)</f>
        <v/>
      </c>
      <c r="BB714" t="inlineStr">
        <is>
          <t>WARREN-WARD 4</t>
        </is>
      </c>
      <c r="BD714" t="inlineStr">
        <is>
          <t>X</t>
        </is>
      </c>
      <c r="BK714" t="inlineStr">
        <is>
          <t>X</t>
        </is>
      </c>
      <c r="BL714" t="inlineStr">
        <is>
          <t>X</t>
        </is>
      </c>
      <c r="CG714" t="inlineStr">
        <is>
          <t>X</t>
        </is>
      </c>
      <c r="CK714" t="inlineStr">
        <is>
          <t>X</t>
        </is>
      </c>
      <c r="CO714" t="inlineStr">
        <is>
          <t>R</t>
        </is>
      </c>
      <c r="CP714" t="inlineStr">
        <is>
          <t>X</t>
        </is>
      </c>
      <c r="CT714" t="inlineStr">
        <is>
          <t>X</t>
        </is>
      </c>
      <c r="CV714" t="inlineStr">
        <is>
          <t>X</t>
        </is>
      </c>
      <c r="CW714" t="inlineStr">
        <is>
          <t>D</t>
        </is>
      </c>
      <c r="CY714" t="inlineStr">
        <is>
          <t>X</t>
        </is>
      </c>
      <c r="CZ714" t="inlineStr">
        <is>
          <t>D</t>
        </is>
      </c>
      <c r="DC714" t="inlineStr">
        <is>
          <t>X</t>
        </is>
      </c>
      <c r="DF714" t="inlineStr">
        <is>
          <t>X</t>
        </is>
      </c>
      <c r="DN714" t="inlineStr">
        <is>
          <t>X</t>
        </is>
      </c>
      <c r="DU714" t="inlineStr">
        <is>
          <t>X</t>
        </is>
      </c>
      <c r="ED714" t="inlineStr">
        <is>
          <t>R</t>
        </is>
      </c>
      <c r="EF714" t="inlineStr">
        <is>
          <t>X</t>
        </is>
      </c>
    </row>
    <row r="715">
      <c r="A715" t="inlineStr">
        <is>
          <t>OH0015694976</t>
        </is>
      </c>
      <c r="B715" t="n">
        <v>78</v>
      </c>
      <c r="C715" t="n">
        <v>147884</v>
      </c>
      <c r="D715" t="inlineStr">
        <is>
          <t>PERIGO</t>
        </is>
      </c>
      <c r="E715" t="inlineStr">
        <is>
          <t>TRACY</t>
        </is>
      </c>
      <c r="F715">
        <f>CONCATENATE(D715," ",LEFT(H715,4),"T=",AU715,"D=",AV715,"R=",AW715,"M=",AX715,"L=",AY715,"B=",AZ715)</f>
        <v/>
      </c>
      <c r="G715" t="inlineStr">
        <is>
          <t>A</t>
        </is>
      </c>
      <c r="I715" t="inlineStr">
        <is>
          <t>1959-11-17</t>
        </is>
      </c>
      <c r="J715" t="inlineStr">
        <is>
          <t>1982-08-27</t>
        </is>
      </c>
      <c r="K715" t="inlineStr">
        <is>
          <t>ACTIVE</t>
        </is>
      </c>
      <c r="L715" t="inlineStr">
        <is>
          <t>D</t>
        </is>
      </c>
      <c r="M715" t="inlineStr">
        <is>
          <t>1527 GRANDVIEW ST SE</t>
        </is>
      </c>
      <c r="N715">
        <f>RIGHT(M715,LEN(M715)-FIND(" ",M715))</f>
        <v/>
      </c>
      <c r="P715" t="inlineStr">
        <is>
          <t>WARREN</t>
        </is>
      </c>
      <c r="Q715" t="inlineStr">
        <is>
          <t>OH</t>
        </is>
      </c>
      <c r="R715" t="n">
        <v>44484</v>
      </c>
      <c r="AD715" t="inlineStr">
        <is>
          <t>TRUMBULL CAREER &amp; TECH CENTER</t>
        </is>
      </c>
      <c r="AE715" t="inlineStr">
        <is>
          <t>WARREN CITY</t>
        </is>
      </c>
      <c r="AF715" t="inlineStr">
        <is>
          <t>WARREN CITY SD</t>
        </is>
      </c>
      <c r="AH715" t="n">
        <v>14</v>
      </c>
      <c r="AI715" t="n">
        <v>11</v>
      </c>
      <c r="AN715" t="inlineStr">
        <is>
          <t>WARREN</t>
        </is>
      </c>
      <c r="AO715" t="inlineStr">
        <is>
          <t>WARREN CITY 4A</t>
        </is>
      </c>
      <c r="AP715" t="inlineStr">
        <is>
          <t>78-P-ADI</t>
        </is>
      </c>
      <c r="AQ715" t="n">
        <v>9</v>
      </c>
      <c r="AR715" t="n">
        <v>64</v>
      </c>
      <c r="AS715" t="n">
        <v>32</v>
      </c>
      <c r="AU715">
        <f>COUNTA($BA$715:$EH$715)</f>
        <v/>
      </c>
      <c r="AV715">
        <f>COUNTIF($BA$715:$EH$715,"D")</f>
        <v/>
      </c>
      <c r="AW715">
        <f>COUNTIF($BA$715:$EH$715,"R")</f>
        <v/>
      </c>
      <c r="AX715">
        <f>IF(BN715="D",1,0)+IF(BO715="D",1,0)+IF(BT715="D",1,0)+IF(BU715="D",1,0)+IF(BW715="D",1,0)+IF(CC715="D",1,0)+IF(CD715="D",1,0)+IF(CE715="D",1,0)+IF(CF715="D",1,0)+IF(CL715="D",1,0)+IF(CM715="D",1,0)+IF(CQ715="D",1,0)+IF(CR715="D",1,0)+IF(CS715="D",1,0)+IF(CW715="D",1,0)+IF(CX715="D",1,0)+IF(DD715="D",1,0)+IF(DE715="D",1,0)+IF(DJ715="D",1,0)+IF(DK715="D",1,0)+IF(DO715="D",1,0)+IF(DP715="D",1,0)+IF(DQ715="D",1,0)+IF(DW715="D",1,0)+IF(DZ715="D",1,0)+IF(EH715="D",1,0)</f>
        <v/>
      </c>
      <c r="AY715">
        <f>IF(DJ715&lt;&gt;"",1,0)+IF(DK715&lt;&gt;"",1,0)+IF(DM715&lt;&gt;"",1,0)+IF(DO715&lt;&gt;"",1,0)+IF(DP715&lt;&gt;"",1,0)+IF(DQ715&lt;&gt;"",1,0)+IF(DS715&lt;&gt;"",1,0)+IF(DT715&lt;&gt;"",1,0)+IF(DV715&lt;&gt;"",1,0)+IF(DW715&lt;&gt;"",1,0)+IF(DX715&lt;&gt;"",1,0)+IF(DY715&lt;&gt;"",1,0)+IF(DZ715&lt;&gt;"",1,0)+IF(EB715&lt;&gt;"",1,0)+IF(EC715&lt;&gt;"",1,0)+IF(ED715&lt;&gt;"",1,0)+IF(EG715&lt;&gt;"",1,0)+IF(EH715&lt;&gt;"",1,0)</f>
        <v/>
      </c>
      <c r="AZ715">
        <f>IF(EH715&lt;&gt;"",1,0)</f>
        <v/>
      </c>
      <c r="BB715" t="inlineStr">
        <is>
          <t>WARREN-WARD 4</t>
        </is>
      </c>
      <c r="BC715" t="inlineStr">
        <is>
          <t>X</t>
        </is>
      </c>
      <c r="BD715" t="inlineStr">
        <is>
          <t>X</t>
        </is>
      </c>
      <c r="BE715" t="inlineStr">
        <is>
          <t>X</t>
        </is>
      </c>
      <c r="BF715" t="inlineStr">
        <is>
          <t>X</t>
        </is>
      </c>
      <c r="BG715" t="inlineStr">
        <is>
          <t>X</t>
        </is>
      </c>
      <c r="BH715" t="inlineStr">
        <is>
          <t>X</t>
        </is>
      </c>
      <c r="BI715" t="inlineStr">
        <is>
          <t>X</t>
        </is>
      </c>
      <c r="BJ715" t="inlineStr">
        <is>
          <t>X</t>
        </is>
      </c>
      <c r="BK715" t="inlineStr">
        <is>
          <t>X</t>
        </is>
      </c>
      <c r="BL715" t="inlineStr">
        <is>
          <t>X</t>
        </is>
      </c>
      <c r="BP715" t="inlineStr">
        <is>
          <t>X</t>
        </is>
      </c>
      <c r="BR715" t="inlineStr">
        <is>
          <t>X</t>
        </is>
      </c>
      <c r="BS715" t="inlineStr">
        <is>
          <t>X</t>
        </is>
      </c>
      <c r="BT715" t="inlineStr">
        <is>
          <t>X</t>
        </is>
      </c>
      <c r="BV715" t="inlineStr">
        <is>
          <t>X</t>
        </is>
      </c>
      <c r="BY715" t="inlineStr">
        <is>
          <t>D</t>
        </is>
      </c>
      <c r="CA715" t="inlineStr">
        <is>
          <t>X</t>
        </is>
      </c>
      <c r="CG715" t="inlineStr">
        <is>
          <t>X</t>
        </is>
      </c>
      <c r="CH715" t="inlineStr">
        <is>
          <t>D</t>
        </is>
      </c>
      <c r="CK715" t="inlineStr">
        <is>
          <t>X</t>
        </is>
      </c>
      <c r="CL715" t="inlineStr">
        <is>
          <t>D</t>
        </is>
      </c>
      <c r="CN715" t="inlineStr">
        <is>
          <t>X</t>
        </is>
      </c>
      <c r="CO715" t="inlineStr">
        <is>
          <t>D</t>
        </is>
      </c>
      <c r="CP715" t="inlineStr">
        <is>
          <t>X</t>
        </is>
      </c>
      <c r="CQ715" t="inlineStr">
        <is>
          <t>D</t>
        </is>
      </c>
      <c r="CT715" t="inlineStr">
        <is>
          <t>X</t>
        </is>
      </c>
      <c r="CU715" t="inlineStr">
        <is>
          <t>D</t>
        </is>
      </c>
      <c r="CV715" t="inlineStr">
        <is>
          <t>X</t>
        </is>
      </c>
      <c r="CW715" t="inlineStr">
        <is>
          <t>D</t>
        </is>
      </c>
      <c r="CY715" t="inlineStr">
        <is>
          <t>X</t>
        </is>
      </c>
      <c r="CZ715" t="inlineStr">
        <is>
          <t>D</t>
        </is>
      </c>
      <c r="DC715" t="inlineStr">
        <is>
          <t>X</t>
        </is>
      </c>
      <c r="DD715" t="inlineStr">
        <is>
          <t>D</t>
        </is>
      </c>
      <c r="DF715" t="inlineStr">
        <is>
          <t>X</t>
        </is>
      </c>
      <c r="DG715" t="inlineStr">
        <is>
          <t>D</t>
        </is>
      </c>
      <c r="DI715" t="inlineStr">
        <is>
          <t>X</t>
        </is>
      </c>
      <c r="DJ715" t="inlineStr">
        <is>
          <t>D</t>
        </is>
      </c>
      <c r="DL715" t="inlineStr">
        <is>
          <t>X</t>
        </is>
      </c>
      <c r="DM715" t="inlineStr">
        <is>
          <t>D</t>
        </is>
      </c>
      <c r="DN715" t="inlineStr">
        <is>
          <t>X</t>
        </is>
      </c>
      <c r="DR715" t="inlineStr">
        <is>
          <t>X</t>
        </is>
      </c>
      <c r="DS715" t="inlineStr">
        <is>
          <t>D</t>
        </is>
      </c>
      <c r="DT715" t="inlineStr">
        <is>
          <t>D</t>
        </is>
      </c>
      <c r="DU715" t="inlineStr">
        <is>
          <t>X</t>
        </is>
      </c>
      <c r="DW715" t="inlineStr">
        <is>
          <t>D</t>
        </is>
      </c>
      <c r="DX715" t="inlineStr">
        <is>
          <t>X</t>
        </is>
      </c>
      <c r="EA715" t="inlineStr">
        <is>
          <t>X</t>
        </is>
      </c>
      <c r="ED715" t="inlineStr">
        <is>
          <t>D</t>
        </is>
      </c>
      <c r="EF715" t="inlineStr">
        <is>
          <t>X</t>
        </is>
      </c>
      <c r="EH715" t="inlineStr">
        <is>
          <t>D</t>
        </is>
      </c>
    </row>
    <row r="716">
      <c r="A716" t="inlineStr">
        <is>
          <t>OH0023904459</t>
        </is>
      </c>
      <c r="B716" t="n">
        <v>78</v>
      </c>
      <c r="C716" t="n">
        <v>419664</v>
      </c>
      <c r="D716" t="inlineStr">
        <is>
          <t>MINOTTI</t>
        </is>
      </c>
      <c r="E716" t="inlineStr">
        <is>
          <t>KEVIN</t>
        </is>
      </c>
      <c r="F716">
        <f>CONCATENATE(D716," ",LEFT(H716,4),"T=",AU716,"D=",AV716,"R=",AW716,"M=",AX716,"L=",AY716,"B=",AZ716)</f>
        <v/>
      </c>
      <c r="G716" t="inlineStr">
        <is>
          <t>M</t>
        </is>
      </c>
      <c r="I716" t="inlineStr">
        <is>
          <t>1976-08-12</t>
        </is>
      </c>
      <c r="J716" t="inlineStr">
        <is>
          <t>2025-06-03</t>
        </is>
      </c>
      <c r="K716" t="inlineStr">
        <is>
          <t>ACTIVE</t>
        </is>
      </c>
      <c r="M716" t="inlineStr">
        <is>
          <t>507 OAK KNOLL AVE SE</t>
        </is>
      </c>
      <c r="N716">
        <f>RIGHT(M716,LEN(M716)-FIND(" ",M716))</f>
        <v/>
      </c>
      <c r="P716" t="inlineStr">
        <is>
          <t>WARREN</t>
        </is>
      </c>
      <c r="Q716" t="inlineStr">
        <is>
          <t>OH</t>
        </is>
      </c>
      <c r="R716" t="n">
        <v>44483</v>
      </c>
      <c r="AD716" t="inlineStr">
        <is>
          <t>TRUMBULL CAREER &amp; TECH CENTER</t>
        </is>
      </c>
      <c r="AE716" t="inlineStr">
        <is>
          <t>WARREN CITY</t>
        </is>
      </c>
      <c r="AF716" t="inlineStr">
        <is>
          <t>WARREN CITY SD</t>
        </is>
      </c>
      <c r="AH716" t="n">
        <v>14</v>
      </c>
      <c r="AI716" t="n">
        <v>11</v>
      </c>
      <c r="AN716" t="inlineStr">
        <is>
          <t>WARREN</t>
        </is>
      </c>
      <c r="AO716" t="inlineStr">
        <is>
          <t>WARREN CITY 4A</t>
        </is>
      </c>
      <c r="AP716" t="inlineStr">
        <is>
          <t>78-P-ADI</t>
        </is>
      </c>
      <c r="AQ716" t="n">
        <v>9</v>
      </c>
      <c r="AR716" t="n">
        <v>64</v>
      </c>
      <c r="AS716" t="n">
        <v>32</v>
      </c>
      <c r="AU716">
        <f>COUNTA($BA$716:$EH$716)</f>
        <v/>
      </c>
      <c r="AV716">
        <f>COUNTIF($BA$716:$EH$716,"D")</f>
        <v/>
      </c>
      <c r="AW716">
        <f>COUNTIF($BA$716:$EH$716,"R")</f>
        <v/>
      </c>
      <c r="AX716">
        <f>IF(BN716="D",1,0)+IF(BO716="D",1,0)+IF(BT716="D",1,0)+IF(BU716="D",1,0)+IF(BW716="D",1,0)+IF(CC716="D",1,0)+IF(CD716="D",1,0)+IF(CE716="D",1,0)+IF(CF716="D",1,0)+IF(CL716="D",1,0)+IF(CM716="D",1,0)+IF(CQ716="D",1,0)+IF(CR716="D",1,0)+IF(CS716="D",1,0)+IF(CW716="D",1,0)+IF(CX716="D",1,0)+IF(DD716="D",1,0)+IF(DE716="D",1,0)+IF(DJ716="D",1,0)+IF(DK716="D",1,0)+IF(DO716="D",1,0)+IF(DP716="D",1,0)+IF(DQ716="D",1,0)+IF(DW716="D",1,0)+IF(DZ716="D",1,0)+IF(EH716="D",1,0)</f>
        <v/>
      </c>
      <c r="AY716">
        <f>IF(DJ716&lt;&gt;"",1,0)+IF(DK716&lt;&gt;"",1,0)+IF(DM716&lt;&gt;"",1,0)+IF(DO716&lt;&gt;"",1,0)+IF(DP716&lt;&gt;"",1,0)+IF(DQ716&lt;&gt;"",1,0)+IF(DS716&lt;&gt;"",1,0)+IF(DT716&lt;&gt;"",1,0)+IF(DV716&lt;&gt;"",1,0)+IF(DW716&lt;&gt;"",1,0)+IF(DX716&lt;&gt;"",1,0)+IF(DY716&lt;&gt;"",1,0)+IF(DZ716&lt;&gt;"",1,0)+IF(EB716&lt;&gt;"",1,0)+IF(EC716&lt;&gt;"",1,0)+IF(ED716&lt;&gt;"",1,0)+IF(EG716&lt;&gt;"",1,0)+IF(EH716&lt;&gt;"",1,0)</f>
        <v/>
      </c>
      <c r="AZ716">
        <f>IF(EH716&lt;&gt;"",1,0)</f>
        <v/>
      </c>
      <c r="BB716" t="inlineStr">
        <is>
          <t>WARREN-WARD 4</t>
        </is>
      </c>
      <c r="BD716" t="inlineStr">
        <is>
          <t>X</t>
        </is>
      </c>
      <c r="BF716" t="inlineStr">
        <is>
          <t>X</t>
        </is>
      </c>
      <c r="BK716" t="inlineStr">
        <is>
          <t>X</t>
        </is>
      </c>
      <c r="BL716" t="inlineStr">
        <is>
          <t>X</t>
        </is>
      </c>
      <c r="BY716" t="inlineStr">
        <is>
          <t>D</t>
        </is>
      </c>
      <c r="CA716" t="inlineStr">
        <is>
          <t>X</t>
        </is>
      </c>
      <c r="CG716" t="inlineStr">
        <is>
          <t>X</t>
        </is>
      </c>
      <c r="CK716" t="inlineStr">
        <is>
          <t>X</t>
        </is>
      </c>
      <c r="CP716" t="inlineStr">
        <is>
          <t>X</t>
        </is>
      </c>
      <c r="CV716" t="inlineStr">
        <is>
          <t>X</t>
        </is>
      </c>
      <c r="CY716" t="inlineStr">
        <is>
          <t>X</t>
        </is>
      </c>
      <c r="DC716" t="inlineStr">
        <is>
          <t>X</t>
        </is>
      </c>
      <c r="DI716" t="inlineStr">
        <is>
          <t>X</t>
        </is>
      </c>
      <c r="DN716" t="inlineStr">
        <is>
          <t>X</t>
        </is>
      </c>
      <c r="DU716" t="inlineStr">
        <is>
          <t>X</t>
        </is>
      </c>
      <c r="DX716" t="inlineStr">
        <is>
          <t>X</t>
        </is>
      </c>
      <c r="EA716" t="inlineStr">
        <is>
          <t>X</t>
        </is>
      </c>
      <c r="EF716" t="inlineStr">
        <is>
          <t>X</t>
        </is>
      </c>
    </row>
    <row r="717">
      <c r="A717" t="inlineStr">
        <is>
          <t>OH0015689419</t>
        </is>
      </c>
      <c r="B717" t="n">
        <v>78</v>
      </c>
      <c r="C717" t="n">
        <v>13220</v>
      </c>
      <c r="D717" t="inlineStr">
        <is>
          <t>HOLMES</t>
        </is>
      </c>
      <c r="E717" t="inlineStr">
        <is>
          <t>ROBERT</t>
        </is>
      </c>
      <c r="F717">
        <f>CONCATENATE(D717," ",LEFT(H717,4),"T=",AU717,"D=",AV717,"R=",AW717,"M=",AX717,"L=",AY717,"B=",AZ717)</f>
        <v/>
      </c>
      <c r="H717" t="inlineStr">
        <is>
          <t>III</t>
        </is>
      </c>
      <c r="I717" t="inlineStr">
        <is>
          <t>1952-08-26</t>
        </is>
      </c>
      <c r="J717" t="inlineStr">
        <is>
          <t>1971-07-26</t>
        </is>
      </c>
      <c r="K717" t="inlineStr">
        <is>
          <t>ACTIVE</t>
        </is>
      </c>
      <c r="L717" t="inlineStr">
        <is>
          <t>D</t>
        </is>
      </c>
      <c r="M717" t="inlineStr">
        <is>
          <t>1239 GRANT ST SE</t>
        </is>
      </c>
      <c r="N717">
        <f>RIGHT(M717,LEN(M717)-FIND(" ",M717))</f>
        <v/>
      </c>
      <c r="P717" t="inlineStr">
        <is>
          <t>WARREN</t>
        </is>
      </c>
      <c r="Q717" t="inlineStr">
        <is>
          <t>OH</t>
        </is>
      </c>
      <c r="R717" t="n">
        <v>44483</v>
      </c>
      <c r="S717" t="n">
        <v>5911</v>
      </c>
      <c r="AD717" t="inlineStr">
        <is>
          <t>TRUMBULL CAREER &amp; TECH CENTER</t>
        </is>
      </c>
      <c r="AE717" t="inlineStr">
        <is>
          <t>WARREN CITY</t>
        </is>
      </c>
      <c r="AF717" t="inlineStr">
        <is>
          <t>WARREN CITY SD</t>
        </is>
      </c>
      <c r="AH717" t="n">
        <v>14</v>
      </c>
      <c r="AI717" t="n">
        <v>11</v>
      </c>
      <c r="AN717" t="inlineStr">
        <is>
          <t>WARREN</t>
        </is>
      </c>
      <c r="AO717" t="inlineStr">
        <is>
          <t>WARREN CITY 4A</t>
        </is>
      </c>
      <c r="AP717" t="inlineStr">
        <is>
          <t>78-P-ADI</t>
        </is>
      </c>
      <c r="AQ717" t="n">
        <v>9</v>
      </c>
      <c r="AR717" t="n">
        <v>64</v>
      </c>
      <c r="AS717" t="n">
        <v>32</v>
      </c>
      <c r="AU717">
        <f>COUNTA($BA$717:$EH$717)</f>
        <v/>
      </c>
      <c r="AV717">
        <f>COUNTIF($BA$717:$EH$717,"D")</f>
        <v/>
      </c>
      <c r="AW717">
        <f>COUNTIF($BA$717:$EH$717,"R")</f>
        <v/>
      </c>
      <c r="AX717">
        <f>IF(BN717="D",1,0)+IF(BO717="D",1,0)+IF(BT717="D",1,0)+IF(BU717="D",1,0)+IF(BW717="D",1,0)+IF(CC717="D",1,0)+IF(CD717="D",1,0)+IF(CE717="D",1,0)+IF(CF717="D",1,0)+IF(CL717="D",1,0)+IF(CM717="D",1,0)+IF(CQ717="D",1,0)+IF(CR717="D",1,0)+IF(CS717="D",1,0)+IF(CW717="D",1,0)+IF(CX717="D",1,0)+IF(DD717="D",1,0)+IF(DE717="D",1,0)+IF(DJ717="D",1,0)+IF(DK717="D",1,0)+IF(DO717="D",1,0)+IF(DP717="D",1,0)+IF(DQ717="D",1,0)+IF(DW717="D",1,0)+IF(DZ717="D",1,0)+IF(EH717="D",1,0)</f>
        <v/>
      </c>
      <c r="AY717">
        <f>IF(DJ717&lt;&gt;"",1,0)+IF(DK717&lt;&gt;"",1,0)+IF(DM717&lt;&gt;"",1,0)+IF(DO717&lt;&gt;"",1,0)+IF(DP717&lt;&gt;"",1,0)+IF(DQ717&lt;&gt;"",1,0)+IF(DS717&lt;&gt;"",1,0)+IF(DT717&lt;&gt;"",1,0)+IF(DV717&lt;&gt;"",1,0)+IF(DW717&lt;&gt;"",1,0)+IF(DX717&lt;&gt;"",1,0)+IF(DY717&lt;&gt;"",1,0)+IF(DZ717&lt;&gt;"",1,0)+IF(EB717&lt;&gt;"",1,0)+IF(EC717&lt;&gt;"",1,0)+IF(ED717&lt;&gt;"",1,0)+IF(EG717&lt;&gt;"",1,0)+IF(EH717&lt;&gt;"",1,0)</f>
        <v/>
      </c>
      <c r="AZ717">
        <f>IF(EH717&lt;&gt;"",1,0)</f>
        <v/>
      </c>
      <c r="BB717" t="inlineStr">
        <is>
          <t>WARREN-WARD 4</t>
        </is>
      </c>
      <c r="BC717" t="inlineStr">
        <is>
          <t>X</t>
        </is>
      </c>
      <c r="BD717" t="inlineStr">
        <is>
          <t>X</t>
        </is>
      </c>
      <c r="BE717" t="inlineStr">
        <is>
          <t>X</t>
        </is>
      </c>
      <c r="BF717" t="inlineStr">
        <is>
          <t>X</t>
        </is>
      </c>
      <c r="BG717" t="inlineStr">
        <is>
          <t>X</t>
        </is>
      </c>
      <c r="BH717" t="inlineStr">
        <is>
          <t>X</t>
        </is>
      </c>
      <c r="BI717" t="inlineStr">
        <is>
          <t>X</t>
        </is>
      </c>
      <c r="BJ717" t="inlineStr">
        <is>
          <t>X</t>
        </is>
      </c>
      <c r="BK717" t="inlineStr">
        <is>
          <t>X</t>
        </is>
      </c>
      <c r="BL717" t="inlineStr">
        <is>
          <t>X</t>
        </is>
      </c>
      <c r="BP717" t="inlineStr">
        <is>
          <t>X</t>
        </is>
      </c>
      <c r="BR717" t="inlineStr">
        <is>
          <t>X</t>
        </is>
      </c>
      <c r="BS717" t="inlineStr">
        <is>
          <t>X</t>
        </is>
      </c>
      <c r="BT717" t="inlineStr">
        <is>
          <t>X</t>
        </is>
      </c>
      <c r="BV717" t="inlineStr">
        <is>
          <t>X</t>
        </is>
      </c>
      <c r="BY717" t="inlineStr">
        <is>
          <t>D</t>
        </is>
      </c>
      <c r="CA717" t="inlineStr">
        <is>
          <t>X</t>
        </is>
      </c>
      <c r="CC717" t="inlineStr">
        <is>
          <t>D</t>
        </is>
      </c>
      <c r="CG717" t="inlineStr">
        <is>
          <t>X</t>
        </is>
      </c>
      <c r="CH717" t="inlineStr">
        <is>
          <t>D</t>
        </is>
      </c>
      <c r="CK717" t="inlineStr">
        <is>
          <t>X</t>
        </is>
      </c>
      <c r="CL717" t="inlineStr">
        <is>
          <t>D</t>
        </is>
      </c>
      <c r="CN717" t="inlineStr">
        <is>
          <t>X</t>
        </is>
      </c>
      <c r="CO717" t="inlineStr">
        <is>
          <t>D</t>
        </is>
      </c>
      <c r="CP717" t="inlineStr">
        <is>
          <t>X</t>
        </is>
      </c>
      <c r="CQ717" t="inlineStr">
        <is>
          <t>D</t>
        </is>
      </c>
      <c r="CU717" t="inlineStr">
        <is>
          <t>D</t>
        </is>
      </c>
      <c r="CV717" t="inlineStr">
        <is>
          <t>X</t>
        </is>
      </c>
      <c r="CW717" t="inlineStr">
        <is>
          <t>D</t>
        </is>
      </c>
      <c r="CY717" t="inlineStr">
        <is>
          <t>X</t>
        </is>
      </c>
      <c r="CZ717" t="inlineStr">
        <is>
          <t>D</t>
        </is>
      </c>
      <c r="DC717" t="inlineStr">
        <is>
          <t>X</t>
        </is>
      </c>
      <c r="DF717" t="inlineStr">
        <is>
          <t>X</t>
        </is>
      </c>
      <c r="DG717" t="inlineStr">
        <is>
          <t>D</t>
        </is>
      </c>
      <c r="DI717" t="inlineStr">
        <is>
          <t>X</t>
        </is>
      </c>
      <c r="DJ717" t="inlineStr">
        <is>
          <t>D</t>
        </is>
      </c>
      <c r="DL717" t="inlineStr">
        <is>
          <t>X</t>
        </is>
      </c>
      <c r="DM717" t="inlineStr">
        <is>
          <t>D</t>
        </is>
      </c>
      <c r="DN717" t="inlineStr">
        <is>
          <t>X</t>
        </is>
      </c>
      <c r="DR717" t="inlineStr">
        <is>
          <t>X</t>
        </is>
      </c>
      <c r="DS717" t="inlineStr">
        <is>
          <t>D</t>
        </is>
      </c>
      <c r="DU717" t="inlineStr">
        <is>
          <t>X</t>
        </is>
      </c>
      <c r="DW717" t="inlineStr">
        <is>
          <t>D</t>
        </is>
      </c>
      <c r="DX717" t="inlineStr">
        <is>
          <t>X</t>
        </is>
      </c>
      <c r="EA717" t="inlineStr">
        <is>
          <t>X</t>
        </is>
      </c>
      <c r="ED717" t="inlineStr">
        <is>
          <t>D</t>
        </is>
      </c>
      <c r="EF717" t="inlineStr">
        <is>
          <t>X</t>
        </is>
      </c>
      <c r="EH717" t="inlineStr">
        <is>
          <t>D</t>
        </is>
      </c>
    </row>
    <row r="718">
      <c r="A718" t="inlineStr">
        <is>
          <t>OH0015732459</t>
        </is>
      </c>
      <c r="B718" t="n">
        <v>78</v>
      </c>
      <c r="C718" t="n">
        <v>298610</v>
      </c>
      <c r="D718" t="inlineStr">
        <is>
          <t>MOSKO</t>
        </is>
      </c>
      <c r="E718" t="inlineStr">
        <is>
          <t>MICHAEL</t>
        </is>
      </c>
      <c r="F718">
        <f>CONCATENATE(D718," ",LEFT(H718,4),"T=",AU718,"D=",AV718,"R=",AW718,"M=",AX718,"L=",AY718,"B=",AZ718)</f>
        <v/>
      </c>
      <c r="G718" t="inlineStr">
        <is>
          <t>A</t>
        </is>
      </c>
      <c r="I718" t="inlineStr">
        <is>
          <t>1960-03-30</t>
        </is>
      </c>
      <c r="J718" t="inlineStr">
        <is>
          <t>2022-11-30</t>
        </is>
      </c>
      <c r="K718" t="inlineStr">
        <is>
          <t>ACTIVE</t>
        </is>
      </c>
      <c r="L718" t="inlineStr">
        <is>
          <t>D</t>
        </is>
      </c>
      <c r="M718" t="inlineStr">
        <is>
          <t>840 OAK KNOLL AVE SE</t>
        </is>
      </c>
      <c r="N718">
        <f>RIGHT(M718,LEN(M718)-FIND(" ",M718))</f>
        <v/>
      </c>
      <c r="P718" t="inlineStr">
        <is>
          <t>WARREN</t>
        </is>
      </c>
      <c r="Q718" t="inlineStr">
        <is>
          <t>OH</t>
        </is>
      </c>
      <c r="R718" t="n">
        <v>44484</v>
      </c>
      <c r="AD718" t="inlineStr">
        <is>
          <t>TRUMBULL CAREER &amp; TECH CENTER</t>
        </is>
      </c>
      <c r="AE718" t="inlineStr">
        <is>
          <t>WARREN CITY</t>
        </is>
      </c>
      <c r="AF718" t="inlineStr">
        <is>
          <t>WARREN CITY SD</t>
        </is>
      </c>
      <c r="AH718" t="n">
        <v>14</v>
      </c>
      <c r="AI718" t="n">
        <v>11</v>
      </c>
      <c r="AN718" t="inlineStr">
        <is>
          <t>WARREN</t>
        </is>
      </c>
      <c r="AO718" t="inlineStr">
        <is>
          <t>WARREN CITY 4A</t>
        </is>
      </c>
      <c r="AP718" t="inlineStr">
        <is>
          <t>78-P-ADI</t>
        </is>
      </c>
      <c r="AQ718" t="n">
        <v>9</v>
      </c>
      <c r="AR718" t="n">
        <v>64</v>
      </c>
      <c r="AS718" t="n">
        <v>32</v>
      </c>
      <c r="AU718">
        <f>COUNTA($BA$718:$EH$718)</f>
        <v/>
      </c>
      <c r="AV718">
        <f>COUNTIF($BA$718:$EH$718,"D")</f>
        <v/>
      </c>
      <c r="AW718">
        <f>COUNTIF($BA$718:$EH$718,"R")</f>
        <v/>
      </c>
      <c r="AX718">
        <f>IF(BN718="D",1,0)+IF(BO718="D",1,0)+IF(BT718="D",1,0)+IF(BU718="D",1,0)+IF(BW718="D",1,0)+IF(CC718="D",1,0)+IF(CD718="D",1,0)+IF(CE718="D",1,0)+IF(CF718="D",1,0)+IF(CL718="D",1,0)+IF(CM718="D",1,0)+IF(CQ718="D",1,0)+IF(CR718="D",1,0)+IF(CS718="D",1,0)+IF(CW718="D",1,0)+IF(CX718="D",1,0)+IF(DD718="D",1,0)+IF(DE718="D",1,0)+IF(DJ718="D",1,0)+IF(DK718="D",1,0)+IF(DO718="D",1,0)+IF(DP718="D",1,0)+IF(DQ718="D",1,0)+IF(DW718="D",1,0)+IF(DZ718="D",1,0)+IF(EH718="D",1,0)</f>
        <v/>
      </c>
      <c r="AY718">
        <f>IF(DJ718&lt;&gt;"",1,0)+IF(DK718&lt;&gt;"",1,0)+IF(DM718&lt;&gt;"",1,0)+IF(DO718&lt;&gt;"",1,0)+IF(DP718&lt;&gt;"",1,0)+IF(DQ718&lt;&gt;"",1,0)+IF(DS718&lt;&gt;"",1,0)+IF(DT718&lt;&gt;"",1,0)+IF(DV718&lt;&gt;"",1,0)+IF(DW718&lt;&gt;"",1,0)+IF(DX718&lt;&gt;"",1,0)+IF(DY718&lt;&gt;"",1,0)+IF(DZ718&lt;&gt;"",1,0)+IF(EB718&lt;&gt;"",1,0)+IF(EC718&lt;&gt;"",1,0)+IF(ED718&lt;&gt;"",1,0)+IF(EG718&lt;&gt;"",1,0)+IF(EH718&lt;&gt;"",1,0)</f>
        <v/>
      </c>
      <c r="AZ718">
        <f>IF(EH718&lt;&gt;"",1,0)</f>
        <v/>
      </c>
      <c r="BB718" t="inlineStr">
        <is>
          <t>WARREN-WARD 4</t>
        </is>
      </c>
      <c r="BD718" t="inlineStr">
        <is>
          <t>X</t>
        </is>
      </c>
      <c r="BJ718" t="inlineStr">
        <is>
          <t>X</t>
        </is>
      </c>
      <c r="BL718" t="inlineStr">
        <is>
          <t>X</t>
        </is>
      </c>
      <c r="BS718" t="inlineStr">
        <is>
          <t>X</t>
        </is>
      </c>
      <c r="CA718" t="inlineStr">
        <is>
          <t>X</t>
        </is>
      </c>
      <c r="CP718" t="inlineStr">
        <is>
          <t>X</t>
        </is>
      </c>
      <c r="DC718" t="inlineStr">
        <is>
          <t>X</t>
        </is>
      </c>
      <c r="DN718" t="inlineStr">
        <is>
          <t>X</t>
        </is>
      </c>
      <c r="DU718" t="inlineStr">
        <is>
          <t>X</t>
        </is>
      </c>
      <c r="DW718" t="inlineStr">
        <is>
          <t>D</t>
        </is>
      </c>
      <c r="DX718" t="inlineStr">
        <is>
          <t>X</t>
        </is>
      </c>
      <c r="EA718" t="inlineStr">
        <is>
          <t>X</t>
        </is>
      </c>
      <c r="EF718" t="inlineStr">
        <is>
          <t>X</t>
        </is>
      </c>
    </row>
    <row r="719">
      <c r="A719" t="inlineStr">
        <is>
          <t>OH0024210708</t>
        </is>
      </c>
      <c r="B719" t="n">
        <v>78</v>
      </c>
      <c r="C719" t="n">
        <v>423993</v>
      </c>
      <c r="D719" t="inlineStr">
        <is>
          <t>JACKSON</t>
        </is>
      </c>
      <c r="E719" t="inlineStr">
        <is>
          <t>REGINA</t>
        </is>
      </c>
      <c r="F719">
        <f>CONCATENATE(D719," ",LEFT(H719,4),"T=",AU719,"D=",AV719,"R=",AW719,"M=",AX719,"L=",AY719,"B=",AZ719)</f>
        <v/>
      </c>
      <c r="G719" t="inlineStr">
        <is>
          <t>L</t>
        </is>
      </c>
      <c r="I719" t="inlineStr">
        <is>
          <t>1989-06-06</t>
        </is>
      </c>
      <c r="J719" t="inlineStr">
        <is>
          <t>2019-04-28</t>
        </is>
      </c>
      <c r="K719" t="inlineStr">
        <is>
          <t>CONFIRMATION</t>
        </is>
      </c>
      <c r="M719" t="inlineStr">
        <is>
          <t>626 WOODBINE AVE SE</t>
        </is>
      </c>
      <c r="N719">
        <f>RIGHT(M719,LEN(M719)-FIND(" ",M719))</f>
        <v/>
      </c>
      <c r="P719" t="inlineStr">
        <is>
          <t>WARREN</t>
        </is>
      </c>
      <c r="Q719" t="inlineStr">
        <is>
          <t>OH</t>
        </is>
      </c>
      <c r="R719" t="n">
        <v>44483</v>
      </c>
      <c r="AD719" t="inlineStr">
        <is>
          <t>TRUMBULL CAREER &amp; TECH CENTER</t>
        </is>
      </c>
      <c r="AE719" t="inlineStr">
        <is>
          <t>WARREN CITY</t>
        </is>
      </c>
      <c r="AF719" t="inlineStr">
        <is>
          <t>WARREN CITY SD</t>
        </is>
      </c>
      <c r="AH719" t="n">
        <v>14</v>
      </c>
      <c r="AI719" t="n">
        <v>11</v>
      </c>
      <c r="AN719" t="inlineStr">
        <is>
          <t>WARREN</t>
        </is>
      </c>
      <c r="AO719" t="inlineStr">
        <is>
          <t>WARREN CITY 4A</t>
        </is>
      </c>
      <c r="AP719" t="inlineStr">
        <is>
          <t>78-P-ADI</t>
        </is>
      </c>
      <c r="AQ719" t="n">
        <v>9</v>
      </c>
      <c r="AR719" t="n">
        <v>64</v>
      </c>
      <c r="AS719" t="n">
        <v>32</v>
      </c>
      <c r="AU719">
        <f>COUNTA($BA$719:$EH$719)</f>
        <v/>
      </c>
      <c r="AV719">
        <f>COUNTIF($BA$719:$EH$719,"D")</f>
        <v/>
      </c>
      <c r="AW719">
        <f>COUNTIF($BA$719:$EH$719,"R")</f>
        <v/>
      </c>
      <c r="AX719">
        <f>IF(BN719="D",1,0)+IF(BO719="D",1,0)+IF(BT719="D",1,0)+IF(BU719="D",1,0)+IF(BW719="D",1,0)+IF(CC719="D",1,0)+IF(CD719="D",1,0)+IF(CE719="D",1,0)+IF(CF719="D",1,0)+IF(CL719="D",1,0)+IF(CM719="D",1,0)+IF(CQ719="D",1,0)+IF(CR719="D",1,0)+IF(CS719="D",1,0)+IF(CW719="D",1,0)+IF(CX719="D",1,0)+IF(DD719="D",1,0)+IF(DE719="D",1,0)+IF(DJ719="D",1,0)+IF(DK719="D",1,0)+IF(DO719="D",1,0)+IF(DP719="D",1,0)+IF(DQ719="D",1,0)+IF(DW719="D",1,0)+IF(DZ719="D",1,0)+IF(EH719="D",1,0)</f>
        <v/>
      </c>
      <c r="AY719">
        <f>IF(DJ719&lt;&gt;"",1,0)+IF(DK719&lt;&gt;"",1,0)+IF(DM719&lt;&gt;"",1,0)+IF(DO719&lt;&gt;"",1,0)+IF(DP719&lt;&gt;"",1,0)+IF(DQ719&lt;&gt;"",1,0)+IF(DS719&lt;&gt;"",1,0)+IF(DT719&lt;&gt;"",1,0)+IF(DV719&lt;&gt;"",1,0)+IF(DW719&lt;&gt;"",1,0)+IF(DX719&lt;&gt;"",1,0)+IF(DY719&lt;&gt;"",1,0)+IF(DZ719&lt;&gt;"",1,0)+IF(EB719&lt;&gt;"",1,0)+IF(EC719&lt;&gt;"",1,0)+IF(ED719&lt;&gt;"",1,0)+IF(EG719&lt;&gt;"",1,0)+IF(EH719&lt;&gt;"",1,0)</f>
        <v/>
      </c>
      <c r="AZ719">
        <f>IF(EH719&lt;&gt;"",1,0)</f>
        <v/>
      </c>
      <c r="BB719" t="inlineStr">
        <is>
          <t>WARREN-WARD 4</t>
        </is>
      </c>
      <c r="DI719" t="inlineStr">
        <is>
          <t>X</t>
        </is>
      </c>
    </row>
    <row r="720">
      <c r="A720" t="inlineStr">
        <is>
          <t>OH0022926055</t>
        </is>
      </c>
      <c r="B720" t="n">
        <v>78</v>
      </c>
      <c r="C720" t="n">
        <v>404223</v>
      </c>
      <c r="D720" t="inlineStr">
        <is>
          <t>SCHEIDEGGER</t>
        </is>
      </c>
      <c r="E720" t="inlineStr">
        <is>
          <t>ZACHARY</t>
        </is>
      </c>
      <c r="F720">
        <f>CONCATENATE(D720," ",LEFT(H720,4),"T=",AU720,"D=",AV720,"R=",AW720,"M=",AX720,"L=",AY720,"B=",AZ720)</f>
        <v/>
      </c>
      <c r="G720" t="inlineStr">
        <is>
          <t>BISHOP</t>
        </is>
      </c>
      <c r="I720" t="inlineStr">
        <is>
          <t>1995-11-14</t>
        </is>
      </c>
      <c r="J720" t="inlineStr">
        <is>
          <t>2014-09-23</t>
        </is>
      </c>
      <c r="K720" t="inlineStr">
        <is>
          <t>ACTIVE</t>
        </is>
      </c>
      <c r="M720" t="inlineStr">
        <is>
          <t>393 WOODBINE AVE SE</t>
        </is>
      </c>
      <c r="N720">
        <f>RIGHT(M720,LEN(M720)-FIND(" ",M720))</f>
        <v/>
      </c>
      <c r="P720" t="inlineStr">
        <is>
          <t>WARREN</t>
        </is>
      </c>
      <c r="Q720" t="inlineStr">
        <is>
          <t>OH</t>
        </is>
      </c>
      <c r="R720" t="n">
        <v>44483</v>
      </c>
      <c r="AD720" t="inlineStr">
        <is>
          <t>TRUMBULL CAREER &amp; TECH CENTER</t>
        </is>
      </c>
      <c r="AE720" t="inlineStr">
        <is>
          <t>WARREN CITY</t>
        </is>
      </c>
      <c r="AF720" t="inlineStr">
        <is>
          <t>WARREN CITY SD</t>
        </is>
      </c>
      <c r="AH720" t="n">
        <v>14</v>
      </c>
      <c r="AI720" t="n">
        <v>11</v>
      </c>
      <c r="AN720" t="inlineStr">
        <is>
          <t>WARREN</t>
        </is>
      </c>
      <c r="AO720" t="inlineStr">
        <is>
          <t>WARREN CITY 4A</t>
        </is>
      </c>
      <c r="AP720" t="inlineStr">
        <is>
          <t>78-P-ADI</t>
        </is>
      </c>
      <c r="AQ720" t="n">
        <v>9</v>
      </c>
      <c r="AR720" t="n">
        <v>64</v>
      </c>
      <c r="AS720" t="n">
        <v>32</v>
      </c>
      <c r="AU720">
        <f>COUNTA($BA$720:$EH$720)</f>
        <v/>
      </c>
      <c r="AV720">
        <f>COUNTIF($BA$720:$EH$720,"D")</f>
        <v/>
      </c>
      <c r="AW720">
        <f>COUNTIF($BA$720:$EH$720,"R")</f>
        <v/>
      </c>
      <c r="AX720">
        <f>IF(BN720="D",1,0)+IF(BO720="D",1,0)+IF(BT720="D",1,0)+IF(BU720="D",1,0)+IF(BW720="D",1,0)+IF(CC720="D",1,0)+IF(CD720="D",1,0)+IF(CE720="D",1,0)+IF(CF720="D",1,0)+IF(CL720="D",1,0)+IF(CM720="D",1,0)+IF(CQ720="D",1,0)+IF(CR720="D",1,0)+IF(CS720="D",1,0)+IF(CW720="D",1,0)+IF(CX720="D",1,0)+IF(DD720="D",1,0)+IF(DE720="D",1,0)+IF(DJ720="D",1,0)+IF(DK720="D",1,0)+IF(DO720="D",1,0)+IF(DP720="D",1,0)+IF(DQ720="D",1,0)+IF(DW720="D",1,0)+IF(DZ720="D",1,0)+IF(EH720="D",1,0)</f>
        <v/>
      </c>
      <c r="AY720">
        <f>IF(DJ720&lt;&gt;"",1,0)+IF(DK720&lt;&gt;"",1,0)+IF(DM720&lt;&gt;"",1,0)+IF(DO720&lt;&gt;"",1,0)+IF(DP720&lt;&gt;"",1,0)+IF(DQ720&lt;&gt;"",1,0)+IF(DS720&lt;&gt;"",1,0)+IF(DT720&lt;&gt;"",1,0)+IF(DV720&lt;&gt;"",1,0)+IF(DW720&lt;&gt;"",1,0)+IF(DX720&lt;&gt;"",1,0)+IF(DY720&lt;&gt;"",1,0)+IF(DZ720&lt;&gt;"",1,0)+IF(EB720&lt;&gt;"",1,0)+IF(EC720&lt;&gt;"",1,0)+IF(ED720&lt;&gt;"",1,0)+IF(EG720&lt;&gt;"",1,0)+IF(EH720&lt;&gt;"",1,0)</f>
        <v/>
      </c>
      <c r="AZ720">
        <f>IF(EH720&lt;&gt;"",1,0)</f>
        <v/>
      </c>
      <c r="BB720" t="inlineStr">
        <is>
          <t>WARREN-WARD 4</t>
        </is>
      </c>
      <c r="CV720" t="inlineStr">
        <is>
          <t>X</t>
        </is>
      </c>
      <c r="CY720" t="inlineStr">
        <is>
          <t>X</t>
        </is>
      </c>
      <c r="CZ720" t="inlineStr">
        <is>
          <t>D</t>
        </is>
      </c>
      <c r="DC720" t="inlineStr">
        <is>
          <t>X</t>
        </is>
      </c>
      <c r="DF720" t="inlineStr">
        <is>
          <t>X</t>
        </is>
      </c>
      <c r="DI720" t="inlineStr">
        <is>
          <t>X</t>
        </is>
      </c>
      <c r="DN720" t="inlineStr">
        <is>
          <t>X</t>
        </is>
      </c>
      <c r="DU720" t="inlineStr">
        <is>
          <t>X</t>
        </is>
      </c>
      <c r="EA720" t="inlineStr">
        <is>
          <t>X</t>
        </is>
      </c>
      <c r="EF720" t="inlineStr">
        <is>
          <t>X</t>
        </is>
      </c>
    </row>
    <row r="721">
      <c r="A721" t="inlineStr">
        <is>
          <t>OH0015727275</t>
        </is>
      </c>
      <c r="B721" t="n">
        <v>78</v>
      </c>
      <c r="C721" t="n">
        <v>212719</v>
      </c>
      <c r="D721" t="inlineStr">
        <is>
          <t>SOLINGER</t>
        </is>
      </c>
      <c r="E721" t="inlineStr">
        <is>
          <t>DEBRA</t>
        </is>
      </c>
      <c r="F721">
        <f>CONCATENATE(D721," ",LEFT(H721,4),"T=",AU721,"D=",AV721,"R=",AW721,"M=",AX721,"L=",AY721,"B=",AZ721)</f>
        <v/>
      </c>
      <c r="G721" t="inlineStr">
        <is>
          <t>K</t>
        </is>
      </c>
      <c r="I721" t="inlineStr">
        <is>
          <t>1957-03-29</t>
        </is>
      </c>
      <c r="J721" t="inlineStr">
        <is>
          <t>2007-09-21</t>
        </is>
      </c>
      <c r="K721" t="inlineStr">
        <is>
          <t>ACTIVE</t>
        </is>
      </c>
      <c r="L721" t="inlineStr">
        <is>
          <t>D</t>
        </is>
      </c>
      <c r="M721" t="inlineStr">
        <is>
          <t>494 CHARLES AVE SE</t>
        </is>
      </c>
      <c r="N721">
        <f>RIGHT(M721,LEN(M721)-FIND(" ",M721))</f>
        <v/>
      </c>
      <c r="P721" t="inlineStr">
        <is>
          <t>WARREN</t>
        </is>
      </c>
      <c r="Q721" t="inlineStr">
        <is>
          <t>OH</t>
        </is>
      </c>
      <c r="R721" t="n">
        <v>44483</v>
      </c>
      <c r="AD721" t="inlineStr">
        <is>
          <t>TRUMBULL CAREER &amp; TECH CENTER</t>
        </is>
      </c>
      <c r="AE721" t="inlineStr">
        <is>
          <t>WARREN CITY</t>
        </is>
      </c>
      <c r="AF721" t="inlineStr">
        <is>
          <t>WARREN CITY SD</t>
        </is>
      </c>
      <c r="AH721" t="n">
        <v>14</v>
      </c>
      <c r="AI721" t="n">
        <v>11</v>
      </c>
      <c r="AN721" t="inlineStr">
        <is>
          <t>WARREN</t>
        </is>
      </c>
      <c r="AO721" t="inlineStr">
        <is>
          <t>WARREN CITY 4A</t>
        </is>
      </c>
      <c r="AP721" t="inlineStr">
        <is>
          <t>78-P-ADI</t>
        </is>
      </c>
      <c r="AQ721" t="n">
        <v>9</v>
      </c>
      <c r="AR721" t="n">
        <v>64</v>
      </c>
      <c r="AS721" t="n">
        <v>32</v>
      </c>
      <c r="AU721">
        <f>COUNTA($BA$721:$EH$721)</f>
        <v/>
      </c>
      <c r="AV721">
        <f>COUNTIF($BA$721:$EH$721,"D")</f>
        <v/>
      </c>
      <c r="AW721">
        <f>COUNTIF($BA$721:$EH$721,"R")</f>
        <v/>
      </c>
      <c r="AX721">
        <f>IF(BN721="D",1,0)+IF(BO721="D",1,0)+IF(BT721="D",1,0)+IF(BU721="D",1,0)+IF(BW721="D",1,0)+IF(CC721="D",1,0)+IF(CD721="D",1,0)+IF(CE721="D",1,0)+IF(CF721="D",1,0)+IF(CL721="D",1,0)+IF(CM721="D",1,0)+IF(CQ721="D",1,0)+IF(CR721="D",1,0)+IF(CS721="D",1,0)+IF(CW721="D",1,0)+IF(CX721="D",1,0)+IF(DD721="D",1,0)+IF(DE721="D",1,0)+IF(DJ721="D",1,0)+IF(DK721="D",1,0)+IF(DO721="D",1,0)+IF(DP721="D",1,0)+IF(DQ721="D",1,0)+IF(DW721="D",1,0)+IF(DZ721="D",1,0)+IF(EH721="D",1,0)</f>
        <v/>
      </c>
      <c r="AY721">
        <f>IF(DJ721&lt;&gt;"",1,0)+IF(DK721&lt;&gt;"",1,0)+IF(DM721&lt;&gt;"",1,0)+IF(DO721&lt;&gt;"",1,0)+IF(DP721&lt;&gt;"",1,0)+IF(DQ721&lt;&gt;"",1,0)+IF(DS721&lt;&gt;"",1,0)+IF(DT721&lt;&gt;"",1,0)+IF(DV721&lt;&gt;"",1,0)+IF(DW721&lt;&gt;"",1,0)+IF(DX721&lt;&gt;"",1,0)+IF(DY721&lt;&gt;"",1,0)+IF(DZ721&lt;&gt;"",1,0)+IF(EB721&lt;&gt;"",1,0)+IF(EC721&lt;&gt;"",1,0)+IF(ED721&lt;&gt;"",1,0)+IF(EG721&lt;&gt;"",1,0)+IF(EH721&lt;&gt;"",1,0)</f>
        <v/>
      </c>
      <c r="AZ721">
        <f>IF(EH721&lt;&gt;"",1,0)</f>
        <v/>
      </c>
      <c r="BB721" t="inlineStr">
        <is>
          <t>WARREN-WARD 4</t>
        </is>
      </c>
      <c r="BD721" t="inlineStr">
        <is>
          <t>X</t>
        </is>
      </c>
      <c r="BL721" t="inlineStr">
        <is>
          <t>X</t>
        </is>
      </c>
      <c r="BV721" t="inlineStr">
        <is>
          <t>X</t>
        </is>
      </c>
      <c r="BY721" t="inlineStr">
        <is>
          <t>D</t>
        </is>
      </c>
      <c r="CA721" t="inlineStr">
        <is>
          <t>X</t>
        </is>
      </c>
      <c r="CK721" t="inlineStr">
        <is>
          <t>X</t>
        </is>
      </c>
      <c r="CN721" t="inlineStr">
        <is>
          <t>X</t>
        </is>
      </c>
      <c r="CP721" t="inlineStr">
        <is>
          <t>X</t>
        </is>
      </c>
      <c r="CV721" t="inlineStr">
        <is>
          <t>X</t>
        </is>
      </c>
      <c r="CY721" t="inlineStr">
        <is>
          <t>X</t>
        </is>
      </c>
      <c r="CZ721" t="inlineStr">
        <is>
          <t>D</t>
        </is>
      </c>
      <c r="DC721" t="inlineStr">
        <is>
          <t>X</t>
        </is>
      </c>
      <c r="DG721" t="inlineStr">
        <is>
          <t>D</t>
        </is>
      </c>
      <c r="DI721" t="inlineStr">
        <is>
          <t>X</t>
        </is>
      </c>
      <c r="DN721" t="inlineStr">
        <is>
          <t>X</t>
        </is>
      </c>
      <c r="DU721" t="inlineStr">
        <is>
          <t>X</t>
        </is>
      </c>
      <c r="DX721" t="inlineStr">
        <is>
          <t>X</t>
        </is>
      </c>
      <c r="EA721" t="inlineStr">
        <is>
          <t>X</t>
        </is>
      </c>
      <c r="ED721" t="inlineStr">
        <is>
          <t>D</t>
        </is>
      </c>
      <c r="EF721" t="inlineStr">
        <is>
          <t>X</t>
        </is>
      </c>
    </row>
    <row r="722">
      <c r="A722" t="inlineStr">
        <is>
          <t>OH0015807711</t>
        </is>
      </c>
      <c r="B722" t="n">
        <v>78</v>
      </c>
      <c r="C722" t="n">
        <v>305168</v>
      </c>
      <c r="D722" t="inlineStr">
        <is>
          <t>FOREMAN</t>
        </is>
      </c>
      <c r="E722" t="inlineStr">
        <is>
          <t>PAMELA</t>
        </is>
      </c>
      <c r="F722">
        <f>CONCATENATE(D722," ",LEFT(H722,4),"T=",AU722,"D=",AV722,"R=",AW722,"M=",AX722,"L=",AY722,"B=",AZ722)</f>
        <v/>
      </c>
      <c r="G722" t="inlineStr">
        <is>
          <t>IRENE</t>
        </is>
      </c>
      <c r="I722" t="inlineStr">
        <is>
          <t>1977-09-27</t>
        </is>
      </c>
      <c r="J722" t="inlineStr">
        <is>
          <t>2015-11-13</t>
        </is>
      </c>
      <c r="K722" t="inlineStr">
        <is>
          <t>ACTIVE</t>
        </is>
      </c>
      <c r="M722" t="inlineStr">
        <is>
          <t>860 OAK KNOLL AVE SE</t>
        </is>
      </c>
      <c r="N722">
        <f>RIGHT(M722,LEN(M722)-FIND(" ",M722))</f>
        <v/>
      </c>
      <c r="P722" t="inlineStr">
        <is>
          <t>WARREN</t>
        </is>
      </c>
      <c r="Q722" t="inlineStr">
        <is>
          <t>OH</t>
        </is>
      </c>
      <c r="R722" t="n">
        <v>44484</v>
      </c>
      <c r="AD722" t="inlineStr">
        <is>
          <t>TRUMBULL CAREER &amp; TECH CENTER</t>
        </is>
      </c>
      <c r="AE722" t="inlineStr">
        <is>
          <t>WARREN CITY</t>
        </is>
      </c>
      <c r="AF722" t="inlineStr">
        <is>
          <t>WARREN CITY SD</t>
        </is>
      </c>
      <c r="AH722" t="n">
        <v>14</v>
      </c>
      <c r="AI722" t="n">
        <v>11</v>
      </c>
      <c r="AN722" t="inlineStr">
        <is>
          <t>WARREN</t>
        </is>
      </c>
      <c r="AO722" t="inlineStr">
        <is>
          <t>WARREN CITY 4A</t>
        </is>
      </c>
      <c r="AP722" t="inlineStr">
        <is>
          <t>78-P-ADI</t>
        </is>
      </c>
      <c r="AQ722" t="n">
        <v>9</v>
      </c>
      <c r="AR722" t="n">
        <v>64</v>
      </c>
      <c r="AS722" t="n">
        <v>32</v>
      </c>
      <c r="AU722">
        <f>COUNTA($BA$722:$EH$722)</f>
        <v/>
      </c>
      <c r="AV722">
        <f>COUNTIF($BA$722:$EH$722,"D")</f>
        <v/>
      </c>
      <c r="AW722">
        <f>COUNTIF($BA$722:$EH$722,"R")</f>
        <v/>
      </c>
      <c r="AX722">
        <f>IF(BN722="D",1,0)+IF(BO722="D",1,0)+IF(BT722="D",1,0)+IF(BU722="D",1,0)+IF(BW722="D",1,0)+IF(CC722="D",1,0)+IF(CD722="D",1,0)+IF(CE722="D",1,0)+IF(CF722="D",1,0)+IF(CL722="D",1,0)+IF(CM722="D",1,0)+IF(CQ722="D",1,0)+IF(CR722="D",1,0)+IF(CS722="D",1,0)+IF(CW722="D",1,0)+IF(CX722="D",1,0)+IF(DD722="D",1,0)+IF(DE722="D",1,0)+IF(DJ722="D",1,0)+IF(DK722="D",1,0)+IF(DO722="D",1,0)+IF(DP722="D",1,0)+IF(DQ722="D",1,0)+IF(DW722="D",1,0)+IF(DZ722="D",1,0)+IF(EH722="D",1,0)</f>
        <v/>
      </c>
      <c r="AY722">
        <f>IF(DJ722&lt;&gt;"",1,0)+IF(DK722&lt;&gt;"",1,0)+IF(DM722&lt;&gt;"",1,0)+IF(DO722&lt;&gt;"",1,0)+IF(DP722&lt;&gt;"",1,0)+IF(DQ722&lt;&gt;"",1,0)+IF(DS722&lt;&gt;"",1,0)+IF(DT722&lt;&gt;"",1,0)+IF(DV722&lt;&gt;"",1,0)+IF(DW722&lt;&gt;"",1,0)+IF(DX722&lt;&gt;"",1,0)+IF(DY722&lt;&gt;"",1,0)+IF(DZ722&lt;&gt;"",1,0)+IF(EB722&lt;&gt;"",1,0)+IF(EC722&lt;&gt;"",1,0)+IF(ED722&lt;&gt;"",1,0)+IF(EG722&lt;&gt;"",1,0)+IF(EH722&lt;&gt;"",1,0)</f>
        <v/>
      </c>
      <c r="AZ722">
        <f>IF(EH722&lt;&gt;"",1,0)</f>
        <v/>
      </c>
      <c r="BB722" t="inlineStr">
        <is>
          <t>WARREN-WARD 4</t>
        </is>
      </c>
      <c r="CN722" t="inlineStr">
        <is>
          <t>X</t>
        </is>
      </c>
      <c r="CP722" t="inlineStr">
        <is>
          <t>X</t>
        </is>
      </c>
      <c r="DC722" t="inlineStr">
        <is>
          <t>X</t>
        </is>
      </c>
      <c r="DI722" t="inlineStr">
        <is>
          <t>X</t>
        </is>
      </c>
      <c r="DN722" t="inlineStr">
        <is>
          <t>X</t>
        </is>
      </c>
      <c r="EF722" t="inlineStr">
        <is>
          <t>X</t>
        </is>
      </c>
    </row>
    <row r="723">
      <c r="A723" t="inlineStr">
        <is>
          <t>OH0015684987</t>
        </is>
      </c>
      <c r="B723" t="n">
        <v>78</v>
      </c>
      <c r="C723" t="n">
        <v>12132</v>
      </c>
      <c r="D723" t="inlineStr">
        <is>
          <t>MCLENNAN</t>
        </is>
      </c>
      <c r="E723" t="inlineStr">
        <is>
          <t>CATHIE</t>
        </is>
      </c>
      <c r="F723">
        <f>CONCATENATE(D723," ",LEFT(H723,4),"T=",AU723,"D=",AV723,"R=",AW723,"M=",AX723,"L=",AY723,"B=",AZ723)</f>
        <v/>
      </c>
      <c r="G723" t="inlineStr">
        <is>
          <t>A</t>
        </is>
      </c>
      <c r="I723" t="inlineStr">
        <is>
          <t>1948-12-18</t>
        </is>
      </c>
      <c r="J723" t="inlineStr">
        <is>
          <t>1976-10-04</t>
        </is>
      </c>
      <c r="K723" t="inlineStr">
        <is>
          <t>ACTIVE</t>
        </is>
      </c>
      <c r="L723" t="inlineStr">
        <is>
          <t>D</t>
        </is>
      </c>
      <c r="M723" t="inlineStr">
        <is>
          <t>319 CHARLES AVE SE</t>
        </is>
      </c>
      <c r="N723">
        <f>RIGHT(M723,LEN(M723)-FIND(" ",M723))</f>
        <v/>
      </c>
      <c r="P723" t="inlineStr">
        <is>
          <t>WARREN</t>
        </is>
      </c>
      <c r="Q723" t="inlineStr">
        <is>
          <t>OH</t>
        </is>
      </c>
      <c r="R723" t="n">
        <v>44483</v>
      </c>
      <c r="AD723" t="inlineStr">
        <is>
          <t>TRUMBULL CAREER &amp; TECH CENTER</t>
        </is>
      </c>
      <c r="AE723" t="inlineStr">
        <is>
          <t>WARREN CITY</t>
        </is>
      </c>
      <c r="AF723" t="inlineStr">
        <is>
          <t>WARREN CITY SD</t>
        </is>
      </c>
      <c r="AH723" t="n">
        <v>14</v>
      </c>
      <c r="AI723" t="n">
        <v>11</v>
      </c>
      <c r="AN723" t="inlineStr">
        <is>
          <t>WARREN</t>
        </is>
      </c>
      <c r="AO723" t="inlineStr">
        <is>
          <t>WARREN CITY 4A</t>
        </is>
      </c>
      <c r="AP723" t="inlineStr">
        <is>
          <t>78-P-ADI</t>
        </is>
      </c>
      <c r="AQ723" t="n">
        <v>9</v>
      </c>
      <c r="AR723" t="n">
        <v>64</v>
      </c>
      <c r="AS723" t="n">
        <v>32</v>
      </c>
      <c r="AU723">
        <f>COUNTA($BA$723:$EH$723)</f>
        <v/>
      </c>
      <c r="AV723">
        <f>COUNTIF($BA$723:$EH$723,"D")</f>
        <v/>
      </c>
      <c r="AW723">
        <f>COUNTIF($BA$723:$EH$723,"R")</f>
        <v/>
      </c>
      <c r="AX723">
        <f>IF(BN723="D",1,0)+IF(BO723="D",1,0)+IF(BT723="D",1,0)+IF(BU723="D",1,0)+IF(BW723="D",1,0)+IF(CC723="D",1,0)+IF(CD723="D",1,0)+IF(CE723="D",1,0)+IF(CF723="D",1,0)+IF(CL723="D",1,0)+IF(CM723="D",1,0)+IF(CQ723="D",1,0)+IF(CR723="D",1,0)+IF(CS723="D",1,0)+IF(CW723="D",1,0)+IF(CX723="D",1,0)+IF(DD723="D",1,0)+IF(DE723="D",1,0)+IF(DJ723="D",1,0)+IF(DK723="D",1,0)+IF(DO723="D",1,0)+IF(DP723="D",1,0)+IF(DQ723="D",1,0)+IF(DW723="D",1,0)+IF(DZ723="D",1,0)+IF(EH723="D",1,0)</f>
        <v/>
      </c>
      <c r="AY723">
        <f>IF(DJ723&lt;&gt;"",1,0)+IF(DK723&lt;&gt;"",1,0)+IF(DM723&lt;&gt;"",1,0)+IF(DO723&lt;&gt;"",1,0)+IF(DP723&lt;&gt;"",1,0)+IF(DQ723&lt;&gt;"",1,0)+IF(DS723&lt;&gt;"",1,0)+IF(DT723&lt;&gt;"",1,0)+IF(DV723&lt;&gt;"",1,0)+IF(DW723&lt;&gt;"",1,0)+IF(DX723&lt;&gt;"",1,0)+IF(DY723&lt;&gt;"",1,0)+IF(DZ723&lt;&gt;"",1,0)+IF(EB723&lt;&gt;"",1,0)+IF(EC723&lt;&gt;"",1,0)+IF(ED723&lt;&gt;"",1,0)+IF(EG723&lt;&gt;"",1,0)+IF(EH723&lt;&gt;"",1,0)</f>
        <v/>
      </c>
      <c r="AZ723">
        <f>IF(EH723&lt;&gt;"",1,0)</f>
        <v/>
      </c>
      <c r="BB723" t="inlineStr">
        <is>
          <t>WARREN-WARD 4</t>
        </is>
      </c>
      <c r="BC723" t="inlineStr">
        <is>
          <t>X</t>
        </is>
      </c>
      <c r="BD723" t="inlineStr">
        <is>
          <t>X</t>
        </is>
      </c>
      <c r="BH723" t="inlineStr">
        <is>
          <t>X</t>
        </is>
      </c>
      <c r="BL723" t="inlineStr">
        <is>
          <t>X</t>
        </is>
      </c>
      <c r="BS723" t="inlineStr">
        <is>
          <t>X</t>
        </is>
      </c>
      <c r="BY723" t="inlineStr">
        <is>
          <t>D</t>
        </is>
      </c>
      <c r="CA723" t="inlineStr">
        <is>
          <t>X</t>
        </is>
      </c>
      <c r="CK723" t="inlineStr">
        <is>
          <t>X</t>
        </is>
      </c>
      <c r="CL723" t="inlineStr">
        <is>
          <t>D</t>
        </is>
      </c>
      <c r="CN723" t="inlineStr">
        <is>
          <t>X</t>
        </is>
      </c>
      <c r="CP723" t="inlineStr">
        <is>
          <t>X</t>
        </is>
      </c>
      <c r="CQ723" t="inlineStr">
        <is>
          <t>D</t>
        </is>
      </c>
      <c r="CU723" t="inlineStr">
        <is>
          <t>D</t>
        </is>
      </c>
      <c r="CV723" t="inlineStr">
        <is>
          <t>X</t>
        </is>
      </c>
      <c r="CW723" t="inlineStr">
        <is>
          <t>D</t>
        </is>
      </c>
      <c r="CY723" t="inlineStr">
        <is>
          <t>X</t>
        </is>
      </c>
      <c r="CZ723" t="inlineStr">
        <is>
          <t>D</t>
        </is>
      </c>
      <c r="DC723" t="inlineStr">
        <is>
          <t>X</t>
        </is>
      </c>
      <c r="DD723" t="inlineStr">
        <is>
          <t>D</t>
        </is>
      </c>
      <c r="DF723" t="inlineStr">
        <is>
          <t>X</t>
        </is>
      </c>
      <c r="DG723" t="inlineStr">
        <is>
          <t>D</t>
        </is>
      </c>
      <c r="DI723" t="inlineStr">
        <is>
          <t>X</t>
        </is>
      </c>
      <c r="DJ723" t="inlineStr">
        <is>
          <t>D</t>
        </is>
      </c>
      <c r="DL723" t="inlineStr">
        <is>
          <t>X</t>
        </is>
      </c>
      <c r="DM723" t="inlineStr">
        <is>
          <t>D</t>
        </is>
      </c>
      <c r="DN723" t="inlineStr">
        <is>
          <t>X</t>
        </is>
      </c>
      <c r="DS723" t="inlineStr">
        <is>
          <t>D</t>
        </is>
      </c>
      <c r="DU723" t="inlineStr">
        <is>
          <t>X</t>
        </is>
      </c>
      <c r="DX723" t="inlineStr">
        <is>
          <t>X</t>
        </is>
      </c>
      <c r="EA723" t="inlineStr">
        <is>
          <t>X</t>
        </is>
      </c>
      <c r="EF723" t="inlineStr">
        <is>
          <t>X</t>
        </is>
      </c>
    </row>
    <row r="724">
      <c r="A724" t="inlineStr">
        <is>
          <t>OH0015738538</t>
        </is>
      </c>
      <c r="B724" t="n">
        <v>78</v>
      </c>
      <c r="C724" t="n">
        <v>224456</v>
      </c>
      <c r="D724" t="inlineStr">
        <is>
          <t>SHONGO</t>
        </is>
      </c>
      <c r="E724" t="inlineStr">
        <is>
          <t>JANICE</t>
        </is>
      </c>
      <c r="F724">
        <f>CONCATENATE(D724," ",LEFT(H724,4),"T=",AU724,"D=",AV724,"R=",AW724,"M=",AX724,"L=",AY724,"B=",AZ724)</f>
        <v/>
      </c>
      <c r="G724" t="inlineStr">
        <is>
          <t>A</t>
        </is>
      </c>
      <c r="I724" t="inlineStr">
        <is>
          <t>1944-03-30</t>
        </is>
      </c>
      <c r="J724" t="inlineStr">
        <is>
          <t>2022-03-15</t>
        </is>
      </c>
      <c r="K724" t="inlineStr">
        <is>
          <t>ACTIVE</t>
        </is>
      </c>
      <c r="M724" t="inlineStr">
        <is>
          <t>146 CHARLES AVE SE</t>
        </is>
      </c>
      <c r="N724">
        <f>RIGHT(M724,LEN(M724)-FIND(" ",M724))</f>
        <v/>
      </c>
      <c r="P724" t="inlineStr">
        <is>
          <t>WARREN</t>
        </is>
      </c>
      <c r="Q724" t="inlineStr">
        <is>
          <t>OH</t>
        </is>
      </c>
      <c r="R724" t="n">
        <v>44483</v>
      </c>
      <c r="AD724" t="inlineStr">
        <is>
          <t>TRUMBULL CAREER &amp; TECH CENTER</t>
        </is>
      </c>
      <c r="AE724" t="inlineStr">
        <is>
          <t>WARREN CITY</t>
        </is>
      </c>
      <c r="AF724" t="inlineStr">
        <is>
          <t>WARREN CITY SD</t>
        </is>
      </c>
      <c r="AH724" t="n">
        <v>14</v>
      </c>
      <c r="AI724" t="n">
        <v>11</v>
      </c>
      <c r="AN724" t="inlineStr">
        <is>
          <t>WARREN</t>
        </is>
      </c>
      <c r="AO724" t="inlineStr">
        <is>
          <t>WARREN CITY 4A</t>
        </is>
      </c>
      <c r="AP724" t="inlineStr">
        <is>
          <t>78-P-ADI</t>
        </is>
      </c>
      <c r="AQ724" t="n">
        <v>9</v>
      </c>
      <c r="AR724" t="n">
        <v>64</v>
      </c>
      <c r="AS724" t="n">
        <v>32</v>
      </c>
      <c r="AU724">
        <f>COUNTA($BA$724:$EH$724)</f>
        <v/>
      </c>
      <c r="AV724">
        <f>COUNTIF($BA$724:$EH$724,"D")</f>
        <v/>
      </c>
      <c r="AW724">
        <f>COUNTIF($BA$724:$EH$724,"R")</f>
        <v/>
      </c>
      <c r="AX724">
        <f>IF(BN724="D",1,0)+IF(BO724="D",1,0)+IF(BT724="D",1,0)+IF(BU724="D",1,0)+IF(BW724="D",1,0)+IF(CC724="D",1,0)+IF(CD724="D",1,0)+IF(CE724="D",1,0)+IF(CF724="D",1,0)+IF(CL724="D",1,0)+IF(CM724="D",1,0)+IF(CQ724="D",1,0)+IF(CR724="D",1,0)+IF(CS724="D",1,0)+IF(CW724="D",1,0)+IF(CX724="D",1,0)+IF(DD724="D",1,0)+IF(DE724="D",1,0)+IF(DJ724="D",1,0)+IF(DK724="D",1,0)+IF(DO724="D",1,0)+IF(DP724="D",1,0)+IF(DQ724="D",1,0)+IF(DW724="D",1,0)+IF(DZ724="D",1,0)+IF(EH724="D",1,0)</f>
        <v/>
      </c>
      <c r="AY724">
        <f>IF(DJ724&lt;&gt;"",1,0)+IF(DK724&lt;&gt;"",1,0)+IF(DM724&lt;&gt;"",1,0)+IF(DO724&lt;&gt;"",1,0)+IF(DP724&lt;&gt;"",1,0)+IF(DQ724&lt;&gt;"",1,0)+IF(DS724&lt;&gt;"",1,0)+IF(DT724&lt;&gt;"",1,0)+IF(DV724&lt;&gt;"",1,0)+IF(DW724&lt;&gt;"",1,0)+IF(DX724&lt;&gt;"",1,0)+IF(DY724&lt;&gt;"",1,0)+IF(DZ724&lt;&gt;"",1,0)+IF(EB724&lt;&gt;"",1,0)+IF(EC724&lt;&gt;"",1,0)+IF(ED724&lt;&gt;"",1,0)+IF(EG724&lt;&gt;"",1,0)+IF(EH724&lt;&gt;"",1,0)</f>
        <v/>
      </c>
      <c r="AZ724">
        <f>IF(EH724&lt;&gt;"",1,0)</f>
        <v/>
      </c>
      <c r="BB724" t="inlineStr">
        <is>
          <t>WARREN-WARD 4</t>
        </is>
      </c>
      <c r="BC724" t="inlineStr">
        <is>
          <t>X</t>
        </is>
      </c>
      <c r="BD724" t="inlineStr">
        <is>
          <t>X</t>
        </is>
      </c>
      <c r="BF724" t="inlineStr">
        <is>
          <t>X</t>
        </is>
      </c>
      <c r="BH724" t="inlineStr">
        <is>
          <t>X</t>
        </is>
      </c>
      <c r="BJ724" t="inlineStr">
        <is>
          <t>X</t>
        </is>
      </c>
      <c r="BL724" t="inlineStr">
        <is>
          <t>X</t>
        </is>
      </c>
      <c r="CA724" t="inlineStr">
        <is>
          <t>X</t>
        </is>
      </c>
      <c r="CN724" t="inlineStr">
        <is>
          <t>X</t>
        </is>
      </c>
      <c r="CP724" t="inlineStr">
        <is>
          <t>X</t>
        </is>
      </c>
      <c r="CV724" t="inlineStr">
        <is>
          <t>X</t>
        </is>
      </c>
    </row>
    <row r="725">
      <c r="A725" t="inlineStr">
        <is>
          <t>OH0015763027</t>
        </is>
      </c>
      <c r="B725" t="n">
        <v>78</v>
      </c>
      <c r="C725" t="n">
        <v>250356</v>
      </c>
      <c r="D725" t="inlineStr">
        <is>
          <t>FORD</t>
        </is>
      </c>
      <c r="E725" t="inlineStr">
        <is>
          <t>MARYANN</t>
        </is>
      </c>
      <c r="F725">
        <f>CONCATENATE(D725," ",LEFT(H725,4),"T=",AU725,"D=",AV725,"R=",AW725,"M=",AX725,"L=",AY725,"B=",AZ725)</f>
        <v/>
      </c>
      <c r="I725" t="inlineStr">
        <is>
          <t>1949-11-22</t>
        </is>
      </c>
      <c r="J725" t="inlineStr">
        <is>
          <t>1993-11-01</t>
        </is>
      </c>
      <c r="K725" t="inlineStr">
        <is>
          <t>ACTIVE</t>
        </is>
      </c>
      <c r="M725" t="inlineStr">
        <is>
          <t>141 CHARLES AVE SE</t>
        </is>
      </c>
      <c r="N725">
        <f>RIGHT(M725,LEN(M725)-FIND(" ",M725))</f>
        <v/>
      </c>
      <c r="P725" t="inlineStr">
        <is>
          <t>WARREN</t>
        </is>
      </c>
      <c r="Q725" t="inlineStr">
        <is>
          <t>OH</t>
        </is>
      </c>
      <c r="R725" t="n">
        <v>44483</v>
      </c>
      <c r="AD725" t="inlineStr">
        <is>
          <t>TRUMBULL CAREER &amp; TECH CENTER</t>
        </is>
      </c>
      <c r="AE725" t="inlineStr">
        <is>
          <t>WARREN CITY</t>
        </is>
      </c>
      <c r="AF725" t="inlineStr">
        <is>
          <t>WARREN CITY SD</t>
        </is>
      </c>
      <c r="AH725" t="n">
        <v>14</v>
      </c>
      <c r="AI725" t="n">
        <v>11</v>
      </c>
      <c r="AN725" t="inlineStr">
        <is>
          <t>WARREN</t>
        </is>
      </c>
      <c r="AO725" t="inlineStr">
        <is>
          <t>WARREN CITY 4A</t>
        </is>
      </c>
      <c r="AP725" t="inlineStr">
        <is>
          <t>78-P-ADI</t>
        </is>
      </c>
      <c r="AQ725" t="n">
        <v>9</v>
      </c>
      <c r="AR725" t="n">
        <v>64</v>
      </c>
      <c r="AS725" t="n">
        <v>32</v>
      </c>
      <c r="AU725">
        <f>COUNTA($BA$725:$EH$725)</f>
        <v/>
      </c>
      <c r="AV725">
        <f>COUNTIF($BA$725:$EH$725,"D")</f>
        <v/>
      </c>
      <c r="AW725">
        <f>COUNTIF($BA$725:$EH$725,"R")</f>
        <v/>
      </c>
      <c r="AX725">
        <f>IF(BN725="D",1,0)+IF(BO725="D",1,0)+IF(BT725="D",1,0)+IF(BU725="D",1,0)+IF(BW725="D",1,0)+IF(CC725="D",1,0)+IF(CD725="D",1,0)+IF(CE725="D",1,0)+IF(CF725="D",1,0)+IF(CL725="D",1,0)+IF(CM725="D",1,0)+IF(CQ725="D",1,0)+IF(CR725="D",1,0)+IF(CS725="D",1,0)+IF(CW725="D",1,0)+IF(CX725="D",1,0)+IF(DD725="D",1,0)+IF(DE725="D",1,0)+IF(DJ725="D",1,0)+IF(DK725="D",1,0)+IF(DO725="D",1,0)+IF(DP725="D",1,0)+IF(DQ725="D",1,0)+IF(DW725="D",1,0)+IF(DZ725="D",1,0)+IF(EH725="D",1,0)</f>
        <v/>
      </c>
      <c r="AY725">
        <f>IF(DJ725&lt;&gt;"",1,0)+IF(DK725&lt;&gt;"",1,0)+IF(DM725&lt;&gt;"",1,0)+IF(DO725&lt;&gt;"",1,0)+IF(DP725&lt;&gt;"",1,0)+IF(DQ725&lt;&gt;"",1,0)+IF(DS725&lt;&gt;"",1,0)+IF(DT725&lt;&gt;"",1,0)+IF(DV725&lt;&gt;"",1,0)+IF(DW725&lt;&gt;"",1,0)+IF(DX725&lt;&gt;"",1,0)+IF(DY725&lt;&gt;"",1,0)+IF(DZ725&lt;&gt;"",1,0)+IF(EB725&lt;&gt;"",1,0)+IF(EC725&lt;&gt;"",1,0)+IF(ED725&lt;&gt;"",1,0)+IF(EG725&lt;&gt;"",1,0)+IF(EH725&lt;&gt;"",1,0)</f>
        <v/>
      </c>
      <c r="AZ725">
        <f>IF(EH725&lt;&gt;"",1,0)</f>
        <v/>
      </c>
      <c r="BB725" t="inlineStr">
        <is>
          <t>WARREN-WARD 4</t>
        </is>
      </c>
      <c r="BC725" t="inlineStr">
        <is>
          <t>X</t>
        </is>
      </c>
      <c r="BE725" t="inlineStr">
        <is>
          <t>X</t>
        </is>
      </c>
      <c r="BF725" t="inlineStr">
        <is>
          <t>X</t>
        </is>
      </c>
      <c r="BG725" t="inlineStr">
        <is>
          <t>X</t>
        </is>
      </c>
      <c r="BH725" t="inlineStr">
        <is>
          <t>X</t>
        </is>
      </c>
      <c r="BI725" t="inlineStr">
        <is>
          <t>X</t>
        </is>
      </c>
      <c r="BJ725" t="inlineStr">
        <is>
          <t>X</t>
        </is>
      </c>
      <c r="BK725" t="inlineStr">
        <is>
          <t>X</t>
        </is>
      </c>
      <c r="BL725" t="inlineStr">
        <is>
          <t>X</t>
        </is>
      </c>
      <c r="BP725" t="inlineStr">
        <is>
          <t>X</t>
        </is>
      </c>
      <c r="BR725" t="inlineStr">
        <is>
          <t>X</t>
        </is>
      </c>
      <c r="BS725" t="inlineStr">
        <is>
          <t>X</t>
        </is>
      </c>
      <c r="BT725" t="inlineStr">
        <is>
          <t>X</t>
        </is>
      </c>
      <c r="BV725" t="inlineStr">
        <is>
          <t>X</t>
        </is>
      </c>
      <c r="BY725" t="inlineStr">
        <is>
          <t>D</t>
        </is>
      </c>
      <c r="CA725" t="inlineStr">
        <is>
          <t>X</t>
        </is>
      </c>
      <c r="CC725" t="inlineStr">
        <is>
          <t>D</t>
        </is>
      </c>
      <c r="CG725" t="inlineStr">
        <is>
          <t>X</t>
        </is>
      </c>
      <c r="CH725" t="inlineStr">
        <is>
          <t>D</t>
        </is>
      </c>
      <c r="CK725" t="inlineStr">
        <is>
          <t>X</t>
        </is>
      </c>
      <c r="CL725" t="inlineStr">
        <is>
          <t>D</t>
        </is>
      </c>
      <c r="CN725" t="inlineStr">
        <is>
          <t>X</t>
        </is>
      </c>
      <c r="CP725" t="inlineStr">
        <is>
          <t>X</t>
        </is>
      </c>
      <c r="CU725" t="inlineStr">
        <is>
          <t>D</t>
        </is>
      </c>
      <c r="CW725" t="inlineStr">
        <is>
          <t>D</t>
        </is>
      </c>
      <c r="CY725" t="inlineStr">
        <is>
          <t>X</t>
        </is>
      </c>
      <c r="CZ725" t="inlineStr">
        <is>
          <t>D</t>
        </is>
      </c>
      <c r="DC725" t="inlineStr">
        <is>
          <t>X</t>
        </is>
      </c>
      <c r="DG725" t="inlineStr">
        <is>
          <t>D</t>
        </is>
      </c>
      <c r="DI725" t="inlineStr">
        <is>
          <t>X</t>
        </is>
      </c>
      <c r="DN725" t="inlineStr">
        <is>
          <t>X</t>
        </is>
      </c>
      <c r="EF725" t="inlineStr">
        <is>
          <t>X</t>
        </is>
      </c>
    </row>
    <row r="726">
      <c r="A726" t="inlineStr">
        <is>
          <t>OH0015768928</t>
        </is>
      </c>
      <c r="B726" t="n">
        <v>78</v>
      </c>
      <c r="C726" t="n">
        <v>256385</v>
      </c>
      <c r="D726" t="inlineStr">
        <is>
          <t>LOPEZ</t>
        </is>
      </c>
      <c r="E726" t="inlineStr">
        <is>
          <t>RICARDO</t>
        </is>
      </c>
      <c r="F726">
        <f>CONCATENATE(D726," ",LEFT(H726,4),"T=",AU726,"D=",AV726,"R=",AW726,"M=",AX726,"L=",AY726,"B=",AZ726)</f>
        <v/>
      </c>
      <c r="I726" t="inlineStr">
        <is>
          <t>1960-07-21</t>
        </is>
      </c>
      <c r="J726" t="inlineStr">
        <is>
          <t>1994-12-07</t>
        </is>
      </c>
      <c r="K726" t="inlineStr">
        <is>
          <t>ACTIVE</t>
        </is>
      </c>
      <c r="L726" t="inlineStr">
        <is>
          <t>R</t>
        </is>
      </c>
      <c r="M726" t="inlineStr">
        <is>
          <t>126 CHARLES AVE SE</t>
        </is>
      </c>
      <c r="N726">
        <f>RIGHT(M726,LEN(M726)-FIND(" ",M726))</f>
        <v/>
      </c>
      <c r="P726" t="inlineStr">
        <is>
          <t>WARREN</t>
        </is>
      </c>
      <c r="Q726" t="inlineStr">
        <is>
          <t>OH</t>
        </is>
      </c>
      <c r="R726" t="n">
        <v>44483</v>
      </c>
      <c r="AD726" t="inlineStr">
        <is>
          <t>TRUMBULL CAREER &amp; TECH CENTER</t>
        </is>
      </c>
      <c r="AE726" t="inlineStr">
        <is>
          <t>WARREN CITY</t>
        </is>
      </c>
      <c r="AF726" t="inlineStr">
        <is>
          <t>WARREN CITY SD</t>
        </is>
      </c>
      <c r="AH726" t="n">
        <v>14</v>
      </c>
      <c r="AI726" t="n">
        <v>11</v>
      </c>
      <c r="AN726" t="inlineStr">
        <is>
          <t>WARREN</t>
        </is>
      </c>
      <c r="AO726" t="inlineStr">
        <is>
          <t>WARREN CITY 4A</t>
        </is>
      </c>
      <c r="AP726" t="inlineStr">
        <is>
          <t>78-P-ADI</t>
        </is>
      </c>
      <c r="AQ726" t="n">
        <v>9</v>
      </c>
      <c r="AR726" t="n">
        <v>64</v>
      </c>
      <c r="AS726" t="n">
        <v>32</v>
      </c>
      <c r="AU726">
        <f>COUNTA($BA$726:$EH$726)</f>
        <v/>
      </c>
      <c r="AV726">
        <f>COUNTIF($BA$726:$EH$726,"D")</f>
        <v/>
      </c>
      <c r="AW726">
        <f>COUNTIF($BA$726:$EH$726,"R")</f>
        <v/>
      </c>
      <c r="AX726">
        <f>IF(BN726="D",1,0)+IF(BO726="D",1,0)+IF(BT726="D",1,0)+IF(BU726="D",1,0)+IF(BW726="D",1,0)+IF(CC726="D",1,0)+IF(CD726="D",1,0)+IF(CE726="D",1,0)+IF(CF726="D",1,0)+IF(CL726="D",1,0)+IF(CM726="D",1,0)+IF(CQ726="D",1,0)+IF(CR726="D",1,0)+IF(CS726="D",1,0)+IF(CW726="D",1,0)+IF(CX726="D",1,0)+IF(DD726="D",1,0)+IF(DE726="D",1,0)+IF(DJ726="D",1,0)+IF(DK726="D",1,0)+IF(DO726="D",1,0)+IF(DP726="D",1,0)+IF(DQ726="D",1,0)+IF(DW726="D",1,0)+IF(DZ726="D",1,0)+IF(EH726="D",1,0)</f>
        <v/>
      </c>
      <c r="AY726">
        <f>IF(DJ726&lt;&gt;"",1,0)+IF(DK726&lt;&gt;"",1,0)+IF(DM726&lt;&gt;"",1,0)+IF(DO726&lt;&gt;"",1,0)+IF(DP726&lt;&gt;"",1,0)+IF(DQ726&lt;&gt;"",1,0)+IF(DS726&lt;&gt;"",1,0)+IF(DT726&lt;&gt;"",1,0)+IF(DV726&lt;&gt;"",1,0)+IF(DW726&lt;&gt;"",1,0)+IF(DX726&lt;&gt;"",1,0)+IF(DY726&lt;&gt;"",1,0)+IF(DZ726&lt;&gt;"",1,0)+IF(EB726&lt;&gt;"",1,0)+IF(EC726&lt;&gt;"",1,0)+IF(ED726&lt;&gt;"",1,0)+IF(EG726&lt;&gt;"",1,0)+IF(EH726&lt;&gt;"",1,0)</f>
        <v/>
      </c>
      <c r="AZ726">
        <f>IF(EH726&lt;&gt;"",1,0)</f>
        <v/>
      </c>
      <c r="BB726" t="inlineStr">
        <is>
          <t>WARREN-WARD 4</t>
        </is>
      </c>
      <c r="BC726" t="inlineStr">
        <is>
          <t>X</t>
        </is>
      </c>
      <c r="BD726" t="inlineStr">
        <is>
          <t>X</t>
        </is>
      </c>
      <c r="BI726" t="inlineStr">
        <is>
          <t>X</t>
        </is>
      </c>
      <c r="BJ726" t="inlineStr">
        <is>
          <t>X</t>
        </is>
      </c>
      <c r="BK726" t="inlineStr">
        <is>
          <t>X</t>
        </is>
      </c>
      <c r="BL726" t="inlineStr">
        <is>
          <t>X</t>
        </is>
      </c>
      <c r="BP726" t="inlineStr">
        <is>
          <t>X</t>
        </is>
      </c>
      <c r="BR726" t="inlineStr">
        <is>
          <t>X</t>
        </is>
      </c>
      <c r="BS726" t="inlineStr">
        <is>
          <t>X</t>
        </is>
      </c>
      <c r="BT726" t="inlineStr">
        <is>
          <t>X</t>
        </is>
      </c>
      <c r="CA726" t="inlineStr">
        <is>
          <t>X</t>
        </is>
      </c>
      <c r="CK726" t="inlineStr">
        <is>
          <t>X</t>
        </is>
      </c>
      <c r="CY726" t="inlineStr">
        <is>
          <t>X</t>
        </is>
      </c>
      <c r="DC726" t="inlineStr">
        <is>
          <t>X</t>
        </is>
      </c>
      <c r="DF726" t="inlineStr">
        <is>
          <t>X</t>
        </is>
      </c>
      <c r="DI726" t="inlineStr">
        <is>
          <t>X</t>
        </is>
      </c>
      <c r="DJ726" t="inlineStr">
        <is>
          <t>D</t>
        </is>
      </c>
      <c r="DN726" t="inlineStr">
        <is>
          <t>X</t>
        </is>
      </c>
      <c r="DS726" t="inlineStr">
        <is>
          <t>R</t>
        </is>
      </c>
      <c r="DT726" t="inlineStr">
        <is>
          <t>R</t>
        </is>
      </c>
      <c r="DU726" t="inlineStr">
        <is>
          <t>X</t>
        </is>
      </c>
      <c r="DW726" t="inlineStr">
        <is>
          <t>D</t>
        </is>
      </c>
      <c r="EA726" t="inlineStr">
        <is>
          <t>X</t>
        </is>
      </c>
      <c r="ED726" t="inlineStr">
        <is>
          <t>R</t>
        </is>
      </c>
      <c r="EF726" t="inlineStr">
        <is>
          <t>X</t>
        </is>
      </c>
    </row>
    <row r="727">
      <c r="A727" t="inlineStr">
        <is>
          <t>OH0020093378</t>
        </is>
      </c>
      <c r="B727" t="n">
        <v>78</v>
      </c>
      <c r="C727" t="n">
        <v>362775</v>
      </c>
      <c r="D727" t="inlineStr">
        <is>
          <t>DAWSON</t>
        </is>
      </c>
      <c r="E727" t="inlineStr">
        <is>
          <t>JESSICA</t>
        </is>
      </c>
      <c r="F727">
        <f>CONCATENATE(D727," ",LEFT(H727,4),"T=",AU727,"D=",AV727,"R=",AW727,"M=",AX727,"L=",AY727,"B=",AZ727)</f>
        <v/>
      </c>
      <c r="G727" t="inlineStr">
        <is>
          <t>K</t>
        </is>
      </c>
      <c r="I727" t="inlineStr">
        <is>
          <t>1990-08-19</t>
        </is>
      </c>
      <c r="J727" t="inlineStr">
        <is>
          <t>2019-04-21</t>
        </is>
      </c>
      <c r="K727" t="inlineStr">
        <is>
          <t>CONFIRMATION</t>
        </is>
      </c>
      <c r="M727" t="inlineStr">
        <is>
          <t>420 BONNIE BRAE AVE SE</t>
        </is>
      </c>
      <c r="N727">
        <f>RIGHT(M727,LEN(M727)-FIND(" ",M727))</f>
        <v/>
      </c>
      <c r="P727" t="inlineStr">
        <is>
          <t>WARREN</t>
        </is>
      </c>
      <c r="Q727" t="inlineStr">
        <is>
          <t>OH</t>
        </is>
      </c>
      <c r="R727" t="n">
        <v>44484</v>
      </c>
      <c r="AD727" t="inlineStr">
        <is>
          <t>TRUMBULL CAREER &amp; TECH CENTER</t>
        </is>
      </c>
      <c r="AE727" t="inlineStr">
        <is>
          <t>WARREN CITY</t>
        </is>
      </c>
      <c r="AF727" t="inlineStr">
        <is>
          <t>WARREN CITY SD</t>
        </is>
      </c>
      <c r="AH727" t="n">
        <v>14</v>
      </c>
      <c r="AI727" t="n">
        <v>11</v>
      </c>
      <c r="AN727" t="inlineStr">
        <is>
          <t>WARREN</t>
        </is>
      </c>
      <c r="AO727" t="inlineStr">
        <is>
          <t>WARREN CITY 4A</t>
        </is>
      </c>
      <c r="AP727" t="inlineStr">
        <is>
          <t>78-P-ADI</t>
        </is>
      </c>
      <c r="AQ727" t="n">
        <v>9</v>
      </c>
      <c r="AR727" t="n">
        <v>64</v>
      </c>
      <c r="AS727" t="n">
        <v>32</v>
      </c>
      <c r="AU727">
        <f>COUNTA($BA$727:$EH$727)</f>
        <v/>
      </c>
      <c r="AV727">
        <f>COUNTIF($BA$727:$EH$727,"D")</f>
        <v/>
      </c>
      <c r="AW727">
        <f>COUNTIF($BA$727:$EH$727,"R")</f>
        <v/>
      </c>
      <c r="AX727">
        <f>IF(BN727="D",1,0)+IF(BO727="D",1,0)+IF(BT727="D",1,0)+IF(BU727="D",1,0)+IF(BW727="D",1,0)+IF(CC727="D",1,0)+IF(CD727="D",1,0)+IF(CE727="D",1,0)+IF(CF727="D",1,0)+IF(CL727="D",1,0)+IF(CM727="D",1,0)+IF(CQ727="D",1,0)+IF(CR727="D",1,0)+IF(CS727="D",1,0)+IF(CW727="D",1,0)+IF(CX727="D",1,0)+IF(DD727="D",1,0)+IF(DE727="D",1,0)+IF(DJ727="D",1,0)+IF(DK727="D",1,0)+IF(DO727="D",1,0)+IF(DP727="D",1,0)+IF(DQ727="D",1,0)+IF(DW727="D",1,0)+IF(DZ727="D",1,0)+IF(EH727="D",1,0)</f>
        <v/>
      </c>
      <c r="AY727">
        <f>IF(DJ727&lt;&gt;"",1,0)+IF(DK727&lt;&gt;"",1,0)+IF(DM727&lt;&gt;"",1,0)+IF(DO727&lt;&gt;"",1,0)+IF(DP727&lt;&gt;"",1,0)+IF(DQ727&lt;&gt;"",1,0)+IF(DS727&lt;&gt;"",1,0)+IF(DT727&lt;&gt;"",1,0)+IF(DV727&lt;&gt;"",1,0)+IF(DW727&lt;&gt;"",1,0)+IF(DX727&lt;&gt;"",1,0)+IF(DY727&lt;&gt;"",1,0)+IF(DZ727&lt;&gt;"",1,0)+IF(EB727&lt;&gt;"",1,0)+IF(EC727&lt;&gt;"",1,0)+IF(ED727&lt;&gt;"",1,0)+IF(EG727&lt;&gt;"",1,0)+IF(EH727&lt;&gt;"",1,0)</f>
        <v/>
      </c>
      <c r="AZ727">
        <f>IF(EH727&lt;&gt;"",1,0)</f>
        <v/>
      </c>
      <c r="BB727" t="inlineStr">
        <is>
          <t>WARREN-WARD 4</t>
        </is>
      </c>
    </row>
    <row r="728">
      <c r="A728" t="inlineStr">
        <is>
          <t>OH0023647328</t>
        </is>
      </c>
      <c r="B728" t="n">
        <v>78</v>
      </c>
      <c r="C728" t="n">
        <v>416034</v>
      </c>
      <c r="D728" t="inlineStr">
        <is>
          <t>HARROLD</t>
        </is>
      </c>
      <c r="E728" t="inlineStr">
        <is>
          <t>ARIEL</t>
        </is>
      </c>
      <c r="F728">
        <f>CONCATENATE(D728," ",LEFT(H728,4),"T=",AU728,"D=",AV728,"R=",AW728,"M=",AX728,"L=",AY728,"B=",AZ728)</f>
        <v/>
      </c>
      <c r="G728" t="inlineStr">
        <is>
          <t>N</t>
        </is>
      </c>
      <c r="I728" t="inlineStr">
        <is>
          <t>1991-11-19</t>
        </is>
      </c>
      <c r="J728" t="inlineStr">
        <is>
          <t>2019-03-20</t>
        </is>
      </c>
      <c r="K728" t="inlineStr">
        <is>
          <t>ACTIVE</t>
        </is>
      </c>
      <c r="M728" t="inlineStr">
        <is>
          <t>382 HOMEWOOD AVE SE</t>
        </is>
      </c>
      <c r="N728">
        <f>RIGHT(M728,LEN(M728)-FIND(" ",M728))</f>
        <v/>
      </c>
      <c r="P728" t="inlineStr">
        <is>
          <t>WARREN</t>
        </is>
      </c>
      <c r="Q728" t="inlineStr">
        <is>
          <t>OH</t>
        </is>
      </c>
      <c r="R728" t="n">
        <v>44483</v>
      </c>
      <c r="AD728" t="inlineStr">
        <is>
          <t>TRUMBULL CAREER &amp; TECH CENTER</t>
        </is>
      </c>
      <c r="AE728" t="inlineStr">
        <is>
          <t>WARREN CITY</t>
        </is>
      </c>
      <c r="AF728" t="inlineStr">
        <is>
          <t>WARREN CITY SD</t>
        </is>
      </c>
      <c r="AH728" t="n">
        <v>14</v>
      </c>
      <c r="AI728" t="n">
        <v>11</v>
      </c>
      <c r="AN728" t="inlineStr">
        <is>
          <t>WARREN</t>
        </is>
      </c>
      <c r="AO728" t="inlineStr">
        <is>
          <t>WARREN CITY 4A</t>
        </is>
      </c>
      <c r="AP728" t="inlineStr">
        <is>
          <t>78-P-ADI</t>
        </is>
      </c>
      <c r="AQ728" t="n">
        <v>9</v>
      </c>
      <c r="AR728" t="n">
        <v>64</v>
      </c>
      <c r="AS728" t="n">
        <v>32</v>
      </c>
      <c r="AU728">
        <f>COUNTA($BA$728:$EH$728)</f>
        <v/>
      </c>
      <c r="AV728">
        <f>COUNTIF($BA$728:$EH$728,"D")</f>
        <v/>
      </c>
      <c r="AW728">
        <f>COUNTIF($BA$728:$EH$728,"R")</f>
        <v/>
      </c>
      <c r="AX728">
        <f>IF(BN728="D",1,0)+IF(BO728="D",1,0)+IF(BT728="D",1,0)+IF(BU728="D",1,0)+IF(BW728="D",1,0)+IF(CC728="D",1,0)+IF(CD728="D",1,0)+IF(CE728="D",1,0)+IF(CF728="D",1,0)+IF(CL728="D",1,0)+IF(CM728="D",1,0)+IF(CQ728="D",1,0)+IF(CR728="D",1,0)+IF(CS728="D",1,0)+IF(CW728="D",1,0)+IF(CX728="D",1,0)+IF(DD728="D",1,0)+IF(DE728="D",1,0)+IF(DJ728="D",1,0)+IF(DK728="D",1,0)+IF(DO728="D",1,0)+IF(DP728="D",1,0)+IF(DQ728="D",1,0)+IF(DW728="D",1,0)+IF(DZ728="D",1,0)+IF(EH728="D",1,0)</f>
        <v/>
      </c>
      <c r="AY728">
        <f>IF(DJ728&lt;&gt;"",1,0)+IF(DK728&lt;&gt;"",1,0)+IF(DM728&lt;&gt;"",1,0)+IF(DO728&lt;&gt;"",1,0)+IF(DP728&lt;&gt;"",1,0)+IF(DQ728&lt;&gt;"",1,0)+IF(DS728&lt;&gt;"",1,0)+IF(DT728&lt;&gt;"",1,0)+IF(DV728&lt;&gt;"",1,0)+IF(DW728&lt;&gt;"",1,0)+IF(DX728&lt;&gt;"",1,0)+IF(DY728&lt;&gt;"",1,0)+IF(DZ728&lt;&gt;"",1,0)+IF(EB728&lt;&gt;"",1,0)+IF(EC728&lt;&gt;"",1,0)+IF(ED728&lt;&gt;"",1,0)+IF(EG728&lt;&gt;"",1,0)+IF(EH728&lt;&gt;"",1,0)</f>
        <v/>
      </c>
      <c r="AZ728">
        <f>IF(EH728&lt;&gt;"",1,0)</f>
        <v/>
      </c>
      <c r="BB728" t="inlineStr">
        <is>
          <t>WARREN-WARD 4</t>
        </is>
      </c>
    </row>
    <row r="729">
      <c r="A729" t="inlineStr">
        <is>
          <t>OH0022734574</t>
        </is>
      </c>
      <c r="B729" t="n">
        <v>78</v>
      </c>
      <c r="C729" t="n">
        <v>401191</v>
      </c>
      <c r="D729" t="inlineStr">
        <is>
          <t>SULLIVAN</t>
        </is>
      </c>
      <c r="E729" t="inlineStr">
        <is>
          <t>BRANDON</t>
        </is>
      </c>
      <c r="F729">
        <f>CONCATENATE(D729," ",LEFT(H729,4),"T=",AU729,"D=",AV729,"R=",AW729,"M=",AX729,"L=",AY729,"B=",AZ729)</f>
        <v/>
      </c>
      <c r="G729" t="inlineStr">
        <is>
          <t>RICHARD</t>
        </is>
      </c>
      <c r="I729" t="inlineStr">
        <is>
          <t>1996-03-20</t>
        </is>
      </c>
      <c r="J729" t="inlineStr">
        <is>
          <t>2014-03-26</t>
        </is>
      </c>
      <c r="K729" t="inlineStr">
        <is>
          <t>CONFIRMATION</t>
        </is>
      </c>
      <c r="M729" t="inlineStr">
        <is>
          <t>157 LOGAN AVE SE</t>
        </is>
      </c>
      <c r="N729">
        <f>RIGHT(M729,LEN(M729)-FIND(" ",M729))</f>
        <v/>
      </c>
      <c r="P729" t="inlineStr">
        <is>
          <t>WARREN</t>
        </is>
      </c>
      <c r="Q729" t="inlineStr">
        <is>
          <t>OH</t>
        </is>
      </c>
      <c r="R729" t="n">
        <v>44483</v>
      </c>
      <c r="AD729" t="inlineStr">
        <is>
          <t>TRUMBULL CAREER &amp; TECH CENTER</t>
        </is>
      </c>
      <c r="AE729" t="inlineStr">
        <is>
          <t>WARREN CITY</t>
        </is>
      </c>
      <c r="AF729" t="inlineStr">
        <is>
          <t>WARREN CITY SD</t>
        </is>
      </c>
      <c r="AH729" t="n">
        <v>14</v>
      </c>
      <c r="AI729" t="n">
        <v>11</v>
      </c>
      <c r="AN729" t="inlineStr">
        <is>
          <t>WARREN</t>
        </is>
      </c>
      <c r="AO729" t="inlineStr">
        <is>
          <t>WARREN CITY 4A</t>
        </is>
      </c>
      <c r="AP729" t="inlineStr">
        <is>
          <t>78-P-ADI</t>
        </is>
      </c>
      <c r="AQ729" t="n">
        <v>9</v>
      </c>
      <c r="AR729" t="n">
        <v>64</v>
      </c>
      <c r="AS729" t="n">
        <v>32</v>
      </c>
      <c r="AU729">
        <f>COUNTA($BA$729:$EH$729)</f>
        <v/>
      </c>
      <c r="AV729">
        <f>COUNTIF($BA$729:$EH$729,"D")</f>
        <v/>
      </c>
      <c r="AW729">
        <f>COUNTIF($BA$729:$EH$729,"R")</f>
        <v/>
      </c>
      <c r="AX729">
        <f>IF(BN729="D",1,0)+IF(BO729="D",1,0)+IF(BT729="D",1,0)+IF(BU729="D",1,0)+IF(BW729="D",1,0)+IF(CC729="D",1,0)+IF(CD729="D",1,0)+IF(CE729="D",1,0)+IF(CF729="D",1,0)+IF(CL729="D",1,0)+IF(CM729="D",1,0)+IF(CQ729="D",1,0)+IF(CR729="D",1,0)+IF(CS729="D",1,0)+IF(CW729="D",1,0)+IF(CX729="D",1,0)+IF(DD729="D",1,0)+IF(DE729="D",1,0)+IF(DJ729="D",1,0)+IF(DK729="D",1,0)+IF(DO729="D",1,0)+IF(DP729="D",1,0)+IF(DQ729="D",1,0)+IF(DW729="D",1,0)+IF(DZ729="D",1,0)+IF(EH729="D",1,0)</f>
        <v/>
      </c>
      <c r="AY729">
        <f>IF(DJ729&lt;&gt;"",1,0)+IF(DK729&lt;&gt;"",1,0)+IF(DM729&lt;&gt;"",1,0)+IF(DO729&lt;&gt;"",1,0)+IF(DP729&lt;&gt;"",1,0)+IF(DQ729&lt;&gt;"",1,0)+IF(DS729&lt;&gt;"",1,0)+IF(DT729&lt;&gt;"",1,0)+IF(DV729&lt;&gt;"",1,0)+IF(DW729&lt;&gt;"",1,0)+IF(DX729&lt;&gt;"",1,0)+IF(DY729&lt;&gt;"",1,0)+IF(DZ729&lt;&gt;"",1,0)+IF(EB729&lt;&gt;"",1,0)+IF(EC729&lt;&gt;"",1,0)+IF(ED729&lt;&gt;"",1,0)+IF(EG729&lt;&gt;"",1,0)+IF(EH729&lt;&gt;"",1,0)</f>
        <v/>
      </c>
      <c r="AZ729">
        <f>IF(EH729&lt;&gt;"",1,0)</f>
        <v/>
      </c>
      <c r="BB729" t="inlineStr">
        <is>
          <t>WARREN-WARD 4</t>
        </is>
      </c>
      <c r="DC729" t="inlineStr">
        <is>
          <t>X</t>
        </is>
      </c>
    </row>
    <row r="730">
      <c r="A730" t="inlineStr">
        <is>
          <t>OH0027642212</t>
        </is>
      </c>
      <c r="B730" t="n">
        <v>78</v>
      </c>
      <c r="C730" t="n">
        <v>489803</v>
      </c>
      <c r="D730" t="inlineStr">
        <is>
          <t>GARZANICH</t>
        </is>
      </c>
      <c r="E730" t="inlineStr">
        <is>
          <t>NATHANIAL</t>
        </is>
      </c>
      <c r="F730">
        <f>CONCATENATE(D730," ",LEFT(H730,4),"T=",AU730,"D=",AV730,"R=",AW730,"M=",AX730,"L=",AY730,"B=",AZ730)</f>
        <v/>
      </c>
      <c r="G730" t="inlineStr">
        <is>
          <t>THOMAS</t>
        </is>
      </c>
      <c r="I730" t="inlineStr">
        <is>
          <t>2003-08-11</t>
        </is>
      </c>
      <c r="J730" t="inlineStr">
        <is>
          <t>2024-09-17</t>
        </is>
      </c>
      <c r="K730" t="inlineStr">
        <is>
          <t>ACTIVE</t>
        </is>
      </c>
      <c r="M730" t="inlineStr">
        <is>
          <t>1842 E MARKET ST</t>
        </is>
      </c>
      <c r="N730">
        <f>RIGHT(M730,LEN(M730)-FIND(" ",M730))</f>
        <v/>
      </c>
      <c r="O730" t="inlineStr">
        <is>
          <t>APT A</t>
        </is>
      </c>
      <c r="P730" t="inlineStr">
        <is>
          <t>WARREN</t>
        </is>
      </c>
      <c r="Q730" t="inlineStr">
        <is>
          <t>OH</t>
        </is>
      </c>
      <c r="R730" t="n">
        <v>44483</v>
      </c>
      <c r="AD730" t="inlineStr">
        <is>
          <t>TRUMBULL CAREER &amp; TECH CENTER</t>
        </is>
      </c>
      <c r="AE730" t="inlineStr">
        <is>
          <t>WARREN CITY</t>
        </is>
      </c>
      <c r="AF730" t="inlineStr">
        <is>
          <t>WARREN CITY SD</t>
        </is>
      </c>
      <c r="AH730" t="n">
        <v>14</v>
      </c>
      <c r="AI730" t="n">
        <v>11</v>
      </c>
      <c r="AN730" t="inlineStr">
        <is>
          <t>WARREN</t>
        </is>
      </c>
      <c r="AO730" t="inlineStr">
        <is>
          <t>WARREN CITY 4A</t>
        </is>
      </c>
      <c r="AP730" t="inlineStr">
        <is>
          <t>78-P-ADI</t>
        </is>
      </c>
      <c r="AQ730" t="n">
        <v>9</v>
      </c>
      <c r="AR730" t="n">
        <v>64</v>
      </c>
      <c r="AS730" t="n">
        <v>32</v>
      </c>
      <c r="AU730">
        <f>COUNTA($BA$730:$EH$730)</f>
        <v/>
      </c>
      <c r="AV730">
        <f>COUNTIF($BA$730:$EH$730,"D")</f>
        <v/>
      </c>
      <c r="AW730">
        <f>COUNTIF($BA$730:$EH$730,"R")</f>
        <v/>
      </c>
      <c r="AX730">
        <f>IF(BN730="D",1,0)+IF(BO730="D",1,0)+IF(BT730="D",1,0)+IF(BU730="D",1,0)+IF(BW730="D",1,0)+IF(CC730="D",1,0)+IF(CD730="D",1,0)+IF(CE730="D",1,0)+IF(CF730="D",1,0)+IF(CL730="D",1,0)+IF(CM730="D",1,0)+IF(CQ730="D",1,0)+IF(CR730="D",1,0)+IF(CS730="D",1,0)+IF(CW730="D",1,0)+IF(CX730="D",1,0)+IF(DD730="D",1,0)+IF(DE730="D",1,0)+IF(DJ730="D",1,0)+IF(DK730="D",1,0)+IF(DO730="D",1,0)+IF(DP730="D",1,0)+IF(DQ730="D",1,0)+IF(DW730="D",1,0)+IF(DZ730="D",1,0)+IF(EH730="D",1,0)</f>
        <v/>
      </c>
      <c r="AY730">
        <f>IF(DJ730&lt;&gt;"",1,0)+IF(DK730&lt;&gt;"",1,0)+IF(DM730&lt;&gt;"",1,0)+IF(DO730&lt;&gt;"",1,0)+IF(DP730&lt;&gt;"",1,0)+IF(DQ730&lt;&gt;"",1,0)+IF(DS730&lt;&gt;"",1,0)+IF(DT730&lt;&gt;"",1,0)+IF(DV730&lt;&gt;"",1,0)+IF(DW730&lt;&gt;"",1,0)+IF(DX730&lt;&gt;"",1,0)+IF(DY730&lt;&gt;"",1,0)+IF(DZ730&lt;&gt;"",1,0)+IF(EB730&lt;&gt;"",1,0)+IF(EC730&lt;&gt;"",1,0)+IF(ED730&lt;&gt;"",1,0)+IF(EG730&lt;&gt;"",1,0)+IF(EH730&lt;&gt;"",1,0)</f>
        <v/>
      </c>
      <c r="AZ730">
        <f>IF(EH730&lt;&gt;"",1,0)</f>
        <v/>
      </c>
      <c r="BB730" t="inlineStr">
        <is>
          <t>WARREN-WARD 4</t>
        </is>
      </c>
      <c r="EF730" t="inlineStr">
        <is>
          <t>X</t>
        </is>
      </c>
    </row>
    <row r="731">
      <c r="A731" t="inlineStr">
        <is>
          <t>OH0025121988</t>
        </is>
      </c>
      <c r="B731" t="n">
        <v>78</v>
      </c>
      <c r="C731" t="n">
        <v>439959</v>
      </c>
      <c r="D731" t="inlineStr">
        <is>
          <t>BARTLETT</t>
        </is>
      </c>
      <c r="E731" t="inlineStr">
        <is>
          <t>RODNEY</t>
        </is>
      </c>
      <c r="F731">
        <f>CONCATENATE(D731," ",LEFT(H731,4),"T=",AU731,"D=",AV731,"R=",AW731,"M=",AX731,"L=",AY731,"B=",AZ731)</f>
        <v/>
      </c>
      <c r="G731" t="inlineStr">
        <is>
          <t>NATHAN</t>
        </is>
      </c>
      <c r="I731" t="inlineStr">
        <is>
          <t>1972-07-04</t>
        </is>
      </c>
      <c r="J731" t="inlineStr">
        <is>
          <t>2019-06-07</t>
        </is>
      </c>
      <c r="K731" t="inlineStr">
        <is>
          <t>ACTIVE</t>
        </is>
      </c>
      <c r="L731" t="inlineStr">
        <is>
          <t>D</t>
        </is>
      </c>
      <c r="M731" t="inlineStr">
        <is>
          <t>359 CHARLES AVE SE</t>
        </is>
      </c>
      <c r="N731">
        <f>RIGHT(M731,LEN(M731)-FIND(" ",M731))</f>
        <v/>
      </c>
      <c r="P731" t="inlineStr">
        <is>
          <t>WARREN</t>
        </is>
      </c>
      <c r="Q731" t="inlineStr">
        <is>
          <t>OH</t>
        </is>
      </c>
      <c r="R731" t="n">
        <v>44483</v>
      </c>
      <c r="AD731" t="inlineStr">
        <is>
          <t>TRUMBULL CAREER &amp; TECH CENTER</t>
        </is>
      </c>
      <c r="AE731" t="inlineStr">
        <is>
          <t>WARREN CITY</t>
        </is>
      </c>
      <c r="AF731" t="inlineStr">
        <is>
          <t>WARREN CITY SD</t>
        </is>
      </c>
      <c r="AH731" t="n">
        <v>14</v>
      </c>
      <c r="AI731" t="n">
        <v>11</v>
      </c>
      <c r="AN731" t="inlineStr">
        <is>
          <t>WARREN</t>
        </is>
      </c>
      <c r="AO731" t="inlineStr">
        <is>
          <t>WARREN CITY 4A</t>
        </is>
      </c>
      <c r="AP731" t="inlineStr">
        <is>
          <t>78-P-ADI</t>
        </is>
      </c>
      <c r="AQ731" t="n">
        <v>9</v>
      </c>
      <c r="AR731" t="n">
        <v>64</v>
      </c>
      <c r="AS731" t="n">
        <v>32</v>
      </c>
      <c r="AU731">
        <f>COUNTA($BA$731:$EH$731)</f>
        <v/>
      </c>
      <c r="AV731">
        <f>COUNTIF($BA$731:$EH$731,"D")</f>
        <v/>
      </c>
      <c r="AW731">
        <f>COUNTIF($BA$731:$EH$731,"R")</f>
        <v/>
      </c>
      <c r="AX731">
        <f>IF(BN731="D",1,0)+IF(BO731="D",1,0)+IF(BT731="D",1,0)+IF(BU731="D",1,0)+IF(BW731="D",1,0)+IF(CC731="D",1,0)+IF(CD731="D",1,0)+IF(CE731="D",1,0)+IF(CF731="D",1,0)+IF(CL731="D",1,0)+IF(CM731="D",1,0)+IF(CQ731="D",1,0)+IF(CR731="D",1,0)+IF(CS731="D",1,0)+IF(CW731="D",1,0)+IF(CX731="D",1,0)+IF(DD731="D",1,0)+IF(DE731="D",1,0)+IF(DJ731="D",1,0)+IF(DK731="D",1,0)+IF(DO731="D",1,0)+IF(DP731="D",1,0)+IF(DQ731="D",1,0)+IF(DW731="D",1,0)+IF(DZ731="D",1,0)+IF(EH731="D",1,0)</f>
        <v/>
      </c>
      <c r="AY731">
        <f>IF(DJ731&lt;&gt;"",1,0)+IF(DK731&lt;&gt;"",1,0)+IF(DM731&lt;&gt;"",1,0)+IF(DO731&lt;&gt;"",1,0)+IF(DP731&lt;&gt;"",1,0)+IF(DQ731&lt;&gt;"",1,0)+IF(DS731&lt;&gt;"",1,0)+IF(DT731&lt;&gt;"",1,0)+IF(DV731&lt;&gt;"",1,0)+IF(DW731&lt;&gt;"",1,0)+IF(DX731&lt;&gt;"",1,0)+IF(DY731&lt;&gt;"",1,0)+IF(DZ731&lt;&gt;"",1,0)+IF(EB731&lt;&gt;"",1,0)+IF(EC731&lt;&gt;"",1,0)+IF(ED731&lt;&gt;"",1,0)+IF(EG731&lt;&gt;"",1,0)+IF(EH731&lt;&gt;"",1,0)</f>
        <v/>
      </c>
      <c r="AZ731">
        <f>IF(EH731&lt;&gt;"",1,0)</f>
        <v/>
      </c>
      <c r="BB731" t="inlineStr">
        <is>
          <t>WARREN-WARD 4</t>
        </is>
      </c>
      <c r="DN731" t="inlineStr">
        <is>
          <t>X</t>
        </is>
      </c>
      <c r="DS731" t="inlineStr">
        <is>
          <t>D</t>
        </is>
      </c>
      <c r="DT731" t="inlineStr">
        <is>
          <t>D</t>
        </is>
      </c>
      <c r="DU731" t="inlineStr">
        <is>
          <t>X</t>
        </is>
      </c>
      <c r="DX731" t="inlineStr">
        <is>
          <t>X</t>
        </is>
      </c>
      <c r="EA731" t="inlineStr">
        <is>
          <t>X</t>
        </is>
      </c>
      <c r="ED731" t="inlineStr">
        <is>
          <t>D</t>
        </is>
      </c>
      <c r="EF731" t="inlineStr">
        <is>
          <t>X</t>
        </is>
      </c>
    </row>
    <row r="732">
      <c r="A732" t="inlineStr">
        <is>
          <t>OH0021507955</t>
        </is>
      </c>
      <c r="B732" t="n">
        <v>78</v>
      </c>
      <c r="C732" t="n">
        <v>382222</v>
      </c>
      <c r="D732" t="inlineStr">
        <is>
          <t>AUSTIN</t>
        </is>
      </c>
      <c r="E732" t="inlineStr">
        <is>
          <t>JOSLYNN</t>
        </is>
      </c>
      <c r="F732">
        <f>CONCATENATE(D732," ",LEFT(H732,4),"T=",AU732,"D=",AV732,"R=",AW732,"M=",AX732,"L=",AY732,"B=",AZ732)</f>
        <v/>
      </c>
      <c r="G732" t="inlineStr">
        <is>
          <t>M</t>
        </is>
      </c>
      <c r="I732" t="inlineStr">
        <is>
          <t>1985-05-21</t>
        </is>
      </c>
      <c r="J732" t="inlineStr">
        <is>
          <t>2013-06-18</t>
        </is>
      </c>
      <c r="K732" t="inlineStr">
        <is>
          <t>ACTIVE</t>
        </is>
      </c>
      <c r="M732" t="inlineStr">
        <is>
          <t>780 KENILWORTH AVE SE</t>
        </is>
      </c>
      <c r="N732">
        <f>RIGHT(M732,LEN(M732)-FIND(" ",M732))</f>
        <v/>
      </c>
      <c r="P732" t="inlineStr">
        <is>
          <t>WARREN</t>
        </is>
      </c>
      <c r="Q732" t="inlineStr">
        <is>
          <t>OH</t>
        </is>
      </c>
      <c r="R732" t="n">
        <v>44484</v>
      </c>
      <c r="AD732" t="inlineStr">
        <is>
          <t>TRUMBULL CAREER &amp; TECH CENTER</t>
        </is>
      </c>
      <c r="AE732" t="inlineStr">
        <is>
          <t>WARREN CITY</t>
        </is>
      </c>
      <c r="AF732" t="inlineStr">
        <is>
          <t>WARREN CITY SD</t>
        </is>
      </c>
      <c r="AH732" t="n">
        <v>14</v>
      </c>
      <c r="AI732" t="n">
        <v>11</v>
      </c>
      <c r="AN732" t="inlineStr">
        <is>
          <t>WARREN</t>
        </is>
      </c>
      <c r="AO732" t="inlineStr">
        <is>
          <t>WARREN CITY 4A</t>
        </is>
      </c>
      <c r="AP732" t="inlineStr">
        <is>
          <t>78-P-ADI</t>
        </is>
      </c>
      <c r="AQ732" t="n">
        <v>9</v>
      </c>
      <c r="AR732" t="n">
        <v>64</v>
      </c>
      <c r="AS732" t="n">
        <v>32</v>
      </c>
      <c r="AU732">
        <f>COUNTA($BA$732:$EH$732)</f>
        <v/>
      </c>
      <c r="AV732">
        <f>COUNTIF($BA$732:$EH$732,"D")</f>
        <v/>
      </c>
      <c r="AW732">
        <f>COUNTIF($BA$732:$EH$732,"R")</f>
        <v/>
      </c>
      <c r="AX732">
        <f>IF(BN732="D",1,0)+IF(BO732="D",1,0)+IF(BT732="D",1,0)+IF(BU732="D",1,0)+IF(BW732="D",1,0)+IF(CC732="D",1,0)+IF(CD732="D",1,0)+IF(CE732="D",1,0)+IF(CF732="D",1,0)+IF(CL732="D",1,0)+IF(CM732="D",1,0)+IF(CQ732="D",1,0)+IF(CR732="D",1,0)+IF(CS732="D",1,0)+IF(CW732="D",1,0)+IF(CX732="D",1,0)+IF(DD732="D",1,0)+IF(DE732="D",1,0)+IF(DJ732="D",1,0)+IF(DK732="D",1,0)+IF(DO732="D",1,0)+IF(DP732="D",1,0)+IF(DQ732="D",1,0)+IF(DW732="D",1,0)+IF(DZ732="D",1,0)+IF(EH732="D",1,0)</f>
        <v/>
      </c>
      <c r="AY732">
        <f>IF(DJ732&lt;&gt;"",1,0)+IF(DK732&lt;&gt;"",1,0)+IF(DM732&lt;&gt;"",1,0)+IF(DO732&lt;&gt;"",1,0)+IF(DP732&lt;&gt;"",1,0)+IF(DQ732&lt;&gt;"",1,0)+IF(DS732&lt;&gt;"",1,0)+IF(DT732&lt;&gt;"",1,0)+IF(DV732&lt;&gt;"",1,0)+IF(DW732&lt;&gt;"",1,0)+IF(DX732&lt;&gt;"",1,0)+IF(DY732&lt;&gt;"",1,0)+IF(DZ732&lt;&gt;"",1,0)+IF(EB732&lt;&gt;"",1,0)+IF(EC732&lt;&gt;"",1,0)+IF(ED732&lt;&gt;"",1,0)+IF(EG732&lt;&gt;"",1,0)+IF(EH732&lt;&gt;"",1,0)</f>
        <v/>
      </c>
      <c r="AZ732">
        <f>IF(EH732&lt;&gt;"",1,0)</f>
        <v/>
      </c>
      <c r="BB732" t="inlineStr">
        <is>
          <t>WARREN-WARD 4</t>
        </is>
      </c>
      <c r="CN732" t="inlineStr">
        <is>
          <t>X</t>
        </is>
      </c>
      <c r="CP732" t="inlineStr">
        <is>
          <t>X</t>
        </is>
      </c>
      <c r="CV732" t="inlineStr">
        <is>
          <t>X</t>
        </is>
      </c>
      <c r="CZ732" t="inlineStr">
        <is>
          <t>D</t>
        </is>
      </c>
      <c r="DC732" t="inlineStr">
        <is>
          <t>X</t>
        </is>
      </c>
      <c r="DG732" t="inlineStr">
        <is>
          <t>D</t>
        </is>
      </c>
      <c r="DI732" t="inlineStr">
        <is>
          <t>X</t>
        </is>
      </c>
      <c r="DL732" t="inlineStr">
        <is>
          <t>X</t>
        </is>
      </c>
      <c r="DN732" t="inlineStr">
        <is>
          <t>X</t>
        </is>
      </c>
      <c r="DR732" t="inlineStr">
        <is>
          <t>X</t>
        </is>
      </c>
      <c r="DU732" t="inlineStr">
        <is>
          <t>X</t>
        </is>
      </c>
      <c r="DX732" t="inlineStr">
        <is>
          <t>X</t>
        </is>
      </c>
      <c r="EA732" t="inlineStr">
        <is>
          <t>X</t>
        </is>
      </c>
      <c r="EF732" t="inlineStr">
        <is>
          <t>X</t>
        </is>
      </c>
    </row>
    <row r="733">
      <c r="A733" t="inlineStr">
        <is>
          <t>OH0022738424</t>
        </is>
      </c>
      <c r="B733" t="n">
        <v>78</v>
      </c>
      <c r="C733" t="n">
        <v>401439</v>
      </c>
      <c r="D733" t="inlineStr">
        <is>
          <t>ALOMBRO</t>
        </is>
      </c>
      <c r="E733" t="inlineStr">
        <is>
          <t>JAYMEE LYNN</t>
        </is>
      </c>
      <c r="F733">
        <f>CONCATENATE(D733," ",LEFT(H733,4),"T=",AU733,"D=",AV733,"R=",AW733,"M=",AX733,"L=",AY733,"B=",AZ733)</f>
        <v/>
      </c>
      <c r="G733" t="inlineStr">
        <is>
          <t>B</t>
        </is>
      </c>
      <c r="I733" t="inlineStr">
        <is>
          <t>1984-11-09</t>
        </is>
      </c>
      <c r="J733" t="inlineStr">
        <is>
          <t>2014-03-14</t>
        </is>
      </c>
      <c r="K733" t="inlineStr">
        <is>
          <t>CONFIRMATION</t>
        </is>
      </c>
      <c r="M733" t="inlineStr">
        <is>
          <t>173 WOODBINE AVE SE</t>
        </is>
      </c>
      <c r="N733">
        <f>RIGHT(M733,LEN(M733)-FIND(" ",M733))</f>
        <v/>
      </c>
      <c r="P733" t="inlineStr">
        <is>
          <t>WARREN</t>
        </is>
      </c>
      <c r="Q733" t="inlineStr">
        <is>
          <t>OH</t>
        </is>
      </c>
      <c r="R733" t="n">
        <v>44483</v>
      </c>
      <c r="AD733" t="inlineStr">
        <is>
          <t>TRUMBULL CAREER &amp; TECH CENTER</t>
        </is>
      </c>
      <c r="AE733" t="inlineStr">
        <is>
          <t>WARREN CITY</t>
        </is>
      </c>
      <c r="AF733" t="inlineStr">
        <is>
          <t>WARREN CITY SD</t>
        </is>
      </c>
      <c r="AH733" t="n">
        <v>14</v>
      </c>
      <c r="AI733" t="n">
        <v>11</v>
      </c>
      <c r="AN733" t="inlineStr">
        <is>
          <t>WARREN</t>
        </is>
      </c>
      <c r="AO733" t="inlineStr">
        <is>
          <t>WARREN CITY 4A</t>
        </is>
      </c>
      <c r="AP733" t="inlineStr">
        <is>
          <t>78-P-ADI</t>
        </is>
      </c>
      <c r="AQ733" t="n">
        <v>9</v>
      </c>
      <c r="AR733" t="n">
        <v>64</v>
      </c>
      <c r="AS733" t="n">
        <v>32</v>
      </c>
      <c r="AU733">
        <f>COUNTA($BA$733:$EH$733)</f>
        <v/>
      </c>
      <c r="AV733">
        <f>COUNTIF($BA$733:$EH$733,"D")</f>
        <v/>
      </c>
      <c r="AW733">
        <f>COUNTIF($BA$733:$EH$733,"R")</f>
        <v/>
      </c>
      <c r="AX733">
        <f>IF(BN733="D",1,0)+IF(BO733="D",1,0)+IF(BT733="D",1,0)+IF(BU733="D",1,0)+IF(BW733="D",1,0)+IF(CC733="D",1,0)+IF(CD733="D",1,0)+IF(CE733="D",1,0)+IF(CF733="D",1,0)+IF(CL733="D",1,0)+IF(CM733="D",1,0)+IF(CQ733="D",1,0)+IF(CR733="D",1,0)+IF(CS733="D",1,0)+IF(CW733="D",1,0)+IF(CX733="D",1,0)+IF(DD733="D",1,0)+IF(DE733="D",1,0)+IF(DJ733="D",1,0)+IF(DK733="D",1,0)+IF(DO733="D",1,0)+IF(DP733="D",1,0)+IF(DQ733="D",1,0)+IF(DW733="D",1,0)+IF(DZ733="D",1,0)+IF(EH733="D",1,0)</f>
        <v/>
      </c>
      <c r="AY733">
        <f>IF(DJ733&lt;&gt;"",1,0)+IF(DK733&lt;&gt;"",1,0)+IF(DM733&lt;&gt;"",1,0)+IF(DO733&lt;&gt;"",1,0)+IF(DP733&lt;&gt;"",1,0)+IF(DQ733&lt;&gt;"",1,0)+IF(DS733&lt;&gt;"",1,0)+IF(DT733&lt;&gt;"",1,0)+IF(DV733&lt;&gt;"",1,0)+IF(DW733&lt;&gt;"",1,0)+IF(DX733&lt;&gt;"",1,0)+IF(DY733&lt;&gt;"",1,0)+IF(DZ733&lt;&gt;"",1,0)+IF(EB733&lt;&gt;"",1,0)+IF(EC733&lt;&gt;"",1,0)+IF(ED733&lt;&gt;"",1,0)+IF(EG733&lt;&gt;"",1,0)+IF(EH733&lt;&gt;"",1,0)</f>
        <v/>
      </c>
      <c r="AZ733">
        <f>IF(EH733&lt;&gt;"",1,0)</f>
        <v/>
      </c>
      <c r="BB733" t="inlineStr">
        <is>
          <t>WARREN-WARD 4</t>
        </is>
      </c>
    </row>
    <row r="734">
      <c r="A734" t="inlineStr">
        <is>
          <t>OH0015711423</t>
        </is>
      </c>
      <c r="B734" t="n">
        <v>78</v>
      </c>
      <c r="C734" t="n">
        <v>18020</v>
      </c>
      <c r="D734" t="inlineStr">
        <is>
          <t>ROBERTS</t>
        </is>
      </c>
      <c r="E734" t="inlineStr">
        <is>
          <t>RICHARD</t>
        </is>
      </c>
      <c r="F734">
        <f>CONCATENATE(D734," ",LEFT(H734,4),"T=",AU734,"D=",AV734,"R=",AW734,"M=",AX734,"L=",AY734,"B=",AZ734)</f>
        <v/>
      </c>
      <c r="G734" t="inlineStr">
        <is>
          <t>LEE</t>
        </is>
      </c>
      <c r="I734" t="inlineStr">
        <is>
          <t>1945-06-07</t>
        </is>
      </c>
      <c r="J734" t="inlineStr">
        <is>
          <t>2015-07-11</t>
        </is>
      </c>
      <c r="K734" t="inlineStr">
        <is>
          <t>ACTIVE</t>
        </is>
      </c>
      <c r="L734" t="inlineStr">
        <is>
          <t>D</t>
        </is>
      </c>
      <c r="M734" t="inlineStr">
        <is>
          <t>1239 GRANT ST SE</t>
        </is>
      </c>
      <c r="N734">
        <f>RIGHT(M734,LEN(M734)-FIND(" ",M734))</f>
        <v/>
      </c>
      <c r="P734" t="inlineStr">
        <is>
          <t>WARREN</t>
        </is>
      </c>
      <c r="Q734" t="inlineStr">
        <is>
          <t>OH</t>
        </is>
      </c>
      <c r="R734" t="n">
        <v>44483</v>
      </c>
      <c r="AD734" t="inlineStr">
        <is>
          <t>TRUMBULL CAREER &amp; TECH CENTER</t>
        </is>
      </c>
      <c r="AE734" t="inlineStr">
        <is>
          <t>WARREN CITY</t>
        </is>
      </c>
      <c r="AF734" t="inlineStr">
        <is>
          <t>WARREN CITY SD</t>
        </is>
      </c>
      <c r="AH734" t="n">
        <v>14</v>
      </c>
      <c r="AI734" t="n">
        <v>11</v>
      </c>
      <c r="AN734" t="inlineStr">
        <is>
          <t>WARREN</t>
        </is>
      </c>
      <c r="AO734" t="inlineStr">
        <is>
          <t>WARREN CITY 4A</t>
        </is>
      </c>
      <c r="AP734" t="inlineStr">
        <is>
          <t>78-P-ADI</t>
        </is>
      </c>
      <c r="AQ734" t="n">
        <v>9</v>
      </c>
      <c r="AR734" t="n">
        <v>64</v>
      </c>
      <c r="AS734" t="n">
        <v>32</v>
      </c>
      <c r="AU734">
        <f>COUNTA($BA$734:$EH$734)</f>
        <v/>
      </c>
      <c r="AV734">
        <f>COUNTIF($BA$734:$EH$734,"D")</f>
        <v/>
      </c>
      <c r="AW734">
        <f>COUNTIF($BA$734:$EH$734,"R")</f>
        <v/>
      </c>
      <c r="AX734">
        <f>IF(BN734="D",1,0)+IF(BO734="D",1,0)+IF(BT734="D",1,0)+IF(BU734="D",1,0)+IF(BW734="D",1,0)+IF(CC734="D",1,0)+IF(CD734="D",1,0)+IF(CE734="D",1,0)+IF(CF734="D",1,0)+IF(CL734="D",1,0)+IF(CM734="D",1,0)+IF(CQ734="D",1,0)+IF(CR734="D",1,0)+IF(CS734="D",1,0)+IF(CW734="D",1,0)+IF(CX734="D",1,0)+IF(DD734="D",1,0)+IF(DE734="D",1,0)+IF(DJ734="D",1,0)+IF(DK734="D",1,0)+IF(DO734="D",1,0)+IF(DP734="D",1,0)+IF(DQ734="D",1,0)+IF(DW734="D",1,0)+IF(DZ734="D",1,0)+IF(EH734="D",1,0)</f>
        <v/>
      </c>
      <c r="AY734">
        <f>IF(DJ734&lt;&gt;"",1,0)+IF(DK734&lt;&gt;"",1,0)+IF(DM734&lt;&gt;"",1,0)+IF(DO734&lt;&gt;"",1,0)+IF(DP734&lt;&gt;"",1,0)+IF(DQ734&lt;&gt;"",1,0)+IF(DS734&lt;&gt;"",1,0)+IF(DT734&lt;&gt;"",1,0)+IF(DV734&lt;&gt;"",1,0)+IF(DW734&lt;&gt;"",1,0)+IF(DX734&lt;&gt;"",1,0)+IF(DY734&lt;&gt;"",1,0)+IF(DZ734&lt;&gt;"",1,0)+IF(EB734&lt;&gt;"",1,0)+IF(EC734&lt;&gt;"",1,0)+IF(ED734&lt;&gt;"",1,0)+IF(EG734&lt;&gt;"",1,0)+IF(EH734&lt;&gt;"",1,0)</f>
        <v/>
      </c>
      <c r="AZ734">
        <f>IF(EH734&lt;&gt;"",1,0)</f>
        <v/>
      </c>
      <c r="BB734" t="inlineStr">
        <is>
          <t>WARREN-WARD 4</t>
        </is>
      </c>
      <c r="BC734" t="inlineStr">
        <is>
          <t>X</t>
        </is>
      </c>
      <c r="BD734" t="inlineStr">
        <is>
          <t>X</t>
        </is>
      </c>
      <c r="BE734" t="inlineStr">
        <is>
          <t>X</t>
        </is>
      </c>
      <c r="BF734" t="inlineStr">
        <is>
          <t>X</t>
        </is>
      </c>
      <c r="BG734" t="inlineStr">
        <is>
          <t>X</t>
        </is>
      </c>
      <c r="BH734" t="inlineStr">
        <is>
          <t>X</t>
        </is>
      </c>
      <c r="BI734" t="inlineStr">
        <is>
          <t>X</t>
        </is>
      </c>
      <c r="BJ734" t="inlineStr">
        <is>
          <t>X</t>
        </is>
      </c>
      <c r="BK734" t="inlineStr">
        <is>
          <t>X</t>
        </is>
      </c>
      <c r="BL734" t="inlineStr">
        <is>
          <t>X</t>
        </is>
      </c>
      <c r="BS734" t="inlineStr">
        <is>
          <t>X</t>
        </is>
      </c>
      <c r="BT734" t="inlineStr">
        <is>
          <t>X</t>
        </is>
      </c>
      <c r="BV734" t="inlineStr">
        <is>
          <t>X</t>
        </is>
      </c>
      <c r="BY734" t="inlineStr">
        <is>
          <t>D</t>
        </is>
      </c>
      <c r="CK734" t="inlineStr">
        <is>
          <t>X</t>
        </is>
      </c>
      <c r="CP734" t="inlineStr">
        <is>
          <t>X</t>
        </is>
      </c>
      <c r="CY734" t="inlineStr">
        <is>
          <t>X</t>
        </is>
      </c>
      <c r="DC734" t="inlineStr">
        <is>
          <t>X</t>
        </is>
      </c>
      <c r="DN734" t="inlineStr">
        <is>
          <t>X</t>
        </is>
      </c>
      <c r="DU734" t="inlineStr">
        <is>
          <t>X</t>
        </is>
      </c>
      <c r="DW734" t="inlineStr">
        <is>
          <t>D</t>
        </is>
      </c>
      <c r="DX734" t="inlineStr">
        <is>
          <t>X</t>
        </is>
      </c>
      <c r="EA734" t="inlineStr">
        <is>
          <t>X</t>
        </is>
      </c>
      <c r="ED734" t="inlineStr">
        <is>
          <t>D</t>
        </is>
      </c>
      <c r="EF734" t="inlineStr">
        <is>
          <t>X</t>
        </is>
      </c>
      <c r="EH734" t="inlineStr">
        <is>
          <t>D</t>
        </is>
      </c>
    </row>
    <row r="735">
      <c r="A735" t="inlineStr">
        <is>
          <t>OH0015880099</t>
        </is>
      </c>
      <c r="B735" t="n">
        <v>78</v>
      </c>
      <c r="C735" t="n">
        <v>332858</v>
      </c>
      <c r="D735" t="inlineStr">
        <is>
          <t>CONDE</t>
        </is>
      </c>
      <c r="E735" t="inlineStr">
        <is>
          <t>CHRISTINA</t>
        </is>
      </c>
      <c r="F735">
        <f>CONCATENATE(D735," ",LEFT(H735,4),"T=",AU735,"D=",AV735,"R=",AW735,"M=",AX735,"L=",AY735,"B=",AZ735)</f>
        <v/>
      </c>
      <c r="I735" t="inlineStr">
        <is>
          <t>1973-01-20</t>
        </is>
      </c>
      <c r="J735" t="inlineStr">
        <is>
          <t>2006-11-04</t>
        </is>
      </c>
      <c r="K735" t="inlineStr">
        <is>
          <t>ACTIVE</t>
        </is>
      </c>
      <c r="L735" t="inlineStr">
        <is>
          <t>D</t>
        </is>
      </c>
      <c r="M735" t="inlineStr">
        <is>
          <t>351 CHARLES AVE SE</t>
        </is>
      </c>
      <c r="N735">
        <f>RIGHT(M735,LEN(M735)-FIND(" ",M735))</f>
        <v/>
      </c>
      <c r="P735" t="inlineStr">
        <is>
          <t>WARREN</t>
        </is>
      </c>
      <c r="Q735" t="inlineStr">
        <is>
          <t>OH</t>
        </is>
      </c>
      <c r="R735" t="n">
        <v>44483</v>
      </c>
      <c r="AD735" t="inlineStr">
        <is>
          <t>TRUMBULL CAREER &amp; TECH CENTER</t>
        </is>
      </c>
      <c r="AE735" t="inlineStr">
        <is>
          <t>WARREN CITY</t>
        </is>
      </c>
      <c r="AF735" t="inlineStr">
        <is>
          <t>WARREN CITY SD</t>
        </is>
      </c>
      <c r="AH735" t="n">
        <v>14</v>
      </c>
      <c r="AI735" t="n">
        <v>11</v>
      </c>
      <c r="AN735" t="inlineStr">
        <is>
          <t>WARREN</t>
        </is>
      </c>
      <c r="AO735" t="inlineStr">
        <is>
          <t>WARREN CITY 4A</t>
        </is>
      </c>
      <c r="AP735" t="inlineStr">
        <is>
          <t>78-P-ADI</t>
        </is>
      </c>
      <c r="AQ735" t="n">
        <v>9</v>
      </c>
      <c r="AR735" t="n">
        <v>64</v>
      </c>
      <c r="AS735" t="n">
        <v>32</v>
      </c>
      <c r="AU735">
        <f>COUNTA($BA$735:$EH$735)</f>
        <v/>
      </c>
      <c r="AV735">
        <f>COUNTIF($BA$735:$EH$735,"D")</f>
        <v/>
      </c>
      <c r="AW735">
        <f>COUNTIF($BA$735:$EH$735,"R")</f>
        <v/>
      </c>
      <c r="AX735">
        <f>IF(BN735="D",1,0)+IF(BO735="D",1,0)+IF(BT735="D",1,0)+IF(BU735="D",1,0)+IF(BW735="D",1,0)+IF(CC735="D",1,0)+IF(CD735="D",1,0)+IF(CE735="D",1,0)+IF(CF735="D",1,0)+IF(CL735="D",1,0)+IF(CM735="D",1,0)+IF(CQ735="D",1,0)+IF(CR735="D",1,0)+IF(CS735="D",1,0)+IF(CW735="D",1,0)+IF(CX735="D",1,0)+IF(DD735="D",1,0)+IF(DE735="D",1,0)+IF(DJ735="D",1,0)+IF(DK735="D",1,0)+IF(DO735="D",1,0)+IF(DP735="D",1,0)+IF(DQ735="D",1,0)+IF(DW735="D",1,0)+IF(DZ735="D",1,0)+IF(EH735="D",1,0)</f>
        <v/>
      </c>
      <c r="AY735">
        <f>IF(DJ735&lt;&gt;"",1,0)+IF(DK735&lt;&gt;"",1,0)+IF(DM735&lt;&gt;"",1,0)+IF(DO735&lt;&gt;"",1,0)+IF(DP735&lt;&gt;"",1,0)+IF(DQ735&lt;&gt;"",1,0)+IF(DS735&lt;&gt;"",1,0)+IF(DT735&lt;&gt;"",1,0)+IF(DV735&lt;&gt;"",1,0)+IF(DW735&lt;&gt;"",1,0)+IF(DX735&lt;&gt;"",1,0)+IF(DY735&lt;&gt;"",1,0)+IF(DZ735&lt;&gt;"",1,0)+IF(EB735&lt;&gt;"",1,0)+IF(EC735&lt;&gt;"",1,0)+IF(ED735&lt;&gt;"",1,0)+IF(EG735&lt;&gt;"",1,0)+IF(EH735&lt;&gt;"",1,0)</f>
        <v/>
      </c>
      <c r="AZ735">
        <f>IF(EH735&lt;&gt;"",1,0)</f>
        <v/>
      </c>
      <c r="BB735" t="inlineStr">
        <is>
          <t>WARREN-WARD 4</t>
        </is>
      </c>
      <c r="BL735" t="inlineStr">
        <is>
          <t>X</t>
        </is>
      </c>
      <c r="BS735" t="inlineStr">
        <is>
          <t>X</t>
        </is>
      </c>
      <c r="BY735" t="inlineStr">
        <is>
          <t>D</t>
        </is>
      </c>
      <c r="CA735" t="inlineStr">
        <is>
          <t>X</t>
        </is>
      </c>
      <c r="CK735" t="inlineStr">
        <is>
          <t>X</t>
        </is>
      </c>
      <c r="CN735" t="inlineStr">
        <is>
          <t>X</t>
        </is>
      </c>
      <c r="CP735" t="inlineStr">
        <is>
          <t>X</t>
        </is>
      </c>
      <c r="CY735" t="inlineStr">
        <is>
          <t>X</t>
        </is>
      </c>
      <c r="CZ735" t="inlineStr">
        <is>
          <t>D</t>
        </is>
      </c>
      <c r="DC735" t="inlineStr">
        <is>
          <t>X</t>
        </is>
      </c>
      <c r="DD735" t="inlineStr">
        <is>
          <t>D</t>
        </is>
      </c>
      <c r="DI735" t="inlineStr">
        <is>
          <t>X</t>
        </is>
      </c>
      <c r="DL735" t="inlineStr">
        <is>
          <t>X</t>
        </is>
      </c>
      <c r="DN735" t="inlineStr">
        <is>
          <t>X</t>
        </is>
      </c>
      <c r="DR735" t="inlineStr">
        <is>
          <t>X</t>
        </is>
      </c>
      <c r="DS735" t="inlineStr">
        <is>
          <t>R</t>
        </is>
      </c>
      <c r="DU735" t="inlineStr">
        <is>
          <t>X</t>
        </is>
      </c>
      <c r="DW735" t="inlineStr">
        <is>
          <t>D</t>
        </is>
      </c>
      <c r="DX735" t="inlineStr">
        <is>
          <t>X</t>
        </is>
      </c>
      <c r="EF735" t="inlineStr">
        <is>
          <t>X</t>
        </is>
      </c>
    </row>
    <row r="736">
      <c r="A736" t="inlineStr">
        <is>
          <t>OH0015687498</t>
        </is>
      </c>
      <c r="B736" t="n">
        <v>78</v>
      </c>
      <c r="C736" t="n">
        <v>12690</v>
      </c>
      <c r="D736" t="inlineStr">
        <is>
          <t>KOSELA</t>
        </is>
      </c>
      <c r="E736" t="inlineStr">
        <is>
          <t>HALINA</t>
        </is>
      </c>
      <c r="F736">
        <f>CONCATENATE(D736," ",LEFT(H736,4),"T=",AU736,"D=",AV736,"R=",AW736,"M=",AX736,"L=",AY736,"B=",AZ736)</f>
        <v/>
      </c>
      <c r="G736" t="inlineStr">
        <is>
          <t>B</t>
        </is>
      </c>
      <c r="I736" t="inlineStr">
        <is>
          <t>1949-07-21</t>
        </is>
      </c>
      <c r="J736" t="inlineStr">
        <is>
          <t>1975-09-30</t>
        </is>
      </c>
      <c r="K736" t="inlineStr">
        <is>
          <t>ACTIVE</t>
        </is>
      </c>
      <c r="L736" t="inlineStr">
        <is>
          <t>R</t>
        </is>
      </c>
      <c r="M736" t="inlineStr">
        <is>
          <t>598 ADELAIDE AVE SE</t>
        </is>
      </c>
      <c r="N736">
        <f>RIGHT(M736,LEN(M736)-FIND(" ",M736))</f>
        <v/>
      </c>
      <c r="P736" t="inlineStr">
        <is>
          <t>WARREN</t>
        </is>
      </c>
      <c r="Q736" t="inlineStr">
        <is>
          <t>OH</t>
        </is>
      </c>
      <c r="R736" t="n">
        <v>44483</v>
      </c>
      <c r="AD736" t="inlineStr">
        <is>
          <t>TRUMBULL CAREER &amp; TECH CENTER</t>
        </is>
      </c>
      <c r="AE736" t="inlineStr">
        <is>
          <t>WARREN CITY</t>
        </is>
      </c>
      <c r="AF736" t="inlineStr">
        <is>
          <t>WARREN CITY SD</t>
        </is>
      </c>
      <c r="AH736" t="n">
        <v>14</v>
      </c>
      <c r="AI736" t="n">
        <v>11</v>
      </c>
      <c r="AN736" t="inlineStr">
        <is>
          <t>WARREN</t>
        </is>
      </c>
      <c r="AO736" t="inlineStr">
        <is>
          <t>WARREN CITY 4A</t>
        </is>
      </c>
      <c r="AP736" t="inlineStr">
        <is>
          <t>78-P-ADI</t>
        </is>
      </c>
      <c r="AQ736" t="n">
        <v>9</v>
      </c>
      <c r="AR736" t="n">
        <v>64</v>
      </c>
      <c r="AS736" t="n">
        <v>32</v>
      </c>
      <c r="AU736">
        <f>COUNTA($BA$736:$EH$736)</f>
        <v/>
      </c>
      <c r="AV736">
        <f>COUNTIF($BA$736:$EH$736,"D")</f>
        <v/>
      </c>
      <c r="AW736">
        <f>COUNTIF($BA$736:$EH$736,"R")</f>
        <v/>
      </c>
      <c r="AX736">
        <f>IF(BN736="D",1,0)+IF(BO736="D",1,0)+IF(BT736="D",1,0)+IF(BU736="D",1,0)+IF(BW736="D",1,0)+IF(CC736="D",1,0)+IF(CD736="D",1,0)+IF(CE736="D",1,0)+IF(CF736="D",1,0)+IF(CL736="D",1,0)+IF(CM736="D",1,0)+IF(CQ736="D",1,0)+IF(CR736="D",1,0)+IF(CS736="D",1,0)+IF(CW736="D",1,0)+IF(CX736="D",1,0)+IF(DD736="D",1,0)+IF(DE736="D",1,0)+IF(DJ736="D",1,0)+IF(DK736="D",1,0)+IF(DO736="D",1,0)+IF(DP736="D",1,0)+IF(DQ736="D",1,0)+IF(DW736="D",1,0)+IF(DZ736="D",1,0)+IF(EH736="D",1,0)</f>
        <v/>
      </c>
      <c r="AY736">
        <f>IF(DJ736&lt;&gt;"",1,0)+IF(DK736&lt;&gt;"",1,0)+IF(DM736&lt;&gt;"",1,0)+IF(DO736&lt;&gt;"",1,0)+IF(DP736&lt;&gt;"",1,0)+IF(DQ736&lt;&gt;"",1,0)+IF(DS736&lt;&gt;"",1,0)+IF(DT736&lt;&gt;"",1,0)+IF(DV736&lt;&gt;"",1,0)+IF(DW736&lt;&gt;"",1,0)+IF(DX736&lt;&gt;"",1,0)+IF(DY736&lt;&gt;"",1,0)+IF(DZ736&lt;&gt;"",1,0)+IF(EB736&lt;&gt;"",1,0)+IF(EC736&lt;&gt;"",1,0)+IF(ED736&lt;&gt;"",1,0)+IF(EG736&lt;&gt;"",1,0)+IF(EH736&lt;&gt;"",1,0)</f>
        <v/>
      </c>
      <c r="AZ736">
        <f>IF(EH736&lt;&gt;"",1,0)</f>
        <v/>
      </c>
      <c r="BB736" t="inlineStr">
        <is>
          <t>WARREN-WARD 4</t>
        </is>
      </c>
      <c r="BC736" t="inlineStr">
        <is>
          <t>X</t>
        </is>
      </c>
      <c r="BD736" t="inlineStr">
        <is>
          <t>X</t>
        </is>
      </c>
      <c r="BG736" t="inlineStr">
        <is>
          <t>X</t>
        </is>
      </c>
      <c r="BH736" t="inlineStr">
        <is>
          <t>X</t>
        </is>
      </c>
      <c r="BI736" t="inlineStr">
        <is>
          <t>X</t>
        </is>
      </c>
      <c r="BJ736" t="inlineStr">
        <is>
          <t>X</t>
        </is>
      </c>
      <c r="BK736" t="inlineStr">
        <is>
          <t>X</t>
        </is>
      </c>
      <c r="BL736" t="inlineStr">
        <is>
          <t>X</t>
        </is>
      </c>
      <c r="BP736" t="inlineStr">
        <is>
          <t>X</t>
        </is>
      </c>
      <c r="BR736" t="inlineStr">
        <is>
          <t>X</t>
        </is>
      </c>
      <c r="BS736" t="inlineStr">
        <is>
          <t>X</t>
        </is>
      </c>
      <c r="BY736" t="inlineStr">
        <is>
          <t>D</t>
        </is>
      </c>
      <c r="CA736" t="inlineStr">
        <is>
          <t>X</t>
        </is>
      </c>
      <c r="CC736" t="inlineStr">
        <is>
          <t>D</t>
        </is>
      </c>
      <c r="CG736" t="inlineStr">
        <is>
          <t>X</t>
        </is>
      </c>
      <c r="CK736" t="inlineStr">
        <is>
          <t>X</t>
        </is>
      </c>
      <c r="CL736" t="inlineStr">
        <is>
          <t>D</t>
        </is>
      </c>
      <c r="CN736" t="inlineStr">
        <is>
          <t>X</t>
        </is>
      </c>
      <c r="CO736" t="inlineStr">
        <is>
          <t>R</t>
        </is>
      </c>
      <c r="CP736" t="inlineStr">
        <is>
          <t>X</t>
        </is>
      </c>
      <c r="CU736" t="inlineStr">
        <is>
          <t>D</t>
        </is>
      </c>
      <c r="CV736" t="inlineStr">
        <is>
          <t>X</t>
        </is>
      </c>
      <c r="CY736" t="inlineStr">
        <is>
          <t>X</t>
        </is>
      </c>
      <c r="CZ736" t="inlineStr">
        <is>
          <t>R</t>
        </is>
      </c>
      <c r="DC736" t="inlineStr">
        <is>
          <t>X</t>
        </is>
      </c>
      <c r="DF736" t="inlineStr">
        <is>
          <t>X</t>
        </is>
      </c>
      <c r="DG736" t="inlineStr">
        <is>
          <t>R</t>
        </is>
      </c>
      <c r="DI736" t="inlineStr">
        <is>
          <t>X</t>
        </is>
      </c>
      <c r="DL736" t="inlineStr">
        <is>
          <t>X</t>
        </is>
      </c>
      <c r="DM736" t="inlineStr">
        <is>
          <t>R</t>
        </is>
      </c>
      <c r="DN736" t="inlineStr">
        <is>
          <t>X</t>
        </is>
      </c>
      <c r="DR736" t="inlineStr">
        <is>
          <t>X</t>
        </is>
      </c>
      <c r="DS736" t="inlineStr">
        <is>
          <t>R</t>
        </is>
      </c>
      <c r="DU736" t="inlineStr">
        <is>
          <t>X</t>
        </is>
      </c>
      <c r="DW736" t="inlineStr">
        <is>
          <t>D</t>
        </is>
      </c>
      <c r="DX736" t="inlineStr">
        <is>
          <t>X</t>
        </is>
      </c>
      <c r="EA736" t="inlineStr">
        <is>
          <t>X</t>
        </is>
      </c>
      <c r="ED736" t="inlineStr">
        <is>
          <t>R</t>
        </is>
      </c>
      <c r="EF736" t="inlineStr">
        <is>
          <t>X</t>
        </is>
      </c>
    </row>
    <row r="737">
      <c r="A737" t="inlineStr">
        <is>
          <t>OH0023638139</t>
        </is>
      </c>
      <c r="B737" t="n">
        <v>78</v>
      </c>
      <c r="C737" t="n">
        <v>415574</v>
      </c>
      <c r="D737" t="inlineStr">
        <is>
          <t>MOORE</t>
        </is>
      </c>
      <c r="E737" t="inlineStr">
        <is>
          <t>ANDRE</t>
        </is>
      </c>
      <c r="F737">
        <f>CONCATENATE(D737," ",LEFT(H737,4),"T=",AU737,"D=",AV737,"R=",AW737,"M=",AX737,"L=",AY737,"B=",AZ737)</f>
        <v/>
      </c>
      <c r="G737" t="inlineStr">
        <is>
          <t>J</t>
        </is>
      </c>
      <c r="I737" t="inlineStr">
        <is>
          <t>1982-01-13</t>
        </is>
      </c>
      <c r="J737" t="inlineStr">
        <is>
          <t>2016-04-18</t>
        </is>
      </c>
      <c r="K737" t="inlineStr">
        <is>
          <t>CONFIRMATION</t>
        </is>
      </c>
      <c r="M737" t="inlineStr">
        <is>
          <t>348 KENILWORTH AVE SE</t>
        </is>
      </c>
      <c r="N737">
        <f>RIGHT(M737,LEN(M737)-FIND(" ",M737))</f>
        <v/>
      </c>
      <c r="P737" t="inlineStr">
        <is>
          <t>WARREN</t>
        </is>
      </c>
      <c r="Q737" t="inlineStr">
        <is>
          <t>OH</t>
        </is>
      </c>
      <c r="R737" t="n">
        <v>44483</v>
      </c>
      <c r="AD737" t="inlineStr">
        <is>
          <t>TRUMBULL CAREER &amp; TECH CENTER</t>
        </is>
      </c>
      <c r="AE737" t="inlineStr">
        <is>
          <t>WARREN CITY</t>
        </is>
      </c>
      <c r="AF737" t="inlineStr">
        <is>
          <t>WARREN CITY SD</t>
        </is>
      </c>
      <c r="AH737" t="n">
        <v>14</v>
      </c>
      <c r="AI737" t="n">
        <v>11</v>
      </c>
      <c r="AN737" t="inlineStr">
        <is>
          <t>WARREN</t>
        </is>
      </c>
      <c r="AO737" t="inlineStr">
        <is>
          <t>WARREN CITY 4A</t>
        </is>
      </c>
      <c r="AP737" t="inlineStr">
        <is>
          <t>78-P-ADI</t>
        </is>
      </c>
      <c r="AQ737" t="n">
        <v>9</v>
      </c>
      <c r="AR737" t="n">
        <v>64</v>
      </c>
      <c r="AS737" t="n">
        <v>32</v>
      </c>
      <c r="AU737">
        <f>COUNTA($BA$737:$EH$737)</f>
        <v/>
      </c>
      <c r="AV737">
        <f>COUNTIF($BA$737:$EH$737,"D")</f>
        <v/>
      </c>
      <c r="AW737">
        <f>COUNTIF($BA$737:$EH$737,"R")</f>
        <v/>
      </c>
      <c r="AX737">
        <f>IF(BN737="D",1,0)+IF(BO737="D",1,0)+IF(BT737="D",1,0)+IF(BU737="D",1,0)+IF(BW737="D",1,0)+IF(CC737="D",1,0)+IF(CD737="D",1,0)+IF(CE737="D",1,0)+IF(CF737="D",1,0)+IF(CL737="D",1,0)+IF(CM737="D",1,0)+IF(CQ737="D",1,0)+IF(CR737="D",1,0)+IF(CS737="D",1,0)+IF(CW737="D",1,0)+IF(CX737="D",1,0)+IF(DD737="D",1,0)+IF(DE737="D",1,0)+IF(DJ737="D",1,0)+IF(DK737="D",1,0)+IF(DO737="D",1,0)+IF(DP737="D",1,0)+IF(DQ737="D",1,0)+IF(DW737="D",1,0)+IF(DZ737="D",1,0)+IF(EH737="D",1,0)</f>
        <v/>
      </c>
      <c r="AY737">
        <f>IF(DJ737&lt;&gt;"",1,0)+IF(DK737&lt;&gt;"",1,0)+IF(DM737&lt;&gt;"",1,0)+IF(DO737&lt;&gt;"",1,0)+IF(DP737&lt;&gt;"",1,0)+IF(DQ737&lt;&gt;"",1,0)+IF(DS737&lt;&gt;"",1,0)+IF(DT737&lt;&gt;"",1,0)+IF(DV737&lt;&gt;"",1,0)+IF(DW737&lt;&gt;"",1,0)+IF(DX737&lt;&gt;"",1,0)+IF(DY737&lt;&gt;"",1,0)+IF(DZ737&lt;&gt;"",1,0)+IF(EB737&lt;&gt;"",1,0)+IF(EC737&lt;&gt;"",1,0)+IF(ED737&lt;&gt;"",1,0)+IF(EG737&lt;&gt;"",1,0)+IF(EH737&lt;&gt;"",1,0)</f>
        <v/>
      </c>
      <c r="AZ737">
        <f>IF(EH737&lt;&gt;"",1,0)</f>
        <v/>
      </c>
      <c r="BB737" t="inlineStr">
        <is>
          <t>WARREN-WARD 4</t>
        </is>
      </c>
      <c r="BL737" t="inlineStr">
        <is>
          <t>X</t>
        </is>
      </c>
    </row>
    <row r="738">
      <c r="A738" t="inlineStr">
        <is>
          <t>OH0023188486</t>
        </is>
      </c>
      <c r="B738" t="n">
        <v>78</v>
      </c>
      <c r="C738" t="n">
        <v>408251</v>
      </c>
      <c r="D738" t="inlineStr">
        <is>
          <t>KNICELEY</t>
        </is>
      </c>
      <c r="E738" t="inlineStr">
        <is>
          <t>CANDACE</t>
        </is>
      </c>
      <c r="F738">
        <f>CONCATENATE(D738," ",LEFT(H738,4),"T=",AU738,"D=",AV738,"R=",AW738,"M=",AX738,"L=",AY738,"B=",AZ738)</f>
        <v/>
      </c>
      <c r="G738" t="inlineStr">
        <is>
          <t>M</t>
        </is>
      </c>
      <c r="I738" t="inlineStr">
        <is>
          <t>1991-07-29</t>
        </is>
      </c>
      <c r="J738" t="inlineStr">
        <is>
          <t>2016-08-02</t>
        </is>
      </c>
      <c r="K738" t="inlineStr">
        <is>
          <t>CONFIRMATION</t>
        </is>
      </c>
      <c r="M738" t="inlineStr">
        <is>
          <t>511 KENILWORTH AVE SE</t>
        </is>
      </c>
      <c r="N738">
        <f>RIGHT(M738,LEN(M738)-FIND(" ",M738))</f>
        <v/>
      </c>
      <c r="P738" t="inlineStr">
        <is>
          <t>WARREN</t>
        </is>
      </c>
      <c r="Q738" t="inlineStr">
        <is>
          <t>OH</t>
        </is>
      </c>
      <c r="R738" t="n">
        <v>44483</v>
      </c>
      <c r="AD738" t="inlineStr">
        <is>
          <t>TRUMBULL CAREER &amp; TECH CENTER</t>
        </is>
      </c>
      <c r="AE738" t="inlineStr">
        <is>
          <t>WARREN CITY</t>
        </is>
      </c>
      <c r="AF738" t="inlineStr">
        <is>
          <t>WARREN CITY SD</t>
        </is>
      </c>
      <c r="AH738" t="n">
        <v>14</v>
      </c>
      <c r="AI738" t="n">
        <v>11</v>
      </c>
      <c r="AN738" t="inlineStr">
        <is>
          <t>WARREN</t>
        </is>
      </c>
      <c r="AO738" t="inlineStr">
        <is>
          <t>WARREN CITY 4A</t>
        </is>
      </c>
      <c r="AP738" t="inlineStr">
        <is>
          <t>78-P-ADI</t>
        </is>
      </c>
      <c r="AQ738" t="n">
        <v>9</v>
      </c>
      <c r="AR738" t="n">
        <v>64</v>
      </c>
      <c r="AS738" t="n">
        <v>32</v>
      </c>
      <c r="AU738">
        <f>COUNTA($BA$738:$EH$738)</f>
        <v/>
      </c>
      <c r="AV738">
        <f>COUNTIF($BA$738:$EH$738,"D")</f>
        <v/>
      </c>
      <c r="AW738">
        <f>COUNTIF($BA$738:$EH$738,"R")</f>
        <v/>
      </c>
      <c r="AX738">
        <f>IF(BN738="D",1,0)+IF(BO738="D",1,0)+IF(BT738="D",1,0)+IF(BU738="D",1,0)+IF(BW738="D",1,0)+IF(CC738="D",1,0)+IF(CD738="D",1,0)+IF(CE738="D",1,0)+IF(CF738="D",1,0)+IF(CL738="D",1,0)+IF(CM738="D",1,0)+IF(CQ738="D",1,0)+IF(CR738="D",1,0)+IF(CS738="D",1,0)+IF(CW738="D",1,0)+IF(CX738="D",1,0)+IF(DD738="D",1,0)+IF(DE738="D",1,0)+IF(DJ738="D",1,0)+IF(DK738="D",1,0)+IF(DO738="D",1,0)+IF(DP738="D",1,0)+IF(DQ738="D",1,0)+IF(DW738="D",1,0)+IF(DZ738="D",1,0)+IF(EH738="D",1,0)</f>
        <v/>
      </c>
      <c r="AY738">
        <f>IF(DJ738&lt;&gt;"",1,0)+IF(DK738&lt;&gt;"",1,0)+IF(DM738&lt;&gt;"",1,0)+IF(DO738&lt;&gt;"",1,0)+IF(DP738&lt;&gt;"",1,0)+IF(DQ738&lt;&gt;"",1,0)+IF(DS738&lt;&gt;"",1,0)+IF(DT738&lt;&gt;"",1,0)+IF(DV738&lt;&gt;"",1,0)+IF(DW738&lt;&gt;"",1,0)+IF(DX738&lt;&gt;"",1,0)+IF(DY738&lt;&gt;"",1,0)+IF(DZ738&lt;&gt;"",1,0)+IF(EB738&lt;&gt;"",1,0)+IF(EC738&lt;&gt;"",1,0)+IF(ED738&lt;&gt;"",1,0)+IF(EG738&lt;&gt;"",1,0)+IF(EH738&lt;&gt;"",1,0)</f>
        <v/>
      </c>
      <c r="AZ738">
        <f>IF(EH738&lt;&gt;"",1,0)</f>
        <v/>
      </c>
      <c r="BB738" t="inlineStr">
        <is>
          <t>WARREN-WARD 4</t>
        </is>
      </c>
    </row>
    <row r="739">
      <c r="A739" t="inlineStr">
        <is>
          <t>OH0021048535</t>
        </is>
      </c>
      <c r="B739" t="n">
        <v>78</v>
      </c>
      <c r="C739" t="n">
        <v>374864</v>
      </c>
      <c r="D739" t="inlineStr">
        <is>
          <t>HOBBS</t>
        </is>
      </c>
      <c r="E739" t="inlineStr">
        <is>
          <t>LASHEAUNA</t>
        </is>
      </c>
      <c r="F739">
        <f>CONCATENATE(D739," ",LEFT(H739,4),"T=",AU739,"D=",AV739,"R=",AW739,"M=",AX739,"L=",AY739,"B=",AZ739)</f>
        <v/>
      </c>
      <c r="G739" t="inlineStr">
        <is>
          <t>C</t>
        </is>
      </c>
      <c r="I739" t="inlineStr">
        <is>
          <t>1989-06-25</t>
        </is>
      </c>
      <c r="J739" t="inlineStr">
        <is>
          <t>2024-10-02</t>
        </is>
      </c>
      <c r="K739" t="inlineStr">
        <is>
          <t>ACTIVE</t>
        </is>
      </c>
      <c r="M739" t="inlineStr">
        <is>
          <t>536 HOMEWOOD AVE SE</t>
        </is>
      </c>
      <c r="N739">
        <f>RIGHT(M739,LEN(M739)-FIND(" ",M739))</f>
        <v/>
      </c>
      <c r="P739" t="inlineStr">
        <is>
          <t>WARREN</t>
        </is>
      </c>
      <c r="Q739" t="inlineStr">
        <is>
          <t>OH</t>
        </is>
      </c>
      <c r="R739" t="n">
        <v>44483</v>
      </c>
      <c r="AD739" t="inlineStr">
        <is>
          <t>TRUMBULL CAREER &amp; TECH CENTER</t>
        </is>
      </c>
      <c r="AE739" t="inlineStr">
        <is>
          <t>WARREN CITY</t>
        </is>
      </c>
      <c r="AF739" t="inlineStr">
        <is>
          <t>WARREN CITY SD</t>
        </is>
      </c>
      <c r="AH739" t="n">
        <v>14</v>
      </c>
      <c r="AI739" t="n">
        <v>11</v>
      </c>
      <c r="AN739" t="inlineStr">
        <is>
          <t>WARREN</t>
        </is>
      </c>
      <c r="AO739" t="inlineStr">
        <is>
          <t>WARREN CITY 4A</t>
        </is>
      </c>
      <c r="AP739" t="inlineStr">
        <is>
          <t>78-P-ADI</t>
        </is>
      </c>
      <c r="AQ739" t="n">
        <v>9</v>
      </c>
      <c r="AR739" t="n">
        <v>64</v>
      </c>
      <c r="AS739" t="n">
        <v>32</v>
      </c>
      <c r="AU739">
        <f>COUNTA($BA$739:$EH$739)</f>
        <v/>
      </c>
      <c r="AV739">
        <f>COUNTIF($BA$739:$EH$739,"D")</f>
        <v/>
      </c>
      <c r="AW739">
        <f>COUNTIF($BA$739:$EH$739,"R")</f>
        <v/>
      </c>
      <c r="AX739">
        <f>IF(BN739="D",1,0)+IF(BO739="D",1,0)+IF(BT739="D",1,0)+IF(BU739="D",1,0)+IF(BW739="D",1,0)+IF(CC739="D",1,0)+IF(CD739="D",1,0)+IF(CE739="D",1,0)+IF(CF739="D",1,0)+IF(CL739="D",1,0)+IF(CM739="D",1,0)+IF(CQ739="D",1,0)+IF(CR739="D",1,0)+IF(CS739="D",1,0)+IF(CW739="D",1,0)+IF(CX739="D",1,0)+IF(DD739="D",1,0)+IF(DE739="D",1,0)+IF(DJ739="D",1,0)+IF(DK739="D",1,0)+IF(DO739="D",1,0)+IF(DP739="D",1,0)+IF(DQ739="D",1,0)+IF(DW739="D",1,0)+IF(DZ739="D",1,0)+IF(EH739="D",1,0)</f>
        <v/>
      </c>
      <c r="AY739">
        <f>IF(DJ739&lt;&gt;"",1,0)+IF(DK739&lt;&gt;"",1,0)+IF(DM739&lt;&gt;"",1,0)+IF(DO739&lt;&gt;"",1,0)+IF(DP739&lt;&gt;"",1,0)+IF(DQ739&lt;&gt;"",1,0)+IF(DS739&lt;&gt;"",1,0)+IF(DT739&lt;&gt;"",1,0)+IF(DV739&lt;&gt;"",1,0)+IF(DW739&lt;&gt;"",1,0)+IF(DX739&lt;&gt;"",1,0)+IF(DY739&lt;&gt;"",1,0)+IF(DZ739&lt;&gt;"",1,0)+IF(EB739&lt;&gt;"",1,0)+IF(EC739&lt;&gt;"",1,0)+IF(ED739&lt;&gt;"",1,0)+IF(EG739&lt;&gt;"",1,0)+IF(EH739&lt;&gt;"",1,0)</f>
        <v/>
      </c>
      <c r="AZ739">
        <f>IF(EH739&lt;&gt;"",1,0)</f>
        <v/>
      </c>
      <c r="BB739" t="inlineStr">
        <is>
          <t>WARREN-WARD 4</t>
        </is>
      </c>
      <c r="CA739" t="inlineStr">
        <is>
          <t>X</t>
        </is>
      </c>
      <c r="CP739" t="inlineStr">
        <is>
          <t>X</t>
        </is>
      </c>
      <c r="DC739" t="inlineStr">
        <is>
          <t>X</t>
        </is>
      </c>
    </row>
    <row r="740">
      <c r="A740" t="inlineStr">
        <is>
          <t>OH0015742891</t>
        </is>
      </c>
      <c r="B740" t="n">
        <v>78</v>
      </c>
      <c r="C740" t="n">
        <v>229240</v>
      </c>
      <c r="D740" t="inlineStr">
        <is>
          <t>REESE</t>
        </is>
      </c>
      <c r="E740" t="inlineStr">
        <is>
          <t>TINA</t>
        </is>
      </c>
      <c r="F740">
        <f>CONCATENATE(D740," ",LEFT(H740,4),"T=",AU740,"D=",AV740,"R=",AW740,"M=",AX740,"L=",AY740,"B=",AZ740)</f>
        <v/>
      </c>
      <c r="I740" t="inlineStr">
        <is>
          <t>1967-09-15</t>
        </is>
      </c>
      <c r="J740" t="inlineStr">
        <is>
          <t>2024-10-21</t>
        </is>
      </c>
      <c r="K740" t="inlineStr">
        <is>
          <t>ACTIVE</t>
        </is>
      </c>
      <c r="M740" t="inlineStr">
        <is>
          <t>706 OAK KNOLL AVE SE</t>
        </is>
      </c>
      <c r="N740">
        <f>RIGHT(M740,LEN(M740)-FIND(" ",M740))</f>
        <v/>
      </c>
      <c r="P740" t="inlineStr">
        <is>
          <t>WARREN</t>
        </is>
      </c>
      <c r="Q740" t="inlineStr">
        <is>
          <t>OH</t>
        </is>
      </c>
      <c r="R740" t="n">
        <v>44484</v>
      </c>
      <c r="AD740" t="inlineStr">
        <is>
          <t>TRUMBULL CAREER &amp; TECH CENTER</t>
        </is>
      </c>
      <c r="AE740" t="inlineStr">
        <is>
          <t>WARREN CITY</t>
        </is>
      </c>
      <c r="AF740" t="inlineStr">
        <is>
          <t>WARREN CITY SD</t>
        </is>
      </c>
      <c r="AH740" t="n">
        <v>14</v>
      </c>
      <c r="AI740" t="n">
        <v>11</v>
      </c>
      <c r="AN740" t="inlineStr">
        <is>
          <t>WARREN</t>
        </is>
      </c>
      <c r="AO740" t="inlineStr">
        <is>
          <t>WARREN CITY 4A</t>
        </is>
      </c>
      <c r="AP740" t="inlineStr">
        <is>
          <t>78-P-ADI</t>
        </is>
      </c>
      <c r="AQ740" t="n">
        <v>9</v>
      </c>
      <c r="AR740" t="n">
        <v>64</v>
      </c>
      <c r="AS740" t="n">
        <v>32</v>
      </c>
      <c r="AU740">
        <f>COUNTA($BA$740:$EH$740)</f>
        <v/>
      </c>
      <c r="AV740">
        <f>COUNTIF($BA$740:$EH$740,"D")</f>
        <v/>
      </c>
      <c r="AW740">
        <f>COUNTIF($BA$740:$EH$740,"R")</f>
        <v/>
      </c>
      <c r="AX740">
        <f>IF(BN740="D",1,0)+IF(BO740="D",1,0)+IF(BT740="D",1,0)+IF(BU740="D",1,0)+IF(BW740="D",1,0)+IF(CC740="D",1,0)+IF(CD740="D",1,0)+IF(CE740="D",1,0)+IF(CF740="D",1,0)+IF(CL740="D",1,0)+IF(CM740="D",1,0)+IF(CQ740="D",1,0)+IF(CR740="D",1,0)+IF(CS740="D",1,0)+IF(CW740="D",1,0)+IF(CX740="D",1,0)+IF(DD740="D",1,0)+IF(DE740="D",1,0)+IF(DJ740="D",1,0)+IF(DK740="D",1,0)+IF(DO740="D",1,0)+IF(DP740="D",1,0)+IF(DQ740="D",1,0)+IF(DW740="D",1,0)+IF(DZ740="D",1,0)+IF(EH740="D",1,0)</f>
        <v/>
      </c>
      <c r="AY740">
        <f>IF(DJ740&lt;&gt;"",1,0)+IF(DK740&lt;&gt;"",1,0)+IF(DM740&lt;&gt;"",1,0)+IF(DO740&lt;&gt;"",1,0)+IF(DP740&lt;&gt;"",1,0)+IF(DQ740&lt;&gt;"",1,0)+IF(DS740&lt;&gt;"",1,0)+IF(DT740&lt;&gt;"",1,0)+IF(DV740&lt;&gt;"",1,0)+IF(DW740&lt;&gt;"",1,0)+IF(DX740&lt;&gt;"",1,0)+IF(DY740&lt;&gt;"",1,0)+IF(DZ740&lt;&gt;"",1,0)+IF(EB740&lt;&gt;"",1,0)+IF(EC740&lt;&gt;"",1,0)+IF(ED740&lt;&gt;"",1,0)+IF(EG740&lt;&gt;"",1,0)+IF(EH740&lt;&gt;"",1,0)</f>
        <v/>
      </c>
      <c r="AZ740">
        <f>IF(EH740&lt;&gt;"",1,0)</f>
        <v/>
      </c>
      <c r="BB740" t="inlineStr">
        <is>
          <t>WARREN-WARD 4</t>
        </is>
      </c>
      <c r="BD740" t="inlineStr">
        <is>
          <t>X</t>
        </is>
      </c>
      <c r="BL740" t="inlineStr">
        <is>
          <t>X</t>
        </is>
      </c>
      <c r="BS740" t="inlineStr">
        <is>
          <t>X</t>
        </is>
      </c>
      <c r="BV740" t="inlineStr">
        <is>
          <t>X</t>
        </is>
      </c>
      <c r="BY740" t="inlineStr">
        <is>
          <t>D</t>
        </is>
      </c>
      <c r="CA740" t="inlineStr">
        <is>
          <t>X</t>
        </is>
      </c>
      <c r="CL740" t="inlineStr">
        <is>
          <t>D</t>
        </is>
      </c>
      <c r="CN740" t="inlineStr">
        <is>
          <t>X</t>
        </is>
      </c>
      <c r="CP740" t="inlineStr">
        <is>
          <t>X</t>
        </is>
      </c>
      <c r="CZ740" t="inlineStr">
        <is>
          <t>D</t>
        </is>
      </c>
      <c r="DC740" t="inlineStr">
        <is>
          <t>X</t>
        </is>
      </c>
      <c r="DI740" t="inlineStr">
        <is>
          <t>X</t>
        </is>
      </c>
      <c r="DM740" t="inlineStr">
        <is>
          <t>R</t>
        </is>
      </c>
      <c r="DN740" t="inlineStr">
        <is>
          <t>X</t>
        </is>
      </c>
      <c r="EF740" t="inlineStr">
        <is>
          <t>X</t>
        </is>
      </c>
    </row>
    <row r="741">
      <c r="A741" t="inlineStr">
        <is>
          <t>OH0023187132</t>
        </is>
      </c>
      <c r="B741" t="n">
        <v>78</v>
      </c>
      <c r="C741" t="n">
        <v>408030</v>
      </c>
      <c r="D741" t="inlineStr">
        <is>
          <t>CREAN</t>
        </is>
      </c>
      <c r="E741" t="inlineStr">
        <is>
          <t>SEBASTION</t>
        </is>
      </c>
      <c r="F741">
        <f>CONCATENATE(D741," ",LEFT(H741,4),"T=",AU741,"D=",AV741,"R=",AW741,"M=",AX741,"L=",AY741,"B=",AZ741)</f>
        <v/>
      </c>
      <c r="G741" t="inlineStr">
        <is>
          <t>P</t>
        </is>
      </c>
      <c r="I741" t="inlineStr">
        <is>
          <t>1997-04-02</t>
        </is>
      </c>
      <c r="J741" t="inlineStr">
        <is>
          <t>2018-03-13</t>
        </is>
      </c>
      <c r="K741" t="inlineStr">
        <is>
          <t>CONFIRMATION</t>
        </is>
      </c>
      <c r="M741" t="inlineStr">
        <is>
          <t>758 HOMEWOOD AVE SE</t>
        </is>
      </c>
      <c r="N741">
        <f>RIGHT(M741,LEN(M741)-FIND(" ",M741))</f>
        <v/>
      </c>
      <c r="P741" t="inlineStr">
        <is>
          <t>WARREN</t>
        </is>
      </c>
      <c r="Q741" t="inlineStr">
        <is>
          <t>OH</t>
        </is>
      </c>
      <c r="R741" t="n">
        <v>44484</v>
      </c>
      <c r="AD741" t="inlineStr">
        <is>
          <t>TRUMBULL CAREER &amp; TECH CENTER</t>
        </is>
      </c>
      <c r="AE741" t="inlineStr">
        <is>
          <t>WARREN CITY</t>
        </is>
      </c>
      <c r="AF741" t="inlineStr">
        <is>
          <t>WARREN CITY SD</t>
        </is>
      </c>
      <c r="AH741" t="n">
        <v>14</v>
      </c>
      <c r="AI741" t="n">
        <v>11</v>
      </c>
      <c r="AN741" t="inlineStr">
        <is>
          <t>WARREN</t>
        </is>
      </c>
      <c r="AO741" t="inlineStr">
        <is>
          <t>WARREN CITY 4A</t>
        </is>
      </c>
      <c r="AP741" t="inlineStr">
        <is>
          <t>78-P-ADI</t>
        </is>
      </c>
      <c r="AQ741" t="n">
        <v>9</v>
      </c>
      <c r="AR741" t="n">
        <v>64</v>
      </c>
      <c r="AS741" t="n">
        <v>32</v>
      </c>
      <c r="AU741">
        <f>COUNTA($BA$741:$EH$741)</f>
        <v/>
      </c>
      <c r="AV741">
        <f>COUNTIF($BA$741:$EH$741,"D")</f>
        <v/>
      </c>
      <c r="AW741">
        <f>COUNTIF($BA$741:$EH$741,"R")</f>
        <v/>
      </c>
      <c r="AX741">
        <f>IF(BN741="D",1,0)+IF(BO741="D",1,0)+IF(BT741="D",1,0)+IF(BU741="D",1,0)+IF(BW741="D",1,0)+IF(CC741="D",1,0)+IF(CD741="D",1,0)+IF(CE741="D",1,0)+IF(CF741="D",1,0)+IF(CL741="D",1,0)+IF(CM741="D",1,0)+IF(CQ741="D",1,0)+IF(CR741="D",1,0)+IF(CS741="D",1,0)+IF(CW741="D",1,0)+IF(CX741="D",1,0)+IF(DD741="D",1,0)+IF(DE741="D",1,0)+IF(DJ741="D",1,0)+IF(DK741="D",1,0)+IF(DO741="D",1,0)+IF(DP741="D",1,0)+IF(DQ741="D",1,0)+IF(DW741="D",1,0)+IF(DZ741="D",1,0)+IF(EH741="D",1,0)</f>
        <v/>
      </c>
      <c r="AY741">
        <f>IF(DJ741&lt;&gt;"",1,0)+IF(DK741&lt;&gt;"",1,0)+IF(DM741&lt;&gt;"",1,0)+IF(DO741&lt;&gt;"",1,0)+IF(DP741&lt;&gt;"",1,0)+IF(DQ741&lt;&gt;"",1,0)+IF(DS741&lt;&gt;"",1,0)+IF(DT741&lt;&gt;"",1,0)+IF(DV741&lt;&gt;"",1,0)+IF(DW741&lt;&gt;"",1,0)+IF(DX741&lt;&gt;"",1,0)+IF(DY741&lt;&gt;"",1,0)+IF(DZ741&lt;&gt;"",1,0)+IF(EB741&lt;&gt;"",1,0)+IF(EC741&lt;&gt;"",1,0)+IF(ED741&lt;&gt;"",1,0)+IF(EG741&lt;&gt;"",1,0)+IF(EH741&lt;&gt;"",1,0)</f>
        <v/>
      </c>
      <c r="AZ741">
        <f>IF(EH741&lt;&gt;"",1,0)</f>
        <v/>
      </c>
      <c r="BB741" t="inlineStr">
        <is>
          <t>WARREN-WARD 4</t>
        </is>
      </c>
    </row>
    <row r="742">
      <c r="A742" t="inlineStr">
        <is>
          <t>OH0023311293</t>
        </is>
      </c>
      <c r="B742" t="n">
        <v>78</v>
      </c>
      <c r="C742" t="n">
        <v>409965</v>
      </c>
      <c r="D742" t="inlineStr">
        <is>
          <t>MEADE</t>
        </is>
      </c>
      <c r="E742" t="inlineStr">
        <is>
          <t>ASHLEY</t>
        </is>
      </c>
      <c r="F742">
        <f>CONCATENATE(D742," ",LEFT(H742,4),"T=",AU742,"D=",AV742,"R=",AW742,"M=",AX742,"L=",AY742,"B=",AZ742)</f>
        <v/>
      </c>
      <c r="G742" t="inlineStr">
        <is>
          <t>E</t>
        </is>
      </c>
      <c r="I742" t="inlineStr">
        <is>
          <t>1986-04-26</t>
        </is>
      </c>
      <c r="J742" t="inlineStr">
        <is>
          <t>2024-08-07</t>
        </is>
      </c>
      <c r="K742" t="inlineStr">
        <is>
          <t>ACTIVE</t>
        </is>
      </c>
      <c r="M742" t="inlineStr">
        <is>
          <t>608 ADELAIDE AVE SE</t>
        </is>
      </c>
      <c r="N742">
        <f>RIGHT(M742,LEN(M742)-FIND(" ",M742))</f>
        <v/>
      </c>
      <c r="P742" t="inlineStr">
        <is>
          <t>WARREN</t>
        </is>
      </c>
      <c r="Q742" t="inlineStr">
        <is>
          <t>OH</t>
        </is>
      </c>
      <c r="R742" t="n">
        <v>44483</v>
      </c>
      <c r="AD742" t="inlineStr">
        <is>
          <t>TRUMBULL CAREER &amp; TECH CENTER</t>
        </is>
      </c>
      <c r="AE742" t="inlineStr">
        <is>
          <t>WARREN CITY</t>
        </is>
      </c>
      <c r="AF742" t="inlineStr">
        <is>
          <t>WARREN CITY SD</t>
        </is>
      </c>
      <c r="AH742" t="n">
        <v>14</v>
      </c>
      <c r="AI742" t="n">
        <v>11</v>
      </c>
      <c r="AN742" t="inlineStr">
        <is>
          <t>WARREN</t>
        </is>
      </c>
      <c r="AO742" t="inlineStr">
        <is>
          <t>WARREN CITY 4A</t>
        </is>
      </c>
      <c r="AP742" t="inlineStr">
        <is>
          <t>78-P-ADI</t>
        </is>
      </c>
      <c r="AQ742" t="n">
        <v>9</v>
      </c>
      <c r="AR742" t="n">
        <v>64</v>
      </c>
      <c r="AS742" t="n">
        <v>32</v>
      </c>
      <c r="AU742">
        <f>COUNTA($BA$742:$EH$742)</f>
        <v/>
      </c>
      <c r="AV742">
        <f>COUNTIF($BA$742:$EH$742,"D")</f>
        <v/>
      </c>
      <c r="AW742">
        <f>COUNTIF($BA$742:$EH$742,"R")</f>
        <v/>
      </c>
      <c r="AX742">
        <f>IF(BN742="D",1,0)+IF(BO742="D",1,0)+IF(BT742="D",1,0)+IF(BU742="D",1,0)+IF(BW742="D",1,0)+IF(CC742="D",1,0)+IF(CD742="D",1,0)+IF(CE742="D",1,0)+IF(CF742="D",1,0)+IF(CL742="D",1,0)+IF(CM742="D",1,0)+IF(CQ742="D",1,0)+IF(CR742="D",1,0)+IF(CS742="D",1,0)+IF(CW742="D",1,0)+IF(CX742="D",1,0)+IF(DD742="D",1,0)+IF(DE742="D",1,0)+IF(DJ742="D",1,0)+IF(DK742="D",1,0)+IF(DO742="D",1,0)+IF(DP742="D",1,0)+IF(DQ742="D",1,0)+IF(DW742="D",1,0)+IF(DZ742="D",1,0)+IF(EH742="D",1,0)</f>
        <v/>
      </c>
      <c r="AY742">
        <f>IF(DJ742&lt;&gt;"",1,0)+IF(DK742&lt;&gt;"",1,0)+IF(DM742&lt;&gt;"",1,0)+IF(DO742&lt;&gt;"",1,0)+IF(DP742&lt;&gt;"",1,0)+IF(DQ742&lt;&gt;"",1,0)+IF(DS742&lt;&gt;"",1,0)+IF(DT742&lt;&gt;"",1,0)+IF(DV742&lt;&gt;"",1,0)+IF(DW742&lt;&gt;"",1,0)+IF(DX742&lt;&gt;"",1,0)+IF(DY742&lt;&gt;"",1,0)+IF(DZ742&lt;&gt;"",1,0)+IF(EB742&lt;&gt;"",1,0)+IF(EC742&lt;&gt;"",1,0)+IF(ED742&lt;&gt;"",1,0)+IF(EG742&lt;&gt;"",1,0)+IF(EH742&lt;&gt;"",1,0)</f>
        <v/>
      </c>
      <c r="AZ742">
        <f>IF(EH742&lt;&gt;"",1,0)</f>
        <v/>
      </c>
      <c r="BB742" t="inlineStr">
        <is>
          <t>WARREN-WARD 4</t>
        </is>
      </c>
    </row>
    <row r="743">
      <c r="A743" t="inlineStr">
        <is>
          <t>OH0015771097</t>
        </is>
      </c>
      <c r="B743" t="n">
        <v>78</v>
      </c>
      <c r="C743" t="n">
        <v>326375</v>
      </c>
      <c r="D743" t="inlineStr">
        <is>
          <t>TALKINGTON</t>
        </is>
      </c>
      <c r="E743" t="inlineStr">
        <is>
          <t>BRANDY</t>
        </is>
      </c>
      <c r="F743">
        <f>CONCATENATE(D743," ",LEFT(H743,4),"T=",AU743,"D=",AV743,"R=",AW743,"M=",AX743,"L=",AY743,"B=",AZ743)</f>
        <v/>
      </c>
      <c r="I743" t="inlineStr">
        <is>
          <t>1980-06-30</t>
        </is>
      </c>
      <c r="J743" t="inlineStr">
        <is>
          <t>2023-09-15</t>
        </is>
      </c>
      <c r="K743" t="inlineStr">
        <is>
          <t>ACTIVE</t>
        </is>
      </c>
      <c r="M743" t="inlineStr">
        <is>
          <t>1081 YOUNGSTOWN RD SE</t>
        </is>
      </c>
      <c r="N743">
        <f>RIGHT(M743,LEN(M743)-FIND(" ",M743))</f>
        <v/>
      </c>
      <c r="P743" t="inlineStr">
        <is>
          <t>WARREN</t>
        </is>
      </c>
      <c r="Q743" t="inlineStr">
        <is>
          <t>OH</t>
        </is>
      </c>
      <c r="R743" t="n">
        <v>44484</v>
      </c>
      <c r="AD743" t="inlineStr">
        <is>
          <t>TRUMBULL CAREER &amp; TECH CENTER</t>
        </is>
      </c>
      <c r="AE743" t="inlineStr">
        <is>
          <t>WARREN CITY</t>
        </is>
      </c>
      <c r="AF743" t="inlineStr">
        <is>
          <t>WARREN CITY SD</t>
        </is>
      </c>
      <c r="AH743" t="n">
        <v>14</v>
      </c>
      <c r="AI743" t="n">
        <v>11</v>
      </c>
      <c r="AN743" t="inlineStr">
        <is>
          <t>WARREN</t>
        </is>
      </c>
      <c r="AO743" t="inlineStr">
        <is>
          <t>WARREN CITY 4A</t>
        </is>
      </c>
      <c r="AP743" t="inlineStr">
        <is>
          <t>78-P-ADI</t>
        </is>
      </c>
      <c r="AQ743" t="n">
        <v>9</v>
      </c>
      <c r="AR743" t="n">
        <v>64</v>
      </c>
      <c r="AS743" t="n">
        <v>32</v>
      </c>
      <c r="AU743">
        <f>COUNTA($BA$743:$EH$743)</f>
        <v/>
      </c>
      <c r="AV743">
        <f>COUNTIF($BA$743:$EH$743,"D")</f>
        <v/>
      </c>
      <c r="AW743">
        <f>COUNTIF($BA$743:$EH$743,"R")</f>
        <v/>
      </c>
      <c r="AX743">
        <f>IF(BN743="D",1,0)+IF(BO743="D",1,0)+IF(BT743="D",1,0)+IF(BU743="D",1,0)+IF(BW743="D",1,0)+IF(CC743="D",1,0)+IF(CD743="D",1,0)+IF(CE743="D",1,0)+IF(CF743="D",1,0)+IF(CL743="D",1,0)+IF(CM743="D",1,0)+IF(CQ743="D",1,0)+IF(CR743="D",1,0)+IF(CS743="D",1,0)+IF(CW743="D",1,0)+IF(CX743="D",1,0)+IF(DD743="D",1,0)+IF(DE743="D",1,0)+IF(DJ743="D",1,0)+IF(DK743="D",1,0)+IF(DO743="D",1,0)+IF(DP743="D",1,0)+IF(DQ743="D",1,0)+IF(DW743="D",1,0)+IF(DZ743="D",1,0)+IF(EH743="D",1,0)</f>
        <v/>
      </c>
      <c r="AY743">
        <f>IF(DJ743&lt;&gt;"",1,0)+IF(DK743&lt;&gt;"",1,0)+IF(DM743&lt;&gt;"",1,0)+IF(DO743&lt;&gt;"",1,0)+IF(DP743&lt;&gt;"",1,0)+IF(DQ743&lt;&gt;"",1,0)+IF(DS743&lt;&gt;"",1,0)+IF(DT743&lt;&gt;"",1,0)+IF(DV743&lt;&gt;"",1,0)+IF(DW743&lt;&gt;"",1,0)+IF(DX743&lt;&gt;"",1,0)+IF(DY743&lt;&gt;"",1,0)+IF(DZ743&lt;&gt;"",1,0)+IF(EB743&lt;&gt;"",1,0)+IF(EC743&lt;&gt;"",1,0)+IF(ED743&lt;&gt;"",1,0)+IF(EG743&lt;&gt;"",1,0)+IF(EH743&lt;&gt;"",1,0)</f>
        <v/>
      </c>
      <c r="AZ743">
        <f>IF(EH743&lt;&gt;"",1,0)</f>
        <v/>
      </c>
      <c r="BB743" t="inlineStr">
        <is>
          <t>WARREN-WARD 4</t>
        </is>
      </c>
      <c r="BL743" t="inlineStr">
        <is>
          <t>X</t>
        </is>
      </c>
      <c r="BP743" t="inlineStr">
        <is>
          <t>X</t>
        </is>
      </c>
      <c r="BS743" t="inlineStr">
        <is>
          <t>X</t>
        </is>
      </c>
      <c r="CA743" t="inlineStr">
        <is>
          <t>X</t>
        </is>
      </c>
      <c r="CG743" t="inlineStr">
        <is>
          <t>X</t>
        </is>
      </c>
      <c r="CN743" t="inlineStr">
        <is>
          <t>X</t>
        </is>
      </c>
      <c r="DN743" t="inlineStr">
        <is>
          <t>X</t>
        </is>
      </c>
      <c r="EA743" t="inlineStr">
        <is>
          <t>X</t>
        </is>
      </c>
      <c r="EF743" t="inlineStr">
        <is>
          <t>X</t>
        </is>
      </c>
    </row>
    <row r="744">
      <c r="A744" t="inlineStr">
        <is>
          <t>OH0022648216</t>
        </is>
      </c>
      <c r="B744" t="n">
        <v>78</v>
      </c>
      <c r="C744" t="n">
        <v>399614</v>
      </c>
      <c r="D744" t="inlineStr">
        <is>
          <t>MILLS</t>
        </is>
      </c>
      <c r="E744" t="inlineStr">
        <is>
          <t>TAIJANIQUE</t>
        </is>
      </c>
      <c r="F744">
        <f>CONCATENATE(D744," ",LEFT(H744,4),"T=",AU744,"D=",AV744,"R=",AW744,"M=",AX744,"L=",AY744,"B=",AZ744)</f>
        <v/>
      </c>
      <c r="G744" t="inlineStr">
        <is>
          <t>SAMARA QVONNE</t>
        </is>
      </c>
      <c r="I744" t="inlineStr">
        <is>
          <t>1995-03-31</t>
        </is>
      </c>
      <c r="J744" t="inlineStr">
        <is>
          <t>2019-04-04</t>
        </is>
      </c>
      <c r="K744" t="inlineStr">
        <is>
          <t>ACTIVE</t>
        </is>
      </c>
      <c r="M744" t="inlineStr">
        <is>
          <t>986 ADELAIDE AVE SE</t>
        </is>
      </c>
      <c r="N744">
        <f>RIGHT(M744,LEN(M744)-FIND(" ",M744))</f>
        <v/>
      </c>
      <c r="P744" t="inlineStr">
        <is>
          <t>WARREN</t>
        </is>
      </c>
      <c r="Q744" t="inlineStr">
        <is>
          <t>OH</t>
        </is>
      </c>
      <c r="R744" t="n">
        <v>44484</v>
      </c>
      <c r="AD744" t="inlineStr">
        <is>
          <t>TRUMBULL CAREER &amp; TECH CENTER</t>
        </is>
      </c>
      <c r="AE744" t="inlineStr">
        <is>
          <t>WARREN CITY</t>
        </is>
      </c>
      <c r="AF744" t="inlineStr">
        <is>
          <t>WARREN CITY SD</t>
        </is>
      </c>
      <c r="AH744" t="n">
        <v>14</v>
      </c>
      <c r="AI744" t="n">
        <v>11</v>
      </c>
      <c r="AN744" t="inlineStr">
        <is>
          <t>WARREN</t>
        </is>
      </c>
      <c r="AO744" t="inlineStr">
        <is>
          <t>WARREN CITY 4A</t>
        </is>
      </c>
      <c r="AP744" t="inlineStr">
        <is>
          <t>78-P-ADI</t>
        </is>
      </c>
      <c r="AQ744" t="n">
        <v>9</v>
      </c>
      <c r="AR744" t="n">
        <v>64</v>
      </c>
      <c r="AS744" t="n">
        <v>32</v>
      </c>
      <c r="AU744">
        <f>COUNTA($BA$744:$EH$744)</f>
        <v/>
      </c>
      <c r="AV744">
        <f>COUNTIF($BA$744:$EH$744,"D")</f>
        <v/>
      </c>
      <c r="AW744">
        <f>COUNTIF($BA$744:$EH$744,"R")</f>
        <v/>
      </c>
      <c r="AX744">
        <f>IF(BN744="D",1,0)+IF(BO744="D",1,0)+IF(BT744="D",1,0)+IF(BU744="D",1,0)+IF(BW744="D",1,0)+IF(CC744="D",1,0)+IF(CD744="D",1,0)+IF(CE744="D",1,0)+IF(CF744="D",1,0)+IF(CL744="D",1,0)+IF(CM744="D",1,0)+IF(CQ744="D",1,0)+IF(CR744="D",1,0)+IF(CS744="D",1,0)+IF(CW744="D",1,0)+IF(CX744="D",1,0)+IF(DD744="D",1,0)+IF(DE744="D",1,0)+IF(DJ744="D",1,0)+IF(DK744="D",1,0)+IF(DO744="D",1,0)+IF(DP744="D",1,0)+IF(DQ744="D",1,0)+IF(DW744="D",1,0)+IF(DZ744="D",1,0)+IF(EH744="D",1,0)</f>
        <v/>
      </c>
      <c r="AY744">
        <f>IF(DJ744&lt;&gt;"",1,0)+IF(DK744&lt;&gt;"",1,0)+IF(DM744&lt;&gt;"",1,0)+IF(DO744&lt;&gt;"",1,0)+IF(DP744&lt;&gt;"",1,0)+IF(DQ744&lt;&gt;"",1,0)+IF(DS744&lt;&gt;"",1,0)+IF(DT744&lt;&gt;"",1,0)+IF(DV744&lt;&gt;"",1,0)+IF(DW744&lt;&gt;"",1,0)+IF(DX744&lt;&gt;"",1,0)+IF(DY744&lt;&gt;"",1,0)+IF(DZ744&lt;&gt;"",1,0)+IF(EB744&lt;&gt;"",1,0)+IF(EC744&lt;&gt;"",1,0)+IF(ED744&lt;&gt;"",1,0)+IF(EG744&lt;&gt;"",1,0)+IF(EH744&lt;&gt;"",1,0)</f>
        <v/>
      </c>
      <c r="AZ744">
        <f>IF(EH744&lt;&gt;"",1,0)</f>
        <v/>
      </c>
      <c r="BB744" t="inlineStr">
        <is>
          <t>WARREN-WARD 4</t>
        </is>
      </c>
      <c r="DN744" t="inlineStr">
        <is>
          <t>X</t>
        </is>
      </c>
      <c r="EF744" t="inlineStr">
        <is>
          <t>X</t>
        </is>
      </c>
    </row>
    <row r="745">
      <c r="A745" t="inlineStr">
        <is>
          <t>OH0024990885</t>
        </is>
      </c>
      <c r="B745" t="n">
        <v>78</v>
      </c>
      <c r="C745" t="n">
        <v>437362</v>
      </c>
      <c r="D745" t="inlineStr">
        <is>
          <t>PHILLIPS</t>
        </is>
      </c>
      <c r="E745" t="inlineStr">
        <is>
          <t>TIMOTHY</t>
        </is>
      </c>
      <c r="F745">
        <f>CONCATENATE(D745," ",LEFT(H745,4),"T=",AU745,"D=",AV745,"R=",AW745,"M=",AX745,"L=",AY745,"B=",AZ745)</f>
        <v/>
      </c>
      <c r="G745" t="inlineStr">
        <is>
          <t>MICHAEL DENTEN</t>
        </is>
      </c>
      <c r="I745" t="inlineStr">
        <is>
          <t>1989-04-14</t>
        </is>
      </c>
      <c r="J745" t="inlineStr">
        <is>
          <t>2018-10-16</t>
        </is>
      </c>
      <c r="K745" t="inlineStr">
        <is>
          <t>ACTIVE</t>
        </is>
      </c>
      <c r="M745" t="inlineStr">
        <is>
          <t>618 ADELAIDE AVE SE</t>
        </is>
      </c>
      <c r="N745">
        <f>RIGHT(M745,LEN(M745)-FIND(" ",M745))</f>
        <v/>
      </c>
      <c r="P745" t="inlineStr">
        <is>
          <t>WARREN</t>
        </is>
      </c>
      <c r="Q745" t="inlineStr">
        <is>
          <t>OH</t>
        </is>
      </c>
      <c r="R745" t="n">
        <v>44483</v>
      </c>
      <c r="AD745" t="inlineStr">
        <is>
          <t>TRUMBULL CAREER &amp; TECH CENTER</t>
        </is>
      </c>
      <c r="AE745" t="inlineStr">
        <is>
          <t>WARREN CITY</t>
        </is>
      </c>
      <c r="AF745" t="inlineStr">
        <is>
          <t>WARREN CITY SD</t>
        </is>
      </c>
      <c r="AH745" t="n">
        <v>14</v>
      </c>
      <c r="AI745" t="n">
        <v>11</v>
      </c>
      <c r="AN745" t="inlineStr">
        <is>
          <t>WARREN</t>
        </is>
      </c>
      <c r="AO745" t="inlineStr">
        <is>
          <t>WARREN CITY 4A</t>
        </is>
      </c>
      <c r="AP745" t="inlineStr">
        <is>
          <t>78-P-ADI</t>
        </is>
      </c>
      <c r="AQ745" t="n">
        <v>9</v>
      </c>
      <c r="AR745" t="n">
        <v>64</v>
      </c>
      <c r="AS745" t="n">
        <v>32</v>
      </c>
      <c r="AU745">
        <f>COUNTA($BA$745:$EH$745)</f>
        <v/>
      </c>
      <c r="AV745">
        <f>COUNTIF($BA$745:$EH$745,"D")</f>
        <v/>
      </c>
      <c r="AW745">
        <f>COUNTIF($BA$745:$EH$745,"R")</f>
        <v/>
      </c>
      <c r="AX745">
        <f>IF(BN745="D",1,0)+IF(BO745="D",1,0)+IF(BT745="D",1,0)+IF(BU745="D",1,0)+IF(BW745="D",1,0)+IF(CC745="D",1,0)+IF(CD745="D",1,0)+IF(CE745="D",1,0)+IF(CF745="D",1,0)+IF(CL745="D",1,0)+IF(CM745="D",1,0)+IF(CQ745="D",1,0)+IF(CR745="D",1,0)+IF(CS745="D",1,0)+IF(CW745="D",1,0)+IF(CX745="D",1,0)+IF(DD745="D",1,0)+IF(DE745="D",1,0)+IF(DJ745="D",1,0)+IF(DK745="D",1,0)+IF(DO745="D",1,0)+IF(DP745="D",1,0)+IF(DQ745="D",1,0)+IF(DW745="D",1,0)+IF(DZ745="D",1,0)+IF(EH745="D",1,0)</f>
        <v/>
      </c>
      <c r="AY745">
        <f>IF(DJ745&lt;&gt;"",1,0)+IF(DK745&lt;&gt;"",1,0)+IF(DM745&lt;&gt;"",1,0)+IF(DO745&lt;&gt;"",1,0)+IF(DP745&lt;&gt;"",1,0)+IF(DQ745&lt;&gt;"",1,0)+IF(DS745&lt;&gt;"",1,0)+IF(DT745&lt;&gt;"",1,0)+IF(DV745&lt;&gt;"",1,0)+IF(DW745&lt;&gt;"",1,0)+IF(DX745&lt;&gt;"",1,0)+IF(DY745&lt;&gt;"",1,0)+IF(DZ745&lt;&gt;"",1,0)+IF(EB745&lt;&gt;"",1,0)+IF(EC745&lt;&gt;"",1,0)+IF(ED745&lt;&gt;"",1,0)+IF(EG745&lt;&gt;"",1,0)+IF(EH745&lt;&gt;"",1,0)</f>
        <v/>
      </c>
      <c r="AZ745">
        <f>IF(EH745&lt;&gt;"",1,0)</f>
        <v/>
      </c>
      <c r="BB745" t="inlineStr">
        <is>
          <t>WARREN-WARD 4</t>
        </is>
      </c>
      <c r="DN745" t="inlineStr">
        <is>
          <t>X</t>
        </is>
      </c>
      <c r="EF745" t="inlineStr">
        <is>
          <t>X</t>
        </is>
      </c>
    </row>
    <row r="746">
      <c r="A746" t="inlineStr">
        <is>
          <t>OH0024990891</t>
        </is>
      </c>
      <c r="B746" t="n">
        <v>78</v>
      </c>
      <c r="C746" t="n">
        <v>437363</v>
      </c>
      <c r="D746" t="inlineStr">
        <is>
          <t>PHILLIPS</t>
        </is>
      </c>
      <c r="E746" t="inlineStr">
        <is>
          <t>APRIL</t>
        </is>
      </c>
      <c r="F746">
        <f>CONCATENATE(D746," ",LEFT(H746,4),"T=",AU746,"D=",AV746,"R=",AW746,"M=",AX746,"L=",AY746,"B=",AZ746)</f>
        <v/>
      </c>
      <c r="G746" t="inlineStr">
        <is>
          <t>E</t>
        </is>
      </c>
      <c r="I746" t="inlineStr">
        <is>
          <t>1991-04-09</t>
        </is>
      </c>
      <c r="J746" t="inlineStr">
        <is>
          <t>2018-10-16</t>
        </is>
      </c>
      <c r="K746" t="inlineStr">
        <is>
          <t>ACTIVE</t>
        </is>
      </c>
      <c r="M746" t="inlineStr">
        <is>
          <t>618 ADELAIDE AVE SE</t>
        </is>
      </c>
      <c r="N746">
        <f>RIGHT(M746,LEN(M746)-FIND(" ",M746))</f>
        <v/>
      </c>
      <c r="P746" t="inlineStr">
        <is>
          <t>WARREN</t>
        </is>
      </c>
      <c r="Q746" t="inlineStr">
        <is>
          <t>OH</t>
        </is>
      </c>
      <c r="R746" t="n">
        <v>44483</v>
      </c>
      <c r="AD746" t="inlineStr">
        <is>
          <t>TRUMBULL CAREER &amp; TECH CENTER</t>
        </is>
      </c>
      <c r="AE746" t="inlineStr">
        <is>
          <t>WARREN CITY</t>
        </is>
      </c>
      <c r="AF746" t="inlineStr">
        <is>
          <t>WARREN CITY SD</t>
        </is>
      </c>
      <c r="AH746" t="n">
        <v>14</v>
      </c>
      <c r="AI746" t="n">
        <v>11</v>
      </c>
      <c r="AN746" t="inlineStr">
        <is>
          <t>WARREN</t>
        </is>
      </c>
      <c r="AO746" t="inlineStr">
        <is>
          <t>WARREN CITY 4A</t>
        </is>
      </c>
      <c r="AP746" t="inlineStr">
        <is>
          <t>78-P-ADI</t>
        </is>
      </c>
      <c r="AQ746" t="n">
        <v>9</v>
      </c>
      <c r="AR746" t="n">
        <v>64</v>
      </c>
      <c r="AS746" t="n">
        <v>32</v>
      </c>
      <c r="AU746">
        <f>COUNTA($BA$746:$EH$746)</f>
        <v/>
      </c>
      <c r="AV746">
        <f>COUNTIF($BA$746:$EH$746,"D")</f>
        <v/>
      </c>
      <c r="AW746">
        <f>COUNTIF($BA$746:$EH$746,"R")</f>
        <v/>
      </c>
      <c r="AX746">
        <f>IF(BN746="D",1,0)+IF(BO746="D",1,0)+IF(BT746="D",1,0)+IF(BU746="D",1,0)+IF(BW746="D",1,0)+IF(CC746="D",1,0)+IF(CD746="D",1,0)+IF(CE746="D",1,0)+IF(CF746="D",1,0)+IF(CL746="D",1,0)+IF(CM746="D",1,0)+IF(CQ746="D",1,0)+IF(CR746="D",1,0)+IF(CS746="D",1,0)+IF(CW746="D",1,0)+IF(CX746="D",1,0)+IF(DD746="D",1,0)+IF(DE746="D",1,0)+IF(DJ746="D",1,0)+IF(DK746="D",1,0)+IF(DO746="D",1,0)+IF(DP746="D",1,0)+IF(DQ746="D",1,0)+IF(DW746="D",1,0)+IF(DZ746="D",1,0)+IF(EH746="D",1,0)</f>
        <v/>
      </c>
      <c r="AY746">
        <f>IF(DJ746&lt;&gt;"",1,0)+IF(DK746&lt;&gt;"",1,0)+IF(DM746&lt;&gt;"",1,0)+IF(DO746&lt;&gt;"",1,0)+IF(DP746&lt;&gt;"",1,0)+IF(DQ746&lt;&gt;"",1,0)+IF(DS746&lt;&gt;"",1,0)+IF(DT746&lt;&gt;"",1,0)+IF(DV746&lt;&gt;"",1,0)+IF(DW746&lt;&gt;"",1,0)+IF(DX746&lt;&gt;"",1,0)+IF(DY746&lt;&gt;"",1,0)+IF(DZ746&lt;&gt;"",1,0)+IF(EB746&lt;&gt;"",1,0)+IF(EC746&lt;&gt;"",1,0)+IF(ED746&lt;&gt;"",1,0)+IF(EG746&lt;&gt;"",1,0)+IF(EH746&lt;&gt;"",1,0)</f>
        <v/>
      </c>
      <c r="AZ746">
        <f>IF(EH746&lt;&gt;"",1,0)</f>
        <v/>
      </c>
      <c r="BB746" t="inlineStr">
        <is>
          <t>WARREN-WARD 4</t>
        </is>
      </c>
      <c r="DN746" t="inlineStr">
        <is>
          <t>X</t>
        </is>
      </c>
      <c r="EA746" t="inlineStr">
        <is>
          <t>X</t>
        </is>
      </c>
      <c r="EF746" t="inlineStr">
        <is>
          <t>X</t>
        </is>
      </c>
    </row>
    <row r="747">
      <c r="A747" t="inlineStr">
        <is>
          <t>OH0024977701</t>
        </is>
      </c>
      <c r="B747" t="n">
        <v>78</v>
      </c>
      <c r="C747" t="n">
        <v>437213</v>
      </c>
      <c r="D747" t="inlineStr">
        <is>
          <t>OLDFIELD</t>
        </is>
      </c>
      <c r="E747" t="inlineStr">
        <is>
          <t>BRITTANY</t>
        </is>
      </c>
      <c r="F747">
        <f>CONCATENATE(D747," ",LEFT(H747,4),"T=",AU747,"D=",AV747,"R=",AW747,"M=",AX747,"L=",AY747,"B=",AZ747)</f>
        <v/>
      </c>
      <c r="G747" t="inlineStr">
        <is>
          <t>JOY</t>
        </is>
      </c>
      <c r="I747" t="inlineStr">
        <is>
          <t>1990-05-21</t>
        </is>
      </c>
      <c r="J747" t="inlineStr">
        <is>
          <t>2018-11-08</t>
        </is>
      </c>
      <c r="K747" t="inlineStr">
        <is>
          <t>CONFIRMATION</t>
        </is>
      </c>
      <c r="M747" t="inlineStr">
        <is>
          <t>304 OAK KNOLL AVE SE</t>
        </is>
      </c>
      <c r="N747">
        <f>RIGHT(M747,LEN(M747)-FIND(" ",M747))</f>
        <v/>
      </c>
      <c r="P747" t="inlineStr">
        <is>
          <t>WARREN</t>
        </is>
      </c>
      <c r="Q747" t="inlineStr">
        <is>
          <t>OH</t>
        </is>
      </c>
      <c r="R747" t="n">
        <v>44483</v>
      </c>
      <c r="AD747" t="inlineStr">
        <is>
          <t>TRUMBULL CAREER &amp; TECH CENTER</t>
        </is>
      </c>
      <c r="AE747" t="inlineStr">
        <is>
          <t>WARREN CITY</t>
        </is>
      </c>
      <c r="AF747" t="inlineStr">
        <is>
          <t>WARREN CITY SD</t>
        </is>
      </c>
      <c r="AH747" t="n">
        <v>14</v>
      </c>
      <c r="AI747" t="n">
        <v>11</v>
      </c>
      <c r="AN747" t="inlineStr">
        <is>
          <t>WARREN</t>
        </is>
      </c>
      <c r="AO747" t="inlineStr">
        <is>
          <t>WARREN CITY 4A</t>
        </is>
      </c>
      <c r="AP747" t="inlineStr">
        <is>
          <t>78-P-ADI</t>
        </is>
      </c>
      <c r="AQ747" t="n">
        <v>9</v>
      </c>
      <c r="AR747" t="n">
        <v>64</v>
      </c>
      <c r="AS747" t="n">
        <v>32</v>
      </c>
      <c r="AU747">
        <f>COUNTA($BA$747:$EH$747)</f>
        <v/>
      </c>
      <c r="AV747">
        <f>COUNTIF($BA$747:$EH$747,"D")</f>
        <v/>
      </c>
      <c r="AW747">
        <f>COUNTIF($BA$747:$EH$747,"R")</f>
        <v/>
      </c>
      <c r="AX747">
        <f>IF(BN747="D",1,0)+IF(BO747="D",1,0)+IF(BT747="D",1,0)+IF(BU747="D",1,0)+IF(BW747="D",1,0)+IF(CC747="D",1,0)+IF(CD747="D",1,0)+IF(CE747="D",1,0)+IF(CF747="D",1,0)+IF(CL747="D",1,0)+IF(CM747="D",1,0)+IF(CQ747="D",1,0)+IF(CR747="D",1,0)+IF(CS747="D",1,0)+IF(CW747="D",1,0)+IF(CX747="D",1,0)+IF(DD747="D",1,0)+IF(DE747="D",1,0)+IF(DJ747="D",1,0)+IF(DK747="D",1,0)+IF(DO747="D",1,0)+IF(DP747="D",1,0)+IF(DQ747="D",1,0)+IF(DW747="D",1,0)+IF(DZ747="D",1,0)+IF(EH747="D",1,0)</f>
        <v/>
      </c>
      <c r="AY747">
        <f>IF(DJ747&lt;&gt;"",1,0)+IF(DK747&lt;&gt;"",1,0)+IF(DM747&lt;&gt;"",1,0)+IF(DO747&lt;&gt;"",1,0)+IF(DP747&lt;&gt;"",1,0)+IF(DQ747&lt;&gt;"",1,0)+IF(DS747&lt;&gt;"",1,0)+IF(DT747&lt;&gt;"",1,0)+IF(DV747&lt;&gt;"",1,0)+IF(DW747&lt;&gt;"",1,0)+IF(DX747&lt;&gt;"",1,0)+IF(DY747&lt;&gt;"",1,0)+IF(DZ747&lt;&gt;"",1,0)+IF(EB747&lt;&gt;"",1,0)+IF(EC747&lt;&gt;"",1,0)+IF(ED747&lt;&gt;"",1,0)+IF(EG747&lt;&gt;"",1,0)+IF(EH747&lt;&gt;"",1,0)</f>
        <v/>
      </c>
      <c r="AZ747">
        <f>IF(EH747&lt;&gt;"",1,0)</f>
        <v/>
      </c>
      <c r="BB747" t="inlineStr">
        <is>
          <t>WARREN-WARD 4</t>
        </is>
      </c>
      <c r="CN747" t="inlineStr">
        <is>
          <t>X</t>
        </is>
      </c>
      <c r="CP747" t="inlineStr">
        <is>
          <t>X</t>
        </is>
      </c>
    </row>
    <row r="748">
      <c r="A748" t="inlineStr">
        <is>
          <t>OH0015821099</t>
        </is>
      </c>
      <c r="B748" t="n">
        <v>78</v>
      </c>
      <c r="C748" t="n">
        <v>313696</v>
      </c>
      <c r="D748" t="inlineStr">
        <is>
          <t>GREGORY</t>
        </is>
      </c>
      <c r="E748" t="inlineStr">
        <is>
          <t>JASEN</t>
        </is>
      </c>
      <c r="F748">
        <f>CONCATENATE(D748," ",LEFT(H748,4),"T=",AU748,"D=",AV748,"R=",AW748,"M=",AX748,"L=",AY748,"B=",AZ748)</f>
        <v/>
      </c>
      <c r="I748" t="inlineStr">
        <is>
          <t>1985-01-02</t>
        </is>
      </c>
      <c r="J748" t="inlineStr">
        <is>
          <t>2015-11-29</t>
        </is>
      </c>
      <c r="K748" t="inlineStr">
        <is>
          <t>ACTIVE</t>
        </is>
      </c>
      <c r="M748" t="inlineStr">
        <is>
          <t>388 KENILWORTH AVE SE</t>
        </is>
      </c>
      <c r="N748">
        <f>RIGHT(M748,LEN(M748)-FIND(" ",M748))</f>
        <v/>
      </c>
      <c r="P748" t="inlineStr">
        <is>
          <t>WARREN</t>
        </is>
      </c>
      <c r="Q748" t="inlineStr">
        <is>
          <t>OH</t>
        </is>
      </c>
      <c r="R748" t="n">
        <v>44483</v>
      </c>
      <c r="AD748" t="inlineStr">
        <is>
          <t>TRUMBULL CAREER &amp; TECH CENTER</t>
        </is>
      </c>
      <c r="AE748" t="inlineStr">
        <is>
          <t>WARREN CITY</t>
        </is>
      </c>
      <c r="AF748" t="inlineStr">
        <is>
          <t>WARREN CITY SD</t>
        </is>
      </c>
      <c r="AH748" t="n">
        <v>14</v>
      </c>
      <c r="AI748" t="n">
        <v>11</v>
      </c>
      <c r="AN748" t="inlineStr">
        <is>
          <t>WARREN</t>
        </is>
      </c>
      <c r="AO748" t="inlineStr">
        <is>
          <t>WARREN CITY 4A</t>
        </is>
      </c>
      <c r="AP748" t="inlineStr">
        <is>
          <t>78-P-ADI</t>
        </is>
      </c>
      <c r="AQ748" t="n">
        <v>9</v>
      </c>
      <c r="AR748" t="n">
        <v>64</v>
      </c>
      <c r="AS748" t="n">
        <v>32</v>
      </c>
      <c r="AU748">
        <f>COUNTA($BA$748:$EH$748)</f>
        <v/>
      </c>
      <c r="AV748">
        <f>COUNTIF($BA$748:$EH$748,"D")</f>
        <v/>
      </c>
      <c r="AW748">
        <f>COUNTIF($BA$748:$EH$748,"R")</f>
        <v/>
      </c>
      <c r="AX748">
        <f>IF(BN748="D",1,0)+IF(BO748="D",1,0)+IF(BT748="D",1,0)+IF(BU748="D",1,0)+IF(BW748="D",1,0)+IF(CC748="D",1,0)+IF(CD748="D",1,0)+IF(CE748="D",1,0)+IF(CF748="D",1,0)+IF(CL748="D",1,0)+IF(CM748="D",1,0)+IF(CQ748="D",1,0)+IF(CR748="D",1,0)+IF(CS748="D",1,0)+IF(CW748="D",1,0)+IF(CX748="D",1,0)+IF(DD748="D",1,0)+IF(DE748="D",1,0)+IF(DJ748="D",1,0)+IF(DK748="D",1,0)+IF(DO748="D",1,0)+IF(DP748="D",1,0)+IF(DQ748="D",1,0)+IF(DW748="D",1,0)+IF(DZ748="D",1,0)+IF(EH748="D",1,0)</f>
        <v/>
      </c>
      <c r="AY748">
        <f>IF(DJ748&lt;&gt;"",1,0)+IF(DK748&lt;&gt;"",1,0)+IF(DM748&lt;&gt;"",1,0)+IF(DO748&lt;&gt;"",1,0)+IF(DP748&lt;&gt;"",1,0)+IF(DQ748&lt;&gt;"",1,0)+IF(DS748&lt;&gt;"",1,0)+IF(DT748&lt;&gt;"",1,0)+IF(DV748&lt;&gt;"",1,0)+IF(DW748&lt;&gt;"",1,0)+IF(DX748&lt;&gt;"",1,0)+IF(DY748&lt;&gt;"",1,0)+IF(DZ748&lt;&gt;"",1,0)+IF(EB748&lt;&gt;"",1,0)+IF(EC748&lt;&gt;"",1,0)+IF(ED748&lt;&gt;"",1,0)+IF(EG748&lt;&gt;"",1,0)+IF(EH748&lt;&gt;"",1,0)</f>
        <v/>
      </c>
      <c r="AZ748">
        <f>IF(EH748&lt;&gt;"",1,0)</f>
        <v/>
      </c>
      <c r="BB748" t="inlineStr">
        <is>
          <t>WARREN-WARD 4</t>
        </is>
      </c>
      <c r="CN748" t="inlineStr">
        <is>
          <t>X</t>
        </is>
      </c>
      <c r="CP748" t="inlineStr">
        <is>
          <t>X</t>
        </is>
      </c>
      <c r="CW748" t="inlineStr">
        <is>
          <t>D</t>
        </is>
      </c>
      <c r="CY748" t="inlineStr">
        <is>
          <t>X</t>
        </is>
      </c>
      <c r="DC748" t="inlineStr">
        <is>
          <t>X</t>
        </is>
      </c>
      <c r="DN748" t="inlineStr">
        <is>
          <t>X</t>
        </is>
      </c>
      <c r="DR748" t="inlineStr">
        <is>
          <t>X</t>
        </is>
      </c>
      <c r="DU748" t="inlineStr">
        <is>
          <t>X</t>
        </is>
      </c>
      <c r="DX748" t="inlineStr">
        <is>
          <t>X</t>
        </is>
      </c>
      <c r="EF748" t="inlineStr">
        <is>
          <t>X</t>
        </is>
      </c>
    </row>
    <row r="749">
      <c r="A749" t="inlineStr">
        <is>
          <t>OH0015802552</t>
        </is>
      </c>
      <c r="B749" t="n">
        <v>78</v>
      </c>
      <c r="C749" t="n">
        <v>280113</v>
      </c>
      <c r="D749" t="inlineStr">
        <is>
          <t>ASKEW</t>
        </is>
      </c>
      <c r="E749" t="inlineStr">
        <is>
          <t>STACEY</t>
        </is>
      </c>
      <c r="F749">
        <f>CONCATENATE(D749," ",LEFT(H749,4),"T=",AU749,"D=",AV749,"R=",AW749,"M=",AX749,"L=",AY749,"B=",AZ749)</f>
        <v/>
      </c>
      <c r="G749" t="inlineStr">
        <is>
          <t>L</t>
        </is>
      </c>
      <c r="I749" t="inlineStr">
        <is>
          <t>1979-05-18</t>
        </is>
      </c>
      <c r="J749" t="inlineStr">
        <is>
          <t>2023-03-06</t>
        </is>
      </c>
      <c r="K749" t="inlineStr">
        <is>
          <t>ACTIVE</t>
        </is>
      </c>
      <c r="M749" t="inlineStr">
        <is>
          <t>747 HOMEWOOD AVE SE</t>
        </is>
      </c>
      <c r="N749">
        <f>RIGHT(M749,LEN(M749)-FIND(" ",M749))</f>
        <v/>
      </c>
      <c r="P749" t="inlineStr">
        <is>
          <t>WARREN</t>
        </is>
      </c>
      <c r="Q749" t="inlineStr">
        <is>
          <t>OH</t>
        </is>
      </c>
      <c r="R749" t="n">
        <v>44484</v>
      </c>
      <c r="AD749" t="inlineStr">
        <is>
          <t>TRUMBULL CAREER &amp; TECH CENTER</t>
        </is>
      </c>
      <c r="AE749" t="inlineStr">
        <is>
          <t>WARREN CITY</t>
        </is>
      </c>
      <c r="AF749" t="inlineStr">
        <is>
          <t>WARREN CITY SD</t>
        </is>
      </c>
      <c r="AH749" t="n">
        <v>14</v>
      </c>
      <c r="AI749" t="n">
        <v>11</v>
      </c>
      <c r="AN749" t="inlineStr">
        <is>
          <t>WARREN</t>
        </is>
      </c>
      <c r="AO749" t="inlineStr">
        <is>
          <t>WARREN CITY 4A</t>
        </is>
      </c>
      <c r="AP749" t="inlineStr">
        <is>
          <t>78-P-ADI</t>
        </is>
      </c>
      <c r="AQ749" t="n">
        <v>9</v>
      </c>
      <c r="AR749" t="n">
        <v>64</v>
      </c>
      <c r="AS749" t="n">
        <v>32</v>
      </c>
      <c r="AU749">
        <f>COUNTA($BA$749:$EH$749)</f>
        <v/>
      </c>
      <c r="AV749">
        <f>COUNTIF($BA$749:$EH$749,"D")</f>
        <v/>
      </c>
      <c r="AW749">
        <f>COUNTIF($BA$749:$EH$749,"R")</f>
        <v/>
      </c>
      <c r="AX749">
        <f>IF(BN749="D",1,0)+IF(BO749="D",1,0)+IF(BT749="D",1,0)+IF(BU749="D",1,0)+IF(BW749="D",1,0)+IF(CC749="D",1,0)+IF(CD749="D",1,0)+IF(CE749="D",1,0)+IF(CF749="D",1,0)+IF(CL749="D",1,0)+IF(CM749="D",1,0)+IF(CQ749="D",1,0)+IF(CR749="D",1,0)+IF(CS749="D",1,0)+IF(CW749="D",1,0)+IF(CX749="D",1,0)+IF(DD749="D",1,0)+IF(DE749="D",1,0)+IF(DJ749="D",1,0)+IF(DK749="D",1,0)+IF(DO749="D",1,0)+IF(DP749="D",1,0)+IF(DQ749="D",1,0)+IF(DW749="D",1,0)+IF(DZ749="D",1,0)+IF(EH749="D",1,0)</f>
        <v/>
      </c>
      <c r="AY749">
        <f>IF(DJ749&lt;&gt;"",1,0)+IF(DK749&lt;&gt;"",1,0)+IF(DM749&lt;&gt;"",1,0)+IF(DO749&lt;&gt;"",1,0)+IF(DP749&lt;&gt;"",1,0)+IF(DQ749&lt;&gt;"",1,0)+IF(DS749&lt;&gt;"",1,0)+IF(DT749&lt;&gt;"",1,0)+IF(DV749&lt;&gt;"",1,0)+IF(DW749&lt;&gt;"",1,0)+IF(DX749&lt;&gt;"",1,0)+IF(DY749&lt;&gt;"",1,0)+IF(DZ749&lt;&gt;"",1,0)+IF(EB749&lt;&gt;"",1,0)+IF(EC749&lt;&gt;"",1,0)+IF(ED749&lt;&gt;"",1,0)+IF(EG749&lt;&gt;"",1,0)+IF(EH749&lt;&gt;"",1,0)</f>
        <v/>
      </c>
      <c r="AZ749">
        <f>IF(EH749&lt;&gt;"",1,0)</f>
        <v/>
      </c>
      <c r="BB749" t="inlineStr">
        <is>
          <t>WARREN-WARD 4</t>
        </is>
      </c>
      <c r="BH749" t="inlineStr">
        <is>
          <t>X</t>
        </is>
      </c>
      <c r="CA749" t="inlineStr">
        <is>
          <t>X</t>
        </is>
      </c>
      <c r="CP749" t="inlineStr">
        <is>
          <t>X</t>
        </is>
      </c>
      <c r="CQ749" t="inlineStr">
        <is>
          <t>D</t>
        </is>
      </c>
      <c r="DC749" t="inlineStr">
        <is>
          <t>X</t>
        </is>
      </c>
      <c r="DF749" t="inlineStr">
        <is>
          <t>X</t>
        </is>
      </c>
    </row>
    <row r="750">
      <c r="A750" t="inlineStr">
        <is>
          <t>OH0027838866</t>
        </is>
      </c>
      <c r="B750" t="n">
        <v>78</v>
      </c>
      <c r="C750" t="n">
        <v>492221</v>
      </c>
      <c r="D750" t="inlineStr">
        <is>
          <t>MILLER</t>
        </is>
      </c>
      <c r="E750" t="inlineStr">
        <is>
          <t>KITARA</t>
        </is>
      </c>
      <c r="F750">
        <f>CONCATENATE(D750," ",LEFT(H750,4),"T=",AU750,"D=",AV750,"R=",AW750,"M=",AX750,"L=",AY750,"B=",AZ750)</f>
        <v/>
      </c>
      <c r="G750" t="inlineStr">
        <is>
          <t>LEIGH</t>
        </is>
      </c>
      <c r="I750" t="inlineStr">
        <is>
          <t>2006-04-05</t>
        </is>
      </c>
      <c r="J750" t="inlineStr">
        <is>
          <t>2024-10-15</t>
        </is>
      </c>
      <c r="K750" t="inlineStr">
        <is>
          <t>ACTIVE</t>
        </is>
      </c>
      <c r="M750" t="inlineStr">
        <is>
          <t>385 BONNIE BRAE AVE SE</t>
        </is>
      </c>
      <c r="N750">
        <f>RIGHT(M750,LEN(M750)-FIND(" ",M750))</f>
        <v/>
      </c>
      <c r="P750" t="inlineStr">
        <is>
          <t>WARREN</t>
        </is>
      </c>
      <c r="Q750" t="inlineStr">
        <is>
          <t>OH</t>
        </is>
      </c>
      <c r="R750" t="n">
        <v>44484</v>
      </c>
      <c r="AD750" t="inlineStr">
        <is>
          <t>TRUMBULL CAREER &amp; TECH CENTER</t>
        </is>
      </c>
      <c r="AE750" t="inlineStr">
        <is>
          <t>WARREN CITY</t>
        </is>
      </c>
      <c r="AF750" t="inlineStr">
        <is>
          <t>WARREN CITY SD</t>
        </is>
      </c>
      <c r="AH750" t="n">
        <v>14</v>
      </c>
      <c r="AI750" t="n">
        <v>11</v>
      </c>
      <c r="AN750" t="inlineStr">
        <is>
          <t>WARREN</t>
        </is>
      </c>
      <c r="AO750" t="inlineStr">
        <is>
          <t>WARREN CITY 4A</t>
        </is>
      </c>
      <c r="AP750" t="inlineStr">
        <is>
          <t>78-P-ADI</t>
        </is>
      </c>
      <c r="AQ750" t="n">
        <v>9</v>
      </c>
      <c r="AR750" t="n">
        <v>64</v>
      </c>
      <c r="AS750" t="n">
        <v>32</v>
      </c>
      <c r="AU750">
        <f>COUNTA($BA$750:$EH$750)</f>
        <v/>
      </c>
      <c r="AV750">
        <f>COUNTIF($BA$750:$EH$750,"D")</f>
        <v/>
      </c>
      <c r="AW750">
        <f>COUNTIF($BA$750:$EH$750,"R")</f>
        <v/>
      </c>
      <c r="AX750">
        <f>IF(BN750="D",1,0)+IF(BO750="D",1,0)+IF(BT750="D",1,0)+IF(BU750="D",1,0)+IF(BW750="D",1,0)+IF(CC750="D",1,0)+IF(CD750="D",1,0)+IF(CE750="D",1,0)+IF(CF750="D",1,0)+IF(CL750="D",1,0)+IF(CM750="D",1,0)+IF(CQ750="D",1,0)+IF(CR750="D",1,0)+IF(CS750="D",1,0)+IF(CW750="D",1,0)+IF(CX750="D",1,0)+IF(DD750="D",1,0)+IF(DE750="D",1,0)+IF(DJ750="D",1,0)+IF(DK750="D",1,0)+IF(DO750="D",1,0)+IF(DP750="D",1,0)+IF(DQ750="D",1,0)+IF(DW750="D",1,0)+IF(DZ750="D",1,0)+IF(EH750="D",1,0)</f>
        <v/>
      </c>
      <c r="AY750">
        <f>IF(DJ750&lt;&gt;"",1,0)+IF(DK750&lt;&gt;"",1,0)+IF(DM750&lt;&gt;"",1,0)+IF(DO750&lt;&gt;"",1,0)+IF(DP750&lt;&gt;"",1,0)+IF(DQ750&lt;&gt;"",1,0)+IF(DS750&lt;&gt;"",1,0)+IF(DT750&lt;&gt;"",1,0)+IF(DV750&lt;&gt;"",1,0)+IF(DW750&lt;&gt;"",1,0)+IF(DX750&lt;&gt;"",1,0)+IF(DY750&lt;&gt;"",1,0)+IF(DZ750&lt;&gt;"",1,0)+IF(EB750&lt;&gt;"",1,0)+IF(EC750&lt;&gt;"",1,0)+IF(ED750&lt;&gt;"",1,0)+IF(EG750&lt;&gt;"",1,0)+IF(EH750&lt;&gt;"",1,0)</f>
        <v/>
      </c>
      <c r="AZ750">
        <f>IF(EH750&lt;&gt;"",1,0)</f>
        <v/>
      </c>
      <c r="BB750" t="inlineStr">
        <is>
          <t>WARREN-WARD 4</t>
        </is>
      </c>
    </row>
    <row r="751">
      <c r="A751" t="inlineStr">
        <is>
          <t>OH0023663147</t>
        </is>
      </c>
      <c r="B751" t="n">
        <v>78</v>
      </c>
      <c r="C751" t="n">
        <v>416378</v>
      </c>
      <c r="D751" t="inlineStr">
        <is>
          <t>GILBERT</t>
        </is>
      </c>
      <c r="E751" t="inlineStr">
        <is>
          <t>AMY</t>
        </is>
      </c>
      <c r="F751">
        <f>CONCATENATE(D751," ",LEFT(H751,4),"T=",AU751,"D=",AV751,"R=",AW751,"M=",AX751,"L=",AY751,"B=",AZ751)</f>
        <v/>
      </c>
      <c r="G751" t="inlineStr">
        <is>
          <t>J</t>
        </is>
      </c>
      <c r="I751" t="inlineStr">
        <is>
          <t>1971-05-07</t>
        </is>
      </c>
      <c r="J751" t="inlineStr">
        <is>
          <t>2016-04-30</t>
        </is>
      </c>
      <c r="K751" t="inlineStr">
        <is>
          <t>ACTIVE</t>
        </is>
      </c>
      <c r="M751" t="inlineStr">
        <is>
          <t>733 KENILWORTH AVE SE</t>
        </is>
      </c>
      <c r="N751">
        <f>RIGHT(M751,LEN(M751)-FIND(" ",M751))</f>
        <v/>
      </c>
      <c r="P751" t="inlineStr">
        <is>
          <t>WARREN</t>
        </is>
      </c>
      <c r="Q751" t="inlineStr">
        <is>
          <t>OH</t>
        </is>
      </c>
      <c r="R751" t="n">
        <v>44484</v>
      </c>
      <c r="AD751" t="inlineStr">
        <is>
          <t>TRUMBULL CAREER &amp; TECH CENTER</t>
        </is>
      </c>
      <c r="AE751" t="inlineStr">
        <is>
          <t>WARREN CITY</t>
        </is>
      </c>
      <c r="AF751" t="inlineStr">
        <is>
          <t>WARREN CITY SD</t>
        </is>
      </c>
      <c r="AH751" t="n">
        <v>14</v>
      </c>
      <c r="AI751" t="n">
        <v>11</v>
      </c>
      <c r="AN751" t="inlineStr">
        <is>
          <t>WARREN</t>
        </is>
      </c>
      <c r="AO751" t="inlineStr">
        <is>
          <t>WARREN CITY 4A</t>
        </is>
      </c>
      <c r="AP751" t="inlineStr">
        <is>
          <t>78-P-ADI</t>
        </is>
      </c>
      <c r="AQ751" t="n">
        <v>9</v>
      </c>
      <c r="AR751" t="n">
        <v>64</v>
      </c>
      <c r="AS751" t="n">
        <v>32</v>
      </c>
      <c r="AU751">
        <f>COUNTA($BA$751:$EH$751)</f>
        <v/>
      </c>
      <c r="AV751">
        <f>COUNTIF($BA$751:$EH$751,"D")</f>
        <v/>
      </c>
      <c r="AW751">
        <f>COUNTIF($BA$751:$EH$751,"R")</f>
        <v/>
      </c>
      <c r="AX751">
        <f>IF(BN751="D",1,0)+IF(BO751="D",1,0)+IF(BT751="D",1,0)+IF(BU751="D",1,0)+IF(BW751="D",1,0)+IF(CC751="D",1,0)+IF(CD751="D",1,0)+IF(CE751="D",1,0)+IF(CF751="D",1,0)+IF(CL751="D",1,0)+IF(CM751="D",1,0)+IF(CQ751="D",1,0)+IF(CR751="D",1,0)+IF(CS751="D",1,0)+IF(CW751="D",1,0)+IF(CX751="D",1,0)+IF(DD751="D",1,0)+IF(DE751="D",1,0)+IF(DJ751="D",1,0)+IF(DK751="D",1,0)+IF(DO751="D",1,0)+IF(DP751="D",1,0)+IF(DQ751="D",1,0)+IF(DW751="D",1,0)+IF(DZ751="D",1,0)+IF(EH751="D",1,0)</f>
        <v/>
      </c>
      <c r="AY751">
        <f>IF(DJ751&lt;&gt;"",1,0)+IF(DK751&lt;&gt;"",1,0)+IF(DM751&lt;&gt;"",1,0)+IF(DO751&lt;&gt;"",1,0)+IF(DP751&lt;&gt;"",1,0)+IF(DQ751&lt;&gt;"",1,0)+IF(DS751&lt;&gt;"",1,0)+IF(DT751&lt;&gt;"",1,0)+IF(DV751&lt;&gt;"",1,0)+IF(DW751&lt;&gt;"",1,0)+IF(DX751&lt;&gt;"",1,0)+IF(DY751&lt;&gt;"",1,0)+IF(DZ751&lt;&gt;"",1,0)+IF(EB751&lt;&gt;"",1,0)+IF(EC751&lt;&gt;"",1,0)+IF(ED751&lt;&gt;"",1,0)+IF(EG751&lt;&gt;"",1,0)+IF(EH751&lt;&gt;"",1,0)</f>
        <v/>
      </c>
      <c r="AZ751">
        <f>IF(EH751&lt;&gt;"",1,0)</f>
        <v/>
      </c>
      <c r="BB751" t="inlineStr">
        <is>
          <t>WARREN-WARD 4</t>
        </is>
      </c>
      <c r="DC751" t="inlineStr">
        <is>
          <t>X</t>
        </is>
      </c>
      <c r="DI751" t="inlineStr">
        <is>
          <t>X</t>
        </is>
      </c>
      <c r="DN751" t="inlineStr">
        <is>
          <t>X</t>
        </is>
      </c>
    </row>
    <row r="752">
      <c r="A752" t="inlineStr">
        <is>
          <t>OH0023440877</t>
        </is>
      </c>
      <c r="B752" t="n">
        <v>78</v>
      </c>
      <c r="C752" t="n">
        <v>411544</v>
      </c>
      <c r="D752" t="inlineStr">
        <is>
          <t>GOMBOS</t>
        </is>
      </c>
      <c r="E752" t="inlineStr">
        <is>
          <t>PAUL</t>
        </is>
      </c>
      <c r="F752">
        <f>CONCATENATE(D752," ",LEFT(H752,4),"T=",AU752,"D=",AV752,"R=",AW752,"M=",AX752,"L=",AY752,"B=",AZ752)</f>
        <v/>
      </c>
      <c r="G752" t="inlineStr">
        <is>
          <t>A</t>
        </is>
      </c>
      <c r="I752" t="inlineStr">
        <is>
          <t>1981-12-02</t>
        </is>
      </c>
      <c r="J752" t="inlineStr">
        <is>
          <t>2020-10-05</t>
        </is>
      </c>
      <c r="K752" t="inlineStr">
        <is>
          <t>ACTIVE</t>
        </is>
      </c>
      <c r="M752" t="inlineStr">
        <is>
          <t>776 HOMEWOOD AVE SE</t>
        </is>
      </c>
      <c r="N752">
        <f>RIGHT(M752,LEN(M752)-FIND(" ",M752))</f>
        <v/>
      </c>
      <c r="P752" t="inlineStr">
        <is>
          <t>WARREN</t>
        </is>
      </c>
      <c r="Q752" t="inlineStr">
        <is>
          <t>OH</t>
        </is>
      </c>
      <c r="R752" t="n">
        <v>44484</v>
      </c>
      <c r="AD752" t="inlineStr">
        <is>
          <t>TRUMBULL CAREER &amp; TECH CENTER</t>
        </is>
      </c>
      <c r="AE752" t="inlineStr">
        <is>
          <t>WARREN CITY</t>
        </is>
      </c>
      <c r="AF752" t="inlineStr">
        <is>
          <t>WARREN CITY SD</t>
        </is>
      </c>
      <c r="AH752" t="n">
        <v>14</v>
      </c>
      <c r="AI752" t="n">
        <v>11</v>
      </c>
      <c r="AN752" t="inlineStr">
        <is>
          <t>WARREN</t>
        </is>
      </c>
      <c r="AO752" t="inlineStr">
        <is>
          <t>WARREN CITY 4A</t>
        </is>
      </c>
      <c r="AP752" t="inlineStr">
        <is>
          <t>78-P-ADI</t>
        </is>
      </c>
      <c r="AQ752" t="n">
        <v>9</v>
      </c>
      <c r="AR752" t="n">
        <v>64</v>
      </c>
      <c r="AS752" t="n">
        <v>32</v>
      </c>
      <c r="AU752">
        <f>COUNTA($BA$752:$EH$752)</f>
        <v/>
      </c>
      <c r="AV752">
        <f>COUNTIF($BA$752:$EH$752,"D")</f>
        <v/>
      </c>
      <c r="AW752">
        <f>COUNTIF($BA$752:$EH$752,"R")</f>
        <v/>
      </c>
      <c r="AX752">
        <f>IF(BN752="D",1,0)+IF(BO752="D",1,0)+IF(BT752="D",1,0)+IF(BU752="D",1,0)+IF(BW752="D",1,0)+IF(CC752="D",1,0)+IF(CD752="D",1,0)+IF(CE752="D",1,0)+IF(CF752="D",1,0)+IF(CL752="D",1,0)+IF(CM752="D",1,0)+IF(CQ752="D",1,0)+IF(CR752="D",1,0)+IF(CS752="D",1,0)+IF(CW752="D",1,0)+IF(CX752="D",1,0)+IF(DD752="D",1,0)+IF(DE752="D",1,0)+IF(DJ752="D",1,0)+IF(DK752="D",1,0)+IF(DO752="D",1,0)+IF(DP752="D",1,0)+IF(DQ752="D",1,0)+IF(DW752="D",1,0)+IF(DZ752="D",1,0)+IF(EH752="D",1,0)</f>
        <v/>
      </c>
      <c r="AY752">
        <f>IF(DJ752&lt;&gt;"",1,0)+IF(DK752&lt;&gt;"",1,0)+IF(DM752&lt;&gt;"",1,0)+IF(DO752&lt;&gt;"",1,0)+IF(DP752&lt;&gt;"",1,0)+IF(DQ752&lt;&gt;"",1,0)+IF(DS752&lt;&gt;"",1,0)+IF(DT752&lt;&gt;"",1,0)+IF(DV752&lt;&gt;"",1,0)+IF(DW752&lt;&gt;"",1,0)+IF(DX752&lt;&gt;"",1,0)+IF(DY752&lt;&gt;"",1,0)+IF(DZ752&lt;&gt;"",1,0)+IF(EB752&lt;&gt;"",1,0)+IF(EC752&lt;&gt;"",1,0)+IF(ED752&lt;&gt;"",1,0)+IF(EG752&lt;&gt;"",1,0)+IF(EH752&lt;&gt;"",1,0)</f>
        <v/>
      </c>
      <c r="AZ752">
        <f>IF(EH752&lt;&gt;"",1,0)</f>
        <v/>
      </c>
      <c r="BB752" t="inlineStr">
        <is>
          <t>WARREN-WARD 4</t>
        </is>
      </c>
      <c r="DN752" t="inlineStr">
        <is>
          <t>X</t>
        </is>
      </c>
      <c r="EF752" t="inlineStr">
        <is>
          <t>X</t>
        </is>
      </c>
    </row>
    <row r="753">
      <c r="A753" t="inlineStr">
        <is>
          <t>OH0015733484</t>
        </is>
      </c>
      <c r="B753" t="n">
        <v>78</v>
      </c>
      <c r="C753" t="n">
        <v>221660</v>
      </c>
      <c r="D753" t="inlineStr">
        <is>
          <t>MANLEY</t>
        </is>
      </c>
      <c r="E753" t="inlineStr">
        <is>
          <t>ANTIONETTA</t>
        </is>
      </c>
      <c r="F753">
        <f>CONCATENATE(D753," ",LEFT(H753,4),"T=",AU753,"D=",AV753,"R=",AW753,"M=",AX753,"L=",AY753,"B=",AZ753)</f>
        <v/>
      </c>
      <c r="G753" t="inlineStr">
        <is>
          <t>C</t>
        </is>
      </c>
      <c r="I753" t="inlineStr">
        <is>
          <t>1952-11-17</t>
        </is>
      </c>
      <c r="J753" t="inlineStr">
        <is>
          <t>2016-07-20</t>
        </is>
      </c>
      <c r="K753" t="inlineStr">
        <is>
          <t>ACTIVE</t>
        </is>
      </c>
      <c r="L753" t="inlineStr">
        <is>
          <t>R</t>
        </is>
      </c>
      <c r="M753" t="inlineStr">
        <is>
          <t>394 ADELAIDE AVE SE</t>
        </is>
      </c>
      <c r="N753">
        <f>RIGHT(M753,LEN(M753)-FIND(" ",M753))</f>
        <v/>
      </c>
      <c r="P753" t="inlineStr">
        <is>
          <t>WARREN</t>
        </is>
      </c>
      <c r="Q753" t="inlineStr">
        <is>
          <t>OH</t>
        </is>
      </c>
      <c r="R753" t="n">
        <v>44483</v>
      </c>
      <c r="AD753" t="inlineStr">
        <is>
          <t>TRUMBULL CAREER &amp; TECH CENTER</t>
        </is>
      </c>
      <c r="AE753" t="inlineStr">
        <is>
          <t>WARREN CITY</t>
        </is>
      </c>
      <c r="AF753" t="inlineStr">
        <is>
          <t>WARREN CITY SD</t>
        </is>
      </c>
      <c r="AH753" t="n">
        <v>14</v>
      </c>
      <c r="AI753" t="n">
        <v>11</v>
      </c>
      <c r="AN753" t="inlineStr">
        <is>
          <t>WARREN</t>
        </is>
      </c>
      <c r="AO753" t="inlineStr">
        <is>
          <t>WARREN CITY 4A</t>
        </is>
      </c>
      <c r="AP753" t="inlineStr">
        <is>
          <t>78-P-ADI</t>
        </is>
      </c>
      <c r="AQ753" t="n">
        <v>9</v>
      </c>
      <c r="AR753" t="n">
        <v>64</v>
      </c>
      <c r="AS753" t="n">
        <v>32</v>
      </c>
      <c r="AU753">
        <f>COUNTA($BA$753:$EH$753)</f>
        <v/>
      </c>
      <c r="AV753">
        <f>COUNTIF($BA$753:$EH$753,"D")</f>
        <v/>
      </c>
      <c r="AW753">
        <f>COUNTIF($BA$753:$EH$753,"R")</f>
        <v/>
      </c>
      <c r="AX753">
        <f>IF(BN753="D",1,0)+IF(BO753="D",1,0)+IF(BT753="D",1,0)+IF(BU753="D",1,0)+IF(BW753="D",1,0)+IF(CC753="D",1,0)+IF(CD753="D",1,0)+IF(CE753="D",1,0)+IF(CF753="D",1,0)+IF(CL753="D",1,0)+IF(CM753="D",1,0)+IF(CQ753="D",1,0)+IF(CR753="D",1,0)+IF(CS753="D",1,0)+IF(CW753="D",1,0)+IF(CX753="D",1,0)+IF(DD753="D",1,0)+IF(DE753="D",1,0)+IF(DJ753="D",1,0)+IF(DK753="D",1,0)+IF(DO753="D",1,0)+IF(DP753="D",1,0)+IF(DQ753="D",1,0)+IF(DW753="D",1,0)+IF(DZ753="D",1,0)+IF(EH753="D",1,0)</f>
        <v/>
      </c>
      <c r="AY753">
        <f>IF(DJ753&lt;&gt;"",1,0)+IF(DK753&lt;&gt;"",1,0)+IF(DM753&lt;&gt;"",1,0)+IF(DO753&lt;&gt;"",1,0)+IF(DP753&lt;&gt;"",1,0)+IF(DQ753&lt;&gt;"",1,0)+IF(DS753&lt;&gt;"",1,0)+IF(DT753&lt;&gt;"",1,0)+IF(DV753&lt;&gt;"",1,0)+IF(DW753&lt;&gt;"",1,0)+IF(DX753&lt;&gt;"",1,0)+IF(DY753&lt;&gt;"",1,0)+IF(DZ753&lt;&gt;"",1,0)+IF(EB753&lt;&gt;"",1,0)+IF(EC753&lt;&gt;"",1,0)+IF(ED753&lt;&gt;"",1,0)+IF(EG753&lt;&gt;"",1,0)+IF(EH753&lt;&gt;"",1,0)</f>
        <v/>
      </c>
      <c r="AZ753">
        <f>IF(EH753&lt;&gt;"",1,0)</f>
        <v/>
      </c>
      <c r="BB753" t="inlineStr">
        <is>
          <t>WARREN-WARD 4</t>
        </is>
      </c>
      <c r="BC753" t="inlineStr">
        <is>
          <t>X</t>
        </is>
      </c>
      <c r="BD753" t="inlineStr">
        <is>
          <t>X</t>
        </is>
      </c>
      <c r="BF753" t="inlineStr">
        <is>
          <t>X</t>
        </is>
      </c>
      <c r="BG753" t="inlineStr">
        <is>
          <t>X</t>
        </is>
      </c>
      <c r="BH753" t="inlineStr">
        <is>
          <t>X</t>
        </is>
      </c>
      <c r="BI753" t="inlineStr">
        <is>
          <t>X</t>
        </is>
      </c>
      <c r="BJ753" t="inlineStr">
        <is>
          <t>X</t>
        </is>
      </c>
      <c r="BK753" t="inlineStr">
        <is>
          <t>X</t>
        </is>
      </c>
      <c r="BL753" t="inlineStr">
        <is>
          <t>X</t>
        </is>
      </c>
      <c r="BP753" t="inlineStr">
        <is>
          <t>X</t>
        </is>
      </c>
      <c r="BR753" t="inlineStr">
        <is>
          <t>X</t>
        </is>
      </c>
      <c r="BS753" t="inlineStr">
        <is>
          <t>X</t>
        </is>
      </c>
      <c r="BV753" t="inlineStr">
        <is>
          <t>X</t>
        </is>
      </c>
      <c r="BY753" t="inlineStr">
        <is>
          <t>D</t>
        </is>
      </c>
      <c r="CA753" t="inlineStr">
        <is>
          <t>X</t>
        </is>
      </c>
      <c r="CG753" t="inlineStr">
        <is>
          <t>X</t>
        </is>
      </c>
      <c r="CH753" t="inlineStr">
        <is>
          <t>D</t>
        </is>
      </c>
      <c r="CK753" t="inlineStr">
        <is>
          <t>X</t>
        </is>
      </c>
      <c r="CL753" t="inlineStr">
        <is>
          <t>D</t>
        </is>
      </c>
      <c r="CN753" t="inlineStr">
        <is>
          <t>X</t>
        </is>
      </c>
      <c r="CO753" t="inlineStr">
        <is>
          <t>D</t>
        </is>
      </c>
      <c r="CP753" t="inlineStr">
        <is>
          <t>X</t>
        </is>
      </c>
      <c r="CT753" t="inlineStr">
        <is>
          <t>X</t>
        </is>
      </c>
      <c r="CU753" t="inlineStr">
        <is>
          <t>D</t>
        </is>
      </c>
      <c r="CV753" t="inlineStr">
        <is>
          <t>X</t>
        </is>
      </c>
      <c r="CY753" t="inlineStr">
        <is>
          <t>X</t>
        </is>
      </c>
      <c r="CZ753" t="inlineStr">
        <is>
          <t>D</t>
        </is>
      </c>
      <c r="DC753" t="inlineStr">
        <is>
          <t>X</t>
        </is>
      </c>
      <c r="DF753" t="inlineStr">
        <is>
          <t>X</t>
        </is>
      </c>
      <c r="DG753" t="inlineStr">
        <is>
          <t>D</t>
        </is>
      </c>
      <c r="DI753" t="inlineStr">
        <is>
          <t>X</t>
        </is>
      </c>
      <c r="DL753" t="inlineStr">
        <is>
          <t>X</t>
        </is>
      </c>
      <c r="DM753" t="inlineStr">
        <is>
          <t>R</t>
        </is>
      </c>
      <c r="DN753" t="inlineStr">
        <is>
          <t>X</t>
        </is>
      </c>
      <c r="DR753" t="inlineStr">
        <is>
          <t>X</t>
        </is>
      </c>
      <c r="DU753" t="inlineStr">
        <is>
          <t>X</t>
        </is>
      </c>
      <c r="DW753" t="inlineStr">
        <is>
          <t>D</t>
        </is>
      </c>
      <c r="DX753" t="inlineStr">
        <is>
          <t>X</t>
        </is>
      </c>
      <c r="EA753" t="inlineStr">
        <is>
          <t>X</t>
        </is>
      </c>
      <c r="ED753" t="inlineStr">
        <is>
          <t>R</t>
        </is>
      </c>
      <c r="EF753" t="inlineStr">
        <is>
          <t>X</t>
        </is>
      </c>
    </row>
    <row r="754">
      <c r="A754" t="inlineStr">
        <is>
          <t>OH0022012359</t>
        </is>
      </c>
      <c r="B754" t="n">
        <v>78</v>
      </c>
      <c r="C754" t="n">
        <v>390120</v>
      </c>
      <c r="D754" t="inlineStr">
        <is>
          <t>WILDE</t>
        </is>
      </c>
      <c r="E754" t="inlineStr">
        <is>
          <t>GARRET</t>
        </is>
      </c>
      <c r="F754">
        <f>CONCATENATE(D754," ",LEFT(H754,4),"T=",AU754,"D=",AV754,"R=",AW754,"M=",AX754,"L=",AY754,"B=",AZ754)</f>
        <v/>
      </c>
      <c r="G754" t="inlineStr">
        <is>
          <t>EDWARD</t>
        </is>
      </c>
      <c r="I754" t="inlineStr">
        <is>
          <t>1994-08-21</t>
        </is>
      </c>
      <c r="J754" t="inlineStr">
        <is>
          <t>2012-08-29</t>
        </is>
      </c>
      <c r="K754" t="inlineStr">
        <is>
          <t>CONFIRMATION</t>
        </is>
      </c>
      <c r="M754" t="inlineStr">
        <is>
          <t>920 OAK KNOLL AVE SE</t>
        </is>
      </c>
      <c r="N754">
        <f>RIGHT(M754,LEN(M754)-FIND(" ",M754))</f>
        <v/>
      </c>
      <c r="P754" t="inlineStr">
        <is>
          <t>WARREN</t>
        </is>
      </c>
      <c r="Q754" t="inlineStr">
        <is>
          <t>OH</t>
        </is>
      </c>
      <c r="R754" t="n">
        <v>44484</v>
      </c>
      <c r="AD754" t="inlineStr">
        <is>
          <t>TRUMBULL CAREER &amp; TECH CENTER</t>
        </is>
      </c>
      <c r="AE754" t="inlineStr">
        <is>
          <t>WARREN CITY</t>
        </is>
      </c>
      <c r="AF754" t="inlineStr">
        <is>
          <t>WARREN CITY SD</t>
        </is>
      </c>
      <c r="AH754" t="n">
        <v>14</v>
      </c>
      <c r="AI754" t="n">
        <v>11</v>
      </c>
      <c r="AN754" t="inlineStr">
        <is>
          <t>WARREN</t>
        </is>
      </c>
      <c r="AO754" t="inlineStr">
        <is>
          <t>WARREN CITY 4A</t>
        </is>
      </c>
      <c r="AP754" t="inlineStr">
        <is>
          <t>78-P-ADI</t>
        </is>
      </c>
      <c r="AQ754" t="n">
        <v>9</v>
      </c>
      <c r="AR754" t="n">
        <v>64</v>
      </c>
      <c r="AS754" t="n">
        <v>32</v>
      </c>
      <c r="AU754">
        <f>COUNTA($BA$754:$EH$754)</f>
        <v/>
      </c>
      <c r="AV754">
        <f>COUNTIF($BA$754:$EH$754,"D")</f>
        <v/>
      </c>
      <c r="AW754">
        <f>COUNTIF($BA$754:$EH$754,"R")</f>
        <v/>
      </c>
      <c r="AX754">
        <f>IF(BN754="D",1,0)+IF(BO754="D",1,0)+IF(BT754="D",1,0)+IF(BU754="D",1,0)+IF(BW754="D",1,0)+IF(CC754="D",1,0)+IF(CD754="D",1,0)+IF(CE754="D",1,0)+IF(CF754="D",1,0)+IF(CL754="D",1,0)+IF(CM754="D",1,0)+IF(CQ754="D",1,0)+IF(CR754="D",1,0)+IF(CS754="D",1,0)+IF(CW754="D",1,0)+IF(CX754="D",1,0)+IF(DD754="D",1,0)+IF(DE754="D",1,0)+IF(DJ754="D",1,0)+IF(DK754="D",1,0)+IF(DO754="D",1,0)+IF(DP754="D",1,0)+IF(DQ754="D",1,0)+IF(DW754="D",1,0)+IF(DZ754="D",1,0)+IF(EH754="D",1,0)</f>
        <v/>
      </c>
      <c r="AY754">
        <f>IF(DJ754&lt;&gt;"",1,0)+IF(DK754&lt;&gt;"",1,0)+IF(DM754&lt;&gt;"",1,0)+IF(DO754&lt;&gt;"",1,0)+IF(DP754&lt;&gt;"",1,0)+IF(DQ754&lt;&gt;"",1,0)+IF(DS754&lt;&gt;"",1,0)+IF(DT754&lt;&gt;"",1,0)+IF(DV754&lt;&gt;"",1,0)+IF(DW754&lt;&gt;"",1,0)+IF(DX754&lt;&gt;"",1,0)+IF(DY754&lt;&gt;"",1,0)+IF(DZ754&lt;&gt;"",1,0)+IF(EB754&lt;&gt;"",1,0)+IF(EC754&lt;&gt;"",1,0)+IF(ED754&lt;&gt;"",1,0)+IF(EG754&lt;&gt;"",1,0)+IF(EH754&lt;&gt;"",1,0)</f>
        <v/>
      </c>
      <c r="AZ754">
        <f>IF(EH754&lt;&gt;"",1,0)</f>
        <v/>
      </c>
      <c r="BB754" t="inlineStr">
        <is>
          <t>WARREN-WARD 4</t>
        </is>
      </c>
      <c r="CP754" t="inlineStr">
        <is>
          <t>X</t>
        </is>
      </c>
      <c r="CV754" t="inlineStr">
        <is>
          <t>X</t>
        </is>
      </c>
    </row>
    <row r="755">
      <c r="A755" t="inlineStr">
        <is>
          <t>OH0027511503</t>
        </is>
      </c>
      <c r="B755" t="n">
        <v>78</v>
      </c>
      <c r="C755" t="n">
        <v>487484</v>
      </c>
      <c r="D755" t="inlineStr">
        <is>
          <t>SAURUK</t>
        </is>
      </c>
      <c r="E755" t="inlineStr">
        <is>
          <t>CYNTHIA</t>
        </is>
      </c>
      <c r="F755">
        <f>CONCATENATE(D755," ",LEFT(H755,4),"T=",AU755,"D=",AV755,"R=",AW755,"M=",AX755,"L=",AY755,"B=",AZ755)</f>
        <v/>
      </c>
      <c r="G755" t="inlineStr">
        <is>
          <t>M</t>
        </is>
      </c>
      <c r="I755" t="inlineStr">
        <is>
          <t>1992-09-27</t>
        </is>
      </c>
      <c r="J755" t="inlineStr">
        <is>
          <t>2024-08-07</t>
        </is>
      </c>
      <c r="K755" t="inlineStr">
        <is>
          <t>ACTIVE</t>
        </is>
      </c>
      <c r="M755" t="inlineStr">
        <is>
          <t>880 OAK KNOLL AVE SE</t>
        </is>
      </c>
      <c r="N755">
        <f>RIGHT(M755,LEN(M755)-FIND(" ",M755))</f>
        <v/>
      </c>
      <c r="P755" t="inlineStr">
        <is>
          <t>WARREN</t>
        </is>
      </c>
      <c r="Q755" t="inlineStr">
        <is>
          <t>OH</t>
        </is>
      </c>
      <c r="R755" t="n">
        <v>44484</v>
      </c>
      <c r="AD755" t="inlineStr">
        <is>
          <t>TRUMBULL CAREER &amp; TECH CENTER</t>
        </is>
      </c>
      <c r="AE755" t="inlineStr">
        <is>
          <t>WARREN CITY</t>
        </is>
      </c>
      <c r="AF755" t="inlineStr">
        <is>
          <t>WARREN CITY SD</t>
        </is>
      </c>
      <c r="AH755" t="n">
        <v>14</v>
      </c>
      <c r="AI755" t="n">
        <v>11</v>
      </c>
      <c r="AN755" t="inlineStr">
        <is>
          <t>WARREN</t>
        </is>
      </c>
      <c r="AO755" t="inlineStr">
        <is>
          <t>WARREN CITY 4A</t>
        </is>
      </c>
      <c r="AP755" t="inlineStr">
        <is>
          <t>78-P-ADI</t>
        </is>
      </c>
      <c r="AQ755" t="n">
        <v>9</v>
      </c>
      <c r="AR755" t="n">
        <v>64</v>
      </c>
      <c r="AS755" t="n">
        <v>32</v>
      </c>
      <c r="AU755">
        <f>COUNTA($BA$755:$EH$755)</f>
        <v/>
      </c>
      <c r="AV755">
        <f>COUNTIF($BA$755:$EH$755,"D")</f>
        <v/>
      </c>
      <c r="AW755">
        <f>COUNTIF($BA$755:$EH$755,"R")</f>
        <v/>
      </c>
      <c r="AX755">
        <f>IF(BN755="D",1,0)+IF(BO755="D",1,0)+IF(BT755="D",1,0)+IF(BU755="D",1,0)+IF(BW755="D",1,0)+IF(CC755="D",1,0)+IF(CD755="D",1,0)+IF(CE755="D",1,0)+IF(CF755="D",1,0)+IF(CL755="D",1,0)+IF(CM755="D",1,0)+IF(CQ755="D",1,0)+IF(CR755="D",1,0)+IF(CS755="D",1,0)+IF(CW755="D",1,0)+IF(CX755="D",1,0)+IF(DD755="D",1,0)+IF(DE755="D",1,0)+IF(DJ755="D",1,0)+IF(DK755="D",1,0)+IF(DO755="D",1,0)+IF(DP755="D",1,0)+IF(DQ755="D",1,0)+IF(DW755="D",1,0)+IF(DZ755="D",1,0)+IF(EH755="D",1,0)</f>
        <v/>
      </c>
      <c r="AY755">
        <f>IF(DJ755&lt;&gt;"",1,0)+IF(DK755&lt;&gt;"",1,0)+IF(DM755&lt;&gt;"",1,0)+IF(DO755&lt;&gt;"",1,0)+IF(DP755&lt;&gt;"",1,0)+IF(DQ755&lt;&gt;"",1,0)+IF(DS755&lt;&gt;"",1,0)+IF(DT755&lt;&gt;"",1,0)+IF(DV755&lt;&gt;"",1,0)+IF(DW755&lt;&gt;"",1,0)+IF(DX755&lt;&gt;"",1,0)+IF(DY755&lt;&gt;"",1,0)+IF(DZ755&lt;&gt;"",1,0)+IF(EB755&lt;&gt;"",1,0)+IF(EC755&lt;&gt;"",1,0)+IF(ED755&lt;&gt;"",1,0)+IF(EG755&lt;&gt;"",1,0)+IF(EH755&lt;&gt;"",1,0)</f>
        <v/>
      </c>
      <c r="AZ755">
        <f>IF(EH755&lt;&gt;"",1,0)</f>
        <v/>
      </c>
      <c r="BB755" t="inlineStr">
        <is>
          <t>WARREN-WARD 4</t>
        </is>
      </c>
    </row>
    <row r="756">
      <c r="A756" t="inlineStr">
        <is>
          <t>OH0015728783</t>
        </is>
      </c>
      <c r="B756" t="n">
        <v>78</v>
      </c>
      <c r="C756" t="n">
        <v>215344</v>
      </c>
      <c r="D756" t="inlineStr">
        <is>
          <t>SNAREY</t>
        </is>
      </c>
      <c r="E756" t="inlineStr">
        <is>
          <t>CHRISTINE</t>
        </is>
      </c>
      <c r="F756">
        <f>CONCATENATE(D756," ",LEFT(H756,4),"T=",AU756,"D=",AV756,"R=",AW756,"M=",AX756,"L=",AY756,"B=",AZ756)</f>
        <v/>
      </c>
      <c r="I756" t="inlineStr">
        <is>
          <t>1971-03-27</t>
        </is>
      </c>
      <c r="J756" t="inlineStr">
        <is>
          <t>1989-03-22</t>
        </is>
      </c>
      <c r="K756" t="inlineStr">
        <is>
          <t>ACTIVE</t>
        </is>
      </c>
      <c r="L756" t="inlineStr">
        <is>
          <t>R</t>
        </is>
      </c>
      <c r="M756" t="inlineStr">
        <is>
          <t>558 ADELAIDE AVE SE</t>
        </is>
      </c>
      <c r="N756">
        <f>RIGHT(M756,LEN(M756)-FIND(" ",M756))</f>
        <v/>
      </c>
      <c r="P756" t="inlineStr">
        <is>
          <t>WARREN</t>
        </is>
      </c>
      <c r="Q756" t="inlineStr">
        <is>
          <t>OH</t>
        </is>
      </c>
      <c r="R756" t="n">
        <v>44483</v>
      </c>
      <c r="AD756" t="inlineStr">
        <is>
          <t>TRUMBULL CAREER &amp; TECH CENTER</t>
        </is>
      </c>
      <c r="AE756" t="inlineStr">
        <is>
          <t>WARREN CITY</t>
        </is>
      </c>
      <c r="AF756" t="inlineStr">
        <is>
          <t>WARREN CITY SD</t>
        </is>
      </c>
      <c r="AH756" t="n">
        <v>14</v>
      </c>
      <c r="AI756" t="n">
        <v>11</v>
      </c>
      <c r="AN756" t="inlineStr">
        <is>
          <t>WARREN</t>
        </is>
      </c>
      <c r="AO756" t="inlineStr">
        <is>
          <t>WARREN CITY 4A</t>
        </is>
      </c>
      <c r="AP756" t="inlineStr">
        <is>
          <t>78-P-ADI</t>
        </is>
      </c>
      <c r="AQ756" t="n">
        <v>9</v>
      </c>
      <c r="AR756" t="n">
        <v>64</v>
      </c>
      <c r="AS756" t="n">
        <v>32</v>
      </c>
      <c r="AU756">
        <f>COUNTA($BA$756:$EH$756)</f>
        <v/>
      </c>
      <c r="AV756">
        <f>COUNTIF($BA$756:$EH$756,"D")</f>
        <v/>
      </c>
      <c r="AW756">
        <f>COUNTIF($BA$756:$EH$756,"R")</f>
        <v/>
      </c>
      <c r="AX756">
        <f>IF(BN756="D",1,0)+IF(BO756="D",1,0)+IF(BT756="D",1,0)+IF(BU756="D",1,0)+IF(BW756="D",1,0)+IF(CC756="D",1,0)+IF(CD756="D",1,0)+IF(CE756="D",1,0)+IF(CF756="D",1,0)+IF(CL756="D",1,0)+IF(CM756="D",1,0)+IF(CQ756="D",1,0)+IF(CR756="D",1,0)+IF(CS756="D",1,0)+IF(CW756="D",1,0)+IF(CX756="D",1,0)+IF(DD756="D",1,0)+IF(DE756="D",1,0)+IF(DJ756="D",1,0)+IF(DK756="D",1,0)+IF(DO756="D",1,0)+IF(DP756="D",1,0)+IF(DQ756="D",1,0)+IF(DW756="D",1,0)+IF(DZ756="D",1,0)+IF(EH756="D",1,0)</f>
        <v/>
      </c>
      <c r="AY756">
        <f>IF(DJ756&lt;&gt;"",1,0)+IF(DK756&lt;&gt;"",1,0)+IF(DM756&lt;&gt;"",1,0)+IF(DO756&lt;&gt;"",1,0)+IF(DP756&lt;&gt;"",1,0)+IF(DQ756&lt;&gt;"",1,0)+IF(DS756&lt;&gt;"",1,0)+IF(DT756&lt;&gt;"",1,0)+IF(DV756&lt;&gt;"",1,0)+IF(DW756&lt;&gt;"",1,0)+IF(DX756&lt;&gt;"",1,0)+IF(DY756&lt;&gt;"",1,0)+IF(DZ756&lt;&gt;"",1,0)+IF(EB756&lt;&gt;"",1,0)+IF(EC756&lt;&gt;"",1,0)+IF(ED756&lt;&gt;"",1,0)+IF(EG756&lt;&gt;"",1,0)+IF(EH756&lt;&gt;"",1,0)</f>
        <v/>
      </c>
      <c r="AZ756">
        <f>IF(EH756&lt;&gt;"",1,0)</f>
        <v/>
      </c>
      <c r="BB756" t="inlineStr">
        <is>
          <t>WARREN-WARD 4</t>
        </is>
      </c>
      <c r="BC756" t="inlineStr">
        <is>
          <t>X</t>
        </is>
      </c>
      <c r="BD756" t="inlineStr">
        <is>
          <t>X</t>
        </is>
      </c>
      <c r="BH756" t="inlineStr">
        <is>
          <t>X</t>
        </is>
      </c>
      <c r="BJ756" t="inlineStr">
        <is>
          <t>X</t>
        </is>
      </c>
      <c r="BL756" t="inlineStr">
        <is>
          <t>X</t>
        </is>
      </c>
      <c r="BP756" t="inlineStr">
        <is>
          <t>X</t>
        </is>
      </c>
      <c r="BR756" t="inlineStr">
        <is>
          <t>X</t>
        </is>
      </c>
      <c r="BS756" t="inlineStr">
        <is>
          <t>X</t>
        </is>
      </c>
      <c r="BV756" t="inlineStr">
        <is>
          <t>X</t>
        </is>
      </c>
      <c r="BY756" t="inlineStr">
        <is>
          <t>D</t>
        </is>
      </c>
      <c r="CA756" t="inlineStr">
        <is>
          <t>X</t>
        </is>
      </c>
      <c r="CG756" t="inlineStr">
        <is>
          <t>X</t>
        </is>
      </c>
      <c r="CH756" t="inlineStr">
        <is>
          <t>D</t>
        </is>
      </c>
      <c r="CK756" t="inlineStr">
        <is>
          <t>X</t>
        </is>
      </c>
      <c r="CN756" t="inlineStr">
        <is>
          <t>X</t>
        </is>
      </c>
      <c r="CO756" t="inlineStr">
        <is>
          <t>D</t>
        </is>
      </c>
      <c r="CP756" t="inlineStr">
        <is>
          <t>X</t>
        </is>
      </c>
      <c r="CU756" t="inlineStr">
        <is>
          <t>R</t>
        </is>
      </c>
      <c r="CV756" t="inlineStr">
        <is>
          <t>X</t>
        </is>
      </c>
      <c r="CY756" t="inlineStr">
        <is>
          <t>X</t>
        </is>
      </c>
      <c r="CZ756" t="inlineStr">
        <is>
          <t>R</t>
        </is>
      </c>
      <c r="DC756" t="inlineStr">
        <is>
          <t>X</t>
        </is>
      </c>
      <c r="DF756" t="inlineStr">
        <is>
          <t>X</t>
        </is>
      </c>
      <c r="DG756" t="inlineStr">
        <is>
          <t>R</t>
        </is>
      </c>
      <c r="DI756" t="inlineStr">
        <is>
          <t>X</t>
        </is>
      </c>
      <c r="DL756" t="inlineStr">
        <is>
          <t>X</t>
        </is>
      </c>
      <c r="DM756" t="inlineStr">
        <is>
          <t>R</t>
        </is>
      </c>
      <c r="DN756" t="inlineStr">
        <is>
          <t>X</t>
        </is>
      </c>
      <c r="DR756" t="inlineStr">
        <is>
          <t>X</t>
        </is>
      </c>
      <c r="DS756" t="inlineStr">
        <is>
          <t>R</t>
        </is>
      </c>
      <c r="DT756" t="inlineStr">
        <is>
          <t>R</t>
        </is>
      </c>
      <c r="DU756" t="inlineStr">
        <is>
          <t>X</t>
        </is>
      </c>
      <c r="DW756" t="inlineStr">
        <is>
          <t>X</t>
        </is>
      </c>
      <c r="DX756" t="inlineStr">
        <is>
          <t>X</t>
        </is>
      </c>
      <c r="EA756" t="inlineStr">
        <is>
          <t>X</t>
        </is>
      </c>
      <c r="ED756" t="inlineStr">
        <is>
          <t>R</t>
        </is>
      </c>
      <c r="EF756" t="inlineStr">
        <is>
          <t>X</t>
        </is>
      </c>
      <c r="EH756" t="inlineStr">
        <is>
          <t>X</t>
        </is>
      </c>
    </row>
    <row r="757">
      <c r="A757" t="inlineStr">
        <is>
          <t>OH0015809505</t>
        </is>
      </c>
      <c r="B757" t="n">
        <v>78</v>
      </c>
      <c r="C757" t="n">
        <v>259371</v>
      </c>
      <c r="D757" t="inlineStr">
        <is>
          <t>AUSTIN</t>
        </is>
      </c>
      <c r="E757" t="inlineStr">
        <is>
          <t>LAMAR</t>
        </is>
      </c>
      <c r="F757">
        <f>CONCATENATE(D757," ",LEFT(H757,4),"T=",AU757,"D=",AV757,"R=",AW757,"M=",AX757,"L=",AY757,"B=",AZ757)</f>
        <v/>
      </c>
      <c r="I757" t="inlineStr">
        <is>
          <t>1975-11-13</t>
        </is>
      </c>
      <c r="J757" t="inlineStr">
        <is>
          <t>2014-08-08</t>
        </is>
      </c>
      <c r="K757" t="inlineStr">
        <is>
          <t>ACTIVE</t>
        </is>
      </c>
      <c r="M757" t="inlineStr">
        <is>
          <t>780 KENILWORTH AVE SE</t>
        </is>
      </c>
      <c r="N757">
        <f>RIGHT(M757,LEN(M757)-FIND(" ",M757))</f>
        <v/>
      </c>
      <c r="P757" t="inlineStr">
        <is>
          <t>WARREN</t>
        </is>
      </c>
      <c r="Q757" t="inlineStr">
        <is>
          <t>OH</t>
        </is>
      </c>
      <c r="R757" t="n">
        <v>44484</v>
      </c>
      <c r="AD757" t="inlineStr">
        <is>
          <t>TRUMBULL CAREER &amp; TECH CENTER</t>
        </is>
      </c>
      <c r="AE757" t="inlineStr">
        <is>
          <t>WARREN CITY</t>
        </is>
      </c>
      <c r="AF757" t="inlineStr">
        <is>
          <t>WARREN CITY SD</t>
        </is>
      </c>
      <c r="AH757" t="n">
        <v>14</v>
      </c>
      <c r="AI757" t="n">
        <v>11</v>
      </c>
      <c r="AN757" t="inlineStr">
        <is>
          <t>WARREN</t>
        </is>
      </c>
      <c r="AO757" t="inlineStr">
        <is>
          <t>WARREN CITY 4A</t>
        </is>
      </c>
      <c r="AP757" t="inlineStr">
        <is>
          <t>78-P-ADI</t>
        </is>
      </c>
      <c r="AQ757" t="n">
        <v>9</v>
      </c>
      <c r="AR757" t="n">
        <v>64</v>
      </c>
      <c r="AS757" t="n">
        <v>32</v>
      </c>
      <c r="AU757">
        <f>COUNTA($BA$757:$EH$757)</f>
        <v/>
      </c>
      <c r="AV757">
        <f>COUNTIF($BA$757:$EH$757,"D")</f>
        <v/>
      </c>
      <c r="AW757">
        <f>COUNTIF($BA$757:$EH$757,"R")</f>
        <v/>
      </c>
      <c r="AX757">
        <f>IF(BN757="D",1,0)+IF(BO757="D",1,0)+IF(BT757="D",1,0)+IF(BU757="D",1,0)+IF(BW757="D",1,0)+IF(CC757="D",1,0)+IF(CD757="D",1,0)+IF(CE757="D",1,0)+IF(CF757="D",1,0)+IF(CL757="D",1,0)+IF(CM757="D",1,0)+IF(CQ757="D",1,0)+IF(CR757="D",1,0)+IF(CS757="D",1,0)+IF(CW757="D",1,0)+IF(CX757="D",1,0)+IF(DD757="D",1,0)+IF(DE757="D",1,0)+IF(DJ757="D",1,0)+IF(DK757="D",1,0)+IF(DO757="D",1,0)+IF(DP757="D",1,0)+IF(DQ757="D",1,0)+IF(DW757="D",1,0)+IF(DZ757="D",1,0)+IF(EH757="D",1,0)</f>
        <v/>
      </c>
      <c r="AY757">
        <f>IF(DJ757&lt;&gt;"",1,0)+IF(DK757&lt;&gt;"",1,0)+IF(DM757&lt;&gt;"",1,0)+IF(DO757&lt;&gt;"",1,0)+IF(DP757&lt;&gt;"",1,0)+IF(DQ757&lt;&gt;"",1,0)+IF(DS757&lt;&gt;"",1,0)+IF(DT757&lt;&gt;"",1,0)+IF(DV757&lt;&gt;"",1,0)+IF(DW757&lt;&gt;"",1,0)+IF(DX757&lt;&gt;"",1,0)+IF(DY757&lt;&gt;"",1,0)+IF(DZ757&lt;&gt;"",1,0)+IF(EB757&lt;&gt;"",1,0)+IF(EC757&lt;&gt;"",1,0)+IF(ED757&lt;&gt;"",1,0)+IF(EG757&lt;&gt;"",1,0)+IF(EH757&lt;&gt;"",1,0)</f>
        <v/>
      </c>
      <c r="AZ757">
        <f>IF(EH757&lt;&gt;"",1,0)</f>
        <v/>
      </c>
      <c r="BB757" t="inlineStr">
        <is>
          <t>WARREN-WARD 4</t>
        </is>
      </c>
      <c r="BC757" t="inlineStr">
        <is>
          <t>X</t>
        </is>
      </c>
      <c r="BD757" t="inlineStr">
        <is>
          <t>X</t>
        </is>
      </c>
      <c r="BJ757" t="inlineStr">
        <is>
          <t>X</t>
        </is>
      </c>
      <c r="BK757" t="inlineStr">
        <is>
          <t>X</t>
        </is>
      </c>
      <c r="BL757" t="inlineStr">
        <is>
          <t>X</t>
        </is>
      </c>
      <c r="BS757" t="inlineStr">
        <is>
          <t>X</t>
        </is>
      </c>
      <c r="BY757" t="inlineStr">
        <is>
          <t>D</t>
        </is>
      </c>
      <c r="CA757" t="inlineStr">
        <is>
          <t>X</t>
        </is>
      </c>
      <c r="CL757" t="inlineStr">
        <is>
          <t>D</t>
        </is>
      </c>
      <c r="CN757" t="inlineStr">
        <is>
          <t>X</t>
        </is>
      </c>
      <c r="CP757" t="inlineStr">
        <is>
          <t>X</t>
        </is>
      </c>
      <c r="CV757" t="inlineStr">
        <is>
          <t>X</t>
        </is>
      </c>
      <c r="CY757" t="inlineStr">
        <is>
          <t>X</t>
        </is>
      </c>
      <c r="CZ757" t="inlineStr">
        <is>
          <t>D</t>
        </is>
      </c>
      <c r="DC757" t="inlineStr">
        <is>
          <t>X</t>
        </is>
      </c>
      <c r="DF757" t="inlineStr">
        <is>
          <t>X</t>
        </is>
      </c>
      <c r="DG757" t="inlineStr">
        <is>
          <t>D</t>
        </is>
      </c>
      <c r="DI757" t="inlineStr">
        <is>
          <t>X</t>
        </is>
      </c>
      <c r="DL757" t="inlineStr">
        <is>
          <t>X</t>
        </is>
      </c>
      <c r="DN757" t="inlineStr">
        <is>
          <t>X</t>
        </is>
      </c>
      <c r="DR757" t="inlineStr">
        <is>
          <t>X</t>
        </is>
      </c>
      <c r="DU757" t="inlineStr">
        <is>
          <t>X</t>
        </is>
      </c>
      <c r="EA757" t="inlineStr">
        <is>
          <t>X</t>
        </is>
      </c>
      <c r="EF757" t="inlineStr">
        <is>
          <t>X</t>
        </is>
      </c>
    </row>
    <row r="758">
      <c r="A758" t="inlineStr">
        <is>
          <t>OH0023835448</t>
        </is>
      </c>
      <c r="B758" t="n">
        <v>78</v>
      </c>
      <c r="C758" t="n">
        <v>418784</v>
      </c>
      <c r="D758" t="inlineStr">
        <is>
          <t>OKEKE</t>
        </is>
      </c>
      <c r="E758" t="inlineStr">
        <is>
          <t>SHANNON</t>
        </is>
      </c>
      <c r="F758">
        <f>CONCATENATE(D758," ",LEFT(H758,4),"T=",AU758,"D=",AV758,"R=",AW758,"M=",AX758,"L=",AY758,"B=",AZ758)</f>
        <v/>
      </c>
      <c r="G758" t="inlineStr">
        <is>
          <t>AMARENE</t>
        </is>
      </c>
      <c r="I758" t="inlineStr">
        <is>
          <t>1985-10-17</t>
        </is>
      </c>
      <c r="J758" t="inlineStr">
        <is>
          <t>2024-11-05</t>
        </is>
      </c>
      <c r="K758" t="inlineStr">
        <is>
          <t>ACTIVE</t>
        </is>
      </c>
      <c r="M758" t="inlineStr">
        <is>
          <t>506 WOODBINE AVE SE</t>
        </is>
      </c>
      <c r="N758">
        <f>RIGHT(M758,LEN(M758)-FIND(" ",M758))</f>
        <v/>
      </c>
      <c r="P758" t="inlineStr">
        <is>
          <t>WARREN</t>
        </is>
      </c>
      <c r="Q758" t="inlineStr">
        <is>
          <t>OH</t>
        </is>
      </c>
      <c r="R758" t="n">
        <v>44483</v>
      </c>
      <c r="AD758" t="inlineStr">
        <is>
          <t>TRUMBULL CAREER &amp; TECH CENTER</t>
        </is>
      </c>
      <c r="AE758" t="inlineStr">
        <is>
          <t>WARREN CITY</t>
        </is>
      </c>
      <c r="AF758" t="inlineStr">
        <is>
          <t>WARREN CITY SD</t>
        </is>
      </c>
      <c r="AH758" t="n">
        <v>14</v>
      </c>
      <c r="AI758" t="n">
        <v>11</v>
      </c>
      <c r="AN758" t="inlineStr">
        <is>
          <t>WARREN</t>
        </is>
      </c>
      <c r="AO758" t="inlineStr">
        <is>
          <t>WARREN CITY 4A</t>
        </is>
      </c>
      <c r="AP758" t="inlineStr">
        <is>
          <t>78-P-ADI</t>
        </is>
      </c>
      <c r="AQ758" t="n">
        <v>9</v>
      </c>
      <c r="AR758" t="n">
        <v>64</v>
      </c>
      <c r="AS758" t="n">
        <v>32</v>
      </c>
      <c r="AU758">
        <f>COUNTA($BA$758:$EH$758)</f>
        <v/>
      </c>
      <c r="AV758">
        <f>COUNTIF($BA$758:$EH$758,"D")</f>
        <v/>
      </c>
      <c r="AW758">
        <f>COUNTIF($BA$758:$EH$758,"R")</f>
        <v/>
      </c>
      <c r="AX758">
        <f>IF(BN758="D",1,0)+IF(BO758="D",1,0)+IF(BT758="D",1,0)+IF(BU758="D",1,0)+IF(BW758="D",1,0)+IF(CC758="D",1,0)+IF(CD758="D",1,0)+IF(CE758="D",1,0)+IF(CF758="D",1,0)+IF(CL758="D",1,0)+IF(CM758="D",1,0)+IF(CQ758="D",1,0)+IF(CR758="D",1,0)+IF(CS758="D",1,0)+IF(CW758="D",1,0)+IF(CX758="D",1,0)+IF(DD758="D",1,0)+IF(DE758="D",1,0)+IF(DJ758="D",1,0)+IF(DK758="D",1,0)+IF(DO758="D",1,0)+IF(DP758="D",1,0)+IF(DQ758="D",1,0)+IF(DW758="D",1,0)+IF(DZ758="D",1,0)+IF(EH758="D",1,0)</f>
        <v/>
      </c>
      <c r="AY758">
        <f>IF(DJ758&lt;&gt;"",1,0)+IF(DK758&lt;&gt;"",1,0)+IF(DM758&lt;&gt;"",1,0)+IF(DO758&lt;&gt;"",1,0)+IF(DP758&lt;&gt;"",1,0)+IF(DQ758&lt;&gt;"",1,0)+IF(DS758&lt;&gt;"",1,0)+IF(DT758&lt;&gt;"",1,0)+IF(DV758&lt;&gt;"",1,0)+IF(DW758&lt;&gt;"",1,0)+IF(DX758&lt;&gt;"",1,0)+IF(DY758&lt;&gt;"",1,0)+IF(DZ758&lt;&gt;"",1,0)+IF(EB758&lt;&gt;"",1,0)+IF(EC758&lt;&gt;"",1,0)+IF(ED758&lt;&gt;"",1,0)+IF(EG758&lt;&gt;"",1,0)+IF(EH758&lt;&gt;"",1,0)</f>
        <v/>
      </c>
      <c r="AZ758">
        <f>IF(EH758&lt;&gt;"",1,0)</f>
        <v/>
      </c>
      <c r="BB758" t="inlineStr">
        <is>
          <t>WARREN-WARD 4</t>
        </is>
      </c>
      <c r="BK758" t="inlineStr">
        <is>
          <t>X</t>
        </is>
      </c>
      <c r="BL758" t="inlineStr">
        <is>
          <t>X</t>
        </is>
      </c>
      <c r="DC758" t="inlineStr">
        <is>
          <t>X</t>
        </is>
      </c>
      <c r="DI758" t="inlineStr">
        <is>
          <t>X</t>
        </is>
      </c>
      <c r="DN758" t="inlineStr">
        <is>
          <t>X</t>
        </is>
      </c>
      <c r="DX758" t="inlineStr">
        <is>
          <t>X</t>
        </is>
      </c>
      <c r="EA758" t="inlineStr">
        <is>
          <t>X</t>
        </is>
      </c>
      <c r="EF758" t="inlineStr">
        <is>
          <t>X</t>
        </is>
      </c>
    </row>
    <row r="759">
      <c r="A759" t="inlineStr">
        <is>
          <t>OH0015726999</t>
        </is>
      </c>
      <c r="B759" t="n">
        <v>78</v>
      </c>
      <c r="C759" t="n">
        <v>300629</v>
      </c>
      <c r="D759" t="inlineStr">
        <is>
          <t>COLEMAN</t>
        </is>
      </c>
      <c r="E759" t="inlineStr">
        <is>
          <t>PETRINA</t>
        </is>
      </c>
      <c r="F759">
        <f>CONCATENATE(D759," ",LEFT(H759,4),"T=",AU759,"D=",AV759,"R=",AW759,"M=",AX759,"L=",AY759,"B=",AZ759)</f>
        <v/>
      </c>
      <c r="G759" t="inlineStr">
        <is>
          <t>SIMONE</t>
        </is>
      </c>
      <c r="I759" t="inlineStr">
        <is>
          <t>1982-12-14</t>
        </is>
      </c>
      <c r="J759" t="inlineStr">
        <is>
          <t>2016-12-08</t>
        </is>
      </c>
      <c r="K759" t="inlineStr">
        <is>
          <t>ACTIVE</t>
        </is>
      </c>
      <c r="M759" t="inlineStr">
        <is>
          <t>637 WOODBINE AVE SE</t>
        </is>
      </c>
      <c r="N759">
        <f>RIGHT(M759,LEN(M759)-FIND(" ",M759))</f>
        <v/>
      </c>
      <c r="P759" t="inlineStr">
        <is>
          <t>WARREN</t>
        </is>
      </c>
      <c r="Q759" t="inlineStr">
        <is>
          <t>OH</t>
        </is>
      </c>
      <c r="R759" t="n">
        <v>44483</v>
      </c>
      <c r="AD759" t="inlineStr">
        <is>
          <t>TRUMBULL CAREER &amp; TECH CENTER</t>
        </is>
      </c>
      <c r="AE759" t="inlineStr">
        <is>
          <t>WARREN CITY</t>
        </is>
      </c>
      <c r="AF759" t="inlineStr">
        <is>
          <t>WARREN CITY SD</t>
        </is>
      </c>
      <c r="AH759" t="n">
        <v>14</v>
      </c>
      <c r="AI759" t="n">
        <v>11</v>
      </c>
      <c r="AN759" t="inlineStr">
        <is>
          <t>WARREN</t>
        </is>
      </c>
      <c r="AO759" t="inlineStr">
        <is>
          <t>WARREN CITY 4A</t>
        </is>
      </c>
      <c r="AP759" t="inlineStr">
        <is>
          <t>78-P-ADI</t>
        </is>
      </c>
      <c r="AQ759" t="n">
        <v>9</v>
      </c>
      <c r="AR759" t="n">
        <v>64</v>
      </c>
      <c r="AS759" t="n">
        <v>32</v>
      </c>
      <c r="AU759">
        <f>COUNTA($BA$759:$EH$759)</f>
        <v/>
      </c>
      <c r="AV759">
        <f>COUNTIF($BA$759:$EH$759,"D")</f>
        <v/>
      </c>
      <c r="AW759">
        <f>COUNTIF($BA$759:$EH$759,"R")</f>
        <v/>
      </c>
      <c r="AX759">
        <f>IF(BN759="D",1,0)+IF(BO759="D",1,0)+IF(BT759="D",1,0)+IF(BU759="D",1,0)+IF(BW759="D",1,0)+IF(CC759="D",1,0)+IF(CD759="D",1,0)+IF(CE759="D",1,0)+IF(CF759="D",1,0)+IF(CL759="D",1,0)+IF(CM759="D",1,0)+IF(CQ759="D",1,0)+IF(CR759="D",1,0)+IF(CS759="D",1,0)+IF(CW759="D",1,0)+IF(CX759="D",1,0)+IF(DD759="D",1,0)+IF(DE759="D",1,0)+IF(DJ759="D",1,0)+IF(DK759="D",1,0)+IF(DO759="D",1,0)+IF(DP759="D",1,0)+IF(DQ759="D",1,0)+IF(DW759="D",1,0)+IF(DZ759="D",1,0)+IF(EH759="D",1,0)</f>
        <v/>
      </c>
      <c r="AY759">
        <f>IF(DJ759&lt;&gt;"",1,0)+IF(DK759&lt;&gt;"",1,0)+IF(DM759&lt;&gt;"",1,0)+IF(DO759&lt;&gt;"",1,0)+IF(DP759&lt;&gt;"",1,0)+IF(DQ759&lt;&gt;"",1,0)+IF(DS759&lt;&gt;"",1,0)+IF(DT759&lt;&gt;"",1,0)+IF(DV759&lt;&gt;"",1,0)+IF(DW759&lt;&gt;"",1,0)+IF(DX759&lt;&gt;"",1,0)+IF(DY759&lt;&gt;"",1,0)+IF(DZ759&lt;&gt;"",1,0)+IF(EB759&lt;&gt;"",1,0)+IF(EC759&lt;&gt;"",1,0)+IF(ED759&lt;&gt;"",1,0)+IF(EG759&lt;&gt;"",1,0)+IF(EH759&lt;&gt;"",1,0)</f>
        <v/>
      </c>
      <c r="AZ759">
        <f>IF(EH759&lt;&gt;"",1,0)</f>
        <v/>
      </c>
      <c r="BB759" t="inlineStr">
        <is>
          <t>WARREN-WARD 4</t>
        </is>
      </c>
      <c r="CA759" t="inlineStr">
        <is>
          <t>X</t>
        </is>
      </c>
      <c r="CL759" t="inlineStr">
        <is>
          <t>D</t>
        </is>
      </c>
      <c r="CP759" t="inlineStr">
        <is>
          <t>X</t>
        </is>
      </c>
      <c r="CY759" t="inlineStr">
        <is>
          <t>X</t>
        </is>
      </c>
      <c r="DC759" t="inlineStr">
        <is>
          <t>X</t>
        </is>
      </c>
      <c r="DI759" t="inlineStr">
        <is>
          <t>X</t>
        </is>
      </c>
      <c r="DN759" t="inlineStr">
        <is>
          <t>X</t>
        </is>
      </c>
      <c r="DX759" t="inlineStr">
        <is>
          <t>X</t>
        </is>
      </c>
      <c r="EA759" t="inlineStr">
        <is>
          <t>X</t>
        </is>
      </c>
      <c r="EF759" t="inlineStr">
        <is>
          <t>X</t>
        </is>
      </c>
    </row>
    <row r="760">
      <c r="A760" t="inlineStr">
        <is>
          <t>OH0015707138</t>
        </is>
      </c>
      <c r="B760" t="n">
        <v>78</v>
      </c>
      <c r="C760" t="n">
        <v>17089</v>
      </c>
      <c r="D760" t="inlineStr">
        <is>
          <t>CHRISTIE</t>
        </is>
      </c>
      <c r="E760" t="inlineStr">
        <is>
          <t>DIANNA</t>
        </is>
      </c>
      <c r="F760">
        <f>CONCATENATE(D760," ",LEFT(H760,4),"T=",AU760,"D=",AV760,"R=",AW760,"M=",AX760,"L=",AY760,"B=",AZ760)</f>
        <v/>
      </c>
      <c r="G760" t="inlineStr">
        <is>
          <t>M</t>
        </is>
      </c>
      <c r="I760" t="inlineStr">
        <is>
          <t>1961-11-02</t>
        </is>
      </c>
      <c r="J760" t="inlineStr">
        <is>
          <t>1984-10-09</t>
        </is>
      </c>
      <c r="K760" t="inlineStr">
        <is>
          <t>ACTIVE</t>
        </is>
      </c>
      <c r="L760" t="inlineStr">
        <is>
          <t>D</t>
        </is>
      </c>
      <c r="M760" t="inlineStr">
        <is>
          <t>568 ADELAIDE AVE SE</t>
        </is>
      </c>
      <c r="N760">
        <f>RIGHT(M760,LEN(M760)-FIND(" ",M760))</f>
        <v/>
      </c>
      <c r="P760" t="inlineStr">
        <is>
          <t>WARREN</t>
        </is>
      </c>
      <c r="Q760" t="inlineStr">
        <is>
          <t>OH</t>
        </is>
      </c>
      <c r="R760" t="n">
        <v>44483</v>
      </c>
      <c r="AD760" t="inlineStr">
        <is>
          <t>TRUMBULL CAREER &amp; TECH CENTER</t>
        </is>
      </c>
      <c r="AE760" t="inlineStr">
        <is>
          <t>WARREN CITY</t>
        </is>
      </c>
      <c r="AF760" t="inlineStr">
        <is>
          <t>WARREN CITY SD</t>
        </is>
      </c>
      <c r="AH760" t="n">
        <v>14</v>
      </c>
      <c r="AI760" t="n">
        <v>11</v>
      </c>
      <c r="AN760" t="inlineStr">
        <is>
          <t>WARREN</t>
        </is>
      </c>
      <c r="AO760" t="inlineStr">
        <is>
          <t>WARREN CITY 4A</t>
        </is>
      </c>
      <c r="AP760" t="inlineStr">
        <is>
          <t>78-P-ADI</t>
        </is>
      </c>
      <c r="AQ760" t="n">
        <v>9</v>
      </c>
      <c r="AR760" t="n">
        <v>64</v>
      </c>
      <c r="AS760" t="n">
        <v>32</v>
      </c>
      <c r="AU760">
        <f>COUNTA($BA$760:$EH$760)</f>
        <v/>
      </c>
      <c r="AV760">
        <f>COUNTIF($BA$760:$EH$760,"D")</f>
        <v/>
      </c>
      <c r="AW760">
        <f>COUNTIF($BA$760:$EH$760,"R")</f>
        <v/>
      </c>
      <c r="AX760">
        <f>IF(BN760="D",1,0)+IF(BO760="D",1,0)+IF(BT760="D",1,0)+IF(BU760="D",1,0)+IF(BW760="D",1,0)+IF(CC760="D",1,0)+IF(CD760="D",1,0)+IF(CE760="D",1,0)+IF(CF760="D",1,0)+IF(CL760="D",1,0)+IF(CM760="D",1,0)+IF(CQ760="D",1,0)+IF(CR760="D",1,0)+IF(CS760="D",1,0)+IF(CW760="D",1,0)+IF(CX760="D",1,0)+IF(DD760="D",1,0)+IF(DE760="D",1,0)+IF(DJ760="D",1,0)+IF(DK760="D",1,0)+IF(DO760="D",1,0)+IF(DP760="D",1,0)+IF(DQ760="D",1,0)+IF(DW760="D",1,0)+IF(DZ760="D",1,0)+IF(EH760="D",1,0)</f>
        <v/>
      </c>
      <c r="AY760">
        <f>IF(DJ760&lt;&gt;"",1,0)+IF(DK760&lt;&gt;"",1,0)+IF(DM760&lt;&gt;"",1,0)+IF(DO760&lt;&gt;"",1,0)+IF(DP760&lt;&gt;"",1,0)+IF(DQ760&lt;&gt;"",1,0)+IF(DS760&lt;&gt;"",1,0)+IF(DT760&lt;&gt;"",1,0)+IF(DV760&lt;&gt;"",1,0)+IF(DW760&lt;&gt;"",1,0)+IF(DX760&lt;&gt;"",1,0)+IF(DY760&lt;&gt;"",1,0)+IF(DZ760&lt;&gt;"",1,0)+IF(EB760&lt;&gt;"",1,0)+IF(EC760&lt;&gt;"",1,0)+IF(ED760&lt;&gt;"",1,0)+IF(EG760&lt;&gt;"",1,0)+IF(EH760&lt;&gt;"",1,0)</f>
        <v/>
      </c>
      <c r="AZ760">
        <f>IF(EH760&lt;&gt;"",1,0)</f>
        <v/>
      </c>
      <c r="BB760" t="inlineStr">
        <is>
          <t>WARREN-WARD 4</t>
        </is>
      </c>
      <c r="BC760" t="inlineStr">
        <is>
          <t>X</t>
        </is>
      </c>
      <c r="BD760" t="inlineStr">
        <is>
          <t>X</t>
        </is>
      </c>
      <c r="BE760" t="inlineStr">
        <is>
          <t>X</t>
        </is>
      </c>
      <c r="BF760" t="inlineStr">
        <is>
          <t>X</t>
        </is>
      </c>
      <c r="BG760" t="inlineStr">
        <is>
          <t>X</t>
        </is>
      </c>
      <c r="BH760" t="inlineStr">
        <is>
          <t>X</t>
        </is>
      </c>
      <c r="BI760" t="inlineStr">
        <is>
          <t>X</t>
        </is>
      </c>
      <c r="BJ760" t="inlineStr">
        <is>
          <t>X</t>
        </is>
      </c>
      <c r="BK760" t="inlineStr">
        <is>
          <t>X</t>
        </is>
      </c>
      <c r="BL760" t="inlineStr">
        <is>
          <t>X</t>
        </is>
      </c>
      <c r="BR760" t="inlineStr">
        <is>
          <t>X</t>
        </is>
      </c>
      <c r="BS760" t="inlineStr">
        <is>
          <t>X</t>
        </is>
      </c>
      <c r="BT760" t="inlineStr">
        <is>
          <t>X</t>
        </is>
      </c>
      <c r="BV760" t="inlineStr">
        <is>
          <t>X</t>
        </is>
      </c>
      <c r="BY760" t="inlineStr">
        <is>
          <t>D</t>
        </is>
      </c>
      <c r="CA760" t="inlineStr">
        <is>
          <t>X</t>
        </is>
      </c>
      <c r="CG760" t="inlineStr">
        <is>
          <t>X</t>
        </is>
      </c>
      <c r="CH760" t="inlineStr">
        <is>
          <t>D</t>
        </is>
      </c>
      <c r="CK760" t="inlineStr">
        <is>
          <t>X</t>
        </is>
      </c>
      <c r="CN760" t="inlineStr">
        <is>
          <t>X</t>
        </is>
      </c>
      <c r="CP760" t="inlineStr">
        <is>
          <t>X</t>
        </is>
      </c>
      <c r="CU760" t="inlineStr">
        <is>
          <t>D</t>
        </is>
      </c>
      <c r="CV760" t="inlineStr">
        <is>
          <t>X</t>
        </is>
      </c>
      <c r="CW760" t="inlineStr">
        <is>
          <t>D</t>
        </is>
      </c>
      <c r="CY760" t="inlineStr">
        <is>
          <t>X</t>
        </is>
      </c>
      <c r="CZ760" t="inlineStr">
        <is>
          <t>D</t>
        </is>
      </c>
      <c r="DC760" t="inlineStr">
        <is>
          <t>X</t>
        </is>
      </c>
      <c r="DG760" t="inlineStr">
        <is>
          <t>D</t>
        </is>
      </c>
      <c r="DI760" t="inlineStr">
        <is>
          <t>X</t>
        </is>
      </c>
      <c r="DJ760" t="inlineStr">
        <is>
          <t>D</t>
        </is>
      </c>
      <c r="DL760" t="inlineStr">
        <is>
          <t>X</t>
        </is>
      </c>
      <c r="DM760" t="inlineStr">
        <is>
          <t>D</t>
        </is>
      </c>
      <c r="DN760" t="inlineStr">
        <is>
          <t>X</t>
        </is>
      </c>
      <c r="DR760" t="inlineStr">
        <is>
          <t>X</t>
        </is>
      </c>
      <c r="DS760" t="inlineStr">
        <is>
          <t>D</t>
        </is>
      </c>
      <c r="DT760" t="inlineStr">
        <is>
          <t>D</t>
        </is>
      </c>
      <c r="DU760" t="inlineStr">
        <is>
          <t>X</t>
        </is>
      </c>
      <c r="DW760" t="inlineStr">
        <is>
          <t>D</t>
        </is>
      </c>
      <c r="DX760" t="inlineStr">
        <is>
          <t>X</t>
        </is>
      </c>
      <c r="EA760" t="inlineStr">
        <is>
          <t>X</t>
        </is>
      </c>
      <c r="ED760" t="inlineStr">
        <is>
          <t>D</t>
        </is>
      </c>
      <c r="EF760" t="inlineStr">
        <is>
          <t>X</t>
        </is>
      </c>
      <c r="EH760" t="inlineStr">
        <is>
          <t>D</t>
        </is>
      </c>
    </row>
    <row r="761">
      <c r="A761" t="inlineStr">
        <is>
          <t>OH0024629772</t>
        </is>
      </c>
      <c r="B761" t="n">
        <v>78</v>
      </c>
      <c r="C761" t="n">
        <v>431680</v>
      </c>
      <c r="D761" t="inlineStr">
        <is>
          <t>LEVENDUSKI</t>
        </is>
      </c>
      <c r="E761" t="inlineStr">
        <is>
          <t>CAPPYANNA</t>
        </is>
      </c>
      <c r="F761">
        <f>CONCATENATE(D761," ",LEFT(H761,4),"T=",AU761,"D=",AV761,"R=",AW761,"M=",AX761,"L=",AY761,"B=",AZ761)</f>
        <v/>
      </c>
      <c r="I761" t="inlineStr">
        <is>
          <t>1986-01-25</t>
        </is>
      </c>
      <c r="J761" t="inlineStr">
        <is>
          <t>2018-04-17</t>
        </is>
      </c>
      <c r="K761" t="inlineStr">
        <is>
          <t>CONFIRMATION</t>
        </is>
      </c>
      <c r="M761" t="inlineStr">
        <is>
          <t>1262 BELLE ST SE</t>
        </is>
      </c>
      <c r="N761">
        <f>RIGHT(M761,LEN(M761)-FIND(" ",M761))</f>
        <v/>
      </c>
      <c r="P761" t="inlineStr">
        <is>
          <t>WARREN</t>
        </is>
      </c>
      <c r="Q761" t="inlineStr">
        <is>
          <t>OH</t>
        </is>
      </c>
      <c r="R761" t="n">
        <v>44484</v>
      </c>
      <c r="AD761" t="inlineStr">
        <is>
          <t>TRUMBULL CAREER &amp; TECH CENTER</t>
        </is>
      </c>
      <c r="AE761" t="inlineStr">
        <is>
          <t>WARREN CITY</t>
        </is>
      </c>
      <c r="AF761" t="inlineStr">
        <is>
          <t>WARREN CITY SD</t>
        </is>
      </c>
      <c r="AH761" t="n">
        <v>14</v>
      </c>
      <c r="AI761" t="n">
        <v>11</v>
      </c>
      <c r="AN761" t="inlineStr">
        <is>
          <t>WARREN</t>
        </is>
      </c>
      <c r="AO761" t="inlineStr">
        <is>
          <t>WARREN CITY 4A</t>
        </is>
      </c>
      <c r="AP761" t="inlineStr">
        <is>
          <t>78-P-ADI</t>
        </is>
      </c>
      <c r="AQ761" t="n">
        <v>9</v>
      </c>
      <c r="AR761" t="n">
        <v>64</v>
      </c>
      <c r="AS761" t="n">
        <v>32</v>
      </c>
      <c r="AU761">
        <f>COUNTA($BA$761:$EH$761)</f>
        <v/>
      </c>
      <c r="AV761">
        <f>COUNTIF($BA$761:$EH$761,"D")</f>
        <v/>
      </c>
      <c r="AW761">
        <f>COUNTIF($BA$761:$EH$761,"R")</f>
        <v/>
      </c>
      <c r="AX761">
        <f>IF(BN761="D",1,0)+IF(BO761="D",1,0)+IF(BT761="D",1,0)+IF(BU761="D",1,0)+IF(BW761="D",1,0)+IF(CC761="D",1,0)+IF(CD761="D",1,0)+IF(CE761="D",1,0)+IF(CF761="D",1,0)+IF(CL761="D",1,0)+IF(CM761="D",1,0)+IF(CQ761="D",1,0)+IF(CR761="D",1,0)+IF(CS761="D",1,0)+IF(CW761="D",1,0)+IF(CX761="D",1,0)+IF(DD761="D",1,0)+IF(DE761="D",1,0)+IF(DJ761="D",1,0)+IF(DK761="D",1,0)+IF(DO761="D",1,0)+IF(DP761="D",1,0)+IF(DQ761="D",1,0)+IF(DW761="D",1,0)+IF(DZ761="D",1,0)+IF(EH761="D",1,0)</f>
        <v/>
      </c>
      <c r="AY761">
        <f>IF(DJ761&lt;&gt;"",1,0)+IF(DK761&lt;&gt;"",1,0)+IF(DM761&lt;&gt;"",1,0)+IF(DO761&lt;&gt;"",1,0)+IF(DP761&lt;&gt;"",1,0)+IF(DQ761&lt;&gt;"",1,0)+IF(DS761&lt;&gt;"",1,0)+IF(DT761&lt;&gt;"",1,0)+IF(DV761&lt;&gt;"",1,0)+IF(DW761&lt;&gt;"",1,0)+IF(DX761&lt;&gt;"",1,0)+IF(DY761&lt;&gt;"",1,0)+IF(DZ761&lt;&gt;"",1,0)+IF(EB761&lt;&gt;"",1,0)+IF(EC761&lt;&gt;"",1,0)+IF(ED761&lt;&gt;"",1,0)+IF(EG761&lt;&gt;"",1,0)+IF(EH761&lt;&gt;"",1,0)</f>
        <v/>
      </c>
      <c r="AZ761">
        <f>IF(EH761&lt;&gt;"",1,0)</f>
        <v/>
      </c>
      <c r="BB761" t="inlineStr">
        <is>
          <t>WARREN-WARD 4</t>
        </is>
      </c>
    </row>
    <row r="762">
      <c r="A762" t="inlineStr">
        <is>
          <t>OH0021351371</t>
        </is>
      </c>
      <c r="B762" t="n">
        <v>78</v>
      </c>
      <c r="C762" t="n">
        <v>379656</v>
      </c>
      <c r="D762" t="inlineStr">
        <is>
          <t>BROWN</t>
        </is>
      </c>
      <c r="E762" t="inlineStr">
        <is>
          <t>JUANEISHA</t>
        </is>
      </c>
      <c r="F762">
        <f>CONCATENATE(D762," ",LEFT(H762,4),"T=",AU762,"D=",AV762,"R=",AW762,"M=",AX762,"L=",AY762,"B=",AZ762)</f>
        <v/>
      </c>
      <c r="G762" t="inlineStr">
        <is>
          <t>C</t>
        </is>
      </c>
      <c r="I762" t="inlineStr">
        <is>
          <t>1993-05-28</t>
        </is>
      </c>
      <c r="J762" t="inlineStr">
        <is>
          <t>2020-08-31</t>
        </is>
      </c>
      <c r="K762" t="inlineStr">
        <is>
          <t>CONFIRMATION</t>
        </is>
      </c>
      <c r="M762" t="inlineStr">
        <is>
          <t>397 LAIRD AVE SE</t>
        </is>
      </c>
      <c r="N762">
        <f>RIGHT(M762,LEN(M762)-FIND(" ",M762))</f>
        <v/>
      </c>
      <c r="P762" t="inlineStr">
        <is>
          <t>WARREN</t>
        </is>
      </c>
      <c r="Q762" t="inlineStr">
        <is>
          <t>OH</t>
        </is>
      </c>
      <c r="R762" t="n">
        <v>44483</v>
      </c>
      <c r="AD762" t="inlineStr">
        <is>
          <t>TRUMBULL CAREER &amp; TECH CENTER</t>
        </is>
      </c>
      <c r="AE762" t="inlineStr">
        <is>
          <t>WARREN CITY</t>
        </is>
      </c>
      <c r="AF762" t="inlineStr">
        <is>
          <t>WARREN CITY SD</t>
        </is>
      </c>
      <c r="AH762" t="n">
        <v>14</v>
      </c>
      <c r="AI762" t="n">
        <v>11</v>
      </c>
      <c r="AN762" t="inlineStr">
        <is>
          <t>WARREN</t>
        </is>
      </c>
      <c r="AO762" t="inlineStr">
        <is>
          <t>WARREN CITY 4A</t>
        </is>
      </c>
      <c r="AP762" t="inlineStr">
        <is>
          <t>78-P-ADI</t>
        </is>
      </c>
      <c r="AQ762" t="n">
        <v>9</v>
      </c>
      <c r="AR762" t="n">
        <v>64</v>
      </c>
      <c r="AS762" t="n">
        <v>32</v>
      </c>
      <c r="AU762">
        <f>COUNTA($BA$762:$EH$762)</f>
        <v/>
      </c>
      <c r="AV762">
        <f>COUNTIF($BA$762:$EH$762,"D")</f>
        <v/>
      </c>
      <c r="AW762">
        <f>COUNTIF($BA$762:$EH$762,"R")</f>
        <v/>
      </c>
      <c r="AX762">
        <f>IF(BN762="D",1,0)+IF(BO762="D",1,0)+IF(BT762="D",1,0)+IF(BU762="D",1,0)+IF(BW762="D",1,0)+IF(CC762="D",1,0)+IF(CD762="D",1,0)+IF(CE762="D",1,0)+IF(CF762="D",1,0)+IF(CL762="D",1,0)+IF(CM762="D",1,0)+IF(CQ762="D",1,0)+IF(CR762="D",1,0)+IF(CS762="D",1,0)+IF(CW762="D",1,0)+IF(CX762="D",1,0)+IF(DD762="D",1,0)+IF(DE762="D",1,0)+IF(DJ762="D",1,0)+IF(DK762="D",1,0)+IF(DO762="D",1,0)+IF(DP762="D",1,0)+IF(DQ762="D",1,0)+IF(DW762="D",1,0)+IF(DZ762="D",1,0)+IF(EH762="D",1,0)</f>
        <v/>
      </c>
      <c r="AY762">
        <f>IF(DJ762&lt;&gt;"",1,0)+IF(DK762&lt;&gt;"",1,0)+IF(DM762&lt;&gt;"",1,0)+IF(DO762&lt;&gt;"",1,0)+IF(DP762&lt;&gt;"",1,0)+IF(DQ762&lt;&gt;"",1,0)+IF(DS762&lt;&gt;"",1,0)+IF(DT762&lt;&gt;"",1,0)+IF(DV762&lt;&gt;"",1,0)+IF(DW762&lt;&gt;"",1,0)+IF(DX762&lt;&gt;"",1,0)+IF(DY762&lt;&gt;"",1,0)+IF(DZ762&lt;&gt;"",1,0)+IF(EB762&lt;&gt;"",1,0)+IF(EC762&lt;&gt;"",1,0)+IF(ED762&lt;&gt;"",1,0)+IF(EG762&lt;&gt;"",1,0)+IF(EH762&lt;&gt;"",1,0)</f>
        <v/>
      </c>
      <c r="AZ762">
        <f>IF(EH762&lt;&gt;"",1,0)</f>
        <v/>
      </c>
      <c r="BB762" t="inlineStr">
        <is>
          <t>WARREN-WARD 4</t>
        </is>
      </c>
      <c r="CN762" t="inlineStr">
        <is>
          <t>X</t>
        </is>
      </c>
      <c r="CP762" t="inlineStr">
        <is>
          <t>X</t>
        </is>
      </c>
      <c r="CZ762" t="inlineStr">
        <is>
          <t>D</t>
        </is>
      </c>
      <c r="DC762" t="inlineStr">
        <is>
          <t>X</t>
        </is>
      </c>
      <c r="DN762" t="inlineStr">
        <is>
          <t>X</t>
        </is>
      </c>
    </row>
    <row r="763">
      <c r="A763" t="inlineStr">
        <is>
          <t>OH0018992323</t>
        </is>
      </c>
      <c r="B763" t="n">
        <v>78</v>
      </c>
      <c r="C763" t="n">
        <v>347081</v>
      </c>
      <c r="D763" t="inlineStr">
        <is>
          <t>GREGORY</t>
        </is>
      </c>
      <c r="E763" t="inlineStr">
        <is>
          <t>TIOMBE</t>
        </is>
      </c>
      <c r="F763">
        <f>CONCATENATE(D763," ",LEFT(H763,4),"T=",AU763,"D=",AV763,"R=",AW763,"M=",AX763,"L=",AY763,"B=",AZ763)</f>
        <v/>
      </c>
      <c r="G763" t="inlineStr">
        <is>
          <t>D</t>
        </is>
      </c>
      <c r="I763" t="inlineStr">
        <is>
          <t>1972-03-08</t>
        </is>
      </c>
      <c r="J763" t="inlineStr">
        <is>
          <t>2025-03-02</t>
        </is>
      </c>
      <c r="K763" t="inlineStr">
        <is>
          <t>ACTIVE</t>
        </is>
      </c>
      <c r="M763" t="inlineStr">
        <is>
          <t>318 LAIRD AVE SE</t>
        </is>
      </c>
      <c r="N763">
        <f>RIGHT(M763,LEN(M763)-FIND(" ",M763))</f>
        <v/>
      </c>
      <c r="P763" t="inlineStr">
        <is>
          <t>WARREN</t>
        </is>
      </c>
      <c r="Q763" t="inlineStr">
        <is>
          <t>OH</t>
        </is>
      </c>
      <c r="R763" t="n">
        <v>44483</v>
      </c>
      <c r="AD763" t="inlineStr">
        <is>
          <t>TRUMBULL CAREER &amp; TECH CENTER</t>
        </is>
      </c>
      <c r="AE763" t="inlineStr">
        <is>
          <t>WARREN CITY</t>
        </is>
      </c>
      <c r="AF763" t="inlineStr">
        <is>
          <t>WARREN CITY SD</t>
        </is>
      </c>
      <c r="AH763" t="n">
        <v>14</v>
      </c>
      <c r="AI763" t="n">
        <v>11</v>
      </c>
      <c r="AN763" t="inlineStr">
        <is>
          <t>WARREN</t>
        </is>
      </c>
      <c r="AO763" t="inlineStr">
        <is>
          <t>WARREN CITY 4A</t>
        </is>
      </c>
      <c r="AP763" t="inlineStr">
        <is>
          <t>78-P-ADI</t>
        </is>
      </c>
      <c r="AQ763" t="n">
        <v>9</v>
      </c>
      <c r="AR763" t="n">
        <v>64</v>
      </c>
      <c r="AS763" t="n">
        <v>32</v>
      </c>
      <c r="AU763">
        <f>COUNTA($BA$763:$EH$763)</f>
        <v/>
      </c>
      <c r="AV763">
        <f>COUNTIF($BA$763:$EH$763,"D")</f>
        <v/>
      </c>
      <c r="AW763">
        <f>COUNTIF($BA$763:$EH$763,"R")</f>
        <v/>
      </c>
      <c r="AX763">
        <f>IF(BN763="D",1,0)+IF(BO763="D",1,0)+IF(BT763="D",1,0)+IF(BU763="D",1,0)+IF(BW763="D",1,0)+IF(CC763="D",1,0)+IF(CD763="D",1,0)+IF(CE763="D",1,0)+IF(CF763="D",1,0)+IF(CL763="D",1,0)+IF(CM763="D",1,0)+IF(CQ763="D",1,0)+IF(CR763="D",1,0)+IF(CS763="D",1,0)+IF(CW763="D",1,0)+IF(CX763="D",1,0)+IF(DD763="D",1,0)+IF(DE763="D",1,0)+IF(DJ763="D",1,0)+IF(DK763="D",1,0)+IF(DO763="D",1,0)+IF(DP763="D",1,0)+IF(DQ763="D",1,0)+IF(DW763="D",1,0)+IF(DZ763="D",1,0)+IF(EH763="D",1,0)</f>
        <v/>
      </c>
      <c r="AY763">
        <f>IF(DJ763&lt;&gt;"",1,0)+IF(DK763&lt;&gt;"",1,0)+IF(DM763&lt;&gt;"",1,0)+IF(DO763&lt;&gt;"",1,0)+IF(DP763&lt;&gt;"",1,0)+IF(DQ763&lt;&gt;"",1,0)+IF(DS763&lt;&gt;"",1,0)+IF(DT763&lt;&gt;"",1,0)+IF(DV763&lt;&gt;"",1,0)+IF(DW763&lt;&gt;"",1,0)+IF(DX763&lt;&gt;"",1,0)+IF(DY763&lt;&gt;"",1,0)+IF(DZ763&lt;&gt;"",1,0)+IF(EB763&lt;&gt;"",1,0)+IF(EC763&lt;&gt;"",1,0)+IF(ED763&lt;&gt;"",1,0)+IF(EG763&lt;&gt;"",1,0)+IF(EH763&lt;&gt;"",1,0)</f>
        <v/>
      </c>
      <c r="AZ763">
        <f>IF(EH763&lt;&gt;"",1,0)</f>
        <v/>
      </c>
      <c r="BB763" t="inlineStr">
        <is>
          <t>WARREN-WARD 4</t>
        </is>
      </c>
    </row>
    <row r="764">
      <c r="A764" t="inlineStr">
        <is>
          <t>OH0027420716</t>
        </is>
      </c>
      <c r="B764" t="n">
        <v>78</v>
      </c>
      <c r="C764" t="n">
        <v>485882</v>
      </c>
      <c r="D764" t="inlineStr">
        <is>
          <t>WALLS</t>
        </is>
      </c>
      <c r="E764" t="inlineStr">
        <is>
          <t>DAWN</t>
        </is>
      </c>
      <c r="F764">
        <f>CONCATENATE(D764," ",LEFT(H764,4),"T=",AU764,"D=",AV764,"R=",AW764,"M=",AX764,"L=",AY764,"B=",AZ764)</f>
        <v/>
      </c>
      <c r="G764" t="inlineStr">
        <is>
          <t>MARIE</t>
        </is>
      </c>
      <c r="I764" t="inlineStr">
        <is>
          <t>1979-07-01</t>
        </is>
      </c>
      <c r="J764" t="inlineStr">
        <is>
          <t>2024-07-01</t>
        </is>
      </c>
      <c r="K764" t="inlineStr">
        <is>
          <t>ACTIVE</t>
        </is>
      </c>
      <c r="M764" t="inlineStr">
        <is>
          <t>411 BONNIE BRAE AVE SE</t>
        </is>
      </c>
      <c r="N764">
        <f>RIGHT(M764,LEN(M764)-FIND(" ",M764))</f>
        <v/>
      </c>
      <c r="P764" t="inlineStr">
        <is>
          <t>WARREN</t>
        </is>
      </c>
      <c r="Q764" t="inlineStr">
        <is>
          <t>OH</t>
        </is>
      </c>
      <c r="R764" t="n">
        <v>44484</v>
      </c>
      <c r="V764" t="inlineStr">
        <is>
          <t>PO BOX 2145</t>
        </is>
      </c>
      <c r="X764" t="inlineStr">
        <is>
          <t>WARREN</t>
        </is>
      </c>
      <c r="Y764" t="inlineStr">
        <is>
          <t>OH</t>
        </is>
      </c>
      <c r="Z764" t="n">
        <v>44484</v>
      </c>
      <c r="AD764" t="inlineStr">
        <is>
          <t>TRUMBULL CAREER &amp; TECH CENTER</t>
        </is>
      </c>
      <c r="AE764" t="inlineStr">
        <is>
          <t>WARREN CITY</t>
        </is>
      </c>
      <c r="AF764" t="inlineStr">
        <is>
          <t>WARREN CITY SD</t>
        </is>
      </c>
      <c r="AH764" t="n">
        <v>14</v>
      </c>
      <c r="AI764" t="n">
        <v>11</v>
      </c>
      <c r="AN764" t="inlineStr">
        <is>
          <t>WARREN</t>
        </is>
      </c>
      <c r="AO764" t="inlineStr">
        <is>
          <t>WARREN CITY 4A</t>
        </is>
      </c>
      <c r="AP764" t="inlineStr">
        <is>
          <t>78-P-ADI</t>
        </is>
      </c>
      <c r="AQ764" t="n">
        <v>9</v>
      </c>
      <c r="AR764" t="n">
        <v>64</v>
      </c>
      <c r="AS764" t="n">
        <v>32</v>
      </c>
      <c r="AU764">
        <f>COUNTA($BA$764:$EH$764)</f>
        <v/>
      </c>
      <c r="AV764">
        <f>COUNTIF($BA$764:$EH$764,"D")</f>
        <v/>
      </c>
      <c r="AW764">
        <f>COUNTIF($BA$764:$EH$764,"R")</f>
        <v/>
      </c>
      <c r="AX764">
        <f>IF(BN764="D",1,0)+IF(BO764="D",1,0)+IF(BT764="D",1,0)+IF(BU764="D",1,0)+IF(BW764="D",1,0)+IF(CC764="D",1,0)+IF(CD764="D",1,0)+IF(CE764="D",1,0)+IF(CF764="D",1,0)+IF(CL764="D",1,0)+IF(CM764="D",1,0)+IF(CQ764="D",1,0)+IF(CR764="D",1,0)+IF(CS764="D",1,0)+IF(CW764="D",1,0)+IF(CX764="D",1,0)+IF(DD764="D",1,0)+IF(DE764="D",1,0)+IF(DJ764="D",1,0)+IF(DK764="D",1,0)+IF(DO764="D",1,0)+IF(DP764="D",1,0)+IF(DQ764="D",1,0)+IF(DW764="D",1,0)+IF(DZ764="D",1,0)+IF(EH764="D",1,0)</f>
        <v/>
      </c>
      <c r="AY764">
        <f>IF(DJ764&lt;&gt;"",1,0)+IF(DK764&lt;&gt;"",1,0)+IF(DM764&lt;&gt;"",1,0)+IF(DO764&lt;&gt;"",1,0)+IF(DP764&lt;&gt;"",1,0)+IF(DQ764&lt;&gt;"",1,0)+IF(DS764&lt;&gt;"",1,0)+IF(DT764&lt;&gt;"",1,0)+IF(DV764&lt;&gt;"",1,0)+IF(DW764&lt;&gt;"",1,0)+IF(DX764&lt;&gt;"",1,0)+IF(DY764&lt;&gt;"",1,0)+IF(DZ764&lt;&gt;"",1,0)+IF(EB764&lt;&gt;"",1,0)+IF(EC764&lt;&gt;"",1,0)+IF(ED764&lt;&gt;"",1,0)+IF(EG764&lt;&gt;"",1,0)+IF(EH764&lt;&gt;"",1,0)</f>
        <v/>
      </c>
      <c r="AZ764">
        <f>IF(EH764&lt;&gt;"",1,0)</f>
        <v/>
      </c>
      <c r="BB764" t="inlineStr">
        <is>
          <t>WARREN-WARD 4</t>
        </is>
      </c>
    </row>
    <row r="765">
      <c r="A765" t="inlineStr">
        <is>
          <t>OH0015893215</t>
        </is>
      </c>
      <c r="B765" t="n">
        <v>78</v>
      </c>
      <c r="C765" t="n">
        <v>333310</v>
      </c>
      <c r="D765" t="inlineStr">
        <is>
          <t>COLLINS</t>
        </is>
      </c>
      <c r="E765" t="inlineStr">
        <is>
          <t>RICHARD</t>
        </is>
      </c>
      <c r="F765">
        <f>CONCATENATE(D765," ",LEFT(H765,4),"T=",AU765,"D=",AV765,"R=",AW765,"M=",AX765,"L=",AY765,"B=",AZ765)</f>
        <v/>
      </c>
      <c r="G765" t="inlineStr">
        <is>
          <t>L</t>
        </is>
      </c>
      <c r="I765" t="inlineStr">
        <is>
          <t>1966-02-08</t>
        </is>
      </c>
      <c r="J765" t="inlineStr">
        <is>
          <t>2014-11-25</t>
        </is>
      </c>
      <c r="K765" t="inlineStr">
        <is>
          <t>ACTIVE</t>
        </is>
      </c>
      <c r="M765" t="inlineStr">
        <is>
          <t>183 KENILWORTH AVE SE</t>
        </is>
      </c>
      <c r="N765">
        <f>RIGHT(M765,LEN(M765)-FIND(" ",M765))</f>
        <v/>
      </c>
      <c r="P765" t="inlineStr">
        <is>
          <t>WARREN</t>
        </is>
      </c>
      <c r="Q765" t="inlineStr">
        <is>
          <t>OH</t>
        </is>
      </c>
      <c r="R765" t="n">
        <v>44483</v>
      </c>
      <c r="AD765" t="inlineStr">
        <is>
          <t>TRUMBULL CAREER &amp; TECH CENTER</t>
        </is>
      </c>
      <c r="AE765" t="inlineStr">
        <is>
          <t>WARREN CITY</t>
        </is>
      </c>
      <c r="AF765" t="inlineStr">
        <is>
          <t>WARREN CITY SD</t>
        </is>
      </c>
      <c r="AH765" t="n">
        <v>14</v>
      </c>
      <c r="AI765" t="n">
        <v>11</v>
      </c>
      <c r="AN765" t="inlineStr">
        <is>
          <t>WARREN</t>
        </is>
      </c>
      <c r="AO765" t="inlineStr">
        <is>
          <t>WARREN CITY 4A</t>
        </is>
      </c>
      <c r="AP765" t="inlineStr">
        <is>
          <t>78-P-ADI</t>
        </is>
      </c>
      <c r="AQ765" t="n">
        <v>9</v>
      </c>
      <c r="AR765" t="n">
        <v>64</v>
      </c>
      <c r="AS765" t="n">
        <v>32</v>
      </c>
      <c r="AU765">
        <f>COUNTA($BA$765:$EH$765)</f>
        <v/>
      </c>
      <c r="AV765">
        <f>COUNTIF($BA$765:$EH$765,"D")</f>
        <v/>
      </c>
      <c r="AW765">
        <f>COUNTIF($BA$765:$EH$765,"R")</f>
        <v/>
      </c>
      <c r="AX765">
        <f>IF(BN765="D",1,0)+IF(BO765="D",1,0)+IF(BT765="D",1,0)+IF(BU765="D",1,0)+IF(BW765="D",1,0)+IF(CC765="D",1,0)+IF(CD765="D",1,0)+IF(CE765="D",1,0)+IF(CF765="D",1,0)+IF(CL765="D",1,0)+IF(CM765="D",1,0)+IF(CQ765="D",1,0)+IF(CR765="D",1,0)+IF(CS765="D",1,0)+IF(CW765="D",1,0)+IF(CX765="D",1,0)+IF(DD765="D",1,0)+IF(DE765="D",1,0)+IF(DJ765="D",1,0)+IF(DK765="D",1,0)+IF(DO765="D",1,0)+IF(DP765="D",1,0)+IF(DQ765="D",1,0)+IF(DW765="D",1,0)+IF(DZ765="D",1,0)+IF(EH765="D",1,0)</f>
        <v/>
      </c>
      <c r="AY765">
        <f>IF(DJ765&lt;&gt;"",1,0)+IF(DK765&lt;&gt;"",1,0)+IF(DM765&lt;&gt;"",1,0)+IF(DO765&lt;&gt;"",1,0)+IF(DP765&lt;&gt;"",1,0)+IF(DQ765&lt;&gt;"",1,0)+IF(DS765&lt;&gt;"",1,0)+IF(DT765&lt;&gt;"",1,0)+IF(DV765&lt;&gt;"",1,0)+IF(DW765&lt;&gt;"",1,0)+IF(DX765&lt;&gt;"",1,0)+IF(DY765&lt;&gt;"",1,0)+IF(DZ765&lt;&gt;"",1,0)+IF(EB765&lt;&gt;"",1,0)+IF(EC765&lt;&gt;"",1,0)+IF(ED765&lt;&gt;"",1,0)+IF(EG765&lt;&gt;"",1,0)+IF(EH765&lt;&gt;"",1,0)</f>
        <v/>
      </c>
      <c r="AZ765">
        <f>IF(EH765&lt;&gt;"",1,0)</f>
        <v/>
      </c>
      <c r="BB765" t="inlineStr">
        <is>
          <t>WARREN-WARD 4</t>
        </is>
      </c>
      <c r="BL765" t="inlineStr">
        <is>
          <t>X</t>
        </is>
      </c>
      <c r="BS765" t="inlineStr">
        <is>
          <t>X</t>
        </is>
      </c>
      <c r="BY765" t="inlineStr">
        <is>
          <t>D</t>
        </is>
      </c>
      <c r="CA765" t="inlineStr">
        <is>
          <t>X</t>
        </is>
      </c>
      <c r="CG765" t="inlineStr">
        <is>
          <t>X</t>
        </is>
      </c>
      <c r="CN765" t="inlineStr">
        <is>
          <t>X</t>
        </is>
      </c>
      <c r="CP765" t="inlineStr">
        <is>
          <t>X</t>
        </is>
      </c>
      <c r="CY765" t="inlineStr">
        <is>
          <t>X</t>
        </is>
      </c>
      <c r="CZ765" t="inlineStr">
        <is>
          <t>D</t>
        </is>
      </c>
      <c r="DC765" t="inlineStr">
        <is>
          <t>X</t>
        </is>
      </c>
      <c r="DI765" t="inlineStr">
        <is>
          <t>X</t>
        </is>
      </c>
      <c r="DL765" t="inlineStr">
        <is>
          <t>X</t>
        </is>
      </c>
      <c r="DM765" t="inlineStr">
        <is>
          <t>D</t>
        </is>
      </c>
      <c r="DN765" t="inlineStr">
        <is>
          <t>X</t>
        </is>
      </c>
      <c r="DR765" t="inlineStr">
        <is>
          <t>X</t>
        </is>
      </c>
      <c r="DU765" t="inlineStr">
        <is>
          <t>X</t>
        </is>
      </c>
      <c r="DX765" t="inlineStr">
        <is>
          <t>X</t>
        </is>
      </c>
      <c r="EA765" t="inlineStr">
        <is>
          <t>X</t>
        </is>
      </c>
      <c r="EF765" t="inlineStr">
        <is>
          <t>X</t>
        </is>
      </c>
    </row>
    <row r="766">
      <c r="A766" t="inlineStr">
        <is>
          <t>OH0019480124</t>
        </is>
      </c>
      <c r="B766" t="n">
        <v>78</v>
      </c>
      <c r="C766" t="n">
        <v>354163</v>
      </c>
      <c r="D766" t="inlineStr">
        <is>
          <t>BLUEDORN</t>
        </is>
      </c>
      <c r="E766" t="inlineStr">
        <is>
          <t>JAMES</t>
        </is>
      </c>
      <c r="F766">
        <f>CONCATENATE(D766," ",LEFT(H766,4),"T=",AU766,"D=",AV766,"R=",AW766,"M=",AX766,"L=",AY766,"B=",AZ766)</f>
        <v/>
      </c>
      <c r="G766" t="inlineStr">
        <is>
          <t>A</t>
        </is>
      </c>
      <c r="I766" t="inlineStr">
        <is>
          <t>1989-09-22</t>
        </is>
      </c>
      <c r="J766" t="inlineStr">
        <is>
          <t>2014-12-10</t>
        </is>
      </c>
      <c r="K766" t="inlineStr">
        <is>
          <t>ACTIVE</t>
        </is>
      </c>
      <c r="L766" t="inlineStr">
        <is>
          <t>D</t>
        </is>
      </c>
      <c r="M766" t="inlineStr">
        <is>
          <t>226 ADELAIDE AVE SE</t>
        </is>
      </c>
      <c r="N766">
        <f>RIGHT(M766,LEN(M766)-FIND(" ",M766))</f>
        <v/>
      </c>
      <c r="P766" t="inlineStr">
        <is>
          <t>WARREN</t>
        </is>
      </c>
      <c r="Q766" t="inlineStr">
        <is>
          <t>OH</t>
        </is>
      </c>
      <c r="R766" t="n">
        <v>44483</v>
      </c>
      <c r="AD766" t="inlineStr">
        <is>
          <t>TRUMBULL CAREER &amp; TECH CENTER</t>
        </is>
      </c>
      <c r="AE766" t="inlineStr">
        <is>
          <t>WARREN CITY</t>
        </is>
      </c>
      <c r="AF766" t="inlineStr">
        <is>
          <t>WARREN CITY SD</t>
        </is>
      </c>
      <c r="AH766" t="n">
        <v>14</v>
      </c>
      <c r="AI766" t="n">
        <v>11</v>
      </c>
      <c r="AN766" t="inlineStr">
        <is>
          <t>WARREN</t>
        </is>
      </c>
      <c r="AO766" t="inlineStr">
        <is>
          <t>WARREN CITY 4A</t>
        </is>
      </c>
      <c r="AP766" t="inlineStr">
        <is>
          <t>78-P-ADI</t>
        </is>
      </c>
      <c r="AQ766" t="n">
        <v>9</v>
      </c>
      <c r="AR766" t="n">
        <v>64</v>
      </c>
      <c r="AS766" t="n">
        <v>32</v>
      </c>
      <c r="AU766">
        <f>COUNTA($BA$766:$EH$766)</f>
        <v/>
      </c>
      <c r="AV766">
        <f>COUNTIF($BA$766:$EH$766,"D")</f>
        <v/>
      </c>
      <c r="AW766">
        <f>COUNTIF($BA$766:$EH$766,"R")</f>
        <v/>
      </c>
      <c r="AX766">
        <f>IF(BN766="D",1,0)+IF(BO766="D",1,0)+IF(BT766="D",1,0)+IF(BU766="D",1,0)+IF(BW766="D",1,0)+IF(CC766="D",1,0)+IF(CD766="D",1,0)+IF(CE766="D",1,0)+IF(CF766="D",1,0)+IF(CL766="D",1,0)+IF(CM766="D",1,0)+IF(CQ766="D",1,0)+IF(CR766="D",1,0)+IF(CS766="D",1,0)+IF(CW766="D",1,0)+IF(CX766="D",1,0)+IF(DD766="D",1,0)+IF(DE766="D",1,0)+IF(DJ766="D",1,0)+IF(DK766="D",1,0)+IF(DO766="D",1,0)+IF(DP766="D",1,0)+IF(DQ766="D",1,0)+IF(DW766="D",1,0)+IF(DZ766="D",1,0)+IF(EH766="D",1,0)</f>
        <v/>
      </c>
      <c r="AY766">
        <f>IF(DJ766&lt;&gt;"",1,0)+IF(DK766&lt;&gt;"",1,0)+IF(DM766&lt;&gt;"",1,0)+IF(DO766&lt;&gt;"",1,0)+IF(DP766&lt;&gt;"",1,0)+IF(DQ766&lt;&gt;"",1,0)+IF(DS766&lt;&gt;"",1,0)+IF(DT766&lt;&gt;"",1,0)+IF(DV766&lt;&gt;"",1,0)+IF(DW766&lt;&gt;"",1,0)+IF(DX766&lt;&gt;"",1,0)+IF(DY766&lt;&gt;"",1,0)+IF(DZ766&lt;&gt;"",1,0)+IF(EB766&lt;&gt;"",1,0)+IF(EC766&lt;&gt;"",1,0)+IF(ED766&lt;&gt;"",1,0)+IF(EG766&lt;&gt;"",1,0)+IF(EH766&lt;&gt;"",1,0)</f>
        <v/>
      </c>
      <c r="AZ766">
        <f>IF(EH766&lt;&gt;"",1,0)</f>
        <v/>
      </c>
      <c r="BB766" t="inlineStr">
        <is>
          <t>WARREN-WARD 4</t>
        </is>
      </c>
      <c r="BY766" t="inlineStr">
        <is>
          <t>D</t>
        </is>
      </c>
      <c r="CA766" t="inlineStr">
        <is>
          <t>X</t>
        </is>
      </c>
      <c r="CG766" t="inlineStr">
        <is>
          <t>X</t>
        </is>
      </c>
      <c r="CH766" t="inlineStr">
        <is>
          <t>D</t>
        </is>
      </c>
      <c r="CK766" t="inlineStr">
        <is>
          <t>X</t>
        </is>
      </c>
      <c r="CL766" t="inlineStr">
        <is>
          <t>D</t>
        </is>
      </c>
      <c r="CP766" t="inlineStr">
        <is>
          <t>X</t>
        </is>
      </c>
      <c r="CV766" t="inlineStr">
        <is>
          <t>X</t>
        </is>
      </c>
      <c r="CW766" t="inlineStr">
        <is>
          <t>D</t>
        </is>
      </c>
      <c r="CY766" t="inlineStr">
        <is>
          <t>X</t>
        </is>
      </c>
      <c r="CZ766" t="inlineStr">
        <is>
          <t>D</t>
        </is>
      </c>
      <c r="DC766" t="inlineStr">
        <is>
          <t>X</t>
        </is>
      </c>
      <c r="EF766" t="inlineStr">
        <is>
          <t>X</t>
        </is>
      </c>
      <c r="EH766" t="inlineStr">
        <is>
          <t>D</t>
        </is>
      </c>
    </row>
    <row r="767">
      <c r="A767" t="inlineStr">
        <is>
          <t>OH0020095843</t>
        </is>
      </c>
      <c r="B767" t="n">
        <v>78</v>
      </c>
      <c r="C767" t="n">
        <v>362826</v>
      </c>
      <c r="D767" t="inlineStr">
        <is>
          <t>KLINE</t>
        </is>
      </c>
      <c r="E767" t="inlineStr">
        <is>
          <t>DANIELLE</t>
        </is>
      </c>
      <c r="F767">
        <f>CONCATENATE(D767," ",LEFT(H767,4),"T=",AU767,"D=",AV767,"R=",AW767,"M=",AX767,"L=",AY767,"B=",AZ767)</f>
        <v/>
      </c>
      <c r="G767" t="inlineStr">
        <is>
          <t>M</t>
        </is>
      </c>
      <c r="I767" t="inlineStr">
        <is>
          <t>1981-12-12</t>
        </is>
      </c>
      <c r="J767" t="inlineStr">
        <is>
          <t>2021-09-25</t>
        </is>
      </c>
      <c r="K767" t="inlineStr">
        <is>
          <t>ACTIVE</t>
        </is>
      </c>
      <c r="M767" t="inlineStr">
        <is>
          <t>135 CHARLES AVE SE</t>
        </is>
      </c>
      <c r="N767">
        <f>RIGHT(M767,LEN(M767)-FIND(" ",M767))</f>
        <v/>
      </c>
      <c r="P767" t="inlineStr">
        <is>
          <t>WARREN</t>
        </is>
      </c>
      <c r="Q767" t="inlineStr">
        <is>
          <t>OH</t>
        </is>
      </c>
      <c r="R767" t="n">
        <v>44483</v>
      </c>
      <c r="AD767" t="inlineStr">
        <is>
          <t>TRUMBULL CAREER &amp; TECH CENTER</t>
        </is>
      </c>
      <c r="AE767" t="inlineStr">
        <is>
          <t>WARREN CITY</t>
        </is>
      </c>
      <c r="AF767" t="inlineStr">
        <is>
          <t>WARREN CITY SD</t>
        </is>
      </c>
      <c r="AH767" t="n">
        <v>14</v>
      </c>
      <c r="AI767" t="n">
        <v>11</v>
      </c>
      <c r="AN767" t="inlineStr">
        <is>
          <t>WARREN</t>
        </is>
      </c>
      <c r="AO767" t="inlineStr">
        <is>
          <t>WARREN CITY 4A</t>
        </is>
      </c>
      <c r="AP767" t="inlineStr">
        <is>
          <t>78-P-ADI</t>
        </is>
      </c>
      <c r="AQ767" t="n">
        <v>9</v>
      </c>
      <c r="AR767" t="n">
        <v>64</v>
      </c>
      <c r="AS767" t="n">
        <v>32</v>
      </c>
      <c r="AU767">
        <f>COUNTA($BA$767:$EH$767)</f>
        <v/>
      </c>
      <c r="AV767">
        <f>COUNTIF($BA$767:$EH$767,"D")</f>
        <v/>
      </c>
      <c r="AW767">
        <f>COUNTIF($BA$767:$EH$767,"R")</f>
        <v/>
      </c>
      <c r="AX767">
        <f>IF(BN767="D",1,0)+IF(BO767="D",1,0)+IF(BT767="D",1,0)+IF(BU767="D",1,0)+IF(BW767="D",1,0)+IF(CC767="D",1,0)+IF(CD767="D",1,0)+IF(CE767="D",1,0)+IF(CF767="D",1,0)+IF(CL767="D",1,0)+IF(CM767="D",1,0)+IF(CQ767="D",1,0)+IF(CR767="D",1,0)+IF(CS767="D",1,0)+IF(CW767="D",1,0)+IF(CX767="D",1,0)+IF(DD767="D",1,0)+IF(DE767="D",1,0)+IF(DJ767="D",1,0)+IF(DK767="D",1,0)+IF(DO767="D",1,0)+IF(DP767="D",1,0)+IF(DQ767="D",1,0)+IF(DW767="D",1,0)+IF(DZ767="D",1,0)+IF(EH767="D",1,0)</f>
        <v/>
      </c>
      <c r="AY767">
        <f>IF(DJ767&lt;&gt;"",1,0)+IF(DK767&lt;&gt;"",1,0)+IF(DM767&lt;&gt;"",1,0)+IF(DO767&lt;&gt;"",1,0)+IF(DP767&lt;&gt;"",1,0)+IF(DQ767&lt;&gt;"",1,0)+IF(DS767&lt;&gt;"",1,0)+IF(DT767&lt;&gt;"",1,0)+IF(DV767&lt;&gt;"",1,0)+IF(DW767&lt;&gt;"",1,0)+IF(DX767&lt;&gt;"",1,0)+IF(DY767&lt;&gt;"",1,0)+IF(DZ767&lt;&gt;"",1,0)+IF(EB767&lt;&gt;"",1,0)+IF(EC767&lt;&gt;"",1,0)+IF(ED767&lt;&gt;"",1,0)+IF(EG767&lt;&gt;"",1,0)+IF(EH767&lt;&gt;"",1,0)</f>
        <v/>
      </c>
      <c r="AZ767">
        <f>IF(EH767&lt;&gt;"",1,0)</f>
        <v/>
      </c>
      <c r="BB767" t="inlineStr">
        <is>
          <t>WARREN-WARD 4</t>
        </is>
      </c>
      <c r="CA767" t="inlineStr">
        <is>
          <t>X</t>
        </is>
      </c>
    </row>
    <row r="768">
      <c r="A768" t="inlineStr">
        <is>
          <t>OH0015820096</t>
        </is>
      </c>
      <c r="B768" t="n">
        <v>78</v>
      </c>
      <c r="C768" t="n">
        <v>276499</v>
      </c>
      <c r="D768" t="inlineStr">
        <is>
          <t>CARTRIGHT</t>
        </is>
      </c>
      <c r="E768" t="inlineStr">
        <is>
          <t>HELENA</t>
        </is>
      </c>
      <c r="F768">
        <f>CONCATENATE(D768," ",LEFT(H768,4),"T=",AU768,"D=",AV768,"R=",AW768,"M=",AX768,"L=",AY768,"B=",AZ768)</f>
        <v/>
      </c>
      <c r="G768" t="inlineStr">
        <is>
          <t>VIOLET</t>
        </is>
      </c>
      <c r="I768" t="inlineStr">
        <is>
          <t>1979-01-31</t>
        </is>
      </c>
      <c r="J768" t="inlineStr">
        <is>
          <t>2015-03-18</t>
        </is>
      </c>
      <c r="K768" t="inlineStr">
        <is>
          <t>ACTIVE</t>
        </is>
      </c>
      <c r="M768" t="inlineStr">
        <is>
          <t>680 WOODBINE AVE SE</t>
        </is>
      </c>
      <c r="N768">
        <f>RIGHT(M768,LEN(M768)-FIND(" ",M768))</f>
        <v/>
      </c>
      <c r="P768" t="inlineStr">
        <is>
          <t>WARREN</t>
        </is>
      </c>
      <c r="Q768" t="inlineStr">
        <is>
          <t>OH</t>
        </is>
      </c>
      <c r="R768" t="n">
        <v>44483</v>
      </c>
      <c r="AD768" t="inlineStr">
        <is>
          <t>TRUMBULL CAREER &amp; TECH CENTER</t>
        </is>
      </c>
      <c r="AE768" t="inlineStr">
        <is>
          <t>WARREN CITY</t>
        </is>
      </c>
      <c r="AF768" t="inlineStr">
        <is>
          <t>WARREN CITY SD</t>
        </is>
      </c>
      <c r="AH768" t="n">
        <v>14</v>
      </c>
      <c r="AI768" t="n">
        <v>11</v>
      </c>
      <c r="AN768" t="inlineStr">
        <is>
          <t>WARREN</t>
        </is>
      </c>
      <c r="AO768" t="inlineStr">
        <is>
          <t>WARREN CITY 4A</t>
        </is>
      </c>
      <c r="AP768" t="inlineStr">
        <is>
          <t>78-P-ADI</t>
        </is>
      </c>
      <c r="AQ768" t="n">
        <v>9</v>
      </c>
      <c r="AR768" t="n">
        <v>64</v>
      </c>
      <c r="AS768" t="n">
        <v>32</v>
      </c>
      <c r="AU768">
        <f>COUNTA($BA$768:$EH$768)</f>
        <v/>
      </c>
      <c r="AV768">
        <f>COUNTIF($BA$768:$EH$768,"D")</f>
        <v/>
      </c>
      <c r="AW768">
        <f>COUNTIF($BA$768:$EH$768,"R")</f>
        <v/>
      </c>
      <c r="AX768">
        <f>IF(BN768="D",1,0)+IF(BO768="D",1,0)+IF(BT768="D",1,0)+IF(BU768="D",1,0)+IF(BW768="D",1,0)+IF(CC768="D",1,0)+IF(CD768="D",1,0)+IF(CE768="D",1,0)+IF(CF768="D",1,0)+IF(CL768="D",1,0)+IF(CM768="D",1,0)+IF(CQ768="D",1,0)+IF(CR768="D",1,0)+IF(CS768="D",1,0)+IF(CW768="D",1,0)+IF(CX768="D",1,0)+IF(DD768="D",1,0)+IF(DE768="D",1,0)+IF(DJ768="D",1,0)+IF(DK768="D",1,0)+IF(DO768="D",1,0)+IF(DP768="D",1,0)+IF(DQ768="D",1,0)+IF(DW768="D",1,0)+IF(DZ768="D",1,0)+IF(EH768="D",1,0)</f>
        <v/>
      </c>
      <c r="AY768">
        <f>IF(DJ768&lt;&gt;"",1,0)+IF(DK768&lt;&gt;"",1,0)+IF(DM768&lt;&gt;"",1,0)+IF(DO768&lt;&gt;"",1,0)+IF(DP768&lt;&gt;"",1,0)+IF(DQ768&lt;&gt;"",1,0)+IF(DS768&lt;&gt;"",1,0)+IF(DT768&lt;&gt;"",1,0)+IF(DV768&lt;&gt;"",1,0)+IF(DW768&lt;&gt;"",1,0)+IF(DX768&lt;&gt;"",1,0)+IF(DY768&lt;&gt;"",1,0)+IF(DZ768&lt;&gt;"",1,0)+IF(EB768&lt;&gt;"",1,0)+IF(EC768&lt;&gt;"",1,0)+IF(ED768&lt;&gt;"",1,0)+IF(EG768&lt;&gt;"",1,0)+IF(EH768&lt;&gt;"",1,0)</f>
        <v/>
      </c>
      <c r="AZ768">
        <f>IF(EH768&lt;&gt;"",1,0)</f>
        <v/>
      </c>
      <c r="BB768" t="inlineStr">
        <is>
          <t>WARREN-WARD 4</t>
        </is>
      </c>
      <c r="BD768" t="inlineStr">
        <is>
          <t>X</t>
        </is>
      </c>
      <c r="BL768" t="inlineStr">
        <is>
          <t>X</t>
        </is>
      </c>
      <c r="EF768" t="inlineStr">
        <is>
          <t>X</t>
        </is>
      </c>
    </row>
    <row r="769">
      <c r="A769" t="inlineStr">
        <is>
          <t>OH0027500294</t>
        </is>
      </c>
      <c r="B769" t="n">
        <v>78</v>
      </c>
      <c r="C769" t="n">
        <v>487209</v>
      </c>
      <c r="D769" t="inlineStr">
        <is>
          <t>BARNETT</t>
        </is>
      </c>
      <c r="E769" t="inlineStr">
        <is>
          <t>HEATH</t>
        </is>
      </c>
      <c r="F769">
        <f>CONCATENATE(D769," ",LEFT(H769,4),"T=",AU769,"D=",AV769,"R=",AW769,"M=",AX769,"L=",AY769,"B=",AZ769)</f>
        <v/>
      </c>
      <c r="I769" t="inlineStr">
        <is>
          <t>1980-12-22</t>
        </is>
      </c>
      <c r="J769" t="inlineStr">
        <is>
          <t>2024-07-30</t>
        </is>
      </c>
      <c r="K769" t="inlineStr">
        <is>
          <t>ACTIVE</t>
        </is>
      </c>
      <c r="M769" t="inlineStr">
        <is>
          <t>1208 GRANT ST SE</t>
        </is>
      </c>
      <c r="N769">
        <f>RIGHT(M769,LEN(M769)-FIND(" ",M769))</f>
        <v/>
      </c>
      <c r="P769" t="inlineStr">
        <is>
          <t>WARREN</t>
        </is>
      </c>
      <c r="Q769" t="inlineStr">
        <is>
          <t>OH</t>
        </is>
      </c>
      <c r="R769" t="n">
        <v>44483</v>
      </c>
      <c r="AD769" t="inlineStr">
        <is>
          <t>TRUMBULL CAREER &amp; TECH CENTER</t>
        </is>
      </c>
      <c r="AE769" t="inlineStr">
        <is>
          <t>WARREN CITY</t>
        </is>
      </c>
      <c r="AF769" t="inlineStr">
        <is>
          <t>WARREN CITY SD</t>
        </is>
      </c>
      <c r="AH769" t="n">
        <v>14</v>
      </c>
      <c r="AI769" t="n">
        <v>11</v>
      </c>
      <c r="AN769" t="inlineStr">
        <is>
          <t>WARREN</t>
        </is>
      </c>
      <c r="AO769" t="inlineStr">
        <is>
          <t>WARREN CITY 4A</t>
        </is>
      </c>
      <c r="AP769" t="inlineStr">
        <is>
          <t>78-P-ADI</t>
        </is>
      </c>
      <c r="AQ769" t="n">
        <v>9</v>
      </c>
      <c r="AR769" t="n">
        <v>64</v>
      </c>
      <c r="AS769" t="n">
        <v>32</v>
      </c>
      <c r="AU769">
        <f>COUNTA($BA$769:$EH$769)</f>
        <v/>
      </c>
      <c r="AV769">
        <f>COUNTIF($BA$769:$EH$769,"D")</f>
        <v/>
      </c>
      <c r="AW769">
        <f>COUNTIF($BA$769:$EH$769,"R")</f>
        <v/>
      </c>
      <c r="AX769">
        <f>IF(BN769="D",1,0)+IF(BO769="D",1,0)+IF(BT769="D",1,0)+IF(BU769="D",1,0)+IF(BW769="D",1,0)+IF(CC769="D",1,0)+IF(CD769="D",1,0)+IF(CE769="D",1,0)+IF(CF769="D",1,0)+IF(CL769="D",1,0)+IF(CM769="D",1,0)+IF(CQ769="D",1,0)+IF(CR769="D",1,0)+IF(CS769="D",1,0)+IF(CW769="D",1,0)+IF(CX769="D",1,0)+IF(DD769="D",1,0)+IF(DE769="D",1,0)+IF(DJ769="D",1,0)+IF(DK769="D",1,0)+IF(DO769="D",1,0)+IF(DP769="D",1,0)+IF(DQ769="D",1,0)+IF(DW769="D",1,0)+IF(DZ769="D",1,0)+IF(EH769="D",1,0)</f>
        <v/>
      </c>
      <c r="AY769">
        <f>IF(DJ769&lt;&gt;"",1,0)+IF(DK769&lt;&gt;"",1,0)+IF(DM769&lt;&gt;"",1,0)+IF(DO769&lt;&gt;"",1,0)+IF(DP769&lt;&gt;"",1,0)+IF(DQ769&lt;&gt;"",1,0)+IF(DS769&lt;&gt;"",1,0)+IF(DT769&lt;&gt;"",1,0)+IF(DV769&lt;&gt;"",1,0)+IF(DW769&lt;&gt;"",1,0)+IF(DX769&lt;&gt;"",1,0)+IF(DY769&lt;&gt;"",1,0)+IF(DZ769&lt;&gt;"",1,0)+IF(EB769&lt;&gt;"",1,0)+IF(EC769&lt;&gt;"",1,0)+IF(ED769&lt;&gt;"",1,0)+IF(EG769&lt;&gt;"",1,0)+IF(EH769&lt;&gt;"",1,0)</f>
        <v/>
      </c>
      <c r="AZ769">
        <f>IF(EH769&lt;&gt;"",1,0)</f>
        <v/>
      </c>
      <c r="BB769" t="inlineStr">
        <is>
          <t>WARREN-WARD 4</t>
        </is>
      </c>
    </row>
    <row r="770">
      <c r="A770" t="inlineStr">
        <is>
          <t>OH0015676669</t>
        </is>
      </c>
      <c r="B770" t="n">
        <v>78</v>
      </c>
      <c r="C770" t="n">
        <v>104062</v>
      </c>
      <c r="D770" t="inlineStr">
        <is>
          <t>RIESER</t>
        </is>
      </c>
      <c r="E770" t="inlineStr">
        <is>
          <t>JAMES</t>
        </is>
      </c>
      <c r="F770">
        <f>CONCATENATE(D770," ",LEFT(H770,4),"T=",AU770,"D=",AV770,"R=",AW770,"M=",AX770,"L=",AY770,"B=",AZ770)</f>
        <v/>
      </c>
      <c r="G770" t="inlineStr">
        <is>
          <t>E</t>
        </is>
      </c>
      <c r="I770" t="inlineStr">
        <is>
          <t>1954-10-17</t>
        </is>
      </c>
      <c r="J770" t="inlineStr">
        <is>
          <t>2011-10-31</t>
        </is>
      </c>
      <c r="K770" t="inlineStr">
        <is>
          <t>ACTIVE</t>
        </is>
      </c>
      <c r="L770" t="inlineStr">
        <is>
          <t>D</t>
        </is>
      </c>
      <c r="M770" t="inlineStr">
        <is>
          <t>334 ADELAIDE AVE SE</t>
        </is>
      </c>
      <c r="N770">
        <f>RIGHT(M770,LEN(M770)-FIND(" ",M770))</f>
        <v/>
      </c>
      <c r="P770" t="inlineStr">
        <is>
          <t>WARREN</t>
        </is>
      </c>
      <c r="Q770" t="inlineStr">
        <is>
          <t>OH</t>
        </is>
      </c>
      <c r="R770" t="n">
        <v>44483</v>
      </c>
      <c r="AD770" t="inlineStr">
        <is>
          <t>TRUMBULL CAREER &amp; TECH CENTER</t>
        </is>
      </c>
      <c r="AE770" t="inlineStr">
        <is>
          <t>WARREN CITY</t>
        </is>
      </c>
      <c r="AF770" t="inlineStr">
        <is>
          <t>WARREN CITY SD</t>
        </is>
      </c>
      <c r="AH770" t="n">
        <v>14</v>
      </c>
      <c r="AI770" t="n">
        <v>11</v>
      </c>
      <c r="AN770" t="inlineStr">
        <is>
          <t>WARREN</t>
        </is>
      </c>
      <c r="AO770" t="inlineStr">
        <is>
          <t>WARREN CITY 4A</t>
        </is>
      </c>
      <c r="AP770" t="inlineStr">
        <is>
          <t>78-P-ADI</t>
        </is>
      </c>
      <c r="AQ770" t="n">
        <v>9</v>
      </c>
      <c r="AR770" t="n">
        <v>64</v>
      </c>
      <c r="AS770" t="n">
        <v>32</v>
      </c>
      <c r="AU770">
        <f>COUNTA($BA$770:$EH$770)</f>
        <v/>
      </c>
      <c r="AV770">
        <f>COUNTIF($BA$770:$EH$770,"D")</f>
        <v/>
      </c>
      <c r="AW770">
        <f>COUNTIF($BA$770:$EH$770,"R")</f>
        <v/>
      </c>
      <c r="AX770">
        <f>IF(BN770="D",1,0)+IF(BO770="D",1,0)+IF(BT770="D",1,0)+IF(BU770="D",1,0)+IF(BW770="D",1,0)+IF(CC770="D",1,0)+IF(CD770="D",1,0)+IF(CE770="D",1,0)+IF(CF770="D",1,0)+IF(CL770="D",1,0)+IF(CM770="D",1,0)+IF(CQ770="D",1,0)+IF(CR770="D",1,0)+IF(CS770="D",1,0)+IF(CW770="D",1,0)+IF(CX770="D",1,0)+IF(DD770="D",1,0)+IF(DE770="D",1,0)+IF(DJ770="D",1,0)+IF(DK770="D",1,0)+IF(DO770="D",1,0)+IF(DP770="D",1,0)+IF(DQ770="D",1,0)+IF(DW770="D",1,0)+IF(DZ770="D",1,0)+IF(EH770="D",1,0)</f>
        <v/>
      </c>
      <c r="AY770">
        <f>IF(DJ770&lt;&gt;"",1,0)+IF(DK770&lt;&gt;"",1,0)+IF(DM770&lt;&gt;"",1,0)+IF(DO770&lt;&gt;"",1,0)+IF(DP770&lt;&gt;"",1,0)+IF(DQ770&lt;&gt;"",1,0)+IF(DS770&lt;&gt;"",1,0)+IF(DT770&lt;&gt;"",1,0)+IF(DV770&lt;&gt;"",1,0)+IF(DW770&lt;&gt;"",1,0)+IF(DX770&lt;&gt;"",1,0)+IF(DY770&lt;&gt;"",1,0)+IF(DZ770&lt;&gt;"",1,0)+IF(EB770&lt;&gt;"",1,0)+IF(EC770&lt;&gt;"",1,0)+IF(ED770&lt;&gt;"",1,0)+IF(EG770&lt;&gt;"",1,0)+IF(EH770&lt;&gt;"",1,0)</f>
        <v/>
      </c>
      <c r="AZ770">
        <f>IF(EH770&lt;&gt;"",1,0)</f>
        <v/>
      </c>
      <c r="BB770" t="inlineStr">
        <is>
          <t>WARREN-WARD 4</t>
        </is>
      </c>
      <c r="BD770" t="inlineStr">
        <is>
          <t>X</t>
        </is>
      </c>
      <c r="BE770" t="inlineStr">
        <is>
          <t>X</t>
        </is>
      </c>
      <c r="BG770" t="inlineStr">
        <is>
          <t>X</t>
        </is>
      </c>
      <c r="BJ770" t="inlineStr">
        <is>
          <t>X</t>
        </is>
      </c>
      <c r="BK770" t="inlineStr">
        <is>
          <t>X</t>
        </is>
      </c>
      <c r="BL770" t="inlineStr">
        <is>
          <t>X</t>
        </is>
      </c>
      <c r="BP770" t="inlineStr">
        <is>
          <t>X</t>
        </is>
      </c>
      <c r="BS770" t="inlineStr">
        <is>
          <t>X</t>
        </is>
      </c>
      <c r="BY770" t="inlineStr">
        <is>
          <t>D</t>
        </is>
      </c>
      <c r="CA770" t="inlineStr">
        <is>
          <t>X</t>
        </is>
      </c>
      <c r="CG770" t="inlineStr">
        <is>
          <t>X</t>
        </is>
      </c>
      <c r="CH770" t="inlineStr">
        <is>
          <t>D</t>
        </is>
      </c>
      <c r="CK770" t="inlineStr">
        <is>
          <t>X</t>
        </is>
      </c>
      <c r="CL770" t="inlineStr">
        <is>
          <t>D</t>
        </is>
      </c>
      <c r="CN770" t="inlineStr">
        <is>
          <t>X</t>
        </is>
      </c>
      <c r="CO770" t="inlineStr">
        <is>
          <t>D</t>
        </is>
      </c>
      <c r="CP770" t="inlineStr">
        <is>
          <t>X</t>
        </is>
      </c>
      <c r="CQ770" t="inlineStr">
        <is>
          <t>D</t>
        </is>
      </c>
      <c r="CT770" t="inlineStr">
        <is>
          <t>X</t>
        </is>
      </c>
      <c r="CV770" t="inlineStr">
        <is>
          <t>X</t>
        </is>
      </c>
      <c r="CW770" t="inlineStr">
        <is>
          <t>D</t>
        </is>
      </c>
      <c r="CY770" t="inlineStr">
        <is>
          <t>X</t>
        </is>
      </c>
      <c r="CZ770" t="inlineStr">
        <is>
          <t>D</t>
        </is>
      </c>
      <c r="DC770" t="inlineStr">
        <is>
          <t>X</t>
        </is>
      </c>
      <c r="DD770" t="inlineStr">
        <is>
          <t>D</t>
        </is>
      </c>
      <c r="DF770" t="inlineStr">
        <is>
          <t>X</t>
        </is>
      </c>
      <c r="DG770" t="inlineStr">
        <is>
          <t>D</t>
        </is>
      </c>
      <c r="DI770" t="inlineStr">
        <is>
          <t>X</t>
        </is>
      </c>
      <c r="DJ770" t="inlineStr">
        <is>
          <t>D</t>
        </is>
      </c>
      <c r="DM770" t="inlineStr">
        <is>
          <t>D</t>
        </is>
      </c>
      <c r="DN770" t="inlineStr">
        <is>
          <t>X</t>
        </is>
      </c>
      <c r="DR770" t="inlineStr">
        <is>
          <t>X</t>
        </is>
      </c>
      <c r="DS770" t="inlineStr">
        <is>
          <t>D</t>
        </is>
      </c>
      <c r="DT770" t="inlineStr">
        <is>
          <t>D</t>
        </is>
      </c>
      <c r="DU770" t="inlineStr">
        <is>
          <t>X</t>
        </is>
      </c>
      <c r="DW770" t="inlineStr">
        <is>
          <t>D</t>
        </is>
      </c>
      <c r="DX770" t="inlineStr">
        <is>
          <t>X</t>
        </is>
      </c>
      <c r="EA770" t="inlineStr">
        <is>
          <t>X</t>
        </is>
      </c>
      <c r="ED770" t="inlineStr">
        <is>
          <t>R</t>
        </is>
      </c>
      <c r="EF770" t="inlineStr">
        <is>
          <t>X</t>
        </is>
      </c>
      <c r="EH770" t="inlineStr">
        <is>
          <t>D</t>
        </is>
      </c>
    </row>
    <row r="771">
      <c r="A771" t="inlineStr">
        <is>
          <t>OH0027889763</t>
        </is>
      </c>
      <c r="B771" t="n">
        <v>78</v>
      </c>
      <c r="C771" t="n">
        <v>494894</v>
      </c>
      <c r="D771" t="inlineStr">
        <is>
          <t>MCKNIGHT</t>
        </is>
      </c>
      <c r="E771" t="inlineStr">
        <is>
          <t>ANITA</t>
        </is>
      </c>
      <c r="F771">
        <f>CONCATENATE(D771," ",LEFT(H771,4),"T=",AU771,"D=",AV771,"R=",AW771,"M=",AX771,"L=",AY771,"B=",AZ771)</f>
        <v/>
      </c>
      <c r="G771" t="inlineStr">
        <is>
          <t>MARIE</t>
        </is>
      </c>
      <c r="I771" t="inlineStr">
        <is>
          <t>1950-07-15</t>
        </is>
      </c>
      <c r="J771" t="inlineStr">
        <is>
          <t>2025-01-30</t>
        </is>
      </c>
      <c r="K771" t="inlineStr">
        <is>
          <t>ACTIVE</t>
        </is>
      </c>
      <c r="M771" t="inlineStr">
        <is>
          <t>485 KENILWORTH AVE SE</t>
        </is>
      </c>
      <c r="N771">
        <f>RIGHT(M771,LEN(M771)-FIND(" ",M771))</f>
        <v/>
      </c>
      <c r="P771" t="inlineStr">
        <is>
          <t>WARREN</t>
        </is>
      </c>
      <c r="Q771" t="inlineStr">
        <is>
          <t>OH</t>
        </is>
      </c>
      <c r="R771" t="n">
        <v>44483</v>
      </c>
      <c r="AD771" t="inlineStr">
        <is>
          <t>TRUMBULL CAREER &amp; TECH CENTER</t>
        </is>
      </c>
      <c r="AE771" t="inlineStr">
        <is>
          <t>WARREN CITY</t>
        </is>
      </c>
      <c r="AF771" t="inlineStr">
        <is>
          <t>WARREN CITY SD</t>
        </is>
      </c>
      <c r="AH771" t="n">
        <v>14</v>
      </c>
      <c r="AI771" t="n">
        <v>11</v>
      </c>
      <c r="AN771" t="inlineStr">
        <is>
          <t>WARREN</t>
        </is>
      </c>
      <c r="AO771" t="inlineStr">
        <is>
          <t>WARREN CITY 4A</t>
        </is>
      </c>
      <c r="AP771" t="inlineStr">
        <is>
          <t>78-P-ADI</t>
        </is>
      </c>
      <c r="AQ771" t="n">
        <v>9</v>
      </c>
      <c r="AR771" t="n">
        <v>64</v>
      </c>
      <c r="AS771" t="n">
        <v>32</v>
      </c>
      <c r="AU771">
        <f>COUNTA($BA$771:$EH$771)</f>
        <v/>
      </c>
      <c r="AV771">
        <f>COUNTIF($BA$771:$EH$771,"D")</f>
        <v/>
      </c>
      <c r="AW771">
        <f>COUNTIF($BA$771:$EH$771,"R")</f>
        <v/>
      </c>
      <c r="AX771">
        <f>IF(BN771="D",1,0)+IF(BO771="D",1,0)+IF(BT771="D",1,0)+IF(BU771="D",1,0)+IF(BW771="D",1,0)+IF(CC771="D",1,0)+IF(CD771="D",1,0)+IF(CE771="D",1,0)+IF(CF771="D",1,0)+IF(CL771="D",1,0)+IF(CM771="D",1,0)+IF(CQ771="D",1,0)+IF(CR771="D",1,0)+IF(CS771="D",1,0)+IF(CW771="D",1,0)+IF(CX771="D",1,0)+IF(DD771="D",1,0)+IF(DE771="D",1,0)+IF(DJ771="D",1,0)+IF(DK771="D",1,0)+IF(DO771="D",1,0)+IF(DP771="D",1,0)+IF(DQ771="D",1,0)+IF(DW771="D",1,0)+IF(DZ771="D",1,0)+IF(EH771="D",1,0)</f>
        <v/>
      </c>
      <c r="AY771">
        <f>IF(DJ771&lt;&gt;"",1,0)+IF(DK771&lt;&gt;"",1,0)+IF(DM771&lt;&gt;"",1,0)+IF(DO771&lt;&gt;"",1,0)+IF(DP771&lt;&gt;"",1,0)+IF(DQ771&lt;&gt;"",1,0)+IF(DS771&lt;&gt;"",1,0)+IF(DT771&lt;&gt;"",1,0)+IF(DV771&lt;&gt;"",1,0)+IF(DW771&lt;&gt;"",1,0)+IF(DX771&lt;&gt;"",1,0)+IF(DY771&lt;&gt;"",1,0)+IF(DZ771&lt;&gt;"",1,0)+IF(EB771&lt;&gt;"",1,0)+IF(EC771&lt;&gt;"",1,0)+IF(ED771&lt;&gt;"",1,0)+IF(EG771&lt;&gt;"",1,0)+IF(EH771&lt;&gt;"",1,0)</f>
        <v/>
      </c>
      <c r="AZ771">
        <f>IF(EH771&lt;&gt;"",1,0)</f>
        <v/>
      </c>
      <c r="BB771" t="inlineStr">
        <is>
          <t>WARREN-WARD 4</t>
        </is>
      </c>
    </row>
    <row r="772">
      <c r="A772" t="inlineStr">
        <is>
          <t>OH0023151624</t>
        </is>
      </c>
      <c r="B772" t="n">
        <v>78</v>
      </c>
      <c r="C772" t="n">
        <v>407656</v>
      </c>
      <c r="D772" t="inlineStr">
        <is>
          <t>BRAINARD</t>
        </is>
      </c>
      <c r="E772" t="inlineStr">
        <is>
          <t>CHRISTOPHER</t>
        </is>
      </c>
      <c r="F772">
        <f>CONCATENATE(D772," ",LEFT(H772,4),"T=",AU772,"D=",AV772,"R=",AW772,"M=",AX772,"L=",AY772,"B=",AZ772)</f>
        <v/>
      </c>
      <c r="G772" t="inlineStr">
        <is>
          <t>J</t>
        </is>
      </c>
      <c r="I772" t="inlineStr">
        <is>
          <t>1980-05-03</t>
        </is>
      </c>
      <c r="J772" t="inlineStr">
        <is>
          <t>2015-04-16</t>
        </is>
      </c>
      <c r="K772" t="inlineStr">
        <is>
          <t>ACTIVE</t>
        </is>
      </c>
      <c r="L772" t="inlineStr">
        <is>
          <t>R</t>
        </is>
      </c>
      <c r="M772" t="inlineStr">
        <is>
          <t>359 KENILWORTH AVE SE</t>
        </is>
      </c>
      <c r="N772">
        <f>RIGHT(M772,LEN(M772)-FIND(" ",M772))</f>
        <v/>
      </c>
      <c r="P772" t="inlineStr">
        <is>
          <t>WARREN</t>
        </is>
      </c>
      <c r="Q772" t="inlineStr">
        <is>
          <t>OH</t>
        </is>
      </c>
      <c r="R772" t="n">
        <v>44483</v>
      </c>
      <c r="AD772" t="inlineStr">
        <is>
          <t>TRUMBULL CAREER &amp; TECH CENTER</t>
        </is>
      </c>
      <c r="AE772" t="inlineStr">
        <is>
          <t>WARREN CITY</t>
        </is>
      </c>
      <c r="AF772" t="inlineStr">
        <is>
          <t>WARREN CITY SD</t>
        </is>
      </c>
      <c r="AH772" t="n">
        <v>14</v>
      </c>
      <c r="AI772" t="n">
        <v>11</v>
      </c>
      <c r="AN772" t="inlineStr">
        <is>
          <t>WARREN</t>
        </is>
      </c>
      <c r="AO772" t="inlineStr">
        <is>
          <t>WARREN CITY 4A</t>
        </is>
      </c>
      <c r="AP772" t="inlineStr">
        <is>
          <t>78-P-ADI</t>
        </is>
      </c>
      <c r="AQ772" t="n">
        <v>9</v>
      </c>
      <c r="AR772" t="n">
        <v>64</v>
      </c>
      <c r="AS772" t="n">
        <v>32</v>
      </c>
      <c r="AU772">
        <f>COUNTA($BA$772:$EH$772)</f>
        <v/>
      </c>
      <c r="AV772">
        <f>COUNTIF($BA$772:$EH$772,"D")</f>
        <v/>
      </c>
      <c r="AW772">
        <f>COUNTIF($BA$772:$EH$772,"R")</f>
        <v/>
      </c>
      <c r="AX772">
        <f>IF(BN772="D",1,0)+IF(BO772="D",1,0)+IF(BT772="D",1,0)+IF(BU772="D",1,0)+IF(BW772="D",1,0)+IF(CC772="D",1,0)+IF(CD772="D",1,0)+IF(CE772="D",1,0)+IF(CF772="D",1,0)+IF(CL772="D",1,0)+IF(CM772="D",1,0)+IF(CQ772="D",1,0)+IF(CR772="D",1,0)+IF(CS772="D",1,0)+IF(CW772="D",1,0)+IF(CX772="D",1,0)+IF(DD772="D",1,0)+IF(DE772="D",1,0)+IF(DJ772="D",1,0)+IF(DK772="D",1,0)+IF(DO772="D",1,0)+IF(DP772="D",1,0)+IF(DQ772="D",1,0)+IF(DW772="D",1,0)+IF(DZ772="D",1,0)+IF(EH772="D",1,0)</f>
        <v/>
      </c>
      <c r="AY772">
        <f>IF(DJ772&lt;&gt;"",1,0)+IF(DK772&lt;&gt;"",1,0)+IF(DM772&lt;&gt;"",1,0)+IF(DO772&lt;&gt;"",1,0)+IF(DP772&lt;&gt;"",1,0)+IF(DQ772&lt;&gt;"",1,0)+IF(DS772&lt;&gt;"",1,0)+IF(DT772&lt;&gt;"",1,0)+IF(DV772&lt;&gt;"",1,0)+IF(DW772&lt;&gt;"",1,0)+IF(DX772&lt;&gt;"",1,0)+IF(DY772&lt;&gt;"",1,0)+IF(DZ772&lt;&gt;"",1,0)+IF(EB772&lt;&gt;"",1,0)+IF(EC772&lt;&gt;"",1,0)+IF(ED772&lt;&gt;"",1,0)+IF(EG772&lt;&gt;"",1,0)+IF(EH772&lt;&gt;"",1,0)</f>
        <v/>
      </c>
      <c r="AZ772">
        <f>IF(EH772&lt;&gt;"",1,0)</f>
        <v/>
      </c>
      <c r="BB772" t="inlineStr">
        <is>
          <t>WARREN-WARD 4</t>
        </is>
      </c>
      <c r="CY772" t="inlineStr">
        <is>
          <t>X</t>
        </is>
      </c>
      <c r="DC772" t="inlineStr">
        <is>
          <t>X</t>
        </is>
      </c>
      <c r="DI772" t="inlineStr">
        <is>
          <t>X</t>
        </is>
      </c>
      <c r="DL772" t="inlineStr">
        <is>
          <t>X</t>
        </is>
      </c>
      <c r="DN772" t="inlineStr">
        <is>
          <t>X</t>
        </is>
      </c>
      <c r="DX772" t="inlineStr">
        <is>
          <t>X</t>
        </is>
      </c>
      <c r="EA772" t="inlineStr">
        <is>
          <t>X</t>
        </is>
      </c>
      <c r="ED772" t="inlineStr">
        <is>
          <t>R</t>
        </is>
      </c>
      <c r="EF772" t="inlineStr">
        <is>
          <t>X</t>
        </is>
      </c>
    </row>
    <row r="773">
      <c r="A773" t="inlineStr">
        <is>
          <t>OH0015692272</t>
        </is>
      </c>
      <c r="B773" t="n">
        <v>78</v>
      </c>
      <c r="C773" t="n">
        <v>14047</v>
      </c>
      <c r="D773" t="inlineStr">
        <is>
          <t>ECONOMOS</t>
        </is>
      </c>
      <c r="E773" t="inlineStr">
        <is>
          <t>STELLA</t>
        </is>
      </c>
      <c r="F773">
        <f>CONCATENATE(D773," ",LEFT(H773,4),"T=",AU773,"D=",AV773,"R=",AW773,"M=",AX773,"L=",AY773,"B=",AZ773)</f>
        <v/>
      </c>
      <c r="I773" t="inlineStr">
        <is>
          <t>1947-04-01</t>
        </is>
      </c>
      <c r="J773" t="inlineStr">
        <is>
          <t>2008-02-04</t>
        </is>
      </c>
      <c r="K773" t="inlineStr">
        <is>
          <t>ACTIVE</t>
        </is>
      </c>
      <c r="M773" t="inlineStr">
        <is>
          <t>389 CHARLES AVE SE</t>
        </is>
      </c>
      <c r="N773">
        <f>RIGHT(M773,LEN(M773)-FIND(" ",M773))</f>
        <v/>
      </c>
      <c r="P773" t="inlineStr">
        <is>
          <t>WARREN</t>
        </is>
      </c>
      <c r="Q773" t="inlineStr">
        <is>
          <t>OH</t>
        </is>
      </c>
      <c r="R773" t="n">
        <v>44483</v>
      </c>
      <c r="AD773" t="inlineStr">
        <is>
          <t>TRUMBULL CAREER &amp; TECH CENTER</t>
        </is>
      </c>
      <c r="AE773" t="inlineStr">
        <is>
          <t>WARREN CITY</t>
        </is>
      </c>
      <c r="AF773" t="inlineStr">
        <is>
          <t>WARREN CITY SD</t>
        </is>
      </c>
      <c r="AH773" t="n">
        <v>14</v>
      </c>
      <c r="AI773" t="n">
        <v>11</v>
      </c>
      <c r="AN773" t="inlineStr">
        <is>
          <t>WARREN</t>
        </is>
      </c>
      <c r="AO773" t="inlineStr">
        <is>
          <t>WARREN CITY 4A</t>
        </is>
      </c>
      <c r="AP773" t="inlineStr">
        <is>
          <t>78-P-ADI</t>
        </is>
      </c>
      <c r="AQ773" t="n">
        <v>9</v>
      </c>
      <c r="AR773" t="n">
        <v>64</v>
      </c>
      <c r="AS773" t="n">
        <v>32</v>
      </c>
      <c r="AU773">
        <f>COUNTA($BA$773:$EH$773)</f>
        <v/>
      </c>
      <c r="AV773">
        <f>COUNTIF($BA$773:$EH$773,"D")</f>
        <v/>
      </c>
      <c r="AW773">
        <f>COUNTIF($BA$773:$EH$773,"R")</f>
        <v/>
      </c>
      <c r="AX773">
        <f>IF(BN773="D",1,0)+IF(BO773="D",1,0)+IF(BT773="D",1,0)+IF(BU773="D",1,0)+IF(BW773="D",1,0)+IF(CC773="D",1,0)+IF(CD773="D",1,0)+IF(CE773="D",1,0)+IF(CF773="D",1,0)+IF(CL773="D",1,0)+IF(CM773="D",1,0)+IF(CQ773="D",1,0)+IF(CR773="D",1,0)+IF(CS773="D",1,0)+IF(CW773="D",1,0)+IF(CX773="D",1,0)+IF(DD773="D",1,0)+IF(DE773="D",1,0)+IF(DJ773="D",1,0)+IF(DK773="D",1,0)+IF(DO773="D",1,0)+IF(DP773="D",1,0)+IF(DQ773="D",1,0)+IF(DW773="D",1,0)+IF(DZ773="D",1,0)+IF(EH773="D",1,0)</f>
        <v/>
      </c>
      <c r="AY773">
        <f>IF(DJ773&lt;&gt;"",1,0)+IF(DK773&lt;&gt;"",1,0)+IF(DM773&lt;&gt;"",1,0)+IF(DO773&lt;&gt;"",1,0)+IF(DP773&lt;&gt;"",1,0)+IF(DQ773&lt;&gt;"",1,0)+IF(DS773&lt;&gt;"",1,0)+IF(DT773&lt;&gt;"",1,0)+IF(DV773&lt;&gt;"",1,0)+IF(DW773&lt;&gt;"",1,0)+IF(DX773&lt;&gt;"",1,0)+IF(DY773&lt;&gt;"",1,0)+IF(DZ773&lt;&gt;"",1,0)+IF(EB773&lt;&gt;"",1,0)+IF(EC773&lt;&gt;"",1,0)+IF(ED773&lt;&gt;"",1,0)+IF(EG773&lt;&gt;"",1,0)+IF(EH773&lt;&gt;"",1,0)</f>
        <v/>
      </c>
      <c r="AZ773">
        <f>IF(EH773&lt;&gt;"",1,0)</f>
        <v/>
      </c>
      <c r="BB773" t="inlineStr">
        <is>
          <t>WARREN-WARD 4</t>
        </is>
      </c>
      <c r="BC773" t="inlineStr">
        <is>
          <t>X</t>
        </is>
      </c>
      <c r="BD773" t="inlineStr">
        <is>
          <t>X</t>
        </is>
      </c>
      <c r="BE773" t="inlineStr">
        <is>
          <t>X</t>
        </is>
      </c>
      <c r="BF773" t="inlineStr">
        <is>
          <t>X</t>
        </is>
      </c>
      <c r="BG773" t="inlineStr">
        <is>
          <t>X</t>
        </is>
      </c>
      <c r="BH773" t="inlineStr">
        <is>
          <t>X</t>
        </is>
      </c>
      <c r="BI773" t="inlineStr">
        <is>
          <t>X</t>
        </is>
      </c>
      <c r="BK773" t="inlineStr">
        <is>
          <t>X</t>
        </is>
      </c>
      <c r="BL773" t="inlineStr">
        <is>
          <t>X</t>
        </is>
      </c>
      <c r="BP773" t="inlineStr">
        <is>
          <t>X</t>
        </is>
      </c>
      <c r="BR773" t="inlineStr">
        <is>
          <t>X</t>
        </is>
      </c>
      <c r="BV773" t="inlineStr">
        <is>
          <t>X</t>
        </is>
      </c>
      <c r="BY773" t="inlineStr">
        <is>
          <t>D</t>
        </is>
      </c>
      <c r="CA773" t="inlineStr">
        <is>
          <t>X</t>
        </is>
      </c>
      <c r="CG773" t="inlineStr">
        <is>
          <t>X</t>
        </is>
      </c>
      <c r="CK773" t="inlineStr">
        <is>
          <t>X</t>
        </is>
      </c>
      <c r="CL773" t="inlineStr">
        <is>
          <t>D</t>
        </is>
      </c>
      <c r="CP773" t="inlineStr">
        <is>
          <t>X</t>
        </is>
      </c>
      <c r="CQ773" t="inlineStr">
        <is>
          <t>D</t>
        </is>
      </c>
      <c r="CT773" t="inlineStr">
        <is>
          <t>X</t>
        </is>
      </c>
      <c r="CW773" t="inlineStr">
        <is>
          <t>D</t>
        </is>
      </c>
      <c r="CY773" t="inlineStr">
        <is>
          <t>X</t>
        </is>
      </c>
      <c r="DC773" t="inlineStr">
        <is>
          <t>X</t>
        </is>
      </c>
      <c r="DF773" t="inlineStr">
        <is>
          <t>X</t>
        </is>
      </c>
      <c r="DI773" t="inlineStr">
        <is>
          <t>X</t>
        </is>
      </c>
      <c r="DJ773" t="inlineStr">
        <is>
          <t>D</t>
        </is>
      </c>
      <c r="DL773" t="inlineStr">
        <is>
          <t>X</t>
        </is>
      </c>
      <c r="DM773" t="inlineStr">
        <is>
          <t>D</t>
        </is>
      </c>
      <c r="EF773" t="inlineStr">
        <is>
          <t>X</t>
        </is>
      </c>
    </row>
    <row r="774">
      <c r="A774" t="inlineStr">
        <is>
          <t>OH0021899484</t>
        </is>
      </c>
      <c r="B774" t="n">
        <v>78</v>
      </c>
      <c r="C774" t="n">
        <v>389061</v>
      </c>
      <c r="D774" t="inlineStr">
        <is>
          <t>FEGLEY</t>
        </is>
      </c>
      <c r="E774" t="inlineStr">
        <is>
          <t>JOSHUA</t>
        </is>
      </c>
      <c r="F774">
        <f>CONCATENATE(D774," ",LEFT(H774,4),"T=",AU774,"D=",AV774,"R=",AW774,"M=",AX774,"L=",AY774,"B=",AZ774)</f>
        <v/>
      </c>
      <c r="G774" t="inlineStr">
        <is>
          <t>ERIC</t>
        </is>
      </c>
      <c r="I774" t="inlineStr">
        <is>
          <t>1983-07-05</t>
        </is>
      </c>
      <c r="J774" t="inlineStr">
        <is>
          <t>2020-01-29</t>
        </is>
      </c>
      <c r="K774" t="inlineStr">
        <is>
          <t>ACTIVE</t>
        </is>
      </c>
      <c r="M774" t="inlineStr">
        <is>
          <t>317 BONNIE BRAE AVE SE</t>
        </is>
      </c>
      <c r="N774">
        <f>RIGHT(M774,LEN(M774)-FIND(" ",M774))</f>
        <v/>
      </c>
      <c r="P774" t="inlineStr">
        <is>
          <t>WARREN</t>
        </is>
      </c>
      <c r="Q774" t="inlineStr">
        <is>
          <t>OH</t>
        </is>
      </c>
      <c r="R774" t="n">
        <v>44484</v>
      </c>
      <c r="AD774" t="inlineStr">
        <is>
          <t>TRUMBULL CAREER &amp; TECH CENTER</t>
        </is>
      </c>
      <c r="AE774" t="inlineStr">
        <is>
          <t>WARREN CITY</t>
        </is>
      </c>
      <c r="AF774" t="inlineStr">
        <is>
          <t>WARREN CITY SD</t>
        </is>
      </c>
      <c r="AH774" t="n">
        <v>14</v>
      </c>
      <c r="AI774" t="n">
        <v>11</v>
      </c>
      <c r="AN774" t="inlineStr">
        <is>
          <t>WARREN</t>
        </is>
      </c>
      <c r="AO774" t="inlineStr">
        <is>
          <t>WARREN CITY 4A</t>
        </is>
      </c>
      <c r="AP774" t="inlineStr">
        <is>
          <t>78-P-ADI</t>
        </is>
      </c>
      <c r="AQ774" t="n">
        <v>9</v>
      </c>
      <c r="AR774" t="n">
        <v>64</v>
      </c>
      <c r="AS774" t="n">
        <v>32</v>
      </c>
      <c r="AU774">
        <f>COUNTA($BA$774:$EH$774)</f>
        <v/>
      </c>
      <c r="AV774">
        <f>COUNTIF($BA$774:$EH$774,"D")</f>
        <v/>
      </c>
      <c r="AW774">
        <f>COUNTIF($BA$774:$EH$774,"R")</f>
        <v/>
      </c>
      <c r="AX774">
        <f>IF(BN774="D",1,0)+IF(BO774="D",1,0)+IF(BT774="D",1,0)+IF(BU774="D",1,0)+IF(BW774="D",1,0)+IF(CC774="D",1,0)+IF(CD774="D",1,0)+IF(CE774="D",1,0)+IF(CF774="D",1,0)+IF(CL774="D",1,0)+IF(CM774="D",1,0)+IF(CQ774="D",1,0)+IF(CR774="D",1,0)+IF(CS774="D",1,0)+IF(CW774="D",1,0)+IF(CX774="D",1,0)+IF(DD774="D",1,0)+IF(DE774="D",1,0)+IF(DJ774="D",1,0)+IF(DK774="D",1,0)+IF(DO774="D",1,0)+IF(DP774="D",1,0)+IF(DQ774="D",1,0)+IF(DW774="D",1,0)+IF(DZ774="D",1,0)+IF(EH774="D",1,0)</f>
        <v/>
      </c>
      <c r="AY774">
        <f>IF(DJ774&lt;&gt;"",1,0)+IF(DK774&lt;&gt;"",1,0)+IF(DM774&lt;&gt;"",1,0)+IF(DO774&lt;&gt;"",1,0)+IF(DP774&lt;&gt;"",1,0)+IF(DQ774&lt;&gt;"",1,0)+IF(DS774&lt;&gt;"",1,0)+IF(DT774&lt;&gt;"",1,0)+IF(DV774&lt;&gt;"",1,0)+IF(DW774&lt;&gt;"",1,0)+IF(DX774&lt;&gt;"",1,0)+IF(DY774&lt;&gt;"",1,0)+IF(DZ774&lt;&gt;"",1,0)+IF(EB774&lt;&gt;"",1,0)+IF(EC774&lt;&gt;"",1,0)+IF(ED774&lt;&gt;"",1,0)+IF(EG774&lt;&gt;"",1,0)+IF(EH774&lt;&gt;"",1,0)</f>
        <v/>
      </c>
      <c r="AZ774">
        <f>IF(EH774&lt;&gt;"",1,0)</f>
        <v/>
      </c>
      <c r="BB774" t="inlineStr">
        <is>
          <t>WARREN-WARD 4</t>
        </is>
      </c>
      <c r="BL774" t="inlineStr">
        <is>
          <t>X</t>
        </is>
      </c>
      <c r="BS774" t="inlineStr">
        <is>
          <t>X</t>
        </is>
      </c>
      <c r="CP774" t="inlineStr">
        <is>
          <t>X</t>
        </is>
      </c>
      <c r="CZ774" t="inlineStr">
        <is>
          <t>D</t>
        </is>
      </c>
      <c r="DC774" t="inlineStr">
        <is>
          <t>X</t>
        </is>
      </c>
      <c r="DI774" t="inlineStr">
        <is>
          <t>X</t>
        </is>
      </c>
      <c r="DN774" t="inlineStr">
        <is>
          <t>X</t>
        </is>
      </c>
      <c r="DR774" t="inlineStr">
        <is>
          <t>X</t>
        </is>
      </c>
      <c r="DU774" t="inlineStr">
        <is>
          <t>X</t>
        </is>
      </c>
      <c r="EA774" t="inlineStr">
        <is>
          <t>X</t>
        </is>
      </c>
      <c r="EF774" t="inlineStr">
        <is>
          <t>X</t>
        </is>
      </c>
    </row>
    <row r="775">
      <c r="A775" t="inlineStr">
        <is>
          <t>OH0019538050</t>
        </is>
      </c>
      <c r="B775" t="n">
        <v>78</v>
      </c>
      <c r="C775" t="n">
        <v>356147</v>
      </c>
      <c r="D775" t="inlineStr">
        <is>
          <t>HADZIGEORGE</t>
        </is>
      </c>
      <c r="E775" t="inlineStr">
        <is>
          <t>SEVA</t>
        </is>
      </c>
      <c r="F775">
        <f>CONCATENATE(D775," ",LEFT(H775,4),"T=",AU775,"D=",AV775,"R=",AW775,"M=",AX775,"L=",AY775,"B=",AZ775)</f>
        <v/>
      </c>
      <c r="G775" t="inlineStr">
        <is>
          <t>G</t>
        </is>
      </c>
      <c r="I775" t="inlineStr">
        <is>
          <t>1990-01-26</t>
        </is>
      </c>
      <c r="J775" t="inlineStr">
        <is>
          <t>2015-08-23</t>
        </is>
      </c>
      <c r="K775" t="inlineStr">
        <is>
          <t>ACTIVE</t>
        </is>
      </c>
      <c r="M775" t="inlineStr">
        <is>
          <t>916 ADELAIDE AVE SE</t>
        </is>
      </c>
      <c r="N775">
        <f>RIGHT(M775,LEN(M775)-FIND(" ",M775))</f>
        <v/>
      </c>
      <c r="P775" t="inlineStr">
        <is>
          <t>WARREN</t>
        </is>
      </c>
      <c r="Q775" t="inlineStr">
        <is>
          <t>OH</t>
        </is>
      </c>
      <c r="R775" t="n">
        <v>44484</v>
      </c>
      <c r="AD775" t="inlineStr">
        <is>
          <t>TRUMBULL CAREER &amp; TECH CENTER</t>
        </is>
      </c>
      <c r="AE775" t="inlineStr">
        <is>
          <t>WARREN CITY</t>
        </is>
      </c>
      <c r="AF775" t="inlineStr">
        <is>
          <t>WARREN CITY SD</t>
        </is>
      </c>
      <c r="AH775" t="n">
        <v>14</v>
      </c>
      <c r="AI775" t="n">
        <v>11</v>
      </c>
      <c r="AN775" t="inlineStr">
        <is>
          <t>WARREN</t>
        </is>
      </c>
      <c r="AO775" t="inlineStr">
        <is>
          <t>WARREN CITY 4A</t>
        </is>
      </c>
      <c r="AP775" t="inlineStr">
        <is>
          <t>78-P-ADI</t>
        </is>
      </c>
      <c r="AQ775" t="n">
        <v>9</v>
      </c>
      <c r="AR775" t="n">
        <v>64</v>
      </c>
      <c r="AS775" t="n">
        <v>32</v>
      </c>
      <c r="AU775">
        <f>COUNTA($BA$775:$EH$775)</f>
        <v/>
      </c>
      <c r="AV775">
        <f>COUNTIF($BA$775:$EH$775,"D")</f>
        <v/>
      </c>
      <c r="AW775">
        <f>COUNTIF($BA$775:$EH$775,"R")</f>
        <v/>
      </c>
      <c r="AX775">
        <f>IF(BN775="D",1,0)+IF(BO775="D",1,0)+IF(BT775="D",1,0)+IF(BU775="D",1,0)+IF(BW775="D",1,0)+IF(CC775="D",1,0)+IF(CD775="D",1,0)+IF(CE775="D",1,0)+IF(CF775="D",1,0)+IF(CL775="D",1,0)+IF(CM775="D",1,0)+IF(CQ775="D",1,0)+IF(CR775="D",1,0)+IF(CS775="D",1,0)+IF(CW775="D",1,0)+IF(CX775="D",1,0)+IF(DD775="D",1,0)+IF(DE775="D",1,0)+IF(DJ775="D",1,0)+IF(DK775="D",1,0)+IF(DO775="D",1,0)+IF(DP775="D",1,0)+IF(DQ775="D",1,0)+IF(DW775="D",1,0)+IF(DZ775="D",1,0)+IF(EH775="D",1,0)</f>
        <v/>
      </c>
      <c r="AY775">
        <f>IF(DJ775&lt;&gt;"",1,0)+IF(DK775&lt;&gt;"",1,0)+IF(DM775&lt;&gt;"",1,0)+IF(DO775&lt;&gt;"",1,0)+IF(DP775&lt;&gt;"",1,0)+IF(DQ775&lt;&gt;"",1,0)+IF(DS775&lt;&gt;"",1,0)+IF(DT775&lt;&gt;"",1,0)+IF(DV775&lt;&gt;"",1,0)+IF(DW775&lt;&gt;"",1,0)+IF(DX775&lt;&gt;"",1,0)+IF(DY775&lt;&gt;"",1,0)+IF(DZ775&lt;&gt;"",1,0)+IF(EB775&lt;&gt;"",1,0)+IF(EC775&lt;&gt;"",1,0)+IF(ED775&lt;&gt;"",1,0)+IF(EG775&lt;&gt;"",1,0)+IF(EH775&lt;&gt;"",1,0)</f>
        <v/>
      </c>
      <c r="AZ775">
        <f>IF(EH775&lt;&gt;"",1,0)</f>
        <v/>
      </c>
      <c r="BB775" t="inlineStr">
        <is>
          <t>WARREN-WARD 4</t>
        </is>
      </c>
      <c r="CA775" t="inlineStr">
        <is>
          <t>X</t>
        </is>
      </c>
      <c r="DC775" t="inlineStr">
        <is>
          <t>X</t>
        </is>
      </c>
      <c r="DN775" t="inlineStr">
        <is>
          <t>X</t>
        </is>
      </c>
    </row>
    <row r="776">
      <c r="A776" t="inlineStr">
        <is>
          <t>OH0015694003</t>
        </is>
      </c>
      <c r="B776" t="n">
        <v>78</v>
      </c>
      <c r="C776" t="n">
        <v>294430</v>
      </c>
      <c r="D776" t="inlineStr">
        <is>
          <t>SPEARE</t>
        </is>
      </c>
      <c r="E776" t="inlineStr">
        <is>
          <t>JOSEPH</t>
        </is>
      </c>
      <c r="F776">
        <f>CONCATENATE(D776," ",LEFT(H776,4),"T=",AU776,"D=",AV776,"R=",AW776,"M=",AX776,"L=",AY776,"B=",AZ776)</f>
        <v/>
      </c>
      <c r="G776" t="inlineStr">
        <is>
          <t>H</t>
        </is>
      </c>
      <c r="H776" t="inlineStr">
        <is>
          <t>SR</t>
        </is>
      </c>
      <c r="I776" t="inlineStr">
        <is>
          <t>1960-12-17</t>
        </is>
      </c>
      <c r="J776" t="inlineStr">
        <is>
          <t>2000-03-07</t>
        </is>
      </c>
      <c r="K776" t="inlineStr">
        <is>
          <t>ACTIVE</t>
        </is>
      </c>
      <c r="L776" t="inlineStr">
        <is>
          <t>R</t>
        </is>
      </c>
      <c r="M776" t="inlineStr">
        <is>
          <t>177 LOGAN AVE SE</t>
        </is>
      </c>
      <c r="N776">
        <f>RIGHT(M776,LEN(M776)-FIND(" ",M776))</f>
        <v/>
      </c>
      <c r="P776" t="inlineStr">
        <is>
          <t>WARREN</t>
        </is>
      </c>
      <c r="Q776" t="inlineStr">
        <is>
          <t>OH</t>
        </is>
      </c>
      <c r="R776" t="n">
        <v>44483</v>
      </c>
      <c r="AD776" t="inlineStr">
        <is>
          <t>TRUMBULL CAREER &amp; TECH CENTER</t>
        </is>
      </c>
      <c r="AE776" t="inlineStr">
        <is>
          <t>WARREN CITY</t>
        </is>
      </c>
      <c r="AF776" t="inlineStr">
        <is>
          <t>WARREN CITY SD</t>
        </is>
      </c>
      <c r="AH776" t="n">
        <v>14</v>
      </c>
      <c r="AI776" t="n">
        <v>11</v>
      </c>
      <c r="AN776" t="inlineStr">
        <is>
          <t>WARREN</t>
        </is>
      </c>
      <c r="AO776" t="inlineStr">
        <is>
          <t>WARREN CITY 4A</t>
        </is>
      </c>
      <c r="AP776" t="inlineStr">
        <is>
          <t>78-P-ADI</t>
        </is>
      </c>
      <c r="AQ776" t="n">
        <v>9</v>
      </c>
      <c r="AR776" t="n">
        <v>64</v>
      </c>
      <c r="AS776" t="n">
        <v>32</v>
      </c>
      <c r="AU776">
        <f>COUNTA($BA$776:$EH$776)</f>
        <v/>
      </c>
      <c r="AV776">
        <f>COUNTIF($BA$776:$EH$776,"D")</f>
        <v/>
      </c>
      <c r="AW776">
        <f>COUNTIF($BA$776:$EH$776,"R")</f>
        <v/>
      </c>
      <c r="AX776">
        <f>IF(BN776="D",1,0)+IF(BO776="D",1,0)+IF(BT776="D",1,0)+IF(BU776="D",1,0)+IF(BW776="D",1,0)+IF(CC776="D",1,0)+IF(CD776="D",1,0)+IF(CE776="D",1,0)+IF(CF776="D",1,0)+IF(CL776="D",1,0)+IF(CM776="D",1,0)+IF(CQ776="D",1,0)+IF(CR776="D",1,0)+IF(CS776="D",1,0)+IF(CW776="D",1,0)+IF(CX776="D",1,0)+IF(DD776="D",1,0)+IF(DE776="D",1,0)+IF(DJ776="D",1,0)+IF(DK776="D",1,0)+IF(DO776="D",1,0)+IF(DP776="D",1,0)+IF(DQ776="D",1,0)+IF(DW776="D",1,0)+IF(DZ776="D",1,0)+IF(EH776="D",1,0)</f>
        <v/>
      </c>
      <c r="AY776">
        <f>IF(DJ776&lt;&gt;"",1,0)+IF(DK776&lt;&gt;"",1,0)+IF(DM776&lt;&gt;"",1,0)+IF(DO776&lt;&gt;"",1,0)+IF(DP776&lt;&gt;"",1,0)+IF(DQ776&lt;&gt;"",1,0)+IF(DS776&lt;&gt;"",1,0)+IF(DT776&lt;&gt;"",1,0)+IF(DV776&lt;&gt;"",1,0)+IF(DW776&lt;&gt;"",1,0)+IF(DX776&lt;&gt;"",1,0)+IF(DY776&lt;&gt;"",1,0)+IF(DZ776&lt;&gt;"",1,0)+IF(EB776&lt;&gt;"",1,0)+IF(EC776&lt;&gt;"",1,0)+IF(ED776&lt;&gt;"",1,0)+IF(EG776&lt;&gt;"",1,0)+IF(EH776&lt;&gt;"",1,0)</f>
        <v/>
      </c>
      <c r="AZ776">
        <f>IF(EH776&lt;&gt;"",1,0)</f>
        <v/>
      </c>
      <c r="BB776" t="inlineStr">
        <is>
          <t>WARREN-WARD 4</t>
        </is>
      </c>
      <c r="BD776" t="inlineStr">
        <is>
          <t>X</t>
        </is>
      </c>
      <c r="BE776" t="inlineStr">
        <is>
          <t>X</t>
        </is>
      </c>
      <c r="BF776" t="inlineStr">
        <is>
          <t>X</t>
        </is>
      </c>
      <c r="BG776" t="inlineStr">
        <is>
          <t>X</t>
        </is>
      </c>
      <c r="BH776" t="inlineStr">
        <is>
          <t>X</t>
        </is>
      </c>
      <c r="BJ776" t="inlineStr">
        <is>
          <t>X</t>
        </is>
      </c>
      <c r="BK776" t="inlineStr">
        <is>
          <t>X</t>
        </is>
      </c>
      <c r="BL776" t="inlineStr">
        <is>
          <t>X</t>
        </is>
      </c>
      <c r="BP776" t="inlineStr">
        <is>
          <t>X</t>
        </is>
      </c>
      <c r="BR776" t="inlineStr">
        <is>
          <t>X</t>
        </is>
      </c>
      <c r="BS776" t="inlineStr">
        <is>
          <t>X</t>
        </is>
      </c>
      <c r="BY776" t="inlineStr">
        <is>
          <t>R</t>
        </is>
      </c>
      <c r="CA776" t="inlineStr">
        <is>
          <t>X</t>
        </is>
      </c>
      <c r="CK776" t="inlineStr">
        <is>
          <t>X</t>
        </is>
      </c>
      <c r="CN776" t="inlineStr">
        <is>
          <t>X</t>
        </is>
      </c>
      <c r="CP776" t="inlineStr">
        <is>
          <t>X</t>
        </is>
      </c>
      <c r="CT776" t="inlineStr">
        <is>
          <t>X</t>
        </is>
      </c>
      <c r="CV776" t="inlineStr">
        <is>
          <t>X</t>
        </is>
      </c>
      <c r="CY776" t="inlineStr">
        <is>
          <t>X</t>
        </is>
      </c>
      <c r="CZ776" t="inlineStr">
        <is>
          <t>R</t>
        </is>
      </c>
      <c r="DC776" t="inlineStr">
        <is>
          <t>X</t>
        </is>
      </c>
      <c r="DI776" t="inlineStr">
        <is>
          <t>X</t>
        </is>
      </c>
      <c r="DM776" t="inlineStr">
        <is>
          <t>R</t>
        </is>
      </c>
      <c r="DN776" t="inlineStr">
        <is>
          <t>X</t>
        </is>
      </c>
      <c r="DS776" t="inlineStr">
        <is>
          <t>R</t>
        </is>
      </c>
      <c r="DU776" t="inlineStr">
        <is>
          <t>X</t>
        </is>
      </c>
      <c r="EA776" t="inlineStr">
        <is>
          <t>X</t>
        </is>
      </c>
      <c r="EF776" t="inlineStr">
        <is>
          <t>X</t>
        </is>
      </c>
    </row>
    <row r="777">
      <c r="A777" t="inlineStr">
        <is>
          <t>OH0024711982</t>
        </is>
      </c>
      <c r="B777" t="n">
        <v>78</v>
      </c>
      <c r="C777" t="n">
        <v>381141</v>
      </c>
      <c r="D777" t="inlineStr">
        <is>
          <t>WARREN</t>
        </is>
      </c>
      <c r="E777" t="inlineStr">
        <is>
          <t>ELLIE</t>
        </is>
      </c>
      <c r="F777">
        <f>CONCATENATE(D777," ",LEFT(H777,4),"T=",AU777,"D=",AV777,"R=",AW777,"M=",AX777,"L=",AY777,"B=",AZ777)</f>
        <v/>
      </c>
      <c r="G777" t="inlineStr">
        <is>
          <t>M</t>
        </is>
      </c>
      <c r="I777" t="inlineStr">
        <is>
          <t>1987-10-26</t>
        </is>
      </c>
      <c r="J777" t="inlineStr">
        <is>
          <t>2016-07-01</t>
        </is>
      </c>
      <c r="K777" t="inlineStr">
        <is>
          <t>CONFIRMATION</t>
        </is>
      </c>
      <c r="M777" t="inlineStr">
        <is>
          <t>314 OAK KNOLL AVE SE</t>
        </is>
      </c>
      <c r="N777">
        <f>RIGHT(M777,LEN(M777)-FIND(" ",M777))</f>
        <v/>
      </c>
      <c r="P777" t="inlineStr">
        <is>
          <t>WARREN</t>
        </is>
      </c>
      <c r="Q777" t="inlineStr">
        <is>
          <t>OH</t>
        </is>
      </c>
      <c r="R777" t="n">
        <v>44483</v>
      </c>
      <c r="AD777" t="inlineStr">
        <is>
          <t>TRUMBULL CAREER &amp; TECH CENTER</t>
        </is>
      </c>
      <c r="AE777" t="inlineStr">
        <is>
          <t>WARREN CITY</t>
        </is>
      </c>
      <c r="AF777" t="inlineStr">
        <is>
          <t>WARREN CITY SD</t>
        </is>
      </c>
      <c r="AH777" t="n">
        <v>14</v>
      </c>
      <c r="AI777" t="n">
        <v>11</v>
      </c>
      <c r="AN777" t="inlineStr">
        <is>
          <t>WARREN</t>
        </is>
      </c>
      <c r="AO777" t="inlineStr">
        <is>
          <t>WARREN CITY 4A</t>
        </is>
      </c>
      <c r="AP777" t="inlineStr">
        <is>
          <t>78-P-ADI</t>
        </is>
      </c>
      <c r="AQ777" t="n">
        <v>9</v>
      </c>
      <c r="AR777" t="n">
        <v>64</v>
      </c>
      <c r="AS777" t="n">
        <v>32</v>
      </c>
      <c r="AU777">
        <f>COUNTA($BA$777:$EH$777)</f>
        <v/>
      </c>
      <c r="AV777">
        <f>COUNTIF($BA$777:$EH$777,"D")</f>
        <v/>
      </c>
      <c r="AW777">
        <f>COUNTIF($BA$777:$EH$777,"R")</f>
        <v/>
      </c>
      <c r="AX777">
        <f>IF(BN777="D",1,0)+IF(BO777="D",1,0)+IF(BT777="D",1,0)+IF(BU777="D",1,0)+IF(BW777="D",1,0)+IF(CC777="D",1,0)+IF(CD777="D",1,0)+IF(CE777="D",1,0)+IF(CF777="D",1,0)+IF(CL777="D",1,0)+IF(CM777="D",1,0)+IF(CQ777="D",1,0)+IF(CR777="D",1,0)+IF(CS777="D",1,0)+IF(CW777="D",1,0)+IF(CX777="D",1,0)+IF(DD777="D",1,0)+IF(DE777="D",1,0)+IF(DJ777="D",1,0)+IF(DK777="D",1,0)+IF(DO777="D",1,0)+IF(DP777="D",1,0)+IF(DQ777="D",1,0)+IF(DW777="D",1,0)+IF(DZ777="D",1,0)+IF(EH777="D",1,0)</f>
        <v/>
      </c>
      <c r="AY777">
        <f>IF(DJ777&lt;&gt;"",1,0)+IF(DK777&lt;&gt;"",1,0)+IF(DM777&lt;&gt;"",1,0)+IF(DO777&lt;&gt;"",1,0)+IF(DP777&lt;&gt;"",1,0)+IF(DQ777&lt;&gt;"",1,0)+IF(DS777&lt;&gt;"",1,0)+IF(DT777&lt;&gt;"",1,0)+IF(DV777&lt;&gt;"",1,0)+IF(DW777&lt;&gt;"",1,0)+IF(DX777&lt;&gt;"",1,0)+IF(DY777&lt;&gt;"",1,0)+IF(DZ777&lt;&gt;"",1,0)+IF(EB777&lt;&gt;"",1,0)+IF(EC777&lt;&gt;"",1,0)+IF(ED777&lt;&gt;"",1,0)+IF(EG777&lt;&gt;"",1,0)+IF(EH777&lt;&gt;"",1,0)</f>
        <v/>
      </c>
      <c r="AZ777">
        <f>IF(EH777&lt;&gt;"",1,0)</f>
        <v/>
      </c>
      <c r="BB777" t="inlineStr">
        <is>
          <t>WARREN-WARD 4</t>
        </is>
      </c>
    </row>
    <row r="778">
      <c r="A778" t="inlineStr">
        <is>
          <t>OH0024542432</t>
        </is>
      </c>
      <c r="B778" t="n">
        <v>78</v>
      </c>
      <c r="C778" t="n">
        <v>430112</v>
      </c>
      <c r="D778" t="inlineStr">
        <is>
          <t>PEACO</t>
        </is>
      </c>
      <c r="E778" t="inlineStr">
        <is>
          <t>ZACHARY</t>
        </is>
      </c>
      <c r="F778">
        <f>CONCATENATE(D778," ",LEFT(H778,4),"T=",AU778,"D=",AV778,"R=",AW778,"M=",AX778,"L=",AY778,"B=",AZ778)</f>
        <v/>
      </c>
      <c r="G778" t="inlineStr">
        <is>
          <t>ANDREW</t>
        </is>
      </c>
      <c r="I778" t="inlineStr">
        <is>
          <t>1994-04-26</t>
        </is>
      </c>
      <c r="J778" t="inlineStr">
        <is>
          <t>2025-03-11</t>
        </is>
      </c>
      <c r="K778" t="inlineStr">
        <is>
          <t>ACTIVE</t>
        </is>
      </c>
      <c r="M778" t="inlineStr">
        <is>
          <t>1253 BELLE ST SE</t>
        </is>
      </c>
      <c r="N778">
        <f>RIGHT(M778,LEN(M778)-FIND(" ",M778))</f>
        <v/>
      </c>
      <c r="P778" t="inlineStr">
        <is>
          <t>WARREN</t>
        </is>
      </c>
      <c r="Q778" t="inlineStr">
        <is>
          <t>OH</t>
        </is>
      </c>
      <c r="R778" t="n">
        <v>44484</v>
      </c>
      <c r="AD778" t="inlineStr">
        <is>
          <t>TRUMBULL CAREER &amp; TECH CENTER</t>
        </is>
      </c>
      <c r="AE778" t="inlineStr">
        <is>
          <t>WARREN CITY</t>
        </is>
      </c>
      <c r="AF778" t="inlineStr">
        <is>
          <t>WARREN CITY SD</t>
        </is>
      </c>
      <c r="AH778" t="n">
        <v>14</v>
      </c>
      <c r="AI778" t="n">
        <v>11</v>
      </c>
      <c r="AN778" t="inlineStr">
        <is>
          <t>WARREN</t>
        </is>
      </c>
      <c r="AO778" t="inlineStr">
        <is>
          <t>WARREN CITY 4A</t>
        </is>
      </c>
      <c r="AP778" t="inlineStr">
        <is>
          <t>78-P-ADI</t>
        </is>
      </c>
      <c r="AQ778" t="n">
        <v>9</v>
      </c>
      <c r="AR778" t="n">
        <v>64</v>
      </c>
      <c r="AS778" t="n">
        <v>32</v>
      </c>
      <c r="AU778">
        <f>COUNTA($BA$778:$EH$778)</f>
        <v/>
      </c>
      <c r="AV778">
        <f>COUNTIF($BA$778:$EH$778,"D")</f>
        <v/>
      </c>
      <c r="AW778">
        <f>COUNTIF($BA$778:$EH$778,"R")</f>
        <v/>
      </c>
      <c r="AX778">
        <f>IF(BN778="D",1,0)+IF(BO778="D",1,0)+IF(BT778="D",1,0)+IF(BU778="D",1,0)+IF(BW778="D",1,0)+IF(CC778="D",1,0)+IF(CD778="D",1,0)+IF(CE778="D",1,0)+IF(CF778="D",1,0)+IF(CL778="D",1,0)+IF(CM778="D",1,0)+IF(CQ778="D",1,0)+IF(CR778="D",1,0)+IF(CS778="D",1,0)+IF(CW778="D",1,0)+IF(CX778="D",1,0)+IF(DD778="D",1,0)+IF(DE778="D",1,0)+IF(DJ778="D",1,0)+IF(DK778="D",1,0)+IF(DO778="D",1,0)+IF(DP778="D",1,0)+IF(DQ778="D",1,0)+IF(DW778="D",1,0)+IF(DZ778="D",1,0)+IF(EH778="D",1,0)</f>
        <v/>
      </c>
      <c r="AY778">
        <f>IF(DJ778&lt;&gt;"",1,0)+IF(DK778&lt;&gt;"",1,0)+IF(DM778&lt;&gt;"",1,0)+IF(DO778&lt;&gt;"",1,0)+IF(DP778&lt;&gt;"",1,0)+IF(DQ778&lt;&gt;"",1,0)+IF(DS778&lt;&gt;"",1,0)+IF(DT778&lt;&gt;"",1,0)+IF(DV778&lt;&gt;"",1,0)+IF(DW778&lt;&gt;"",1,0)+IF(DX778&lt;&gt;"",1,0)+IF(DY778&lt;&gt;"",1,0)+IF(DZ778&lt;&gt;"",1,0)+IF(EB778&lt;&gt;"",1,0)+IF(EC778&lt;&gt;"",1,0)+IF(ED778&lt;&gt;"",1,0)+IF(EG778&lt;&gt;"",1,0)+IF(EH778&lt;&gt;"",1,0)</f>
        <v/>
      </c>
      <c r="AZ778">
        <f>IF(EH778&lt;&gt;"",1,0)</f>
        <v/>
      </c>
      <c r="BB778" t="inlineStr">
        <is>
          <t>WARREN-WARD 4</t>
        </is>
      </c>
    </row>
    <row r="779">
      <c r="A779" t="inlineStr">
        <is>
          <t>OH0015742329</t>
        </is>
      </c>
      <c r="B779" t="n">
        <v>78</v>
      </c>
      <c r="C779" t="n">
        <v>331357</v>
      </c>
      <c r="D779" t="inlineStr">
        <is>
          <t>GUNTHER</t>
        </is>
      </c>
      <c r="E779" t="inlineStr">
        <is>
          <t>TONYA</t>
        </is>
      </c>
      <c r="F779">
        <f>CONCATENATE(D779," ",LEFT(H779,4),"T=",AU779,"D=",AV779,"R=",AW779,"M=",AX779,"L=",AY779,"B=",AZ779)</f>
        <v/>
      </c>
      <c r="G779" t="inlineStr">
        <is>
          <t>M</t>
        </is>
      </c>
      <c r="I779" t="inlineStr">
        <is>
          <t>1965-05-09</t>
        </is>
      </c>
      <c r="J779" t="inlineStr">
        <is>
          <t>2018-04-24</t>
        </is>
      </c>
      <c r="K779" t="inlineStr">
        <is>
          <t>CONFIRMATION</t>
        </is>
      </c>
      <c r="M779" t="inlineStr">
        <is>
          <t>403 WOODBINE AVE SE</t>
        </is>
      </c>
      <c r="N779">
        <f>RIGHT(M779,LEN(M779)-FIND(" ",M779))</f>
        <v/>
      </c>
      <c r="O779" t="inlineStr">
        <is>
          <t>APT 1</t>
        </is>
      </c>
      <c r="P779" t="inlineStr">
        <is>
          <t>WARREN</t>
        </is>
      </c>
      <c r="Q779" t="inlineStr">
        <is>
          <t>OH</t>
        </is>
      </c>
      <c r="R779" t="n">
        <v>44483</v>
      </c>
      <c r="AD779" t="inlineStr">
        <is>
          <t>TRUMBULL CAREER &amp; TECH CENTER</t>
        </is>
      </c>
      <c r="AE779" t="inlineStr">
        <is>
          <t>WARREN CITY</t>
        </is>
      </c>
      <c r="AF779" t="inlineStr">
        <is>
          <t>WARREN CITY SD</t>
        </is>
      </c>
      <c r="AH779" t="n">
        <v>14</v>
      </c>
      <c r="AI779" t="n">
        <v>11</v>
      </c>
      <c r="AN779" t="inlineStr">
        <is>
          <t>WARREN</t>
        </is>
      </c>
      <c r="AO779" t="inlineStr">
        <is>
          <t>WARREN CITY 4A</t>
        </is>
      </c>
      <c r="AP779" t="inlineStr">
        <is>
          <t>78-P-ADI</t>
        </is>
      </c>
      <c r="AQ779" t="n">
        <v>9</v>
      </c>
      <c r="AR779" t="n">
        <v>64</v>
      </c>
      <c r="AS779" t="n">
        <v>32</v>
      </c>
      <c r="AU779">
        <f>COUNTA($BA$779:$EH$779)</f>
        <v/>
      </c>
      <c r="AV779">
        <f>COUNTIF($BA$779:$EH$779,"D")</f>
        <v/>
      </c>
      <c r="AW779">
        <f>COUNTIF($BA$779:$EH$779,"R")</f>
        <v/>
      </c>
      <c r="AX779">
        <f>IF(BN779="D",1,0)+IF(BO779="D",1,0)+IF(BT779="D",1,0)+IF(BU779="D",1,0)+IF(BW779="D",1,0)+IF(CC779="D",1,0)+IF(CD779="D",1,0)+IF(CE779="D",1,0)+IF(CF779="D",1,0)+IF(CL779="D",1,0)+IF(CM779="D",1,0)+IF(CQ779="D",1,0)+IF(CR779="D",1,0)+IF(CS779="D",1,0)+IF(CW779="D",1,0)+IF(CX779="D",1,0)+IF(DD779="D",1,0)+IF(DE779="D",1,0)+IF(DJ779="D",1,0)+IF(DK779="D",1,0)+IF(DO779="D",1,0)+IF(DP779="D",1,0)+IF(DQ779="D",1,0)+IF(DW779="D",1,0)+IF(DZ779="D",1,0)+IF(EH779="D",1,0)</f>
        <v/>
      </c>
      <c r="AY779">
        <f>IF(DJ779&lt;&gt;"",1,0)+IF(DK779&lt;&gt;"",1,0)+IF(DM779&lt;&gt;"",1,0)+IF(DO779&lt;&gt;"",1,0)+IF(DP779&lt;&gt;"",1,0)+IF(DQ779&lt;&gt;"",1,0)+IF(DS779&lt;&gt;"",1,0)+IF(DT779&lt;&gt;"",1,0)+IF(DV779&lt;&gt;"",1,0)+IF(DW779&lt;&gt;"",1,0)+IF(DX779&lt;&gt;"",1,0)+IF(DY779&lt;&gt;"",1,0)+IF(DZ779&lt;&gt;"",1,0)+IF(EB779&lt;&gt;"",1,0)+IF(EC779&lt;&gt;"",1,0)+IF(ED779&lt;&gt;"",1,0)+IF(EG779&lt;&gt;"",1,0)+IF(EH779&lt;&gt;"",1,0)</f>
        <v/>
      </c>
      <c r="AZ779">
        <f>IF(EH779&lt;&gt;"",1,0)</f>
        <v/>
      </c>
      <c r="BB779" t="inlineStr">
        <is>
          <t>WARREN-WARD 4</t>
        </is>
      </c>
      <c r="CA779" t="inlineStr">
        <is>
          <t>X</t>
        </is>
      </c>
    </row>
    <row r="780">
      <c r="A780" t="inlineStr">
        <is>
          <t>OH0025780760</t>
        </is>
      </c>
      <c r="B780" t="n">
        <v>78</v>
      </c>
      <c r="C780" t="n">
        <v>450263</v>
      </c>
      <c r="D780" t="inlineStr">
        <is>
          <t>SZYKULSKI</t>
        </is>
      </c>
      <c r="E780" t="inlineStr">
        <is>
          <t>JUDY</t>
        </is>
      </c>
      <c r="F780">
        <f>CONCATENATE(D780," ",LEFT(H780,4),"T=",AU780,"D=",AV780,"R=",AW780,"M=",AX780,"L=",AY780,"B=",AZ780)</f>
        <v/>
      </c>
      <c r="G780" t="inlineStr">
        <is>
          <t>K</t>
        </is>
      </c>
      <c r="I780" t="inlineStr">
        <is>
          <t>1949-07-16</t>
        </is>
      </c>
      <c r="J780" t="inlineStr">
        <is>
          <t>2020-08-31</t>
        </is>
      </c>
      <c r="K780" t="inlineStr">
        <is>
          <t>ACTIVE</t>
        </is>
      </c>
      <c r="L780" t="inlineStr">
        <is>
          <t>D</t>
        </is>
      </c>
      <c r="M780" t="inlineStr">
        <is>
          <t>345 OAK KNOLL AVE SE</t>
        </is>
      </c>
      <c r="N780">
        <f>RIGHT(M780,LEN(M780)-FIND(" ",M780))</f>
        <v/>
      </c>
      <c r="P780" t="inlineStr">
        <is>
          <t>WARREN</t>
        </is>
      </c>
      <c r="Q780" t="inlineStr">
        <is>
          <t>OH</t>
        </is>
      </c>
      <c r="R780" t="n">
        <v>44483</v>
      </c>
      <c r="AD780" t="inlineStr">
        <is>
          <t>TRUMBULL CAREER &amp; TECH CENTER</t>
        </is>
      </c>
      <c r="AE780" t="inlineStr">
        <is>
          <t>WARREN CITY</t>
        </is>
      </c>
      <c r="AF780" t="inlineStr">
        <is>
          <t>WARREN CITY SD</t>
        </is>
      </c>
      <c r="AH780" t="n">
        <v>14</v>
      </c>
      <c r="AI780" t="n">
        <v>11</v>
      </c>
      <c r="AN780" t="inlineStr">
        <is>
          <t>WARREN</t>
        </is>
      </c>
      <c r="AO780" t="inlineStr">
        <is>
          <t>WARREN CITY 4A</t>
        </is>
      </c>
      <c r="AP780" t="inlineStr">
        <is>
          <t>78-P-ADI</t>
        </is>
      </c>
      <c r="AQ780" t="n">
        <v>9</v>
      </c>
      <c r="AR780" t="n">
        <v>64</v>
      </c>
      <c r="AS780" t="n">
        <v>32</v>
      </c>
      <c r="AU780">
        <f>COUNTA($BA$780:$EH$780)</f>
        <v/>
      </c>
      <c r="AV780">
        <f>COUNTIF($BA$780:$EH$780,"D")</f>
        <v/>
      </c>
      <c r="AW780">
        <f>COUNTIF($BA$780:$EH$780,"R")</f>
        <v/>
      </c>
      <c r="AX780">
        <f>IF(BN780="D",1,0)+IF(BO780="D",1,0)+IF(BT780="D",1,0)+IF(BU780="D",1,0)+IF(BW780="D",1,0)+IF(CC780="D",1,0)+IF(CD780="D",1,0)+IF(CE780="D",1,0)+IF(CF780="D",1,0)+IF(CL780="D",1,0)+IF(CM780="D",1,0)+IF(CQ780="D",1,0)+IF(CR780="D",1,0)+IF(CS780="D",1,0)+IF(CW780="D",1,0)+IF(CX780="D",1,0)+IF(DD780="D",1,0)+IF(DE780="D",1,0)+IF(DJ780="D",1,0)+IF(DK780="D",1,0)+IF(DO780="D",1,0)+IF(DP780="D",1,0)+IF(DQ780="D",1,0)+IF(DW780="D",1,0)+IF(DZ780="D",1,0)+IF(EH780="D",1,0)</f>
        <v/>
      </c>
      <c r="AY780">
        <f>IF(DJ780&lt;&gt;"",1,0)+IF(DK780&lt;&gt;"",1,0)+IF(DM780&lt;&gt;"",1,0)+IF(DO780&lt;&gt;"",1,0)+IF(DP780&lt;&gt;"",1,0)+IF(DQ780&lt;&gt;"",1,0)+IF(DS780&lt;&gt;"",1,0)+IF(DT780&lt;&gt;"",1,0)+IF(DV780&lt;&gt;"",1,0)+IF(DW780&lt;&gt;"",1,0)+IF(DX780&lt;&gt;"",1,0)+IF(DY780&lt;&gt;"",1,0)+IF(DZ780&lt;&gt;"",1,0)+IF(EB780&lt;&gt;"",1,0)+IF(EC780&lt;&gt;"",1,0)+IF(ED780&lt;&gt;"",1,0)+IF(EG780&lt;&gt;"",1,0)+IF(EH780&lt;&gt;"",1,0)</f>
        <v/>
      </c>
      <c r="AZ780">
        <f>IF(EH780&lt;&gt;"",1,0)</f>
        <v/>
      </c>
      <c r="BB780" t="inlineStr">
        <is>
          <t>WARREN-WARD 4</t>
        </is>
      </c>
      <c r="DN780" t="inlineStr">
        <is>
          <t>X</t>
        </is>
      </c>
      <c r="DU780" t="inlineStr">
        <is>
          <t>X</t>
        </is>
      </c>
      <c r="DX780" t="inlineStr">
        <is>
          <t>X</t>
        </is>
      </c>
      <c r="EA780" t="inlineStr">
        <is>
          <t>X</t>
        </is>
      </c>
      <c r="ED780" t="inlineStr">
        <is>
          <t>D</t>
        </is>
      </c>
      <c r="EF780" t="inlineStr">
        <is>
          <t>X</t>
        </is>
      </c>
      <c r="EH780" t="inlineStr">
        <is>
          <t>D</t>
        </is>
      </c>
    </row>
    <row r="781">
      <c r="A781" t="inlineStr">
        <is>
          <t>OH0024561689</t>
        </is>
      </c>
      <c r="B781" t="n">
        <v>78</v>
      </c>
      <c r="C781" t="n">
        <v>430500</v>
      </c>
      <c r="D781" t="inlineStr">
        <is>
          <t>NICOPOLIS</t>
        </is>
      </c>
      <c r="E781" t="inlineStr">
        <is>
          <t>BRANDON</t>
        </is>
      </c>
      <c r="F781">
        <f>CONCATENATE(D781," ",LEFT(H781,4),"T=",AU781,"D=",AV781,"R=",AW781,"M=",AX781,"L=",AY781,"B=",AZ781)</f>
        <v/>
      </c>
      <c r="G781" t="inlineStr">
        <is>
          <t>MICHALE</t>
        </is>
      </c>
      <c r="I781" t="inlineStr">
        <is>
          <t>1987-02-19</t>
        </is>
      </c>
      <c r="J781" t="inlineStr">
        <is>
          <t>2018-06-01</t>
        </is>
      </c>
      <c r="K781" t="inlineStr">
        <is>
          <t>CONFIRMATION</t>
        </is>
      </c>
      <c r="M781" t="inlineStr">
        <is>
          <t>1146 ADELAIDE AVE SE</t>
        </is>
      </c>
      <c r="N781">
        <f>RIGHT(M781,LEN(M781)-FIND(" ",M781))</f>
        <v/>
      </c>
      <c r="P781" t="inlineStr">
        <is>
          <t>WARREN</t>
        </is>
      </c>
      <c r="Q781" t="inlineStr">
        <is>
          <t>OH</t>
        </is>
      </c>
      <c r="R781" t="n">
        <v>44484</v>
      </c>
      <c r="AD781" t="inlineStr">
        <is>
          <t>TRUMBULL CAREER &amp; TECH CENTER</t>
        </is>
      </c>
      <c r="AE781" t="inlineStr">
        <is>
          <t>WARREN CITY</t>
        </is>
      </c>
      <c r="AF781" t="inlineStr">
        <is>
          <t>WARREN CITY SD</t>
        </is>
      </c>
      <c r="AH781" t="n">
        <v>14</v>
      </c>
      <c r="AI781" t="n">
        <v>11</v>
      </c>
      <c r="AN781" t="inlineStr">
        <is>
          <t>WARREN</t>
        </is>
      </c>
      <c r="AO781" t="inlineStr">
        <is>
          <t>WARREN CITY 4A</t>
        </is>
      </c>
      <c r="AP781" t="inlineStr">
        <is>
          <t>78-P-ADI</t>
        </is>
      </c>
      <c r="AQ781" t="n">
        <v>9</v>
      </c>
      <c r="AR781" t="n">
        <v>64</v>
      </c>
      <c r="AS781" t="n">
        <v>32</v>
      </c>
      <c r="AU781">
        <f>COUNTA($BA$781:$EH$781)</f>
        <v/>
      </c>
      <c r="AV781">
        <f>COUNTIF($BA$781:$EH$781,"D")</f>
        <v/>
      </c>
      <c r="AW781">
        <f>COUNTIF($BA$781:$EH$781,"R")</f>
        <v/>
      </c>
      <c r="AX781">
        <f>IF(BN781="D",1,0)+IF(BO781="D",1,0)+IF(BT781="D",1,0)+IF(BU781="D",1,0)+IF(BW781="D",1,0)+IF(CC781="D",1,0)+IF(CD781="D",1,0)+IF(CE781="D",1,0)+IF(CF781="D",1,0)+IF(CL781="D",1,0)+IF(CM781="D",1,0)+IF(CQ781="D",1,0)+IF(CR781="D",1,0)+IF(CS781="D",1,0)+IF(CW781="D",1,0)+IF(CX781="D",1,0)+IF(DD781="D",1,0)+IF(DE781="D",1,0)+IF(DJ781="D",1,0)+IF(DK781="D",1,0)+IF(DO781="D",1,0)+IF(DP781="D",1,0)+IF(DQ781="D",1,0)+IF(DW781="D",1,0)+IF(DZ781="D",1,0)+IF(EH781="D",1,0)</f>
        <v/>
      </c>
      <c r="AY781">
        <f>IF(DJ781&lt;&gt;"",1,0)+IF(DK781&lt;&gt;"",1,0)+IF(DM781&lt;&gt;"",1,0)+IF(DO781&lt;&gt;"",1,0)+IF(DP781&lt;&gt;"",1,0)+IF(DQ781&lt;&gt;"",1,0)+IF(DS781&lt;&gt;"",1,0)+IF(DT781&lt;&gt;"",1,0)+IF(DV781&lt;&gt;"",1,0)+IF(DW781&lt;&gt;"",1,0)+IF(DX781&lt;&gt;"",1,0)+IF(DY781&lt;&gt;"",1,0)+IF(DZ781&lt;&gt;"",1,0)+IF(EB781&lt;&gt;"",1,0)+IF(EC781&lt;&gt;"",1,0)+IF(ED781&lt;&gt;"",1,0)+IF(EG781&lt;&gt;"",1,0)+IF(EH781&lt;&gt;"",1,0)</f>
        <v/>
      </c>
      <c r="AZ781">
        <f>IF(EH781&lt;&gt;"",1,0)</f>
        <v/>
      </c>
      <c r="BB781" t="inlineStr">
        <is>
          <t>WARREN-WARD 4</t>
        </is>
      </c>
    </row>
    <row r="782">
      <c r="A782" t="inlineStr">
        <is>
          <t>OH0023337864</t>
        </is>
      </c>
      <c r="B782" t="n">
        <v>78</v>
      </c>
      <c r="C782" t="n">
        <v>410769</v>
      </c>
      <c r="D782" t="inlineStr">
        <is>
          <t>GANNON</t>
        </is>
      </c>
      <c r="E782" t="inlineStr">
        <is>
          <t>RACHEL</t>
        </is>
      </c>
      <c r="F782">
        <f>CONCATENATE(D782," ",LEFT(H782,4),"T=",AU782,"D=",AV782,"R=",AW782,"M=",AX782,"L=",AY782,"B=",AZ782)</f>
        <v/>
      </c>
      <c r="G782" t="inlineStr">
        <is>
          <t>A</t>
        </is>
      </c>
      <c r="I782" t="inlineStr">
        <is>
          <t>1981-11-22</t>
        </is>
      </c>
      <c r="J782" t="inlineStr">
        <is>
          <t>2015-09-16</t>
        </is>
      </c>
      <c r="K782" t="inlineStr">
        <is>
          <t>ACTIVE</t>
        </is>
      </c>
      <c r="L782" t="inlineStr">
        <is>
          <t>R</t>
        </is>
      </c>
      <c r="M782" t="inlineStr">
        <is>
          <t>538 ADELAIDE AVE SE</t>
        </is>
      </c>
      <c r="N782">
        <f>RIGHT(M782,LEN(M782)-FIND(" ",M782))</f>
        <v/>
      </c>
      <c r="P782" t="inlineStr">
        <is>
          <t>WARREN</t>
        </is>
      </c>
      <c r="Q782" t="inlineStr">
        <is>
          <t>OH</t>
        </is>
      </c>
      <c r="R782" t="n">
        <v>44483</v>
      </c>
      <c r="AD782" t="inlineStr">
        <is>
          <t>TRUMBULL CAREER &amp; TECH CENTER</t>
        </is>
      </c>
      <c r="AE782" t="inlineStr">
        <is>
          <t>WARREN CITY</t>
        </is>
      </c>
      <c r="AF782" t="inlineStr">
        <is>
          <t>WARREN CITY SD</t>
        </is>
      </c>
      <c r="AH782" t="n">
        <v>14</v>
      </c>
      <c r="AI782" t="n">
        <v>11</v>
      </c>
      <c r="AN782" t="inlineStr">
        <is>
          <t>WARREN</t>
        </is>
      </c>
      <c r="AO782" t="inlineStr">
        <is>
          <t>WARREN CITY 4A</t>
        </is>
      </c>
      <c r="AP782" t="inlineStr">
        <is>
          <t>78-P-ADI</t>
        </is>
      </c>
      <c r="AQ782" t="n">
        <v>9</v>
      </c>
      <c r="AR782" t="n">
        <v>64</v>
      </c>
      <c r="AS782" t="n">
        <v>32</v>
      </c>
      <c r="AU782">
        <f>COUNTA($BA$782:$EH$782)</f>
        <v/>
      </c>
      <c r="AV782">
        <f>COUNTIF($BA$782:$EH$782,"D")</f>
        <v/>
      </c>
      <c r="AW782">
        <f>COUNTIF($BA$782:$EH$782,"R")</f>
        <v/>
      </c>
      <c r="AX782">
        <f>IF(BN782="D",1,0)+IF(BO782="D",1,0)+IF(BT782="D",1,0)+IF(BU782="D",1,0)+IF(BW782="D",1,0)+IF(CC782="D",1,0)+IF(CD782="D",1,0)+IF(CE782="D",1,0)+IF(CF782="D",1,0)+IF(CL782="D",1,0)+IF(CM782="D",1,0)+IF(CQ782="D",1,0)+IF(CR782="D",1,0)+IF(CS782="D",1,0)+IF(CW782="D",1,0)+IF(CX782="D",1,0)+IF(DD782="D",1,0)+IF(DE782="D",1,0)+IF(DJ782="D",1,0)+IF(DK782="D",1,0)+IF(DO782="D",1,0)+IF(DP782="D",1,0)+IF(DQ782="D",1,0)+IF(DW782="D",1,0)+IF(DZ782="D",1,0)+IF(EH782="D",1,0)</f>
        <v/>
      </c>
      <c r="AY782">
        <f>IF(DJ782&lt;&gt;"",1,0)+IF(DK782&lt;&gt;"",1,0)+IF(DM782&lt;&gt;"",1,0)+IF(DO782&lt;&gt;"",1,0)+IF(DP782&lt;&gt;"",1,0)+IF(DQ782&lt;&gt;"",1,0)+IF(DS782&lt;&gt;"",1,0)+IF(DT782&lt;&gt;"",1,0)+IF(DV782&lt;&gt;"",1,0)+IF(DW782&lt;&gt;"",1,0)+IF(DX782&lt;&gt;"",1,0)+IF(DY782&lt;&gt;"",1,0)+IF(DZ782&lt;&gt;"",1,0)+IF(EB782&lt;&gt;"",1,0)+IF(EC782&lt;&gt;"",1,0)+IF(ED782&lt;&gt;"",1,0)+IF(EG782&lt;&gt;"",1,0)+IF(EH782&lt;&gt;"",1,0)</f>
        <v/>
      </c>
      <c r="AZ782">
        <f>IF(EH782&lt;&gt;"",1,0)</f>
        <v/>
      </c>
      <c r="BB782" t="inlineStr">
        <is>
          <t>WARREN-WARD 4</t>
        </is>
      </c>
      <c r="BG782" t="inlineStr">
        <is>
          <t>X</t>
        </is>
      </c>
      <c r="BH782" t="inlineStr">
        <is>
          <t>X</t>
        </is>
      </c>
      <c r="BK782" t="inlineStr">
        <is>
          <t>D</t>
        </is>
      </c>
      <c r="BL782" t="inlineStr">
        <is>
          <t>X</t>
        </is>
      </c>
      <c r="BN782" t="inlineStr">
        <is>
          <t>D</t>
        </is>
      </c>
      <c r="BP782" t="inlineStr">
        <is>
          <t>X</t>
        </is>
      </c>
      <c r="BR782" t="inlineStr">
        <is>
          <t>D</t>
        </is>
      </c>
      <c r="BS782" t="inlineStr">
        <is>
          <t>X</t>
        </is>
      </c>
      <c r="BT782" t="inlineStr">
        <is>
          <t>D</t>
        </is>
      </c>
      <c r="BV782" t="inlineStr">
        <is>
          <t>X</t>
        </is>
      </c>
      <c r="BY782" t="inlineStr">
        <is>
          <t>R</t>
        </is>
      </c>
      <c r="CA782" t="inlineStr">
        <is>
          <t>X</t>
        </is>
      </c>
      <c r="CK782" t="inlineStr">
        <is>
          <t>X</t>
        </is>
      </c>
      <c r="CN782" t="inlineStr">
        <is>
          <t>X</t>
        </is>
      </c>
      <c r="CP782" t="inlineStr">
        <is>
          <t>X</t>
        </is>
      </c>
      <c r="CV782" t="inlineStr">
        <is>
          <t>X</t>
        </is>
      </c>
      <c r="CZ782" t="inlineStr">
        <is>
          <t>R</t>
        </is>
      </c>
      <c r="DC782" t="inlineStr">
        <is>
          <t>X</t>
        </is>
      </c>
      <c r="DI782" t="inlineStr">
        <is>
          <t>X</t>
        </is>
      </c>
      <c r="DN782" t="inlineStr">
        <is>
          <t>X</t>
        </is>
      </c>
      <c r="DR782" t="inlineStr">
        <is>
          <t>X</t>
        </is>
      </c>
      <c r="DS782" t="inlineStr">
        <is>
          <t>R</t>
        </is>
      </c>
      <c r="EF782" t="inlineStr">
        <is>
          <t>X</t>
        </is>
      </c>
    </row>
    <row r="783">
      <c r="A783" t="inlineStr">
        <is>
          <t>OH0015722303</t>
        </is>
      </c>
      <c r="B783" t="n">
        <v>78</v>
      </c>
      <c r="C783" t="n">
        <v>203875</v>
      </c>
      <c r="D783" t="inlineStr">
        <is>
          <t>DETCHON</t>
        </is>
      </c>
      <c r="E783" t="inlineStr">
        <is>
          <t>SANDRA</t>
        </is>
      </c>
      <c r="F783">
        <f>CONCATENATE(D783," ",LEFT(H783,4),"T=",AU783,"D=",AV783,"R=",AW783,"M=",AX783,"L=",AY783,"B=",AZ783)</f>
        <v/>
      </c>
      <c r="G783" t="inlineStr">
        <is>
          <t>S</t>
        </is>
      </c>
      <c r="I783" t="inlineStr">
        <is>
          <t>1959-10-03</t>
        </is>
      </c>
      <c r="J783" t="inlineStr">
        <is>
          <t>2015-06-24</t>
        </is>
      </c>
      <c r="K783" t="inlineStr">
        <is>
          <t>CONFIRMATION</t>
        </is>
      </c>
      <c r="M783" t="inlineStr">
        <is>
          <t>207 WOODBINE AVE SE</t>
        </is>
      </c>
      <c r="N783">
        <f>RIGHT(M783,LEN(M783)-FIND(" ",M783))</f>
        <v/>
      </c>
      <c r="P783" t="inlineStr">
        <is>
          <t>WARREN</t>
        </is>
      </c>
      <c r="Q783" t="inlineStr">
        <is>
          <t>OH</t>
        </is>
      </c>
      <c r="R783" t="n">
        <v>44483</v>
      </c>
      <c r="AD783" t="inlineStr">
        <is>
          <t>TRUMBULL CAREER &amp; TECH CENTER</t>
        </is>
      </c>
      <c r="AE783" t="inlineStr">
        <is>
          <t>WARREN CITY</t>
        </is>
      </c>
      <c r="AF783" t="inlineStr">
        <is>
          <t>WARREN CITY SD</t>
        </is>
      </c>
      <c r="AH783" t="n">
        <v>14</v>
      </c>
      <c r="AI783" t="n">
        <v>11</v>
      </c>
      <c r="AN783" t="inlineStr">
        <is>
          <t>WARREN</t>
        </is>
      </c>
      <c r="AO783" t="inlineStr">
        <is>
          <t>WARREN CITY 4A</t>
        </is>
      </c>
      <c r="AP783" t="inlineStr">
        <is>
          <t>78-P-ADI</t>
        </is>
      </c>
      <c r="AQ783" t="n">
        <v>9</v>
      </c>
      <c r="AR783" t="n">
        <v>64</v>
      </c>
      <c r="AS783" t="n">
        <v>32</v>
      </c>
      <c r="AU783">
        <f>COUNTA($BA$783:$EH$783)</f>
        <v/>
      </c>
      <c r="AV783">
        <f>COUNTIF($BA$783:$EH$783,"D")</f>
        <v/>
      </c>
      <c r="AW783">
        <f>COUNTIF($BA$783:$EH$783,"R")</f>
        <v/>
      </c>
      <c r="AX783">
        <f>IF(BN783="D",1,0)+IF(BO783="D",1,0)+IF(BT783="D",1,0)+IF(BU783="D",1,0)+IF(BW783="D",1,0)+IF(CC783="D",1,0)+IF(CD783="D",1,0)+IF(CE783="D",1,0)+IF(CF783="D",1,0)+IF(CL783="D",1,0)+IF(CM783="D",1,0)+IF(CQ783="D",1,0)+IF(CR783="D",1,0)+IF(CS783="D",1,0)+IF(CW783="D",1,0)+IF(CX783="D",1,0)+IF(DD783="D",1,0)+IF(DE783="D",1,0)+IF(DJ783="D",1,0)+IF(DK783="D",1,0)+IF(DO783="D",1,0)+IF(DP783="D",1,0)+IF(DQ783="D",1,0)+IF(DW783="D",1,0)+IF(DZ783="D",1,0)+IF(EH783="D",1,0)</f>
        <v/>
      </c>
      <c r="AY783">
        <f>IF(DJ783&lt;&gt;"",1,0)+IF(DK783&lt;&gt;"",1,0)+IF(DM783&lt;&gt;"",1,0)+IF(DO783&lt;&gt;"",1,0)+IF(DP783&lt;&gt;"",1,0)+IF(DQ783&lt;&gt;"",1,0)+IF(DS783&lt;&gt;"",1,0)+IF(DT783&lt;&gt;"",1,0)+IF(DV783&lt;&gt;"",1,0)+IF(DW783&lt;&gt;"",1,0)+IF(DX783&lt;&gt;"",1,0)+IF(DY783&lt;&gt;"",1,0)+IF(DZ783&lt;&gt;"",1,0)+IF(EB783&lt;&gt;"",1,0)+IF(EC783&lt;&gt;"",1,0)+IF(ED783&lt;&gt;"",1,0)+IF(EG783&lt;&gt;"",1,0)+IF(EH783&lt;&gt;"",1,0)</f>
        <v/>
      </c>
      <c r="AZ783">
        <f>IF(EH783&lt;&gt;"",1,0)</f>
        <v/>
      </c>
      <c r="BB783" t="inlineStr">
        <is>
          <t>WARREN-WARD 4</t>
        </is>
      </c>
      <c r="BC783" t="inlineStr">
        <is>
          <t>X</t>
        </is>
      </c>
      <c r="BD783" t="inlineStr">
        <is>
          <t>X</t>
        </is>
      </c>
      <c r="BF783" t="inlineStr">
        <is>
          <t>X</t>
        </is>
      </c>
      <c r="BH783" t="inlineStr">
        <is>
          <t>X</t>
        </is>
      </c>
      <c r="BJ783" t="inlineStr">
        <is>
          <t>X</t>
        </is>
      </c>
      <c r="BK783" t="inlineStr">
        <is>
          <t>X</t>
        </is>
      </c>
      <c r="BL783" t="inlineStr">
        <is>
          <t>X</t>
        </is>
      </c>
      <c r="BP783" t="inlineStr">
        <is>
          <t>X</t>
        </is>
      </c>
      <c r="BR783" t="inlineStr">
        <is>
          <t>X</t>
        </is>
      </c>
      <c r="BV783" t="inlineStr">
        <is>
          <t>X</t>
        </is>
      </c>
      <c r="BY783" t="inlineStr">
        <is>
          <t>D</t>
        </is>
      </c>
      <c r="CA783" t="inlineStr">
        <is>
          <t>X</t>
        </is>
      </c>
      <c r="CG783" t="inlineStr">
        <is>
          <t>X</t>
        </is>
      </c>
      <c r="CN783" t="inlineStr">
        <is>
          <t>X</t>
        </is>
      </c>
      <c r="CP783" t="inlineStr">
        <is>
          <t>X</t>
        </is>
      </c>
    </row>
    <row r="784">
      <c r="A784" t="inlineStr">
        <is>
          <t>OH0023336534</t>
        </is>
      </c>
      <c r="B784" t="n">
        <v>78</v>
      </c>
      <c r="C784" t="n">
        <v>410745</v>
      </c>
      <c r="D784" t="inlineStr">
        <is>
          <t>MURPHY</t>
        </is>
      </c>
      <c r="E784" t="inlineStr">
        <is>
          <t>JAMES</t>
        </is>
      </c>
      <c r="F784">
        <f>CONCATENATE(D784," ",LEFT(H784,4),"T=",AU784,"D=",AV784,"R=",AW784,"M=",AX784,"L=",AY784,"B=",AZ784)</f>
        <v/>
      </c>
      <c r="G784" t="inlineStr">
        <is>
          <t>FREDERICK</t>
        </is>
      </c>
      <c r="I784" t="inlineStr">
        <is>
          <t>1973-04-06</t>
        </is>
      </c>
      <c r="J784" t="inlineStr">
        <is>
          <t>2015-10-03</t>
        </is>
      </c>
      <c r="K784" t="inlineStr">
        <is>
          <t>ACTIVE</t>
        </is>
      </c>
      <c r="M784" t="inlineStr">
        <is>
          <t>206 KENILWORTH AVE SE</t>
        </is>
      </c>
      <c r="N784">
        <f>RIGHT(M784,LEN(M784)-FIND(" ",M784))</f>
        <v/>
      </c>
      <c r="P784" t="inlineStr">
        <is>
          <t>WARREN</t>
        </is>
      </c>
      <c r="Q784" t="inlineStr">
        <is>
          <t>OH</t>
        </is>
      </c>
      <c r="R784" t="n">
        <v>44483</v>
      </c>
      <c r="AD784" t="inlineStr">
        <is>
          <t>TRUMBULL CAREER &amp; TECH CENTER</t>
        </is>
      </c>
      <c r="AE784" t="inlineStr">
        <is>
          <t>WARREN CITY</t>
        </is>
      </c>
      <c r="AF784" t="inlineStr">
        <is>
          <t>WARREN CITY SD</t>
        </is>
      </c>
      <c r="AH784" t="n">
        <v>14</v>
      </c>
      <c r="AI784" t="n">
        <v>11</v>
      </c>
      <c r="AN784" t="inlineStr">
        <is>
          <t>WARREN</t>
        </is>
      </c>
      <c r="AO784" t="inlineStr">
        <is>
          <t>WARREN CITY 4A</t>
        </is>
      </c>
      <c r="AP784" t="inlineStr">
        <is>
          <t>78-P-ADI</t>
        </is>
      </c>
      <c r="AQ784" t="n">
        <v>9</v>
      </c>
      <c r="AR784" t="n">
        <v>64</v>
      </c>
      <c r="AS784" t="n">
        <v>32</v>
      </c>
      <c r="AU784">
        <f>COUNTA($BA$784:$EH$784)</f>
        <v/>
      </c>
      <c r="AV784">
        <f>COUNTIF($BA$784:$EH$784,"D")</f>
        <v/>
      </c>
      <c r="AW784">
        <f>COUNTIF($BA$784:$EH$784,"R")</f>
        <v/>
      </c>
      <c r="AX784">
        <f>IF(BN784="D",1,0)+IF(BO784="D",1,0)+IF(BT784="D",1,0)+IF(BU784="D",1,0)+IF(BW784="D",1,0)+IF(CC784="D",1,0)+IF(CD784="D",1,0)+IF(CE784="D",1,0)+IF(CF784="D",1,0)+IF(CL784="D",1,0)+IF(CM784="D",1,0)+IF(CQ784="D",1,0)+IF(CR784="D",1,0)+IF(CS784="D",1,0)+IF(CW784="D",1,0)+IF(CX784="D",1,0)+IF(DD784="D",1,0)+IF(DE784="D",1,0)+IF(DJ784="D",1,0)+IF(DK784="D",1,0)+IF(DO784="D",1,0)+IF(DP784="D",1,0)+IF(DQ784="D",1,0)+IF(DW784="D",1,0)+IF(DZ784="D",1,0)+IF(EH784="D",1,0)</f>
        <v/>
      </c>
      <c r="AY784">
        <f>IF(DJ784&lt;&gt;"",1,0)+IF(DK784&lt;&gt;"",1,0)+IF(DM784&lt;&gt;"",1,0)+IF(DO784&lt;&gt;"",1,0)+IF(DP784&lt;&gt;"",1,0)+IF(DQ784&lt;&gt;"",1,0)+IF(DS784&lt;&gt;"",1,0)+IF(DT784&lt;&gt;"",1,0)+IF(DV784&lt;&gt;"",1,0)+IF(DW784&lt;&gt;"",1,0)+IF(DX784&lt;&gt;"",1,0)+IF(DY784&lt;&gt;"",1,0)+IF(DZ784&lt;&gt;"",1,0)+IF(EB784&lt;&gt;"",1,0)+IF(EC784&lt;&gt;"",1,0)+IF(ED784&lt;&gt;"",1,0)+IF(EG784&lt;&gt;"",1,0)+IF(EH784&lt;&gt;"",1,0)</f>
        <v/>
      </c>
      <c r="AZ784">
        <f>IF(EH784&lt;&gt;"",1,0)</f>
        <v/>
      </c>
      <c r="BB784" t="inlineStr">
        <is>
          <t>WARREN-WARD 4</t>
        </is>
      </c>
      <c r="BD784" t="inlineStr">
        <is>
          <t>X</t>
        </is>
      </c>
      <c r="BL784" t="inlineStr">
        <is>
          <t>X</t>
        </is>
      </c>
      <c r="BY784" t="inlineStr">
        <is>
          <t>D</t>
        </is>
      </c>
      <c r="CA784" t="inlineStr">
        <is>
          <t>X</t>
        </is>
      </c>
      <c r="CP784" t="inlineStr">
        <is>
          <t>X</t>
        </is>
      </c>
      <c r="DC784" t="inlineStr">
        <is>
          <t>X</t>
        </is>
      </c>
      <c r="DN784" t="inlineStr">
        <is>
          <t>X</t>
        </is>
      </c>
      <c r="EF784" t="inlineStr">
        <is>
          <t>X</t>
        </is>
      </c>
    </row>
    <row r="785">
      <c r="A785" t="inlineStr">
        <is>
          <t>OH0023960957</t>
        </is>
      </c>
      <c r="B785" t="n">
        <v>78</v>
      </c>
      <c r="C785" t="n">
        <v>420434</v>
      </c>
      <c r="D785" t="inlineStr">
        <is>
          <t>BELL</t>
        </is>
      </c>
      <c r="E785" t="inlineStr">
        <is>
          <t>ANIS</t>
        </is>
      </c>
      <c r="F785">
        <f>CONCATENATE(D785," ",LEFT(H785,4),"T=",AU785,"D=",AV785,"R=",AW785,"M=",AX785,"L=",AY785,"B=",AZ785)</f>
        <v/>
      </c>
      <c r="G785" t="inlineStr">
        <is>
          <t>YEANNE</t>
        </is>
      </c>
      <c r="I785" t="inlineStr">
        <is>
          <t>1979-08-10</t>
        </is>
      </c>
      <c r="J785" t="inlineStr">
        <is>
          <t>2020-09-17</t>
        </is>
      </c>
      <c r="K785" t="inlineStr">
        <is>
          <t>ACTIVE</t>
        </is>
      </c>
      <c r="M785" t="inlineStr">
        <is>
          <t>314 ADELAIDE AVE SE</t>
        </is>
      </c>
      <c r="N785">
        <f>RIGHT(M785,LEN(M785)-FIND(" ",M785))</f>
        <v/>
      </c>
      <c r="P785" t="inlineStr">
        <is>
          <t>WARREN</t>
        </is>
      </c>
      <c r="Q785" t="inlineStr">
        <is>
          <t>OH</t>
        </is>
      </c>
      <c r="R785" t="n">
        <v>44483</v>
      </c>
      <c r="AD785" t="inlineStr">
        <is>
          <t>TRUMBULL CAREER &amp; TECH CENTER</t>
        </is>
      </c>
      <c r="AE785" t="inlineStr">
        <is>
          <t>WARREN CITY</t>
        </is>
      </c>
      <c r="AF785" t="inlineStr">
        <is>
          <t>WARREN CITY SD</t>
        </is>
      </c>
      <c r="AH785" t="n">
        <v>14</v>
      </c>
      <c r="AI785" t="n">
        <v>11</v>
      </c>
      <c r="AN785" t="inlineStr">
        <is>
          <t>WARREN</t>
        </is>
      </c>
      <c r="AO785" t="inlineStr">
        <is>
          <t>WARREN CITY 4A</t>
        </is>
      </c>
      <c r="AP785" t="inlineStr">
        <is>
          <t>78-P-ADI</t>
        </is>
      </c>
      <c r="AQ785" t="n">
        <v>9</v>
      </c>
      <c r="AR785" t="n">
        <v>64</v>
      </c>
      <c r="AS785" t="n">
        <v>32</v>
      </c>
      <c r="AU785">
        <f>COUNTA($BA$785:$EH$785)</f>
        <v/>
      </c>
      <c r="AV785">
        <f>COUNTIF($BA$785:$EH$785,"D")</f>
        <v/>
      </c>
      <c r="AW785">
        <f>COUNTIF($BA$785:$EH$785,"R")</f>
        <v/>
      </c>
      <c r="AX785">
        <f>IF(BN785="D",1,0)+IF(BO785="D",1,0)+IF(BT785="D",1,0)+IF(BU785="D",1,0)+IF(BW785="D",1,0)+IF(CC785="D",1,0)+IF(CD785="D",1,0)+IF(CE785="D",1,0)+IF(CF785="D",1,0)+IF(CL785="D",1,0)+IF(CM785="D",1,0)+IF(CQ785="D",1,0)+IF(CR785="D",1,0)+IF(CS785="D",1,0)+IF(CW785="D",1,0)+IF(CX785="D",1,0)+IF(DD785="D",1,0)+IF(DE785="D",1,0)+IF(DJ785="D",1,0)+IF(DK785="D",1,0)+IF(DO785="D",1,0)+IF(DP785="D",1,0)+IF(DQ785="D",1,0)+IF(DW785="D",1,0)+IF(DZ785="D",1,0)+IF(EH785="D",1,0)</f>
        <v/>
      </c>
      <c r="AY785">
        <f>IF(DJ785&lt;&gt;"",1,0)+IF(DK785&lt;&gt;"",1,0)+IF(DM785&lt;&gt;"",1,0)+IF(DO785&lt;&gt;"",1,0)+IF(DP785&lt;&gt;"",1,0)+IF(DQ785&lt;&gt;"",1,0)+IF(DS785&lt;&gt;"",1,0)+IF(DT785&lt;&gt;"",1,0)+IF(DV785&lt;&gt;"",1,0)+IF(DW785&lt;&gt;"",1,0)+IF(DX785&lt;&gt;"",1,0)+IF(DY785&lt;&gt;"",1,0)+IF(DZ785&lt;&gt;"",1,0)+IF(EB785&lt;&gt;"",1,0)+IF(EC785&lt;&gt;"",1,0)+IF(ED785&lt;&gt;"",1,0)+IF(EG785&lt;&gt;"",1,0)+IF(EH785&lt;&gt;"",1,0)</f>
        <v/>
      </c>
      <c r="AZ785">
        <f>IF(EH785&lt;&gt;"",1,0)</f>
        <v/>
      </c>
      <c r="BB785" t="inlineStr">
        <is>
          <t>WARREN-WARD 4</t>
        </is>
      </c>
      <c r="CA785" t="inlineStr">
        <is>
          <t>X</t>
        </is>
      </c>
      <c r="CP785" t="inlineStr">
        <is>
          <t>X</t>
        </is>
      </c>
      <c r="DN785" t="inlineStr">
        <is>
          <t>X</t>
        </is>
      </c>
    </row>
    <row r="786">
      <c r="A786" t="inlineStr">
        <is>
          <t>OH0026992122</t>
        </is>
      </c>
      <c r="B786" t="n">
        <v>78</v>
      </c>
      <c r="C786" t="n">
        <v>475084</v>
      </c>
      <c r="D786" t="inlineStr">
        <is>
          <t>FRAZESKOS</t>
        </is>
      </c>
      <c r="E786" t="inlineStr">
        <is>
          <t>GEORGIO</t>
        </is>
      </c>
      <c r="F786">
        <f>CONCATENATE(D786," ",LEFT(H786,4),"T=",AU786,"D=",AV786,"R=",AW786,"M=",AX786,"L=",AY786,"B=",AZ786)</f>
        <v/>
      </c>
      <c r="G786" t="inlineStr">
        <is>
          <t>N</t>
        </is>
      </c>
      <c r="I786" t="inlineStr">
        <is>
          <t>2002-09-16</t>
        </is>
      </c>
      <c r="J786" t="inlineStr">
        <is>
          <t>2023-10-09</t>
        </is>
      </c>
      <c r="K786" t="inlineStr">
        <is>
          <t>ACTIVE</t>
        </is>
      </c>
      <c r="M786" t="inlineStr">
        <is>
          <t>740 WOODBINE AVE SE</t>
        </is>
      </c>
      <c r="N786">
        <f>RIGHT(M786,LEN(M786)-FIND(" ",M786))</f>
        <v/>
      </c>
      <c r="P786" t="inlineStr">
        <is>
          <t>WARREN</t>
        </is>
      </c>
      <c r="Q786" t="inlineStr">
        <is>
          <t>OH</t>
        </is>
      </c>
      <c r="R786" t="n">
        <v>44484</v>
      </c>
      <c r="AD786" t="inlineStr">
        <is>
          <t>TRUMBULL CAREER &amp; TECH CENTER</t>
        </is>
      </c>
      <c r="AE786" t="inlineStr">
        <is>
          <t>WARREN CITY</t>
        </is>
      </c>
      <c r="AF786" t="inlineStr">
        <is>
          <t>WARREN CITY SD</t>
        </is>
      </c>
      <c r="AH786" t="n">
        <v>14</v>
      </c>
      <c r="AI786" t="n">
        <v>11</v>
      </c>
      <c r="AN786" t="inlineStr">
        <is>
          <t>WARREN</t>
        </is>
      </c>
      <c r="AO786" t="inlineStr">
        <is>
          <t>WARREN CITY 4A</t>
        </is>
      </c>
      <c r="AP786" t="inlineStr">
        <is>
          <t>78-P-ADI</t>
        </is>
      </c>
      <c r="AQ786" t="n">
        <v>9</v>
      </c>
      <c r="AR786" t="n">
        <v>64</v>
      </c>
      <c r="AS786" t="n">
        <v>32</v>
      </c>
      <c r="AU786">
        <f>COUNTA($BA$786:$EH$786)</f>
        <v/>
      </c>
      <c r="AV786">
        <f>COUNTIF($BA$786:$EH$786,"D")</f>
        <v/>
      </c>
      <c r="AW786">
        <f>COUNTIF($BA$786:$EH$786,"R")</f>
        <v/>
      </c>
      <c r="AX786">
        <f>IF(BN786="D",1,0)+IF(BO786="D",1,0)+IF(BT786="D",1,0)+IF(BU786="D",1,0)+IF(BW786="D",1,0)+IF(CC786="D",1,0)+IF(CD786="D",1,0)+IF(CE786="D",1,0)+IF(CF786="D",1,0)+IF(CL786="D",1,0)+IF(CM786="D",1,0)+IF(CQ786="D",1,0)+IF(CR786="D",1,0)+IF(CS786="D",1,0)+IF(CW786="D",1,0)+IF(CX786="D",1,0)+IF(DD786="D",1,0)+IF(DE786="D",1,0)+IF(DJ786="D",1,0)+IF(DK786="D",1,0)+IF(DO786="D",1,0)+IF(DP786="D",1,0)+IF(DQ786="D",1,0)+IF(DW786="D",1,0)+IF(DZ786="D",1,0)+IF(EH786="D",1,0)</f>
        <v/>
      </c>
      <c r="AY786">
        <f>IF(DJ786&lt;&gt;"",1,0)+IF(DK786&lt;&gt;"",1,0)+IF(DM786&lt;&gt;"",1,0)+IF(DO786&lt;&gt;"",1,0)+IF(DP786&lt;&gt;"",1,0)+IF(DQ786&lt;&gt;"",1,0)+IF(DS786&lt;&gt;"",1,0)+IF(DT786&lt;&gt;"",1,0)+IF(DV786&lt;&gt;"",1,0)+IF(DW786&lt;&gt;"",1,0)+IF(DX786&lt;&gt;"",1,0)+IF(DY786&lt;&gt;"",1,0)+IF(DZ786&lt;&gt;"",1,0)+IF(EB786&lt;&gt;"",1,0)+IF(EC786&lt;&gt;"",1,0)+IF(ED786&lt;&gt;"",1,0)+IF(EG786&lt;&gt;"",1,0)+IF(EH786&lt;&gt;"",1,0)</f>
        <v/>
      </c>
      <c r="AZ786">
        <f>IF(EH786&lt;&gt;"",1,0)</f>
        <v/>
      </c>
      <c r="BB786" t="inlineStr">
        <is>
          <t>WARREN-WARD 4</t>
        </is>
      </c>
      <c r="DN786" t="inlineStr">
        <is>
          <t>X</t>
        </is>
      </c>
      <c r="DU786" t="inlineStr">
        <is>
          <t>X</t>
        </is>
      </c>
      <c r="DX786" t="inlineStr">
        <is>
          <t>X</t>
        </is>
      </c>
      <c r="EA786" t="inlineStr">
        <is>
          <t>X</t>
        </is>
      </c>
      <c r="EF786" t="inlineStr">
        <is>
          <t>X</t>
        </is>
      </c>
    </row>
    <row r="787">
      <c r="A787" t="inlineStr">
        <is>
          <t>OH0025964022</t>
        </is>
      </c>
      <c r="B787" t="n">
        <v>78</v>
      </c>
      <c r="C787" t="n">
        <v>453947</v>
      </c>
      <c r="D787" t="inlineStr">
        <is>
          <t>WHITEMAN</t>
        </is>
      </c>
      <c r="E787" t="inlineStr">
        <is>
          <t>RAYMOND</t>
        </is>
      </c>
      <c r="F787">
        <f>CONCATENATE(D787," ",LEFT(H787,4),"T=",AU787,"D=",AV787,"R=",AW787,"M=",AX787,"L=",AY787,"B=",AZ787)</f>
        <v/>
      </c>
      <c r="G787" t="inlineStr">
        <is>
          <t>PAUL</t>
        </is>
      </c>
      <c r="H787" t="inlineStr">
        <is>
          <t>II</t>
        </is>
      </c>
      <c r="I787" t="inlineStr">
        <is>
          <t>1998-10-09</t>
        </is>
      </c>
      <c r="J787" t="inlineStr">
        <is>
          <t>2020-10-05</t>
        </is>
      </c>
      <c r="K787" t="inlineStr">
        <is>
          <t>ACTIVE</t>
        </is>
      </c>
      <c r="M787" t="inlineStr">
        <is>
          <t>404 ADELAIDE AVE SE</t>
        </is>
      </c>
      <c r="N787">
        <f>RIGHT(M787,LEN(M787)-FIND(" ",M787))</f>
        <v/>
      </c>
      <c r="P787" t="inlineStr">
        <is>
          <t>WARREN</t>
        </is>
      </c>
      <c r="Q787" t="inlineStr">
        <is>
          <t>OH</t>
        </is>
      </c>
      <c r="R787" t="n">
        <v>44483</v>
      </c>
      <c r="AD787" t="inlineStr">
        <is>
          <t>TRUMBULL CAREER &amp; TECH CENTER</t>
        </is>
      </c>
      <c r="AE787" t="inlineStr">
        <is>
          <t>WARREN CITY</t>
        </is>
      </c>
      <c r="AF787" t="inlineStr">
        <is>
          <t>WARREN CITY SD</t>
        </is>
      </c>
      <c r="AH787" t="n">
        <v>14</v>
      </c>
      <c r="AI787" t="n">
        <v>11</v>
      </c>
      <c r="AN787" t="inlineStr">
        <is>
          <t>WARREN</t>
        </is>
      </c>
      <c r="AO787" t="inlineStr">
        <is>
          <t>WARREN CITY 4A</t>
        </is>
      </c>
      <c r="AP787" t="inlineStr">
        <is>
          <t>78-P-ADI</t>
        </is>
      </c>
      <c r="AQ787" t="n">
        <v>9</v>
      </c>
      <c r="AR787" t="n">
        <v>64</v>
      </c>
      <c r="AS787" t="n">
        <v>32</v>
      </c>
      <c r="AU787">
        <f>COUNTA($BA$787:$EH$787)</f>
        <v/>
      </c>
      <c r="AV787">
        <f>COUNTIF($BA$787:$EH$787,"D")</f>
        <v/>
      </c>
      <c r="AW787">
        <f>COUNTIF($BA$787:$EH$787,"R")</f>
        <v/>
      </c>
      <c r="AX787">
        <f>IF(BN787="D",1,0)+IF(BO787="D",1,0)+IF(BT787="D",1,0)+IF(BU787="D",1,0)+IF(BW787="D",1,0)+IF(CC787="D",1,0)+IF(CD787="D",1,0)+IF(CE787="D",1,0)+IF(CF787="D",1,0)+IF(CL787="D",1,0)+IF(CM787="D",1,0)+IF(CQ787="D",1,0)+IF(CR787="D",1,0)+IF(CS787="D",1,0)+IF(CW787="D",1,0)+IF(CX787="D",1,0)+IF(DD787="D",1,0)+IF(DE787="D",1,0)+IF(DJ787="D",1,0)+IF(DK787="D",1,0)+IF(DO787="D",1,0)+IF(DP787="D",1,0)+IF(DQ787="D",1,0)+IF(DW787="D",1,0)+IF(DZ787="D",1,0)+IF(EH787="D",1,0)</f>
        <v/>
      </c>
      <c r="AY787">
        <f>IF(DJ787&lt;&gt;"",1,0)+IF(DK787&lt;&gt;"",1,0)+IF(DM787&lt;&gt;"",1,0)+IF(DO787&lt;&gt;"",1,0)+IF(DP787&lt;&gt;"",1,0)+IF(DQ787&lt;&gt;"",1,0)+IF(DS787&lt;&gt;"",1,0)+IF(DT787&lt;&gt;"",1,0)+IF(DV787&lt;&gt;"",1,0)+IF(DW787&lt;&gt;"",1,0)+IF(DX787&lt;&gt;"",1,0)+IF(DY787&lt;&gt;"",1,0)+IF(DZ787&lt;&gt;"",1,0)+IF(EB787&lt;&gt;"",1,0)+IF(EC787&lt;&gt;"",1,0)+IF(ED787&lt;&gt;"",1,0)+IF(EG787&lt;&gt;"",1,0)+IF(EH787&lt;&gt;"",1,0)</f>
        <v/>
      </c>
      <c r="AZ787">
        <f>IF(EH787&lt;&gt;"",1,0)</f>
        <v/>
      </c>
      <c r="BB787" t="inlineStr">
        <is>
          <t>WARREN-WARD 4</t>
        </is>
      </c>
      <c r="DN787" t="inlineStr">
        <is>
          <t>X</t>
        </is>
      </c>
      <c r="EF787" t="inlineStr">
        <is>
          <t>X</t>
        </is>
      </c>
    </row>
    <row r="788">
      <c r="A788" t="inlineStr">
        <is>
          <t>OH0015725458</t>
        </is>
      </c>
      <c r="B788" t="n">
        <v>78</v>
      </c>
      <c r="C788" t="n">
        <v>323329</v>
      </c>
      <c r="D788" t="inlineStr">
        <is>
          <t>BUTLER</t>
        </is>
      </c>
      <c r="E788" t="inlineStr">
        <is>
          <t>TAWANNA</t>
        </is>
      </c>
      <c r="F788">
        <f>CONCATENATE(D788," ",LEFT(H788,4),"T=",AU788,"D=",AV788,"R=",AW788,"M=",AX788,"L=",AY788,"B=",AZ788)</f>
        <v/>
      </c>
      <c r="G788" t="inlineStr">
        <is>
          <t>M</t>
        </is>
      </c>
      <c r="I788" t="inlineStr">
        <is>
          <t>1976-02-03</t>
        </is>
      </c>
      <c r="J788" t="inlineStr">
        <is>
          <t>2016-06-06</t>
        </is>
      </c>
      <c r="K788" t="inlineStr">
        <is>
          <t>ACTIVE</t>
        </is>
      </c>
      <c r="M788" t="inlineStr">
        <is>
          <t>467 KENILWORTH AVE SE</t>
        </is>
      </c>
      <c r="N788">
        <f>RIGHT(M788,LEN(M788)-FIND(" ",M788))</f>
        <v/>
      </c>
      <c r="P788" t="inlineStr">
        <is>
          <t>WARREN</t>
        </is>
      </c>
      <c r="Q788" t="inlineStr">
        <is>
          <t>OH</t>
        </is>
      </c>
      <c r="R788" t="n">
        <v>44483</v>
      </c>
      <c r="AD788" t="inlineStr">
        <is>
          <t>TRUMBULL CAREER &amp; TECH CENTER</t>
        </is>
      </c>
      <c r="AE788" t="inlineStr">
        <is>
          <t>WARREN CITY</t>
        </is>
      </c>
      <c r="AF788" t="inlineStr">
        <is>
          <t>WARREN CITY SD</t>
        </is>
      </c>
      <c r="AH788" t="n">
        <v>14</v>
      </c>
      <c r="AI788" t="n">
        <v>11</v>
      </c>
      <c r="AN788" t="inlineStr">
        <is>
          <t>WARREN</t>
        </is>
      </c>
      <c r="AO788" t="inlineStr">
        <is>
          <t>WARREN CITY 4A</t>
        </is>
      </c>
      <c r="AP788" t="inlineStr">
        <is>
          <t>78-P-ADI</t>
        </is>
      </c>
      <c r="AQ788" t="n">
        <v>9</v>
      </c>
      <c r="AR788" t="n">
        <v>64</v>
      </c>
      <c r="AS788" t="n">
        <v>32</v>
      </c>
      <c r="AU788">
        <f>COUNTA($BA$788:$EH$788)</f>
        <v/>
      </c>
      <c r="AV788">
        <f>COUNTIF($BA$788:$EH$788,"D")</f>
        <v/>
      </c>
      <c r="AW788">
        <f>COUNTIF($BA$788:$EH$788,"R")</f>
        <v/>
      </c>
      <c r="AX788">
        <f>IF(BN788="D",1,0)+IF(BO788="D",1,0)+IF(BT788="D",1,0)+IF(BU788="D",1,0)+IF(BW788="D",1,0)+IF(CC788="D",1,0)+IF(CD788="D",1,0)+IF(CE788="D",1,0)+IF(CF788="D",1,0)+IF(CL788="D",1,0)+IF(CM788="D",1,0)+IF(CQ788="D",1,0)+IF(CR788="D",1,0)+IF(CS788="D",1,0)+IF(CW788="D",1,0)+IF(CX788="D",1,0)+IF(DD788="D",1,0)+IF(DE788="D",1,0)+IF(DJ788="D",1,0)+IF(DK788="D",1,0)+IF(DO788="D",1,0)+IF(DP788="D",1,0)+IF(DQ788="D",1,0)+IF(DW788="D",1,0)+IF(DZ788="D",1,0)+IF(EH788="D",1,0)</f>
        <v/>
      </c>
      <c r="AY788">
        <f>IF(DJ788&lt;&gt;"",1,0)+IF(DK788&lt;&gt;"",1,0)+IF(DM788&lt;&gt;"",1,0)+IF(DO788&lt;&gt;"",1,0)+IF(DP788&lt;&gt;"",1,0)+IF(DQ788&lt;&gt;"",1,0)+IF(DS788&lt;&gt;"",1,0)+IF(DT788&lt;&gt;"",1,0)+IF(DV788&lt;&gt;"",1,0)+IF(DW788&lt;&gt;"",1,0)+IF(DX788&lt;&gt;"",1,0)+IF(DY788&lt;&gt;"",1,0)+IF(DZ788&lt;&gt;"",1,0)+IF(EB788&lt;&gt;"",1,0)+IF(EC788&lt;&gt;"",1,0)+IF(ED788&lt;&gt;"",1,0)+IF(EG788&lt;&gt;"",1,0)+IF(EH788&lt;&gt;"",1,0)</f>
        <v/>
      </c>
      <c r="AZ788">
        <f>IF(EH788&lt;&gt;"",1,0)</f>
        <v/>
      </c>
      <c r="BB788" t="inlineStr">
        <is>
          <t>WARREN-WARD 4</t>
        </is>
      </c>
      <c r="BY788" t="inlineStr">
        <is>
          <t>D</t>
        </is>
      </c>
      <c r="CA788" t="inlineStr">
        <is>
          <t>X</t>
        </is>
      </c>
      <c r="CK788" t="inlineStr">
        <is>
          <t>X</t>
        </is>
      </c>
      <c r="CP788" t="inlineStr">
        <is>
          <t>X</t>
        </is>
      </c>
      <c r="DC788" t="inlineStr">
        <is>
          <t>X</t>
        </is>
      </c>
      <c r="DI788" t="inlineStr">
        <is>
          <t>X</t>
        </is>
      </c>
      <c r="DN788" t="inlineStr">
        <is>
          <t>X</t>
        </is>
      </c>
    </row>
    <row r="789">
      <c r="A789" t="inlineStr">
        <is>
          <t>OH0015738425</t>
        </is>
      </c>
      <c r="B789" t="n">
        <v>78</v>
      </c>
      <c r="C789" t="n">
        <v>286960</v>
      </c>
      <c r="D789" t="inlineStr">
        <is>
          <t>HUGHLEY</t>
        </is>
      </c>
      <c r="E789" t="inlineStr">
        <is>
          <t>LATRICIA</t>
        </is>
      </c>
      <c r="F789">
        <f>CONCATENATE(D789," ",LEFT(H789,4),"T=",AU789,"D=",AV789,"R=",AW789,"M=",AX789,"L=",AY789,"B=",AZ789)</f>
        <v/>
      </c>
      <c r="G789" t="inlineStr">
        <is>
          <t>RENEE</t>
        </is>
      </c>
      <c r="I789" t="inlineStr">
        <is>
          <t>1972-05-25</t>
        </is>
      </c>
      <c r="J789" t="inlineStr">
        <is>
          <t>2020-09-16</t>
        </is>
      </c>
      <c r="K789" t="inlineStr">
        <is>
          <t>ACTIVE</t>
        </is>
      </c>
      <c r="M789" t="inlineStr">
        <is>
          <t>147 OAK KNOLL AVE SE</t>
        </is>
      </c>
      <c r="N789">
        <f>RIGHT(M789,LEN(M789)-FIND(" ",M789))</f>
        <v/>
      </c>
      <c r="O789" t="inlineStr">
        <is>
          <t>APT D</t>
        </is>
      </c>
      <c r="P789" t="inlineStr">
        <is>
          <t>WARREN</t>
        </is>
      </c>
      <c r="Q789" t="inlineStr">
        <is>
          <t>OH</t>
        </is>
      </c>
      <c r="R789" t="n">
        <v>44483</v>
      </c>
      <c r="AD789" t="inlineStr">
        <is>
          <t>TRUMBULL CAREER &amp; TECH CENTER</t>
        </is>
      </c>
      <c r="AE789" t="inlineStr">
        <is>
          <t>WARREN CITY</t>
        </is>
      </c>
      <c r="AF789" t="inlineStr">
        <is>
          <t>WARREN CITY SD</t>
        </is>
      </c>
      <c r="AH789" t="n">
        <v>14</v>
      </c>
      <c r="AI789" t="n">
        <v>11</v>
      </c>
      <c r="AN789" t="inlineStr">
        <is>
          <t>WARREN</t>
        </is>
      </c>
      <c r="AO789" t="inlineStr">
        <is>
          <t>WARREN CITY 4A</t>
        </is>
      </c>
      <c r="AP789" t="inlineStr">
        <is>
          <t>78-P-ADI</t>
        </is>
      </c>
      <c r="AQ789" t="n">
        <v>9</v>
      </c>
      <c r="AR789" t="n">
        <v>64</v>
      </c>
      <c r="AS789" t="n">
        <v>32</v>
      </c>
      <c r="AU789">
        <f>COUNTA($BA$789:$EH$789)</f>
        <v/>
      </c>
      <c r="AV789">
        <f>COUNTIF($BA$789:$EH$789,"D")</f>
        <v/>
      </c>
      <c r="AW789">
        <f>COUNTIF($BA$789:$EH$789,"R")</f>
        <v/>
      </c>
      <c r="AX789">
        <f>IF(BN789="D",1,0)+IF(BO789="D",1,0)+IF(BT789="D",1,0)+IF(BU789="D",1,0)+IF(BW789="D",1,0)+IF(CC789="D",1,0)+IF(CD789="D",1,0)+IF(CE789="D",1,0)+IF(CF789="D",1,0)+IF(CL789="D",1,0)+IF(CM789="D",1,0)+IF(CQ789="D",1,0)+IF(CR789="D",1,0)+IF(CS789="D",1,0)+IF(CW789="D",1,0)+IF(CX789="D",1,0)+IF(DD789="D",1,0)+IF(DE789="D",1,0)+IF(DJ789="D",1,0)+IF(DK789="D",1,0)+IF(DO789="D",1,0)+IF(DP789="D",1,0)+IF(DQ789="D",1,0)+IF(DW789="D",1,0)+IF(DZ789="D",1,0)+IF(EH789="D",1,0)</f>
        <v/>
      </c>
      <c r="AY789">
        <f>IF(DJ789&lt;&gt;"",1,0)+IF(DK789&lt;&gt;"",1,0)+IF(DM789&lt;&gt;"",1,0)+IF(DO789&lt;&gt;"",1,0)+IF(DP789&lt;&gt;"",1,0)+IF(DQ789&lt;&gt;"",1,0)+IF(DS789&lt;&gt;"",1,0)+IF(DT789&lt;&gt;"",1,0)+IF(DV789&lt;&gt;"",1,0)+IF(DW789&lt;&gt;"",1,0)+IF(DX789&lt;&gt;"",1,0)+IF(DY789&lt;&gt;"",1,0)+IF(DZ789&lt;&gt;"",1,0)+IF(EB789&lt;&gt;"",1,0)+IF(EC789&lt;&gt;"",1,0)+IF(ED789&lt;&gt;"",1,0)+IF(EG789&lt;&gt;"",1,0)+IF(EH789&lt;&gt;"",1,0)</f>
        <v/>
      </c>
      <c r="AZ789">
        <f>IF(EH789&lt;&gt;"",1,0)</f>
        <v/>
      </c>
      <c r="BB789" t="inlineStr">
        <is>
          <t>WARREN-WARD 4</t>
        </is>
      </c>
      <c r="BD789" t="inlineStr">
        <is>
          <t>X</t>
        </is>
      </c>
      <c r="BL789" t="inlineStr">
        <is>
          <t>X</t>
        </is>
      </c>
      <c r="CP789" t="inlineStr">
        <is>
          <t>X</t>
        </is>
      </c>
      <c r="CZ789" t="inlineStr">
        <is>
          <t>D</t>
        </is>
      </c>
      <c r="DC789" t="inlineStr">
        <is>
          <t>X</t>
        </is>
      </c>
      <c r="DI789" t="inlineStr">
        <is>
          <t>X</t>
        </is>
      </c>
      <c r="DM789" t="inlineStr">
        <is>
          <t>D</t>
        </is>
      </c>
      <c r="DN789" t="inlineStr">
        <is>
          <t>X</t>
        </is>
      </c>
      <c r="EF789" t="inlineStr">
        <is>
          <t>X</t>
        </is>
      </c>
    </row>
    <row r="790">
      <c r="A790" t="inlineStr">
        <is>
          <t>OH0025168183</t>
        </is>
      </c>
      <c r="B790" t="n">
        <v>78</v>
      </c>
      <c r="C790" t="n">
        <v>440757</v>
      </c>
      <c r="D790" t="inlineStr">
        <is>
          <t>ARELLANES</t>
        </is>
      </c>
      <c r="E790" t="inlineStr">
        <is>
          <t>STEVEN</t>
        </is>
      </c>
      <c r="F790">
        <f>CONCATENATE(D790," ",LEFT(H790,4),"T=",AU790,"D=",AV790,"R=",AW790,"M=",AX790,"L=",AY790,"B=",AZ790)</f>
        <v/>
      </c>
      <c r="G790" t="inlineStr">
        <is>
          <t>C</t>
        </is>
      </c>
      <c r="I790" t="inlineStr">
        <is>
          <t>1995-08-18</t>
        </is>
      </c>
      <c r="J790" t="inlineStr">
        <is>
          <t>2020-06-17</t>
        </is>
      </c>
      <c r="K790" t="inlineStr">
        <is>
          <t>CONFIRMATION</t>
        </is>
      </c>
      <c r="M790" t="inlineStr">
        <is>
          <t>1234 E MARKET ST</t>
        </is>
      </c>
      <c r="N790">
        <f>RIGHT(M790,LEN(M790)-FIND(" ",M790))</f>
        <v/>
      </c>
      <c r="P790" t="inlineStr">
        <is>
          <t>WARREN</t>
        </is>
      </c>
      <c r="Q790" t="inlineStr">
        <is>
          <t>OH</t>
        </is>
      </c>
      <c r="R790" t="n">
        <v>44483</v>
      </c>
      <c r="AD790" t="inlineStr">
        <is>
          <t>TRUMBULL CAREER &amp; TECH CENTER</t>
        </is>
      </c>
      <c r="AE790" t="inlineStr">
        <is>
          <t>WARREN CITY</t>
        </is>
      </c>
      <c r="AF790" t="inlineStr">
        <is>
          <t>WARREN CITY SD</t>
        </is>
      </c>
      <c r="AH790" t="n">
        <v>14</v>
      </c>
      <c r="AI790" t="n">
        <v>11</v>
      </c>
      <c r="AN790" t="inlineStr">
        <is>
          <t>WARREN</t>
        </is>
      </c>
      <c r="AO790" t="inlineStr">
        <is>
          <t>WARREN CITY 4A</t>
        </is>
      </c>
      <c r="AP790" t="inlineStr">
        <is>
          <t>78-P-ADI</t>
        </is>
      </c>
      <c r="AQ790" t="n">
        <v>9</v>
      </c>
      <c r="AR790" t="n">
        <v>64</v>
      </c>
      <c r="AS790" t="n">
        <v>32</v>
      </c>
      <c r="AU790">
        <f>COUNTA($BA$790:$EH$790)</f>
        <v/>
      </c>
      <c r="AV790">
        <f>COUNTIF($BA$790:$EH$790,"D")</f>
        <v/>
      </c>
      <c r="AW790">
        <f>COUNTIF($BA$790:$EH$790,"R")</f>
        <v/>
      </c>
      <c r="AX790">
        <f>IF(BN790="D",1,0)+IF(BO790="D",1,0)+IF(BT790="D",1,0)+IF(BU790="D",1,0)+IF(BW790="D",1,0)+IF(CC790="D",1,0)+IF(CD790="D",1,0)+IF(CE790="D",1,0)+IF(CF790="D",1,0)+IF(CL790="D",1,0)+IF(CM790="D",1,0)+IF(CQ790="D",1,0)+IF(CR790="D",1,0)+IF(CS790="D",1,0)+IF(CW790="D",1,0)+IF(CX790="D",1,0)+IF(DD790="D",1,0)+IF(DE790="D",1,0)+IF(DJ790="D",1,0)+IF(DK790="D",1,0)+IF(DO790="D",1,0)+IF(DP790="D",1,0)+IF(DQ790="D",1,0)+IF(DW790="D",1,0)+IF(DZ790="D",1,0)+IF(EH790="D",1,0)</f>
        <v/>
      </c>
      <c r="AY790">
        <f>IF(DJ790&lt;&gt;"",1,0)+IF(DK790&lt;&gt;"",1,0)+IF(DM790&lt;&gt;"",1,0)+IF(DO790&lt;&gt;"",1,0)+IF(DP790&lt;&gt;"",1,0)+IF(DQ790&lt;&gt;"",1,0)+IF(DS790&lt;&gt;"",1,0)+IF(DT790&lt;&gt;"",1,0)+IF(DV790&lt;&gt;"",1,0)+IF(DW790&lt;&gt;"",1,0)+IF(DX790&lt;&gt;"",1,0)+IF(DY790&lt;&gt;"",1,0)+IF(DZ790&lt;&gt;"",1,0)+IF(EB790&lt;&gt;"",1,0)+IF(EC790&lt;&gt;"",1,0)+IF(ED790&lt;&gt;"",1,0)+IF(EG790&lt;&gt;"",1,0)+IF(EH790&lt;&gt;"",1,0)</f>
        <v/>
      </c>
      <c r="AZ790">
        <f>IF(EH790&lt;&gt;"",1,0)</f>
        <v/>
      </c>
      <c r="BB790" t="inlineStr">
        <is>
          <t>WARREN-WARD 4</t>
        </is>
      </c>
    </row>
    <row r="791">
      <c r="A791" t="inlineStr">
        <is>
          <t>OH0015819275</t>
        </is>
      </c>
      <c r="B791" t="n">
        <v>78</v>
      </c>
      <c r="C791" t="n">
        <v>314199</v>
      </c>
      <c r="D791" t="inlineStr">
        <is>
          <t>STAN</t>
        </is>
      </c>
      <c r="E791" t="inlineStr">
        <is>
          <t>ANGELA</t>
        </is>
      </c>
      <c r="F791">
        <f>CONCATENATE(D791," ",LEFT(H791,4),"T=",AU791,"D=",AV791,"R=",AW791,"M=",AX791,"L=",AY791,"B=",AZ791)</f>
        <v/>
      </c>
      <c r="G791" t="inlineStr">
        <is>
          <t>R</t>
        </is>
      </c>
      <c r="I791" t="inlineStr">
        <is>
          <t>1974-04-03</t>
        </is>
      </c>
      <c r="J791" t="inlineStr">
        <is>
          <t>2019-07-30</t>
        </is>
      </c>
      <c r="K791" t="inlineStr">
        <is>
          <t>ACTIVE</t>
        </is>
      </c>
      <c r="M791" t="inlineStr">
        <is>
          <t>244 WOODBINE AVE SE</t>
        </is>
      </c>
      <c r="N791">
        <f>RIGHT(M791,LEN(M791)-FIND(" ",M791))</f>
        <v/>
      </c>
      <c r="P791" t="inlineStr">
        <is>
          <t>WARREN</t>
        </is>
      </c>
      <c r="Q791" t="inlineStr">
        <is>
          <t>OH</t>
        </is>
      </c>
      <c r="R791" t="n">
        <v>44483</v>
      </c>
      <c r="AD791" t="inlineStr">
        <is>
          <t>TRUMBULL CAREER &amp; TECH CENTER</t>
        </is>
      </c>
      <c r="AE791" t="inlineStr">
        <is>
          <t>WARREN CITY</t>
        </is>
      </c>
      <c r="AF791" t="inlineStr">
        <is>
          <t>WARREN CITY SD</t>
        </is>
      </c>
      <c r="AH791" t="n">
        <v>14</v>
      </c>
      <c r="AI791" t="n">
        <v>11</v>
      </c>
      <c r="AN791" t="inlineStr">
        <is>
          <t>WARREN</t>
        </is>
      </c>
      <c r="AO791" t="inlineStr">
        <is>
          <t>WARREN CITY 4A</t>
        </is>
      </c>
      <c r="AP791" t="inlineStr">
        <is>
          <t>78-P-ADI</t>
        </is>
      </c>
      <c r="AQ791" t="n">
        <v>9</v>
      </c>
      <c r="AR791" t="n">
        <v>64</v>
      </c>
      <c r="AS791" t="n">
        <v>32</v>
      </c>
      <c r="AU791">
        <f>COUNTA($BA$791:$EH$791)</f>
        <v/>
      </c>
      <c r="AV791">
        <f>COUNTIF($BA$791:$EH$791,"D")</f>
        <v/>
      </c>
      <c r="AW791">
        <f>COUNTIF($BA$791:$EH$791,"R")</f>
        <v/>
      </c>
      <c r="AX791">
        <f>IF(BN791="D",1,0)+IF(BO791="D",1,0)+IF(BT791="D",1,0)+IF(BU791="D",1,0)+IF(BW791="D",1,0)+IF(CC791="D",1,0)+IF(CD791="D",1,0)+IF(CE791="D",1,0)+IF(CF791="D",1,0)+IF(CL791="D",1,0)+IF(CM791="D",1,0)+IF(CQ791="D",1,0)+IF(CR791="D",1,0)+IF(CS791="D",1,0)+IF(CW791="D",1,0)+IF(CX791="D",1,0)+IF(DD791="D",1,0)+IF(DE791="D",1,0)+IF(DJ791="D",1,0)+IF(DK791="D",1,0)+IF(DO791="D",1,0)+IF(DP791="D",1,0)+IF(DQ791="D",1,0)+IF(DW791="D",1,0)+IF(DZ791="D",1,0)+IF(EH791="D",1,0)</f>
        <v/>
      </c>
      <c r="AY791">
        <f>IF(DJ791&lt;&gt;"",1,0)+IF(DK791&lt;&gt;"",1,0)+IF(DM791&lt;&gt;"",1,0)+IF(DO791&lt;&gt;"",1,0)+IF(DP791&lt;&gt;"",1,0)+IF(DQ791&lt;&gt;"",1,0)+IF(DS791&lt;&gt;"",1,0)+IF(DT791&lt;&gt;"",1,0)+IF(DV791&lt;&gt;"",1,0)+IF(DW791&lt;&gt;"",1,0)+IF(DX791&lt;&gt;"",1,0)+IF(DY791&lt;&gt;"",1,0)+IF(DZ791&lt;&gt;"",1,0)+IF(EB791&lt;&gt;"",1,0)+IF(EC791&lt;&gt;"",1,0)+IF(ED791&lt;&gt;"",1,0)+IF(EG791&lt;&gt;"",1,0)+IF(EH791&lt;&gt;"",1,0)</f>
        <v/>
      </c>
      <c r="AZ791">
        <f>IF(EH791&lt;&gt;"",1,0)</f>
        <v/>
      </c>
      <c r="BB791" t="inlineStr">
        <is>
          <t>WARREN-WARD 4</t>
        </is>
      </c>
      <c r="BJ791" t="inlineStr">
        <is>
          <t>X</t>
        </is>
      </c>
      <c r="BK791" t="inlineStr">
        <is>
          <t>X</t>
        </is>
      </c>
      <c r="BL791" t="inlineStr">
        <is>
          <t>X</t>
        </is>
      </c>
      <c r="CN791" t="inlineStr">
        <is>
          <t>X</t>
        </is>
      </c>
      <c r="CP791" t="inlineStr">
        <is>
          <t>X</t>
        </is>
      </c>
      <c r="DN791" t="inlineStr">
        <is>
          <t>X</t>
        </is>
      </c>
      <c r="DU791" t="inlineStr">
        <is>
          <t>X</t>
        </is>
      </c>
      <c r="EF791" t="inlineStr">
        <is>
          <t>X</t>
        </is>
      </c>
    </row>
    <row r="792">
      <c r="A792" t="inlineStr">
        <is>
          <t>OH0025168209</t>
        </is>
      </c>
      <c r="B792" t="n">
        <v>78</v>
      </c>
      <c r="C792" t="n">
        <v>440758</v>
      </c>
      <c r="D792" t="inlineStr">
        <is>
          <t>OBRIEN</t>
        </is>
      </c>
      <c r="E792" t="inlineStr">
        <is>
          <t>JUSTIN</t>
        </is>
      </c>
      <c r="F792">
        <f>CONCATENATE(D792," ",LEFT(H792,4),"T=",AU792,"D=",AV792,"R=",AW792,"M=",AX792,"L=",AY792,"B=",AZ792)</f>
        <v/>
      </c>
      <c r="G792" t="inlineStr">
        <is>
          <t>MICHAEL</t>
        </is>
      </c>
      <c r="I792" t="inlineStr">
        <is>
          <t>1991-02-02</t>
        </is>
      </c>
      <c r="J792" t="inlineStr">
        <is>
          <t>2021-06-15</t>
        </is>
      </c>
      <c r="K792" t="inlineStr">
        <is>
          <t>CONFIRMATION</t>
        </is>
      </c>
      <c r="M792" t="inlineStr">
        <is>
          <t>731 WOODBINE AVE SE</t>
        </is>
      </c>
      <c r="N792">
        <f>RIGHT(M792,LEN(M792)-FIND(" ",M792))</f>
        <v/>
      </c>
      <c r="P792" t="inlineStr">
        <is>
          <t>WARREN</t>
        </is>
      </c>
      <c r="Q792" t="inlineStr">
        <is>
          <t>OH</t>
        </is>
      </c>
      <c r="R792" t="n">
        <v>44484</v>
      </c>
      <c r="AD792" t="inlineStr">
        <is>
          <t>TRUMBULL CAREER &amp; TECH CENTER</t>
        </is>
      </c>
      <c r="AE792" t="inlineStr">
        <is>
          <t>WARREN CITY</t>
        </is>
      </c>
      <c r="AF792" t="inlineStr">
        <is>
          <t>WARREN CITY SD</t>
        </is>
      </c>
      <c r="AH792" t="n">
        <v>14</v>
      </c>
      <c r="AI792" t="n">
        <v>11</v>
      </c>
      <c r="AN792" t="inlineStr">
        <is>
          <t>WARREN</t>
        </is>
      </c>
      <c r="AO792" t="inlineStr">
        <is>
          <t>WARREN CITY 4A</t>
        </is>
      </c>
      <c r="AP792" t="inlineStr">
        <is>
          <t>78-P-ADI</t>
        </is>
      </c>
      <c r="AQ792" t="n">
        <v>9</v>
      </c>
      <c r="AR792" t="n">
        <v>64</v>
      </c>
      <c r="AS792" t="n">
        <v>32</v>
      </c>
      <c r="AU792">
        <f>COUNTA($BA$792:$EH$792)</f>
        <v/>
      </c>
      <c r="AV792">
        <f>COUNTIF($BA$792:$EH$792,"D")</f>
        <v/>
      </c>
      <c r="AW792">
        <f>COUNTIF($BA$792:$EH$792,"R")</f>
        <v/>
      </c>
      <c r="AX792">
        <f>IF(BN792="D",1,0)+IF(BO792="D",1,0)+IF(BT792="D",1,0)+IF(BU792="D",1,0)+IF(BW792="D",1,0)+IF(CC792="D",1,0)+IF(CD792="D",1,0)+IF(CE792="D",1,0)+IF(CF792="D",1,0)+IF(CL792="D",1,0)+IF(CM792="D",1,0)+IF(CQ792="D",1,0)+IF(CR792="D",1,0)+IF(CS792="D",1,0)+IF(CW792="D",1,0)+IF(CX792="D",1,0)+IF(DD792="D",1,0)+IF(DE792="D",1,0)+IF(DJ792="D",1,0)+IF(DK792="D",1,0)+IF(DO792="D",1,0)+IF(DP792="D",1,0)+IF(DQ792="D",1,0)+IF(DW792="D",1,0)+IF(DZ792="D",1,0)+IF(EH792="D",1,0)</f>
        <v/>
      </c>
      <c r="AY792">
        <f>IF(DJ792&lt;&gt;"",1,0)+IF(DK792&lt;&gt;"",1,0)+IF(DM792&lt;&gt;"",1,0)+IF(DO792&lt;&gt;"",1,0)+IF(DP792&lt;&gt;"",1,0)+IF(DQ792&lt;&gt;"",1,0)+IF(DS792&lt;&gt;"",1,0)+IF(DT792&lt;&gt;"",1,0)+IF(DV792&lt;&gt;"",1,0)+IF(DW792&lt;&gt;"",1,0)+IF(DX792&lt;&gt;"",1,0)+IF(DY792&lt;&gt;"",1,0)+IF(DZ792&lt;&gt;"",1,0)+IF(EB792&lt;&gt;"",1,0)+IF(EC792&lt;&gt;"",1,0)+IF(ED792&lt;&gt;"",1,0)+IF(EG792&lt;&gt;"",1,0)+IF(EH792&lt;&gt;"",1,0)</f>
        <v/>
      </c>
      <c r="AZ792">
        <f>IF(EH792&lt;&gt;"",1,0)</f>
        <v/>
      </c>
      <c r="BB792" t="inlineStr">
        <is>
          <t>WARREN-WARD 4</t>
        </is>
      </c>
    </row>
    <row r="793">
      <c r="A793" t="inlineStr">
        <is>
          <t>OH0026925398</t>
        </is>
      </c>
      <c r="B793" t="n">
        <v>78</v>
      </c>
      <c r="C793" t="n">
        <v>474543</v>
      </c>
      <c r="D793" t="inlineStr">
        <is>
          <t>WALTON</t>
        </is>
      </c>
      <c r="E793" t="inlineStr">
        <is>
          <t>BRANDON</t>
        </is>
      </c>
      <c r="F793">
        <f>CONCATENATE(D793," ",LEFT(H793,4),"T=",AU793,"D=",AV793,"R=",AW793,"M=",AX793,"L=",AY793,"B=",AZ793)</f>
        <v/>
      </c>
      <c r="G793" t="inlineStr">
        <is>
          <t>ALLEN</t>
        </is>
      </c>
      <c r="I793" t="inlineStr">
        <is>
          <t>1988-03-30</t>
        </is>
      </c>
      <c r="J793" t="inlineStr">
        <is>
          <t>2023-08-09</t>
        </is>
      </c>
      <c r="K793" t="inlineStr">
        <is>
          <t>ACTIVE</t>
        </is>
      </c>
      <c r="M793" t="inlineStr">
        <is>
          <t>323 HOMEWOOD AVE SE</t>
        </is>
      </c>
      <c r="N793">
        <f>RIGHT(M793,LEN(M793)-FIND(" ",M793))</f>
        <v/>
      </c>
      <c r="P793" t="inlineStr">
        <is>
          <t>WARREN</t>
        </is>
      </c>
      <c r="Q793" t="inlineStr">
        <is>
          <t>OH</t>
        </is>
      </c>
      <c r="R793" t="n">
        <v>44483</v>
      </c>
      <c r="AD793" t="inlineStr">
        <is>
          <t>TRUMBULL CAREER &amp; TECH CENTER</t>
        </is>
      </c>
      <c r="AE793" t="inlineStr">
        <is>
          <t>WARREN CITY</t>
        </is>
      </c>
      <c r="AF793" t="inlineStr">
        <is>
          <t>WARREN CITY SD</t>
        </is>
      </c>
      <c r="AH793" t="n">
        <v>14</v>
      </c>
      <c r="AI793" t="n">
        <v>11</v>
      </c>
      <c r="AN793" t="inlineStr">
        <is>
          <t>WARREN</t>
        </is>
      </c>
      <c r="AO793" t="inlineStr">
        <is>
          <t>WARREN CITY 4A</t>
        </is>
      </c>
      <c r="AP793" t="inlineStr">
        <is>
          <t>78-P-ADI</t>
        </is>
      </c>
      <c r="AQ793" t="n">
        <v>9</v>
      </c>
      <c r="AR793" t="n">
        <v>64</v>
      </c>
      <c r="AS793" t="n">
        <v>32</v>
      </c>
      <c r="AU793">
        <f>COUNTA($BA$793:$EH$793)</f>
        <v/>
      </c>
      <c r="AV793">
        <f>COUNTIF($BA$793:$EH$793,"D")</f>
        <v/>
      </c>
      <c r="AW793">
        <f>COUNTIF($BA$793:$EH$793,"R")</f>
        <v/>
      </c>
      <c r="AX793">
        <f>IF(BN793="D",1,0)+IF(BO793="D",1,0)+IF(BT793="D",1,0)+IF(BU793="D",1,0)+IF(BW793="D",1,0)+IF(CC793="D",1,0)+IF(CD793="D",1,0)+IF(CE793="D",1,0)+IF(CF793="D",1,0)+IF(CL793="D",1,0)+IF(CM793="D",1,0)+IF(CQ793="D",1,0)+IF(CR793="D",1,0)+IF(CS793="D",1,0)+IF(CW793="D",1,0)+IF(CX793="D",1,0)+IF(DD793="D",1,0)+IF(DE793="D",1,0)+IF(DJ793="D",1,0)+IF(DK793="D",1,0)+IF(DO793="D",1,0)+IF(DP793="D",1,0)+IF(DQ793="D",1,0)+IF(DW793="D",1,0)+IF(DZ793="D",1,0)+IF(EH793="D",1,0)</f>
        <v/>
      </c>
      <c r="AY793">
        <f>IF(DJ793&lt;&gt;"",1,0)+IF(DK793&lt;&gt;"",1,0)+IF(DM793&lt;&gt;"",1,0)+IF(DO793&lt;&gt;"",1,0)+IF(DP793&lt;&gt;"",1,0)+IF(DQ793&lt;&gt;"",1,0)+IF(DS793&lt;&gt;"",1,0)+IF(DT793&lt;&gt;"",1,0)+IF(DV793&lt;&gt;"",1,0)+IF(DW793&lt;&gt;"",1,0)+IF(DX793&lt;&gt;"",1,0)+IF(DY793&lt;&gt;"",1,0)+IF(DZ793&lt;&gt;"",1,0)+IF(EB793&lt;&gt;"",1,0)+IF(EC793&lt;&gt;"",1,0)+IF(ED793&lt;&gt;"",1,0)+IF(EG793&lt;&gt;"",1,0)+IF(EH793&lt;&gt;"",1,0)</f>
        <v/>
      </c>
      <c r="AZ793">
        <f>IF(EH793&lt;&gt;"",1,0)</f>
        <v/>
      </c>
      <c r="BB793" t="inlineStr">
        <is>
          <t>WARREN-WARD 4</t>
        </is>
      </c>
      <c r="BS793" t="inlineStr">
        <is>
          <t>X</t>
        </is>
      </c>
    </row>
    <row r="794">
      <c r="A794" t="inlineStr">
        <is>
          <t>OH0023443520</t>
        </is>
      </c>
      <c r="B794" t="n">
        <v>78</v>
      </c>
      <c r="C794" t="n">
        <v>411769</v>
      </c>
      <c r="D794" t="inlineStr">
        <is>
          <t>MORT</t>
        </is>
      </c>
      <c r="E794" t="inlineStr">
        <is>
          <t>GERALDINE</t>
        </is>
      </c>
      <c r="F794">
        <f>CONCATENATE(D794," ",LEFT(H794,4),"T=",AU794,"D=",AV794,"R=",AW794,"M=",AX794,"L=",AY794,"B=",AZ794)</f>
        <v/>
      </c>
      <c r="G794" t="inlineStr">
        <is>
          <t>RAE</t>
        </is>
      </c>
      <c r="I794" t="inlineStr">
        <is>
          <t>1966-09-08</t>
        </is>
      </c>
      <c r="J794" t="inlineStr">
        <is>
          <t>2016-05-19</t>
        </is>
      </c>
      <c r="K794" t="inlineStr">
        <is>
          <t>CONFIRMATION</t>
        </is>
      </c>
      <c r="M794" t="inlineStr">
        <is>
          <t>877 KENILWORTH AVE SE</t>
        </is>
      </c>
      <c r="N794">
        <f>RIGHT(M794,LEN(M794)-FIND(" ",M794))</f>
        <v/>
      </c>
      <c r="O794" t="inlineStr">
        <is>
          <t>APT 1</t>
        </is>
      </c>
      <c r="P794" t="inlineStr">
        <is>
          <t>WARREN</t>
        </is>
      </c>
      <c r="Q794" t="inlineStr">
        <is>
          <t>OH</t>
        </is>
      </c>
      <c r="R794" t="n">
        <v>44484</v>
      </c>
      <c r="AD794" t="inlineStr">
        <is>
          <t>TRUMBULL CAREER &amp; TECH CENTER</t>
        </is>
      </c>
      <c r="AE794" t="inlineStr">
        <is>
          <t>WARREN CITY</t>
        </is>
      </c>
      <c r="AF794" t="inlineStr">
        <is>
          <t>WARREN CITY SD</t>
        </is>
      </c>
      <c r="AH794" t="n">
        <v>14</v>
      </c>
      <c r="AI794" t="n">
        <v>11</v>
      </c>
      <c r="AN794" t="inlineStr">
        <is>
          <t>WARREN</t>
        </is>
      </c>
      <c r="AO794" t="inlineStr">
        <is>
          <t>WARREN CITY 4A</t>
        </is>
      </c>
      <c r="AP794" t="inlineStr">
        <is>
          <t>78-P-ADI</t>
        </is>
      </c>
      <c r="AQ794" t="n">
        <v>9</v>
      </c>
      <c r="AR794" t="n">
        <v>64</v>
      </c>
      <c r="AS794" t="n">
        <v>32</v>
      </c>
      <c r="AU794">
        <f>COUNTA($BA$794:$EH$794)</f>
        <v/>
      </c>
      <c r="AV794">
        <f>COUNTIF($BA$794:$EH$794,"D")</f>
        <v/>
      </c>
      <c r="AW794">
        <f>COUNTIF($BA$794:$EH$794,"R")</f>
        <v/>
      </c>
      <c r="AX794">
        <f>IF(BN794="D",1,0)+IF(BO794="D",1,0)+IF(BT794="D",1,0)+IF(BU794="D",1,0)+IF(BW794="D",1,0)+IF(CC794="D",1,0)+IF(CD794="D",1,0)+IF(CE794="D",1,0)+IF(CF794="D",1,0)+IF(CL794="D",1,0)+IF(CM794="D",1,0)+IF(CQ794="D",1,0)+IF(CR794="D",1,0)+IF(CS794="D",1,0)+IF(CW794="D",1,0)+IF(CX794="D",1,0)+IF(DD794="D",1,0)+IF(DE794="D",1,0)+IF(DJ794="D",1,0)+IF(DK794="D",1,0)+IF(DO794="D",1,0)+IF(DP794="D",1,0)+IF(DQ794="D",1,0)+IF(DW794="D",1,0)+IF(DZ794="D",1,0)+IF(EH794="D",1,0)</f>
        <v/>
      </c>
      <c r="AY794">
        <f>IF(DJ794&lt;&gt;"",1,0)+IF(DK794&lt;&gt;"",1,0)+IF(DM794&lt;&gt;"",1,0)+IF(DO794&lt;&gt;"",1,0)+IF(DP794&lt;&gt;"",1,0)+IF(DQ794&lt;&gt;"",1,0)+IF(DS794&lt;&gt;"",1,0)+IF(DT794&lt;&gt;"",1,0)+IF(DV794&lt;&gt;"",1,0)+IF(DW794&lt;&gt;"",1,0)+IF(DX794&lt;&gt;"",1,0)+IF(DY794&lt;&gt;"",1,0)+IF(DZ794&lt;&gt;"",1,0)+IF(EB794&lt;&gt;"",1,0)+IF(EC794&lt;&gt;"",1,0)+IF(ED794&lt;&gt;"",1,0)+IF(EG794&lt;&gt;"",1,0)+IF(EH794&lt;&gt;"",1,0)</f>
        <v/>
      </c>
      <c r="AZ794">
        <f>IF(EH794&lt;&gt;"",1,0)</f>
        <v/>
      </c>
      <c r="BB794" t="inlineStr">
        <is>
          <t>WARREN-WARD 4</t>
        </is>
      </c>
    </row>
    <row r="795">
      <c r="A795" t="inlineStr">
        <is>
          <t>OH0024009766</t>
        </is>
      </c>
      <c r="B795" t="n">
        <v>78</v>
      </c>
      <c r="C795" t="n">
        <v>420997</v>
      </c>
      <c r="D795" t="inlineStr">
        <is>
          <t>NIEVES</t>
        </is>
      </c>
      <c r="E795" t="inlineStr">
        <is>
          <t>ABRAHAM</t>
        </is>
      </c>
      <c r="F795">
        <f>CONCATENATE(D795," ",LEFT(H795,4),"T=",AU795,"D=",AV795,"R=",AW795,"M=",AX795,"L=",AY795,"B=",AZ795)</f>
        <v/>
      </c>
      <c r="I795" t="inlineStr">
        <is>
          <t>1968-06-02</t>
        </is>
      </c>
      <c r="J795" t="inlineStr">
        <is>
          <t>2016-09-19</t>
        </is>
      </c>
      <c r="K795" t="inlineStr">
        <is>
          <t>ACTIVE</t>
        </is>
      </c>
      <c r="M795" t="inlineStr">
        <is>
          <t>1228 GRANT ST SE</t>
        </is>
      </c>
      <c r="N795">
        <f>RIGHT(M795,LEN(M795)-FIND(" ",M795))</f>
        <v/>
      </c>
      <c r="P795" t="inlineStr">
        <is>
          <t>WARREN</t>
        </is>
      </c>
      <c r="Q795" t="inlineStr">
        <is>
          <t>OH</t>
        </is>
      </c>
      <c r="R795" t="n">
        <v>44483</v>
      </c>
      <c r="AD795" t="inlineStr">
        <is>
          <t>TRUMBULL CAREER &amp; TECH CENTER</t>
        </is>
      </c>
      <c r="AE795" t="inlineStr">
        <is>
          <t>WARREN CITY</t>
        </is>
      </c>
      <c r="AF795" t="inlineStr">
        <is>
          <t>WARREN CITY SD</t>
        </is>
      </c>
      <c r="AH795" t="n">
        <v>14</v>
      </c>
      <c r="AI795" t="n">
        <v>11</v>
      </c>
      <c r="AN795" t="inlineStr">
        <is>
          <t>WARREN</t>
        </is>
      </c>
      <c r="AO795" t="inlineStr">
        <is>
          <t>WARREN CITY 4A</t>
        </is>
      </c>
      <c r="AP795" t="inlineStr">
        <is>
          <t>78-P-ADI</t>
        </is>
      </c>
      <c r="AQ795" t="n">
        <v>9</v>
      </c>
      <c r="AR795" t="n">
        <v>64</v>
      </c>
      <c r="AS795" t="n">
        <v>32</v>
      </c>
      <c r="AU795">
        <f>COUNTA($BA$795:$EH$795)</f>
        <v/>
      </c>
      <c r="AV795">
        <f>COUNTIF($BA$795:$EH$795,"D")</f>
        <v/>
      </c>
      <c r="AW795">
        <f>COUNTIF($BA$795:$EH$795,"R")</f>
        <v/>
      </c>
      <c r="AX795">
        <f>IF(BN795="D",1,0)+IF(BO795="D",1,0)+IF(BT795="D",1,0)+IF(BU795="D",1,0)+IF(BW795="D",1,0)+IF(CC795="D",1,0)+IF(CD795="D",1,0)+IF(CE795="D",1,0)+IF(CF795="D",1,0)+IF(CL795="D",1,0)+IF(CM795="D",1,0)+IF(CQ795="D",1,0)+IF(CR795="D",1,0)+IF(CS795="D",1,0)+IF(CW795="D",1,0)+IF(CX795="D",1,0)+IF(DD795="D",1,0)+IF(DE795="D",1,0)+IF(DJ795="D",1,0)+IF(DK795="D",1,0)+IF(DO795="D",1,0)+IF(DP795="D",1,0)+IF(DQ795="D",1,0)+IF(DW795="D",1,0)+IF(DZ795="D",1,0)+IF(EH795="D",1,0)</f>
        <v/>
      </c>
      <c r="AY795">
        <f>IF(DJ795&lt;&gt;"",1,0)+IF(DK795&lt;&gt;"",1,0)+IF(DM795&lt;&gt;"",1,0)+IF(DO795&lt;&gt;"",1,0)+IF(DP795&lt;&gt;"",1,0)+IF(DQ795&lt;&gt;"",1,0)+IF(DS795&lt;&gt;"",1,0)+IF(DT795&lt;&gt;"",1,0)+IF(DV795&lt;&gt;"",1,0)+IF(DW795&lt;&gt;"",1,0)+IF(DX795&lt;&gt;"",1,0)+IF(DY795&lt;&gt;"",1,0)+IF(DZ795&lt;&gt;"",1,0)+IF(EB795&lt;&gt;"",1,0)+IF(EC795&lt;&gt;"",1,0)+IF(ED795&lt;&gt;"",1,0)+IF(EG795&lt;&gt;"",1,0)+IF(EH795&lt;&gt;"",1,0)</f>
        <v/>
      </c>
      <c r="AZ795">
        <f>IF(EH795&lt;&gt;"",1,0)</f>
        <v/>
      </c>
      <c r="BB795" t="inlineStr">
        <is>
          <t>WARREN-WARD 4</t>
        </is>
      </c>
      <c r="DI795" t="inlineStr">
        <is>
          <t>X</t>
        </is>
      </c>
      <c r="DN795" t="inlineStr">
        <is>
          <t>X</t>
        </is>
      </c>
      <c r="DX795" t="inlineStr">
        <is>
          <t>X</t>
        </is>
      </c>
      <c r="EA795" t="inlineStr">
        <is>
          <t>X</t>
        </is>
      </c>
      <c r="EF795" t="inlineStr">
        <is>
          <t>X</t>
        </is>
      </c>
    </row>
    <row r="796">
      <c r="A796" t="inlineStr">
        <is>
          <t>OH0024009775</t>
        </is>
      </c>
      <c r="B796" t="n">
        <v>78</v>
      </c>
      <c r="C796" t="n">
        <v>420998</v>
      </c>
      <c r="D796" t="inlineStr">
        <is>
          <t>LOPEZ RIVERA</t>
        </is>
      </c>
      <c r="E796" t="inlineStr">
        <is>
          <t>MIGDALIA</t>
        </is>
      </c>
      <c r="F796">
        <f>CONCATENATE(D796," ",LEFT(H796,4),"T=",AU796,"D=",AV796,"R=",AW796,"M=",AX796,"L=",AY796,"B=",AZ796)</f>
        <v/>
      </c>
      <c r="I796" t="inlineStr">
        <is>
          <t>1967-06-20</t>
        </is>
      </c>
      <c r="J796" t="inlineStr">
        <is>
          <t>2016-09-19</t>
        </is>
      </c>
      <c r="K796" t="inlineStr">
        <is>
          <t>ACTIVE</t>
        </is>
      </c>
      <c r="M796" t="inlineStr">
        <is>
          <t>1228 GRANT ST SE</t>
        </is>
      </c>
      <c r="N796">
        <f>RIGHT(M796,LEN(M796)-FIND(" ",M796))</f>
        <v/>
      </c>
      <c r="P796" t="inlineStr">
        <is>
          <t>WARREN</t>
        </is>
      </c>
      <c r="Q796" t="inlineStr">
        <is>
          <t>OH</t>
        </is>
      </c>
      <c r="R796" t="n">
        <v>44483</v>
      </c>
      <c r="AD796" t="inlineStr">
        <is>
          <t>TRUMBULL CAREER &amp; TECH CENTER</t>
        </is>
      </c>
      <c r="AE796" t="inlineStr">
        <is>
          <t>WARREN CITY</t>
        </is>
      </c>
      <c r="AF796" t="inlineStr">
        <is>
          <t>WARREN CITY SD</t>
        </is>
      </c>
      <c r="AH796" t="n">
        <v>14</v>
      </c>
      <c r="AI796" t="n">
        <v>11</v>
      </c>
      <c r="AN796" t="inlineStr">
        <is>
          <t>WARREN</t>
        </is>
      </c>
      <c r="AO796" t="inlineStr">
        <is>
          <t>WARREN CITY 4A</t>
        </is>
      </c>
      <c r="AP796" t="inlineStr">
        <is>
          <t>78-P-ADI</t>
        </is>
      </c>
      <c r="AQ796" t="n">
        <v>9</v>
      </c>
      <c r="AR796" t="n">
        <v>64</v>
      </c>
      <c r="AS796" t="n">
        <v>32</v>
      </c>
      <c r="AU796">
        <f>COUNTA($BA$796:$EH$796)</f>
        <v/>
      </c>
      <c r="AV796">
        <f>COUNTIF($BA$796:$EH$796,"D")</f>
        <v/>
      </c>
      <c r="AW796">
        <f>COUNTIF($BA$796:$EH$796,"R")</f>
        <v/>
      </c>
      <c r="AX796">
        <f>IF(BN796="D",1,0)+IF(BO796="D",1,0)+IF(BT796="D",1,0)+IF(BU796="D",1,0)+IF(BW796="D",1,0)+IF(CC796="D",1,0)+IF(CD796="D",1,0)+IF(CE796="D",1,0)+IF(CF796="D",1,0)+IF(CL796="D",1,0)+IF(CM796="D",1,0)+IF(CQ796="D",1,0)+IF(CR796="D",1,0)+IF(CS796="D",1,0)+IF(CW796="D",1,0)+IF(CX796="D",1,0)+IF(DD796="D",1,0)+IF(DE796="D",1,0)+IF(DJ796="D",1,0)+IF(DK796="D",1,0)+IF(DO796="D",1,0)+IF(DP796="D",1,0)+IF(DQ796="D",1,0)+IF(DW796="D",1,0)+IF(DZ796="D",1,0)+IF(EH796="D",1,0)</f>
        <v/>
      </c>
      <c r="AY796">
        <f>IF(DJ796&lt;&gt;"",1,0)+IF(DK796&lt;&gt;"",1,0)+IF(DM796&lt;&gt;"",1,0)+IF(DO796&lt;&gt;"",1,0)+IF(DP796&lt;&gt;"",1,0)+IF(DQ796&lt;&gt;"",1,0)+IF(DS796&lt;&gt;"",1,0)+IF(DT796&lt;&gt;"",1,0)+IF(DV796&lt;&gt;"",1,0)+IF(DW796&lt;&gt;"",1,0)+IF(DX796&lt;&gt;"",1,0)+IF(DY796&lt;&gt;"",1,0)+IF(DZ796&lt;&gt;"",1,0)+IF(EB796&lt;&gt;"",1,0)+IF(EC796&lt;&gt;"",1,0)+IF(ED796&lt;&gt;"",1,0)+IF(EG796&lt;&gt;"",1,0)+IF(EH796&lt;&gt;"",1,0)</f>
        <v/>
      </c>
      <c r="AZ796">
        <f>IF(EH796&lt;&gt;"",1,0)</f>
        <v/>
      </c>
      <c r="BB796" t="inlineStr">
        <is>
          <t>WARREN-WARD 4</t>
        </is>
      </c>
      <c r="DC796" t="inlineStr">
        <is>
          <t>X</t>
        </is>
      </c>
      <c r="DI796" t="inlineStr">
        <is>
          <t>X</t>
        </is>
      </c>
      <c r="DN796" t="inlineStr">
        <is>
          <t>X</t>
        </is>
      </c>
      <c r="DU796" t="inlineStr">
        <is>
          <t>X</t>
        </is>
      </c>
      <c r="DX796" t="inlineStr">
        <is>
          <t>X</t>
        </is>
      </c>
      <c r="EA796" t="inlineStr">
        <is>
          <t>X</t>
        </is>
      </c>
      <c r="EF796" t="inlineStr">
        <is>
          <t>X</t>
        </is>
      </c>
    </row>
    <row r="797">
      <c r="A797" t="inlineStr">
        <is>
          <t>OH0025607149</t>
        </is>
      </c>
      <c r="B797" t="n">
        <v>78</v>
      </c>
      <c r="C797" t="n">
        <v>447281</v>
      </c>
      <c r="D797" t="inlineStr">
        <is>
          <t>SIMMONS</t>
        </is>
      </c>
      <c r="E797" t="inlineStr">
        <is>
          <t>LUETTA</t>
        </is>
      </c>
      <c r="F797">
        <f>CONCATENATE(D797," ",LEFT(H797,4),"T=",AU797,"D=",AV797,"R=",AW797,"M=",AX797,"L=",AY797,"B=",AZ797)</f>
        <v/>
      </c>
      <c r="G797" t="inlineStr">
        <is>
          <t>MARIE</t>
        </is>
      </c>
      <c r="I797" t="inlineStr">
        <is>
          <t>1977-12-12</t>
        </is>
      </c>
      <c r="J797" t="inlineStr">
        <is>
          <t>2020-07-03</t>
        </is>
      </c>
      <c r="K797" t="inlineStr">
        <is>
          <t>ACTIVE</t>
        </is>
      </c>
      <c r="M797" t="inlineStr">
        <is>
          <t>760 OAK KNOLL AVE SE</t>
        </is>
      </c>
      <c r="N797">
        <f>RIGHT(M797,LEN(M797)-FIND(" ",M797))</f>
        <v/>
      </c>
      <c r="P797" t="inlineStr">
        <is>
          <t>WARREN</t>
        </is>
      </c>
      <c r="Q797" t="inlineStr">
        <is>
          <t>OH</t>
        </is>
      </c>
      <c r="R797" t="n">
        <v>44484</v>
      </c>
      <c r="AD797" t="inlineStr">
        <is>
          <t>TRUMBULL CAREER &amp; TECH CENTER</t>
        </is>
      </c>
      <c r="AE797" t="inlineStr">
        <is>
          <t>WARREN CITY</t>
        </is>
      </c>
      <c r="AF797" t="inlineStr">
        <is>
          <t>WARREN CITY SD</t>
        </is>
      </c>
      <c r="AH797" t="n">
        <v>14</v>
      </c>
      <c r="AI797" t="n">
        <v>11</v>
      </c>
      <c r="AN797" t="inlineStr">
        <is>
          <t>WARREN</t>
        </is>
      </c>
      <c r="AO797" t="inlineStr">
        <is>
          <t>WARREN CITY 4A</t>
        </is>
      </c>
      <c r="AP797" t="inlineStr">
        <is>
          <t>78-P-ADI</t>
        </is>
      </c>
      <c r="AQ797" t="n">
        <v>9</v>
      </c>
      <c r="AR797" t="n">
        <v>64</v>
      </c>
      <c r="AS797" t="n">
        <v>32</v>
      </c>
      <c r="AU797">
        <f>COUNTA($BA$797:$EH$797)</f>
        <v/>
      </c>
      <c r="AV797">
        <f>COUNTIF($BA$797:$EH$797,"D")</f>
        <v/>
      </c>
      <c r="AW797">
        <f>COUNTIF($BA$797:$EH$797,"R")</f>
        <v/>
      </c>
      <c r="AX797">
        <f>IF(BN797="D",1,0)+IF(BO797="D",1,0)+IF(BT797="D",1,0)+IF(BU797="D",1,0)+IF(BW797="D",1,0)+IF(CC797="D",1,0)+IF(CD797="D",1,0)+IF(CE797="D",1,0)+IF(CF797="D",1,0)+IF(CL797="D",1,0)+IF(CM797="D",1,0)+IF(CQ797="D",1,0)+IF(CR797="D",1,0)+IF(CS797="D",1,0)+IF(CW797="D",1,0)+IF(CX797="D",1,0)+IF(DD797="D",1,0)+IF(DE797="D",1,0)+IF(DJ797="D",1,0)+IF(DK797="D",1,0)+IF(DO797="D",1,0)+IF(DP797="D",1,0)+IF(DQ797="D",1,0)+IF(DW797="D",1,0)+IF(DZ797="D",1,0)+IF(EH797="D",1,0)</f>
        <v/>
      </c>
      <c r="AY797">
        <f>IF(DJ797&lt;&gt;"",1,0)+IF(DK797&lt;&gt;"",1,0)+IF(DM797&lt;&gt;"",1,0)+IF(DO797&lt;&gt;"",1,0)+IF(DP797&lt;&gt;"",1,0)+IF(DQ797&lt;&gt;"",1,0)+IF(DS797&lt;&gt;"",1,0)+IF(DT797&lt;&gt;"",1,0)+IF(DV797&lt;&gt;"",1,0)+IF(DW797&lt;&gt;"",1,0)+IF(DX797&lt;&gt;"",1,0)+IF(DY797&lt;&gt;"",1,0)+IF(DZ797&lt;&gt;"",1,0)+IF(EB797&lt;&gt;"",1,0)+IF(EC797&lt;&gt;"",1,0)+IF(ED797&lt;&gt;"",1,0)+IF(EG797&lt;&gt;"",1,0)+IF(EH797&lt;&gt;"",1,0)</f>
        <v/>
      </c>
      <c r="AZ797">
        <f>IF(EH797&lt;&gt;"",1,0)</f>
        <v/>
      </c>
      <c r="BB797" t="inlineStr">
        <is>
          <t>WARREN-WARD 4</t>
        </is>
      </c>
      <c r="DN797" t="inlineStr">
        <is>
          <t>X</t>
        </is>
      </c>
      <c r="EF797" t="inlineStr">
        <is>
          <t>X</t>
        </is>
      </c>
    </row>
    <row r="798">
      <c r="A798" t="inlineStr">
        <is>
          <t>OH0024414515</t>
        </is>
      </c>
      <c r="B798" t="n">
        <v>78</v>
      </c>
      <c r="C798" t="n">
        <v>428180</v>
      </c>
      <c r="D798" t="inlineStr">
        <is>
          <t>FIELDS</t>
        </is>
      </c>
      <c r="E798" t="inlineStr">
        <is>
          <t>JOSHUA</t>
        </is>
      </c>
      <c r="F798">
        <f>CONCATENATE(D798," ",LEFT(H798,4),"T=",AU798,"D=",AV798,"R=",AW798,"M=",AX798,"L=",AY798,"B=",AZ798)</f>
        <v/>
      </c>
      <c r="G798" t="inlineStr">
        <is>
          <t>ALLEN</t>
        </is>
      </c>
      <c r="I798" t="inlineStr">
        <is>
          <t>1982-09-01</t>
        </is>
      </c>
      <c r="J798" t="inlineStr">
        <is>
          <t>2017-10-06</t>
        </is>
      </c>
      <c r="K798" t="inlineStr">
        <is>
          <t>CONFIRMATION</t>
        </is>
      </c>
      <c r="M798" t="inlineStr">
        <is>
          <t>756 HOMEWOOD AVE SE</t>
        </is>
      </c>
      <c r="N798">
        <f>RIGHT(M798,LEN(M798)-FIND(" ",M798))</f>
        <v/>
      </c>
      <c r="P798" t="inlineStr">
        <is>
          <t>WARREN</t>
        </is>
      </c>
      <c r="Q798" t="inlineStr">
        <is>
          <t>OH</t>
        </is>
      </c>
      <c r="R798" t="n">
        <v>44484</v>
      </c>
      <c r="AD798" t="inlineStr">
        <is>
          <t>TRUMBULL CAREER &amp; TECH CENTER</t>
        </is>
      </c>
      <c r="AE798" t="inlineStr">
        <is>
          <t>WARREN CITY</t>
        </is>
      </c>
      <c r="AF798" t="inlineStr">
        <is>
          <t>WARREN CITY SD</t>
        </is>
      </c>
      <c r="AH798" t="n">
        <v>14</v>
      </c>
      <c r="AI798" t="n">
        <v>11</v>
      </c>
      <c r="AN798" t="inlineStr">
        <is>
          <t>WARREN</t>
        </is>
      </c>
      <c r="AO798" t="inlineStr">
        <is>
          <t>WARREN CITY 4A</t>
        </is>
      </c>
      <c r="AP798" t="inlineStr">
        <is>
          <t>78-P-ADI</t>
        </is>
      </c>
      <c r="AQ798" t="n">
        <v>9</v>
      </c>
      <c r="AR798" t="n">
        <v>64</v>
      </c>
      <c r="AS798" t="n">
        <v>32</v>
      </c>
      <c r="AU798">
        <f>COUNTA($BA$798:$EH$798)</f>
        <v/>
      </c>
      <c r="AV798">
        <f>COUNTIF($BA$798:$EH$798,"D")</f>
        <v/>
      </c>
      <c r="AW798">
        <f>COUNTIF($BA$798:$EH$798,"R")</f>
        <v/>
      </c>
      <c r="AX798">
        <f>IF(BN798="D",1,0)+IF(BO798="D",1,0)+IF(BT798="D",1,0)+IF(BU798="D",1,0)+IF(BW798="D",1,0)+IF(CC798="D",1,0)+IF(CD798="D",1,0)+IF(CE798="D",1,0)+IF(CF798="D",1,0)+IF(CL798="D",1,0)+IF(CM798="D",1,0)+IF(CQ798="D",1,0)+IF(CR798="D",1,0)+IF(CS798="D",1,0)+IF(CW798="D",1,0)+IF(CX798="D",1,0)+IF(DD798="D",1,0)+IF(DE798="D",1,0)+IF(DJ798="D",1,0)+IF(DK798="D",1,0)+IF(DO798="D",1,0)+IF(DP798="D",1,0)+IF(DQ798="D",1,0)+IF(DW798="D",1,0)+IF(DZ798="D",1,0)+IF(EH798="D",1,0)</f>
        <v/>
      </c>
      <c r="AY798">
        <f>IF(DJ798&lt;&gt;"",1,0)+IF(DK798&lt;&gt;"",1,0)+IF(DM798&lt;&gt;"",1,0)+IF(DO798&lt;&gt;"",1,0)+IF(DP798&lt;&gt;"",1,0)+IF(DQ798&lt;&gt;"",1,0)+IF(DS798&lt;&gt;"",1,0)+IF(DT798&lt;&gt;"",1,0)+IF(DV798&lt;&gt;"",1,0)+IF(DW798&lt;&gt;"",1,0)+IF(DX798&lt;&gt;"",1,0)+IF(DY798&lt;&gt;"",1,0)+IF(DZ798&lt;&gt;"",1,0)+IF(EB798&lt;&gt;"",1,0)+IF(EC798&lt;&gt;"",1,0)+IF(ED798&lt;&gt;"",1,0)+IF(EG798&lt;&gt;"",1,0)+IF(EH798&lt;&gt;"",1,0)</f>
        <v/>
      </c>
      <c r="AZ798">
        <f>IF(EH798&lt;&gt;"",1,0)</f>
        <v/>
      </c>
      <c r="BB798" t="inlineStr">
        <is>
          <t>WARREN-WARD 4</t>
        </is>
      </c>
    </row>
    <row r="799">
      <c r="A799" t="inlineStr">
        <is>
          <t>OH0022443023</t>
        </is>
      </c>
      <c r="B799" t="n">
        <v>78</v>
      </c>
      <c r="C799" t="n">
        <v>396797</v>
      </c>
      <c r="D799" t="inlineStr">
        <is>
          <t>MATHESON</t>
        </is>
      </c>
      <c r="E799" t="inlineStr">
        <is>
          <t>MELISSA</t>
        </is>
      </c>
      <c r="F799">
        <f>CONCATENATE(D799," ",LEFT(H799,4),"T=",AU799,"D=",AV799,"R=",AW799,"M=",AX799,"L=",AY799,"B=",AZ799)</f>
        <v/>
      </c>
      <c r="G799" t="inlineStr">
        <is>
          <t>L</t>
        </is>
      </c>
      <c r="I799" t="inlineStr">
        <is>
          <t>1974-08-20</t>
        </is>
      </c>
      <c r="J799" t="inlineStr">
        <is>
          <t>2014-03-08</t>
        </is>
      </c>
      <c r="K799" t="inlineStr">
        <is>
          <t>CONFIRMATION</t>
        </is>
      </c>
      <c r="M799" t="inlineStr">
        <is>
          <t>207 KENILWORTH AVE SE</t>
        </is>
      </c>
      <c r="N799">
        <f>RIGHT(M799,LEN(M799)-FIND(" ",M799))</f>
        <v/>
      </c>
      <c r="P799" t="inlineStr">
        <is>
          <t>WARREN</t>
        </is>
      </c>
      <c r="Q799" t="inlineStr">
        <is>
          <t>OH</t>
        </is>
      </c>
      <c r="R799" t="n">
        <v>44483</v>
      </c>
      <c r="AD799" t="inlineStr">
        <is>
          <t>TRUMBULL CAREER &amp; TECH CENTER</t>
        </is>
      </c>
      <c r="AE799" t="inlineStr">
        <is>
          <t>WARREN CITY</t>
        </is>
      </c>
      <c r="AF799" t="inlineStr">
        <is>
          <t>WARREN CITY SD</t>
        </is>
      </c>
      <c r="AH799" t="n">
        <v>14</v>
      </c>
      <c r="AI799" t="n">
        <v>11</v>
      </c>
      <c r="AN799" t="inlineStr">
        <is>
          <t>WARREN</t>
        </is>
      </c>
      <c r="AO799" t="inlineStr">
        <is>
          <t>WARREN CITY 4A</t>
        </is>
      </c>
      <c r="AP799" t="inlineStr">
        <is>
          <t>78-P-ADI</t>
        </is>
      </c>
      <c r="AQ799" t="n">
        <v>9</v>
      </c>
      <c r="AR799" t="n">
        <v>64</v>
      </c>
      <c r="AS799" t="n">
        <v>32</v>
      </c>
      <c r="AU799">
        <f>COUNTA($BA$799:$EH$799)</f>
        <v/>
      </c>
      <c r="AV799">
        <f>COUNTIF($BA$799:$EH$799,"D")</f>
        <v/>
      </c>
      <c r="AW799">
        <f>COUNTIF($BA$799:$EH$799,"R")</f>
        <v/>
      </c>
      <c r="AX799">
        <f>IF(BN799="D",1,0)+IF(BO799="D",1,0)+IF(BT799="D",1,0)+IF(BU799="D",1,0)+IF(BW799="D",1,0)+IF(CC799="D",1,0)+IF(CD799="D",1,0)+IF(CE799="D",1,0)+IF(CF799="D",1,0)+IF(CL799="D",1,0)+IF(CM799="D",1,0)+IF(CQ799="D",1,0)+IF(CR799="D",1,0)+IF(CS799="D",1,0)+IF(CW799="D",1,0)+IF(CX799="D",1,0)+IF(DD799="D",1,0)+IF(DE799="D",1,0)+IF(DJ799="D",1,0)+IF(DK799="D",1,0)+IF(DO799="D",1,0)+IF(DP799="D",1,0)+IF(DQ799="D",1,0)+IF(DW799="D",1,0)+IF(DZ799="D",1,0)+IF(EH799="D",1,0)</f>
        <v/>
      </c>
      <c r="AY799">
        <f>IF(DJ799&lt;&gt;"",1,0)+IF(DK799&lt;&gt;"",1,0)+IF(DM799&lt;&gt;"",1,0)+IF(DO799&lt;&gt;"",1,0)+IF(DP799&lt;&gt;"",1,0)+IF(DQ799&lt;&gt;"",1,0)+IF(DS799&lt;&gt;"",1,0)+IF(DT799&lt;&gt;"",1,0)+IF(DV799&lt;&gt;"",1,0)+IF(DW799&lt;&gt;"",1,0)+IF(DX799&lt;&gt;"",1,0)+IF(DY799&lt;&gt;"",1,0)+IF(DZ799&lt;&gt;"",1,0)+IF(EB799&lt;&gt;"",1,0)+IF(EC799&lt;&gt;"",1,0)+IF(ED799&lt;&gt;"",1,0)+IF(EG799&lt;&gt;"",1,0)+IF(EH799&lt;&gt;"",1,0)</f>
        <v/>
      </c>
      <c r="AZ799">
        <f>IF(EH799&lt;&gt;"",1,0)</f>
        <v/>
      </c>
      <c r="BB799" t="inlineStr">
        <is>
          <t>WARREN-WARD 4</t>
        </is>
      </c>
      <c r="CZ799" t="inlineStr">
        <is>
          <t>R</t>
        </is>
      </c>
      <c r="DI799" t="inlineStr">
        <is>
          <t>X</t>
        </is>
      </c>
      <c r="DL799" t="inlineStr">
        <is>
          <t>X</t>
        </is>
      </c>
      <c r="DM799" t="inlineStr">
        <is>
          <t>D</t>
        </is>
      </c>
      <c r="DN799" t="inlineStr">
        <is>
          <t>X</t>
        </is>
      </c>
    </row>
    <row r="800">
      <c r="A800" t="inlineStr">
        <is>
          <t>OH0023187398</t>
        </is>
      </c>
      <c r="B800" t="n">
        <v>78</v>
      </c>
      <c r="C800" t="n">
        <v>408073</v>
      </c>
      <c r="D800" t="inlineStr">
        <is>
          <t>FOSTER</t>
        </is>
      </c>
      <c r="E800" t="inlineStr">
        <is>
          <t>CAITLYN</t>
        </is>
      </c>
      <c r="F800">
        <f>CONCATENATE(D800," ",LEFT(H800,4),"T=",AU800,"D=",AV800,"R=",AW800,"M=",AX800,"L=",AY800,"B=",AZ800)</f>
        <v/>
      </c>
      <c r="G800" t="inlineStr">
        <is>
          <t>T</t>
        </is>
      </c>
      <c r="I800" t="inlineStr">
        <is>
          <t>1996-11-14</t>
        </is>
      </c>
      <c r="J800" t="inlineStr">
        <is>
          <t>2023-05-01</t>
        </is>
      </c>
      <c r="K800" t="inlineStr">
        <is>
          <t>ACTIVE</t>
        </is>
      </c>
      <c r="M800" t="inlineStr">
        <is>
          <t>701 KENILWORTH AVE SE</t>
        </is>
      </c>
      <c r="N800">
        <f>RIGHT(M800,LEN(M800)-FIND(" ",M800))</f>
        <v/>
      </c>
      <c r="P800" t="inlineStr">
        <is>
          <t>WARREN</t>
        </is>
      </c>
      <c r="Q800" t="inlineStr">
        <is>
          <t>OH</t>
        </is>
      </c>
      <c r="R800" t="n">
        <v>44484</v>
      </c>
      <c r="AD800" t="inlineStr">
        <is>
          <t>TRUMBULL CAREER &amp; TECH CENTER</t>
        </is>
      </c>
      <c r="AE800" t="inlineStr">
        <is>
          <t>WARREN CITY</t>
        </is>
      </c>
      <c r="AF800" t="inlineStr">
        <is>
          <t>WARREN CITY SD</t>
        </is>
      </c>
      <c r="AH800" t="n">
        <v>14</v>
      </c>
      <c r="AI800" t="n">
        <v>11</v>
      </c>
      <c r="AN800" t="inlineStr">
        <is>
          <t>WARREN</t>
        </is>
      </c>
      <c r="AO800" t="inlineStr">
        <is>
          <t>WARREN CITY 4A</t>
        </is>
      </c>
      <c r="AP800" t="inlineStr">
        <is>
          <t>78-P-ADI</t>
        </is>
      </c>
      <c r="AQ800" t="n">
        <v>9</v>
      </c>
      <c r="AR800" t="n">
        <v>64</v>
      </c>
      <c r="AS800" t="n">
        <v>32</v>
      </c>
      <c r="AU800">
        <f>COUNTA($BA$800:$EH$800)</f>
        <v/>
      </c>
      <c r="AV800">
        <f>COUNTIF($BA$800:$EH$800,"D")</f>
        <v/>
      </c>
      <c r="AW800">
        <f>COUNTIF($BA$800:$EH$800,"R")</f>
        <v/>
      </c>
      <c r="AX800">
        <f>IF(BN800="D",1,0)+IF(BO800="D",1,0)+IF(BT800="D",1,0)+IF(BU800="D",1,0)+IF(BW800="D",1,0)+IF(CC800="D",1,0)+IF(CD800="D",1,0)+IF(CE800="D",1,0)+IF(CF800="D",1,0)+IF(CL800="D",1,0)+IF(CM800="D",1,0)+IF(CQ800="D",1,0)+IF(CR800="D",1,0)+IF(CS800="D",1,0)+IF(CW800="D",1,0)+IF(CX800="D",1,0)+IF(DD800="D",1,0)+IF(DE800="D",1,0)+IF(DJ800="D",1,0)+IF(DK800="D",1,0)+IF(DO800="D",1,0)+IF(DP800="D",1,0)+IF(DQ800="D",1,0)+IF(DW800="D",1,0)+IF(DZ800="D",1,0)+IF(EH800="D",1,0)</f>
        <v/>
      </c>
      <c r="AY800">
        <f>IF(DJ800&lt;&gt;"",1,0)+IF(DK800&lt;&gt;"",1,0)+IF(DM800&lt;&gt;"",1,0)+IF(DO800&lt;&gt;"",1,0)+IF(DP800&lt;&gt;"",1,0)+IF(DQ800&lt;&gt;"",1,0)+IF(DS800&lt;&gt;"",1,0)+IF(DT800&lt;&gt;"",1,0)+IF(DV800&lt;&gt;"",1,0)+IF(DW800&lt;&gt;"",1,0)+IF(DX800&lt;&gt;"",1,0)+IF(DY800&lt;&gt;"",1,0)+IF(DZ800&lt;&gt;"",1,0)+IF(EB800&lt;&gt;"",1,0)+IF(EC800&lt;&gt;"",1,0)+IF(ED800&lt;&gt;"",1,0)+IF(EG800&lt;&gt;"",1,0)+IF(EH800&lt;&gt;"",1,0)</f>
        <v/>
      </c>
      <c r="AZ800">
        <f>IF(EH800&lt;&gt;"",1,0)</f>
        <v/>
      </c>
      <c r="BB800" t="inlineStr">
        <is>
          <t>WARREN-WARD 4</t>
        </is>
      </c>
      <c r="DC800" t="inlineStr">
        <is>
          <t>X</t>
        </is>
      </c>
      <c r="DN800" t="inlineStr">
        <is>
          <t>X</t>
        </is>
      </c>
    </row>
    <row r="801">
      <c r="A801" t="inlineStr">
        <is>
          <t>OH0015744536</t>
        </is>
      </c>
      <c r="B801" t="n">
        <v>78</v>
      </c>
      <c r="C801" t="n">
        <v>318607</v>
      </c>
      <c r="D801" t="inlineStr">
        <is>
          <t>NELSON</t>
        </is>
      </c>
      <c r="E801" t="inlineStr">
        <is>
          <t>RANDALL</t>
        </is>
      </c>
      <c r="F801">
        <f>CONCATENATE(D801," ",LEFT(H801,4),"T=",AU801,"D=",AV801,"R=",AW801,"M=",AX801,"L=",AY801,"B=",AZ801)</f>
        <v/>
      </c>
      <c r="G801" t="inlineStr">
        <is>
          <t>JOSEPH</t>
        </is>
      </c>
      <c r="I801" t="inlineStr">
        <is>
          <t>1986-05-21</t>
        </is>
      </c>
      <c r="J801" t="inlineStr">
        <is>
          <t>2022-05-16</t>
        </is>
      </c>
      <c r="K801" t="inlineStr">
        <is>
          <t>ACTIVE</t>
        </is>
      </c>
      <c r="M801" t="inlineStr">
        <is>
          <t>174 IDDINGS AVE SE</t>
        </is>
      </c>
      <c r="N801">
        <f>RIGHT(M801,LEN(M801)-FIND(" ",M801))</f>
        <v/>
      </c>
      <c r="P801" t="inlineStr">
        <is>
          <t>WARREN</t>
        </is>
      </c>
      <c r="Q801" t="inlineStr">
        <is>
          <t>OH</t>
        </is>
      </c>
      <c r="R801" t="n">
        <v>44483</v>
      </c>
      <c r="AD801" t="inlineStr">
        <is>
          <t>TRUMBULL CAREER &amp; TECH CENTER</t>
        </is>
      </c>
      <c r="AE801" t="inlineStr">
        <is>
          <t>WARREN CITY</t>
        </is>
      </c>
      <c r="AF801" t="inlineStr">
        <is>
          <t>WARREN CITY SD</t>
        </is>
      </c>
      <c r="AH801" t="n">
        <v>14</v>
      </c>
      <c r="AI801" t="n">
        <v>11</v>
      </c>
      <c r="AN801" t="inlineStr">
        <is>
          <t>WARREN</t>
        </is>
      </c>
      <c r="AO801" t="inlineStr">
        <is>
          <t>WARREN CITY 4A</t>
        </is>
      </c>
      <c r="AP801" t="inlineStr">
        <is>
          <t>78-P-ADI</t>
        </is>
      </c>
      <c r="AQ801" t="n">
        <v>9</v>
      </c>
      <c r="AR801" t="n">
        <v>64</v>
      </c>
      <c r="AS801" t="n">
        <v>32</v>
      </c>
      <c r="AU801">
        <f>COUNTA($BA$801:$EH$801)</f>
        <v/>
      </c>
      <c r="AV801">
        <f>COUNTIF($BA$801:$EH$801,"D")</f>
        <v/>
      </c>
      <c r="AW801">
        <f>COUNTIF($BA$801:$EH$801,"R")</f>
        <v/>
      </c>
      <c r="AX801">
        <f>IF(BN801="D",1,0)+IF(BO801="D",1,0)+IF(BT801="D",1,0)+IF(BU801="D",1,0)+IF(BW801="D",1,0)+IF(CC801="D",1,0)+IF(CD801="D",1,0)+IF(CE801="D",1,0)+IF(CF801="D",1,0)+IF(CL801="D",1,0)+IF(CM801="D",1,0)+IF(CQ801="D",1,0)+IF(CR801="D",1,0)+IF(CS801="D",1,0)+IF(CW801="D",1,0)+IF(CX801="D",1,0)+IF(DD801="D",1,0)+IF(DE801="D",1,0)+IF(DJ801="D",1,0)+IF(DK801="D",1,0)+IF(DO801="D",1,0)+IF(DP801="D",1,0)+IF(DQ801="D",1,0)+IF(DW801="D",1,0)+IF(DZ801="D",1,0)+IF(EH801="D",1,0)</f>
        <v/>
      </c>
      <c r="AY801">
        <f>IF(DJ801&lt;&gt;"",1,0)+IF(DK801&lt;&gt;"",1,0)+IF(DM801&lt;&gt;"",1,0)+IF(DO801&lt;&gt;"",1,0)+IF(DP801&lt;&gt;"",1,0)+IF(DQ801&lt;&gt;"",1,0)+IF(DS801&lt;&gt;"",1,0)+IF(DT801&lt;&gt;"",1,0)+IF(DV801&lt;&gt;"",1,0)+IF(DW801&lt;&gt;"",1,0)+IF(DX801&lt;&gt;"",1,0)+IF(DY801&lt;&gt;"",1,0)+IF(DZ801&lt;&gt;"",1,0)+IF(EB801&lt;&gt;"",1,0)+IF(EC801&lt;&gt;"",1,0)+IF(ED801&lt;&gt;"",1,0)+IF(EG801&lt;&gt;"",1,0)+IF(EH801&lt;&gt;"",1,0)</f>
        <v/>
      </c>
      <c r="AZ801">
        <f>IF(EH801&lt;&gt;"",1,0)</f>
        <v/>
      </c>
      <c r="BB801" t="inlineStr">
        <is>
          <t>WARREN-WARD 4</t>
        </is>
      </c>
      <c r="CA801" t="inlineStr">
        <is>
          <t>X</t>
        </is>
      </c>
      <c r="CY801" t="inlineStr">
        <is>
          <t>X</t>
        </is>
      </c>
      <c r="DC801" t="inlineStr">
        <is>
          <t>X</t>
        </is>
      </c>
    </row>
    <row r="802">
      <c r="A802" t="inlineStr">
        <is>
          <t>OH0026142700</t>
        </is>
      </c>
      <c r="B802" t="n">
        <v>78</v>
      </c>
      <c r="C802" t="n">
        <v>457016</v>
      </c>
      <c r="D802" t="inlineStr">
        <is>
          <t>SZYKULSKI</t>
        </is>
      </c>
      <c r="E802" t="inlineStr">
        <is>
          <t>TYLOR</t>
        </is>
      </c>
      <c r="F802">
        <f>CONCATENATE(D802," ",LEFT(H802,4),"T=",AU802,"D=",AV802,"R=",AW802,"M=",AX802,"L=",AY802,"B=",AZ802)</f>
        <v/>
      </c>
      <c r="G802" t="inlineStr">
        <is>
          <t>GLEN</t>
        </is>
      </c>
      <c r="I802" t="inlineStr">
        <is>
          <t>1979-12-10</t>
        </is>
      </c>
      <c r="J802" t="inlineStr">
        <is>
          <t>2024-11-07</t>
        </is>
      </c>
      <c r="K802" t="inlineStr">
        <is>
          <t>ACTIVE</t>
        </is>
      </c>
      <c r="M802" t="inlineStr">
        <is>
          <t>345 OAK KNOLL AVE SE</t>
        </is>
      </c>
      <c r="N802">
        <f>RIGHT(M802,LEN(M802)-FIND(" ",M802))</f>
        <v/>
      </c>
      <c r="P802" t="inlineStr">
        <is>
          <t>WARREN</t>
        </is>
      </c>
      <c r="Q802" t="inlineStr">
        <is>
          <t>OH</t>
        </is>
      </c>
      <c r="R802" t="n">
        <v>44483</v>
      </c>
      <c r="AD802" t="inlineStr">
        <is>
          <t>TRUMBULL CAREER &amp; TECH CENTER</t>
        </is>
      </c>
      <c r="AE802" t="inlineStr">
        <is>
          <t>WARREN CITY</t>
        </is>
      </c>
      <c r="AF802" t="inlineStr">
        <is>
          <t>WARREN CITY SD</t>
        </is>
      </c>
      <c r="AH802" t="n">
        <v>14</v>
      </c>
      <c r="AI802" t="n">
        <v>11</v>
      </c>
      <c r="AN802" t="inlineStr">
        <is>
          <t>WARREN</t>
        </is>
      </c>
      <c r="AO802" t="inlineStr">
        <is>
          <t>WARREN CITY 4A</t>
        </is>
      </c>
      <c r="AP802" t="inlineStr">
        <is>
          <t>78-P-ADI</t>
        </is>
      </c>
      <c r="AQ802" t="n">
        <v>9</v>
      </c>
      <c r="AR802" t="n">
        <v>64</v>
      </c>
      <c r="AS802" t="n">
        <v>32</v>
      </c>
      <c r="AU802">
        <f>COUNTA($BA$802:$EH$802)</f>
        <v/>
      </c>
      <c r="AV802">
        <f>COUNTIF($BA$802:$EH$802,"D")</f>
        <v/>
      </c>
      <c r="AW802">
        <f>COUNTIF($BA$802:$EH$802,"R")</f>
        <v/>
      </c>
      <c r="AX802">
        <f>IF(BN802="D",1,0)+IF(BO802="D",1,0)+IF(BT802="D",1,0)+IF(BU802="D",1,0)+IF(BW802="D",1,0)+IF(CC802="D",1,0)+IF(CD802="D",1,0)+IF(CE802="D",1,0)+IF(CF802="D",1,0)+IF(CL802="D",1,0)+IF(CM802="D",1,0)+IF(CQ802="D",1,0)+IF(CR802="D",1,0)+IF(CS802="D",1,0)+IF(CW802="D",1,0)+IF(CX802="D",1,0)+IF(DD802="D",1,0)+IF(DE802="D",1,0)+IF(DJ802="D",1,0)+IF(DK802="D",1,0)+IF(DO802="D",1,0)+IF(DP802="D",1,0)+IF(DQ802="D",1,0)+IF(DW802="D",1,0)+IF(DZ802="D",1,0)+IF(EH802="D",1,0)</f>
        <v/>
      </c>
      <c r="AY802">
        <f>IF(DJ802&lt;&gt;"",1,0)+IF(DK802&lt;&gt;"",1,0)+IF(DM802&lt;&gt;"",1,0)+IF(DO802&lt;&gt;"",1,0)+IF(DP802&lt;&gt;"",1,0)+IF(DQ802&lt;&gt;"",1,0)+IF(DS802&lt;&gt;"",1,0)+IF(DT802&lt;&gt;"",1,0)+IF(DV802&lt;&gt;"",1,0)+IF(DW802&lt;&gt;"",1,0)+IF(DX802&lt;&gt;"",1,0)+IF(DY802&lt;&gt;"",1,0)+IF(DZ802&lt;&gt;"",1,0)+IF(EB802&lt;&gt;"",1,0)+IF(EC802&lt;&gt;"",1,0)+IF(ED802&lt;&gt;"",1,0)+IF(EG802&lt;&gt;"",1,0)+IF(EH802&lt;&gt;"",1,0)</f>
        <v/>
      </c>
      <c r="AZ802">
        <f>IF(EH802&lt;&gt;"",1,0)</f>
        <v/>
      </c>
      <c r="BB802" t="inlineStr">
        <is>
          <t>WARREN-WARD 4</t>
        </is>
      </c>
    </row>
    <row r="803">
      <c r="A803" t="inlineStr">
        <is>
          <t>OH0019137865</t>
        </is>
      </c>
      <c r="B803" t="n">
        <v>78</v>
      </c>
      <c r="C803" t="n">
        <v>350266</v>
      </c>
      <c r="D803" t="inlineStr">
        <is>
          <t>HILTY</t>
        </is>
      </c>
      <c r="E803" t="inlineStr">
        <is>
          <t>ERIC</t>
        </is>
      </c>
      <c r="F803">
        <f>CONCATENATE(D803," ",LEFT(H803,4),"T=",AU803,"D=",AV803,"R=",AW803,"M=",AX803,"L=",AY803,"B=",AZ803)</f>
        <v/>
      </c>
      <c r="G803" t="inlineStr">
        <is>
          <t>J</t>
        </is>
      </c>
      <c r="I803" t="inlineStr">
        <is>
          <t>1969-04-10</t>
        </is>
      </c>
      <c r="J803" t="inlineStr">
        <is>
          <t>2018-02-09</t>
        </is>
      </c>
      <c r="K803" t="inlineStr">
        <is>
          <t>ACTIVE</t>
        </is>
      </c>
      <c r="M803" t="inlineStr">
        <is>
          <t>443 HOMEWOOD AVE SE</t>
        </is>
      </c>
      <c r="N803">
        <f>RIGHT(M803,LEN(M803)-FIND(" ",M803))</f>
        <v/>
      </c>
      <c r="P803" t="inlineStr">
        <is>
          <t>WARREN</t>
        </is>
      </c>
      <c r="Q803" t="inlineStr">
        <is>
          <t>OH</t>
        </is>
      </c>
      <c r="R803" t="n">
        <v>44483</v>
      </c>
      <c r="AD803" t="inlineStr">
        <is>
          <t>TRUMBULL CAREER &amp; TECH CENTER</t>
        </is>
      </c>
      <c r="AE803" t="inlineStr">
        <is>
          <t>WARREN CITY</t>
        </is>
      </c>
      <c r="AF803" t="inlineStr">
        <is>
          <t>WARREN CITY SD</t>
        </is>
      </c>
      <c r="AH803" t="n">
        <v>14</v>
      </c>
      <c r="AI803" t="n">
        <v>11</v>
      </c>
      <c r="AN803" t="inlineStr">
        <is>
          <t>WARREN</t>
        </is>
      </c>
      <c r="AO803" t="inlineStr">
        <is>
          <t>WARREN CITY 4A</t>
        </is>
      </c>
      <c r="AP803" t="inlineStr">
        <is>
          <t>78-P-ADI</t>
        </is>
      </c>
      <c r="AQ803" t="n">
        <v>9</v>
      </c>
      <c r="AR803" t="n">
        <v>64</v>
      </c>
      <c r="AS803" t="n">
        <v>32</v>
      </c>
      <c r="AU803">
        <f>COUNTA($BA$803:$EH$803)</f>
        <v/>
      </c>
      <c r="AV803">
        <f>COUNTIF($BA$803:$EH$803,"D")</f>
        <v/>
      </c>
      <c r="AW803">
        <f>COUNTIF($BA$803:$EH$803,"R")</f>
        <v/>
      </c>
      <c r="AX803">
        <f>IF(BN803="D",1,0)+IF(BO803="D",1,0)+IF(BT803="D",1,0)+IF(BU803="D",1,0)+IF(BW803="D",1,0)+IF(CC803="D",1,0)+IF(CD803="D",1,0)+IF(CE803="D",1,0)+IF(CF803="D",1,0)+IF(CL803="D",1,0)+IF(CM803="D",1,0)+IF(CQ803="D",1,0)+IF(CR803="D",1,0)+IF(CS803="D",1,0)+IF(CW803="D",1,0)+IF(CX803="D",1,0)+IF(DD803="D",1,0)+IF(DE803="D",1,0)+IF(DJ803="D",1,0)+IF(DK803="D",1,0)+IF(DO803="D",1,0)+IF(DP803="D",1,0)+IF(DQ803="D",1,0)+IF(DW803="D",1,0)+IF(DZ803="D",1,0)+IF(EH803="D",1,0)</f>
        <v/>
      </c>
      <c r="AY803">
        <f>IF(DJ803&lt;&gt;"",1,0)+IF(DK803&lt;&gt;"",1,0)+IF(DM803&lt;&gt;"",1,0)+IF(DO803&lt;&gt;"",1,0)+IF(DP803&lt;&gt;"",1,0)+IF(DQ803&lt;&gt;"",1,0)+IF(DS803&lt;&gt;"",1,0)+IF(DT803&lt;&gt;"",1,0)+IF(DV803&lt;&gt;"",1,0)+IF(DW803&lt;&gt;"",1,0)+IF(DX803&lt;&gt;"",1,0)+IF(DY803&lt;&gt;"",1,0)+IF(DZ803&lt;&gt;"",1,0)+IF(EB803&lt;&gt;"",1,0)+IF(EC803&lt;&gt;"",1,0)+IF(ED803&lt;&gt;"",1,0)+IF(EG803&lt;&gt;"",1,0)+IF(EH803&lt;&gt;"",1,0)</f>
        <v/>
      </c>
      <c r="AZ803">
        <f>IF(EH803&lt;&gt;"",1,0)</f>
        <v/>
      </c>
      <c r="BB803" t="inlineStr">
        <is>
          <t>WARREN-WARD 4</t>
        </is>
      </c>
      <c r="CA803" t="inlineStr">
        <is>
          <t>X</t>
        </is>
      </c>
      <c r="CG803" t="inlineStr">
        <is>
          <t>X</t>
        </is>
      </c>
      <c r="CK803" t="inlineStr">
        <is>
          <t>X</t>
        </is>
      </c>
      <c r="CN803" t="inlineStr">
        <is>
          <t>X</t>
        </is>
      </c>
      <c r="CP803" t="inlineStr">
        <is>
          <t>X</t>
        </is>
      </c>
      <c r="CV803" t="inlineStr">
        <is>
          <t>X</t>
        </is>
      </c>
      <c r="CY803" t="inlineStr">
        <is>
          <t>X</t>
        </is>
      </c>
      <c r="DC803" t="inlineStr">
        <is>
          <t>X</t>
        </is>
      </c>
      <c r="DI803" t="inlineStr">
        <is>
          <t>X</t>
        </is>
      </c>
      <c r="DN803" t="inlineStr">
        <is>
          <t>X</t>
        </is>
      </c>
      <c r="DU803" t="inlineStr">
        <is>
          <t>X</t>
        </is>
      </c>
      <c r="EA803" t="inlineStr">
        <is>
          <t>X</t>
        </is>
      </c>
      <c r="EF803" t="inlineStr">
        <is>
          <t>X</t>
        </is>
      </c>
    </row>
    <row r="804">
      <c r="A804" t="inlineStr">
        <is>
          <t>OH0015692397</t>
        </is>
      </c>
      <c r="B804" t="n">
        <v>78</v>
      </c>
      <c r="C804" t="n">
        <v>14077</v>
      </c>
      <c r="D804" t="inlineStr">
        <is>
          <t>GILL</t>
        </is>
      </c>
      <c r="E804" t="inlineStr">
        <is>
          <t>ROBERT</t>
        </is>
      </c>
      <c r="F804">
        <f>CONCATENATE(D804," ",LEFT(H804,4),"T=",AU804,"D=",AV804,"R=",AW804,"M=",AX804,"L=",AY804,"B=",AZ804)</f>
        <v/>
      </c>
      <c r="G804" t="inlineStr">
        <is>
          <t>C</t>
        </is>
      </c>
      <c r="I804" t="inlineStr">
        <is>
          <t>1942-10-03</t>
        </is>
      </c>
      <c r="J804" t="inlineStr">
        <is>
          <t>1976-05-10</t>
        </is>
      </c>
      <c r="K804" t="inlineStr">
        <is>
          <t>ACTIVE</t>
        </is>
      </c>
      <c r="L804" t="inlineStr">
        <is>
          <t>D</t>
        </is>
      </c>
      <c r="M804" t="inlineStr">
        <is>
          <t>225 LOGAN AVE SE</t>
        </is>
      </c>
      <c r="N804">
        <f>RIGHT(M804,LEN(M804)-FIND(" ",M804))</f>
        <v/>
      </c>
      <c r="P804" t="inlineStr">
        <is>
          <t>WARREN</t>
        </is>
      </c>
      <c r="Q804" t="inlineStr">
        <is>
          <t>OH</t>
        </is>
      </c>
      <c r="R804" t="n">
        <v>44483</v>
      </c>
      <c r="AD804" t="inlineStr">
        <is>
          <t>TRUMBULL CAREER &amp; TECH CENTER</t>
        </is>
      </c>
      <c r="AE804" t="inlineStr">
        <is>
          <t>WARREN CITY</t>
        </is>
      </c>
      <c r="AF804" t="inlineStr">
        <is>
          <t>WARREN CITY SD</t>
        </is>
      </c>
      <c r="AH804" t="n">
        <v>14</v>
      </c>
      <c r="AI804" t="n">
        <v>11</v>
      </c>
      <c r="AN804" t="inlineStr">
        <is>
          <t>WARREN</t>
        </is>
      </c>
      <c r="AO804" t="inlineStr">
        <is>
          <t>WARREN CITY 4A</t>
        </is>
      </c>
      <c r="AP804" t="inlineStr">
        <is>
          <t>78-P-ADI</t>
        </is>
      </c>
      <c r="AQ804" t="n">
        <v>9</v>
      </c>
      <c r="AR804" t="n">
        <v>64</v>
      </c>
      <c r="AS804" t="n">
        <v>32</v>
      </c>
      <c r="AU804">
        <f>COUNTA($BA$804:$EH$804)</f>
        <v/>
      </c>
      <c r="AV804">
        <f>COUNTIF($BA$804:$EH$804,"D")</f>
        <v/>
      </c>
      <c r="AW804">
        <f>COUNTIF($BA$804:$EH$804,"R")</f>
        <v/>
      </c>
      <c r="AX804">
        <f>IF(BN804="D",1,0)+IF(BO804="D",1,0)+IF(BT804="D",1,0)+IF(BU804="D",1,0)+IF(BW804="D",1,0)+IF(CC804="D",1,0)+IF(CD804="D",1,0)+IF(CE804="D",1,0)+IF(CF804="D",1,0)+IF(CL804="D",1,0)+IF(CM804="D",1,0)+IF(CQ804="D",1,0)+IF(CR804="D",1,0)+IF(CS804="D",1,0)+IF(CW804="D",1,0)+IF(CX804="D",1,0)+IF(DD804="D",1,0)+IF(DE804="D",1,0)+IF(DJ804="D",1,0)+IF(DK804="D",1,0)+IF(DO804="D",1,0)+IF(DP804="D",1,0)+IF(DQ804="D",1,0)+IF(DW804="D",1,0)+IF(DZ804="D",1,0)+IF(EH804="D",1,0)</f>
        <v/>
      </c>
      <c r="AY804">
        <f>IF(DJ804&lt;&gt;"",1,0)+IF(DK804&lt;&gt;"",1,0)+IF(DM804&lt;&gt;"",1,0)+IF(DO804&lt;&gt;"",1,0)+IF(DP804&lt;&gt;"",1,0)+IF(DQ804&lt;&gt;"",1,0)+IF(DS804&lt;&gt;"",1,0)+IF(DT804&lt;&gt;"",1,0)+IF(DV804&lt;&gt;"",1,0)+IF(DW804&lt;&gt;"",1,0)+IF(DX804&lt;&gt;"",1,0)+IF(DY804&lt;&gt;"",1,0)+IF(DZ804&lt;&gt;"",1,0)+IF(EB804&lt;&gt;"",1,0)+IF(EC804&lt;&gt;"",1,0)+IF(ED804&lt;&gt;"",1,0)+IF(EG804&lt;&gt;"",1,0)+IF(EH804&lt;&gt;"",1,0)</f>
        <v/>
      </c>
      <c r="AZ804">
        <f>IF(EH804&lt;&gt;"",1,0)</f>
        <v/>
      </c>
      <c r="BB804" t="inlineStr">
        <is>
          <t>WARREN-WARD 4</t>
        </is>
      </c>
      <c r="BC804" t="inlineStr">
        <is>
          <t>X</t>
        </is>
      </c>
      <c r="BD804" t="inlineStr">
        <is>
          <t>X</t>
        </is>
      </c>
      <c r="BE804" t="inlineStr">
        <is>
          <t>X</t>
        </is>
      </c>
      <c r="BF804" t="inlineStr">
        <is>
          <t>X</t>
        </is>
      </c>
      <c r="BG804" t="inlineStr">
        <is>
          <t>X</t>
        </is>
      </c>
      <c r="BH804" t="inlineStr">
        <is>
          <t>X</t>
        </is>
      </c>
      <c r="BI804" t="inlineStr">
        <is>
          <t>X</t>
        </is>
      </c>
      <c r="BJ804" t="inlineStr">
        <is>
          <t>X</t>
        </is>
      </c>
      <c r="BK804" t="inlineStr">
        <is>
          <t>X</t>
        </is>
      </c>
      <c r="BL804" t="inlineStr">
        <is>
          <t>X</t>
        </is>
      </c>
      <c r="BR804" t="inlineStr">
        <is>
          <t>X</t>
        </is>
      </c>
      <c r="BS804" t="inlineStr">
        <is>
          <t>X</t>
        </is>
      </c>
      <c r="BT804" t="inlineStr">
        <is>
          <t>X</t>
        </is>
      </c>
      <c r="BV804" t="inlineStr">
        <is>
          <t>X</t>
        </is>
      </c>
      <c r="BY804" t="inlineStr">
        <is>
          <t>D</t>
        </is>
      </c>
      <c r="CA804" t="inlineStr">
        <is>
          <t>X</t>
        </is>
      </c>
      <c r="CC804" t="inlineStr">
        <is>
          <t>D</t>
        </is>
      </c>
      <c r="CG804" t="inlineStr">
        <is>
          <t>X</t>
        </is>
      </c>
      <c r="CH804" t="inlineStr">
        <is>
          <t>D</t>
        </is>
      </c>
      <c r="CK804" t="inlineStr">
        <is>
          <t>X</t>
        </is>
      </c>
      <c r="CL804" t="inlineStr">
        <is>
          <t>D</t>
        </is>
      </c>
      <c r="CN804" t="inlineStr">
        <is>
          <t>X</t>
        </is>
      </c>
      <c r="CO804" t="inlineStr">
        <is>
          <t>D</t>
        </is>
      </c>
      <c r="CP804" t="inlineStr">
        <is>
          <t>X</t>
        </is>
      </c>
      <c r="CQ804" t="inlineStr">
        <is>
          <t>D</t>
        </is>
      </c>
      <c r="CT804" t="inlineStr">
        <is>
          <t>X</t>
        </is>
      </c>
      <c r="CU804" t="inlineStr">
        <is>
          <t>D</t>
        </is>
      </c>
      <c r="CV804" t="inlineStr">
        <is>
          <t>X</t>
        </is>
      </c>
      <c r="CW804" t="inlineStr">
        <is>
          <t>D</t>
        </is>
      </c>
      <c r="CY804" t="inlineStr">
        <is>
          <t>X</t>
        </is>
      </c>
      <c r="CZ804" t="inlineStr">
        <is>
          <t>D</t>
        </is>
      </c>
      <c r="DC804" t="inlineStr">
        <is>
          <t>X</t>
        </is>
      </c>
      <c r="DD804" t="inlineStr">
        <is>
          <t>D</t>
        </is>
      </c>
      <c r="DF804" t="inlineStr">
        <is>
          <t>X</t>
        </is>
      </c>
      <c r="DG804" t="inlineStr">
        <is>
          <t>D</t>
        </is>
      </c>
      <c r="DI804" t="inlineStr">
        <is>
          <t>X</t>
        </is>
      </c>
      <c r="DJ804" t="inlineStr">
        <is>
          <t>D</t>
        </is>
      </c>
      <c r="DL804" t="inlineStr">
        <is>
          <t>X</t>
        </is>
      </c>
      <c r="DM804" t="inlineStr">
        <is>
          <t>D</t>
        </is>
      </c>
      <c r="DN804" t="inlineStr">
        <is>
          <t>X</t>
        </is>
      </c>
      <c r="DR804" t="inlineStr">
        <is>
          <t>X</t>
        </is>
      </c>
      <c r="DS804" t="inlineStr">
        <is>
          <t>D</t>
        </is>
      </c>
      <c r="DT804" t="inlineStr">
        <is>
          <t>D</t>
        </is>
      </c>
      <c r="DU804" t="inlineStr">
        <is>
          <t>X</t>
        </is>
      </c>
      <c r="DW804" t="inlineStr">
        <is>
          <t>D</t>
        </is>
      </c>
      <c r="DX804" t="inlineStr">
        <is>
          <t>X</t>
        </is>
      </c>
      <c r="EA804" t="inlineStr">
        <is>
          <t>X</t>
        </is>
      </c>
      <c r="ED804" t="inlineStr">
        <is>
          <t>D</t>
        </is>
      </c>
      <c r="EF804" t="inlineStr">
        <is>
          <t>X</t>
        </is>
      </c>
    </row>
    <row r="805">
      <c r="A805" t="inlineStr">
        <is>
          <t>OH0024166196</t>
        </is>
      </c>
      <c r="B805" t="n">
        <v>78</v>
      </c>
      <c r="C805" t="n">
        <v>422661</v>
      </c>
      <c r="D805" t="inlineStr">
        <is>
          <t>THOMPSON</t>
        </is>
      </c>
      <c r="E805" t="inlineStr">
        <is>
          <t>TIMOTHY</t>
        </is>
      </c>
      <c r="F805">
        <f>CONCATENATE(D805," ",LEFT(H805,4),"T=",AU805,"D=",AV805,"R=",AW805,"M=",AX805,"L=",AY805,"B=",AZ805)</f>
        <v/>
      </c>
      <c r="G805" t="inlineStr">
        <is>
          <t>CORTEZZ</t>
        </is>
      </c>
      <c r="I805" t="inlineStr">
        <is>
          <t>1976-04-27</t>
        </is>
      </c>
      <c r="J805" t="inlineStr">
        <is>
          <t>2016-11-08</t>
        </is>
      </c>
      <c r="K805" t="inlineStr">
        <is>
          <t>CONFIRMATION</t>
        </is>
      </c>
      <c r="M805" t="inlineStr">
        <is>
          <t>820 WOODBINE AVE SE</t>
        </is>
      </c>
      <c r="N805">
        <f>RIGHT(M805,LEN(M805)-FIND(" ",M805))</f>
        <v/>
      </c>
      <c r="P805" t="inlineStr">
        <is>
          <t>WARREN</t>
        </is>
      </c>
      <c r="Q805" t="inlineStr">
        <is>
          <t>OH</t>
        </is>
      </c>
      <c r="R805" t="n">
        <v>44484</v>
      </c>
      <c r="AD805" t="inlineStr">
        <is>
          <t>TRUMBULL CAREER &amp; TECH CENTER</t>
        </is>
      </c>
      <c r="AE805" t="inlineStr">
        <is>
          <t>WARREN CITY</t>
        </is>
      </c>
      <c r="AF805" t="inlineStr">
        <is>
          <t>WARREN CITY SD</t>
        </is>
      </c>
      <c r="AH805" t="n">
        <v>14</v>
      </c>
      <c r="AI805" t="n">
        <v>11</v>
      </c>
      <c r="AN805" t="inlineStr">
        <is>
          <t>WARREN</t>
        </is>
      </c>
      <c r="AO805" t="inlineStr">
        <is>
          <t>WARREN CITY 4A</t>
        </is>
      </c>
      <c r="AP805" t="inlineStr">
        <is>
          <t>78-P-ADI</t>
        </is>
      </c>
      <c r="AQ805" t="n">
        <v>9</v>
      </c>
      <c r="AR805" t="n">
        <v>64</v>
      </c>
      <c r="AS805" t="n">
        <v>32</v>
      </c>
      <c r="AU805">
        <f>COUNTA($BA$805:$EH$805)</f>
        <v/>
      </c>
      <c r="AV805">
        <f>COUNTIF($BA$805:$EH$805,"D")</f>
        <v/>
      </c>
      <c r="AW805">
        <f>COUNTIF($BA$805:$EH$805,"R")</f>
        <v/>
      </c>
      <c r="AX805">
        <f>IF(BN805="D",1,0)+IF(BO805="D",1,0)+IF(BT805="D",1,0)+IF(BU805="D",1,0)+IF(BW805="D",1,0)+IF(CC805="D",1,0)+IF(CD805="D",1,0)+IF(CE805="D",1,0)+IF(CF805="D",1,0)+IF(CL805="D",1,0)+IF(CM805="D",1,0)+IF(CQ805="D",1,0)+IF(CR805="D",1,0)+IF(CS805="D",1,0)+IF(CW805="D",1,0)+IF(CX805="D",1,0)+IF(DD805="D",1,0)+IF(DE805="D",1,0)+IF(DJ805="D",1,0)+IF(DK805="D",1,0)+IF(DO805="D",1,0)+IF(DP805="D",1,0)+IF(DQ805="D",1,0)+IF(DW805="D",1,0)+IF(DZ805="D",1,0)+IF(EH805="D",1,0)</f>
        <v/>
      </c>
      <c r="AY805">
        <f>IF(DJ805&lt;&gt;"",1,0)+IF(DK805&lt;&gt;"",1,0)+IF(DM805&lt;&gt;"",1,0)+IF(DO805&lt;&gt;"",1,0)+IF(DP805&lt;&gt;"",1,0)+IF(DQ805&lt;&gt;"",1,0)+IF(DS805&lt;&gt;"",1,0)+IF(DT805&lt;&gt;"",1,0)+IF(DV805&lt;&gt;"",1,0)+IF(DW805&lt;&gt;"",1,0)+IF(DX805&lt;&gt;"",1,0)+IF(DY805&lt;&gt;"",1,0)+IF(DZ805&lt;&gt;"",1,0)+IF(EB805&lt;&gt;"",1,0)+IF(EC805&lt;&gt;"",1,0)+IF(ED805&lt;&gt;"",1,0)+IF(EG805&lt;&gt;"",1,0)+IF(EH805&lt;&gt;"",1,0)</f>
        <v/>
      </c>
      <c r="AZ805">
        <f>IF(EH805&lt;&gt;"",1,0)</f>
        <v/>
      </c>
      <c r="BB805" t="inlineStr">
        <is>
          <t>WARREN-WARD 4</t>
        </is>
      </c>
      <c r="DC805" t="inlineStr">
        <is>
          <t>X</t>
        </is>
      </c>
    </row>
    <row r="806">
      <c r="A806" t="inlineStr">
        <is>
          <t>OH0015719597</t>
        </is>
      </c>
      <c r="B806" t="n">
        <v>78</v>
      </c>
      <c r="C806" t="n">
        <v>199050</v>
      </c>
      <c r="D806" t="inlineStr">
        <is>
          <t>COLLIER</t>
        </is>
      </c>
      <c r="E806" t="inlineStr">
        <is>
          <t>BARBRA</t>
        </is>
      </c>
      <c r="F806">
        <f>CONCATENATE(D806," ",LEFT(H806,4),"T=",AU806,"D=",AV806,"R=",AW806,"M=",AX806,"L=",AY806,"B=",AZ806)</f>
        <v/>
      </c>
      <c r="G806" t="inlineStr">
        <is>
          <t>A</t>
        </is>
      </c>
      <c r="I806" t="inlineStr">
        <is>
          <t>1969-08-07</t>
        </is>
      </c>
      <c r="J806" t="inlineStr">
        <is>
          <t>1987-09-11</t>
        </is>
      </c>
      <c r="K806" t="inlineStr">
        <is>
          <t>ACTIVE</t>
        </is>
      </c>
      <c r="L806" t="inlineStr">
        <is>
          <t>R</t>
        </is>
      </c>
      <c r="M806" t="inlineStr">
        <is>
          <t>484 HOMEWOOD AVE SE</t>
        </is>
      </c>
      <c r="N806">
        <f>RIGHT(M806,LEN(M806)-FIND(" ",M806))</f>
        <v/>
      </c>
      <c r="P806" t="inlineStr">
        <is>
          <t>WARREN</t>
        </is>
      </c>
      <c r="Q806" t="inlineStr">
        <is>
          <t>OH</t>
        </is>
      </c>
      <c r="R806" t="n">
        <v>44483</v>
      </c>
      <c r="AD806" t="inlineStr">
        <is>
          <t>TRUMBULL CAREER &amp; TECH CENTER</t>
        </is>
      </c>
      <c r="AE806" t="inlineStr">
        <is>
          <t>WARREN CITY</t>
        </is>
      </c>
      <c r="AF806" t="inlineStr">
        <is>
          <t>WARREN CITY SD</t>
        </is>
      </c>
      <c r="AH806" t="n">
        <v>14</v>
      </c>
      <c r="AI806" t="n">
        <v>11</v>
      </c>
      <c r="AN806" t="inlineStr">
        <is>
          <t>WARREN</t>
        </is>
      </c>
      <c r="AO806" t="inlineStr">
        <is>
          <t>WARREN CITY 4A</t>
        </is>
      </c>
      <c r="AP806" t="inlineStr">
        <is>
          <t>78-P-ADI</t>
        </is>
      </c>
      <c r="AQ806" t="n">
        <v>9</v>
      </c>
      <c r="AR806" t="n">
        <v>64</v>
      </c>
      <c r="AS806" t="n">
        <v>32</v>
      </c>
      <c r="AU806">
        <f>COUNTA($BA$806:$EH$806)</f>
        <v/>
      </c>
      <c r="AV806">
        <f>COUNTIF($BA$806:$EH$806,"D")</f>
        <v/>
      </c>
      <c r="AW806">
        <f>COUNTIF($BA$806:$EH$806,"R")</f>
        <v/>
      </c>
      <c r="AX806">
        <f>IF(BN806="D",1,0)+IF(BO806="D",1,0)+IF(BT806="D",1,0)+IF(BU806="D",1,0)+IF(BW806="D",1,0)+IF(CC806="D",1,0)+IF(CD806="D",1,0)+IF(CE806="D",1,0)+IF(CF806="D",1,0)+IF(CL806="D",1,0)+IF(CM806="D",1,0)+IF(CQ806="D",1,0)+IF(CR806="D",1,0)+IF(CS806="D",1,0)+IF(CW806="D",1,0)+IF(CX806="D",1,0)+IF(DD806="D",1,0)+IF(DE806="D",1,0)+IF(DJ806="D",1,0)+IF(DK806="D",1,0)+IF(DO806="D",1,0)+IF(DP806="D",1,0)+IF(DQ806="D",1,0)+IF(DW806="D",1,0)+IF(DZ806="D",1,0)+IF(EH806="D",1,0)</f>
        <v/>
      </c>
      <c r="AY806">
        <f>IF(DJ806&lt;&gt;"",1,0)+IF(DK806&lt;&gt;"",1,0)+IF(DM806&lt;&gt;"",1,0)+IF(DO806&lt;&gt;"",1,0)+IF(DP806&lt;&gt;"",1,0)+IF(DQ806&lt;&gt;"",1,0)+IF(DS806&lt;&gt;"",1,0)+IF(DT806&lt;&gt;"",1,0)+IF(DV806&lt;&gt;"",1,0)+IF(DW806&lt;&gt;"",1,0)+IF(DX806&lt;&gt;"",1,0)+IF(DY806&lt;&gt;"",1,0)+IF(DZ806&lt;&gt;"",1,0)+IF(EB806&lt;&gt;"",1,0)+IF(EC806&lt;&gt;"",1,0)+IF(ED806&lt;&gt;"",1,0)+IF(EG806&lt;&gt;"",1,0)+IF(EH806&lt;&gt;"",1,0)</f>
        <v/>
      </c>
      <c r="AZ806">
        <f>IF(EH806&lt;&gt;"",1,0)</f>
        <v/>
      </c>
      <c r="BB806" t="inlineStr">
        <is>
          <t>WARREN-WARD 4</t>
        </is>
      </c>
      <c r="BD806" t="inlineStr">
        <is>
          <t>X</t>
        </is>
      </c>
      <c r="BE806" t="inlineStr">
        <is>
          <t>X</t>
        </is>
      </c>
      <c r="BF806" t="inlineStr">
        <is>
          <t>X</t>
        </is>
      </c>
      <c r="BH806" t="inlineStr">
        <is>
          <t>X</t>
        </is>
      </c>
      <c r="BL806" t="inlineStr">
        <is>
          <t>X</t>
        </is>
      </c>
      <c r="BS806" t="inlineStr">
        <is>
          <t>X</t>
        </is>
      </c>
      <c r="BV806" t="inlineStr">
        <is>
          <t>X</t>
        </is>
      </c>
      <c r="BY806" t="inlineStr">
        <is>
          <t>R</t>
        </is>
      </c>
      <c r="CA806" t="inlineStr">
        <is>
          <t>X</t>
        </is>
      </c>
      <c r="CG806" t="inlineStr">
        <is>
          <t>X</t>
        </is>
      </c>
      <c r="CH806" t="inlineStr">
        <is>
          <t>R</t>
        </is>
      </c>
      <c r="CK806" t="inlineStr">
        <is>
          <t>X</t>
        </is>
      </c>
      <c r="CN806" t="inlineStr">
        <is>
          <t>X</t>
        </is>
      </c>
      <c r="CO806" t="inlineStr">
        <is>
          <t>R</t>
        </is>
      </c>
      <c r="CP806" t="inlineStr">
        <is>
          <t>X</t>
        </is>
      </c>
      <c r="CV806" t="inlineStr">
        <is>
          <t>X</t>
        </is>
      </c>
      <c r="CZ806" t="inlineStr">
        <is>
          <t>R</t>
        </is>
      </c>
      <c r="DC806" t="inlineStr">
        <is>
          <t>X</t>
        </is>
      </c>
      <c r="DI806" t="inlineStr">
        <is>
          <t>X</t>
        </is>
      </c>
      <c r="DN806" t="inlineStr">
        <is>
          <t>X</t>
        </is>
      </c>
      <c r="DU806" t="inlineStr">
        <is>
          <t>X</t>
        </is>
      </c>
      <c r="DX806" t="inlineStr">
        <is>
          <t>X</t>
        </is>
      </c>
      <c r="EA806" t="inlineStr">
        <is>
          <t>X</t>
        </is>
      </c>
      <c r="ED806" t="inlineStr">
        <is>
          <t>R</t>
        </is>
      </c>
      <c r="EF806" t="inlineStr">
        <is>
          <t>X</t>
        </is>
      </c>
    </row>
    <row r="807">
      <c r="A807" t="inlineStr">
        <is>
          <t>OH0015729973</t>
        </is>
      </c>
      <c r="B807" t="n">
        <v>78</v>
      </c>
      <c r="C807" t="n">
        <v>217275</v>
      </c>
      <c r="D807" t="inlineStr">
        <is>
          <t>PHILLIPS</t>
        </is>
      </c>
      <c r="E807" t="inlineStr">
        <is>
          <t>DAVID</t>
        </is>
      </c>
      <c r="F807">
        <f>CONCATENATE(D807," ",LEFT(H807,4),"T=",AU807,"D=",AV807,"R=",AW807,"M=",AX807,"L=",AY807,"B=",AZ807)</f>
        <v/>
      </c>
      <c r="G807" t="inlineStr">
        <is>
          <t>L</t>
        </is>
      </c>
      <c r="I807" t="inlineStr">
        <is>
          <t>1963-12-11</t>
        </is>
      </c>
      <c r="J807" t="inlineStr">
        <is>
          <t>2017-12-12</t>
        </is>
      </c>
      <c r="K807" t="inlineStr">
        <is>
          <t>ACTIVE</t>
        </is>
      </c>
      <c r="L807" t="inlineStr">
        <is>
          <t>R</t>
        </is>
      </c>
      <c r="M807" t="inlineStr">
        <is>
          <t>1101 YOUNGSTOWN RD SE</t>
        </is>
      </c>
      <c r="N807">
        <f>RIGHT(M807,LEN(M807)-FIND(" ",M807))</f>
        <v/>
      </c>
      <c r="P807" t="inlineStr">
        <is>
          <t>WARREN</t>
        </is>
      </c>
      <c r="Q807" t="inlineStr">
        <is>
          <t>OH</t>
        </is>
      </c>
      <c r="R807" t="n">
        <v>44484</v>
      </c>
      <c r="AD807" t="inlineStr">
        <is>
          <t>TRUMBULL CAREER &amp; TECH CENTER</t>
        </is>
      </c>
      <c r="AE807" t="inlineStr">
        <is>
          <t>WARREN CITY</t>
        </is>
      </c>
      <c r="AF807" t="inlineStr">
        <is>
          <t>WARREN CITY SD</t>
        </is>
      </c>
      <c r="AH807" t="n">
        <v>14</v>
      </c>
      <c r="AI807" t="n">
        <v>11</v>
      </c>
      <c r="AN807" t="inlineStr">
        <is>
          <t>WARREN</t>
        </is>
      </c>
      <c r="AO807" t="inlineStr">
        <is>
          <t>WARREN CITY 4A</t>
        </is>
      </c>
      <c r="AP807" t="inlineStr">
        <is>
          <t>78-P-ADI</t>
        </is>
      </c>
      <c r="AQ807" t="n">
        <v>9</v>
      </c>
      <c r="AR807" t="n">
        <v>64</v>
      </c>
      <c r="AS807" t="n">
        <v>32</v>
      </c>
      <c r="AU807">
        <f>COUNTA($BA$807:$EH$807)</f>
        <v/>
      </c>
      <c r="AV807">
        <f>COUNTIF($BA$807:$EH$807,"D")</f>
        <v/>
      </c>
      <c r="AW807">
        <f>COUNTIF($BA$807:$EH$807,"R")</f>
        <v/>
      </c>
      <c r="AX807">
        <f>IF(BN807="D",1,0)+IF(BO807="D",1,0)+IF(BT807="D",1,0)+IF(BU807="D",1,0)+IF(BW807="D",1,0)+IF(CC807="D",1,0)+IF(CD807="D",1,0)+IF(CE807="D",1,0)+IF(CF807="D",1,0)+IF(CL807="D",1,0)+IF(CM807="D",1,0)+IF(CQ807="D",1,0)+IF(CR807="D",1,0)+IF(CS807="D",1,0)+IF(CW807="D",1,0)+IF(CX807="D",1,0)+IF(DD807="D",1,0)+IF(DE807="D",1,0)+IF(DJ807="D",1,0)+IF(DK807="D",1,0)+IF(DO807="D",1,0)+IF(DP807="D",1,0)+IF(DQ807="D",1,0)+IF(DW807="D",1,0)+IF(DZ807="D",1,0)+IF(EH807="D",1,0)</f>
        <v/>
      </c>
      <c r="AY807">
        <f>IF(DJ807&lt;&gt;"",1,0)+IF(DK807&lt;&gt;"",1,0)+IF(DM807&lt;&gt;"",1,0)+IF(DO807&lt;&gt;"",1,0)+IF(DP807&lt;&gt;"",1,0)+IF(DQ807&lt;&gt;"",1,0)+IF(DS807&lt;&gt;"",1,0)+IF(DT807&lt;&gt;"",1,0)+IF(DV807&lt;&gt;"",1,0)+IF(DW807&lt;&gt;"",1,0)+IF(DX807&lt;&gt;"",1,0)+IF(DY807&lt;&gt;"",1,0)+IF(DZ807&lt;&gt;"",1,0)+IF(EB807&lt;&gt;"",1,0)+IF(EC807&lt;&gt;"",1,0)+IF(ED807&lt;&gt;"",1,0)+IF(EG807&lt;&gt;"",1,0)+IF(EH807&lt;&gt;"",1,0)</f>
        <v/>
      </c>
      <c r="AZ807">
        <f>IF(EH807&lt;&gt;"",1,0)</f>
        <v/>
      </c>
      <c r="BB807" t="inlineStr">
        <is>
          <t>WARREN-WARD 4</t>
        </is>
      </c>
      <c r="BD807" t="inlineStr">
        <is>
          <t>X</t>
        </is>
      </c>
      <c r="BF807" t="inlineStr">
        <is>
          <t>X</t>
        </is>
      </c>
      <c r="BL807" t="inlineStr">
        <is>
          <t>X</t>
        </is>
      </c>
      <c r="BS807" t="inlineStr">
        <is>
          <t>X</t>
        </is>
      </c>
      <c r="BV807" t="inlineStr">
        <is>
          <t>X</t>
        </is>
      </c>
      <c r="BY807" t="inlineStr">
        <is>
          <t>D</t>
        </is>
      </c>
      <c r="CA807" t="inlineStr">
        <is>
          <t>X</t>
        </is>
      </c>
      <c r="CG807" t="inlineStr">
        <is>
          <t>X</t>
        </is>
      </c>
      <c r="CK807" t="inlineStr">
        <is>
          <t>X</t>
        </is>
      </c>
      <c r="CN807" t="inlineStr">
        <is>
          <t>X</t>
        </is>
      </c>
      <c r="CP807" t="inlineStr">
        <is>
          <t>X</t>
        </is>
      </c>
      <c r="CZ807" t="inlineStr">
        <is>
          <t>R</t>
        </is>
      </c>
      <c r="DC807" t="inlineStr">
        <is>
          <t>X</t>
        </is>
      </c>
      <c r="DI807" t="inlineStr">
        <is>
          <t>X</t>
        </is>
      </c>
      <c r="DN807" t="inlineStr">
        <is>
          <t>X</t>
        </is>
      </c>
      <c r="DS807" t="inlineStr">
        <is>
          <t>R</t>
        </is>
      </c>
      <c r="DU807" t="inlineStr">
        <is>
          <t>X</t>
        </is>
      </c>
      <c r="EF807" t="inlineStr">
        <is>
          <t>X</t>
        </is>
      </c>
    </row>
    <row r="808">
      <c r="A808" t="inlineStr">
        <is>
          <t>OH0015738837</t>
        </is>
      </c>
      <c r="B808" t="n">
        <v>78</v>
      </c>
      <c r="C808" t="n">
        <v>297992</v>
      </c>
      <c r="D808" t="inlineStr">
        <is>
          <t>STOUFFER</t>
        </is>
      </c>
      <c r="E808" t="inlineStr">
        <is>
          <t>GERALD</t>
        </is>
      </c>
      <c r="F808">
        <f>CONCATENATE(D808," ",LEFT(H808,4),"T=",AU808,"D=",AV808,"R=",AW808,"M=",AX808,"L=",AY808,"B=",AZ808)</f>
        <v/>
      </c>
      <c r="G808" t="inlineStr">
        <is>
          <t>EUGENE</t>
        </is>
      </c>
      <c r="H808" t="inlineStr">
        <is>
          <t>JR</t>
        </is>
      </c>
      <c r="I808" t="inlineStr">
        <is>
          <t>1949-10-30</t>
        </is>
      </c>
      <c r="J808" t="inlineStr">
        <is>
          <t>2008-09-12</t>
        </is>
      </c>
      <c r="K808" t="inlineStr">
        <is>
          <t>ACTIVE</t>
        </is>
      </c>
      <c r="L808" t="inlineStr">
        <is>
          <t>D</t>
        </is>
      </c>
      <c r="M808" t="inlineStr">
        <is>
          <t>499 HOMEWOOD AVE SE</t>
        </is>
      </c>
      <c r="N808">
        <f>RIGHT(M808,LEN(M808)-FIND(" ",M808))</f>
        <v/>
      </c>
      <c r="P808" t="inlineStr">
        <is>
          <t>WARREN</t>
        </is>
      </c>
      <c r="Q808" t="inlineStr">
        <is>
          <t>OH</t>
        </is>
      </c>
      <c r="R808" t="n">
        <v>44483</v>
      </c>
      <c r="AD808" t="inlineStr">
        <is>
          <t>TRUMBULL CAREER &amp; TECH CENTER</t>
        </is>
      </c>
      <c r="AE808" t="inlineStr">
        <is>
          <t>WARREN CITY</t>
        </is>
      </c>
      <c r="AF808" t="inlineStr">
        <is>
          <t>WARREN CITY SD</t>
        </is>
      </c>
      <c r="AH808" t="n">
        <v>14</v>
      </c>
      <c r="AI808" t="n">
        <v>11</v>
      </c>
      <c r="AN808" t="inlineStr">
        <is>
          <t>WARREN</t>
        </is>
      </c>
      <c r="AO808" t="inlineStr">
        <is>
          <t>WARREN CITY 4A</t>
        </is>
      </c>
      <c r="AP808" t="inlineStr">
        <is>
          <t>78-P-ADI</t>
        </is>
      </c>
      <c r="AQ808" t="n">
        <v>9</v>
      </c>
      <c r="AR808" t="n">
        <v>64</v>
      </c>
      <c r="AS808" t="n">
        <v>32</v>
      </c>
      <c r="AU808">
        <f>COUNTA($BA$808:$EH$808)</f>
        <v/>
      </c>
      <c r="AV808">
        <f>COUNTIF($BA$808:$EH$808,"D")</f>
        <v/>
      </c>
      <c r="AW808">
        <f>COUNTIF($BA$808:$EH$808,"R")</f>
        <v/>
      </c>
      <c r="AX808">
        <f>IF(BN808="D",1,0)+IF(BO808="D",1,0)+IF(BT808="D",1,0)+IF(BU808="D",1,0)+IF(BW808="D",1,0)+IF(CC808="D",1,0)+IF(CD808="D",1,0)+IF(CE808="D",1,0)+IF(CF808="D",1,0)+IF(CL808="D",1,0)+IF(CM808="D",1,0)+IF(CQ808="D",1,0)+IF(CR808="D",1,0)+IF(CS808="D",1,0)+IF(CW808="D",1,0)+IF(CX808="D",1,0)+IF(DD808="D",1,0)+IF(DE808="D",1,0)+IF(DJ808="D",1,0)+IF(DK808="D",1,0)+IF(DO808="D",1,0)+IF(DP808="D",1,0)+IF(DQ808="D",1,0)+IF(DW808="D",1,0)+IF(DZ808="D",1,0)+IF(EH808="D",1,0)</f>
        <v/>
      </c>
      <c r="AY808">
        <f>IF(DJ808&lt;&gt;"",1,0)+IF(DK808&lt;&gt;"",1,0)+IF(DM808&lt;&gt;"",1,0)+IF(DO808&lt;&gt;"",1,0)+IF(DP808&lt;&gt;"",1,0)+IF(DQ808&lt;&gt;"",1,0)+IF(DS808&lt;&gt;"",1,0)+IF(DT808&lt;&gt;"",1,0)+IF(DV808&lt;&gt;"",1,0)+IF(DW808&lt;&gt;"",1,0)+IF(DX808&lt;&gt;"",1,0)+IF(DY808&lt;&gt;"",1,0)+IF(DZ808&lt;&gt;"",1,0)+IF(EB808&lt;&gt;"",1,0)+IF(EC808&lt;&gt;"",1,0)+IF(ED808&lt;&gt;"",1,0)+IF(EG808&lt;&gt;"",1,0)+IF(EH808&lt;&gt;"",1,0)</f>
        <v/>
      </c>
      <c r="AZ808">
        <f>IF(EH808&lt;&gt;"",1,0)</f>
        <v/>
      </c>
      <c r="BB808" t="inlineStr">
        <is>
          <t>WARREN-WARD 4</t>
        </is>
      </c>
      <c r="BD808" t="inlineStr">
        <is>
          <t>X</t>
        </is>
      </c>
      <c r="BH808" t="inlineStr">
        <is>
          <t>X</t>
        </is>
      </c>
      <c r="BJ808" t="inlineStr">
        <is>
          <t>X</t>
        </is>
      </c>
      <c r="BK808" t="inlineStr">
        <is>
          <t>X</t>
        </is>
      </c>
      <c r="BL808" t="inlineStr">
        <is>
          <t>X</t>
        </is>
      </c>
      <c r="BP808" t="inlineStr">
        <is>
          <t>X</t>
        </is>
      </c>
      <c r="BY808" t="inlineStr">
        <is>
          <t>D</t>
        </is>
      </c>
      <c r="CA808" t="inlineStr">
        <is>
          <t>X</t>
        </is>
      </c>
      <c r="CH808" t="inlineStr">
        <is>
          <t>D</t>
        </is>
      </c>
      <c r="CK808" t="inlineStr">
        <is>
          <t>X</t>
        </is>
      </c>
      <c r="CL808" t="inlineStr">
        <is>
          <t>D</t>
        </is>
      </c>
      <c r="CN808" t="inlineStr">
        <is>
          <t>X</t>
        </is>
      </c>
      <c r="CP808" t="inlineStr">
        <is>
          <t>X</t>
        </is>
      </c>
      <c r="CV808" t="inlineStr">
        <is>
          <t>X</t>
        </is>
      </c>
      <c r="CZ808" t="inlineStr">
        <is>
          <t>D</t>
        </is>
      </c>
      <c r="DC808" t="inlineStr">
        <is>
          <t>X</t>
        </is>
      </c>
      <c r="DF808" t="inlineStr">
        <is>
          <t>X</t>
        </is>
      </c>
      <c r="DG808" t="inlineStr">
        <is>
          <t>D</t>
        </is>
      </c>
      <c r="DI808" t="inlineStr">
        <is>
          <t>X</t>
        </is>
      </c>
      <c r="DL808" t="inlineStr">
        <is>
          <t>X</t>
        </is>
      </c>
      <c r="DM808" t="inlineStr">
        <is>
          <t>D</t>
        </is>
      </c>
      <c r="DN808" t="inlineStr">
        <is>
          <t>X</t>
        </is>
      </c>
      <c r="DT808" t="inlineStr">
        <is>
          <t>D</t>
        </is>
      </c>
      <c r="DU808" t="inlineStr">
        <is>
          <t>X</t>
        </is>
      </c>
      <c r="DW808" t="inlineStr">
        <is>
          <t>D</t>
        </is>
      </c>
      <c r="DX808" t="inlineStr">
        <is>
          <t>X</t>
        </is>
      </c>
      <c r="EA808" t="inlineStr">
        <is>
          <t>X</t>
        </is>
      </c>
      <c r="ED808" t="inlineStr">
        <is>
          <t>D</t>
        </is>
      </c>
      <c r="EF808" t="inlineStr">
        <is>
          <t>X</t>
        </is>
      </c>
      <c r="EH808" t="inlineStr">
        <is>
          <t>D</t>
        </is>
      </c>
    </row>
    <row r="809">
      <c r="A809" t="inlineStr">
        <is>
          <t>OH0018597452</t>
        </is>
      </c>
      <c r="B809" t="n">
        <v>78</v>
      </c>
      <c r="C809" t="n">
        <v>339806</v>
      </c>
      <c r="D809" t="inlineStr">
        <is>
          <t>COWGER</t>
        </is>
      </c>
      <c r="E809" t="inlineStr">
        <is>
          <t>SHERYL</t>
        </is>
      </c>
      <c r="F809">
        <f>CONCATENATE(D809," ",LEFT(H809,4),"T=",AU809,"D=",AV809,"R=",AW809,"M=",AX809,"L=",AY809,"B=",AZ809)</f>
        <v/>
      </c>
      <c r="I809" t="inlineStr">
        <is>
          <t>1956-04-29</t>
        </is>
      </c>
      <c r="J809" t="inlineStr">
        <is>
          <t>2016-08-17</t>
        </is>
      </c>
      <c r="K809" t="inlineStr">
        <is>
          <t>ACTIVE</t>
        </is>
      </c>
      <c r="L809" t="inlineStr">
        <is>
          <t>D</t>
        </is>
      </c>
      <c r="M809" t="inlineStr">
        <is>
          <t>207 LOGAN AVE SE</t>
        </is>
      </c>
      <c r="N809">
        <f>RIGHT(M809,LEN(M809)-FIND(" ",M809))</f>
        <v/>
      </c>
      <c r="P809" t="inlineStr">
        <is>
          <t>WARREN</t>
        </is>
      </c>
      <c r="Q809" t="inlineStr">
        <is>
          <t>OH</t>
        </is>
      </c>
      <c r="R809" t="n">
        <v>44483</v>
      </c>
      <c r="AD809" t="inlineStr">
        <is>
          <t>TRUMBULL CAREER &amp; TECH CENTER</t>
        </is>
      </c>
      <c r="AE809" t="inlineStr">
        <is>
          <t>WARREN CITY</t>
        </is>
      </c>
      <c r="AF809" t="inlineStr">
        <is>
          <t>WARREN CITY SD</t>
        </is>
      </c>
      <c r="AH809" t="n">
        <v>14</v>
      </c>
      <c r="AI809" t="n">
        <v>11</v>
      </c>
      <c r="AN809" t="inlineStr">
        <is>
          <t>WARREN</t>
        </is>
      </c>
      <c r="AO809" t="inlineStr">
        <is>
          <t>WARREN CITY 4A</t>
        </is>
      </c>
      <c r="AP809" t="inlineStr">
        <is>
          <t>78-P-ADI</t>
        </is>
      </c>
      <c r="AQ809" t="n">
        <v>9</v>
      </c>
      <c r="AR809" t="n">
        <v>64</v>
      </c>
      <c r="AS809" t="n">
        <v>32</v>
      </c>
      <c r="AU809">
        <f>COUNTA($BA$809:$EH$809)</f>
        <v/>
      </c>
      <c r="AV809">
        <f>COUNTIF($BA$809:$EH$809,"D")</f>
        <v/>
      </c>
      <c r="AW809">
        <f>COUNTIF($BA$809:$EH$809,"R")</f>
        <v/>
      </c>
      <c r="AX809">
        <f>IF(BN809="D",1,0)+IF(BO809="D",1,0)+IF(BT809="D",1,0)+IF(BU809="D",1,0)+IF(BW809="D",1,0)+IF(CC809="D",1,0)+IF(CD809="D",1,0)+IF(CE809="D",1,0)+IF(CF809="D",1,0)+IF(CL809="D",1,0)+IF(CM809="D",1,0)+IF(CQ809="D",1,0)+IF(CR809="D",1,0)+IF(CS809="D",1,0)+IF(CW809="D",1,0)+IF(CX809="D",1,0)+IF(DD809="D",1,0)+IF(DE809="D",1,0)+IF(DJ809="D",1,0)+IF(DK809="D",1,0)+IF(DO809="D",1,0)+IF(DP809="D",1,0)+IF(DQ809="D",1,0)+IF(DW809="D",1,0)+IF(DZ809="D",1,0)+IF(EH809="D",1,0)</f>
        <v/>
      </c>
      <c r="AY809">
        <f>IF(DJ809&lt;&gt;"",1,0)+IF(DK809&lt;&gt;"",1,0)+IF(DM809&lt;&gt;"",1,0)+IF(DO809&lt;&gt;"",1,0)+IF(DP809&lt;&gt;"",1,0)+IF(DQ809&lt;&gt;"",1,0)+IF(DS809&lt;&gt;"",1,0)+IF(DT809&lt;&gt;"",1,0)+IF(DV809&lt;&gt;"",1,0)+IF(DW809&lt;&gt;"",1,0)+IF(DX809&lt;&gt;"",1,0)+IF(DY809&lt;&gt;"",1,0)+IF(DZ809&lt;&gt;"",1,0)+IF(EB809&lt;&gt;"",1,0)+IF(EC809&lt;&gt;"",1,0)+IF(ED809&lt;&gt;"",1,0)+IF(EG809&lt;&gt;"",1,0)+IF(EH809&lt;&gt;"",1,0)</f>
        <v/>
      </c>
      <c r="AZ809">
        <f>IF(EH809&lt;&gt;"",1,0)</f>
        <v/>
      </c>
      <c r="BB809" t="inlineStr">
        <is>
          <t>WARREN-WARD 4</t>
        </is>
      </c>
      <c r="BS809" t="inlineStr">
        <is>
          <t>X</t>
        </is>
      </c>
      <c r="BY809" t="inlineStr">
        <is>
          <t>D</t>
        </is>
      </c>
      <c r="CA809" t="inlineStr">
        <is>
          <t>X</t>
        </is>
      </c>
      <c r="CK809" t="inlineStr">
        <is>
          <t>X</t>
        </is>
      </c>
      <c r="CV809" t="inlineStr">
        <is>
          <t>X</t>
        </is>
      </c>
      <c r="DC809" t="inlineStr">
        <is>
          <t>X</t>
        </is>
      </c>
      <c r="DI809" t="inlineStr">
        <is>
          <t>X</t>
        </is>
      </c>
      <c r="DM809" t="inlineStr">
        <is>
          <t>D</t>
        </is>
      </c>
      <c r="DN809" t="inlineStr">
        <is>
          <t>X</t>
        </is>
      </c>
      <c r="DS809" t="inlineStr">
        <is>
          <t>D</t>
        </is>
      </c>
      <c r="DU809" t="inlineStr">
        <is>
          <t>X</t>
        </is>
      </c>
      <c r="DW809" t="inlineStr">
        <is>
          <t>D</t>
        </is>
      </c>
      <c r="DX809" t="inlineStr">
        <is>
          <t>X</t>
        </is>
      </c>
      <c r="EA809" t="inlineStr">
        <is>
          <t>X</t>
        </is>
      </c>
      <c r="ED809" t="inlineStr">
        <is>
          <t>D</t>
        </is>
      </c>
      <c r="EF809" t="inlineStr">
        <is>
          <t>X</t>
        </is>
      </c>
      <c r="EH809" t="inlineStr">
        <is>
          <t>D</t>
        </is>
      </c>
    </row>
    <row r="810">
      <c r="A810" t="inlineStr">
        <is>
          <t>OH0015692374</t>
        </is>
      </c>
      <c r="B810" t="n">
        <v>78</v>
      </c>
      <c r="C810" t="n">
        <v>14078</v>
      </c>
      <c r="D810" t="inlineStr">
        <is>
          <t>GILL</t>
        </is>
      </c>
      <c r="E810" t="inlineStr">
        <is>
          <t>STELLA</t>
        </is>
      </c>
      <c r="F810">
        <f>CONCATENATE(D810," ",LEFT(H810,4),"T=",AU810,"D=",AV810,"R=",AW810,"M=",AX810,"L=",AY810,"B=",AZ810)</f>
        <v/>
      </c>
      <c r="I810" t="inlineStr">
        <is>
          <t>1946-10-07</t>
        </is>
      </c>
      <c r="J810" t="inlineStr">
        <is>
          <t>1975-02-26</t>
        </is>
      </c>
      <c r="K810" t="inlineStr">
        <is>
          <t>ACTIVE</t>
        </is>
      </c>
      <c r="L810" t="inlineStr">
        <is>
          <t>D</t>
        </is>
      </c>
      <c r="M810" t="inlineStr">
        <is>
          <t>225 LOGAN AVE SE</t>
        </is>
      </c>
      <c r="N810">
        <f>RIGHT(M810,LEN(M810)-FIND(" ",M810))</f>
        <v/>
      </c>
      <c r="P810" t="inlineStr">
        <is>
          <t>WARREN</t>
        </is>
      </c>
      <c r="Q810" t="inlineStr">
        <is>
          <t>OH</t>
        </is>
      </c>
      <c r="R810" t="n">
        <v>44483</v>
      </c>
      <c r="AD810" t="inlineStr">
        <is>
          <t>TRUMBULL CAREER &amp; TECH CENTER</t>
        </is>
      </c>
      <c r="AE810" t="inlineStr">
        <is>
          <t>WARREN CITY</t>
        </is>
      </c>
      <c r="AF810" t="inlineStr">
        <is>
          <t>WARREN CITY SD</t>
        </is>
      </c>
      <c r="AH810" t="n">
        <v>14</v>
      </c>
      <c r="AI810" t="n">
        <v>11</v>
      </c>
      <c r="AN810" t="inlineStr">
        <is>
          <t>WARREN</t>
        </is>
      </c>
      <c r="AO810" t="inlineStr">
        <is>
          <t>WARREN CITY 4A</t>
        </is>
      </c>
      <c r="AP810" t="inlineStr">
        <is>
          <t>78-P-ADI</t>
        </is>
      </c>
      <c r="AQ810" t="n">
        <v>9</v>
      </c>
      <c r="AR810" t="n">
        <v>64</v>
      </c>
      <c r="AS810" t="n">
        <v>32</v>
      </c>
      <c r="AU810">
        <f>COUNTA($BA$810:$EH$810)</f>
        <v/>
      </c>
      <c r="AV810">
        <f>COUNTIF($BA$810:$EH$810,"D")</f>
        <v/>
      </c>
      <c r="AW810">
        <f>COUNTIF($BA$810:$EH$810,"R")</f>
        <v/>
      </c>
      <c r="AX810">
        <f>IF(BN810="D",1,0)+IF(BO810="D",1,0)+IF(BT810="D",1,0)+IF(BU810="D",1,0)+IF(BW810="D",1,0)+IF(CC810="D",1,0)+IF(CD810="D",1,0)+IF(CE810="D",1,0)+IF(CF810="D",1,0)+IF(CL810="D",1,0)+IF(CM810="D",1,0)+IF(CQ810="D",1,0)+IF(CR810="D",1,0)+IF(CS810="D",1,0)+IF(CW810="D",1,0)+IF(CX810="D",1,0)+IF(DD810="D",1,0)+IF(DE810="D",1,0)+IF(DJ810="D",1,0)+IF(DK810="D",1,0)+IF(DO810="D",1,0)+IF(DP810="D",1,0)+IF(DQ810="D",1,0)+IF(DW810="D",1,0)+IF(DZ810="D",1,0)+IF(EH810="D",1,0)</f>
        <v/>
      </c>
      <c r="AY810">
        <f>IF(DJ810&lt;&gt;"",1,0)+IF(DK810&lt;&gt;"",1,0)+IF(DM810&lt;&gt;"",1,0)+IF(DO810&lt;&gt;"",1,0)+IF(DP810&lt;&gt;"",1,0)+IF(DQ810&lt;&gt;"",1,0)+IF(DS810&lt;&gt;"",1,0)+IF(DT810&lt;&gt;"",1,0)+IF(DV810&lt;&gt;"",1,0)+IF(DW810&lt;&gt;"",1,0)+IF(DX810&lt;&gt;"",1,0)+IF(DY810&lt;&gt;"",1,0)+IF(DZ810&lt;&gt;"",1,0)+IF(EB810&lt;&gt;"",1,0)+IF(EC810&lt;&gt;"",1,0)+IF(ED810&lt;&gt;"",1,0)+IF(EG810&lt;&gt;"",1,0)+IF(EH810&lt;&gt;"",1,0)</f>
        <v/>
      </c>
      <c r="AZ810">
        <f>IF(EH810&lt;&gt;"",1,0)</f>
        <v/>
      </c>
      <c r="BB810" t="inlineStr">
        <is>
          <t>WARREN-WARD 4</t>
        </is>
      </c>
      <c r="BC810" t="inlineStr">
        <is>
          <t>X</t>
        </is>
      </c>
      <c r="BD810" t="inlineStr">
        <is>
          <t>X</t>
        </is>
      </c>
      <c r="BE810" t="inlineStr">
        <is>
          <t>X</t>
        </is>
      </c>
      <c r="BF810" t="inlineStr">
        <is>
          <t>X</t>
        </is>
      </c>
      <c r="BG810" t="inlineStr">
        <is>
          <t>X</t>
        </is>
      </c>
      <c r="BH810" t="inlineStr">
        <is>
          <t>X</t>
        </is>
      </c>
      <c r="BI810" t="inlineStr">
        <is>
          <t>X</t>
        </is>
      </c>
      <c r="BJ810" t="inlineStr">
        <is>
          <t>X</t>
        </is>
      </c>
      <c r="BK810" t="inlineStr">
        <is>
          <t>X</t>
        </is>
      </c>
      <c r="BL810" t="inlineStr">
        <is>
          <t>X</t>
        </is>
      </c>
      <c r="BP810" t="inlineStr">
        <is>
          <t>X</t>
        </is>
      </c>
      <c r="BR810" t="inlineStr">
        <is>
          <t>X</t>
        </is>
      </c>
      <c r="BS810" t="inlineStr">
        <is>
          <t>X</t>
        </is>
      </c>
      <c r="BT810" t="inlineStr">
        <is>
          <t>X</t>
        </is>
      </c>
      <c r="BV810" t="inlineStr">
        <is>
          <t>X</t>
        </is>
      </c>
      <c r="BY810" t="inlineStr">
        <is>
          <t>D</t>
        </is>
      </c>
      <c r="CA810" t="inlineStr">
        <is>
          <t>X</t>
        </is>
      </c>
      <c r="CC810" t="inlineStr">
        <is>
          <t>D</t>
        </is>
      </c>
      <c r="CG810" t="inlineStr">
        <is>
          <t>X</t>
        </is>
      </c>
      <c r="CH810" t="inlineStr">
        <is>
          <t>D</t>
        </is>
      </c>
      <c r="CK810" t="inlineStr">
        <is>
          <t>X</t>
        </is>
      </c>
      <c r="CL810" t="inlineStr">
        <is>
          <t>D</t>
        </is>
      </c>
      <c r="CN810" t="inlineStr">
        <is>
          <t>X</t>
        </is>
      </c>
      <c r="CO810" t="inlineStr">
        <is>
          <t>D</t>
        </is>
      </c>
      <c r="CP810" t="inlineStr">
        <is>
          <t>X</t>
        </is>
      </c>
      <c r="CQ810" t="inlineStr">
        <is>
          <t>D</t>
        </is>
      </c>
      <c r="CT810" t="inlineStr">
        <is>
          <t>X</t>
        </is>
      </c>
      <c r="CU810" t="inlineStr">
        <is>
          <t>D</t>
        </is>
      </c>
      <c r="CV810" t="inlineStr">
        <is>
          <t>X</t>
        </is>
      </c>
      <c r="CW810" t="inlineStr">
        <is>
          <t>D</t>
        </is>
      </c>
      <c r="CY810" t="inlineStr">
        <is>
          <t>X</t>
        </is>
      </c>
      <c r="CZ810" t="inlineStr">
        <is>
          <t>D</t>
        </is>
      </c>
      <c r="DC810" t="inlineStr">
        <is>
          <t>X</t>
        </is>
      </c>
      <c r="DD810" t="inlineStr">
        <is>
          <t>D</t>
        </is>
      </c>
      <c r="DF810" t="inlineStr">
        <is>
          <t>X</t>
        </is>
      </c>
      <c r="DG810" t="inlineStr">
        <is>
          <t>D</t>
        </is>
      </c>
      <c r="DI810" t="inlineStr">
        <is>
          <t>X</t>
        </is>
      </c>
      <c r="DJ810" t="inlineStr">
        <is>
          <t>D</t>
        </is>
      </c>
      <c r="DL810" t="inlineStr">
        <is>
          <t>X</t>
        </is>
      </c>
      <c r="DM810" t="inlineStr">
        <is>
          <t>D</t>
        </is>
      </c>
      <c r="DN810" t="inlineStr">
        <is>
          <t>X</t>
        </is>
      </c>
      <c r="DR810" t="inlineStr">
        <is>
          <t>X</t>
        </is>
      </c>
      <c r="DS810" t="inlineStr">
        <is>
          <t>D</t>
        </is>
      </c>
      <c r="DT810" t="inlineStr">
        <is>
          <t>D</t>
        </is>
      </c>
      <c r="DU810" t="inlineStr">
        <is>
          <t>X</t>
        </is>
      </c>
      <c r="DW810" t="inlineStr">
        <is>
          <t>D</t>
        </is>
      </c>
      <c r="DX810" t="inlineStr">
        <is>
          <t>X</t>
        </is>
      </c>
      <c r="EA810" t="inlineStr">
        <is>
          <t>X</t>
        </is>
      </c>
      <c r="ED810" t="inlineStr">
        <is>
          <t>D</t>
        </is>
      </c>
      <c r="EF810" t="inlineStr">
        <is>
          <t>X</t>
        </is>
      </c>
    </row>
    <row r="811">
      <c r="A811" t="inlineStr">
        <is>
          <t>OH0015805820</t>
        </is>
      </c>
      <c r="B811" t="n">
        <v>78</v>
      </c>
      <c r="C811" t="n">
        <v>316523</v>
      </c>
      <c r="D811" t="inlineStr">
        <is>
          <t>FIKE</t>
        </is>
      </c>
      <c r="E811" t="inlineStr">
        <is>
          <t>JUDY</t>
        </is>
      </c>
      <c r="F811">
        <f>CONCATENATE(D811," ",LEFT(H811,4),"T=",AU811,"D=",AV811,"R=",AW811,"M=",AX811,"L=",AY811,"B=",AZ811)</f>
        <v/>
      </c>
      <c r="I811" t="inlineStr">
        <is>
          <t>1972-05-18</t>
        </is>
      </c>
      <c r="J811" t="inlineStr">
        <is>
          <t>2003-09-15</t>
        </is>
      </c>
      <c r="K811" t="inlineStr">
        <is>
          <t>ACTIVE</t>
        </is>
      </c>
      <c r="M811" t="inlineStr">
        <is>
          <t>1205 BELLE ST SE</t>
        </is>
      </c>
      <c r="N811">
        <f>RIGHT(M811,LEN(M811)-FIND(" ",M811))</f>
        <v/>
      </c>
      <c r="P811" t="inlineStr">
        <is>
          <t>WARREN</t>
        </is>
      </c>
      <c r="Q811" t="inlineStr">
        <is>
          <t>OH</t>
        </is>
      </c>
      <c r="R811" t="n">
        <v>44484</v>
      </c>
      <c r="AD811" t="inlineStr">
        <is>
          <t>TRUMBULL CAREER &amp; TECH CENTER</t>
        </is>
      </c>
      <c r="AE811" t="inlineStr">
        <is>
          <t>WARREN CITY</t>
        </is>
      </c>
      <c r="AF811" t="inlineStr">
        <is>
          <t>WARREN CITY SD</t>
        </is>
      </c>
      <c r="AH811" t="n">
        <v>14</v>
      </c>
      <c r="AI811" t="n">
        <v>11</v>
      </c>
      <c r="AN811" t="inlineStr">
        <is>
          <t>WARREN</t>
        </is>
      </c>
      <c r="AO811" t="inlineStr">
        <is>
          <t>WARREN CITY 4A</t>
        </is>
      </c>
      <c r="AP811" t="inlineStr">
        <is>
          <t>78-P-ADI</t>
        </is>
      </c>
      <c r="AQ811" t="n">
        <v>9</v>
      </c>
      <c r="AR811" t="n">
        <v>64</v>
      </c>
      <c r="AS811" t="n">
        <v>32</v>
      </c>
      <c r="AU811">
        <f>COUNTA($BA$811:$EH$811)</f>
        <v/>
      </c>
      <c r="AV811">
        <f>COUNTIF($BA$811:$EH$811,"D")</f>
        <v/>
      </c>
      <c r="AW811">
        <f>COUNTIF($BA$811:$EH$811,"R")</f>
        <v/>
      </c>
      <c r="AX811">
        <f>IF(BN811="D",1,0)+IF(BO811="D",1,0)+IF(BT811="D",1,0)+IF(BU811="D",1,0)+IF(BW811="D",1,0)+IF(CC811="D",1,0)+IF(CD811="D",1,0)+IF(CE811="D",1,0)+IF(CF811="D",1,0)+IF(CL811="D",1,0)+IF(CM811="D",1,0)+IF(CQ811="D",1,0)+IF(CR811="D",1,0)+IF(CS811="D",1,0)+IF(CW811="D",1,0)+IF(CX811="D",1,0)+IF(DD811="D",1,0)+IF(DE811="D",1,0)+IF(DJ811="D",1,0)+IF(DK811="D",1,0)+IF(DO811="D",1,0)+IF(DP811="D",1,0)+IF(DQ811="D",1,0)+IF(DW811="D",1,0)+IF(DZ811="D",1,0)+IF(EH811="D",1,0)</f>
        <v/>
      </c>
      <c r="AY811">
        <f>IF(DJ811&lt;&gt;"",1,0)+IF(DK811&lt;&gt;"",1,0)+IF(DM811&lt;&gt;"",1,0)+IF(DO811&lt;&gt;"",1,0)+IF(DP811&lt;&gt;"",1,0)+IF(DQ811&lt;&gt;"",1,0)+IF(DS811&lt;&gt;"",1,0)+IF(DT811&lt;&gt;"",1,0)+IF(DV811&lt;&gt;"",1,0)+IF(DW811&lt;&gt;"",1,0)+IF(DX811&lt;&gt;"",1,0)+IF(DY811&lt;&gt;"",1,0)+IF(DZ811&lt;&gt;"",1,0)+IF(EB811&lt;&gt;"",1,0)+IF(EC811&lt;&gt;"",1,0)+IF(ED811&lt;&gt;"",1,0)+IF(EG811&lt;&gt;"",1,0)+IF(EH811&lt;&gt;"",1,0)</f>
        <v/>
      </c>
      <c r="AZ811">
        <f>IF(EH811&lt;&gt;"",1,0)</f>
        <v/>
      </c>
      <c r="BB811" t="inlineStr">
        <is>
          <t>WARREN-WARD 4</t>
        </is>
      </c>
      <c r="BL811" t="inlineStr">
        <is>
          <t>X</t>
        </is>
      </c>
    </row>
    <row r="812">
      <c r="A812" t="inlineStr">
        <is>
          <t>OH0021350966</t>
        </is>
      </c>
      <c r="B812" t="n">
        <v>78</v>
      </c>
      <c r="C812" t="n">
        <v>379611</v>
      </c>
      <c r="D812" t="inlineStr">
        <is>
          <t>KILLIAS</t>
        </is>
      </c>
      <c r="E812" t="inlineStr">
        <is>
          <t>JONATHAN</t>
        </is>
      </c>
      <c r="F812">
        <f>CONCATENATE(D812," ",LEFT(H812,4),"T=",AU812,"D=",AV812,"R=",AW812,"M=",AX812,"L=",AY812,"B=",AZ812)</f>
        <v/>
      </c>
      <c r="G812" t="inlineStr">
        <is>
          <t>EMMANUEL</t>
        </is>
      </c>
      <c r="I812" t="inlineStr">
        <is>
          <t>1993-07-31</t>
        </is>
      </c>
      <c r="J812" t="inlineStr">
        <is>
          <t>2016-12-08</t>
        </is>
      </c>
      <c r="K812" t="inlineStr">
        <is>
          <t>ACTIVE</t>
        </is>
      </c>
      <c r="M812" t="inlineStr">
        <is>
          <t>361 HOMEWOOD AVE SE</t>
        </is>
      </c>
      <c r="N812">
        <f>RIGHT(M812,LEN(M812)-FIND(" ",M812))</f>
        <v/>
      </c>
      <c r="P812" t="inlineStr">
        <is>
          <t>WARREN</t>
        </is>
      </c>
      <c r="Q812" t="inlineStr">
        <is>
          <t>OH</t>
        </is>
      </c>
      <c r="R812" t="n">
        <v>44483</v>
      </c>
      <c r="AD812" t="inlineStr">
        <is>
          <t>TRUMBULL CAREER &amp; TECH CENTER</t>
        </is>
      </c>
      <c r="AE812" t="inlineStr">
        <is>
          <t>WARREN CITY</t>
        </is>
      </c>
      <c r="AF812" t="inlineStr">
        <is>
          <t>WARREN CITY SD</t>
        </is>
      </c>
      <c r="AH812" t="n">
        <v>14</v>
      </c>
      <c r="AI812" t="n">
        <v>11</v>
      </c>
      <c r="AN812" t="inlineStr">
        <is>
          <t>WARREN</t>
        </is>
      </c>
      <c r="AO812" t="inlineStr">
        <is>
          <t>WARREN CITY 4A</t>
        </is>
      </c>
      <c r="AP812" t="inlineStr">
        <is>
          <t>78-P-ADI</t>
        </is>
      </c>
      <c r="AQ812" t="n">
        <v>9</v>
      </c>
      <c r="AR812" t="n">
        <v>64</v>
      </c>
      <c r="AS812" t="n">
        <v>32</v>
      </c>
      <c r="AU812">
        <f>COUNTA($BA$812:$EH$812)</f>
        <v/>
      </c>
      <c r="AV812">
        <f>COUNTIF($BA$812:$EH$812,"D")</f>
        <v/>
      </c>
      <c r="AW812">
        <f>COUNTIF($BA$812:$EH$812,"R")</f>
        <v/>
      </c>
      <c r="AX812">
        <f>IF(BN812="D",1,0)+IF(BO812="D",1,0)+IF(BT812="D",1,0)+IF(BU812="D",1,0)+IF(BW812="D",1,0)+IF(CC812="D",1,0)+IF(CD812="D",1,0)+IF(CE812="D",1,0)+IF(CF812="D",1,0)+IF(CL812="D",1,0)+IF(CM812="D",1,0)+IF(CQ812="D",1,0)+IF(CR812="D",1,0)+IF(CS812="D",1,0)+IF(CW812="D",1,0)+IF(CX812="D",1,0)+IF(DD812="D",1,0)+IF(DE812="D",1,0)+IF(DJ812="D",1,0)+IF(DK812="D",1,0)+IF(DO812="D",1,0)+IF(DP812="D",1,0)+IF(DQ812="D",1,0)+IF(DW812="D",1,0)+IF(DZ812="D",1,0)+IF(EH812="D",1,0)</f>
        <v/>
      </c>
      <c r="AY812">
        <f>IF(DJ812&lt;&gt;"",1,0)+IF(DK812&lt;&gt;"",1,0)+IF(DM812&lt;&gt;"",1,0)+IF(DO812&lt;&gt;"",1,0)+IF(DP812&lt;&gt;"",1,0)+IF(DQ812&lt;&gt;"",1,0)+IF(DS812&lt;&gt;"",1,0)+IF(DT812&lt;&gt;"",1,0)+IF(DV812&lt;&gt;"",1,0)+IF(DW812&lt;&gt;"",1,0)+IF(DX812&lt;&gt;"",1,0)+IF(DY812&lt;&gt;"",1,0)+IF(DZ812&lt;&gt;"",1,0)+IF(EB812&lt;&gt;"",1,0)+IF(EC812&lt;&gt;"",1,0)+IF(ED812&lt;&gt;"",1,0)+IF(EG812&lt;&gt;"",1,0)+IF(EH812&lt;&gt;"",1,0)</f>
        <v/>
      </c>
      <c r="AZ812">
        <f>IF(EH812&lt;&gt;"",1,0)</f>
        <v/>
      </c>
      <c r="BB812" t="inlineStr">
        <is>
          <t>WARREN-WARD 4</t>
        </is>
      </c>
      <c r="CP812" t="inlineStr">
        <is>
          <t>X</t>
        </is>
      </c>
      <c r="CZ812" t="inlineStr">
        <is>
          <t>D</t>
        </is>
      </c>
      <c r="DC812" t="inlineStr">
        <is>
          <t>X</t>
        </is>
      </c>
      <c r="DI812" t="inlineStr">
        <is>
          <t>X</t>
        </is>
      </c>
      <c r="DN812" t="inlineStr">
        <is>
          <t>X</t>
        </is>
      </c>
      <c r="DU812" t="inlineStr">
        <is>
          <t>X</t>
        </is>
      </c>
      <c r="DX812" t="inlineStr">
        <is>
          <t>X</t>
        </is>
      </c>
      <c r="EA812" t="inlineStr">
        <is>
          <t>X</t>
        </is>
      </c>
      <c r="EF812" t="inlineStr">
        <is>
          <t>X</t>
        </is>
      </c>
    </row>
    <row r="813">
      <c r="A813" t="inlineStr">
        <is>
          <t>OH0015685602</t>
        </is>
      </c>
      <c r="B813" t="n">
        <v>78</v>
      </c>
      <c r="C813" t="n">
        <v>319080</v>
      </c>
      <c r="D813" t="inlineStr">
        <is>
          <t>FISHER</t>
        </is>
      </c>
      <c r="E813" t="inlineStr">
        <is>
          <t>PAMELA</t>
        </is>
      </c>
      <c r="F813">
        <f>CONCATENATE(D813," ",LEFT(H813,4),"T=",AU813,"D=",AV813,"R=",AW813,"M=",AX813,"L=",AY813,"B=",AZ813)</f>
        <v/>
      </c>
      <c r="G813" t="inlineStr">
        <is>
          <t>F</t>
        </is>
      </c>
      <c r="I813" t="inlineStr">
        <is>
          <t>1952-08-23</t>
        </is>
      </c>
      <c r="J813" t="inlineStr">
        <is>
          <t>2004-01-29</t>
        </is>
      </c>
      <c r="K813" t="inlineStr">
        <is>
          <t>ACTIVE</t>
        </is>
      </c>
      <c r="L813" t="inlineStr">
        <is>
          <t>D</t>
        </is>
      </c>
      <c r="M813" t="inlineStr">
        <is>
          <t>1214 BELLE ST SE</t>
        </is>
      </c>
      <c r="N813">
        <f>RIGHT(M813,LEN(M813)-FIND(" ",M813))</f>
        <v/>
      </c>
      <c r="P813" t="inlineStr">
        <is>
          <t>WARREN</t>
        </is>
      </c>
      <c r="Q813" t="inlineStr">
        <is>
          <t>OH</t>
        </is>
      </c>
      <c r="R813" t="n">
        <v>44484</v>
      </c>
      <c r="AD813" t="inlineStr">
        <is>
          <t>TRUMBULL CAREER &amp; TECH CENTER</t>
        </is>
      </c>
      <c r="AE813" t="inlineStr">
        <is>
          <t>WARREN CITY</t>
        </is>
      </c>
      <c r="AF813" t="inlineStr">
        <is>
          <t>WARREN CITY SD</t>
        </is>
      </c>
      <c r="AH813" t="n">
        <v>14</v>
      </c>
      <c r="AI813" t="n">
        <v>11</v>
      </c>
      <c r="AN813" t="inlineStr">
        <is>
          <t>WARREN</t>
        </is>
      </c>
      <c r="AO813" t="inlineStr">
        <is>
          <t>WARREN CITY 4A</t>
        </is>
      </c>
      <c r="AP813" t="inlineStr">
        <is>
          <t>78-P-ADI</t>
        </is>
      </c>
      <c r="AQ813" t="n">
        <v>9</v>
      </c>
      <c r="AR813" t="n">
        <v>64</v>
      </c>
      <c r="AS813" t="n">
        <v>32</v>
      </c>
      <c r="AU813">
        <f>COUNTA($BA$813:$EH$813)</f>
        <v/>
      </c>
      <c r="AV813">
        <f>COUNTIF($BA$813:$EH$813,"D")</f>
        <v/>
      </c>
      <c r="AW813">
        <f>COUNTIF($BA$813:$EH$813,"R")</f>
        <v/>
      </c>
      <c r="AX813">
        <f>IF(BN813="D",1,0)+IF(BO813="D",1,0)+IF(BT813="D",1,0)+IF(BU813="D",1,0)+IF(BW813="D",1,0)+IF(CC813="D",1,0)+IF(CD813="D",1,0)+IF(CE813="D",1,0)+IF(CF813="D",1,0)+IF(CL813="D",1,0)+IF(CM813="D",1,0)+IF(CQ813="D",1,0)+IF(CR813="D",1,0)+IF(CS813="D",1,0)+IF(CW813="D",1,0)+IF(CX813="D",1,0)+IF(DD813="D",1,0)+IF(DE813="D",1,0)+IF(DJ813="D",1,0)+IF(DK813="D",1,0)+IF(DO813="D",1,0)+IF(DP813="D",1,0)+IF(DQ813="D",1,0)+IF(DW813="D",1,0)+IF(DZ813="D",1,0)+IF(EH813="D",1,0)</f>
        <v/>
      </c>
      <c r="AY813">
        <f>IF(DJ813&lt;&gt;"",1,0)+IF(DK813&lt;&gt;"",1,0)+IF(DM813&lt;&gt;"",1,0)+IF(DO813&lt;&gt;"",1,0)+IF(DP813&lt;&gt;"",1,0)+IF(DQ813&lt;&gt;"",1,0)+IF(DS813&lt;&gt;"",1,0)+IF(DT813&lt;&gt;"",1,0)+IF(DV813&lt;&gt;"",1,0)+IF(DW813&lt;&gt;"",1,0)+IF(DX813&lt;&gt;"",1,0)+IF(DY813&lt;&gt;"",1,0)+IF(DZ813&lt;&gt;"",1,0)+IF(EB813&lt;&gt;"",1,0)+IF(EC813&lt;&gt;"",1,0)+IF(ED813&lt;&gt;"",1,0)+IF(EG813&lt;&gt;"",1,0)+IF(EH813&lt;&gt;"",1,0)</f>
        <v/>
      </c>
      <c r="AZ813">
        <f>IF(EH813&lt;&gt;"",1,0)</f>
        <v/>
      </c>
      <c r="BB813" t="inlineStr">
        <is>
          <t>WARREN-WARD 4</t>
        </is>
      </c>
      <c r="BK813" t="inlineStr">
        <is>
          <t>X</t>
        </is>
      </c>
      <c r="BL813" t="inlineStr">
        <is>
          <t>X</t>
        </is>
      </c>
      <c r="BP813" t="inlineStr">
        <is>
          <t>X</t>
        </is>
      </c>
      <c r="BT813" t="inlineStr">
        <is>
          <t>X</t>
        </is>
      </c>
      <c r="BV813" t="inlineStr">
        <is>
          <t>X</t>
        </is>
      </c>
      <c r="BY813" t="inlineStr">
        <is>
          <t>D</t>
        </is>
      </c>
      <c r="CA813" t="inlineStr">
        <is>
          <t>X</t>
        </is>
      </c>
      <c r="CC813" t="inlineStr">
        <is>
          <t>D</t>
        </is>
      </c>
      <c r="CG813" t="inlineStr">
        <is>
          <t>X</t>
        </is>
      </c>
      <c r="CH813" t="inlineStr">
        <is>
          <t>D</t>
        </is>
      </c>
      <c r="CK813" t="inlineStr">
        <is>
          <t>X</t>
        </is>
      </c>
      <c r="CL813" t="inlineStr">
        <is>
          <t>D</t>
        </is>
      </c>
      <c r="CN813" t="inlineStr">
        <is>
          <t>X</t>
        </is>
      </c>
      <c r="CP813" t="inlineStr">
        <is>
          <t>X</t>
        </is>
      </c>
      <c r="CW813" t="inlineStr">
        <is>
          <t>D</t>
        </is>
      </c>
      <c r="CY813" t="inlineStr">
        <is>
          <t>X</t>
        </is>
      </c>
      <c r="CZ813" t="inlineStr">
        <is>
          <t>D</t>
        </is>
      </c>
      <c r="DC813" t="inlineStr">
        <is>
          <t>X</t>
        </is>
      </c>
      <c r="DD813" t="inlineStr">
        <is>
          <t>D</t>
        </is>
      </c>
      <c r="DI813" t="inlineStr">
        <is>
          <t>X</t>
        </is>
      </c>
      <c r="DJ813" t="inlineStr">
        <is>
          <t>D</t>
        </is>
      </c>
      <c r="DL813" t="inlineStr">
        <is>
          <t>X</t>
        </is>
      </c>
      <c r="DN813" t="inlineStr">
        <is>
          <t>X</t>
        </is>
      </c>
      <c r="DR813" t="inlineStr">
        <is>
          <t>X</t>
        </is>
      </c>
      <c r="DS813" t="inlineStr">
        <is>
          <t>D</t>
        </is>
      </c>
      <c r="DU813" t="inlineStr">
        <is>
          <t>X</t>
        </is>
      </c>
      <c r="DW813" t="inlineStr">
        <is>
          <t>D</t>
        </is>
      </c>
      <c r="EA813" t="inlineStr">
        <is>
          <t>X</t>
        </is>
      </c>
      <c r="EF813" t="inlineStr">
        <is>
          <t>X</t>
        </is>
      </c>
      <c r="EH813" t="inlineStr">
        <is>
          <t>D</t>
        </is>
      </c>
    </row>
    <row r="814">
      <c r="A814" t="inlineStr">
        <is>
          <t>OH0018583276</t>
        </is>
      </c>
      <c r="B814" t="n">
        <v>78</v>
      </c>
      <c r="C814" t="n">
        <v>339829</v>
      </c>
      <c r="D814" t="inlineStr">
        <is>
          <t>BEE</t>
        </is>
      </c>
      <c r="E814" t="inlineStr">
        <is>
          <t>MARILYN</t>
        </is>
      </c>
      <c r="F814">
        <f>CONCATENATE(D814," ",LEFT(H814,4),"T=",AU814,"D=",AV814,"R=",AW814,"M=",AX814,"L=",AY814,"B=",AZ814)</f>
        <v/>
      </c>
      <c r="G814" t="inlineStr">
        <is>
          <t>D</t>
        </is>
      </c>
      <c r="I814" t="inlineStr">
        <is>
          <t>1954-07-11</t>
        </is>
      </c>
      <c r="J814" t="inlineStr">
        <is>
          <t>2024-08-21</t>
        </is>
      </c>
      <c r="K814" t="inlineStr">
        <is>
          <t>ACTIVE</t>
        </is>
      </c>
      <c r="M814" t="inlineStr">
        <is>
          <t>243 LOGAN AVE SE</t>
        </is>
      </c>
      <c r="N814">
        <f>RIGHT(M814,LEN(M814)-FIND(" ",M814))</f>
        <v/>
      </c>
      <c r="P814" t="inlineStr">
        <is>
          <t>WARREN</t>
        </is>
      </c>
      <c r="Q814" t="inlineStr">
        <is>
          <t>OH</t>
        </is>
      </c>
      <c r="R814" t="n">
        <v>44483</v>
      </c>
      <c r="AD814" t="inlineStr">
        <is>
          <t>TRUMBULL CAREER &amp; TECH CENTER</t>
        </is>
      </c>
      <c r="AE814" t="inlineStr">
        <is>
          <t>WARREN CITY</t>
        </is>
      </c>
      <c r="AF814" t="inlineStr">
        <is>
          <t>WARREN CITY SD</t>
        </is>
      </c>
      <c r="AH814" t="n">
        <v>14</v>
      </c>
      <c r="AI814" t="n">
        <v>11</v>
      </c>
      <c r="AN814" t="inlineStr">
        <is>
          <t>WARREN</t>
        </is>
      </c>
      <c r="AO814" t="inlineStr">
        <is>
          <t>WARREN CITY 4A</t>
        </is>
      </c>
      <c r="AP814" t="inlineStr">
        <is>
          <t>78-P-ADI</t>
        </is>
      </c>
      <c r="AQ814" t="n">
        <v>9</v>
      </c>
      <c r="AR814" t="n">
        <v>64</v>
      </c>
      <c r="AS814" t="n">
        <v>32</v>
      </c>
      <c r="AU814">
        <f>COUNTA($BA$814:$EH$814)</f>
        <v/>
      </c>
      <c r="AV814">
        <f>COUNTIF($BA$814:$EH$814,"D")</f>
        <v/>
      </c>
      <c r="AW814">
        <f>COUNTIF($BA$814:$EH$814,"R")</f>
        <v/>
      </c>
      <c r="AX814">
        <f>IF(BN814="D",1,0)+IF(BO814="D",1,0)+IF(BT814="D",1,0)+IF(BU814="D",1,0)+IF(BW814="D",1,0)+IF(CC814="D",1,0)+IF(CD814="D",1,0)+IF(CE814="D",1,0)+IF(CF814="D",1,0)+IF(CL814="D",1,0)+IF(CM814="D",1,0)+IF(CQ814="D",1,0)+IF(CR814="D",1,0)+IF(CS814="D",1,0)+IF(CW814="D",1,0)+IF(CX814="D",1,0)+IF(DD814="D",1,0)+IF(DE814="D",1,0)+IF(DJ814="D",1,0)+IF(DK814="D",1,0)+IF(DO814="D",1,0)+IF(DP814="D",1,0)+IF(DQ814="D",1,0)+IF(DW814="D",1,0)+IF(DZ814="D",1,0)+IF(EH814="D",1,0)</f>
        <v/>
      </c>
      <c r="AY814">
        <f>IF(DJ814&lt;&gt;"",1,0)+IF(DK814&lt;&gt;"",1,0)+IF(DM814&lt;&gt;"",1,0)+IF(DO814&lt;&gt;"",1,0)+IF(DP814&lt;&gt;"",1,0)+IF(DQ814&lt;&gt;"",1,0)+IF(DS814&lt;&gt;"",1,0)+IF(DT814&lt;&gt;"",1,0)+IF(DV814&lt;&gt;"",1,0)+IF(DW814&lt;&gt;"",1,0)+IF(DX814&lt;&gt;"",1,0)+IF(DY814&lt;&gt;"",1,0)+IF(DZ814&lt;&gt;"",1,0)+IF(EB814&lt;&gt;"",1,0)+IF(EC814&lt;&gt;"",1,0)+IF(ED814&lt;&gt;"",1,0)+IF(EG814&lt;&gt;"",1,0)+IF(EH814&lt;&gt;"",1,0)</f>
        <v/>
      </c>
      <c r="AZ814">
        <f>IF(EH814&lt;&gt;"",1,0)</f>
        <v/>
      </c>
      <c r="BB814" t="inlineStr">
        <is>
          <t>WARREN-WARD 4</t>
        </is>
      </c>
      <c r="CA814" t="inlineStr">
        <is>
          <t>X</t>
        </is>
      </c>
      <c r="CP814" t="inlineStr">
        <is>
          <t>X</t>
        </is>
      </c>
      <c r="CY814" t="inlineStr">
        <is>
          <t>X</t>
        </is>
      </c>
      <c r="DC814" t="inlineStr">
        <is>
          <t>X</t>
        </is>
      </c>
      <c r="DI814" t="inlineStr">
        <is>
          <t>X</t>
        </is>
      </c>
      <c r="DN814" t="inlineStr">
        <is>
          <t>X</t>
        </is>
      </c>
    </row>
    <row r="815">
      <c r="A815" t="inlineStr">
        <is>
          <t>OH0015720828</t>
        </is>
      </c>
      <c r="B815" t="n">
        <v>78</v>
      </c>
      <c r="C815" t="n">
        <v>201324</v>
      </c>
      <c r="D815" t="inlineStr">
        <is>
          <t>HAWKINS</t>
        </is>
      </c>
      <c r="E815" t="inlineStr">
        <is>
          <t>SCOTT</t>
        </is>
      </c>
      <c r="F815">
        <f>CONCATENATE(D815," ",LEFT(H815,4),"T=",AU815,"D=",AV815,"R=",AW815,"M=",AX815,"L=",AY815,"B=",AZ815)</f>
        <v/>
      </c>
      <c r="G815" t="inlineStr">
        <is>
          <t>M</t>
        </is>
      </c>
      <c r="I815" t="inlineStr">
        <is>
          <t>1960-03-11</t>
        </is>
      </c>
      <c r="J815" t="inlineStr">
        <is>
          <t>1988-03-15</t>
        </is>
      </c>
      <c r="K815" t="inlineStr">
        <is>
          <t>ACTIVE</t>
        </is>
      </c>
      <c r="L815" t="inlineStr">
        <is>
          <t>D</t>
        </is>
      </c>
      <c r="M815" t="inlineStr">
        <is>
          <t>1314 BELLE ST SE</t>
        </is>
      </c>
      <c r="N815">
        <f>RIGHT(M815,LEN(M815)-FIND(" ",M815))</f>
        <v/>
      </c>
      <c r="P815" t="inlineStr">
        <is>
          <t>WARREN</t>
        </is>
      </c>
      <c r="Q815" t="inlineStr">
        <is>
          <t>OH</t>
        </is>
      </c>
      <c r="R815" t="n">
        <v>44484</v>
      </c>
      <c r="AD815" t="inlineStr">
        <is>
          <t>TRUMBULL CAREER &amp; TECH CENTER</t>
        </is>
      </c>
      <c r="AE815" t="inlineStr">
        <is>
          <t>WARREN CITY</t>
        </is>
      </c>
      <c r="AF815" t="inlineStr">
        <is>
          <t>WARREN CITY SD</t>
        </is>
      </c>
      <c r="AH815" t="n">
        <v>14</v>
      </c>
      <c r="AI815" t="n">
        <v>11</v>
      </c>
      <c r="AN815" t="inlineStr">
        <is>
          <t>WARREN</t>
        </is>
      </c>
      <c r="AO815" t="inlineStr">
        <is>
          <t>WARREN CITY 4A</t>
        </is>
      </c>
      <c r="AP815" t="inlineStr">
        <is>
          <t>78-P-ADI</t>
        </is>
      </c>
      <c r="AQ815" t="n">
        <v>9</v>
      </c>
      <c r="AR815" t="n">
        <v>64</v>
      </c>
      <c r="AS815" t="n">
        <v>32</v>
      </c>
      <c r="AU815">
        <f>COUNTA($BA$815:$EH$815)</f>
        <v/>
      </c>
      <c r="AV815">
        <f>COUNTIF($BA$815:$EH$815,"D")</f>
        <v/>
      </c>
      <c r="AW815">
        <f>COUNTIF($BA$815:$EH$815,"R")</f>
        <v/>
      </c>
      <c r="AX815">
        <f>IF(BN815="D",1,0)+IF(BO815="D",1,0)+IF(BT815="D",1,0)+IF(BU815="D",1,0)+IF(BW815="D",1,0)+IF(CC815="D",1,0)+IF(CD815="D",1,0)+IF(CE815="D",1,0)+IF(CF815="D",1,0)+IF(CL815="D",1,0)+IF(CM815="D",1,0)+IF(CQ815="D",1,0)+IF(CR815="D",1,0)+IF(CS815="D",1,0)+IF(CW815="D",1,0)+IF(CX815="D",1,0)+IF(DD815="D",1,0)+IF(DE815="D",1,0)+IF(DJ815="D",1,0)+IF(DK815="D",1,0)+IF(DO815="D",1,0)+IF(DP815="D",1,0)+IF(DQ815="D",1,0)+IF(DW815="D",1,0)+IF(DZ815="D",1,0)+IF(EH815="D",1,0)</f>
        <v/>
      </c>
      <c r="AY815">
        <f>IF(DJ815&lt;&gt;"",1,0)+IF(DK815&lt;&gt;"",1,0)+IF(DM815&lt;&gt;"",1,0)+IF(DO815&lt;&gt;"",1,0)+IF(DP815&lt;&gt;"",1,0)+IF(DQ815&lt;&gt;"",1,0)+IF(DS815&lt;&gt;"",1,0)+IF(DT815&lt;&gt;"",1,0)+IF(DV815&lt;&gt;"",1,0)+IF(DW815&lt;&gt;"",1,0)+IF(DX815&lt;&gt;"",1,0)+IF(DY815&lt;&gt;"",1,0)+IF(DZ815&lt;&gt;"",1,0)+IF(EB815&lt;&gt;"",1,0)+IF(EC815&lt;&gt;"",1,0)+IF(ED815&lt;&gt;"",1,0)+IF(EG815&lt;&gt;"",1,0)+IF(EH815&lt;&gt;"",1,0)</f>
        <v/>
      </c>
      <c r="AZ815">
        <f>IF(EH815&lt;&gt;"",1,0)</f>
        <v/>
      </c>
      <c r="BB815" t="inlineStr">
        <is>
          <t>WARREN-WARD 4</t>
        </is>
      </c>
      <c r="BC815" t="inlineStr">
        <is>
          <t>X</t>
        </is>
      </c>
      <c r="BD815" t="inlineStr">
        <is>
          <t>X</t>
        </is>
      </c>
      <c r="BE815" t="inlineStr">
        <is>
          <t>X</t>
        </is>
      </c>
      <c r="BF815" t="inlineStr">
        <is>
          <t>X</t>
        </is>
      </c>
      <c r="BG815" t="inlineStr">
        <is>
          <t>X</t>
        </is>
      </c>
      <c r="BH815" t="inlineStr">
        <is>
          <t>X</t>
        </is>
      </c>
      <c r="BI815" t="inlineStr">
        <is>
          <t>X</t>
        </is>
      </c>
      <c r="BJ815" t="inlineStr">
        <is>
          <t>X</t>
        </is>
      </c>
      <c r="BK815" t="inlineStr">
        <is>
          <t>X</t>
        </is>
      </c>
      <c r="BL815" t="inlineStr">
        <is>
          <t>X</t>
        </is>
      </c>
      <c r="BP815" t="inlineStr">
        <is>
          <t>X</t>
        </is>
      </c>
      <c r="BR815" t="inlineStr">
        <is>
          <t>X</t>
        </is>
      </c>
      <c r="BS815" t="inlineStr">
        <is>
          <t>X</t>
        </is>
      </c>
      <c r="BV815" t="inlineStr">
        <is>
          <t>X</t>
        </is>
      </c>
      <c r="BY815" t="inlineStr">
        <is>
          <t>D</t>
        </is>
      </c>
      <c r="CA815" t="inlineStr">
        <is>
          <t>X</t>
        </is>
      </c>
      <c r="CG815" t="inlineStr">
        <is>
          <t>X</t>
        </is>
      </c>
      <c r="CH815" t="inlineStr">
        <is>
          <t>D</t>
        </is>
      </c>
      <c r="CK815" t="inlineStr">
        <is>
          <t>X</t>
        </is>
      </c>
      <c r="CL815" t="inlineStr">
        <is>
          <t>D</t>
        </is>
      </c>
      <c r="CN815" t="inlineStr">
        <is>
          <t>X</t>
        </is>
      </c>
      <c r="CO815" t="inlineStr">
        <is>
          <t>D</t>
        </is>
      </c>
      <c r="CP815" t="inlineStr">
        <is>
          <t>X</t>
        </is>
      </c>
      <c r="CQ815" t="inlineStr">
        <is>
          <t>D</t>
        </is>
      </c>
      <c r="CV815" t="inlineStr">
        <is>
          <t>X</t>
        </is>
      </c>
      <c r="CW815" t="inlineStr">
        <is>
          <t>D</t>
        </is>
      </c>
      <c r="CY815" t="inlineStr">
        <is>
          <t>X</t>
        </is>
      </c>
      <c r="CZ815" t="inlineStr">
        <is>
          <t>D</t>
        </is>
      </c>
      <c r="DC815" t="inlineStr">
        <is>
          <t>X</t>
        </is>
      </c>
      <c r="DF815" t="inlineStr">
        <is>
          <t>X</t>
        </is>
      </c>
      <c r="DG815" t="inlineStr">
        <is>
          <t>D</t>
        </is>
      </c>
      <c r="DI815" t="inlineStr">
        <is>
          <t>X</t>
        </is>
      </c>
      <c r="DL815" t="inlineStr">
        <is>
          <t>X</t>
        </is>
      </c>
      <c r="DM815" t="inlineStr">
        <is>
          <t>D</t>
        </is>
      </c>
      <c r="DN815" t="inlineStr">
        <is>
          <t>X</t>
        </is>
      </c>
      <c r="DR815" t="inlineStr">
        <is>
          <t>X</t>
        </is>
      </c>
      <c r="DS815" t="inlineStr">
        <is>
          <t>D</t>
        </is>
      </c>
      <c r="DT815" t="inlineStr">
        <is>
          <t>D</t>
        </is>
      </c>
      <c r="DU815" t="inlineStr">
        <is>
          <t>X</t>
        </is>
      </c>
      <c r="DX815" t="inlineStr">
        <is>
          <t>X</t>
        </is>
      </c>
      <c r="EA815" t="inlineStr">
        <is>
          <t>X</t>
        </is>
      </c>
      <c r="ED815" t="inlineStr">
        <is>
          <t>D</t>
        </is>
      </c>
      <c r="EF815" t="inlineStr">
        <is>
          <t>X</t>
        </is>
      </c>
    </row>
    <row r="816">
      <c r="A816" t="inlineStr">
        <is>
          <t>OH0015766099</t>
        </is>
      </c>
      <c r="B816" t="n">
        <v>78</v>
      </c>
      <c r="C816" t="n">
        <v>286067</v>
      </c>
      <c r="D816" t="inlineStr">
        <is>
          <t>NORMAN</t>
        </is>
      </c>
      <c r="E816" t="inlineStr">
        <is>
          <t>MICHAEL</t>
        </is>
      </c>
      <c r="F816">
        <f>CONCATENATE(D816," ",LEFT(H816,4),"T=",AU816,"D=",AV816,"R=",AW816,"M=",AX816,"L=",AY816,"B=",AZ816)</f>
        <v/>
      </c>
      <c r="G816" t="inlineStr">
        <is>
          <t>LEE</t>
        </is>
      </c>
      <c r="I816" t="inlineStr">
        <is>
          <t>1955-04-16</t>
        </is>
      </c>
      <c r="J816" t="inlineStr">
        <is>
          <t>2025-03-27</t>
        </is>
      </c>
      <c r="K816" t="inlineStr">
        <is>
          <t>ACTIVE</t>
        </is>
      </c>
      <c r="M816" t="inlineStr">
        <is>
          <t>801 WOODBINE AVE SE</t>
        </is>
      </c>
      <c r="N816">
        <f>RIGHT(M816,LEN(M816)-FIND(" ",M816))</f>
        <v/>
      </c>
      <c r="P816" t="inlineStr">
        <is>
          <t>WARREN</t>
        </is>
      </c>
      <c r="Q816" t="inlineStr">
        <is>
          <t>OH</t>
        </is>
      </c>
      <c r="R816" t="n">
        <v>44484</v>
      </c>
      <c r="AD816" t="inlineStr">
        <is>
          <t>TRUMBULL CAREER &amp; TECH CENTER</t>
        </is>
      </c>
      <c r="AE816" t="inlineStr">
        <is>
          <t>WARREN CITY</t>
        </is>
      </c>
      <c r="AF816" t="inlineStr">
        <is>
          <t>WARREN CITY SD</t>
        </is>
      </c>
      <c r="AH816" t="n">
        <v>14</v>
      </c>
      <c r="AI816" t="n">
        <v>11</v>
      </c>
      <c r="AN816" t="inlineStr">
        <is>
          <t>WARREN</t>
        </is>
      </c>
      <c r="AO816" t="inlineStr">
        <is>
          <t>WARREN CITY 4A</t>
        </is>
      </c>
      <c r="AP816" t="inlineStr">
        <is>
          <t>78-P-ADI</t>
        </is>
      </c>
      <c r="AQ816" t="n">
        <v>9</v>
      </c>
      <c r="AR816" t="n">
        <v>64</v>
      </c>
      <c r="AS816" t="n">
        <v>32</v>
      </c>
      <c r="AU816">
        <f>COUNTA($BA$816:$EH$816)</f>
        <v/>
      </c>
      <c r="AV816">
        <f>COUNTIF($BA$816:$EH$816,"D")</f>
        <v/>
      </c>
      <c r="AW816">
        <f>COUNTIF($BA$816:$EH$816,"R")</f>
        <v/>
      </c>
      <c r="AX816">
        <f>IF(BN816="D",1,0)+IF(BO816="D",1,0)+IF(BT816="D",1,0)+IF(BU816="D",1,0)+IF(BW816="D",1,0)+IF(CC816="D",1,0)+IF(CD816="D",1,0)+IF(CE816="D",1,0)+IF(CF816="D",1,0)+IF(CL816="D",1,0)+IF(CM816="D",1,0)+IF(CQ816="D",1,0)+IF(CR816="D",1,0)+IF(CS816="D",1,0)+IF(CW816="D",1,0)+IF(CX816="D",1,0)+IF(DD816="D",1,0)+IF(DE816="D",1,0)+IF(DJ816="D",1,0)+IF(DK816="D",1,0)+IF(DO816="D",1,0)+IF(DP816="D",1,0)+IF(DQ816="D",1,0)+IF(DW816="D",1,0)+IF(DZ816="D",1,0)+IF(EH816="D",1,0)</f>
        <v/>
      </c>
      <c r="AY816">
        <f>IF(DJ816&lt;&gt;"",1,0)+IF(DK816&lt;&gt;"",1,0)+IF(DM816&lt;&gt;"",1,0)+IF(DO816&lt;&gt;"",1,0)+IF(DP816&lt;&gt;"",1,0)+IF(DQ816&lt;&gt;"",1,0)+IF(DS816&lt;&gt;"",1,0)+IF(DT816&lt;&gt;"",1,0)+IF(DV816&lt;&gt;"",1,0)+IF(DW816&lt;&gt;"",1,0)+IF(DX816&lt;&gt;"",1,0)+IF(DY816&lt;&gt;"",1,0)+IF(DZ816&lt;&gt;"",1,0)+IF(EB816&lt;&gt;"",1,0)+IF(EC816&lt;&gt;"",1,0)+IF(ED816&lt;&gt;"",1,0)+IF(EG816&lt;&gt;"",1,0)+IF(EH816&lt;&gt;"",1,0)</f>
        <v/>
      </c>
      <c r="AZ816">
        <f>IF(EH816&lt;&gt;"",1,0)</f>
        <v/>
      </c>
      <c r="BB816" t="inlineStr">
        <is>
          <t>WARREN-WARD 4</t>
        </is>
      </c>
      <c r="DC816" t="inlineStr">
        <is>
          <t>X</t>
        </is>
      </c>
      <c r="DN816" t="inlineStr">
        <is>
          <t>X</t>
        </is>
      </c>
    </row>
    <row r="817">
      <c r="A817" t="inlineStr">
        <is>
          <t>OH0015763399</t>
        </is>
      </c>
      <c r="B817" t="n">
        <v>78</v>
      </c>
      <c r="C817" t="n">
        <v>250487</v>
      </c>
      <c r="D817" t="inlineStr">
        <is>
          <t>CAMPANA</t>
        </is>
      </c>
      <c r="E817" t="inlineStr">
        <is>
          <t>EDDY</t>
        </is>
      </c>
      <c r="F817">
        <f>CONCATENATE(D817," ",LEFT(H817,4),"T=",AU817,"D=",AV817,"R=",AW817,"M=",AX817,"L=",AY817,"B=",AZ817)</f>
        <v/>
      </c>
      <c r="G817" t="inlineStr">
        <is>
          <t>H</t>
        </is>
      </c>
      <c r="I817" t="inlineStr">
        <is>
          <t>1949-07-06</t>
        </is>
      </c>
      <c r="J817" t="inlineStr">
        <is>
          <t>1993-12-14</t>
        </is>
      </c>
      <c r="K817" t="inlineStr">
        <is>
          <t>ACTIVE</t>
        </is>
      </c>
      <c r="L817" t="inlineStr">
        <is>
          <t>R</t>
        </is>
      </c>
      <c r="M817" t="inlineStr">
        <is>
          <t>1334 BELLE ST SE</t>
        </is>
      </c>
      <c r="N817">
        <f>RIGHT(M817,LEN(M817)-FIND(" ",M817))</f>
        <v/>
      </c>
      <c r="P817" t="inlineStr">
        <is>
          <t>WARREN</t>
        </is>
      </c>
      <c r="Q817" t="inlineStr">
        <is>
          <t>OH</t>
        </is>
      </c>
      <c r="R817" t="n">
        <v>44484</v>
      </c>
      <c r="AD817" t="inlineStr">
        <is>
          <t>TRUMBULL CAREER &amp; TECH CENTER</t>
        </is>
      </c>
      <c r="AE817" t="inlineStr">
        <is>
          <t>WARREN CITY</t>
        </is>
      </c>
      <c r="AF817" t="inlineStr">
        <is>
          <t>WARREN CITY SD</t>
        </is>
      </c>
      <c r="AH817" t="n">
        <v>14</v>
      </c>
      <c r="AI817" t="n">
        <v>11</v>
      </c>
      <c r="AN817" t="inlineStr">
        <is>
          <t>WARREN</t>
        </is>
      </c>
      <c r="AO817" t="inlineStr">
        <is>
          <t>WARREN CITY 4A</t>
        </is>
      </c>
      <c r="AP817" t="inlineStr">
        <is>
          <t>78-P-ADI</t>
        </is>
      </c>
      <c r="AQ817" t="n">
        <v>9</v>
      </c>
      <c r="AR817" t="n">
        <v>64</v>
      </c>
      <c r="AS817" t="n">
        <v>32</v>
      </c>
      <c r="AU817">
        <f>COUNTA($BA$817:$EH$817)</f>
        <v/>
      </c>
      <c r="AV817">
        <f>COUNTIF($BA$817:$EH$817,"D")</f>
        <v/>
      </c>
      <c r="AW817">
        <f>COUNTIF($BA$817:$EH$817,"R")</f>
        <v/>
      </c>
      <c r="AX817">
        <f>IF(BN817="D",1,0)+IF(BO817="D",1,0)+IF(BT817="D",1,0)+IF(BU817="D",1,0)+IF(BW817="D",1,0)+IF(CC817="D",1,0)+IF(CD817="D",1,0)+IF(CE817="D",1,0)+IF(CF817="D",1,0)+IF(CL817="D",1,0)+IF(CM817="D",1,0)+IF(CQ817="D",1,0)+IF(CR817="D",1,0)+IF(CS817="D",1,0)+IF(CW817="D",1,0)+IF(CX817="D",1,0)+IF(DD817="D",1,0)+IF(DE817="D",1,0)+IF(DJ817="D",1,0)+IF(DK817="D",1,0)+IF(DO817="D",1,0)+IF(DP817="D",1,0)+IF(DQ817="D",1,0)+IF(DW817="D",1,0)+IF(DZ817="D",1,0)+IF(EH817="D",1,0)</f>
        <v/>
      </c>
      <c r="AY817">
        <f>IF(DJ817&lt;&gt;"",1,0)+IF(DK817&lt;&gt;"",1,0)+IF(DM817&lt;&gt;"",1,0)+IF(DO817&lt;&gt;"",1,0)+IF(DP817&lt;&gt;"",1,0)+IF(DQ817&lt;&gt;"",1,0)+IF(DS817&lt;&gt;"",1,0)+IF(DT817&lt;&gt;"",1,0)+IF(DV817&lt;&gt;"",1,0)+IF(DW817&lt;&gt;"",1,0)+IF(DX817&lt;&gt;"",1,0)+IF(DY817&lt;&gt;"",1,0)+IF(DZ817&lt;&gt;"",1,0)+IF(EB817&lt;&gt;"",1,0)+IF(EC817&lt;&gt;"",1,0)+IF(ED817&lt;&gt;"",1,0)+IF(EG817&lt;&gt;"",1,0)+IF(EH817&lt;&gt;"",1,0)</f>
        <v/>
      </c>
      <c r="AZ817">
        <f>IF(EH817&lt;&gt;"",1,0)</f>
        <v/>
      </c>
      <c r="BB817" t="inlineStr">
        <is>
          <t>WARREN-WARD 4</t>
        </is>
      </c>
      <c r="BD817" t="inlineStr">
        <is>
          <t>X</t>
        </is>
      </c>
      <c r="BJ817" t="inlineStr">
        <is>
          <t>X</t>
        </is>
      </c>
      <c r="BL817" t="inlineStr">
        <is>
          <t>X</t>
        </is>
      </c>
      <c r="CA817" t="inlineStr">
        <is>
          <t>X</t>
        </is>
      </c>
      <c r="DC817" t="inlineStr">
        <is>
          <t>X</t>
        </is>
      </c>
      <c r="DI817" t="inlineStr">
        <is>
          <t>X</t>
        </is>
      </c>
      <c r="DM817" t="inlineStr">
        <is>
          <t>R</t>
        </is>
      </c>
      <c r="DN817" t="inlineStr">
        <is>
          <t>X</t>
        </is>
      </c>
      <c r="DU817" t="inlineStr">
        <is>
          <t>X</t>
        </is>
      </c>
      <c r="EA817" t="inlineStr">
        <is>
          <t>X</t>
        </is>
      </c>
      <c r="ED817" t="inlineStr">
        <is>
          <t>R</t>
        </is>
      </c>
      <c r="EF817" t="inlineStr">
        <is>
          <t>X</t>
        </is>
      </c>
    </row>
    <row r="818">
      <c r="A818" t="inlineStr">
        <is>
          <t>OH0023826999</t>
        </is>
      </c>
      <c r="B818" t="n">
        <v>78</v>
      </c>
      <c r="C818" t="n">
        <v>418702</v>
      </c>
      <c r="D818" t="inlineStr">
        <is>
          <t>MCFADDEN</t>
        </is>
      </c>
      <c r="E818" t="inlineStr">
        <is>
          <t>ELIZABETH</t>
        </is>
      </c>
      <c r="F818">
        <f>CONCATENATE(D818," ",LEFT(H818,4),"T=",AU818,"D=",AV818,"R=",AW818,"M=",AX818,"L=",AY818,"B=",AZ818)</f>
        <v/>
      </c>
      <c r="G818" t="inlineStr">
        <is>
          <t>A</t>
        </is>
      </c>
      <c r="I818" t="inlineStr">
        <is>
          <t>1968-11-18</t>
        </is>
      </c>
      <c r="J818" t="inlineStr">
        <is>
          <t>2016-10-10</t>
        </is>
      </c>
      <c r="K818" t="inlineStr">
        <is>
          <t>ACTIVE</t>
        </is>
      </c>
      <c r="M818" t="inlineStr">
        <is>
          <t>343 WOODBINE AVE SE</t>
        </is>
      </c>
      <c r="N818">
        <f>RIGHT(M818,LEN(M818)-FIND(" ",M818))</f>
        <v/>
      </c>
      <c r="P818" t="inlineStr">
        <is>
          <t>WARREN</t>
        </is>
      </c>
      <c r="Q818" t="inlineStr">
        <is>
          <t>OH</t>
        </is>
      </c>
      <c r="R818" t="n">
        <v>44483</v>
      </c>
      <c r="AD818" t="inlineStr">
        <is>
          <t>TRUMBULL CAREER &amp; TECH CENTER</t>
        </is>
      </c>
      <c r="AE818" t="inlineStr">
        <is>
          <t>WARREN CITY</t>
        </is>
      </c>
      <c r="AF818" t="inlineStr">
        <is>
          <t>WARREN CITY SD</t>
        </is>
      </c>
      <c r="AH818" t="n">
        <v>14</v>
      </c>
      <c r="AI818" t="n">
        <v>11</v>
      </c>
      <c r="AN818" t="inlineStr">
        <is>
          <t>WARREN</t>
        </is>
      </c>
      <c r="AO818" t="inlineStr">
        <is>
          <t>WARREN CITY 4A</t>
        </is>
      </c>
      <c r="AP818" t="inlineStr">
        <is>
          <t>78-P-ADI</t>
        </is>
      </c>
      <c r="AQ818" t="n">
        <v>9</v>
      </c>
      <c r="AR818" t="n">
        <v>64</v>
      </c>
      <c r="AS818" t="n">
        <v>32</v>
      </c>
      <c r="AU818">
        <f>COUNTA($BA$818:$EH$818)</f>
        <v/>
      </c>
      <c r="AV818">
        <f>COUNTIF($BA$818:$EH$818,"D")</f>
        <v/>
      </c>
      <c r="AW818">
        <f>COUNTIF($BA$818:$EH$818,"R")</f>
        <v/>
      </c>
      <c r="AX818">
        <f>IF(BN818="D",1,0)+IF(BO818="D",1,0)+IF(BT818="D",1,0)+IF(BU818="D",1,0)+IF(BW818="D",1,0)+IF(CC818="D",1,0)+IF(CD818="D",1,0)+IF(CE818="D",1,0)+IF(CF818="D",1,0)+IF(CL818="D",1,0)+IF(CM818="D",1,0)+IF(CQ818="D",1,0)+IF(CR818="D",1,0)+IF(CS818="D",1,0)+IF(CW818="D",1,0)+IF(CX818="D",1,0)+IF(DD818="D",1,0)+IF(DE818="D",1,0)+IF(DJ818="D",1,0)+IF(DK818="D",1,0)+IF(DO818="D",1,0)+IF(DP818="D",1,0)+IF(DQ818="D",1,0)+IF(DW818="D",1,0)+IF(DZ818="D",1,0)+IF(EH818="D",1,0)</f>
        <v/>
      </c>
      <c r="AY818">
        <f>IF(DJ818&lt;&gt;"",1,0)+IF(DK818&lt;&gt;"",1,0)+IF(DM818&lt;&gt;"",1,0)+IF(DO818&lt;&gt;"",1,0)+IF(DP818&lt;&gt;"",1,0)+IF(DQ818&lt;&gt;"",1,0)+IF(DS818&lt;&gt;"",1,0)+IF(DT818&lt;&gt;"",1,0)+IF(DV818&lt;&gt;"",1,0)+IF(DW818&lt;&gt;"",1,0)+IF(DX818&lt;&gt;"",1,0)+IF(DY818&lt;&gt;"",1,0)+IF(DZ818&lt;&gt;"",1,0)+IF(EB818&lt;&gt;"",1,0)+IF(EC818&lt;&gt;"",1,0)+IF(ED818&lt;&gt;"",1,0)+IF(EG818&lt;&gt;"",1,0)+IF(EH818&lt;&gt;"",1,0)</f>
        <v/>
      </c>
      <c r="AZ818">
        <f>IF(EH818&lt;&gt;"",1,0)</f>
        <v/>
      </c>
      <c r="BB818" t="inlineStr">
        <is>
          <t>WARREN-WARD 4</t>
        </is>
      </c>
      <c r="DC818" t="inlineStr">
        <is>
          <t>X</t>
        </is>
      </c>
    </row>
    <row r="819">
      <c r="A819" t="inlineStr">
        <is>
          <t>OH0022208944</t>
        </is>
      </c>
      <c r="B819" t="n">
        <v>78</v>
      </c>
      <c r="C819" t="n">
        <v>392814</v>
      </c>
      <c r="D819" t="inlineStr">
        <is>
          <t>OLIVER</t>
        </is>
      </c>
      <c r="E819" t="inlineStr">
        <is>
          <t>RIYON</t>
        </is>
      </c>
      <c r="F819">
        <f>CONCATENATE(D819," ",LEFT(H819,4),"T=",AU819,"D=",AV819,"R=",AW819,"M=",AX819,"L=",AY819,"B=",AZ819)</f>
        <v/>
      </c>
      <c r="G819" t="inlineStr">
        <is>
          <t>D</t>
        </is>
      </c>
      <c r="I819" t="inlineStr">
        <is>
          <t>1994-03-10</t>
        </is>
      </c>
      <c r="J819" t="inlineStr">
        <is>
          <t>2016-12-08</t>
        </is>
      </c>
      <c r="K819" t="inlineStr">
        <is>
          <t>CONFIRMATION</t>
        </is>
      </c>
      <c r="M819" t="inlineStr">
        <is>
          <t>1219 BELLE ST SE</t>
        </is>
      </c>
      <c r="N819">
        <f>RIGHT(M819,LEN(M819)-FIND(" ",M819))</f>
        <v/>
      </c>
      <c r="P819" t="inlineStr">
        <is>
          <t>WARREN</t>
        </is>
      </c>
      <c r="Q819" t="inlineStr">
        <is>
          <t>OH</t>
        </is>
      </c>
      <c r="R819" t="n">
        <v>44484</v>
      </c>
      <c r="AD819" t="inlineStr">
        <is>
          <t>TRUMBULL CAREER &amp; TECH CENTER</t>
        </is>
      </c>
      <c r="AE819" t="inlineStr">
        <is>
          <t>WARREN CITY</t>
        </is>
      </c>
      <c r="AF819" t="inlineStr">
        <is>
          <t>WARREN CITY SD</t>
        </is>
      </c>
      <c r="AH819" t="n">
        <v>14</v>
      </c>
      <c r="AI819" t="n">
        <v>11</v>
      </c>
      <c r="AN819" t="inlineStr">
        <is>
          <t>WARREN</t>
        </is>
      </c>
      <c r="AO819" t="inlineStr">
        <is>
          <t>WARREN CITY 4A</t>
        </is>
      </c>
      <c r="AP819" t="inlineStr">
        <is>
          <t>78-P-ADI</t>
        </is>
      </c>
      <c r="AQ819" t="n">
        <v>9</v>
      </c>
      <c r="AR819" t="n">
        <v>64</v>
      </c>
      <c r="AS819" t="n">
        <v>32</v>
      </c>
      <c r="AU819">
        <f>COUNTA($BA$819:$EH$819)</f>
        <v/>
      </c>
      <c r="AV819">
        <f>COUNTIF($BA$819:$EH$819,"D")</f>
        <v/>
      </c>
      <c r="AW819">
        <f>COUNTIF($BA$819:$EH$819,"R")</f>
        <v/>
      </c>
      <c r="AX819">
        <f>IF(BN819="D",1,0)+IF(BO819="D",1,0)+IF(BT819="D",1,0)+IF(BU819="D",1,0)+IF(BW819="D",1,0)+IF(CC819="D",1,0)+IF(CD819="D",1,0)+IF(CE819="D",1,0)+IF(CF819="D",1,0)+IF(CL819="D",1,0)+IF(CM819="D",1,0)+IF(CQ819="D",1,0)+IF(CR819="D",1,0)+IF(CS819="D",1,0)+IF(CW819="D",1,0)+IF(CX819="D",1,0)+IF(DD819="D",1,0)+IF(DE819="D",1,0)+IF(DJ819="D",1,0)+IF(DK819="D",1,0)+IF(DO819="D",1,0)+IF(DP819="D",1,0)+IF(DQ819="D",1,0)+IF(DW819="D",1,0)+IF(DZ819="D",1,0)+IF(EH819="D",1,0)</f>
        <v/>
      </c>
      <c r="AY819">
        <f>IF(DJ819&lt;&gt;"",1,0)+IF(DK819&lt;&gt;"",1,0)+IF(DM819&lt;&gt;"",1,0)+IF(DO819&lt;&gt;"",1,0)+IF(DP819&lt;&gt;"",1,0)+IF(DQ819&lt;&gt;"",1,0)+IF(DS819&lt;&gt;"",1,0)+IF(DT819&lt;&gt;"",1,0)+IF(DV819&lt;&gt;"",1,0)+IF(DW819&lt;&gt;"",1,0)+IF(DX819&lt;&gt;"",1,0)+IF(DY819&lt;&gt;"",1,0)+IF(DZ819&lt;&gt;"",1,0)+IF(EB819&lt;&gt;"",1,0)+IF(EC819&lt;&gt;"",1,0)+IF(ED819&lt;&gt;"",1,0)+IF(EG819&lt;&gt;"",1,0)+IF(EH819&lt;&gt;"",1,0)</f>
        <v/>
      </c>
      <c r="AZ819">
        <f>IF(EH819&lt;&gt;"",1,0)</f>
        <v/>
      </c>
      <c r="BB819" t="inlineStr">
        <is>
          <t>WARREN-WARD 4</t>
        </is>
      </c>
      <c r="CP819" t="inlineStr">
        <is>
          <t>X</t>
        </is>
      </c>
      <c r="DC819" t="inlineStr">
        <is>
          <t>X</t>
        </is>
      </c>
    </row>
    <row r="820">
      <c r="A820" t="inlineStr">
        <is>
          <t>OH0025840809</t>
        </is>
      </c>
      <c r="B820" t="n">
        <v>78</v>
      </c>
      <c r="C820" t="n">
        <v>406074</v>
      </c>
      <c r="D820" t="inlineStr">
        <is>
          <t>NORMAN</t>
        </is>
      </c>
      <c r="E820" t="inlineStr">
        <is>
          <t>JOSEPH</t>
        </is>
      </c>
      <c r="F820">
        <f>CONCATENATE(D820," ",LEFT(H820,4),"T=",AU820,"D=",AV820,"R=",AW820,"M=",AX820,"L=",AY820,"B=",AZ820)</f>
        <v/>
      </c>
      <c r="G820" t="inlineStr">
        <is>
          <t>K</t>
        </is>
      </c>
      <c r="I820" t="inlineStr">
        <is>
          <t>1992-11-18</t>
        </is>
      </c>
      <c r="J820" t="inlineStr">
        <is>
          <t>2020-09-14</t>
        </is>
      </c>
      <c r="K820" t="inlineStr">
        <is>
          <t>ACTIVE</t>
        </is>
      </c>
      <c r="M820" t="inlineStr">
        <is>
          <t>801 WOODBINE AVE SE</t>
        </is>
      </c>
      <c r="N820">
        <f>RIGHT(M820,LEN(M820)-FIND(" ",M820))</f>
        <v/>
      </c>
      <c r="P820" t="inlineStr">
        <is>
          <t>WARREN</t>
        </is>
      </c>
      <c r="Q820" t="inlineStr">
        <is>
          <t>OH</t>
        </is>
      </c>
      <c r="R820" t="n">
        <v>44484</v>
      </c>
      <c r="AD820" t="inlineStr">
        <is>
          <t>TRUMBULL CAREER &amp; TECH CENTER</t>
        </is>
      </c>
      <c r="AE820" t="inlineStr">
        <is>
          <t>WARREN CITY</t>
        </is>
      </c>
      <c r="AF820" t="inlineStr">
        <is>
          <t>WARREN CITY SD</t>
        </is>
      </c>
      <c r="AH820" t="n">
        <v>14</v>
      </c>
      <c r="AI820" t="n">
        <v>11</v>
      </c>
      <c r="AN820" t="inlineStr">
        <is>
          <t>WARREN</t>
        </is>
      </c>
      <c r="AO820" t="inlineStr">
        <is>
          <t>WARREN CITY 4A</t>
        </is>
      </c>
      <c r="AP820" t="inlineStr">
        <is>
          <t>78-P-ADI</t>
        </is>
      </c>
      <c r="AQ820" t="n">
        <v>9</v>
      </c>
      <c r="AR820" t="n">
        <v>64</v>
      </c>
      <c r="AS820" t="n">
        <v>32</v>
      </c>
      <c r="AU820">
        <f>COUNTA($BA$820:$EH$820)</f>
        <v/>
      </c>
      <c r="AV820">
        <f>COUNTIF($BA$820:$EH$820,"D")</f>
        <v/>
      </c>
      <c r="AW820">
        <f>COUNTIF($BA$820:$EH$820,"R")</f>
        <v/>
      </c>
      <c r="AX820">
        <f>IF(BN820="D",1,0)+IF(BO820="D",1,0)+IF(BT820="D",1,0)+IF(BU820="D",1,0)+IF(BW820="D",1,0)+IF(CC820="D",1,0)+IF(CD820="D",1,0)+IF(CE820="D",1,0)+IF(CF820="D",1,0)+IF(CL820="D",1,0)+IF(CM820="D",1,0)+IF(CQ820="D",1,0)+IF(CR820="D",1,0)+IF(CS820="D",1,0)+IF(CW820="D",1,0)+IF(CX820="D",1,0)+IF(DD820="D",1,0)+IF(DE820="D",1,0)+IF(DJ820="D",1,0)+IF(DK820="D",1,0)+IF(DO820="D",1,0)+IF(DP820="D",1,0)+IF(DQ820="D",1,0)+IF(DW820="D",1,0)+IF(DZ820="D",1,0)+IF(EH820="D",1,0)</f>
        <v/>
      </c>
      <c r="AY820">
        <f>IF(DJ820&lt;&gt;"",1,0)+IF(DK820&lt;&gt;"",1,0)+IF(DM820&lt;&gt;"",1,0)+IF(DO820&lt;&gt;"",1,0)+IF(DP820&lt;&gt;"",1,0)+IF(DQ820&lt;&gt;"",1,0)+IF(DS820&lt;&gt;"",1,0)+IF(DT820&lt;&gt;"",1,0)+IF(DV820&lt;&gt;"",1,0)+IF(DW820&lt;&gt;"",1,0)+IF(DX820&lt;&gt;"",1,0)+IF(DY820&lt;&gt;"",1,0)+IF(DZ820&lt;&gt;"",1,0)+IF(EB820&lt;&gt;"",1,0)+IF(EC820&lt;&gt;"",1,0)+IF(ED820&lt;&gt;"",1,0)+IF(EG820&lt;&gt;"",1,0)+IF(EH820&lt;&gt;"",1,0)</f>
        <v/>
      </c>
      <c r="AZ820">
        <f>IF(EH820&lt;&gt;"",1,0)</f>
        <v/>
      </c>
      <c r="BB820" t="inlineStr">
        <is>
          <t>WARREN-WARD 4</t>
        </is>
      </c>
      <c r="EF820" t="inlineStr">
        <is>
          <t>X</t>
        </is>
      </c>
    </row>
    <row r="821">
      <c r="A821" t="inlineStr">
        <is>
          <t>OH0022073297</t>
        </is>
      </c>
      <c r="B821" t="n">
        <v>78</v>
      </c>
      <c r="C821" t="n">
        <v>391142</v>
      </c>
      <c r="D821" t="inlineStr">
        <is>
          <t>RICHARDSON</t>
        </is>
      </c>
      <c r="E821" t="inlineStr">
        <is>
          <t>BRITTANY</t>
        </is>
      </c>
      <c r="F821">
        <f>CONCATENATE(D821," ",LEFT(H821,4),"T=",AU821,"D=",AV821,"R=",AW821,"M=",AX821,"L=",AY821,"B=",AZ821)</f>
        <v/>
      </c>
      <c r="G821" t="inlineStr">
        <is>
          <t>MICHELLE</t>
        </is>
      </c>
      <c r="I821" t="inlineStr">
        <is>
          <t>1984-04-15</t>
        </is>
      </c>
      <c r="J821" t="inlineStr">
        <is>
          <t>2024-04-13</t>
        </is>
      </c>
      <c r="K821" t="inlineStr">
        <is>
          <t>ACTIVE</t>
        </is>
      </c>
      <c r="M821" t="inlineStr">
        <is>
          <t>186 OAK KNOLL AVE SE</t>
        </is>
      </c>
      <c r="N821">
        <f>RIGHT(M821,LEN(M821)-FIND(" ",M821))</f>
        <v/>
      </c>
      <c r="P821" t="inlineStr">
        <is>
          <t>WARREN</t>
        </is>
      </c>
      <c r="Q821" t="inlineStr">
        <is>
          <t>OH</t>
        </is>
      </c>
      <c r="R821" t="n">
        <v>44483</v>
      </c>
      <c r="AD821" t="inlineStr">
        <is>
          <t>TRUMBULL CAREER &amp; TECH CENTER</t>
        </is>
      </c>
      <c r="AE821" t="inlineStr">
        <is>
          <t>WARREN CITY</t>
        </is>
      </c>
      <c r="AF821" t="inlineStr">
        <is>
          <t>WARREN CITY SD</t>
        </is>
      </c>
      <c r="AH821" t="n">
        <v>14</v>
      </c>
      <c r="AI821" t="n">
        <v>11</v>
      </c>
      <c r="AN821" t="inlineStr">
        <is>
          <t>WARREN</t>
        </is>
      </c>
      <c r="AO821" t="inlineStr">
        <is>
          <t>WARREN CITY 4A</t>
        </is>
      </c>
      <c r="AP821" t="inlineStr">
        <is>
          <t>78-P-ADI</t>
        </is>
      </c>
      <c r="AQ821" t="n">
        <v>9</v>
      </c>
      <c r="AR821" t="n">
        <v>64</v>
      </c>
      <c r="AS821" t="n">
        <v>32</v>
      </c>
      <c r="AU821">
        <f>COUNTA($BA$821:$EH$821)</f>
        <v/>
      </c>
      <c r="AV821">
        <f>COUNTIF($BA$821:$EH$821,"D")</f>
        <v/>
      </c>
      <c r="AW821">
        <f>COUNTIF($BA$821:$EH$821,"R")</f>
        <v/>
      </c>
      <c r="AX821">
        <f>IF(BN821="D",1,0)+IF(BO821="D",1,0)+IF(BT821="D",1,0)+IF(BU821="D",1,0)+IF(BW821="D",1,0)+IF(CC821="D",1,0)+IF(CD821="D",1,0)+IF(CE821="D",1,0)+IF(CF821="D",1,0)+IF(CL821="D",1,0)+IF(CM821="D",1,0)+IF(CQ821="D",1,0)+IF(CR821="D",1,0)+IF(CS821="D",1,0)+IF(CW821="D",1,0)+IF(CX821="D",1,0)+IF(DD821="D",1,0)+IF(DE821="D",1,0)+IF(DJ821="D",1,0)+IF(DK821="D",1,0)+IF(DO821="D",1,0)+IF(DP821="D",1,0)+IF(DQ821="D",1,0)+IF(DW821="D",1,0)+IF(DZ821="D",1,0)+IF(EH821="D",1,0)</f>
        <v/>
      </c>
      <c r="AY821">
        <f>IF(DJ821&lt;&gt;"",1,0)+IF(DK821&lt;&gt;"",1,0)+IF(DM821&lt;&gt;"",1,0)+IF(DO821&lt;&gt;"",1,0)+IF(DP821&lt;&gt;"",1,0)+IF(DQ821&lt;&gt;"",1,0)+IF(DS821&lt;&gt;"",1,0)+IF(DT821&lt;&gt;"",1,0)+IF(DV821&lt;&gt;"",1,0)+IF(DW821&lt;&gt;"",1,0)+IF(DX821&lt;&gt;"",1,0)+IF(DY821&lt;&gt;"",1,0)+IF(DZ821&lt;&gt;"",1,0)+IF(EB821&lt;&gt;"",1,0)+IF(EC821&lt;&gt;"",1,0)+IF(ED821&lt;&gt;"",1,0)+IF(EG821&lt;&gt;"",1,0)+IF(EH821&lt;&gt;"",1,0)</f>
        <v/>
      </c>
      <c r="AZ821">
        <f>IF(EH821&lt;&gt;"",1,0)</f>
        <v/>
      </c>
      <c r="BB821" t="inlineStr">
        <is>
          <t>WARREN-WARD 4</t>
        </is>
      </c>
      <c r="EF821" t="inlineStr">
        <is>
          <t>X</t>
        </is>
      </c>
    </row>
    <row r="822">
      <c r="A822" t="inlineStr">
        <is>
          <t>OH0015753450</t>
        </is>
      </c>
      <c r="B822" t="n">
        <v>78</v>
      </c>
      <c r="C822" t="n">
        <v>240119</v>
      </c>
      <c r="D822" t="inlineStr">
        <is>
          <t>FERRY</t>
        </is>
      </c>
      <c r="E822" t="inlineStr">
        <is>
          <t>BOBBIE</t>
        </is>
      </c>
      <c r="F822">
        <f>CONCATENATE(D822," ",LEFT(H822,4),"T=",AU822,"D=",AV822,"R=",AW822,"M=",AX822,"L=",AY822,"B=",AZ822)</f>
        <v/>
      </c>
      <c r="G822" t="inlineStr">
        <is>
          <t>J</t>
        </is>
      </c>
      <c r="I822" t="inlineStr">
        <is>
          <t>1969-11-23</t>
        </is>
      </c>
      <c r="J822" t="inlineStr">
        <is>
          <t>2023-07-08</t>
        </is>
      </c>
      <c r="K822" t="inlineStr">
        <is>
          <t>ACTIVE</t>
        </is>
      </c>
      <c r="M822" t="inlineStr">
        <is>
          <t>791 OAK KNOLL AVE SE</t>
        </is>
      </c>
      <c r="N822">
        <f>RIGHT(M822,LEN(M822)-FIND(" ",M822))</f>
        <v/>
      </c>
      <c r="P822" t="inlineStr">
        <is>
          <t>WARREN</t>
        </is>
      </c>
      <c r="Q822" t="inlineStr">
        <is>
          <t>OH</t>
        </is>
      </c>
      <c r="R822" t="n">
        <v>44484</v>
      </c>
      <c r="AD822" t="inlineStr">
        <is>
          <t>TRUMBULL CAREER &amp; TECH CENTER</t>
        </is>
      </c>
      <c r="AE822" t="inlineStr">
        <is>
          <t>WARREN CITY</t>
        </is>
      </c>
      <c r="AF822" t="inlineStr">
        <is>
          <t>WARREN CITY SD</t>
        </is>
      </c>
      <c r="AH822" t="n">
        <v>14</v>
      </c>
      <c r="AI822" t="n">
        <v>11</v>
      </c>
      <c r="AN822" t="inlineStr">
        <is>
          <t>WARREN</t>
        </is>
      </c>
      <c r="AO822" t="inlineStr">
        <is>
          <t>WARREN CITY 4A</t>
        </is>
      </c>
      <c r="AP822" t="inlineStr">
        <is>
          <t>78-P-ADI</t>
        </is>
      </c>
      <c r="AQ822" t="n">
        <v>9</v>
      </c>
      <c r="AR822" t="n">
        <v>64</v>
      </c>
      <c r="AS822" t="n">
        <v>32</v>
      </c>
      <c r="AU822">
        <f>COUNTA($BA$822:$EH$822)</f>
        <v/>
      </c>
      <c r="AV822">
        <f>COUNTIF($BA$822:$EH$822,"D")</f>
        <v/>
      </c>
      <c r="AW822">
        <f>COUNTIF($BA$822:$EH$822,"R")</f>
        <v/>
      </c>
      <c r="AX822">
        <f>IF(BN822="D",1,0)+IF(BO822="D",1,0)+IF(BT822="D",1,0)+IF(BU822="D",1,0)+IF(BW822="D",1,0)+IF(CC822="D",1,0)+IF(CD822="D",1,0)+IF(CE822="D",1,0)+IF(CF822="D",1,0)+IF(CL822="D",1,0)+IF(CM822="D",1,0)+IF(CQ822="D",1,0)+IF(CR822="D",1,0)+IF(CS822="D",1,0)+IF(CW822="D",1,0)+IF(CX822="D",1,0)+IF(DD822="D",1,0)+IF(DE822="D",1,0)+IF(DJ822="D",1,0)+IF(DK822="D",1,0)+IF(DO822="D",1,0)+IF(DP822="D",1,0)+IF(DQ822="D",1,0)+IF(DW822="D",1,0)+IF(DZ822="D",1,0)+IF(EH822="D",1,0)</f>
        <v/>
      </c>
      <c r="AY822">
        <f>IF(DJ822&lt;&gt;"",1,0)+IF(DK822&lt;&gt;"",1,0)+IF(DM822&lt;&gt;"",1,0)+IF(DO822&lt;&gt;"",1,0)+IF(DP822&lt;&gt;"",1,0)+IF(DQ822&lt;&gt;"",1,0)+IF(DS822&lt;&gt;"",1,0)+IF(DT822&lt;&gt;"",1,0)+IF(DV822&lt;&gt;"",1,0)+IF(DW822&lt;&gt;"",1,0)+IF(DX822&lt;&gt;"",1,0)+IF(DY822&lt;&gt;"",1,0)+IF(DZ822&lt;&gt;"",1,0)+IF(EB822&lt;&gt;"",1,0)+IF(EC822&lt;&gt;"",1,0)+IF(ED822&lt;&gt;"",1,0)+IF(EG822&lt;&gt;"",1,0)+IF(EH822&lt;&gt;"",1,0)</f>
        <v/>
      </c>
      <c r="AZ822">
        <f>IF(EH822&lt;&gt;"",1,0)</f>
        <v/>
      </c>
      <c r="BB822" t="inlineStr">
        <is>
          <t>WARREN-WARD 4</t>
        </is>
      </c>
      <c r="BD822" t="inlineStr">
        <is>
          <t>X</t>
        </is>
      </c>
      <c r="BF822" t="inlineStr">
        <is>
          <t>X</t>
        </is>
      </c>
      <c r="BG822" t="inlineStr">
        <is>
          <t>X</t>
        </is>
      </c>
      <c r="BH822" t="inlineStr">
        <is>
          <t>X</t>
        </is>
      </c>
      <c r="BJ822" t="inlineStr">
        <is>
          <t>X</t>
        </is>
      </c>
      <c r="BK822" t="inlineStr">
        <is>
          <t>X</t>
        </is>
      </c>
      <c r="BL822" t="inlineStr">
        <is>
          <t>X</t>
        </is>
      </c>
      <c r="BY822" t="inlineStr">
        <is>
          <t>D</t>
        </is>
      </c>
      <c r="CA822" t="inlineStr">
        <is>
          <t>X</t>
        </is>
      </c>
      <c r="CZ822" t="inlineStr">
        <is>
          <t>D</t>
        </is>
      </c>
      <c r="DC822" t="inlineStr">
        <is>
          <t>X</t>
        </is>
      </c>
      <c r="DI822" t="inlineStr">
        <is>
          <t>X</t>
        </is>
      </c>
      <c r="EA822" t="inlineStr">
        <is>
          <t>X</t>
        </is>
      </c>
      <c r="EF822" t="inlineStr">
        <is>
          <t>X</t>
        </is>
      </c>
    </row>
    <row r="823">
      <c r="A823" t="inlineStr">
        <is>
          <t>OH0015709624</t>
        </is>
      </c>
      <c r="B823" t="n">
        <v>78</v>
      </c>
      <c r="C823" t="n">
        <v>326627</v>
      </c>
      <c r="D823" t="inlineStr">
        <is>
          <t>MORGAN</t>
        </is>
      </c>
      <c r="E823" t="inlineStr">
        <is>
          <t>SHARON</t>
        </is>
      </c>
      <c r="F823">
        <f>CONCATENATE(D823," ",LEFT(H823,4),"T=",AU823,"D=",AV823,"R=",AW823,"M=",AX823,"L=",AY823,"B=",AZ823)</f>
        <v/>
      </c>
      <c r="G823" t="inlineStr">
        <is>
          <t>L</t>
        </is>
      </c>
      <c r="I823" t="inlineStr">
        <is>
          <t>1950-04-05</t>
        </is>
      </c>
      <c r="J823" t="inlineStr">
        <is>
          <t>2004-08-09</t>
        </is>
      </c>
      <c r="K823" t="inlineStr">
        <is>
          <t>ACTIVE</t>
        </is>
      </c>
      <c r="M823" t="inlineStr">
        <is>
          <t>1354 BELLE ST SE</t>
        </is>
      </c>
      <c r="N823">
        <f>RIGHT(M823,LEN(M823)-FIND(" ",M823))</f>
        <v/>
      </c>
      <c r="P823" t="inlineStr">
        <is>
          <t>WARREN</t>
        </is>
      </c>
      <c r="Q823" t="inlineStr">
        <is>
          <t>OH</t>
        </is>
      </c>
      <c r="R823" t="n">
        <v>44484</v>
      </c>
      <c r="AD823" t="inlineStr">
        <is>
          <t>TRUMBULL CAREER &amp; TECH CENTER</t>
        </is>
      </c>
      <c r="AE823" t="inlineStr">
        <is>
          <t>WARREN CITY</t>
        </is>
      </c>
      <c r="AF823" t="inlineStr">
        <is>
          <t>WARREN CITY SD</t>
        </is>
      </c>
      <c r="AH823" t="n">
        <v>14</v>
      </c>
      <c r="AI823" t="n">
        <v>11</v>
      </c>
      <c r="AN823" t="inlineStr">
        <is>
          <t>WARREN</t>
        </is>
      </c>
      <c r="AO823" t="inlineStr">
        <is>
          <t>WARREN CITY 4A</t>
        </is>
      </c>
      <c r="AP823" t="inlineStr">
        <is>
          <t>78-P-ADI</t>
        </is>
      </c>
      <c r="AQ823" t="n">
        <v>9</v>
      </c>
      <c r="AR823" t="n">
        <v>64</v>
      </c>
      <c r="AS823" t="n">
        <v>32</v>
      </c>
      <c r="AU823">
        <f>COUNTA($BA$823:$EH$823)</f>
        <v/>
      </c>
      <c r="AV823">
        <f>COUNTIF($BA$823:$EH$823,"D")</f>
        <v/>
      </c>
      <c r="AW823">
        <f>COUNTIF($BA$823:$EH$823,"R")</f>
        <v/>
      </c>
      <c r="AX823">
        <f>IF(BN823="D",1,0)+IF(BO823="D",1,0)+IF(BT823="D",1,0)+IF(BU823="D",1,0)+IF(BW823="D",1,0)+IF(CC823="D",1,0)+IF(CD823="D",1,0)+IF(CE823="D",1,0)+IF(CF823="D",1,0)+IF(CL823="D",1,0)+IF(CM823="D",1,0)+IF(CQ823="D",1,0)+IF(CR823="D",1,0)+IF(CS823="D",1,0)+IF(CW823="D",1,0)+IF(CX823="D",1,0)+IF(DD823="D",1,0)+IF(DE823="D",1,0)+IF(DJ823="D",1,0)+IF(DK823="D",1,0)+IF(DO823="D",1,0)+IF(DP823="D",1,0)+IF(DQ823="D",1,0)+IF(DW823="D",1,0)+IF(DZ823="D",1,0)+IF(EH823="D",1,0)</f>
        <v/>
      </c>
      <c r="AY823">
        <f>IF(DJ823&lt;&gt;"",1,0)+IF(DK823&lt;&gt;"",1,0)+IF(DM823&lt;&gt;"",1,0)+IF(DO823&lt;&gt;"",1,0)+IF(DP823&lt;&gt;"",1,0)+IF(DQ823&lt;&gt;"",1,0)+IF(DS823&lt;&gt;"",1,0)+IF(DT823&lt;&gt;"",1,0)+IF(DV823&lt;&gt;"",1,0)+IF(DW823&lt;&gt;"",1,0)+IF(DX823&lt;&gt;"",1,0)+IF(DY823&lt;&gt;"",1,0)+IF(DZ823&lt;&gt;"",1,0)+IF(EB823&lt;&gt;"",1,0)+IF(EC823&lt;&gt;"",1,0)+IF(ED823&lt;&gt;"",1,0)+IF(EG823&lt;&gt;"",1,0)+IF(EH823&lt;&gt;"",1,0)</f>
        <v/>
      </c>
      <c r="AZ823">
        <f>IF(EH823&lt;&gt;"",1,0)</f>
        <v/>
      </c>
      <c r="BB823" t="inlineStr">
        <is>
          <t>WARREN-WARD 4</t>
        </is>
      </c>
      <c r="BL823" t="inlineStr">
        <is>
          <t>X</t>
        </is>
      </c>
      <c r="BS823" t="inlineStr">
        <is>
          <t>X</t>
        </is>
      </c>
      <c r="BY823" t="inlineStr">
        <is>
          <t>D</t>
        </is>
      </c>
      <c r="CA823" t="inlineStr">
        <is>
          <t>X</t>
        </is>
      </c>
      <c r="CK823" t="inlineStr">
        <is>
          <t>X</t>
        </is>
      </c>
      <c r="CN823" t="inlineStr">
        <is>
          <t>X</t>
        </is>
      </c>
      <c r="CP823" t="inlineStr">
        <is>
          <t>X</t>
        </is>
      </c>
      <c r="CV823" t="inlineStr">
        <is>
          <t>X</t>
        </is>
      </c>
      <c r="CY823" t="inlineStr">
        <is>
          <t>X</t>
        </is>
      </c>
      <c r="CZ823" t="inlineStr">
        <is>
          <t>D</t>
        </is>
      </c>
      <c r="DC823" t="inlineStr">
        <is>
          <t>X</t>
        </is>
      </c>
      <c r="DI823" t="inlineStr">
        <is>
          <t>X</t>
        </is>
      </c>
      <c r="DM823" t="inlineStr">
        <is>
          <t>D</t>
        </is>
      </c>
      <c r="DN823" t="inlineStr">
        <is>
          <t>X</t>
        </is>
      </c>
      <c r="DU823" t="inlineStr">
        <is>
          <t>X</t>
        </is>
      </c>
      <c r="DX823" t="inlineStr">
        <is>
          <t>X</t>
        </is>
      </c>
      <c r="EA823" t="inlineStr">
        <is>
          <t>X</t>
        </is>
      </c>
      <c r="EF823" t="inlineStr">
        <is>
          <t>X</t>
        </is>
      </c>
    </row>
    <row r="824">
      <c r="A824" t="inlineStr">
        <is>
          <t>OH0015816135</t>
        </is>
      </c>
      <c r="B824" t="n">
        <v>78</v>
      </c>
      <c r="C824" t="n">
        <v>302190</v>
      </c>
      <c r="D824" t="inlineStr">
        <is>
          <t>MOORE</t>
        </is>
      </c>
      <c r="E824" t="inlineStr">
        <is>
          <t>KIM</t>
        </is>
      </c>
      <c r="F824">
        <f>CONCATENATE(D824," ",LEFT(H824,4),"T=",AU824,"D=",AV824,"R=",AW824,"M=",AX824,"L=",AY824,"B=",AZ824)</f>
        <v/>
      </c>
      <c r="G824" t="inlineStr">
        <is>
          <t>A</t>
        </is>
      </c>
      <c r="I824" t="inlineStr">
        <is>
          <t>1969-03-29</t>
        </is>
      </c>
      <c r="J824" t="inlineStr">
        <is>
          <t>2001-03-30</t>
        </is>
      </c>
      <c r="K824" t="inlineStr">
        <is>
          <t>CONFIRMATION</t>
        </is>
      </c>
      <c r="M824" t="inlineStr">
        <is>
          <t>412 IDDINGS AVE SE</t>
        </is>
      </c>
      <c r="N824">
        <f>RIGHT(M824,LEN(M824)-FIND(" ",M824))</f>
        <v/>
      </c>
      <c r="P824" t="inlineStr">
        <is>
          <t>WARREN</t>
        </is>
      </c>
      <c r="Q824" t="inlineStr">
        <is>
          <t>OH</t>
        </is>
      </c>
      <c r="R824" t="n">
        <v>44483</v>
      </c>
      <c r="AD824" t="inlineStr">
        <is>
          <t>TRUMBULL CAREER &amp; TECH CENTER</t>
        </is>
      </c>
      <c r="AE824" t="inlineStr">
        <is>
          <t>WARREN CITY</t>
        </is>
      </c>
      <c r="AF824" t="inlineStr">
        <is>
          <t>WARREN CITY SD</t>
        </is>
      </c>
      <c r="AH824" t="n">
        <v>14</v>
      </c>
      <c r="AI824" t="n">
        <v>11</v>
      </c>
      <c r="AN824" t="inlineStr">
        <is>
          <t>WARREN</t>
        </is>
      </c>
      <c r="AO824" t="inlineStr">
        <is>
          <t>WARREN CITY 4A</t>
        </is>
      </c>
      <c r="AP824" t="inlineStr">
        <is>
          <t>78-P-ADI</t>
        </is>
      </c>
      <c r="AQ824" t="n">
        <v>9</v>
      </c>
      <c r="AR824" t="n">
        <v>64</v>
      </c>
      <c r="AS824" t="n">
        <v>32</v>
      </c>
      <c r="AU824">
        <f>COUNTA($BA$824:$EH$824)</f>
        <v/>
      </c>
      <c r="AV824">
        <f>COUNTIF($BA$824:$EH$824,"D")</f>
        <v/>
      </c>
      <c r="AW824">
        <f>COUNTIF($BA$824:$EH$824,"R")</f>
        <v/>
      </c>
      <c r="AX824">
        <f>IF(BN824="D",1,0)+IF(BO824="D",1,0)+IF(BT824="D",1,0)+IF(BU824="D",1,0)+IF(BW824="D",1,0)+IF(CC824="D",1,0)+IF(CD824="D",1,0)+IF(CE824="D",1,0)+IF(CF824="D",1,0)+IF(CL824="D",1,0)+IF(CM824="D",1,0)+IF(CQ824="D",1,0)+IF(CR824="D",1,0)+IF(CS824="D",1,0)+IF(CW824="D",1,0)+IF(CX824="D",1,0)+IF(DD824="D",1,0)+IF(DE824="D",1,0)+IF(DJ824="D",1,0)+IF(DK824="D",1,0)+IF(DO824="D",1,0)+IF(DP824="D",1,0)+IF(DQ824="D",1,0)+IF(DW824="D",1,0)+IF(DZ824="D",1,0)+IF(EH824="D",1,0)</f>
        <v/>
      </c>
      <c r="AY824">
        <f>IF(DJ824&lt;&gt;"",1,0)+IF(DK824&lt;&gt;"",1,0)+IF(DM824&lt;&gt;"",1,0)+IF(DO824&lt;&gt;"",1,0)+IF(DP824&lt;&gt;"",1,0)+IF(DQ824&lt;&gt;"",1,0)+IF(DS824&lt;&gt;"",1,0)+IF(DT824&lt;&gt;"",1,0)+IF(DV824&lt;&gt;"",1,0)+IF(DW824&lt;&gt;"",1,0)+IF(DX824&lt;&gt;"",1,0)+IF(DY824&lt;&gt;"",1,0)+IF(DZ824&lt;&gt;"",1,0)+IF(EB824&lt;&gt;"",1,0)+IF(EC824&lt;&gt;"",1,0)+IF(ED824&lt;&gt;"",1,0)+IF(EG824&lt;&gt;"",1,0)+IF(EH824&lt;&gt;"",1,0)</f>
        <v/>
      </c>
      <c r="AZ824">
        <f>IF(EH824&lt;&gt;"",1,0)</f>
        <v/>
      </c>
      <c r="BB824" t="inlineStr">
        <is>
          <t>WARREN-WARD 4</t>
        </is>
      </c>
      <c r="BL824" t="inlineStr">
        <is>
          <t>X</t>
        </is>
      </c>
      <c r="CN824" t="inlineStr">
        <is>
          <t>X</t>
        </is>
      </c>
      <c r="CP824" t="inlineStr">
        <is>
          <t>X</t>
        </is>
      </c>
    </row>
    <row r="825">
      <c r="A825" t="inlineStr">
        <is>
          <t>OH0015758720</t>
        </is>
      </c>
      <c r="B825" t="n">
        <v>78</v>
      </c>
      <c r="C825" t="n">
        <v>320931</v>
      </c>
      <c r="D825" t="inlineStr">
        <is>
          <t>MCLENNAN</t>
        </is>
      </c>
      <c r="E825" t="inlineStr">
        <is>
          <t>KRISTIN</t>
        </is>
      </c>
      <c r="F825">
        <f>CONCATENATE(D825," ",LEFT(H825,4),"T=",AU825,"D=",AV825,"R=",AW825,"M=",AX825,"L=",AY825,"B=",AZ825)</f>
        <v/>
      </c>
      <c r="G825" t="inlineStr">
        <is>
          <t>V</t>
        </is>
      </c>
      <c r="I825" t="inlineStr">
        <is>
          <t>1985-11-09</t>
        </is>
      </c>
      <c r="J825" t="inlineStr">
        <is>
          <t>2004-02-18</t>
        </is>
      </c>
      <c r="K825" t="inlineStr">
        <is>
          <t>ACTIVE</t>
        </is>
      </c>
      <c r="M825" t="inlineStr">
        <is>
          <t>319 CHARLES AVE SE</t>
        </is>
      </c>
      <c r="N825">
        <f>RIGHT(M825,LEN(M825)-FIND(" ",M825))</f>
        <v/>
      </c>
      <c r="P825" t="inlineStr">
        <is>
          <t>WARREN</t>
        </is>
      </c>
      <c r="Q825" t="inlineStr">
        <is>
          <t>OH</t>
        </is>
      </c>
      <c r="R825" t="n">
        <v>44483</v>
      </c>
      <c r="AD825" t="inlineStr">
        <is>
          <t>TRUMBULL CAREER &amp; TECH CENTER</t>
        </is>
      </c>
      <c r="AE825" t="inlineStr">
        <is>
          <t>WARREN CITY</t>
        </is>
      </c>
      <c r="AF825" t="inlineStr">
        <is>
          <t>WARREN CITY SD</t>
        </is>
      </c>
      <c r="AH825" t="n">
        <v>14</v>
      </c>
      <c r="AI825" t="n">
        <v>11</v>
      </c>
      <c r="AN825" t="inlineStr">
        <is>
          <t>WARREN</t>
        </is>
      </c>
      <c r="AO825" t="inlineStr">
        <is>
          <t>WARREN CITY 4A</t>
        </is>
      </c>
      <c r="AP825" t="inlineStr">
        <is>
          <t>78-P-ADI</t>
        </is>
      </c>
      <c r="AQ825" t="n">
        <v>9</v>
      </c>
      <c r="AR825" t="n">
        <v>64</v>
      </c>
      <c r="AS825" t="n">
        <v>32</v>
      </c>
      <c r="AU825">
        <f>COUNTA($BA$825:$EH$825)</f>
        <v/>
      </c>
      <c r="AV825">
        <f>COUNTIF($BA$825:$EH$825,"D")</f>
        <v/>
      </c>
      <c r="AW825">
        <f>COUNTIF($BA$825:$EH$825,"R")</f>
        <v/>
      </c>
      <c r="AX825">
        <f>IF(BN825="D",1,0)+IF(BO825="D",1,0)+IF(BT825="D",1,0)+IF(BU825="D",1,0)+IF(BW825="D",1,0)+IF(CC825="D",1,0)+IF(CD825="D",1,0)+IF(CE825="D",1,0)+IF(CF825="D",1,0)+IF(CL825="D",1,0)+IF(CM825="D",1,0)+IF(CQ825="D",1,0)+IF(CR825="D",1,0)+IF(CS825="D",1,0)+IF(CW825="D",1,0)+IF(CX825="D",1,0)+IF(DD825="D",1,0)+IF(DE825="D",1,0)+IF(DJ825="D",1,0)+IF(DK825="D",1,0)+IF(DO825="D",1,0)+IF(DP825="D",1,0)+IF(DQ825="D",1,0)+IF(DW825="D",1,0)+IF(DZ825="D",1,0)+IF(EH825="D",1,0)</f>
        <v/>
      </c>
      <c r="AY825">
        <f>IF(DJ825&lt;&gt;"",1,0)+IF(DK825&lt;&gt;"",1,0)+IF(DM825&lt;&gt;"",1,0)+IF(DO825&lt;&gt;"",1,0)+IF(DP825&lt;&gt;"",1,0)+IF(DQ825&lt;&gt;"",1,0)+IF(DS825&lt;&gt;"",1,0)+IF(DT825&lt;&gt;"",1,0)+IF(DV825&lt;&gt;"",1,0)+IF(DW825&lt;&gt;"",1,0)+IF(DX825&lt;&gt;"",1,0)+IF(DY825&lt;&gt;"",1,0)+IF(DZ825&lt;&gt;"",1,0)+IF(EB825&lt;&gt;"",1,0)+IF(EC825&lt;&gt;"",1,0)+IF(ED825&lt;&gt;"",1,0)+IF(EG825&lt;&gt;"",1,0)+IF(EH825&lt;&gt;"",1,0)</f>
        <v/>
      </c>
      <c r="AZ825">
        <f>IF(EH825&lt;&gt;"",1,0)</f>
        <v/>
      </c>
      <c r="BB825" t="inlineStr">
        <is>
          <t>WARREN-WARD 4</t>
        </is>
      </c>
      <c r="BL825" t="inlineStr">
        <is>
          <t>X</t>
        </is>
      </c>
      <c r="BS825" t="inlineStr">
        <is>
          <t>X</t>
        </is>
      </c>
      <c r="CA825" t="inlineStr">
        <is>
          <t>X</t>
        </is>
      </c>
      <c r="CK825" t="inlineStr">
        <is>
          <t>X</t>
        </is>
      </c>
      <c r="CN825" t="inlineStr">
        <is>
          <t>X</t>
        </is>
      </c>
      <c r="CP825" t="inlineStr">
        <is>
          <t>X</t>
        </is>
      </c>
      <c r="CQ825" t="inlineStr">
        <is>
          <t>D</t>
        </is>
      </c>
      <c r="CV825" t="inlineStr">
        <is>
          <t>X</t>
        </is>
      </c>
      <c r="CW825" t="inlineStr">
        <is>
          <t>D</t>
        </is>
      </c>
      <c r="CY825" t="inlineStr">
        <is>
          <t>X</t>
        </is>
      </c>
      <c r="CZ825" t="inlineStr">
        <is>
          <t>D</t>
        </is>
      </c>
      <c r="DC825" t="inlineStr">
        <is>
          <t>X</t>
        </is>
      </c>
      <c r="DF825" t="inlineStr">
        <is>
          <t>X</t>
        </is>
      </c>
      <c r="DG825" t="inlineStr">
        <is>
          <t>D</t>
        </is>
      </c>
      <c r="DI825" t="inlineStr">
        <is>
          <t>X</t>
        </is>
      </c>
      <c r="DM825" t="inlineStr">
        <is>
          <t>D</t>
        </is>
      </c>
      <c r="DN825" t="inlineStr">
        <is>
          <t>X</t>
        </is>
      </c>
      <c r="DX825" t="inlineStr">
        <is>
          <t>X</t>
        </is>
      </c>
      <c r="EA825" t="inlineStr">
        <is>
          <t>X</t>
        </is>
      </c>
      <c r="EF825" t="inlineStr">
        <is>
          <t>X</t>
        </is>
      </c>
    </row>
    <row r="826">
      <c r="A826" t="inlineStr">
        <is>
          <t>OH0023048206</t>
        </is>
      </c>
      <c r="B826" t="n">
        <v>78</v>
      </c>
      <c r="C826" t="n">
        <v>405908</v>
      </c>
      <c r="D826" t="inlineStr">
        <is>
          <t>AIKINS</t>
        </is>
      </c>
      <c r="E826" t="inlineStr">
        <is>
          <t>ZACHARY</t>
        </is>
      </c>
      <c r="F826">
        <f>CONCATENATE(D826," ",LEFT(H826,4),"T=",AU826,"D=",AV826,"R=",AW826,"M=",AX826,"L=",AY826,"B=",AZ826)</f>
        <v/>
      </c>
      <c r="G826" t="inlineStr">
        <is>
          <t>MITCHELL</t>
        </is>
      </c>
      <c r="I826" t="inlineStr">
        <is>
          <t>1997-01-22</t>
        </is>
      </c>
      <c r="J826" t="inlineStr">
        <is>
          <t>2024-09-26</t>
        </is>
      </c>
      <c r="K826" t="inlineStr">
        <is>
          <t>ACTIVE</t>
        </is>
      </c>
      <c r="M826" t="inlineStr">
        <is>
          <t>207 LOGAN AVE SE</t>
        </is>
      </c>
      <c r="N826">
        <f>RIGHT(M826,LEN(M826)-FIND(" ",M826))</f>
        <v/>
      </c>
      <c r="P826" t="inlineStr">
        <is>
          <t>WARREN</t>
        </is>
      </c>
      <c r="Q826" t="inlineStr">
        <is>
          <t>OH</t>
        </is>
      </c>
      <c r="R826" t="n">
        <v>44483</v>
      </c>
      <c r="AD826" t="inlineStr">
        <is>
          <t>TRUMBULL CAREER &amp; TECH CENTER</t>
        </is>
      </c>
      <c r="AE826" t="inlineStr">
        <is>
          <t>WARREN CITY</t>
        </is>
      </c>
      <c r="AF826" t="inlineStr">
        <is>
          <t>WARREN CITY SD</t>
        </is>
      </c>
      <c r="AH826" t="n">
        <v>14</v>
      </c>
      <c r="AI826" t="n">
        <v>11</v>
      </c>
      <c r="AN826" t="inlineStr">
        <is>
          <t>WARREN</t>
        </is>
      </c>
      <c r="AO826" t="inlineStr">
        <is>
          <t>WARREN CITY 4A</t>
        </is>
      </c>
      <c r="AP826" t="inlineStr">
        <is>
          <t>78-P-ADI</t>
        </is>
      </c>
      <c r="AQ826" t="n">
        <v>9</v>
      </c>
      <c r="AR826" t="n">
        <v>64</v>
      </c>
      <c r="AS826" t="n">
        <v>32</v>
      </c>
      <c r="AU826">
        <f>COUNTA($BA$826:$EH$826)</f>
        <v/>
      </c>
      <c r="AV826">
        <f>COUNTIF($BA$826:$EH$826,"D")</f>
        <v/>
      </c>
      <c r="AW826">
        <f>COUNTIF($BA$826:$EH$826,"R")</f>
        <v/>
      </c>
      <c r="AX826">
        <f>IF(BN826="D",1,0)+IF(BO826="D",1,0)+IF(BT826="D",1,0)+IF(BU826="D",1,0)+IF(BW826="D",1,0)+IF(CC826="D",1,0)+IF(CD826="D",1,0)+IF(CE826="D",1,0)+IF(CF826="D",1,0)+IF(CL826="D",1,0)+IF(CM826="D",1,0)+IF(CQ826="D",1,0)+IF(CR826="D",1,0)+IF(CS826="D",1,0)+IF(CW826="D",1,0)+IF(CX826="D",1,0)+IF(DD826="D",1,0)+IF(DE826="D",1,0)+IF(DJ826="D",1,0)+IF(DK826="D",1,0)+IF(DO826="D",1,0)+IF(DP826="D",1,0)+IF(DQ826="D",1,0)+IF(DW826="D",1,0)+IF(DZ826="D",1,0)+IF(EH826="D",1,0)</f>
        <v/>
      </c>
      <c r="AY826">
        <f>IF(DJ826&lt;&gt;"",1,0)+IF(DK826&lt;&gt;"",1,0)+IF(DM826&lt;&gt;"",1,0)+IF(DO826&lt;&gt;"",1,0)+IF(DP826&lt;&gt;"",1,0)+IF(DQ826&lt;&gt;"",1,0)+IF(DS826&lt;&gt;"",1,0)+IF(DT826&lt;&gt;"",1,0)+IF(DV826&lt;&gt;"",1,0)+IF(DW826&lt;&gt;"",1,0)+IF(DX826&lt;&gt;"",1,0)+IF(DY826&lt;&gt;"",1,0)+IF(DZ826&lt;&gt;"",1,0)+IF(EB826&lt;&gt;"",1,0)+IF(EC826&lt;&gt;"",1,0)+IF(ED826&lt;&gt;"",1,0)+IF(EG826&lt;&gt;"",1,0)+IF(EH826&lt;&gt;"",1,0)</f>
        <v/>
      </c>
      <c r="AZ826">
        <f>IF(EH826&lt;&gt;"",1,0)</f>
        <v/>
      </c>
      <c r="BB826" t="inlineStr">
        <is>
          <t>WARREN-WARD 4</t>
        </is>
      </c>
      <c r="CY826" t="inlineStr">
        <is>
          <t>X</t>
        </is>
      </c>
      <c r="DC826" t="inlineStr">
        <is>
          <t>X</t>
        </is>
      </c>
    </row>
    <row r="827">
      <c r="A827" t="inlineStr">
        <is>
          <t>OH0015692889</t>
        </is>
      </c>
      <c r="B827" t="n">
        <v>78</v>
      </c>
      <c r="C827" t="n">
        <v>142160</v>
      </c>
      <c r="D827" t="inlineStr">
        <is>
          <t>BOCKELMAN</t>
        </is>
      </c>
      <c r="E827" t="inlineStr">
        <is>
          <t>JERRY</t>
        </is>
      </c>
      <c r="F827">
        <f>CONCATENATE(D827," ",LEFT(H827,4),"T=",AU827,"D=",AV827,"R=",AW827,"M=",AX827,"L=",AY827,"B=",AZ827)</f>
        <v/>
      </c>
      <c r="G827" t="inlineStr">
        <is>
          <t>A</t>
        </is>
      </c>
      <c r="I827" t="inlineStr">
        <is>
          <t>1952-10-25</t>
        </is>
      </c>
      <c r="J827" t="inlineStr">
        <is>
          <t>1981-05-28</t>
        </is>
      </c>
      <c r="K827" t="inlineStr">
        <is>
          <t>ACTIVE</t>
        </is>
      </c>
      <c r="L827" t="inlineStr">
        <is>
          <t>D</t>
        </is>
      </c>
      <c r="M827" t="inlineStr">
        <is>
          <t>472 CHARLES AVE SE</t>
        </is>
      </c>
      <c r="N827">
        <f>RIGHT(M827,LEN(M827)-FIND(" ",M827))</f>
        <v/>
      </c>
      <c r="P827" t="inlineStr">
        <is>
          <t>WARREN</t>
        </is>
      </c>
      <c r="Q827" t="inlineStr">
        <is>
          <t>OH</t>
        </is>
      </c>
      <c r="R827" t="n">
        <v>44483</v>
      </c>
      <c r="AD827" t="inlineStr">
        <is>
          <t>TRUMBULL CAREER &amp; TECH CENTER</t>
        </is>
      </c>
      <c r="AE827" t="inlineStr">
        <is>
          <t>WARREN CITY</t>
        </is>
      </c>
      <c r="AF827" t="inlineStr">
        <is>
          <t>WARREN CITY SD</t>
        </is>
      </c>
      <c r="AH827" t="n">
        <v>14</v>
      </c>
      <c r="AI827" t="n">
        <v>11</v>
      </c>
      <c r="AN827" t="inlineStr">
        <is>
          <t>WARREN</t>
        </is>
      </c>
      <c r="AO827" t="inlineStr">
        <is>
          <t>WARREN CITY 4A</t>
        </is>
      </c>
      <c r="AP827" t="inlineStr">
        <is>
          <t>78-P-ADI</t>
        </is>
      </c>
      <c r="AQ827" t="n">
        <v>9</v>
      </c>
      <c r="AR827" t="n">
        <v>64</v>
      </c>
      <c r="AS827" t="n">
        <v>32</v>
      </c>
      <c r="AU827">
        <f>COUNTA($BA$827:$EH$827)</f>
        <v/>
      </c>
      <c r="AV827">
        <f>COUNTIF($BA$827:$EH$827,"D")</f>
        <v/>
      </c>
      <c r="AW827">
        <f>COUNTIF($BA$827:$EH$827,"R")</f>
        <v/>
      </c>
      <c r="AX827">
        <f>IF(BN827="D",1,0)+IF(BO827="D",1,0)+IF(BT827="D",1,0)+IF(BU827="D",1,0)+IF(BW827="D",1,0)+IF(CC827="D",1,0)+IF(CD827="D",1,0)+IF(CE827="D",1,0)+IF(CF827="D",1,0)+IF(CL827="D",1,0)+IF(CM827="D",1,0)+IF(CQ827="D",1,0)+IF(CR827="D",1,0)+IF(CS827="D",1,0)+IF(CW827="D",1,0)+IF(CX827="D",1,0)+IF(DD827="D",1,0)+IF(DE827="D",1,0)+IF(DJ827="D",1,0)+IF(DK827="D",1,0)+IF(DO827="D",1,0)+IF(DP827="D",1,0)+IF(DQ827="D",1,0)+IF(DW827="D",1,0)+IF(DZ827="D",1,0)+IF(EH827="D",1,0)</f>
        <v/>
      </c>
      <c r="AY827">
        <f>IF(DJ827&lt;&gt;"",1,0)+IF(DK827&lt;&gt;"",1,0)+IF(DM827&lt;&gt;"",1,0)+IF(DO827&lt;&gt;"",1,0)+IF(DP827&lt;&gt;"",1,0)+IF(DQ827&lt;&gt;"",1,0)+IF(DS827&lt;&gt;"",1,0)+IF(DT827&lt;&gt;"",1,0)+IF(DV827&lt;&gt;"",1,0)+IF(DW827&lt;&gt;"",1,0)+IF(DX827&lt;&gt;"",1,0)+IF(DY827&lt;&gt;"",1,0)+IF(DZ827&lt;&gt;"",1,0)+IF(EB827&lt;&gt;"",1,0)+IF(EC827&lt;&gt;"",1,0)+IF(ED827&lt;&gt;"",1,0)+IF(EG827&lt;&gt;"",1,0)+IF(EH827&lt;&gt;"",1,0)</f>
        <v/>
      </c>
      <c r="AZ827">
        <f>IF(EH827&lt;&gt;"",1,0)</f>
        <v/>
      </c>
      <c r="BB827" t="inlineStr">
        <is>
          <t>WARREN-WARD 4</t>
        </is>
      </c>
      <c r="BC827" t="inlineStr">
        <is>
          <t>X</t>
        </is>
      </c>
      <c r="BD827" t="inlineStr">
        <is>
          <t>X</t>
        </is>
      </c>
      <c r="BE827" t="inlineStr">
        <is>
          <t>X</t>
        </is>
      </c>
      <c r="BF827" t="inlineStr">
        <is>
          <t>X</t>
        </is>
      </c>
      <c r="BH827" t="inlineStr">
        <is>
          <t>X</t>
        </is>
      </c>
      <c r="BI827" t="inlineStr">
        <is>
          <t>X</t>
        </is>
      </c>
      <c r="BJ827" t="inlineStr">
        <is>
          <t>X</t>
        </is>
      </c>
      <c r="BK827" t="inlineStr">
        <is>
          <t>X</t>
        </is>
      </c>
      <c r="BL827" t="inlineStr">
        <is>
          <t>X</t>
        </is>
      </c>
      <c r="BP827" t="inlineStr">
        <is>
          <t>X</t>
        </is>
      </c>
      <c r="BR827" t="inlineStr">
        <is>
          <t>X</t>
        </is>
      </c>
      <c r="BS827" t="inlineStr">
        <is>
          <t>X</t>
        </is>
      </c>
      <c r="BV827" t="inlineStr">
        <is>
          <t>X</t>
        </is>
      </c>
      <c r="BY827" t="inlineStr">
        <is>
          <t>D</t>
        </is>
      </c>
      <c r="CA827" t="inlineStr">
        <is>
          <t>X</t>
        </is>
      </c>
      <c r="CC827" t="inlineStr">
        <is>
          <t>D</t>
        </is>
      </c>
      <c r="CG827" t="inlineStr">
        <is>
          <t>X</t>
        </is>
      </c>
      <c r="CH827" t="inlineStr">
        <is>
          <t>D</t>
        </is>
      </c>
      <c r="CK827" t="inlineStr">
        <is>
          <t>X</t>
        </is>
      </c>
      <c r="CL827" t="inlineStr">
        <is>
          <t>D</t>
        </is>
      </c>
      <c r="CN827" t="inlineStr">
        <is>
          <t>X</t>
        </is>
      </c>
      <c r="CO827" t="inlineStr">
        <is>
          <t>D</t>
        </is>
      </c>
      <c r="CP827" t="inlineStr">
        <is>
          <t>X</t>
        </is>
      </c>
      <c r="CT827" t="inlineStr">
        <is>
          <t>X</t>
        </is>
      </c>
      <c r="CU827" t="inlineStr">
        <is>
          <t>D</t>
        </is>
      </c>
      <c r="CV827" t="inlineStr">
        <is>
          <t>X</t>
        </is>
      </c>
      <c r="CY827" t="inlineStr">
        <is>
          <t>X</t>
        </is>
      </c>
      <c r="CZ827" t="inlineStr">
        <is>
          <t>D</t>
        </is>
      </c>
      <c r="DC827" t="inlineStr">
        <is>
          <t>X</t>
        </is>
      </c>
      <c r="DD827" t="inlineStr">
        <is>
          <t>D</t>
        </is>
      </c>
      <c r="DF827" t="inlineStr">
        <is>
          <t>X</t>
        </is>
      </c>
      <c r="DG827" t="inlineStr">
        <is>
          <t>D</t>
        </is>
      </c>
      <c r="DI827" t="inlineStr">
        <is>
          <t>X</t>
        </is>
      </c>
      <c r="DJ827" t="inlineStr">
        <is>
          <t>D</t>
        </is>
      </c>
      <c r="DL827" t="inlineStr">
        <is>
          <t>X</t>
        </is>
      </c>
      <c r="DM827" t="inlineStr">
        <is>
          <t>D</t>
        </is>
      </c>
      <c r="DN827" t="inlineStr">
        <is>
          <t>X</t>
        </is>
      </c>
      <c r="DR827" t="inlineStr">
        <is>
          <t>X</t>
        </is>
      </c>
      <c r="DS827" t="inlineStr">
        <is>
          <t>D</t>
        </is>
      </c>
      <c r="DU827" t="inlineStr">
        <is>
          <t>X</t>
        </is>
      </c>
      <c r="DW827" t="inlineStr">
        <is>
          <t>D</t>
        </is>
      </c>
      <c r="DX827" t="inlineStr">
        <is>
          <t>X</t>
        </is>
      </c>
      <c r="EA827" t="inlineStr">
        <is>
          <t>X</t>
        </is>
      </c>
      <c r="ED827" t="inlineStr">
        <is>
          <t>D</t>
        </is>
      </c>
      <c r="EF827" t="inlineStr">
        <is>
          <t>X</t>
        </is>
      </c>
      <c r="EH827" t="inlineStr">
        <is>
          <t>D</t>
        </is>
      </c>
    </row>
    <row r="828">
      <c r="A828" t="inlineStr">
        <is>
          <t>OH0015722429</t>
        </is>
      </c>
      <c r="B828" t="n">
        <v>78</v>
      </c>
      <c r="C828" t="n">
        <v>323776</v>
      </c>
      <c r="D828" t="inlineStr">
        <is>
          <t>CARTER</t>
        </is>
      </c>
      <c r="E828" t="inlineStr">
        <is>
          <t>TIM</t>
        </is>
      </c>
      <c r="F828">
        <f>CONCATENATE(D828," ",LEFT(H828,4),"T=",AU828,"D=",AV828,"R=",AW828,"M=",AX828,"L=",AY828,"B=",AZ828)</f>
        <v/>
      </c>
      <c r="G828" t="inlineStr">
        <is>
          <t>S</t>
        </is>
      </c>
      <c r="I828" t="inlineStr">
        <is>
          <t>1972-10-05</t>
        </is>
      </c>
      <c r="J828" t="inlineStr">
        <is>
          <t>2012-09-12</t>
        </is>
      </c>
      <c r="K828" t="inlineStr">
        <is>
          <t>CONFIRMATION</t>
        </is>
      </c>
      <c r="M828" t="inlineStr">
        <is>
          <t>810 OAK KNOLL AVE SE</t>
        </is>
      </c>
      <c r="N828">
        <f>RIGHT(M828,LEN(M828)-FIND(" ",M828))</f>
        <v/>
      </c>
      <c r="P828" t="inlineStr">
        <is>
          <t>WARREN</t>
        </is>
      </c>
      <c r="Q828" t="inlineStr">
        <is>
          <t>OH</t>
        </is>
      </c>
      <c r="R828" t="n">
        <v>44484</v>
      </c>
      <c r="AD828" t="inlineStr">
        <is>
          <t>TRUMBULL CAREER &amp; TECH CENTER</t>
        </is>
      </c>
      <c r="AE828" t="inlineStr">
        <is>
          <t>WARREN CITY</t>
        </is>
      </c>
      <c r="AF828" t="inlineStr">
        <is>
          <t>WARREN CITY SD</t>
        </is>
      </c>
      <c r="AH828" t="n">
        <v>14</v>
      </c>
      <c r="AI828" t="n">
        <v>11</v>
      </c>
      <c r="AN828" t="inlineStr">
        <is>
          <t>WARREN</t>
        </is>
      </c>
      <c r="AO828" t="inlineStr">
        <is>
          <t>WARREN CITY 4A</t>
        </is>
      </c>
      <c r="AP828" t="inlineStr">
        <is>
          <t>78-P-ADI</t>
        </is>
      </c>
      <c r="AQ828" t="n">
        <v>9</v>
      </c>
      <c r="AR828" t="n">
        <v>64</v>
      </c>
      <c r="AS828" t="n">
        <v>32</v>
      </c>
      <c r="AU828">
        <f>COUNTA($BA$828:$EH$828)</f>
        <v/>
      </c>
      <c r="AV828">
        <f>COUNTIF($BA$828:$EH$828,"D")</f>
        <v/>
      </c>
      <c r="AW828">
        <f>COUNTIF($BA$828:$EH$828,"R")</f>
        <v/>
      </c>
      <c r="AX828">
        <f>IF(BN828="D",1,0)+IF(BO828="D",1,0)+IF(BT828="D",1,0)+IF(BU828="D",1,0)+IF(BW828="D",1,0)+IF(CC828="D",1,0)+IF(CD828="D",1,0)+IF(CE828="D",1,0)+IF(CF828="D",1,0)+IF(CL828="D",1,0)+IF(CM828="D",1,0)+IF(CQ828="D",1,0)+IF(CR828="D",1,0)+IF(CS828="D",1,0)+IF(CW828="D",1,0)+IF(CX828="D",1,0)+IF(DD828="D",1,0)+IF(DE828="D",1,0)+IF(DJ828="D",1,0)+IF(DK828="D",1,0)+IF(DO828="D",1,0)+IF(DP828="D",1,0)+IF(DQ828="D",1,0)+IF(DW828="D",1,0)+IF(DZ828="D",1,0)+IF(EH828="D",1,0)</f>
        <v/>
      </c>
      <c r="AY828">
        <f>IF(DJ828&lt;&gt;"",1,0)+IF(DK828&lt;&gt;"",1,0)+IF(DM828&lt;&gt;"",1,0)+IF(DO828&lt;&gt;"",1,0)+IF(DP828&lt;&gt;"",1,0)+IF(DQ828&lt;&gt;"",1,0)+IF(DS828&lt;&gt;"",1,0)+IF(DT828&lt;&gt;"",1,0)+IF(DV828&lt;&gt;"",1,0)+IF(DW828&lt;&gt;"",1,0)+IF(DX828&lt;&gt;"",1,0)+IF(DY828&lt;&gt;"",1,0)+IF(DZ828&lt;&gt;"",1,0)+IF(EB828&lt;&gt;"",1,0)+IF(EC828&lt;&gt;"",1,0)+IF(ED828&lt;&gt;"",1,0)+IF(EG828&lt;&gt;"",1,0)+IF(EH828&lt;&gt;"",1,0)</f>
        <v/>
      </c>
      <c r="AZ828">
        <f>IF(EH828&lt;&gt;"",1,0)</f>
        <v/>
      </c>
      <c r="BB828" t="inlineStr">
        <is>
          <t>WARREN-WARD 4</t>
        </is>
      </c>
    </row>
    <row r="829">
      <c r="A829" t="inlineStr">
        <is>
          <t>OH0023246761</t>
        </is>
      </c>
      <c r="B829" t="n">
        <v>78</v>
      </c>
      <c r="C829" t="n">
        <v>409014</v>
      </c>
      <c r="D829" t="inlineStr">
        <is>
          <t>KOVALSCIK</t>
        </is>
      </c>
      <c r="E829" t="inlineStr">
        <is>
          <t>NICHOLAS</t>
        </is>
      </c>
      <c r="F829">
        <f>CONCATENATE(D829," ",LEFT(H829,4),"T=",AU829,"D=",AV829,"R=",AW829,"M=",AX829,"L=",AY829,"B=",AZ829)</f>
        <v/>
      </c>
      <c r="G829" t="inlineStr">
        <is>
          <t>A</t>
        </is>
      </c>
      <c r="I829" t="inlineStr">
        <is>
          <t>1987-12-13</t>
        </is>
      </c>
      <c r="J829" t="inlineStr">
        <is>
          <t>2017-08-31</t>
        </is>
      </c>
      <c r="K829" t="inlineStr">
        <is>
          <t>CONFIRMATION</t>
        </is>
      </c>
      <c r="M829" t="inlineStr">
        <is>
          <t>806 EAST AVE SE</t>
        </is>
      </c>
      <c r="N829">
        <f>RIGHT(M829,LEN(M829)-FIND(" ",M829))</f>
        <v/>
      </c>
      <c r="P829" t="inlineStr">
        <is>
          <t>WARREN</t>
        </is>
      </c>
      <c r="Q829" t="inlineStr">
        <is>
          <t>OH</t>
        </is>
      </c>
      <c r="R829" t="n">
        <v>44484</v>
      </c>
      <c r="AD829" t="inlineStr">
        <is>
          <t>TRUMBULL CAREER &amp; TECH CENTER</t>
        </is>
      </c>
      <c r="AE829" t="inlineStr">
        <is>
          <t>WARREN CITY</t>
        </is>
      </c>
      <c r="AF829" t="inlineStr">
        <is>
          <t>WARREN CITY SD</t>
        </is>
      </c>
      <c r="AH829" t="n">
        <v>14</v>
      </c>
      <c r="AI829" t="n">
        <v>11</v>
      </c>
      <c r="AN829" t="inlineStr">
        <is>
          <t>WARREN</t>
        </is>
      </c>
      <c r="AO829" t="inlineStr">
        <is>
          <t>WARREN CITY 4A</t>
        </is>
      </c>
      <c r="AP829" t="inlineStr">
        <is>
          <t>78-P-ADI</t>
        </is>
      </c>
      <c r="AQ829" t="n">
        <v>9</v>
      </c>
      <c r="AR829" t="n">
        <v>64</v>
      </c>
      <c r="AS829" t="n">
        <v>32</v>
      </c>
      <c r="AU829">
        <f>COUNTA($BA$829:$EH$829)</f>
        <v/>
      </c>
      <c r="AV829">
        <f>COUNTIF($BA$829:$EH$829,"D")</f>
        <v/>
      </c>
      <c r="AW829">
        <f>COUNTIF($BA$829:$EH$829,"R")</f>
        <v/>
      </c>
      <c r="AX829">
        <f>IF(BN829="D",1,0)+IF(BO829="D",1,0)+IF(BT829="D",1,0)+IF(BU829="D",1,0)+IF(BW829="D",1,0)+IF(CC829="D",1,0)+IF(CD829="D",1,0)+IF(CE829="D",1,0)+IF(CF829="D",1,0)+IF(CL829="D",1,0)+IF(CM829="D",1,0)+IF(CQ829="D",1,0)+IF(CR829="D",1,0)+IF(CS829="D",1,0)+IF(CW829="D",1,0)+IF(CX829="D",1,0)+IF(DD829="D",1,0)+IF(DE829="D",1,0)+IF(DJ829="D",1,0)+IF(DK829="D",1,0)+IF(DO829="D",1,0)+IF(DP829="D",1,0)+IF(DQ829="D",1,0)+IF(DW829="D",1,0)+IF(DZ829="D",1,0)+IF(EH829="D",1,0)</f>
        <v/>
      </c>
      <c r="AY829">
        <f>IF(DJ829&lt;&gt;"",1,0)+IF(DK829&lt;&gt;"",1,0)+IF(DM829&lt;&gt;"",1,0)+IF(DO829&lt;&gt;"",1,0)+IF(DP829&lt;&gt;"",1,0)+IF(DQ829&lt;&gt;"",1,0)+IF(DS829&lt;&gt;"",1,0)+IF(DT829&lt;&gt;"",1,0)+IF(DV829&lt;&gt;"",1,0)+IF(DW829&lt;&gt;"",1,0)+IF(DX829&lt;&gt;"",1,0)+IF(DY829&lt;&gt;"",1,0)+IF(DZ829&lt;&gt;"",1,0)+IF(EB829&lt;&gt;"",1,0)+IF(EC829&lt;&gt;"",1,0)+IF(ED829&lt;&gt;"",1,0)+IF(EG829&lt;&gt;"",1,0)+IF(EH829&lt;&gt;"",1,0)</f>
        <v/>
      </c>
      <c r="AZ829">
        <f>IF(EH829&lt;&gt;"",1,0)</f>
        <v/>
      </c>
      <c r="BB829" t="inlineStr">
        <is>
          <t>WARREN-WARD 4</t>
        </is>
      </c>
    </row>
    <row r="830">
      <c r="A830" t="inlineStr">
        <is>
          <t>OH0027140506</t>
        </is>
      </c>
      <c r="B830" t="n">
        <v>78</v>
      </c>
      <c r="C830" t="n">
        <v>477830</v>
      </c>
      <c r="D830" t="inlineStr">
        <is>
          <t>WOJCIK</t>
        </is>
      </c>
      <c r="E830" t="inlineStr">
        <is>
          <t>DENISE</t>
        </is>
      </c>
      <c r="F830">
        <f>CONCATENATE(D830," ",LEFT(H830,4),"T=",AU830,"D=",AV830,"R=",AW830,"M=",AX830,"L=",AY830,"B=",AZ830)</f>
        <v/>
      </c>
      <c r="G830" t="inlineStr">
        <is>
          <t>Y</t>
        </is>
      </c>
      <c r="I830" t="inlineStr">
        <is>
          <t>1965-06-20</t>
        </is>
      </c>
      <c r="J830" t="inlineStr">
        <is>
          <t>2023-10-19</t>
        </is>
      </c>
      <c r="K830" t="inlineStr">
        <is>
          <t>ACTIVE</t>
        </is>
      </c>
      <c r="M830" t="inlineStr">
        <is>
          <t>1036 COTTAGE CT SE</t>
        </is>
      </c>
      <c r="N830">
        <f>RIGHT(M830,LEN(M830)-FIND(" ",M830))</f>
        <v/>
      </c>
      <c r="P830" t="inlineStr">
        <is>
          <t>WARREN</t>
        </is>
      </c>
      <c r="Q830" t="inlineStr">
        <is>
          <t>OH</t>
        </is>
      </c>
      <c r="R830" t="n">
        <v>44483</v>
      </c>
      <c r="AD830" t="inlineStr">
        <is>
          <t>TRUMBULL CAREER &amp; TECH CENTER</t>
        </is>
      </c>
      <c r="AE830" t="inlineStr">
        <is>
          <t>WARREN CITY</t>
        </is>
      </c>
      <c r="AF830" t="inlineStr">
        <is>
          <t>WARREN CITY SD</t>
        </is>
      </c>
      <c r="AH830" t="n">
        <v>14</v>
      </c>
      <c r="AI830" t="n">
        <v>11</v>
      </c>
      <c r="AN830" t="inlineStr">
        <is>
          <t>WARREN</t>
        </is>
      </c>
      <c r="AO830" t="inlineStr">
        <is>
          <t>WARREN CITY 4A</t>
        </is>
      </c>
      <c r="AP830" t="inlineStr">
        <is>
          <t>78-P-ADI</t>
        </is>
      </c>
      <c r="AQ830" t="n">
        <v>9</v>
      </c>
      <c r="AR830" t="n">
        <v>64</v>
      </c>
      <c r="AS830" t="n">
        <v>32</v>
      </c>
      <c r="AU830">
        <f>COUNTA($BA$830:$EH$830)</f>
        <v/>
      </c>
      <c r="AV830">
        <f>COUNTIF($BA$830:$EH$830,"D")</f>
        <v/>
      </c>
      <c r="AW830">
        <f>COUNTIF($BA$830:$EH$830,"R")</f>
        <v/>
      </c>
      <c r="AX830">
        <f>IF(BN830="D",1,0)+IF(BO830="D",1,0)+IF(BT830="D",1,0)+IF(BU830="D",1,0)+IF(BW830="D",1,0)+IF(CC830="D",1,0)+IF(CD830="D",1,0)+IF(CE830="D",1,0)+IF(CF830="D",1,0)+IF(CL830="D",1,0)+IF(CM830="D",1,0)+IF(CQ830="D",1,0)+IF(CR830="D",1,0)+IF(CS830="D",1,0)+IF(CW830="D",1,0)+IF(CX830="D",1,0)+IF(DD830="D",1,0)+IF(DE830="D",1,0)+IF(DJ830="D",1,0)+IF(DK830="D",1,0)+IF(DO830="D",1,0)+IF(DP830="D",1,0)+IF(DQ830="D",1,0)+IF(DW830="D",1,0)+IF(DZ830="D",1,0)+IF(EH830="D",1,0)</f>
        <v/>
      </c>
      <c r="AY830">
        <f>IF(DJ830&lt;&gt;"",1,0)+IF(DK830&lt;&gt;"",1,0)+IF(DM830&lt;&gt;"",1,0)+IF(DO830&lt;&gt;"",1,0)+IF(DP830&lt;&gt;"",1,0)+IF(DQ830&lt;&gt;"",1,0)+IF(DS830&lt;&gt;"",1,0)+IF(DT830&lt;&gt;"",1,0)+IF(DV830&lt;&gt;"",1,0)+IF(DW830&lt;&gt;"",1,0)+IF(DX830&lt;&gt;"",1,0)+IF(DY830&lt;&gt;"",1,0)+IF(DZ830&lt;&gt;"",1,0)+IF(EB830&lt;&gt;"",1,0)+IF(EC830&lt;&gt;"",1,0)+IF(ED830&lt;&gt;"",1,0)+IF(EG830&lt;&gt;"",1,0)+IF(EH830&lt;&gt;"",1,0)</f>
        <v/>
      </c>
      <c r="AZ830">
        <f>IF(EH830&lt;&gt;"",1,0)</f>
        <v/>
      </c>
      <c r="BB830" t="inlineStr">
        <is>
          <t>WARREN-WARD 4</t>
        </is>
      </c>
      <c r="EF830" t="inlineStr">
        <is>
          <t>X</t>
        </is>
      </c>
    </row>
    <row r="831">
      <c r="A831" t="inlineStr">
        <is>
          <t>OH0025645561</t>
        </is>
      </c>
      <c r="B831" t="n">
        <v>78</v>
      </c>
      <c r="C831" t="n">
        <v>447731</v>
      </c>
      <c r="D831" t="inlineStr">
        <is>
          <t>ADAMS</t>
        </is>
      </c>
      <c r="E831" t="inlineStr">
        <is>
          <t>KAYRON</t>
        </is>
      </c>
      <c r="F831">
        <f>CONCATENATE(D831," ",LEFT(H831,4),"T=",AU831,"D=",AV831,"R=",AW831,"M=",AX831,"L=",AY831,"B=",AZ831)</f>
        <v/>
      </c>
      <c r="G831" t="inlineStr">
        <is>
          <t>CHRISTIAN</t>
        </is>
      </c>
      <c r="I831" t="inlineStr">
        <is>
          <t>2000-12-30</t>
        </is>
      </c>
      <c r="J831" t="inlineStr">
        <is>
          <t>2020-07-21</t>
        </is>
      </c>
      <c r="K831" t="inlineStr">
        <is>
          <t>CONFIRMATION</t>
        </is>
      </c>
      <c r="M831" t="inlineStr">
        <is>
          <t>233 KENILWORTH AVE SE</t>
        </is>
      </c>
      <c r="N831">
        <f>RIGHT(M831,LEN(M831)-FIND(" ",M831))</f>
        <v/>
      </c>
      <c r="P831" t="inlineStr">
        <is>
          <t>WARREN</t>
        </is>
      </c>
      <c r="Q831" t="inlineStr">
        <is>
          <t>OH</t>
        </is>
      </c>
      <c r="R831" t="n">
        <v>44483</v>
      </c>
      <c r="V831" t="inlineStr">
        <is>
          <t>1 SCARLET KNIGHT WAY</t>
        </is>
      </c>
      <c r="X831" t="inlineStr">
        <is>
          <t>PISCATAWAY</t>
        </is>
      </c>
      <c r="Y831" t="inlineStr">
        <is>
          <t>NJ</t>
        </is>
      </c>
      <c r="Z831" t="n">
        <v>8854</v>
      </c>
      <c r="AD831" t="inlineStr">
        <is>
          <t>TRUMBULL CAREER &amp; TECH CENTER</t>
        </is>
      </c>
      <c r="AE831" t="inlineStr">
        <is>
          <t>WARREN CITY</t>
        </is>
      </c>
      <c r="AF831" t="inlineStr">
        <is>
          <t>WARREN CITY SD</t>
        </is>
      </c>
      <c r="AH831" t="n">
        <v>14</v>
      </c>
      <c r="AI831" t="n">
        <v>11</v>
      </c>
      <c r="AN831" t="inlineStr">
        <is>
          <t>WARREN</t>
        </is>
      </c>
      <c r="AO831" t="inlineStr">
        <is>
          <t>WARREN CITY 4A</t>
        </is>
      </c>
      <c r="AP831" t="inlineStr">
        <is>
          <t>78-P-ADI</t>
        </is>
      </c>
      <c r="AQ831" t="n">
        <v>9</v>
      </c>
      <c r="AR831" t="n">
        <v>64</v>
      </c>
      <c r="AS831" t="n">
        <v>32</v>
      </c>
      <c r="AU831">
        <f>COUNTA($BA$831:$EH$831)</f>
        <v/>
      </c>
      <c r="AV831">
        <f>COUNTIF($BA$831:$EH$831,"D")</f>
        <v/>
      </c>
      <c r="AW831">
        <f>COUNTIF($BA$831:$EH$831,"R")</f>
        <v/>
      </c>
      <c r="AX831">
        <f>IF(BN831="D",1,0)+IF(BO831="D",1,0)+IF(BT831="D",1,0)+IF(BU831="D",1,0)+IF(BW831="D",1,0)+IF(CC831="D",1,0)+IF(CD831="D",1,0)+IF(CE831="D",1,0)+IF(CF831="D",1,0)+IF(CL831="D",1,0)+IF(CM831="D",1,0)+IF(CQ831="D",1,0)+IF(CR831="D",1,0)+IF(CS831="D",1,0)+IF(CW831="D",1,0)+IF(CX831="D",1,0)+IF(DD831="D",1,0)+IF(DE831="D",1,0)+IF(DJ831="D",1,0)+IF(DK831="D",1,0)+IF(DO831="D",1,0)+IF(DP831="D",1,0)+IF(DQ831="D",1,0)+IF(DW831="D",1,0)+IF(DZ831="D",1,0)+IF(EH831="D",1,0)</f>
        <v/>
      </c>
      <c r="AY831">
        <f>IF(DJ831&lt;&gt;"",1,0)+IF(DK831&lt;&gt;"",1,0)+IF(DM831&lt;&gt;"",1,0)+IF(DO831&lt;&gt;"",1,0)+IF(DP831&lt;&gt;"",1,0)+IF(DQ831&lt;&gt;"",1,0)+IF(DS831&lt;&gt;"",1,0)+IF(DT831&lt;&gt;"",1,0)+IF(DV831&lt;&gt;"",1,0)+IF(DW831&lt;&gt;"",1,0)+IF(DX831&lt;&gt;"",1,0)+IF(DY831&lt;&gt;"",1,0)+IF(DZ831&lt;&gt;"",1,0)+IF(EB831&lt;&gt;"",1,0)+IF(EC831&lt;&gt;"",1,0)+IF(ED831&lt;&gt;"",1,0)+IF(EG831&lt;&gt;"",1,0)+IF(EH831&lt;&gt;"",1,0)</f>
        <v/>
      </c>
      <c r="AZ831">
        <f>IF(EH831&lt;&gt;"",1,0)</f>
        <v/>
      </c>
      <c r="BB831" t="inlineStr">
        <is>
          <t>WARREN-WARD 4</t>
        </is>
      </c>
    </row>
    <row r="832">
      <c r="A832" t="inlineStr">
        <is>
          <t>OH0015720823</t>
        </is>
      </c>
      <c r="B832" t="n">
        <v>78</v>
      </c>
      <c r="C832" t="n">
        <v>201323</v>
      </c>
      <c r="D832" t="inlineStr">
        <is>
          <t>HAWKINS</t>
        </is>
      </c>
      <c r="E832" t="inlineStr">
        <is>
          <t>MARY</t>
        </is>
      </c>
      <c r="F832">
        <f>CONCATENATE(D832," ",LEFT(H832,4),"T=",AU832,"D=",AV832,"R=",AW832,"M=",AX832,"L=",AY832,"B=",AZ832)</f>
        <v/>
      </c>
      <c r="G832" t="inlineStr">
        <is>
          <t>A</t>
        </is>
      </c>
      <c r="I832" t="inlineStr">
        <is>
          <t>1961-12-08</t>
        </is>
      </c>
      <c r="J832" t="inlineStr">
        <is>
          <t>1988-03-15</t>
        </is>
      </c>
      <c r="K832" t="inlineStr">
        <is>
          <t>ACTIVE</t>
        </is>
      </c>
      <c r="L832" t="inlineStr">
        <is>
          <t>D</t>
        </is>
      </c>
      <c r="M832" t="inlineStr">
        <is>
          <t>1314 BELLE ST SE</t>
        </is>
      </c>
      <c r="N832">
        <f>RIGHT(M832,LEN(M832)-FIND(" ",M832))</f>
        <v/>
      </c>
      <c r="P832" t="inlineStr">
        <is>
          <t>WARREN</t>
        </is>
      </c>
      <c r="Q832" t="inlineStr">
        <is>
          <t>OH</t>
        </is>
      </c>
      <c r="R832" t="n">
        <v>44484</v>
      </c>
      <c r="AD832" t="inlineStr">
        <is>
          <t>TRUMBULL CAREER &amp; TECH CENTER</t>
        </is>
      </c>
      <c r="AE832" t="inlineStr">
        <is>
          <t>WARREN CITY</t>
        </is>
      </c>
      <c r="AF832" t="inlineStr">
        <is>
          <t>WARREN CITY SD</t>
        </is>
      </c>
      <c r="AH832" t="n">
        <v>14</v>
      </c>
      <c r="AI832" t="n">
        <v>11</v>
      </c>
      <c r="AN832" t="inlineStr">
        <is>
          <t>WARREN</t>
        </is>
      </c>
      <c r="AO832" t="inlineStr">
        <is>
          <t>WARREN CITY 4A</t>
        </is>
      </c>
      <c r="AP832" t="inlineStr">
        <is>
          <t>78-P-ADI</t>
        </is>
      </c>
      <c r="AQ832" t="n">
        <v>9</v>
      </c>
      <c r="AR832" t="n">
        <v>64</v>
      </c>
      <c r="AS832" t="n">
        <v>32</v>
      </c>
      <c r="AU832">
        <f>COUNTA($BA$832:$EH$832)</f>
        <v/>
      </c>
      <c r="AV832">
        <f>COUNTIF($BA$832:$EH$832,"D")</f>
        <v/>
      </c>
      <c r="AW832">
        <f>COUNTIF($BA$832:$EH$832,"R")</f>
        <v/>
      </c>
      <c r="AX832">
        <f>IF(BN832="D",1,0)+IF(BO832="D",1,0)+IF(BT832="D",1,0)+IF(BU832="D",1,0)+IF(BW832="D",1,0)+IF(CC832="D",1,0)+IF(CD832="D",1,0)+IF(CE832="D",1,0)+IF(CF832="D",1,0)+IF(CL832="D",1,0)+IF(CM832="D",1,0)+IF(CQ832="D",1,0)+IF(CR832="D",1,0)+IF(CS832="D",1,0)+IF(CW832="D",1,0)+IF(CX832="D",1,0)+IF(DD832="D",1,0)+IF(DE832="D",1,0)+IF(DJ832="D",1,0)+IF(DK832="D",1,0)+IF(DO832="D",1,0)+IF(DP832="D",1,0)+IF(DQ832="D",1,0)+IF(DW832="D",1,0)+IF(DZ832="D",1,0)+IF(EH832="D",1,0)</f>
        <v/>
      </c>
      <c r="AY832">
        <f>IF(DJ832&lt;&gt;"",1,0)+IF(DK832&lt;&gt;"",1,0)+IF(DM832&lt;&gt;"",1,0)+IF(DO832&lt;&gt;"",1,0)+IF(DP832&lt;&gt;"",1,0)+IF(DQ832&lt;&gt;"",1,0)+IF(DS832&lt;&gt;"",1,0)+IF(DT832&lt;&gt;"",1,0)+IF(DV832&lt;&gt;"",1,0)+IF(DW832&lt;&gt;"",1,0)+IF(DX832&lt;&gt;"",1,0)+IF(DY832&lt;&gt;"",1,0)+IF(DZ832&lt;&gt;"",1,0)+IF(EB832&lt;&gt;"",1,0)+IF(EC832&lt;&gt;"",1,0)+IF(ED832&lt;&gt;"",1,0)+IF(EG832&lt;&gt;"",1,0)+IF(EH832&lt;&gt;"",1,0)</f>
        <v/>
      </c>
      <c r="AZ832">
        <f>IF(EH832&lt;&gt;"",1,0)</f>
        <v/>
      </c>
      <c r="BB832" t="inlineStr">
        <is>
          <t>WARREN-WARD 4</t>
        </is>
      </c>
      <c r="BC832" t="inlineStr">
        <is>
          <t>X</t>
        </is>
      </c>
      <c r="BD832" t="inlineStr">
        <is>
          <t>X</t>
        </is>
      </c>
      <c r="BE832" t="inlineStr">
        <is>
          <t>X</t>
        </is>
      </c>
      <c r="BF832" t="inlineStr">
        <is>
          <t>X</t>
        </is>
      </c>
      <c r="BG832" t="inlineStr">
        <is>
          <t>X</t>
        </is>
      </c>
      <c r="BH832" t="inlineStr">
        <is>
          <t>X</t>
        </is>
      </c>
      <c r="BI832" t="inlineStr">
        <is>
          <t>X</t>
        </is>
      </c>
      <c r="BJ832" t="inlineStr">
        <is>
          <t>X</t>
        </is>
      </c>
      <c r="BK832" t="inlineStr">
        <is>
          <t>X</t>
        </is>
      </c>
      <c r="BL832" t="inlineStr">
        <is>
          <t>X</t>
        </is>
      </c>
      <c r="BP832" t="inlineStr">
        <is>
          <t>X</t>
        </is>
      </c>
      <c r="BR832" t="inlineStr">
        <is>
          <t>X</t>
        </is>
      </c>
      <c r="BS832" t="inlineStr">
        <is>
          <t>X</t>
        </is>
      </c>
      <c r="BY832" t="inlineStr">
        <is>
          <t>D</t>
        </is>
      </c>
      <c r="CA832" t="inlineStr">
        <is>
          <t>X</t>
        </is>
      </c>
      <c r="CG832" t="inlineStr">
        <is>
          <t>X</t>
        </is>
      </c>
      <c r="CH832" t="inlineStr">
        <is>
          <t>D</t>
        </is>
      </c>
      <c r="CK832" t="inlineStr">
        <is>
          <t>X</t>
        </is>
      </c>
      <c r="CL832" t="inlineStr">
        <is>
          <t>D</t>
        </is>
      </c>
      <c r="CN832" t="inlineStr">
        <is>
          <t>X</t>
        </is>
      </c>
      <c r="CO832" t="inlineStr">
        <is>
          <t>D</t>
        </is>
      </c>
      <c r="CP832" t="inlineStr">
        <is>
          <t>X</t>
        </is>
      </c>
      <c r="CV832" t="inlineStr">
        <is>
          <t>X</t>
        </is>
      </c>
      <c r="CW832" t="inlineStr">
        <is>
          <t>D</t>
        </is>
      </c>
      <c r="CY832" t="inlineStr">
        <is>
          <t>X</t>
        </is>
      </c>
      <c r="CZ832" t="inlineStr">
        <is>
          <t>D</t>
        </is>
      </c>
      <c r="DC832" t="inlineStr">
        <is>
          <t>X</t>
        </is>
      </c>
      <c r="DF832" t="inlineStr">
        <is>
          <t>X</t>
        </is>
      </c>
      <c r="DG832" t="inlineStr">
        <is>
          <t>D</t>
        </is>
      </c>
      <c r="DI832" t="inlineStr">
        <is>
          <t>X</t>
        </is>
      </c>
      <c r="DL832" t="inlineStr">
        <is>
          <t>X</t>
        </is>
      </c>
      <c r="DM832" t="inlineStr">
        <is>
          <t>D</t>
        </is>
      </c>
      <c r="DN832" t="inlineStr">
        <is>
          <t>X</t>
        </is>
      </c>
      <c r="DR832" t="inlineStr">
        <is>
          <t>X</t>
        </is>
      </c>
      <c r="DS832" t="inlineStr">
        <is>
          <t>D</t>
        </is>
      </c>
      <c r="DT832" t="inlineStr">
        <is>
          <t>D</t>
        </is>
      </c>
      <c r="DU832" t="inlineStr">
        <is>
          <t>X</t>
        </is>
      </c>
      <c r="DX832" t="inlineStr">
        <is>
          <t>X</t>
        </is>
      </c>
      <c r="EA832" t="inlineStr">
        <is>
          <t>X</t>
        </is>
      </c>
      <c r="ED832" t="inlineStr">
        <is>
          <t>D</t>
        </is>
      </c>
      <c r="EF832" t="inlineStr">
        <is>
          <t>X</t>
        </is>
      </c>
    </row>
    <row r="833">
      <c r="A833" t="inlineStr">
        <is>
          <t>OH0015795536</t>
        </is>
      </c>
      <c r="B833" t="n">
        <v>78</v>
      </c>
      <c r="C833" t="n">
        <v>323445</v>
      </c>
      <c r="D833" t="inlineStr">
        <is>
          <t>JACKSON</t>
        </is>
      </c>
      <c r="E833" t="inlineStr">
        <is>
          <t>TWYLA</t>
        </is>
      </c>
      <c r="F833">
        <f>CONCATENATE(D833," ",LEFT(H833,4),"T=",AU833,"D=",AV833,"R=",AW833,"M=",AX833,"L=",AY833,"B=",AZ833)</f>
        <v/>
      </c>
      <c r="G833" t="inlineStr">
        <is>
          <t>SP</t>
        </is>
      </c>
      <c r="I833" t="inlineStr">
        <is>
          <t>1986-02-04</t>
        </is>
      </c>
      <c r="J833" t="inlineStr">
        <is>
          <t>2020-03-12</t>
        </is>
      </c>
      <c r="K833" t="inlineStr">
        <is>
          <t>ACTIVE</t>
        </is>
      </c>
      <c r="M833" t="inlineStr">
        <is>
          <t>395 OAK KNOLL AVE SE</t>
        </is>
      </c>
      <c r="N833">
        <f>RIGHT(M833,LEN(M833)-FIND(" ",M833))</f>
        <v/>
      </c>
      <c r="P833" t="inlineStr">
        <is>
          <t>WARREN</t>
        </is>
      </c>
      <c r="Q833" t="inlineStr">
        <is>
          <t>OH</t>
        </is>
      </c>
      <c r="R833" t="n">
        <v>44483</v>
      </c>
      <c r="AD833" t="inlineStr">
        <is>
          <t>TRUMBULL CAREER &amp; TECH CENTER</t>
        </is>
      </c>
      <c r="AE833" t="inlineStr">
        <is>
          <t>WARREN CITY</t>
        </is>
      </c>
      <c r="AF833" t="inlineStr">
        <is>
          <t>WARREN CITY SD</t>
        </is>
      </c>
      <c r="AH833" t="n">
        <v>14</v>
      </c>
      <c r="AI833" t="n">
        <v>11</v>
      </c>
      <c r="AN833" t="inlineStr">
        <is>
          <t>WARREN</t>
        </is>
      </c>
      <c r="AO833" t="inlineStr">
        <is>
          <t>WARREN CITY 4A</t>
        </is>
      </c>
      <c r="AP833" t="inlineStr">
        <is>
          <t>78-P-ADI</t>
        </is>
      </c>
      <c r="AQ833" t="n">
        <v>9</v>
      </c>
      <c r="AR833" t="n">
        <v>64</v>
      </c>
      <c r="AS833" t="n">
        <v>32</v>
      </c>
      <c r="AU833">
        <f>COUNTA($BA$833:$EH$833)</f>
        <v/>
      </c>
      <c r="AV833">
        <f>COUNTIF($BA$833:$EH$833,"D")</f>
        <v/>
      </c>
      <c r="AW833">
        <f>COUNTIF($BA$833:$EH$833,"R")</f>
        <v/>
      </c>
      <c r="AX833">
        <f>IF(BN833="D",1,0)+IF(BO833="D",1,0)+IF(BT833="D",1,0)+IF(BU833="D",1,0)+IF(BW833="D",1,0)+IF(CC833="D",1,0)+IF(CD833="D",1,0)+IF(CE833="D",1,0)+IF(CF833="D",1,0)+IF(CL833="D",1,0)+IF(CM833="D",1,0)+IF(CQ833="D",1,0)+IF(CR833="D",1,0)+IF(CS833="D",1,0)+IF(CW833="D",1,0)+IF(CX833="D",1,0)+IF(DD833="D",1,0)+IF(DE833="D",1,0)+IF(DJ833="D",1,0)+IF(DK833="D",1,0)+IF(DO833="D",1,0)+IF(DP833="D",1,0)+IF(DQ833="D",1,0)+IF(DW833="D",1,0)+IF(DZ833="D",1,0)+IF(EH833="D",1,0)</f>
        <v/>
      </c>
      <c r="AY833">
        <f>IF(DJ833&lt;&gt;"",1,0)+IF(DK833&lt;&gt;"",1,0)+IF(DM833&lt;&gt;"",1,0)+IF(DO833&lt;&gt;"",1,0)+IF(DP833&lt;&gt;"",1,0)+IF(DQ833&lt;&gt;"",1,0)+IF(DS833&lt;&gt;"",1,0)+IF(DT833&lt;&gt;"",1,0)+IF(DV833&lt;&gt;"",1,0)+IF(DW833&lt;&gt;"",1,0)+IF(DX833&lt;&gt;"",1,0)+IF(DY833&lt;&gt;"",1,0)+IF(DZ833&lt;&gt;"",1,0)+IF(EB833&lt;&gt;"",1,0)+IF(EC833&lt;&gt;"",1,0)+IF(ED833&lt;&gt;"",1,0)+IF(EG833&lt;&gt;"",1,0)+IF(EH833&lt;&gt;"",1,0)</f>
        <v/>
      </c>
      <c r="AZ833">
        <f>IF(EH833&lt;&gt;"",1,0)</f>
        <v/>
      </c>
      <c r="BB833" t="inlineStr">
        <is>
          <t>WARREN-WARD 4</t>
        </is>
      </c>
      <c r="BL833" t="inlineStr">
        <is>
          <t>X</t>
        </is>
      </c>
      <c r="DN833" t="inlineStr">
        <is>
          <t>X</t>
        </is>
      </c>
      <c r="DU833" t="inlineStr">
        <is>
          <t>X</t>
        </is>
      </c>
      <c r="EF833" t="inlineStr">
        <is>
          <t>X</t>
        </is>
      </c>
    </row>
    <row r="834">
      <c r="A834" t="inlineStr">
        <is>
          <t>OH0015746673</t>
        </is>
      </c>
      <c r="B834" t="n">
        <v>78</v>
      </c>
      <c r="C834" t="n">
        <v>330695</v>
      </c>
      <c r="D834" t="inlineStr">
        <is>
          <t>WATSON</t>
        </is>
      </c>
      <c r="E834" t="inlineStr">
        <is>
          <t>RONALD</t>
        </is>
      </c>
      <c r="F834">
        <f>CONCATENATE(D834," ",LEFT(H834,4),"T=",AU834,"D=",AV834,"R=",AW834,"M=",AX834,"L=",AY834,"B=",AZ834)</f>
        <v/>
      </c>
      <c r="G834" t="inlineStr">
        <is>
          <t>L</t>
        </is>
      </c>
      <c r="I834" t="inlineStr">
        <is>
          <t>1959-11-02</t>
        </is>
      </c>
      <c r="J834" t="inlineStr">
        <is>
          <t>2015-06-19</t>
        </is>
      </c>
      <c r="K834" t="inlineStr">
        <is>
          <t>ACTIVE</t>
        </is>
      </c>
      <c r="L834" t="inlineStr">
        <is>
          <t>D</t>
        </is>
      </c>
      <c r="M834" t="inlineStr">
        <is>
          <t>183 KENILWORTH AVE SE</t>
        </is>
      </c>
      <c r="N834">
        <f>RIGHT(M834,LEN(M834)-FIND(" ",M834))</f>
        <v/>
      </c>
      <c r="P834" t="inlineStr">
        <is>
          <t>WARREN</t>
        </is>
      </c>
      <c r="Q834" t="inlineStr">
        <is>
          <t>OH</t>
        </is>
      </c>
      <c r="R834" t="n">
        <v>44483</v>
      </c>
      <c r="AD834" t="inlineStr">
        <is>
          <t>TRUMBULL CAREER &amp; TECH CENTER</t>
        </is>
      </c>
      <c r="AE834" t="inlineStr">
        <is>
          <t>WARREN CITY</t>
        </is>
      </c>
      <c r="AF834" t="inlineStr">
        <is>
          <t>WARREN CITY SD</t>
        </is>
      </c>
      <c r="AH834" t="n">
        <v>14</v>
      </c>
      <c r="AI834" t="n">
        <v>11</v>
      </c>
      <c r="AN834" t="inlineStr">
        <is>
          <t>WARREN</t>
        </is>
      </c>
      <c r="AO834" t="inlineStr">
        <is>
          <t>WARREN CITY 4A</t>
        </is>
      </c>
      <c r="AP834" t="inlineStr">
        <is>
          <t>78-P-ADI</t>
        </is>
      </c>
      <c r="AQ834" t="n">
        <v>9</v>
      </c>
      <c r="AR834" t="n">
        <v>64</v>
      </c>
      <c r="AS834" t="n">
        <v>32</v>
      </c>
      <c r="AU834">
        <f>COUNTA($BA$834:$EH$834)</f>
        <v/>
      </c>
      <c r="AV834">
        <f>COUNTIF($BA$834:$EH$834,"D")</f>
        <v/>
      </c>
      <c r="AW834">
        <f>COUNTIF($BA$834:$EH$834,"R")</f>
        <v/>
      </c>
      <c r="AX834">
        <f>IF(BN834="D",1,0)+IF(BO834="D",1,0)+IF(BT834="D",1,0)+IF(BU834="D",1,0)+IF(BW834="D",1,0)+IF(CC834="D",1,0)+IF(CD834="D",1,0)+IF(CE834="D",1,0)+IF(CF834="D",1,0)+IF(CL834="D",1,0)+IF(CM834="D",1,0)+IF(CQ834="D",1,0)+IF(CR834="D",1,0)+IF(CS834="D",1,0)+IF(CW834="D",1,0)+IF(CX834="D",1,0)+IF(DD834="D",1,0)+IF(DE834="D",1,0)+IF(DJ834="D",1,0)+IF(DK834="D",1,0)+IF(DO834="D",1,0)+IF(DP834="D",1,0)+IF(DQ834="D",1,0)+IF(DW834="D",1,0)+IF(DZ834="D",1,0)+IF(EH834="D",1,0)</f>
        <v/>
      </c>
      <c r="AY834">
        <f>IF(DJ834&lt;&gt;"",1,0)+IF(DK834&lt;&gt;"",1,0)+IF(DM834&lt;&gt;"",1,0)+IF(DO834&lt;&gt;"",1,0)+IF(DP834&lt;&gt;"",1,0)+IF(DQ834&lt;&gt;"",1,0)+IF(DS834&lt;&gt;"",1,0)+IF(DT834&lt;&gt;"",1,0)+IF(DV834&lt;&gt;"",1,0)+IF(DW834&lt;&gt;"",1,0)+IF(DX834&lt;&gt;"",1,0)+IF(DY834&lt;&gt;"",1,0)+IF(DZ834&lt;&gt;"",1,0)+IF(EB834&lt;&gt;"",1,0)+IF(EC834&lt;&gt;"",1,0)+IF(ED834&lt;&gt;"",1,0)+IF(EG834&lt;&gt;"",1,0)+IF(EH834&lt;&gt;"",1,0)</f>
        <v/>
      </c>
      <c r="AZ834">
        <f>IF(EH834&lt;&gt;"",1,0)</f>
        <v/>
      </c>
      <c r="BB834" t="inlineStr">
        <is>
          <t>WARREN-WARD 4</t>
        </is>
      </c>
      <c r="BL834" t="inlineStr">
        <is>
          <t>X</t>
        </is>
      </c>
      <c r="BS834" t="inlineStr">
        <is>
          <t>X</t>
        </is>
      </c>
      <c r="BY834" t="inlineStr">
        <is>
          <t>D</t>
        </is>
      </c>
      <c r="CA834" t="inlineStr">
        <is>
          <t>X</t>
        </is>
      </c>
      <c r="CG834" t="inlineStr">
        <is>
          <t>X</t>
        </is>
      </c>
      <c r="CN834" t="inlineStr">
        <is>
          <t>X</t>
        </is>
      </c>
      <c r="CP834" t="inlineStr">
        <is>
          <t>X</t>
        </is>
      </c>
      <c r="CY834" t="inlineStr">
        <is>
          <t>X</t>
        </is>
      </c>
      <c r="CZ834" t="inlineStr">
        <is>
          <t>D</t>
        </is>
      </c>
      <c r="DC834" t="inlineStr">
        <is>
          <t>X</t>
        </is>
      </c>
      <c r="DF834" t="inlineStr">
        <is>
          <t>X</t>
        </is>
      </c>
      <c r="DI834" t="inlineStr">
        <is>
          <t>X</t>
        </is>
      </c>
      <c r="DL834" t="inlineStr">
        <is>
          <t>X</t>
        </is>
      </c>
      <c r="DM834" t="inlineStr">
        <is>
          <t>D</t>
        </is>
      </c>
      <c r="DN834" t="inlineStr">
        <is>
          <t>X</t>
        </is>
      </c>
      <c r="DR834" t="inlineStr">
        <is>
          <t>X</t>
        </is>
      </c>
      <c r="DU834" t="inlineStr">
        <is>
          <t>X</t>
        </is>
      </c>
      <c r="DX834" t="inlineStr">
        <is>
          <t>X</t>
        </is>
      </c>
      <c r="EA834" t="inlineStr">
        <is>
          <t>X</t>
        </is>
      </c>
      <c r="ED834" t="inlineStr">
        <is>
          <t>D</t>
        </is>
      </c>
      <c r="EF834" t="inlineStr">
        <is>
          <t>X</t>
        </is>
      </c>
    </row>
    <row r="835">
      <c r="A835" t="inlineStr">
        <is>
          <t>OH0015762622</t>
        </is>
      </c>
      <c r="B835" t="n">
        <v>78</v>
      </c>
      <c r="C835" t="n">
        <v>292349</v>
      </c>
      <c r="D835" t="inlineStr">
        <is>
          <t>LOWE</t>
        </is>
      </c>
      <c r="E835" t="inlineStr">
        <is>
          <t>ASHLEY</t>
        </is>
      </c>
      <c r="F835">
        <f>CONCATENATE(D835," ",LEFT(H835,4),"T=",AU835,"D=",AV835,"R=",AW835,"M=",AX835,"L=",AY835,"B=",AZ835)</f>
        <v/>
      </c>
      <c r="G835" t="inlineStr">
        <is>
          <t>NICOLE</t>
        </is>
      </c>
      <c r="I835" t="inlineStr">
        <is>
          <t>1982-06-22</t>
        </is>
      </c>
      <c r="J835" t="inlineStr">
        <is>
          <t>2021-01-23</t>
        </is>
      </c>
      <c r="K835" t="inlineStr">
        <is>
          <t>ACTIVE</t>
        </is>
      </c>
      <c r="M835" t="inlineStr">
        <is>
          <t>538 WOODBINE AVE SE</t>
        </is>
      </c>
      <c r="N835">
        <f>RIGHT(M835,LEN(M835)-FIND(" ",M835))</f>
        <v/>
      </c>
      <c r="P835" t="inlineStr">
        <is>
          <t>WARREN</t>
        </is>
      </c>
      <c r="Q835" t="inlineStr">
        <is>
          <t>OH</t>
        </is>
      </c>
      <c r="R835" t="n">
        <v>44483</v>
      </c>
      <c r="AD835" t="inlineStr">
        <is>
          <t>TRUMBULL CAREER &amp; TECH CENTER</t>
        </is>
      </c>
      <c r="AE835" t="inlineStr">
        <is>
          <t>WARREN CITY</t>
        </is>
      </c>
      <c r="AF835" t="inlineStr">
        <is>
          <t>WARREN CITY SD</t>
        </is>
      </c>
      <c r="AH835" t="n">
        <v>14</v>
      </c>
      <c r="AI835" t="n">
        <v>11</v>
      </c>
      <c r="AN835" t="inlineStr">
        <is>
          <t>WARREN</t>
        </is>
      </c>
      <c r="AO835" t="inlineStr">
        <is>
          <t>WARREN CITY 4A</t>
        </is>
      </c>
      <c r="AP835" t="inlineStr">
        <is>
          <t>78-P-ADI</t>
        </is>
      </c>
      <c r="AQ835" t="n">
        <v>9</v>
      </c>
      <c r="AR835" t="n">
        <v>64</v>
      </c>
      <c r="AS835" t="n">
        <v>32</v>
      </c>
      <c r="AU835">
        <f>COUNTA($BA$835:$EH$835)</f>
        <v/>
      </c>
      <c r="AV835">
        <f>COUNTIF($BA$835:$EH$835,"D")</f>
        <v/>
      </c>
      <c r="AW835">
        <f>COUNTIF($BA$835:$EH$835,"R")</f>
        <v/>
      </c>
      <c r="AX835">
        <f>IF(BN835="D",1,0)+IF(BO835="D",1,0)+IF(BT835="D",1,0)+IF(BU835="D",1,0)+IF(BW835="D",1,0)+IF(CC835="D",1,0)+IF(CD835="D",1,0)+IF(CE835="D",1,0)+IF(CF835="D",1,0)+IF(CL835="D",1,0)+IF(CM835="D",1,0)+IF(CQ835="D",1,0)+IF(CR835="D",1,0)+IF(CS835="D",1,0)+IF(CW835="D",1,0)+IF(CX835="D",1,0)+IF(DD835="D",1,0)+IF(DE835="D",1,0)+IF(DJ835="D",1,0)+IF(DK835="D",1,0)+IF(DO835="D",1,0)+IF(DP835="D",1,0)+IF(DQ835="D",1,0)+IF(DW835="D",1,0)+IF(DZ835="D",1,0)+IF(EH835="D",1,0)</f>
        <v/>
      </c>
      <c r="AY835">
        <f>IF(DJ835&lt;&gt;"",1,0)+IF(DK835&lt;&gt;"",1,0)+IF(DM835&lt;&gt;"",1,0)+IF(DO835&lt;&gt;"",1,0)+IF(DP835&lt;&gt;"",1,0)+IF(DQ835&lt;&gt;"",1,0)+IF(DS835&lt;&gt;"",1,0)+IF(DT835&lt;&gt;"",1,0)+IF(DV835&lt;&gt;"",1,0)+IF(DW835&lt;&gt;"",1,0)+IF(DX835&lt;&gt;"",1,0)+IF(DY835&lt;&gt;"",1,0)+IF(DZ835&lt;&gt;"",1,0)+IF(EB835&lt;&gt;"",1,0)+IF(EC835&lt;&gt;"",1,0)+IF(ED835&lt;&gt;"",1,0)+IF(EG835&lt;&gt;"",1,0)+IF(EH835&lt;&gt;"",1,0)</f>
        <v/>
      </c>
      <c r="AZ835">
        <f>IF(EH835&lt;&gt;"",1,0)</f>
        <v/>
      </c>
      <c r="BB835" t="inlineStr">
        <is>
          <t>WARREN-WARD 4</t>
        </is>
      </c>
      <c r="BC835" t="inlineStr">
        <is>
          <t>X</t>
        </is>
      </c>
      <c r="BL835" t="inlineStr">
        <is>
          <t>X</t>
        </is>
      </c>
      <c r="BP835" t="inlineStr">
        <is>
          <t>X</t>
        </is>
      </c>
      <c r="BS835" t="inlineStr">
        <is>
          <t>X</t>
        </is>
      </c>
      <c r="BY835" t="inlineStr">
        <is>
          <t>D</t>
        </is>
      </c>
      <c r="CA835" t="inlineStr">
        <is>
          <t>X</t>
        </is>
      </c>
      <c r="CN835" t="inlineStr">
        <is>
          <t>X</t>
        </is>
      </c>
      <c r="CP835" t="inlineStr">
        <is>
          <t>X</t>
        </is>
      </c>
      <c r="CU835" t="inlineStr">
        <is>
          <t>D</t>
        </is>
      </c>
      <c r="DC835" t="inlineStr">
        <is>
          <t>X</t>
        </is>
      </c>
      <c r="EA835" t="inlineStr">
        <is>
          <t>X</t>
        </is>
      </c>
      <c r="EF835" t="inlineStr">
        <is>
          <t>X</t>
        </is>
      </c>
    </row>
    <row r="836">
      <c r="A836" t="inlineStr">
        <is>
          <t>OH0015798249</t>
        </is>
      </c>
      <c r="B836" t="n">
        <v>78</v>
      </c>
      <c r="C836" t="n">
        <v>8306</v>
      </c>
      <c r="D836" t="inlineStr">
        <is>
          <t>CURRAN</t>
        </is>
      </c>
      <c r="E836" t="inlineStr">
        <is>
          <t>PATRICIA</t>
        </is>
      </c>
      <c r="F836">
        <f>CONCATENATE(D836," ",LEFT(H836,4),"T=",AU836,"D=",AV836,"R=",AW836,"M=",AX836,"L=",AY836,"B=",AZ836)</f>
        <v/>
      </c>
      <c r="G836" t="inlineStr">
        <is>
          <t>E</t>
        </is>
      </c>
      <c r="I836" t="inlineStr">
        <is>
          <t>1944-07-27</t>
        </is>
      </c>
      <c r="J836" t="inlineStr">
        <is>
          <t>1972-09-16</t>
        </is>
      </c>
      <c r="K836" t="inlineStr">
        <is>
          <t>ACTIVE</t>
        </is>
      </c>
      <c r="L836" t="inlineStr">
        <is>
          <t>D</t>
        </is>
      </c>
      <c r="M836" t="inlineStr">
        <is>
          <t>470 HOMEWOOD AVE SE</t>
        </is>
      </c>
      <c r="N836">
        <f>RIGHT(M836,LEN(M836)-FIND(" ",M836))</f>
        <v/>
      </c>
      <c r="P836" t="inlineStr">
        <is>
          <t>WARREN</t>
        </is>
      </c>
      <c r="Q836" t="inlineStr">
        <is>
          <t>OH</t>
        </is>
      </c>
      <c r="R836" t="n">
        <v>44483</v>
      </c>
      <c r="AD836" t="inlineStr">
        <is>
          <t>TRUMBULL CAREER &amp; TECH CENTER</t>
        </is>
      </c>
      <c r="AE836" t="inlineStr">
        <is>
          <t>WARREN CITY</t>
        </is>
      </c>
      <c r="AF836" t="inlineStr">
        <is>
          <t>WARREN CITY SD</t>
        </is>
      </c>
      <c r="AH836" t="n">
        <v>14</v>
      </c>
      <c r="AI836" t="n">
        <v>11</v>
      </c>
      <c r="AN836" t="inlineStr">
        <is>
          <t>WARREN</t>
        </is>
      </c>
      <c r="AO836" t="inlineStr">
        <is>
          <t>WARREN CITY 4A</t>
        </is>
      </c>
      <c r="AP836" t="inlineStr">
        <is>
          <t>78-P-ADI</t>
        </is>
      </c>
      <c r="AQ836" t="n">
        <v>9</v>
      </c>
      <c r="AR836" t="n">
        <v>64</v>
      </c>
      <c r="AS836" t="n">
        <v>32</v>
      </c>
      <c r="AU836">
        <f>COUNTA($BA$836:$EH$836)</f>
        <v/>
      </c>
      <c r="AV836">
        <f>COUNTIF($BA$836:$EH$836,"D")</f>
        <v/>
      </c>
      <c r="AW836">
        <f>COUNTIF($BA$836:$EH$836,"R")</f>
        <v/>
      </c>
      <c r="AX836">
        <f>IF(BN836="D",1,0)+IF(BO836="D",1,0)+IF(BT836="D",1,0)+IF(BU836="D",1,0)+IF(BW836="D",1,0)+IF(CC836="D",1,0)+IF(CD836="D",1,0)+IF(CE836="D",1,0)+IF(CF836="D",1,0)+IF(CL836="D",1,0)+IF(CM836="D",1,0)+IF(CQ836="D",1,0)+IF(CR836="D",1,0)+IF(CS836="D",1,0)+IF(CW836="D",1,0)+IF(CX836="D",1,0)+IF(DD836="D",1,0)+IF(DE836="D",1,0)+IF(DJ836="D",1,0)+IF(DK836="D",1,0)+IF(DO836="D",1,0)+IF(DP836="D",1,0)+IF(DQ836="D",1,0)+IF(DW836="D",1,0)+IF(DZ836="D",1,0)+IF(EH836="D",1,0)</f>
        <v/>
      </c>
      <c r="AY836">
        <f>IF(DJ836&lt;&gt;"",1,0)+IF(DK836&lt;&gt;"",1,0)+IF(DM836&lt;&gt;"",1,0)+IF(DO836&lt;&gt;"",1,0)+IF(DP836&lt;&gt;"",1,0)+IF(DQ836&lt;&gt;"",1,0)+IF(DS836&lt;&gt;"",1,0)+IF(DT836&lt;&gt;"",1,0)+IF(DV836&lt;&gt;"",1,0)+IF(DW836&lt;&gt;"",1,0)+IF(DX836&lt;&gt;"",1,0)+IF(DY836&lt;&gt;"",1,0)+IF(DZ836&lt;&gt;"",1,0)+IF(EB836&lt;&gt;"",1,0)+IF(EC836&lt;&gt;"",1,0)+IF(ED836&lt;&gt;"",1,0)+IF(EG836&lt;&gt;"",1,0)+IF(EH836&lt;&gt;"",1,0)</f>
        <v/>
      </c>
      <c r="AZ836">
        <f>IF(EH836&lt;&gt;"",1,0)</f>
        <v/>
      </c>
      <c r="BB836" t="inlineStr">
        <is>
          <t>WARREN-WARD 4</t>
        </is>
      </c>
      <c r="BC836" t="inlineStr">
        <is>
          <t>X</t>
        </is>
      </c>
      <c r="BD836" t="inlineStr">
        <is>
          <t>X</t>
        </is>
      </c>
      <c r="BE836" t="inlineStr">
        <is>
          <t>X</t>
        </is>
      </c>
      <c r="BG836" t="inlineStr">
        <is>
          <t>X</t>
        </is>
      </c>
      <c r="BH836" t="inlineStr">
        <is>
          <t>X</t>
        </is>
      </c>
      <c r="BJ836" t="inlineStr">
        <is>
          <t>X</t>
        </is>
      </c>
      <c r="BK836" t="inlineStr">
        <is>
          <t>X</t>
        </is>
      </c>
      <c r="BL836" t="inlineStr">
        <is>
          <t>X</t>
        </is>
      </c>
      <c r="BP836" t="inlineStr">
        <is>
          <t>X</t>
        </is>
      </c>
      <c r="BR836" t="inlineStr">
        <is>
          <t>X</t>
        </is>
      </c>
      <c r="BS836" t="inlineStr">
        <is>
          <t>X</t>
        </is>
      </c>
      <c r="BT836" t="inlineStr">
        <is>
          <t>X</t>
        </is>
      </c>
      <c r="BV836" t="inlineStr">
        <is>
          <t>X</t>
        </is>
      </c>
      <c r="BY836" t="inlineStr">
        <is>
          <t>D</t>
        </is>
      </c>
      <c r="CA836" t="inlineStr">
        <is>
          <t>X</t>
        </is>
      </c>
      <c r="CG836" t="inlineStr">
        <is>
          <t>X</t>
        </is>
      </c>
      <c r="CH836" t="inlineStr">
        <is>
          <t>D</t>
        </is>
      </c>
      <c r="CK836" t="inlineStr">
        <is>
          <t>X</t>
        </is>
      </c>
      <c r="CL836" t="inlineStr">
        <is>
          <t>D</t>
        </is>
      </c>
      <c r="CN836" t="inlineStr">
        <is>
          <t>X</t>
        </is>
      </c>
      <c r="CO836" t="inlineStr">
        <is>
          <t>D</t>
        </is>
      </c>
      <c r="CP836" t="inlineStr">
        <is>
          <t>X</t>
        </is>
      </c>
      <c r="CV836" t="inlineStr">
        <is>
          <t>X</t>
        </is>
      </c>
      <c r="CY836" t="inlineStr">
        <is>
          <t>X</t>
        </is>
      </c>
      <c r="CZ836" t="inlineStr">
        <is>
          <t>D</t>
        </is>
      </c>
      <c r="DC836" t="inlineStr">
        <is>
          <t>X</t>
        </is>
      </c>
      <c r="DF836" t="inlineStr">
        <is>
          <t>X</t>
        </is>
      </c>
      <c r="DI836" t="inlineStr">
        <is>
          <t>X</t>
        </is>
      </c>
      <c r="DM836" t="inlineStr">
        <is>
          <t>D</t>
        </is>
      </c>
      <c r="DN836" t="inlineStr">
        <is>
          <t>X</t>
        </is>
      </c>
      <c r="DT836" t="inlineStr">
        <is>
          <t>D</t>
        </is>
      </c>
      <c r="DU836" t="inlineStr">
        <is>
          <t>X</t>
        </is>
      </c>
      <c r="DW836" t="inlineStr">
        <is>
          <t>D</t>
        </is>
      </c>
      <c r="DX836" t="inlineStr">
        <is>
          <t>X</t>
        </is>
      </c>
      <c r="EA836" t="inlineStr">
        <is>
          <t>X</t>
        </is>
      </c>
      <c r="ED836" t="inlineStr">
        <is>
          <t>D</t>
        </is>
      </c>
      <c r="EF836" t="inlineStr">
        <is>
          <t>X</t>
        </is>
      </c>
    </row>
    <row r="837">
      <c r="A837" t="inlineStr">
        <is>
          <t>OH0020942945</t>
        </is>
      </c>
      <c r="B837" t="n">
        <v>78</v>
      </c>
      <c r="C837" t="n">
        <v>372283</v>
      </c>
      <c r="D837" t="inlineStr">
        <is>
          <t>TENNEY</t>
        </is>
      </c>
      <c r="E837" t="inlineStr">
        <is>
          <t>CYREE</t>
        </is>
      </c>
      <c r="F837">
        <f>CONCATENATE(D837," ",LEFT(H837,4),"T=",AU837,"D=",AV837,"R=",AW837,"M=",AX837,"L=",AY837,"B=",AZ837)</f>
        <v/>
      </c>
      <c r="G837" t="inlineStr">
        <is>
          <t>LYNN</t>
        </is>
      </c>
      <c r="I837" t="inlineStr">
        <is>
          <t>1991-11-12</t>
        </is>
      </c>
      <c r="J837" t="inlineStr">
        <is>
          <t>2019-04-27</t>
        </is>
      </c>
      <c r="K837" t="inlineStr">
        <is>
          <t>CONFIRMATION</t>
        </is>
      </c>
      <c r="M837" t="inlineStr">
        <is>
          <t>170 WOODBINE AVE SE</t>
        </is>
      </c>
      <c r="N837">
        <f>RIGHT(M837,LEN(M837)-FIND(" ",M837))</f>
        <v/>
      </c>
      <c r="P837" t="inlineStr">
        <is>
          <t>WARREN</t>
        </is>
      </c>
      <c r="Q837" t="inlineStr">
        <is>
          <t>OH</t>
        </is>
      </c>
      <c r="R837" t="n">
        <v>44483</v>
      </c>
      <c r="AD837" t="inlineStr">
        <is>
          <t>TRUMBULL CAREER &amp; TECH CENTER</t>
        </is>
      </c>
      <c r="AE837" t="inlineStr">
        <is>
          <t>WARREN CITY</t>
        </is>
      </c>
      <c r="AF837" t="inlineStr">
        <is>
          <t>WARREN CITY SD</t>
        </is>
      </c>
      <c r="AH837" t="n">
        <v>14</v>
      </c>
      <c r="AI837" t="n">
        <v>11</v>
      </c>
      <c r="AN837" t="inlineStr">
        <is>
          <t>WARREN</t>
        </is>
      </c>
      <c r="AO837" t="inlineStr">
        <is>
          <t>WARREN CITY 4A</t>
        </is>
      </c>
      <c r="AP837" t="inlineStr">
        <is>
          <t>78-P-ADI</t>
        </is>
      </c>
      <c r="AQ837" t="n">
        <v>9</v>
      </c>
      <c r="AR837" t="n">
        <v>64</v>
      </c>
      <c r="AS837" t="n">
        <v>32</v>
      </c>
      <c r="AU837">
        <f>COUNTA($BA$837:$EH$837)</f>
        <v/>
      </c>
      <c r="AV837">
        <f>COUNTIF($BA$837:$EH$837,"D")</f>
        <v/>
      </c>
      <c r="AW837">
        <f>COUNTIF($BA$837:$EH$837,"R")</f>
        <v/>
      </c>
      <c r="AX837">
        <f>IF(BN837="D",1,0)+IF(BO837="D",1,0)+IF(BT837="D",1,0)+IF(BU837="D",1,0)+IF(BW837="D",1,0)+IF(CC837="D",1,0)+IF(CD837="D",1,0)+IF(CE837="D",1,0)+IF(CF837="D",1,0)+IF(CL837="D",1,0)+IF(CM837="D",1,0)+IF(CQ837="D",1,0)+IF(CR837="D",1,0)+IF(CS837="D",1,0)+IF(CW837="D",1,0)+IF(CX837="D",1,0)+IF(DD837="D",1,0)+IF(DE837="D",1,0)+IF(DJ837="D",1,0)+IF(DK837="D",1,0)+IF(DO837="D",1,0)+IF(DP837="D",1,0)+IF(DQ837="D",1,0)+IF(DW837="D",1,0)+IF(DZ837="D",1,0)+IF(EH837="D",1,0)</f>
        <v/>
      </c>
      <c r="AY837">
        <f>IF(DJ837&lt;&gt;"",1,0)+IF(DK837&lt;&gt;"",1,0)+IF(DM837&lt;&gt;"",1,0)+IF(DO837&lt;&gt;"",1,0)+IF(DP837&lt;&gt;"",1,0)+IF(DQ837&lt;&gt;"",1,0)+IF(DS837&lt;&gt;"",1,0)+IF(DT837&lt;&gt;"",1,0)+IF(DV837&lt;&gt;"",1,0)+IF(DW837&lt;&gt;"",1,0)+IF(DX837&lt;&gt;"",1,0)+IF(DY837&lt;&gt;"",1,0)+IF(DZ837&lt;&gt;"",1,0)+IF(EB837&lt;&gt;"",1,0)+IF(EC837&lt;&gt;"",1,0)+IF(ED837&lt;&gt;"",1,0)+IF(EG837&lt;&gt;"",1,0)+IF(EH837&lt;&gt;"",1,0)</f>
        <v/>
      </c>
      <c r="AZ837">
        <f>IF(EH837&lt;&gt;"",1,0)</f>
        <v/>
      </c>
      <c r="BB837" t="inlineStr">
        <is>
          <t>WARREN-WARD 4</t>
        </is>
      </c>
      <c r="CN837" t="inlineStr">
        <is>
          <t>X</t>
        </is>
      </c>
    </row>
    <row r="838">
      <c r="A838" t="inlineStr">
        <is>
          <t>OH0018670395</t>
        </is>
      </c>
      <c r="B838" t="n">
        <v>78</v>
      </c>
      <c r="C838" t="n">
        <v>342383</v>
      </c>
      <c r="D838" t="inlineStr">
        <is>
          <t>NELSON</t>
        </is>
      </c>
      <c r="E838" t="inlineStr">
        <is>
          <t>STELLA</t>
        </is>
      </c>
      <c r="F838">
        <f>CONCATENATE(D838," ",LEFT(H838,4),"T=",AU838,"D=",AV838,"R=",AW838,"M=",AX838,"L=",AY838,"B=",AZ838)</f>
        <v/>
      </c>
      <c r="G838" t="inlineStr">
        <is>
          <t>J</t>
        </is>
      </c>
      <c r="I838" t="inlineStr">
        <is>
          <t>1988-02-20</t>
        </is>
      </c>
      <c r="J838" t="inlineStr">
        <is>
          <t>2018-02-01</t>
        </is>
      </c>
      <c r="K838" t="inlineStr">
        <is>
          <t>ACTIVE</t>
        </is>
      </c>
      <c r="L838" t="inlineStr">
        <is>
          <t>R</t>
        </is>
      </c>
      <c r="M838" t="inlineStr">
        <is>
          <t>946 ADELAIDE AVE SE</t>
        </is>
      </c>
      <c r="N838">
        <f>RIGHT(M838,LEN(M838)-FIND(" ",M838))</f>
        <v/>
      </c>
      <c r="P838" t="inlineStr">
        <is>
          <t>WARREN</t>
        </is>
      </c>
      <c r="Q838" t="inlineStr">
        <is>
          <t>OH</t>
        </is>
      </c>
      <c r="R838" t="n">
        <v>44484</v>
      </c>
      <c r="AD838" t="inlineStr">
        <is>
          <t>TRUMBULL CAREER &amp; TECH CENTER</t>
        </is>
      </c>
      <c r="AE838" t="inlineStr">
        <is>
          <t>WARREN CITY</t>
        </is>
      </c>
      <c r="AF838" t="inlineStr">
        <is>
          <t>WARREN CITY SD</t>
        </is>
      </c>
      <c r="AH838" t="n">
        <v>14</v>
      </c>
      <c r="AI838" t="n">
        <v>11</v>
      </c>
      <c r="AN838" t="inlineStr">
        <is>
          <t>WARREN</t>
        </is>
      </c>
      <c r="AO838" t="inlineStr">
        <is>
          <t>WARREN CITY 4A</t>
        </is>
      </c>
      <c r="AP838" t="inlineStr">
        <is>
          <t>78-P-ADI</t>
        </is>
      </c>
      <c r="AQ838" t="n">
        <v>9</v>
      </c>
      <c r="AR838" t="n">
        <v>64</v>
      </c>
      <c r="AS838" t="n">
        <v>32</v>
      </c>
      <c r="AU838">
        <f>COUNTA($BA$838:$EH$838)</f>
        <v/>
      </c>
      <c r="AV838">
        <f>COUNTIF($BA$838:$EH$838,"D")</f>
        <v/>
      </c>
      <c r="AW838">
        <f>COUNTIF($BA$838:$EH$838,"R")</f>
        <v/>
      </c>
      <c r="AX838">
        <f>IF(BN838="D",1,0)+IF(BO838="D",1,0)+IF(BT838="D",1,0)+IF(BU838="D",1,0)+IF(BW838="D",1,0)+IF(CC838="D",1,0)+IF(CD838="D",1,0)+IF(CE838="D",1,0)+IF(CF838="D",1,0)+IF(CL838="D",1,0)+IF(CM838="D",1,0)+IF(CQ838="D",1,0)+IF(CR838="D",1,0)+IF(CS838="D",1,0)+IF(CW838="D",1,0)+IF(CX838="D",1,0)+IF(DD838="D",1,0)+IF(DE838="D",1,0)+IF(DJ838="D",1,0)+IF(DK838="D",1,0)+IF(DO838="D",1,0)+IF(DP838="D",1,0)+IF(DQ838="D",1,0)+IF(DW838="D",1,0)+IF(DZ838="D",1,0)+IF(EH838="D",1,0)</f>
        <v/>
      </c>
      <c r="AY838">
        <f>IF(DJ838&lt;&gt;"",1,0)+IF(DK838&lt;&gt;"",1,0)+IF(DM838&lt;&gt;"",1,0)+IF(DO838&lt;&gt;"",1,0)+IF(DP838&lt;&gt;"",1,0)+IF(DQ838&lt;&gt;"",1,0)+IF(DS838&lt;&gt;"",1,0)+IF(DT838&lt;&gt;"",1,0)+IF(DV838&lt;&gt;"",1,0)+IF(DW838&lt;&gt;"",1,0)+IF(DX838&lt;&gt;"",1,0)+IF(DY838&lt;&gt;"",1,0)+IF(DZ838&lt;&gt;"",1,0)+IF(EB838&lt;&gt;"",1,0)+IF(EC838&lt;&gt;"",1,0)+IF(ED838&lt;&gt;"",1,0)+IF(EG838&lt;&gt;"",1,0)+IF(EH838&lt;&gt;"",1,0)</f>
        <v/>
      </c>
      <c r="AZ838">
        <f>IF(EH838&lt;&gt;"",1,0)</f>
        <v/>
      </c>
      <c r="BB838" t="inlineStr">
        <is>
          <t>WARREN-WARD 4</t>
        </is>
      </c>
      <c r="BS838" t="inlineStr">
        <is>
          <t>X</t>
        </is>
      </c>
      <c r="CO838" t="inlineStr">
        <is>
          <t>R</t>
        </is>
      </c>
      <c r="CP838" t="inlineStr">
        <is>
          <t>X</t>
        </is>
      </c>
      <c r="CV838" t="inlineStr">
        <is>
          <t>X</t>
        </is>
      </c>
      <c r="CZ838" t="inlineStr">
        <is>
          <t>R</t>
        </is>
      </c>
      <c r="DC838" t="inlineStr">
        <is>
          <t>X</t>
        </is>
      </c>
      <c r="DI838" t="inlineStr">
        <is>
          <t>X</t>
        </is>
      </c>
      <c r="DL838" t="inlineStr">
        <is>
          <t>X</t>
        </is>
      </c>
      <c r="DN838" t="inlineStr">
        <is>
          <t>X</t>
        </is>
      </c>
      <c r="DU838" t="inlineStr">
        <is>
          <t>X</t>
        </is>
      </c>
      <c r="DX838" t="inlineStr">
        <is>
          <t>X</t>
        </is>
      </c>
      <c r="EA838" t="inlineStr">
        <is>
          <t>X</t>
        </is>
      </c>
      <c r="ED838" t="inlineStr">
        <is>
          <t>R</t>
        </is>
      </c>
      <c r="EF838" t="inlineStr">
        <is>
          <t>X</t>
        </is>
      </c>
    </row>
    <row r="839">
      <c r="A839" t="inlineStr">
        <is>
          <t>OH0021229136</t>
        </is>
      </c>
      <c r="B839" t="n">
        <v>78</v>
      </c>
      <c r="C839" t="n">
        <v>377412</v>
      </c>
      <c r="D839" t="inlineStr">
        <is>
          <t>NELSON</t>
        </is>
      </c>
      <c r="E839" t="inlineStr">
        <is>
          <t>JASON</t>
        </is>
      </c>
      <c r="F839">
        <f>CONCATENATE(D839," ",LEFT(H839,4),"T=",AU839,"D=",AV839,"R=",AW839,"M=",AX839,"L=",AY839,"B=",AZ839)</f>
        <v/>
      </c>
      <c r="G839" t="inlineStr">
        <is>
          <t>EDWARD</t>
        </is>
      </c>
      <c r="I839" t="inlineStr">
        <is>
          <t>1975-12-13</t>
        </is>
      </c>
      <c r="J839" t="inlineStr">
        <is>
          <t>2018-02-01</t>
        </is>
      </c>
      <c r="K839" t="inlineStr">
        <is>
          <t>ACTIVE</t>
        </is>
      </c>
      <c r="L839" t="inlineStr">
        <is>
          <t>R</t>
        </is>
      </c>
      <c r="M839" t="inlineStr">
        <is>
          <t>946 ADELAIDE AVE SE</t>
        </is>
      </c>
      <c r="N839">
        <f>RIGHT(M839,LEN(M839)-FIND(" ",M839))</f>
        <v/>
      </c>
      <c r="P839" t="inlineStr">
        <is>
          <t>WARREN</t>
        </is>
      </c>
      <c r="Q839" t="inlineStr">
        <is>
          <t>OH</t>
        </is>
      </c>
      <c r="R839" t="n">
        <v>44484</v>
      </c>
      <c r="AD839" t="inlineStr">
        <is>
          <t>TRUMBULL CAREER &amp; TECH CENTER</t>
        </is>
      </c>
      <c r="AE839" t="inlineStr">
        <is>
          <t>WARREN CITY</t>
        </is>
      </c>
      <c r="AF839" t="inlineStr">
        <is>
          <t>WARREN CITY SD</t>
        </is>
      </c>
      <c r="AH839" t="n">
        <v>14</v>
      </c>
      <c r="AI839" t="n">
        <v>11</v>
      </c>
      <c r="AN839" t="inlineStr">
        <is>
          <t>WARREN</t>
        </is>
      </c>
      <c r="AO839" t="inlineStr">
        <is>
          <t>WARREN CITY 4A</t>
        </is>
      </c>
      <c r="AP839" t="inlineStr">
        <is>
          <t>78-P-ADI</t>
        </is>
      </c>
      <c r="AQ839" t="n">
        <v>9</v>
      </c>
      <c r="AR839" t="n">
        <v>64</v>
      </c>
      <c r="AS839" t="n">
        <v>32</v>
      </c>
      <c r="AU839">
        <f>COUNTA($BA$839:$EH$839)</f>
        <v/>
      </c>
      <c r="AV839">
        <f>COUNTIF($BA$839:$EH$839,"D")</f>
        <v/>
      </c>
      <c r="AW839">
        <f>COUNTIF($BA$839:$EH$839,"R")</f>
        <v/>
      </c>
      <c r="AX839">
        <f>IF(BN839="D",1,0)+IF(BO839="D",1,0)+IF(BT839="D",1,0)+IF(BU839="D",1,0)+IF(BW839="D",1,0)+IF(CC839="D",1,0)+IF(CD839="D",1,0)+IF(CE839="D",1,0)+IF(CF839="D",1,0)+IF(CL839="D",1,0)+IF(CM839="D",1,0)+IF(CQ839="D",1,0)+IF(CR839="D",1,0)+IF(CS839="D",1,0)+IF(CW839="D",1,0)+IF(CX839="D",1,0)+IF(DD839="D",1,0)+IF(DE839="D",1,0)+IF(DJ839="D",1,0)+IF(DK839="D",1,0)+IF(DO839="D",1,0)+IF(DP839="D",1,0)+IF(DQ839="D",1,0)+IF(DW839="D",1,0)+IF(DZ839="D",1,0)+IF(EH839="D",1,0)</f>
        <v/>
      </c>
      <c r="AY839">
        <f>IF(DJ839&lt;&gt;"",1,0)+IF(DK839&lt;&gt;"",1,0)+IF(DM839&lt;&gt;"",1,0)+IF(DO839&lt;&gt;"",1,0)+IF(DP839&lt;&gt;"",1,0)+IF(DQ839&lt;&gt;"",1,0)+IF(DS839&lt;&gt;"",1,0)+IF(DT839&lt;&gt;"",1,0)+IF(DV839&lt;&gt;"",1,0)+IF(DW839&lt;&gt;"",1,0)+IF(DX839&lt;&gt;"",1,0)+IF(DY839&lt;&gt;"",1,0)+IF(DZ839&lt;&gt;"",1,0)+IF(EB839&lt;&gt;"",1,0)+IF(EC839&lt;&gt;"",1,0)+IF(ED839&lt;&gt;"",1,0)+IF(EG839&lt;&gt;"",1,0)+IF(EH839&lt;&gt;"",1,0)</f>
        <v/>
      </c>
      <c r="AZ839">
        <f>IF(EH839&lt;&gt;"",1,0)</f>
        <v/>
      </c>
      <c r="BB839" t="inlineStr">
        <is>
          <t>WARREN-WARD 4</t>
        </is>
      </c>
      <c r="CK839" t="inlineStr">
        <is>
          <t>X</t>
        </is>
      </c>
      <c r="CO839" t="inlineStr">
        <is>
          <t>R</t>
        </is>
      </c>
      <c r="CP839" t="inlineStr">
        <is>
          <t>X</t>
        </is>
      </c>
      <c r="CV839" t="inlineStr">
        <is>
          <t>X</t>
        </is>
      </c>
      <c r="CZ839" t="inlineStr">
        <is>
          <t>R</t>
        </is>
      </c>
      <c r="DC839" t="inlineStr">
        <is>
          <t>X</t>
        </is>
      </c>
      <c r="DI839" t="inlineStr">
        <is>
          <t>X</t>
        </is>
      </c>
      <c r="DN839" t="inlineStr">
        <is>
          <t>X</t>
        </is>
      </c>
      <c r="DU839" t="inlineStr">
        <is>
          <t>X</t>
        </is>
      </c>
      <c r="DX839" t="inlineStr">
        <is>
          <t>X</t>
        </is>
      </c>
      <c r="EA839" t="inlineStr">
        <is>
          <t>X</t>
        </is>
      </c>
      <c r="ED839" t="inlineStr">
        <is>
          <t>R</t>
        </is>
      </c>
      <c r="EF839" t="inlineStr">
        <is>
          <t>X</t>
        </is>
      </c>
    </row>
    <row r="840">
      <c r="A840" t="inlineStr">
        <is>
          <t>OH0015726702</t>
        </is>
      </c>
      <c r="B840" t="n">
        <v>78</v>
      </c>
      <c r="C840" t="n">
        <v>323248</v>
      </c>
      <c r="D840" t="inlineStr">
        <is>
          <t>MANN</t>
        </is>
      </c>
      <c r="E840" t="inlineStr">
        <is>
          <t>CYNTHIA</t>
        </is>
      </c>
      <c r="F840">
        <f>CONCATENATE(D840," ",LEFT(H840,4),"T=",AU840,"D=",AV840,"R=",AW840,"M=",AX840,"L=",AY840,"B=",AZ840)</f>
        <v/>
      </c>
      <c r="G840" t="inlineStr">
        <is>
          <t>A</t>
        </is>
      </c>
      <c r="I840" t="inlineStr">
        <is>
          <t>1961-09-16</t>
        </is>
      </c>
      <c r="J840" t="inlineStr">
        <is>
          <t>2019-06-06</t>
        </is>
      </c>
      <c r="K840" t="inlineStr">
        <is>
          <t>CONFIRMATION</t>
        </is>
      </c>
      <c r="M840" t="inlineStr">
        <is>
          <t>829 KENILWORTH AVE SE</t>
        </is>
      </c>
      <c r="N840">
        <f>RIGHT(M840,LEN(M840)-FIND(" ",M840))</f>
        <v/>
      </c>
      <c r="P840" t="inlineStr">
        <is>
          <t>WARREN</t>
        </is>
      </c>
      <c r="Q840" t="inlineStr">
        <is>
          <t>OH</t>
        </is>
      </c>
      <c r="R840" t="n">
        <v>44484</v>
      </c>
      <c r="AD840" t="inlineStr">
        <is>
          <t>TRUMBULL CAREER &amp; TECH CENTER</t>
        </is>
      </c>
      <c r="AE840" t="inlineStr">
        <is>
          <t>WARREN CITY</t>
        </is>
      </c>
      <c r="AF840" t="inlineStr">
        <is>
          <t>WARREN CITY SD</t>
        </is>
      </c>
      <c r="AH840" t="n">
        <v>14</v>
      </c>
      <c r="AI840" t="n">
        <v>11</v>
      </c>
      <c r="AN840" t="inlineStr">
        <is>
          <t>WARREN</t>
        </is>
      </c>
      <c r="AO840" t="inlineStr">
        <is>
          <t>WARREN CITY 4A</t>
        </is>
      </c>
      <c r="AP840" t="inlineStr">
        <is>
          <t>78-P-ADI</t>
        </is>
      </c>
      <c r="AQ840" t="n">
        <v>9</v>
      </c>
      <c r="AR840" t="n">
        <v>64</v>
      </c>
      <c r="AS840" t="n">
        <v>32</v>
      </c>
      <c r="AU840">
        <f>COUNTA($BA$840:$EH$840)</f>
        <v/>
      </c>
      <c r="AV840">
        <f>COUNTIF($BA$840:$EH$840,"D")</f>
        <v/>
      </c>
      <c r="AW840">
        <f>COUNTIF($BA$840:$EH$840,"R")</f>
        <v/>
      </c>
      <c r="AX840">
        <f>IF(BN840="D",1,0)+IF(BO840="D",1,0)+IF(BT840="D",1,0)+IF(BU840="D",1,0)+IF(BW840="D",1,0)+IF(CC840="D",1,0)+IF(CD840="D",1,0)+IF(CE840="D",1,0)+IF(CF840="D",1,0)+IF(CL840="D",1,0)+IF(CM840="D",1,0)+IF(CQ840="D",1,0)+IF(CR840="D",1,0)+IF(CS840="D",1,0)+IF(CW840="D",1,0)+IF(CX840="D",1,0)+IF(DD840="D",1,0)+IF(DE840="D",1,0)+IF(DJ840="D",1,0)+IF(DK840="D",1,0)+IF(DO840="D",1,0)+IF(DP840="D",1,0)+IF(DQ840="D",1,0)+IF(DW840="D",1,0)+IF(DZ840="D",1,0)+IF(EH840="D",1,0)</f>
        <v/>
      </c>
      <c r="AY840">
        <f>IF(DJ840&lt;&gt;"",1,0)+IF(DK840&lt;&gt;"",1,0)+IF(DM840&lt;&gt;"",1,0)+IF(DO840&lt;&gt;"",1,0)+IF(DP840&lt;&gt;"",1,0)+IF(DQ840&lt;&gt;"",1,0)+IF(DS840&lt;&gt;"",1,0)+IF(DT840&lt;&gt;"",1,0)+IF(DV840&lt;&gt;"",1,0)+IF(DW840&lt;&gt;"",1,0)+IF(DX840&lt;&gt;"",1,0)+IF(DY840&lt;&gt;"",1,0)+IF(DZ840&lt;&gt;"",1,0)+IF(EB840&lt;&gt;"",1,0)+IF(EC840&lt;&gt;"",1,0)+IF(ED840&lt;&gt;"",1,0)+IF(EG840&lt;&gt;"",1,0)+IF(EH840&lt;&gt;"",1,0)</f>
        <v/>
      </c>
      <c r="AZ840">
        <f>IF(EH840&lt;&gt;"",1,0)</f>
        <v/>
      </c>
      <c r="BB840" t="inlineStr">
        <is>
          <t>WARREN-WARD 4</t>
        </is>
      </c>
    </row>
    <row r="841">
      <c r="A841" t="inlineStr">
        <is>
          <t>OH0015706781</t>
        </is>
      </c>
      <c r="B841" t="n">
        <v>78</v>
      </c>
      <c r="C841" t="n">
        <v>170131</v>
      </c>
      <c r="D841" t="inlineStr">
        <is>
          <t>JETER</t>
        </is>
      </c>
      <c r="E841" t="inlineStr">
        <is>
          <t>KIMBERLY</t>
        </is>
      </c>
      <c r="F841">
        <f>CONCATENATE(D841," ",LEFT(H841,4),"T=",AU841,"D=",AV841,"R=",AW841,"M=",AX841,"L=",AY841,"B=",AZ841)</f>
        <v/>
      </c>
      <c r="G841" t="inlineStr">
        <is>
          <t>C</t>
        </is>
      </c>
      <c r="I841" t="inlineStr">
        <is>
          <t>1959-08-25</t>
        </is>
      </c>
      <c r="J841" t="inlineStr">
        <is>
          <t>2006-10-10</t>
        </is>
      </c>
      <c r="K841" t="inlineStr">
        <is>
          <t>ACTIVE</t>
        </is>
      </c>
      <c r="L841" t="inlineStr">
        <is>
          <t>D</t>
        </is>
      </c>
      <c r="M841" t="inlineStr">
        <is>
          <t>1224 BELLE ST SE</t>
        </is>
      </c>
      <c r="N841">
        <f>RIGHT(M841,LEN(M841)-FIND(" ",M841))</f>
        <v/>
      </c>
      <c r="P841" t="inlineStr">
        <is>
          <t>WARREN</t>
        </is>
      </c>
      <c r="Q841" t="inlineStr">
        <is>
          <t>OH</t>
        </is>
      </c>
      <c r="R841" t="n">
        <v>44484</v>
      </c>
      <c r="AD841" t="inlineStr">
        <is>
          <t>TRUMBULL CAREER &amp; TECH CENTER</t>
        </is>
      </c>
      <c r="AE841" t="inlineStr">
        <is>
          <t>WARREN CITY</t>
        </is>
      </c>
      <c r="AF841" t="inlineStr">
        <is>
          <t>WARREN CITY SD</t>
        </is>
      </c>
      <c r="AH841" t="n">
        <v>14</v>
      </c>
      <c r="AI841" t="n">
        <v>11</v>
      </c>
      <c r="AN841" t="inlineStr">
        <is>
          <t>WARREN</t>
        </is>
      </c>
      <c r="AO841" t="inlineStr">
        <is>
          <t>WARREN CITY 4A</t>
        </is>
      </c>
      <c r="AP841" t="inlineStr">
        <is>
          <t>78-P-ADI</t>
        </is>
      </c>
      <c r="AQ841" t="n">
        <v>9</v>
      </c>
      <c r="AR841" t="n">
        <v>64</v>
      </c>
      <c r="AS841" t="n">
        <v>32</v>
      </c>
      <c r="AU841">
        <f>COUNTA($BA$841:$EH$841)</f>
        <v/>
      </c>
      <c r="AV841">
        <f>COUNTIF($BA$841:$EH$841,"D")</f>
        <v/>
      </c>
      <c r="AW841">
        <f>COUNTIF($BA$841:$EH$841,"R")</f>
        <v/>
      </c>
      <c r="AX841">
        <f>IF(BN841="D",1,0)+IF(BO841="D",1,0)+IF(BT841="D",1,0)+IF(BU841="D",1,0)+IF(BW841="D",1,0)+IF(CC841="D",1,0)+IF(CD841="D",1,0)+IF(CE841="D",1,0)+IF(CF841="D",1,0)+IF(CL841="D",1,0)+IF(CM841="D",1,0)+IF(CQ841="D",1,0)+IF(CR841="D",1,0)+IF(CS841="D",1,0)+IF(CW841="D",1,0)+IF(CX841="D",1,0)+IF(DD841="D",1,0)+IF(DE841="D",1,0)+IF(DJ841="D",1,0)+IF(DK841="D",1,0)+IF(DO841="D",1,0)+IF(DP841="D",1,0)+IF(DQ841="D",1,0)+IF(DW841="D",1,0)+IF(DZ841="D",1,0)+IF(EH841="D",1,0)</f>
        <v/>
      </c>
      <c r="AY841">
        <f>IF(DJ841&lt;&gt;"",1,0)+IF(DK841&lt;&gt;"",1,0)+IF(DM841&lt;&gt;"",1,0)+IF(DO841&lt;&gt;"",1,0)+IF(DP841&lt;&gt;"",1,0)+IF(DQ841&lt;&gt;"",1,0)+IF(DS841&lt;&gt;"",1,0)+IF(DT841&lt;&gt;"",1,0)+IF(DV841&lt;&gt;"",1,0)+IF(DW841&lt;&gt;"",1,0)+IF(DX841&lt;&gt;"",1,0)+IF(DY841&lt;&gt;"",1,0)+IF(DZ841&lt;&gt;"",1,0)+IF(EB841&lt;&gt;"",1,0)+IF(EC841&lt;&gt;"",1,0)+IF(ED841&lt;&gt;"",1,0)+IF(EG841&lt;&gt;"",1,0)+IF(EH841&lt;&gt;"",1,0)</f>
        <v/>
      </c>
      <c r="AZ841">
        <f>IF(EH841&lt;&gt;"",1,0)</f>
        <v/>
      </c>
      <c r="BB841" t="inlineStr">
        <is>
          <t>WARREN-WARD 4</t>
        </is>
      </c>
      <c r="BC841" t="inlineStr">
        <is>
          <t>X</t>
        </is>
      </c>
      <c r="BD841" t="inlineStr">
        <is>
          <t>X</t>
        </is>
      </c>
      <c r="BE841" t="inlineStr">
        <is>
          <t>X</t>
        </is>
      </c>
      <c r="BF841" t="inlineStr">
        <is>
          <t>X</t>
        </is>
      </c>
      <c r="BG841" t="inlineStr">
        <is>
          <t>X</t>
        </is>
      </c>
      <c r="BH841" t="inlineStr">
        <is>
          <t>X</t>
        </is>
      </c>
      <c r="BI841" t="inlineStr">
        <is>
          <t>X</t>
        </is>
      </c>
      <c r="BJ841" t="inlineStr">
        <is>
          <t>X</t>
        </is>
      </c>
      <c r="BK841" t="inlineStr">
        <is>
          <t>X</t>
        </is>
      </c>
      <c r="BL841" t="inlineStr">
        <is>
          <t>X</t>
        </is>
      </c>
      <c r="BS841" t="inlineStr">
        <is>
          <t>X</t>
        </is>
      </c>
      <c r="BY841" t="inlineStr">
        <is>
          <t>D</t>
        </is>
      </c>
      <c r="CA841" t="inlineStr">
        <is>
          <t>X</t>
        </is>
      </c>
      <c r="CG841" t="inlineStr">
        <is>
          <t>X</t>
        </is>
      </c>
      <c r="CK841" t="inlineStr">
        <is>
          <t>X</t>
        </is>
      </c>
      <c r="CL841" t="inlineStr">
        <is>
          <t>D</t>
        </is>
      </c>
      <c r="CN841" t="inlineStr">
        <is>
          <t>X</t>
        </is>
      </c>
      <c r="CO841" t="inlineStr">
        <is>
          <t>D</t>
        </is>
      </c>
      <c r="CP841" t="inlineStr">
        <is>
          <t>X</t>
        </is>
      </c>
      <c r="CV841" t="inlineStr">
        <is>
          <t>X</t>
        </is>
      </c>
      <c r="CY841" t="inlineStr">
        <is>
          <t>X</t>
        </is>
      </c>
      <c r="CZ841" t="inlineStr">
        <is>
          <t>D</t>
        </is>
      </c>
      <c r="DC841" t="inlineStr">
        <is>
          <t>X</t>
        </is>
      </c>
      <c r="DI841" t="inlineStr">
        <is>
          <t>X</t>
        </is>
      </c>
      <c r="DN841" t="inlineStr">
        <is>
          <t>X</t>
        </is>
      </c>
      <c r="DU841" t="inlineStr">
        <is>
          <t>X</t>
        </is>
      </c>
      <c r="DX841" t="inlineStr">
        <is>
          <t>X</t>
        </is>
      </c>
      <c r="EA841" t="inlineStr">
        <is>
          <t>X</t>
        </is>
      </c>
      <c r="ED841" t="inlineStr">
        <is>
          <t>D</t>
        </is>
      </c>
      <c r="EF841" t="inlineStr">
        <is>
          <t>X</t>
        </is>
      </c>
    </row>
    <row r="842">
      <c r="A842" t="inlineStr">
        <is>
          <t>OH0020221152</t>
        </is>
      </c>
      <c r="B842" t="n">
        <v>78</v>
      </c>
      <c r="C842" t="n">
        <v>364244</v>
      </c>
      <c r="D842" t="inlineStr">
        <is>
          <t>GROVES</t>
        </is>
      </c>
      <c r="E842" t="inlineStr">
        <is>
          <t>SHERRY</t>
        </is>
      </c>
      <c r="F842">
        <f>CONCATENATE(D842," ",LEFT(H842,4),"T=",AU842,"D=",AV842,"R=",AW842,"M=",AX842,"L=",AY842,"B=",AZ842)</f>
        <v/>
      </c>
      <c r="G842" t="inlineStr">
        <is>
          <t>K</t>
        </is>
      </c>
      <c r="I842" t="inlineStr">
        <is>
          <t>1972-10-21</t>
        </is>
      </c>
      <c r="J842" t="inlineStr">
        <is>
          <t>2024-08-21</t>
        </is>
      </c>
      <c r="K842" t="inlineStr">
        <is>
          <t>ACTIVE</t>
        </is>
      </c>
      <c r="M842" t="inlineStr">
        <is>
          <t>323 HOMEWOOD AVE SE</t>
        </is>
      </c>
      <c r="N842">
        <f>RIGHT(M842,LEN(M842)-FIND(" ",M842))</f>
        <v/>
      </c>
      <c r="P842" t="inlineStr">
        <is>
          <t>WARREN</t>
        </is>
      </c>
      <c r="Q842" t="inlineStr">
        <is>
          <t>OH</t>
        </is>
      </c>
      <c r="R842" t="n">
        <v>44483</v>
      </c>
      <c r="AD842" t="inlineStr">
        <is>
          <t>TRUMBULL CAREER &amp; TECH CENTER</t>
        </is>
      </c>
      <c r="AE842" t="inlineStr">
        <is>
          <t>WARREN CITY</t>
        </is>
      </c>
      <c r="AF842" t="inlineStr">
        <is>
          <t>WARREN CITY SD</t>
        </is>
      </c>
      <c r="AH842" t="n">
        <v>14</v>
      </c>
      <c r="AI842" t="n">
        <v>11</v>
      </c>
      <c r="AN842" t="inlineStr">
        <is>
          <t>WARREN</t>
        </is>
      </c>
      <c r="AO842" t="inlineStr">
        <is>
          <t>WARREN CITY 4A</t>
        </is>
      </c>
      <c r="AP842" t="inlineStr">
        <is>
          <t>78-P-ADI</t>
        </is>
      </c>
      <c r="AQ842" t="n">
        <v>9</v>
      </c>
      <c r="AR842" t="n">
        <v>64</v>
      </c>
      <c r="AS842" t="n">
        <v>32</v>
      </c>
      <c r="AU842">
        <f>COUNTA($BA$842:$EH$842)</f>
        <v/>
      </c>
      <c r="AV842">
        <f>COUNTIF($BA$842:$EH$842,"D")</f>
        <v/>
      </c>
      <c r="AW842">
        <f>COUNTIF($BA$842:$EH$842,"R")</f>
        <v/>
      </c>
      <c r="AX842">
        <f>IF(BN842="D",1,0)+IF(BO842="D",1,0)+IF(BT842="D",1,0)+IF(BU842="D",1,0)+IF(BW842="D",1,0)+IF(CC842="D",1,0)+IF(CD842="D",1,0)+IF(CE842="D",1,0)+IF(CF842="D",1,0)+IF(CL842="D",1,0)+IF(CM842="D",1,0)+IF(CQ842="D",1,0)+IF(CR842="D",1,0)+IF(CS842="D",1,0)+IF(CW842="D",1,0)+IF(CX842="D",1,0)+IF(DD842="D",1,0)+IF(DE842="D",1,0)+IF(DJ842="D",1,0)+IF(DK842="D",1,0)+IF(DO842="D",1,0)+IF(DP842="D",1,0)+IF(DQ842="D",1,0)+IF(DW842="D",1,0)+IF(DZ842="D",1,0)+IF(EH842="D",1,0)</f>
        <v/>
      </c>
      <c r="AY842">
        <f>IF(DJ842&lt;&gt;"",1,0)+IF(DK842&lt;&gt;"",1,0)+IF(DM842&lt;&gt;"",1,0)+IF(DO842&lt;&gt;"",1,0)+IF(DP842&lt;&gt;"",1,0)+IF(DQ842&lt;&gt;"",1,0)+IF(DS842&lt;&gt;"",1,0)+IF(DT842&lt;&gt;"",1,0)+IF(DV842&lt;&gt;"",1,0)+IF(DW842&lt;&gt;"",1,0)+IF(DX842&lt;&gt;"",1,0)+IF(DY842&lt;&gt;"",1,0)+IF(DZ842&lt;&gt;"",1,0)+IF(EB842&lt;&gt;"",1,0)+IF(EC842&lt;&gt;"",1,0)+IF(ED842&lt;&gt;"",1,0)+IF(EG842&lt;&gt;"",1,0)+IF(EH842&lt;&gt;"",1,0)</f>
        <v/>
      </c>
      <c r="AZ842">
        <f>IF(EH842&lt;&gt;"",1,0)</f>
        <v/>
      </c>
      <c r="BB842" t="inlineStr">
        <is>
          <t>WARREN-WARD 4</t>
        </is>
      </c>
    </row>
    <row r="843">
      <c r="A843" t="inlineStr">
        <is>
          <t>OH0025956416</t>
        </is>
      </c>
      <c r="B843" t="n">
        <v>78</v>
      </c>
      <c r="C843" t="n">
        <v>453655</v>
      </c>
      <c r="D843" t="inlineStr">
        <is>
          <t>ASKEW</t>
        </is>
      </c>
      <c r="E843" t="inlineStr">
        <is>
          <t>SHANIYA</t>
        </is>
      </c>
      <c r="F843">
        <f>CONCATENATE(D843," ",LEFT(H843,4),"T=",AU843,"D=",AV843,"R=",AW843,"M=",AX843,"L=",AY843,"B=",AZ843)</f>
        <v/>
      </c>
      <c r="G843" t="inlineStr">
        <is>
          <t>DAMETRUS</t>
        </is>
      </c>
      <c r="I843" t="inlineStr">
        <is>
          <t>2002-09-10</t>
        </is>
      </c>
      <c r="J843" t="inlineStr">
        <is>
          <t>2020-09-23</t>
        </is>
      </c>
      <c r="K843" t="inlineStr">
        <is>
          <t>CONFIRMATION</t>
        </is>
      </c>
      <c r="M843" t="inlineStr">
        <is>
          <t>747 HOMEWOOD AVE SE</t>
        </is>
      </c>
      <c r="N843">
        <f>RIGHT(M843,LEN(M843)-FIND(" ",M843))</f>
        <v/>
      </c>
      <c r="P843" t="inlineStr">
        <is>
          <t>WARREN</t>
        </is>
      </c>
      <c r="Q843" t="inlineStr">
        <is>
          <t>OH</t>
        </is>
      </c>
      <c r="R843" t="n">
        <v>44484</v>
      </c>
      <c r="AD843" t="inlineStr">
        <is>
          <t>TRUMBULL CAREER &amp; TECH CENTER</t>
        </is>
      </c>
      <c r="AE843" t="inlineStr">
        <is>
          <t>WARREN CITY</t>
        </is>
      </c>
      <c r="AF843" t="inlineStr">
        <is>
          <t>WARREN CITY SD</t>
        </is>
      </c>
      <c r="AH843" t="n">
        <v>14</v>
      </c>
      <c r="AI843" t="n">
        <v>11</v>
      </c>
      <c r="AN843" t="inlineStr">
        <is>
          <t>WARREN</t>
        </is>
      </c>
      <c r="AO843" t="inlineStr">
        <is>
          <t>WARREN CITY 4A</t>
        </is>
      </c>
      <c r="AP843" t="inlineStr">
        <is>
          <t>78-P-ADI</t>
        </is>
      </c>
      <c r="AQ843" t="n">
        <v>9</v>
      </c>
      <c r="AR843" t="n">
        <v>64</v>
      </c>
      <c r="AS843" t="n">
        <v>32</v>
      </c>
      <c r="AU843">
        <f>COUNTA($BA$843:$EH$843)</f>
        <v/>
      </c>
      <c r="AV843">
        <f>COUNTIF($BA$843:$EH$843,"D")</f>
        <v/>
      </c>
      <c r="AW843">
        <f>COUNTIF($BA$843:$EH$843,"R")</f>
        <v/>
      </c>
      <c r="AX843">
        <f>IF(BN843="D",1,0)+IF(BO843="D",1,0)+IF(BT843="D",1,0)+IF(BU843="D",1,0)+IF(BW843="D",1,0)+IF(CC843="D",1,0)+IF(CD843="D",1,0)+IF(CE843="D",1,0)+IF(CF843="D",1,0)+IF(CL843="D",1,0)+IF(CM843="D",1,0)+IF(CQ843="D",1,0)+IF(CR843="D",1,0)+IF(CS843="D",1,0)+IF(CW843="D",1,0)+IF(CX843="D",1,0)+IF(DD843="D",1,0)+IF(DE843="D",1,0)+IF(DJ843="D",1,0)+IF(DK843="D",1,0)+IF(DO843="D",1,0)+IF(DP843="D",1,0)+IF(DQ843="D",1,0)+IF(DW843="D",1,0)+IF(DZ843="D",1,0)+IF(EH843="D",1,0)</f>
        <v/>
      </c>
      <c r="AY843">
        <f>IF(DJ843&lt;&gt;"",1,0)+IF(DK843&lt;&gt;"",1,0)+IF(DM843&lt;&gt;"",1,0)+IF(DO843&lt;&gt;"",1,0)+IF(DP843&lt;&gt;"",1,0)+IF(DQ843&lt;&gt;"",1,0)+IF(DS843&lt;&gt;"",1,0)+IF(DT843&lt;&gt;"",1,0)+IF(DV843&lt;&gt;"",1,0)+IF(DW843&lt;&gt;"",1,0)+IF(DX843&lt;&gt;"",1,0)+IF(DY843&lt;&gt;"",1,0)+IF(DZ843&lt;&gt;"",1,0)+IF(EB843&lt;&gt;"",1,0)+IF(EC843&lt;&gt;"",1,0)+IF(ED843&lt;&gt;"",1,0)+IF(EG843&lt;&gt;"",1,0)+IF(EH843&lt;&gt;"",1,0)</f>
        <v/>
      </c>
      <c r="AZ843">
        <f>IF(EH843&lt;&gt;"",1,0)</f>
        <v/>
      </c>
      <c r="BB843" t="inlineStr">
        <is>
          <t>WARREN-WARD 4</t>
        </is>
      </c>
    </row>
    <row r="844">
      <c r="A844" t="inlineStr">
        <is>
          <t>OH0015709373</t>
        </is>
      </c>
      <c r="B844" t="n">
        <v>78</v>
      </c>
      <c r="C844" t="n">
        <v>174822</v>
      </c>
      <c r="D844" t="inlineStr">
        <is>
          <t>WEATHERBY</t>
        </is>
      </c>
      <c r="E844" t="inlineStr">
        <is>
          <t>SHIRLEY</t>
        </is>
      </c>
      <c r="F844">
        <f>CONCATENATE(D844," ",LEFT(H844,4),"T=",AU844,"D=",AV844,"R=",AW844,"M=",AX844,"L=",AY844,"B=",AZ844)</f>
        <v/>
      </c>
      <c r="I844" t="inlineStr">
        <is>
          <t>1934-07-12</t>
        </is>
      </c>
      <c r="J844" t="inlineStr">
        <is>
          <t>1984-09-28</t>
        </is>
      </c>
      <c r="K844" t="inlineStr">
        <is>
          <t>ACTIVE</t>
        </is>
      </c>
      <c r="L844" t="inlineStr">
        <is>
          <t>R</t>
        </is>
      </c>
      <c r="M844" t="inlineStr">
        <is>
          <t>347 HOMEWOOD AVE SE</t>
        </is>
      </c>
      <c r="N844">
        <f>RIGHT(M844,LEN(M844)-FIND(" ",M844))</f>
        <v/>
      </c>
      <c r="P844" t="inlineStr">
        <is>
          <t>WARREN</t>
        </is>
      </c>
      <c r="Q844" t="inlineStr">
        <is>
          <t>OH</t>
        </is>
      </c>
      <c r="R844" t="n">
        <v>44483</v>
      </c>
      <c r="AD844" t="inlineStr">
        <is>
          <t>TRUMBULL CAREER &amp; TECH CENTER</t>
        </is>
      </c>
      <c r="AE844" t="inlineStr">
        <is>
          <t>WARREN CITY</t>
        </is>
      </c>
      <c r="AF844" t="inlineStr">
        <is>
          <t>WARREN CITY SD</t>
        </is>
      </c>
      <c r="AH844" t="n">
        <v>14</v>
      </c>
      <c r="AI844" t="n">
        <v>11</v>
      </c>
      <c r="AN844" t="inlineStr">
        <is>
          <t>WARREN</t>
        </is>
      </c>
      <c r="AO844" t="inlineStr">
        <is>
          <t>WARREN CITY 4A</t>
        </is>
      </c>
      <c r="AP844" t="inlineStr">
        <is>
          <t>78-P-ADI</t>
        </is>
      </c>
      <c r="AQ844" t="n">
        <v>9</v>
      </c>
      <c r="AR844" t="n">
        <v>64</v>
      </c>
      <c r="AS844" t="n">
        <v>32</v>
      </c>
      <c r="AU844">
        <f>COUNTA($BA$844:$EH$844)</f>
        <v/>
      </c>
      <c r="AV844">
        <f>COUNTIF($BA$844:$EH$844,"D")</f>
        <v/>
      </c>
      <c r="AW844">
        <f>COUNTIF($BA$844:$EH$844,"R")</f>
        <v/>
      </c>
      <c r="AX844">
        <f>IF(BN844="D",1,0)+IF(BO844="D",1,0)+IF(BT844="D",1,0)+IF(BU844="D",1,0)+IF(BW844="D",1,0)+IF(CC844="D",1,0)+IF(CD844="D",1,0)+IF(CE844="D",1,0)+IF(CF844="D",1,0)+IF(CL844="D",1,0)+IF(CM844="D",1,0)+IF(CQ844="D",1,0)+IF(CR844="D",1,0)+IF(CS844="D",1,0)+IF(CW844="D",1,0)+IF(CX844="D",1,0)+IF(DD844="D",1,0)+IF(DE844="D",1,0)+IF(DJ844="D",1,0)+IF(DK844="D",1,0)+IF(DO844="D",1,0)+IF(DP844="D",1,0)+IF(DQ844="D",1,0)+IF(DW844="D",1,0)+IF(DZ844="D",1,0)+IF(EH844="D",1,0)</f>
        <v/>
      </c>
      <c r="AY844">
        <f>IF(DJ844&lt;&gt;"",1,0)+IF(DK844&lt;&gt;"",1,0)+IF(DM844&lt;&gt;"",1,0)+IF(DO844&lt;&gt;"",1,0)+IF(DP844&lt;&gt;"",1,0)+IF(DQ844&lt;&gt;"",1,0)+IF(DS844&lt;&gt;"",1,0)+IF(DT844&lt;&gt;"",1,0)+IF(DV844&lt;&gt;"",1,0)+IF(DW844&lt;&gt;"",1,0)+IF(DX844&lt;&gt;"",1,0)+IF(DY844&lt;&gt;"",1,0)+IF(DZ844&lt;&gt;"",1,0)+IF(EB844&lt;&gt;"",1,0)+IF(EC844&lt;&gt;"",1,0)+IF(ED844&lt;&gt;"",1,0)+IF(EG844&lt;&gt;"",1,0)+IF(EH844&lt;&gt;"",1,0)</f>
        <v/>
      </c>
      <c r="AZ844">
        <f>IF(EH844&lt;&gt;"",1,0)</f>
        <v/>
      </c>
      <c r="BB844" t="inlineStr">
        <is>
          <t>WARREN-WARD 4</t>
        </is>
      </c>
      <c r="BC844" t="inlineStr">
        <is>
          <t>X</t>
        </is>
      </c>
      <c r="BD844" t="inlineStr">
        <is>
          <t>X</t>
        </is>
      </c>
      <c r="BF844" t="inlineStr">
        <is>
          <t>X</t>
        </is>
      </c>
      <c r="BG844" t="inlineStr">
        <is>
          <t>X</t>
        </is>
      </c>
      <c r="BH844" t="inlineStr">
        <is>
          <t>X</t>
        </is>
      </c>
      <c r="BI844" t="inlineStr">
        <is>
          <t>X</t>
        </is>
      </c>
      <c r="BJ844" t="inlineStr">
        <is>
          <t>X</t>
        </is>
      </c>
      <c r="BK844" t="inlineStr">
        <is>
          <t>X</t>
        </is>
      </c>
      <c r="BL844" t="inlineStr">
        <is>
          <t>X</t>
        </is>
      </c>
      <c r="BP844" t="inlineStr">
        <is>
          <t>X</t>
        </is>
      </c>
      <c r="BR844" t="inlineStr">
        <is>
          <t>X</t>
        </is>
      </c>
      <c r="BS844" t="inlineStr">
        <is>
          <t>X</t>
        </is>
      </c>
      <c r="BV844" t="inlineStr">
        <is>
          <t>X</t>
        </is>
      </c>
      <c r="BY844" t="inlineStr">
        <is>
          <t>D</t>
        </is>
      </c>
      <c r="CA844" t="inlineStr">
        <is>
          <t>X</t>
        </is>
      </c>
      <c r="CH844" t="inlineStr">
        <is>
          <t>D</t>
        </is>
      </c>
      <c r="CK844" t="inlineStr">
        <is>
          <t>X</t>
        </is>
      </c>
      <c r="CL844" t="inlineStr">
        <is>
          <t>D</t>
        </is>
      </c>
      <c r="CN844" t="inlineStr">
        <is>
          <t>X</t>
        </is>
      </c>
      <c r="CO844" t="inlineStr">
        <is>
          <t>D</t>
        </is>
      </c>
      <c r="CP844" t="inlineStr">
        <is>
          <t>X</t>
        </is>
      </c>
      <c r="CT844" t="inlineStr">
        <is>
          <t>X</t>
        </is>
      </c>
      <c r="CY844" t="inlineStr">
        <is>
          <t>X</t>
        </is>
      </c>
      <c r="CZ844" t="inlineStr">
        <is>
          <t>D</t>
        </is>
      </c>
      <c r="DC844" t="inlineStr">
        <is>
          <t>X</t>
        </is>
      </c>
      <c r="DF844" t="inlineStr">
        <is>
          <t>X</t>
        </is>
      </c>
      <c r="DI844" t="inlineStr">
        <is>
          <t>X</t>
        </is>
      </c>
      <c r="DJ844" t="inlineStr">
        <is>
          <t>D</t>
        </is>
      </c>
      <c r="DL844" t="inlineStr">
        <is>
          <t>X</t>
        </is>
      </c>
      <c r="DN844" t="inlineStr">
        <is>
          <t>X</t>
        </is>
      </c>
      <c r="DR844" t="inlineStr">
        <is>
          <t>X</t>
        </is>
      </c>
      <c r="DS844" t="inlineStr">
        <is>
          <t>R</t>
        </is>
      </c>
      <c r="DT844" t="inlineStr">
        <is>
          <t>R</t>
        </is>
      </c>
      <c r="DU844" t="inlineStr">
        <is>
          <t>X</t>
        </is>
      </c>
      <c r="DW844" t="inlineStr">
        <is>
          <t>D</t>
        </is>
      </c>
      <c r="DX844" t="inlineStr">
        <is>
          <t>X</t>
        </is>
      </c>
      <c r="EA844" t="inlineStr">
        <is>
          <t>X</t>
        </is>
      </c>
      <c r="ED844" t="inlineStr">
        <is>
          <t>R</t>
        </is>
      </c>
      <c r="EF844" t="inlineStr">
        <is>
          <t>X</t>
        </is>
      </c>
    </row>
    <row r="845">
      <c r="A845" t="inlineStr">
        <is>
          <t>OH0015690856</t>
        </is>
      </c>
      <c r="B845" t="n">
        <v>78</v>
      </c>
      <c r="C845" t="n">
        <v>307232</v>
      </c>
      <c r="D845" t="inlineStr">
        <is>
          <t>BOGGS</t>
        </is>
      </c>
      <c r="E845" t="inlineStr">
        <is>
          <t>JESSICA</t>
        </is>
      </c>
      <c r="F845">
        <f>CONCATENATE(D845," ",LEFT(H845,4),"T=",AU845,"D=",AV845,"R=",AW845,"M=",AX845,"L=",AY845,"B=",AZ845)</f>
        <v/>
      </c>
      <c r="G845" t="inlineStr">
        <is>
          <t>C</t>
        </is>
      </c>
      <c r="I845" t="inlineStr">
        <is>
          <t>1982-05-25</t>
        </is>
      </c>
      <c r="J845" t="inlineStr">
        <is>
          <t>2018-10-09</t>
        </is>
      </c>
      <c r="K845" t="inlineStr">
        <is>
          <t>ACTIVE</t>
        </is>
      </c>
      <c r="M845" t="inlineStr">
        <is>
          <t>539 HOMEWOOD AVE SE</t>
        </is>
      </c>
      <c r="N845">
        <f>RIGHT(M845,LEN(M845)-FIND(" ",M845))</f>
        <v/>
      </c>
      <c r="P845" t="inlineStr">
        <is>
          <t>WARREN</t>
        </is>
      </c>
      <c r="Q845" t="inlineStr">
        <is>
          <t>OH</t>
        </is>
      </c>
      <c r="R845" t="n">
        <v>44483</v>
      </c>
      <c r="AD845" t="inlineStr">
        <is>
          <t>TRUMBULL CAREER &amp; TECH CENTER</t>
        </is>
      </c>
      <c r="AE845" t="inlineStr">
        <is>
          <t>WARREN CITY</t>
        </is>
      </c>
      <c r="AF845" t="inlineStr">
        <is>
          <t>WARREN CITY SD</t>
        </is>
      </c>
      <c r="AH845" t="n">
        <v>14</v>
      </c>
      <c r="AI845" t="n">
        <v>11</v>
      </c>
      <c r="AN845" t="inlineStr">
        <is>
          <t>WARREN</t>
        </is>
      </c>
      <c r="AO845" t="inlineStr">
        <is>
          <t>WARREN CITY 4A</t>
        </is>
      </c>
      <c r="AP845" t="inlineStr">
        <is>
          <t>78-P-ADI</t>
        </is>
      </c>
      <c r="AQ845" t="n">
        <v>9</v>
      </c>
      <c r="AR845" t="n">
        <v>64</v>
      </c>
      <c r="AS845" t="n">
        <v>32</v>
      </c>
      <c r="AU845">
        <f>COUNTA($BA$845:$EH$845)</f>
        <v/>
      </c>
      <c r="AV845">
        <f>COUNTIF($BA$845:$EH$845,"D")</f>
        <v/>
      </c>
      <c r="AW845">
        <f>COUNTIF($BA$845:$EH$845,"R")</f>
        <v/>
      </c>
      <c r="AX845">
        <f>IF(BN845="D",1,0)+IF(BO845="D",1,0)+IF(BT845="D",1,0)+IF(BU845="D",1,0)+IF(BW845="D",1,0)+IF(CC845="D",1,0)+IF(CD845="D",1,0)+IF(CE845="D",1,0)+IF(CF845="D",1,0)+IF(CL845="D",1,0)+IF(CM845="D",1,0)+IF(CQ845="D",1,0)+IF(CR845="D",1,0)+IF(CS845="D",1,0)+IF(CW845="D",1,0)+IF(CX845="D",1,0)+IF(DD845="D",1,0)+IF(DE845="D",1,0)+IF(DJ845="D",1,0)+IF(DK845="D",1,0)+IF(DO845="D",1,0)+IF(DP845="D",1,0)+IF(DQ845="D",1,0)+IF(DW845="D",1,0)+IF(DZ845="D",1,0)+IF(EH845="D",1,0)</f>
        <v/>
      </c>
      <c r="AY845">
        <f>IF(DJ845&lt;&gt;"",1,0)+IF(DK845&lt;&gt;"",1,0)+IF(DM845&lt;&gt;"",1,0)+IF(DO845&lt;&gt;"",1,0)+IF(DP845&lt;&gt;"",1,0)+IF(DQ845&lt;&gt;"",1,0)+IF(DS845&lt;&gt;"",1,0)+IF(DT845&lt;&gt;"",1,0)+IF(DV845&lt;&gt;"",1,0)+IF(DW845&lt;&gt;"",1,0)+IF(DX845&lt;&gt;"",1,0)+IF(DY845&lt;&gt;"",1,0)+IF(DZ845&lt;&gt;"",1,0)+IF(EB845&lt;&gt;"",1,0)+IF(EC845&lt;&gt;"",1,0)+IF(ED845&lt;&gt;"",1,0)+IF(EG845&lt;&gt;"",1,0)+IF(EH845&lt;&gt;"",1,0)</f>
        <v/>
      </c>
      <c r="AZ845">
        <f>IF(EH845&lt;&gt;"",1,0)</f>
        <v/>
      </c>
      <c r="BB845" t="inlineStr">
        <is>
          <t>WARREN-WARD 4</t>
        </is>
      </c>
      <c r="DI845" t="inlineStr">
        <is>
          <t>X</t>
        </is>
      </c>
      <c r="DN845" t="inlineStr">
        <is>
          <t>X</t>
        </is>
      </c>
      <c r="DX845" t="inlineStr">
        <is>
          <t>X</t>
        </is>
      </c>
      <c r="EA845" t="inlineStr">
        <is>
          <t>X</t>
        </is>
      </c>
      <c r="EF845" t="inlineStr">
        <is>
          <t>X</t>
        </is>
      </c>
    </row>
    <row r="846">
      <c r="A846" t="inlineStr">
        <is>
          <t>OH0015804206</t>
        </is>
      </c>
      <c r="B846" t="n">
        <v>78</v>
      </c>
      <c r="C846" t="n">
        <v>9445</v>
      </c>
      <c r="D846" t="inlineStr">
        <is>
          <t>RAIDA</t>
        </is>
      </c>
      <c r="E846" t="inlineStr">
        <is>
          <t>PATRICIA</t>
        </is>
      </c>
      <c r="F846">
        <f>CONCATENATE(D846," ",LEFT(H846,4),"T=",AU846,"D=",AV846,"R=",AW846,"M=",AX846,"L=",AY846,"B=",AZ846)</f>
        <v/>
      </c>
      <c r="G846" t="inlineStr">
        <is>
          <t>A</t>
        </is>
      </c>
      <c r="I846" t="inlineStr">
        <is>
          <t>1947-09-23</t>
        </is>
      </c>
      <c r="J846" t="inlineStr">
        <is>
          <t>1971-03-22</t>
        </is>
      </c>
      <c r="K846" t="inlineStr">
        <is>
          <t>ACTIVE</t>
        </is>
      </c>
      <c r="L846" t="inlineStr">
        <is>
          <t>D</t>
        </is>
      </c>
      <c r="M846" t="inlineStr">
        <is>
          <t>1304 BELLE ST SE</t>
        </is>
      </c>
      <c r="N846">
        <f>RIGHT(M846,LEN(M846)-FIND(" ",M846))</f>
        <v/>
      </c>
      <c r="P846" t="inlineStr">
        <is>
          <t>WARREN</t>
        </is>
      </c>
      <c r="Q846" t="inlineStr">
        <is>
          <t>OH</t>
        </is>
      </c>
      <c r="R846" t="n">
        <v>44484</v>
      </c>
      <c r="AD846" t="inlineStr">
        <is>
          <t>TRUMBULL CAREER &amp; TECH CENTER</t>
        </is>
      </c>
      <c r="AE846" t="inlineStr">
        <is>
          <t>WARREN CITY</t>
        </is>
      </c>
      <c r="AF846" t="inlineStr">
        <is>
          <t>WARREN CITY SD</t>
        </is>
      </c>
      <c r="AH846" t="n">
        <v>14</v>
      </c>
      <c r="AI846" t="n">
        <v>11</v>
      </c>
      <c r="AN846" t="inlineStr">
        <is>
          <t>WARREN</t>
        </is>
      </c>
      <c r="AO846" t="inlineStr">
        <is>
          <t>WARREN CITY 4A</t>
        </is>
      </c>
      <c r="AP846" t="inlineStr">
        <is>
          <t>78-P-ADI</t>
        </is>
      </c>
      <c r="AQ846" t="n">
        <v>9</v>
      </c>
      <c r="AR846" t="n">
        <v>64</v>
      </c>
      <c r="AS846" t="n">
        <v>32</v>
      </c>
      <c r="AU846">
        <f>COUNTA($BA$846:$EH$846)</f>
        <v/>
      </c>
      <c r="AV846">
        <f>COUNTIF($BA$846:$EH$846,"D")</f>
        <v/>
      </c>
      <c r="AW846">
        <f>COUNTIF($BA$846:$EH$846,"R")</f>
        <v/>
      </c>
      <c r="AX846">
        <f>IF(BN846="D",1,0)+IF(BO846="D",1,0)+IF(BT846="D",1,0)+IF(BU846="D",1,0)+IF(BW846="D",1,0)+IF(CC846="D",1,0)+IF(CD846="D",1,0)+IF(CE846="D",1,0)+IF(CF846="D",1,0)+IF(CL846="D",1,0)+IF(CM846="D",1,0)+IF(CQ846="D",1,0)+IF(CR846="D",1,0)+IF(CS846="D",1,0)+IF(CW846="D",1,0)+IF(CX846="D",1,0)+IF(DD846="D",1,0)+IF(DE846="D",1,0)+IF(DJ846="D",1,0)+IF(DK846="D",1,0)+IF(DO846="D",1,0)+IF(DP846="D",1,0)+IF(DQ846="D",1,0)+IF(DW846="D",1,0)+IF(DZ846="D",1,0)+IF(EH846="D",1,0)</f>
        <v/>
      </c>
      <c r="AY846">
        <f>IF(DJ846&lt;&gt;"",1,0)+IF(DK846&lt;&gt;"",1,0)+IF(DM846&lt;&gt;"",1,0)+IF(DO846&lt;&gt;"",1,0)+IF(DP846&lt;&gt;"",1,0)+IF(DQ846&lt;&gt;"",1,0)+IF(DS846&lt;&gt;"",1,0)+IF(DT846&lt;&gt;"",1,0)+IF(DV846&lt;&gt;"",1,0)+IF(DW846&lt;&gt;"",1,0)+IF(DX846&lt;&gt;"",1,0)+IF(DY846&lt;&gt;"",1,0)+IF(DZ846&lt;&gt;"",1,0)+IF(EB846&lt;&gt;"",1,0)+IF(EC846&lt;&gt;"",1,0)+IF(ED846&lt;&gt;"",1,0)+IF(EG846&lt;&gt;"",1,0)+IF(EH846&lt;&gt;"",1,0)</f>
        <v/>
      </c>
      <c r="AZ846">
        <f>IF(EH846&lt;&gt;"",1,0)</f>
        <v/>
      </c>
      <c r="BB846" t="inlineStr">
        <is>
          <t>WARREN-WARD 4</t>
        </is>
      </c>
      <c r="BC846" t="inlineStr">
        <is>
          <t>X</t>
        </is>
      </c>
      <c r="BD846" t="inlineStr">
        <is>
          <t>X</t>
        </is>
      </c>
      <c r="BE846" t="inlineStr">
        <is>
          <t>X</t>
        </is>
      </c>
      <c r="BF846" t="inlineStr">
        <is>
          <t>X</t>
        </is>
      </c>
      <c r="BG846" t="inlineStr">
        <is>
          <t>X</t>
        </is>
      </c>
      <c r="BH846" t="inlineStr">
        <is>
          <t>X</t>
        </is>
      </c>
      <c r="BI846" t="inlineStr">
        <is>
          <t>X</t>
        </is>
      </c>
      <c r="BJ846" t="inlineStr">
        <is>
          <t>X</t>
        </is>
      </c>
      <c r="BK846" t="inlineStr">
        <is>
          <t>X</t>
        </is>
      </c>
      <c r="BL846" t="inlineStr">
        <is>
          <t>X</t>
        </is>
      </c>
      <c r="BP846" t="inlineStr">
        <is>
          <t>X</t>
        </is>
      </c>
      <c r="BR846" t="inlineStr">
        <is>
          <t>X</t>
        </is>
      </c>
      <c r="BS846" t="inlineStr">
        <is>
          <t>X</t>
        </is>
      </c>
      <c r="BT846" t="inlineStr">
        <is>
          <t>X</t>
        </is>
      </c>
      <c r="BV846" t="inlineStr">
        <is>
          <t>X</t>
        </is>
      </c>
      <c r="BY846" t="inlineStr">
        <is>
          <t>D</t>
        </is>
      </c>
      <c r="CA846" t="inlineStr">
        <is>
          <t>X</t>
        </is>
      </c>
      <c r="CG846" t="inlineStr">
        <is>
          <t>X</t>
        </is>
      </c>
      <c r="CK846" t="inlineStr">
        <is>
          <t>X</t>
        </is>
      </c>
      <c r="CL846" t="inlineStr">
        <is>
          <t>D</t>
        </is>
      </c>
      <c r="CN846" t="inlineStr">
        <is>
          <t>X</t>
        </is>
      </c>
      <c r="CO846" t="inlineStr">
        <is>
          <t>D</t>
        </is>
      </c>
      <c r="CP846" t="inlineStr">
        <is>
          <t>X</t>
        </is>
      </c>
      <c r="CT846" t="inlineStr">
        <is>
          <t>X</t>
        </is>
      </c>
      <c r="CV846" t="inlineStr">
        <is>
          <t>X</t>
        </is>
      </c>
      <c r="CY846" t="inlineStr">
        <is>
          <t>X</t>
        </is>
      </c>
      <c r="CZ846" t="inlineStr">
        <is>
          <t>D</t>
        </is>
      </c>
      <c r="DC846" t="inlineStr">
        <is>
          <t>X</t>
        </is>
      </c>
      <c r="DG846" t="inlineStr">
        <is>
          <t>D</t>
        </is>
      </c>
      <c r="DI846" t="inlineStr">
        <is>
          <t>X</t>
        </is>
      </c>
      <c r="DL846" t="inlineStr">
        <is>
          <t>X</t>
        </is>
      </c>
      <c r="DM846" t="inlineStr">
        <is>
          <t>D</t>
        </is>
      </c>
      <c r="DN846" t="inlineStr">
        <is>
          <t>X</t>
        </is>
      </c>
      <c r="DR846" t="inlineStr">
        <is>
          <t>X</t>
        </is>
      </c>
      <c r="DU846" t="inlineStr">
        <is>
          <t>X</t>
        </is>
      </c>
      <c r="DW846" t="inlineStr">
        <is>
          <t>D</t>
        </is>
      </c>
      <c r="DX846" t="inlineStr">
        <is>
          <t>X</t>
        </is>
      </c>
      <c r="EA846" t="inlineStr">
        <is>
          <t>X</t>
        </is>
      </c>
      <c r="ED846" t="inlineStr">
        <is>
          <t>D</t>
        </is>
      </c>
      <c r="EF846" t="inlineStr">
        <is>
          <t>X</t>
        </is>
      </c>
      <c r="EH846" t="inlineStr">
        <is>
          <t>D</t>
        </is>
      </c>
    </row>
    <row r="847">
      <c r="A847" t="inlineStr">
        <is>
          <t>OH0015791832</t>
        </is>
      </c>
      <c r="B847" t="n">
        <v>78</v>
      </c>
      <c r="C847" t="n">
        <v>7130</v>
      </c>
      <c r="D847" t="inlineStr">
        <is>
          <t>DARNO</t>
        </is>
      </c>
      <c r="E847" t="inlineStr">
        <is>
          <t>SANDRA</t>
        </is>
      </c>
      <c r="F847">
        <f>CONCATENATE(D847," ",LEFT(H847,4),"T=",AU847,"D=",AV847,"R=",AW847,"M=",AX847,"L=",AY847,"B=",AZ847)</f>
        <v/>
      </c>
      <c r="G847" t="inlineStr">
        <is>
          <t>D</t>
        </is>
      </c>
      <c r="I847" t="inlineStr">
        <is>
          <t>1960-10-25</t>
        </is>
      </c>
      <c r="J847" t="inlineStr">
        <is>
          <t>1979-10-01</t>
        </is>
      </c>
      <c r="K847" t="inlineStr">
        <is>
          <t>ACTIVE</t>
        </is>
      </c>
      <c r="L847" t="inlineStr">
        <is>
          <t>R</t>
        </is>
      </c>
      <c r="M847" t="inlineStr">
        <is>
          <t>403 HOMEWOOD AVE SE</t>
        </is>
      </c>
      <c r="N847">
        <f>RIGHT(M847,LEN(M847)-FIND(" ",M847))</f>
        <v/>
      </c>
      <c r="P847" t="inlineStr">
        <is>
          <t>WARREN</t>
        </is>
      </c>
      <c r="Q847" t="inlineStr">
        <is>
          <t>OH</t>
        </is>
      </c>
      <c r="R847" t="n">
        <v>44483</v>
      </c>
      <c r="AD847" t="inlineStr">
        <is>
          <t>TRUMBULL CAREER &amp; TECH CENTER</t>
        </is>
      </c>
      <c r="AE847" t="inlineStr">
        <is>
          <t>WARREN CITY</t>
        </is>
      </c>
      <c r="AF847" t="inlineStr">
        <is>
          <t>WARREN CITY SD</t>
        </is>
      </c>
      <c r="AH847" t="n">
        <v>14</v>
      </c>
      <c r="AI847" t="n">
        <v>11</v>
      </c>
      <c r="AN847" t="inlineStr">
        <is>
          <t>WARREN</t>
        </is>
      </c>
      <c r="AO847" t="inlineStr">
        <is>
          <t>WARREN CITY 4A</t>
        </is>
      </c>
      <c r="AP847" t="inlineStr">
        <is>
          <t>78-P-ADI</t>
        </is>
      </c>
      <c r="AQ847" t="n">
        <v>9</v>
      </c>
      <c r="AR847" t="n">
        <v>64</v>
      </c>
      <c r="AS847" t="n">
        <v>32</v>
      </c>
      <c r="AU847">
        <f>COUNTA($BA$847:$EH$847)</f>
        <v/>
      </c>
      <c r="AV847">
        <f>COUNTIF($BA$847:$EH$847,"D")</f>
        <v/>
      </c>
      <c r="AW847">
        <f>COUNTIF($BA$847:$EH$847,"R")</f>
        <v/>
      </c>
      <c r="AX847">
        <f>IF(BN847="D",1,0)+IF(BO847="D",1,0)+IF(BT847="D",1,0)+IF(BU847="D",1,0)+IF(BW847="D",1,0)+IF(CC847="D",1,0)+IF(CD847="D",1,0)+IF(CE847="D",1,0)+IF(CF847="D",1,0)+IF(CL847="D",1,0)+IF(CM847="D",1,0)+IF(CQ847="D",1,0)+IF(CR847="D",1,0)+IF(CS847="D",1,0)+IF(CW847="D",1,0)+IF(CX847="D",1,0)+IF(DD847="D",1,0)+IF(DE847="D",1,0)+IF(DJ847="D",1,0)+IF(DK847="D",1,0)+IF(DO847="D",1,0)+IF(DP847="D",1,0)+IF(DQ847="D",1,0)+IF(DW847="D",1,0)+IF(DZ847="D",1,0)+IF(EH847="D",1,0)</f>
        <v/>
      </c>
      <c r="AY847">
        <f>IF(DJ847&lt;&gt;"",1,0)+IF(DK847&lt;&gt;"",1,0)+IF(DM847&lt;&gt;"",1,0)+IF(DO847&lt;&gt;"",1,0)+IF(DP847&lt;&gt;"",1,0)+IF(DQ847&lt;&gt;"",1,0)+IF(DS847&lt;&gt;"",1,0)+IF(DT847&lt;&gt;"",1,0)+IF(DV847&lt;&gt;"",1,0)+IF(DW847&lt;&gt;"",1,0)+IF(DX847&lt;&gt;"",1,0)+IF(DY847&lt;&gt;"",1,0)+IF(DZ847&lt;&gt;"",1,0)+IF(EB847&lt;&gt;"",1,0)+IF(EC847&lt;&gt;"",1,0)+IF(ED847&lt;&gt;"",1,0)+IF(EG847&lt;&gt;"",1,0)+IF(EH847&lt;&gt;"",1,0)</f>
        <v/>
      </c>
      <c r="AZ847">
        <f>IF(EH847&lt;&gt;"",1,0)</f>
        <v/>
      </c>
      <c r="BB847" t="inlineStr">
        <is>
          <t>WARREN-WARD 4</t>
        </is>
      </c>
      <c r="BC847" t="inlineStr">
        <is>
          <t>X</t>
        </is>
      </c>
      <c r="BD847" t="inlineStr">
        <is>
          <t>X</t>
        </is>
      </c>
      <c r="BE847" t="inlineStr">
        <is>
          <t>X</t>
        </is>
      </c>
      <c r="BF847" t="inlineStr">
        <is>
          <t>X</t>
        </is>
      </c>
      <c r="BG847" t="inlineStr">
        <is>
          <t>X</t>
        </is>
      </c>
      <c r="BH847" t="inlineStr">
        <is>
          <t>X</t>
        </is>
      </c>
      <c r="BI847" t="inlineStr">
        <is>
          <t>X</t>
        </is>
      </c>
      <c r="BJ847" t="inlineStr">
        <is>
          <t>X</t>
        </is>
      </c>
      <c r="BK847" t="inlineStr">
        <is>
          <t>X</t>
        </is>
      </c>
      <c r="BL847" t="inlineStr">
        <is>
          <t>X</t>
        </is>
      </c>
      <c r="BP847" t="inlineStr">
        <is>
          <t>X</t>
        </is>
      </c>
      <c r="BR847" t="inlineStr">
        <is>
          <t>X</t>
        </is>
      </c>
      <c r="BS847" t="inlineStr">
        <is>
          <t>X</t>
        </is>
      </c>
      <c r="BT847" t="inlineStr">
        <is>
          <t>X</t>
        </is>
      </c>
      <c r="BV847" t="inlineStr">
        <is>
          <t>X</t>
        </is>
      </c>
      <c r="BY847" t="inlineStr">
        <is>
          <t>D</t>
        </is>
      </c>
      <c r="CA847" t="inlineStr">
        <is>
          <t>X</t>
        </is>
      </c>
      <c r="CK847" t="inlineStr">
        <is>
          <t>X</t>
        </is>
      </c>
      <c r="CN847" t="inlineStr">
        <is>
          <t>X</t>
        </is>
      </c>
      <c r="CO847" t="inlineStr">
        <is>
          <t>D</t>
        </is>
      </c>
      <c r="CP847" t="inlineStr">
        <is>
          <t>X</t>
        </is>
      </c>
      <c r="CT847" t="inlineStr">
        <is>
          <t>X</t>
        </is>
      </c>
      <c r="CU847" t="inlineStr">
        <is>
          <t>D</t>
        </is>
      </c>
      <c r="CV847" t="inlineStr">
        <is>
          <t>X</t>
        </is>
      </c>
      <c r="CY847" t="inlineStr">
        <is>
          <t>X</t>
        </is>
      </c>
      <c r="CZ847" t="inlineStr">
        <is>
          <t>R</t>
        </is>
      </c>
      <c r="DC847" t="inlineStr">
        <is>
          <t>X</t>
        </is>
      </c>
      <c r="DF847" t="inlineStr">
        <is>
          <t>X</t>
        </is>
      </c>
      <c r="DG847" t="inlineStr">
        <is>
          <t>R</t>
        </is>
      </c>
      <c r="DI847" t="inlineStr">
        <is>
          <t>X</t>
        </is>
      </c>
      <c r="DJ847" t="inlineStr">
        <is>
          <t>D</t>
        </is>
      </c>
      <c r="DL847" t="inlineStr">
        <is>
          <t>X</t>
        </is>
      </c>
      <c r="DN847" t="inlineStr">
        <is>
          <t>X</t>
        </is>
      </c>
      <c r="DR847" t="inlineStr">
        <is>
          <t>X</t>
        </is>
      </c>
      <c r="DS847" t="inlineStr">
        <is>
          <t>R</t>
        </is>
      </c>
      <c r="DT847" t="inlineStr">
        <is>
          <t>R</t>
        </is>
      </c>
      <c r="DU847" t="inlineStr">
        <is>
          <t>X</t>
        </is>
      </c>
      <c r="DW847" t="inlineStr">
        <is>
          <t>X</t>
        </is>
      </c>
      <c r="DX847" t="inlineStr">
        <is>
          <t>X</t>
        </is>
      </c>
      <c r="EA847" t="inlineStr">
        <is>
          <t>X</t>
        </is>
      </c>
      <c r="ED847" t="inlineStr">
        <is>
          <t>R</t>
        </is>
      </c>
      <c r="EF847" t="inlineStr">
        <is>
          <t>X</t>
        </is>
      </c>
      <c r="EH847" t="inlineStr">
        <is>
          <t>X</t>
        </is>
      </c>
    </row>
    <row r="848">
      <c r="A848" t="inlineStr">
        <is>
          <t>OH0015745515</t>
        </is>
      </c>
      <c r="B848" t="n">
        <v>78</v>
      </c>
      <c r="C848" t="n">
        <v>231911</v>
      </c>
      <c r="D848" t="inlineStr">
        <is>
          <t>KILLIAS</t>
        </is>
      </c>
      <c r="E848" t="inlineStr">
        <is>
          <t>MANUEL</t>
        </is>
      </c>
      <c r="F848">
        <f>CONCATENATE(D848," ",LEFT(H848,4),"T=",AU848,"D=",AV848,"R=",AW848,"M=",AX848,"L=",AY848,"B=",AZ848)</f>
        <v/>
      </c>
      <c r="G848" t="inlineStr">
        <is>
          <t>J</t>
        </is>
      </c>
      <c r="I848" t="inlineStr">
        <is>
          <t>1974-01-20</t>
        </is>
      </c>
      <c r="J848" t="inlineStr">
        <is>
          <t>2008-03-20</t>
        </is>
      </c>
      <c r="K848" t="inlineStr">
        <is>
          <t>ACTIVE</t>
        </is>
      </c>
      <c r="L848" t="inlineStr">
        <is>
          <t>D</t>
        </is>
      </c>
      <c r="M848" t="inlineStr">
        <is>
          <t>361 HOMEWOOD AVE SE</t>
        </is>
      </c>
      <c r="N848">
        <f>RIGHT(M848,LEN(M848)-FIND(" ",M848))</f>
        <v/>
      </c>
      <c r="P848" t="inlineStr">
        <is>
          <t>WARREN</t>
        </is>
      </c>
      <c r="Q848" t="inlineStr">
        <is>
          <t>OH</t>
        </is>
      </c>
      <c r="R848" t="n">
        <v>44483</v>
      </c>
      <c r="AD848" t="inlineStr">
        <is>
          <t>TRUMBULL CAREER &amp; TECH CENTER</t>
        </is>
      </c>
      <c r="AE848" t="inlineStr">
        <is>
          <t>WARREN CITY</t>
        </is>
      </c>
      <c r="AF848" t="inlineStr">
        <is>
          <t>WARREN CITY SD</t>
        </is>
      </c>
      <c r="AH848" t="n">
        <v>14</v>
      </c>
      <c r="AI848" t="n">
        <v>11</v>
      </c>
      <c r="AN848" t="inlineStr">
        <is>
          <t>WARREN</t>
        </is>
      </c>
      <c r="AO848" t="inlineStr">
        <is>
          <t>WARREN CITY 4A</t>
        </is>
      </c>
      <c r="AP848" t="inlineStr">
        <is>
          <t>78-P-ADI</t>
        </is>
      </c>
      <c r="AQ848" t="n">
        <v>9</v>
      </c>
      <c r="AR848" t="n">
        <v>64</v>
      </c>
      <c r="AS848" t="n">
        <v>32</v>
      </c>
      <c r="AU848">
        <f>COUNTA($BA$848:$EH$848)</f>
        <v/>
      </c>
      <c r="AV848">
        <f>COUNTIF($BA$848:$EH$848,"D")</f>
        <v/>
      </c>
      <c r="AW848">
        <f>COUNTIF($BA$848:$EH$848,"R")</f>
        <v/>
      </c>
      <c r="AX848">
        <f>IF(BN848="D",1,0)+IF(BO848="D",1,0)+IF(BT848="D",1,0)+IF(BU848="D",1,0)+IF(BW848="D",1,0)+IF(CC848="D",1,0)+IF(CD848="D",1,0)+IF(CE848="D",1,0)+IF(CF848="D",1,0)+IF(CL848="D",1,0)+IF(CM848="D",1,0)+IF(CQ848="D",1,0)+IF(CR848="D",1,0)+IF(CS848="D",1,0)+IF(CW848="D",1,0)+IF(CX848="D",1,0)+IF(DD848="D",1,0)+IF(DE848="D",1,0)+IF(DJ848="D",1,0)+IF(DK848="D",1,0)+IF(DO848="D",1,0)+IF(DP848="D",1,0)+IF(DQ848="D",1,0)+IF(DW848="D",1,0)+IF(DZ848="D",1,0)+IF(EH848="D",1,0)</f>
        <v/>
      </c>
      <c r="AY848">
        <f>IF(DJ848&lt;&gt;"",1,0)+IF(DK848&lt;&gt;"",1,0)+IF(DM848&lt;&gt;"",1,0)+IF(DO848&lt;&gt;"",1,0)+IF(DP848&lt;&gt;"",1,0)+IF(DQ848&lt;&gt;"",1,0)+IF(DS848&lt;&gt;"",1,0)+IF(DT848&lt;&gt;"",1,0)+IF(DV848&lt;&gt;"",1,0)+IF(DW848&lt;&gt;"",1,0)+IF(DX848&lt;&gt;"",1,0)+IF(DY848&lt;&gt;"",1,0)+IF(DZ848&lt;&gt;"",1,0)+IF(EB848&lt;&gt;"",1,0)+IF(EC848&lt;&gt;"",1,0)+IF(ED848&lt;&gt;"",1,0)+IF(EG848&lt;&gt;"",1,0)+IF(EH848&lt;&gt;"",1,0)</f>
        <v/>
      </c>
      <c r="AZ848">
        <f>IF(EH848&lt;&gt;"",1,0)</f>
        <v/>
      </c>
      <c r="BB848" t="inlineStr">
        <is>
          <t>WARREN-WARD 4</t>
        </is>
      </c>
      <c r="BD848" t="inlineStr">
        <is>
          <t>X</t>
        </is>
      </c>
      <c r="BH848" t="inlineStr">
        <is>
          <t>X</t>
        </is>
      </c>
      <c r="BL848" t="inlineStr">
        <is>
          <t>X</t>
        </is>
      </c>
      <c r="BP848" t="inlineStr">
        <is>
          <t>X</t>
        </is>
      </c>
      <c r="BS848" t="inlineStr">
        <is>
          <t>X</t>
        </is>
      </c>
      <c r="CA848" t="inlineStr">
        <is>
          <t>X</t>
        </is>
      </c>
      <c r="CG848" t="inlineStr">
        <is>
          <t>X</t>
        </is>
      </c>
      <c r="CK848" t="inlineStr">
        <is>
          <t>X</t>
        </is>
      </c>
      <c r="CL848" t="inlineStr">
        <is>
          <t>D</t>
        </is>
      </c>
      <c r="CN848" t="inlineStr">
        <is>
          <t>X</t>
        </is>
      </c>
      <c r="CP848" t="inlineStr">
        <is>
          <t>X</t>
        </is>
      </c>
      <c r="CY848" t="inlineStr">
        <is>
          <t>X</t>
        </is>
      </c>
      <c r="CZ848" t="inlineStr">
        <is>
          <t>D</t>
        </is>
      </c>
      <c r="DC848" t="inlineStr">
        <is>
          <t>X</t>
        </is>
      </c>
      <c r="DI848" t="inlineStr">
        <is>
          <t>X</t>
        </is>
      </c>
      <c r="DL848" t="inlineStr">
        <is>
          <t>X</t>
        </is>
      </c>
      <c r="DN848" t="inlineStr">
        <is>
          <t>X</t>
        </is>
      </c>
      <c r="DW848" t="inlineStr">
        <is>
          <t>D</t>
        </is>
      </c>
      <c r="EA848" t="inlineStr">
        <is>
          <t>X</t>
        </is>
      </c>
      <c r="ED848" t="inlineStr">
        <is>
          <t>D</t>
        </is>
      </c>
      <c r="EF848" t="inlineStr">
        <is>
          <t>X</t>
        </is>
      </c>
    </row>
    <row r="849">
      <c r="A849" t="inlineStr">
        <is>
          <t>OH0024649357</t>
        </is>
      </c>
      <c r="B849" t="n">
        <v>78</v>
      </c>
      <c r="C849" t="n">
        <v>432110</v>
      </c>
      <c r="D849" t="inlineStr">
        <is>
          <t>HELLER</t>
        </is>
      </c>
      <c r="E849" t="inlineStr">
        <is>
          <t>NYZIANA</t>
        </is>
      </c>
      <c r="F849">
        <f>CONCATENATE(D849," ",LEFT(H849,4),"T=",AU849,"D=",AV849,"R=",AW849,"M=",AX849,"L=",AY849,"B=",AZ849)</f>
        <v/>
      </c>
      <c r="G849" t="inlineStr">
        <is>
          <t>L</t>
        </is>
      </c>
      <c r="I849" t="inlineStr">
        <is>
          <t>1997-12-26</t>
        </is>
      </c>
      <c r="J849" t="inlineStr">
        <is>
          <t>2018-06-01</t>
        </is>
      </c>
      <c r="K849" t="inlineStr">
        <is>
          <t>CONFIRMATION</t>
        </is>
      </c>
      <c r="M849" t="inlineStr">
        <is>
          <t>1146 ADELAIDE AVE SE</t>
        </is>
      </c>
      <c r="N849">
        <f>RIGHT(M849,LEN(M849)-FIND(" ",M849))</f>
        <v/>
      </c>
      <c r="P849" t="inlineStr">
        <is>
          <t>WARREN</t>
        </is>
      </c>
      <c r="Q849" t="inlineStr">
        <is>
          <t>OH</t>
        </is>
      </c>
      <c r="R849" t="n">
        <v>44484</v>
      </c>
      <c r="AD849" t="inlineStr">
        <is>
          <t>TRUMBULL CAREER &amp; TECH CENTER</t>
        </is>
      </c>
      <c r="AE849" t="inlineStr">
        <is>
          <t>WARREN CITY</t>
        </is>
      </c>
      <c r="AF849" t="inlineStr">
        <is>
          <t>WARREN CITY SD</t>
        </is>
      </c>
      <c r="AH849" t="n">
        <v>14</v>
      </c>
      <c r="AI849" t="n">
        <v>11</v>
      </c>
      <c r="AN849" t="inlineStr">
        <is>
          <t>WARREN</t>
        </is>
      </c>
      <c r="AO849" t="inlineStr">
        <is>
          <t>WARREN CITY 4A</t>
        </is>
      </c>
      <c r="AP849" t="inlineStr">
        <is>
          <t>78-P-ADI</t>
        </is>
      </c>
      <c r="AQ849" t="n">
        <v>9</v>
      </c>
      <c r="AR849" t="n">
        <v>64</v>
      </c>
      <c r="AS849" t="n">
        <v>32</v>
      </c>
      <c r="AU849">
        <f>COUNTA($BA$849:$EH$849)</f>
        <v/>
      </c>
      <c r="AV849">
        <f>COUNTIF($BA$849:$EH$849,"D")</f>
        <v/>
      </c>
      <c r="AW849">
        <f>COUNTIF($BA$849:$EH$849,"R")</f>
        <v/>
      </c>
      <c r="AX849">
        <f>IF(BN849="D",1,0)+IF(BO849="D",1,0)+IF(BT849="D",1,0)+IF(BU849="D",1,0)+IF(BW849="D",1,0)+IF(CC849="D",1,0)+IF(CD849="D",1,0)+IF(CE849="D",1,0)+IF(CF849="D",1,0)+IF(CL849="D",1,0)+IF(CM849="D",1,0)+IF(CQ849="D",1,0)+IF(CR849="D",1,0)+IF(CS849="D",1,0)+IF(CW849="D",1,0)+IF(CX849="D",1,0)+IF(DD849="D",1,0)+IF(DE849="D",1,0)+IF(DJ849="D",1,0)+IF(DK849="D",1,0)+IF(DO849="D",1,0)+IF(DP849="D",1,0)+IF(DQ849="D",1,0)+IF(DW849="D",1,0)+IF(DZ849="D",1,0)+IF(EH849="D",1,0)</f>
        <v/>
      </c>
      <c r="AY849">
        <f>IF(DJ849&lt;&gt;"",1,0)+IF(DK849&lt;&gt;"",1,0)+IF(DM849&lt;&gt;"",1,0)+IF(DO849&lt;&gt;"",1,0)+IF(DP849&lt;&gt;"",1,0)+IF(DQ849&lt;&gt;"",1,0)+IF(DS849&lt;&gt;"",1,0)+IF(DT849&lt;&gt;"",1,0)+IF(DV849&lt;&gt;"",1,0)+IF(DW849&lt;&gt;"",1,0)+IF(DX849&lt;&gt;"",1,0)+IF(DY849&lt;&gt;"",1,0)+IF(DZ849&lt;&gt;"",1,0)+IF(EB849&lt;&gt;"",1,0)+IF(EC849&lt;&gt;"",1,0)+IF(ED849&lt;&gt;"",1,0)+IF(EG849&lt;&gt;"",1,0)+IF(EH849&lt;&gt;"",1,0)</f>
        <v/>
      </c>
      <c r="AZ849">
        <f>IF(EH849&lt;&gt;"",1,0)</f>
        <v/>
      </c>
      <c r="BB849" t="inlineStr">
        <is>
          <t>WARREN-WARD 4</t>
        </is>
      </c>
    </row>
    <row r="850">
      <c r="A850" t="inlineStr">
        <is>
          <t>OH0021351627</t>
        </is>
      </c>
      <c r="B850" t="n">
        <v>78</v>
      </c>
      <c r="C850" t="n">
        <v>379668</v>
      </c>
      <c r="D850" t="inlineStr">
        <is>
          <t>MOORE</t>
        </is>
      </c>
      <c r="E850" t="inlineStr">
        <is>
          <t>GARRISON</t>
        </is>
      </c>
      <c r="F850">
        <f>CONCATENATE(D850," ",LEFT(H850,4),"T=",AU850,"D=",AV850,"R=",AW850,"M=",AX850,"L=",AY850,"B=",AZ850)</f>
        <v/>
      </c>
      <c r="G850" t="inlineStr">
        <is>
          <t>I</t>
        </is>
      </c>
      <c r="I850" t="inlineStr">
        <is>
          <t>1993-02-09</t>
        </is>
      </c>
      <c r="J850" t="inlineStr">
        <is>
          <t>2024-08-01</t>
        </is>
      </c>
      <c r="K850" t="inlineStr">
        <is>
          <t>ACTIVE</t>
        </is>
      </c>
      <c r="M850" t="inlineStr">
        <is>
          <t>680 WOODBINE AVE SE</t>
        </is>
      </c>
      <c r="N850">
        <f>RIGHT(M850,LEN(M850)-FIND(" ",M850))</f>
        <v/>
      </c>
      <c r="P850" t="inlineStr">
        <is>
          <t>WARREN</t>
        </is>
      </c>
      <c r="Q850" t="inlineStr">
        <is>
          <t>OH</t>
        </is>
      </c>
      <c r="R850" t="n">
        <v>44483</v>
      </c>
      <c r="AD850" t="inlineStr">
        <is>
          <t>TRUMBULL CAREER &amp; TECH CENTER</t>
        </is>
      </c>
      <c r="AE850" t="inlineStr">
        <is>
          <t>WARREN CITY</t>
        </is>
      </c>
      <c r="AF850" t="inlineStr">
        <is>
          <t>WARREN CITY SD</t>
        </is>
      </c>
      <c r="AH850" t="n">
        <v>14</v>
      </c>
      <c r="AI850" t="n">
        <v>11</v>
      </c>
      <c r="AN850" t="inlineStr">
        <is>
          <t>WARREN</t>
        </is>
      </c>
      <c r="AO850" t="inlineStr">
        <is>
          <t>WARREN CITY 4A</t>
        </is>
      </c>
      <c r="AP850" t="inlineStr">
        <is>
          <t>78-P-ADI</t>
        </is>
      </c>
      <c r="AQ850" t="n">
        <v>9</v>
      </c>
      <c r="AR850" t="n">
        <v>64</v>
      </c>
      <c r="AS850" t="n">
        <v>32</v>
      </c>
      <c r="AU850">
        <f>COUNTA($BA$850:$EH$850)</f>
        <v/>
      </c>
      <c r="AV850">
        <f>COUNTIF($BA$850:$EH$850,"D")</f>
        <v/>
      </c>
      <c r="AW850">
        <f>COUNTIF($BA$850:$EH$850,"R")</f>
        <v/>
      </c>
      <c r="AX850">
        <f>IF(BN850="D",1,0)+IF(BO850="D",1,0)+IF(BT850="D",1,0)+IF(BU850="D",1,0)+IF(BW850="D",1,0)+IF(CC850="D",1,0)+IF(CD850="D",1,0)+IF(CE850="D",1,0)+IF(CF850="D",1,0)+IF(CL850="D",1,0)+IF(CM850="D",1,0)+IF(CQ850="D",1,0)+IF(CR850="D",1,0)+IF(CS850="D",1,0)+IF(CW850="D",1,0)+IF(CX850="D",1,0)+IF(DD850="D",1,0)+IF(DE850="D",1,0)+IF(DJ850="D",1,0)+IF(DK850="D",1,0)+IF(DO850="D",1,0)+IF(DP850="D",1,0)+IF(DQ850="D",1,0)+IF(DW850="D",1,0)+IF(DZ850="D",1,0)+IF(EH850="D",1,0)</f>
        <v/>
      </c>
      <c r="AY850">
        <f>IF(DJ850&lt;&gt;"",1,0)+IF(DK850&lt;&gt;"",1,0)+IF(DM850&lt;&gt;"",1,0)+IF(DO850&lt;&gt;"",1,0)+IF(DP850&lt;&gt;"",1,0)+IF(DQ850&lt;&gt;"",1,0)+IF(DS850&lt;&gt;"",1,0)+IF(DT850&lt;&gt;"",1,0)+IF(DV850&lt;&gt;"",1,0)+IF(DW850&lt;&gt;"",1,0)+IF(DX850&lt;&gt;"",1,0)+IF(DY850&lt;&gt;"",1,0)+IF(DZ850&lt;&gt;"",1,0)+IF(EB850&lt;&gt;"",1,0)+IF(EC850&lt;&gt;"",1,0)+IF(ED850&lt;&gt;"",1,0)+IF(EG850&lt;&gt;"",1,0)+IF(EH850&lt;&gt;"",1,0)</f>
        <v/>
      </c>
      <c r="AZ850">
        <f>IF(EH850&lt;&gt;"",1,0)</f>
        <v/>
      </c>
      <c r="BB850" t="inlineStr">
        <is>
          <t>WARREN-WARD 4</t>
        </is>
      </c>
    </row>
    <row r="851">
      <c r="A851" t="inlineStr">
        <is>
          <t>OH0027245858</t>
        </is>
      </c>
      <c r="B851" t="n">
        <v>78</v>
      </c>
      <c r="C851" t="n">
        <v>483309</v>
      </c>
      <c r="D851" t="inlineStr">
        <is>
          <t>KOVAROVIC</t>
        </is>
      </c>
      <c r="E851" t="inlineStr">
        <is>
          <t>MICHAEL</t>
        </is>
      </c>
      <c r="F851">
        <f>CONCATENATE(D851," ",LEFT(H851,4),"T=",AU851,"D=",AV851,"R=",AW851,"M=",AX851,"L=",AY851,"B=",AZ851)</f>
        <v/>
      </c>
      <c r="G851" t="inlineStr">
        <is>
          <t>T</t>
        </is>
      </c>
      <c r="I851" t="inlineStr">
        <is>
          <t>1985-02-02</t>
        </is>
      </c>
      <c r="J851" t="inlineStr">
        <is>
          <t>2024-02-02</t>
        </is>
      </c>
      <c r="K851" t="inlineStr">
        <is>
          <t>ACTIVE</t>
        </is>
      </c>
      <c r="M851" t="inlineStr">
        <is>
          <t>503 KENILWORTH AVE SE</t>
        </is>
      </c>
      <c r="N851">
        <f>RIGHT(M851,LEN(M851)-FIND(" ",M851))</f>
        <v/>
      </c>
      <c r="P851" t="inlineStr">
        <is>
          <t>WARREN</t>
        </is>
      </c>
      <c r="Q851" t="inlineStr">
        <is>
          <t>OH</t>
        </is>
      </c>
      <c r="R851" t="n">
        <v>44483</v>
      </c>
      <c r="AD851" t="inlineStr">
        <is>
          <t>TRUMBULL CAREER &amp; TECH CENTER</t>
        </is>
      </c>
      <c r="AE851" t="inlineStr">
        <is>
          <t>WARREN CITY</t>
        </is>
      </c>
      <c r="AF851" t="inlineStr">
        <is>
          <t>WARREN CITY SD</t>
        </is>
      </c>
      <c r="AH851" t="n">
        <v>14</v>
      </c>
      <c r="AI851" t="n">
        <v>11</v>
      </c>
      <c r="AN851" t="inlineStr">
        <is>
          <t>WARREN</t>
        </is>
      </c>
      <c r="AO851" t="inlineStr">
        <is>
          <t>WARREN CITY 4A</t>
        </is>
      </c>
      <c r="AP851" t="inlineStr">
        <is>
          <t>78-P-ADI</t>
        </is>
      </c>
      <c r="AQ851" t="n">
        <v>9</v>
      </c>
      <c r="AR851" t="n">
        <v>64</v>
      </c>
      <c r="AS851" t="n">
        <v>32</v>
      </c>
      <c r="AU851">
        <f>COUNTA($BA$851:$EH$851)</f>
        <v/>
      </c>
      <c r="AV851">
        <f>COUNTIF($BA$851:$EH$851,"D")</f>
        <v/>
      </c>
      <c r="AW851">
        <f>COUNTIF($BA$851:$EH$851,"R")</f>
        <v/>
      </c>
      <c r="AX851">
        <f>IF(BN851="D",1,0)+IF(BO851="D",1,0)+IF(BT851="D",1,0)+IF(BU851="D",1,0)+IF(BW851="D",1,0)+IF(CC851="D",1,0)+IF(CD851="D",1,0)+IF(CE851="D",1,0)+IF(CF851="D",1,0)+IF(CL851="D",1,0)+IF(CM851="D",1,0)+IF(CQ851="D",1,0)+IF(CR851="D",1,0)+IF(CS851="D",1,0)+IF(CW851="D",1,0)+IF(CX851="D",1,0)+IF(DD851="D",1,0)+IF(DE851="D",1,0)+IF(DJ851="D",1,0)+IF(DK851="D",1,0)+IF(DO851="D",1,0)+IF(DP851="D",1,0)+IF(DQ851="D",1,0)+IF(DW851="D",1,0)+IF(DZ851="D",1,0)+IF(EH851="D",1,0)</f>
        <v/>
      </c>
      <c r="AY851">
        <f>IF(DJ851&lt;&gt;"",1,0)+IF(DK851&lt;&gt;"",1,0)+IF(DM851&lt;&gt;"",1,0)+IF(DO851&lt;&gt;"",1,0)+IF(DP851&lt;&gt;"",1,0)+IF(DQ851&lt;&gt;"",1,0)+IF(DS851&lt;&gt;"",1,0)+IF(DT851&lt;&gt;"",1,0)+IF(DV851&lt;&gt;"",1,0)+IF(DW851&lt;&gt;"",1,0)+IF(DX851&lt;&gt;"",1,0)+IF(DY851&lt;&gt;"",1,0)+IF(DZ851&lt;&gt;"",1,0)+IF(EB851&lt;&gt;"",1,0)+IF(EC851&lt;&gt;"",1,0)+IF(ED851&lt;&gt;"",1,0)+IF(EG851&lt;&gt;"",1,0)+IF(EH851&lt;&gt;"",1,0)</f>
        <v/>
      </c>
      <c r="AZ851">
        <f>IF(EH851&lt;&gt;"",1,0)</f>
        <v/>
      </c>
      <c r="BB851" t="inlineStr">
        <is>
          <t>WARREN-WARD 4</t>
        </is>
      </c>
    </row>
    <row r="852">
      <c r="A852" t="inlineStr">
        <is>
          <t>OH0020041325</t>
        </is>
      </c>
      <c r="B852" t="n">
        <v>78</v>
      </c>
      <c r="C852" t="n">
        <v>362034</v>
      </c>
      <c r="D852" t="inlineStr">
        <is>
          <t>BOWERS</t>
        </is>
      </c>
      <c r="E852" t="inlineStr">
        <is>
          <t>WILLIAM</t>
        </is>
      </c>
      <c r="F852">
        <f>CONCATENATE(D852," ",LEFT(H852,4),"T=",AU852,"D=",AV852,"R=",AW852,"M=",AX852,"L=",AY852,"B=",AZ852)</f>
        <v/>
      </c>
      <c r="G852" t="inlineStr">
        <is>
          <t>F</t>
        </is>
      </c>
      <c r="I852" t="inlineStr">
        <is>
          <t>1990-07-30</t>
        </is>
      </c>
      <c r="J852" t="inlineStr">
        <is>
          <t>2016-07-19</t>
        </is>
      </c>
      <c r="K852" t="inlineStr">
        <is>
          <t>CONFIRMATION</t>
        </is>
      </c>
      <c r="M852" t="inlineStr">
        <is>
          <t>1325 BELLE ST SE</t>
        </is>
      </c>
      <c r="N852">
        <f>RIGHT(M852,LEN(M852)-FIND(" ",M852))</f>
        <v/>
      </c>
      <c r="P852" t="inlineStr">
        <is>
          <t>WARREN</t>
        </is>
      </c>
      <c r="Q852" t="inlineStr">
        <is>
          <t>OH</t>
        </is>
      </c>
      <c r="R852" t="n">
        <v>44484</v>
      </c>
      <c r="AD852" t="inlineStr">
        <is>
          <t>TRUMBULL CAREER &amp; TECH CENTER</t>
        </is>
      </c>
      <c r="AE852" t="inlineStr">
        <is>
          <t>WARREN CITY</t>
        </is>
      </c>
      <c r="AF852" t="inlineStr">
        <is>
          <t>WARREN CITY SD</t>
        </is>
      </c>
      <c r="AH852" t="n">
        <v>14</v>
      </c>
      <c r="AI852" t="n">
        <v>11</v>
      </c>
      <c r="AN852" t="inlineStr">
        <is>
          <t>WARREN</t>
        </is>
      </c>
      <c r="AO852" t="inlineStr">
        <is>
          <t>WARREN CITY 4A</t>
        </is>
      </c>
      <c r="AP852" t="inlineStr">
        <is>
          <t>78-P-ADI</t>
        </is>
      </c>
      <c r="AQ852" t="n">
        <v>9</v>
      </c>
      <c r="AR852" t="n">
        <v>64</v>
      </c>
      <c r="AS852" t="n">
        <v>32</v>
      </c>
      <c r="AU852">
        <f>COUNTA($BA$852:$EH$852)</f>
        <v/>
      </c>
      <c r="AV852">
        <f>COUNTIF($BA$852:$EH$852,"D")</f>
        <v/>
      </c>
      <c r="AW852">
        <f>COUNTIF($BA$852:$EH$852,"R")</f>
        <v/>
      </c>
      <c r="AX852">
        <f>IF(BN852="D",1,0)+IF(BO852="D",1,0)+IF(BT852="D",1,0)+IF(BU852="D",1,0)+IF(BW852="D",1,0)+IF(CC852="D",1,0)+IF(CD852="D",1,0)+IF(CE852="D",1,0)+IF(CF852="D",1,0)+IF(CL852="D",1,0)+IF(CM852="D",1,0)+IF(CQ852="D",1,0)+IF(CR852="D",1,0)+IF(CS852="D",1,0)+IF(CW852="D",1,0)+IF(CX852="D",1,0)+IF(DD852="D",1,0)+IF(DE852="D",1,0)+IF(DJ852="D",1,0)+IF(DK852="D",1,0)+IF(DO852="D",1,0)+IF(DP852="D",1,0)+IF(DQ852="D",1,0)+IF(DW852="D",1,0)+IF(DZ852="D",1,0)+IF(EH852="D",1,0)</f>
        <v/>
      </c>
      <c r="AY852">
        <f>IF(DJ852&lt;&gt;"",1,0)+IF(DK852&lt;&gt;"",1,0)+IF(DM852&lt;&gt;"",1,0)+IF(DO852&lt;&gt;"",1,0)+IF(DP852&lt;&gt;"",1,0)+IF(DQ852&lt;&gt;"",1,0)+IF(DS852&lt;&gt;"",1,0)+IF(DT852&lt;&gt;"",1,0)+IF(DV852&lt;&gt;"",1,0)+IF(DW852&lt;&gt;"",1,0)+IF(DX852&lt;&gt;"",1,0)+IF(DY852&lt;&gt;"",1,0)+IF(DZ852&lt;&gt;"",1,0)+IF(EB852&lt;&gt;"",1,0)+IF(EC852&lt;&gt;"",1,0)+IF(ED852&lt;&gt;"",1,0)+IF(EG852&lt;&gt;"",1,0)+IF(EH852&lt;&gt;"",1,0)</f>
        <v/>
      </c>
      <c r="AZ852">
        <f>IF(EH852&lt;&gt;"",1,0)</f>
        <v/>
      </c>
      <c r="BB852" t="inlineStr">
        <is>
          <t>WARREN-WARD 4</t>
        </is>
      </c>
    </row>
    <row r="853">
      <c r="A853" t="inlineStr">
        <is>
          <t>OH0019139616</t>
        </is>
      </c>
      <c r="B853" t="n">
        <v>78</v>
      </c>
      <c r="C853" t="n">
        <v>350343</v>
      </c>
      <c r="D853" t="inlineStr">
        <is>
          <t>ROWLEY</t>
        </is>
      </c>
      <c r="E853" t="inlineStr">
        <is>
          <t>CAROL</t>
        </is>
      </c>
      <c r="F853">
        <f>CONCATENATE(D853," ",LEFT(H853,4),"T=",AU853,"D=",AV853,"R=",AW853,"M=",AX853,"L=",AY853,"B=",AZ853)</f>
        <v/>
      </c>
      <c r="G853" t="inlineStr">
        <is>
          <t>ANN</t>
        </is>
      </c>
      <c r="I853" t="inlineStr">
        <is>
          <t>1968-06-25</t>
        </is>
      </c>
      <c r="J853" t="inlineStr">
        <is>
          <t>2017-10-21</t>
        </is>
      </c>
      <c r="K853" t="inlineStr">
        <is>
          <t>ACTIVE</t>
        </is>
      </c>
      <c r="L853" t="inlineStr">
        <is>
          <t>R</t>
        </is>
      </c>
      <c r="M853" t="inlineStr">
        <is>
          <t>334 OAK KNOLL AVE SE</t>
        </is>
      </c>
      <c r="N853">
        <f>RIGHT(M853,LEN(M853)-FIND(" ",M853))</f>
        <v/>
      </c>
      <c r="P853" t="inlineStr">
        <is>
          <t>WARREN</t>
        </is>
      </c>
      <c r="Q853" t="inlineStr">
        <is>
          <t>OH</t>
        </is>
      </c>
      <c r="R853" t="n">
        <v>44483</v>
      </c>
      <c r="AD853" t="inlineStr">
        <is>
          <t>TRUMBULL CAREER &amp; TECH CENTER</t>
        </is>
      </c>
      <c r="AE853" t="inlineStr">
        <is>
          <t>WARREN CITY</t>
        </is>
      </c>
      <c r="AF853" t="inlineStr">
        <is>
          <t>WARREN CITY SD</t>
        </is>
      </c>
      <c r="AH853" t="n">
        <v>14</v>
      </c>
      <c r="AI853" t="n">
        <v>11</v>
      </c>
      <c r="AN853" t="inlineStr">
        <is>
          <t>WARREN</t>
        </is>
      </c>
      <c r="AO853" t="inlineStr">
        <is>
          <t>WARREN CITY 4A</t>
        </is>
      </c>
      <c r="AP853" t="inlineStr">
        <is>
          <t>78-P-ADI</t>
        </is>
      </c>
      <c r="AQ853" t="n">
        <v>9</v>
      </c>
      <c r="AR853" t="n">
        <v>64</v>
      </c>
      <c r="AS853" t="n">
        <v>32</v>
      </c>
      <c r="AU853">
        <f>COUNTA($BA$853:$EH$853)</f>
        <v/>
      </c>
      <c r="AV853">
        <f>COUNTIF($BA$853:$EH$853,"D")</f>
        <v/>
      </c>
      <c r="AW853">
        <f>COUNTIF($BA$853:$EH$853,"R")</f>
        <v/>
      </c>
      <c r="AX853">
        <f>IF(BN853="D",1,0)+IF(BO853="D",1,0)+IF(BT853="D",1,0)+IF(BU853="D",1,0)+IF(BW853="D",1,0)+IF(CC853="D",1,0)+IF(CD853="D",1,0)+IF(CE853="D",1,0)+IF(CF853="D",1,0)+IF(CL853="D",1,0)+IF(CM853="D",1,0)+IF(CQ853="D",1,0)+IF(CR853="D",1,0)+IF(CS853="D",1,0)+IF(CW853="D",1,0)+IF(CX853="D",1,0)+IF(DD853="D",1,0)+IF(DE853="D",1,0)+IF(DJ853="D",1,0)+IF(DK853="D",1,0)+IF(DO853="D",1,0)+IF(DP853="D",1,0)+IF(DQ853="D",1,0)+IF(DW853="D",1,0)+IF(DZ853="D",1,0)+IF(EH853="D",1,0)</f>
        <v/>
      </c>
      <c r="AY853">
        <f>IF(DJ853&lt;&gt;"",1,0)+IF(DK853&lt;&gt;"",1,0)+IF(DM853&lt;&gt;"",1,0)+IF(DO853&lt;&gt;"",1,0)+IF(DP853&lt;&gt;"",1,0)+IF(DQ853&lt;&gt;"",1,0)+IF(DS853&lt;&gt;"",1,0)+IF(DT853&lt;&gt;"",1,0)+IF(DV853&lt;&gt;"",1,0)+IF(DW853&lt;&gt;"",1,0)+IF(DX853&lt;&gt;"",1,0)+IF(DY853&lt;&gt;"",1,0)+IF(DZ853&lt;&gt;"",1,0)+IF(EB853&lt;&gt;"",1,0)+IF(EC853&lt;&gt;"",1,0)+IF(ED853&lt;&gt;"",1,0)+IF(EG853&lt;&gt;"",1,0)+IF(EH853&lt;&gt;"",1,0)</f>
        <v/>
      </c>
      <c r="AZ853">
        <f>IF(EH853&lt;&gt;"",1,0)</f>
        <v/>
      </c>
      <c r="BB853" t="inlineStr">
        <is>
          <t>WARREN-WARD 4</t>
        </is>
      </c>
      <c r="CK853" t="inlineStr">
        <is>
          <t>X</t>
        </is>
      </c>
      <c r="CN853" t="inlineStr">
        <is>
          <t>X</t>
        </is>
      </c>
      <c r="CO853" t="inlineStr">
        <is>
          <t>R</t>
        </is>
      </c>
      <c r="CP853" t="inlineStr">
        <is>
          <t>X</t>
        </is>
      </c>
      <c r="CV853" t="inlineStr">
        <is>
          <t>X</t>
        </is>
      </c>
      <c r="CZ853" t="inlineStr">
        <is>
          <t>R</t>
        </is>
      </c>
      <c r="DC853" t="inlineStr">
        <is>
          <t>X</t>
        </is>
      </c>
      <c r="DN853" t="inlineStr">
        <is>
          <t>X</t>
        </is>
      </c>
      <c r="DX853" t="inlineStr">
        <is>
          <t>X</t>
        </is>
      </c>
      <c r="EA853" t="inlineStr">
        <is>
          <t>X</t>
        </is>
      </c>
      <c r="ED853" t="inlineStr">
        <is>
          <t>R</t>
        </is>
      </c>
      <c r="EF853" t="inlineStr">
        <is>
          <t>X</t>
        </is>
      </c>
    </row>
    <row r="854">
      <c r="A854" t="inlineStr">
        <is>
          <t>OH0024850287</t>
        </is>
      </c>
      <c r="B854" t="n">
        <v>78</v>
      </c>
      <c r="C854" t="n">
        <v>435863</v>
      </c>
      <c r="D854" t="inlineStr">
        <is>
          <t>EDWARDS</t>
        </is>
      </c>
      <c r="E854" t="inlineStr">
        <is>
          <t>JENNIFER</t>
        </is>
      </c>
      <c r="F854">
        <f>CONCATENATE(D854," ",LEFT(H854,4),"T=",AU854,"D=",AV854,"R=",AW854,"M=",AX854,"L=",AY854,"B=",AZ854)</f>
        <v/>
      </c>
      <c r="G854" t="inlineStr">
        <is>
          <t>L</t>
        </is>
      </c>
      <c r="I854" t="inlineStr">
        <is>
          <t>1978-02-20</t>
        </is>
      </c>
      <c r="J854" t="inlineStr">
        <is>
          <t>2024-09-13</t>
        </is>
      </c>
      <c r="K854" t="inlineStr">
        <is>
          <t>ACTIVE</t>
        </is>
      </c>
      <c r="M854" t="inlineStr">
        <is>
          <t>471 CHARLES AVE SE</t>
        </is>
      </c>
      <c r="N854">
        <f>RIGHT(M854,LEN(M854)-FIND(" ",M854))</f>
        <v/>
      </c>
      <c r="P854" t="inlineStr">
        <is>
          <t>WARREN</t>
        </is>
      </c>
      <c r="Q854" t="inlineStr">
        <is>
          <t>OH</t>
        </is>
      </c>
      <c r="R854" t="n">
        <v>44483</v>
      </c>
      <c r="AD854" t="inlineStr">
        <is>
          <t>TRUMBULL CAREER &amp; TECH CENTER</t>
        </is>
      </c>
      <c r="AE854" t="inlineStr">
        <is>
          <t>WARREN CITY</t>
        </is>
      </c>
      <c r="AF854" t="inlineStr">
        <is>
          <t>WARREN CITY SD</t>
        </is>
      </c>
      <c r="AH854" t="n">
        <v>14</v>
      </c>
      <c r="AI854" t="n">
        <v>11</v>
      </c>
      <c r="AN854" t="inlineStr">
        <is>
          <t>WARREN</t>
        </is>
      </c>
      <c r="AO854" t="inlineStr">
        <is>
          <t>WARREN CITY 4A</t>
        </is>
      </c>
      <c r="AP854" t="inlineStr">
        <is>
          <t>78-P-ADI</t>
        </is>
      </c>
      <c r="AQ854" t="n">
        <v>9</v>
      </c>
      <c r="AR854" t="n">
        <v>64</v>
      </c>
      <c r="AS854" t="n">
        <v>32</v>
      </c>
      <c r="AU854">
        <f>COUNTA($BA$854:$EH$854)</f>
        <v/>
      </c>
      <c r="AV854">
        <f>COUNTIF($BA$854:$EH$854,"D")</f>
        <v/>
      </c>
      <c r="AW854">
        <f>COUNTIF($BA$854:$EH$854,"R")</f>
        <v/>
      </c>
      <c r="AX854">
        <f>IF(BN854="D",1,0)+IF(BO854="D",1,0)+IF(BT854="D",1,0)+IF(BU854="D",1,0)+IF(BW854="D",1,0)+IF(CC854="D",1,0)+IF(CD854="D",1,0)+IF(CE854="D",1,0)+IF(CF854="D",1,0)+IF(CL854="D",1,0)+IF(CM854="D",1,0)+IF(CQ854="D",1,0)+IF(CR854="D",1,0)+IF(CS854="D",1,0)+IF(CW854="D",1,0)+IF(CX854="D",1,0)+IF(DD854="D",1,0)+IF(DE854="D",1,0)+IF(DJ854="D",1,0)+IF(DK854="D",1,0)+IF(DO854="D",1,0)+IF(DP854="D",1,0)+IF(DQ854="D",1,0)+IF(DW854="D",1,0)+IF(DZ854="D",1,0)+IF(EH854="D",1,0)</f>
        <v/>
      </c>
      <c r="AY854">
        <f>IF(DJ854&lt;&gt;"",1,0)+IF(DK854&lt;&gt;"",1,0)+IF(DM854&lt;&gt;"",1,0)+IF(DO854&lt;&gt;"",1,0)+IF(DP854&lt;&gt;"",1,0)+IF(DQ854&lt;&gt;"",1,0)+IF(DS854&lt;&gt;"",1,0)+IF(DT854&lt;&gt;"",1,0)+IF(DV854&lt;&gt;"",1,0)+IF(DW854&lt;&gt;"",1,0)+IF(DX854&lt;&gt;"",1,0)+IF(DY854&lt;&gt;"",1,0)+IF(DZ854&lt;&gt;"",1,0)+IF(EB854&lt;&gt;"",1,0)+IF(EC854&lt;&gt;"",1,0)+IF(ED854&lt;&gt;"",1,0)+IF(EG854&lt;&gt;"",1,0)+IF(EH854&lt;&gt;"",1,0)</f>
        <v/>
      </c>
      <c r="AZ854">
        <f>IF(EH854&lt;&gt;"",1,0)</f>
        <v/>
      </c>
      <c r="BB854" t="inlineStr">
        <is>
          <t>WARREN-WARD 4</t>
        </is>
      </c>
      <c r="DN854" t="inlineStr">
        <is>
          <t>X</t>
        </is>
      </c>
      <c r="EF854" t="inlineStr">
        <is>
          <t>X</t>
        </is>
      </c>
    </row>
    <row r="855">
      <c r="A855" t="inlineStr">
        <is>
          <t>OH0027595730</t>
        </is>
      </c>
      <c r="B855" t="n">
        <v>78</v>
      </c>
      <c r="C855" t="n">
        <v>488963</v>
      </c>
      <c r="D855" t="inlineStr">
        <is>
          <t>HOWARD</t>
        </is>
      </c>
      <c r="E855" t="inlineStr">
        <is>
          <t>THOMAS</t>
        </is>
      </c>
      <c r="F855">
        <f>CONCATENATE(D855," ",LEFT(H855,4),"T=",AU855,"D=",AV855,"R=",AW855,"M=",AX855,"L=",AY855,"B=",AZ855)</f>
        <v/>
      </c>
      <c r="G855" t="inlineStr">
        <is>
          <t>GERALD</t>
        </is>
      </c>
      <c r="I855" t="inlineStr">
        <is>
          <t>2003-09-12</t>
        </is>
      </c>
      <c r="J855" t="inlineStr">
        <is>
          <t>2024-09-11</t>
        </is>
      </c>
      <c r="K855" t="inlineStr">
        <is>
          <t>ACTIVE</t>
        </is>
      </c>
      <c r="M855" t="inlineStr">
        <is>
          <t>384 ADELAIDE AVE SE</t>
        </is>
      </c>
      <c r="N855">
        <f>RIGHT(M855,LEN(M855)-FIND(" ",M855))</f>
        <v/>
      </c>
      <c r="P855" t="inlineStr">
        <is>
          <t>WARREN</t>
        </is>
      </c>
      <c r="Q855" t="inlineStr">
        <is>
          <t>OH</t>
        </is>
      </c>
      <c r="R855" t="n">
        <v>44483</v>
      </c>
      <c r="AD855" t="inlineStr">
        <is>
          <t>TRUMBULL CAREER &amp; TECH CENTER</t>
        </is>
      </c>
      <c r="AE855" t="inlineStr">
        <is>
          <t>WARREN CITY</t>
        </is>
      </c>
      <c r="AF855" t="inlineStr">
        <is>
          <t>WARREN CITY SD</t>
        </is>
      </c>
      <c r="AH855" t="n">
        <v>14</v>
      </c>
      <c r="AI855" t="n">
        <v>11</v>
      </c>
      <c r="AN855" t="inlineStr">
        <is>
          <t>WARREN</t>
        </is>
      </c>
      <c r="AO855" t="inlineStr">
        <is>
          <t>WARREN CITY 4A</t>
        </is>
      </c>
      <c r="AP855" t="inlineStr">
        <is>
          <t>78-P-ADI</t>
        </is>
      </c>
      <c r="AQ855" t="n">
        <v>9</v>
      </c>
      <c r="AR855" t="n">
        <v>64</v>
      </c>
      <c r="AS855" t="n">
        <v>32</v>
      </c>
      <c r="AU855">
        <f>COUNTA($BA$855:$EH$855)</f>
        <v/>
      </c>
      <c r="AV855">
        <f>COUNTIF($BA$855:$EH$855,"D")</f>
        <v/>
      </c>
      <c r="AW855">
        <f>COUNTIF($BA$855:$EH$855,"R")</f>
        <v/>
      </c>
      <c r="AX855">
        <f>IF(BN855="D",1,0)+IF(BO855="D",1,0)+IF(BT855="D",1,0)+IF(BU855="D",1,0)+IF(BW855="D",1,0)+IF(CC855="D",1,0)+IF(CD855="D",1,0)+IF(CE855="D",1,0)+IF(CF855="D",1,0)+IF(CL855="D",1,0)+IF(CM855="D",1,0)+IF(CQ855="D",1,0)+IF(CR855="D",1,0)+IF(CS855="D",1,0)+IF(CW855="D",1,0)+IF(CX855="D",1,0)+IF(DD855="D",1,0)+IF(DE855="D",1,0)+IF(DJ855="D",1,0)+IF(DK855="D",1,0)+IF(DO855="D",1,0)+IF(DP855="D",1,0)+IF(DQ855="D",1,0)+IF(DW855="D",1,0)+IF(DZ855="D",1,0)+IF(EH855="D",1,0)</f>
        <v/>
      </c>
      <c r="AY855">
        <f>IF(DJ855&lt;&gt;"",1,0)+IF(DK855&lt;&gt;"",1,0)+IF(DM855&lt;&gt;"",1,0)+IF(DO855&lt;&gt;"",1,0)+IF(DP855&lt;&gt;"",1,0)+IF(DQ855&lt;&gt;"",1,0)+IF(DS855&lt;&gt;"",1,0)+IF(DT855&lt;&gt;"",1,0)+IF(DV855&lt;&gt;"",1,0)+IF(DW855&lt;&gt;"",1,0)+IF(DX855&lt;&gt;"",1,0)+IF(DY855&lt;&gt;"",1,0)+IF(DZ855&lt;&gt;"",1,0)+IF(EB855&lt;&gt;"",1,0)+IF(EC855&lt;&gt;"",1,0)+IF(ED855&lt;&gt;"",1,0)+IF(EG855&lt;&gt;"",1,0)+IF(EH855&lt;&gt;"",1,0)</f>
        <v/>
      </c>
      <c r="AZ855">
        <f>IF(EH855&lt;&gt;"",1,0)</f>
        <v/>
      </c>
      <c r="BB855" t="inlineStr">
        <is>
          <t>WARREN-WARD 4</t>
        </is>
      </c>
      <c r="EF855" t="inlineStr">
        <is>
          <t>X</t>
        </is>
      </c>
    </row>
    <row r="856">
      <c r="A856" t="inlineStr">
        <is>
          <t>OH0027418276</t>
        </is>
      </c>
      <c r="B856" t="n">
        <v>78</v>
      </c>
      <c r="C856" t="n">
        <v>485822</v>
      </c>
      <c r="D856" t="inlineStr">
        <is>
          <t>PENDLAND</t>
        </is>
      </c>
      <c r="E856" t="inlineStr">
        <is>
          <t>CONCIENNA</t>
        </is>
      </c>
      <c r="F856">
        <f>CONCATENATE(D856," ",LEFT(H856,4),"T=",AU856,"D=",AV856,"R=",AW856,"M=",AX856,"L=",AY856,"B=",AZ856)</f>
        <v/>
      </c>
      <c r="G856" t="inlineStr">
        <is>
          <t>D</t>
        </is>
      </c>
      <c r="I856" t="inlineStr">
        <is>
          <t>2005-12-21</t>
        </is>
      </c>
      <c r="J856" t="inlineStr">
        <is>
          <t>2024-06-22</t>
        </is>
      </c>
      <c r="K856" t="inlineStr">
        <is>
          <t>ACTIVE</t>
        </is>
      </c>
      <c r="M856" t="inlineStr">
        <is>
          <t>608 ADELAIDE AVE SE</t>
        </is>
      </c>
      <c r="N856">
        <f>RIGHT(M856,LEN(M856)-FIND(" ",M856))</f>
        <v/>
      </c>
      <c r="P856" t="inlineStr">
        <is>
          <t>WARREN</t>
        </is>
      </c>
      <c r="Q856" t="inlineStr">
        <is>
          <t>OH</t>
        </is>
      </c>
      <c r="R856" t="n">
        <v>44483</v>
      </c>
      <c r="AD856" t="inlineStr">
        <is>
          <t>TRUMBULL CAREER &amp; TECH CENTER</t>
        </is>
      </c>
      <c r="AE856" t="inlineStr">
        <is>
          <t>WARREN CITY</t>
        </is>
      </c>
      <c r="AF856" t="inlineStr">
        <is>
          <t>WARREN CITY SD</t>
        </is>
      </c>
      <c r="AH856" t="n">
        <v>14</v>
      </c>
      <c r="AI856" t="n">
        <v>11</v>
      </c>
      <c r="AN856" t="inlineStr">
        <is>
          <t>WARREN</t>
        </is>
      </c>
      <c r="AO856" t="inlineStr">
        <is>
          <t>WARREN CITY 4A</t>
        </is>
      </c>
      <c r="AP856" t="inlineStr">
        <is>
          <t>78-P-ADI</t>
        </is>
      </c>
      <c r="AQ856" t="n">
        <v>9</v>
      </c>
      <c r="AR856" t="n">
        <v>64</v>
      </c>
      <c r="AS856" t="n">
        <v>32</v>
      </c>
      <c r="AU856">
        <f>COUNTA($BA$856:$EH$856)</f>
        <v/>
      </c>
      <c r="AV856">
        <f>COUNTIF($BA$856:$EH$856,"D")</f>
        <v/>
      </c>
      <c r="AW856">
        <f>COUNTIF($BA$856:$EH$856,"R")</f>
        <v/>
      </c>
      <c r="AX856">
        <f>IF(BN856="D",1,0)+IF(BO856="D",1,0)+IF(BT856="D",1,0)+IF(BU856="D",1,0)+IF(BW856="D",1,0)+IF(CC856="D",1,0)+IF(CD856="D",1,0)+IF(CE856="D",1,0)+IF(CF856="D",1,0)+IF(CL856="D",1,0)+IF(CM856="D",1,0)+IF(CQ856="D",1,0)+IF(CR856="D",1,0)+IF(CS856="D",1,0)+IF(CW856="D",1,0)+IF(CX856="D",1,0)+IF(DD856="D",1,0)+IF(DE856="D",1,0)+IF(DJ856="D",1,0)+IF(DK856="D",1,0)+IF(DO856="D",1,0)+IF(DP856="D",1,0)+IF(DQ856="D",1,0)+IF(DW856="D",1,0)+IF(DZ856="D",1,0)+IF(EH856="D",1,0)</f>
        <v/>
      </c>
      <c r="AY856">
        <f>IF(DJ856&lt;&gt;"",1,0)+IF(DK856&lt;&gt;"",1,0)+IF(DM856&lt;&gt;"",1,0)+IF(DO856&lt;&gt;"",1,0)+IF(DP856&lt;&gt;"",1,0)+IF(DQ856&lt;&gt;"",1,0)+IF(DS856&lt;&gt;"",1,0)+IF(DT856&lt;&gt;"",1,0)+IF(DV856&lt;&gt;"",1,0)+IF(DW856&lt;&gt;"",1,0)+IF(DX856&lt;&gt;"",1,0)+IF(DY856&lt;&gt;"",1,0)+IF(DZ856&lt;&gt;"",1,0)+IF(EB856&lt;&gt;"",1,0)+IF(EC856&lt;&gt;"",1,0)+IF(ED856&lt;&gt;"",1,0)+IF(EG856&lt;&gt;"",1,0)+IF(EH856&lt;&gt;"",1,0)</f>
        <v/>
      </c>
      <c r="AZ856">
        <f>IF(EH856&lt;&gt;"",1,0)</f>
        <v/>
      </c>
      <c r="BB856" t="inlineStr">
        <is>
          <t>WARREN-WARD 4</t>
        </is>
      </c>
    </row>
    <row r="857">
      <c r="A857" t="inlineStr">
        <is>
          <t>OH0026082479</t>
        </is>
      </c>
      <c r="B857" t="n">
        <v>78</v>
      </c>
      <c r="C857" t="n">
        <v>455566</v>
      </c>
      <c r="D857" t="inlineStr">
        <is>
          <t>CROMARTIE</t>
        </is>
      </c>
      <c r="E857" t="inlineStr">
        <is>
          <t>JEROME</t>
        </is>
      </c>
      <c r="F857">
        <f>CONCATENATE(D857," ",LEFT(H857,4),"T=",AU857,"D=",AV857,"R=",AW857,"M=",AX857,"L=",AY857,"B=",AZ857)</f>
        <v/>
      </c>
      <c r="I857" t="inlineStr">
        <is>
          <t>1966-01-30</t>
        </is>
      </c>
      <c r="J857" t="inlineStr">
        <is>
          <t>2023-08-03</t>
        </is>
      </c>
      <c r="K857" t="inlineStr">
        <is>
          <t>ACTIVE</t>
        </is>
      </c>
      <c r="M857" t="inlineStr">
        <is>
          <t>368 KENILWORTH AVE SE</t>
        </is>
      </c>
      <c r="N857">
        <f>RIGHT(M857,LEN(M857)-FIND(" ",M857))</f>
        <v/>
      </c>
      <c r="P857" t="inlineStr">
        <is>
          <t>WARREN</t>
        </is>
      </c>
      <c r="Q857" t="inlineStr">
        <is>
          <t>OH</t>
        </is>
      </c>
      <c r="R857" t="n">
        <v>44483</v>
      </c>
      <c r="AD857" t="inlineStr">
        <is>
          <t>TRUMBULL CAREER &amp; TECH CENTER</t>
        </is>
      </c>
      <c r="AE857" t="inlineStr">
        <is>
          <t>WARREN CITY</t>
        </is>
      </c>
      <c r="AF857" t="inlineStr">
        <is>
          <t>WARREN CITY SD</t>
        </is>
      </c>
      <c r="AH857" t="n">
        <v>14</v>
      </c>
      <c r="AI857" t="n">
        <v>11</v>
      </c>
      <c r="AN857" t="inlineStr">
        <is>
          <t>WARREN</t>
        </is>
      </c>
      <c r="AO857" t="inlineStr">
        <is>
          <t>WARREN CITY 4A</t>
        </is>
      </c>
      <c r="AP857" t="inlineStr">
        <is>
          <t>78-P-ADI</t>
        </is>
      </c>
      <c r="AQ857" t="n">
        <v>9</v>
      </c>
      <c r="AR857" t="n">
        <v>64</v>
      </c>
      <c r="AS857" t="n">
        <v>32</v>
      </c>
      <c r="AU857">
        <f>COUNTA($BA$857:$EH$857)</f>
        <v/>
      </c>
      <c r="AV857">
        <f>COUNTIF($BA$857:$EH$857,"D")</f>
        <v/>
      </c>
      <c r="AW857">
        <f>COUNTIF($BA$857:$EH$857,"R")</f>
        <v/>
      </c>
      <c r="AX857">
        <f>IF(BN857="D",1,0)+IF(BO857="D",1,0)+IF(BT857="D",1,0)+IF(BU857="D",1,0)+IF(BW857="D",1,0)+IF(CC857="D",1,0)+IF(CD857="D",1,0)+IF(CE857="D",1,0)+IF(CF857="D",1,0)+IF(CL857="D",1,0)+IF(CM857="D",1,0)+IF(CQ857="D",1,0)+IF(CR857="D",1,0)+IF(CS857="D",1,0)+IF(CW857="D",1,0)+IF(CX857="D",1,0)+IF(DD857="D",1,0)+IF(DE857="D",1,0)+IF(DJ857="D",1,0)+IF(DK857="D",1,0)+IF(DO857="D",1,0)+IF(DP857="D",1,0)+IF(DQ857="D",1,0)+IF(DW857="D",1,0)+IF(DZ857="D",1,0)+IF(EH857="D",1,0)</f>
        <v/>
      </c>
      <c r="AY857">
        <f>IF(DJ857&lt;&gt;"",1,0)+IF(DK857&lt;&gt;"",1,0)+IF(DM857&lt;&gt;"",1,0)+IF(DO857&lt;&gt;"",1,0)+IF(DP857&lt;&gt;"",1,0)+IF(DQ857&lt;&gt;"",1,0)+IF(DS857&lt;&gt;"",1,0)+IF(DT857&lt;&gt;"",1,0)+IF(DV857&lt;&gt;"",1,0)+IF(DW857&lt;&gt;"",1,0)+IF(DX857&lt;&gt;"",1,0)+IF(DY857&lt;&gt;"",1,0)+IF(DZ857&lt;&gt;"",1,0)+IF(EB857&lt;&gt;"",1,0)+IF(EC857&lt;&gt;"",1,0)+IF(ED857&lt;&gt;"",1,0)+IF(EG857&lt;&gt;"",1,0)+IF(EH857&lt;&gt;"",1,0)</f>
        <v/>
      </c>
      <c r="AZ857">
        <f>IF(EH857&lt;&gt;"",1,0)</f>
        <v/>
      </c>
      <c r="BB857" t="inlineStr">
        <is>
          <t>WARREN-WARD 4</t>
        </is>
      </c>
      <c r="BY857" t="inlineStr">
        <is>
          <t>D</t>
        </is>
      </c>
      <c r="CA857" t="inlineStr">
        <is>
          <t>X</t>
        </is>
      </c>
    </row>
    <row r="858">
      <c r="A858" t="inlineStr">
        <is>
          <t>OH0015685550</t>
        </is>
      </c>
      <c r="B858" t="n">
        <v>78</v>
      </c>
      <c r="C858" t="n">
        <v>268674</v>
      </c>
      <c r="D858" t="inlineStr">
        <is>
          <t>MUSOLF</t>
        </is>
      </c>
      <c r="E858" t="inlineStr">
        <is>
          <t>WADE</t>
        </is>
      </c>
      <c r="F858">
        <f>CONCATENATE(D858," ",LEFT(H858,4),"T=",AU858,"D=",AV858,"R=",AW858,"M=",AX858,"L=",AY858,"B=",AZ858)</f>
        <v/>
      </c>
      <c r="G858" t="inlineStr">
        <is>
          <t>SCOTT</t>
        </is>
      </c>
      <c r="I858" t="inlineStr">
        <is>
          <t>1977-04-22</t>
        </is>
      </c>
      <c r="J858" t="inlineStr">
        <is>
          <t>2008-10-06</t>
        </is>
      </c>
      <c r="K858" t="inlineStr">
        <is>
          <t>ACTIVE</t>
        </is>
      </c>
      <c r="L858" t="inlineStr">
        <is>
          <t>D</t>
        </is>
      </c>
      <c r="M858" t="inlineStr">
        <is>
          <t>387 LAIRD AVE SE</t>
        </is>
      </c>
      <c r="N858">
        <f>RIGHT(M858,LEN(M858)-FIND(" ",M858))</f>
        <v/>
      </c>
      <c r="P858" t="inlineStr">
        <is>
          <t>WARREN</t>
        </is>
      </c>
      <c r="Q858" t="inlineStr">
        <is>
          <t>OH</t>
        </is>
      </c>
      <c r="R858" t="n">
        <v>44483</v>
      </c>
      <c r="AD858" t="inlineStr">
        <is>
          <t>TRUMBULL CAREER &amp; TECH CENTER</t>
        </is>
      </c>
      <c r="AE858" t="inlineStr">
        <is>
          <t>WARREN CITY</t>
        </is>
      </c>
      <c r="AF858" t="inlineStr">
        <is>
          <t>WARREN CITY SD</t>
        </is>
      </c>
      <c r="AH858" t="n">
        <v>14</v>
      </c>
      <c r="AI858" t="n">
        <v>11</v>
      </c>
      <c r="AN858" t="inlineStr">
        <is>
          <t>WARREN</t>
        </is>
      </c>
      <c r="AO858" t="inlineStr">
        <is>
          <t>WARREN CITY 4A</t>
        </is>
      </c>
      <c r="AP858" t="inlineStr">
        <is>
          <t>78-P-ADI</t>
        </is>
      </c>
      <c r="AQ858" t="n">
        <v>9</v>
      </c>
      <c r="AR858" t="n">
        <v>64</v>
      </c>
      <c r="AS858" t="n">
        <v>32</v>
      </c>
      <c r="AU858">
        <f>COUNTA($BA$858:$EH$858)</f>
        <v/>
      </c>
      <c r="AV858">
        <f>COUNTIF($BA$858:$EH$858,"D")</f>
        <v/>
      </c>
      <c r="AW858">
        <f>COUNTIF($BA$858:$EH$858,"R")</f>
        <v/>
      </c>
      <c r="AX858">
        <f>IF(BN858="D",1,0)+IF(BO858="D",1,0)+IF(BT858="D",1,0)+IF(BU858="D",1,0)+IF(BW858="D",1,0)+IF(CC858="D",1,0)+IF(CD858="D",1,0)+IF(CE858="D",1,0)+IF(CF858="D",1,0)+IF(CL858="D",1,0)+IF(CM858="D",1,0)+IF(CQ858="D",1,0)+IF(CR858="D",1,0)+IF(CS858="D",1,0)+IF(CW858="D",1,0)+IF(CX858="D",1,0)+IF(DD858="D",1,0)+IF(DE858="D",1,0)+IF(DJ858="D",1,0)+IF(DK858="D",1,0)+IF(DO858="D",1,0)+IF(DP858="D",1,0)+IF(DQ858="D",1,0)+IF(DW858="D",1,0)+IF(DZ858="D",1,0)+IF(EH858="D",1,0)</f>
        <v/>
      </c>
      <c r="AY858">
        <f>IF(DJ858&lt;&gt;"",1,0)+IF(DK858&lt;&gt;"",1,0)+IF(DM858&lt;&gt;"",1,0)+IF(DO858&lt;&gt;"",1,0)+IF(DP858&lt;&gt;"",1,0)+IF(DQ858&lt;&gt;"",1,0)+IF(DS858&lt;&gt;"",1,0)+IF(DT858&lt;&gt;"",1,0)+IF(DV858&lt;&gt;"",1,0)+IF(DW858&lt;&gt;"",1,0)+IF(DX858&lt;&gt;"",1,0)+IF(DY858&lt;&gt;"",1,0)+IF(DZ858&lt;&gt;"",1,0)+IF(EB858&lt;&gt;"",1,0)+IF(EC858&lt;&gt;"",1,0)+IF(ED858&lt;&gt;"",1,0)+IF(EG858&lt;&gt;"",1,0)+IF(EH858&lt;&gt;"",1,0)</f>
        <v/>
      </c>
      <c r="AZ858">
        <f>IF(EH858&lt;&gt;"",1,0)</f>
        <v/>
      </c>
      <c r="BB858" t="inlineStr">
        <is>
          <t>WARREN-WARD 4</t>
        </is>
      </c>
      <c r="BD858" t="inlineStr">
        <is>
          <t>X</t>
        </is>
      </c>
      <c r="BY858" t="inlineStr">
        <is>
          <t>D</t>
        </is>
      </c>
      <c r="CA858" t="inlineStr">
        <is>
          <t>X</t>
        </is>
      </c>
      <c r="CK858" t="inlineStr">
        <is>
          <t>X</t>
        </is>
      </c>
      <c r="CN858" t="inlineStr">
        <is>
          <t>X</t>
        </is>
      </c>
      <c r="CY858" t="inlineStr">
        <is>
          <t>X</t>
        </is>
      </c>
      <c r="CZ858" t="inlineStr">
        <is>
          <t>D</t>
        </is>
      </c>
      <c r="DC858" t="inlineStr">
        <is>
          <t>X</t>
        </is>
      </c>
      <c r="DI858" t="inlineStr">
        <is>
          <t>X</t>
        </is>
      </c>
      <c r="DJ858" t="inlineStr">
        <is>
          <t>D</t>
        </is>
      </c>
      <c r="DL858" t="inlineStr">
        <is>
          <t>X</t>
        </is>
      </c>
      <c r="DN858" t="inlineStr">
        <is>
          <t>X</t>
        </is>
      </c>
      <c r="DU858" t="inlineStr">
        <is>
          <t>X</t>
        </is>
      </c>
      <c r="DW858" t="inlineStr">
        <is>
          <t>D</t>
        </is>
      </c>
      <c r="EA858" t="inlineStr">
        <is>
          <t>X</t>
        </is>
      </c>
      <c r="EF858" t="inlineStr">
        <is>
          <t>X</t>
        </is>
      </c>
    </row>
    <row r="859">
      <c r="A859" t="inlineStr">
        <is>
          <t>OH0024086241</t>
        </is>
      </c>
      <c r="B859" t="n">
        <v>78</v>
      </c>
      <c r="C859" t="n">
        <v>421608</v>
      </c>
      <c r="D859" t="inlineStr">
        <is>
          <t>ALLEN</t>
        </is>
      </c>
      <c r="E859" t="inlineStr">
        <is>
          <t>SHAWN</t>
        </is>
      </c>
      <c r="F859">
        <f>CONCATENATE(D859," ",LEFT(H859,4),"T=",AU859,"D=",AV859,"R=",AW859,"M=",AX859,"L=",AY859,"B=",AZ859)</f>
        <v/>
      </c>
      <c r="G859" t="inlineStr">
        <is>
          <t>P</t>
        </is>
      </c>
      <c r="I859" t="inlineStr">
        <is>
          <t>1977-11-04</t>
        </is>
      </c>
      <c r="J859" t="inlineStr">
        <is>
          <t>2021-09-29</t>
        </is>
      </c>
      <c r="K859" t="inlineStr">
        <is>
          <t>ACTIVE</t>
        </is>
      </c>
      <c r="M859" t="inlineStr">
        <is>
          <t>207 OAK KNOLL AVE SE</t>
        </is>
      </c>
      <c r="N859">
        <f>RIGHT(M859,LEN(M859)-FIND(" ",M859))</f>
        <v/>
      </c>
      <c r="P859" t="inlineStr">
        <is>
          <t>WARREN</t>
        </is>
      </c>
      <c r="Q859" t="inlineStr">
        <is>
          <t>OH</t>
        </is>
      </c>
      <c r="R859" t="n">
        <v>44483</v>
      </c>
      <c r="AD859" t="inlineStr">
        <is>
          <t>TRUMBULL CAREER &amp; TECH CENTER</t>
        </is>
      </c>
      <c r="AE859" t="inlineStr">
        <is>
          <t>WARREN CITY</t>
        </is>
      </c>
      <c r="AF859" t="inlineStr">
        <is>
          <t>WARREN CITY SD</t>
        </is>
      </c>
      <c r="AH859" t="n">
        <v>14</v>
      </c>
      <c r="AI859" t="n">
        <v>11</v>
      </c>
      <c r="AN859" t="inlineStr">
        <is>
          <t>WARREN</t>
        </is>
      </c>
      <c r="AO859" t="inlineStr">
        <is>
          <t>WARREN CITY 4A</t>
        </is>
      </c>
      <c r="AP859" t="inlineStr">
        <is>
          <t>78-P-ADI</t>
        </is>
      </c>
      <c r="AQ859" t="n">
        <v>9</v>
      </c>
      <c r="AR859" t="n">
        <v>64</v>
      </c>
      <c r="AS859" t="n">
        <v>32</v>
      </c>
      <c r="AU859">
        <f>COUNTA($BA$859:$EH$859)</f>
        <v/>
      </c>
      <c r="AV859">
        <f>COUNTIF($BA$859:$EH$859,"D")</f>
        <v/>
      </c>
      <c r="AW859">
        <f>COUNTIF($BA$859:$EH$859,"R")</f>
        <v/>
      </c>
      <c r="AX859">
        <f>IF(BN859="D",1,0)+IF(BO859="D",1,0)+IF(BT859="D",1,0)+IF(BU859="D",1,0)+IF(BW859="D",1,0)+IF(CC859="D",1,0)+IF(CD859="D",1,0)+IF(CE859="D",1,0)+IF(CF859="D",1,0)+IF(CL859="D",1,0)+IF(CM859="D",1,0)+IF(CQ859="D",1,0)+IF(CR859="D",1,0)+IF(CS859="D",1,0)+IF(CW859="D",1,0)+IF(CX859="D",1,0)+IF(DD859="D",1,0)+IF(DE859="D",1,0)+IF(DJ859="D",1,0)+IF(DK859="D",1,0)+IF(DO859="D",1,0)+IF(DP859="D",1,0)+IF(DQ859="D",1,0)+IF(DW859="D",1,0)+IF(DZ859="D",1,0)+IF(EH859="D",1,0)</f>
        <v/>
      </c>
      <c r="AY859">
        <f>IF(DJ859&lt;&gt;"",1,0)+IF(DK859&lt;&gt;"",1,0)+IF(DM859&lt;&gt;"",1,0)+IF(DO859&lt;&gt;"",1,0)+IF(DP859&lt;&gt;"",1,0)+IF(DQ859&lt;&gt;"",1,0)+IF(DS859&lt;&gt;"",1,0)+IF(DT859&lt;&gt;"",1,0)+IF(DV859&lt;&gt;"",1,0)+IF(DW859&lt;&gt;"",1,0)+IF(DX859&lt;&gt;"",1,0)+IF(DY859&lt;&gt;"",1,0)+IF(DZ859&lt;&gt;"",1,0)+IF(EB859&lt;&gt;"",1,0)+IF(EC859&lt;&gt;"",1,0)+IF(ED859&lt;&gt;"",1,0)+IF(EG859&lt;&gt;"",1,0)+IF(EH859&lt;&gt;"",1,0)</f>
        <v/>
      </c>
      <c r="AZ859">
        <f>IF(EH859&lt;&gt;"",1,0)</f>
        <v/>
      </c>
      <c r="BB859" t="inlineStr">
        <is>
          <t>WARREN-WARD 4</t>
        </is>
      </c>
    </row>
    <row r="860">
      <c r="A860" t="inlineStr">
        <is>
          <t>OH0026082637</t>
        </is>
      </c>
      <c r="B860" t="n">
        <v>78</v>
      </c>
      <c r="C860" t="n">
        <v>455725</v>
      </c>
      <c r="D860" t="inlineStr">
        <is>
          <t>LUSK</t>
        </is>
      </c>
      <c r="E860" t="inlineStr">
        <is>
          <t>ANGELA</t>
        </is>
      </c>
      <c r="F860">
        <f>CONCATENATE(D860," ",LEFT(H860,4),"T=",AU860,"D=",AV860,"R=",AW860,"M=",AX860,"L=",AY860,"B=",AZ860)</f>
        <v/>
      </c>
      <c r="G860" t="inlineStr">
        <is>
          <t>JO</t>
        </is>
      </c>
      <c r="I860" t="inlineStr">
        <is>
          <t>1983-09-05</t>
        </is>
      </c>
      <c r="J860" t="inlineStr">
        <is>
          <t>2023-10-19</t>
        </is>
      </c>
      <c r="K860" t="inlineStr">
        <is>
          <t>ACTIVE</t>
        </is>
      </c>
      <c r="M860" t="inlineStr">
        <is>
          <t>731 WOODBINE AVE SE</t>
        </is>
      </c>
      <c r="N860">
        <f>RIGHT(M860,LEN(M860)-FIND(" ",M860))</f>
        <v/>
      </c>
      <c r="P860" t="inlineStr">
        <is>
          <t>WARREN</t>
        </is>
      </c>
      <c r="Q860" t="inlineStr">
        <is>
          <t>OH</t>
        </is>
      </c>
      <c r="R860" t="n">
        <v>44484</v>
      </c>
      <c r="AD860" t="inlineStr">
        <is>
          <t>TRUMBULL CAREER &amp; TECH CENTER</t>
        </is>
      </c>
      <c r="AE860" t="inlineStr">
        <is>
          <t>WARREN CITY</t>
        </is>
      </c>
      <c r="AF860" t="inlineStr">
        <is>
          <t>WARREN CITY SD</t>
        </is>
      </c>
      <c r="AH860" t="n">
        <v>14</v>
      </c>
      <c r="AI860" t="n">
        <v>11</v>
      </c>
      <c r="AN860" t="inlineStr">
        <is>
          <t>WARREN</t>
        </is>
      </c>
      <c r="AO860" t="inlineStr">
        <is>
          <t>WARREN CITY 4A</t>
        </is>
      </c>
      <c r="AP860" t="inlineStr">
        <is>
          <t>78-P-ADI</t>
        </is>
      </c>
      <c r="AQ860" t="n">
        <v>9</v>
      </c>
      <c r="AR860" t="n">
        <v>64</v>
      </c>
      <c r="AS860" t="n">
        <v>32</v>
      </c>
      <c r="AU860">
        <f>COUNTA($BA$860:$EH$860)</f>
        <v/>
      </c>
      <c r="AV860">
        <f>COUNTIF($BA$860:$EH$860,"D")</f>
        <v/>
      </c>
      <c r="AW860">
        <f>COUNTIF($BA$860:$EH$860,"R")</f>
        <v/>
      </c>
      <c r="AX860">
        <f>IF(BN860="D",1,0)+IF(BO860="D",1,0)+IF(BT860="D",1,0)+IF(BU860="D",1,0)+IF(BW860="D",1,0)+IF(CC860="D",1,0)+IF(CD860="D",1,0)+IF(CE860="D",1,0)+IF(CF860="D",1,0)+IF(CL860="D",1,0)+IF(CM860="D",1,0)+IF(CQ860="D",1,0)+IF(CR860="D",1,0)+IF(CS860="D",1,0)+IF(CW860="D",1,0)+IF(CX860="D",1,0)+IF(DD860="D",1,0)+IF(DE860="D",1,0)+IF(DJ860="D",1,0)+IF(DK860="D",1,0)+IF(DO860="D",1,0)+IF(DP860="D",1,0)+IF(DQ860="D",1,0)+IF(DW860="D",1,0)+IF(DZ860="D",1,0)+IF(EH860="D",1,0)</f>
        <v/>
      </c>
      <c r="AY860">
        <f>IF(DJ860&lt;&gt;"",1,0)+IF(DK860&lt;&gt;"",1,0)+IF(DM860&lt;&gt;"",1,0)+IF(DO860&lt;&gt;"",1,0)+IF(DP860&lt;&gt;"",1,0)+IF(DQ860&lt;&gt;"",1,0)+IF(DS860&lt;&gt;"",1,0)+IF(DT860&lt;&gt;"",1,0)+IF(DV860&lt;&gt;"",1,0)+IF(DW860&lt;&gt;"",1,0)+IF(DX860&lt;&gt;"",1,0)+IF(DY860&lt;&gt;"",1,0)+IF(DZ860&lt;&gt;"",1,0)+IF(EB860&lt;&gt;"",1,0)+IF(EC860&lt;&gt;"",1,0)+IF(ED860&lt;&gt;"",1,0)+IF(EG860&lt;&gt;"",1,0)+IF(EH860&lt;&gt;"",1,0)</f>
        <v/>
      </c>
      <c r="AZ860">
        <f>IF(EH860&lt;&gt;"",1,0)</f>
        <v/>
      </c>
      <c r="BB860" t="inlineStr">
        <is>
          <t>WARREN-WARD 4</t>
        </is>
      </c>
    </row>
    <row r="861">
      <c r="A861" t="inlineStr">
        <is>
          <t>OH0015738360</t>
        </is>
      </c>
      <c r="B861" t="n">
        <v>78</v>
      </c>
      <c r="C861" t="n">
        <v>224241</v>
      </c>
      <c r="D861" t="inlineStr">
        <is>
          <t>ROWLEY</t>
        </is>
      </c>
      <c r="E861" t="inlineStr">
        <is>
          <t>ROGER</t>
        </is>
      </c>
      <c r="F861">
        <f>CONCATENATE(D861," ",LEFT(H861,4),"T=",AU861,"D=",AV861,"R=",AW861,"M=",AX861,"L=",AY861,"B=",AZ861)</f>
        <v/>
      </c>
      <c r="I861" t="inlineStr">
        <is>
          <t>1973-01-01</t>
        </is>
      </c>
      <c r="J861" t="inlineStr">
        <is>
          <t>2017-12-31</t>
        </is>
      </c>
      <c r="K861" t="inlineStr">
        <is>
          <t>ACTIVE</t>
        </is>
      </c>
      <c r="L861" t="inlineStr">
        <is>
          <t>R</t>
        </is>
      </c>
      <c r="M861" t="inlineStr">
        <is>
          <t>334 OAK KNOLL AVE SE</t>
        </is>
      </c>
      <c r="N861">
        <f>RIGHT(M861,LEN(M861)-FIND(" ",M861))</f>
        <v/>
      </c>
      <c r="P861" t="inlineStr">
        <is>
          <t>WARREN</t>
        </is>
      </c>
      <c r="Q861" t="inlineStr">
        <is>
          <t>OH</t>
        </is>
      </c>
      <c r="R861" t="n">
        <v>44483</v>
      </c>
      <c r="AD861" t="inlineStr">
        <is>
          <t>TRUMBULL CAREER &amp; TECH CENTER</t>
        </is>
      </c>
      <c r="AE861" t="inlineStr">
        <is>
          <t>WARREN CITY</t>
        </is>
      </c>
      <c r="AF861" t="inlineStr">
        <is>
          <t>WARREN CITY SD</t>
        </is>
      </c>
      <c r="AH861" t="n">
        <v>14</v>
      </c>
      <c r="AI861" t="n">
        <v>11</v>
      </c>
      <c r="AN861" t="inlineStr">
        <is>
          <t>WARREN</t>
        </is>
      </c>
      <c r="AO861" t="inlineStr">
        <is>
          <t>WARREN CITY 4A</t>
        </is>
      </c>
      <c r="AP861" t="inlineStr">
        <is>
          <t>78-P-ADI</t>
        </is>
      </c>
      <c r="AQ861" t="n">
        <v>9</v>
      </c>
      <c r="AR861" t="n">
        <v>64</v>
      </c>
      <c r="AS861" t="n">
        <v>32</v>
      </c>
      <c r="AU861">
        <f>COUNTA($BA$861:$EH$861)</f>
        <v/>
      </c>
      <c r="AV861">
        <f>COUNTIF($BA$861:$EH$861,"D")</f>
        <v/>
      </c>
      <c r="AW861">
        <f>COUNTIF($BA$861:$EH$861,"R")</f>
        <v/>
      </c>
      <c r="AX861">
        <f>IF(BN861="D",1,0)+IF(BO861="D",1,0)+IF(BT861="D",1,0)+IF(BU861="D",1,0)+IF(BW861="D",1,0)+IF(CC861="D",1,0)+IF(CD861="D",1,0)+IF(CE861="D",1,0)+IF(CF861="D",1,0)+IF(CL861="D",1,0)+IF(CM861="D",1,0)+IF(CQ861="D",1,0)+IF(CR861="D",1,0)+IF(CS861="D",1,0)+IF(CW861="D",1,0)+IF(CX861="D",1,0)+IF(DD861="D",1,0)+IF(DE861="D",1,0)+IF(DJ861="D",1,0)+IF(DK861="D",1,0)+IF(DO861="D",1,0)+IF(DP861="D",1,0)+IF(DQ861="D",1,0)+IF(DW861="D",1,0)+IF(DZ861="D",1,0)+IF(EH861="D",1,0)</f>
        <v/>
      </c>
      <c r="AY861">
        <f>IF(DJ861&lt;&gt;"",1,0)+IF(DK861&lt;&gt;"",1,0)+IF(DM861&lt;&gt;"",1,0)+IF(DO861&lt;&gt;"",1,0)+IF(DP861&lt;&gt;"",1,0)+IF(DQ861&lt;&gt;"",1,0)+IF(DS861&lt;&gt;"",1,0)+IF(DT861&lt;&gt;"",1,0)+IF(DV861&lt;&gt;"",1,0)+IF(DW861&lt;&gt;"",1,0)+IF(DX861&lt;&gt;"",1,0)+IF(DY861&lt;&gt;"",1,0)+IF(DZ861&lt;&gt;"",1,0)+IF(EB861&lt;&gt;"",1,0)+IF(EC861&lt;&gt;"",1,0)+IF(ED861&lt;&gt;"",1,0)+IF(EG861&lt;&gt;"",1,0)+IF(EH861&lt;&gt;"",1,0)</f>
        <v/>
      </c>
      <c r="AZ861">
        <f>IF(EH861&lt;&gt;"",1,0)</f>
        <v/>
      </c>
      <c r="BB861" t="inlineStr">
        <is>
          <t>WARREN-WARD 4</t>
        </is>
      </c>
      <c r="BC861" t="inlineStr">
        <is>
          <t>X</t>
        </is>
      </c>
      <c r="BD861" t="inlineStr">
        <is>
          <t>X</t>
        </is>
      </c>
      <c r="BK861" t="inlineStr">
        <is>
          <t>X</t>
        </is>
      </c>
      <c r="BL861" t="inlineStr">
        <is>
          <t>X</t>
        </is>
      </c>
      <c r="BP861" t="inlineStr">
        <is>
          <t>X</t>
        </is>
      </c>
      <c r="BR861" t="inlineStr">
        <is>
          <t>X</t>
        </is>
      </c>
      <c r="BS861" t="inlineStr">
        <is>
          <t>X</t>
        </is>
      </c>
      <c r="BV861" t="inlineStr">
        <is>
          <t>X</t>
        </is>
      </c>
      <c r="CA861" t="inlineStr">
        <is>
          <t>X</t>
        </is>
      </c>
      <c r="CG861" t="inlineStr">
        <is>
          <t>X</t>
        </is>
      </c>
      <c r="CK861" t="inlineStr">
        <is>
          <t>X</t>
        </is>
      </c>
      <c r="CN861" t="inlineStr">
        <is>
          <t>X</t>
        </is>
      </c>
      <c r="CO861" t="inlineStr">
        <is>
          <t>R</t>
        </is>
      </c>
      <c r="CP861" t="inlineStr">
        <is>
          <t>X</t>
        </is>
      </c>
      <c r="CV861" t="inlineStr">
        <is>
          <t>X</t>
        </is>
      </c>
      <c r="CZ861" t="inlineStr">
        <is>
          <t>R</t>
        </is>
      </c>
      <c r="DC861" t="inlineStr">
        <is>
          <t>X</t>
        </is>
      </c>
      <c r="DI861" t="inlineStr">
        <is>
          <t>X</t>
        </is>
      </c>
      <c r="DN861" t="inlineStr">
        <is>
          <t>X</t>
        </is>
      </c>
      <c r="DU861" t="inlineStr">
        <is>
          <t>X</t>
        </is>
      </c>
      <c r="DW861" t="inlineStr">
        <is>
          <t>D</t>
        </is>
      </c>
      <c r="DX861" t="inlineStr">
        <is>
          <t>X</t>
        </is>
      </c>
      <c r="EA861" t="inlineStr">
        <is>
          <t>X</t>
        </is>
      </c>
      <c r="ED861" t="inlineStr">
        <is>
          <t>R</t>
        </is>
      </c>
      <c r="EF861" t="inlineStr">
        <is>
          <t>X</t>
        </is>
      </c>
    </row>
    <row r="862">
      <c r="A862" t="inlineStr">
        <is>
          <t>OH0023484115</t>
        </is>
      </c>
      <c r="B862" t="n">
        <v>78</v>
      </c>
      <c r="C862" t="n">
        <v>413314</v>
      </c>
      <c r="D862" t="inlineStr">
        <is>
          <t>CHIN</t>
        </is>
      </c>
      <c r="E862" t="inlineStr">
        <is>
          <t>JOSHUA</t>
        </is>
      </c>
      <c r="F862">
        <f>CONCATENATE(D862," ",LEFT(H862,4),"T=",AU862,"D=",AV862,"R=",AW862,"M=",AX862,"L=",AY862,"B=",AZ862)</f>
        <v/>
      </c>
      <c r="G862" t="inlineStr">
        <is>
          <t>M</t>
        </is>
      </c>
      <c r="I862" t="inlineStr">
        <is>
          <t>1997-10-07</t>
        </is>
      </c>
      <c r="J862" t="inlineStr">
        <is>
          <t>2018-08-09</t>
        </is>
      </c>
      <c r="K862" t="inlineStr">
        <is>
          <t>ACTIVE</t>
        </is>
      </c>
      <c r="M862" t="inlineStr">
        <is>
          <t>339 KENILWORTH AVE SE</t>
        </is>
      </c>
      <c r="N862">
        <f>RIGHT(M862,LEN(M862)-FIND(" ",M862))</f>
        <v/>
      </c>
      <c r="P862" t="inlineStr">
        <is>
          <t>WARREN</t>
        </is>
      </c>
      <c r="Q862" t="inlineStr">
        <is>
          <t>OH</t>
        </is>
      </c>
      <c r="R862" t="n">
        <v>44483</v>
      </c>
      <c r="AD862" t="inlineStr">
        <is>
          <t>TRUMBULL CAREER &amp; TECH CENTER</t>
        </is>
      </c>
      <c r="AE862" t="inlineStr">
        <is>
          <t>WARREN CITY</t>
        </is>
      </c>
      <c r="AF862" t="inlineStr">
        <is>
          <t>WARREN CITY SD</t>
        </is>
      </c>
      <c r="AH862" t="n">
        <v>14</v>
      </c>
      <c r="AI862" t="n">
        <v>11</v>
      </c>
      <c r="AN862" t="inlineStr">
        <is>
          <t>WARREN</t>
        </is>
      </c>
      <c r="AO862" t="inlineStr">
        <is>
          <t>WARREN CITY 4A</t>
        </is>
      </c>
      <c r="AP862" t="inlineStr">
        <is>
          <t>78-P-ADI</t>
        </is>
      </c>
      <c r="AQ862" t="n">
        <v>9</v>
      </c>
      <c r="AR862" t="n">
        <v>64</v>
      </c>
      <c r="AS862" t="n">
        <v>32</v>
      </c>
      <c r="AU862">
        <f>COUNTA($BA$862:$EH$862)</f>
        <v/>
      </c>
      <c r="AV862">
        <f>COUNTIF($BA$862:$EH$862,"D")</f>
        <v/>
      </c>
      <c r="AW862">
        <f>COUNTIF($BA$862:$EH$862,"R")</f>
        <v/>
      </c>
      <c r="AX862">
        <f>IF(BN862="D",1,0)+IF(BO862="D",1,0)+IF(BT862="D",1,0)+IF(BU862="D",1,0)+IF(BW862="D",1,0)+IF(CC862="D",1,0)+IF(CD862="D",1,0)+IF(CE862="D",1,0)+IF(CF862="D",1,0)+IF(CL862="D",1,0)+IF(CM862="D",1,0)+IF(CQ862="D",1,0)+IF(CR862="D",1,0)+IF(CS862="D",1,0)+IF(CW862="D",1,0)+IF(CX862="D",1,0)+IF(DD862="D",1,0)+IF(DE862="D",1,0)+IF(DJ862="D",1,0)+IF(DK862="D",1,0)+IF(DO862="D",1,0)+IF(DP862="D",1,0)+IF(DQ862="D",1,0)+IF(DW862="D",1,0)+IF(DZ862="D",1,0)+IF(EH862="D",1,0)</f>
        <v/>
      </c>
      <c r="AY862">
        <f>IF(DJ862&lt;&gt;"",1,0)+IF(DK862&lt;&gt;"",1,0)+IF(DM862&lt;&gt;"",1,0)+IF(DO862&lt;&gt;"",1,0)+IF(DP862&lt;&gt;"",1,0)+IF(DQ862&lt;&gt;"",1,0)+IF(DS862&lt;&gt;"",1,0)+IF(DT862&lt;&gt;"",1,0)+IF(DV862&lt;&gt;"",1,0)+IF(DW862&lt;&gt;"",1,0)+IF(DX862&lt;&gt;"",1,0)+IF(DY862&lt;&gt;"",1,0)+IF(DZ862&lt;&gt;"",1,0)+IF(EB862&lt;&gt;"",1,0)+IF(EC862&lt;&gt;"",1,0)+IF(ED862&lt;&gt;"",1,0)+IF(EG862&lt;&gt;"",1,0)+IF(EH862&lt;&gt;"",1,0)</f>
        <v/>
      </c>
      <c r="AZ862">
        <f>IF(EH862&lt;&gt;"",1,0)</f>
        <v/>
      </c>
      <c r="BB862" t="inlineStr">
        <is>
          <t>WARREN-WARD 4</t>
        </is>
      </c>
      <c r="DI862" t="inlineStr">
        <is>
          <t>X</t>
        </is>
      </c>
      <c r="EF862" t="inlineStr">
        <is>
          <t>X</t>
        </is>
      </c>
    </row>
    <row r="863">
      <c r="A863" t="inlineStr">
        <is>
          <t>OH0015809480</t>
        </is>
      </c>
      <c r="B863" t="n">
        <v>78</v>
      </c>
      <c r="C863" t="n">
        <v>304623</v>
      </c>
      <c r="D863" t="inlineStr">
        <is>
          <t>ZURBUCHEN</t>
        </is>
      </c>
      <c r="E863" t="inlineStr">
        <is>
          <t>NAKIA</t>
        </is>
      </c>
      <c r="F863">
        <f>CONCATENATE(D863," ",LEFT(H863,4),"T=",AU863,"D=",AV863,"R=",AW863,"M=",AX863,"L=",AY863,"B=",AZ863)</f>
        <v/>
      </c>
      <c r="G863" t="inlineStr">
        <is>
          <t>M</t>
        </is>
      </c>
      <c r="I863" t="inlineStr">
        <is>
          <t>1976-09-23</t>
        </is>
      </c>
      <c r="J863" t="inlineStr">
        <is>
          <t>2001-09-21</t>
        </is>
      </c>
      <c r="K863" t="inlineStr">
        <is>
          <t>ACTIVE</t>
        </is>
      </c>
      <c r="M863" t="inlineStr">
        <is>
          <t>366 LAIRD AVE SE</t>
        </is>
      </c>
      <c r="N863">
        <f>RIGHT(M863,LEN(M863)-FIND(" ",M863))</f>
        <v/>
      </c>
      <c r="P863" t="inlineStr">
        <is>
          <t>WARREN</t>
        </is>
      </c>
      <c r="Q863" t="inlineStr">
        <is>
          <t>OH</t>
        </is>
      </c>
      <c r="R863" t="n">
        <v>44483</v>
      </c>
      <c r="AD863" t="inlineStr">
        <is>
          <t>TRUMBULL CAREER &amp; TECH CENTER</t>
        </is>
      </c>
      <c r="AE863" t="inlineStr">
        <is>
          <t>WARREN CITY</t>
        </is>
      </c>
      <c r="AF863" t="inlineStr">
        <is>
          <t>WARREN CITY SD</t>
        </is>
      </c>
      <c r="AH863" t="n">
        <v>14</v>
      </c>
      <c r="AI863" t="n">
        <v>11</v>
      </c>
      <c r="AN863" t="inlineStr">
        <is>
          <t>WARREN</t>
        </is>
      </c>
      <c r="AO863" t="inlineStr">
        <is>
          <t>WARREN CITY 4A</t>
        </is>
      </c>
      <c r="AP863" t="inlineStr">
        <is>
          <t>78-P-ADI</t>
        </is>
      </c>
      <c r="AQ863" t="n">
        <v>9</v>
      </c>
      <c r="AR863" t="n">
        <v>64</v>
      </c>
      <c r="AS863" t="n">
        <v>32</v>
      </c>
      <c r="AU863">
        <f>COUNTA($BA$863:$EH$863)</f>
        <v/>
      </c>
      <c r="AV863">
        <f>COUNTIF($BA$863:$EH$863,"D")</f>
        <v/>
      </c>
      <c r="AW863">
        <f>COUNTIF($BA$863:$EH$863,"R")</f>
        <v/>
      </c>
      <c r="AX863">
        <f>IF(BN863="D",1,0)+IF(BO863="D",1,0)+IF(BT863="D",1,0)+IF(BU863="D",1,0)+IF(BW863="D",1,0)+IF(CC863="D",1,0)+IF(CD863="D",1,0)+IF(CE863="D",1,0)+IF(CF863="D",1,0)+IF(CL863="D",1,0)+IF(CM863="D",1,0)+IF(CQ863="D",1,0)+IF(CR863="D",1,0)+IF(CS863="D",1,0)+IF(CW863="D",1,0)+IF(CX863="D",1,0)+IF(DD863="D",1,0)+IF(DE863="D",1,0)+IF(DJ863="D",1,0)+IF(DK863="D",1,0)+IF(DO863="D",1,0)+IF(DP863="D",1,0)+IF(DQ863="D",1,0)+IF(DW863="D",1,0)+IF(DZ863="D",1,0)+IF(EH863="D",1,0)</f>
        <v/>
      </c>
      <c r="AY863">
        <f>IF(DJ863&lt;&gt;"",1,0)+IF(DK863&lt;&gt;"",1,0)+IF(DM863&lt;&gt;"",1,0)+IF(DO863&lt;&gt;"",1,0)+IF(DP863&lt;&gt;"",1,0)+IF(DQ863&lt;&gt;"",1,0)+IF(DS863&lt;&gt;"",1,0)+IF(DT863&lt;&gt;"",1,0)+IF(DV863&lt;&gt;"",1,0)+IF(DW863&lt;&gt;"",1,0)+IF(DX863&lt;&gt;"",1,0)+IF(DY863&lt;&gt;"",1,0)+IF(DZ863&lt;&gt;"",1,0)+IF(EB863&lt;&gt;"",1,0)+IF(EC863&lt;&gt;"",1,0)+IF(ED863&lt;&gt;"",1,0)+IF(EG863&lt;&gt;"",1,0)+IF(EH863&lt;&gt;"",1,0)</f>
        <v/>
      </c>
      <c r="AZ863">
        <f>IF(EH863&lt;&gt;"",1,0)</f>
        <v/>
      </c>
      <c r="BB863" t="inlineStr">
        <is>
          <t>WARREN-WARD 4</t>
        </is>
      </c>
      <c r="BH863" t="inlineStr">
        <is>
          <t>X</t>
        </is>
      </c>
      <c r="BL863" t="inlineStr">
        <is>
          <t>X</t>
        </is>
      </c>
      <c r="BP863" t="inlineStr">
        <is>
          <t>X</t>
        </is>
      </c>
      <c r="BS863" t="inlineStr">
        <is>
          <t>X</t>
        </is>
      </c>
      <c r="BY863" t="inlineStr">
        <is>
          <t>D</t>
        </is>
      </c>
      <c r="CA863" t="inlineStr">
        <is>
          <t>X</t>
        </is>
      </c>
      <c r="CK863" t="inlineStr">
        <is>
          <t>X</t>
        </is>
      </c>
      <c r="CN863" t="inlineStr">
        <is>
          <t>X</t>
        </is>
      </c>
      <c r="CP863" t="inlineStr">
        <is>
          <t>X</t>
        </is>
      </c>
      <c r="CT863" t="inlineStr">
        <is>
          <t>X</t>
        </is>
      </c>
      <c r="CY863" t="inlineStr">
        <is>
          <t>X</t>
        </is>
      </c>
      <c r="CZ863" t="inlineStr">
        <is>
          <t>R</t>
        </is>
      </c>
      <c r="DC863" t="inlineStr">
        <is>
          <t>X</t>
        </is>
      </c>
      <c r="DU863" t="inlineStr">
        <is>
          <t>X</t>
        </is>
      </c>
      <c r="DX863" t="inlineStr">
        <is>
          <t>X</t>
        </is>
      </c>
      <c r="EA863" t="inlineStr">
        <is>
          <t>X</t>
        </is>
      </c>
      <c r="EF863" t="inlineStr">
        <is>
          <t>X</t>
        </is>
      </c>
    </row>
    <row r="864">
      <c r="A864" t="inlineStr">
        <is>
          <t>OH0015704348</t>
        </is>
      </c>
      <c r="B864" t="n">
        <v>78</v>
      </c>
      <c r="C864" t="n">
        <v>165776</v>
      </c>
      <c r="D864" t="inlineStr">
        <is>
          <t>SHETTERLY</t>
        </is>
      </c>
      <c r="E864" t="inlineStr">
        <is>
          <t>DONNA</t>
        </is>
      </c>
      <c r="F864">
        <f>CONCATENATE(D864," ",LEFT(H864,4),"T=",AU864,"D=",AV864,"R=",AW864,"M=",AX864,"L=",AY864,"B=",AZ864)</f>
        <v/>
      </c>
      <c r="G864" t="inlineStr">
        <is>
          <t>M</t>
        </is>
      </c>
      <c r="I864" t="inlineStr">
        <is>
          <t>1966-09-24</t>
        </is>
      </c>
      <c r="J864" t="inlineStr">
        <is>
          <t>2021-03-11</t>
        </is>
      </c>
      <c r="K864" t="inlineStr">
        <is>
          <t>ACTIVE</t>
        </is>
      </c>
      <c r="M864" t="inlineStr">
        <is>
          <t>133 LOGAN AVE SE</t>
        </is>
      </c>
      <c r="N864">
        <f>RIGHT(M864,LEN(M864)-FIND(" ",M864))</f>
        <v/>
      </c>
      <c r="P864" t="inlineStr">
        <is>
          <t>WARREN</t>
        </is>
      </c>
      <c r="Q864" t="inlineStr">
        <is>
          <t>OH</t>
        </is>
      </c>
      <c r="R864" t="n">
        <v>44483</v>
      </c>
      <c r="AD864" t="inlineStr">
        <is>
          <t>TRUMBULL CAREER &amp; TECH CENTER</t>
        </is>
      </c>
      <c r="AE864" t="inlineStr">
        <is>
          <t>WARREN CITY</t>
        </is>
      </c>
      <c r="AF864" t="inlineStr">
        <is>
          <t>WARREN CITY SD</t>
        </is>
      </c>
      <c r="AH864" t="n">
        <v>14</v>
      </c>
      <c r="AI864" t="n">
        <v>11</v>
      </c>
      <c r="AN864" t="inlineStr">
        <is>
          <t>WARREN</t>
        </is>
      </c>
      <c r="AO864" t="inlineStr">
        <is>
          <t>WARREN CITY 4A</t>
        </is>
      </c>
      <c r="AP864" t="inlineStr">
        <is>
          <t>78-P-ADI</t>
        </is>
      </c>
      <c r="AQ864" t="n">
        <v>9</v>
      </c>
      <c r="AR864" t="n">
        <v>64</v>
      </c>
      <c r="AS864" t="n">
        <v>32</v>
      </c>
      <c r="AU864">
        <f>COUNTA($BA$864:$EH$864)</f>
        <v/>
      </c>
      <c r="AV864">
        <f>COUNTIF($BA$864:$EH$864,"D")</f>
        <v/>
      </c>
      <c r="AW864">
        <f>COUNTIF($BA$864:$EH$864,"R")</f>
        <v/>
      </c>
      <c r="AX864">
        <f>IF(BN864="D",1,0)+IF(BO864="D",1,0)+IF(BT864="D",1,0)+IF(BU864="D",1,0)+IF(BW864="D",1,0)+IF(CC864="D",1,0)+IF(CD864="D",1,0)+IF(CE864="D",1,0)+IF(CF864="D",1,0)+IF(CL864="D",1,0)+IF(CM864="D",1,0)+IF(CQ864="D",1,0)+IF(CR864="D",1,0)+IF(CS864="D",1,0)+IF(CW864="D",1,0)+IF(CX864="D",1,0)+IF(DD864="D",1,0)+IF(DE864="D",1,0)+IF(DJ864="D",1,0)+IF(DK864="D",1,0)+IF(DO864="D",1,0)+IF(DP864="D",1,0)+IF(DQ864="D",1,0)+IF(DW864="D",1,0)+IF(DZ864="D",1,0)+IF(EH864="D",1,0)</f>
        <v/>
      </c>
      <c r="AY864">
        <f>IF(DJ864&lt;&gt;"",1,0)+IF(DK864&lt;&gt;"",1,0)+IF(DM864&lt;&gt;"",1,0)+IF(DO864&lt;&gt;"",1,0)+IF(DP864&lt;&gt;"",1,0)+IF(DQ864&lt;&gt;"",1,0)+IF(DS864&lt;&gt;"",1,0)+IF(DT864&lt;&gt;"",1,0)+IF(DV864&lt;&gt;"",1,0)+IF(DW864&lt;&gt;"",1,0)+IF(DX864&lt;&gt;"",1,0)+IF(DY864&lt;&gt;"",1,0)+IF(DZ864&lt;&gt;"",1,0)+IF(EB864&lt;&gt;"",1,0)+IF(EC864&lt;&gt;"",1,0)+IF(ED864&lt;&gt;"",1,0)+IF(EG864&lt;&gt;"",1,0)+IF(EH864&lt;&gt;"",1,0)</f>
        <v/>
      </c>
      <c r="AZ864">
        <f>IF(EH864&lt;&gt;"",1,0)</f>
        <v/>
      </c>
      <c r="BB864" t="inlineStr">
        <is>
          <t>WARREN-WARD 4</t>
        </is>
      </c>
      <c r="BC864" t="inlineStr">
        <is>
          <t>X</t>
        </is>
      </c>
      <c r="BD864" t="inlineStr">
        <is>
          <t>X</t>
        </is>
      </c>
      <c r="BL864" t="inlineStr">
        <is>
          <t>X</t>
        </is>
      </c>
      <c r="BS864" t="inlineStr">
        <is>
          <t>X</t>
        </is>
      </c>
      <c r="CA864" t="inlineStr">
        <is>
          <t>X</t>
        </is>
      </c>
      <c r="CG864" t="inlineStr">
        <is>
          <t>X</t>
        </is>
      </c>
      <c r="DC864" t="inlineStr">
        <is>
          <t>X</t>
        </is>
      </c>
      <c r="DN864" t="inlineStr">
        <is>
          <t>X</t>
        </is>
      </c>
    </row>
    <row r="865">
      <c r="A865" t="inlineStr">
        <is>
          <t>OH0025217235</t>
        </is>
      </c>
      <c r="B865" t="n">
        <v>78</v>
      </c>
      <c r="C865" t="n">
        <v>441571</v>
      </c>
      <c r="D865" t="inlineStr">
        <is>
          <t>WALTERS</t>
        </is>
      </c>
      <c r="E865" t="inlineStr">
        <is>
          <t>LANCE</t>
        </is>
      </c>
      <c r="F865">
        <f>CONCATENATE(D865," ",LEFT(H865,4),"T=",AU865,"D=",AV865,"R=",AW865,"M=",AX865,"L=",AY865,"B=",AZ865)</f>
        <v/>
      </c>
      <c r="G865" t="inlineStr">
        <is>
          <t>ROBERT</t>
        </is>
      </c>
      <c r="I865" t="inlineStr">
        <is>
          <t>1970-11-11</t>
        </is>
      </c>
      <c r="J865" t="inlineStr">
        <is>
          <t>2023-10-27</t>
        </is>
      </c>
      <c r="K865" t="inlineStr">
        <is>
          <t>ACTIVE</t>
        </is>
      </c>
      <c r="M865" t="inlineStr">
        <is>
          <t>206 KENILWORTH AVE SE</t>
        </is>
      </c>
      <c r="N865">
        <f>RIGHT(M865,LEN(M865)-FIND(" ",M865))</f>
        <v/>
      </c>
      <c r="P865" t="inlineStr">
        <is>
          <t>WARREN</t>
        </is>
      </c>
      <c r="Q865" t="inlineStr">
        <is>
          <t>OH</t>
        </is>
      </c>
      <c r="R865" t="n">
        <v>44483</v>
      </c>
      <c r="AD865" t="inlineStr">
        <is>
          <t>TRUMBULL CAREER &amp; TECH CENTER</t>
        </is>
      </c>
      <c r="AE865" t="inlineStr">
        <is>
          <t>WARREN CITY</t>
        </is>
      </c>
      <c r="AF865" t="inlineStr">
        <is>
          <t>WARREN CITY SD</t>
        </is>
      </c>
      <c r="AH865" t="n">
        <v>14</v>
      </c>
      <c r="AI865" t="n">
        <v>11</v>
      </c>
      <c r="AN865" t="inlineStr">
        <is>
          <t>WARREN</t>
        </is>
      </c>
      <c r="AO865" t="inlineStr">
        <is>
          <t>WARREN CITY 4A</t>
        </is>
      </c>
      <c r="AP865" t="inlineStr">
        <is>
          <t>78-P-ADI</t>
        </is>
      </c>
      <c r="AQ865" t="n">
        <v>9</v>
      </c>
      <c r="AR865" t="n">
        <v>64</v>
      </c>
      <c r="AS865" t="n">
        <v>32</v>
      </c>
      <c r="AU865">
        <f>COUNTA($BA$865:$EH$865)</f>
        <v/>
      </c>
      <c r="AV865">
        <f>COUNTIF($BA$865:$EH$865,"D")</f>
        <v/>
      </c>
      <c r="AW865">
        <f>COUNTIF($BA$865:$EH$865,"R")</f>
        <v/>
      </c>
      <c r="AX865">
        <f>IF(BN865="D",1,0)+IF(BO865="D",1,0)+IF(BT865="D",1,0)+IF(BU865="D",1,0)+IF(BW865="D",1,0)+IF(CC865="D",1,0)+IF(CD865="D",1,0)+IF(CE865="D",1,0)+IF(CF865="D",1,0)+IF(CL865="D",1,0)+IF(CM865="D",1,0)+IF(CQ865="D",1,0)+IF(CR865="D",1,0)+IF(CS865="D",1,0)+IF(CW865="D",1,0)+IF(CX865="D",1,0)+IF(DD865="D",1,0)+IF(DE865="D",1,0)+IF(DJ865="D",1,0)+IF(DK865="D",1,0)+IF(DO865="D",1,0)+IF(DP865="D",1,0)+IF(DQ865="D",1,0)+IF(DW865="D",1,0)+IF(DZ865="D",1,0)+IF(EH865="D",1,0)</f>
        <v/>
      </c>
      <c r="AY865">
        <f>IF(DJ865&lt;&gt;"",1,0)+IF(DK865&lt;&gt;"",1,0)+IF(DM865&lt;&gt;"",1,0)+IF(DO865&lt;&gt;"",1,0)+IF(DP865&lt;&gt;"",1,0)+IF(DQ865&lt;&gt;"",1,0)+IF(DS865&lt;&gt;"",1,0)+IF(DT865&lt;&gt;"",1,0)+IF(DV865&lt;&gt;"",1,0)+IF(DW865&lt;&gt;"",1,0)+IF(DX865&lt;&gt;"",1,0)+IF(DY865&lt;&gt;"",1,0)+IF(DZ865&lt;&gt;"",1,0)+IF(EB865&lt;&gt;"",1,0)+IF(EC865&lt;&gt;"",1,0)+IF(ED865&lt;&gt;"",1,0)+IF(EG865&lt;&gt;"",1,0)+IF(EH865&lt;&gt;"",1,0)</f>
        <v/>
      </c>
      <c r="AZ865">
        <f>IF(EH865&lt;&gt;"",1,0)</f>
        <v/>
      </c>
      <c r="BB865" t="inlineStr">
        <is>
          <t>WARREN-WARD 4</t>
        </is>
      </c>
      <c r="DN865" t="inlineStr">
        <is>
          <t>X</t>
        </is>
      </c>
      <c r="EF865" t="inlineStr">
        <is>
          <t>X</t>
        </is>
      </c>
    </row>
    <row r="866">
      <c r="A866" t="inlineStr">
        <is>
          <t>OH0015728541</t>
        </is>
      </c>
      <c r="B866" t="n">
        <v>78</v>
      </c>
      <c r="C866" t="n">
        <v>214909</v>
      </c>
      <c r="D866" t="inlineStr">
        <is>
          <t>PATTERSON</t>
        </is>
      </c>
      <c r="E866" t="inlineStr">
        <is>
          <t>DANIEL</t>
        </is>
      </c>
      <c r="F866">
        <f>CONCATENATE(D866," ",LEFT(H866,4),"T=",AU866,"D=",AV866,"R=",AW866,"M=",AX866,"L=",AY866,"B=",AZ866)</f>
        <v/>
      </c>
      <c r="G866" t="inlineStr">
        <is>
          <t>MYLES</t>
        </is>
      </c>
      <c r="I866" t="inlineStr">
        <is>
          <t>1971-07-19</t>
        </is>
      </c>
      <c r="J866" t="inlineStr">
        <is>
          <t>2008-05-13</t>
        </is>
      </c>
      <c r="K866" t="inlineStr">
        <is>
          <t>ACTIVE</t>
        </is>
      </c>
      <c r="L866" t="inlineStr">
        <is>
          <t>D</t>
        </is>
      </c>
      <c r="M866" t="inlineStr">
        <is>
          <t>336 LAIRD AVE SE</t>
        </is>
      </c>
      <c r="N866">
        <f>RIGHT(M866,LEN(M866)-FIND(" ",M866))</f>
        <v/>
      </c>
      <c r="P866" t="inlineStr">
        <is>
          <t>WARREN</t>
        </is>
      </c>
      <c r="Q866" t="inlineStr">
        <is>
          <t>OH</t>
        </is>
      </c>
      <c r="R866" t="n">
        <v>44483</v>
      </c>
      <c r="AD866" t="inlineStr">
        <is>
          <t>TRUMBULL CAREER &amp; TECH CENTER</t>
        </is>
      </c>
      <c r="AE866" t="inlineStr">
        <is>
          <t>WARREN CITY</t>
        </is>
      </c>
      <c r="AF866" t="inlineStr">
        <is>
          <t>WARREN CITY SD</t>
        </is>
      </c>
      <c r="AH866" t="n">
        <v>14</v>
      </c>
      <c r="AI866" t="n">
        <v>11</v>
      </c>
      <c r="AN866" t="inlineStr">
        <is>
          <t>WARREN</t>
        </is>
      </c>
      <c r="AO866" t="inlineStr">
        <is>
          <t>WARREN CITY 4A</t>
        </is>
      </c>
      <c r="AP866" t="inlineStr">
        <is>
          <t>78-P-ADI</t>
        </is>
      </c>
      <c r="AQ866" t="n">
        <v>9</v>
      </c>
      <c r="AR866" t="n">
        <v>64</v>
      </c>
      <c r="AS866" t="n">
        <v>32</v>
      </c>
      <c r="AU866">
        <f>COUNTA($BA$866:$EH$866)</f>
        <v/>
      </c>
      <c r="AV866">
        <f>COUNTIF($BA$866:$EH$866,"D")</f>
        <v/>
      </c>
      <c r="AW866">
        <f>COUNTIF($BA$866:$EH$866,"R")</f>
        <v/>
      </c>
      <c r="AX866">
        <f>IF(BN866="D",1,0)+IF(BO866="D",1,0)+IF(BT866="D",1,0)+IF(BU866="D",1,0)+IF(BW866="D",1,0)+IF(CC866="D",1,0)+IF(CD866="D",1,0)+IF(CE866="D",1,0)+IF(CF866="D",1,0)+IF(CL866="D",1,0)+IF(CM866="D",1,0)+IF(CQ866="D",1,0)+IF(CR866="D",1,0)+IF(CS866="D",1,0)+IF(CW866="D",1,0)+IF(CX866="D",1,0)+IF(DD866="D",1,0)+IF(DE866="D",1,0)+IF(DJ866="D",1,0)+IF(DK866="D",1,0)+IF(DO866="D",1,0)+IF(DP866="D",1,0)+IF(DQ866="D",1,0)+IF(DW866="D",1,0)+IF(DZ866="D",1,0)+IF(EH866="D",1,0)</f>
        <v/>
      </c>
      <c r="AY866">
        <f>IF(DJ866&lt;&gt;"",1,0)+IF(DK866&lt;&gt;"",1,0)+IF(DM866&lt;&gt;"",1,0)+IF(DO866&lt;&gt;"",1,0)+IF(DP866&lt;&gt;"",1,0)+IF(DQ866&lt;&gt;"",1,0)+IF(DS866&lt;&gt;"",1,0)+IF(DT866&lt;&gt;"",1,0)+IF(DV866&lt;&gt;"",1,0)+IF(DW866&lt;&gt;"",1,0)+IF(DX866&lt;&gt;"",1,0)+IF(DY866&lt;&gt;"",1,0)+IF(DZ866&lt;&gt;"",1,0)+IF(EB866&lt;&gt;"",1,0)+IF(EC866&lt;&gt;"",1,0)+IF(ED866&lt;&gt;"",1,0)+IF(EG866&lt;&gt;"",1,0)+IF(EH866&lt;&gt;"",1,0)</f>
        <v/>
      </c>
      <c r="AZ866">
        <f>IF(EH866&lt;&gt;"",1,0)</f>
        <v/>
      </c>
      <c r="BB866" t="inlineStr">
        <is>
          <t>WARREN-WARD 4</t>
        </is>
      </c>
      <c r="BD866" t="inlineStr">
        <is>
          <t>X</t>
        </is>
      </c>
      <c r="BL866" t="inlineStr">
        <is>
          <t>X</t>
        </is>
      </c>
      <c r="CA866" t="inlineStr">
        <is>
          <t>X</t>
        </is>
      </c>
      <c r="CK866" t="inlineStr">
        <is>
          <t>X</t>
        </is>
      </c>
      <c r="CP866" t="inlineStr">
        <is>
          <t>X</t>
        </is>
      </c>
      <c r="DC866" t="inlineStr">
        <is>
          <t>X</t>
        </is>
      </c>
      <c r="DM866" t="inlineStr">
        <is>
          <t>D</t>
        </is>
      </c>
      <c r="DN866" t="inlineStr">
        <is>
          <t>X</t>
        </is>
      </c>
      <c r="DU866" t="inlineStr">
        <is>
          <t>X</t>
        </is>
      </c>
      <c r="DW866" t="inlineStr">
        <is>
          <t>D</t>
        </is>
      </c>
      <c r="DX866" t="inlineStr">
        <is>
          <t>X</t>
        </is>
      </c>
      <c r="EA866" t="inlineStr">
        <is>
          <t>X</t>
        </is>
      </c>
      <c r="EF866" t="inlineStr">
        <is>
          <t>X</t>
        </is>
      </c>
    </row>
    <row r="867">
      <c r="A867" t="inlineStr">
        <is>
          <t>OH0020884493</t>
        </is>
      </c>
      <c r="B867" t="n">
        <v>78</v>
      </c>
      <c r="C867" t="n">
        <v>371226</v>
      </c>
      <c r="D867" t="inlineStr">
        <is>
          <t>HADZIGEORGE</t>
        </is>
      </c>
      <c r="E867" t="inlineStr">
        <is>
          <t>TINA</t>
        </is>
      </c>
      <c r="F867">
        <f>CONCATENATE(D867," ",LEFT(H867,4),"T=",AU867,"D=",AV867,"R=",AW867,"M=",AX867,"L=",AY867,"B=",AZ867)</f>
        <v/>
      </c>
      <c r="G867" t="inlineStr">
        <is>
          <t>M</t>
        </is>
      </c>
      <c r="I867" t="inlineStr">
        <is>
          <t>1966-04-17</t>
        </is>
      </c>
      <c r="J867" t="inlineStr">
        <is>
          <t>2022-04-14</t>
        </is>
      </c>
      <c r="K867" t="inlineStr">
        <is>
          <t>ACTIVE</t>
        </is>
      </c>
      <c r="M867" t="inlineStr">
        <is>
          <t>916 ADELAIDE AVE SE</t>
        </is>
      </c>
      <c r="N867">
        <f>RIGHT(M867,LEN(M867)-FIND(" ",M867))</f>
        <v/>
      </c>
      <c r="P867" t="inlineStr">
        <is>
          <t>WARREN</t>
        </is>
      </c>
      <c r="Q867" t="inlineStr">
        <is>
          <t>OH</t>
        </is>
      </c>
      <c r="R867" t="n">
        <v>44484</v>
      </c>
      <c r="AD867" t="inlineStr">
        <is>
          <t>TRUMBULL CAREER &amp; TECH CENTER</t>
        </is>
      </c>
      <c r="AE867" t="inlineStr">
        <is>
          <t>WARREN CITY</t>
        </is>
      </c>
      <c r="AF867" t="inlineStr">
        <is>
          <t>WARREN CITY SD</t>
        </is>
      </c>
      <c r="AH867" t="n">
        <v>14</v>
      </c>
      <c r="AI867" t="n">
        <v>11</v>
      </c>
      <c r="AN867" t="inlineStr">
        <is>
          <t>WARREN</t>
        </is>
      </c>
      <c r="AO867" t="inlineStr">
        <is>
          <t>WARREN CITY 4A</t>
        </is>
      </c>
      <c r="AP867" t="inlineStr">
        <is>
          <t>78-P-ADI</t>
        </is>
      </c>
      <c r="AQ867" t="n">
        <v>9</v>
      </c>
      <c r="AR867" t="n">
        <v>64</v>
      </c>
      <c r="AS867" t="n">
        <v>32</v>
      </c>
      <c r="AU867">
        <f>COUNTA($BA$867:$EH$867)</f>
        <v/>
      </c>
      <c r="AV867">
        <f>COUNTIF($BA$867:$EH$867,"D")</f>
        <v/>
      </c>
      <c r="AW867">
        <f>COUNTIF($BA$867:$EH$867,"R")</f>
        <v/>
      </c>
      <c r="AX867">
        <f>IF(BN867="D",1,0)+IF(BO867="D",1,0)+IF(BT867="D",1,0)+IF(BU867="D",1,0)+IF(BW867="D",1,0)+IF(CC867="D",1,0)+IF(CD867="D",1,0)+IF(CE867="D",1,0)+IF(CF867="D",1,0)+IF(CL867="D",1,0)+IF(CM867="D",1,0)+IF(CQ867="D",1,0)+IF(CR867="D",1,0)+IF(CS867="D",1,0)+IF(CW867="D",1,0)+IF(CX867="D",1,0)+IF(DD867="D",1,0)+IF(DE867="D",1,0)+IF(DJ867="D",1,0)+IF(DK867="D",1,0)+IF(DO867="D",1,0)+IF(DP867="D",1,0)+IF(DQ867="D",1,0)+IF(DW867="D",1,0)+IF(DZ867="D",1,0)+IF(EH867="D",1,0)</f>
        <v/>
      </c>
      <c r="AY867">
        <f>IF(DJ867&lt;&gt;"",1,0)+IF(DK867&lt;&gt;"",1,0)+IF(DM867&lt;&gt;"",1,0)+IF(DO867&lt;&gt;"",1,0)+IF(DP867&lt;&gt;"",1,0)+IF(DQ867&lt;&gt;"",1,0)+IF(DS867&lt;&gt;"",1,0)+IF(DT867&lt;&gt;"",1,0)+IF(DV867&lt;&gt;"",1,0)+IF(DW867&lt;&gt;"",1,0)+IF(DX867&lt;&gt;"",1,0)+IF(DY867&lt;&gt;"",1,0)+IF(DZ867&lt;&gt;"",1,0)+IF(EB867&lt;&gt;"",1,0)+IF(EC867&lt;&gt;"",1,0)+IF(ED867&lt;&gt;"",1,0)+IF(EG867&lt;&gt;"",1,0)+IF(EH867&lt;&gt;"",1,0)</f>
        <v/>
      </c>
      <c r="AZ867">
        <f>IF(EH867&lt;&gt;"",1,0)</f>
        <v/>
      </c>
      <c r="BB867" t="inlineStr">
        <is>
          <t>WARREN-WARD 4</t>
        </is>
      </c>
      <c r="CL867" t="inlineStr">
        <is>
          <t>D</t>
        </is>
      </c>
      <c r="CP867" t="inlineStr">
        <is>
          <t>X</t>
        </is>
      </c>
      <c r="DC867" t="inlineStr">
        <is>
          <t>X</t>
        </is>
      </c>
      <c r="DN867" t="inlineStr">
        <is>
          <t>X</t>
        </is>
      </c>
      <c r="EF867" t="inlineStr">
        <is>
          <t>X</t>
        </is>
      </c>
    </row>
    <row r="868">
      <c r="A868" t="inlineStr">
        <is>
          <t>OH0022179134</t>
        </is>
      </c>
      <c r="B868" t="n">
        <v>78</v>
      </c>
      <c r="C868" t="n">
        <v>391972</v>
      </c>
      <c r="D868" t="inlineStr">
        <is>
          <t>MONROE</t>
        </is>
      </c>
      <c r="E868" t="inlineStr">
        <is>
          <t>JOHN</t>
        </is>
      </c>
      <c r="F868">
        <f>CONCATENATE(D868," ",LEFT(H868,4),"T=",AU868,"D=",AV868,"R=",AW868,"M=",AX868,"L=",AY868,"B=",AZ868)</f>
        <v/>
      </c>
      <c r="G868" t="inlineStr">
        <is>
          <t>P</t>
        </is>
      </c>
      <c r="I868" t="inlineStr">
        <is>
          <t>1980-02-24</t>
        </is>
      </c>
      <c r="J868" t="inlineStr">
        <is>
          <t>2019-03-02</t>
        </is>
      </c>
      <c r="K868" t="inlineStr">
        <is>
          <t>ACTIVE</t>
        </is>
      </c>
      <c r="M868" t="inlineStr">
        <is>
          <t>539 KENILWORTH AVE SE</t>
        </is>
      </c>
      <c r="N868">
        <f>RIGHT(M868,LEN(M868)-FIND(" ",M868))</f>
        <v/>
      </c>
      <c r="P868" t="inlineStr">
        <is>
          <t>WARREN</t>
        </is>
      </c>
      <c r="Q868" t="inlineStr">
        <is>
          <t>OH</t>
        </is>
      </c>
      <c r="R868" t="n">
        <v>44483</v>
      </c>
      <c r="AD868" t="inlineStr">
        <is>
          <t>TRUMBULL CAREER &amp; TECH CENTER</t>
        </is>
      </c>
      <c r="AE868" t="inlineStr">
        <is>
          <t>WARREN CITY</t>
        </is>
      </c>
      <c r="AF868" t="inlineStr">
        <is>
          <t>WARREN CITY SD</t>
        </is>
      </c>
      <c r="AH868" t="n">
        <v>14</v>
      </c>
      <c r="AI868" t="n">
        <v>11</v>
      </c>
      <c r="AN868" t="inlineStr">
        <is>
          <t>WARREN</t>
        </is>
      </c>
      <c r="AO868" t="inlineStr">
        <is>
          <t>WARREN CITY 4A</t>
        </is>
      </c>
      <c r="AP868" t="inlineStr">
        <is>
          <t>78-P-ADI</t>
        </is>
      </c>
      <c r="AQ868" t="n">
        <v>9</v>
      </c>
      <c r="AR868" t="n">
        <v>64</v>
      </c>
      <c r="AS868" t="n">
        <v>32</v>
      </c>
      <c r="AU868">
        <f>COUNTA($BA$868:$EH$868)</f>
        <v/>
      </c>
      <c r="AV868">
        <f>COUNTIF($BA$868:$EH$868,"D")</f>
        <v/>
      </c>
      <c r="AW868">
        <f>COUNTIF($BA$868:$EH$868,"R")</f>
        <v/>
      </c>
      <c r="AX868">
        <f>IF(BN868="D",1,0)+IF(BO868="D",1,0)+IF(BT868="D",1,0)+IF(BU868="D",1,0)+IF(BW868="D",1,0)+IF(CC868="D",1,0)+IF(CD868="D",1,0)+IF(CE868="D",1,0)+IF(CF868="D",1,0)+IF(CL868="D",1,0)+IF(CM868="D",1,0)+IF(CQ868="D",1,0)+IF(CR868="D",1,0)+IF(CS868="D",1,0)+IF(CW868="D",1,0)+IF(CX868="D",1,0)+IF(DD868="D",1,0)+IF(DE868="D",1,0)+IF(DJ868="D",1,0)+IF(DK868="D",1,0)+IF(DO868="D",1,0)+IF(DP868="D",1,0)+IF(DQ868="D",1,0)+IF(DW868="D",1,0)+IF(DZ868="D",1,0)+IF(EH868="D",1,0)</f>
        <v/>
      </c>
      <c r="AY868">
        <f>IF(DJ868&lt;&gt;"",1,0)+IF(DK868&lt;&gt;"",1,0)+IF(DM868&lt;&gt;"",1,0)+IF(DO868&lt;&gt;"",1,0)+IF(DP868&lt;&gt;"",1,0)+IF(DQ868&lt;&gt;"",1,0)+IF(DS868&lt;&gt;"",1,0)+IF(DT868&lt;&gt;"",1,0)+IF(DV868&lt;&gt;"",1,0)+IF(DW868&lt;&gt;"",1,0)+IF(DX868&lt;&gt;"",1,0)+IF(DY868&lt;&gt;"",1,0)+IF(DZ868&lt;&gt;"",1,0)+IF(EB868&lt;&gt;"",1,0)+IF(EC868&lt;&gt;"",1,0)+IF(ED868&lt;&gt;"",1,0)+IF(EG868&lt;&gt;"",1,0)+IF(EH868&lt;&gt;"",1,0)</f>
        <v/>
      </c>
      <c r="AZ868">
        <f>IF(EH868&lt;&gt;"",1,0)</f>
        <v/>
      </c>
      <c r="BB868" t="inlineStr">
        <is>
          <t>WARREN-WARD 4</t>
        </is>
      </c>
      <c r="DN868" t="inlineStr">
        <is>
          <t>X</t>
        </is>
      </c>
      <c r="EF868" t="inlineStr">
        <is>
          <t>X</t>
        </is>
      </c>
    </row>
    <row r="869">
      <c r="A869" t="inlineStr">
        <is>
          <t>OH0022687958</t>
        </is>
      </c>
      <c r="B869" t="n">
        <v>78</v>
      </c>
      <c r="C869" t="n">
        <v>400472</v>
      </c>
      <c r="D869" t="inlineStr">
        <is>
          <t>LAWYER</t>
        </is>
      </c>
      <c r="E869" t="inlineStr">
        <is>
          <t>TIFFANY</t>
        </is>
      </c>
      <c r="F869">
        <f>CONCATENATE(D869," ",LEFT(H869,4),"T=",AU869,"D=",AV869,"R=",AW869,"M=",AX869,"L=",AY869,"B=",AZ869)</f>
        <v/>
      </c>
      <c r="G869" t="inlineStr">
        <is>
          <t>MARIE</t>
        </is>
      </c>
      <c r="I869" t="inlineStr">
        <is>
          <t>1987-05-29</t>
        </is>
      </c>
      <c r="J869" t="inlineStr">
        <is>
          <t>2014-02-15</t>
        </is>
      </c>
      <c r="K869" t="inlineStr">
        <is>
          <t>ACTIVE</t>
        </is>
      </c>
      <c r="M869" t="inlineStr">
        <is>
          <t>176 ADELAIDE AVE SE</t>
        </is>
      </c>
      <c r="N869">
        <f>RIGHT(M869,LEN(M869)-FIND(" ",M869))</f>
        <v/>
      </c>
      <c r="P869" t="inlineStr">
        <is>
          <t>WARREN</t>
        </is>
      </c>
      <c r="Q869" t="inlineStr">
        <is>
          <t>OH</t>
        </is>
      </c>
      <c r="R869" t="n">
        <v>44483</v>
      </c>
      <c r="AD869" t="inlineStr">
        <is>
          <t>TRUMBULL CAREER &amp; TECH CENTER</t>
        </is>
      </c>
      <c r="AE869" t="inlineStr">
        <is>
          <t>WARREN CITY</t>
        </is>
      </c>
      <c r="AF869" t="inlineStr">
        <is>
          <t>WARREN CITY SD</t>
        </is>
      </c>
      <c r="AH869" t="n">
        <v>14</v>
      </c>
      <c r="AI869" t="n">
        <v>11</v>
      </c>
      <c r="AN869" t="inlineStr">
        <is>
          <t>WARREN</t>
        </is>
      </c>
      <c r="AO869" t="inlineStr">
        <is>
          <t>WARREN CITY 4A</t>
        </is>
      </c>
      <c r="AP869" t="inlineStr">
        <is>
          <t>78-P-ADI</t>
        </is>
      </c>
      <c r="AQ869" t="n">
        <v>9</v>
      </c>
      <c r="AR869" t="n">
        <v>64</v>
      </c>
      <c r="AS869" t="n">
        <v>32</v>
      </c>
      <c r="AU869">
        <f>COUNTA($BA$869:$EH$869)</f>
        <v/>
      </c>
      <c r="AV869">
        <f>COUNTIF($BA$869:$EH$869,"D")</f>
        <v/>
      </c>
      <c r="AW869">
        <f>COUNTIF($BA$869:$EH$869,"R")</f>
        <v/>
      </c>
      <c r="AX869">
        <f>IF(BN869="D",1,0)+IF(BO869="D",1,0)+IF(BT869="D",1,0)+IF(BU869="D",1,0)+IF(BW869="D",1,0)+IF(CC869="D",1,0)+IF(CD869="D",1,0)+IF(CE869="D",1,0)+IF(CF869="D",1,0)+IF(CL869="D",1,0)+IF(CM869="D",1,0)+IF(CQ869="D",1,0)+IF(CR869="D",1,0)+IF(CS869="D",1,0)+IF(CW869="D",1,0)+IF(CX869="D",1,0)+IF(DD869="D",1,0)+IF(DE869="D",1,0)+IF(DJ869="D",1,0)+IF(DK869="D",1,0)+IF(DO869="D",1,0)+IF(DP869="D",1,0)+IF(DQ869="D",1,0)+IF(DW869="D",1,0)+IF(DZ869="D",1,0)+IF(EH869="D",1,0)</f>
        <v/>
      </c>
      <c r="AY869">
        <f>IF(DJ869&lt;&gt;"",1,0)+IF(DK869&lt;&gt;"",1,0)+IF(DM869&lt;&gt;"",1,0)+IF(DO869&lt;&gt;"",1,0)+IF(DP869&lt;&gt;"",1,0)+IF(DQ869&lt;&gt;"",1,0)+IF(DS869&lt;&gt;"",1,0)+IF(DT869&lt;&gt;"",1,0)+IF(DV869&lt;&gt;"",1,0)+IF(DW869&lt;&gt;"",1,0)+IF(DX869&lt;&gt;"",1,0)+IF(DY869&lt;&gt;"",1,0)+IF(DZ869&lt;&gt;"",1,0)+IF(EB869&lt;&gt;"",1,0)+IF(EC869&lt;&gt;"",1,0)+IF(ED869&lt;&gt;"",1,0)+IF(EG869&lt;&gt;"",1,0)+IF(EH869&lt;&gt;"",1,0)</f>
        <v/>
      </c>
      <c r="AZ869">
        <f>IF(EH869&lt;&gt;"",1,0)</f>
        <v/>
      </c>
      <c r="BB869" t="inlineStr">
        <is>
          <t>WARREN-WARD 4</t>
        </is>
      </c>
      <c r="CW869" t="inlineStr">
        <is>
          <t>D</t>
        </is>
      </c>
      <c r="CY869" t="inlineStr">
        <is>
          <t>X</t>
        </is>
      </c>
      <c r="DC869" t="inlineStr">
        <is>
          <t>X</t>
        </is>
      </c>
    </row>
    <row r="870">
      <c r="A870" t="inlineStr">
        <is>
          <t>OH0025587687</t>
        </is>
      </c>
      <c r="B870" t="n">
        <v>78</v>
      </c>
      <c r="C870" t="n">
        <v>446867</v>
      </c>
      <c r="D870" t="inlineStr">
        <is>
          <t>DIGGS</t>
        </is>
      </c>
      <c r="E870" t="inlineStr">
        <is>
          <t>MAKAYLA</t>
        </is>
      </c>
      <c r="F870">
        <f>CONCATENATE(D870," ",LEFT(H870,4),"T=",AU870,"D=",AV870,"R=",AW870,"M=",AX870,"L=",AY870,"B=",AZ870)</f>
        <v/>
      </c>
      <c r="G870" t="inlineStr">
        <is>
          <t>NICOLE</t>
        </is>
      </c>
      <c r="I870" t="inlineStr">
        <is>
          <t>2001-12-22</t>
        </is>
      </c>
      <c r="J870" t="inlineStr">
        <is>
          <t>2023-11-07</t>
        </is>
      </c>
      <c r="K870" t="inlineStr">
        <is>
          <t>ACTIVE</t>
        </is>
      </c>
      <c r="M870" t="inlineStr">
        <is>
          <t>374 OAK KNOLL AVE SE</t>
        </is>
      </c>
      <c r="N870">
        <f>RIGHT(M870,LEN(M870)-FIND(" ",M870))</f>
        <v/>
      </c>
      <c r="P870" t="inlineStr">
        <is>
          <t>WARREN</t>
        </is>
      </c>
      <c r="Q870" t="inlineStr">
        <is>
          <t>OH</t>
        </is>
      </c>
      <c r="R870" t="n">
        <v>44483</v>
      </c>
      <c r="AD870" t="inlineStr">
        <is>
          <t>TRUMBULL CAREER &amp; TECH CENTER</t>
        </is>
      </c>
      <c r="AE870" t="inlineStr">
        <is>
          <t>WARREN CITY</t>
        </is>
      </c>
      <c r="AF870" t="inlineStr">
        <is>
          <t>WARREN CITY SD</t>
        </is>
      </c>
      <c r="AH870" t="n">
        <v>14</v>
      </c>
      <c r="AI870" t="n">
        <v>11</v>
      </c>
      <c r="AN870" t="inlineStr">
        <is>
          <t>WARREN</t>
        </is>
      </c>
      <c r="AO870" t="inlineStr">
        <is>
          <t>WARREN CITY 4A</t>
        </is>
      </c>
      <c r="AP870" t="inlineStr">
        <is>
          <t>78-P-ADI</t>
        </is>
      </c>
      <c r="AQ870" t="n">
        <v>9</v>
      </c>
      <c r="AR870" t="n">
        <v>64</v>
      </c>
      <c r="AS870" t="n">
        <v>32</v>
      </c>
      <c r="AU870">
        <f>COUNTA($BA$870:$EH$870)</f>
        <v/>
      </c>
      <c r="AV870">
        <f>COUNTIF($BA$870:$EH$870,"D")</f>
        <v/>
      </c>
      <c r="AW870">
        <f>COUNTIF($BA$870:$EH$870,"R")</f>
        <v/>
      </c>
      <c r="AX870">
        <f>IF(BN870="D",1,0)+IF(BO870="D",1,0)+IF(BT870="D",1,0)+IF(BU870="D",1,0)+IF(BW870="D",1,0)+IF(CC870="D",1,0)+IF(CD870="D",1,0)+IF(CE870="D",1,0)+IF(CF870="D",1,0)+IF(CL870="D",1,0)+IF(CM870="D",1,0)+IF(CQ870="D",1,0)+IF(CR870="D",1,0)+IF(CS870="D",1,0)+IF(CW870="D",1,0)+IF(CX870="D",1,0)+IF(DD870="D",1,0)+IF(DE870="D",1,0)+IF(DJ870="D",1,0)+IF(DK870="D",1,0)+IF(DO870="D",1,0)+IF(DP870="D",1,0)+IF(DQ870="D",1,0)+IF(DW870="D",1,0)+IF(DZ870="D",1,0)+IF(EH870="D",1,0)</f>
        <v/>
      </c>
      <c r="AY870">
        <f>IF(DJ870&lt;&gt;"",1,0)+IF(DK870&lt;&gt;"",1,0)+IF(DM870&lt;&gt;"",1,0)+IF(DO870&lt;&gt;"",1,0)+IF(DP870&lt;&gt;"",1,0)+IF(DQ870&lt;&gt;"",1,0)+IF(DS870&lt;&gt;"",1,0)+IF(DT870&lt;&gt;"",1,0)+IF(DV870&lt;&gt;"",1,0)+IF(DW870&lt;&gt;"",1,0)+IF(DX870&lt;&gt;"",1,0)+IF(DY870&lt;&gt;"",1,0)+IF(DZ870&lt;&gt;"",1,0)+IF(EB870&lt;&gt;"",1,0)+IF(EC870&lt;&gt;"",1,0)+IF(ED870&lt;&gt;"",1,0)+IF(EG870&lt;&gt;"",1,0)+IF(EH870&lt;&gt;"",1,0)</f>
        <v/>
      </c>
      <c r="AZ870">
        <f>IF(EH870&lt;&gt;"",1,0)</f>
        <v/>
      </c>
      <c r="BB870" t="inlineStr">
        <is>
          <t>WARREN-WARD 4</t>
        </is>
      </c>
      <c r="EF870" t="inlineStr">
        <is>
          <t>X</t>
        </is>
      </c>
    </row>
    <row r="871">
      <c r="A871" t="inlineStr">
        <is>
          <t>OH0023018360</t>
        </is>
      </c>
      <c r="B871" t="n">
        <v>78</v>
      </c>
      <c r="C871" t="n">
        <v>405344</v>
      </c>
      <c r="D871" t="inlineStr">
        <is>
          <t>EDWARDS</t>
        </is>
      </c>
      <c r="E871" t="inlineStr">
        <is>
          <t>ROBERT</t>
        </is>
      </c>
      <c r="F871">
        <f>CONCATENATE(D871," ",LEFT(H871,4),"T=",AU871,"D=",AV871,"R=",AW871,"M=",AX871,"L=",AY871,"B=",AZ871)</f>
        <v/>
      </c>
      <c r="G871" t="inlineStr">
        <is>
          <t>DALE</t>
        </is>
      </c>
      <c r="H871" t="inlineStr">
        <is>
          <t>III</t>
        </is>
      </c>
      <c r="I871" t="inlineStr">
        <is>
          <t>1996-11-05</t>
        </is>
      </c>
      <c r="J871" t="inlineStr">
        <is>
          <t>2014-12-11</t>
        </is>
      </c>
      <c r="K871" t="inlineStr">
        <is>
          <t>CONFIRMATION</t>
        </is>
      </c>
      <c r="M871" t="inlineStr">
        <is>
          <t>207 CHARLES AVE SE</t>
        </is>
      </c>
      <c r="N871">
        <f>RIGHT(M871,LEN(M871)-FIND(" ",M871))</f>
        <v/>
      </c>
      <c r="P871" t="inlineStr">
        <is>
          <t>WARREN</t>
        </is>
      </c>
      <c r="Q871" t="inlineStr">
        <is>
          <t>OH</t>
        </is>
      </c>
      <c r="R871" t="n">
        <v>44483</v>
      </c>
      <c r="AD871" t="inlineStr">
        <is>
          <t>TRUMBULL CAREER &amp; TECH CENTER</t>
        </is>
      </c>
      <c r="AE871" t="inlineStr">
        <is>
          <t>WARREN CITY</t>
        </is>
      </c>
      <c r="AF871" t="inlineStr">
        <is>
          <t>WARREN CITY SD</t>
        </is>
      </c>
      <c r="AH871" t="n">
        <v>14</v>
      </c>
      <c r="AI871" t="n">
        <v>11</v>
      </c>
      <c r="AN871" t="inlineStr">
        <is>
          <t>WARREN</t>
        </is>
      </c>
      <c r="AO871" t="inlineStr">
        <is>
          <t>WARREN CITY 4A</t>
        </is>
      </c>
      <c r="AP871" t="inlineStr">
        <is>
          <t>78-P-ADI</t>
        </is>
      </c>
      <c r="AQ871" t="n">
        <v>9</v>
      </c>
      <c r="AR871" t="n">
        <v>64</v>
      </c>
      <c r="AS871" t="n">
        <v>32</v>
      </c>
      <c r="AU871">
        <f>COUNTA($BA$871:$EH$871)</f>
        <v/>
      </c>
      <c r="AV871">
        <f>COUNTIF($BA$871:$EH$871,"D")</f>
        <v/>
      </c>
      <c r="AW871">
        <f>COUNTIF($BA$871:$EH$871,"R")</f>
        <v/>
      </c>
      <c r="AX871">
        <f>IF(BN871="D",1,0)+IF(BO871="D",1,0)+IF(BT871="D",1,0)+IF(BU871="D",1,0)+IF(BW871="D",1,0)+IF(CC871="D",1,0)+IF(CD871="D",1,0)+IF(CE871="D",1,0)+IF(CF871="D",1,0)+IF(CL871="D",1,0)+IF(CM871="D",1,0)+IF(CQ871="D",1,0)+IF(CR871="D",1,0)+IF(CS871="D",1,0)+IF(CW871="D",1,0)+IF(CX871="D",1,0)+IF(DD871="D",1,0)+IF(DE871="D",1,0)+IF(DJ871="D",1,0)+IF(DK871="D",1,0)+IF(DO871="D",1,0)+IF(DP871="D",1,0)+IF(DQ871="D",1,0)+IF(DW871="D",1,0)+IF(DZ871="D",1,0)+IF(EH871="D",1,0)</f>
        <v/>
      </c>
      <c r="AY871">
        <f>IF(DJ871&lt;&gt;"",1,0)+IF(DK871&lt;&gt;"",1,0)+IF(DM871&lt;&gt;"",1,0)+IF(DO871&lt;&gt;"",1,0)+IF(DP871&lt;&gt;"",1,0)+IF(DQ871&lt;&gt;"",1,0)+IF(DS871&lt;&gt;"",1,0)+IF(DT871&lt;&gt;"",1,0)+IF(DV871&lt;&gt;"",1,0)+IF(DW871&lt;&gt;"",1,0)+IF(DX871&lt;&gt;"",1,0)+IF(DY871&lt;&gt;"",1,0)+IF(DZ871&lt;&gt;"",1,0)+IF(EB871&lt;&gt;"",1,0)+IF(EC871&lt;&gt;"",1,0)+IF(ED871&lt;&gt;"",1,0)+IF(EG871&lt;&gt;"",1,0)+IF(EH871&lt;&gt;"",1,0)</f>
        <v/>
      </c>
      <c r="AZ871">
        <f>IF(EH871&lt;&gt;"",1,0)</f>
        <v/>
      </c>
      <c r="BB871" t="inlineStr">
        <is>
          <t>WARREN-WARD 4</t>
        </is>
      </c>
    </row>
    <row r="872">
      <c r="A872" t="inlineStr">
        <is>
          <t>OH0026430808</t>
        </is>
      </c>
      <c r="B872" t="n">
        <v>78</v>
      </c>
      <c r="C872" t="n">
        <v>462112</v>
      </c>
      <c r="D872" t="inlineStr">
        <is>
          <t>BENDEN</t>
        </is>
      </c>
      <c r="E872" t="inlineStr">
        <is>
          <t>RON</t>
        </is>
      </c>
      <c r="F872">
        <f>CONCATENATE(D872," ",LEFT(H872,4),"T=",AU872,"D=",AV872,"R=",AW872,"M=",AX872,"L=",AY872,"B=",AZ872)</f>
        <v/>
      </c>
      <c r="G872" t="inlineStr">
        <is>
          <t>E</t>
        </is>
      </c>
      <c r="H872" t="inlineStr">
        <is>
          <t>JR</t>
        </is>
      </c>
      <c r="I872" t="inlineStr">
        <is>
          <t>1973-03-08</t>
        </is>
      </c>
      <c r="J872" t="inlineStr">
        <is>
          <t>2022-03-08</t>
        </is>
      </c>
      <c r="K872" t="inlineStr">
        <is>
          <t>CONFIRMATION</t>
        </is>
      </c>
      <c r="M872" t="inlineStr">
        <is>
          <t>528 WOODBINE AVE SE</t>
        </is>
      </c>
      <c r="N872">
        <f>RIGHT(M872,LEN(M872)-FIND(" ",M872))</f>
        <v/>
      </c>
      <c r="O872" t="inlineStr">
        <is>
          <t>APT C</t>
        </is>
      </c>
      <c r="P872" t="inlineStr">
        <is>
          <t>WARREN</t>
        </is>
      </c>
      <c r="Q872" t="inlineStr">
        <is>
          <t>OH</t>
        </is>
      </c>
      <c r="R872" t="n">
        <v>44483</v>
      </c>
      <c r="AD872" t="inlineStr">
        <is>
          <t>TRUMBULL CAREER &amp; TECH CENTER</t>
        </is>
      </c>
      <c r="AE872" t="inlineStr">
        <is>
          <t>WARREN CITY</t>
        </is>
      </c>
      <c r="AF872" t="inlineStr">
        <is>
          <t>WARREN CITY SD</t>
        </is>
      </c>
      <c r="AH872" t="n">
        <v>14</v>
      </c>
      <c r="AI872" t="n">
        <v>11</v>
      </c>
      <c r="AN872" t="inlineStr">
        <is>
          <t>WARREN</t>
        </is>
      </c>
      <c r="AO872" t="inlineStr">
        <is>
          <t>WARREN CITY 4A</t>
        </is>
      </c>
      <c r="AP872" t="inlineStr">
        <is>
          <t>78-P-ADI</t>
        </is>
      </c>
      <c r="AQ872" t="n">
        <v>9</v>
      </c>
      <c r="AR872" t="n">
        <v>64</v>
      </c>
      <c r="AS872" t="n">
        <v>32</v>
      </c>
      <c r="AU872">
        <f>COUNTA($BA$872:$EH$872)</f>
        <v/>
      </c>
      <c r="AV872">
        <f>COUNTIF($BA$872:$EH$872,"D")</f>
        <v/>
      </c>
      <c r="AW872">
        <f>COUNTIF($BA$872:$EH$872,"R")</f>
        <v/>
      </c>
      <c r="AX872">
        <f>IF(BN872="D",1,0)+IF(BO872="D",1,0)+IF(BT872="D",1,0)+IF(BU872="D",1,0)+IF(BW872="D",1,0)+IF(CC872="D",1,0)+IF(CD872="D",1,0)+IF(CE872="D",1,0)+IF(CF872="D",1,0)+IF(CL872="D",1,0)+IF(CM872="D",1,0)+IF(CQ872="D",1,0)+IF(CR872="D",1,0)+IF(CS872="D",1,0)+IF(CW872="D",1,0)+IF(CX872="D",1,0)+IF(DD872="D",1,0)+IF(DE872="D",1,0)+IF(DJ872="D",1,0)+IF(DK872="D",1,0)+IF(DO872="D",1,0)+IF(DP872="D",1,0)+IF(DQ872="D",1,0)+IF(DW872="D",1,0)+IF(DZ872="D",1,0)+IF(EH872="D",1,0)</f>
        <v/>
      </c>
      <c r="AY872">
        <f>IF(DJ872&lt;&gt;"",1,0)+IF(DK872&lt;&gt;"",1,0)+IF(DM872&lt;&gt;"",1,0)+IF(DO872&lt;&gt;"",1,0)+IF(DP872&lt;&gt;"",1,0)+IF(DQ872&lt;&gt;"",1,0)+IF(DS872&lt;&gt;"",1,0)+IF(DT872&lt;&gt;"",1,0)+IF(DV872&lt;&gt;"",1,0)+IF(DW872&lt;&gt;"",1,0)+IF(DX872&lt;&gt;"",1,0)+IF(DY872&lt;&gt;"",1,0)+IF(DZ872&lt;&gt;"",1,0)+IF(EB872&lt;&gt;"",1,0)+IF(EC872&lt;&gt;"",1,0)+IF(ED872&lt;&gt;"",1,0)+IF(EG872&lt;&gt;"",1,0)+IF(EH872&lt;&gt;"",1,0)</f>
        <v/>
      </c>
      <c r="AZ872">
        <f>IF(EH872&lt;&gt;"",1,0)</f>
        <v/>
      </c>
      <c r="BB872" t="inlineStr">
        <is>
          <t>WARREN-WARD 4</t>
        </is>
      </c>
    </row>
    <row r="873">
      <c r="A873" t="inlineStr">
        <is>
          <t>OH0015744810</t>
        </is>
      </c>
      <c r="B873" t="n">
        <v>78</v>
      </c>
      <c r="C873" t="n">
        <v>23118</v>
      </c>
      <c r="D873" t="inlineStr">
        <is>
          <t>GREGORY</t>
        </is>
      </c>
      <c r="E873" t="inlineStr">
        <is>
          <t>STANLEY</t>
        </is>
      </c>
      <c r="F873">
        <f>CONCATENATE(D873," ",LEFT(H873,4),"T=",AU873,"D=",AV873,"R=",AW873,"M=",AX873,"L=",AY873,"B=",AZ873)</f>
        <v/>
      </c>
      <c r="I873" t="inlineStr">
        <is>
          <t>1949-05-05</t>
        </is>
      </c>
      <c r="J873" t="inlineStr">
        <is>
          <t>1978-05-06</t>
        </is>
      </c>
      <c r="K873" t="inlineStr">
        <is>
          <t>ACTIVE</t>
        </is>
      </c>
      <c r="L873" t="inlineStr">
        <is>
          <t>D</t>
        </is>
      </c>
      <c r="M873" t="inlineStr">
        <is>
          <t>408 KENILWORTH AVE SE</t>
        </is>
      </c>
      <c r="N873">
        <f>RIGHT(M873,LEN(M873)-FIND(" ",M873))</f>
        <v/>
      </c>
      <c r="P873" t="inlineStr">
        <is>
          <t>WARREN</t>
        </is>
      </c>
      <c r="Q873" t="inlineStr">
        <is>
          <t>OH</t>
        </is>
      </c>
      <c r="R873" t="n">
        <v>44483</v>
      </c>
      <c r="AD873" t="inlineStr">
        <is>
          <t>TRUMBULL CAREER &amp; TECH CENTER</t>
        </is>
      </c>
      <c r="AE873" t="inlineStr">
        <is>
          <t>WARREN CITY</t>
        </is>
      </c>
      <c r="AF873" t="inlineStr">
        <is>
          <t>WARREN CITY SD</t>
        </is>
      </c>
      <c r="AH873" t="n">
        <v>14</v>
      </c>
      <c r="AI873" t="n">
        <v>11</v>
      </c>
      <c r="AN873" t="inlineStr">
        <is>
          <t>WARREN</t>
        </is>
      </c>
      <c r="AO873" t="inlineStr">
        <is>
          <t>WARREN CITY 4A</t>
        </is>
      </c>
      <c r="AP873" t="inlineStr">
        <is>
          <t>78-P-ADI</t>
        </is>
      </c>
      <c r="AQ873" t="n">
        <v>9</v>
      </c>
      <c r="AR873" t="n">
        <v>64</v>
      </c>
      <c r="AS873" t="n">
        <v>32</v>
      </c>
      <c r="AU873">
        <f>COUNTA($BA$873:$EH$873)</f>
        <v/>
      </c>
      <c r="AV873">
        <f>COUNTIF($BA$873:$EH$873,"D")</f>
        <v/>
      </c>
      <c r="AW873">
        <f>COUNTIF($BA$873:$EH$873,"R")</f>
        <v/>
      </c>
      <c r="AX873">
        <f>IF(BN873="D",1,0)+IF(BO873="D",1,0)+IF(BT873="D",1,0)+IF(BU873="D",1,0)+IF(BW873="D",1,0)+IF(CC873="D",1,0)+IF(CD873="D",1,0)+IF(CE873="D",1,0)+IF(CF873="D",1,0)+IF(CL873="D",1,0)+IF(CM873="D",1,0)+IF(CQ873="D",1,0)+IF(CR873="D",1,0)+IF(CS873="D",1,0)+IF(CW873="D",1,0)+IF(CX873="D",1,0)+IF(DD873="D",1,0)+IF(DE873="D",1,0)+IF(DJ873="D",1,0)+IF(DK873="D",1,0)+IF(DO873="D",1,0)+IF(DP873="D",1,0)+IF(DQ873="D",1,0)+IF(DW873="D",1,0)+IF(DZ873="D",1,0)+IF(EH873="D",1,0)</f>
        <v/>
      </c>
      <c r="AY873">
        <f>IF(DJ873&lt;&gt;"",1,0)+IF(DK873&lt;&gt;"",1,0)+IF(DM873&lt;&gt;"",1,0)+IF(DO873&lt;&gt;"",1,0)+IF(DP873&lt;&gt;"",1,0)+IF(DQ873&lt;&gt;"",1,0)+IF(DS873&lt;&gt;"",1,0)+IF(DT873&lt;&gt;"",1,0)+IF(DV873&lt;&gt;"",1,0)+IF(DW873&lt;&gt;"",1,0)+IF(DX873&lt;&gt;"",1,0)+IF(DY873&lt;&gt;"",1,0)+IF(DZ873&lt;&gt;"",1,0)+IF(EB873&lt;&gt;"",1,0)+IF(EC873&lt;&gt;"",1,0)+IF(ED873&lt;&gt;"",1,0)+IF(EG873&lt;&gt;"",1,0)+IF(EH873&lt;&gt;"",1,0)</f>
        <v/>
      </c>
      <c r="AZ873">
        <f>IF(EH873&lt;&gt;"",1,0)</f>
        <v/>
      </c>
      <c r="BB873" t="inlineStr">
        <is>
          <t>WARREN-WARD 4</t>
        </is>
      </c>
      <c r="BC873" t="inlineStr">
        <is>
          <t>X</t>
        </is>
      </c>
      <c r="BD873" t="inlineStr">
        <is>
          <t>X</t>
        </is>
      </c>
      <c r="BF873" t="inlineStr">
        <is>
          <t>X</t>
        </is>
      </c>
      <c r="BG873" t="inlineStr">
        <is>
          <t>X</t>
        </is>
      </c>
      <c r="BH873" t="inlineStr">
        <is>
          <t>X</t>
        </is>
      </c>
      <c r="BI873" t="inlineStr">
        <is>
          <t>X</t>
        </is>
      </c>
      <c r="BJ873" t="inlineStr">
        <is>
          <t>X</t>
        </is>
      </c>
      <c r="BK873" t="inlineStr">
        <is>
          <t>X</t>
        </is>
      </c>
      <c r="BL873" t="inlineStr">
        <is>
          <t>X</t>
        </is>
      </c>
      <c r="BP873" t="inlineStr">
        <is>
          <t>X</t>
        </is>
      </c>
      <c r="BS873" t="inlineStr">
        <is>
          <t>X</t>
        </is>
      </c>
      <c r="BT873" t="inlineStr">
        <is>
          <t>X</t>
        </is>
      </c>
      <c r="BV873" t="inlineStr">
        <is>
          <t>X</t>
        </is>
      </c>
      <c r="BY873" t="inlineStr">
        <is>
          <t>D</t>
        </is>
      </c>
      <c r="CA873" t="inlineStr">
        <is>
          <t>X</t>
        </is>
      </c>
      <c r="CG873" t="inlineStr">
        <is>
          <t>X</t>
        </is>
      </c>
      <c r="CN873" t="inlineStr">
        <is>
          <t>X</t>
        </is>
      </c>
      <c r="CO873" t="inlineStr">
        <is>
          <t>D</t>
        </is>
      </c>
      <c r="CP873" t="inlineStr">
        <is>
          <t>X</t>
        </is>
      </c>
      <c r="CT873" t="inlineStr">
        <is>
          <t>X</t>
        </is>
      </c>
      <c r="CU873" t="inlineStr">
        <is>
          <t>D</t>
        </is>
      </c>
      <c r="CW873" t="inlineStr">
        <is>
          <t>D</t>
        </is>
      </c>
      <c r="CY873" t="inlineStr">
        <is>
          <t>X</t>
        </is>
      </c>
      <c r="DC873" t="inlineStr">
        <is>
          <t>X</t>
        </is>
      </c>
      <c r="DD873" t="inlineStr">
        <is>
          <t>D</t>
        </is>
      </c>
      <c r="DI873" t="inlineStr">
        <is>
          <t>X</t>
        </is>
      </c>
      <c r="DL873" t="inlineStr">
        <is>
          <t>X</t>
        </is>
      </c>
      <c r="DM873" t="inlineStr">
        <is>
          <t>D</t>
        </is>
      </c>
      <c r="DN873" t="inlineStr">
        <is>
          <t>X</t>
        </is>
      </c>
      <c r="DU873" t="inlineStr">
        <is>
          <t>X</t>
        </is>
      </c>
      <c r="DW873" t="inlineStr">
        <is>
          <t>D</t>
        </is>
      </c>
      <c r="ED873" t="inlineStr">
        <is>
          <t>D</t>
        </is>
      </c>
      <c r="EF873" t="inlineStr">
        <is>
          <t>X</t>
        </is>
      </c>
    </row>
    <row r="874">
      <c r="A874" t="inlineStr">
        <is>
          <t>OH0024181250</t>
        </is>
      </c>
      <c r="B874" t="n">
        <v>78</v>
      </c>
      <c r="C874" t="n">
        <v>423515</v>
      </c>
      <c r="D874" t="inlineStr">
        <is>
          <t>SENA</t>
        </is>
      </c>
      <c r="E874" t="inlineStr">
        <is>
          <t>DAVID</t>
        </is>
      </c>
      <c r="F874">
        <f>CONCATENATE(D874," ",LEFT(H874,4),"T=",AU874,"D=",AV874,"R=",AW874,"M=",AX874,"L=",AY874,"B=",AZ874)</f>
        <v/>
      </c>
      <c r="G874" t="inlineStr">
        <is>
          <t>A</t>
        </is>
      </c>
      <c r="I874" t="inlineStr">
        <is>
          <t>1965-07-14</t>
        </is>
      </c>
      <c r="J874" t="inlineStr">
        <is>
          <t>2016-11-08</t>
        </is>
      </c>
      <c r="K874" t="inlineStr">
        <is>
          <t>ACTIVE</t>
        </is>
      </c>
      <c r="M874" t="inlineStr">
        <is>
          <t>828 KENILWORTH AVE SE</t>
        </is>
      </c>
      <c r="N874">
        <f>RIGHT(M874,LEN(M874)-FIND(" ",M874))</f>
        <v/>
      </c>
      <c r="P874" t="inlineStr">
        <is>
          <t>WARREN</t>
        </is>
      </c>
      <c r="Q874" t="inlineStr">
        <is>
          <t>OH</t>
        </is>
      </c>
      <c r="R874" t="n">
        <v>44484</v>
      </c>
      <c r="AD874" t="inlineStr">
        <is>
          <t>TRUMBULL CAREER &amp; TECH CENTER</t>
        </is>
      </c>
      <c r="AE874" t="inlineStr">
        <is>
          <t>WARREN CITY</t>
        </is>
      </c>
      <c r="AF874" t="inlineStr">
        <is>
          <t>WARREN CITY SD</t>
        </is>
      </c>
      <c r="AH874" t="n">
        <v>14</v>
      </c>
      <c r="AI874" t="n">
        <v>11</v>
      </c>
      <c r="AN874" t="inlineStr">
        <is>
          <t>WARREN</t>
        </is>
      </c>
      <c r="AO874" t="inlineStr">
        <is>
          <t>WARREN CITY 4A</t>
        </is>
      </c>
      <c r="AP874" t="inlineStr">
        <is>
          <t>78-P-ADI</t>
        </is>
      </c>
      <c r="AQ874" t="n">
        <v>9</v>
      </c>
      <c r="AR874" t="n">
        <v>64</v>
      </c>
      <c r="AS874" t="n">
        <v>32</v>
      </c>
      <c r="AU874">
        <f>COUNTA($BA$874:$EH$874)</f>
        <v/>
      </c>
      <c r="AV874">
        <f>COUNTIF($BA$874:$EH$874,"D")</f>
        <v/>
      </c>
      <c r="AW874">
        <f>COUNTIF($BA$874:$EH$874,"R")</f>
        <v/>
      </c>
      <c r="AX874">
        <f>IF(BN874="D",1,0)+IF(BO874="D",1,0)+IF(BT874="D",1,0)+IF(BU874="D",1,0)+IF(BW874="D",1,0)+IF(CC874="D",1,0)+IF(CD874="D",1,0)+IF(CE874="D",1,0)+IF(CF874="D",1,0)+IF(CL874="D",1,0)+IF(CM874="D",1,0)+IF(CQ874="D",1,0)+IF(CR874="D",1,0)+IF(CS874="D",1,0)+IF(CW874="D",1,0)+IF(CX874="D",1,0)+IF(DD874="D",1,0)+IF(DE874="D",1,0)+IF(DJ874="D",1,0)+IF(DK874="D",1,0)+IF(DO874="D",1,0)+IF(DP874="D",1,0)+IF(DQ874="D",1,0)+IF(DW874="D",1,0)+IF(DZ874="D",1,0)+IF(EH874="D",1,0)</f>
        <v/>
      </c>
      <c r="AY874">
        <f>IF(DJ874&lt;&gt;"",1,0)+IF(DK874&lt;&gt;"",1,0)+IF(DM874&lt;&gt;"",1,0)+IF(DO874&lt;&gt;"",1,0)+IF(DP874&lt;&gt;"",1,0)+IF(DQ874&lt;&gt;"",1,0)+IF(DS874&lt;&gt;"",1,0)+IF(DT874&lt;&gt;"",1,0)+IF(DV874&lt;&gt;"",1,0)+IF(DW874&lt;&gt;"",1,0)+IF(DX874&lt;&gt;"",1,0)+IF(DY874&lt;&gt;"",1,0)+IF(DZ874&lt;&gt;"",1,0)+IF(EB874&lt;&gt;"",1,0)+IF(EC874&lt;&gt;"",1,0)+IF(ED874&lt;&gt;"",1,0)+IF(EG874&lt;&gt;"",1,0)+IF(EH874&lt;&gt;"",1,0)</f>
        <v/>
      </c>
      <c r="AZ874">
        <f>IF(EH874&lt;&gt;"",1,0)</f>
        <v/>
      </c>
      <c r="BB874" t="inlineStr">
        <is>
          <t>WARREN-WARD 4</t>
        </is>
      </c>
      <c r="DI874" t="inlineStr">
        <is>
          <t>X</t>
        </is>
      </c>
      <c r="DN874" t="inlineStr">
        <is>
          <t>X</t>
        </is>
      </c>
      <c r="DU874" t="inlineStr">
        <is>
          <t>X</t>
        </is>
      </c>
      <c r="DX874" t="inlineStr">
        <is>
          <t>X</t>
        </is>
      </c>
      <c r="EA874" t="inlineStr">
        <is>
          <t>X</t>
        </is>
      </c>
      <c r="EF874" t="inlineStr">
        <is>
          <t>X</t>
        </is>
      </c>
    </row>
    <row r="875">
      <c r="A875" t="inlineStr">
        <is>
          <t>OH0026335488</t>
        </is>
      </c>
      <c r="B875" t="n">
        <v>78</v>
      </c>
      <c r="C875" t="n">
        <v>460445</v>
      </c>
      <c r="D875" t="inlineStr">
        <is>
          <t>KELLY</t>
        </is>
      </c>
      <c r="E875" t="inlineStr">
        <is>
          <t>DARRIN</t>
        </is>
      </c>
      <c r="F875">
        <f>CONCATENATE(D875," ",LEFT(H875,4),"T=",AU875,"D=",AV875,"R=",AW875,"M=",AX875,"L=",AY875,"B=",AZ875)</f>
        <v/>
      </c>
      <c r="G875" t="inlineStr">
        <is>
          <t>J</t>
        </is>
      </c>
      <c r="I875" t="inlineStr">
        <is>
          <t>1991-01-23</t>
        </is>
      </c>
      <c r="J875" t="inlineStr">
        <is>
          <t>2021-11-12</t>
        </is>
      </c>
      <c r="K875" t="inlineStr">
        <is>
          <t>CONFIRMATION</t>
        </is>
      </c>
      <c r="M875" t="inlineStr">
        <is>
          <t>771 WOODBINE AVE SE</t>
        </is>
      </c>
      <c r="N875">
        <f>RIGHT(M875,LEN(M875)-FIND(" ",M875))</f>
        <v/>
      </c>
      <c r="P875" t="inlineStr">
        <is>
          <t>WARREN</t>
        </is>
      </c>
      <c r="Q875" t="inlineStr">
        <is>
          <t>OH</t>
        </is>
      </c>
      <c r="R875" t="n">
        <v>44484</v>
      </c>
      <c r="AD875" t="inlineStr">
        <is>
          <t>TRUMBULL CAREER &amp; TECH CENTER</t>
        </is>
      </c>
      <c r="AE875" t="inlineStr">
        <is>
          <t>WARREN CITY</t>
        </is>
      </c>
      <c r="AF875" t="inlineStr">
        <is>
          <t>WARREN CITY SD</t>
        </is>
      </c>
      <c r="AH875" t="n">
        <v>14</v>
      </c>
      <c r="AI875" t="n">
        <v>11</v>
      </c>
      <c r="AN875" t="inlineStr">
        <is>
          <t>WARREN</t>
        </is>
      </c>
      <c r="AO875" t="inlineStr">
        <is>
          <t>WARREN CITY 4A</t>
        </is>
      </c>
      <c r="AP875" t="inlineStr">
        <is>
          <t>78-P-ADI</t>
        </is>
      </c>
      <c r="AQ875" t="n">
        <v>9</v>
      </c>
      <c r="AR875" t="n">
        <v>64</v>
      </c>
      <c r="AS875" t="n">
        <v>32</v>
      </c>
      <c r="AU875">
        <f>COUNTA($BA$875:$EH$875)</f>
        <v/>
      </c>
      <c r="AV875">
        <f>COUNTIF($BA$875:$EH$875,"D")</f>
        <v/>
      </c>
      <c r="AW875">
        <f>COUNTIF($BA$875:$EH$875,"R")</f>
        <v/>
      </c>
      <c r="AX875">
        <f>IF(BN875="D",1,0)+IF(BO875="D",1,0)+IF(BT875="D",1,0)+IF(BU875="D",1,0)+IF(BW875="D",1,0)+IF(CC875="D",1,0)+IF(CD875="D",1,0)+IF(CE875="D",1,0)+IF(CF875="D",1,0)+IF(CL875="D",1,0)+IF(CM875="D",1,0)+IF(CQ875="D",1,0)+IF(CR875="D",1,0)+IF(CS875="D",1,0)+IF(CW875="D",1,0)+IF(CX875="D",1,0)+IF(DD875="D",1,0)+IF(DE875="D",1,0)+IF(DJ875="D",1,0)+IF(DK875="D",1,0)+IF(DO875="D",1,0)+IF(DP875="D",1,0)+IF(DQ875="D",1,0)+IF(DW875="D",1,0)+IF(DZ875="D",1,0)+IF(EH875="D",1,0)</f>
        <v/>
      </c>
      <c r="AY875">
        <f>IF(DJ875&lt;&gt;"",1,0)+IF(DK875&lt;&gt;"",1,0)+IF(DM875&lt;&gt;"",1,0)+IF(DO875&lt;&gt;"",1,0)+IF(DP875&lt;&gt;"",1,0)+IF(DQ875&lt;&gt;"",1,0)+IF(DS875&lt;&gt;"",1,0)+IF(DT875&lt;&gt;"",1,0)+IF(DV875&lt;&gt;"",1,0)+IF(DW875&lt;&gt;"",1,0)+IF(DX875&lt;&gt;"",1,0)+IF(DY875&lt;&gt;"",1,0)+IF(DZ875&lt;&gt;"",1,0)+IF(EB875&lt;&gt;"",1,0)+IF(EC875&lt;&gt;"",1,0)+IF(ED875&lt;&gt;"",1,0)+IF(EG875&lt;&gt;"",1,0)+IF(EH875&lt;&gt;"",1,0)</f>
        <v/>
      </c>
      <c r="AZ875">
        <f>IF(EH875&lt;&gt;"",1,0)</f>
        <v/>
      </c>
      <c r="BB875" t="inlineStr">
        <is>
          <t>WARREN-WARD 4</t>
        </is>
      </c>
      <c r="CP875" t="inlineStr">
        <is>
          <t>X</t>
        </is>
      </c>
      <c r="DC875" t="inlineStr">
        <is>
          <t>X</t>
        </is>
      </c>
    </row>
    <row r="876">
      <c r="A876" t="inlineStr">
        <is>
          <t>OH0015727930</t>
        </is>
      </c>
      <c r="B876" t="n">
        <v>78</v>
      </c>
      <c r="C876" t="n">
        <v>273395</v>
      </c>
      <c r="D876" t="inlineStr">
        <is>
          <t>GREATHOUSE</t>
        </is>
      </c>
      <c r="E876" t="inlineStr">
        <is>
          <t>RACHEL</t>
        </is>
      </c>
      <c r="F876">
        <f>CONCATENATE(D876," ",LEFT(H876,4),"T=",AU876,"D=",AV876,"R=",AW876,"M=",AX876,"L=",AY876,"B=",AZ876)</f>
        <v/>
      </c>
      <c r="I876" t="inlineStr">
        <is>
          <t>1978-07-01</t>
        </is>
      </c>
      <c r="J876" t="inlineStr">
        <is>
          <t>2008-10-06</t>
        </is>
      </c>
      <c r="K876" t="inlineStr">
        <is>
          <t>ACTIVE</t>
        </is>
      </c>
      <c r="L876" t="inlineStr">
        <is>
          <t>D</t>
        </is>
      </c>
      <c r="M876" t="inlineStr">
        <is>
          <t>387 LAIRD AVE SE</t>
        </is>
      </c>
      <c r="N876">
        <f>RIGHT(M876,LEN(M876)-FIND(" ",M876))</f>
        <v/>
      </c>
      <c r="P876" t="inlineStr">
        <is>
          <t>WARREN</t>
        </is>
      </c>
      <c r="Q876" t="inlineStr">
        <is>
          <t>OH</t>
        </is>
      </c>
      <c r="R876" t="n">
        <v>44483</v>
      </c>
      <c r="AD876" t="inlineStr">
        <is>
          <t>TRUMBULL CAREER &amp; TECH CENTER</t>
        </is>
      </c>
      <c r="AE876" t="inlineStr">
        <is>
          <t>WARREN CITY</t>
        </is>
      </c>
      <c r="AF876" t="inlineStr">
        <is>
          <t>WARREN CITY SD</t>
        </is>
      </c>
      <c r="AH876" t="n">
        <v>14</v>
      </c>
      <c r="AI876" t="n">
        <v>11</v>
      </c>
      <c r="AN876" t="inlineStr">
        <is>
          <t>WARREN</t>
        </is>
      </c>
      <c r="AO876" t="inlineStr">
        <is>
          <t>WARREN CITY 4A</t>
        </is>
      </c>
      <c r="AP876" t="inlineStr">
        <is>
          <t>78-P-ADI</t>
        </is>
      </c>
      <c r="AQ876" t="n">
        <v>9</v>
      </c>
      <c r="AR876" t="n">
        <v>64</v>
      </c>
      <c r="AS876" t="n">
        <v>32</v>
      </c>
      <c r="AU876">
        <f>COUNTA($BA$876:$EH$876)</f>
        <v/>
      </c>
      <c r="AV876">
        <f>COUNTIF($BA$876:$EH$876,"D")</f>
        <v/>
      </c>
      <c r="AW876">
        <f>COUNTIF($BA$876:$EH$876,"R")</f>
        <v/>
      </c>
      <c r="AX876">
        <f>IF(BN876="D",1,0)+IF(BO876="D",1,0)+IF(BT876="D",1,0)+IF(BU876="D",1,0)+IF(BW876="D",1,0)+IF(CC876="D",1,0)+IF(CD876="D",1,0)+IF(CE876="D",1,0)+IF(CF876="D",1,0)+IF(CL876="D",1,0)+IF(CM876="D",1,0)+IF(CQ876="D",1,0)+IF(CR876="D",1,0)+IF(CS876="D",1,0)+IF(CW876="D",1,0)+IF(CX876="D",1,0)+IF(DD876="D",1,0)+IF(DE876="D",1,0)+IF(DJ876="D",1,0)+IF(DK876="D",1,0)+IF(DO876="D",1,0)+IF(DP876="D",1,0)+IF(DQ876="D",1,0)+IF(DW876="D",1,0)+IF(DZ876="D",1,0)+IF(EH876="D",1,0)</f>
        <v/>
      </c>
      <c r="AY876">
        <f>IF(DJ876&lt;&gt;"",1,0)+IF(DK876&lt;&gt;"",1,0)+IF(DM876&lt;&gt;"",1,0)+IF(DO876&lt;&gt;"",1,0)+IF(DP876&lt;&gt;"",1,0)+IF(DQ876&lt;&gt;"",1,0)+IF(DS876&lt;&gt;"",1,0)+IF(DT876&lt;&gt;"",1,0)+IF(DV876&lt;&gt;"",1,0)+IF(DW876&lt;&gt;"",1,0)+IF(DX876&lt;&gt;"",1,0)+IF(DY876&lt;&gt;"",1,0)+IF(DZ876&lt;&gt;"",1,0)+IF(EB876&lt;&gt;"",1,0)+IF(EC876&lt;&gt;"",1,0)+IF(ED876&lt;&gt;"",1,0)+IF(EG876&lt;&gt;"",1,0)+IF(EH876&lt;&gt;"",1,0)</f>
        <v/>
      </c>
      <c r="AZ876">
        <f>IF(EH876&lt;&gt;"",1,0)</f>
        <v/>
      </c>
      <c r="BB876" t="inlineStr">
        <is>
          <t>WARREN-WARD 4</t>
        </is>
      </c>
      <c r="BC876" t="inlineStr">
        <is>
          <t>X</t>
        </is>
      </c>
      <c r="BD876" t="inlineStr">
        <is>
          <t>X</t>
        </is>
      </c>
      <c r="BH876" t="inlineStr">
        <is>
          <t>X</t>
        </is>
      </c>
      <c r="BJ876" t="inlineStr">
        <is>
          <t>X</t>
        </is>
      </c>
      <c r="BK876" t="inlineStr">
        <is>
          <t>X</t>
        </is>
      </c>
      <c r="BL876" t="inlineStr">
        <is>
          <t>X</t>
        </is>
      </c>
      <c r="BP876" t="inlineStr">
        <is>
          <t>X</t>
        </is>
      </c>
      <c r="BS876" t="inlineStr">
        <is>
          <t>X</t>
        </is>
      </c>
      <c r="BY876" t="inlineStr">
        <is>
          <t>D</t>
        </is>
      </c>
      <c r="CA876" t="inlineStr">
        <is>
          <t>X</t>
        </is>
      </c>
      <c r="CK876" t="inlineStr">
        <is>
          <t>X</t>
        </is>
      </c>
      <c r="CN876" t="inlineStr">
        <is>
          <t>X</t>
        </is>
      </c>
      <c r="CP876" t="inlineStr">
        <is>
          <t>X</t>
        </is>
      </c>
      <c r="CV876" t="inlineStr">
        <is>
          <t>X</t>
        </is>
      </c>
      <c r="CY876" t="inlineStr">
        <is>
          <t>X</t>
        </is>
      </c>
      <c r="CZ876" t="inlineStr">
        <is>
          <t>D</t>
        </is>
      </c>
      <c r="DC876" t="inlineStr">
        <is>
          <t>X</t>
        </is>
      </c>
      <c r="DI876" t="inlineStr">
        <is>
          <t>X</t>
        </is>
      </c>
      <c r="DJ876" t="inlineStr">
        <is>
          <t>D</t>
        </is>
      </c>
      <c r="DL876" t="inlineStr">
        <is>
          <t>X</t>
        </is>
      </c>
      <c r="DN876" t="inlineStr">
        <is>
          <t>X</t>
        </is>
      </c>
      <c r="DU876" t="inlineStr">
        <is>
          <t>X</t>
        </is>
      </c>
      <c r="DW876" t="inlineStr">
        <is>
          <t>D</t>
        </is>
      </c>
      <c r="DX876" t="inlineStr">
        <is>
          <t>X</t>
        </is>
      </c>
      <c r="EA876" t="inlineStr">
        <is>
          <t>X</t>
        </is>
      </c>
      <c r="ED876" t="inlineStr">
        <is>
          <t>D</t>
        </is>
      </c>
      <c r="EF876" t="inlineStr">
        <is>
          <t>X</t>
        </is>
      </c>
      <c r="EH876" t="inlineStr">
        <is>
          <t>D</t>
        </is>
      </c>
    </row>
    <row r="877">
      <c r="A877" t="inlineStr">
        <is>
          <t>OH0026532365</t>
        </is>
      </c>
      <c r="B877" t="n">
        <v>78</v>
      </c>
      <c r="C877" t="n">
        <v>463902</v>
      </c>
      <c r="D877" t="inlineStr">
        <is>
          <t>MACLARREN</t>
        </is>
      </c>
      <c r="E877" t="inlineStr">
        <is>
          <t>AMBERLENE</t>
        </is>
      </c>
      <c r="F877">
        <f>CONCATENATE(D877," ",LEFT(H877,4),"T=",AU877,"D=",AV877,"R=",AW877,"M=",AX877,"L=",AY877,"B=",AZ877)</f>
        <v/>
      </c>
      <c r="G877" t="inlineStr">
        <is>
          <t>M</t>
        </is>
      </c>
      <c r="I877" t="inlineStr">
        <is>
          <t>1990-06-04</t>
        </is>
      </c>
      <c r="J877" t="inlineStr">
        <is>
          <t>2022-06-30</t>
        </is>
      </c>
      <c r="K877" t="inlineStr">
        <is>
          <t>ACTIVE</t>
        </is>
      </c>
      <c r="M877" t="inlineStr">
        <is>
          <t>1208 GRANT ST SE</t>
        </is>
      </c>
      <c r="N877">
        <f>RIGHT(M877,LEN(M877)-FIND(" ",M877))</f>
        <v/>
      </c>
      <c r="P877" t="inlineStr">
        <is>
          <t>WARREN</t>
        </is>
      </c>
      <c r="Q877" t="inlineStr">
        <is>
          <t>OH</t>
        </is>
      </c>
      <c r="R877" t="n">
        <v>44483</v>
      </c>
      <c r="AD877" t="inlineStr">
        <is>
          <t>TRUMBULL CAREER &amp; TECH CENTER</t>
        </is>
      </c>
      <c r="AE877" t="inlineStr">
        <is>
          <t>WARREN CITY</t>
        </is>
      </c>
      <c r="AF877" t="inlineStr">
        <is>
          <t>WARREN CITY SD</t>
        </is>
      </c>
      <c r="AH877" t="n">
        <v>14</v>
      </c>
      <c r="AI877" t="n">
        <v>11</v>
      </c>
      <c r="AN877" t="inlineStr">
        <is>
          <t>WARREN</t>
        </is>
      </c>
      <c r="AO877" t="inlineStr">
        <is>
          <t>WARREN CITY 4A</t>
        </is>
      </c>
      <c r="AP877" t="inlineStr">
        <is>
          <t>78-P-ADI</t>
        </is>
      </c>
      <c r="AQ877" t="n">
        <v>9</v>
      </c>
      <c r="AR877" t="n">
        <v>64</v>
      </c>
      <c r="AS877" t="n">
        <v>32</v>
      </c>
      <c r="AU877">
        <f>COUNTA($BA$877:$EH$877)</f>
        <v/>
      </c>
      <c r="AV877">
        <f>COUNTIF($BA$877:$EH$877,"D")</f>
        <v/>
      </c>
      <c r="AW877">
        <f>COUNTIF($BA$877:$EH$877,"R")</f>
        <v/>
      </c>
      <c r="AX877">
        <f>IF(BN877="D",1,0)+IF(BO877="D",1,0)+IF(BT877="D",1,0)+IF(BU877="D",1,0)+IF(BW877="D",1,0)+IF(CC877="D",1,0)+IF(CD877="D",1,0)+IF(CE877="D",1,0)+IF(CF877="D",1,0)+IF(CL877="D",1,0)+IF(CM877="D",1,0)+IF(CQ877="D",1,0)+IF(CR877="D",1,0)+IF(CS877="D",1,0)+IF(CW877="D",1,0)+IF(CX877="D",1,0)+IF(DD877="D",1,0)+IF(DE877="D",1,0)+IF(DJ877="D",1,0)+IF(DK877="D",1,0)+IF(DO877="D",1,0)+IF(DP877="D",1,0)+IF(DQ877="D",1,0)+IF(DW877="D",1,0)+IF(DZ877="D",1,0)+IF(EH877="D",1,0)</f>
        <v/>
      </c>
      <c r="AY877">
        <f>IF(DJ877&lt;&gt;"",1,0)+IF(DK877&lt;&gt;"",1,0)+IF(DM877&lt;&gt;"",1,0)+IF(DO877&lt;&gt;"",1,0)+IF(DP877&lt;&gt;"",1,0)+IF(DQ877&lt;&gt;"",1,0)+IF(DS877&lt;&gt;"",1,0)+IF(DT877&lt;&gt;"",1,0)+IF(DV877&lt;&gt;"",1,0)+IF(DW877&lt;&gt;"",1,0)+IF(DX877&lt;&gt;"",1,0)+IF(DY877&lt;&gt;"",1,0)+IF(DZ877&lt;&gt;"",1,0)+IF(EB877&lt;&gt;"",1,0)+IF(EC877&lt;&gt;"",1,0)+IF(ED877&lt;&gt;"",1,0)+IF(EG877&lt;&gt;"",1,0)+IF(EH877&lt;&gt;"",1,0)</f>
        <v/>
      </c>
      <c r="AZ877">
        <f>IF(EH877&lt;&gt;"",1,0)</f>
        <v/>
      </c>
      <c r="BB877" t="inlineStr">
        <is>
          <t>WARREN-WARD 4</t>
        </is>
      </c>
    </row>
    <row r="878">
      <c r="A878" t="inlineStr">
        <is>
          <t>OH0023349675</t>
        </is>
      </c>
      <c r="B878" t="n">
        <v>78</v>
      </c>
      <c r="C878" t="n">
        <v>411042</v>
      </c>
      <c r="D878" t="inlineStr">
        <is>
          <t>JOHNSON</t>
        </is>
      </c>
      <c r="E878" t="inlineStr">
        <is>
          <t>CROCHELL</t>
        </is>
      </c>
      <c r="F878">
        <f>CONCATENATE(D878," ",LEFT(H878,4),"T=",AU878,"D=",AV878,"R=",AW878,"M=",AX878,"L=",AY878,"B=",AZ878)</f>
        <v/>
      </c>
      <c r="G878" t="inlineStr">
        <is>
          <t>D</t>
        </is>
      </c>
      <c r="I878" t="inlineStr">
        <is>
          <t>1997-09-23</t>
        </is>
      </c>
      <c r="J878" t="inlineStr">
        <is>
          <t>2016-04-07</t>
        </is>
      </c>
      <c r="K878" t="inlineStr">
        <is>
          <t>CONFIRMATION</t>
        </is>
      </c>
      <c r="M878" t="inlineStr">
        <is>
          <t>478 HOMEWOOD AVE SE</t>
        </is>
      </c>
      <c r="N878">
        <f>RIGHT(M878,LEN(M878)-FIND(" ",M878))</f>
        <v/>
      </c>
      <c r="P878" t="inlineStr">
        <is>
          <t>WARREN</t>
        </is>
      </c>
      <c r="Q878" t="inlineStr">
        <is>
          <t>OH</t>
        </is>
      </c>
      <c r="R878" t="n">
        <v>44483</v>
      </c>
      <c r="AD878" t="inlineStr">
        <is>
          <t>TRUMBULL CAREER &amp; TECH CENTER</t>
        </is>
      </c>
      <c r="AE878" t="inlineStr">
        <is>
          <t>WARREN CITY</t>
        </is>
      </c>
      <c r="AF878" t="inlineStr">
        <is>
          <t>WARREN CITY SD</t>
        </is>
      </c>
      <c r="AH878" t="n">
        <v>14</v>
      </c>
      <c r="AI878" t="n">
        <v>11</v>
      </c>
      <c r="AN878" t="inlineStr">
        <is>
          <t>WARREN</t>
        </is>
      </c>
      <c r="AO878" t="inlineStr">
        <is>
          <t>WARREN CITY 4A</t>
        </is>
      </c>
      <c r="AP878" t="inlineStr">
        <is>
          <t>78-P-ADI</t>
        </is>
      </c>
      <c r="AQ878" t="n">
        <v>9</v>
      </c>
      <c r="AR878" t="n">
        <v>64</v>
      </c>
      <c r="AS878" t="n">
        <v>32</v>
      </c>
      <c r="AU878">
        <f>COUNTA($BA$878:$EH$878)</f>
        <v/>
      </c>
      <c r="AV878">
        <f>COUNTIF($BA$878:$EH$878,"D")</f>
        <v/>
      </c>
      <c r="AW878">
        <f>COUNTIF($BA$878:$EH$878,"R")</f>
        <v/>
      </c>
      <c r="AX878">
        <f>IF(BN878="D",1,0)+IF(BO878="D",1,0)+IF(BT878="D",1,0)+IF(BU878="D",1,0)+IF(BW878="D",1,0)+IF(CC878="D",1,0)+IF(CD878="D",1,0)+IF(CE878="D",1,0)+IF(CF878="D",1,0)+IF(CL878="D",1,0)+IF(CM878="D",1,0)+IF(CQ878="D",1,0)+IF(CR878="D",1,0)+IF(CS878="D",1,0)+IF(CW878="D",1,0)+IF(CX878="D",1,0)+IF(DD878="D",1,0)+IF(DE878="D",1,0)+IF(DJ878="D",1,0)+IF(DK878="D",1,0)+IF(DO878="D",1,0)+IF(DP878="D",1,0)+IF(DQ878="D",1,0)+IF(DW878="D",1,0)+IF(DZ878="D",1,0)+IF(EH878="D",1,0)</f>
        <v/>
      </c>
      <c r="AY878">
        <f>IF(DJ878&lt;&gt;"",1,0)+IF(DK878&lt;&gt;"",1,0)+IF(DM878&lt;&gt;"",1,0)+IF(DO878&lt;&gt;"",1,0)+IF(DP878&lt;&gt;"",1,0)+IF(DQ878&lt;&gt;"",1,0)+IF(DS878&lt;&gt;"",1,0)+IF(DT878&lt;&gt;"",1,0)+IF(DV878&lt;&gt;"",1,0)+IF(DW878&lt;&gt;"",1,0)+IF(DX878&lt;&gt;"",1,0)+IF(DY878&lt;&gt;"",1,0)+IF(DZ878&lt;&gt;"",1,0)+IF(EB878&lt;&gt;"",1,0)+IF(EC878&lt;&gt;"",1,0)+IF(ED878&lt;&gt;"",1,0)+IF(EG878&lt;&gt;"",1,0)+IF(EH878&lt;&gt;"",1,0)</f>
        <v/>
      </c>
      <c r="AZ878">
        <f>IF(EH878&lt;&gt;"",1,0)</f>
        <v/>
      </c>
      <c r="BB878" t="inlineStr">
        <is>
          <t>WARREN-WARD 4</t>
        </is>
      </c>
    </row>
    <row r="879">
      <c r="A879" t="inlineStr">
        <is>
          <t>OH0015710635</t>
        </is>
      </c>
      <c r="B879" t="n">
        <v>78</v>
      </c>
      <c r="C879" t="n">
        <v>178256</v>
      </c>
      <c r="D879" t="inlineStr">
        <is>
          <t>OROURKE</t>
        </is>
      </c>
      <c r="E879" t="inlineStr">
        <is>
          <t>TAMMY</t>
        </is>
      </c>
      <c r="F879">
        <f>CONCATENATE(D879," ",LEFT(H879,4),"T=",AU879,"D=",AV879,"R=",AW879,"M=",AX879,"L=",AY879,"B=",AZ879)</f>
        <v/>
      </c>
      <c r="G879" t="inlineStr">
        <is>
          <t>LYNN</t>
        </is>
      </c>
      <c r="I879" t="inlineStr">
        <is>
          <t>1961-04-20</t>
        </is>
      </c>
      <c r="J879" t="inlineStr">
        <is>
          <t>2014-06-04</t>
        </is>
      </c>
      <c r="K879" t="inlineStr">
        <is>
          <t>ACTIVE</t>
        </is>
      </c>
      <c r="L879" t="inlineStr">
        <is>
          <t>R</t>
        </is>
      </c>
      <c r="M879" t="inlineStr">
        <is>
          <t>347 HOMEWOOD AVE SE</t>
        </is>
      </c>
      <c r="N879">
        <f>RIGHT(M879,LEN(M879)-FIND(" ",M879))</f>
        <v/>
      </c>
      <c r="P879" t="inlineStr">
        <is>
          <t>WARREN</t>
        </is>
      </c>
      <c r="Q879" t="inlineStr">
        <is>
          <t>OH</t>
        </is>
      </c>
      <c r="R879" t="n">
        <v>44483</v>
      </c>
      <c r="AD879" t="inlineStr">
        <is>
          <t>TRUMBULL CAREER &amp; TECH CENTER</t>
        </is>
      </c>
      <c r="AE879" t="inlineStr">
        <is>
          <t>WARREN CITY</t>
        </is>
      </c>
      <c r="AF879" t="inlineStr">
        <is>
          <t>WARREN CITY SD</t>
        </is>
      </c>
      <c r="AH879" t="n">
        <v>14</v>
      </c>
      <c r="AI879" t="n">
        <v>11</v>
      </c>
      <c r="AN879" t="inlineStr">
        <is>
          <t>WARREN</t>
        </is>
      </c>
      <c r="AO879" t="inlineStr">
        <is>
          <t>WARREN CITY 4A</t>
        </is>
      </c>
      <c r="AP879" t="inlineStr">
        <is>
          <t>78-P-ADI</t>
        </is>
      </c>
      <c r="AQ879" t="n">
        <v>9</v>
      </c>
      <c r="AR879" t="n">
        <v>64</v>
      </c>
      <c r="AS879" t="n">
        <v>32</v>
      </c>
      <c r="AU879">
        <f>COUNTA($BA$879:$EH$879)</f>
        <v/>
      </c>
      <c r="AV879">
        <f>COUNTIF($BA$879:$EH$879,"D")</f>
        <v/>
      </c>
      <c r="AW879">
        <f>COUNTIF($BA$879:$EH$879,"R")</f>
        <v/>
      </c>
      <c r="AX879">
        <f>IF(BN879="D",1,0)+IF(BO879="D",1,0)+IF(BT879="D",1,0)+IF(BU879="D",1,0)+IF(BW879="D",1,0)+IF(CC879="D",1,0)+IF(CD879="D",1,0)+IF(CE879="D",1,0)+IF(CF879="D",1,0)+IF(CL879="D",1,0)+IF(CM879="D",1,0)+IF(CQ879="D",1,0)+IF(CR879="D",1,0)+IF(CS879="D",1,0)+IF(CW879="D",1,0)+IF(CX879="D",1,0)+IF(DD879="D",1,0)+IF(DE879="D",1,0)+IF(DJ879="D",1,0)+IF(DK879="D",1,0)+IF(DO879="D",1,0)+IF(DP879="D",1,0)+IF(DQ879="D",1,0)+IF(DW879="D",1,0)+IF(DZ879="D",1,0)+IF(EH879="D",1,0)</f>
        <v/>
      </c>
      <c r="AY879">
        <f>IF(DJ879&lt;&gt;"",1,0)+IF(DK879&lt;&gt;"",1,0)+IF(DM879&lt;&gt;"",1,0)+IF(DO879&lt;&gt;"",1,0)+IF(DP879&lt;&gt;"",1,0)+IF(DQ879&lt;&gt;"",1,0)+IF(DS879&lt;&gt;"",1,0)+IF(DT879&lt;&gt;"",1,0)+IF(DV879&lt;&gt;"",1,0)+IF(DW879&lt;&gt;"",1,0)+IF(DX879&lt;&gt;"",1,0)+IF(DY879&lt;&gt;"",1,0)+IF(DZ879&lt;&gt;"",1,0)+IF(EB879&lt;&gt;"",1,0)+IF(EC879&lt;&gt;"",1,0)+IF(ED879&lt;&gt;"",1,0)+IF(EG879&lt;&gt;"",1,0)+IF(EH879&lt;&gt;"",1,0)</f>
        <v/>
      </c>
      <c r="AZ879">
        <f>IF(EH879&lt;&gt;"",1,0)</f>
        <v/>
      </c>
      <c r="BB879" t="inlineStr">
        <is>
          <t>WARREN-WARD 4</t>
        </is>
      </c>
      <c r="BC879" t="inlineStr">
        <is>
          <t>X</t>
        </is>
      </c>
      <c r="BD879" t="inlineStr">
        <is>
          <t>X</t>
        </is>
      </c>
      <c r="BS879" t="inlineStr">
        <is>
          <t>X</t>
        </is>
      </c>
      <c r="BV879" t="inlineStr">
        <is>
          <t>X</t>
        </is>
      </c>
      <c r="BY879" t="inlineStr">
        <is>
          <t>D</t>
        </is>
      </c>
      <c r="CA879" t="inlineStr">
        <is>
          <t>X</t>
        </is>
      </c>
      <c r="CN879" t="inlineStr">
        <is>
          <t>X</t>
        </is>
      </c>
      <c r="CP879" t="inlineStr">
        <is>
          <t>X</t>
        </is>
      </c>
      <c r="CY879" t="inlineStr">
        <is>
          <t>X</t>
        </is>
      </c>
      <c r="CZ879" t="inlineStr">
        <is>
          <t>D</t>
        </is>
      </c>
      <c r="DC879" t="inlineStr">
        <is>
          <t>X</t>
        </is>
      </c>
      <c r="DF879" t="inlineStr">
        <is>
          <t>X</t>
        </is>
      </c>
      <c r="DI879" t="inlineStr">
        <is>
          <t>X</t>
        </is>
      </c>
      <c r="DL879" t="inlineStr">
        <is>
          <t>X</t>
        </is>
      </c>
      <c r="DN879" t="inlineStr">
        <is>
          <t>X</t>
        </is>
      </c>
      <c r="DR879" t="inlineStr">
        <is>
          <t>X</t>
        </is>
      </c>
      <c r="DS879" t="inlineStr">
        <is>
          <t>R</t>
        </is>
      </c>
      <c r="DT879" t="inlineStr">
        <is>
          <t>R</t>
        </is>
      </c>
      <c r="DU879" t="inlineStr">
        <is>
          <t>X</t>
        </is>
      </c>
      <c r="DW879" t="inlineStr">
        <is>
          <t>D</t>
        </is>
      </c>
      <c r="DX879" t="inlineStr">
        <is>
          <t>X</t>
        </is>
      </c>
      <c r="EA879" t="inlineStr">
        <is>
          <t>X</t>
        </is>
      </c>
      <c r="ED879" t="inlineStr">
        <is>
          <t>R</t>
        </is>
      </c>
      <c r="EF879" t="inlineStr">
        <is>
          <t>X</t>
        </is>
      </c>
    </row>
    <row r="880">
      <c r="A880" t="inlineStr">
        <is>
          <t>OH0015684559</t>
        </is>
      </c>
      <c r="B880" t="n">
        <v>78</v>
      </c>
      <c r="C880" t="n">
        <v>120305</v>
      </c>
      <c r="D880" t="inlineStr">
        <is>
          <t>ALBERT</t>
        </is>
      </c>
      <c r="E880" t="inlineStr">
        <is>
          <t>SUSAN</t>
        </is>
      </c>
      <c r="F880">
        <f>CONCATENATE(D880," ",LEFT(H880,4),"T=",AU880,"D=",AV880,"R=",AW880,"M=",AX880,"L=",AY880,"B=",AZ880)</f>
        <v/>
      </c>
      <c r="G880" t="inlineStr">
        <is>
          <t>CAROL</t>
        </is>
      </c>
      <c r="I880" t="inlineStr">
        <is>
          <t>1954-02-01</t>
        </is>
      </c>
      <c r="J880" t="inlineStr">
        <is>
          <t>2023-02-07</t>
        </is>
      </c>
      <c r="K880" t="inlineStr">
        <is>
          <t>ACTIVE</t>
        </is>
      </c>
      <c r="M880" t="inlineStr">
        <is>
          <t>731 WOODBINE AVE SE</t>
        </is>
      </c>
      <c r="N880">
        <f>RIGHT(M880,LEN(M880)-FIND(" ",M880))</f>
        <v/>
      </c>
      <c r="P880" t="inlineStr">
        <is>
          <t>WARREN</t>
        </is>
      </c>
      <c r="Q880" t="inlineStr">
        <is>
          <t>OH</t>
        </is>
      </c>
      <c r="R880" t="n">
        <v>44484</v>
      </c>
      <c r="AD880" t="inlineStr">
        <is>
          <t>TRUMBULL CAREER &amp; TECH CENTER</t>
        </is>
      </c>
      <c r="AE880" t="inlineStr">
        <is>
          <t>WARREN CITY</t>
        </is>
      </c>
      <c r="AF880" t="inlineStr">
        <is>
          <t>WARREN CITY SD</t>
        </is>
      </c>
      <c r="AH880" t="n">
        <v>14</v>
      </c>
      <c r="AI880" t="n">
        <v>11</v>
      </c>
      <c r="AN880" t="inlineStr">
        <is>
          <t>WARREN</t>
        </is>
      </c>
      <c r="AO880" t="inlineStr">
        <is>
          <t>WARREN CITY 4A</t>
        </is>
      </c>
      <c r="AP880" t="inlineStr">
        <is>
          <t>78-P-ADI</t>
        </is>
      </c>
      <c r="AQ880" t="n">
        <v>9</v>
      </c>
      <c r="AR880" t="n">
        <v>64</v>
      </c>
      <c r="AS880" t="n">
        <v>32</v>
      </c>
      <c r="AU880">
        <f>COUNTA($BA$880:$EH$880)</f>
        <v/>
      </c>
      <c r="AV880">
        <f>COUNTIF($BA$880:$EH$880,"D")</f>
        <v/>
      </c>
      <c r="AW880">
        <f>COUNTIF($BA$880:$EH$880,"R")</f>
        <v/>
      </c>
      <c r="AX880">
        <f>IF(BN880="D",1,0)+IF(BO880="D",1,0)+IF(BT880="D",1,0)+IF(BU880="D",1,0)+IF(BW880="D",1,0)+IF(CC880="D",1,0)+IF(CD880="D",1,0)+IF(CE880="D",1,0)+IF(CF880="D",1,0)+IF(CL880="D",1,0)+IF(CM880="D",1,0)+IF(CQ880="D",1,0)+IF(CR880="D",1,0)+IF(CS880="D",1,0)+IF(CW880="D",1,0)+IF(CX880="D",1,0)+IF(DD880="D",1,0)+IF(DE880="D",1,0)+IF(DJ880="D",1,0)+IF(DK880="D",1,0)+IF(DO880="D",1,0)+IF(DP880="D",1,0)+IF(DQ880="D",1,0)+IF(DW880="D",1,0)+IF(DZ880="D",1,0)+IF(EH880="D",1,0)</f>
        <v/>
      </c>
      <c r="AY880">
        <f>IF(DJ880&lt;&gt;"",1,0)+IF(DK880&lt;&gt;"",1,0)+IF(DM880&lt;&gt;"",1,0)+IF(DO880&lt;&gt;"",1,0)+IF(DP880&lt;&gt;"",1,0)+IF(DQ880&lt;&gt;"",1,0)+IF(DS880&lt;&gt;"",1,0)+IF(DT880&lt;&gt;"",1,0)+IF(DV880&lt;&gt;"",1,0)+IF(DW880&lt;&gt;"",1,0)+IF(DX880&lt;&gt;"",1,0)+IF(DY880&lt;&gt;"",1,0)+IF(DZ880&lt;&gt;"",1,0)+IF(EB880&lt;&gt;"",1,0)+IF(EC880&lt;&gt;"",1,0)+IF(ED880&lt;&gt;"",1,0)+IF(EG880&lt;&gt;"",1,0)+IF(EH880&lt;&gt;"",1,0)</f>
        <v/>
      </c>
      <c r="AZ880">
        <f>IF(EH880&lt;&gt;"",1,0)</f>
        <v/>
      </c>
      <c r="BB880" t="inlineStr">
        <is>
          <t>WARREN-WARD 4</t>
        </is>
      </c>
      <c r="BC880" t="inlineStr">
        <is>
          <t>X</t>
        </is>
      </c>
      <c r="BD880" t="inlineStr">
        <is>
          <t>X</t>
        </is>
      </c>
      <c r="BF880" t="inlineStr">
        <is>
          <t>X</t>
        </is>
      </c>
      <c r="BH880" t="inlineStr">
        <is>
          <t>X</t>
        </is>
      </c>
      <c r="BJ880" t="inlineStr">
        <is>
          <t>X</t>
        </is>
      </c>
      <c r="BL880" t="inlineStr">
        <is>
          <t>X</t>
        </is>
      </c>
      <c r="BS880" t="inlineStr">
        <is>
          <t>X</t>
        </is>
      </c>
      <c r="BY880" t="inlineStr">
        <is>
          <t>D</t>
        </is>
      </c>
      <c r="CA880" t="inlineStr">
        <is>
          <t>X</t>
        </is>
      </c>
      <c r="CP880" t="inlineStr">
        <is>
          <t>X</t>
        </is>
      </c>
      <c r="CV880" t="inlineStr">
        <is>
          <t>X</t>
        </is>
      </c>
      <c r="CY880" t="inlineStr">
        <is>
          <t>X</t>
        </is>
      </c>
      <c r="CZ880" t="inlineStr">
        <is>
          <t>D</t>
        </is>
      </c>
      <c r="DC880" t="inlineStr">
        <is>
          <t>X</t>
        </is>
      </c>
      <c r="DF880" t="inlineStr">
        <is>
          <t>X</t>
        </is>
      </c>
      <c r="DI880" t="inlineStr">
        <is>
          <t>X</t>
        </is>
      </c>
      <c r="DL880" t="inlineStr">
        <is>
          <t>X</t>
        </is>
      </c>
      <c r="DN880" t="inlineStr">
        <is>
          <t>X</t>
        </is>
      </c>
      <c r="EA880" t="inlineStr">
        <is>
          <t>X</t>
        </is>
      </c>
      <c r="EF880" t="inlineStr">
        <is>
          <t>X</t>
        </is>
      </c>
    </row>
    <row r="881">
      <c r="A881" t="inlineStr">
        <is>
          <t>OH0025570363</t>
        </is>
      </c>
      <c r="B881" t="n">
        <v>78</v>
      </c>
      <c r="C881" t="n">
        <v>446444</v>
      </c>
      <c r="D881" t="inlineStr">
        <is>
          <t>WRIGHT</t>
        </is>
      </c>
      <c r="E881" t="inlineStr">
        <is>
          <t>CHRISTINA</t>
        </is>
      </c>
      <c r="F881">
        <f>CONCATENATE(D881," ",LEFT(H881,4),"T=",AU881,"D=",AV881,"R=",AW881,"M=",AX881,"L=",AY881,"B=",AZ881)</f>
        <v/>
      </c>
      <c r="G881" t="inlineStr">
        <is>
          <t>MARIE</t>
        </is>
      </c>
      <c r="I881" t="inlineStr">
        <is>
          <t>1976-04-05</t>
        </is>
      </c>
      <c r="J881" t="inlineStr">
        <is>
          <t>2020-04-01</t>
        </is>
      </c>
      <c r="K881" t="inlineStr">
        <is>
          <t>ACTIVE</t>
        </is>
      </c>
      <c r="M881" t="inlineStr">
        <is>
          <t>1242 BELLE ST SE</t>
        </is>
      </c>
      <c r="N881">
        <f>RIGHT(M881,LEN(M881)-FIND(" ",M881))</f>
        <v/>
      </c>
      <c r="P881" t="inlineStr">
        <is>
          <t>WARREN</t>
        </is>
      </c>
      <c r="Q881" t="inlineStr">
        <is>
          <t>OH</t>
        </is>
      </c>
      <c r="R881" t="n">
        <v>44484</v>
      </c>
      <c r="AD881" t="inlineStr">
        <is>
          <t>TRUMBULL CAREER &amp; TECH CENTER</t>
        </is>
      </c>
      <c r="AE881" t="inlineStr">
        <is>
          <t>WARREN CITY</t>
        </is>
      </c>
      <c r="AF881" t="inlineStr">
        <is>
          <t>WARREN CITY SD</t>
        </is>
      </c>
      <c r="AH881" t="n">
        <v>14</v>
      </c>
      <c r="AI881" t="n">
        <v>11</v>
      </c>
      <c r="AN881" t="inlineStr">
        <is>
          <t>WARREN</t>
        </is>
      </c>
      <c r="AO881" t="inlineStr">
        <is>
          <t>WARREN CITY 4A</t>
        </is>
      </c>
      <c r="AP881" t="inlineStr">
        <is>
          <t>78-P-ADI</t>
        </is>
      </c>
      <c r="AQ881" t="n">
        <v>9</v>
      </c>
      <c r="AR881" t="n">
        <v>64</v>
      </c>
      <c r="AS881" t="n">
        <v>32</v>
      </c>
      <c r="AU881">
        <f>COUNTA($BA$881:$EH$881)</f>
        <v/>
      </c>
      <c r="AV881">
        <f>COUNTIF($BA$881:$EH$881,"D")</f>
        <v/>
      </c>
      <c r="AW881">
        <f>COUNTIF($BA$881:$EH$881,"R")</f>
        <v/>
      </c>
      <c r="AX881">
        <f>IF(BN881="D",1,0)+IF(BO881="D",1,0)+IF(BT881="D",1,0)+IF(BU881="D",1,0)+IF(BW881="D",1,0)+IF(CC881="D",1,0)+IF(CD881="D",1,0)+IF(CE881="D",1,0)+IF(CF881="D",1,0)+IF(CL881="D",1,0)+IF(CM881="D",1,0)+IF(CQ881="D",1,0)+IF(CR881="D",1,0)+IF(CS881="D",1,0)+IF(CW881="D",1,0)+IF(CX881="D",1,0)+IF(DD881="D",1,0)+IF(DE881="D",1,0)+IF(DJ881="D",1,0)+IF(DK881="D",1,0)+IF(DO881="D",1,0)+IF(DP881="D",1,0)+IF(DQ881="D",1,0)+IF(DW881="D",1,0)+IF(DZ881="D",1,0)+IF(EH881="D",1,0)</f>
        <v/>
      </c>
      <c r="AY881">
        <f>IF(DJ881&lt;&gt;"",1,0)+IF(DK881&lt;&gt;"",1,0)+IF(DM881&lt;&gt;"",1,0)+IF(DO881&lt;&gt;"",1,0)+IF(DP881&lt;&gt;"",1,0)+IF(DQ881&lt;&gt;"",1,0)+IF(DS881&lt;&gt;"",1,0)+IF(DT881&lt;&gt;"",1,0)+IF(DV881&lt;&gt;"",1,0)+IF(DW881&lt;&gt;"",1,0)+IF(DX881&lt;&gt;"",1,0)+IF(DY881&lt;&gt;"",1,0)+IF(DZ881&lt;&gt;"",1,0)+IF(EB881&lt;&gt;"",1,0)+IF(EC881&lt;&gt;"",1,0)+IF(ED881&lt;&gt;"",1,0)+IF(EG881&lt;&gt;"",1,0)+IF(EH881&lt;&gt;"",1,0)</f>
        <v/>
      </c>
      <c r="AZ881">
        <f>IF(EH881&lt;&gt;"",1,0)</f>
        <v/>
      </c>
      <c r="BB881" t="inlineStr">
        <is>
          <t>WARREN-WARD 4</t>
        </is>
      </c>
    </row>
    <row r="882">
      <c r="A882" t="inlineStr">
        <is>
          <t>OH0015737878</t>
        </is>
      </c>
      <c r="B882" t="n">
        <v>78</v>
      </c>
      <c r="C882" t="n">
        <v>223639</v>
      </c>
      <c r="D882" t="inlineStr">
        <is>
          <t>BANKS</t>
        </is>
      </c>
      <c r="E882" t="inlineStr">
        <is>
          <t>DARLA</t>
        </is>
      </c>
      <c r="F882">
        <f>CONCATENATE(D882," ",LEFT(H882,4),"T=",AU882,"D=",AV882,"R=",AW882,"M=",AX882,"L=",AY882,"B=",AZ882)</f>
        <v/>
      </c>
      <c r="G882" t="inlineStr">
        <is>
          <t>R</t>
        </is>
      </c>
      <c r="I882" t="inlineStr">
        <is>
          <t>1955-07-31</t>
        </is>
      </c>
      <c r="J882" t="inlineStr">
        <is>
          <t>1990-08-23</t>
        </is>
      </c>
      <c r="K882" t="inlineStr">
        <is>
          <t>ACTIVE</t>
        </is>
      </c>
      <c r="L882" t="inlineStr">
        <is>
          <t>R</t>
        </is>
      </c>
      <c r="M882" t="inlineStr">
        <is>
          <t>349 KENILWORTH AVE SE</t>
        </is>
      </c>
      <c r="N882">
        <f>RIGHT(M882,LEN(M882)-FIND(" ",M882))</f>
        <v/>
      </c>
      <c r="P882" t="inlineStr">
        <is>
          <t>WARREN</t>
        </is>
      </c>
      <c r="Q882" t="inlineStr">
        <is>
          <t>OH</t>
        </is>
      </c>
      <c r="R882" t="n">
        <v>44483</v>
      </c>
      <c r="AD882" t="inlineStr">
        <is>
          <t>TRUMBULL CAREER &amp; TECH CENTER</t>
        </is>
      </c>
      <c r="AE882" t="inlineStr">
        <is>
          <t>WARREN CITY</t>
        </is>
      </c>
      <c r="AF882" t="inlineStr">
        <is>
          <t>WARREN CITY SD</t>
        </is>
      </c>
      <c r="AH882" t="n">
        <v>14</v>
      </c>
      <c r="AI882" t="n">
        <v>11</v>
      </c>
      <c r="AN882" t="inlineStr">
        <is>
          <t>WARREN</t>
        </is>
      </c>
      <c r="AO882" t="inlineStr">
        <is>
          <t>WARREN CITY 4A</t>
        </is>
      </c>
      <c r="AP882" t="inlineStr">
        <is>
          <t>78-P-ADI</t>
        </is>
      </c>
      <c r="AQ882" t="n">
        <v>9</v>
      </c>
      <c r="AR882" t="n">
        <v>64</v>
      </c>
      <c r="AS882" t="n">
        <v>32</v>
      </c>
      <c r="AU882">
        <f>COUNTA($BA$882:$EH$882)</f>
        <v/>
      </c>
      <c r="AV882">
        <f>COUNTIF($BA$882:$EH$882,"D")</f>
        <v/>
      </c>
      <c r="AW882">
        <f>COUNTIF($BA$882:$EH$882,"R")</f>
        <v/>
      </c>
      <c r="AX882">
        <f>IF(BN882="D",1,0)+IF(BO882="D",1,0)+IF(BT882="D",1,0)+IF(BU882="D",1,0)+IF(BW882="D",1,0)+IF(CC882="D",1,0)+IF(CD882="D",1,0)+IF(CE882="D",1,0)+IF(CF882="D",1,0)+IF(CL882="D",1,0)+IF(CM882="D",1,0)+IF(CQ882="D",1,0)+IF(CR882="D",1,0)+IF(CS882="D",1,0)+IF(CW882="D",1,0)+IF(CX882="D",1,0)+IF(DD882="D",1,0)+IF(DE882="D",1,0)+IF(DJ882="D",1,0)+IF(DK882="D",1,0)+IF(DO882="D",1,0)+IF(DP882="D",1,0)+IF(DQ882="D",1,0)+IF(DW882="D",1,0)+IF(DZ882="D",1,0)+IF(EH882="D",1,0)</f>
        <v/>
      </c>
      <c r="AY882">
        <f>IF(DJ882&lt;&gt;"",1,0)+IF(DK882&lt;&gt;"",1,0)+IF(DM882&lt;&gt;"",1,0)+IF(DO882&lt;&gt;"",1,0)+IF(DP882&lt;&gt;"",1,0)+IF(DQ882&lt;&gt;"",1,0)+IF(DS882&lt;&gt;"",1,0)+IF(DT882&lt;&gt;"",1,0)+IF(DV882&lt;&gt;"",1,0)+IF(DW882&lt;&gt;"",1,0)+IF(DX882&lt;&gt;"",1,0)+IF(DY882&lt;&gt;"",1,0)+IF(DZ882&lt;&gt;"",1,0)+IF(EB882&lt;&gt;"",1,0)+IF(EC882&lt;&gt;"",1,0)+IF(ED882&lt;&gt;"",1,0)+IF(EG882&lt;&gt;"",1,0)+IF(EH882&lt;&gt;"",1,0)</f>
        <v/>
      </c>
      <c r="AZ882">
        <f>IF(EH882&lt;&gt;"",1,0)</f>
        <v/>
      </c>
      <c r="BB882" t="inlineStr">
        <is>
          <t>WARREN-WARD 4</t>
        </is>
      </c>
      <c r="BD882" t="inlineStr">
        <is>
          <t>X</t>
        </is>
      </c>
      <c r="BE882" t="inlineStr">
        <is>
          <t>X</t>
        </is>
      </c>
      <c r="BF882" t="inlineStr">
        <is>
          <t>X</t>
        </is>
      </c>
      <c r="BH882" t="inlineStr">
        <is>
          <t>X</t>
        </is>
      </c>
      <c r="BJ882" t="inlineStr">
        <is>
          <t>X</t>
        </is>
      </c>
      <c r="BK882" t="inlineStr">
        <is>
          <t>X</t>
        </is>
      </c>
      <c r="BL882" t="inlineStr">
        <is>
          <t>X</t>
        </is>
      </c>
      <c r="BP882" t="inlineStr">
        <is>
          <t>X</t>
        </is>
      </c>
      <c r="BR882" t="inlineStr">
        <is>
          <t>X</t>
        </is>
      </c>
      <c r="BS882" t="inlineStr">
        <is>
          <t>X</t>
        </is>
      </c>
      <c r="BV882" t="inlineStr">
        <is>
          <t>X</t>
        </is>
      </c>
      <c r="BY882" t="inlineStr">
        <is>
          <t>R</t>
        </is>
      </c>
      <c r="CA882" t="inlineStr">
        <is>
          <t>X</t>
        </is>
      </c>
      <c r="CK882" t="inlineStr">
        <is>
          <t>X</t>
        </is>
      </c>
      <c r="CN882" t="inlineStr">
        <is>
          <t>X</t>
        </is>
      </c>
      <c r="CP882" t="inlineStr">
        <is>
          <t>X</t>
        </is>
      </c>
      <c r="CT882" t="inlineStr">
        <is>
          <t>X</t>
        </is>
      </c>
      <c r="CY882" t="inlineStr">
        <is>
          <t>X</t>
        </is>
      </c>
      <c r="CZ882" t="inlineStr">
        <is>
          <t>R</t>
        </is>
      </c>
      <c r="DC882" t="inlineStr">
        <is>
          <t>X</t>
        </is>
      </c>
      <c r="DF882" t="inlineStr">
        <is>
          <t>X</t>
        </is>
      </c>
      <c r="DG882" t="inlineStr">
        <is>
          <t>R</t>
        </is>
      </c>
      <c r="DN882" t="inlineStr">
        <is>
          <t>X</t>
        </is>
      </c>
      <c r="DR882" t="inlineStr">
        <is>
          <t>X</t>
        </is>
      </c>
      <c r="DU882" t="inlineStr">
        <is>
          <t>X</t>
        </is>
      </c>
      <c r="DX882" t="inlineStr">
        <is>
          <t>X</t>
        </is>
      </c>
      <c r="EA882" t="inlineStr">
        <is>
          <t>X</t>
        </is>
      </c>
      <c r="ED882" t="inlineStr">
        <is>
          <t>R</t>
        </is>
      </c>
      <c r="EF882" t="inlineStr">
        <is>
          <t>X</t>
        </is>
      </c>
    </row>
    <row r="883">
      <c r="A883" t="inlineStr">
        <is>
          <t>OH0015697769</t>
        </is>
      </c>
      <c r="B883" t="n">
        <v>78</v>
      </c>
      <c r="C883" t="n">
        <v>154364</v>
      </c>
      <c r="D883" t="inlineStr">
        <is>
          <t>CURRIER</t>
        </is>
      </c>
      <c r="E883" t="inlineStr">
        <is>
          <t>JULIANA</t>
        </is>
      </c>
      <c r="F883">
        <f>CONCATENATE(D883," ",LEFT(H883,4),"T=",AU883,"D=",AV883,"R=",AW883,"M=",AX883,"L=",AY883,"B=",AZ883)</f>
        <v/>
      </c>
      <c r="I883" t="inlineStr">
        <is>
          <t>1958-02-01</t>
        </is>
      </c>
      <c r="J883" t="inlineStr">
        <is>
          <t>1983-05-02</t>
        </is>
      </c>
      <c r="K883" t="inlineStr">
        <is>
          <t>ACTIVE</t>
        </is>
      </c>
      <c r="L883" t="inlineStr">
        <is>
          <t>R</t>
        </is>
      </c>
      <c r="M883" t="inlineStr">
        <is>
          <t>1233 SEVERN CT SE</t>
        </is>
      </c>
      <c r="N883">
        <f>RIGHT(M883,LEN(M883)-FIND(" ",M883))</f>
        <v/>
      </c>
      <c r="P883" t="inlineStr">
        <is>
          <t>WARREN</t>
        </is>
      </c>
      <c r="Q883" t="inlineStr">
        <is>
          <t>OH</t>
        </is>
      </c>
      <c r="R883" t="n">
        <v>44483</v>
      </c>
      <c r="AD883" t="inlineStr">
        <is>
          <t>TRUMBULL CAREER &amp; TECH CENTER</t>
        </is>
      </c>
      <c r="AE883" t="inlineStr">
        <is>
          <t>WARREN CITY</t>
        </is>
      </c>
      <c r="AF883" t="inlineStr">
        <is>
          <t>WARREN CITY SD</t>
        </is>
      </c>
      <c r="AH883" t="n">
        <v>14</v>
      </c>
      <c r="AI883" t="n">
        <v>11</v>
      </c>
      <c r="AN883" t="inlineStr">
        <is>
          <t>WARREN</t>
        </is>
      </c>
      <c r="AO883" t="inlineStr">
        <is>
          <t>WARREN CITY 4A</t>
        </is>
      </c>
      <c r="AP883" t="inlineStr">
        <is>
          <t>78-P-ADI</t>
        </is>
      </c>
      <c r="AQ883" t="n">
        <v>9</v>
      </c>
      <c r="AR883" t="n">
        <v>64</v>
      </c>
      <c r="AS883" t="n">
        <v>32</v>
      </c>
      <c r="AU883">
        <f>COUNTA($BA$883:$EH$883)</f>
        <v/>
      </c>
      <c r="AV883">
        <f>COUNTIF($BA$883:$EH$883,"D")</f>
        <v/>
      </c>
      <c r="AW883">
        <f>COUNTIF($BA$883:$EH$883,"R")</f>
        <v/>
      </c>
      <c r="AX883">
        <f>IF(BN883="D",1,0)+IF(BO883="D",1,0)+IF(BT883="D",1,0)+IF(BU883="D",1,0)+IF(BW883="D",1,0)+IF(CC883="D",1,0)+IF(CD883="D",1,0)+IF(CE883="D",1,0)+IF(CF883="D",1,0)+IF(CL883="D",1,0)+IF(CM883="D",1,0)+IF(CQ883="D",1,0)+IF(CR883="D",1,0)+IF(CS883="D",1,0)+IF(CW883="D",1,0)+IF(CX883="D",1,0)+IF(DD883="D",1,0)+IF(DE883="D",1,0)+IF(DJ883="D",1,0)+IF(DK883="D",1,0)+IF(DO883="D",1,0)+IF(DP883="D",1,0)+IF(DQ883="D",1,0)+IF(DW883="D",1,0)+IF(DZ883="D",1,0)+IF(EH883="D",1,0)</f>
        <v/>
      </c>
      <c r="AY883">
        <f>IF(DJ883&lt;&gt;"",1,0)+IF(DK883&lt;&gt;"",1,0)+IF(DM883&lt;&gt;"",1,0)+IF(DO883&lt;&gt;"",1,0)+IF(DP883&lt;&gt;"",1,0)+IF(DQ883&lt;&gt;"",1,0)+IF(DS883&lt;&gt;"",1,0)+IF(DT883&lt;&gt;"",1,0)+IF(DV883&lt;&gt;"",1,0)+IF(DW883&lt;&gt;"",1,0)+IF(DX883&lt;&gt;"",1,0)+IF(DY883&lt;&gt;"",1,0)+IF(DZ883&lt;&gt;"",1,0)+IF(EB883&lt;&gt;"",1,0)+IF(EC883&lt;&gt;"",1,0)+IF(ED883&lt;&gt;"",1,0)+IF(EG883&lt;&gt;"",1,0)+IF(EH883&lt;&gt;"",1,0)</f>
        <v/>
      </c>
      <c r="AZ883">
        <f>IF(EH883&lt;&gt;"",1,0)</f>
        <v/>
      </c>
      <c r="BB883" t="inlineStr">
        <is>
          <t>WARREN-WARD 4</t>
        </is>
      </c>
      <c r="BC883" t="inlineStr">
        <is>
          <t>X</t>
        </is>
      </c>
      <c r="BD883" t="inlineStr">
        <is>
          <t>X</t>
        </is>
      </c>
      <c r="BE883" t="inlineStr">
        <is>
          <t>X</t>
        </is>
      </c>
      <c r="BF883" t="inlineStr">
        <is>
          <t>X</t>
        </is>
      </c>
      <c r="BH883" t="inlineStr">
        <is>
          <t>X</t>
        </is>
      </c>
      <c r="BJ883" t="inlineStr">
        <is>
          <t>X</t>
        </is>
      </c>
      <c r="BK883" t="inlineStr">
        <is>
          <t>X</t>
        </is>
      </c>
      <c r="BL883" t="inlineStr">
        <is>
          <t>X</t>
        </is>
      </c>
      <c r="BP883" t="inlineStr">
        <is>
          <t>X</t>
        </is>
      </c>
      <c r="BS883" t="inlineStr">
        <is>
          <t>X</t>
        </is>
      </c>
      <c r="BY883" t="inlineStr">
        <is>
          <t>R</t>
        </is>
      </c>
      <c r="CA883" t="inlineStr">
        <is>
          <t>X</t>
        </is>
      </c>
      <c r="CG883" t="inlineStr">
        <is>
          <t>X</t>
        </is>
      </c>
      <c r="CH883" t="inlineStr">
        <is>
          <t>R</t>
        </is>
      </c>
      <c r="CK883" t="inlineStr">
        <is>
          <t>X</t>
        </is>
      </c>
      <c r="CN883" t="inlineStr">
        <is>
          <t>X</t>
        </is>
      </c>
      <c r="CO883" t="inlineStr">
        <is>
          <t>R</t>
        </is>
      </c>
      <c r="CP883" t="inlineStr">
        <is>
          <t>X</t>
        </is>
      </c>
      <c r="CT883" t="inlineStr">
        <is>
          <t>X</t>
        </is>
      </c>
      <c r="CV883" t="inlineStr">
        <is>
          <t>X</t>
        </is>
      </c>
      <c r="CY883" t="inlineStr">
        <is>
          <t>X</t>
        </is>
      </c>
      <c r="CZ883" t="inlineStr">
        <is>
          <t>R</t>
        </is>
      </c>
      <c r="DC883" t="inlineStr">
        <is>
          <t>X</t>
        </is>
      </c>
      <c r="DF883" t="inlineStr">
        <is>
          <t>X</t>
        </is>
      </c>
      <c r="DG883" t="inlineStr">
        <is>
          <t>R</t>
        </is>
      </c>
      <c r="DI883" t="inlineStr">
        <is>
          <t>X</t>
        </is>
      </c>
      <c r="DL883" t="inlineStr">
        <is>
          <t>X</t>
        </is>
      </c>
      <c r="DM883" t="inlineStr">
        <is>
          <t>R</t>
        </is>
      </c>
      <c r="DN883" t="inlineStr">
        <is>
          <t>X</t>
        </is>
      </c>
      <c r="DR883" t="inlineStr">
        <is>
          <t>X</t>
        </is>
      </c>
      <c r="DS883" t="inlineStr">
        <is>
          <t>R</t>
        </is>
      </c>
      <c r="DU883" t="inlineStr">
        <is>
          <t>X</t>
        </is>
      </c>
      <c r="DW883" t="inlineStr">
        <is>
          <t>D</t>
        </is>
      </c>
      <c r="DX883" t="inlineStr">
        <is>
          <t>X</t>
        </is>
      </c>
      <c r="EA883" t="inlineStr">
        <is>
          <t>X</t>
        </is>
      </c>
      <c r="ED883" t="inlineStr">
        <is>
          <t>R</t>
        </is>
      </c>
      <c r="EF883" t="inlineStr">
        <is>
          <t>X</t>
        </is>
      </c>
      <c r="EH883" t="inlineStr">
        <is>
          <t>X</t>
        </is>
      </c>
    </row>
    <row r="884">
      <c r="A884" t="inlineStr">
        <is>
          <t>OH0024484103</t>
        </is>
      </c>
      <c r="B884" t="n">
        <v>78</v>
      </c>
      <c r="C884" t="n">
        <v>428960</v>
      </c>
      <c r="D884" t="inlineStr">
        <is>
          <t>NGUYEN</t>
        </is>
      </c>
      <c r="E884" t="inlineStr">
        <is>
          <t>TRACIE</t>
        </is>
      </c>
      <c r="F884">
        <f>CONCATENATE(D884," ",LEFT(H884,4),"T=",AU884,"D=",AV884,"R=",AW884,"M=",AX884,"L=",AY884,"B=",AZ884)</f>
        <v/>
      </c>
      <c r="G884" t="inlineStr">
        <is>
          <t>THI</t>
        </is>
      </c>
      <c r="I884" t="inlineStr">
        <is>
          <t>1972-03-17</t>
        </is>
      </c>
      <c r="J884" t="inlineStr">
        <is>
          <t>2021-09-28</t>
        </is>
      </c>
      <c r="K884" t="inlineStr">
        <is>
          <t>CONFIRMATION</t>
        </is>
      </c>
      <c r="M884" t="inlineStr">
        <is>
          <t>227 OAK KNOLL AVE SE</t>
        </is>
      </c>
      <c r="N884">
        <f>RIGHT(M884,LEN(M884)-FIND(" ",M884))</f>
        <v/>
      </c>
      <c r="P884" t="inlineStr">
        <is>
          <t>WARREN</t>
        </is>
      </c>
      <c r="Q884" t="inlineStr">
        <is>
          <t>OH</t>
        </is>
      </c>
      <c r="R884" t="n">
        <v>44483</v>
      </c>
      <c r="AD884" t="inlineStr">
        <is>
          <t>TRUMBULL CAREER &amp; TECH CENTER</t>
        </is>
      </c>
      <c r="AE884" t="inlineStr">
        <is>
          <t>WARREN CITY</t>
        </is>
      </c>
      <c r="AF884" t="inlineStr">
        <is>
          <t>WARREN CITY SD</t>
        </is>
      </c>
      <c r="AH884" t="n">
        <v>14</v>
      </c>
      <c r="AI884" t="n">
        <v>11</v>
      </c>
      <c r="AN884" t="inlineStr">
        <is>
          <t>WARREN</t>
        </is>
      </c>
      <c r="AO884" t="inlineStr">
        <is>
          <t>WARREN CITY 4A</t>
        </is>
      </c>
      <c r="AP884" t="inlineStr">
        <is>
          <t>78-P-ADI</t>
        </is>
      </c>
      <c r="AQ884" t="n">
        <v>9</v>
      </c>
      <c r="AR884" t="n">
        <v>64</v>
      </c>
      <c r="AS884" t="n">
        <v>32</v>
      </c>
      <c r="AU884">
        <f>COUNTA($BA$884:$EH$884)</f>
        <v/>
      </c>
      <c r="AV884">
        <f>COUNTIF($BA$884:$EH$884,"D")</f>
        <v/>
      </c>
      <c r="AW884">
        <f>COUNTIF($BA$884:$EH$884,"R")</f>
        <v/>
      </c>
      <c r="AX884">
        <f>IF(BN884="D",1,0)+IF(BO884="D",1,0)+IF(BT884="D",1,0)+IF(BU884="D",1,0)+IF(BW884="D",1,0)+IF(CC884="D",1,0)+IF(CD884="D",1,0)+IF(CE884="D",1,0)+IF(CF884="D",1,0)+IF(CL884="D",1,0)+IF(CM884="D",1,0)+IF(CQ884="D",1,0)+IF(CR884="D",1,0)+IF(CS884="D",1,0)+IF(CW884="D",1,0)+IF(CX884="D",1,0)+IF(DD884="D",1,0)+IF(DE884="D",1,0)+IF(DJ884="D",1,0)+IF(DK884="D",1,0)+IF(DO884="D",1,0)+IF(DP884="D",1,0)+IF(DQ884="D",1,0)+IF(DW884="D",1,0)+IF(DZ884="D",1,0)+IF(EH884="D",1,0)</f>
        <v/>
      </c>
      <c r="AY884">
        <f>IF(DJ884&lt;&gt;"",1,0)+IF(DK884&lt;&gt;"",1,0)+IF(DM884&lt;&gt;"",1,0)+IF(DO884&lt;&gt;"",1,0)+IF(DP884&lt;&gt;"",1,0)+IF(DQ884&lt;&gt;"",1,0)+IF(DS884&lt;&gt;"",1,0)+IF(DT884&lt;&gt;"",1,0)+IF(DV884&lt;&gt;"",1,0)+IF(DW884&lt;&gt;"",1,0)+IF(DX884&lt;&gt;"",1,0)+IF(DY884&lt;&gt;"",1,0)+IF(DZ884&lt;&gt;"",1,0)+IF(EB884&lt;&gt;"",1,0)+IF(EC884&lt;&gt;"",1,0)+IF(ED884&lt;&gt;"",1,0)+IF(EG884&lt;&gt;"",1,0)+IF(EH884&lt;&gt;"",1,0)</f>
        <v/>
      </c>
      <c r="AZ884">
        <f>IF(EH884&lt;&gt;"",1,0)</f>
        <v/>
      </c>
      <c r="BB884" t="inlineStr">
        <is>
          <t>WARREN-WARD 4</t>
        </is>
      </c>
    </row>
    <row r="885">
      <c r="A885" t="inlineStr">
        <is>
          <t>OH0025955813</t>
        </is>
      </c>
      <c r="B885" t="n">
        <v>78</v>
      </c>
      <c r="C885" t="n">
        <v>453470</v>
      </c>
      <c r="D885" t="inlineStr">
        <is>
          <t>FERRARO</t>
        </is>
      </c>
      <c r="E885" t="inlineStr">
        <is>
          <t>JUSTINE</t>
        </is>
      </c>
      <c r="F885">
        <f>CONCATENATE(D885," ",LEFT(H885,4),"T=",AU885,"D=",AV885,"R=",AW885,"M=",AX885,"L=",AY885,"B=",AZ885)</f>
        <v/>
      </c>
      <c r="G885" t="inlineStr">
        <is>
          <t>N</t>
        </is>
      </c>
      <c r="I885" t="inlineStr">
        <is>
          <t>1997-09-03</t>
        </is>
      </c>
      <c r="J885" t="inlineStr">
        <is>
          <t>2020-10-03</t>
        </is>
      </c>
      <c r="K885" t="inlineStr">
        <is>
          <t>CONFIRMATION</t>
        </is>
      </c>
      <c r="M885" t="inlineStr">
        <is>
          <t>1186 ADELAIDE AVE SE</t>
        </is>
      </c>
      <c r="N885">
        <f>RIGHT(M885,LEN(M885)-FIND(" ",M885))</f>
        <v/>
      </c>
      <c r="P885" t="inlineStr">
        <is>
          <t>WARREN</t>
        </is>
      </c>
      <c r="Q885" t="inlineStr">
        <is>
          <t>OH</t>
        </is>
      </c>
      <c r="R885" t="n">
        <v>44484</v>
      </c>
      <c r="AD885" t="inlineStr">
        <is>
          <t>TRUMBULL CAREER &amp; TECH CENTER</t>
        </is>
      </c>
      <c r="AE885" t="inlineStr">
        <is>
          <t>WARREN CITY</t>
        </is>
      </c>
      <c r="AF885" t="inlineStr">
        <is>
          <t>WARREN CITY SD</t>
        </is>
      </c>
      <c r="AH885" t="n">
        <v>14</v>
      </c>
      <c r="AI885" t="n">
        <v>11</v>
      </c>
      <c r="AN885" t="inlineStr">
        <is>
          <t>WARREN</t>
        </is>
      </c>
      <c r="AO885" t="inlineStr">
        <is>
          <t>WARREN CITY 4A</t>
        </is>
      </c>
      <c r="AP885" t="inlineStr">
        <is>
          <t>78-P-ADI</t>
        </is>
      </c>
      <c r="AQ885" t="n">
        <v>9</v>
      </c>
      <c r="AR885" t="n">
        <v>64</v>
      </c>
      <c r="AS885" t="n">
        <v>32</v>
      </c>
      <c r="AU885">
        <f>COUNTA($BA$885:$EH$885)</f>
        <v/>
      </c>
      <c r="AV885">
        <f>COUNTIF($BA$885:$EH$885,"D")</f>
        <v/>
      </c>
      <c r="AW885">
        <f>COUNTIF($BA$885:$EH$885,"R")</f>
        <v/>
      </c>
      <c r="AX885">
        <f>IF(BN885="D",1,0)+IF(BO885="D",1,0)+IF(BT885="D",1,0)+IF(BU885="D",1,0)+IF(BW885="D",1,0)+IF(CC885="D",1,0)+IF(CD885="D",1,0)+IF(CE885="D",1,0)+IF(CF885="D",1,0)+IF(CL885="D",1,0)+IF(CM885="D",1,0)+IF(CQ885="D",1,0)+IF(CR885="D",1,0)+IF(CS885="D",1,0)+IF(CW885="D",1,0)+IF(CX885="D",1,0)+IF(DD885="D",1,0)+IF(DE885="D",1,0)+IF(DJ885="D",1,0)+IF(DK885="D",1,0)+IF(DO885="D",1,0)+IF(DP885="D",1,0)+IF(DQ885="D",1,0)+IF(DW885="D",1,0)+IF(DZ885="D",1,0)+IF(EH885="D",1,0)</f>
        <v/>
      </c>
      <c r="AY885">
        <f>IF(DJ885&lt;&gt;"",1,0)+IF(DK885&lt;&gt;"",1,0)+IF(DM885&lt;&gt;"",1,0)+IF(DO885&lt;&gt;"",1,0)+IF(DP885&lt;&gt;"",1,0)+IF(DQ885&lt;&gt;"",1,0)+IF(DS885&lt;&gt;"",1,0)+IF(DT885&lt;&gt;"",1,0)+IF(DV885&lt;&gt;"",1,0)+IF(DW885&lt;&gt;"",1,0)+IF(DX885&lt;&gt;"",1,0)+IF(DY885&lt;&gt;"",1,0)+IF(DZ885&lt;&gt;"",1,0)+IF(EB885&lt;&gt;"",1,0)+IF(EC885&lt;&gt;"",1,0)+IF(ED885&lt;&gt;"",1,0)+IF(EG885&lt;&gt;"",1,0)+IF(EH885&lt;&gt;"",1,0)</f>
        <v/>
      </c>
      <c r="AZ885">
        <f>IF(EH885&lt;&gt;"",1,0)</f>
        <v/>
      </c>
      <c r="BB885" t="inlineStr">
        <is>
          <t>WARREN-WARD 4</t>
        </is>
      </c>
      <c r="DN885" t="inlineStr">
        <is>
          <t>X</t>
        </is>
      </c>
    </row>
    <row r="886">
      <c r="A886" t="inlineStr">
        <is>
          <t>OH0024205876</t>
        </is>
      </c>
      <c r="B886" t="n">
        <v>78</v>
      </c>
      <c r="C886" t="n">
        <v>423936</v>
      </c>
      <c r="D886" t="inlineStr">
        <is>
          <t>SUTLIFF</t>
        </is>
      </c>
      <c r="E886" t="inlineStr">
        <is>
          <t>HANNAH</t>
        </is>
      </c>
      <c r="F886">
        <f>CONCATENATE(D886," ",LEFT(H886,4),"T=",AU886,"D=",AV886,"R=",AW886,"M=",AX886,"L=",AY886,"B=",AZ886)</f>
        <v/>
      </c>
      <c r="G886" t="inlineStr">
        <is>
          <t>JASMINE</t>
        </is>
      </c>
      <c r="I886" t="inlineStr">
        <is>
          <t>1995-12-10</t>
        </is>
      </c>
      <c r="J886" t="inlineStr">
        <is>
          <t>2022-03-03</t>
        </is>
      </c>
      <c r="K886" t="inlineStr">
        <is>
          <t>CONFIRMATION</t>
        </is>
      </c>
      <c r="M886" t="inlineStr">
        <is>
          <t>500 HOMEWOOD AVE SE</t>
        </is>
      </c>
      <c r="N886">
        <f>RIGHT(M886,LEN(M886)-FIND(" ",M886))</f>
        <v/>
      </c>
      <c r="P886" t="inlineStr">
        <is>
          <t>WARREN</t>
        </is>
      </c>
      <c r="Q886" t="inlineStr">
        <is>
          <t>OH</t>
        </is>
      </c>
      <c r="R886" t="n">
        <v>44483</v>
      </c>
      <c r="AD886" t="inlineStr">
        <is>
          <t>TRUMBULL CAREER &amp; TECH CENTER</t>
        </is>
      </c>
      <c r="AE886" t="inlineStr">
        <is>
          <t>WARREN CITY</t>
        </is>
      </c>
      <c r="AF886" t="inlineStr">
        <is>
          <t>WARREN CITY SD</t>
        </is>
      </c>
      <c r="AH886" t="n">
        <v>14</v>
      </c>
      <c r="AI886" t="n">
        <v>11</v>
      </c>
      <c r="AN886" t="inlineStr">
        <is>
          <t>WARREN</t>
        </is>
      </c>
      <c r="AO886" t="inlineStr">
        <is>
          <t>WARREN CITY 4A</t>
        </is>
      </c>
      <c r="AP886" t="inlineStr">
        <is>
          <t>78-P-ADI</t>
        </is>
      </c>
      <c r="AQ886" t="n">
        <v>9</v>
      </c>
      <c r="AR886" t="n">
        <v>64</v>
      </c>
      <c r="AS886" t="n">
        <v>32</v>
      </c>
      <c r="AU886">
        <f>COUNTA($BA$886:$EH$886)</f>
        <v/>
      </c>
      <c r="AV886">
        <f>COUNTIF($BA$886:$EH$886,"D")</f>
        <v/>
      </c>
      <c r="AW886">
        <f>COUNTIF($BA$886:$EH$886,"R")</f>
        <v/>
      </c>
      <c r="AX886">
        <f>IF(BN886="D",1,0)+IF(BO886="D",1,0)+IF(BT886="D",1,0)+IF(BU886="D",1,0)+IF(BW886="D",1,0)+IF(CC886="D",1,0)+IF(CD886="D",1,0)+IF(CE886="D",1,0)+IF(CF886="D",1,0)+IF(CL886="D",1,0)+IF(CM886="D",1,0)+IF(CQ886="D",1,0)+IF(CR886="D",1,0)+IF(CS886="D",1,0)+IF(CW886="D",1,0)+IF(CX886="D",1,0)+IF(DD886="D",1,0)+IF(DE886="D",1,0)+IF(DJ886="D",1,0)+IF(DK886="D",1,0)+IF(DO886="D",1,0)+IF(DP886="D",1,0)+IF(DQ886="D",1,0)+IF(DW886="D",1,0)+IF(DZ886="D",1,0)+IF(EH886="D",1,0)</f>
        <v/>
      </c>
      <c r="AY886">
        <f>IF(DJ886&lt;&gt;"",1,0)+IF(DK886&lt;&gt;"",1,0)+IF(DM886&lt;&gt;"",1,0)+IF(DO886&lt;&gt;"",1,0)+IF(DP886&lt;&gt;"",1,0)+IF(DQ886&lt;&gt;"",1,0)+IF(DS886&lt;&gt;"",1,0)+IF(DT886&lt;&gt;"",1,0)+IF(DV886&lt;&gt;"",1,0)+IF(DW886&lt;&gt;"",1,0)+IF(DX886&lt;&gt;"",1,0)+IF(DY886&lt;&gt;"",1,0)+IF(DZ886&lt;&gt;"",1,0)+IF(EB886&lt;&gt;"",1,0)+IF(EC886&lt;&gt;"",1,0)+IF(ED886&lt;&gt;"",1,0)+IF(EG886&lt;&gt;"",1,0)+IF(EH886&lt;&gt;"",1,0)</f>
        <v/>
      </c>
      <c r="AZ886">
        <f>IF(EH886&lt;&gt;"",1,0)</f>
        <v/>
      </c>
      <c r="BB886" t="inlineStr">
        <is>
          <t>WARREN-WARD 4</t>
        </is>
      </c>
    </row>
    <row r="887">
      <c r="A887" t="inlineStr">
        <is>
          <t>OH0015777123</t>
        </is>
      </c>
      <c r="B887" t="n">
        <v>78</v>
      </c>
      <c r="C887" t="n">
        <v>309580</v>
      </c>
      <c r="D887" t="inlineStr">
        <is>
          <t>CLINE</t>
        </is>
      </c>
      <c r="E887" t="inlineStr">
        <is>
          <t>GEORGIA</t>
        </is>
      </c>
      <c r="F887">
        <f>CONCATENATE(D887," ",LEFT(H887,4),"T=",AU887,"D=",AV887,"R=",AW887,"M=",AX887,"L=",AY887,"B=",AZ887)</f>
        <v/>
      </c>
      <c r="G887" t="inlineStr">
        <is>
          <t>L</t>
        </is>
      </c>
      <c r="I887" t="inlineStr">
        <is>
          <t>1967-06-10</t>
        </is>
      </c>
      <c r="J887" t="inlineStr">
        <is>
          <t>2002-06-18</t>
        </is>
      </c>
      <c r="K887" t="inlineStr">
        <is>
          <t>CONFIRMATION</t>
        </is>
      </c>
      <c r="M887" t="inlineStr">
        <is>
          <t>257 IDDINGS AVE SE</t>
        </is>
      </c>
      <c r="N887">
        <f>RIGHT(M887,LEN(M887)-FIND(" ",M887))</f>
        <v/>
      </c>
      <c r="P887" t="inlineStr">
        <is>
          <t>WARREN</t>
        </is>
      </c>
      <c r="Q887" t="inlineStr">
        <is>
          <t>OH</t>
        </is>
      </c>
      <c r="R887" t="n">
        <v>44483</v>
      </c>
      <c r="AD887" t="inlineStr">
        <is>
          <t>TRUMBULL CAREER &amp; TECH CENTER</t>
        </is>
      </c>
      <c r="AE887" t="inlineStr">
        <is>
          <t>WARREN CITY</t>
        </is>
      </c>
      <c r="AF887" t="inlineStr">
        <is>
          <t>WARREN CITY SD</t>
        </is>
      </c>
      <c r="AH887" t="n">
        <v>14</v>
      </c>
      <c r="AI887" t="n">
        <v>11</v>
      </c>
      <c r="AN887" t="inlineStr">
        <is>
          <t>WARREN</t>
        </is>
      </c>
      <c r="AO887" t="inlineStr">
        <is>
          <t>WARREN CITY 4A</t>
        </is>
      </c>
      <c r="AP887" t="inlineStr">
        <is>
          <t>78-P-ADI</t>
        </is>
      </c>
      <c r="AQ887" t="n">
        <v>9</v>
      </c>
      <c r="AR887" t="n">
        <v>64</v>
      </c>
      <c r="AS887" t="n">
        <v>32</v>
      </c>
      <c r="AU887">
        <f>COUNTA($BA$887:$EH$887)</f>
        <v/>
      </c>
      <c r="AV887">
        <f>COUNTIF($BA$887:$EH$887,"D")</f>
        <v/>
      </c>
      <c r="AW887">
        <f>COUNTIF($BA$887:$EH$887,"R")</f>
        <v/>
      </c>
      <c r="AX887">
        <f>IF(BN887="D",1,0)+IF(BO887="D",1,0)+IF(BT887="D",1,0)+IF(BU887="D",1,0)+IF(BW887="D",1,0)+IF(CC887="D",1,0)+IF(CD887="D",1,0)+IF(CE887="D",1,0)+IF(CF887="D",1,0)+IF(CL887="D",1,0)+IF(CM887="D",1,0)+IF(CQ887="D",1,0)+IF(CR887="D",1,0)+IF(CS887="D",1,0)+IF(CW887="D",1,0)+IF(CX887="D",1,0)+IF(DD887="D",1,0)+IF(DE887="D",1,0)+IF(DJ887="D",1,0)+IF(DK887="D",1,0)+IF(DO887="D",1,0)+IF(DP887="D",1,0)+IF(DQ887="D",1,0)+IF(DW887="D",1,0)+IF(DZ887="D",1,0)+IF(EH887="D",1,0)</f>
        <v/>
      </c>
      <c r="AY887">
        <f>IF(DJ887&lt;&gt;"",1,0)+IF(DK887&lt;&gt;"",1,0)+IF(DM887&lt;&gt;"",1,0)+IF(DO887&lt;&gt;"",1,0)+IF(DP887&lt;&gt;"",1,0)+IF(DQ887&lt;&gt;"",1,0)+IF(DS887&lt;&gt;"",1,0)+IF(DT887&lt;&gt;"",1,0)+IF(DV887&lt;&gt;"",1,0)+IF(DW887&lt;&gt;"",1,0)+IF(DX887&lt;&gt;"",1,0)+IF(DY887&lt;&gt;"",1,0)+IF(DZ887&lt;&gt;"",1,0)+IF(EB887&lt;&gt;"",1,0)+IF(EC887&lt;&gt;"",1,0)+IF(ED887&lt;&gt;"",1,0)+IF(EG887&lt;&gt;"",1,0)+IF(EH887&lt;&gt;"",1,0)</f>
        <v/>
      </c>
      <c r="AZ887">
        <f>IF(EH887&lt;&gt;"",1,0)</f>
        <v/>
      </c>
      <c r="BB887" t="inlineStr">
        <is>
          <t>WARREN-WARD 4</t>
        </is>
      </c>
    </row>
    <row r="888">
      <c r="A888" t="inlineStr">
        <is>
          <t>OH0022018172</t>
        </is>
      </c>
      <c r="B888" t="n">
        <v>78</v>
      </c>
      <c r="C888" t="n">
        <v>390304</v>
      </c>
      <c r="D888" t="inlineStr">
        <is>
          <t>ALFORD</t>
        </is>
      </c>
      <c r="E888" t="inlineStr">
        <is>
          <t>MARKEILA</t>
        </is>
      </c>
      <c r="F888">
        <f>CONCATENATE(D888," ",LEFT(H888,4),"T=",AU888,"D=",AV888,"R=",AW888,"M=",AX888,"L=",AY888,"B=",AZ888)</f>
        <v/>
      </c>
      <c r="G888" t="inlineStr">
        <is>
          <t>M</t>
        </is>
      </c>
      <c r="I888" t="inlineStr">
        <is>
          <t>1992-06-21</t>
        </is>
      </c>
      <c r="J888" t="inlineStr">
        <is>
          <t>2019-06-23</t>
        </is>
      </c>
      <c r="K888" t="inlineStr">
        <is>
          <t>CONFIRMATION</t>
        </is>
      </c>
      <c r="M888" t="inlineStr">
        <is>
          <t>167 CHARLES AVE SE</t>
        </is>
      </c>
      <c r="N888">
        <f>RIGHT(M888,LEN(M888)-FIND(" ",M888))</f>
        <v/>
      </c>
      <c r="O888" t="inlineStr">
        <is>
          <t>UPPR</t>
        </is>
      </c>
      <c r="P888" t="inlineStr">
        <is>
          <t>WARREN</t>
        </is>
      </c>
      <c r="Q888" t="inlineStr">
        <is>
          <t>OH</t>
        </is>
      </c>
      <c r="R888" t="n">
        <v>44483</v>
      </c>
      <c r="AD888" t="inlineStr">
        <is>
          <t>TRUMBULL CAREER &amp; TECH CENTER</t>
        </is>
      </c>
      <c r="AE888" t="inlineStr">
        <is>
          <t>WARREN CITY</t>
        </is>
      </c>
      <c r="AF888" t="inlineStr">
        <is>
          <t>WARREN CITY SD</t>
        </is>
      </c>
      <c r="AH888" t="n">
        <v>14</v>
      </c>
      <c r="AI888" t="n">
        <v>11</v>
      </c>
      <c r="AN888" t="inlineStr">
        <is>
          <t>WARREN</t>
        </is>
      </c>
      <c r="AO888" t="inlineStr">
        <is>
          <t>WARREN CITY 4A</t>
        </is>
      </c>
      <c r="AP888" t="inlineStr">
        <is>
          <t>78-P-ADI</t>
        </is>
      </c>
      <c r="AQ888" t="n">
        <v>9</v>
      </c>
      <c r="AR888" t="n">
        <v>64</v>
      </c>
      <c r="AS888" t="n">
        <v>32</v>
      </c>
      <c r="AU888">
        <f>COUNTA($BA$888:$EH$888)</f>
        <v/>
      </c>
      <c r="AV888">
        <f>COUNTIF($BA$888:$EH$888,"D")</f>
        <v/>
      </c>
      <c r="AW888">
        <f>COUNTIF($BA$888:$EH$888,"R")</f>
        <v/>
      </c>
      <c r="AX888">
        <f>IF(BN888="D",1,0)+IF(BO888="D",1,0)+IF(BT888="D",1,0)+IF(BU888="D",1,0)+IF(BW888="D",1,0)+IF(CC888="D",1,0)+IF(CD888="D",1,0)+IF(CE888="D",1,0)+IF(CF888="D",1,0)+IF(CL888="D",1,0)+IF(CM888="D",1,0)+IF(CQ888="D",1,0)+IF(CR888="D",1,0)+IF(CS888="D",1,0)+IF(CW888="D",1,0)+IF(CX888="D",1,0)+IF(DD888="D",1,0)+IF(DE888="D",1,0)+IF(DJ888="D",1,0)+IF(DK888="D",1,0)+IF(DO888="D",1,0)+IF(DP888="D",1,0)+IF(DQ888="D",1,0)+IF(DW888="D",1,0)+IF(DZ888="D",1,0)+IF(EH888="D",1,0)</f>
        <v/>
      </c>
      <c r="AY888">
        <f>IF(DJ888&lt;&gt;"",1,0)+IF(DK888&lt;&gt;"",1,0)+IF(DM888&lt;&gt;"",1,0)+IF(DO888&lt;&gt;"",1,0)+IF(DP888&lt;&gt;"",1,0)+IF(DQ888&lt;&gt;"",1,0)+IF(DS888&lt;&gt;"",1,0)+IF(DT888&lt;&gt;"",1,0)+IF(DV888&lt;&gt;"",1,0)+IF(DW888&lt;&gt;"",1,0)+IF(DX888&lt;&gt;"",1,0)+IF(DY888&lt;&gt;"",1,0)+IF(DZ888&lt;&gt;"",1,0)+IF(EB888&lt;&gt;"",1,0)+IF(EC888&lt;&gt;"",1,0)+IF(ED888&lt;&gt;"",1,0)+IF(EG888&lt;&gt;"",1,0)+IF(EH888&lt;&gt;"",1,0)</f>
        <v/>
      </c>
      <c r="AZ888">
        <f>IF(EH888&lt;&gt;"",1,0)</f>
        <v/>
      </c>
      <c r="BB888" t="inlineStr">
        <is>
          <t>WARREN-WARD 4</t>
        </is>
      </c>
      <c r="CP888" t="inlineStr">
        <is>
          <t>X</t>
        </is>
      </c>
      <c r="DC888" t="inlineStr">
        <is>
          <t>X</t>
        </is>
      </c>
    </row>
    <row r="889">
      <c r="A889" t="inlineStr">
        <is>
          <t>OH0025916275</t>
        </is>
      </c>
      <c r="B889" t="n">
        <v>78</v>
      </c>
      <c r="C889" t="n">
        <v>452618</v>
      </c>
      <c r="D889" t="inlineStr">
        <is>
          <t>BRITO</t>
        </is>
      </c>
      <c r="E889" t="inlineStr">
        <is>
          <t>NICHOLE</t>
        </is>
      </c>
      <c r="F889">
        <f>CONCATENATE(D889," ",LEFT(H889,4),"T=",AU889,"D=",AV889,"R=",AW889,"M=",AX889,"L=",AY889,"B=",AZ889)</f>
        <v/>
      </c>
      <c r="G889" t="inlineStr">
        <is>
          <t>K</t>
        </is>
      </c>
      <c r="I889" t="inlineStr">
        <is>
          <t>1983-04-05</t>
        </is>
      </c>
      <c r="J889" t="inlineStr">
        <is>
          <t>2020-09-29</t>
        </is>
      </c>
      <c r="K889" t="inlineStr">
        <is>
          <t>CONFIRMATION</t>
        </is>
      </c>
      <c r="M889" t="inlineStr">
        <is>
          <t>337 LAIRD AVE SE</t>
        </is>
      </c>
      <c r="N889">
        <f>RIGHT(M889,LEN(M889)-FIND(" ",M889))</f>
        <v/>
      </c>
      <c r="P889" t="inlineStr">
        <is>
          <t>WARREN</t>
        </is>
      </c>
      <c r="Q889" t="inlineStr">
        <is>
          <t>OH</t>
        </is>
      </c>
      <c r="R889" t="n">
        <v>44483</v>
      </c>
      <c r="V889" t="inlineStr">
        <is>
          <t>1249 GRANT ST SE</t>
        </is>
      </c>
      <c r="X889" t="inlineStr">
        <is>
          <t>WARREN</t>
        </is>
      </c>
      <c r="Y889" t="inlineStr">
        <is>
          <t>OH</t>
        </is>
      </c>
      <c r="Z889" t="n">
        <v>44483</v>
      </c>
      <c r="AD889" t="inlineStr">
        <is>
          <t>TRUMBULL CAREER &amp; TECH CENTER</t>
        </is>
      </c>
      <c r="AE889" t="inlineStr">
        <is>
          <t>WARREN CITY</t>
        </is>
      </c>
      <c r="AF889" t="inlineStr">
        <is>
          <t>WARREN CITY SD</t>
        </is>
      </c>
      <c r="AH889" t="n">
        <v>14</v>
      </c>
      <c r="AI889" t="n">
        <v>11</v>
      </c>
      <c r="AN889" t="inlineStr">
        <is>
          <t>WARREN</t>
        </is>
      </c>
      <c r="AO889" t="inlineStr">
        <is>
          <t>WARREN CITY 4A</t>
        </is>
      </c>
      <c r="AP889" t="inlineStr">
        <is>
          <t>78-P-ADI</t>
        </is>
      </c>
      <c r="AQ889" t="n">
        <v>9</v>
      </c>
      <c r="AR889" t="n">
        <v>64</v>
      </c>
      <c r="AS889" t="n">
        <v>32</v>
      </c>
      <c r="AU889">
        <f>COUNTA($BA$889:$EH$889)</f>
        <v/>
      </c>
      <c r="AV889">
        <f>COUNTIF($BA$889:$EH$889,"D")</f>
        <v/>
      </c>
      <c r="AW889">
        <f>COUNTIF($BA$889:$EH$889,"R")</f>
        <v/>
      </c>
      <c r="AX889">
        <f>IF(BN889="D",1,0)+IF(BO889="D",1,0)+IF(BT889="D",1,0)+IF(BU889="D",1,0)+IF(BW889="D",1,0)+IF(CC889="D",1,0)+IF(CD889="D",1,0)+IF(CE889="D",1,0)+IF(CF889="D",1,0)+IF(CL889="D",1,0)+IF(CM889="D",1,0)+IF(CQ889="D",1,0)+IF(CR889="D",1,0)+IF(CS889="D",1,0)+IF(CW889="D",1,0)+IF(CX889="D",1,0)+IF(DD889="D",1,0)+IF(DE889="D",1,0)+IF(DJ889="D",1,0)+IF(DK889="D",1,0)+IF(DO889="D",1,0)+IF(DP889="D",1,0)+IF(DQ889="D",1,0)+IF(DW889="D",1,0)+IF(DZ889="D",1,0)+IF(EH889="D",1,0)</f>
        <v/>
      </c>
      <c r="AY889">
        <f>IF(DJ889&lt;&gt;"",1,0)+IF(DK889&lt;&gt;"",1,0)+IF(DM889&lt;&gt;"",1,0)+IF(DO889&lt;&gt;"",1,0)+IF(DP889&lt;&gt;"",1,0)+IF(DQ889&lt;&gt;"",1,0)+IF(DS889&lt;&gt;"",1,0)+IF(DT889&lt;&gt;"",1,0)+IF(DV889&lt;&gt;"",1,0)+IF(DW889&lt;&gt;"",1,0)+IF(DX889&lt;&gt;"",1,0)+IF(DY889&lt;&gt;"",1,0)+IF(DZ889&lt;&gt;"",1,0)+IF(EB889&lt;&gt;"",1,0)+IF(EC889&lt;&gt;"",1,0)+IF(ED889&lt;&gt;"",1,0)+IF(EG889&lt;&gt;"",1,0)+IF(EH889&lt;&gt;"",1,0)</f>
        <v/>
      </c>
      <c r="AZ889">
        <f>IF(EH889&lt;&gt;"",1,0)</f>
        <v/>
      </c>
      <c r="BB889" t="inlineStr">
        <is>
          <t>WARREN-WARD 4</t>
        </is>
      </c>
    </row>
    <row r="890">
      <c r="A890" t="inlineStr">
        <is>
          <t>OH0021429640</t>
        </is>
      </c>
      <c r="B890" t="n">
        <v>78</v>
      </c>
      <c r="C890" t="n">
        <v>381360</v>
      </c>
      <c r="D890" t="inlineStr">
        <is>
          <t>VALENTINO</t>
        </is>
      </c>
      <c r="E890" t="inlineStr">
        <is>
          <t>ALEXIS</t>
        </is>
      </c>
      <c r="F890">
        <f>CONCATENATE(D890," ",LEFT(H890,4),"T=",AU890,"D=",AV890,"R=",AW890,"M=",AX890,"L=",AY890,"B=",AZ890)</f>
        <v/>
      </c>
      <c r="G890" t="inlineStr">
        <is>
          <t>E</t>
        </is>
      </c>
      <c r="I890" t="inlineStr">
        <is>
          <t>1993-02-23</t>
        </is>
      </c>
      <c r="J890" t="inlineStr">
        <is>
          <t>2016-11-08</t>
        </is>
      </c>
      <c r="K890" t="inlineStr">
        <is>
          <t>ACTIVE</t>
        </is>
      </c>
      <c r="M890" t="inlineStr">
        <is>
          <t>247 OAK KNOLL AVE SE</t>
        </is>
      </c>
      <c r="N890">
        <f>RIGHT(M890,LEN(M890)-FIND(" ",M890))</f>
        <v/>
      </c>
      <c r="P890" t="inlineStr">
        <is>
          <t>WARREN</t>
        </is>
      </c>
      <c r="Q890" t="inlineStr">
        <is>
          <t>OH</t>
        </is>
      </c>
      <c r="R890" t="n">
        <v>44483</v>
      </c>
      <c r="AD890" t="inlineStr">
        <is>
          <t>TRUMBULL CAREER &amp; TECH CENTER</t>
        </is>
      </c>
      <c r="AE890" t="inlineStr">
        <is>
          <t>WARREN CITY</t>
        </is>
      </c>
      <c r="AF890" t="inlineStr">
        <is>
          <t>WARREN CITY SD</t>
        </is>
      </c>
      <c r="AH890" t="n">
        <v>14</v>
      </c>
      <c r="AI890" t="n">
        <v>11</v>
      </c>
      <c r="AN890" t="inlineStr">
        <is>
          <t>WARREN</t>
        </is>
      </c>
      <c r="AO890" t="inlineStr">
        <is>
          <t>WARREN CITY 4A</t>
        </is>
      </c>
      <c r="AP890" t="inlineStr">
        <is>
          <t>78-P-ADI</t>
        </is>
      </c>
      <c r="AQ890" t="n">
        <v>9</v>
      </c>
      <c r="AR890" t="n">
        <v>64</v>
      </c>
      <c r="AS890" t="n">
        <v>32</v>
      </c>
      <c r="AU890">
        <f>COUNTA($BA$890:$EH$890)</f>
        <v/>
      </c>
      <c r="AV890">
        <f>COUNTIF($BA$890:$EH$890,"D")</f>
        <v/>
      </c>
      <c r="AW890">
        <f>COUNTIF($BA$890:$EH$890,"R")</f>
        <v/>
      </c>
      <c r="AX890">
        <f>IF(BN890="D",1,0)+IF(BO890="D",1,0)+IF(BT890="D",1,0)+IF(BU890="D",1,0)+IF(BW890="D",1,0)+IF(CC890="D",1,0)+IF(CD890="D",1,0)+IF(CE890="D",1,0)+IF(CF890="D",1,0)+IF(CL890="D",1,0)+IF(CM890="D",1,0)+IF(CQ890="D",1,0)+IF(CR890="D",1,0)+IF(CS890="D",1,0)+IF(CW890="D",1,0)+IF(CX890="D",1,0)+IF(DD890="D",1,0)+IF(DE890="D",1,0)+IF(DJ890="D",1,0)+IF(DK890="D",1,0)+IF(DO890="D",1,0)+IF(DP890="D",1,0)+IF(DQ890="D",1,0)+IF(DW890="D",1,0)+IF(DZ890="D",1,0)+IF(EH890="D",1,0)</f>
        <v/>
      </c>
      <c r="AY890">
        <f>IF(DJ890&lt;&gt;"",1,0)+IF(DK890&lt;&gt;"",1,0)+IF(DM890&lt;&gt;"",1,0)+IF(DO890&lt;&gt;"",1,0)+IF(DP890&lt;&gt;"",1,0)+IF(DQ890&lt;&gt;"",1,0)+IF(DS890&lt;&gt;"",1,0)+IF(DT890&lt;&gt;"",1,0)+IF(DV890&lt;&gt;"",1,0)+IF(DW890&lt;&gt;"",1,0)+IF(DX890&lt;&gt;"",1,0)+IF(DY890&lt;&gt;"",1,0)+IF(DZ890&lt;&gt;"",1,0)+IF(EB890&lt;&gt;"",1,0)+IF(EC890&lt;&gt;"",1,0)+IF(ED890&lt;&gt;"",1,0)+IF(EG890&lt;&gt;"",1,0)+IF(EH890&lt;&gt;"",1,0)</f>
        <v/>
      </c>
      <c r="AZ890">
        <f>IF(EH890&lt;&gt;"",1,0)</f>
        <v/>
      </c>
      <c r="BB890" t="inlineStr">
        <is>
          <t>WARREN-WARD 4</t>
        </is>
      </c>
      <c r="CP890" t="inlineStr">
        <is>
          <t>X</t>
        </is>
      </c>
      <c r="CY890" t="inlineStr">
        <is>
          <t>X</t>
        </is>
      </c>
      <c r="DC890" t="inlineStr">
        <is>
          <t>X</t>
        </is>
      </c>
      <c r="DI890" t="inlineStr">
        <is>
          <t>X</t>
        </is>
      </c>
      <c r="DN890" t="inlineStr">
        <is>
          <t>X</t>
        </is>
      </c>
      <c r="EF890" t="inlineStr">
        <is>
          <t>X</t>
        </is>
      </c>
    </row>
    <row r="891">
      <c r="A891" t="inlineStr">
        <is>
          <t>OH0025124010</t>
        </is>
      </c>
      <c r="B891" t="n">
        <v>78</v>
      </c>
      <c r="C891" t="n">
        <v>440058</v>
      </c>
      <c r="D891" t="inlineStr">
        <is>
          <t>GILMORE</t>
        </is>
      </c>
      <c r="E891" t="inlineStr">
        <is>
          <t>JOSHUA</t>
        </is>
      </c>
      <c r="F891">
        <f>CONCATENATE(D891," ",LEFT(H891,4),"T=",AU891,"D=",AV891,"R=",AW891,"M=",AX891,"L=",AY891,"B=",AZ891)</f>
        <v/>
      </c>
      <c r="G891" t="inlineStr">
        <is>
          <t>MICHAEL TAYLOR</t>
        </is>
      </c>
      <c r="I891" t="inlineStr">
        <is>
          <t>2000-01-15</t>
        </is>
      </c>
      <c r="J891" t="inlineStr">
        <is>
          <t>2024-08-21</t>
        </is>
      </c>
      <c r="K891" t="inlineStr">
        <is>
          <t>ACTIVE</t>
        </is>
      </c>
      <c r="M891" t="inlineStr">
        <is>
          <t>357 LAIRD AVE SE</t>
        </is>
      </c>
      <c r="N891">
        <f>RIGHT(M891,LEN(M891)-FIND(" ",M891))</f>
        <v/>
      </c>
      <c r="P891" t="inlineStr">
        <is>
          <t>WARREN</t>
        </is>
      </c>
      <c r="Q891" t="inlineStr">
        <is>
          <t>OH</t>
        </is>
      </c>
      <c r="R891" t="n">
        <v>44483</v>
      </c>
      <c r="AD891" t="inlineStr">
        <is>
          <t>TRUMBULL CAREER &amp; TECH CENTER</t>
        </is>
      </c>
      <c r="AE891" t="inlineStr">
        <is>
          <t>WARREN CITY</t>
        </is>
      </c>
      <c r="AF891" t="inlineStr">
        <is>
          <t>WARREN CITY SD</t>
        </is>
      </c>
      <c r="AH891" t="n">
        <v>14</v>
      </c>
      <c r="AI891" t="n">
        <v>11</v>
      </c>
      <c r="AN891" t="inlineStr">
        <is>
          <t>WARREN</t>
        </is>
      </c>
      <c r="AO891" t="inlineStr">
        <is>
          <t>WARREN CITY 4A</t>
        </is>
      </c>
      <c r="AP891" t="inlineStr">
        <is>
          <t>78-P-ADI</t>
        </is>
      </c>
      <c r="AQ891" t="n">
        <v>9</v>
      </c>
      <c r="AR891" t="n">
        <v>64</v>
      </c>
      <c r="AS891" t="n">
        <v>32</v>
      </c>
      <c r="AU891">
        <f>COUNTA($BA$891:$EH$891)</f>
        <v/>
      </c>
      <c r="AV891">
        <f>COUNTIF($BA$891:$EH$891,"D")</f>
        <v/>
      </c>
      <c r="AW891">
        <f>COUNTIF($BA$891:$EH$891,"R")</f>
        <v/>
      </c>
      <c r="AX891">
        <f>IF(BN891="D",1,0)+IF(BO891="D",1,0)+IF(BT891="D",1,0)+IF(BU891="D",1,0)+IF(BW891="D",1,0)+IF(CC891="D",1,0)+IF(CD891="D",1,0)+IF(CE891="D",1,0)+IF(CF891="D",1,0)+IF(CL891="D",1,0)+IF(CM891="D",1,0)+IF(CQ891="D",1,0)+IF(CR891="D",1,0)+IF(CS891="D",1,0)+IF(CW891="D",1,0)+IF(CX891="D",1,0)+IF(DD891="D",1,0)+IF(DE891="D",1,0)+IF(DJ891="D",1,0)+IF(DK891="D",1,0)+IF(DO891="D",1,0)+IF(DP891="D",1,0)+IF(DQ891="D",1,0)+IF(DW891="D",1,0)+IF(DZ891="D",1,0)+IF(EH891="D",1,0)</f>
        <v/>
      </c>
      <c r="AY891">
        <f>IF(DJ891&lt;&gt;"",1,0)+IF(DK891&lt;&gt;"",1,0)+IF(DM891&lt;&gt;"",1,0)+IF(DO891&lt;&gt;"",1,0)+IF(DP891&lt;&gt;"",1,0)+IF(DQ891&lt;&gt;"",1,0)+IF(DS891&lt;&gt;"",1,0)+IF(DT891&lt;&gt;"",1,0)+IF(DV891&lt;&gt;"",1,0)+IF(DW891&lt;&gt;"",1,0)+IF(DX891&lt;&gt;"",1,0)+IF(DY891&lt;&gt;"",1,0)+IF(DZ891&lt;&gt;"",1,0)+IF(EB891&lt;&gt;"",1,0)+IF(EC891&lt;&gt;"",1,0)+IF(ED891&lt;&gt;"",1,0)+IF(EG891&lt;&gt;"",1,0)+IF(EH891&lt;&gt;"",1,0)</f>
        <v/>
      </c>
      <c r="AZ891">
        <f>IF(EH891&lt;&gt;"",1,0)</f>
        <v/>
      </c>
      <c r="BB891" t="inlineStr">
        <is>
          <t>WARREN-WARD 4</t>
        </is>
      </c>
    </row>
    <row r="892">
      <c r="A892" t="inlineStr">
        <is>
          <t>OH0023974959</t>
        </is>
      </c>
      <c r="B892" t="n">
        <v>78</v>
      </c>
      <c r="C892" t="n">
        <v>420637</v>
      </c>
      <c r="D892" t="inlineStr">
        <is>
          <t>HERNANDEZ</t>
        </is>
      </c>
      <c r="E892" t="inlineStr">
        <is>
          <t>ASHLEY</t>
        </is>
      </c>
      <c r="F892">
        <f>CONCATENATE(D892," ",LEFT(H892,4),"T=",AU892,"D=",AV892,"R=",AW892,"M=",AX892,"L=",AY892,"B=",AZ892)</f>
        <v/>
      </c>
      <c r="G892" t="inlineStr">
        <is>
          <t>NICOLE</t>
        </is>
      </c>
      <c r="I892" t="inlineStr">
        <is>
          <t>1998-09-02</t>
        </is>
      </c>
      <c r="J892" t="inlineStr">
        <is>
          <t>2025-01-13</t>
        </is>
      </c>
      <c r="K892" t="inlineStr">
        <is>
          <t>ACTIVE</t>
        </is>
      </c>
      <c r="M892" t="inlineStr">
        <is>
          <t>341 LOGAN AVE SE</t>
        </is>
      </c>
      <c r="N892">
        <f>RIGHT(M892,LEN(M892)-FIND(" ",M892))</f>
        <v/>
      </c>
      <c r="P892" t="inlineStr">
        <is>
          <t>WARREN</t>
        </is>
      </c>
      <c r="Q892" t="inlineStr">
        <is>
          <t>OH</t>
        </is>
      </c>
      <c r="R892" t="n">
        <v>44483</v>
      </c>
      <c r="AD892" t="inlineStr">
        <is>
          <t>TRUMBULL CAREER &amp; TECH CENTER</t>
        </is>
      </c>
      <c r="AE892" t="inlineStr">
        <is>
          <t>WARREN CITY</t>
        </is>
      </c>
      <c r="AF892" t="inlineStr">
        <is>
          <t>WARREN CITY SD</t>
        </is>
      </c>
      <c r="AH892" t="n">
        <v>14</v>
      </c>
      <c r="AI892" t="n">
        <v>11</v>
      </c>
      <c r="AN892" t="inlineStr">
        <is>
          <t>WARREN</t>
        </is>
      </c>
      <c r="AO892" t="inlineStr">
        <is>
          <t>WARREN CITY 4A</t>
        </is>
      </c>
      <c r="AP892" t="inlineStr">
        <is>
          <t>78-P-ADI</t>
        </is>
      </c>
      <c r="AQ892" t="n">
        <v>9</v>
      </c>
      <c r="AR892" t="n">
        <v>64</v>
      </c>
      <c r="AS892" t="n">
        <v>32</v>
      </c>
      <c r="AU892">
        <f>COUNTA($BA$892:$EH$892)</f>
        <v/>
      </c>
      <c r="AV892">
        <f>COUNTIF($BA$892:$EH$892,"D")</f>
        <v/>
      </c>
      <c r="AW892">
        <f>COUNTIF($BA$892:$EH$892,"R")</f>
        <v/>
      </c>
      <c r="AX892">
        <f>IF(BN892="D",1,0)+IF(BO892="D",1,0)+IF(BT892="D",1,0)+IF(BU892="D",1,0)+IF(BW892="D",1,0)+IF(CC892="D",1,0)+IF(CD892="D",1,0)+IF(CE892="D",1,0)+IF(CF892="D",1,0)+IF(CL892="D",1,0)+IF(CM892="D",1,0)+IF(CQ892="D",1,0)+IF(CR892="D",1,0)+IF(CS892="D",1,0)+IF(CW892="D",1,0)+IF(CX892="D",1,0)+IF(DD892="D",1,0)+IF(DE892="D",1,0)+IF(DJ892="D",1,0)+IF(DK892="D",1,0)+IF(DO892="D",1,0)+IF(DP892="D",1,0)+IF(DQ892="D",1,0)+IF(DW892="D",1,0)+IF(DZ892="D",1,0)+IF(EH892="D",1,0)</f>
        <v/>
      </c>
      <c r="AY892">
        <f>IF(DJ892&lt;&gt;"",1,0)+IF(DK892&lt;&gt;"",1,0)+IF(DM892&lt;&gt;"",1,0)+IF(DO892&lt;&gt;"",1,0)+IF(DP892&lt;&gt;"",1,0)+IF(DQ892&lt;&gt;"",1,0)+IF(DS892&lt;&gt;"",1,0)+IF(DT892&lt;&gt;"",1,0)+IF(DV892&lt;&gt;"",1,0)+IF(DW892&lt;&gt;"",1,0)+IF(DX892&lt;&gt;"",1,0)+IF(DY892&lt;&gt;"",1,0)+IF(DZ892&lt;&gt;"",1,0)+IF(EB892&lt;&gt;"",1,0)+IF(EC892&lt;&gt;"",1,0)+IF(ED892&lt;&gt;"",1,0)+IF(EG892&lt;&gt;"",1,0)+IF(EH892&lt;&gt;"",1,0)</f>
        <v/>
      </c>
      <c r="AZ892">
        <f>IF(EH892&lt;&gt;"",1,0)</f>
        <v/>
      </c>
      <c r="BB892" t="inlineStr">
        <is>
          <t>WARREN-WARD 4</t>
        </is>
      </c>
    </row>
    <row r="893">
      <c r="A893" t="inlineStr">
        <is>
          <t>OH0027260548</t>
        </is>
      </c>
      <c r="B893" t="n">
        <v>78</v>
      </c>
      <c r="C893" t="n">
        <v>483689</v>
      </c>
      <c r="D893" t="inlineStr">
        <is>
          <t>MENAPACE</t>
        </is>
      </c>
      <c r="E893" t="inlineStr">
        <is>
          <t>LENA</t>
        </is>
      </c>
      <c r="F893">
        <f>CONCATENATE(D893," ",LEFT(H893,4),"T=",AU893,"D=",AV893,"R=",AW893,"M=",AX893,"L=",AY893,"B=",AZ893)</f>
        <v/>
      </c>
      <c r="G893" t="inlineStr">
        <is>
          <t>MARIAH</t>
        </is>
      </c>
      <c r="I893" t="inlineStr">
        <is>
          <t>2000-02-26</t>
        </is>
      </c>
      <c r="J893" t="inlineStr">
        <is>
          <t>2024-02-15</t>
        </is>
      </c>
      <c r="K893" t="inlineStr">
        <is>
          <t>ACTIVE</t>
        </is>
      </c>
      <c r="M893" t="inlineStr">
        <is>
          <t>167 CHARLES AVE SE</t>
        </is>
      </c>
      <c r="N893">
        <f>RIGHT(M893,LEN(M893)-FIND(" ",M893))</f>
        <v/>
      </c>
      <c r="P893" t="inlineStr">
        <is>
          <t>WARREN</t>
        </is>
      </c>
      <c r="Q893" t="inlineStr">
        <is>
          <t>OH</t>
        </is>
      </c>
      <c r="R893" t="n">
        <v>44483</v>
      </c>
      <c r="AD893" t="inlineStr">
        <is>
          <t>TRUMBULL CAREER &amp; TECH CENTER</t>
        </is>
      </c>
      <c r="AE893" t="inlineStr">
        <is>
          <t>WARREN CITY</t>
        </is>
      </c>
      <c r="AF893" t="inlineStr">
        <is>
          <t>WARREN CITY SD</t>
        </is>
      </c>
      <c r="AH893" t="n">
        <v>14</v>
      </c>
      <c r="AI893" t="n">
        <v>11</v>
      </c>
      <c r="AN893" t="inlineStr">
        <is>
          <t>WARREN</t>
        </is>
      </c>
      <c r="AO893" t="inlineStr">
        <is>
          <t>WARREN CITY 4A</t>
        </is>
      </c>
      <c r="AP893" t="inlineStr">
        <is>
          <t>78-P-ADI</t>
        </is>
      </c>
      <c r="AQ893" t="n">
        <v>9</v>
      </c>
      <c r="AR893" t="n">
        <v>64</v>
      </c>
      <c r="AS893" t="n">
        <v>32</v>
      </c>
      <c r="AU893">
        <f>COUNTA($BA$893:$EH$893)</f>
        <v/>
      </c>
      <c r="AV893">
        <f>COUNTIF($BA$893:$EH$893,"D")</f>
        <v/>
      </c>
      <c r="AW893">
        <f>COUNTIF($BA$893:$EH$893,"R")</f>
        <v/>
      </c>
      <c r="AX893">
        <f>IF(BN893="D",1,0)+IF(BO893="D",1,0)+IF(BT893="D",1,0)+IF(BU893="D",1,0)+IF(BW893="D",1,0)+IF(CC893="D",1,0)+IF(CD893="D",1,0)+IF(CE893="D",1,0)+IF(CF893="D",1,0)+IF(CL893="D",1,0)+IF(CM893="D",1,0)+IF(CQ893="D",1,0)+IF(CR893="D",1,0)+IF(CS893="D",1,0)+IF(CW893="D",1,0)+IF(CX893="D",1,0)+IF(DD893="D",1,0)+IF(DE893="D",1,0)+IF(DJ893="D",1,0)+IF(DK893="D",1,0)+IF(DO893="D",1,0)+IF(DP893="D",1,0)+IF(DQ893="D",1,0)+IF(DW893="D",1,0)+IF(DZ893="D",1,0)+IF(EH893="D",1,0)</f>
        <v/>
      </c>
      <c r="AY893">
        <f>IF(DJ893&lt;&gt;"",1,0)+IF(DK893&lt;&gt;"",1,0)+IF(DM893&lt;&gt;"",1,0)+IF(DO893&lt;&gt;"",1,0)+IF(DP893&lt;&gt;"",1,0)+IF(DQ893&lt;&gt;"",1,0)+IF(DS893&lt;&gt;"",1,0)+IF(DT893&lt;&gt;"",1,0)+IF(DV893&lt;&gt;"",1,0)+IF(DW893&lt;&gt;"",1,0)+IF(DX893&lt;&gt;"",1,0)+IF(DY893&lt;&gt;"",1,0)+IF(DZ893&lt;&gt;"",1,0)+IF(EB893&lt;&gt;"",1,0)+IF(EC893&lt;&gt;"",1,0)+IF(ED893&lt;&gt;"",1,0)+IF(EG893&lt;&gt;"",1,0)+IF(EH893&lt;&gt;"",1,0)</f>
        <v/>
      </c>
      <c r="AZ893">
        <f>IF(EH893&lt;&gt;"",1,0)</f>
        <v/>
      </c>
      <c r="BB893" t="inlineStr">
        <is>
          <t>WARREN-WARD 4</t>
        </is>
      </c>
      <c r="EF893" t="inlineStr">
        <is>
          <t>X</t>
        </is>
      </c>
    </row>
    <row r="894">
      <c r="A894" t="inlineStr">
        <is>
          <t>OH0023094444</t>
        </is>
      </c>
      <c r="B894" t="n">
        <v>78</v>
      </c>
      <c r="C894" t="n">
        <v>407112</v>
      </c>
      <c r="D894" t="inlineStr">
        <is>
          <t>BOWERS</t>
        </is>
      </c>
      <c r="E894" t="inlineStr">
        <is>
          <t>DENNIS</t>
        </is>
      </c>
      <c r="F894">
        <f>CONCATENATE(D894," ",LEFT(H894,4),"T=",AU894,"D=",AV894,"R=",AW894,"M=",AX894,"L=",AY894,"B=",AZ894)</f>
        <v/>
      </c>
      <c r="G894" t="inlineStr">
        <is>
          <t>JAMES</t>
        </is>
      </c>
      <c r="I894" t="inlineStr">
        <is>
          <t>1989-03-21</t>
        </is>
      </c>
      <c r="J894" t="inlineStr">
        <is>
          <t>2015-03-30</t>
        </is>
      </c>
      <c r="K894" t="inlineStr">
        <is>
          <t>CONFIRMATION</t>
        </is>
      </c>
      <c r="M894" t="inlineStr">
        <is>
          <t>1325 BELLE ST SE</t>
        </is>
      </c>
      <c r="N894">
        <f>RIGHT(M894,LEN(M894)-FIND(" ",M894))</f>
        <v/>
      </c>
      <c r="P894" t="inlineStr">
        <is>
          <t>WARREN</t>
        </is>
      </c>
      <c r="Q894" t="inlineStr">
        <is>
          <t>OH</t>
        </is>
      </c>
      <c r="R894" t="n">
        <v>44484</v>
      </c>
      <c r="AD894" t="inlineStr">
        <is>
          <t>TRUMBULL CAREER &amp; TECH CENTER</t>
        </is>
      </c>
      <c r="AE894" t="inlineStr">
        <is>
          <t>WARREN CITY</t>
        </is>
      </c>
      <c r="AF894" t="inlineStr">
        <is>
          <t>WARREN CITY SD</t>
        </is>
      </c>
      <c r="AH894" t="n">
        <v>14</v>
      </c>
      <c r="AI894" t="n">
        <v>11</v>
      </c>
      <c r="AN894" t="inlineStr">
        <is>
          <t>WARREN</t>
        </is>
      </c>
      <c r="AO894" t="inlineStr">
        <is>
          <t>WARREN CITY 4A</t>
        </is>
      </c>
      <c r="AP894" t="inlineStr">
        <is>
          <t>78-P-ADI</t>
        </is>
      </c>
      <c r="AQ894" t="n">
        <v>9</v>
      </c>
      <c r="AR894" t="n">
        <v>64</v>
      </c>
      <c r="AS894" t="n">
        <v>32</v>
      </c>
      <c r="AU894">
        <f>COUNTA($BA$894:$EH$894)</f>
        <v/>
      </c>
      <c r="AV894">
        <f>COUNTIF($BA$894:$EH$894,"D")</f>
        <v/>
      </c>
      <c r="AW894">
        <f>COUNTIF($BA$894:$EH$894,"R")</f>
        <v/>
      </c>
      <c r="AX894">
        <f>IF(BN894="D",1,0)+IF(BO894="D",1,0)+IF(BT894="D",1,0)+IF(BU894="D",1,0)+IF(BW894="D",1,0)+IF(CC894="D",1,0)+IF(CD894="D",1,0)+IF(CE894="D",1,0)+IF(CF894="D",1,0)+IF(CL894="D",1,0)+IF(CM894="D",1,0)+IF(CQ894="D",1,0)+IF(CR894="D",1,0)+IF(CS894="D",1,0)+IF(CW894="D",1,0)+IF(CX894="D",1,0)+IF(DD894="D",1,0)+IF(DE894="D",1,0)+IF(DJ894="D",1,0)+IF(DK894="D",1,0)+IF(DO894="D",1,0)+IF(DP894="D",1,0)+IF(DQ894="D",1,0)+IF(DW894="D",1,0)+IF(DZ894="D",1,0)+IF(EH894="D",1,0)</f>
        <v/>
      </c>
      <c r="AY894">
        <f>IF(DJ894&lt;&gt;"",1,0)+IF(DK894&lt;&gt;"",1,0)+IF(DM894&lt;&gt;"",1,0)+IF(DO894&lt;&gt;"",1,0)+IF(DP894&lt;&gt;"",1,0)+IF(DQ894&lt;&gt;"",1,0)+IF(DS894&lt;&gt;"",1,0)+IF(DT894&lt;&gt;"",1,0)+IF(DV894&lt;&gt;"",1,0)+IF(DW894&lt;&gt;"",1,0)+IF(DX894&lt;&gt;"",1,0)+IF(DY894&lt;&gt;"",1,0)+IF(DZ894&lt;&gt;"",1,0)+IF(EB894&lt;&gt;"",1,0)+IF(EC894&lt;&gt;"",1,0)+IF(ED894&lt;&gt;"",1,0)+IF(EG894&lt;&gt;"",1,0)+IF(EH894&lt;&gt;"",1,0)</f>
        <v/>
      </c>
      <c r="AZ894">
        <f>IF(EH894&lt;&gt;"",1,0)</f>
        <v/>
      </c>
      <c r="BB894" t="inlineStr">
        <is>
          <t>WARREN-WARD 4</t>
        </is>
      </c>
    </row>
    <row r="895">
      <c r="A895" t="inlineStr">
        <is>
          <t>OH0015686027</t>
        </is>
      </c>
      <c r="B895" t="n">
        <v>78</v>
      </c>
      <c r="C895" t="n">
        <v>12371</v>
      </c>
      <c r="D895" t="inlineStr">
        <is>
          <t>GLASS</t>
        </is>
      </c>
      <c r="E895" t="inlineStr">
        <is>
          <t>ARLENE</t>
        </is>
      </c>
      <c r="F895">
        <f>CONCATENATE(D895," ",LEFT(H895,4),"T=",AU895,"D=",AV895,"R=",AW895,"M=",AX895,"L=",AY895,"B=",AZ895)</f>
        <v/>
      </c>
      <c r="G895" t="inlineStr">
        <is>
          <t>FAYE</t>
        </is>
      </c>
      <c r="I895" t="inlineStr">
        <is>
          <t>1954-06-03</t>
        </is>
      </c>
      <c r="J895" t="inlineStr">
        <is>
          <t>2011-06-18</t>
        </is>
      </c>
      <c r="K895" t="inlineStr">
        <is>
          <t>ACTIVE</t>
        </is>
      </c>
      <c r="L895" t="inlineStr">
        <is>
          <t>D</t>
        </is>
      </c>
      <c r="M895" t="inlineStr">
        <is>
          <t>325 OAK KNOLL AVE SE</t>
        </is>
      </c>
      <c r="N895">
        <f>RIGHT(M895,LEN(M895)-FIND(" ",M895))</f>
        <v/>
      </c>
      <c r="P895" t="inlineStr">
        <is>
          <t>WARREN</t>
        </is>
      </c>
      <c r="Q895" t="inlineStr">
        <is>
          <t>OH</t>
        </is>
      </c>
      <c r="R895" t="n">
        <v>44483</v>
      </c>
      <c r="AD895" t="inlineStr">
        <is>
          <t>TRUMBULL CAREER &amp; TECH CENTER</t>
        </is>
      </c>
      <c r="AE895" t="inlineStr">
        <is>
          <t>WARREN CITY</t>
        </is>
      </c>
      <c r="AF895" t="inlineStr">
        <is>
          <t>WARREN CITY SD</t>
        </is>
      </c>
      <c r="AH895" t="n">
        <v>14</v>
      </c>
      <c r="AI895" t="n">
        <v>11</v>
      </c>
      <c r="AN895" t="inlineStr">
        <is>
          <t>WARREN</t>
        </is>
      </c>
      <c r="AO895" t="inlineStr">
        <is>
          <t>WARREN CITY 4A</t>
        </is>
      </c>
      <c r="AP895" t="inlineStr">
        <is>
          <t>78-P-ADI</t>
        </is>
      </c>
      <c r="AQ895" t="n">
        <v>9</v>
      </c>
      <c r="AR895" t="n">
        <v>64</v>
      </c>
      <c r="AS895" t="n">
        <v>32</v>
      </c>
      <c r="AU895">
        <f>COUNTA($BA$895:$EH$895)</f>
        <v/>
      </c>
      <c r="AV895">
        <f>COUNTIF($BA$895:$EH$895,"D")</f>
        <v/>
      </c>
      <c r="AW895">
        <f>COUNTIF($BA$895:$EH$895,"R")</f>
        <v/>
      </c>
      <c r="AX895">
        <f>IF(BN895="D",1,0)+IF(BO895="D",1,0)+IF(BT895="D",1,0)+IF(BU895="D",1,0)+IF(BW895="D",1,0)+IF(CC895="D",1,0)+IF(CD895="D",1,0)+IF(CE895="D",1,0)+IF(CF895="D",1,0)+IF(CL895="D",1,0)+IF(CM895="D",1,0)+IF(CQ895="D",1,0)+IF(CR895="D",1,0)+IF(CS895="D",1,0)+IF(CW895="D",1,0)+IF(CX895="D",1,0)+IF(DD895="D",1,0)+IF(DE895="D",1,0)+IF(DJ895="D",1,0)+IF(DK895="D",1,0)+IF(DO895="D",1,0)+IF(DP895="D",1,0)+IF(DQ895="D",1,0)+IF(DW895="D",1,0)+IF(DZ895="D",1,0)+IF(EH895="D",1,0)</f>
        <v/>
      </c>
      <c r="AY895">
        <f>IF(DJ895&lt;&gt;"",1,0)+IF(DK895&lt;&gt;"",1,0)+IF(DM895&lt;&gt;"",1,0)+IF(DO895&lt;&gt;"",1,0)+IF(DP895&lt;&gt;"",1,0)+IF(DQ895&lt;&gt;"",1,0)+IF(DS895&lt;&gt;"",1,0)+IF(DT895&lt;&gt;"",1,0)+IF(DV895&lt;&gt;"",1,0)+IF(DW895&lt;&gt;"",1,0)+IF(DX895&lt;&gt;"",1,0)+IF(DY895&lt;&gt;"",1,0)+IF(DZ895&lt;&gt;"",1,0)+IF(EB895&lt;&gt;"",1,0)+IF(EC895&lt;&gt;"",1,0)+IF(ED895&lt;&gt;"",1,0)+IF(EG895&lt;&gt;"",1,0)+IF(EH895&lt;&gt;"",1,0)</f>
        <v/>
      </c>
      <c r="AZ895">
        <f>IF(EH895&lt;&gt;"",1,0)</f>
        <v/>
      </c>
      <c r="BB895" t="inlineStr">
        <is>
          <t>WARREN-WARD 4</t>
        </is>
      </c>
      <c r="BD895" t="inlineStr">
        <is>
          <t>X</t>
        </is>
      </c>
      <c r="BH895" t="inlineStr">
        <is>
          <t>X</t>
        </is>
      </c>
      <c r="BL895" t="inlineStr">
        <is>
          <t>X</t>
        </is>
      </c>
      <c r="BY895" t="inlineStr">
        <is>
          <t>D</t>
        </is>
      </c>
      <c r="CA895" t="inlineStr">
        <is>
          <t>X</t>
        </is>
      </c>
      <c r="CP895" t="inlineStr">
        <is>
          <t>X</t>
        </is>
      </c>
      <c r="CV895" t="inlineStr">
        <is>
          <t>X</t>
        </is>
      </c>
      <c r="CZ895" t="inlineStr">
        <is>
          <t>R</t>
        </is>
      </c>
      <c r="DC895" t="inlineStr">
        <is>
          <t>X</t>
        </is>
      </c>
      <c r="DI895" t="inlineStr">
        <is>
          <t>X</t>
        </is>
      </c>
      <c r="DN895" t="inlineStr">
        <is>
          <t>X</t>
        </is>
      </c>
      <c r="DU895" t="inlineStr">
        <is>
          <t>X</t>
        </is>
      </c>
      <c r="DW895" t="inlineStr">
        <is>
          <t>D</t>
        </is>
      </c>
      <c r="DX895" t="inlineStr">
        <is>
          <t>X</t>
        </is>
      </c>
      <c r="EA895" t="inlineStr">
        <is>
          <t>X</t>
        </is>
      </c>
      <c r="ED895" t="inlineStr">
        <is>
          <t>D</t>
        </is>
      </c>
      <c r="EF895" t="inlineStr">
        <is>
          <t>X</t>
        </is>
      </c>
    </row>
    <row r="896">
      <c r="A896" t="inlineStr">
        <is>
          <t>OH0023019261</t>
        </is>
      </c>
      <c r="B896" t="n">
        <v>78</v>
      </c>
      <c r="C896" t="n">
        <v>405378</v>
      </c>
      <c r="D896" t="inlineStr">
        <is>
          <t>ALLEN</t>
        </is>
      </c>
      <c r="E896" t="inlineStr">
        <is>
          <t>RUKIYA</t>
        </is>
      </c>
      <c r="F896">
        <f>CONCATENATE(D896," ",LEFT(H896,4),"T=",AU896,"D=",AV896,"R=",AW896,"M=",AX896,"L=",AY896,"B=",AZ896)</f>
        <v/>
      </c>
      <c r="G896" t="inlineStr">
        <is>
          <t>D</t>
        </is>
      </c>
      <c r="I896" t="inlineStr">
        <is>
          <t>1996-08-06</t>
        </is>
      </c>
      <c r="J896" t="inlineStr">
        <is>
          <t>2020-10-19</t>
        </is>
      </c>
      <c r="K896" t="inlineStr">
        <is>
          <t>CONFIRMATION</t>
        </is>
      </c>
      <c r="M896" t="inlineStr">
        <is>
          <t>346 LAIRD AVE SE</t>
        </is>
      </c>
      <c r="N896">
        <f>RIGHT(M896,LEN(M896)-FIND(" ",M896))</f>
        <v/>
      </c>
      <c r="P896" t="inlineStr">
        <is>
          <t>WARREN</t>
        </is>
      </c>
      <c r="Q896" t="inlineStr">
        <is>
          <t>OH</t>
        </is>
      </c>
      <c r="R896" t="n">
        <v>44483</v>
      </c>
      <c r="AD896" t="inlineStr">
        <is>
          <t>TRUMBULL CAREER &amp; TECH CENTER</t>
        </is>
      </c>
      <c r="AE896" t="inlineStr">
        <is>
          <t>WARREN CITY</t>
        </is>
      </c>
      <c r="AF896" t="inlineStr">
        <is>
          <t>WARREN CITY SD</t>
        </is>
      </c>
      <c r="AH896" t="n">
        <v>14</v>
      </c>
      <c r="AI896" t="n">
        <v>11</v>
      </c>
      <c r="AN896" t="inlineStr">
        <is>
          <t>WARREN</t>
        </is>
      </c>
      <c r="AO896" t="inlineStr">
        <is>
          <t>WARREN CITY 4A</t>
        </is>
      </c>
      <c r="AP896" t="inlineStr">
        <is>
          <t>78-P-ADI</t>
        </is>
      </c>
      <c r="AQ896" t="n">
        <v>9</v>
      </c>
      <c r="AR896" t="n">
        <v>64</v>
      </c>
      <c r="AS896" t="n">
        <v>32</v>
      </c>
      <c r="AU896">
        <f>COUNTA($BA$896:$EH$896)</f>
        <v/>
      </c>
      <c r="AV896">
        <f>COUNTIF($BA$896:$EH$896,"D")</f>
        <v/>
      </c>
      <c r="AW896">
        <f>COUNTIF($BA$896:$EH$896,"R")</f>
        <v/>
      </c>
      <c r="AX896">
        <f>IF(BN896="D",1,0)+IF(BO896="D",1,0)+IF(BT896="D",1,0)+IF(BU896="D",1,0)+IF(BW896="D",1,0)+IF(CC896="D",1,0)+IF(CD896="D",1,0)+IF(CE896="D",1,0)+IF(CF896="D",1,0)+IF(CL896="D",1,0)+IF(CM896="D",1,0)+IF(CQ896="D",1,0)+IF(CR896="D",1,0)+IF(CS896="D",1,0)+IF(CW896="D",1,0)+IF(CX896="D",1,0)+IF(DD896="D",1,0)+IF(DE896="D",1,0)+IF(DJ896="D",1,0)+IF(DK896="D",1,0)+IF(DO896="D",1,0)+IF(DP896="D",1,0)+IF(DQ896="D",1,0)+IF(DW896="D",1,0)+IF(DZ896="D",1,0)+IF(EH896="D",1,0)</f>
        <v/>
      </c>
      <c r="AY896">
        <f>IF(DJ896&lt;&gt;"",1,0)+IF(DK896&lt;&gt;"",1,0)+IF(DM896&lt;&gt;"",1,0)+IF(DO896&lt;&gt;"",1,0)+IF(DP896&lt;&gt;"",1,0)+IF(DQ896&lt;&gt;"",1,0)+IF(DS896&lt;&gt;"",1,0)+IF(DT896&lt;&gt;"",1,0)+IF(DV896&lt;&gt;"",1,0)+IF(DW896&lt;&gt;"",1,0)+IF(DX896&lt;&gt;"",1,0)+IF(DY896&lt;&gt;"",1,0)+IF(DZ896&lt;&gt;"",1,0)+IF(EB896&lt;&gt;"",1,0)+IF(EC896&lt;&gt;"",1,0)+IF(ED896&lt;&gt;"",1,0)+IF(EG896&lt;&gt;"",1,0)+IF(EH896&lt;&gt;"",1,0)</f>
        <v/>
      </c>
      <c r="AZ896">
        <f>IF(EH896&lt;&gt;"",1,0)</f>
        <v/>
      </c>
      <c r="BB896" t="inlineStr">
        <is>
          <t>WARREN-WARD 4</t>
        </is>
      </c>
      <c r="CY896" t="inlineStr">
        <is>
          <t>X</t>
        </is>
      </c>
      <c r="DI896" t="inlineStr">
        <is>
          <t>X</t>
        </is>
      </c>
    </row>
    <row r="897">
      <c r="A897" t="inlineStr">
        <is>
          <t>OH0015683898</t>
        </is>
      </c>
      <c r="B897" t="n">
        <v>78</v>
      </c>
      <c r="C897" t="n">
        <v>1190</v>
      </c>
      <c r="D897" t="inlineStr">
        <is>
          <t>BLOSE</t>
        </is>
      </c>
      <c r="E897" t="inlineStr">
        <is>
          <t>STEPHANIE</t>
        </is>
      </c>
      <c r="F897">
        <f>CONCATENATE(D897," ",LEFT(H897,4),"T=",AU897,"D=",AV897,"R=",AW897,"M=",AX897,"L=",AY897,"B=",AZ897)</f>
        <v/>
      </c>
      <c r="G897" t="inlineStr">
        <is>
          <t>S</t>
        </is>
      </c>
      <c r="I897" t="inlineStr">
        <is>
          <t>1954-03-15</t>
        </is>
      </c>
      <c r="J897" t="inlineStr">
        <is>
          <t>1976-01-26</t>
        </is>
      </c>
      <c r="K897" t="inlineStr">
        <is>
          <t>ACTIVE</t>
        </is>
      </c>
      <c r="L897" t="inlineStr">
        <is>
          <t>D</t>
        </is>
      </c>
      <c r="M897" t="inlineStr">
        <is>
          <t>826 HOMEWOOD AVE SE</t>
        </is>
      </c>
      <c r="N897">
        <f>RIGHT(M897,LEN(M897)-FIND(" ",M897))</f>
        <v/>
      </c>
      <c r="P897" t="inlineStr">
        <is>
          <t>WARREN</t>
        </is>
      </c>
      <c r="Q897" t="inlineStr">
        <is>
          <t>OH</t>
        </is>
      </c>
      <c r="R897" t="n">
        <v>44484</v>
      </c>
      <c r="AD897" t="inlineStr">
        <is>
          <t>TRUMBULL CAREER &amp; TECH CENTER</t>
        </is>
      </c>
      <c r="AE897" t="inlineStr">
        <is>
          <t>WARREN CITY</t>
        </is>
      </c>
      <c r="AF897" t="inlineStr">
        <is>
          <t>WARREN CITY SD</t>
        </is>
      </c>
      <c r="AH897" t="n">
        <v>14</v>
      </c>
      <c r="AI897" t="n">
        <v>11</v>
      </c>
      <c r="AN897" t="inlineStr">
        <is>
          <t>WARREN</t>
        </is>
      </c>
      <c r="AO897" t="inlineStr">
        <is>
          <t>WARREN CITY 4A</t>
        </is>
      </c>
      <c r="AP897" t="inlineStr">
        <is>
          <t>78-P-ADI</t>
        </is>
      </c>
      <c r="AQ897" t="n">
        <v>9</v>
      </c>
      <c r="AR897" t="n">
        <v>64</v>
      </c>
      <c r="AS897" t="n">
        <v>32</v>
      </c>
      <c r="AU897">
        <f>COUNTA($BA$897:$EH$897)</f>
        <v/>
      </c>
      <c r="AV897">
        <f>COUNTIF($BA$897:$EH$897,"D")</f>
        <v/>
      </c>
      <c r="AW897">
        <f>COUNTIF($BA$897:$EH$897,"R")</f>
        <v/>
      </c>
      <c r="AX897">
        <f>IF(BN897="D",1,0)+IF(BO897="D",1,0)+IF(BT897="D",1,0)+IF(BU897="D",1,0)+IF(BW897="D",1,0)+IF(CC897="D",1,0)+IF(CD897="D",1,0)+IF(CE897="D",1,0)+IF(CF897="D",1,0)+IF(CL897="D",1,0)+IF(CM897="D",1,0)+IF(CQ897="D",1,0)+IF(CR897="D",1,0)+IF(CS897="D",1,0)+IF(CW897="D",1,0)+IF(CX897="D",1,0)+IF(DD897="D",1,0)+IF(DE897="D",1,0)+IF(DJ897="D",1,0)+IF(DK897="D",1,0)+IF(DO897="D",1,0)+IF(DP897="D",1,0)+IF(DQ897="D",1,0)+IF(DW897="D",1,0)+IF(DZ897="D",1,0)+IF(EH897="D",1,0)</f>
        <v/>
      </c>
      <c r="AY897">
        <f>IF(DJ897&lt;&gt;"",1,0)+IF(DK897&lt;&gt;"",1,0)+IF(DM897&lt;&gt;"",1,0)+IF(DO897&lt;&gt;"",1,0)+IF(DP897&lt;&gt;"",1,0)+IF(DQ897&lt;&gt;"",1,0)+IF(DS897&lt;&gt;"",1,0)+IF(DT897&lt;&gt;"",1,0)+IF(DV897&lt;&gt;"",1,0)+IF(DW897&lt;&gt;"",1,0)+IF(DX897&lt;&gt;"",1,0)+IF(DY897&lt;&gt;"",1,0)+IF(DZ897&lt;&gt;"",1,0)+IF(EB897&lt;&gt;"",1,0)+IF(EC897&lt;&gt;"",1,0)+IF(ED897&lt;&gt;"",1,0)+IF(EG897&lt;&gt;"",1,0)+IF(EH897&lt;&gt;"",1,0)</f>
        <v/>
      </c>
      <c r="AZ897">
        <f>IF(EH897&lt;&gt;"",1,0)</f>
        <v/>
      </c>
      <c r="BB897" t="inlineStr">
        <is>
          <t>WARREN-WARD 4</t>
        </is>
      </c>
      <c r="BC897" t="inlineStr">
        <is>
          <t>X</t>
        </is>
      </c>
      <c r="BD897" t="inlineStr">
        <is>
          <t>X</t>
        </is>
      </c>
      <c r="BH897" t="inlineStr">
        <is>
          <t>X</t>
        </is>
      </c>
      <c r="BJ897" t="inlineStr">
        <is>
          <t>X</t>
        </is>
      </c>
      <c r="BK897" t="inlineStr">
        <is>
          <t>X</t>
        </is>
      </c>
      <c r="BL897" t="inlineStr">
        <is>
          <t>X</t>
        </is>
      </c>
      <c r="BP897" t="inlineStr">
        <is>
          <t>X</t>
        </is>
      </c>
      <c r="BS897" t="inlineStr">
        <is>
          <t>X</t>
        </is>
      </c>
      <c r="BV897" t="inlineStr">
        <is>
          <t>X</t>
        </is>
      </c>
      <c r="BY897" t="inlineStr">
        <is>
          <t>D</t>
        </is>
      </c>
      <c r="CA897" t="inlineStr">
        <is>
          <t>X</t>
        </is>
      </c>
      <c r="CG897" t="inlineStr">
        <is>
          <t>X</t>
        </is>
      </c>
      <c r="CK897" t="inlineStr">
        <is>
          <t>X</t>
        </is>
      </c>
      <c r="CP897" t="inlineStr">
        <is>
          <t>X</t>
        </is>
      </c>
      <c r="CY897" t="inlineStr">
        <is>
          <t>X</t>
        </is>
      </c>
      <c r="CZ897" t="inlineStr">
        <is>
          <t>D</t>
        </is>
      </c>
      <c r="DC897" t="inlineStr">
        <is>
          <t>X</t>
        </is>
      </c>
      <c r="DI897" t="inlineStr">
        <is>
          <t>X</t>
        </is>
      </c>
      <c r="DL897" t="inlineStr">
        <is>
          <t>X</t>
        </is>
      </c>
      <c r="DN897" t="inlineStr">
        <is>
          <t>X</t>
        </is>
      </c>
      <c r="DR897" t="inlineStr">
        <is>
          <t>X</t>
        </is>
      </c>
      <c r="DS897" t="inlineStr">
        <is>
          <t>D</t>
        </is>
      </c>
      <c r="DT897" t="inlineStr">
        <is>
          <t>D</t>
        </is>
      </c>
      <c r="DU897" t="inlineStr">
        <is>
          <t>X</t>
        </is>
      </c>
      <c r="DW897" t="inlineStr">
        <is>
          <t>D</t>
        </is>
      </c>
      <c r="DX897" t="inlineStr">
        <is>
          <t>X</t>
        </is>
      </c>
      <c r="EA897" t="inlineStr">
        <is>
          <t>X</t>
        </is>
      </c>
      <c r="EF897" t="inlineStr">
        <is>
          <t>X</t>
        </is>
      </c>
    </row>
    <row r="898">
      <c r="A898" t="inlineStr">
        <is>
          <t>OH0015727103</t>
        </is>
      </c>
      <c r="B898" t="n">
        <v>78</v>
      </c>
      <c r="C898" t="n">
        <v>212408</v>
      </c>
      <c r="D898" t="inlineStr">
        <is>
          <t>KONITSNEY</t>
        </is>
      </c>
      <c r="E898" t="inlineStr">
        <is>
          <t>MARGARET</t>
        </is>
      </c>
      <c r="F898">
        <f>CONCATENATE(D898," ",LEFT(H898,4),"T=",AU898,"D=",AV898,"R=",AW898,"M=",AX898,"L=",AY898,"B=",AZ898)</f>
        <v/>
      </c>
      <c r="G898" t="inlineStr">
        <is>
          <t>M</t>
        </is>
      </c>
      <c r="I898" t="inlineStr">
        <is>
          <t>1941-08-31</t>
        </is>
      </c>
      <c r="J898" t="inlineStr">
        <is>
          <t>2019-01-04</t>
        </is>
      </c>
      <c r="K898" t="inlineStr">
        <is>
          <t>ACTIVE</t>
        </is>
      </c>
      <c r="L898" t="inlineStr">
        <is>
          <t>D</t>
        </is>
      </c>
      <c r="M898" t="inlineStr">
        <is>
          <t>305 OAK KNOLL AVE SE</t>
        </is>
      </c>
      <c r="N898">
        <f>RIGHT(M898,LEN(M898)-FIND(" ",M898))</f>
        <v/>
      </c>
      <c r="P898" t="inlineStr">
        <is>
          <t>WARREN</t>
        </is>
      </c>
      <c r="Q898" t="inlineStr">
        <is>
          <t>OH</t>
        </is>
      </c>
      <c r="R898" t="n">
        <v>44483</v>
      </c>
      <c r="AD898" t="inlineStr">
        <is>
          <t>TRUMBULL CAREER &amp; TECH CENTER</t>
        </is>
      </c>
      <c r="AE898" t="inlineStr">
        <is>
          <t>WARREN CITY</t>
        </is>
      </c>
      <c r="AF898" t="inlineStr">
        <is>
          <t>WARREN CITY SD</t>
        </is>
      </c>
      <c r="AH898" t="n">
        <v>14</v>
      </c>
      <c r="AI898" t="n">
        <v>11</v>
      </c>
      <c r="AN898" t="inlineStr">
        <is>
          <t>WARREN</t>
        </is>
      </c>
      <c r="AO898" t="inlineStr">
        <is>
          <t>WARREN CITY 4A</t>
        </is>
      </c>
      <c r="AP898" t="inlineStr">
        <is>
          <t>78-P-ADI</t>
        </is>
      </c>
      <c r="AQ898" t="n">
        <v>9</v>
      </c>
      <c r="AR898" t="n">
        <v>64</v>
      </c>
      <c r="AS898" t="n">
        <v>32</v>
      </c>
      <c r="AU898">
        <f>COUNTA($BA$898:$EH$898)</f>
        <v/>
      </c>
      <c r="AV898">
        <f>COUNTIF($BA$898:$EH$898,"D")</f>
        <v/>
      </c>
      <c r="AW898">
        <f>COUNTIF($BA$898:$EH$898,"R")</f>
        <v/>
      </c>
      <c r="AX898">
        <f>IF(BN898="D",1,0)+IF(BO898="D",1,0)+IF(BT898="D",1,0)+IF(BU898="D",1,0)+IF(BW898="D",1,0)+IF(CC898="D",1,0)+IF(CD898="D",1,0)+IF(CE898="D",1,0)+IF(CF898="D",1,0)+IF(CL898="D",1,0)+IF(CM898="D",1,0)+IF(CQ898="D",1,0)+IF(CR898="D",1,0)+IF(CS898="D",1,0)+IF(CW898="D",1,0)+IF(CX898="D",1,0)+IF(DD898="D",1,0)+IF(DE898="D",1,0)+IF(DJ898="D",1,0)+IF(DK898="D",1,0)+IF(DO898="D",1,0)+IF(DP898="D",1,0)+IF(DQ898="D",1,0)+IF(DW898="D",1,0)+IF(DZ898="D",1,0)+IF(EH898="D",1,0)</f>
        <v/>
      </c>
      <c r="AY898">
        <f>IF(DJ898&lt;&gt;"",1,0)+IF(DK898&lt;&gt;"",1,0)+IF(DM898&lt;&gt;"",1,0)+IF(DO898&lt;&gt;"",1,0)+IF(DP898&lt;&gt;"",1,0)+IF(DQ898&lt;&gt;"",1,0)+IF(DS898&lt;&gt;"",1,0)+IF(DT898&lt;&gt;"",1,0)+IF(DV898&lt;&gt;"",1,0)+IF(DW898&lt;&gt;"",1,0)+IF(DX898&lt;&gt;"",1,0)+IF(DY898&lt;&gt;"",1,0)+IF(DZ898&lt;&gt;"",1,0)+IF(EB898&lt;&gt;"",1,0)+IF(EC898&lt;&gt;"",1,0)+IF(ED898&lt;&gt;"",1,0)+IF(EG898&lt;&gt;"",1,0)+IF(EH898&lt;&gt;"",1,0)</f>
        <v/>
      </c>
      <c r="AZ898">
        <f>IF(EH898&lt;&gt;"",1,0)</f>
        <v/>
      </c>
      <c r="BB898" t="inlineStr">
        <is>
          <t>WARREN-WARD 4</t>
        </is>
      </c>
      <c r="BC898" t="inlineStr">
        <is>
          <t>X</t>
        </is>
      </c>
      <c r="BD898" t="inlineStr">
        <is>
          <t>X</t>
        </is>
      </c>
      <c r="BH898" t="inlineStr">
        <is>
          <t>X</t>
        </is>
      </c>
      <c r="BL898" t="inlineStr">
        <is>
          <t>X</t>
        </is>
      </c>
      <c r="BS898" t="inlineStr">
        <is>
          <t>X</t>
        </is>
      </c>
      <c r="BY898" t="inlineStr">
        <is>
          <t>D</t>
        </is>
      </c>
      <c r="CA898" t="inlineStr">
        <is>
          <t>X</t>
        </is>
      </c>
      <c r="CL898" t="inlineStr">
        <is>
          <t>D</t>
        </is>
      </c>
      <c r="DN898" t="inlineStr">
        <is>
          <t>X</t>
        </is>
      </c>
      <c r="DW898" t="inlineStr">
        <is>
          <t>D</t>
        </is>
      </c>
      <c r="EF898" t="inlineStr">
        <is>
          <t>X</t>
        </is>
      </c>
    </row>
    <row r="899">
      <c r="A899" t="inlineStr">
        <is>
          <t>OH0026767847</t>
        </is>
      </c>
      <c r="B899" t="n">
        <v>78</v>
      </c>
      <c r="C899" t="n">
        <v>468206</v>
      </c>
      <c r="D899" t="inlineStr">
        <is>
          <t>STANLEY</t>
        </is>
      </c>
      <c r="E899" t="inlineStr">
        <is>
          <t>KEITH</t>
        </is>
      </c>
      <c r="F899">
        <f>CONCATENATE(D899," ",LEFT(H899,4),"T=",AU899,"D=",AV899,"R=",AW899,"M=",AX899,"L=",AY899,"B=",AZ899)</f>
        <v/>
      </c>
      <c r="G899" t="inlineStr">
        <is>
          <t>AUREL FREDERICK</t>
        </is>
      </c>
      <c r="I899" t="inlineStr">
        <is>
          <t>1995-07-27</t>
        </is>
      </c>
      <c r="J899" t="inlineStr">
        <is>
          <t>2022-12-11</t>
        </is>
      </c>
      <c r="K899" t="inlineStr">
        <is>
          <t>ACTIVE</t>
        </is>
      </c>
      <c r="M899" t="inlineStr">
        <is>
          <t>386 IDDINGS AVE SE</t>
        </is>
      </c>
      <c r="N899">
        <f>RIGHT(M899,LEN(M899)-FIND(" ",M899))</f>
        <v/>
      </c>
      <c r="P899" t="inlineStr">
        <is>
          <t>WARREN</t>
        </is>
      </c>
      <c r="Q899" t="inlineStr">
        <is>
          <t>OH</t>
        </is>
      </c>
      <c r="R899" t="n">
        <v>44483</v>
      </c>
      <c r="AD899" t="inlineStr">
        <is>
          <t>TRUMBULL CAREER &amp; TECH CENTER</t>
        </is>
      </c>
      <c r="AE899" t="inlineStr">
        <is>
          <t>WARREN CITY</t>
        </is>
      </c>
      <c r="AF899" t="inlineStr">
        <is>
          <t>WARREN CITY SD</t>
        </is>
      </c>
      <c r="AH899" t="n">
        <v>14</v>
      </c>
      <c r="AI899" t="n">
        <v>11</v>
      </c>
      <c r="AN899" t="inlineStr">
        <is>
          <t>WARREN</t>
        </is>
      </c>
      <c r="AO899" t="inlineStr">
        <is>
          <t>WARREN CITY 4A</t>
        </is>
      </c>
      <c r="AP899" t="inlineStr">
        <is>
          <t>78-P-ADI</t>
        </is>
      </c>
      <c r="AQ899" t="n">
        <v>9</v>
      </c>
      <c r="AR899" t="n">
        <v>64</v>
      </c>
      <c r="AS899" t="n">
        <v>32</v>
      </c>
      <c r="AU899">
        <f>COUNTA($BA$899:$EH$899)</f>
        <v/>
      </c>
      <c r="AV899">
        <f>COUNTIF($BA$899:$EH$899,"D")</f>
        <v/>
      </c>
      <c r="AW899">
        <f>COUNTIF($BA$899:$EH$899,"R")</f>
        <v/>
      </c>
      <c r="AX899">
        <f>IF(BN899="D",1,0)+IF(BO899="D",1,0)+IF(BT899="D",1,0)+IF(BU899="D",1,0)+IF(BW899="D",1,0)+IF(CC899="D",1,0)+IF(CD899="D",1,0)+IF(CE899="D",1,0)+IF(CF899="D",1,0)+IF(CL899="D",1,0)+IF(CM899="D",1,0)+IF(CQ899="D",1,0)+IF(CR899="D",1,0)+IF(CS899="D",1,0)+IF(CW899="D",1,0)+IF(CX899="D",1,0)+IF(DD899="D",1,0)+IF(DE899="D",1,0)+IF(DJ899="D",1,0)+IF(DK899="D",1,0)+IF(DO899="D",1,0)+IF(DP899="D",1,0)+IF(DQ899="D",1,0)+IF(DW899="D",1,0)+IF(DZ899="D",1,0)+IF(EH899="D",1,0)</f>
        <v/>
      </c>
      <c r="AY899">
        <f>IF(DJ899&lt;&gt;"",1,0)+IF(DK899&lt;&gt;"",1,0)+IF(DM899&lt;&gt;"",1,0)+IF(DO899&lt;&gt;"",1,0)+IF(DP899&lt;&gt;"",1,0)+IF(DQ899&lt;&gt;"",1,0)+IF(DS899&lt;&gt;"",1,0)+IF(DT899&lt;&gt;"",1,0)+IF(DV899&lt;&gt;"",1,0)+IF(DW899&lt;&gt;"",1,0)+IF(DX899&lt;&gt;"",1,0)+IF(DY899&lt;&gt;"",1,0)+IF(DZ899&lt;&gt;"",1,0)+IF(EB899&lt;&gt;"",1,0)+IF(EC899&lt;&gt;"",1,0)+IF(ED899&lt;&gt;"",1,0)+IF(EG899&lt;&gt;"",1,0)+IF(EH899&lt;&gt;"",1,0)</f>
        <v/>
      </c>
      <c r="AZ899">
        <f>IF(EH899&lt;&gt;"",1,0)</f>
        <v/>
      </c>
      <c r="BB899" t="inlineStr">
        <is>
          <t>WARREN-WARD 4</t>
        </is>
      </c>
      <c r="DN899" t="inlineStr">
        <is>
          <t>X</t>
        </is>
      </c>
    </row>
    <row r="900">
      <c r="A900" t="inlineStr">
        <is>
          <t>OH0015818091</t>
        </is>
      </c>
      <c r="B900" t="n">
        <v>78</v>
      </c>
      <c r="C900" t="n">
        <v>273688</v>
      </c>
      <c r="D900" t="inlineStr">
        <is>
          <t>SPEARE</t>
        </is>
      </c>
      <c r="E900" t="inlineStr">
        <is>
          <t>BONITA</t>
        </is>
      </c>
      <c r="F900">
        <f>CONCATENATE(D900," ",LEFT(H900,4),"T=",AU900,"D=",AV900,"R=",AW900,"M=",AX900,"L=",AY900,"B=",AZ900)</f>
        <v/>
      </c>
      <c r="G900" t="inlineStr">
        <is>
          <t>S</t>
        </is>
      </c>
      <c r="I900" t="inlineStr">
        <is>
          <t>1962-12-23</t>
        </is>
      </c>
      <c r="J900" t="inlineStr">
        <is>
          <t>1996-10-01</t>
        </is>
      </c>
      <c r="K900" t="inlineStr">
        <is>
          <t>ACTIVE</t>
        </is>
      </c>
      <c r="L900" t="inlineStr">
        <is>
          <t>R</t>
        </is>
      </c>
      <c r="M900" t="inlineStr">
        <is>
          <t>177 LOGAN AVE SE</t>
        </is>
      </c>
      <c r="N900">
        <f>RIGHT(M900,LEN(M900)-FIND(" ",M900))</f>
        <v/>
      </c>
      <c r="P900" t="inlineStr">
        <is>
          <t>WARREN</t>
        </is>
      </c>
      <c r="Q900" t="inlineStr">
        <is>
          <t>OH</t>
        </is>
      </c>
      <c r="R900" t="n">
        <v>44483</v>
      </c>
      <c r="AD900" t="inlineStr">
        <is>
          <t>TRUMBULL CAREER &amp; TECH CENTER</t>
        </is>
      </c>
      <c r="AE900" t="inlineStr">
        <is>
          <t>WARREN CITY</t>
        </is>
      </c>
      <c r="AF900" t="inlineStr">
        <is>
          <t>WARREN CITY SD</t>
        </is>
      </c>
      <c r="AH900" t="n">
        <v>14</v>
      </c>
      <c r="AI900" t="n">
        <v>11</v>
      </c>
      <c r="AN900" t="inlineStr">
        <is>
          <t>WARREN</t>
        </is>
      </c>
      <c r="AO900" t="inlineStr">
        <is>
          <t>WARREN CITY 4A</t>
        </is>
      </c>
      <c r="AP900" t="inlineStr">
        <is>
          <t>78-P-ADI</t>
        </is>
      </c>
      <c r="AQ900" t="n">
        <v>9</v>
      </c>
      <c r="AR900" t="n">
        <v>64</v>
      </c>
      <c r="AS900" t="n">
        <v>32</v>
      </c>
      <c r="AU900">
        <f>COUNTA($BA$900:$EH$900)</f>
        <v/>
      </c>
      <c r="AV900">
        <f>COUNTIF($BA$900:$EH$900,"D")</f>
        <v/>
      </c>
      <c r="AW900">
        <f>COUNTIF($BA$900:$EH$900,"R")</f>
        <v/>
      </c>
      <c r="AX900">
        <f>IF(BN900="D",1,0)+IF(BO900="D",1,0)+IF(BT900="D",1,0)+IF(BU900="D",1,0)+IF(BW900="D",1,0)+IF(CC900="D",1,0)+IF(CD900="D",1,0)+IF(CE900="D",1,0)+IF(CF900="D",1,0)+IF(CL900="D",1,0)+IF(CM900="D",1,0)+IF(CQ900="D",1,0)+IF(CR900="D",1,0)+IF(CS900="D",1,0)+IF(CW900="D",1,0)+IF(CX900="D",1,0)+IF(DD900="D",1,0)+IF(DE900="D",1,0)+IF(DJ900="D",1,0)+IF(DK900="D",1,0)+IF(DO900="D",1,0)+IF(DP900="D",1,0)+IF(DQ900="D",1,0)+IF(DW900="D",1,0)+IF(DZ900="D",1,0)+IF(EH900="D",1,0)</f>
        <v/>
      </c>
      <c r="AY900">
        <f>IF(DJ900&lt;&gt;"",1,0)+IF(DK900&lt;&gt;"",1,0)+IF(DM900&lt;&gt;"",1,0)+IF(DO900&lt;&gt;"",1,0)+IF(DP900&lt;&gt;"",1,0)+IF(DQ900&lt;&gt;"",1,0)+IF(DS900&lt;&gt;"",1,0)+IF(DT900&lt;&gt;"",1,0)+IF(DV900&lt;&gt;"",1,0)+IF(DW900&lt;&gt;"",1,0)+IF(DX900&lt;&gt;"",1,0)+IF(DY900&lt;&gt;"",1,0)+IF(DZ900&lt;&gt;"",1,0)+IF(EB900&lt;&gt;"",1,0)+IF(EC900&lt;&gt;"",1,0)+IF(ED900&lt;&gt;"",1,0)+IF(EG900&lt;&gt;"",1,0)+IF(EH900&lt;&gt;"",1,0)</f>
        <v/>
      </c>
      <c r="AZ900">
        <f>IF(EH900&lt;&gt;"",1,0)</f>
        <v/>
      </c>
      <c r="BB900" t="inlineStr">
        <is>
          <t>WARREN-WARD 4</t>
        </is>
      </c>
      <c r="BC900" t="inlineStr">
        <is>
          <t>X</t>
        </is>
      </c>
      <c r="BD900" t="inlineStr">
        <is>
          <t>X</t>
        </is>
      </c>
      <c r="BE900" t="inlineStr">
        <is>
          <t>X</t>
        </is>
      </c>
      <c r="BF900" t="inlineStr">
        <is>
          <t>X</t>
        </is>
      </c>
      <c r="BG900" t="inlineStr">
        <is>
          <t>X</t>
        </is>
      </c>
      <c r="BH900" t="inlineStr">
        <is>
          <t>X</t>
        </is>
      </c>
      <c r="BI900" t="inlineStr">
        <is>
          <t>X</t>
        </is>
      </c>
      <c r="BJ900" t="inlineStr">
        <is>
          <t>X</t>
        </is>
      </c>
      <c r="BK900" t="inlineStr">
        <is>
          <t>X</t>
        </is>
      </c>
      <c r="BL900" t="inlineStr">
        <is>
          <t>X</t>
        </is>
      </c>
      <c r="BP900" t="inlineStr">
        <is>
          <t>X</t>
        </is>
      </c>
      <c r="BR900" t="inlineStr">
        <is>
          <t>X</t>
        </is>
      </c>
      <c r="BS900" t="inlineStr">
        <is>
          <t>X</t>
        </is>
      </c>
      <c r="BY900" t="inlineStr">
        <is>
          <t>R</t>
        </is>
      </c>
      <c r="CA900" t="inlineStr">
        <is>
          <t>X</t>
        </is>
      </c>
      <c r="CK900" t="inlineStr">
        <is>
          <t>X</t>
        </is>
      </c>
      <c r="CL900" t="inlineStr">
        <is>
          <t>D</t>
        </is>
      </c>
      <c r="CN900" t="inlineStr">
        <is>
          <t>X</t>
        </is>
      </c>
      <c r="CP900" t="inlineStr">
        <is>
          <t>X</t>
        </is>
      </c>
      <c r="CT900" t="inlineStr">
        <is>
          <t>X</t>
        </is>
      </c>
      <c r="CV900" t="inlineStr">
        <is>
          <t>X</t>
        </is>
      </c>
      <c r="CY900" t="inlineStr">
        <is>
          <t>X</t>
        </is>
      </c>
      <c r="CZ900" t="inlineStr">
        <is>
          <t>R</t>
        </is>
      </c>
      <c r="DC900" t="inlineStr">
        <is>
          <t>X</t>
        </is>
      </c>
      <c r="DI900" t="inlineStr">
        <is>
          <t>X</t>
        </is>
      </c>
      <c r="DM900" t="inlineStr">
        <is>
          <t>R</t>
        </is>
      </c>
      <c r="DN900" t="inlineStr">
        <is>
          <t>X</t>
        </is>
      </c>
      <c r="DS900" t="inlineStr">
        <is>
          <t>R</t>
        </is>
      </c>
      <c r="DU900" t="inlineStr">
        <is>
          <t>X</t>
        </is>
      </c>
      <c r="EA900" t="inlineStr">
        <is>
          <t>X</t>
        </is>
      </c>
      <c r="EF900" t="inlineStr">
        <is>
          <t>X</t>
        </is>
      </c>
    </row>
    <row r="901">
      <c r="A901" t="inlineStr">
        <is>
          <t>OH0027247073</t>
        </is>
      </c>
      <c r="B901" t="n">
        <v>78</v>
      </c>
      <c r="C901" t="n">
        <v>483404</v>
      </c>
      <c r="D901" t="inlineStr">
        <is>
          <t>CALDWELL</t>
        </is>
      </c>
      <c r="E901" t="inlineStr">
        <is>
          <t>CHAYLA</t>
        </is>
      </c>
      <c r="F901">
        <f>CONCATENATE(D901," ",LEFT(H901,4),"T=",AU901,"D=",AV901,"R=",AW901,"M=",AX901,"L=",AY901,"B=",AZ901)</f>
        <v/>
      </c>
      <c r="G901" t="inlineStr">
        <is>
          <t>NICOL</t>
        </is>
      </c>
      <c r="I901" t="inlineStr">
        <is>
          <t>2006-08-12</t>
        </is>
      </c>
      <c r="J901" t="inlineStr">
        <is>
          <t>2024-02-06</t>
        </is>
      </c>
      <c r="K901" t="inlineStr">
        <is>
          <t>ACTIVE</t>
        </is>
      </c>
      <c r="M901" t="inlineStr">
        <is>
          <t>503 KENILWORTH AVE SE</t>
        </is>
      </c>
      <c r="N901">
        <f>RIGHT(M901,LEN(M901)-FIND(" ",M901))</f>
        <v/>
      </c>
      <c r="P901" t="inlineStr">
        <is>
          <t>WARREN</t>
        </is>
      </c>
      <c r="Q901" t="inlineStr">
        <is>
          <t>OH</t>
        </is>
      </c>
      <c r="R901" t="n">
        <v>44483</v>
      </c>
      <c r="AD901" t="inlineStr">
        <is>
          <t>TRUMBULL CAREER &amp; TECH CENTER</t>
        </is>
      </c>
      <c r="AE901" t="inlineStr">
        <is>
          <t>WARREN CITY</t>
        </is>
      </c>
      <c r="AF901" t="inlineStr">
        <is>
          <t>WARREN CITY SD</t>
        </is>
      </c>
      <c r="AH901" t="n">
        <v>14</v>
      </c>
      <c r="AI901" t="n">
        <v>11</v>
      </c>
      <c r="AN901" t="inlineStr">
        <is>
          <t>WARREN</t>
        </is>
      </c>
      <c r="AO901" t="inlineStr">
        <is>
          <t>WARREN CITY 4A</t>
        </is>
      </c>
      <c r="AP901" t="inlineStr">
        <is>
          <t>78-P-ADI</t>
        </is>
      </c>
      <c r="AQ901" t="n">
        <v>9</v>
      </c>
      <c r="AR901" t="n">
        <v>64</v>
      </c>
      <c r="AS901" t="n">
        <v>32</v>
      </c>
      <c r="AU901">
        <f>COUNTA($BA$901:$EH$901)</f>
        <v/>
      </c>
      <c r="AV901">
        <f>COUNTIF($BA$901:$EH$901,"D")</f>
        <v/>
      </c>
      <c r="AW901">
        <f>COUNTIF($BA$901:$EH$901,"R")</f>
        <v/>
      </c>
      <c r="AX901">
        <f>IF(BN901="D",1,0)+IF(BO901="D",1,0)+IF(BT901="D",1,0)+IF(BU901="D",1,0)+IF(BW901="D",1,0)+IF(CC901="D",1,0)+IF(CD901="D",1,0)+IF(CE901="D",1,0)+IF(CF901="D",1,0)+IF(CL901="D",1,0)+IF(CM901="D",1,0)+IF(CQ901="D",1,0)+IF(CR901="D",1,0)+IF(CS901="D",1,0)+IF(CW901="D",1,0)+IF(CX901="D",1,0)+IF(DD901="D",1,0)+IF(DE901="D",1,0)+IF(DJ901="D",1,0)+IF(DK901="D",1,0)+IF(DO901="D",1,0)+IF(DP901="D",1,0)+IF(DQ901="D",1,0)+IF(DW901="D",1,0)+IF(DZ901="D",1,0)+IF(EH901="D",1,0)</f>
        <v/>
      </c>
      <c r="AY901">
        <f>IF(DJ901&lt;&gt;"",1,0)+IF(DK901&lt;&gt;"",1,0)+IF(DM901&lt;&gt;"",1,0)+IF(DO901&lt;&gt;"",1,0)+IF(DP901&lt;&gt;"",1,0)+IF(DQ901&lt;&gt;"",1,0)+IF(DS901&lt;&gt;"",1,0)+IF(DT901&lt;&gt;"",1,0)+IF(DV901&lt;&gt;"",1,0)+IF(DW901&lt;&gt;"",1,0)+IF(DX901&lt;&gt;"",1,0)+IF(DY901&lt;&gt;"",1,0)+IF(DZ901&lt;&gt;"",1,0)+IF(EB901&lt;&gt;"",1,0)+IF(EC901&lt;&gt;"",1,0)+IF(ED901&lt;&gt;"",1,0)+IF(EG901&lt;&gt;"",1,0)+IF(EH901&lt;&gt;"",1,0)</f>
        <v/>
      </c>
      <c r="AZ901">
        <f>IF(EH901&lt;&gt;"",1,0)</f>
        <v/>
      </c>
      <c r="BB901" t="inlineStr">
        <is>
          <t>WARREN-WARD 4</t>
        </is>
      </c>
    </row>
    <row r="902">
      <c r="A902" t="inlineStr">
        <is>
          <t>OH0019359378</t>
        </is>
      </c>
      <c r="B902" t="n">
        <v>78</v>
      </c>
      <c r="C902" t="n">
        <v>353275</v>
      </c>
      <c r="D902" t="inlineStr">
        <is>
          <t>LORRAINE</t>
        </is>
      </c>
      <c r="E902" t="inlineStr">
        <is>
          <t>VICTORIA</t>
        </is>
      </c>
      <c r="F902">
        <f>CONCATENATE(D902," ",LEFT(H902,4),"T=",AU902,"D=",AV902,"R=",AW902,"M=",AX902,"L=",AY902,"B=",AZ902)</f>
        <v/>
      </c>
      <c r="G902" t="inlineStr">
        <is>
          <t>ANN</t>
        </is>
      </c>
      <c r="I902" t="inlineStr">
        <is>
          <t>1989-09-19</t>
        </is>
      </c>
      <c r="J902" t="inlineStr">
        <is>
          <t>2024-08-21</t>
        </is>
      </c>
      <c r="K902" t="inlineStr">
        <is>
          <t>ACTIVE</t>
        </is>
      </c>
      <c r="M902" t="inlineStr">
        <is>
          <t>126 CHARLES AVE SE</t>
        </is>
      </c>
      <c r="N902">
        <f>RIGHT(M902,LEN(M902)-FIND(" ",M902))</f>
        <v/>
      </c>
      <c r="P902" t="inlineStr">
        <is>
          <t>WARREN</t>
        </is>
      </c>
      <c r="Q902" t="inlineStr">
        <is>
          <t>OH</t>
        </is>
      </c>
      <c r="R902" t="n">
        <v>44483</v>
      </c>
      <c r="AD902" t="inlineStr">
        <is>
          <t>TRUMBULL CAREER &amp; TECH CENTER</t>
        </is>
      </c>
      <c r="AE902" t="inlineStr">
        <is>
          <t>WARREN CITY</t>
        </is>
      </c>
      <c r="AF902" t="inlineStr">
        <is>
          <t>WARREN CITY SD</t>
        </is>
      </c>
      <c r="AH902" t="n">
        <v>14</v>
      </c>
      <c r="AI902" t="n">
        <v>11</v>
      </c>
      <c r="AN902" t="inlineStr">
        <is>
          <t>WARREN</t>
        </is>
      </c>
      <c r="AO902" t="inlineStr">
        <is>
          <t>WARREN CITY 4A</t>
        </is>
      </c>
      <c r="AP902" t="inlineStr">
        <is>
          <t>78-P-ADI</t>
        </is>
      </c>
      <c r="AQ902" t="n">
        <v>9</v>
      </c>
      <c r="AR902" t="n">
        <v>64</v>
      </c>
      <c r="AS902" t="n">
        <v>32</v>
      </c>
      <c r="AU902">
        <f>COUNTA($BA$902:$EH$902)</f>
        <v/>
      </c>
      <c r="AV902">
        <f>COUNTIF($BA$902:$EH$902,"D")</f>
        <v/>
      </c>
      <c r="AW902">
        <f>COUNTIF($BA$902:$EH$902,"R")</f>
        <v/>
      </c>
      <c r="AX902">
        <f>IF(BN902="D",1,0)+IF(BO902="D",1,0)+IF(BT902="D",1,0)+IF(BU902="D",1,0)+IF(BW902="D",1,0)+IF(CC902="D",1,0)+IF(CD902="D",1,0)+IF(CE902="D",1,0)+IF(CF902="D",1,0)+IF(CL902="D",1,0)+IF(CM902="D",1,0)+IF(CQ902="D",1,0)+IF(CR902="D",1,0)+IF(CS902="D",1,0)+IF(CW902="D",1,0)+IF(CX902="D",1,0)+IF(DD902="D",1,0)+IF(DE902="D",1,0)+IF(DJ902="D",1,0)+IF(DK902="D",1,0)+IF(DO902="D",1,0)+IF(DP902="D",1,0)+IF(DQ902="D",1,0)+IF(DW902="D",1,0)+IF(DZ902="D",1,0)+IF(EH902="D",1,0)</f>
        <v/>
      </c>
      <c r="AY902">
        <f>IF(DJ902&lt;&gt;"",1,0)+IF(DK902&lt;&gt;"",1,0)+IF(DM902&lt;&gt;"",1,0)+IF(DO902&lt;&gt;"",1,0)+IF(DP902&lt;&gt;"",1,0)+IF(DQ902&lt;&gt;"",1,0)+IF(DS902&lt;&gt;"",1,0)+IF(DT902&lt;&gt;"",1,0)+IF(DV902&lt;&gt;"",1,0)+IF(DW902&lt;&gt;"",1,0)+IF(DX902&lt;&gt;"",1,0)+IF(DY902&lt;&gt;"",1,0)+IF(DZ902&lt;&gt;"",1,0)+IF(EB902&lt;&gt;"",1,0)+IF(EC902&lt;&gt;"",1,0)+IF(ED902&lt;&gt;"",1,0)+IF(EG902&lt;&gt;"",1,0)+IF(EH902&lt;&gt;"",1,0)</f>
        <v/>
      </c>
      <c r="AZ902">
        <f>IF(EH902&lt;&gt;"",1,0)</f>
        <v/>
      </c>
      <c r="BB902" t="inlineStr">
        <is>
          <t>WARREN-WARD 4</t>
        </is>
      </c>
      <c r="BY902" t="inlineStr">
        <is>
          <t>D</t>
        </is>
      </c>
      <c r="CA902" t="inlineStr">
        <is>
          <t>X</t>
        </is>
      </c>
      <c r="CN902" t="inlineStr">
        <is>
          <t>X</t>
        </is>
      </c>
      <c r="CP902" t="inlineStr">
        <is>
          <t>X</t>
        </is>
      </c>
      <c r="EF902" t="inlineStr">
        <is>
          <t>X</t>
        </is>
      </c>
    </row>
    <row r="903">
      <c r="A903" t="inlineStr">
        <is>
          <t>OH0024094478</t>
        </is>
      </c>
      <c r="B903" t="n">
        <v>78</v>
      </c>
      <c r="C903" t="n">
        <v>421853</v>
      </c>
      <c r="D903" t="inlineStr">
        <is>
          <t>DUECASTER</t>
        </is>
      </c>
      <c r="E903" t="inlineStr">
        <is>
          <t>JENEISE</t>
        </is>
      </c>
      <c r="F903">
        <f>CONCATENATE(D903," ",LEFT(H903,4),"T=",AU903,"D=",AV903,"R=",AW903,"M=",AX903,"L=",AY903,"B=",AZ903)</f>
        <v/>
      </c>
      <c r="G903" t="inlineStr">
        <is>
          <t>LYNN</t>
        </is>
      </c>
      <c r="I903" t="inlineStr">
        <is>
          <t>1969-11-04</t>
        </is>
      </c>
      <c r="J903" t="inlineStr">
        <is>
          <t>2018-07-10</t>
        </is>
      </c>
      <c r="K903" t="inlineStr">
        <is>
          <t>ACTIVE</t>
        </is>
      </c>
      <c r="M903" t="inlineStr">
        <is>
          <t>306 BONNIE BRAE AVE SE</t>
        </is>
      </c>
      <c r="N903">
        <f>RIGHT(M903,LEN(M903)-FIND(" ",M903))</f>
        <v/>
      </c>
      <c r="P903" t="inlineStr">
        <is>
          <t>WARREN</t>
        </is>
      </c>
      <c r="Q903" t="inlineStr">
        <is>
          <t>OH</t>
        </is>
      </c>
      <c r="R903" t="n">
        <v>44484</v>
      </c>
      <c r="AD903" t="inlineStr">
        <is>
          <t>TRUMBULL CAREER &amp; TECH CENTER</t>
        </is>
      </c>
      <c r="AE903" t="inlineStr">
        <is>
          <t>WARREN CITY</t>
        </is>
      </c>
      <c r="AF903" t="inlineStr">
        <is>
          <t>WARREN CITY SD</t>
        </is>
      </c>
      <c r="AH903" t="n">
        <v>14</v>
      </c>
      <c r="AI903" t="n">
        <v>11</v>
      </c>
      <c r="AN903" t="inlineStr">
        <is>
          <t>WARREN</t>
        </is>
      </c>
      <c r="AO903" t="inlineStr">
        <is>
          <t>WARREN CITY 4A</t>
        </is>
      </c>
      <c r="AP903" t="inlineStr">
        <is>
          <t>78-P-ADI</t>
        </is>
      </c>
      <c r="AQ903" t="n">
        <v>9</v>
      </c>
      <c r="AR903" t="n">
        <v>64</v>
      </c>
      <c r="AS903" t="n">
        <v>32</v>
      </c>
      <c r="AU903">
        <f>COUNTA($BA$903:$EH$903)</f>
        <v/>
      </c>
      <c r="AV903">
        <f>COUNTIF($BA$903:$EH$903,"D")</f>
        <v/>
      </c>
      <c r="AW903">
        <f>COUNTIF($BA$903:$EH$903,"R")</f>
        <v/>
      </c>
      <c r="AX903">
        <f>IF(BN903="D",1,0)+IF(BO903="D",1,0)+IF(BT903="D",1,0)+IF(BU903="D",1,0)+IF(BW903="D",1,0)+IF(CC903="D",1,0)+IF(CD903="D",1,0)+IF(CE903="D",1,0)+IF(CF903="D",1,0)+IF(CL903="D",1,0)+IF(CM903="D",1,0)+IF(CQ903="D",1,0)+IF(CR903="D",1,0)+IF(CS903="D",1,0)+IF(CW903="D",1,0)+IF(CX903="D",1,0)+IF(DD903="D",1,0)+IF(DE903="D",1,0)+IF(DJ903="D",1,0)+IF(DK903="D",1,0)+IF(DO903="D",1,0)+IF(DP903="D",1,0)+IF(DQ903="D",1,0)+IF(DW903="D",1,0)+IF(DZ903="D",1,0)+IF(EH903="D",1,0)</f>
        <v/>
      </c>
      <c r="AY903">
        <f>IF(DJ903&lt;&gt;"",1,0)+IF(DK903&lt;&gt;"",1,0)+IF(DM903&lt;&gt;"",1,0)+IF(DO903&lt;&gt;"",1,0)+IF(DP903&lt;&gt;"",1,0)+IF(DQ903&lt;&gt;"",1,0)+IF(DS903&lt;&gt;"",1,0)+IF(DT903&lt;&gt;"",1,0)+IF(DV903&lt;&gt;"",1,0)+IF(DW903&lt;&gt;"",1,0)+IF(DX903&lt;&gt;"",1,0)+IF(DY903&lt;&gt;"",1,0)+IF(DZ903&lt;&gt;"",1,0)+IF(EB903&lt;&gt;"",1,0)+IF(EC903&lt;&gt;"",1,0)+IF(ED903&lt;&gt;"",1,0)+IF(EG903&lt;&gt;"",1,0)+IF(EH903&lt;&gt;"",1,0)</f>
        <v/>
      </c>
      <c r="AZ903">
        <f>IF(EH903&lt;&gt;"",1,0)</f>
        <v/>
      </c>
      <c r="BB903" t="inlineStr">
        <is>
          <t>WARREN-WARD 4</t>
        </is>
      </c>
      <c r="BL903" t="inlineStr">
        <is>
          <t>X</t>
        </is>
      </c>
      <c r="DC903" t="inlineStr">
        <is>
          <t>X</t>
        </is>
      </c>
      <c r="DN903" t="inlineStr">
        <is>
          <t>X</t>
        </is>
      </c>
      <c r="DU903" t="inlineStr">
        <is>
          <t>X</t>
        </is>
      </c>
    </row>
    <row r="904">
      <c r="A904" t="inlineStr">
        <is>
          <t>OH0027222171</t>
        </is>
      </c>
      <c r="B904" t="n">
        <v>78</v>
      </c>
      <c r="C904" t="n">
        <v>480896</v>
      </c>
      <c r="D904" t="inlineStr">
        <is>
          <t>PLACER</t>
        </is>
      </c>
      <c r="E904" t="inlineStr">
        <is>
          <t>BENJAMIN</t>
        </is>
      </c>
      <c r="F904">
        <f>CONCATENATE(D904," ",LEFT(H904,4),"T=",AU904,"D=",AV904,"R=",AW904,"M=",AX904,"L=",AY904,"B=",AZ904)</f>
        <v/>
      </c>
      <c r="G904" t="inlineStr">
        <is>
          <t>GABRIEL</t>
        </is>
      </c>
      <c r="I904" t="inlineStr">
        <is>
          <t>2005-12-12</t>
        </is>
      </c>
      <c r="J904" t="inlineStr">
        <is>
          <t>2024-01-16</t>
        </is>
      </c>
      <c r="K904" t="inlineStr">
        <is>
          <t>ACTIVE</t>
        </is>
      </c>
      <c r="M904" t="inlineStr">
        <is>
          <t>904 ADELAIDE AVE SE</t>
        </is>
      </c>
      <c r="N904">
        <f>RIGHT(M904,LEN(M904)-FIND(" ",M904))</f>
        <v/>
      </c>
      <c r="P904" t="inlineStr">
        <is>
          <t>WARREN</t>
        </is>
      </c>
      <c r="Q904" t="inlineStr">
        <is>
          <t>OH</t>
        </is>
      </c>
      <c r="R904" t="n">
        <v>44484</v>
      </c>
      <c r="AD904" t="inlineStr">
        <is>
          <t>TRUMBULL CAREER &amp; TECH CENTER</t>
        </is>
      </c>
      <c r="AE904" t="inlineStr">
        <is>
          <t>WARREN CITY</t>
        </is>
      </c>
      <c r="AF904" t="inlineStr">
        <is>
          <t>WARREN CITY SD</t>
        </is>
      </c>
      <c r="AH904" t="n">
        <v>14</v>
      </c>
      <c r="AI904" t="n">
        <v>11</v>
      </c>
      <c r="AN904" t="inlineStr">
        <is>
          <t>WARREN</t>
        </is>
      </c>
      <c r="AO904" t="inlineStr">
        <is>
          <t>WARREN CITY 4A</t>
        </is>
      </c>
      <c r="AP904" t="inlineStr">
        <is>
          <t>78-P-ADI</t>
        </is>
      </c>
      <c r="AQ904" t="n">
        <v>9</v>
      </c>
      <c r="AR904" t="n">
        <v>64</v>
      </c>
      <c r="AS904" t="n">
        <v>32</v>
      </c>
      <c r="AU904">
        <f>COUNTA($BA$904:$EH$904)</f>
        <v/>
      </c>
      <c r="AV904">
        <f>COUNTIF($BA$904:$EH$904,"D")</f>
        <v/>
      </c>
      <c r="AW904">
        <f>COUNTIF($BA$904:$EH$904,"R")</f>
        <v/>
      </c>
      <c r="AX904">
        <f>IF(BN904="D",1,0)+IF(BO904="D",1,0)+IF(BT904="D",1,0)+IF(BU904="D",1,0)+IF(BW904="D",1,0)+IF(CC904="D",1,0)+IF(CD904="D",1,0)+IF(CE904="D",1,0)+IF(CF904="D",1,0)+IF(CL904="D",1,0)+IF(CM904="D",1,0)+IF(CQ904="D",1,0)+IF(CR904="D",1,0)+IF(CS904="D",1,0)+IF(CW904="D",1,0)+IF(CX904="D",1,0)+IF(DD904="D",1,0)+IF(DE904="D",1,0)+IF(DJ904="D",1,0)+IF(DK904="D",1,0)+IF(DO904="D",1,0)+IF(DP904="D",1,0)+IF(DQ904="D",1,0)+IF(DW904="D",1,0)+IF(DZ904="D",1,0)+IF(EH904="D",1,0)</f>
        <v/>
      </c>
      <c r="AY904">
        <f>IF(DJ904&lt;&gt;"",1,0)+IF(DK904&lt;&gt;"",1,0)+IF(DM904&lt;&gt;"",1,0)+IF(DO904&lt;&gt;"",1,0)+IF(DP904&lt;&gt;"",1,0)+IF(DQ904&lt;&gt;"",1,0)+IF(DS904&lt;&gt;"",1,0)+IF(DT904&lt;&gt;"",1,0)+IF(DV904&lt;&gt;"",1,0)+IF(DW904&lt;&gt;"",1,0)+IF(DX904&lt;&gt;"",1,0)+IF(DY904&lt;&gt;"",1,0)+IF(DZ904&lt;&gt;"",1,0)+IF(EB904&lt;&gt;"",1,0)+IF(EC904&lt;&gt;"",1,0)+IF(ED904&lt;&gt;"",1,0)+IF(EG904&lt;&gt;"",1,0)+IF(EH904&lt;&gt;"",1,0)</f>
        <v/>
      </c>
      <c r="AZ904">
        <f>IF(EH904&lt;&gt;"",1,0)</f>
        <v/>
      </c>
      <c r="BB904" t="inlineStr">
        <is>
          <t>WARREN-WARD 4</t>
        </is>
      </c>
    </row>
    <row r="905">
      <c r="A905" t="inlineStr">
        <is>
          <t>OH0027514028</t>
        </is>
      </c>
      <c r="B905" t="n">
        <v>78</v>
      </c>
      <c r="C905" t="n">
        <v>487581</v>
      </c>
      <c r="D905" t="inlineStr">
        <is>
          <t>MILLER</t>
        </is>
      </c>
      <c r="E905" t="inlineStr">
        <is>
          <t>LISA</t>
        </is>
      </c>
      <c r="F905">
        <f>CONCATENATE(D905," ",LEFT(H905,4),"T=",AU905,"D=",AV905,"R=",AW905,"M=",AX905,"L=",AY905,"B=",AZ905)</f>
        <v/>
      </c>
      <c r="G905" t="inlineStr">
        <is>
          <t>A</t>
        </is>
      </c>
      <c r="I905" t="inlineStr">
        <is>
          <t>1985-06-27</t>
        </is>
      </c>
      <c r="J905" t="inlineStr">
        <is>
          <t>2024-08-05</t>
        </is>
      </c>
      <c r="K905" t="inlineStr">
        <is>
          <t>ACTIVE</t>
        </is>
      </c>
      <c r="M905" t="inlineStr">
        <is>
          <t>385 BONNIE BRAE AVE SE</t>
        </is>
      </c>
      <c r="N905">
        <f>RIGHT(M905,LEN(M905)-FIND(" ",M905))</f>
        <v/>
      </c>
      <c r="P905" t="inlineStr">
        <is>
          <t>WARREN</t>
        </is>
      </c>
      <c r="Q905" t="inlineStr">
        <is>
          <t>OH</t>
        </is>
      </c>
      <c r="R905" t="n">
        <v>44484</v>
      </c>
      <c r="AD905" t="inlineStr">
        <is>
          <t>TRUMBULL CAREER &amp; TECH CENTER</t>
        </is>
      </c>
      <c r="AE905" t="inlineStr">
        <is>
          <t>WARREN CITY</t>
        </is>
      </c>
      <c r="AF905" t="inlineStr">
        <is>
          <t>WARREN CITY SD</t>
        </is>
      </c>
      <c r="AH905" t="n">
        <v>14</v>
      </c>
      <c r="AI905" t="n">
        <v>11</v>
      </c>
      <c r="AN905" t="inlineStr">
        <is>
          <t>WARREN</t>
        </is>
      </c>
      <c r="AO905" t="inlineStr">
        <is>
          <t>WARREN CITY 4A</t>
        </is>
      </c>
      <c r="AP905" t="inlineStr">
        <is>
          <t>78-P-ADI</t>
        </is>
      </c>
      <c r="AQ905" t="n">
        <v>9</v>
      </c>
      <c r="AR905" t="n">
        <v>64</v>
      </c>
      <c r="AS905" t="n">
        <v>32</v>
      </c>
      <c r="AU905">
        <f>COUNTA($BA$905:$EH$905)</f>
        <v/>
      </c>
      <c r="AV905">
        <f>COUNTIF($BA$905:$EH$905,"D")</f>
        <v/>
      </c>
      <c r="AW905">
        <f>COUNTIF($BA$905:$EH$905,"R")</f>
        <v/>
      </c>
      <c r="AX905">
        <f>IF(BN905="D",1,0)+IF(BO905="D",1,0)+IF(BT905="D",1,0)+IF(BU905="D",1,0)+IF(BW905="D",1,0)+IF(CC905="D",1,0)+IF(CD905="D",1,0)+IF(CE905="D",1,0)+IF(CF905="D",1,0)+IF(CL905="D",1,0)+IF(CM905="D",1,0)+IF(CQ905="D",1,0)+IF(CR905="D",1,0)+IF(CS905="D",1,0)+IF(CW905="D",1,0)+IF(CX905="D",1,0)+IF(DD905="D",1,0)+IF(DE905="D",1,0)+IF(DJ905="D",1,0)+IF(DK905="D",1,0)+IF(DO905="D",1,0)+IF(DP905="D",1,0)+IF(DQ905="D",1,0)+IF(DW905="D",1,0)+IF(DZ905="D",1,0)+IF(EH905="D",1,0)</f>
        <v/>
      </c>
      <c r="AY905">
        <f>IF(DJ905&lt;&gt;"",1,0)+IF(DK905&lt;&gt;"",1,0)+IF(DM905&lt;&gt;"",1,0)+IF(DO905&lt;&gt;"",1,0)+IF(DP905&lt;&gt;"",1,0)+IF(DQ905&lt;&gt;"",1,0)+IF(DS905&lt;&gt;"",1,0)+IF(DT905&lt;&gt;"",1,0)+IF(DV905&lt;&gt;"",1,0)+IF(DW905&lt;&gt;"",1,0)+IF(DX905&lt;&gt;"",1,0)+IF(DY905&lt;&gt;"",1,0)+IF(DZ905&lt;&gt;"",1,0)+IF(EB905&lt;&gt;"",1,0)+IF(EC905&lt;&gt;"",1,0)+IF(ED905&lt;&gt;"",1,0)+IF(EG905&lt;&gt;"",1,0)+IF(EH905&lt;&gt;"",1,0)</f>
        <v/>
      </c>
      <c r="AZ905">
        <f>IF(EH905&lt;&gt;"",1,0)</f>
        <v/>
      </c>
      <c r="BB905" t="inlineStr">
        <is>
          <t>WARREN-WARD 4</t>
        </is>
      </c>
      <c r="BL905" t="inlineStr">
        <is>
          <t>X</t>
        </is>
      </c>
      <c r="BS905" t="inlineStr">
        <is>
          <t>X</t>
        </is>
      </c>
      <c r="CA905" t="inlineStr">
        <is>
          <t>X</t>
        </is>
      </c>
    </row>
    <row r="906">
      <c r="A906" t="inlineStr">
        <is>
          <t>OH0015687769</t>
        </is>
      </c>
      <c r="B906" t="n">
        <v>78</v>
      </c>
      <c r="C906" t="n">
        <v>127746</v>
      </c>
      <c r="D906" t="inlineStr">
        <is>
          <t>MOSKO</t>
        </is>
      </c>
      <c r="E906" t="inlineStr">
        <is>
          <t>RONALD</t>
        </is>
      </c>
      <c r="F906">
        <f>CONCATENATE(D906," ",LEFT(H906,4),"T=",AU906,"D=",AV906,"R=",AW906,"M=",AX906,"L=",AY906,"B=",AZ906)</f>
        <v/>
      </c>
      <c r="G906" t="inlineStr">
        <is>
          <t>A</t>
        </is>
      </c>
      <c r="I906" t="inlineStr">
        <is>
          <t>1961-09-12</t>
        </is>
      </c>
      <c r="J906" t="inlineStr">
        <is>
          <t>1980-07-06</t>
        </is>
      </c>
      <c r="K906" t="inlineStr">
        <is>
          <t>ACTIVE</t>
        </is>
      </c>
      <c r="M906" t="inlineStr">
        <is>
          <t>840 OAK KNOLL AVE SE</t>
        </is>
      </c>
      <c r="N906">
        <f>RIGHT(M906,LEN(M906)-FIND(" ",M906))</f>
        <v/>
      </c>
      <c r="P906" t="inlineStr">
        <is>
          <t>WARREN</t>
        </is>
      </c>
      <c r="Q906" t="inlineStr">
        <is>
          <t>OH</t>
        </is>
      </c>
      <c r="R906" t="n">
        <v>44484</v>
      </c>
      <c r="AD906" t="inlineStr">
        <is>
          <t>TRUMBULL CAREER &amp; TECH CENTER</t>
        </is>
      </c>
      <c r="AE906" t="inlineStr">
        <is>
          <t>WARREN CITY</t>
        </is>
      </c>
      <c r="AF906" t="inlineStr">
        <is>
          <t>WARREN CITY SD</t>
        </is>
      </c>
      <c r="AH906" t="n">
        <v>14</v>
      </c>
      <c r="AI906" t="n">
        <v>11</v>
      </c>
      <c r="AN906" t="inlineStr">
        <is>
          <t>WARREN</t>
        </is>
      </c>
      <c r="AO906" t="inlineStr">
        <is>
          <t>WARREN CITY 4A</t>
        </is>
      </c>
      <c r="AP906" t="inlineStr">
        <is>
          <t>78-P-ADI</t>
        </is>
      </c>
      <c r="AQ906" t="n">
        <v>9</v>
      </c>
      <c r="AR906" t="n">
        <v>64</v>
      </c>
      <c r="AS906" t="n">
        <v>32</v>
      </c>
      <c r="AU906">
        <f>COUNTA($BA$906:$EH$906)</f>
        <v/>
      </c>
      <c r="AV906">
        <f>COUNTIF($BA$906:$EH$906,"D")</f>
        <v/>
      </c>
      <c r="AW906">
        <f>COUNTIF($BA$906:$EH$906,"R")</f>
        <v/>
      </c>
      <c r="AX906">
        <f>IF(BN906="D",1,0)+IF(BO906="D",1,0)+IF(BT906="D",1,0)+IF(BU906="D",1,0)+IF(BW906="D",1,0)+IF(CC906="D",1,0)+IF(CD906="D",1,0)+IF(CE906="D",1,0)+IF(CF906="D",1,0)+IF(CL906="D",1,0)+IF(CM906="D",1,0)+IF(CQ906="D",1,0)+IF(CR906="D",1,0)+IF(CS906="D",1,0)+IF(CW906="D",1,0)+IF(CX906="D",1,0)+IF(DD906="D",1,0)+IF(DE906="D",1,0)+IF(DJ906="D",1,0)+IF(DK906="D",1,0)+IF(DO906="D",1,0)+IF(DP906="D",1,0)+IF(DQ906="D",1,0)+IF(DW906="D",1,0)+IF(DZ906="D",1,0)+IF(EH906="D",1,0)</f>
        <v/>
      </c>
      <c r="AY906">
        <f>IF(DJ906&lt;&gt;"",1,0)+IF(DK906&lt;&gt;"",1,0)+IF(DM906&lt;&gt;"",1,0)+IF(DO906&lt;&gt;"",1,0)+IF(DP906&lt;&gt;"",1,0)+IF(DQ906&lt;&gt;"",1,0)+IF(DS906&lt;&gt;"",1,0)+IF(DT906&lt;&gt;"",1,0)+IF(DV906&lt;&gt;"",1,0)+IF(DW906&lt;&gt;"",1,0)+IF(DX906&lt;&gt;"",1,0)+IF(DY906&lt;&gt;"",1,0)+IF(DZ906&lt;&gt;"",1,0)+IF(EB906&lt;&gt;"",1,0)+IF(EC906&lt;&gt;"",1,0)+IF(ED906&lt;&gt;"",1,0)+IF(EG906&lt;&gt;"",1,0)+IF(EH906&lt;&gt;"",1,0)</f>
        <v/>
      </c>
      <c r="AZ906">
        <f>IF(EH906&lt;&gt;"",1,0)</f>
        <v/>
      </c>
      <c r="BB906" t="inlineStr">
        <is>
          <t>WARREN-WARD 4</t>
        </is>
      </c>
      <c r="BD906" t="inlineStr">
        <is>
          <t>X</t>
        </is>
      </c>
      <c r="BE906" t="inlineStr">
        <is>
          <t>X</t>
        </is>
      </c>
      <c r="BG906" t="inlineStr">
        <is>
          <t>X</t>
        </is>
      </c>
      <c r="BH906" t="inlineStr">
        <is>
          <t>X</t>
        </is>
      </c>
      <c r="BI906" t="inlineStr">
        <is>
          <t>X</t>
        </is>
      </c>
      <c r="BK906" t="inlineStr">
        <is>
          <t>X</t>
        </is>
      </c>
      <c r="BL906" t="inlineStr">
        <is>
          <t>X</t>
        </is>
      </c>
      <c r="BP906" t="inlineStr">
        <is>
          <t>X</t>
        </is>
      </c>
      <c r="BR906" t="inlineStr">
        <is>
          <t>X</t>
        </is>
      </c>
      <c r="BS906" t="inlineStr">
        <is>
          <t>X</t>
        </is>
      </c>
      <c r="BV906" t="inlineStr">
        <is>
          <t>X</t>
        </is>
      </c>
      <c r="BY906" t="inlineStr">
        <is>
          <t>D</t>
        </is>
      </c>
      <c r="CA906" t="inlineStr">
        <is>
          <t>X</t>
        </is>
      </c>
      <c r="CG906" t="inlineStr">
        <is>
          <t>X</t>
        </is>
      </c>
      <c r="CH906" t="inlineStr">
        <is>
          <t>D</t>
        </is>
      </c>
      <c r="CK906" t="inlineStr">
        <is>
          <t>X</t>
        </is>
      </c>
      <c r="CL906" t="inlineStr">
        <is>
          <t>D</t>
        </is>
      </c>
      <c r="CN906" t="inlineStr">
        <is>
          <t>X</t>
        </is>
      </c>
      <c r="CP906" t="inlineStr">
        <is>
          <t>X</t>
        </is>
      </c>
      <c r="CT906" t="inlineStr">
        <is>
          <t>X</t>
        </is>
      </c>
      <c r="CV906" t="inlineStr">
        <is>
          <t>X</t>
        </is>
      </c>
      <c r="CY906" t="inlineStr">
        <is>
          <t>X</t>
        </is>
      </c>
      <c r="DC906" t="inlineStr">
        <is>
          <t>X</t>
        </is>
      </c>
      <c r="DF906" t="inlineStr">
        <is>
          <t>X</t>
        </is>
      </c>
      <c r="DG906" t="inlineStr">
        <is>
          <t>R</t>
        </is>
      </c>
      <c r="DI906" t="inlineStr">
        <is>
          <t>X</t>
        </is>
      </c>
      <c r="DL906" t="inlineStr">
        <is>
          <t>X</t>
        </is>
      </c>
      <c r="DM906" t="inlineStr">
        <is>
          <t>D</t>
        </is>
      </c>
      <c r="DN906" t="inlineStr">
        <is>
          <t>X</t>
        </is>
      </c>
      <c r="DU906" t="inlineStr">
        <is>
          <t>X</t>
        </is>
      </c>
      <c r="EA906" t="inlineStr">
        <is>
          <t>X</t>
        </is>
      </c>
      <c r="EF906" t="inlineStr">
        <is>
          <t>X</t>
        </is>
      </c>
    </row>
    <row r="907">
      <c r="A907" t="inlineStr">
        <is>
          <t>OH0019107422</t>
        </is>
      </c>
      <c r="B907" t="n">
        <v>78</v>
      </c>
      <c r="C907" t="n">
        <v>349394</v>
      </c>
      <c r="D907" t="inlineStr">
        <is>
          <t>CORAM</t>
        </is>
      </c>
      <c r="E907" t="inlineStr">
        <is>
          <t>DAVID</t>
        </is>
      </c>
      <c r="F907">
        <f>CONCATENATE(D907," ",LEFT(H907,4),"T=",AU907,"D=",AV907,"R=",AW907,"M=",AX907,"L=",AY907,"B=",AZ907)</f>
        <v/>
      </c>
      <c r="G907" t="inlineStr">
        <is>
          <t>KEVIN</t>
        </is>
      </c>
      <c r="H907" t="inlineStr">
        <is>
          <t>SR</t>
        </is>
      </c>
      <c r="I907" t="inlineStr">
        <is>
          <t>1971-02-01</t>
        </is>
      </c>
      <c r="J907" t="inlineStr">
        <is>
          <t>2019-07-08</t>
        </is>
      </c>
      <c r="K907" t="inlineStr">
        <is>
          <t>CONFIRMATION</t>
        </is>
      </c>
      <c r="M907" t="inlineStr">
        <is>
          <t>414 WOODBINE AVE SE</t>
        </is>
      </c>
      <c r="N907">
        <f>RIGHT(M907,LEN(M907)-FIND(" ",M907))</f>
        <v/>
      </c>
      <c r="P907" t="inlineStr">
        <is>
          <t>WARREN</t>
        </is>
      </c>
      <c r="Q907" t="inlineStr">
        <is>
          <t>OH</t>
        </is>
      </c>
      <c r="R907" t="n">
        <v>44483</v>
      </c>
      <c r="AD907" t="inlineStr">
        <is>
          <t>TRUMBULL CAREER &amp; TECH CENTER</t>
        </is>
      </c>
      <c r="AE907" t="inlineStr">
        <is>
          <t>WARREN CITY</t>
        </is>
      </c>
      <c r="AF907" t="inlineStr">
        <is>
          <t>WARREN CITY SD</t>
        </is>
      </c>
      <c r="AH907" t="n">
        <v>14</v>
      </c>
      <c r="AI907" t="n">
        <v>11</v>
      </c>
      <c r="AN907" t="inlineStr">
        <is>
          <t>WARREN</t>
        </is>
      </c>
      <c r="AO907" t="inlineStr">
        <is>
          <t>WARREN CITY 4A</t>
        </is>
      </c>
      <c r="AP907" t="inlineStr">
        <is>
          <t>78-P-ADI</t>
        </is>
      </c>
      <c r="AQ907" t="n">
        <v>9</v>
      </c>
      <c r="AR907" t="n">
        <v>64</v>
      </c>
      <c r="AS907" t="n">
        <v>32</v>
      </c>
      <c r="AU907">
        <f>COUNTA($BA$907:$EH$907)</f>
        <v/>
      </c>
      <c r="AV907">
        <f>COUNTIF($BA$907:$EH$907,"D")</f>
        <v/>
      </c>
      <c r="AW907">
        <f>COUNTIF($BA$907:$EH$907,"R")</f>
        <v/>
      </c>
      <c r="AX907">
        <f>IF(BN907="D",1,0)+IF(BO907="D",1,0)+IF(BT907="D",1,0)+IF(BU907="D",1,0)+IF(BW907="D",1,0)+IF(CC907="D",1,0)+IF(CD907="D",1,0)+IF(CE907="D",1,0)+IF(CF907="D",1,0)+IF(CL907="D",1,0)+IF(CM907="D",1,0)+IF(CQ907="D",1,0)+IF(CR907="D",1,0)+IF(CS907="D",1,0)+IF(CW907="D",1,0)+IF(CX907="D",1,0)+IF(DD907="D",1,0)+IF(DE907="D",1,0)+IF(DJ907="D",1,0)+IF(DK907="D",1,0)+IF(DO907="D",1,0)+IF(DP907="D",1,0)+IF(DQ907="D",1,0)+IF(DW907="D",1,0)+IF(DZ907="D",1,0)+IF(EH907="D",1,0)</f>
        <v/>
      </c>
      <c r="AY907">
        <f>IF(DJ907&lt;&gt;"",1,0)+IF(DK907&lt;&gt;"",1,0)+IF(DM907&lt;&gt;"",1,0)+IF(DO907&lt;&gt;"",1,0)+IF(DP907&lt;&gt;"",1,0)+IF(DQ907&lt;&gt;"",1,0)+IF(DS907&lt;&gt;"",1,0)+IF(DT907&lt;&gt;"",1,0)+IF(DV907&lt;&gt;"",1,0)+IF(DW907&lt;&gt;"",1,0)+IF(DX907&lt;&gt;"",1,0)+IF(DY907&lt;&gt;"",1,0)+IF(DZ907&lt;&gt;"",1,0)+IF(EB907&lt;&gt;"",1,0)+IF(EC907&lt;&gt;"",1,0)+IF(ED907&lt;&gt;"",1,0)+IF(EG907&lt;&gt;"",1,0)+IF(EH907&lt;&gt;"",1,0)</f>
        <v/>
      </c>
      <c r="AZ907">
        <f>IF(EH907&lt;&gt;"",1,0)</f>
        <v/>
      </c>
      <c r="BB907" t="inlineStr">
        <is>
          <t>WARREN-WARD 4</t>
        </is>
      </c>
      <c r="CA907" t="inlineStr">
        <is>
          <t>X</t>
        </is>
      </c>
      <c r="CP907" t="inlineStr">
        <is>
          <t>X</t>
        </is>
      </c>
      <c r="DC907" t="inlineStr">
        <is>
          <t>X</t>
        </is>
      </c>
      <c r="DN907" t="inlineStr">
        <is>
          <t>X</t>
        </is>
      </c>
    </row>
    <row r="908">
      <c r="A908" t="inlineStr">
        <is>
          <t>OH0026085025</t>
        </is>
      </c>
      <c r="B908" t="n">
        <v>78</v>
      </c>
      <c r="C908" t="n">
        <v>456098</v>
      </c>
      <c r="D908" t="inlineStr">
        <is>
          <t>BLACKWELL</t>
        </is>
      </c>
      <c r="E908" t="inlineStr">
        <is>
          <t>GEORGE</t>
        </is>
      </c>
      <c r="F908">
        <f>CONCATENATE(D908," ",LEFT(H908,4),"T=",AU908,"D=",AV908,"R=",AW908,"M=",AX908,"L=",AY908,"B=",AZ908)</f>
        <v/>
      </c>
      <c r="G908" t="inlineStr">
        <is>
          <t>H</t>
        </is>
      </c>
      <c r="I908" t="inlineStr">
        <is>
          <t>1977-11-28</t>
        </is>
      </c>
      <c r="J908" t="inlineStr">
        <is>
          <t>2020-10-28</t>
        </is>
      </c>
      <c r="K908" t="inlineStr">
        <is>
          <t>CONFIRMATION</t>
        </is>
      </c>
      <c r="M908" t="inlineStr">
        <is>
          <t>306 WOODBINE AVE SE</t>
        </is>
      </c>
      <c r="N908">
        <f>RIGHT(M908,LEN(M908)-FIND(" ",M908))</f>
        <v/>
      </c>
      <c r="P908" t="inlineStr">
        <is>
          <t>WARREN</t>
        </is>
      </c>
      <c r="Q908" t="inlineStr">
        <is>
          <t>OH</t>
        </is>
      </c>
      <c r="R908" t="n">
        <v>44483</v>
      </c>
      <c r="AD908" t="inlineStr">
        <is>
          <t>TRUMBULL CAREER &amp; TECH CENTER</t>
        </is>
      </c>
      <c r="AE908" t="inlineStr">
        <is>
          <t>WARREN CITY</t>
        </is>
      </c>
      <c r="AF908" t="inlineStr">
        <is>
          <t>WARREN CITY SD</t>
        </is>
      </c>
      <c r="AH908" t="n">
        <v>14</v>
      </c>
      <c r="AI908" t="n">
        <v>11</v>
      </c>
      <c r="AN908" t="inlineStr">
        <is>
          <t>WARREN</t>
        </is>
      </c>
      <c r="AO908" t="inlineStr">
        <is>
          <t>WARREN CITY 4A</t>
        </is>
      </c>
      <c r="AP908" t="inlineStr">
        <is>
          <t>78-P-ADI</t>
        </is>
      </c>
      <c r="AQ908" t="n">
        <v>9</v>
      </c>
      <c r="AR908" t="n">
        <v>64</v>
      </c>
      <c r="AS908" t="n">
        <v>32</v>
      </c>
      <c r="AU908">
        <f>COUNTA($BA$908:$EH$908)</f>
        <v/>
      </c>
      <c r="AV908">
        <f>COUNTIF($BA$908:$EH$908,"D")</f>
        <v/>
      </c>
      <c r="AW908">
        <f>COUNTIF($BA$908:$EH$908,"R")</f>
        <v/>
      </c>
      <c r="AX908">
        <f>IF(BN908="D",1,0)+IF(BO908="D",1,0)+IF(BT908="D",1,0)+IF(BU908="D",1,0)+IF(BW908="D",1,0)+IF(CC908="D",1,0)+IF(CD908="D",1,0)+IF(CE908="D",1,0)+IF(CF908="D",1,0)+IF(CL908="D",1,0)+IF(CM908="D",1,0)+IF(CQ908="D",1,0)+IF(CR908="D",1,0)+IF(CS908="D",1,0)+IF(CW908="D",1,0)+IF(CX908="D",1,0)+IF(DD908="D",1,0)+IF(DE908="D",1,0)+IF(DJ908="D",1,0)+IF(DK908="D",1,0)+IF(DO908="D",1,0)+IF(DP908="D",1,0)+IF(DQ908="D",1,0)+IF(DW908="D",1,0)+IF(DZ908="D",1,0)+IF(EH908="D",1,0)</f>
        <v/>
      </c>
      <c r="AY908">
        <f>IF(DJ908&lt;&gt;"",1,0)+IF(DK908&lt;&gt;"",1,0)+IF(DM908&lt;&gt;"",1,0)+IF(DO908&lt;&gt;"",1,0)+IF(DP908&lt;&gt;"",1,0)+IF(DQ908&lt;&gt;"",1,0)+IF(DS908&lt;&gt;"",1,0)+IF(DT908&lt;&gt;"",1,0)+IF(DV908&lt;&gt;"",1,0)+IF(DW908&lt;&gt;"",1,0)+IF(DX908&lt;&gt;"",1,0)+IF(DY908&lt;&gt;"",1,0)+IF(DZ908&lt;&gt;"",1,0)+IF(EB908&lt;&gt;"",1,0)+IF(EC908&lt;&gt;"",1,0)+IF(ED908&lt;&gt;"",1,0)+IF(EG908&lt;&gt;"",1,0)+IF(EH908&lt;&gt;"",1,0)</f>
        <v/>
      </c>
      <c r="AZ908">
        <f>IF(EH908&lt;&gt;"",1,0)</f>
        <v/>
      </c>
      <c r="BB908" t="inlineStr">
        <is>
          <t>WARREN-WARD 4</t>
        </is>
      </c>
      <c r="CA908" t="inlineStr">
        <is>
          <t>X</t>
        </is>
      </c>
    </row>
    <row r="909">
      <c r="A909" t="inlineStr">
        <is>
          <t>OH0027514178</t>
        </is>
      </c>
      <c r="B909" t="n">
        <v>78</v>
      </c>
      <c r="C909" t="n">
        <v>487585</v>
      </c>
      <c r="D909" t="inlineStr">
        <is>
          <t>BRYANT</t>
        </is>
      </c>
      <c r="E909" t="inlineStr">
        <is>
          <t>MARIAH</t>
        </is>
      </c>
      <c r="F909">
        <f>CONCATENATE(D909," ",LEFT(H909,4),"T=",AU909,"D=",AV909,"R=",AW909,"M=",AX909,"L=",AY909,"B=",AZ909)</f>
        <v/>
      </c>
      <c r="G909" t="inlineStr">
        <is>
          <t>N</t>
        </is>
      </c>
      <c r="I909" t="inlineStr">
        <is>
          <t>2000-03-17</t>
        </is>
      </c>
      <c r="J909" t="inlineStr">
        <is>
          <t>2024-08-05</t>
        </is>
      </c>
      <c r="K909" t="inlineStr">
        <is>
          <t>ACTIVE</t>
        </is>
      </c>
      <c r="M909" t="inlineStr">
        <is>
          <t>829 KENILWORTH AVE SE</t>
        </is>
      </c>
      <c r="N909">
        <f>RIGHT(M909,LEN(M909)-FIND(" ",M909))</f>
        <v/>
      </c>
      <c r="P909" t="inlineStr">
        <is>
          <t>WARREN</t>
        </is>
      </c>
      <c r="Q909" t="inlineStr">
        <is>
          <t>OH</t>
        </is>
      </c>
      <c r="R909" t="n">
        <v>44484</v>
      </c>
      <c r="AD909" t="inlineStr">
        <is>
          <t>TRUMBULL CAREER &amp; TECH CENTER</t>
        </is>
      </c>
      <c r="AE909" t="inlineStr">
        <is>
          <t>WARREN CITY</t>
        </is>
      </c>
      <c r="AF909" t="inlineStr">
        <is>
          <t>WARREN CITY SD</t>
        </is>
      </c>
      <c r="AH909" t="n">
        <v>14</v>
      </c>
      <c r="AI909" t="n">
        <v>11</v>
      </c>
      <c r="AN909" t="inlineStr">
        <is>
          <t>WARREN</t>
        </is>
      </c>
      <c r="AO909" t="inlineStr">
        <is>
          <t>WARREN CITY 4A</t>
        </is>
      </c>
      <c r="AP909" t="inlineStr">
        <is>
          <t>78-P-ADI</t>
        </is>
      </c>
      <c r="AQ909" t="n">
        <v>9</v>
      </c>
      <c r="AR909" t="n">
        <v>64</v>
      </c>
      <c r="AS909" t="n">
        <v>32</v>
      </c>
      <c r="AU909">
        <f>COUNTA($BA$909:$EH$909)</f>
        <v/>
      </c>
      <c r="AV909">
        <f>COUNTIF($BA$909:$EH$909,"D")</f>
        <v/>
      </c>
      <c r="AW909">
        <f>COUNTIF($BA$909:$EH$909,"R")</f>
        <v/>
      </c>
      <c r="AX909">
        <f>IF(BN909="D",1,0)+IF(BO909="D",1,0)+IF(BT909="D",1,0)+IF(BU909="D",1,0)+IF(BW909="D",1,0)+IF(CC909="D",1,0)+IF(CD909="D",1,0)+IF(CE909="D",1,0)+IF(CF909="D",1,0)+IF(CL909="D",1,0)+IF(CM909="D",1,0)+IF(CQ909="D",1,0)+IF(CR909="D",1,0)+IF(CS909="D",1,0)+IF(CW909="D",1,0)+IF(CX909="D",1,0)+IF(DD909="D",1,0)+IF(DE909="D",1,0)+IF(DJ909="D",1,0)+IF(DK909="D",1,0)+IF(DO909="D",1,0)+IF(DP909="D",1,0)+IF(DQ909="D",1,0)+IF(DW909="D",1,0)+IF(DZ909="D",1,0)+IF(EH909="D",1,0)</f>
        <v/>
      </c>
      <c r="AY909">
        <f>IF(DJ909&lt;&gt;"",1,0)+IF(DK909&lt;&gt;"",1,0)+IF(DM909&lt;&gt;"",1,0)+IF(DO909&lt;&gt;"",1,0)+IF(DP909&lt;&gt;"",1,0)+IF(DQ909&lt;&gt;"",1,0)+IF(DS909&lt;&gt;"",1,0)+IF(DT909&lt;&gt;"",1,0)+IF(DV909&lt;&gt;"",1,0)+IF(DW909&lt;&gt;"",1,0)+IF(DX909&lt;&gt;"",1,0)+IF(DY909&lt;&gt;"",1,0)+IF(DZ909&lt;&gt;"",1,0)+IF(EB909&lt;&gt;"",1,0)+IF(EC909&lt;&gt;"",1,0)+IF(ED909&lt;&gt;"",1,0)+IF(EG909&lt;&gt;"",1,0)+IF(EH909&lt;&gt;"",1,0)</f>
        <v/>
      </c>
      <c r="AZ909">
        <f>IF(EH909&lt;&gt;"",1,0)</f>
        <v/>
      </c>
      <c r="BB909" t="inlineStr">
        <is>
          <t>WARREN-WARD 4</t>
        </is>
      </c>
    </row>
    <row r="910">
      <c r="A910" t="inlineStr">
        <is>
          <t>OH0015718852</t>
        </is>
      </c>
      <c r="B910" t="n">
        <v>78</v>
      </c>
      <c r="C910" t="n">
        <v>197567</v>
      </c>
      <c r="D910" t="inlineStr">
        <is>
          <t>STARR</t>
        </is>
      </c>
      <c r="E910" t="inlineStr">
        <is>
          <t>RICHARD</t>
        </is>
      </c>
      <c r="F910">
        <f>CONCATENATE(D910," ",LEFT(H910,4),"T=",AU910,"D=",AV910,"R=",AW910,"M=",AX910,"L=",AY910,"B=",AZ910)</f>
        <v/>
      </c>
      <c r="I910" t="inlineStr">
        <is>
          <t>1954-07-28</t>
        </is>
      </c>
      <c r="J910" t="inlineStr">
        <is>
          <t>1987-05-04</t>
        </is>
      </c>
      <c r="K910" t="inlineStr">
        <is>
          <t>ACTIVE</t>
        </is>
      </c>
      <c r="M910" t="inlineStr">
        <is>
          <t>841 OAK KNOLL AVE SE</t>
        </is>
      </c>
      <c r="N910">
        <f>RIGHT(M910,LEN(M910)-FIND(" ",M910))</f>
        <v/>
      </c>
      <c r="P910" t="inlineStr">
        <is>
          <t>WARREN</t>
        </is>
      </c>
      <c r="Q910" t="inlineStr">
        <is>
          <t>OH</t>
        </is>
      </c>
      <c r="R910" t="n">
        <v>44484</v>
      </c>
      <c r="AD910" t="inlineStr">
        <is>
          <t>TRUMBULL CAREER &amp; TECH CENTER</t>
        </is>
      </c>
      <c r="AE910" t="inlineStr">
        <is>
          <t>WARREN CITY</t>
        </is>
      </c>
      <c r="AF910" t="inlineStr">
        <is>
          <t>WARREN CITY SD</t>
        </is>
      </c>
      <c r="AH910" t="n">
        <v>14</v>
      </c>
      <c r="AI910" t="n">
        <v>11</v>
      </c>
      <c r="AN910" t="inlineStr">
        <is>
          <t>WARREN</t>
        </is>
      </c>
      <c r="AO910" t="inlineStr">
        <is>
          <t>WARREN CITY 4A</t>
        </is>
      </c>
      <c r="AP910" t="inlineStr">
        <is>
          <t>78-P-ADI</t>
        </is>
      </c>
      <c r="AQ910" t="n">
        <v>9</v>
      </c>
      <c r="AR910" t="n">
        <v>64</v>
      </c>
      <c r="AS910" t="n">
        <v>32</v>
      </c>
      <c r="AU910">
        <f>COUNTA($BA$910:$EH$910)</f>
        <v/>
      </c>
      <c r="AV910">
        <f>COUNTIF($BA$910:$EH$910,"D")</f>
        <v/>
      </c>
      <c r="AW910">
        <f>COUNTIF($BA$910:$EH$910,"R")</f>
        <v/>
      </c>
      <c r="AX910">
        <f>IF(BN910="D",1,0)+IF(BO910="D",1,0)+IF(BT910="D",1,0)+IF(BU910="D",1,0)+IF(BW910="D",1,0)+IF(CC910="D",1,0)+IF(CD910="D",1,0)+IF(CE910="D",1,0)+IF(CF910="D",1,0)+IF(CL910="D",1,0)+IF(CM910="D",1,0)+IF(CQ910="D",1,0)+IF(CR910="D",1,0)+IF(CS910="D",1,0)+IF(CW910="D",1,0)+IF(CX910="D",1,0)+IF(DD910="D",1,0)+IF(DE910="D",1,0)+IF(DJ910="D",1,0)+IF(DK910="D",1,0)+IF(DO910="D",1,0)+IF(DP910="D",1,0)+IF(DQ910="D",1,0)+IF(DW910="D",1,0)+IF(DZ910="D",1,0)+IF(EH910="D",1,0)</f>
        <v/>
      </c>
      <c r="AY910">
        <f>IF(DJ910&lt;&gt;"",1,0)+IF(DK910&lt;&gt;"",1,0)+IF(DM910&lt;&gt;"",1,0)+IF(DO910&lt;&gt;"",1,0)+IF(DP910&lt;&gt;"",1,0)+IF(DQ910&lt;&gt;"",1,0)+IF(DS910&lt;&gt;"",1,0)+IF(DT910&lt;&gt;"",1,0)+IF(DV910&lt;&gt;"",1,0)+IF(DW910&lt;&gt;"",1,0)+IF(DX910&lt;&gt;"",1,0)+IF(DY910&lt;&gt;"",1,0)+IF(DZ910&lt;&gt;"",1,0)+IF(EB910&lt;&gt;"",1,0)+IF(EC910&lt;&gt;"",1,0)+IF(ED910&lt;&gt;"",1,0)+IF(EG910&lt;&gt;"",1,0)+IF(EH910&lt;&gt;"",1,0)</f>
        <v/>
      </c>
      <c r="AZ910">
        <f>IF(EH910&lt;&gt;"",1,0)</f>
        <v/>
      </c>
      <c r="BB910" t="inlineStr">
        <is>
          <t>WARREN-WARD 4</t>
        </is>
      </c>
      <c r="BC910" t="inlineStr">
        <is>
          <t>X</t>
        </is>
      </c>
      <c r="BD910" t="inlineStr">
        <is>
          <t>X</t>
        </is>
      </c>
      <c r="BE910" t="inlineStr">
        <is>
          <t>X</t>
        </is>
      </c>
      <c r="BH910" t="inlineStr">
        <is>
          <t>X</t>
        </is>
      </c>
      <c r="BI910" t="inlineStr">
        <is>
          <t>X</t>
        </is>
      </c>
      <c r="BJ910" t="inlineStr">
        <is>
          <t>X</t>
        </is>
      </c>
      <c r="BK910" t="inlineStr">
        <is>
          <t>X</t>
        </is>
      </c>
      <c r="BL910" t="inlineStr">
        <is>
          <t>X</t>
        </is>
      </c>
      <c r="BP910" t="inlineStr">
        <is>
          <t>X</t>
        </is>
      </c>
      <c r="BS910" t="inlineStr">
        <is>
          <t>X</t>
        </is>
      </c>
      <c r="BV910" t="inlineStr">
        <is>
          <t>X</t>
        </is>
      </c>
      <c r="CA910" t="inlineStr">
        <is>
          <t>X</t>
        </is>
      </c>
      <c r="CN910" t="inlineStr">
        <is>
          <t>X</t>
        </is>
      </c>
      <c r="CP910" t="inlineStr">
        <is>
          <t>X</t>
        </is>
      </c>
      <c r="CY910" t="inlineStr">
        <is>
          <t>X</t>
        </is>
      </c>
      <c r="DC910" t="inlineStr">
        <is>
          <t>X</t>
        </is>
      </c>
      <c r="DI910" t="inlineStr">
        <is>
          <t>X</t>
        </is>
      </c>
      <c r="DL910" t="inlineStr">
        <is>
          <t>X</t>
        </is>
      </c>
      <c r="DN910" t="inlineStr">
        <is>
          <t>X</t>
        </is>
      </c>
      <c r="DU910" t="inlineStr">
        <is>
          <t>X</t>
        </is>
      </c>
      <c r="DX910" t="inlineStr">
        <is>
          <t>X</t>
        </is>
      </c>
      <c r="EA910" t="inlineStr">
        <is>
          <t>X</t>
        </is>
      </c>
      <c r="EF910" t="inlineStr">
        <is>
          <t>X</t>
        </is>
      </c>
    </row>
    <row r="911">
      <c r="A911" t="inlineStr">
        <is>
          <t>OH0018597425</t>
        </is>
      </c>
      <c r="B911" t="n">
        <v>78</v>
      </c>
      <c r="C911" t="n">
        <v>338688</v>
      </c>
      <c r="D911" t="inlineStr">
        <is>
          <t>COLE</t>
        </is>
      </c>
      <c r="E911" t="inlineStr">
        <is>
          <t>LATASHA</t>
        </is>
      </c>
      <c r="F911">
        <f>CONCATENATE(D911," ",LEFT(H911,4),"T=",AU911,"D=",AV911,"R=",AW911,"M=",AX911,"L=",AY911,"B=",AZ911)</f>
        <v/>
      </c>
      <c r="G911" t="inlineStr">
        <is>
          <t>M</t>
        </is>
      </c>
      <c r="I911" t="inlineStr">
        <is>
          <t>1984-11-28</t>
        </is>
      </c>
      <c r="J911" t="inlineStr">
        <is>
          <t>2019-05-21</t>
        </is>
      </c>
      <c r="K911" t="inlineStr">
        <is>
          <t>ACTIVE</t>
        </is>
      </c>
      <c r="M911" t="inlineStr">
        <is>
          <t>742 LAIRD AVE SE</t>
        </is>
      </c>
      <c r="N911">
        <f>RIGHT(M911,LEN(M911)-FIND(" ",M911))</f>
        <v/>
      </c>
      <c r="P911" t="inlineStr">
        <is>
          <t>WARREN</t>
        </is>
      </c>
      <c r="Q911" t="inlineStr">
        <is>
          <t>OH</t>
        </is>
      </c>
      <c r="R911" t="n">
        <v>44484</v>
      </c>
      <c r="AD911" t="inlineStr">
        <is>
          <t>TRUMBULL CAREER &amp; TECH CENTER</t>
        </is>
      </c>
      <c r="AE911" t="inlineStr">
        <is>
          <t>WARREN CITY</t>
        </is>
      </c>
      <c r="AF911" t="inlineStr">
        <is>
          <t>WARREN CITY SD</t>
        </is>
      </c>
      <c r="AH911" t="n">
        <v>14</v>
      </c>
      <c r="AI911" t="n">
        <v>11</v>
      </c>
      <c r="AN911" t="inlineStr">
        <is>
          <t>WARREN</t>
        </is>
      </c>
      <c r="AO911" t="inlineStr">
        <is>
          <t>WARREN CITY 4A</t>
        </is>
      </c>
      <c r="AP911" t="inlineStr">
        <is>
          <t>78-P-ADI</t>
        </is>
      </c>
      <c r="AQ911" t="n">
        <v>9</v>
      </c>
      <c r="AR911" t="n">
        <v>64</v>
      </c>
      <c r="AS911" t="n">
        <v>32</v>
      </c>
      <c r="AU911">
        <f>COUNTA($BA$911:$EH$911)</f>
        <v/>
      </c>
      <c r="AV911">
        <f>COUNTIF($BA$911:$EH$911,"D")</f>
        <v/>
      </c>
      <c r="AW911">
        <f>COUNTIF($BA$911:$EH$911,"R")</f>
        <v/>
      </c>
      <c r="AX911">
        <f>IF(BN911="D",1,0)+IF(BO911="D",1,0)+IF(BT911="D",1,0)+IF(BU911="D",1,0)+IF(BW911="D",1,0)+IF(CC911="D",1,0)+IF(CD911="D",1,0)+IF(CE911="D",1,0)+IF(CF911="D",1,0)+IF(CL911="D",1,0)+IF(CM911="D",1,0)+IF(CQ911="D",1,0)+IF(CR911="D",1,0)+IF(CS911="D",1,0)+IF(CW911="D",1,0)+IF(CX911="D",1,0)+IF(DD911="D",1,0)+IF(DE911="D",1,0)+IF(DJ911="D",1,0)+IF(DK911="D",1,0)+IF(DO911="D",1,0)+IF(DP911="D",1,0)+IF(DQ911="D",1,0)+IF(DW911="D",1,0)+IF(DZ911="D",1,0)+IF(EH911="D",1,0)</f>
        <v/>
      </c>
      <c r="AY911">
        <f>IF(DJ911&lt;&gt;"",1,0)+IF(DK911&lt;&gt;"",1,0)+IF(DM911&lt;&gt;"",1,0)+IF(DO911&lt;&gt;"",1,0)+IF(DP911&lt;&gt;"",1,0)+IF(DQ911&lt;&gt;"",1,0)+IF(DS911&lt;&gt;"",1,0)+IF(DT911&lt;&gt;"",1,0)+IF(DV911&lt;&gt;"",1,0)+IF(DW911&lt;&gt;"",1,0)+IF(DX911&lt;&gt;"",1,0)+IF(DY911&lt;&gt;"",1,0)+IF(DZ911&lt;&gt;"",1,0)+IF(EB911&lt;&gt;"",1,0)+IF(EC911&lt;&gt;"",1,0)+IF(ED911&lt;&gt;"",1,0)+IF(EG911&lt;&gt;"",1,0)+IF(EH911&lt;&gt;"",1,0)</f>
        <v/>
      </c>
      <c r="AZ911">
        <f>IF(EH911&lt;&gt;"",1,0)</f>
        <v/>
      </c>
      <c r="BB911" t="inlineStr">
        <is>
          <t>WARREN-WARD 4</t>
        </is>
      </c>
    </row>
    <row r="912">
      <c r="A912" t="inlineStr">
        <is>
          <t>OH0015818928</t>
        </is>
      </c>
      <c r="B912" t="n">
        <v>78</v>
      </c>
      <c r="C912" t="n">
        <v>301810</v>
      </c>
      <c r="D912" t="inlineStr">
        <is>
          <t>GREER</t>
        </is>
      </c>
      <c r="E912" t="inlineStr">
        <is>
          <t>JAMES</t>
        </is>
      </c>
      <c r="F912">
        <f>CONCATENATE(D912," ",LEFT(H912,4),"T=",AU912,"D=",AV912,"R=",AW912,"M=",AX912,"L=",AY912,"B=",AZ912)</f>
        <v/>
      </c>
      <c r="G912" t="inlineStr">
        <is>
          <t>P</t>
        </is>
      </c>
      <c r="H912" t="inlineStr">
        <is>
          <t>JR</t>
        </is>
      </c>
      <c r="I912" t="inlineStr">
        <is>
          <t>1965-07-31</t>
        </is>
      </c>
      <c r="J912" t="inlineStr">
        <is>
          <t>2016-09-20</t>
        </is>
      </c>
      <c r="K912" t="inlineStr">
        <is>
          <t>ACTIVE</t>
        </is>
      </c>
      <c r="M912" t="inlineStr">
        <is>
          <t>354 BONNIE BRAE AVE SE</t>
        </is>
      </c>
      <c r="N912">
        <f>RIGHT(M912,LEN(M912)-FIND(" ",M912))</f>
        <v/>
      </c>
      <c r="P912" t="inlineStr">
        <is>
          <t>WARREN</t>
        </is>
      </c>
      <c r="Q912" t="inlineStr">
        <is>
          <t>OH</t>
        </is>
      </c>
      <c r="R912" t="n">
        <v>44484</v>
      </c>
      <c r="AD912" t="inlineStr">
        <is>
          <t>TRUMBULL CAREER &amp; TECH CENTER</t>
        </is>
      </c>
      <c r="AE912" t="inlineStr">
        <is>
          <t>WARREN CITY</t>
        </is>
      </c>
      <c r="AF912" t="inlineStr">
        <is>
          <t>WARREN CITY SD</t>
        </is>
      </c>
      <c r="AH912" t="n">
        <v>14</v>
      </c>
      <c r="AI912" t="n">
        <v>11</v>
      </c>
      <c r="AN912" t="inlineStr">
        <is>
          <t>WARREN</t>
        </is>
      </c>
      <c r="AO912" t="inlineStr">
        <is>
          <t>WARREN CITY 4A</t>
        </is>
      </c>
      <c r="AP912" t="inlineStr">
        <is>
          <t>78-P-ADI</t>
        </is>
      </c>
      <c r="AQ912" t="n">
        <v>9</v>
      </c>
      <c r="AR912" t="n">
        <v>64</v>
      </c>
      <c r="AS912" t="n">
        <v>32</v>
      </c>
      <c r="AU912">
        <f>COUNTA($BA$912:$EH$912)</f>
        <v/>
      </c>
      <c r="AV912">
        <f>COUNTIF($BA$912:$EH$912,"D")</f>
        <v/>
      </c>
      <c r="AW912">
        <f>COUNTIF($BA$912:$EH$912,"R")</f>
        <v/>
      </c>
      <c r="AX912">
        <f>IF(BN912="D",1,0)+IF(BO912="D",1,0)+IF(BT912="D",1,0)+IF(BU912="D",1,0)+IF(BW912="D",1,0)+IF(CC912="D",1,0)+IF(CD912="D",1,0)+IF(CE912="D",1,0)+IF(CF912="D",1,0)+IF(CL912="D",1,0)+IF(CM912="D",1,0)+IF(CQ912="D",1,0)+IF(CR912="D",1,0)+IF(CS912="D",1,0)+IF(CW912="D",1,0)+IF(CX912="D",1,0)+IF(DD912="D",1,0)+IF(DE912="D",1,0)+IF(DJ912="D",1,0)+IF(DK912="D",1,0)+IF(DO912="D",1,0)+IF(DP912="D",1,0)+IF(DQ912="D",1,0)+IF(DW912="D",1,0)+IF(DZ912="D",1,0)+IF(EH912="D",1,0)</f>
        <v/>
      </c>
      <c r="AY912">
        <f>IF(DJ912&lt;&gt;"",1,0)+IF(DK912&lt;&gt;"",1,0)+IF(DM912&lt;&gt;"",1,0)+IF(DO912&lt;&gt;"",1,0)+IF(DP912&lt;&gt;"",1,0)+IF(DQ912&lt;&gt;"",1,0)+IF(DS912&lt;&gt;"",1,0)+IF(DT912&lt;&gt;"",1,0)+IF(DV912&lt;&gt;"",1,0)+IF(DW912&lt;&gt;"",1,0)+IF(DX912&lt;&gt;"",1,0)+IF(DY912&lt;&gt;"",1,0)+IF(DZ912&lt;&gt;"",1,0)+IF(EB912&lt;&gt;"",1,0)+IF(EC912&lt;&gt;"",1,0)+IF(ED912&lt;&gt;"",1,0)+IF(EG912&lt;&gt;"",1,0)+IF(EH912&lt;&gt;"",1,0)</f>
        <v/>
      </c>
      <c r="AZ912">
        <f>IF(EH912&lt;&gt;"",1,0)</f>
        <v/>
      </c>
      <c r="BB912" t="inlineStr">
        <is>
          <t>WARREN-WARD 4</t>
        </is>
      </c>
      <c r="BL912" t="inlineStr">
        <is>
          <t>X</t>
        </is>
      </c>
      <c r="BS912" t="inlineStr">
        <is>
          <t>X</t>
        </is>
      </c>
      <c r="BY912" t="inlineStr">
        <is>
          <t>D</t>
        </is>
      </c>
      <c r="CA912" t="inlineStr">
        <is>
          <t>X</t>
        </is>
      </c>
      <c r="CP912" t="inlineStr">
        <is>
          <t>X</t>
        </is>
      </c>
      <c r="DC912" t="inlineStr">
        <is>
          <t>X</t>
        </is>
      </c>
      <c r="DI912" t="inlineStr">
        <is>
          <t>X</t>
        </is>
      </c>
      <c r="DN912" t="inlineStr">
        <is>
          <t>X</t>
        </is>
      </c>
      <c r="DU912" t="inlineStr">
        <is>
          <t>X</t>
        </is>
      </c>
      <c r="EF912" t="inlineStr">
        <is>
          <t>X</t>
        </is>
      </c>
    </row>
    <row r="913">
      <c r="A913" t="inlineStr">
        <is>
          <t>OH0015722391</t>
        </is>
      </c>
      <c r="B913" t="n">
        <v>78</v>
      </c>
      <c r="C913" t="n">
        <v>204068</v>
      </c>
      <c r="D913" t="inlineStr">
        <is>
          <t>IRWIN</t>
        </is>
      </c>
      <c r="E913" t="inlineStr">
        <is>
          <t>TAMMY</t>
        </is>
      </c>
      <c r="F913">
        <f>CONCATENATE(D913," ",LEFT(H913,4),"T=",AU913,"D=",AV913,"R=",AW913,"M=",AX913,"L=",AY913,"B=",AZ913)</f>
        <v/>
      </c>
      <c r="G913" t="inlineStr">
        <is>
          <t>L</t>
        </is>
      </c>
      <c r="I913" t="inlineStr">
        <is>
          <t>1963-09-10</t>
        </is>
      </c>
      <c r="J913" t="inlineStr">
        <is>
          <t>1988-03-15</t>
        </is>
      </c>
      <c r="K913" t="inlineStr">
        <is>
          <t>ACTIVE</t>
        </is>
      </c>
      <c r="L913" t="inlineStr">
        <is>
          <t>R</t>
        </is>
      </c>
      <c r="M913" t="inlineStr">
        <is>
          <t>801 OAK KNOLL AVE SE</t>
        </is>
      </c>
      <c r="N913">
        <f>RIGHT(M913,LEN(M913)-FIND(" ",M913))</f>
        <v/>
      </c>
      <c r="P913" t="inlineStr">
        <is>
          <t>WARREN</t>
        </is>
      </c>
      <c r="Q913" t="inlineStr">
        <is>
          <t>OH</t>
        </is>
      </c>
      <c r="R913" t="n">
        <v>44484</v>
      </c>
      <c r="AD913" t="inlineStr">
        <is>
          <t>TRUMBULL CAREER &amp; TECH CENTER</t>
        </is>
      </c>
      <c r="AE913" t="inlineStr">
        <is>
          <t>WARREN CITY</t>
        </is>
      </c>
      <c r="AF913" t="inlineStr">
        <is>
          <t>WARREN CITY SD</t>
        </is>
      </c>
      <c r="AH913" t="n">
        <v>14</v>
      </c>
      <c r="AI913" t="n">
        <v>11</v>
      </c>
      <c r="AN913" t="inlineStr">
        <is>
          <t>WARREN</t>
        </is>
      </c>
      <c r="AO913" t="inlineStr">
        <is>
          <t>WARREN CITY 4A</t>
        </is>
      </c>
      <c r="AP913" t="inlineStr">
        <is>
          <t>78-P-ADI</t>
        </is>
      </c>
      <c r="AQ913" t="n">
        <v>9</v>
      </c>
      <c r="AR913" t="n">
        <v>64</v>
      </c>
      <c r="AS913" t="n">
        <v>32</v>
      </c>
      <c r="AU913">
        <f>COUNTA($BA$913:$EH$913)</f>
        <v/>
      </c>
      <c r="AV913">
        <f>COUNTIF($BA$913:$EH$913,"D")</f>
        <v/>
      </c>
      <c r="AW913">
        <f>COUNTIF($BA$913:$EH$913,"R")</f>
        <v/>
      </c>
      <c r="AX913">
        <f>IF(BN913="D",1,0)+IF(BO913="D",1,0)+IF(BT913="D",1,0)+IF(BU913="D",1,0)+IF(BW913="D",1,0)+IF(CC913="D",1,0)+IF(CD913="D",1,0)+IF(CE913="D",1,0)+IF(CF913="D",1,0)+IF(CL913="D",1,0)+IF(CM913="D",1,0)+IF(CQ913="D",1,0)+IF(CR913="D",1,0)+IF(CS913="D",1,0)+IF(CW913="D",1,0)+IF(CX913="D",1,0)+IF(DD913="D",1,0)+IF(DE913="D",1,0)+IF(DJ913="D",1,0)+IF(DK913="D",1,0)+IF(DO913="D",1,0)+IF(DP913="D",1,0)+IF(DQ913="D",1,0)+IF(DW913="D",1,0)+IF(DZ913="D",1,0)+IF(EH913="D",1,0)</f>
        <v/>
      </c>
      <c r="AY913">
        <f>IF(DJ913&lt;&gt;"",1,0)+IF(DK913&lt;&gt;"",1,0)+IF(DM913&lt;&gt;"",1,0)+IF(DO913&lt;&gt;"",1,0)+IF(DP913&lt;&gt;"",1,0)+IF(DQ913&lt;&gt;"",1,0)+IF(DS913&lt;&gt;"",1,0)+IF(DT913&lt;&gt;"",1,0)+IF(DV913&lt;&gt;"",1,0)+IF(DW913&lt;&gt;"",1,0)+IF(DX913&lt;&gt;"",1,0)+IF(DY913&lt;&gt;"",1,0)+IF(DZ913&lt;&gt;"",1,0)+IF(EB913&lt;&gt;"",1,0)+IF(EC913&lt;&gt;"",1,0)+IF(ED913&lt;&gt;"",1,0)+IF(EG913&lt;&gt;"",1,0)+IF(EH913&lt;&gt;"",1,0)</f>
        <v/>
      </c>
      <c r="AZ913">
        <f>IF(EH913&lt;&gt;"",1,0)</f>
        <v/>
      </c>
      <c r="BB913" t="inlineStr">
        <is>
          <t>WARREN-WARD 4</t>
        </is>
      </c>
      <c r="BC913" t="inlineStr">
        <is>
          <t>X</t>
        </is>
      </c>
      <c r="BD913" t="inlineStr">
        <is>
          <t>X</t>
        </is>
      </c>
      <c r="BE913" t="inlineStr">
        <is>
          <t>X</t>
        </is>
      </c>
      <c r="BF913" t="inlineStr">
        <is>
          <t>X</t>
        </is>
      </c>
      <c r="BG913" t="inlineStr">
        <is>
          <t>X</t>
        </is>
      </c>
      <c r="BH913" t="inlineStr">
        <is>
          <t>X</t>
        </is>
      </c>
      <c r="BI913" t="inlineStr">
        <is>
          <t>X</t>
        </is>
      </c>
      <c r="BJ913" t="inlineStr">
        <is>
          <t>X</t>
        </is>
      </c>
      <c r="BK913" t="inlineStr">
        <is>
          <t>X</t>
        </is>
      </c>
      <c r="BL913" t="inlineStr">
        <is>
          <t>X</t>
        </is>
      </c>
      <c r="BP913" t="inlineStr">
        <is>
          <t>X</t>
        </is>
      </c>
      <c r="BR913" t="inlineStr">
        <is>
          <t>X</t>
        </is>
      </c>
      <c r="BS913" t="inlineStr">
        <is>
          <t>X</t>
        </is>
      </c>
      <c r="BV913" t="inlineStr">
        <is>
          <t>X</t>
        </is>
      </c>
      <c r="BY913" t="inlineStr">
        <is>
          <t>R</t>
        </is>
      </c>
      <c r="CA913" t="inlineStr">
        <is>
          <t>X</t>
        </is>
      </c>
      <c r="CG913" t="inlineStr">
        <is>
          <t>X</t>
        </is>
      </c>
      <c r="CH913" t="inlineStr">
        <is>
          <t>R</t>
        </is>
      </c>
      <c r="CK913" t="inlineStr">
        <is>
          <t>X</t>
        </is>
      </c>
      <c r="CL913" t="inlineStr">
        <is>
          <t>D</t>
        </is>
      </c>
      <c r="CN913" t="inlineStr">
        <is>
          <t>X</t>
        </is>
      </c>
      <c r="CO913" t="inlineStr">
        <is>
          <t>R</t>
        </is>
      </c>
      <c r="CP913" t="inlineStr">
        <is>
          <t>X</t>
        </is>
      </c>
      <c r="CT913" t="inlineStr">
        <is>
          <t>X</t>
        </is>
      </c>
      <c r="CV913" t="inlineStr">
        <is>
          <t>X</t>
        </is>
      </c>
      <c r="CY913" t="inlineStr">
        <is>
          <t>X</t>
        </is>
      </c>
      <c r="CZ913" t="inlineStr">
        <is>
          <t>R</t>
        </is>
      </c>
      <c r="DC913" t="inlineStr">
        <is>
          <t>X</t>
        </is>
      </c>
      <c r="DG913" t="inlineStr">
        <is>
          <t>R</t>
        </is>
      </c>
      <c r="DI913" t="inlineStr">
        <is>
          <t>X</t>
        </is>
      </c>
      <c r="DL913" t="inlineStr">
        <is>
          <t>X</t>
        </is>
      </c>
      <c r="DM913" t="inlineStr">
        <is>
          <t>R</t>
        </is>
      </c>
      <c r="DN913" t="inlineStr">
        <is>
          <t>X</t>
        </is>
      </c>
      <c r="DS913" t="inlineStr">
        <is>
          <t>R</t>
        </is>
      </c>
      <c r="DT913" t="inlineStr">
        <is>
          <t>R</t>
        </is>
      </c>
      <c r="DU913" t="inlineStr">
        <is>
          <t>X</t>
        </is>
      </c>
      <c r="DW913" t="inlineStr">
        <is>
          <t>D</t>
        </is>
      </c>
      <c r="DX913" t="inlineStr">
        <is>
          <t>X</t>
        </is>
      </c>
      <c r="EA913" t="inlineStr">
        <is>
          <t>X</t>
        </is>
      </c>
      <c r="ED913" t="inlineStr">
        <is>
          <t>R</t>
        </is>
      </c>
      <c r="EF913" t="inlineStr">
        <is>
          <t>X</t>
        </is>
      </c>
    </row>
    <row r="914">
      <c r="A914" t="inlineStr">
        <is>
          <t>OH0015708357</t>
        </is>
      </c>
      <c r="B914" t="n">
        <v>78</v>
      </c>
      <c r="C914" t="n">
        <v>280756</v>
      </c>
      <c r="D914" t="inlineStr">
        <is>
          <t>HALLETT</t>
        </is>
      </c>
      <c r="E914" t="inlineStr">
        <is>
          <t>MARK</t>
        </is>
      </c>
      <c r="F914">
        <f>CONCATENATE(D914," ",LEFT(H914,4),"T=",AU914,"D=",AV914,"R=",AW914,"M=",AX914,"L=",AY914,"B=",AZ914)</f>
        <v/>
      </c>
      <c r="G914" t="inlineStr">
        <is>
          <t>A</t>
        </is>
      </c>
      <c r="I914" t="inlineStr">
        <is>
          <t>1973-02-07</t>
        </is>
      </c>
      <c r="J914" t="inlineStr">
        <is>
          <t>2023-02-06</t>
        </is>
      </c>
      <c r="K914" t="inlineStr">
        <is>
          <t>ACTIVE</t>
        </is>
      </c>
      <c r="M914" t="inlineStr">
        <is>
          <t>797 HOMEWOOD AVE SE</t>
        </is>
      </c>
      <c r="N914">
        <f>RIGHT(M914,LEN(M914)-FIND(" ",M914))</f>
        <v/>
      </c>
      <c r="P914" t="inlineStr">
        <is>
          <t>WARREN</t>
        </is>
      </c>
      <c r="Q914" t="inlineStr">
        <is>
          <t>OH</t>
        </is>
      </c>
      <c r="R914" t="n">
        <v>44484</v>
      </c>
      <c r="AD914" t="inlineStr">
        <is>
          <t>TRUMBULL CAREER &amp; TECH CENTER</t>
        </is>
      </c>
      <c r="AE914" t="inlineStr">
        <is>
          <t>WARREN CITY</t>
        </is>
      </c>
      <c r="AF914" t="inlineStr">
        <is>
          <t>WARREN CITY SD</t>
        </is>
      </c>
      <c r="AH914" t="n">
        <v>14</v>
      </c>
      <c r="AI914" t="n">
        <v>11</v>
      </c>
      <c r="AN914" t="inlineStr">
        <is>
          <t>WARREN</t>
        </is>
      </c>
      <c r="AO914" t="inlineStr">
        <is>
          <t>WARREN CITY 4A</t>
        </is>
      </c>
      <c r="AP914" t="inlineStr">
        <is>
          <t>78-P-ADI</t>
        </is>
      </c>
      <c r="AQ914" t="n">
        <v>9</v>
      </c>
      <c r="AR914" t="n">
        <v>64</v>
      </c>
      <c r="AS914" t="n">
        <v>32</v>
      </c>
      <c r="AU914">
        <f>COUNTA($BA$914:$EH$914)</f>
        <v/>
      </c>
      <c r="AV914">
        <f>COUNTIF($BA$914:$EH$914,"D")</f>
        <v/>
      </c>
      <c r="AW914">
        <f>COUNTIF($BA$914:$EH$914,"R")</f>
        <v/>
      </c>
      <c r="AX914">
        <f>IF(BN914="D",1,0)+IF(BO914="D",1,0)+IF(BT914="D",1,0)+IF(BU914="D",1,0)+IF(BW914="D",1,0)+IF(CC914="D",1,0)+IF(CD914="D",1,0)+IF(CE914="D",1,0)+IF(CF914="D",1,0)+IF(CL914="D",1,0)+IF(CM914="D",1,0)+IF(CQ914="D",1,0)+IF(CR914="D",1,0)+IF(CS914="D",1,0)+IF(CW914="D",1,0)+IF(CX914="D",1,0)+IF(DD914="D",1,0)+IF(DE914="D",1,0)+IF(DJ914="D",1,0)+IF(DK914="D",1,0)+IF(DO914="D",1,0)+IF(DP914="D",1,0)+IF(DQ914="D",1,0)+IF(DW914="D",1,0)+IF(DZ914="D",1,0)+IF(EH914="D",1,0)</f>
        <v/>
      </c>
      <c r="AY914">
        <f>IF(DJ914&lt;&gt;"",1,0)+IF(DK914&lt;&gt;"",1,0)+IF(DM914&lt;&gt;"",1,0)+IF(DO914&lt;&gt;"",1,0)+IF(DP914&lt;&gt;"",1,0)+IF(DQ914&lt;&gt;"",1,0)+IF(DS914&lt;&gt;"",1,0)+IF(DT914&lt;&gt;"",1,0)+IF(DV914&lt;&gt;"",1,0)+IF(DW914&lt;&gt;"",1,0)+IF(DX914&lt;&gt;"",1,0)+IF(DY914&lt;&gt;"",1,0)+IF(DZ914&lt;&gt;"",1,0)+IF(EB914&lt;&gt;"",1,0)+IF(EC914&lt;&gt;"",1,0)+IF(ED914&lt;&gt;"",1,0)+IF(EG914&lt;&gt;"",1,0)+IF(EH914&lt;&gt;"",1,0)</f>
        <v/>
      </c>
      <c r="AZ914">
        <f>IF(EH914&lt;&gt;"",1,0)</f>
        <v/>
      </c>
      <c r="BB914" t="inlineStr">
        <is>
          <t>WARREN-WARD 4</t>
        </is>
      </c>
      <c r="BD914" t="inlineStr">
        <is>
          <t>X</t>
        </is>
      </c>
      <c r="BL914" t="inlineStr">
        <is>
          <t>X</t>
        </is>
      </c>
      <c r="BR914" t="inlineStr">
        <is>
          <t>X</t>
        </is>
      </c>
      <c r="BS914" t="inlineStr">
        <is>
          <t>X</t>
        </is>
      </c>
      <c r="BV914" t="inlineStr">
        <is>
          <t>X</t>
        </is>
      </c>
      <c r="CG914" t="inlineStr">
        <is>
          <t>X</t>
        </is>
      </c>
      <c r="CK914" t="inlineStr">
        <is>
          <t>X</t>
        </is>
      </c>
      <c r="CL914" t="inlineStr">
        <is>
          <t>D</t>
        </is>
      </c>
      <c r="CN914" t="inlineStr">
        <is>
          <t>X</t>
        </is>
      </c>
      <c r="CV914" t="inlineStr">
        <is>
          <t>X</t>
        </is>
      </c>
      <c r="CY914" t="inlineStr">
        <is>
          <t>X</t>
        </is>
      </c>
      <c r="CZ914" t="inlineStr">
        <is>
          <t>R</t>
        </is>
      </c>
      <c r="DC914" t="inlineStr">
        <is>
          <t>X</t>
        </is>
      </c>
      <c r="DF914" t="inlineStr">
        <is>
          <t>X</t>
        </is>
      </c>
      <c r="DI914" t="inlineStr">
        <is>
          <t>X</t>
        </is>
      </c>
      <c r="DJ914" t="inlineStr">
        <is>
          <t>D</t>
        </is>
      </c>
      <c r="DL914" t="inlineStr">
        <is>
          <t>X</t>
        </is>
      </c>
      <c r="DN914" t="inlineStr">
        <is>
          <t>X</t>
        </is>
      </c>
      <c r="DU914" t="inlineStr">
        <is>
          <t>X</t>
        </is>
      </c>
      <c r="DX914" t="inlineStr">
        <is>
          <t>X</t>
        </is>
      </c>
      <c r="EA914" t="inlineStr">
        <is>
          <t>X</t>
        </is>
      </c>
      <c r="EF914" t="inlineStr">
        <is>
          <t>X</t>
        </is>
      </c>
    </row>
    <row r="915">
      <c r="A915" t="inlineStr">
        <is>
          <t>OH0015703729</t>
        </is>
      </c>
      <c r="B915" t="n">
        <v>78</v>
      </c>
      <c r="C915" t="n">
        <v>163814</v>
      </c>
      <c r="D915" t="inlineStr">
        <is>
          <t>BUCCI</t>
        </is>
      </c>
      <c r="E915" t="inlineStr">
        <is>
          <t>LANNY</t>
        </is>
      </c>
      <c r="F915">
        <f>CONCATENATE(D915," ",LEFT(H915,4),"T=",AU915,"D=",AV915,"R=",AW915,"M=",AX915,"L=",AY915,"B=",AZ915)</f>
        <v/>
      </c>
      <c r="G915" t="inlineStr">
        <is>
          <t>E</t>
        </is>
      </c>
      <c r="H915" t="inlineStr">
        <is>
          <t>JR</t>
        </is>
      </c>
      <c r="I915" t="inlineStr">
        <is>
          <t>1965-11-16</t>
        </is>
      </c>
      <c r="J915" t="inlineStr">
        <is>
          <t>2023-07-11</t>
        </is>
      </c>
      <c r="K915" t="inlineStr">
        <is>
          <t>ACTIVE</t>
        </is>
      </c>
      <c r="M915" t="inlineStr">
        <is>
          <t>860 OAK KNOLL AVE SE</t>
        </is>
      </c>
      <c r="N915">
        <f>RIGHT(M915,LEN(M915)-FIND(" ",M915))</f>
        <v/>
      </c>
      <c r="P915" t="inlineStr">
        <is>
          <t>WARREN</t>
        </is>
      </c>
      <c r="Q915" t="inlineStr">
        <is>
          <t>OH</t>
        </is>
      </c>
      <c r="R915" t="n">
        <v>44484</v>
      </c>
      <c r="AD915" t="inlineStr">
        <is>
          <t>TRUMBULL CAREER &amp; TECH CENTER</t>
        </is>
      </c>
      <c r="AE915" t="inlineStr">
        <is>
          <t>WARREN CITY</t>
        </is>
      </c>
      <c r="AF915" t="inlineStr">
        <is>
          <t>WARREN CITY SD</t>
        </is>
      </c>
      <c r="AH915" t="n">
        <v>14</v>
      </c>
      <c r="AI915" t="n">
        <v>11</v>
      </c>
      <c r="AN915" t="inlineStr">
        <is>
          <t>WARREN</t>
        </is>
      </c>
      <c r="AO915" t="inlineStr">
        <is>
          <t>WARREN CITY 4A</t>
        </is>
      </c>
      <c r="AP915" t="inlineStr">
        <is>
          <t>78-P-ADI</t>
        </is>
      </c>
      <c r="AQ915" t="n">
        <v>9</v>
      </c>
      <c r="AR915" t="n">
        <v>64</v>
      </c>
      <c r="AS915" t="n">
        <v>32</v>
      </c>
      <c r="AU915">
        <f>COUNTA($BA$915:$EH$915)</f>
        <v/>
      </c>
      <c r="AV915">
        <f>COUNTIF($BA$915:$EH$915,"D")</f>
        <v/>
      </c>
      <c r="AW915">
        <f>COUNTIF($BA$915:$EH$915,"R")</f>
        <v/>
      </c>
      <c r="AX915">
        <f>IF(BN915="D",1,0)+IF(BO915="D",1,0)+IF(BT915="D",1,0)+IF(BU915="D",1,0)+IF(BW915="D",1,0)+IF(CC915="D",1,0)+IF(CD915="D",1,0)+IF(CE915="D",1,0)+IF(CF915="D",1,0)+IF(CL915="D",1,0)+IF(CM915="D",1,0)+IF(CQ915="D",1,0)+IF(CR915="D",1,0)+IF(CS915="D",1,0)+IF(CW915="D",1,0)+IF(CX915="D",1,0)+IF(DD915="D",1,0)+IF(DE915="D",1,0)+IF(DJ915="D",1,0)+IF(DK915="D",1,0)+IF(DO915="D",1,0)+IF(DP915="D",1,0)+IF(DQ915="D",1,0)+IF(DW915="D",1,0)+IF(DZ915="D",1,0)+IF(EH915="D",1,0)</f>
        <v/>
      </c>
      <c r="AY915">
        <f>IF(DJ915&lt;&gt;"",1,0)+IF(DK915&lt;&gt;"",1,0)+IF(DM915&lt;&gt;"",1,0)+IF(DO915&lt;&gt;"",1,0)+IF(DP915&lt;&gt;"",1,0)+IF(DQ915&lt;&gt;"",1,0)+IF(DS915&lt;&gt;"",1,0)+IF(DT915&lt;&gt;"",1,0)+IF(DV915&lt;&gt;"",1,0)+IF(DW915&lt;&gt;"",1,0)+IF(DX915&lt;&gt;"",1,0)+IF(DY915&lt;&gt;"",1,0)+IF(DZ915&lt;&gt;"",1,0)+IF(EB915&lt;&gt;"",1,0)+IF(EC915&lt;&gt;"",1,0)+IF(ED915&lt;&gt;"",1,0)+IF(EG915&lt;&gt;"",1,0)+IF(EH915&lt;&gt;"",1,0)</f>
        <v/>
      </c>
      <c r="AZ915">
        <f>IF(EH915&lt;&gt;"",1,0)</f>
        <v/>
      </c>
      <c r="BB915" t="inlineStr">
        <is>
          <t>WARREN-WARD 4</t>
        </is>
      </c>
      <c r="BD915" t="inlineStr">
        <is>
          <t>X</t>
        </is>
      </c>
      <c r="BL915" t="inlineStr">
        <is>
          <t>X</t>
        </is>
      </c>
      <c r="BY915" t="inlineStr">
        <is>
          <t>D</t>
        </is>
      </c>
      <c r="CA915" t="inlineStr">
        <is>
          <t>X</t>
        </is>
      </c>
      <c r="CP915" t="inlineStr">
        <is>
          <t>X</t>
        </is>
      </c>
      <c r="CY915" t="inlineStr">
        <is>
          <t>X</t>
        </is>
      </c>
      <c r="CZ915" t="inlineStr">
        <is>
          <t>D</t>
        </is>
      </c>
      <c r="DC915" t="inlineStr">
        <is>
          <t>X</t>
        </is>
      </c>
      <c r="DN915" t="inlineStr">
        <is>
          <t>X</t>
        </is>
      </c>
      <c r="EA915" t="inlineStr">
        <is>
          <t>X</t>
        </is>
      </c>
      <c r="EF915" t="inlineStr">
        <is>
          <t>X</t>
        </is>
      </c>
    </row>
    <row r="916">
      <c r="A916" t="inlineStr">
        <is>
          <t>OH0026599145</t>
        </is>
      </c>
      <c r="B916" t="n">
        <v>78</v>
      </c>
      <c r="C916" t="n">
        <v>464896</v>
      </c>
      <c r="D916" t="inlineStr">
        <is>
          <t>MCCRACKEN</t>
        </is>
      </c>
      <c r="E916" t="inlineStr">
        <is>
          <t>CHRISTOPHER</t>
        </is>
      </c>
      <c r="F916">
        <f>CONCATENATE(D916," ",LEFT(H916,4),"T=",AU916,"D=",AV916,"R=",AW916,"M=",AX916,"L=",AY916,"B=",AZ916)</f>
        <v/>
      </c>
      <c r="G916" t="inlineStr">
        <is>
          <t>BERTON</t>
        </is>
      </c>
      <c r="I916" t="inlineStr">
        <is>
          <t>1968-09-01</t>
        </is>
      </c>
      <c r="J916" t="inlineStr">
        <is>
          <t>2022-08-31</t>
        </is>
      </c>
      <c r="K916" t="inlineStr">
        <is>
          <t>ACTIVE</t>
        </is>
      </c>
      <c r="M916" t="inlineStr">
        <is>
          <t>748 KENILWORTH AVE SE</t>
        </is>
      </c>
      <c r="N916">
        <f>RIGHT(M916,LEN(M916)-FIND(" ",M916))</f>
        <v/>
      </c>
      <c r="P916" t="inlineStr">
        <is>
          <t>WARREN</t>
        </is>
      </c>
      <c r="Q916" t="inlineStr">
        <is>
          <t>OH</t>
        </is>
      </c>
      <c r="R916" t="n">
        <v>44484</v>
      </c>
      <c r="AD916" t="inlineStr">
        <is>
          <t>TRUMBULL CAREER &amp; TECH CENTER</t>
        </is>
      </c>
      <c r="AE916" t="inlineStr">
        <is>
          <t>WARREN CITY</t>
        </is>
      </c>
      <c r="AF916" t="inlineStr">
        <is>
          <t>WARREN CITY SD</t>
        </is>
      </c>
      <c r="AH916" t="n">
        <v>14</v>
      </c>
      <c r="AI916" t="n">
        <v>11</v>
      </c>
      <c r="AN916" t="inlineStr">
        <is>
          <t>WARREN</t>
        </is>
      </c>
      <c r="AO916" t="inlineStr">
        <is>
          <t>WARREN CITY 4A</t>
        </is>
      </c>
      <c r="AP916" t="inlineStr">
        <is>
          <t>78-P-ADI</t>
        </is>
      </c>
      <c r="AQ916" t="n">
        <v>9</v>
      </c>
      <c r="AR916" t="n">
        <v>64</v>
      </c>
      <c r="AS916" t="n">
        <v>32</v>
      </c>
      <c r="AU916">
        <f>COUNTA($BA$916:$EH$916)</f>
        <v/>
      </c>
      <c r="AV916">
        <f>COUNTIF($BA$916:$EH$916,"D")</f>
        <v/>
      </c>
      <c r="AW916">
        <f>COUNTIF($BA$916:$EH$916,"R")</f>
        <v/>
      </c>
      <c r="AX916">
        <f>IF(BN916="D",1,0)+IF(BO916="D",1,0)+IF(BT916="D",1,0)+IF(BU916="D",1,0)+IF(BW916="D",1,0)+IF(CC916="D",1,0)+IF(CD916="D",1,0)+IF(CE916="D",1,0)+IF(CF916="D",1,0)+IF(CL916="D",1,0)+IF(CM916="D",1,0)+IF(CQ916="D",1,0)+IF(CR916="D",1,0)+IF(CS916="D",1,0)+IF(CW916="D",1,0)+IF(CX916="D",1,0)+IF(DD916="D",1,0)+IF(DE916="D",1,0)+IF(DJ916="D",1,0)+IF(DK916="D",1,0)+IF(DO916="D",1,0)+IF(DP916="D",1,0)+IF(DQ916="D",1,0)+IF(DW916="D",1,0)+IF(DZ916="D",1,0)+IF(EH916="D",1,0)</f>
        <v/>
      </c>
      <c r="AY916">
        <f>IF(DJ916&lt;&gt;"",1,0)+IF(DK916&lt;&gt;"",1,0)+IF(DM916&lt;&gt;"",1,0)+IF(DO916&lt;&gt;"",1,0)+IF(DP916&lt;&gt;"",1,0)+IF(DQ916&lt;&gt;"",1,0)+IF(DS916&lt;&gt;"",1,0)+IF(DT916&lt;&gt;"",1,0)+IF(DV916&lt;&gt;"",1,0)+IF(DW916&lt;&gt;"",1,0)+IF(DX916&lt;&gt;"",1,0)+IF(DY916&lt;&gt;"",1,0)+IF(DZ916&lt;&gt;"",1,0)+IF(EB916&lt;&gt;"",1,0)+IF(EC916&lt;&gt;"",1,0)+IF(ED916&lt;&gt;"",1,0)+IF(EG916&lt;&gt;"",1,0)+IF(EH916&lt;&gt;"",1,0)</f>
        <v/>
      </c>
      <c r="AZ916">
        <f>IF(EH916&lt;&gt;"",1,0)</f>
        <v/>
      </c>
      <c r="BB916" t="inlineStr">
        <is>
          <t>WARREN-WARD 4</t>
        </is>
      </c>
      <c r="BD916" t="inlineStr">
        <is>
          <t>X</t>
        </is>
      </c>
      <c r="BE916" t="inlineStr">
        <is>
          <t>X</t>
        </is>
      </c>
      <c r="BF916" t="inlineStr">
        <is>
          <t>X</t>
        </is>
      </c>
      <c r="BH916" t="inlineStr">
        <is>
          <t>X</t>
        </is>
      </c>
      <c r="BI916" t="inlineStr">
        <is>
          <t>X</t>
        </is>
      </c>
      <c r="BL916" t="inlineStr">
        <is>
          <t>X</t>
        </is>
      </c>
      <c r="BS916" t="inlineStr">
        <is>
          <t>X</t>
        </is>
      </c>
      <c r="BV916" t="inlineStr">
        <is>
          <t>X</t>
        </is>
      </c>
      <c r="CA916" t="inlineStr">
        <is>
          <t>X</t>
        </is>
      </c>
      <c r="CK916" t="inlineStr">
        <is>
          <t>X</t>
        </is>
      </c>
      <c r="CN916" t="inlineStr">
        <is>
          <t>X</t>
        </is>
      </c>
      <c r="CP916" t="inlineStr">
        <is>
          <t>X</t>
        </is>
      </c>
      <c r="CV916" t="inlineStr">
        <is>
          <t>X</t>
        </is>
      </c>
      <c r="CY916" t="inlineStr">
        <is>
          <t>X</t>
        </is>
      </c>
      <c r="DC916" t="inlineStr">
        <is>
          <t>X</t>
        </is>
      </c>
      <c r="DI916" t="inlineStr">
        <is>
          <t>X</t>
        </is>
      </c>
      <c r="DN916" t="inlineStr">
        <is>
          <t>X</t>
        </is>
      </c>
      <c r="DU916" t="inlineStr">
        <is>
          <t>X</t>
        </is>
      </c>
      <c r="DX916" t="inlineStr">
        <is>
          <t>X</t>
        </is>
      </c>
      <c r="EF916" t="inlineStr">
        <is>
          <t>X</t>
        </is>
      </c>
    </row>
    <row r="917">
      <c r="A917" t="inlineStr">
        <is>
          <t>OH0026624351</t>
        </is>
      </c>
      <c r="B917" t="n">
        <v>78</v>
      </c>
      <c r="C917" t="n">
        <v>465196</v>
      </c>
      <c r="D917" t="inlineStr">
        <is>
          <t>TENNEY</t>
        </is>
      </c>
      <c r="E917" t="inlineStr">
        <is>
          <t>SYDNEY</t>
        </is>
      </c>
      <c r="F917">
        <f>CONCATENATE(D917," ",LEFT(H917,4),"T=",AU917,"D=",AV917,"R=",AW917,"M=",AX917,"L=",AY917,"B=",AZ917)</f>
        <v/>
      </c>
      <c r="G917" t="inlineStr">
        <is>
          <t>ELIZABETH</t>
        </is>
      </c>
      <c r="I917" t="inlineStr">
        <is>
          <t>2003-04-03</t>
        </is>
      </c>
      <c r="J917" t="inlineStr">
        <is>
          <t>2022-09-13</t>
        </is>
      </c>
      <c r="K917" t="inlineStr">
        <is>
          <t>ACTIVE</t>
        </is>
      </c>
      <c r="M917" t="inlineStr">
        <is>
          <t>170 WOODBINE AVE SE</t>
        </is>
      </c>
      <c r="N917">
        <f>RIGHT(M917,LEN(M917)-FIND(" ",M917))</f>
        <v/>
      </c>
      <c r="P917" t="inlineStr">
        <is>
          <t>WARREN</t>
        </is>
      </c>
      <c r="Q917" t="inlineStr">
        <is>
          <t>OH</t>
        </is>
      </c>
      <c r="R917" t="n">
        <v>44483</v>
      </c>
      <c r="AD917" t="inlineStr">
        <is>
          <t>TRUMBULL CAREER &amp; TECH CENTER</t>
        </is>
      </c>
      <c r="AE917" t="inlineStr">
        <is>
          <t>WARREN CITY</t>
        </is>
      </c>
      <c r="AF917" t="inlineStr">
        <is>
          <t>WARREN CITY SD</t>
        </is>
      </c>
      <c r="AH917" t="n">
        <v>14</v>
      </c>
      <c r="AI917" t="n">
        <v>11</v>
      </c>
      <c r="AN917" t="inlineStr">
        <is>
          <t>WARREN</t>
        </is>
      </c>
      <c r="AO917" t="inlineStr">
        <is>
          <t>WARREN CITY 4A</t>
        </is>
      </c>
      <c r="AP917" t="inlineStr">
        <is>
          <t>78-P-ADI</t>
        </is>
      </c>
      <c r="AQ917" t="n">
        <v>9</v>
      </c>
      <c r="AR917" t="n">
        <v>64</v>
      </c>
      <c r="AS917" t="n">
        <v>32</v>
      </c>
      <c r="AU917">
        <f>COUNTA($BA$917:$EH$917)</f>
        <v/>
      </c>
      <c r="AV917">
        <f>COUNTIF($BA$917:$EH$917,"D")</f>
        <v/>
      </c>
      <c r="AW917">
        <f>COUNTIF($BA$917:$EH$917,"R")</f>
        <v/>
      </c>
      <c r="AX917">
        <f>IF(BN917="D",1,0)+IF(BO917="D",1,0)+IF(BT917="D",1,0)+IF(BU917="D",1,0)+IF(BW917="D",1,0)+IF(CC917="D",1,0)+IF(CD917="D",1,0)+IF(CE917="D",1,0)+IF(CF917="D",1,0)+IF(CL917="D",1,0)+IF(CM917="D",1,0)+IF(CQ917="D",1,0)+IF(CR917="D",1,0)+IF(CS917="D",1,0)+IF(CW917="D",1,0)+IF(CX917="D",1,0)+IF(DD917="D",1,0)+IF(DE917="D",1,0)+IF(DJ917="D",1,0)+IF(DK917="D",1,0)+IF(DO917="D",1,0)+IF(DP917="D",1,0)+IF(DQ917="D",1,0)+IF(DW917="D",1,0)+IF(DZ917="D",1,0)+IF(EH917="D",1,0)</f>
        <v/>
      </c>
      <c r="AY917">
        <f>IF(DJ917&lt;&gt;"",1,0)+IF(DK917&lt;&gt;"",1,0)+IF(DM917&lt;&gt;"",1,0)+IF(DO917&lt;&gt;"",1,0)+IF(DP917&lt;&gt;"",1,0)+IF(DQ917&lt;&gt;"",1,0)+IF(DS917&lt;&gt;"",1,0)+IF(DT917&lt;&gt;"",1,0)+IF(DV917&lt;&gt;"",1,0)+IF(DW917&lt;&gt;"",1,0)+IF(DX917&lt;&gt;"",1,0)+IF(DY917&lt;&gt;"",1,0)+IF(DZ917&lt;&gt;"",1,0)+IF(EB917&lt;&gt;"",1,0)+IF(EC917&lt;&gt;"",1,0)+IF(ED917&lt;&gt;"",1,0)+IF(EG917&lt;&gt;"",1,0)+IF(EH917&lt;&gt;"",1,0)</f>
        <v/>
      </c>
      <c r="AZ917">
        <f>IF(EH917&lt;&gt;"",1,0)</f>
        <v/>
      </c>
      <c r="BB917" t="inlineStr">
        <is>
          <t>WARREN-WARD 4</t>
        </is>
      </c>
      <c r="DU917" t="inlineStr">
        <is>
          <t>X</t>
        </is>
      </c>
      <c r="DX917" t="inlineStr">
        <is>
          <t>X</t>
        </is>
      </c>
      <c r="EA917" t="inlineStr">
        <is>
          <t>X</t>
        </is>
      </c>
      <c r="EF917" t="inlineStr">
        <is>
          <t>X</t>
        </is>
      </c>
    </row>
    <row r="918">
      <c r="A918" t="inlineStr">
        <is>
          <t>OH0027526348</t>
        </is>
      </c>
      <c r="B918" t="n">
        <v>78</v>
      </c>
      <c r="C918" t="n">
        <v>487872</v>
      </c>
      <c r="D918" t="inlineStr">
        <is>
          <t>KOVAROVIC</t>
        </is>
      </c>
      <c r="E918" t="inlineStr">
        <is>
          <t>KAYLA</t>
        </is>
      </c>
      <c r="F918">
        <f>CONCATENATE(D918," ",LEFT(H918,4),"T=",AU918,"D=",AV918,"R=",AW918,"M=",AX918,"L=",AY918,"B=",AZ918)</f>
        <v/>
      </c>
      <c r="G918" t="inlineStr">
        <is>
          <t>L</t>
        </is>
      </c>
      <c r="I918" t="inlineStr">
        <is>
          <t>1990-01-24</t>
        </is>
      </c>
      <c r="J918" t="inlineStr">
        <is>
          <t>2024-08-12</t>
        </is>
      </c>
      <c r="K918" t="inlineStr">
        <is>
          <t>ACTIVE</t>
        </is>
      </c>
      <c r="M918" t="inlineStr">
        <is>
          <t>503 KENILWORTH AVE SE</t>
        </is>
      </c>
      <c r="N918">
        <f>RIGHT(M918,LEN(M918)-FIND(" ",M918))</f>
        <v/>
      </c>
      <c r="P918" t="inlineStr">
        <is>
          <t>WARREN</t>
        </is>
      </c>
      <c r="Q918" t="inlineStr">
        <is>
          <t>OH</t>
        </is>
      </c>
      <c r="R918" t="n">
        <v>44483</v>
      </c>
      <c r="AD918" t="inlineStr">
        <is>
          <t>TRUMBULL CAREER &amp; TECH CENTER</t>
        </is>
      </c>
      <c r="AE918" t="inlineStr">
        <is>
          <t>WARREN CITY</t>
        </is>
      </c>
      <c r="AF918" t="inlineStr">
        <is>
          <t>WARREN CITY SD</t>
        </is>
      </c>
      <c r="AH918" t="n">
        <v>14</v>
      </c>
      <c r="AI918" t="n">
        <v>11</v>
      </c>
      <c r="AN918" t="inlineStr">
        <is>
          <t>WARREN</t>
        </is>
      </c>
      <c r="AO918" t="inlineStr">
        <is>
          <t>WARREN CITY 4A</t>
        </is>
      </c>
      <c r="AP918" t="inlineStr">
        <is>
          <t>78-P-ADI</t>
        </is>
      </c>
      <c r="AQ918" t="n">
        <v>9</v>
      </c>
      <c r="AR918" t="n">
        <v>64</v>
      </c>
      <c r="AS918" t="n">
        <v>32</v>
      </c>
      <c r="AU918">
        <f>COUNTA($BA$918:$EH$918)</f>
        <v/>
      </c>
      <c r="AV918">
        <f>COUNTIF($BA$918:$EH$918,"D")</f>
        <v/>
      </c>
      <c r="AW918">
        <f>COUNTIF($BA$918:$EH$918,"R")</f>
        <v/>
      </c>
      <c r="AX918">
        <f>IF(BN918="D",1,0)+IF(BO918="D",1,0)+IF(BT918="D",1,0)+IF(BU918="D",1,0)+IF(BW918="D",1,0)+IF(CC918="D",1,0)+IF(CD918="D",1,0)+IF(CE918="D",1,0)+IF(CF918="D",1,0)+IF(CL918="D",1,0)+IF(CM918="D",1,0)+IF(CQ918="D",1,0)+IF(CR918="D",1,0)+IF(CS918="D",1,0)+IF(CW918="D",1,0)+IF(CX918="D",1,0)+IF(DD918="D",1,0)+IF(DE918="D",1,0)+IF(DJ918="D",1,0)+IF(DK918="D",1,0)+IF(DO918="D",1,0)+IF(DP918="D",1,0)+IF(DQ918="D",1,0)+IF(DW918="D",1,0)+IF(DZ918="D",1,0)+IF(EH918="D",1,0)</f>
        <v/>
      </c>
      <c r="AY918">
        <f>IF(DJ918&lt;&gt;"",1,0)+IF(DK918&lt;&gt;"",1,0)+IF(DM918&lt;&gt;"",1,0)+IF(DO918&lt;&gt;"",1,0)+IF(DP918&lt;&gt;"",1,0)+IF(DQ918&lt;&gt;"",1,0)+IF(DS918&lt;&gt;"",1,0)+IF(DT918&lt;&gt;"",1,0)+IF(DV918&lt;&gt;"",1,0)+IF(DW918&lt;&gt;"",1,0)+IF(DX918&lt;&gt;"",1,0)+IF(DY918&lt;&gt;"",1,0)+IF(DZ918&lt;&gt;"",1,0)+IF(EB918&lt;&gt;"",1,0)+IF(EC918&lt;&gt;"",1,0)+IF(ED918&lt;&gt;"",1,0)+IF(EG918&lt;&gt;"",1,0)+IF(EH918&lt;&gt;"",1,0)</f>
        <v/>
      </c>
      <c r="AZ918">
        <f>IF(EH918&lt;&gt;"",1,0)</f>
        <v/>
      </c>
      <c r="BB918" t="inlineStr">
        <is>
          <t>WARREN-WARD 4</t>
        </is>
      </c>
    </row>
    <row r="919">
      <c r="A919" t="inlineStr">
        <is>
          <t>OH0015691537</t>
        </is>
      </c>
      <c r="B919" t="n">
        <v>78</v>
      </c>
      <c r="C919" t="n">
        <v>137998</v>
      </c>
      <c r="D919" t="inlineStr">
        <is>
          <t>WILDE</t>
        </is>
      </c>
      <c r="E919" t="inlineStr">
        <is>
          <t>JANET</t>
        </is>
      </c>
      <c r="F919">
        <f>CONCATENATE(D919," ",LEFT(H919,4),"T=",AU919,"D=",AV919,"R=",AW919,"M=",AX919,"L=",AY919,"B=",AZ919)</f>
        <v/>
      </c>
      <c r="G919" t="inlineStr">
        <is>
          <t>F</t>
        </is>
      </c>
      <c r="I919" t="inlineStr">
        <is>
          <t>1963-04-21</t>
        </is>
      </c>
      <c r="J919" t="inlineStr">
        <is>
          <t>1986-10-28</t>
        </is>
      </c>
      <c r="K919" t="inlineStr">
        <is>
          <t>ACTIVE</t>
        </is>
      </c>
      <c r="L919" t="inlineStr">
        <is>
          <t>R</t>
        </is>
      </c>
      <c r="M919" t="inlineStr">
        <is>
          <t>920 OAK KNOLL AVE SE</t>
        </is>
      </c>
      <c r="N919">
        <f>RIGHT(M919,LEN(M919)-FIND(" ",M919))</f>
        <v/>
      </c>
      <c r="P919" t="inlineStr">
        <is>
          <t>WARREN</t>
        </is>
      </c>
      <c r="Q919" t="inlineStr">
        <is>
          <t>OH</t>
        </is>
      </c>
      <c r="R919" t="n">
        <v>44484</v>
      </c>
      <c r="AD919" t="inlineStr">
        <is>
          <t>TRUMBULL CAREER &amp; TECH CENTER</t>
        </is>
      </c>
      <c r="AE919" t="inlineStr">
        <is>
          <t>WARREN CITY</t>
        </is>
      </c>
      <c r="AF919" t="inlineStr">
        <is>
          <t>WARREN CITY SD</t>
        </is>
      </c>
      <c r="AH919" t="n">
        <v>14</v>
      </c>
      <c r="AI919" t="n">
        <v>11</v>
      </c>
      <c r="AN919" t="inlineStr">
        <is>
          <t>WARREN</t>
        </is>
      </c>
      <c r="AO919" t="inlineStr">
        <is>
          <t>WARREN CITY 4A</t>
        </is>
      </c>
      <c r="AP919" t="inlineStr">
        <is>
          <t>78-P-ADI</t>
        </is>
      </c>
      <c r="AQ919" t="n">
        <v>9</v>
      </c>
      <c r="AR919" t="n">
        <v>64</v>
      </c>
      <c r="AS919" t="n">
        <v>32</v>
      </c>
      <c r="AU919">
        <f>COUNTA($BA$919:$EH$919)</f>
        <v/>
      </c>
      <c r="AV919">
        <f>COUNTIF($BA$919:$EH$919,"D")</f>
        <v/>
      </c>
      <c r="AW919">
        <f>COUNTIF($BA$919:$EH$919,"R")</f>
        <v/>
      </c>
      <c r="AX919">
        <f>IF(BN919="D",1,0)+IF(BO919="D",1,0)+IF(BT919="D",1,0)+IF(BU919="D",1,0)+IF(BW919="D",1,0)+IF(CC919="D",1,0)+IF(CD919="D",1,0)+IF(CE919="D",1,0)+IF(CF919="D",1,0)+IF(CL919="D",1,0)+IF(CM919="D",1,0)+IF(CQ919="D",1,0)+IF(CR919="D",1,0)+IF(CS919="D",1,0)+IF(CW919="D",1,0)+IF(CX919="D",1,0)+IF(DD919="D",1,0)+IF(DE919="D",1,0)+IF(DJ919="D",1,0)+IF(DK919="D",1,0)+IF(DO919="D",1,0)+IF(DP919="D",1,0)+IF(DQ919="D",1,0)+IF(DW919="D",1,0)+IF(DZ919="D",1,0)+IF(EH919="D",1,0)</f>
        <v/>
      </c>
      <c r="AY919">
        <f>IF(DJ919&lt;&gt;"",1,0)+IF(DK919&lt;&gt;"",1,0)+IF(DM919&lt;&gt;"",1,0)+IF(DO919&lt;&gt;"",1,0)+IF(DP919&lt;&gt;"",1,0)+IF(DQ919&lt;&gt;"",1,0)+IF(DS919&lt;&gt;"",1,0)+IF(DT919&lt;&gt;"",1,0)+IF(DV919&lt;&gt;"",1,0)+IF(DW919&lt;&gt;"",1,0)+IF(DX919&lt;&gt;"",1,0)+IF(DY919&lt;&gt;"",1,0)+IF(DZ919&lt;&gt;"",1,0)+IF(EB919&lt;&gt;"",1,0)+IF(EC919&lt;&gt;"",1,0)+IF(ED919&lt;&gt;"",1,0)+IF(EG919&lt;&gt;"",1,0)+IF(EH919&lt;&gt;"",1,0)</f>
        <v/>
      </c>
      <c r="AZ919">
        <f>IF(EH919&lt;&gt;"",1,0)</f>
        <v/>
      </c>
      <c r="BB919" t="inlineStr">
        <is>
          <t>WARREN-WARD 4</t>
        </is>
      </c>
      <c r="BC919" t="inlineStr">
        <is>
          <t>X</t>
        </is>
      </c>
      <c r="BD919" t="inlineStr">
        <is>
          <t>X</t>
        </is>
      </c>
      <c r="BE919" t="inlineStr">
        <is>
          <t>X</t>
        </is>
      </c>
      <c r="BF919" t="inlineStr">
        <is>
          <t>X</t>
        </is>
      </c>
      <c r="BG919" t="inlineStr">
        <is>
          <t>X</t>
        </is>
      </c>
      <c r="BH919" t="inlineStr">
        <is>
          <t>X</t>
        </is>
      </c>
      <c r="BJ919" t="inlineStr">
        <is>
          <t>X</t>
        </is>
      </c>
      <c r="BK919" t="inlineStr">
        <is>
          <t>X</t>
        </is>
      </c>
      <c r="BL919" t="inlineStr">
        <is>
          <t>X</t>
        </is>
      </c>
      <c r="BP919" t="inlineStr">
        <is>
          <t>X</t>
        </is>
      </c>
      <c r="BR919" t="inlineStr">
        <is>
          <t>X</t>
        </is>
      </c>
      <c r="BS919" t="inlineStr">
        <is>
          <t>X</t>
        </is>
      </c>
      <c r="BV919" t="inlineStr">
        <is>
          <t>X</t>
        </is>
      </c>
      <c r="BY919" t="inlineStr">
        <is>
          <t>R</t>
        </is>
      </c>
      <c r="CA919" t="inlineStr">
        <is>
          <t>X</t>
        </is>
      </c>
      <c r="CG919" t="inlineStr">
        <is>
          <t>X</t>
        </is>
      </c>
      <c r="CH919" t="inlineStr">
        <is>
          <t>R</t>
        </is>
      </c>
      <c r="CK919" t="inlineStr">
        <is>
          <t>X</t>
        </is>
      </c>
      <c r="CN919" t="inlineStr">
        <is>
          <t>X</t>
        </is>
      </c>
      <c r="CO919" t="inlineStr">
        <is>
          <t>R</t>
        </is>
      </c>
      <c r="CP919" t="inlineStr">
        <is>
          <t>X</t>
        </is>
      </c>
      <c r="CV919" t="inlineStr">
        <is>
          <t>X</t>
        </is>
      </c>
      <c r="CY919" t="inlineStr">
        <is>
          <t>X</t>
        </is>
      </c>
      <c r="CZ919" t="inlineStr">
        <is>
          <t>R</t>
        </is>
      </c>
      <c r="DC919" t="inlineStr">
        <is>
          <t>X</t>
        </is>
      </c>
      <c r="DF919" t="inlineStr">
        <is>
          <t>X</t>
        </is>
      </c>
      <c r="DG919" t="inlineStr">
        <is>
          <t>D</t>
        </is>
      </c>
      <c r="DI919" t="inlineStr">
        <is>
          <t>X</t>
        </is>
      </c>
      <c r="DL919" t="inlineStr">
        <is>
          <t>X</t>
        </is>
      </c>
      <c r="DM919" t="inlineStr">
        <is>
          <t>R</t>
        </is>
      </c>
      <c r="DN919" t="inlineStr">
        <is>
          <t>X</t>
        </is>
      </c>
      <c r="DS919" t="inlineStr">
        <is>
          <t>R</t>
        </is>
      </c>
      <c r="DU919" t="inlineStr">
        <is>
          <t>X</t>
        </is>
      </c>
      <c r="DX919" t="inlineStr">
        <is>
          <t>X</t>
        </is>
      </c>
      <c r="EA919" t="inlineStr">
        <is>
          <t>X</t>
        </is>
      </c>
      <c r="ED919" t="inlineStr">
        <is>
          <t>R</t>
        </is>
      </c>
      <c r="EF919" t="inlineStr">
        <is>
          <t>X</t>
        </is>
      </c>
    </row>
    <row r="920">
      <c r="A920" t="inlineStr">
        <is>
          <t>OH0015702829</t>
        </is>
      </c>
      <c r="B920" t="n">
        <v>78</v>
      </c>
      <c r="C920" t="n">
        <v>162961</v>
      </c>
      <c r="D920" t="inlineStr">
        <is>
          <t>ROWLAND</t>
        </is>
      </c>
      <c r="E920" t="inlineStr">
        <is>
          <t>ROBIN</t>
        </is>
      </c>
      <c r="F920">
        <f>CONCATENATE(D920," ",LEFT(H920,4),"T=",AU920,"D=",AV920,"R=",AW920,"M=",AX920,"L=",AY920,"B=",AZ920)</f>
        <v/>
      </c>
      <c r="G920" t="inlineStr">
        <is>
          <t>E</t>
        </is>
      </c>
      <c r="I920" t="inlineStr">
        <is>
          <t>1959-06-13</t>
        </is>
      </c>
      <c r="J920" t="inlineStr">
        <is>
          <t>2016-03-30</t>
        </is>
      </c>
      <c r="K920" t="inlineStr">
        <is>
          <t>ACTIVE</t>
        </is>
      </c>
      <c r="L920" t="inlineStr">
        <is>
          <t>D</t>
        </is>
      </c>
      <c r="M920" t="inlineStr">
        <is>
          <t>508 HOMEWOOD AVE SE</t>
        </is>
      </c>
      <c r="N920">
        <f>RIGHT(M920,LEN(M920)-FIND(" ",M920))</f>
        <v/>
      </c>
      <c r="P920" t="inlineStr">
        <is>
          <t>WARREN</t>
        </is>
      </c>
      <c r="Q920" t="inlineStr">
        <is>
          <t>OH</t>
        </is>
      </c>
      <c r="R920" t="n">
        <v>44483</v>
      </c>
      <c r="AD920" t="inlineStr">
        <is>
          <t>TRUMBULL CAREER &amp; TECH CENTER</t>
        </is>
      </c>
      <c r="AE920" t="inlineStr">
        <is>
          <t>WARREN CITY</t>
        </is>
      </c>
      <c r="AF920" t="inlineStr">
        <is>
          <t>WARREN CITY SD</t>
        </is>
      </c>
      <c r="AH920" t="n">
        <v>14</v>
      </c>
      <c r="AI920" t="n">
        <v>11</v>
      </c>
      <c r="AN920" t="inlineStr">
        <is>
          <t>WARREN</t>
        </is>
      </c>
      <c r="AO920" t="inlineStr">
        <is>
          <t>WARREN CITY 4A</t>
        </is>
      </c>
      <c r="AP920" t="inlineStr">
        <is>
          <t>78-P-ADI</t>
        </is>
      </c>
      <c r="AQ920" t="n">
        <v>9</v>
      </c>
      <c r="AR920" t="n">
        <v>64</v>
      </c>
      <c r="AS920" t="n">
        <v>32</v>
      </c>
      <c r="AU920">
        <f>COUNTA($BA$920:$EH$920)</f>
        <v/>
      </c>
      <c r="AV920">
        <f>COUNTIF($BA$920:$EH$920,"D")</f>
        <v/>
      </c>
      <c r="AW920">
        <f>COUNTIF($BA$920:$EH$920,"R")</f>
        <v/>
      </c>
      <c r="AX920">
        <f>IF(BN920="D",1,0)+IF(BO920="D",1,0)+IF(BT920="D",1,0)+IF(BU920="D",1,0)+IF(BW920="D",1,0)+IF(CC920="D",1,0)+IF(CD920="D",1,0)+IF(CE920="D",1,0)+IF(CF920="D",1,0)+IF(CL920="D",1,0)+IF(CM920="D",1,0)+IF(CQ920="D",1,0)+IF(CR920="D",1,0)+IF(CS920="D",1,0)+IF(CW920="D",1,0)+IF(CX920="D",1,0)+IF(DD920="D",1,0)+IF(DE920="D",1,0)+IF(DJ920="D",1,0)+IF(DK920="D",1,0)+IF(DO920="D",1,0)+IF(DP920="D",1,0)+IF(DQ920="D",1,0)+IF(DW920="D",1,0)+IF(DZ920="D",1,0)+IF(EH920="D",1,0)</f>
        <v/>
      </c>
      <c r="AY920">
        <f>IF(DJ920&lt;&gt;"",1,0)+IF(DK920&lt;&gt;"",1,0)+IF(DM920&lt;&gt;"",1,0)+IF(DO920&lt;&gt;"",1,0)+IF(DP920&lt;&gt;"",1,0)+IF(DQ920&lt;&gt;"",1,0)+IF(DS920&lt;&gt;"",1,0)+IF(DT920&lt;&gt;"",1,0)+IF(DV920&lt;&gt;"",1,0)+IF(DW920&lt;&gt;"",1,0)+IF(DX920&lt;&gt;"",1,0)+IF(DY920&lt;&gt;"",1,0)+IF(DZ920&lt;&gt;"",1,0)+IF(EB920&lt;&gt;"",1,0)+IF(EC920&lt;&gt;"",1,0)+IF(ED920&lt;&gt;"",1,0)+IF(EG920&lt;&gt;"",1,0)+IF(EH920&lt;&gt;"",1,0)</f>
        <v/>
      </c>
      <c r="AZ920">
        <f>IF(EH920&lt;&gt;"",1,0)</f>
        <v/>
      </c>
      <c r="BB920" t="inlineStr">
        <is>
          <t>WARREN-WARD 4</t>
        </is>
      </c>
      <c r="BD920" t="inlineStr">
        <is>
          <t>X</t>
        </is>
      </c>
      <c r="BH920" t="inlineStr">
        <is>
          <t>X</t>
        </is>
      </c>
      <c r="BL920" t="inlineStr">
        <is>
          <t>X</t>
        </is>
      </c>
      <c r="BR920" t="inlineStr">
        <is>
          <t>X</t>
        </is>
      </c>
      <c r="BS920" t="inlineStr">
        <is>
          <t>X</t>
        </is>
      </c>
      <c r="CA920" t="inlineStr">
        <is>
          <t>X</t>
        </is>
      </c>
      <c r="CK920" t="inlineStr">
        <is>
          <t>X</t>
        </is>
      </c>
      <c r="CN920" t="inlineStr">
        <is>
          <t>X</t>
        </is>
      </c>
      <c r="CP920" t="inlineStr">
        <is>
          <t>X</t>
        </is>
      </c>
      <c r="DC920" t="inlineStr">
        <is>
          <t>X</t>
        </is>
      </c>
      <c r="DI920" t="inlineStr">
        <is>
          <t>X</t>
        </is>
      </c>
      <c r="DL920" t="inlineStr">
        <is>
          <t>X</t>
        </is>
      </c>
      <c r="DN920" t="inlineStr">
        <is>
          <t>X</t>
        </is>
      </c>
      <c r="DU920" t="inlineStr">
        <is>
          <t>X</t>
        </is>
      </c>
      <c r="DW920" t="inlineStr">
        <is>
          <t>D</t>
        </is>
      </c>
      <c r="EA920" t="inlineStr">
        <is>
          <t>X</t>
        </is>
      </c>
      <c r="EF920" t="inlineStr">
        <is>
          <t>X</t>
        </is>
      </c>
    </row>
    <row r="921">
      <c r="A921" t="inlineStr">
        <is>
          <t>OH0019537720</t>
        </is>
      </c>
      <c r="B921" t="n">
        <v>78</v>
      </c>
      <c r="C921" t="n">
        <v>355966</v>
      </c>
      <c r="D921" t="inlineStr">
        <is>
          <t>SCHWAB</t>
        </is>
      </c>
      <c r="E921" t="inlineStr">
        <is>
          <t>MIRANDA</t>
        </is>
      </c>
      <c r="F921">
        <f>CONCATENATE(D921," ",LEFT(H921,4),"T=",AU921,"D=",AV921,"R=",AW921,"M=",AX921,"L=",AY921,"B=",AZ921)</f>
        <v/>
      </c>
      <c r="G921" t="inlineStr">
        <is>
          <t>MARIE</t>
        </is>
      </c>
      <c r="I921" t="inlineStr">
        <is>
          <t>1990-08-15</t>
        </is>
      </c>
      <c r="J921" t="inlineStr">
        <is>
          <t>2017-02-21</t>
        </is>
      </c>
      <c r="K921" t="inlineStr">
        <is>
          <t>ACTIVE</t>
        </is>
      </c>
      <c r="M921" t="inlineStr">
        <is>
          <t>865 WOODBINE AVE SE</t>
        </is>
      </c>
      <c r="N921">
        <f>RIGHT(M921,LEN(M921)-FIND(" ",M921))</f>
        <v/>
      </c>
      <c r="P921" t="inlineStr">
        <is>
          <t>WARREN</t>
        </is>
      </c>
      <c r="Q921" t="inlineStr">
        <is>
          <t>OH</t>
        </is>
      </c>
      <c r="R921" t="n">
        <v>44484</v>
      </c>
      <c r="AD921" t="inlineStr">
        <is>
          <t>TRUMBULL CAREER &amp; TECH CENTER</t>
        </is>
      </c>
      <c r="AE921" t="inlineStr">
        <is>
          <t>WARREN CITY</t>
        </is>
      </c>
      <c r="AF921" t="inlineStr">
        <is>
          <t>WARREN CITY SD</t>
        </is>
      </c>
      <c r="AH921" t="n">
        <v>14</v>
      </c>
      <c r="AI921" t="n">
        <v>11</v>
      </c>
      <c r="AN921" t="inlineStr">
        <is>
          <t>WARREN</t>
        </is>
      </c>
      <c r="AO921" t="inlineStr">
        <is>
          <t>WARREN CITY 4A</t>
        </is>
      </c>
      <c r="AP921" t="inlineStr">
        <is>
          <t>78-P-ADI</t>
        </is>
      </c>
      <c r="AQ921" t="n">
        <v>9</v>
      </c>
      <c r="AR921" t="n">
        <v>64</v>
      </c>
      <c r="AS921" t="n">
        <v>32</v>
      </c>
      <c r="AU921">
        <f>COUNTA($BA$921:$EH$921)</f>
        <v/>
      </c>
      <c r="AV921">
        <f>COUNTIF($BA$921:$EH$921,"D")</f>
        <v/>
      </c>
      <c r="AW921">
        <f>COUNTIF($BA$921:$EH$921,"R")</f>
        <v/>
      </c>
      <c r="AX921">
        <f>IF(BN921="D",1,0)+IF(BO921="D",1,0)+IF(BT921="D",1,0)+IF(BU921="D",1,0)+IF(BW921="D",1,0)+IF(CC921="D",1,0)+IF(CD921="D",1,0)+IF(CE921="D",1,0)+IF(CF921="D",1,0)+IF(CL921="D",1,0)+IF(CM921="D",1,0)+IF(CQ921="D",1,0)+IF(CR921="D",1,0)+IF(CS921="D",1,0)+IF(CW921="D",1,0)+IF(CX921="D",1,0)+IF(DD921="D",1,0)+IF(DE921="D",1,0)+IF(DJ921="D",1,0)+IF(DK921="D",1,0)+IF(DO921="D",1,0)+IF(DP921="D",1,0)+IF(DQ921="D",1,0)+IF(DW921="D",1,0)+IF(DZ921="D",1,0)+IF(EH921="D",1,0)</f>
        <v/>
      </c>
      <c r="AY921">
        <f>IF(DJ921&lt;&gt;"",1,0)+IF(DK921&lt;&gt;"",1,0)+IF(DM921&lt;&gt;"",1,0)+IF(DO921&lt;&gt;"",1,0)+IF(DP921&lt;&gt;"",1,0)+IF(DQ921&lt;&gt;"",1,0)+IF(DS921&lt;&gt;"",1,0)+IF(DT921&lt;&gt;"",1,0)+IF(DV921&lt;&gt;"",1,0)+IF(DW921&lt;&gt;"",1,0)+IF(DX921&lt;&gt;"",1,0)+IF(DY921&lt;&gt;"",1,0)+IF(DZ921&lt;&gt;"",1,0)+IF(EB921&lt;&gt;"",1,0)+IF(EC921&lt;&gt;"",1,0)+IF(ED921&lt;&gt;"",1,0)+IF(EG921&lt;&gt;"",1,0)+IF(EH921&lt;&gt;"",1,0)</f>
        <v/>
      </c>
      <c r="AZ921">
        <f>IF(EH921&lt;&gt;"",1,0)</f>
        <v/>
      </c>
      <c r="BB921" t="inlineStr">
        <is>
          <t>WARREN-WARD 4</t>
        </is>
      </c>
      <c r="BY921" t="inlineStr">
        <is>
          <t>D</t>
        </is>
      </c>
      <c r="CA921" t="inlineStr">
        <is>
          <t>X</t>
        </is>
      </c>
      <c r="CG921" t="inlineStr">
        <is>
          <t>X</t>
        </is>
      </c>
      <c r="CH921" t="inlineStr">
        <is>
          <t>D</t>
        </is>
      </c>
      <c r="CN921" t="inlineStr">
        <is>
          <t>X</t>
        </is>
      </c>
      <c r="CP921" t="inlineStr">
        <is>
          <t>X</t>
        </is>
      </c>
      <c r="CT921" t="inlineStr">
        <is>
          <t>X</t>
        </is>
      </c>
    </row>
    <row r="922">
      <c r="A922" t="inlineStr">
        <is>
          <t>OH0015775544</t>
        </is>
      </c>
      <c r="B922" t="n">
        <v>78</v>
      </c>
      <c r="C922" t="n">
        <v>312789</v>
      </c>
      <c r="D922" t="inlineStr">
        <is>
          <t>TORTORETE</t>
        </is>
      </c>
      <c r="E922" t="inlineStr">
        <is>
          <t>MATTHEW</t>
        </is>
      </c>
      <c r="F922">
        <f>CONCATENATE(D922," ",LEFT(H922,4),"T=",AU922,"D=",AV922,"R=",AW922,"M=",AX922,"L=",AY922,"B=",AZ922)</f>
        <v/>
      </c>
      <c r="G922" t="inlineStr">
        <is>
          <t>D</t>
        </is>
      </c>
      <c r="I922" t="inlineStr">
        <is>
          <t>1984-02-03</t>
        </is>
      </c>
      <c r="J922" t="inlineStr">
        <is>
          <t>2023-02-10</t>
        </is>
      </c>
      <c r="K922" t="inlineStr">
        <is>
          <t>ACTIVE</t>
        </is>
      </c>
      <c r="M922" t="inlineStr">
        <is>
          <t>757 EAST AVE SE</t>
        </is>
      </c>
      <c r="N922">
        <f>RIGHT(M922,LEN(M922)-FIND(" ",M922))</f>
        <v/>
      </c>
      <c r="P922" t="inlineStr">
        <is>
          <t>WARREN</t>
        </is>
      </c>
      <c r="Q922" t="inlineStr">
        <is>
          <t>OH</t>
        </is>
      </c>
      <c r="R922" t="n">
        <v>44484</v>
      </c>
      <c r="AD922" t="inlineStr">
        <is>
          <t>TRUMBULL CAREER &amp; TECH CENTER</t>
        </is>
      </c>
      <c r="AE922" t="inlineStr">
        <is>
          <t>WARREN CITY</t>
        </is>
      </c>
      <c r="AF922" t="inlineStr">
        <is>
          <t>WARREN CITY SD</t>
        </is>
      </c>
      <c r="AH922" t="n">
        <v>14</v>
      </c>
      <c r="AI922" t="n">
        <v>11</v>
      </c>
      <c r="AN922" t="inlineStr">
        <is>
          <t>WARREN</t>
        </is>
      </c>
      <c r="AO922" t="inlineStr">
        <is>
          <t>WARREN CITY 4A</t>
        </is>
      </c>
      <c r="AP922" t="inlineStr">
        <is>
          <t>78-P-ADI</t>
        </is>
      </c>
      <c r="AQ922" t="n">
        <v>9</v>
      </c>
      <c r="AR922" t="n">
        <v>64</v>
      </c>
      <c r="AS922" t="n">
        <v>32</v>
      </c>
      <c r="AU922">
        <f>COUNTA($BA$922:$EH$922)</f>
        <v/>
      </c>
      <c r="AV922">
        <f>COUNTIF($BA$922:$EH$922,"D")</f>
        <v/>
      </c>
      <c r="AW922">
        <f>COUNTIF($BA$922:$EH$922,"R")</f>
        <v/>
      </c>
      <c r="AX922">
        <f>IF(BN922="D",1,0)+IF(BO922="D",1,0)+IF(BT922="D",1,0)+IF(BU922="D",1,0)+IF(BW922="D",1,0)+IF(CC922="D",1,0)+IF(CD922="D",1,0)+IF(CE922="D",1,0)+IF(CF922="D",1,0)+IF(CL922="D",1,0)+IF(CM922="D",1,0)+IF(CQ922="D",1,0)+IF(CR922="D",1,0)+IF(CS922="D",1,0)+IF(CW922="D",1,0)+IF(CX922="D",1,0)+IF(DD922="D",1,0)+IF(DE922="D",1,0)+IF(DJ922="D",1,0)+IF(DK922="D",1,0)+IF(DO922="D",1,0)+IF(DP922="D",1,0)+IF(DQ922="D",1,0)+IF(DW922="D",1,0)+IF(DZ922="D",1,0)+IF(EH922="D",1,0)</f>
        <v/>
      </c>
      <c r="AY922">
        <f>IF(DJ922&lt;&gt;"",1,0)+IF(DK922&lt;&gt;"",1,0)+IF(DM922&lt;&gt;"",1,0)+IF(DO922&lt;&gt;"",1,0)+IF(DP922&lt;&gt;"",1,0)+IF(DQ922&lt;&gt;"",1,0)+IF(DS922&lt;&gt;"",1,0)+IF(DT922&lt;&gt;"",1,0)+IF(DV922&lt;&gt;"",1,0)+IF(DW922&lt;&gt;"",1,0)+IF(DX922&lt;&gt;"",1,0)+IF(DY922&lt;&gt;"",1,0)+IF(DZ922&lt;&gt;"",1,0)+IF(EB922&lt;&gt;"",1,0)+IF(EC922&lt;&gt;"",1,0)+IF(ED922&lt;&gt;"",1,0)+IF(EG922&lt;&gt;"",1,0)+IF(EH922&lt;&gt;"",1,0)</f>
        <v/>
      </c>
      <c r="AZ922">
        <f>IF(EH922&lt;&gt;"",1,0)</f>
        <v/>
      </c>
      <c r="BB922" t="inlineStr">
        <is>
          <t>WARREN-WARD 4</t>
        </is>
      </c>
    </row>
    <row r="923">
      <c r="A923" t="inlineStr">
        <is>
          <t>OH0015739505</t>
        </is>
      </c>
      <c r="B923" t="n">
        <v>78</v>
      </c>
      <c r="C923" t="n">
        <v>225657</v>
      </c>
      <c r="D923" t="inlineStr">
        <is>
          <t>MANGLE</t>
        </is>
      </c>
      <c r="E923" t="inlineStr">
        <is>
          <t>LINDA</t>
        </is>
      </c>
      <c r="F923">
        <f>CONCATENATE(D923," ",LEFT(H923,4),"T=",AU923,"D=",AV923,"R=",AW923,"M=",AX923,"L=",AY923,"B=",AZ923)</f>
        <v/>
      </c>
      <c r="G923" t="inlineStr">
        <is>
          <t>ANN KONITSNEY</t>
        </is>
      </c>
      <c r="I923" t="inlineStr">
        <is>
          <t>1972-11-30</t>
        </is>
      </c>
      <c r="J923" t="inlineStr">
        <is>
          <t>2011-11-30</t>
        </is>
      </c>
      <c r="K923" t="inlineStr">
        <is>
          <t>ACTIVE</t>
        </is>
      </c>
      <c r="M923" t="inlineStr">
        <is>
          <t>305 OAK KNOLL AVE SE</t>
        </is>
      </c>
      <c r="N923">
        <f>RIGHT(M923,LEN(M923)-FIND(" ",M923))</f>
        <v/>
      </c>
      <c r="P923" t="inlineStr">
        <is>
          <t>WARREN</t>
        </is>
      </c>
      <c r="Q923" t="inlineStr">
        <is>
          <t>OH</t>
        </is>
      </c>
      <c r="R923" t="n">
        <v>44483</v>
      </c>
      <c r="AD923" t="inlineStr">
        <is>
          <t>TRUMBULL CAREER &amp; TECH CENTER</t>
        </is>
      </c>
      <c r="AE923" t="inlineStr">
        <is>
          <t>WARREN CITY</t>
        </is>
      </c>
      <c r="AF923" t="inlineStr">
        <is>
          <t>WARREN CITY SD</t>
        </is>
      </c>
      <c r="AH923" t="n">
        <v>14</v>
      </c>
      <c r="AI923" t="n">
        <v>11</v>
      </c>
      <c r="AN923" t="inlineStr">
        <is>
          <t>WARREN</t>
        </is>
      </c>
      <c r="AO923" t="inlineStr">
        <is>
          <t>WARREN CITY 4A</t>
        </is>
      </c>
      <c r="AP923" t="inlineStr">
        <is>
          <t>78-P-ADI</t>
        </is>
      </c>
      <c r="AQ923" t="n">
        <v>9</v>
      </c>
      <c r="AR923" t="n">
        <v>64</v>
      </c>
      <c r="AS923" t="n">
        <v>32</v>
      </c>
      <c r="AU923">
        <f>COUNTA($BA$923:$EH$923)</f>
        <v/>
      </c>
      <c r="AV923">
        <f>COUNTIF($BA$923:$EH$923,"D")</f>
        <v/>
      </c>
      <c r="AW923">
        <f>COUNTIF($BA$923:$EH$923,"R")</f>
        <v/>
      </c>
      <c r="AX923">
        <f>IF(BN923="D",1,0)+IF(BO923="D",1,0)+IF(BT923="D",1,0)+IF(BU923="D",1,0)+IF(BW923="D",1,0)+IF(CC923="D",1,0)+IF(CD923="D",1,0)+IF(CE923="D",1,0)+IF(CF923="D",1,0)+IF(CL923="D",1,0)+IF(CM923="D",1,0)+IF(CQ923="D",1,0)+IF(CR923="D",1,0)+IF(CS923="D",1,0)+IF(CW923="D",1,0)+IF(CX923="D",1,0)+IF(DD923="D",1,0)+IF(DE923="D",1,0)+IF(DJ923="D",1,0)+IF(DK923="D",1,0)+IF(DO923="D",1,0)+IF(DP923="D",1,0)+IF(DQ923="D",1,0)+IF(DW923="D",1,0)+IF(DZ923="D",1,0)+IF(EH923="D",1,0)</f>
        <v/>
      </c>
      <c r="AY923">
        <f>IF(DJ923&lt;&gt;"",1,0)+IF(DK923&lt;&gt;"",1,0)+IF(DM923&lt;&gt;"",1,0)+IF(DO923&lt;&gt;"",1,0)+IF(DP923&lt;&gt;"",1,0)+IF(DQ923&lt;&gt;"",1,0)+IF(DS923&lt;&gt;"",1,0)+IF(DT923&lt;&gt;"",1,0)+IF(DV923&lt;&gt;"",1,0)+IF(DW923&lt;&gt;"",1,0)+IF(DX923&lt;&gt;"",1,0)+IF(DY923&lt;&gt;"",1,0)+IF(DZ923&lt;&gt;"",1,0)+IF(EB923&lt;&gt;"",1,0)+IF(EC923&lt;&gt;"",1,0)+IF(ED923&lt;&gt;"",1,0)+IF(EG923&lt;&gt;"",1,0)+IF(EH923&lt;&gt;"",1,0)</f>
        <v/>
      </c>
      <c r="AZ923">
        <f>IF(EH923&lt;&gt;"",1,0)</f>
        <v/>
      </c>
      <c r="BB923" t="inlineStr">
        <is>
          <t>WARREN-WARD 4</t>
        </is>
      </c>
      <c r="BC923" t="inlineStr">
        <is>
          <t>X</t>
        </is>
      </c>
      <c r="BD923" t="inlineStr">
        <is>
          <t>X</t>
        </is>
      </c>
      <c r="BH923" t="inlineStr">
        <is>
          <t>X</t>
        </is>
      </c>
      <c r="BI923" t="inlineStr">
        <is>
          <t>X</t>
        </is>
      </c>
      <c r="BJ923" t="inlineStr">
        <is>
          <t>X</t>
        </is>
      </c>
      <c r="BK923" t="inlineStr">
        <is>
          <t>X</t>
        </is>
      </c>
      <c r="BL923" t="inlineStr">
        <is>
          <t>X</t>
        </is>
      </c>
      <c r="BR923" t="inlineStr">
        <is>
          <t>X</t>
        </is>
      </c>
      <c r="BS923" t="inlineStr">
        <is>
          <t>X</t>
        </is>
      </c>
      <c r="BV923" t="inlineStr">
        <is>
          <t>X</t>
        </is>
      </c>
      <c r="BY923" t="inlineStr">
        <is>
          <t>D</t>
        </is>
      </c>
      <c r="CA923" t="inlineStr">
        <is>
          <t>X</t>
        </is>
      </c>
      <c r="CG923" t="inlineStr">
        <is>
          <t>X</t>
        </is>
      </c>
      <c r="CL923" t="inlineStr">
        <is>
          <t>D</t>
        </is>
      </c>
      <c r="CN923" t="inlineStr">
        <is>
          <t>X</t>
        </is>
      </c>
      <c r="CP923" t="inlineStr">
        <is>
          <t>X</t>
        </is>
      </c>
      <c r="CV923" t="inlineStr">
        <is>
          <t>X</t>
        </is>
      </c>
      <c r="CY923" t="inlineStr">
        <is>
          <t>X</t>
        </is>
      </c>
      <c r="CZ923" t="inlineStr">
        <is>
          <t>R</t>
        </is>
      </c>
      <c r="DC923" t="inlineStr">
        <is>
          <t>X</t>
        </is>
      </c>
      <c r="DI923" t="inlineStr">
        <is>
          <t>X</t>
        </is>
      </c>
      <c r="DJ923" t="inlineStr">
        <is>
          <t>D</t>
        </is>
      </c>
      <c r="DL923" t="inlineStr">
        <is>
          <t>X</t>
        </is>
      </c>
      <c r="DM923" t="inlineStr">
        <is>
          <t>R</t>
        </is>
      </c>
      <c r="DN923" t="inlineStr">
        <is>
          <t>X</t>
        </is>
      </c>
      <c r="DU923" t="inlineStr">
        <is>
          <t>X</t>
        </is>
      </c>
      <c r="DX923" t="inlineStr">
        <is>
          <t>X</t>
        </is>
      </c>
      <c r="EF923" t="inlineStr">
        <is>
          <t>X</t>
        </is>
      </c>
    </row>
    <row r="924">
      <c r="A924" t="inlineStr">
        <is>
          <t>OH0015802464</t>
        </is>
      </c>
      <c r="B924" t="n">
        <v>78</v>
      </c>
      <c r="C924" t="n">
        <v>274833</v>
      </c>
      <c r="D924" t="inlineStr">
        <is>
          <t>TURTURICE</t>
        </is>
      </c>
      <c r="E924" t="inlineStr">
        <is>
          <t>THOMAS</t>
        </is>
      </c>
      <c r="F924">
        <f>CONCATENATE(D924," ",LEFT(H924,4),"T=",AU924,"D=",AV924,"R=",AW924,"M=",AX924,"L=",AY924,"B=",AZ924)</f>
        <v/>
      </c>
      <c r="G924" t="inlineStr">
        <is>
          <t>J</t>
        </is>
      </c>
      <c r="I924" t="inlineStr">
        <is>
          <t>1964-07-08</t>
        </is>
      </c>
      <c r="J924" t="inlineStr">
        <is>
          <t>1996-12-16</t>
        </is>
      </c>
      <c r="K924" t="inlineStr">
        <is>
          <t>ACTIVE</t>
        </is>
      </c>
      <c r="M924" t="inlineStr">
        <is>
          <t>535 BONNIE BRAE AVE SE</t>
        </is>
      </c>
      <c r="N924">
        <f>RIGHT(M924,LEN(M924)-FIND(" ",M924))</f>
        <v/>
      </c>
      <c r="P924" t="inlineStr">
        <is>
          <t>WARREN</t>
        </is>
      </c>
      <c r="Q924" t="inlineStr">
        <is>
          <t>OH</t>
        </is>
      </c>
      <c r="R924" t="n">
        <v>44484</v>
      </c>
      <c r="AD924" t="inlineStr">
        <is>
          <t>TRUMBULL CAREER &amp; TECH CENTER</t>
        </is>
      </c>
      <c r="AE924" t="inlineStr">
        <is>
          <t>WARREN CITY</t>
        </is>
      </c>
      <c r="AF924" t="inlineStr">
        <is>
          <t>WARREN CITY SD</t>
        </is>
      </c>
      <c r="AH924" t="n">
        <v>14</v>
      </c>
      <c r="AI924" t="n">
        <v>11</v>
      </c>
      <c r="AN924" t="inlineStr">
        <is>
          <t>WARREN</t>
        </is>
      </c>
      <c r="AO924" t="inlineStr">
        <is>
          <t>WARREN CITY 4A</t>
        </is>
      </c>
      <c r="AP924" t="inlineStr">
        <is>
          <t>78-P-ADI</t>
        </is>
      </c>
      <c r="AQ924" t="n">
        <v>9</v>
      </c>
      <c r="AR924" t="n">
        <v>64</v>
      </c>
      <c r="AS924" t="n">
        <v>32</v>
      </c>
      <c r="AU924">
        <f>COUNTA($BA$924:$EH$924)</f>
        <v/>
      </c>
      <c r="AV924">
        <f>COUNTIF($BA$924:$EH$924,"D")</f>
        <v/>
      </c>
      <c r="AW924">
        <f>COUNTIF($BA$924:$EH$924,"R")</f>
        <v/>
      </c>
      <c r="AX924">
        <f>IF(BN924="D",1,0)+IF(BO924="D",1,0)+IF(BT924="D",1,0)+IF(BU924="D",1,0)+IF(BW924="D",1,0)+IF(CC924="D",1,0)+IF(CD924="D",1,0)+IF(CE924="D",1,0)+IF(CF924="D",1,0)+IF(CL924="D",1,0)+IF(CM924="D",1,0)+IF(CQ924="D",1,0)+IF(CR924="D",1,0)+IF(CS924="D",1,0)+IF(CW924="D",1,0)+IF(CX924="D",1,0)+IF(DD924="D",1,0)+IF(DE924="D",1,0)+IF(DJ924="D",1,0)+IF(DK924="D",1,0)+IF(DO924="D",1,0)+IF(DP924="D",1,0)+IF(DQ924="D",1,0)+IF(DW924="D",1,0)+IF(DZ924="D",1,0)+IF(EH924="D",1,0)</f>
        <v/>
      </c>
      <c r="AY924">
        <f>IF(DJ924&lt;&gt;"",1,0)+IF(DK924&lt;&gt;"",1,0)+IF(DM924&lt;&gt;"",1,0)+IF(DO924&lt;&gt;"",1,0)+IF(DP924&lt;&gt;"",1,0)+IF(DQ924&lt;&gt;"",1,0)+IF(DS924&lt;&gt;"",1,0)+IF(DT924&lt;&gt;"",1,0)+IF(DV924&lt;&gt;"",1,0)+IF(DW924&lt;&gt;"",1,0)+IF(DX924&lt;&gt;"",1,0)+IF(DY924&lt;&gt;"",1,0)+IF(DZ924&lt;&gt;"",1,0)+IF(EB924&lt;&gt;"",1,0)+IF(EC924&lt;&gt;"",1,0)+IF(ED924&lt;&gt;"",1,0)+IF(EG924&lt;&gt;"",1,0)+IF(EH924&lt;&gt;"",1,0)</f>
        <v/>
      </c>
      <c r="AZ924">
        <f>IF(EH924&lt;&gt;"",1,0)</f>
        <v/>
      </c>
      <c r="BB924" t="inlineStr">
        <is>
          <t>WARREN-WARD 4</t>
        </is>
      </c>
      <c r="BC924" t="inlineStr">
        <is>
          <t>X</t>
        </is>
      </c>
      <c r="BD924" t="inlineStr">
        <is>
          <t>X</t>
        </is>
      </c>
      <c r="BF924" t="inlineStr">
        <is>
          <t>X</t>
        </is>
      </c>
      <c r="BG924" t="inlineStr">
        <is>
          <t>X</t>
        </is>
      </c>
      <c r="BH924" t="inlineStr">
        <is>
          <t>X</t>
        </is>
      </c>
      <c r="BI924" t="inlineStr">
        <is>
          <t>X</t>
        </is>
      </c>
      <c r="BJ924" t="inlineStr">
        <is>
          <t>X</t>
        </is>
      </c>
      <c r="BL924" t="inlineStr">
        <is>
          <t>X</t>
        </is>
      </c>
      <c r="BR924" t="inlineStr">
        <is>
          <t>X</t>
        </is>
      </c>
      <c r="BS924" t="inlineStr">
        <is>
          <t>X</t>
        </is>
      </c>
      <c r="BV924" t="inlineStr">
        <is>
          <t>X</t>
        </is>
      </c>
      <c r="BY924" t="inlineStr">
        <is>
          <t>R</t>
        </is>
      </c>
      <c r="CA924" t="inlineStr">
        <is>
          <t>X</t>
        </is>
      </c>
      <c r="CG924" t="inlineStr">
        <is>
          <t>X</t>
        </is>
      </c>
      <c r="CK924" t="inlineStr">
        <is>
          <t>X</t>
        </is>
      </c>
      <c r="CL924" t="inlineStr">
        <is>
          <t>D</t>
        </is>
      </c>
      <c r="CO924" t="inlineStr">
        <is>
          <t>R</t>
        </is>
      </c>
      <c r="CP924" t="inlineStr">
        <is>
          <t>X</t>
        </is>
      </c>
      <c r="CY924" t="inlineStr">
        <is>
          <t>X</t>
        </is>
      </c>
      <c r="CZ924" t="inlineStr">
        <is>
          <t>R</t>
        </is>
      </c>
      <c r="DC924" t="inlineStr">
        <is>
          <t>X</t>
        </is>
      </c>
      <c r="DI924" t="inlineStr">
        <is>
          <t>X</t>
        </is>
      </c>
      <c r="DN924" t="inlineStr">
        <is>
          <t>X</t>
        </is>
      </c>
      <c r="DX924" t="inlineStr">
        <is>
          <t>X</t>
        </is>
      </c>
      <c r="EA924" t="inlineStr">
        <is>
          <t>X</t>
        </is>
      </c>
      <c r="EF924" t="inlineStr">
        <is>
          <t>X</t>
        </is>
      </c>
    </row>
    <row r="925">
      <c r="A925" t="inlineStr">
        <is>
          <t>OH0015965337</t>
        </is>
      </c>
      <c r="B925" t="n">
        <v>78</v>
      </c>
      <c r="C925" t="n">
        <v>335141</v>
      </c>
      <c r="D925" t="inlineStr">
        <is>
          <t>MORRISON</t>
        </is>
      </c>
      <c r="E925" t="inlineStr">
        <is>
          <t>LISA</t>
        </is>
      </c>
      <c r="F925">
        <f>CONCATENATE(D925," ",LEFT(H925,4),"T=",AU925,"D=",AV925,"R=",AW925,"M=",AX925,"L=",AY925,"B=",AZ925)</f>
        <v/>
      </c>
      <c r="G925" t="inlineStr">
        <is>
          <t>A</t>
        </is>
      </c>
      <c r="I925" t="inlineStr">
        <is>
          <t>1968-05-18</t>
        </is>
      </c>
      <c r="J925" t="inlineStr">
        <is>
          <t>2004-08-25</t>
        </is>
      </c>
      <c r="K925" t="inlineStr">
        <is>
          <t>ACTIVE</t>
        </is>
      </c>
      <c r="M925" t="inlineStr">
        <is>
          <t>354 BONNIE BRAE AVE SE</t>
        </is>
      </c>
      <c r="N925">
        <f>RIGHT(M925,LEN(M925)-FIND(" ",M925))</f>
        <v/>
      </c>
      <c r="P925" t="inlineStr">
        <is>
          <t>WARREN</t>
        </is>
      </c>
      <c r="Q925" t="inlineStr">
        <is>
          <t>OH</t>
        </is>
      </c>
      <c r="R925" t="n">
        <v>44484</v>
      </c>
      <c r="AD925" t="inlineStr">
        <is>
          <t>TRUMBULL CAREER &amp; TECH CENTER</t>
        </is>
      </c>
      <c r="AE925" t="inlineStr">
        <is>
          <t>WARREN CITY</t>
        </is>
      </c>
      <c r="AF925" t="inlineStr">
        <is>
          <t>WARREN CITY SD</t>
        </is>
      </c>
      <c r="AH925" t="n">
        <v>14</v>
      </c>
      <c r="AI925" t="n">
        <v>11</v>
      </c>
      <c r="AN925" t="inlineStr">
        <is>
          <t>WARREN</t>
        </is>
      </c>
      <c r="AO925" t="inlineStr">
        <is>
          <t>WARREN CITY 4A</t>
        </is>
      </c>
      <c r="AP925" t="inlineStr">
        <is>
          <t>78-P-ADI</t>
        </is>
      </c>
      <c r="AQ925" t="n">
        <v>9</v>
      </c>
      <c r="AR925" t="n">
        <v>64</v>
      </c>
      <c r="AS925" t="n">
        <v>32</v>
      </c>
      <c r="AU925">
        <f>COUNTA($BA$925:$EH$925)</f>
        <v/>
      </c>
      <c r="AV925">
        <f>COUNTIF($BA$925:$EH$925,"D")</f>
        <v/>
      </c>
      <c r="AW925">
        <f>COUNTIF($BA$925:$EH$925,"R")</f>
        <v/>
      </c>
      <c r="AX925">
        <f>IF(BN925="D",1,0)+IF(BO925="D",1,0)+IF(BT925="D",1,0)+IF(BU925="D",1,0)+IF(BW925="D",1,0)+IF(CC925="D",1,0)+IF(CD925="D",1,0)+IF(CE925="D",1,0)+IF(CF925="D",1,0)+IF(CL925="D",1,0)+IF(CM925="D",1,0)+IF(CQ925="D",1,0)+IF(CR925="D",1,0)+IF(CS925="D",1,0)+IF(CW925="D",1,0)+IF(CX925="D",1,0)+IF(DD925="D",1,0)+IF(DE925="D",1,0)+IF(DJ925="D",1,0)+IF(DK925="D",1,0)+IF(DO925="D",1,0)+IF(DP925="D",1,0)+IF(DQ925="D",1,0)+IF(DW925="D",1,0)+IF(DZ925="D",1,0)+IF(EH925="D",1,0)</f>
        <v/>
      </c>
      <c r="AY925">
        <f>IF(DJ925&lt;&gt;"",1,0)+IF(DK925&lt;&gt;"",1,0)+IF(DM925&lt;&gt;"",1,0)+IF(DO925&lt;&gt;"",1,0)+IF(DP925&lt;&gt;"",1,0)+IF(DQ925&lt;&gt;"",1,0)+IF(DS925&lt;&gt;"",1,0)+IF(DT925&lt;&gt;"",1,0)+IF(DV925&lt;&gt;"",1,0)+IF(DW925&lt;&gt;"",1,0)+IF(DX925&lt;&gt;"",1,0)+IF(DY925&lt;&gt;"",1,0)+IF(DZ925&lt;&gt;"",1,0)+IF(EB925&lt;&gt;"",1,0)+IF(EC925&lt;&gt;"",1,0)+IF(ED925&lt;&gt;"",1,0)+IF(EG925&lt;&gt;"",1,0)+IF(EH925&lt;&gt;"",1,0)</f>
        <v/>
      </c>
      <c r="AZ925">
        <f>IF(EH925&lt;&gt;"",1,0)</f>
        <v/>
      </c>
      <c r="BB925" t="inlineStr">
        <is>
          <t>WARREN-WARD 4</t>
        </is>
      </c>
      <c r="BL925" t="inlineStr">
        <is>
          <t>X</t>
        </is>
      </c>
      <c r="BS925" t="inlineStr">
        <is>
          <t>X</t>
        </is>
      </c>
      <c r="BY925" t="inlineStr">
        <is>
          <t>D</t>
        </is>
      </c>
      <c r="CA925" t="inlineStr">
        <is>
          <t>X</t>
        </is>
      </c>
      <c r="CP925" t="inlineStr">
        <is>
          <t>X</t>
        </is>
      </c>
      <c r="DC925" t="inlineStr">
        <is>
          <t>X</t>
        </is>
      </c>
      <c r="DI925" t="inlineStr">
        <is>
          <t>X</t>
        </is>
      </c>
      <c r="DN925" t="inlineStr">
        <is>
          <t>X</t>
        </is>
      </c>
      <c r="DU925" t="inlineStr">
        <is>
          <t>X</t>
        </is>
      </c>
      <c r="EF925" t="inlineStr">
        <is>
          <t>X</t>
        </is>
      </c>
    </row>
    <row r="926">
      <c r="A926" t="inlineStr">
        <is>
          <t>OH0022357297</t>
        </is>
      </c>
      <c r="B926" t="n">
        <v>78</v>
      </c>
      <c r="C926" t="n">
        <v>395256</v>
      </c>
      <c r="D926" t="inlineStr">
        <is>
          <t>KING</t>
        </is>
      </c>
      <c r="E926" t="inlineStr">
        <is>
          <t>SAPHIA</t>
        </is>
      </c>
      <c r="F926">
        <f>CONCATENATE(D926," ",LEFT(H926,4),"T=",AU926,"D=",AV926,"R=",AW926,"M=",AX926,"L=",AY926,"B=",AZ926)</f>
        <v/>
      </c>
      <c r="G926" t="inlineStr">
        <is>
          <t>RAQUEL</t>
        </is>
      </c>
      <c r="I926" t="inlineStr">
        <is>
          <t>1995-09-20</t>
        </is>
      </c>
      <c r="J926" t="inlineStr">
        <is>
          <t>2020-11-23</t>
        </is>
      </c>
      <c r="K926" t="inlineStr">
        <is>
          <t>CONFIRMATION</t>
        </is>
      </c>
      <c r="M926" t="inlineStr">
        <is>
          <t>597 OAK KNOLL AVE SE</t>
        </is>
      </c>
      <c r="N926">
        <f>RIGHT(M926,LEN(M926)-FIND(" ",M926))</f>
        <v/>
      </c>
      <c r="P926" t="inlineStr">
        <is>
          <t>WARREN</t>
        </is>
      </c>
      <c r="Q926" t="inlineStr">
        <is>
          <t>OH</t>
        </is>
      </c>
      <c r="R926" t="n">
        <v>44483</v>
      </c>
      <c r="AD926" t="inlineStr">
        <is>
          <t>TRUMBULL CAREER &amp; TECH CENTER</t>
        </is>
      </c>
      <c r="AE926" t="inlineStr">
        <is>
          <t>WARREN CITY</t>
        </is>
      </c>
      <c r="AF926" t="inlineStr">
        <is>
          <t>WARREN CITY SD</t>
        </is>
      </c>
      <c r="AH926" t="n">
        <v>14</v>
      </c>
      <c r="AI926" t="n">
        <v>11</v>
      </c>
      <c r="AN926" t="inlineStr">
        <is>
          <t>WARREN</t>
        </is>
      </c>
      <c r="AO926" t="inlineStr">
        <is>
          <t>WARREN CITY 4A</t>
        </is>
      </c>
      <c r="AP926" t="inlineStr">
        <is>
          <t>78-P-ADI</t>
        </is>
      </c>
      <c r="AQ926" t="n">
        <v>9</v>
      </c>
      <c r="AR926" t="n">
        <v>64</v>
      </c>
      <c r="AS926" t="n">
        <v>32</v>
      </c>
      <c r="AU926">
        <f>COUNTA($BA$926:$EH$926)</f>
        <v/>
      </c>
      <c r="AV926">
        <f>COUNTIF($BA$926:$EH$926,"D")</f>
        <v/>
      </c>
      <c r="AW926">
        <f>COUNTIF($BA$926:$EH$926,"R")</f>
        <v/>
      </c>
      <c r="AX926">
        <f>IF(BN926="D",1,0)+IF(BO926="D",1,0)+IF(BT926="D",1,0)+IF(BU926="D",1,0)+IF(BW926="D",1,0)+IF(CC926="D",1,0)+IF(CD926="D",1,0)+IF(CE926="D",1,0)+IF(CF926="D",1,0)+IF(CL926="D",1,0)+IF(CM926="D",1,0)+IF(CQ926="D",1,0)+IF(CR926="D",1,0)+IF(CS926="D",1,0)+IF(CW926="D",1,0)+IF(CX926="D",1,0)+IF(DD926="D",1,0)+IF(DE926="D",1,0)+IF(DJ926="D",1,0)+IF(DK926="D",1,0)+IF(DO926="D",1,0)+IF(DP926="D",1,0)+IF(DQ926="D",1,0)+IF(DW926="D",1,0)+IF(DZ926="D",1,0)+IF(EH926="D",1,0)</f>
        <v/>
      </c>
      <c r="AY926">
        <f>IF(DJ926&lt;&gt;"",1,0)+IF(DK926&lt;&gt;"",1,0)+IF(DM926&lt;&gt;"",1,0)+IF(DO926&lt;&gt;"",1,0)+IF(DP926&lt;&gt;"",1,0)+IF(DQ926&lt;&gt;"",1,0)+IF(DS926&lt;&gt;"",1,0)+IF(DT926&lt;&gt;"",1,0)+IF(DV926&lt;&gt;"",1,0)+IF(DW926&lt;&gt;"",1,0)+IF(DX926&lt;&gt;"",1,0)+IF(DY926&lt;&gt;"",1,0)+IF(DZ926&lt;&gt;"",1,0)+IF(EB926&lt;&gt;"",1,0)+IF(EC926&lt;&gt;"",1,0)+IF(ED926&lt;&gt;"",1,0)+IF(EG926&lt;&gt;"",1,0)+IF(EH926&lt;&gt;"",1,0)</f>
        <v/>
      </c>
      <c r="AZ926">
        <f>IF(EH926&lt;&gt;"",1,0)</f>
        <v/>
      </c>
      <c r="BB926" t="inlineStr">
        <is>
          <t>WARREN-WARD 4</t>
        </is>
      </c>
      <c r="DN926" t="inlineStr">
        <is>
          <t>X</t>
        </is>
      </c>
    </row>
    <row r="927">
      <c r="A927" t="inlineStr">
        <is>
          <t>OH0015807702</t>
        </is>
      </c>
      <c r="B927" t="n">
        <v>78</v>
      </c>
      <c r="C927" t="n">
        <v>316400</v>
      </c>
      <c r="D927" t="inlineStr">
        <is>
          <t>CUNNINGHAM</t>
        </is>
      </c>
      <c r="E927" t="inlineStr">
        <is>
          <t>JEANIE</t>
        </is>
      </c>
      <c r="F927">
        <f>CONCATENATE(D927," ",LEFT(H927,4),"T=",AU927,"D=",AV927,"R=",AW927,"M=",AX927,"L=",AY927,"B=",AZ927)</f>
        <v/>
      </c>
      <c r="G927" t="inlineStr">
        <is>
          <t>M</t>
        </is>
      </c>
      <c r="I927" t="inlineStr">
        <is>
          <t>1981-06-07</t>
        </is>
      </c>
      <c r="J927" t="inlineStr">
        <is>
          <t>2017-02-21</t>
        </is>
      </c>
      <c r="K927" t="inlineStr">
        <is>
          <t>ACTIVE</t>
        </is>
      </c>
      <c r="M927" t="inlineStr">
        <is>
          <t>385 BONNIE BRAE AVE SE</t>
        </is>
      </c>
      <c r="N927">
        <f>RIGHT(M927,LEN(M927)-FIND(" ",M927))</f>
        <v/>
      </c>
      <c r="P927" t="inlineStr">
        <is>
          <t>WARREN</t>
        </is>
      </c>
      <c r="Q927" t="inlineStr">
        <is>
          <t>OH</t>
        </is>
      </c>
      <c r="R927" t="n">
        <v>44484</v>
      </c>
      <c r="AD927" t="inlineStr">
        <is>
          <t>TRUMBULL CAREER &amp; TECH CENTER</t>
        </is>
      </c>
      <c r="AE927" t="inlineStr">
        <is>
          <t>WARREN CITY</t>
        </is>
      </c>
      <c r="AF927" t="inlineStr">
        <is>
          <t>WARREN CITY SD</t>
        </is>
      </c>
      <c r="AH927" t="n">
        <v>14</v>
      </c>
      <c r="AI927" t="n">
        <v>11</v>
      </c>
      <c r="AN927" t="inlineStr">
        <is>
          <t>WARREN</t>
        </is>
      </c>
      <c r="AO927" t="inlineStr">
        <is>
          <t>WARREN CITY 4A</t>
        </is>
      </c>
      <c r="AP927" t="inlineStr">
        <is>
          <t>78-P-ADI</t>
        </is>
      </c>
      <c r="AQ927" t="n">
        <v>9</v>
      </c>
      <c r="AR927" t="n">
        <v>64</v>
      </c>
      <c r="AS927" t="n">
        <v>32</v>
      </c>
      <c r="AU927">
        <f>COUNTA($BA$927:$EH$927)</f>
        <v/>
      </c>
      <c r="AV927">
        <f>COUNTIF($BA$927:$EH$927,"D")</f>
        <v/>
      </c>
      <c r="AW927">
        <f>COUNTIF($BA$927:$EH$927,"R")</f>
        <v/>
      </c>
      <c r="AX927">
        <f>IF(BN927="D",1,0)+IF(BO927="D",1,0)+IF(BT927="D",1,0)+IF(BU927="D",1,0)+IF(BW927="D",1,0)+IF(CC927="D",1,0)+IF(CD927="D",1,0)+IF(CE927="D",1,0)+IF(CF927="D",1,0)+IF(CL927="D",1,0)+IF(CM927="D",1,0)+IF(CQ927="D",1,0)+IF(CR927="D",1,0)+IF(CS927="D",1,0)+IF(CW927="D",1,0)+IF(CX927="D",1,0)+IF(DD927="D",1,0)+IF(DE927="D",1,0)+IF(DJ927="D",1,0)+IF(DK927="D",1,0)+IF(DO927="D",1,0)+IF(DP927="D",1,0)+IF(DQ927="D",1,0)+IF(DW927="D",1,0)+IF(DZ927="D",1,0)+IF(EH927="D",1,0)</f>
        <v/>
      </c>
      <c r="AY927">
        <f>IF(DJ927&lt;&gt;"",1,0)+IF(DK927&lt;&gt;"",1,0)+IF(DM927&lt;&gt;"",1,0)+IF(DO927&lt;&gt;"",1,0)+IF(DP927&lt;&gt;"",1,0)+IF(DQ927&lt;&gt;"",1,0)+IF(DS927&lt;&gt;"",1,0)+IF(DT927&lt;&gt;"",1,0)+IF(DV927&lt;&gt;"",1,0)+IF(DW927&lt;&gt;"",1,0)+IF(DX927&lt;&gt;"",1,0)+IF(DY927&lt;&gt;"",1,0)+IF(DZ927&lt;&gt;"",1,0)+IF(EB927&lt;&gt;"",1,0)+IF(EC927&lt;&gt;"",1,0)+IF(ED927&lt;&gt;"",1,0)+IF(EG927&lt;&gt;"",1,0)+IF(EH927&lt;&gt;"",1,0)</f>
        <v/>
      </c>
      <c r="AZ927">
        <f>IF(EH927&lt;&gt;"",1,0)</f>
        <v/>
      </c>
      <c r="BB927" t="inlineStr">
        <is>
          <t>WARREN-WARD 4</t>
        </is>
      </c>
      <c r="BL927" t="inlineStr">
        <is>
          <t>X</t>
        </is>
      </c>
      <c r="BY927" t="inlineStr">
        <is>
          <t>D</t>
        </is>
      </c>
      <c r="CA927" t="inlineStr">
        <is>
          <t>X</t>
        </is>
      </c>
      <c r="CP927" t="inlineStr">
        <is>
          <t>X</t>
        </is>
      </c>
      <c r="CT927" t="inlineStr">
        <is>
          <t>X</t>
        </is>
      </c>
      <c r="CU927" t="inlineStr">
        <is>
          <t>D</t>
        </is>
      </c>
      <c r="CV927" t="inlineStr">
        <is>
          <t>X</t>
        </is>
      </c>
      <c r="CY927" t="inlineStr">
        <is>
          <t>X</t>
        </is>
      </c>
      <c r="CZ927" t="inlineStr">
        <is>
          <t>D</t>
        </is>
      </c>
      <c r="DC927" t="inlineStr">
        <is>
          <t>X</t>
        </is>
      </c>
    </row>
    <row r="928">
      <c r="A928" t="inlineStr">
        <is>
          <t>OH0015796010</t>
        </is>
      </c>
      <c r="B928" t="n">
        <v>78</v>
      </c>
      <c r="C928" t="n">
        <v>257330</v>
      </c>
      <c r="D928" t="inlineStr">
        <is>
          <t>HALLETT</t>
        </is>
      </c>
      <c r="E928" t="inlineStr">
        <is>
          <t>RACHEL</t>
        </is>
      </c>
      <c r="F928">
        <f>CONCATENATE(D928," ",LEFT(H928,4),"T=",AU928,"D=",AV928,"R=",AW928,"M=",AX928,"L=",AY928,"B=",AZ928)</f>
        <v/>
      </c>
      <c r="I928" t="inlineStr">
        <is>
          <t>1977-02-03</t>
        </is>
      </c>
      <c r="J928" t="inlineStr">
        <is>
          <t>1995-02-01</t>
        </is>
      </c>
      <c r="K928" t="inlineStr">
        <is>
          <t>ACTIVE</t>
        </is>
      </c>
      <c r="M928" t="inlineStr">
        <is>
          <t>797 HOMEWOOD AVE SE</t>
        </is>
      </c>
      <c r="N928">
        <f>RIGHT(M928,LEN(M928)-FIND(" ",M928))</f>
        <v/>
      </c>
      <c r="P928" t="inlineStr">
        <is>
          <t>WARREN</t>
        </is>
      </c>
      <c r="Q928" t="inlineStr">
        <is>
          <t>OH</t>
        </is>
      </c>
      <c r="R928" t="n">
        <v>44484</v>
      </c>
      <c r="AD928" t="inlineStr">
        <is>
          <t>TRUMBULL CAREER &amp; TECH CENTER</t>
        </is>
      </c>
      <c r="AE928" t="inlineStr">
        <is>
          <t>WARREN CITY</t>
        </is>
      </c>
      <c r="AF928" t="inlineStr">
        <is>
          <t>WARREN CITY SD</t>
        </is>
      </c>
      <c r="AH928" t="n">
        <v>14</v>
      </c>
      <c r="AI928" t="n">
        <v>11</v>
      </c>
      <c r="AN928" t="inlineStr">
        <is>
          <t>WARREN</t>
        </is>
      </c>
      <c r="AO928" t="inlineStr">
        <is>
          <t>WARREN CITY 4A</t>
        </is>
      </c>
      <c r="AP928" t="inlineStr">
        <is>
          <t>78-P-ADI</t>
        </is>
      </c>
      <c r="AQ928" t="n">
        <v>9</v>
      </c>
      <c r="AR928" t="n">
        <v>64</v>
      </c>
      <c r="AS928" t="n">
        <v>32</v>
      </c>
      <c r="AU928">
        <f>COUNTA($BA$928:$EH$928)</f>
        <v/>
      </c>
      <c r="AV928">
        <f>COUNTIF($BA$928:$EH$928,"D")</f>
        <v/>
      </c>
      <c r="AW928">
        <f>COUNTIF($BA$928:$EH$928,"R")</f>
        <v/>
      </c>
      <c r="AX928">
        <f>IF(BN928="D",1,0)+IF(BO928="D",1,0)+IF(BT928="D",1,0)+IF(BU928="D",1,0)+IF(BW928="D",1,0)+IF(CC928="D",1,0)+IF(CD928="D",1,0)+IF(CE928="D",1,0)+IF(CF928="D",1,0)+IF(CL928="D",1,0)+IF(CM928="D",1,0)+IF(CQ928="D",1,0)+IF(CR928="D",1,0)+IF(CS928="D",1,0)+IF(CW928="D",1,0)+IF(CX928="D",1,0)+IF(DD928="D",1,0)+IF(DE928="D",1,0)+IF(DJ928="D",1,0)+IF(DK928="D",1,0)+IF(DO928="D",1,0)+IF(DP928="D",1,0)+IF(DQ928="D",1,0)+IF(DW928="D",1,0)+IF(DZ928="D",1,0)+IF(EH928="D",1,0)</f>
        <v/>
      </c>
      <c r="AY928">
        <f>IF(DJ928&lt;&gt;"",1,0)+IF(DK928&lt;&gt;"",1,0)+IF(DM928&lt;&gt;"",1,0)+IF(DO928&lt;&gt;"",1,0)+IF(DP928&lt;&gt;"",1,0)+IF(DQ928&lt;&gt;"",1,0)+IF(DS928&lt;&gt;"",1,0)+IF(DT928&lt;&gt;"",1,0)+IF(DV928&lt;&gt;"",1,0)+IF(DW928&lt;&gt;"",1,0)+IF(DX928&lt;&gt;"",1,0)+IF(DY928&lt;&gt;"",1,0)+IF(DZ928&lt;&gt;"",1,0)+IF(EB928&lt;&gt;"",1,0)+IF(EC928&lt;&gt;"",1,0)+IF(ED928&lt;&gt;"",1,0)+IF(EG928&lt;&gt;"",1,0)+IF(EH928&lt;&gt;"",1,0)</f>
        <v/>
      </c>
      <c r="AZ928">
        <f>IF(EH928&lt;&gt;"",1,0)</f>
        <v/>
      </c>
      <c r="BB928" t="inlineStr">
        <is>
          <t>WARREN-WARD 4</t>
        </is>
      </c>
      <c r="BD928" t="inlineStr">
        <is>
          <t>X</t>
        </is>
      </c>
      <c r="BL928" t="inlineStr">
        <is>
          <t>X</t>
        </is>
      </c>
      <c r="BR928" t="inlineStr">
        <is>
          <t>X</t>
        </is>
      </c>
      <c r="BS928" t="inlineStr">
        <is>
          <t>X</t>
        </is>
      </c>
      <c r="BV928" t="inlineStr">
        <is>
          <t>X</t>
        </is>
      </c>
      <c r="CA928" t="inlineStr">
        <is>
          <t>X</t>
        </is>
      </c>
      <c r="CG928" t="inlineStr">
        <is>
          <t>X</t>
        </is>
      </c>
      <c r="CK928" t="inlineStr">
        <is>
          <t>X</t>
        </is>
      </c>
      <c r="CL928" t="inlineStr">
        <is>
          <t>D</t>
        </is>
      </c>
      <c r="CN928" t="inlineStr">
        <is>
          <t>X</t>
        </is>
      </c>
      <c r="CP928" t="inlineStr">
        <is>
          <t>X</t>
        </is>
      </c>
      <c r="DC928" t="inlineStr">
        <is>
          <t>X</t>
        </is>
      </c>
      <c r="DN928" t="inlineStr">
        <is>
          <t>X</t>
        </is>
      </c>
      <c r="EA928" t="inlineStr">
        <is>
          <t>X</t>
        </is>
      </c>
      <c r="EF928" t="inlineStr">
        <is>
          <t>X</t>
        </is>
      </c>
    </row>
    <row r="929">
      <c r="A929" t="inlineStr">
        <is>
          <t>OH0015689379</t>
        </is>
      </c>
      <c r="B929" t="n">
        <v>78</v>
      </c>
      <c r="C929" t="n">
        <v>13214</v>
      </c>
      <c r="D929" t="inlineStr">
        <is>
          <t>HARKINS</t>
        </is>
      </c>
      <c r="E929" t="inlineStr">
        <is>
          <t>PATRICK</t>
        </is>
      </c>
      <c r="F929">
        <f>CONCATENATE(D929," ",LEFT(H929,4),"T=",AU929,"D=",AV929,"R=",AW929,"M=",AX929,"L=",AY929,"B=",AZ929)</f>
        <v/>
      </c>
      <c r="I929" t="inlineStr">
        <is>
          <t>1960-06-14</t>
        </is>
      </c>
      <c r="J929" t="inlineStr">
        <is>
          <t>2011-11-30</t>
        </is>
      </c>
      <c r="K929" t="inlineStr">
        <is>
          <t>ACTIVE</t>
        </is>
      </c>
      <c r="L929" t="inlineStr">
        <is>
          <t>D</t>
        </is>
      </c>
      <c r="M929" t="inlineStr">
        <is>
          <t>721 BONNIE BRAE AVE SE</t>
        </is>
      </c>
      <c r="N929">
        <f>RIGHT(M929,LEN(M929)-FIND(" ",M929))</f>
        <v/>
      </c>
      <c r="P929" t="inlineStr">
        <is>
          <t>WARREN</t>
        </is>
      </c>
      <c r="Q929" t="inlineStr">
        <is>
          <t>OH</t>
        </is>
      </c>
      <c r="R929" t="n">
        <v>44484</v>
      </c>
      <c r="AD929" t="inlineStr">
        <is>
          <t>TRUMBULL CAREER &amp; TECH CENTER</t>
        </is>
      </c>
      <c r="AE929" t="inlineStr">
        <is>
          <t>WARREN CITY</t>
        </is>
      </c>
      <c r="AF929" t="inlineStr">
        <is>
          <t>WARREN CITY SD</t>
        </is>
      </c>
      <c r="AH929" t="n">
        <v>14</v>
      </c>
      <c r="AI929" t="n">
        <v>11</v>
      </c>
      <c r="AN929" t="inlineStr">
        <is>
          <t>WARREN</t>
        </is>
      </c>
      <c r="AO929" t="inlineStr">
        <is>
          <t>WARREN CITY 4A</t>
        </is>
      </c>
      <c r="AP929" t="inlineStr">
        <is>
          <t>78-P-ADI</t>
        </is>
      </c>
      <c r="AQ929" t="n">
        <v>9</v>
      </c>
      <c r="AR929" t="n">
        <v>64</v>
      </c>
      <c r="AS929" t="n">
        <v>32</v>
      </c>
      <c r="AU929">
        <f>COUNTA($BA$929:$EH$929)</f>
        <v/>
      </c>
      <c r="AV929">
        <f>COUNTIF($BA$929:$EH$929,"D")</f>
        <v/>
      </c>
      <c r="AW929">
        <f>COUNTIF($BA$929:$EH$929,"R")</f>
        <v/>
      </c>
      <c r="AX929">
        <f>IF(BN929="D",1,0)+IF(BO929="D",1,0)+IF(BT929="D",1,0)+IF(BU929="D",1,0)+IF(BW929="D",1,0)+IF(CC929="D",1,0)+IF(CD929="D",1,0)+IF(CE929="D",1,0)+IF(CF929="D",1,0)+IF(CL929="D",1,0)+IF(CM929="D",1,0)+IF(CQ929="D",1,0)+IF(CR929="D",1,0)+IF(CS929="D",1,0)+IF(CW929="D",1,0)+IF(CX929="D",1,0)+IF(DD929="D",1,0)+IF(DE929="D",1,0)+IF(DJ929="D",1,0)+IF(DK929="D",1,0)+IF(DO929="D",1,0)+IF(DP929="D",1,0)+IF(DQ929="D",1,0)+IF(DW929="D",1,0)+IF(DZ929="D",1,0)+IF(EH929="D",1,0)</f>
        <v/>
      </c>
      <c r="AY929">
        <f>IF(DJ929&lt;&gt;"",1,0)+IF(DK929&lt;&gt;"",1,0)+IF(DM929&lt;&gt;"",1,0)+IF(DO929&lt;&gt;"",1,0)+IF(DP929&lt;&gt;"",1,0)+IF(DQ929&lt;&gt;"",1,0)+IF(DS929&lt;&gt;"",1,0)+IF(DT929&lt;&gt;"",1,0)+IF(DV929&lt;&gt;"",1,0)+IF(DW929&lt;&gt;"",1,0)+IF(DX929&lt;&gt;"",1,0)+IF(DY929&lt;&gt;"",1,0)+IF(DZ929&lt;&gt;"",1,0)+IF(EB929&lt;&gt;"",1,0)+IF(EC929&lt;&gt;"",1,0)+IF(ED929&lt;&gt;"",1,0)+IF(EG929&lt;&gt;"",1,0)+IF(EH929&lt;&gt;"",1,0)</f>
        <v/>
      </c>
      <c r="AZ929">
        <f>IF(EH929&lt;&gt;"",1,0)</f>
        <v/>
      </c>
      <c r="BB929" t="inlineStr">
        <is>
          <t>WARREN-WARD 4</t>
        </is>
      </c>
      <c r="BC929" t="inlineStr">
        <is>
          <t>X</t>
        </is>
      </c>
      <c r="BD929" t="inlineStr">
        <is>
          <t>X</t>
        </is>
      </c>
      <c r="BG929" t="inlineStr">
        <is>
          <t>X</t>
        </is>
      </c>
      <c r="BH929" t="inlineStr">
        <is>
          <t>X</t>
        </is>
      </c>
      <c r="BI929" t="inlineStr">
        <is>
          <t>X</t>
        </is>
      </c>
      <c r="BJ929" t="inlineStr">
        <is>
          <t>X</t>
        </is>
      </c>
      <c r="BK929" t="inlineStr">
        <is>
          <t>X</t>
        </is>
      </c>
      <c r="BL929" t="inlineStr">
        <is>
          <t>X</t>
        </is>
      </c>
      <c r="BS929" t="inlineStr">
        <is>
          <t>X</t>
        </is>
      </c>
      <c r="BY929" t="inlineStr">
        <is>
          <t>D</t>
        </is>
      </c>
      <c r="CA929" t="inlineStr">
        <is>
          <t>X</t>
        </is>
      </c>
      <c r="CG929" t="inlineStr">
        <is>
          <t>X</t>
        </is>
      </c>
      <c r="CP929" t="inlineStr">
        <is>
          <t>X</t>
        </is>
      </c>
      <c r="DC929" t="inlineStr">
        <is>
          <t>X</t>
        </is>
      </c>
      <c r="DN929" t="inlineStr">
        <is>
          <t>X</t>
        </is>
      </c>
      <c r="DS929" t="inlineStr">
        <is>
          <t>D</t>
        </is>
      </c>
      <c r="DU929" t="inlineStr">
        <is>
          <t>X</t>
        </is>
      </c>
      <c r="DW929" t="inlineStr">
        <is>
          <t>D</t>
        </is>
      </c>
      <c r="EA929" t="inlineStr">
        <is>
          <t>X</t>
        </is>
      </c>
      <c r="ED929" t="inlineStr">
        <is>
          <t>D</t>
        </is>
      </c>
      <c r="EF929" t="inlineStr">
        <is>
          <t>X</t>
        </is>
      </c>
      <c r="EH929" t="inlineStr">
        <is>
          <t>D</t>
        </is>
      </c>
    </row>
    <row r="930">
      <c r="A930" t="inlineStr">
        <is>
          <t>OH0025996202</t>
        </is>
      </c>
      <c r="B930" t="n">
        <v>78</v>
      </c>
      <c r="C930" t="n">
        <v>454388</v>
      </c>
      <c r="D930" t="inlineStr">
        <is>
          <t>DUKE</t>
        </is>
      </c>
      <c r="E930" t="inlineStr">
        <is>
          <t>DENISE</t>
        </is>
      </c>
      <c r="F930">
        <f>CONCATENATE(D930," ",LEFT(H930,4),"T=",AU930,"D=",AV930,"R=",AW930,"M=",AX930,"L=",AY930,"B=",AZ930)</f>
        <v/>
      </c>
      <c r="G930" t="inlineStr">
        <is>
          <t>M</t>
        </is>
      </c>
      <c r="I930" t="inlineStr">
        <is>
          <t>1969-02-25</t>
        </is>
      </c>
      <c r="J930" t="inlineStr">
        <is>
          <t>2020-10-05</t>
        </is>
      </c>
      <c r="K930" t="inlineStr">
        <is>
          <t>CONFIRMATION</t>
        </is>
      </c>
      <c r="M930" t="inlineStr">
        <is>
          <t>184 IDDINGS AVE SE</t>
        </is>
      </c>
      <c r="N930">
        <f>RIGHT(M930,LEN(M930)-FIND(" ",M930))</f>
        <v/>
      </c>
      <c r="P930" t="inlineStr">
        <is>
          <t>WARREN</t>
        </is>
      </c>
      <c r="Q930" t="inlineStr">
        <is>
          <t>OH</t>
        </is>
      </c>
      <c r="R930" t="n">
        <v>44483</v>
      </c>
      <c r="AD930" t="inlineStr">
        <is>
          <t>TRUMBULL CAREER &amp; TECH CENTER</t>
        </is>
      </c>
      <c r="AE930" t="inlineStr">
        <is>
          <t>WARREN CITY</t>
        </is>
      </c>
      <c r="AF930" t="inlineStr">
        <is>
          <t>WARREN CITY SD</t>
        </is>
      </c>
      <c r="AH930" t="n">
        <v>14</v>
      </c>
      <c r="AI930" t="n">
        <v>11</v>
      </c>
      <c r="AN930" t="inlineStr">
        <is>
          <t>WARREN</t>
        </is>
      </c>
      <c r="AO930" t="inlineStr">
        <is>
          <t>WARREN CITY 4A</t>
        </is>
      </c>
      <c r="AP930" t="inlineStr">
        <is>
          <t>78-P-ADI</t>
        </is>
      </c>
      <c r="AQ930" t="n">
        <v>9</v>
      </c>
      <c r="AR930" t="n">
        <v>64</v>
      </c>
      <c r="AS930" t="n">
        <v>32</v>
      </c>
      <c r="AU930">
        <f>COUNTA($BA$930:$EH$930)</f>
        <v/>
      </c>
      <c r="AV930">
        <f>COUNTIF($BA$930:$EH$930,"D")</f>
        <v/>
      </c>
      <c r="AW930">
        <f>COUNTIF($BA$930:$EH$930,"R")</f>
        <v/>
      </c>
      <c r="AX930">
        <f>IF(BN930="D",1,0)+IF(BO930="D",1,0)+IF(BT930="D",1,0)+IF(BU930="D",1,0)+IF(BW930="D",1,0)+IF(CC930="D",1,0)+IF(CD930="D",1,0)+IF(CE930="D",1,0)+IF(CF930="D",1,0)+IF(CL930="D",1,0)+IF(CM930="D",1,0)+IF(CQ930="D",1,0)+IF(CR930="D",1,0)+IF(CS930="D",1,0)+IF(CW930="D",1,0)+IF(CX930="D",1,0)+IF(DD930="D",1,0)+IF(DE930="D",1,0)+IF(DJ930="D",1,0)+IF(DK930="D",1,0)+IF(DO930="D",1,0)+IF(DP930="D",1,0)+IF(DQ930="D",1,0)+IF(DW930="D",1,0)+IF(DZ930="D",1,0)+IF(EH930="D",1,0)</f>
        <v/>
      </c>
      <c r="AY930">
        <f>IF(DJ930&lt;&gt;"",1,0)+IF(DK930&lt;&gt;"",1,0)+IF(DM930&lt;&gt;"",1,0)+IF(DO930&lt;&gt;"",1,0)+IF(DP930&lt;&gt;"",1,0)+IF(DQ930&lt;&gt;"",1,0)+IF(DS930&lt;&gt;"",1,0)+IF(DT930&lt;&gt;"",1,0)+IF(DV930&lt;&gt;"",1,0)+IF(DW930&lt;&gt;"",1,0)+IF(DX930&lt;&gt;"",1,0)+IF(DY930&lt;&gt;"",1,0)+IF(DZ930&lt;&gt;"",1,0)+IF(EB930&lt;&gt;"",1,0)+IF(EC930&lt;&gt;"",1,0)+IF(ED930&lt;&gt;"",1,0)+IF(EG930&lt;&gt;"",1,0)+IF(EH930&lt;&gt;"",1,0)</f>
        <v/>
      </c>
      <c r="AZ930">
        <f>IF(EH930&lt;&gt;"",1,0)</f>
        <v/>
      </c>
      <c r="BB930" t="inlineStr">
        <is>
          <t>WARREN-WARD 4</t>
        </is>
      </c>
      <c r="DN930" t="inlineStr">
        <is>
          <t>X</t>
        </is>
      </c>
    </row>
    <row r="931">
      <c r="A931" t="inlineStr">
        <is>
          <t>OH0023753856</t>
        </is>
      </c>
      <c r="B931" t="n">
        <v>78</v>
      </c>
      <c r="C931" t="n">
        <v>417742</v>
      </c>
      <c r="D931" t="inlineStr">
        <is>
          <t>HALL</t>
        </is>
      </c>
      <c r="E931" t="inlineStr">
        <is>
          <t>ASHLEY</t>
        </is>
      </c>
      <c r="F931">
        <f>CONCATENATE(D931," ",LEFT(H931,4),"T=",AU931,"D=",AV931,"R=",AW931,"M=",AX931,"L=",AY931,"B=",AZ931)</f>
        <v/>
      </c>
      <c r="G931" t="inlineStr">
        <is>
          <t>ROSE</t>
        </is>
      </c>
      <c r="I931" t="inlineStr">
        <is>
          <t>1995-10-30</t>
        </is>
      </c>
      <c r="J931" t="inlineStr">
        <is>
          <t>2019-11-02</t>
        </is>
      </c>
      <c r="K931" t="inlineStr">
        <is>
          <t>ACTIVE</t>
        </is>
      </c>
      <c r="M931" t="inlineStr">
        <is>
          <t>830 OAK KNOLL AVE SE</t>
        </is>
      </c>
      <c r="N931">
        <f>RIGHT(M931,LEN(M931)-FIND(" ",M931))</f>
        <v/>
      </c>
      <c r="P931" t="inlineStr">
        <is>
          <t>WARREN</t>
        </is>
      </c>
      <c r="Q931" t="inlineStr">
        <is>
          <t>OH</t>
        </is>
      </c>
      <c r="R931" t="n">
        <v>44484</v>
      </c>
      <c r="AD931" t="inlineStr">
        <is>
          <t>TRUMBULL CAREER &amp; TECH CENTER</t>
        </is>
      </c>
      <c r="AE931" t="inlineStr">
        <is>
          <t>WARREN CITY</t>
        </is>
      </c>
      <c r="AF931" t="inlineStr">
        <is>
          <t>WARREN CITY SD</t>
        </is>
      </c>
      <c r="AH931" t="n">
        <v>14</v>
      </c>
      <c r="AI931" t="n">
        <v>11</v>
      </c>
      <c r="AN931" t="inlineStr">
        <is>
          <t>WARREN</t>
        </is>
      </c>
      <c r="AO931" t="inlineStr">
        <is>
          <t>WARREN CITY 4A</t>
        </is>
      </c>
      <c r="AP931" t="inlineStr">
        <is>
          <t>78-P-ADI</t>
        </is>
      </c>
      <c r="AQ931" t="n">
        <v>9</v>
      </c>
      <c r="AR931" t="n">
        <v>64</v>
      </c>
      <c r="AS931" t="n">
        <v>32</v>
      </c>
      <c r="AU931">
        <f>COUNTA($BA$931:$EH$931)</f>
        <v/>
      </c>
      <c r="AV931">
        <f>COUNTIF($BA$931:$EH$931,"D")</f>
        <v/>
      </c>
      <c r="AW931">
        <f>COUNTIF($BA$931:$EH$931,"R")</f>
        <v/>
      </c>
      <c r="AX931">
        <f>IF(BN931="D",1,0)+IF(BO931="D",1,0)+IF(BT931="D",1,0)+IF(BU931="D",1,0)+IF(BW931="D",1,0)+IF(CC931="D",1,0)+IF(CD931="D",1,0)+IF(CE931="D",1,0)+IF(CF931="D",1,0)+IF(CL931="D",1,0)+IF(CM931="D",1,0)+IF(CQ931="D",1,0)+IF(CR931="D",1,0)+IF(CS931="D",1,0)+IF(CW931="D",1,0)+IF(CX931="D",1,0)+IF(DD931="D",1,0)+IF(DE931="D",1,0)+IF(DJ931="D",1,0)+IF(DK931="D",1,0)+IF(DO931="D",1,0)+IF(DP931="D",1,0)+IF(DQ931="D",1,0)+IF(DW931="D",1,0)+IF(DZ931="D",1,0)+IF(EH931="D",1,0)</f>
        <v/>
      </c>
      <c r="AY931">
        <f>IF(DJ931&lt;&gt;"",1,0)+IF(DK931&lt;&gt;"",1,0)+IF(DM931&lt;&gt;"",1,0)+IF(DO931&lt;&gt;"",1,0)+IF(DP931&lt;&gt;"",1,0)+IF(DQ931&lt;&gt;"",1,0)+IF(DS931&lt;&gt;"",1,0)+IF(DT931&lt;&gt;"",1,0)+IF(DV931&lt;&gt;"",1,0)+IF(DW931&lt;&gt;"",1,0)+IF(DX931&lt;&gt;"",1,0)+IF(DY931&lt;&gt;"",1,0)+IF(DZ931&lt;&gt;"",1,0)+IF(EB931&lt;&gt;"",1,0)+IF(EC931&lt;&gt;"",1,0)+IF(ED931&lt;&gt;"",1,0)+IF(EG931&lt;&gt;"",1,0)+IF(EH931&lt;&gt;"",1,0)</f>
        <v/>
      </c>
      <c r="AZ931">
        <f>IF(EH931&lt;&gt;"",1,0)</f>
        <v/>
      </c>
      <c r="BB931" t="inlineStr">
        <is>
          <t>WARREN-WARD 4</t>
        </is>
      </c>
      <c r="DC931" t="inlineStr">
        <is>
          <t>X</t>
        </is>
      </c>
      <c r="DN931" t="inlineStr">
        <is>
          <t>X</t>
        </is>
      </c>
      <c r="DX931" t="inlineStr">
        <is>
          <t>X</t>
        </is>
      </c>
      <c r="EA931" t="inlineStr">
        <is>
          <t>X</t>
        </is>
      </c>
      <c r="EF931" t="inlineStr">
        <is>
          <t>X</t>
        </is>
      </c>
    </row>
    <row r="932">
      <c r="A932" t="inlineStr">
        <is>
          <t>OH0019810029</t>
        </is>
      </c>
      <c r="B932" t="n">
        <v>78</v>
      </c>
      <c r="C932" t="n">
        <v>359472</v>
      </c>
      <c r="D932" t="inlineStr">
        <is>
          <t>BUGNONE</t>
        </is>
      </c>
      <c r="E932" t="inlineStr">
        <is>
          <t>JEFFREY</t>
        </is>
      </c>
      <c r="F932">
        <f>CONCATENATE(D932," ",LEFT(H932,4),"T=",AU932,"D=",AV932,"R=",AW932,"M=",AX932,"L=",AY932,"B=",AZ932)</f>
        <v/>
      </c>
      <c r="G932" t="inlineStr">
        <is>
          <t>J</t>
        </is>
      </c>
      <c r="I932" t="inlineStr">
        <is>
          <t>1959-02-19</t>
        </is>
      </c>
      <c r="J932" t="inlineStr">
        <is>
          <t>2020-09-15</t>
        </is>
      </c>
      <c r="K932" t="inlineStr">
        <is>
          <t>CONFIRMATION</t>
        </is>
      </c>
      <c r="M932" t="inlineStr">
        <is>
          <t>367 LAIRD AVE SE</t>
        </is>
      </c>
      <c r="N932">
        <f>RIGHT(M932,LEN(M932)-FIND(" ",M932))</f>
        <v/>
      </c>
      <c r="P932" t="inlineStr">
        <is>
          <t>WARREN</t>
        </is>
      </c>
      <c r="Q932" t="inlineStr">
        <is>
          <t>OH</t>
        </is>
      </c>
      <c r="R932" t="n">
        <v>44483</v>
      </c>
      <c r="AD932" t="inlineStr">
        <is>
          <t>TRUMBULL CAREER &amp; TECH CENTER</t>
        </is>
      </c>
      <c r="AE932" t="inlineStr">
        <is>
          <t>WARREN CITY</t>
        </is>
      </c>
      <c r="AF932" t="inlineStr">
        <is>
          <t>WARREN CITY SD</t>
        </is>
      </c>
      <c r="AH932" t="n">
        <v>14</v>
      </c>
      <c r="AI932" t="n">
        <v>11</v>
      </c>
      <c r="AN932" t="inlineStr">
        <is>
          <t>WARREN</t>
        </is>
      </c>
      <c r="AO932" t="inlineStr">
        <is>
          <t>WARREN CITY 4A</t>
        </is>
      </c>
      <c r="AP932" t="inlineStr">
        <is>
          <t>78-P-ADI</t>
        </is>
      </c>
      <c r="AQ932" t="n">
        <v>9</v>
      </c>
      <c r="AR932" t="n">
        <v>64</v>
      </c>
      <c r="AS932" t="n">
        <v>32</v>
      </c>
      <c r="AU932">
        <f>COUNTA($BA$932:$EH$932)</f>
        <v/>
      </c>
      <c r="AV932">
        <f>COUNTIF($BA$932:$EH$932,"D")</f>
        <v/>
      </c>
      <c r="AW932">
        <f>COUNTIF($BA$932:$EH$932,"R")</f>
        <v/>
      </c>
      <c r="AX932">
        <f>IF(BN932="D",1,0)+IF(BO932="D",1,0)+IF(BT932="D",1,0)+IF(BU932="D",1,0)+IF(BW932="D",1,0)+IF(CC932="D",1,0)+IF(CD932="D",1,0)+IF(CE932="D",1,0)+IF(CF932="D",1,0)+IF(CL932="D",1,0)+IF(CM932="D",1,0)+IF(CQ932="D",1,0)+IF(CR932="D",1,0)+IF(CS932="D",1,0)+IF(CW932="D",1,0)+IF(CX932="D",1,0)+IF(DD932="D",1,0)+IF(DE932="D",1,0)+IF(DJ932="D",1,0)+IF(DK932="D",1,0)+IF(DO932="D",1,0)+IF(DP932="D",1,0)+IF(DQ932="D",1,0)+IF(DW932="D",1,0)+IF(DZ932="D",1,0)+IF(EH932="D",1,0)</f>
        <v/>
      </c>
      <c r="AY932">
        <f>IF(DJ932&lt;&gt;"",1,0)+IF(DK932&lt;&gt;"",1,0)+IF(DM932&lt;&gt;"",1,0)+IF(DO932&lt;&gt;"",1,0)+IF(DP932&lt;&gt;"",1,0)+IF(DQ932&lt;&gt;"",1,0)+IF(DS932&lt;&gt;"",1,0)+IF(DT932&lt;&gt;"",1,0)+IF(DV932&lt;&gt;"",1,0)+IF(DW932&lt;&gt;"",1,0)+IF(DX932&lt;&gt;"",1,0)+IF(DY932&lt;&gt;"",1,0)+IF(DZ932&lt;&gt;"",1,0)+IF(EB932&lt;&gt;"",1,0)+IF(EC932&lt;&gt;"",1,0)+IF(ED932&lt;&gt;"",1,0)+IF(EG932&lt;&gt;"",1,0)+IF(EH932&lt;&gt;"",1,0)</f>
        <v/>
      </c>
      <c r="AZ932">
        <f>IF(EH932&lt;&gt;"",1,0)</f>
        <v/>
      </c>
      <c r="BB932" t="inlineStr">
        <is>
          <t>WARREN-WARD 4</t>
        </is>
      </c>
      <c r="CA932" t="inlineStr">
        <is>
          <t>X</t>
        </is>
      </c>
      <c r="CG932" t="inlineStr">
        <is>
          <t>X</t>
        </is>
      </c>
      <c r="CP932" t="inlineStr">
        <is>
          <t>X</t>
        </is>
      </c>
      <c r="DN932" t="inlineStr">
        <is>
          <t>X</t>
        </is>
      </c>
    </row>
    <row r="933">
      <c r="A933" t="inlineStr">
        <is>
          <t>OH0015769321</t>
        </is>
      </c>
      <c r="B933" t="n">
        <v>78</v>
      </c>
      <c r="C933" t="n">
        <v>318542</v>
      </c>
      <c r="D933" t="inlineStr">
        <is>
          <t>LANDIS</t>
        </is>
      </c>
      <c r="E933" t="inlineStr">
        <is>
          <t>ELLIOTT</t>
        </is>
      </c>
      <c r="F933">
        <f>CONCATENATE(D933," ",LEFT(H933,4),"T=",AU933,"D=",AV933,"R=",AW933,"M=",AX933,"L=",AY933,"B=",AZ933)</f>
        <v/>
      </c>
      <c r="G933" t="inlineStr">
        <is>
          <t>A</t>
        </is>
      </c>
      <c r="I933" t="inlineStr">
        <is>
          <t>1985-12-30</t>
        </is>
      </c>
      <c r="J933" t="inlineStr">
        <is>
          <t>2020-03-16</t>
        </is>
      </c>
      <c r="K933" t="inlineStr">
        <is>
          <t>CONFIRMATION</t>
        </is>
      </c>
      <c r="M933" t="inlineStr">
        <is>
          <t>636 WOODBINE AVE SE</t>
        </is>
      </c>
      <c r="N933">
        <f>RIGHT(M933,LEN(M933)-FIND(" ",M933))</f>
        <v/>
      </c>
      <c r="P933" t="inlineStr">
        <is>
          <t>WARREN</t>
        </is>
      </c>
      <c r="Q933" t="inlineStr">
        <is>
          <t>OH</t>
        </is>
      </c>
      <c r="R933" t="n">
        <v>44483</v>
      </c>
      <c r="AD933" t="inlineStr">
        <is>
          <t>TRUMBULL CAREER &amp; TECH CENTER</t>
        </is>
      </c>
      <c r="AE933" t="inlineStr">
        <is>
          <t>WARREN CITY</t>
        </is>
      </c>
      <c r="AF933" t="inlineStr">
        <is>
          <t>WARREN CITY SD</t>
        </is>
      </c>
      <c r="AH933" t="n">
        <v>14</v>
      </c>
      <c r="AI933" t="n">
        <v>11</v>
      </c>
      <c r="AN933" t="inlineStr">
        <is>
          <t>WARREN</t>
        </is>
      </c>
      <c r="AO933" t="inlineStr">
        <is>
          <t>WARREN CITY 4A</t>
        </is>
      </c>
      <c r="AP933" t="inlineStr">
        <is>
          <t>78-P-ADI</t>
        </is>
      </c>
      <c r="AQ933" t="n">
        <v>9</v>
      </c>
      <c r="AR933" t="n">
        <v>64</v>
      </c>
      <c r="AS933" t="n">
        <v>32</v>
      </c>
      <c r="AU933">
        <f>COUNTA($BA$933:$EH$933)</f>
        <v/>
      </c>
      <c r="AV933">
        <f>COUNTIF($BA$933:$EH$933,"D")</f>
        <v/>
      </c>
      <c r="AW933">
        <f>COUNTIF($BA$933:$EH$933,"R")</f>
        <v/>
      </c>
      <c r="AX933">
        <f>IF(BN933="D",1,0)+IF(BO933="D",1,0)+IF(BT933="D",1,0)+IF(BU933="D",1,0)+IF(BW933="D",1,0)+IF(CC933="D",1,0)+IF(CD933="D",1,0)+IF(CE933="D",1,0)+IF(CF933="D",1,0)+IF(CL933="D",1,0)+IF(CM933="D",1,0)+IF(CQ933="D",1,0)+IF(CR933="D",1,0)+IF(CS933="D",1,0)+IF(CW933="D",1,0)+IF(CX933="D",1,0)+IF(DD933="D",1,0)+IF(DE933="D",1,0)+IF(DJ933="D",1,0)+IF(DK933="D",1,0)+IF(DO933="D",1,0)+IF(DP933="D",1,0)+IF(DQ933="D",1,0)+IF(DW933="D",1,0)+IF(DZ933="D",1,0)+IF(EH933="D",1,0)</f>
        <v/>
      </c>
      <c r="AY933">
        <f>IF(DJ933&lt;&gt;"",1,0)+IF(DK933&lt;&gt;"",1,0)+IF(DM933&lt;&gt;"",1,0)+IF(DO933&lt;&gt;"",1,0)+IF(DP933&lt;&gt;"",1,0)+IF(DQ933&lt;&gt;"",1,0)+IF(DS933&lt;&gt;"",1,0)+IF(DT933&lt;&gt;"",1,0)+IF(DV933&lt;&gt;"",1,0)+IF(DW933&lt;&gt;"",1,0)+IF(DX933&lt;&gt;"",1,0)+IF(DY933&lt;&gt;"",1,0)+IF(DZ933&lt;&gt;"",1,0)+IF(EB933&lt;&gt;"",1,0)+IF(EC933&lt;&gt;"",1,0)+IF(ED933&lt;&gt;"",1,0)+IF(EG933&lt;&gt;"",1,0)+IF(EH933&lt;&gt;"",1,0)</f>
        <v/>
      </c>
      <c r="AZ933">
        <f>IF(EH933&lt;&gt;"",1,0)</f>
        <v/>
      </c>
      <c r="BB933" t="inlineStr">
        <is>
          <t>WARREN-WARD 4</t>
        </is>
      </c>
      <c r="BL933" t="inlineStr">
        <is>
          <t>X</t>
        </is>
      </c>
      <c r="CZ933" t="inlineStr">
        <is>
          <t>D</t>
        </is>
      </c>
    </row>
    <row r="934">
      <c r="A934" t="inlineStr">
        <is>
          <t>OH0023344962</t>
        </is>
      </c>
      <c r="B934" t="n">
        <v>78</v>
      </c>
      <c r="C934" t="n">
        <v>410966</v>
      </c>
      <c r="D934" t="inlineStr">
        <is>
          <t>CASPER</t>
        </is>
      </c>
      <c r="E934" t="inlineStr">
        <is>
          <t>CHARLES</t>
        </is>
      </c>
      <c r="F934">
        <f>CONCATENATE(D934," ",LEFT(H934,4),"T=",AU934,"D=",AV934,"R=",AW934,"M=",AX934,"L=",AY934,"B=",AZ934)</f>
        <v/>
      </c>
      <c r="G934" t="inlineStr">
        <is>
          <t>S</t>
        </is>
      </c>
      <c r="I934" t="inlineStr">
        <is>
          <t>1967-09-03</t>
        </is>
      </c>
      <c r="J934" t="inlineStr">
        <is>
          <t>2017-02-21</t>
        </is>
      </c>
      <c r="K934" t="inlineStr">
        <is>
          <t>CONFIRMATION</t>
        </is>
      </c>
      <c r="M934" t="inlineStr">
        <is>
          <t>135 CHARLES AVE SE</t>
        </is>
      </c>
      <c r="N934">
        <f>RIGHT(M934,LEN(M934)-FIND(" ",M934))</f>
        <v/>
      </c>
      <c r="P934" t="inlineStr">
        <is>
          <t>WARREN</t>
        </is>
      </c>
      <c r="Q934" t="inlineStr">
        <is>
          <t>OH</t>
        </is>
      </c>
      <c r="R934" t="n">
        <v>44483</v>
      </c>
      <c r="AD934" t="inlineStr">
        <is>
          <t>TRUMBULL CAREER &amp; TECH CENTER</t>
        </is>
      </c>
      <c r="AE934" t="inlineStr">
        <is>
          <t>WARREN CITY</t>
        </is>
      </c>
      <c r="AF934" t="inlineStr">
        <is>
          <t>WARREN CITY SD</t>
        </is>
      </c>
      <c r="AH934" t="n">
        <v>14</v>
      </c>
      <c r="AI934" t="n">
        <v>11</v>
      </c>
      <c r="AN934" t="inlineStr">
        <is>
          <t>WARREN</t>
        </is>
      </c>
      <c r="AO934" t="inlineStr">
        <is>
          <t>WARREN CITY 4A</t>
        </is>
      </c>
      <c r="AP934" t="inlineStr">
        <is>
          <t>78-P-ADI</t>
        </is>
      </c>
      <c r="AQ934" t="n">
        <v>9</v>
      </c>
      <c r="AR934" t="n">
        <v>64</v>
      </c>
      <c r="AS934" t="n">
        <v>32</v>
      </c>
      <c r="AU934">
        <f>COUNTA($BA$934:$EH$934)</f>
        <v/>
      </c>
      <c r="AV934">
        <f>COUNTIF($BA$934:$EH$934,"D")</f>
        <v/>
      </c>
      <c r="AW934">
        <f>COUNTIF($BA$934:$EH$934,"R")</f>
        <v/>
      </c>
      <c r="AX934">
        <f>IF(BN934="D",1,0)+IF(BO934="D",1,0)+IF(BT934="D",1,0)+IF(BU934="D",1,0)+IF(BW934="D",1,0)+IF(CC934="D",1,0)+IF(CD934="D",1,0)+IF(CE934="D",1,0)+IF(CF934="D",1,0)+IF(CL934="D",1,0)+IF(CM934="D",1,0)+IF(CQ934="D",1,0)+IF(CR934="D",1,0)+IF(CS934="D",1,0)+IF(CW934="D",1,0)+IF(CX934="D",1,0)+IF(DD934="D",1,0)+IF(DE934="D",1,0)+IF(DJ934="D",1,0)+IF(DK934="D",1,0)+IF(DO934="D",1,0)+IF(DP934="D",1,0)+IF(DQ934="D",1,0)+IF(DW934="D",1,0)+IF(DZ934="D",1,0)+IF(EH934="D",1,0)</f>
        <v/>
      </c>
      <c r="AY934">
        <f>IF(DJ934&lt;&gt;"",1,0)+IF(DK934&lt;&gt;"",1,0)+IF(DM934&lt;&gt;"",1,0)+IF(DO934&lt;&gt;"",1,0)+IF(DP934&lt;&gt;"",1,0)+IF(DQ934&lt;&gt;"",1,0)+IF(DS934&lt;&gt;"",1,0)+IF(DT934&lt;&gt;"",1,0)+IF(DV934&lt;&gt;"",1,0)+IF(DW934&lt;&gt;"",1,0)+IF(DX934&lt;&gt;"",1,0)+IF(DY934&lt;&gt;"",1,0)+IF(DZ934&lt;&gt;"",1,0)+IF(EB934&lt;&gt;"",1,0)+IF(EC934&lt;&gt;"",1,0)+IF(ED934&lt;&gt;"",1,0)+IF(EG934&lt;&gt;"",1,0)+IF(EH934&lt;&gt;"",1,0)</f>
        <v/>
      </c>
      <c r="AZ934">
        <f>IF(EH934&lt;&gt;"",1,0)</f>
        <v/>
      </c>
      <c r="BB934" t="inlineStr">
        <is>
          <t>WARREN-WARD 4</t>
        </is>
      </c>
    </row>
    <row r="935">
      <c r="A935" t="inlineStr">
        <is>
          <t>OH0026425685</t>
        </is>
      </c>
      <c r="B935" t="n">
        <v>78</v>
      </c>
      <c r="C935" t="n">
        <v>462010</v>
      </c>
      <c r="D935" t="inlineStr">
        <is>
          <t>TEASLEY</t>
        </is>
      </c>
      <c r="E935" t="inlineStr">
        <is>
          <t>HAILEY</t>
        </is>
      </c>
      <c r="F935">
        <f>CONCATENATE(D935," ",LEFT(H935,4),"T=",AU935,"D=",AV935,"R=",AW935,"M=",AX935,"L=",AY935,"B=",AZ935)</f>
        <v/>
      </c>
      <c r="G935" t="inlineStr">
        <is>
          <t>N</t>
        </is>
      </c>
      <c r="I935" t="inlineStr">
        <is>
          <t>2001-10-20</t>
        </is>
      </c>
      <c r="J935" t="inlineStr">
        <is>
          <t>2024-07-30</t>
        </is>
      </c>
      <c r="K935" t="inlineStr">
        <is>
          <t>ACTIVE</t>
        </is>
      </c>
      <c r="M935" t="inlineStr">
        <is>
          <t>800 WOODBINE AVE SE</t>
        </is>
      </c>
      <c r="N935">
        <f>RIGHT(M935,LEN(M935)-FIND(" ",M935))</f>
        <v/>
      </c>
      <c r="P935" t="inlineStr">
        <is>
          <t>WARREN</t>
        </is>
      </c>
      <c r="Q935" t="inlineStr">
        <is>
          <t>OH</t>
        </is>
      </c>
      <c r="R935" t="n">
        <v>44484</v>
      </c>
      <c r="AD935" t="inlineStr">
        <is>
          <t>TRUMBULL CAREER &amp; TECH CENTER</t>
        </is>
      </c>
      <c r="AE935" t="inlineStr">
        <is>
          <t>WARREN CITY</t>
        </is>
      </c>
      <c r="AF935" t="inlineStr">
        <is>
          <t>WARREN CITY SD</t>
        </is>
      </c>
      <c r="AH935" t="n">
        <v>14</v>
      </c>
      <c r="AI935" t="n">
        <v>11</v>
      </c>
      <c r="AN935" t="inlineStr">
        <is>
          <t>WARREN</t>
        </is>
      </c>
      <c r="AO935" t="inlineStr">
        <is>
          <t>WARREN CITY 4A</t>
        </is>
      </c>
      <c r="AP935" t="inlineStr">
        <is>
          <t>78-P-ADI</t>
        </is>
      </c>
      <c r="AQ935" t="n">
        <v>9</v>
      </c>
      <c r="AR935" t="n">
        <v>64</v>
      </c>
      <c r="AS935" t="n">
        <v>32</v>
      </c>
      <c r="AU935">
        <f>COUNTA($BA$935:$EH$935)</f>
        <v/>
      </c>
      <c r="AV935">
        <f>COUNTIF($BA$935:$EH$935,"D")</f>
        <v/>
      </c>
      <c r="AW935">
        <f>COUNTIF($BA$935:$EH$935,"R")</f>
        <v/>
      </c>
      <c r="AX935">
        <f>IF(BN935="D",1,0)+IF(BO935="D",1,0)+IF(BT935="D",1,0)+IF(BU935="D",1,0)+IF(BW935="D",1,0)+IF(CC935="D",1,0)+IF(CD935="D",1,0)+IF(CE935="D",1,0)+IF(CF935="D",1,0)+IF(CL935="D",1,0)+IF(CM935="D",1,0)+IF(CQ935="D",1,0)+IF(CR935="D",1,0)+IF(CS935="D",1,0)+IF(CW935="D",1,0)+IF(CX935="D",1,0)+IF(DD935="D",1,0)+IF(DE935="D",1,0)+IF(DJ935="D",1,0)+IF(DK935="D",1,0)+IF(DO935="D",1,0)+IF(DP935="D",1,0)+IF(DQ935="D",1,0)+IF(DW935="D",1,0)+IF(DZ935="D",1,0)+IF(EH935="D",1,0)</f>
        <v/>
      </c>
      <c r="AY935">
        <f>IF(DJ935&lt;&gt;"",1,0)+IF(DK935&lt;&gt;"",1,0)+IF(DM935&lt;&gt;"",1,0)+IF(DO935&lt;&gt;"",1,0)+IF(DP935&lt;&gt;"",1,0)+IF(DQ935&lt;&gt;"",1,0)+IF(DS935&lt;&gt;"",1,0)+IF(DT935&lt;&gt;"",1,0)+IF(DV935&lt;&gt;"",1,0)+IF(DW935&lt;&gt;"",1,0)+IF(DX935&lt;&gt;"",1,0)+IF(DY935&lt;&gt;"",1,0)+IF(DZ935&lt;&gt;"",1,0)+IF(EB935&lt;&gt;"",1,0)+IF(EC935&lt;&gt;"",1,0)+IF(ED935&lt;&gt;"",1,0)+IF(EG935&lt;&gt;"",1,0)+IF(EH935&lt;&gt;"",1,0)</f>
        <v/>
      </c>
      <c r="AZ935">
        <f>IF(EH935&lt;&gt;"",1,0)</f>
        <v/>
      </c>
      <c r="BB935" t="inlineStr">
        <is>
          <t>WARREN-WARD 4</t>
        </is>
      </c>
    </row>
    <row r="936">
      <c r="A936" t="inlineStr">
        <is>
          <t>OH0026857235</t>
        </is>
      </c>
      <c r="B936" t="n">
        <v>78</v>
      </c>
      <c r="C936" t="n">
        <v>473539</v>
      </c>
      <c r="D936" t="inlineStr">
        <is>
          <t>CHIN</t>
        </is>
      </c>
      <c r="E936" t="inlineStr">
        <is>
          <t>LI</t>
        </is>
      </c>
      <c r="F936">
        <f>CONCATENATE(D936," ",LEFT(H936,4),"T=",AU936,"D=",AV936,"R=",AW936,"M=",AX936,"L=",AY936,"B=",AZ936)</f>
        <v/>
      </c>
      <c r="G936" t="inlineStr">
        <is>
          <t>KWEI</t>
        </is>
      </c>
      <c r="I936" t="inlineStr">
        <is>
          <t>2005-08-22</t>
        </is>
      </c>
      <c r="J936" t="inlineStr">
        <is>
          <t>2023-04-02</t>
        </is>
      </c>
      <c r="K936" t="inlineStr">
        <is>
          <t>ACTIVE</t>
        </is>
      </c>
      <c r="M936" t="inlineStr">
        <is>
          <t>796 EAST AVE SE</t>
        </is>
      </c>
      <c r="N936">
        <f>RIGHT(M936,LEN(M936)-FIND(" ",M936))</f>
        <v/>
      </c>
      <c r="P936" t="inlineStr">
        <is>
          <t>WARREN</t>
        </is>
      </c>
      <c r="Q936" t="inlineStr">
        <is>
          <t>OH</t>
        </is>
      </c>
      <c r="R936" t="n">
        <v>44484</v>
      </c>
      <c r="AD936" t="inlineStr">
        <is>
          <t>TRUMBULL CAREER &amp; TECH CENTER</t>
        </is>
      </c>
      <c r="AE936" t="inlineStr">
        <is>
          <t>WARREN CITY</t>
        </is>
      </c>
      <c r="AF936" t="inlineStr">
        <is>
          <t>WARREN CITY SD</t>
        </is>
      </c>
      <c r="AH936" t="n">
        <v>14</v>
      </c>
      <c r="AI936" t="n">
        <v>11</v>
      </c>
      <c r="AN936" t="inlineStr">
        <is>
          <t>WARREN</t>
        </is>
      </c>
      <c r="AO936" t="inlineStr">
        <is>
          <t>WARREN CITY 4A</t>
        </is>
      </c>
      <c r="AP936" t="inlineStr">
        <is>
          <t>78-P-ADI</t>
        </is>
      </c>
      <c r="AQ936" t="n">
        <v>9</v>
      </c>
      <c r="AR936" t="n">
        <v>64</v>
      </c>
      <c r="AS936" t="n">
        <v>32</v>
      </c>
      <c r="AU936">
        <f>COUNTA($BA$936:$EH$936)</f>
        <v/>
      </c>
      <c r="AV936">
        <f>COUNTIF($BA$936:$EH$936,"D")</f>
        <v/>
      </c>
      <c r="AW936">
        <f>COUNTIF($BA$936:$EH$936,"R")</f>
        <v/>
      </c>
      <c r="AX936">
        <f>IF(BN936="D",1,0)+IF(BO936="D",1,0)+IF(BT936="D",1,0)+IF(BU936="D",1,0)+IF(BW936="D",1,0)+IF(CC936="D",1,0)+IF(CD936="D",1,0)+IF(CE936="D",1,0)+IF(CF936="D",1,0)+IF(CL936="D",1,0)+IF(CM936="D",1,0)+IF(CQ936="D",1,0)+IF(CR936="D",1,0)+IF(CS936="D",1,0)+IF(CW936="D",1,0)+IF(CX936="D",1,0)+IF(DD936="D",1,0)+IF(DE936="D",1,0)+IF(DJ936="D",1,0)+IF(DK936="D",1,0)+IF(DO936="D",1,0)+IF(DP936="D",1,0)+IF(DQ936="D",1,0)+IF(DW936="D",1,0)+IF(DZ936="D",1,0)+IF(EH936="D",1,0)</f>
        <v/>
      </c>
      <c r="AY936">
        <f>IF(DJ936&lt;&gt;"",1,0)+IF(DK936&lt;&gt;"",1,0)+IF(DM936&lt;&gt;"",1,0)+IF(DO936&lt;&gt;"",1,0)+IF(DP936&lt;&gt;"",1,0)+IF(DQ936&lt;&gt;"",1,0)+IF(DS936&lt;&gt;"",1,0)+IF(DT936&lt;&gt;"",1,0)+IF(DV936&lt;&gt;"",1,0)+IF(DW936&lt;&gt;"",1,0)+IF(DX936&lt;&gt;"",1,0)+IF(DY936&lt;&gt;"",1,0)+IF(DZ936&lt;&gt;"",1,0)+IF(EB936&lt;&gt;"",1,0)+IF(EC936&lt;&gt;"",1,0)+IF(ED936&lt;&gt;"",1,0)+IF(EG936&lt;&gt;"",1,0)+IF(EH936&lt;&gt;"",1,0)</f>
        <v/>
      </c>
      <c r="AZ936">
        <f>IF(EH936&lt;&gt;"",1,0)</f>
        <v/>
      </c>
      <c r="BB936" t="inlineStr">
        <is>
          <t>WARREN-WARD 4</t>
        </is>
      </c>
    </row>
    <row r="937">
      <c r="A937" t="inlineStr">
        <is>
          <t>OH0019015962</t>
        </is>
      </c>
      <c r="B937" t="n">
        <v>78</v>
      </c>
      <c r="C937" t="n">
        <v>347801</v>
      </c>
      <c r="D937" t="inlineStr">
        <is>
          <t>BROWNING</t>
        </is>
      </c>
      <c r="E937" t="inlineStr">
        <is>
          <t>RAYMOND</t>
        </is>
      </c>
      <c r="F937">
        <f>CONCATENATE(D937," ",LEFT(H937,4),"T=",AU937,"D=",AV937,"R=",AW937,"M=",AX937,"L=",AY937,"B=",AZ937)</f>
        <v/>
      </c>
      <c r="G937" t="inlineStr">
        <is>
          <t>W</t>
        </is>
      </c>
      <c r="I937" t="inlineStr">
        <is>
          <t>1957-03-29</t>
        </is>
      </c>
      <c r="J937" t="inlineStr">
        <is>
          <t>2006-12-15</t>
        </is>
      </c>
      <c r="K937" t="inlineStr">
        <is>
          <t>CONFIRMATION</t>
        </is>
      </c>
      <c r="M937" t="inlineStr">
        <is>
          <t>717 LAIRD AVE SE</t>
        </is>
      </c>
      <c r="N937">
        <f>RIGHT(M937,LEN(M937)-FIND(" ",M937))</f>
        <v/>
      </c>
      <c r="P937" t="inlineStr">
        <is>
          <t>WARREN</t>
        </is>
      </c>
      <c r="Q937" t="inlineStr">
        <is>
          <t>OH</t>
        </is>
      </c>
      <c r="R937" t="n">
        <v>44484</v>
      </c>
      <c r="AD937" t="inlineStr">
        <is>
          <t>TRUMBULL CAREER &amp; TECH CENTER</t>
        </is>
      </c>
      <c r="AE937" t="inlineStr">
        <is>
          <t>WARREN CITY</t>
        </is>
      </c>
      <c r="AF937" t="inlineStr">
        <is>
          <t>WARREN CITY SD</t>
        </is>
      </c>
      <c r="AH937" t="n">
        <v>14</v>
      </c>
      <c r="AI937" t="n">
        <v>11</v>
      </c>
      <c r="AN937" t="inlineStr">
        <is>
          <t>WARREN</t>
        </is>
      </c>
      <c r="AO937" t="inlineStr">
        <is>
          <t>WARREN CITY 4A</t>
        </is>
      </c>
      <c r="AP937" t="inlineStr">
        <is>
          <t>78-P-ADI</t>
        </is>
      </c>
      <c r="AQ937" t="n">
        <v>9</v>
      </c>
      <c r="AR937" t="n">
        <v>64</v>
      </c>
      <c r="AS937" t="n">
        <v>32</v>
      </c>
      <c r="AU937">
        <f>COUNTA($BA$937:$EH$937)</f>
        <v/>
      </c>
      <c r="AV937">
        <f>COUNTIF($BA$937:$EH$937,"D")</f>
        <v/>
      </c>
      <c r="AW937">
        <f>COUNTIF($BA$937:$EH$937,"R")</f>
        <v/>
      </c>
      <c r="AX937">
        <f>IF(BN937="D",1,0)+IF(BO937="D",1,0)+IF(BT937="D",1,0)+IF(BU937="D",1,0)+IF(BW937="D",1,0)+IF(CC937="D",1,0)+IF(CD937="D",1,0)+IF(CE937="D",1,0)+IF(CF937="D",1,0)+IF(CL937="D",1,0)+IF(CM937="D",1,0)+IF(CQ937="D",1,0)+IF(CR937="D",1,0)+IF(CS937="D",1,0)+IF(CW937="D",1,0)+IF(CX937="D",1,0)+IF(DD937="D",1,0)+IF(DE937="D",1,0)+IF(DJ937="D",1,0)+IF(DK937="D",1,0)+IF(DO937="D",1,0)+IF(DP937="D",1,0)+IF(DQ937="D",1,0)+IF(DW937="D",1,0)+IF(DZ937="D",1,0)+IF(EH937="D",1,0)</f>
        <v/>
      </c>
      <c r="AY937">
        <f>IF(DJ937&lt;&gt;"",1,0)+IF(DK937&lt;&gt;"",1,0)+IF(DM937&lt;&gt;"",1,0)+IF(DO937&lt;&gt;"",1,0)+IF(DP937&lt;&gt;"",1,0)+IF(DQ937&lt;&gt;"",1,0)+IF(DS937&lt;&gt;"",1,0)+IF(DT937&lt;&gt;"",1,0)+IF(DV937&lt;&gt;"",1,0)+IF(DW937&lt;&gt;"",1,0)+IF(DX937&lt;&gt;"",1,0)+IF(DY937&lt;&gt;"",1,0)+IF(DZ937&lt;&gt;"",1,0)+IF(EB937&lt;&gt;"",1,0)+IF(EC937&lt;&gt;"",1,0)+IF(ED937&lt;&gt;"",1,0)+IF(EG937&lt;&gt;"",1,0)+IF(EH937&lt;&gt;"",1,0)</f>
        <v/>
      </c>
      <c r="AZ937">
        <f>IF(EH937&lt;&gt;"",1,0)</f>
        <v/>
      </c>
      <c r="BB937" t="inlineStr">
        <is>
          <t>WARREN-WARD 4</t>
        </is>
      </c>
    </row>
    <row r="938">
      <c r="A938" t="inlineStr">
        <is>
          <t>OH0026925326</t>
        </is>
      </c>
      <c r="B938" t="n">
        <v>78</v>
      </c>
      <c r="C938" t="n">
        <v>474525</v>
      </c>
      <c r="D938" t="inlineStr">
        <is>
          <t>RIESER</t>
        </is>
      </c>
      <c r="E938" t="inlineStr">
        <is>
          <t>RYLIE</t>
        </is>
      </c>
      <c r="F938">
        <f>CONCATENATE(D938," ",LEFT(H938,4),"T=",AU938,"D=",AV938,"R=",AW938,"M=",AX938,"L=",AY938,"B=",AZ938)</f>
        <v/>
      </c>
      <c r="G938" t="inlineStr">
        <is>
          <t>ANNE</t>
        </is>
      </c>
      <c r="I938" t="inlineStr">
        <is>
          <t>2005-01-16</t>
        </is>
      </c>
      <c r="J938" t="inlineStr">
        <is>
          <t>2023-06-10</t>
        </is>
      </c>
      <c r="K938" t="inlineStr">
        <is>
          <t>ACTIVE</t>
        </is>
      </c>
      <c r="L938" t="inlineStr">
        <is>
          <t>D</t>
        </is>
      </c>
      <c r="M938" t="inlineStr">
        <is>
          <t>226 OAK KNOLL AVE SE</t>
        </is>
      </c>
      <c r="N938">
        <f>RIGHT(M938,LEN(M938)-FIND(" ",M938))</f>
        <v/>
      </c>
      <c r="P938" t="inlineStr">
        <is>
          <t>WARREN</t>
        </is>
      </c>
      <c r="Q938" t="inlineStr">
        <is>
          <t>OH</t>
        </is>
      </c>
      <c r="R938" t="n">
        <v>44483</v>
      </c>
      <c r="AD938" t="inlineStr">
        <is>
          <t>TRUMBULL CAREER &amp; TECH CENTER</t>
        </is>
      </c>
      <c r="AE938" t="inlineStr">
        <is>
          <t>WARREN CITY</t>
        </is>
      </c>
      <c r="AF938" t="inlineStr">
        <is>
          <t>WARREN CITY SD</t>
        </is>
      </c>
      <c r="AH938" t="n">
        <v>14</v>
      </c>
      <c r="AI938" t="n">
        <v>11</v>
      </c>
      <c r="AN938" t="inlineStr">
        <is>
          <t>WARREN</t>
        </is>
      </c>
      <c r="AO938" t="inlineStr">
        <is>
          <t>WARREN CITY 4A</t>
        </is>
      </c>
      <c r="AP938" t="inlineStr">
        <is>
          <t>78-P-ADI</t>
        </is>
      </c>
      <c r="AQ938" t="n">
        <v>9</v>
      </c>
      <c r="AR938" t="n">
        <v>64</v>
      </c>
      <c r="AS938" t="n">
        <v>32</v>
      </c>
      <c r="AU938">
        <f>COUNTA($BA$938:$EH$938)</f>
        <v/>
      </c>
      <c r="AV938">
        <f>COUNTIF($BA$938:$EH$938,"D")</f>
        <v/>
      </c>
      <c r="AW938">
        <f>COUNTIF($BA$938:$EH$938,"R")</f>
        <v/>
      </c>
      <c r="AX938">
        <f>IF(BN938="D",1,0)+IF(BO938="D",1,0)+IF(BT938="D",1,0)+IF(BU938="D",1,0)+IF(BW938="D",1,0)+IF(CC938="D",1,0)+IF(CD938="D",1,0)+IF(CE938="D",1,0)+IF(CF938="D",1,0)+IF(CL938="D",1,0)+IF(CM938="D",1,0)+IF(CQ938="D",1,0)+IF(CR938="D",1,0)+IF(CS938="D",1,0)+IF(CW938="D",1,0)+IF(CX938="D",1,0)+IF(DD938="D",1,0)+IF(DE938="D",1,0)+IF(DJ938="D",1,0)+IF(DK938="D",1,0)+IF(DO938="D",1,0)+IF(DP938="D",1,0)+IF(DQ938="D",1,0)+IF(DW938="D",1,0)+IF(DZ938="D",1,0)+IF(EH938="D",1,0)</f>
        <v/>
      </c>
      <c r="AY938">
        <f>IF(DJ938&lt;&gt;"",1,0)+IF(DK938&lt;&gt;"",1,0)+IF(DM938&lt;&gt;"",1,0)+IF(DO938&lt;&gt;"",1,0)+IF(DP938&lt;&gt;"",1,0)+IF(DQ938&lt;&gt;"",1,0)+IF(DS938&lt;&gt;"",1,0)+IF(DT938&lt;&gt;"",1,0)+IF(DV938&lt;&gt;"",1,0)+IF(DW938&lt;&gt;"",1,0)+IF(DX938&lt;&gt;"",1,0)+IF(DY938&lt;&gt;"",1,0)+IF(DZ938&lt;&gt;"",1,0)+IF(EB938&lt;&gt;"",1,0)+IF(EC938&lt;&gt;"",1,0)+IF(ED938&lt;&gt;"",1,0)+IF(EG938&lt;&gt;"",1,0)+IF(EH938&lt;&gt;"",1,0)</f>
        <v/>
      </c>
      <c r="AZ938">
        <f>IF(EH938&lt;&gt;"",1,0)</f>
        <v/>
      </c>
      <c r="BB938" t="inlineStr">
        <is>
          <t>WARREN-WARD 4</t>
        </is>
      </c>
      <c r="DX938" t="inlineStr">
        <is>
          <t>X</t>
        </is>
      </c>
      <c r="EA938" t="inlineStr">
        <is>
          <t>X</t>
        </is>
      </c>
      <c r="ED938" t="inlineStr">
        <is>
          <t>D</t>
        </is>
      </c>
      <c r="EF938" t="inlineStr">
        <is>
          <t>X</t>
        </is>
      </c>
    </row>
    <row r="939">
      <c r="A939" t="inlineStr">
        <is>
          <t>OH0015909238</t>
        </is>
      </c>
      <c r="B939" t="n">
        <v>78</v>
      </c>
      <c r="C939" t="n">
        <v>334383</v>
      </c>
      <c r="D939" t="inlineStr">
        <is>
          <t>FRANCIS</t>
        </is>
      </c>
      <c r="E939" t="inlineStr">
        <is>
          <t>DANIELLA</t>
        </is>
      </c>
      <c r="F939">
        <f>CONCATENATE(D939," ",LEFT(H939,4),"T=",AU939,"D=",AV939,"R=",AW939,"M=",AX939,"L=",AY939,"B=",AZ939)</f>
        <v/>
      </c>
      <c r="G939" t="inlineStr">
        <is>
          <t>R</t>
        </is>
      </c>
      <c r="I939" t="inlineStr">
        <is>
          <t>1965-10-07</t>
        </is>
      </c>
      <c r="J939" t="inlineStr">
        <is>
          <t>2015-06-30</t>
        </is>
      </c>
      <c r="K939" t="inlineStr">
        <is>
          <t>CONFIRMATION</t>
        </is>
      </c>
      <c r="M939" t="inlineStr">
        <is>
          <t>742 LAIRD AVE SE</t>
        </is>
      </c>
      <c r="N939">
        <f>RIGHT(M939,LEN(M939)-FIND(" ",M939))</f>
        <v/>
      </c>
      <c r="P939" t="inlineStr">
        <is>
          <t>WARREN</t>
        </is>
      </c>
      <c r="Q939" t="inlineStr">
        <is>
          <t>OH</t>
        </is>
      </c>
      <c r="R939" t="n">
        <v>44484</v>
      </c>
      <c r="AD939" t="inlineStr">
        <is>
          <t>TRUMBULL CAREER &amp; TECH CENTER</t>
        </is>
      </c>
      <c r="AE939" t="inlineStr">
        <is>
          <t>WARREN CITY</t>
        </is>
      </c>
      <c r="AF939" t="inlineStr">
        <is>
          <t>WARREN CITY SD</t>
        </is>
      </c>
      <c r="AH939" t="n">
        <v>14</v>
      </c>
      <c r="AI939" t="n">
        <v>11</v>
      </c>
      <c r="AN939" t="inlineStr">
        <is>
          <t>WARREN</t>
        </is>
      </c>
      <c r="AO939" t="inlineStr">
        <is>
          <t>WARREN CITY 4A</t>
        </is>
      </c>
      <c r="AP939" t="inlineStr">
        <is>
          <t>78-P-ADI</t>
        </is>
      </c>
      <c r="AQ939" t="n">
        <v>9</v>
      </c>
      <c r="AR939" t="n">
        <v>64</v>
      </c>
      <c r="AS939" t="n">
        <v>32</v>
      </c>
      <c r="AU939">
        <f>COUNTA($BA$939:$EH$939)</f>
        <v/>
      </c>
      <c r="AV939">
        <f>COUNTIF($BA$939:$EH$939,"D")</f>
        <v/>
      </c>
      <c r="AW939">
        <f>COUNTIF($BA$939:$EH$939,"R")</f>
        <v/>
      </c>
      <c r="AX939">
        <f>IF(BN939="D",1,0)+IF(BO939="D",1,0)+IF(BT939="D",1,0)+IF(BU939="D",1,0)+IF(BW939="D",1,0)+IF(CC939="D",1,0)+IF(CD939="D",1,0)+IF(CE939="D",1,0)+IF(CF939="D",1,0)+IF(CL939="D",1,0)+IF(CM939="D",1,0)+IF(CQ939="D",1,0)+IF(CR939="D",1,0)+IF(CS939="D",1,0)+IF(CW939="D",1,0)+IF(CX939="D",1,0)+IF(DD939="D",1,0)+IF(DE939="D",1,0)+IF(DJ939="D",1,0)+IF(DK939="D",1,0)+IF(DO939="D",1,0)+IF(DP939="D",1,0)+IF(DQ939="D",1,0)+IF(DW939="D",1,0)+IF(DZ939="D",1,0)+IF(EH939="D",1,0)</f>
        <v/>
      </c>
      <c r="AY939">
        <f>IF(DJ939&lt;&gt;"",1,0)+IF(DK939&lt;&gt;"",1,0)+IF(DM939&lt;&gt;"",1,0)+IF(DO939&lt;&gt;"",1,0)+IF(DP939&lt;&gt;"",1,0)+IF(DQ939&lt;&gt;"",1,0)+IF(DS939&lt;&gt;"",1,0)+IF(DT939&lt;&gt;"",1,0)+IF(DV939&lt;&gt;"",1,0)+IF(DW939&lt;&gt;"",1,0)+IF(DX939&lt;&gt;"",1,0)+IF(DY939&lt;&gt;"",1,0)+IF(DZ939&lt;&gt;"",1,0)+IF(EB939&lt;&gt;"",1,0)+IF(EC939&lt;&gt;"",1,0)+IF(ED939&lt;&gt;"",1,0)+IF(EG939&lt;&gt;"",1,0)+IF(EH939&lt;&gt;"",1,0)</f>
        <v/>
      </c>
      <c r="AZ939">
        <f>IF(EH939&lt;&gt;"",1,0)</f>
        <v/>
      </c>
      <c r="BB939" t="inlineStr">
        <is>
          <t>WARREN-WARD 4</t>
        </is>
      </c>
    </row>
    <row r="940">
      <c r="A940" t="inlineStr">
        <is>
          <t>OH0023536915</t>
        </is>
      </c>
      <c r="B940" t="n">
        <v>78</v>
      </c>
      <c r="C940" t="n">
        <v>414438</v>
      </c>
      <c r="D940" t="inlineStr">
        <is>
          <t>YOCOLANO</t>
        </is>
      </c>
      <c r="E940" t="inlineStr">
        <is>
          <t>EUGENE</t>
        </is>
      </c>
      <c r="F940">
        <f>CONCATENATE(D940," ",LEFT(H940,4),"T=",AU940,"D=",AV940,"R=",AW940,"M=",AX940,"L=",AY940,"B=",AZ940)</f>
        <v/>
      </c>
      <c r="G940" t="inlineStr">
        <is>
          <t>D</t>
        </is>
      </c>
      <c r="I940" t="inlineStr">
        <is>
          <t>1948-02-27</t>
        </is>
      </c>
      <c r="J940" t="inlineStr">
        <is>
          <t>2016-02-16</t>
        </is>
      </c>
      <c r="K940" t="inlineStr">
        <is>
          <t>ACTIVE</t>
        </is>
      </c>
      <c r="L940" t="inlineStr">
        <is>
          <t>R</t>
        </is>
      </c>
      <c r="M940" t="inlineStr">
        <is>
          <t>617 WOODBINE AVE SE</t>
        </is>
      </c>
      <c r="N940">
        <f>RIGHT(M940,LEN(M940)-FIND(" ",M940))</f>
        <v/>
      </c>
      <c r="P940" t="inlineStr">
        <is>
          <t>WARREN</t>
        </is>
      </c>
      <c r="Q940" t="inlineStr">
        <is>
          <t>OH</t>
        </is>
      </c>
      <c r="R940" t="n">
        <v>44483</v>
      </c>
      <c r="AD940" t="inlineStr">
        <is>
          <t>TRUMBULL CAREER &amp; TECH CENTER</t>
        </is>
      </c>
      <c r="AE940" t="inlineStr">
        <is>
          <t>WARREN CITY</t>
        </is>
      </c>
      <c r="AF940" t="inlineStr">
        <is>
          <t>WARREN CITY SD</t>
        </is>
      </c>
      <c r="AH940" t="n">
        <v>14</v>
      </c>
      <c r="AI940" t="n">
        <v>11</v>
      </c>
      <c r="AN940" t="inlineStr">
        <is>
          <t>WARREN</t>
        </is>
      </c>
      <c r="AO940" t="inlineStr">
        <is>
          <t>WARREN CITY 4A</t>
        </is>
      </c>
      <c r="AP940" t="inlineStr">
        <is>
          <t>78-P-ADI</t>
        </is>
      </c>
      <c r="AQ940" t="n">
        <v>9</v>
      </c>
      <c r="AR940" t="n">
        <v>64</v>
      </c>
      <c r="AS940" t="n">
        <v>32</v>
      </c>
      <c r="AU940">
        <f>COUNTA($BA$940:$EH$940)</f>
        <v/>
      </c>
      <c r="AV940">
        <f>COUNTIF($BA$940:$EH$940,"D")</f>
        <v/>
      </c>
      <c r="AW940">
        <f>COUNTIF($BA$940:$EH$940,"R")</f>
        <v/>
      </c>
      <c r="AX940">
        <f>IF(BN940="D",1,0)+IF(BO940="D",1,0)+IF(BT940="D",1,0)+IF(BU940="D",1,0)+IF(BW940="D",1,0)+IF(CC940="D",1,0)+IF(CD940="D",1,0)+IF(CE940="D",1,0)+IF(CF940="D",1,0)+IF(CL940="D",1,0)+IF(CM940="D",1,0)+IF(CQ940="D",1,0)+IF(CR940="D",1,0)+IF(CS940="D",1,0)+IF(CW940="D",1,0)+IF(CX940="D",1,0)+IF(DD940="D",1,0)+IF(DE940="D",1,0)+IF(DJ940="D",1,0)+IF(DK940="D",1,0)+IF(DO940="D",1,0)+IF(DP940="D",1,0)+IF(DQ940="D",1,0)+IF(DW940="D",1,0)+IF(DZ940="D",1,0)+IF(EH940="D",1,0)</f>
        <v/>
      </c>
      <c r="AY940">
        <f>IF(DJ940&lt;&gt;"",1,0)+IF(DK940&lt;&gt;"",1,0)+IF(DM940&lt;&gt;"",1,0)+IF(DO940&lt;&gt;"",1,0)+IF(DP940&lt;&gt;"",1,0)+IF(DQ940&lt;&gt;"",1,0)+IF(DS940&lt;&gt;"",1,0)+IF(DT940&lt;&gt;"",1,0)+IF(DV940&lt;&gt;"",1,0)+IF(DW940&lt;&gt;"",1,0)+IF(DX940&lt;&gt;"",1,0)+IF(DY940&lt;&gt;"",1,0)+IF(DZ940&lt;&gt;"",1,0)+IF(EB940&lt;&gt;"",1,0)+IF(EC940&lt;&gt;"",1,0)+IF(ED940&lt;&gt;"",1,0)+IF(EG940&lt;&gt;"",1,0)+IF(EH940&lt;&gt;"",1,0)</f>
        <v/>
      </c>
      <c r="AZ940">
        <f>IF(EH940&lt;&gt;"",1,0)</f>
        <v/>
      </c>
      <c r="BB940" t="inlineStr">
        <is>
          <t>WARREN-WARD 4</t>
        </is>
      </c>
      <c r="CZ940" t="inlineStr">
        <is>
          <t>R</t>
        </is>
      </c>
      <c r="DC940" t="inlineStr">
        <is>
          <t>X</t>
        </is>
      </c>
      <c r="DG940" t="inlineStr">
        <is>
          <t>R</t>
        </is>
      </c>
      <c r="DI940" t="inlineStr">
        <is>
          <t>X</t>
        </is>
      </c>
      <c r="DM940" t="inlineStr">
        <is>
          <t>R</t>
        </is>
      </c>
      <c r="DN940" t="inlineStr">
        <is>
          <t>X</t>
        </is>
      </c>
      <c r="DS940" t="inlineStr">
        <is>
          <t>R</t>
        </is>
      </c>
      <c r="DU940" t="inlineStr">
        <is>
          <t>X</t>
        </is>
      </c>
      <c r="DX940" t="inlineStr">
        <is>
          <t>X</t>
        </is>
      </c>
      <c r="ED940" t="inlineStr">
        <is>
          <t>R</t>
        </is>
      </c>
      <c r="EF940" t="inlineStr">
        <is>
          <t>X</t>
        </is>
      </c>
    </row>
    <row r="941">
      <c r="A941" t="inlineStr">
        <is>
          <t>OH0022007478</t>
        </is>
      </c>
      <c r="B941" t="n">
        <v>78</v>
      </c>
      <c r="C941" t="n">
        <v>390076</v>
      </c>
      <c r="D941" t="inlineStr">
        <is>
          <t>TROWERY</t>
        </is>
      </c>
      <c r="E941" t="inlineStr">
        <is>
          <t>TASHIA</t>
        </is>
      </c>
      <c r="F941">
        <f>CONCATENATE(D941," ",LEFT(H941,4),"T=",AU941,"D=",AV941,"R=",AW941,"M=",AX941,"L=",AY941,"B=",AZ941)</f>
        <v/>
      </c>
      <c r="G941" t="inlineStr">
        <is>
          <t>M</t>
        </is>
      </c>
      <c r="I941" t="inlineStr">
        <is>
          <t>1977-10-31</t>
        </is>
      </c>
      <c r="J941" t="inlineStr">
        <is>
          <t>2020-09-22</t>
        </is>
      </c>
      <c r="K941" t="inlineStr">
        <is>
          <t>ACTIVE</t>
        </is>
      </c>
      <c r="M941" t="inlineStr">
        <is>
          <t>306 IDDINGS AVE SE</t>
        </is>
      </c>
      <c r="N941">
        <f>RIGHT(M941,LEN(M941)-FIND(" ",M941))</f>
        <v/>
      </c>
      <c r="P941" t="inlineStr">
        <is>
          <t>WARREN</t>
        </is>
      </c>
      <c r="Q941" t="inlineStr">
        <is>
          <t>OH</t>
        </is>
      </c>
      <c r="R941" t="n">
        <v>44483</v>
      </c>
      <c r="AD941" t="inlineStr">
        <is>
          <t>TRUMBULL CAREER &amp; TECH CENTER</t>
        </is>
      </c>
      <c r="AE941" t="inlineStr">
        <is>
          <t>WARREN CITY</t>
        </is>
      </c>
      <c r="AF941" t="inlineStr">
        <is>
          <t>WARREN CITY SD</t>
        </is>
      </c>
      <c r="AH941" t="n">
        <v>14</v>
      </c>
      <c r="AI941" t="n">
        <v>11</v>
      </c>
      <c r="AN941" t="inlineStr">
        <is>
          <t>WARREN</t>
        </is>
      </c>
      <c r="AO941" t="inlineStr">
        <is>
          <t>WARREN CITY 4A</t>
        </is>
      </c>
      <c r="AP941" t="inlineStr">
        <is>
          <t>78-P-ADI</t>
        </is>
      </c>
      <c r="AQ941" t="n">
        <v>9</v>
      </c>
      <c r="AR941" t="n">
        <v>64</v>
      </c>
      <c r="AS941" t="n">
        <v>32</v>
      </c>
      <c r="AU941">
        <f>COUNTA($BA$941:$EH$941)</f>
        <v/>
      </c>
      <c r="AV941">
        <f>COUNTIF($BA$941:$EH$941,"D")</f>
        <v/>
      </c>
      <c r="AW941">
        <f>COUNTIF($BA$941:$EH$941,"R")</f>
        <v/>
      </c>
      <c r="AX941">
        <f>IF(BN941="D",1,0)+IF(BO941="D",1,0)+IF(BT941="D",1,0)+IF(BU941="D",1,0)+IF(BW941="D",1,0)+IF(CC941="D",1,0)+IF(CD941="D",1,0)+IF(CE941="D",1,0)+IF(CF941="D",1,0)+IF(CL941="D",1,0)+IF(CM941="D",1,0)+IF(CQ941="D",1,0)+IF(CR941="D",1,0)+IF(CS941="D",1,0)+IF(CW941="D",1,0)+IF(CX941="D",1,0)+IF(DD941="D",1,0)+IF(DE941="D",1,0)+IF(DJ941="D",1,0)+IF(DK941="D",1,0)+IF(DO941="D",1,0)+IF(DP941="D",1,0)+IF(DQ941="D",1,0)+IF(DW941="D",1,0)+IF(DZ941="D",1,0)+IF(EH941="D",1,0)</f>
        <v/>
      </c>
      <c r="AY941">
        <f>IF(DJ941&lt;&gt;"",1,0)+IF(DK941&lt;&gt;"",1,0)+IF(DM941&lt;&gt;"",1,0)+IF(DO941&lt;&gt;"",1,0)+IF(DP941&lt;&gt;"",1,0)+IF(DQ941&lt;&gt;"",1,0)+IF(DS941&lt;&gt;"",1,0)+IF(DT941&lt;&gt;"",1,0)+IF(DV941&lt;&gt;"",1,0)+IF(DW941&lt;&gt;"",1,0)+IF(DX941&lt;&gt;"",1,0)+IF(DY941&lt;&gt;"",1,0)+IF(DZ941&lt;&gt;"",1,0)+IF(EB941&lt;&gt;"",1,0)+IF(EC941&lt;&gt;"",1,0)+IF(ED941&lt;&gt;"",1,0)+IF(EG941&lt;&gt;"",1,0)+IF(EH941&lt;&gt;"",1,0)</f>
        <v/>
      </c>
      <c r="AZ941">
        <f>IF(EH941&lt;&gt;"",1,0)</f>
        <v/>
      </c>
      <c r="BB941" t="inlineStr">
        <is>
          <t>WARREN-WARD 4</t>
        </is>
      </c>
      <c r="CP941" t="inlineStr">
        <is>
          <t>X</t>
        </is>
      </c>
      <c r="CY941" t="inlineStr">
        <is>
          <t>X</t>
        </is>
      </c>
      <c r="CZ941" t="inlineStr">
        <is>
          <t>D</t>
        </is>
      </c>
      <c r="DC941" t="inlineStr">
        <is>
          <t>X</t>
        </is>
      </c>
      <c r="DN941" t="inlineStr">
        <is>
          <t>X</t>
        </is>
      </c>
      <c r="DU941" t="inlineStr">
        <is>
          <t>X</t>
        </is>
      </c>
      <c r="DX941" t="inlineStr">
        <is>
          <t>X</t>
        </is>
      </c>
      <c r="EF941" t="inlineStr">
        <is>
          <t>X</t>
        </is>
      </c>
    </row>
    <row r="942">
      <c r="A942" t="inlineStr">
        <is>
          <t>OH0018670417</t>
        </is>
      </c>
      <c r="B942" t="n">
        <v>78</v>
      </c>
      <c r="C942" t="n">
        <v>342427</v>
      </c>
      <c r="D942" t="inlineStr">
        <is>
          <t>TENNEY</t>
        </is>
      </c>
      <c r="E942" t="inlineStr">
        <is>
          <t>KATHY</t>
        </is>
      </c>
      <c r="F942">
        <f>CONCATENATE(D942," ",LEFT(H942,4),"T=",AU942,"D=",AV942,"R=",AW942,"M=",AX942,"L=",AY942,"B=",AZ942)</f>
        <v/>
      </c>
      <c r="G942" t="inlineStr">
        <is>
          <t>LOUISE</t>
        </is>
      </c>
      <c r="I942" t="inlineStr">
        <is>
          <t>1987-10-11</t>
        </is>
      </c>
      <c r="J942" t="inlineStr">
        <is>
          <t>2019-12-17</t>
        </is>
      </c>
      <c r="K942" t="inlineStr">
        <is>
          <t>CONFIRMATION</t>
        </is>
      </c>
      <c r="M942" t="inlineStr">
        <is>
          <t>720 BONNIE BRAE AVE SE</t>
        </is>
      </c>
      <c r="N942">
        <f>RIGHT(M942,LEN(M942)-FIND(" ",M942))</f>
        <v/>
      </c>
      <c r="P942" t="inlineStr">
        <is>
          <t>WARREN</t>
        </is>
      </c>
      <c r="Q942" t="inlineStr">
        <is>
          <t>OH</t>
        </is>
      </c>
      <c r="R942" t="n">
        <v>44484</v>
      </c>
      <c r="AD942" t="inlineStr">
        <is>
          <t>TRUMBULL CAREER &amp; TECH CENTER</t>
        </is>
      </c>
      <c r="AE942" t="inlineStr">
        <is>
          <t>WARREN CITY</t>
        </is>
      </c>
      <c r="AF942" t="inlineStr">
        <is>
          <t>WARREN CITY SD</t>
        </is>
      </c>
      <c r="AH942" t="n">
        <v>14</v>
      </c>
      <c r="AI942" t="n">
        <v>11</v>
      </c>
      <c r="AN942" t="inlineStr">
        <is>
          <t>WARREN</t>
        </is>
      </c>
      <c r="AO942" t="inlineStr">
        <is>
          <t>WARREN CITY 4A</t>
        </is>
      </c>
      <c r="AP942" t="inlineStr">
        <is>
          <t>78-P-ADI</t>
        </is>
      </c>
      <c r="AQ942" t="n">
        <v>9</v>
      </c>
      <c r="AR942" t="n">
        <v>64</v>
      </c>
      <c r="AS942" t="n">
        <v>32</v>
      </c>
      <c r="AU942">
        <f>COUNTA($BA$942:$EH$942)</f>
        <v/>
      </c>
      <c r="AV942">
        <f>COUNTIF($BA$942:$EH$942,"D")</f>
        <v/>
      </c>
      <c r="AW942">
        <f>COUNTIF($BA$942:$EH$942,"R")</f>
        <v/>
      </c>
      <c r="AX942">
        <f>IF(BN942="D",1,0)+IF(BO942="D",1,0)+IF(BT942="D",1,0)+IF(BU942="D",1,0)+IF(BW942="D",1,0)+IF(CC942="D",1,0)+IF(CD942="D",1,0)+IF(CE942="D",1,0)+IF(CF942="D",1,0)+IF(CL942="D",1,0)+IF(CM942="D",1,0)+IF(CQ942="D",1,0)+IF(CR942="D",1,0)+IF(CS942="D",1,0)+IF(CW942="D",1,0)+IF(CX942="D",1,0)+IF(DD942="D",1,0)+IF(DE942="D",1,0)+IF(DJ942="D",1,0)+IF(DK942="D",1,0)+IF(DO942="D",1,0)+IF(DP942="D",1,0)+IF(DQ942="D",1,0)+IF(DW942="D",1,0)+IF(DZ942="D",1,0)+IF(EH942="D",1,0)</f>
        <v/>
      </c>
      <c r="AY942">
        <f>IF(DJ942&lt;&gt;"",1,0)+IF(DK942&lt;&gt;"",1,0)+IF(DM942&lt;&gt;"",1,0)+IF(DO942&lt;&gt;"",1,0)+IF(DP942&lt;&gt;"",1,0)+IF(DQ942&lt;&gt;"",1,0)+IF(DS942&lt;&gt;"",1,0)+IF(DT942&lt;&gt;"",1,0)+IF(DV942&lt;&gt;"",1,0)+IF(DW942&lt;&gt;"",1,0)+IF(DX942&lt;&gt;"",1,0)+IF(DY942&lt;&gt;"",1,0)+IF(DZ942&lt;&gt;"",1,0)+IF(EB942&lt;&gt;"",1,0)+IF(EC942&lt;&gt;"",1,0)+IF(ED942&lt;&gt;"",1,0)+IF(EG942&lt;&gt;"",1,0)+IF(EH942&lt;&gt;"",1,0)</f>
        <v/>
      </c>
      <c r="AZ942">
        <f>IF(EH942&lt;&gt;"",1,0)</f>
        <v/>
      </c>
      <c r="BB942" t="inlineStr">
        <is>
          <t>WARREN-WARD 4</t>
        </is>
      </c>
      <c r="CP942" t="inlineStr">
        <is>
          <t>X</t>
        </is>
      </c>
    </row>
    <row r="943">
      <c r="A943" t="inlineStr">
        <is>
          <t>OH0024479236</t>
        </is>
      </c>
      <c r="B943" t="n">
        <v>78</v>
      </c>
      <c r="C943" t="n">
        <v>429092</v>
      </c>
      <c r="D943" t="inlineStr">
        <is>
          <t>MILLER</t>
        </is>
      </c>
      <c r="E943" t="inlineStr">
        <is>
          <t>TAMMY</t>
        </is>
      </c>
      <c r="F943">
        <f>CONCATENATE(D943," ",LEFT(H943,4),"T=",AU943,"D=",AV943,"R=",AW943,"M=",AX943,"L=",AY943,"B=",AZ943)</f>
        <v/>
      </c>
      <c r="G943" t="inlineStr">
        <is>
          <t>R</t>
        </is>
      </c>
      <c r="I943" t="inlineStr">
        <is>
          <t>1964-01-08</t>
        </is>
      </c>
      <c r="J943" t="inlineStr">
        <is>
          <t>2024-11-03</t>
        </is>
      </c>
      <c r="K943" t="inlineStr">
        <is>
          <t>ACTIVE</t>
        </is>
      </c>
      <c r="M943" t="inlineStr">
        <is>
          <t>344 BONNIE BRAE AVE SE</t>
        </is>
      </c>
      <c r="N943">
        <f>RIGHT(M943,LEN(M943)-FIND(" ",M943))</f>
        <v/>
      </c>
      <c r="P943" t="inlineStr">
        <is>
          <t>WARREN</t>
        </is>
      </c>
      <c r="Q943" t="inlineStr">
        <is>
          <t>OH</t>
        </is>
      </c>
      <c r="R943" t="n">
        <v>44484</v>
      </c>
      <c r="AD943" t="inlineStr">
        <is>
          <t>TRUMBULL CAREER &amp; TECH CENTER</t>
        </is>
      </c>
      <c r="AE943" t="inlineStr">
        <is>
          <t>WARREN CITY</t>
        </is>
      </c>
      <c r="AF943" t="inlineStr">
        <is>
          <t>WARREN CITY SD</t>
        </is>
      </c>
      <c r="AH943" t="n">
        <v>14</v>
      </c>
      <c r="AI943" t="n">
        <v>11</v>
      </c>
      <c r="AN943" t="inlineStr">
        <is>
          <t>WARREN</t>
        </is>
      </c>
      <c r="AO943" t="inlineStr">
        <is>
          <t>WARREN CITY 4A</t>
        </is>
      </c>
      <c r="AP943" t="inlineStr">
        <is>
          <t>78-P-ADI</t>
        </is>
      </c>
      <c r="AQ943" t="n">
        <v>9</v>
      </c>
      <c r="AR943" t="n">
        <v>64</v>
      </c>
      <c r="AS943" t="n">
        <v>32</v>
      </c>
      <c r="AU943">
        <f>COUNTA($BA$943:$EH$943)</f>
        <v/>
      </c>
      <c r="AV943">
        <f>COUNTIF($BA$943:$EH$943,"D")</f>
        <v/>
      </c>
      <c r="AW943">
        <f>COUNTIF($BA$943:$EH$943,"R")</f>
        <v/>
      </c>
      <c r="AX943">
        <f>IF(BN943="D",1,0)+IF(BO943="D",1,0)+IF(BT943="D",1,0)+IF(BU943="D",1,0)+IF(BW943="D",1,0)+IF(CC943="D",1,0)+IF(CD943="D",1,0)+IF(CE943="D",1,0)+IF(CF943="D",1,0)+IF(CL943="D",1,0)+IF(CM943="D",1,0)+IF(CQ943="D",1,0)+IF(CR943="D",1,0)+IF(CS943="D",1,0)+IF(CW943="D",1,0)+IF(CX943="D",1,0)+IF(DD943="D",1,0)+IF(DE943="D",1,0)+IF(DJ943="D",1,0)+IF(DK943="D",1,0)+IF(DO943="D",1,0)+IF(DP943="D",1,0)+IF(DQ943="D",1,0)+IF(DW943="D",1,0)+IF(DZ943="D",1,0)+IF(EH943="D",1,0)</f>
        <v/>
      </c>
      <c r="AY943">
        <f>IF(DJ943&lt;&gt;"",1,0)+IF(DK943&lt;&gt;"",1,0)+IF(DM943&lt;&gt;"",1,0)+IF(DO943&lt;&gt;"",1,0)+IF(DP943&lt;&gt;"",1,0)+IF(DQ943&lt;&gt;"",1,0)+IF(DS943&lt;&gt;"",1,0)+IF(DT943&lt;&gt;"",1,0)+IF(DV943&lt;&gt;"",1,0)+IF(DW943&lt;&gt;"",1,0)+IF(DX943&lt;&gt;"",1,0)+IF(DY943&lt;&gt;"",1,0)+IF(DZ943&lt;&gt;"",1,0)+IF(EB943&lt;&gt;"",1,0)+IF(EC943&lt;&gt;"",1,0)+IF(ED943&lt;&gt;"",1,0)+IF(EG943&lt;&gt;"",1,0)+IF(EH943&lt;&gt;"",1,0)</f>
        <v/>
      </c>
      <c r="AZ943">
        <f>IF(EH943&lt;&gt;"",1,0)</f>
        <v/>
      </c>
      <c r="BB943" t="inlineStr">
        <is>
          <t>WARREN-WARD 4</t>
        </is>
      </c>
      <c r="DI943" t="inlineStr">
        <is>
          <t>X</t>
        </is>
      </c>
      <c r="DN943" t="inlineStr">
        <is>
          <t>X</t>
        </is>
      </c>
    </row>
    <row r="944">
      <c r="A944" t="inlineStr">
        <is>
          <t>OH0023641562</t>
        </is>
      </c>
      <c r="B944" t="n">
        <v>78</v>
      </c>
      <c r="C944" t="n">
        <v>415683</v>
      </c>
      <c r="D944" t="inlineStr">
        <is>
          <t>OHANESSIAN</t>
        </is>
      </c>
      <c r="E944" t="inlineStr">
        <is>
          <t>MICHAEL</t>
        </is>
      </c>
      <c r="F944">
        <f>CONCATENATE(D944," ",LEFT(H944,4),"T=",AU944,"D=",AV944,"R=",AW944,"M=",AX944,"L=",AY944,"B=",AZ944)</f>
        <v/>
      </c>
      <c r="G944" t="inlineStr">
        <is>
          <t>S</t>
        </is>
      </c>
      <c r="I944" t="inlineStr">
        <is>
          <t>1971-11-05</t>
        </is>
      </c>
      <c r="J944" t="inlineStr">
        <is>
          <t>2021-12-02</t>
        </is>
      </c>
      <c r="K944" t="inlineStr">
        <is>
          <t>CONFIRMATION</t>
        </is>
      </c>
      <c r="M944" t="inlineStr">
        <is>
          <t>398 KENILWORTH AVE SE</t>
        </is>
      </c>
      <c r="N944">
        <f>RIGHT(M944,LEN(M944)-FIND(" ",M944))</f>
        <v/>
      </c>
      <c r="P944" t="inlineStr">
        <is>
          <t>WARREN</t>
        </is>
      </c>
      <c r="Q944" t="inlineStr">
        <is>
          <t>OH</t>
        </is>
      </c>
      <c r="R944" t="n">
        <v>44483</v>
      </c>
      <c r="AD944" t="inlineStr">
        <is>
          <t>TRUMBULL CAREER &amp; TECH CENTER</t>
        </is>
      </c>
      <c r="AE944" t="inlineStr">
        <is>
          <t>WARREN CITY</t>
        </is>
      </c>
      <c r="AF944" t="inlineStr">
        <is>
          <t>WARREN CITY SD</t>
        </is>
      </c>
      <c r="AH944" t="n">
        <v>14</v>
      </c>
      <c r="AI944" t="n">
        <v>11</v>
      </c>
      <c r="AN944" t="inlineStr">
        <is>
          <t>WARREN</t>
        </is>
      </c>
      <c r="AO944" t="inlineStr">
        <is>
          <t>WARREN CITY 4A</t>
        </is>
      </c>
      <c r="AP944" t="inlineStr">
        <is>
          <t>78-P-ADI</t>
        </is>
      </c>
      <c r="AQ944" t="n">
        <v>9</v>
      </c>
      <c r="AR944" t="n">
        <v>64</v>
      </c>
      <c r="AS944" t="n">
        <v>32</v>
      </c>
      <c r="AU944">
        <f>COUNTA($BA$944:$EH$944)</f>
        <v/>
      </c>
      <c r="AV944">
        <f>COUNTIF($BA$944:$EH$944,"D")</f>
        <v/>
      </c>
      <c r="AW944">
        <f>COUNTIF($BA$944:$EH$944,"R")</f>
        <v/>
      </c>
      <c r="AX944">
        <f>IF(BN944="D",1,0)+IF(BO944="D",1,0)+IF(BT944="D",1,0)+IF(BU944="D",1,0)+IF(BW944="D",1,0)+IF(CC944="D",1,0)+IF(CD944="D",1,0)+IF(CE944="D",1,0)+IF(CF944="D",1,0)+IF(CL944="D",1,0)+IF(CM944="D",1,0)+IF(CQ944="D",1,0)+IF(CR944="D",1,0)+IF(CS944="D",1,0)+IF(CW944="D",1,0)+IF(CX944="D",1,0)+IF(DD944="D",1,0)+IF(DE944="D",1,0)+IF(DJ944="D",1,0)+IF(DK944="D",1,0)+IF(DO944="D",1,0)+IF(DP944="D",1,0)+IF(DQ944="D",1,0)+IF(DW944="D",1,0)+IF(DZ944="D",1,0)+IF(EH944="D",1,0)</f>
        <v/>
      </c>
      <c r="AY944">
        <f>IF(DJ944&lt;&gt;"",1,0)+IF(DK944&lt;&gt;"",1,0)+IF(DM944&lt;&gt;"",1,0)+IF(DO944&lt;&gt;"",1,0)+IF(DP944&lt;&gt;"",1,0)+IF(DQ944&lt;&gt;"",1,0)+IF(DS944&lt;&gt;"",1,0)+IF(DT944&lt;&gt;"",1,0)+IF(DV944&lt;&gt;"",1,0)+IF(DW944&lt;&gt;"",1,0)+IF(DX944&lt;&gt;"",1,0)+IF(DY944&lt;&gt;"",1,0)+IF(DZ944&lt;&gt;"",1,0)+IF(EB944&lt;&gt;"",1,0)+IF(EC944&lt;&gt;"",1,0)+IF(ED944&lt;&gt;"",1,0)+IF(EG944&lt;&gt;"",1,0)+IF(EH944&lt;&gt;"",1,0)</f>
        <v/>
      </c>
      <c r="AZ944">
        <f>IF(EH944&lt;&gt;"",1,0)</f>
        <v/>
      </c>
      <c r="BB944" t="inlineStr">
        <is>
          <t>WARREN-WARD 4</t>
        </is>
      </c>
    </row>
    <row r="945">
      <c r="A945" t="inlineStr">
        <is>
          <t>OH0020323458</t>
        </is>
      </c>
      <c r="B945" t="n">
        <v>78</v>
      </c>
      <c r="C945" t="n">
        <v>366473</v>
      </c>
      <c r="D945" t="inlineStr">
        <is>
          <t>FOLK</t>
        </is>
      </c>
      <c r="E945" t="inlineStr">
        <is>
          <t>JACOB</t>
        </is>
      </c>
      <c r="F945">
        <f>CONCATENATE(D945," ",LEFT(H945,4),"T=",AU945,"D=",AV945,"R=",AW945,"M=",AX945,"L=",AY945,"B=",AZ945)</f>
        <v/>
      </c>
      <c r="G945" t="inlineStr">
        <is>
          <t>M</t>
        </is>
      </c>
      <c r="I945" t="inlineStr">
        <is>
          <t>1987-09-13</t>
        </is>
      </c>
      <c r="J945" t="inlineStr">
        <is>
          <t>2024-06-29</t>
        </is>
      </c>
      <c r="K945" t="inlineStr">
        <is>
          <t>ACTIVE</t>
        </is>
      </c>
      <c r="M945" t="inlineStr">
        <is>
          <t>1233 SOUTH ST SE</t>
        </is>
      </c>
      <c r="N945">
        <f>RIGHT(M945,LEN(M945)-FIND(" ",M945))</f>
        <v/>
      </c>
      <c r="P945" t="inlineStr">
        <is>
          <t>WARREN</t>
        </is>
      </c>
      <c r="Q945" t="inlineStr">
        <is>
          <t>OH</t>
        </is>
      </c>
      <c r="R945" t="n">
        <v>44483</v>
      </c>
      <c r="AD945" t="inlineStr">
        <is>
          <t>TRUMBULL CAREER &amp; TECH CENTER</t>
        </is>
      </c>
      <c r="AE945" t="inlineStr">
        <is>
          <t>WARREN CITY</t>
        </is>
      </c>
      <c r="AF945" t="inlineStr">
        <is>
          <t>WARREN CITY SD</t>
        </is>
      </c>
      <c r="AH945" t="n">
        <v>14</v>
      </c>
      <c r="AI945" t="n">
        <v>11</v>
      </c>
      <c r="AN945" t="inlineStr">
        <is>
          <t>WARREN</t>
        </is>
      </c>
      <c r="AO945" t="inlineStr">
        <is>
          <t>WARREN CITY 4A</t>
        </is>
      </c>
      <c r="AP945" t="inlineStr">
        <is>
          <t>78-P-ADI</t>
        </is>
      </c>
      <c r="AQ945" t="n">
        <v>9</v>
      </c>
      <c r="AR945" t="n">
        <v>64</v>
      </c>
      <c r="AS945" t="n">
        <v>32</v>
      </c>
      <c r="AU945">
        <f>COUNTA($BA$945:$EH$945)</f>
        <v/>
      </c>
      <c r="AV945">
        <f>COUNTIF($BA$945:$EH$945,"D")</f>
        <v/>
      </c>
      <c r="AW945">
        <f>COUNTIF($BA$945:$EH$945,"R")</f>
        <v/>
      </c>
      <c r="AX945">
        <f>IF(BN945="D",1,0)+IF(BO945="D",1,0)+IF(BT945="D",1,0)+IF(BU945="D",1,0)+IF(BW945="D",1,0)+IF(CC945="D",1,0)+IF(CD945="D",1,0)+IF(CE945="D",1,0)+IF(CF945="D",1,0)+IF(CL945="D",1,0)+IF(CM945="D",1,0)+IF(CQ945="D",1,0)+IF(CR945="D",1,0)+IF(CS945="D",1,0)+IF(CW945="D",1,0)+IF(CX945="D",1,0)+IF(DD945="D",1,0)+IF(DE945="D",1,0)+IF(DJ945="D",1,0)+IF(DK945="D",1,0)+IF(DO945="D",1,0)+IF(DP945="D",1,0)+IF(DQ945="D",1,0)+IF(DW945="D",1,0)+IF(DZ945="D",1,0)+IF(EH945="D",1,0)</f>
        <v/>
      </c>
      <c r="AY945">
        <f>IF(DJ945&lt;&gt;"",1,0)+IF(DK945&lt;&gt;"",1,0)+IF(DM945&lt;&gt;"",1,0)+IF(DO945&lt;&gt;"",1,0)+IF(DP945&lt;&gt;"",1,0)+IF(DQ945&lt;&gt;"",1,0)+IF(DS945&lt;&gt;"",1,0)+IF(DT945&lt;&gt;"",1,0)+IF(DV945&lt;&gt;"",1,0)+IF(DW945&lt;&gt;"",1,0)+IF(DX945&lt;&gt;"",1,0)+IF(DY945&lt;&gt;"",1,0)+IF(DZ945&lt;&gt;"",1,0)+IF(EB945&lt;&gt;"",1,0)+IF(EC945&lt;&gt;"",1,0)+IF(ED945&lt;&gt;"",1,0)+IF(EG945&lt;&gt;"",1,0)+IF(EH945&lt;&gt;"",1,0)</f>
        <v/>
      </c>
      <c r="AZ945">
        <f>IF(EH945&lt;&gt;"",1,0)</f>
        <v/>
      </c>
      <c r="BB945" t="inlineStr">
        <is>
          <t>WARREN-WARD 4</t>
        </is>
      </c>
      <c r="CA945" t="inlineStr">
        <is>
          <t>X</t>
        </is>
      </c>
      <c r="CP945" t="inlineStr">
        <is>
          <t>X</t>
        </is>
      </c>
      <c r="CY945" t="inlineStr">
        <is>
          <t>X</t>
        </is>
      </c>
    </row>
    <row r="946">
      <c r="A946" t="inlineStr">
        <is>
          <t>OH0015686611</t>
        </is>
      </c>
      <c r="B946" t="n">
        <v>78</v>
      </c>
      <c r="C946" t="n">
        <v>325382</v>
      </c>
      <c r="D946" t="inlineStr">
        <is>
          <t>SULLIVAN</t>
        </is>
      </c>
      <c r="E946" t="inlineStr">
        <is>
          <t>DEBORA</t>
        </is>
      </c>
      <c r="F946">
        <f>CONCATENATE(D946," ",LEFT(H946,4),"T=",AU946,"D=",AV946,"R=",AW946,"M=",AX946,"L=",AY946,"B=",AZ946)</f>
        <v/>
      </c>
      <c r="G946" t="inlineStr">
        <is>
          <t>A</t>
        </is>
      </c>
      <c r="I946" t="inlineStr">
        <is>
          <t>1958-09-09</t>
        </is>
      </c>
      <c r="J946" t="inlineStr">
        <is>
          <t>2016-06-22</t>
        </is>
      </c>
      <c r="K946" t="inlineStr">
        <is>
          <t>CONFIRMATION</t>
        </is>
      </c>
      <c r="M946" t="inlineStr">
        <is>
          <t>236 LAIRD AVE SE</t>
        </is>
      </c>
      <c r="N946">
        <f>RIGHT(M946,LEN(M946)-FIND(" ",M946))</f>
        <v/>
      </c>
      <c r="P946" t="inlineStr">
        <is>
          <t>WARREN</t>
        </is>
      </c>
      <c r="Q946" t="inlineStr">
        <is>
          <t>OH</t>
        </is>
      </c>
      <c r="R946" t="n">
        <v>44483</v>
      </c>
      <c r="AD946" t="inlineStr">
        <is>
          <t>TRUMBULL CAREER &amp; TECH CENTER</t>
        </is>
      </c>
      <c r="AE946" t="inlineStr">
        <is>
          <t>WARREN CITY</t>
        </is>
      </c>
      <c r="AF946" t="inlineStr">
        <is>
          <t>WARREN CITY SD</t>
        </is>
      </c>
      <c r="AH946" t="n">
        <v>14</v>
      </c>
      <c r="AI946" t="n">
        <v>11</v>
      </c>
      <c r="AN946" t="inlineStr">
        <is>
          <t>WARREN</t>
        </is>
      </c>
      <c r="AO946" t="inlineStr">
        <is>
          <t>WARREN CITY 4A</t>
        </is>
      </c>
      <c r="AP946" t="inlineStr">
        <is>
          <t>78-P-ADI</t>
        </is>
      </c>
      <c r="AQ946" t="n">
        <v>9</v>
      </c>
      <c r="AR946" t="n">
        <v>64</v>
      </c>
      <c r="AS946" t="n">
        <v>32</v>
      </c>
      <c r="AU946">
        <f>COUNTA($BA$946:$EH$946)</f>
        <v/>
      </c>
      <c r="AV946">
        <f>COUNTIF($BA$946:$EH$946,"D")</f>
        <v/>
      </c>
      <c r="AW946">
        <f>COUNTIF($BA$946:$EH$946,"R")</f>
        <v/>
      </c>
      <c r="AX946">
        <f>IF(BN946="D",1,0)+IF(BO946="D",1,0)+IF(BT946="D",1,0)+IF(BU946="D",1,0)+IF(BW946="D",1,0)+IF(CC946="D",1,0)+IF(CD946="D",1,0)+IF(CE946="D",1,0)+IF(CF946="D",1,0)+IF(CL946="D",1,0)+IF(CM946="D",1,0)+IF(CQ946="D",1,0)+IF(CR946="D",1,0)+IF(CS946="D",1,0)+IF(CW946="D",1,0)+IF(CX946="D",1,0)+IF(DD946="D",1,0)+IF(DE946="D",1,0)+IF(DJ946="D",1,0)+IF(DK946="D",1,0)+IF(DO946="D",1,0)+IF(DP946="D",1,0)+IF(DQ946="D",1,0)+IF(DW946="D",1,0)+IF(DZ946="D",1,0)+IF(EH946="D",1,0)</f>
        <v/>
      </c>
      <c r="AY946">
        <f>IF(DJ946&lt;&gt;"",1,0)+IF(DK946&lt;&gt;"",1,0)+IF(DM946&lt;&gt;"",1,0)+IF(DO946&lt;&gt;"",1,0)+IF(DP946&lt;&gt;"",1,0)+IF(DQ946&lt;&gt;"",1,0)+IF(DS946&lt;&gt;"",1,0)+IF(DT946&lt;&gt;"",1,0)+IF(DV946&lt;&gt;"",1,0)+IF(DW946&lt;&gt;"",1,0)+IF(DX946&lt;&gt;"",1,0)+IF(DY946&lt;&gt;"",1,0)+IF(DZ946&lt;&gt;"",1,0)+IF(EB946&lt;&gt;"",1,0)+IF(EC946&lt;&gt;"",1,0)+IF(ED946&lt;&gt;"",1,0)+IF(EG946&lt;&gt;"",1,0)+IF(EH946&lt;&gt;"",1,0)</f>
        <v/>
      </c>
      <c r="AZ946">
        <f>IF(EH946&lt;&gt;"",1,0)</f>
        <v/>
      </c>
      <c r="BB946" t="inlineStr">
        <is>
          <t>WARREN-WARD 4</t>
        </is>
      </c>
      <c r="BL946" t="inlineStr">
        <is>
          <t>X</t>
        </is>
      </c>
      <c r="CA946" t="inlineStr">
        <is>
          <t>X</t>
        </is>
      </c>
      <c r="CP946" t="inlineStr">
        <is>
          <t>X</t>
        </is>
      </c>
      <c r="DC946" t="inlineStr">
        <is>
          <t>X</t>
        </is>
      </c>
    </row>
    <row r="947">
      <c r="A947" t="inlineStr">
        <is>
          <t>OH0015790722</t>
        </is>
      </c>
      <c r="B947" t="n">
        <v>78</v>
      </c>
      <c r="C947" t="n">
        <v>286656</v>
      </c>
      <c r="D947" t="inlineStr">
        <is>
          <t>BRAINARD</t>
        </is>
      </c>
      <c r="E947" t="inlineStr">
        <is>
          <t>ANN</t>
        </is>
      </c>
      <c r="F947">
        <f>CONCATENATE(D947," ",LEFT(H947,4),"T=",AU947,"D=",AV947,"R=",AW947,"M=",AX947,"L=",AY947,"B=",AZ947)</f>
        <v/>
      </c>
      <c r="G947" t="inlineStr">
        <is>
          <t>MARIE</t>
        </is>
      </c>
      <c r="I947" t="inlineStr">
        <is>
          <t>1977-12-19</t>
        </is>
      </c>
      <c r="J947" t="inlineStr">
        <is>
          <t>2023-08-02</t>
        </is>
      </c>
      <c r="K947" t="inlineStr">
        <is>
          <t>ACTIVE</t>
        </is>
      </c>
      <c r="L947" t="inlineStr">
        <is>
          <t>R</t>
        </is>
      </c>
      <c r="M947" t="inlineStr">
        <is>
          <t>359 KENILWORTH AVE SE</t>
        </is>
      </c>
      <c r="N947">
        <f>RIGHT(M947,LEN(M947)-FIND(" ",M947))</f>
        <v/>
      </c>
      <c r="P947" t="inlineStr">
        <is>
          <t>WARREN</t>
        </is>
      </c>
      <c r="Q947" t="inlineStr">
        <is>
          <t>OH</t>
        </is>
      </c>
      <c r="R947" t="n">
        <v>44483</v>
      </c>
      <c r="AD947" t="inlineStr">
        <is>
          <t>TRUMBULL CAREER &amp; TECH CENTER</t>
        </is>
      </c>
      <c r="AE947" t="inlineStr">
        <is>
          <t>WARREN CITY</t>
        </is>
      </c>
      <c r="AF947" t="inlineStr">
        <is>
          <t>WARREN CITY SD</t>
        </is>
      </c>
      <c r="AH947" t="n">
        <v>14</v>
      </c>
      <c r="AI947" t="n">
        <v>11</v>
      </c>
      <c r="AN947" t="inlineStr">
        <is>
          <t>WARREN</t>
        </is>
      </c>
      <c r="AO947" t="inlineStr">
        <is>
          <t>WARREN CITY 4A</t>
        </is>
      </c>
      <c r="AP947" t="inlineStr">
        <is>
          <t>78-P-ADI</t>
        </is>
      </c>
      <c r="AQ947" t="n">
        <v>9</v>
      </c>
      <c r="AR947" t="n">
        <v>64</v>
      </c>
      <c r="AS947" t="n">
        <v>32</v>
      </c>
      <c r="AU947">
        <f>COUNTA($BA$947:$EH$947)</f>
        <v/>
      </c>
      <c r="AV947">
        <f>COUNTIF($BA$947:$EH$947,"D")</f>
        <v/>
      </c>
      <c r="AW947">
        <f>COUNTIF($BA$947:$EH$947,"R")</f>
        <v/>
      </c>
      <c r="AX947">
        <f>IF(BN947="D",1,0)+IF(BO947="D",1,0)+IF(BT947="D",1,0)+IF(BU947="D",1,0)+IF(BW947="D",1,0)+IF(CC947="D",1,0)+IF(CD947="D",1,0)+IF(CE947="D",1,0)+IF(CF947="D",1,0)+IF(CL947="D",1,0)+IF(CM947="D",1,0)+IF(CQ947="D",1,0)+IF(CR947="D",1,0)+IF(CS947="D",1,0)+IF(CW947="D",1,0)+IF(CX947="D",1,0)+IF(DD947="D",1,0)+IF(DE947="D",1,0)+IF(DJ947="D",1,0)+IF(DK947="D",1,0)+IF(DO947="D",1,0)+IF(DP947="D",1,0)+IF(DQ947="D",1,0)+IF(DW947="D",1,0)+IF(DZ947="D",1,0)+IF(EH947="D",1,0)</f>
        <v/>
      </c>
      <c r="AY947">
        <f>IF(DJ947&lt;&gt;"",1,0)+IF(DK947&lt;&gt;"",1,0)+IF(DM947&lt;&gt;"",1,0)+IF(DO947&lt;&gt;"",1,0)+IF(DP947&lt;&gt;"",1,0)+IF(DQ947&lt;&gt;"",1,0)+IF(DS947&lt;&gt;"",1,0)+IF(DT947&lt;&gt;"",1,0)+IF(DV947&lt;&gt;"",1,0)+IF(DW947&lt;&gt;"",1,0)+IF(DX947&lt;&gt;"",1,0)+IF(DY947&lt;&gt;"",1,0)+IF(DZ947&lt;&gt;"",1,0)+IF(EB947&lt;&gt;"",1,0)+IF(EC947&lt;&gt;"",1,0)+IF(ED947&lt;&gt;"",1,0)+IF(EG947&lt;&gt;"",1,0)+IF(EH947&lt;&gt;"",1,0)</f>
        <v/>
      </c>
      <c r="AZ947">
        <f>IF(EH947&lt;&gt;"",1,0)</f>
        <v/>
      </c>
      <c r="BB947" t="inlineStr">
        <is>
          <t>WARREN-WARD 4</t>
        </is>
      </c>
      <c r="BL947" t="inlineStr">
        <is>
          <t>X</t>
        </is>
      </c>
      <c r="BY947" t="inlineStr">
        <is>
          <t>D</t>
        </is>
      </c>
      <c r="CA947" t="inlineStr">
        <is>
          <t>X</t>
        </is>
      </c>
      <c r="CC947" t="inlineStr">
        <is>
          <t>D</t>
        </is>
      </c>
      <c r="CG947" t="inlineStr">
        <is>
          <t>X</t>
        </is>
      </c>
      <c r="CK947" t="inlineStr">
        <is>
          <t>X</t>
        </is>
      </c>
      <c r="CL947" t="inlineStr">
        <is>
          <t>D</t>
        </is>
      </c>
      <c r="CN947" t="inlineStr">
        <is>
          <t>X</t>
        </is>
      </c>
      <c r="CP947" t="inlineStr">
        <is>
          <t>X</t>
        </is>
      </c>
      <c r="CT947" t="inlineStr">
        <is>
          <t>X</t>
        </is>
      </c>
      <c r="CU947" t="inlineStr">
        <is>
          <t>D</t>
        </is>
      </c>
      <c r="CV947" t="inlineStr">
        <is>
          <t>X</t>
        </is>
      </c>
      <c r="CY947" t="inlineStr">
        <is>
          <t>X</t>
        </is>
      </c>
      <c r="CZ947" t="inlineStr">
        <is>
          <t>D</t>
        </is>
      </c>
      <c r="DC947" t="inlineStr">
        <is>
          <t>X</t>
        </is>
      </c>
      <c r="DF947" t="inlineStr">
        <is>
          <t>X</t>
        </is>
      </c>
      <c r="DG947" t="inlineStr">
        <is>
          <t>D</t>
        </is>
      </c>
      <c r="DI947" t="inlineStr">
        <is>
          <t>X</t>
        </is>
      </c>
      <c r="DL947" t="inlineStr">
        <is>
          <t>X</t>
        </is>
      </c>
      <c r="DM947" t="inlineStr">
        <is>
          <t>D</t>
        </is>
      </c>
      <c r="DN947" t="inlineStr">
        <is>
          <t>X</t>
        </is>
      </c>
      <c r="DR947" t="inlineStr">
        <is>
          <t>X</t>
        </is>
      </c>
      <c r="DS947" t="inlineStr">
        <is>
          <t>D</t>
        </is>
      </c>
      <c r="DU947" t="inlineStr">
        <is>
          <t>X</t>
        </is>
      </c>
      <c r="DW947" t="inlineStr">
        <is>
          <t>D</t>
        </is>
      </c>
      <c r="DX947" t="inlineStr">
        <is>
          <t>X</t>
        </is>
      </c>
      <c r="EA947" t="inlineStr">
        <is>
          <t>X</t>
        </is>
      </c>
      <c r="ED947" t="inlineStr">
        <is>
          <t>R</t>
        </is>
      </c>
      <c r="EF947" t="inlineStr">
        <is>
          <t>X</t>
        </is>
      </c>
    </row>
    <row r="948">
      <c r="A948" t="inlineStr">
        <is>
          <t>OH0023090933</t>
        </is>
      </c>
      <c r="B948" t="n">
        <v>78</v>
      </c>
      <c r="C948" t="n">
        <v>406838</v>
      </c>
      <c r="D948" t="inlineStr">
        <is>
          <t>BUTLER</t>
        </is>
      </c>
      <c r="E948" t="inlineStr">
        <is>
          <t>AMBER</t>
        </is>
      </c>
      <c r="F948">
        <f>CONCATENATE(D948," ",LEFT(H948,4),"T=",AU948,"D=",AV948,"R=",AW948,"M=",AX948,"L=",AY948,"B=",AZ948)</f>
        <v/>
      </c>
      <c r="G948" t="inlineStr">
        <is>
          <t>N</t>
        </is>
      </c>
      <c r="I948" t="inlineStr">
        <is>
          <t>1982-12-15</t>
        </is>
      </c>
      <c r="J948" t="inlineStr">
        <is>
          <t>2020-08-06</t>
        </is>
      </c>
      <c r="K948" t="inlineStr">
        <is>
          <t>ACTIVE</t>
        </is>
      </c>
      <c r="M948" t="inlineStr">
        <is>
          <t>1234 BELLE ST SE</t>
        </is>
      </c>
      <c r="N948">
        <f>RIGHT(M948,LEN(M948)-FIND(" ",M948))</f>
        <v/>
      </c>
      <c r="P948" t="inlineStr">
        <is>
          <t>WARREN</t>
        </is>
      </c>
      <c r="Q948" t="inlineStr">
        <is>
          <t>OH</t>
        </is>
      </c>
      <c r="R948" t="n">
        <v>44484</v>
      </c>
      <c r="AD948" t="inlineStr">
        <is>
          <t>TRUMBULL CAREER &amp; TECH CENTER</t>
        </is>
      </c>
      <c r="AE948" t="inlineStr">
        <is>
          <t>WARREN CITY</t>
        </is>
      </c>
      <c r="AF948" t="inlineStr">
        <is>
          <t>WARREN CITY SD</t>
        </is>
      </c>
      <c r="AH948" t="n">
        <v>14</v>
      </c>
      <c r="AI948" t="n">
        <v>11</v>
      </c>
      <c r="AN948" t="inlineStr">
        <is>
          <t>WARREN</t>
        </is>
      </c>
      <c r="AO948" t="inlineStr">
        <is>
          <t>WARREN CITY 4A</t>
        </is>
      </c>
      <c r="AP948" t="inlineStr">
        <is>
          <t>78-P-ADI</t>
        </is>
      </c>
      <c r="AQ948" t="n">
        <v>9</v>
      </c>
      <c r="AR948" t="n">
        <v>64</v>
      </c>
      <c r="AS948" t="n">
        <v>32</v>
      </c>
      <c r="AU948">
        <f>COUNTA($BA$948:$EH$948)</f>
        <v/>
      </c>
      <c r="AV948">
        <f>COUNTIF($BA$948:$EH$948,"D")</f>
        <v/>
      </c>
      <c r="AW948">
        <f>COUNTIF($BA$948:$EH$948,"R")</f>
        <v/>
      </c>
      <c r="AX948">
        <f>IF(BN948="D",1,0)+IF(BO948="D",1,0)+IF(BT948="D",1,0)+IF(BU948="D",1,0)+IF(BW948="D",1,0)+IF(CC948="D",1,0)+IF(CD948="D",1,0)+IF(CE948="D",1,0)+IF(CF948="D",1,0)+IF(CL948="D",1,0)+IF(CM948="D",1,0)+IF(CQ948="D",1,0)+IF(CR948="D",1,0)+IF(CS948="D",1,0)+IF(CW948="D",1,0)+IF(CX948="D",1,0)+IF(DD948="D",1,0)+IF(DE948="D",1,0)+IF(DJ948="D",1,0)+IF(DK948="D",1,0)+IF(DO948="D",1,0)+IF(DP948="D",1,0)+IF(DQ948="D",1,0)+IF(DW948="D",1,0)+IF(DZ948="D",1,0)+IF(EH948="D",1,0)</f>
        <v/>
      </c>
      <c r="AY948">
        <f>IF(DJ948&lt;&gt;"",1,0)+IF(DK948&lt;&gt;"",1,0)+IF(DM948&lt;&gt;"",1,0)+IF(DO948&lt;&gt;"",1,0)+IF(DP948&lt;&gt;"",1,0)+IF(DQ948&lt;&gt;"",1,0)+IF(DS948&lt;&gt;"",1,0)+IF(DT948&lt;&gt;"",1,0)+IF(DV948&lt;&gt;"",1,0)+IF(DW948&lt;&gt;"",1,0)+IF(DX948&lt;&gt;"",1,0)+IF(DY948&lt;&gt;"",1,0)+IF(DZ948&lt;&gt;"",1,0)+IF(EB948&lt;&gt;"",1,0)+IF(EC948&lt;&gt;"",1,0)+IF(ED948&lt;&gt;"",1,0)+IF(EG948&lt;&gt;"",1,0)+IF(EH948&lt;&gt;"",1,0)</f>
        <v/>
      </c>
      <c r="AZ948">
        <f>IF(EH948&lt;&gt;"",1,0)</f>
        <v/>
      </c>
      <c r="BB948" t="inlineStr">
        <is>
          <t>WARREN-WARD 4</t>
        </is>
      </c>
    </row>
    <row r="949">
      <c r="A949" t="inlineStr">
        <is>
          <t>OH0023287682</t>
        </is>
      </c>
      <c r="B949" t="n">
        <v>78</v>
      </c>
      <c r="C949" t="n">
        <v>409665</v>
      </c>
      <c r="D949" t="inlineStr">
        <is>
          <t>PATTERSON</t>
        </is>
      </c>
      <c r="E949" t="inlineStr">
        <is>
          <t>SONYA</t>
        </is>
      </c>
      <c r="F949">
        <f>CONCATENATE(D949," ",LEFT(H949,4),"T=",AU949,"D=",AV949,"R=",AW949,"M=",AX949,"L=",AY949,"B=",AZ949)</f>
        <v/>
      </c>
      <c r="G949" t="inlineStr">
        <is>
          <t>KAYE</t>
        </is>
      </c>
      <c r="I949" t="inlineStr">
        <is>
          <t>1973-08-06</t>
        </is>
      </c>
      <c r="J949" t="inlineStr">
        <is>
          <t>2015-11-23</t>
        </is>
      </c>
      <c r="K949" t="inlineStr">
        <is>
          <t>ACTIVE</t>
        </is>
      </c>
      <c r="L949" t="inlineStr">
        <is>
          <t>D</t>
        </is>
      </c>
      <c r="M949" t="inlineStr">
        <is>
          <t>336 LAIRD AVE SE</t>
        </is>
      </c>
      <c r="N949">
        <f>RIGHT(M949,LEN(M949)-FIND(" ",M949))</f>
        <v/>
      </c>
      <c r="P949" t="inlineStr">
        <is>
          <t>WARREN</t>
        </is>
      </c>
      <c r="Q949" t="inlineStr">
        <is>
          <t>OH</t>
        </is>
      </c>
      <c r="R949" t="n">
        <v>44483</v>
      </c>
      <c r="AD949" t="inlineStr">
        <is>
          <t>TRUMBULL CAREER &amp; TECH CENTER</t>
        </is>
      </c>
      <c r="AE949" t="inlineStr">
        <is>
          <t>WARREN CITY</t>
        </is>
      </c>
      <c r="AF949" t="inlineStr">
        <is>
          <t>WARREN CITY SD</t>
        </is>
      </c>
      <c r="AH949" t="n">
        <v>14</v>
      </c>
      <c r="AI949" t="n">
        <v>11</v>
      </c>
      <c r="AN949" t="inlineStr">
        <is>
          <t>WARREN</t>
        </is>
      </c>
      <c r="AO949" t="inlineStr">
        <is>
          <t>WARREN CITY 4A</t>
        </is>
      </c>
      <c r="AP949" t="inlineStr">
        <is>
          <t>78-P-ADI</t>
        </is>
      </c>
      <c r="AQ949" t="n">
        <v>9</v>
      </c>
      <c r="AR949" t="n">
        <v>64</v>
      </c>
      <c r="AS949" t="n">
        <v>32</v>
      </c>
      <c r="AU949">
        <f>COUNTA($BA$949:$EH$949)</f>
        <v/>
      </c>
      <c r="AV949">
        <f>COUNTIF($BA$949:$EH$949,"D")</f>
        <v/>
      </c>
      <c r="AW949">
        <f>COUNTIF($BA$949:$EH$949,"R")</f>
        <v/>
      </c>
      <c r="AX949">
        <f>IF(BN949="D",1,0)+IF(BO949="D",1,0)+IF(BT949="D",1,0)+IF(BU949="D",1,0)+IF(BW949="D",1,0)+IF(CC949="D",1,0)+IF(CD949="D",1,0)+IF(CE949="D",1,0)+IF(CF949="D",1,0)+IF(CL949="D",1,0)+IF(CM949="D",1,0)+IF(CQ949="D",1,0)+IF(CR949="D",1,0)+IF(CS949="D",1,0)+IF(CW949="D",1,0)+IF(CX949="D",1,0)+IF(DD949="D",1,0)+IF(DE949="D",1,0)+IF(DJ949="D",1,0)+IF(DK949="D",1,0)+IF(DO949="D",1,0)+IF(DP949="D",1,0)+IF(DQ949="D",1,0)+IF(DW949="D",1,0)+IF(DZ949="D",1,0)+IF(EH949="D",1,0)</f>
        <v/>
      </c>
      <c r="AY949">
        <f>IF(DJ949&lt;&gt;"",1,0)+IF(DK949&lt;&gt;"",1,0)+IF(DM949&lt;&gt;"",1,0)+IF(DO949&lt;&gt;"",1,0)+IF(DP949&lt;&gt;"",1,0)+IF(DQ949&lt;&gt;"",1,0)+IF(DS949&lt;&gt;"",1,0)+IF(DT949&lt;&gt;"",1,0)+IF(DV949&lt;&gt;"",1,0)+IF(DW949&lt;&gt;"",1,0)+IF(DX949&lt;&gt;"",1,0)+IF(DY949&lt;&gt;"",1,0)+IF(DZ949&lt;&gt;"",1,0)+IF(EB949&lt;&gt;"",1,0)+IF(EC949&lt;&gt;"",1,0)+IF(ED949&lt;&gt;"",1,0)+IF(EG949&lt;&gt;"",1,0)+IF(EH949&lt;&gt;"",1,0)</f>
        <v/>
      </c>
      <c r="AZ949">
        <f>IF(EH949&lt;&gt;"",1,0)</f>
        <v/>
      </c>
      <c r="BB949" t="inlineStr">
        <is>
          <t>WARREN-WARD 4</t>
        </is>
      </c>
      <c r="BL949" t="inlineStr">
        <is>
          <t>X</t>
        </is>
      </c>
      <c r="BY949" t="inlineStr">
        <is>
          <t>D</t>
        </is>
      </c>
      <c r="CA949" t="inlineStr">
        <is>
          <t>X</t>
        </is>
      </c>
      <c r="CH949" t="inlineStr">
        <is>
          <t>X</t>
        </is>
      </c>
      <c r="CK949" t="inlineStr">
        <is>
          <t>X</t>
        </is>
      </c>
      <c r="CP949" t="inlineStr">
        <is>
          <t>X</t>
        </is>
      </c>
      <c r="DC949" t="inlineStr">
        <is>
          <t>X</t>
        </is>
      </c>
      <c r="DM949" t="inlineStr">
        <is>
          <t>D</t>
        </is>
      </c>
      <c r="DN949" t="inlineStr">
        <is>
          <t>X</t>
        </is>
      </c>
      <c r="DU949" t="inlineStr">
        <is>
          <t>X</t>
        </is>
      </c>
      <c r="DW949" t="inlineStr">
        <is>
          <t>D</t>
        </is>
      </c>
      <c r="DX949" t="inlineStr">
        <is>
          <t>X</t>
        </is>
      </c>
      <c r="EA949" t="inlineStr">
        <is>
          <t>X</t>
        </is>
      </c>
      <c r="EF949" t="inlineStr">
        <is>
          <t>X</t>
        </is>
      </c>
    </row>
    <row r="950">
      <c r="A950" t="inlineStr">
        <is>
          <t>OH0015738112</t>
        </is>
      </c>
      <c r="B950" t="n">
        <v>78</v>
      </c>
      <c r="C950" t="n">
        <v>223918</v>
      </c>
      <c r="D950" t="inlineStr">
        <is>
          <t>MCCUE</t>
        </is>
      </c>
      <c r="E950" t="inlineStr">
        <is>
          <t>BRIAN</t>
        </is>
      </c>
      <c r="F950">
        <f>CONCATENATE(D950," ",LEFT(H950,4),"T=",AU950,"D=",AV950,"R=",AW950,"M=",AX950,"L=",AY950,"B=",AZ950)</f>
        <v/>
      </c>
      <c r="G950" t="inlineStr">
        <is>
          <t>M</t>
        </is>
      </c>
      <c r="I950" t="inlineStr">
        <is>
          <t>1964-06-24</t>
        </is>
      </c>
      <c r="J950" t="inlineStr">
        <is>
          <t>1990-09-27</t>
        </is>
      </c>
      <c r="K950" t="inlineStr">
        <is>
          <t>ACTIVE</t>
        </is>
      </c>
      <c r="M950" t="inlineStr">
        <is>
          <t>389 KENILWORTH AVE SE</t>
        </is>
      </c>
      <c r="N950">
        <f>RIGHT(M950,LEN(M950)-FIND(" ",M950))</f>
        <v/>
      </c>
      <c r="P950" t="inlineStr">
        <is>
          <t>WARREN</t>
        </is>
      </c>
      <c r="Q950" t="inlineStr">
        <is>
          <t>OH</t>
        </is>
      </c>
      <c r="R950" t="n">
        <v>44483</v>
      </c>
      <c r="AD950" t="inlineStr">
        <is>
          <t>TRUMBULL CAREER &amp; TECH CENTER</t>
        </is>
      </c>
      <c r="AE950" t="inlineStr">
        <is>
          <t>WARREN CITY</t>
        </is>
      </c>
      <c r="AF950" t="inlineStr">
        <is>
          <t>WARREN CITY SD</t>
        </is>
      </c>
      <c r="AH950" t="n">
        <v>14</v>
      </c>
      <c r="AI950" t="n">
        <v>11</v>
      </c>
      <c r="AN950" t="inlineStr">
        <is>
          <t>WARREN</t>
        </is>
      </c>
      <c r="AO950" t="inlineStr">
        <is>
          <t>WARREN CITY 4A</t>
        </is>
      </c>
      <c r="AP950" t="inlineStr">
        <is>
          <t>78-P-ADI</t>
        </is>
      </c>
      <c r="AQ950" t="n">
        <v>9</v>
      </c>
      <c r="AR950" t="n">
        <v>64</v>
      </c>
      <c r="AS950" t="n">
        <v>32</v>
      </c>
      <c r="AU950">
        <f>COUNTA($BA$950:$EH$950)</f>
        <v/>
      </c>
      <c r="AV950">
        <f>COUNTIF($BA$950:$EH$950,"D")</f>
        <v/>
      </c>
      <c r="AW950">
        <f>COUNTIF($BA$950:$EH$950,"R")</f>
        <v/>
      </c>
      <c r="AX950">
        <f>IF(BN950="D",1,0)+IF(BO950="D",1,0)+IF(BT950="D",1,0)+IF(BU950="D",1,0)+IF(BW950="D",1,0)+IF(CC950="D",1,0)+IF(CD950="D",1,0)+IF(CE950="D",1,0)+IF(CF950="D",1,0)+IF(CL950="D",1,0)+IF(CM950="D",1,0)+IF(CQ950="D",1,0)+IF(CR950="D",1,0)+IF(CS950="D",1,0)+IF(CW950="D",1,0)+IF(CX950="D",1,0)+IF(DD950="D",1,0)+IF(DE950="D",1,0)+IF(DJ950="D",1,0)+IF(DK950="D",1,0)+IF(DO950="D",1,0)+IF(DP950="D",1,0)+IF(DQ950="D",1,0)+IF(DW950="D",1,0)+IF(DZ950="D",1,0)+IF(EH950="D",1,0)</f>
        <v/>
      </c>
      <c r="AY950">
        <f>IF(DJ950&lt;&gt;"",1,0)+IF(DK950&lt;&gt;"",1,0)+IF(DM950&lt;&gt;"",1,0)+IF(DO950&lt;&gt;"",1,0)+IF(DP950&lt;&gt;"",1,0)+IF(DQ950&lt;&gt;"",1,0)+IF(DS950&lt;&gt;"",1,0)+IF(DT950&lt;&gt;"",1,0)+IF(DV950&lt;&gt;"",1,0)+IF(DW950&lt;&gt;"",1,0)+IF(DX950&lt;&gt;"",1,0)+IF(DY950&lt;&gt;"",1,0)+IF(DZ950&lt;&gt;"",1,0)+IF(EB950&lt;&gt;"",1,0)+IF(EC950&lt;&gt;"",1,0)+IF(ED950&lt;&gt;"",1,0)+IF(EG950&lt;&gt;"",1,0)+IF(EH950&lt;&gt;"",1,0)</f>
        <v/>
      </c>
      <c r="AZ950">
        <f>IF(EH950&lt;&gt;"",1,0)</f>
        <v/>
      </c>
      <c r="BB950" t="inlineStr">
        <is>
          <t>WARREN-WARD 4</t>
        </is>
      </c>
      <c r="BD950" t="inlineStr">
        <is>
          <t>X</t>
        </is>
      </c>
      <c r="BE950" t="inlineStr">
        <is>
          <t>X</t>
        </is>
      </c>
      <c r="BH950" t="inlineStr">
        <is>
          <t>X</t>
        </is>
      </c>
      <c r="BJ950" t="inlineStr">
        <is>
          <t>X</t>
        </is>
      </c>
      <c r="BK950" t="inlineStr">
        <is>
          <t>X</t>
        </is>
      </c>
      <c r="BL950" t="inlineStr">
        <is>
          <t>X</t>
        </is>
      </c>
      <c r="BS950" t="inlineStr">
        <is>
          <t>X</t>
        </is>
      </c>
      <c r="CA950" t="inlineStr">
        <is>
          <t>X</t>
        </is>
      </c>
      <c r="CG950" t="inlineStr">
        <is>
          <t>X</t>
        </is>
      </c>
      <c r="CH950" t="inlineStr">
        <is>
          <t>D</t>
        </is>
      </c>
      <c r="CK950" t="inlineStr">
        <is>
          <t>X</t>
        </is>
      </c>
      <c r="CP950" t="inlineStr">
        <is>
          <t>X</t>
        </is>
      </c>
      <c r="CW950" t="inlineStr">
        <is>
          <t>D</t>
        </is>
      </c>
      <c r="CY950" t="inlineStr">
        <is>
          <t>X</t>
        </is>
      </c>
      <c r="DI950" t="inlineStr">
        <is>
          <t>X</t>
        </is>
      </c>
      <c r="DN950" t="inlineStr">
        <is>
          <t>X</t>
        </is>
      </c>
      <c r="DU950" t="inlineStr">
        <is>
          <t>X</t>
        </is>
      </c>
      <c r="EA950" t="inlineStr">
        <is>
          <t>X</t>
        </is>
      </c>
      <c r="EF950" t="inlineStr">
        <is>
          <t>X</t>
        </is>
      </c>
    </row>
    <row r="951">
      <c r="A951" t="inlineStr">
        <is>
          <t>OH0023497555</t>
        </is>
      </c>
      <c r="B951" t="n">
        <v>78</v>
      </c>
      <c r="C951" t="n">
        <v>413826</v>
      </c>
      <c r="D951" t="inlineStr">
        <is>
          <t>STRANGE</t>
        </is>
      </c>
      <c r="E951" t="inlineStr">
        <is>
          <t>FAITH</t>
        </is>
      </c>
      <c r="F951">
        <f>CONCATENATE(D951," ",LEFT(H951,4),"T=",AU951,"D=",AV951,"R=",AW951,"M=",AX951,"L=",AY951,"B=",AZ951)</f>
        <v/>
      </c>
      <c r="G951" t="inlineStr">
        <is>
          <t>MARIE</t>
        </is>
      </c>
      <c r="I951" t="inlineStr">
        <is>
          <t>1984-03-15</t>
        </is>
      </c>
      <c r="J951" t="inlineStr">
        <is>
          <t>2024-08-08</t>
        </is>
      </c>
      <c r="K951" t="inlineStr">
        <is>
          <t>ACTIVE</t>
        </is>
      </c>
      <c r="M951" t="inlineStr">
        <is>
          <t>322 BONNIE BRAE AVE SE</t>
        </is>
      </c>
      <c r="N951">
        <f>RIGHT(M951,LEN(M951)-FIND(" ",M951))</f>
        <v/>
      </c>
      <c r="P951" t="inlineStr">
        <is>
          <t>WARREN</t>
        </is>
      </c>
      <c r="Q951" t="inlineStr">
        <is>
          <t>OH</t>
        </is>
      </c>
      <c r="R951" t="n">
        <v>44484</v>
      </c>
      <c r="AD951" t="inlineStr">
        <is>
          <t>TRUMBULL CAREER &amp; TECH CENTER</t>
        </is>
      </c>
      <c r="AE951" t="inlineStr">
        <is>
          <t>WARREN CITY</t>
        </is>
      </c>
      <c r="AF951" t="inlineStr">
        <is>
          <t>WARREN CITY SD</t>
        </is>
      </c>
      <c r="AH951" t="n">
        <v>14</v>
      </c>
      <c r="AI951" t="n">
        <v>11</v>
      </c>
      <c r="AN951" t="inlineStr">
        <is>
          <t>WARREN</t>
        </is>
      </c>
      <c r="AO951" t="inlineStr">
        <is>
          <t>WARREN CITY 4A</t>
        </is>
      </c>
      <c r="AP951" t="inlineStr">
        <is>
          <t>78-P-ADI</t>
        </is>
      </c>
      <c r="AQ951" t="n">
        <v>9</v>
      </c>
      <c r="AR951" t="n">
        <v>64</v>
      </c>
      <c r="AS951" t="n">
        <v>32</v>
      </c>
      <c r="AU951">
        <f>COUNTA($BA$951:$EH$951)</f>
        <v/>
      </c>
      <c r="AV951">
        <f>COUNTIF($BA$951:$EH$951,"D")</f>
        <v/>
      </c>
      <c r="AW951">
        <f>COUNTIF($BA$951:$EH$951,"R")</f>
        <v/>
      </c>
      <c r="AX951">
        <f>IF(BN951="D",1,0)+IF(BO951="D",1,0)+IF(BT951="D",1,0)+IF(BU951="D",1,0)+IF(BW951="D",1,0)+IF(CC951="D",1,0)+IF(CD951="D",1,0)+IF(CE951="D",1,0)+IF(CF951="D",1,0)+IF(CL951="D",1,0)+IF(CM951="D",1,0)+IF(CQ951="D",1,0)+IF(CR951="D",1,0)+IF(CS951="D",1,0)+IF(CW951="D",1,0)+IF(CX951="D",1,0)+IF(DD951="D",1,0)+IF(DE951="D",1,0)+IF(DJ951="D",1,0)+IF(DK951="D",1,0)+IF(DO951="D",1,0)+IF(DP951="D",1,0)+IF(DQ951="D",1,0)+IF(DW951="D",1,0)+IF(DZ951="D",1,0)+IF(EH951="D",1,0)</f>
        <v/>
      </c>
      <c r="AY951">
        <f>IF(DJ951&lt;&gt;"",1,0)+IF(DK951&lt;&gt;"",1,0)+IF(DM951&lt;&gt;"",1,0)+IF(DO951&lt;&gt;"",1,0)+IF(DP951&lt;&gt;"",1,0)+IF(DQ951&lt;&gt;"",1,0)+IF(DS951&lt;&gt;"",1,0)+IF(DT951&lt;&gt;"",1,0)+IF(DV951&lt;&gt;"",1,0)+IF(DW951&lt;&gt;"",1,0)+IF(DX951&lt;&gt;"",1,0)+IF(DY951&lt;&gt;"",1,0)+IF(DZ951&lt;&gt;"",1,0)+IF(EB951&lt;&gt;"",1,0)+IF(EC951&lt;&gt;"",1,0)+IF(ED951&lt;&gt;"",1,0)+IF(EG951&lt;&gt;"",1,0)+IF(EH951&lt;&gt;"",1,0)</f>
        <v/>
      </c>
      <c r="AZ951">
        <f>IF(EH951&lt;&gt;"",1,0)</f>
        <v/>
      </c>
      <c r="BB951" t="inlineStr">
        <is>
          <t>WARREN-WARD 4</t>
        </is>
      </c>
      <c r="BH951" t="inlineStr">
        <is>
          <t>X</t>
        </is>
      </c>
      <c r="BL951" t="inlineStr">
        <is>
          <t>X</t>
        </is>
      </c>
      <c r="BY951" t="inlineStr">
        <is>
          <t>D</t>
        </is>
      </c>
      <c r="CA951" t="inlineStr">
        <is>
          <t>X</t>
        </is>
      </c>
      <c r="CZ951" t="inlineStr">
        <is>
          <t>D</t>
        </is>
      </c>
      <c r="DC951" t="inlineStr">
        <is>
          <t>X</t>
        </is>
      </c>
    </row>
    <row r="952">
      <c r="A952" t="inlineStr">
        <is>
          <t>OH0020600435</t>
        </is>
      </c>
      <c r="B952" t="n">
        <v>78</v>
      </c>
      <c r="C952" t="n">
        <v>368642</v>
      </c>
      <c r="D952" t="inlineStr">
        <is>
          <t>MASSUCCI</t>
        </is>
      </c>
      <c r="E952" t="inlineStr">
        <is>
          <t>ROBERT</t>
        </is>
      </c>
      <c r="F952">
        <f>CONCATENATE(D952," ",LEFT(H952,4),"T=",AU952,"D=",AV952,"R=",AW952,"M=",AX952,"L=",AY952,"B=",AZ952)</f>
        <v/>
      </c>
      <c r="G952" t="inlineStr">
        <is>
          <t>MARK</t>
        </is>
      </c>
      <c r="H952" t="inlineStr">
        <is>
          <t>JR</t>
        </is>
      </c>
      <c r="I952" t="inlineStr">
        <is>
          <t>1984-09-25</t>
        </is>
      </c>
      <c r="J952" t="inlineStr">
        <is>
          <t>2018-05-22</t>
        </is>
      </c>
      <c r="K952" t="inlineStr">
        <is>
          <t>CONFIRMATION</t>
        </is>
      </c>
      <c r="M952" t="inlineStr">
        <is>
          <t>1234 E MARKET ST</t>
        </is>
      </c>
      <c r="N952">
        <f>RIGHT(M952,LEN(M952)-FIND(" ",M952))</f>
        <v/>
      </c>
      <c r="P952" t="inlineStr">
        <is>
          <t>WARREN</t>
        </is>
      </c>
      <c r="Q952" t="inlineStr">
        <is>
          <t>OH</t>
        </is>
      </c>
      <c r="R952" t="n">
        <v>44483</v>
      </c>
      <c r="AD952" t="inlineStr">
        <is>
          <t>TRUMBULL CAREER &amp; TECH CENTER</t>
        </is>
      </c>
      <c r="AE952" t="inlineStr">
        <is>
          <t>WARREN CITY</t>
        </is>
      </c>
      <c r="AF952" t="inlineStr">
        <is>
          <t>WARREN CITY SD</t>
        </is>
      </c>
      <c r="AH952" t="n">
        <v>14</v>
      </c>
      <c r="AI952" t="n">
        <v>11</v>
      </c>
      <c r="AN952" t="inlineStr">
        <is>
          <t>WARREN</t>
        </is>
      </c>
      <c r="AO952" t="inlineStr">
        <is>
          <t>WARREN CITY 4A</t>
        </is>
      </c>
      <c r="AP952" t="inlineStr">
        <is>
          <t>78-P-ADI</t>
        </is>
      </c>
      <c r="AQ952" t="n">
        <v>9</v>
      </c>
      <c r="AR952" t="n">
        <v>64</v>
      </c>
      <c r="AS952" t="n">
        <v>32</v>
      </c>
      <c r="AU952">
        <f>COUNTA($BA$952:$EH$952)</f>
        <v/>
      </c>
      <c r="AV952">
        <f>COUNTIF($BA$952:$EH$952,"D")</f>
        <v/>
      </c>
      <c r="AW952">
        <f>COUNTIF($BA$952:$EH$952,"R")</f>
        <v/>
      </c>
      <c r="AX952">
        <f>IF(BN952="D",1,0)+IF(BO952="D",1,0)+IF(BT952="D",1,0)+IF(BU952="D",1,0)+IF(BW952="D",1,0)+IF(CC952="D",1,0)+IF(CD952="D",1,0)+IF(CE952="D",1,0)+IF(CF952="D",1,0)+IF(CL952="D",1,0)+IF(CM952="D",1,0)+IF(CQ952="D",1,0)+IF(CR952="D",1,0)+IF(CS952="D",1,0)+IF(CW952="D",1,0)+IF(CX952="D",1,0)+IF(DD952="D",1,0)+IF(DE952="D",1,0)+IF(DJ952="D",1,0)+IF(DK952="D",1,0)+IF(DO952="D",1,0)+IF(DP952="D",1,0)+IF(DQ952="D",1,0)+IF(DW952="D",1,0)+IF(DZ952="D",1,0)+IF(EH952="D",1,0)</f>
        <v/>
      </c>
      <c r="AY952">
        <f>IF(DJ952&lt;&gt;"",1,0)+IF(DK952&lt;&gt;"",1,0)+IF(DM952&lt;&gt;"",1,0)+IF(DO952&lt;&gt;"",1,0)+IF(DP952&lt;&gt;"",1,0)+IF(DQ952&lt;&gt;"",1,0)+IF(DS952&lt;&gt;"",1,0)+IF(DT952&lt;&gt;"",1,0)+IF(DV952&lt;&gt;"",1,0)+IF(DW952&lt;&gt;"",1,0)+IF(DX952&lt;&gt;"",1,0)+IF(DY952&lt;&gt;"",1,0)+IF(DZ952&lt;&gt;"",1,0)+IF(EB952&lt;&gt;"",1,0)+IF(EC952&lt;&gt;"",1,0)+IF(ED952&lt;&gt;"",1,0)+IF(EG952&lt;&gt;"",1,0)+IF(EH952&lt;&gt;"",1,0)</f>
        <v/>
      </c>
      <c r="AZ952">
        <f>IF(EH952&lt;&gt;"",1,0)</f>
        <v/>
      </c>
      <c r="BB952" t="inlineStr">
        <is>
          <t>WARREN-WARD 4</t>
        </is>
      </c>
      <c r="DG952" t="inlineStr">
        <is>
          <t>D</t>
        </is>
      </c>
    </row>
    <row r="953">
      <c r="A953" t="inlineStr">
        <is>
          <t>OH0027927425</t>
        </is>
      </c>
      <c r="B953" t="n">
        <v>78</v>
      </c>
      <c r="C953" t="n">
        <v>495532</v>
      </c>
      <c r="D953" t="inlineStr">
        <is>
          <t>WRIGHT</t>
        </is>
      </c>
      <c r="E953" t="inlineStr">
        <is>
          <t>TAIKEEYAH</t>
        </is>
      </c>
      <c r="F953">
        <f>CONCATENATE(D953," ",LEFT(H953,4),"T=",AU953,"D=",AV953,"R=",AW953,"M=",AX953,"L=",AY953,"B=",AZ953)</f>
        <v/>
      </c>
      <c r="G953" t="inlineStr">
        <is>
          <t>D</t>
        </is>
      </c>
      <c r="I953" t="inlineStr">
        <is>
          <t>2000-12-04</t>
        </is>
      </c>
      <c r="J953" t="inlineStr">
        <is>
          <t>2025-03-26</t>
        </is>
      </c>
      <c r="K953" t="inlineStr">
        <is>
          <t>ACTIVE</t>
        </is>
      </c>
      <c r="M953" t="inlineStr">
        <is>
          <t>384 ADELAIDE AVE SE</t>
        </is>
      </c>
      <c r="N953">
        <f>RIGHT(M953,LEN(M953)-FIND(" ",M953))</f>
        <v/>
      </c>
      <c r="O953" t="inlineStr">
        <is>
          <t>APT A</t>
        </is>
      </c>
      <c r="P953" t="inlineStr">
        <is>
          <t>WARREN</t>
        </is>
      </c>
      <c r="Q953" t="inlineStr">
        <is>
          <t>OH</t>
        </is>
      </c>
      <c r="R953" t="n">
        <v>44483</v>
      </c>
      <c r="AD953" t="inlineStr">
        <is>
          <t>TRUMBULL CAREER &amp; TECH CENTER</t>
        </is>
      </c>
      <c r="AE953" t="inlineStr">
        <is>
          <t>WARREN CITY</t>
        </is>
      </c>
      <c r="AF953" t="inlineStr">
        <is>
          <t>WARREN CITY SD</t>
        </is>
      </c>
      <c r="AH953" t="n">
        <v>14</v>
      </c>
      <c r="AI953" t="n">
        <v>11</v>
      </c>
      <c r="AN953" t="inlineStr">
        <is>
          <t>WARREN</t>
        </is>
      </c>
      <c r="AO953" t="inlineStr">
        <is>
          <t>WARREN CITY 4A</t>
        </is>
      </c>
      <c r="AP953" t="inlineStr">
        <is>
          <t>78-P-ADI</t>
        </is>
      </c>
      <c r="AQ953" t="n">
        <v>9</v>
      </c>
      <c r="AR953" t="n">
        <v>64</v>
      </c>
      <c r="AS953" t="n">
        <v>32</v>
      </c>
      <c r="AU953">
        <f>COUNTA($BA$953:$EH$953)</f>
        <v/>
      </c>
      <c r="AV953">
        <f>COUNTIF($BA$953:$EH$953,"D")</f>
        <v/>
      </c>
      <c r="AW953">
        <f>COUNTIF($BA$953:$EH$953,"R")</f>
        <v/>
      </c>
      <c r="AX953">
        <f>IF(BN953="D",1,0)+IF(BO953="D",1,0)+IF(BT953="D",1,0)+IF(BU953="D",1,0)+IF(BW953="D",1,0)+IF(CC953="D",1,0)+IF(CD953="D",1,0)+IF(CE953="D",1,0)+IF(CF953="D",1,0)+IF(CL953="D",1,0)+IF(CM953="D",1,0)+IF(CQ953="D",1,0)+IF(CR953="D",1,0)+IF(CS953="D",1,0)+IF(CW953="D",1,0)+IF(CX953="D",1,0)+IF(DD953="D",1,0)+IF(DE953="D",1,0)+IF(DJ953="D",1,0)+IF(DK953="D",1,0)+IF(DO953="D",1,0)+IF(DP953="D",1,0)+IF(DQ953="D",1,0)+IF(DW953="D",1,0)+IF(DZ953="D",1,0)+IF(EH953="D",1,0)</f>
        <v/>
      </c>
      <c r="AY953">
        <f>IF(DJ953&lt;&gt;"",1,0)+IF(DK953&lt;&gt;"",1,0)+IF(DM953&lt;&gt;"",1,0)+IF(DO953&lt;&gt;"",1,0)+IF(DP953&lt;&gt;"",1,0)+IF(DQ953&lt;&gt;"",1,0)+IF(DS953&lt;&gt;"",1,0)+IF(DT953&lt;&gt;"",1,0)+IF(DV953&lt;&gt;"",1,0)+IF(DW953&lt;&gt;"",1,0)+IF(DX953&lt;&gt;"",1,0)+IF(DY953&lt;&gt;"",1,0)+IF(DZ953&lt;&gt;"",1,0)+IF(EB953&lt;&gt;"",1,0)+IF(EC953&lt;&gt;"",1,0)+IF(ED953&lt;&gt;"",1,0)+IF(EG953&lt;&gt;"",1,0)+IF(EH953&lt;&gt;"",1,0)</f>
        <v/>
      </c>
      <c r="AZ953">
        <f>IF(EH953&lt;&gt;"",1,0)</f>
        <v/>
      </c>
      <c r="BB953" t="inlineStr">
        <is>
          <t>WARREN-WARD 4</t>
        </is>
      </c>
    </row>
    <row r="954">
      <c r="A954" t="inlineStr">
        <is>
          <t>OH0019772560</t>
        </is>
      </c>
      <c r="B954" t="n">
        <v>78</v>
      </c>
      <c r="C954" t="n">
        <v>358996</v>
      </c>
      <c r="D954" t="inlineStr">
        <is>
          <t>HAUGHT</t>
        </is>
      </c>
      <c r="E954" t="inlineStr">
        <is>
          <t>SARAH</t>
        </is>
      </c>
      <c r="F954">
        <f>CONCATENATE(D954," ",LEFT(H954,4),"T=",AU954,"D=",AV954,"R=",AW954,"M=",AX954,"L=",AY954,"B=",AZ954)</f>
        <v/>
      </c>
      <c r="G954" t="inlineStr">
        <is>
          <t>LYNN</t>
        </is>
      </c>
      <c r="I954" t="inlineStr">
        <is>
          <t>1989-11-29</t>
        </is>
      </c>
      <c r="J954" t="inlineStr">
        <is>
          <t>2020-08-14</t>
        </is>
      </c>
      <c r="K954" t="inlineStr">
        <is>
          <t>ACTIVE</t>
        </is>
      </c>
      <c r="M954" t="inlineStr">
        <is>
          <t>217 LOGAN AVE SE</t>
        </is>
      </c>
      <c r="N954">
        <f>RIGHT(M954,LEN(M954)-FIND(" ",M954))</f>
        <v/>
      </c>
      <c r="P954" t="inlineStr">
        <is>
          <t>WARREN</t>
        </is>
      </c>
      <c r="Q954" t="inlineStr">
        <is>
          <t>OH</t>
        </is>
      </c>
      <c r="R954" t="n">
        <v>44483</v>
      </c>
      <c r="AD954" t="inlineStr">
        <is>
          <t>TRUMBULL CAREER &amp; TECH CENTER</t>
        </is>
      </c>
      <c r="AE954" t="inlineStr">
        <is>
          <t>WARREN CITY</t>
        </is>
      </c>
      <c r="AF954" t="inlineStr">
        <is>
          <t>WARREN CITY SD</t>
        </is>
      </c>
      <c r="AH954" t="n">
        <v>14</v>
      </c>
      <c r="AI954" t="n">
        <v>11</v>
      </c>
      <c r="AN954" t="inlineStr">
        <is>
          <t>WARREN</t>
        </is>
      </c>
      <c r="AO954" t="inlineStr">
        <is>
          <t>WARREN CITY 4A</t>
        </is>
      </c>
      <c r="AP954" t="inlineStr">
        <is>
          <t>78-P-ADI</t>
        </is>
      </c>
      <c r="AQ954" t="n">
        <v>9</v>
      </c>
      <c r="AR954" t="n">
        <v>64</v>
      </c>
      <c r="AS954" t="n">
        <v>32</v>
      </c>
      <c r="AU954">
        <f>COUNTA($BA$954:$EH$954)</f>
        <v/>
      </c>
      <c r="AV954">
        <f>COUNTIF($BA$954:$EH$954,"D")</f>
        <v/>
      </c>
      <c r="AW954">
        <f>COUNTIF($BA$954:$EH$954,"R")</f>
        <v/>
      </c>
      <c r="AX954">
        <f>IF(BN954="D",1,0)+IF(BO954="D",1,0)+IF(BT954="D",1,0)+IF(BU954="D",1,0)+IF(BW954="D",1,0)+IF(CC954="D",1,0)+IF(CD954="D",1,0)+IF(CE954="D",1,0)+IF(CF954="D",1,0)+IF(CL954="D",1,0)+IF(CM954="D",1,0)+IF(CQ954="D",1,0)+IF(CR954="D",1,0)+IF(CS954="D",1,0)+IF(CW954="D",1,0)+IF(CX954="D",1,0)+IF(DD954="D",1,0)+IF(DE954="D",1,0)+IF(DJ954="D",1,0)+IF(DK954="D",1,0)+IF(DO954="D",1,0)+IF(DP954="D",1,0)+IF(DQ954="D",1,0)+IF(DW954="D",1,0)+IF(DZ954="D",1,0)+IF(EH954="D",1,0)</f>
        <v/>
      </c>
      <c r="AY954">
        <f>IF(DJ954&lt;&gt;"",1,0)+IF(DK954&lt;&gt;"",1,0)+IF(DM954&lt;&gt;"",1,0)+IF(DO954&lt;&gt;"",1,0)+IF(DP954&lt;&gt;"",1,0)+IF(DQ954&lt;&gt;"",1,0)+IF(DS954&lt;&gt;"",1,0)+IF(DT954&lt;&gt;"",1,0)+IF(DV954&lt;&gt;"",1,0)+IF(DW954&lt;&gt;"",1,0)+IF(DX954&lt;&gt;"",1,0)+IF(DY954&lt;&gt;"",1,0)+IF(DZ954&lt;&gt;"",1,0)+IF(EB954&lt;&gt;"",1,0)+IF(EC954&lt;&gt;"",1,0)+IF(ED954&lt;&gt;"",1,0)+IF(EG954&lt;&gt;"",1,0)+IF(EH954&lt;&gt;"",1,0)</f>
        <v/>
      </c>
      <c r="AZ954">
        <f>IF(EH954&lt;&gt;"",1,0)</f>
        <v/>
      </c>
      <c r="BB954" t="inlineStr">
        <is>
          <t>WARREN-WARD 4</t>
        </is>
      </c>
      <c r="DN954" t="inlineStr">
        <is>
          <t>X</t>
        </is>
      </c>
      <c r="DU954" t="inlineStr">
        <is>
          <t>X</t>
        </is>
      </c>
      <c r="DX954" t="inlineStr">
        <is>
          <t>X</t>
        </is>
      </c>
      <c r="EA954" t="inlineStr">
        <is>
          <t>X</t>
        </is>
      </c>
      <c r="EF954" t="inlineStr">
        <is>
          <t>X</t>
        </is>
      </c>
    </row>
    <row r="955">
      <c r="A955" t="inlineStr">
        <is>
          <t>OH0019756916</t>
        </is>
      </c>
      <c r="B955" t="n">
        <v>78</v>
      </c>
      <c r="C955" t="n">
        <v>358266</v>
      </c>
      <c r="D955" t="inlineStr">
        <is>
          <t>DANDREA</t>
        </is>
      </c>
      <c r="E955" t="inlineStr">
        <is>
          <t>BARBARA</t>
        </is>
      </c>
      <c r="F955">
        <f>CONCATENATE(D955," ",LEFT(H955,4),"T=",AU955,"D=",AV955,"R=",AW955,"M=",AX955,"L=",AY955,"B=",AZ955)</f>
        <v/>
      </c>
      <c r="G955" t="inlineStr">
        <is>
          <t>J</t>
        </is>
      </c>
      <c r="I955" t="inlineStr">
        <is>
          <t>1954-04-19</t>
        </is>
      </c>
      <c r="J955" t="inlineStr">
        <is>
          <t>2024-09-25</t>
        </is>
      </c>
      <c r="K955" t="inlineStr">
        <is>
          <t>ACTIVE</t>
        </is>
      </c>
      <c r="M955" t="inlineStr">
        <is>
          <t>680 WOODBINE AVE SE</t>
        </is>
      </c>
      <c r="N955">
        <f>RIGHT(M955,LEN(M955)-FIND(" ",M955))</f>
        <v/>
      </c>
      <c r="P955" t="inlineStr">
        <is>
          <t>WARREN</t>
        </is>
      </c>
      <c r="Q955" t="inlineStr">
        <is>
          <t>OH</t>
        </is>
      </c>
      <c r="R955" t="n">
        <v>44483</v>
      </c>
      <c r="AD955" t="inlineStr">
        <is>
          <t>TRUMBULL CAREER &amp; TECH CENTER</t>
        </is>
      </c>
      <c r="AE955" t="inlineStr">
        <is>
          <t>WARREN CITY</t>
        </is>
      </c>
      <c r="AF955" t="inlineStr">
        <is>
          <t>WARREN CITY SD</t>
        </is>
      </c>
      <c r="AH955" t="n">
        <v>14</v>
      </c>
      <c r="AI955" t="n">
        <v>11</v>
      </c>
      <c r="AN955" t="inlineStr">
        <is>
          <t>WARREN</t>
        </is>
      </c>
      <c r="AO955" t="inlineStr">
        <is>
          <t>WARREN CITY 4A</t>
        </is>
      </c>
      <c r="AP955" t="inlineStr">
        <is>
          <t>78-P-ADI</t>
        </is>
      </c>
      <c r="AQ955" t="n">
        <v>9</v>
      </c>
      <c r="AR955" t="n">
        <v>64</v>
      </c>
      <c r="AS955" t="n">
        <v>32</v>
      </c>
      <c r="AU955">
        <f>COUNTA($BA$955:$EH$955)</f>
        <v/>
      </c>
      <c r="AV955">
        <f>COUNTIF($BA$955:$EH$955,"D")</f>
        <v/>
      </c>
      <c r="AW955">
        <f>COUNTIF($BA$955:$EH$955,"R")</f>
        <v/>
      </c>
      <c r="AX955">
        <f>IF(BN955="D",1,0)+IF(BO955="D",1,0)+IF(BT955="D",1,0)+IF(BU955="D",1,0)+IF(BW955="D",1,0)+IF(CC955="D",1,0)+IF(CD955="D",1,0)+IF(CE955="D",1,0)+IF(CF955="D",1,0)+IF(CL955="D",1,0)+IF(CM955="D",1,0)+IF(CQ955="D",1,0)+IF(CR955="D",1,0)+IF(CS955="D",1,0)+IF(CW955="D",1,0)+IF(CX955="D",1,0)+IF(DD955="D",1,0)+IF(DE955="D",1,0)+IF(DJ955="D",1,0)+IF(DK955="D",1,0)+IF(DO955="D",1,0)+IF(DP955="D",1,0)+IF(DQ955="D",1,0)+IF(DW955="D",1,0)+IF(DZ955="D",1,0)+IF(EH955="D",1,0)</f>
        <v/>
      </c>
      <c r="AY955">
        <f>IF(DJ955&lt;&gt;"",1,0)+IF(DK955&lt;&gt;"",1,0)+IF(DM955&lt;&gt;"",1,0)+IF(DO955&lt;&gt;"",1,0)+IF(DP955&lt;&gt;"",1,0)+IF(DQ955&lt;&gt;"",1,0)+IF(DS955&lt;&gt;"",1,0)+IF(DT955&lt;&gt;"",1,0)+IF(DV955&lt;&gt;"",1,0)+IF(DW955&lt;&gt;"",1,0)+IF(DX955&lt;&gt;"",1,0)+IF(DY955&lt;&gt;"",1,0)+IF(DZ955&lt;&gt;"",1,0)+IF(EB955&lt;&gt;"",1,0)+IF(EC955&lt;&gt;"",1,0)+IF(ED955&lt;&gt;"",1,0)+IF(EG955&lt;&gt;"",1,0)+IF(EH955&lt;&gt;"",1,0)</f>
        <v/>
      </c>
      <c r="AZ955">
        <f>IF(EH955&lt;&gt;"",1,0)</f>
        <v/>
      </c>
      <c r="BB955" t="inlineStr">
        <is>
          <t>WARREN-WARD 4</t>
        </is>
      </c>
      <c r="DR955" t="inlineStr">
        <is>
          <t>X</t>
        </is>
      </c>
    </row>
    <row r="956">
      <c r="A956" t="inlineStr">
        <is>
          <t>OH0023264032</t>
        </is>
      </c>
      <c r="B956" t="n">
        <v>78</v>
      </c>
      <c r="C956" t="n">
        <v>409339</v>
      </c>
      <c r="D956" t="inlineStr">
        <is>
          <t>BARR</t>
        </is>
      </c>
      <c r="E956" t="inlineStr">
        <is>
          <t>ALICIA</t>
        </is>
      </c>
      <c r="F956">
        <f>CONCATENATE(D956," ",LEFT(H956,4),"T=",AU956,"D=",AV956,"R=",AW956,"M=",AX956,"L=",AY956,"B=",AZ956)</f>
        <v/>
      </c>
      <c r="G956" t="inlineStr">
        <is>
          <t>D</t>
        </is>
      </c>
      <c r="I956" t="inlineStr">
        <is>
          <t>1982-06-18</t>
        </is>
      </c>
      <c r="J956" t="inlineStr">
        <is>
          <t>2015-08-27</t>
        </is>
      </c>
      <c r="K956" t="inlineStr">
        <is>
          <t>ACTIVE</t>
        </is>
      </c>
      <c r="M956" t="inlineStr">
        <is>
          <t>400 WOODBINE AVE SE</t>
        </is>
      </c>
      <c r="N956">
        <f>RIGHT(M956,LEN(M956)-FIND(" ",M956))</f>
        <v/>
      </c>
      <c r="P956" t="inlineStr">
        <is>
          <t>WARREN</t>
        </is>
      </c>
      <c r="Q956" t="inlineStr">
        <is>
          <t>OH</t>
        </is>
      </c>
      <c r="R956" t="n">
        <v>44483</v>
      </c>
      <c r="AD956" t="inlineStr">
        <is>
          <t>TRUMBULL CAREER &amp; TECH CENTER</t>
        </is>
      </c>
      <c r="AE956" t="inlineStr">
        <is>
          <t>WARREN CITY</t>
        </is>
      </c>
      <c r="AF956" t="inlineStr">
        <is>
          <t>WARREN CITY SD</t>
        </is>
      </c>
      <c r="AH956" t="n">
        <v>14</v>
      </c>
      <c r="AI956" t="n">
        <v>11</v>
      </c>
      <c r="AN956" t="inlineStr">
        <is>
          <t>WARREN</t>
        </is>
      </c>
      <c r="AO956" t="inlineStr">
        <is>
          <t>WARREN CITY 4A</t>
        </is>
      </c>
      <c r="AP956" t="inlineStr">
        <is>
          <t>78-P-ADI</t>
        </is>
      </c>
      <c r="AQ956" t="n">
        <v>9</v>
      </c>
      <c r="AR956" t="n">
        <v>64</v>
      </c>
      <c r="AS956" t="n">
        <v>32</v>
      </c>
      <c r="AU956">
        <f>COUNTA($BA$956:$EH$956)</f>
        <v/>
      </c>
      <c r="AV956">
        <f>COUNTIF($BA$956:$EH$956,"D")</f>
        <v/>
      </c>
      <c r="AW956">
        <f>COUNTIF($BA$956:$EH$956,"R")</f>
        <v/>
      </c>
      <c r="AX956">
        <f>IF(BN956="D",1,0)+IF(BO956="D",1,0)+IF(BT956="D",1,0)+IF(BU956="D",1,0)+IF(BW956="D",1,0)+IF(CC956="D",1,0)+IF(CD956="D",1,0)+IF(CE956="D",1,0)+IF(CF956="D",1,0)+IF(CL956="D",1,0)+IF(CM956="D",1,0)+IF(CQ956="D",1,0)+IF(CR956="D",1,0)+IF(CS956="D",1,0)+IF(CW956="D",1,0)+IF(CX956="D",1,0)+IF(DD956="D",1,0)+IF(DE956="D",1,0)+IF(DJ956="D",1,0)+IF(DK956="D",1,0)+IF(DO956="D",1,0)+IF(DP956="D",1,0)+IF(DQ956="D",1,0)+IF(DW956="D",1,0)+IF(DZ956="D",1,0)+IF(EH956="D",1,0)</f>
        <v/>
      </c>
      <c r="AY956">
        <f>IF(DJ956&lt;&gt;"",1,0)+IF(DK956&lt;&gt;"",1,0)+IF(DM956&lt;&gt;"",1,0)+IF(DO956&lt;&gt;"",1,0)+IF(DP956&lt;&gt;"",1,0)+IF(DQ956&lt;&gt;"",1,0)+IF(DS956&lt;&gt;"",1,0)+IF(DT956&lt;&gt;"",1,0)+IF(DV956&lt;&gt;"",1,0)+IF(DW956&lt;&gt;"",1,0)+IF(DX956&lt;&gt;"",1,0)+IF(DY956&lt;&gt;"",1,0)+IF(DZ956&lt;&gt;"",1,0)+IF(EB956&lt;&gt;"",1,0)+IF(EC956&lt;&gt;"",1,0)+IF(ED956&lt;&gt;"",1,0)+IF(EG956&lt;&gt;"",1,0)+IF(EH956&lt;&gt;"",1,0)</f>
        <v/>
      </c>
      <c r="AZ956">
        <f>IF(EH956&lt;&gt;"",1,0)</f>
        <v/>
      </c>
      <c r="BB956" t="inlineStr">
        <is>
          <t>WARREN-WARD 4</t>
        </is>
      </c>
      <c r="EF956" t="inlineStr">
        <is>
          <t>X</t>
        </is>
      </c>
    </row>
    <row r="957">
      <c r="A957" t="inlineStr">
        <is>
          <t>OH0027906179</t>
        </is>
      </c>
      <c r="B957" t="n">
        <v>78</v>
      </c>
      <c r="C957" t="n">
        <v>495138</v>
      </c>
      <c r="D957" t="inlineStr">
        <is>
          <t>MURPHY</t>
        </is>
      </c>
      <c r="E957" t="inlineStr">
        <is>
          <t>MCKENNA</t>
        </is>
      </c>
      <c r="F957">
        <f>CONCATENATE(D957," ",LEFT(H957,4),"T=",AU957,"D=",AV957,"R=",AW957,"M=",AX957,"L=",AY957,"B=",AZ957)</f>
        <v/>
      </c>
      <c r="G957" t="inlineStr">
        <is>
          <t>RAE</t>
        </is>
      </c>
      <c r="I957" t="inlineStr">
        <is>
          <t>2006-08-31</t>
        </is>
      </c>
      <c r="J957" t="inlineStr">
        <is>
          <t>2025-02-25</t>
        </is>
      </c>
      <c r="K957" t="inlineStr">
        <is>
          <t>ACTIVE</t>
        </is>
      </c>
      <c r="M957" t="inlineStr">
        <is>
          <t>773 KENILWORTH AVE SE</t>
        </is>
      </c>
      <c r="N957">
        <f>RIGHT(M957,LEN(M957)-FIND(" ",M957))</f>
        <v/>
      </c>
      <c r="P957" t="inlineStr">
        <is>
          <t>WARREN</t>
        </is>
      </c>
      <c r="Q957" t="inlineStr">
        <is>
          <t>OH</t>
        </is>
      </c>
      <c r="R957" t="n">
        <v>44484</v>
      </c>
      <c r="AD957" t="inlineStr">
        <is>
          <t>TRUMBULL CAREER &amp; TECH CENTER</t>
        </is>
      </c>
      <c r="AE957" t="inlineStr">
        <is>
          <t>WARREN CITY</t>
        </is>
      </c>
      <c r="AF957" t="inlineStr">
        <is>
          <t>WARREN CITY SD</t>
        </is>
      </c>
      <c r="AH957" t="n">
        <v>14</v>
      </c>
      <c r="AI957" t="n">
        <v>11</v>
      </c>
      <c r="AN957" t="inlineStr">
        <is>
          <t>WARREN</t>
        </is>
      </c>
      <c r="AO957" t="inlineStr">
        <is>
          <t>WARREN CITY 4A</t>
        </is>
      </c>
      <c r="AP957" t="inlineStr">
        <is>
          <t>78-P-ADI</t>
        </is>
      </c>
      <c r="AQ957" t="n">
        <v>9</v>
      </c>
      <c r="AR957" t="n">
        <v>64</v>
      </c>
      <c r="AS957" t="n">
        <v>32</v>
      </c>
      <c r="AU957">
        <f>COUNTA($BA$957:$EH$957)</f>
        <v/>
      </c>
      <c r="AV957">
        <f>COUNTIF($BA$957:$EH$957,"D")</f>
        <v/>
      </c>
      <c r="AW957">
        <f>COUNTIF($BA$957:$EH$957,"R")</f>
        <v/>
      </c>
      <c r="AX957">
        <f>IF(BN957="D",1,0)+IF(BO957="D",1,0)+IF(BT957="D",1,0)+IF(BU957="D",1,0)+IF(BW957="D",1,0)+IF(CC957="D",1,0)+IF(CD957="D",1,0)+IF(CE957="D",1,0)+IF(CF957="D",1,0)+IF(CL957="D",1,0)+IF(CM957="D",1,0)+IF(CQ957="D",1,0)+IF(CR957="D",1,0)+IF(CS957="D",1,0)+IF(CW957="D",1,0)+IF(CX957="D",1,0)+IF(DD957="D",1,0)+IF(DE957="D",1,0)+IF(DJ957="D",1,0)+IF(DK957="D",1,0)+IF(DO957="D",1,0)+IF(DP957="D",1,0)+IF(DQ957="D",1,0)+IF(DW957="D",1,0)+IF(DZ957="D",1,0)+IF(EH957="D",1,0)</f>
        <v/>
      </c>
      <c r="AY957">
        <f>IF(DJ957&lt;&gt;"",1,0)+IF(DK957&lt;&gt;"",1,0)+IF(DM957&lt;&gt;"",1,0)+IF(DO957&lt;&gt;"",1,0)+IF(DP957&lt;&gt;"",1,0)+IF(DQ957&lt;&gt;"",1,0)+IF(DS957&lt;&gt;"",1,0)+IF(DT957&lt;&gt;"",1,0)+IF(DV957&lt;&gt;"",1,0)+IF(DW957&lt;&gt;"",1,0)+IF(DX957&lt;&gt;"",1,0)+IF(DY957&lt;&gt;"",1,0)+IF(DZ957&lt;&gt;"",1,0)+IF(EB957&lt;&gt;"",1,0)+IF(EC957&lt;&gt;"",1,0)+IF(ED957&lt;&gt;"",1,0)+IF(EG957&lt;&gt;"",1,0)+IF(EH957&lt;&gt;"",1,0)</f>
        <v/>
      </c>
      <c r="AZ957">
        <f>IF(EH957&lt;&gt;"",1,0)</f>
        <v/>
      </c>
      <c r="BB957" t="inlineStr">
        <is>
          <t>WARREN-WARD 4</t>
        </is>
      </c>
    </row>
    <row r="958">
      <c r="A958" t="inlineStr">
        <is>
          <t>OH0015749961</t>
        </is>
      </c>
      <c r="B958" t="n">
        <v>78</v>
      </c>
      <c r="C958" t="n">
        <v>236553</v>
      </c>
      <c r="D958" t="inlineStr">
        <is>
          <t>MCGRATH</t>
        </is>
      </c>
      <c r="E958" t="inlineStr">
        <is>
          <t>TAMMY</t>
        </is>
      </c>
      <c r="F958">
        <f>CONCATENATE(D958," ",LEFT(H958,4),"T=",AU958,"D=",AV958,"R=",AW958,"M=",AX958,"L=",AY958,"B=",AZ958)</f>
        <v/>
      </c>
      <c r="G958" t="inlineStr">
        <is>
          <t>L</t>
        </is>
      </c>
      <c r="I958" t="inlineStr">
        <is>
          <t>1959-05-01</t>
        </is>
      </c>
      <c r="J958" t="inlineStr">
        <is>
          <t>1992-05-01</t>
        </is>
      </c>
      <c r="K958" t="inlineStr">
        <is>
          <t>ACTIVE</t>
        </is>
      </c>
      <c r="L958" t="inlineStr">
        <is>
          <t>D</t>
        </is>
      </c>
      <c r="M958" t="inlineStr">
        <is>
          <t>409 KENILWORTH AVE SE</t>
        </is>
      </c>
      <c r="N958">
        <f>RIGHT(M958,LEN(M958)-FIND(" ",M958))</f>
        <v/>
      </c>
      <c r="P958" t="inlineStr">
        <is>
          <t>WARREN</t>
        </is>
      </c>
      <c r="Q958" t="inlineStr">
        <is>
          <t>OH</t>
        </is>
      </c>
      <c r="R958" t="n">
        <v>44483</v>
      </c>
      <c r="AD958" t="inlineStr">
        <is>
          <t>TRUMBULL CAREER &amp; TECH CENTER</t>
        </is>
      </c>
      <c r="AE958" t="inlineStr">
        <is>
          <t>WARREN CITY</t>
        </is>
      </c>
      <c r="AF958" t="inlineStr">
        <is>
          <t>WARREN CITY SD</t>
        </is>
      </c>
      <c r="AH958" t="n">
        <v>14</v>
      </c>
      <c r="AI958" t="n">
        <v>11</v>
      </c>
      <c r="AN958" t="inlineStr">
        <is>
          <t>WARREN</t>
        </is>
      </c>
      <c r="AO958" t="inlineStr">
        <is>
          <t>WARREN CITY 4A</t>
        </is>
      </c>
      <c r="AP958" t="inlineStr">
        <is>
          <t>78-P-ADI</t>
        </is>
      </c>
      <c r="AQ958" t="n">
        <v>9</v>
      </c>
      <c r="AR958" t="n">
        <v>64</v>
      </c>
      <c r="AS958" t="n">
        <v>32</v>
      </c>
      <c r="AU958">
        <f>COUNTA($BA$958:$EH$958)</f>
        <v/>
      </c>
      <c r="AV958">
        <f>COUNTIF($BA$958:$EH$958,"D")</f>
        <v/>
      </c>
      <c r="AW958">
        <f>COUNTIF($BA$958:$EH$958,"R")</f>
        <v/>
      </c>
      <c r="AX958">
        <f>IF(BN958="D",1,0)+IF(BO958="D",1,0)+IF(BT958="D",1,0)+IF(BU958="D",1,0)+IF(BW958="D",1,0)+IF(CC958="D",1,0)+IF(CD958="D",1,0)+IF(CE958="D",1,0)+IF(CF958="D",1,0)+IF(CL958="D",1,0)+IF(CM958="D",1,0)+IF(CQ958="D",1,0)+IF(CR958="D",1,0)+IF(CS958="D",1,0)+IF(CW958="D",1,0)+IF(CX958="D",1,0)+IF(DD958="D",1,0)+IF(DE958="D",1,0)+IF(DJ958="D",1,0)+IF(DK958="D",1,0)+IF(DO958="D",1,0)+IF(DP958="D",1,0)+IF(DQ958="D",1,0)+IF(DW958="D",1,0)+IF(DZ958="D",1,0)+IF(EH958="D",1,0)</f>
        <v/>
      </c>
      <c r="AY958">
        <f>IF(DJ958&lt;&gt;"",1,0)+IF(DK958&lt;&gt;"",1,0)+IF(DM958&lt;&gt;"",1,0)+IF(DO958&lt;&gt;"",1,0)+IF(DP958&lt;&gt;"",1,0)+IF(DQ958&lt;&gt;"",1,0)+IF(DS958&lt;&gt;"",1,0)+IF(DT958&lt;&gt;"",1,0)+IF(DV958&lt;&gt;"",1,0)+IF(DW958&lt;&gt;"",1,0)+IF(DX958&lt;&gt;"",1,0)+IF(DY958&lt;&gt;"",1,0)+IF(DZ958&lt;&gt;"",1,0)+IF(EB958&lt;&gt;"",1,0)+IF(EC958&lt;&gt;"",1,0)+IF(ED958&lt;&gt;"",1,0)+IF(EG958&lt;&gt;"",1,0)+IF(EH958&lt;&gt;"",1,0)</f>
        <v/>
      </c>
      <c r="AZ958">
        <f>IF(EH958&lt;&gt;"",1,0)</f>
        <v/>
      </c>
      <c r="BB958" t="inlineStr">
        <is>
          <t>WARREN-WARD 4</t>
        </is>
      </c>
      <c r="BC958" t="inlineStr">
        <is>
          <t>X</t>
        </is>
      </c>
      <c r="BD958" t="inlineStr">
        <is>
          <t>X</t>
        </is>
      </c>
      <c r="BE958" t="inlineStr">
        <is>
          <t>X</t>
        </is>
      </c>
      <c r="BG958" t="inlineStr">
        <is>
          <t>X</t>
        </is>
      </c>
      <c r="BH958" t="inlineStr">
        <is>
          <t>X</t>
        </is>
      </c>
      <c r="BI958" t="inlineStr">
        <is>
          <t>X</t>
        </is>
      </c>
      <c r="BJ958" t="inlineStr">
        <is>
          <t>X</t>
        </is>
      </c>
      <c r="BK958" t="inlineStr">
        <is>
          <t>X</t>
        </is>
      </c>
      <c r="BL958" t="inlineStr">
        <is>
          <t>X</t>
        </is>
      </c>
      <c r="BR958" t="inlineStr">
        <is>
          <t>X</t>
        </is>
      </c>
      <c r="BS958" t="inlineStr">
        <is>
          <t>X</t>
        </is>
      </c>
      <c r="BV958" t="inlineStr">
        <is>
          <t>X</t>
        </is>
      </c>
      <c r="BY958" t="inlineStr">
        <is>
          <t>D</t>
        </is>
      </c>
      <c r="CA958" t="inlineStr">
        <is>
          <t>X</t>
        </is>
      </c>
      <c r="CG958" t="inlineStr">
        <is>
          <t>X</t>
        </is>
      </c>
      <c r="CK958" t="inlineStr">
        <is>
          <t>X</t>
        </is>
      </c>
      <c r="CL958" t="inlineStr">
        <is>
          <t>D</t>
        </is>
      </c>
      <c r="CN958" t="inlineStr">
        <is>
          <t>X</t>
        </is>
      </c>
      <c r="CO958" t="inlineStr">
        <is>
          <t>D</t>
        </is>
      </c>
      <c r="CP958" t="inlineStr">
        <is>
          <t>X</t>
        </is>
      </c>
      <c r="CQ958" t="inlineStr">
        <is>
          <t>D</t>
        </is>
      </c>
      <c r="CT958" t="inlineStr">
        <is>
          <t>X</t>
        </is>
      </c>
      <c r="CV958" t="inlineStr">
        <is>
          <t>X</t>
        </is>
      </c>
      <c r="CW958" t="inlineStr">
        <is>
          <t>D</t>
        </is>
      </c>
      <c r="CY958" t="inlineStr">
        <is>
          <t>X</t>
        </is>
      </c>
      <c r="CZ958" t="inlineStr">
        <is>
          <t>D</t>
        </is>
      </c>
      <c r="DC958" t="inlineStr">
        <is>
          <t>X</t>
        </is>
      </c>
      <c r="DF958" t="inlineStr">
        <is>
          <t>X</t>
        </is>
      </c>
      <c r="DG958" t="inlineStr">
        <is>
          <t>D</t>
        </is>
      </c>
      <c r="DI958" t="inlineStr">
        <is>
          <t>X</t>
        </is>
      </c>
      <c r="DJ958" t="inlineStr">
        <is>
          <t>D</t>
        </is>
      </c>
      <c r="DL958" t="inlineStr">
        <is>
          <t>X</t>
        </is>
      </c>
      <c r="DN958" t="inlineStr">
        <is>
          <t>X</t>
        </is>
      </c>
      <c r="DS958" t="inlineStr">
        <is>
          <t>D</t>
        </is>
      </c>
      <c r="DU958" t="inlineStr">
        <is>
          <t>X</t>
        </is>
      </c>
      <c r="DW958" t="inlineStr">
        <is>
          <t>D</t>
        </is>
      </c>
      <c r="DX958" t="inlineStr">
        <is>
          <t>X</t>
        </is>
      </c>
      <c r="EF958" t="inlineStr">
        <is>
          <t>X</t>
        </is>
      </c>
    </row>
    <row r="959">
      <c r="A959" t="inlineStr">
        <is>
          <t>OH0026851503</t>
        </is>
      </c>
      <c r="B959" t="n">
        <v>78</v>
      </c>
      <c r="C959" t="n">
        <v>472451</v>
      </c>
      <c r="D959" t="inlineStr">
        <is>
          <t>LOPEZ</t>
        </is>
      </c>
      <c r="E959" t="inlineStr">
        <is>
          <t>MICHAEL</t>
        </is>
      </c>
      <c r="F959">
        <f>CONCATENATE(D959," ",LEFT(H959,4),"T=",AU959,"D=",AV959,"R=",AW959,"M=",AX959,"L=",AY959,"B=",AZ959)</f>
        <v/>
      </c>
      <c r="G959" t="inlineStr">
        <is>
          <t>JAMES</t>
        </is>
      </c>
      <c r="I959" t="inlineStr">
        <is>
          <t>1983-06-15</t>
        </is>
      </c>
      <c r="J959" t="inlineStr">
        <is>
          <t>2023-03-20</t>
        </is>
      </c>
      <c r="K959" t="inlineStr">
        <is>
          <t>ACTIVE</t>
        </is>
      </c>
      <c r="M959" t="inlineStr">
        <is>
          <t>851 HOMEWOOD AVE SE</t>
        </is>
      </c>
      <c r="N959">
        <f>RIGHT(M959,LEN(M959)-FIND(" ",M959))</f>
        <v/>
      </c>
      <c r="P959" t="inlineStr">
        <is>
          <t>WARREN</t>
        </is>
      </c>
      <c r="Q959" t="inlineStr">
        <is>
          <t>OH</t>
        </is>
      </c>
      <c r="R959" t="n">
        <v>44484</v>
      </c>
      <c r="AD959" t="inlineStr">
        <is>
          <t>TRUMBULL CAREER &amp; TECH CENTER</t>
        </is>
      </c>
      <c r="AE959" t="inlineStr">
        <is>
          <t>WARREN CITY</t>
        </is>
      </c>
      <c r="AF959" t="inlineStr">
        <is>
          <t>WARREN CITY SD</t>
        </is>
      </c>
      <c r="AH959" t="n">
        <v>14</v>
      </c>
      <c r="AI959" t="n">
        <v>11</v>
      </c>
      <c r="AN959" t="inlineStr">
        <is>
          <t>WARREN</t>
        </is>
      </c>
      <c r="AO959" t="inlineStr">
        <is>
          <t>WARREN CITY 4A</t>
        </is>
      </c>
      <c r="AP959" t="inlineStr">
        <is>
          <t>78-P-ADI</t>
        </is>
      </c>
      <c r="AQ959" t="n">
        <v>9</v>
      </c>
      <c r="AR959" t="n">
        <v>64</v>
      </c>
      <c r="AS959" t="n">
        <v>32</v>
      </c>
      <c r="AU959">
        <f>COUNTA($BA$959:$EH$959)</f>
        <v/>
      </c>
      <c r="AV959">
        <f>COUNTIF($BA$959:$EH$959,"D")</f>
        <v/>
      </c>
      <c r="AW959">
        <f>COUNTIF($BA$959:$EH$959,"R")</f>
        <v/>
      </c>
      <c r="AX959">
        <f>IF(BN959="D",1,0)+IF(BO959="D",1,0)+IF(BT959="D",1,0)+IF(BU959="D",1,0)+IF(BW959="D",1,0)+IF(CC959="D",1,0)+IF(CD959="D",1,0)+IF(CE959="D",1,0)+IF(CF959="D",1,0)+IF(CL959="D",1,0)+IF(CM959="D",1,0)+IF(CQ959="D",1,0)+IF(CR959="D",1,0)+IF(CS959="D",1,0)+IF(CW959="D",1,0)+IF(CX959="D",1,0)+IF(DD959="D",1,0)+IF(DE959="D",1,0)+IF(DJ959="D",1,0)+IF(DK959="D",1,0)+IF(DO959="D",1,0)+IF(DP959="D",1,0)+IF(DQ959="D",1,0)+IF(DW959="D",1,0)+IF(DZ959="D",1,0)+IF(EH959="D",1,0)</f>
        <v/>
      </c>
      <c r="AY959">
        <f>IF(DJ959&lt;&gt;"",1,0)+IF(DK959&lt;&gt;"",1,0)+IF(DM959&lt;&gt;"",1,0)+IF(DO959&lt;&gt;"",1,0)+IF(DP959&lt;&gt;"",1,0)+IF(DQ959&lt;&gt;"",1,0)+IF(DS959&lt;&gt;"",1,0)+IF(DT959&lt;&gt;"",1,0)+IF(DV959&lt;&gt;"",1,0)+IF(DW959&lt;&gt;"",1,0)+IF(DX959&lt;&gt;"",1,0)+IF(DY959&lt;&gt;"",1,0)+IF(DZ959&lt;&gt;"",1,0)+IF(EB959&lt;&gt;"",1,0)+IF(EC959&lt;&gt;"",1,0)+IF(ED959&lt;&gt;"",1,0)+IF(EG959&lt;&gt;"",1,0)+IF(EH959&lt;&gt;"",1,0)</f>
        <v/>
      </c>
      <c r="AZ959">
        <f>IF(EH959&lt;&gt;"",1,0)</f>
        <v/>
      </c>
      <c r="BB959" t="inlineStr">
        <is>
          <t>WARREN-WARD 4</t>
        </is>
      </c>
      <c r="CP959" t="inlineStr">
        <is>
          <t>X</t>
        </is>
      </c>
    </row>
    <row r="960">
      <c r="A960" t="inlineStr">
        <is>
          <t>OH0015814708</t>
        </is>
      </c>
      <c r="B960" t="n">
        <v>78</v>
      </c>
      <c r="C960" t="n">
        <v>303065</v>
      </c>
      <c r="D960" t="inlineStr">
        <is>
          <t>GRIMES</t>
        </is>
      </c>
      <c r="E960" t="inlineStr">
        <is>
          <t>SHAWTEASE</t>
        </is>
      </c>
      <c r="F960">
        <f>CONCATENATE(D960," ",LEFT(H960,4),"T=",AU960,"D=",AV960,"R=",AW960,"M=",AX960,"L=",AY960,"B=",AZ960)</f>
        <v/>
      </c>
      <c r="G960" t="inlineStr">
        <is>
          <t>L</t>
        </is>
      </c>
      <c r="I960" t="inlineStr">
        <is>
          <t>1981-11-07</t>
        </is>
      </c>
      <c r="J960" t="inlineStr">
        <is>
          <t>2022-11-30</t>
        </is>
      </c>
      <c r="K960" t="inlineStr">
        <is>
          <t>ACTIVE</t>
        </is>
      </c>
      <c r="M960" t="inlineStr">
        <is>
          <t>709 KENILWORTH AVE SE</t>
        </is>
      </c>
      <c r="N960">
        <f>RIGHT(M960,LEN(M960)-FIND(" ",M960))</f>
        <v/>
      </c>
      <c r="P960" t="inlineStr">
        <is>
          <t>WARREN</t>
        </is>
      </c>
      <c r="Q960" t="inlineStr">
        <is>
          <t>OH</t>
        </is>
      </c>
      <c r="R960" t="n">
        <v>44484</v>
      </c>
      <c r="AD960" t="inlineStr">
        <is>
          <t>TRUMBULL CAREER &amp; TECH CENTER</t>
        </is>
      </c>
      <c r="AE960" t="inlineStr">
        <is>
          <t>WARREN CITY</t>
        </is>
      </c>
      <c r="AF960" t="inlineStr">
        <is>
          <t>WARREN CITY SD</t>
        </is>
      </c>
      <c r="AH960" t="n">
        <v>14</v>
      </c>
      <c r="AI960" t="n">
        <v>11</v>
      </c>
      <c r="AN960" t="inlineStr">
        <is>
          <t>WARREN</t>
        </is>
      </c>
      <c r="AO960" t="inlineStr">
        <is>
          <t>WARREN CITY 4A</t>
        </is>
      </c>
      <c r="AP960" t="inlineStr">
        <is>
          <t>78-P-ADI</t>
        </is>
      </c>
      <c r="AQ960" t="n">
        <v>9</v>
      </c>
      <c r="AR960" t="n">
        <v>64</v>
      </c>
      <c r="AS960" t="n">
        <v>32</v>
      </c>
      <c r="AU960">
        <f>COUNTA($BA$960:$EH$960)</f>
        <v/>
      </c>
      <c r="AV960">
        <f>COUNTIF($BA$960:$EH$960,"D")</f>
        <v/>
      </c>
      <c r="AW960">
        <f>COUNTIF($BA$960:$EH$960,"R")</f>
        <v/>
      </c>
      <c r="AX960">
        <f>IF(BN960="D",1,0)+IF(BO960="D",1,0)+IF(BT960="D",1,0)+IF(BU960="D",1,0)+IF(BW960="D",1,0)+IF(CC960="D",1,0)+IF(CD960="D",1,0)+IF(CE960="D",1,0)+IF(CF960="D",1,0)+IF(CL960="D",1,0)+IF(CM960="D",1,0)+IF(CQ960="D",1,0)+IF(CR960="D",1,0)+IF(CS960="D",1,0)+IF(CW960="D",1,0)+IF(CX960="D",1,0)+IF(DD960="D",1,0)+IF(DE960="D",1,0)+IF(DJ960="D",1,0)+IF(DK960="D",1,0)+IF(DO960="D",1,0)+IF(DP960="D",1,0)+IF(DQ960="D",1,0)+IF(DW960="D",1,0)+IF(DZ960="D",1,0)+IF(EH960="D",1,0)</f>
        <v/>
      </c>
      <c r="AY960">
        <f>IF(DJ960&lt;&gt;"",1,0)+IF(DK960&lt;&gt;"",1,0)+IF(DM960&lt;&gt;"",1,0)+IF(DO960&lt;&gt;"",1,0)+IF(DP960&lt;&gt;"",1,0)+IF(DQ960&lt;&gt;"",1,0)+IF(DS960&lt;&gt;"",1,0)+IF(DT960&lt;&gt;"",1,0)+IF(DV960&lt;&gt;"",1,0)+IF(DW960&lt;&gt;"",1,0)+IF(DX960&lt;&gt;"",1,0)+IF(DY960&lt;&gt;"",1,0)+IF(DZ960&lt;&gt;"",1,0)+IF(EB960&lt;&gt;"",1,0)+IF(EC960&lt;&gt;"",1,0)+IF(ED960&lt;&gt;"",1,0)+IF(EG960&lt;&gt;"",1,0)+IF(EH960&lt;&gt;"",1,0)</f>
        <v/>
      </c>
      <c r="AZ960">
        <f>IF(EH960&lt;&gt;"",1,0)</f>
        <v/>
      </c>
      <c r="BB960" t="inlineStr">
        <is>
          <t>WARREN-WARD 4</t>
        </is>
      </c>
      <c r="BJ960" t="inlineStr">
        <is>
          <t>X</t>
        </is>
      </c>
      <c r="BL960" t="inlineStr">
        <is>
          <t>X</t>
        </is>
      </c>
      <c r="CA960" t="inlineStr">
        <is>
          <t>X</t>
        </is>
      </c>
      <c r="CP960" t="inlineStr">
        <is>
          <t>X</t>
        </is>
      </c>
      <c r="DC960" t="inlineStr">
        <is>
          <t>X</t>
        </is>
      </c>
      <c r="DJ960" t="inlineStr">
        <is>
          <t>D</t>
        </is>
      </c>
      <c r="DN960" t="inlineStr">
        <is>
          <t>X</t>
        </is>
      </c>
      <c r="DU960" t="inlineStr">
        <is>
          <t>X</t>
        </is>
      </c>
      <c r="DX960" t="inlineStr">
        <is>
          <t>X</t>
        </is>
      </c>
      <c r="EF960" t="inlineStr">
        <is>
          <t>X</t>
        </is>
      </c>
    </row>
    <row r="961">
      <c r="A961" t="inlineStr">
        <is>
          <t>OH0026947034</t>
        </is>
      </c>
      <c r="B961" t="n">
        <v>78</v>
      </c>
      <c r="C961" t="n">
        <v>474887</v>
      </c>
      <c r="D961" t="inlineStr">
        <is>
          <t>DE JESUS</t>
        </is>
      </c>
      <c r="E961" t="inlineStr">
        <is>
          <t>JASON</t>
        </is>
      </c>
      <c r="F961">
        <f>CONCATENATE(D961," ",LEFT(H961,4),"T=",AU961,"D=",AV961,"R=",AW961,"M=",AX961,"L=",AY961,"B=",AZ961)</f>
        <v/>
      </c>
      <c r="G961" t="inlineStr">
        <is>
          <t>LUIS</t>
        </is>
      </c>
      <c r="I961" t="inlineStr">
        <is>
          <t>1984-03-16</t>
        </is>
      </c>
      <c r="J961" t="inlineStr">
        <is>
          <t>2023-05-01</t>
        </is>
      </c>
      <c r="K961" t="inlineStr">
        <is>
          <t>ACTIVE</t>
        </is>
      </c>
      <c r="M961" t="inlineStr">
        <is>
          <t>806 HOMEWOOD AVE SE</t>
        </is>
      </c>
      <c r="N961">
        <f>RIGHT(M961,LEN(M961)-FIND(" ",M961))</f>
        <v/>
      </c>
      <c r="P961" t="inlineStr">
        <is>
          <t>WARREN</t>
        </is>
      </c>
      <c r="Q961" t="inlineStr">
        <is>
          <t>OH</t>
        </is>
      </c>
      <c r="R961" t="n">
        <v>44484</v>
      </c>
      <c r="AD961" t="inlineStr">
        <is>
          <t>TRUMBULL CAREER &amp; TECH CENTER</t>
        </is>
      </c>
      <c r="AE961" t="inlineStr">
        <is>
          <t>WARREN CITY</t>
        </is>
      </c>
      <c r="AF961" t="inlineStr">
        <is>
          <t>WARREN CITY SD</t>
        </is>
      </c>
      <c r="AH961" t="n">
        <v>14</v>
      </c>
      <c r="AI961" t="n">
        <v>11</v>
      </c>
      <c r="AN961" t="inlineStr">
        <is>
          <t>WARREN</t>
        </is>
      </c>
      <c r="AO961" t="inlineStr">
        <is>
          <t>WARREN CITY 4A</t>
        </is>
      </c>
      <c r="AP961" t="inlineStr">
        <is>
          <t>78-P-ADI</t>
        </is>
      </c>
      <c r="AQ961" t="n">
        <v>9</v>
      </c>
      <c r="AR961" t="n">
        <v>64</v>
      </c>
      <c r="AS961" t="n">
        <v>32</v>
      </c>
      <c r="AU961">
        <f>COUNTA($BA$961:$EH$961)</f>
        <v/>
      </c>
      <c r="AV961">
        <f>COUNTIF($BA$961:$EH$961,"D")</f>
        <v/>
      </c>
      <c r="AW961">
        <f>COUNTIF($BA$961:$EH$961,"R")</f>
        <v/>
      </c>
      <c r="AX961">
        <f>IF(BN961="D",1,0)+IF(BO961="D",1,0)+IF(BT961="D",1,0)+IF(BU961="D",1,0)+IF(BW961="D",1,0)+IF(CC961="D",1,0)+IF(CD961="D",1,0)+IF(CE961="D",1,0)+IF(CF961="D",1,0)+IF(CL961="D",1,0)+IF(CM961="D",1,0)+IF(CQ961="D",1,0)+IF(CR961="D",1,0)+IF(CS961="D",1,0)+IF(CW961="D",1,0)+IF(CX961="D",1,0)+IF(DD961="D",1,0)+IF(DE961="D",1,0)+IF(DJ961="D",1,0)+IF(DK961="D",1,0)+IF(DO961="D",1,0)+IF(DP961="D",1,0)+IF(DQ961="D",1,0)+IF(DW961="D",1,0)+IF(DZ961="D",1,0)+IF(EH961="D",1,0)</f>
        <v/>
      </c>
      <c r="AY961">
        <f>IF(DJ961&lt;&gt;"",1,0)+IF(DK961&lt;&gt;"",1,0)+IF(DM961&lt;&gt;"",1,0)+IF(DO961&lt;&gt;"",1,0)+IF(DP961&lt;&gt;"",1,0)+IF(DQ961&lt;&gt;"",1,0)+IF(DS961&lt;&gt;"",1,0)+IF(DT961&lt;&gt;"",1,0)+IF(DV961&lt;&gt;"",1,0)+IF(DW961&lt;&gt;"",1,0)+IF(DX961&lt;&gt;"",1,0)+IF(DY961&lt;&gt;"",1,0)+IF(DZ961&lt;&gt;"",1,0)+IF(EB961&lt;&gt;"",1,0)+IF(EC961&lt;&gt;"",1,0)+IF(ED961&lt;&gt;"",1,0)+IF(EG961&lt;&gt;"",1,0)+IF(EH961&lt;&gt;"",1,0)</f>
        <v/>
      </c>
      <c r="AZ961">
        <f>IF(EH961&lt;&gt;"",1,0)</f>
        <v/>
      </c>
      <c r="BB961" t="inlineStr">
        <is>
          <t>WARREN-WARD 4</t>
        </is>
      </c>
      <c r="EF961" t="inlineStr">
        <is>
          <t>X</t>
        </is>
      </c>
    </row>
    <row r="962">
      <c r="A962" t="inlineStr">
        <is>
          <t>OH0023263997</t>
        </is>
      </c>
      <c r="B962" t="n">
        <v>78</v>
      </c>
      <c r="C962" t="n">
        <v>409338</v>
      </c>
      <c r="D962" t="inlineStr">
        <is>
          <t>FERREBEE</t>
        </is>
      </c>
      <c r="E962" t="inlineStr">
        <is>
          <t>DAWN</t>
        </is>
      </c>
      <c r="F962">
        <f>CONCATENATE(D962," ",LEFT(H962,4),"T=",AU962,"D=",AV962,"R=",AW962,"M=",AX962,"L=",AY962,"B=",AZ962)</f>
        <v/>
      </c>
      <c r="G962" t="inlineStr">
        <is>
          <t>M</t>
        </is>
      </c>
      <c r="I962" t="inlineStr">
        <is>
          <t>1983-03-30</t>
        </is>
      </c>
      <c r="J962" t="inlineStr">
        <is>
          <t>2023-04-08</t>
        </is>
      </c>
      <c r="K962" t="inlineStr">
        <is>
          <t>ACTIVE</t>
        </is>
      </c>
      <c r="M962" t="inlineStr">
        <is>
          <t>556 WOODBINE AVE SE</t>
        </is>
      </c>
      <c r="N962">
        <f>RIGHT(M962,LEN(M962)-FIND(" ",M962))</f>
        <v/>
      </c>
      <c r="P962" t="inlineStr">
        <is>
          <t>WARREN</t>
        </is>
      </c>
      <c r="Q962" t="inlineStr">
        <is>
          <t>OH</t>
        </is>
      </c>
      <c r="R962" t="n">
        <v>44483</v>
      </c>
      <c r="AD962" t="inlineStr">
        <is>
          <t>TRUMBULL CAREER &amp; TECH CENTER</t>
        </is>
      </c>
      <c r="AE962" t="inlineStr">
        <is>
          <t>WARREN CITY</t>
        </is>
      </c>
      <c r="AF962" t="inlineStr">
        <is>
          <t>WARREN CITY SD</t>
        </is>
      </c>
      <c r="AH962" t="n">
        <v>14</v>
      </c>
      <c r="AI962" t="n">
        <v>11</v>
      </c>
      <c r="AN962" t="inlineStr">
        <is>
          <t>WARREN</t>
        </is>
      </c>
      <c r="AO962" t="inlineStr">
        <is>
          <t>WARREN CITY 4A</t>
        </is>
      </c>
      <c r="AP962" t="inlineStr">
        <is>
          <t>78-P-ADI</t>
        </is>
      </c>
      <c r="AQ962" t="n">
        <v>9</v>
      </c>
      <c r="AR962" t="n">
        <v>64</v>
      </c>
      <c r="AS962" t="n">
        <v>32</v>
      </c>
      <c r="AU962">
        <f>COUNTA($BA$962:$EH$962)</f>
        <v/>
      </c>
      <c r="AV962">
        <f>COUNTIF($BA$962:$EH$962,"D")</f>
        <v/>
      </c>
      <c r="AW962">
        <f>COUNTIF($BA$962:$EH$962,"R")</f>
        <v/>
      </c>
      <c r="AX962">
        <f>IF(BN962="D",1,0)+IF(BO962="D",1,0)+IF(BT962="D",1,0)+IF(BU962="D",1,0)+IF(BW962="D",1,0)+IF(CC962="D",1,0)+IF(CD962="D",1,0)+IF(CE962="D",1,0)+IF(CF962="D",1,0)+IF(CL962="D",1,0)+IF(CM962="D",1,0)+IF(CQ962="D",1,0)+IF(CR962="D",1,0)+IF(CS962="D",1,0)+IF(CW962="D",1,0)+IF(CX962="D",1,0)+IF(DD962="D",1,0)+IF(DE962="D",1,0)+IF(DJ962="D",1,0)+IF(DK962="D",1,0)+IF(DO962="D",1,0)+IF(DP962="D",1,0)+IF(DQ962="D",1,0)+IF(DW962="D",1,0)+IF(DZ962="D",1,0)+IF(EH962="D",1,0)</f>
        <v/>
      </c>
      <c r="AY962">
        <f>IF(DJ962&lt;&gt;"",1,0)+IF(DK962&lt;&gt;"",1,0)+IF(DM962&lt;&gt;"",1,0)+IF(DO962&lt;&gt;"",1,0)+IF(DP962&lt;&gt;"",1,0)+IF(DQ962&lt;&gt;"",1,0)+IF(DS962&lt;&gt;"",1,0)+IF(DT962&lt;&gt;"",1,0)+IF(DV962&lt;&gt;"",1,0)+IF(DW962&lt;&gt;"",1,0)+IF(DX962&lt;&gt;"",1,0)+IF(DY962&lt;&gt;"",1,0)+IF(DZ962&lt;&gt;"",1,0)+IF(EB962&lt;&gt;"",1,0)+IF(EC962&lt;&gt;"",1,0)+IF(ED962&lt;&gt;"",1,0)+IF(EG962&lt;&gt;"",1,0)+IF(EH962&lt;&gt;"",1,0)</f>
        <v/>
      </c>
      <c r="AZ962">
        <f>IF(EH962&lt;&gt;"",1,0)</f>
        <v/>
      </c>
      <c r="BB962" t="inlineStr">
        <is>
          <t>WARREN-WARD 4</t>
        </is>
      </c>
      <c r="BL962" t="inlineStr">
        <is>
          <t>X</t>
        </is>
      </c>
    </row>
    <row r="963">
      <c r="A963" t="inlineStr">
        <is>
          <t>OH0022832160</t>
        </is>
      </c>
      <c r="B963" t="n">
        <v>78</v>
      </c>
      <c r="C963" t="n">
        <v>402975</v>
      </c>
      <c r="D963" t="inlineStr">
        <is>
          <t>NAGY</t>
        </is>
      </c>
      <c r="E963" t="inlineStr">
        <is>
          <t>JAYDA</t>
        </is>
      </c>
      <c r="F963">
        <f>CONCATENATE(D963," ",LEFT(H963,4),"T=",AU963,"D=",AV963,"R=",AW963,"M=",AX963,"L=",AY963,"B=",AZ963)</f>
        <v/>
      </c>
      <c r="G963" t="inlineStr">
        <is>
          <t>N</t>
        </is>
      </c>
      <c r="I963" t="inlineStr">
        <is>
          <t>1994-11-19</t>
        </is>
      </c>
      <c r="J963" t="inlineStr">
        <is>
          <t>2014-05-06</t>
        </is>
      </c>
      <c r="K963" t="inlineStr">
        <is>
          <t>ACTIVE</t>
        </is>
      </c>
      <c r="L963" t="inlineStr">
        <is>
          <t>R</t>
        </is>
      </c>
      <c r="M963" t="inlineStr">
        <is>
          <t>170 KENILWORTH AVE SE</t>
        </is>
      </c>
      <c r="N963">
        <f>RIGHT(M963,LEN(M963)-FIND(" ",M963))</f>
        <v/>
      </c>
      <c r="P963" t="inlineStr">
        <is>
          <t>WARREN</t>
        </is>
      </c>
      <c r="Q963" t="inlineStr">
        <is>
          <t>OH</t>
        </is>
      </c>
      <c r="R963" t="n">
        <v>44483</v>
      </c>
      <c r="AD963" t="inlineStr">
        <is>
          <t>TRUMBULL CAREER &amp; TECH CENTER</t>
        </is>
      </c>
      <c r="AE963" t="inlineStr">
        <is>
          <t>WARREN CITY</t>
        </is>
      </c>
      <c r="AF963" t="inlineStr">
        <is>
          <t>WARREN CITY SD</t>
        </is>
      </c>
      <c r="AH963" t="n">
        <v>14</v>
      </c>
      <c r="AI963" t="n">
        <v>11</v>
      </c>
      <c r="AN963" t="inlineStr">
        <is>
          <t>WARREN</t>
        </is>
      </c>
      <c r="AO963" t="inlineStr">
        <is>
          <t>WARREN CITY 4A</t>
        </is>
      </c>
      <c r="AP963" t="inlineStr">
        <is>
          <t>78-P-ADI</t>
        </is>
      </c>
      <c r="AQ963" t="n">
        <v>9</v>
      </c>
      <c r="AR963" t="n">
        <v>64</v>
      </c>
      <c r="AS963" t="n">
        <v>32</v>
      </c>
      <c r="AU963">
        <f>COUNTA($BA$963:$EH$963)</f>
        <v/>
      </c>
      <c r="AV963">
        <f>COUNTIF($BA$963:$EH$963,"D")</f>
        <v/>
      </c>
      <c r="AW963">
        <f>COUNTIF($BA$963:$EH$963,"R")</f>
        <v/>
      </c>
      <c r="AX963">
        <f>IF(BN963="D",1,0)+IF(BO963="D",1,0)+IF(BT963="D",1,0)+IF(BU963="D",1,0)+IF(BW963="D",1,0)+IF(CC963="D",1,0)+IF(CD963="D",1,0)+IF(CE963="D",1,0)+IF(CF963="D",1,0)+IF(CL963="D",1,0)+IF(CM963="D",1,0)+IF(CQ963="D",1,0)+IF(CR963="D",1,0)+IF(CS963="D",1,0)+IF(CW963="D",1,0)+IF(CX963="D",1,0)+IF(DD963="D",1,0)+IF(DE963="D",1,0)+IF(DJ963="D",1,0)+IF(DK963="D",1,0)+IF(DO963="D",1,0)+IF(DP963="D",1,0)+IF(DQ963="D",1,0)+IF(DW963="D",1,0)+IF(DZ963="D",1,0)+IF(EH963="D",1,0)</f>
        <v/>
      </c>
      <c r="AY963">
        <f>IF(DJ963&lt;&gt;"",1,0)+IF(DK963&lt;&gt;"",1,0)+IF(DM963&lt;&gt;"",1,0)+IF(DO963&lt;&gt;"",1,0)+IF(DP963&lt;&gt;"",1,0)+IF(DQ963&lt;&gt;"",1,0)+IF(DS963&lt;&gt;"",1,0)+IF(DT963&lt;&gt;"",1,0)+IF(DV963&lt;&gt;"",1,0)+IF(DW963&lt;&gt;"",1,0)+IF(DX963&lt;&gt;"",1,0)+IF(DY963&lt;&gt;"",1,0)+IF(DZ963&lt;&gt;"",1,0)+IF(EB963&lt;&gt;"",1,0)+IF(EC963&lt;&gt;"",1,0)+IF(ED963&lt;&gt;"",1,0)+IF(EG963&lt;&gt;"",1,0)+IF(EH963&lt;&gt;"",1,0)</f>
        <v/>
      </c>
      <c r="AZ963">
        <f>IF(EH963&lt;&gt;"",1,0)</f>
        <v/>
      </c>
      <c r="BB963" t="inlineStr">
        <is>
          <t>WARREN-WARD 4</t>
        </is>
      </c>
      <c r="CY963" t="inlineStr">
        <is>
          <t>X</t>
        </is>
      </c>
      <c r="CZ963" t="inlineStr">
        <is>
          <t>D</t>
        </is>
      </c>
      <c r="DC963" t="inlineStr">
        <is>
          <t>X</t>
        </is>
      </c>
      <c r="DI963" t="inlineStr">
        <is>
          <t>X</t>
        </is>
      </c>
      <c r="DL963" t="inlineStr">
        <is>
          <t>X</t>
        </is>
      </c>
      <c r="DM963" t="inlineStr">
        <is>
          <t>R</t>
        </is>
      </c>
      <c r="DN963" t="inlineStr">
        <is>
          <t>X</t>
        </is>
      </c>
      <c r="DS963" t="inlineStr">
        <is>
          <t>R</t>
        </is>
      </c>
      <c r="DT963" t="inlineStr">
        <is>
          <t>R</t>
        </is>
      </c>
      <c r="DU963" t="inlineStr">
        <is>
          <t>X</t>
        </is>
      </c>
      <c r="ED963" t="inlineStr">
        <is>
          <t>R</t>
        </is>
      </c>
      <c r="EF963" t="inlineStr">
        <is>
          <t>X</t>
        </is>
      </c>
    </row>
    <row r="964">
      <c r="A964" t="inlineStr">
        <is>
          <t>OH0025336539</t>
        </is>
      </c>
      <c r="B964" t="n">
        <v>78</v>
      </c>
      <c r="C964" t="n">
        <v>442823</v>
      </c>
      <c r="D964" t="inlineStr">
        <is>
          <t>CONWAY</t>
        </is>
      </c>
      <c r="E964" t="inlineStr">
        <is>
          <t>JONATHAN</t>
        </is>
      </c>
      <c r="F964">
        <f>CONCATENATE(D964," ",LEFT(H964,4),"T=",AU964,"D=",AV964,"R=",AW964,"M=",AX964,"L=",AY964,"B=",AZ964)</f>
        <v/>
      </c>
      <c r="G964" t="inlineStr">
        <is>
          <t>MICHAEL</t>
        </is>
      </c>
      <c r="I964" t="inlineStr">
        <is>
          <t>1987-08-05</t>
        </is>
      </c>
      <c r="J964" t="inlineStr">
        <is>
          <t>2019-12-26</t>
        </is>
      </c>
      <c r="K964" t="inlineStr">
        <is>
          <t>CONFIRMATION</t>
        </is>
      </c>
      <c r="M964" t="inlineStr">
        <is>
          <t>119 LOGAN AVE SE</t>
        </is>
      </c>
      <c r="N964">
        <f>RIGHT(M964,LEN(M964)-FIND(" ",M964))</f>
        <v/>
      </c>
      <c r="P964" t="inlineStr">
        <is>
          <t>WARREN</t>
        </is>
      </c>
      <c r="Q964" t="inlineStr">
        <is>
          <t>OH</t>
        </is>
      </c>
      <c r="R964" t="n">
        <v>44483</v>
      </c>
      <c r="AD964" t="inlineStr">
        <is>
          <t>TRUMBULL CAREER &amp; TECH CENTER</t>
        </is>
      </c>
      <c r="AE964" t="inlineStr">
        <is>
          <t>WARREN CITY</t>
        </is>
      </c>
      <c r="AF964" t="inlineStr">
        <is>
          <t>WARREN CITY SD</t>
        </is>
      </c>
      <c r="AH964" t="n">
        <v>14</v>
      </c>
      <c r="AI964" t="n">
        <v>11</v>
      </c>
      <c r="AN964" t="inlineStr">
        <is>
          <t>WARREN</t>
        </is>
      </c>
      <c r="AO964" t="inlineStr">
        <is>
          <t>WARREN CITY 4A</t>
        </is>
      </c>
      <c r="AP964" t="inlineStr">
        <is>
          <t>78-P-ADI</t>
        </is>
      </c>
      <c r="AQ964" t="n">
        <v>9</v>
      </c>
      <c r="AR964" t="n">
        <v>64</v>
      </c>
      <c r="AS964" t="n">
        <v>32</v>
      </c>
      <c r="AU964">
        <f>COUNTA($BA$964:$EH$964)</f>
        <v/>
      </c>
      <c r="AV964">
        <f>COUNTIF($BA$964:$EH$964,"D")</f>
        <v/>
      </c>
      <c r="AW964">
        <f>COUNTIF($BA$964:$EH$964,"R")</f>
        <v/>
      </c>
      <c r="AX964">
        <f>IF(BN964="D",1,0)+IF(BO964="D",1,0)+IF(BT964="D",1,0)+IF(BU964="D",1,0)+IF(BW964="D",1,0)+IF(CC964="D",1,0)+IF(CD964="D",1,0)+IF(CE964="D",1,0)+IF(CF964="D",1,0)+IF(CL964="D",1,0)+IF(CM964="D",1,0)+IF(CQ964="D",1,0)+IF(CR964="D",1,0)+IF(CS964="D",1,0)+IF(CW964="D",1,0)+IF(CX964="D",1,0)+IF(DD964="D",1,0)+IF(DE964="D",1,0)+IF(DJ964="D",1,0)+IF(DK964="D",1,0)+IF(DO964="D",1,0)+IF(DP964="D",1,0)+IF(DQ964="D",1,0)+IF(DW964="D",1,0)+IF(DZ964="D",1,0)+IF(EH964="D",1,0)</f>
        <v/>
      </c>
      <c r="AY964">
        <f>IF(DJ964&lt;&gt;"",1,0)+IF(DK964&lt;&gt;"",1,0)+IF(DM964&lt;&gt;"",1,0)+IF(DO964&lt;&gt;"",1,0)+IF(DP964&lt;&gt;"",1,0)+IF(DQ964&lt;&gt;"",1,0)+IF(DS964&lt;&gt;"",1,0)+IF(DT964&lt;&gt;"",1,0)+IF(DV964&lt;&gt;"",1,0)+IF(DW964&lt;&gt;"",1,0)+IF(DX964&lt;&gt;"",1,0)+IF(DY964&lt;&gt;"",1,0)+IF(DZ964&lt;&gt;"",1,0)+IF(EB964&lt;&gt;"",1,0)+IF(EC964&lt;&gt;"",1,0)+IF(ED964&lt;&gt;"",1,0)+IF(EG964&lt;&gt;"",1,0)+IF(EH964&lt;&gt;"",1,0)</f>
        <v/>
      </c>
      <c r="AZ964">
        <f>IF(EH964&lt;&gt;"",1,0)</f>
        <v/>
      </c>
      <c r="BB964" t="inlineStr">
        <is>
          <t>WARREN-WARD 4</t>
        </is>
      </c>
    </row>
    <row r="965">
      <c r="A965" t="inlineStr">
        <is>
          <t>OH0025229841</t>
        </is>
      </c>
      <c r="B965" t="n">
        <v>78</v>
      </c>
      <c r="C965" t="n">
        <v>441745</v>
      </c>
      <c r="D965" t="inlineStr">
        <is>
          <t>BROWN</t>
        </is>
      </c>
      <c r="E965" t="inlineStr">
        <is>
          <t>LATRELL</t>
        </is>
      </c>
      <c r="F965">
        <f>CONCATENATE(D965," ",LEFT(H965,4),"T=",AU965,"D=",AV965,"R=",AW965,"M=",AX965,"L=",AY965,"B=",AZ965)</f>
        <v/>
      </c>
      <c r="G965" t="inlineStr">
        <is>
          <t>I</t>
        </is>
      </c>
      <c r="I965" t="inlineStr">
        <is>
          <t>2001-09-22</t>
        </is>
      </c>
      <c r="J965" t="inlineStr">
        <is>
          <t>2019-09-24</t>
        </is>
      </c>
      <c r="K965" t="inlineStr">
        <is>
          <t>CONFIRMATION</t>
        </is>
      </c>
      <c r="M965" t="inlineStr">
        <is>
          <t>306 WOODBINE AVE SE</t>
        </is>
      </c>
      <c r="N965">
        <f>RIGHT(M965,LEN(M965)-FIND(" ",M965))</f>
        <v/>
      </c>
      <c r="P965" t="inlineStr">
        <is>
          <t>WARREN</t>
        </is>
      </c>
      <c r="Q965" t="inlineStr">
        <is>
          <t>OH</t>
        </is>
      </c>
      <c r="R965" t="n">
        <v>44483</v>
      </c>
      <c r="AD965" t="inlineStr">
        <is>
          <t>TRUMBULL CAREER &amp; TECH CENTER</t>
        </is>
      </c>
      <c r="AE965" t="inlineStr">
        <is>
          <t>WARREN CITY</t>
        </is>
      </c>
      <c r="AF965" t="inlineStr">
        <is>
          <t>WARREN CITY SD</t>
        </is>
      </c>
      <c r="AH965" t="n">
        <v>14</v>
      </c>
      <c r="AI965" t="n">
        <v>11</v>
      </c>
      <c r="AN965" t="inlineStr">
        <is>
          <t>WARREN</t>
        </is>
      </c>
      <c r="AO965" t="inlineStr">
        <is>
          <t>WARREN CITY 4A</t>
        </is>
      </c>
      <c r="AP965" t="inlineStr">
        <is>
          <t>78-P-ADI</t>
        </is>
      </c>
      <c r="AQ965" t="n">
        <v>9</v>
      </c>
      <c r="AR965" t="n">
        <v>64</v>
      </c>
      <c r="AS965" t="n">
        <v>32</v>
      </c>
      <c r="AU965">
        <f>COUNTA($BA$965:$EH$965)</f>
        <v/>
      </c>
      <c r="AV965">
        <f>COUNTIF($BA$965:$EH$965,"D")</f>
        <v/>
      </c>
      <c r="AW965">
        <f>COUNTIF($BA$965:$EH$965,"R")</f>
        <v/>
      </c>
      <c r="AX965">
        <f>IF(BN965="D",1,0)+IF(BO965="D",1,0)+IF(BT965="D",1,0)+IF(BU965="D",1,0)+IF(BW965="D",1,0)+IF(CC965="D",1,0)+IF(CD965="D",1,0)+IF(CE965="D",1,0)+IF(CF965="D",1,0)+IF(CL965="D",1,0)+IF(CM965="D",1,0)+IF(CQ965="D",1,0)+IF(CR965="D",1,0)+IF(CS965="D",1,0)+IF(CW965="D",1,0)+IF(CX965="D",1,0)+IF(DD965="D",1,0)+IF(DE965="D",1,0)+IF(DJ965="D",1,0)+IF(DK965="D",1,0)+IF(DO965="D",1,0)+IF(DP965="D",1,0)+IF(DQ965="D",1,0)+IF(DW965="D",1,0)+IF(DZ965="D",1,0)+IF(EH965="D",1,0)</f>
        <v/>
      </c>
      <c r="AY965">
        <f>IF(DJ965&lt;&gt;"",1,0)+IF(DK965&lt;&gt;"",1,0)+IF(DM965&lt;&gt;"",1,0)+IF(DO965&lt;&gt;"",1,0)+IF(DP965&lt;&gt;"",1,0)+IF(DQ965&lt;&gt;"",1,0)+IF(DS965&lt;&gt;"",1,0)+IF(DT965&lt;&gt;"",1,0)+IF(DV965&lt;&gt;"",1,0)+IF(DW965&lt;&gt;"",1,0)+IF(DX965&lt;&gt;"",1,0)+IF(DY965&lt;&gt;"",1,0)+IF(DZ965&lt;&gt;"",1,0)+IF(EB965&lt;&gt;"",1,0)+IF(EC965&lt;&gt;"",1,0)+IF(ED965&lt;&gt;"",1,0)+IF(EG965&lt;&gt;"",1,0)+IF(EH965&lt;&gt;"",1,0)</f>
        <v/>
      </c>
      <c r="AZ965">
        <f>IF(EH965&lt;&gt;"",1,0)</f>
        <v/>
      </c>
      <c r="BB965" t="inlineStr">
        <is>
          <t>WARREN-WARD 4</t>
        </is>
      </c>
    </row>
    <row r="966">
      <c r="A966" t="inlineStr">
        <is>
          <t>OH0015747832</t>
        </is>
      </c>
      <c r="B966" t="n">
        <v>78</v>
      </c>
      <c r="C966" t="n">
        <v>234335</v>
      </c>
      <c r="D966" t="inlineStr">
        <is>
          <t>HERSHBERGER</t>
        </is>
      </c>
      <c r="E966" t="inlineStr">
        <is>
          <t>GLENNA</t>
        </is>
      </c>
      <c r="F966">
        <f>CONCATENATE(D966," ",LEFT(H966,4),"T=",AU966,"D=",AV966,"R=",AW966,"M=",AX966,"L=",AY966,"B=",AZ966)</f>
        <v/>
      </c>
      <c r="G966" t="inlineStr">
        <is>
          <t>J</t>
        </is>
      </c>
      <c r="I966" t="inlineStr">
        <is>
          <t>1958-08-04</t>
        </is>
      </c>
      <c r="J966" t="inlineStr">
        <is>
          <t>2017-08-03</t>
        </is>
      </c>
      <c r="K966" t="inlineStr">
        <is>
          <t>ACTIVE</t>
        </is>
      </c>
      <c r="L966" t="inlineStr">
        <is>
          <t>D</t>
        </is>
      </c>
      <c r="M966" t="inlineStr">
        <is>
          <t>369 KENILWORTH AVE SE</t>
        </is>
      </c>
      <c r="N966">
        <f>RIGHT(M966,LEN(M966)-FIND(" ",M966))</f>
        <v/>
      </c>
      <c r="P966" t="inlineStr">
        <is>
          <t>WARREN</t>
        </is>
      </c>
      <c r="Q966" t="inlineStr">
        <is>
          <t>OH</t>
        </is>
      </c>
      <c r="R966" t="n">
        <v>44483</v>
      </c>
      <c r="AD966" t="inlineStr">
        <is>
          <t>TRUMBULL CAREER &amp; TECH CENTER</t>
        </is>
      </c>
      <c r="AE966" t="inlineStr">
        <is>
          <t>WARREN CITY</t>
        </is>
      </c>
      <c r="AF966" t="inlineStr">
        <is>
          <t>WARREN CITY SD</t>
        </is>
      </c>
      <c r="AH966" t="n">
        <v>14</v>
      </c>
      <c r="AI966" t="n">
        <v>11</v>
      </c>
      <c r="AN966" t="inlineStr">
        <is>
          <t>WARREN</t>
        </is>
      </c>
      <c r="AO966" t="inlineStr">
        <is>
          <t>WARREN CITY 4A</t>
        </is>
      </c>
      <c r="AP966" t="inlineStr">
        <is>
          <t>78-P-ADI</t>
        </is>
      </c>
      <c r="AQ966" t="n">
        <v>9</v>
      </c>
      <c r="AR966" t="n">
        <v>64</v>
      </c>
      <c r="AS966" t="n">
        <v>32</v>
      </c>
      <c r="AU966">
        <f>COUNTA($BA$966:$EH$966)</f>
        <v/>
      </c>
      <c r="AV966">
        <f>COUNTIF($BA$966:$EH$966,"D")</f>
        <v/>
      </c>
      <c r="AW966">
        <f>COUNTIF($BA$966:$EH$966,"R")</f>
        <v/>
      </c>
      <c r="AX966">
        <f>IF(BN966="D",1,0)+IF(BO966="D",1,0)+IF(BT966="D",1,0)+IF(BU966="D",1,0)+IF(BW966="D",1,0)+IF(CC966="D",1,0)+IF(CD966="D",1,0)+IF(CE966="D",1,0)+IF(CF966="D",1,0)+IF(CL966="D",1,0)+IF(CM966="D",1,0)+IF(CQ966="D",1,0)+IF(CR966="D",1,0)+IF(CS966="D",1,0)+IF(CW966="D",1,0)+IF(CX966="D",1,0)+IF(DD966="D",1,0)+IF(DE966="D",1,0)+IF(DJ966="D",1,0)+IF(DK966="D",1,0)+IF(DO966="D",1,0)+IF(DP966="D",1,0)+IF(DQ966="D",1,0)+IF(DW966="D",1,0)+IF(DZ966="D",1,0)+IF(EH966="D",1,0)</f>
        <v/>
      </c>
      <c r="AY966">
        <f>IF(DJ966&lt;&gt;"",1,0)+IF(DK966&lt;&gt;"",1,0)+IF(DM966&lt;&gt;"",1,0)+IF(DO966&lt;&gt;"",1,0)+IF(DP966&lt;&gt;"",1,0)+IF(DQ966&lt;&gt;"",1,0)+IF(DS966&lt;&gt;"",1,0)+IF(DT966&lt;&gt;"",1,0)+IF(DV966&lt;&gt;"",1,0)+IF(DW966&lt;&gt;"",1,0)+IF(DX966&lt;&gt;"",1,0)+IF(DY966&lt;&gt;"",1,0)+IF(DZ966&lt;&gt;"",1,0)+IF(EB966&lt;&gt;"",1,0)+IF(EC966&lt;&gt;"",1,0)+IF(ED966&lt;&gt;"",1,0)+IF(EG966&lt;&gt;"",1,0)+IF(EH966&lt;&gt;"",1,0)</f>
        <v/>
      </c>
      <c r="AZ966">
        <f>IF(EH966&lt;&gt;"",1,0)</f>
        <v/>
      </c>
      <c r="BB966" t="inlineStr">
        <is>
          <t>WARREN-WARD 4</t>
        </is>
      </c>
      <c r="BC966" t="inlineStr">
        <is>
          <t>X</t>
        </is>
      </c>
      <c r="BD966" t="inlineStr">
        <is>
          <t>X</t>
        </is>
      </c>
      <c r="BG966" t="inlineStr">
        <is>
          <t>X</t>
        </is>
      </c>
      <c r="BH966" t="inlineStr">
        <is>
          <t>X</t>
        </is>
      </c>
      <c r="BI966" t="inlineStr">
        <is>
          <t>X</t>
        </is>
      </c>
      <c r="BJ966" t="inlineStr">
        <is>
          <t>X</t>
        </is>
      </c>
      <c r="BK966" t="inlineStr">
        <is>
          <t>X</t>
        </is>
      </c>
      <c r="BL966" t="inlineStr">
        <is>
          <t>X</t>
        </is>
      </c>
      <c r="BP966" t="inlineStr">
        <is>
          <t>X</t>
        </is>
      </c>
      <c r="BR966" t="inlineStr">
        <is>
          <t>X</t>
        </is>
      </c>
      <c r="BS966" t="inlineStr">
        <is>
          <t>X</t>
        </is>
      </c>
      <c r="BV966" t="inlineStr">
        <is>
          <t>X</t>
        </is>
      </c>
      <c r="BY966" t="inlineStr">
        <is>
          <t>D</t>
        </is>
      </c>
      <c r="CA966" t="inlineStr">
        <is>
          <t>X</t>
        </is>
      </c>
      <c r="CG966" t="inlineStr">
        <is>
          <t>X</t>
        </is>
      </c>
      <c r="CK966" t="inlineStr">
        <is>
          <t>X</t>
        </is>
      </c>
      <c r="CN966" t="inlineStr">
        <is>
          <t>X</t>
        </is>
      </c>
      <c r="CO966" t="inlineStr">
        <is>
          <t>X</t>
        </is>
      </c>
      <c r="CP966" t="inlineStr">
        <is>
          <t>X</t>
        </is>
      </c>
      <c r="CT966" t="inlineStr">
        <is>
          <t>X</t>
        </is>
      </c>
      <c r="CV966" t="inlineStr">
        <is>
          <t>X</t>
        </is>
      </c>
      <c r="CY966" t="inlineStr">
        <is>
          <t>X</t>
        </is>
      </c>
      <c r="CZ966" t="inlineStr">
        <is>
          <t>D</t>
        </is>
      </c>
      <c r="DC966" t="inlineStr">
        <is>
          <t>X</t>
        </is>
      </c>
      <c r="DF966" t="inlineStr">
        <is>
          <t>X</t>
        </is>
      </c>
      <c r="DG966" t="inlineStr">
        <is>
          <t>D</t>
        </is>
      </c>
      <c r="DI966" t="inlineStr">
        <is>
          <t>X</t>
        </is>
      </c>
      <c r="DJ966" t="inlineStr">
        <is>
          <t>D</t>
        </is>
      </c>
      <c r="DL966" t="inlineStr">
        <is>
          <t>X</t>
        </is>
      </c>
      <c r="DM966" t="inlineStr">
        <is>
          <t>D</t>
        </is>
      </c>
      <c r="DN966" t="inlineStr">
        <is>
          <t>X</t>
        </is>
      </c>
      <c r="DR966" t="inlineStr">
        <is>
          <t>X</t>
        </is>
      </c>
      <c r="DS966" t="inlineStr">
        <is>
          <t>D</t>
        </is>
      </c>
      <c r="DU966" t="inlineStr">
        <is>
          <t>X</t>
        </is>
      </c>
      <c r="DW966" t="inlineStr">
        <is>
          <t>X</t>
        </is>
      </c>
      <c r="DX966" t="inlineStr">
        <is>
          <t>X</t>
        </is>
      </c>
      <c r="EA966" t="inlineStr">
        <is>
          <t>X</t>
        </is>
      </c>
      <c r="ED966" t="inlineStr">
        <is>
          <t>X</t>
        </is>
      </c>
      <c r="EF966" t="inlineStr">
        <is>
          <t>X</t>
        </is>
      </c>
      <c r="EH966" t="inlineStr">
        <is>
          <t>X</t>
        </is>
      </c>
    </row>
    <row r="967">
      <c r="A967" t="inlineStr">
        <is>
          <t>OH0027473893</t>
        </is>
      </c>
      <c r="B967" t="n">
        <v>78</v>
      </c>
      <c r="C967" t="n">
        <v>486641</v>
      </c>
      <c r="D967" t="inlineStr">
        <is>
          <t>GONZALEZ</t>
        </is>
      </c>
      <c r="E967" t="inlineStr">
        <is>
          <t>JAVIER</t>
        </is>
      </c>
      <c r="F967">
        <f>CONCATENATE(D967," ",LEFT(H967,4),"T=",AU967,"D=",AV967,"R=",AW967,"M=",AX967,"L=",AY967,"B=",AZ967)</f>
        <v/>
      </c>
      <c r="G967" t="inlineStr">
        <is>
          <t>JESUS</t>
        </is>
      </c>
      <c r="I967" t="inlineStr">
        <is>
          <t>1996-07-19</t>
        </is>
      </c>
      <c r="J967" t="inlineStr">
        <is>
          <t>2024-08-01</t>
        </is>
      </c>
      <c r="K967" t="inlineStr">
        <is>
          <t>ACTIVE</t>
        </is>
      </c>
      <c r="M967" t="inlineStr">
        <is>
          <t>304 ADELAIDE AVE SE</t>
        </is>
      </c>
      <c r="N967">
        <f>RIGHT(M967,LEN(M967)-FIND(" ",M967))</f>
        <v/>
      </c>
      <c r="P967" t="inlineStr">
        <is>
          <t>WARREN</t>
        </is>
      </c>
      <c r="Q967" t="inlineStr">
        <is>
          <t>OH</t>
        </is>
      </c>
      <c r="R967" t="n">
        <v>44483</v>
      </c>
      <c r="AD967" t="inlineStr">
        <is>
          <t>TRUMBULL CAREER &amp; TECH CENTER</t>
        </is>
      </c>
      <c r="AE967" t="inlineStr">
        <is>
          <t>WARREN CITY</t>
        </is>
      </c>
      <c r="AF967" t="inlineStr">
        <is>
          <t>WARREN CITY SD</t>
        </is>
      </c>
      <c r="AH967" t="n">
        <v>14</v>
      </c>
      <c r="AI967" t="n">
        <v>11</v>
      </c>
      <c r="AN967" t="inlineStr">
        <is>
          <t>WARREN</t>
        </is>
      </c>
      <c r="AO967" t="inlineStr">
        <is>
          <t>WARREN CITY 4A</t>
        </is>
      </c>
      <c r="AP967" t="inlineStr">
        <is>
          <t>78-P-ADI</t>
        </is>
      </c>
      <c r="AQ967" t="n">
        <v>9</v>
      </c>
      <c r="AR967" t="n">
        <v>64</v>
      </c>
      <c r="AS967" t="n">
        <v>32</v>
      </c>
      <c r="AU967">
        <f>COUNTA($BA$967:$EH$967)</f>
        <v/>
      </c>
      <c r="AV967">
        <f>COUNTIF($BA$967:$EH$967,"D")</f>
        <v/>
      </c>
      <c r="AW967">
        <f>COUNTIF($BA$967:$EH$967,"R")</f>
        <v/>
      </c>
      <c r="AX967">
        <f>IF(BN967="D",1,0)+IF(BO967="D",1,0)+IF(BT967="D",1,0)+IF(BU967="D",1,0)+IF(BW967="D",1,0)+IF(CC967="D",1,0)+IF(CD967="D",1,0)+IF(CE967="D",1,0)+IF(CF967="D",1,0)+IF(CL967="D",1,0)+IF(CM967="D",1,0)+IF(CQ967="D",1,0)+IF(CR967="D",1,0)+IF(CS967="D",1,0)+IF(CW967="D",1,0)+IF(CX967="D",1,0)+IF(DD967="D",1,0)+IF(DE967="D",1,0)+IF(DJ967="D",1,0)+IF(DK967="D",1,0)+IF(DO967="D",1,0)+IF(DP967="D",1,0)+IF(DQ967="D",1,0)+IF(DW967="D",1,0)+IF(DZ967="D",1,0)+IF(EH967="D",1,0)</f>
        <v/>
      </c>
      <c r="AY967">
        <f>IF(DJ967&lt;&gt;"",1,0)+IF(DK967&lt;&gt;"",1,0)+IF(DM967&lt;&gt;"",1,0)+IF(DO967&lt;&gt;"",1,0)+IF(DP967&lt;&gt;"",1,0)+IF(DQ967&lt;&gt;"",1,0)+IF(DS967&lt;&gt;"",1,0)+IF(DT967&lt;&gt;"",1,0)+IF(DV967&lt;&gt;"",1,0)+IF(DW967&lt;&gt;"",1,0)+IF(DX967&lt;&gt;"",1,0)+IF(DY967&lt;&gt;"",1,0)+IF(DZ967&lt;&gt;"",1,0)+IF(EB967&lt;&gt;"",1,0)+IF(EC967&lt;&gt;"",1,0)+IF(ED967&lt;&gt;"",1,0)+IF(EG967&lt;&gt;"",1,0)+IF(EH967&lt;&gt;"",1,0)</f>
        <v/>
      </c>
      <c r="AZ967">
        <f>IF(EH967&lt;&gt;"",1,0)</f>
        <v/>
      </c>
      <c r="BB967" t="inlineStr">
        <is>
          <t>WARREN-WARD 4</t>
        </is>
      </c>
      <c r="DN967" t="inlineStr">
        <is>
          <t>X</t>
        </is>
      </c>
      <c r="DX967" t="inlineStr">
        <is>
          <t>X</t>
        </is>
      </c>
      <c r="EF967" t="inlineStr">
        <is>
          <t>X</t>
        </is>
      </c>
    </row>
    <row r="968">
      <c r="A968" t="inlineStr">
        <is>
          <t>OH0023261579</t>
        </is>
      </c>
      <c r="B968" t="n">
        <v>78</v>
      </c>
      <c r="C968" t="n">
        <v>409267</v>
      </c>
      <c r="D968" t="inlineStr">
        <is>
          <t>DANDREA</t>
        </is>
      </c>
      <c r="E968" t="inlineStr">
        <is>
          <t>JOSHUA</t>
        </is>
      </c>
      <c r="F968">
        <f>CONCATENATE(D968," ",LEFT(H968,4),"T=",AU968,"D=",AV968,"R=",AW968,"M=",AX968,"L=",AY968,"B=",AZ968)</f>
        <v/>
      </c>
      <c r="G968" t="inlineStr">
        <is>
          <t>J</t>
        </is>
      </c>
      <c r="I968" t="inlineStr">
        <is>
          <t>1993-08-16</t>
        </is>
      </c>
      <c r="J968" t="inlineStr">
        <is>
          <t>2015-08-26</t>
        </is>
      </c>
      <c r="K968" t="inlineStr">
        <is>
          <t>ACTIVE</t>
        </is>
      </c>
      <c r="M968" t="inlineStr">
        <is>
          <t>680 WOODBINE AVE SE</t>
        </is>
      </c>
      <c r="N968">
        <f>RIGHT(M968,LEN(M968)-FIND(" ",M968))</f>
        <v/>
      </c>
      <c r="P968" t="inlineStr">
        <is>
          <t>WARREN</t>
        </is>
      </c>
      <c r="Q968" t="inlineStr">
        <is>
          <t>OH</t>
        </is>
      </c>
      <c r="R968" t="n">
        <v>44483</v>
      </c>
      <c r="AD968" t="inlineStr">
        <is>
          <t>TRUMBULL CAREER &amp; TECH CENTER</t>
        </is>
      </c>
      <c r="AE968" t="inlineStr">
        <is>
          <t>WARREN CITY</t>
        </is>
      </c>
      <c r="AF968" t="inlineStr">
        <is>
          <t>WARREN CITY SD</t>
        </is>
      </c>
      <c r="AH968" t="n">
        <v>14</v>
      </c>
      <c r="AI968" t="n">
        <v>11</v>
      </c>
      <c r="AN968" t="inlineStr">
        <is>
          <t>WARREN</t>
        </is>
      </c>
      <c r="AO968" t="inlineStr">
        <is>
          <t>WARREN CITY 4A</t>
        </is>
      </c>
      <c r="AP968" t="inlineStr">
        <is>
          <t>78-P-ADI</t>
        </is>
      </c>
      <c r="AQ968" t="n">
        <v>9</v>
      </c>
      <c r="AR968" t="n">
        <v>64</v>
      </c>
      <c r="AS968" t="n">
        <v>32</v>
      </c>
      <c r="AU968">
        <f>COUNTA($BA$968:$EH$968)</f>
        <v/>
      </c>
      <c r="AV968">
        <f>COUNTIF($BA$968:$EH$968,"D")</f>
        <v/>
      </c>
      <c r="AW968">
        <f>COUNTIF($BA$968:$EH$968,"R")</f>
        <v/>
      </c>
      <c r="AX968">
        <f>IF(BN968="D",1,0)+IF(BO968="D",1,0)+IF(BT968="D",1,0)+IF(BU968="D",1,0)+IF(BW968="D",1,0)+IF(CC968="D",1,0)+IF(CD968="D",1,0)+IF(CE968="D",1,0)+IF(CF968="D",1,0)+IF(CL968="D",1,0)+IF(CM968="D",1,0)+IF(CQ968="D",1,0)+IF(CR968="D",1,0)+IF(CS968="D",1,0)+IF(CW968="D",1,0)+IF(CX968="D",1,0)+IF(DD968="D",1,0)+IF(DE968="D",1,0)+IF(DJ968="D",1,0)+IF(DK968="D",1,0)+IF(DO968="D",1,0)+IF(DP968="D",1,0)+IF(DQ968="D",1,0)+IF(DW968="D",1,0)+IF(DZ968="D",1,0)+IF(EH968="D",1,0)</f>
        <v/>
      </c>
      <c r="AY968">
        <f>IF(DJ968&lt;&gt;"",1,0)+IF(DK968&lt;&gt;"",1,0)+IF(DM968&lt;&gt;"",1,0)+IF(DO968&lt;&gt;"",1,0)+IF(DP968&lt;&gt;"",1,0)+IF(DQ968&lt;&gt;"",1,0)+IF(DS968&lt;&gt;"",1,0)+IF(DT968&lt;&gt;"",1,0)+IF(DV968&lt;&gt;"",1,0)+IF(DW968&lt;&gt;"",1,0)+IF(DX968&lt;&gt;"",1,0)+IF(DY968&lt;&gt;"",1,0)+IF(DZ968&lt;&gt;"",1,0)+IF(EB968&lt;&gt;"",1,0)+IF(EC968&lt;&gt;"",1,0)+IF(ED968&lt;&gt;"",1,0)+IF(EG968&lt;&gt;"",1,0)+IF(EH968&lt;&gt;"",1,0)</f>
        <v/>
      </c>
      <c r="AZ968">
        <f>IF(EH968&lt;&gt;"",1,0)</f>
        <v/>
      </c>
      <c r="BB968" t="inlineStr">
        <is>
          <t>WARREN-WARD 4</t>
        </is>
      </c>
      <c r="CZ968" t="inlineStr">
        <is>
          <t>D</t>
        </is>
      </c>
      <c r="DN968" t="inlineStr">
        <is>
          <t>X</t>
        </is>
      </c>
      <c r="EF968" t="inlineStr">
        <is>
          <t>X</t>
        </is>
      </c>
    </row>
    <row r="969">
      <c r="A969" t="inlineStr">
        <is>
          <t>OH0015812225</t>
        </is>
      </c>
      <c r="B969" t="n">
        <v>78</v>
      </c>
      <c r="C969" t="n">
        <v>262257</v>
      </c>
      <c r="D969" t="inlineStr">
        <is>
          <t>SCOTT</t>
        </is>
      </c>
      <c r="E969" t="inlineStr">
        <is>
          <t>DESHAWN</t>
        </is>
      </c>
      <c r="F969">
        <f>CONCATENATE(D969," ",LEFT(H969,4),"T=",AU969,"D=",AV969,"R=",AW969,"M=",AX969,"L=",AY969,"B=",AZ969)</f>
        <v/>
      </c>
      <c r="G969" t="inlineStr">
        <is>
          <t>L</t>
        </is>
      </c>
      <c r="I969" t="inlineStr">
        <is>
          <t>1972-03-24</t>
        </is>
      </c>
      <c r="J969" t="inlineStr">
        <is>
          <t>2023-07-10</t>
        </is>
      </c>
      <c r="K969" t="inlineStr">
        <is>
          <t>ACTIVE</t>
        </is>
      </c>
      <c r="M969" t="inlineStr">
        <is>
          <t>751 BONNIE BRAE AVE SE</t>
        </is>
      </c>
      <c r="N969">
        <f>RIGHT(M969,LEN(M969)-FIND(" ",M969))</f>
        <v/>
      </c>
      <c r="P969" t="inlineStr">
        <is>
          <t>WARREN</t>
        </is>
      </c>
      <c r="Q969" t="inlineStr">
        <is>
          <t>OH</t>
        </is>
      </c>
      <c r="R969" t="n">
        <v>44484</v>
      </c>
      <c r="AD969" t="inlineStr">
        <is>
          <t>TRUMBULL CAREER &amp; TECH CENTER</t>
        </is>
      </c>
      <c r="AE969" t="inlineStr">
        <is>
          <t>WARREN CITY</t>
        </is>
      </c>
      <c r="AF969" t="inlineStr">
        <is>
          <t>WARREN CITY SD</t>
        </is>
      </c>
      <c r="AH969" t="n">
        <v>14</v>
      </c>
      <c r="AI969" t="n">
        <v>11</v>
      </c>
      <c r="AN969" t="inlineStr">
        <is>
          <t>WARREN</t>
        </is>
      </c>
      <c r="AO969" t="inlineStr">
        <is>
          <t>WARREN CITY 4A</t>
        </is>
      </c>
      <c r="AP969" t="inlineStr">
        <is>
          <t>78-P-ADI</t>
        </is>
      </c>
      <c r="AQ969" t="n">
        <v>9</v>
      </c>
      <c r="AR969" t="n">
        <v>64</v>
      </c>
      <c r="AS969" t="n">
        <v>32</v>
      </c>
      <c r="AU969">
        <f>COUNTA($BA$969:$EH$969)</f>
        <v/>
      </c>
      <c r="AV969">
        <f>COUNTIF($BA$969:$EH$969,"D")</f>
        <v/>
      </c>
      <c r="AW969">
        <f>COUNTIF($BA$969:$EH$969,"R")</f>
        <v/>
      </c>
      <c r="AX969">
        <f>IF(BN969="D",1,0)+IF(BO969="D",1,0)+IF(BT969="D",1,0)+IF(BU969="D",1,0)+IF(BW969="D",1,0)+IF(CC969="D",1,0)+IF(CD969="D",1,0)+IF(CE969="D",1,0)+IF(CF969="D",1,0)+IF(CL969="D",1,0)+IF(CM969="D",1,0)+IF(CQ969="D",1,0)+IF(CR969="D",1,0)+IF(CS969="D",1,0)+IF(CW969="D",1,0)+IF(CX969="D",1,0)+IF(DD969="D",1,0)+IF(DE969="D",1,0)+IF(DJ969="D",1,0)+IF(DK969="D",1,0)+IF(DO969="D",1,0)+IF(DP969="D",1,0)+IF(DQ969="D",1,0)+IF(DW969="D",1,0)+IF(DZ969="D",1,0)+IF(EH969="D",1,0)</f>
        <v/>
      </c>
      <c r="AY969">
        <f>IF(DJ969&lt;&gt;"",1,0)+IF(DK969&lt;&gt;"",1,0)+IF(DM969&lt;&gt;"",1,0)+IF(DO969&lt;&gt;"",1,0)+IF(DP969&lt;&gt;"",1,0)+IF(DQ969&lt;&gt;"",1,0)+IF(DS969&lt;&gt;"",1,0)+IF(DT969&lt;&gt;"",1,0)+IF(DV969&lt;&gt;"",1,0)+IF(DW969&lt;&gt;"",1,0)+IF(DX969&lt;&gt;"",1,0)+IF(DY969&lt;&gt;"",1,0)+IF(DZ969&lt;&gt;"",1,0)+IF(EB969&lt;&gt;"",1,0)+IF(EC969&lt;&gt;"",1,0)+IF(ED969&lt;&gt;"",1,0)+IF(EG969&lt;&gt;"",1,0)+IF(EH969&lt;&gt;"",1,0)</f>
        <v/>
      </c>
      <c r="AZ969">
        <f>IF(EH969&lt;&gt;"",1,0)</f>
        <v/>
      </c>
      <c r="BB969" t="inlineStr">
        <is>
          <t>WARREN-WARD 4</t>
        </is>
      </c>
      <c r="BD969" t="inlineStr">
        <is>
          <t>X</t>
        </is>
      </c>
      <c r="BH969" t="inlineStr">
        <is>
          <t>X</t>
        </is>
      </c>
      <c r="BI969" t="inlineStr">
        <is>
          <t>X</t>
        </is>
      </c>
      <c r="BJ969" t="inlineStr">
        <is>
          <t>X</t>
        </is>
      </c>
      <c r="BK969" t="inlineStr">
        <is>
          <t>X</t>
        </is>
      </c>
      <c r="BL969" t="inlineStr">
        <is>
          <t>X</t>
        </is>
      </c>
      <c r="CA969" t="inlineStr">
        <is>
          <t>X</t>
        </is>
      </c>
      <c r="DI969" t="inlineStr">
        <is>
          <t>X</t>
        </is>
      </c>
      <c r="DJ969" t="inlineStr">
        <is>
          <t>D</t>
        </is>
      </c>
      <c r="DN969" t="inlineStr">
        <is>
          <t>X</t>
        </is>
      </c>
      <c r="EF969" t="inlineStr">
        <is>
          <t>X</t>
        </is>
      </c>
    </row>
    <row r="970">
      <c r="A970" t="inlineStr">
        <is>
          <t>OH0021648658</t>
        </is>
      </c>
      <c r="B970" t="n">
        <v>78</v>
      </c>
      <c r="C970" t="n">
        <v>383974</v>
      </c>
      <c r="D970" t="inlineStr">
        <is>
          <t>BURCHETT</t>
        </is>
      </c>
      <c r="E970" t="inlineStr">
        <is>
          <t>BARBARA</t>
        </is>
      </c>
      <c r="F970">
        <f>CONCATENATE(D970," ",LEFT(H970,4),"T=",AU970,"D=",AV970,"R=",AW970,"M=",AX970,"L=",AY970,"B=",AZ970)</f>
        <v/>
      </c>
      <c r="G970" t="inlineStr">
        <is>
          <t>ANN</t>
        </is>
      </c>
      <c r="I970" t="inlineStr">
        <is>
          <t>1963-10-14</t>
        </is>
      </c>
      <c r="J970" t="inlineStr">
        <is>
          <t>2020-10-01</t>
        </is>
      </c>
      <c r="K970" t="inlineStr">
        <is>
          <t>ACTIVE</t>
        </is>
      </c>
      <c r="M970" t="inlineStr">
        <is>
          <t>865 WOODBINE AVE SE</t>
        </is>
      </c>
      <c r="N970">
        <f>RIGHT(M970,LEN(M970)-FIND(" ",M970))</f>
        <v/>
      </c>
      <c r="P970" t="inlineStr">
        <is>
          <t>WARREN</t>
        </is>
      </c>
      <c r="Q970" t="inlineStr">
        <is>
          <t>OH</t>
        </is>
      </c>
      <c r="R970" t="n">
        <v>44484</v>
      </c>
      <c r="AD970" t="inlineStr">
        <is>
          <t>TRUMBULL CAREER &amp; TECH CENTER</t>
        </is>
      </c>
      <c r="AE970" t="inlineStr">
        <is>
          <t>WARREN CITY</t>
        </is>
      </c>
      <c r="AF970" t="inlineStr">
        <is>
          <t>WARREN CITY SD</t>
        </is>
      </c>
      <c r="AH970" t="n">
        <v>14</v>
      </c>
      <c r="AI970" t="n">
        <v>11</v>
      </c>
      <c r="AN970" t="inlineStr">
        <is>
          <t>WARREN</t>
        </is>
      </c>
      <c r="AO970" t="inlineStr">
        <is>
          <t>WARREN CITY 4A</t>
        </is>
      </c>
      <c r="AP970" t="inlineStr">
        <is>
          <t>78-P-ADI</t>
        </is>
      </c>
      <c r="AQ970" t="n">
        <v>9</v>
      </c>
      <c r="AR970" t="n">
        <v>64</v>
      </c>
      <c r="AS970" t="n">
        <v>32</v>
      </c>
      <c r="AU970">
        <f>COUNTA($BA$970:$EH$970)</f>
        <v/>
      </c>
      <c r="AV970">
        <f>COUNTIF($BA$970:$EH$970,"D")</f>
        <v/>
      </c>
      <c r="AW970">
        <f>COUNTIF($BA$970:$EH$970,"R")</f>
        <v/>
      </c>
      <c r="AX970">
        <f>IF(BN970="D",1,0)+IF(BO970="D",1,0)+IF(BT970="D",1,0)+IF(BU970="D",1,0)+IF(BW970="D",1,0)+IF(CC970="D",1,0)+IF(CD970="D",1,0)+IF(CE970="D",1,0)+IF(CF970="D",1,0)+IF(CL970="D",1,0)+IF(CM970="D",1,0)+IF(CQ970="D",1,0)+IF(CR970="D",1,0)+IF(CS970="D",1,0)+IF(CW970="D",1,0)+IF(CX970="D",1,0)+IF(DD970="D",1,0)+IF(DE970="D",1,0)+IF(DJ970="D",1,0)+IF(DK970="D",1,0)+IF(DO970="D",1,0)+IF(DP970="D",1,0)+IF(DQ970="D",1,0)+IF(DW970="D",1,0)+IF(DZ970="D",1,0)+IF(EH970="D",1,0)</f>
        <v/>
      </c>
      <c r="AY970">
        <f>IF(DJ970&lt;&gt;"",1,0)+IF(DK970&lt;&gt;"",1,0)+IF(DM970&lt;&gt;"",1,0)+IF(DO970&lt;&gt;"",1,0)+IF(DP970&lt;&gt;"",1,0)+IF(DQ970&lt;&gt;"",1,0)+IF(DS970&lt;&gt;"",1,0)+IF(DT970&lt;&gt;"",1,0)+IF(DV970&lt;&gt;"",1,0)+IF(DW970&lt;&gt;"",1,0)+IF(DX970&lt;&gt;"",1,0)+IF(DY970&lt;&gt;"",1,0)+IF(DZ970&lt;&gt;"",1,0)+IF(EB970&lt;&gt;"",1,0)+IF(EC970&lt;&gt;"",1,0)+IF(ED970&lt;&gt;"",1,0)+IF(EG970&lt;&gt;"",1,0)+IF(EH970&lt;&gt;"",1,0)</f>
        <v/>
      </c>
      <c r="AZ970">
        <f>IF(EH970&lt;&gt;"",1,0)</f>
        <v/>
      </c>
      <c r="BB970" t="inlineStr">
        <is>
          <t>WARREN-WARD 4</t>
        </is>
      </c>
      <c r="CP970" t="inlineStr">
        <is>
          <t>X</t>
        </is>
      </c>
    </row>
    <row r="971">
      <c r="A971" t="inlineStr">
        <is>
          <t>OH0021696719</t>
        </is>
      </c>
      <c r="B971" t="n">
        <v>78</v>
      </c>
      <c r="C971" t="n">
        <v>384984</v>
      </c>
      <c r="D971" t="inlineStr">
        <is>
          <t>SIMPSON</t>
        </is>
      </c>
      <c r="E971" t="inlineStr">
        <is>
          <t>SHANNON</t>
        </is>
      </c>
      <c r="F971">
        <f>CONCATENATE(D971," ",LEFT(H971,4),"T=",AU971,"D=",AV971,"R=",AW971,"M=",AX971,"L=",AY971,"B=",AZ971)</f>
        <v/>
      </c>
      <c r="G971" t="inlineStr">
        <is>
          <t>NOELLE</t>
        </is>
      </c>
      <c r="I971" t="inlineStr">
        <is>
          <t>1993-08-06</t>
        </is>
      </c>
      <c r="J971" t="inlineStr">
        <is>
          <t>2023-04-06</t>
        </is>
      </c>
      <c r="K971" t="inlineStr">
        <is>
          <t>ACTIVE</t>
        </is>
      </c>
      <c r="M971" t="inlineStr">
        <is>
          <t>691 WOODBINE AVE SE</t>
        </is>
      </c>
      <c r="N971">
        <f>RIGHT(M971,LEN(M971)-FIND(" ",M971))</f>
        <v/>
      </c>
      <c r="P971" t="inlineStr">
        <is>
          <t>WARREN</t>
        </is>
      </c>
      <c r="Q971" t="inlineStr">
        <is>
          <t>OH</t>
        </is>
      </c>
      <c r="R971" t="n">
        <v>44483</v>
      </c>
      <c r="AD971" t="inlineStr">
        <is>
          <t>TRUMBULL CAREER &amp; TECH CENTER</t>
        </is>
      </c>
      <c r="AE971" t="inlineStr">
        <is>
          <t>WARREN CITY</t>
        </is>
      </c>
      <c r="AF971" t="inlineStr">
        <is>
          <t>WARREN CITY SD</t>
        </is>
      </c>
      <c r="AH971" t="n">
        <v>14</v>
      </c>
      <c r="AI971" t="n">
        <v>11</v>
      </c>
      <c r="AN971" t="inlineStr">
        <is>
          <t>WARREN</t>
        </is>
      </c>
      <c r="AO971" t="inlineStr">
        <is>
          <t>WARREN CITY 4A</t>
        </is>
      </c>
      <c r="AP971" t="inlineStr">
        <is>
          <t>78-P-ADI</t>
        </is>
      </c>
      <c r="AQ971" t="n">
        <v>9</v>
      </c>
      <c r="AR971" t="n">
        <v>64</v>
      </c>
      <c r="AS971" t="n">
        <v>32</v>
      </c>
      <c r="AU971">
        <f>COUNTA($BA$971:$EH$971)</f>
        <v/>
      </c>
      <c r="AV971">
        <f>COUNTIF($BA$971:$EH$971,"D")</f>
        <v/>
      </c>
      <c r="AW971">
        <f>COUNTIF($BA$971:$EH$971,"R")</f>
        <v/>
      </c>
      <c r="AX971">
        <f>IF(BN971="D",1,0)+IF(BO971="D",1,0)+IF(BT971="D",1,0)+IF(BU971="D",1,0)+IF(BW971="D",1,0)+IF(CC971="D",1,0)+IF(CD971="D",1,0)+IF(CE971="D",1,0)+IF(CF971="D",1,0)+IF(CL971="D",1,0)+IF(CM971="D",1,0)+IF(CQ971="D",1,0)+IF(CR971="D",1,0)+IF(CS971="D",1,0)+IF(CW971="D",1,0)+IF(CX971="D",1,0)+IF(DD971="D",1,0)+IF(DE971="D",1,0)+IF(DJ971="D",1,0)+IF(DK971="D",1,0)+IF(DO971="D",1,0)+IF(DP971="D",1,0)+IF(DQ971="D",1,0)+IF(DW971="D",1,0)+IF(DZ971="D",1,0)+IF(EH971="D",1,0)</f>
        <v/>
      </c>
      <c r="AY971">
        <f>IF(DJ971&lt;&gt;"",1,0)+IF(DK971&lt;&gt;"",1,0)+IF(DM971&lt;&gt;"",1,0)+IF(DO971&lt;&gt;"",1,0)+IF(DP971&lt;&gt;"",1,0)+IF(DQ971&lt;&gt;"",1,0)+IF(DS971&lt;&gt;"",1,0)+IF(DT971&lt;&gt;"",1,0)+IF(DV971&lt;&gt;"",1,0)+IF(DW971&lt;&gt;"",1,0)+IF(DX971&lt;&gt;"",1,0)+IF(DY971&lt;&gt;"",1,0)+IF(DZ971&lt;&gt;"",1,0)+IF(EB971&lt;&gt;"",1,0)+IF(EC971&lt;&gt;"",1,0)+IF(ED971&lt;&gt;"",1,0)+IF(EG971&lt;&gt;"",1,0)+IF(EH971&lt;&gt;"",1,0)</f>
        <v/>
      </c>
      <c r="AZ971">
        <f>IF(EH971&lt;&gt;"",1,0)</f>
        <v/>
      </c>
      <c r="BB971" t="inlineStr">
        <is>
          <t>WARREN-WARD 4</t>
        </is>
      </c>
      <c r="CP971" t="inlineStr">
        <is>
          <t>X</t>
        </is>
      </c>
    </row>
    <row r="972">
      <c r="A972" t="inlineStr">
        <is>
          <t>OH0027838831</t>
        </is>
      </c>
      <c r="B972" t="n">
        <v>78</v>
      </c>
      <c r="C972" t="n">
        <v>492183</v>
      </c>
      <c r="D972" t="inlineStr">
        <is>
          <t>PENNY</t>
        </is>
      </c>
      <c r="E972" t="inlineStr">
        <is>
          <t>TYLOR</t>
        </is>
      </c>
      <c r="F972">
        <f>CONCATENATE(D972," ",LEFT(H972,4),"T=",AU972,"D=",AV972,"R=",AW972,"M=",AX972,"L=",AY972,"B=",AZ972)</f>
        <v/>
      </c>
      <c r="G972" t="inlineStr">
        <is>
          <t>KRISTOFOR</t>
        </is>
      </c>
      <c r="I972" t="inlineStr">
        <is>
          <t>1999-10-13</t>
        </is>
      </c>
      <c r="J972" t="inlineStr">
        <is>
          <t>2024-10-12</t>
        </is>
      </c>
      <c r="K972" t="inlineStr">
        <is>
          <t>ACTIVE</t>
        </is>
      </c>
      <c r="M972" t="inlineStr">
        <is>
          <t>725 LAIRD AVE SE</t>
        </is>
      </c>
      <c r="N972">
        <f>RIGHT(M972,LEN(M972)-FIND(" ",M972))</f>
        <v/>
      </c>
      <c r="P972" t="inlineStr">
        <is>
          <t>WARREN</t>
        </is>
      </c>
      <c r="Q972" t="inlineStr">
        <is>
          <t>OH</t>
        </is>
      </c>
      <c r="R972" t="n">
        <v>44484</v>
      </c>
      <c r="AD972" t="inlineStr">
        <is>
          <t>TRUMBULL CAREER &amp; TECH CENTER</t>
        </is>
      </c>
      <c r="AE972" t="inlineStr">
        <is>
          <t>WARREN CITY</t>
        </is>
      </c>
      <c r="AF972" t="inlineStr">
        <is>
          <t>WARREN CITY SD</t>
        </is>
      </c>
      <c r="AH972" t="n">
        <v>14</v>
      </c>
      <c r="AI972" t="n">
        <v>11</v>
      </c>
      <c r="AN972" t="inlineStr">
        <is>
          <t>WARREN</t>
        </is>
      </c>
      <c r="AO972" t="inlineStr">
        <is>
          <t>WARREN CITY 4A</t>
        </is>
      </c>
      <c r="AP972" t="inlineStr">
        <is>
          <t>78-P-ADI</t>
        </is>
      </c>
      <c r="AQ972" t="n">
        <v>9</v>
      </c>
      <c r="AR972" t="n">
        <v>64</v>
      </c>
      <c r="AS972" t="n">
        <v>32</v>
      </c>
      <c r="AU972">
        <f>COUNTA($BA$972:$EH$972)</f>
        <v/>
      </c>
      <c r="AV972">
        <f>COUNTIF($BA$972:$EH$972,"D")</f>
        <v/>
      </c>
      <c r="AW972">
        <f>COUNTIF($BA$972:$EH$972,"R")</f>
        <v/>
      </c>
      <c r="AX972">
        <f>IF(BN972="D",1,0)+IF(BO972="D",1,0)+IF(BT972="D",1,0)+IF(BU972="D",1,0)+IF(BW972="D",1,0)+IF(CC972="D",1,0)+IF(CD972="D",1,0)+IF(CE972="D",1,0)+IF(CF972="D",1,0)+IF(CL972="D",1,0)+IF(CM972="D",1,0)+IF(CQ972="D",1,0)+IF(CR972="D",1,0)+IF(CS972="D",1,0)+IF(CW972="D",1,0)+IF(CX972="D",1,0)+IF(DD972="D",1,0)+IF(DE972="D",1,0)+IF(DJ972="D",1,0)+IF(DK972="D",1,0)+IF(DO972="D",1,0)+IF(DP972="D",1,0)+IF(DQ972="D",1,0)+IF(DW972="D",1,0)+IF(DZ972="D",1,0)+IF(EH972="D",1,0)</f>
        <v/>
      </c>
      <c r="AY972">
        <f>IF(DJ972&lt;&gt;"",1,0)+IF(DK972&lt;&gt;"",1,0)+IF(DM972&lt;&gt;"",1,0)+IF(DO972&lt;&gt;"",1,0)+IF(DP972&lt;&gt;"",1,0)+IF(DQ972&lt;&gt;"",1,0)+IF(DS972&lt;&gt;"",1,0)+IF(DT972&lt;&gt;"",1,0)+IF(DV972&lt;&gt;"",1,0)+IF(DW972&lt;&gt;"",1,0)+IF(DX972&lt;&gt;"",1,0)+IF(DY972&lt;&gt;"",1,0)+IF(DZ972&lt;&gt;"",1,0)+IF(EB972&lt;&gt;"",1,0)+IF(EC972&lt;&gt;"",1,0)+IF(ED972&lt;&gt;"",1,0)+IF(EG972&lt;&gt;"",1,0)+IF(EH972&lt;&gt;"",1,0)</f>
        <v/>
      </c>
      <c r="AZ972">
        <f>IF(EH972&lt;&gt;"",1,0)</f>
        <v/>
      </c>
      <c r="BB972" t="inlineStr">
        <is>
          <t>WARREN-WARD 4</t>
        </is>
      </c>
      <c r="DI972" t="inlineStr">
        <is>
          <t>X</t>
        </is>
      </c>
    </row>
    <row r="973">
      <c r="A973" t="inlineStr">
        <is>
          <t>OH0025830506</t>
        </is>
      </c>
      <c r="B973" t="n">
        <v>78</v>
      </c>
      <c r="C973" t="n">
        <v>451176</v>
      </c>
      <c r="D973" t="inlineStr">
        <is>
          <t>BINION</t>
        </is>
      </c>
      <c r="E973" t="inlineStr">
        <is>
          <t>SHAUN</t>
        </is>
      </c>
      <c r="F973">
        <f>CONCATENATE(D973," ",LEFT(H973,4),"T=",AU973,"D=",AV973,"R=",AW973,"M=",AX973,"L=",AY973,"B=",AZ973)</f>
        <v/>
      </c>
      <c r="G973" t="inlineStr">
        <is>
          <t>MICHAEL</t>
        </is>
      </c>
      <c r="I973" t="inlineStr">
        <is>
          <t>1978-05-17</t>
        </is>
      </c>
      <c r="J973" t="inlineStr">
        <is>
          <t>2020-09-04</t>
        </is>
      </c>
      <c r="K973" t="inlineStr">
        <is>
          <t>CONFIRMATION</t>
        </is>
      </c>
      <c r="M973" t="inlineStr">
        <is>
          <t>510 KENILWORTH AVE SE</t>
        </is>
      </c>
      <c r="N973">
        <f>RIGHT(M973,LEN(M973)-FIND(" ",M973))</f>
        <v/>
      </c>
      <c r="P973" t="inlineStr">
        <is>
          <t>WARREN</t>
        </is>
      </c>
      <c r="Q973" t="inlineStr">
        <is>
          <t>OH</t>
        </is>
      </c>
      <c r="R973" t="n">
        <v>44483</v>
      </c>
      <c r="AD973" t="inlineStr">
        <is>
          <t>TRUMBULL CAREER &amp; TECH CENTER</t>
        </is>
      </c>
      <c r="AE973" t="inlineStr">
        <is>
          <t>WARREN CITY</t>
        </is>
      </c>
      <c r="AF973" t="inlineStr">
        <is>
          <t>WARREN CITY SD</t>
        </is>
      </c>
      <c r="AH973" t="n">
        <v>14</v>
      </c>
      <c r="AI973" t="n">
        <v>11</v>
      </c>
      <c r="AN973" t="inlineStr">
        <is>
          <t>WARREN</t>
        </is>
      </c>
      <c r="AO973" t="inlineStr">
        <is>
          <t>WARREN CITY 4A</t>
        </is>
      </c>
      <c r="AP973" t="inlineStr">
        <is>
          <t>78-P-ADI</t>
        </is>
      </c>
      <c r="AQ973" t="n">
        <v>9</v>
      </c>
      <c r="AR973" t="n">
        <v>64</v>
      </c>
      <c r="AS973" t="n">
        <v>32</v>
      </c>
      <c r="AU973">
        <f>COUNTA($BA$973:$EH$973)</f>
        <v/>
      </c>
      <c r="AV973">
        <f>COUNTIF($BA$973:$EH$973,"D")</f>
        <v/>
      </c>
      <c r="AW973">
        <f>COUNTIF($BA$973:$EH$973,"R")</f>
        <v/>
      </c>
      <c r="AX973">
        <f>IF(BN973="D",1,0)+IF(BO973="D",1,0)+IF(BT973="D",1,0)+IF(BU973="D",1,0)+IF(BW973="D",1,0)+IF(CC973="D",1,0)+IF(CD973="D",1,0)+IF(CE973="D",1,0)+IF(CF973="D",1,0)+IF(CL973="D",1,0)+IF(CM973="D",1,0)+IF(CQ973="D",1,0)+IF(CR973="D",1,0)+IF(CS973="D",1,0)+IF(CW973="D",1,0)+IF(CX973="D",1,0)+IF(DD973="D",1,0)+IF(DE973="D",1,0)+IF(DJ973="D",1,0)+IF(DK973="D",1,0)+IF(DO973="D",1,0)+IF(DP973="D",1,0)+IF(DQ973="D",1,0)+IF(DW973="D",1,0)+IF(DZ973="D",1,0)+IF(EH973="D",1,0)</f>
        <v/>
      </c>
      <c r="AY973">
        <f>IF(DJ973&lt;&gt;"",1,0)+IF(DK973&lt;&gt;"",1,0)+IF(DM973&lt;&gt;"",1,0)+IF(DO973&lt;&gt;"",1,0)+IF(DP973&lt;&gt;"",1,0)+IF(DQ973&lt;&gt;"",1,0)+IF(DS973&lt;&gt;"",1,0)+IF(DT973&lt;&gt;"",1,0)+IF(DV973&lt;&gt;"",1,0)+IF(DW973&lt;&gt;"",1,0)+IF(DX973&lt;&gt;"",1,0)+IF(DY973&lt;&gt;"",1,0)+IF(DZ973&lt;&gt;"",1,0)+IF(EB973&lt;&gt;"",1,0)+IF(EC973&lt;&gt;"",1,0)+IF(ED973&lt;&gt;"",1,0)+IF(EG973&lt;&gt;"",1,0)+IF(EH973&lt;&gt;"",1,0)</f>
        <v/>
      </c>
      <c r="AZ973">
        <f>IF(EH973&lt;&gt;"",1,0)</f>
        <v/>
      </c>
      <c r="BB973" t="inlineStr">
        <is>
          <t>WARREN-WARD 4</t>
        </is>
      </c>
    </row>
    <row r="974">
      <c r="A974" t="inlineStr">
        <is>
          <t>OH0026372174</t>
        </is>
      </c>
      <c r="B974" t="n">
        <v>78</v>
      </c>
      <c r="C974" t="n">
        <v>461043</v>
      </c>
      <c r="D974" t="inlineStr">
        <is>
          <t>OSBUN</t>
        </is>
      </c>
      <c r="E974" t="inlineStr">
        <is>
          <t>SIERRA</t>
        </is>
      </c>
      <c r="F974">
        <f>CONCATENATE(D974," ",LEFT(H974,4),"T=",AU974,"D=",AV974,"R=",AW974,"M=",AX974,"L=",AY974,"B=",AZ974)</f>
        <v/>
      </c>
      <c r="G974" t="inlineStr">
        <is>
          <t>ROSE</t>
        </is>
      </c>
      <c r="I974" t="inlineStr">
        <is>
          <t>1995-06-26</t>
        </is>
      </c>
      <c r="J974" t="inlineStr">
        <is>
          <t>2024-04-17</t>
        </is>
      </c>
      <c r="K974" t="inlineStr">
        <is>
          <t>ACTIVE</t>
        </is>
      </c>
      <c r="M974" t="inlineStr">
        <is>
          <t>516 WOODBINE AVE SE</t>
        </is>
      </c>
      <c r="N974">
        <f>RIGHT(M974,LEN(M974)-FIND(" ",M974))</f>
        <v/>
      </c>
      <c r="P974" t="inlineStr">
        <is>
          <t>WARREN</t>
        </is>
      </c>
      <c r="Q974" t="inlineStr">
        <is>
          <t>OH</t>
        </is>
      </c>
      <c r="R974" t="n">
        <v>44483</v>
      </c>
      <c r="AD974" t="inlineStr">
        <is>
          <t>TRUMBULL CAREER &amp; TECH CENTER</t>
        </is>
      </c>
      <c r="AE974" t="inlineStr">
        <is>
          <t>WARREN CITY</t>
        </is>
      </c>
      <c r="AF974" t="inlineStr">
        <is>
          <t>WARREN CITY SD</t>
        </is>
      </c>
      <c r="AH974" t="n">
        <v>14</v>
      </c>
      <c r="AI974" t="n">
        <v>11</v>
      </c>
      <c r="AN974" t="inlineStr">
        <is>
          <t>WARREN</t>
        </is>
      </c>
      <c r="AO974" t="inlineStr">
        <is>
          <t>WARREN CITY 4A</t>
        </is>
      </c>
      <c r="AP974" t="inlineStr">
        <is>
          <t>78-P-ADI</t>
        </is>
      </c>
      <c r="AQ974" t="n">
        <v>9</v>
      </c>
      <c r="AR974" t="n">
        <v>64</v>
      </c>
      <c r="AS974" t="n">
        <v>32</v>
      </c>
      <c r="AU974">
        <f>COUNTA($BA$974:$EH$974)</f>
        <v/>
      </c>
      <c r="AV974">
        <f>COUNTIF($BA$974:$EH$974,"D")</f>
        <v/>
      </c>
      <c r="AW974">
        <f>COUNTIF($BA$974:$EH$974,"R")</f>
        <v/>
      </c>
      <c r="AX974">
        <f>IF(BN974="D",1,0)+IF(BO974="D",1,0)+IF(BT974="D",1,0)+IF(BU974="D",1,0)+IF(BW974="D",1,0)+IF(CC974="D",1,0)+IF(CD974="D",1,0)+IF(CE974="D",1,0)+IF(CF974="D",1,0)+IF(CL974="D",1,0)+IF(CM974="D",1,0)+IF(CQ974="D",1,0)+IF(CR974="D",1,0)+IF(CS974="D",1,0)+IF(CW974="D",1,0)+IF(CX974="D",1,0)+IF(DD974="D",1,0)+IF(DE974="D",1,0)+IF(DJ974="D",1,0)+IF(DK974="D",1,0)+IF(DO974="D",1,0)+IF(DP974="D",1,0)+IF(DQ974="D",1,0)+IF(DW974="D",1,0)+IF(DZ974="D",1,0)+IF(EH974="D",1,0)</f>
        <v/>
      </c>
      <c r="AY974">
        <f>IF(DJ974&lt;&gt;"",1,0)+IF(DK974&lt;&gt;"",1,0)+IF(DM974&lt;&gt;"",1,0)+IF(DO974&lt;&gt;"",1,0)+IF(DP974&lt;&gt;"",1,0)+IF(DQ974&lt;&gt;"",1,0)+IF(DS974&lt;&gt;"",1,0)+IF(DT974&lt;&gt;"",1,0)+IF(DV974&lt;&gt;"",1,0)+IF(DW974&lt;&gt;"",1,0)+IF(DX974&lt;&gt;"",1,0)+IF(DY974&lt;&gt;"",1,0)+IF(DZ974&lt;&gt;"",1,0)+IF(EB974&lt;&gt;"",1,0)+IF(EC974&lt;&gt;"",1,0)+IF(ED974&lt;&gt;"",1,0)+IF(EG974&lt;&gt;"",1,0)+IF(EH974&lt;&gt;"",1,0)</f>
        <v/>
      </c>
      <c r="AZ974">
        <f>IF(EH974&lt;&gt;"",1,0)</f>
        <v/>
      </c>
      <c r="BB974" t="inlineStr">
        <is>
          <t>WARREN-WARD 4</t>
        </is>
      </c>
    </row>
    <row r="975">
      <c r="A975" t="inlineStr">
        <is>
          <t>OH0015744251</t>
        </is>
      </c>
      <c r="B975" t="n">
        <v>78</v>
      </c>
      <c r="C975" t="n">
        <v>322253</v>
      </c>
      <c r="D975" t="inlineStr">
        <is>
          <t>JOHNSON</t>
        </is>
      </c>
      <c r="E975" t="inlineStr">
        <is>
          <t>BRIAN</t>
        </is>
      </c>
      <c r="F975">
        <f>CONCATENATE(D975," ",LEFT(H975,4),"T=",AU975,"D=",AV975,"R=",AW975,"M=",AX975,"L=",AY975,"B=",AZ975)</f>
        <v/>
      </c>
      <c r="G975" t="inlineStr">
        <is>
          <t>P</t>
        </is>
      </c>
      <c r="I975" t="inlineStr">
        <is>
          <t>1967-03-03</t>
        </is>
      </c>
      <c r="J975" t="inlineStr">
        <is>
          <t>2010-08-11</t>
        </is>
      </c>
      <c r="K975" t="inlineStr">
        <is>
          <t>ACTIVE</t>
        </is>
      </c>
      <c r="L975" t="inlineStr">
        <is>
          <t>R</t>
        </is>
      </c>
      <c r="M975" t="inlineStr">
        <is>
          <t>206 IDDINGS AVE SE</t>
        </is>
      </c>
      <c r="N975">
        <f>RIGHT(M975,LEN(M975)-FIND(" ",M975))</f>
        <v/>
      </c>
      <c r="P975" t="inlineStr">
        <is>
          <t>WARREN</t>
        </is>
      </c>
      <c r="Q975" t="inlineStr">
        <is>
          <t>OH</t>
        </is>
      </c>
      <c r="R975" t="n">
        <v>44483</v>
      </c>
      <c r="AD975" t="inlineStr">
        <is>
          <t>TRUMBULL CAREER &amp; TECH CENTER</t>
        </is>
      </c>
      <c r="AE975" t="inlineStr">
        <is>
          <t>WARREN CITY</t>
        </is>
      </c>
      <c r="AF975" t="inlineStr">
        <is>
          <t>WARREN CITY SD</t>
        </is>
      </c>
      <c r="AH975" t="n">
        <v>14</v>
      </c>
      <c r="AI975" t="n">
        <v>11</v>
      </c>
      <c r="AN975" t="inlineStr">
        <is>
          <t>WARREN</t>
        </is>
      </c>
      <c r="AO975" t="inlineStr">
        <is>
          <t>WARREN CITY 4A</t>
        </is>
      </c>
      <c r="AP975" t="inlineStr">
        <is>
          <t>78-P-ADI</t>
        </is>
      </c>
      <c r="AQ975" t="n">
        <v>9</v>
      </c>
      <c r="AR975" t="n">
        <v>64</v>
      </c>
      <c r="AS975" t="n">
        <v>32</v>
      </c>
      <c r="AU975">
        <f>COUNTA($BA$975:$EH$975)</f>
        <v/>
      </c>
      <c r="AV975">
        <f>COUNTIF($BA$975:$EH$975,"D")</f>
        <v/>
      </c>
      <c r="AW975">
        <f>COUNTIF($BA$975:$EH$975,"R")</f>
        <v/>
      </c>
      <c r="AX975">
        <f>IF(BN975="D",1,0)+IF(BO975="D",1,0)+IF(BT975="D",1,0)+IF(BU975="D",1,0)+IF(BW975="D",1,0)+IF(CC975="D",1,0)+IF(CD975="D",1,0)+IF(CE975="D",1,0)+IF(CF975="D",1,0)+IF(CL975="D",1,0)+IF(CM975="D",1,0)+IF(CQ975="D",1,0)+IF(CR975="D",1,0)+IF(CS975="D",1,0)+IF(CW975="D",1,0)+IF(CX975="D",1,0)+IF(DD975="D",1,0)+IF(DE975="D",1,0)+IF(DJ975="D",1,0)+IF(DK975="D",1,0)+IF(DO975="D",1,0)+IF(DP975="D",1,0)+IF(DQ975="D",1,0)+IF(DW975="D",1,0)+IF(DZ975="D",1,0)+IF(EH975="D",1,0)</f>
        <v/>
      </c>
      <c r="AY975">
        <f>IF(DJ975&lt;&gt;"",1,0)+IF(DK975&lt;&gt;"",1,0)+IF(DM975&lt;&gt;"",1,0)+IF(DO975&lt;&gt;"",1,0)+IF(DP975&lt;&gt;"",1,0)+IF(DQ975&lt;&gt;"",1,0)+IF(DS975&lt;&gt;"",1,0)+IF(DT975&lt;&gt;"",1,0)+IF(DV975&lt;&gt;"",1,0)+IF(DW975&lt;&gt;"",1,0)+IF(DX975&lt;&gt;"",1,0)+IF(DY975&lt;&gt;"",1,0)+IF(DZ975&lt;&gt;"",1,0)+IF(EB975&lt;&gt;"",1,0)+IF(EC975&lt;&gt;"",1,0)+IF(ED975&lt;&gt;"",1,0)+IF(EG975&lt;&gt;"",1,0)+IF(EH975&lt;&gt;"",1,0)</f>
        <v/>
      </c>
      <c r="AZ975">
        <f>IF(EH975&lt;&gt;"",1,0)</f>
        <v/>
      </c>
      <c r="BB975" t="inlineStr">
        <is>
          <t>WARREN-WARD 4</t>
        </is>
      </c>
      <c r="CK975" t="inlineStr">
        <is>
          <t>X</t>
        </is>
      </c>
      <c r="CP975" t="inlineStr">
        <is>
          <t>X</t>
        </is>
      </c>
      <c r="CY975" t="inlineStr">
        <is>
          <t>X</t>
        </is>
      </c>
      <c r="CZ975" t="inlineStr">
        <is>
          <t>R</t>
        </is>
      </c>
      <c r="DC975" t="inlineStr">
        <is>
          <t>X</t>
        </is>
      </c>
      <c r="DF975" t="inlineStr">
        <is>
          <t>X</t>
        </is>
      </c>
      <c r="DI975" t="inlineStr">
        <is>
          <t>X</t>
        </is>
      </c>
      <c r="DM975" t="inlineStr">
        <is>
          <t>R</t>
        </is>
      </c>
      <c r="DN975" t="inlineStr">
        <is>
          <t>X</t>
        </is>
      </c>
      <c r="DS975" t="inlineStr">
        <is>
          <t>R</t>
        </is>
      </c>
      <c r="DU975" t="inlineStr">
        <is>
          <t>X</t>
        </is>
      </c>
      <c r="DW975" t="inlineStr">
        <is>
          <t>D</t>
        </is>
      </c>
      <c r="DX975" t="inlineStr">
        <is>
          <t>X</t>
        </is>
      </c>
      <c r="ED975" t="inlineStr">
        <is>
          <t>R</t>
        </is>
      </c>
      <c r="EF975" t="inlineStr">
        <is>
          <t>X</t>
        </is>
      </c>
    </row>
    <row r="976">
      <c r="A976" t="inlineStr">
        <is>
          <t>OH0020236058</t>
        </is>
      </c>
      <c r="B976" t="n">
        <v>78</v>
      </c>
      <c r="C976" t="n">
        <v>364365</v>
      </c>
      <c r="D976" t="inlineStr">
        <is>
          <t>WATSON</t>
        </is>
      </c>
      <c r="E976" t="inlineStr">
        <is>
          <t>MELISSA</t>
        </is>
      </c>
      <c r="F976">
        <f>CONCATENATE(D976," ",LEFT(H976,4),"T=",AU976,"D=",AV976,"R=",AW976,"M=",AX976,"L=",AY976,"B=",AZ976)</f>
        <v/>
      </c>
      <c r="G976" t="inlineStr">
        <is>
          <t>LYNN</t>
        </is>
      </c>
      <c r="I976" t="inlineStr">
        <is>
          <t>1980-09-27</t>
        </is>
      </c>
      <c r="J976" t="inlineStr">
        <is>
          <t>2017-02-25</t>
        </is>
      </c>
      <c r="K976" t="inlineStr">
        <is>
          <t>ACTIVE</t>
        </is>
      </c>
      <c r="M976" t="inlineStr">
        <is>
          <t>483 HOMEWOOD AVE SE</t>
        </is>
      </c>
      <c r="N976">
        <f>RIGHT(M976,LEN(M976)-FIND(" ",M976))</f>
        <v/>
      </c>
      <c r="P976" t="inlineStr">
        <is>
          <t>WARREN</t>
        </is>
      </c>
      <c r="Q976" t="inlineStr">
        <is>
          <t>OH</t>
        </is>
      </c>
      <c r="R976" t="n">
        <v>44483</v>
      </c>
      <c r="AD976" t="inlineStr">
        <is>
          <t>TRUMBULL CAREER &amp; TECH CENTER</t>
        </is>
      </c>
      <c r="AE976" t="inlineStr">
        <is>
          <t>WARREN CITY</t>
        </is>
      </c>
      <c r="AF976" t="inlineStr">
        <is>
          <t>WARREN CITY SD</t>
        </is>
      </c>
      <c r="AH976" t="n">
        <v>14</v>
      </c>
      <c r="AI976" t="n">
        <v>11</v>
      </c>
      <c r="AN976" t="inlineStr">
        <is>
          <t>WARREN</t>
        </is>
      </c>
      <c r="AO976" t="inlineStr">
        <is>
          <t>WARREN CITY 4A</t>
        </is>
      </c>
      <c r="AP976" t="inlineStr">
        <is>
          <t>78-P-ADI</t>
        </is>
      </c>
      <c r="AQ976" t="n">
        <v>9</v>
      </c>
      <c r="AR976" t="n">
        <v>64</v>
      </c>
      <c r="AS976" t="n">
        <v>32</v>
      </c>
      <c r="AU976">
        <f>COUNTA($BA$976:$EH$976)</f>
        <v/>
      </c>
      <c r="AV976">
        <f>COUNTIF($BA$976:$EH$976,"D")</f>
        <v/>
      </c>
      <c r="AW976">
        <f>COUNTIF($BA$976:$EH$976,"R")</f>
        <v/>
      </c>
      <c r="AX976">
        <f>IF(BN976="D",1,0)+IF(BO976="D",1,0)+IF(BT976="D",1,0)+IF(BU976="D",1,0)+IF(BW976="D",1,0)+IF(CC976="D",1,0)+IF(CD976="D",1,0)+IF(CE976="D",1,0)+IF(CF976="D",1,0)+IF(CL976="D",1,0)+IF(CM976="D",1,0)+IF(CQ976="D",1,0)+IF(CR976="D",1,0)+IF(CS976="D",1,0)+IF(CW976="D",1,0)+IF(CX976="D",1,0)+IF(DD976="D",1,0)+IF(DE976="D",1,0)+IF(DJ976="D",1,0)+IF(DK976="D",1,0)+IF(DO976="D",1,0)+IF(DP976="D",1,0)+IF(DQ976="D",1,0)+IF(DW976="D",1,0)+IF(DZ976="D",1,0)+IF(EH976="D",1,0)</f>
        <v/>
      </c>
      <c r="AY976">
        <f>IF(DJ976&lt;&gt;"",1,0)+IF(DK976&lt;&gt;"",1,0)+IF(DM976&lt;&gt;"",1,0)+IF(DO976&lt;&gt;"",1,0)+IF(DP976&lt;&gt;"",1,0)+IF(DQ976&lt;&gt;"",1,0)+IF(DS976&lt;&gt;"",1,0)+IF(DT976&lt;&gt;"",1,0)+IF(DV976&lt;&gt;"",1,0)+IF(DW976&lt;&gt;"",1,0)+IF(DX976&lt;&gt;"",1,0)+IF(DY976&lt;&gt;"",1,0)+IF(DZ976&lt;&gt;"",1,0)+IF(EB976&lt;&gt;"",1,0)+IF(EC976&lt;&gt;"",1,0)+IF(ED976&lt;&gt;"",1,0)+IF(EG976&lt;&gt;"",1,0)+IF(EH976&lt;&gt;"",1,0)</f>
        <v/>
      </c>
      <c r="AZ976">
        <f>IF(EH976&lt;&gt;"",1,0)</f>
        <v/>
      </c>
      <c r="BB976" t="inlineStr">
        <is>
          <t>WARREN-WARD 4</t>
        </is>
      </c>
      <c r="CA976" t="inlineStr">
        <is>
          <t>X</t>
        </is>
      </c>
      <c r="CP976" t="inlineStr">
        <is>
          <t>X</t>
        </is>
      </c>
      <c r="CY976" t="inlineStr">
        <is>
          <t>X</t>
        </is>
      </c>
      <c r="DC976" t="inlineStr">
        <is>
          <t>X</t>
        </is>
      </c>
      <c r="DI976" t="inlineStr">
        <is>
          <t>X</t>
        </is>
      </c>
      <c r="DN976" t="inlineStr">
        <is>
          <t>X</t>
        </is>
      </c>
    </row>
    <row r="977">
      <c r="A977" t="inlineStr">
        <is>
          <t>OH0026030313</t>
        </is>
      </c>
      <c r="B977" t="n">
        <v>78</v>
      </c>
      <c r="C977" t="n">
        <v>454701</v>
      </c>
      <c r="D977" t="inlineStr">
        <is>
          <t>BOGGS</t>
        </is>
      </c>
      <c r="E977" t="inlineStr">
        <is>
          <t>KURT</t>
        </is>
      </c>
      <c r="F977">
        <f>CONCATENATE(D977," ",LEFT(H977,4),"T=",AU977,"D=",AV977,"R=",AW977,"M=",AX977,"L=",AY977,"B=",AZ977)</f>
        <v/>
      </c>
      <c r="G977" t="inlineStr">
        <is>
          <t>THOMAS</t>
        </is>
      </c>
      <c r="I977" t="inlineStr">
        <is>
          <t>2001-11-22</t>
        </is>
      </c>
      <c r="J977" t="inlineStr">
        <is>
          <t>2020-10-05</t>
        </is>
      </c>
      <c r="K977" t="inlineStr">
        <is>
          <t>ACTIVE</t>
        </is>
      </c>
      <c r="M977" t="inlineStr">
        <is>
          <t>539 HOMEWOOD AVE SE</t>
        </is>
      </c>
      <c r="N977">
        <f>RIGHT(M977,LEN(M977)-FIND(" ",M977))</f>
        <v/>
      </c>
      <c r="P977" t="inlineStr">
        <is>
          <t>WARREN</t>
        </is>
      </c>
      <c r="Q977" t="inlineStr">
        <is>
          <t>OH</t>
        </is>
      </c>
      <c r="R977" t="n">
        <v>44483</v>
      </c>
      <c r="AD977" t="inlineStr">
        <is>
          <t>TRUMBULL CAREER &amp; TECH CENTER</t>
        </is>
      </c>
      <c r="AE977" t="inlineStr">
        <is>
          <t>WARREN CITY</t>
        </is>
      </c>
      <c r="AF977" t="inlineStr">
        <is>
          <t>WARREN CITY SD</t>
        </is>
      </c>
      <c r="AH977" t="n">
        <v>14</v>
      </c>
      <c r="AI977" t="n">
        <v>11</v>
      </c>
      <c r="AN977" t="inlineStr">
        <is>
          <t>WARREN</t>
        </is>
      </c>
      <c r="AO977" t="inlineStr">
        <is>
          <t>WARREN CITY 4A</t>
        </is>
      </c>
      <c r="AP977" t="inlineStr">
        <is>
          <t>78-P-ADI</t>
        </is>
      </c>
      <c r="AQ977" t="n">
        <v>9</v>
      </c>
      <c r="AR977" t="n">
        <v>64</v>
      </c>
      <c r="AS977" t="n">
        <v>32</v>
      </c>
      <c r="AU977">
        <f>COUNTA($BA$977:$EH$977)</f>
        <v/>
      </c>
      <c r="AV977">
        <f>COUNTIF($BA$977:$EH$977,"D")</f>
        <v/>
      </c>
      <c r="AW977">
        <f>COUNTIF($BA$977:$EH$977,"R")</f>
        <v/>
      </c>
      <c r="AX977">
        <f>IF(BN977="D",1,0)+IF(BO977="D",1,0)+IF(BT977="D",1,0)+IF(BU977="D",1,0)+IF(BW977="D",1,0)+IF(CC977="D",1,0)+IF(CD977="D",1,0)+IF(CE977="D",1,0)+IF(CF977="D",1,0)+IF(CL977="D",1,0)+IF(CM977="D",1,0)+IF(CQ977="D",1,0)+IF(CR977="D",1,0)+IF(CS977="D",1,0)+IF(CW977="D",1,0)+IF(CX977="D",1,0)+IF(DD977="D",1,0)+IF(DE977="D",1,0)+IF(DJ977="D",1,0)+IF(DK977="D",1,0)+IF(DO977="D",1,0)+IF(DP977="D",1,0)+IF(DQ977="D",1,0)+IF(DW977="D",1,0)+IF(DZ977="D",1,0)+IF(EH977="D",1,0)</f>
        <v/>
      </c>
      <c r="AY977">
        <f>IF(DJ977&lt;&gt;"",1,0)+IF(DK977&lt;&gt;"",1,0)+IF(DM977&lt;&gt;"",1,0)+IF(DO977&lt;&gt;"",1,0)+IF(DP977&lt;&gt;"",1,0)+IF(DQ977&lt;&gt;"",1,0)+IF(DS977&lt;&gt;"",1,0)+IF(DT977&lt;&gt;"",1,0)+IF(DV977&lt;&gt;"",1,0)+IF(DW977&lt;&gt;"",1,0)+IF(DX977&lt;&gt;"",1,0)+IF(DY977&lt;&gt;"",1,0)+IF(DZ977&lt;&gt;"",1,0)+IF(EB977&lt;&gt;"",1,0)+IF(EC977&lt;&gt;"",1,0)+IF(ED977&lt;&gt;"",1,0)+IF(EG977&lt;&gt;"",1,0)+IF(EH977&lt;&gt;"",1,0)</f>
        <v/>
      </c>
      <c r="AZ977">
        <f>IF(EH977&lt;&gt;"",1,0)</f>
        <v/>
      </c>
      <c r="BB977" t="inlineStr">
        <is>
          <t>WARREN-WARD 4</t>
        </is>
      </c>
      <c r="DN977" t="inlineStr">
        <is>
          <t>X</t>
        </is>
      </c>
      <c r="DX977" t="inlineStr">
        <is>
          <t>X</t>
        </is>
      </c>
      <c r="EA977" t="inlineStr">
        <is>
          <t>X</t>
        </is>
      </c>
      <c r="EF977" t="inlineStr">
        <is>
          <t>X</t>
        </is>
      </c>
    </row>
    <row r="978">
      <c r="A978" t="inlineStr">
        <is>
          <t>OH0027061994</t>
        </is>
      </c>
      <c r="B978" t="n">
        <v>78</v>
      </c>
      <c r="C978" t="n">
        <v>476423</v>
      </c>
      <c r="D978" t="inlineStr">
        <is>
          <t>COLE</t>
        </is>
      </c>
      <c r="E978" t="inlineStr">
        <is>
          <t>TAYJA</t>
        </is>
      </c>
      <c r="F978">
        <f>CONCATENATE(D978," ",LEFT(H978,4),"T=",AU978,"D=",AV978,"R=",AW978,"M=",AX978,"L=",AY978,"B=",AZ978)</f>
        <v/>
      </c>
      <c r="G978" t="inlineStr">
        <is>
          <t>E</t>
        </is>
      </c>
      <c r="I978" t="inlineStr">
        <is>
          <t>2005-10-13</t>
        </is>
      </c>
      <c r="J978" t="inlineStr">
        <is>
          <t>2023-09-19</t>
        </is>
      </c>
      <c r="K978" t="inlineStr">
        <is>
          <t>CONFIRMATION</t>
        </is>
      </c>
      <c r="M978" t="inlineStr">
        <is>
          <t>742 LAIRD AVE SE</t>
        </is>
      </c>
      <c r="N978">
        <f>RIGHT(M978,LEN(M978)-FIND(" ",M978))</f>
        <v/>
      </c>
      <c r="P978" t="inlineStr">
        <is>
          <t>WARREN</t>
        </is>
      </c>
      <c r="Q978" t="inlineStr">
        <is>
          <t>OH</t>
        </is>
      </c>
      <c r="R978" t="n">
        <v>44484</v>
      </c>
      <c r="AD978" t="inlineStr">
        <is>
          <t>TRUMBULL CAREER &amp; TECH CENTER</t>
        </is>
      </c>
      <c r="AE978" t="inlineStr">
        <is>
          <t>WARREN CITY</t>
        </is>
      </c>
      <c r="AF978" t="inlineStr">
        <is>
          <t>WARREN CITY SD</t>
        </is>
      </c>
      <c r="AH978" t="n">
        <v>14</v>
      </c>
      <c r="AI978" t="n">
        <v>11</v>
      </c>
      <c r="AN978" t="inlineStr">
        <is>
          <t>WARREN</t>
        </is>
      </c>
      <c r="AO978" t="inlineStr">
        <is>
          <t>WARREN CITY 4A</t>
        </is>
      </c>
      <c r="AP978" t="inlineStr">
        <is>
          <t>78-P-ADI</t>
        </is>
      </c>
      <c r="AQ978" t="n">
        <v>9</v>
      </c>
      <c r="AR978" t="n">
        <v>64</v>
      </c>
      <c r="AS978" t="n">
        <v>32</v>
      </c>
      <c r="AU978">
        <f>COUNTA($BA$978:$EH$978)</f>
        <v/>
      </c>
      <c r="AV978">
        <f>COUNTIF($BA$978:$EH$978,"D")</f>
        <v/>
      </c>
      <c r="AW978">
        <f>COUNTIF($BA$978:$EH$978,"R")</f>
        <v/>
      </c>
      <c r="AX978">
        <f>IF(BN978="D",1,0)+IF(BO978="D",1,0)+IF(BT978="D",1,0)+IF(BU978="D",1,0)+IF(BW978="D",1,0)+IF(CC978="D",1,0)+IF(CD978="D",1,0)+IF(CE978="D",1,0)+IF(CF978="D",1,0)+IF(CL978="D",1,0)+IF(CM978="D",1,0)+IF(CQ978="D",1,0)+IF(CR978="D",1,0)+IF(CS978="D",1,0)+IF(CW978="D",1,0)+IF(CX978="D",1,0)+IF(DD978="D",1,0)+IF(DE978="D",1,0)+IF(DJ978="D",1,0)+IF(DK978="D",1,0)+IF(DO978="D",1,0)+IF(DP978="D",1,0)+IF(DQ978="D",1,0)+IF(DW978="D",1,0)+IF(DZ978="D",1,0)+IF(EH978="D",1,0)</f>
        <v/>
      </c>
      <c r="AY978">
        <f>IF(DJ978&lt;&gt;"",1,0)+IF(DK978&lt;&gt;"",1,0)+IF(DM978&lt;&gt;"",1,0)+IF(DO978&lt;&gt;"",1,0)+IF(DP978&lt;&gt;"",1,0)+IF(DQ978&lt;&gt;"",1,0)+IF(DS978&lt;&gt;"",1,0)+IF(DT978&lt;&gt;"",1,0)+IF(DV978&lt;&gt;"",1,0)+IF(DW978&lt;&gt;"",1,0)+IF(DX978&lt;&gt;"",1,0)+IF(DY978&lt;&gt;"",1,0)+IF(DZ978&lt;&gt;"",1,0)+IF(EB978&lt;&gt;"",1,0)+IF(EC978&lt;&gt;"",1,0)+IF(ED978&lt;&gt;"",1,0)+IF(EG978&lt;&gt;"",1,0)+IF(EH978&lt;&gt;"",1,0)</f>
        <v/>
      </c>
      <c r="AZ978">
        <f>IF(EH978&lt;&gt;"",1,0)</f>
        <v/>
      </c>
      <c r="BB978" t="inlineStr">
        <is>
          <t>WARREN-WARD 4</t>
        </is>
      </c>
    </row>
    <row r="979">
      <c r="A979" t="inlineStr">
        <is>
          <t>OH0019086175</t>
        </is>
      </c>
      <c r="B979" t="n">
        <v>78</v>
      </c>
      <c r="C979" t="n">
        <v>348816</v>
      </c>
      <c r="D979" t="inlineStr">
        <is>
          <t>GUYSINGER</t>
        </is>
      </c>
      <c r="E979" t="inlineStr">
        <is>
          <t>JARRETT</t>
        </is>
      </c>
      <c r="F979">
        <f>CONCATENATE(D979," ",LEFT(H979,4),"T=",AU979,"D=",AV979,"R=",AW979,"M=",AX979,"L=",AY979,"B=",AZ979)</f>
        <v/>
      </c>
      <c r="G979" t="inlineStr">
        <is>
          <t>LUCAS</t>
        </is>
      </c>
      <c r="I979" t="inlineStr">
        <is>
          <t>1988-12-03</t>
        </is>
      </c>
      <c r="J979" t="inlineStr">
        <is>
          <t>2020-10-26</t>
        </is>
      </c>
      <c r="K979" t="inlineStr">
        <is>
          <t>CONFIRMATION</t>
        </is>
      </c>
      <c r="M979" t="inlineStr">
        <is>
          <t>209 WOODBINE AVE SE</t>
        </is>
      </c>
      <c r="N979">
        <f>RIGHT(M979,LEN(M979)-FIND(" ",M979))</f>
        <v/>
      </c>
      <c r="P979" t="inlineStr">
        <is>
          <t>WARREN</t>
        </is>
      </c>
      <c r="Q979" t="inlineStr">
        <is>
          <t>OH</t>
        </is>
      </c>
      <c r="R979" t="n">
        <v>44483</v>
      </c>
      <c r="AD979" t="inlineStr">
        <is>
          <t>TRUMBULL CAREER &amp; TECH CENTER</t>
        </is>
      </c>
      <c r="AE979" t="inlineStr">
        <is>
          <t>WARREN CITY</t>
        </is>
      </c>
      <c r="AF979" t="inlineStr">
        <is>
          <t>WARREN CITY SD</t>
        </is>
      </c>
      <c r="AH979" t="n">
        <v>14</v>
      </c>
      <c r="AI979" t="n">
        <v>11</v>
      </c>
      <c r="AN979" t="inlineStr">
        <is>
          <t>WARREN</t>
        </is>
      </c>
      <c r="AO979" t="inlineStr">
        <is>
          <t>WARREN CITY 4A</t>
        </is>
      </c>
      <c r="AP979" t="inlineStr">
        <is>
          <t>78-P-ADI</t>
        </is>
      </c>
      <c r="AQ979" t="n">
        <v>9</v>
      </c>
      <c r="AR979" t="n">
        <v>64</v>
      </c>
      <c r="AS979" t="n">
        <v>32</v>
      </c>
      <c r="AU979">
        <f>COUNTA($BA$979:$EH$979)</f>
        <v/>
      </c>
      <c r="AV979">
        <f>COUNTIF($BA$979:$EH$979,"D")</f>
        <v/>
      </c>
      <c r="AW979">
        <f>COUNTIF($BA$979:$EH$979,"R")</f>
        <v/>
      </c>
      <c r="AX979">
        <f>IF(BN979="D",1,0)+IF(BO979="D",1,0)+IF(BT979="D",1,0)+IF(BU979="D",1,0)+IF(BW979="D",1,0)+IF(CC979="D",1,0)+IF(CD979="D",1,0)+IF(CE979="D",1,0)+IF(CF979="D",1,0)+IF(CL979="D",1,0)+IF(CM979="D",1,0)+IF(CQ979="D",1,0)+IF(CR979="D",1,0)+IF(CS979="D",1,0)+IF(CW979="D",1,0)+IF(CX979="D",1,0)+IF(DD979="D",1,0)+IF(DE979="D",1,0)+IF(DJ979="D",1,0)+IF(DK979="D",1,0)+IF(DO979="D",1,0)+IF(DP979="D",1,0)+IF(DQ979="D",1,0)+IF(DW979="D",1,0)+IF(DZ979="D",1,0)+IF(EH979="D",1,0)</f>
        <v/>
      </c>
      <c r="AY979">
        <f>IF(DJ979&lt;&gt;"",1,0)+IF(DK979&lt;&gt;"",1,0)+IF(DM979&lt;&gt;"",1,0)+IF(DO979&lt;&gt;"",1,0)+IF(DP979&lt;&gt;"",1,0)+IF(DQ979&lt;&gt;"",1,0)+IF(DS979&lt;&gt;"",1,0)+IF(DT979&lt;&gt;"",1,0)+IF(DV979&lt;&gt;"",1,0)+IF(DW979&lt;&gt;"",1,0)+IF(DX979&lt;&gt;"",1,0)+IF(DY979&lt;&gt;"",1,0)+IF(DZ979&lt;&gt;"",1,0)+IF(EB979&lt;&gt;"",1,0)+IF(EC979&lt;&gt;"",1,0)+IF(ED979&lt;&gt;"",1,0)+IF(EG979&lt;&gt;"",1,0)+IF(EH979&lt;&gt;"",1,0)</f>
        <v/>
      </c>
      <c r="AZ979">
        <f>IF(EH979&lt;&gt;"",1,0)</f>
        <v/>
      </c>
      <c r="BB979" t="inlineStr">
        <is>
          <t>WARREN-WARD 4</t>
        </is>
      </c>
      <c r="BY979" t="inlineStr">
        <is>
          <t>R</t>
        </is>
      </c>
    </row>
    <row r="980">
      <c r="A980" t="inlineStr">
        <is>
          <t>OH0015692950</t>
        </is>
      </c>
      <c r="B980" t="n">
        <v>78</v>
      </c>
      <c r="C980" t="n">
        <v>142293</v>
      </c>
      <c r="D980" t="inlineStr">
        <is>
          <t>OHARA</t>
        </is>
      </c>
      <c r="E980" t="inlineStr">
        <is>
          <t>ARTHEA</t>
        </is>
      </c>
      <c r="F980">
        <f>CONCATENATE(D980," ",LEFT(H980,4),"T=",AU980,"D=",AV980,"R=",AW980,"M=",AX980,"L=",AY980,"B=",AZ980)</f>
        <v/>
      </c>
      <c r="G980" t="inlineStr">
        <is>
          <t>J</t>
        </is>
      </c>
      <c r="I980" t="inlineStr">
        <is>
          <t>1955-08-15</t>
        </is>
      </c>
      <c r="J980" t="inlineStr">
        <is>
          <t>1981-09-24</t>
        </is>
      </c>
      <c r="K980" t="inlineStr">
        <is>
          <t>ACTIVE</t>
        </is>
      </c>
      <c r="M980" t="inlineStr">
        <is>
          <t>326 IDDINGS AVE SE</t>
        </is>
      </c>
      <c r="N980">
        <f>RIGHT(M980,LEN(M980)-FIND(" ",M980))</f>
        <v/>
      </c>
      <c r="P980" t="inlineStr">
        <is>
          <t>WARREN</t>
        </is>
      </c>
      <c r="Q980" t="inlineStr">
        <is>
          <t>OH</t>
        </is>
      </c>
      <c r="R980" t="n">
        <v>44483</v>
      </c>
      <c r="AD980" t="inlineStr">
        <is>
          <t>TRUMBULL CAREER &amp; TECH CENTER</t>
        </is>
      </c>
      <c r="AE980" t="inlineStr">
        <is>
          <t>WARREN CITY</t>
        </is>
      </c>
      <c r="AF980" t="inlineStr">
        <is>
          <t>WARREN CITY SD</t>
        </is>
      </c>
      <c r="AH980" t="n">
        <v>14</v>
      </c>
      <c r="AI980" t="n">
        <v>11</v>
      </c>
      <c r="AN980" t="inlineStr">
        <is>
          <t>WARREN</t>
        </is>
      </c>
      <c r="AO980" t="inlineStr">
        <is>
          <t>WARREN CITY 4A</t>
        </is>
      </c>
      <c r="AP980" t="inlineStr">
        <is>
          <t>78-P-ADI</t>
        </is>
      </c>
      <c r="AQ980" t="n">
        <v>9</v>
      </c>
      <c r="AR980" t="n">
        <v>64</v>
      </c>
      <c r="AS980" t="n">
        <v>32</v>
      </c>
      <c r="AU980">
        <f>COUNTA($BA$980:$EH$980)</f>
        <v/>
      </c>
      <c r="AV980">
        <f>COUNTIF($BA$980:$EH$980,"D")</f>
        <v/>
      </c>
      <c r="AW980">
        <f>COUNTIF($BA$980:$EH$980,"R")</f>
        <v/>
      </c>
      <c r="AX980">
        <f>IF(BN980="D",1,0)+IF(BO980="D",1,0)+IF(BT980="D",1,0)+IF(BU980="D",1,0)+IF(BW980="D",1,0)+IF(CC980="D",1,0)+IF(CD980="D",1,0)+IF(CE980="D",1,0)+IF(CF980="D",1,0)+IF(CL980="D",1,0)+IF(CM980="D",1,0)+IF(CQ980="D",1,0)+IF(CR980="D",1,0)+IF(CS980="D",1,0)+IF(CW980="D",1,0)+IF(CX980="D",1,0)+IF(DD980="D",1,0)+IF(DE980="D",1,0)+IF(DJ980="D",1,0)+IF(DK980="D",1,0)+IF(DO980="D",1,0)+IF(DP980="D",1,0)+IF(DQ980="D",1,0)+IF(DW980="D",1,0)+IF(DZ980="D",1,0)+IF(EH980="D",1,0)</f>
        <v/>
      </c>
      <c r="AY980">
        <f>IF(DJ980&lt;&gt;"",1,0)+IF(DK980&lt;&gt;"",1,0)+IF(DM980&lt;&gt;"",1,0)+IF(DO980&lt;&gt;"",1,0)+IF(DP980&lt;&gt;"",1,0)+IF(DQ980&lt;&gt;"",1,0)+IF(DS980&lt;&gt;"",1,0)+IF(DT980&lt;&gt;"",1,0)+IF(DV980&lt;&gt;"",1,0)+IF(DW980&lt;&gt;"",1,0)+IF(DX980&lt;&gt;"",1,0)+IF(DY980&lt;&gt;"",1,0)+IF(DZ980&lt;&gt;"",1,0)+IF(EB980&lt;&gt;"",1,0)+IF(EC980&lt;&gt;"",1,0)+IF(ED980&lt;&gt;"",1,0)+IF(EG980&lt;&gt;"",1,0)+IF(EH980&lt;&gt;"",1,0)</f>
        <v/>
      </c>
      <c r="AZ980">
        <f>IF(EH980&lt;&gt;"",1,0)</f>
        <v/>
      </c>
      <c r="BB980" t="inlineStr">
        <is>
          <t>WARREN-WARD 4</t>
        </is>
      </c>
      <c r="BD980" t="inlineStr">
        <is>
          <t>X</t>
        </is>
      </c>
      <c r="BH980" t="inlineStr">
        <is>
          <t>X</t>
        </is>
      </c>
      <c r="BK980" t="inlineStr">
        <is>
          <t>X</t>
        </is>
      </c>
      <c r="BL980" t="inlineStr">
        <is>
          <t>X</t>
        </is>
      </c>
      <c r="BP980" t="inlineStr">
        <is>
          <t>X</t>
        </is>
      </c>
      <c r="BS980" t="inlineStr">
        <is>
          <t>X</t>
        </is>
      </c>
      <c r="BY980" t="inlineStr">
        <is>
          <t>R</t>
        </is>
      </c>
      <c r="CA980" t="inlineStr">
        <is>
          <t>X</t>
        </is>
      </c>
      <c r="CG980" t="inlineStr">
        <is>
          <t>X</t>
        </is>
      </c>
      <c r="CN980" t="inlineStr">
        <is>
          <t>X</t>
        </is>
      </c>
      <c r="CP980" t="inlineStr">
        <is>
          <t>X</t>
        </is>
      </c>
      <c r="CV980" t="inlineStr">
        <is>
          <t>X</t>
        </is>
      </c>
      <c r="CZ980" t="inlineStr">
        <is>
          <t>R</t>
        </is>
      </c>
      <c r="DC980" t="inlineStr">
        <is>
          <t>X</t>
        </is>
      </c>
      <c r="DM980" t="inlineStr">
        <is>
          <t>R</t>
        </is>
      </c>
      <c r="DN980" t="inlineStr">
        <is>
          <t>X</t>
        </is>
      </c>
      <c r="DU980" t="inlineStr">
        <is>
          <t>X</t>
        </is>
      </c>
      <c r="EA980" t="inlineStr">
        <is>
          <t>X</t>
        </is>
      </c>
      <c r="EF980" t="inlineStr">
        <is>
          <t>X</t>
        </is>
      </c>
    </row>
    <row r="981">
      <c r="A981" t="inlineStr">
        <is>
          <t>OH0015689618</t>
        </is>
      </c>
      <c r="B981" t="n">
        <v>78</v>
      </c>
      <c r="C981" t="n">
        <v>13266</v>
      </c>
      <c r="D981" t="inlineStr">
        <is>
          <t>LYONS</t>
        </is>
      </c>
      <c r="E981" t="inlineStr">
        <is>
          <t>LEROY</t>
        </is>
      </c>
      <c r="F981">
        <f>CONCATENATE(D981," ",LEFT(H981,4),"T=",AU981,"D=",AV981,"R=",AW981,"M=",AX981,"L=",AY981,"B=",AZ981)</f>
        <v/>
      </c>
      <c r="I981" t="inlineStr">
        <is>
          <t>1931-11-09</t>
        </is>
      </c>
      <c r="J981" t="inlineStr">
        <is>
          <t>1959-09-23</t>
        </is>
      </c>
      <c r="K981" t="inlineStr">
        <is>
          <t>ACTIVE</t>
        </is>
      </c>
      <c r="L981" t="inlineStr">
        <is>
          <t>R</t>
        </is>
      </c>
      <c r="M981" t="inlineStr">
        <is>
          <t>396 IDDINGS AVE SE</t>
        </is>
      </c>
      <c r="N981">
        <f>RIGHT(M981,LEN(M981)-FIND(" ",M981))</f>
        <v/>
      </c>
      <c r="P981" t="inlineStr">
        <is>
          <t>WARREN</t>
        </is>
      </c>
      <c r="Q981" t="inlineStr">
        <is>
          <t>OH</t>
        </is>
      </c>
      <c r="R981" t="n">
        <v>44483</v>
      </c>
      <c r="AD981" t="inlineStr">
        <is>
          <t>TRUMBULL CAREER &amp; TECH CENTER</t>
        </is>
      </c>
      <c r="AE981" t="inlineStr">
        <is>
          <t>WARREN CITY</t>
        </is>
      </c>
      <c r="AF981" t="inlineStr">
        <is>
          <t>WARREN CITY SD</t>
        </is>
      </c>
      <c r="AH981" t="n">
        <v>14</v>
      </c>
      <c r="AI981" t="n">
        <v>11</v>
      </c>
      <c r="AN981" t="inlineStr">
        <is>
          <t>WARREN</t>
        </is>
      </c>
      <c r="AO981" t="inlineStr">
        <is>
          <t>WARREN CITY 4A</t>
        </is>
      </c>
      <c r="AP981" t="inlineStr">
        <is>
          <t>78-P-ADI</t>
        </is>
      </c>
      <c r="AQ981" t="n">
        <v>9</v>
      </c>
      <c r="AR981" t="n">
        <v>64</v>
      </c>
      <c r="AS981" t="n">
        <v>32</v>
      </c>
      <c r="AU981">
        <f>COUNTA($BA$981:$EH$981)</f>
        <v/>
      </c>
      <c r="AV981">
        <f>COUNTIF($BA$981:$EH$981,"D")</f>
        <v/>
      </c>
      <c r="AW981">
        <f>COUNTIF($BA$981:$EH$981,"R")</f>
        <v/>
      </c>
      <c r="AX981">
        <f>IF(BN981="D",1,0)+IF(BO981="D",1,0)+IF(BT981="D",1,0)+IF(BU981="D",1,0)+IF(BW981="D",1,0)+IF(CC981="D",1,0)+IF(CD981="D",1,0)+IF(CE981="D",1,0)+IF(CF981="D",1,0)+IF(CL981="D",1,0)+IF(CM981="D",1,0)+IF(CQ981="D",1,0)+IF(CR981="D",1,0)+IF(CS981="D",1,0)+IF(CW981="D",1,0)+IF(CX981="D",1,0)+IF(DD981="D",1,0)+IF(DE981="D",1,0)+IF(DJ981="D",1,0)+IF(DK981="D",1,0)+IF(DO981="D",1,0)+IF(DP981="D",1,0)+IF(DQ981="D",1,0)+IF(DW981="D",1,0)+IF(DZ981="D",1,0)+IF(EH981="D",1,0)</f>
        <v/>
      </c>
      <c r="AY981">
        <f>IF(DJ981&lt;&gt;"",1,0)+IF(DK981&lt;&gt;"",1,0)+IF(DM981&lt;&gt;"",1,0)+IF(DO981&lt;&gt;"",1,0)+IF(DP981&lt;&gt;"",1,0)+IF(DQ981&lt;&gt;"",1,0)+IF(DS981&lt;&gt;"",1,0)+IF(DT981&lt;&gt;"",1,0)+IF(DV981&lt;&gt;"",1,0)+IF(DW981&lt;&gt;"",1,0)+IF(DX981&lt;&gt;"",1,0)+IF(DY981&lt;&gt;"",1,0)+IF(DZ981&lt;&gt;"",1,0)+IF(EB981&lt;&gt;"",1,0)+IF(EC981&lt;&gt;"",1,0)+IF(ED981&lt;&gt;"",1,0)+IF(EG981&lt;&gt;"",1,0)+IF(EH981&lt;&gt;"",1,0)</f>
        <v/>
      </c>
      <c r="AZ981">
        <f>IF(EH981&lt;&gt;"",1,0)</f>
        <v/>
      </c>
      <c r="BB981" t="inlineStr">
        <is>
          <t>WARREN-WARD 4</t>
        </is>
      </c>
      <c r="BC981" t="inlineStr">
        <is>
          <t>X</t>
        </is>
      </c>
      <c r="BD981" t="inlineStr">
        <is>
          <t>X</t>
        </is>
      </c>
      <c r="BE981" t="inlineStr">
        <is>
          <t>X</t>
        </is>
      </c>
      <c r="BH981" t="inlineStr">
        <is>
          <t>X</t>
        </is>
      </c>
      <c r="BJ981" t="inlineStr">
        <is>
          <t>X</t>
        </is>
      </c>
      <c r="BK981" t="inlineStr">
        <is>
          <t>X</t>
        </is>
      </c>
      <c r="BL981" t="inlineStr">
        <is>
          <t>X</t>
        </is>
      </c>
      <c r="BP981" t="inlineStr">
        <is>
          <t>X</t>
        </is>
      </c>
      <c r="BR981" t="inlineStr">
        <is>
          <t>X</t>
        </is>
      </c>
      <c r="BS981" t="inlineStr">
        <is>
          <t>X</t>
        </is>
      </c>
      <c r="BV981" t="inlineStr">
        <is>
          <t>X</t>
        </is>
      </c>
      <c r="CA981" t="inlineStr">
        <is>
          <t>X</t>
        </is>
      </c>
      <c r="CG981" t="inlineStr">
        <is>
          <t>X</t>
        </is>
      </c>
      <c r="CH981" t="inlineStr">
        <is>
          <t>R</t>
        </is>
      </c>
      <c r="CK981" t="inlineStr">
        <is>
          <t>X</t>
        </is>
      </c>
      <c r="CL981" t="inlineStr">
        <is>
          <t>D</t>
        </is>
      </c>
      <c r="CN981" t="inlineStr">
        <is>
          <t>X</t>
        </is>
      </c>
      <c r="CO981" t="inlineStr">
        <is>
          <t>R</t>
        </is>
      </c>
      <c r="CP981" t="inlineStr">
        <is>
          <t>X</t>
        </is>
      </c>
      <c r="CV981" t="inlineStr">
        <is>
          <t>X</t>
        </is>
      </c>
      <c r="CY981" t="inlineStr">
        <is>
          <t>X</t>
        </is>
      </c>
      <c r="CZ981" t="inlineStr">
        <is>
          <t>R</t>
        </is>
      </c>
      <c r="DC981" t="inlineStr">
        <is>
          <t>X</t>
        </is>
      </c>
      <c r="DF981" t="inlineStr">
        <is>
          <t>X</t>
        </is>
      </c>
      <c r="DG981" t="inlineStr">
        <is>
          <t>R</t>
        </is>
      </c>
      <c r="DI981" t="inlineStr">
        <is>
          <t>X</t>
        </is>
      </c>
      <c r="DL981" t="inlineStr">
        <is>
          <t>X</t>
        </is>
      </c>
      <c r="DM981" t="inlineStr">
        <is>
          <t>R</t>
        </is>
      </c>
      <c r="DN981" t="inlineStr">
        <is>
          <t>X</t>
        </is>
      </c>
      <c r="DS981" t="inlineStr">
        <is>
          <t>R</t>
        </is>
      </c>
      <c r="DU981" t="inlineStr">
        <is>
          <t>X</t>
        </is>
      </c>
      <c r="DX981" t="inlineStr">
        <is>
          <t>X</t>
        </is>
      </c>
      <c r="EA981" t="inlineStr">
        <is>
          <t>X</t>
        </is>
      </c>
      <c r="ED981" t="inlineStr">
        <is>
          <t>R</t>
        </is>
      </c>
      <c r="EF981" t="inlineStr">
        <is>
          <t>X</t>
        </is>
      </c>
    </row>
    <row r="982">
      <c r="A982" t="inlineStr">
        <is>
          <t>OH0015690882</t>
        </is>
      </c>
      <c r="B982" t="n">
        <v>78</v>
      </c>
      <c r="C982" t="n">
        <v>135924</v>
      </c>
      <c r="D982" t="inlineStr">
        <is>
          <t>ALLEN</t>
        </is>
      </c>
      <c r="E982" t="inlineStr">
        <is>
          <t>CHARLOTTE</t>
        </is>
      </c>
      <c r="F982">
        <f>CONCATENATE(D982," ",LEFT(H982,4),"T=",AU982,"D=",AV982,"R=",AW982,"M=",AX982,"L=",AY982,"B=",AZ982)</f>
        <v/>
      </c>
      <c r="G982" t="inlineStr">
        <is>
          <t>M</t>
        </is>
      </c>
      <c r="I982" t="inlineStr">
        <is>
          <t>1952-12-19</t>
        </is>
      </c>
      <c r="J982" t="inlineStr">
        <is>
          <t>2021-09-21</t>
        </is>
      </c>
      <c r="K982" t="inlineStr">
        <is>
          <t>ACTIVE</t>
        </is>
      </c>
      <c r="L982" t="inlineStr">
        <is>
          <t>D</t>
        </is>
      </c>
      <c r="M982" t="inlineStr">
        <is>
          <t>316 IDDINGS AVE SE</t>
        </is>
      </c>
      <c r="N982">
        <f>RIGHT(M982,LEN(M982)-FIND(" ",M982))</f>
        <v/>
      </c>
      <c r="P982" t="inlineStr">
        <is>
          <t>WARREN</t>
        </is>
      </c>
      <c r="Q982" t="inlineStr">
        <is>
          <t>OH</t>
        </is>
      </c>
      <c r="R982" t="n">
        <v>44483</v>
      </c>
      <c r="AD982" t="inlineStr">
        <is>
          <t>TRUMBULL CAREER &amp; TECH CENTER</t>
        </is>
      </c>
      <c r="AE982" t="inlineStr">
        <is>
          <t>WARREN CITY</t>
        </is>
      </c>
      <c r="AF982" t="inlineStr">
        <is>
          <t>WARREN CITY SD</t>
        </is>
      </c>
      <c r="AH982" t="n">
        <v>14</v>
      </c>
      <c r="AI982" t="n">
        <v>11</v>
      </c>
      <c r="AN982" t="inlineStr">
        <is>
          <t>WARREN</t>
        </is>
      </c>
      <c r="AO982" t="inlineStr">
        <is>
          <t>WARREN CITY 4A</t>
        </is>
      </c>
      <c r="AP982" t="inlineStr">
        <is>
          <t>78-P-ADI</t>
        </is>
      </c>
      <c r="AQ982" t="n">
        <v>9</v>
      </c>
      <c r="AR982" t="n">
        <v>64</v>
      </c>
      <c r="AS982" t="n">
        <v>32</v>
      </c>
      <c r="AU982">
        <f>COUNTA($BA$982:$EH$982)</f>
        <v/>
      </c>
      <c r="AV982">
        <f>COUNTIF($BA$982:$EH$982,"D")</f>
        <v/>
      </c>
      <c r="AW982">
        <f>COUNTIF($BA$982:$EH$982,"R")</f>
        <v/>
      </c>
      <c r="AX982">
        <f>IF(BN982="D",1,0)+IF(BO982="D",1,0)+IF(BT982="D",1,0)+IF(BU982="D",1,0)+IF(BW982="D",1,0)+IF(CC982="D",1,0)+IF(CD982="D",1,0)+IF(CE982="D",1,0)+IF(CF982="D",1,0)+IF(CL982="D",1,0)+IF(CM982="D",1,0)+IF(CQ982="D",1,0)+IF(CR982="D",1,0)+IF(CS982="D",1,0)+IF(CW982="D",1,0)+IF(CX982="D",1,0)+IF(DD982="D",1,0)+IF(DE982="D",1,0)+IF(DJ982="D",1,0)+IF(DK982="D",1,0)+IF(DO982="D",1,0)+IF(DP982="D",1,0)+IF(DQ982="D",1,0)+IF(DW982="D",1,0)+IF(DZ982="D",1,0)+IF(EH982="D",1,0)</f>
        <v/>
      </c>
      <c r="AY982">
        <f>IF(DJ982&lt;&gt;"",1,0)+IF(DK982&lt;&gt;"",1,0)+IF(DM982&lt;&gt;"",1,0)+IF(DO982&lt;&gt;"",1,0)+IF(DP982&lt;&gt;"",1,0)+IF(DQ982&lt;&gt;"",1,0)+IF(DS982&lt;&gt;"",1,0)+IF(DT982&lt;&gt;"",1,0)+IF(DV982&lt;&gt;"",1,0)+IF(DW982&lt;&gt;"",1,0)+IF(DX982&lt;&gt;"",1,0)+IF(DY982&lt;&gt;"",1,0)+IF(DZ982&lt;&gt;"",1,0)+IF(EB982&lt;&gt;"",1,0)+IF(EC982&lt;&gt;"",1,0)+IF(ED982&lt;&gt;"",1,0)+IF(EG982&lt;&gt;"",1,0)+IF(EH982&lt;&gt;"",1,0)</f>
        <v/>
      </c>
      <c r="AZ982">
        <f>IF(EH982&lt;&gt;"",1,0)</f>
        <v/>
      </c>
      <c r="BB982" t="inlineStr">
        <is>
          <t>WARREN-WARD 4</t>
        </is>
      </c>
      <c r="BD982" t="inlineStr">
        <is>
          <t>X</t>
        </is>
      </c>
      <c r="BE982" t="inlineStr">
        <is>
          <t>X</t>
        </is>
      </c>
      <c r="BF982" t="inlineStr">
        <is>
          <t>X</t>
        </is>
      </c>
      <c r="BH982" t="inlineStr">
        <is>
          <t>X</t>
        </is>
      </c>
      <c r="BJ982" t="inlineStr">
        <is>
          <t>X</t>
        </is>
      </c>
      <c r="BK982" t="inlineStr">
        <is>
          <t>X</t>
        </is>
      </c>
      <c r="BL982" t="inlineStr">
        <is>
          <t>X</t>
        </is>
      </c>
      <c r="BP982" t="inlineStr">
        <is>
          <t>X</t>
        </is>
      </c>
      <c r="BS982" t="inlineStr">
        <is>
          <t>X</t>
        </is>
      </c>
      <c r="BT982" t="inlineStr">
        <is>
          <t>X</t>
        </is>
      </c>
      <c r="CA982" t="inlineStr">
        <is>
          <t>X</t>
        </is>
      </c>
      <c r="CG982" t="inlineStr">
        <is>
          <t>X</t>
        </is>
      </c>
      <c r="CH982" t="inlineStr">
        <is>
          <t>D</t>
        </is>
      </c>
      <c r="CK982" t="inlineStr">
        <is>
          <t>X</t>
        </is>
      </c>
      <c r="CN982" t="inlineStr">
        <is>
          <t>X</t>
        </is>
      </c>
      <c r="CO982" t="inlineStr">
        <is>
          <t>D</t>
        </is>
      </c>
      <c r="CP982" t="inlineStr">
        <is>
          <t>X</t>
        </is>
      </c>
      <c r="CT982" t="inlineStr">
        <is>
          <t>X</t>
        </is>
      </c>
      <c r="CV982" t="inlineStr">
        <is>
          <t>X</t>
        </is>
      </c>
      <c r="CY982" t="inlineStr">
        <is>
          <t>X</t>
        </is>
      </c>
      <c r="CZ982" t="inlineStr">
        <is>
          <t>D</t>
        </is>
      </c>
      <c r="DC982" t="inlineStr">
        <is>
          <t>X</t>
        </is>
      </c>
      <c r="DG982" t="inlineStr">
        <is>
          <t>D</t>
        </is>
      </c>
      <c r="DI982" t="inlineStr">
        <is>
          <t>X</t>
        </is>
      </c>
      <c r="DJ982" t="inlineStr">
        <is>
          <t>D</t>
        </is>
      </c>
      <c r="DL982" t="inlineStr">
        <is>
          <t>X</t>
        </is>
      </c>
      <c r="DM982" t="inlineStr">
        <is>
          <t>D</t>
        </is>
      </c>
      <c r="DN982" t="inlineStr">
        <is>
          <t>X</t>
        </is>
      </c>
      <c r="DU982" t="inlineStr">
        <is>
          <t>X</t>
        </is>
      </c>
      <c r="DW982" t="inlineStr">
        <is>
          <t>D</t>
        </is>
      </c>
      <c r="DX982" t="inlineStr">
        <is>
          <t>X</t>
        </is>
      </c>
      <c r="EA982" t="inlineStr">
        <is>
          <t>X</t>
        </is>
      </c>
      <c r="ED982" t="inlineStr">
        <is>
          <t>D</t>
        </is>
      </c>
      <c r="EF982" t="inlineStr">
        <is>
          <t>X</t>
        </is>
      </c>
      <c r="EH982" t="inlineStr">
        <is>
          <t>D</t>
        </is>
      </c>
    </row>
    <row r="983">
      <c r="A983" t="inlineStr">
        <is>
          <t>OH0022881803</t>
        </is>
      </c>
      <c r="B983" t="n">
        <v>78</v>
      </c>
      <c r="C983" t="n">
        <v>403606</v>
      </c>
      <c r="D983" t="inlineStr">
        <is>
          <t>PATTERSON</t>
        </is>
      </c>
      <c r="E983" t="inlineStr">
        <is>
          <t>DEION</t>
        </is>
      </c>
      <c r="F983">
        <f>CONCATENATE(D983," ",LEFT(H983,4),"T=",AU983,"D=",AV983,"R=",AW983,"M=",AX983,"L=",AY983,"B=",AZ983)</f>
        <v/>
      </c>
      <c r="G983" t="inlineStr">
        <is>
          <t>TERRELL</t>
        </is>
      </c>
      <c r="I983" t="inlineStr">
        <is>
          <t>1996-06-16</t>
        </is>
      </c>
      <c r="J983" t="inlineStr">
        <is>
          <t>2014-08-07</t>
        </is>
      </c>
      <c r="K983" t="inlineStr">
        <is>
          <t>ACTIVE</t>
        </is>
      </c>
      <c r="M983" t="inlineStr">
        <is>
          <t>1224 BELLE ST SE</t>
        </is>
      </c>
      <c r="N983">
        <f>RIGHT(M983,LEN(M983)-FIND(" ",M983))</f>
        <v/>
      </c>
      <c r="P983" t="inlineStr">
        <is>
          <t>WARREN</t>
        </is>
      </c>
      <c r="Q983" t="inlineStr">
        <is>
          <t>OH</t>
        </is>
      </c>
      <c r="R983" t="n">
        <v>44484</v>
      </c>
      <c r="AD983" t="inlineStr">
        <is>
          <t>TRUMBULL CAREER &amp; TECH CENTER</t>
        </is>
      </c>
      <c r="AE983" t="inlineStr">
        <is>
          <t>WARREN CITY</t>
        </is>
      </c>
      <c r="AF983" t="inlineStr">
        <is>
          <t>WARREN CITY SD</t>
        </is>
      </c>
      <c r="AH983" t="n">
        <v>14</v>
      </c>
      <c r="AI983" t="n">
        <v>11</v>
      </c>
      <c r="AN983" t="inlineStr">
        <is>
          <t>WARREN</t>
        </is>
      </c>
      <c r="AO983" t="inlineStr">
        <is>
          <t>WARREN CITY 4A</t>
        </is>
      </c>
      <c r="AP983" t="inlineStr">
        <is>
          <t>78-P-ADI</t>
        </is>
      </c>
      <c r="AQ983" t="n">
        <v>9</v>
      </c>
      <c r="AR983" t="n">
        <v>64</v>
      </c>
      <c r="AS983" t="n">
        <v>32</v>
      </c>
      <c r="AU983">
        <f>COUNTA($BA$983:$EH$983)</f>
        <v/>
      </c>
      <c r="AV983">
        <f>COUNTIF($BA$983:$EH$983,"D")</f>
        <v/>
      </c>
      <c r="AW983">
        <f>COUNTIF($BA$983:$EH$983,"R")</f>
        <v/>
      </c>
      <c r="AX983">
        <f>IF(BN983="D",1,0)+IF(BO983="D",1,0)+IF(BT983="D",1,0)+IF(BU983="D",1,0)+IF(BW983="D",1,0)+IF(CC983="D",1,0)+IF(CD983="D",1,0)+IF(CE983="D",1,0)+IF(CF983="D",1,0)+IF(CL983="D",1,0)+IF(CM983="D",1,0)+IF(CQ983="D",1,0)+IF(CR983="D",1,0)+IF(CS983="D",1,0)+IF(CW983="D",1,0)+IF(CX983="D",1,0)+IF(DD983="D",1,0)+IF(DE983="D",1,0)+IF(DJ983="D",1,0)+IF(DK983="D",1,0)+IF(DO983="D",1,0)+IF(DP983="D",1,0)+IF(DQ983="D",1,0)+IF(DW983="D",1,0)+IF(DZ983="D",1,0)+IF(EH983="D",1,0)</f>
        <v/>
      </c>
      <c r="AY983">
        <f>IF(DJ983&lt;&gt;"",1,0)+IF(DK983&lt;&gt;"",1,0)+IF(DM983&lt;&gt;"",1,0)+IF(DO983&lt;&gt;"",1,0)+IF(DP983&lt;&gt;"",1,0)+IF(DQ983&lt;&gt;"",1,0)+IF(DS983&lt;&gt;"",1,0)+IF(DT983&lt;&gt;"",1,0)+IF(DV983&lt;&gt;"",1,0)+IF(DW983&lt;&gt;"",1,0)+IF(DX983&lt;&gt;"",1,0)+IF(DY983&lt;&gt;"",1,0)+IF(DZ983&lt;&gt;"",1,0)+IF(EB983&lt;&gt;"",1,0)+IF(EC983&lt;&gt;"",1,0)+IF(ED983&lt;&gt;"",1,0)+IF(EG983&lt;&gt;"",1,0)+IF(EH983&lt;&gt;"",1,0)</f>
        <v/>
      </c>
      <c r="AZ983">
        <f>IF(EH983&lt;&gt;"",1,0)</f>
        <v/>
      </c>
      <c r="BB983" t="inlineStr">
        <is>
          <t>WARREN-WARD 4</t>
        </is>
      </c>
      <c r="CY983" t="inlineStr">
        <is>
          <t>X</t>
        </is>
      </c>
      <c r="DN983" t="inlineStr">
        <is>
          <t>X</t>
        </is>
      </c>
    </row>
    <row r="984">
      <c r="A984" t="inlineStr">
        <is>
          <t>OH0026607455</t>
        </is>
      </c>
      <c r="B984" t="n">
        <v>78</v>
      </c>
      <c r="C984" t="n">
        <v>464992</v>
      </c>
      <c r="D984" t="inlineStr">
        <is>
          <t>FRENCHKO TRIPOULAS</t>
        </is>
      </c>
      <c r="E984" t="inlineStr">
        <is>
          <t>LOLA</t>
        </is>
      </c>
      <c r="F984">
        <f>CONCATENATE(D984," ",LEFT(H984,4),"T=",AU984,"D=",AV984,"R=",AW984,"M=",AX984,"L=",AY984,"B=",AZ984)</f>
        <v/>
      </c>
      <c r="G984" t="inlineStr">
        <is>
          <t>SOFIA</t>
        </is>
      </c>
      <c r="I984" t="inlineStr">
        <is>
          <t>2004-09-06</t>
        </is>
      </c>
      <c r="J984" t="inlineStr">
        <is>
          <t>2022-09-01</t>
        </is>
      </c>
      <c r="K984" t="inlineStr">
        <is>
          <t>ACTIVE</t>
        </is>
      </c>
      <c r="L984" t="inlineStr">
        <is>
          <t>R</t>
        </is>
      </c>
      <c r="M984" t="inlineStr">
        <is>
          <t>170 KENILWORTH AVE SE</t>
        </is>
      </c>
      <c r="N984">
        <f>RIGHT(M984,LEN(M984)-FIND(" ",M984))</f>
        <v/>
      </c>
      <c r="P984" t="inlineStr">
        <is>
          <t>WARREN</t>
        </is>
      </c>
      <c r="Q984" t="inlineStr">
        <is>
          <t>OH</t>
        </is>
      </c>
      <c r="R984" t="n">
        <v>44483</v>
      </c>
      <c r="AD984" t="inlineStr">
        <is>
          <t>TRUMBULL CAREER &amp; TECH CENTER</t>
        </is>
      </c>
      <c r="AE984" t="inlineStr">
        <is>
          <t>WARREN CITY</t>
        </is>
      </c>
      <c r="AF984" t="inlineStr">
        <is>
          <t>WARREN CITY SD</t>
        </is>
      </c>
      <c r="AH984" t="n">
        <v>14</v>
      </c>
      <c r="AI984" t="n">
        <v>11</v>
      </c>
      <c r="AN984" t="inlineStr">
        <is>
          <t>WARREN</t>
        </is>
      </c>
      <c r="AO984" t="inlineStr">
        <is>
          <t>WARREN CITY 4A</t>
        </is>
      </c>
      <c r="AP984" t="inlineStr">
        <is>
          <t>78-P-ADI</t>
        </is>
      </c>
      <c r="AQ984" t="n">
        <v>9</v>
      </c>
      <c r="AR984" t="n">
        <v>64</v>
      </c>
      <c r="AS984" t="n">
        <v>32</v>
      </c>
      <c r="AU984">
        <f>COUNTA($BA$984:$EH$984)</f>
        <v/>
      </c>
      <c r="AV984">
        <f>COUNTIF($BA$984:$EH$984,"D")</f>
        <v/>
      </c>
      <c r="AW984">
        <f>COUNTIF($BA$984:$EH$984,"R")</f>
        <v/>
      </c>
      <c r="AX984">
        <f>IF(BN984="D",1,0)+IF(BO984="D",1,0)+IF(BT984="D",1,0)+IF(BU984="D",1,0)+IF(BW984="D",1,0)+IF(CC984="D",1,0)+IF(CD984="D",1,0)+IF(CE984="D",1,0)+IF(CF984="D",1,0)+IF(CL984="D",1,0)+IF(CM984="D",1,0)+IF(CQ984="D",1,0)+IF(CR984="D",1,0)+IF(CS984="D",1,0)+IF(CW984="D",1,0)+IF(CX984="D",1,0)+IF(DD984="D",1,0)+IF(DE984="D",1,0)+IF(DJ984="D",1,0)+IF(DK984="D",1,0)+IF(DO984="D",1,0)+IF(DP984="D",1,0)+IF(DQ984="D",1,0)+IF(DW984="D",1,0)+IF(DZ984="D",1,0)+IF(EH984="D",1,0)</f>
        <v/>
      </c>
      <c r="AY984">
        <f>IF(DJ984&lt;&gt;"",1,0)+IF(DK984&lt;&gt;"",1,0)+IF(DM984&lt;&gt;"",1,0)+IF(DO984&lt;&gt;"",1,0)+IF(DP984&lt;&gt;"",1,0)+IF(DQ984&lt;&gt;"",1,0)+IF(DS984&lt;&gt;"",1,0)+IF(DT984&lt;&gt;"",1,0)+IF(DV984&lt;&gt;"",1,0)+IF(DW984&lt;&gt;"",1,0)+IF(DX984&lt;&gt;"",1,0)+IF(DY984&lt;&gt;"",1,0)+IF(DZ984&lt;&gt;"",1,0)+IF(EB984&lt;&gt;"",1,0)+IF(EC984&lt;&gt;"",1,0)+IF(ED984&lt;&gt;"",1,0)+IF(EG984&lt;&gt;"",1,0)+IF(EH984&lt;&gt;"",1,0)</f>
        <v/>
      </c>
      <c r="AZ984">
        <f>IF(EH984&lt;&gt;"",1,0)</f>
        <v/>
      </c>
      <c r="BB984" t="inlineStr">
        <is>
          <t>WARREN-WARD 4</t>
        </is>
      </c>
      <c r="DU984" t="inlineStr">
        <is>
          <t>X</t>
        </is>
      </c>
      <c r="DW984" t="inlineStr">
        <is>
          <t>D</t>
        </is>
      </c>
      <c r="EA984" t="inlineStr">
        <is>
          <t>X</t>
        </is>
      </c>
      <c r="ED984" t="inlineStr">
        <is>
          <t>R</t>
        </is>
      </c>
      <c r="EF984" t="inlineStr">
        <is>
          <t>X</t>
        </is>
      </c>
    </row>
    <row r="985">
      <c r="A985" t="inlineStr">
        <is>
          <t>OH0015703544</t>
        </is>
      </c>
      <c r="B985" t="n">
        <v>78</v>
      </c>
      <c r="C985" t="n">
        <v>164321</v>
      </c>
      <c r="D985" t="inlineStr">
        <is>
          <t>PECORELLI</t>
        </is>
      </c>
      <c r="E985" t="inlineStr">
        <is>
          <t>CHARLOTTE</t>
        </is>
      </c>
      <c r="F985">
        <f>CONCATENATE(D985," ",LEFT(H985,4),"T=",AU985,"D=",AV985,"R=",AW985,"M=",AX985,"L=",AY985,"B=",AZ985)</f>
        <v/>
      </c>
      <c r="G985" t="inlineStr">
        <is>
          <t>J</t>
        </is>
      </c>
      <c r="I985" t="inlineStr">
        <is>
          <t>1950-12-01</t>
        </is>
      </c>
      <c r="J985" t="inlineStr">
        <is>
          <t>2016-07-20</t>
        </is>
      </c>
      <c r="K985" t="inlineStr">
        <is>
          <t>ACTIVE</t>
        </is>
      </c>
      <c r="M985" t="inlineStr">
        <is>
          <t>336 IDDINGS AVE SE</t>
        </is>
      </c>
      <c r="N985">
        <f>RIGHT(M985,LEN(M985)-FIND(" ",M985))</f>
        <v/>
      </c>
      <c r="P985" t="inlineStr">
        <is>
          <t>WARREN</t>
        </is>
      </c>
      <c r="Q985" t="inlineStr">
        <is>
          <t>OH</t>
        </is>
      </c>
      <c r="R985" t="n">
        <v>44483</v>
      </c>
      <c r="AD985" t="inlineStr">
        <is>
          <t>TRUMBULL CAREER &amp; TECH CENTER</t>
        </is>
      </c>
      <c r="AE985" t="inlineStr">
        <is>
          <t>WARREN CITY</t>
        </is>
      </c>
      <c r="AF985" t="inlineStr">
        <is>
          <t>WARREN CITY SD</t>
        </is>
      </c>
      <c r="AH985" t="n">
        <v>14</v>
      </c>
      <c r="AI985" t="n">
        <v>11</v>
      </c>
      <c r="AN985" t="inlineStr">
        <is>
          <t>WARREN</t>
        </is>
      </c>
      <c r="AO985" t="inlineStr">
        <is>
          <t>WARREN CITY 4A</t>
        </is>
      </c>
      <c r="AP985" t="inlineStr">
        <is>
          <t>78-P-ADI</t>
        </is>
      </c>
      <c r="AQ985" t="n">
        <v>9</v>
      </c>
      <c r="AR985" t="n">
        <v>64</v>
      </c>
      <c r="AS985" t="n">
        <v>32</v>
      </c>
      <c r="AU985">
        <f>COUNTA($BA$985:$EH$985)</f>
        <v/>
      </c>
      <c r="AV985">
        <f>COUNTIF($BA$985:$EH$985,"D")</f>
        <v/>
      </c>
      <c r="AW985">
        <f>COUNTIF($BA$985:$EH$985,"R")</f>
        <v/>
      </c>
      <c r="AX985">
        <f>IF(BN985="D",1,0)+IF(BO985="D",1,0)+IF(BT985="D",1,0)+IF(BU985="D",1,0)+IF(BW985="D",1,0)+IF(CC985="D",1,0)+IF(CD985="D",1,0)+IF(CE985="D",1,0)+IF(CF985="D",1,0)+IF(CL985="D",1,0)+IF(CM985="D",1,0)+IF(CQ985="D",1,0)+IF(CR985="D",1,0)+IF(CS985="D",1,0)+IF(CW985="D",1,0)+IF(CX985="D",1,0)+IF(DD985="D",1,0)+IF(DE985="D",1,0)+IF(DJ985="D",1,0)+IF(DK985="D",1,0)+IF(DO985="D",1,0)+IF(DP985="D",1,0)+IF(DQ985="D",1,0)+IF(DW985="D",1,0)+IF(DZ985="D",1,0)+IF(EH985="D",1,0)</f>
        <v/>
      </c>
      <c r="AY985">
        <f>IF(DJ985&lt;&gt;"",1,0)+IF(DK985&lt;&gt;"",1,0)+IF(DM985&lt;&gt;"",1,0)+IF(DO985&lt;&gt;"",1,0)+IF(DP985&lt;&gt;"",1,0)+IF(DQ985&lt;&gt;"",1,0)+IF(DS985&lt;&gt;"",1,0)+IF(DT985&lt;&gt;"",1,0)+IF(DV985&lt;&gt;"",1,0)+IF(DW985&lt;&gt;"",1,0)+IF(DX985&lt;&gt;"",1,0)+IF(DY985&lt;&gt;"",1,0)+IF(DZ985&lt;&gt;"",1,0)+IF(EB985&lt;&gt;"",1,0)+IF(EC985&lt;&gt;"",1,0)+IF(ED985&lt;&gt;"",1,0)+IF(EG985&lt;&gt;"",1,0)+IF(EH985&lt;&gt;"",1,0)</f>
        <v/>
      </c>
      <c r="AZ985">
        <f>IF(EH985&lt;&gt;"",1,0)</f>
        <v/>
      </c>
      <c r="BB985" t="inlineStr">
        <is>
          <t>WARREN-WARD 4</t>
        </is>
      </c>
      <c r="BC985" t="inlineStr">
        <is>
          <t>X</t>
        </is>
      </c>
      <c r="BD985" t="inlineStr">
        <is>
          <t>X</t>
        </is>
      </c>
      <c r="BF985" t="inlineStr">
        <is>
          <t>X</t>
        </is>
      </c>
      <c r="BH985" t="inlineStr">
        <is>
          <t>X</t>
        </is>
      </c>
      <c r="BI985" t="inlineStr">
        <is>
          <t>X</t>
        </is>
      </c>
      <c r="BJ985" t="inlineStr">
        <is>
          <t>X</t>
        </is>
      </c>
      <c r="BK985" t="inlineStr">
        <is>
          <t>X</t>
        </is>
      </c>
      <c r="BL985" t="inlineStr">
        <is>
          <t>X</t>
        </is>
      </c>
      <c r="BS985" t="inlineStr">
        <is>
          <t>X</t>
        </is>
      </c>
      <c r="BY985" t="inlineStr">
        <is>
          <t>D</t>
        </is>
      </c>
      <c r="CA985" t="inlineStr">
        <is>
          <t>X</t>
        </is>
      </c>
      <c r="CN985" t="inlineStr">
        <is>
          <t>X</t>
        </is>
      </c>
      <c r="CP985" t="inlineStr">
        <is>
          <t>X</t>
        </is>
      </c>
      <c r="CV985" t="inlineStr">
        <is>
          <t>X</t>
        </is>
      </c>
      <c r="CY985" t="inlineStr">
        <is>
          <t>X</t>
        </is>
      </c>
      <c r="CZ985" t="inlineStr">
        <is>
          <t>D</t>
        </is>
      </c>
      <c r="DC985" t="inlineStr">
        <is>
          <t>X</t>
        </is>
      </c>
      <c r="DI985" t="inlineStr">
        <is>
          <t>X</t>
        </is>
      </c>
      <c r="DM985" t="inlineStr">
        <is>
          <t>D</t>
        </is>
      </c>
      <c r="DN985" t="inlineStr">
        <is>
          <t>X</t>
        </is>
      </c>
      <c r="EF985" t="inlineStr">
        <is>
          <t>X</t>
        </is>
      </c>
    </row>
    <row r="986">
      <c r="A986" t="inlineStr">
        <is>
          <t>OH0015726399</t>
        </is>
      </c>
      <c r="B986" t="n">
        <v>78</v>
      </c>
      <c r="C986" t="n">
        <v>211186</v>
      </c>
      <c r="D986" t="inlineStr">
        <is>
          <t>KERNS</t>
        </is>
      </c>
      <c r="E986" t="inlineStr">
        <is>
          <t>SALLY</t>
        </is>
      </c>
      <c r="F986">
        <f>CONCATENATE(D986," ",LEFT(H986,4),"T=",AU986,"D=",AV986,"R=",AW986,"M=",AX986,"L=",AY986,"B=",AZ986)</f>
        <v/>
      </c>
      <c r="G986" t="inlineStr">
        <is>
          <t>A</t>
        </is>
      </c>
      <c r="I986" t="inlineStr">
        <is>
          <t>1966-08-29</t>
        </is>
      </c>
      <c r="J986" t="inlineStr">
        <is>
          <t>2011-05-03</t>
        </is>
      </c>
      <c r="K986" t="inlineStr">
        <is>
          <t>ACTIVE</t>
        </is>
      </c>
      <c r="L986" t="inlineStr">
        <is>
          <t>R</t>
        </is>
      </c>
      <c r="M986" t="inlineStr">
        <is>
          <t>367 IDDINGS AVE SE</t>
        </is>
      </c>
      <c r="N986">
        <f>RIGHT(M986,LEN(M986)-FIND(" ",M986))</f>
        <v/>
      </c>
      <c r="P986" t="inlineStr">
        <is>
          <t>WARREN</t>
        </is>
      </c>
      <c r="Q986" t="inlineStr">
        <is>
          <t>OH</t>
        </is>
      </c>
      <c r="R986" t="n">
        <v>44483</v>
      </c>
      <c r="AD986" t="inlineStr">
        <is>
          <t>TRUMBULL CAREER &amp; TECH CENTER</t>
        </is>
      </c>
      <c r="AE986" t="inlineStr">
        <is>
          <t>WARREN CITY</t>
        </is>
      </c>
      <c r="AF986" t="inlineStr">
        <is>
          <t>WARREN CITY SD</t>
        </is>
      </c>
      <c r="AH986" t="n">
        <v>14</v>
      </c>
      <c r="AI986" t="n">
        <v>11</v>
      </c>
      <c r="AN986" t="inlineStr">
        <is>
          <t>WARREN</t>
        </is>
      </c>
      <c r="AO986" t="inlineStr">
        <is>
          <t>WARREN CITY 4A</t>
        </is>
      </c>
      <c r="AP986" t="inlineStr">
        <is>
          <t>78-P-ADI</t>
        </is>
      </c>
      <c r="AQ986" t="n">
        <v>9</v>
      </c>
      <c r="AR986" t="n">
        <v>64</v>
      </c>
      <c r="AS986" t="n">
        <v>32</v>
      </c>
      <c r="AU986">
        <f>COUNTA($BA$986:$EH$986)</f>
        <v/>
      </c>
      <c r="AV986">
        <f>COUNTIF($BA$986:$EH$986,"D")</f>
        <v/>
      </c>
      <c r="AW986">
        <f>COUNTIF($BA$986:$EH$986,"R")</f>
        <v/>
      </c>
      <c r="AX986">
        <f>IF(BN986="D",1,0)+IF(BO986="D",1,0)+IF(BT986="D",1,0)+IF(BU986="D",1,0)+IF(BW986="D",1,0)+IF(CC986="D",1,0)+IF(CD986="D",1,0)+IF(CE986="D",1,0)+IF(CF986="D",1,0)+IF(CL986="D",1,0)+IF(CM986="D",1,0)+IF(CQ986="D",1,0)+IF(CR986="D",1,0)+IF(CS986="D",1,0)+IF(CW986="D",1,0)+IF(CX986="D",1,0)+IF(DD986="D",1,0)+IF(DE986="D",1,0)+IF(DJ986="D",1,0)+IF(DK986="D",1,0)+IF(DO986="D",1,0)+IF(DP986="D",1,0)+IF(DQ986="D",1,0)+IF(DW986="D",1,0)+IF(DZ986="D",1,0)+IF(EH986="D",1,0)</f>
        <v/>
      </c>
      <c r="AY986">
        <f>IF(DJ986&lt;&gt;"",1,0)+IF(DK986&lt;&gt;"",1,0)+IF(DM986&lt;&gt;"",1,0)+IF(DO986&lt;&gt;"",1,0)+IF(DP986&lt;&gt;"",1,0)+IF(DQ986&lt;&gt;"",1,0)+IF(DS986&lt;&gt;"",1,0)+IF(DT986&lt;&gt;"",1,0)+IF(DV986&lt;&gt;"",1,0)+IF(DW986&lt;&gt;"",1,0)+IF(DX986&lt;&gt;"",1,0)+IF(DY986&lt;&gt;"",1,0)+IF(DZ986&lt;&gt;"",1,0)+IF(EB986&lt;&gt;"",1,0)+IF(EC986&lt;&gt;"",1,0)+IF(ED986&lt;&gt;"",1,0)+IF(EG986&lt;&gt;"",1,0)+IF(EH986&lt;&gt;"",1,0)</f>
        <v/>
      </c>
      <c r="AZ986">
        <f>IF(EH986&lt;&gt;"",1,0)</f>
        <v/>
      </c>
      <c r="BB986" t="inlineStr">
        <is>
          <t>WARREN-WARD 4</t>
        </is>
      </c>
      <c r="BC986" t="inlineStr">
        <is>
          <t>X</t>
        </is>
      </c>
      <c r="BD986" t="inlineStr">
        <is>
          <t>X</t>
        </is>
      </c>
      <c r="BE986" t="inlineStr">
        <is>
          <t>X</t>
        </is>
      </c>
      <c r="BH986" t="inlineStr">
        <is>
          <t>X</t>
        </is>
      </c>
      <c r="BJ986" t="inlineStr">
        <is>
          <t>X</t>
        </is>
      </c>
      <c r="BL986" t="inlineStr">
        <is>
          <t>X</t>
        </is>
      </c>
      <c r="BP986" t="inlineStr">
        <is>
          <t>X</t>
        </is>
      </c>
      <c r="BS986" t="inlineStr">
        <is>
          <t>X</t>
        </is>
      </c>
      <c r="BY986" t="inlineStr">
        <is>
          <t>R</t>
        </is>
      </c>
      <c r="CA986" t="inlineStr">
        <is>
          <t>X</t>
        </is>
      </c>
      <c r="CN986" t="inlineStr">
        <is>
          <t>X</t>
        </is>
      </c>
      <c r="CP986" t="inlineStr">
        <is>
          <t>X</t>
        </is>
      </c>
      <c r="CU986" t="inlineStr">
        <is>
          <t>R</t>
        </is>
      </c>
      <c r="CV986" t="inlineStr">
        <is>
          <t>X</t>
        </is>
      </c>
      <c r="CY986" t="inlineStr">
        <is>
          <t>X</t>
        </is>
      </c>
      <c r="CZ986" t="inlineStr">
        <is>
          <t>R</t>
        </is>
      </c>
      <c r="DC986" t="inlineStr">
        <is>
          <t>X</t>
        </is>
      </c>
      <c r="DI986" t="inlineStr">
        <is>
          <t>X</t>
        </is>
      </c>
      <c r="DN986" t="inlineStr">
        <is>
          <t>X</t>
        </is>
      </c>
      <c r="DU986" t="inlineStr">
        <is>
          <t>X</t>
        </is>
      </c>
      <c r="DX986" t="inlineStr">
        <is>
          <t>X</t>
        </is>
      </c>
      <c r="EA986" t="inlineStr">
        <is>
          <t>X</t>
        </is>
      </c>
      <c r="ED986" t="inlineStr">
        <is>
          <t>R</t>
        </is>
      </c>
      <c r="EF986" t="inlineStr">
        <is>
          <t>X</t>
        </is>
      </c>
      <c r="EH986" t="inlineStr">
        <is>
          <t>X</t>
        </is>
      </c>
    </row>
    <row r="987">
      <c r="A987" t="inlineStr">
        <is>
          <t>OH0015803446</t>
        </is>
      </c>
      <c r="B987" t="n">
        <v>78</v>
      </c>
      <c r="C987" t="n">
        <v>92932</v>
      </c>
      <c r="D987" t="inlineStr">
        <is>
          <t>BELL</t>
        </is>
      </c>
      <c r="E987" t="inlineStr">
        <is>
          <t>HARRIET</t>
        </is>
      </c>
      <c r="F987">
        <f>CONCATENATE(D987," ",LEFT(H987,4),"T=",AU987,"D=",AV987,"R=",AW987,"M=",AX987,"L=",AY987,"B=",AZ987)</f>
        <v/>
      </c>
      <c r="G987" t="inlineStr">
        <is>
          <t>S</t>
        </is>
      </c>
      <c r="I987" t="inlineStr">
        <is>
          <t>1943-04-08</t>
        </is>
      </c>
      <c r="J987" t="inlineStr">
        <is>
          <t>1976-10-02</t>
        </is>
      </c>
      <c r="K987" t="inlineStr">
        <is>
          <t>ACTIVE</t>
        </is>
      </c>
      <c r="M987" t="inlineStr">
        <is>
          <t>725 LAIRD AVE SE</t>
        </is>
      </c>
      <c r="N987">
        <f>RIGHT(M987,LEN(M987)-FIND(" ",M987))</f>
        <v/>
      </c>
      <c r="P987" t="inlineStr">
        <is>
          <t>WARREN</t>
        </is>
      </c>
      <c r="Q987" t="inlineStr">
        <is>
          <t>OH</t>
        </is>
      </c>
      <c r="R987" t="n">
        <v>44484</v>
      </c>
      <c r="AD987" t="inlineStr">
        <is>
          <t>TRUMBULL CAREER &amp; TECH CENTER</t>
        </is>
      </c>
      <c r="AE987" t="inlineStr">
        <is>
          <t>WARREN CITY</t>
        </is>
      </c>
      <c r="AF987" t="inlineStr">
        <is>
          <t>WARREN CITY SD</t>
        </is>
      </c>
      <c r="AH987" t="n">
        <v>14</v>
      </c>
      <c r="AI987" t="n">
        <v>11</v>
      </c>
      <c r="AN987" t="inlineStr">
        <is>
          <t>WARREN</t>
        </is>
      </c>
      <c r="AO987" t="inlineStr">
        <is>
          <t>WARREN CITY 4A</t>
        </is>
      </c>
      <c r="AP987" t="inlineStr">
        <is>
          <t>78-P-ADI</t>
        </is>
      </c>
      <c r="AQ987" t="n">
        <v>9</v>
      </c>
      <c r="AR987" t="n">
        <v>64</v>
      </c>
      <c r="AS987" t="n">
        <v>32</v>
      </c>
      <c r="AU987">
        <f>COUNTA($BA$987:$EH$987)</f>
        <v/>
      </c>
      <c r="AV987">
        <f>COUNTIF($BA$987:$EH$987,"D")</f>
        <v/>
      </c>
      <c r="AW987">
        <f>COUNTIF($BA$987:$EH$987,"R")</f>
        <v/>
      </c>
      <c r="AX987">
        <f>IF(BN987="D",1,0)+IF(BO987="D",1,0)+IF(BT987="D",1,0)+IF(BU987="D",1,0)+IF(BW987="D",1,0)+IF(CC987="D",1,0)+IF(CD987="D",1,0)+IF(CE987="D",1,0)+IF(CF987="D",1,0)+IF(CL987="D",1,0)+IF(CM987="D",1,0)+IF(CQ987="D",1,0)+IF(CR987="D",1,0)+IF(CS987="D",1,0)+IF(CW987="D",1,0)+IF(CX987="D",1,0)+IF(DD987="D",1,0)+IF(DE987="D",1,0)+IF(DJ987="D",1,0)+IF(DK987="D",1,0)+IF(DO987="D",1,0)+IF(DP987="D",1,0)+IF(DQ987="D",1,0)+IF(DW987="D",1,0)+IF(DZ987="D",1,0)+IF(EH987="D",1,0)</f>
        <v/>
      </c>
      <c r="AY987">
        <f>IF(DJ987&lt;&gt;"",1,0)+IF(DK987&lt;&gt;"",1,0)+IF(DM987&lt;&gt;"",1,0)+IF(DO987&lt;&gt;"",1,0)+IF(DP987&lt;&gt;"",1,0)+IF(DQ987&lt;&gt;"",1,0)+IF(DS987&lt;&gt;"",1,0)+IF(DT987&lt;&gt;"",1,0)+IF(DV987&lt;&gt;"",1,0)+IF(DW987&lt;&gt;"",1,0)+IF(DX987&lt;&gt;"",1,0)+IF(DY987&lt;&gt;"",1,0)+IF(DZ987&lt;&gt;"",1,0)+IF(EB987&lt;&gt;"",1,0)+IF(EC987&lt;&gt;"",1,0)+IF(ED987&lt;&gt;"",1,0)+IF(EG987&lt;&gt;"",1,0)+IF(EH987&lt;&gt;"",1,0)</f>
        <v/>
      </c>
      <c r="AZ987">
        <f>IF(EH987&lt;&gt;"",1,0)</f>
        <v/>
      </c>
      <c r="BB987" t="inlineStr">
        <is>
          <t>WARREN-WARD 4</t>
        </is>
      </c>
      <c r="BC987" t="inlineStr">
        <is>
          <t>X</t>
        </is>
      </c>
      <c r="BD987" t="inlineStr">
        <is>
          <t>X</t>
        </is>
      </c>
      <c r="BE987" t="inlineStr">
        <is>
          <t>X</t>
        </is>
      </c>
      <c r="BG987" t="inlineStr">
        <is>
          <t>X</t>
        </is>
      </c>
      <c r="BH987" t="inlineStr">
        <is>
          <t>X</t>
        </is>
      </c>
      <c r="BK987" t="inlineStr">
        <is>
          <t>X</t>
        </is>
      </c>
      <c r="BL987" t="inlineStr">
        <is>
          <t>X</t>
        </is>
      </c>
      <c r="BP987" t="inlineStr">
        <is>
          <t>X</t>
        </is>
      </c>
      <c r="BR987" t="inlineStr">
        <is>
          <t>X</t>
        </is>
      </c>
      <c r="BS987" t="inlineStr">
        <is>
          <t>X</t>
        </is>
      </c>
      <c r="BY987" t="inlineStr">
        <is>
          <t>D</t>
        </is>
      </c>
      <c r="CA987" t="inlineStr">
        <is>
          <t>X</t>
        </is>
      </c>
      <c r="CG987" t="inlineStr">
        <is>
          <t>X</t>
        </is>
      </c>
      <c r="CH987" t="inlineStr">
        <is>
          <t>D</t>
        </is>
      </c>
      <c r="CK987" t="inlineStr">
        <is>
          <t>X</t>
        </is>
      </c>
      <c r="CL987" t="inlineStr">
        <is>
          <t>D</t>
        </is>
      </c>
      <c r="CN987" t="inlineStr">
        <is>
          <t>X</t>
        </is>
      </c>
      <c r="CO987" t="inlineStr">
        <is>
          <t>D</t>
        </is>
      </c>
      <c r="CP987" t="inlineStr">
        <is>
          <t>X</t>
        </is>
      </c>
      <c r="CQ987" t="inlineStr">
        <is>
          <t>D</t>
        </is>
      </c>
      <c r="CT987" t="inlineStr">
        <is>
          <t>X</t>
        </is>
      </c>
      <c r="CU987" t="inlineStr">
        <is>
          <t>D</t>
        </is>
      </c>
      <c r="CV987" t="inlineStr">
        <is>
          <t>X</t>
        </is>
      </c>
      <c r="CY987" t="inlineStr">
        <is>
          <t>X</t>
        </is>
      </c>
      <c r="CZ987" t="inlineStr">
        <is>
          <t>D</t>
        </is>
      </c>
      <c r="DC987" t="inlineStr">
        <is>
          <t>X</t>
        </is>
      </c>
      <c r="DF987" t="inlineStr">
        <is>
          <t>X</t>
        </is>
      </c>
      <c r="DG987" t="inlineStr">
        <is>
          <t>D</t>
        </is>
      </c>
      <c r="DI987" t="inlineStr">
        <is>
          <t>X</t>
        </is>
      </c>
      <c r="DJ987" t="inlineStr">
        <is>
          <t>D</t>
        </is>
      </c>
      <c r="DL987" t="inlineStr">
        <is>
          <t>X</t>
        </is>
      </c>
      <c r="DM987" t="inlineStr">
        <is>
          <t>D</t>
        </is>
      </c>
      <c r="DN987" t="inlineStr">
        <is>
          <t>X</t>
        </is>
      </c>
      <c r="DU987" t="inlineStr">
        <is>
          <t>X</t>
        </is>
      </c>
      <c r="DX987" t="inlineStr">
        <is>
          <t>X</t>
        </is>
      </c>
      <c r="EF987" t="inlineStr">
        <is>
          <t>X</t>
        </is>
      </c>
    </row>
    <row r="988">
      <c r="A988" t="inlineStr">
        <is>
          <t>OH0026607168</t>
        </is>
      </c>
      <c r="B988" t="n">
        <v>78</v>
      </c>
      <c r="C988" t="n">
        <v>464985</v>
      </c>
      <c r="D988" t="inlineStr">
        <is>
          <t>FIGUEROA</t>
        </is>
      </c>
      <c r="E988" t="inlineStr">
        <is>
          <t>KIMBERLEY</t>
        </is>
      </c>
      <c r="F988">
        <f>CONCATENATE(D988," ",LEFT(H988,4),"T=",AU988,"D=",AV988,"R=",AW988,"M=",AX988,"L=",AY988,"B=",AZ988)</f>
        <v/>
      </c>
      <c r="G988" t="inlineStr">
        <is>
          <t>MARIE</t>
        </is>
      </c>
      <c r="I988" t="inlineStr">
        <is>
          <t>1988-09-08</t>
        </is>
      </c>
      <c r="J988" t="inlineStr">
        <is>
          <t>2022-09-06</t>
        </is>
      </c>
      <c r="K988" t="inlineStr">
        <is>
          <t>ACTIVE</t>
        </is>
      </c>
      <c r="M988" t="inlineStr">
        <is>
          <t>721 WOODBINE AVE SE</t>
        </is>
      </c>
      <c r="N988">
        <f>RIGHT(M988,LEN(M988)-FIND(" ",M988))</f>
        <v/>
      </c>
      <c r="P988" t="inlineStr">
        <is>
          <t>WARREN</t>
        </is>
      </c>
      <c r="Q988" t="inlineStr">
        <is>
          <t>OH</t>
        </is>
      </c>
      <c r="R988" t="n">
        <v>44484</v>
      </c>
      <c r="AD988" t="inlineStr">
        <is>
          <t>TRUMBULL CAREER &amp; TECH CENTER</t>
        </is>
      </c>
      <c r="AE988" t="inlineStr">
        <is>
          <t>WARREN CITY</t>
        </is>
      </c>
      <c r="AF988" t="inlineStr">
        <is>
          <t>WARREN CITY SD</t>
        </is>
      </c>
      <c r="AH988" t="n">
        <v>14</v>
      </c>
      <c r="AI988" t="n">
        <v>11</v>
      </c>
      <c r="AN988" t="inlineStr">
        <is>
          <t>WARREN</t>
        </is>
      </c>
      <c r="AO988" t="inlineStr">
        <is>
          <t>WARREN CITY 4A</t>
        </is>
      </c>
      <c r="AP988" t="inlineStr">
        <is>
          <t>78-P-ADI</t>
        </is>
      </c>
      <c r="AQ988" t="n">
        <v>9</v>
      </c>
      <c r="AR988" t="n">
        <v>64</v>
      </c>
      <c r="AS988" t="n">
        <v>32</v>
      </c>
      <c r="AU988">
        <f>COUNTA($BA$988:$EH$988)</f>
        <v/>
      </c>
      <c r="AV988">
        <f>COUNTIF($BA$988:$EH$988,"D")</f>
        <v/>
      </c>
      <c r="AW988">
        <f>COUNTIF($BA$988:$EH$988,"R")</f>
        <v/>
      </c>
      <c r="AX988">
        <f>IF(BN988="D",1,0)+IF(BO988="D",1,0)+IF(BT988="D",1,0)+IF(BU988="D",1,0)+IF(BW988="D",1,0)+IF(CC988="D",1,0)+IF(CD988="D",1,0)+IF(CE988="D",1,0)+IF(CF988="D",1,0)+IF(CL988="D",1,0)+IF(CM988="D",1,0)+IF(CQ988="D",1,0)+IF(CR988="D",1,0)+IF(CS988="D",1,0)+IF(CW988="D",1,0)+IF(CX988="D",1,0)+IF(DD988="D",1,0)+IF(DE988="D",1,0)+IF(DJ988="D",1,0)+IF(DK988="D",1,0)+IF(DO988="D",1,0)+IF(DP988="D",1,0)+IF(DQ988="D",1,0)+IF(DW988="D",1,0)+IF(DZ988="D",1,0)+IF(EH988="D",1,0)</f>
        <v/>
      </c>
      <c r="AY988">
        <f>IF(DJ988&lt;&gt;"",1,0)+IF(DK988&lt;&gt;"",1,0)+IF(DM988&lt;&gt;"",1,0)+IF(DO988&lt;&gt;"",1,0)+IF(DP988&lt;&gt;"",1,0)+IF(DQ988&lt;&gt;"",1,0)+IF(DS988&lt;&gt;"",1,0)+IF(DT988&lt;&gt;"",1,0)+IF(DV988&lt;&gt;"",1,0)+IF(DW988&lt;&gt;"",1,0)+IF(DX988&lt;&gt;"",1,0)+IF(DY988&lt;&gt;"",1,0)+IF(DZ988&lt;&gt;"",1,0)+IF(EB988&lt;&gt;"",1,0)+IF(EC988&lt;&gt;"",1,0)+IF(ED988&lt;&gt;"",1,0)+IF(EG988&lt;&gt;"",1,0)+IF(EH988&lt;&gt;"",1,0)</f>
        <v/>
      </c>
      <c r="AZ988">
        <f>IF(EH988&lt;&gt;"",1,0)</f>
        <v/>
      </c>
      <c r="BB988" t="inlineStr">
        <is>
          <t>WARREN-WARD 4</t>
        </is>
      </c>
      <c r="EF988" t="inlineStr">
        <is>
          <t>X</t>
        </is>
      </c>
    </row>
    <row r="989">
      <c r="A989" t="inlineStr">
        <is>
          <t>OH0015689624</t>
        </is>
      </c>
      <c r="B989" t="n">
        <v>78</v>
      </c>
      <c r="C989" t="n">
        <v>13267</v>
      </c>
      <c r="D989" t="inlineStr">
        <is>
          <t>LYONS</t>
        </is>
      </c>
      <c r="E989" t="inlineStr">
        <is>
          <t>STELLA</t>
        </is>
      </c>
      <c r="F989">
        <f>CONCATENATE(D989," ",LEFT(H989,4),"T=",AU989,"D=",AV989,"R=",AW989,"M=",AX989,"L=",AY989,"B=",AZ989)</f>
        <v/>
      </c>
      <c r="G989" t="inlineStr">
        <is>
          <t>M</t>
        </is>
      </c>
      <c r="I989" t="inlineStr">
        <is>
          <t>1934-09-12</t>
        </is>
      </c>
      <c r="J989" t="inlineStr">
        <is>
          <t>1962-09-25</t>
        </is>
      </c>
      <c r="K989" t="inlineStr">
        <is>
          <t>ACTIVE</t>
        </is>
      </c>
      <c r="L989" t="inlineStr">
        <is>
          <t>R</t>
        </is>
      </c>
      <c r="M989" t="inlineStr">
        <is>
          <t>396 IDDINGS AVE SE</t>
        </is>
      </c>
      <c r="N989">
        <f>RIGHT(M989,LEN(M989)-FIND(" ",M989))</f>
        <v/>
      </c>
      <c r="P989" t="inlineStr">
        <is>
          <t>WARREN</t>
        </is>
      </c>
      <c r="Q989" t="inlineStr">
        <is>
          <t>OH</t>
        </is>
      </c>
      <c r="R989" t="n">
        <v>44483</v>
      </c>
      <c r="AD989" t="inlineStr">
        <is>
          <t>TRUMBULL CAREER &amp; TECH CENTER</t>
        </is>
      </c>
      <c r="AE989" t="inlineStr">
        <is>
          <t>WARREN CITY</t>
        </is>
      </c>
      <c r="AF989" t="inlineStr">
        <is>
          <t>WARREN CITY SD</t>
        </is>
      </c>
      <c r="AH989" t="n">
        <v>14</v>
      </c>
      <c r="AI989" t="n">
        <v>11</v>
      </c>
      <c r="AN989" t="inlineStr">
        <is>
          <t>WARREN</t>
        </is>
      </c>
      <c r="AO989" t="inlineStr">
        <is>
          <t>WARREN CITY 4A</t>
        </is>
      </c>
      <c r="AP989" t="inlineStr">
        <is>
          <t>78-P-ADI</t>
        </is>
      </c>
      <c r="AQ989" t="n">
        <v>9</v>
      </c>
      <c r="AR989" t="n">
        <v>64</v>
      </c>
      <c r="AS989" t="n">
        <v>32</v>
      </c>
      <c r="AU989">
        <f>COUNTA($BA$989:$EH$989)</f>
        <v/>
      </c>
      <c r="AV989">
        <f>COUNTIF($BA$989:$EH$989,"D")</f>
        <v/>
      </c>
      <c r="AW989">
        <f>COUNTIF($BA$989:$EH$989,"R")</f>
        <v/>
      </c>
      <c r="AX989">
        <f>IF(BN989="D",1,0)+IF(BO989="D",1,0)+IF(BT989="D",1,0)+IF(BU989="D",1,0)+IF(BW989="D",1,0)+IF(CC989="D",1,0)+IF(CD989="D",1,0)+IF(CE989="D",1,0)+IF(CF989="D",1,0)+IF(CL989="D",1,0)+IF(CM989="D",1,0)+IF(CQ989="D",1,0)+IF(CR989="D",1,0)+IF(CS989="D",1,0)+IF(CW989="D",1,0)+IF(CX989="D",1,0)+IF(DD989="D",1,0)+IF(DE989="D",1,0)+IF(DJ989="D",1,0)+IF(DK989="D",1,0)+IF(DO989="D",1,0)+IF(DP989="D",1,0)+IF(DQ989="D",1,0)+IF(DW989="D",1,0)+IF(DZ989="D",1,0)+IF(EH989="D",1,0)</f>
        <v/>
      </c>
      <c r="AY989">
        <f>IF(DJ989&lt;&gt;"",1,0)+IF(DK989&lt;&gt;"",1,0)+IF(DM989&lt;&gt;"",1,0)+IF(DO989&lt;&gt;"",1,0)+IF(DP989&lt;&gt;"",1,0)+IF(DQ989&lt;&gt;"",1,0)+IF(DS989&lt;&gt;"",1,0)+IF(DT989&lt;&gt;"",1,0)+IF(DV989&lt;&gt;"",1,0)+IF(DW989&lt;&gt;"",1,0)+IF(DX989&lt;&gt;"",1,0)+IF(DY989&lt;&gt;"",1,0)+IF(DZ989&lt;&gt;"",1,0)+IF(EB989&lt;&gt;"",1,0)+IF(EC989&lt;&gt;"",1,0)+IF(ED989&lt;&gt;"",1,0)+IF(EG989&lt;&gt;"",1,0)+IF(EH989&lt;&gt;"",1,0)</f>
        <v/>
      </c>
      <c r="AZ989">
        <f>IF(EH989&lt;&gt;"",1,0)</f>
        <v/>
      </c>
      <c r="BB989" t="inlineStr">
        <is>
          <t>WARREN-WARD 4</t>
        </is>
      </c>
      <c r="BC989" t="inlineStr">
        <is>
          <t>X</t>
        </is>
      </c>
      <c r="BD989" t="inlineStr">
        <is>
          <t>X</t>
        </is>
      </c>
      <c r="BE989" t="inlineStr">
        <is>
          <t>X</t>
        </is>
      </c>
      <c r="BH989" t="inlineStr">
        <is>
          <t>X</t>
        </is>
      </c>
      <c r="BJ989" t="inlineStr">
        <is>
          <t>X</t>
        </is>
      </c>
      <c r="BK989" t="inlineStr">
        <is>
          <t>X</t>
        </is>
      </c>
      <c r="BL989" t="inlineStr">
        <is>
          <t>X</t>
        </is>
      </c>
      <c r="BP989" t="inlineStr">
        <is>
          <t>X</t>
        </is>
      </c>
      <c r="BR989" t="inlineStr">
        <is>
          <t>X</t>
        </is>
      </c>
      <c r="BS989" t="inlineStr">
        <is>
          <t>X</t>
        </is>
      </c>
      <c r="BV989" t="inlineStr">
        <is>
          <t>X</t>
        </is>
      </c>
      <c r="CA989" t="inlineStr">
        <is>
          <t>X</t>
        </is>
      </c>
      <c r="CG989" t="inlineStr">
        <is>
          <t>X</t>
        </is>
      </c>
      <c r="CH989" t="inlineStr">
        <is>
          <t>R</t>
        </is>
      </c>
      <c r="CK989" t="inlineStr">
        <is>
          <t>X</t>
        </is>
      </c>
      <c r="CL989" t="inlineStr">
        <is>
          <t>D</t>
        </is>
      </c>
      <c r="CN989" t="inlineStr">
        <is>
          <t>X</t>
        </is>
      </c>
      <c r="CO989" t="inlineStr">
        <is>
          <t>R</t>
        </is>
      </c>
      <c r="CP989" t="inlineStr">
        <is>
          <t>X</t>
        </is>
      </c>
      <c r="CV989" t="inlineStr">
        <is>
          <t>X</t>
        </is>
      </c>
      <c r="CY989" t="inlineStr">
        <is>
          <t>X</t>
        </is>
      </c>
      <c r="CZ989" t="inlineStr">
        <is>
          <t>R</t>
        </is>
      </c>
      <c r="DC989" t="inlineStr">
        <is>
          <t>X</t>
        </is>
      </c>
      <c r="DF989" t="inlineStr">
        <is>
          <t>X</t>
        </is>
      </c>
      <c r="DG989" t="inlineStr">
        <is>
          <t>R</t>
        </is>
      </c>
      <c r="DI989" t="inlineStr">
        <is>
          <t>X</t>
        </is>
      </c>
      <c r="DL989" t="inlineStr">
        <is>
          <t>X</t>
        </is>
      </c>
      <c r="DM989" t="inlineStr">
        <is>
          <t>R</t>
        </is>
      </c>
      <c r="DN989" t="inlineStr">
        <is>
          <t>X</t>
        </is>
      </c>
      <c r="DS989" t="inlineStr">
        <is>
          <t>R</t>
        </is>
      </c>
      <c r="DU989" t="inlineStr">
        <is>
          <t>X</t>
        </is>
      </c>
      <c r="DX989" t="inlineStr">
        <is>
          <t>X</t>
        </is>
      </c>
      <c r="EA989" t="inlineStr">
        <is>
          <t>X</t>
        </is>
      </c>
      <c r="ED989" t="inlineStr">
        <is>
          <t>R</t>
        </is>
      </c>
      <c r="EF989" t="inlineStr">
        <is>
          <t>X</t>
        </is>
      </c>
    </row>
    <row r="990">
      <c r="A990" t="inlineStr">
        <is>
          <t>OH0015681107</t>
        </is>
      </c>
      <c r="B990" t="n">
        <v>78</v>
      </c>
      <c r="C990" t="n">
        <v>308882</v>
      </c>
      <c r="D990" t="inlineStr">
        <is>
          <t>PECORELLI</t>
        </is>
      </c>
      <c r="E990" t="inlineStr">
        <is>
          <t>AMY</t>
        </is>
      </c>
      <c r="F990">
        <f>CONCATENATE(D990," ",LEFT(H990,4),"T=",AU990,"D=",AV990,"R=",AW990,"M=",AX990,"L=",AY990,"B=",AZ990)</f>
        <v/>
      </c>
      <c r="G990" t="inlineStr">
        <is>
          <t>M</t>
        </is>
      </c>
      <c r="I990" t="inlineStr">
        <is>
          <t>1984-04-03</t>
        </is>
      </c>
      <c r="J990" t="inlineStr">
        <is>
          <t>2015-08-28</t>
        </is>
      </c>
      <c r="K990" t="inlineStr">
        <is>
          <t>ACTIVE</t>
        </is>
      </c>
      <c r="M990" t="inlineStr">
        <is>
          <t>336 IDDINGS AVE SE</t>
        </is>
      </c>
      <c r="N990">
        <f>RIGHT(M990,LEN(M990)-FIND(" ",M990))</f>
        <v/>
      </c>
      <c r="P990" t="inlineStr">
        <is>
          <t>WARREN</t>
        </is>
      </c>
      <c r="Q990" t="inlineStr">
        <is>
          <t>OH</t>
        </is>
      </c>
      <c r="R990" t="n">
        <v>44483</v>
      </c>
      <c r="AD990" t="inlineStr">
        <is>
          <t>TRUMBULL CAREER &amp; TECH CENTER</t>
        </is>
      </c>
      <c r="AE990" t="inlineStr">
        <is>
          <t>WARREN CITY</t>
        </is>
      </c>
      <c r="AF990" t="inlineStr">
        <is>
          <t>WARREN CITY SD</t>
        </is>
      </c>
      <c r="AH990" t="n">
        <v>14</v>
      </c>
      <c r="AI990" t="n">
        <v>11</v>
      </c>
      <c r="AN990" t="inlineStr">
        <is>
          <t>WARREN</t>
        </is>
      </c>
      <c r="AO990" t="inlineStr">
        <is>
          <t>WARREN CITY 4A</t>
        </is>
      </c>
      <c r="AP990" t="inlineStr">
        <is>
          <t>78-P-ADI</t>
        </is>
      </c>
      <c r="AQ990" t="n">
        <v>9</v>
      </c>
      <c r="AR990" t="n">
        <v>64</v>
      </c>
      <c r="AS990" t="n">
        <v>32</v>
      </c>
      <c r="AU990">
        <f>COUNTA($BA$990:$EH$990)</f>
        <v/>
      </c>
      <c r="AV990">
        <f>COUNTIF($BA$990:$EH$990,"D")</f>
        <v/>
      </c>
      <c r="AW990">
        <f>COUNTIF($BA$990:$EH$990,"R")</f>
        <v/>
      </c>
      <c r="AX990">
        <f>IF(BN990="D",1,0)+IF(BO990="D",1,0)+IF(BT990="D",1,0)+IF(BU990="D",1,0)+IF(BW990="D",1,0)+IF(CC990="D",1,0)+IF(CD990="D",1,0)+IF(CE990="D",1,0)+IF(CF990="D",1,0)+IF(CL990="D",1,0)+IF(CM990="D",1,0)+IF(CQ990="D",1,0)+IF(CR990="D",1,0)+IF(CS990="D",1,0)+IF(CW990="D",1,0)+IF(CX990="D",1,0)+IF(DD990="D",1,0)+IF(DE990="D",1,0)+IF(DJ990="D",1,0)+IF(DK990="D",1,0)+IF(DO990="D",1,0)+IF(DP990="D",1,0)+IF(DQ990="D",1,0)+IF(DW990="D",1,0)+IF(DZ990="D",1,0)+IF(EH990="D",1,0)</f>
        <v/>
      </c>
      <c r="AY990">
        <f>IF(DJ990&lt;&gt;"",1,0)+IF(DK990&lt;&gt;"",1,0)+IF(DM990&lt;&gt;"",1,0)+IF(DO990&lt;&gt;"",1,0)+IF(DP990&lt;&gt;"",1,0)+IF(DQ990&lt;&gt;"",1,0)+IF(DS990&lt;&gt;"",1,0)+IF(DT990&lt;&gt;"",1,0)+IF(DV990&lt;&gt;"",1,0)+IF(DW990&lt;&gt;"",1,0)+IF(DX990&lt;&gt;"",1,0)+IF(DY990&lt;&gt;"",1,0)+IF(DZ990&lt;&gt;"",1,0)+IF(EB990&lt;&gt;"",1,0)+IF(EC990&lt;&gt;"",1,0)+IF(ED990&lt;&gt;"",1,0)+IF(EG990&lt;&gt;"",1,0)+IF(EH990&lt;&gt;"",1,0)</f>
        <v/>
      </c>
      <c r="AZ990">
        <f>IF(EH990&lt;&gt;"",1,0)</f>
        <v/>
      </c>
      <c r="BB990" t="inlineStr">
        <is>
          <t>WARREN-WARD 4</t>
        </is>
      </c>
      <c r="BH990" t="inlineStr">
        <is>
          <t>X</t>
        </is>
      </c>
      <c r="BI990" t="inlineStr">
        <is>
          <t>X</t>
        </is>
      </c>
      <c r="BJ990" t="inlineStr">
        <is>
          <t>X</t>
        </is>
      </c>
      <c r="BK990" t="inlineStr">
        <is>
          <t>X</t>
        </is>
      </c>
      <c r="BL990" t="inlineStr">
        <is>
          <t>X</t>
        </is>
      </c>
      <c r="BS990" t="inlineStr">
        <is>
          <t>X</t>
        </is>
      </c>
      <c r="BY990" t="inlineStr">
        <is>
          <t>D</t>
        </is>
      </c>
      <c r="CA990" t="inlineStr">
        <is>
          <t>X</t>
        </is>
      </c>
      <c r="CP990" t="inlineStr">
        <is>
          <t>X</t>
        </is>
      </c>
      <c r="DI990" t="inlineStr">
        <is>
          <t>X</t>
        </is>
      </c>
      <c r="DN990" t="inlineStr">
        <is>
          <t>X</t>
        </is>
      </c>
      <c r="EF990" t="inlineStr">
        <is>
          <t>X</t>
        </is>
      </c>
    </row>
    <row r="991">
      <c r="A991" t="inlineStr">
        <is>
          <t>OH0022899087</t>
        </is>
      </c>
      <c r="B991" t="n">
        <v>78</v>
      </c>
      <c r="C991" t="n">
        <v>403814</v>
      </c>
      <c r="D991" t="inlineStr">
        <is>
          <t>CUNNINGHAM</t>
        </is>
      </c>
      <c r="E991" t="inlineStr">
        <is>
          <t>TRACE KEIR</t>
        </is>
      </c>
      <c r="F991">
        <f>CONCATENATE(D991," ",LEFT(H991,4),"T=",AU991,"D=",AV991,"R=",AW991,"M=",AX991,"L=",AY991,"B=",AZ991)</f>
        <v/>
      </c>
      <c r="G991" t="inlineStr">
        <is>
          <t>MARK</t>
        </is>
      </c>
      <c r="I991" t="inlineStr">
        <is>
          <t>1990-08-18</t>
        </is>
      </c>
      <c r="J991" t="inlineStr">
        <is>
          <t>2025-04-06</t>
        </is>
      </c>
      <c r="K991" t="inlineStr">
        <is>
          <t>ACTIVE</t>
        </is>
      </c>
      <c r="M991" t="inlineStr">
        <is>
          <t>335 OAK KNOLL AVE SE</t>
        </is>
      </c>
      <c r="N991">
        <f>RIGHT(M991,LEN(M991)-FIND(" ",M991))</f>
        <v/>
      </c>
      <c r="P991" t="inlineStr">
        <is>
          <t>WARREN</t>
        </is>
      </c>
      <c r="Q991" t="inlineStr">
        <is>
          <t>OH</t>
        </is>
      </c>
      <c r="R991" t="n">
        <v>44483</v>
      </c>
      <c r="AD991" t="inlineStr">
        <is>
          <t>TRUMBULL CAREER &amp; TECH CENTER</t>
        </is>
      </c>
      <c r="AE991" t="inlineStr">
        <is>
          <t>WARREN CITY</t>
        </is>
      </c>
      <c r="AF991" t="inlineStr">
        <is>
          <t>WARREN CITY SD</t>
        </is>
      </c>
      <c r="AH991" t="n">
        <v>14</v>
      </c>
      <c r="AI991" t="n">
        <v>11</v>
      </c>
      <c r="AN991" t="inlineStr">
        <is>
          <t>WARREN</t>
        </is>
      </c>
      <c r="AO991" t="inlineStr">
        <is>
          <t>WARREN CITY 4A</t>
        </is>
      </c>
      <c r="AP991" t="inlineStr">
        <is>
          <t>78-P-ADI</t>
        </is>
      </c>
      <c r="AQ991" t="n">
        <v>9</v>
      </c>
      <c r="AR991" t="n">
        <v>64</v>
      </c>
      <c r="AS991" t="n">
        <v>32</v>
      </c>
      <c r="AU991">
        <f>COUNTA($BA$991:$EH$991)</f>
        <v/>
      </c>
      <c r="AV991">
        <f>COUNTIF($BA$991:$EH$991,"D")</f>
        <v/>
      </c>
      <c r="AW991">
        <f>COUNTIF($BA$991:$EH$991,"R")</f>
        <v/>
      </c>
      <c r="AX991">
        <f>IF(BN991="D",1,0)+IF(BO991="D",1,0)+IF(BT991="D",1,0)+IF(BU991="D",1,0)+IF(BW991="D",1,0)+IF(CC991="D",1,0)+IF(CD991="D",1,0)+IF(CE991="D",1,0)+IF(CF991="D",1,0)+IF(CL991="D",1,0)+IF(CM991="D",1,0)+IF(CQ991="D",1,0)+IF(CR991="D",1,0)+IF(CS991="D",1,0)+IF(CW991="D",1,0)+IF(CX991="D",1,0)+IF(DD991="D",1,0)+IF(DE991="D",1,0)+IF(DJ991="D",1,0)+IF(DK991="D",1,0)+IF(DO991="D",1,0)+IF(DP991="D",1,0)+IF(DQ991="D",1,0)+IF(DW991="D",1,0)+IF(DZ991="D",1,0)+IF(EH991="D",1,0)</f>
        <v/>
      </c>
      <c r="AY991">
        <f>IF(DJ991&lt;&gt;"",1,0)+IF(DK991&lt;&gt;"",1,0)+IF(DM991&lt;&gt;"",1,0)+IF(DO991&lt;&gt;"",1,0)+IF(DP991&lt;&gt;"",1,0)+IF(DQ991&lt;&gt;"",1,0)+IF(DS991&lt;&gt;"",1,0)+IF(DT991&lt;&gt;"",1,0)+IF(DV991&lt;&gt;"",1,0)+IF(DW991&lt;&gt;"",1,0)+IF(DX991&lt;&gt;"",1,0)+IF(DY991&lt;&gt;"",1,0)+IF(DZ991&lt;&gt;"",1,0)+IF(EB991&lt;&gt;"",1,0)+IF(EC991&lt;&gt;"",1,0)+IF(ED991&lt;&gt;"",1,0)+IF(EG991&lt;&gt;"",1,0)+IF(EH991&lt;&gt;"",1,0)</f>
        <v/>
      </c>
      <c r="AZ991">
        <f>IF(EH991&lt;&gt;"",1,0)</f>
        <v/>
      </c>
      <c r="BB991" t="inlineStr">
        <is>
          <t>WARREN-WARD 4</t>
        </is>
      </c>
      <c r="BY991" t="inlineStr">
        <is>
          <t>D</t>
        </is>
      </c>
      <c r="CA991" t="inlineStr">
        <is>
          <t>X</t>
        </is>
      </c>
      <c r="CP991" t="inlineStr">
        <is>
          <t>X</t>
        </is>
      </c>
      <c r="CY991" t="inlineStr">
        <is>
          <t>X</t>
        </is>
      </c>
      <c r="CZ991" t="inlineStr">
        <is>
          <t>D</t>
        </is>
      </c>
      <c r="DC991" t="inlineStr">
        <is>
          <t>X</t>
        </is>
      </c>
      <c r="DG991" t="inlineStr">
        <is>
          <t>D</t>
        </is>
      </c>
      <c r="DI991" t="inlineStr">
        <is>
          <t>X</t>
        </is>
      </c>
      <c r="DN991" t="inlineStr">
        <is>
          <t>X</t>
        </is>
      </c>
      <c r="DU991" t="inlineStr">
        <is>
          <t>X</t>
        </is>
      </c>
      <c r="DX991" t="inlineStr">
        <is>
          <t>X</t>
        </is>
      </c>
      <c r="EA991" t="inlineStr">
        <is>
          <t>X</t>
        </is>
      </c>
      <c r="EF991" t="inlineStr">
        <is>
          <t>X</t>
        </is>
      </c>
    </row>
    <row r="992">
      <c r="A992" t="inlineStr">
        <is>
          <t>OH0023077635</t>
        </is>
      </c>
      <c r="B992" t="n">
        <v>78</v>
      </c>
      <c r="C992" t="n">
        <v>406410</v>
      </c>
      <c r="D992" t="inlineStr">
        <is>
          <t>MILLER</t>
        </is>
      </c>
      <c r="E992" t="inlineStr">
        <is>
          <t>AMY</t>
        </is>
      </c>
      <c r="F992">
        <f>CONCATENATE(D992," ",LEFT(H992,4),"T=",AU992,"D=",AV992,"R=",AW992,"M=",AX992,"L=",AY992,"B=",AZ992)</f>
        <v/>
      </c>
      <c r="G992" t="inlineStr">
        <is>
          <t>J</t>
        </is>
      </c>
      <c r="I992" t="inlineStr">
        <is>
          <t>1963-11-28</t>
        </is>
      </c>
      <c r="J992" t="inlineStr">
        <is>
          <t>2023-07-12</t>
        </is>
      </c>
      <c r="K992" t="inlineStr">
        <is>
          <t>ACTIVE</t>
        </is>
      </c>
      <c r="M992" t="inlineStr">
        <is>
          <t>1938 E MARKET ST</t>
        </is>
      </c>
      <c r="N992">
        <f>RIGHT(M992,LEN(M992)-FIND(" ",M992))</f>
        <v/>
      </c>
      <c r="O992" t="inlineStr">
        <is>
          <t>APT 2</t>
        </is>
      </c>
      <c r="P992" t="inlineStr">
        <is>
          <t>WARREN</t>
        </is>
      </c>
      <c r="Q992" t="inlineStr">
        <is>
          <t>OH</t>
        </is>
      </c>
      <c r="R992" t="n">
        <v>44483</v>
      </c>
      <c r="AD992" t="inlineStr">
        <is>
          <t>TRUMBULL CAREER &amp; TECH CENTER</t>
        </is>
      </c>
      <c r="AE992" t="inlineStr">
        <is>
          <t>WARREN CITY</t>
        </is>
      </c>
      <c r="AF992" t="inlineStr">
        <is>
          <t>WARREN CITY SD</t>
        </is>
      </c>
      <c r="AH992" t="n">
        <v>14</v>
      </c>
      <c r="AI992" t="n">
        <v>11</v>
      </c>
      <c r="AN992" t="inlineStr">
        <is>
          <t>WARREN</t>
        </is>
      </c>
      <c r="AO992" t="inlineStr">
        <is>
          <t>WARREN CITY 4A</t>
        </is>
      </c>
      <c r="AP992" t="inlineStr">
        <is>
          <t>78-P-ADI</t>
        </is>
      </c>
      <c r="AQ992" t="n">
        <v>9</v>
      </c>
      <c r="AR992" t="n">
        <v>64</v>
      </c>
      <c r="AS992" t="n">
        <v>32</v>
      </c>
      <c r="AU992">
        <f>COUNTA($BA$992:$EH$992)</f>
        <v/>
      </c>
      <c r="AV992">
        <f>COUNTIF($BA$992:$EH$992,"D")</f>
        <v/>
      </c>
      <c r="AW992">
        <f>COUNTIF($BA$992:$EH$992,"R")</f>
        <v/>
      </c>
      <c r="AX992">
        <f>IF(BN992="D",1,0)+IF(BO992="D",1,0)+IF(BT992="D",1,0)+IF(BU992="D",1,0)+IF(BW992="D",1,0)+IF(CC992="D",1,0)+IF(CD992="D",1,0)+IF(CE992="D",1,0)+IF(CF992="D",1,0)+IF(CL992="D",1,0)+IF(CM992="D",1,0)+IF(CQ992="D",1,0)+IF(CR992="D",1,0)+IF(CS992="D",1,0)+IF(CW992="D",1,0)+IF(CX992="D",1,0)+IF(DD992="D",1,0)+IF(DE992="D",1,0)+IF(DJ992="D",1,0)+IF(DK992="D",1,0)+IF(DO992="D",1,0)+IF(DP992="D",1,0)+IF(DQ992="D",1,0)+IF(DW992="D",1,0)+IF(DZ992="D",1,0)+IF(EH992="D",1,0)</f>
        <v/>
      </c>
      <c r="AY992">
        <f>IF(DJ992&lt;&gt;"",1,0)+IF(DK992&lt;&gt;"",1,0)+IF(DM992&lt;&gt;"",1,0)+IF(DO992&lt;&gt;"",1,0)+IF(DP992&lt;&gt;"",1,0)+IF(DQ992&lt;&gt;"",1,0)+IF(DS992&lt;&gt;"",1,0)+IF(DT992&lt;&gt;"",1,0)+IF(DV992&lt;&gt;"",1,0)+IF(DW992&lt;&gt;"",1,0)+IF(DX992&lt;&gt;"",1,0)+IF(DY992&lt;&gt;"",1,0)+IF(DZ992&lt;&gt;"",1,0)+IF(EB992&lt;&gt;"",1,0)+IF(EC992&lt;&gt;"",1,0)+IF(ED992&lt;&gt;"",1,0)+IF(EG992&lt;&gt;"",1,0)+IF(EH992&lt;&gt;"",1,0)</f>
        <v/>
      </c>
      <c r="AZ992">
        <f>IF(EH992&lt;&gt;"",1,0)</f>
        <v/>
      </c>
      <c r="BB992" t="inlineStr">
        <is>
          <t>WARREN-WARD 4</t>
        </is>
      </c>
      <c r="BL992" t="inlineStr">
        <is>
          <t>X</t>
        </is>
      </c>
      <c r="DN992" t="inlineStr">
        <is>
          <t>X</t>
        </is>
      </c>
      <c r="EF992" t="inlineStr">
        <is>
          <t>X</t>
        </is>
      </c>
    </row>
    <row r="993">
      <c r="A993" t="inlineStr">
        <is>
          <t>OH0023650533</t>
        </is>
      </c>
      <c r="B993" t="n">
        <v>78</v>
      </c>
      <c r="C993" t="n">
        <v>416149</v>
      </c>
      <c r="D993" t="inlineStr">
        <is>
          <t>YOUNG</t>
        </is>
      </c>
      <c r="E993" t="inlineStr">
        <is>
          <t>KEVIN</t>
        </is>
      </c>
      <c r="F993">
        <f>CONCATENATE(D993," ",LEFT(H993,4),"T=",AU993,"D=",AV993,"R=",AW993,"M=",AX993,"L=",AY993,"B=",AZ993)</f>
        <v/>
      </c>
      <c r="G993" t="inlineStr">
        <is>
          <t>EUGENE</t>
        </is>
      </c>
      <c r="I993" t="inlineStr">
        <is>
          <t>1966-06-07</t>
        </is>
      </c>
      <c r="J993" t="inlineStr">
        <is>
          <t>2016-04-21</t>
        </is>
      </c>
      <c r="K993" t="inlineStr">
        <is>
          <t>ACTIVE</t>
        </is>
      </c>
      <c r="M993" t="inlineStr">
        <is>
          <t>1434 SOUTH ST SE</t>
        </is>
      </c>
      <c r="N993">
        <f>RIGHT(M993,LEN(M993)-FIND(" ",M993))</f>
        <v/>
      </c>
      <c r="P993" t="inlineStr">
        <is>
          <t>WARREN</t>
        </is>
      </c>
      <c r="Q993" t="inlineStr">
        <is>
          <t>OH</t>
        </is>
      </c>
      <c r="R993" t="n">
        <v>44483</v>
      </c>
      <c r="AD993" t="inlineStr">
        <is>
          <t>TRUMBULL CAREER &amp; TECH CENTER</t>
        </is>
      </c>
      <c r="AE993" t="inlineStr">
        <is>
          <t>WARREN CITY</t>
        </is>
      </c>
      <c r="AF993" t="inlineStr">
        <is>
          <t>WARREN CITY SD</t>
        </is>
      </c>
      <c r="AH993" t="n">
        <v>14</v>
      </c>
      <c r="AI993" t="n">
        <v>11</v>
      </c>
      <c r="AN993" t="inlineStr">
        <is>
          <t>WARREN</t>
        </is>
      </c>
      <c r="AO993" t="inlineStr">
        <is>
          <t>WARREN CITY 4A</t>
        </is>
      </c>
      <c r="AP993" t="inlineStr">
        <is>
          <t>78-P-ADI</t>
        </is>
      </c>
      <c r="AQ993" t="n">
        <v>9</v>
      </c>
      <c r="AR993" t="n">
        <v>64</v>
      </c>
      <c r="AS993" t="n">
        <v>32</v>
      </c>
      <c r="AU993">
        <f>COUNTA($BA$993:$EH$993)</f>
        <v/>
      </c>
      <c r="AV993">
        <f>COUNTIF($BA$993:$EH$993,"D")</f>
        <v/>
      </c>
      <c r="AW993">
        <f>COUNTIF($BA$993:$EH$993,"R")</f>
        <v/>
      </c>
      <c r="AX993">
        <f>IF(BN993="D",1,0)+IF(BO993="D",1,0)+IF(BT993="D",1,0)+IF(BU993="D",1,0)+IF(BW993="D",1,0)+IF(CC993="D",1,0)+IF(CD993="D",1,0)+IF(CE993="D",1,0)+IF(CF993="D",1,0)+IF(CL993="D",1,0)+IF(CM993="D",1,0)+IF(CQ993="D",1,0)+IF(CR993="D",1,0)+IF(CS993="D",1,0)+IF(CW993="D",1,0)+IF(CX993="D",1,0)+IF(DD993="D",1,0)+IF(DE993="D",1,0)+IF(DJ993="D",1,0)+IF(DK993="D",1,0)+IF(DO993="D",1,0)+IF(DP993="D",1,0)+IF(DQ993="D",1,0)+IF(DW993="D",1,0)+IF(DZ993="D",1,0)+IF(EH993="D",1,0)</f>
        <v/>
      </c>
      <c r="AY993">
        <f>IF(DJ993&lt;&gt;"",1,0)+IF(DK993&lt;&gt;"",1,0)+IF(DM993&lt;&gt;"",1,0)+IF(DO993&lt;&gt;"",1,0)+IF(DP993&lt;&gt;"",1,0)+IF(DQ993&lt;&gt;"",1,0)+IF(DS993&lt;&gt;"",1,0)+IF(DT993&lt;&gt;"",1,0)+IF(DV993&lt;&gt;"",1,0)+IF(DW993&lt;&gt;"",1,0)+IF(DX993&lt;&gt;"",1,0)+IF(DY993&lt;&gt;"",1,0)+IF(DZ993&lt;&gt;"",1,0)+IF(EB993&lt;&gt;"",1,0)+IF(EC993&lt;&gt;"",1,0)+IF(ED993&lt;&gt;"",1,0)+IF(EG993&lt;&gt;"",1,0)+IF(EH993&lt;&gt;"",1,0)</f>
        <v/>
      </c>
      <c r="AZ993">
        <f>IF(EH993&lt;&gt;"",1,0)</f>
        <v/>
      </c>
      <c r="BB993" t="inlineStr">
        <is>
          <t>WARREN-WARD 4</t>
        </is>
      </c>
      <c r="DN993" t="inlineStr">
        <is>
          <t>X</t>
        </is>
      </c>
      <c r="EF993" t="inlineStr">
        <is>
          <t>X</t>
        </is>
      </c>
    </row>
    <row r="994">
      <c r="A994" t="inlineStr">
        <is>
          <t>OH0015740164</t>
        </is>
      </c>
      <c r="B994" t="n">
        <v>78</v>
      </c>
      <c r="C994" t="n">
        <v>323547</v>
      </c>
      <c r="D994" t="inlineStr">
        <is>
          <t>PEACO</t>
        </is>
      </c>
      <c r="E994" t="inlineStr">
        <is>
          <t>PAULINE</t>
        </is>
      </c>
      <c r="F994">
        <f>CONCATENATE(D994," ",LEFT(H994,4),"T=",AU994,"D=",AV994,"R=",AW994,"M=",AX994,"L=",AY994,"B=",AZ994)</f>
        <v/>
      </c>
      <c r="G994" t="inlineStr">
        <is>
          <t>R</t>
        </is>
      </c>
      <c r="I994" t="inlineStr">
        <is>
          <t>1970-03-24</t>
        </is>
      </c>
      <c r="J994" t="inlineStr">
        <is>
          <t>2019-07-01</t>
        </is>
      </c>
      <c r="K994" t="inlineStr">
        <is>
          <t>ACTIVE</t>
        </is>
      </c>
      <c r="M994" t="inlineStr">
        <is>
          <t>1253 BELLE ST SE</t>
        </is>
      </c>
      <c r="N994">
        <f>RIGHT(M994,LEN(M994)-FIND(" ",M994))</f>
        <v/>
      </c>
      <c r="P994" t="inlineStr">
        <is>
          <t>WARREN</t>
        </is>
      </c>
      <c r="Q994" t="inlineStr">
        <is>
          <t>OH</t>
        </is>
      </c>
      <c r="R994" t="n">
        <v>44484</v>
      </c>
      <c r="AD994" t="inlineStr">
        <is>
          <t>TRUMBULL CAREER &amp; TECH CENTER</t>
        </is>
      </c>
      <c r="AE994" t="inlineStr">
        <is>
          <t>WARREN CITY</t>
        </is>
      </c>
      <c r="AF994" t="inlineStr">
        <is>
          <t>WARREN CITY SD</t>
        </is>
      </c>
      <c r="AH994" t="n">
        <v>14</v>
      </c>
      <c r="AI994" t="n">
        <v>11</v>
      </c>
      <c r="AN994" t="inlineStr">
        <is>
          <t>WARREN</t>
        </is>
      </c>
      <c r="AO994" t="inlineStr">
        <is>
          <t>WARREN CITY 4A</t>
        </is>
      </c>
      <c r="AP994" t="inlineStr">
        <is>
          <t>78-P-ADI</t>
        </is>
      </c>
      <c r="AQ994" t="n">
        <v>9</v>
      </c>
      <c r="AR994" t="n">
        <v>64</v>
      </c>
      <c r="AS994" t="n">
        <v>32</v>
      </c>
      <c r="AU994">
        <f>COUNTA($BA$994:$EH$994)</f>
        <v/>
      </c>
      <c r="AV994">
        <f>COUNTIF($BA$994:$EH$994,"D")</f>
        <v/>
      </c>
      <c r="AW994">
        <f>COUNTIF($BA$994:$EH$994,"R")</f>
        <v/>
      </c>
      <c r="AX994">
        <f>IF(BN994="D",1,0)+IF(BO994="D",1,0)+IF(BT994="D",1,0)+IF(BU994="D",1,0)+IF(BW994="D",1,0)+IF(CC994="D",1,0)+IF(CD994="D",1,0)+IF(CE994="D",1,0)+IF(CF994="D",1,0)+IF(CL994="D",1,0)+IF(CM994="D",1,0)+IF(CQ994="D",1,0)+IF(CR994="D",1,0)+IF(CS994="D",1,0)+IF(CW994="D",1,0)+IF(CX994="D",1,0)+IF(DD994="D",1,0)+IF(DE994="D",1,0)+IF(DJ994="D",1,0)+IF(DK994="D",1,0)+IF(DO994="D",1,0)+IF(DP994="D",1,0)+IF(DQ994="D",1,0)+IF(DW994="D",1,0)+IF(DZ994="D",1,0)+IF(EH994="D",1,0)</f>
        <v/>
      </c>
      <c r="AY994">
        <f>IF(DJ994&lt;&gt;"",1,0)+IF(DK994&lt;&gt;"",1,0)+IF(DM994&lt;&gt;"",1,0)+IF(DO994&lt;&gt;"",1,0)+IF(DP994&lt;&gt;"",1,0)+IF(DQ994&lt;&gt;"",1,0)+IF(DS994&lt;&gt;"",1,0)+IF(DT994&lt;&gt;"",1,0)+IF(DV994&lt;&gt;"",1,0)+IF(DW994&lt;&gt;"",1,0)+IF(DX994&lt;&gt;"",1,0)+IF(DY994&lt;&gt;"",1,0)+IF(DZ994&lt;&gt;"",1,0)+IF(EB994&lt;&gt;"",1,0)+IF(EC994&lt;&gt;"",1,0)+IF(ED994&lt;&gt;"",1,0)+IF(EG994&lt;&gt;"",1,0)+IF(EH994&lt;&gt;"",1,0)</f>
        <v/>
      </c>
      <c r="AZ994">
        <f>IF(EH994&lt;&gt;"",1,0)</f>
        <v/>
      </c>
      <c r="BB994" t="inlineStr">
        <is>
          <t>WARREN-WARD 4</t>
        </is>
      </c>
      <c r="DN994" t="inlineStr">
        <is>
          <t>X</t>
        </is>
      </c>
    </row>
    <row r="995">
      <c r="A995" t="inlineStr">
        <is>
          <t>OH0021686489</t>
        </is>
      </c>
      <c r="B995" t="n">
        <v>78</v>
      </c>
      <c r="C995" t="n">
        <v>384784</v>
      </c>
      <c r="D995" t="inlineStr">
        <is>
          <t>WESTBAY</t>
        </is>
      </c>
      <c r="E995" t="inlineStr">
        <is>
          <t>JUSTIN</t>
        </is>
      </c>
      <c r="F995">
        <f>CONCATENATE(D995," ",LEFT(H995,4),"T=",AU995,"D=",AV995,"R=",AW995,"M=",AX995,"L=",AY995,"B=",AZ995)</f>
        <v/>
      </c>
      <c r="G995" t="inlineStr">
        <is>
          <t>SCOTT</t>
        </is>
      </c>
      <c r="I995" t="inlineStr">
        <is>
          <t>1994-09-07</t>
        </is>
      </c>
      <c r="J995" t="inlineStr">
        <is>
          <t>2024-01-02</t>
        </is>
      </c>
      <c r="K995" t="inlineStr">
        <is>
          <t>ACTIVE</t>
        </is>
      </c>
      <c r="M995" t="inlineStr">
        <is>
          <t>384 BONNIE BRAE AVE SE</t>
        </is>
      </c>
      <c r="N995">
        <f>RIGHT(M995,LEN(M995)-FIND(" ",M995))</f>
        <v/>
      </c>
      <c r="P995" t="inlineStr">
        <is>
          <t>WARREN</t>
        </is>
      </c>
      <c r="Q995" t="inlineStr">
        <is>
          <t>OH</t>
        </is>
      </c>
      <c r="R995" t="n">
        <v>44484</v>
      </c>
      <c r="AD995" t="inlineStr">
        <is>
          <t>TRUMBULL CAREER &amp; TECH CENTER</t>
        </is>
      </c>
      <c r="AE995" t="inlineStr">
        <is>
          <t>WARREN CITY</t>
        </is>
      </c>
      <c r="AF995" t="inlineStr">
        <is>
          <t>WARREN CITY SD</t>
        </is>
      </c>
      <c r="AH995" t="n">
        <v>14</v>
      </c>
      <c r="AI995" t="n">
        <v>11</v>
      </c>
      <c r="AN995" t="inlineStr">
        <is>
          <t>WARREN</t>
        </is>
      </c>
      <c r="AO995" t="inlineStr">
        <is>
          <t>WARREN CITY 4A</t>
        </is>
      </c>
      <c r="AP995" t="inlineStr">
        <is>
          <t>78-P-ADI</t>
        </is>
      </c>
      <c r="AQ995" t="n">
        <v>9</v>
      </c>
      <c r="AR995" t="n">
        <v>64</v>
      </c>
      <c r="AS995" t="n">
        <v>32</v>
      </c>
      <c r="AU995">
        <f>COUNTA($BA$995:$EH$995)</f>
        <v/>
      </c>
      <c r="AV995">
        <f>COUNTIF($BA$995:$EH$995,"D")</f>
        <v/>
      </c>
      <c r="AW995">
        <f>COUNTIF($BA$995:$EH$995,"R")</f>
        <v/>
      </c>
      <c r="AX995">
        <f>IF(BN995="D",1,0)+IF(BO995="D",1,0)+IF(BT995="D",1,0)+IF(BU995="D",1,0)+IF(BW995="D",1,0)+IF(CC995="D",1,0)+IF(CD995="D",1,0)+IF(CE995="D",1,0)+IF(CF995="D",1,0)+IF(CL995="D",1,0)+IF(CM995="D",1,0)+IF(CQ995="D",1,0)+IF(CR995="D",1,0)+IF(CS995="D",1,0)+IF(CW995="D",1,0)+IF(CX995="D",1,0)+IF(DD995="D",1,0)+IF(DE995="D",1,0)+IF(DJ995="D",1,0)+IF(DK995="D",1,0)+IF(DO995="D",1,0)+IF(DP995="D",1,0)+IF(DQ995="D",1,0)+IF(DW995="D",1,0)+IF(DZ995="D",1,0)+IF(EH995="D",1,0)</f>
        <v/>
      </c>
      <c r="AY995">
        <f>IF(DJ995&lt;&gt;"",1,0)+IF(DK995&lt;&gt;"",1,0)+IF(DM995&lt;&gt;"",1,0)+IF(DO995&lt;&gt;"",1,0)+IF(DP995&lt;&gt;"",1,0)+IF(DQ995&lt;&gt;"",1,0)+IF(DS995&lt;&gt;"",1,0)+IF(DT995&lt;&gt;"",1,0)+IF(DV995&lt;&gt;"",1,0)+IF(DW995&lt;&gt;"",1,0)+IF(DX995&lt;&gt;"",1,0)+IF(DY995&lt;&gt;"",1,0)+IF(DZ995&lt;&gt;"",1,0)+IF(EB995&lt;&gt;"",1,0)+IF(EC995&lt;&gt;"",1,0)+IF(ED995&lt;&gt;"",1,0)+IF(EG995&lt;&gt;"",1,0)+IF(EH995&lt;&gt;"",1,0)</f>
        <v/>
      </c>
      <c r="AZ995">
        <f>IF(EH995&lt;&gt;"",1,0)</f>
        <v/>
      </c>
      <c r="BB995" t="inlineStr">
        <is>
          <t>WARREN-WARD 4</t>
        </is>
      </c>
      <c r="CP995" t="inlineStr">
        <is>
          <t>X</t>
        </is>
      </c>
      <c r="DC995" t="inlineStr">
        <is>
          <t>X</t>
        </is>
      </c>
      <c r="DI995" t="inlineStr">
        <is>
          <t>X</t>
        </is>
      </c>
      <c r="DN995" t="inlineStr">
        <is>
          <t>X</t>
        </is>
      </c>
      <c r="EF995" t="inlineStr">
        <is>
          <t>X</t>
        </is>
      </c>
    </row>
    <row r="996">
      <c r="A996" t="inlineStr">
        <is>
          <t>OH0023709408</t>
        </is>
      </c>
      <c r="B996" t="n">
        <v>78</v>
      </c>
      <c r="C996" t="n">
        <v>417070</v>
      </c>
      <c r="D996" t="inlineStr">
        <is>
          <t>MORT</t>
        </is>
      </c>
      <c r="E996" t="inlineStr">
        <is>
          <t>HARLEY</t>
        </is>
      </c>
      <c r="F996">
        <f>CONCATENATE(D996," ",LEFT(H996,4),"T=",AU996,"D=",AV996,"R=",AW996,"M=",AX996,"L=",AY996,"B=",AZ996)</f>
        <v/>
      </c>
      <c r="G996" t="inlineStr">
        <is>
          <t>J</t>
        </is>
      </c>
      <c r="I996" t="inlineStr">
        <is>
          <t>1995-02-04</t>
        </is>
      </c>
      <c r="J996" t="inlineStr">
        <is>
          <t>2016-05-19</t>
        </is>
      </c>
      <c r="K996" t="inlineStr">
        <is>
          <t>CONFIRMATION</t>
        </is>
      </c>
      <c r="M996" t="inlineStr">
        <is>
          <t>877 KENILWORTH AVE SE</t>
        </is>
      </c>
      <c r="N996">
        <f>RIGHT(M996,LEN(M996)-FIND(" ",M996))</f>
        <v/>
      </c>
      <c r="P996" t="inlineStr">
        <is>
          <t>WARREN</t>
        </is>
      </c>
      <c r="Q996" t="inlineStr">
        <is>
          <t>OH</t>
        </is>
      </c>
      <c r="R996" t="n">
        <v>44484</v>
      </c>
      <c r="AD996" t="inlineStr">
        <is>
          <t>TRUMBULL CAREER &amp; TECH CENTER</t>
        </is>
      </c>
      <c r="AE996" t="inlineStr">
        <is>
          <t>WARREN CITY</t>
        </is>
      </c>
      <c r="AF996" t="inlineStr">
        <is>
          <t>WARREN CITY SD</t>
        </is>
      </c>
      <c r="AH996" t="n">
        <v>14</v>
      </c>
      <c r="AI996" t="n">
        <v>11</v>
      </c>
      <c r="AN996" t="inlineStr">
        <is>
          <t>WARREN</t>
        </is>
      </c>
      <c r="AO996" t="inlineStr">
        <is>
          <t>WARREN CITY 4A</t>
        </is>
      </c>
      <c r="AP996" t="inlineStr">
        <is>
          <t>78-P-ADI</t>
        </is>
      </c>
      <c r="AQ996" t="n">
        <v>9</v>
      </c>
      <c r="AR996" t="n">
        <v>64</v>
      </c>
      <c r="AS996" t="n">
        <v>32</v>
      </c>
      <c r="AU996">
        <f>COUNTA($BA$996:$EH$996)</f>
        <v/>
      </c>
      <c r="AV996">
        <f>COUNTIF($BA$996:$EH$996,"D")</f>
        <v/>
      </c>
      <c r="AW996">
        <f>COUNTIF($BA$996:$EH$996,"R")</f>
        <v/>
      </c>
      <c r="AX996">
        <f>IF(BN996="D",1,0)+IF(BO996="D",1,0)+IF(BT996="D",1,0)+IF(BU996="D",1,0)+IF(BW996="D",1,0)+IF(CC996="D",1,0)+IF(CD996="D",1,0)+IF(CE996="D",1,0)+IF(CF996="D",1,0)+IF(CL996="D",1,0)+IF(CM996="D",1,0)+IF(CQ996="D",1,0)+IF(CR996="D",1,0)+IF(CS996="D",1,0)+IF(CW996="D",1,0)+IF(CX996="D",1,0)+IF(DD996="D",1,0)+IF(DE996="D",1,0)+IF(DJ996="D",1,0)+IF(DK996="D",1,0)+IF(DO996="D",1,0)+IF(DP996="D",1,0)+IF(DQ996="D",1,0)+IF(DW996="D",1,0)+IF(DZ996="D",1,0)+IF(EH996="D",1,0)</f>
        <v/>
      </c>
      <c r="AY996">
        <f>IF(DJ996&lt;&gt;"",1,0)+IF(DK996&lt;&gt;"",1,0)+IF(DM996&lt;&gt;"",1,0)+IF(DO996&lt;&gt;"",1,0)+IF(DP996&lt;&gt;"",1,0)+IF(DQ996&lt;&gt;"",1,0)+IF(DS996&lt;&gt;"",1,0)+IF(DT996&lt;&gt;"",1,0)+IF(DV996&lt;&gt;"",1,0)+IF(DW996&lt;&gt;"",1,0)+IF(DX996&lt;&gt;"",1,0)+IF(DY996&lt;&gt;"",1,0)+IF(DZ996&lt;&gt;"",1,0)+IF(EB996&lt;&gt;"",1,0)+IF(EC996&lt;&gt;"",1,0)+IF(ED996&lt;&gt;"",1,0)+IF(EG996&lt;&gt;"",1,0)+IF(EH996&lt;&gt;"",1,0)</f>
        <v/>
      </c>
      <c r="AZ996">
        <f>IF(EH996&lt;&gt;"",1,0)</f>
        <v/>
      </c>
      <c r="BB996" t="inlineStr">
        <is>
          <t>WARREN-WARD 4</t>
        </is>
      </c>
    </row>
    <row r="997">
      <c r="A997" t="inlineStr">
        <is>
          <t>OH0015714206</t>
        </is>
      </c>
      <c r="B997" t="n">
        <v>78</v>
      </c>
      <c r="C997" t="n">
        <v>187543</v>
      </c>
      <c r="D997" t="inlineStr">
        <is>
          <t>SANTUCCI</t>
        </is>
      </c>
      <c r="E997" t="inlineStr">
        <is>
          <t>GAIL</t>
        </is>
      </c>
      <c r="F997">
        <f>CONCATENATE(D997," ",LEFT(H997,4),"T=",AU997,"D=",AV997,"R=",AW997,"M=",AX997,"L=",AY997,"B=",AZ997)</f>
        <v/>
      </c>
      <c r="G997" t="inlineStr">
        <is>
          <t>A</t>
        </is>
      </c>
      <c r="I997" t="inlineStr">
        <is>
          <t>1951-04-26</t>
        </is>
      </c>
      <c r="J997" t="inlineStr">
        <is>
          <t>2015-06-22</t>
        </is>
      </c>
      <c r="K997" t="inlineStr">
        <is>
          <t>CONFIRMATION</t>
        </is>
      </c>
      <c r="M997" t="inlineStr">
        <is>
          <t>776 EAST AVE SE</t>
        </is>
      </c>
      <c r="N997">
        <f>RIGHT(M997,LEN(M997)-FIND(" ",M997))</f>
        <v/>
      </c>
      <c r="P997" t="inlineStr">
        <is>
          <t>WARREN</t>
        </is>
      </c>
      <c r="Q997" t="inlineStr">
        <is>
          <t>OH</t>
        </is>
      </c>
      <c r="R997" t="n">
        <v>44484</v>
      </c>
      <c r="AD997" t="inlineStr">
        <is>
          <t>TRUMBULL CAREER &amp; TECH CENTER</t>
        </is>
      </c>
      <c r="AE997" t="inlineStr">
        <is>
          <t>WARREN CITY</t>
        </is>
      </c>
      <c r="AF997" t="inlineStr">
        <is>
          <t>WARREN CITY SD</t>
        </is>
      </c>
      <c r="AH997" t="n">
        <v>14</v>
      </c>
      <c r="AI997" t="n">
        <v>11</v>
      </c>
      <c r="AN997" t="inlineStr">
        <is>
          <t>WARREN</t>
        </is>
      </c>
      <c r="AO997" t="inlineStr">
        <is>
          <t>WARREN CITY 4A</t>
        </is>
      </c>
      <c r="AP997" t="inlineStr">
        <is>
          <t>78-P-ADI</t>
        </is>
      </c>
      <c r="AQ997" t="n">
        <v>9</v>
      </c>
      <c r="AR997" t="n">
        <v>64</v>
      </c>
      <c r="AS997" t="n">
        <v>32</v>
      </c>
      <c r="AU997">
        <f>COUNTA($BA$997:$EH$997)</f>
        <v/>
      </c>
      <c r="AV997">
        <f>COUNTIF($BA$997:$EH$997,"D")</f>
        <v/>
      </c>
      <c r="AW997">
        <f>COUNTIF($BA$997:$EH$997,"R")</f>
        <v/>
      </c>
      <c r="AX997">
        <f>IF(BN997="D",1,0)+IF(BO997="D",1,0)+IF(BT997="D",1,0)+IF(BU997="D",1,0)+IF(BW997="D",1,0)+IF(CC997="D",1,0)+IF(CD997="D",1,0)+IF(CE997="D",1,0)+IF(CF997="D",1,0)+IF(CL997="D",1,0)+IF(CM997="D",1,0)+IF(CQ997="D",1,0)+IF(CR997="D",1,0)+IF(CS997="D",1,0)+IF(CW997="D",1,0)+IF(CX997="D",1,0)+IF(DD997="D",1,0)+IF(DE997="D",1,0)+IF(DJ997="D",1,0)+IF(DK997="D",1,0)+IF(DO997="D",1,0)+IF(DP997="D",1,0)+IF(DQ997="D",1,0)+IF(DW997="D",1,0)+IF(DZ997="D",1,0)+IF(EH997="D",1,0)</f>
        <v/>
      </c>
      <c r="AY997">
        <f>IF(DJ997&lt;&gt;"",1,0)+IF(DK997&lt;&gt;"",1,0)+IF(DM997&lt;&gt;"",1,0)+IF(DO997&lt;&gt;"",1,0)+IF(DP997&lt;&gt;"",1,0)+IF(DQ997&lt;&gt;"",1,0)+IF(DS997&lt;&gt;"",1,0)+IF(DT997&lt;&gt;"",1,0)+IF(DV997&lt;&gt;"",1,0)+IF(DW997&lt;&gt;"",1,0)+IF(DX997&lt;&gt;"",1,0)+IF(DY997&lt;&gt;"",1,0)+IF(DZ997&lt;&gt;"",1,0)+IF(EB997&lt;&gt;"",1,0)+IF(EC997&lt;&gt;"",1,0)+IF(ED997&lt;&gt;"",1,0)+IF(EG997&lt;&gt;"",1,0)+IF(EH997&lt;&gt;"",1,0)</f>
        <v/>
      </c>
      <c r="AZ997">
        <f>IF(EH997&lt;&gt;"",1,0)</f>
        <v/>
      </c>
      <c r="BB997" t="inlineStr">
        <is>
          <t>WARREN-WARD 4</t>
        </is>
      </c>
      <c r="BF997" t="inlineStr">
        <is>
          <t>X</t>
        </is>
      </c>
      <c r="BJ997" t="inlineStr">
        <is>
          <t>X</t>
        </is>
      </c>
      <c r="BL997" t="inlineStr">
        <is>
          <t>X</t>
        </is>
      </c>
      <c r="CA997" t="inlineStr">
        <is>
          <t>X</t>
        </is>
      </c>
      <c r="CN997" t="inlineStr">
        <is>
          <t>X</t>
        </is>
      </c>
      <c r="CP997" t="inlineStr">
        <is>
          <t>X</t>
        </is>
      </c>
      <c r="CY997" t="inlineStr">
        <is>
          <t>X</t>
        </is>
      </c>
      <c r="DC997" t="inlineStr">
        <is>
          <t>X</t>
        </is>
      </c>
    </row>
    <row r="998">
      <c r="A998" t="inlineStr">
        <is>
          <t>OH0025686168</t>
        </is>
      </c>
      <c r="B998" t="n">
        <v>78</v>
      </c>
      <c r="C998" t="n">
        <v>448538</v>
      </c>
      <c r="D998" t="inlineStr">
        <is>
          <t>MUSICK</t>
        </is>
      </c>
      <c r="E998" t="inlineStr">
        <is>
          <t>CHARLES</t>
        </is>
      </c>
      <c r="F998">
        <f>CONCATENATE(D998," ",LEFT(H998,4),"T=",AU998,"D=",AV998,"R=",AW998,"M=",AX998,"L=",AY998,"B=",AZ998)</f>
        <v/>
      </c>
      <c r="G998" t="inlineStr">
        <is>
          <t>R</t>
        </is>
      </c>
      <c r="I998" t="inlineStr">
        <is>
          <t>1979-10-09</t>
        </is>
      </c>
      <c r="J998" t="inlineStr">
        <is>
          <t>2020-08-10</t>
        </is>
      </c>
      <c r="K998" t="inlineStr">
        <is>
          <t>CONFIRMATION</t>
        </is>
      </c>
      <c r="M998" t="inlineStr">
        <is>
          <t>1186 ADELAIDE AVE SE</t>
        </is>
      </c>
      <c r="N998">
        <f>RIGHT(M998,LEN(M998)-FIND(" ",M998))</f>
        <v/>
      </c>
      <c r="P998" t="inlineStr">
        <is>
          <t>WARREN</t>
        </is>
      </c>
      <c r="Q998" t="inlineStr">
        <is>
          <t>OH</t>
        </is>
      </c>
      <c r="R998" t="n">
        <v>44484</v>
      </c>
      <c r="AD998" t="inlineStr">
        <is>
          <t>TRUMBULL CAREER &amp; TECH CENTER</t>
        </is>
      </c>
      <c r="AE998" t="inlineStr">
        <is>
          <t>WARREN CITY</t>
        </is>
      </c>
      <c r="AF998" t="inlineStr">
        <is>
          <t>WARREN CITY SD</t>
        </is>
      </c>
      <c r="AH998" t="n">
        <v>14</v>
      </c>
      <c r="AI998" t="n">
        <v>11</v>
      </c>
      <c r="AN998" t="inlineStr">
        <is>
          <t>WARREN</t>
        </is>
      </c>
      <c r="AO998" t="inlineStr">
        <is>
          <t>WARREN CITY 4A</t>
        </is>
      </c>
      <c r="AP998" t="inlineStr">
        <is>
          <t>78-P-ADI</t>
        </is>
      </c>
      <c r="AQ998" t="n">
        <v>9</v>
      </c>
      <c r="AR998" t="n">
        <v>64</v>
      </c>
      <c r="AS998" t="n">
        <v>32</v>
      </c>
      <c r="AU998">
        <f>COUNTA($BA$998:$EH$998)</f>
        <v/>
      </c>
      <c r="AV998">
        <f>COUNTIF($BA$998:$EH$998,"D")</f>
        <v/>
      </c>
      <c r="AW998">
        <f>COUNTIF($BA$998:$EH$998,"R")</f>
        <v/>
      </c>
      <c r="AX998">
        <f>IF(BN998="D",1,0)+IF(BO998="D",1,0)+IF(BT998="D",1,0)+IF(BU998="D",1,0)+IF(BW998="D",1,0)+IF(CC998="D",1,0)+IF(CD998="D",1,0)+IF(CE998="D",1,0)+IF(CF998="D",1,0)+IF(CL998="D",1,0)+IF(CM998="D",1,0)+IF(CQ998="D",1,0)+IF(CR998="D",1,0)+IF(CS998="D",1,0)+IF(CW998="D",1,0)+IF(CX998="D",1,0)+IF(DD998="D",1,0)+IF(DE998="D",1,0)+IF(DJ998="D",1,0)+IF(DK998="D",1,0)+IF(DO998="D",1,0)+IF(DP998="D",1,0)+IF(DQ998="D",1,0)+IF(DW998="D",1,0)+IF(DZ998="D",1,0)+IF(EH998="D",1,0)</f>
        <v/>
      </c>
      <c r="AY998">
        <f>IF(DJ998&lt;&gt;"",1,0)+IF(DK998&lt;&gt;"",1,0)+IF(DM998&lt;&gt;"",1,0)+IF(DO998&lt;&gt;"",1,0)+IF(DP998&lt;&gt;"",1,0)+IF(DQ998&lt;&gt;"",1,0)+IF(DS998&lt;&gt;"",1,0)+IF(DT998&lt;&gt;"",1,0)+IF(DV998&lt;&gt;"",1,0)+IF(DW998&lt;&gt;"",1,0)+IF(DX998&lt;&gt;"",1,0)+IF(DY998&lt;&gt;"",1,0)+IF(DZ998&lt;&gt;"",1,0)+IF(EB998&lt;&gt;"",1,0)+IF(EC998&lt;&gt;"",1,0)+IF(ED998&lt;&gt;"",1,0)+IF(EG998&lt;&gt;"",1,0)+IF(EH998&lt;&gt;"",1,0)</f>
        <v/>
      </c>
      <c r="AZ998">
        <f>IF(EH998&lt;&gt;"",1,0)</f>
        <v/>
      </c>
      <c r="BB998" t="inlineStr">
        <is>
          <t>WARREN-WARD 4</t>
        </is>
      </c>
      <c r="CA998" t="inlineStr">
        <is>
          <t>X</t>
        </is>
      </c>
      <c r="DN998" t="inlineStr">
        <is>
          <t>X</t>
        </is>
      </c>
    </row>
    <row r="999">
      <c r="A999" t="inlineStr">
        <is>
          <t>OH0022922970</t>
        </is>
      </c>
      <c r="B999" t="n">
        <v>78</v>
      </c>
      <c r="C999" t="n">
        <v>404138</v>
      </c>
      <c r="D999" t="inlineStr">
        <is>
          <t>DONALD</t>
        </is>
      </c>
      <c r="E999" t="inlineStr">
        <is>
          <t>ALYSSA</t>
        </is>
      </c>
      <c r="F999">
        <f>CONCATENATE(D999," ",LEFT(H999,4),"T=",AU999,"D=",AV999,"R=",AW999,"M=",AX999,"L=",AY999,"B=",AZ999)</f>
        <v/>
      </c>
      <c r="G999" t="inlineStr">
        <is>
          <t>M</t>
        </is>
      </c>
      <c r="I999" t="inlineStr">
        <is>
          <t>1996-07-18</t>
        </is>
      </c>
      <c r="J999" t="inlineStr">
        <is>
          <t>2015-06-22</t>
        </is>
      </c>
      <c r="K999" t="inlineStr">
        <is>
          <t>ACTIVE</t>
        </is>
      </c>
      <c r="M999" t="inlineStr">
        <is>
          <t>378 KENILWORTH AVE SE</t>
        </is>
      </c>
      <c r="N999">
        <f>RIGHT(M999,LEN(M999)-FIND(" ",M999))</f>
        <v/>
      </c>
      <c r="P999" t="inlineStr">
        <is>
          <t>WARREN</t>
        </is>
      </c>
      <c r="Q999" t="inlineStr">
        <is>
          <t>OH</t>
        </is>
      </c>
      <c r="R999" t="n">
        <v>44483</v>
      </c>
      <c r="AD999" t="inlineStr">
        <is>
          <t>TRUMBULL CAREER &amp; TECH CENTER</t>
        </is>
      </c>
      <c r="AE999" t="inlineStr">
        <is>
          <t>WARREN CITY</t>
        </is>
      </c>
      <c r="AF999" t="inlineStr">
        <is>
          <t>WARREN CITY SD</t>
        </is>
      </c>
      <c r="AH999" t="n">
        <v>14</v>
      </c>
      <c r="AI999" t="n">
        <v>11</v>
      </c>
      <c r="AN999" t="inlineStr">
        <is>
          <t>WARREN</t>
        </is>
      </c>
      <c r="AO999" t="inlineStr">
        <is>
          <t>WARREN CITY 4A</t>
        </is>
      </c>
      <c r="AP999" t="inlineStr">
        <is>
          <t>78-P-ADI</t>
        </is>
      </c>
      <c r="AQ999" t="n">
        <v>9</v>
      </c>
      <c r="AR999" t="n">
        <v>64</v>
      </c>
      <c r="AS999" t="n">
        <v>32</v>
      </c>
      <c r="AU999">
        <f>COUNTA($BA$999:$EH$999)</f>
        <v/>
      </c>
      <c r="AV999">
        <f>COUNTIF($BA$999:$EH$999,"D")</f>
        <v/>
      </c>
      <c r="AW999">
        <f>COUNTIF($BA$999:$EH$999,"R")</f>
        <v/>
      </c>
      <c r="AX999">
        <f>IF(BN999="D",1,0)+IF(BO999="D",1,0)+IF(BT999="D",1,0)+IF(BU999="D",1,0)+IF(BW999="D",1,0)+IF(CC999="D",1,0)+IF(CD999="D",1,0)+IF(CE999="D",1,0)+IF(CF999="D",1,0)+IF(CL999="D",1,0)+IF(CM999="D",1,0)+IF(CQ999="D",1,0)+IF(CR999="D",1,0)+IF(CS999="D",1,0)+IF(CW999="D",1,0)+IF(CX999="D",1,0)+IF(DD999="D",1,0)+IF(DE999="D",1,0)+IF(DJ999="D",1,0)+IF(DK999="D",1,0)+IF(DO999="D",1,0)+IF(DP999="D",1,0)+IF(DQ999="D",1,0)+IF(DW999="D",1,0)+IF(DZ999="D",1,0)+IF(EH999="D",1,0)</f>
        <v/>
      </c>
      <c r="AY999">
        <f>IF(DJ999&lt;&gt;"",1,0)+IF(DK999&lt;&gt;"",1,0)+IF(DM999&lt;&gt;"",1,0)+IF(DO999&lt;&gt;"",1,0)+IF(DP999&lt;&gt;"",1,0)+IF(DQ999&lt;&gt;"",1,0)+IF(DS999&lt;&gt;"",1,0)+IF(DT999&lt;&gt;"",1,0)+IF(DV999&lt;&gt;"",1,0)+IF(DW999&lt;&gt;"",1,0)+IF(DX999&lt;&gt;"",1,0)+IF(DY999&lt;&gt;"",1,0)+IF(DZ999&lt;&gt;"",1,0)+IF(EB999&lt;&gt;"",1,0)+IF(EC999&lt;&gt;"",1,0)+IF(ED999&lt;&gt;"",1,0)+IF(EG999&lt;&gt;"",1,0)+IF(EH999&lt;&gt;"",1,0)</f>
        <v/>
      </c>
      <c r="AZ999">
        <f>IF(EH999&lt;&gt;"",1,0)</f>
        <v/>
      </c>
      <c r="BB999" t="inlineStr">
        <is>
          <t>WARREN-WARD 4</t>
        </is>
      </c>
      <c r="CY999" t="inlineStr">
        <is>
          <t>X</t>
        </is>
      </c>
      <c r="CZ999" t="inlineStr">
        <is>
          <t>D</t>
        </is>
      </c>
      <c r="DC999" t="inlineStr">
        <is>
          <t>X</t>
        </is>
      </c>
      <c r="DN999" t="inlineStr">
        <is>
          <t>X</t>
        </is>
      </c>
      <c r="DU999" t="inlineStr">
        <is>
          <t>X</t>
        </is>
      </c>
      <c r="EF999" t="inlineStr">
        <is>
          <t>X</t>
        </is>
      </c>
    </row>
    <row r="1000">
      <c r="A1000" t="inlineStr">
        <is>
          <t>OH0015725717</t>
        </is>
      </c>
      <c r="B1000" t="n">
        <v>78</v>
      </c>
      <c r="C1000" t="n">
        <v>210097</v>
      </c>
      <c r="D1000" t="inlineStr">
        <is>
          <t>MCCUE</t>
        </is>
      </c>
      <c r="E1000" t="inlineStr">
        <is>
          <t>CHRISTINE</t>
        </is>
      </c>
      <c r="F1000">
        <f>CONCATENATE(D1000," ",LEFT(H1000,4),"T=",AU1000,"D=",AV1000,"R=",AW1000,"M=",AX1000,"L=",AY1000,"B=",AZ1000)</f>
        <v/>
      </c>
      <c r="I1000" t="inlineStr">
        <is>
          <t>1964-03-20</t>
        </is>
      </c>
      <c r="J1000" t="inlineStr">
        <is>
          <t>1988-08-17</t>
        </is>
      </c>
      <c r="K1000" t="inlineStr">
        <is>
          <t>ACTIVE</t>
        </is>
      </c>
      <c r="M1000" t="inlineStr">
        <is>
          <t>389 KENILWORTH AVE SE</t>
        </is>
      </c>
      <c r="N1000">
        <f>RIGHT(M1000,LEN(M1000)-FIND(" ",M1000))</f>
        <v/>
      </c>
      <c r="P1000" t="inlineStr">
        <is>
          <t>WARREN</t>
        </is>
      </c>
      <c r="Q1000" t="inlineStr">
        <is>
          <t>OH</t>
        </is>
      </c>
      <c r="R1000" t="n">
        <v>44483</v>
      </c>
      <c r="AD1000" t="inlineStr">
        <is>
          <t>TRUMBULL CAREER &amp; TECH CENTER</t>
        </is>
      </c>
      <c r="AE1000" t="inlineStr">
        <is>
          <t>WARREN CITY</t>
        </is>
      </c>
      <c r="AF1000" t="inlineStr">
        <is>
          <t>WARREN CITY SD</t>
        </is>
      </c>
      <c r="AH1000" t="n">
        <v>14</v>
      </c>
      <c r="AI1000" t="n">
        <v>11</v>
      </c>
      <c r="AN1000" t="inlineStr">
        <is>
          <t>WARREN</t>
        </is>
      </c>
      <c r="AO1000" t="inlineStr">
        <is>
          <t>WARREN CITY 4A</t>
        </is>
      </c>
      <c r="AP1000" t="inlineStr">
        <is>
          <t>78-P-ADI</t>
        </is>
      </c>
      <c r="AQ1000" t="n">
        <v>9</v>
      </c>
      <c r="AR1000" t="n">
        <v>64</v>
      </c>
      <c r="AS1000" t="n">
        <v>32</v>
      </c>
      <c r="AU1000">
        <f>COUNTA($BA$1000:$EH$1000)</f>
        <v/>
      </c>
      <c r="AV1000">
        <f>COUNTIF($BA$1000:$EH$1000,"D")</f>
        <v/>
      </c>
      <c r="AW1000">
        <f>COUNTIF($BA$1000:$EH$1000,"R")</f>
        <v/>
      </c>
      <c r="AX1000">
        <f>IF(BN1000="D",1,0)+IF(BO1000="D",1,0)+IF(BT1000="D",1,0)+IF(BU1000="D",1,0)+IF(BW1000="D",1,0)+IF(CC1000="D",1,0)+IF(CD1000="D",1,0)+IF(CE1000="D",1,0)+IF(CF1000="D",1,0)+IF(CL1000="D",1,0)+IF(CM1000="D",1,0)+IF(CQ1000="D",1,0)+IF(CR1000="D",1,0)+IF(CS1000="D",1,0)+IF(CW1000="D",1,0)+IF(CX1000="D",1,0)+IF(DD1000="D",1,0)+IF(DE1000="D",1,0)+IF(DJ1000="D",1,0)+IF(DK1000="D",1,0)+IF(DO1000="D",1,0)+IF(DP1000="D",1,0)+IF(DQ1000="D",1,0)+IF(DW1000="D",1,0)+IF(DZ1000="D",1,0)+IF(EH1000="D",1,0)</f>
        <v/>
      </c>
      <c r="AY1000">
        <f>IF(DJ1000&lt;&gt;"",1,0)+IF(DK1000&lt;&gt;"",1,0)+IF(DM1000&lt;&gt;"",1,0)+IF(DO1000&lt;&gt;"",1,0)+IF(DP1000&lt;&gt;"",1,0)+IF(DQ1000&lt;&gt;"",1,0)+IF(DS1000&lt;&gt;"",1,0)+IF(DT1000&lt;&gt;"",1,0)+IF(DV1000&lt;&gt;"",1,0)+IF(DW1000&lt;&gt;"",1,0)+IF(DX1000&lt;&gt;"",1,0)+IF(DY1000&lt;&gt;"",1,0)+IF(DZ1000&lt;&gt;"",1,0)+IF(EB1000&lt;&gt;"",1,0)+IF(EC1000&lt;&gt;"",1,0)+IF(ED1000&lt;&gt;"",1,0)+IF(EG1000&lt;&gt;"",1,0)+IF(EH1000&lt;&gt;"",1,0)</f>
        <v/>
      </c>
      <c r="AZ1000">
        <f>IF(EH1000&lt;&gt;"",1,0)</f>
        <v/>
      </c>
      <c r="BB1000" t="inlineStr">
        <is>
          <t>WARREN-WARD 4</t>
        </is>
      </c>
      <c r="BC1000" t="inlineStr">
        <is>
          <t>X</t>
        </is>
      </c>
      <c r="BD1000" t="inlineStr">
        <is>
          <t>X</t>
        </is>
      </c>
      <c r="BE1000" t="inlineStr">
        <is>
          <t>X</t>
        </is>
      </c>
      <c r="BG1000" t="inlineStr">
        <is>
          <t>X</t>
        </is>
      </c>
      <c r="BH1000" t="inlineStr">
        <is>
          <t>X</t>
        </is>
      </c>
      <c r="BI1000" t="inlineStr">
        <is>
          <t>X</t>
        </is>
      </c>
      <c r="BJ1000" t="inlineStr">
        <is>
          <t>X</t>
        </is>
      </c>
      <c r="BK1000" t="inlineStr">
        <is>
          <t>X</t>
        </is>
      </c>
      <c r="BL1000" t="inlineStr">
        <is>
          <t>X</t>
        </is>
      </c>
      <c r="BP1000" t="inlineStr">
        <is>
          <t>X</t>
        </is>
      </c>
      <c r="BR1000" t="inlineStr">
        <is>
          <t>X</t>
        </is>
      </c>
      <c r="BS1000" t="inlineStr">
        <is>
          <t>X</t>
        </is>
      </c>
      <c r="BV1000" t="inlineStr">
        <is>
          <t>X</t>
        </is>
      </c>
      <c r="BY1000" t="inlineStr">
        <is>
          <t>D</t>
        </is>
      </c>
      <c r="CA1000" t="inlineStr">
        <is>
          <t>X</t>
        </is>
      </c>
      <c r="CG1000" t="inlineStr">
        <is>
          <t>X</t>
        </is>
      </c>
      <c r="CK1000" t="inlineStr">
        <is>
          <t>X</t>
        </is>
      </c>
      <c r="CN1000" t="inlineStr">
        <is>
          <t>X</t>
        </is>
      </c>
      <c r="CP1000" t="inlineStr">
        <is>
          <t>X</t>
        </is>
      </c>
      <c r="CV1000" t="inlineStr">
        <is>
          <t>X</t>
        </is>
      </c>
      <c r="CW1000" t="inlineStr">
        <is>
          <t>D</t>
        </is>
      </c>
      <c r="CY1000" t="inlineStr">
        <is>
          <t>X</t>
        </is>
      </c>
      <c r="DC1000" t="inlineStr">
        <is>
          <t>X</t>
        </is>
      </c>
      <c r="DI1000" t="inlineStr">
        <is>
          <t>X</t>
        </is>
      </c>
      <c r="DM1000" t="inlineStr">
        <is>
          <t>D</t>
        </is>
      </c>
      <c r="DN1000" t="inlineStr">
        <is>
          <t>X</t>
        </is>
      </c>
      <c r="DU1000" t="inlineStr">
        <is>
          <t>X</t>
        </is>
      </c>
      <c r="EA1000" t="inlineStr">
        <is>
          <t>X</t>
        </is>
      </c>
      <c r="EF1000" t="inlineStr">
        <is>
          <t>X</t>
        </is>
      </c>
    </row>
    <row r="1001">
      <c r="A1001" t="inlineStr">
        <is>
          <t>OH0027651397</t>
        </is>
      </c>
      <c r="B1001" t="n">
        <v>78</v>
      </c>
      <c r="C1001" t="n">
        <v>489932</v>
      </c>
      <c r="D1001" t="inlineStr">
        <is>
          <t>BURD</t>
        </is>
      </c>
      <c r="E1001" t="inlineStr">
        <is>
          <t>TAVISH</t>
        </is>
      </c>
      <c r="F1001">
        <f>CONCATENATE(D1001," ",LEFT(H1001,4),"T=",AU1001,"D=",AV1001,"R=",AW1001,"M=",AX1001,"L=",AY1001,"B=",AZ1001)</f>
        <v/>
      </c>
      <c r="G1001" t="inlineStr">
        <is>
          <t>C</t>
        </is>
      </c>
      <c r="I1001" t="inlineStr">
        <is>
          <t>2000-04-11</t>
        </is>
      </c>
      <c r="J1001" t="inlineStr">
        <is>
          <t>2024-09-21</t>
        </is>
      </c>
      <c r="K1001" t="inlineStr">
        <is>
          <t>ACTIVE</t>
        </is>
      </c>
      <c r="M1001" t="inlineStr">
        <is>
          <t>367 WOODBINE AVE SE</t>
        </is>
      </c>
      <c r="N1001">
        <f>RIGHT(M1001,LEN(M1001)-FIND(" ",M1001))</f>
        <v/>
      </c>
      <c r="P1001" t="inlineStr">
        <is>
          <t>WARREN</t>
        </is>
      </c>
      <c r="Q1001" t="inlineStr">
        <is>
          <t>OH</t>
        </is>
      </c>
      <c r="R1001" t="n">
        <v>44483</v>
      </c>
      <c r="AD1001" t="inlineStr">
        <is>
          <t>TRUMBULL CAREER &amp; TECH CENTER</t>
        </is>
      </c>
      <c r="AE1001" t="inlineStr">
        <is>
          <t>WARREN CITY</t>
        </is>
      </c>
      <c r="AF1001" t="inlineStr">
        <is>
          <t>WARREN CITY SD</t>
        </is>
      </c>
      <c r="AH1001" t="n">
        <v>14</v>
      </c>
      <c r="AI1001" t="n">
        <v>11</v>
      </c>
      <c r="AN1001" t="inlineStr">
        <is>
          <t>WARREN</t>
        </is>
      </c>
      <c r="AO1001" t="inlineStr">
        <is>
          <t>WARREN CITY 4A</t>
        </is>
      </c>
      <c r="AP1001" t="inlineStr">
        <is>
          <t>78-P-ADI</t>
        </is>
      </c>
      <c r="AQ1001" t="n">
        <v>9</v>
      </c>
      <c r="AR1001" t="n">
        <v>64</v>
      </c>
      <c r="AS1001" t="n">
        <v>32</v>
      </c>
      <c r="AU1001">
        <f>COUNTA($BA$1001:$EH$1001)</f>
        <v/>
      </c>
      <c r="AV1001">
        <f>COUNTIF($BA$1001:$EH$1001,"D")</f>
        <v/>
      </c>
      <c r="AW1001">
        <f>COUNTIF($BA$1001:$EH$1001,"R")</f>
        <v/>
      </c>
      <c r="AX1001">
        <f>IF(BN1001="D",1,0)+IF(BO1001="D",1,0)+IF(BT1001="D",1,0)+IF(BU1001="D",1,0)+IF(BW1001="D",1,0)+IF(CC1001="D",1,0)+IF(CD1001="D",1,0)+IF(CE1001="D",1,0)+IF(CF1001="D",1,0)+IF(CL1001="D",1,0)+IF(CM1001="D",1,0)+IF(CQ1001="D",1,0)+IF(CR1001="D",1,0)+IF(CS1001="D",1,0)+IF(CW1001="D",1,0)+IF(CX1001="D",1,0)+IF(DD1001="D",1,0)+IF(DE1001="D",1,0)+IF(DJ1001="D",1,0)+IF(DK1001="D",1,0)+IF(DO1001="D",1,0)+IF(DP1001="D",1,0)+IF(DQ1001="D",1,0)+IF(DW1001="D",1,0)+IF(DZ1001="D",1,0)+IF(EH1001="D",1,0)</f>
        <v/>
      </c>
      <c r="AY1001">
        <f>IF(DJ1001&lt;&gt;"",1,0)+IF(DK1001&lt;&gt;"",1,0)+IF(DM1001&lt;&gt;"",1,0)+IF(DO1001&lt;&gt;"",1,0)+IF(DP1001&lt;&gt;"",1,0)+IF(DQ1001&lt;&gt;"",1,0)+IF(DS1001&lt;&gt;"",1,0)+IF(DT1001&lt;&gt;"",1,0)+IF(DV1001&lt;&gt;"",1,0)+IF(DW1001&lt;&gt;"",1,0)+IF(DX1001&lt;&gt;"",1,0)+IF(DY1001&lt;&gt;"",1,0)+IF(DZ1001&lt;&gt;"",1,0)+IF(EB1001&lt;&gt;"",1,0)+IF(EC1001&lt;&gt;"",1,0)+IF(ED1001&lt;&gt;"",1,0)+IF(EG1001&lt;&gt;"",1,0)+IF(EH1001&lt;&gt;"",1,0)</f>
        <v/>
      </c>
      <c r="AZ1001">
        <f>IF(EH1001&lt;&gt;"",1,0)</f>
        <v/>
      </c>
      <c r="BB1001" t="inlineStr">
        <is>
          <t>WARREN-WARD 4</t>
        </is>
      </c>
      <c r="DN1001" t="inlineStr">
        <is>
          <t>X</t>
        </is>
      </c>
      <c r="EA1001" t="inlineStr">
        <is>
          <t>X</t>
        </is>
      </c>
      <c r="EF1001" t="inlineStr">
        <is>
          <t>X</t>
        </is>
      </c>
    </row>
    <row r="1002">
      <c r="A1002" t="inlineStr">
        <is>
          <t>OH0015705895</t>
        </is>
      </c>
      <c r="B1002" t="n">
        <v>78</v>
      </c>
      <c r="C1002" t="n">
        <v>168501</v>
      </c>
      <c r="D1002" t="inlineStr">
        <is>
          <t>NEWLOVE</t>
        </is>
      </c>
      <c r="E1002" t="inlineStr">
        <is>
          <t>PAUL</t>
        </is>
      </c>
      <c r="F1002">
        <f>CONCATENATE(D1002," ",LEFT(H1002,4),"T=",AU1002,"D=",AV1002,"R=",AW1002,"M=",AX1002,"L=",AY1002,"B=",AZ1002)</f>
        <v/>
      </c>
      <c r="G1002" t="inlineStr">
        <is>
          <t>R</t>
        </is>
      </c>
      <c r="I1002" t="inlineStr">
        <is>
          <t>1942-12-30</t>
        </is>
      </c>
      <c r="J1002" t="inlineStr">
        <is>
          <t>1984-04-05</t>
        </is>
      </c>
      <c r="K1002" t="inlineStr">
        <is>
          <t>ACTIVE</t>
        </is>
      </c>
      <c r="L1002" t="inlineStr">
        <is>
          <t>D</t>
        </is>
      </c>
      <c r="M1002" t="inlineStr">
        <is>
          <t>446 KENILWORTH AVE SE</t>
        </is>
      </c>
      <c r="N1002">
        <f>RIGHT(M1002,LEN(M1002)-FIND(" ",M1002))</f>
        <v/>
      </c>
      <c r="P1002" t="inlineStr">
        <is>
          <t>WARREN</t>
        </is>
      </c>
      <c r="Q1002" t="inlineStr">
        <is>
          <t>OH</t>
        </is>
      </c>
      <c r="R1002" t="n">
        <v>44483</v>
      </c>
      <c r="AD1002" t="inlineStr">
        <is>
          <t>TRUMBULL CAREER &amp; TECH CENTER</t>
        </is>
      </c>
      <c r="AE1002" t="inlineStr">
        <is>
          <t>WARREN CITY</t>
        </is>
      </c>
      <c r="AF1002" t="inlineStr">
        <is>
          <t>WARREN CITY SD</t>
        </is>
      </c>
      <c r="AH1002" t="n">
        <v>14</v>
      </c>
      <c r="AI1002" t="n">
        <v>11</v>
      </c>
      <c r="AN1002" t="inlineStr">
        <is>
          <t>WARREN</t>
        </is>
      </c>
      <c r="AO1002" t="inlineStr">
        <is>
          <t>WARREN CITY 4A</t>
        </is>
      </c>
      <c r="AP1002" t="inlineStr">
        <is>
          <t>78-P-ADI</t>
        </is>
      </c>
      <c r="AQ1002" t="n">
        <v>9</v>
      </c>
      <c r="AR1002" t="n">
        <v>64</v>
      </c>
      <c r="AS1002" t="n">
        <v>32</v>
      </c>
      <c r="AU1002">
        <f>COUNTA($BA$1002:$EH$1002)</f>
        <v/>
      </c>
      <c r="AV1002">
        <f>COUNTIF($BA$1002:$EH$1002,"D")</f>
        <v/>
      </c>
      <c r="AW1002">
        <f>COUNTIF($BA$1002:$EH$1002,"R")</f>
        <v/>
      </c>
      <c r="AX1002">
        <f>IF(BN1002="D",1,0)+IF(BO1002="D",1,0)+IF(BT1002="D",1,0)+IF(BU1002="D",1,0)+IF(BW1002="D",1,0)+IF(CC1002="D",1,0)+IF(CD1002="D",1,0)+IF(CE1002="D",1,0)+IF(CF1002="D",1,0)+IF(CL1002="D",1,0)+IF(CM1002="D",1,0)+IF(CQ1002="D",1,0)+IF(CR1002="D",1,0)+IF(CS1002="D",1,0)+IF(CW1002="D",1,0)+IF(CX1002="D",1,0)+IF(DD1002="D",1,0)+IF(DE1002="D",1,0)+IF(DJ1002="D",1,0)+IF(DK1002="D",1,0)+IF(DO1002="D",1,0)+IF(DP1002="D",1,0)+IF(DQ1002="D",1,0)+IF(DW1002="D",1,0)+IF(DZ1002="D",1,0)+IF(EH1002="D",1,0)</f>
        <v/>
      </c>
      <c r="AY1002">
        <f>IF(DJ1002&lt;&gt;"",1,0)+IF(DK1002&lt;&gt;"",1,0)+IF(DM1002&lt;&gt;"",1,0)+IF(DO1002&lt;&gt;"",1,0)+IF(DP1002&lt;&gt;"",1,0)+IF(DQ1002&lt;&gt;"",1,0)+IF(DS1002&lt;&gt;"",1,0)+IF(DT1002&lt;&gt;"",1,0)+IF(DV1002&lt;&gt;"",1,0)+IF(DW1002&lt;&gt;"",1,0)+IF(DX1002&lt;&gt;"",1,0)+IF(DY1002&lt;&gt;"",1,0)+IF(DZ1002&lt;&gt;"",1,0)+IF(EB1002&lt;&gt;"",1,0)+IF(EC1002&lt;&gt;"",1,0)+IF(ED1002&lt;&gt;"",1,0)+IF(EG1002&lt;&gt;"",1,0)+IF(EH1002&lt;&gt;"",1,0)</f>
        <v/>
      </c>
      <c r="AZ1002">
        <f>IF(EH1002&lt;&gt;"",1,0)</f>
        <v/>
      </c>
      <c r="BB1002" t="inlineStr">
        <is>
          <t>WARREN-WARD 4</t>
        </is>
      </c>
      <c r="BC1002" t="inlineStr">
        <is>
          <t>X</t>
        </is>
      </c>
      <c r="BD1002" t="inlineStr">
        <is>
          <t>X</t>
        </is>
      </c>
      <c r="BE1002" t="inlineStr">
        <is>
          <t>X</t>
        </is>
      </c>
      <c r="BF1002" t="inlineStr">
        <is>
          <t>X</t>
        </is>
      </c>
      <c r="BG1002" t="inlineStr">
        <is>
          <t>X</t>
        </is>
      </c>
      <c r="BH1002" t="inlineStr">
        <is>
          <t>X</t>
        </is>
      </c>
      <c r="BI1002" t="inlineStr">
        <is>
          <t>X</t>
        </is>
      </c>
      <c r="BJ1002" t="inlineStr">
        <is>
          <t>X</t>
        </is>
      </c>
      <c r="BK1002" t="inlineStr">
        <is>
          <t>X</t>
        </is>
      </c>
      <c r="BL1002" t="inlineStr">
        <is>
          <t>X</t>
        </is>
      </c>
      <c r="BP1002" t="inlineStr">
        <is>
          <t>X</t>
        </is>
      </c>
      <c r="BR1002" t="inlineStr">
        <is>
          <t>X</t>
        </is>
      </c>
      <c r="BS1002" t="inlineStr">
        <is>
          <t>X</t>
        </is>
      </c>
      <c r="BV1002" t="inlineStr">
        <is>
          <t>X</t>
        </is>
      </c>
      <c r="BY1002" t="inlineStr">
        <is>
          <t>D</t>
        </is>
      </c>
      <c r="CA1002" t="inlineStr">
        <is>
          <t>X</t>
        </is>
      </c>
      <c r="CG1002" t="inlineStr">
        <is>
          <t>X</t>
        </is>
      </c>
      <c r="CH1002" t="inlineStr">
        <is>
          <t>D</t>
        </is>
      </c>
      <c r="CK1002" t="inlineStr">
        <is>
          <t>X</t>
        </is>
      </c>
      <c r="CL1002" t="inlineStr">
        <is>
          <t>D</t>
        </is>
      </c>
      <c r="CN1002" t="inlineStr">
        <is>
          <t>X</t>
        </is>
      </c>
      <c r="CO1002" t="inlineStr">
        <is>
          <t>D</t>
        </is>
      </c>
      <c r="CP1002" t="inlineStr">
        <is>
          <t>X</t>
        </is>
      </c>
      <c r="CT1002" t="inlineStr">
        <is>
          <t>X</t>
        </is>
      </c>
      <c r="CU1002" t="inlineStr">
        <is>
          <t>D</t>
        </is>
      </c>
      <c r="CV1002" t="inlineStr">
        <is>
          <t>X</t>
        </is>
      </c>
      <c r="CW1002" t="inlineStr">
        <is>
          <t>D</t>
        </is>
      </c>
      <c r="CY1002" t="inlineStr">
        <is>
          <t>X</t>
        </is>
      </c>
      <c r="CZ1002" t="inlineStr">
        <is>
          <t>D</t>
        </is>
      </c>
      <c r="DC1002" t="inlineStr">
        <is>
          <t>X</t>
        </is>
      </c>
      <c r="DF1002" t="inlineStr">
        <is>
          <t>X</t>
        </is>
      </c>
      <c r="DG1002" t="inlineStr">
        <is>
          <t>D</t>
        </is>
      </c>
      <c r="DI1002" t="inlineStr">
        <is>
          <t>X</t>
        </is>
      </c>
      <c r="DJ1002" t="inlineStr">
        <is>
          <t>D</t>
        </is>
      </c>
      <c r="DL1002" t="inlineStr">
        <is>
          <t>X</t>
        </is>
      </c>
      <c r="DM1002" t="inlineStr">
        <is>
          <t>D</t>
        </is>
      </c>
      <c r="DN1002" t="inlineStr">
        <is>
          <t>X</t>
        </is>
      </c>
      <c r="DR1002" t="inlineStr">
        <is>
          <t>X</t>
        </is>
      </c>
      <c r="DS1002" t="inlineStr">
        <is>
          <t>D</t>
        </is>
      </c>
      <c r="DT1002" t="inlineStr">
        <is>
          <t>D</t>
        </is>
      </c>
      <c r="DU1002" t="inlineStr">
        <is>
          <t>X</t>
        </is>
      </c>
      <c r="DW1002" t="inlineStr">
        <is>
          <t>D</t>
        </is>
      </c>
      <c r="DX1002" t="inlineStr">
        <is>
          <t>X</t>
        </is>
      </c>
      <c r="EA1002" t="inlineStr">
        <is>
          <t>X</t>
        </is>
      </c>
      <c r="ED1002" t="inlineStr">
        <is>
          <t>D</t>
        </is>
      </c>
      <c r="EF1002" t="inlineStr">
        <is>
          <t>X</t>
        </is>
      </c>
    </row>
    <row r="1003">
      <c r="A1003" t="inlineStr">
        <is>
          <t>OH0015729610</t>
        </is>
      </c>
      <c r="B1003" t="n">
        <v>78</v>
      </c>
      <c r="C1003" t="n">
        <v>216667</v>
      </c>
      <c r="D1003" t="inlineStr">
        <is>
          <t>NASH</t>
        </is>
      </c>
      <c r="E1003" t="inlineStr">
        <is>
          <t>TIMOTHY</t>
        </is>
      </c>
      <c r="F1003">
        <f>CONCATENATE(D1003," ",LEFT(H1003,4),"T=",AU1003,"D=",AV1003,"R=",AW1003,"M=",AX1003,"L=",AY1003,"B=",AZ1003)</f>
        <v/>
      </c>
      <c r="I1003" t="inlineStr">
        <is>
          <t>1957-04-11</t>
        </is>
      </c>
      <c r="J1003" t="inlineStr">
        <is>
          <t>2023-07-10</t>
        </is>
      </c>
      <c r="K1003" t="inlineStr">
        <is>
          <t>ACTIVE</t>
        </is>
      </c>
      <c r="L1003" t="inlineStr">
        <is>
          <t>D</t>
        </is>
      </c>
      <c r="M1003" t="inlineStr">
        <is>
          <t>307 BONNIE BRAE AVE SE</t>
        </is>
      </c>
      <c r="N1003">
        <f>RIGHT(M1003,LEN(M1003)-FIND(" ",M1003))</f>
        <v/>
      </c>
      <c r="O1003" t="inlineStr">
        <is>
          <t>APT A</t>
        </is>
      </c>
      <c r="P1003" t="inlineStr">
        <is>
          <t>WARREN</t>
        </is>
      </c>
      <c r="Q1003" t="inlineStr">
        <is>
          <t>OH</t>
        </is>
      </c>
      <c r="R1003" t="n">
        <v>44484</v>
      </c>
      <c r="AD1003" t="inlineStr">
        <is>
          <t>TRUMBULL CAREER &amp; TECH CENTER</t>
        </is>
      </c>
      <c r="AE1003" t="inlineStr">
        <is>
          <t>WARREN CITY</t>
        </is>
      </c>
      <c r="AF1003" t="inlineStr">
        <is>
          <t>WARREN CITY SD</t>
        </is>
      </c>
      <c r="AH1003" t="n">
        <v>14</v>
      </c>
      <c r="AI1003" t="n">
        <v>11</v>
      </c>
      <c r="AN1003" t="inlineStr">
        <is>
          <t>WARREN</t>
        </is>
      </c>
      <c r="AO1003" t="inlineStr">
        <is>
          <t>WARREN CITY 4A</t>
        </is>
      </c>
      <c r="AP1003" t="inlineStr">
        <is>
          <t>78-P-ADI</t>
        </is>
      </c>
      <c r="AQ1003" t="n">
        <v>9</v>
      </c>
      <c r="AR1003" t="n">
        <v>64</v>
      </c>
      <c r="AS1003" t="n">
        <v>32</v>
      </c>
      <c r="AU1003">
        <f>COUNTA($BA$1003:$EH$1003)</f>
        <v/>
      </c>
      <c r="AV1003">
        <f>COUNTIF($BA$1003:$EH$1003,"D")</f>
        <v/>
      </c>
      <c r="AW1003">
        <f>COUNTIF($BA$1003:$EH$1003,"R")</f>
        <v/>
      </c>
      <c r="AX1003">
        <f>IF(BN1003="D",1,0)+IF(BO1003="D",1,0)+IF(BT1003="D",1,0)+IF(BU1003="D",1,0)+IF(BW1003="D",1,0)+IF(CC1003="D",1,0)+IF(CD1003="D",1,0)+IF(CE1003="D",1,0)+IF(CF1003="D",1,0)+IF(CL1003="D",1,0)+IF(CM1003="D",1,0)+IF(CQ1003="D",1,0)+IF(CR1003="D",1,0)+IF(CS1003="D",1,0)+IF(CW1003="D",1,0)+IF(CX1003="D",1,0)+IF(DD1003="D",1,0)+IF(DE1003="D",1,0)+IF(DJ1003="D",1,0)+IF(DK1003="D",1,0)+IF(DO1003="D",1,0)+IF(DP1003="D",1,0)+IF(DQ1003="D",1,0)+IF(DW1003="D",1,0)+IF(DZ1003="D",1,0)+IF(EH1003="D",1,0)</f>
        <v/>
      </c>
      <c r="AY1003">
        <f>IF(DJ1003&lt;&gt;"",1,0)+IF(DK1003&lt;&gt;"",1,0)+IF(DM1003&lt;&gt;"",1,0)+IF(DO1003&lt;&gt;"",1,0)+IF(DP1003&lt;&gt;"",1,0)+IF(DQ1003&lt;&gt;"",1,0)+IF(DS1003&lt;&gt;"",1,0)+IF(DT1003&lt;&gt;"",1,0)+IF(DV1003&lt;&gt;"",1,0)+IF(DW1003&lt;&gt;"",1,0)+IF(DX1003&lt;&gt;"",1,0)+IF(DY1003&lt;&gt;"",1,0)+IF(DZ1003&lt;&gt;"",1,0)+IF(EB1003&lt;&gt;"",1,0)+IF(EC1003&lt;&gt;"",1,0)+IF(ED1003&lt;&gt;"",1,0)+IF(EG1003&lt;&gt;"",1,0)+IF(EH1003&lt;&gt;"",1,0)</f>
        <v/>
      </c>
      <c r="AZ1003">
        <f>IF(EH1003&lt;&gt;"",1,0)</f>
        <v/>
      </c>
      <c r="BB1003" t="inlineStr">
        <is>
          <t>WARREN-WARD 4</t>
        </is>
      </c>
      <c r="BC1003" t="inlineStr">
        <is>
          <t>X</t>
        </is>
      </c>
      <c r="BD1003" t="inlineStr">
        <is>
          <t>X</t>
        </is>
      </c>
      <c r="BE1003" t="inlineStr">
        <is>
          <t>X</t>
        </is>
      </c>
      <c r="BG1003" t="inlineStr">
        <is>
          <t>X</t>
        </is>
      </c>
      <c r="BH1003" t="inlineStr">
        <is>
          <t>X</t>
        </is>
      </c>
      <c r="BJ1003" t="inlineStr">
        <is>
          <t>X</t>
        </is>
      </c>
      <c r="BK1003" t="inlineStr">
        <is>
          <t>X</t>
        </is>
      </c>
      <c r="BL1003" t="inlineStr">
        <is>
          <t>X</t>
        </is>
      </c>
      <c r="BP1003" t="inlineStr">
        <is>
          <t>X</t>
        </is>
      </c>
      <c r="BR1003" t="inlineStr">
        <is>
          <t>X</t>
        </is>
      </c>
      <c r="BS1003" t="inlineStr">
        <is>
          <t>X</t>
        </is>
      </c>
      <c r="BV1003" t="inlineStr">
        <is>
          <t>X</t>
        </is>
      </c>
      <c r="BY1003" t="inlineStr">
        <is>
          <t>D</t>
        </is>
      </c>
      <c r="CA1003" t="inlineStr">
        <is>
          <t>X</t>
        </is>
      </c>
      <c r="CG1003" t="inlineStr">
        <is>
          <t>X</t>
        </is>
      </c>
      <c r="CK1003" t="inlineStr">
        <is>
          <t>X</t>
        </is>
      </c>
      <c r="CN1003" t="inlineStr">
        <is>
          <t>X</t>
        </is>
      </c>
      <c r="CP1003" t="inlineStr">
        <is>
          <t>X</t>
        </is>
      </c>
      <c r="CU1003" t="inlineStr">
        <is>
          <t>D</t>
        </is>
      </c>
      <c r="CV1003" t="inlineStr">
        <is>
          <t>X</t>
        </is>
      </c>
      <c r="CY1003" t="inlineStr">
        <is>
          <t>X</t>
        </is>
      </c>
      <c r="CZ1003" t="inlineStr">
        <is>
          <t>D</t>
        </is>
      </c>
      <c r="DC1003" t="inlineStr">
        <is>
          <t>X</t>
        </is>
      </c>
      <c r="DF1003" t="inlineStr">
        <is>
          <t>X</t>
        </is>
      </c>
      <c r="DI1003" t="inlineStr">
        <is>
          <t>X</t>
        </is>
      </c>
      <c r="DM1003" t="inlineStr">
        <is>
          <t>D</t>
        </is>
      </c>
      <c r="DN1003" t="inlineStr">
        <is>
          <t>X</t>
        </is>
      </c>
      <c r="DR1003" t="inlineStr">
        <is>
          <t>X</t>
        </is>
      </c>
      <c r="DS1003" t="inlineStr">
        <is>
          <t>R</t>
        </is>
      </c>
      <c r="DU1003" t="inlineStr">
        <is>
          <t>X</t>
        </is>
      </c>
      <c r="DW1003" t="inlineStr">
        <is>
          <t>D</t>
        </is>
      </c>
      <c r="DX1003" t="inlineStr">
        <is>
          <t>X</t>
        </is>
      </c>
      <c r="EA1003" t="inlineStr">
        <is>
          <t>X</t>
        </is>
      </c>
      <c r="ED1003" t="inlineStr">
        <is>
          <t>X</t>
        </is>
      </c>
      <c r="EF1003" t="inlineStr">
        <is>
          <t>X</t>
        </is>
      </c>
      <c r="EH1003" t="inlineStr">
        <is>
          <t>D</t>
        </is>
      </c>
    </row>
    <row r="1004">
      <c r="A1004" t="inlineStr">
        <is>
          <t>OH0023631797</t>
        </is>
      </c>
      <c r="B1004" t="n">
        <v>78</v>
      </c>
      <c r="C1004" t="n">
        <v>415250</v>
      </c>
      <c r="D1004" t="inlineStr">
        <is>
          <t>JOHNSON</t>
        </is>
      </c>
      <c r="E1004" t="inlineStr">
        <is>
          <t>TAMARA</t>
        </is>
      </c>
      <c r="F1004">
        <f>CONCATENATE(D1004," ",LEFT(H1004,4),"T=",AU1004,"D=",AV1004,"R=",AW1004,"M=",AX1004,"L=",AY1004,"B=",AZ1004)</f>
        <v/>
      </c>
      <c r="G1004" t="inlineStr">
        <is>
          <t>Y</t>
        </is>
      </c>
      <c r="I1004" t="inlineStr">
        <is>
          <t>1976-05-06</t>
        </is>
      </c>
      <c r="J1004" t="inlineStr">
        <is>
          <t>2018-07-30</t>
        </is>
      </c>
      <c r="K1004" t="inlineStr">
        <is>
          <t>CONFIRMATION</t>
        </is>
      </c>
      <c r="M1004" t="inlineStr">
        <is>
          <t>478 HOMEWOOD AVE SE</t>
        </is>
      </c>
      <c r="N1004">
        <f>RIGHT(M1004,LEN(M1004)-FIND(" ",M1004))</f>
        <v/>
      </c>
      <c r="P1004" t="inlineStr">
        <is>
          <t>WARREN</t>
        </is>
      </c>
      <c r="Q1004" t="inlineStr">
        <is>
          <t>OH</t>
        </is>
      </c>
      <c r="R1004" t="n">
        <v>44483</v>
      </c>
      <c r="AD1004" t="inlineStr">
        <is>
          <t>TRUMBULL CAREER &amp; TECH CENTER</t>
        </is>
      </c>
      <c r="AE1004" t="inlineStr">
        <is>
          <t>WARREN CITY</t>
        </is>
      </c>
      <c r="AF1004" t="inlineStr">
        <is>
          <t>WARREN CITY SD</t>
        </is>
      </c>
      <c r="AH1004" t="n">
        <v>14</v>
      </c>
      <c r="AI1004" t="n">
        <v>11</v>
      </c>
      <c r="AN1004" t="inlineStr">
        <is>
          <t>WARREN</t>
        </is>
      </c>
      <c r="AO1004" t="inlineStr">
        <is>
          <t>WARREN CITY 4A</t>
        </is>
      </c>
      <c r="AP1004" t="inlineStr">
        <is>
          <t>78-P-ADI</t>
        </is>
      </c>
      <c r="AQ1004" t="n">
        <v>9</v>
      </c>
      <c r="AR1004" t="n">
        <v>64</v>
      </c>
      <c r="AS1004" t="n">
        <v>32</v>
      </c>
      <c r="AU1004">
        <f>COUNTA($BA$1004:$EH$1004)</f>
        <v/>
      </c>
      <c r="AV1004">
        <f>COUNTIF($BA$1004:$EH$1004,"D")</f>
        <v/>
      </c>
      <c r="AW1004">
        <f>COUNTIF($BA$1004:$EH$1004,"R")</f>
        <v/>
      </c>
      <c r="AX1004">
        <f>IF(BN1004="D",1,0)+IF(BO1004="D",1,0)+IF(BT1004="D",1,0)+IF(BU1004="D",1,0)+IF(BW1004="D",1,0)+IF(CC1004="D",1,0)+IF(CD1004="D",1,0)+IF(CE1004="D",1,0)+IF(CF1004="D",1,0)+IF(CL1004="D",1,0)+IF(CM1004="D",1,0)+IF(CQ1004="D",1,0)+IF(CR1004="D",1,0)+IF(CS1004="D",1,0)+IF(CW1004="D",1,0)+IF(CX1004="D",1,0)+IF(DD1004="D",1,0)+IF(DE1004="D",1,0)+IF(DJ1004="D",1,0)+IF(DK1004="D",1,0)+IF(DO1004="D",1,0)+IF(DP1004="D",1,0)+IF(DQ1004="D",1,0)+IF(DW1004="D",1,0)+IF(DZ1004="D",1,0)+IF(EH1004="D",1,0)</f>
        <v/>
      </c>
      <c r="AY1004">
        <f>IF(DJ1004&lt;&gt;"",1,0)+IF(DK1004&lt;&gt;"",1,0)+IF(DM1004&lt;&gt;"",1,0)+IF(DO1004&lt;&gt;"",1,0)+IF(DP1004&lt;&gt;"",1,0)+IF(DQ1004&lt;&gt;"",1,0)+IF(DS1004&lt;&gt;"",1,0)+IF(DT1004&lt;&gt;"",1,0)+IF(DV1004&lt;&gt;"",1,0)+IF(DW1004&lt;&gt;"",1,0)+IF(DX1004&lt;&gt;"",1,0)+IF(DY1004&lt;&gt;"",1,0)+IF(DZ1004&lt;&gt;"",1,0)+IF(EB1004&lt;&gt;"",1,0)+IF(EC1004&lt;&gt;"",1,0)+IF(ED1004&lt;&gt;"",1,0)+IF(EG1004&lt;&gt;"",1,0)+IF(EH1004&lt;&gt;"",1,0)</f>
        <v/>
      </c>
      <c r="AZ1004">
        <f>IF(EH1004&lt;&gt;"",1,0)</f>
        <v/>
      </c>
      <c r="BB1004" t="inlineStr">
        <is>
          <t>WARREN-WARD 4</t>
        </is>
      </c>
    </row>
    <row r="1005">
      <c r="A1005" t="inlineStr">
        <is>
          <t>OH0021776783</t>
        </is>
      </c>
      <c r="B1005" t="n">
        <v>78</v>
      </c>
      <c r="C1005" t="n">
        <v>387029</v>
      </c>
      <c r="D1005" t="inlineStr">
        <is>
          <t>MANN</t>
        </is>
      </c>
      <c r="E1005" t="inlineStr">
        <is>
          <t>CLARENCE</t>
        </is>
      </c>
      <c r="F1005">
        <f>CONCATENATE(D1005," ",LEFT(H1005,4),"T=",AU1005,"D=",AV1005,"R=",AW1005,"M=",AX1005,"L=",AY1005,"B=",AZ1005)</f>
        <v/>
      </c>
      <c r="G1005" t="inlineStr">
        <is>
          <t>CRAIG</t>
        </is>
      </c>
      <c r="H1005" t="inlineStr">
        <is>
          <t>JR</t>
        </is>
      </c>
      <c r="I1005" t="inlineStr">
        <is>
          <t>1980-04-25</t>
        </is>
      </c>
      <c r="J1005" t="inlineStr">
        <is>
          <t>2016-05-13</t>
        </is>
      </c>
      <c r="K1005" t="inlineStr">
        <is>
          <t>ACTIVE</t>
        </is>
      </c>
      <c r="M1005" t="inlineStr">
        <is>
          <t>722 LAIRD AVE SE</t>
        </is>
      </c>
      <c r="N1005">
        <f>RIGHT(M1005,LEN(M1005)-FIND(" ",M1005))</f>
        <v/>
      </c>
      <c r="P1005" t="inlineStr">
        <is>
          <t>WARREN</t>
        </is>
      </c>
      <c r="Q1005" t="inlineStr">
        <is>
          <t>OH</t>
        </is>
      </c>
      <c r="R1005" t="n">
        <v>44484</v>
      </c>
      <c r="AD1005" t="inlineStr">
        <is>
          <t>TRUMBULL CAREER &amp; TECH CENTER</t>
        </is>
      </c>
      <c r="AE1005" t="inlineStr">
        <is>
          <t>WARREN CITY</t>
        </is>
      </c>
      <c r="AF1005" t="inlineStr">
        <is>
          <t>WARREN CITY SD</t>
        </is>
      </c>
      <c r="AH1005" t="n">
        <v>14</v>
      </c>
      <c r="AI1005" t="n">
        <v>11</v>
      </c>
      <c r="AN1005" t="inlineStr">
        <is>
          <t>WARREN</t>
        </is>
      </c>
      <c r="AO1005" t="inlineStr">
        <is>
          <t>WARREN CITY 4A</t>
        </is>
      </c>
      <c r="AP1005" t="inlineStr">
        <is>
          <t>78-P-ADI</t>
        </is>
      </c>
      <c r="AQ1005" t="n">
        <v>9</v>
      </c>
      <c r="AR1005" t="n">
        <v>64</v>
      </c>
      <c r="AS1005" t="n">
        <v>32</v>
      </c>
      <c r="AU1005">
        <f>COUNTA($BA$1005:$EH$1005)</f>
        <v/>
      </c>
      <c r="AV1005">
        <f>COUNTIF($BA$1005:$EH$1005,"D")</f>
        <v/>
      </c>
      <c r="AW1005">
        <f>COUNTIF($BA$1005:$EH$1005,"R")</f>
        <v/>
      </c>
      <c r="AX1005">
        <f>IF(BN1005="D",1,0)+IF(BO1005="D",1,0)+IF(BT1005="D",1,0)+IF(BU1005="D",1,0)+IF(BW1005="D",1,0)+IF(CC1005="D",1,0)+IF(CD1005="D",1,0)+IF(CE1005="D",1,0)+IF(CF1005="D",1,0)+IF(CL1005="D",1,0)+IF(CM1005="D",1,0)+IF(CQ1005="D",1,0)+IF(CR1005="D",1,0)+IF(CS1005="D",1,0)+IF(CW1005="D",1,0)+IF(CX1005="D",1,0)+IF(DD1005="D",1,0)+IF(DE1005="D",1,0)+IF(DJ1005="D",1,0)+IF(DK1005="D",1,0)+IF(DO1005="D",1,0)+IF(DP1005="D",1,0)+IF(DQ1005="D",1,0)+IF(DW1005="D",1,0)+IF(DZ1005="D",1,0)+IF(EH1005="D",1,0)</f>
        <v/>
      </c>
      <c r="AY1005">
        <f>IF(DJ1005&lt;&gt;"",1,0)+IF(DK1005&lt;&gt;"",1,0)+IF(DM1005&lt;&gt;"",1,0)+IF(DO1005&lt;&gt;"",1,0)+IF(DP1005&lt;&gt;"",1,0)+IF(DQ1005&lt;&gt;"",1,0)+IF(DS1005&lt;&gt;"",1,0)+IF(DT1005&lt;&gt;"",1,0)+IF(DV1005&lt;&gt;"",1,0)+IF(DW1005&lt;&gt;"",1,0)+IF(DX1005&lt;&gt;"",1,0)+IF(DY1005&lt;&gt;"",1,0)+IF(DZ1005&lt;&gt;"",1,0)+IF(EB1005&lt;&gt;"",1,0)+IF(EC1005&lt;&gt;"",1,0)+IF(ED1005&lt;&gt;"",1,0)+IF(EG1005&lt;&gt;"",1,0)+IF(EH1005&lt;&gt;"",1,0)</f>
        <v/>
      </c>
      <c r="AZ1005">
        <f>IF(EH1005&lt;&gt;"",1,0)</f>
        <v/>
      </c>
      <c r="BB1005" t="inlineStr">
        <is>
          <t>WARREN-WARD 4</t>
        </is>
      </c>
      <c r="DC1005" t="inlineStr">
        <is>
          <t>X</t>
        </is>
      </c>
      <c r="DG1005" t="inlineStr">
        <is>
          <t>R</t>
        </is>
      </c>
      <c r="DI1005" t="inlineStr">
        <is>
          <t>X</t>
        </is>
      </c>
      <c r="DN1005" t="inlineStr">
        <is>
          <t>X</t>
        </is>
      </c>
      <c r="EA1005" t="inlineStr">
        <is>
          <t>X</t>
        </is>
      </c>
      <c r="EF1005" t="inlineStr">
        <is>
          <t>X</t>
        </is>
      </c>
    </row>
    <row r="1006">
      <c r="A1006" t="inlineStr">
        <is>
          <t>OH0027245206</t>
        </is>
      </c>
      <c r="B1006" t="n">
        <v>78</v>
      </c>
      <c r="C1006" t="n">
        <v>483298</v>
      </c>
      <c r="D1006" t="inlineStr">
        <is>
          <t>MOSCHELL</t>
        </is>
      </c>
      <c r="E1006" t="inlineStr">
        <is>
          <t>JONATHAN</t>
        </is>
      </c>
      <c r="F1006">
        <f>CONCATENATE(D1006," ",LEFT(H1006,4),"T=",AU1006,"D=",AV1006,"R=",AW1006,"M=",AX1006,"L=",AY1006,"B=",AZ1006)</f>
        <v/>
      </c>
      <c r="G1006" t="inlineStr">
        <is>
          <t>ALEXANDER</t>
        </is>
      </c>
      <c r="I1006" t="inlineStr">
        <is>
          <t>2005-08-25</t>
        </is>
      </c>
      <c r="J1006" t="inlineStr">
        <is>
          <t>2024-02-07</t>
        </is>
      </c>
      <c r="K1006" t="inlineStr">
        <is>
          <t>ACTIVE</t>
        </is>
      </c>
      <c r="M1006" t="inlineStr">
        <is>
          <t>1842 E MARKET ST</t>
        </is>
      </c>
      <c r="N1006">
        <f>RIGHT(M1006,LEN(M1006)-FIND(" ",M1006))</f>
        <v/>
      </c>
      <c r="P1006" t="inlineStr">
        <is>
          <t>WARREN</t>
        </is>
      </c>
      <c r="Q1006" t="inlineStr">
        <is>
          <t>OH</t>
        </is>
      </c>
      <c r="R1006" t="n">
        <v>44483</v>
      </c>
      <c r="AD1006" t="inlineStr">
        <is>
          <t>TRUMBULL CAREER &amp; TECH CENTER</t>
        </is>
      </c>
      <c r="AE1006" t="inlineStr">
        <is>
          <t>WARREN CITY</t>
        </is>
      </c>
      <c r="AF1006" t="inlineStr">
        <is>
          <t>WARREN CITY SD</t>
        </is>
      </c>
      <c r="AH1006" t="n">
        <v>14</v>
      </c>
      <c r="AI1006" t="n">
        <v>11</v>
      </c>
      <c r="AN1006" t="inlineStr">
        <is>
          <t>WARREN</t>
        </is>
      </c>
      <c r="AO1006" t="inlineStr">
        <is>
          <t>WARREN CITY 4A</t>
        </is>
      </c>
      <c r="AP1006" t="inlineStr">
        <is>
          <t>78-P-ADI</t>
        </is>
      </c>
      <c r="AQ1006" t="n">
        <v>9</v>
      </c>
      <c r="AR1006" t="n">
        <v>64</v>
      </c>
      <c r="AS1006" t="n">
        <v>32</v>
      </c>
      <c r="AU1006">
        <f>COUNTA($BA$1006:$EH$1006)</f>
        <v/>
      </c>
      <c r="AV1006">
        <f>COUNTIF($BA$1006:$EH$1006,"D")</f>
        <v/>
      </c>
      <c r="AW1006">
        <f>COUNTIF($BA$1006:$EH$1006,"R")</f>
        <v/>
      </c>
      <c r="AX1006">
        <f>IF(BN1006="D",1,0)+IF(BO1006="D",1,0)+IF(BT1006="D",1,0)+IF(BU1006="D",1,0)+IF(BW1006="D",1,0)+IF(CC1006="D",1,0)+IF(CD1006="D",1,0)+IF(CE1006="D",1,0)+IF(CF1006="D",1,0)+IF(CL1006="D",1,0)+IF(CM1006="D",1,0)+IF(CQ1006="D",1,0)+IF(CR1006="D",1,0)+IF(CS1006="D",1,0)+IF(CW1006="D",1,0)+IF(CX1006="D",1,0)+IF(DD1006="D",1,0)+IF(DE1006="D",1,0)+IF(DJ1006="D",1,0)+IF(DK1006="D",1,0)+IF(DO1006="D",1,0)+IF(DP1006="D",1,0)+IF(DQ1006="D",1,0)+IF(DW1006="D",1,0)+IF(DZ1006="D",1,0)+IF(EH1006="D",1,0)</f>
        <v/>
      </c>
      <c r="AY1006">
        <f>IF(DJ1006&lt;&gt;"",1,0)+IF(DK1006&lt;&gt;"",1,0)+IF(DM1006&lt;&gt;"",1,0)+IF(DO1006&lt;&gt;"",1,0)+IF(DP1006&lt;&gt;"",1,0)+IF(DQ1006&lt;&gt;"",1,0)+IF(DS1006&lt;&gt;"",1,0)+IF(DT1006&lt;&gt;"",1,0)+IF(DV1006&lt;&gt;"",1,0)+IF(DW1006&lt;&gt;"",1,0)+IF(DX1006&lt;&gt;"",1,0)+IF(DY1006&lt;&gt;"",1,0)+IF(DZ1006&lt;&gt;"",1,0)+IF(EB1006&lt;&gt;"",1,0)+IF(EC1006&lt;&gt;"",1,0)+IF(ED1006&lt;&gt;"",1,0)+IF(EG1006&lt;&gt;"",1,0)+IF(EH1006&lt;&gt;"",1,0)</f>
        <v/>
      </c>
      <c r="AZ1006">
        <f>IF(EH1006&lt;&gt;"",1,0)</f>
        <v/>
      </c>
      <c r="BB1006" t="inlineStr">
        <is>
          <t>WARREN-WARD 4</t>
        </is>
      </c>
      <c r="EF1006" t="inlineStr">
        <is>
          <t>X</t>
        </is>
      </c>
    </row>
    <row r="1007">
      <c r="A1007" t="inlineStr">
        <is>
          <t>OH0023271935</t>
        </is>
      </c>
      <c r="B1007" t="n">
        <v>78</v>
      </c>
      <c r="C1007" t="n">
        <v>409523</v>
      </c>
      <c r="D1007" t="inlineStr">
        <is>
          <t>HUNT</t>
        </is>
      </c>
      <c r="E1007" t="inlineStr">
        <is>
          <t>ANDREW</t>
        </is>
      </c>
      <c r="F1007">
        <f>CONCATENATE(D1007," ",LEFT(H1007,4),"T=",AU1007,"D=",AV1007,"R=",AW1007,"M=",AX1007,"L=",AY1007,"B=",AZ1007)</f>
        <v/>
      </c>
      <c r="G1007" t="inlineStr">
        <is>
          <t>PAUL</t>
        </is>
      </c>
      <c r="I1007" t="inlineStr">
        <is>
          <t>1990-09-09</t>
        </is>
      </c>
      <c r="J1007" t="inlineStr">
        <is>
          <t>2022-11-30</t>
        </is>
      </c>
      <c r="K1007" t="inlineStr">
        <is>
          <t>ACTIVE</t>
        </is>
      </c>
      <c r="M1007" t="inlineStr">
        <is>
          <t>725 OAK KNOLL AVE SE</t>
        </is>
      </c>
      <c r="N1007">
        <f>RIGHT(M1007,LEN(M1007)-FIND(" ",M1007))</f>
        <v/>
      </c>
      <c r="P1007" t="inlineStr">
        <is>
          <t>WARREN</t>
        </is>
      </c>
      <c r="Q1007" t="inlineStr">
        <is>
          <t>OH</t>
        </is>
      </c>
      <c r="R1007" t="n">
        <v>44484</v>
      </c>
      <c r="AD1007" t="inlineStr">
        <is>
          <t>TRUMBULL CAREER &amp; TECH CENTER</t>
        </is>
      </c>
      <c r="AE1007" t="inlineStr">
        <is>
          <t>WARREN CITY</t>
        </is>
      </c>
      <c r="AF1007" t="inlineStr">
        <is>
          <t>WARREN CITY SD</t>
        </is>
      </c>
      <c r="AH1007" t="n">
        <v>14</v>
      </c>
      <c r="AI1007" t="n">
        <v>11</v>
      </c>
      <c r="AN1007" t="inlineStr">
        <is>
          <t>WARREN</t>
        </is>
      </c>
      <c r="AO1007" t="inlineStr">
        <is>
          <t>WARREN CITY 4A</t>
        </is>
      </c>
      <c r="AP1007" t="inlineStr">
        <is>
          <t>78-P-ADI</t>
        </is>
      </c>
      <c r="AQ1007" t="n">
        <v>9</v>
      </c>
      <c r="AR1007" t="n">
        <v>64</v>
      </c>
      <c r="AS1007" t="n">
        <v>32</v>
      </c>
      <c r="AU1007">
        <f>COUNTA($BA$1007:$EH$1007)</f>
        <v/>
      </c>
      <c r="AV1007">
        <f>COUNTIF($BA$1007:$EH$1007,"D")</f>
        <v/>
      </c>
      <c r="AW1007">
        <f>COUNTIF($BA$1007:$EH$1007,"R")</f>
        <v/>
      </c>
      <c r="AX1007">
        <f>IF(BN1007="D",1,0)+IF(BO1007="D",1,0)+IF(BT1007="D",1,0)+IF(BU1007="D",1,0)+IF(BW1007="D",1,0)+IF(CC1007="D",1,0)+IF(CD1007="D",1,0)+IF(CE1007="D",1,0)+IF(CF1007="D",1,0)+IF(CL1007="D",1,0)+IF(CM1007="D",1,0)+IF(CQ1007="D",1,0)+IF(CR1007="D",1,0)+IF(CS1007="D",1,0)+IF(CW1007="D",1,0)+IF(CX1007="D",1,0)+IF(DD1007="D",1,0)+IF(DE1007="D",1,0)+IF(DJ1007="D",1,0)+IF(DK1007="D",1,0)+IF(DO1007="D",1,0)+IF(DP1007="D",1,0)+IF(DQ1007="D",1,0)+IF(DW1007="D",1,0)+IF(DZ1007="D",1,0)+IF(EH1007="D",1,0)</f>
        <v/>
      </c>
      <c r="AY1007">
        <f>IF(DJ1007&lt;&gt;"",1,0)+IF(DK1007&lt;&gt;"",1,0)+IF(DM1007&lt;&gt;"",1,0)+IF(DO1007&lt;&gt;"",1,0)+IF(DP1007&lt;&gt;"",1,0)+IF(DQ1007&lt;&gt;"",1,0)+IF(DS1007&lt;&gt;"",1,0)+IF(DT1007&lt;&gt;"",1,0)+IF(DV1007&lt;&gt;"",1,0)+IF(DW1007&lt;&gt;"",1,0)+IF(DX1007&lt;&gt;"",1,0)+IF(DY1007&lt;&gt;"",1,0)+IF(DZ1007&lt;&gt;"",1,0)+IF(EB1007&lt;&gt;"",1,0)+IF(EC1007&lt;&gt;"",1,0)+IF(ED1007&lt;&gt;"",1,0)+IF(EG1007&lt;&gt;"",1,0)+IF(EH1007&lt;&gt;"",1,0)</f>
        <v/>
      </c>
      <c r="AZ1007">
        <f>IF(EH1007&lt;&gt;"",1,0)</f>
        <v/>
      </c>
      <c r="BB1007" t="inlineStr">
        <is>
          <t>WARREN-WARD 4</t>
        </is>
      </c>
      <c r="CZ1007" t="inlineStr">
        <is>
          <t>D</t>
        </is>
      </c>
      <c r="DC1007" t="inlineStr">
        <is>
          <t>X</t>
        </is>
      </c>
      <c r="DI1007" t="inlineStr">
        <is>
          <t>X</t>
        </is>
      </c>
      <c r="DN1007" t="inlineStr">
        <is>
          <t>X</t>
        </is>
      </c>
      <c r="DU1007" t="inlineStr">
        <is>
          <t>X</t>
        </is>
      </c>
      <c r="DX1007" t="inlineStr">
        <is>
          <t>X</t>
        </is>
      </c>
      <c r="EA1007" t="inlineStr">
        <is>
          <t>X</t>
        </is>
      </c>
      <c r="EF1007" t="inlineStr">
        <is>
          <t>X</t>
        </is>
      </c>
    </row>
    <row r="1008">
      <c r="A1008" t="inlineStr">
        <is>
          <t>OH0021816310</t>
        </is>
      </c>
      <c r="B1008" t="n">
        <v>78</v>
      </c>
      <c r="C1008" t="n">
        <v>387810</v>
      </c>
      <c r="D1008" t="inlineStr">
        <is>
          <t>BROWN</t>
        </is>
      </c>
      <c r="E1008" t="inlineStr">
        <is>
          <t>ERICAL</t>
        </is>
      </c>
      <c r="F1008">
        <f>CONCATENATE(D1008," ",LEFT(H1008,4),"T=",AU1008,"D=",AV1008,"R=",AW1008,"M=",AX1008,"L=",AY1008,"B=",AZ1008)</f>
        <v/>
      </c>
      <c r="G1008" t="inlineStr">
        <is>
          <t>S</t>
        </is>
      </c>
      <c r="I1008" t="inlineStr">
        <is>
          <t>1974-10-14</t>
        </is>
      </c>
      <c r="J1008" t="inlineStr">
        <is>
          <t>2023-10-04</t>
        </is>
      </c>
      <c r="K1008" t="inlineStr">
        <is>
          <t>ACTIVE</t>
        </is>
      </c>
      <c r="M1008" t="inlineStr">
        <is>
          <t>367 LAIRD AVE SE</t>
        </is>
      </c>
      <c r="N1008">
        <f>RIGHT(M1008,LEN(M1008)-FIND(" ",M1008))</f>
        <v/>
      </c>
      <c r="P1008" t="inlineStr">
        <is>
          <t>WARREN</t>
        </is>
      </c>
      <c r="Q1008" t="inlineStr">
        <is>
          <t>OH</t>
        </is>
      </c>
      <c r="R1008" t="n">
        <v>44483</v>
      </c>
      <c r="AD1008" t="inlineStr">
        <is>
          <t>TRUMBULL CAREER &amp; TECH CENTER</t>
        </is>
      </c>
      <c r="AE1008" t="inlineStr">
        <is>
          <t>WARREN CITY</t>
        </is>
      </c>
      <c r="AF1008" t="inlineStr">
        <is>
          <t>WARREN CITY SD</t>
        </is>
      </c>
      <c r="AH1008" t="n">
        <v>14</v>
      </c>
      <c r="AI1008" t="n">
        <v>11</v>
      </c>
      <c r="AN1008" t="inlineStr">
        <is>
          <t>WARREN</t>
        </is>
      </c>
      <c r="AO1008" t="inlineStr">
        <is>
          <t>WARREN CITY 4A</t>
        </is>
      </c>
      <c r="AP1008" t="inlineStr">
        <is>
          <t>78-P-ADI</t>
        </is>
      </c>
      <c r="AQ1008" t="n">
        <v>9</v>
      </c>
      <c r="AR1008" t="n">
        <v>64</v>
      </c>
      <c r="AS1008" t="n">
        <v>32</v>
      </c>
      <c r="AU1008">
        <f>COUNTA($BA$1008:$EH$1008)</f>
        <v/>
      </c>
      <c r="AV1008">
        <f>COUNTIF($BA$1008:$EH$1008,"D")</f>
        <v/>
      </c>
      <c r="AW1008">
        <f>COUNTIF($BA$1008:$EH$1008,"R")</f>
        <v/>
      </c>
      <c r="AX1008">
        <f>IF(BN1008="D",1,0)+IF(BO1008="D",1,0)+IF(BT1008="D",1,0)+IF(BU1008="D",1,0)+IF(BW1008="D",1,0)+IF(CC1008="D",1,0)+IF(CD1008="D",1,0)+IF(CE1008="D",1,0)+IF(CF1008="D",1,0)+IF(CL1008="D",1,0)+IF(CM1008="D",1,0)+IF(CQ1008="D",1,0)+IF(CR1008="D",1,0)+IF(CS1008="D",1,0)+IF(CW1008="D",1,0)+IF(CX1008="D",1,0)+IF(DD1008="D",1,0)+IF(DE1008="D",1,0)+IF(DJ1008="D",1,0)+IF(DK1008="D",1,0)+IF(DO1008="D",1,0)+IF(DP1008="D",1,0)+IF(DQ1008="D",1,0)+IF(DW1008="D",1,0)+IF(DZ1008="D",1,0)+IF(EH1008="D",1,0)</f>
        <v/>
      </c>
      <c r="AY1008">
        <f>IF(DJ1008&lt;&gt;"",1,0)+IF(DK1008&lt;&gt;"",1,0)+IF(DM1008&lt;&gt;"",1,0)+IF(DO1008&lt;&gt;"",1,0)+IF(DP1008&lt;&gt;"",1,0)+IF(DQ1008&lt;&gt;"",1,0)+IF(DS1008&lt;&gt;"",1,0)+IF(DT1008&lt;&gt;"",1,0)+IF(DV1008&lt;&gt;"",1,0)+IF(DW1008&lt;&gt;"",1,0)+IF(DX1008&lt;&gt;"",1,0)+IF(DY1008&lt;&gt;"",1,0)+IF(DZ1008&lt;&gt;"",1,0)+IF(EB1008&lt;&gt;"",1,0)+IF(EC1008&lt;&gt;"",1,0)+IF(ED1008&lt;&gt;"",1,0)+IF(EG1008&lt;&gt;"",1,0)+IF(EH1008&lt;&gt;"",1,0)</f>
        <v/>
      </c>
      <c r="AZ1008">
        <f>IF(EH1008&lt;&gt;"",1,0)</f>
        <v/>
      </c>
      <c r="BB1008" t="inlineStr">
        <is>
          <t>WARREN-WARD 4</t>
        </is>
      </c>
      <c r="CK1008" t="inlineStr">
        <is>
          <t>X</t>
        </is>
      </c>
      <c r="CP1008" t="inlineStr">
        <is>
          <t>X</t>
        </is>
      </c>
      <c r="DC1008" t="inlineStr">
        <is>
          <t>X</t>
        </is>
      </c>
    </row>
    <row r="1009">
      <c r="A1009" t="inlineStr">
        <is>
          <t>OH0015802847</t>
        </is>
      </c>
      <c r="B1009" t="n">
        <v>78</v>
      </c>
      <c r="C1009" t="n">
        <v>91878</v>
      </c>
      <c r="D1009" t="inlineStr">
        <is>
          <t>SWEET</t>
        </is>
      </c>
      <c r="E1009" t="inlineStr">
        <is>
          <t>JAMES</t>
        </is>
      </c>
      <c r="F1009">
        <f>CONCATENATE(D1009," ",LEFT(H1009,4),"T=",AU1009,"D=",AV1009,"R=",AW1009,"M=",AX1009,"L=",AY1009,"B=",AZ1009)</f>
        <v/>
      </c>
      <c r="G1009" t="inlineStr">
        <is>
          <t>F</t>
        </is>
      </c>
      <c r="I1009" t="inlineStr">
        <is>
          <t>1940-11-20</t>
        </is>
      </c>
      <c r="J1009" t="inlineStr">
        <is>
          <t>1962-03-28</t>
        </is>
      </c>
      <c r="K1009" t="inlineStr">
        <is>
          <t>ACTIVE</t>
        </is>
      </c>
      <c r="L1009" t="inlineStr">
        <is>
          <t>D</t>
        </is>
      </c>
      <c r="M1009" t="inlineStr">
        <is>
          <t>399 KENILWORTH AVE SE</t>
        </is>
      </c>
      <c r="N1009">
        <f>RIGHT(M1009,LEN(M1009)-FIND(" ",M1009))</f>
        <v/>
      </c>
      <c r="P1009" t="inlineStr">
        <is>
          <t>WARREN</t>
        </is>
      </c>
      <c r="Q1009" t="inlineStr">
        <is>
          <t>OH</t>
        </is>
      </c>
      <c r="R1009" t="n">
        <v>44483</v>
      </c>
      <c r="AD1009" t="inlineStr">
        <is>
          <t>TRUMBULL CAREER &amp; TECH CENTER</t>
        </is>
      </c>
      <c r="AE1009" t="inlineStr">
        <is>
          <t>WARREN CITY</t>
        </is>
      </c>
      <c r="AF1009" t="inlineStr">
        <is>
          <t>WARREN CITY SD</t>
        </is>
      </c>
      <c r="AH1009" t="n">
        <v>14</v>
      </c>
      <c r="AI1009" t="n">
        <v>11</v>
      </c>
      <c r="AN1009" t="inlineStr">
        <is>
          <t>WARREN</t>
        </is>
      </c>
      <c r="AO1009" t="inlineStr">
        <is>
          <t>WARREN CITY 4A</t>
        </is>
      </c>
      <c r="AP1009" t="inlineStr">
        <is>
          <t>78-P-ADI</t>
        </is>
      </c>
      <c r="AQ1009" t="n">
        <v>9</v>
      </c>
      <c r="AR1009" t="n">
        <v>64</v>
      </c>
      <c r="AS1009" t="n">
        <v>32</v>
      </c>
      <c r="AU1009">
        <f>COUNTA($BA$1009:$EH$1009)</f>
        <v/>
      </c>
      <c r="AV1009">
        <f>COUNTIF($BA$1009:$EH$1009,"D")</f>
        <v/>
      </c>
      <c r="AW1009">
        <f>COUNTIF($BA$1009:$EH$1009,"R")</f>
        <v/>
      </c>
      <c r="AX1009">
        <f>IF(BN1009="D",1,0)+IF(BO1009="D",1,0)+IF(BT1009="D",1,0)+IF(BU1009="D",1,0)+IF(BW1009="D",1,0)+IF(CC1009="D",1,0)+IF(CD1009="D",1,0)+IF(CE1009="D",1,0)+IF(CF1009="D",1,0)+IF(CL1009="D",1,0)+IF(CM1009="D",1,0)+IF(CQ1009="D",1,0)+IF(CR1009="D",1,0)+IF(CS1009="D",1,0)+IF(CW1009="D",1,0)+IF(CX1009="D",1,0)+IF(DD1009="D",1,0)+IF(DE1009="D",1,0)+IF(DJ1009="D",1,0)+IF(DK1009="D",1,0)+IF(DO1009="D",1,0)+IF(DP1009="D",1,0)+IF(DQ1009="D",1,0)+IF(DW1009="D",1,0)+IF(DZ1009="D",1,0)+IF(EH1009="D",1,0)</f>
        <v/>
      </c>
      <c r="AY1009">
        <f>IF(DJ1009&lt;&gt;"",1,0)+IF(DK1009&lt;&gt;"",1,0)+IF(DM1009&lt;&gt;"",1,0)+IF(DO1009&lt;&gt;"",1,0)+IF(DP1009&lt;&gt;"",1,0)+IF(DQ1009&lt;&gt;"",1,0)+IF(DS1009&lt;&gt;"",1,0)+IF(DT1009&lt;&gt;"",1,0)+IF(DV1009&lt;&gt;"",1,0)+IF(DW1009&lt;&gt;"",1,0)+IF(DX1009&lt;&gt;"",1,0)+IF(DY1009&lt;&gt;"",1,0)+IF(DZ1009&lt;&gt;"",1,0)+IF(EB1009&lt;&gt;"",1,0)+IF(EC1009&lt;&gt;"",1,0)+IF(ED1009&lt;&gt;"",1,0)+IF(EG1009&lt;&gt;"",1,0)+IF(EH1009&lt;&gt;"",1,0)</f>
        <v/>
      </c>
      <c r="AZ1009">
        <f>IF(EH1009&lt;&gt;"",1,0)</f>
        <v/>
      </c>
      <c r="BB1009" t="inlineStr">
        <is>
          <t>WARREN-WARD 4</t>
        </is>
      </c>
      <c r="BC1009" t="inlineStr">
        <is>
          <t>X</t>
        </is>
      </c>
      <c r="BD1009" t="inlineStr">
        <is>
          <t>X</t>
        </is>
      </c>
      <c r="BE1009" t="inlineStr">
        <is>
          <t>X</t>
        </is>
      </c>
      <c r="BF1009" t="inlineStr">
        <is>
          <t>X</t>
        </is>
      </c>
      <c r="BG1009" t="inlineStr">
        <is>
          <t>X</t>
        </is>
      </c>
      <c r="BH1009" t="inlineStr">
        <is>
          <t>X</t>
        </is>
      </c>
      <c r="BI1009" t="inlineStr">
        <is>
          <t>X</t>
        </is>
      </c>
      <c r="BJ1009" t="inlineStr">
        <is>
          <t>X</t>
        </is>
      </c>
      <c r="BK1009" t="inlineStr">
        <is>
          <t>X</t>
        </is>
      </c>
      <c r="BL1009" t="inlineStr">
        <is>
          <t>X</t>
        </is>
      </c>
      <c r="BP1009" t="inlineStr">
        <is>
          <t>X</t>
        </is>
      </c>
      <c r="BR1009" t="inlineStr">
        <is>
          <t>X</t>
        </is>
      </c>
      <c r="BS1009" t="inlineStr">
        <is>
          <t>X</t>
        </is>
      </c>
      <c r="BT1009" t="inlineStr">
        <is>
          <t>X</t>
        </is>
      </c>
      <c r="BV1009" t="inlineStr">
        <is>
          <t>X</t>
        </is>
      </c>
      <c r="BY1009" t="inlineStr">
        <is>
          <t>D</t>
        </is>
      </c>
      <c r="CA1009" t="inlineStr">
        <is>
          <t>X</t>
        </is>
      </c>
      <c r="CC1009" t="inlineStr">
        <is>
          <t>D</t>
        </is>
      </c>
      <c r="CG1009" t="inlineStr">
        <is>
          <t>X</t>
        </is>
      </c>
      <c r="CH1009" t="inlineStr">
        <is>
          <t>D</t>
        </is>
      </c>
      <c r="CK1009" t="inlineStr">
        <is>
          <t>X</t>
        </is>
      </c>
      <c r="CL1009" t="inlineStr">
        <is>
          <t>D</t>
        </is>
      </c>
      <c r="CN1009" t="inlineStr">
        <is>
          <t>X</t>
        </is>
      </c>
      <c r="CO1009" t="inlineStr">
        <is>
          <t>D</t>
        </is>
      </c>
      <c r="CP1009" t="inlineStr">
        <is>
          <t>X</t>
        </is>
      </c>
      <c r="CQ1009" t="inlineStr">
        <is>
          <t>D</t>
        </is>
      </c>
      <c r="CT1009" t="inlineStr">
        <is>
          <t>X</t>
        </is>
      </c>
      <c r="CU1009" t="inlineStr">
        <is>
          <t>D</t>
        </is>
      </c>
      <c r="CV1009" t="inlineStr">
        <is>
          <t>X</t>
        </is>
      </c>
      <c r="CW1009" t="inlineStr">
        <is>
          <t>D</t>
        </is>
      </c>
      <c r="CY1009" t="inlineStr">
        <is>
          <t>X</t>
        </is>
      </c>
      <c r="CZ1009" t="inlineStr">
        <is>
          <t>D</t>
        </is>
      </c>
      <c r="DC1009" t="inlineStr">
        <is>
          <t>X</t>
        </is>
      </c>
      <c r="DD1009" t="inlineStr">
        <is>
          <t>D</t>
        </is>
      </c>
      <c r="DF1009" t="inlineStr">
        <is>
          <t>X</t>
        </is>
      </c>
      <c r="DG1009" t="inlineStr">
        <is>
          <t>D</t>
        </is>
      </c>
      <c r="DI1009" t="inlineStr">
        <is>
          <t>X</t>
        </is>
      </c>
      <c r="DJ1009" t="inlineStr">
        <is>
          <t>D</t>
        </is>
      </c>
      <c r="DL1009" t="inlineStr">
        <is>
          <t>X</t>
        </is>
      </c>
      <c r="DM1009" t="inlineStr">
        <is>
          <t>D</t>
        </is>
      </c>
      <c r="DN1009" t="inlineStr">
        <is>
          <t>X</t>
        </is>
      </c>
      <c r="DR1009" t="inlineStr">
        <is>
          <t>X</t>
        </is>
      </c>
      <c r="DS1009" t="inlineStr">
        <is>
          <t>D</t>
        </is>
      </c>
      <c r="DT1009" t="inlineStr">
        <is>
          <t>D</t>
        </is>
      </c>
      <c r="DU1009" t="inlineStr">
        <is>
          <t>X</t>
        </is>
      </c>
      <c r="DW1009" t="inlineStr">
        <is>
          <t>D</t>
        </is>
      </c>
      <c r="DX1009" t="inlineStr">
        <is>
          <t>X</t>
        </is>
      </c>
      <c r="EA1009" t="inlineStr">
        <is>
          <t>X</t>
        </is>
      </c>
      <c r="ED1009" t="inlineStr">
        <is>
          <t>D</t>
        </is>
      </c>
      <c r="EF1009" t="inlineStr">
        <is>
          <t>X</t>
        </is>
      </c>
      <c r="EH1009" t="inlineStr">
        <is>
          <t>D</t>
        </is>
      </c>
    </row>
    <row r="1010">
      <c r="A1010" t="inlineStr">
        <is>
          <t>OH0015769118</t>
        </is>
      </c>
      <c r="B1010" t="n">
        <v>78</v>
      </c>
      <c r="C1010" t="n">
        <v>25904</v>
      </c>
      <c r="D1010" t="inlineStr">
        <is>
          <t>LEE</t>
        </is>
      </c>
      <c r="E1010" t="inlineStr">
        <is>
          <t>ALBERTA</t>
        </is>
      </c>
      <c r="F1010">
        <f>CONCATENATE(D1010," ",LEFT(H1010,4),"T=",AU1010,"D=",AV1010,"R=",AW1010,"M=",AX1010,"L=",AY1010,"B=",AZ1010)</f>
        <v/>
      </c>
      <c r="I1010" t="inlineStr">
        <is>
          <t>1942-11-20</t>
        </is>
      </c>
      <c r="J1010" t="inlineStr">
        <is>
          <t>1972-03-30</t>
        </is>
      </c>
      <c r="K1010" t="inlineStr">
        <is>
          <t>ACTIVE</t>
        </is>
      </c>
      <c r="L1010" t="inlineStr">
        <is>
          <t>D</t>
        </is>
      </c>
      <c r="M1010" t="inlineStr">
        <is>
          <t>811 OAK KNOLL AVE SE</t>
        </is>
      </c>
      <c r="N1010">
        <f>RIGHT(M1010,LEN(M1010)-FIND(" ",M1010))</f>
        <v/>
      </c>
      <c r="P1010" t="inlineStr">
        <is>
          <t>WARREN</t>
        </is>
      </c>
      <c r="Q1010" t="inlineStr">
        <is>
          <t>OH</t>
        </is>
      </c>
      <c r="R1010" t="n">
        <v>44484</v>
      </c>
      <c r="AD1010" t="inlineStr">
        <is>
          <t>TRUMBULL CAREER &amp; TECH CENTER</t>
        </is>
      </c>
      <c r="AE1010" t="inlineStr">
        <is>
          <t>WARREN CITY</t>
        </is>
      </c>
      <c r="AF1010" t="inlineStr">
        <is>
          <t>WARREN CITY SD</t>
        </is>
      </c>
      <c r="AH1010" t="n">
        <v>14</v>
      </c>
      <c r="AI1010" t="n">
        <v>11</v>
      </c>
      <c r="AN1010" t="inlineStr">
        <is>
          <t>WARREN</t>
        </is>
      </c>
      <c r="AO1010" t="inlineStr">
        <is>
          <t>WARREN CITY 4A</t>
        </is>
      </c>
      <c r="AP1010" t="inlineStr">
        <is>
          <t>78-P-ADI</t>
        </is>
      </c>
      <c r="AQ1010" t="n">
        <v>9</v>
      </c>
      <c r="AR1010" t="n">
        <v>64</v>
      </c>
      <c r="AS1010" t="n">
        <v>32</v>
      </c>
      <c r="AU1010">
        <f>COUNTA($BA$1010:$EH$1010)</f>
        <v/>
      </c>
      <c r="AV1010">
        <f>COUNTIF($BA$1010:$EH$1010,"D")</f>
        <v/>
      </c>
      <c r="AW1010">
        <f>COUNTIF($BA$1010:$EH$1010,"R")</f>
        <v/>
      </c>
      <c r="AX1010">
        <f>IF(BN1010="D",1,0)+IF(BO1010="D",1,0)+IF(BT1010="D",1,0)+IF(BU1010="D",1,0)+IF(BW1010="D",1,0)+IF(CC1010="D",1,0)+IF(CD1010="D",1,0)+IF(CE1010="D",1,0)+IF(CF1010="D",1,0)+IF(CL1010="D",1,0)+IF(CM1010="D",1,0)+IF(CQ1010="D",1,0)+IF(CR1010="D",1,0)+IF(CS1010="D",1,0)+IF(CW1010="D",1,0)+IF(CX1010="D",1,0)+IF(DD1010="D",1,0)+IF(DE1010="D",1,0)+IF(DJ1010="D",1,0)+IF(DK1010="D",1,0)+IF(DO1010="D",1,0)+IF(DP1010="D",1,0)+IF(DQ1010="D",1,0)+IF(DW1010="D",1,0)+IF(DZ1010="D",1,0)+IF(EH1010="D",1,0)</f>
        <v/>
      </c>
      <c r="AY1010">
        <f>IF(DJ1010&lt;&gt;"",1,0)+IF(DK1010&lt;&gt;"",1,0)+IF(DM1010&lt;&gt;"",1,0)+IF(DO1010&lt;&gt;"",1,0)+IF(DP1010&lt;&gt;"",1,0)+IF(DQ1010&lt;&gt;"",1,0)+IF(DS1010&lt;&gt;"",1,0)+IF(DT1010&lt;&gt;"",1,0)+IF(DV1010&lt;&gt;"",1,0)+IF(DW1010&lt;&gt;"",1,0)+IF(DX1010&lt;&gt;"",1,0)+IF(DY1010&lt;&gt;"",1,0)+IF(DZ1010&lt;&gt;"",1,0)+IF(EB1010&lt;&gt;"",1,0)+IF(EC1010&lt;&gt;"",1,0)+IF(ED1010&lt;&gt;"",1,0)+IF(EG1010&lt;&gt;"",1,0)+IF(EH1010&lt;&gt;"",1,0)</f>
        <v/>
      </c>
      <c r="AZ1010">
        <f>IF(EH1010&lt;&gt;"",1,0)</f>
        <v/>
      </c>
      <c r="BB1010" t="inlineStr">
        <is>
          <t>WARREN-WARD 4</t>
        </is>
      </c>
      <c r="BC1010" t="inlineStr">
        <is>
          <t>X</t>
        </is>
      </c>
      <c r="BD1010" t="inlineStr">
        <is>
          <t>X</t>
        </is>
      </c>
      <c r="BF1010" t="inlineStr">
        <is>
          <t>X</t>
        </is>
      </c>
      <c r="BG1010" t="inlineStr">
        <is>
          <t>X</t>
        </is>
      </c>
      <c r="BH1010" t="inlineStr">
        <is>
          <t>X</t>
        </is>
      </c>
      <c r="BI1010" t="inlineStr">
        <is>
          <t>X</t>
        </is>
      </c>
      <c r="BJ1010" t="inlineStr">
        <is>
          <t>X</t>
        </is>
      </c>
      <c r="BK1010" t="inlineStr">
        <is>
          <t>X</t>
        </is>
      </c>
      <c r="BL1010" t="inlineStr">
        <is>
          <t>X</t>
        </is>
      </c>
      <c r="BP1010" t="inlineStr">
        <is>
          <t>X</t>
        </is>
      </c>
      <c r="BR1010" t="inlineStr">
        <is>
          <t>X</t>
        </is>
      </c>
      <c r="BS1010" t="inlineStr">
        <is>
          <t>X</t>
        </is>
      </c>
      <c r="BT1010" t="inlineStr">
        <is>
          <t>X</t>
        </is>
      </c>
      <c r="BV1010" t="inlineStr">
        <is>
          <t>X</t>
        </is>
      </c>
      <c r="BY1010" t="inlineStr">
        <is>
          <t>D</t>
        </is>
      </c>
      <c r="CA1010" t="inlineStr">
        <is>
          <t>X</t>
        </is>
      </c>
      <c r="CG1010" t="inlineStr">
        <is>
          <t>X</t>
        </is>
      </c>
      <c r="CH1010" t="inlineStr">
        <is>
          <t>D</t>
        </is>
      </c>
      <c r="CK1010" t="inlineStr">
        <is>
          <t>X</t>
        </is>
      </c>
      <c r="CL1010" t="inlineStr">
        <is>
          <t>D</t>
        </is>
      </c>
      <c r="CN1010" t="inlineStr">
        <is>
          <t>X</t>
        </is>
      </c>
      <c r="CP1010" t="inlineStr">
        <is>
          <t>X</t>
        </is>
      </c>
      <c r="CT1010" t="inlineStr">
        <is>
          <t>X</t>
        </is>
      </c>
      <c r="CU1010" t="inlineStr">
        <is>
          <t>D</t>
        </is>
      </c>
      <c r="CV1010" t="inlineStr">
        <is>
          <t>X</t>
        </is>
      </c>
      <c r="CW1010" t="inlineStr">
        <is>
          <t>D</t>
        </is>
      </c>
      <c r="CY1010" t="inlineStr">
        <is>
          <t>X</t>
        </is>
      </c>
      <c r="CZ1010" t="inlineStr">
        <is>
          <t>D</t>
        </is>
      </c>
      <c r="DC1010" t="inlineStr">
        <is>
          <t>X</t>
        </is>
      </c>
      <c r="DD1010" t="inlineStr">
        <is>
          <t>D</t>
        </is>
      </c>
      <c r="DF1010" t="inlineStr">
        <is>
          <t>X</t>
        </is>
      </c>
      <c r="DG1010" t="inlineStr">
        <is>
          <t>D</t>
        </is>
      </c>
      <c r="DI1010" t="inlineStr">
        <is>
          <t>X</t>
        </is>
      </c>
      <c r="DJ1010" t="inlineStr">
        <is>
          <t>D</t>
        </is>
      </c>
      <c r="DL1010" t="inlineStr">
        <is>
          <t>X</t>
        </is>
      </c>
      <c r="DM1010" t="inlineStr">
        <is>
          <t>D</t>
        </is>
      </c>
      <c r="DN1010" t="inlineStr">
        <is>
          <t>X</t>
        </is>
      </c>
      <c r="DU1010" t="inlineStr">
        <is>
          <t>X</t>
        </is>
      </c>
      <c r="DW1010" t="inlineStr">
        <is>
          <t>D</t>
        </is>
      </c>
    </row>
    <row r="1011">
      <c r="A1011" t="inlineStr">
        <is>
          <t>OH0023710135</t>
        </is>
      </c>
      <c r="B1011" t="n">
        <v>78</v>
      </c>
      <c r="C1011" t="n">
        <v>417091</v>
      </c>
      <c r="D1011" t="inlineStr">
        <is>
          <t>HARMON</t>
        </is>
      </c>
      <c r="E1011" t="inlineStr">
        <is>
          <t>JEFFREY</t>
        </is>
      </c>
      <c r="F1011">
        <f>CONCATENATE(D1011," ",LEFT(H1011,4),"T=",AU1011,"D=",AV1011,"R=",AW1011,"M=",AX1011,"L=",AY1011,"B=",AZ1011)</f>
        <v/>
      </c>
      <c r="G1011" t="inlineStr">
        <is>
          <t>D</t>
        </is>
      </c>
      <c r="I1011" t="inlineStr">
        <is>
          <t>1990-05-01</t>
        </is>
      </c>
      <c r="J1011" t="inlineStr">
        <is>
          <t>2016-06-02</t>
        </is>
      </c>
      <c r="K1011" t="inlineStr">
        <is>
          <t>CONFIRMATION</t>
        </is>
      </c>
      <c r="M1011" t="inlineStr">
        <is>
          <t>1234 E MARKET ST</t>
        </is>
      </c>
      <c r="N1011">
        <f>RIGHT(M1011,LEN(M1011)-FIND(" ",M1011))</f>
        <v/>
      </c>
      <c r="P1011" t="inlineStr">
        <is>
          <t>WARREN</t>
        </is>
      </c>
      <c r="Q1011" t="inlineStr">
        <is>
          <t>OH</t>
        </is>
      </c>
      <c r="R1011" t="n">
        <v>44483</v>
      </c>
      <c r="AD1011" t="inlineStr">
        <is>
          <t>TRUMBULL CAREER &amp; TECH CENTER</t>
        </is>
      </c>
      <c r="AE1011" t="inlineStr">
        <is>
          <t>WARREN CITY</t>
        </is>
      </c>
      <c r="AF1011" t="inlineStr">
        <is>
          <t>WARREN CITY SD</t>
        </is>
      </c>
      <c r="AH1011" t="n">
        <v>14</v>
      </c>
      <c r="AI1011" t="n">
        <v>11</v>
      </c>
      <c r="AN1011" t="inlineStr">
        <is>
          <t>WARREN</t>
        </is>
      </c>
      <c r="AO1011" t="inlineStr">
        <is>
          <t>WARREN CITY 4A</t>
        </is>
      </c>
      <c r="AP1011" t="inlineStr">
        <is>
          <t>78-P-ADI</t>
        </is>
      </c>
      <c r="AQ1011" t="n">
        <v>9</v>
      </c>
      <c r="AR1011" t="n">
        <v>64</v>
      </c>
      <c r="AS1011" t="n">
        <v>32</v>
      </c>
      <c r="AU1011">
        <f>COUNTA($BA$1011:$EH$1011)</f>
        <v/>
      </c>
      <c r="AV1011">
        <f>COUNTIF($BA$1011:$EH$1011,"D")</f>
        <v/>
      </c>
      <c r="AW1011">
        <f>COUNTIF($BA$1011:$EH$1011,"R")</f>
        <v/>
      </c>
      <c r="AX1011">
        <f>IF(BN1011="D",1,0)+IF(BO1011="D",1,0)+IF(BT1011="D",1,0)+IF(BU1011="D",1,0)+IF(BW1011="D",1,0)+IF(CC1011="D",1,0)+IF(CD1011="D",1,0)+IF(CE1011="D",1,0)+IF(CF1011="D",1,0)+IF(CL1011="D",1,0)+IF(CM1011="D",1,0)+IF(CQ1011="D",1,0)+IF(CR1011="D",1,0)+IF(CS1011="D",1,0)+IF(CW1011="D",1,0)+IF(CX1011="D",1,0)+IF(DD1011="D",1,0)+IF(DE1011="D",1,0)+IF(DJ1011="D",1,0)+IF(DK1011="D",1,0)+IF(DO1011="D",1,0)+IF(DP1011="D",1,0)+IF(DQ1011="D",1,0)+IF(DW1011="D",1,0)+IF(DZ1011="D",1,0)+IF(EH1011="D",1,0)</f>
        <v/>
      </c>
      <c r="AY1011">
        <f>IF(DJ1011&lt;&gt;"",1,0)+IF(DK1011&lt;&gt;"",1,0)+IF(DM1011&lt;&gt;"",1,0)+IF(DO1011&lt;&gt;"",1,0)+IF(DP1011&lt;&gt;"",1,0)+IF(DQ1011&lt;&gt;"",1,0)+IF(DS1011&lt;&gt;"",1,0)+IF(DT1011&lt;&gt;"",1,0)+IF(DV1011&lt;&gt;"",1,0)+IF(DW1011&lt;&gt;"",1,0)+IF(DX1011&lt;&gt;"",1,0)+IF(DY1011&lt;&gt;"",1,0)+IF(DZ1011&lt;&gt;"",1,0)+IF(EB1011&lt;&gt;"",1,0)+IF(EC1011&lt;&gt;"",1,0)+IF(ED1011&lt;&gt;"",1,0)+IF(EG1011&lt;&gt;"",1,0)+IF(EH1011&lt;&gt;"",1,0)</f>
        <v/>
      </c>
      <c r="AZ1011">
        <f>IF(EH1011&lt;&gt;"",1,0)</f>
        <v/>
      </c>
      <c r="BB1011" t="inlineStr">
        <is>
          <t>WARREN-WARD 4</t>
        </is>
      </c>
      <c r="CA1011" t="inlineStr">
        <is>
          <t>X</t>
        </is>
      </c>
    </row>
    <row r="1012">
      <c r="A1012" t="inlineStr">
        <is>
          <t>OH0015766850</t>
        </is>
      </c>
      <c r="B1012" t="n">
        <v>78</v>
      </c>
      <c r="C1012" t="n">
        <v>254245</v>
      </c>
      <c r="D1012" t="inlineStr">
        <is>
          <t>WALKER</t>
        </is>
      </c>
      <c r="E1012" t="inlineStr">
        <is>
          <t>DAVID</t>
        </is>
      </c>
      <c r="F1012">
        <f>CONCATENATE(D1012," ",LEFT(H1012,4),"T=",AU1012,"D=",AV1012,"R=",AW1012,"M=",AX1012,"L=",AY1012,"B=",AZ1012)</f>
        <v/>
      </c>
      <c r="G1012" t="inlineStr">
        <is>
          <t>A</t>
        </is>
      </c>
      <c r="H1012" t="inlineStr">
        <is>
          <t>SR</t>
        </is>
      </c>
      <c r="I1012" t="inlineStr">
        <is>
          <t>1966-10-27</t>
        </is>
      </c>
      <c r="J1012" t="inlineStr">
        <is>
          <t>1994-08-28</t>
        </is>
      </c>
      <c r="K1012" t="inlineStr">
        <is>
          <t>ACTIVE</t>
        </is>
      </c>
      <c r="L1012" t="inlineStr">
        <is>
          <t>D</t>
        </is>
      </c>
      <c r="M1012" t="inlineStr">
        <is>
          <t>427 HOMEWOOD AVE SE</t>
        </is>
      </c>
      <c r="N1012">
        <f>RIGHT(M1012,LEN(M1012)-FIND(" ",M1012))</f>
        <v/>
      </c>
      <c r="P1012" t="inlineStr">
        <is>
          <t>WARREN</t>
        </is>
      </c>
      <c r="Q1012" t="inlineStr">
        <is>
          <t>OH</t>
        </is>
      </c>
      <c r="R1012" t="n">
        <v>44483</v>
      </c>
      <c r="S1012" t="n">
        <v>6007</v>
      </c>
      <c r="AD1012" t="inlineStr">
        <is>
          <t>TRUMBULL CAREER &amp; TECH CENTER</t>
        </is>
      </c>
      <c r="AE1012" t="inlineStr">
        <is>
          <t>WARREN CITY</t>
        </is>
      </c>
      <c r="AF1012" t="inlineStr">
        <is>
          <t>WARREN CITY SD</t>
        </is>
      </c>
      <c r="AH1012" t="n">
        <v>14</v>
      </c>
      <c r="AI1012" t="n">
        <v>11</v>
      </c>
      <c r="AN1012" t="inlineStr">
        <is>
          <t>WARREN</t>
        </is>
      </c>
      <c r="AO1012" t="inlineStr">
        <is>
          <t>WARREN CITY 4A</t>
        </is>
      </c>
      <c r="AP1012" t="inlineStr">
        <is>
          <t>78-P-ADI</t>
        </is>
      </c>
      <c r="AQ1012" t="n">
        <v>9</v>
      </c>
      <c r="AR1012" t="n">
        <v>64</v>
      </c>
      <c r="AS1012" t="n">
        <v>32</v>
      </c>
      <c r="AU1012">
        <f>COUNTA($BA$1012:$EH$1012)</f>
        <v/>
      </c>
      <c r="AV1012">
        <f>COUNTIF($BA$1012:$EH$1012,"D")</f>
        <v/>
      </c>
      <c r="AW1012">
        <f>COUNTIF($BA$1012:$EH$1012,"R")</f>
        <v/>
      </c>
      <c r="AX1012">
        <f>IF(BN1012="D",1,0)+IF(BO1012="D",1,0)+IF(BT1012="D",1,0)+IF(BU1012="D",1,0)+IF(BW1012="D",1,0)+IF(CC1012="D",1,0)+IF(CD1012="D",1,0)+IF(CE1012="D",1,0)+IF(CF1012="D",1,0)+IF(CL1012="D",1,0)+IF(CM1012="D",1,0)+IF(CQ1012="D",1,0)+IF(CR1012="D",1,0)+IF(CS1012="D",1,0)+IF(CW1012="D",1,0)+IF(CX1012="D",1,0)+IF(DD1012="D",1,0)+IF(DE1012="D",1,0)+IF(DJ1012="D",1,0)+IF(DK1012="D",1,0)+IF(DO1012="D",1,0)+IF(DP1012="D",1,0)+IF(DQ1012="D",1,0)+IF(DW1012="D",1,0)+IF(DZ1012="D",1,0)+IF(EH1012="D",1,0)</f>
        <v/>
      </c>
      <c r="AY1012">
        <f>IF(DJ1012&lt;&gt;"",1,0)+IF(DK1012&lt;&gt;"",1,0)+IF(DM1012&lt;&gt;"",1,0)+IF(DO1012&lt;&gt;"",1,0)+IF(DP1012&lt;&gt;"",1,0)+IF(DQ1012&lt;&gt;"",1,0)+IF(DS1012&lt;&gt;"",1,0)+IF(DT1012&lt;&gt;"",1,0)+IF(DV1012&lt;&gt;"",1,0)+IF(DW1012&lt;&gt;"",1,0)+IF(DX1012&lt;&gt;"",1,0)+IF(DY1012&lt;&gt;"",1,0)+IF(DZ1012&lt;&gt;"",1,0)+IF(EB1012&lt;&gt;"",1,0)+IF(EC1012&lt;&gt;"",1,0)+IF(ED1012&lt;&gt;"",1,0)+IF(EG1012&lt;&gt;"",1,0)+IF(EH1012&lt;&gt;"",1,0)</f>
        <v/>
      </c>
      <c r="AZ1012">
        <f>IF(EH1012&lt;&gt;"",1,0)</f>
        <v/>
      </c>
      <c r="BB1012" t="inlineStr">
        <is>
          <t>WARREN-WARD 4</t>
        </is>
      </c>
      <c r="BC1012" t="inlineStr">
        <is>
          <t>X</t>
        </is>
      </c>
      <c r="BD1012" t="inlineStr">
        <is>
          <t>X</t>
        </is>
      </c>
      <c r="BH1012" t="inlineStr">
        <is>
          <t>X</t>
        </is>
      </c>
      <c r="BJ1012" t="inlineStr">
        <is>
          <t>X</t>
        </is>
      </c>
      <c r="BL1012" t="inlineStr">
        <is>
          <t>X</t>
        </is>
      </c>
      <c r="BP1012" t="inlineStr">
        <is>
          <t>X</t>
        </is>
      </c>
      <c r="BS1012" t="inlineStr">
        <is>
          <t>X</t>
        </is>
      </c>
      <c r="BV1012" t="inlineStr">
        <is>
          <t>X</t>
        </is>
      </c>
      <c r="BY1012" t="inlineStr">
        <is>
          <t>R</t>
        </is>
      </c>
      <c r="CA1012" t="inlineStr">
        <is>
          <t>X</t>
        </is>
      </c>
      <c r="CH1012" t="inlineStr">
        <is>
          <t>R</t>
        </is>
      </c>
      <c r="CK1012" t="inlineStr">
        <is>
          <t>X</t>
        </is>
      </c>
      <c r="CN1012" t="inlineStr">
        <is>
          <t>X</t>
        </is>
      </c>
      <c r="CO1012" t="inlineStr">
        <is>
          <t>R</t>
        </is>
      </c>
      <c r="CP1012" t="inlineStr">
        <is>
          <t>X</t>
        </is>
      </c>
      <c r="CV1012" t="inlineStr">
        <is>
          <t>X</t>
        </is>
      </c>
      <c r="CY1012" t="inlineStr">
        <is>
          <t>X</t>
        </is>
      </c>
      <c r="CZ1012" t="inlineStr">
        <is>
          <t>R</t>
        </is>
      </c>
      <c r="DC1012" t="inlineStr">
        <is>
          <t>X</t>
        </is>
      </c>
      <c r="DF1012" t="inlineStr">
        <is>
          <t>X</t>
        </is>
      </c>
      <c r="DI1012" t="inlineStr">
        <is>
          <t>X</t>
        </is>
      </c>
      <c r="DL1012" t="inlineStr">
        <is>
          <t>X</t>
        </is>
      </c>
      <c r="DN1012" t="inlineStr">
        <is>
          <t>X</t>
        </is>
      </c>
      <c r="DR1012" t="inlineStr">
        <is>
          <t>X</t>
        </is>
      </c>
      <c r="DU1012" t="inlineStr">
        <is>
          <t>X</t>
        </is>
      </c>
      <c r="DW1012" t="inlineStr">
        <is>
          <t>D</t>
        </is>
      </c>
      <c r="DX1012" t="inlineStr">
        <is>
          <t>X</t>
        </is>
      </c>
      <c r="EA1012" t="inlineStr">
        <is>
          <t>X</t>
        </is>
      </c>
      <c r="ED1012" t="inlineStr">
        <is>
          <t>R</t>
        </is>
      </c>
      <c r="EF1012" t="inlineStr">
        <is>
          <t>X</t>
        </is>
      </c>
      <c r="EH1012" t="inlineStr">
        <is>
          <t>D</t>
        </is>
      </c>
    </row>
    <row r="1013">
      <c r="A1013" t="inlineStr">
        <is>
          <t>OH0021649699</t>
        </is>
      </c>
      <c r="B1013" t="n">
        <v>78</v>
      </c>
      <c r="C1013" t="n">
        <v>384096</v>
      </c>
      <c r="D1013" t="inlineStr">
        <is>
          <t>SHAFFER</t>
        </is>
      </c>
      <c r="E1013" t="inlineStr">
        <is>
          <t>JAMES</t>
        </is>
      </c>
      <c r="F1013">
        <f>CONCATENATE(D1013," ",LEFT(H1013,4),"T=",AU1013,"D=",AV1013,"R=",AW1013,"M=",AX1013,"L=",AY1013,"B=",AZ1013)</f>
        <v/>
      </c>
      <c r="I1013" t="inlineStr">
        <is>
          <t>1957-03-12</t>
        </is>
      </c>
      <c r="J1013" t="inlineStr">
        <is>
          <t>2015-07-22</t>
        </is>
      </c>
      <c r="K1013" t="inlineStr">
        <is>
          <t>ACTIVE</t>
        </is>
      </c>
      <c r="L1013" t="inlineStr">
        <is>
          <t>D</t>
        </is>
      </c>
      <c r="M1013" t="inlineStr">
        <is>
          <t>176 OAK KNOLL AVE SE</t>
        </is>
      </c>
      <c r="N1013">
        <f>RIGHT(M1013,LEN(M1013)-FIND(" ",M1013))</f>
        <v/>
      </c>
      <c r="P1013" t="inlineStr">
        <is>
          <t>WARREN</t>
        </is>
      </c>
      <c r="Q1013" t="inlineStr">
        <is>
          <t>OH</t>
        </is>
      </c>
      <c r="R1013" t="n">
        <v>44483</v>
      </c>
      <c r="AD1013" t="inlineStr">
        <is>
          <t>TRUMBULL CAREER &amp; TECH CENTER</t>
        </is>
      </c>
      <c r="AE1013" t="inlineStr">
        <is>
          <t>WARREN CITY</t>
        </is>
      </c>
      <c r="AF1013" t="inlineStr">
        <is>
          <t>WARREN CITY SD</t>
        </is>
      </c>
      <c r="AH1013" t="n">
        <v>14</v>
      </c>
      <c r="AI1013" t="n">
        <v>11</v>
      </c>
      <c r="AN1013" t="inlineStr">
        <is>
          <t>WARREN</t>
        </is>
      </c>
      <c r="AO1013" t="inlineStr">
        <is>
          <t>WARREN CITY 4A</t>
        </is>
      </c>
      <c r="AP1013" t="inlineStr">
        <is>
          <t>78-P-ADI</t>
        </is>
      </c>
      <c r="AQ1013" t="n">
        <v>9</v>
      </c>
      <c r="AR1013" t="n">
        <v>64</v>
      </c>
      <c r="AS1013" t="n">
        <v>32</v>
      </c>
      <c r="AU1013">
        <f>COUNTA($BA$1013:$EH$1013)</f>
        <v/>
      </c>
      <c r="AV1013">
        <f>COUNTIF($BA$1013:$EH$1013,"D")</f>
        <v/>
      </c>
      <c r="AW1013">
        <f>COUNTIF($BA$1013:$EH$1013,"R")</f>
        <v/>
      </c>
      <c r="AX1013">
        <f>IF(BN1013="D",1,0)+IF(BO1013="D",1,0)+IF(BT1013="D",1,0)+IF(BU1013="D",1,0)+IF(BW1013="D",1,0)+IF(CC1013="D",1,0)+IF(CD1013="D",1,0)+IF(CE1013="D",1,0)+IF(CF1013="D",1,0)+IF(CL1013="D",1,0)+IF(CM1013="D",1,0)+IF(CQ1013="D",1,0)+IF(CR1013="D",1,0)+IF(CS1013="D",1,0)+IF(CW1013="D",1,0)+IF(CX1013="D",1,0)+IF(DD1013="D",1,0)+IF(DE1013="D",1,0)+IF(DJ1013="D",1,0)+IF(DK1013="D",1,0)+IF(DO1013="D",1,0)+IF(DP1013="D",1,0)+IF(DQ1013="D",1,0)+IF(DW1013="D",1,0)+IF(DZ1013="D",1,0)+IF(EH1013="D",1,0)</f>
        <v/>
      </c>
      <c r="AY1013">
        <f>IF(DJ1013&lt;&gt;"",1,0)+IF(DK1013&lt;&gt;"",1,0)+IF(DM1013&lt;&gt;"",1,0)+IF(DO1013&lt;&gt;"",1,0)+IF(DP1013&lt;&gt;"",1,0)+IF(DQ1013&lt;&gt;"",1,0)+IF(DS1013&lt;&gt;"",1,0)+IF(DT1013&lt;&gt;"",1,0)+IF(DV1013&lt;&gt;"",1,0)+IF(DW1013&lt;&gt;"",1,0)+IF(DX1013&lt;&gt;"",1,0)+IF(DY1013&lt;&gt;"",1,0)+IF(DZ1013&lt;&gt;"",1,0)+IF(EB1013&lt;&gt;"",1,0)+IF(EC1013&lt;&gt;"",1,0)+IF(ED1013&lt;&gt;"",1,0)+IF(EG1013&lt;&gt;"",1,0)+IF(EH1013&lt;&gt;"",1,0)</f>
        <v/>
      </c>
      <c r="AZ1013">
        <f>IF(EH1013&lt;&gt;"",1,0)</f>
        <v/>
      </c>
      <c r="BB1013" t="inlineStr">
        <is>
          <t>WARREN-WARD 4</t>
        </is>
      </c>
      <c r="CP1013" t="inlineStr">
        <is>
          <t>X</t>
        </is>
      </c>
      <c r="DC1013" t="inlineStr">
        <is>
          <t>X</t>
        </is>
      </c>
      <c r="DI1013" t="inlineStr">
        <is>
          <t>X</t>
        </is>
      </c>
      <c r="DM1013" t="inlineStr">
        <is>
          <t>D</t>
        </is>
      </c>
      <c r="DN1013" t="inlineStr">
        <is>
          <t>X</t>
        </is>
      </c>
      <c r="DR1013" t="inlineStr">
        <is>
          <t>X</t>
        </is>
      </c>
      <c r="DS1013" t="inlineStr">
        <is>
          <t>D</t>
        </is>
      </c>
      <c r="DU1013" t="inlineStr">
        <is>
          <t>X</t>
        </is>
      </c>
      <c r="DW1013" t="inlineStr">
        <is>
          <t>D</t>
        </is>
      </c>
      <c r="DX1013" t="inlineStr">
        <is>
          <t>X</t>
        </is>
      </c>
      <c r="EA1013" t="inlineStr">
        <is>
          <t>X</t>
        </is>
      </c>
      <c r="ED1013" t="inlineStr">
        <is>
          <t>D</t>
        </is>
      </c>
      <c r="EF1013" t="inlineStr">
        <is>
          <t>X</t>
        </is>
      </c>
      <c r="EH1013" t="inlineStr">
        <is>
          <t>D</t>
        </is>
      </c>
    </row>
    <row r="1014">
      <c r="A1014" t="inlineStr">
        <is>
          <t>OH0022391493</t>
        </is>
      </c>
      <c r="B1014" t="n">
        <v>78</v>
      </c>
      <c r="C1014" t="n">
        <v>396167</v>
      </c>
      <c r="D1014" t="inlineStr">
        <is>
          <t>IVINSKAS</t>
        </is>
      </c>
      <c r="E1014" t="inlineStr">
        <is>
          <t>KASSANDRA</t>
        </is>
      </c>
      <c r="F1014">
        <f>CONCATENATE(D1014," ",LEFT(H1014,4),"T=",AU1014,"D=",AV1014,"R=",AW1014,"M=",AX1014,"L=",AY1014,"B=",AZ1014)</f>
        <v/>
      </c>
      <c r="G1014" t="inlineStr">
        <is>
          <t>MARIE</t>
        </is>
      </c>
      <c r="I1014" t="inlineStr">
        <is>
          <t>1993-04-20</t>
        </is>
      </c>
      <c r="J1014" t="inlineStr">
        <is>
          <t>2021-06-01</t>
        </is>
      </c>
      <c r="K1014" t="inlineStr">
        <is>
          <t>CONFIRMATION</t>
        </is>
      </c>
      <c r="M1014" t="inlineStr">
        <is>
          <t>1205 BELLE ST SE</t>
        </is>
      </c>
      <c r="N1014">
        <f>RIGHT(M1014,LEN(M1014)-FIND(" ",M1014))</f>
        <v/>
      </c>
      <c r="P1014" t="inlineStr">
        <is>
          <t>WARREN</t>
        </is>
      </c>
      <c r="Q1014" t="inlineStr">
        <is>
          <t>OH</t>
        </is>
      </c>
      <c r="R1014" t="n">
        <v>44484</v>
      </c>
      <c r="AD1014" t="inlineStr">
        <is>
          <t>TRUMBULL CAREER &amp; TECH CENTER</t>
        </is>
      </c>
      <c r="AE1014" t="inlineStr">
        <is>
          <t>WARREN CITY</t>
        </is>
      </c>
      <c r="AF1014" t="inlineStr">
        <is>
          <t>WARREN CITY SD</t>
        </is>
      </c>
      <c r="AH1014" t="n">
        <v>14</v>
      </c>
      <c r="AI1014" t="n">
        <v>11</v>
      </c>
      <c r="AN1014" t="inlineStr">
        <is>
          <t>WARREN</t>
        </is>
      </c>
      <c r="AO1014" t="inlineStr">
        <is>
          <t>WARREN CITY 4A</t>
        </is>
      </c>
      <c r="AP1014" t="inlineStr">
        <is>
          <t>78-P-ADI</t>
        </is>
      </c>
      <c r="AQ1014" t="n">
        <v>9</v>
      </c>
      <c r="AR1014" t="n">
        <v>64</v>
      </c>
      <c r="AS1014" t="n">
        <v>32</v>
      </c>
      <c r="AU1014">
        <f>COUNTA($BA$1014:$EH$1014)</f>
        <v/>
      </c>
      <c r="AV1014">
        <f>COUNTIF($BA$1014:$EH$1014,"D")</f>
        <v/>
      </c>
      <c r="AW1014">
        <f>COUNTIF($BA$1014:$EH$1014,"R")</f>
        <v/>
      </c>
      <c r="AX1014">
        <f>IF(BN1014="D",1,0)+IF(BO1014="D",1,0)+IF(BT1014="D",1,0)+IF(BU1014="D",1,0)+IF(BW1014="D",1,0)+IF(CC1014="D",1,0)+IF(CD1014="D",1,0)+IF(CE1014="D",1,0)+IF(CF1014="D",1,0)+IF(CL1014="D",1,0)+IF(CM1014="D",1,0)+IF(CQ1014="D",1,0)+IF(CR1014="D",1,0)+IF(CS1014="D",1,0)+IF(CW1014="D",1,0)+IF(CX1014="D",1,0)+IF(DD1014="D",1,0)+IF(DE1014="D",1,0)+IF(DJ1014="D",1,0)+IF(DK1014="D",1,0)+IF(DO1014="D",1,0)+IF(DP1014="D",1,0)+IF(DQ1014="D",1,0)+IF(DW1014="D",1,0)+IF(DZ1014="D",1,0)+IF(EH1014="D",1,0)</f>
        <v/>
      </c>
      <c r="AY1014">
        <f>IF(DJ1014&lt;&gt;"",1,0)+IF(DK1014&lt;&gt;"",1,0)+IF(DM1014&lt;&gt;"",1,0)+IF(DO1014&lt;&gt;"",1,0)+IF(DP1014&lt;&gt;"",1,0)+IF(DQ1014&lt;&gt;"",1,0)+IF(DS1014&lt;&gt;"",1,0)+IF(DT1014&lt;&gt;"",1,0)+IF(DV1014&lt;&gt;"",1,0)+IF(DW1014&lt;&gt;"",1,0)+IF(DX1014&lt;&gt;"",1,0)+IF(DY1014&lt;&gt;"",1,0)+IF(DZ1014&lt;&gt;"",1,0)+IF(EB1014&lt;&gt;"",1,0)+IF(EC1014&lt;&gt;"",1,0)+IF(ED1014&lt;&gt;"",1,0)+IF(EG1014&lt;&gt;"",1,0)+IF(EH1014&lt;&gt;"",1,0)</f>
        <v/>
      </c>
      <c r="AZ1014">
        <f>IF(EH1014&lt;&gt;"",1,0)</f>
        <v/>
      </c>
      <c r="BB1014" t="inlineStr">
        <is>
          <t>WARREN-WARD 4</t>
        </is>
      </c>
    </row>
    <row r="1015">
      <c r="A1015" t="inlineStr">
        <is>
          <t>OH0023652758</t>
        </is>
      </c>
      <c r="B1015" t="n">
        <v>78</v>
      </c>
      <c r="C1015" t="n">
        <v>416304</v>
      </c>
      <c r="D1015" t="inlineStr">
        <is>
          <t>NAYLOR</t>
        </is>
      </c>
      <c r="E1015" t="inlineStr">
        <is>
          <t>LISA</t>
        </is>
      </c>
      <c r="F1015">
        <f>CONCATENATE(D1015," ",LEFT(H1015,4),"T=",AU1015,"D=",AV1015,"R=",AW1015,"M=",AX1015,"L=",AY1015,"B=",AZ1015)</f>
        <v/>
      </c>
      <c r="G1015" t="inlineStr">
        <is>
          <t>M</t>
        </is>
      </c>
      <c r="I1015" t="inlineStr">
        <is>
          <t>1987-02-25</t>
        </is>
      </c>
      <c r="J1015" t="inlineStr">
        <is>
          <t>2020-02-15</t>
        </is>
      </c>
      <c r="K1015" t="inlineStr">
        <is>
          <t>ACTIVE</t>
        </is>
      </c>
      <c r="L1015" t="inlineStr">
        <is>
          <t>D</t>
        </is>
      </c>
      <c r="M1015" t="inlineStr">
        <is>
          <t>891 OAK KNOLL AVE SE</t>
        </is>
      </c>
      <c r="N1015">
        <f>RIGHT(M1015,LEN(M1015)-FIND(" ",M1015))</f>
        <v/>
      </c>
      <c r="P1015" t="inlineStr">
        <is>
          <t>WARREN</t>
        </is>
      </c>
      <c r="Q1015" t="inlineStr">
        <is>
          <t>OH</t>
        </is>
      </c>
      <c r="R1015" t="n">
        <v>44484</v>
      </c>
      <c r="AD1015" t="inlineStr">
        <is>
          <t>TRUMBULL CAREER &amp; TECH CENTER</t>
        </is>
      </c>
      <c r="AE1015" t="inlineStr">
        <is>
          <t>WARREN CITY</t>
        </is>
      </c>
      <c r="AF1015" t="inlineStr">
        <is>
          <t>WARREN CITY SD</t>
        </is>
      </c>
      <c r="AH1015" t="n">
        <v>14</v>
      </c>
      <c r="AI1015" t="n">
        <v>11</v>
      </c>
      <c r="AN1015" t="inlineStr">
        <is>
          <t>WARREN</t>
        </is>
      </c>
      <c r="AO1015" t="inlineStr">
        <is>
          <t>WARREN CITY 4A</t>
        </is>
      </c>
      <c r="AP1015" t="inlineStr">
        <is>
          <t>78-P-ADI</t>
        </is>
      </c>
      <c r="AQ1015" t="n">
        <v>9</v>
      </c>
      <c r="AR1015" t="n">
        <v>64</v>
      </c>
      <c r="AS1015" t="n">
        <v>32</v>
      </c>
      <c r="AU1015">
        <f>COUNTA($BA$1015:$EH$1015)</f>
        <v/>
      </c>
      <c r="AV1015">
        <f>COUNTIF($BA$1015:$EH$1015,"D")</f>
        <v/>
      </c>
      <c r="AW1015">
        <f>COUNTIF($BA$1015:$EH$1015,"R")</f>
        <v/>
      </c>
      <c r="AX1015">
        <f>IF(BN1015="D",1,0)+IF(BO1015="D",1,0)+IF(BT1015="D",1,0)+IF(BU1015="D",1,0)+IF(BW1015="D",1,0)+IF(CC1015="D",1,0)+IF(CD1015="D",1,0)+IF(CE1015="D",1,0)+IF(CF1015="D",1,0)+IF(CL1015="D",1,0)+IF(CM1015="D",1,0)+IF(CQ1015="D",1,0)+IF(CR1015="D",1,0)+IF(CS1015="D",1,0)+IF(CW1015="D",1,0)+IF(CX1015="D",1,0)+IF(DD1015="D",1,0)+IF(DE1015="D",1,0)+IF(DJ1015="D",1,0)+IF(DK1015="D",1,0)+IF(DO1015="D",1,0)+IF(DP1015="D",1,0)+IF(DQ1015="D",1,0)+IF(DW1015="D",1,0)+IF(DZ1015="D",1,0)+IF(EH1015="D",1,0)</f>
        <v/>
      </c>
      <c r="AY1015">
        <f>IF(DJ1015&lt;&gt;"",1,0)+IF(DK1015&lt;&gt;"",1,0)+IF(DM1015&lt;&gt;"",1,0)+IF(DO1015&lt;&gt;"",1,0)+IF(DP1015&lt;&gt;"",1,0)+IF(DQ1015&lt;&gt;"",1,0)+IF(DS1015&lt;&gt;"",1,0)+IF(DT1015&lt;&gt;"",1,0)+IF(DV1015&lt;&gt;"",1,0)+IF(DW1015&lt;&gt;"",1,0)+IF(DX1015&lt;&gt;"",1,0)+IF(DY1015&lt;&gt;"",1,0)+IF(DZ1015&lt;&gt;"",1,0)+IF(EB1015&lt;&gt;"",1,0)+IF(EC1015&lt;&gt;"",1,0)+IF(ED1015&lt;&gt;"",1,0)+IF(EG1015&lt;&gt;"",1,0)+IF(EH1015&lt;&gt;"",1,0)</f>
        <v/>
      </c>
      <c r="AZ1015">
        <f>IF(EH1015&lt;&gt;"",1,0)</f>
        <v/>
      </c>
      <c r="BB1015" t="inlineStr">
        <is>
          <t>WARREN-WARD 4</t>
        </is>
      </c>
      <c r="DC1015" t="inlineStr">
        <is>
          <t>X</t>
        </is>
      </c>
      <c r="DI1015" t="inlineStr">
        <is>
          <t>X</t>
        </is>
      </c>
      <c r="DM1015" t="inlineStr">
        <is>
          <t>D</t>
        </is>
      </c>
      <c r="DN1015" t="inlineStr">
        <is>
          <t>X</t>
        </is>
      </c>
      <c r="DU1015" t="inlineStr">
        <is>
          <t>X</t>
        </is>
      </c>
      <c r="DX1015" t="inlineStr">
        <is>
          <t>X</t>
        </is>
      </c>
      <c r="EA1015" t="inlineStr">
        <is>
          <t>X</t>
        </is>
      </c>
      <c r="ED1015" t="inlineStr">
        <is>
          <t>D</t>
        </is>
      </c>
      <c r="EF1015" t="inlineStr">
        <is>
          <t>X</t>
        </is>
      </c>
    </row>
    <row r="1016">
      <c r="A1016" t="inlineStr">
        <is>
          <t>OH0015790968</t>
        </is>
      </c>
      <c r="B1016" t="n">
        <v>78</v>
      </c>
      <c r="C1016" t="n">
        <v>69641</v>
      </c>
      <c r="D1016" t="inlineStr">
        <is>
          <t>PATCHIN</t>
        </is>
      </c>
      <c r="E1016" t="inlineStr">
        <is>
          <t>COLLEEN</t>
        </is>
      </c>
      <c r="F1016">
        <f>CONCATENATE(D1016," ",LEFT(H1016,4),"T=",AU1016,"D=",AV1016,"R=",AW1016,"M=",AX1016,"L=",AY1016,"B=",AZ1016)</f>
        <v/>
      </c>
      <c r="G1016" t="inlineStr">
        <is>
          <t>M</t>
        </is>
      </c>
      <c r="I1016" t="inlineStr">
        <is>
          <t>1948-08-16</t>
        </is>
      </c>
      <c r="J1016" t="inlineStr">
        <is>
          <t>1972-08-21</t>
        </is>
      </c>
      <c r="K1016" t="inlineStr">
        <is>
          <t>ACTIVE</t>
        </is>
      </c>
      <c r="L1016" t="inlineStr">
        <is>
          <t>D</t>
        </is>
      </c>
      <c r="M1016" t="inlineStr">
        <is>
          <t>156 OAK KNOLL AVE SE</t>
        </is>
      </c>
      <c r="N1016">
        <f>RIGHT(M1016,LEN(M1016)-FIND(" ",M1016))</f>
        <v/>
      </c>
      <c r="P1016" t="inlineStr">
        <is>
          <t>WARREN</t>
        </is>
      </c>
      <c r="Q1016" t="inlineStr">
        <is>
          <t>OH</t>
        </is>
      </c>
      <c r="R1016" t="n">
        <v>44483</v>
      </c>
      <c r="AD1016" t="inlineStr">
        <is>
          <t>TRUMBULL CAREER &amp; TECH CENTER</t>
        </is>
      </c>
      <c r="AE1016" t="inlineStr">
        <is>
          <t>WARREN CITY</t>
        </is>
      </c>
      <c r="AF1016" t="inlineStr">
        <is>
          <t>WARREN CITY SD</t>
        </is>
      </c>
      <c r="AH1016" t="n">
        <v>14</v>
      </c>
      <c r="AI1016" t="n">
        <v>11</v>
      </c>
      <c r="AN1016" t="inlineStr">
        <is>
          <t>WARREN</t>
        </is>
      </c>
      <c r="AO1016" t="inlineStr">
        <is>
          <t>WARREN CITY 4A</t>
        </is>
      </c>
      <c r="AP1016" t="inlineStr">
        <is>
          <t>78-P-ADI</t>
        </is>
      </c>
      <c r="AQ1016" t="n">
        <v>9</v>
      </c>
      <c r="AR1016" t="n">
        <v>64</v>
      </c>
      <c r="AS1016" t="n">
        <v>32</v>
      </c>
      <c r="AU1016">
        <f>COUNTA($BA$1016:$EH$1016)</f>
        <v/>
      </c>
      <c r="AV1016">
        <f>COUNTIF($BA$1016:$EH$1016,"D")</f>
        <v/>
      </c>
      <c r="AW1016">
        <f>COUNTIF($BA$1016:$EH$1016,"R")</f>
        <v/>
      </c>
      <c r="AX1016">
        <f>IF(BN1016="D",1,0)+IF(BO1016="D",1,0)+IF(BT1016="D",1,0)+IF(BU1016="D",1,0)+IF(BW1016="D",1,0)+IF(CC1016="D",1,0)+IF(CD1016="D",1,0)+IF(CE1016="D",1,0)+IF(CF1016="D",1,0)+IF(CL1016="D",1,0)+IF(CM1016="D",1,0)+IF(CQ1016="D",1,0)+IF(CR1016="D",1,0)+IF(CS1016="D",1,0)+IF(CW1016="D",1,0)+IF(CX1016="D",1,0)+IF(DD1016="D",1,0)+IF(DE1016="D",1,0)+IF(DJ1016="D",1,0)+IF(DK1016="D",1,0)+IF(DO1016="D",1,0)+IF(DP1016="D",1,0)+IF(DQ1016="D",1,0)+IF(DW1016="D",1,0)+IF(DZ1016="D",1,0)+IF(EH1016="D",1,0)</f>
        <v/>
      </c>
      <c r="AY1016">
        <f>IF(DJ1016&lt;&gt;"",1,0)+IF(DK1016&lt;&gt;"",1,0)+IF(DM1016&lt;&gt;"",1,0)+IF(DO1016&lt;&gt;"",1,0)+IF(DP1016&lt;&gt;"",1,0)+IF(DQ1016&lt;&gt;"",1,0)+IF(DS1016&lt;&gt;"",1,0)+IF(DT1016&lt;&gt;"",1,0)+IF(DV1016&lt;&gt;"",1,0)+IF(DW1016&lt;&gt;"",1,0)+IF(DX1016&lt;&gt;"",1,0)+IF(DY1016&lt;&gt;"",1,0)+IF(DZ1016&lt;&gt;"",1,0)+IF(EB1016&lt;&gt;"",1,0)+IF(EC1016&lt;&gt;"",1,0)+IF(ED1016&lt;&gt;"",1,0)+IF(EG1016&lt;&gt;"",1,0)+IF(EH1016&lt;&gt;"",1,0)</f>
        <v/>
      </c>
      <c r="AZ1016">
        <f>IF(EH1016&lt;&gt;"",1,0)</f>
        <v/>
      </c>
      <c r="BB1016" t="inlineStr">
        <is>
          <t>WARREN-WARD 4</t>
        </is>
      </c>
      <c r="BC1016" t="inlineStr">
        <is>
          <t>X</t>
        </is>
      </c>
      <c r="BD1016" t="inlineStr">
        <is>
          <t>X</t>
        </is>
      </c>
      <c r="BF1016" t="inlineStr">
        <is>
          <t>X</t>
        </is>
      </c>
      <c r="BG1016" t="inlineStr">
        <is>
          <t>X</t>
        </is>
      </c>
      <c r="BH1016" t="inlineStr">
        <is>
          <t>X</t>
        </is>
      </c>
      <c r="BI1016" t="inlineStr">
        <is>
          <t>X</t>
        </is>
      </c>
      <c r="BJ1016" t="inlineStr">
        <is>
          <t>X</t>
        </is>
      </c>
      <c r="BK1016" t="inlineStr">
        <is>
          <t>X</t>
        </is>
      </c>
      <c r="BL1016" t="inlineStr">
        <is>
          <t>X</t>
        </is>
      </c>
      <c r="BP1016" t="inlineStr">
        <is>
          <t>X</t>
        </is>
      </c>
      <c r="BR1016" t="inlineStr">
        <is>
          <t>X</t>
        </is>
      </c>
      <c r="BS1016" t="inlineStr">
        <is>
          <t>X</t>
        </is>
      </c>
      <c r="BV1016" t="inlineStr">
        <is>
          <t>X</t>
        </is>
      </c>
      <c r="BY1016" t="inlineStr">
        <is>
          <t>D</t>
        </is>
      </c>
      <c r="CA1016" t="inlineStr">
        <is>
          <t>X</t>
        </is>
      </c>
      <c r="CG1016" t="inlineStr">
        <is>
          <t>X</t>
        </is>
      </c>
      <c r="CH1016" t="inlineStr">
        <is>
          <t>D</t>
        </is>
      </c>
      <c r="CK1016" t="inlineStr">
        <is>
          <t>X</t>
        </is>
      </c>
      <c r="CL1016" t="inlineStr">
        <is>
          <t>D</t>
        </is>
      </c>
      <c r="CN1016" t="inlineStr">
        <is>
          <t>X</t>
        </is>
      </c>
      <c r="CO1016" t="inlineStr">
        <is>
          <t>D</t>
        </is>
      </c>
      <c r="CP1016" t="inlineStr">
        <is>
          <t>X</t>
        </is>
      </c>
      <c r="CV1016" t="inlineStr">
        <is>
          <t>X</t>
        </is>
      </c>
      <c r="CY1016" t="inlineStr">
        <is>
          <t>X</t>
        </is>
      </c>
      <c r="CZ1016" t="inlineStr">
        <is>
          <t>D</t>
        </is>
      </c>
      <c r="DC1016" t="inlineStr">
        <is>
          <t>X</t>
        </is>
      </c>
      <c r="DF1016" t="inlineStr">
        <is>
          <t>X</t>
        </is>
      </c>
      <c r="DG1016" t="inlineStr">
        <is>
          <t>D</t>
        </is>
      </c>
      <c r="DI1016" t="inlineStr">
        <is>
          <t>X</t>
        </is>
      </c>
      <c r="DL1016" t="inlineStr">
        <is>
          <t>X</t>
        </is>
      </c>
      <c r="DM1016" t="inlineStr">
        <is>
          <t>D</t>
        </is>
      </c>
      <c r="DN1016" t="inlineStr">
        <is>
          <t>X</t>
        </is>
      </c>
      <c r="DS1016" t="inlineStr">
        <is>
          <t>D</t>
        </is>
      </c>
      <c r="DT1016" t="inlineStr">
        <is>
          <t>D</t>
        </is>
      </c>
      <c r="DU1016" t="inlineStr">
        <is>
          <t>X</t>
        </is>
      </c>
      <c r="DW1016" t="inlineStr">
        <is>
          <t>D</t>
        </is>
      </c>
      <c r="DX1016" t="inlineStr">
        <is>
          <t>X</t>
        </is>
      </c>
      <c r="EA1016" t="inlineStr">
        <is>
          <t>X</t>
        </is>
      </c>
      <c r="ED1016" t="inlineStr">
        <is>
          <t>D</t>
        </is>
      </c>
      <c r="EF1016" t="inlineStr">
        <is>
          <t>X</t>
        </is>
      </c>
      <c r="EH1016" t="inlineStr">
        <is>
          <t>D</t>
        </is>
      </c>
    </row>
    <row r="1017">
      <c r="A1017" t="inlineStr">
        <is>
          <t>OH0026830470</t>
        </is>
      </c>
      <c r="B1017" t="n">
        <v>78</v>
      </c>
      <c r="C1017" t="n">
        <v>472088</v>
      </c>
      <c r="D1017" t="inlineStr">
        <is>
          <t>SPITZER</t>
        </is>
      </c>
      <c r="E1017" t="inlineStr">
        <is>
          <t>DEVIN</t>
        </is>
      </c>
      <c r="F1017">
        <f>CONCATENATE(D1017," ",LEFT(H1017,4),"T=",AU1017,"D=",AV1017,"R=",AW1017,"M=",AX1017,"L=",AY1017,"B=",AZ1017)</f>
        <v/>
      </c>
      <c r="G1017" t="inlineStr">
        <is>
          <t>MATTHEW</t>
        </is>
      </c>
      <c r="I1017" t="inlineStr">
        <is>
          <t>2004-12-27</t>
        </is>
      </c>
      <c r="J1017" t="inlineStr">
        <is>
          <t>2025-06-02</t>
        </is>
      </c>
      <c r="K1017" t="inlineStr">
        <is>
          <t>ACTIVE</t>
        </is>
      </c>
      <c r="M1017" t="inlineStr">
        <is>
          <t>526 LAIRD AVE SE</t>
        </is>
      </c>
      <c r="N1017">
        <f>RIGHT(M1017,LEN(M1017)-FIND(" ",M1017))</f>
        <v/>
      </c>
      <c r="P1017" t="inlineStr">
        <is>
          <t>WARREN</t>
        </is>
      </c>
      <c r="Q1017" t="inlineStr">
        <is>
          <t>OH</t>
        </is>
      </c>
      <c r="R1017" t="n">
        <v>44484</v>
      </c>
      <c r="AD1017" t="inlineStr">
        <is>
          <t>TRUMBULL CAREER &amp; TECH CENTER</t>
        </is>
      </c>
      <c r="AE1017" t="inlineStr">
        <is>
          <t>WARREN CITY</t>
        </is>
      </c>
      <c r="AF1017" t="inlineStr">
        <is>
          <t>WARREN CITY SD</t>
        </is>
      </c>
      <c r="AH1017" t="n">
        <v>14</v>
      </c>
      <c r="AI1017" t="n">
        <v>11</v>
      </c>
      <c r="AN1017" t="inlineStr">
        <is>
          <t>WARREN</t>
        </is>
      </c>
      <c r="AO1017" t="inlineStr">
        <is>
          <t>WARREN CITY 4A</t>
        </is>
      </c>
      <c r="AP1017" t="inlineStr">
        <is>
          <t>78-P-ADI</t>
        </is>
      </c>
      <c r="AQ1017" t="n">
        <v>9</v>
      </c>
      <c r="AR1017" t="n">
        <v>64</v>
      </c>
      <c r="AS1017" t="n">
        <v>32</v>
      </c>
      <c r="AU1017">
        <f>COUNTA($BA$1017:$EH$1017)</f>
        <v/>
      </c>
      <c r="AV1017">
        <f>COUNTIF($BA$1017:$EH$1017,"D")</f>
        <v/>
      </c>
      <c r="AW1017">
        <f>COUNTIF($BA$1017:$EH$1017,"R")</f>
        <v/>
      </c>
      <c r="AX1017">
        <f>IF(BN1017="D",1,0)+IF(BO1017="D",1,0)+IF(BT1017="D",1,0)+IF(BU1017="D",1,0)+IF(BW1017="D",1,0)+IF(CC1017="D",1,0)+IF(CD1017="D",1,0)+IF(CE1017="D",1,0)+IF(CF1017="D",1,0)+IF(CL1017="D",1,0)+IF(CM1017="D",1,0)+IF(CQ1017="D",1,0)+IF(CR1017="D",1,0)+IF(CS1017="D",1,0)+IF(CW1017="D",1,0)+IF(CX1017="D",1,0)+IF(DD1017="D",1,0)+IF(DE1017="D",1,0)+IF(DJ1017="D",1,0)+IF(DK1017="D",1,0)+IF(DO1017="D",1,0)+IF(DP1017="D",1,0)+IF(DQ1017="D",1,0)+IF(DW1017="D",1,0)+IF(DZ1017="D",1,0)+IF(EH1017="D",1,0)</f>
        <v/>
      </c>
      <c r="AY1017">
        <f>IF(DJ1017&lt;&gt;"",1,0)+IF(DK1017&lt;&gt;"",1,0)+IF(DM1017&lt;&gt;"",1,0)+IF(DO1017&lt;&gt;"",1,0)+IF(DP1017&lt;&gt;"",1,0)+IF(DQ1017&lt;&gt;"",1,0)+IF(DS1017&lt;&gt;"",1,0)+IF(DT1017&lt;&gt;"",1,0)+IF(DV1017&lt;&gt;"",1,0)+IF(DW1017&lt;&gt;"",1,0)+IF(DX1017&lt;&gt;"",1,0)+IF(DY1017&lt;&gt;"",1,0)+IF(DZ1017&lt;&gt;"",1,0)+IF(EB1017&lt;&gt;"",1,0)+IF(EC1017&lt;&gt;"",1,0)+IF(ED1017&lt;&gt;"",1,0)+IF(EG1017&lt;&gt;"",1,0)+IF(EH1017&lt;&gt;"",1,0)</f>
        <v/>
      </c>
      <c r="AZ1017">
        <f>IF(EH1017&lt;&gt;"",1,0)</f>
        <v/>
      </c>
      <c r="BB1017" t="inlineStr">
        <is>
          <t>WARREN-WARD 4</t>
        </is>
      </c>
      <c r="EA1017" t="inlineStr">
        <is>
          <t>X</t>
        </is>
      </c>
      <c r="EF1017" t="inlineStr">
        <is>
          <t>X</t>
        </is>
      </c>
    </row>
    <row r="1018">
      <c r="A1018" t="inlineStr">
        <is>
          <t>OH0027088863</t>
        </is>
      </c>
      <c r="B1018" t="n">
        <v>78</v>
      </c>
      <c r="C1018" t="n">
        <v>476858</v>
      </c>
      <c r="D1018" t="inlineStr">
        <is>
          <t>YAGER</t>
        </is>
      </c>
      <c r="E1018" t="inlineStr">
        <is>
          <t>CAMERON</t>
        </is>
      </c>
      <c r="F1018">
        <f>CONCATENATE(D1018," ",LEFT(H1018,4),"T=",AU1018,"D=",AV1018,"R=",AW1018,"M=",AX1018,"L=",AY1018,"B=",AZ1018)</f>
        <v/>
      </c>
      <c r="G1018" t="inlineStr">
        <is>
          <t>CORBAN MARCUS</t>
        </is>
      </c>
      <c r="I1018" t="inlineStr">
        <is>
          <t>2005-03-28</t>
        </is>
      </c>
      <c r="J1018" t="inlineStr">
        <is>
          <t>2023-10-05</t>
        </is>
      </c>
      <c r="K1018" t="inlineStr">
        <is>
          <t>ACTIVE</t>
        </is>
      </c>
      <c r="M1018" t="inlineStr">
        <is>
          <t>232 WOODBINE AVE SE</t>
        </is>
      </c>
      <c r="N1018">
        <f>RIGHT(M1018,LEN(M1018)-FIND(" ",M1018))</f>
        <v/>
      </c>
      <c r="P1018" t="inlineStr">
        <is>
          <t>WARREN</t>
        </is>
      </c>
      <c r="Q1018" t="inlineStr">
        <is>
          <t>OH</t>
        </is>
      </c>
      <c r="R1018" t="n">
        <v>44483</v>
      </c>
      <c r="AD1018" t="inlineStr">
        <is>
          <t>TRUMBULL CAREER &amp; TECH CENTER</t>
        </is>
      </c>
      <c r="AE1018" t="inlineStr">
        <is>
          <t>WARREN CITY</t>
        </is>
      </c>
      <c r="AF1018" t="inlineStr">
        <is>
          <t>WARREN CITY SD</t>
        </is>
      </c>
      <c r="AH1018" t="n">
        <v>14</v>
      </c>
      <c r="AI1018" t="n">
        <v>11</v>
      </c>
      <c r="AN1018" t="inlineStr">
        <is>
          <t>WARREN</t>
        </is>
      </c>
      <c r="AO1018" t="inlineStr">
        <is>
          <t>WARREN CITY 4A</t>
        </is>
      </c>
      <c r="AP1018" t="inlineStr">
        <is>
          <t>78-P-ADI</t>
        </is>
      </c>
      <c r="AQ1018" t="n">
        <v>9</v>
      </c>
      <c r="AR1018" t="n">
        <v>64</v>
      </c>
      <c r="AS1018" t="n">
        <v>32</v>
      </c>
      <c r="AU1018">
        <f>COUNTA($BA$1018:$EH$1018)</f>
        <v/>
      </c>
      <c r="AV1018">
        <f>COUNTIF($BA$1018:$EH$1018,"D")</f>
        <v/>
      </c>
      <c r="AW1018">
        <f>COUNTIF($BA$1018:$EH$1018,"R")</f>
        <v/>
      </c>
      <c r="AX1018">
        <f>IF(BN1018="D",1,0)+IF(BO1018="D",1,0)+IF(BT1018="D",1,0)+IF(BU1018="D",1,0)+IF(BW1018="D",1,0)+IF(CC1018="D",1,0)+IF(CD1018="D",1,0)+IF(CE1018="D",1,0)+IF(CF1018="D",1,0)+IF(CL1018="D",1,0)+IF(CM1018="D",1,0)+IF(CQ1018="D",1,0)+IF(CR1018="D",1,0)+IF(CS1018="D",1,0)+IF(CW1018="D",1,0)+IF(CX1018="D",1,0)+IF(DD1018="D",1,0)+IF(DE1018="D",1,0)+IF(DJ1018="D",1,0)+IF(DK1018="D",1,0)+IF(DO1018="D",1,0)+IF(DP1018="D",1,0)+IF(DQ1018="D",1,0)+IF(DW1018="D",1,0)+IF(DZ1018="D",1,0)+IF(EH1018="D",1,0)</f>
        <v/>
      </c>
      <c r="AY1018">
        <f>IF(DJ1018&lt;&gt;"",1,0)+IF(DK1018&lt;&gt;"",1,0)+IF(DM1018&lt;&gt;"",1,0)+IF(DO1018&lt;&gt;"",1,0)+IF(DP1018&lt;&gt;"",1,0)+IF(DQ1018&lt;&gt;"",1,0)+IF(DS1018&lt;&gt;"",1,0)+IF(DT1018&lt;&gt;"",1,0)+IF(DV1018&lt;&gt;"",1,0)+IF(DW1018&lt;&gt;"",1,0)+IF(DX1018&lt;&gt;"",1,0)+IF(DY1018&lt;&gt;"",1,0)+IF(DZ1018&lt;&gt;"",1,0)+IF(EB1018&lt;&gt;"",1,0)+IF(EC1018&lt;&gt;"",1,0)+IF(ED1018&lt;&gt;"",1,0)+IF(EG1018&lt;&gt;"",1,0)+IF(EH1018&lt;&gt;"",1,0)</f>
        <v/>
      </c>
      <c r="AZ1018">
        <f>IF(EH1018&lt;&gt;"",1,0)</f>
        <v/>
      </c>
      <c r="BB1018" t="inlineStr">
        <is>
          <t>WARREN-WARD 4</t>
        </is>
      </c>
      <c r="EA1018" t="inlineStr">
        <is>
          <t>X</t>
        </is>
      </c>
    </row>
    <row r="1019">
      <c r="A1019" t="inlineStr">
        <is>
          <t>OH0015758611</t>
        </is>
      </c>
      <c r="B1019" t="n">
        <v>78</v>
      </c>
      <c r="C1019" t="n">
        <v>245620</v>
      </c>
      <c r="D1019" t="inlineStr">
        <is>
          <t>LOVELAND</t>
        </is>
      </c>
      <c r="E1019" t="inlineStr">
        <is>
          <t>CAROLYN</t>
        </is>
      </c>
      <c r="F1019">
        <f>CONCATENATE(D1019," ",LEFT(H1019,4),"T=",AU1019,"D=",AV1019,"R=",AW1019,"M=",AX1019,"L=",AY1019,"B=",AZ1019)</f>
        <v/>
      </c>
      <c r="G1019" t="inlineStr">
        <is>
          <t>L</t>
        </is>
      </c>
      <c r="I1019" t="inlineStr">
        <is>
          <t>1972-01-03</t>
        </is>
      </c>
      <c r="J1019" t="inlineStr">
        <is>
          <t>2006-01-03</t>
        </is>
      </c>
      <c r="K1019" t="inlineStr">
        <is>
          <t>ACTIVE</t>
        </is>
      </c>
      <c r="L1019" t="inlineStr">
        <is>
          <t>D</t>
        </is>
      </c>
      <c r="M1019" t="inlineStr">
        <is>
          <t>772 KENILWORTH AVE SE</t>
        </is>
      </c>
      <c r="N1019">
        <f>RIGHT(M1019,LEN(M1019)-FIND(" ",M1019))</f>
        <v/>
      </c>
      <c r="P1019" t="inlineStr">
        <is>
          <t>WARREN</t>
        </is>
      </c>
      <c r="Q1019" t="inlineStr">
        <is>
          <t>OH</t>
        </is>
      </c>
      <c r="R1019" t="n">
        <v>44484</v>
      </c>
      <c r="AD1019" t="inlineStr">
        <is>
          <t>TRUMBULL CAREER &amp; TECH CENTER</t>
        </is>
      </c>
      <c r="AE1019" t="inlineStr">
        <is>
          <t>WARREN CITY</t>
        </is>
      </c>
      <c r="AF1019" t="inlineStr">
        <is>
          <t>WARREN CITY SD</t>
        </is>
      </c>
      <c r="AH1019" t="n">
        <v>14</v>
      </c>
      <c r="AI1019" t="n">
        <v>11</v>
      </c>
      <c r="AN1019" t="inlineStr">
        <is>
          <t>WARREN</t>
        </is>
      </c>
      <c r="AO1019" t="inlineStr">
        <is>
          <t>WARREN CITY 4A</t>
        </is>
      </c>
      <c r="AP1019" t="inlineStr">
        <is>
          <t>78-P-ADI</t>
        </is>
      </c>
      <c r="AQ1019" t="n">
        <v>9</v>
      </c>
      <c r="AR1019" t="n">
        <v>64</v>
      </c>
      <c r="AS1019" t="n">
        <v>32</v>
      </c>
      <c r="AU1019">
        <f>COUNTA($BA$1019:$EH$1019)</f>
        <v/>
      </c>
      <c r="AV1019">
        <f>COUNTIF($BA$1019:$EH$1019,"D")</f>
        <v/>
      </c>
      <c r="AW1019">
        <f>COUNTIF($BA$1019:$EH$1019,"R")</f>
        <v/>
      </c>
      <c r="AX1019">
        <f>IF(BN1019="D",1,0)+IF(BO1019="D",1,0)+IF(BT1019="D",1,0)+IF(BU1019="D",1,0)+IF(BW1019="D",1,0)+IF(CC1019="D",1,0)+IF(CD1019="D",1,0)+IF(CE1019="D",1,0)+IF(CF1019="D",1,0)+IF(CL1019="D",1,0)+IF(CM1019="D",1,0)+IF(CQ1019="D",1,0)+IF(CR1019="D",1,0)+IF(CS1019="D",1,0)+IF(CW1019="D",1,0)+IF(CX1019="D",1,0)+IF(DD1019="D",1,0)+IF(DE1019="D",1,0)+IF(DJ1019="D",1,0)+IF(DK1019="D",1,0)+IF(DO1019="D",1,0)+IF(DP1019="D",1,0)+IF(DQ1019="D",1,0)+IF(DW1019="D",1,0)+IF(DZ1019="D",1,0)+IF(EH1019="D",1,0)</f>
        <v/>
      </c>
      <c r="AY1019">
        <f>IF(DJ1019&lt;&gt;"",1,0)+IF(DK1019&lt;&gt;"",1,0)+IF(DM1019&lt;&gt;"",1,0)+IF(DO1019&lt;&gt;"",1,0)+IF(DP1019&lt;&gt;"",1,0)+IF(DQ1019&lt;&gt;"",1,0)+IF(DS1019&lt;&gt;"",1,0)+IF(DT1019&lt;&gt;"",1,0)+IF(DV1019&lt;&gt;"",1,0)+IF(DW1019&lt;&gt;"",1,0)+IF(DX1019&lt;&gt;"",1,0)+IF(DY1019&lt;&gt;"",1,0)+IF(DZ1019&lt;&gt;"",1,0)+IF(EB1019&lt;&gt;"",1,0)+IF(EC1019&lt;&gt;"",1,0)+IF(ED1019&lt;&gt;"",1,0)+IF(EG1019&lt;&gt;"",1,0)+IF(EH1019&lt;&gt;"",1,0)</f>
        <v/>
      </c>
      <c r="AZ1019">
        <f>IF(EH1019&lt;&gt;"",1,0)</f>
        <v/>
      </c>
      <c r="BB1019" t="inlineStr">
        <is>
          <t>WARREN-WARD 4</t>
        </is>
      </c>
      <c r="BD1019" t="inlineStr">
        <is>
          <t>X</t>
        </is>
      </c>
      <c r="BH1019" t="inlineStr">
        <is>
          <t>X</t>
        </is>
      </c>
      <c r="BL1019" t="inlineStr">
        <is>
          <t>X</t>
        </is>
      </c>
      <c r="BY1019" t="inlineStr">
        <is>
          <t>D</t>
        </is>
      </c>
      <c r="CA1019" t="inlineStr">
        <is>
          <t>X</t>
        </is>
      </c>
      <c r="CK1019" t="inlineStr">
        <is>
          <t>X</t>
        </is>
      </c>
      <c r="CN1019" t="inlineStr">
        <is>
          <t>X</t>
        </is>
      </c>
      <c r="CP1019" t="inlineStr">
        <is>
          <t>X</t>
        </is>
      </c>
      <c r="CV1019" t="inlineStr">
        <is>
          <t>X</t>
        </is>
      </c>
      <c r="CY1019" t="inlineStr">
        <is>
          <t>X</t>
        </is>
      </c>
      <c r="CZ1019" t="inlineStr">
        <is>
          <t>D</t>
        </is>
      </c>
      <c r="DC1019" t="inlineStr">
        <is>
          <t>X</t>
        </is>
      </c>
      <c r="DF1019" t="inlineStr">
        <is>
          <t>X</t>
        </is>
      </c>
      <c r="DI1019" t="inlineStr">
        <is>
          <t>X</t>
        </is>
      </c>
      <c r="DN1019" t="inlineStr">
        <is>
          <t>X</t>
        </is>
      </c>
      <c r="DU1019" t="inlineStr">
        <is>
          <t>X</t>
        </is>
      </c>
      <c r="EA1019" t="inlineStr">
        <is>
          <t>X</t>
        </is>
      </c>
      <c r="ED1019" t="inlineStr">
        <is>
          <t>D</t>
        </is>
      </c>
      <c r="EF1019" t="inlineStr">
        <is>
          <t>X</t>
        </is>
      </c>
    </row>
    <row r="1020">
      <c r="A1020" t="inlineStr">
        <is>
          <t>OH0015737862</t>
        </is>
      </c>
      <c r="B1020" t="n">
        <v>78</v>
      </c>
      <c r="C1020" t="n">
        <v>300571</v>
      </c>
      <c r="D1020" t="inlineStr">
        <is>
          <t>MYERS</t>
        </is>
      </c>
      <c r="E1020" t="inlineStr">
        <is>
          <t>SUSAN</t>
        </is>
      </c>
      <c r="F1020">
        <f>CONCATENATE(D1020," ",LEFT(H1020,4),"T=",AU1020,"D=",AV1020,"R=",AW1020,"M=",AX1020,"L=",AY1020,"B=",AZ1020)</f>
        <v/>
      </c>
      <c r="G1020" t="inlineStr">
        <is>
          <t>KATHLEEN</t>
        </is>
      </c>
      <c r="I1020" t="inlineStr">
        <is>
          <t>1982-06-22</t>
        </is>
      </c>
      <c r="J1020" t="inlineStr">
        <is>
          <t>2023-05-24</t>
        </is>
      </c>
      <c r="K1020" t="inlineStr">
        <is>
          <t>ACTIVE</t>
        </is>
      </c>
      <c r="M1020" t="inlineStr">
        <is>
          <t>419 HOMEWOOD AVE SE</t>
        </is>
      </c>
      <c r="N1020">
        <f>RIGHT(M1020,LEN(M1020)-FIND(" ",M1020))</f>
        <v/>
      </c>
      <c r="P1020" t="inlineStr">
        <is>
          <t>WARREN</t>
        </is>
      </c>
      <c r="Q1020" t="inlineStr">
        <is>
          <t>OH</t>
        </is>
      </c>
      <c r="R1020" t="n">
        <v>44483</v>
      </c>
      <c r="AD1020" t="inlineStr">
        <is>
          <t>TRUMBULL CAREER &amp; TECH CENTER</t>
        </is>
      </c>
      <c r="AE1020" t="inlineStr">
        <is>
          <t>WARREN CITY</t>
        </is>
      </c>
      <c r="AF1020" t="inlineStr">
        <is>
          <t>WARREN CITY SD</t>
        </is>
      </c>
      <c r="AH1020" t="n">
        <v>14</v>
      </c>
      <c r="AI1020" t="n">
        <v>11</v>
      </c>
      <c r="AN1020" t="inlineStr">
        <is>
          <t>WARREN</t>
        </is>
      </c>
      <c r="AO1020" t="inlineStr">
        <is>
          <t>WARREN CITY 4A</t>
        </is>
      </c>
      <c r="AP1020" t="inlineStr">
        <is>
          <t>78-P-ADI</t>
        </is>
      </c>
      <c r="AQ1020" t="n">
        <v>9</v>
      </c>
      <c r="AR1020" t="n">
        <v>64</v>
      </c>
      <c r="AS1020" t="n">
        <v>32</v>
      </c>
      <c r="AU1020">
        <f>COUNTA($BA$1020:$EH$1020)</f>
        <v/>
      </c>
      <c r="AV1020">
        <f>COUNTIF($BA$1020:$EH$1020,"D")</f>
        <v/>
      </c>
      <c r="AW1020">
        <f>COUNTIF($BA$1020:$EH$1020,"R")</f>
        <v/>
      </c>
      <c r="AX1020">
        <f>IF(BN1020="D",1,0)+IF(BO1020="D",1,0)+IF(BT1020="D",1,0)+IF(BU1020="D",1,0)+IF(BW1020="D",1,0)+IF(CC1020="D",1,0)+IF(CD1020="D",1,0)+IF(CE1020="D",1,0)+IF(CF1020="D",1,0)+IF(CL1020="D",1,0)+IF(CM1020="D",1,0)+IF(CQ1020="D",1,0)+IF(CR1020="D",1,0)+IF(CS1020="D",1,0)+IF(CW1020="D",1,0)+IF(CX1020="D",1,0)+IF(DD1020="D",1,0)+IF(DE1020="D",1,0)+IF(DJ1020="D",1,0)+IF(DK1020="D",1,0)+IF(DO1020="D",1,0)+IF(DP1020="D",1,0)+IF(DQ1020="D",1,0)+IF(DW1020="D",1,0)+IF(DZ1020="D",1,0)+IF(EH1020="D",1,0)</f>
        <v/>
      </c>
      <c r="AY1020">
        <f>IF(DJ1020&lt;&gt;"",1,0)+IF(DK1020&lt;&gt;"",1,0)+IF(DM1020&lt;&gt;"",1,0)+IF(DO1020&lt;&gt;"",1,0)+IF(DP1020&lt;&gt;"",1,0)+IF(DQ1020&lt;&gt;"",1,0)+IF(DS1020&lt;&gt;"",1,0)+IF(DT1020&lt;&gt;"",1,0)+IF(DV1020&lt;&gt;"",1,0)+IF(DW1020&lt;&gt;"",1,0)+IF(DX1020&lt;&gt;"",1,0)+IF(DY1020&lt;&gt;"",1,0)+IF(DZ1020&lt;&gt;"",1,0)+IF(EB1020&lt;&gt;"",1,0)+IF(EC1020&lt;&gt;"",1,0)+IF(ED1020&lt;&gt;"",1,0)+IF(EG1020&lt;&gt;"",1,0)+IF(EH1020&lt;&gt;"",1,0)</f>
        <v/>
      </c>
      <c r="AZ1020">
        <f>IF(EH1020&lt;&gt;"",1,0)</f>
        <v/>
      </c>
      <c r="BB1020" t="inlineStr">
        <is>
          <t>WARREN-WARD 4</t>
        </is>
      </c>
      <c r="BY1020" t="inlineStr">
        <is>
          <t>D</t>
        </is>
      </c>
      <c r="CA1020" t="inlineStr">
        <is>
          <t>X</t>
        </is>
      </c>
      <c r="CK1020" t="inlineStr">
        <is>
          <t>X</t>
        </is>
      </c>
      <c r="CL1020" t="inlineStr">
        <is>
          <t>D</t>
        </is>
      </c>
      <c r="CN1020" t="inlineStr">
        <is>
          <t>X</t>
        </is>
      </c>
      <c r="CO1020" t="inlineStr">
        <is>
          <t>R</t>
        </is>
      </c>
      <c r="CP1020" t="inlineStr">
        <is>
          <t>X</t>
        </is>
      </c>
      <c r="CY1020" t="inlineStr">
        <is>
          <t>X</t>
        </is>
      </c>
      <c r="DI1020" t="inlineStr">
        <is>
          <t>X</t>
        </is>
      </c>
      <c r="EF1020" t="inlineStr">
        <is>
          <t>X</t>
        </is>
      </c>
    </row>
    <row r="1021">
      <c r="A1021" t="inlineStr">
        <is>
          <t>OH0027522241</t>
        </is>
      </c>
      <c r="B1021" t="n">
        <v>78</v>
      </c>
      <c r="C1021" t="n">
        <v>469405</v>
      </c>
      <c r="D1021" t="inlineStr">
        <is>
          <t>ASKEW</t>
        </is>
      </c>
      <c r="E1021" t="inlineStr">
        <is>
          <t>RAMELLO</t>
        </is>
      </c>
      <c r="F1021">
        <f>CONCATENATE(D1021," ",LEFT(H1021,4),"T=",AU1021,"D=",AV1021,"R=",AW1021,"M=",AX1021,"L=",AY1021,"B=",AZ1021)</f>
        <v/>
      </c>
      <c r="G1021" t="inlineStr">
        <is>
          <t>LAQUAN</t>
        </is>
      </c>
      <c r="I1021" t="inlineStr">
        <is>
          <t>2005-01-31</t>
        </is>
      </c>
      <c r="J1021" t="inlineStr">
        <is>
          <t>2024-08-13</t>
        </is>
      </c>
      <c r="K1021" t="inlineStr">
        <is>
          <t>ACTIVE</t>
        </is>
      </c>
      <c r="M1021" t="inlineStr">
        <is>
          <t>747 HOMEWOOD AVE SE</t>
        </is>
      </c>
      <c r="N1021">
        <f>RIGHT(M1021,LEN(M1021)-FIND(" ",M1021))</f>
        <v/>
      </c>
      <c r="P1021" t="inlineStr">
        <is>
          <t>WARREN</t>
        </is>
      </c>
      <c r="Q1021" t="inlineStr">
        <is>
          <t>OH</t>
        </is>
      </c>
      <c r="R1021" t="n">
        <v>44484</v>
      </c>
      <c r="AD1021" t="inlineStr">
        <is>
          <t>TRUMBULL CAREER &amp; TECH CENTER</t>
        </is>
      </c>
      <c r="AE1021" t="inlineStr">
        <is>
          <t>WARREN CITY</t>
        </is>
      </c>
      <c r="AF1021" t="inlineStr">
        <is>
          <t>WARREN CITY SD</t>
        </is>
      </c>
      <c r="AH1021" t="n">
        <v>14</v>
      </c>
      <c r="AI1021" t="n">
        <v>11</v>
      </c>
      <c r="AN1021" t="inlineStr">
        <is>
          <t>WARREN</t>
        </is>
      </c>
      <c r="AO1021" t="inlineStr">
        <is>
          <t>WARREN CITY 4A</t>
        </is>
      </c>
      <c r="AP1021" t="inlineStr">
        <is>
          <t>78-P-ADI</t>
        </is>
      </c>
      <c r="AQ1021" t="n">
        <v>9</v>
      </c>
      <c r="AR1021" t="n">
        <v>64</v>
      </c>
      <c r="AS1021" t="n">
        <v>32</v>
      </c>
      <c r="AU1021">
        <f>COUNTA($BA$1021:$EH$1021)</f>
        <v/>
      </c>
      <c r="AV1021">
        <f>COUNTIF($BA$1021:$EH$1021,"D")</f>
        <v/>
      </c>
      <c r="AW1021">
        <f>COUNTIF($BA$1021:$EH$1021,"R")</f>
        <v/>
      </c>
      <c r="AX1021">
        <f>IF(BN1021="D",1,0)+IF(BO1021="D",1,0)+IF(BT1021="D",1,0)+IF(BU1021="D",1,0)+IF(BW1021="D",1,0)+IF(CC1021="D",1,0)+IF(CD1021="D",1,0)+IF(CE1021="D",1,0)+IF(CF1021="D",1,0)+IF(CL1021="D",1,0)+IF(CM1021="D",1,0)+IF(CQ1021="D",1,0)+IF(CR1021="D",1,0)+IF(CS1021="D",1,0)+IF(CW1021="D",1,0)+IF(CX1021="D",1,0)+IF(DD1021="D",1,0)+IF(DE1021="D",1,0)+IF(DJ1021="D",1,0)+IF(DK1021="D",1,0)+IF(DO1021="D",1,0)+IF(DP1021="D",1,0)+IF(DQ1021="D",1,0)+IF(DW1021="D",1,0)+IF(DZ1021="D",1,0)+IF(EH1021="D",1,0)</f>
        <v/>
      </c>
      <c r="AY1021">
        <f>IF(DJ1021&lt;&gt;"",1,0)+IF(DK1021&lt;&gt;"",1,0)+IF(DM1021&lt;&gt;"",1,0)+IF(DO1021&lt;&gt;"",1,0)+IF(DP1021&lt;&gt;"",1,0)+IF(DQ1021&lt;&gt;"",1,0)+IF(DS1021&lt;&gt;"",1,0)+IF(DT1021&lt;&gt;"",1,0)+IF(DV1021&lt;&gt;"",1,0)+IF(DW1021&lt;&gt;"",1,0)+IF(DX1021&lt;&gt;"",1,0)+IF(DY1021&lt;&gt;"",1,0)+IF(DZ1021&lt;&gt;"",1,0)+IF(EB1021&lt;&gt;"",1,0)+IF(EC1021&lt;&gt;"",1,0)+IF(ED1021&lt;&gt;"",1,0)+IF(EG1021&lt;&gt;"",1,0)+IF(EH1021&lt;&gt;"",1,0)</f>
        <v/>
      </c>
      <c r="AZ1021">
        <f>IF(EH1021&lt;&gt;"",1,0)</f>
        <v/>
      </c>
      <c r="BB1021" t="inlineStr">
        <is>
          <t>WARREN-WARD 4</t>
        </is>
      </c>
    </row>
    <row r="1022">
      <c r="A1022" t="inlineStr">
        <is>
          <t>OH0015795439</t>
        </is>
      </c>
      <c r="B1022" t="n">
        <v>78</v>
      </c>
      <c r="C1022" t="n">
        <v>7803</v>
      </c>
      <c r="D1022" t="inlineStr">
        <is>
          <t>OSTRANDER</t>
        </is>
      </c>
      <c r="E1022" t="inlineStr">
        <is>
          <t>DEBORAH</t>
        </is>
      </c>
      <c r="F1022">
        <f>CONCATENATE(D1022," ",LEFT(H1022,4),"T=",AU1022,"D=",AV1022,"R=",AW1022,"M=",AX1022,"L=",AY1022,"B=",AZ1022)</f>
        <v/>
      </c>
      <c r="G1022" t="inlineStr">
        <is>
          <t>L</t>
        </is>
      </c>
      <c r="I1022" t="inlineStr">
        <is>
          <t>1950-01-24</t>
        </is>
      </c>
      <c r="J1022" t="inlineStr">
        <is>
          <t>2021-10-13</t>
        </is>
      </c>
      <c r="K1022" t="inlineStr">
        <is>
          <t>CONFIRMATION</t>
        </is>
      </c>
      <c r="M1022" t="inlineStr">
        <is>
          <t>412 BONNIE BRAE AVE SE</t>
        </is>
      </c>
      <c r="N1022">
        <f>RIGHT(M1022,LEN(M1022)-FIND(" ",M1022))</f>
        <v/>
      </c>
      <c r="P1022" t="inlineStr">
        <is>
          <t>WARREN</t>
        </is>
      </c>
      <c r="Q1022" t="inlineStr">
        <is>
          <t>OH</t>
        </is>
      </c>
      <c r="R1022" t="n">
        <v>44484</v>
      </c>
      <c r="AD1022" t="inlineStr">
        <is>
          <t>TRUMBULL CAREER &amp; TECH CENTER</t>
        </is>
      </c>
      <c r="AE1022" t="inlineStr">
        <is>
          <t>WARREN CITY</t>
        </is>
      </c>
      <c r="AF1022" t="inlineStr">
        <is>
          <t>WARREN CITY SD</t>
        </is>
      </c>
      <c r="AH1022" t="n">
        <v>14</v>
      </c>
      <c r="AI1022" t="n">
        <v>11</v>
      </c>
      <c r="AN1022" t="inlineStr">
        <is>
          <t>WARREN</t>
        </is>
      </c>
      <c r="AO1022" t="inlineStr">
        <is>
          <t>WARREN CITY 4A</t>
        </is>
      </c>
      <c r="AP1022" t="inlineStr">
        <is>
          <t>78-P-ADI</t>
        </is>
      </c>
      <c r="AQ1022" t="n">
        <v>9</v>
      </c>
      <c r="AR1022" t="n">
        <v>64</v>
      </c>
      <c r="AS1022" t="n">
        <v>32</v>
      </c>
      <c r="AU1022">
        <f>COUNTA($BA$1022:$EH$1022)</f>
        <v/>
      </c>
      <c r="AV1022">
        <f>COUNTIF($BA$1022:$EH$1022,"D")</f>
        <v/>
      </c>
      <c r="AW1022">
        <f>COUNTIF($BA$1022:$EH$1022,"R")</f>
        <v/>
      </c>
      <c r="AX1022">
        <f>IF(BN1022="D",1,0)+IF(BO1022="D",1,0)+IF(BT1022="D",1,0)+IF(BU1022="D",1,0)+IF(BW1022="D",1,0)+IF(CC1022="D",1,0)+IF(CD1022="D",1,0)+IF(CE1022="D",1,0)+IF(CF1022="D",1,0)+IF(CL1022="D",1,0)+IF(CM1022="D",1,0)+IF(CQ1022="D",1,0)+IF(CR1022="D",1,0)+IF(CS1022="D",1,0)+IF(CW1022="D",1,0)+IF(CX1022="D",1,0)+IF(DD1022="D",1,0)+IF(DE1022="D",1,0)+IF(DJ1022="D",1,0)+IF(DK1022="D",1,0)+IF(DO1022="D",1,0)+IF(DP1022="D",1,0)+IF(DQ1022="D",1,0)+IF(DW1022="D",1,0)+IF(DZ1022="D",1,0)+IF(EH1022="D",1,0)</f>
        <v/>
      </c>
      <c r="AY1022">
        <f>IF(DJ1022&lt;&gt;"",1,0)+IF(DK1022&lt;&gt;"",1,0)+IF(DM1022&lt;&gt;"",1,0)+IF(DO1022&lt;&gt;"",1,0)+IF(DP1022&lt;&gt;"",1,0)+IF(DQ1022&lt;&gt;"",1,0)+IF(DS1022&lt;&gt;"",1,0)+IF(DT1022&lt;&gt;"",1,0)+IF(DV1022&lt;&gt;"",1,0)+IF(DW1022&lt;&gt;"",1,0)+IF(DX1022&lt;&gt;"",1,0)+IF(DY1022&lt;&gt;"",1,0)+IF(DZ1022&lt;&gt;"",1,0)+IF(EB1022&lt;&gt;"",1,0)+IF(EC1022&lt;&gt;"",1,0)+IF(ED1022&lt;&gt;"",1,0)+IF(EG1022&lt;&gt;"",1,0)+IF(EH1022&lt;&gt;"",1,0)</f>
        <v/>
      </c>
      <c r="AZ1022">
        <f>IF(EH1022&lt;&gt;"",1,0)</f>
        <v/>
      </c>
      <c r="BB1022" t="inlineStr">
        <is>
          <t>WARREN-WARD 4</t>
        </is>
      </c>
      <c r="BD1022" t="inlineStr">
        <is>
          <t>X</t>
        </is>
      </c>
      <c r="BH1022" t="inlineStr">
        <is>
          <t>X</t>
        </is>
      </c>
      <c r="BJ1022" t="inlineStr">
        <is>
          <t>X</t>
        </is>
      </c>
      <c r="BL1022" t="inlineStr">
        <is>
          <t>X</t>
        </is>
      </c>
      <c r="CN1022" t="inlineStr">
        <is>
          <t>X</t>
        </is>
      </c>
      <c r="CP1022" t="inlineStr">
        <is>
          <t>X</t>
        </is>
      </c>
    </row>
    <row r="1023">
      <c r="A1023" t="inlineStr">
        <is>
          <t>OH0015700242</t>
        </is>
      </c>
      <c r="B1023" t="n">
        <v>78</v>
      </c>
      <c r="C1023" t="n">
        <v>158862</v>
      </c>
      <c r="D1023" t="inlineStr">
        <is>
          <t>PHYTHYON</t>
        </is>
      </c>
      <c r="E1023" t="inlineStr">
        <is>
          <t>LAUREL</t>
        </is>
      </c>
      <c r="F1023">
        <f>CONCATENATE(D1023," ",LEFT(H1023,4),"T=",AU1023,"D=",AV1023,"R=",AW1023,"M=",AX1023,"L=",AY1023,"B=",AZ1023)</f>
        <v/>
      </c>
      <c r="G1023" t="inlineStr">
        <is>
          <t>ANN</t>
        </is>
      </c>
      <c r="I1023" t="inlineStr">
        <is>
          <t>1952-08-19</t>
        </is>
      </c>
      <c r="J1023" t="inlineStr">
        <is>
          <t>2023-09-30</t>
        </is>
      </c>
      <c r="K1023" t="inlineStr">
        <is>
          <t>ACTIVE</t>
        </is>
      </c>
      <c r="L1023" t="inlineStr">
        <is>
          <t>D</t>
        </is>
      </c>
      <c r="M1023" t="inlineStr">
        <is>
          <t>446 KENILWORTH AVE SE</t>
        </is>
      </c>
      <c r="N1023">
        <f>RIGHT(M1023,LEN(M1023)-FIND(" ",M1023))</f>
        <v/>
      </c>
      <c r="P1023" t="inlineStr">
        <is>
          <t>WARREN</t>
        </is>
      </c>
      <c r="Q1023" t="inlineStr">
        <is>
          <t>OH</t>
        </is>
      </c>
      <c r="R1023" t="n">
        <v>44483</v>
      </c>
      <c r="AD1023" t="inlineStr">
        <is>
          <t>TRUMBULL CAREER &amp; TECH CENTER</t>
        </is>
      </c>
      <c r="AE1023" t="inlineStr">
        <is>
          <t>WARREN CITY</t>
        </is>
      </c>
      <c r="AF1023" t="inlineStr">
        <is>
          <t>WARREN CITY SD</t>
        </is>
      </c>
      <c r="AH1023" t="n">
        <v>14</v>
      </c>
      <c r="AI1023" t="n">
        <v>11</v>
      </c>
      <c r="AN1023" t="inlineStr">
        <is>
          <t>WARREN</t>
        </is>
      </c>
      <c r="AO1023" t="inlineStr">
        <is>
          <t>WARREN CITY 4A</t>
        </is>
      </c>
      <c r="AP1023" t="inlineStr">
        <is>
          <t>78-P-ADI</t>
        </is>
      </c>
      <c r="AQ1023" t="n">
        <v>9</v>
      </c>
      <c r="AR1023" t="n">
        <v>64</v>
      </c>
      <c r="AS1023" t="n">
        <v>32</v>
      </c>
      <c r="AU1023">
        <f>COUNTA($BA$1023:$EH$1023)</f>
        <v/>
      </c>
      <c r="AV1023">
        <f>COUNTIF($BA$1023:$EH$1023,"D")</f>
        <v/>
      </c>
      <c r="AW1023">
        <f>COUNTIF($BA$1023:$EH$1023,"R")</f>
        <v/>
      </c>
      <c r="AX1023">
        <f>IF(BN1023="D",1,0)+IF(BO1023="D",1,0)+IF(BT1023="D",1,0)+IF(BU1023="D",1,0)+IF(BW1023="D",1,0)+IF(CC1023="D",1,0)+IF(CD1023="D",1,0)+IF(CE1023="D",1,0)+IF(CF1023="D",1,0)+IF(CL1023="D",1,0)+IF(CM1023="D",1,0)+IF(CQ1023="D",1,0)+IF(CR1023="D",1,0)+IF(CS1023="D",1,0)+IF(CW1023="D",1,0)+IF(CX1023="D",1,0)+IF(DD1023="D",1,0)+IF(DE1023="D",1,0)+IF(DJ1023="D",1,0)+IF(DK1023="D",1,0)+IF(DO1023="D",1,0)+IF(DP1023="D",1,0)+IF(DQ1023="D",1,0)+IF(DW1023="D",1,0)+IF(DZ1023="D",1,0)+IF(EH1023="D",1,0)</f>
        <v/>
      </c>
      <c r="AY1023">
        <f>IF(DJ1023&lt;&gt;"",1,0)+IF(DK1023&lt;&gt;"",1,0)+IF(DM1023&lt;&gt;"",1,0)+IF(DO1023&lt;&gt;"",1,0)+IF(DP1023&lt;&gt;"",1,0)+IF(DQ1023&lt;&gt;"",1,0)+IF(DS1023&lt;&gt;"",1,0)+IF(DT1023&lt;&gt;"",1,0)+IF(DV1023&lt;&gt;"",1,0)+IF(DW1023&lt;&gt;"",1,0)+IF(DX1023&lt;&gt;"",1,0)+IF(DY1023&lt;&gt;"",1,0)+IF(DZ1023&lt;&gt;"",1,0)+IF(EB1023&lt;&gt;"",1,0)+IF(EC1023&lt;&gt;"",1,0)+IF(ED1023&lt;&gt;"",1,0)+IF(EG1023&lt;&gt;"",1,0)+IF(EH1023&lt;&gt;"",1,0)</f>
        <v/>
      </c>
      <c r="AZ1023">
        <f>IF(EH1023&lt;&gt;"",1,0)</f>
        <v/>
      </c>
      <c r="BB1023" t="inlineStr">
        <is>
          <t>WARREN-WARD 4</t>
        </is>
      </c>
      <c r="BC1023" t="inlineStr">
        <is>
          <t>X</t>
        </is>
      </c>
      <c r="BD1023" t="inlineStr">
        <is>
          <t>X</t>
        </is>
      </c>
      <c r="BF1023" t="inlineStr">
        <is>
          <t>X</t>
        </is>
      </c>
      <c r="BH1023" t="inlineStr">
        <is>
          <t>X</t>
        </is>
      </c>
      <c r="BI1023" t="inlineStr">
        <is>
          <t>X</t>
        </is>
      </c>
      <c r="BJ1023" t="inlineStr">
        <is>
          <t>X</t>
        </is>
      </c>
      <c r="BK1023" t="inlineStr">
        <is>
          <t>X</t>
        </is>
      </c>
      <c r="BL1023" t="inlineStr">
        <is>
          <t>X</t>
        </is>
      </c>
      <c r="BP1023" t="inlineStr">
        <is>
          <t>X</t>
        </is>
      </c>
      <c r="BR1023" t="inlineStr">
        <is>
          <t>X</t>
        </is>
      </c>
      <c r="BS1023" t="inlineStr">
        <is>
          <t>X</t>
        </is>
      </c>
      <c r="BV1023" t="inlineStr">
        <is>
          <t>X</t>
        </is>
      </c>
      <c r="BY1023" t="inlineStr">
        <is>
          <t>D</t>
        </is>
      </c>
      <c r="CA1023" t="inlineStr">
        <is>
          <t>X</t>
        </is>
      </c>
      <c r="CG1023" t="inlineStr">
        <is>
          <t>X</t>
        </is>
      </c>
      <c r="CH1023" t="inlineStr">
        <is>
          <t>D</t>
        </is>
      </c>
      <c r="CK1023" t="inlineStr">
        <is>
          <t>X</t>
        </is>
      </c>
      <c r="CL1023" t="inlineStr">
        <is>
          <t>D</t>
        </is>
      </c>
      <c r="CN1023" t="inlineStr">
        <is>
          <t>X</t>
        </is>
      </c>
      <c r="CO1023" t="inlineStr">
        <is>
          <t>D</t>
        </is>
      </c>
      <c r="CP1023" t="inlineStr">
        <is>
          <t>X</t>
        </is>
      </c>
      <c r="CT1023" t="inlineStr">
        <is>
          <t>X</t>
        </is>
      </c>
      <c r="CW1023" t="inlineStr">
        <is>
          <t>D</t>
        </is>
      </c>
      <c r="CY1023" t="inlineStr">
        <is>
          <t>X</t>
        </is>
      </c>
      <c r="CZ1023" t="inlineStr">
        <is>
          <t>D</t>
        </is>
      </c>
      <c r="DC1023" t="inlineStr">
        <is>
          <t>X</t>
        </is>
      </c>
      <c r="DD1023" t="inlineStr">
        <is>
          <t>D</t>
        </is>
      </c>
      <c r="DF1023" t="inlineStr">
        <is>
          <t>X</t>
        </is>
      </c>
      <c r="DI1023" t="inlineStr">
        <is>
          <t>X</t>
        </is>
      </c>
      <c r="DJ1023" t="inlineStr">
        <is>
          <t>D</t>
        </is>
      </c>
      <c r="DL1023" t="inlineStr">
        <is>
          <t>X</t>
        </is>
      </c>
      <c r="DM1023" t="inlineStr">
        <is>
          <t>D</t>
        </is>
      </c>
      <c r="DN1023" t="inlineStr">
        <is>
          <t>X</t>
        </is>
      </c>
      <c r="DR1023" t="inlineStr">
        <is>
          <t>X</t>
        </is>
      </c>
      <c r="DS1023" t="inlineStr">
        <is>
          <t>D</t>
        </is>
      </c>
      <c r="DT1023" t="inlineStr">
        <is>
          <t>D</t>
        </is>
      </c>
      <c r="DU1023" t="inlineStr">
        <is>
          <t>X</t>
        </is>
      </c>
      <c r="DW1023" t="inlineStr">
        <is>
          <t>D</t>
        </is>
      </c>
      <c r="EF1023" t="inlineStr">
        <is>
          <t>X</t>
        </is>
      </c>
    </row>
    <row r="1024">
      <c r="A1024" t="inlineStr">
        <is>
          <t>OH0027937066</t>
        </is>
      </c>
      <c r="B1024" t="n">
        <v>78</v>
      </c>
      <c r="C1024" t="n">
        <v>495737</v>
      </c>
      <c r="D1024" t="inlineStr">
        <is>
          <t>SHREVE</t>
        </is>
      </c>
      <c r="E1024" t="inlineStr">
        <is>
          <t>BRANDON</t>
        </is>
      </c>
      <c r="F1024">
        <f>CONCATENATE(D1024," ",LEFT(H1024,4),"T=",AU1024,"D=",AV1024,"R=",AW1024,"M=",AX1024,"L=",AY1024,"B=",AZ1024)</f>
        <v/>
      </c>
      <c r="G1024" t="inlineStr">
        <is>
          <t>MICHAEL</t>
        </is>
      </c>
      <c r="I1024" t="inlineStr">
        <is>
          <t>2000-06-26</t>
        </is>
      </c>
      <c r="J1024" t="inlineStr">
        <is>
          <t>2025-04-05</t>
        </is>
      </c>
      <c r="K1024" t="inlineStr">
        <is>
          <t>ACTIVE</t>
        </is>
      </c>
      <c r="M1024" t="inlineStr">
        <is>
          <t>328 LAIRD AVE SE</t>
        </is>
      </c>
      <c r="N1024">
        <f>RIGHT(M1024,LEN(M1024)-FIND(" ",M1024))</f>
        <v/>
      </c>
      <c r="P1024" t="inlineStr">
        <is>
          <t>WARREN</t>
        </is>
      </c>
      <c r="Q1024" t="inlineStr">
        <is>
          <t>OH</t>
        </is>
      </c>
      <c r="R1024" t="n">
        <v>44483</v>
      </c>
      <c r="AD1024" t="inlineStr">
        <is>
          <t>TRUMBULL CAREER &amp; TECH CENTER</t>
        </is>
      </c>
      <c r="AE1024" t="inlineStr">
        <is>
          <t>WARREN CITY</t>
        </is>
      </c>
      <c r="AF1024" t="inlineStr">
        <is>
          <t>WARREN CITY SD</t>
        </is>
      </c>
      <c r="AH1024" t="n">
        <v>14</v>
      </c>
      <c r="AI1024" t="n">
        <v>11</v>
      </c>
      <c r="AN1024" t="inlineStr">
        <is>
          <t>WARREN</t>
        </is>
      </c>
      <c r="AO1024" t="inlineStr">
        <is>
          <t>WARREN CITY 4A</t>
        </is>
      </c>
      <c r="AP1024" t="inlineStr">
        <is>
          <t>78-P-ADI</t>
        </is>
      </c>
      <c r="AQ1024" t="n">
        <v>9</v>
      </c>
      <c r="AR1024" t="n">
        <v>64</v>
      </c>
      <c r="AS1024" t="n">
        <v>32</v>
      </c>
      <c r="AU1024">
        <f>COUNTA($BA$1024:$EH$1024)</f>
        <v/>
      </c>
      <c r="AV1024">
        <f>COUNTIF($BA$1024:$EH$1024,"D")</f>
        <v/>
      </c>
      <c r="AW1024">
        <f>COUNTIF($BA$1024:$EH$1024,"R")</f>
        <v/>
      </c>
      <c r="AX1024">
        <f>IF(BN1024="D",1,0)+IF(BO1024="D",1,0)+IF(BT1024="D",1,0)+IF(BU1024="D",1,0)+IF(BW1024="D",1,0)+IF(CC1024="D",1,0)+IF(CD1024="D",1,0)+IF(CE1024="D",1,0)+IF(CF1024="D",1,0)+IF(CL1024="D",1,0)+IF(CM1024="D",1,0)+IF(CQ1024="D",1,0)+IF(CR1024="D",1,0)+IF(CS1024="D",1,0)+IF(CW1024="D",1,0)+IF(CX1024="D",1,0)+IF(DD1024="D",1,0)+IF(DE1024="D",1,0)+IF(DJ1024="D",1,0)+IF(DK1024="D",1,0)+IF(DO1024="D",1,0)+IF(DP1024="D",1,0)+IF(DQ1024="D",1,0)+IF(DW1024="D",1,0)+IF(DZ1024="D",1,0)+IF(EH1024="D",1,0)</f>
        <v/>
      </c>
      <c r="AY1024">
        <f>IF(DJ1024&lt;&gt;"",1,0)+IF(DK1024&lt;&gt;"",1,0)+IF(DM1024&lt;&gt;"",1,0)+IF(DO1024&lt;&gt;"",1,0)+IF(DP1024&lt;&gt;"",1,0)+IF(DQ1024&lt;&gt;"",1,0)+IF(DS1024&lt;&gt;"",1,0)+IF(DT1024&lt;&gt;"",1,0)+IF(DV1024&lt;&gt;"",1,0)+IF(DW1024&lt;&gt;"",1,0)+IF(DX1024&lt;&gt;"",1,0)+IF(DY1024&lt;&gt;"",1,0)+IF(DZ1024&lt;&gt;"",1,0)+IF(EB1024&lt;&gt;"",1,0)+IF(EC1024&lt;&gt;"",1,0)+IF(ED1024&lt;&gt;"",1,0)+IF(EG1024&lt;&gt;"",1,0)+IF(EH1024&lt;&gt;"",1,0)</f>
        <v/>
      </c>
      <c r="AZ1024">
        <f>IF(EH1024&lt;&gt;"",1,0)</f>
        <v/>
      </c>
      <c r="BB1024" t="inlineStr">
        <is>
          <t>WARREN-WARD 4</t>
        </is>
      </c>
    </row>
    <row r="1025">
      <c r="A1025" t="inlineStr">
        <is>
          <t>OH0026240098</t>
        </is>
      </c>
      <c r="B1025" t="n">
        <v>78</v>
      </c>
      <c r="C1025" t="n">
        <v>458928</v>
      </c>
      <c r="D1025" t="inlineStr">
        <is>
          <t>BOGDEN</t>
        </is>
      </c>
      <c r="E1025" t="inlineStr">
        <is>
          <t>JULIA</t>
        </is>
      </c>
      <c r="F1025">
        <f>CONCATENATE(D1025," ",LEFT(H1025,4),"T=",AU1025,"D=",AV1025,"R=",AW1025,"M=",AX1025,"L=",AY1025,"B=",AZ1025)</f>
        <v/>
      </c>
      <c r="G1025" t="inlineStr">
        <is>
          <t>PAIGE</t>
        </is>
      </c>
      <c r="I1025" t="inlineStr">
        <is>
          <t>2002-10-09</t>
        </is>
      </c>
      <c r="J1025" t="inlineStr">
        <is>
          <t>2023-10-06</t>
        </is>
      </c>
      <c r="K1025" t="inlineStr">
        <is>
          <t>CONFIRMATION</t>
        </is>
      </c>
      <c r="M1025" t="inlineStr">
        <is>
          <t>598 OAK KNOLL AVE SE</t>
        </is>
      </c>
      <c r="N1025">
        <f>RIGHT(M1025,LEN(M1025)-FIND(" ",M1025))</f>
        <v/>
      </c>
      <c r="P1025" t="inlineStr">
        <is>
          <t>WARREN</t>
        </is>
      </c>
      <c r="Q1025" t="inlineStr">
        <is>
          <t>OH</t>
        </is>
      </c>
      <c r="R1025" t="n">
        <v>44483</v>
      </c>
      <c r="AD1025" t="inlineStr">
        <is>
          <t>TRUMBULL CAREER &amp; TECH CENTER</t>
        </is>
      </c>
      <c r="AE1025" t="inlineStr">
        <is>
          <t>WARREN CITY</t>
        </is>
      </c>
      <c r="AF1025" t="inlineStr">
        <is>
          <t>WARREN CITY SD</t>
        </is>
      </c>
      <c r="AH1025" t="n">
        <v>14</v>
      </c>
      <c r="AI1025" t="n">
        <v>11</v>
      </c>
      <c r="AN1025" t="inlineStr">
        <is>
          <t>WARREN</t>
        </is>
      </c>
      <c r="AO1025" t="inlineStr">
        <is>
          <t>WARREN CITY 4A</t>
        </is>
      </c>
      <c r="AP1025" t="inlineStr">
        <is>
          <t>78-P-ADI</t>
        </is>
      </c>
      <c r="AQ1025" t="n">
        <v>9</v>
      </c>
      <c r="AR1025" t="n">
        <v>64</v>
      </c>
      <c r="AS1025" t="n">
        <v>32</v>
      </c>
      <c r="AU1025">
        <f>COUNTA($BA$1025:$EH$1025)</f>
        <v/>
      </c>
      <c r="AV1025">
        <f>COUNTIF($BA$1025:$EH$1025,"D")</f>
        <v/>
      </c>
      <c r="AW1025">
        <f>COUNTIF($BA$1025:$EH$1025,"R")</f>
        <v/>
      </c>
      <c r="AX1025">
        <f>IF(BN1025="D",1,0)+IF(BO1025="D",1,0)+IF(BT1025="D",1,0)+IF(BU1025="D",1,0)+IF(BW1025="D",1,0)+IF(CC1025="D",1,0)+IF(CD1025="D",1,0)+IF(CE1025="D",1,0)+IF(CF1025="D",1,0)+IF(CL1025="D",1,0)+IF(CM1025="D",1,0)+IF(CQ1025="D",1,0)+IF(CR1025="D",1,0)+IF(CS1025="D",1,0)+IF(CW1025="D",1,0)+IF(CX1025="D",1,0)+IF(DD1025="D",1,0)+IF(DE1025="D",1,0)+IF(DJ1025="D",1,0)+IF(DK1025="D",1,0)+IF(DO1025="D",1,0)+IF(DP1025="D",1,0)+IF(DQ1025="D",1,0)+IF(DW1025="D",1,0)+IF(DZ1025="D",1,0)+IF(EH1025="D",1,0)</f>
        <v/>
      </c>
      <c r="AY1025">
        <f>IF(DJ1025&lt;&gt;"",1,0)+IF(DK1025&lt;&gt;"",1,0)+IF(DM1025&lt;&gt;"",1,0)+IF(DO1025&lt;&gt;"",1,0)+IF(DP1025&lt;&gt;"",1,0)+IF(DQ1025&lt;&gt;"",1,0)+IF(DS1025&lt;&gt;"",1,0)+IF(DT1025&lt;&gt;"",1,0)+IF(DV1025&lt;&gt;"",1,0)+IF(DW1025&lt;&gt;"",1,0)+IF(DX1025&lt;&gt;"",1,0)+IF(DY1025&lt;&gt;"",1,0)+IF(DZ1025&lt;&gt;"",1,0)+IF(EB1025&lt;&gt;"",1,0)+IF(EC1025&lt;&gt;"",1,0)+IF(ED1025&lt;&gt;"",1,0)+IF(EG1025&lt;&gt;"",1,0)+IF(EH1025&lt;&gt;"",1,0)</f>
        <v/>
      </c>
      <c r="AZ1025">
        <f>IF(EH1025&lt;&gt;"",1,0)</f>
        <v/>
      </c>
      <c r="BB1025" t="inlineStr">
        <is>
          <t>WARREN-WARD 4</t>
        </is>
      </c>
    </row>
    <row r="1026">
      <c r="A1026" t="inlineStr">
        <is>
          <t>OH0025193036</t>
        </is>
      </c>
      <c r="B1026" t="n">
        <v>78</v>
      </c>
      <c r="C1026" t="n">
        <v>441149</v>
      </c>
      <c r="D1026" t="inlineStr">
        <is>
          <t>TRULY</t>
        </is>
      </c>
      <c r="E1026" t="inlineStr">
        <is>
          <t>ELEXIS</t>
        </is>
      </c>
      <c r="F1026">
        <f>CONCATENATE(D1026," ",LEFT(H1026,4),"T=",AU1026,"D=",AV1026,"R=",AW1026,"M=",AX1026,"L=",AY1026,"B=",AZ1026)</f>
        <v/>
      </c>
      <c r="G1026" t="inlineStr">
        <is>
          <t>JAHMAREE ELIENE</t>
        </is>
      </c>
      <c r="I1026" t="inlineStr">
        <is>
          <t>2001-07-13</t>
        </is>
      </c>
      <c r="J1026" t="inlineStr">
        <is>
          <t>2019-08-24</t>
        </is>
      </c>
      <c r="K1026" t="inlineStr">
        <is>
          <t>CONFIRMATION</t>
        </is>
      </c>
      <c r="M1026" t="inlineStr">
        <is>
          <t>1424 SOUTH ST SE</t>
        </is>
      </c>
      <c r="N1026">
        <f>RIGHT(M1026,LEN(M1026)-FIND(" ",M1026))</f>
        <v/>
      </c>
      <c r="P1026" t="inlineStr">
        <is>
          <t>WARREN</t>
        </is>
      </c>
      <c r="Q1026" t="inlineStr">
        <is>
          <t>OH</t>
        </is>
      </c>
      <c r="R1026" t="n">
        <v>44483</v>
      </c>
      <c r="AD1026" t="inlineStr">
        <is>
          <t>TRUMBULL CAREER &amp; TECH CENTER</t>
        </is>
      </c>
      <c r="AE1026" t="inlineStr">
        <is>
          <t>WARREN CITY</t>
        </is>
      </c>
      <c r="AF1026" t="inlineStr">
        <is>
          <t>WARREN CITY SD</t>
        </is>
      </c>
      <c r="AH1026" t="n">
        <v>14</v>
      </c>
      <c r="AI1026" t="n">
        <v>11</v>
      </c>
      <c r="AN1026" t="inlineStr">
        <is>
          <t>WARREN</t>
        </is>
      </c>
      <c r="AO1026" t="inlineStr">
        <is>
          <t>WARREN CITY 4A</t>
        </is>
      </c>
      <c r="AP1026" t="inlineStr">
        <is>
          <t>78-P-ADI</t>
        </is>
      </c>
      <c r="AQ1026" t="n">
        <v>9</v>
      </c>
      <c r="AR1026" t="n">
        <v>64</v>
      </c>
      <c r="AS1026" t="n">
        <v>32</v>
      </c>
      <c r="AU1026">
        <f>COUNTA($BA$1026:$EH$1026)</f>
        <v/>
      </c>
      <c r="AV1026">
        <f>COUNTIF($BA$1026:$EH$1026,"D")</f>
        <v/>
      </c>
      <c r="AW1026">
        <f>COUNTIF($BA$1026:$EH$1026,"R")</f>
        <v/>
      </c>
      <c r="AX1026">
        <f>IF(BN1026="D",1,0)+IF(BO1026="D",1,0)+IF(BT1026="D",1,0)+IF(BU1026="D",1,0)+IF(BW1026="D",1,0)+IF(CC1026="D",1,0)+IF(CD1026="D",1,0)+IF(CE1026="D",1,0)+IF(CF1026="D",1,0)+IF(CL1026="D",1,0)+IF(CM1026="D",1,0)+IF(CQ1026="D",1,0)+IF(CR1026="D",1,0)+IF(CS1026="D",1,0)+IF(CW1026="D",1,0)+IF(CX1026="D",1,0)+IF(DD1026="D",1,0)+IF(DE1026="D",1,0)+IF(DJ1026="D",1,0)+IF(DK1026="D",1,0)+IF(DO1026="D",1,0)+IF(DP1026="D",1,0)+IF(DQ1026="D",1,0)+IF(DW1026="D",1,0)+IF(DZ1026="D",1,0)+IF(EH1026="D",1,0)</f>
        <v/>
      </c>
      <c r="AY1026">
        <f>IF(DJ1026&lt;&gt;"",1,0)+IF(DK1026&lt;&gt;"",1,0)+IF(DM1026&lt;&gt;"",1,0)+IF(DO1026&lt;&gt;"",1,0)+IF(DP1026&lt;&gt;"",1,0)+IF(DQ1026&lt;&gt;"",1,0)+IF(DS1026&lt;&gt;"",1,0)+IF(DT1026&lt;&gt;"",1,0)+IF(DV1026&lt;&gt;"",1,0)+IF(DW1026&lt;&gt;"",1,0)+IF(DX1026&lt;&gt;"",1,0)+IF(DY1026&lt;&gt;"",1,0)+IF(DZ1026&lt;&gt;"",1,0)+IF(EB1026&lt;&gt;"",1,0)+IF(EC1026&lt;&gt;"",1,0)+IF(ED1026&lt;&gt;"",1,0)+IF(EG1026&lt;&gt;"",1,0)+IF(EH1026&lt;&gt;"",1,0)</f>
        <v/>
      </c>
      <c r="AZ1026">
        <f>IF(EH1026&lt;&gt;"",1,0)</f>
        <v/>
      </c>
      <c r="BB1026" t="inlineStr">
        <is>
          <t>WARREN-WARD 4</t>
        </is>
      </c>
    </row>
    <row r="1027">
      <c r="A1027" t="inlineStr">
        <is>
          <t>OH0024705028</t>
        </is>
      </c>
      <c r="B1027" t="n">
        <v>78</v>
      </c>
      <c r="C1027" t="n">
        <v>434008</v>
      </c>
      <c r="D1027" t="inlineStr">
        <is>
          <t>BENNETT</t>
        </is>
      </c>
      <c r="E1027" t="inlineStr">
        <is>
          <t>DANDRE</t>
        </is>
      </c>
      <c r="F1027">
        <f>CONCATENATE(D1027," ",LEFT(H1027,4),"T=",AU1027,"D=",AV1027,"R=",AW1027,"M=",AX1027,"L=",AY1027,"B=",AZ1027)</f>
        <v/>
      </c>
      <c r="G1027" t="inlineStr">
        <is>
          <t>LEE</t>
        </is>
      </c>
      <c r="I1027" t="inlineStr">
        <is>
          <t>1990-09-28</t>
        </is>
      </c>
      <c r="J1027" t="inlineStr">
        <is>
          <t>2024-06-10</t>
        </is>
      </c>
      <c r="K1027" t="inlineStr">
        <is>
          <t>ACTIVE</t>
        </is>
      </c>
      <c r="M1027" t="inlineStr">
        <is>
          <t>336 IDDINGS AVE SE</t>
        </is>
      </c>
      <c r="N1027">
        <f>RIGHT(M1027,LEN(M1027)-FIND(" ",M1027))</f>
        <v/>
      </c>
      <c r="P1027" t="inlineStr">
        <is>
          <t>WARREN</t>
        </is>
      </c>
      <c r="Q1027" t="inlineStr">
        <is>
          <t>OH</t>
        </is>
      </c>
      <c r="R1027" t="n">
        <v>44483</v>
      </c>
      <c r="AD1027" t="inlineStr">
        <is>
          <t>TRUMBULL CAREER &amp; TECH CENTER</t>
        </is>
      </c>
      <c r="AE1027" t="inlineStr">
        <is>
          <t>WARREN CITY</t>
        </is>
      </c>
      <c r="AF1027" t="inlineStr">
        <is>
          <t>WARREN CITY SD</t>
        </is>
      </c>
      <c r="AH1027" t="n">
        <v>14</v>
      </c>
      <c r="AI1027" t="n">
        <v>11</v>
      </c>
      <c r="AN1027" t="inlineStr">
        <is>
          <t>WARREN</t>
        </is>
      </c>
      <c r="AO1027" t="inlineStr">
        <is>
          <t>WARREN CITY 4A</t>
        </is>
      </c>
      <c r="AP1027" t="inlineStr">
        <is>
          <t>78-P-ADI</t>
        </is>
      </c>
      <c r="AQ1027" t="n">
        <v>9</v>
      </c>
      <c r="AR1027" t="n">
        <v>64</v>
      </c>
      <c r="AS1027" t="n">
        <v>32</v>
      </c>
      <c r="AU1027">
        <f>COUNTA($BA$1027:$EH$1027)</f>
        <v/>
      </c>
      <c r="AV1027">
        <f>COUNTIF($BA$1027:$EH$1027,"D")</f>
        <v/>
      </c>
      <c r="AW1027">
        <f>COUNTIF($BA$1027:$EH$1027,"R")</f>
        <v/>
      </c>
      <c r="AX1027">
        <f>IF(BN1027="D",1,0)+IF(BO1027="D",1,0)+IF(BT1027="D",1,0)+IF(BU1027="D",1,0)+IF(BW1027="D",1,0)+IF(CC1027="D",1,0)+IF(CD1027="D",1,0)+IF(CE1027="D",1,0)+IF(CF1027="D",1,0)+IF(CL1027="D",1,0)+IF(CM1027="D",1,0)+IF(CQ1027="D",1,0)+IF(CR1027="D",1,0)+IF(CS1027="D",1,0)+IF(CW1027="D",1,0)+IF(CX1027="D",1,0)+IF(DD1027="D",1,0)+IF(DE1027="D",1,0)+IF(DJ1027="D",1,0)+IF(DK1027="D",1,0)+IF(DO1027="D",1,0)+IF(DP1027="D",1,0)+IF(DQ1027="D",1,0)+IF(DW1027="D",1,0)+IF(DZ1027="D",1,0)+IF(EH1027="D",1,0)</f>
        <v/>
      </c>
      <c r="AY1027">
        <f>IF(DJ1027&lt;&gt;"",1,0)+IF(DK1027&lt;&gt;"",1,0)+IF(DM1027&lt;&gt;"",1,0)+IF(DO1027&lt;&gt;"",1,0)+IF(DP1027&lt;&gt;"",1,0)+IF(DQ1027&lt;&gt;"",1,0)+IF(DS1027&lt;&gt;"",1,0)+IF(DT1027&lt;&gt;"",1,0)+IF(DV1027&lt;&gt;"",1,0)+IF(DW1027&lt;&gt;"",1,0)+IF(DX1027&lt;&gt;"",1,0)+IF(DY1027&lt;&gt;"",1,0)+IF(DZ1027&lt;&gt;"",1,0)+IF(EB1027&lt;&gt;"",1,0)+IF(EC1027&lt;&gt;"",1,0)+IF(ED1027&lt;&gt;"",1,0)+IF(EG1027&lt;&gt;"",1,0)+IF(EH1027&lt;&gt;"",1,0)</f>
        <v/>
      </c>
      <c r="AZ1027">
        <f>IF(EH1027&lt;&gt;"",1,0)</f>
        <v/>
      </c>
      <c r="BB1027" t="inlineStr">
        <is>
          <t>WARREN-WARD 4</t>
        </is>
      </c>
      <c r="EF1027" t="inlineStr">
        <is>
          <t>X</t>
        </is>
      </c>
    </row>
    <row r="1028">
      <c r="A1028" t="inlineStr">
        <is>
          <t>OH0025720517</t>
        </is>
      </c>
      <c r="B1028" t="n">
        <v>78</v>
      </c>
      <c r="C1028" t="n">
        <v>449240</v>
      </c>
      <c r="D1028" t="inlineStr">
        <is>
          <t>CONLON</t>
        </is>
      </c>
      <c r="E1028" t="inlineStr">
        <is>
          <t>STEPHANIE</t>
        </is>
      </c>
      <c r="F1028">
        <f>CONCATENATE(D1028," ",LEFT(H1028,4),"T=",AU1028,"D=",AV1028,"R=",AW1028,"M=",AX1028,"L=",AY1028,"B=",AZ1028)</f>
        <v/>
      </c>
      <c r="G1028" t="inlineStr">
        <is>
          <t>LEE</t>
        </is>
      </c>
      <c r="I1028" t="inlineStr">
        <is>
          <t>1982-10-13</t>
        </is>
      </c>
      <c r="J1028" t="inlineStr">
        <is>
          <t>2023-01-06</t>
        </is>
      </c>
      <c r="K1028" t="inlineStr">
        <is>
          <t>ACTIVE</t>
        </is>
      </c>
      <c r="M1028" t="inlineStr">
        <is>
          <t>1755 YOUNGSTOWN RD SE</t>
        </is>
      </c>
      <c r="N1028">
        <f>RIGHT(M1028,LEN(M1028)-FIND(" ",M1028))</f>
        <v/>
      </c>
      <c r="P1028" t="inlineStr">
        <is>
          <t>WARREN</t>
        </is>
      </c>
      <c r="Q1028" t="inlineStr">
        <is>
          <t>OH</t>
        </is>
      </c>
      <c r="R1028" t="n">
        <v>44484</v>
      </c>
      <c r="AD1028" t="inlineStr">
        <is>
          <t>TRUMBULL CAREER &amp; TECH CENTER</t>
        </is>
      </c>
      <c r="AE1028" t="inlineStr">
        <is>
          <t>WARREN CITY</t>
        </is>
      </c>
      <c r="AF1028" t="inlineStr">
        <is>
          <t>WARREN CITY SD</t>
        </is>
      </c>
      <c r="AH1028" t="n">
        <v>14</v>
      </c>
      <c r="AI1028" t="n">
        <v>11</v>
      </c>
      <c r="AN1028" t="inlineStr">
        <is>
          <t>WARREN</t>
        </is>
      </c>
      <c r="AO1028" t="inlineStr">
        <is>
          <t>WARREN CITY 4A</t>
        </is>
      </c>
      <c r="AP1028" t="inlineStr">
        <is>
          <t>78-P-ADI</t>
        </is>
      </c>
      <c r="AQ1028" t="n">
        <v>9</v>
      </c>
      <c r="AR1028" t="n">
        <v>64</v>
      </c>
      <c r="AS1028" t="n">
        <v>32</v>
      </c>
      <c r="AU1028">
        <f>COUNTA($BA$1028:$EH$1028)</f>
        <v/>
      </c>
      <c r="AV1028">
        <f>COUNTIF($BA$1028:$EH$1028,"D")</f>
        <v/>
      </c>
      <c r="AW1028">
        <f>COUNTIF($BA$1028:$EH$1028,"R")</f>
        <v/>
      </c>
      <c r="AX1028">
        <f>IF(BN1028="D",1,0)+IF(BO1028="D",1,0)+IF(BT1028="D",1,0)+IF(BU1028="D",1,0)+IF(BW1028="D",1,0)+IF(CC1028="D",1,0)+IF(CD1028="D",1,0)+IF(CE1028="D",1,0)+IF(CF1028="D",1,0)+IF(CL1028="D",1,0)+IF(CM1028="D",1,0)+IF(CQ1028="D",1,0)+IF(CR1028="D",1,0)+IF(CS1028="D",1,0)+IF(CW1028="D",1,0)+IF(CX1028="D",1,0)+IF(DD1028="D",1,0)+IF(DE1028="D",1,0)+IF(DJ1028="D",1,0)+IF(DK1028="D",1,0)+IF(DO1028="D",1,0)+IF(DP1028="D",1,0)+IF(DQ1028="D",1,0)+IF(DW1028="D",1,0)+IF(DZ1028="D",1,0)+IF(EH1028="D",1,0)</f>
        <v/>
      </c>
      <c r="AY1028">
        <f>IF(DJ1028&lt;&gt;"",1,0)+IF(DK1028&lt;&gt;"",1,0)+IF(DM1028&lt;&gt;"",1,0)+IF(DO1028&lt;&gt;"",1,0)+IF(DP1028&lt;&gt;"",1,0)+IF(DQ1028&lt;&gt;"",1,0)+IF(DS1028&lt;&gt;"",1,0)+IF(DT1028&lt;&gt;"",1,0)+IF(DV1028&lt;&gt;"",1,0)+IF(DW1028&lt;&gt;"",1,0)+IF(DX1028&lt;&gt;"",1,0)+IF(DY1028&lt;&gt;"",1,0)+IF(DZ1028&lt;&gt;"",1,0)+IF(EB1028&lt;&gt;"",1,0)+IF(EC1028&lt;&gt;"",1,0)+IF(ED1028&lt;&gt;"",1,0)+IF(EG1028&lt;&gt;"",1,0)+IF(EH1028&lt;&gt;"",1,0)</f>
        <v/>
      </c>
      <c r="AZ1028">
        <f>IF(EH1028&lt;&gt;"",1,0)</f>
        <v/>
      </c>
      <c r="BB1028" t="inlineStr">
        <is>
          <t>WARREN-WARD 4</t>
        </is>
      </c>
    </row>
    <row r="1029">
      <c r="A1029" t="inlineStr">
        <is>
          <t>OH0015683858</t>
        </is>
      </c>
      <c r="B1029" t="n">
        <v>78</v>
      </c>
      <c r="C1029" t="n">
        <v>1189</v>
      </c>
      <c r="D1029" t="inlineStr">
        <is>
          <t>BLOSE</t>
        </is>
      </c>
      <c r="E1029" t="inlineStr">
        <is>
          <t>RICHARD</t>
        </is>
      </c>
      <c r="F1029">
        <f>CONCATENATE(D1029," ",LEFT(H1029,4),"T=",AU1029,"D=",AV1029,"R=",AW1029,"M=",AX1029,"L=",AY1029,"B=",AZ1029)</f>
        <v/>
      </c>
      <c r="G1029" t="inlineStr">
        <is>
          <t>E</t>
        </is>
      </c>
      <c r="I1029" t="inlineStr">
        <is>
          <t>1951-09-05</t>
        </is>
      </c>
      <c r="J1029" t="inlineStr">
        <is>
          <t>1976-01-26</t>
        </is>
      </c>
      <c r="K1029" t="inlineStr">
        <is>
          <t>ACTIVE</t>
        </is>
      </c>
      <c r="L1029" t="inlineStr">
        <is>
          <t>D</t>
        </is>
      </c>
      <c r="M1029" t="inlineStr">
        <is>
          <t>826 HOMEWOOD AVE SE</t>
        </is>
      </c>
      <c r="N1029">
        <f>RIGHT(M1029,LEN(M1029)-FIND(" ",M1029))</f>
        <v/>
      </c>
      <c r="P1029" t="inlineStr">
        <is>
          <t>WARREN</t>
        </is>
      </c>
      <c r="Q1029" t="inlineStr">
        <is>
          <t>OH</t>
        </is>
      </c>
      <c r="R1029" t="n">
        <v>44484</v>
      </c>
      <c r="AD1029" t="inlineStr">
        <is>
          <t>TRUMBULL CAREER &amp; TECH CENTER</t>
        </is>
      </c>
      <c r="AE1029" t="inlineStr">
        <is>
          <t>WARREN CITY</t>
        </is>
      </c>
      <c r="AF1029" t="inlineStr">
        <is>
          <t>WARREN CITY SD</t>
        </is>
      </c>
      <c r="AH1029" t="n">
        <v>14</v>
      </c>
      <c r="AI1029" t="n">
        <v>11</v>
      </c>
      <c r="AN1029" t="inlineStr">
        <is>
          <t>WARREN</t>
        </is>
      </c>
      <c r="AO1029" t="inlineStr">
        <is>
          <t>WARREN CITY 4A</t>
        </is>
      </c>
      <c r="AP1029" t="inlineStr">
        <is>
          <t>78-P-ADI</t>
        </is>
      </c>
      <c r="AQ1029" t="n">
        <v>9</v>
      </c>
      <c r="AR1029" t="n">
        <v>64</v>
      </c>
      <c r="AS1029" t="n">
        <v>32</v>
      </c>
      <c r="AU1029">
        <f>COUNTA($BA$1029:$EH$1029)</f>
        <v/>
      </c>
      <c r="AV1029">
        <f>COUNTIF($BA$1029:$EH$1029,"D")</f>
        <v/>
      </c>
      <c r="AW1029">
        <f>COUNTIF($BA$1029:$EH$1029,"R")</f>
        <v/>
      </c>
      <c r="AX1029">
        <f>IF(BN1029="D",1,0)+IF(BO1029="D",1,0)+IF(BT1029="D",1,0)+IF(BU1029="D",1,0)+IF(BW1029="D",1,0)+IF(CC1029="D",1,0)+IF(CD1029="D",1,0)+IF(CE1029="D",1,0)+IF(CF1029="D",1,0)+IF(CL1029="D",1,0)+IF(CM1029="D",1,0)+IF(CQ1029="D",1,0)+IF(CR1029="D",1,0)+IF(CS1029="D",1,0)+IF(CW1029="D",1,0)+IF(CX1029="D",1,0)+IF(DD1029="D",1,0)+IF(DE1029="D",1,0)+IF(DJ1029="D",1,0)+IF(DK1029="D",1,0)+IF(DO1029="D",1,0)+IF(DP1029="D",1,0)+IF(DQ1029="D",1,0)+IF(DW1029="D",1,0)+IF(DZ1029="D",1,0)+IF(EH1029="D",1,0)</f>
        <v/>
      </c>
      <c r="AY1029">
        <f>IF(DJ1029&lt;&gt;"",1,0)+IF(DK1029&lt;&gt;"",1,0)+IF(DM1029&lt;&gt;"",1,0)+IF(DO1029&lt;&gt;"",1,0)+IF(DP1029&lt;&gt;"",1,0)+IF(DQ1029&lt;&gt;"",1,0)+IF(DS1029&lt;&gt;"",1,0)+IF(DT1029&lt;&gt;"",1,0)+IF(DV1029&lt;&gt;"",1,0)+IF(DW1029&lt;&gt;"",1,0)+IF(DX1029&lt;&gt;"",1,0)+IF(DY1029&lt;&gt;"",1,0)+IF(DZ1029&lt;&gt;"",1,0)+IF(EB1029&lt;&gt;"",1,0)+IF(EC1029&lt;&gt;"",1,0)+IF(ED1029&lt;&gt;"",1,0)+IF(EG1029&lt;&gt;"",1,0)+IF(EH1029&lt;&gt;"",1,0)</f>
        <v/>
      </c>
      <c r="AZ1029">
        <f>IF(EH1029&lt;&gt;"",1,0)</f>
        <v/>
      </c>
      <c r="BB1029" t="inlineStr">
        <is>
          <t>WARREN-WARD 4</t>
        </is>
      </c>
      <c r="BC1029" t="inlineStr">
        <is>
          <t>X</t>
        </is>
      </c>
      <c r="BD1029" t="inlineStr">
        <is>
          <t>X</t>
        </is>
      </c>
      <c r="BH1029" t="inlineStr">
        <is>
          <t>X</t>
        </is>
      </c>
      <c r="BI1029" t="inlineStr">
        <is>
          <t>X</t>
        </is>
      </c>
      <c r="BJ1029" t="inlineStr">
        <is>
          <t>X</t>
        </is>
      </c>
      <c r="BK1029" t="inlineStr">
        <is>
          <t>X</t>
        </is>
      </c>
      <c r="BL1029" t="inlineStr">
        <is>
          <t>X</t>
        </is>
      </c>
      <c r="BP1029" t="inlineStr">
        <is>
          <t>X</t>
        </is>
      </c>
      <c r="BR1029" t="inlineStr">
        <is>
          <t>X</t>
        </is>
      </c>
      <c r="BS1029" t="inlineStr">
        <is>
          <t>X</t>
        </is>
      </c>
      <c r="BT1029" t="inlineStr">
        <is>
          <t>X</t>
        </is>
      </c>
      <c r="BV1029" t="inlineStr">
        <is>
          <t>X</t>
        </is>
      </c>
      <c r="BY1029" t="inlineStr">
        <is>
          <t>D</t>
        </is>
      </c>
      <c r="CA1029" t="inlineStr">
        <is>
          <t>X</t>
        </is>
      </c>
      <c r="CC1029" t="inlineStr">
        <is>
          <t>D</t>
        </is>
      </c>
      <c r="CH1029" t="inlineStr">
        <is>
          <t>D</t>
        </is>
      </c>
      <c r="CK1029" t="inlineStr">
        <is>
          <t>X</t>
        </is>
      </c>
      <c r="CP1029" t="inlineStr">
        <is>
          <t>X</t>
        </is>
      </c>
      <c r="CY1029" t="inlineStr">
        <is>
          <t>X</t>
        </is>
      </c>
      <c r="CZ1029" t="inlineStr">
        <is>
          <t>D</t>
        </is>
      </c>
      <c r="DC1029" t="inlineStr">
        <is>
          <t>X</t>
        </is>
      </c>
      <c r="DF1029" t="inlineStr">
        <is>
          <t>X</t>
        </is>
      </c>
      <c r="DI1029" t="inlineStr">
        <is>
          <t>X</t>
        </is>
      </c>
      <c r="DL1029" t="inlineStr">
        <is>
          <t>X</t>
        </is>
      </c>
      <c r="DN1029" t="inlineStr">
        <is>
          <t>X</t>
        </is>
      </c>
      <c r="DR1029" t="inlineStr">
        <is>
          <t>X</t>
        </is>
      </c>
      <c r="DT1029" t="inlineStr">
        <is>
          <t>D</t>
        </is>
      </c>
      <c r="DU1029" t="inlineStr">
        <is>
          <t>X</t>
        </is>
      </c>
      <c r="DX1029" t="inlineStr">
        <is>
          <t>X</t>
        </is>
      </c>
      <c r="EA1029" t="inlineStr">
        <is>
          <t>X</t>
        </is>
      </c>
      <c r="EF1029" t="inlineStr">
        <is>
          <t>X</t>
        </is>
      </c>
    </row>
    <row r="1030">
      <c r="A1030" t="inlineStr">
        <is>
          <t>OH0015811065</t>
        </is>
      </c>
      <c r="B1030" t="n">
        <v>78</v>
      </c>
      <c r="C1030" t="n">
        <v>316030</v>
      </c>
      <c r="D1030" t="inlineStr">
        <is>
          <t>CIBELLA</t>
        </is>
      </c>
      <c r="E1030" t="inlineStr">
        <is>
          <t>JILL</t>
        </is>
      </c>
      <c r="F1030">
        <f>CONCATENATE(D1030," ",LEFT(H1030,4),"T=",AU1030,"D=",AV1030,"R=",AW1030,"M=",AX1030,"L=",AY1030,"B=",AZ1030)</f>
        <v/>
      </c>
      <c r="G1030" t="inlineStr">
        <is>
          <t>E</t>
        </is>
      </c>
      <c r="I1030" t="inlineStr">
        <is>
          <t>1951-09-21</t>
        </is>
      </c>
      <c r="J1030" t="inlineStr">
        <is>
          <t>2023-07-11</t>
        </is>
      </c>
      <c r="K1030" t="inlineStr">
        <is>
          <t>ACTIVE</t>
        </is>
      </c>
      <c r="M1030" t="inlineStr">
        <is>
          <t>217 OAK KNOLL AVE SE</t>
        </is>
      </c>
      <c r="N1030">
        <f>RIGHT(M1030,LEN(M1030)-FIND(" ",M1030))</f>
        <v/>
      </c>
      <c r="P1030" t="inlineStr">
        <is>
          <t>WARREN</t>
        </is>
      </c>
      <c r="Q1030" t="inlineStr">
        <is>
          <t>OH</t>
        </is>
      </c>
      <c r="R1030" t="n">
        <v>44483</v>
      </c>
      <c r="AD1030" t="inlineStr">
        <is>
          <t>TRUMBULL CAREER &amp; TECH CENTER</t>
        </is>
      </c>
      <c r="AE1030" t="inlineStr">
        <is>
          <t>WARREN CITY</t>
        </is>
      </c>
      <c r="AF1030" t="inlineStr">
        <is>
          <t>WARREN CITY SD</t>
        </is>
      </c>
      <c r="AH1030" t="n">
        <v>14</v>
      </c>
      <c r="AI1030" t="n">
        <v>11</v>
      </c>
      <c r="AN1030" t="inlineStr">
        <is>
          <t>WARREN</t>
        </is>
      </c>
      <c r="AO1030" t="inlineStr">
        <is>
          <t>WARREN CITY 4A</t>
        </is>
      </c>
      <c r="AP1030" t="inlineStr">
        <is>
          <t>78-P-ADI</t>
        </is>
      </c>
      <c r="AQ1030" t="n">
        <v>9</v>
      </c>
      <c r="AR1030" t="n">
        <v>64</v>
      </c>
      <c r="AS1030" t="n">
        <v>32</v>
      </c>
      <c r="AU1030">
        <f>COUNTA($BA$1030:$EH$1030)</f>
        <v/>
      </c>
      <c r="AV1030">
        <f>COUNTIF($BA$1030:$EH$1030,"D")</f>
        <v/>
      </c>
      <c r="AW1030">
        <f>COUNTIF($BA$1030:$EH$1030,"R")</f>
        <v/>
      </c>
      <c r="AX1030">
        <f>IF(BN1030="D",1,0)+IF(BO1030="D",1,0)+IF(BT1030="D",1,0)+IF(BU1030="D",1,0)+IF(BW1030="D",1,0)+IF(CC1030="D",1,0)+IF(CD1030="D",1,0)+IF(CE1030="D",1,0)+IF(CF1030="D",1,0)+IF(CL1030="D",1,0)+IF(CM1030="D",1,0)+IF(CQ1030="D",1,0)+IF(CR1030="D",1,0)+IF(CS1030="D",1,0)+IF(CW1030="D",1,0)+IF(CX1030="D",1,0)+IF(DD1030="D",1,0)+IF(DE1030="D",1,0)+IF(DJ1030="D",1,0)+IF(DK1030="D",1,0)+IF(DO1030="D",1,0)+IF(DP1030="D",1,0)+IF(DQ1030="D",1,0)+IF(DW1030="D",1,0)+IF(DZ1030="D",1,0)+IF(EH1030="D",1,0)</f>
        <v/>
      </c>
      <c r="AY1030">
        <f>IF(DJ1030&lt;&gt;"",1,0)+IF(DK1030&lt;&gt;"",1,0)+IF(DM1030&lt;&gt;"",1,0)+IF(DO1030&lt;&gt;"",1,0)+IF(DP1030&lt;&gt;"",1,0)+IF(DQ1030&lt;&gt;"",1,0)+IF(DS1030&lt;&gt;"",1,0)+IF(DT1030&lt;&gt;"",1,0)+IF(DV1030&lt;&gt;"",1,0)+IF(DW1030&lt;&gt;"",1,0)+IF(DX1030&lt;&gt;"",1,0)+IF(DY1030&lt;&gt;"",1,0)+IF(DZ1030&lt;&gt;"",1,0)+IF(EB1030&lt;&gt;"",1,0)+IF(EC1030&lt;&gt;"",1,0)+IF(ED1030&lt;&gt;"",1,0)+IF(EG1030&lt;&gt;"",1,0)+IF(EH1030&lt;&gt;"",1,0)</f>
        <v/>
      </c>
      <c r="AZ1030">
        <f>IF(EH1030&lt;&gt;"",1,0)</f>
        <v/>
      </c>
      <c r="BB1030" t="inlineStr">
        <is>
          <t>WARREN-WARD 4</t>
        </is>
      </c>
      <c r="BL1030" t="inlineStr">
        <is>
          <t>X</t>
        </is>
      </c>
      <c r="BP1030" t="inlineStr">
        <is>
          <t>X</t>
        </is>
      </c>
      <c r="BS1030" t="inlineStr">
        <is>
          <t>X</t>
        </is>
      </c>
      <c r="DN1030" t="inlineStr">
        <is>
          <t>X</t>
        </is>
      </c>
      <c r="DX1030" t="inlineStr">
        <is>
          <t>X</t>
        </is>
      </c>
      <c r="EA1030" t="inlineStr">
        <is>
          <t>X</t>
        </is>
      </c>
      <c r="EF1030" t="inlineStr">
        <is>
          <t>X</t>
        </is>
      </c>
    </row>
    <row r="1031">
      <c r="A1031" t="inlineStr">
        <is>
          <t>OH0027026070</t>
        </is>
      </c>
      <c r="B1031" t="n">
        <v>78</v>
      </c>
      <c r="C1031" t="n">
        <v>475893</v>
      </c>
      <c r="D1031" t="inlineStr">
        <is>
          <t>EPSTEIN</t>
        </is>
      </c>
      <c r="E1031" t="inlineStr">
        <is>
          <t>JESSICA</t>
        </is>
      </c>
      <c r="F1031">
        <f>CONCATENATE(D1031," ",LEFT(H1031,4),"T=",AU1031,"D=",AV1031,"R=",AW1031,"M=",AX1031,"L=",AY1031,"B=",AZ1031)</f>
        <v/>
      </c>
      <c r="G1031" t="inlineStr">
        <is>
          <t>MORIAH</t>
        </is>
      </c>
      <c r="I1031" t="inlineStr">
        <is>
          <t>1977-06-25</t>
        </is>
      </c>
      <c r="J1031" t="inlineStr">
        <is>
          <t>2023-07-20</t>
        </is>
      </c>
      <c r="K1031" t="inlineStr">
        <is>
          <t>ACTIVE</t>
        </is>
      </c>
      <c r="M1031" t="inlineStr">
        <is>
          <t>357 LAIRD AVE SE</t>
        </is>
      </c>
      <c r="N1031">
        <f>RIGHT(M1031,LEN(M1031)-FIND(" ",M1031))</f>
        <v/>
      </c>
      <c r="P1031" t="inlineStr">
        <is>
          <t>WARREN</t>
        </is>
      </c>
      <c r="Q1031" t="inlineStr">
        <is>
          <t>OH</t>
        </is>
      </c>
      <c r="R1031" t="n">
        <v>44483</v>
      </c>
      <c r="AD1031" t="inlineStr">
        <is>
          <t>TRUMBULL CAREER &amp; TECH CENTER</t>
        </is>
      </c>
      <c r="AE1031" t="inlineStr">
        <is>
          <t>WARREN CITY</t>
        </is>
      </c>
      <c r="AF1031" t="inlineStr">
        <is>
          <t>WARREN CITY SD</t>
        </is>
      </c>
      <c r="AH1031" t="n">
        <v>14</v>
      </c>
      <c r="AI1031" t="n">
        <v>11</v>
      </c>
      <c r="AN1031" t="inlineStr">
        <is>
          <t>WARREN</t>
        </is>
      </c>
      <c r="AO1031" t="inlineStr">
        <is>
          <t>WARREN CITY 4A</t>
        </is>
      </c>
      <c r="AP1031" t="inlineStr">
        <is>
          <t>78-P-ADI</t>
        </is>
      </c>
      <c r="AQ1031" t="n">
        <v>9</v>
      </c>
      <c r="AR1031" t="n">
        <v>64</v>
      </c>
      <c r="AS1031" t="n">
        <v>32</v>
      </c>
      <c r="AU1031">
        <f>COUNTA($BA$1031:$EH$1031)</f>
        <v/>
      </c>
      <c r="AV1031">
        <f>COUNTIF($BA$1031:$EH$1031,"D")</f>
        <v/>
      </c>
      <c r="AW1031">
        <f>COUNTIF($BA$1031:$EH$1031,"R")</f>
        <v/>
      </c>
      <c r="AX1031">
        <f>IF(BN1031="D",1,0)+IF(BO1031="D",1,0)+IF(BT1031="D",1,0)+IF(BU1031="D",1,0)+IF(BW1031="D",1,0)+IF(CC1031="D",1,0)+IF(CD1031="D",1,0)+IF(CE1031="D",1,0)+IF(CF1031="D",1,0)+IF(CL1031="D",1,0)+IF(CM1031="D",1,0)+IF(CQ1031="D",1,0)+IF(CR1031="D",1,0)+IF(CS1031="D",1,0)+IF(CW1031="D",1,0)+IF(CX1031="D",1,0)+IF(DD1031="D",1,0)+IF(DE1031="D",1,0)+IF(DJ1031="D",1,0)+IF(DK1031="D",1,0)+IF(DO1031="D",1,0)+IF(DP1031="D",1,0)+IF(DQ1031="D",1,0)+IF(DW1031="D",1,0)+IF(DZ1031="D",1,0)+IF(EH1031="D",1,0)</f>
        <v/>
      </c>
      <c r="AY1031">
        <f>IF(DJ1031&lt;&gt;"",1,0)+IF(DK1031&lt;&gt;"",1,0)+IF(DM1031&lt;&gt;"",1,0)+IF(DO1031&lt;&gt;"",1,0)+IF(DP1031&lt;&gt;"",1,0)+IF(DQ1031&lt;&gt;"",1,0)+IF(DS1031&lt;&gt;"",1,0)+IF(DT1031&lt;&gt;"",1,0)+IF(DV1031&lt;&gt;"",1,0)+IF(DW1031&lt;&gt;"",1,0)+IF(DX1031&lt;&gt;"",1,0)+IF(DY1031&lt;&gt;"",1,0)+IF(DZ1031&lt;&gt;"",1,0)+IF(EB1031&lt;&gt;"",1,0)+IF(EC1031&lt;&gt;"",1,0)+IF(ED1031&lt;&gt;"",1,0)+IF(EG1031&lt;&gt;"",1,0)+IF(EH1031&lt;&gt;"",1,0)</f>
        <v/>
      </c>
      <c r="AZ1031">
        <f>IF(EH1031&lt;&gt;"",1,0)</f>
        <v/>
      </c>
      <c r="BB1031" t="inlineStr">
        <is>
          <t>WARREN-WARD 4</t>
        </is>
      </c>
    </row>
    <row r="1032">
      <c r="A1032" t="inlineStr">
        <is>
          <t>OH0015822944</t>
        </is>
      </c>
      <c r="B1032" t="n">
        <v>78</v>
      </c>
      <c r="C1032" t="n">
        <v>287805</v>
      </c>
      <c r="D1032" t="inlineStr">
        <is>
          <t>DEJACIMO</t>
        </is>
      </c>
      <c r="E1032" t="inlineStr">
        <is>
          <t>LEVI</t>
        </is>
      </c>
      <c r="F1032">
        <f>CONCATENATE(D1032," ",LEFT(H1032,4),"T=",AU1032,"D=",AV1032,"R=",AW1032,"M=",AX1032,"L=",AY1032,"B=",AZ1032)</f>
        <v/>
      </c>
      <c r="G1032" t="inlineStr">
        <is>
          <t>M</t>
        </is>
      </c>
      <c r="I1032" t="inlineStr">
        <is>
          <t>1980-11-14</t>
        </is>
      </c>
      <c r="J1032" t="inlineStr">
        <is>
          <t>2013-06-23</t>
        </is>
      </c>
      <c r="K1032" t="inlineStr">
        <is>
          <t>ACTIVE</t>
        </is>
      </c>
      <c r="M1032" t="inlineStr">
        <is>
          <t>177 OAK KNOLL AVE SE</t>
        </is>
      </c>
      <c r="N1032">
        <f>RIGHT(M1032,LEN(M1032)-FIND(" ",M1032))</f>
        <v/>
      </c>
      <c r="P1032" t="inlineStr">
        <is>
          <t>WARREN</t>
        </is>
      </c>
      <c r="Q1032" t="inlineStr">
        <is>
          <t>OH</t>
        </is>
      </c>
      <c r="R1032" t="n">
        <v>44483</v>
      </c>
      <c r="AD1032" t="inlineStr">
        <is>
          <t>TRUMBULL CAREER &amp; TECH CENTER</t>
        </is>
      </c>
      <c r="AE1032" t="inlineStr">
        <is>
          <t>WARREN CITY</t>
        </is>
      </c>
      <c r="AF1032" t="inlineStr">
        <is>
          <t>WARREN CITY SD</t>
        </is>
      </c>
      <c r="AH1032" t="n">
        <v>14</v>
      </c>
      <c r="AI1032" t="n">
        <v>11</v>
      </c>
      <c r="AN1032" t="inlineStr">
        <is>
          <t>WARREN</t>
        </is>
      </c>
      <c r="AO1032" t="inlineStr">
        <is>
          <t>WARREN CITY 4A</t>
        </is>
      </c>
      <c r="AP1032" t="inlineStr">
        <is>
          <t>78-P-ADI</t>
        </is>
      </c>
      <c r="AQ1032" t="n">
        <v>9</v>
      </c>
      <c r="AR1032" t="n">
        <v>64</v>
      </c>
      <c r="AS1032" t="n">
        <v>32</v>
      </c>
      <c r="AU1032">
        <f>COUNTA($BA$1032:$EH$1032)</f>
        <v/>
      </c>
      <c r="AV1032">
        <f>COUNTIF($BA$1032:$EH$1032,"D")</f>
        <v/>
      </c>
      <c r="AW1032">
        <f>COUNTIF($BA$1032:$EH$1032,"R")</f>
        <v/>
      </c>
      <c r="AX1032">
        <f>IF(BN1032="D",1,0)+IF(BO1032="D",1,0)+IF(BT1032="D",1,0)+IF(BU1032="D",1,0)+IF(BW1032="D",1,0)+IF(CC1032="D",1,0)+IF(CD1032="D",1,0)+IF(CE1032="D",1,0)+IF(CF1032="D",1,0)+IF(CL1032="D",1,0)+IF(CM1032="D",1,0)+IF(CQ1032="D",1,0)+IF(CR1032="D",1,0)+IF(CS1032="D",1,0)+IF(CW1032="D",1,0)+IF(CX1032="D",1,0)+IF(DD1032="D",1,0)+IF(DE1032="D",1,0)+IF(DJ1032="D",1,0)+IF(DK1032="D",1,0)+IF(DO1032="D",1,0)+IF(DP1032="D",1,0)+IF(DQ1032="D",1,0)+IF(DW1032="D",1,0)+IF(DZ1032="D",1,0)+IF(EH1032="D",1,0)</f>
        <v/>
      </c>
      <c r="AY1032">
        <f>IF(DJ1032&lt;&gt;"",1,0)+IF(DK1032&lt;&gt;"",1,0)+IF(DM1032&lt;&gt;"",1,0)+IF(DO1032&lt;&gt;"",1,0)+IF(DP1032&lt;&gt;"",1,0)+IF(DQ1032&lt;&gt;"",1,0)+IF(DS1032&lt;&gt;"",1,0)+IF(DT1032&lt;&gt;"",1,0)+IF(DV1032&lt;&gt;"",1,0)+IF(DW1032&lt;&gt;"",1,0)+IF(DX1032&lt;&gt;"",1,0)+IF(DY1032&lt;&gt;"",1,0)+IF(DZ1032&lt;&gt;"",1,0)+IF(EB1032&lt;&gt;"",1,0)+IF(EC1032&lt;&gt;"",1,0)+IF(ED1032&lt;&gt;"",1,0)+IF(EG1032&lt;&gt;"",1,0)+IF(EH1032&lt;&gt;"",1,0)</f>
        <v/>
      </c>
      <c r="AZ1032">
        <f>IF(EH1032&lt;&gt;"",1,0)</f>
        <v/>
      </c>
      <c r="BB1032" t="inlineStr">
        <is>
          <t>WARREN-WARD 4</t>
        </is>
      </c>
      <c r="BC1032" t="inlineStr">
        <is>
          <t>X</t>
        </is>
      </c>
      <c r="BD1032" t="inlineStr">
        <is>
          <t>X</t>
        </is>
      </c>
      <c r="BH1032" t="inlineStr">
        <is>
          <t>X</t>
        </is>
      </c>
      <c r="BJ1032" t="inlineStr">
        <is>
          <t>X</t>
        </is>
      </c>
      <c r="BL1032" t="inlineStr">
        <is>
          <t>X</t>
        </is>
      </c>
      <c r="DI1032" t="inlineStr">
        <is>
          <t>X</t>
        </is>
      </c>
      <c r="DN1032" t="inlineStr">
        <is>
          <t>X</t>
        </is>
      </c>
      <c r="DU1032" t="inlineStr">
        <is>
          <t>X</t>
        </is>
      </c>
      <c r="DX1032" t="inlineStr">
        <is>
          <t>X</t>
        </is>
      </c>
      <c r="EA1032" t="inlineStr">
        <is>
          <t>X</t>
        </is>
      </c>
      <c r="EF1032" t="inlineStr">
        <is>
          <t>X</t>
        </is>
      </c>
    </row>
    <row r="1033">
      <c r="A1033" t="inlineStr">
        <is>
          <t>OH0021756743</t>
        </is>
      </c>
      <c r="B1033" t="n">
        <v>78</v>
      </c>
      <c r="C1033" t="n">
        <v>386296</v>
      </c>
      <c r="D1033" t="inlineStr">
        <is>
          <t>TRICE</t>
        </is>
      </c>
      <c r="E1033" t="inlineStr">
        <is>
          <t>DAVID</t>
        </is>
      </c>
      <c r="F1033">
        <f>CONCATENATE(D1033," ",LEFT(H1033,4),"T=",AU1033,"D=",AV1033,"R=",AW1033,"M=",AX1033,"L=",AY1033,"B=",AZ1033)</f>
        <v/>
      </c>
      <c r="G1033" t="inlineStr">
        <is>
          <t>K</t>
        </is>
      </c>
      <c r="I1033" t="inlineStr">
        <is>
          <t>1992-10-06</t>
        </is>
      </c>
      <c r="J1033" t="inlineStr">
        <is>
          <t>2024-08-01</t>
        </is>
      </c>
      <c r="K1033" t="inlineStr">
        <is>
          <t>ACTIVE</t>
        </is>
      </c>
      <c r="M1033" t="inlineStr">
        <is>
          <t>478 HOMEWOOD AVE SE</t>
        </is>
      </c>
      <c r="N1033">
        <f>RIGHT(M1033,LEN(M1033)-FIND(" ",M1033))</f>
        <v/>
      </c>
      <c r="P1033" t="inlineStr">
        <is>
          <t>WARREN</t>
        </is>
      </c>
      <c r="Q1033" t="inlineStr">
        <is>
          <t>OH</t>
        </is>
      </c>
      <c r="R1033" t="n">
        <v>44483</v>
      </c>
      <c r="AD1033" t="inlineStr">
        <is>
          <t>TRUMBULL CAREER &amp; TECH CENTER</t>
        </is>
      </c>
      <c r="AE1033" t="inlineStr">
        <is>
          <t>WARREN CITY</t>
        </is>
      </c>
      <c r="AF1033" t="inlineStr">
        <is>
          <t>WARREN CITY SD</t>
        </is>
      </c>
      <c r="AH1033" t="n">
        <v>14</v>
      </c>
      <c r="AI1033" t="n">
        <v>11</v>
      </c>
      <c r="AN1033" t="inlineStr">
        <is>
          <t>WARREN</t>
        </is>
      </c>
      <c r="AO1033" t="inlineStr">
        <is>
          <t>WARREN CITY 4A</t>
        </is>
      </c>
      <c r="AP1033" t="inlineStr">
        <is>
          <t>78-P-ADI</t>
        </is>
      </c>
      <c r="AQ1033" t="n">
        <v>9</v>
      </c>
      <c r="AR1033" t="n">
        <v>64</v>
      </c>
      <c r="AS1033" t="n">
        <v>32</v>
      </c>
      <c r="AU1033">
        <f>COUNTA($BA$1033:$EH$1033)</f>
        <v/>
      </c>
      <c r="AV1033">
        <f>COUNTIF($BA$1033:$EH$1033,"D")</f>
        <v/>
      </c>
      <c r="AW1033">
        <f>COUNTIF($BA$1033:$EH$1033,"R")</f>
        <v/>
      </c>
      <c r="AX1033">
        <f>IF(BN1033="D",1,0)+IF(BO1033="D",1,0)+IF(BT1033="D",1,0)+IF(BU1033="D",1,0)+IF(BW1033="D",1,0)+IF(CC1033="D",1,0)+IF(CD1033="D",1,0)+IF(CE1033="D",1,0)+IF(CF1033="D",1,0)+IF(CL1033="D",1,0)+IF(CM1033="D",1,0)+IF(CQ1033="D",1,0)+IF(CR1033="D",1,0)+IF(CS1033="D",1,0)+IF(CW1033="D",1,0)+IF(CX1033="D",1,0)+IF(DD1033="D",1,0)+IF(DE1033="D",1,0)+IF(DJ1033="D",1,0)+IF(DK1033="D",1,0)+IF(DO1033="D",1,0)+IF(DP1033="D",1,0)+IF(DQ1033="D",1,0)+IF(DW1033="D",1,0)+IF(DZ1033="D",1,0)+IF(EH1033="D",1,0)</f>
        <v/>
      </c>
      <c r="AY1033">
        <f>IF(DJ1033&lt;&gt;"",1,0)+IF(DK1033&lt;&gt;"",1,0)+IF(DM1033&lt;&gt;"",1,0)+IF(DO1033&lt;&gt;"",1,0)+IF(DP1033&lt;&gt;"",1,0)+IF(DQ1033&lt;&gt;"",1,0)+IF(DS1033&lt;&gt;"",1,0)+IF(DT1033&lt;&gt;"",1,0)+IF(DV1033&lt;&gt;"",1,0)+IF(DW1033&lt;&gt;"",1,0)+IF(DX1033&lt;&gt;"",1,0)+IF(DY1033&lt;&gt;"",1,0)+IF(DZ1033&lt;&gt;"",1,0)+IF(EB1033&lt;&gt;"",1,0)+IF(EC1033&lt;&gt;"",1,0)+IF(ED1033&lt;&gt;"",1,0)+IF(EG1033&lt;&gt;"",1,0)+IF(EH1033&lt;&gt;"",1,0)</f>
        <v/>
      </c>
      <c r="AZ1033">
        <f>IF(EH1033&lt;&gt;"",1,0)</f>
        <v/>
      </c>
      <c r="BB1033" t="inlineStr">
        <is>
          <t>WARREN-WARD 4</t>
        </is>
      </c>
    </row>
    <row r="1034">
      <c r="A1034" t="inlineStr">
        <is>
          <t>OH0015687807</t>
        </is>
      </c>
      <c r="B1034" t="n">
        <v>78</v>
      </c>
      <c r="C1034" t="n">
        <v>127848</v>
      </c>
      <c r="D1034" t="inlineStr">
        <is>
          <t>YOUNGER</t>
        </is>
      </c>
      <c r="E1034" t="inlineStr">
        <is>
          <t>PAMELA</t>
        </is>
      </c>
      <c r="F1034">
        <f>CONCATENATE(D1034," ",LEFT(H1034,4),"T=",AU1034,"D=",AV1034,"R=",AW1034,"M=",AX1034,"L=",AY1034,"B=",AZ1034)</f>
        <v/>
      </c>
      <c r="G1034" t="inlineStr">
        <is>
          <t>C</t>
        </is>
      </c>
      <c r="I1034" t="inlineStr">
        <is>
          <t>1962-01-07</t>
        </is>
      </c>
      <c r="J1034" t="inlineStr">
        <is>
          <t>2011-10-07</t>
        </is>
      </c>
      <c r="K1034" t="inlineStr">
        <is>
          <t>ACTIVE</t>
        </is>
      </c>
      <c r="M1034" t="inlineStr">
        <is>
          <t>781 HOMEWOOD AVE SE</t>
        </is>
      </c>
      <c r="N1034">
        <f>RIGHT(M1034,LEN(M1034)-FIND(" ",M1034))</f>
        <v/>
      </c>
      <c r="P1034" t="inlineStr">
        <is>
          <t>WARREN</t>
        </is>
      </c>
      <c r="Q1034" t="inlineStr">
        <is>
          <t>OH</t>
        </is>
      </c>
      <c r="R1034" t="n">
        <v>44484</v>
      </c>
      <c r="AD1034" t="inlineStr">
        <is>
          <t>TRUMBULL CAREER &amp; TECH CENTER</t>
        </is>
      </c>
      <c r="AE1034" t="inlineStr">
        <is>
          <t>WARREN CITY</t>
        </is>
      </c>
      <c r="AF1034" t="inlineStr">
        <is>
          <t>WARREN CITY SD</t>
        </is>
      </c>
      <c r="AH1034" t="n">
        <v>14</v>
      </c>
      <c r="AI1034" t="n">
        <v>11</v>
      </c>
      <c r="AN1034" t="inlineStr">
        <is>
          <t>WARREN</t>
        </is>
      </c>
      <c r="AO1034" t="inlineStr">
        <is>
          <t>WARREN CITY 4A</t>
        </is>
      </c>
      <c r="AP1034" t="inlineStr">
        <is>
          <t>78-P-ADI</t>
        </is>
      </c>
      <c r="AQ1034" t="n">
        <v>9</v>
      </c>
      <c r="AR1034" t="n">
        <v>64</v>
      </c>
      <c r="AS1034" t="n">
        <v>32</v>
      </c>
      <c r="AU1034">
        <f>COUNTA($BA$1034:$EH$1034)</f>
        <v/>
      </c>
      <c r="AV1034">
        <f>COUNTIF($BA$1034:$EH$1034,"D")</f>
        <v/>
      </c>
      <c r="AW1034">
        <f>COUNTIF($BA$1034:$EH$1034,"R")</f>
        <v/>
      </c>
      <c r="AX1034">
        <f>IF(BN1034="D",1,0)+IF(BO1034="D",1,0)+IF(BT1034="D",1,0)+IF(BU1034="D",1,0)+IF(BW1034="D",1,0)+IF(CC1034="D",1,0)+IF(CD1034="D",1,0)+IF(CE1034="D",1,0)+IF(CF1034="D",1,0)+IF(CL1034="D",1,0)+IF(CM1034="D",1,0)+IF(CQ1034="D",1,0)+IF(CR1034="D",1,0)+IF(CS1034="D",1,0)+IF(CW1034="D",1,0)+IF(CX1034="D",1,0)+IF(DD1034="D",1,0)+IF(DE1034="D",1,0)+IF(DJ1034="D",1,0)+IF(DK1034="D",1,0)+IF(DO1034="D",1,0)+IF(DP1034="D",1,0)+IF(DQ1034="D",1,0)+IF(DW1034="D",1,0)+IF(DZ1034="D",1,0)+IF(EH1034="D",1,0)</f>
        <v/>
      </c>
      <c r="AY1034">
        <f>IF(DJ1034&lt;&gt;"",1,0)+IF(DK1034&lt;&gt;"",1,0)+IF(DM1034&lt;&gt;"",1,0)+IF(DO1034&lt;&gt;"",1,0)+IF(DP1034&lt;&gt;"",1,0)+IF(DQ1034&lt;&gt;"",1,0)+IF(DS1034&lt;&gt;"",1,0)+IF(DT1034&lt;&gt;"",1,0)+IF(DV1034&lt;&gt;"",1,0)+IF(DW1034&lt;&gt;"",1,0)+IF(DX1034&lt;&gt;"",1,0)+IF(DY1034&lt;&gt;"",1,0)+IF(DZ1034&lt;&gt;"",1,0)+IF(EB1034&lt;&gt;"",1,0)+IF(EC1034&lt;&gt;"",1,0)+IF(ED1034&lt;&gt;"",1,0)+IF(EG1034&lt;&gt;"",1,0)+IF(EH1034&lt;&gt;"",1,0)</f>
        <v/>
      </c>
      <c r="AZ1034">
        <f>IF(EH1034&lt;&gt;"",1,0)</f>
        <v/>
      </c>
      <c r="BB1034" t="inlineStr">
        <is>
          <t>WARREN-WARD 4</t>
        </is>
      </c>
      <c r="BC1034" t="inlineStr">
        <is>
          <t>X</t>
        </is>
      </c>
      <c r="BD1034" t="inlineStr">
        <is>
          <t>X</t>
        </is>
      </c>
      <c r="BE1034" t="inlineStr">
        <is>
          <t>X</t>
        </is>
      </c>
      <c r="BF1034" t="inlineStr">
        <is>
          <t>X</t>
        </is>
      </c>
      <c r="BG1034" t="inlineStr">
        <is>
          <t>X</t>
        </is>
      </c>
      <c r="BH1034" t="inlineStr">
        <is>
          <t>X</t>
        </is>
      </c>
      <c r="BI1034" t="inlineStr">
        <is>
          <t>X</t>
        </is>
      </c>
      <c r="BJ1034" t="inlineStr">
        <is>
          <t>X</t>
        </is>
      </c>
      <c r="BL1034" t="inlineStr">
        <is>
          <t>X</t>
        </is>
      </c>
      <c r="BP1034" t="inlineStr">
        <is>
          <t>X</t>
        </is>
      </c>
      <c r="BR1034" t="inlineStr">
        <is>
          <t>X</t>
        </is>
      </c>
      <c r="BS1034" t="inlineStr">
        <is>
          <t>X</t>
        </is>
      </c>
      <c r="BV1034" t="inlineStr">
        <is>
          <t>X</t>
        </is>
      </c>
      <c r="BY1034" t="inlineStr">
        <is>
          <t>D</t>
        </is>
      </c>
      <c r="CA1034" t="inlineStr">
        <is>
          <t>X</t>
        </is>
      </c>
      <c r="CN1034" t="inlineStr">
        <is>
          <t>X</t>
        </is>
      </c>
      <c r="CP1034" t="inlineStr">
        <is>
          <t>X</t>
        </is>
      </c>
      <c r="DC1034" t="inlineStr">
        <is>
          <t>X</t>
        </is>
      </c>
      <c r="DN1034" t="inlineStr">
        <is>
          <t>X</t>
        </is>
      </c>
      <c r="EF1034" t="inlineStr">
        <is>
          <t>X</t>
        </is>
      </c>
    </row>
    <row r="1035">
      <c r="A1035" t="inlineStr">
        <is>
          <t>OH0015804259</t>
        </is>
      </c>
      <c r="B1035" t="n">
        <v>78</v>
      </c>
      <c r="C1035" t="n">
        <v>316585</v>
      </c>
      <c r="D1035" t="inlineStr">
        <is>
          <t>WALLS</t>
        </is>
      </c>
      <c r="E1035" t="inlineStr">
        <is>
          <t>FRANCES</t>
        </is>
      </c>
      <c r="F1035">
        <f>CONCATENATE(D1035," ",LEFT(H1035,4),"T=",AU1035,"D=",AV1035,"R=",AW1035,"M=",AX1035,"L=",AY1035,"B=",AZ1035)</f>
        <v/>
      </c>
      <c r="G1035" t="inlineStr">
        <is>
          <t>MARIE</t>
        </is>
      </c>
      <c r="I1035" t="inlineStr">
        <is>
          <t>1950-08-24</t>
        </is>
      </c>
      <c r="J1035" t="inlineStr">
        <is>
          <t>2003-09-26</t>
        </is>
      </c>
      <c r="K1035" t="inlineStr">
        <is>
          <t>CONFIRMATION</t>
        </is>
      </c>
      <c r="M1035" t="inlineStr">
        <is>
          <t>421 BONNIE BRAE AVE SE</t>
        </is>
      </c>
      <c r="N1035">
        <f>RIGHT(M1035,LEN(M1035)-FIND(" ",M1035))</f>
        <v/>
      </c>
      <c r="P1035" t="inlineStr">
        <is>
          <t>WARREN</t>
        </is>
      </c>
      <c r="Q1035" t="inlineStr">
        <is>
          <t>OH</t>
        </is>
      </c>
      <c r="R1035" t="n">
        <v>44484</v>
      </c>
      <c r="AD1035" t="inlineStr">
        <is>
          <t>TRUMBULL CAREER &amp; TECH CENTER</t>
        </is>
      </c>
      <c r="AE1035" t="inlineStr">
        <is>
          <t>WARREN CITY</t>
        </is>
      </c>
      <c r="AF1035" t="inlineStr">
        <is>
          <t>WARREN CITY SD</t>
        </is>
      </c>
      <c r="AH1035" t="n">
        <v>14</v>
      </c>
      <c r="AI1035" t="n">
        <v>11</v>
      </c>
      <c r="AN1035" t="inlineStr">
        <is>
          <t>WARREN</t>
        </is>
      </c>
      <c r="AO1035" t="inlineStr">
        <is>
          <t>WARREN CITY 4A</t>
        </is>
      </c>
      <c r="AP1035" t="inlineStr">
        <is>
          <t>78-P-ADI</t>
        </is>
      </c>
      <c r="AQ1035" t="n">
        <v>9</v>
      </c>
      <c r="AR1035" t="n">
        <v>64</v>
      </c>
      <c r="AS1035" t="n">
        <v>32</v>
      </c>
      <c r="AU1035">
        <f>COUNTA($BA$1035:$EH$1035)</f>
        <v/>
      </c>
      <c r="AV1035">
        <f>COUNTIF($BA$1035:$EH$1035,"D")</f>
        <v/>
      </c>
      <c r="AW1035">
        <f>COUNTIF($BA$1035:$EH$1035,"R")</f>
        <v/>
      </c>
      <c r="AX1035">
        <f>IF(BN1035="D",1,0)+IF(BO1035="D",1,0)+IF(BT1035="D",1,0)+IF(BU1035="D",1,0)+IF(BW1035="D",1,0)+IF(CC1035="D",1,0)+IF(CD1035="D",1,0)+IF(CE1035="D",1,0)+IF(CF1035="D",1,0)+IF(CL1035="D",1,0)+IF(CM1035="D",1,0)+IF(CQ1035="D",1,0)+IF(CR1035="D",1,0)+IF(CS1035="D",1,0)+IF(CW1035="D",1,0)+IF(CX1035="D",1,0)+IF(DD1035="D",1,0)+IF(DE1035="D",1,0)+IF(DJ1035="D",1,0)+IF(DK1035="D",1,0)+IF(DO1035="D",1,0)+IF(DP1035="D",1,0)+IF(DQ1035="D",1,0)+IF(DW1035="D",1,0)+IF(DZ1035="D",1,0)+IF(EH1035="D",1,0)</f>
        <v/>
      </c>
      <c r="AY1035">
        <f>IF(DJ1035&lt;&gt;"",1,0)+IF(DK1035&lt;&gt;"",1,0)+IF(DM1035&lt;&gt;"",1,0)+IF(DO1035&lt;&gt;"",1,0)+IF(DP1035&lt;&gt;"",1,0)+IF(DQ1035&lt;&gt;"",1,0)+IF(DS1035&lt;&gt;"",1,0)+IF(DT1035&lt;&gt;"",1,0)+IF(DV1035&lt;&gt;"",1,0)+IF(DW1035&lt;&gt;"",1,0)+IF(DX1035&lt;&gt;"",1,0)+IF(DY1035&lt;&gt;"",1,0)+IF(DZ1035&lt;&gt;"",1,0)+IF(EB1035&lt;&gt;"",1,0)+IF(EC1035&lt;&gt;"",1,0)+IF(ED1035&lt;&gt;"",1,0)+IF(EG1035&lt;&gt;"",1,0)+IF(EH1035&lt;&gt;"",1,0)</f>
        <v/>
      </c>
      <c r="AZ1035">
        <f>IF(EH1035&lt;&gt;"",1,0)</f>
        <v/>
      </c>
      <c r="BB1035" t="inlineStr">
        <is>
          <t>WARREN-WARD 4</t>
        </is>
      </c>
      <c r="BJ1035" t="inlineStr">
        <is>
          <t>X</t>
        </is>
      </c>
      <c r="BK1035" t="inlineStr">
        <is>
          <t>X</t>
        </is>
      </c>
      <c r="BL1035" t="inlineStr">
        <is>
          <t>X</t>
        </is>
      </c>
      <c r="BS1035" t="inlineStr">
        <is>
          <t>X</t>
        </is>
      </c>
      <c r="BY1035" t="inlineStr">
        <is>
          <t>D</t>
        </is>
      </c>
      <c r="CA1035" t="inlineStr">
        <is>
          <t>X</t>
        </is>
      </c>
      <c r="CC1035" t="inlineStr">
        <is>
          <t>D</t>
        </is>
      </c>
      <c r="CG1035" t="inlineStr">
        <is>
          <t>X</t>
        </is>
      </c>
      <c r="CH1035" t="inlineStr">
        <is>
          <t>D</t>
        </is>
      </c>
      <c r="CK1035" t="inlineStr">
        <is>
          <t>X</t>
        </is>
      </c>
      <c r="CN1035" t="inlineStr">
        <is>
          <t>X</t>
        </is>
      </c>
      <c r="CO1035" t="inlineStr">
        <is>
          <t>D</t>
        </is>
      </c>
      <c r="CP1035" t="inlineStr">
        <is>
          <t>X</t>
        </is>
      </c>
      <c r="CV1035" t="inlineStr">
        <is>
          <t>X</t>
        </is>
      </c>
      <c r="CY1035" t="inlineStr">
        <is>
          <t>X</t>
        </is>
      </c>
      <c r="CZ1035" t="inlineStr">
        <is>
          <t>D</t>
        </is>
      </c>
      <c r="DC1035" t="inlineStr">
        <is>
          <t>X</t>
        </is>
      </c>
      <c r="DN1035" t="inlineStr">
        <is>
          <t>X</t>
        </is>
      </c>
    </row>
    <row r="1036">
      <c r="A1036" t="inlineStr">
        <is>
          <t>OH0015797214</t>
        </is>
      </c>
      <c r="B1036" t="n">
        <v>78</v>
      </c>
      <c r="C1036" t="n">
        <v>316828</v>
      </c>
      <c r="D1036" t="inlineStr">
        <is>
          <t>NAYLOR</t>
        </is>
      </c>
      <c r="E1036" t="inlineStr">
        <is>
          <t>JEFFREY</t>
        </is>
      </c>
      <c r="F1036">
        <f>CONCATENATE(D1036," ",LEFT(H1036,4),"T=",AU1036,"D=",AV1036,"R=",AW1036,"M=",AX1036,"L=",AY1036,"B=",AZ1036)</f>
        <v/>
      </c>
      <c r="G1036" t="inlineStr">
        <is>
          <t>MICHAEL</t>
        </is>
      </c>
      <c r="I1036" t="inlineStr">
        <is>
          <t>1985-06-24</t>
        </is>
      </c>
      <c r="J1036" t="inlineStr">
        <is>
          <t>2019-06-08</t>
        </is>
      </c>
      <c r="K1036" t="inlineStr">
        <is>
          <t>ACTIVE</t>
        </is>
      </c>
      <c r="L1036" t="inlineStr">
        <is>
          <t>D</t>
        </is>
      </c>
      <c r="M1036" t="inlineStr">
        <is>
          <t>891 OAK KNOLL AVE SE</t>
        </is>
      </c>
      <c r="N1036">
        <f>RIGHT(M1036,LEN(M1036)-FIND(" ",M1036))</f>
        <v/>
      </c>
      <c r="P1036" t="inlineStr">
        <is>
          <t>WARREN</t>
        </is>
      </c>
      <c r="Q1036" t="inlineStr">
        <is>
          <t>OH</t>
        </is>
      </c>
      <c r="R1036" t="n">
        <v>44484</v>
      </c>
      <c r="S1036" t="n">
        <v>4260</v>
      </c>
      <c r="AD1036" t="inlineStr">
        <is>
          <t>TRUMBULL CAREER &amp; TECH CENTER</t>
        </is>
      </c>
      <c r="AE1036" t="inlineStr">
        <is>
          <t>WARREN CITY</t>
        </is>
      </c>
      <c r="AF1036" t="inlineStr">
        <is>
          <t>WARREN CITY SD</t>
        </is>
      </c>
      <c r="AH1036" t="n">
        <v>14</v>
      </c>
      <c r="AI1036" t="n">
        <v>11</v>
      </c>
      <c r="AN1036" t="inlineStr">
        <is>
          <t>WARREN</t>
        </is>
      </c>
      <c r="AO1036" t="inlineStr">
        <is>
          <t>WARREN CITY 4A</t>
        </is>
      </c>
      <c r="AP1036" t="inlineStr">
        <is>
          <t>78-P-ADI</t>
        </is>
      </c>
      <c r="AQ1036" t="n">
        <v>9</v>
      </c>
      <c r="AR1036" t="n">
        <v>64</v>
      </c>
      <c r="AS1036" t="n">
        <v>32</v>
      </c>
      <c r="AU1036">
        <f>COUNTA($BA$1036:$EH$1036)</f>
        <v/>
      </c>
      <c r="AV1036">
        <f>COUNTIF($BA$1036:$EH$1036,"D")</f>
        <v/>
      </c>
      <c r="AW1036">
        <f>COUNTIF($BA$1036:$EH$1036,"R")</f>
        <v/>
      </c>
      <c r="AX1036">
        <f>IF(BN1036="D",1,0)+IF(BO1036="D",1,0)+IF(BT1036="D",1,0)+IF(BU1036="D",1,0)+IF(BW1036="D",1,0)+IF(CC1036="D",1,0)+IF(CD1036="D",1,0)+IF(CE1036="D",1,0)+IF(CF1036="D",1,0)+IF(CL1036="D",1,0)+IF(CM1036="D",1,0)+IF(CQ1036="D",1,0)+IF(CR1036="D",1,0)+IF(CS1036="D",1,0)+IF(CW1036="D",1,0)+IF(CX1036="D",1,0)+IF(DD1036="D",1,0)+IF(DE1036="D",1,0)+IF(DJ1036="D",1,0)+IF(DK1036="D",1,0)+IF(DO1036="D",1,0)+IF(DP1036="D",1,0)+IF(DQ1036="D",1,0)+IF(DW1036="D",1,0)+IF(DZ1036="D",1,0)+IF(EH1036="D",1,0)</f>
        <v/>
      </c>
      <c r="AY1036">
        <f>IF(DJ1036&lt;&gt;"",1,0)+IF(DK1036&lt;&gt;"",1,0)+IF(DM1036&lt;&gt;"",1,0)+IF(DO1036&lt;&gt;"",1,0)+IF(DP1036&lt;&gt;"",1,0)+IF(DQ1036&lt;&gt;"",1,0)+IF(DS1036&lt;&gt;"",1,0)+IF(DT1036&lt;&gt;"",1,0)+IF(DV1036&lt;&gt;"",1,0)+IF(DW1036&lt;&gt;"",1,0)+IF(DX1036&lt;&gt;"",1,0)+IF(DY1036&lt;&gt;"",1,0)+IF(DZ1036&lt;&gt;"",1,0)+IF(EB1036&lt;&gt;"",1,0)+IF(EC1036&lt;&gt;"",1,0)+IF(ED1036&lt;&gt;"",1,0)+IF(EG1036&lt;&gt;"",1,0)+IF(EH1036&lt;&gt;"",1,0)</f>
        <v/>
      </c>
      <c r="AZ1036">
        <f>IF(EH1036&lt;&gt;"",1,0)</f>
        <v/>
      </c>
      <c r="BB1036" t="inlineStr">
        <is>
          <t>WARREN-WARD 4</t>
        </is>
      </c>
      <c r="BL1036" t="inlineStr">
        <is>
          <t>X</t>
        </is>
      </c>
      <c r="BS1036" t="inlineStr">
        <is>
          <t>X</t>
        </is>
      </c>
      <c r="BY1036" t="inlineStr">
        <is>
          <t>D</t>
        </is>
      </c>
      <c r="CA1036" t="inlineStr">
        <is>
          <t>X</t>
        </is>
      </c>
      <c r="CK1036" t="inlineStr">
        <is>
          <t>X</t>
        </is>
      </c>
      <c r="CN1036" t="inlineStr">
        <is>
          <t>X</t>
        </is>
      </c>
      <c r="CP1036" t="inlineStr">
        <is>
          <t>X</t>
        </is>
      </c>
      <c r="CY1036" t="inlineStr">
        <is>
          <t>X</t>
        </is>
      </c>
      <c r="CZ1036" t="inlineStr">
        <is>
          <t>D</t>
        </is>
      </c>
      <c r="DC1036" t="inlineStr">
        <is>
          <t>X</t>
        </is>
      </c>
      <c r="DI1036" t="inlineStr">
        <is>
          <t>X</t>
        </is>
      </c>
      <c r="DL1036" t="inlineStr">
        <is>
          <t>X</t>
        </is>
      </c>
      <c r="DM1036" t="inlineStr">
        <is>
          <t>D</t>
        </is>
      </c>
      <c r="DN1036" t="inlineStr">
        <is>
          <t>X</t>
        </is>
      </c>
      <c r="DU1036" t="inlineStr">
        <is>
          <t>X</t>
        </is>
      </c>
      <c r="DX1036" t="inlineStr">
        <is>
          <t>X</t>
        </is>
      </c>
      <c r="EA1036" t="inlineStr">
        <is>
          <t>X</t>
        </is>
      </c>
      <c r="ED1036" t="inlineStr">
        <is>
          <t>D</t>
        </is>
      </c>
      <c r="EF1036" t="inlineStr">
        <is>
          <t>X</t>
        </is>
      </c>
    </row>
    <row r="1037">
      <c r="A1037" t="inlineStr">
        <is>
          <t>OH0026505287</t>
        </is>
      </c>
      <c r="B1037" t="n">
        <v>78</v>
      </c>
      <c r="C1037" t="n">
        <v>463185</v>
      </c>
      <c r="D1037" t="inlineStr">
        <is>
          <t>FORTUNE</t>
        </is>
      </c>
      <c r="E1037" t="inlineStr">
        <is>
          <t>DENISE</t>
        </is>
      </c>
      <c r="F1037">
        <f>CONCATENATE(D1037," ",LEFT(H1037,4),"T=",AU1037,"D=",AV1037,"R=",AW1037,"M=",AX1037,"L=",AY1037,"B=",AZ1037)</f>
        <v/>
      </c>
      <c r="G1037" t="inlineStr">
        <is>
          <t>M</t>
        </is>
      </c>
      <c r="I1037" t="inlineStr">
        <is>
          <t>1962-04-19</t>
        </is>
      </c>
      <c r="J1037" t="inlineStr">
        <is>
          <t>2022-04-25</t>
        </is>
      </c>
      <c r="K1037" t="inlineStr">
        <is>
          <t>CONFIRMATION</t>
        </is>
      </c>
      <c r="M1037" t="inlineStr">
        <is>
          <t>414 HOMEWOOD AVE SE</t>
        </is>
      </c>
      <c r="N1037">
        <f>RIGHT(M1037,LEN(M1037)-FIND(" ",M1037))</f>
        <v/>
      </c>
      <c r="P1037" t="inlineStr">
        <is>
          <t>WARREN</t>
        </is>
      </c>
      <c r="Q1037" t="inlineStr">
        <is>
          <t>OH</t>
        </is>
      </c>
      <c r="R1037" t="n">
        <v>44483</v>
      </c>
      <c r="AD1037" t="inlineStr">
        <is>
          <t>TRUMBULL CAREER &amp; TECH CENTER</t>
        </is>
      </c>
      <c r="AE1037" t="inlineStr">
        <is>
          <t>WARREN CITY</t>
        </is>
      </c>
      <c r="AF1037" t="inlineStr">
        <is>
          <t>WARREN CITY SD</t>
        </is>
      </c>
      <c r="AH1037" t="n">
        <v>14</v>
      </c>
      <c r="AI1037" t="n">
        <v>11</v>
      </c>
      <c r="AN1037" t="inlineStr">
        <is>
          <t>WARREN</t>
        </is>
      </c>
      <c r="AO1037" t="inlineStr">
        <is>
          <t>WARREN CITY 4A</t>
        </is>
      </c>
      <c r="AP1037" t="inlineStr">
        <is>
          <t>78-P-ADI</t>
        </is>
      </c>
      <c r="AQ1037" t="n">
        <v>9</v>
      </c>
      <c r="AR1037" t="n">
        <v>64</v>
      </c>
      <c r="AS1037" t="n">
        <v>32</v>
      </c>
      <c r="AU1037">
        <f>COUNTA($BA$1037:$EH$1037)</f>
        <v/>
      </c>
      <c r="AV1037">
        <f>COUNTIF($BA$1037:$EH$1037,"D")</f>
        <v/>
      </c>
      <c r="AW1037">
        <f>COUNTIF($BA$1037:$EH$1037,"R")</f>
        <v/>
      </c>
      <c r="AX1037">
        <f>IF(BN1037="D",1,0)+IF(BO1037="D",1,0)+IF(BT1037="D",1,0)+IF(BU1037="D",1,0)+IF(BW1037="D",1,0)+IF(CC1037="D",1,0)+IF(CD1037="D",1,0)+IF(CE1037="D",1,0)+IF(CF1037="D",1,0)+IF(CL1037="D",1,0)+IF(CM1037="D",1,0)+IF(CQ1037="D",1,0)+IF(CR1037="D",1,0)+IF(CS1037="D",1,0)+IF(CW1037="D",1,0)+IF(CX1037="D",1,0)+IF(DD1037="D",1,0)+IF(DE1037="D",1,0)+IF(DJ1037="D",1,0)+IF(DK1037="D",1,0)+IF(DO1037="D",1,0)+IF(DP1037="D",1,0)+IF(DQ1037="D",1,0)+IF(DW1037="D",1,0)+IF(DZ1037="D",1,0)+IF(EH1037="D",1,0)</f>
        <v/>
      </c>
      <c r="AY1037">
        <f>IF(DJ1037&lt;&gt;"",1,0)+IF(DK1037&lt;&gt;"",1,0)+IF(DM1037&lt;&gt;"",1,0)+IF(DO1037&lt;&gt;"",1,0)+IF(DP1037&lt;&gt;"",1,0)+IF(DQ1037&lt;&gt;"",1,0)+IF(DS1037&lt;&gt;"",1,0)+IF(DT1037&lt;&gt;"",1,0)+IF(DV1037&lt;&gt;"",1,0)+IF(DW1037&lt;&gt;"",1,0)+IF(DX1037&lt;&gt;"",1,0)+IF(DY1037&lt;&gt;"",1,0)+IF(DZ1037&lt;&gt;"",1,0)+IF(EB1037&lt;&gt;"",1,0)+IF(EC1037&lt;&gt;"",1,0)+IF(ED1037&lt;&gt;"",1,0)+IF(EG1037&lt;&gt;"",1,0)+IF(EH1037&lt;&gt;"",1,0)</f>
        <v/>
      </c>
      <c r="AZ1037">
        <f>IF(EH1037&lt;&gt;"",1,0)</f>
        <v/>
      </c>
      <c r="BB1037" t="inlineStr">
        <is>
          <t>WARREN-WARD 4</t>
        </is>
      </c>
    </row>
    <row r="1038">
      <c r="A1038" t="inlineStr">
        <is>
          <t>OH0026571440</t>
        </is>
      </c>
      <c r="B1038" t="n">
        <v>78</v>
      </c>
      <c r="C1038" t="n">
        <v>464379</v>
      </c>
      <c r="D1038" t="inlineStr">
        <is>
          <t>BURD</t>
        </is>
      </c>
      <c r="E1038" t="inlineStr">
        <is>
          <t>EVERETT</t>
        </is>
      </c>
      <c r="F1038">
        <f>CONCATENATE(D1038," ",LEFT(H1038,4),"T=",AU1038,"D=",AV1038,"R=",AW1038,"M=",AX1038,"L=",AY1038,"B=",AZ1038)</f>
        <v/>
      </c>
      <c r="G1038" t="inlineStr">
        <is>
          <t>FULTON</t>
        </is>
      </c>
      <c r="I1038" t="inlineStr">
        <is>
          <t>2002-07-31</t>
        </is>
      </c>
      <c r="J1038" t="inlineStr">
        <is>
          <t>2023-07-20</t>
        </is>
      </c>
      <c r="K1038" t="inlineStr">
        <is>
          <t>ACTIVE</t>
        </is>
      </c>
      <c r="M1038" t="inlineStr">
        <is>
          <t>367 WOODBINE AVE SE</t>
        </is>
      </c>
      <c r="N1038">
        <f>RIGHT(M1038,LEN(M1038)-FIND(" ",M1038))</f>
        <v/>
      </c>
      <c r="P1038" t="inlineStr">
        <is>
          <t>WARREN</t>
        </is>
      </c>
      <c r="Q1038" t="inlineStr">
        <is>
          <t>OH</t>
        </is>
      </c>
      <c r="R1038" t="n">
        <v>44483</v>
      </c>
      <c r="AD1038" t="inlineStr">
        <is>
          <t>TRUMBULL CAREER &amp; TECH CENTER</t>
        </is>
      </c>
      <c r="AE1038" t="inlineStr">
        <is>
          <t>WARREN CITY</t>
        </is>
      </c>
      <c r="AF1038" t="inlineStr">
        <is>
          <t>WARREN CITY SD</t>
        </is>
      </c>
      <c r="AH1038" t="n">
        <v>14</v>
      </c>
      <c r="AI1038" t="n">
        <v>11</v>
      </c>
      <c r="AN1038" t="inlineStr">
        <is>
          <t>WARREN</t>
        </is>
      </c>
      <c r="AO1038" t="inlineStr">
        <is>
          <t>WARREN CITY 4A</t>
        </is>
      </c>
      <c r="AP1038" t="inlineStr">
        <is>
          <t>78-P-ADI</t>
        </is>
      </c>
      <c r="AQ1038" t="n">
        <v>9</v>
      </c>
      <c r="AR1038" t="n">
        <v>64</v>
      </c>
      <c r="AS1038" t="n">
        <v>32</v>
      </c>
      <c r="AU1038">
        <f>COUNTA($BA$1038:$EH$1038)</f>
        <v/>
      </c>
      <c r="AV1038">
        <f>COUNTIF($BA$1038:$EH$1038,"D")</f>
        <v/>
      </c>
      <c r="AW1038">
        <f>COUNTIF($BA$1038:$EH$1038,"R")</f>
        <v/>
      </c>
      <c r="AX1038">
        <f>IF(BN1038="D",1,0)+IF(BO1038="D",1,0)+IF(BT1038="D",1,0)+IF(BU1038="D",1,0)+IF(BW1038="D",1,0)+IF(CC1038="D",1,0)+IF(CD1038="D",1,0)+IF(CE1038="D",1,0)+IF(CF1038="D",1,0)+IF(CL1038="D",1,0)+IF(CM1038="D",1,0)+IF(CQ1038="D",1,0)+IF(CR1038="D",1,0)+IF(CS1038="D",1,0)+IF(CW1038="D",1,0)+IF(CX1038="D",1,0)+IF(DD1038="D",1,0)+IF(DE1038="D",1,0)+IF(DJ1038="D",1,0)+IF(DK1038="D",1,0)+IF(DO1038="D",1,0)+IF(DP1038="D",1,0)+IF(DQ1038="D",1,0)+IF(DW1038="D",1,0)+IF(DZ1038="D",1,0)+IF(EH1038="D",1,0)</f>
        <v/>
      </c>
      <c r="AY1038">
        <f>IF(DJ1038&lt;&gt;"",1,0)+IF(DK1038&lt;&gt;"",1,0)+IF(DM1038&lt;&gt;"",1,0)+IF(DO1038&lt;&gt;"",1,0)+IF(DP1038&lt;&gt;"",1,0)+IF(DQ1038&lt;&gt;"",1,0)+IF(DS1038&lt;&gt;"",1,0)+IF(DT1038&lt;&gt;"",1,0)+IF(DV1038&lt;&gt;"",1,0)+IF(DW1038&lt;&gt;"",1,0)+IF(DX1038&lt;&gt;"",1,0)+IF(DY1038&lt;&gt;"",1,0)+IF(DZ1038&lt;&gt;"",1,0)+IF(EB1038&lt;&gt;"",1,0)+IF(EC1038&lt;&gt;"",1,0)+IF(ED1038&lt;&gt;"",1,0)+IF(EG1038&lt;&gt;"",1,0)+IF(EH1038&lt;&gt;"",1,0)</f>
        <v/>
      </c>
      <c r="AZ1038">
        <f>IF(EH1038&lt;&gt;"",1,0)</f>
        <v/>
      </c>
      <c r="BB1038" t="inlineStr">
        <is>
          <t>WARREN-WARD 4</t>
        </is>
      </c>
      <c r="DU1038" t="inlineStr">
        <is>
          <t>X</t>
        </is>
      </c>
      <c r="DX1038" t="inlineStr">
        <is>
          <t>X</t>
        </is>
      </c>
      <c r="EF1038" t="inlineStr">
        <is>
          <t>X</t>
        </is>
      </c>
    </row>
    <row r="1039">
      <c r="A1039" t="inlineStr">
        <is>
          <t>OH0026206670</t>
        </is>
      </c>
      <c r="B1039" t="n">
        <v>78</v>
      </c>
      <c r="C1039" t="n">
        <v>458277</v>
      </c>
      <c r="D1039" t="inlineStr">
        <is>
          <t>POPE</t>
        </is>
      </c>
      <c r="E1039" t="inlineStr">
        <is>
          <t>SAM</t>
        </is>
      </c>
      <c r="F1039">
        <f>CONCATENATE(D1039," ",LEFT(H1039,4),"T=",AU1039,"D=",AV1039,"R=",AW1039,"M=",AX1039,"L=",AY1039,"B=",AZ1039)</f>
        <v/>
      </c>
      <c r="G1039" t="inlineStr">
        <is>
          <t>MARIE</t>
        </is>
      </c>
      <c r="I1039" t="inlineStr">
        <is>
          <t>1987-09-23</t>
        </is>
      </c>
      <c r="J1039" t="inlineStr">
        <is>
          <t>2022-03-04</t>
        </is>
      </c>
      <c r="K1039" t="inlineStr">
        <is>
          <t>CONFIRMATION</t>
        </is>
      </c>
      <c r="M1039" t="inlineStr">
        <is>
          <t>456 KENILWORTH AVE SE</t>
        </is>
      </c>
      <c r="N1039">
        <f>RIGHT(M1039,LEN(M1039)-FIND(" ",M1039))</f>
        <v/>
      </c>
      <c r="P1039" t="inlineStr">
        <is>
          <t>WARREN</t>
        </is>
      </c>
      <c r="Q1039" t="inlineStr">
        <is>
          <t>OH</t>
        </is>
      </c>
      <c r="R1039" t="n">
        <v>44483</v>
      </c>
      <c r="AD1039" t="inlineStr">
        <is>
          <t>TRUMBULL CAREER &amp; TECH CENTER</t>
        </is>
      </c>
      <c r="AE1039" t="inlineStr">
        <is>
          <t>WARREN CITY</t>
        </is>
      </c>
      <c r="AF1039" t="inlineStr">
        <is>
          <t>WARREN CITY SD</t>
        </is>
      </c>
      <c r="AH1039" t="n">
        <v>14</v>
      </c>
      <c r="AI1039" t="n">
        <v>11</v>
      </c>
      <c r="AN1039" t="inlineStr">
        <is>
          <t>WARREN</t>
        </is>
      </c>
      <c r="AO1039" t="inlineStr">
        <is>
          <t>WARREN CITY 4A</t>
        </is>
      </c>
      <c r="AP1039" t="inlineStr">
        <is>
          <t>78-P-ADI</t>
        </is>
      </c>
      <c r="AQ1039" t="n">
        <v>9</v>
      </c>
      <c r="AR1039" t="n">
        <v>64</v>
      </c>
      <c r="AS1039" t="n">
        <v>32</v>
      </c>
      <c r="AU1039">
        <f>COUNTA($BA$1039:$EH$1039)</f>
        <v/>
      </c>
      <c r="AV1039">
        <f>COUNTIF($BA$1039:$EH$1039,"D")</f>
        <v/>
      </c>
      <c r="AW1039">
        <f>COUNTIF($BA$1039:$EH$1039,"R")</f>
        <v/>
      </c>
      <c r="AX1039">
        <f>IF(BN1039="D",1,0)+IF(BO1039="D",1,0)+IF(BT1039="D",1,0)+IF(BU1039="D",1,0)+IF(BW1039="D",1,0)+IF(CC1039="D",1,0)+IF(CD1039="D",1,0)+IF(CE1039="D",1,0)+IF(CF1039="D",1,0)+IF(CL1039="D",1,0)+IF(CM1039="D",1,0)+IF(CQ1039="D",1,0)+IF(CR1039="D",1,0)+IF(CS1039="D",1,0)+IF(CW1039="D",1,0)+IF(CX1039="D",1,0)+IF(DD1039="D",1,0)+IF(DE1039="D",1,0)+IF(DJ1039="D",1,0)+IF(DK1039="D",1,0)+IF(DO1039="D",1,0)+IF(DP1039="D",1,0)+IF(DQ1039="D",1,0)+IF(DW1039="D",1,0)+IF(DZ1039="D",1,0)+IF(EH1039="D",1,0)</f>
        <v/>
      </c>
      <c r="AY1039">
        <f>IF(DJ1039&lt;&gt;"",1,0)+IF(DK1039&lt;&gt;"",1,0)+IF(DM1039&lt;&gt;"",1,0)+IF(DO1039&lt;&gt;"",1,0)+IF(DP1039&lt;&gt;"",1,0)+IF(DQ1039&lt;&gt;"",1,0)+IF(DS1039&lt;&gt;"",1,0)+IF(DT1039&lt;&gt;"",1,0)+IF(DV1039&lt;&gt;"",1,0)+IF(DW1039&lt;&gt;"",1,0)+IF(DX1039&lt;&gt;"",1,0)+IF(DY1039&lt;&gt;"",1,0)+IF(DZ1039&lt;&gt;"",1,0)+IF(EB1039&lt;&gt;"",1,0)+IF(EC1039&lt;&gt;"",1,0)+IF(ED1039&lt;&gt;"",1,0)+IF(EG1039&lt;&gt;"",1,0)+IF(EH1039&lt;&gt;"",1,0)</f>
        <v/>
      </c>
      <c r="AZ1039">
        <f>IF(EH1039&lt;&gt;"",1,0)</f>
        <v/>
      </c>
      <c r="BB1039" t="inlineStr">
        <is>
          <t>WARREN-WARD 4</t>
        </is>
      </c>
      <c r="CA1039" t="inlineStr">
        <is>
          <t>X</t>
        </is>
      </c>
    </row>
    <row r="1040">
      <c r="A1040" t="inlineStr">
        <is>
          <t>OH0023651462</t>
        </is>
      </c>
      <c r="B1040" t="n">
        <v>78</v>
      </c>
      <c r="C1040" t="n">
        <v>416221</v>
      </c>
      <c r="D1040" t="inlineStr">
        <is>
          <t>MANBECK</t>
        </is>
      </c>
      <c r="E1040" t="inlineStr">
        <is>
          <t>CHRISTIAN</t>
        </is>
      </c>
      <c r="F1040">
        <f>CONCATENATE(D1040," ",LEFT(H1040,4),"T=",AU1040,"D=",AV1040,"R=",AW1040,"M=",AX1040,"L=",AY1040,"B=",AZ1040)</f>
        <v/>
      </c>
      <c r="G1040" t="inlineStr">
        <is>
          <t>D</t>
        </is>
      </c>
      <c r="I1040" t="inlineStr">
        <is>
          <t>1979-08-17</t>
        </is>
      </c>
      <c r="J1040" t="inlineStr">
        <is>
          <t>2016-09-24</t>
        </is>
      </c>
      <c r="K1040" t="inlineStr">
        <is>
          <t>ACTIVE</t>
        </is>
      </c>
      <c r="L1040" t="inlineStr">
        <is>
          <t>R</t>
        </is>
      </c>
      <c r="M1040" t="inlineStr">
        <is>
          <t>422 IDDINGS AVE SE</t>
        </is>
      </c>
      <c r="N1040">
        <f>RIGHT(M1040,LEN(M1040)-FIND(" ",M1040))</f>
        <v/>
      </c>
      <c r="P1040" t="inlineStr">
        <is>
          <t>WARREN</t>
        </is>
      </c>
      <c r="Q1040" t="inlineStr">
        <is>
          <t>OH</t>
        </is>
      </c>
      <c r="R1040" t="n">
        <v>44483</v>
      </c>
      <c r="AD1040" t="inlineStr">
        <is>
          <t>TRUMBULL CAREER &amp; TECH CENTER</t>
        </is>
      </c>
      <c r="AE1040" t="inlineStr">
        <is>
          <t>WARREN CITY</t>
        </is>
      </c>
      <c r="AF1040" t="inlineStr">
        <is>
          <t>WARREN CITY SD</t>
        </is>
      </c>
      <c r="AH1040" t="n">
        <v>14</v>
      </c>
      <c r="AI1040" t="n">
        <v>11</v>
      </c>
      <c r="AN1040" t="inlineStr">
        <is>
          <t>WARREN</t>
        </is>
      </c>
      <c r="AO1040" t="inlineStr">
        <is>
          <t>WARREN CITY 4A</t>
        </is>
      </c>
      <c r="AP1040" t="inlineStr">
        <is>
          <t>78-P-ADI</t>
        </is>
      </c>
      <c r="AQ1040" t="n">
        <v>9</v>
      </c>
      <c r="AR1040" t="n">
        <v>64</v>
      </c>
      <c r="AS1040" t="n">
        <v>32</v>
      </c>
      <c r="AU1040">
        <f>COUNTA($BA$1040:$EH$1040)</f>
        <v/>
      </c>
      <c r="AV1040">
        <f>COUNTIF($BA$1040:$EH$1040,"D")</f>
        <v/>
      </c>
      <c r="AW1040">
        <f>COUNTIF($BA$1040:$EH$1040,"R")</f>
        <v/>
      </c>
      <c r="AX1040">
        <f>IF(BN1040="D",1,0)+IF(BO1040="D",1,0)+IF(BT1040="D",1,0)+IF(BU1040="D",1,0)+IF(BW1040="D",1,0)+IF(CC1040="D",1,0)+IF(CD1040="D",1,0)+IF(CE1040="D",1,0)+IF(CF1040="D",1,0)+IF(CL1040="D",1,0)+IF(CM1040="D",1,0)+IF(CQ1040="D",1,0)+IF(CR1040="D",1,0)+IF(CS1040="D",1,0)+IF(CW1040="D",1,0)+IF(CX1040="D",1,0)+IF(DD1040="D",1,0)+IF(DE1040="D",1,0)+IF(DJ1040="D",1,0)+IF(DK1040="D",1,0)+IF(DO1040="D",1,0)+IF(DP1040="D",1,0)+IF(DQ1040="D",1,0)+IF(DW1040="D",1,0)+IF(DZ1040="D",1,0)+IF(EH1040="D",1,0)</f>
        <v/>
      </c>
      <c r="AY1040">
        <f>IF(DJ1040&lt;&gt;"",1,0)+IF(DK1040&lt;&gt;"",1,0)+IF(DM1040&lt;&gt;"",1,0)+IF(DO1040&lt;&gt;"",1,0)+IF(DP1040&lt;&gt;"",1,0)+IF(DQ1040&lt;&gt;"",1,0)+IF(DS1040&lt;&gt;"",1,0)+IF(DT1040&lt;&gt;"",1,0)+IF(DV1040&lt;&gt;"",1,0)+IF(DW1040&lt;&gt;"",1,0)+IF(DX1040&lt;&gt;"",1,0)+IF(DY1040&lt;&gt;"",1,0)+IF(DZ1040&lt;&gt;"",1,0)+IF(EB1040&lt;&gt;"",1,0)+IF(EC1040&lt;&gt;"",1,0)+IF(ED1040&lt;&gt;"",1,0)+IF(EG1040&lt;&gt;"",1,0)+IF(EH1040&lt;&gt;"",1,0)</f>
        <v/>
      </c>
      <c r="AZ1040">
        <f>IF(EH1040&lt;&gt;"",1,0)</f>
        <v/>
      </c>
      <c r="BB1040" t="inlineStr">
        <is>
          <t>WARREN-WARD 4</t>
        </is>
      </c>
      <c r="BL1040" t="inlineStr">
        <is>
          <t>X</t>
        </is>
      </c>
      <c r="DC1040" t="inlineStr">
        <is>
          <t>X</t>
        </is>
      </c>
      <c r="DI1040" t="inlineStr">
        <is>
          <t>X</t>
        </is>
      </c>
      <c r="DN1040" t="inlineStr">
        <is>
          <t>X</t>
        </is>
      </c>
      <c r="DU1040" t="inlineStr">
        <is>
          <t>X</t>
        </is>
      </c>
      <c r="DX1040" t="inlineStr">
        <is>
          <t>X</t>
        </is>
      </c>
      <c r="EA1040" t="inlineStr">
        <is>
          <t>X</t>
        </is>
      </c>
      <c r="ED1040" t="inlineStr">
        <is>
          <t>R</t>
        </is>
      </c>
      <c r="EF1040" t="inlineStr">
        <is>
          <t>X</t>
        </is>
      </c>
    </row>
    <row r="1041">
      <c r="A1041" t="inlineStr">
        <is>
          <t>OH0023443168</t>
        </is>
      </c>
      <c r="B1041" t="n">
        <v>78</v>
      </c>
      <c r="C1041" t="n">
        <v>411727</v>
      </c>
      <c r="D1041" t="inlineStr">
        <is>
          <t>WORRELL</t>
        </is>
      </c>
      <c r="E1041" t="inlineStr">
        <is>
          <t>ALEXIS</t>
        </is>
      </c>
      <c r="F1041">
        <f>CONCATENATE(D1041," ",LEFT(H1041,4),"T=",AU1041,"D=",AV1041,"R=",AW1041,"M=",AX1041,"L=",AY1041,"B=",AZ1041)</f>
        <v/>
      </c>
      <c r="G1041" t="inlineStr">
        <is>
          <t>DARIEN</t>
        </is>
      </c>
      <c r="I1041" t="inlineStr">
        <is>
          <t>1997-09-11</t>
        </is>
      </c>
      <c r="J1041" t="inlineStr">
        <is>
          <t>2022-10-07</t>
        </is>
      </c>
      <c r="K1041" t="inlineStr">
        <is>
          <t>ACTIVE</t>
        </is>
      </c>
      <c r="M1041" t="inlineStr">
        <is>
          <t>714 HOMEWOOD AVE SE</t>
        </is>
      </c>
      <c r="N1041">
        <f>RIGHT(M1041,LEN(M1041)-FIND(" ",M1041))</f>
        <v/>
      </c>
      <c r="P1041" t="inlineStr">
        <is>
          <t>WARREN</t>
        </is>
      </c>
      <c r="Q1041" t="inlineStr">
        <is>
          <t>OH</t>
        </is>
      </c>
      <c r="R1041" t="n">
        <v>44484</v>
      </c>
      <c r="AD1041" t="inlineStr">
        <is>
          <t>TRUMBULL CAREER &amp; TECH CENTER</t>
        </is>
      </c>
      <c r="AE1041" t="inlineStr">
        <is>
          <t>WARREN CITY</t>
        </is>
      </c>
      <c r="AF1041" t="inlineStr">
        <is>
          <t>WARREN CITY SD</t>
        </is>
      </c>
      <c r="AH1041" t="n">
        <v>14</v>
      </c>
      <c r="AI1041" t="n">
        <v>11</v>
      </c>
      <c r="AN1041" t="inlineStr">
        <is>
          <t>WARREN</t>
        </is>
      </c>
      <c r="AO1041" t="inlineStr">
        <is>
          <t>WARREN CITY 4A</t>
        </is>
      </c>
      <c r="AP1041" t="inlineStr">
        <is>
          <t>78-P-ADI</t>
        </is>
      </c>
      <c r="AQ1041" t="n">
        <v>9</v>
      </c>
      <c r="AR1041" t="n">
        <v>64</v>
      </c>
      <c r="AS1041" t="n">
        <v>32</v>
      </c>
      <c r="AU1041">
        <f>COUNTA($BA$1041:$EH$1041)</f>
        <v/>
      </c>
      <c r="AV1041">
        <f>COUNTIF($BA$1041:$EH$1041,"D")</f>
        <v/>
      </c>
      <c r="AW1041">
        <f>COUNTIF($BA$1041:$EH$1041,"R")</f>
        <v/>
      </c>
      <c r="AX1041">
        <f>IF(BN1041="D",1,0)+IF(BO1041="D",1,0)+IF(BT1041="D",1,0)+IF(BU1041="D",1,0)+IF(BW1041="D",1,0)+IF(CC1041="D",1,0)+IF(CD1041="D",1,0)+IF(CE1041="D",1,0)+IF(CF1041="D",1,0)+IF(CL1041="D",1,0)+IF(CM1041="D",1,0)+IF(CQ1041="D",1,0)+IF(CR1041="D",1,0)+IF(CS1041="D",1,0)+IF(CW1041="D",1,0)+IF(CX1041="D",1,0)+IF(DD1041="D",1,0)+IF(DE1041="D",1,0)+IF(DJ1041="D",1,0)+IF(DK1041="D",1,0)+IF(DO1041="D",1,0)+IF(DP1041="D",1,0)+IF(DQ1041="D",1,0)+IF(DW1041="D",1,0)+IF(DZ1041="D",1,0)+IF(EH1041="D",1,0)</f>
        <v/>
      </c>
      <c r="AY1041">
        <f>IF(DJ1041&lt;&gt;"",1,0)+IF(DK1041&lt;&gt;"",1,0)+IF(DM1041&lt;&gt;"",1,0)+IF(DO1041&lt;&gt;"",1,0)+IF(DP1041&lt;&gt;"",1,0)+IF(DQ1041&lt;&gt;"",1,0)+IF(DS1041&lt;&gt;"",1,0)+IF(DT1041&lt;&gt;"",1,0)+IF(DV1041&lt;&gt;"",1,0)+IF(DW1041&lt;&gt;"",1,0)+IF(DX1041&lt;&gt;"",1,0)+IF(DY1041&lt;&gt;"",1,0)+IF(DZ1041&lt;&gt;"",1,0)+IF(EB1041&lt;&gt;"",1,0)+IF(EC1041&lt;&gt;"",1,0)+IF(ED1041&lt;&gt;"",1,0)+IF(EG1041&lt;&gt;"",1,0)+IF(EH1041&lt;&gt;"",1,0)</f>
        <v/>
      </c>
      <c r="AZ1041">
        <f>IF(EH1041&lt;&gt;"",1,0)</f>
        <v/>
      </c>
      <c r="BB1041" t="inlineStr">
        <is>
          <t>WARREN-WARD 4</t>
        </is>
      </c>
    </row>
    <row r="1042">
      <c r="A1042" t="inlineStr">
        <is>
          <t>OH0015685750</t>
        </is>
      </c>
      <c r="B1042" t="n">
        <v>78</v>
      </c>
      <c r="C1042" t="n">
        <v>12309</v>
      </c>
      <c r="D1042" t="inlineStr">
        <is>
          <t>BOURNIAS</t>
        </is>
      </c>
      <c r="E1042" t="inlineStr">
        <is>
          <t>BARBARA</t>
        </is>
      </c>
      <c r="F1042">
        <f>CONCATENATE(D1042," ",LEFT(H1042,4),"T=",AU1042,"D=",AV1042,"R=",AW1042,"M=",AX1042,"L=",AY1042,"B=",AZ1042)</f>
        <v/>
      </c>
      <c r="G1042" t="inlineStr">
        <is>
          <t>K</t>
        </is>
      </c>
      <c r="I1042" t="inlineStr">
        <is>
          <t>1949-04-21</t>
        </is>
      </c>
      <c r="J1042" t="inlineStr">
        <is>
          <t>2022-11-30</t>
        </is>
      </c>
      <c r="K1042" t="inlineStr">
        <is>
          <t>ACTIVE</t>
        </is>
      </c>
      <c r="L1042" t="inlineStr">
        <is>
          <t>D</t>
        </is>
      </c>
      <c r="M1042" t="inlineStr">
        <is>
          <t>196 OAK KNOLL AVE SE</t>
        </is>
      </c>
      <c r="N1042">
        <f>RIGHT(M1042,LEN(M1042)-FIND(" ",M1042))</f>
        <v/>
      </c>
      <c r="P1042" t="inlineStr">
        <is>
          <t>WARREN</t>
        </is>
      </c>
      <c r="Q1042" t="inlineStr">
        <is>
          <t>OH</t>
        </is>
      </c>
      <c r="R1042" t="n">
        <v>44483</v>
      </c>
      <c r="AD1042" t="inlineStr">
        <is>
          <t>TRUMBULL CAREER &amp; TECH CENTER</t>
        </is>
      </c>
      <c r="AE1042" t="inlineStr">
        <is>
          <t>WARREN CITY</t>
        </is>
      </c>
      <c r="AF1042" t="inlineStr">
        <is>
          <t>WARREN CITY SD</t>
        </is>
      </c>
      <c r="AH1042" t="n">
        <v>14</v>
      </c>
      <c r="AI1042" t="n">
        <v>11</v>
      </c>
      <c r="AN1042" t="inlineStr">
        <is>
          <t>WARREN</t>
        </is>
      </c>
      <c r="AO1042" t="inlineStr">
        <is>
          <t>WARREN CITY 4A</t>
        </is>
      </c>
      <c r="AP1042" t="inlineStr">
        <is>
          <t>78-P-ADI</t>
        </is>
      </c>
      <c r="AQ1042" t="n">
        <v>9</v>
      </c>
      <c r="AR1042" t="n">
        <v>64</v>
      </c>
      <c r="AS1042" t="n">
        <v>32</v>
      </c>
      <c r="AU1042">
        <f>COUNTA($BA$1042:$EH$1042)</f>
        <v/>
      </c>
      <c r="AV1042">
        <f>COUNTIF($BA$1042:$EH$1042,"D")</f>
        <v/>
      </c>
      <c r="AW1042">
        <f>COUNTIF($BA$1042:$EH$1042,"R")</f>
        <v/>
      </c>
      <c r="AX1042">
        <f>IF(BN1042="D",1,0)+IF(BO1042="D",1,0)+IF(BT1042="D",1,0)+IF(BU1042="D",1,0)+IF(BW1042="D",1,0)+IF(CC1042="D",1,0)+IF(CD1042="D",1,0)+IF(CE1042="D",1,0)+IF(CF1042="D",1,0)+IF(CL1042="D",1,0)+IF(CM1042="D",1,0)+IF(CQ1042="D",1,0)+IF(CR1042="D",1,0)+IF(CS1042="D",1,0)+IF(CW1042="D",1,0)+IF(CX1042="D",1,0)+IF(DD1042="D",1,0)+IF(DE1042="D",1,0)+IF(DJ1042="D",1,0)+IF(DK1042="D",1,0)+IF(DO1042="D",1,0)+IF(DP1042="D",1,0)+IF(DQ1042="D",1,0)+IF(DW1042="D",1,0)+IF(DZ1042="D",1,0)+IF(EH1042="D",1,0)</f>
        <v/>
      </c>
      <c r="AY1042">
        <f>IF(DJ1042&lt;&gt;"",1,0)+IF(DK1042&lt;&gt;"",1,0)+IF(DM1042&lt;&gt;"",1,0)+IF(DO1042&lt;&gt;"",1,0)+IF(DP1042&lt;&gt;"",1,0)+IF(DQ1042&lt;&gt;"",1,0)+IF(DS1042&lt;&gt;"",1,0)+IF(DT1042&lt;&gt;"",1,0)+IF(DV1042&lt;&gt;"",1,0)+IF(DW1042&lt;&gt;"",1,0)+IF(DX1042&lt;&gt;"",1,0)+IF(DY1042&lt;&gt;"",1,0)+IF(DZ1042&lt;&gt;"",1,0)+IF(EB1042&lt;&gt;"",1,0)+IF(EC1042&lt;&gt;"",1,0)+IF(ED1042&lt;&gt;"",1,0)+IF(EG1042&lt;&gt;"",1,0)+IF(EH1042&lt;&gt;"",1,0)</f>
        <v/>
      </c>
      <c r="AZ1042">
        <f>IF(EH1042&lt;&gt;"",1,0)</f>
        <v/>
      </c>
      <c r="BB1042" t="inlineStr">
        <is>
          <t>WARREN-WARD 4</t>
        </is>
      </c>
      <c r="BC1042" t="inlineStr">
        <is>
          <t>X</t>
        </is>
      </c>
      <c r="BD1042" t="inlineStr">
        <is>
          <t>X</t>
        </is>
      </c>
      <c r="BE1042" t="inlineStr">
        <is>
          <t>X</t>
        </is>
      </c>
      <c r="BF1042" t="inlineStr">
        <is>
          <t>X</t>
        </is>
      </c>
      <c r="BH1042" t="inlineStr">
        <is>
          <t>X</t>
        </is>
      </c>
      <c r="BI1042" t="inlineStr">
        <is>
          <t>X</t>
        </is>
      </c>
      <c r="BJ1042" t="inlineStr">
        <is>
          <t>X</t>
        </is>
      </c>
      <c r="BK1042" t="inlineStr">
        <is>
          <t>X</t>
        </is>
      </c>
      <c r="BL1042" t="inlineStr">
        <is>
          <t>X</t>
        </is>
      </c>
      <c r="BP1042" t="inlineStr">
        <is>
          <t>X</t>
        </is>
      </c>
      <c r="BR1042" t="inlineStr">
        <is>
          <t>X</t>
        </is>
      </c>
      <c r="BS1042" t="inlineStr">
        <is>
          <t>X</t>
        </is>
      </c>
      <c r="CA1042" t="inlineStr">
        <is>
          <t>X</t>
        </is>
      </c>
      <c r="CK1042" t="inlineStr">
        <is>
          <t>X</t>
        </is>
      </c>
      <c r="CL1042" t="inlineStr">
        <is>
          <t>D</t>
        </is>
      </c>
      <c r="CN1042" t="inlineStr">
        <is>
          <t>X</t>
        </is>
      </c>
      <c r="CP1042" t="inlineStr">
        <is>
          <t>X</t>
        </is>
      </c>
      <c r="CQ1042" t="inlineStr">
        <is>
          <t>D</t>
        </is>
      </c>
      <c r="CV1042" t="inlineStr">
        <is>
          <t>X</t>
        </is>
      </c>
      <c r="CZ1042" t="inlineStr">
        <is>
          <t>D</t>
        </is>
      </c>
      <c r="DC1042" t="inlineStr">
        <is>
          <t>X</t>
        </is>
      </c>
      <c r="DF1042" t="inlineStr">
        <is>
          <t>X</t>
        </is>
      </c>
      <c r="DI1042" t="inlineStr">
        <is>
          <t>X</t>
        </is>
      </c>
      <c r="DL1042" t="inlineStr">
        <is>
          <t>X</t>
        </is>
      </c>
      <c r="DM1042" t="inlineStr">
        <is>
          <t>D</t>
        </is>
      </c>
      <c r="DN1042" t="inlineStr">
        <is>
          <t>X</t>
        </is>
      </c>
      <c r="DT1042" t="inlineStr">
        <is>
          <t>D</t>
        </is>
      </c>
      <c r="DU1042" t="inlineStr">
        <is>
          <t>X</t>
        </is>
      </c>
      <c r="DX1042" t="inlineStr">
        <is>
          <t>X</t>
        </is>
      </c>
      <c r="EA1042" t="inlineStr">
        <is>
          <t>X</t>
        </is>
      </c>
      <c r="ED1042" t="inlineStr">
        <is>
          <t>D</t>
        </is>
      </c>
      <c r="EF1042" t="inlineStr">
        <is>
          <t>X</t>
        </is>
      </c>
      <c r="EH1042" t="inlineStr">
        <is>
          <t>D</t>
        </is>
      </c>
    </row>
    <row r="1043">
      <c r="A1043" t="inlineStr">
        <is>
          <t>OH0026262833</t>
        </is>
      </c>
      <c r="B1043" t="n">
        <v>78</v>
      </c>
      <c r="C1043" t="n">
        <v>459259</v>
      </c>
      <c r="D1043" t="inlineStr">
        <is>
          <t>MENDEZ</t>
        </is>
      </c>
      <c r="E1043" t="inlineStr">
        <is>
          <t>ANTHONY</t>
        </is>
      </c>
      <c r="F1043">
        <f>CONCATENATE(D1043," ",LEFT(H1043,4),"T=",AU1043,"D=",AV1043,"R=",AW1043,"M=",AX1043,"L=",AY1043,"B=",AZ1043)</f>
        <v/>
      </c>
      <c r="G1043" t="inlineStr">
        <is>
          <t>GEORGE CORBIN</t>
        </is>
      </c>
      <c r="I1043" t="inlineStr">
        <is>
          <t>1986-08-03</t>
        </is>
      </c>
      <c r="J1043" t="inlineStr">
        <is>
          <t>2021-08-03</t>
        </is>
      </c>
      <c r="K1043" t="inlineStr">
        <is>
          <t>CONFIRMATION</t>
        </is>
      </c>
      <c r="M1043" t="inlineStr">
        <is>
          <t>206 LAIRD AVE SE</t>
        </is>
      </c>
      <c r="N1043">
        <f>RIGHT(M1043,LEN(M1043)-FIND(" ",M1043))</f>
        <v/>
      </c>
      <c r="P1043" t="inlineStr">
        <is>
          <t>WARREN</t>
        </is>
      </c>
      <c r="Q1043" t="inlineStr">
        <is>
          <t>OH</t>
        </is>
      </c>
      <c r="R1043" t="n">
        <v>44483</v>
      </c>
      <c r="AD1043" t="inlineStr">
        <is>
          <t>TRUMBULL CAREER &amp; TECH CENTER</t>
        </is>
      </c>
      <c r="AE1043" t="inlineStr">
        <is>
          <t>WARREN CITY</t>
        </is>
      </c>
      <c r="AF1043" t="inlineStr">
        <is>
          <t>WARREN CITY SD</t>
        </is>
      </c>
      <c r="AH1043" t="n">
        <v>14</v>
      </c>
      <c r="AI1043" t="n">
        <v>11</v>
      </c>
      <c r="AN1043" t="inlineStr">
        <is>
          <t>WARREN</t>
        </is>
      </c>
      <c r="AO1043" t="inlineStr">
        <is>
          <t>WARREN CITY 4A</t>
        </is>
      </c>
      <c r="AP1043" t="inlineStr">
        <is>
          <t>78-P-ADI</t>
        </is>
      </c>
      <c r="AQ1043" t="n">
        <v>9</v>
      </c>
      <c r="AR1043" t="n">
        <v>64</v>
      </c>
      <c r="AS1043" t="n">
        <v>32</v>
      </c>
      <c r="AU1043">
        <f>COUNTA($BA$1043:$EH$1043)</f>
        <v/>
      </c>
      <c r="AV1043">
        <f>COUNTIF($BA$1043:$EH$1043,"D")</f>
        <v/>
      </c>
      <c r="AW1043">
        <f>COUNTIF($BA$1043:$EH$1043,"R")</f>
        <v/>
      </c>
      <c r="AX1043">
        <f>IF(BN1043="D",1,0)+IF(BO1043="D",1,0)+IF(BT1043="D",1,0)+IF(BU1043="D",1,0)+IF(BW1043="D",1,0)+IF(CC1043="D",1,0)+IF(CD1043="D",1,0)+IF(CE1043="D",1,0)+IF(CF1043="D",1,0)+IF(CL1043="D",1,0)+IF(CM1043="D",1,0)+IF(CQ1043="D",1,0)+IF(CR1043="D",1,0)+IF(CS1043="D",1,0)+IF(CW1043="D",1,0)+IF(CX1043="D",1,0)+IF(DD1043="D",1,0)+IF(DE1043="D",1,0)+IF(DJ1043="D",1,0)+IF(DK1043="D",1,0)+IF(DO1043="D",1,0)+IF(DP1043="D",1,0)+IF(DQ1043="D",1,0)+IF(DW1043="D",1,0)+IF(DZ1043="D",1,0)+IF(EH1043="D",1,0)</f>
        <v/>
      </c>
      <c r="AY1043">
        <f>IF(DJ1043&lt;&gt;"",1,0)+IF(DK1043&lt;&gt;"",1,0)+IF(DM1043&lt;&gt;"",1,0)+IF(DO1043&lt;&gt;"",1,0)+IF(DP1043&lt;&gt;"",1,0)+IF(DQ1043&lt;&gt;"",1,0)+IF(DS1043&lt;&gt;"",1,0)+IF(DT1043&lt;&gt;"",1,0)+IF(DV1043&lt;&gt;"",1,0)+IF(DW1043&lt;&gt;"",1,0)+IF(DX1043&lt;&gt;"",1,0)+IF(DY1043&lt;&gt;"",1,0)+IF(DZ1043&lt;&gt;"",1,0)+IF(EB1043&lt;&gt;"",1,0)+IF(EC1043&lt;&gt;"",1,0)+IF(ED1043&lt;&gt;"",1,0)+IF(EG1043&lt;&gt;"",1,0)+IF(EH1043&lt;&gt;"",1,0)</f>
        <v/>
      </c>
      <c r="AZ1043">
        <f>IF(EH1043&lt;&gt;"",1,0)</f>
        <v/>
      </c>
      <c r="BB1043" t="inlineStr">
        <is>
          <t>WARREN-WARD 4</t>
        </is>
      </c>
    </row>
    <row r="1044">
      <c r="A1044" t="inlineStr">
        <is>
          <t>OH0015822930</t>
        </is>
      </c>
      <c r="B1044" t="n">
        <v>78</v>
      </c>
      <c r="C1044" t="n">
        <v>287792</v>
      </c>
      <c r="D1044" t="inlineStr">
        <is>
          <t>DEJACIMO</t>
        </is>
      </c>
      <c r="E1044" t="inlineStr">
        <is>
          <t>JEANINE</t>
        </is>
      </c>
      <c r="F1044">
        <f>CONCATENATE(D1044," ",LEFT(H1044,4),"T=",AU1044,"D=",AV1044,"R=",AW1044,"M=",AX1044,"L=",AY1044,"B=",AZ1044)</f>
        <v/>
      </c>
      <c r="G1044" t="inlineStr">
        <is>
          <t>G</t>
        </is>
      </c>
      <c r="I1044" t="inlineStr">
        <is>
          <t>1981-01-29</t>
        </is>
      </c>
      <c r="J1044" t="inlineStr">
        <is>
          <t>2015-06-27</t>
        </is>
      </c>
      <c r="K1044" t="inlineStr">
        <is>
          <t>ACTIVE</t>
        </is>
      </c>
      <c r="M1044" t="inlineStr">
        <is>
          <t>177 OAK KNOLL AVE SE</t>
        </is>
      </c>
      <c r="N1044">
        <f>RIGHT(M1044,LEN(M1044)-FIND(" ",M1044))</f>
        <v/>
      </c>
      <c r="P1044" t="inlineStr">
        <is>
          <t>WARREN</t>
        </is>
      </c>
      <c r="Q1044" t="inlineStr">
        <is>
          <t>OH</t>
        </is>
      </c>
      <c r="R1044" t="n">
        <v>44483</v>
      </c>
      <c r="AD1044" t="inlineStr">
        <is>
          <t>TRUMBULL CAREER &amp; TECH CENTER</t>
        </is>
      </c>
      <c r="AE1044" t="inlineStr">
        <is>
          <t>WARREN CITY</t>
        </is>
      </c>
      <c r="AF1044" t="inlineStr">
        <is>
          <t>WARREN CITY SD</t>
        </is>
      </c>
      <c r="AH1044" t="n">
        <v>14</v>
      </c>
      <c r="AI1044" t="n">
        <v>11</v>
      </c>
      <c r="AN1044" t="inlineStr">
        <is>
          <t>WARREN</t>
        </is>
      </c>
      <c r="AO1044" t="inlineStr">
        <is>
          <t>WARREN CITY 4A</t>
        </is>
      </c>
      <c r="AP1044" t="inlineStr">
        <is>
          <t>78-P-ADI</t>
        </is>
      </c>
      <c r="AQ1044" t="n">
        <v>9</v>
      </c>
      <c r="AR1044" t="n">
        <v>64</v>
      </c>
      <c r="AS1044" t="n">
        <v>32</v>
      </c>
      <c r="AU1044">
        <f>COUNTA($BA$1044:$EH$1044)</f>
        <v/>
      </c>
      <c r="AV1044">
        <f>COUNTIF($BA$1044:$EH$1044,"D")</f>
        <v/>
      </c>
      <c r="AW1044">
        <f>COUNTIF($BA$1044:$EH$1044,"R")</f>
        <v/>
      </c>
      <c r="AX1044">
        <f>IF(BN1044="D",1,0)+IF(BO1044="D",1,0)+IF(BT1044="D",1,0)+IF(BU1044="D",1,0)+IF(BW1044="D",1,0)+IF(CC1044="D",1,0)+IF(CD1044="D",1,0)+IF(CE1044="D",1,0)+IF(CF1044="D",1,0)+IF(CL1044="D",1,0)+IF(CM1044="D",1,0)+IF(CQ1044="D",1,0)+IF(CR1044="D",1,0)+IF(CS1044="D",1,0)+IF(CW1044="D",1,0)+IF(CX1044="D",1,0)+IF(DD1044="D",1,0)+IF(DE1044="D",1,0)+IF(DJ1044="D",1,0)+IF(DK1044="D",1,0)+IF(DO1044="D",1,0)+IF(DP1044="D",1,0)+IF(DQ1044="D",1,0)+IF(DW1044="D",1,0)+IF(DZ1044="D",1,0)+IF(EH1044="D",1,0)</f>
        <v/>
      </c>
      <c r="AY1044">
        <f>IF(DJ1044&lt;&gt;"",1,0)+IF(DK1044&lt;&gt;"",1,0)+IF(DM1044&lt;&gt;"",1,0)+IF(DO1044&lt;&gt;"",1,0)+IF(DP1044&lt;&gt;"",1,0)+IF(DQ1044&lt;&gt;"",1,0)+IF(DS1044&lt;&gt;"",1,0)+IF(DT1044&lt;&gt;"",1,0)+IF(DV1044&lt;&gt;"",1,0)+IF(DW1044&lt;&gt;"",1,0)+IF(DX1044&lt;&gt;"",1,0)+IF(DY1044&lt;&gt;"",1,0)+IF(DZ1044&lt;&gt;"",1,0)+IF(EB1044&lt;&gt;"",1,0)+IF(EC1044&lt;&gt;"",1,0)+IF(ED1044&lt;&gt;"",1,0)+IF(EG1044&lt;&gt;"",1,0)+IF(EH1044&lt;&gt;"",1,0)</f>
        <v/>
      </c>
      <c r="AZ1044">
        <f>IF(EH1044&lt;&gt;"",1,0)</f>
        <v/>
      </c>
      <c r="BB1044" t="inlineStr">
        <is>
          <t>WARREN-WARD 4</t>
        </is>
      </c>
      <c r="BD1044" t="inlineStr">
        <is>
          <t>X</t>
        </is>
      </c>
      <c r="BJ1044" t="inlineStr">
        <is>
          <t>X</t>
        </is>
      </c>
      <c r="BL1044" t="inlineStr">
        <is>
          <t>X</t>
        </is>
      </c>
      <c r="BP1044" t="inlineStr">
        <is>
          <t>X</t>
        </is>
      </c>
      <c r="BS1044" t="inlineStr">
        <is>
          <t>X</t>
        </is>
      </c>
      <c r="CA1044" t="inlineStr">
        <is>
          <t>X</t>
        </is>
      </c>
      <c r="CN1044" t="inlineStr">
        <is>
          <t>X</t>
        </is>
      </c>
      <c r="CP1044" t="inlineStr">
        <is>
          <t>X</t>
        </is>
      </c>
      <c r="CY1044" t="inlineStr">
        <is>
          <t>X</t>
        </is>
      </c>
      <c r="DC1044" t="inlineStr">
        <is>
          <t>X</t>
        </is>
      </c>
      <c r="DI1044" t="inlineStr">
        <is>
          <t>X</t>
        </is>
      </c>
      <c r="DL1044" t="inlineStr">
        <is>
          <t>X</t>
        </is>
      </c>
      <c r="DN1044" t="inlineStr">
        <is>
          <t>X</t>
        </is>
      </c>
      <c r="DU1044" t="inlineStr">
        <is>
          <t>X</t>
        </is>
      </c>
      <c r="DX1044" t="inlineStr">
        <is>
          <t>X</t>
        </is>
      </c>
      <c r="EA1044" t="inlineStr">
        <is>
          <t>X</t>
        </is>
      </c>
      <c r="EF1044" t="inlineStr">
        <is>
          <t>X</t>
        </is>
      </c>
    </row>
    <row r="1045">
      <c r="A1045" t="inlineStr">
        <is>
          <t>OH0021335072</t>
        </is>
      </c>
      <c r="B1045" t="n">
        <v>78</v>
      </c>
      <c r="C1045" t="n">
        <v>379337</v>
      </c>
      <c r="D1045" t="inlineStr">
        <is>
          <t>WALLS</t>
        </is>
      </c>
      <c r="E1045" t="inlineStr">
        <is>
          <t>BRITTANY</t>
        </is>
      </c>
      <c r="F1045">
        <f>CONCATENATE(D1045," ",LEFT(H1045,4),"T=",AU1045,"D=",AV1045,"R=",AW1045,"M=",AX1045,"L=",AY1045,"B=",AZ1045)</f>
        <v/>
      </c>
      <c r="G1045" t="inlineStr">
        <is>
          <t>MARIE</t>
        </is>
      </c>
      <c r="I1045" t="inlineStr">
        <is>
          <t>1993-02-05</t>
        </is>
      </c>
      <c r="J1045" t="inlineStr">
        <is>
          <t>2011-03-01</t>
        </is>
      </c>
      <c r="K1045" t="inlineStr">
        <is>
          <t>CONFIRMATION</t>
        </is>
      </c>
      <c r="M1045" t="inlineStr">
        <is>
          <t>421 BONNIE BRAE AVE SE</t>
        </is>
      </c>
      <c r="N1045">
        <f>RIGHT(M1045,LEN(M1045)-FIND(" ",M1045))</f>
        <v/>
      </c>
      <c r="P1045" t="inlineStr">
        <is>
          <t>WARREN</t>
        </is>
      </c>
      <c r="Q1045" t="inlineStr">
        <is>
          <t>OH</t>
        </is>
      </c>
      <c r="R1045" t="n">
        <v>44484</v>
      </c>
      <c r="AD1045" t="inlineStr">
        <is>
          <t>TRUMBULL CAREER &amp; TECH CENTER</t>
        </is>
      </c>
      <c r="AE1045" t="inlineStr">
        <is>
          <t>WARREN CITY</t>
        </is>
      </c>
      <c r="AF1045" t="inlineStr">
        <is>
          <t>WARREN CITY SD</t>
        </is>
      </c>
      <c r="AH1045" t="n">
        <v>14</v>
      </c>
      <c r="AI1045" t="n">
        <v>11</v>
      </c>
      <c r="AN1045" t="inlineStr">
        <is>
          <t>WARREN</t>
        </is>
      </c>
      <c r="AO1045" t="inlineStr">
        <is>
          <t>WARREN CITY 4A</t>
        </is>
      </c>
      <c r="AP1045" t="inlineStr">
        <is>
          <t>78-P-ADI</t>
        </is>
      </c>
      <c r="AQ1045" t="n">
        <v>9</v>
      </c>
      <c r="AR1045" t="n">
        <v>64</v>
      </c>
      <c r="AS1045" t="n">
        <v>32</v>
      </c>
      <c r="AU1045">
        <f>COUNTA($BA$1045:$EH$1045)</f>
        <v/>
      </c>
      <c r="AV1045">
        <f>COUNTIF($BA$1045:$EH$1045,"D")</f>
        <v/>
      </c>
      <c r="AW1045">
        <f>COUNTIF($BA$1045:$EH$1045,"R")</f>
        <v/>
      </c>
      <c r="AX1045">
        <f>IF(BN1045="D",1,0)+IF(BO1045="D",1,0)+IF(BT1045="D",1,0)+IF(BU1045="D",1,0)+IF(BW1045="D",1,0)+IF(CC1045="D",1,0)+IF(CD1045="D",1,0)+IF(CE1045="D",1,0)+IF(CF1045="D",1,0)+IF(CL1045="D",1,0)+IF(CM1045="D",1,0)+IF(CQ1045="D",1,0)+IF(CR1045="D",1,0)+IF(CS1045="D",1,0)+IF(CW1045="D",1,0)+IF(CX1045="D",1,0)+IF(DD1045="D",1,0)+IF(DE1045="D",1,0)+IF(DJ1045="D",1,0)+IF(DK1045="D",1,0)+IF(DO1045="D",1,0)+IF(DP1045="D",1,0)+IF(DQ1045="D",1,0)+IF(DW1045="D",1,0)+IF(DZ1045="D",1,0)+IF(EH1045="D",1,0)</f>
        <v/>
      </c>
      <c r="AY1045">
        <f>IF(DJ1045&lt;&gt;"",1,0)+IF(DK1045&lt;&gt;"",1,0)+IF(DM1045&lt;&gt;"",1,0)+IF(DO1045&lt;&gt;"",1,0)+IF(DP1045&lt;&gt;"",1,0)+IF(DQ1045&lt;&gt;"",1,0)+IF(DS1045&lt;&gt;"",1,0)+IF(DT1045&lt;&gt;"",1,0)+IF(DV1045&lt;&gt;"",1,0)+IF(DW1045&lt;&gt;"",1,0)+IF(DX1045&lt;&gt;"",1,0)+IF(DY1045&lt;&gt;"",1,0)+IF(DZ1045&lt;&gt;"",1,0)+IF(EB1045&lt;&gt;"",1,0)+IF(EC1045&lt;&gt;"",1,0)+IF(ED1045&lt;&gt;"",1,0)+IF(EG1045&lt;&gt;"",1,0)+IF(EH1045&lt;&gt;"",1,0)</f>
        <v/>
      </c>
      <c r="AZ1045">
        <f>IF(EH1045&lt;&gt;"",1,0)</f>
        <v/>
      </c>
      <c r="BB1045" t="inlineStr">
        <is>
          <t>WARREN-WARD 4</t>
        </is>
      </c>
      <c r="CN1045" t="inlineStr">
        <is>
          <t>X</t>
        </is>
      </c>
      <c r="CO1045" t="inlineStr">
        <is>
          <t>D</t>
        </is>
      </c>
      <c r="CP1045" t="inlineStr">
        <is>
          <t>X</t>
        </is>
      </c>
      <c r="CY1045" t="inlineStr">
        <is>
          <t>X</t>
        </is>
      </c>
      <c r="CZ1045" t="inlineStr">
        <is>
          <t>D</t>
        </is>
      </c>
      <c r="DN1045" t="inlineStr">
        <is>
          <t>X</t>
        </is>
      </c>
    </row>
    <row r="1046">
      <c r="A1046" t="inlineStr">
        <is>
          <t>OH0023555834</t>
        </is>
      </c>
      <c r="B1046" t="n">
        <v>78</v>
      </c>
      <c r="C1046" t="n">
        <v>412487</v>
      </c>
      <c r="D1046" t="inlineStr">
        <is>
          <t>DOUGLAS</t>
        </is>
      </c>
      <c r="E1046" t="inlineStr">
        <is>
          <t>DESEMEN</t>
        </is>
      </c>
      <c r="F1046">
        <f>CONCATENATE(D1046," ",LEFT(H1046,4),"T=",AU1046,"D=",AV1046,"R=",AW1046,"M=",AX1046,"L=",AY1046,"B=",AZ1046)</f>
        <v/>
      </c>
      <c r="G1046" t="inlineStr">
        <is>
          <t>D</t>
        </is>
      </c>
      <c r="H1046" t="inlineStr">
        <is>
          <t>SR</t>
        </is>
      </c>
      <c r="I1046" t="inlineStr">
        <is>
          <t>1980-08-16</t>
        </is>
      </c>
      <c r="J1046" t="inlineStr">
        <is>
          <t>2018-07-20</t>
        </is>
      </c>
      <c r="K1046" t="inlineStr">
        <is>
          <t>CONFIRMATION</t>
        </is>
      </c>
      <c r="M1046" t="inlineStr">
        <is>
          <t>1609 YOUNGSTOWN RD SE</t>
        </is>
      </c>
      <c r="N1046">
        <f>RIGHT(M1046,LEN(M1046)-FIND(" ",M1046))</f>
        <v/>
      </c>
      <c r="P1046" t="inlineStr">
        <is>
          <t>WARREN</t>
        </is>
      </c>
      <c r="Q1046" t="inlineStr">
        <is>
          <t>OH</t>
        </is>
      </c>
      <c r="R1046" t="n">
        <v>44484</v>
      </c>
      <c r="AD1046" t="inlineStr">
        <is>
          <t>TRUMBULL CAREER &amp; TECH CENTER</t>
        </is>
      </c>
      <c r="AE1046" t="inlineStr">
        <is>
          <t>WARREN CITY</t>
        </is>
      </c>
      <c r="AF1046" t="inlineStr">
        <is>
          <t>WARREN CITY SD</t>
        </is>
      </c>
      <c r="AH1046" t="n">
        <v>14</v>
      </c>
      <c r="AI1046" t="n">
        <v>11</v>
      </c>
      <c r="AN1046" t="inlineStr">
        <is>
          <t>WARREN</t>
        </is>
      </c>
      <c r="AO1046" t="inlineStr">
        <is>
          <t>WARREN CITY 4A</t>
        </is>
      </c>
      <c r="AP1046" t="inlineStr">
        <is>
          <t>78-P-ADI</t>
        </is>
      </c>
      <c r="AQ1046" t="n">
        <v>9</v>
      </c>
      <c r="AR1046" t="n">
        <v>64</v>
      </c>
      <c r="AS1046" t="n">
        <v>32</v>
      </c>
      <c r="AU1046">
        <f>COUNTA($BA$1046:$EH$1046)</f>
        <v/>
      </c>
      <c r="AV1046">
        <f>COUNTIF($BA$1046:$EH$1046,"D")</f>
        <v/>
      </c>
      <c r="AW1046">
        <f>COUNTIF($BA$1046:$EH$1046,"R")</f>
        <v/>
      </c>
      <c r="AX1046">
        <f>IF(BN1046="D",1,0)+IF(BO1046="D",1,0)+IF(BT1046="D",1,0)+IF(BU1046="D",1,0)+IF(BW1046="D",1,0)+IF(CC1046="D",1,0)+IF(CD1046="D",1,0)+IF(CE1046="D",1,0)+IF(CF1046="D",1,0)+IF(CL1046="D",1,0)+IF(CM1046="D",1,0)+IF(CQ1046="D",1,0)+IF(CR1046="D",1,0)+IF(CS1046="D",1,0)+IF(CW1046="D",1,0)+IF(CX1046="D",1,0)+IF(DD1046="D",1,0)+IF(DE1046="D",1,0)+IF(DJ1046="D",1,0)+IF(DK1046="D",1,0)+IF(DO1046="D",1,0)+IF(DP1046="D",1,0)+IF(DQ1046="D",1,0)+IF(DW1046="D",1,0)+IF(DZ1046="D",1,0)+IF(EH1046="D",1,0)</f>
        <v/>
      </c>
      <c r="AY1046">
        <f>IF(DJ1046&lt;&gt;"",1,0)+IF(DK1046&lt;&gt;"",1,0)+IF(DM1046&lt;&gt;"",1,0)+IF(DO1046&lt;&gt;"",1,0)+IF(DP1046&lt;&gt;"",1,0)+IF(DQ1046&lt;&gt;"",1,0)+IF(DS1046&lt;&gt;"",1,0)+IF(DT1046&lt;&gt;"",1,0)+IF(DV1046&lt;&gt;"",1,0)+IF(DW1046&lt;&gt;"",1,0)+IF(DX1046&lt;&gt;"",1,0)+IF(DY1046&lt;&gt;"",1,0)+IF(DZ1046&lt;&gt;"",1,0)+IF(EB1046&lt;&gt;"",1,0)+IF(EC1046&lt;&gt;"",1,0)+IF(ED1046&lt;&gt;"",1,0)+IF(EG1046&lt;&gt;"",1,0)+IF(EH1046&lt;&gt;"",1,0)</f>
        <v/>
      </c>
      <c r="AZ1046">
        <f>IF(EH1046&lt;&gt;"",1,0)</f>
        <v/>
      </c>
      <c r="BB1046" t="inlineStr">
        <is>
          <t>WARREN-WARD 4</t>
        </is>
      </c>
    </row>
    <row r="1047">
      <c r="A1047" t="inlineStr">
        <is>
          <t>OH0026925334</t>
        </is>
      </c>
      <c r="B1047" t="n">
        <v>78</v>
      </c>
      <c r="C1047" t="n">
        <v>474527</v>
      </c>
      <c r="D1047" t="inlineStr">
        <is>
          <t>BROWN</t>
        </is>
      </c>
      <c r="E1047" t="inlineStr">
        <is>
          <t>RACHELLE</t>
        </is>
      </c>
      <c r="F1047">
        <f>CONCATENATE(D1047," ",LEFT(H1047,4),"T=",AU1047,"D=",AV1047,"R=",AW1047,"M=",AX1047,"L=",AY1047,"B=",AZ1047)</f>
        <v/>
      </c>
      <c r="I1047" t="inlineStr">
        <is>
          <t>1962-09-03</t>
        </is>
      </c>
      <c r="J1047" t="inlineStr">
        <is>
          <t>2023-05-11</t>
        </is>
      </c>
      <c r="K1047" t="inlineStr">
        <is>
          <t>ACTIVE</t>
        </is>
      </c>
      <c r="M1047" t="inlineStr">
        <is>
          <t>527 WOODBINE AVE SE</t>
        </is>
      </c>
      <c r="N1047">
        <f>RIGHT(M1047,LEN(M1047)-FIND(" ",M1047))</f>
        <v/>
      </c>
      <c r="P1047" t="inlineStr">
        <is>
          <t>WARREN</t>
        </is>
      </c>
      <c r="Q1047" t="inlineStr">
        <is>
          <t>OH</t>
        </is>
      </c>
      <c r="R1047" t="n">
        <v>44483</v>
      </c>
      <c r="AD1047" t="inlineStr">
        <is>
          <t>TRUMBULL CAREER &amp; TECH CENTER</t>
        </is>
      </c>
      <c r="AE1047" t="inlineStr">
        <is>
          <t>WARREN CITY</t>
        </is>
      </c>
      <c r="AF1047" t="inlineStr">
        <is>
          <t>WARREN CITY SD</t>
        </is>
      </c>
      <c r="AH1047" t="n">
        <v>14</v>
      </c>
      <c r="AI1047" t="n">
        <v>11</v>
      </c>
      <c r="AN1047" t="inlineStr">
        <is>
          <t>WARREN</t>
        </is>
      </c>
      <c r="AO1047" t="inlineStr">
        <is>
          <t>WARREN CITY 4A</t>
        </is>
      </c>
      <c r="AP1047" t="inlineStr">
        <is>
          <t>78-P-ADI</t>
        </is>
      </c>
      <c r="AQ1047" t="n">
        <v>9</v>
      </c>
      <c r="AR1047" t="n">
        <v>64</v>
      </c>
      <c r="AS1047" t="n">
        <v>32</v>
      </c>
      <c r="AU1047">
        <f>COUNTA($BA$1047:$EH$1047)</f>
        <v/>
      </c>
      <c r="AV1047">
        <f>COUNTIF($BA$1047:$EH$1047,"D")</f>
        <v/>
      </c>
      <c r="AW1047">
        <f>COUNTIF($BA$1047:$EH$1047,"R")</f>
        <v/>
      </c>
      <c r="AX1047">
        <f>IF(BN1047="D",1,0)+IF(BO1047="D",1,0)+IF(BT1047="D",1,0)+IF(BU1047="D",1,0)+IF(BW1047="D",1,0)+IF(CC1047="D",1,0)+IF(CD1047="D",1,0)+IF(CE1047="D",1,0)+IF(CF1047="D",1,0)+IF(CL1047="D",1,0)+IF(CM1047="D",1,0)+IF(CQ1047="D",1,0)+IF(CR1047="D",1,0)+IF(CS1047="D",1,0)+IF(CW1047="D",1,0)+IF(CX1047="D",1,0)+IF(DD1047="D",1,0)+IF(DE1047="D",1,0)+IF(DJ1047="D",1,0)+IF(DK1047="D",1,0)+IF(DO1047="D",1,0)+IF(DP1047="D",1,0)+IF(DQ1047="D",1,0)+IF(DW1047="D",1,0)+IF(DZ1047="D",1,0)+IF(EH1047="D",1,0)</f>
        <v/>
      </c>
      <c r="AY1047">
        <f>IF(DJ1047&lt;&gt;"",1,0)+IF(DK1047&lt;&gt;"",1,0)+IF(DM1047&lt;&gt;"",1,0)+IF(DO1047&lt;&gt;"",1,0)+IF(DP1047&lt;&gt;"",1,0)+IF(DQ1047&lt;&gt;"",1,0)+IF(DS1047&lt;&gt;"",1,0)+IF(DT1047&lt;&gt;"",1,0)+IF(DV1047&lt;&gt;"",1,0)+IF(DW1047&lt;&gt;"",1,0)+IF(DX1047&lt;&gt;"",1,0)+IF(DY1047&lt;&gt;"",1,0)+IF(DZ1047&lt;&gt;"",1,0)+IF(EB1047&lt;&gt;"",1,0)+IF(EC1047&lt;&gt;"",1,0)+IF(ED1047&lt;&gt;"",1,0)+IF(EG1047&lt;&gt;"",1,0)+IF(EH1047&lt;&gt;"",1,0)</f>
        <v/>
      </c>
      <c r="AZ1047">
        <f>IF(EH1047&lt;&gt;"",1,0)</f>
        <v/>
      </c>
      <c r="BB1047" t="inlineStr">
        <is>
          <t>WARREN-WARD 4</t>
        </is>
      </c>
      <c r="EA1047" t="inlineStr">
        <is>
          <t>X</t>
        </is>
      </c>
    </row>
    <row r="1048">
      <c r="A1048" t="inlineStr">
        <is>
          <t>OH0023093245</t>
        </is>
      </c>
      <c r="B1048" t="n">
        <v>78</v>
      </c>
      <c r="C1048" t="n">
        <v>407049</v>
      </c>
      <c r="D1048" t="inlineStr">
        <is>
          <t>MERRICK</t>
        </is>
      </c>
      <c r="E1048" t="inlineStr">
        <is>
          <t>JOSHUA</t>
        </is>
      </c>
      <c r="F1048">
        <f>CONCATENATE(D1048," ",LEFT(H1048,4),"T=",AU1048,"D=",AV1048,"R=",AW1048,"M=",AX1048,"L=",AY1048,"B=",AZ1048)</f>
        <v/>
      </c>
      <c r="G1048" t="inlineStr">
        <is>
          <t>A</t>
        </is>
      </c>
      <c r="I1048" t="inlineStr">
        <is>
          <t>1980-07-21</t>
        </is>
      </c>
      <c r="J1048" t="inlineStr">
        <is>
          <t>2016-03-17</t>
        </is>
      </c>
      <c r="K1048" t="inlineStr">
        <is>
          <t>CONFIRMATION</t>
        </is>
      </c>
      <c r="M1048" t="inlineStr">
        <is>
          <t>578 OAK KNOLL AVE SE</t>
        </is>
      </c>
      <c r="N1048">
        <f>RIGHT(M1048,LEN(M1048)-FIND(" ",M1048))</f>
        <v/>
      </c>
      <c r="P1048" t="inlineStr">
        <is>
          <t>WARREN</t>
        </is>
      </c>
      <c r="Q1048" t="inlineStr">
        <is>
          <t>OH</t>
        </is>
      </c>
      <c r="R1048" t="n">
        <v>44483</v>
      </c>
      <c r="AD1048" t="inlineStr">
        <is>
          <t>TRUMBULL CAREER &amp; TECH CENTER</t>
        </is>
      </c>
      <c r="AE1048" t="inlineStr">
        <is>
          <t>WARREN CITY</t>
        </is>
      </c>
      <c r="AF1048" t="inlineStr">
        <is>
          <t>WARREN CITY SD</t>
        </is>
      </c>
      <c r="AH1048" t="n">
        <v>14</v>
      </c>
      <c r="AI1048" t="n">
        <v>11</v>
      </c>
      <c r="AN1048" t="inlineStr">
        <is>
          <t>WARREN</t>
        </is>
      </c>
      <c r="AO1048" t="inlineStr">
        <is>
          <t>WARREN CITY 4A</t>
        </is>
      </c>
      <c r="AP1048" t="inlineStr">
        <is>
          <t>78-P-ADI</t>
        </is>
      </c>
      <c r="AQ1048" t="n">
        <v>9</v>
      </c>
      <c r="AR1048" t="n">
        <v>64</v>
      </c>
      <c r="AS1048" t="n">
        <v>32</v>
      </c>
      <c r="AU1048">
        <f>COUNTA($BA$1048:$EH$1048)</f>
        <v/>
      </c>
      <c r="AV1048">
        <f>COUNTIF($BA$1048:$EH$1048,"D")</f>
        <v/>
      </c>
      <c r="AW1048">
        <f>COUNTIF($BA$1048:$EH$1048,"R")</f>
        <v/>
      </c>
      <c r="AX1048">
        <f>IF(BN1048="D",1,0)+IF(BO1048="D",1,0)+IF(BT1048="D",1,0)+IF(BU1048="D",1,0)+IF(BW1048="D",1,0)+IF(CC1048="D",1,0)+IF(CD1048="D",1,0)+IF(CE1048="D",1,0)+IF(CF1048="D",1,0)+IF(CL1048="D",1,0)+IF(CM1048="D",1,0)+IF(CQ1048="D",1,0)+IF(CR1048="D",1,0)+IF(CS1048="D",1,0)+IF(CW1048="D",1,0)+IF(CX1048="D",1,0)+IF(DD1048="D",1,0)+IF(DE1048="D",1,0)+IF(DJ1048="D",1,0)+IF(DK1048="D",1,0)+IF(DO1048="D",1,0)+IF(DP1048="D",1,0)+IF(DQ1048="D",1,0)+IF(DW1048="D",1,0)+IF(DZ1048="D",1,0)+IF(EH1048="D",1,0)</f>
        <v/>
      </c>
      <c r="AY1048">
        <f>IF(DJ1048&lt;&gt;"",1,0)+IF(DK1048&lt;&gt;"",1,0)+IF(DM1048&lt;&gt;"",1,0)+IF(DO1048&lt;&gt;"",1,0)+IF(DP1048&lt;&gt;"",1,0)+IF(DQ1048&lt;&gt;"",1,0)+IF(DS1048&lt;&gt;"",1,0)+IF(DT1048&lt;&gt;"",1,0)+IF(DV1048&lt;&gt;"",1,0)+IF(DW1048&lt;&gt;"",1,0)+IF(DX1048&lt;&gt;"",1,0)+IF(DY1048&lt;&gt;"",1,0)+IF(DZ1048&lt;&gt;"",1,0)+IF(EB1048&lt;&gt;"",1,0)+IF(EC1048&lt;&gt;"",1,0)+IF(ED1048&lt;&gt;"",1,0)+IF(EG1048&lt;&gt;"",1,0)+IF(EH1048&lt;&gt;"",1,0)</f>
        <v/>
      </c>
      <c r="AZ1048">
        <f>IF(EH1048&lt;&gt;"",1,0)</f>
        <v/>
      </c>
      <c r="BB1048" t="inlineStr">
        <is>
          <t>WARREN-WARD 4</t>
        </is>
      </c>
      <c r="BK1048" t="inlineStr">
        <is>
          <t>X</t>
        </is>
      </c>
      <c r="BL1048" t="inlineStr">
        <is>
          <t>X</t>
        </is>
      </c>
      <c r="BS1048" t="inlineStr">
        <is>
          <t>X</t>
        </is>
      </c>
      <c r="BY1048" t="inlineStr">
        <is>
          <t>D</t>
        </is>
      </c>
      <c r="CA1048" t="inlineStr">
        <is>
          <t>X</t>
        </is>
      </c>
      <c r="CG1048" t="inlineStr">
        <is>
          <t>X</t>
        </is>
      </c>
      <c r="CH1048" t="inlineStr">
        <is>
          <t>D</t>
        </is>
      </c>
      <c r="CK1048" t="inlineStr">
        <is>
          <t>X</t>
        </is>
      </c>
      <c r="CN1048" t="inlineStr">
        <is>
          <t>X</t>
        </is>
      </c>
      <c r="CO1048" t="inlineStr">
        <is>
          <t>R</t>
        </is>
      </c>
      <c r="CP1048" t="inlineStr">
        <is>
          <t>X</t>
        </is>
      </c>
      <c r="CY1048" t="inlineStr">
        <is>
          <t>X</t>
        </is>
      </c>
      <c r="DC1048" t="inlineStr">
        <is>
          <t>X</t>
        </is>
      </c>
    </row>
    <row r="1049">
      <c r="A1049" t="inlineStr">
        <is>
          <t>OH0015721580</t>
        </is>
      </c>
      <c r="B1049" t="n">
        <v>78</v>
      </c>
      <c r="C1049" t="n">
        <v>202610</v>
      </c>
      <c r="D1049" t="inlineStr">
        <is>
          <t>EDGAR</t>
        </is>
      </c>
      <c r="E1049" t="inlineStr">
        <is>
          <t>JAMES</t>
        </is>
      </c>
      <c r="F1049">
        <f>CONCATENATE(D1049," ",LEFT(H1049,4),"T=",AU1049,"D=",AV1049,"R=",AW1049,"M=",AX1049,"L=",AY1049,"B=",AZ1049)</f>
        <v/>
      </c>
      <c r="G1049" t="inlineStr">
        <is>
          <t>H</t>
        </is>
      </c>
      <c r="I1049" t="inlineStr">
        <is>
          <t>1960-03-13</t>
        </is>
      </c>
      <c r="J1049" t="inlineStr">
        <is>
          <t>2023-09-05</t>
        </is>
      </c>
      <c r="K1049" t="inlineStr">
        <is>
          <t>ACTIVE</t>
        </is>
      </c>
      <c r="M1049" t="inlineStr">
        <is>
          <t>709 HOMEWOOD AVE SE</t>
        </is>
      </c>
      <c r="N1049">
        <f>RIGHT(M1049,LEN(M1049)-FIND(" ",M1049))</f>
        <v/>
      </c>
      <c r="P1049" t="inlineStr">
        <is>
          <t>WARREN</t>
        </is>
      </c>
      <c r="Q1049" t="inlineStr">
        <is>
          <t>OH</t>
        </is>
      </c>
      <c r="R1049" t="n">
        <v>44484</v>
      </c>
      <c r="AD1049" t="inlineStr">
        <is>
          <t>TRUMBULL CAREER &amp; TECH CENTER</t>
        </is>
      </c>
      <c r="AE1049" t="inlineStr">
        <is>
          <t>WARREN CITY</t>
        </is>
      </c>
      <c r="AF1049" t="inlineStr">
        <is>
          <t>WARREN CITY SD</t>
        </is>
      </c>
      <c r="AH1049" t="n">
        <v>14</v>
      </c>
      <c r="AI1049" t="n">
        <v>11</v>
      </c>
      <c r="AN1049" t="inlineStr">
        <is>
          <t>WARREN</t>
        </is>
      </c>
      <c r="AO1049" t="inlineStr">
        <is>
          <t>WARREN CITY 4A</t>
        </is>
      </c>
      <c r="AP1049" t="inlineStr">
        <is>
          <t>78-P-ADI</t>
        </is>
      </c>
      <c r="AQ1049" t="n">
        <v>9</v>
      </c>
      <c r="AR1049" t="n">
        <v>64</v>
      </c>
      <c r="AS1049" t="n">
        <v>32</v>
      </c>
      <c r="AU1049">
        <f>COUNTA($BA$1049:$EH$1049)</f>
        <v/>
      </c>
      <c r="AV1049">
        <f>COUNTIF($BA$1049:$EH$1049,"D")</f>
        <v/>
      </c>
      <c r="AW1049">
        <f>COUNTIF($BA$1049:$EH$1049,"R")</f>
        <v/>
      </c>
      <c r="AX1049">
        <f>IF(BN1049="D",1,0)+IF(BO1049="D",1,0)+IF(BT1049="D",1,0)+IF(BU1049="D",1,0)+IF(BW1049="D",1,0)+IF(CC1049="D",1,0)+IF(CD1049="D",1,0)+IF(CE1049="D",1,0)+IF(CF1049="D",1,0)+IF(CL1049="D",1,0)+IF(CM1049="D",1,0)+IF(CQ1049="D",1,0)+IF(CR1049="D",1,0)+IF(CS1049="D",1,0)+IF(CW1049="D",1,0)+IF(CX1049="D",1,0)+IF(DD1049="D",1,0)+IF(DE1049="D",1,0)+IF(DJ1049="D",1,0)+IF(DK1049="D",1,0)+IF(DO1049="D",1,0)+IF(DP1049="D",1,0)+IF(DQ1049="D",1,0)+IF(DW1049="D",1,0)+IF(DZ1049="D",1,0)+IF(EH1049="D",1,0)</f>
        <v/>
      </c>
      <c r="AY1049">
        <f>IF(DJ1049&lt;&gt;"",1,0)+IF(DK1049&lt;&gt;"",1,0)+IF(DM1049&lt;&gt;"",1,0)+IF(DO1049&lt;&gt;"",1,0)+IF(DP1049&lt;&gt;"",1,0)+IF(DQ1049&lt;&gt;"",1,0)+IF(DS1049&lt;&gt;"",1,0)+IF(DT1049&lt;&gt;"",1,0)+IF(DV1049&lt;&gt;"",1,0)+IF(DW1049&lt;&gt;"",1,0)+IF(DX1049&lt;&gt;"",1,0)+IF(DY1049&lt;&gt;"",1,0)+IF(DZ1049&lt;&gt;"",1,0)+IF(EB1049&lt;&gt;"",1,0)+IF(EC1049&lt;&gt;"",1,0)+IF(ED1049&lt;&gt;"",1,0)+IF(EG1049&lt;&gt;"",1,0)+IF(EH1049&lt;&gt;"",1,0)</f>
        <v/>
      </c>
      <c r="AZ1049">
        <f>IF(EH1049&lt;&gt;"",1,0)</f>
        <v/>
      </c>
      <c r="BB1049" t="inlineStr">
        <is>
          <t>WARREN-WARD 4</t>
        </is>
      </c>
      <c r="BD1049" t="inlineStr">
        <is>
          <t>X</t>
        </is>
      </c>
      <c r="BS1049" t="inlineStr">
        <is>
          <t>X</t>
        </is>
      </c>
      <c r="BY1049" t="inlineStr">
        <is>
          <t>D</t>
        </is>
      </c>
      <c r="CA1049" t="inlineStr">
        <is>
          <t>X</t>
        </is>
      </c>
    </row>
    <row r="1050">
      <c r="A1050" t="inlineStr">
        <is>
          <t>OH0024489527</t>
        </is>
      </c>
      <c r="B1050" t="n">
        <v>78</v>
      </c>
      <c r="C1050" t="n">
        <v>429220</v>
      </c>
      <c r="D1050" t="inlineStr">
        <is>
          <t>WILLIAMS</t>
        </is>
      </c>
      <c r="E1050" t="inlineStr">
        <is>
          <t>THOMAS</t>
        </is>
      </c>
      <c r="F1050">
        <f>CONCATENATE(D1050," ",LEFT(H1050,4),"T=",AU1050,"D=",AV1050,"R=",AW1050,"M=",AX1050,"L=",AY1050,"B=",AZ1050)</f>
        <v/>
      </c>
      <c r="G1050" t="inlineStr">
        <is>
          <t>J</t>
        </is>
      </c>
      <c r="I1050" t="inlineStr">
        <is>
          <t>1999-11-03</t>
        </is>
      </c>
      <c r="J1050" t="inlineStr">
        <is>
          <t>2018-05-31</t>
        </is>
      </c>
      <c r="K1050" t="inlineStr">
        <is>
          <t>CONFIRMATION</t>
        </is>
      </c>
      <c r="M1050" t="inlineStr">
        <is>
          <t>806 HOMEWOOD AVE SE</t>
        </is>
      </c>
      <c r="N1050">
        <f>RIGHT(M1050,LEN(M1050)-FIND(" ",M1050))</f>
        <v/>
      </c>
      <c r="P1050" t="inlineStr">
        <is>
          <t>WARREN</t>
        </is>
      </c>
      <c r="Q1050" t="inlineStr">
        <is>
          <t>OH</t>
        </is>
      </c>
      <c r="R1050" t="n">
        <v>44484</v>
      </c>
      <c r="AD1050" t="inlineStr">
        <is>
          <t>TRUMBULL CAREER &amp; TECH CENTER</t>
        </is>
      </c>
      <c r="AE1050" t="inlineStr">
        <is>
          <t>WARREN CITY</t>
        </is>
      </c>
      <c r="AF1050" t="inlineStr">
        <is>
          <t>WARREN CITY SD</t>
        </is>
      </c>
      <c r="AH1050" t="n">
        <v>14</v>
      </c>
      <c r="AI1050" t="n">
        <v>11</v>
      </c>
      <c r="AN1050" t="inlineStr">
        <is>
          <t>WARREN</t>
        </is>
      </c>
      <c r="AO1050" t="inlineStr">
        <is>
          <t>WARREN CITY 4A</t>
        </is>
      </c>
      <c r="AP1050" t="inlineStr">
        <is>
          <t>78-P-ADI</t>
        </is>
      </c>
      <c r="AQ1050" t="n">
        <v>9</v>
      </c>
      <c r="AR1050" t="n">
        <v>64</v>
      </c>
      <c r="AS1050" t="n">
        <v>32</v>
      </c>
      <c r="AU1050">
        <f>COUNTA($BA$1050:$EH$1050)</f>
        <v/>
      </c>
      <c r="AV1050">
        <f>COUNTIF($BA$1050:$EH$1050,"D")</f>
        <v/>
      </c>
      <c r="AW1050">
        <f>COUNTIF($BA$1050:$EH$1050,"R")</f>
        <v/>
      </c>
      <c r="AX1050">
        <f>IF(BN1050="D",1,0)+IF(BO1050="D",1,0)+IF(BT1050="D",1,0)+IF(BU1050="D",1,0)+IF(BW1050="D",1,0)+IF(CC1050="D",1,0)+IF(CD1050="D",1,0)+IF(CE1050="D",1,0)+IF(CF1050="D",1,0)+IF(CL1050="D",1,0)+IF(CM1050="D",1,0)+IF(CQ1050="D",1,0)+IF(CR1050="D",1,0)+IF(CS1050="D",1,0)+IF(CW1050="D",1,0)+IF(CX1050="D",1,0)+IF(DD1050="D",1,0)+IF(DE1050="D",1,0)+IF(DJ1050="D",1,0)+IF(DK1050="D",1,0)+IF(DO1050="D",1,0)+IF(DP1050="D",1,0)+IF(DQ1050="D",1,0)+IF(DW1050="D",1,0)+IF(DZ1050="D",1,0)+IF(EH1050="D",1,0)</f>
        <v/>
      </c>
      <c r="AY1050">
        <f>IF(DJ1050&lt;&gt;"",1,0)+IF(DK1050&lt;&gt;"",1,0)+IF(DM1050&lt;&gt;"",1,0)+IF(DO1050&lt;&gt;"",1,0)+IF(DP1050&lt;&gt;"",1,0)+IF(DQ1050&lt;&gt;"",1,0)+IF(DS1050&lt;&gt;"",1,0)+IF(DT1050&lt;&gt;"",1,0)+IF(DV1050&lt;&gt;"",1,0)+IF(DW1050&lt;&gt;"",1,0)+IF(DX1050&lt;&gt;"",1,0)+IF(DY1050&lt;&gt;"",1,0)+IF(DZ1050&lt;&gt;"",1,0)+IF(EB1050&lt;&gt;"",1,0)+IF(EC1050&lt;&gt;"",1,0)+IF(ED1050&lt;&gt;"",1,0)+IF(EG1050&lt;&gt;"",1,0)+IF(EH1050&lt;&gt;"",1,0)</f>
        <v/>
      </c>
      <c r="AZ1050">
        <f>IF(EH1050&lt;&gt;"",1,0)</f>
        <v/>
      </c>
      <c r="BB1050" t="inlineStr">
        <is>
          <t>WARREN-WARD 4</t>
        </is>
      </c>
    </row>
    <row r="1051">
      <c r="A1051" t="inlineStr">
        <is>
          <t>OH0027507724</t>
        </is>
      </c>
      <c r="B1051" t="n">
        <v>78</v>
      </c>
      <c r="C1051" t="n">
        <v>487348</v>
      </c>
      <c r="D1051" t="inlineStr">
        <is>
          <t>LAWRENCE</t>
        </is>
      </c>
      <c r="E1051" t="inlineStr">
        <is>
          <t>MARCEL</t>
        </is>
      </c>
      <c r="F1051">
        <f>CONCATENATE(D1051," ",LEFT(H1051,4),"T=",AU1051,"D=",AV1051,"R=",AW1051,"M=",AX1051,"L=",AY1051,"B=",AZ1051)</f>
        <v/>
      </c>
      <c r="G1051" t="inlineStr">
        <is>
          <t>A</t>
        </is>
      </c>
      <c r="I1051" t="inlineStr">
        <is>
          <t>1957-06-20</t>
        </is>
      </c>
      <c r="J1051" t="inlineStr">
        <is>
          <t>2024-08-10</t>
        </is>
      </c>
      <c r="K1051" t="inlineStr">
        <is>
          <t>ACTIVE</t>
        </is>
      </c>
      <c r="M1051" t="inlineStr">
        <is>
          <t>1424 SOUTH ST SE</t>
        </is>
      </c>
      <c r="N1051">
        <f>RIGHT(M1051,LEN(M1051)-FIND(" ",M1051))</f>
        <v/>
      </c>
      <c r="P1051" t="inlineStr">
        <is>
          <t>WARREN</t>
        </is>
      </c>
      <c r="Q1051" t="inlineStr">
        <is>
          <t>OH</t>
        </is>
      </c>
      <c r="R1051" t="n">
        <v>44483</v>
      </c>
      <c r="AD1051" t="inlineStr">
        <is>
          <t>TRUMBULL CAREER &amp; TECH CENTER</t>
        </is>
      </c>
      <c r="AE1051" t="inlineStr">
        <is>
          <t>WARREN CITY</t>
        </is>
      </c>
      <c r="AF1051" t="inlineStr">
        <is>
          <t>WARREN CITY SD</t>
        </is>
      </c>
      <c r="AH1051" t="n">
        <v>14</v>
      </c>
      <c r="AI1051" t="n">
        <v>11</v>
      </c>
      <c r="AN1051" t="inlineStr">
        <is>
          <t>WARREN</t>
        </is>
      </c>
      <c r="AO1051" t="inlineStr">
        <is>
          <t>WARREN CITY 4A</t>
        </is>
      </c>
      <c r="AP1051" t="inlineStr">
        <is>
          <t>78-P-ADI</t>
        </is>
      </c>
      <c r="AQ1051" t="n">
        <v>9</v>
      </c>
      <c r="AR1051" t="n">
        <v>64</v>
      </c>
      <c r="AS1051" t="n">
        <v>32</v>
      </c>
      <c r="AU1051">
        <f>COUNTA($BA$1051:$EH$1051)</f>
        <v/>
      </c>
      <c r="AV1051">
        <f>COUNTIF($BA$1051:$EH$1051,"D")</f>
        <v/>
      </c>
      <c r="AW1051">
        <f>COUNTIF($BA$1051:$EH$1051,"R")</f>
        <v/>
      </c>
      <c r="AX1051">
        <f>IF(BN1051="D",1,0)+IF(BO1051="D",1,0)+IF(BT1051="D",1,0)+IF(BU1051="D",1,0)+IF(BW1051="D",1,0)+IF(CC1051="D",1,0)+IF(CD1051="D",1,0)+IF(CE1051="D",1,0)+IF(CF1051="D",1,0)+IF(CL1051="D",1,0)+IF(CM1051="D",1,0)+IF(CQ1051="D",1,0)+IF(CR1051="D",1,0)+IF(CS1051="D",1,0)+IF(CW1051="D",1,0)+IF(CX1051="D",1,0)+IF(DD1051="D",1,0)+IF(DE1051="D",1,0)+IF(DJ1051="D",1,0)+IF(DK1051="D",1,0)+IF(DO1051="D",1,0)+IF(DP1051="D",1,0)+IF(DQ1051="D",1,0)+IF(DW1051="D",1,0)+IF(DZ1051="D",1,0)+IF(EH1051="D",1,0)</f>
        <v/>
      </c>
      <c r="AY1051">
        <f>IF(DJ1051&lt;&gt;"",1,0)+IF(DK1051&lt;&gt;"",1,0)+IF(DM1051&lt;&gt;"",1,0)+IF(DO1051&lt;&gt;"",1,0)+IF(DP1051&lt;&gt;"",1,0)+IF(DQ1051&lt;&gt;"",1,0)+IF(DS1051&lt;&gt;"",1,0)+IF(DT1051&lt;&gt;"",1,0)+IF(DV1051&lt;&gt;"",1,0)+IF(DW1051&lt;&gt;"",1,0)+IF(DX1051&lt;&gt;"",1,0)+IF(DY1051&lt;&gt;"",1,0)+IF(DZ1051&lt;&gt;"",1,0)+IF(EB1051&lt;&gt;"",1,0)+IF(EC1051&lt;&gt;"",1,0)+IF(ED1051&lt;&gt;"",1,0)+IF(EG1051&lt;&gt;"",1,0)+IF(EH1051&lt;&gt;"",1,0)</f>
        <v/>
      </c>
      <c r="AZ1051">
        <f>IF(EH1051&lt;&gt;"",1,0)</f>
        <v/>
      </c>
      <c r="BB1051" t="inlineStr">
        <is>
          <t>WARREN-WARD 4</t>
        </is>
      </c>
    </row>
    <row r="1052">
      <c r="A1052" t="inlineStr">
        <is>
          <t>OH0015691844</t>
        </is>
      </c>
      <c r="B1052" t="n">
        <v>78</v>
      </c>
      <c r="C1052" t="n">
        <v>13915</v>
      </c>
      <c r="D1052" t="inlineStr">
        <is>
          <t>AUCHTER</t>
        </is>
      </c>
      <c r="E1052" t="inlineStr">
        <is>
          <t>DONNA</t>
        </is>
      </c>
      <c r="F1052">
        <f>CONCATENATE(D1052," ",LEFT(H1052,4),"T=",AU1052,"D=",AV1052,"R=",AW1052,"M=",AX1052,"L=",AY1052,"B=",AZ1052)</f>
        <v/>
      </c>
      <c r="G1052" t="inlineStr">
        <is>
          <t>J</t>
        </is>
      </c>
      <c r="I1052" t="inlineStr">
        <is>
          <t>1948-11-30</t>
        </is>
      </c>
      <c r="J1052" t="inlineStr">
        <is>
          <t>2015-06-29</t>
        </is>
      </c>
      <c r="K1052" t="inlineStr">
        <is>
          <t>ACTIVE</t>
        </is>
      </c>
      <c r="M1052" t="inlineStr">
        <is>
          <t>748 KENILWORTH AVE SE</t>
        </is>
      </c>
      <c r="N1052">
        <f>RIGHT(M1052,LEN(M1052)-FIND(" ",M1052))</f>
        <v/>
      </c>
      <c r="P1052" t="inlineStr">
        <is>
          <t>WARREN</t>
        </is>
      </c>
      <c r="Q1052" t="inlineStr">
        <is>
          <t>OH</t>
        </is>
      </c>
      <c r="R1052" t="n">
        <v>44484</v>
      </c>
      <c r="AD1052" t="inlineStr">
        <is>
          <t>TRUMBULL CAREER &amp; TECH CENTER</t>
        </is>
      </c>
      <c r="AE1052" t="inlineStr">
        <is>
          <t>WARREN CITY</t>
        </is>
      </c>
      <c r="AF1052" t="inlineStr">
        <is>
          <t>WARREN CITY SD</t>
        </is>
      </c>
      <c r="AH1052" t="n">
        <v>14</v>
      </c>
      <c r="AI1052" t="n">
        <v>11</v>
      </c>
      <c r="AN1052" t="inlineStr">
        <is>
          <t>WARREN</t>
        </is>
      </c>
      <c r="AO1052" t="inlineStr">
        <is>
          <t>WARREN CITY 4A</t>
        </is>
      </c>
      <c r="AP1052" t="inlineStr">
        <is>
          <t>78-P-ADI</t>
        </is>
      </c>
      <c r="AQ1052" t="n">
        <v>9</v>
      </c>
      <c r="AR1052" t="n">
        <v>64</v>
      </c>
      <c r="AS1052" t="n">
        <v>32</v>
      </c>
      <c r="AU1052">
        <f>COUNTA($BA$1052:$EH$1052)</f>
        <v/>
      </c>
      <c r="AV1052">
        <f>COUNTIF($BA$1052:$EH$1052,"D")</f>
        <v/>
      </c>
      <c r="AW1052">
        <f>COUNTIF($BA$1052:$EH$1052,"R")</f>
        <v/>
      </c>
      <c r="AX1052">
        <f>IF(BN1052="D",1,0)+IF(BO1052="D",1,0)+IF(BT1052="D",1,0)+IF(BU1052="D",1,0)+IF(BW1052="D",1,0)+IF(CC1052="D",1,0)+IF(CD1052="D",1,0)+IF(CE1052="D",1,0)+IF(CF1052="D",1,0)+IF(CL1052="D",1,0)+IF(CM1052="D",1,0)+IF(CQ1052="D",1,0)+IF(CR1052="D",1,0)+IF(CS1052="D",1,0)+IF(CW1052="D",1,0)+IF(CX1052="D",1,0)+IF(DD1052="D",1,0)+IF(DE1052="D",1,0)+IF(DJ1052="D",1,0)+IF(DK1052="D",1,0)+IF(DO1052="D",1,0)+IF(DP1052="D",1,0)+IF(DQ1052="D",1,0)+IF(DW1052="D",1,0)+IF(DZ1052="D",1,0)+IF(EH1052="D",1,0)</f>
        <v/>
      </c>
      <c r="AY1052">
        <f>IF(DJ1052&lt;&gt;"",1,0)+IF(DK1052&lt;&gt;"",1,0)+IF(DM1052&lt;&gt;"",1,0)+IF(DO1052&lt;&gt;"",1,0)+IF(DP1052&lt;&gt;"",1,0)+IF(DQ1052&lt;&gt;"",1,0)+IF(DS1052&lt;&gt;"",1,0)+IF(DT1052&lt;&gt;"",1,0)+IF(DV1052&lt;&gt;"",1,0)+IF(DW1052&lt;&gt;"",1,0)+IF(DX1052&lt;&gt;"",1,0)+IF(DY1052&lt;&gt;"",1,0)+IF(DZ1052&lt;&gt;"",1,0)+IF(EB1052&lt;&gt;"",1,0)+IF(EC1052&lt;&gt;"",1,0)+IF(ED1052&lt;&gt;"",1,0)+IF(EG1052&lt;&gt;"",1,0)+IF(EH1052&lt;&gt;"",1,0)</f>
        <v/>
      </c>
      <c r="AZ1052">
        <f>IF(EH1052&lt;&gt;"",1,0)</f>
        <v/>
      </c>
      <c r="BB1052" t="inlineStr">
        <is>
          <t>WARREN-WARD 4</t>
        </is>
      </c>
      <c r="BC1052" t="inlineStr">
        <is>
          <t>X</t>
        </is>
      </c>
      <c r="BD1052" t="inlineStr">
        <is>
          <t>X</t>
        </is>
      </c>
      <c r="BE1052" t="inlineStr">
        <is>
          <t>X</t>
        </is>
      </c>
      <c r="BF1052" t="inlineStr">
        <is>
          <t>X</t>
        </is>
      </c>
      <c r="BJ1052" t="inlineStr">
        <is>
          <t>X</t>
        </is>
      </c>
      <c r="BK1052" t="inlineStr">
        <is>
          <t>X</t>
        </is>
      </c>
      <c r="BL1052" t="inlineStr">
        <is>
          <t>X</t>
        </is>
      </c>
      <c r="BP1052" t="inlineStr">
        <is>
          <t>X</t>
        </is>
      </c>
      <c r="BS1052" t="inlineStr">
        <is>
          <t>X</t>
        </is>
      </c>
      <c r="BV1052" t="inlineStr">
        <is>
          <t>X</t>
        </is>
      </c>
      <c r="BY1052" t="inlineStr">
        <is>
          <t>R</t>
        </is>
      </c>
      <c r="CA1052" t="inlineStr">
        <is>
          <t>X</t>
        </is>
      </c>
      <c r="CG1052" t="inlineStr">
        <is>
          <t>X</t>
        </is>
      </c>
      <c r="CH1052" t="inlineStr">
        <is>
          <t>R</t>
        </is>
      </c>
      <c r="CK1052" t="inlineStr">
        <is>
          <t>X</t>
        </is>
      </c>
      <c r="CP1052" t="inlineStr">
        <is>
          <t>X</t>
        </is>
      </c>
      <c r="CY1052" t="inlineStr">
        <is>
          <t>X</t>
        </is>
      </c>
      <c r="DC1052" t="inlineStr">
        <is>
          <t>X</t>
        </is>
      </c>
      <c r="DI1052" t="inlineStr">
        <is>
          <t>X</t>
        </is>
      </c>
      <c r="DL1052" t="inlineStr">
        <is>
          <t>X</t>
        </is>
      </c>
      <c r="DM1052" t="inlineStr">
        <is>
          <t>R</t>
        </is>
      </c>
      <c r="DN1052" t="inlineStr">
        <is>
          <t>X</t>
        </is>
      </c>
      <c r="DU1052" t="inlineStr">
        <is>
          <t>X</t>
        </is>
      </c>
    </row>
    <row r="1053">
      <c r="A1053" t="inlineStr">
        <is>
          <t>OH0022925996</t>
        </is>
      </c>
      <c r="B1053" t="n">
        <v>78</v>
      </c>
      <c r="C1053" t="n">
        <v>404218</v>
      </c>
      <c r="D1053" t="inlineStr">
        <is>
          <t>APPLEQUIST</t>
        </is>
      </c>
      <c r="E1053" t="inlineStr">
        <is>
          <t>AUSTIN</t>
        </is>
      </c>
      <c r="F1053">
        <f>CONCATENATE(D1053," ",LEFT(H1053,4),"T=",AU1053,"D=",AV1053,"R=",AW1053,"M=",AX1053,"L=",AY1053,"B=",AZ1053)</f>
        <v/>
      </c>
      <c r="G1053" t="inlineStr">
        <is>
          <t>M</t>
        </is>
      </c>
      <c r="I1053" t="inlineStr">
        <is>
          <t>1995-06-17</t>
        </is>
      </c>
      <c r="J1053" t="inlineStr">
        <is>
          <t>2023-08-03</t>
        </is>
      </c>
      <c r="K1053" t="inlineStr">
        <is>
          <t>ACTIVE</t>
        </is>
      </c>
      <c r="M1053" t="inlineStr">
        <is>
          <t>1234 E MARKET ST</t>
        </is>
      </c>
      <c r="N1053">
        <f>RIGHT(M1053,LEN(M1053)-FIND(" ",M1053))</f>
        <v/>
      </c>
      <c r="P1053" t="inlineStr">
        <is>
          <t>WARREN</t>
        </is>
      </c>
      <c r="Q1053" t="inlineStr">
        <is>
          <t>OH</t>
        </is>
      </c>
      <c r="R1053" t="n">
        <v>44483</v>
      </c>
      <c r="AD1053" t="inlineStr">
        <is>
          <t>TRUMBULL CAREER &amp; TECH CENTER</t>
        </is>
      </c>
      <c r="AE1053" t="inlineStr">
        <is>
          <t>WARREN CITY</t>
        </is>
      </c>
      <c r="AF1053" t="inlineStr">
        <is>
          <t>WARREN CITY SD</t>
        </is>
      </c>
      <c r="AH1053" t="n">
        <v>14</v>
      </c>
      <c r="AI1053" t="n">
        <v>11</v>
      </c>
      <c r="AN1053" t="inlineStr">
        <is>
          <t>WARREN</t>
        </is>
      </c>
      <c r="AO1053" t="inlineStr">
        <is>
          <t>WARREN CITY 4A</t>
        </is>
      </c>
      <c r="AP1053" t="inlineStr">
        <is>
          <t>78-P-ADI</t>
        </is>
      </c>
      <c r="AQ1053" t="n">
        <v>9</v>
      </c>
      <c r="AR1053" t="n">
        <v>64</v>
      </c>
      <c r="AS1053" t="n">
        <v>32</v>
      </c>
      <c r="AU1053">
        <f>COUNTA($BA$1053:$EH$1053)</f>
        <v/>
      </c>
      <c r="AV1053">
        <f>COUNTIF($BA$1053:$EH$1053,"D")</f>
        <v/>
      </c>
      <c r="AW1053">
        <f>COUNTIF($BA$1053:$EH$1053,"R")</f>
        <v/>
      </c>
      <c r="AX1053">
        <f>IF(BN1053="D",1,0)+IF(BO1053="D",1,0)+IF(BT1053="D",1,0)+IF(BU1053="D",1,0)+IF(BW1053="D",1,0)+IF(CC1053="D",1,0)+IF(CD1053="D",1,0)+IF(CE1053="D",1,0)+IF(CF1053="D",1,0)+IF(CL1053="D",1,0)+IF(CM1053="D",1,0)+IF(CQ1053="D",1,0)+IF(CR1053="D",1,0)+IF(CS1053="D",1,0)+IF(CW1053="D",1,0)+IF(CX1053="D",1,0)+IF(DD1053="D",1,0)+IF(DE1053="D",1,0)+IF(DJ1053="D",1,0)+IF(DK1053="D",1,0)+IF(DO1053="D",1,0)+IF(DP1053="D",1,0)+IF(DQ1053="D",1,0)+IF(DW1053="D",1,0)+IF(DZ1053="D",1,0)+IF(EH1053="D",1,0)</f>
        <v/>
      </c>
      <c r="AY1053">
        <f>IF(DJ1053&lt;&gt;"",1,0)+IF(DK1053&lt;&gt;"",1,0)+IF(DM1053&lt;&gt;"",1,0)+IF(DO1053&lt;&gt;"",1,0)+IF(DP1053&lt;&gt;"",1,0)+IF(DQ1053&lt;&gt;"",1,0)+IF(DS1053&lt;&gt;"",1,0)+IF(DT1053&lt;&gt;"",1,0)+IF(DV1053&lt;&gt;"",1,0)+IF(DW1053&lt;&gt;"",1,0)+IF(DX1053&lt;&gt;"",1,0)+IF(DY1053&lt;&gt;"",1,0)+IF(DZ1053&lt;&gt;"",1,0)+IF(EB1053&lt;&gt;"",1,0)+IF(EC1053&lt;&gt;"",1,0)+IF(ED1053&lt;&gt;"",1,0)+IF(EG1053&lt;&gt;"",1,0)+IF(EH1053&lt;&gt;"",1,0)</f>
        <v/>
      </c>
      <c r="AZ1053">
        <f>IF(EH1053&lt;&gt;"",1,0)</f>
        <v/>
      </c>
      <c r="BB1053" t="inlineStr">
        <is>
          <t>WARREN-WARD 4</t>
        </is>
      </c>
      <c r="DC1053" t="inlineStr">
        <is>
          <t>X</t>
        </is>
      </c>
    </row>
    <row r="1054">
      <c r="A1054" t="inlineStr">
        <is>
          <t>OH0015822305</t>
        </is>
      </c>
      <c r="B1054" t="n">
        <v>78</v>
      </c>
      <c r="C1054" t="n">
        <v>285365</v>
      </c>
      <c r="D1054" t="inlineStr">
        <is>
          <t>SHAFFER</t>
        </is>
      </c>
      <c r="E1054" t="inlineStr">
        <is>
          <t>ANITA</t>
        </is>
      </c>
      <c r="F1054">
        <f>CONCATENATE(D1054," ",LEFT(H1054,4),"T=",AU1054,"D=",AV1054,"R=",AW1054,"M=",AX1054,"L=",AY1054,"B=",AZ1054)</f>
        <v/>
      </c>
      <c r="G1054" t="inlineStr">
        <is>
          <t>L</t>
        </is>
      </c>
      <c r="I1054" t="inlineStr">
        <is>
          <t>1963-12-16</t>
        </is>
      </c>
      <c r="J1054" t="inlineStr">
        <is>
          <t>2015-07-24</t>
        </is>
      </c>
      <c r="K1054" t="inlineStr">
        <is>
          <t>ACTIVE</t>
        </is>
      </c>
      <c r="L1054" t="inlineStr">
        <is>
          <t>D</t>
        </is>
      </c>
      <c r="M1054" t="inlineStr">
        <is>
          <t>176 OAK KNOLL AVE SE</t>
        </is>
      </c>
      <c r="N1054">
        <f>RIGHT(M1054,LEN(M1054)-FIND(" ",M1054))</f>
        <v/>
      </c>
      <c r="P1054" t="inlineStr">
        <is>
          <t>WARREN</t>
        </is>
      </c>
      <c r="Q1054" t="inlineStr">
        <is>
          <t>OH</t>
        </is>
      </c>
      <c r="R1054" t="n">
        <v>44483</v>
      </c>
      <c r="AD1054" t="inlineStr">
        <is>
          <t>TRUMBULL CAREER &amp; TECH CENTER</t>
        </is>
      </c>
      <c r="AE1054" t="inlineStr">
        <is>
          <t>WARREN CITY</t>
        </is>
      </c>
      <c r="AF1054" t="inlineStr">
        <is>
          <t>WARREN CITY SD</t>
        </is>
      </c>
      <c r="AH1054" t="n">
        <v>14</v>
      </c>
      <c r="AI1054" t="n">
        <v>11</v>
      </c>
      <c r="AN1054" t="inlineStr">
        <is>
          <t>WARREN</t>
        </is>
      </c>
      <c r="AO1054" t="inlineStr">
        <is>
          <t>WARREN CITY 4A</t>
        </is>
      </c>
      <c r="AP1054" t="inlineStr">
        <is>
          <t>78-P-ADI</t>
        </is>
      </c>
      <c r="AQ1054" t="n">
        <v>9</v>
      </c>
      <c r="AR1054" t="n">
        <v>64</v>
      </c>
      <c r="AS1054" t="n">
        <v>32</v>
      </c>
      <c r="AU1054">
        <f>COUNTA($BA$1054:$EH$1054)</f>
        <v/>
      </c>
      <c r="AV1054">
        <f>COUNTIF($BA$1054:$EH$1054,"D")</f>
        <v/>
      </c>
      <c r="AW1054">
        <f>COUNTIF($BA$1054:$EH$1054,"R")</f>
        <v/>
      </c>
      <c r="AX1054">
        <f>IF(BN1054="D",1,0)+IF(BO1054="D",1,0)+IF(BT1054="D",1,0)+IF(BU1054="D",1,0)+IF(BW1054="D",1,0)+IF(CC1054="D",1,0)+IF(CD1054="D",1,0)+IF(CE1054="D",1,0)+IF(CF1054="D",1,0)+IF(CL1054="D",1,0)+IF(CM1054="D",1,0)+IF(CQ1054="D",1,0)+IF(CR1054="D",1,0)+IF(CS1054="D",1,0)+IF(CW1054="D",1,0)+IF(CX1054="D",1,0)+IF(DD1054="D",1,0)+IF(DE1054="D",1,0)+IF(DJ1054="D",1,0)+IF(DK1054="D",1,0)+IF(DO1054="D",1,0)+IF(DP1054="D",1,0)+IF(DQ1054="D",1,0)+IF(DW1054="D",1,0)+IF(DZ1054="D",1,0)+IF(EH1054="D",1,0)</f>
        <v/>
      </c>
      <c r="AY1054">
        <f>IF(DJ1054&lt;&gt;"",1,0)+IF(DK1054&lt;&gt;"",1,0)+IF(DM1054&lt;&gt;"",1,0)+IF(DO1054&lt;&gt;"",1,0)+IF(DP1054&lt;&gt;"",1,0)+IF(DQ1054&lt;&gt;"",1,0)+IF(DS1054&lt;&gt;"",1,0)+IF(DT1054&lt;&gt;"",1,0)+IF(DV1054&lt;&gt;"",1,0)+IF(DW1054&lt;&gt;"",1,0)+IF(DX1054&lt;&gt;"",1,0)+IF(DY1054&lt;&gt;"",1,0)+IF(DZ1054&lt;&gt;"",1,0)+IF(EB1054&lt;&gt;"",1,0)+IF(EC1054&lt;&gt;"",1,0)+IF(ED1054&lt;&gt;"",1,0)+IF(EG1054&lt;&gt;"",1,0)+IF(EH1054&lt;&gt;"",1,0)</f>
        <v/>
      </c>
      <c r="AZ1054">
        <f>IF(EH1054&lt;&gt;"",1,0)</f>
        <v/>
      </c>
      <c r="BB1054" t="inlineStr">
        <is>
          <t>WARREN-WARD 4</t>
        </is>
      </c>
      <c r="BL1054" t="inlineStr">
        <is>
          <t>X</t>
        </is>
      </c>
      <c r="CA1054" t="inlineStr">
        <is>
          <t>X</t>
        </is>
      </c>
      <c r="CN1054" t="inlineStr">
        <is>
          <t>X</t>
        </is>
      </c>
      <c r="CP1054" t="inlineStr">
        <is>
          <t>X</t>
        </is>
      </c>
      <c r="DC1054" t="inlineStr">
        <is>
          <t>X</t>
        </is>
      </c>
      <c r="DI1054" t="inlineStr">
        <is>
          <t>X</t>
        </is>
      </c>
      <c r="DN1054" t="inlineStr">
        <is>
          <t>X</t>
        </is>
      </c>
      <c r="DU1054" t="inlineStr">
        <is>
          <t>X</t>
        </is>
      </c>
      <c r="DW1054" t="inlineStr">
        <is>
          <t>D</t>
        </is>
      </c>
      <c r="EA1054" t="inlineStr">
        <is>
          <t>X</t>
        </is>
      </c>
      <c r="EF1054" t="inlineStr">
        <is>
          <t>X</t>
        </is>
      </c>
    </row>
    <row r="1055">
      <c r="A1055" t="inlineStr">
        <is>
          <t>OH0015797464</t>
        </is>
      </c>
      <c r="B1055" t="n">
        <v>78</v>
      </c>
      <c r="C1055" t="n">
        <v>314782</v>
      </c>
      <c r="D1055" t="inlineStr">
        <is>
          <t>MATTEO</t>
        </is>
      </c>
      <c r="E1055" t="inlineStr">
        <is>
          <t>MARCI</t>
        </is>
      </c>
      <c r="F1055">
        <f>CONCATENATE(D1055," ",LEFT(H1055,4),"T=",AU1055,"D=",AV1055,"R=",AW1055,"M=",AX1055,"L=",AY1055,"B=",AZ1055)</f>
        <v/>
      </c>
      <c r="G1055" t="inlineStr">
        <is>
          <t>ANNE</t>
        </is>
      </c>
      <c r="I1055" t="inlineStr">
        <is>
          <t>1967-04-27</t>
        </is>
      </c>
      <c r="J1055" t="inlineStr">
        <is>
          <t>2022-11-30</t>
        </is>
      </c>
      <c r="K1055" t="inlineStr">
        <is>
          <t>ACTIVE</t>
        </is>
      </c>
      <c r="L1055" t="inlineStr">
        <is>
          <t>D</t>
        </is>
      </c>
      <c r="M1055" t="inlineStr">
        <is>
          <t>226 OAK KNOLL AVE SE</t>
        </is>
      </c>
      <c r="N1055">
        <f>RIGHT(M1055,LEN(M1055)-FIND(" ",M1055))</f>
        <v/>
      </c>
      <c r="P1055" t="inlineStr">
        <is>
          <t>WARREN</t>
        </is>
      </c>
      <c r="Q1055" t="inlineStr">
        <is>
          <t>OH</t>
        </is>
      </c>
      <c r="R1055" t="n">
        <v>44483</v>
      </c>
      <c r="AD1055" t="inlineStr">
        <is>
          <t>TRUMBULL CAREER &amp; TECH CENTER</t>
        </is>
      </c>
      <c r="AE1055" t="inlineStr">
        <is>
          <t>WARREN CITY</t>
        </is>
      </c>
      <c r="AF1055" t="inlineStr">
        <is>
          <t>WARREN CITY SD</t>
        </is>
      </c>
      <c r="AH1055" t="n">
        <v>14</v>
      </c>
      <c r="AI1055" t="n">
        <v>11</v>
      </c>
      <c r="AN1055" t="inlineStr">
        <is>
          <t>WARREN</t>
        </is>
      </c>
      <c r="AO1055" t="inlineStr">
        <is>
          <t>WARREN CITY 4A</t>
        </is>
      </c>
      <c r="AP1055" t="inlineStr">
        <is>
          <t>78-P-ADI</t>
        </is>
      </c>
      <c r="AQ1055" t="n">
        <v>9</v>
      </c>
      <c r="AR1055" t="n">
        <v>64</v>
      </c>
      <c r="AS1055" t="n">
        <v>32</v>
      </c>
      <c r="AU1055">
        <f>COUNTA($BA$1055:$EH$1055)</f>
        <v/>
      </c>
      <c r="AV1055">
        <f>COUNTIF($BA$1055:$EH$1055,"D")</f>
        <v/>
      </c>
      <c r="AW1055">
        <f>COUNTIF($BA$1055:$EH$1055,"R")</f>
        <v/>
      </c>
      <c r="AX1055">
        <f>IF(BN1055="D",1,0)+IF(BO1055="D",1,0)+IF(BT1055="D",1,0)+IF(BU1055="D",1,0)+IF(BW1055="D",1,0)+IF(CC1055="D",1,0)+IF(CD1055="D",1,0)+IF(CE1055="D",1,0)+IF(CF1055="D",1,0)+IF(CL1055="D",1,0)+IF(CM1055="D",1,0)+IF(CQ1055="D",1,0)+IF(CR1055="D",1,0)+IF(CS1055="D",1,0)+IF(CW1055="D",1,0)+IF(CX1055="D",1,0)+IF(DD1055="D",1,0)+IF(DE1055="D",1,0)+IF(DJ1055="D",1,0)+IF(DK1055="D",1,0)+IF(DO1055="D",1,0)+IF(DP1055="D",1,0)+IF(DQ1055="D",1,0)+IF(DW1055="D",1,0)+IF(DZ1055="D",1,0)+IF(EH1055="D",1,0)</f>
        <v/>
      </c>
      <c r="AY1055">
        <f>IF(DJ1055&lt;&gt;"",1,0)+IF(DK1055&lt;&gt;"",1,0)+IF(DM1055&lt;&gt;"",1,0)+IF(DO1055&lt;&gt;"",1,0)+IF(DP1055&lt;&gt;"",1,0)+IF(DQ1055&lt;&gt;"",1,0)+IF(DS1055&lt;&gt;"",1,0)+IF(DT1055&lt;&gt;"",1,0)+IF(DV1055&lt;&gt;"",1,0)+IF(DW1055&lt;&gt;"",1,0)+IF(DX1055&lt;&gt;"",1,0)+IF(DY1055&lt;&gt;"",1,0)+IF(DZ1055&lt;&gt;"",1,0)+IF(EB1055&lt;&gt;"",1,0)+IF(EC1055&lt;&gt;"",1,0)+IF(ED1055&lt;&gt;"",1,0)+IF(EG1055&lt;&gt;"",1,0)+IF(EH1055&lt;&gt;"",1,0)</f>
        <v/>
      </c>
      <c r="AZ1055">
        <f>IF(EH1055&lt;&gt;"",1,0)</f>
        <v/>
      </c>
      <c r="BB1055" t="inlineStr">
        <is>
          <t>WARREN-WARD 4</t>
        </is>
      </c>
      <c r="BJ1055" t="inlineStr">
        <is>
          <t>X</t>
        </is>
      </c>
      <c r="BK1055" t="inlineStr">
        <is>
          <t>X</t>
        </is>
      </c>
      <c r="BL1055" t="inlineStr">
        <is>
          <t>X</t>
        </is>
      </c>
      <c r="BP1055" t="inlineStr">
        <is>
          <t>X</t>
        </is>
      </c>
      <c r="CA1055" t="inlineStr">
        <is>
          <t>X</t>
        </is>
      </c>
      <c r="CN1055" t="inlineStr">
        <is>
          <t>X</t>
        </is>
      </c>
      <c r="CO1055" t="inlineStr">
        <is>
          <t>D</t>
        </is>
      </c>
      <c r="CP1055" t="inlineStr">
        <is>
          <t>X</t>
        </is>
      </c>
      <c r="CU1055" t="inlineStr">
        <is>
          <t>D</t>
        </is>
      </c>
      <c r="CY1055" t="inlineStr">
        <is>
          <t>X</t>
        </is>
      </c>
      <c r="CZ1055" t="inlineStr">
        <is>
          <t>D</t>
        </is>
      </c>
      <c r="DC1055" t="inlineStr">
        <is>
          <t>X</t>
        </is>
      </c>
      <c r="DS1055" t="inlineStr">
        <is>
          <t>D</t>
        </is>
      </c>
      <c r="DU1055" t="inlineStr">
        <is>
          <t>X</t>
        </is>
      </c>
      <c r="DX1055" t="inlineStr">
        <is>
          <t>X</t>
        </is>
      </c>
      <c r="EA1055" t="inlineStr">
        <is>
          <t>X</t>
        </is>
      </c>
      <c r="ED1055" t="inlineStr">
        <is>
          <t>D</t>
        </is>
      </c>
      <c r="EF1055" t="inlineStr">
        <is>
          <t>X</t>
        </is>
      </c>
    </row>
    <row r="1056">
      <c r="A1056" t="inlineStr">
        <is>
          <t>OH0026647974</t>
        </is>
      </c>
      <c r="B1056" t="n">
        <v>78</v>
      </c>
      <c r="C1056" t="n">
        <v>465529</v>
      </c>
      <c r="D1056" t="inlineStr">
        <is>
          <t>MCELRATH</t>
        </is>
      </c>
      <c r="E1056" t="inlineStr">
        <is>
          <t>FRANCESCO</t>
        </is>
      </c>
      <c r="F1056">
        <f>CONCATENATE(D1056," ",LEFT(H1056,4),"T=",AU1056,"D=",AV1056,"R=",AW1056,"M=",AX1056,"L=",AY1056,"B=",AZ1056)</f>
        <v/>
      </c>
      <c r="G1056" t="inlineStr">
        <is>
          <t>A J</t>
        </is>
      </c>
      <c r="I1056" t="inlineStr">
        <is>
          <t>2003-12-31</t>
        </is>
      </c>
      <c r="J1056" t="inlineStr">
        <is>
          <t>2022-09-15</t>
        </is>
      </c>
      <c r="K1056" t="inlineStr">
        <is>
          <t>ACTIVE</t>
        </is>
      </c>
      <c r="M1056" t="inlineStr">
        <is>
          <t>741 WOODBINE AVE SE</t>
        </is>
      </c>
      <c r="N1056">
        <f>RIGHT(M1056,LEN(M1056)-FIND(" ",M1056))</f>
        <v/>
      </c>
      <c r="P1056" t="inlineStr">
        <is>
          <t>WARREN</t>
        </is>
      </c>
      <c r="Q1056" t="inlineStr">
        <is>
          <t>OH</t>
        </is>
      </c>
      <c r="R1056" t="n">
        <v>44484</v>
      </c>
      <c r="AD1056" t="inlineStr">
        <is>
          <t>TRUMBULL CAREER &amp; TECH CENTER</t>
        </is>
      </c>
      <c r="AE1056" t="inlineStr">
        <is>
          <t>WARREN CITY</t>
        </is>
      </c>
      <c r="AF1056" t="inlineStr">
        <is>
          <t>WARREN CITY SD</t>
        </is>
      </c>
      <c r="AH1056" t="n">
        <v>14</v>
      </c>
      <c r="AI1056" t="n">
        <v>11</v>
      </c>
      <c r="AN1056" t="inlineStr">
        <is>
          <t>WARREN</t>
        </is>
      </c>
      <c r="AO1056" t="inlineStr">
        <is>
          <t>WARREN CITY 4A</t>
        </is>
      </c>
      <c r="AP1056" t="inlineStr">
        <is>
          <t>78-P-ADI</t>
        </is>
      </c>
      <c r="AQ1056" t="n">
        <v>9</v>
      </c>
      <c r="AR1056" t="n">
        <v>64</v>
      </c>
      <c r="AS1056" t="n">
        <v>32</v>
      </c>
      <c r="AU1056">
        <f>COUNTA($BA$1056:$EH$1056)</f>
        <v/>
      </c>
      <c r="AV1056">
        <f>COUNTIF($BA$1056:$EH$1056,"D")</f>
        <v/>
      </c>
      <c r="AW1056">
        <f>COUNTIF($BA$1056:$EH$1056,"R")</f>
        <v/>
      </c>
      <c r="AX1056">
        <f>IF(BN1056="D",1,0)+IF(BO1056="D",1,0)+IF(BT1056="D",1,0)+IF(BU1056="D",1,0)+IF(BW1056="D",1,0)+IF(CC1056="D",1,0)+IF(CD1056="D",1,0)+IF(CE1056="D",1,0)+IF(CF1056="D",1,0)+IF(CL1056="D",1,0)+IF(CM1056="D",1,0)+IF(CQ1056="D",1,0)+IF(CR1056="D",1,0)+IF(CS1056="D",1,0)+IF(CW1056="D",1,0)+IF(CX1056="D",1,0)+IF(DD1056="D",1,0)+IF(DE1056="D",1,0)+IF(DJ1056="D",1,0)+IF(DK1056="D",1,0)+IF(DO1056="D",1,0)+IF(DP1056="D",1,0)+IF(DQ1056="D",1,0)+IF(DW1056="D",1,0)+IF(DZ1056="D",1,0)+IF(EH1056="D",1,0)</f>
        <v/>
      </c>
      <c r="AY1056">
        <f>IF(DJ1056&lt;&gt;"",1,0)+IF(DK1056&lt;&gt;"",1,0)+IF(DM1056&lt;&gt;"",1,0)+IF(DO1056&lt;&gt;"",1,0)+IF(DP1056&lt;&gt;"",1,0)+IF(DQ1056&lt;&gt;"",1,0)+IF(DS1056&lt;&gt;"",1,0)+IF(DT1056&lt;&gt;"",1,0)+IF(DV1056&lt;&gt;"",1,0)+IF(DW1056&lt;&gt;"",1,0)+IF(DX1056&lt;&gt;"",1,0)+IF(DY1056&lt;&gt;"",1,0)+IF(DZ1056&lt;&gt;"",1,0)+IF(EB1056&lt;&gt;"",1,0)+IF(EC1056&lt;&gt;"",1,0)+IF(ED1056&lt;&gt;"",1,0)+IF(EG1056&lt;&gt;"",1,0)+IF(EH1056&lt;&gt;"",1,0)</f>
        <v/>
      </c>
      <c r="AZ1056">
        <f>IF(EH1056&lt;&gt;"",1,0)</f>
        <v/>
      </c>
      <c r="BB1056" t="inlineStr">
        <is>
          <t>WARREN-WARD 4</t>
        </is>
      </c>
      <c r="DU1056" t="inlineStr">
        <is>
          <t>X</t>
        </is>
      </c>
      <c r="DX1056" t="inlineStr">
        <is>
          <t>X</t>
        </is>
      </c>
      <c r="EA1056" t="inlineStr">
        <is>
          <t>X</t>
        </is>
      </c>
      <c r="EF1056" t="inlineStr">
        <is>
          <t>X</t>
        </is>
      </c>
    </row>
    <row r="1057">
      <c r="A1057" t="inlineStr">
        <is>
          <t>OH0015707909</t>
        </is>
      </c>
      <c r="B1057" t="n">
        <v>78</v>
      </c>
      <c r="C1057" t="n">
        <v>17234</v>
      </c>
      <c r="D1057" t="inlineStr">
        <is>
          <t>PHILLIPS</t>
        </is>
      </c>
      <c r="E1057" t="inlineStr">
        <is>
          <t>MARIAN</t>
        </is>
      </c>
      <c r="F1057">
        <f>CONCATENATE(D1057," ",LEFT(H1057,4),"T=",AU1057,"D=",AV1057,"R=",AW1057,"M=",AX1057,"L=",AY1057,"B=",AZ1057)</f>
        <v/>
      </c>
      <c r="G1057" t="inlineStr">
        <is>
          <t>LEE</t>
        </is>
      </c>
      <c r="I1057" t="inlineStr">
        <is>
          <t>1954-07-05</t>
        </is>
      </c>
      <c r="J1057" t="inlineStr">
        <is>
          <t>2017-06-22</t>
        </is>
      </c>
      <c r="K1057" t="inlineStr">
        <is>
          <t>ACTIVE</t>
        </is>
      </c>
      <c r="L1057" t="inlineStr">
        <is>
          <t>R</t>
        </is>
      </c>
      <c r="M1057" t="inlineStr">
        <is>
          <t>1101 YOUNGSTOWN RD SE</t>
        </is>
      </c>
      <c r="N1057">
        <f>RIGHT(M1057,LEN(M1057)-FIND(" ",M1057))</f>
        <v/>
      </c>
      <c r="P1057" t="inlineStr">
        <is>
          <t>WARREN</t>
        </is>
      </c>
      <c r="Q1057" t="inlineStr">
        <is>
          <t>OH</t>
        </is>
      </c>
      <c r="R1057" t="n">
        <v>44484</v>
      </c>
      <c r="AD1057" t="inlineStr">
        <is>
          <t>TRUMBULL CAREER &amp; TECH CENTER</t>
        </is>
      </c>
      <c r="AE1057" t="inlineStr">
        <is>
          <t>WARREN CITY</t>
        </is>
      </c>
      <c r="AF1057" t="inlineStr">
        <is>
          <t>WARREN CITY SD</t>
        </is>
      </c>
      <c r="AH1057" t="n">
        <v>14</v>
      </c>
      <c r="AI1057" t="n">
        <v>11</v>
      </c>
      <c r="AN1057" t="inlineStr">
        <is>
          <t>WARREN</t>
        </is>
      </c>
      <c r="AO1057" t="inlineStr">
        <is>
          <t>WARREN CITY 4A</t>
        </is>
      </c>
      <c r="AP1057" t="inlineStr">
        <is>
          <t>78-P-ADI</t>
        </is>
      </c>
      <c r="AQ1057" t="n">
        <v>9</v>
      </c>
      <c r="AR1057" t="n">
        <v>64</v>
      </c>
      <c r="AS1057" t="n">
        <v>32</v>
      </c>
      <c r="AU1057">
        <f>COUNTA($BA$1057:$EH$1057)</f>
        <v/>
      </c>
      <c r="AV1057">
        <f>COUNTIF($BA$1057:$EH$1057,"D")</f>
        <v/>
      </c>
      <c r="AW1057">
        <f>COUNTIF($BA$1057:$EH$1057,"R")</f>
        <v/>
      </c>
      <c r="AX1057">
        <f>IF(BN1057="D",1,0)+IF(BO1057="D",1,0)+IF(BT1057="D",1,0)+IF(BU1057="D",1,0)+IF(BW1057="D",1,0)+IF(CC1057="D",1,0)+IF(CD1057="D",1,0)+IF(CE1057="D",1,0)+IF(CF1057="D",1,0)+IF(CL1057="D",1,0)+IF(CM1057="D",1,0)+IF(CQ1057="D",1,0)+IF(CR1057="D",1,0)+IF(CS1057="D",1,0)+IF(CW1057="D",1,0)+IF(CX1057="D",1,0)+IF(DD1057="D",1,0)+IF(DE1057="D",1,0)+IF(DJ1057="D",1,0)+IF(DK1057="D",1,0)+IF(DO1057="D",1,0)+IF(DP1057="D",1,0)+IF(DQ1057="D",1,0)+IF(DW1057="D",1,0)+IF(DZ1057="D",1,0)+IF(EH1057="D",1,0)</f>
        <v/>
      </c>
      <c r="AY1057">
        <f>IF(DJ1057&lt;&gt;"",1,0)+IF(DK1057&lt;&gt;"",1,0)+IF(DM1057&lt;&gt;"",1,0)+IF(DO1057&lt;&gt;"",1,0)+IF(DP1057&lt;&gt;"",1,0)+IF(DQ1057&lt;&gt;"",1,0)+IF(DS1057&lt;&gt;"",1,0)+IF(DT1057&lt;&gt;"",1,0)+IF(DV1057&lt;&gt;"",1,0)+IF(DW1057&lt;&gt;"",1,0)+IF(DX1057&lt;&gt;"",1,0)+IF(DY1057&lt;&gt;"",1,0)+IF(DZ1057&lt;&gt;"",1,0)+IF(EB1057&lt;&gt;"",1,0)+IF(EC1057&lt;&gt;"",1,0)+IF(ED1057&lt;&gt;"",1,0)+IF(EG1057&lt;&gt;"",1,0)+IF(EH1057&lt;&gt;"",1,0)</f>
        <v/>
      </c>
      <c r="AZ1057">
        <f>IF(EH1057&lt;&gt;"",1,0)</f>
        <v/>
      </c>
      <c r="BB1057" t="inlineStr">
        <is>
          <t>WARREN-WARD 4</t>
        </is>
      </c>
      <c r="BD1057" t="inlineStr">
        <is>
          <t>X</t>
        </is>
      </c>
      <c r="BF1057" t="inlineStr">
        <is>
          <t>X</t>
        </is>
      </c>
      <c r="BH1057" t="inlineStr">
        <is>
          <t>X</t>
        </is>
      </c>
      <c r="BL1057" t="inlineStr">
        <is>
          <t>X</t>
        </is>
      </c>
      <c r="BS1057" t="inlineStr">
        <is>
          <t>X</t>
        </is>
      </c>
      <c r="BY1057" t="inlineStr">
        <is>
          <t>D</t>
        </is>
      </c>
      <c r="CA1057" t="inlineStr">
        <is>
          <t>X</t>
        </is>
      </c>
      <c r="CG1057" t="inlineStr">
        <is>
          <t>X</t>
        </is>
      </c>
      <c r="CK1057" t="inlineStr">
        <is>
          <t>X</t>
        </is>
      </c>
      <c r="CP1057" t="inlineStr">
        <is>
          <t>X</t>
        </is>
      </c>
      <c r="CZ1057" t="inlineStr">
        <is>
          <t>R</t>
        </is>
      </c>
      <c r="DC1057" t="inlineStr">
        <is>
          <t>X</t>
        </is>
      </c>
      <c r="DI1057" t="inlineStr">
        <is>
          <t>X</t>
        </is>
      </c>
      <c r="DN1057" t="inlineStr">
        <is>
          <t>X</t>
        </is>
      </c>
      <c r="DS1057" t="inlineStr">
        <is>
          <t>R</t>
        </is>
      </c>
      <c r="DU1057" t="inlineStr">
        <is>
          <t>X</t>
        </is>
      </c>
      <c r="EF1057" t="inlineStr">
        <is>
          <t>X</t>
        </is>
      </c>
    </row>
    <row r="1058">
      <c r="A1058" t="inlineStr">
        <is>
          <t>OH0021133903</t>
        </is>
      </c>
      <c r="B1058" t="n">
        <v>78</v>
      </c>
      <c r="C1058" t="n">
        <v>376079</v>
      </c>
      <c r="D1058" t="inlineStr">
        <is>
          <t>BOGANY</t>
        </is>
      </c>
      <c r="E1058" t="inlineStr">
        <is>
          <t>ITITCHERS</t>
        </is>
      </c>
      <c r="F1058">
        <f>CONCATENATE(D1058," ",LEFT(H1058,4),"T=",AU1058,"D=",AV1058,"R=",AW1058,"M=",AX1058,"L=",AY1058,"B=",AZ1058)</f>
        <v/>
      </c>
      <c r="G1058" t="inlineStr">
        <is>
          <t>L</t>
        </is>
      </c>
      <c r="I1058" t="inlineStr">
        <is>
          <t>1976-12-17</t>
        </is>
      </c>
      <c r="J1058" t="inlineStr">
        <is>
          <t>2010-07-30</t>
        </is>
      </c>
      <c r="K1058" t="inlineStr">
        <is>
          <t>CONFIRMATION</t>
        </is>
      </c>
      <c r="M1058" t="inlineStr">
        <is>
          <t>157 CHARLES AVE SE</t>
        </is>
      </c>
      <c r="N1058">
        <f>RIGHT(M1058,LEN(M1058)-FIND(" ",M1058))</f>
        <v/>
      </c>
      <c r="P1058" t="inlineStr">
        <is>
          <t>WARREN</t>
        </is>
      </c>
      <c r="Q1058" t="inlineStr">
        <is>
          <t>OH</t>
        </is>
      </c>
      <c r="R1058" t="n">
        <v>44483</v>
      </c>
      <c r="AD1058" t="inlineStr">
        <is>
          <t>TRUMBULL CAREER &amp; TECH CENTER</t>
        </is>
      </c>
      <c r="AE1058" t="inlineStr">
        <is>
          <t>WARREN CITY</t>
        </is>
      </c>
      <c r="AF1058" t="inlineStr">
        <is>
          <t>WARREN CITY SD</t>
        </is>
      </c>
      <c r="AH1058" t="n">
        <v>14</v>
      </c>
      <c r="AI1058" t="n">
        <v>11</v>
      </c>
      <c r="AN1058" t="inlineStr">
        <is>
          <t>WARREN</t>
        </is>
      </c>
      <c r="AO1058" t="inlineStr">
        <is>
          <t>WARREN CITY 4A</t>
        </is>
      </c>
      <c r="AP1058" t="inlineStr">
        <is>
          <t>78-P-ADI</t>
        </is>
      </c>
      <c r="AQ1058" t="n">
        <v>9</v>
      </c>
      <c r="AR1058" t="n">
        <v>64</v>
      </c>
      <c r="AS1058" t="n">
        <v>32</v>
      </c>
      <c r="AU1058">
        <f>COUNTA($BA$1058:$EH$1058)</f>
        <v/>
      </c>
      <c r="AV1058">
        <f>COUNTIF($BA$1058:$EH$1058,"D")</f>
        <v/>
      </c>
      <c r="AW1058">
        <f>COUNTIF($BA$1058:$EH$1058,"R")</f>
        <v/>
      </c>
      <c r="AX1058">
        <f>IF(BN1058="D",1,0)+IF(BO1058="D",1,0)+IF(BT1058="D",1,0)+IF(BU1058="D",1,0)+IF(BW1058="D",1,0)+IF(CC1058="D",1,0)+IF(CD1058="D",1,0)+IF(CE1058="D",1,0)+IF(CF1058="D",1,0)+IF(CL1058="D",1,0)+IF(CM1058="D",1,0)+IF(CQ1058="D",1,0)+IF(CR1058="D",1,0)+IF(CS1058="D",1,0)+IF(CW1058="D",1,0)+IF(CX1058="D",1,0)+IF(DD1058="D",1,0)+IF(DE1058="D",1,0)+IF(DJ1058="D",1,0)+IF(DK1058="D",1,0)+IF(DO1058="D",1,0)+IF(DP1058="D",1,0)+IF(DQ1058="D",1,0)+IF(DW1058="D",1,0)+IF(DZ1058="D",1,0)+IF(EH1058="D",1,0)</f>
        <v/>
      </c>
      <c r="AY1058">
        <f>IF(DJ1058&lt;&gt;"",1,0)+IF(DK1058&lt;&gt;"",1,0)+IF(DM1058&lt;&gt;"",1,0)+IF(DO1058&lt;&gt;"",1,0)+IF(DP1058&lt;&gt;"",1,0)+IF(DQ1058&lt;&gt;"",1,0)+IF(DS1058&lt;&gt;"",1,0)+IF(DT1058&lt;&gt;"",1,0)+IF(DV1058&lt;&gt;"",1,0)+IF(DW1058&lt;&gt;"",1,0)+IF(DX1058&lt;&gt;"",1,0)+IF(DY1058&lt;&gt;"",1,0)+IF(DZ1058&lt;&gt;"",1,0)+IF(EB1058&lt;&gt;"",1,0)+IF(EC1058&lt;&gt;"",1,0)+IF(ED1058&lt;&gt;"",1,0)+IF(EG1058&lt;&gt;"",1,0)+IF(EH1058&lt;&gt;"",1,0)</f>
        <v/>
      </c>
      <c r="AZ1058">
        <f>IF(EH1058&lt;&gt;"",1,0)</f>
        <v/>
      </c>
      <c r="BB1058" t="inlineStr">
        <is>
          <t>WARREN-WARD 4</t>
        </is>
      </c>
    </row>
    <row r="1059">
      <c r="A1059" t="inlineStr">
        <is>
          <t>OH0025645559</t>
        </is>
      </c>
      <c r="B1059" t="n">
        <v>78</v>
      </c>
      <c r="C1059" t="n">
        <v>447733</v>
      </c>
      <c r="D1059" t="inlineStr">
        <is>
          <t>WALTERS</t>
        </is>
      </c>
      <c r="E1059" t="inlineStr">
        <is>
          <t>DAMION</t>
        </is>
      </c>
      <c r="F1059">
        <f>CONCATENATE(D1059," ",LEFT(H1059,4),"T=",AU1059,"D=",AV1059,"R=",AW1059,"M=",AX1059,"L=",AY1059,"B=",AZ1059)</f>
        <v/>
      </c>
      <c r="G1059" t="inlineStr">
        <is>
          <t>L</t>
        </is>
      </c>
      <c r="I1059" t="inlineStr">
        <is>
          <t>1969-04-16</t>
        </is>
      </c>
      <c r="J1059" t="inlineStr">
        <is>
          <t>2020-07-21</t>
        </is>
      </c>
      <c r="K1059" t="inlineStr">
        <is>
          <t>ACTIVE</t>
        </is>
      </c>
      <c r="M1059" t="inlineStr">
        <is>
          <t>796 KENILWORTH AVE SE</t>
        </is>
      </c>
      <c r="N1059">
        <f>RIGHT(M1059,LEN(M1059)-FIND(" ",M1059))</f>
        <v/>
      </c>
      <c r="P1059" t="inlineStr">
        <is>
          <t>WARREN</t>
        </is>
      </c>
      <c r="Q1059" t="inlineStr">
        <is>
          <t>OH</t>
        </is>
      </c>
      <c r="R1059" t="n">
        <v>44484</v>
      </c>
      <c r="AD1059" t="inlineStr">
        <is>
          <t>TRUMBULL CAREER &amp; TECH CENTER</t>
        </is>
      </c>
      <c r="AE1059" t="inlineStr">
        <is>
          <t>WARREN CITY</t>
        </is>
      </c>
      <c r="AF1059" t="inlineStr">
        <is>
          <t>WARREN CITY SD</t>
        </is>
      </c>
      <c r="AH1059" t="n">
        <v>14</v>
      </c>
      <c r="AI1059" t="n">
        <v>11</v>
      </c>
      <c r="AN1059" t="inlineStr">
        <is>
          <t>WARREN</t>
        </is>
      </c>
      <c r="AO1059" t="inlineStr">
        <is>
          <t>WARREN CITY 4A</t>
        </is>
      </c>
      <c r="AP1059" t="inlineStr">
        <is>
          <t>78-P-ADI</t>
        </is>
      </c>
      <c r="AQ1059" t="n">
        <v>9</v>
      </c>
      <c r="AR1059" t="n">
        <v>64</v>
      </c>
      <c r="AS1059" t="n">
        <v>32</v>
      </c>
      <c r="AU1059">
        <f>COUNTA($BA$1059:$EH$1059)</f>
        <v/>
      </c>
      <c r="AV1059">
        <f>COUNTIF($BA$1059:$EH$1059,"D")</f>
        <v/>
      </c>
      <c r="AW1059">
        <f>COUNTIF($BA$1059:$EH$1059,"R")</f>
        <v/>
      </c>
      <c r="AX1059">
        <f>IF(BN1059="D",1,0)+IF(BO1059="D",1,0)+IF(BT1059="D",1,0)+IF(BU1059="D",1,0)+IF(BW1059="D",1,0)+IF(CC1059="D",1,0)+IF(CD1059="D",1,0)+IF(CE1059="D",1,0)+IF(CF1059="D",1,0)+IF(CL1059="D",1,0)+IF(CM1059="D",1,0)+IF(CQ1059="D",1,0)+IF(CR1059="D",1,0)+IF(CS1059="D",1,0)+IF(CW1059="D",1,0)+IF(CX1059="D",1,0)+IF(DD1059="D",1,0)+IF(DE1059="D",1,0)+IF(DJ1059="D",1,0)+IF(DK1059="D",1,0)+IF(DO1059="D",1,0)+IF(DP1059="D",1,0)+IF(DQ1059="D",1,0)+IF(DW1059="D",1,0)+IF(DZ1059="D",1,0)+IF(EH1059="D",1,0)</f>
        <v/>
      </c>
      <c r="AY1059">
        <f>IF(DJ1059&lt;&gt;"",1,0)+IF(DK1059&lt;&gt;"",1,0)+IF(DM1059&lt;&gt;"",1,0)+IF(DO1059&lt;&gt;"",1,0)+IF(DP1059&lt;&gt;"",1,0)+IF(DQ1059&lt;&gt;"",1,0)+IF(DS1059&lt;&gt;"",1,0)+IF(DT1059&lt;&gt;"",1,0)+IF(DV1059&lt;&gt;"",1,0)+IF(DW1059&lt;&gt;"",1,0)+IF(DX1059&lt;&gt;"",1,0)+IF(DY1059&lt;&gt;"",1,0)+IF(DZ1059&lt;&gt;"",1,0)+IF(EB1059&lt;&gt;"",1,0)+IF(EC1059&lt;&gt;"",1,0)+IF(ED1059&lt;&gt;"",1,0)+IF(EG1059&lt;&gt;"",1,0)+IF(EH1059&lt;&gt;"",1,0)</f>
        <v/>
      </c>
      <c r="AZ1059">
        <f>IF(EH1059&lt;&gt;"",1,0)</f>
        <v/>
      </c>
      <c r="BB1059" t="inlineStr">
        <is>
          <t>WARREN-WARD 4</t>
        </is>
      </c>
      <c r="BL1059" t="inlineStr">
        <is>
          <t>X</t>
        </is>
      </c>
      <c r="DN1059" t="inlineStr">
        <is>
          <t>X</t>
        </is>
      </c>
      <c r="DU1059" t="inlineStr">
        <is>
          <t>X</t>
        </is>
      </c>
      <c r="EF1059" t="inlineStr">
        <is>
          <t>X</t>
        </is>
      </c>
    </row>
    <row r="1060">
      <c r="A1060" t="inlineStr">
        <is>
          <t>OH0022239811</t>
        </is>
      </c>
      <c r="B1060" t="n">
        <v>78</v>
      </c>
      <c r="C1060" t="n">
        <v>393505</v>
      </c>
      <c r="D1060" t="inlineStr">
        <is>
          <t>TAYLOR</t>
        </is>
      </c>
      <c r="E1060" t="inlineStr">
        <is>
          <t>MISTI</t>
        </is>
      </c>
      <c r="F1060">
        <f>CONCATENATE(D1060," ",LEFT(H1060,4),"T=",AU1060,"D=",AV1060,"R=",AW1060,"M=",AX1060,"L=",AY1060,"B=",AZ1060)</f>
        <v/>
      </c>
      <c r="G1060" t="inlineStr">
        <is>
          <t>KAYLEEN</t>
        </is>
      </c>
      <c r="I1060" t="inlineStr">
        <is>
          <t>1982-10-05</t>
        </is>
      </c>
      <c r="J1060" t="inlineStr">
        <is>
          <t>2023-05-23</t>
        </is>
      </c>
      <c r="K1060" t="inlineStr">
        <is>
          <t>ACTIVE</t>
        </is>
      </c>
      <c r="M1060" t="inlineStr">
        <is>
          <t>876 KENILWORTH AVE SE</t>
        </is>
      </c>
      <c r="N1060">
        <f>RIGHT(M1060,LEN(M1060)-FIND(" ",M1060))</f>
        <v/>
      </c>
      <c r="P1060" t="inlineStr">
        <is>
          <t>WARREN</t>
        </is>
      </c>
      <c r="Q1060" t="inlineStr">
        <is>
          <t>OH</t>
        </is>
      </c>
      <c r="R1060" t="n">
        <v>44484</v>
      </c>
      <c r="AD1060" t="inlineStr">
        <is>
          <t>TRUMBULL CAREER &amp; TECH CENTER</t>
        </is>
      </c>
      <c r="AE1060" t="inlineStr">
        <is>
          <t>WARREN CITY</t>
        </is>
      </c>
      <c r="AF1060" t="inlineStr">
        <is>
          <t>WARREN CITY SD</t>
        </is>
      </c>
      <c r="AH1060" t="n">
        <v>14</v>
      </c>
      <c r="AI1060" t="n">
        <v>11</v>
      </c>
      <c r="AN1060" t="inlineStr">
        <is>
          <t>WARREN</t>
        </is>
      </c>
      <c r="AO1060" t="inlineStr">
        <is>
          <t>WARREN CITY 4A</t>
        </is>
      </c>
      <c r="AP1060" t="inlineStr">
        <is>
          <t>78-P-ADI</t>
        </is>
      </c>
      <c r="AQ1060" t="n">
        <v>9</v>
      </c>
      <c r="AR1060" t="n">
        <v>64</v>
      </c>
      <c r="AS1060" t="n">
        <v>32</v>
      </c>
      <c r="AU1060">
        <f>COUNTA($BA$1060:$EH$1060)</f>
        <v/>
      </c>
      <c r="AV1060">
        <f>COUNTIF($BA$1060:$EH$1060,"D")</f>
        <v/>
      </c>
      <c r="AW1060">
        <f>COUNTIF($BA$1060:$EH$1060,"R")</f>
        <v/>
      </c>
      <c r="AX1060">
        <f>IF(BN1060="D",1,0)+IF(BO1060="D",1,0)+IF(BT1060="D",1,0)+IF(BU1060="D",1,0)+IF(BW1060="D",1,0)+IF(CC1060="D",1,0)+IF(CD1060="D",1,0)+IF(CE1060="D",1,0)+IF(CF1060="D",1,0)+IF(CL1060="D",1,0)+IF(CM1060="D",1,0)+IF(CQ1060="D",1,0)+IF(CR1060="D",1,0)+IF(CS1060="D",1,0)+IF(CW1060="D",1,0)+IF(CX1060="D",1,0)+IF(DD1060="D",1,0)+IF(DE1060="D",1,0)+IF(DJ1060="D",1,0)+IF(DK1060="D",1,0)+IF(DO1060="D",1,0)+IF(DP1060="D",1,0)+IF(DQ1060="D",1,0)+IF(DW1060="D",1,0)+IF(DZ1060="D",1,0)+IF(EH1060="D",1,0)</f>
        <v/>
      </c>
      <c r="AY1060">
        <f>IF(DJ1060&lt;&gt;"",1,0)+IF(DK1060&lt;&gt;"",1,0)+IF(DM1060&lt;&gt;"",1,0)+IF(DO1060&lt;&gt;"",1,0)+IF(DP1060&lt;&gt;"",1,0)+IF(DQ1060&lt;&gt;"",1,0)+IF(DS1060&lt;&gt;"",1,0)+IF(DT1060&lt;&gt;"",1,0)+IF(DV1060&lt;&gt;"",1,0)+IF(DW1060&lt;&gt;"",1,0)+IF(DX1060&lt;&gt;"",1,0)+IF(DY1060&lt;&gt;"",1,0)+IF(DZ1060&lt;&gt;"",1,0)+IF(EB1060&lt;&gt;"",1,0)+IF(EC1060&lt;&gt;"",1,0)+IF(ED1060&lt;&gt;"",1,0)+IF(EG1060&lt;&gt;"",1,0)+IF(EH1060&lt;&gt;"",1,0)</f>
        <v/>
      </c>
      <c r="AZ1060">
        <f>IF(EH1060&lt;&gt;"",1,0)</f>
        <v/>
      </c>
      <c r="BB1060" t="inlineStr">
        <is>
          <t>WARREN-WARD 4</t>
        </is>
      </c>
      <c r="CA1060" t="inlineStr">
        <is>
          <t>X</t>
        </is>
      </c>
      <c r="CP1060" t="inlineStr">
        <is>
          <t>X</t>
        </is>
      </c>
      <c r="CY1060" t="inlineStr">
        <is>
          <t>X</t>
        </is>
      </c>
      <c r="CZ1060" t="inlineStr">
        <is>
          <t>D</t>
        </is>
      </c>
      <c r="DI1060" t="inlineStr">
        <is>
          <t>X</t>
        </is>
      </c>
      <c r="EA1060" t="inlineStr">
        <is>
          <t>X</t>
        </is>
      </c>
    </row>
    <row r="1061">
      <c r="A1061" t="inlineStr">
        <is>
          <t>OH0026908863</t>
        </is>
      </c>
      <c r="B1061" t="n">
        <v>78</v>
      </c>
      <c r="C1061" t="n">
        <v>474079</v>
      </c>
      <c r="D1061" t="inlineStr">
        <is>
          <t>PROVITT</t>
        </is>
      </c>
      <c r="E1061" t="inlineStr">
        <is>
          <t>SAVION</t>
        </is>
      </c>
      <c r="F1061">
        <f>CONCATENATE(D1061," ",LEFT(H1061,4),"T=",AU1061,"D=",AV1061,"R=",AW1061,"M=",AX1061,"L=",AY1061,"B=",AZ1061)</f>
        <v/>
      </c>
      <c r="G1061" t="inlineStr">
        <is>
          <t>ISAIAH</t>
        </is>
      </c>
      <c r="I1061" t="inlineStr">
        <is>
          <t>2005-03-17</t>
        </is>
      </c>
      <c r="J1061" t="inlineStr">
        <is>
          <t>2024-09-24</t>
        </is>
      </c>
      <c r="K1061" t="inlineStr">
        <is>
          <t>ACTIVE</t>
        </is>
      </c>
      <c r="M1061" t="inlineStr">
        <is>
          <t>239 HOMEWOOD AVE SE</t>
        </is>
      </c>
      <c r="N1061">
        <f>RIGHT(M1061,LEN(M1061)-FIND(" ",M1061))</f>
        <v/>
      </c>
      <c r="P1061" t="inlineStr">
        <is>
          <t>WARREN</t>
        </is>
      </c>
      <c r="Q1061" t="inlineStr">
        <is>
          <t>OH</t>
        </is>
      </c>
      <c r="R1061" t="n">
        <v>44483</v>
      </c>
      <c r="AD1061" t="inlineStr">
        <is>
          <t>TRUMBULL CAREER &amp; TECH CENTER</t>
        </is>
      </c>
      <c r="AE1061" t="inlineStr">
        <is>
          <t>WARREN CITY</t>
        </is>
      </c>
      <c r="AF1061" t="inlineStr">
        <is>
          <t>WARREN CITY SD</t>
        </is>
      </c>
      <c r="AH1061" t="n">
        <v>14</v>
      </c>
      <c r="AI1061" t="n">
        <v>11</v>
      </c>
      <c r="AN1061" t="inlineStr">
        <is>
          <t>WARREN</t>
        </is>
      </c>
      <c r="AO1061" t="inlineStr">
        <is>
          <t>WARREN CITY 4A</t>
        </is>
      </c>
      <c r="AP1061" t="inlineStr">
        <is>
          <t>78-P-ADI</t>
        </is>
      </c>
      <c r="AQ1061" t="n">
        <v>9</v>
      </c>
      <c r="AR1061" t="n">
        <v>64</v>
      </c>
      <c r="AS1061" t="n">
        <v>32</v>
      </c>
      <c r="AU1061">
        <f>COUNTA($BA$1061:$EH$1061)</f>
        <v/>
      </c>
      <c r="AV1061">
        <f>COUNTIF($BA$1061:$EH$1061,"D")</f>
        <v/>
      </c>
      <c r="AW1061">
        <f>COUNTIF($BA$1061:$EH$1061,"R")</f>
        <v/>
      </c>
      <c r="AX1061">
        <f>IF(BN1061="D",1,0)+IF(BO1061="D",1,0)+IF(BT1061="D",1,0)+IF(BU1061="D",1,0)+IF(BW1061="D",1,0)+IF(CC1061="D",1,0)+IF(CD1061="D",1,0)+IF(CE1061="D",1,0)+IF(CF1061="D",1,0)+IF(CL1061="D",1,0)+IF(CM1061="D",1,0)+IF(CQ1061="D",1,0)+IF(CR1061="D",1,0)+IF(CS1061="D",1,0)+IF(CW1061="D",1,0)+IF(CX1061="D",1,0)+IF(DD1061="D",1,0)+IF(DE1061="D",1,0)+IF(DJ1061="D",1,0)+IF(DK1061="D",1,0)+IF(DO1061="D",1,0)+IF(DP1061="D",1,0)+IF(DQ1061="D",1,0)+IF(DW1061="D",1,0)+IF(DZ1061="D",1,0)+IF(EH1061="D",1,0)</f>
        <v/>
      </c>
      <c r="AY1061">
        <f>IF(DJ1061&lt;&gt;"",1,0)+IF(DK1061&lt;&gt;"",1,0)+IF(DM1061&lt;&gt;"",1,0)+IF(DO1061&lt;&gt;"",1,0)+IF(DP1061&lt;&gt;"",1,0)+IF(DQ1061&lt;&gt;"",1,0)+IF(DS1061&lt;&gt;"",1,0)+IF(DT1061&lt;&gt;"",1,0)+IF(DV1061&lt;&gt;"",1,0)+IF(DW1061&lt;&gt;"",1,0)+IF(DX1061&lt;&gt;"",1,0)+IF(DY1061&lt;&gt;"",1,0)+IF(DZ1061&lt;&gt;"",1,0)+IF(EB1061&lt;&gt;"",1,0)+IF(EC1061&lt;&gt;"",1,0)+IF(ED1061&lt;&gt;"",1,0)+IF(EG1061&lt;&gt;"",1,0)+IF(EH1061&lt;&gt;"",1,0)</f>
        <v/>
      </c>
      <c r="AZ1061">
        <f>IF(EH1061&lt;&gt;"",1,0)</f>
        <v/>
      </c>
      <c r="BB1061" t="inlineStr">
        <is>
          <t>WARREN-WARD 4</t>
        </is>
      </c>
      <c r="EA1061" t="inlineStr">
        <is>
          <t>X</t>
        </is>
      </c>
      <c r="EF1061" t="inlineStr">
        <is>
          <t>X</t>
        </is>
      </c>
    </row>
    <row r="1062">
      <c r="A1062" t="inlineStr">
        <is>
          <t>OH0015687775</t>
        </is>
      </c>
      <c r="B1062" t="n">
        <v>78</v>
      </c>
      <c r="C1062" t="n">
        <v>12776</v>
      </c>
      <c r="D1062" t="inlineStr">
        <is>
          <t>PRIESTER</t>
        </is>
      </c>
      <c r="E1062" t="inlineStr">
        <is>
          <t>ROBERT</t>
        </is>
      </c>
      <c r="F1062">
        <f>CONCATENATE(D1062," ",LEFT(H1062,4),"T=",AU1062,"D=",AV1062,"R=",AW1062,"M=",AX1062,"L=",AY1062,"B=",AZ1062)</f>
        <v/>
      </c>
      <c r="G1062" t="inlineStr">
        <is>
          <t>V</t>
        </is>
      </c>
      <c r="I1062" t="inlineStr">
        <is>
          <t>1945-10-03</t>
        </is>
      </c>
      <c r="J1062" t="inlineStr">
        <is>
          <t>1972-04-03</t>
        </is>
      </c>
      <c r="K1062" t="inlineStr">
        <is>
          <t>ACTIVE</t>
        </is>
      </c>
      <c r="M1062" t="inlineStr">
        <is>
          <t>558 OAK KNOLL AVE SE</t>
        </is>
      </c>
      <c r="N1062">
        <f>RIGHT(M1062,LEN(M1062)-FIND(" ",M1062))</f>
        <v/>
      </c>
      <c r="P1062" t="inlineStr">
        <is>
          <t>WARREN</t>
        </is>
      </c>
      <c r="Q1062" t="inlineStr">
        <is>
          <t>OH</t>
        </is>
      </c>
      <c r="R1062" t="n">
        <v>44483</v>
      </c>
      <c r="AD1062" t="inlineStr">
        <is>
          <t>TRUMBULL CAREER &amp; TECH CENTER</t>
        </is>
      </c>
      <c r="AE1062" t="inlineStr">
        <is>
          <t>WARREN CITY</t>
        </is>
      </c>
      <c r="AF1062" t="inlineStr">
        <is>
          <t>WARREN CITY SD</t>
        </is>
      </c>
      <c r="AH1062" t="n">
        <v>14</v>
      </c>
      <c r="AI1062" t="n">
        <v>11</v>
      </c>
      <c r="AN1062" t="inlineStr">
        <is>
          <t>WARREN</t>
        </is>
      </c>
      <c r="AO1062" t="inlineStr">
        <is>
          <t>WARREN CITY 4A</t>
        </is>
      </c>
      <c r="AP1062" t="inlineStr">
        <is>
          <t>78-P-ADI</t>
        </is>
      </c>
      <c r="AQ1062" t="n">
        <v>9</v>
      </c>
      <c r="AR1062" t="n">
        <v>64</v>
      </c>
      <c r="AS1062" t="n">
        <v>32</v>
      </c>
      <c r="AU1062">
        <f>COUNTA($BA$1062:$EH$1062)</f>
        <v/>
      </c>
      <c r="AV1062">
        <f>COUNTIF($BA$1062:$EH$1062,"D")</f>
        <v/>
      </c>
      <c r="AW1062">
        <f>COUNTIF($BA$1062:$EH$1062,"R")</f>
        <v/>
      </c>
      <c r="AX1062">
        <f>IF(BN1062="D",1,0)+IF(BO1062="D",1,0)+IF(BT1062="D",1,0)+IF(BU1062="D",1,0)+IF(BW1062="D",1,0)+IF(CC1062="D",1,0)+IF(CD1062="D",1,0)+IF(CE1062="D",1,0)+IF(CF1062="D",1,0)+IF(CL1062="D",1,0)+IF(CM1062="D",1,0)+IF(CQ1062="D",1,0)+IF(CR1062="D",1,0)+IF(CS1062="D",1,0)+IF(CW1062="D",1,0)+IF(CX1062="D",1,0)+IF(DD1062="D",1,0)+IF(DE1062="D",1,0)+IF(DJ1062="D",1,0)+IF(DK1062="D",1,0)+IF(DO1062="D",1,0)+IF(DP1062="D",1,0)+IF(DQ1062="D",1,0)+IF(DW1062="D",1,0)+IF(DZ1062="D",1,0)+IF(EH1062="D",1,0)</f>
        <v/>
      </c>
      <c r="AY1062">
        <f>IF(DJ1062&lt;&gt;"",1,0)+IF(DK1062&lt;&gt;"",1,0)+IF(DM1062&lt;&gt;"",1,0)+IF(DO1062&lt;&gt;"",1,0)+IF(DP1062&lt;&gt;"",1,0)+IF(DQ1062&lt;&gt;"",1,0)+IF(DS1062&lt;&gt;"",1,0)+IF(DT1062&lt;&gt;"",1,0)+IF(DV1062&lt;&gt;"",1,0)+IF(DW1062&lt;&gt;"",1,0)+IF(DX1062&lt;&gt;"",1,0)+IF(DY1062&lt;&gt;"",1,0)+IF(DZ1062&lt;&gt;"",1,0)+IF(EB1062&lt;&gt;"",1,0)+IF(EC1062&lt;&gt;"",1,0)+IF(ED1062&lt;&gt;"",1,0)+IF(EG1062&lt;&gt;"",1,0)+IF(EH1062&lt;&gt;"",1,0)</f>
        <v/>
      </c>
      <c r="AZ1062">
        <f>IF(EH1062&lt;&gt;"",1,0)</f>
        <v/>
      </c>
      <c r="BB1062" t="inlineStr">
        <is>
          <t>WARREN-WARD 4</t>
        </is>
      </c>
      <c r="BC1062" t="inlineStr">
        <is>
          <t>X</t>
        </is>
      </c>
      <c r="BD1062" t="inlineStr">
        <is>
          <t>X</t>
        </is>
      </c>
      <c r="BE1062" t="inlineStr">
        <is>
          <t>X</t>
        </is>
      </c>
      <c r="BF1062" t="inlineStr">
        <is>
          <t>X</t>
        </is>
      </c>
      <c r="BG1062" t="inlineStr">
        <is>
          <t>X</t>
        </is>
      </c>
      <c r="BH1062" t="inlineStr">
        <is>
          <t>X</t>
        </is>
      </c>
      <c r="BI1062" t="inlineStr">
        <is>
          <t>X</t>
        </is>
      </c>
      <c r="BJ1062" t="inlineStr">
        <is>
          <t>X</t>
        </is>
      </c>
      <c r="BK1062" t="inlineStr">
        <is>
          <t>X</t>
        </is>
      </c>
      <c r="BL1062" t="inlineStr">
        <is>
          <t>X</t>
        </is>
      </c>
      <c r="BP1062" t="inlineStr">
        <is>
          <t>X</t>
        </is>
      </c>
      <c r="BR1062" t="inlineStr">
        <is>
          <t>X</t>
        </is>
      </c>
      <c r="BS1062" t="inlineStr">
        <is>
          <t>X</t>
        </is>
      </c>
      <c r="BT1062" t="inlineStr">
        <is>
          <t>X</t>
        </is>
      </c>
      <c r="BV1062" t="inlineStr">
        <is>
          <t>X</t>
        </is>
      </c>
      <c r="BY1062" t="inlineStr">
        <is>
          <t>D</t>
        </is>
      </c>
      <c r="CA1062" t="inlineStr">
        <is>
          <t>X</t>
        </is>
      </c>
      <c r="CG1062" t="inlineStr">
        <is>
          <t>X</t>
        </is>
      </c>
      <c r="CK1062" t="inlineStr">
        <is>
          <t>X</t>
        </is>
      </c>
      <c r="CN1062" t="inlineStr">
        <is>
          <t>X</t>
        </is>
      </c>
      <c r="CP1062" t="inlineStr">
        <is>
          <t>X</t>
        </is>
      </c>
      <c r="CV1062" t="inlineStr">
        <is>
          <t>X</t>
        </is>
      </c>
      <c r="CY1062" t="inlineStr">
        <is>
          <t>X</t>
        </is>
      </c>
      <c r="CZ1062" t="inlineStr">
        <is>
          <t>D</t>
        </is>
      </c>
      <c r="DC1062" t="inlineStr">
        <is>
          <t>X</t>
        </is>
      </c>
      <c r="DF1062" t="inlineStr">
        <is>
          <t>X</t>
        </is>
      </c>
      <c r="DG1062" t="inlineStr">
        <is>
          <t>D</t>
        </is>
      </c>
      <c r="DI1062" t="inlineStr">
        <is>
          <t>X</t>
        </is>
      </c>
      <c r="DJ1062" t="inlineStr">
        <is>
          <t>D</t>
        </is>
      </c>
      <c r="DL1062" t="inlineStr">
        <is>
          <t>X</t>
        </is>
      </c>
      <c r="DM1062" t="inlineStr">
        <is>
          <t>D</t>
        </is>
      </c>
      <c r="DN1062" t="inlineStr">
        <is>
          <t>X</t>
        </is>
      </c>
      <c r="DR1062" t="inlineStr">
        <is>
          <t>X</t>
        </is>
      </c>
      <c r="DU1062" t="inlineStr">
        <is>
          <t>X</t>
        </is>
      </c>
      <c r="DX1062" t="inlineStr">
        <is>
          <t>X</t>
        </is>
      </c>
      <c r="EA1062" t="inlineStr">
        <is>
          <t>X</t>
        </is>
      </c>
      <c r="EF1062" t="inlineStr">
        <is>
          <t>X</t>
        </is>
      </c>
    </row>
    <row r="1063">
      <c r="A1063" t="inlineStr">
        <is>
          <t>OH0015757011</t>
        </is>
      </c>
      <c r="B1063" t="n">
        <v>78</v>
      </c>
      <c r="C1063" t="n">
        <v>243893</v>
      </c>
      <c r="D1063" t="inlineStr">
        <is>
          <t>PETERSON</t>
        </is>
      </c>
      <c r="E1063" t="inlineStr">
        <is>
          <t>MOLLIE</t>
        </is>
      </c>
      <c r="F1063">
        <f>CONCATENATE(D1063," ",LEFT(H1063,4),"T=",AU1063,"D=",AV1063,"R=",AW1063,"M=",AX1063,"L=",AY1063,"B=",AZ1063)</f>
        <v/>
      </c>
      <c r="G1063" t="inlineStr">
        <is>
          <t>C</t>
        </is>
      </c>
      <c r="I1063" t="inlineStr">
        <is>
          <t>1974-11-01</t>
        </is>
      </c>
      <c r="J1063" t="inlineStr">
        <is>
          <t>1992-09-28</t>
        </is>
      </c>
      <c r="K1063" t="inlineStr">
        <is>
          <t>ACTIVE</t>
        </is>
      </c>
      <c r="L1063" t="inlineStr">
        <is>
          <t>D</t>
        </is>
      </c>
      <c r="M1063" t="inlineStr">
        <is>
          <t>618 OAK KNOLL AVE SE</t>
        </is>
      </c>
      <c r="N1063">
        <f>RIGHT(M1063,LEN(M1063)-FIND(" ",M1063))</f>
        <v/>
      </c>
      <c r="P1063" t="inlineStr">
        <is>
          <t>WARREN</t>
        </is>
      </c>
      <c r="Q1063" t="inlineStr">
        <is>
          <t>OH</t>
        </is>
      </c>
      <c r="R1063" t="n">
        <v>44483</v>
      </c>
      <c r="AD1063" t="inlineStr">
        <is>
          <t>TRUMBULL CAREER &amp; TECH CENTER</t>
        </is>
      </c>
      <c r="AE1063" t="inlineStr">
        <is>
          <t>WARREN CITY</t>
        </is>
      </c>
      <c r="AF1063" t="inlineStr">
        <is>
          <t>WARREN CITY SD</t>
        </is>
      </c>
      <c r="AH1063" t="n">
        <v>14</v>
      </c>
      <c r="AI1063" t="n">
        <v>11</v>
      </c>
      <c r="AN1063" t="inlineStr">
        <is>
          <t>WARREN</t>
        </is>
      </c>
      <c r="AO1063" t="inlineStr">
        <is>
          <t>WARREN CITY 4A</t>
        </is>
      </c>
      <c r="AP1063" t="inlineStr">
        <is>
          <t>78-P-ADI</t>
        </is>
      </c>
      <c r="AQ1063" t="n">
        <v>9</v>
      </c>
      <c r="AR1063" t="n">
        <v>64</v>
      </c>
      <c r="AS1063" t="n">
        <v>32</v>
      </c>
      <c r="AU1063">
        <f>COUNTA($BA$1063:$EH$1063)</f>
        <v/>
      </c>
      <c r="AV1063">
        <f>COUNTIF($BA$1063:$EH$1063,"D")</f>
        <v/>
      </c>
      <c r="AW1063">
        <f>COUNTIF($BA$1063:$EH$1063,"R")</f>
        <v/>
      </c>
      <c r="AX1063">
        <f>IF(BN1063="D",1,0)+IF(BO1063="D",1,0)+IF(BT1063="D",1,0)+IF(BU1063="D",1,0)+IF(BW1063="D",1,0)+IF(CC1063="D",1,0)+IF(CD1063="D",1,0)+IF(CE1063="D",1,0)+IF(CF1063="D",1,0)+IF(CL1063="D",1,0)+IF(CM1063="D",1,0)+IF(CQ1063="D",1,0)+IF(CR1063="D",1,0)+IF(CS1063="D",1,0)+IF(CW1063="D",1,0)+IF(CX1063="D",1,0)+IF(DD1063="D",1,0)+IF(DE1063="D",1,0)+IF(DJ1063="D",1,0)+IF(DK1063="D",1,0)+IF(DO1063="D",1,0)+IF(DP1063="D",1,0)+IF(DQ1063="D",1,0)+IF(DW1063="D",1,0)+IF(DZ1063="D",1,0)+IF(EH1063="D",1,0)</f>
        <v/>
      </c>
      <c r="AY1063">
        <f>IF(DJ1063&lt;&gt;"",1,0)+IF(DK1063&lt;&gt;"",1,0)+IF(DM1063&lt;&gt;"",1,0)+IF(DO1063&lt;&gt;"",1,0)+IF(DP1063&lt;&gt;"",1,0)+IF(DQ1063&lt;&gt;"",1,0)+IF(DS1063&lt;&gt;"",1,0)+IF(DT1063&lt;&gt;"",1,0)+IF(DV1063&lt;&gt;"",1,0)+IF(DW1063&lt;&gt;"",1,0)+IF(DX1063&lt;&gt;"",1,0)+IF(DY1063&lt;&gt;"",1,0)+IF(DZ1063&lt;&gt;"",1,0)+IF(EB1063&lt;&gt;"",1,0)+IF(EC1063&lt;&gt;"",1,0)+IF(ED1063&lt;&gt;"",1,0)+IF(EG1063&lt;&gt;"",1,0)+IF(EH1063&lt;&gt;"",1,0)</f>
        <v/>
      </c>
      <c r="AZ1063">
        <f>IF(EH1063&lt;&gt;"",1,0)</f>
        <v/>
      </c>
      <c r="BB1063" t="inlineStr">
        <is>
          <t>WARREN-WARD 4</t>
        </is>
      </c>
      <c r="BL1063" t="inlineStr">
        <is>
          <t>X</t>
        </is>
      </c>
      <c r="BP1063" t="inlineStr">
        <is>
          <t>X</t>
        </is>
      </c>
      <c r="BS1063" t="inlineStr">
        <is>
          <t>X</t>
        </is>
      </c>
      <c r="BV1063" t="inlineStr">
        <is>
          <t>X</t>
        </is>
      </c>
      <c r="BY1063" t="inlineStr">
        <is>
          <t>D</t>
        </is>
      </c>
      <c r="CA1063" t="inlineStr">
        <is>
          <t>X</t>
        </is>
      </c>
      <c r="CG1063" t="inlineStr">
        <is>
          <t>X</t>
        </is>
      </c>
      <c r="CK1063" t="inlineStr">
        <is>
          <t>X</t>
        </is>
      </c>
      <c r="CL1063" t="inlineStr">
        <is>
          <t>D</t>
        </is>
      </c>
      <c r="CN1063" t="inlineStr">
        <is>
          <t>X</t>
        </is>
      </c>
      <c r="CO1063" t="inlineStr">
        <is>
          <t>D</t>
        </is>
      </c>
      <c r="CP1063" t="inlineStr">
        <is>
          <t>X</t>
        </is>
      </c>
      <c r="CQ1063" t="inlineStr">
        <is>
          <t>D</t>
        </is>
      </c>
      <c r="CU1063" t="inlineStr">
        <is>
          <t>D</t>
        </is>
      </c>
      <c r="CV1063" t="inlineStr">
        <is>
          <t>X</t>
        </is>
      </c>
      <c r="CY1063" t="inlineStr">
        <is>
          <t>X</t>
        </is>
      </c>
      <c r="CZ1063" t="inlineStr">
        <is>
          <t>R</t>
        </is>
      </c>
      <c r="DC1063" t="inlineStr">
        <is>
          <t>X</t>
        </is>
      </c>
      <c r="DD1063" t="inlineStr">
        <is>
          <t>D</t>
        </is>
      </c>
      <c r="DF1063" t="inlineStr">
        <is>
          <t>X</t>
        </is>
      </c>
      <c r="DI1063" t="inlineStr">
        <is>
          <t>X</t>
        </is>
      </c>
      <c r="DN1063" t="inlineStr">
        <is>
          <t>X</t>
        </is>
      </c>
      <c r="DR1063" t="inlineStr">
        <is>
          <t>X</t>
        </is>
      </c>
      <c r="DU1063" t="inlineStr">
        <is>
          <t>X</t>
        </is>
      </c>
      <c r="DW1063" t="inlineStr">
        <is>
          <t>D</t>
        </is>
      </c>
      <c r="DX1063" t="inlineStr">
        <is>
          <t>X</t>
        </is>
      </c>
      <c r="EA1063" t="inlineStr">
        <is>
          <t>X</t>
        </is>
      </c>
      <c r="ED1063" t="inlineStr">
        <is>
          <t>D</t>
        </is>
      </c>
      <c r="EF1063" t="inlineStr">
        <is>
          <t>X</t>
        </is>
      </c>
    </row>
    <row r="1064">
      <c r="A1064" t="inlineStr">
        <is>
          <t>OH0019687843</t>
        </is>
      </c>
      <c r="B1064" t="n">
        <v>78</v>
      </c>
      <c r="C1064" t="n">
        <v>357356</v>
      </c>
      <c r="D1064" t="inlineStr">
        <is>
          <t>BYRNE</t>
        </is>
      </c>
      <c r="E1064" t="inlineStr">
        <is>
          <t>COLLEEN</t>
        </is>
      </c>
      <c r="F1064">
        <f>CONCATENATE(D1064," ",LEFT(H1064,4),"T=",AU1064,"D=",AV1064,"R=",AW1064,"M=",AX1064,"L=",AY1064,"B=",AZ1064)</f>
        <v/>
      </c>
      <c r="G1064" t="inlineStr">
        <is>
          <t>ANN</t>
        </is>
      </c>
      <c r="I1064" t="inlineStr">
        <is>
          <t>1976-06-29</t>
        </is>
      </c>
      <c r="J1064" t="inlineStr">
        <is>
          <t>2016-07-19</t>
        </is>
      </c>
      <c r="K1064" t="inlineStr">
        <is>
          <t>CONFIRMATION</t>
        </is>
      </c>
      <c r="M1064" t="inlineStr">
        <is>
          <t>765 KENILWORTH AVE SE</t>
        </is>
      </c>
      <c r="N1064">
        <f>RIGHT(M1064,LEN(M1064)-FIND(" ",M1064))</f>
        <v/>
      </c>
      <c r="P1064" t="inlineStr">
        <is>
          <t>WARREN</t>
        </is>
      </c>
      <c r="Q1064" t="inlineStr">
        <is>
          <t>OH</t>
        </is>
      </c>
      <c r="R1064" t="n">
        <v>44484</v>
      </c>
      <c r="AD1064" t="inlineStr">
        <is>
          <t>TRUMBULL CAREER &amp; TECH CENTER</t>
        </is>
      </c>
      <c r="AE1064" t="inlineStr">
        <is>
          <t>WARREN CITY</t>
        </is>
      </c>
      <c r="AF1064" t="inlineStr">
        <is>
          <t>WARREN CITY SD</t>
        </is>
      </c>
      <c r="AH1064" t="n">
        <v>14</v>
      </c>
      <c r="AI1064" t="n">
        <v>11</v>
      </c>
      <c r="AN1064" t="inlineStr">
        <is>
          <t>WARREN</t>
        </is>
      </c>
      <c r="AO1064" t="inlineStr">
        <is>
          <t>WARREN CITY 4A</t>
        </is>
      </c>
      <c r="AP1064" t="inlineStr">
        <is>
          <t>78-P-ADI</t>
        </is>
      </c>
      <c r="AQ1064" t="n">
        <v>9</v>
      </c>
      <c r="AR1064" t="n">
        <v>64</v>
      </c>
      <c r="AS1064" t="n">
        <v>32</v>
      </c>
      <c r="AU1064">
        <f>COUNTA($BA$1064:$EH$1064)</f>
        <v/>
      </c>
      <c r="AV1064">
        <f>COUNTIF($BA$1064:$EH$1064,"D")</f>
        <v/>
      </c>
      <c r="AW1064">
        <f>COUNTIF($BA$1064:$EH$1064,"R")</f>
        <v/>
      </c>
      <c r="AX1064">
        <f>IF(BN1064="D",1,0)+IF(BO1064="D",1,0)+IF(BT1064="D",1,0)+IF(BU1064="D",1,0)+IF(BW1064="D",1,0)+IF(CC1064="D",1,0)+IF(CD1064="D",1,0)+IF(CE1064="D",1,0)+IF(CF1064="D",1,0)+IF(CL1064="D",1,0)+IF(CM1064="D",1,0)+IF(CQ1064="D",1,0)+IF(CR1064="D",1,0)+IF(CS1064="D",1,0)+IF(CW1064="D",1,0)+IF(CX1064="D",1,0)+IF(DD1064="D",1,0)+IF(DE1064="D",1,0)+IF(DJ1064="D",1,0)+IF(DK1064="D",1,0)+IF(DO1064="D",1,0)+IF(DP1064="D",1,0)+IF(DQ1064="D",1,0)+IF(DW1064="D",1,0)+IF(DZ1064="D",1,0)+IF(EH1064="D",1,0)</f>
        <v/>
      </c>
      <c r="AY1064">
        <f>IF(DJ1064&lt;&gt;"",1,0)+IF(DK1064&lt;&gt;"",1,0)+IF(DM1064&lt;&gt;"",1,0)+IF(DO1064&lt;&gt;"",1,0)+IF(DP1064&lt;&gt;"",1,0)+IF(DQ1064&lt;&gt;"",1,0)+IF(DS1064&lt;&gt;"",1,0)+IF(DT1064&lt;&gt;"",1,0)+IF(DV1064&lt;&gt;"",1,0)+IF(DW1064&lt;&gt;"",1,0)+IF(DX1064&lt;&gt;"",1,0)+IF(DY1064&lt;&gt;"",1,0)+IF(DZ1064&lt;&gt;"",1,0)+IF(EB1064&lt;&gt;"",1,0)+IF(EC1064&lt;&gt;"",1,0)+IF(ED1064&lt;&gt;"",1,0)+IF(EG1064&lt;&gt;"",1,0)+IF(EH1064&lt;&gt;"",1,0)</f>
        <v/>
      </c>
      <c r="AZ1064">
        <f>IF(EH1064&lt;&gt;"",1,0)</f>
        <v/>
      </c>
      <c r="BB1064" t="inlineStr">
        <is>
          <t>WARREN-WARD 4</t>
        </is>
      </c>
    </row>
    <row r="1065">
      <c r="A1065" t="inlineStr">
        <is>
          <t>OH0025021549</t>
        </is>
      </c>
      <c r="B1065" t="n">
        <v>78</v>
      </c>
      <c r="C1065" t="n">
        <v>437975</v>
      </c>
      <c r="D1065" t="inlineStr">
        <is>
          <t>COOK</t>
        </is>
      </c>
      <c r="E1065" t="inlineStr">
        <is>
          <t>DANIEL</t>
        </is>
      </c>
      <c r="F1065">
        <f>CONCATENATE(D1065," ",LEFT(H1065,4),"T=",AU1065,"D=",AV1065,"R=",AW1065,"M=",AX1065,"L=",AY1065,"B=",AZ1065)</f>
        <v/>
      </c>
      <c r="G1065" t="inlineStr">
        <is>
          <t>PAUL</t>
        </is>
      </c>
      <c r="I1065" t="inlineStr">
        <is>
          <t>1974-07-12</t>
        </is>
      </c>
      <c r="J1065" t="inlineStr">
        <is>
          <t>2023-08-17</t>
        </is>
      </c>
      <c r="K1065" t="inlineStr">
        <is>
          <t>ACTIVE</t>
        </is>
      </c>
      <c r="L1065" t="inlineStr">
        <is>
          <t>D</t>
        </is>
      </c>
      <c r="M1065" t="inlineStr">
        <is>
          <t>225 IDDINGS AVE SE</t>
        </is>
      </c>
      <c r="N1065">
        <f>RIGHT(M1065,LEN(M1065)-FIND(" ",M1065))</f>
        <v/>
      </c>
      <c r="P1065" t="inlineStr">
        <is>
          <t>WARREN</t>
        </is>
      </c>
      <c r="Q1065" t="inlineStr">
        <is>
          <t>OH</t>
        </is>
      </c>
      <c r="R1065" t="n">
        <v>44483</v>
      </c>
      <c r="AD1065" t="inlineStr">
        <is>
          <t>TRUMBULL CAREER &amp; TECH CENTER</t>
        </is>
      </c>
      <c r="AE1065" t="inlineStr">
        <is>
          <t>WARREN CITY</t>
        </is>
      </c>
      <c r="AF1065" t="inlineStr">
        <is>
          <t>WARREN CITY SD</t>
        </is>
      </c>
      <c r="AH1065" t="n">
        <v>14</v>
      </c>
      <c r="AI1065" t="n">
        <v>11</v>
      </c>
      <c r="AN1065" t="inlineStr">
        <is>
          <t>WARREN</t>
        </is>
      </c>
      <c r="AO1065" t="inlineStr">
        <is>
          <t>WARREN CITY 4A</t>
        </is>
      </c>
      <c r="AP1065" t="inlineStr">
        <is>
          <t>78-P-ADI</t>
        </is>
      </c>
      <c r="AQ1065" t="n">
        <v>9</v>
      </c>
      <c r="AR1065" t="n">
        <v>64</v>
      </c>
      <c r="AS1065" t="n">
        <v>32</v>
      </c>
      <c r="AU1065">
        <f>COUNTA($BA$1065:$EH$1065)</f>
        <v/>
      </c>
      <c r="AV1065">
        <f>COUNTIF($BA$1065:$EH$1065,"D")</f>
        <v/>
      </c>
      <c r="AW1065">
        <f>COUNTIF($BA$1065:$EH$1065,"R")</f>
        <v/>
      </c>
      <c r="AX1065">
        <f>IF(BN1065="D",1,0)+IF(BO1065="D",1,0)+IF(BT1065="D",1,0)+IF(BU1065="D",1,0)+IF(BW1065="D",1,0)+IF(CC1065="D",1,0)+IF(CD1065="D",1,0)+IF(CE1065="D",1,0)+IF(CF1065="D",1,0)+IF(CL1065="D",1,0)+IF(CM1065="D",1,0)+IF(CQ1065="D",1,0)+IF(CR1065="D",1,0)+IF(CS1065="D",1,0)+IF(CW1065="D",1,0)+IF(CX1065="D",1,0)+IF(DD1065="D",1,0)+IF(DE1065="D",1,0)+IF(DJ1065="D",1,0)+IF(DK1065="D",1,0)+IF(DO1065="D",1,0)+IF(DP1065="D",1,0)+IF(DQ1065="D",1,0)+IF(DW1065="D",1,0)+IF(DZ1065="D",1,0)+IF(EH1065="D",1,0)</f>
        <v/>
      </c>
      <c r="AY1065">
        <f>IF(DJ1065&lt;&gt;"",1,0)+IF(DK1065&lt;&gt;"",1,0)+IF(DM1065&lt;&gt;"",1,0)+IF(DO1065&lt;&gt;"",1,0)+IF(DP1065&lt;&gt;"",1,0)+IF(DQ1065&lt;&gt;"",1,0)+IF(DS1065&lt;&gt;"",1,0)+IF(DT1065&lt;&gt;"",1,0)+IF(DV1065&lt;&gt;"",1,0)+IF(DW1065&lt;&gt;"",1,0)+IF(DX1065&lt;&gt;"",1,0)+IF(DY1065&lt;&gt;"",1,0)+IF(DZ1065&lt;&gt;"",1,0)+IF(EB1065&lt;&gt;"",1,0)+IF(EC1065&lt;&gt;"",1,0)+IF(ED1065&lt;&gt;"",1,0)+IF(EG1065&lt;&gt;"",1,0)+IF(EH1065&lt;&gt;"",1,0)</f>
        <v/>
      </c>
      <c r="AZ1065">
        <f>IF(EH1065&lt;&gt;"",1,0)</f>
        <v/>
      </c>
      <c r="BB1065" t="inlineStr">
        <is>
          <t>WARREN-WARD 4</t>
        </is>
      </c>
      <c r="DN1065" t="inlineStr">
        <is>
          <t>X</t>
        </is>
      </c>
      <c r="EA1065" t="inlineStr">
        <is>
          <t>X</t>
        </is>
      </c>
      <c r="ED1065" t="inlineStr">
        <is>
          <t>D</t>
        </is>
      </c>
      <c r="EF1065" t="inlineStr">
        <is>
          <t>X</t>
        </is>
      </c>
    </row>
    <row r="1066">
      <c r="A1066" t="inlineStr">
        <is>
          <t>OH0025217203</t>
        </is>
      </c>
      <c r="B1066" t="n">
        <v>78</v>
      </c>
      <c r="C1066" t="n">
        <v>441539</v>
      </c>
      <c r="D1066" t="inlineStr">
        <is>
          <t>TAYALA</t>
        </is>
      </c>
      <c r="E1066" t="inlineStr">
        <is>
          <t>ROXANNE</t>
        </is>
      </c>
      <c r="F1066">
        <f>CONCATENATE(D1066," ",LEFT(H1066,4),"T=",AU1066,"D=",AV1066,"R=",AW1066,"M=",AX1066,"L=",AY1066,"B=",AZ1066)</f>
        <v/>
      </c>
      <c r="I1066" t="inlineStr">
        <is>
          <t>1963-03-18</t>
        </is>
      </c>
      <c r="J1066" t="inlineStr">
        <is>
          <t>2024-08-21</t>
        </is>
      </c>
      <c r="K1066" t="inlineStr">
        <is>
          <t>ACTIVE</t>
        </is>
      </c>
      <c r="M1066" t="inlineStr">
        <is>
          <t>335 LOGAN AVE SE</t>
        </is>
      </c>
      <c r="N1066">
        <f>RIGHT(M1066,LEN(M1066)-FIND(" ",M1066))</f>
        <v/>
      </c>
      <c r="P1066" t="inlineStr">
        <is>
          <t>WARREN</t>
        </is>
      </c>
      <c r="Q1066" t="inlineStr">
        <is>
          <t>OH</t>
        </is>
      </c>
      <c r="R1066" t="n">
        <v>44483</v>
      </c>
      <c r="AD1066" t="inlineStr">
        <is>
          <t>TRUMBULL CAREER &amp; TECH CENTER</t>
        </is>
      </c>
      <c r="AE1066" t="inlineStr">
        <is>
          <t>WARREN CITY</t>
        </is>
      </c>
      <c r="AF1066" t="inlineStr">
        <is>
          <t>WARREN CITY SD</t>
        </is>
      </c>
      <c r="AH1066" t="n">
        <v>14</v>
      </c>
      <c r="AI1066" t="n">
        <v>11</v>
      </c>
      <c r="AN1066" t="inlineStr">
        <is>
          <t>WARREN</t>
        </is>
      </c>
      <c r="AO1066" t="inlineStr">
        <is>
          <t>WARREN CITY 4A</t>
        </is>
      </c>
      <c r="AP1066" t="inlineStr">
        <is>
          <t>78-P-ADI</t>
        </is>
      </c>
      <c r="AQ1066" t="n">
        <v>9</v>
      </c>
      <c r="AR1066" t="n">
        <v>64</v>
      </c>
      <c r="AS1066" t="n">
        <v>32</v>
      </c>
      <c r="AU1066">
        <f>COUNTA($BA$1066:$EH$1066)</f>
        <v/>
      </c>
      <c r="AV1066">
        <f>COUNTIF($BA$1066:$EH$1066,"D")</f>
        <v/>
      </c>
      <c r="AW1066">
        <f>COUNTIF($BA$1066:$EH$1066,"R")</f>
        <v/>
      </c>
      <c r="AX1066">
        <f>IF(BN1066="D",1,0)+IF(BO1066="D",1,0)+IF(BT1066="D",1,0)+IF(BU1066="D",1,0)+IF(BW1066="D",1,0)+IF(CC1066="D",1,0)+IF(CD1066="D",1,0)+IF(CE1066="D",1,0)+IF(CF1066="D",1,0)+IF(CL1066="D",1,0)+IF(CM1066="D",1,0)+IF(CQ1066="D",1,0)+IF(CR1066="D",1,0)+IF(CS1066="D",1,0)+IF(CW1066="D",1,0)+IF(CX1066="D",1,0)+IF(DD1066="D",1,0)+IF(DE1066="D",1,0)+IF(DJ1066="D",1,0)+IF(DK1066="D",1,0)+IF(DO1066="D",1,0)+IF(DP1066="D",1,0)+IF(DQ1066="D",1,0)+IF(DW1066="D",1,0)+IF(DZ1066="D",1,0)+IF(EH1066="D",1,0)</f>
        <v/>
      </c>
      <c r="AY1066">
        <f>IF(DJ1066&lt;&gt;"",1,0)+IF(DK1066&lt;&gt;"",1,0)+IF(DM1066&lt;&gt;"",1,0)+IF(DO1066&lt;&gt;"",1,0)+IF(DP1066&lt;&gt;"",1,0)+IF(DQ1066&lt;&gt;"",1,0)+IF(DS1066&lt;&gt;"",1,0)+IF(DT1066&lt;&gt;"",1,0)+IF(DV1066&lt;&gt;"",1,0)+IF(DW1066&lt;&gt;"",1,0)+IF(DX1066&lt;&gt;"",1,0)+IF(DY1066&lt;&gt;"",1,0)+IF(DZ1066&lt;&gt;"",1,0)+IF(EB1066&lt;&gt;"",1,0)+IF(EC1066&lt;&gt;"",1,0)+IF(ED1066&lt;&gt;"",1,0)+IF(EG1066&lt;&gt;"",1,0)+IF(EH1066&lt;&gt;"",1,0)</f>
        <v/>
      </c>
      <c r="AZ1066">
        <f>IF(EH1066&lt;&gt;"",1,0)</f>
        <v/>
      </c>
      <c r="BB1066" t="inlineStr">
        <is>
          <t>WARREN-WARD 4</t>
        </is>
      </c>
      <c r="CP1066" t="inlineStr">
        <is>
          <t>X</t>
        </is>
      </c>
    </row>
    <row r="1067">
      <c r="A1067" t="inlineStr">
        <is>
          <t>OH0027510494</t>
        </is>
      </c>
      <c r="B1067" t="n">
        <v>78</v>
      </c>
      <c r="C1067" t="n">
        <v>487456</v>
      </c>
      <c r="D1067" t="inlineStr">
        <is>
          <t>KENMORE</t>
        </is>
      </c>
      <c r="E1067" t="inlineStr">
        <is>
          <t>JOHN</t>
        </is>
      </c>
      <c r="F1067">
        <f>CONCATENATE(D1067," ",LEFT(H1067,4),"T=",AU1067,"D=",AV1067,"R=",AW1067,"M=",AX1067,"L=",AY1067,"B=",AZ1067)</f>
        <v/>
      </c>
      <c r="G1067" t="inlineStr">
        <is>
          <t>T</t>
        </is>
      </c>
      <c r="I1067" t="inlineStr">
        <is>
          <t>1996-06-16</t>
        </is>
      </c>
      <c r="J1067" t="inlineStr">
        <is>
          <t>2024-08-05</t>
        </is>
      </c>
      <c r="K1067" t="inlineStr">
        <is>
          <t>CONFIRMATION</t>
        </is>
      </c>
      <c r="M1067" t="inlineStr">
        <is>
          <t>334 HOMEWOOD AVE SE</t>
        </is>
      </c>
      <c r="N1067">
        <f>RIGHT(M1067,LEN(M1067)-FIND(" ",M1067))</f>
        <v/>
      </c>
      <c r="P1067" t="inlineStr">
        <is>
          <t>WARREN</t>
        </is>
      </c>
      <c r="Q1067" t="inlineStr">
        <is>
          <t>OH</t>
        </is>
      </c>
      <c r="R1067" t="n">
        <v>44483</v>
      </c>
      <c r="AD1067" t="inlineStr">
        <is>
          <t>TRUMBULL CAREER &amp; TECH CENTER</t>
        </is>
      </c>
      <c r="AE1067" t="inlineStr">
        <is>
          <t>WARREN CITY</t>
        </is>
      </c>
      <c r="AF1067" t="inlineStr">
        <is>
          <t>WARREN CITY SD</t>
        </is>
      </c>
      <c r="AH1067" t="n">
        <v>14</v>
      </c>
      <c r="AI1067" t="n">
        <v>11</v>
      </c>
      <c r="AN1067" t="inlineStr">
        <is>
          <t>WARREN</t>
        </is>
      </c>
      <c r="AO1067" t="inlineStr">
        <is>
          <t>WARREN CITY 4A</t>
        </is>
      </c>
      <c r="AP1067" t="inlineStr">
        <is>
          <t>78-P-ADI</t>
        </is>
      </c>
      <c r="AQ1067" t="n">
        <v>9</v>
      </c>
      <c r="AR1067" t="n">
        <v>64</v>
      </c>
      <c r="AS1067" t="n">
        <v>32</v>
      </c>
      <c r="AU1067">
        <f>COUNTA($BA$1067:$EH$1067)</f>
        <v/>
      </c>
      <c r="AV1067">
        <f>COUNTIF($BA$1067:$EH$1067,"D")</f>
        <v/>
      </c>
      <c r="AW1067">
        <f>COUNTIF($BA$1067:$EH$1067,"R")</f>
        <v/>
      </c>
      <c r="AX1067">
        <f>IF(BN1067="D",1,0)+IF(BO1067="D",1,0)+IF(BT1067="D",1,0)+IF(BU1067="D",1,0)+IF(BW1067="D",1,0)+IF(CC1067="D",1,0)+IF(CD1067="D",1,0)+IF(CE1067="D",1,0)+IF(CF1067="D",1,0)+IF(CL1067="D",1,0)+IF(CM1067="D",1,0)+IF(CQ1067="D",1,0)+IF(CR1067="D",1,0)+IF(CS1067="D",1,0)+IF(CW1067="D",1,0)+IF(CX1067="D",1,0)+IF(DD1067="D",1,0)+IF(DE1067="D",1,0)+IF(DJ1067="D",1,0)+IF(DK1067="D",1,0)+IF(DO1067="D",1,0)+IF(DP1067="D",1,0)+IF(DQ1067="D",1,0)+IF(DW1067="D",1,0)+IF(DZ1067="D",1,0)+IF(EH1067="D",1,0)</f>
        <v/>
      </c>
      <c r="AY1067">
        <f>IF(DJ1067&lt;&gt;"",1,0)+IF(DK1067&lt;&gt;"",1,0)+IF(DM1067&lt;&gt;"",1,0)+IF(DO1067&lt;&gt;"",1,0)+IF(DP1067&lt;&gt;"",1,0)+IF(DQ1067&lt;&gt;"",1,0)+IF(DS1067&lt;&gt;"",1,0)+IF(DT1067&lt;&gt;"",1,0)+IF(DV1067&lt;&gt;"",1,0)+IF(DW1067&lt;&gt;"",1,0)+IF(DX1067&lt;&gt;"",1,0)+IF(DY1067&lt;&gt;"",1,0)+IF(DZ1067&lt;&gt;"",1,0)+IF(EB1067&lt;&gt;"",1,0)+IF(EC1067&lt;&gt;"",1,0)+IF(ED1067&lt;&gt;"",1,0)+IF(EG1067&lt;&gt;"",1,0)+IF(EH1067&lt;&gt;"",1,0)</f>
        <v/>
      </c>
      <c r="AZ1067">
        <f>IF(EH1067&lt;&gt;"",1,0)</f>
        <v/>
      </c>
      <c r="BB1067" t="inlineStr">
        <is>
          <t>WARREN-WARD 4</t>
        </is>
      </c>
    </row>
    <row r="1068">
      <c r="A1068" t="inlineStr">
        <is>
          <t>OH0021649749</t>
        </is>
      </c>
      <c r="B1068" t="n">
        <v>78</v>
      </c>
      <c r="C1068" t="n">
        <v>384105</v>
      </c>
      <c r="D1068" t="inlineStr">
        <is>
          <t>KRESEN</t>
        </is>
      </c>
      <c r="E1068" t="inlineStr">
        <is>
          <t>JOHN</t>
        </is>
      </c>
      <c r="F1068">
        <f>CONCATENATE(D1068," ",LEFT(H1068,4),"T=",AU1068,"D=",AV1068,"R=",AW1068,"M=",AX1068,"L=",AY1068,"B=",AZ1068)</f>
        <v/>
      </c>
      <c r="G1068" t="inlineStr">
        <is>
          <t>CARL</t>
        </is>
      </c>
      <c r="I1068" t="inlineStr">
        <is>
          <t>1958-02-12</t>
        </is>
      </c>
      <c r="J1068" t="inlineStr">
        <is>
          <t>2015-06-30</t>
        </is>
      </c>
      <c r="K1068" t="inlineStr">
        <is>
          <t>ACTIVE</t>
        </is>
      </c>
      <c r="M1068" t="inlineStr">
        <is>
          <t>491 HOMEWOOD AVE SE</t>
        </is>
      </c>
      <c r="N1068">
        <f>RIGHT(M1068,LEN(M1068)-FIND(" ",M1068))</f>
        <v/>
      </c>
      <c r="P1068" t="inlineStr">
        <is>
          <t>WARREN</t>
        </is>
      </c>
      <c r="Q1068" t="inlineStr">
        <is>
          <t>OH</t>
        </is>
      </c>
      <c r="R1068" t="n">
        <v>44483</v>
      </c>
      <c r="AD1068" t="inlineStr">
        <is>
          <t>TRUMBULL CAREER &amp; TECH CENTER</t>
        </is>
      </c>
      <c r="AE1068" t="inlineStr">
        <is>
          <t>WARREN CITY</t>
        </is>
      </c>
      <c r="AF1068" t="inlineStr">
        <is>
          <t>WARREN CITY SD</t>
        </is>
      </c>
      <c r="AH1068" t="n">
        <v>14</v>
      </c>
      <c r="AI1068" t="n">
        <v>11</v>
      </c>
      <c r="AN1068" t="inlineStr">
        <is>
          <t>WARREN</t>
        </is>
      </c>
      <c r="AO1068" t="inlineStr">
        <is>
          <t>WARREN CITY 4A</t>
        </is>
      </c>
      <c r="AP1068" t="inlineStr">
        <is>
          <t>78-P-ADI</t>
        </is>
      </c>
      <c r="AQ1068" t="n">
        <v>9</v>
      </c>
      <c r="AR1068" t="n">
        <v>64</v>
      </c>
      <c r="AS1068" t="n">
        <v>32</v>
      </c>
      <c r="AU1068">
        <f>COUNTA($BA$1068:$EH$1068)</f>
        <v/>
      </c>
      <c r="AV1068">
        <f>COUNTIF($BA$1068:$EH$1068,"D")</f>
        <v/>
      </c>
      <c r="AW1068">
        <f>COUNTIF($BA$1068:$EH$1068,"R")</f>
        <v/>
      </c>
      <c r="AX1068">
        <f>IF(BN1068="D",1,0)+IF(BO1068="D",1,0)+IF(BT1068="D",1,0)+IF(BU1068="D",1,0)+IF(BW1068="D",1,0)+IF(CC1068="D",1,0)+IF(CD1068="D",1,0)+IF(CE1068="D",1,0)+IF(CF1068="D",1,0)+IF(CL1068="D",1,0)+IF(CM1068="D",1,0)+IF(CQ1068="D",1,0)+IF(CR1068="D",1,0)+IF(CS1068="D",1,0)+IF(CW1068="D",1,0)+IF(CX1068="D",1,0)+IF(DD1068="D",1,0)+IF(DE1068="D",1,0)+IF(DJ1068="D",1,0)+IF(DK1068="D",1,0)+IF(DO1068="D",1,0)+IF(DP1068="D",1,0)+IF(DQ1068="D",1,0)+IF(DW1068="D",1,0)+IF(DZ1068="D",1,0)+IF(EH1068="D",1,0)</f>
        <v/>
      </c>
      <c r="AY1068">
        <f>IF(DJ1068&lt;&gt;"",1,0)+IF(DK1068&lt;&gt;"",1,0)+IF(DM1068&lt;&gt;"",1,0)+IF(DO1068&lt;&gt;"",1,0)+IF(DP1068&lt;&gt;"",1,0)+IF(DQ1068&lt;&gt;"",1,0)+IF(DS1068&lt;&gt;"",1,0)+IF(DT1068&lt;&gt;"",1,0)+IF(DV1068&lt;&gt;"",1,0)+IF(DW1068&lt;&gt;"",1,0)+IF(DX1068&lt;&gt;"",1,0)+IF(DY1068&lt;&gt;"",1,0)+IF(DZ1068&lt;&gt;"",1,0)+IF(EB1068&lt;&gt;"",1,0)+IF(EC1068&lt;&gt;"",1,0)+IF(ED1068&lt;&gt;"",1,0)+IF(EG1068&lt;&gt;"",1,0)+IF(EH1068&lt;&gt;"",1,0)</f>
        <v/>
      </c>
      <c r="AZ1068">
        <f>IF(EH1068&lt;&gt;"",1,0)</f>
        <v/>
      </c>
      <c r="BB1068" t="inlineStr">
        <is>
          <t>WARREN-WARD 4</t>
        </is>
      </c>
      <c r="CP1068" t="inlineStr">
        <is>
          <t>X</t>
        </is>
      </c>
      <c r="DC1068" t="inlineStr">
        <is>
          <t>X</t>
        </is>
      </c>
      <c r="DN1068" t="inlineStr">
        <is>
          <t>X</t>
        </is>
      </c>
      <c r="DU1068" t="inlineStr">
        <is>
          <t>X</t>
        </is>
      </c>
      <c r="EA1068" t="inlineStr">
        <is>
          <t>X</t>
        </is>
      </c>
      <c r="EF1068" t="inlineStr">
        <is>
          <t>X</t>
        </is>
      </c>
    </row>
    <row r="1069">
      <c r="A1069" t="inlineStr">
        <is>
          <t>OH0015724738</t>
        </is>
      </c>
      <c r="B1069" t="n">
        <v>78</v>
      </c>
      <c r="C1069" t="n">
        <v>208347</v>
      </c>
      <c r="D1069" t="inlineStr">
        <is>
          <t>LOGAN</t>
        </is>
      </c>
      <c r="E1069" t="inlineStr">
        <is>
          <t>SYLVIA</t>
        </is>
      </c>
      <c r="F1069">
        <f>CONCATENATE(D1069," ",LEFT(H1069,4),"T=",AU1069,"D=",AV1069,"R=",AW1069,"M=",AX1069,"L=",AY1069,"B=",AZ1069)</f>
        <v/>
      </c>
      <c r="G1069" t="inlineStr">
        <is>
          <t>JEAN</t>
        </is>
      </c>
      <c r="I1069" t="inlineStr">
        <is>
          <t>1953-09-09</t>
        </is>
      </c>
      <c r="J1069" t="inlineStr">
        <is>
          <t>2018-10-30</t>
        </is>
      </c>
      <c r="K1069" t="inlineStr">
        <is>
          <t>ACTIVE</t>
        </is>
      </c>
      <c r="M1069" t="inlineStr">
        <is>
          <t>732 KENILWORTH AVE SE</t>
        </is>
      </c>
      <c r="N1069">
        <f>RIGHT(M1069,LEN(M1069)-FIND(" ",M1069))</f>
        <v/>
      </c>
      <c r="P1069" t="inlineStr">
        <is>
          <t>WARREN</t>
        </is>
      </c>
      <c r="Q1069" t="inlineStr">
        <is>
          <t>OH</t>
        </is>
      </c>
      <c r="R1069" t="n">
        <v>44484</v>
      </c>
      <c r="AD1069" t="inlineStr">
        <is>
          <t>TRUMBULL CAREER &amp; TECH CENTER</t>
        </is>
      </c>
      <c r="AE1069" t="inlineStr">
        <is>
          <t>WARREN CITY</t>
        </is>
      </c>
      <c r="AF1069" t="inlineStr">
        <is>
          <t>WARREN CITY SD</t>
        </is>
      </c>
      <c r="AH1069" t="n">
        <v>14</v>
      </c>
      <c r="AI1069" t="n">
        <v>11</v>
      </c>
      <c r="AN1069" t="inlineStr">
        <is>
          <t>WARREN</t>
        </is>
      </c>
      <c r="AO1069" t="inlineStr">
        <is>
          <t>WARREN CITY 4A</t>
        </is>
      </c>
      <c r="AP1069" t="inlineStr">
        <is>
          <t>78-P-ADI</t>
        </is>
      </c>
      <c r="AQ1069" t="n">
        <v>9</v>
      </c>
      <c r="AR1069" t="n">
        <v>64</v>
      </c>
      <c r="AS1069" t="n">
        <v>32</v>
      </c>
      <c r="AU1069">
        <f>COUNTA($BA$1069:$EH$1069)</f>
        <v/>
      </c>
      <c r="AV1069">
        <f>COUNTIF($BA$1069:$EH$1069,"D")</f>
        <v/>
      </c>
      <c r="AW1069">
        <f>COUNTIF($BA$1069:$EH$1069,"R")</f>
        <v/>
      </c>
      <c r="AX1069">
        <f>IF(BN1069="D",1,0)+IF(BO1069="D",1,0)+IF(BT1069="D",1,0)+IF(BU1069="D",1,0)+IF(BW1069="D",1,0)+IF(CC1069="D",1,0)+IF(CD1069="D",1,0)+IF(CE1069="D",1,0)+IF(CF1069="D",1,0)+IF(CL1069="D",1,0)+IF(CM1069="D",1,0)+IF(CQ1069="D",1,0)+IF(CR1069="D",1,0)+IF(CS1069="D",1,0)+IF(CW1069="D",1,0)+IF(CX1069="D",1,0)+IF(DD1069="D",1,0)+IF(DE1069="D",1,0)+IF(DJ1069="D",1,0)+IF(DK1069="D",1,0)+IF(DO1069="D",1,0)+IF(DP1069="D",1,0)+IF(DQ1069="D",1,0)+IF(DW1069="D",1,0)+IF(DZ1069="D",1,0)+IF(EH1069="D",1,0)</f>
        <v/>
      </c>
      <c r="AY1069">
        <f>IF(DJ1069&lt;&gt;"",1,0)+IF(DK1069&lt;&gt;"",1,0)+IF(DM1069&lt;&gt;"",1,0)+IF(DO1069&lt;&gt;"",1,0)+IF(DP1069&lt;&gt;"",1,0)+IF(DQ1069&lt;&gt;"",1,0)+IF(DS1069&lt;&gt;"",1,0)+IF(DT1069&lt;&gt;"",1,0)+IF(DV1069&lt;&gt;"",1,0)+IF(DW1069&lt;&gt;"",1,0)+IF(DX1069&lt;&gt;"",1,0)+IF(DY1069&lt;&gt;"",1,0)+IF(DZ1069&lt;&gt;"",1,0)+IF(EB1069&lt;&gt;"",1,0)+IF(EC1069&lt;&gt;"",1,0)+IF(ED1069&lt;&gt;"",1,0)+IF(EG1069&lt;&gt;"",1,0)+IF(EH1069&lt;&gt;"",1,0)</f>
        <v/>
      </c>
      <c r="AZ1069">
        <f>IF(EH1069&lt;&gt;"",1,0)</f>
        <v/>
      </c>
      <c r="BB1069" t="inlineStr">
        <is>
          <t>WARREN-WARD 4</t>
        </is>
      </c>
      <c r="BG1069" t="inlineStr">
        <is>
          <t>X</t>
        </is>
      </c>
      <c r="BL1069" t="inlineStr">
        <is>
          <t>X</t>
        </is>
      </c>
      <c r="BY1069" t="inlineStr">
        <is>
          <t>D</t>
        </is>
      </c>
      <c r="CA1069" t="inlineStr">
        <is>
          <t>X</t>
        </is>
      </c>
      <c r="CK1069" t="inlineStr">
        <is>
          <t>X</t>
        </is>
      </c>
      <c r="CN1069" t="inlineStr">
        <is>
          <t>X</t>
        </is>
      </c>
      <c r="CP1069" t="inlineStr">
        <is>
          <t>X</t>
        </is>
      </c>
      <c r="CY1069" t="inlineStr">
        <is>
          <t>X</t>
        </is>
      </c>
      <c r="CZ1069" t="inlineStr">
        <is>
          <t>D</t>
        </is>
      </c>
      <c r="DC1069" t="inlineStr">
        <is>
          <t>X</t>
        </is>
      </c>
      <c r="DI1069" t="inlineStr">
        <is>
          <t>X</t>
        </is>
      </c>
      <c r="DN1069" t="inlineStr">
        <is>
          <t>X</t>
        </is>
      </c>
      <c r="DU1069" t="inlineStr">
        <is>
          <t>X</t>
        </is>
      </c>
      <c r="EA1069" t="inlineStr">
        <is>
          <t>X</t>
        </is>
      </c>
      <c r="EF1069" t="inlineStr">
        <is>
          <t>X</t>
        </is>
      </c>
    </row>
    <row r="1070">
      <c r="A1070" t="inlineStr">
        <is>
          <t>OH0015790336</t>
        </is>
      </c>
      <c r="B1070" t="n">
        <v>78</v>
      </c>
      <c r="C1070" t="n">
        <v>317084</v>
      </c>
      <c r="D1070" t="inlineStr">
        <is>
          <t>BLUE</t>
        </is>
      </c>
      <c r="E1070" t="inlineStr">
        <is>
          <t>SOMAYYOH</t>
        </is>
      </c>
      <c r="F1070">
        <f>CONCATENATE(D1070," ",LEFT(H1070,4),"T=",AU1070,"D=",AV1070,"R=",AW1070,"M=",AX1070,"L=",AY1070,"B=",AZ1070)</f>
        <v/>
      </c>
      <c r="G1070" t="inlineStr">
        <is>
          <t>N</t>
        </is>
      </c>
      <c r="I1070" t="inlineStr">
        <is>
          <t>1974-07-17</t>
        </is>
      </c>
      <c r="J1070" t="inlineStr">
        <is>
          <t>2022-11-30</t>
        </is>
      </c>
      <c r="K1070" t="inlineStr">
        <is>
          <t>ACTIVE</t>
        </is>
      </c>
      <c r="M1070" t="inlineStr">
        <is>
          <t>510 KENILWORTH AVE SE</t>
        </is>
      </c>
      <c r="N1070">
        <f>RIGHT(M1070,LEN(M1070)-FIND(" ",M1070))</f>
        <v/>
      </c>
      <c r="P1070" t="inlineStr">
        <is>
          <t>WARREN</t>
        </is>
      </c>
      <c r="Q1070" t="inlineStr">
        <is>
          <t>OH</t>
        </is>
      </c>
      <c r="R1070" t="n">
        <v>44483</v>
      </c>
      <c r="AD1070" t="inlineStr">
        <is>
          <t>TRUMBULL CAREER &amp; TECH CENTER</t>
        </is>
      </c>
      <c r="AE1070" t="inlineStr">
        <is>
          <t>WARREN CITY</t>
        </is>
      </c>
      <c r="AF1070" t="inlineStr">
        <is>
          <t>WARREN CITY SD</t>
        </is>
      </c>
      <c r="AH1070" t="n">
        <v>14</v>
      </c>
      <c r="AI1070" t="n">
        <v>11</v>
      </c>
      <c r="AN1070" t="inlineStr">
        <is>
          <t>WARREN</t>
        </is>
      </c>
      <c r="AO1070" t="inlineStr">
        <is>
          <t>WARREN CITY 4A</t>
        </is>
      </c>
      <c r="AP1070" t="inlineStr">
        <is>
          <t>78-P-ADI</t>
        </is>
      </c>
      <c r="AQ1070" t="n">
        <v>9</v>
      </c>
      <c r="AR1070" t="n">
        <v>64</v>
      </c>
      <c r="AS1070" t="n">
        <v>32</v>
      </c>
      <c r="AU1070">
        <f>COUNTA($BA$1070:$EH$1070)</f>
        <v/>
      </c>
      <c r="AV1070">
        <f>COUNTIF($BA$1070:$EH$1070,"D")</f>
        <v/>
      </c>
      <c r="AW1070">
        <f>COUNTIF($BA$1070:$EH$1070,"R")</f>
        <v/>
      </c>
      <c r="AX1070">
        <f>IF(BN1070="D",1,0)+IF(BO1070="D",1,0)+IF(BT1070="D",1,0)+IF(BU1070="D",1,0)+IF(BW1070="D",1,0)+IF(CC1070="D",1,0)+IF(CD1070="D",1,0)+IF(CE1070="D",1,0)+IF(CF1070="D",1,0)+IF(CL1070="D",1,0)+IF(CM1070="D",1,0)+IF(CQ1070="D",1,0)+IF(CR1070="D",1,0)+IF(CS1070="D",1,0)+IF(CW1070="D",1,0)+IF(CX1070="D",1,0)+IF(DD1070="D",1,0)+IF(DE1070="D",1,0)+IF(DJ1070="D",1,0)+IF(DK1070="D",1,0)+IF(DO1070="D",1,0)+IF(DP1070="D",1,0)+IF(DQ1070="D",1,0)+IF(DW1070="D",1,0)+IF(DZ1070="D",1,0)+IF(EH1070="D",1,0)</f>
        <v/>
      </c>
      <c r="AY1070">
        <f>IF(DJ1070&lt;&gt;"",1,0)+IF(DK1070&lt;&gt;"",1,0)+IF(DM1070&lt;&gt;"",1,0)+IF(DO1070&lt;&gt;"",1,0)+IF(DP1070&lt;&gt;"",1,0)+IF(DQ1070&lt;&gt;"",1,0)+IF(DS1070&lt;&gt;"",1,0)+IF(DT1070&lt;&gt;"",1,0)+IF(DV1070&lt;&gt;"",1,0)+IF(DW1070&lt;&gt;"",1,0)+IF(DX1070&lt;&gt;"",1,0)+IF(DY1070&lt;&gt;"",1,0)+IF(DZ1070&lt;&gt;"",1,0)+IF(EB1070&lt;&gt;"",1,0)+IF(EC1070&lt;&gt;"",1,0)+IF(ED1070&lt;&gt;"",1,0)+IF(EG1070&lt;&gt;"",1,0)+IF(EH1070&lt;&gt;"",1,0)</f>
        <v/>
      </c>
      <c r="AZ1070">
        <f>IF(EH1070&lt;&gt;"",1,0)</f>
        <v/>
      </c>
      <c r="BB1070" t="inlineStr">
        <is>
          <t>WARREN-WARD 4</t>
        </is>
      </c>
      <c r="BL1070" t="inlineStr">
        <is>
          <t>X</t>
        </is>
      </c>
      <c r="BR1070" t="inlineStr">
        <is>
          <t>X</t>
        </is>
      </c>
      <c r="BS1070" t="inlineStr">
        <is>
          <t>X</t>
        </is>
      </c>
      <c r="BY1070" t="inlineStr">
        <is>
          <t>D</t>
        </is>
      </c>
      <c r="CA1070" t="inlineStr">
        <is>
          <t>X</t>
        </is>
      </c>
      <c r="CK1070" t="inlineStr">
        <is>
          <t>X</t>
        </is>
      </c>
      <c r="CL1070" t="inlineStr">
        <is>
          <t>D</t>
        </is>
      </c>
      <c r="CN1070" t="inlineStr">
        <is>
          <t>X</t>
        </is>
      </c>
      <c r="CP1070" t="inlineStr">
        <is>
          <t>X</t>
        </is>
      </c>
      <c r="CZ1070" t="inlineStr">
        <is>
          <t>D</t>
        </is>
      </c>
      <c r="DC1070" t="inlineStr">
        <is>
          <t>X</t>
        </is>
      </c>
      <c r="DI1070" t="inlineStr">
        <is>
          <t>X</t>
        </is>
      </c>
      <c r="DN1070" t="inlineStr">
        <is>
          <t>X</t>
        </is>
      </c>
      <c r="DU1070" t="inlineStr">
        <is>
          <t>X</t>
        </is>
      </c>
      <c r="EF1070" t="inlineStr">
        <is>
          <t>X</t>
        </is>
      </c>
    </row>
    <row r="1071">
      <c r="A1071" t="inlineStr">
        <is>
          <t>OH0027492151</t>
        </is>
      </c>
      <c r="B1071" t="n">
        <v>78</v>
      </c>
      <c r="C1071" t="n">
        <v>486944</v>
      </c>
      <c r="D1071" t="inlineStr">
        <is>
          <t>JOHNSON</t>
        </is>
      </c>
      <c r="E1071" t="inlineStr">
        <is>
          <t>CEDRIAWNA</t>
        </is>
      </c>
      <c r="F1071">
        <f>CONCATENATE(D1071," ",LEFT(H1071,4),"T=",AU1071,"D=",AV1071,"R=",AW1071,"M=",AX1071,"L=",AY1071,"B=",AZ1071)</f>
        <v/>
      </c>
      <c r="G1071" t="inlineStr">
        <is>
          <t>N</t>
        </is>
      </c>
      <c r="I1071" t="inlineStr">
        <is>
          <t>2000-07-24</t>
        </is>
      </c>
      <c r="J1071" t="inlineStr">
        <is>
          <t>2024-08-01</t>
        </is>
      </c>
      <c r="K1071" t="inlineStr">
        <is>
          <t>ACTIVE</t>
        </is>
      </c>
      <c r="M1071" t="inlineStr">
        <is>
          <t>796 KENILWORTH AVE SE</t>
        </is>
      </c>
      <c r="N1071">
        <f>RIGHT(M1071,LEN(M1071)-FIND(" ",M1071))</f>
        <v/>
      </c>
      <c r="P1071" t="inlineStr">
        <is>
          <t>WARREN</t>
        </is>
      </c>
      <c r="Q1071" t="inlineStr">
        <is>
          <t>OH</t>
        </is>
      </c>
      <c r="R1071" t="n">
        <v>44484</v>
      </c>
      <c r="AD1071" t="inlineStr">
        <is>
          <t>TRUMBULL CAREER &amp; TECH CENTER</t>
        </is>
      </c>
      <c r="AE1071" t="inlineStr">
        <is>
          <t>WARREN CITY</t>
        </is>
      </c>
      <c r="AF1071" t="inlineStr">
        <is>
          <t>WARREN CITY SD</t>
        </is>
      </c>
      <c r="AH1071" t="n">
        <v>14</v>
      </c>
      <c r="AI1071" t="n">
        <v>11</v>
      </c>
      <c r="AN1071" t="inlineStr">
        <is>
          <t>WARREN</t>
        </is>
      </c>
      <c r="AO1071" t="inlineStr">
        <is>
          <t>WARREN CITY 4A</t>
        </is>
      </c>
      <c r="AP1071" t="inlineStr">
        <is>
          <t>78-P-ADI</t>
        </is>
      </c>
      <c r="AQ1071" t="n">
        <v>9</v>
      </c>
      <c r="AR1071" t="n">
        <v>64</v>
      </c>
      <c r="AS1071" t="n">
        <v>32</v>
      </c>
      <c r="AU1071">
        <f>COUNTA($BA$1071:$EH$1071)</f>
        <v/>
      </c>
      <c r="AV1071">
        <f>COUNTIF($BA$1071:$EH$1071,"D")</f>
        <v/>
      </c>
      <c r="AW1071">
        <f>COUNTIF($BA$1071:$EH$1071,"R")</f>
        <v/>
      </c>
      <c r="AX1071">
        <f>IF(BN1071="D",1,0)+IF(BO1071="D",1,0)+IF(BT1071="D",1,0)+IF(BU1071="D",1,0)+IF(BW1071="D",1,0)+IF(CC1071="D",1,0)+IF(CD1071="D",1,0)+IF(CE1071="D",1,0)+IF(CF1071="D",1,0)+IF(CL1071="D",1,0)+IF(CM1071="D",1,0)+IF(CQ1071="D",1,0)+IF(CR1071="D",1,0)+IF(CS1071="D",1,0)+IF(CW1071="D",1,0)+IF(CX1071="D",1,0)+IF(DD1071="D",1,0)+IF(DE1071="D",1,0)+IF(DJ1071="D",1,0)+IF(DK1071="D",1,0)+IF(DO1071="D",1,0)+IF(DP1071="D",1,0)+IF(DQ1071="D",1,0)+IF(DW1071="D",1,0)+IF(DZ1071="D",1,0)+IF(EH1071="D",1,0)</f>
        <v/>
      </c>
      <c r="AY1071">
        <f>IF(DJ1071&lt;&gt;"",1,0)+IF(DK1071&lt;&gt;"",1,0)+IF(DM1071&lt;&gt;"",1,0)+IF(DO1071&lt;&gt;"",1,0)+IF(DP1071&lt;&gt;"",1,0)+IF(DQ1071&lt;&gt;"",1,0)+IF(DS1071&lt;&gt;"",1,0)+IF(DT1071&lt;&gt;"",1,0)+IF(DV1071&lt;&gt;"",1,0)+IF(DW1071&lt;&gt;"",1,0)+IF(DX1071&lt;&gt;"",1,0)+IF(DY1071&lt;&gt;"",1,0)+IF(DZ1071&lt;&gt;"",1,0)+IF(EB1071&lt;&gt;"",1,0)+IF(EC1071&lt;&gt;"",1,0)+IF(ED1071&lt;&gt;"",1,0)+IF(EG1071&lt;&gt;"",1,0)+IF(EH1071&lt;&gt;"",1,0)</f>
        <v/>
      </c>
      <c r="AZ1071">
        <f>IF(EH1071&lt;&gt;"",1,0)</f>
        <v/>
      </c>
      <c r="BB1071" t="inlineStr">
        <is>
          <t>WARREN-WARD 4</t>
        </is>
      </c>
    </row>
    <row r="1072">
      <c r="A1072" t="inlineStr">
        <is>
          <t>OH0015729266</t>
        </is>
      </c>
      <c r="B1072" t="n">
        <v>78</v>
      </c>
      <c r="C1072" t="n">
        <v>216122</v>
      </c>
      <c r="D1072" t="inlineStr">
        <is>
          <t>SPITLER</t>
        </is>
      </c>
      <c r="E1072" t="inlineStr">
        <is>
          <t>JAMES</t>
        </is>
      </c>
      <c r="F1072">
        <f>CONCATENATE(D1072," ",LEFT(H1072,4),"T=",AU1072,"D=",AV1072,"R=",AW1072,"M=",AX1072,"L=",AY1072,"B=",AZ1072)</f>
        <v/>
      </c>
      <c r="G1072" t="inlineStr">
        <is>
          <t>EDWARD</t>
        </is>
      </c>
      <c r="H1072" t="inlineStr">
        <is>
          <t>JR</t>
        </is>
      </c>
      <c r="I1072" t="inlineStr">
        <is>
          <t>1971-05-19</t>
        </is>
      </c>
      <c r="J1072" t="inlineStr">
        <is>
          <t>2024-08-24</t>
        </is>
      </c>
      <c r="K1072" t="inlineStr">
        <is>
          <t>ACTIVE</t>
        </is>
      </c>
      <c r="M1072" t="inlineStr">
        <is>
          <t>770 BONNIE BRAE AVE SE</t>
        </is>
      </c>
      <c r="N1072">
        <f>RIGHT(M1072,LEN(M1072)-FIND(" ",M1072))</f>
        <v/>
      </c>
      <c r="P1072" t="inlineStr">
        <is>
          <t>WARREN</t>
        </is>
      </c>
      <c r="Q1072" t="inlineStr">
        <is>
          <t>OH</t>
        </is>
      </c>
      <c r="R1072" t="n">
        <v>44484</v>
      </c>
      <c r="AD1072" t="inlineStr">
        <is>
          <t>TRUMBULL CAREER &amp; TECH CENTER</t>
        </is>
      </c>
      <c r="AE1072" t="inlineStr">
        <is>
          <t>WARREN CITY</t>
        </is>
      </c>
      <c r="AF1072" t="inlineStr">
        <is>
          <t>WARREN CITY SD</t>
        </is>
      </c>
      <c r="AH1072" t="n">
        <v>14</v>
      </c>
      <c r="AI1072" t="n">
        <v>11</v>
      </c>
      <c r="AN1072" t="inlineStr">
        <is>
          <t>WARREN</t>
        </is>
      </c>
      <c r="AO1072" t="inlineStr">
        <is>
          <t>WARREN CITY 4A</t>
        </is>
      </c>
      <c r="AP1072" t="inlineStr">
        <is>
          <t>78-P-ADI</t>
        </is>
      </c>
      <c r="AQ1072" t="n">
        <v>9</v>
      </c>
      <c r="AR1072" t="n">
        <v>64</v>
      </c>
      <c r="AS1072" t="n">
        <v>32</v>
      </c>
      <c r="AU1072">
        <f>COUNTA($BA$1072:$EH$1072)</f>
        <v/>
      </c>
      <c r="AV1072">
        <f>COUNTIF($BA$1072:$EH$1072,"D")</f>
        <v/>
      </c>
      <c r="AW1072">
        <f>COUNTIF($BA$1072:$EH$1072,"R")</f>
        <v/>
      </c>
      <c r="AX1072">
        <f>IF(BN1072="D",1,0)+IF(BO1072="D",1,0)+IF(BT1072="D",1,0)+IF(BU1072="D",1,0)+IF(BW1072="D",1,0)+IF(CC1072="D",1,0)+IF(CD1072="D",1,0)+IF(CE1072="D",1,0)+IF(CF1072="D",1,0)+IF(CL1072="D",1,0)+IF(CM1072="D",1,0)+IF(CQ1072="D",1,0)+IF(CR1072="D",1,0)+IF(CS1072="D",1,0)+IF(CW1072="D",1,0)+IF(CX1072="D",1,0)+IF(DD1072="D",1,0)+IF(DE1072="D",1,0)+IF(DJ1072="D",1,0)+IF(DK1072="D",1,0)+IF(DO1072="D",1,0)+IF(DP1072="D",1,0)+IF(DQ1072="D",1,0)+IF(DW1072="D",1,0)+IF(DZ1072="D",1,0)+IF(EH1072="D",1,0)</f>
        <v/>
      </c>
      <c r="AY1072">
        <f>IF(DJ1072&lt;&gt;"",1,0)+IF(DK1072&lt;&gt;"",1,0)+IF(DM1072&lt;&gt;"",1,0)+IF(DO1072&lt;&gt;"",1,0)+IF(DP1072&lt;&gt;"",1,0)+IF(DQ1072&lt;&gt;"",1,0)+IF(DS1072&lt;&gt;"",1,0)+IF(DT1072&lt;&gt;"",1,0)+IF(DV1072&lt;&gt;"",1,0)+IF(DW1072&lt;&gt;"",1,0)+IF(DX1072&lt;&gt;"",1,0)+IF(DY1072&lt;&gt;"",1,0)+IF(DZ1072&lt;&gt;"",1,0)+IF(EB1072&lt;&gt;"",1,0)+IF(EC1072&lt;&gt;"",1,0)+IF(ED1072&lt;&gt;"",1,0)+IF(EG1072&lt;&gt;"",1,0)+IF(EH1072&lt;&gt;"",1,0)</f>
        <v/>
      </c>
      <c r="AZ1072">
        <f>IF(EH1072&lt;&gt;"",1,0)</f>
        <v/>
      </c>
      <c r="BB1072" t="inlineStr">
        <is>
          <t>WARREN-WARD 4</t>
        </is>
      </c>
      <c r="BD1072" t="inlineStr">
        <is>
          <t>X</t>
        </is>
      </c>
      <c r="BH1072" t="inlineStr">
        <is>
          <t>X</t>
        </is>
      </c>
      <c r="BJ1072" t="inlineStr">
        <is>
          <t>X</t>
        </is>
      </c>
      <c r="BL1072" t="inlineStr">
        <is>
          <t>X</t>
        </is>
      </c>
      <c r="BS1072" t="inlineStr">
        <is>
          <t>X</t>
        </is>
      </c>
      <c r="CN1072" t="inlineStr">
        <is>
          <t>X</t>
        </is>
      </c>
      <c r="CP1072" t="inlineStr">
        <is>
          <t>X</t>
        </is>
      </c>
      <c r="CZ1072" t="inlineStr">
        <is>
          <t>R</t>
        </is>
      </c>
      <c r="DC1072" t="inlineStr">
        <is>
          <t>X</t>
        </is>
      </c>
      <c r="DI1072" t="inlineStr">
        <is>
          <t>X</t>
        </is>
      </c>
      <c r="DL1072" t="inlineStr">
        <is>
          <t>X</t>
        </is>
      </c>
      <c r="DN1072" t="inlineStr">
        <is>
          <t>X</t>
        </is>
      </c>
      <c r="EF1072" t="inlineStr">
        <is>
          <t>X</t>
        </is>
      </c>
    </row>
    <row r="1073">
      <c r="A1073" t="inlineStr">
        <is>
          <t>OH0025737816</t>
        </is>
      </c>
      <c r="B1073" t="n">
        <v>78</v>
      </c>
      <c r="C1073" t="n">
        <v>449661</v>
      </c>
      <c r="D1073" t="inlineStr">
        <is>
          <t>CHIN</t>
        </is>
      </c>
      <c r="E1073" t="inlineStr">
        <is>
          <t>JADE</t>
        </is>
      </c>
      <c r="F1073">
        <f>CONCATENATE(D1073," ",LEFT(H1073,4),"T=",AU1073,"D=",AV1073,"R=",AW1073,"M=",AX1073,"L=",AY1073,"B=",AZ1073)</f>
        <v/>
      </c>
      <c r="G1073" t="inlineStr">
        <is>
          <t>LI</t>
        </is>
      </c>
      <c r="I1073" t="inlineStr">
        <is>
          <t>2002-01-26</t>
        </is>
      </c>
      <c r="J1073" t="inlineStr">
        <is>
          <t>2020-08-12</t>
        </is>
      </c>
      <c r="K1073" t="inlineStr">
        <is>
          <t>ACTIVE</t>
        </is>
      </c>
      <c r="M1073" t="inlineStr">
        <is>
          <t>796 EAST AVE SE</t>
        </is>
      </c>
      <c r="N1073">
        <f>RIGHT(M1073,LEN(M1073)-FIND(" ",M1073))</f>
        <v/>
      </c>
      <c r="P1073" t="inlineStr">
        <is>
          <t>WARREN</t>
        </is>
      </c>
      <c r="Q1073" t="inlineStr">
        <is>
          <t>OH</t>
        </is>
      </c>
      <c r="R1073" t="n">
        <v>44484</v>
      </c>
      <c r="AD1073" t="inlineStr">
        <is>
          <t>TRUMBULL CAREER &amp; TECH CENTER</t>
        </is>
      </c>
      <c r="AE1073" t="inlineStr">
        <is>
          <t>WARREN CITY</t>
        </is>
      </c>
      <c r="AF1073" t="inlineStr">
        <is>
          <t>WARREN CITY SD</t>
        </is>
      </c>
      <c r="AH1073" t="n">
        <v>14</v>
      </c>
      <c r="AI1073" t="n">
        <v>11</v>
      </c>
      <c r="AN1073" t="inlineStr">
        <is>
          <t>WARREN</t>
        </is>
      </c>
      <c r="AO1073" t="inlineStr">
        <is>
          <t>WARREN CITY 4A</t>
        </is>
      </c>
      <c r="AP1073" t="inlineStr">
        <is>
          <t>78-P-ADI</t>
        </is>
      </c>
      <c r="AQ1073" t="n">
        <v>9</v>
      </c>
      <c r="AR1073" t="n">
        <v>64</v>
      </c>
      <c r="AS1073" t="n">
        <v>32</v>
      </c>
      <c r="AU1073">
        <f>COUNTA($BA$1073:$EH$1073)</f>
        <v/>
      </c>
      <c r="AV1073">
        <f>COUNTIF($BA$1073:$EH$1073,"D")</f>
        <v/>
      </c>
      <c r="AW1073">
        <f>COUNTIF($BA$1073:$EH$1073,"R")</f>
        <v/>
      </c>
      <c r="AX1073">
        <f>IF(BN1073="D",1,0)+IF(BO1073="D",1,0)+IF(BT1073="D",1,0)+IF(BU1073="D",1,0)+IF(BW1073="D",1,0)+IF(CC1073="D",1,0)+IF(CD1073="D",1,0)+IF(CE1073="D",1,0)+IF(CF1073="D",1,0)+IF(CL1073="D",1,0)+IF(CM1073="D",1,0)+IF(CQ1073="D",1,0)+IF(CR1073="D",1,0)+IF(CS1073="D",1,0)+IF(CW1073="D",1,0)+IF(CX1073="D",1,0)+IF(DD1073="D",1,0)+IF(DE1073="D",1,0)+IF(DJ1073="D",1,0)+IF(DK1073="D",1,0)+IF(DO1073="D",1,0)+IF(DP1073="D",1,0)+IF(DQ1073="D",1,0)+IF(DW1073="D",1,0)+IF(DZ1073="D",1,0)+IF(EH1073="D",1,0)</f>
        <v/>
      </c>
      <c r="AY1073">
        <f>IF(DJ1073&lt;&gt;"",1,0)+IF(DK1073&lt;&gt;"",1,0)+IF(DM1073&lt;&gt;"",1,0)+IF(DO1073&lt;&gt;"",1,0)+IF(DP1073&lt;&gt;"",1,0)+IF(DQ1073&lt;&gt;"",1,0)+IF(DS1073&lt;&gt;"",1,0)+IF(DT1073&lt;&gt;"",1,0)+IF(DV1073&lt;&gt;"",1,0)+IF(DW1073&lt;&gt;"",1,0)+IF(DX1073&lt;&gt;"",1,0)+IF(DY1073&lt;&gt;"",1,0)+IF(DZ1073&lt;&gt;"",1,0)+IF(EB1073&lt;&gt;"",1,0)+IF(EC1073&lt;&gt;"",1,0)+IF(ED1073&lt;&gt;"",1,0)+IF(EG1073&lt;&gt;"",1,0)+IF(EH1073&lt;&gt;"",1,0)</f>
        <v/>
      </c>
      <c r="AZ1073">
        <f>IF(EH1073&lt;&gt;"",1,0)</f>
        <v/>
      </c>
      <c r="BB1073" t="inlineStr">
        <is>
          <t>WARREN-WARD 4</t>
        </is>
      </c>
    </row>
    <row r="1074">
      <c r="A1074" t="inlineStr">
        <is>
          <t>OH0015687654</t>
        </is>
      </c>
      <c r="B1074" t="n">
        <v>78</v>
      </c>
      <c r="C1074" t="n">
        <v>12741</v>
      </c>
      <c r="D1074" t="inlineStr">
        <is>
          <t>MONTECALVO</t>
        </is>
      </c>
      <c r="E1074" t="inlineStr">
        <is>
          <t>MARY</t>
        </is>
      </c>
      <c r="F1074">
        <f>CONCATENATE(D1074," ",LEFT(H1074,4),"T=",AU1074,"D=",AV1074,"R=",AW1074,"M=",AX1074,"L=",AY1074,"B=",AZ1074)</f>
        <v/>
      </c>
      <c r="G1074" t="inlineStr">
        <is>
          <t>ANN</t>
        </is>
      </c>
      <c r="I1074" t="inlineStr">
        <is>
          <t>1954-02-09</t>
        </is>
      </c>
      <c r="J1074" t="inlineStr">
        <is>
          <t>1976-04-06</t>
        </is>
      </c>
      <c r="K1074" t="inlineStr">
        <is>
          <t>ACTIVE</t>
        </is>
      </c>
      <c r="L1074" t="inlineStr">
        <is>
          <t>D</t>
        </is>
      </c>
      <c r="M1074" t="inlineStr">
        <is>
          <t>715 OAK KNOLL AVE SE</t>
        </is>
      </c>
      <c r="N1074">
        <f>RIGHT(M1074,LEN(M1074)-FIND(" ",M1074))</f>
        <v/>
      </c>
      <c r="P1074" t="inlineStr">
        <is>
          <t>WARREN</t>
        </is>
      </c>
      <c r="Q1074" t="inlineStr">
        <is>
          <t>OH</t>
        </is>
      </c>
      <c r="R1074" t="n">
        <v>44484</v>
      </c>
      <c r="AD1074" t="inlineStr">
        <is>
          <t>TRUMBULL CAREER &amp; TECH CENTER</t>
        </is>
      </c>
      <c r="AE1074" t="inlineStr">
        <is>
          <t>WARREN CITY</t>
        </is>
      </c>
      <c r="AF1074" t="inlineStr">
        <is>
          <t>WARREN CITY SD</t>
        </is>
      </c>
      <c r="AH1074" t="n">
        <v>14</v>
      </c>
      <c r="AI1074" t="n">
        <v>11</v>
      </c>
      <c r="AN1074" t="inlineStr">
        <is>
          <t>WARREN</t>
        </is>
      </c>
      <c r="AO1074" t="inlineStr">
        <is>
          <t>WARREN CITY 4A</t>
        </is>
      </c>
      <c r="AP1074" t="inlineStr">
        <is>
          <t>78-P-ADI</t>
        </is>
      </c>
      <c r="AQ1074" t="n">
        <v>9</v>
      </c>
      <c r="AR1074" t="n">
        <v>64</v>
      </c>
      <c r="AS1074" t="n">
        <v>32</v>
      </c>
      <c r="AU1074">
        <f>COUNTA($BA$1074:$EH$1074)</f>
        <v/>
      </c>
      <c r="AV1074">
        <f>COUNTIF($BA$1074:$EH$1074,"D")</f>
        <v/>
      </c>
      <c r="AW1074">
        <f>COUNTIF($BA$1074:$EH$1074,"R")</f>
        <v/>
      </c>
      <c r="AX1074">
        <f>IF(BN1074="D",1,0)+IF(BO1074="D",1,0)+IF(BT1074="D",1,0)+IF(BU1074="D",1,0)+IF(BW1074="D",1,0)+IF(CC1074="D",1,0)+IF(CD1074="D",1,0)+IF(CE1074="D",1,0)+IF(CF1074="D",1,0)+IF(CL1074="D",1,0)+IF(CM1074="D",1,0)+IF(CQ1074="D",1,0)+IF(CR1074="D",1,0)+IF(CS1074="D",1,0)+IF(CW1074="D",1,0)+IF(CX1074="D",1,0)+IF(DD1074="D",1,0)+IF(DE1074="D",1,0)+IF(DJ1074="D",1,0)+IF(DK1074="D",1,0)+IF(DO1074="D",1,0)+IF(DP1074="D",1,0)+IF(DQ1074="D",1,0)+IF(DW1074="D",1,0)+IF(DZ1074="D",1,0)+IF(EH1074="D",1,0)</f>
        <v/>
      </c>
      <c r="AY1074">
        <f>IF(DJ1074&lt;&gt;"",1,0)+IF(DK1074&lt;&gt;"",1,0)+IF(DM1074&lt;&gt;"",1,0)+IF(DO1074&lt;&gt;"",1,0)+IF(DP1074&lt;&gt;"",1,0)+IF(DQ1074&lt;&gt;"",1,0)+IF(DS1074&lt;&gt;"",1,0)+IF(DT1074&lt;&gt;"",1,0)+IF(DV1074&lt;&gt;"",1,0)+IF(DW1074&lt;&gt;"",1,0)+IF(DX1074&lt;&gt;"",1,0)+IF(DY1074&lt;&gt;"",1,0)+IF(DZ1074&lt;&gt;"",1,0)+IF(EB1074&lt;&gt;"",1,0)+IF(EC1074&lt;&gt;"",1,0)+IF(ED1074&lt;&gt;"",1,0)+IF(EG1074&lt;&gt;"",1,0)+IF(EH1074&lt;&gt;"",1,0)</f>
        <v/>
      </c>
      <c r="AZ1074">
        <f>IF(EH1074&lt;&gt;"",1,0)</f>
        <v/>
      </c>
      <c r="BB1074" t="inlineStr">
        <is>
          <t>WARREN-WARD 4</t>
        </is>
      </c>
      <c r="BC1074" t="inlineStr">
        <is>
          <t>X</t>
        </is>
      </c>
      <c r="BD1074" t="inlineStr">
        <is>
          <t>X</t>
        </is>
      </c>
      <c r="BE1074" t="inlineStr">
        <is>
          <t>X</t>
        </is>
      </c>
      <c r="BF1074" t="inlineStr">
        <is>
          <t>X</t>
        </is>
      </c>
      <c r="BI1074" t="inlineStr">
        <is>
          <t>X</t>
        </is>
      </c>
      <c r="BJ1074" t="inlineStr">
        <is>
          <t>X</t>
        </is>
      </c>
      <c r="BK1074" t="inlineStr">
        <is>
          <t>X</t>
        </is>
      </c>
      <c r="BL1074" t="inlineStr">
        <is>
          <t>X</t>
        </is>
      </c>
      <c r="BP1074" t="inlineStr">
        <is>
          <t>X</t>
        </is>
      </c>
      <c r="BS1074" t="inlineStr">
        <is>
          <t>X</t>
        </is>
      </c>
      <c r="CA1074" t="inlineStr">
        <is>
          <t>X</t>
        </is>
      </c>
      <c r="CL1074" t="inlineStr">
        <is>
          <t>D</t>
        </is>
      </c>
      <c r="CP1074" t="inlineStr">
        <is>
          <t>X</t>
        </is>
      </c>
      <c r="CU1074" t="inlineStr">
        <is>
          <t>D</t>
        </is>
      </c>
      <c r="CW1074" t="inlineStr">
        <is>
          <t>D</t>
        </is>
      </c>
      <c r="CY1074" t="inlineStr">
        <is>
          <t>X</t>
        </is>
      </c>
      <c r="DC1074" t="inlineStr">
        <is>
          <t>X</t>
        </is>
      </c>
      <c r="DD1074" t="inlineStr">
        <is>
          <t>D</t>
        </is>
      </c>
      <c r="DS1074" t="inlineStr">
        <is>
          <t>D</t>
        </is>
      </c>
      <c r="DU1074" t="inlineStr">
        <is>
          <t>X</t>
        </is>
      </c>
      <c r="DX1074" t="inlineStr">
        <is>
          <t>X</t>
        </is>
      </c>
      <c r="EA1074" t="inlineStr">
        <is>
          <t>X</t>
        </is>
      </c>
      <c r="ED1074" t="inlineStr">
        <is>
          <t>D</t>
        </is>
      </c>
      <c r="EF1074" t="inlineStr">
        <is>
          <t>X</t>
        </is>
      </c>
      <c r="EH1074" t="inlineStr">
        <is>
          <t>D</t>
        </is>
      </c>
    </row>
    <row r="1075">
      <c r="A1075" t="inlineStr">
        <is>
          <t>OH0023843573</t>
        </is>
      </c>
      <c r="B1075" t="n">
        <v>78</v>
      </c>
      <c r="C1075" t="n">
        <v>418930</v>
      </c>
      <c r="D1075" t="inlineStr">
        <is>
          <t>GAMLIN</t>
        </is>
      </c>
      <c r="E1075" t="inlineStr">
        <is>
          <t>JAMES</t>
        </is>
      </c>
      <c r="F1075">
        <f>CONCATENATE(D1075," ",LEFT(H1075,4),"T=",AU1075,"D=",AV1075,"R=",AW1075,"M=",AX1075,"L=",AY1075,"B=",AZ1075)</f>
        <v/>
      </c>
      <c r="G1075" t="inlineStr">
        <is>
          <t>R</t>
        </is>
      </c>
      <c r="H1075" t="inlineStr">
        <is>
          <t>JR</t>
        </is>
      </c>
      <c r="I1075" t="inlineStr">
        <is>
          <t>1967-04-07</t>
        </is>
      </c>
      <c r="J1075" t="inlineStr">
        <is>
          <t>2023-08-17</t>
        </is>
      </c>
      <c r="K1075" t="inlineStr">
        <is>
          <t>ACTIVE</t>
        </is>
      </c>
      <c r="L1075" t="inlineStr">
        <is>
          <t>D</t>
        </is>
      </c>
      <c r="M1075" t="inlineStr">
        <is>
          <t>225 IDDINGS AVE SE</t>
        </is>
      </c>
      <c r="N1075">
        <f>RIGHT(M1075,LEN(M1075)-FIND(" ",M1075))</f>
        <v/>
      </c>
      <c r="P1075" t="inlineStr">
        <is>
          <t>WARREN</t>
        </is>
      </c>
      <c r="Q1075" t="inlineStr">
        <is>
          <t>OH</t>
        </is>
      </c>
      <c r="R1075" t="n">
        <v>44483</v>
      </c>
      <c r="AD1075" t="inlineStr">
        <is>
          <t>TRUMBULL CAREER &amp; TECH CENTER</t>
        </is>
      </c>
      <c r="AE1075" t="inlineStr">
        <is>
          <t>WARREN CITY</t>
        </is>
      </c>
      <c r="AF1075" t="inlineStr">
        <is>
          <t>WARREN CITY SD</t>
        </is>
      </c>
      <c r="AH1075" t="n">
        <v>14</v>
      </c>
      <c r="AI1075" t="n">
        <v>11</v>
      </c>
      <c r="AN1075" t="inlineStr">
        <is>
          <t>WARREN</t>
        </is>
      </c>
      <c r="AO1075" t="inlineStr">
        <is>
          <t>WARREN CITY 4A</t>
        </is>
      </c>
      <c r="AP1075" t="inlineStr">
        <is>
          <t>78-P-ADI</t>
        </is>
      </c>
      <c r="AQ1075" t="n">
        <v>9</v>
      </c>
      <c r="AR1075" t="n">
        <v>64</v>
      </c>
      <c r="AS1075" t="n">
        <v>32</v>
      </c>
      <c r="AU1075">
        <f>COUNTA($BA$1075:$EH$1075)</f>
        <v/>
      </c>
      <c r="AV1075">
        <f>COUNTIF($BA$1075:$EH$1075,"D")</f>
        <v/>
      </c>
      <c r="AW1075">
        <f>COUNTIF($BA$1075:$EH$1075,"R")</f>
        <v/>
      </c>
      <c r="AX1075">
        <f>IF(BN1075="D",1,0)+IF(BO1075="D",1,0)+IF(BT1075="D",1,0)+IF(BU1075="D",1,0)+IF(BW1075="D",1,0)+IF(CC1075="D",1,0)+IF(CD1075="D",1,0)+IF(CE1075="D",1,0)+IF(CF1075="D",1,0)+IF(CL1075="D",1,0)+IF(CM1075="D",1,0)+IF(CQ1075="D",1,0)+IF(CR1075="D",1,0)+IF(CS1075="D",1,0)+IF(CW1075="D",1,0)+IF(CX1075="D",1,0)+IF(DD1075="D",1,0)+IF(DE1075="D",1,0)+IF(DJ1075="D",1,0)+IF(DK1075="D",1,0)+IF(DO1075="D",1,0)+IF(DP1075="D",1,0)+IF(DQ1075="D",1,0)+IF(DW1075="D",1,0)+IF(DZ1075="D",1,0)+IF(EH1075="D",1,0)</f>
        <v/>
      </c>
      <c r="AY1075">
        <f>IF(DJ1075&lt;&gt;"",1,0)+IF(DK1075&lt;&gt;"",1,0)+IF(DM1075&lt;&gt;"",1,0)+IF(DO1075&lt;&gt;"",1,0)+IF(DP1075&lt;&gt;"",1,0)+IF(DQ1075&lt;&gt;"",1,0)+IF(DS1075&lt;&gt;"",1,0)+IF(DT1075&lt;&gt;"",1,0)+IF(DV1075&lt;&gt;"",1,0)+IF(DW1075&lt;&gt;"",1,0)+IF(DX1075&lt;&gt;"",1,0)+IF(DY1075&lt;&gt;"",1,0)+IF(DZ1075&lt;&gt;"",1,0)+IF(EB1075&lt;&gt;"",1,0)+IF(EC1075&lt;&gt;"",1,0)+IF(ED1075&lt;&gt;"",1,0)+IF(EG1075&lt;&gt;"",1,0)+IF(EH1075&lt;&gt;"",1,0)</f>
        <v/>
      </c>
      <c r="AZ1075">
        <f>IF(EH1075&lt;&gt;"",1,0)</f>
        <v/>
      </c>
      <c r="BB1075" t="inlineStr">
        <is>
          <t>WARREN-WARD 4</t>
        </is>
      </c>
      <c r="BC1075" t="inlineStr">
        <is>
          <t>X</t>
        </is>
      </c>
      <c r="BD1075" t="inlineStr">
        <is>
          <t>X</t>
        </is>
      </c>
      <c r="BE1075" t="inlineStr">
        <is>
          <t>X</t>
        </is>
      </c>
      <c r="BK1075" t="inlineStr">
        <is>
          <t>X</t>
        </is>
      </c>
      <c r="BL1075" t="inlineStr">
        <is>
          <t>X</t>
        </is>
      </c>
      <c r="CG1075" t="inlineStr">
        <is>
          <t>X</t>
        </is>
      </c>
      <c r="CN1075" t="inlineStr">
        <is>
          <t>X</t>
        </is>
      </c>
      <c r="CP1075" t="inlineStr">
        <is>
          <t>X</t>
        </is>
      </c>
      <c r="CV1075" t="inlineStr">
        <is>
          <t>X</t>
        </is>
      </c>
      <c r="DC1075" t="inlineStr">
        <is>
          <t>X</t>
        </is>
      </c>
      <c r="DN1075" t="inlineStr">
        <is>
          <t>X</t>
        </is>
      </c>
      <c r="EA1075" t="inlineStr">
        <is>
          <t>X</t>
        </is>
      </c>
      <c r="ED1075" t="inlineStr">
        <is>
          <t>D</t>
        </is>
      </c>
      <c r="EF1075" t="inlineStr">
        <is>
          <t>X</t>
        </is>
      </c>
    </row>
    <row r="1076">
      <c r="A1076" t="inlineStr">
        <is>
          <t>OH0020828946</t>
        </is>
      </c>
      <c r="B1076" t="n">
        <v>78</v>
      </c>
      <c r="C1076" t="n">
        <v>370599</v>
      </c>
      <c r="D1076" t="inlineStr">
        <is>
          <t>JONES</t>
        </is>
      </c>
      <c r="E1076" t="inlineStr">
        <is>
          <t>NICHOLAS</t>
        </is>
      </c>
      <c r="F1076">
        <f>CONCATENATE(D1076," ",LEFT(H1076,4),"T=",AU1076,"D=",AV1076,"R=",AW1076,"M=",AX1076,"L=",AY1076,"B=",AZ1076)</f>
        <v/>
      </c>
      <c r="G1076" t="inlineStr">
        <is>
          <t>D</t>
        </is>
      </c>
      <c r="I1076" t="inlineStr">
        <is>
          <t>1991-01-19</t>
        </is>
      </c>
      <c r="J1076" t="inlineStr">
        <is>
          <t>2025-02-26</t>
        </is>
      </c>
      <c r="K1076" t="inlineStr">
        <is>
          <t>ACTIVE</t>
        </is>
      </c>
      <c r="M1076" t="inlineStr">
        <is>
          <t>821 WOODBINE AVE SE</t>
        </is>
      </c>
      <c r="N1076">
        <f>RIGHT(M1076,LEN(M1076)-FIND(" ",M1076))</f>
        <v/>
      </c>
      <c r="P1076" t="inlineStr">
        <is>
          <t>WARREN</t>
        </is>
      </c>
      <c r="Q1076" t="inlineStr">
        <is>
          <t>OH</t>
        </is>
      </c>
      <c r="R1076" t="n">
        <v>44484</v>
      </c>
      <c r="AD1076" t="inlineStr">
        <is>
          <t>TRUMBULL CAREER &amp; TECH CENTER</t>
        </is>
      </c>
      <c r="AE1076" t="inlineStr">
        <is>
          <t>WARREN CITY</t>
        </is>
      </c>
      <c r="AF1076" t="inlineStr">
        <is>
          <t>WARREN CITY SD</t>
        </is>
      </c>
      <c r="AH1076" t="n">
        <v>14</v>
      </c>
      <c r="AI1076" t="n">
        <v>11</v>
      </c>
      <c r="AN1076" t="inlineStr">
        <is>
          <t>WARREN</t>
        </is>
      </c>
      <c r="AO1076" t="inlineStr">
        <is>
          <t>WARREN CITY 4A</t>
        </is>
      </c>
      <c r="AP1076" t="inlineStr">
        <is>
          <t>78-P-ADI</t>
        </is>
      </c>
      <c r="AQ1076" t="n">
        <v>9</v>
      </c>
      <c r="AR1076" t="n">
        <v>64</v>
      </c>
      <c r="AS1076" t="n">
        <v>32</v>
      </c>
      <c r="AU1076">
        <f>COUNTA($BA$1076:$EH$1076)</f>
        <v/>
      </c>
      <c r="AV1076">
        <f>COUNTIF($BA$1076:$EH$1076,"D")</f>
        <v/>
      </c>
      <c r="AW1076">
        <f>COUNTIF($BA$1076:$EH$1076,"R")</f>
        <v/>
      </c>
      <c r="AX1076">
        <f>IF(BN1076="D",1,0)+IF(BO1076="D",1,0)+IF(BT1076="D",1,0)+IF(BU1076="D",1,0)+IF(BW1076="D",1,0)+IF(CC1076="D",1,0)+IF(CD1076="D",1,0)+IF(CE1076="D",1,0)+IF(CF1076="D",1,0)+IF(CL1076="D",1,0)+IF(CM1076="D",1,0)+IF(CQ1076="D",1,0)+IF(CR1076="D",1,0)+IF(CS1076="D",1,0)+IF(CW1076="D",1,0)+IF(CX1076="D",1,0)+IF(DD1076="D",1,0)+IF(DE1076="D",1,0)+IF(DJ1076="D",1,0)+IF(DK1076="D",1,0)+IF(DO1076="D",1,0)+IF(DP1076="D",1,0)+IF(DQ1076="D",1,0)+IF(DW1076="D",1,0)+IF(DZ1076="D",1,0)+IF(EH1076="D",1,0)</f>
        <v/>
      </c>
      <c r="AY1076">
        <f>IF(DJ1076&lt;&gt;"",1,0)+IF(DK1076&lt;&gt;"",1,0)+IF(DM1076&lt;&gt;"",1,0)+IF(DO1076&lt;&gt;"",1,0)+IF(DP1076&lt;&gt;"",1,0)+IF(DQ1076&lt;&gt;"",1,0)+IF(DS1076&lt;&gt;"",1,0)+IF(DT1076&lt;&gt;"",1,0)+IF(DV1076&lt;&gt;"",1,0)+IF(DW1076&lt;&gt;"",1,0)+IF(DX1076&lt;&gt;"",1,0)+IF(DY1076&lt;&gt;"",1,0)+IF(DZ1076&lt;&gt;"",1,0)+IF(EB1076&lt;&gt;"",1,0)+IF(EC1076&lt;&gt;"",1,0)+IF(ED1076&lt;&gt;"",1,0)+IF(EG1076&lt;&gt;"",1,0)+IF(EH1076&lt;&gt;"",1,0)</f>
        <v/>
      </c>
      <c r="AZ1076">
        <f>IF(EH1076&lt;&gt;"",1,0)</f>
        <v/>
      </c>
      <c r="BB1076" t="inlineStr">
        <is>
          <t>WARREN-WARD 4</t>
        </is>
      </c>
    </row>
    <row r="1077">
      <c r="A1077" t="inlineStr">
        <is>
          <t>OH0027477444</t>
        </is>
      </c>
      <c r="B1077" t="n">
        <v>78</v>
      </c>
      <c r="C1077" t="n">
        <v>486730</v>
      </c>
      <c r="D1077" t="inlineStr">
        <is>
          <t>PETERSON</t>
        </is>
      </c>
      <c r="E1077" t="inlineStr">
        <is>
          <t>CARSON</t>
        </is>
      </c>
      <c r="F1077">
        <f>CONCATENATE(D1077," ",LEFT(H1077,4),"T=",AU1077,"D=",AV1077,"R=",AW1077,"M=",AX1077,"L=",AY1077,"B=",AZ1077)</f>
        <v/>
      </c>
      <c r="G1077" t="inlineStr">
        <is>
          <t>RILEY</t>
        </is>
      </c>
      <c r="I1077" t="inlineStr">
        <is>
          <t>2004-05-26</t>
        </is>
      </c>
      <c r="J1077" t="inlineStr">
        <is>
          <t>2024-08-05</t>
        </is>
      </c>
      <c r="K1077" t="inlineStr">
        <is>
          <t>ACTIVE</t>
        </is>
      </c>
      <c r="M1077" t="inlineStr">
        <is>
          <t>618 OAK KNOLL AVE SE</t>
        </is>
      </c>
      <c r="N1077">
        <f>RIGHT(M1077,LEN(M1077)-FIND(" ",M1077))</f>
        <v/>
      </c>
      <c r="P1077" t="inlineStr">
        <is>
          <t>WARREN</t>
        </is>
      </c>
      <c r="Q1077" t="inlineStr">
        <is>
          <t>OH</t>
        </is>
      </c>
      <c r="R1077" t="n">
        <v>44483</v>
      </c>
      <c r="AD1077" t="inlineStr">
        <is>
          <t>TRUMBULL CAREER &amp; TECH CENTER</t>
        </is>
      </c>
      <c r="AE1077" t="inlineStr">
        <is>
          <t>WARREN CITY</t>
        </is>
      </c>
      <c r="AF1077" t="inlineStr">
        <is>
          <t>WARREN CITY SD</t>
        </is>
      </c>
      <c r="AH1077" t="n">
        <v>14</v>
      </c>
      <c r="AI1077" t="n">
        <v>11</v>
      </c>
      <c r="AN1077" t="inlineStr">
        <is>
          <t>WARREN</t>
        </is>
      </c>
      <c r="AO1077" t="inlineStr">
        <is>
          <t>WARREN CITY 4A</t>
        </is>
      </c>
      <c r="AP1077" t="inlineStr">
        <is>
          <t>78-P-ADI</t>
        </is>
      </c>
      <c r="AQ1077" t="n">
        <v>9</v>
      </c>
      <c r="AR1077" t="n">
        <v>64</v>
      </c>
      <c r="AS1077" t="n">
        <v>32</v>
      </c>
      <c r="AU1077">
        <f>COUNTA($BA$1077:$EH$1077)</f>
        <v/>
      </c>
      <c r="AV1077">
        <f>COUNTIF($BA$1077:$EH$1077,"D")</f>
        <v/>
      </c>
      <c r="AW1077">
        <f>COUNTIF($BA$1077:$EH$1077,"R")</f>
        <v/>
      </c>
      <c r="AX1077">
        <f>IF(BN1077="D",1,0)+IF(BO1077="D",1,0)+IF(BT1077="D",1,0)+IF(BU1077="D",1,0)+IF(BW1077="D",1,0)+IF(CC1077="D",1,0)+IF(CD1077="D",1,0)+IF(CE1077="D",1,0)+IF(CF1077="D",1,0)+IF(CL1077="D",1,0)+IF(CM1077="D",1,0)+IF(CQ1077="D",1,0)+IF(CR1077="D",1,0)+IF(CS1077="D",1,0)+IF(CW1077="D",1,0)+IF(CX1077="D",1,0)+IF(DD1077="D",1,0)+IF(DE1077="D",1,0)+IF(DJ1077="D",1,0)+IF(DK1077="D",1,0)+IF(DO1077="D",1,0)+IF(DP1077="D",1,0)+IF(DQ1077="D",1,0)+IF(DW1077="D",1,0)+IF(DZ1077="D",1,0)+IF(EH1077="D",1,0)</f>
        <v/>
      </c>
      <c r="AY1077">
        <f>IF(DJ1077&lt;&gt;"",1,0)+IF(DK1077&lt;&gt;"",1,0)+IF(DM1077&lt;&gt;"",1,0)+IF(DO1077&lt;&gt;"",1,0)+IF(DP1077&lt;&gt;"",1,0)+IF(DQ1077&lt;&gt;"",1,0)+IF(DS1077&lt;&gt;"",1,0)+IF(DT1077&lt;&gt;"",1,0)+IF(DV1077&lt;&gt;"",1,0)+IF(DW1077&lt;&gt;"",1,0)+IF(DX1077&lt;&gt;"",1,0)+IF(DY1077&lt;&gt;"",1,0)+IF(DZ1077&lt;&gt;"",1,0)+IF(EB1077&lt;&gt;"",1,0)+IF(EC1077&lt;&gt;"",1,0)+IF(ED1077&lt;&gt;"",1,0)+IF(EG1077&lt;&gt;"",1,0)+IF(EH1077&lt;&gt;"",1,0)</f>
        <v/>
      </c>
      <c r="AZ1077">
        <f>IF(EH1077&lt;&gt;"",1,0)</f>
        <v/>
      </c>
      <c r="BB1077" t="inlineStr">
        <is>
          <t>WARREN-WARD 4</t>
        </is>
      </c>
    </row>
    <row r="1078">
      <c r="A1078" t="inlineStr">
        <is>
          <t>OH0026571424</t>
        </is>
      </c>
      <c r="B1078" t="n">
        <v>78</v>
      </c>
      <c r="C1078" t="n">
        <v>464366</v>
      </c>
      <c r="D1078" t="inlineStr">
        <is>
          <t>CLOUD</t>
        </is>
      </c>
      <c r="E1078" t="inlineStr">
        <is>
          <t>LEANNA</t>
        </is>
      </c>
      <c r="F1078">
        <f>CONCATENATE(D1078," ",LEFT(H1078,4),"T=",AU1078,"D=",AV1078,"R=",AW1078,"M=",AX1078,"L=",AY1078,"B=",AZ1078)</f>
        <v/>
      </c>
      <c r="G1078" t="inlineStr">
        <is>
          <t>M</t>
        </is>
      </c>
      <c r="I1078" t="inlineStr">
        <is>
          <t>1959-10-25</t>
        </is>
      </c>
      <c r="J1078" t="inlineStr">
        <is>
          <t>2023-07-13</t>
        </is>
      </c>
      <c r="K1078" t="inlineStr">
        <is>
          <t>ACTIVE</t>
        </is>
      </c>
      <c r="M1078" t="inlineStr">
        <is>
          <t>456 KENILWORTH AVE SE</t>
        </is>
      </c>
      <c r="N1078">
        <f>RIGHT(M1078,LEN(M1078)-FIND(" ",M1078))</f>
        <v/>
      </c>
      <c r="P1078" t="inlineStr">
        <is>
          <t>WARREN</t>
        </is>
      </c>
      <c r="Q1078" t="inlineStr">
        <is>
          <t>OH</t>
        </is>
      </c>
      <c r="R1078" t="n">
        <v>44483</v>
      </c>
      <c r="AD1078" t="inlineStr">
        <is>
          <t>TRUMBULL CAREER &amp; TECH CENTER</t>
        </is>
      </c>
      <c r="AE1078" t="inlineStr">
        <is>
          <t>WARREN CITY</t>
        </is>
      </c>
      <c r="AF1078" t="inlineStr">
        <is>
          <t>WARREN CITY SD</t>
        </is>
      </c>
      <c r="AH1078" t="n">
        <v>14</v>
      </c>
      <c r="AI1078" t="n">
        <v>11</v>
      </c>
      <c r="AN1078" t="inlineStr">
        <is>
          <t>WARREN</t>
        </is>
      </c>
      <c r="AO1078" t="inlineStr">
        <is>
          <t>WARREN CITY 4A</t>
        </is>
      </c>
      <c r="AP1078" t="inlineStr">
        <is>
          <t>78-P-ADI</t>
        </is>
      </c>
      <c r="AQ1078" t="n">
        <v>9</v>
      </c>
      <c r="AR1078" t="n">
        <v>64</v>
      </c>
      <c r="AS1078" t="n">
        <v>32</v>
      </c>
      <c r="AU1078">
        <f>COUNTA($BA$1078:$EH$1078)</f>
        <v/>
      </c>
      <c r="AV1078">
        <f>COUNTIF($BA$1078:$EH$1078,"D")</f>
        <v/>
      </c>
      <c r="AW1078">
        <f>COUNTIF($BA$1078:$EH$1078,"R")</f>
        <v/>
      </c>
      <c r="AX1078">
        <f>IF(BN1078="D",1,0)+IF(BO1078="D",1,0)+IF(BT1078="D",1,0)+IF(BU1078="D",1,0)+IF(BW1078="D",1,0)+IF(CC1078="D",1,0)+IF(CD1078="D",1,0)+IF(CE1078="D",1,0)+IF(CF1078="D",1,0)+IF(CL1078="D",1,0)+IF(CM1078="D",1,0)+IF(CQ1078="D",1,0)+IF(CR1078="D",1,0)+IF(CS1078="D",1,0)+IF(CW1078="D",1,0)+IF(CX1078="D",1,0)+IF(DD1078="D",1,0)+IF(DE1078="D",1,0)+IF(DJ1078="D",1,0)+IF(DK1078="D",1,0)+IF(DO1078="D",1,0)+IF(DP1078="D",1,0)+IF(DQ1078="D",1,0)+IF(DW1078="D",1,0)+IF(DZ1078="D",1,0)+IF(EH1078="D",1,0)</f>
        <v/>
      </c>
      <c r="AY1078">
        <f>IF(DJ1078&lt;&gt;"",1,0)+IF(DK1078&lt;&gt;"",1,0)+IF(DM1078&lt;&gt;"",1,0)+IF(DO1078&lt;&gt;"",1,0)+IF(DP1078&lt;&gt;"",1,0)+IF(DQ1078&lt;&gt;"",1,0)+IF(DS1078&lt;&gt;"",1,0)+IF(DT1078&lt;&gt;"",1,0)+IF(DV1078&lt;&gt;"",1,0)+IF(DW1078&lt;&gt;"",1,0)+IF(DX1078&lt;&gt;"",1,0)+IF(DY1078&lt;&gt;"",1,0)+IF(DZ1078&lt;&gt;"",1,0)+IF(EB1078&lt;&gt;"",1,0)+IF(EC1078&lt;&gt;"",1,0)+IF(ED1078&lt;&gt;"",1,0)+IF(EG1078&lt;&gt;"",1,0)+IF(EH1078&lt;&gt;"",1,0)</f>
        <v/>
      </c>
      <c r="AZ1078">
        <f>IF(EH1078&lt;&gt;"",1,0)</f>
        <v/>
      </c>
      <c r="BB1078" t="inlineStr">
        <is>
          <t>WARREN-WARD 4</t>
        </is>
      </c>
      <c r="BL1078" t="inlineStr">
        <is>
          <t>X</t>
        </is>
      </c>
      <c r="BS1078" t="inlineStr">
        <is>
          <t>X</t>
        </is>
      </c>
      <c r="BY1078" t="inlineStr">
        <is>
          <t>D</t>
        </is>
      </c>
      <c r="CA1078" t="inlineStr">
        <is>
          <t>X</t>
        </is>
      </c>
      <c r="CK1078" t="inlineStr">
        <is>
          <t>X</t>
        </is>
      </c>
      <c r="CN1078" t="inlineStr">
        <is>
          <t>X</t>
        </is>
      </c>
      <c r="CZ1078" t="inlineStr">
        <is>
          <t>D</t>
        </is>
      </c>
      <c r="DC1078" t="inlineStr">
        <is>
          <t>X</t>
        </is>
      </c>
      <c r="DI1078" t="inlineStr">
        <is>
          <t>X</t>
        </is>
      </c>
    </row>
    <row r="1079">
      <c r="A1079" t="inlineStr">
        <is>
          <t>OH0015814155</t>
        </is>
      </c>
      <c r="B1079" t="n">
        <v>78</v>
      </c>
      <c r="C1079" t="n">
        <v>268928</v>
      </c>
      <c r="D1079" t="inlineStr">
        <is>
          <t>RODRIGUEZ</t>
        </is>
      </c>
      <c r="E1079" t="inlineStr">
        <is>
          <t>SONIA</t>
        </is>
      </c>
      <c r="F1079">
        <f>CONCATENATE(D1079," ",LEFT(H1079,4),"T=",AU1079,"D=",AV1079,"R=",AW1079,"M=",AX1079,"L=",AY1079,"B=",AZ1079)</f>
        <v/>
      </c>
      <c r="I1079" t="inlineStr">
        <is>
          <t>1975-04-21</t>
        </is>
      </c>
      <c r="J1079" t="inlineStr">
        <is>
          <t>2015-07-10</t>
        </is>
      </c>
      <c r="K1079" t="inlineStr">
        <is>
          <t>ACTIVE</t>
        </is>
      </c>
      <c r="M1079" t="inlineStr">
        <is>
          <t>607 OAK KNOLL AVE SE</t>
        </is>
      </c>
      <c r="N1079">
        <f>RIGHT(M1079,LEN(M1079)-FIND(" ",M1079))</f>
        <v/>
      </c>
      <c r="P1079" t="inlineStr">
        <is>
          <t>WARREN</t>
        </is>
      </c>
      <c r="Q1079" t="inlineStr">
        <is>
          <t>OH</t>
        </is>
      </c>
      <c r="R1079" t="n">
        <v>44483</v>
      </c>
      <c r="AD1079" t="inlineStr">
        <is>
          <t>TRUMBULL CAREER &amp; TECH CENTER</t>
        </is>
      </c>
      <c r="AE1079" t="inlineStr">
        <is>
          <t>WARREN CITY</t>
        </is>
      </c>
      <c r="AF1079" t="inlineStr">
        <is>
          <t>WARREN CITY SD</t>
        </is>
      </c>
      <c r="AH1079" t="n">
        <v>14</v>
      </c>
      <c r="AI1079" t="n">
        <v>11</v>
      </c>
      <c r="AN1079" t="inlineStr">
        <is>
          <t>WARREN</t>
        </is>
      </c>
      <c r="AO1079" t="inlineStr">
        <is>
          <t>WARREN CITY 4A</t>
        </is>
      </c>
      <c r="AP1079" t="inlineStr">
        <is>
          <t>78-P-ADI</t>
        </is>
      </c>
      <c r="AQ1079" t="n">
        <v>9</v>
      </c>
      <c r="AR1079" t="n">
        <v>64</v>
      </c>
      <c r="AS1079" t="n">
        <v>32</v>
      </c>
      <c r="AU1079">
        <f>COUNTA($BA$1079:$EH$1079)</f>
        <v/>
      </c>
      <c r="AV1079">
        <f>COUNTIF($BA$1079:$EH$1079,"D")</f>
        <v/>
      </c>
      <c r="AW1079">
        <f>COUNTIF($BA$1079:$EH$1079,"R")</f>
        <v/>
      </c>
      <c r="AX1079">
        <f>IF(BN1079="D",1,0)+IF(BO1079="D",1,0)+IF(BT1079="D",1,0)+IF(BU1079="D",1,0)+IF(BW1079="D",1,0)+IF(CC1079="D",1,0)+IF(CD1079="D",1,0)+IF(CE1079="D",1,0)+IF(CF1079="D",1,0)+IF(CL1079="D",1,0)+IF(CM1079="D",1,0)+IF(CQ1079="D",1,0)+IF(CR1079="D",1,0)+IF(CS1079="D",1,0)+IF(CW1079="D",1,0)+IF(CX1079="D",1,0)+IF(DD1079="D",1,0)+IF(DE1079="D",1,0)+IF(DJ1079="D",1,0)+IF(DK1079="D",1,0)+IF(DO1079="D",1,0)+IF(DP1079="D",1,0)+IF(DQ1079="D",1,0)+IF(DW1079="D",1,0)+IF(DZ1079="D",1,0)+IF(EH1079="D",1,0)</f>
        <v/>
      </c>
      <c r="AY1079">
        <f>IF(DJ1079&lt;&gt;"",1,0)+IF(DK1079&lt;&gt;"",1,0)+IF(DM1079&lt;&gt;"",1,0)+IF(DO1079&lt;&gt;"",1,0)+IF(DP1079&lt;&gt;"",1,0)+IF(DQ1079&lt;&gt;"",1,0)+IF(DS1079&lt;&gt;"",1,0)+IF(DT1079&lt;&gt;"",1,0)+IF(DV1079&lt;&gt;"",1,0)+IF(DW1079&lt;&gt;"",1,0)+IF(DX1079&lt;&gt;"",1,0)+IF(DY1079&lt;&gt;"",1,0)+IF(DZ1079&lt;&gt;"",1,0)+IF(EB1079&lt;&gt;"",1,0)+IF(EC1079&lt;&gt;"",1,0)+IF(ED1079&lt;&gt;"",1,0)+IF(EG1079&lt;&gt;"",1,0)+IF(EH1079&lt;&gt;"",1,0)</f>
        <v/>
      </c>
      <c r="AZ1079">
        <f>IF(EH1079&lt;&gt;"",1,0)</f>
        <v/>
      </c>
      <c r="BB1079" t="inlineStr">
        <is>
          <t>WARREN-WARD 4</t>
        </is>
      </c>
      <c r="CP1079" t="inlineStr">
        <is>
          <t>X</t>
        </is>
      </c>
      <c r="CY1079" t="inlineStr">
        <is>
          <t>X</t>
        </is>
      </c>
      <c r="CZ1079" t="inlineStr">
        <is>
          <t>D</t>
        </is>
      </c>
      <c r="DI1079" t="inlineStr">
        <is>
          <t>X</t>
        </is>
      </c>
      <c r="EF1079" t="inlineStr">
        <is>
          <t>X</t>
        </is>
      </c>
    </row>
    <row r="1080">
      <c r="A1080" t="inlineStr">
        <is>
          <t>OH0021839941</t>
        </is>
      </c>
      <c r="B1080" t="n">
        <v>78</v>
      </c>
      <c r="C1080" t="n">
        <v>388108</v>
      </c>
      <c r="D1080" t="inlineStr">
        <is>
          <t>LENOX</t>
        </is>
      </c>
      <c r="E1080" t="inlineStr">
        <is>
          <t>GRANT</t>
        </is>
      </c>
      <c r="F1080">
        <f>CONCATENATE(D1080," ",LEFT(H1080,4),"T=",AU1080,"D=",AV1080,"R=",AW1080,"M=",AX1080,"L=",AY1080,"B=",AZ1080)</f>
        <v/>
      </c>
      <c r="G1080" t="inlineStr">
        <is>
          <t>JAMES</t>
        </is>
      </c>
      <c r="I1080" t="inlineStr">
        <is>
          <t>1953-08-04</t>
        </is>
      </c>
      <c r="J1080" t="inlineStr">
        <is>
          <t>2012-07-05</t>
        </is>
      </c>
      <c r="K1080" t="inlineStr">
        <is>
          <t>ACTIVE</t>
        </is>
      </c>
      <c r="M1080" t="inlineStr">
        <is>
          <t>797 KENILWORTH AVE SE</t>
        </is>
      </c>
      <c r="N1080">
        <f>RIGHT(M1080,LEN(M1080)-FIND(" ",M1080))</f>
        <v/>
      </c>
      <c r="P1080" t="inlineStr">
        <is>
          <t>WARREN</t>
        </is>
      </c>
      <c r="Q1080" t="inlineStr">
        <is>
          <t>OH</t>
        </is>
      </c>
      <c r="R1080" t="n">
        <v>44484</v>
      </c>
      <c r="AD1080" t="inlineStr">
        <is>
          <t>TRUMBULL CAREER &amp; TECH CENTER</t>
        </is>
      </c>
      <c r="AE1080" t="inlineStr">
        <is>
          <t>WARREN CITY</t>
        </is>
      </c>
      <c r="AF1080" t="inlineStr">
        <is>
          <t>WARREN CITY SD</t>
        </is>
      </c>
      <c r="AH1080" t="n">
        <v>14</v>
      </c>
      <c r="AI1080" t="n">
        <v>11</v>
      </c>
      <c r="AN1080" t="inlineStr">
        <is>
          <t>WARREN</t>
        </is>
      </c>
      <c r="AO1080" t="inlineStr">
        <is>
          <t>WARREN CITY 4A</t>
        </is>
      </c>
      <c r="AP1080" t="inlineStr">
        <is>
          <t>78-P-ADI</t>
        </is>
      </c>
      <c r="AQ1080" t="n">
        <v>9</v>
      </c>
      <c r="AR1080" t="n">
        <v>64</v>
      </c>
      <c r="AS1080" t="n">
        <v>32</v>
      </c>
      <c r="AU1080">
        <f>COUNTA($BA$1080:$EH$1080)</f>
        <v/>
      </c>
      <c r="AV1080">
        <f>COUNTIF($BA$1080:$EH$1080,"D")</f>
        <v/>
      </c>
      <c r="AW1080">
        <f>COUNTIF($BA$1080:$EH$1080,"R")</f>
        <v/>
      </c>
      <c r="AX1080">
        <f>IF(BN1080="D",1,0)+IF(BO1080="D",1,0)+IF(BT1080="D",1,0)+IF(BU1080="D",1,0)+IF(BW1080="D",1,0)+IF(CC1080="D",1,0)+IF(CD1080="D",1,0)+IF(CE1080="D",1,0)+IF(CF1080="D",1,0)+IF(CL1080="D",1,0)+IF(CM1080="D",1,0)+IF(CQ1080="D",1,0)+IF(CR1080="D",1,0)+IF(CS1080="D",1,0)+IF(CW1080="D",1,0)+IF(CX1080="D",1,0)+IF(DD1080="D",1,0)+IF(DE1080="D",1,0)+IF(DJ1080="D",1,0)+IF(DK1080="D",1,0)+IF(DO1080="D",1,0)+IF(DP1080="D",1,0)+IF(DQ1080="D",1,0)+IF(DW1080="D",1,0)+IF(DZ1080="D",1,0)+IF(EH1080="D",1,0)</f>
        <v/>
      </c>
      <c r="AY1080">
        <f>IF(DJ1080&lt;&gt;"",1,0)+IF(DK1080&lt;&gt;"",1,0)+IF(DM1080&lt;&gt;"",1,0)+IF(DO1080&lt;&gt;"",1,0)+IF(DP1080&lt;&gt;"",1,0)+IF(DQ1080&lt;&gt;"",1,0)+IF(DS1080&lt;&gt;"",1,0)+IF(DT1080&lt;&gt;"",1,0)+IF(DV1080&lt;&gt;"",1,0)+IF(DW1080&lt;&gt;"",1,0)+IF(DX1080&lt;&gt;"",1,0)+IF(DY1080&lt;&gt;"",1,0)+IF(DZ1080&lt;&gt;"",1,0)+IF(EB1080&lt;&gt;"",1,0)+IF(EC1080&lt;&gt;"",1,0)+IF(ED1080&lt;&gt;"",1,0)+IF(EG1080&lt;&gt;"",1,0)+IF(EH1080&lt;&gt;"",1,0)</f>
        <v/>
      </c>
      <c r="AZ1080">
        <f>IF(EH1080&lt;&gt;"",1,0)</f>
        <v/>
      </c>
      <c r="BB1080" t="inlineStr">
        <is>
          <t>WARREN-WARD 4</t>
        </is>
      </c>
      <c r="CY1080" t="inlineStr">
        <is>
          <t>X</t>
        </is>
      </c>
      <c r="DC1080" t="inlineStr">
        <is>
          <t>X</t>
        </is>
      </c>
      <c r="DN1080" t="inlineStr">
        <is>
          <t>X</t>
        </is>
      </c>
      <c r="DU1080" t="inlineStr">
        <is>
          <t>X</t>
        </is>
      </c>
    </row>
    <row r="1081">
      <c r="A1081" t="inlineStr">
        <is>
          <t>OH0018797436</t>
        </is>
      </c>
      <c r="B1081" t="n">
        <v>78</v>
      </c>
      <c r="C1081" t="n">
        <v>344929</v>
      </c>
      <c r="D1081" t="inlineStr">
        <is>
          <t>BEACHLER</t>
        </is>
      </c>
      <c r="E1081" t="inlineStr">
        <is>
          <t>KENNETH</t>
        </is>
      </c>
      <c r="F1081">
        <f>CONCATENATE(D1081," ",LEFT(H1081,4),"T=",AU1081,"D=",AV1081,"R=",AW1081,"M=",AX1081,"L=",AY1081,"B=",AZ1081)</f>
        <v/>
      </c>
      <c r="G1081" t="inlineStr">
        <is>
          <t>L</t>
        </is>
      </c>
      <c r="I1081" t="inlineStr">
        <is>
          <t>1969-08-28</t>
        </is>
      </c>
      <c r="J1081" t="inlineStr">
        <is>
          <t>2014-04-08</t>
        </is>
      </c>
      <c r="K1081" t="inlineStr">
        <is>
          <t>ACTIVE</t>
        </is>
      </c>
      <c r="L1081" t="inlineStr">
        <is>
          <t>D</t>
        </is>
      </c>
      <c r="M1081" t="inlineStr">
        <is>
          <t>347 IDDINGS AVE SE</t>
        </is>
      </c>
      <c r="N1081">
        <f>RIGHT(M1081,LEN(M1081)-FIND(" ",M1081))</f>
        <v/>
      </c>
      <c r="P1081" t="inlineStr">
        <is>
          <t>WARREN</t>
        </is>
      </c>
      <c r="Q1081" t="inlineStr">
        <is>
          <t>OH</t>
        </is>
      </c>
      <c r="R1081" t="n">
        <v>44483</v>
      </c>
      <c r="AD1081" t="inlineStr">
        <is>
          <t>TRUMBULL CAREER &amp; TECH CENTER</t>
        </is>
      </c>
      <c r="AE1081" t="inlineStr">
        <is>
          <t>WARREN CITY</t>
        </is>
      </c>
      <c r="AF1081" t="inlineStr">
        <is>
          <t>WARREN CITY SD</t>
        </is>
      </c>
      <c r="AH1081" t="n">
        <v>14</v>
      </c>
      <c r="AI1081" t="n">
        <v>11</v>
      </c>
      <c r="AN1081" t="inlineStr">
        <is>
          <t>WARREN</t>
        </is>
      </c>
      <c r="AO1081" t="inlineStr">
        <is>
          <t>WARREN CITY 4A</t>
        </is>
      </c>
      <c r="AP1081" t="inlineStr">
        <is>
          <t>78-P-ADI</t>
        </is>
      </c>
      <c r="AQ1081" t="n">
        <v>9</v>
      </c>
      <c r="AR1081" t="n">
        <v>64</v>
      </c>
      <c r="AS1081" t="n">
        <v>32</v>
      </c>
      <c r="AU1081">
        <f>COUNTA($BA$1081:$EH$1081)</f>
        <v/>
      </c>
      <c r="AV1081">
        <f>COUNTIF($BA$1081:$EH$1081,"D")</f>
        <v/>
      </c>
      <c r="AW1081">
        <f>COUNTIF($BA$1081:$EH$1081,"R")</f>
        <v/>
      </c>
      <c r="AX1081">
        <f>IF(BN1081="D",1,0)+IF(BO1081="D",1,0)+IF(BT1081="D",1,0)+IF(BU1081="D",1,0)+IF(BW1081="D",1,0)+IF(CC1081="D",1,0)+IF(CD1081="D",1,0)+IF(CE1081="D",1,0)+IF(CF1081="D",1,0)+IF(CL1081="D",1,0)+IF(CM1081="D",1,0)+IF(CQ1081="D",1,0)+IF(CR1081="D",1,0)+IF(CS1081="D",1,0)+IF(CW1081="D",1,0)+IF(CX1081="D",1,0)+IF(DD1081="D",1,0)+IF(DE1081="D",1,0)+IF(DJ1081="D",1,0)+IF(DK1081="D",1,0)+IF(DO1081="D",1,0)+IF(DP1081="D",1,0)+IF(DQ1081="D",1,0)+IF(DW1081="D",1,0)+IF(DZ1081="D",1,0)+IF(EH1081="D",1,0)</f>
        <v/>
      </c>
      <c r="AY1081">
        <f>IF(DJ1081&lt;&gt;"",1,0)+IF(DK1081&lt;&gt;"",1,0)+IF(DM1081&lt;&gt;"",1,0)+IF(DO1081&lt;&gt;"",1,0)+IF(DP1081&lt;&gt;"",1,0)+IF(DQ1081&lt;&gt;"",1,0)+IF(DS1081&lt;&gt;"",1,0)+IF(DT1081&lt;&gt;"",1,0)+IF(DV1081&lt;&gt;"",1,0)+IF(DW1081&lt;&gt;"",1,0)+IF(DX1081&lt;&gt;"",1,0)+IF(DY1081&lt;&gt;"",1,0)+IF(DZ1081&lt;&gt;"",1,0)+IF(EB1081&lt;&gt;"",1,0)+IF(EC1081&lt;&gt;"",1,0)+IF(ED1081&lt;&gt;"",1,0)+IF(EG1081&lt;&gt;"",1,0)+IF(EH1081&lt;&gt;"",1,0)</f>
        <v/>
      </c>
      <c r="AZ1081">
        <f>IF(EH1081&lt;&gt;"",1,0)</f>
        <v/>
      </c>
      <c r="BB1081" t="inlineStr">
        <is>
          <t>WARREN-WARD 4</t>
        </is>
      </c>
      <c r="DC1081" t="inlineStr">
        <is>
          <t>X</t>
        </is>
      </c>
      <c r="DN1081" t="inlineStr">
        <is>
          <t>X</t>
        </is>
      </c>
      <c r="DS1081" t="inlineStr">
        <is>
          <t>R</t>
        </is>
      </c>
      <c r="DW1081" t="inlineStr">
        <is>
          <t>D</t>
        </is>
      </c>
      <c r="EA1081" t="inlineStr">
        <is>
          <t>X</t>
        </is>
      </c>
      <c r="ED1081" t="inlineStr">
        <is>
          <t>R</t>
        </is>
      </c>
      <c r="EF1081" t="inlineStr">
        <is>
          <t>X</t>
        </is>
      </c>
      <c r="EH1081" t="inlineStr">
        <is>
          <t>D</t>
        </is>
      </c>
    </row>
    <row r="1082">
      <c r="A1082" t="inlineStr">
        <is>
          <t>OH0018612011</t>
        </is>
      </c>
      <c r="B1082" t="n">
        <v>78</v>
      </c>
      <c r="C1082" t="n">
        <v>341642</v>
      </c>
      <c r="D1082" t="inlineStr">
        <is>
          <t>PETERSON</t>
        </is>
      </c>
      <c r="E1082" t="inlineStr">
        <is>
          <t>RICHARD</t>
        </is>
      </c>
      <c r="F1082">
        <f>CONCATENATE(D1082," ",LEFT(H1082,4),"T=",AU1082,"D=",AV1082,"R=",AW1082,"M=",AX1082,"L=",AY1082,"B=",AZ1082)</f>
        <v/>
      </c>
      <c r="G1082" t="inlineStr">
        <is>
          <t>A</t>
        </is>
      </c>
      <c r="I1082" t="inlineStr">
        <is>
          <t>1955-08-20</t>
        </is>
      </c>
      <c r="J1082" t="inlineStr">
        <is>
          <t>2005-11-04</t>
        </is>
      </c>
      <c r="K1082" t="inlineStr">
        <is>
          <t>ACTIVE</t>
        </is>
      </c>
      <c r="L1082" t="inlineStr">
        <is>
          <t>D</t>
        </is>
      </c>
      <c r="M1082" t="inlineStr">
        <is>
          <t>618 OAK KNOLL AVE SE</t>
        </is>
      </c>
      <c r="N1082">
        <f>RIGHT(M1082,LEN(M1082)-FIND(" ",M1082))</f>
        <v/>
      </c>
      <c r="P1082" t="inlineStr">
        <is>
          <t>WARREN</t>
        </is>
      </c>
      <c r="Q1082" t="inlineStr">
        <is>
          <t>OH</t>
        </is>
      </c>
      <c r="R1082" t="n">
        <v>44483</v>
      </c>
      <c r="AD1082" t="inlineStr">
        <is>
          <t>TRUMBULL CAREER &amp; TECH CENTER</t>
        </is>
      </c>
      <c r="AE1082" t="inlineStr">
        <is>
          <t>WARREN CITY</t>
        </is>
      </c>
      <c r="AF1082" t="inlineStr">
        <is>
          <t>WARREN CITY SD</t>
        </is>
      </c>
      <c r="AH1082" t="n">
        <v>14</v>
      </c>
      <c r="AI1082" t="n">
        <v>11</v>
      </c>
      <c r="AN1082" t="inlineStr">
        <is>
          <t>WARREN</t>
        </is>
      </c>
      <c r="AO1082" t="inlineStr">
        <is>
          <t>WARREN CITY 4A</t>
        </is>
      </c>
      <c r="AP1082" t="inlineStr">
        <is>
          <t>78-P-ADI</t>
        </is>
      </c>
      <c r="AQ1082" t="n">
        <v>9</v>
      </c>
      <c r="AR1082" t="n">
        <v>64</v>
      </c>
      <c r="AS1082" t="n">
        <v>32</v>
      </c>
      <c r="AU1082">
        <f>COUNTA($BA$1082:$EH$1082)</f>
        <v/>
      </c>
      <c r="AV1082">
        <f>COUNTIF($BA$1082:$EH$1082,"D")</f>
        <v/>
      </c>
      <c r="AW1082">
        <f>COUNTIF($BA$1082:$EH$1082,"R")</f>
        <v/>
      </c>
      <c r="AX1082">
        <f>IF(BN1082="D",1,0)+IF(BO1082="D",1,0)+IF(BT1082="D",1,0)+IF(BU1082="D",1,0)+IF(BW1082="D",1,0)+IF(CC1082="D",1,0)+IF(CD1082="D",1,0)+IF(CE1082="D",1,0)+IF(CF1082="D",1,0)+IF(CL1082="D",1,0)+IF(CM1082="D",1,0)+IF(CQ1082="D",1,0)+IF(CR1082="D",1,0)+IF(CS1082="D",1,0)+IF(CW1082="D",1,0)+IF(CX1082="D",1,0)+IF(DD1082="D",1,0)+IF(DE1082="D",1,0)+IF(DJ1082="D",1,0)+IF(DK1082="D",1,0)+IF(DO1082="D",1,0)+IF(DP1082="D",1,0)+IF(DQ1082="D",1,0)+IF(DW1082="D",1,0)+IF(DZ1082="D",1,0)+IF(EH1082="D",1,0)</f>
        <v/>
      </c>
      <c r="AY1082">
        <f>IF(DJ1082&lt;&gt;"",1,0)+IF(DK1082&lt;&gt;"",1,0)+IF(DM1082&lt;&gt;"",1,0)+IF(DO1082&lt;&gt;"",1,0)+IF(DP1082&lt;&gt;"",1,0)+IF(DQ1082&lt;&gt;"",1,0)+IF(DS1082&lt;&gt;"",1,0)+IF(DT1082&lt;&gt;"",1,0)+IF(DV1082&lt;&gt;"",1,0)+IF(DW1082&lt;&gt;"",1,0)+IF(DX1082&lt;&gt;"",1,0)+IF(DY1082&lt;&gt;"",1,0)+IF(DZ1082&lt;&gt;"",1,0)+IF(EB1082&lt;&gt;"",1,0)+IF(EC1082&lt;&gt;"",1,0)+IF(ED1082&lt;&gt;"",1,0)+IF(EG1082&lt;&gt;"",1,0)+IF(EH1082&lt;&gt;"",1,0)</f>
        <v/>
      </c>
      <c r="AZ1082">
        <f>IF(EH1082&lt;&gt;"",1,0)</f>
        <v/>
      </c>
      <c r="BB1082" t="inlineStr">
        <is>
          <t>WARREN-WARD 4</t>
        </is>
      </c>
      <c r="BY1082" t="inlineStr">
        <is>
          <t>D</t>
        </is>
      </c>
      <c r="CA1082" t="inlineStr">
        <is>
          <t>X</t>
        </is>
      </c>
      <c r="CG1082" t="inlineStr">
        <is>
          <t>X</t>
        </is>
      </c>
      <c r="CK1082" t="inlineStr">
        <is>
          <t>X</t>
        </is>
      </c>
      <c r="CL1082" t="inlineStr">
        <is>
          <t>D</t>
        </is>
      </c>
      <c r="CN1082" t="inlineStr">
        <is>
          <t>X</t>
        </is>
      </c>
      <c r="CP1082" t="inlineStr">
        <is>
          <t>X</t>
        </is>
      </c>
      <c r="CV1082" t="inlineStr">
        <is>
          <t>X</t>
        </is>
      </c>
      <c r="CY1082" t="inlineStr">
        <is>
          <t>X</t>
        </is>
      </c>
      <c r="CZ1082" t="inlineStr">
        <is>
          <t>D</t>
        </is>
      </c>
      <c r="DC1082" t="inlineStr">
        <is>
          <t>X</t>
        </is>
      </c>
      <c r="DD1082" t="inlineStr">
        <is>
          <t>D</t>
        </is>
      </c>
      <c r="DF1082" t="inlineStr">
        <is>
          <t>X</t>
        </is>
      </c>
      <c r="DI1082" t="inlineStr">
        <is>
          <t>X</t>
        </is>
      </c>
      <c r="DJ1082" t="inlineStr">
        <is>
          <t>D</t>
        </is>
      </c>
      <c r="DN1082" t="inlineStr">
        <is>
          <t>X</t>
        </is>
      </c>
      <c r="DR1082" t="inlineStr">
        <is>
          <t>X</t>
        </is>
      </c>
      <c r="DT1082" t="inlineStr">
        <is>
          <t>D</t>
        </is>
      </c>
      <c r="DU1082" t="inlineStr">
        <is>
          <t>X</t>
        </is>
      </c>
      <c r="DW1082" t="inlineStr">
        <is>
          <t>D</t>
        </is>
      </c>
      <c r="DX1082" t="inlineStr">
        <is>
          <t>X</t>
        </is>
      </c>
      <c r="ED1082" t="inlineStr">
        <is>
          <t>D</t>
        </is>
      </c>
      <c r="EF1082" t="inlineStr">
        <is>
          <t>X</t>
        </is>
      </c>
    </row>
    <row r="1083">
      <c r="A1083" t="inlineStr">
        <is>
          <t>OH0015687770</t>
        </is>
      </c>
      <c r="B1083" t="n">
        <v>78</v>
      </c>
      <c r="C1083" t="n">
        <v>12775</v>
      </c>
      <c r="D1083" t="inlineStr">
        <is>
          <t>PRIESTER</t>
        </is>
      </c>
      <c r="E1083" t="inlineStr">
        <is>
          <t>HELEN</t>
        </is>
      </c>
      <c r="F1083">
        <f>CONCATENATE(D1083," ",LEFT(H1083,4),"T=",AU1083,"D=",AV1083,"R=",AW1083,"M=",AX1083,"L=",AY1083,"B=",AZ1083)</f>
        <v/>
      </c>
      <c r="G1083" t="inlineStr">
        <is>
          <t>E</t>
        </is>
      </c>
      <c r="I1083" t="inlineStr">
        <is>
          <t>1945-08-20</t>
        </is>
      </c>
      <c r="J1083" t="inlineStr">
        <is>
          <t>1972-04-03</t>
        </is>
      </c>
      <c r="K1083" t="inlineStr">
        <is>
          <t>ACTIVE</t>
        </is>
      </c>
      <c r="M1083" t="inlineStr">
        <is>
          <t>558 OAK KNOLL AVE SE</t>
        </is>
      </c>
      <c r="N1083">
        <f>RIGHT(M1083,LEN(M1083)-FIND(" ",M1083))</f>
        <v/>
      </c>
      <c r="P1083" t="inlineStr">
        <is>
          <t>WARREN</t>
        </is>
      </c>
      <c r="Q1083" t="inlineStr">
        <is>
          <t>OH</t>
        </is>
      </c>
      <c r="R1083" t="n">
        <v>44483</v>
      </c>
      <c r="AD1083" t="inlineStr">
        <is>
          <t>TRUMBULL CAREER &amp; TECH CENTER</t>
        </is>
      </c>
      <c r="AE1083" t="inlineStr">
        <is>
          <t>WARREN CITY</t>
        </is>
      </c>
      <c r="AF1083" t="inlineStr">
        <is>
          <t>WARREN CITY SD</t>
        </is>
      </c>
      <c r="AH1083" t="n">
        <v>14</v>
      </c>
      <c r="AI1083" t="n">
        <v>11</v>
      </c>
      <c r="AN1083" t="inlineStr">
        <is>
          <t>WARREN</t>
        </is>
      </c>
      <c r="AO1083" t="inlineStr">
        <is>
          <t>WARREN CITY 4A</t>
        </is>
      </c>
      <c r="AP1083" t="inlineStr">
        <is>
          <t>78-P-ADI</t>
        </is>
      </c>
      <c r="AQ1083" t="n">
        <v>9</v>
      </c>
      <c r="AR1083" t="n">
        <v>64</v>
      </c>
      <c r="AS1083" t="n">
        <v>32</v>
      </c>
      <c r="AU1083">
        <f>COUNTA($BA$1083:$EH$1083)</f>
        <v/>
      </c>
      <c r="AV1083">
        <f>COUNTIF($BA$1083:$EH$1083,"D")</f>
        <v/>
      </c>
      <c r="AW1083">
        <f>COUNTIF($BA$1083:$EH$1083,"R")</f>
        <v/>
      </c>
      <c r="AX1083">
        <f>IF(BN1083="D",1,0)+IF(BO1083="D",1,0)+IF(BT1083="D",1,0)+IF(BU1083="D",1,0)+IF(BW1083="D",1,0)+IF(CC1083="D",1,0)+IF(CD1083="D",1,0)+IF(CE1083="D",1,0)+IF(CF1083="D",1,0)+IF(CL1083="D",1,0)+IF(CM1083="D",1,0)+IF(CQ1083="D",1,0)+IF(CR1083="D",1,0)+IF(CS1083="D",1,0)+IF(CW1083="D",1,0)+IF(CX1083="D",1,0)+IF(DD1083="D",1,0)+IF(DE1083="D",1,0)+IF(DJ1083="D",1,0)+IF(DK1083="D",1,0)+IF(DO1083="D",1,0)+IF(DP1083="D",1,0)+IF(DQ1083="D",1,0)+IF(DW1083="D",1,0)+IF(DZ1083="D",1,0)+IF(EH1083="D",1,0)</f>
        <v/>
      </c>
      <c r="AY1083">
        <f>IF(DJ1083&lt;&gt;"",1,0)+IF(DK1083&lt;&gt;"",1,0)+IF(DM1083&lt;&gt;"",1,0)+IF(DO1083&lt;&gt;"",1,0)+IF(DP1083&lt;&gt;"",1,0)+IF(DQ1083&lt;&gt;"",1,0)+IF(DS1083&lt;&gt;"",1,0)+IF(DT1083&lt;&gt;"",1,0)+IF(DV1083&lt;&gt;"",1,0)+IF(DW1083&lt;&gt;"",1,0)+IF(DX1083&lt;&gt;"",1,0)+IF(DY1083&lt;&gt;"",1,0)+IF(DZ1083&lt;&gt;"",1,0)+IF(EB1083&lt;&gt;"",1,0)+IF(EC1083&lt;&gt;"",1,0)+IF(ED1083&lt;&gt;"",1,0)+IF(EG1083&lt;&gt;"",1,0)+IF(EH1083&lt;&gt;"",1,0)</f>
        <v/>
      </c>
      <c r="AZ1083">
        <f>IF(EH1083&lt;&gt;"",1,0)</f>
        <v/>
      </c>
      <c r="BB1083" t="inlineStr">
        <is>
          <t>WARREN-WARD 4</t>
        </is>
      </c>
      <c r="BC1083" t="inlineStr">
        <is>
          <t>X</t>
        </is>
      </c>
      <c r="BD1083" t="inlineStr">
        <is>
          <t>X</t>
        </is>
      </c>
      <c r="BE1083" t="inlineStr">
        <is>
          <t>X</t>
        </is>
      </c>
      <c r="BG1083" t="inlineStr">
        <is>
          <t>X</t>
        </is>
      </c>
      <c r="BH1083" t="inlineStr">
        <is>
          <t>X</t>
        </is>
      </c>
      <c r="BI1083" t="inlineStr">
        <is>
          <t>X</t>
        </is>
      </c>
      <c r="BJ1083" t="inlineStr">
        <is>
          <t>X</t>
        </is>
      </c>
      <c r="BK1083" t="inlineStr">
        <is>
          <t>X</t>
        </is>
      </c>
      <c r="BL1083" t="inlineStr">
        <is>
          <t>X</t>
        </is>
      </c>
      <c r="BP1083" t="inlineStr">
        <is>
          <t>X</t>
        </is>
      </c>
      <c r="BR1083" t="inlineStr">
        <is>
          <t>X</t>
        </is>
      </c>
      <c r="BS1083" t="inlineStr">
        <is>
          <t>X</t>
        </is>
      </c>
      <c r="BT1083" t="inlineStr">
        <is>
          <t>X</t>
        </is>
      </c>
      <c r="BV1083" t="inlineStr">
        <is>
          <t>X</t>
        </is>
      </c>
      <c r="BY1083" t="inlineStr">
        <is>
          <t>D</t>
        </is>
      </c>
      <c r="CA1083" t="inlineStr">
        <is>
          <t>X</t>
        </is>
      </c>
      <c r="CK1083" t="inlineStr">
        <is>
          <t>X</t>
        </is>
      </c>
      <c r="CN1083" t="inlineStr">
        <is>
          <t>X</t>
        </is>
      </c>
      <c r="CP1083" t="inlineStr">
        <is>
          <t>X</t>
        </is>
      </c>
      <c r="CV1083" t="inlineStr">
        <is>
          <t>X</t>
        </is>
      </c>
      <c r="CY1083" t="inlineStr">
        <is>
          <t>X</t>
        </is>
      </c>
      <c r="CZ1083" t="inlineStr">
        <is>
          <t>D</t>
        </is>
      </c>
      <c r="DC1083" t="inlineStr">
        <is>
          <t>X</t>
        </is>
      </c>
      <c r="DF1083" t="inlineStr">
        <is>
          <t>X</t>
        </is>
      </c>
      <c r="DG1083" t="inlineStr">
        <is>
          <t>D</t>
        </is>
      </c>
      <c r="DI1083" t="inlineStr">
        <is>
          <t>X</t>
        </is>
      </c>
      <c r="DJ1083" t="inlineStr">
        <is>
          <t>D</t>
        </is>
      </c>
      <c r="DL1083" t="inlineStr">
        <is>
          <t>X</t>
        </is>
      </c>
      <c r="DM1083" t="inlineStr">
        <is>
          <t>D</t>
        </is>
      </c>
      <c r="DN1083" t="inlineStr">
        <is>
          <t>X</t>
        </is>
      </c>
      <c r="DR1083" t="inlineStr">
        <is>
          <t>X</t>
        </is>
      </c>
      <c r="DU1083" t="inlineStr">
        <is>
          <t>X</t>
        </is>
      </c>
      <c r="DX1083" t="inlineStr">
        <is>
          <t>X</t>
        </is>
      </c>
      <c r="EA1083" t="inlineStr">
        <is>
          <t>X</t>
        </is>
      </c>
      <c r="EF1083" t="inlineStr">
        <is>
          <t>X</t>
        </is>
      </c>
    </row>
    <row r="1084">
      <c r="A1084" t="inlineStr">
        <is>
          <t>OH0015687766</t>
        </is>
      </c>
      <c r="B1084" t="n">
        <v>78</v>
      </c>
      <c r="C1084" t="n">
        <v>127747</v>
      </c>
      <c r="D1084" t="inlineStr">
        <is>
          <t>SMITH</t>
        </is>
      </c>
      <c r="E1084" t="inlineStr">
        <is>
          <t>JUDITH</t>
        </is>
      </c>
      <c r="F1084">
        <f>CONCATENATE(D1084," ",LEFT(H1084,4),"T=",AU1084,"D=",AV1084,"R=",AW1084,"M=",AX1084,"L=",AY1084,"B=",AZ1084)</f>
        <v/>
      </c>
      <c r="G1084" t="inlineStr">
        <is>
          <t>A</t>
        </is>
      </c>
      <c r="I1084" t="inlineStr">
        <is>
          <t>1953-08-01</t>
        </is>
      </c>
      <c r="J1084" t="inlineStr">
        <is>
          <t>1980-07-25</t>
        </is>
      </c>
      <c r="K1084" t="inlineStr">
        <is>
          <t>ACTIVE</t>
        </is>
      </c>
      <c r="L1084" t="inlineStr">
        <is>
          <t>D</t>
        </is>
      </c>
      <c r="M1084" t="inlineStr">
        <is>
          <t>538 KENILWORTH AVE SE</t>
        </is>
      </c>
      <c r="N1084">
        <f>RIGHT(M1084,LEN(M1084)-FIND(" ",M1084))</f>
        <v/>
      </c>
      <c r="P1084" t="inlineStr">
        <is>
          <t>WARREN</t>
        </is>
      </c>
      <c r="Q1084" t="inlineStr">
        <is>
          <t>OH</t>
        </is>
      </c>
      <c r="R1084" t="n">
        <v>44483</v>
      </c>
      <c r="AD1084" t="inlineStr">
        <is>
          <t>TRUMBULL CAREER &amp; TECH CENTER</t>
        </is>
      </c>
      <c r="AE1084" t="inlineStr">
        <is>
          <t>WARREN CITY</t>
        </is>
      </c>
      <c r="AF1084" t="inlineStr">
        <is>
          <t>WARREN CITY SD</t>
        </is>
      </c>
      <c r="AH1084" t="n">
        <v>14</v>
      </c>
      <c r="AI1084" t="n">
        <v>11</v>
      </c>
      <c r="AN1084" t="inlineStr">
        <is>
          <t>WARREN</t>
        </is>
      </c>
      <c r="AO1084" t="inlineStr">
        <is>
          <t>WARREN CITY 4A</t>
        </is>
      </c>
      <c r="AP1084" t="inlineStr">
        <is>
          <t>78-P-ADI</t>
        </is>
      </c>
      <c r="AQ1084" t="n">
        <v>9</v>
      </c>
      <c r="AR1084" t="n">
        <v>64</v>
      </c>
      <c r="AS1084" t="n">
        <v>32</v>
      </c>
      <c r="AU1084">
        <f>COUNTA($BA$1084:$EH$1084)</f>
        <v/>
      </c>
      <c r="AV1084">
        <f>COUNTIF($BA$1084:$EH$1084,"D")</f>
        <v/>
      </c>
      <c r="AW1084">
        <f>COUNTIF($BA$1084:$EH$1084,"R")</f>
        <v/>
      </c>
      <c r="AX1084">
        <f>IF(BN1084="D",1,0)+IF(BO1084="D",1,0)+IF(BT1084="D",1,0)+IF(BU1084="D",1,0)+IF(BW1084="D",1,0)+IF(CC1084="D",1,0)+IF(CD1084="D",1,0)+IF(CE1084="D",1,0)+IF(CF1084="D",1,0)+IF(CL1084="D",1,0)+IF(CM1084="D",1,0)+IF(CQ1084="D",1,0)+IF(CR1084="D",1,0)+IF(CS1084="D",1,0)+IF(CW1084="D",1,0)+IF(CX1084="D",1,0)+IF(DD1084="D",1,0)+IF(DE1084="D",1,0)+IF(DJ1084="D",1,0)+IF(DK1084="D",1,0)+IF(DO1084="D",1,0)+IF(DP1084="D",1,0)+IF(DQ1084="D",1,0)+IF(DW1084="D",1,0)+IF(DZ1084="D",1,0)+IF(EH1084="D",1,0)</f>
        <v/>
      </c>
      <c r="AY1084">
        <f>IF(DJ1084&lt;&gt;"",1,0)+IF(DK1084&lt;&gt;"",1,0)+IF(DM1084&lt;&gt;"",1,0)+IF(DO1084&lt;&gt;"",1,0)+IF(DP1084&lt;&gt;"",1,0)+IF(DQ1084&lt;&gt;"",1,0)+IF(DS1084&lt;&gt;"",1,0)+IF(DT1084&lt;&gt;"",1,0)+IF(DV1084&lt;&gt;"",1,0)+IF(DW1084&lt;&gt;"",1,0)+IF(DX1084&lt;&gt;"",1,0)+IF(DY1084&lt;&gt;"",1,0)+IF(DZ1084&lt;&gt;"",1,0)+IF(EB1084&lt;&gt;"",1,0)+IF(EC1084&lt;&gt;"",1,0)+IF(ED1084&lt;&gt;"",1,0)+IF(EG1084&lt;&gt;"",1,0)+IF(EH1084&lt;&gt;"",1,0)</f>
        <v/>
      </c>
      <c r="AZ1084">
        <f>IF(EH1084&lt;&gt;"",1,0)</f>
        <v/>
      </c>
      <c r="BB1084" t="inlineStr">
        <is>
          <t>WARREN-WARD 4</t>
        </is>
      </c>
      <c r="BC1084" t="inlineStr">
        <is>
          <t>X</t>
        </is>
      </c>
      <c r="BD1084" t="inlineStr">
        <is>
          <t>X</t>
        </is>
      </c>
      <c r="BF1084" t="inlineStr">
        <is>
          <t>X</t>
        </is>
      </c>
      <c r="BG1084" t="inlineStr">
        <is>
          <t>X</t>
        </is>
      </c>
      <c r="BH1084" t="inlineStr">
        <is>
          <t>X</t>
        </is>
      </c>
      <c r="BK1084" t="inlineStr">
        <is>
          <t>X</t>
        </is>
      </c>
      <c r="BL1084" t="inlineStr">
        <is>
          <t>X</t>
        </is>
      </c>
      <c r="BS1084" t="inlineStr">
        <is>
          <t>X</t>
        </is>
      </c>
      <c r="BY1084" t="inlineStr">
        <is>
          <t>D</t>
        </is>
      </c>
      <c r="CA1084" t="inlineStr">
        <is>
          <t>X</t>
        </is>
      </c>
      <c r="CK1084" t="inlineStr">
        <is>
          <t>X</t>
        </is>
      </c>
      <c r="CL1084" t="inlineStr">
        <is>
          <t>D</t>
        </is>
      </c>
      <c r="CP1084" t="inlineStr">
        <is>
          <t>X</t>
        </is>
      </c>
      <c r="CV1084" t="inlineStr">
        <is>
          <t>X</t>
        </is>
      </c>
      <c r="CW1084" t="inlineStr">
        <is>
          <t>D</t>
        </is>
      </c>
      <c r="CY1084" t="inlineStr">
        <is>
          <t>X</t>
        </is>
      </c>
      <c r="CZ1084" t="inlineStr">
        <is>
          <t>D</t>
        </is>
      </c>
      <c r="DC1084" t="inlineStr">
        <is>
          <t>X</t>
        </is>
      </c>
      <c r="DF1084" t="inlineStr">
        <is>
          <t>X</t>
        </is>
      </c>
      <c r="DI1084" t="inlineStr">
        <is>
          <t>X</t>
        </is>
      </c>
      <c r="DL1084" t="inlineStr">
        <is>
          <t>X</t>
        </is>
      </c>
      <c r="DN1084" t="inlineStr">
        <is>
          <t>X</t>
        </is>
      </c>
      <c r="DR1084" t="inlineStr">
        <is>
          <t>X</t>
        </is>
      </c>
      <c r="DS1084" t="inlineStr">
        <is>
          <t>D</t>
        </is>
      </c>
      <c r="DU1084" t="inlineStr">
        <is>
          <t>X</t>
        </is>
      </c>
      <c r="DW1084" t="inlineStr">
        <is>
          <t>D</t>
        </is>
      </c>
      <c r="DX1084" t="inlineStr">
        <is>
          <t>X</t>
        </is>
      </c>
      <c r="EA1084" t="inlineStr">
        <is>
          <t>X</t>
        </is>
      </c>
      <c r="EF1084" t="inlineStr">
        <is>
          <t>X</t>
        </is>
      </c>
    </row>
    <row r="1085">
      <c r="A1085" t="inlineStr">
        <is>
          <t>OH0015808585</t>
        </is>
      </c>
      <c r="B1085" t="n">
        <v>78</v>
      </c>
      <c r="C1085" t="n">
        <v>304888</v>
      </c>
      <c r="D1085" t="inlineStr">
        <is>
          <t>MONTECALVO</t>
        </is>
      </c>
      <c r="E1085" t="inlineStr">
        <is>
          <t>ANGELA</t>
        </is>
      </c>
      <c r="F1085">
        <f>CONCATENATE(D1085," ",LEFT(H1085,4),"T=",AU1085,"D=",AV1085,"R=",AW1085,"M=",AX1085,"L=",AY1085,"B=",AZ1085)</f>
        <v/>
      </c>
      <c r="G1085" t="inlineStr">
        <is>
          <t>M</t>
        </is>
      </c>
      <c r="I1085" t="inlineStr">
        <is>
          <t>1983-10-05</t>
        </is>
      </c>
      <c r="J1085" t="inlineStr">
        <is>
          <t>2001-09-17</t>
        </is>
      </c>
      <c r="K1085" t="inlineStr">
        <is>
          <t>ACTIVE</t>
        </is>
      </c>
      <c r="M1085" t="inlineStr">
        <is>
          <t>715 OAK KNOLL AVE SE</t>
        </is>
      </c>
      <c r="N1085">
        <f>RIGHT(M1085,LEN(M1085)-FIND(" ",M1085))</f>
        <v/>
      </c>
      <c r="P1085" t="inlineStr">
        <is>
          <t>WARREN</t>
        </is>
      </c>
      <c r="Q1085" t="inlineStr">
        <is>
          <t>OH</t>
        </is>
      </c>
      <c r="R1085" t="n">
        <v>44484</v>
      </c>
      <c r="AD1085" t="inlineStr">
        <is>
          <t>TRUMBULL CAREER &amp; TECH CENTER</t>
        </is>
      </c>
      <c r="AE1085" t="inlineStr">
        <is>
          <t>WARREN CITY</t>
        </is>
      </c>
      <c r="AF1085" t="inlineStr">
        <is>
          <t>WARREN CITY SD</t>
        </is>
      </c>
      <c r="AH1085" t="n">
        <v>14</v>
      </c>
      <c r="AI1085" t="n">
        <v>11</v>
      </c>
      <c r="AN1085" t="inlineStr">
        <is>
          <t>WARREN</t>
        </is>
      </c>
      <c r="AO1085" t="inlineStr">
        <is>
          <t>WARREN CITY 4A</t>
        </is>
      </c>
      <c r="AP1085" t="inlineStr">
        <is>
          <t>78-P-ADI</t>
        </is>
      </c>
      <c r="AQ1085" t="n">
        <v>9</v>
      </c>
      <c r="AR1085" t="n">
        <v>64</v>
      </c>
      <c r="AS1085" t="n">
        <v>32</v>
      </c>
      <c r="AU1085">
        <f>COUNTA($BA$1085:$EH$1085)</f>
        <v/>
      </c>
      <c r="AV1085">
        <f>COUNTIF($BA$1085:$EH$1085,"D")</f>
        <v/>
      </c>
      <c r="AW1085">
        <f>COUNTIF($BA$1085:$EH$1085,"R")</f>
        <v/>
      </c>
      <c r="AX1085">
        <f>IF(BN1085="D",1,0)+IF(BO1085="D",1,0)+IF(BT1085="D",1,0)+IF(BU1085="D",1,0)+IF(BW1085="D",1,0)+IF(CC1085="D",1,0)+IF(CD1085="D",1,0)+IF(CE1085="D",1,0)+IF(CF1085="D",1,0)+IF(CL1085="D",1,0)+IF(CM1085="D",1,0)+IF(CQ1085="D",1,0)+IF(CR1085="D",1,0)+IF(CS1085="D",1,0)+IF(CW1085="D",1,0)+IF(CX1085="D",1,0)+IF(DD1085="D",1,0)+IF(DE1085="D",1,0)+IF(DJ1085="D",1,0)+IF(DK1085="D",1,0)+IF(DO1085="D",1,0)+IF(DP1085="D",1,0)+IF(DQ1085="D",1,0)+IF(DW1085="D",1,0)+IF(DZ1085="D",1,0)+IF(EH1085="D",1,0)</f>
        <v/>
      </c>
      <c r="AY1085">
        <f>IF(DJ1085&lt;&gt;"",1,0)+IF(DK1085&lt;&gt;"",1,0)+IF(DM1085&lt;&gt;"",1,0)+IF(DO1085&lt;&gt;"",1,0)+IF(DP1085&lt;&gt;"",1,0)+IF(DQ1085&lt;&gt;"",1,0)+IF(DS1085&lt;&gt;"",1,0)+IF(DT1085&lt;&gt;"",1,0)+IF(DV1085&lt;&gt;"",1,0)+IF(DW1085&lt;&gt;"",1,0)+IF(DX1085&lt;&gt;"",1,0)+IF(DY1085&lt;&gt;"",1,0)+IF(DZ1085&lt;&gt;"",1,0)+IF(EB1085&lt;&gt;"",1,0)+IF(EC1085&lt;&gt;"",1,0)+IF(ED1085&lt;&gt;"",1,0)+IF(EG1085&lt;&gt;"",1,0)+IF(EH1085&lt;&gt;"",1,0)</f>
        <v/>
      </c>
      <c r="AZ1085">
        <f>IF(EH1085&lt;&gt;"",1,0)</f>
        <v/>
      </c>
      <c r="BB1085" t="inlineStr">
        <is>
          <t>WARREN-WARD 4</t>
        </is>
      </c>
      <c r="BF1085" t="inlineStr">
        <is>
          <t>X</t>
        </is>
      </c>
      <c r="BK1085" t="inlineStr">
        <is>
          <t>X</t>
        </is>
      </c>
      <c r="BL1085" t="inlineStr">
        <is>
          <t>X</t>
        </is>
      </c>
      <c r="BS1085" t="inlineStr">
        <is>
          <t>X</t>
        </is>
      </c>
      <c r="BV1085" t="inlineStr">
        <is>
          <t>X</t>
        </is>
      </c>
      <c r="CA1085" t="inlineStr">
        <is>
          <t>X</t>
        </is>
      </c>
      <c r="CN1085" t="inlineStr">
        <is>
          <t>X</t>
        </is>
      </c>
      <c r="DC1085" t="inlineStr">
        <is>
          <t>X</t>
        </is>
      </c>
    </row>
    <row r="1086">
      <c r="A1086" t="inlineStr">
        <is>
          <t>OH0024649378</t>
        </is>
      </c>
      <c r="B1086" t="n">
        <v>78</v>
      </c>
      <c r="C1086" t="n">
        <v>432114</v>
      </c>
      <c r="D1086" t="inlineStr">
        <is>
          <t>SCOTT</t>
        </is>
      </c>
      <c r="E1086" t="inlineStr">
        <is>
          <t>BECKLEN</t>
        </is>
      </c>
      <c r="F1086">
        <f>CONCATENATE(D1086," ",LEFT(H1086,4),"T=",AU1086,"D=",AV1086,"R=",AW1086,"M=",AX1086,"L=",AY1086,"B=",AZ1086)</f>
        <v/>
      </c>
      <c r="G1086" t="inlineStr">
        <is>
          <t>L</t>
        </is>
      </c>
      <c r="I1086" t="inlineStr">
        <is>
          <t>1999-07-15</t>
        </is>
      </c>
      <c r="J1086" t="inlineStr">
        <is>
          <t>2023-08-24</t>
        </is>
      </c>
      <c r="K1086" t="inlineStr">
        <is>
          <t>ACTIVE</t>
        </is>
      </c>
      <c r="M1086" t="inlineStr">
        <is>
          <t>751 BONNIE BRAE AVE SE</t>
        </is>
      </c>
      <c r="N1086">
        <f>RIGHT(M1086,LEN(M1086)-FIND(" ",M1086))</f>
        <v/>
      </c>
      <c r="P1086" t="inlineStr">
        <is>
          <t>WARREN</t>
        </is>
      </c>
      <c r="Q1086" t="inlineStr">
        <is>
          <t>OH</t>
        </is>
      </c>
      <c r="R1086" t="n">
        <v>44484</v>
      </c>
      <c r="AD1086" t="inlineStr">
        <is>
          <t>TRUMBULL CAREER &amp; TECH CENTER</t>
        </is>
      </c>
      <c r="AE1086" t="inlineStr">
        <is>
          <t>WARREN CITY</t>
        </is>
      </c>
      <c r="AF1086" t="inlineStr">
        <is>
          <t>WARREN CITY SD</t>
        </is>
      </c>
      <c r="AH1086" t="n">
        <v>14</v>
      </c>
      <c r="AI1086" t="n">
        <v>11</v>
      </c>
      <c r="AN1086" t="inlineStr">
        <is>
          <t>WARREN</t>
        </is>
      </c>
      <c r="AO1086" t="inlineStr">
        <is>
          <t>WARREN CITY 4A</t>
        </is>
      </c>
      <c r="AP1086" t="inlineStr">
        <is>
          <t>78-P-ADI</t>
        </is>
      </c>
      <c r="AQ1086" t="n">
        <v>9</v>
      </c>
      <c r="AR1086" t="n">
        <v>64</v>
      </c>
      <c r="AS1086" t="n">
        <v>32</v>
      </c>
      <c r="AU1086">
        <f>COUNTA($BA$1086:$EH$1086)</f>
        <v/>
      </c>
      <c r="AV1086">
        <f>COUNTIF($BA$1086:$EH$1086,"D")</f>
        <v/>
      </c>
      <c r="AW1086">
        <f>COUNTIF($BA$1086:$EH$1086,"R")</f>
        <v/>
      </c>
      <c r="AX1086">
        <f>IF(BN1086="D",1,0)+IF(BO1086="D",1,0)+IF(BT1086="D",1,0)+IF(BU1086="D",1,0)+IF(BW1086="D",1,0)+IF(CC1086="D",1,0)+IF(CD1086="D",1,0)+IF(CE1086="D",1,0)+IF(CF1086="D",1,0)+IF(CL1086="D",1,0)+IF(CM1086="D",1,0)+IF(CQ1086="D",1,0)+IF(CR1086="D",1,0)+IF(CS1086="D",1,0)+IF(CW1086="D",1,0)+IF(CX1086="D",1,0)+IF(DD1086="D",1,0)+IF(DE1086="D",1,0)+IF(DJ1086="D",1,0)+IF(DK1086="D",1,0)+IF(DO1086="D",1,0)+IF(DP1086="D",1,0)+IF(DQ1086="D",1,0)+IF(DW1086="D",1,0)+IF(DZ1086="D",1,0)+IF(EH1086="D",1,0)</f>
        <v/>
      </c>
      <c r="AY1086">
        <f>IF(DJ1086&lt;&gt;"",1,0)+IF(DK1086&lt;&gt;"",1,0)+IF(DM1086&lt;&gt;"",1,0)+IF(DO1086&lt;&gt;"",1,0)+IF(DP1086&lt;&gt;"",1,0)+IF(DQ1086&lt;&gt;"",1,0)+IF(DS1086&lt;&gt;"",1,0)+IF(DT1086&lt;&gt;"",1,0)+IF(DV1086&lt;&gt;"",1,0)+IF(DW1086&lt;&gt;"",1,0)+IF(DX1086&lt;&gt;"",1,0)+IF(DY1086&lt;&gt;"",1,0)+IF(DZ1086&lt;&gt;"",1,0)+IF(EB1086&lt;&gt;"",1,0)+IF(EC1086&lt;&gt;"",1,0)+IF(ED1086&lt;&gt;"",1,0)+IF(EG1086&lt;&gt;"",1,0)+IF(EH1086&lt;&gt;"",1,0)</f>
        <v/>
      </c>
      <c r="AZ1086">
        <f>IF(EH1086&lt;&gt;"",1,0)</f>
        <v/>
      </c>
      <c r="BB1086" t="inlineStr">
        <is>
          <t>WARREN-WARD 4</t>
        </is>
      </c>
    </row>
    <row r="1087">
      <c r="A1087" t="inlineStr">
        <is>
          <t>OH0026736821</t>
        </is>
      </c>
      <c r="B1087" t="n">
        <v>78</v>
      </c>
      <c r="C1087" t="n">
        <v>466882</v>
      </c>
      <c r="D1087" t="inlineStr">
        <is>
          <t>LOVELAND</t>
        </is>
      </c>
      <c r="E1087" t="inlineStr">
        <is>
          <t>SORAEYA</t>
        </is>
      </c>
      <c r="F1087">
        <f>CONCATENATE(D1087," ",LEFT(H1087,4),"T=",AU1087,"D=",AV1087,"R=",AW1087,"M=",AX1087,"L=",AY1087,"B=",AZ1087)</f>
        <v/>
      </c>
      <c r="G1087" t="inlineStr">
        <is>
          <t>F</t>
        </is>
      </c>
      <c r="I1087" t="inlineStr">
        <is>
          <t>2003-08-19</t>
        </is>
      </c>
      <c r="J1087" t="inlineStr">
        <is>
          <t>2024-02-19</t>
        </is>
      </c>
      <c r="K1087" t="inlineStr">
        <is>
          <t>ACTIVE</t>
        </is>
      </c>
      <c r="L1087" t="inlineStr">
        <is>
          <t>D</t>
        </is>
      </c>
      <c r="M1087" t="inlineStr">
        <is>
          <t>772 KENILWORTH AVE SE</t>
        </is>
      </c>
      <c r="N1087">
        <f>RIGHT(M1087,LEN(M1087)-FIND(" ",M1087))</f>
        <v/>
      </c>
      <c r="P1087" t="inlineStr">
        <is>
          <t>WARREN</t>
        </is>
      </c>
      <c r="Q1087" t="inlineStr">
        <is>
          <t>OH</t>
        </is>
      </c>
      <c r="R1087" t="n">
        <v>44484</v>
      </c>
      <c r="AD1087" t="inlineStr">
        <is>
          <t>TRUMBULL CAREER &amp; TECH CENTER</t>
        </is>
      </c>
      <c r="AE1087" t="inlineStr">
        <is>
          <t>WARREN CITY</t>
        </is>
      </c>
      <c r="AF1087" t="inlineStr">
        <is>
          <t>WARREN CITY SD</t>
        </is>
      </c>
      <c r="AH1087" t="n">
        <v>14</v>
      </c>
      <c r="AI1087" t="n">
        <v>11</v>
      </c>
      <c r="AN1087" t="inlineStr">
        <is>
          <t>WARREN</t>
        </is>
      </c>
      <c r="AO1087" t="inlineStr">
        <is>
          <t>WARREN CITY 4A</t>
        </is>
      </c>
      <c r="AP1087" t="inlineStr">
        <is>
          <t>78-P-ADI</t>
        </is>
      </c>
      <c r="AQ1087" t="n">
        <v>9</v>
      </c>
      <c r="AR1087" t="n">
        <v>64</v>
      </c>
      <c r="AS1087" t="n">
        <v>32</v>
      </c>
      <c r="AU1087">
        <f>COUNTA($BA$1087:$EH$1087)</f>
        <v/>
      </c>
      <c r="AV1087">
        <f>COUNTIF($BA$1087:$EH$1087,"D")</f>
        <v/>
      </c>
      <c r="AW1087">
        <f>COUNTIF($BA$1087:$EH$1087,"R")</f>
        <v/>
      </c>
      <c r="AX1087">
        <f>IF(BN1087="D",1,0)+IF(BO1087="D",1,0)+IF(BT1087="D",1,0)+IF(BU1087="D",1,0)+IF(BW1087="D",1,0)+IF(CC1087="D",1,0)+IF(CD1087="D",1,0)+IF(CE1087="D",1,0)+IF(CF1087="D",1,0)+IF(CL1087="D",1,0)+IF(CM1087="D",1,0)+IF(CQ1087="D",1,0)+IF(CR1087="D",1,0)+IF(CS1087="D",1,0)+IF(CW1087="D",1,0)+IF(CX1087="D",1,0)+IF(DD1087="D",1,0)+IF(DE1087="D",1,0)+IF(DJ1087="D",1,0)+IF(DK1087="D",1,0)+IF(DO1087="D",1,0)+IF(DP1087="D",1,0)+IF(DQ1087="D",1,0)+IF(DW1087="D",1,0)+IF(DZ1087="D",1,0)+IF(EH1087="D",1,0)</f>
        <v/>
      </c>
      <c r="AY1087">
        <f>IF(DJ1087&lt;&gt;"",1,0)+IF(DK1087&lt;&gt;"",1,0)+IF(DM1087&lt;&gt;"",1,0)+IF(DO1087&lt;&gt;"",1,0)+IF(DP1087&lt;&gt;"",1,0)+IF(DQ1087&lt;&gt;"",1,0)+IF(DS1087&lt;&gt;"",1,0)+IF(DT1087&lt;&gt;"",1,0)+IF(DV1087&lt;&gt;"",1,0)+IF(DW1087&lt;&gt;"",1,0)+IF(DX1087&lt;&gt;"",1,0)+IF(DY1087&lt;&gt;"",1,0)+IF(DZ1087&lt;&gt;"",1,0)+IF(EB1087&lt;&gt;"",1,0)+IF(EC1087&lt;&gt;"",1,0)+IF(ED1087&lt;&gt;"",1,0)+IF(EG1087&lt;&gt;"",1,0)+IF(EH1087&lt;&gt;"",1,0)</f>
        <v/>
      </c>
      <c r="AZ1087">
        <f>IF(EH1087&lt;&gt;"",1,0)</f>
        <v/>
      </c>
      <c r="BB1087" t="inlineStr">
        <is>
          <t>WARREN-WARD 4</t>
        </is>
      </c>
      <c r="ED1087" t="inlineStr">
        <is>
          <t>D</t>
        </is>
      </c>
      <c r="EF1087" t="inlineStr">
        <is>
          <t>X</t>
        </is>
      </c>
    </row>
    <row r="1088">
      <c r="A1088" t="inlineStr">
        <is>
          <t>OH0024117778</t>
        </is>
      </c>
      <c r="B1088" t="n">
        <v>78</v>
      </c>
      <c r="C1088" t="n">
        <v>409767</v>
      </c>
      <c r="D1088" t="inlineStr">
        <is>
          <t>KING</t>
        </is>
      </c>
      <c r="E1088" t="inlineStr">
        <is>
          <t>MIKO</t>
        </is>
      </c>
      <c r="F1088">
        <f>CONCATENATE(D1088," ",LEFT(H1088,4),"T=",AU1088,"D=",AV1088,"R=",AW1088,"M=",AX1088,"L=",AY1088,"B=",AZ1088)</f>
        <v/>
      </c>
      <c r="G1088" t="inlineStr">
        <is>
          <t>D</t>
        </is>
      </c>
      <c r="I1088" t="inlineStr">
        <is>
          <t>1998-05-18</t>
        </is>
      </c>
      <c r="J1088" t="inlineStr">
        <is>
          <t>2015-09-16</t>
        </is>
      </c>
      <c r="K1088" t="inlineStr">
        <is>
          <t>CONFIRMATION</t>
        </is>
      </c>
      <c r="M1088" t="inlineStr">
        <is>
          <t>364 OAK KNOLL AVE SE</t>
        </is>
      </c>
      <c r="N1088">
        <f>RIGHT(M1088,LEN(M1088)-FIND(" ",M1088))</f>
        <v/>
      </c>
      <c r="P1088" t="inlineStr">
        <is>
          <t>WARREN</t>
        </is>
      </c>
      <c r="Q1088" t="inlineStr">
        <is>
          <t>OH</t>
        </is>
      </c>
      <c r="R1088" t="n">
        <v>44483</v>
      </c>
      <c r="AD1088" t="inlineStr">
        <is>
          <t>TRUMBULL CAREER &amp; TECH CENTER</t>
        </is>
      </c>
      <c r="AE1088" t="inlineStr">
        <is>
          <t>WARREN CITY</t>
        </is>
      </c>
      <c r="AF1088" t="inlineStr">
        <is>
          <t>WARREN CITY SD</t>
        </is>
      </c>
      <c r="AH1088" t="n">
        <v>14</v>
      </c>
      <c r="AI1088" t="n">
        <v>11</v>
      </c>
      <c r="AN1088" t="inlineStr">
        <is>
          <t>WARREN</t>
        </is>
      </c>
      <c r="AO1088" t="inlineStr">
        <is>
          <t>WARREN CITY 4A</t>
        </is>
      </c>
      <c r="AP1088" t="inlineStr">
        <is>
          <t>78-P-ADI</t>
        </is>
      </c>
      <c r="AQ1088" t="n">
        <v>9</v>
      </c>
      <c r="AR1088" t="n">
        <v>64</v>
      </c>
      <c r="AS1088" t="n">
        <v>32</v>
      </c>
      <c r="AU1088">
        <f>COUNTA($BA$1088:$EH$1088)</f>
        <v/>
      </c>
      <c r="AV1088">
        <f>COUNTIF($BA$1088:$EH$1088,"D")</f>
        <v/>
      </c>
      <c r="AW1088">
        <f>COUNTIF($BA$1088:$EH$1088,"R")</f>
        <v/>
      </c>
      <c r="AX1088">
        <f>IF(BN1088="D",1,0)+IF(BO1088="D",1,0)+IF(BT1088="D",1,0)+IF(BU1088="D",1,0)+IF(BW1088="D",1,0)+IF(CC1088="D",1,0)+IF(CD1088="D",1,0)+IF(CE1088="D",1,0)+IF(CF1088="D",1,0)+IF(CL1088="D",1,0)+IF(CM1088="D",1,0)+IF(CQ1088="D",1,0)+IF(CR1088="D",1,0)+IF(CS1088="D",1,0)+IF(CW1088="D",1,0)+IF(CX1088="D",1,0)+IF(DD1088="D",1,0)+IF(DE1088="D",1,0)+IF(DJ1088="D",1,0)+IF(DK1088="D",1,0)+IF(DO1088="D",1,0)+IF(DP1088="D",1,0)+IF(DQ1088="D",1,0)+IF(DW1088="D",1,0)+IF(DZ1088="D",1,0)+IF(EH1088="D",1,0)</f>
        <v/>
      </c>
      <c r="AY1088">
        <f>IF(DJ1088&lt;&gt;"",1,0)+IF(DK1088&lt;&gt;"",1,0)+IF(DM1088&lt;&gt;"",1,0)+IF(DO1088&lt;&gt;"",1,0)+IF(DP1088&lt;&gt;"",1,0)+IF(DQ1088&lt;&gt;"",1,0)+IF(DS1088&lt;&gt;"",1,0)+IF(DT1088&lt;&gt;"",1,0)+IF(DV1088&lt;&gt;"",1,0)+IF(DW1088&lt;&gt;"",1,0)+IF(DX1088&lt;&gt;"",1,0)+IF(DY1088&lt;&gt;"",1,0)+IF(DZ1088&lt;&gt;"",1,0)+IF(EB1088&lt;&gt;"",1,0)+IF(EC1088&lt;&gt;"",1,0)+IF(ED1088&lt;&gt;"",1,0)+IF(EG1088&lt;&gt;"",1,0)+IF(EH1088&lt;&gt;"",1,0)</f>
        <v/>
      </c>
      <c r="AZ1088">
        <f>IF(EH1088&lt;&gt;"",1,0)</f>
        <v/>
      </c>
      <c r="BB1088" t="inlineStr">
        <is>
          <t>WARREN-WARD 4</t>
        </is>
      </c>
    </row>
    <row r="1089">
      <c r="A1089" t="inlineStr">
        <is>
          <t>OH0023444613</t>
        </is>
      </c>
      <c r="B1089" t="n">
        <v>78</v>
      </c>
      <c r="C1089" t="n">
        <v>411839</v>
      </c>
      <c r="D1089" t="inlineStr">
        <is>
          <t>RUFENER</t>
        </is>
      </c>
      <c r="E1089" t="inlineStr">
        <is>
          <t>JOHN</t>
        </is>
      </c>
      <c r="F1089">
        <f>CONCATENATE(D1089," ",LEFT(H1089,4),"T=",AU1089,"D=",AV1089,"R=",AW1089,"M=",AX1089,"L=",AY1089,"B=",AZ1089)</f>
        <v/>
      </c>
      <c r="G1089" t="inlineStr">
        <is>
          <t>PAUL</t>
        </is>
      </c>
      <c r="I1089" t="inlineStr">
        <is>
          <t>1996-07-16</t>
        </is>
      </c>
      <c r="J1089" t="inlineStr">
        <is>
          <t>2023-01-30</t>
        </is>
      </c>
      <c r="K1089" t="inlineStr">
        <is>
          <t>ACTIVE</t>
        </is>
      </c>
      <c r="M1089" t="inlineStr">
        <is>
          <t>470 KENILWORTH AVE SE</t>
        </is>
      </c>
      <c r="N1089">
        <f>RIGHT(M1089,LEN(M1089)-FIND(" ",M1089))</f>
        <v/>
      </c>
      <c r="P1089" t="inlineStr">
        <is>
          <t>WARREN</t>
        </is>
      </c>
      <c r="Q1089" t="inlineStr">
        <is>
          <t>OH</t>
        </is>
      </c>
      <c r="R1089" t="n">
        <v>44483</v>
      </c>
      <c r="AD1089" t="inlineStr">
        <is>
          <t>TRUMBULL CAREER &amp; TECH CENTER</t>
        </is>
      </c>
      <c r="AE1089" t="inlineStr">
        <is>
          <t>WARREN CITY</t>
        </is>
      </c>
      <c r="AF1089" t="inlineStr">
        <is>
          <t>WARREN CITY SD</t>
        </is>
      </c>
      <c r="AH1089" t="n">
        <v>14</v>
      </c>
      <c r="AI1089" t="n">
        <v>11</v>
      </c>
      <c r="AN1089" t="inlineStr">
        <is>
          <t>WARREN</t>
        </is>
      </c>
      <c r="AO1089" t="inlineStr">
        <is>
          <t>WARREN CITY 4A</t>
        </is>
      </c>
      <c r="AP1089" t="inlineStr">
        <is>
          <t>78-P-ADI</t>
        </is>
      </c>
      <c r="AQ1089" t="n">
        <v>9</v>
      </c>
      <c r="AR1089" t="n">
        <v>64</v>
      </c>
      <c r="AS1089" t="n">
        <v>32</v>
      </c>
      <c r="AU1089">
        <f>COUNTA($BA$1089:$EH$1089)</f>
        <v/>
      </c>
      <c r="AV1089">
        <f>COUNTIF($BA$1089:$EH$1089,"D")</f>
        <v/>
      </c>
      <c r="AW1089">
        <f>COUNTIF($BA$1089:$EH$1089,"R")</f>
        <v/>
      </c>
      <c r="AX1089">
        <f>IF(BN1089="D",1,0)+IF(BO1089="D",1,0)+IF(BT1089="D",1,0)+IF(BU1089="D",1,0)+IF(BW1089="D",1,0)+IF(CC1089="D",1,0)+IF(CD1089="D",1,0)+IF(CE1089="D",1,0)+IF(CF1089="D",1,0)+IF(CL1089="D",1,0)+IF(CM1089="D",1,0)+IF(CQ1089="D",1,0)+IF(CR1089="D",1,0)+IF(CS1089="D",1,0)+IF(CW1089="D",1,0)+IF(CX1089="D",1,0)+IF(DD1089="D",1,0)+IF(DE1089="D",1,0)+IF(DJ1089="D",1,0)+IF(DK1089="D",1,0)+IF(DO1089="D",1,0)+IF(DP1089="D",1,0)+IF(DQ1089="D",1,0)+IF(DW1089="D",1,0)+IF(DZ1089="D",1,0)+IF(EH1089="D",1,0)</f>
        <v/>
      </c>
      <c r="AY1089">
        <f>IF(DJ1089&lt;&gt;"",1,0)+IF(DK1089&lt;&gt;"",1,0)+IF(DM1089&lt;&gt;"",1,0)+IF(DO1089&lt;&gt;"",1,0)+IF(DP1089&lt;&gt;"",1,0)+IF(DQ1089&lt;&gt;"",1,0)+IF(DS1089&lt;&gt;"",1,0)+IF(DT1089&lt;&gt;"",1,0)+IF(DV1089&lt;&gt;"",1,0)+IF(DW1089&lt;&gt;"",1,0)+IF(DX1089&lt;&gt;"",1,0)+IF(DY1089&lt;&gt;"",1,0)+IF(DZ1089&lt;&gt;"",1,0)+IF(EB1089&lt;&gt;"",1,0)+IF(EC1089&lt;&gt;"",1,0)+IF(ED1089&lt;&gt;"",1,0)+IF(EG1089&lt;&gt;"",1,0)+IF(EH1089&lt;&gt;"",1,0)</f>
        <v/>
      </c>
      <c r="AZ1089">
        <f>IF(EH1089&lt;&gt;"",1,0)</f>
        <v/>
      </c>
      <c r="BB1089" t="inlineStr">
        <is>
          <t>WARREN-WARD 4</t>
        </is>
      </c>
    </row>
    <row r="1090">
      <c r="A1090" t="inlineStr">
        <is>
          <t>OH0027927512</t>
        </is>
      </c>
      <c r="B1090" t="n">
        <v>78</v>
      </c>
      <c r="C1090" t="n">
        <v>495544</v>
      </c>
      <c r="D1090" t="inlineStr">
        <is>
          <t>CARFAGNO RHODE</t>
        </is>
      </c>
      <c r="E1090" t="inlineStr">
        <is>
          <t>LESLEY</t>
        </is>
      </c>
      <c r="F1090">
        <f>CONCATENATE(D1090," ",LEFT(H1090,4),"T=",AU1090,"D=",AV1090,"R=",AW1090,"M=",AX1090,"L=",AY1090,"B=",AZ1090)</f>
        <v/>
      </c>
      <c r="G1090" t="inlineStr">
        <is>
          <t>DEANNA</t>
        </is>
      </c>
      <c r="I1090" t="inlineStr">
        <is>
          <t>1999-03-10</t>
        </is>
      </c>
      <c r="J1090" t="inlineStr">
        <is>
          <t>2025-03-27</t>
        </is>
      </c>
      <c r="K1090" t="inlineStr">
        <is>
          <t>CONFIRMATION</t>
        </is>
      </c>
      <c r="M1090" t="inlineStr">
        <is>
          <t>722 LAIRD AVE SE</t>
        </is>
      </c>
      <c r="N1090">
        <f>RIGHT(M1090,LEN(M1090)-FIND(" ",M1090))</f>
        <v/>
      </c>
      <c r="P1090" t="inlineStr">
        <is>
          <t>WARREN</t>
        </is>
      </c>
      <c r="Q1090" t="inlineStr">
        <is>
          <t>OH</t>
        </is>
      </c>
      <c r="R1090" t="n">
        <v>44484</v>
      </c>
      <c r="AD1090" t="inlineStr">
        <is>
          <t>TRUMBULL CAREER &amp; TECH CENTER</t>
        </is>
      </c>
      <c r="AE1090" t="inlineStr">
        <is>
          <t>WARREN CITY</t>
        </is>
      </c>
      <c r="AF1090" t="inlineStr">
        <is>
          <t>WARREN CITY SD</t>
        </is>
      </c>
      <c r="AH1090" t="n">
        <v>14</v>
      </c>
      <c r="AI1090" t="n">
        <v>11</v>
      </c>
      <c r="AN1090" t="inlineStr">
        <is>
          <t>WARREN</t>
        </is>
      </c>
      <c r="AO1090" t="inlineStr">
        <is>
          <t>WARREN CITY 4A</t>
        </is>
      </c>
      <c r="AP1090" t="inlineStr">
        <is>
          <t>78-P-ADI</t>
        </is>
      </c>
      <c r="AQ1090" t="n">
        <v>9</v>
      </c>
      <c r="AR1090" t="n">
        <v>64</v>
      </c>
      <c r="AS1090" t="n">
        <v>32</v>
      </c>
      <c r="AU1090">
        <f>COUNTA($BA$1090:$EH$1090)</f>
        <v/>
      </c>
      <c r="AV1090">
        <f>COUNTIF($BA$1090:$EH$1090,"D")</f>
        <v/>
      </c>
      <c r="AW1090">
        <f>COUNTIF($BA$1090:$EH$1090,"R")</f>
        <v/>
      </c>
      <c r="AX1090">
        <f>IF(BN1090="D",1,0)+IF(BO1090="D",1,0)+IF(BT1090="D",1,0)+IF(BU1090="D",1,0)+IF(BW1090="D",1,0)+IF(CC1090="D",1,0)+IF(CD1090="D",1,0)+IF(CE1090="D",1,0)+IF(CF1090="D",1,0)+IF(CL1090="D",1,0)+IF(CM1090="D",1,0)+IF(CQ1090="D",1,0)+IF(CR1090="D",1,0)+IF(CS1090="D",1,0)+IF(CW1090="D",1,0)+IF(CX1090="D",1,0)+IF(DD1090="D",1,0)+IF(DE1090="D",1,0)+IF(DJ1090="D",1,0)+IF(DK1090="D",1,0)+IF(DO1090="D",1,0)+IF(DP1090="D",1,0)+IF(DQ1090="D",1,0)+IF(DW1090="D",1,0)+IF(DZ1090="D",1,0)+IF(EH1090="D",1,0)</f>
        <v/>
      </c>
      <c r="AY1090">
        <f>IF(DJ1090&lt;&gt;"",1,0)+IF(DK1090&lt;&gt;"",1,0)+IF(DM1090&lt;&gt;"",1,0)+IF(DO1090&lt;&gt;"",1,0)+IF(DP1090&lt;&gt;"",1,0)+IF(DQ1090&lt;&gt;"",1,0)+IF(DS1090&lt;&gt;"",1,0)+IF(DT1090&lt;&gt;"",1,0)+IF(DV1090&lt;&gt;"",1,0)+IF(DW1090&lt;&gt;"",1,0)+IF(DX1090&lt;&gt;"",1,0)+IF(DY1090&lt;&gt;"",1,0)+IF(DZ1090&lt;&gt;"",1,0)+IF(EB1090&lt;&gt;"",1,0)+IF(EC1090&lt;&gt;"",1,0)+IF(ED1090&lt;&gt;"",1,0)+IF(EG1090&lt;&gt;"",1,0)+IF(EH1090&lt;&gt;"",1,0)</f>
        <v/>
      </c>
      <c r="AZ1090">
        <f>IF(EH1090&lt;&gt;"",1,0)</f>
        <v/>
      </c>
      <c r="BB1090" t="inlineStr">
        <is>
          <t>WARREN-WARD 4</t>
        </is>
      </c>
    </row>
    <row r="1091">
      <c r="A1091" t="inlineStr">
        <is>
          <t>OH0015813121</t>
        </is>
      </c>
      <c r="B1091" t="n">
        <v>78</v>
      </c>
      <c r="C1091" t="n">
        <v>263101</v>
      </c>
      <c r="D1091" t="inlineStr">
        <is>
          <t>BLACK</t>
        </is>
      </c>
      <c r="E1091" t="inlineStr">
        <is>
          <t>TINA</t>
        </is>
      </c>
      <c r="F1091">
        <f>CONCATENATE(D1091," ",LEFT(H1091,4),"T=",AU1091,"D=",AV1091,"R=",AW1091,"M=",AX1091,"L=",AY1091,"B=",AZ1091)</f>
        <v/>
      </c>
      <c r="G1091" t="inlineStr">
        <is>
          <t>M</t>
        </is>
      </c>
      <c r="I1091" t="inlineStr">
        <is>
          <t>1969-04-02</t>
        </is>
      </c>
      <c r="J1091" t="inlineStr">
        <is>
          <t>2024-06-03</t>
        </is>
      </c>
      <c r="K1091" t="inlineStr">
        <is>
          <t>ACTIVE</t>
        </is>
      </c>
      <c r="M1091" t="inlineStr">
        <is>
          <t>805 KENILWORTH AVE SE</t>
        </is>
      </c>
      <c r="N1091">
        <f>RIGHT(M1091,LEN(M1091)-FIND(" ",M1091))</f>
        <v/>
      </c>
      <c r="P1091" t="inlineStr">
        <is>
          <t>WARREN</t>
        </is>
      </c>
      <c r="Q1091" t="inlineStr">
        <is>
          <t>OH</t>
        </is>
      </c>
      <c r="R1091" t="n">
        <v>44484</v>
      </c>
      <c r="AD1091" t="inlineStr">
        <is>
          <t>TRUMBULL CAREER &amp; TECH CENTER</t>
        </is>
      </c>
      <c r="AE1091" t="inlineStr">
        <is>
          <t>WARREN CITY</t>
        </is>
      </c>
      <c r="AF1091" t="inlineStr">
        <is>
          <t>WARREN CITY SD</t>
        </is>
      </c>
      <c r="AH1091" t="n">
        <v>14</v>
      </c>
      <c r="AI1091" t="n">
        <v>11</v>
      </c>
      <c r="AN1091" t="inlineStr">
        <is>
          <t>WARREN</t>
        </is>
      </c>
      <c r="AO1091" t="inlineStr">
        <is>
          <t>WARREN CITY 4A</t>
        </is>
      </c>
      <c r="AP1091" t="inlineStr">
        <is>
          <t>78-P-ADI</t>
        </is>
      </c>
      <c r="AQ1091" t="n">
        <v>9</v>
      </c>
      <c r="AR1091" t="n">
        <v>64</v>
      </c>
      <c r="AS1091" t="n">
        <v>32</v>
      </c>
      <c r="AU1091">
        <f>COUNTA($BA$1091:$EH$1091)</f>
        <v/>
      </c>
      <c r="AV1091">
        <f>COUNTIF($BA$1091:$EH$1091,"D")</f>
        <v/>
      </c>
      <c r="AW1091">
        <f>COUNTIF($BA$1091:$EH$1091,"R")</f>
        <v/>
      </c>
      <c r="AX1091">
        <f>IF(BN1091="D",1,0)+IF(BO1091="D",1,0)+IF(BT1091="D",1,0)+IF(BU1091="D",1,0)+IF(BW1091="D",1,0)+IF(CC1091="D",1,0)+IF(CD1091="D",1,0)+IF(CE1091="D",1,0)+IF(CF1091="D",1,0)+IF(CL1091="D",1,0)+IF(CM1091="D",1,0)+IF(CQ1091="D",1,0)+IF(CR1091="D",1,0)+IF(CS1091="D",1,0)+IF(CW1091="D",1,0)+IF(CX1091="D",1,0)+IF(DD1091="D",1,0)+IF(DE1091="D",1,0)+IF(DJ1091="D",1,0)+IF(DK1091="D",1,0)+IF(DO1091="D",1,0)+IF(DP1091="D",1,0)+IF(DQ1091="D",1,0)+IF(DW1091="D",1,0)+IF(DZ1091="D",1,0)+IF(EH1091="D",1,0)</f>
        <v/>
      </c>
      <c r="AY1091">
        <f>IF(DJ1091&lt;&gt;"",1,0)+IF(DK1091&lt;&gt;"",1,0)+IF(DM1091&lt;&gt;"",1,0)+IF(DO1091&lt;&gt;"",1,0)+IF(DP1091&lt;&gt;"",1,0)+IF(DQ1091&lt;&gt;"",1,0)+IF(DS1091&lt;&gt;"",1,0)+IF(DT1091&lt;&gt;"",1,0)+IF(DV1091&lt;&gt;"",1,0)+IF(DW1091&lt;&gt;"",1,0)+IF(DX1091&lt;&gt;"",1,0)+IF(DY1091&lt;&gt;"",1,0)+IF(DZ1091&lt;&gt;"",1,0)+IF(EB1091&lt;&gt;"",1,0)+IF(EC1091&lt;&gt;"",1,0)+IF(ED1091&lt;&gt;"",1,0)+IF(EG1091&lt;&gt;"",1,0)+IF(EH1091&lt;&gt;"",1,0)</f>
        <v/>
      </c>
      <c r="AZ1091">
        <f>IF(EH1091&lt;&gt;"",1,0)</f>
        <v/>
      </c>
      <c r="BB1091" t="inlineStr">
        <is>
          <t>WARREN-WARD 4</t>
        </is>
      </c>
      <c r="BL1091" t="inlineStr">
        <is>
          <t>X</t>
        </is>
      </c>
      <c r="BS1091" t="inlineStr">
        <is>
          <t>X</t>
        </is>
      </c>
      <c r="BY1091" t="inlineStr">
        <is>
          <t>D</t>
        </is>
      </c>
      <c r="CA1091" t="inlineStr">
        <is>
          <t>X</t>
        </is>
      </c>
      <c r="CN1091" t="inlineStr">
        <is>
          <t>X</t>
        </is>
      </c>
      <c r="CP1091" t="inlineStr">
        <is>
          <t>X</t>
        </is>
      </c>
      <c r="CV1091" t="inlineStr">
        <is>
          <t>X</t>
        </is>
      </c>
      <c r="CY1091" t="inlineStr">
        <is>
          <t>X</t>
        </is>
      </c>
      <c r="CZ1091" t="inlineStr">
        <is>
          <t>D</t>
        </is>
      </c>
      <c r="DC1091" t="inlineStr">
        <is>
          <t>X</t>
        </is>
      </c>
      <c r="DG1091" t="inlineStr">
        <is>
          <t>D</t>
        </is>
      </c>
      <c r="DI1091" t="inlineStr">
        <is>
          <t>X</t>
        </is>
      </c>
      <c r="DN1091" t="inlineStr">
        <is>
          <t>X</t>
        </is>
      </c>
      <c r="EF1091" t="inlineStr">
        <is>
          <t>X</t>
        </is>
      </c>
    </row>
    <row r="1092">
      <c r="A1092" t="inlineStr">
        <is>
          <t>OH0024248415</t>
        </is>
      </c>
      <c r="B1092" t="n">
        <v>78</v>
      </c>
      <c r="C1092" t="n">
        <v>424666</v>
      </c>
      <c r="D1092" t="inlineStr">
        <is>
          <t>SAURUK</t>
        </is>
      </c>
      <c r="E1092" t="inlineStr">
        <is>
          <t>SONIA</t>
        </is>
      </c>
      <c r="F1092">
        <f>CONCATENATE(D1092," ",LEFT(H1092,4),"T=",AU1092,"D=",AV1092,"R=",AW1092,"M=",AX1092,"L=",AY1092,"B=",AZ1092)</f>
        <v/>
      </c>
      <c r="G1092" t="inlineStr">
        <is>
          <t>MARIE</t>
        </is>
      </c>
      <c r="I1092" t="inlineStr">
        <is>
          <t>1970-11-19</t>
        </is>
      </c>
      <c r="J1092" t="inlineStr">
        <is>
          <t>2024-11-19</t>
        </is>
      </c>
      <c r="K1092" t="inlineStr">
        <is>
          <t>ACTIVE</t>
        </is>
      </c>
      <c r="M1092" t="inlineStr">
        <is>
          <t>820 OAK KNOLL AVE SE</t>
        </is>
      </c>
      <c r="N1092">
        <f>RIGHT(M1092,LEN(M1092)-FIND(" ",M1092))</f>
        <v/>
      </c>
      <c r="P1092" t="inlineStr">
        <is>
          <t>WARREN</t>
        </is>
      </c>
      <c r="Q1092" t="inlineStr">
        <is>
          <t>OH</t>
        </is>
      </c>
      <c r="R1092" t="n">
        <v>44484</v>
      </c>
      <c r="AD1092" t="inlineStr">
        <is>
          <t>TRUMBULL CAREER &amp; TECH CENTER</t>
        </is>
      </c>
      <c r="AE1092" t="inlineStr">
        <is>
          <t>WARREN CITY</t>
        </is>
      </c>
      <c r="AF1092" t="inlineStr">
        <is>
          <t>WARREN CITY SD</t>
        </is>
      </c>
      <c r="AH1092" t="n">
        <v>14</v>
      </c>
      <c r="AI1092" t="n">
        <v>11</v>
      </c>
      <c r="AN1092" t="inlineStr">
        <is>
          <t>WARREN</t>
        </is>
      </c>
      <c r="AO1092" t="inlineStr">
        <is>
          <t>WARREN CITY 4A</t>
        </is>
      </c>
      <c r="AP1092" t="inlineStr">
        <is>
          <t>78-P-ADI</t>
        </is>
      </c>
      <c r="AQ1092" t="n">
        <v>9</v>
      </c>
      <c r="AR1092" t="n">
        <v>64</v>
      </c>
      <c r="AS1092" t="n">
        <v>32</v>
      </c>
      <c r="AU1092">
        <f>COUNTA($BA$1092:$EH$1092)</f>
        <v/>
      </c>
      <c r="AV1092">
        <f>COUNTIF($BA$1092:$EH$1092,"D")</f>
        <v/>
      </c>
      <c r="AW1092">
        <f>COUNTIF($BA$1092:$EH$1092,"R")</f>
        <v/>
      </c>
      <c r="AX1092">
        <f>IF(BN1092="D",1,0)+IF(BO1092="D",1,0)+IF(BT1092="D",1,0)+IF(BU1092="D",1,0)+IF(BW1092="D",1,0)+IF(CC1092="D",1,0)+IF(CD1092="D",1,0)+IF(CE1092="D",1,0)+IF(CF1092="D",1,0)+IF(CL1092="D",1,0)+IF(CM1092="D",1,0)+IF(CQ1092="D",1,0)+IF(CR1092="D",1,0)+IF(CS1092="D",1,0)+IF(CW1092="D",1,0)+IF(CX1092="D",1,0)+IF(DD1092="D",1,0)+IF(DE1092="D",1,0)+IF(DJ1092="D",1,0)+IF(DK1092="D",1,0)+IF(DO1092="D",1,0)+IF(DP1092="D",1,0)+IF(DQ1092="D",1,0)+IF(DW1092="D",1,0)+IF(DZ1092="D",1,0)+IF(EH1092="D",1,0)</f>
        <v/>
      </c>
      <c r="AY1092">
        <f>IF(DJ1092&lt;&gt;"",1,0)+IF(DK1092&lt;&gt;"",1,0)+IF(DM1092&lt;&gt;"",1,0)+IF(DO1092&lt;&gt;"",1,0)+IF(DP1092&lt;&gt;"",1,0)+IF(DQ1092&lt;&gt;"",1,0)+IF(DS1092&lt;&gt;"",1,0)+IF(DT1092&lt;&gt;"",1,0)+IF(DV1092&lt;&gt;"",1,0)+IF(DW1092&lt;&gt;"",1,0)+IF(DX1092&lt;&gt;"",1,0)+IF(DY1092&lt;&gt;"",1,0)+IF(DZ1092&lt;&gt;"",1,0)+IF(EB1092&lt;&gt;"",1,0)+IF(EC1092&lt;&gt;"",1,0)+IF(ED1092&lt;&gt;"",1,0)+IF(EG1092&lt;&gt;"",1,0)+IF(EH1092&lt;&gt;"",1,0)</f>
        <v/>
      </c>
      <c r="AZ1092">
        <f>IF(EH1092&lt;&gt;"",1,0)</f>
        <v/>
      </c>
      <c r="BB1092" t="inlineStr">
        <is>
          <t>WARREN-WARD 4</t>
        </is>
      </c>
    </row>
    <row r="1093">
      <c r="A1093" t="inlineStr">
        <is>
          <t>OH0015690773</t>
        </is>
      </c>
      <c r="B1093" t="n">
        <v>78</v>
      </c>
      <c r="C1093" t="n">
        <v>13566</v>
      </c>
      <c r="D1093" t="inlineStr">
        <is>
          <t>KOVACH</t>
        </is>
      </c>
      <c r="E1093" t="inlineStr">
        <is>
          <t>POLLY</t>
        </is>
      </c>
      <c r="F1093">
        <f>CONCATENATE(D1093," ",LEFT(H1093,4),"T=",AU1093,"D=",AV1093,"R=",AW1093,"M=",AX1093,"L=",AY1093,"B=",AZ1093)</f>
        <v/>
      </c>
      <c r="G1093" t="inlineStr">
        <is>
          <t>A</t>
        </is>
      </c>
      <c r="I1093" t="inlineStr">
        <is>
          <t>1942-03-30</t>
        </is>
      </c>
      <c r="J1093" t="inlineStr">
        <is>
          <t>2016-09-08</t>
        </is>
      </c>
      <c r="K1093" t="inlineStr">
        <is>
          <t>ACTIVE</t>
        </is>
      </c>
      <c r="M1093" t="inlineStr">
        <is>
          <t>209 HOMEWOOD AVE SE</t>
        </is>
      </c>
      <c r="N1093">
        <f>RIGHT(M1093,LEN(M1093)-FIND(" ",M1093))</f>
        <v/>
      </c>
      <c r="P1093" t="inlineStr">
        <is>
          <t>WARREN</t>
        </is>
      </c>
      <c r="Q1093" t="inlineStr">
        <is>
          <t>OH</t>
        </is>
      </c>
      <c r="R1093" t="n">
        <v>44483</v>
      </c>
      <c r="AD1093" t="inlineStr">
        <is>
          <t>TRUMBULL CAREER &amp; TECH CENTER</t>
        </is>
      </c>
      <c r="AE1093" t="inlineStr">
        <is>
          <t>WARREN CITY</t>
        </is>
      </c>
      <c r="AF1093" t="inlineStr">
        <is>
          <t>WARREN CITY SD</t>
        </is>
      </c>
      <c r="AH1093" t="n">
        <v>14</v>
      </c>
      <c r="AI1093" t="n">
        <v>11</v>
      </c>
      <c r="AN1093" t="inlineStr">
        <is>
          <t>WARREN</t>
        </is>
      </c>
      <c r="AO1093" t="inlineStr">
        <is>
          <t>WARREN CITY 4A</t>
        </is>
      </c>
      <c r="AP1093" t="inlineStr">
        <is>
          <t>78-P-ADI</t>
        </is>
      </c>
      <c r="AQ1093" t="n">
        <v>9</v>
      </c>
      <c r="AR1093" t="n">
        <v>64</v>
      </c>
      <c r="AS1093" t="n">
        <v>32</v>
      </c>
      <c r="AU1093">
        <f>COUNTA($BA$1093:$EH$1093)</f>
        <v/>
      </c>
      <c r="AV1093">
        <f>COUNTIF($BA$1093:$EH$1093,"D")</f>
        <v/>
      </c>
      <c r="AW1093">
        <f>COUNTIF($BA$1093:$EH$1093,"R")</f>
        <v/>
      </c>
      <c r="AX1093">
        <f>IF(BN1093="D",1,0)+IF(BO1093="D",1,0)+IF(BT1093="D",1,0)+IF(BU1093="D",1,0)+IF(BW1093="D",1,0)+IF(CC1093="D",1,0)+IF(CD1093="D",1,0)+IF(CE1093="D",1,0)+IF(CF1093="D",1,0)+IF(CL1093="D",1,0)+IF(CM1093="D",1,0)+IF(CQ1093="D",1,0)+IF(CR1093="D",1,0)+IF(CS1093="D",1,0)+IF(CW1093="D",1,0)+IF(CX1093="D",1,0)+IF(DD1093="D",1,0)+IF(DE1093="D",1,0)+IF(DJ1093="D",1,0)+IF(DK1093="D",1,0)+IF(DO1093="D",1,0)+IF(DP1093="D",1,0)+IF(DQ1093="D",1,0)+IF(DW1093="D",1,0)+IF(DZ1093="D",1,0)+IF(EH1093="D",1,0)</f>
        <v/>
      </c>
      <c r="AY1093">
        <f>IF(DJ1093&lt;&gt;"",1,0)+IF(DK1093&lt;&gt;"",1,0)+IF(DM1093&lt;&gt;"",1,0)+IF(DO1093&lt;&gt;"",1,0)+IF(DP1093&lt;&gt;"",1,0)+IF(DQ1093&lt;&gt;"",1,0)+IF(DS1093&lt;&gt;"",1,0)+IF(DT1093&lt;&gt;"",1,0)+IF(DV1093&lt;&gt;"",1,0)+IF(DW1093&lt;&gt;"",1,0)+IF(DX1093&lt;&gt;"",1,0)+IF(DY1093&lt;&gt;"",1,0)+IF(DZ1093&lt;&gt;"",1,0)+IF(EB1093&lt;&gt;"",1,0)+IF(EC1093&lt;&gt;"",1,0)+IF(ED1093&lt;&gt;"",1,0)+IF(EG1093&lt;&gt;"",1,0)+IF(EH1093&lt;&gt;"",1,0)</f>
        <v/>
      </c>
      <c r="AZ1093">
        <f>IF(EH1093&lt;&gt;"",1,0)</f>
        <v/>
      </c>
      <c r="BB1093" t="inlineStr">
        <is>
          <t>WARREN-WARD 4</t>
        </is>
      </c>
      <c r="BC1093" t="inlineStr">
        <is>
          <t>X</t>
        </is>
      </c>
      <c r="BD1093" t="inlineStr">
        <is>
          <t>X</t>
        </is>
      </c>
      <c r="BE1093" t="inlineStr">
        <is>
          <t>X</t>
        </is>
      </c>
      <c r="BH1093" t="inlineStr">
        <is>
          <t>X</t>
        </is>
      </c>
      <c r="BI1093" t="inlineStr">
        <is>
          <t>X</t>
        </is>
      </c>
      <c r="BJ1093" t="inlineStr">
        <is>
          <t>X</t>
        </is>
      </c>
      <c r="BL1093" t="inlineStr">
        <is>
          <t>X</t>
        </is>
      </c>
      <c r="BT1093" t="inlineStr">
        <is>
          <t>X</t>
        </is>
      </c>
      <c r="CP1093" t="inlineStr">
        <is>
          <t>X</t>
        </is>
      </c>
      <c r="DC1093" t="inlineStr">
        <is>
          <t>X</t>
        </is>
      </c>
      <c r="DN1093" t="inlineStr">
        <is>
          <t>X</t>
        </is>
      </c>
      <c r="DU1093" t="inlineStr">
        <is>
          <t>X</t>
        </is>
      </c>
      <c r="EF1093" t="inlineStr">
        <is>
          <t>X</t>
        </is>
      </c>
    </row>
    <row r="1094">
      <c r="A1094" t="inlineStr">
        <is>
          <t>OH0015697824</t>
        </is>
      </c>
      <c r="B1094" t="n">
        <v>78</v>
      </c>
      <c r="C1094" t="n">
        <v>154535</v>
      </c>
      <c r="D1094" t="inlineStr">
        <is>
          <t>SIMPSON</t>
        </is>
      </c>
      <c r="E1094" t="inlineStr">
        <is>
          <t>ANNIE</t>
        </is>
      </c>
      <c r="F1094">
        <f>CONCATENATE(D1094," ",LEFT(H1094,4),"T=",AU1094,"D=",AV1094,"R=",AW1094,"M=",AX1094,"L=",AY1094,"B=",AZ1094)</f>
        <v/>
      </c>
      <c r="G1094" t="inlineStr">
        <is>
          <t>B</t>
        </is>
      </c>
      <c r="I1094" t="inlineStr">
        <is>
          <t>1934-03-15</t>
        </is>
      </c>
      <c r="J1094" t="inlineStr">
        <is>
          <t>1983-05-09</t>
        </is>
      </c>
      <c r="K1094" t="inlineStr">
        <is>
          <t>ACTIVE</t>
        </is>
      </c>
      <c r="L1094" t="inlineStr">
        <is>
          <t>D</t>
        </is>
      </c>
      <c r="M1094" t="inlineStr">
        <is>
          <t>705 OAK KNOLL AVE SE</t>
        </is>
      </c>
      <c r="N1094">
        <f>RIGHT(M1094,LEN(M1094)-FIND(" ",M1094))</f>
        <v/>
      </c>
      <c r="P1094" t="inlineStr">
        <is>
          <t>WARREN</t>
        </is>
      </c>
      <c r="Q1094" t="inlineStr">
        <is>
          <t>OH</t>
        </is>
      </c>
      <c r="R1094" t="n">
        <v>44484</v>
      </c>
      <c r="AD1094" t="inlineStr">
        <is>
          <t>TRUMBULL CAREER &amp; TECH CENTER</t>
        </is>
      </c>
      <c r="AE1094" t="inlineStr">
        <is>
          <t>WARREN CITY</t>
        </is>
      </c>
      <c r="AF1094" t="inlineStr">
        <is>
          <t>WARREN CITY SD</t>
        </is>
      </c>
      <c r="AH1094" t="n">
        <v>14</v>
      </c>
      <c r="AI1094" t="n">
        <v>11</v>
      </c>
      <c r="AN1094" t="inlineStr">
        <is>
          <t>WARREN</t>
        </is>
      </c>
      <c r="AO1094" t="inlineStr">
        <is>
          <t>WARREN CITY 4A</t>
        </is>
      </c>
      <c r="AP1094" t="inlineStr">
        <is>
          <t>78-P-ADI</t>
        </is>
      </c>
      <c r="AQ1094" t="n">
        <v>9</v>
      </c>
      <c r="AR1094" t="n">
        <v>64</v>
      </c>
      <c r="AS1094" t="n">
        <v>32</v>
      </c>
      <c r="AU1094">
        <f>COUNTA($BA$1094:$EH$1094)</f>
        <v/>
      </c>
      <c r="AV1094">
        <f>COUNTIF($BA$1094:$EH$1094,"D")</f>
        <v/>
      </c>
      <c r="AW1094">
        <f>COUNTIF($BA$1094:$EH$1094,"R")</f>
        <v/>
      </c>
      <c r="AX1094">
        <f>IF(BN1094="D",1,0)+IF(BO1094="D",1,0)+IF(BT1094="D",1,0)+IF(BU1094="D",1,0)+IF(BW1094="D",1,0)+IF(CC1094="D",1,0)+IF(CD1094="D",1,0)+IF(CE1094="D",1,0)+IF(CF1094="D",1,0)+IF(CL1094="D",1,0)+IF(CM1094="D",1,0)+IF(CQ1094="D",1,0)+IF(CR1094="D",1,0)+IF(CS1094="D",1,0)+IF(CW1094="D",1,0)+IF(CX1094="D",1,0)+IF(DD1094="D",1,0)+IF(DE1094="D",1,0)+IF(DJ1094="D",1,0)+IF(DK1094="D",1,0)+IF(DO1094="D",1,0)+IF(DP1094="D",1,0)+IF(DQ1094="D",1,0)+IF(DW1094="D",1,0)+IF(DZ1094="D",1,0)+IF(EH1094="D",1,0)</f>
        <v/>
      </c>
      <c r="AY1094">
        <f>IF(DJ1094&lt;&gt;"",1,0)+IF(DK1094&lt;&gt;"",1,0)+IF(DM1094&lt;&gt;"",1,0)+IF(DO1094&lt;&gt;"",1,0)+IF(DP1094&lt;&gt;"",1,0)+IF(DQ1094&lt;&gt;"",1,0)+IF(DS1094&lt;&gt;"",1,0)+IF(DT1094&lt;&gt;"",1,0)+IF(DV1094&lt;&gt;"",1,0)+IF(DW1094&lt;&gt;"",1,0)+IF(DX1094&lt;&gt;"",1,0)+IF(DY1094&lt;&gt;"",1,0)+IF(DZ1094&lt;&gt;"",1,0)+IF(EB1094&lt;&gt;"",1,0)+IF(EC1094&lt;&gt;"",1,0)+IF(ED1094&lt;&gt;"",1,0)+IF(EG1094&lt;&gt;"",1,0)+IF(EH1094&lt;&gt;"",1,0)</f>
        <v/>
      </c>
      <c r="AZ1094">
        <f>IF(EH1094&lt;&gt;"",1,0)</f>
        <v/>
      </c>
      <c r="BB1094" t="inlineStr">
        <is>
          <t>WARREN-WARD 4</t>
        </is>
      </c>
      <c r="BC1094" t="inlineStr">
        <is>
          <t>X</t>
        </is>
      </c>
      <c r="BD1094" t="inlineStr">
        <is>
          <t>X</t>
        </is>
      </c>
      <c r="BE1094" t="inlineStr">
        <is>
          <t>X</t>
        </is>
      </c>
      <c r="BF1094" t="inlineStr">
        <is>
          <t>X</t>
        </is>
      </c>
      <c r="BH1094" t="inlineStr">
        <is>
          <t>X</t>
        </is>
      </c>
      <c r="BI1094" t="inlineStr">
        <is>
          <t>X</t>
        </is>
      </c>
      <c r="BJ1094" t="inlineStr">
        <is>
          <t>X</t>
        </is>
      </c>
      <c r="BL1094" t="inlineStr">
        <is>
          <t>X</t>
        </is>
      </c>
      <c r="BP1094" t="inlineStr">
        <is>
          <t>X</t>
        </is>
      </c>
      <c r="BS1094" t="inlineStr">
        <is>
          <t>X</t>
        </is>
      </c>
      <c r="BY1094" t="inlineStr">
        <is>
          <t>D</t>
        </is>
      </c>
      <c r="CA1094" t="inlineStr">
        <is>
          <t>X</t>
        </is>
      </c>
      <c r="CG1094" t="inlineStr">
        <is>
          <t>X</t>
        </is>
      </c>
      <c r="CK1094" t="inlineStr">
        <is>
          <t>X</t>
        </is>
      </c>
      <c r="CL1094" t="inlineStr">
        <is>
          <t>D</t>
        </is>
      </c>
      <c r="CN1094" t="inlineStr">
        <is>
          <t>X</t>
        </is>
      </c>
      <c r="CP1094" t="inlineStr">
        <is>
          <t>X</t>
        </is>
      </c>
      <c r="CV1094" t="inlineStr">
        <is>
          <t>X</t>
        </is>
      </c>
      <c r="CY1094" t="inlineStr">
        <is>
          <t>X</t>
        </is>
      </c>
      <c r="CZ1094" t="inlineStr">
        <is>
          <t>D</t>
        </is>
      </c>
      <c r="DC1094" t="inlineStr">
        <is>
          <t>X</t>
        </is>
      </c>
      <c r="DI1094" t="inlineStr">
        <is>
          <t>X</t>
        </is>
      </c>
      <c r="DM1094" t="inlineStr">
        <is>
          <t>D</t>
        </is>
      </c>
      <c r="DN1094" t="inlineStr">
        <is>
          <t>X</t>
        </is>
      </c>
      <c r="DT1094" t="inlineStr">
        <is>
          <t>D</t>
        </is>
      </c>
      <c r="DU1094" t="inlineStr">
        <is>
          <t>X</t>
        </is>
      </c>
      <c r="DW1094" t="inlineStr">
        <is>
          <t>D</t>
        </is>
      </c>
      <c r="DX1094" t="inlineStr">
        <is>
          <t>X</t>
        </is>
      </c>
      <c r="EA1094" t="inlineStr">
        <is>
          <t>X</t>
        </is>
      </c>
      <c r="ED1094" t="inlineStr">
        <is>
          <t>D</t>
        </is>
      </c>
      <c r="EF1094" t="inlineStr">
        <is>
          <t>X</t>
        </is>
      </c>
      <c r="EH1094" t="inlineStr">
        <is>
          <t>D</t>
        </is>
      </c>
    </row>
    <row r="1095">
      <c r="A1095" t="inlineStr">
        <is>
          <t>OH0027589786</t>
        </is>
      </c>
      <c r="B1095" t="n">
        <v>78</v>
      </c>
      <c r="C1095" t="n">
        <v>488934</v>
      </c>
      <c r="D1095" t="inlineStr">
        <is>
          <t>FRANCIS</t>
        </is>
      </c>
      <c r="E1095" t="inlineStr">
        <is>
          <t>BROOKE</t>
        </is>
      </c>
      <c r="F1095">
        <f>CONCATENATE(D1095," ",LEFT(H1095,4),"T=",AU1095,"D=",AV1095,"R=",AW1095,"M=",AX1095,"L=",AY1095,"B=",AZ1095)</f>
        <v/>
      </c>
      <c r="G1095" t="inlineStr">
        <is>
          <t>L</t>
        </is>
      </c>
      <c r="I1095" t="inlineStr">
        <is>
          <t>1994-05-09</t>
        </is>
      </c>
      <c r="J1095" t="inlineStr">
        <is>
          <t>2024-09-05</t>
        </is>
      </c>
      <c r="K1095" t="inlineStr">
        <is>
          <t>ACTIVE</t>
        </is>
      </c>
      <c r="M1095" t="inlineStr">
        <is>
          <t>431 WASHINGTON ST NE</t>
        </is>
      </c>
      <c r="N1095">
        <f>RIGHT(M1095,LEN(M1095)-FIND(" ",M1095))</f>
        <v/>
      </c>
      <c r="P1095" t="inlineStr">
        <is>
          <t>WARREN</t>
        </is>
      </c>
      <c r="Q1095" t="inlineStr">
        <is>
          <t>OH</t>
        </is>
      </c>
      <c r="R1095" t="n">
        <v>44483</v>
      </c>
      <c r="AD1095" t="inlineStr">
        <is>
          <t>TRUMBULL CAREER &amp; TECH CENTER</t>
        </is>
      </c>
      <c r="AE1095" t="inlineStr">
        <is>
          <t>WARREN CITY</t>
        </is>
      </c>
      <c r="AF1095" t="inlineStr">
        <is>
          <t>WARREN CITY SD</t>
        </is>
      </c>
      <c r="AH1095" t="n">
        <v>14</v>
      </c>
      <c r="AI1095" t="n">
        <v>11</v>
      </c>
      <c r="AN1095" t="inlineStr">
        <is>
          <t>WARREN</t>
        </is>
      </c>
      <c r="AO1095" t="inlineStr">
        <is>
          <t>WARREN CITY 4D</t>
        </is>
      </c>
      <c r="AP1095" t="inlineStr">
        <is>
          <t>78-P-ADL</t>
        </is>
      </c>
      <c r="AQ1095" t="n">
        <v>9</v>
      </c>
      <c r="AR1095" t="n">
        <v>64</v>
      </c>
      <c r="AS1095" t="n">
        <v>32</v>
      </c>
      <c r="AU1095">
        <f>COUNTA($BA$1095:$EH$1095)</f>
        <v/>
      </c>
      <c r="AV1095">
        <f>COUNTIF($BA$1095:$EH$1095,"D")</f>
        <v/>
      </c>
      <c r="AW1095">
        <f>COUNTIF($BA$1095:$EH$1095,"R")</f>
        <v/>
      </c>
      <c r="AX1095">
        <f>IF(BN1095="D",1,0)+IF(BO1095="D",1,0)+IF(BT1095="D",1,0)+IF(BU1095="D",1,0)+IF(BW1095="D",1,0)+IF(CC1095="D",1,0)+IF(CD1095="D",1,0)+IF(CE1095="D",1,0)+IF(CF1095="D",1,0)+IF(CL1095="D",1,0)+IF(CM1095="D",1,0)+IF(CQ1095="D",1,0)+IF(CR1095="D",1,0)+IF(CS1095="D",1,0)+IF(CW1095="D",1,0)+IF(CX1095="D",1,0)+IF(DD1095="D",1,0)+IF(DE1095="D",1,0)+IF(DJ1095="D",1,0)+IF(DK1095="D",1,0)+IF(DO1095="D",1,0)+IF(DP1095="D",1,0)+IF(DQ1095="D",1,0)+IF(DW1095="D",1,0)+IF(DZ1095="D",1,0)+IF(EH1095="D",1,0)</f>
        <v/>
      </c>
      <c r="AY1095">
        <f>IF(DJ1095&lt;&gt;"",1,0)+IF(DK1095&lt;&gt;"",1,0)+IF(DM1095&lt;&gt;"",1,0)+IF(DO1095&lt;&gt;"",1,0)+IF(DP1095&lt;&gt;"",1,0)+IF(DQ1095&lt;&gt;"",1,0)+IF(DS1095&lt;&gt;"",1,0)+IF(DT1095&lt;&gt;"",1,0)+IF(DV1095&lt;&gt;"",1,0)+IF(DW1095&lt;&gt;"",1,0)+IF(DX1095&lt;&gt;"",1,0)+IF(DY1095&lt;&gt;"",1,0)+IF(DZ1095&lt;&gt;"",1,0)+IF(EB1095&lt;&gt;"",1,0)+IF(EC1095&lt;&gt;"",1,0)+IF(ED1095&lt;&gt;"",1,0)+IF(EG1095&lt;&gt;"",1,0)+IF(EH1095&lt;&gt;"",1,0)</f>
        <v/>
      </c>
      <c r="AZ1095">
        <f>IF(EH1095&lt;&gt;"",1,0)</f>
        <v/>
      </c>
      <c r="BB1095" t="inlineStr">
        <is>
          <t>WARREN-WARD 4</t>
        </is>
      </c>
      <c r="DC1095" t="inlineStr">
        <is>
          <t>X</t>
        </is>
      </c>
      <c r="DN1095" t="inlineStr">
        <is>
          <t>X</t>
        </is>
      </c>
    </row>
    <row r="1096">
      <c r="A1096" t="inlineStr">
        <is>
          <t>OH0027335629</t>
        </is>
      </c>
      <c r="B1096" t="n">
        <v>78</v>
      </c>
      <c r="C1096" t="n">
        <v>484807</v>
      </c>
      <c r="D1096" t="inlineStr">
        <is>
          <t>SHELLENHAMER</t>
        </is>
      </c>
      <c r="E1096" t="inlineStr">
        <is>
          <t>KASSIDY</t>
        </is>
      </c>
      <c r="F1096">
        <f>CONCATENATE(D1096," ",LEFT(H1096,4),"T=",AU1096,"D=",AV1096,"R=",AW1096,"M=",AX1096,"L=",AY1096,"B=",AZ1096)</f>
        <v/>
      </c>
      <c r="G1096" t="inlineStr">
        <is>
          <t>ANNE</t>
        </is>
      </c>
      <c r="I1096" t="inlineStr">
        <is>
          <t>1998-12-08</t>
        </is>
      </c>
      <c r="J1096" t="inlineStr">
        <is>
          <t>2024-04-19</t>
        </is>
      </c>
      <c r="K1096" t="inlineStr">
        <is>
          <t>ACTIVE</t>
        </is>
      </c>
      <c r="M1096" t="inlineStr">
        <is>
          <t>351 CHESTNUT AVE NE</t>
        </is>
      </c>
      <c r="N1096">
        <f>RIGHT(M1096,LEN(M1096)-FIND(" ",M1096))</f>
        <v/>
      </c>
      <c r="P1096" t="inlineStr">
        <is>
          <t>WARREN</t>
        </is>
      </c>
      <c r="Q1096" t="inlineStr">
        <is>
          <t>OH</t>
        </is>
      </c>
      <c r="R1096" t="n">
        <v>44483</v>
      </c>
      <c r="AD1096" t="inlineStr">
        <is>
          <t>TRUMBULL CAREER &amp; TECH CENTER</t>
        </is>
      </c>
      <c r="AE1096" t="inlineStr">
        <is>
          <t>WARREN CITY</t>
        </is>
      </c>
      <c r="AF1096" t="inlineStr">
        <is>
          <t>WARREN CITY SD</t>
        </is>
      </c>
      <c r="AH1096" t="n">
        <v>14</v>
      </c>
      <c r="AI1096" t="n">
        <v>11</v>
      </c>
      <c r="AN1096" t="inlineStr">
        <is>
          <t>WARREN</t>
        </is>
      </c>
      <c r="AO1096" t="inlineStr">
        <is>
          <t>WARREN CITY 4D</t>
        </is>
      </c>
      <c r="AP1096" t="inlineStr">
        <is>
          <t>78-P-ADL</t>
        </is>
      </c>
      <c r="AQ1096" t="n">
        <v>9</v>
      </c>
      <c r="AR1096" t="n">
        <v>64</v>
      </c>
      <c r="AS1096" t="n">
        <v>32</v>
      </c>
      <c r="AU1096">
        <f>COUNTA($BA$1096:$EH$1096)</f>
        <v/>
      </c>
      <c r="AV1096">
        <f>COUNTIF($BA$1096:$EH$1096,"D")</f>
        <v/>
      </c>
      <c r="AW1096">
        <f>COUNTIF($BA$1096:$EH$1096,"R")</f>
        <v/>
      </c>
      <c r="AX1096">
        <f>IF(BN1096="D",1,0)+IF(BO1096="D",1,0)+IF(BT1096="D",1,0)+IF(BU1096="D",1,0)+IF(BW1096="D",1,0)+IF(CC1096="D",1,0)+IF(CD1096="D",1,0)+IF(CE1096="D",1,0)+IF(CF1096="D",1,0)+IF(CL1096="D",1,0)+IF(CM1096="D",1,0)+IF(CQ1096="D",1,0)+IF(CR1096="D",1,0)+IF(CS1096="D",1,0)+IF(CW1096="D",1,0)+IF(CX1096="D",1,0)+IF(DD1096="D",1,0)+IF(DE1096="D",1,0)+IF(DJ1096="D",1,0)+IF(DK1096="D",1,0)+IF(DO1096="D",1,0)+IF(DP1096="D",1,0)+IF(DQ1096="D",1,0)+IF(DW1096="D",1,0)+IF(DZ1096="D",1,0)+IF(EH1096="D",1,0)</f>
        <v/>
      </c>
      <c r="AY1096">
        <f>IF(DJ1096&lt;&gt;"",1,0)+IF(DK1096&lt;&gt;"",1,0)+IF(DM1096&lt;&gt;"",1,0)+IF(DO1096&lt;&gt;"",1,0)+IF(DP1096&lt;&gt;"",1,0)+IF(DQ1096&lt;&gt;"",1,0)+IF(DS1096&lt;&gt;"",1,0)+IF(DT1096&lt;&gt;"",1,0)+IF(DV1096&lt;&gt;"",1,0)+IF(DW1096&lt;&gt;"",1,0)+IF(DX1096&lt;&gt;"",1,0)+IF(DY1096&lt;&gt;"",1,0)+IF(DZ1096&lt;&gt;"",1,0)+IF(EB1096&lt;&gt;"",1,0)+IF(EC1096&lt;&gt;"",1,0)+IF(ED1096&lt;&gt;"",1,0)+IF(EG1096&lt;&gt;"",1,0)+IF(EH1096&lt;&gt;"",1,0)</f>
        <v/>
      </c>
      <c r="AZ1096">
        <f>IF(EH1096&lt;&gt;"",1,0)</f>
        <v/>
      </c>
      <c r="BB1096" t="inlineStr">
        <is>
          <t>WARREN-WARD 4</t>
        </is>
      </c>
    </row>
    <row r="1097">
      <c r="A1097" t="inlineStr">
        <is>
          <t>OH0019790282</t>
        </is>
      </c>
      <c r="B1097" t="n">
        <v>78</v>
      </c>
      <c r="C1097" t="n">
        <v>359190</v>
      </c>
      <c r="D1097" t="inlineStr">
        <is>
          <t>WALKER</t>
        </is>
      </c>
      <c r="E1097" t="inlineStr">
        <is>
          <t>CHELSEE</t>
        </is>
      </c>
      <c r="F1097">
        <f>CONCATENATE(D1097," ",LEFT(H1097,4),"T=",AU1097,"D=",AV1097,"R=",AW1097,"M=",AX1097,"L=",AY1097,"B=",AZ1097)</f>
        <v/>
      </c>
      <c r="G1097" t="inlineStr">
        <is>
          <t>ELLEN</t>
        </is>
      </c>
      <c r="I1097" t="inlineStr">
        <is>
          <t>1985-11-19</t>
        </is>
      </c>
      <c r="J1097" t="inlineStr">
        <is>
          <t>2016-12-08</t>
        </is>
      </c>
      <c r="K1097" t="inlineStr">
        <is>
          <t>ACTIVE</t>
        </is>
      </c>
      <c r="M1097" t="inlineStr">
        <is>
          <t>182 HIGH ST NE</t>
        </is>
      </c>
      <c r="N1097">
        <f>RIGHT(M1097,LEN(M1097)-FIND(" ",M1097))</f>
        <v/>
      </c>
      <c r="O1097" t="inlineStr">
        <is>
          <t>APT 207</t>
        </is>
      </c>
      <c r="P1097" t="inlineStr">
        <is>
          <t>WARREN</t>
        </is>
      </c>
      <c r="Q1097" t="inlineStr">
        <is>
          <t>OH</t>
        </is>
      </c>
      <c r="R1097" t="n">
        <v>44481</v>
      </c>
      <c r="AD1097" t="inlineStr">
        <is>
          <t>TRUMBULL CAREER &amp; TECH CENTER</t>
        </is>
      </c>
      <c r="AE1097" t="inlineStr">
        <is>
          <t>WARREN CITY</t>
        </is>
      </c>
      <c r="AF1097" t="inlineStr">
        <is>
          <t>WARREN CITY SD</t>
        </is>
      </c>
      <c r="AH1097" t="n">
        <v>14</v>
      </c>
      <c r="AI1097" t="n">
        <v>11</v>
      </c>
      <c r="AN1097" t="inlineStr">
        <is>
          <t>WARREN</t>
        </is>
      </c>
      <c r="AO1097" t="inlineStr">
        <is>
          <t>WARREN CITY 4D</t>
        </is>
      </c>
      <c r="AP1097" t="inlineStr">
        <is>
          <t>78-P-ADL</t>
        </is>
      </c>
      <c r="AQ1097" t="n">
        <v>9</v>
      </c>
      <c r="AR1097" t="n">
        <v>64</v>
      </c>
      <c r="AS1097" t="n">
        <v>32</v>
      </c>
      <c r="AU1097">
        <f>COUNTA($BA$1097:$EH$1097)</f>
        <v/>
      </c>
      <c r="AV1097">
        <f>COUNTIF($BA$1097:$EH$1097,"D")</f>
        <v/>
      </c>
      <c r="AW1097">
        <f>COUNTIF($BA$1097:$EH$1097,"R")</f>
        <v/>
      </c>
      <c r="AX1097">
        <f>IF(BN1097="D",1,0)+IF(BO1097="D",1,0)+IF(BT1097="D",1,0)+IF(BU1097="D",1,0)+IF(BW1097="D",1,0)+IF(CC1097="D",1,0)+IF(CD1097="D",1,0)+IF(CE1097="D",1,0)+IF(CF1097="D",1,0)+IF(CL1097="D",1,0)+IF(CM1097="D",1,0)+IF(CQ1097="D",1,0)+IF(CR1097="D",1,0)+IF(CS1097="D",1,0)+IF(CW1097="D",1,0)+IF(CX1097="D",1,0)+IF(DD1097="D",1,0)+IF(DE1097="D",1,0)+IF(DJ1097="D",1,0)+IF(DK1097="D",1,0)+IF(DO1097="D",1,0)+IF(DP1097="D",1,0)+IF(DQ1097="D",1,0)+IF(DW1097="D",1,0)+IF(DZ1097="D",1,0)+IF(EH1097="D",1,0)</f>
        <v/>
      </c>
      <c r="AY1097">
        <f>IF(DJ1097&lt;&gt;"",1,0)+IF(DK1097&lt;&gt;"",1,0)+IF(DM1097&lt;&gt;"",1,0)+IF(DO1097&lt;&gt;"",1,0)+IF(DP1097&lt;&gt;"",1,0)+IF(DQ1097&lt;&gt;"",1,0)+IF(DS1097&lt;&gt;"",1,0)+IF(DT1097&lt;&gt;"",1,0)+IF(DV1097&lt;&gt;"",1,0)+IF(DW1097&lt;&gt;"",1,0)+IF(DX1097&lt;&gt;"",1,0)+IF(DY1097&lt;&gt;"",1,0)+IF(DZ1097&lt;&gt;"",1,0)+IF(EB1097&lt;&gt;"",1,0)+IF(EC1097&lt;&gt;"",1,0)+IF(ED1097&lt;&gt;"",1,0)+IF(EG1097&lt;&gt;"",1,0)+IF(EH1097&lt;&gt;"",1,0)</f>
        <v/>
      </c>
      <c r="AZ1097">
        <f>IF(EH1097&lt;&gt;"",1,0)</f>
        <v/>
      </c>
      <c r="BB1097" t="inlineStr">
        <is>
          <t>WARREN-WARD 4</t>
        </is>
      </c>
      <c r="BL1097" t="inlineStr">
        <is>
          <t>X</t>
        </is>
      </c>
      <c r="CA1097" t="inlineStr">
        <is>
          <t>X</t>
        </is>
      </c>
      <c r="CK1097" t="inlineStr">
        <is>
          <t>X</t>
        </is>
      </c>
      <c r="CP1097" t="inlineStr">
        <is>
          <t>X</t>
        </is>
      </c>
      <c r="DC1097" t="inlineStr">
        <is>
          <t>X</t>
        </is>
      </c>
      <c r="DI1097" t="inlineStr">
        <is>
          <t>X</t>
        </is>
      </c>
      <c r="DN1097" t="inlineStr">
        <is>
          <t>X</t>
        </is>
      </c>
      <c r="DX1097" t="inlineStr">
        <is>
          <t>X</t>
        </is>
      </c>
      <c r="EA1097" t="inlineStr">
        <is>
          <t>X</t>
        </is>
      </c>
      <c r="EF1097" t="inlineStr">
        <is>
          <t>X</t>
        </is>
      </c>
    </row>
    <row r="1098">
      <c r="A1098" t="inlineStr">
        <is>
          <t>OH0027082449</t>
        </is>
      </c>
      <c r="B1098" t="n">
        <v>78</v>
      </c>
      <c r="C1098" t="n">
        <v>476750</v>
      </c>
      <c r="D1098" t="inlineStr">
        <is>
          <t>LOCKLEAR</t>
        </is>
      </c>
      <c r="E1098" t="inlineStr">
        <is>
          <t>MAZIE</t>
        </is>
      </c>
      <c r="F1098">
        <f>CONCATENATE(D1098," ",LEFT(H1098,4),"T=",AU1098,"D=",AV1098,"R=",AW1098,"M=",AX1098,"L=",AY1098,"B=",AZ1098)</f>
        <v/>
      </c>
      <c r="G1098" t="inlineStr">
        <is>
          <t>SUE ANN</t>
        </is>
      </c>
      <c r="I1098" t="inlineStr">
        <is>
          <t>2005-09-20</t>
        </is>
      </c>
      <c r="J1098" t="inlineStr">
        <is>
          <t>2025-05-31</t>
        </is>
      </c>
      <c r="K1098" t="inlineStr">
        <is>
          <t>ACTIVE</t>
        </is>
      </c>
      <c r="M1098" t="inlineStr">
        <is>
          <t>728 PORTER ST NE</t>
        </is>
      </c>
      <c r="N1098">
        <f>RIGHT(M1098,LEN(M1098)-FIND(" ",M1098))</f>
        <v/>
      </c>
      <c r="P1098" t="inlineStr">
        <is>
          <t>WARREN</t>
        </is>
      </c>
      <c r="Q1098" t="inlineStr">
        <is>
          <t>OH</t>
        </is>
      </c>
      <c r="R1098" t="n">
        <v>44483</v>
      </c>
      <c r="AD1098" t="inlineStr">
        <is>
          <t>TRUMBULL CAREER &amp; TECH CENTER</t>
        </is>
      </c>
      <c r="AE1098" t="inlineStr">
        <is>
          <t>WARREN CITY</t>
        </is>
      </c>
      <c r="AF1098" t="inlineStr">
        <is>
          <t>WARREN CITY SD</t>
        </is>
      </c>
      <c r="AH1098" t="n">
        <v>14</v>
      </c>
      <c r="AI1098" t="n">
        <v>11</v>
      </c>
      <c r="AN1098" t="inlineStr">
        <is>
          <t>WARREN</t>
        </is>
      </c>
      <c r="AO1098" t="inlineStr">
        <is>
          <t>WARREN CITY 4D</t>
        </is>
      </c>
      <c r="AP1098" t="inlineStr">
        <is>
          <t>78-P-ADL</t>
        </is>
      </c>
      <c r="AQ1098" t="n">
        <v>9</v>
      </c>
      <c r="AR1098" t="n">
        <v>64</v>
      </c>
      <c r="AS1098" t="n">
        <v>32</v>
      </c>
      <c r="AU1098">
        <f>COUNTA($BA$1098:$EH$1098)</f>
        <v/>
      </c>
      <c r="AV1098">
        <f>COUNTIF($BA$1098:$EH$1098,"D")</f>
        <v/>
      </c>
      <c r="AW1098">
        <f>COUNTIF($BA$1098:$EH$1098,"R")</f>
        <v/>
      </c>
      <c r="AX1098">
        <f>IF(BN1098="D",1,0)+IF(BO1098="D",1,0)+IF(BT1098="D",1,0)+IF(BU1098="D",1,0)+IF(BW1098="D",1,0)+IF(CC1098="D",1,0)+IF(CD1098="D",1,0)+IF(CE1098="D",1,0)+IF(CF1098="D",1,0)+IF(CL1098="D",1,0)+IF(CM1098="D",1,0)+IF(CQ1098="D",1,0)+IF(CR1098="D",1,0)+IF(CS1098="D",1,0)+IF(CW1098="D",1,0)+IF(CX1098="D",1,0)+IF(DD1098="D",1,0)+IF(DE1098="D",1,0)+IF(DJ1098="D",1,0)+IF(DK1098="D",1,0)+IF(DO1098="D",1,0)+IF(DP1098="D",1,0)+IF(DQ1098="D",1,0)+IF(DW1098="D",1,0)+IF(DZ1098="D",1,0)+IF(EH1098="D",1,0)</f>
        <v/>
      </c>
      <c r="AY1098">
        <f>IF(DJ1098&lt;&gt;"",1,0)+IF(DK1098&lt;&gt;"",1,0)+IF(DM1098&lt;&gt;"",1,0)+IF(DO1098&lt;&gt;"",1,0)+IF(DP1098&lt;&gt;"",1,0)+IF(DQ1098&lt;&gt;"",1,0)+IF(DS1098&lt;&gt;"",1,0)+IF(DT1098&lt;&gt;"",1,0)+IF(DV1098&lt;&gt;"",1,0)+IF(DW1098&lt;&gt;"",1,0)+IF(DX1098&lt;&gt;"",1,0)+IF(DY1098&lt;&gt;"",1,0)+IF(DZ1098&lt;&gt;"",1,0)+IF(EB1098&lt;&gt;"",1,0)+IF(EC1098&lt;&gt;"",1,0)+IF(ED1098&lt;&gt;"",1,0)+IF(EG1098&lt;&gt;"",1,0)+IF(EH1098&lt;&gt;"",1,0)</f>
        <v/>
      </c>
      <c r="AZ1098">
        <f>IF(EH1098&lt;&gt;"",1,0)</f>
        <v/>
      </c>
      <c r="BB1098" t="inlineStr">
        <is>
          <t>WARREN-WARD 4</t>
        </is>
      </c>
      <c r="EA1098" t="inlineStr">
        <is>
          <t>X</t>
        </is>
      </c>
    </row>
    <row r="1099">
      <c r="A1099" t="inlineStr">
        <is>
          <t>OH0027838839</t>
        </is>
      </c>
      <c r="B1099" t="n">
        <v>78</v>
      </c>
      <c r="C1099" t="n">
        <v>492169</v>
      </c>
      <c r="D1099" t="inlineStr">
        <is>
          <t>SHOTWELL</t>
        </is>
      </c>
      <c r="E1099" t="inlineStr">
        <is>
          <t>CHRISTOPHER</t>
        </is>
      </c>
      <c r="F1099">
        <f>CONCATENATE(D1099," ",LEFT(H1099,4),"T=",AU1099,"D=",AV1099,"R=",AW1099,"M=",AX1099,"L=",AY1099,"B=",AZ1099)</f>
        <v/>
      </c>
      <c r="G1099" t="inlineStr">
        <is>
          <t>FRED</t>
        </is>
      </c>
      <c r="I1099" t="inlineStr">
        <is>
          <t>1995-09-11</t>
        </is>
      </c>
      <c r="J1099" t="inlineStr">
        <is>
          <t>2024-10-11</t>
        </is>
      </c>
      <c r="K1099" t="inlineStr">
        <is>
          <t>ACTIVE</t>
        </is>
      </c>
      <c r="M1099" t="inlineStr">
        <is>
          <t>157 PORTER ST NE</t>
        </is>
      </c>
      <c r="N1099">
        <f>RIGHT(M1099,LEN(M1099)-FIND(" ",M1099))</f>
        <v/>
      </c>
      <c r="O1099" t="inlineStr">
        <is>
          <t>1</t>
        </is>
      </c>
      <c r="P1099" t="inlineStr">
        <is>
          <t>WARREN</t>
        </is>
      </c>
      <c r="Q1099" t="inlineStr">
        <is>
          <t>OH</t>
        </is>
      </c>
      <c r="R1099" t="n">
        <v>44483</v>
      </c>
      <c r="AD1099" t="inlineStr">
        <is>
          <t>TRUMBULL CAREER &amp; TECH CENTER</t>
        </is>
      </c>
      <c r="AE1099" t="inlineStr">
        <is>
          <t>WARREN CITY</t>
        </is>
      </c>
      <c r="AF1099" t="inlineStr">
        <is>
          <t>WARREN CITY SD</t>
        </is>
      </c>
      <c r="AH1099" t="n">
        <v>14</v>
      </c>
      <c r="AI1099" t="n">
        <v>11</v>
      </c>
      <c r="AN1099" t="inlineStr">
        <is>
          <t>WARREN</t>
        </is>
      </c>
      <c r="AO1099" t="inlineStr">
        <is>
          <t>WARREN CITY 4D</t>
        </is>
      </c>
      <c r="AP1099" t="inlineStr">
        <is>
          <t>78-P-ADL</t>
        </is>
      </c>
      <c r="AQ1099" t="n">
        <v>9</v>
      </c>
      <c r="AR1099" t="n">
        <v>64</v>
      </c>
      <c r="AS1099" t="n">
        <v>32</v>
      </c>
      <c r="AU1099">
        <f>COUNTA($BA$1099:$EH$1099)</f>
        <v/>
      </c>
      <c r="AV1099">
        <f>COUNTIF($BA$1099:$EH$1099,"D")</f>
        <v/>
      </c>
      <c r="AW1099">
        <f>COUNTIF($BA$1099:$EH$1099,"R")</f>
        <v/>
      </c>
      <c r="AX1099">
        <f>IF(BN1099="D",1,0)+IF(BO1099="D",1,0)+IF(BT1099="D",1,0)+IF(BU1099="D",1,0)+IF(BW1099="D",1,0)+IF(CC1099="D",1,0)+IF(CD1099="D",1,0)+IF(CE1099="D",1,0)+IF(CF1099="D",1,0)+IF(CL1099="D",1,0)+IF(CM1099="D",1,0)+IF(CQ1099="D",1,0)+IF(CR1099="D",1,0)+IF(CS1099="D",1,0)+IF(CW1099="D",1,0)+IF(CX1099="D",1,0)+IF(DD1099="D",1,0)+IF(DE1099="D",1,0)+IF(DJ1099="D",1,0)+IF(DK1099="D",1,0)+IF(DO1099="D",1,0)+IF(DP1099="D",1,0)+IF(DQ1099="D",1,0)+IF(DW1099="D",1,0)+IF(DZ1099="D",1,0)+IF(EH1099="D",1,0)</f>
        <v/>
      </c>
      <c r="AY1099">
        <f>IF(DJ1099&lt;&gt;"",1,0)+IF(DK1099&lt;&gt;"",1,0)+IF(DM1099&lt;&gt;"",1,0)+IF(DO1099&lt;&gt;"",1,0)+IF(DP1099&lt;&gt;"",1,0)+IF(DQ1099&lt;&gt;"",1,0)+IF(DS1099&lt;&gt;"",1,0)+IF(DT1099&lt;&gt;"",1,0)+IF(DV1099&lt;&gt;"",1,0)+IF(DW1099&lt;&gt;"",1,0)+IF(DX1099&lt;&gt;"",1,0)+IF(DY1099&lt;&gt;"",1,0)+IF(DZ1099&lt;&gt;"",1,0)+IF(EB1099&lt;&gt;"",1,0)+IF(EC1099&lt;&gt;"",1,0)+IF(ED1099&lt;&gt;"",1,0)+IF(EG1099&lt;&gt;"",1,0)+IF(EH1099&lt;&gt;"",1,0)</f>
        <v/>
      </c>
      <c r="AZ1099">
        <f>IF(EH1099&lt;&gt;"",1,0)</f>
        <v/>
      </c>
      <c r="BB1099" t="inlineStr">
        <is>
          <t>WARREN-WARD 4</t>
        </is>
      </c>
    </row>
    <row r="1100">
      <c r="A1100" t="inlineStr">
        <is>
          <t>OH0015675962</t>
        </is>
      </c>
      <c r="B1100" t="n">
        <v>78</v>
      </c>
      <c r="C1100" t="n">
        <v>1026</v>
      </c>
      <c r="D1100" t="inlineStr">
        <is>
          <t>GRIFFITH</t>
        </is>
      </c>
      <c r="E1100" t="inlineStr">
        <is>
          <t>LYNN</t>
        </is>
      </c>
      <c r="F1100">
        <f>CONCATENATE(D1100," ",LEFT(H1100,4),"T=",AU1100,"D=",AV1100,"R=",AW1100,"M=",AX1100,"L=",AY1100,"B=",AZ1100)</f>
        <v/>
      </c>
      <c r="G1100" t="inlineStr">
        <is>
          <t>B</t>
        </is>
      </c>
      <c r="H1100" t="inlineStr">
        <is>
          <t>III</t>
        </is>
      </c>
      <c r="I1100" t="inlineStr">
        <is>
          <t>1956-06-14</t>
        </is>
      </c>
      <c r="J1100" t="inlineStr">
        <is>
          <t>2023-07-28</t>
        </is>
      </c>
      <c r="K1100" t="inlineStr">
        <is>
          <t>ACTIVE</t>
        </is>
      </c>
      <c r="L1100" t="inlineStr">
        <is>
          <t>D</t>
        </is>
      </c>
      <c r="M1100" t="inlineStr">
        <is>
          <t>325 MONROE ST NW</t>
        </is>
      </c>
      <c r="N1100">
        <f>RIGHT(M1100,LEN(M1100)-FIND(" ",M1100))</f>
        <v/>
      </c>
      <c r="O1100" t="inlineStr">
        <is>
          <t>APT UPPER</t>
        </is>
      </c>
      <c r="P1100" t="inlineStr">
        <is>
          <t>WARREN</t>
        </is>
      </c>
      <c r="Q1100" t="inlineStr">
        <is>
          <t>OH</t>
        </is>
      </c>
      <c r="R1100" t="n">
        <v>44483</v>
      </c>
      <c r="AD1100" t="inlineStr">
        <is>
          <t>TRUMBULL CAREER &amp; TECH CENTER</t>
        </is>
      </c>
      <c r="AE1100" t="inlineStr">
        <is>
          <t>WARREN CITY</t>
        </is>
      </c>
      <c r="AF1100" t="inlineStr">
        <is>
          <t>WARREN CITY SD</t>
        </is>
      </c>
      <c r="AH1100" t="n">
        <v>14</v>
      </c>
      <c r="AI1100" t="n">
        <v>11</v>
      </c>
      <c r="AN1100" t="inlineStr">
        <is>
          <t>WARREN</t>
        </is>
      </c>
      <c r="AO1100" t="inlineStr">
        <is>
          <t>WARREN CITY 4D</t>
        </is>
      </c>
      <c r="AP1100" t="inlineStr">
        <is>
          <t>78-P-ADL</t>
        </is>
      </c>
      <c r="AQ1100" t="n">
        <v>9</v>
      </c>
      <c r="AR1100" t="n">
        <v>64</v>
      </c>
      <c r="AS1100" t="n">
        <v>32</v>
      </c>
      <c r="AU1100">
        <f>COUNTA($BA$1100:$EH$1100)</f>
        <v/>
      </c>
      <c r="AV1100">
        <f>COUNTIF($BA$1100:$EH$1100,"D")</f>
        <v/>
      </c>
      <c r="AW1100">
        <f>COUNTIF($BA$1100:$EH$1100,"R")</f>
        <v/>
      </c>
      <c r="AX1100">
        <f>IF(BN1100="D",1,0)+IF(BO1100="D",1,0)+IF(BT1100="D",1,0)+IF(BU1100="D",1,0)+IF(BW1100="D",1,0)+IF(CC1100="D",1,0)+IF(CD1100="D",1,0)+IF(CE1100="D",1,0)+IF(CF1100="D",1,0)+IF(CL1100="D",1,0)+IF(CM1100="D",1,0)+IF(CQ1100="D",1,0)+IF(CR1100="D",1,0)+IF(CS1100="D",1,0)+IF(CW1100="D",1,0)+IF(CX1100="D",1,0)+IF(DD1100="D",1,0)+IF(DE1100="D",1,0)+IF(DJ1100="D",1,0)+IF(DK1100="D",1,0)+IF(DO1100="D",1,0)+IF(DP1100="D",1,0)+IF(DQ1100="D",1,0)+IF(DW1100="D",1,0)+IF(DZ1100="D",1,0)+IF(EH1100="D",1,0)</f>
        <v/>
      </c>
      <c r="AY1100">
        <f>IF(DJ1100&lt;&gt;"",1,0)+IF(DK1100&lt;&gt;"",1,0)+IF(DM1100&lt;&gt;"",1,0)+IF(DO1100&lt;&gt;"",1,0)+IF(DP1100&lt;&gt;"",1,0)+IF(DQ1100&lt;&gt;"",1,0)+IF(DS1100&lt;&gt;"",1,0)+IF(DT1100&lt;&gt;"",1,0)+IF(DV1100&lt;&gt;"",1,0)+IF(DW1100&lt;&gt;"",1,0)+IF(DX1100&lt;&gt;"",1,0)+IF(DY1100&lt;&gt;"",1,0)+IF(DZ1100&lt;&gt;"",1,0)+IF(EB1100&lt;&gt;"",1,0)+IF(EC1100&lt;&gt;"",1,0)+IF(ED1100&lt;&gt;"",1,0)+IF(EG1100&lt;&gt;"",1,0)+IF(EH1100&lt;&gt;"",1,0)</f>
        <v/>
      </c>
      <c r="AZ1100">
        <f>IF(EH1100&lt;&gt;"",1,0)</f>
        <v/>
      </c>
      <c r="BB1100" t="inlineStr">
        <is>
          <t>WARREN-WARD 4</t>
        </is>
      </c>
      <c r="BC1100" t="inlineStr">
        <is>
          <t>X</t>
        </is>
      </c>
      <c r="BD1100" t="inlineStr">
        <is>
          <t>X</t>
        </is>
      </c>
      <c r="BE1100" t="inlineStr">
        <is>
          <t>X</t>
        </is>
      </c>
      <c r="BF1100" t="inlineStr">
        <is>
          <t>X</t>
        </is>
      </c>
      <c r="BG1100" t="inlineStr">
        <is>
          <t>X</t>
        </is>
      </c>
      <c r="BH1100" t="inlineStr">
        <is>
          <t>X</t>
        </is>
      </c>
      <c r="BI1100" t="inlineStr">
        <is>
          <t>X</t>
        </is>
      </c>
      <c r="BJ1100" t="inlineStr">
        <is>
          <t>X</t>
        </is>
      </c>
      <c r="BK1100" t="inlineStr">
        <is>
          <t>X</t>
        </is>
      </c>
      <c r="BL1100" t="inlineStr">
        <is>
          <t>X</t>
        </is>
      </c>
      <c r="BP1100" t="inlineStr">
        <is>
          <t>X</t>
        </is>
      </c>
      <c r="BR1100" t="inlineStr">
        <is>
          <t>X</t>
        </is>
      </c>
      <c r="BS1100" t="inlineStr">
        <is>
          <t>X</t>
        </is>
      </c>
      <c r="BV1100" t="inlineStr">
        <is>
          <t>X</t>
        </is>
      </c>
      <c r="BY1100" t="inlineStr">
        <is>
          <t>D</t>
        </is>
      </c>
      <c r="CA1100" t="inlineStr">
        <is>
          <t>X</t>
        </is>
      </c>
      <c r="CC1100" t="inlineStr">
        <is>
          <t>D</t>
        </is>
      </c>
      <c r="CG1100" t="inlineStr">
        <is>
          <t>X</t>
        </is>
      </c>
      <c r="CH1100" t="inlineStr">
        <is>
          <t>D</t>
        </is>
      </c>
      <c r="CK1100" t="inlineStr">
        <is>
          <t>X</t>
        </is>
      </c>
      <c r="CN1100" t="inlineStr">
        <is>
          <t>X</t>
        </is>
      </c>
      <c r="CO1100" t="inlineStr">
        <is>
          <t>D</t>
        </is>
      </c>
      <c r="CP1100" t="inlineStr">
        <is>
          <t>X</t>
        </is>
      </c>
      <c r="CT1100" t="inlineStr">
        <is>
          <t>X</t>
        </is>
      </c>
      <c r="CU1100" t="inlineStr">
        <is>
          <t>D</t>
        </is>
      </c>
      <c r="CV1100" t="inlineStr">
        <is>
          <t>X</t>
        </is>
      </c>
      <c r="CW1100" t="inlineStr">
        <is>
          <t>D</t>
        </is>
      </c>
      <c r="CY1100" t="inlineStr">
        <is>
          <t>X</t>
        </is>
      </c>
      <c r="CZ1100" t="inlineStr">
        <is>
          <t>D</t>
        </is>
      </c>
      <c r="DC1100" t="inlineStr">
        <is>
          <t>X</t>
        </is>
      </c>
      <c r="DD1100" t="inlineStr">
        <is>
          <t>D</t>
        </is>
      </c>
      <c r="DF1100" t="inlineStr">
        <is>
          <t>X</t>
        </is>
      </c>
      <c r="DG1100" t="inlineStr">
        <is>
          <t>D</t>
        </is>
      </c>
      <c r="DI1100" t="inlineStr">
        <is>
          <t>X</t>
        </is>
      </c>
      <c r="DJ1100" t="inlineStr">
        <is>
          <t>D</t>
        </is>
      </c>
      <c r="DL1100" t="inlineStr">
        <is>
          <t>X</t>
        </is>
      </c>
      <c r="DM1100" t="inlineStr">
        <is>
          <t>D</t>
        </is>
      </c>
      <c r="DN1100" t="inlineStr">
        <is>
          <t>X</t>
        </is>
      </c>
      <c r="DR1100" t="inlineStr">
        <is>
          <t>X</t>
        </is>
      </c>
      <c r="DS1100" t="inlineStr">
        <is>
          <t>D</t>
        </is>
      </c>
      <c r="DT1100" t="inlineStr">
        <is>
          <t>D</t>
        </is>
      </c>
      <c r="DU1100" t="inlineStr">
        <is>
          <t>X</t>
        </is>
      </c>
      <c r="DW1100" t="inlineStr">
        <is>
          <t>D</t>
        </is>
      </c>
      <c r="DX1100" t="inlineStr">
        <is>
          <t>X</t>
        </is>
      </c>
      <c r="EA1100" t="inlineStr">
        <is>
          <t>X</t>
        </is>
      </c>
      <c r="ED1100" t="inlineStr">
        <is>
          <t>D</t>
        </is>
      </c>
      <c r="EF1100" t="inlineStr">
        <is>
          <t>X</t>
        </is>
      </c>
      <c r="EH1100" t="inlineStr">
        <is>
          <t>D</t>
        </is>
      </c>
    </row>
    <row r="1101">
      <c r="A1101" t="inlineStr">
        <is>
          <t>OH0027501371</t>
        </is>
      </c>
      <c r="B1101" t="n">
        <v>78</v>
      </c>
      <c r="C1101" t="n">
        <v>487233</v>
      </c>
      <c r="D1101" t="inlineStr">
        <is>
          <t>VAUGHT</t>
        </is>
      </c>
      <c r="E1101" t="inlineStr">
        <is>
          <t>DANNY</t>
        </is>
      </c>
      <c r="F1101">
        <f>CONCATENATE(D1101," ",LEFT(H1101,4),"T=",AU1101,"D=",AV1101,"R=",AW1101,"M=",AX1101,"L=",AY1101,"B=",AZ1101)</f>
        <v/>
      </c>
      <c r="G1101" t="inlineStr">
        <is>
          <t>J</t>
        </is>
      </c>
      <c r="I1101" t="inlineStr">
        <is>
          <t>1952-12-05</t>
        </is>
      </c>
      <c r="J1101" t="inlineStr">
        <is>
          <t>2024-07-31</t>
        </is>
      </c>
      <c r="K1101" t="inlineStr">
        <is>
          <t>ACTIVE</t>
        </is>
      </c>
      <c r="M1101" t="inlineStr">
        <is>
          <t>243 LOWELL AVE NE</t>
        </is>
      </c>
      <c r="N1101">
        <f>RIGHT(M1101,LEN(M1101)-FIND(" ",M1101))</f>
        <v/>
      </c>
      <c r="P1101" t="inlineStr">
        <is>
          <t>WARREN</t>
        </is>
      </c>
      <c r="Q1101" t="inlineStr">
        <is>
          <t>OH</t>
        </is>
      </c>
      <c r="R1101" t="n">
        <v>44483</v>
      </c>
      <c r="AD1101" t="inlineStr">
        <is>
          <t>TRUMBULL CAREER &amp; TECH CENTER</t>
        </is>
      </c>
      <c r="AE1101" t="inlineStr">
        <is>
          <t>WARREN CITY</t>
        </is>
      </c>
      <c r="AF1101" t="inlineStr">
        <is>
          <t>WARREN CITY SD</t>
        </is>
      </c>
      <c r="AH1101" t="n">
        <v>14</v>
      </c>
      <c r="AI1101" t="n">
        <v>11</v>
      </c>
      <c r="AN1101" t="inlineStr">
        <is>
          <t>WARREN</t>
        </is>
      </c>
      <c r="AO1101" t="inlineStr">
        <is>
          <t>WARREN CITY 4D</t>
        </is>
      </c>
      <c r="AP1101" t="inlineStr">
        <is>
          <t>78-P-ADL</t>
        </is>
      </c>
      <c r="AQ1101" t="n">
        <v>9</v>
      </c>
      <c r="AR1101" t="n">
        <v>64</v>
      </c>
      <c r="AS1101" t="n">
        <v>32</v>
      </c>
      <c r="AU1101">
        <f>COUNTA($BA$1101:$EH$1101)</f>
        <v/>
      </c>
      <c r="AV1101">
        <f>COUNTIF($BA$1101:$EH$1101,"D")</f>
        <v/>
      </c>
      <c r="AW1101">
        <f>COUNTIF($BA$1101:$EH$1101,"R")</f>
        <v/>
      </c>
      <c r="AX1101">
        <f>IF(BN1101="D",1,0)+IF(BO1101="D",1,0)+IF(BT1101="D",1,0)+IF(BU1101="D",1,0)+IF(BW1101="D",1,0)+IF(CC1101="D",1,0)+IF(CD1101="D",1,0)+IF(CE1101="D",1,0)+IF(CF1101="D",1,0)+IF(CL1101="D",1,0)+IF(CM1101="D",1,0)+IF(CQ1101="D",1,0)+IF(CR1101="D",1,0)+IF(CS1101="D",1,0)+IF(CW1101="D",1,0)+IF(CX1101="D",1,0)+IF(DD1101="D",1,0)+IF(DE1101="D",1,0)+IF(DJ1101="D",1,0)+IF(DK1101="D",1,0)+IF(DO1101="D",1,0)+IF(DP1101="D",1,0)+IF(DQ1101="D",1,0)+IF(DW1101="D",1,0)+IF(DZ1101="D",1,0)+IF(EH1101="D",1,0)</f>
        <v/>
      </c>
      <c r="AY1101">
        <f>IF(DJ1101&lt;&gt;"",1,0)+IF(DK1101&lt;&gt;"",1,0)+IF(DM1101&lt;&gt;"",1,0)+IF(DO1101&lt;&gt;"",1,0)+IF(DP1101&lt;&gt;"",1,0)+IF(DQ1101&lt;&gt;"",1,0)+IF(DS1101&lt;&gt;"",1,0)+IF(DT1101&lt;&gt;"",1,0)+IF(DV1101&lt;&gt;"",1,0)+IF(DW1101&lt;&gt;"",1,0)+IF(DX1101&lt;&gt;"",1,0)+IF(DY1101&lt;&gt;"",1,0)+IF(DZ1101&lt;&gt;"",1,0)+IF(EB1101&lt;&gt;"",1,0)+IF(EC1101&lt;&gt;"",1,0)+IF(ED1101&lt;&gt;"",1,0)+IF(EG1101&lt;&gt;"",1,0)+IF(EH1101&lt;&gt;"",1,0)</f>
        <v/>
      </c>
      <c r="AZ1101">
        <f>IF(EH1101&lt;&gt;"",1,0)</f>
        <v/>
      </c>
      <c r="BB1101" t="inlineStr">
        <is>
          <t>WARREN-WARD 4</t>
        </is>
      </c>
      <c r="BD1101" t="inlineStr">
        <is>
          <t>X</t>
        </is>
      </c>
      <c r="BL1101" t="inlineStr">
        <is>
          <t>X</t>
        </is>
      </c>
      <c r="BP1101" t="inlineStr">
        <is>
          <t>X</t>
        </is>
      </c>
      <c r="BS1101" t="inlineStr">
        <is>
          <t>X</t>
        </is>
      </c>
      <c r="CA1101" t="inlineStr">
        <is>
          <t>X</t>
        </is>
      </c>
      <c r="CK1101" t="inlineStr">
        <is>
          <t>X</t>
        </is>
      </c>
      <c r="CP1101" t="inlineStr">
        <is>
          <t>X</t>
        </is>
      </c>
      <c r="DC1101" t="inlineStr">
        <is>
          <t>X</t>
        </is>
      </c>
      <c r="DN1101" t="inlineStr">
        <is>
          <t>X</t>
        </is>
      </c>
      <c r="EF1101" t="inlineStr">
        <is>
          <t>X</t>
        </is>
      </c>
    </row>
    <row r="1102">
      <c r="A1102" t="inlineStr">
        <is>
          <t>OH0024174838</t>
        </is>
      </c>
      <c r="B1102" t="n">
        <v>78</v>
      </c>
      <c r="C1102" t="n">
        <v>423279</v>
      </c>
      <c r="D1102" t="inlineStr">
        <is>
          <t>CALDWELL</t>
        </is>
      </c>
      <c r="E1102" t="inlineStr">
        <is>
          <t>KATLYN</t>
        </is>
      </c>
      <c r="F1102">
        <f>CONCATENATE(D1102," ",LEFT(H1102,4),"T=",AU1102,"D=",AV1102,"R=",AW1102,"M=",AX1102,"L=",AY1102,"B=",AZ1102)</f>
        <v/>
      </c>
      <c r="G1102" t="inlineStr">
        <is>
          <t>ANNMARIE</t>
        </is>
      </c>
      <c r="I1102" t="inlineStr">
        <is>
          <t>1997-09-05</t>
        </is>
      </c>
      <c r="J1102" t="inlineStr">
        <is>
          <t>2025-04-18</t>
        </is>
      </c>
      <c r="K1102" t="inlineStr">
        <is>
          <t>ACTIVE</t>
        </is>
      </c>
      <c r="M1102" t="inlineStr">
        <is>
          <t>609 CHINNOCK PL NE</t>
        </is>
      </c>
      <c r="N1102">
        <f>RIGHT(M1102,LEN(M1102)-FIND(" ",M1102))</f>
        <v/>
      </c>
      <c r="P1102" t="inlineStr">
        <is>
          <t>WARREN</t>
        </is>
      </c>
      <c r="Q1102" t="inlineStr">
        <is>
          <t>OH</t>
        </is>
      </c>
      <c r="R1102" t="n">
        <v>44483</v>
      </c>
      <c r="AD1102" t="inlineStr">
        <is>
          <t>TRUMBULL CAREER &amp; TECH CENTER</t>
        </is>
      </c>
      <c r="AE1102" t="inlineStr">
        <is>
          <t>WARREN CITY</t>
        </is>
      </c>
      <c r="AF1102" t="inlineStr">
        <is>
          <t>WARREN CITY SD</t>
        </is>
      </c>
      <c r="AH1102" t="n">
        <v>14</v>
      </c>
      <c r="AI1102" t="n">
        <v>11</v>
      </c>
      <c r="AN1102" t="inlineStr">
        <is>
          <t>WARREN</t>
        </is>
      </c>
      <c r="AO1102" t="inlineStr">
        <is>
          <t>WARREN CITY 4D</t>
        </is>
      </c>
      <c r="AP1102" t="inlineStr">
        <is>
          <t>78-P-ADL</t>
        </is>
      </c>
      <c r="AQ1102" t="n">
        <v>9</v>
      </c>
      <c r="AR1102" t="n">
        <v>64</v>
      </c>
      <c r="AS1102" t="n">
        <v>32</v>
      </c>
      <c r="AU1102">
        <f>COUNTA($BA$1102:$EH$1102)</f>
        <v/>
      </c>
      <c r="AV1102">
        <f>COUNTIF($BA$1102:$EH$1102,"D")</f>
        <v/>
      </c>
      <c r="AW1102">
        <f>COUNTIF($BA$1102:$EH$1102,"R")</f>
        <v/>
      </c>
      <c r="AX1102">
        <f>IF(BN1102="D",1,0)+IF(BO1102="D",1,0)+IF(BT1102="D",1,0)+IF(BU1102="D",1,0)+IF(BW1102="D",1,0)+IF(CC1102="D",1,0)+IF(CD1102="D",1,0)+IF(CE1102="D",1,0)+IF(CF1102="D",1,0)+IF(CL1102="D",1,0)+IF(CM1102="D",1,0)+IF(CQ1102="D",1,0)+IF(CR1102="D",1,0)+IF(CS1102="D",1,0)+IF(CW1102="D",1,0)+IF(CX1102="D",1,0)+IF(DD1102="D",1,0)+IF(DE1102="D",1,0)+IF(DJ1102="D",1,0)+IF(DK1102="D",1,0)+IF(DO1102="D",1,0)+IF(DP1102="D",1,0)+IF(DQ1102="D",1,0)+IF(DW1102="D",1,0)+IF(DZ1102="D",1,0)+IF(EH1102="D",1,0)</f>
        <v/>
      </c>
      <c r="AY1102">
        <f>IF(DJ1102&lt;&gt;"",1,0)+IF(DK1102&lt;&gt;"",1,0)+IF(DM1102&lt;&gt;"",1,0)+IF(DO1102&lt;&gt;"",1,0)+IF(DP1102&lt;&gt;"",1,0)+IF(DQ1102&lt;&gt;"",1,0)+IF(DS1102&lt;&gt;"",1,0)+IF(DT1102&lt;&gt;"",1,0)+IF(DV1102&lt;&gt;"",1,0)+IF(DW1102&lt;&gt;"",1,0)+IF(DX1102&lt;&gt;"",1,0)+IF(DY1102&lt;&gt;"",1,0)+IF(DZ1102&lt;&gt;"",1,0)+IF(EB1102&lt;&gt;"",1,0)+IF(EC1102&lt;&gt;"",1,0)+IF(ED1102&lt;&gt;"",1,0)+IF(EG1102&lt;&gt;"",1,0)+IF(EH1102&lt;&gt;"",1,0)</f>
        <v/>
      </c>
      <c r="AZ1102">
        <f>IF(EH1102&lt;&gt;"",1,0)</f>
        <v/>
      </c>
      <c r="BB1102" t="inlineStr">
        <is>
          <t>WARREN-WARD 4</t>
        </is>
      </c>
    </row>
    <row r="1103">
      <c r="A1103" t="inlineStr">
        <is>
          <t>OH0026298489</t>
        </is>
      </c>
      <c r="B1103" t="n">
        <v>78</v>
      </c>
      <c r="C1103" t="n">
        <v>459852</v>
      </c>
      <c r="D1103" t="inlineStr">
        <is>
          <t>NEWSOM</t>
        </is>
      </c>
      <c r="E1103" t="inlineStr">
        <is>
          <t>NETANYA</t>
        </is>
      </c>
      <c r="F1103">
        <f>CONCATENATE(D1103," ",LEFT(H1103,4),"T=",AU1103,"D=",AV1103,"R=",AW1103,"M=",AX1103,"L=",AY1103,"B=",AZ1103)</f>
        <v/>
      </c>
      <c r="G1103" t="inlineStr">
        <is>
          <t>K</t>
        </is>
      </c>
      <c r="I1103" t="inlineStr">
        <is>
          <t>2002-06-28</t>
        </is>
      </c>
      <c r="J1103" t="inlineStr">
        <is>
          <t>2024-09-06</t>
        </is>
      </c>
      <c r="K1103" t="inlineStr">
        <is>
          <t>ACTIVE</t>
        </is>
      </c>
      <c r="M1103" t="inlineStr">
        <is>
          <t>712 VINE AVE NE</t>
        </is>
      </c>
      <c r="N1103">
        <f>RIGHT(M1103,LEN(M1103)-FIND(" ",M1103))</f>
        <v/>
      </c>
      <c r="P1103" t="inlineStr">
        <is>
          <t>WARREN</t>
        </is>
      </c>
      <c r="Q1103" t="inlineStr">
        <is>
          <t>OH</t>
        </is>
      </c>
      <c r="R1103" t="n">
        <v>44483</v>
      </c>
      <c r="AD1103" t="inlineStr">
        <is>
          <t>TRUMBULL CAREER &amp; TECH CENTER</t>
        </is>
      </c>
      <c r="AE1103" t="inlineStr">
        <is>
          <t>WARREN CITY</t>
        </is>
      </c>
      <c r="AF1103" t="inlineStr">
        <is>
          <t>WARREN CITY SD</t>
        </is>
      </c>
      <c r="AH1103" t="n">
        <v>14</v>
      </c>
      <c r="AI1103" t="n">
        <v>11</v>
      </c>
      <c r="AN1103" t="inlineStr">
        <is>
          <t>WARREN</t>
        </is>
      </c>
      <c r="AO1103" t="inlineStr">
        <is>
          <t>WARREN CITY 4D</t>
        </is>
      </c>
      <c r="AP1103" t="inlineStr">
        <is>
          <t>78-P-ADL</t>
        </is>
      </c>
      <c r="AQ1103" t="n">
        <v>9</v>
      </c>
      <c r="AR1103" t="n">
        <v>64</v>
      </c>
      <c r="AS1103" t="n">
        <v>32</v>
      </c>
      <c r="AU1103">
        <f>COUNTA($BA$1103:$EH$1103)</f>
        <v/>
      </c>
      <c r="AV1103">
        <f>COUNTIF($BA$1103:$EH$1103,"D")</f>
        <v/>
      </c>
      <c r="AW1103">
        <f>COUNTIF($BA$1103:$EH$1103,"R")</f>
        <v/>
      </c>
      <c r="AX1103">
        <f>IF(BN1103="D",1,0)+IF(BO1103="D",1,0)+IF(BT1103="D",1,0)+IF(BU1103="D",1,0)+IF(BW1103="D",1,0)+IF(CC1103="D",1,0)+IF(CD1103="D",1,0)+IF(CE1103="D",1,0)+IF(CF1103="D",1,0)+IF(CL1103="D",1,0)+IF(CM1103="D",1,0)+IF(CQ1103="D",1,0)+IF(CR1103="D",1,0)+IF(CS1103="D",1,0)+IF(CW1103="D",1,0)+IF(CX1103="D",1,0)+IF(DD1103="D",1,0)+IF(DE1103="D",1,0)+IF(DJ1103="D",1,0)+IF(DK1103="D",1,0)+IF(DO1103="D",1,0)+IF(DP1103="D",1,0)+IF(DQ1103="D",1,0)+IF(DW1103="D",1,0)+IF(DZ1103="D",1,0)+IF(EH1103="D",1,0)</f>
        <v/>
      </c>
      <c r="AY1103">
        <f>IF(DJ1103&lt;&gt;"",1,0)+IF(DK1103&lt;&gt;"",1,0)+IF(DM1103&lt;&gt;"",1,0)+IF(DO1103&lt;&gt;"",1,0)+IF(DP1103&lt;&gt;"",1,0)+IF(DQ1103&lt;&gt;"",1,0)+IF(DS1103&lt;&gt;"",1,0)+IF(DT1103&lt;&gt;"",1,0)+IF(DV1103&lt;&gt;"",1,0)+IF(DW1103&lt;&gt;"",1,0)+IF(DX1103&lt;&gt;"",1,0)+IF(DY1103&lt;&gt;"",1,0)+IF(DZ1103&lt;&gt;"",1,0)+IF(EB1103&lt;&gt;"",1,0)+IF(EC1103&lt;&gt;"",1,0)+IF(ED1103&lt;&gt;"",1,0)+IF(EG1103&lt;&gt;"",1,0)+IF(EH1103&lt;&gt;"",1,0)</f>
        <v/>
      </c>
      <c r="AZ1103">
        <f>IF(EH1103&lt;&gt;"",1,0)</f>
        <v/>
      </c>
      <c r="BB1103" t="inlineStr">
        <is>
          <t>WARREN-WARD 4</t>
        </is>
      </c>
    </row>
    <row r="1104">
      <c r="A1104" t="inlineStr">
        <is>
          <t>OH0025948998</t>
        </is>
      </c>
      <c r="B1104" t="n">
        <v>78</v>
      </c>
      <c r="C1104" t="n">
        <v>453132</v>
      </c>
      <c r="D1104" t="inlineStr">
        <is>
          <t>BAUGH</t>
        </is>
      </c>
      <c r="E1104" t="inlineStr">
        <is>
          <t>ANTONIO</t>
        </is>
      </c>
      <c r="F1104">
        <f>CONCATENATE(D1104," ",LEFT(H1104,4),"T=",AU1104,"D=",AV1104,"R=",AW1104,"M=",AX1104,"L=",AY1104,"B=",AZ1104)</f>
        <v/>
      </c>
      <c r="G1104" t="inlineStr">
        <is>
          <t>D</t>
        </is>
      </c>
      <c r="I1104" t="inlineStr">
        <is>
          <t>1981-01-19</t>
        </is>
      </c>
      <c r="J1104" t="inlineStr">
        <is>
          <t>2020-10-02</t>
        </is>
      </c>
      <c r="K1104" t="inlineStr">
        <is>
          <t>CONFIRMATION</t>
        </is>
      </c>
      <c r="M1104" t="inlineStr">
        <is>
          <t>609 CHINNOCK PL NE</t>
        </is>
      </c>
      <c r="N1104">
        <f>RIGHT(M1104,LEN(M1104)-FIND(" ",M1104))</f>
        <v/>
      </c>
      <c r="P1104" t="inlineStr">
        <is>
          <t>WARREN</t>
        </is>
      </c>
      <c r="Q1104" t="inlineStr">
        <is>
          <t>OH</t>
        </is>
      </c>
      <c r="R1104" t="n">
        <v>44483</v>
      </c>
      <c r="AD1104" t="inlineStr">
        <is>
          <t>TRUMBULL CAREER &amp; TECH CENTER</t>
        </is>
      </c>
      <c r="AE1104" t="inlineStr">
        <is>
          <t>WARREN CITY</t>
        </is>
      </c>
      <c r="AF1104" t="inlineStr">
        <is>
          <t>WARREN CITY SD</t>
        </is>
      </c>
      <c r="AH1104" t="n">
        <v>14</v>
      </c>
      <c r="AI1104" t="n">
        <v>11</v>
      </c>
      <c r="AN1104" t="inlineStr">
        <is>
          <t>WARREN</t>
        </is>
      </c>
      <c r="AO1104" t="inlineStr">
        <is>
          <t>WARREN CITY 4D</t>
        </is>
      </c>
      <c r="AP1104" t="inlineStr">
        <is>
          <t>78-P-ADL</t>
        </is>
      </c>
      <c r="AQ1104" t="n">
        <v>9</v>
      </c>
      <c r="AR1104" t="n">
        <v>64</v>
      </c>
      <c r="AS1104" t="n">
        <v>32</v>
      </c>
      <c r="AU1104">
        <f>COUNTA($BA$1104:$EH$1104)</f>
        <v/>
      </c>
      <c r="AV1104">
        <f>COUNTIF($BA$1104:$EH$1104,"D")</f>
        <v/>
      </c>
      <c r="AW1104">
        <f>COUNTIF($BA$1104:$EH$1104,"R")</f>
        <v/>
      </c>
      <c r="AX1104">
        <f>IF(BN1104="D",1,0)+IF(BO1104="D",1,0)+IF(BT1104="D",1,0)+IF(BU1104="D",1,0)+IF(BW1104="D",1,0)+IF(CC1104="D",1,0)+IF(CD1104="D",1,0)+IF(CE1104="D",1,0)+IF(CF1104="D",1,0)+IF(CL1104="D",1,0)+IF(CM1104="D",1,0)+IF(CQ1104="D",1,0)+IF(CR1104="D",1,0)+IF(CS1104="D",1,0)+IF(CW1104="D",1,0)+IF(CX1104="D",1,0)+IF(DD1104="D",1,0)+IF(DE1104="D",1,0)+IF(DJ1104="D",1,0)+IF(DK1104="D",1,0)+IF(DO1104="D",1,0)+IF(DP1104="D",1,0)+IF(DQ1104="D",1,0)+IF(DW1104="D",1,0)+IF(DZ1104="D",1,0)+IF(EH1104="D",1,0)</f>
        <v/>
      </c>
      <c r="AY1104">
        <f>IF(DJ1104&lt;&gt;"",1,0)+IF(DK1104&lt;&gt;"",1,0)+IF(DM1104&lt;&gt;"",1,0)+IF(DO1104&lt;&gt;"",1,0)+IF(DP1104&lt;&gt;"",1,0)+IF(DQ1104&lt;&gt;"",1,0)+IF(DS1104&lt;&gt;"",1,0)+IF(DT1104&lt;&gt;"",1,0)+IF(DV1104&lt;&gt;"",1,0)+IF(DW1104&lt;&gt;"",1,0)+IF(DX1104&lt;&gt;"",1,0)+IF(DY1104&lt;&gt;"",1,0)+IF(DZ1104&lt;&gt;"",1,0)+IF(EB1104&lt;&gt;"",1,0)+IF(EC1104&lt;&gt;"",1,0)+IF(ED1104&lt;&gt;"",1,0)+IF(EG1104&lt;&gt;"",1,0)+IF(EH1104&lt;&gt;"",1,0)</f>
        <v/>
      </c>
      <c r="AZ1104">
        <f>IF(EH1104&lt;&gt;"",1,0)</f>
        <v/>
      </c>
      <c r="BB1104" t="inlineStr">
        <is>
          <t>WARREN-WARD 4</t>
        </is>
      </c>
      <c r="CP1104" t="inlineStr">
        <is>
          <t>X</t>
        </is>
      </c>
      <c r="DN1104" t="inlineStr">
        <is>
          <t>X</t>
        </is>
      </c>
    </row>
    <row r="1105">
      <c r="A1105" t="inlineStr">
        <is>
          <t>OH0026032063</t>
        </is>
      </c>
      <c r="B1105" t="n">
        <v>78</v>
      </c>
      <c r="C1105" t="n">
        <v>454778</v>
      </c>
      <c r="D1105" t="inlineStr">
        <is>
          <t>ADAMS</t>
        </is>
      </c>
      <c r="E1105" t="inlineStr">
        <is>
          <t>CONNIE</t>
        </is>
      </c>
      <c r="F1105">
        <f>CONCATENATE(D1105," ",LEFT(H1105,4),"T=",AU1105,"D=",AV1105,"R=",AW1105,"M=",AX1105,"L=",AY1105,"B=",AZ1105)</f>
        <v/>
      </c>
      <c r="G1105" t="inlineStr">
        <is>
          <t>K</t>
        </is>
      </c>
      <c r="I1105" t="inlineStr">
        <is>
          <t>1963-05-24</t>
        </is>
      </c>
      <c r="J1105" t="inlineStr">
        <is>
          <t>2023-11-28</t>
        </is>
      </c>
      <c r="K1105" t="inlineStr">
        <is>
          <t>ACTIVE</t>
        </is>
      </c>
      <c r="M1105" t="inlineStr">
        <is>
          <t>577 FAIRFIELD AVE NE</t>
        </is>
      </c>
      <c r="N1105">
        <f>RIGHT(M1105,LEN(M1105)-FIND(" ",M1105))</f>
        <v/>
      </c>
      <c r="P1105" t="inlineStr">
        <is>
          <t>WARREN</t>
        </is>
      </c>
      <c r="Q1105" t="inlineStr">
        <is>
          <t>OH</t>
        </is>
      </c>
      <c r="R1105" t="n">
        <v>44483</v>
      </c>
      <c r="AD1105" t="inlineStr">
        <is>
          <t>TRUMBULL CAREER &amp; TECH CENTER</t>
        </is>
      </c>
      <c r="AE1105" t="inlineStr">
        <is>
          <t>WARREN CITY</t>
        </is>
      </c>
      <c r="AF1105" t="inlineStr">
        <is>
          <t>WARREN CITY SD</t>
        </is>
      </c>
      <c r="AH1105" t="n">
        <v>14</v>
      </c>
      <c r="AI1105" t="n">
        <v>11</v>
      </c>
      <c r="AN1105" t="inlineStr">
        <is>
          <t>WARREN</t>
        </is>
      </c>
      <c r="AO1105" t="inlineStr">
        <is>
          <t>WARREN CITY 4D</t>
        </is>
      </c>
      <c r="AP1105" t="inlineStr">
        <is>
          <t>78-P-ADL</t>
        </is>
      </c>
      <c r="AQ1105" t="n">
        <v>9</v>
      </c>
      <c r="AR1105" t="n">
        <v>64</v>
      </c>
      <c r="AS1105" t="n">
        <v>32</v>
      </c>
      <c r="AU1105">
        <f>COUNTA($BA$1105:$EH$1105)</f>
        <v/>
      </c>
      <c r="AV1105">
        <f>COUNTIF($BA$1105:$EH$1105,"D")</f>
        <v/>
      </c>
      <c r="AW1105">
        <f>COUNTIF($BA$1105:$EH$1105,"R")</f>
        <v/>
      </c>
      <c r="AX1105">
        <f>IF(BN1105="D",1,0)+IF(BO1105="D",1,0)+IF(BT1105="D",1,0)+IF(BU1105="D",1,0)+IF(BW1105="D",1,0)+IF(CC1105="D",1,0)+IF(CD1105="D",1,0)+IF(CE1105="D",1,0)+IF(CF1105="D",1,0)+IF(CL1105="D",1,0)+IF(CM1105="D",1,0)+IF(CQ1105="D",1,0)+IF(CR1105="D",1,0)+IF(CS1105="D",1,0)+IF(CW1105="D",1,0)+IF(CX1105="D",1,0)+IF(DD1105="D",1,0)+IF(DE1105="D",1,0)+IF(DJ1105="D",1,0)+IF(DK1105="D",1,0)+IF(DO1105="D",1,0)+IF(DP1105="D",1,0)+IF(DQ1105="D",1,0)+IF(DW1105="D",1,0)+IF(DZ1105="D",1,0)+IF(EH1105="D",1,0)</f>
        <v/>
      </c>
      <c r="AY1105">
        <f>IF(DJ1105&lt;&gt;"",1,0)+IF(DK1105&lt;&gt;"",1,0)+IF(DM1105&lt;&gt;"",1,0)+IF(DO1105&lt;&gt;"",1,0)+IF(DP1105&lt;&gt;"",1,0)+IF(DQ1105&lt;&gt;"",1,0)+IF(DS1105&lt;&gt;"",1,0)+IF(DT1105&lt;&gt;"",1,0)+IF(DV1105&lt;&gt;"",1,0)+IF(DW1105&lt;&gt;"",1,0)+IF(DX1105&lt;&gt;"",1,0)+IF(DY1105&lt;&gt;"",1,0)+IF(DZ1105&lt;&gt;"",1,0)+IF(EB1105&lt;&gt;"",1,0)+IF(EC1105&lt;&gt;"",1,0)+IF(ED1105&lt;&gt;"",1,0)+IF(EG1105&lt;&gt;"",1,0)+IF(EH1105&lt;&gt;"",1,0)</f>
        <v/>
      </c>
      <c r="AZ1105">
        <f>IF(EH1105&lt;&gt;"",1,0)</f>
        <v/>
      </c>
      <c r="BB1105" t="inlineStr">
        <is>
          <t>WARREN-WARD 4</t>
        </is>
      </c>
      <c r="EA1105" t="inlineStr">
        <is>
          <t>X</t>
        </is>
      </c>
    </row>
    <row r="1106">
      <c r="A1106" t="inlineStr">
        <is>
          <t>OH0023821325</t>
        </is>
      </c>
      <c r="B1106" t="n">
        <v>78</v>
      </c>
      <c r="C1106" t="n">
        <v>418608</v>
      </c>
      <c r="D1106" t="inlineStr">
        <is>
          <t>ROWLAND</t>
        </is>
      </c>
      <c r="E1106" t="inlineStr">
        <is>
          <t>LEE</t>
        </is>
      </c>
      <c r="F1106">
        <f>CONCATENATE(D1106," ",LEFT(H1106,4),"T=",AU1106,"D=",AV1106,"R=",AW1106,"M=",AX1106,"L=",AY1106,"B=",AZ1106)</f>
        <v/>
      </c>
      <c r="G1106" t="inlineStr">
        <is>
          <t>MICHAEL</t>
        </is>
      </c>
      <c r="I1106" t="inlineStr">
        <is>
          <t>1998-03-05</t>
        </is>
      </c>
      <c r="J1106" t="inlineStr">
        <is>
          <t>2019-10-03</t>
        </is>
      </c>
      <c r="K1106" t="inlineStr">
        <is>
          <t>ACTIVE</t>
        </is>
      </c>
      <c r="M1106" t="inlineStr">
        <is>
          <t>342 MAHONING AVE NW</t>
        </is>
      </c>
      <c r="N1106">
        <f>RIGHT(M1106,LEN(M1106)-FIND(" ",M1106))</f>
        <v/>
      </c>
      <c r="P1106" t="inlineStr">
        <is>
          <t>WARREN</t>
        </is>
      </c>
      <c r="Q1106" t="inlineStr">
        <is>
          <t>OH</t>
        </is>
      </c>
      <c r="R1106" t="n">
        <v>44483</v>
      </c>
      <c r="AD1106" t="inlineStr">
        <is>
          <t>TRUMBULL CAREER &amp; TECH CENTER</t>
        </is>
      </c>
      <c r="AE1106" t="inlineStr">
        <is>
          <t>WARREN CITY</t>
        </is>
      </c>
      <c r="AF1106" t="inlineStr">
        <is>
          <t>WARREN CITY SD</t>
        </is>
      </c>
      <c r="AH1106" t="n">
        <v>14</v>
      </c>
      <c r="AI1106" t="n">
        <v>11</v>
      </c>
      <c r="AN1106" t="inlineStr">
        <is>
          <t>WARREN</t>
        </is>
      </c>
      <c r="AO1106" t="inlineStr">
        <is>
          <t>WARREN CITY 4D</t>
        </is>
      </c>
      <c r="AP1106" t="inlineStr">
        <is>
          <t>78-P-ADL</t>
        </is>
      </c>
      <c r="AQ1106" t="n">
        <v>9</v>
      </c>
      <c r="AR1106" t="n">
        <v>64</v>
      </c>
      <c r="AS1106" t="n">
        <v>32</v>
      </c>
      <c r="AU1106">
        <f>COUNTA($BA$1106:$EH$1106)</f>
        <v/>
      </c>
      <c r="AV1106">
        <f>COUNTIF($BA$1106:$EH$1106,"D")</f>
        <v/>
      </c>
      <c r="AW1106">
        <f>COUNTIF($BA$1106:$EH$1106,"R")</f>
        <v/>
      </c>
      <c r="AX1106">
        <f>IF(BN1106="D",1,0)+IF(BO1106="D",1,0)+IF(BT1106="D",1,0)+IF(BU1106="D",1,0)+IF(BW1106="D",1,0)+IF(CC1106="D",1,0)+IF(CD1106="D",1,0)+IF(CE1106="D",1,0)+IF(CF1106="D",1,0)+IF(CL1106="D",1,0)+IF(CM1106="D",1,0)+IF(CQ1106="D",1,0)+IF(CR1106="D",1,0)+IF(CS1106="D",1,0)+IF(CW1106="D",1,0)+IF(CX1106="D",1,0)+IF(DD1106="D",1,0)+IF(DE1106="D",1,0)+IF(DJ1106="D",1,0)+IF(DK1106="D",1,0)+IF(DO1106="D",1,0)+IF(DP1106="D",1,0)+IF(DQ1106="D",1,0)+IF(DW1106="D",1,0)+IF(DZ1106="D",1,0)+IF(EH1106="D",1,0)</f>
        <v/>
      </c>
      <c r="AY1106">
        <f>IF(DJ1106&lt;&gt;"",1,0)+IF(DK1106&lt;&gt;"",1,0)+IF(DM1106&lt;&gt;"",1,0)+IF(DO1106&lt;&gt;"",1,0)+IF(DP1106&lt;&gt;"",1,0)+IF(DQ1106&lt;&gt;"",1,0)+IF(DS1106&lt;&gt;"",1,0)+IF(DT1106&lt;&gt;"",1,0)+IF(DV1106&lt;&gt;"",1,0)+IF(DW1106&lt;&gt;"",1,0)+IF(DX1106&lt;&gt;"",1,0)+IF(DY1106&lt;&gt;"",1,0)+IF(DZ1106&lt;&gt;"",1,0)+IF(EB1106&lt;&gt;"",1,0)+IF(EC1106&lt;&gt;"",1,0)+IF(ED1106&lt;&gt;"",1,0)+IF(EG1106&lt;&gt;"",1,0)+IF(EH1106&lt;&gt;"",1,0)</f>
        <v/>
      </c>
      <c r="AZ1106">
        <f>IF(EH1106&lt;&gt;"",1,0)</f>
        <v/>
      </c>
      <c r="BB1106" t="inlineStr">
        <is>
          <t>WARREN-WARD 4</t>
        </is>
      </c>
    </row>
    <row r="1107">
      <c r="A1107" t="inlineStr">
        <is>
          <t>OH0022529851</t>
        </is>
      </c>
      <c r="B1107" t="n">
        <v>78</v>
      </c>
      <c r="C1107" t="n">
        <v>398033</v>
      </c>
      <c r="D1107" t="inlineStr">
        <is>
          <t>EVANS</t>
        </is>
      </c>
      <c r="E1107" t="inlineStr">
        <is>
          <t>JONATHAN</t>
        </is>
      </c>
      <c r="F1107">
        <f>CONCATENATE(D1107," ",LEFT(H1107,4),"T=",AU1107,"D=",AV1107,"R=",AW1107,"M=",AX1107,"L=",AY1107,"B=",AZ1107)</f>
        <v/>
      </c>
      <c r="G1107" t="inlineStr">
        <is>
          <t>L</t>
        </is>
      </c>
      <c r="I1107" t="inlineStr">
        <is>
          <t>1990-07-14</t>
        </is>
      </c>
      <c r="J1107" t="inlineStr">
        <is>
          <t>2017-03-15</t>
        </is>
      </c>
      <c r="K1107" t="inlineStr">
        <is>
          <t>CONFIRMATION</t>
        </is>
      </c>
      <c r="M1107" t="inlineStr">
        <is>
          <t>211 PORTER ST NE</t>
        </is>
      </c>
      <c r="N1107">
        <f>RIGHT(M1107,LEN(M1107)-FIND(" ",M1107))</f>
        <v/>
      </c>
      <c r="O1107" t="inlineStr">
        <is>
          <t>APT A</t>
        </is>
      </c>
      <c r="P1107" t="inlineStr">
        <is>
          <t>WARREN</t>
        </is>
      </c>
      <c r="Q1107" t="inlineStr">
        <is>
          <t>OH</t>
        </is>
      </c>
      <c r="R1107" t="n">
        <v>44483</v>
      </c>
      <c r="AD1107" t="inlineStr">
        <is>
          <t>TRUMBULL CAREER &amp; TECH CENTER</t>
        </is>
      </c>
      <c r="AE1107" t="inlineStr">
        <is>
          <t>WARREN CITY</t>
        </is>
      </c>
      <c r="AF1107" t="inlineStr">
        <is>
          <t>WARREN CITY SD</t>
        </is>
      </c>
      <c r="AH1107" t="n">
        <v>14</v>
      </c>
      <c r="AI1107" t="n">
        <v>11</v>
      </c>
      <c r="AN1107" t="inlineStr">
        <is>
          <t>WARREN</t>
        </is>
      </c>
      <c r="AO1107" t="inlineStr">
        <is>
          <t>WARREN CITY 4D</t>
        </is>
      </c>
      <c r="AP1107" t="inlineStr">
        <is>
          <t>78-P-ADL</t>
        </is>
      </c>
      <c r="AQ1107" t="n">
        <v>9</v>
      </c>
      <c r="AR1107" t="n">
        <v>64</v>
      </c>
      <c r="AS1107" t="n">
        <v>32</v>
      </c>
      <c r="AU1107">
        <f>COUNTA($BA$1107:$EH$1107)</f>
        <v/>
      </c>
      <c r="AV1107">
        <f>COUNTIF($BA$1107:$EH$1107,"D")</f>
        <v/>
      </c>
      <c r="AW1107">
        <f>COUNTIF($BA$1107:$EH$1107,"R")</f>
        <v/>
      </c>
      <c r="AX1107">
        <f>IF(BN1107="D",1,0)+IF(BO1107="D",1,0)+IF(BT1107="D",1,0)+IF(BU1107="D",1,0)+IF(BW1107="D",1,0)+IF(CC1107="D",1,0)+IF(CD1107="D",1,0)+IF(CE1107="D",1,0)+IF(CF1107="D",1,0)+IF(CL1107="D",1,0)+IF(CM1107="D",1,0)+IF(CQ1107="D",1,0)+IF(CR1107="D",1,0)+IF(CS1107="D",1,0)+IF(CW1107="D",1,0)+IF(CX1107="D",1,0)+IF(DD1107="D",1,0)+IF(DE1107="D",1,0)+IF(DJ1107="D",1,0)+IF(DK1107="D",1,0)+IF(DO1107="D",1,0)+IF(DP1107="D",1,0)+IF(DQ1107="D",1,0)+IF(DW1107="D",1,0)+IF(DZ1107="D",1,0)+IF(EH1107="D",1,0)</f>
        <v/>
      </c>
      <c r="AY1107">
        <f>IF(DJ1107&lt;&gt;"",1,0)+IF(DK1107&lt;&gt;"",1,0)+IF(DM1107&lt;&gt;"",1,0)+IF(DO1107&lt;&gt;"",1,0)+IF(DP1107&lt;&gt;"",1,0)+IF(DQ1107&lt;&gt;"",1,0)+IF(DS1107&lt;&gt;"",1,0)+IF(DT1107&lt;&gt;"",1,0)+IF(DV1107&lt;&gt;"",1,0)+IF(DW1107&lt;&gt;"",1,0)+IF(DX1107&lt;&gt;"",1,0)+IF(DY1107&lt;&gt;"",1,0)+IF(DZ1107&lt;&gt;"",1,0)+IF(EB1107&lt;&gt;"",1,0)+IF(EC1107&lt;&gt;"",1,0)+IF(ED1107&lt;&gt;"",1,0)+IF(EG1107&lt;&gt;"",1,0)+IF(EH1107&lt;&gt;"",1,0)</f>
        <v/>
      </c>
      <c r="AZ1107">
        <f>IF(EH1107&lt;&gt;"",1,0)</f>
        <v/>
      </c>
      <c r="BB1107" t="inlineStr">
        <is>
          <t>WARREN-WARD 4</t>
        </is>
      </c>
    </row>
    <row r="1108">
      <c r="A1108" t="inlineStr">
        <is>
          <t>OH0015785508</t>
        </is>
      </c>
      <c r="B1108" t="n">
        <v>78</v>
      </c>
      <c r="C1108" t="n">
        <v>278083</v>
      </c>
      <c r="D1108" t="inlineStr">
        <is>
          <t>MEEKER</t>
        </is>
      </c>
      <c r="E1108" t="inlineStr">
        <is>
          <t>ROBERT</t>
        </is>
      </c>
      <c r="F1108">
        <f>CONCATENATE(D1108," ",LEFT(H1108,4),"T=",AU1108,"D=",AV1108,"R=",AW1108,"M=",AX1108,"L=",AY1108,"B=",AZ1108)</f>
        <v/>
      </c>
      <c r="G1108" t="inlineStr">
        <is>
          <t>L</t>
        </is>
      </c>
      <c r="H1108" t="inlineStr">
        <is>
          <t>JR</t>
        </is>
      </c>
      <c r="I1108" t="inlineStr">
        <is>
          <t>1969-09-13</t>
        </is>
      </c>
      <c r="J1108" t="inlineStr">
        <is>
          <t>2024-06-03</t>
        </is>
      </c>
      <c r="K1108" t="inlineStr">
        <is>
          <t>ACTIVE</t>
        </is>
      </c>
      <c r="L1108" t="inlineStr">
        <is>
          <t>D</t>
        </is>
      </c>
      <c r="M1108" t="inlineStr">
        <is>
          <t>182 HIGH ST NE</t>
        </is>
      </c>
      <c r="N1108">
        <f>RIGHT(M1108,LEN(M1108)-FIND(" ",M1108))</f>
        <v/>
      </c>
      <c r="O1108" t="inlineStr">
        <is>
          <t>APT 507</t>
        </is>
      </c>
      <c r="P1108" t="inlineStr">
        <is>
          <t>WARREN</t>
        </is>
      </c>
      <c r="Q1108" t="inlineStr">
        <is>
          <t>OH</t>
        </is>
      </c>
      <c r="R1108" t="n">
        <v>44481</v>
      </c>
      <c r="S1108" t="n">
        <v>1240</v>
      </c>
      <c r="AD1108" t="inlineStr">
        <is>
          <t>TRUMBULL CAREER &amp; TECH CENTER</t>
        </is>
      </c>
      <c r="AE1108" t="inlineStr">
        <is>
          <t>WARREN CITY</t>
        </is>
      </c>
      <c r="AF1108" t="inlineStr">
        <is>
          <t>WARREN CITY SD</t>
        </is>
      </c>
      <c r="AH1108" t="n">
        <v>14</v>
      </c>
      <c r="AI1108" t="n">
        <v>11</v>
      </c>
      <c r="AN1108" t="inlineStr">
        <is>
          <t>WARREN</t>
        </is>
      </c>
      <c r="AO1108" t="inlineStr">
        <is>
          <t>WARREN CITY 4D</t>
        </is>
      </c>
      <c r="AP1108" t="inlineStr">
        <is>
          <t>78-P-ADL</t>
        </is>
      </c>
      <c r="AQ1108" t="n">
        <v>9</v>
      </c>
      <c r="AR1108" t="n">
        <v>64</v>
      </c>
      <c r="AS1108" t="n">
        <v>32</v>
      </c>
      <c r="AU1108">
        <f>COUNTA($BA$1108:$EH$1108)</f>
        <v/>
      </c>
      <c r="AV1108">
        <f>COUNTIF($BA$1108:$EH$1108,"D")</f>
        <v/>
      </c>
      <c r="AW1108">
        <f>COUNTIF($BA$1108:$EH$1108,"R")</f>
        <v/>
      </c>
      <c r="AX1108">
        <f>IF(BN1108="D",1,0)+IF(BO1108="D",1,0)+IF(BT1108="D",1,0)+IF(BU1108="D",1,0)+IF(BW1108="D",1,0)+IF(CC1108="D",1,0)+IF(CD1108="D",1,0)+IF(CE1108="D",1,0)+IF(CF1108="D",1,0)+IF(CL1108="D",1,0)+IF(CM1108="D",1,0)+IF(CQ1108="D",1,0)+IF(CR1108="D",1,0)+IF(CS1108="D",1,0)+IF(CW1108="D",1,0)+IF(CX1108="D",1,0)+IF(DD1108="D",1,0)+IF(DE1108="D",1,0)+IF(DJ1108="D",1,0)+IF(DK1108="D",1,0)+IF(DO1108="D",1,0)+IF(DP1108="D",1,0)+IF(DQ1108="D",1,0)+IF(DW1108="D",1,0)+IF(DZ1108="D",1,0)+IF(EH1108="D",1,0)</f>
        <v/>
      </c>
      <c r="AY1108">
        <f>IF(DJ1108&lt;&gt;"",1,0)+IF(DK1108&lt;&gt;"",1,0)+IF(DM1108&lt;&gt;"",1,0)+IF(DO1108&lt;&gt;"",1,0)+IF(DP1108&lt;&gt;"",1,0)+IF(DQ1108&lt;&gt;"",1,0)+IF(DS1108&lt;&gt;"",1,0)+IF(DT1108&lt;&gt;"",1,0)+IF(DV1108&lt;&gt;"",1,0)+IF(DW1108&lt;&gt;"",1,0)+IF(DX1108&lt;&gt;"",1,0)+IF(DY1108&lt;&gt;"",1,0)+IF(DZ1108&lt;&gt;"",1,0)+IF(EB1108&lt;&gt;"",1,0)+IF(EC1108&lt;&gt;"",1,0)+IF(ED1108&lt;&gt;"",1,0)+IF(EG1108&lt;&gt;"",1,0)+IF(EH1108&lt;&gt;"",1,0)</f>
        <v/>
      </c>
      <c r="AZ1108">
        <f>IF(EH1108&lt;&gt;"",1,0)</f>
        <v/>
      </c>
      <c r="BB1108" t="inlineStr">
        <is>
          <t>WARREN-WARD 4</t>
        </is>
      </c>
      <c r="BD1108" t="inlineStr">
        <is>
          <t>X</t>
        </is>
      </c>
      <c r="BL1108" t="inlineStr">
        <is>
          <t>X</t>
        </is>
      </c>
      <c r="BS1108" t="inlineStr">
        <is>
          <t>X</t>
        </is>
      </c>
      <c r="CA1108" t="inlineStr">
        <is>
          <t>X</t>
        </is>
      </c>
      <c r="CK1108" t="inlineStr">
        <is>
          <t>X</t>
        </is>
      </c>
      <c r="CP1108" t="inlineStr">
        <is>
          <t>X</t>
        </is>
      </c>
      <c r="CV1108" t="inlineStr">
        <is>
          <t>X</t>
        </is>
      </c>
      <c r="DC1108" t="inlineStr">
        <is>
          <t>X</t>
        </is>
      </c>
      <c r="DI1108" t="inlineStr">
        <is>
          <t>X</t>
        </is>
      </c>
      <c r="DN1108" t="inlineStr">
        <is>
          <t>X</t>
        </is>
      </c>
      <c r="DU1108" t="inlineStr">
        <is>
          <t>X</t>
        </is>
      </c>
      <c r="DW1108" t="inlineStr">
        <is>
          <t>D</t>
        </is>
      </c>
      <c r="EF1108" t="inlineStr">
        <is>
          <t>X</t>
        </is>
      </c>
    </row>
    <row r="1109">
      <c r="A1109" t="inlineStr">
        <is>
          <t>OH0024476321</t>
        </is>
      </c>
      <c r="B1109" t="n">
        <v>78</v>
      </c>
      <c r="C1109" t="n">
        <v>419816</v>
      </c>
      <c r="D1109" t="inlineStr">
        <is>
          <t>ARNETT</t>
        </is>
      </c>
      <c r="E1109" t="inlineStr">
        <is>
          <t>ANTHONY</t>
        </is>
      </c>
      <c r="F1109">
        <f>CONCATENATE(D1109," ",LEFT(H1109,4),"T=",AU1109,"D=",AV1109,"R=",AW1109,"M=",AX1109,"L=",AY1109,"B=",AZ1109)</f>
        <v/>
      </c>
      <c r="G1109" t="inlineStr">
        <is>
          <t>MC</t>
        </is>
      </c>
      <c r="I1109" t="inlineStr">
        <is>
          <t>1997-09-04</t>
        </is>
      </c>
      <c r="J1109" t="inlineStr">
        <is>
          <t>2020-10-07</t>
        </is>
      </c>
      <c r="K1109" t="inlineStr">
        <is>
          <t>ACTIVE</t>
        </is>
      </c>
      <c r="M1109" t="inlineStr">
        <is>
          <t>240 MONROE ST NW</t>
        </is>
      </c>
      <c r="N1109">
        <f>RIGHT(M1109,LEN(M1109)-FIND(" ",M1109))</f>
        <v/>
      </c>
      <c r="P1109" t="inlineStr">
        <is>
          <t>WARREN</t>
        </is>
      </c>
      <c r="Q1109" t="inlineStr">
        <is>
          <t>OH</t>
        </is>
      </c>
      <c r="R1109" t="n">
        <v>44483</v>
      </c>
      <c r="AD1109" t="inlineStr">
        <is>
          <t>TRUMBULL CAREER &amp; TECH CENTER</t>
        </is>
      </c>
      <c r="AE1109" t="inlineStr">
        <is>
          <t>WARREN CITY</t>
        </is>
      </c>
      <c r="AF1109" t="inlineStr">
        <is>
          <t>WARREN CITY SD</t>
        </is>
      </c>
      <c r="AH1109" t="n">
        <v>14</v>
      </c>
      <c r="AI1109" t="n">
        <v>11</v>
      </c>
      <c r="AN1109" t="inlineStr">
        <is>
          <t>WARREN</t>
        </is>
      </c>
      <c r="AO1109" t="inlineStr">
        <is>
          <t>WARREN CITY 4D</t>
        </is>
      </c>
      <c r="AP1109" t="inlineStr">
        <is>
          <t>78-P-ADL</t>
        </is>
      </c>
      <c r="AQ1109" t="n">
        <v>9</v>
      </c>
      <c r="AR1109" t="n">
        <v>64</v>
      </c>
      <c r="AS1109" t="n">
        <v>32</v>
      </c>
      <c r="AU1109">
        <f>COUNTA($BA$1109:$EH$1109)</f>
        <v/>
      </c>
      <c r="AV1109">
        <f>COUNTIF($BA$1109:$EH$1109,"D")</f>
        <v/>
      </c>
      <c r="AW1109">
        <f>COUNTIF($BA$1109:$EH$1109,"R")</f>
        <v/>
      </c>
      <c r="AX1109">
        <f>IF(BN1109="D",1,0)+IF(BO1109="D",1,0)+IF(BT1109="D",1,0)+IF(BU1109="D",1,0)+IF(BW1109="D",1,0)+IF(CC1109="D",1,0)+IF(CD1109="D",1,0)+IF(CE1109="D",1,0)+IF(CF1109="D",1,0)+IF(CL1109="D",1,0)+IF(CM1109="D",1,0)+IF(CQ1109="D",1,0)+IF(CR1109="D",1,0)+IF(CS1109="D",1,0)+IF(CW1109="D",1,0)+IF(CX1109="D",1,0)+IF(DD1109="D",1,0)+IF(DE1109="D",1,0)+IF(DJ1109="D",1,0)+IF(DK1109="D",1,0)+IF(DO1109="D",1,0)+IF(DP1109="D",1,0)+IF(DQ1109="D",1,0)+IF(DW1109="D",1,0)+IF(DZ1109="D",1,0)+IF(EH1109="D",1,0)</f>
        <v/>
      </c>
      <c r="AY1109">
        <f>IF(DJ1109&lt;&gt;"",1,0)+IF(DK1109&lt;&gt;"",1,0)+IF(DM1109&lt;&gt;"",1,0)+IF(DO1109&lt;&gt;"",1,0)+IF(DP1109&lt;&gt;"",1,0)+IF(DQ1109&lt;&gt;"",1,0)+IF(DS1109&lt;&gt;"",1,0)+IF(DT1109&lt;&gt;"",1,0)+IF(DV1109&lt;&gt;"",1,0)+IF(DW1109&lt;&gt;"",1,0)+IF(DX1109&lt;&gt;"",1,0)+IF(DY1109&lt;&gt;"",1,0)+IF(DZ1109&lt;&gt;"",1,0)+IF(EB1109&lt;&gt;"",1,0)+IF(EC1109&lt;&gt;"",1,0)+IF(ED1109&lt;&gt;"",1,0)+IF(EG1109&lt;&gt;"",1,0)+IF(EH1109&lt;&gt;"",1,0)</f>
        <v/>
      </c>
      <c r="AZ1109">
        <f>IF(EH1109&lt;&gt;"",1,0)</f>
        <v/>
      </c>
      <c r="BB1109" t="inlineStr">
        <is>
          <t>WARREN-WARD 4</t>
        </is>
      </c>
    </row>
    <row r="1110">
      <c r="A1110" t="inlineStr">
        <is>
          <t>OH0015743237</t>
        </is>
      </c>
      <c r="B1110" t="n">
        <v>78</v>
      </c>
      <c r="C1110" t="n">
        <v>297151</v>
      </c>
      <c r="D1110" t="inlineStr">
        <is>
          <t>COOK</t>
        </is>
      </c>
      <c r="E1110" t="inlineStr">
        <is>
          <t>DINA</t>
        </is>
      </c>
      <c r="F1110">
        <f>CONCATENATE(D1110," ",LEFT(H1110,4),"T=",AU1110,"D=",AV1110,"R=",AW1110,"M=",AX1110,"L=",AY1110,"B=",AZ1110)</f>
        <v/>
      </c>
      <c r="G1110" t="inlineStr">
        <is>
          <t>M</t>
        </is>
      </c>
      <c r="I1110" t="inlineStr">
        <is>
          <t>1969-05-22</t>
        </is>
      </c>
      <c r="J1110" t="inlineStr">
        <is>
          <t>2006-11-07</t>
        </is>
      </c>
      <c r="K1110" t="inlineStr">
        <is>
          <t>CONFIRMATION</t>
        </is>
      </c>
      <c r="M1110" t="inlineStr">
        <is>
          <t>252 LAWRENCE AVE NE</t>
        </is>
      </c>
      <c r="N1110">
        <f>RIGHT(M1110,LEN(M1110)-FIND(" ",M1110))</f>
        <v/>
      </c>
      <c r="P1110" t="inlineStr">
        <is>
          <t>WARREN</t>
        </is>
      </c>
      <c r="Q1110" t="inlineStr">
        <is>
          <t>OH</t>
        </is>
      </c>
      <c r="R1110" t="n">
        <v>44483</v>
      </c>
      <c r="AD1110" t="inlineStr">
        <is>
          <t>TRUMBULL CAREER &amp; TECH CENTER</t>
        </is>
      </c>
      <c r="AE1110" t="inlineStr">
        <is>
          <t>WARREN CITY</t>
        </is>
      </c>
      <c r="AF1110" t="inlineStr">
        <is>
          <t>WARREN CITY SD</t>
        </is>
      </c>
      <c r="AH1110" t="n">
        <v>14</v>
      </c>
      <c r="AI1110" t="n">
        <v>11</v>
      </c>
      <c r="AN1110" t="inlineStr">
        <is>
          <t>WARREN</t>
        </is>
      </c>
      <c r="AO1110" t="inlineStr">
        <is>
          <t>WARREN CITY 4D</t>
        </is>
      </c>
      <c r="AP1110" t="inlineStr">
        <is>
          <t>78-P-ADL</t>
        </is>
      </c>
      <c r="AQ1110" t="n">
        <v>9</v>
      </c>
      <c r="AR1110" t="n">
        <v>64</v>
      </c>
      <c r="AS1110" t="n">
        <v>32</v>
      </c>
      <c r="AU1110">
        <f>COUNTA($BA$1110:$EH$1110)</f>
        <v/>
      </c>
      <c r="AV1110">
        <f>COUNTIF($BA$1110:$EH$1110,"D")</f>
        <v/>
      </c>
      <c r="AW1110">
        <f>COUNTIF($BA$1110:$EH$1110,"R")</f>
        <v/>
      </c>
      <c r="AX1110">
        <f>IF(BN1110="D",1,0)+IF(BO1110="D",1,0)+IF(BT1110="D",1,0)+IF(BU1110="D",1,0)+IF(BW1110="D",1,0)+IF(CC1110="D",1,0)+IF(CD1110="D",1,0)+IF(CE1110="D",1,0)+IF(CF1110="D",1,0)+IF(CL1110="D",1,0)+IF(CM1110="D",1,0)+IF(CQ1110="D",1,0)+IF(CR1110="D",1,0)+IF(CS1110="D",1,0)+IF(CW1110="D",1,0)+IF(CX1110="D",1,0)+IF(DD1110="D",1,0)+IF(DE1110="D",1,0)+IF(DJ1110="D",1,0)+IF(DK1110="D",1,0)+IF(DO1110="D",1,0)+IF(DP1110="D",1,0)+IF(DQ1110="D",1,0)+IF(DW1110="D",1,0)+IF(DZ1110="D",1,0)+IF(EH1110="D",1,0)</f>
        <v/>
      </c>
      <c r="AY1110">
        <f>IF(DJ1110&lt;&gt;"",1,0)+IF(DK1110&lt;&gt;"",1,0)+IF(DM1110&lt;&gt;"",1,0)+IF(DO1110&lt;&gt;"",1,0)+IF(DP1110&lt;&gt;"",1,0)+IF(DQ1110&lt;&gt;"",1,0)+IF(DS1110&lt;&gt;"",1,0)+IF(DT1110&lt;&gt;"",1,0)+IF(DV1110&lt;&gt;"",1,0)+IF(DW1110&lt;&gt;"",1,0)+IF(DX1110&lt;&gt;"",1,0)+IF(DY1110&lt;&gt;"",1,0)+IF(DZ1110&lt;&gt;"",1,0)+IF(EB1110&lt;&gt;"",1,0)+IF(EC1110&lt;&gt;"",1,0)+IF(ED1110&lt;&gt;"",1,0)+IF(EG1110&lt;&gt;"",1,0)+IF(EH1110&lt;&gt;"",1,0)</f>
        <v/>
      </c>
      <c r="AZ1110">
        <f>IF(EH1110&lt;&gt;"",1,0)</f>
        <v/>
      </c>
      <c r="BB1110" t="inlineStr">
        <is>
          <t>WARREN-WARD 4</t>
        </is>
      </c>
      <c r="BD1110" t="inlineStr">
        <is>
          <t>X</t>
        </is>
      </c>
      <c r="BK1110" t="inlineStr">
        <is>
          <t>X</t>
        </is>
      </c>
      <c r="BL1110" t="inlineStr">
        <is>
          <t>X</t>
        </is>
      </c>
      <c r="BP1110" t="inlineStr">
        <is>
          <t>X</t>
        </is>
      </c>
      <c r="BS1110" t="inlineStr">
        <is>
          <t>X</t>
        </is>
      </c>
      <c r="BY1110" t="inlineStr">
        <is>
          <t>D</t>
        </is>
      </c>
      <c r="CA1110" t="inlineStr">
        <is>
          <t>X</t>
        </is>
      </c>
      <c r="CP1110" t="inlineStr">
        <is>
          <t>X</t>
        </is>
      </c>
      <c r="CT1110" t="inlineStr">
        <is>
          <t>X</t>
        </is>
      </c>
      <c r="DC1110" t="inlineStr">
        <is>
          <t>X</t>
        </is>
      </c>
      <c r="DI1110" t="inlineStr">
        <is>
          <t>X</t>
        </is>
      </c>
    </row>
    <row r="1111">
      <c r="A1111" t="inlineStr">
        <is>
          <t>OH0024655780</t>
        </is>
      </c>
      <c r="B1111" t="n">
        <v>78</v>
      </c>
      <c r="C1111" t="n">
        <v>432277</v>
      </c>
      <c r="D1111" t="inlineStr">
        <is>
          <t>WOMACK</t>
        </is>
      </c>
      <c r="E1111" t="inlineStr">
        <is>
          <t>MALACHI</t>
        </is>
      </c>
      <c r="F1111">
        <f>CONCATENATE(D1111," ",LEFT(H1111,4),"T=",AU1111,"D=",AV1111,"R=",AW1111,"M=",AX1111,"L=",AY1111,"B=",AZ1111)</f>
        <v/>
      </c>
      <c r="G1111" t="inlineStr">
        <is>
          <t>C</t>
        </is>
      </c>
      <c r="I1111" t="inlineStr">
        <is>
          <t>1998-01-24</t>
        </is>
      </c>
      <c r="J1111" t="inlineStr">
        <is>
          <t>2023-05-03</t>
        </is>
      </c>
      <c r="K1111" t="inlineStr">
        <is>
          <t>ACTIVE</t>
        </is>
      </c>
      <c r="M1111" t="inlineStr">
        <is>
          <t>620 VINE AVE NE</t>
        </is>
      </c>
      <c r="N1111">
        <f>RIGHT(M1111,LEN(M1111)-FIND(" ",M1111))</f>
        <v/>
      </c>
      <c r="P1111" t="inlineStr">
        <is>
          <t>WARREN</t>
        </is>
      </c>
      <c r="Q1111" t="inlineStr">
        <is>
          <t>OH</t>
        </is>
      </c>
      <c r="R1111" t="n">
        <v>44483</v>
      </c>
      <c r="AD1111" t="inlineStr">
        <is>
          <t>TRUMBULL CAREER &amp; TECH CENTER</t>
        </is>
      </c>
      <c r="AE1111" t="inlineStr">
        <is>
          <t>WARREN CITY</t>
        </is>
      </c>
      <c r="AF1111" t="inlineStr">
        <is>
          <t>WARREN CITY SD</t>
        </is>
      </c>
      <c r="AH1111" t="n">
        <v>14</v>
      </c>
      <c r="AI1111" t="n">
        <v>11</v>
      </c>
      <c r="AN1111" t="inlineStr">
        <is>
          <t>WARREN</t>
        </is>
      </c>
      <c r="AO1111" t="inlineStr">
        <is>
          <t>WARREN CITY 4D</t>
        </is>
      </c>
      <c r="AP1111" t="inlineStr">
        <is>
          <t>78-P-ADL</t>
        </is>
      </c>
      <c r="AQ1111" t="n">
        <v>9</v>
      </c>
      <c r="AR1111" t="n">
        <v>64</v>
      </c>
      <c r="AS1111" t="n">
        <v>32</v>
      </c>
      <c r="AU1111">
        <f>COUNTA($BA$1111:$EH$1111)</f>
        <v/>
      </c>
      <c r="AV1111">
        <f>COUNTIF($BA$1111:$EH$1111,"D")</f>
        <v/>
      </c>
      <c r="AW1111">
        <f>COUNTIF($BA$1111:$EH$1111,"R")</f>
        <v/>
      </c>
      <c r="AX1111">
        <f>IF(BN1111="D",1,0)+IF(BO1111="D",1,0)+IF(BT1111="D",1,0)+IF(BU1111="D",1,0)+IF(BW1111="D",1,0)+IF(CC1111="D",1,0)+IF(CD1111="D",1,0)+IF(CE1111="D",1,0)+IF(CF1111="D",1,0)+IF(CL1111="D",1,0)+IF(CM1111="D",1,0)+IF(CQ1111="D",1,0)+IF(CR1111="D",1,0)+IF(CS1111="D",1,0)+IF(CW1111="D",1,0)+IF(CX1111="D",1,0)+IF(DD1111="D",1,0)+IF(DE1111="D",1,0)+IF(DJ1111="D",1,0)+IF(DK1111="D",1,0)+IF(DO1111="D",1,0)+IF(DP1111="D",1,0)+IF(DQ1111="D",1,0)+IF(DW1111="D",1,0)+IF(DZ1111="D",1,0)+IF(EH1111="D",1,0)</f>
        <v/>
      </c>
      <c r="AY1111">
        <f>IF(DJ1111&lt;&gt;"",1,0)+IF(DK1111&lt;&gt;"",1,0)+IF(DM1111&lt;&gt;"",1,0)+IF(DO1111&lt;&gt;"",1,0)+IF(DP1111&lt;&gt;"",1,0)+IF(DQ1111&lt;&gt;"",1,0)+IF(DS1111&lt;&gt;"",1,0)+IF(DT1111&lt;&gt;"",1,0)+IF(DV1111&lt;&gt;"",1,0)+IF(DW1111&lt;&gt;"",1,0)+IF(DX1111&lt;&gt;"",1,0)+IF(DY1111&lt;&gt;"",1,0)+IF(DZ1111&lt;&gt;"",1,0)+IF(EB1111&lt;&gt;"",1,0)+IF(EC1111&lt;&gt;"",1,0)+IF(ED1111&lt;&gt;"",1,0)+IF(EG1111&lt;&gt;"",1,0)+IF(EH1111&lt;&gt;"",1,0)</f>
        <v/>
      </c>
      <c r="AZ1111">
        <f>IF(EH1111&lt;&gt;"",1,0)</f>
        <v/>
      </c>
      <c r="BB1111" t="inlineStr">
        <is>
          <t>WARREN-WARD 4</t>
        </is>
      </c>
      <c r="DI1111" t="inlineStr">
        <is>
          <t>X</t>
        </is>
      </c>
      <c r="DL1111" t="inlineStr">
        <is>
          <t>X</t>
        </is>
      </c>
      <c r="DN1111" t="inlineStr">
        <is>
          <t>X</t>
        </is>
      </c>
      <c r="DX1111" t="inlineStr">
        <is>
          <t>X</t>
        </is>
      </c>
      <c r="EA1111" t="inlineStr">
        <is>
          <t>X</t>
        </is>
      </c>
      <c r="EF1111" t="inlineStr">
        <is>
          <t>X</t>
        </is>
      </c>
    </row>
    <row r="1112">
      <c r="A1112" t="inlineStr">
        <is>
          <t>OH0023810924</t>
        </is>
      </c>
      <c r="B1112" t="n">
        <v>78</v>
      </c>
      <c r="C1112" t="n">
        <v>418276</v>
      </c>
      <c r="D1112" t="inlineStr">
        <is>
          <t>RAGER</t>
        </is>
      </c>
      <c r="E1112" t="inlineStr">
        <is>
          <t>WELDON</t>
        </is>
      </c>
      <c r="F1112">
        <f>CONCATENATE(D1112," ",LEFT(H1112,4),"T=",AU1112,"D=",AV1112,"R=",AW1112,"M=",AX1112,"L=",AY1112,"B=",AZ1112)</f>
        <v/>
      </c>
      <c r="G1112" t="inlineStr">
        <is>
          <t>L</t>
        </is>
      </c>
      <c r="H1112" t="inlineStr">
        <is>
          <t>JR</t>
        </is>
      </c>
      <c r="I1112" t="inlineStr">
        <is>
          <t>1964-05-14</t>
        </is>
      </c>
      <c r="J1112" t="inlineStr">
        <is>
          <t>2016-07-19</t>
        </is>
      </c>
      <c r="K1112" t="inlineStr">
        <is>
          <t>ACTIVE</t>
        </is>
      </c>
      <c r="M1112" t="inlineStr">
        <is>
          <t>226 MONROE ST NW</t>
        </is>
      </c>
      <c r="N1112">
        <f>RIGHT(M1112,LEN(M1112)-FIND(" ",M1112))</f>
        <v/>
      </c>
      <c r="P1112" t="inlineStr">
        <is>
          <t>WARREN</t>
        </is>
      </c>
      <c r="Q1112" t="inlineStr">
        <is>
          <t>OH</t>
        </is>
      </c>
      <c r="R1112" t="n">
        <v>44483</v>
      </c>
      <c r="AD1112" t="inlineStr">
        <is>
          <t>TRUMBULL CAREER &amp; TECH CENTER</t>
        </is>
      </c>
      <c r="AE1112" t="inlineStr">
        <is>
          <t>WARREN CITY</t>
        </is>
      </c>
      <c r="AF1112" t="inlineStr">
        <is>
          <t>WARREN CITY SD</t>
        </is>
      </c>
      <c r="AH1112" t="n">
        <v>14</v>
      </c>
      <c r="AI1112" t="n">
        <v>11</v>
      </c>
      <c r="AN1112" t="inlineStr">
        <is>
          <t>WARREN</t>
        </is>
      </c>
      <c r="AO1112" t="inlineStr">
        <is>
          <t>WARREN CITY 4D</t>
        </is>
      </c>
      <c r="AP1112" t="inlineStr">
        <is>
          <t>78-P-ADL</t>
        </is>
      </c>
      <c r="AQ1112" t="n">
        <v>9</v>
      </c>
      <c r="AR1112" t="n">
        <v>64</v>
      </c>
      <c r="AS1112" t="n">
        <v>32</v>
      </c>
      <c r="AU1112">
        <f>COUNTA($BA$1112:$EH$1112)</f>
        <v/>
      </c>
      <c r="AV1112">
        <f>COUNTIF($BA$1112:$EH$1112,"D")</f>
        <v/>
      </c>
      <c r="AW1112">
        <f>COUNTIF($BA$1112:$EH$1112,"R")</f>
        <v/>
      </c>
      <c r="AX1112">
        <f>IF(BN1112="D",1,0)+IF(BO1112="D",1,0)+IF(BT1112="D",1,0)+IF(BU1112="D",1,0)+IF(BW1112="D",1,0)+IF(CC1112="D",1,0)+IF(CD1112="D",1,0)+IF(CE1112="D",1,0)+IF(CF1112="D",1,0)+IF(CL1112="D",1,0)+IF(CM1112="D",1,0)+IF(CQ1112="D",1,0)+IF(CR1112="D",1,0)+IF(CS1112="D",1,0)+IF(CW1112="D",1,0)+IF(CX1112="D",1,0)+IF(DD1112="D",1,0)+IF(DE1112="D",1,0)+IF(DJ1112="D",1,0)+IF(DK1112="D",1,0)+IF(DO1112="D",1,0)+IF(DP1112="D",1,0)+IF(DQ1112="D",1,0)+IF(DW1112="D",1,0)+IF(DZ1112="D",1,0)+IF(EH1112="D",1,0)</f>
        <v/>
      </c>
      <c r="AY1112">
        <f>IF(DJ1112&lt;&gt;"",1,0)+IF(DK1112&lt;&gt;"",1,0)+IF(DM1112&lt;&gt;"",1,0)+IF(DO1112&lt;&gt;"",1,0)+IF(DP1112&lt;&gt;"",1,0)+IF(DQ1112&lt;&gt;"",1,0)+IF(DS1112&lt;&gt;"",1,0)+IF(DT1112&lt;&gt;"",1,0)+IF(DV1112&lt;&gt;"",1,0)+IF(DW1112&lt;&gt;"",1,0)+IF(DX1112&lt;&gt;"",1,0)+IF(DY1112&lt;&gt;"",1,0)+IF(DZ1112&lt;&gt;"",1,0)+IF(EB1112&lt;&gt;"",1,0)+IF(EC1112&lt;&gt;"",1,0)+IF(ED1112&lt;&gt;"",1,0)+IF(EG1112&lt;&gt;"",1,0)+IF(EH1112&lt;&gt;"",1,0)</f>
        <v/>
      </c>
      <c r="AZ1112">
        <f>IF(EH1112&lt;&gt;"",1,0)</f>
        <v/>
      </c>
      <c r="BB1112" t="inlineStr">
        <is>
          <t>WARREN-WARD 4</t>
        </is>
      </c>
    </row>
    <row r="1113">
      <c r="A1113" t="inlineStr">
        <is>
          <t>OH0015734084</t>
        </is>
      </c>
      <c r="B1113" t="n">
        <v>78</v>
      </c>
      <c r="C1113" t="n">
        <v>222232</v>
      </c>
      <c r="D1113" t="inlineStr">
        <is>
          <t>KASZOWSKI</t>
        </is>
      </c>
      <c r="E1113" t="inlineStr">
        <is>
          <t>DIANE</t>
        </is>
      </c>
      <c r="F1113">
        <f>CONCATENATE(D1113," ",LEFT(H1113,4),"T=",AU1113,"D=",AV1113,"R=",AW1113,"M=",AX1113,"L=",AY1113,"B=",AZ1113)</f>
        <v/>
      </c>
      <c r="I1113" t="inlineStr">
        <is>
          <t>1959-04-12</t>
        </is>
      </c>
      <c r="J1113" t="inlineStr">
        <is>
          <t>2020-10-19</t>
        </is>
      </c>
      <c r="K1113" t="inlineStr">
        <is>
          <t>CONFIRMATION</t>
        </is>
      </c>
      <c r="M1113" t="inlineStr">
        <is>
          <t>1243 MCKINLEY ST NE</t>
        </is>
      </c>
      <c r="N1113">
        <f>RIGHT(M1113,LEN(M1113)-FIND(" ",M1113))</f>
        <v/>
      </c>
      <c r="P1113" t="inlineStr">
        <is>
          <t>WARREN</t>
        </is>
      </c>
      <c r="Q1113" t="inlineStr">
        <is>
          <t>OH</t>
        </is>
      </c>
      <c r="R1113" t="n">
        <v>44483</v>
      </c>
      <c r="AD1113" t="inlineStr">
        <is>
          <t>TRUMBULL CAREER &amp; TECH CENTER</t>
        </is>
      </c>
      <c r="AE1113" t="inlineStr">
        <is>
          <t>WARREN CITY</t>
        </is>
      </c>
      <c r="AF1113" t="inlineStr">
        <is>
          <t>WARREN CITY SD</t>
        </is>
      </c>
      <c r="AH1113" t="n">
        <v>14</v>
      </c>
      <c r="AI1113" t="n">
        <v>11</v>
      </c>
      <c r="AN1113" t="inlineStr">
        <is>
          <t>WARREN</t>
        </is>
      </c>
      <c r="AO1113" t="inlineStr">
        <is>
          <t>WARREN CITY 4D</t>
        </is>
      </c>
      <c r="AP1113" t="inlineStr">
        <is>
          <t>78-P-ADL</t>
        </is>
      </c>
      <c r="AQ1113" t="n">
        <v>9</v>
      </c>
      <c r="AR1113" t="n">
        <v>64</v>
      </c>
      <c r="AS1113" t="n">
        <v>32</v>
      </c>
      <c r="AU1113">
        <f>COUNTA($BA$1113:$EH$1113)</f>
        <v/>
      </c>
      <c r="AV1113">
        <f>COUNTIF($BA$1113:$EH$1113,"D")</f>
        <v/>
      </c>
      <c r="AW1113">
        <f>COUNTIF($BA$1113:$EH$1113,"R")</f>
        <v/>
      </c>
      <c r="AX1113">
        <f>IF(BN1113="D",1,0)+IF(BO1113="D",1,0)+IF(BT1113="D",1,0)+IF(BU1113="D",1,0)+IF(BW1113="D",1,0)+IF(CC1113="D",1,0)+IF(CD1113="D",1,0)+IF(CE1113="D",1,0)+IF(CF1113="D",1,0)+IF(CL1113="D",1,0)+IF(CM1113="D",1,0)+IF(CQ1113="D",1,0)+IF(CR1113="D",1,0)+IF(CS1113="D",1,0)+IF(CW1113="D",1,0)+IF(CX1113="D",1,0)+IF(DD1113="D",1,0)+IF(DE1113="D",1,0)+IF(DJ1113="D",1,0)+IF(DK1113="D",1,0)+IF(DO1113="D",1,0)+IF(DP1113="D",1,0)+IF(DQ1113="D",1,0)+IF(DW1113="D",1,0)+IF(DZ1113="D",1,0)+IF(EH1113="D",1,0)</f>
        <v/>
      </c>
      <c r="AY1113">
        <f>IF(DJ1113&lt;&gt;"",1,0)+IF(DK1113&lt;&gt;"",1,0)+IF(DM1113&lt;&gt;"",1,0)+IF(DO1113&lt;&gt;"",1,0)+IF(DP1113&lt;&gt;"",1,0)+IF(DQ1113&lt;&gt;"",1,0)+IF(DS1113&lt;&gt;"",1,0)+IF(DT1113&lt;&gt;"",1,0)+IF(DV1113&lt;&gt;"",1,0)+IF(DW1113&lt;&gt;"",1,0)+IF(DX1113&lt;&gt;"",1,0)+IF(DY1113&lt;&gt;"",1,0)+IF(DZ1113&lt;&gt;"",1,0)+IF(EB1113&lt;&gt;"",1,0)+IF(EC1113&lt;&gt;"",1,0)+IF(ED1113&lt;&gt;"",1,0)+IF(EG1113&lt;&gt;"",1,0)+IF(EH1113&lt;&gt;"",1,0)</f>
        <v/>
      </c>
      <c r="AZ1113">
        <f>IF(EH1113&lt;&gt;"",1,0)</f>
        <v/>
      </c>
      <c r="BB1113" t="inlineStr">
        <is>
          <t>WARREN-WARD 4</t>
        </is>
      </c>
      <c r="BL1113" t="inlineStr">
        <is>
          <t>X</t>
        </is>
      </c>
      <c r="BS1113" t="inlineStr">
        <is>
          <t>X</t>
        </is>
      </c>
      <c r="BY1113" t="inlineStr">
        <is>
          <t>D</t>
        </is>
      </c>
      <c r="CA1113" t="inlineStr">
        <is>
          <t>X</t>
        </is>
      </c>
      <c r="CK1113" t="inlineStr">
        <is>
          <t>X</t>
        </is>
      </c>
    </row>
    <row r="1114">
      <c r="A1114" t="inlineStr">
        <is>
          <t>OH0027388471</t>
        </is>
      </c>
      <c r="B1114" t="n">
        <v>78</v>
      </c>
      <c r="C1114" t="n">
        <v>485466</v>
      </c>
      <c r="D1114" t="inlineStr">
        <is>
          <t>LYONS</t>
        </is>
      </c>
      <c r="E1114" t="inlineStr">
        <is>
          <t>ELECTA</t>
        </is>
      </c>
      <c r="F1114">
        <f>CONCATENATE(D1114," ",LEFT(H1114,4),"T=",AU1114,"D=",AV1114,"R=",AW1114,"M=",AX1114,"L=",AY1114,"B=",AZ1114)</f>
        <v/>
      </c>
      <c r="G1114" t="inlineStr">
        <is>
          <t>EILEEN</t>
        </is>
      </c>
      <c r="I1114" t="inlineStr">
        <is>
          <t>1962-05-08</t>
        </is>
      </c>
      <c r="J1114" t="inlineStr">
        <is>
          <t>2024-06-12</t>
        </is>
      </c>
      <c r="K1114" t="inlineStr">
        <is>
          <t>ACTIVE</t>
        </is>
      </c>
      <c r="M1114" t="inlineStr">
        <is>
          <t>1216 MCKINLEY ST NE</t>
        </is>
      </c>
      <c r="N1114">
        <f>RIGHT(M1114,LEN(M1114)-FIND(" ",M1114))</f>
        <v/>
      </c>
      <c r="P1114" t="inlineStr">
        <is>
          <t>WARREN</t>
        </is>
      </c>
      <c r="Q1114" t="inlineStr">
        <is>
          <t>OH</t>
        </is>
      </c>
      <c r="R1114" t="n">
        <v>44483</v>
      </c>
      <c r="AD1114" t="inlineStr">
        <is>
          <t>TRUMBULL CAREER &amp; TECH CENTER</t>
        </is>
      </c>
      <c r="AE1114" t="inlineStr">
        <is>
          <t>WARREN CITY</t>
        </is>
      </c>
      <c r="AF1114" t="inlineStr">
        <is>
          <t>WARREN CITY SD</t>
        </is>
      </c>
      <c r="AH1114" t="n">
        <v>14</v>
      </c>
      <c r="AI1114" t="n">
        <v>11</v>
      </c>
      <c r="AN1114" t="inlineStr">
        <is>
          <t>WARREN</t>
        </is>
      </c>
      <c r="AO1114" t="inlineStr">
        <is>
          <t>WARREN CITY 4D</t>
        </is>
      </c>
      <c r="AP1114" t="inlineStr">
        <is>
          <t>78-P-ADL</t>
        </is>
      </c>
      <c r="AQ1114" t="n">
        <v>9</v>
      </c>
      <c r="AR1114" t="n">
        <v>64</v>
      </c>
      <c r="AS1114" t="n">
        <v>32</v>
      </c>
      <c r="AU1114">
        <f>COUNTA($BA$1114:$EH$1114)</f>
        <v/>
      </c>
      <c r="AV1114">
        <f>COUNTIF($BA$1114:$EH$1114,"D")</f>
        <v/>
      </c>
      <c r="AW1114">
        <f>COUNTIF($BA$1114:$EH$1114,"R")</f>
        <v/>
      </c>
      <c r="AX1114">
        <f>IF(BN1114="D",1,0)+IF(BO1114="D",1,0)+IF(BT1114="D",1,0)+IF(BU1114="D",1,0)+IF(BW1114="D",1,0)+IF(CC1114="D",1,0)+IF(CD1114="D",1,0)+IF(CE1114="D",1,0)+IF(CF1114="D",1,0)+IF(CL1114="D",1,0)+IF(CM1114="D",1,0)+IF(CQ1114="D",1,0)+IF(CR1114="D",1,0)+IF(CS1114="D",1,0)+IF(CW1114="D",1,0)+IF(CX1114="D",1,0)+IF(DD1114="D",1,0)+IF(DE1114="D",1,0)+IF(DJ1114="D",1,0)+IF(DK1114="D",1,0)+IF(DO1114="D",1,0)+IF(DP1114="D",1,0)+IF(DQ1114="D",1,0)+IF(DW1114="D",1,0)+IF(DZ1114="D",1,0)+IF(EH1114="D",1,0)</f>
        <v/>
      </c>
      <c r="AY1114">
        <f>IF(DJ1114&lt;&gt;"",1,0)+IF(DK1114&lt;&gt;"",1,0)+IF(DM1114&lt;&gt;"",1,0)+IF(DO1114&lt;&gt;"",1,0)+IF(DP1114&lt;&gt;"",1,0)+IF(DQ1114&lt;&gt;"",1,0)+IF(DS1114&lt;&gt;"",1,0)+IF(DT1114&lt;&gt;"",1,0)+IF(DV1114&lt;&gt;"",1,0)+IF(DW1114&lt;&gt;"",1,0)+IF(DX1114&lt;&gt;"",1,0)+IF(DY1114&lt;&gt;"",1,0)+IF(DZ1114&lt;&gt;"",1,0)+IF(EB1114&lt;&gt;"",1,0)+IF(EC1114&lt;&gt;"",1,0)+IF(ED1114&lt;&gt;"",1,0)+IF(EG1114&lt;&gt;"",1,0)+IF(EH1114&lt;&gt;"",1,0)</f>
        <v/>
      </c>
      <c r="AZ1114">
        <f>IF(EH1114&lt;&gt;"",1,0)</f>
        <v/>
      </c>
      <c r="BB1114" t="inlineStr">
        <is>
          <t>WARREN-WARD 4</t>
        </is>
      </c>
      <c r="EF1114" t="inlineStr">
        <is>
          <t>X</t>
        </is>
      </c>
    </row>
    <row r="1115">
      <c r="A1115" t="inlineStr">
        <is>
          <t>OH0027675802</t>
        </is>
      </c>
      <c r="B1115" t="n">
        <v>78</v>
      </c>
      <c r="C1115" t="n">
        <v>489845</v>
      </c>
      <c r="D1115" t="inlineStr">
        <is>
          <t>GLOVER</t>
        </is>
      </c>
      <c r="E1115" t="inlineStr">
        <is>
          <t>ARIELLE</t>
        </is>
      </c>
      <c r="F1115">
        <f>CONCATENATE(D1115," ",LEFT(H1115,4),"T=",AU1115,"D=",AV1115,"R=",AW1115,"M=",AX1115,"L=",AY1115,"B=",AZ1115)</f>
        <v/>
      </c>
      <c r="G1115" t="inlineStr">
        <is>
          <t>M</t>
        </is>
      </c>
      <c r="I1115" t="inlineStr">
        <is>
          <t>1997-03-18</t>
        </is>
      </c>
      <c r="J1115" t="inlineStr">
        <is>
          <t>2024-09-23</t>
        </is>
      </c>
      <c r="K1115" t="inlineStr">
        <is>
          <t>ACTIVE</t>
        </is>
      </c>
      <c r="M1115" t="inlineStr">
        <is>
          <t>471 PORTER ST NE</t>
        </is>
      </c>
      <c r="N1115">
        <f>RIGHT(M1115,LEN(M1115)-FIND(" ",M1115))</f>
        <v/>
      </c>
      <c r="P1115" t="inlineStr">
        <is>
          <t>WARREN</t>
        </is>
      </c>
      <c r="Q1115" t="inlineStr">
        <is>
          <t>OH</t>
        </is>
      </c>
      <c r="R1115" t="n">
        <v>44483</v>
      </c>
      <c r="AD1115" t="inlineStr">
        <is>
          <t>TRUMBULL CAREER &amp; TECH CENTER</t>
        </is>
      </c>
      <c r="AE1115" t="inlineStr">
        <is>
          <t>WARREN CITY</t>
        </is>
      </c>
      <c r="AF1115" t="inlineStr">
        <is>
          <t>WARREN CITY SD</t>
        </is>
      </c>
      <c r="AH1115" t="n">
        <v>14</v>
      </c>
      <c r="AI1115" t="n">
        <v>11</v>
      </c>
      <c r="AN1115" t="inlineStr">
        <is>
          <t>WARREN</t>
        </is>
      </c>
      <c r="AO1115" t="inlineStr">
        <is>
          <t>WARREN CITY 4D</t>
        </is>
      </c>
      <c r="AP1115" t="inlineStr">
        <is>
          <t>78-P-ADL</t>
        </is>
      </c>
      <c r="AQ1115" t="n">
        <v>9</v>
      </c>
      <c r="AR1115" t="n">
        <v>64</v>
      </c>
      <c r="AS1115" t="n">
        <v>32</v>
      </c>
      <c r="AU1115">
        <f>COUNTA($BA$1115:$EH$1115)</f>
        <v/>
      </c>
      <c r="AV1115">
        <f>COUNTIF($BA$1115:$EH$1115,"D")</f>
        <v/>
      </c>
      <c r="AW1115">
        <f>COUNTIF($BA$1115:$EH$1115,"R")</f>
        <v/>
      </c>
      <c r="AX1115">
        <f>IF(BN1115="D",1,0)+IF(BO1115="D",1,0)+IF(BT1115="D",1,0)+IF(BU1115="D",1,0)+IF(BW1115="D",1,0)+IF(CC1115="D",1,0)+IF(CD1115="D",1,0)+IF(CE1115="D",1,0)+IF(CF1115="D",1,0)+IF(CL1115="D",1,0)+IF(CM1115="D",1,0)+IF(CQ1115="D",1,0)+IF(CR1115="D",1,0)+IF(CS1115="D",1,0)+IF(CW1115="D",1,0)+IF(CX1115="D",1,0)+IF(DD1115="D",1,0)+IF(DE1115="D",1,0)+IF(DJ1115="D",1,0)+IF(DK1115="D",1,0)+IF(DO1115="D",1,0)+IF(DP1115="D",1,0)+IF(DQ1115="D",1,0)+IF(DW1115="D",1,0)+IF(DZ1115="D",1,0)+IF(EH1115="D",1,0)</f>
        <v/>
      </c>
      <c r="AY1115">
        <f>IF(DJ1115&lt;&gt;"",1,0)+IF(DK1115&lt;&gt;"",1,0)+IF(DM1115&lt;&gt;"",1,0)+IF(DO1115&lt;&gt;"",1,0)+IF(DP1115&lt;&gt;"",1,0)+IF(DQ1115&lt;&gt;"",1,0)+IF(DS1115&lt;&gt;"",1,0)+IF(DT1115&lt;&gt;"",1,0)+IF(DV1115&lt;&gt;"",1,0)+IF(DW1115&lt;&gt;"",1,0)+IF(DX1115&lt;&gt;"",1,0)+IF(DY1115&lt;&gt;"",1,0)+IF(DZ1115&lt;&gt;"",1,0)+IF(EB1115&lt;&gt;"",1,0)+IF(EC1115&lt;&gt;"",1,0)+IF(ED1115&lt;&gt;"",1,0)+IF(EG1115&lt;&gt;"",1,0)+IF(EH1115&lt;&gt;"",1,0)</f>
        <v/>
      </c>
      <c r="AZ1115">
        <f>IF(EH1115&lt;&gt;"",1,0)</f>
        <v/>
      </c>
      <c r="BB1115" t="inlineStr">
        <is>
          <t>WARREN-WARD 4</t>
        </is>
      </c>
      <c r="CZ1115" t="inlineStr">
        <is>
          <t>R</t>
        </is>
      </c>
      <c r="DC1115" t="inlineStr">
        <is>
          <t>X</t>
        </is>
      </c>
      <c r="DI1115" t="inlineStr">
        <is>
          <t>X</t>
        </is>
      </c>
      <c r="DN1115" t="inlineStr">
        <is>
          <t>X</t>
        </is>
      </c>
      <c r="EF1115" t="inlineStr">
        <is>
          <t>X</t>
        </is>
      </c>
    </row>
    <row r="1116">
      <c r="A1116" t="inlineStr">
        <is>
          <t>OH0027388482</t>
        </is>
      </c>
      <c r="B1116" t="n">
        <v>78</v>
      </c>
      <c r="C1116" t="n">
        <v>485467</v>
      </c>
      <c r="D1116" t="inlineStr">
        <is>
          <t>FLETCHER</t>
        </is>
      </c>
      <c r="E1116" t="inlineStr">
        <is>
          <t>KEMMARI</t>
        </is>
      </c>
      <c r="F1116">
        <f>CONCATENATE(D1116," ",LEFT(H1116,4),"T=",AU1116,"D=",AV1116,"R=",AW1116,"M=",AX1116,"L=",AY1116,"B=",AZ1116)</f>
        <v/>
      </c>
      <c r="G1116" t="inlineStr">
        <is>
          <t>CHERESE</t>
        </is>
      </c>
      <c r="I1116" t="inlineStr">
        <is>
          <t>2005-06-08</t>
        </is>
      </c>
      <c r="J1116" t="inlineStr">
        <is>
          <t>2024-06-12</t>
        </is>
      </c>
      <c r="K1116" t="inlineStr">
        <is>
          <t>ACTIVE</t>
        </is>
      </c>
      <c r="M1116" t="inlineStr">
        <is>
          <t>224 PORTER ST NE</t>
        </is>
      </c>
      <c r="N1116">
        <f>RIGHT(M1116,LEN(M1116)-FIND(" ",M1116))</f>
        <v/>
      </c>
      <c r="P1116" t="inlineStr">
        <is>
          <t>WARREN</t>
        </is>
      </c>
      <c r="Q1116" t="inlineStr">
        <is>
          <t>OH</t>
        </is>
      </c>
      <c r="R1116" t="n">
        <v>44483</v>
      </c>
      <c r="AD1116" t="inlineStr">
        <is>
          <t>TRUMBULL CAREER &amp; TECH CENTER</t>
        </is>
      </c>
      <c r="AE1116" t="inlineStr">
        <is>
          <t>WARREN CITY</t>
        </is>
      </c>
      <c r="AF1116" t="inlineStr">
        <is>
          <t>WARREN CITY SD</t>
        </is>
      </c>
      <c r="AH1116" t="n">
        <v>14</v>
      </c>
      <c r="AI1116" t="n">
        <v>11</v>
      </c>
      <c r="AN1116" t="inlineStr">
        <is>
          <t>WARREN</t>
        </is>
      </c>
      <c r="AO1116" t="inlineStr">
        <is>
          <t>WARREN CITY 4D</t>
        </is>
      </c>
      <c r="AP1116" t="inlineStr">
        <is>
          <t>78-P-ADL</t>
        </is>
      </c>
      <c r="AQ1116" t="n">
        <v>9</v>
      </c>
      <c r="AR1116" t="n">
        <v>64</v>
      </c>
      <c r="AS1116" t="n">
        <v>32</v>
      </c>
      <c r="AU1116">
        <f>COUNTA($BA$1116:$EH$1116)</f>
        <v/>
      </c>
      <c r="AV1116">
        <f>COUNTIF($BA$1116:$EH$1116,"D")</f>
        <v/>
      </c>
      <c r="AW1116">
        <f>COUNTIF($BA$1116:$EH$1116,"R")</f>
        <v/>
      </c>
      <c r="AX1116">
        <f>IF(BN1116="D",1,0)+IF(BO1116="D",1,0)+IF(BT1116="D",1,0)+IF(BU1116="D",1,0)+IF(BW1116="D",1,0)+IF(CC1116="D",1,0)+IF(CD1116="D",1,0)+IF(CE1116="D",1,0)+IF(CF1116="D",1,0)+IF(CL1116="D",1,0)+IF(CM1116="D",1,0)+IF(CQ1116="D",1,0)+IF(CR1116="D",1,0)+IF(CS1116="D",1,0)+IF(CW1116="D",1,0)+IF(CX1116="D",1,0)+IF(DD1116="D",1,0)+IF(DE1116="D",1,0)+IF(DJ1116="D",1,0)+IF(DK1116="D",1,0)+IF(DO1116="D",1,0)+IF(DP1116="D",1,0)+IF(DQ1116="D",1,0)+IF(DW1116="D",1,0)+IF(DZ1116="D",1,0)+IF(EH1116="D",1,0)</f>
        <v/>
      </c>
      <c r="AY1116">
        <f>IF(DJ1116&lt;&gt;"",1,0)+IF(DK1116&lt;&gt;"",1,0)+IF(DM1116&lt;&gt;"",1,0)+IF(DO1116&lt;&gt;"",1,0)+IF(DP1116&lt;&gt;"",1,0)+IF(DQ1116&lt;&gt;"",1,0)+IF(DS1116&lt;&gt;"",1,0)+IF(DT1116&lt;&gt;"",1,0)+IF(DV1116&lt;&gt;"",1,0)+IF(DW1116&lt;&gt;"",1,0)+IF(DX1116&lt;&gt;"",1,0)+IF(DY1116&lt;&gt;"",1,0)+IF(DZ1116&lt;&gt;"",1,0)+IF(EB1116&lt;&gt;"",1,0)+IF(EC1116&lt;&gt;"",1,0)+IF(ED1116&lt;&gt;"",1,0)+IF(EG1116&lt;&gt;"",1,0)+IF(EH1116&lt;&gt;"",1,0)</f>
        <v/>
      </c>
      <c r="AZ1116">
        <f>IF(EH1116&lt;&gt;"",1,0)</f>
        <v/>
      </c>
      <c r="BB1116" t="inlineStr">
        <is>
          <t>WARREN-WARD 4</t>
        </is>
      </c>
    </row>
    <row r="1117">
      <c r="A1117" t="inlineStr">
        <is>
          <t>OH0024388700</t>
        </is>
      </c>
      <c r="B1117" t="n">
        <v>78</v>
      </c>
      <c r="C1117" t="n">
        <v>427836</v>
      </c>
      <c r="D1117" t="inlineStr">
        <is>
          <t>COAR</t>
        </is>
      </c>
      <c r="E1117" t="inlineStr">
        <is>
          <t>SHANE</t>
        </is>
      </c>
      <c r="F1117">
        <f>CONCATENATE(D1117," ",LEFT(H1117,4),"T=",AU1117,"D=",AV1117,"R=",AW1117,"M=",AX1117,"L=",AY1117,"B=",AZ1117)</f>
        <v/>
      </c>
      <c r="G1117" t="inlineStr">
        <is>
          <t>PATRICK</t>
        </is>
      </c>
      <c r="I1117" t="inlineStr">
        <is>
          <t>1999-06-04</t>
        </is>
      </c>
      <c r="J1117" t="inlineStr">
        <is>
          <t>2017-09-15</t>
        </is>
      </c>
      <c r="K1117" t="inlineStr">
        <is>
          <t>CONFIRMATION</t>
        </is>
      </c>
      <c r="M1117" t="inlineStr">
        <is>
          <t>1184 MCKINLEY ST NE</t>
        </is>
      </c>
      <c r="N1117">
        <f>RIGHT(M1117,LEN(M1117)-FIND(" ",M1117))</f>
        <v/>
      </c>
      <c r="P1117" t="inlineStr">
        <is>
          <t>WARREN</t>
        </is>
      </c>
      <c r="Q1117" t="inlineStr">
        <is>
          <t>OH</t>
        </is>
      </c>
      <c r="R1117" t="n">
        <v>44483</v>
      </c>
      <c r="AD1117" t="inlineStr">
        <is>
          <t>TRUMBULL CAREER &amp; TECH CENTER</t>
        </is>
      </c>
      <c r="AE1117" t="inlineStr">
        <is>
          <t>WARREN CITY</t>
        </is>
      </c>
      <c r="AF1117" t="inlineStr">
        <is>
          <t>WARREN CITY SD</t>
        </is>
      </c>
      <c r="AH1117" t="n">
        <v>14</v>
      </c>
      <c r="AI1117" t="n">
        <v>11</v>
      </c>
      <c r="AN1117" t="inlineStr">
        <is>
          <t>WARREN</t>
        </is>
      </c>
      <c r="AO1117" t="inlineStr">
        <is>
          <t>WARREN CITY 4D</t>
        </is>
      </c>
      <c r="AP1117" t="inlineStr">
        <is>
          <t>78-P-ADL</t>
        </is>
      </c>
      <c r="AQ1117" t="n">
        <v>9</v>
      </c>
      <c r="AR1117" t="n">
        <v>64</v>
      </c>
      <c r="AS1117" t="n">
        <v>32</v>
      </c>
      <c r="AU1117">
        <f>COUNTA($BA$1117:$EH$1117)</f>
        <v/>
      </c>
      <c r="AV1117">
        <f>COUNTIF($BA$1117:$EH$1117,"D")</f>
        <v/>
      </c>
      <c r="AW1117">
        <f>COUNTIF($BA$1117:$EH$1117,"R")</f>
        <v/>
      </c>
      <c r="AX1117">
        <f>IF(BN1117="D",1,0)+IF(BO1117="D",1,0)+IF(BT1117="D",1,0)+IF(BU1117="D",1,0)+IF(BW1117="D",1,0)+IF(CC1117="D",1,0)+IF(CD1117="D",1,0)+IF(CE1117="D",1,0)+IF(CF1117="D",1,0)+IF(CL1117="D",1,0)+IF(CM1117="D",1,0)+IF(CQ1117="D",1,0)+IF(CR1117="D",1,0)+IF(CS1117="D",1,0)+IF(CW1117="D",1,0)+IF(CX1117="D",1,0)+IF(DD1117="D",1,0)+IF(DE1117="D",1,0)+IF(DJ1117="D",1,0)+IF(DK1117="D",1,0)+IF(DO1117="D",1,0)+IF(DP1117="D",1,0)+IF(DQ1117="D",1,0)+IF(DW1117="D",1,0)+IF(DZ1117="D",1,0)+IF(EH1117="D",1,0)</f>
        <v/>
      </c>
      <c r="AY1117">
        <f>IF(DJ1117&lt;&gt;"",1,0)+IF(DK1117&lt;&gt;"",1,0)+IF(DM1117&lt;&gt;"",1,0)+IF(DO1117&lt;&gt;"",1,0)+IF(DP1117&lt;&gt;"",1,0)+IF(DQ1117&lt;&gt;"",1,0)+IF(DS1117&lt;&gt;"",1,0)+IF(DT1117&lt;&gt;"",1,0)+IF(DV1117&lt;&gt;"",1,0)+IF(DW1117&lt;&gt;"",1,0)+IF(DX1117&lt;&gt;"",1,0)+IF(DY1117&lt;&gt;"",1,0)+IF(DZ1117&lt;&gt;"",1,0)+IF(EB1117&lt;&gt;"",1,0)+IF(EC1117&lt;&gt;"",1,0)+IF(ED1117&lt;&gt;"",1,0)+IF(EG1117&lt;&gt;"",1,0)+IF(EH1117&lt;&gt;"",1,0)</f>
        <v/>
      </c>
      <c r="AZ1117">
        <f>IF(EH1117&lt;&gt;"",1,0)</f>
        <v/>
      </c>
      <c r="BB1117" t="inlineStr">
        <is>
          <t>WARREN-WARD 4</t>
        </is>
      </c>
    </row>
    <row r="1118">
      <c r="A1118" t="inlineStr">
        <is>
          <t>OH0026926966</t>
        </is>
      </c>
      <c r="B1118" t="n">
        <v>78</v>
      </c>
      <c r="C1118" t="n">
        <v>474563</v>
      </c>
      <c r="D1118" t="inlineStr">
        <is>
          <t>FOERTCH</t>
        </is>
      </c>
      <c r="E1118" t="inlineStr">
        <is>
          <t>YVONNE</t>
        </is>
      </c>
      <c r="F1118">
        <f>CONCATENATE(D1118," ",LEFT(H1118,4),"T=",AU1118,"D=",AV1118,"R=",AW1118,"M=",AX1118,"L=",AY1118,"B=",AZ1118)</f>
        <v/>
      </c>
      <c r="I1118" t="inlineStr">
        <is>
          <t>1949-11-08</t>
        </is>
      </c>
      <c r="J1118" t="inlineStr">
        <is>
          <t>2023-06-26</t>
        </is>
      </c>
      <c r="K1118" t="inlineStr">
        <is>
          <t>ACTIVE</t>
        </is>
      </c>
      <c r="M1118" t="inlineStr">
        <is>
          <t>1197 HARRISON ST NE</t>
        </is>
      </c>
      <c r="N1118">
        <f>RIGHT(M1118,LEN(M1118)-FIND(" ",M1118))</f>
        <v/>
      </c>
      <c r="P1118" t="inlineStr">
        <is>
          <t>WARREN</t>
        </is>
      </c>
      <c r="Q1118" t="inlineStr">
        <is>
          <t>OH</t>
        </is>
      </c>
      <c r="R1118" t="n">
        <v>44483</v>
      </c>
      <c r="AD1118" t="inlineStr">
        <is>
          <t>TRUMBULL CAREER &amp; TECH CENTER</t>
        </is>
      </c>
      <c r="AE1118" t="inlineStr">
        <is>
          <t>WARREN CITY</t>
        </is>
      </c>
      <c r="AF1118" t="inlineStr">
        <is>
          <t>WARREN CITY SD</t>
        </is>
      </c>
      <c r="AH1118" t="n">
        <v>14</v>
      </c>
      <c r="AI1118" t="n">
        <v>11</v>
      </c>
      <c r="AN1118" t="inlineStr">
        <is>
          <t>WARREN</t>
        </is>
      </c>
      <c r="AO1118" t="inlineStr">
        <is>
          <t>WARREN CITY 4D</t>
        </is>
      </c>
      <c r="AP1118" t="inlineStr">
        <is>
          <t>78-P-ADL</t>
        </is>
      </c>
      <c r="AQ1118" t="n">
        <v>9</v>
      </c>
      <c r="AR1118" t="n">
        <v>64</v>
      </c>
      <c r="AS1118" t="n">
        <v>32</v>
      </c>
      <c r="AU1118">
        <f>COUNTA($BA$1118:$EH$1118)</f>
        <v/>
      </c>
      <c r="AV1118">
        <f>COUNTIF($BA$1118:$EH$1118,"D")</f>
        <v/>
      </c>
      <c r="AW1118">
        <f>COUNTIF($BA$1118:$EH$1118,"R")</f>
        <v/>
      </c>
      <c r="AX1118">
        <f>IF(BN1118="D",1,0)+IF(BO1118="D",1,0)+IF(BT1118="D",1,0)+IF(BU1118="D",1,0)+IF(BW1118="D",1,0)+IF(CC1118="D",1,0)+IF(CD1118="D",1,0)+IF(CE1118="D",1,0)+IF(CF1118="D",1,0)+IF(CL1118="D",1,0)+IF(CM1118="D",1,0)+IF(CQ1118="D",1,0)+IF(CR1118="D",1,0)+IF(CS1118="D",1,0)+IF(CW1118="D",1,0)+IF(CX1118="D",1,0)+IF(DD1118="D",1,0)+IF(DE1118="D",1,0)+IF(DJ1118="D",1,0)+IF(DK1118="D",1,0)+IF(DO1118="D",1,0)+IF(DP1118="D",1,0)+IF(DQ1118="D",1,0)+IF(DW1118="D",1,0)+IF(DZ1118="D",1,0)+IF(EH1118="D",1,0)</f>
        <v/>
      </c>
      <c r="AY1118">
        <f>IF(DJ1118&lt;&gt;"",1,0)+IF(DK1118&lt;&gt;"",1,0)+IF(DM1118&lt;&gt;"",1,0)+IF(DO1118&lt;&gt;"",1,0)+IF(DP1118&lt;&gt;"",1,0)+IF(DQ1118&lt;&gt;"",1,0)+IF(DS1118&lt;&gt;"",1,0)+IF(DT1118&lt;&gt;"",1,0)+IF(DV1118&lt;&gt;"",1,0)+IF(DW1118&lt;&gt;"",1,0)+IF(DX1118&lt;&gt;"",1,0)+IF(DY1118&lt;&gt;"",1,0)+IF(DZ1118&lt;&gt;"",1,0)+IF(EB1118&lt;&gt;"",1,0)+IF(EC1118&lt;&gt;"",1,0)+IF(ED1118&lt;&gt;"",1,0)+IF(EG1118&lt;&gt;"",1,0)+IF(EH1118&lt;&gt;"",1,0)</f>
        <v/>
      </c>
      <c r="AZ1118">
        <f>IF(EH1118&lt;&gt;"",1,0)</f>
        <v/>
      </c>
      <c r="BB1118" t="inlineStr">
        <is>
          <t>WARREN-WARD 4</t>
        </is>
      </c>
      <c r="EF1118" t="inlineStr">
        <is>
          <t>X</t>
        </is>
      </c>
    </row>
    <row r="1119">
      <c r="A1119" t="inlineStr">
        <is>
          <t>OH0024490426</t>
        </is>
      </c>
      <c r="B1119" t="n">
        <v>78</v>
      </c>
      <c r="C1119" t="n">
        <v>429243</v>
      </c>
      <c r="D1119" t="inlineStr">
        <is>
          <t>LOWE</t>
        </is>
      </c>
      <c r="E1119" t="inlineStr">
        <is>
          <t>SHANNON</t>
        </is>
      </c>
      <c r="F1119">
        <f>CONCATENATE(D1119," ",LEFT(H1119,4),"T=",AU1119,"D=",AV1119,"R=",AW1119,"M=",AX1119,"L=",AY1119,"B=",AZ1119)</f>
        <v/>
      </c>
      <c r="G1119" t="inlineStr">
        <is>
          <t>MARIE</t>
        </is>
      </c>
      <c r="I1119" t="inlineStr">
        <is>
          <t>1999-01-04</t>
        </is>
      </c>
      <c r="J1119" t="inlineStr">
        <is>
          <t>2018-01-16</t>
        </is>
      </c>
      <c r="K1119" t="inlineStr">
        <is>
          <t>CONFIRMATION</t>
        </is>
      </c>
      <c r="M1119" t="inlineStr">
        <is>
          <t>204 PORTER ST NE</t>
        </is>
      </c>
      <c r="N1119">
        <f>RIGHT(M1119,LEN(M1119)-FIND(" ",M1119))</f>
        <v/>
      </c>
      <c r="O1119" t="inlineStr">
        <is>
          <t>APT 1E</t>
        </is>
      </c>
      <c r="P1119" t="inlineStr">
        <is>
          <t>WARREN</t>
        </is>
      </c>
      <c r="Q1119" t="inlineStr">
        <is>
          <t>OH</t>
        </is>
      </c>
      <c r="R1119" t="n">
        <v>44483</v>
      </c>
      <c r="AD1119" t="inlineStr">
        <is>
          <t>TRUMBULL CAREER &amp; TECH CENTER</t>
        </is>
      </c>
      <c r="AE1119" t="inlineStr">
        <is>
          <t>WARREN CITY</t>
        </is>
      </c>
      <c r="AF1119" t="inlineStr">
        <is>
          <t>WARREN CITY SD</t>
        </is>
      </c>
      <c r="AH1119" t="n">
        <v>14</v>
      </c>
      <c r="AI1119" t="n">
        <v>11</v>
      </c>
      <c r="AN1119" t="inlineStr">
        <is>
          <t>WARREN</t>
        </is>
      </c>
      <c r="AO1119" t="inlineStr">
        <is>
          <t>WARREN CITY 4D</t>
        </is>
      </c>
      <c r="AP1119" t="inlineStr">
        <is>
          <t>78-P-ADL</t>
        </is>
      </c>
      <c r="AQ1119" t="n">
        <v>9</v>
      </c>
      <c r="AR1119" t="n">
        <v>64</v>
      </c>
      <c r="AS1119" t="n">
        <v>32</v>
      </c>
      <c r="AU1119">
        <f>COUNTA($BA$1119:$EH$1119)</f>
        <v/>
      </c>
      <c r="AV1119">
        <f>COUNTIF($BA$1119:$EH$1119,"D")</f>
        <v/>
      </c>
      <c r="AW1119">
        <f>COUNTIF($BA$1119:$EH$1119,"R")</f>
        <v/>
      </c>
      <c r="AX1119">
        <f>IF(BN1119="D",1,0)+IF(BO1119="D",1,0)+IF(BT1119="D",1,0)+IF(BU1119="D",1,0)+IF(BW1119="D",1,0)+IF(CC1119="D",1,0)+IF(CD1119="D",1,0)+IF(CE1119="D",1,0)+IF(CF1119="D",1,0)+IF(CL1119="D",1,0)+IF(CM1119="D",1,0)+IF(CQ1119="D",1,0)+IF(CR1119="D",1,0)+IF(CS1119="D",1,0)+IF(CW1119="D",1,0)+IF(CX1119="D",1,0)+IF(DD1119="D",1,0)+IF(DE1119="D",1,0)+IF(DJ1119="D",1,0)+IF(DK1119="D",1,0)+IF(DO1119="D",1,0)+IF(DP1119="D",1,0)+IF(DQ1119="D",1,0)+IF(DW1119="D",1,0)+IF(DZ1119="D",1,0)+IF(EH1119="D",1,0)</f>
        <v/>
      </c>
      <c r="AY1119">
        <f>IF(DJ1119&lt;&gt;"",1,0)+IF(DK1119&lt;&gt;"",1,0)+IF(DM1119&lt;&gt;"",1,0)+IF(DO1119&lt;&gt;"",1,0)+IF(DP1119&lt;&gt;"",1,0)+IF(DQ1119&lt;&gt;"",1,0)+IF(DS1119&lt;&gt;"",1,0)+IF(DT1119&lt;&gt;"",1,0)+IF(DV1119&lt;&gt;"",1,0)+IF(DW1119&lt;&gt;"",1,0)+IF(DX1119&lt;&gt;"",1,0)+IF(DY1119&lt;&gt;"",1,0)+IF(DZ1119&lt;&gt;"",1,0)+IF(EB1119&lt;&gt;"",1,0)+IF(EC1119&lt;&gt;"",1,0)+IF(ED1119&lt;&gt;"",1,0)+IF(EG1119&lt;&gt;"",1,0)+IF(EH1119&lt;&gt;"",1,0)</f>
        <v/>
      </c>
      <c r="AZ1119">
        <f>IF(EH1119&lt;&gt;"",1,0)</f>
        <v/>
      </c>
      <c r="BB1119" t="inlineStr">
        <is>
          <t>WARREN-WARD 4</t>
        </is>
      </c>
    </row>
    <row r="1120">
      <c r="A1120" t="inlineStr">
        <is>
          <t>OH0019794891</t>
        </is>
      </c>
      <c r="B1120" t="n">
        <v>78</v>
      </c>
      <c r="C1120" t="n">
        <v>359315</v>
      </c>
      <c r="D1120" t="inlineStr">
        <is>
          <t>WILLIAMS</t>
        </is>
      </c>
      <c r="E1120" t="inlineStr">
        <is>
          <t>JUDY</t>
        </is>
      </c>
      <c r="F1120">
        <f>CONCATENATE(D1120," ",LEFT(H1120,4),"T=",AU1120,"D=",AV1120,"R=",AW1120,"M=",AX1120,"L=",AY1120,"B=",AZ1120)</f>
        <v/>
      </c>
      <c r="G1120" t="inlineStr">
        <is>
          <t>K</t>
        </is>
      </c>
      <c r="I1120" t="inlineStr">
        <is>
          <t>1960-02-29</t>
        </is>
      </c>
      <c r="J1120" t="inlineStr">
        <is>
          <t>2008-03-04</t>
        </is>
      </c>
      <c r="K1120" t="inlineStr">
        <is>
          <t>ACTIVE</t>
        </is>
      </c>
      <c r="L1120" t="inlineStr">
        <is>
          <t>D</t>
        </is>
      </c>
      <c r="M1120" t="inlineStr">
        <is>
          <t>240 VINE AVE NE</t>
        </is>
      </c>
      <c r="N1120">
        <f>RIGHT(M1120,LEN(M1120)-FIND(" ",M1120))</f>
        <v/>
      </c>
      <c r="P1120" t="inlineStr">
        <is>
          <t>WARREN</t>
        </is>
      </c>
      <c r="Q1120" t="inlineStr">
        <is>
          <t>OH</t>
        </is>
      </c>
      <c r="R1120" t="n">
        <v>44483</v>
      </c>
      <c r="AD1120" t="inlineStr">
        <is>
          <t>TRUMBULL CAREER &amp; TECH CENTER</t>
        </is>
      </c>
      <c r="AE1120" t="inlineStr">
        <is>
          <t>WARREN CITY</t>
        </is>
      </c>
      <c r="AF1120" t="inlineStr">
        <is>
          <t>WARREN CITY SD</t>
        </is>
      </c>
      <c r="AH1120" t="n">
        <v>14</v>
      </c>
      <c r="AI1120" t="n">
        <v>11</v>
      </c>
      <c r="AN1120" t="inlineStr">
        <is>
          <t>WARREN</t>
        </is>
      </c>
      <c r="AO1120" t="inlineStr">
        <is>
          <t>WARREN CITY 4D</t>
        </is>
      </c>
      <c r="AP1120" t="inlineStr">
        <is>
          <t>78-P-ADL</t>
        </is>
      </c>
      <c r="AQ1120" t="n">
        <v>9</v>
      </c>
      <c r="AR1120" t="n">
        <v>64</v>
      </c>
      <c r="AS1120" t="n">
        <v>32</v>
      </c>
      <c r="AU1120">
        <f>COUNTA($BA$1120:$EH$1120)</f>
        <v/>
      </c>
      <c r="AV1120">
        <f>COUNTIF($BA$1120:$EH$1120,"D")</f>
        <v/>
      </c>
      <c r="AW1120">
        <f>COUNTIF($BA$1120:$EH$1120,"R")</f>
        <v/>
      </c>
      <c r="AX1120">
        <f>IF(BN1120="D",1,0)+IF(BO1120="D",1,0)+IF(BT1120="D",1,0)+IF(BU1120="D",1,0)+IF(BW1120="D",1,0)+IF(CC1120="D",1,0)+IF(CD1120="D",1,0)+IF(CE1120="D",1,0)+IF(CF1120="D",1,0)+IF(CL1120="D",1,0)+IF(CM1120="D",1,0)+IF(CQ1120="D",1,0)+IF(CR1120="D",1,0)+IF(CS1120="D",1,0)+IF(CW1120="D",1,0)+IF(CX1120="D",1,0)+IF(DD1120="D",1,0)+IF(DE1120="D",1,0)+IF(DJ1120="D",1,0)+IF(DK1120="D",1,0)+IF(DO1120="D",1,0)+IF(DP1120="D",1,0)+IF(DQ1120="D",1,0)+IF(DW1120="D",1,0)+IF(DZ1120="D",1,0)+IF(EH1120="D",1,0)</f>
        <v/>
      </c>
      <c r="AY1120">
        <f>IF(DJ1120&lt;&gt;"",1,0)+IF(DK1120&lt;&gt;"",1,0)+IF(DM1120&lt;&gt;"",1,0)+IF(DO1120&lt;&gt;"",1,0)+IF(DP1120&lt;&gt;"",1,0)+IF(DQ1120&lt;&gt;"",1,0)+IF(DS1120&lt;&gt;"",1,0)+IF(DT1120&lt;&gt;"",1,0)+IF(DV1120&lt;&gt;"",1,0)+IF(DW1120&lt;&gt;"",1,0)+IF(DX1120&lt;&gt;"",1,0)+IF(DY1120&lt;&gt;"",1,0)+IF(DZ1120&lt;&gt;"",1,0)+IF(EB1120&lt;&gt;"",1,0)+IF(EC1120&lt;&gt;"",1,0)+IF(ED1120&lt;&gt;"",1,0)+IF(EG1120&lt;&gt;"",1,0)+IF(EH1120&lt;&gt;"",1,0)</f>
        <v/>
      </c>
      <c r="AZ1120">
        <f>IF(EH1120&lt;&gt;"",1,0)</f>
        <v/>
      </c>
      <c r="BB1120" t="inlineStr">
        <is>
          <t>WARREN-WARD 4</t>
        </is>
      </c>
      <c r="CA1120" t="inlineStr">
        <is>
          <t>X</t>
        </is>
      </c>
      <c r="CK1120" t="inlineStr">
        <is>
          <t>X</t>
        </is>
      </c>
      <c r="CN1120" t="inlineStr">
        <is>
          <t>X</t>
        </is>
      </c>
      <c r="CP1120" t="inlineStr">
        <is>
          <t>X</t>
        </is>
      </c>
      <c r="CV1120" t="inlineStr">
        <is>
          <t>X</t>
        </is>
      </c>
      <c r="CY1120" t="inlineStr">
        <is>
          <t>X</t>
        </is>
      </c>
      <c r="DC1120" t="inlineStr">
        <is>
          <t>X</t>
        </is>
      </c>
      <c r="DI1120" t="inlineStr">
        <is>
          <t>X</t>
        </is>
      </c>
      <c r="DM1120" t="inlineStr">
        <is>
          <t>D</t>
        </is>
      </c>
      <c r="DN1120" t="inlineStr">
        <is>
          <t>X</t>
        </is>
      </c>
      <c r="DU1120" t="inlineStr">
        <is>
          <t>X</t>
        </is>
      </c>
      <c r="DW1120" t="inlineStr">
        <is>
          <t>D</t>
        </is>
      </c>
      <c r="DX1120" t="inlineStr">
        <is>
          <t>X</t>
        </is>
      </c>
      <c r="EA1120" t="inlineStr">
        <is>
          <t>X</t>
        </is>
      </c>
      <c r="ED1120" t="inlineStr">
        <is>
          <t>D</t>
        </is>
      </c>
      <c r="EF1120" t="inlineStr">
        <is>
          <t>X</t>
        </is>
      </c>
    </row>
    <row r="1121">
      <c r="A1121" t="inlineStr">
        <is>
          <t>OH0015723629</t>
        </is>
      </c>
      <c r="B1121" t="n">
        <v>78</v>
      </c>
      <c r="C1121" t="n">
        <v>206382</v>
      </c>
      <c r="D1121" t="inlineStr">
        <is>
          <t>HATHHORN</t>
        </is>
      </c>
      <c r="E1121" t="inlineStr">
        <is>
          <t>RACHEL</t>
        </is>
      </c>
      <c r="F1121">
        <f>CONCATENATE(D1121," ",LEFT(H1121,4),"T=",AU1121,"D=",AV1121,"R=",AW1121,"M=",AX1121,"L=",AY1121,"B=",AZ1121)</f>
        <v/>
      </c>
      <c r="G1121" t="inlineStr">
        <is>
          <t>E</t>
        </is>
      </c>
      <c r="I1121" t="inlineStr">
        <is>
          <t>1970-07-18</t>
        </is>
      </c>
      <c r="J1121" t="inlineStr">
        <is>
          <t>2008-04-15</t>
        </is>
      </c>
      <c r="K1121" t="inlineStr">
        <is>
          <t>ACTIVE</t>
        </is>
      </c>
      <c r="L1121" t="inlineStr">
        <is>
          <t>D</t>
        </is>
      </c>
      <c r="M1121" t="inlineStr">
        <is>
          <t>658 VINE AVE NE</t>
        </is>
      </c>
      <c r="N1121">
        <f>RIGHT(M1121,LEN(M1121)-FIND(" ",M1121))</f>
        <v/>
      </c>
      <c r="P1121" t="inlineStr">
        <is>
          <t>WARREN</t>
        </is>
      </c>
      <c r="Q1121" t="inlineStr">
        <is>
          <t>OH</t>
        </is>
      </c>
      <c r="R1121" t="n">
        <v>44483</v>
      </c>
      <c r="AD1121" t="inlineStr">
        <is>
          <t>TRUMBULL CAREER &amp; TECH CENTER</t>
        </is>
      </c>
      <c r="AE1121" t="inlineStr">
        <is>
          <t>WARREN CITY</t>
        </is>
      </c>
      <c r="AF1121" t="inlineStr">
        <is>
          <t>WARREN CITY SD</t>
        </is>
      </c>
      <c r="AH1121" t="n">
        <v>14</v>
      </c>
      <c r="AI1121" t="n">
        <v>11</v>
      </c>
      <c r="AN1121" t="inlineStr">
        <is>
          <t>WARREN</t>
        </is>
      </c>
      <c r="AO1121" t="inlineStr">
        <is>
          <t>WARREN CITY 4D</t>
        </is>
      </c>
      <c r="AP1121" t="inlineStr">
        <is>
          <t>78-P-ADL</t>
        </is>
      </c>
      <c r="AQ1121" t="n">
        <v>9</v>
      </c>
      <c r="AR1121" t="n">
        <v>64</v>
      </c>
      <c r="AS1121" t="n">
        <v>32</v>
      </c>
      <c r="AU1121">
        <f>COUNTA($BA$1121:$EH$1121)</f>
        <v/>
      </c>
      <c r="AV1121">
        <f>COUNTIF($BA$1121:$EH$1121,"D")</f>
        <v/>
      </c>
      <c r="AW1121">
        <f>COUNTIF($BA$1121:$EH$1121,"R")</f>
        <v/>
      </c>
      <c r="AX1121">
        <f>IF(BN1121="D",1,0)+IF(BO1121="D",1,0)+IF(BT1121="D",1,0)+IF(BU1121="D",1,0)+IF(BW1121="D",1,0)+IF(CC1121="D",1,0)+IF(CD1121="D",1,0)+IF(CE1121="D",1,0)+IF(CF1121="D",1,0)+IF(CL1121="D",1,0)+IF(CM1121="D",1,0)+IF(CQ1121="D",1,0)+IF(CR1121="D",1,0)+IF(CS1121="D",1,0)+IF(CW1121="D",1,0)+IF(CX1121="D",1,0)+IF(DD1121="D",1,0)+IF(DE1121="D",1,0)+IF(DJ1121="D",1,0)+IF(DK1121="D",1,0)+IF(DO1121="D",1,0)+IF(DP1121="D",1,0)+IF(DQ1121="D",1,0)+IF(DW1121="D",1,0)+IF(DZ1121="D",1,0)+IF(EH1121="D",1,0)</f>
        <v/>
      </c>
      <c r="AY1121">
        <f>IF(DJ1121&lt;&gt;"",1,0)+IF(DK1121&lt;&gt;"",1,0)+IF(DM1121&lt;&gt;"",1,0)+IF(DO1121&lt;&gt;"",1,0)+IF(DP1121&lt;&gt;"",1,0)+IF(DQ1121&lt;&gt;"",1,0)+IF(DS1121&lt;&gt;"",1,0)+IF(DT1121&lt;&gt;"",1,0)+IF(DV1121&lt;&gt;"",1,0)+IF(DW1121&lt;&gt;"",1,0)+IF(DX1121&lt;&gt;"",1,0)+IF(DY1121&lt;&gt;"",1,0)+IF(DZ1121&lt;&gt;"",1,0)+IF(EB1121&lt;&gt;"",1,0)+IF(EC1121&lt;&gt;"",1,0)+IF(ED1121&lt;&gt;"",1,0)+IF(EG1121&lt;&gt;"",1,0)+IF(EH1121&lt;&gt;"",1,0)</f>
        <v/>
      </c>
      <c r="AZ1121">
        <f>IF(EH1121&lt;&gt;"",1,0)</f>
        <v/>
      </c>
      <c r="BB1121" t="inlineStr">
        <is>
          <t>WARREN-WARD 4</t>
        </is>
      </c>
      <c r="BC1121" t="inlineStr">
        <is>
          <t>X</t>
        </is>
      </c>
      <c r="BD1121" t="inlineStr">
        <is>
          <t>X</t>
        </is>
      </c>
      <c r="BF1121" t="inlineStr">
        <is>
          <t>X</t>
        </is>
      </c>
      <c r="BG1121" t="inlineStr">
        <is>
          <t>X</t>
        </is>
      </c>
      <c r="BI1121" t="inlineStr">
        <is>
          <t>X</t>
        </is>
      </c>
      <c r="BJ1121" t="inlineStr">
        <is>
          <t>X</t>
        </is>
      </c>
      <c r="BK1121" t="inlineStr">
        <is>
          <t>X</t>
        </is>
      </c>
      <c r="BL1121" t="inlineStr">
        <is>
          <t>X</t>
        </is>
      </c>
      <c r="BP1121" t="inlineStr">
        <is>
          <t>X</t>
        </is>
      </c>
      <c r="BR1121" t="inlineStr">
        <is>
          <t>X</t>
        </is>
      </c>
      <c r="BS1121" t="inlineStr">
        <is>
          <t>X</t>
        </is>
      </c>
      <c r="BY1121" t="inlineStr">
        <is>
          <t>D</t>
        </is>
      </c>
      <c r="CA1121" t="inlineStr">
        <is>
          <t>X</t>
        </is>
      </c>
      <c r="CC1121" t="inlineStr">
        <is>
          <t>D</t>
        </is>
      </c>
      <c r="CG1121" t="inlineStr">
        <is>
          <t>X</t>
        </is>
      </c>
      <c r="CH1121" t="inlineStr">
        <is>
          <t>D</t>
        </is>
      </c>
      <c r="CK1121" t="inlineStr">
        <is>
          <t>X</t>
        </is>
      </c>
      <c r="CL1121" t="inlineStr">
        <is>
          <t>D</t>
        </is>
      </c>
      <c r="CN1121" t="inlineStr">
        <is>
          <t>X</t>
        </is>
      </c>
      <c r="CO1121" t="inlineStr">
        <is>
          <t>D</t>
        </is>
      </c>
      <c r="CP1121" t="inlineStr">
        <is>
          <t>X</t>
        </is>
      </c>
      <c r="CU1121" t="inlineStr">
        <is>
          <t>D</t>
        </is>
      </c>
      <c r="CV1121" t="inlineStr">
        <is>
          <t>X</t>
        </is>
      </c>
      <c r="CW1121" t="inlineStr">
        <is>
          <t>D</t>
        </is>
      </c>
      <c r="CY1121" t="inlineStr">
        <is>
          <t>X</t>
        </is>
      </c>
      <c r="CZ1121" t="inlineStr">
        <is>
          <t>D</t>
        </is>
      </c>
      <c r="DC1121" t="inlineStr">
        <is>
          <t>X</t>
        </is>
      </c>
      <c r="DD1121" t="inlineStr">
        <is>
          <t>D</t>
        </is>
      </c>
      <c r="DF1121" t="inlineStr">
        <is>
          <t>X</t>
        </is>
      </c>
      <c r="DG1121" t="inlineStr">
        <is>
          <t>D</t>
        </is>
      </c>
      <c r="DI1121" t="inlineStr">
        <is>
          <t>X</t>
        </is>
      </c>
      <c r="DJ1121" t="inlineStr">
        <is>
          <t>D</t>
        </is>
      </c>
      <c r="DL1121" t="inlineStr">
        <is>
          <t>X</t>
        </is>
      </c>
      <c r="DM1121" t="inlineStr">
        <is>
          <t>D</t>
        </is>
      </c>
      <c r="DN1121" t="inlineStr">
        <is>
          <t>X</t>
        </is>
      </c>
      <c r="DR1121" t="inlineStr">
        <is>
          <t>X</t>
        </is>
      </c>
      <c r="DS1121" t="inlineStr">
        <is>
          <t>D</t>
        </is>
      </c>
      <c r="DT1121" t="inlineStr">
        <is>
          <t>D</t>
        </is>
      </c>
      <c r="DU1121" t="inlineStr">
        <is>
          <t>X</t>
        </is>
      </c>
      <c r="DW1121" t="inlineStr">
        <is>
          <t>D</t>
        </is>
      </c>
      <c r="DX1121" t="inlineStr">
        <is>
          <t>X</t>
        </is>
      </c>
      <c r="EA1121" t="inlineStr">
        <is>
          <t>X</t>
        </is>
      </c>
      <c r="ED1121" t="inlineStr">
        <is>
          <t>D</t>
        </is>
      </c>
      <c r="EF1121" t="inlineStr">
        <is>
          <t>X</t>
        </is>
      </c>
      <c r="EH1121" t="inlineStr">
        <is>
          <t>D</t>
        </is>
      </c>
    </row>
    <row r="1122">
      <c r="A1122" t="inlineStr">
        <is>
          <t>OH0026335457</t>
        </is>
      </c>
      <c r="B1122" t="n">
        <v>78</v>
      </c>
      <c r="C1122" t="n">
        <v>460397</v>
      </c>
      <c r="D1122" t="inlineStr">
        <is>
          <t>CAPAN</t>
        </is>
      </c>
      <c r="E1122" t="inlineStr">
        <is>
          <t>COURTNEY</t>
        </is>
      </c>
      <c r="F1122">
        <f>CONCATENATE(D1122," ",LEFT(H1122,4),"T=",AU1122,"D=",AV1122,"R=",AW1122,"M=",AX1122,"L=",AY1122,"B=",AZ1122)</f>
        <v/>
      </c>
      <c r="G1122" t="inlineStr">
        <is>
          <t>ELIZABETH</t>
        </is>
      </c>
      <c r="I1122" t="inlineStr">
        <is>
          <t>1995-07-13</t>
        </is>
      </c>
      <c r="J1122" t="inlineStr">
        <is>
          <t>2023-04-07</t>
        </is>
      </c>
      <c r="K1122" t="inlineStr">
        <is>
          <t>ACTIVE</t>
        </is>
      </c>
      <c r="M1122" t="inlineStr">
        <is>
          <t>515 SCOTT ST NE</t>
        </is>
      </c>
      <c r="N1122">
        <f>RIGHT(M1122,LEN(M1122)-FIND(" ",M1122))</f>
        <v/>
      </c>
      <c r="P1122" t="inlineStr">
        <is>
          <t>WARREN</t>
        </is>
      </c>
      <c r="Q1122" t="inlineStr">
        <is>
          <t>OH</t>
        </is>
      </c>
      <c r="R1122" t="n">
        <v>44483</v>
      </c>
      <c r="AD1122" t="inlineStr">
        <is>
          <t>TRUMBULL CAREER &amp; TECH CENTER</t>
        </is>
      </c>
      <c r="AE1122" t="inlineStr">
        <is>
          <t>WARREN CITY</t>
        </is>
      </c>
      <c r="AF1122" t="inlineStr">
        <is>
          <t>WARREN CITY SD</t>
        </is>
      </c>
      <c r="AH1122" t="n">
        <v>14</v>
      </c>
      <c r="AI1122" t="n">
        <v>11</v>
      </c>
      <c r="AN1122" t="inlineStr">
        <is>
          <t>WARREN</t>
        </is>
      </c>
      <c r="AO1122" t="inlineStr">
        <is>
          <t>WARREN CITY 4D</t>
        </is>
      </c>
      <c r="AP1122" t="inlineStr">
        <is>
          <t>78-P-ADL</t>
        </is>
      </c>
      <c r="AQ1122" t="n">
        <v>9</v>
      </c>
      <c r="AR1122" t="n">
        <v>64</v>
      </c>
      <c r="AS1122" t="n">
        <v>32</v>
      </c>
      <c r="AU1122">
        <f>COUNTA($BA$1122:$EH$1122)</f>
        <v/>
      </c>
      <c r="AV1122">
        <f>COUNTIF($BA$1122:$EH$1122,"D")</f>
        <v/>
      </c>
      <c r="AW1122">
        <f>COUNTIF($BA$1122:$EH$1122,"R")</f>
        <v/>
      </c>
      <c r="AX1122">
        <f>IF(BN1122="D",1,0)+IF(BO1122="D",1,0)+IF(BT1122="D",1,0)+IF(BU1122="D",1,0)+IF(BW1122="D",1,0)+IF(CC1122="D",1,0)+IF(CD1122="D",1,0)+IF(CE1122="D",1,0)+IF(CF1122="D",1,0)+IF(CL1122="D",1,0)+IF(CM1122="D",1,0)+IF(CQ1122="D",1,0)+IF(CR1122="D",1,0)+IF(CS1122="D",1,0)+IF(CW1122="D",1,0)+IF(CX1122="D",1,0)+IF(DD1122="D",1,0)+IF(DE1122="D",1,0)+IF(DJ1122="D",1,0)+IF(DK1122="D",1,0)+IF(DO1122="D",1,0)+IF(DP1122="D",1,0)+IF(DQ1122="D",1,0)+IF(DW1122="D",1,0)+IF(DZ1122="D",1,0)+IF(EH1122="D",1,0)</f>
        <v/>
      </c>
      <c r="AY1122">
        <f>IF(DJ1122&lt;&gt;"",1,0)+IF(DK1122&lt;&gt;"",1,0)+IF(DM1122&lt;&gt;"",1,0)+IF(DO1122&lt;&gt;"",1,0)+IF(DP1122&lt;&gt;"",1,0)+IF(DQ1122&lt;&gt;"",1,0)+IF(DS1122&lt;&gt;"",1,0)+IF(DT1122&lt;&gt;"",1,0)+IF(DV1122&lt;&gt;"",1,0)+IF(DW1122&lt;&gt;"",1,0)+IF(DX1122&lt;&gt;"",1,0)+IF(DY1122&lt;&gt;"",1,0)+IF(DZ1122&lt;&gt;"",1,0)+IF(EB1122&lt;&gt;"",1,0)+IF(EC1122&lt;&gt;"",1,0)+IF(ED1122&lt;&gt;"",1,0)+IF(EG1122&lt;&gt;"",1,0)+IF(EH1122&lt;&gt;"",1,0)</f>
        <v/>
      </c>
      <c r="AZ1122">
        <f>IF(EH1122&lt;&gt;"",1,0)</f>
        <v/>
      </c>
      <c r="BB1122" t="inlineStr">
        <is>
          <t>WARREN-WARD 4</t>
        </is>
      </c>
      <c r="CT1122" t="inlineStr">
        <is>
          <t>X</t>
        </is>
      </c>
      <c r="CY1122" t="inlineStr">
        <is>
          <t>X</t>
        </is>
      </c>
      <c r="DC1122" t="inlineStr">
        <is>
          <t>X</t>
        </is>
      </c>
      <c r="DN1122" t="inlineStr">
        <is>
          <t>X</t>
        </is>
      </c>
    </row>
    <row r="1123">
      <c r="A1123" t="inlineStr">
        <is>
          <t>OH0023628495</t>
        </is>
      </c>
      <c r="B1123" t="n">
        <v>78</v>
      </c>
      <c r="C1123" t="n">
        <v>414873</v>
      </c>
      <c r="D1123" t="inlineStr">
        <is>
          <t>SMITH</t>
        </is>
      </c>
      <c r="E1123" t="inlineStr">
        <is>
          <t>STEVEN</t>
        </is>
      </c>
      <c r="F1123">
        <f>CONCATENATE(D1123," ",LEFT(H1123,4),"T=",AU1123,"D=",AV1123,"R=",AW1123,"M=",AX1123,"L=",AY1123,"B=",AZ1123)</f>
        <v/>
      </c>
      <c r="G1123" t="inlineStr">
        <is>
          <t>J</t>
        </is>
      </c>
      <c r="I1123" t="inlineStr">
        <is>
          <t>1997-08-04</t>
        </is>
      </c>
      <c r="J1123" t="inlineStr">
        <is>
          <t>2016-04-14</t>
        </is>
      </c>
      <c r="K1123" t="inlineStr">
        <is>
          <t>CONFIRMATION</t>
        </is>
      </c>
      <c r="M1123" t="inlineStr">
        <is>
          <t>140 LOGAN AVE SE</t>
        </is>
      </c>
      <c r="N1123">
        <f>RIGHT(M1123,LEN(M1123)-FIND(" ",M1123))</f>
        <v/>
      </c>
      <c r="P1123" t="inlineStr">
        <is>
          <t>WARREN</t>
        </is>
      </c>
      <c r="Q1123" t="inlineStr">
        <is>
          <t>OH</t>
        </is>
      </c>
      <c r="R1123" t="n">
        <v>44483</v>
      </c>
      <c r="AD1123" t="inlineStr">
        <is>
          <t>TRUMBULL CAREER &amp; TECH CENTER</t>
        </is>
      </c>
      <c r="AE1123" t="inlineStr">
        <is>
          <t>WARREN CITY</t>
        </is>
      </c>
      <c r="AF1123" t="inlineStr">
        <is>
          <t>WARREN CITY SD</t>
        </is>
      </c>
      <c r="AH1123" t="n">
        <v>14</v>
      </c>
      <c r="AI1123" t="n">
        <v>11</v>
      </c>
      <c r="AN1123" t="inlineStr">
        <is>
          <t>WARREN</t>
        </is>
      </c>
      <c r="AO1123" t="inlineStr">
        <is>
          <t>WARREN CITY 4D</t>
        </is>
      </c>
      <c r="AP1123" t="inlineStr">
        <is>
          <t>78-P-ADL</t>
        </is>
      </c>
      <c r="AQ1123" t="n">
        <v>9</v>
      </c>
      <c r="AR1123" t="n">
        <v>64</v>
      </c>
      <c r="AS1123" t="n">
        <v>32</v>
      </c>
      <c r="AU1123">
        <f>COUNTA($BA$1123:$EH$1123)</f>
        <v/>
      </c>
      <c r="AV1123">
        <f>COUNTIF($BA$1123:$EH$1123,"D")</f>
        <v/>
      </c>
      <c r="AW1123">
        <f>COUNTIF($BA$1123:$EH$1123,"R")</f>
        <v/>
      </c>
      <c r="AX1123">
        <f>IF(BN1123="D",1,0)+IF(BO1123="D",1,0)+IF(BT1123="D",1,0)+IF(BU1123="D",1,0)+IF(BW1123="D",1,0)+IF(CC1123="D",1,0)+IF(CD1123="D",1,0)+IF(CE1123="D",1,0)+IF(CF1123="D",1,0)+IF(CL1123="D",1,0)+IF(CM1123="D",1,0)+IF(CQ1123="D",1,0)+IF(CR1123="D",1,0)+IF(CS1123="D",1,0)+IF(CW1123="D",1,0)+IF(CX1123="D",1,0)+IF(DD1123="D",1,0)+IF(DE1123="D",1,0)+IF(DJ1123="D",1,0)+IF(DK1123="D",1,0)+IF(DO1123="D",1,0)+IF(DP1123="D",1,0)+IF(DQ1123="D",1,0)+IF(DW1123="D",1,0)+IF(DZ1123="D",1,0)+IF(EH1123="D",1,0)</f>
        <v/>
      </c>
      <c r="AY1123">
        <f>IF(DJ1123&lt;&gt;"",1,0)+IF(DK1123&lt;&gt;"",1,0)+IF(DM1123&lt;&gt;"",1,0)+IF(DO1123&lt;&gt;"",1,0)+IF(DP1123&lt;&gt;"",1,0)+IF(DQ1123&lt;&gt;"",1,0)+IF(DS1123&lt;&gt;"",1,0)+IF(DT1123&lt;&gt;"",1,0)+IF(DV1123&lt;&gt;"",1,0)+IF(DW1123&lt;&gt;"",1,0)+IF(DX1123&lt;&gt;"",1,0)+IF(DY1123&lt;&gt;"",1,0)+IF(DZ1123&lt;&gt;"",1,0)+IF(EB1123&lt;&gt;"",1,0)+IF(EC1123&lt;&gt;"",1,0)+IF(ED1123&lt;&gt;"",1,0)+IF(EG1123&lt;&gt;"",1,0)+IF(EH1123&lt;&gt;"",1,0)</f>
        <v/>
      </c>
      <c r="AZ1123">
        <f>IF(EH1123&lt;&gt;"",1,0)</f>
        <v/>
      </c>
      <c r="BB1123" t="inlineStr">
        <is>
          <t>WARREN-WARD 4</t>
        </is>
      </c>
    </row>
    <row r="1124">
      <c r="A1124" t="inlineStr">
        <is>
          <t>OH0025012683</t>
        </is>
      </c>
      <c r="B1124" t="n">
        <v>78</v>
      </c>
      <c r="C1124" t="n">
        <v>437807</v>
      </c>
      <c r="D1124" t="inlineStr">
        <is>
          <t>TABACCO</t>
        </is>
      </c>
      <c r="E1124" t="inlineStr">
        <is>
          <t>MICHELLE</t>
        </is>
      </c>
      <c r="F1124">
        <f>CONCATENATE(D1124," ",LEFT(H1124,4),"T=",AU1124,"D=",AV1124,"R=",AW1124,"M=",AX1124,"L=",AY1124,"B=",AZ1124)</f>
        <v/>
      </c>
      <c r="G1124" t="inlineStr">
        <is>
          <t>A</t>
        </is>
      </c>
      <c r="I1124" t="inlineStr">
        <is>
          <t>1964-06-25</t>
        </is>
      </c>
      <c r="J1124" t="inlineStr">
        <is>
          <t>2019-01-07</t>
        </is>
      </c>
      <c r="K1124" t="inlineStr">
        <is>
          <t>CONFIRMATION</t>
        </is>
      </c>
      <c r="M1124" t="inlineStr">
        <is>
          <t>753 PAIGE AVE NE</t>
        </is>
      </c>
      <c r="N1124">
        <f>RIGHT(M1124,LEN(M1124)-FIND(" ",M1124))</f>
        <v/>
      </c>
      <c r="P1124" t="inlineStr">
        <is>
          <t>WARREN</t>
        </is>
      </c>
      <c r="Q1124" t="inlineStr">
        <is>
          <t>OH</t>
        </is>
      </c>
      <c r="R1124" t="n">
        <v>44483</v>
      </c>
      <c r="AD1124" t="inlineStr">
        <is>
          <t>TRUMBULL CAREER &amp; TECH CENTER</t>
        </is>
      </c>
      <c r="AE1124" t="inlineStr">
        <is>
          <t>WARREN CITY</t>
        </is>
      </c>
      <c r="AF1124" t="inlineStr">
        <is>
          <t>WARREN CITY SD</t>
        </is>
      </c>
      <c r="AH1124" t="n">
        <v>14</v>
      </c>
      <c r="AI1124" t="n">
        <v>11</v>
      </c>
      <c r="AN1124" t="inlineStr">
        <is>
          <t>WARREN</t>
        </is>
      </c>
      <c r="AO1124" t="inlineStr">
        <is>
          <t>WARREN CITY 4D</t>
        </is>
      </c>
      <c r="AP1124" t="inlineStr">
        <is>
          <t>78-P-ADL</t>
        </is>
      </c>
      <c r="AQ1124" t="n">
        <v>9</v>
      </c>
      <c r="AR1124" t="n">
        <v>64</v>
      </c>
      <c r="AS1124" t="n">
        <v>32</v>
      </c>
      <c r="AU1124">
        <f>COUNTA($BA$1124:$EH$1124)</f>
        <v/>
      </c>
      <c r="AV1124">
        <f>COUNTIF($BA$1124:$EH$1124,"D")</f>
        <v/>
      </c>
      <c r="AW1124">
        <f>COUNTIF($BA$1124:$EH$1124,"R")</f>
        <v/>
      </c>
      <c r="AX1124">
        <f>IF(BN1124="D",1,0)+IF(BO1124="D",1,0)+IF(BT1124="D",1,0)+IF(BU1124="D",1,0)+IF(BW1124="D",1,0)+IF(CC1124="D",1,0)+IF(CD1124="D",1,0)+IF(CE1124="D",1,0)+IF(CF1124="D",1,0)+IF(CL1124="D",1,0)+IF(CM1124="D",1,0)+IF(CQ1124="D",1,0)+IF(CR1124="D",1,0)+IF(CS1124="D",1,0)+IF(CW1124="D",1,0)+IF(CX1124="D",1,0)+IF(DD1124="D",1,0)+IF(DE1124="D",1,0)+IF(DJ1124="D",1,0)+IF(DK1124="D",1,0)+IF(DO1124="D",1,0)+IF(DP1124="D",1,0)+IF(DQ1124="D",1,0)+IF(DW1124="D",1,0)+IF(DZ1124="D",1,0)+IF(EH1124="D",1,0)</f>
        <v/>
      </c>
      <c r="AY1124">
        <f>IF(DJ1124&lt;&gt;"",1,0)+IF(DK1124&lt;&gt;"",1,0)+IF(DM1124&lt;&gt;"",1,0)+IF(DO1124&lt;&gt;"",1,0)+IF(DP1124&lt;&gt;"",1,0)+IF(DQ1124&lt;&gt;"",1,0)+IF(DS1124&lt;&gt;"",1,0)+IF(DT1124&lt;&gt;"",1,0)+IF(DV1124&lt;&gt;"",1,0)+IF(DW1124&lt;&gt;"",1,0)+IF(DX1124&lt;&gt;"",1,0)+IF(DY1124&lt;&gt;"",1,0)+IF(DZ1124&lt;&gt;"",1,0)+IF(EB1124&lt;&gt;"",1,0)+IF(EC1124&lt;&gt;"",1,0)+IF(ED1124&lt;&gt;"",1,0)+IF(EG1124&lt;&gt;"",1,0)+IF(EH1124&lt;&gt;"",1,0)</f>
        <v/>
      </c>
      <c r="AZ1124">
        <f>IF(EH1124&lt;&gt;"",1,0)</f>
        <v/>
      </c>
      <c r="BB1124" t="inlineStr">
        <is>
          <t>WARREN-WARD 4</t>
        </is>
      </c>
    </row>
    <row r="1125">
      <c r="A1125" t="inlineStr">
        <is>
          <t>OH0027602067</t>
        </is>
      </c>
      <c r="B1125" t="n">
        <v>78</v>
      </c>
      <c r="C1125" t="n">
        <v>489210</v>
      </c>
      <c r="D1125" t="inlineStr">
        <is>
          <t>CHINE</t>
        </is>
      </c>
      <c r="E1125" t="inlineStr">
        <is>
          <t>AMANDA</t>
        </is>
      </c>
      <c r="F1125">
        <f>CONCATENATE(D1125," ",LEFT(H1125,4),"T=",AU1125,"D=",AV1125,"R=",AW1125,"M=",AX1125,"L=",AY1125,"B=",AZ1125)</f>
        <v/>
      </c>
      <c r="G1125" t="inlineStr">
        <is>
          <t>C</t>
        </is>
      </c>
      <c r="I1125" t="inlineStr">
        <is>
          <t>1988-08-10</t>
        </is>
      </c>
      <c r="J1125" t="inlineStr">
        <is>
          <t>2024-09-15</t>
        </is>
      </c>
      <c r="K1125" t="inlineStr">
        <is>
          <t>ACTIVE</t>
        </is>
      </c>
      <c r="M1125" t="inlineStr">
        <is>
          <t>167 W MARKET ST</t>
        </is>
      </c>
      <c r="N1125">
        <f>RIGHT(M1125,LEN(M1125)-FIND(" ",M1125))</f>
        <v/>
      </c>
      <c r="P1125" t="inlineStr">
        <is>
          <t>WARREN</t>
        </is>
      </c>
      <c r="Q1125" t="inlineStr">
        <is>
          <t>OH</t>
        </is>
      </c>
      <c r="R1125" t="n">
        <v>44481</v>
      </c>
      <c r="AD1125" t="inlineStr">
        <is>
          <t>TRUMBULL CAREER &amp; TECH CENTER</t>
        </is>
      </c>
      <c r="AE1125" t="inlineStr">
        <is>
          <t>WARREN CITY</t>
        </is>
      </c>
      <c r="AF1125" t="inlineStr">
        <is>
          <t>WARREN CITY SD</t>
        </is>
      </c>
      <c r="AH1125" t="n">
        <v>14</v>
      </c>
      <c r="AI1125" t="n">
        <v>11</v>
      </c>
      <c r="AN1125" t="inlineStr">
        <is>
          <t>WARREN</t>
        </is>
      </c>
      <c r="AO1125" t="inlineStr">
        <is>
          <t>WARREN CITY 4D</t>
        </is>
      </c>
      <c r="AP1125" t="inlineStr">
        <is>
          <t>78-P-ADL</t>
        </is>
      </c>
      <c r="AQ1125" t="n">
        <v>9</v>
      </c>
      <c r="AR1125" t="n">
        <v>64</v>
      </c>
      <c r="AS1125" t="n">
        <v>32</v>
      </c>
      <c r="AU1125">
        <f>COUNTA($BA$1125:$EH$1125)</f>
        <v/>
      </c>
      <c r="AV1125">
        <f>COUNTIF($BA$1125:$EH$1125,"D")</f>
        <v/>
      </c>
      <c r="AW1125">
        <f>COUNTIF($BA$1125:$EH$1125,"R")</f>
        <v/>
      </c>
      <c r="AX1125">
        <f>IF(BN1125="D",1,0)+IF(BO1125="D",1,0)+IF(BT1125="D",1,0)+IF(BU1125="D",1,0)+IF(BW1125="D",1,0)+IF(CC1125="D",1,0)+IF(CD1125="D",1,0)+IF(CE1125="D",1,0)+IF(CF1125="D",1,0)+IF(CL1125="D",1,0)+IF(CM1125="D",1,0)+IF(CQ1125="D",1,0)+IF(CR1125="D",1,0)+IF(CS1125="D",1,0)+IF(CW1125="D",1,0)+IF(CX1125="D",1,0)+IF(DD1125="D",1,0)+IF(DE1125="D",1,0)+IF(DJ1125="D",1,0)+IF(DK1125="D",1,0)+IF(DO1125="D",1,0)+IF(DP1125="D",1,0)+IF(DQ1125="D",1,0)+IF(DW1125="D",1,0)+IF(DZ1125="D",1,0)+IF(EH1125="D",1,0)</f>
        <v/>
      </c>
      <c r="AY1125">
        <f>IF(DJ1125&lt;&gt;"",1,0)+IF(DK1125&lt;&gt;"",1,0)+IF(DM1125&lt;&gt;"",1,0)+IF(DO1125&lt;&gt;"",1,0)+IF(DP1125&lt;&gt;"",1,0)+IF(DQ1125&lt;&gt;"",1,0)+IF(DS1125&lt;&gt;"",1,0)+IF(DT1125&lt;&gt;"",1,0)+IF(DV1125&lt;&gt;"",1,0)+IF(DW1125&lt;&gt;"",1,0)+IF(DX1125&lt;&gt;"",1,0)+IF(DY1125&lt;&gt;"",1,0)+IF(DZ1125&lt;&gt;"",1,0)+IF(EB1125&lt;&gt;"",1,0)+IF(EC1125&lt;&gt;"",1,0)+IF(ED1125&lt;&gt;"",1,0)+IF(EG1125&lt;&gt;"",1,0)+IF(EH1125&lt;&gt;"",1,0)</f>
        <v/>
      </c>
      <c r="AZ1125">
        <f>IF(EH1125&lt;&gt;"",1,0)</f>
        <v/>
      </c>
      <c r="BB1125" t="inlineStr">
        <is>
          <t>WARREN-WARD 4</t>
        </is>
      </c>
      <c r="EF1125" t="inlineStr">
        <is>
          <t>X</t>
        </is>
      </c>
    </row>
    <row r="1126">
      <c r="A1126" t="inlineStr">
        <is>
          <t>OH0027387540</t>
        </is>
      </c>
      <c r="B1126" t="n">
        <v>78</v>
      </c>
      <c r="C1126" t="n">
        <v>485428</v>
      </c>
      <c r="D1126" t="inlineStr">
        <is>
          <t>TAYLOR</t>
        </is>
      </c>
      <c r="E1126" t="inlineStr">
        <is>
          <t>LASHAUNDA</t>
        </is>
      </c>
      <c r="F1126">
        <f>CONCATENATE(D1126," ",LEFT(H1126,4),"T=",AU1126,"D=",AV1126,"R=",AW1126,"M=",AX1126,"L=",AY1126,"B=",AZ1126)</f>
        <v/>
      </c>
      <c r="G1126" t="inlineStr">
        <is>
          <t>S</t>
        </is>
      </c>
      <c r="I1126" t="inlineStr">
        <is>
          <t>1981-12-27</t>
        </is>
      </c>
      <c r="J1126" t="inlineStr">
        <is>
          <t>2024-06-05</t>
        </is>
      </c>
      <c r="K1126" t="inlineStr">
        <is>
          <t>ACTIVE</t>
        </is>
      </c>
      <c r="M1126" t="inlineStr">
        <is>
          <t>1132 WOODLAND AVE NE</t>
        </is>
      </c>
      <c r="N1126">
        <f>RIGHT(M1126,LEN(M1126)-FIND(" ",M1126))</f>
        <v/>
      </c>
      <c r="O1126" t="inlineStr">
        <is>
          <t>APT D</t>
        </is>
      </c>
      <c r="P1126" t="inlineStr">
        <is>
          <t>WARREN</t>
        </is>
      </c>
      <c r="Q1126" t="inlineStr">
        <is>
          <t>OH</t>
        </is>
      </c>
      <c r="R1126" t="n">
        <v>44483</v>
      </c>
      <c r="AD1126" t="inlineStr">
        <is>
          <t>TRUMBULL CAREER &amp; TECH CENTER</t>
        </is>
      </c>
      <c r="AE1126" t="inlineStr">
        <is>
          <t>WARREN CITY</t>
        </is>
      </c>
      <c r="AF1126" t="inlineStr">
        <is>
          <t>WARREN CITY SD</t>
        </is>
      </c>
      <c r="AH1126" t="n">
        <v>14</v>
      </c>
      <c r="AI1126" t="n">
        <v>11</v>
      </c>
      <c r="AN1126" t="inlineStr">
        <is>
          <t>WARREN</t>
        </is>
      </c>
      <c r="AO1126" t="inlineStr">
        <is>
          <t>WARREN CITY 4D</t>
        </is>
      </c>
      <c r="AP1126" t="inlineStr">
        <is>
          <t>78-P-ADL</t>
        </is>
      </c>
      <c r="AQ1126" t="n">
        <v>9</v>
      </c>
      <c r="AR1126" t="n">
        <v>64</v>
      </c>
      <c r="AS1126" t="n">
        <v>32</v>
      </c>
      <c r="AU1126">
        <f>COUNTA($BA$1126:$EH$1126)</f>
        <v/>
      </c>
      <c r="AV1126">
        <f>COUNTIF($BA$1126:$EH$1126,"D")</f>
        <v/>
      </c>
      <c r="AW1126">
        <f>COUNTIF($BA$1126:$EH$1126,"R")</f>
        <v/>
      </c>
      <c r="AX1126">
        <f>IF(BN1126="D",1,0)+IF(BO1126="D",1,0)+IF(BT1126="D",1,0)+IF(BU1126="D",1,0)+IF(BW1126="D",1,0)+IF(CC1126="D",1,0)+IF(CD1126="D",1,0)+IF(CE1126="D",1,0)+IF(CF1126="D",1,0)+IF(CL1126="D",1,0)+IF(CM1126="D",1,0)+IF(CQ1126="D",1,0)+IF(CR1126="D",1,0)+IF(CS1126="D",1,0)+IF(CW1126="D",1,0)+IF(CX1126="D",1,0)+IF(DD1126="D",1,0)+IF(DE1126="D",1,0)+IF(DJ1126="D",1,0)+IF(DK1126="D",1,0)+IF(DO1126="D",1,0)+IF(DP1126="D",1,0)+IF(DQ1126="D",1,0)+IF(DW1126="D",1,0)+IF(DZ1126="D",1,0)+IF(EH1126="D",1,0)</f>
        <v/>
      </c>
      <c r="AY1126">
        <f>IF(DJ1126&lt;&gt;"",1,0)+IF(DK1126&lt;&gt;"",1,0)+IF(DM1126&lt;&gt;"",1,0)+IF(DO1126&lt;&gt;"",1,0)+IF(DP1126&lt;&gt;"",1,0)+IF(DQ1126&lt;&gt;"",1,0)+IF(DS1126&lt;&gt;"",1,0)+IF(DT1126&lt;&gt;"",1,0)+IF(DV1126&lt;&gt;"",1,0)+IF(DW1126&lt;&gt;"",1,0)+IF(DX1126&lt;&gt;"",1,0)+IF(DY1126&lt;&gt;"",1,0)+IF(DZ1126&lt;&gt;"",1,0)+IF(EB1126&lt;&gt;"",1,0)+IF(EC1126&lt;&gt;"",1,0)+IF(ED1126&lt;&gt;"",1,0)+IF(EG1126&lt;&gt;"",1,0)+IF(EH1126&lt;&gt;"",1,0)</f>
        <v/>
      </c>
      <c r="AZ1126">
        <f>IF(EH1126&lt;&gt;"",1,0)</f>
        <v/>
      </c>
      <c r="BB1126" t="inlineStr">
        <is>
          <t>WARREN-WARD 4</t>
        </is>
      </c>
      <c r="BD1126" t="inlineStr">
        <is>
          <t>X</t>
        </is>
      </c>
      <c r="CP1126" t="inlineStr">
        <is>
          <t>X</t>
        </is>
      </c>
      <c r="DC1126" t="inlineStr">
        <is>
          <t>X</t>
        </is>
      </c>
      <c r="DN1126" t="inlineStr">
        <is>
          <t>X</t>
        </is>
      </c>
      <c r="DX1126" t="inlineStr">
        <is>
          <t>X</t>
        </is>
      </c>
    </row>
    <row r="1127">
      <c r="A1127" t="inlineStr">
        <is>
          <t>OH0023067240</t>
        </is>
      </c>
      <c r="B1127" t="n">
        <v>78</v>
      </c>
      <c r="C1127" t="n">
        <v>406255</v>
      </c>
      <c r="D1127" t="inlineStr">
        <is>
          <t>FLOYD</t>
        </is>
      </c>
      <c r="E1127" t="inlineStr">
        <is>
          <t>SAFIYA</t>
        </is>
      </c>
      <c r="F1127">
        <f>CONCATENATE(D1127," ",LEFT(H1127,4),"T=",AU1127,"D=",AV1127,"R=",AW1127,"M=",AX1127,"L=",AY1127,"B=",AZ1127)</f>
        <v/>
      </c>
      <c r="G1127" t="inlineStr">
        <is>
          <t>N</t>
        </is>
      </c>
      <c r="I1127" t="inlineStr">
        <is>
          <t>1988-05-02</t>
        </is>
      </c>
      <c r="J1127" t="inlineStr">
        <is>
          <t>2019-08-13</t>
        </is>
      </c>
      <c r="K1127" t="inlineStr">
        <is>
          <t>CONFIRMATION</t>
        </is>
      </c>
      <c r="M1127" t="inlineStr">
        <is>
          <t>442 BELMONT AVE NE</t>
        </is>
      </c>
      <c r="N1127">
        <f>RIGHT(M1127,LEN(M1127)-FIND(" ",M1127))</f>
        <v/>
      </c>
      <c r="P1127" t="inlineStr">
        <is>
          <t>WARREN</t>
        </is>
      </c>
      <c r="Q1127" t="inlineStr">
        <is>
          <t>OH</t>
        </is>
      </c>
      <c r="R1127" t="n">
        <v>44483</v>
      </c>
      <c r="AD1127" t="inlineStr">
        <is>
          <t>TRUMBULL CAREER &amp; TECH CENTER</t>
        </is>
      </c>
      <c r="AE1127" t="inlineStr">
        <is>
          <t>WARREN CITY</t>
        </is>
      </c>
      <c r="AF1127" t="inlineStr">
        <is>
          <t>WARREN CITY SD</t>
        </is>
      </c>
      <c r="AH1127" t="n">
        <v>14</v>
      </c>
      <c r="AI1127" t="n">
        <v>11</v>
      </c>
      <c r="AN1127" t="inlineStr">
        <is>
          <t>WARREN</t>
        </is>
      </c>
      <c r="AO1127" t="inlineStr">
        <is>
          <t>WARREN CITY 4D</t>
        </is>
      </c>
      <c r="AP1127" t="inlineStr">
        <is>
          <t>78-P-ADL</t>
        </is>
      </c>
      <c r="AQ1127" t="n">
        <v>9</v>
      </c>
      <c r="AR1127" t="n">
        <v>64</v>
      </c>
      <c r="AS1127" t="n">
        <v>32</v>
      </c>
      <c r="AU1127">
        <f>COUNTA($BA$1127:$EH$1127)</f>
        <v/>
      </c>
      <c r="AV1127">
        <f>COUNTIF($BA$1127:$EH$1127,"D")</f>
        <v/>
      </c>
      <c r="AW1127">
        <f>COUNTIF($BA$1127:$EH$1127,"R")</f>
        <v/>
      </c>
      <c r="AX1127">
        <f>IF(BN1127="D",1,0)+IF(BO1127="D",1,0)+IF(BT1127="D",1,0)+IF(BU1127="D",1,0)+IF(BW1127="D",1,0)+IF(CC1127="D",1,0)+IF(CD1127="D",1,0)+IF(CE1127="D",1,0)+IF(CF1127="D",1,0)+IF(CL1127="D",1,0)+IF(CM1127="D",1,0)+IF(CQ1127="D",1,0)+IF(CR1127="D",1,0)+IF(CS1127="D",1,0)+IF(CW1127="D",1,0)+IF(CX1127="D",1,0)+IF(DD1127="D",1,0)+IF(DE1127="D",1,0)+IF(DJ1127="D",1,0)+IF(DK1127="D",1,0)+IF(DO1127="D",1,0)+IF(DP1127="D",1,0)+IF(DQ1127="D",1,0)+IF(DW1127="D",1,0)+IF(DZ1127="D",1,0)+IF(EH1127="D",1,0)</f>
        <v/>
      </c>
      <c r="AY1127">
        <f>IF(DJ1127&lt;&gt;"",1,0)+IF(DK1127&lt;&gt;"",1,0)+IF(DM1127&lt;&gt;"",1,0)+IF(DO1127&lt;&gt;"",1,0)+IF(DP1127&lt;&gt;"",1,0)+IF(DQ1127&lt;&gt;"",1,0)+IF(DS1127&lt;&gt;"",1,0)+IF(DT1127&lt;&gt;"",1,0)+IF(DV1127&lt;&gt;"",1,0)+IF(DW1127&lt;&gt;"",1,0)+IF(DX1127&lt;&gt;"",1,0)+IF(DY1127&lt;&gt;"",1,0)+IF(DZ1127&lt;&gt;"",1,0)+IF(EB1127&lt;&gt;"",1,0)+IF(EC1127&lt;&gt;"",1,0)+IF(ED1127&lt;&gt;"",1,0)+IF(EG1127&lt;&gt;"",1,0)+IF(EH1127&lt;&gt;"",1,0)</f>
        <v/>
      </c>
      <c r="AZ1127">
        <f>IF(EH1127&lt;&gt;"",1,0)</f>
        <v/>
      </c>
      <c r="BB1127" t="inlineStr">
        <is>
          <t>WARREN-WARD 4</t>
        </is>
      </c>
    </row>
    <row r="1128">
      <c r="A1128" t="inlineStr">
        <is>
          <t>OH0015738011</t>
        </is>
      </c>
      <c r="B1128" t="n">
        <v>78</v>
      </c>
      <c r="C1128" t="n">
        <v>223792</v>
      </c>
      <c r="D1128" t="inlineStr">
        <is>
          <t>CERIMELE</t>
        </is>
      </c>
      <c r="E1128" t="inlineStr">
        <is>
          <t>TAMMY</t>
        </is>
      </c>
      <c r="F1128">
        <f>CONCATENATE(D1128," ",LEFT(H1128,4),"T=",AU1128,"D=",AV1128,"R=",AW1128,"M=",AX1128,"L=",AY1128,"B=",AZ1128)</f>
        <v/>
      </c>
      <c r="G1128" t="inlineStr">
        <is>
          <t>L</t>
        </is>
      </c>
      <c r="I1128" t="inlineStr">
        <is>
          <t>1959-11-07</t>
        </is>
      </c>
      <c r="J1128" t="inlineStr">
        <is>
          <t>2024-10-03</t>
        </is>
      </c>
      <c r="K1128" t="inlineStr">
        <is>
          <t>ACTIVE</t>
        </is>
      </c>
      <c r="L1128" t="inlineStr">
        <is>
          <t>R</t>
        </is>
      </c>
      <c r="M1128" t="inlineStr">
        <is>
          <t>182 HIGH ST NE</t>
        </is>
      </c>
      <c r="N1128">
        <f>RIGHT(M1128,LEN(M1128)-FIND(" ",M1128))</f>
        <v/>
      </c>
      <c r="O1128" t="inlineStr">
        <is>
          <t>APT 208</t>
        </is>
      </c>
      <c r="P1128" t="inlineStr">
        <is>
          <t>WARREN</t>
        </is>
      </c>
      <c r="Q1128" t="inlineStr">
        <is>
          <t>OH</t>
        </is>
      </c>
      <c r="R1128" t="n">
        <v>44481</v>
      </c>
      <c r="AD1128" t="inlineStr">
        <is>
          <t>TRUMBULL CAREER &amp; TECH CENTER</t>
        </is>
      </c>
      <c r="AE1128" t="inlineStr">
        <is>
          <t>WARREN CITY</t>
        </is>
      </c>
      <c r="AF1128" t="inlineStr">
        <is>
          <t>WARREN CITY SD</t>
        </is>
      </c>
      <c r="AH1128" t="n">
        <v>14</v>
      </c>
      <c r="AI1128" t="n">
        <v>11</v>
      </c>
      <c r="AN1128" t="inlineStr">
        <is>
          <t>WARREN</t>
        </is>
      </c>
      <c r="AO1128" t="inlineStr">
        <is>
          <t>WARREN CITY 4D</t>
        </is>
      </c>
      <c r="AP1128" t="inlineStr">
        <is>
          <t>78-P-ADL</t>
        </is>
      </c>
      <c r="AQ1128" t="n">
        <v>9</v>
      </c>
      <c r="AR1128" t="n">
        <v>64</v>
      </c>
      <c r="AS1128" t="n">
        <v>32</v>
      </c>
      <c r="AU1128">
        <f>COUNTA($BA$1128:$EH$1128)</f>
        <v/>
      </c>
      <c r="AV1128">
        <f>COUNTIF($BA$1128:$EH$1128,"D")</f>
        <v/>
      </c>
      <c r="AW1128">
        <f>COUNTIF($BA$1128:$EH$1128,"R")</f>
        <v/>
      </c>
      <c r="AX1128">
        <f>IF(BN1128="D",1,0)+IF(BO1128="D",1,0)+IF(BT1128="D",1,0)+IF(BU1128="D",1,0)+IF(BW1128="D",1,0)+IF(CC1128="D",1,0)+IF(CD1128="D",1,0)+IF(CE1128="D",1,0)+IF(CF1128="D",1,0)+IF(CL1128="D",1,0)+IF(CM1128="D",1,0)+IF(CQ1128="D",1,0)+IF(CR1128="D",1,0)+IF(CS1128="D",1,0)+IF(CW1128="D",1,0)+IF(CX1128="D",1,0)+IF(DD1128="D",1,0)+IF(DE1128="D",1,0)+IF(DJ1128="D",1,0)+IF(DK1128="D",1,0)+IF(DO1128="D",1,0)+IF(DP1128="D",1,0)+IF(DQ1128="D",1,0)+IF(DW1128="D",1,0)+IF(DZ1128="D",1,0)+IF(EH1128="D",1,0)</f>
        <v/>
      </c>
      <c r="AY1128">
        <f>IF(DJ1128&lt;&gt;"",1,0)+IF(DK1128&lt;&gt;"",1,0)+IF(DM1128&lt;&gt;"",1,0)+IF(DO1128&lt;&gt;"",1,0)+IF(DP1128&lt;&gt;"",1,0)+IF(DQ1128&lt;&gt;"",1,0)+IF(DS1128&lt;&gt;"",1,0)+IF(DT1128&lt;&gt;"",1,0)+IF(DV1128&lt;&gt;"",1,0)+IF(DW1128&lt;&gt;"",1,0)+IF(DX1128&lt;&gt;"",1,0)+IF(DY1128&lt;&gt;"",1,0)+IF(DZ1128&lt;&gt;"",1,0)+IF(EB1128&lt;&gt;"",1,0)+IF(EC1128&lt;&gt;"",1,0)+IF(ED1128&lt;&gt;"",1,0)+IF(EG1128&lt;&gt;"",1,0)+IF(EH1128&lt;&gt;"",1,0)</f>
        <v/>
      </c>
      <c r="AZ1128">
        <f>IF(EH1128&lt;&gt;"",1,0)</f>
        <v/>
      </c>
      <c r="BB1128" t="inlineStr">
        <is>
          <t>WARREN-WARD 4</t>
        </is>
      </c>
      <c r="BC1128" t="inlineStr">
        <is>
          <t>X</t>
        </is>
      </c>
      <c r="BD1128" t="inlineStr">
        <is>
          <t>X</t>
        </is>
      </c>
      <c r="BE1128" t="inlineStr">
        <is>
          <t>X</t>
        </is>
      </c>
      <c r="BH1128" t="inlineStr">
        <is>
          <t>X</t>
        </is>
      </c>
      <c r="BI1128" t="inlineStr">
        <is>
          <t>X</t>
        </is>
      </c>
      <c r="BJ1128" t="inlineStr">
        <is>
          <t>X</t>
        </is>
      </c>
      <c r="BL1128" t="inlineStr">
        <is>
          <t>X</t>
        </is>
      </c>
      <c r="BS1128" t="inlineStr">
        <is>
          <t>X</t>
        </is>
      </c>
      <c r="BY1128" t="inlineStr">
        <is>
          <t>D</t>
        </is>
      </c>
      <c r="CN1128" t="inlineStr">
        <is>
          <t>X</t>
        </is>
      </c>
      <c r="CP1128" t="inlineStr">
        <is>
          <t>X</t>
        </is>
      </c>
      <c r="CV1128" t="inlineStr">
        <is>
          <t>X</t>
        </is>
      </c>
      <c r="CY1128" t="inlineStr">
        <is>
          <t>X</t>
        </is>
      </c>
      <c r="CZ1128" t="inlineStr">
        <is>
          <t>R</t>
        </is>
      </c>
      <c r="DC1128" t="inlineStr">
        <is>
          <t>X</t>
        </is>
      </c>
      <c r="DI1128" t="inlineStr">
        <is>
          <t>X</t>
        </is>
      </c>
      <c r="DL1128" t="inlineStr">
        <is>
          <t>X</t>
        </is>
      </c>
      <c r="DM1128" t="inlineStr">
        <is>
          <t>R</t>
        </is>
      </c>
      <c r="DN1128" t="inlineStr">
        <is>
          <t>X</t>
        </is>
      </c>
      <c r="DR1128" t="inlineStr">
        <is>
          <t>X</t>
        </is>
      </c>
      <c r="DU1128" t="inlineStr">
        <is>
          <t>X</t>
        </is>
      </c>
      <c r="DX1128" t="inlineStr">
        <is>
          <t>X</t>
        </is>
      </c>
      <c r="EA1128" t="inlineStr">
        <is>
          <t>X</t>
        </is>
      </c>
      <c r="ED1128" t="inlineStr">
        <is>
          <t>R</t>
        </is>
      </c>
      <c r="EF1128" t="inlineStr">
        <is>
          <t>X</t>
        </is>
      </c>
    </row>
    <row r="1129">
      <c r="A1129" t="inlineStr">
        <is>
          <t>OH0027856923</t>
        </is>
      </c>
      <c r="B1129" t="n">
        <v>78</v>
      </c>
      <c r="C1129" t="n">
        <v>494456</v>
      </c>
      <c r="D1129" t="inlineStr">
        <is>
          <t>JACKSON</t>
        </is>
      </c>
      <c r="E1129" t="inlineStr">
        <is>
          <t>ARVATA</t>
        </is>
      </c>
      <c r="F1129">
        <f>CONCATENATE(D1129," ",LEFT(H1129,4),"T=",AU1129,"D=",AV1129,"R=",AW1129,"M=",AX1129,"L=",AY1129,"B=",AZ1129)</f>
        <v/>
      </c>
      <c r="G1129" t="inlineStr">
        <is>
          <t>LOIS</t>
        </is>
      </c>
      <c r="I1129" t="inlineStr">
        <is>
          <t>1967-12-10</t>
        </is>
      </c>
      <c r="J1129" t="inlineStr">
        <is>
          <t>2024-11-20</t>
        </is>
      </c>
      <c r="K1129" t="inlineStr">
        <is>
          <t>ACTIVE</t>
        </is>
      </c>
      <c r="M1129" t="inlineStr">
        <is>
          <t>121 MONROE ST NW</t>
        </is>
      </c>
      <c r="N1129">
        <f>RIGHT(M1129,LEN(M1129)-FIND(" ",M1129))</f>
        <v/>
      </c>
      <c r="O1129" t="inlineStr">
        <is>
          <t>APT 3</t>
        </is>
      </c>
      <c r="P1129" t="inlineStr">
        <is>
          <t>WARREN</t>
        </is>
      </c>
      <c r="Q1129" t="inlineStr">
        <is>
          <t>OH</t>
        </is>
      </c>
      <c r="R1129" t="n">
        <v>44483</v>
      </c>
      <c r="AD1129" t="inlineStr">
        <is>
          <t>TRUMBULL CAREER &amp; TECH CENTER</t>
        </is>
      </c>
      <c r="AE1129" t="inlineStr">
        <is>
          <t>WARREN CITY</t>
        </is>
      </c>
      <c r="AF1129" t="inlineStr">
        <is>
          <t>WARREN CITY SD</t>
        </is>
      </c>
      <c r="AH1129" t="n">
        <v>14</v>
      </c>
      <c r="AI1129" t="n">
        <v>11</v>
      </c>
      <c r="AN1129" t="inlineStr">
        <is>
          <t>WARREN</t>
        </is>
      </c>
      <c r="AO1129" t="inlineStr">
        <is>
          <t>WARREN CITY 4D</t>
        </is>
      </c>
      <c r="AP1129" t="inlineStr">
        <is>
          <t>78-P-ADL</t>
        </is>
      </c>
      <c r="AQ1129" t="n">
        <v>9</v>
      </c>
      <c r="AR1129" t="n">
        <v>64</v>
      </c>
      <c r="AS1129" t="n">
        <v>32</v>
      </c>
      <c r="AU1129">
        <f>COUNTA($BA$1129:$EH$1129)</f>
        <v/>
      </c>
      <c r="AV1129">
        <f>COUNTIF($BA$1129:$EH$1129,"D")</f>
        <v/>
      </c>
      <c r="AW1129">
        <f>COUNTIF($BA$1129:$EH$1129,"R")</f>
        <v/>
      </c>
      <c r="AX1129">
        <f>IF(BN1129="D",1,0)+IF(BO1129="D",1,0)+IF(BT1129="D",1,0)+IF(BU1129="D",1,0)+IF(BW1129="D",1,0)+IF(CC1129="D",1,0)+IF(CD1129="D",1,0)+IF(CE1129="D",1,0)+IF(CF1129="D",1,0)+IF(CL1129="D",1,0)+IF(CM1129="D",1,0)+IF(CQ1129="D",1,0)+IF(CR1129="D",1,0)+IF(CS1129="D",1,0)+IF(CW1129="D",1,0)+IF(CX1129="D",1,0)+IF(DD1129="D",1,0)+IF(DE1129="D",1,0)+IF(DJ1129="D",1,0)+IF(DK1129="D",1,0)+IF(DO1129="D",1,0)+IF(DP1129="D",1,0)+IF(DQ1129="D",1,0)+IF(DW1129="D",1,0)+IF(DZ1129="D",1,0)+IF(EH1129="D",1,0)</f>
        <v/>
      </c>
      <c r="AY1129">
        <f>IF(DJ1129&lt;&gt;"",1,0)+IF(DK1129&lt;&gt;"",1,0)+IF(DM1129&lt;&gt;"",1,0)+IF(DO1129&lt;&gt;"",1,0)+IF(DP1129&lt;&gt;"",1,0)+IF(DQ1129&lt;&gt;"",1,0)+IF(DS1129&lt;&gt;"",1,0)+IF(DT1129&lt;&gt;"",1,0)+IF(DV1129&lt;&gt;"",1,0)+IF(DW1129&lt;&gt;"",1,0)+IF(DX1129&lt;&gt;"",1,0)+IF(DY1129&lt;&gt;"",1,0)+IF(DZ1129&lt;&gt;"",1,0)+IF(EB1129&lt;&gt;"",1,0)+IF(EC1129&lt;&gt;"",1,0)+IF(ED1129&lt;&gt;"",1,0)+IF(EG1129&lt;&gt;"",1,0)+IF(EH1129&lt;&gt;"",1,0)</f>
        <v/>
      </c>
      <c r="AZ1129">
        <f>IF(EH1129&lt;&gt;"",1,0)</f>
        <v/>
      </c>
      <c r="BB1129" t="inlineStr">
        <is>
          <t>WARREN-WARD 4</t>
        </is>
      </c>
      <c r="BD1129" t="inlineStr">
        <is>
          <t>X</t>
        </is>
      </c>
      <c r="BE1129" t="inlineStr">
        <is>
          <t>X</t>
        </is>
      </c>
      <c r="BF1129" t="inlineStr">
        <is>
          <t>X</t>
        </is>
      </c>
      <c r="BH1129" t="inlineStr">
        <is>
          <t>X</t>
        </is>
      </c>
      <c r="BI1129" t="inlineStr">
        <is>
          <t>X</t>
        </is>
      </c>
      <c r="BL1129" t="inlineStr">
        <is>
          <t>X</t>
        </is>
      </c>
      <c r="BP1129" t="inlineStr">
        <is>
          <t>X</t>
        </is>
      </c>
      <c r="BS1129" t="inlineStr">
        <is>
          <t>X</t>
        </is>
      </c>
      <c r="BY1129" t="inlineStr">
        <is>
          <t>D</t>
        </is>
      </c>
      <c r="CA1129" t="inlineStr">
        <is>
          <t>X</t>
        </is>
      </c>
    </row>
    <row r="1130">
      <c r="A1130" t="inlineStr">
        <is>
          <t>OH0018955890</t>
        </is>
      </c>
      <c r="B1130" t="n">
        <v>78</v>
      </c>
      <c r="C1130" t="n">
        <v>346195</v>
      </c>
      <c r="D1130" t="inlineStr">
        <is>
          <t>PARKEY</t>
        </is>
      </c>
      <c r="E1130" t="inlineStr">
        <is>
          <t>DEX</t>
        </is>
      </c>
      <c r="F1130">
        <f>CONCATENATE(D1130," ",LEFT(H1130,4),"T=",AU1130,"D=",AV1130,"R=",AW1130,"M=",AX1130,"L=",AY1130,"B=",AZ1130)</f>
        <v/>
      </c>
      <c r="G1130" t="inlineStr">
        <is>
          <t>E</t>
        </is>
      </c>
      <c r="I1130" t="inlineStr">
        <is>
          <t>1988-09-02</t>
        </is>
      </c>
      <c r="J1130" t="inlineStr">
        <is>
          <t>2024-08-21</t>
        </is>
      </c>
      <c r="K1130" t="inlineStr">
        <is>
          <t>ACTIVE</t>
        </is>
      </c>
      <c r="M1130" t="inlineStr">
        <is>
          <t>300 SCOTT ST NE</t>
        </is>
      </c>
      <c r="N1130">
        <f>RIGHT(M1130,LEN(M1130)-FIND(" ",M1130))</f>
        <v/>
      </c>
      <c r="O1130" t="inlineStr">
        <is>
          <t>APT 3</t>
        </is>
      </c>
      <c r="P1130" t="inlineStr">
        <is>
          <t>WARREN</t>
        </is>
      </c>
      <c r="Q1130" t="inlineStr">
        <is>
          <t>OH</t>
        </is>
      </c>
      <c r="R1130" t="n">
        <v>44483</v>
      </c>
      <c r="AD1130" t="inlineStr">
        <is>
          <t>TRUMBULL CAREER &amp; TECH CENTER</t>
        </is>
      </c>
      <c r="AE1130" t="inlineStr">
        <is>
          <t>WARREN CITY</t>
        </is>
      </c>
      <c r="AF1130" t="inlineStr">
        <is>
          <t>WARREN CITY SD</t>
        </is>
      </c>
      <c r="AH1130" t="n">
        <v>14</v>
      </c>
      <c r="AI1130" t="n">
        <v>11</v>
      </c>
      <c r="AN1130" t="inlineStr">
        <is>
          <t>WARREN</t>
        </is>
      </c>
      <c r="AO1130" t="inlineStr">
        <is>
          <t>WARREN CITY 4D</t>
        </is>
      </c>
      <c r="AP1130" t="inlineStr">
        <is>
          <t>78-P-ADL</t>
        </is>
      </c>
      <c r="AQ1130" t="n">
        <v>9</v>
      </c>
      <c r="AR1130" t="n">
        <v>64</v>
      </c>
      <c r="AS1130" t="n">
        <v>32</v>
      </c>
      <c r="AU1130">
        <f>COUNTA($BA$1130:$EH$1130)</f>
        <v/>
      </c>
      <c r="AV1130">
        <f>COUNTIF($BA$1130:$EH$1130,"D")</f>
        <v/>
      </c>
      <c r="AW1130">
        <f>COUNTIF($BA$1130:$EH$1130,"R")</f>
        <v/>
      </c>
      <c r="AX1130">
        <f>IF(BN1130="D",1,0)+IF(BO1130="D",1,0)+IF(BT1130="D",1,0)+IF(BU1130="D",1,0)+IF(BW1130="D",1,0)+IF(CC1130="D",1,0)+IF(CD1130="D",1,0)+IF(CE1130="D",1,0)+IF(CF1130="D",1,0)+IF(CL1130="D",1,0)+IF(CM1130="D",1,0)+IF(CQ1130="D",1,0)+IF(CR1130="D",1,0)+IF(CS1130="D",1,0)+IF(CW1130="D",1,0)+IF(CX1130="D",1,0)+IF(DD1130="D",1,0)+IF(DE1130="D",1,0)+IF(DJ1130="D",1,0)+IF(DK1130="D",1,0)+IF(DO1130="D",1,0)+IF(DP1130="D",1,0)+IF(DQ1130="D",1,0)+IF(DW1130="D",1,0)+IF(DZ1130="D",1,0)+IF(EH1130="D",1,0)</f>
        <v/>
      </c>
      <c r="AY1130">
        <f>IF(DJ1130&lt;&gt;"",1,0)+IF(DK1130&lt;&gt;"",1,0)+IF(DM1130&lt;&gt;"",1,0)+IF(DO1130&lt;&gt;"",1,0)+IF(DP1130&lt;&gt;"",1,0)+IF(DQ1130&lt;&gt;"",1,0)+IF(DS1130&lt;&gt;"",1,0)+IF(DT1130&lt;&gt;"",1,0)+IF(DV1130&lt;&gt;"",1,0)+IF(DW1130&lt;&gt;"",1,0)+IF(DX1130&lt;&gt;"",1,0)+IF(DY1130&lt;&gt;"",1,0)+IF(DZ1130&lt;&gt;"",1,0)+IF(EB1130&lt;&gt;"",1,0)+IF(EC1130&lt;&gt;"",1,0)+IF(ED1130&lt;&gt;"",1,0)+IF(EG1130&lt;&gt;"",1,0)+IF(EH1130&lt;&gt;"",1,0)</f>
        <v/>
      </c>
      <c r="AZ1130">
        <f>IF(EH1130&lt;&gt;"",1,0)</f>
        <v/>
      </c>
      <c r="BB1130" t="inlineStr">
        <is>
          <t>WARREN-WARD 4</t>
        </is>
      </c>
    </row>
    <row r="1131">
      <c r="A1131" t="inlineStr">
        <is>
          <t>OH0026350025</t>
        </is>
      </c>
      <c r="B1131" t="n">
        <v>78</v>
      </c>
      <c r="C1131" t="n">
        <v>460785</v>
      </c>
      <c r="D1131" t="inlineStr">
        <is>
          <t>WALKER</t>
        </is>
      </c>
      <c r="E1131" t="inlineStr">
        <is>
          <t>HARMONIE</t>
        </is>
      </c>
      <c r="F1131">
        <f>CONCATENATE(D1131," ",LEFT(H1131,4),"T=",AU1131,"D=",AV1131,"R=",AW1131,"M=",AX1131,"L=",AY1131,"B=",AZ1131)</f>
        <v/>
      </c>
      <c r="G1131" t="inlineStr">
        <is>
          <t>J</t>
        </is>
      </c>
      <c r="I1131" t="inlineStr">
        <is>
          <t>2003-04-22</t>
        </is>
      </c>
      <c r="J1131" t="inlineStr">
        <is>
          <t>2022-05-24</t>
        </is>
      </c>
      <c r="K1131" t="inlineStr">
        <is>
          <t>ACTIVE</t>
        </is>
      </c>
      <c r="M1131" t="inlineStr">
        <is>
          <t>232 LAWRENCE AVE NE</t>
        </is>
      </c>
      <c r="N1131">
        <f>RIGHT(M1131,LEN(M1131)-FIND(" ",M1131))</f>
        <v/>
      </c>
      <c r="P1131" t="inlineStr">
        <is>
          <t>WARREN</t>
        </is>
      </c>
      <c r="Q1131" t="inlineStr">
        <is>
          <t>OH</t>
        </is>
      </c>
      <c r="R1131" t="n">
        <v>44483</v>
      </c>
      <c r="AD1131" t="inlineStr">
        <is>
          <t>TRUMBULL CAREER &amp; TECH CENTER</t>
        </is>
      </c>
      <c r="AE1131" t="inlineStr">
        <is>
          <t>WARREN CITY</t>
        </is>
      </c>
      <c r="AF1131" t="inlineStr">
        <is>
          <t>WARREN CITY SD</t>
        </is>
      </c>
      <c r="AH1131" t="n">
        <v>14</v>
      </c>
      <c r="AI1131" t="n">
        <v>11</v>
      </c>
      <c r="AN1131" t="inlineStr">
        <is>
          <t>WARREN</t>
        </is>
      </c>
      <c r="AO1131" t="inlineStr">
        <is>
          <t>WARREN CITY 4D</t>
        </is>
      </c>
      <c r="AP1131" t="inlineStr">
        <is>
          <t>78-P-ADL</t>
        </is>
      </c>
      <c r="AQ1131" t="n">
        <v>9</v>
      </c>
      <c r="AR1131" t="n">
        <v>64</v>
      </c>
      <c r="AS1131" t="n">
        <v>32</v>
      </c>
      <c r="AU1131">
        <f>COUNTA($BA$1131:$EH$1131)</f>
        <v/>
      </c>
      <c r="AV1131">
        <f>COUNTIF($BA$1131:$EH$1131,"D")</f>
        <v/>
      </c>
      <c r="AW1131">
        <f>COUNTIF($BA$1131:$EH$1131,"R")</f>
        <v/>
      </c>
      <c r="AX1131">
        <f>IF(BN1131="D",1,0)+IF(BO1131="D",1,0)+IF(BT1131="D",1,0)+IF(BU1131="D",1,0)+IF(BW1131="D",1,0)+IF(CC1131="D",1,0)+IF(CD1131="D",1,0)+IF(CE1131="D",1,0)+IF(CF1131="D",1,0)+IF(CL1131="D",1,0)+IF(CM1131="D",1,0)+IF(CQ1131="D",1,0)+IF(CR1131="D",1,0)+IF(CS1131="D",1,0)+IF(CW1131="D",1,0)+IF(CX1131="D",1,0)+IF(DD1131="D",1,0)+IF(DE1131="D",1,0)+IF(DJ1131="D",1,0)+IF(DK1131="D",1,0)+IF(DO1131="D",1,0)+IF(DP1131="D",1,0)+IF(DQ1131="D",1,0)+IF(DW1131="D",1,0)+IF(DZ1131="D",1,0)+IF(EH1131="D",1,0)</f>
        <v/>
      </c>
      <c r="AY1131">
        <f>IF(DJ1131&lt;&gt;"",1,0)+IF(DK1131&lt;&gt;"",1,0)+IF(DM1131&lt;&gt;"",1,0)+IF(DO1131&lt;&gt;"",1,0)+IF(DP1131&lt;&gt;"",1,0)+IF(DQ1131&lt;&gt;"",1,0)+IF(DS1131&lt;&gt;"",1,0)+IF(DT1131&lt;&gt;"",1,0)+IF(DV1131&lt;&gt;"",1,0)+IF(DW1131&lt;&gt;"",1,0)+IF(DX1131&lt;&gt;"",1,0)+IF(DY1131&lt;&gt;"",1,0)+IF(DZ1131&lt;&gt;"",1,0)+IF(EB1131&lt;&gt;"",1,0)+IF(EC1131&lt;&gt;"",1,0)+IF(ED1131&lt;&gt;"",1,0)+IF(EG1131&lt;&gt;"",1,0)+IF(EH1131&lt;&gt;"",1,0)</f>
        <v/>
      </c>
      <c r="AZ1131">
        <f>IF(EH1131&lt;&gt;"",1,0)</f>
        <v/>
      </c>
      <c r="BB1131" t="inlineStr">
        <is>
          <t>WARREN-WARD 4</t>
        </is>
      </c>
      <c r="EA1131" t="inlineStr">
        <is>
          <t>X</t>
        </is>
      </c>
      <c r="EF1131" t="inlineStr">
        <is>
          <t>X</t>
        </is>
      </c>
    </row>
    <row r="1132">
      <c r="A1132" t="inlineStr">
        <is>
          <t>OH0015722281</t>
        </is>
      </c>
      <c r="B1132" t="n">
        <v>78</v>
      </c>
      <c r="C1132" t="n">
        <v>203858</v>
      </c>
      <c r="D1132" t="inlineStr">
        <is>
          <t>CHAMBORA</t>
        </is>
      </c>
      <c r="E1132" t="inlineStr">
        <is>
          <t>MICHAEL</t>
        </is>
      </c>
      <c r="F1132">
        <f>CONCATENATE(D1132," ",LEFT(H1132,4),"T=",AU1132,"D=",AV1132,"R=",AW1132,"M=",AX1132,"L=",AY1132,"B=",AZ1132)</f>
        <v/>
      </c>
      <c r="I1132" t="inlineStr">
        <is>
          <t>1970-04-12</t>
        </is>
      </c>
      <c r="J1132" t="inlineStr">
        <is>
          <t>2006-12-19</t>
        </is>
      </c>
      <c r="K1132" t="inlineStr">
        <is>
          <t>ACTIVE</t>
        </is>
      </c>
      <c r="L1132" t="inlineStr">
        <is>
          <t>R</t>
        </is>
      </c>
      <c r="M1132" t="inlineStr">
        <is>
          <t>532 N PARK AVE</t>
        </is>
      </c>
      <c r="N1132">
        <f>RIGHT(M1132,LEN(M1132)-FIND(" ",M1132))</f>
        <v/>
      </c>
      <c r="O1132" t="inlineStr">
        <is>
          <t>APT K</t>
        </is>
      </c>
      <c r="P1132" t="inlineStr">
        <is>
          <t>WARREN</t>
        </is>
      </c>
      <c r="Q1132" t="inlineStr">
        <is>
          <t>OH</t>
        </is>
      </c>
      <c r="R1132" t="n">
        <v>44481</v>
      </c>
      <c r="AD1132" t="inlineStr">
        <is>
          <t>TRUMBULL CAREER &amp; TECH CENTER</t>
        </is>
      </c>
      <c r="AE1132" t="inlineStr">
        <is>
          <t>WARREN CITY</t>
        </is>
      </c>
      <c r="AF1132" t="inlineStr">
        <is>
          <t>WARREN CITY SD</t>
        </is>
      </c>
      <c r="AH1132" t="n">
        <v>14</v>
      </c>
      <c r="AI1132" t="n">
        <v>11</v>
      </c>
      <c r="AN1132" t="inlineStr">
        <is>
          <t>WARREN</t>
        </is>
      </c>
      <c r="AO1132" t="inlineStr">
        <is>
          <t>WARREN CITY 4D</t>
        </is>
      </c>
      <c r="AP1132" t="inlineStr">
        <is>
          <t>78-P-ADL</t>
        </is>
      </c>
      <c r="AQ1132" t="n">
        <v>9</v>
      </c>
      <c r="AR1132" t="n">
        <v>64</v>
      </c>
      <c r="AS1132" t="n">
        <v>32</v>
      </c>
      <c r="AU1132">
        <f>COUNTA($BA$1132:$EH$1132)</f>
        <v/>
      </c>
      <c r="AV1132">
        <f>COUNTIF($BA$1132:$EH$1132,"D")</f>
        <v/>
      </c>
      <c r="AW1132">
        <f>COUNTIF($BA$1132:$EH$1132,"R")</f>
        <v/>
      </c>
      <c r="AX1132">
        <f>IF(BN1132="D",1,0)+IF(BO1132="D",1,0)+IF(BT1132="D",1,0)+IF(BU1132="D",1,0)+IF(BW1132="D",1,0)+IF(CC1132="D",1,0)+IF(CD1132="D",1,0)+IF(CE1132="D",1,0)+IF(CF1132="D",1,0)+IF(CL1132="D",1,0)+IF(CM1132="D",1,0)+IF(CQ1132="D",1,0)+IF(CR1132="D",1,0)+IF(CS1132="D",1,0)+IF(CW1132="D",1,0)+IF(CX1132="D",1,0)+IF(DD1132="D",1,0)+IF(DE1132="D",1,0)+IF(DJ1132="D",1,0)+IF(DK1132="D",1,0)+IF(DO1132="D",1,0)+IF(DP1132="D",1,0)+IF(DQ1132="D",1,0)+IF(DW1132="D",1,0)+IF(DZ1132="D",1,0)+IF(EH1132="D",1,0)</f>
        <v/>
      </c>
      <c r="AY1132">
        <f>IF(DJ1132&lt;&gt;"",1,0)+IF(DK1132&lt;&gt;"",1,0)+IF(DM1132&lt;&gt;"",1,0)+IF(DO1132&lt;&gt;"",1,0)+IF(DP1132&lt;&gt;"",1,0)+IF(DQ1132&lt;&gt;"",1,0)+IF(DS1132&lt;&gt;"",1,0)+IF(DT1132&lt;&gt;"",1,0)+IF(DV1132&lt;&gt;"",1,0)+IF(DW1132&lt;&gt;"",1,0)+IF(DX1132&lt;&gt;"",1,0)+IF(DY1132&lt;&gt;"",1,0)+IF(DZ1132&lt;&gt;"",1,0)+IF(EB1132&lt;&gt;"",1,0)+IF(EC1132&lt;&gt;"",1,0)+IF(ED1132&lt;&gt;"",1,0)+IF(EG1132&lt;&gt;"",1,0)+IF(EH1132&lt;&gt;"",1,0)</f>
        <v/>
      </c>
      <c r="AZ1132">
        <f>IF(EH1132&lt;&gt;"",1,0)</f>
        <v/>
      </c>
      <c r="BB1132" t="inlineStr">
        <is>
          <t>WARREN-WARD 4</t>
        </is>
      </c>
      <c r="BC1132" t="inlineStr">
        <is>
          <t>X</t>
        </is>
      </c>
      <c r="BD1132" t="inlineStr">
        <is>
          <t>X</t>
        </is>
      </c>
      <c r="BJ1132" t="inlineStr">
        <is>
          <t>X</t>
        </is>
      </c>
      <c r="BL1132" t="inlineStr">
        <is>
          <t>X</t>
        </is>
      </c>
      <c r="BP1132" t="inlineStr">
        <is>
          <t>X</t>
        </is>
      </c>
      <c r="BS1132" t="inlineStr">
        <is>
          <t>X</t>
        </is>
      </c>
      <c r="BY1132" t="inlineStr">
        <is>
          <t>D</t>
        </is>
      </c>
      <c r="CA1132" t="inlineStr">
        <is>
          <t>X</t>
        </is>
      </c>
      <c r="CK1132" t="inlineStr">
        <is>
          <t>X</t>
        </is>
      </c>
      <c r="CL1132" t="inlineStr">
        <is>
          <t>D</t>
        </is>
      </c>
      <c r="CP1132" t="inlineStr">
        <is>
          <t>X</t>
        </is>
      </c>
      <c r="CV1132" t="inlineStr">
        <is>
          <t>X</t>
        </is>
      </c>
      <c r="CZ1132" t="inlineStr">
        <is>
          <t>R</t>
        </is>
      </c>
      <c r="DC1132" t="inlineStr">
        <is>
          <t>X</t>
        </is>
      </c>
      <c r="DF1132" t="inlineStr">
        <is>
          <t>X</t>
        </is>
      </c>
      <c r="DI1132" t="inlineStr">
        <is>
          <t>X</t>
        </is>
      </c>
      <c r="DL1132" t="inlineStr">
        <is>
          <t>X</t>
        </is>
      </c>
      <c r="DM1132" t="inlineStr">
        <is>
          <t>R</t>
        </is>
      </c>
      <c r="DN1132" t="inlineStr">
        <is>
          <t>X</t>
        </is>
      </c>
      <c r="DT1132" t="inlineStr">
        <is>
          <t>R</t>
        </is>
      </c>
      <c r="DU1132" t="inlineStr">
        <is>
          <t>X</t>
        </is>
      </c>
      <c r="EA1132" t="inlineStr">
        <is>
          <t>X</t>
        </is>
      </c>
      <c r="EF1132" t="inlineStr">
        <is>
          <t>X</t>
        </is>
      </c>
    </row>
    <row r="1133">
      <c r="A1133" t="inlineStr">
        <is>
          <t>OH0023081682</t>
        </is>
      </c>
      <c r="B1133" t="n">
        <v>78</v>
      </c>
      <c r="C1133" t="n">
        <v>406632</v>
      </c>
      <c r="D1133" t="inlineStr">
        <is>
          <t>DICKENS</t>
        </is>
      </c>
      <c r="E1133" t="inlineStr">
        <is>
          <t>MATTHEW</t>
        </is>
      </c>
      <c r="F1133">
        <f>CONCATENATE(D1133," ",LEFT(H1133,4),"T=",AU1133,"D=",AV1133,"R=",AW1133,"M=",AX1133,"L=",AY1133,"B=",AZ1133)</f>
        <v/>
      </c>
      <c r="G1133" t="inlineStr">
        <is>
          <t>E</t>
        </is>
      </c>
      <c r="H1133" t="inlineStr">
        <is>
          <t>JR</t>
        </is>
      </c>
      <c r="I1133" t="inlineStr">
        <is>
          <t>1997-06-01</t>
        </is>
      </c>
      <c r="J1133" t="inlineStr">
        <is>
          <t>2023-04-07</t>
        </is>
      </c>
      <c r="K1133" t="inlineStr">
        <is>
          <t>ACTIVE</t>
        </is>
      </c>
      <c r="M1133" t="inlineStr">
        <is>
          <t>166 LOGAN AVE SE</t>
        </is>
      </c>
      <c r="N1133">
        <f>RIGHT(M1133,LEN(M1133)-FIND(" ",M1133))</f>
        <v/>
      </c>
      <c r="P1133" t="inlineStr">
        <is>
          <t>WARREN</t>
        </is>
      </c>
      <c r="Q1133" t="inlineStr">
        <is>
          <t>OH</t>
        </is>
      </c>
      <c r="R1133" t="n">
        <v>44483</v>
      </c>
      <c r="AD1133" t="inlineStr">
        <is>
          <t>TRUMBULL CAREER &amp; TECH CENTER</t>
        </is>
      </c>
      <c r="AE1133" t="inlineStr">
        <is>
          <t>WARREN CITY</t>
        </is>
      </c>
      <c r="AF1133" t="inlineStr">
        <is>
          <t>WARREN CITY SD</t>
        </is>
      </c>
      <c r="AH1133" t="n">
        <v>14</v>
      </c>
      <c r="AI1133" t="n">
        <v>11</v>
      </c>
      <c r="AN1133" t="inlineStr">
        <is>
          <t>WARREN</t>
        </is>
      </c>
      <c r="AO1133" t="inlineStr">
        <is>
          <t>WARREN CITY 4D</t>
        </is>
      </c>
      <c r="AP1133" t="inlineStr">
        <is>
          <t>78-P-ADL</t>
        </is>
      </c>
      <c r="AQ1133" t="n">
        <v>9</v>
      </c>
      <c r="AR1133" t="n">
        <v>64</v>
      </c>
      <c r="AS1133" t="n">
        <v>32</v>
      </c>
      <c r="AU1133">
        <f>COUNTA($BA$1133:$EH$1133)</f>
        <v/>
      </c>
      <c r="AV1133">
        <f>COUNTIF($BA$1133:$EH$1133,"D")</f>
        <v/>
      </c>
      <c r="AW1133">
        <f>COUNTIF($BA$1133:$EH$1133,"R")</f>
        <v/>
      </c>
      <c r="AX1133">
        <f>IF(BN1133="D",1,0)+IF(BO1133="D",1,0)+IF(BT1133="D",1,0)+IF(BU1133="D",1,0)+IF(BW1133="D",1,0)+IF(CC1133="D",1,0)+IF(CD1133="D",1,0)+IF(CE1133="D",1,0)+IF(CF1133="D",1,0)+IF(CL1133="D",1,0)+IF(CM1133="D",1,0)+IF(CQ1133="D",1,0)+IF(CR1133="D",1,0)+IF(CS1133="D",1,0)+IF(CW1133="D",1,0)+IF(CX1133="D",1,0)+IF(DD1133="D",1,0)+IF(DE1133="D",1,0)+IF(DJ1133="D",1,0)+IF(DK1133="D",1,0)+IF(DO1133="D",1,0)+IF(DP1133="D",1,0)+IF(DQ1133="D",1,0)+IF(DW1133="D",1,0)+IF(DZ1133="D",1,0)+IF(EH1133="D",1,0)</f>
        <v/>
      </c>
      <c r="AY1133">
        <f>IF(DJ1133&lt;&gt;"",1,0)+IF(DK1133&lt;&gt;"",1,0)+IF(DM1133&lt;&gt;"",1,0)+IF(DO1133&lt;&gt;"",1,0)+IF(DP1133&lt;&gt;"",1,0)+IF(DQ1133&lt;&gt;"",1,0)+IF(DS1133&lt;&gt;"",1,0)+IF(DT1133&lt;&gt;"",1,0)+IF(DV1133&lt;&gt;"",1,0)+IF(DW1133&lt;&gt;"",1,0)+IF(DX1133&lt;&gt;"",1,0)+IF(DY1133&lt;&gt;"",1,0)+IF(DZ1133&lt;&gt;"",1,0)+IF(EB1133&lt;&gt;"",1,0)+IF(EC1133&lt;&gt;"",1,0)+IF(ED1133&lt;&gt;"",1,0)+IF(EG1133&lt;&gt;"",1,0)+IF(EH1133&lt;&gt;"",1,0)</f>
        <v/>
      </c>
      <c r="AZ1133">
        <f>IF(EH1133&lt;&gt;"",1,0)</f>
        <v/>
      </c>
      <c r="BB1133" t="inlineStr">
        <is>
          <t>WARREN-WARD 4</t>
        </is>
      </c>
    </row>
    <row r="1134">
      <c r="A1134" t="inlineStr">
        <is>
          <t>OH0026449178</t>
        </is>
      </c>
      <c r="B1134" t="n">
        <v>78</v>
      </c>
      <c r="C1134" t="n">
        <v>462514</v>
      </c>
      <c r="D1134" t="inlineStr">
        <is>
          <t>ROGERS</t>
        </is>
      </c>
      <c r="E1134" t="inlineStr">
        <is>
          <t>ZACHARY</t>
        </is>
      </c>
      <c r="F1134">
        <f>CONCATENATE(D1134," ",LEFT(H1134,4),"T=",AU1134,"D=",AV1134,"R=",AW1134,"M=",AX1134,"L=",AY1134,"B=",AZ1134)</f>
        <v/>
      </c>
      <c r="G1134" t="inlineStr">
        <is>
          <t>N</t>
        </is>
      </c>
      <c r="I1134" t="inlineStr">
        <is>
          <t>1999-06-08</t>
        </is>
      </c>
      <c r="J1134" t="inlineStr">
        <is>
          <t>2022-03-21</t>
        </is>
      </c>
      <c r="K1134" t="inlineStr">
        <is>
          <t>ACTIVE</t>
        </is>
      </c>
      <c r="M1134" t="inlineStr">
        <is>
          <t>1184 MCKINLEY ST NE</t>
        </is>
      </c>
      <c r="N1134">
        <f>RIGHT(M1134,LEN(M1134)-FIND(" ",M1134))</f>
        <v/>
      </c>
      <c r="P1134" t="inlineStr">
        <is>
          <t>WARREN</t>
        </is>
      </c>
      <c r="Q1134" t="inlineStr">
        <is>
          <t>OH</t>
        </is>
      </c>
      <c r="R1134" t="n">
        <v>44483</v>
      </c>
      <c r="AD1134" t="inlineStr">
        <is>
          <t>TRUMBULL CAREER &amp; TECH CENTER</t>
        </is>
      </c>
      <c r="AE1134" t="inlineStr">
        <is>
          <t>WARREN CITY</t>
        </is>
      </c>
      <c r="AF1134" t="inlineStr">
        <is>
          <t>WARREN CITY SD</t>
        </is>
      </c>
      <c r="AH1134" t="n">
        <v>14</v>
      </c>
      <c r="AI1134" t="n">
        <v>11</v>
      </c>
      <c r="AN1134" t="inlineStr">
        <is>
          <t>WARREN</t>
        </is>
      </c>
      <c r="AO1134" t="inlineStr">
        <is>
          <t>WARREN CITY 4D</t>
        </is>
      </c>
      <c r="AP1134" t="inlineStr">
        <is>
          <t>78-P-ADL</t>
        </is>
      </c>
      <c r="AQ1134" t="n">
        <v>9</v>
      </c>
      <c r="AR1134" t="n">
        <v>64</v>
      </c>
      <c r="AS1134" t="n">
        <v>32</v>
      </c>
      <c r="AU1134">
        <f>COUNTA($BA$1134:$EH$1134)</f>
        <v/>
      </c>
      <c r="AV1134">
        <f>COUNTIF($BA$1134:$EH$1134,"D")</f>
        <v/>
      </c>
      <c r="AW1134">
        <f>COUNTIF($BA$1134:$EH$1134,"R")</f>
        <v/>
      </c>
      <c r="AX1134">
        <f>IF(BN1134="D",1,0)+IF(BO1134="D",1,0)+IF(BT1134="D",1,0)+IF(BU1134="D",1,0)+IF(BW1134="D",1,0)+IF(CC1134="D",1,0)+IF(CD1134="D",1,0)+IF(CE1134="D",1,0)+IF(CF1134="D",1,0)+IF(CL1134="D",1,0)+IF(CM1134="D",1,0)+IF(CQ1134="D",1,0)+IF(CR1134="D",1,0)+IF(CS1134="D",1,0)+IF(CW1134="D",1,0)+IF(CX1134="D",1,0)+IF(DD1134="D",1,0)+IF(DE1134="D",1,0)+IF(DJ1134="D",1,0)+IF(DK1134="D",1,0)+IF(DO1134="D",1,0)+IF(DP1134="D",1,0)+IF(DQ1134="D",1,0)+IF(DW1134="D",1,0)+IF(DZ1134="D",1,0)+IF(EH1134="D",1,0)</f>
        <v/>
      </c>
      <c r="AY1134">
        <f>IF(DJ1134&lt;&gt;"",1,0)+IF(DK1134&lt;&gt;"",1,0)+IF(DM1134&lt;&gt;"",1,0)+IF(DO1134&lt;&gt;"",1,0)+IF(DP1134&lt;&gt;"",1,0)+IF(DQ1134&lt;&gt;"",1,0)+IF(DS1134&lt;&gt;"",1,0)+IF(DT1134&lt;&gt;"",1,0)+IF(DV1134&lt;&gt;"",1,0)+IF(DW1134&lt;&gt;"",1,0)+IF(DX1134&lt;&gt;"",1,0)+IF(DY1134&lt;&gt;"",1,0)+IF(DZ1134&lt;&gt;"",1,0)+IF(EB1134&lt;&gt;"",1,0)+IF(EC1134&lt;&gt;"",1,0)+IF(ED1134&lt;&gt;"",1,0)+IF(EG1134&lt;&gt;"",1,0)+IF(EH1134&lt;&gt;"",1,0)</f>
        <v/>
      </c>
      <c r="AZ1134">
        <f>IF(EH1134&lt;&gt;"",1,0)</f>
        <v/>
      </c>
      <c r="BB1134" t="inlineStr">
        <is>
          <t>WARREN-WARD 4</t>
        </is>
      </c>
    </row>
    <row r="1135">
      <c r="A1135" t="inlineStr">
        <is>
          <t>OH0027354407</t>
        </is>
      </c>
      <c r="B1135" t="n">
        <v>78</v>
      </c>
      <c r="C1135" t="n">
        <v>485045</v>
      </c>
      <c r="D1135" t="inlineStr">
        <is>
          <t>OGLETREE</t>
        </is>
      </c>
      <c r="E1135" t="inlineStr">
        <is>
          <t>MAURI</t>
        </is>
      </c>
      <c r="F1135">
        <f>CONCATENATE(D1135," ",LEFT(H1135,4),"T=",AU1135,"D=",AV1135,"R=",AW1135,"M=",AX1135,"L=",AY1135,"B=",AZ1135)</f>
        <v/>
      </c>
      <c r="G1135" t="inlineStr">
        <is>
          <t>LEE</t>
        </is>
      </c>
      <c r="I1135" t="inlineStr">
        <is>
          <t>2006-05-11</t>
        </is>
      </c>
      <c r="J1135" t="inlineStr">
        <is>
          <t>2024-05-16</t>
        </is>
      </c>
      <c r="K1135" t="inlineStr">
        <is>
          <t>ACTIVE</t>
        </is>
      </c>
      <c r="M1135" t="inlineStr">
        <is>
          <t>307 CHESTNUT AVE NE</t>
        </is>
      </c>
      <c r="N1135">
        <f>RIGHT(M1135,LEN(M1135)-FIND(" ",M1135))</f>
        <v/>
      </c>
      <c r="P1135" t="inlineStr">
        <is>
          <t>WARREN</t>
        </is>
      </c>
      <c r="Q1135" t="inlineStr">
        <is>
          <t>OH</t>
        </is>
      </c>
      <c r="R1135" t="n">
        <v>44483</v>
      </c>
      <c r="AD1135" t="inlineStr">
        <is>
          <t>TRUMBULL CAREER &amp; TECH CENTER</t>
        </is>
      </c>
      <c r="AE1135" t="inlineStr">
        <is>
          <t>WARREN CITY</t>
        </is>
      </c>
      <c r="AF1135" t="inlineStr">
        <is>
          <t>WARREN CITY SD</t>
        </is>
      </c>
      <c r="AH1135" t="n">
        <v>14</v>
      </c>
      <c r="AI1135" t="n">
        <v>11</v>
      </c>
      <c r="AN1135" t="inlineStr">
        <is>
          <t>WARREN</t>
        </is>
      </c>
      <c r="AO1135" t="inlineStr">
        <is>
          <t>WARREN CITY 4D</t>
        </is>
      </c>
      <c r="AP1135" t="inlineStr">
        <is>
          <t>78-P-ADL</t>
        </is>
      </c>
      <c r="AQ1135" t="n">
        <v>9</v>
      </c>
      <c r="AR1135" t="n">
        <v>64</v>
      </c>
      <c r="AS1135" t="n">
        <v>32</v>
      </c>
      <c r="AU1135">
        <f>COUNTA($BA$1135:$EH$1135)</f>
        <v/>
      </c>
      <c r="AV1135">
        <f>COUNTIF($BA$1135:$EH$1135,"D")</f>
        <v/>
      </c>
      <c r="AW1135">
        <f>COUNTIF($BA$1135:$EH$1135,"R")</f>
        <v/>
      </c>
      <c r="AX1135">
        <f>IF(BN1135="D",1,0)+IF(BO1135="D",1,0)+IF(BT1135="D",1,0)+IF(BU1135="D",1,0)+IF(BW1135="D",1,0)+IF(CC1135="D",1,0)+IF(CD1135="D",1,0)+IF(CE1135="D",1,0)+IF(CF1135="D",1,0)+IF(CL1135="D",1,0)+IF(CM1135="D",1,0)+IF(CQ1135="D",1,0)+IF(CR1135="D",1,0)+IF(CS1135="D",1,0)+IF(CW1135="D",1,0)+IF(CX1135="D",1,0)+IF(DD1135="D",1,0)+IF(DE1135="D",1,0)+IF(DJ1135="D",1,0)+IF(DK1135="D",1,0)+IF(DO1135="D",1,0)+IF(DP1135="D",1,0)+IF(DQ1135="D",1,0)+IF(DW1135="D",1,0)+IF(DZ1135="D",1,0)+IF(EH1135="D",1,0)</f>
        <v/>
      </c>
      <c r="AY1135">
        <f>IF(DJ1135&lt;&gt;"",1,0)+IF(DK1135&lt;&gt;"",1,0)+IF(DM1135&lt;&gt;"",1,0)+IF(DO1135&lt;&gt;"",1,0)+IF(DP1135&lt;&gt;"",1,0)+IF(DQ1135&lt;&gt;"",1,0)+IF(DS1135&lt;&gt;"",1,0)+IF(DT1135&lt;&gt;"",1,0)+IF(DV1135&lt;&gt;"",1,0)+IF(DW1135&lt;&gt;"",1,0)+IF(DX1135&lt;&gt;"",1,0)+IF(DY1135&lt;&gt;"",1,0)+IF(DZ1135&lt;&gt;"",1,0)+IF(EB1135&lt;&gt;"",1,0)+IF(EC1135&lt;&gt;"",1,0)+IF(ED1135&lt;&gt;"",1,0)+IF(EG1135&lt;&gt;"",1,0)+IF(EH1135&lt;&gt;"",1,0)</f>
        <v/>
      </c>
      <c r="AZ1135">
        <f>IF(EH1135&lt;&gt;"",1,0)</f>
        <v/>
      </c>
      <c r="BB1135" t="inlineStr">
        <is>
          <t>WARREN-WARD 4</t>
        </is>
      </c>
    </row>
    <row r="1136">
      <c r="A1136" t="inlineStr">
        <is>
          <t>OH0027643516</t>
        </is>
      </c>
      <c r="B1136" t="n">
        <v>78</v>
      </c>
      <c r="C1136" t="n">
        <v>431833</v>
      </c>
      <c r="D1136" t="inlineStr">
        <is>
          <t>WASHINGTON</t>
        </is>
      </c>
      <c r="E1136" t="inlineStr">
        <is>
          <t>DESMOND</t>
        </is>
      </c>
      <c r="F1136">
        <f>CONCATENATE(D1136," ",LEFT(H1136,4),"T=",AU1136,"D=",AV1136,"R=",AW1136,"M=",AX1136,"L=",AY1136,"B=",AZ1136)</f>
        <v/>
      </c>
      <c r="G1136" t="inlineStr">
        <is>
          <t>TA MARR</t>
        </is>
      </c>
      <c r="I1136" t="inlineStr">
        <is>
          <t>1996-11-05</t>
        </is>
      </c>
      <c r="J1136" t="inlineStr">
        <is>
          <t>2024-09-09</t>
        </is>
      </c>
      <c r="K1136" t="inlineStr">
        <is>
          <t>ACTIVE</t>
        </is>
      </c>
      <c r="M1136" t="inlineStr">
        <is>
          <t>201 HIGH ST NE</t>
        </is>
      </c>
      <c r="N1136">
        <f>RIGHT(M1136,LEN(M1136)-FIND(" ",M1136))</f>
        <v/>
      </c>
      <c r="P1136" t="inlineStr">
        <is>
          <t>WARREN</t>
        </is>
      </c>
      <c r="Q1136" t="inlineStr">
        <is>
          <t>OH</t>
        </is>
      </c>
      <c r="R1136" t="n">
        <v>44481</v>
      </c>
      <c r="AD1136" t="inlineStr">
        <is>
          <t>TRUMBULL CAREER &amp; TECH CENTER</t>
        </is>
      </c>
      <c r="AE1136" t="inlineStr">
        <is>
          <t>WARREN CITY</t>
        </is>
      </c>
      <c r="AF1136" t="inlineStr">
        <is>
          <t>WARREN CITY SD</t>
        </is>
      </c>
      <c r="AH1136" t="n">
        <v>14</v>
      </c>
      <c r="AI1136" t="n">
        <v>11</v>
      </c>
      <c r="AN1136" t="inlineStr">
        <is>
          <t>WARREN</t>
        </is>
      </c>
      <c r="AO1136" t="inlineStr">
        <is>
          <t>WARREN CITY 4D</t>
        </is>
      </c>
      <c r="AP1136" t="inlineStr">
        <is>
          <t>78-P-ADL</t>
        </is>
      </c>
      <c r="AQ1136" t="n">
        <v>9</v>
      </c>
      <c r="AR1136" t="n">
        <v>64</v>
      </c>
      <c r="AS1136" t="n">
        <v>32</v>
      </c>
      <c r="AU1136">
        <f>COUNTA($BA$1136:$EH$1136)</f>
        <v/>
      </c>
      <c r="AV1136">
        <f>COUNTIF($BA$1136:$EH$1136,"D")</f>
        <v/>
      </c>
      <c r="AW1136">
        <f>COUNTIF($BA$1136:$EH$1136,"R")</f>
        <v/>
      </c>
      <c r="AX1136">
        <f>IF(BN1136="D",1,0)+IF(BO1136="D",1,0)+IF(BT1136="D",1,0)+IF(BU1136="D",1,0)+IF(BW1136="D",1,0)+IF(CC1136="D",1,0)+IF(CD1136="D",1,0)+IF(CE1136="D",1,0)+IF(CF1136="D",1,0)+IF(CL1136="D",1,0)+IF(CM1136="D",1,0)+IF(CQ1136="D",1,0)+IF(CR1136="D",1,0)+IF(CS1136="D",1,0)+IF(CW1136="D",1,0)+IF(CX1136="D",1,0)+IF(DD1136="D",1,0)+IF(DE1136="D",1,0)+IF(DJ1136="D",1,0)+IF(DK1136="D",1,0)+IF(DO1136="D",1,0)+IF(DP1136="D",1,0)+IF(DQ1136="D",1,0)+IF(DW1136="D",1,0)+IF(DZ1136="D",1,0)+IF(EH1136="D",1,0)</f>
        <v/>
      </c>
      <c r="AY1136">
        <f>IF(DJ1136&lt;&gt;"",1,0)+IF(DK1136&lt;&gt;"",1,0)+IF(DM1136&lt;&gt;"",1,0)+IF(DO1136&lt;&gt;"",1,0)+IF(DP1136&lt;&gt;"",1,0)+IF(DQ1136&lt;&gt;"",1,0)+IF(DS1136&lt;&gt;"",1,0)+IF(DT1136&lt;&gt;"",1,0)+IF(DV1136&lt;&gt;"",1,0)+IF(DW1136&lt;&gt;"",1,0)+IF(DX1136&lt;&gt;"",1,0)+IF(DY1136&lt;&gt;"",1,0)+IF(DZ1136&lt;&gt;"",1,0)+IF(EB1136&lt;&gt;"",1,0)+IF(EC1136&lt;&gt;"",1,0)+IF(ED1136&lt;&gt;"",1,0)+IF(EG1136&lt;&gt;"",1,0)+IF(EH1136&lt;&gt;"",1,0)</f>
        <v/>
      </c>
      <c r="AZ1136">
        <f>IF(EH1136&lt;&gt;"",1,0)</f>
        <v/>
      </c>
      <c r="BB1136" t="inlineStr">
        <is>
          <t>WARREN-WARD 4</t>
        </is>
      </c>
    </row>
    <row r="1137">
      <c r="A1137" t="inlineStr">
        <is>
          <t>OH0024169927</t>
        </is>
      </c>
      <c r="B1137" t="n">
        <v>78</v>
      </c>
      <c r="C1137" t="n">
        <v>422957</v>
      </c>
      <c r="D1137" t="inlineStr">
        <is>
          <t>BURDICK</t>
        </is>
      </c>
      <c r="E1137" t="inlineStr">
        <is>
          <t>ASHLEY</t>
        </is>
      </c>
      <c r="F1137">
        <f>CONCATENATE(D1137," ",LEFT(H1137,4),"T=",AU1137,"D=",AV1137,"R=",AW1137,"M=",AX1137,"L=",AY1137,"B=",AZ1137)</f>
        <v/>
      </c>
      <c r="G1137" t="inlineStr">
        <is>
          <t>RENEE</t>
        </is>
      </c>
      <c r="I1137" t="inlineStr">
        <is>
          <t>1987-10-20</t>
        </is>
      </c>
      <c r="J1137" t="inlineStr">
        <is>
          <t>2016-10-19</t>
        </is>
      </c>
      <c r="K1137" t="inlineStr">
        <is>
          <t>CONFIRMATION</t>
        </is>
      </c>
      <c r="M1137" t="inlineStr">
        <is>
          <t>342 MAHONING AVE NW</t>
        </is>
      </c>
      <c r="N1137">
        <f>RIGHT(M1137,LEN(M1137)-FIND(" ",M1137))</f>
        <v/>
      </c>
      <c r="O1137" t="inlineStr">
        <is>
          <t>APT D</t>
        </is>
      </c>
      <c r="P1137" t="inlineStr">
        <is>
          <t>WARREN</t>
        </is>
      </c>
      <c r="Q1137" t="inlineStr">
        <is>
          <t>OH</t>
        </is>
      </c>
      <c r="R1137" t="n">
        <v>44483</v>
      </c>
      <c r="AD1137" t="inlineStr">
        <is>
          <t>TRUMBULL CAREER &amp; TECH CENTER</t>
        </is>
      </c>
      <c r="AE1137" t="inlineStr">
        <is>
          <t>WARREN CITY</t>
        </is>
      </c>
      <c r="AF1137" t="inlineStr">
        <is>
          <t>WARREN CITY SD</t>
        </is>
      </c>
      <c r="AH1137" t="n">
        <v>14</v>
      </c>
      <c r="AI1137" t="n">
        <v>11</v>
      </c>
      <c r="AN1137" t="inlineStr">
        <is>
          <t>WARREN</t>
        </is>
      </c>
      <c r="AO1137" t="inlineStr">
        <is>
          <t>WARREN CITY 4D</t>
        </is>
      </c>
      <c r="AP1137" t="inlineStr">
        <is>
          <t>78-P-ADL</t>
        </is>
      </c>
      <c r="AQ1137" t="n">
        <v>9</v>
      </c>
      <c r="AR1137" t="n">
        <v>64</v>
      </c>
      <c r="AS1137" t="n">
        <v>32</v>
      </c>
      <c r="AU1137">
        <f>COUNTA($BA$1137:$EH$1137)</f>
        <v/>
      </c>
      <c r="AV1137">
        <f>COUNTIF($BA$1137:$EH$1137,"D")</f>
        <v/>
      </c>
      <c r="AW1137">
        <f>COUNTIF($BA$1137:$EH$1137,"R")</f>
        <v/>
      </c>
      <c r="AX1137">
        <f>IF(BN1137="D",1,0)+IF(BO1137="D",1,0)+IF(BT1137="D",1,0)+IF(BU1137="D",1,0)+IF(BW1137="D",1,0)+IF(CC1137="D",1,0)+IF(CD1137="D",1,0)+IF(CE1137="D",1,0)+IF(CF1137="D",1,0)+IF(CL1137="D",1,0)+IF(CM1137="D",1,0)+IF(CQ1137="D",1,0)+IF(CR1137="D",1,0)+IF(CS1137="D",1,0)+IF(CW1137="D",1,0)+IF(CX1137="D",1,0)+IF(DD1137="D",1,0)+IF(DE1137="D",1,0)+IF(DJ1137="D",1,0)+IF(DK1137="D",1,0)+IF(DO1137="D",1,0)+IF(DP1137="D",1,0)+IF(DQ1137="D",1,0)+IF(DW1137="D",1,0)+IF(DZ1137="D",1,0)+IF(EH1137="D",1,0)</f>
        <v/>
      </c>
      <c r="AY1137">
        <f>IF(DJ1137&lt;&gt;"",1,0)+IF(DK1137&lt;&gt;"",1,0)+IF(DM1137&lt;&gt;"",1,0)+IF(DO1137&lt;&gt;"",1,0)+IF(DP1137&lt;&gt;"",1,0)+IF(DQ1137&lt;&gt;"",1,0)+IF(DS1137&lt;&gt;"",1,0)+IF(DT1137&lt;&gt;"",1,0)+IF(DV1137&lt;&gt;"",1,0)+IF(DW1137&lt;&gt;"",1,0)+IF(DX1137&lt;&gt;"",1,0)+IF(DY1137&lt;&gt;"",1,0)+IF(DZ1137&lt;&gt;"",1,0)+IF(EB1137&lt;&gt;"",1,0)+IF(EC1137&lt;&gt;"",1,0)+IF(ED1137&lt;&gt;"",1,0)+IF(EG1137&lt;&gt;"",1,0)+IF(EH1137&lt;&gt;"",1,0)</f>
        <v/>
      </c>
      <c r="AZ1137">
        <f>IF(EH1137&lt;&gt;"",1,0)</f>
        <v/>
      </c>
      <c r="BB1137" t="inlineStr">
        <is>
          <t>WARREN-WARD 4</t>
        </is>
      </c>
      <c r="BS1137" t="inlineStr">
        <is>
          <t>X</t>
        </is>
      </c>
      <c r="BY1137" t="inlineStr">
        <is>
          <t>D</t>
        </is>
      </c>
      <c r="CA1137" t="inlineStr">
        <is>
          <t>X</t>
        </is>
      </c>
      <c r="CP1137" t="inlineStr">
        <is>
          <t>X</t>
        </is>
      </c>
      <c r="CY1137" t="inlineStr">
        <is>
          <t>X</t>
        </is>
      </c>
    </row>
    <row r="1138">
      <c r="A1138" t="inlineStr">
        <is>
          <t>OH0024169933</t>
        </is>
      </c>
      <c r="B1138" t="n">
        <v>78</v>
      </c>
      <c r="C1138" t="n">
        <v>422964</v>
      </c>
      <c r="D1138" t="inlineStr">
        <is>
          <t>BOYNTON</t>
        </is>
      </c>
      <c r="E1138" t="inlineStr">
        <is>
          <t>AUBREY</t>
        </is>
      </c>
      <c r="F1138">
        <f>CONCATENATE(D1138," ",LEFT(H1138,4),"T=",AU1138,"D=",AV1138,"R=",AW1138,"M=",AX1138,"L=",AY1138,"B=",AZ1138)</f>
        <v/>
      </c>
      <c r="G1138" t="inlineStr">
        <is>
          <t>SHANNON</t>
        </is>
      </c>
      <c r="I1138" t="inlineStr">
        <is>
          <t>1989-02-20</t>
        </is>
      </c>
      <c r="J1138" t="inlineStr">
        <is>
          <t>2016-10-23</t>
        </is>
      </c>
      <c r="K1138" t="inlineStr">
        <is>
          <t>CONFIRMATION</t>
        </is>
      </c>
      <c r="M1138" t="inlineStr">
        <is>
          <t>438 N PARK AVE</t>
        </is>
      </c>
      <c r="N1138">
        <f>RIGHT(M1138,LEN(M1138)-FIND(" ",M1138))</f>
        <v/>
      </c>
      <c r="O1138" t="inlineStr">
        <is>
          <t>APT 8</t>
        </is>
      </c>
      <c r="P1138" t="inlineStr">
        <is>
          <t>WARREN</t>
        </is>
      </c>
      <c r="Q1138" t="inlineStr">
        <is>
          <t>OH</t>
        </is>
      </c>
      <c r="R1138" t="n">
        <v>44481</v>
      </c>
      <c r="AD1138" t="inlineStr">
        <is>
          <t>TRUMBULL CAREER &amp; TECH CENTER</t>
        </is>
      </c>
      <c r="AE1138" t="inlineStr">
        <is>
          <t>WARREN CITY</t>
        </is>
      </c>
      <c r="AF1138" t="inlineStr">
        <is>
          <t>WARREN CITY SD</t>
        </is>
      </c>
      <c r="AH1138" t="n">
        <v>14</v>
      </c>
      <c r="AI1138" t="n">
        <v>11</v>
      </c>
      <c r="AN1138" t="inlineStr">
        <is>
          <t>WARREN</t>
        </is>
      </c>
      <c r="AO1138" t="inlineStr">
        <is>
          <t>WARREN CITY 4D</t>
        </is>
      </c>
      <c r="AP1138" t="inlineStr">
        <is>
          <t>78-P-ADL</t>
        </is>
      </c>
      <c r="AQ1138" t="n">
        <v>9</v>
      </c>
      <c r="AR1138" t="n">
        <v>64</v>
      </c>
      <c r="AS1138" t="n">
        <v>32</v>
      </c>
      <c r="AU1138">
        <f>COUNTA($BA$1138:$EH$1138)</f>
        <v/>
      </c>
      <c r="AV1138">
        <f>COUNTIF($BA$1138:$EH$1138,"D")</f>
        <v/>
      </c>
      <c r="AW1138">
        <f>COUNTIF($BA$1138:$EH$1138,"R")</f>
        <v/>
      </c>
      <c r="AX1138">
        <f>IF(BN1138="D",1,0)+IF(BO1138="D",1,0)+IF(BT1138="D",1,0)+IF(BU1138="D",1,0)+IF(BW1138="D",1,0)+IF(CC1138="D",1,0)+IF(CD1138="D",1,0)+IF(CE1138="D",1,0)+IF(CF1138="D",1,0)+IF(CL1138="D",1,0)+IF(CM1138="D",1,0)+IF(CQ1138="D",1,0)+IF(CR1138="D",1,0)+IF(CS1138="D",1,0)+IF(CW1138="D",1,0)+IF(CX1138="D",1,0)+IF(DD1138="D",1,0)+IF(DE1138="D",1,0)+IF(DJ1138="D",1,0)+IF(DK1138="D",1,0)+IF(DO1138="D",1,0)+IF(DP1138="D",1,0)+IF(DQ1138="D",1,0)+IF(DW1138="D",1,0)+IF(DZ1138="D",1,0)+IF(EH1138="D",1,0)</f>
        <v/>
      </c>
      <c r="AY1138">
        <f>IF(DJ1138&lt;&gt;"",1,0)+IF(DK1138&lt;&gt;"",1,0)+IF(DM1138&lt;&gt;"",1,0)+IF(DO1138&lt;&gt;"",1,0)+IF(DP1138&lt;&gt;"",1,0)+IF(DQ1138&lt;&gt;"",1,0)+IF(DS1138&lt;&gt;"",1,0)+IF(DT1138&lt;&gt;"",1,0)+IF(DV1138&lt;&gt;"",1,0)+IF(DW1138&lt;&gt;"",1,0)+IF(DX1138&lt;&gt;"",1,0)+IF(DY1138&lt;&gt;"",1,0)+IF(DZ1138&lt;&gt;"",1,0)+IF(EB1138&lt;&gt;"",1,0)+IF(EC1138&lt;&gt;"",1,0)+IF(ED1138&lt;&gt;"",1,0)+IF(EG1138&lt;&gt;"",1,0)+IF(EH1138&lt;&gt;"",1,0)</f>
        <v/>
      </c>
      <c r="AZ1138">
        <f>IF(EH1138&lt;&gt;"",1,0)</f>
        <v/>
      </c>
      <c r="BB1138" t="inlineStr">
        <is>
          <t>WARREN-WARD 4</t>
        </is>
      </c>
      <c r="CP1138" t="inlineStr">
        <is>
          <t>X</t>
        </is>
      </c>
    </row>
    <row r="1139">
      <c r="A1139" t="inlineStr">
        <is>
          <t>OH0026154871</t>
        </is>
      </c>
      <c r="B1139" t="n">
        <v>78</v>
      </c>
      <c r="C1139" t="n">
        <v>457278</v>
      </c>
      <c r="D1139" t="inlineStr">
        <is>
          <t>LOATMAN</t>
        </is>
      </c>
      <c r="E1139" t="inlineStr">
        <is>
          <t>LATISHA</t>
        </is>
      </c>
      <c r="F1139">
        <f>CONCATENATE(D1139," ",LEFT(H1139,4),"T=",AU1139,"D=",AV1139,"R=",AW1139,"M=",AX1139,"L=",AY1139,"B=",AZ1139)</f>
        <v/>
      </c>
      <c r="G1139" t="inlineStr">
        <is>
          <t>M</t>
        </is>
      </c>
      <c r="I1139" t="inlineStr">
        <is>
          <t>1973-03-28</t>
        </is>
      </c>
      <c r="J1139" t="inlineStr">
        <is>
          <t>2023-03-23</t>
        </is>
      </c>
      <c r="K1139" t="inlineStr">
        <is>
          <t>ACTIVE</t>
        </is>
      </c>
      <c r="M1139" t="inlineStr">
        <is>
          <t>304 LOWELL AVE NE</t>
        </is>
      </c>
      <c r="N1139">
        <f>RIGHT(M1139,LEN(M1139)-FIND(" ",M1139))</f>
        <v/>
      </c>
      <c r="P1139" t="inlineStr">
        <is>
          <t>WARREN</t>
        </is>
      </c>
      <c r="Q1139" t="inlineStr">
        <is>
          <t>OH</t>
        </is>
      </c>
      <c r="R1139" t="n">
        <v>44483</v>
      </c>
      <c r="AD1139" t="inlineStr">
        <is>
          <t>TRUMBULL CAREER &amp; TECH CENTER</t>
        </is>
      </c>
      <c r="AE1139" t="inlineStr">
        <is>
          <t>WARREN CITY</t>
        </is>
      </c>
      <c r="AF1139" t="inlineStr">
        <is>
          <t>WARREN CITY SD</t>
        </is>
      </c>
      <c r="AH1139" t="n">
        <v>14</v>
      </c>
      <c r="AI1139" t="n">
        <v>11</v>
      </c>
      <c r="AN1139" t="inlineStr">
        <is>
          <t>WARREN</t>
        </is>
      </c>
      <c r="AO1139" t="inlineStr">
        <is>
          <t>WARREN CITY 4D</t>
        </is>
      </c>
      <c r="AP1139" t="inlineStr">
        <is>
          <t>78-P-ADL</t>
        </is>
      </c>
      <c r="AQ1139" t="n">
        <v>9</v>
      </c>
      <c r="AR1139" t="n">
        <v>64</v>
      </c>
      <c r="AS1139" t="n">
        <v>32</v>
      </c>
      <c r="AU1139">
        <f>COUNTA($BA$1139:$EH$1139)</f>
        <v/>
      </c>
      <c r="AV1139">
        <f>COUNTIF($BA$1139:$EH$1139,"D")</f>
        <v/>
      </c>
      <c r="AW1139">
        <f>COUNTIF($BA$1139:$EH$1139,"R")</f>
        <v/>
      </c>
      <c r="AX1139">
        <f>IF(BN1139="D",1,0)+IF(BO1139="D",1,0)+IF(BT1139="D",1,0)+IF(BU1139="D",1,0)+IF(BW1139="D",1,0)+IF(CC1139="D",1,0)+IF(CD1139="D",1,0)+IF(CE1139="D",1,0)+IF(CF1139="D",1,0)+IF(CL1139="D",1,0)+IF(CM1139="D",1,0)+IF(CQ1139="D",1,0)+IF(CR1139="D",1,0)+IF(CS1139="D",1,0)+IF(CW1139="D",1,0)+IF(CX1139="D",1,0)+IF(DD1139="D",1,0)+IF(DE1139="D",1,0)+IF(DJ1139="D",1,0)+IF(DK1139="D",1,0)+IF(DO1139="D",1,0)+IF(DP1139="D",1,0)+IF(DQ1139="D",1,0)+IF(DW1139="D",1,0)+IF(DZ1139="D",1,0)+IF(EH1139="D",1,0)</f>
        <v/>
      </c>
      <c r="AY1139">
        <f>IF(DJ1139&lt;&gt;"",1,0)+IF(DK1139&lt;&gt;"",1,0)+IF(DM1139&lt;&gt;"",1,0)+IF(DO1139&lt;&gt;"",1,0)+IF(DP1139&lt;&gt;"",1,0)+IF(DQ1139&lt;&gt;"",1,0)+IF(DS1139&lt;&gt;"",1,0)+IF(DT1139&lt;&gt;"",1,0)+IF(DV1139&lt;&gt;"",1,0)+IF(DW1139&lt;&gt;"",1,0)+IF(DX1139&lt;&gt;"",1,0)+IF(DY1139&lt;&gt;"",1,0)+IF(DZ1139&lt;&gt;"",1,0)+IF(EB1139&lt;&gt;"",1,0)+IF(EC1139&lt;&gt;"",1,0)+IF(ED1139&lt;&gt;"",1,0)+IF(EG1139&lt;&gt;"",1,0)+IF(EH1139&lt;&gt;"",1,0)</f>
        <v/>
      </c>
      <c r="AZ1139">
        <f>IF(EH1139&lt;&gt;"",1,0)</f>
        <v/>
      </c>
      <c r="BB1139" t="inlineStr">
        <is>
          <t>WARREN-WARD 4</t>
        </is>
      </c>
      <c r="DX1139" t="inlineStr">
        <is>
          <t>X</t>
        </is>
      </c>
    </row>
    <row r="1140">
      <c r="A1140" t="inlineStr">
        <is>
          <t>OH0015796116</t>
        </is>
      </c>
      <c r="B1140" t="n">
        <v>78</v>
      </c>
      <c r="C1140" t="n">
        <v>275378</v>
      </c>
      <c r="D1140" t="inlineStr">
        <is>
          <t>MCMURRAY</t>
        </is>
      </c>
      <c r="E1140" t="inlineStr">
        <is>
          <t>DEBRA</t>
        </is>
      </c>
      <c r="F1140">
        <f>CONCATENATE(D1140," ",LEFT(H1140,4),"T=",AU1140,"D=",AV1140,"R=",AW1140,"M=",AX1140,"L=",AY1140,"B=",AZ1140)</f>
        <v/>
      </c>
      <c r="I1140" t="inlineStr">
        <is>
          <t>1959-06-28</t>
        </is>
      </c>
      <c r="J1140" t="inlineStr">
        <is>
          <t>1996-10-21</t>
        </is>
      </c>
      <c r="K1140" t="inlineStr">
        <is>
          <t>CONFIRMATION</t>
        </is>
      </c>
      <c r="M1140" t="inlineStr">
        <is>
          <t>540 BELMONT AVE NE</t>
        </is>
      </c>
      <c r="N1140">
        <f>RIGHT(M1140,LEN(M1140)-FIND(" ",M1140))</f>
        <v/>
      </c>
      <c r="P1140" t="inlineStr">
        <is>
          <t>WARREN</t>
        </is>
      </c>
      <c r="Q1140" t="inlineStr">
        <is>
          <t>OH</t>
        </is>
      </c>
      <c r="R1140" t="n">
        <v>44483</v>
      </c>
      <c r="AD1140" t="inlineStr">
        <is>
          <t>TRUMBULL CAREER &amp; TECH CENTER</t>
        </is>
      </c>
      <c r="AE1140" t="inlineStr">
        <is>
          <t>WARREN CITY</t>
        </is>
      </c>
      <c r="AF1140" t="inlineStr">
        <is>
          <t>WARREN CITY SD</t>
        </is>
      </c>
      <c r="AH1140" t="n">
        <v>14</v>
      </c>
      <c r="AI1140" t="n">
        <v>11</v>
      </c>
      <c r="AN1140" t="inlineStr">
        <is>
          <t>WARREN</t>
        </is>
      </c>
      <c r="AO1140" t="inlineStr">
        <is>
          <t>WARREN CITY 4D</t>
        </is>
      </c>
      <c r="AP1140" t="inlineStr">
        <is>
          <t>78-P-ADL</t>
        </is>
      </c>
      <c r="AQ1140" t="n">
        <v>9</v>
      </c>
      <c r="AR1140" t="n">
        <v>64</v>
      </c>
      <c r="AS1140" t="n">
        <v>32</v>
      </c>
      <c r="AU1140">
        <f>COUNTA($BA$1140:$EH$1140)</f>
        <v/>
      </c>
      <c r="AV1140">
        <f>COUNTIF($BA$1140:$EH$1140,"D")</f>
        <v/>
      </c>
      <c r="AW1140">
        <f>COUNTIF($BA$1140:$EH$1140,"R")</f>
        <v/>
      </c>
      <c r="AX1140">
        <f>IF(BN1140="D",1,0)+IF(BO1140="D",1,0)+IF(BT1140="D",1,0)+IF(BU1140="D",1,0)+IF(BW1140="D",1,0)+IF(CC1140="D",1,0)+IF(CD1140="D",1,0)+IF(CE1140="D",1,0)+IF(CF1140="D",1,0)+IF(CL1140="D",1,0)+IF(CM1140="D",1,0)+IF(CQ1140="D",1,0)+IF(CR1140="D",1,0)+IF(CS1140="D",1,0)+IF(CW1140="D",1,0)+IF(CX1140="D",1,0)+IF(DD1140="D",1,0)+IF(DE1140="D",1,0)+IF(DJ1140="D",1,0)+IF(DK1140="D",1,0)+IF(DO1140="D",1,0)+IF(DP1140="D",1,0)+IF(DQ1140="D",1,0)+IF(DW1140="D",1,0)+IF(DZ1140="D",1,0)+IF(EH1140="D",1,0)</f>
        <v/>
      </c>
      <c r="AY1140">
        <f>IF(DJ1140&lt;&gt;"",1,0)+IF(DK1140&lt;&gt;"",1,0)+IF(DM1140&lt;&gt;"",1,0)+IF(DO1140&lt;&gt;"",1,0)+IF(DP1140&lt;&gt;"",1,0)+IF(DQ1140&lt;&gt;"",1,0)+IF(DS1140&lt;&gt;"",1,0)+IF(DT1140&lt;&gt;"",1,0)+IF(DV1140&lt;&gt;"",1,0)+IF(DW1140&lt;&gt;"",1,0)+IF(DX1140&lt;&gt;"",1,0)+IF(DY1140&lt;&gt;"",1,0)+IF(DZ1140&lt;&gt;"",1,0)+IF(EB1140&lt;&gt;"",1,0)+IF(EC1140&lt;&gt;"",1,0)+IF(ED1140&lt;&gt;"",1,0)+IF(EG1140&lt;&gt;"",1,0)+IF(EH1140&lt;&gt;"",1,0)</f>
        <v/>
      </c>
      <c r="AZ1140">
        <f>IF(EH1140&lt;&gt;"",1,0)</f>
        <v/>
      </c>
      <c r="BB1140" t="inlineStr">
        <is>
          <t>WARREN-WARD 4</t>
        </is>
      </c>
      <c r="BC1140" t="inlineStr">
        <is>
          <t>X</t>
        </is>
      </c>
      <c r="BD1140" t="inlineStr">
        <is>
          <t>X</t>
        </is>
      </c>
      <c r="BF1140" t="inlineStr">
        <is>
          <t>X</t>
        </is>
      </c>
      <c r="BH1140" t="inlineStr">
        <is>
          <t>X</t>
        </is>
      </c>
      <c r="BI1140" t="inlineStr">
        <is>
          <t>X</t>
        </is>
      </c>
      <c r="BJ1140" t="inlineStr">
        <is>
          <t>X</t>
        </is>
      </c>
      <c r="BK1140" t="inlineStr">
        <is>
          <t>X</t>
        </is>
      </c>
      <c r="BL1140" t="inlineStr">
        <is>
          <t>X</t>
        </is>
      </c>
      <c r="BP1140" t="inlineStr">
        <is>
          <t>X</t>
        </is>
      </c>
      <c r="BS1140" t="inlineStr">
        <is>
          <t>X</t>
        </is>
      </c>
      <c r="BY1140" t="inlineStr">
        <is>
          <t>D</t>
        </is>
      </c>
      <c r="CA1140" t="inlineStr">
        <is>
          <t>X</t>
        </is>
      </c>
      <c r="CG1140" t="inlineStr">
        <is>
          <t>X</t>
        </is>
      </c>
      <c r="CY1140" t="inlineStr">
        <is>
          <t>X</t>
        </is>
      </c>
      <c r="CZ1140" t="inlineStr">
        <is>
          <t>D</t>
        </is>
      </c>
      <c r="DC1140" t="inlineStr">
        <is>
          <t>X</t>
        </is>
      </c>
      <c r="DG1140" t="inlineStr">
        <is>
          <t>D</t>
        </is>
      </c>
      <c r="DI1140" t="inlineStr">
        <is>
          <t>X</t>
        </is>
      </c>
      <c r="DN1140" t="inlineStr">
        <is>
          <t>X</t>
        </is>
      </c>
    </row>
    <row r="1141">
      <c r="A1141" t="inlineStr">
        <is>
          <t>OH0022219909</t>
        </is>
      </c>
      <c r="B1141" t="n">
        <v>78</v>
      </c>
      <c r="C1141" t="n">
        <v>374984</v>
      </c>
      <c r="D1141" t="inlineStr">
        <is>
          <t>ROSE</t>
        </is>
      </c>
      <c r="E1141" t="inlineStr">
        <is>
          <t>DOMINIC</t>
        </is>
      </c>
      <c r="F1141">
        <f>CONCATENATE(D1141," ",LEFT(H1141,4),"T=",AU1141,"D=",AV1141,"R=",AW1141,"M=",AX1141,"L=",AY1141,"B=",AZ1141)</f>
        <v/>
      </c>
      <c r="G1141" t="inlineStr">
        <is>
          <t>D</t>
        </is>
      </c>
      <c r="I1141" t="inlineStr">
        <is>
          <t>1991-07-11</t>
        </is>
      </c>
      <c r="J1141" t="inlineStr">
        <is>
          <t>2020-04-23</t>
        </is>
      </c>
      <c r="K1141" t="inlineStr">
        <is>
          <t>ACTIVE</t>
        </is>
      </c>
      <c r="M1141" t="inlineStr">
        <is>
          <t>349 PORTER ST NE</t>
        </is>
      </c>
      <c r="N1141">
        <f>RIGHT(M1141,LEN(M1141)-FIND(" ",M1141))</f>
        <v/>
      </c>
      <c r="O1141" t="inlineStr">
        <is>
          <t>APT 1</t>
        </is>
      </c>
      <c r="P1141" t="inlineStr">
        <is>
          <t>WARREN</t>
        </is>
      </c>
      <c r="Q1141" t="inlineStr">
        <is>
          <t>OH</t>
        </is>
      </c>
      <c r="R1141" t="n">
        <v>44483</v>
      </c>
      <c r="AD1141" t="inlineStr">
        <is>
          <t>TRUMBULL CAREER &amp; TECH CENTER</t>
        </is>
      </c>
      <c r="AE1141" t="inlineStr">
        <is>
          <t>WARREN CITY</t>
        </is>
      </c>
      <c r="AF1141" t="inlineStr">
        <is>
          <t>WARREN CITY SD</t>
        </is>
      </c>
      <c r="AH1141" t="n">
        <v>14</v>
      </c>
      <c r="AI1141" t="n">
        <v>11</v>
      </c>
      <c r="AN1141" t="inlineStr">
        <is>
          <t>WARREN</t>
        </is>
      </c>
      <c r="AO1141" t="inlineStr">
        <is>
          <t>WARREN CITY 4D</t>
        </is>
      </c>
      <c r="AP1141" t="inlineStr">
        <is>
          <t>78-P-ADL</t>
        </is>
      </c>
      <c r="AQ1141" t="n">
        <v>9</v>
      </c>
      <c r="AR1141" t="n">
        <v>64</v>
      </c>
      <c r="AS1141" t="n">
        <v>32</v>
      </c>
      <c r="AU1141">
        <f>COUNTA($BA$1141:$EH$1141)</f>
        <v/>
      </c>
      <c r="AV1141">
        <f>COUNTIF($BA$1141:$EH$1141,"D")</f>
        <v/>
      </c>
      <c r="AW1141">
        <f>COUNTIF($BA$1141:$EH$1141,"R")</f>
        <v/>
      </c>
      <c r="AX1141">
        <f>IF(BN1141="D",1,0)+IF(BO1141="D",1,0)+IF(BT1141="D",1,0)+IF(BU1141="D",1,0)+IF(BW1141="D",1,0)+IF(CC1141="D",1,0)+IF(CD1141="D",1,0)+IF(CE1141="D",1,0)+IF(CF1141="D",1,0)+IF(CL1141="D",1,0)+IF(CM1141="D",1,0)+IF(CQ1141="D",1,0)+IF(CR1141="D",1,0)+IF(CS1141="D",1,0)+IF(CW1141="D",1,0)+IF(CX1141="D",1,0)+IF(DD1141="D",1,0)+IF(DE1141="D",1,0)+IF(DJ1141="D",1,0)+IF(DK1141="D",1,0)+IF(DO1141="D",1,0)+IF(DP1141="D",1,0)+IF(DQ1141="D",1,0)+IF(DW1141="D",1,0)+IF(DZ1141="D",1,0)+IF(EH1141="D",1,0)</f>
        <v/>
      </c>
      <c r="AY1141">
        <f>IF(DJ1141&lt;&gt;"",1,0)+IF(DK1141&lt;&gt;"",1,0)+IF(DM1141&lt;&gt;"",1,0)+IF(DO1141&lt;&gt;"",1,0)+IF(DP1141&lt;&gt;"",1,0)+IF(DQ1141&lt;&gt;"",1,0)+IF(DS1141&lt;&gt;"",1,0)+IF(DT1141&lt;&gt;"",1,0)+IF(DV1141&lt;&gt;"",1,0)+IF(DW1141&lt;&gt;"",1,0)+IF(DX1141&lt;&gt;"",1,0)+IF(DY1141&lt;&gt;"",1,0)+IF(DZ1141&lt;&gt;"",1,0)+IF(EB1141&lt;&gt;"",1,0)+IF(EC1141&lt;&gt;"",1,0)+IF(ED1141&lt;&gt;"",1,0)+IF(EG1141&lt;&gt;"",1,0)+IF(EH1141&lt;&gt;"",1,0)</f>
        <v/>
      </c>
      <c r="AZ1141">
        <f>IF(EH1141&lt;&gt;"",1,0)</f>
        <v/>
      </c>
      <c r="BB1141" t="inlineStr">
        <is>
          <t>WARREN-WARD 4</t>
        </is>
      </c>
      <c r="CP1141" t="inlineStr">
        <is>
          <t>X</t>
        </is>
      </c>
      <c r="DN1141" t="inlineStr">
        <is>
          <t>X</t>
        </is>
      </c>
      <c r="DU1141" t="inlineStr">
        <is>
          <t>X</t>
        </is>
      </c>
      <c r="DX1141" t="inlineStr">
        <is>
          <t>X</t>
        </is>
      </c>
      <c r="EA1141" t="inlineStr">
        <is>
          <t>X</t>
        </is>
      </c>
      <c r="EF1141" t="inlineStr">
        <is>
          <t>X</t>
        </is>
      </c>
    </row>
    <row r="1142">
      <c r="A1142" t="inlineStr">
        <is>
          <t>OH0023147680</t>
        </is>
      </c>
      <c r="B1142" t="n">
        <v>78</v>
      </c>
      <c r="C1142" t="n">
        <v>407332</v>
      </c>
      <c r="D1142" t="inlineStr">
        <is>
          <t>JACKSON</t>
        </is>
      </c>
      <c r="E1142" t="inlineStr">
        <is>
          <t>ERIC</t>
        </is>
      </c>
      <c r="F1142">
        <f>CONCATENATE(D1142," ",LEFT(H1142,4),"T=",AU1142,"D=",AV1142,"R=",AW1142,"M=",AX1142,"L=",AY1142,"B=",AZ1142)</f>
        <v/>
      </c>
      <c r="G1142" t="inlineStr">
        <is>
          <t>ALLEN</t>
        </is>
      </c>
      <c r="I1142" t="inlineStr">
        <is>
          <t>1969-06-12</t>
        </is>
      </c>
      <c r="J1142" t="inlineStr">
        <is>
          <t>2015-05-26</t>
        </is>
      </c>
      <c r="K1142" t="inlineStr">
        <is>
          <t>CONFIRMATION</t>
        </is>
      </c>
      <c r="M1142" t="inlineStr">
        <is>
          <t>1106 HARRISON ST NE</t>
        </is>
      </c>
      <c r="N1142">
        <f>RIGHT(M1142,LEN(M1142)-FIND(" ",M1142))</f>
        <v/>
      </c>
      <c r="O1142" t="inlineStr">
        <is>
          <t>UNIT U</t>
        </is>
      </c>
      <c r="P1142" t="inlineStr">
        <is>
          <t>WARREN</t>
        </is>
      </c>
      <c r="Q1142" t="inlineStr">
        <is>
          <t>OH</t>
        </is>
      </c>
      <c r="R1142" t="n">
        <v>44483</v>
      </c>
      <c r="AD1142" t="inlineStr">
        <is>
          <t>TRUMBULL CAREER &amp; TECH CENTER</t>
        </is>
      </c>
      <c r="AE1142" t="inlineStr">
        <is>
          <t>WARREN CITY</t>
        </is>
      </c>
      <c r="AF1142" t="inlineStr">
        <is>
          <t>WARREN CITY SD</t>
        </is>
      </c>
      <c r="AH1142" t="n">
        <v>14</v>
      </c>
      <c r="AI1142" t="n">
        <v>11</v>
      </c>
      <c r="AN1142" t="inlineStr">
        <is>
          <t>WARREN</t>
        </is>
      </c>
      <c r="AO1142" t="inlineStr">
        <is>
          <t>WARREN CITY 4D</t>
        </is>
      </c>
      <c r="AP1142" t="inlineStr">
        <is>
          <t>78-P-ADL</t>
        </is>
      </c>
      <c r="AQ1142" t="n">
        <v>9</v>
      </c>
      <c r="AR1142" t="n">
        <v>64</v>
      </c>
      <c r="AS1142" t="n">
        <v>32</v>
      </c>
      <c r="AU1142">
        <f>COUNTA($BA$1142:$EH$1142)</f>
        <v/>
      </c>
      <c r="AV1142">
        <f>COUNTIF($BA$1142:$EH$1142,"D")</f>
        <v/>
      </c>
      <c r="AW1142">
        <f>COUNTIF($BA$1142:$EH$1142,"R")</f>
        <v/>
      </c>
      <c r="AX1142">
        <f>IF(BN1142="D",1,0)+IF(BO1142="D",1,0)+IF(BT1142="D",1,0)+IF(BU1142="D",1,0)+IF(BW1142="D",1,0)+IF(CC1142="D",1,0)+IF(CD1142="D",1,0)+IF(CE1142="D",1,0)+IF(CF1142="D",1,0)+IF(CL1142="D",1,0)+IF(CM1142="D",1,0)+IF(CQ1142="D",1,0)+IF(CR1142="D",1,0)+IF(CS1142="D",1,0)+IF(CW1142="D",1,0)+IF(CX1142="D",1,0)+IF(DD1142="D",1,0)+IF(DE1142="D",1,0)+IF(DJ1142="D",1,0)+IF(DK1142="D",1,0)+IF(DO1142="D",1,0)+IF(DP1142="D",1,0)+IF(DQ1142="D",1,0)+IF(DW1142="D",1,0)+IF(DZ1142="D",1,0)+IF(EH1142="D",1,0)</f>
        <v/>
      </c>
      <c r="AY1142">
        <f>IF(DJ1142&lt;&gt;"",1,0)+IF(DK1142&lt;&gt;"",1,0)+IF(DM1142&lt;&gt;"",1,0)+IF(DO1142&lt;&gt;"",1,0)+IF(DP1142&lt;&gt;"",1,0)+IF(DQ1142&lt;&gt;"",1,0)+IF(DS1142&lt;&gt;"",1,0)+IF(DT1142&lt;&gt;"",1,0)+IF(DV1142&lt;&gt;"",1,0)+IF(DW1142&lt;&gt;"",1,0)+IF(DX1142&lt;&gt;"",1,0)+IF(DY1142&lt;&gt;"",1,0)+IF(DZ1142&lt;&gt;"",1,0)+IF(EB1142&lt;&gt;"",1,0)+IF(EC1142&lt;&gt;"",1,0)+IF(ED1142&lt;&gt;"",1,0)+IF(EG1142&lt;&gt;"",1,0)+IF(EH1142&lt;&gt;"",1,0)</f>
        <v/>
      </c>
      <c r="AZ1142">
        <f>IF(EH1142&lt;&gt;"",1,0)</f>
        <v/>
      </c>
      <c r="BB1142" t="inlineStr">
        <is>
          <t>WARREN-WARD 4</t>
        </is>
      </c>
    </row>
    <row r="1143">
      <c r="A1143" t="inlineStr">
        <is>
          <t>OH0027366871</t>
        </is>
      </c>
      <c r="B1143" t="n">
        <v>78</v>
      </c>
      <c r="C1143" t="n">
        <v>485183</v>
      </c>
      <c r="D1143" t="inlineStr">
        <is>
          <t>LUNDY</t>
        </is>
      </c>
      <c r="E1143" t="inlineStr">
        <is>
          <t>JANET</t>
        </is>
      </c>
      <c r="F1143">
        <f>CONCATENATE(D1143," ",LEFT(H1143,4),"T=",AU1143,"D=",AV1143,"R=",AW1143,"M=",AX1143,"L=",AY1143,"B=",AZ1143)</f>
        <v/>
      </c>
      <c r="I1143" t="inlineStr">
        <is>
          <t>1962-10-19</t>
        </is>
      </c>
      <c r="J1143" t="inlineStr">
        <is>
          <t>2024-06-03</t>
        </is>
      </c>
      <c r="K1143" t="inlineStr">
        <is>
          <t>ACTIVE</t>
        </is>
      </c>
      <c r="M1143" t="inlineStr">
        <is>
          <t>182 HIGH ST NE</t>
        </is>
      </c>
      <c r="N1143">
        <f>RIGHT(M1143,LEN(M1143)-FIND(" ",M1143))</f>
        <v/>
      </c>
      <c r="O1143" t="inlineStr">
        <is>
          <t>APT 205</t>
        </is>
      </c>
      <c r="P1143" t="inlineStr">
        <is>
          <t>WARREN</t>
        </is>
      </c>
      <c r="Q1143" t="inlineStr">
        <is>
          <t>OH</t>
        </is>
      </c>
      <c r="R1143" t="n">
        <v>44481</v>
      </c>
      <c r="AD1143" t="inlineStr">
        <is>
          <t>TRUMBULL CAREER &amp; TECH CENTER</t>
        </is>
      </c>
      <c r="AE1143" t="inlineStr">
        <is>
          <t>WARREN CITY</t>
        </is>
      </c>
      <c r="AF1143" t="inlineStr">
        <is>
          <t>WARREN CITY SD</t>
        </is>
      </c>
      <c r="AH1143" t="n">
        <v>14</v>
      </c>
      <c r="AI1143" t="n">
        <v>11</v>
      </c>
      <c r="AN1143" t="inlineStr">
        <is>
          <t>WARREN</t>
        </is>
      </c>
      <c r="AO1143" t="inlineStr">
        <is>
          <t>WARREN CITY 4D</t>
        </is>
      </c>
      <c r="AP1143" t="inlineStr">
        <is>
          <t>78-P-ADL</t>
        </is>
      </c>
      <c r="AQ1143" t="n">
        <v>9</v>
      </c>
      <c r="AR1143" t="n">
        <v>64</v>
      </c>
      <c r="AS1143" t="n">
        <v>32</v>
      </c>
      <c r="AU1143">
        <f>COUNTA($BA$1143:$EH$1143)</f>
        <v/>
      </c>
      <c r="AV1143">
        <f>COUNTIF($BA$1143:$EH$1143,"D")</f>
        <v/>
      </c>
      <c r="AW1143">
        <f>COUNTIF($BA$1143:$EH$1143,"R")</f>
        <v/>
      </c>
      <c r="AX1143">
        <f>IF(BN1143="D",1,0)+IF(BO1143="D",1,0)+IF(BT1143="D",1,0)+IF(BU1143="D",1,0)+IF(BW1143="D",1,0)+IF(CC1143="D",1,0)+IF(CD1143="D",1,0)+IF(CE1143="D",1,0)+IF(CF1143="D",1,0)+IF(CL1143="D",1,0)+IF(CM1143="D",1,0)+IF(CQ1143="D",1,0)+IF(CR1143="D",1,0)+IF(CS1143="D",1,0)+IF(CW1143="D",1,0)+IF(CX1143="D",1,0)+IF(DD1143="D",1,0)+IF(DE1143="D",1,0)+IF(DJ1143="D",1,0)+IF(DK1143="D",1,0)+IF(DO1143="D",1,0)+IF(DP1143="D",1,0)+IF(DQ1143="D",1,0)+IF(DW1143="D",1,0)+IF(DZ1143="D",1,0)+IF(EH1143="D",1,0)</f>
        <v/>
      </c>
      <c r="AY1143">
        <f>IF(DJ1143&lt;&gt;"",1,0)+IF(DK1143&lt;&gt;"",1,0)+IF(DM1143&lt;&gt;"",1,0)+IF(DO1143&lt;&gt;"",1,0)+IF(DP1143&lt;&gt;"",1,0)+IF(DQ1143&lt;&gt;"",1,0)+IF(DS1143&lt;&gt;"",1,0)+IF(DT1143&lt;&gt;"",1,0)+IF(DV1143&lt;&gt;"",1,0)+IF(DW1143&lt;&gt;"",1,0)+IF(DX1143&lt;&gt;"",1,0)+IF(DY1143&lt;&gt;"",1,0)+IF(DZ1143&lt;&gt;"",1,0)+IF(EB1143&lt;&gt;"",1,0)+IF(EC1143&lt;&gt;"",1,0)+IF(ED1143&lt;&gt;"",1,0)+IF(EG1143&lt;&gt;"",1,0)+IF(EH1143&lt;&gt;"",1,0)</f>
        <v/>
      </c>
      <c r="AZ1143">
        <f>IF(EH1143&lt;&gt;"",1,0)</f>
        <v/>
      </c>
      <c r="BB1143" t="inlineStr">
        <is>
          <t>WARREN-WARD 4</t>
        </is>
      </c>
      <c r="DN1143" t="inlineStr">
        <is>
          <t>X</t>
        </is>
      </c>
      <c r="DU1143" t="inlineStr">
        <is>
          <t>X</t>
        </is>
      </c>
      <c r="DX1143" t="inlineStr">
        <is>
          <t>X</t>
        </is>
      </c>
      <c r="EA1143" t="inlineStr">
        <is>
          <t>X</t>
        </is>
      </c>
      <c r="EF1143" t="inlineStr">
        <is>
          <t>X</t>
        </is>
      </c>
    </row>
    <row r="1144">
      <c r="A1144" t="inlineStr">
        <is>
          <t>OH0027559070</t>
        </is>
      </c>
      <c r="B1144" t="n">
        <v>78</v>
      </c>
      <c r="C1144" t="n">
        <v>488383</v>
      </c>
      <c r="D1144" t="inlineStr">
        <is>
          <t>HARNDEN</t>
        </is>
      </c>
      <c r="E1144" t="inlineStr">
        <is>
          <t>RYAN</t>
        </is>
      </c>
      <c r="F1144">
        <f>CONCATENATE(D1144," ",LEFT(H1144,4),"T=",AU1144,"D=",AV1144,"R=",AW1144,"M=",AX1144,"L=",AY1144,"B=",AZ1144)</f>
        <v/>
      </c>
      <c r="G1144" t="inlineStr">
        <is>
          <t>EVERETT</t>
        </is>
      </c>
      <c r="I1144" t="inlineStr">
        <is>
          <t>1982-12-09</t>
        </is>
      </c>
      <c r="J1144" t="inlineStr">
        <is>
          <t>2024-08-23</t>
        </is>
      </c>
      <c r="K1144" t="inlineStr">
        <is>
          <t>ACTIVE</t>
        </is>
      </c>
      <c r="M1144" t="inlineStr">
        <is>
          <t>171 SCOTT ST NE</t>
        </is>
      </c>
      <c r="N1144">
        <f>RIGHT(M1144,LEN(M1144)-FIND(" ",M1144))</f>
        <v/>
      </c>
      <c r="P1144" t="inlineStr">
        <is>
          <t>WARREN</t>
        </is>
      </c>
      <c r="Q1144" t="inlineStr">
        <is>
          <t>OH</t>
        </is>
      </c>
      <c r="R1144" t="n">
        <v>44483</v>
      </c>
      <c r="AD1144" t="inlineStr">
        <is>
          <t>TRUMBULL CAREER &amp; TECH CENTER</t>
        </is>
      </c>
      <c r="AE1144" t="inlineStr">
        <is>
          <t>WARREN CITY</t>
        </is>
      </c>
      <c r="AF1144" t="inlineStr">
        <is>
          <t>WARREN CITY SD</t>
        </is>
      </c>
      <c r="AH1144" t="n">
        <v>14</v>
      </c>
      <c r="AI1144" t="n">
        <v>11</v>
      </c>
      <c r="AN1144" t="inlineStr">
        <is>
          <t>WARREN</t>
        </is>
      </c>
      <c r="AO1144" t="inlineStr">
        <is>
          <t>WARREN CITY 4D</t>
        </is>
      </c>
      <c r="AP1144" t="inlineStr">
        <is>
          <t>78-P-ADL</t>
        </is>
      </c>
      <c r="AQ1144" t="n">
        <v>9</v>
      </c>
      <c r="AR1144" t="n">
        <v>64</v>
      </c>
      <c r="AS1144" t="n">
        <v>32</v>
      </c>
      <c r="AU1144">
        <f>COUNTA($BA$1144:$EH$1144)</f>
        <v/>
      </c>
      <c r="AV1144">
        <f>COUNTIF($BA$1144:$EH$1144,"D")</f>
        <v/>
      </c>
      <c r="AW1144">
        <f>COUNTIF($BA$1144:$EH$1144,"R")</f>
        <v/>
      </c>
      <c r="AX1144">
        <f>IF(BN1144="D",1,0)+IF(BO1144="D",1,0)+IF(BT1144="D",1,0)+IF(BU1144="D",1,0)+IF(BW1144="D",1,0)+IF(CC1144="D",1,0)+IF(CD1144="D",1,0)+IF(CE1144="D",1,0)+IF(CF1144="D",1,0)+IF(CL1144="D",1,0)+IF(CM1144="D",1,0)+IF(CQ1144="D",1,0)+IF(CR1144="D",1,0)+IF(CS1144="D",1,0)+IF(CW1144="D",1,0)+IF(CX1144="D",1,0)+IF(DD1144="D",1,0)+IF(DE1144="D",1,0)+IF(DJ1144="D",1,0)+IF(DK1144="D",1,0)+IF(DO1144="D",1,0)+IF(DP1144="D",1,0)+IF(DQ1144="D",1,0)+IF(DW1144="D",1,0)+IF(DZ1144="D",1,0)+IF(EH1144="D",1,0)</f>
        <v/>
      </c>
      <c r="AY1144">
        <f>IF(DJ1144&lt;&gt;"",1,0)+IF(DK1144&lt;&gt;"",1,0)+IF(DM1144&lt;&gt;"",1,0)+IF(DO1144&lt;&gt;"",1,0)+IF(DP1144&lt;&gt;"",1,0)+IF(DQ1144&lt;&gt;"",1,0)+IF(DS1144&lt;&gt;"",1,0)+IF(DT1144&lt;&gt;"",1,0)+IF(DV1144&lt;&gt;"",1,0)+IF(DW1144&lt;&gt;"",1,0)+IF(DX1144&lt;&gt;"",1,0)+IF(DY1144&lt;&gt;"",1,0)+IF(DZ1144&lt;&gt;"",1,0)+IF(EB1144&lt;&gt;"",1,0)+IF(EC1144&lt;&gt;"",1,0)+IF(ED1144&lt;&gt;"",1,0)+IF(EG1144&lt;&gt;"",1,0)+IF(EH1144&lt;&gt;"",1,0)</f>
        <v/>
      </c>
      <c r="AZ1144">
        <f>IF(EH1144&lt;&gt;"",1,0)</f>
        <v/>
      </c>
      <c r="BB1144" t="inlineStr">
        <is>
          <t>WARREN-WARD 4</t>
        </is>
      </c>
      <c r="EF1144" t="inlineStr">
        <is>
          <t>X</t>
        </is>
      </c>
    </row>
    <row r="1145">
      <c r="A1145" t="inlineStr">
        <is>
          <t>OH0015758417</t>
        </is>
      </c>
      <c r="B1145" t="n">
        <v>78</v>
      </c>
      <c r="C1145" t="n">
        <v>245412</v>
      </c>
      <c r="D1145" t="inlineStr">
        <is>
          <t>THELLMAN</t>
        </is>
      </c>
      <c r="E1145" t="inlineStr">
        <is>
          <t>SHERRY</t>
        </is>
      </c>
      <c r="F1145">
        <f>CONCATENATE(D1145," ",LEFT(H1145,4),"T=",AU1145,"D=",AV1145,"R=",AW1145,"M=",AX1145,"L=",AY1145,"B=",AZ1145)</f>
        <v/>
      </c>
      <c r="G1145" t="inlineStr">
        <is>
          <t>L</t>
        </is>
      </c>
      <c r="I1145" t="inlineStr">
        <is>
          <t>1949-12-25</t>
        </is>
      </c>
      <c r="J1145" t="inlineStr">
        <is>
          <t>2023-09-14</t>
        </is>
      </c>
      <c r="K1145" t="inlineStr">
        <is>
          <t>ACTIVE</t>
        </is>
      </c>
      <c r="M1145" t="inlineStr">
        <is>
          <t>275 WASHINGTON ST NW</t>
        </is>
      </c>
      <c r="N1145">
        <f>RIGHT(M1145,LEN(M1145)-FIND(" ",M1145))</f>
        <v/>
      </c>
      <c r="P1145" t="inlineStr">
        <is>
          <t>WARREN</t>
        </is>
      </c>
      <c r="Q1145" t="inlineStr">
        <is>
          <t>OH</t>
        </is>
      </c>
      <c r="R1145" t="n">
        <v>44483</v>
      </c>
      <c r="AD1145" t="inlineStr">
        <is>
          <t>TRUMBULL CAREER &amp; TECH CENTER</t>
        </is>
      </c>
      <c r="AE1145" t="inlineStr">
        <is>
          <t>WARREN CITY</t>
        </is>
      </c>
      <c r="AF1145" t="inlineStr">
        <is>
          <t>WARREN CITY SD</t>
        </is>
      </c>
      <c r="AH1145" t="n">
        <v>14</v>
      </c>
      <c r="AI1145" t="n">
        <v>11</v>
      </c>
      <c r="AN1145" t="inlineStr">
        <is>
          <t>WARREN</t>
        </is>
      </c>
      <c r="AO1145" t="inlineStr">
        <is>
          <t>WARREN CITY 4D</t>
        </is>
      </c>
      <c r="AP1145" t="inlineStr">
        <is>
          <t>78-P-ADL</t>
        </is>
      </c>
      <c r="AQ1145" t="n">
        <v>9</v>
      </c>
      <c r="AR1145" t="n">
        <v>64</v>
      </c>
      <c r="AS1145" t="n">
        <v>32</v>
      </c>
      <c r="AU1145">
        <f>COUNTA($BA$1145:$EH$1145)</f>
        <v/>
      </c>
      <c r="AV1145">
        <f>COUNTIF($BA$1145:$EH$1145,"D")</f>
        <v/>
      </c>
      <c r="AW1145">
        <f>COUNTIF($BA$1145:$EH$1145,"R")</f>
        <v/>
      </c>
      <c r="AX1145">
        <f>IF(BN1145="D",1,0)+IF(BO1145="D",1,0)+IF(BT1145="D",1,0)+IF(BU1145="D",1,0)+IF(BW1145="D",1,0)+IF(CC1145="D",1,0)+IF(CD1145="D",1,0)+IF(CE1145="D",1,0)+IF(CF1145="D",1,0)+IF(CL1145="D",1,0)+IF(CM1145="D",1,0)+IF(CQ1145="D",1,0)+IF(CR1145="D",1,0)+IF(CS1145="D",1,0)+IF(CW1145="D",1,0)+IF(CX1145="D",1,0)+IF(DD1145="D",1,0)+IF(DE1145="D",1,0)+IF(DJ1145="D",1,0)+IF(DK1145="D",1,0)+IF(DO1145="D",1,0)+IF(DP1145="D",1,0)+IF(DQ1145="D",1,0)+IF(DW1145="D",1,0)+IF(DZ1145="D",1,0)+IF(EH1145="D",1,0)</f>
        <v/>
      </c>
      <c r="AY1145">
        <f>IF(DJ1145&lt;&gt;"",1,0)+IF(DK1145&lt;&gt;"",1,0)+IF(DM1145&lt;&gt;"",1,0)+IF(DO1145&lt;&gt;"",1,0)+IF(DP1145&lt;&gt;"",1,0)+IF(DQ1145&lt;&gt;"",1,0)+IF(DS1145&lt;&gt;"",1,0)+IF(DT1145&lt;&gt;"",1,0)+IF(DV1145&lt;&gt;"",1,0)+IF(DW1145&lt;&gt;"",1,0)+IF(DX1145&lt;&gt;"",1,0)+IF(DY1145&lt;&gt;"",1,0)+IF(DZ1145&lt;&gt;"",1,0)+IF(EB1145&lt;&gt;"",1,0)+IF(EC1145&lt;&gt;"",1,0)+IF(ED1145&lt;&gt;"",1,0)+IF(EG1145&lt;&gt;"",1,0)+IF(EH1145&lt;&gt;"",1,0)</f>
        <v/>
      </c>
      <c r="AZ1145">
        <f>IF(EH1145&lt;&gt;"",1,0)</f>
        <v/>
      </c>
      <c r="BB1145" t="inlineStr">
        <is>
          <t>WARREN-WARD 4</t>
        </is>
      </c>
      <c r="BD1145" t="inlineStr">
        <is>
          <t>X</t>
        </is>
      </c>
      <c r="BI1145" t="inlineStr">
        <is>
          <t>X</t>
        </is>
      </c>
      <c r="BJ1145" t="inlineStr">
        <is>
          <t>X</t>
        </is>
      </c>
      <c r="BL1145" t="inlineStr">
        <is>
          <t>X</t>
        </is>
      </c>
      <c r="BS1145" t="inlineStr">
        <is>
          <t>X</t>
        </is>
      </c>
      <c r="BY1145" t="inlineStr">
        <is>
          <t>D</t>
        </is>
      </c>
      <c r="CA1145" t="inlineStr">
        <is>
          <t>X</t>
        </is>
      </c>
      <c r="CN1145" t="inlineStr">
        <is>
          <t>X</t>
        </is>
      </c>
      <c r="CP1145" t="inlineStr">
        <is>
          <t>X</t>
        </is>
      </c>
      <c r="CT1145" t="inlineStr">
        <is>
          <t>X</t>
        </is>
      </c>
      <c r="CV1145" t="inlineStr">
        <is>
          <t>X</t>
        </is>
      </c>
      <c r="CZ1145" t="inlineStr">
        <is>
          <t>D</t>
        </is>
      </c>
      <c r="DC1145" t="inlineStr">
        <is>
          <t>X</t>
        </is>
      </c>
      <c r="DF1145" t="inlineStr">
        <is>
          <t>X</t>
        </is>
      </c>
      <c r="DI1145" t="inlineStr">
        <is>
          <t>X</t>
        </is>
      </c>
      <c r="DM1145" t="inlineStr">
        <is>
          <t>D</t>
        </is>
      </c>
      <c r="DN1145" t="inlineStr">
        <is>
          <t>X</t>
        </is>
      </c>
    </row>
    <row r="1146">
      <c r="A1146" t="inlineStr">
        <is>
          <t>OH0023444944</t>
        </is>
      </c>
      <c r="B1146" t="n">
        <v>78</v>
      </c>
      <c r="C1146" t="n">
        <v>411887</v>
      </c>
      <c r="D1146" t="inlineStr">
        <is>
          <t>WALKER</t>
        </is>
      </c>
      <c r="E1146" t="inlineStr">
        <is>
          <t>JADE</t>
        </is>
      </c>
      <c r="F1146">
        <f>CONCATENATE(D1146," ",LEFT(H1146,4),"T=",AU1146,"D=",AV1146,"R=",AW1146,"M=",AX1146,"L=",AY1146,"B=",AZ1146)</f>
        <v/>
      </c>
      <c r="G1146" t="inlineStr">
        <is>
          <t>O</t>
        </is>
      </c>
      <c r="I1146" t="inlineStr">
        <is>
          <t>1990-09-22</t>
        </is>
      </c>
      <c r="J1146" t="inlineStr">
        <is>
          <t>2015-11-05</t>
        </is>
      </c>
      <c r="K1146" t="inlineStr">
        <is>
          <t>ACTIVE</t>
        </is>
      </c>
      <c r="M1146" t="inlineStr">
        <is>
          <t>167 CHARLES AVE NE</t>
        </is>
      </c>
      <c r="N1146">
        <f>RIGHT(M1146,LEN(M1146)-FIND(" ",M1146))</f>
        <v/>
      </c>
      <c r="P1146" t="inlineStr">
        <is>
          <t>WARREN</t>
        </is>
      </c>
      <c r="Q1146" t="inlineStr">
        <is>
          <t>OH</t>
        </is>
      </c>
      <c r="R1146" t="n">
        <v>44483</v>
      </c>
      <c r="AD1146" t="inlineStr">
        <is>
          <t>TRUMBULL CAREER &amp; TECH CENTER</t>
        </is>
      </c>
      <c r="AE1146" t="inlineStr">
        <is>
          <t>WARREN CITY</t>
        </is>
      </c>
      <c r="AF1146" t="inlineStr">
        <is>
          <t>WARREN CITY SD</t>
        </is>
      </c>
      <c r="AH1146" t="n">
        <v>14</v>
      </c>
      <c r="AI1146" t="n">
        <v>11</v>
      </c>
      <c r="AN1146" t="inlineStr">
        <is>
          <t>WARREN</t>
        </is>
      </c>
      <c r="AO1146" t="inlineStr">
        <is>
          <t>WARREN CITY 4D</t>
        </is>
      </c>
      <c r="AP1146" t="inlineStr">
        <is>
          <t>78-P-ADL</t>
        </is>
      </c>
      <c r="AQ1146" t="n">
        <v>9</v>
      </c>
      <c r="AR1146" t="n">
        <v>64</v>
      </c>
      <c r="AS1146" t="n">
        <v>32</v>
      </c>
      <c r="AU1146">
        <f>COUNTA($BA$1146:$EH$1146)</f>
        <v/>
      </c>
      <c r="AV1146">
        <f>COUNTIF($BA$1146:$EH$1146,"D")</f>
        <v/>
      </c>
      <c r="AW1146">
        <f>COUNTIF($BA$1146:$EH$1146,"R")</f>
        <v/>
      </c>
      <c r="AX1146">
        <f>IF(BN1146="D",1,0)+IF(BO1146="D",1,0)+IF(BT1146="D",1,0)+IF(BU1146="D",1,0)+IF(BW1146="D",1,0)+IF(CC1146="D",1,0)+IF(CD1146="D",1,0)+IF(CE1146="D",1,0)+IF(CF1146="D",1,0)+IF(CL1146="D",1,0)+IF(CM1146="D",1,0)+IF(CQ1146="D",1,0)+IF(CR1146="D",1,0)+IF(CS1146="D",1,0)+IF(CW1146="D",1,0)+IF(CX1146="D",1,0)+IF(DD1146="D",1,0)+IF(DE1146="D",1,0)+IF(DJ1146="D",1,0)+IF(DK1146="D",1,0)+IF(DO1146="D",1,0)+IF(DP1146="D",1,0)+IF(DQ1146="D",1,0)+IF(DW1146="D",1,0)+IF(DZ1146="D",1,0)+IF(EH1146="D",1,0)</f>
        <v/>
      </c>
      <c r="AY1146">
        <f>IF(DJ1146&lt;&gt;"",1,0)+IF(DK1146&lt;&gt;"",1,0)+IF(DM1146&lt;&gt;"",1,0)+IF(DO1146&lt;&gt;"",1,0)+IF(DP1146&lt;&gt;"",1,0)+IF(DQ1146&lt;&gt;"",1,0)+IF(DS1146&lt;&gt;"",1,0)+IF(DT1146&lt;&gt;"",1,0)+IF(DV1146&lt;&gt;"",1,0)+IF(DW1146&lt;&gt;"",1,0)+IF(DX1146&lt;&gt;"",1,0)+IF(DY1146&lt;&gt;"",1,0)+IF(DZ1146&lt;&gt;"",1,0)+IF(EB1146&lt;&gt;"",1,0)+IF(EC1146&lt;&gt;"",1,0)+IF(ED1146&lt;&gt;"",1,0)+IF(EG1146&lt;&gt;"",1,0)+IF(EH1146&lt;&gt;"",1,0)</f>
        <v/>
      </c>
      <c r="AZ1146">
        <f>IF(EH1146&lt;&gt;"",1,0)</f>
        <v/>
      </c>
      <c r="BB1146" t="inlineStr">
        <is>
          <t>WARREN-WARD 4</t>
        </is>
      </c>
      <c r="EF1146" t="inlineStr">
        <is>
          <t>X</t>
        </is>
      </c>
    </row>
    <row r="1147">
      <c r="A1147" t="inlineStr">
        <is>
          <t>OH0019306843</t>
        </is>
      </c>
      <c r="B1147" t="n">
        <v>78</v>
      </c>
      <c r="C1147" t="n">
        <v>352806</v>
      </c>
      <c r="D1147" t="inlineStr">
        <is>
          <t>CLOUSER</t>
        </is>
      </c>
      <c r="E1147" t="inlineStr">
        <is>
          <t>HOLLY</t>
        </is>
      </c>
      <c r="F1147">
        <f>CONCATENATE(D1147," ",LEFT(H1147,4),"T=",AU1147,"D=",AV1147,"R=",AW1147,"M=",AX1147,"L=",AY1147,"B=",AZ1147)</f>
        <v/>
      </c>
      <c r="G1147" t="inlineStr">
        <is>
          <t>ANN</t>
        </is>
      </c>
      <c r="I1147" t="inlineStr">
        <is>
          <t>1971-09-22</t>
        </is>
      </c>
      <c r="J1147" t="inlineStr">
        <is>
          <t>2012-07-05</t>
        </is>
      </c>
      <c r="K1147" t="inlineStr">
        <is>
          <t>ACTIVE</t>
        </is>
      </c>
      <c r="L1147" t="inlineStr">
        <is>
          <t>D</t>
        </is>
      </c>
      <c r="M1147" t="inlineStr">
        <is>
          <t>143 W MARKET ST</t>
        </is>
      </c>
      <c r="N1147">
        <f>RIGHT(M1147,LEN(M1147)-FIND(" ",M1147))</f>
        <v/>
      </c>
      <c r="P1147" t="inlineStr">
        <is>
          <t>WARREN</t>
        </is>
      </c>
      <c r="Q1147" t="inlineStr">
        <is>
          <t>OH</t>
        </is>
      </c>
      <c r="R1147" t="n">
        <v>44481</v>
      </c>
      <c r="AD1147" t="inlineStr">
        <is>
          <t>TRUMBULL CAREER &amp; TECH CENTER</t>
        </is>
      </c>
      <c r="AE1147" t="inlineStr">
        <is>
          <t>WARREN CITY</t>
        </is>
      </c>
      <c r="AF1147" t="inlineStr">
        <is>
          <t>WARREN CITY SD</t>
        </is>
      </c>
      <c r="AH1147" t="n">
        <v>14</v>
      </c>
      <c r="AI1147" t="n">
        <v>11</v>
      </c>
      <c r="AN1147" t="inlineStr">
        <is>
          <t>WARREN</t>
        </is>
      </c>
      <c r="AO1147" t="inlineStr">
        <is>
          <t>WARREN CITY 4D</t>
        </is>
      </c>
      <c r="AP1147" t="inlineStr">
        <is>
          <t>78-P-ADL</t>
        </is>
      </c>
      <c r="AQ1147" t="n">
        <v>9</v>
      </c>
      <c r="AR1147" t="n">
        <v>64</v>
      </c>
      <c r="AS1147" t="n">
        <v>32</v>
      </c>
      <c r="AU1147">
        <f>COUNTA($BA$1147:$EH$1147)</f>
        <v/>
      </c>
      <c r="AV1147">
        <f>COUNTIF($BA$1147:$EH$1147,"D")</f>
        <v/>
      </c>
      <c r="AW1147">
        <f>COUNTIF($BA$1147:$EH$1147,"R")</f>
        <v/>
      </c>
      <c r="AX1147">
        <f>IF(BN1147="D",1,0)+IF(BO1147="D",1,0)+IF(BT1147="D",1,0)+IF(BU1147="D",1,0)+IF(BW1147="D",1,0)+IF(CC1147="D",1,0)+IF(CD1147="D",1,0)+IF(CE1147="D",1,0)+IF(CF1147="D",1,0)+IF(CL1147="D",1,0)+IF(CM1147="D",1,0)+IF(CQ1147="D",1,0)+IF(CR1147="D",1,0)+IF(CS1147="D",1,0)+IF(CW1147="D",1,0)+IF(CX1147="D",1,0)+IF(DD1147="D",1,0)+IF(DE1147="D",1,0)+IF(DJ1147="D",1,0)+IF(DK1147="D",1,0)+IF(DO1147="D",1,0)+IF(DP1147="D",1,0)+IF(DQ1147="D",1,0)+IF(DW1147="D",1,0)+IF(DZ1147="D",1,0)+IF(EH1147="D",1,0)</f>
        <v/>
      </c>
      <c r="AY1147">
        <f>IF(DJ1147&lt;&gt;"",1,0)+IF(DK1147&lt;&gt;"",1,0)+IF(DM1147&lt;&gt;"",1,0)+IF(DO1147&lt;&gt;"",1,0)+IF(DP1147&lt;&gt;"",1,0)+IF(DQ1147&lt;&gt;"",1,0)+IF(DS1147&lt;&gt;"",1,0)+IF(DT1147&lt;&gt;"",1,0)+IF(DV1147&lt;&gt;"",1,0)+IF(DW1147&lt;&gt;"",1,0)+IF(DX1147&lt;&gt;"",1,0)+IF(DY1147&lt;&gt;"",1,0)+IF(DZ1147&lt;&gt;"",1,0)+IF(EB1147&lt;&gt;"",1,0)+IF(EC1147&lt;&gt;"",1,0)+IF(ED1147&lt;&gt;"",1,0)+IF(EG1147&lt;&gt;"",1,0)+IF(EH1147&lt;&gt;"",1,0)</f>
        <v/>
      </c>
      <c r="AZ1147">
        <f>IF(EH1147&lt;&gt;"",1,0)</f>
        <v/>
      </c>
      <c r="BB1147" t="inlineStr">
        <is>
          <t>WARREN-WARD 4</t>
        </is>
      </c>
      <c r="BV1147" t="inlineStr">
        <is>
          <t>X</t>
        </is>
      </c>
      <c r="BY1147" t="inlineStr">
        <is>
          <t>D</t>
        </is>
      </c>
      <c r="CA1147" t="inlineStr">
        <is>
          <t>X</t>
        </is>
      </c>
      <c r="CG1147" t="inlineStr">
        <is>
          <t>X</t>
        </is>
      </c>
      <c r="CH1147" t="inlineStr">
        <is>
          <t>D</t>
        </is>
      </c>
      <c r="CK1147" t="inlineStr">
        <is>
          <t>X</t>
        </is>
      </c>
      <c r="CL1147" t="inlineStr">
        <is>
          <t>D</t>
        </is>
      </c>
      <c r="CN1147" t="inlineStr">
        <is>
          <t>X</t>
        </is>
      </c>
      <c r="CO1147" t="inlineStr">
        <is>
          <t>R</t>
        </is>
      </c>
      <c r="CP1147" t="inlineStr">
        <is>
          <t>X</t>
        </is>
      </c>
      <c r="CT1147" t="inlineStr">
        <is>
          <t>X</t>
        </is>
      </c>
      <c r="CU1147" t="inlineStr">
        <is>
          <t>R</t>
        </is>
      </c>
      <c r="CV1147" t="inlineStr">
        <is>
          <t>X</t>
        </is>
      </c>
      <c r="CW1147" t="inlineStr">
        <is>
          <t>D</t>
        </is>
      </c>
      <c r="CY1147" t="inlineStr">
        <is>
          <t>X</t>
        </is>
      </c>
      <c r="CZ1147" t="inlineStr">
        <is>
          <t>R</t>
        </is>
      </c>
      <c r="DC1147" t="inlineStr">
        <is>
          <t>X</t>
        </is>
      </c>
      <c r="DD1147" t="inlineStr">
        <is>
          <t>D</t>
        </is>
      </c>
      <c r="DF1147" t="inlineStr">
        <is>
          <t>X</t>
        </is>
      </c>
      <c r="DG1147" t="inlineStr">
        <is>
          <t>R</t>
        </is>
      </c>
      <c r="DI1147" t="inlineStr">
        <is>
          <t>X</t>
        </is>
      </c>
      <c r="DJ1147" t="inlineStr">
        <is>
          <t>D</t>
        </is>
      </c>
      <c r="DL1147" t="inlineStr">
        <is>
          <t>X</t>
        </is>
      </c>
      <c r="DM1147" t="inlineStr">
        <is>
          <t>D</t>
        </is>
      </c>
      <c r="DN1147" t="inlineStr">
        <is>
          <t>X</t>
        </is>
      </c>
      <c r="DS1147" t="inlineStr">
        <is>
          <t>D</t>
        </is>
      </c>
      <c r="DT1147" t="inlineStr">
        <is>
          <t>D</t>
        </is>
      </c>
      <c r="DU1147" t="inlineStr">
        <is>
          <t>X</t>
        </is>
      </c>
      <c r="DW1147" t="inlineStr">
        <is>
          <t>D</t>
        </is>
      </c>
      <c r="DX1147" t="inlineStr">
        <is>
          <t>X</t>
        </is>
      </c>
      <c r="EA1147" t="inlineStr">
        <is>
          <t>X</t>
        </is>
      </c>
      <c r="ED1147" t="inlineStr">
        <is>
          <t>D</t>
        </is>
      </c>
      <c r="EF1147" t="inlineStr">
        <is>
          <t>X</t>
        </is>
      </c>
      <c r="EH1147" t="inlineStr">
        <is>
          <t>D</t>
        </is>
      </c>
    </row>
    <row r="1148">
      <c r="A1148" t="inlineStr">
        <is>
          <t>OH0025051199</t>
        </is>
      </c>
      <c r="B1148" t="n">
        <v>78</v>
      </c>
      <c r="C1148" t="n">
        <v>438604</v>
      </c>
      <c r="D1148" t="inlineStr">
        <is>
          <t>MINETT</t>
        </is>
      </c>
      <c r="E1148" t="inlineStr">
        <is>
          <t>PHILIP</t>
        </is>
      </c>
      <c r="F1148">
        <f>CONCATENATE(D1148," ",LEFT(H1148,4),"T=",AU1148,"D=",AV1148,"R=",AW1148,"M=",AX1148,"L=",AY1148,"B=",AZ1148)</f>
        <v/>
      </c>
      <c r="G1148" t="inlineStr">
        <is>
          <t>R</t>
        </is>
      </c>
      <c r="I1148" t="inlineStr">
        <is>
          <t>2001-06-26</t>
        </is>
      </c>
      <c r="J1148" t="inlineStr">
        <is>
          <t>2024-11-05</t>
        </is>
      </c>
      <c r="K1148" t="inlineStr">
        <is>
          <t>ACTIVE</t>
        </is>
      </c>
      <c r="M1148" t="inlineStr">
        <is>
          <t>370 WASHINGTON ST NE</t>
        </is>
      </c>
      <c r="N1148">
        <f>RIGHT(M1148,LEN(M1148)-FIND(" ",M1148))</f>
        <v/>
      </c>
      <c r="P1148" t="inlineStr">
        <is>
          <t>WARREN</t>
        </is>
      </c>
      <c r="Q1148" t="inlineStr">
        <is>
          <t>OH</t>
        </is>
      </c>
      <c r="R1148" t="n">
        <v>44483</v>
      </c>
      <c r="AD1148" t="inlineStr">
        <is>
          <t>TRUMBULL CAREER &amp; TECH CENTER</t>
        </is>
      </c>
      <c r="AE1148" t="inlineStr">
        <is>
          <t>WARREN CITY</t>
        </is>
      </c>
      <c r="AF1148" t="inlineStr">
        <is>
          <t>WARREN CITY SD</t>
        </is>
      </c>
      <c r="AH1148" t="n">
        <v>14</v>
      </c>
      <c r="AI1148" t="n">
        <v>11</v>
      </c>
      <c r="AN1148" t="inlineStr">
        <is>
          <t>WARREN</t>
        </is>
      </c>
      <c r="AO1148" t="inlineStr">
        <is>
          <t>WARREN CITY 4D</t>
        </is>
      </c>
      <c r="AP1148" t="inlineStr">
        <is>
          <t>78-P-ADL</t>
        </is>
      </c>
      <c r="AQ1148" t="n">
        <v>9</v>
      </c>
      <c r="AR1148" t="n">
        <v>64</v>
      </c>
      <c r="AS1148" t="n">
        <v>32</v>
      </c>
      <c r="AU1148">
        <f>COUNTA($BA$1148:$EH$1148)</f>
        <v/>
      </c>
      <c r="AV1148">
        <f>COUNTIF($BA$1148:$EH$1148,"D")</f>
        <v/>
      </c>
      <c r="AW1148">
        <f>COUNTIF($BA$1148:$EH$1148,"R")</f>
        <v/>
      </c>
      <c r="AX1148">
        <f>IF(BN1148="D",1,0)+IF(BO1148="D",1,0)+IF(BT1148="D",1,0)+IF(BU1148="D",1,0)+IF(BW1148="D",1,0)+IF(CC1148="D",1,0)+IF(CD1148="D",1,0)+IF(CE1148="D",1,0)+IF(CF1148="D",1,0)+IF(CL1148="D",1,0)+IF(CM1148="D",1,0)+IF(CQ1148="D",1,0)+IF(CR1148="D",1,0)+IF(CS1148="D",1,0)+IF(CW1148="D",1,0)+IF(CX1148="D",1,0)+IF(DD1148="D",1,0)+IF(DE1148="D",1,0)+IF(DJ1148="D",1,0)+IF(DK1148="D",1,0)+IF(DO1148="D",1,0)+IF(DP1148="D",1,0)+IF(DQ1148="D",1,0)+IF(DW1148="D",1,0)+IF(DZ1148="D",1,0)+IF(EH1148="D",1,0)</f>
        <v/>
      </c>
      <c r="AY1148">
        <f>IF(DJ1148&lt;&gt;"",1,0)+IF(DK1148&lt;&gt;"",1,0)+IF(DM1148&lt;&gt;"",1,0)+IF(DO1148&lt;&gt;"",1,0)+IF(DP1148&lt;&gt;"",1,0)+IF(DQ1148&lt;&gt;"",1,0)+IF(DS1148&lt;&gt;"",1,0)+IF(DT1148&lt;&gt;"",1,0)+IF(DV1148&lt;&gt;"",1,0)+IF(DW1148&lt;&gt;"",1,0)+IF(DX1148&lt;&gt;"",1,0)+IF(DY1148&lt;&gt;"",1,0)+IF(DZ1148&lt;&gt;"",1,0)+IF(EB1148&lt;&gt;"",1,0)+IF(EC1148&lt;&gt;"",1,0)+IF(ED1148&lt;&gt;"",1,0)+IF(EG1148&lt;&gt;"",1,0)+IF(EH1148&lt;&gt;"",1,0)</f>
        <v/>
      </c>
      <c r="AZ1148">
        <f>IF(EH1148&lt;&gt;"",1,0)</f>
        <v/>
      </c>
      <c r="BB1148" t="inlineStr">
        <is>
          <t>WARREN-WARD 4</t>
        </is>
      </c>
      <c r="DN1148" t="inlineStr">
        <is>
          <t>X</t>
        </is>
      </c>
      <c r="EF1148" t="inlineStr">
        <is>
          <t>X</t>
        </is>
      </c>
    </row>
    <row r="1149">
      <c r="A1149" t="inlineStr">
        <is>
          <t>OH0025536468</t>
        </is>
      </c>
      <c r="B1149" t="n">
        <v>78</v>
      </c>
      <c r="C1149" t="n">
        <v>445617</v>
      </c>
      <c r="D1149" t="inlineStr">
        <is>
          <t>JONES</t>
        </is>
      </c>
      <c r="E1149" t="inlineStr">
        <is>
          <t>NA JHAY</t>
        </is>
      </c>
      <c r="F1149">
        <f>CONCATENATE(D1149," ",LEFT(H1149,4),"T=",AU1149,"D=",AV1149,"R=",AW1149,"M=",AX1149,"L=",AY1149,"B=",AZ1149)</f>
        <v/>
      </c>
      <c r="G1149" t="inlineStr">
        <is>
          <t>DELREONNA NOEL</t>
        </is>
      </c>
      <c r="I1149" t="inlineStr">
        <is>
          <t>2000-02-13</t>
        </is>
      </c>
      <c r="J1149" t="inlineStr">
        <is>
          <t>2024-11-05</t>
        </is>
      </c>
      <c r="K1149" t="inlineStr">
        <is>
          <t>ACTIVE</t>
        </is>
      </c>
      <c r="M1149" t="inlineStr">
        <is>
          <t>706 OLIVE AVE NE</t>
        </is>
      </c>
      <c r="N1149">
        <f>RIGHT(M1149,LEN(M1149)-FIND(" ",M1149))</f>
        <v/>
      </c>
      <c r="O1149" t="inlineStr">
        <is>
          <t>B</t>
        </is>
      </c>
      <c r="P1149" t="inlineStr">
        <is>
          <t>WARREN</t>
        </is>
      </c>
      <c r="Q1149" t="inlineStr">
        <is>
          <t>OH</t>
        </is>
      </c>
      <c r="R1149" t="n">
        <v>44483</v>
      </c>
      <c r="AD1149" t="inlineStr">
        <is>
          <t>TRUMBULL CAREER &amp; TECH CENTER</t>
        </is>
      </c>
      <c r="AE1149" t="inlineStr">
        <is>
          <t>WARREN CITY</t>
        </is>
      </c>
      <c r="AF1149" t="inlineStr">
        <is>
          <t>WARREN CITY SD</t>
        </is>
      </c>
      <c r="AH1149" t="n">
        <v>14</v>
      </c>
      <c r="AI1149" t="n">
        <v>11</v>
      </c>
      <c r="AN1149" t="inlineStr">
        <is>
          <t>WARREN</t>
        </is>
      </c>
      <c r="AO1149" t="inlineStr">
        <is>
          <t>WARREN CITY 4D</t>
        </is>
      </c>
      <c r="AP1149" t="inlineStr">
        <is>
          <t>78-P-ADL</t>
        </is>
      </c>
      <c r="AQ1149" t="n">
        <v>9</v>
      </c>
      <c r="AR1149" t="n">
        <v>64</v>
      </c>
      <c r="AS1149" t="n">
        <v>32</v>
      </c>
      <c r="AU1149">
        <f>COUNTA($BA$1149:$EH$1149)</f>
        <v/>
      </c>
      <c r="AV1149">
        <f>COUNTIF($BA$1149:$EH$1149,"D")</f>
        <v/>
      </c>
      <c r="AW1149">
        <f>COUNTIF($BA$1149:$EH$1149,"R")</f>
        <v/>
      </c>
      <c r="AX1149">
        <f>IF(BN1149="D",1,0)+IF(BO1149="D",1,0)+IF(BT1149="D",1,0)+IF(BU1149="D",1,0)+IF(BW1149="D",1,0)+IF(CC1149="D",1,0)+IF(CD1149="D",1,0)+IF(CE1149="D",1,0)+IF(CF1149="D",1,0)+IF(CL1149="D",1,0)+IF(CM1149="D",1,0)+IF(CQ1149="D",1,0)+IF(CR1149="D",1,0)+IF(CS1149="D",1,0)+IF(CW1149="D",1,0)+IF(CX1149="D",1,0)+IF(DD1149="D",1,0)+IF(DE1149="D",1,0)+IF(DJ1149="D",1,0)+IF(DK1149="D",1,0)+IF(DO1149="D",1,0)+IF(DP1149="D",1,0)+IF(DQ1149="D",1,0)+IF(DW1149="D",1,0)+IF(DZ1149="D",1,0)+IF(EH1149="D",1,0)</f>
        <v/>
      </c>
      <c r="AY1149">
        <f>IF(DJ1149&lt;&gt;"",1,0)+IF(DK1149&lt;&gt;"",1,0)+IF(DM1149&lt;&gt;"",1,0)+IF(DO1149&lt;&gt;"",1,0)+IF(DP1149&lt;&gt;"",1,0)+IF(DQ1149&lt;&gt;"",1,0)+IF(DS1149&lt;&gt;"",1,0)+IF(DT1149&lt;&gt;"",1,0)+IF(DV1149&lt;&gt;"",1,0)+IF(DW1149&lt;&gt;"",1,0)+IF(DX1149&lt;&gt;"",1,0)+IF(DY1149&lt;&gt;"",1,0)+IF(DZ1149&lt;&gt;"",1,0)+IF(EB1149&lt;&gt;"",1,0)+IF(EC1149&lt;&gt;"",1,0)+IF(ED1149&lt;&gt;"",1,0)+IF(EG1149&lt;&gt;"",1,0)+IF(EH1149&lt;&gt;"",1,0)</f>
        <v/>
      </c>
      <c r="AZ1149">
        <f>IF(EH1149&lt;&gt;"",1,0)</f>
        <v/>
      </c>
      <c r="BB1149" t="inlineStr">
        <is>
          <t>WARREN-WARD 4</t>
        </is>
      </c>
      <c r="DN1149" t="inlineStr">
        <is>
          <t>X</t>
        </is>
      </c>
      <c r="EF1149" t="inlineStr">
        <is>
          <t>X</t>
        </is>
      </c>
    </row>
    <row r="1150">
      <c r="A1150" t="inlineStr">
        <is>
          <t>OH0015814047</t>
        </is>
      </c>
      <c r="B1150" t="n">
        <v>78</v>
      </c>
      <c r="C1150" t="n">
        <v>268817</v>
      </c>
      <c r="D1150" t="inlineStr">
        <is>
          <t>WILLIAMS</t>
        </is>
      </c>
      <c r="E1150" t="inlineStr">
        <is>
          <t>CHARLES</t>
        </is>
      </c>
      <c r="F1150">
        <f>CONCATENATE(D1150," ",LEFT(H1150,4),"T=",AU1150,"D=",AV1150,"R=",AW1150,"M=",AX1150,"L=",AY1150,"B=",AZ1150)</f>
        <v/>
      </c>
      <c r="G1150" t="inlineStr">
        <is>
          <t>A</t>
        </is>
      </c>
      <c r="I1150" t="inlineStr">
        <is>
          <t>1960-03-30</t>
        </is>
      </c>
      <c r="J1150" t="inlineStr">
        <is>
          <t>1996-03-28</t>
        </is>
      </c>
      <c r="K1150" t="inlineStr">
        <is>
          <t>ACTIVE</t>
        </is>
      </c>
      <c r="L1150" t="inlineStr">
        <is>
          <t>D</t>
        </is>
      </c>
      <c r="M1150" t="inlineStr">
        <is>
          <t>240 VINE AVE NE</t>
        </is>
      </c>
      <c r="N1150">
        <f>RIGHT(M1150,LEN(M1150)-FIND(" ",M1150))</f>
        <v/>
      </c>
      <c r="P1150" t="inlineStr">
        <is>
          <t>WARREN</t>
        </is>
      </c>
      <c r="Q1150" t="inlineStr">
        <is>
          <t>OH</t>
        </is>
      </c>
      <c r="R1150" t="n">
        <v>44483</v>
      </c>
      <c r="AD1150" t="inlineStr">
        <is>
          <t>TRUMBULL CAREER &amp; TECH CENTER</t>
        </is>
      </c>
      <c r="AE1150" t="inlineStr">
        <is>
          <t>WARREN CITY</t>
        </is>
      </c>
      <c r="AF1150" t="inlineStr">
        <is>
          <t>WARREN CITY SD</t>
        </is>
      </c>
      <c r="AH1150" t="n">
        <v>14</v>
      </c>
      <c r="AI1150" t="n">
        <v>11</v>
      </c>
      <c r="AN1150" t="inlineStr">
        <is>
          <t>WARREN</t>
        </is>
      </c>
      <c r="AO1150" t="inlineStr">
        <is>
          <t>WARREN CITY 4D</t>
        </is>
      </c>
      <c r="AP1150" t="inlineStr">
        <is>
          <t>78-P-ADL</t>
        </is>
      </c>
      <c r="AQ1150" t="n">
        <v>9</v>
      </c>
      <c r="AR1150" t="n">
        <v>64</v>
      </c>
      <c r="AS1150" t="n">
        <v>32</v>
      </c>
      <c r="AU1150">
        <f>COUNTA($BA$1150:$EH$1150)</f>
        <v/>
      </c>
      <c r="AV1150">
        <f>COUNTIF($BA$1150:$EH$1150,"D")</f>
        <v/>
      </c>
      <c r="AW1150">
        <f>COUNTIF($BA$1150:$EH$1150,"R")</f>
        <v/>
      </c>
      <c r="AX1150">
        <f>IF(BN1150="D",1,0)+IF(BO1150="D",1,0)+IF(BT1150="D",1,0)+IF(BU1150="D",1,0)+IF(BW1150="D",1,0)+IF(CC1150="D",1,0)+IF(CD1150="D",1,0)+IF(CE1150="D",1,0)+IF(CF1150="D",1,0)+IF(CL1150="D",1,0)+IF(CM1150="D",1,0)+IF(CQ1150="D",1,0)+IF(CR1150="D",1,0)+IF(CS1150="D",1,0)+IF(CW1150="D",1,0)+IF(CX1150="D",1,0)+IF(DD1150="D",1,0)+IF(DE1150="D",1,0)+IF(DJ1150="D",1,0)+IF(DK1150="D",1,0)+IF(DO1150="D",1,0)+IF(DP1150="D",1,0)+IF(DQ1150="D",1,0)+IF(DW1150="D",1,0)+IF(DZ1150="D",1,0)+IF(EH1150="D",1,0)</f>
        <v/>
      </c>
      <c r="AY1150">
        <f>IF(DJ1150&lt;&gt;"",1,0)+IF(DK1150&lt;&gt;"",1,0)+IF(DM1150&lt;&gt;"",1,0)+IF(DO1150&lt;&gt;"",1,0)+IF(DP1150&lt;&gt;"",1,0)+IF(DQ1150&lt;&gt;"",1,0)+IF(DS1150&lt;&gt;"",1,0)+IF(DT1150&lt;&gt;"",1,0)+IF(DV1150&lt;&gt;"",1,0)+IF(DW1150&lt;&gt;"",1,0)+IF(DX1150&lt;&gt;"",1,0)+IF(DY1150&lt;&gt;"",1,0)+IF(DZ1150&lt;&gt;"",1,0)+IF(EB1150&lt;&gt;"",1,0)+IF(EC1150&lt;&gt;"",1,0)+IF(ED1150&lt;&gt;"",1,0)+IF(EG1150&lt;&gt;"",1,0)+IF(EH1150&lt;&gt;"",1,0)</f>
        <v/>
      </c>
      <c r="AZ1150">
        <f>IF(EH1150&lt;&gt;"",1,0)</f>
        <v/>
      </c>
      <c r="BB1150" t="inlineStr">
        <is>
          <t>WARREN-WARD 4</t>
        </is>
      </c>
      <c r="BL1150" t="inlineStr">
        <is>
          <t>X</t>
        </is>
      </c>
      <c r="BP1150" t="inlineStr">
        <is>
          <t>X</t>
        </is>
      </c>
      <c r="BS1150" t="inlineStr">
        <is>
          <t>X</t>
        </is>
      </c>
      <c r="BY1150" t="inlineStr">
        <is>
          <t>D</t>
        </is>
      </c>
      <c r="CA1150" t="inlineStr">
        <is>
          <t>X</t>
        </is>
      </c>
      <c r="CK1150" t="inlineStr">
        <is>
          <t>X</t>
        </is>
      </c>
      <c r="CN1150" t="inlineStr">
        <is>
          <t>X</t>
        </is>
      </c>
      <c r="CP1150" t="inlineStr">
        <is>
          <t>X</t>
        </is>
      </c>
      <c r="CV1150" t="inlineStr">
        <is>
          <t>X</t>
        </is>
      </c>
      <c r="CY1150" t="inlineStr">
        <is>
          <t>X</t>
        </is>
      </c>
      <c r="CZ1150" t="inlineStr">
        <is>
          <t>R</t>
        </is>
      </c>
      <c r="DC1150" t="inlineStr">
        <is>
          <t>X</t>
        </is>
      </c>
      <c r="DI1150" t="inlineStr">
        <is>
          <t>X</t>
        </is>
      </c>
      <c r="DM1150" t="inlineStr">
        <is>
          <t>D</t>
        </is>
      </c>
      <c r="DN1150" t="inlineStr">
        <is>
          <t>X</t>
        </is>
      </c>
      <c r="DU1150" t="inlineStr">
        <is>
          <t>X</t>
        </is>
      </c>
      <c r="DW1150" t="inlineStr">
        <is>
          <t>D</t>
        </is>
      </c>
      <c r="DX1150" t="inlineStr">
        <is>
          <t>X</t>
        </is>
      </c>
      <c r="EA1150" t="inlineStr">
        <is>
          <t>X</t>
        </is>
      </c>
      <c r="ED1150" t="inlineStr">
        <is>
          <t>D</t>
        </is>
      </c>
      <c r="EF1150" t="inlineStr">
        <is>
          <t>X</t>
        </is>
      </c>
    </row>
    <row r="1151">
      <c r="A1151" t="inlineStr">
        <is>
          <t>OH0018999329</t>
        </is>
      </c>
      <c r="B1151" t="n">
        <v>78</v>
      </c>
      <c r="C1151" t="n">
        <v>347351</v>
      </c>
      <c r="D1151" t="inlineStr">
        <is>
          <t>KOZIEL</t>
        </is>
      </c>
      <c r="E1151" t="inlineStr">
        <is>
          <t>STANLEY</t>
        </is>
      </c>
      <c r="F1151">
        <f>CONCATENATE(D1151," ",LEFT(H1151,4),"T=",AU1151,"D=",AV1151,"R=",AW1151,"M=",AX1151,"L=",AY1151,"B=",AZ1151)</f>
        <v/>
      </c>
      <c r="G1151" t="inlineStr">
        <is>
          <t>JEROME</t>
        </is>
      </c>
      <c r="H1151" t="inlineStr">
        <is>
          <t>JR</t>
        </is>
      </c>
      <c r="I1151" t="inlineStr">
        <is>
          <t>1979-06-12</t>
        </is>
      </c>
      <c r="J1151" t="inlineStr">
        <is>
          <t>2024-11-12</t>
        </is>
      </c>
      <c r="K1151" t="inlineStr">
        <is>
          <t>ACTIVE</t>
        </is>
      </c>
      <c r="M1151" t="inlineStr">
        <is>
          <t>156 WASHINGTON ST NE</t>
        </is>
      </c>
      <c r="N1151">
        <f>RIGHT(M1151,LEN(M1151)-FIND(" ",M1151))</f>
        <v/>
      </c>
      <c r="O1151" t="inlineStr">
        <is>
          <t>APT 5</t>
        </is>
      </c>
      <c r="P1151" t="inlineStr">
        <is>
          <t>WARREN</t>
        </is>
      </c>
      <c r="Q1151" t="inlineStr">
        <is>
          <t>OH</t>
        </is>
      </c>
      <c r="R1151" t="n">
        <v>44483</v>
      </c>
      <c r="AD1151" t="inlineStr">
        <is>
          <t>TRUMBULL CAREER &amp; TECH CENTER</t>
        </is>
      </c>
      <c r="AE1151" t="inlineStr">
        <is>
          <t>WARREN CITY</t>
        </is>
      </c>
      <c r="AF1151" t="inlineStr">
        <is>
          <t>WARREN CITY SD</t>
        </is>
      </c>
      <c r="AH1151" t="n">
        <v>14</v>
      </c>
      <c r="AI1151" t="n">
        <v>11</v>
      </c>
      <c r="AN1151" t="inlineStr">
        <is>
          <t>WARREN</t>
        </is>
      </c>
      <c r="AO1151" t="inlineStr">
        <is>
          <t>WARREN CITY 4D</t>
        </is>
      </c>
      <c r="AP1151" t="inlineStr">
        <is>
          <t>78-P-ADL</t>
        </is>
      </c>
      <c r="AQ1151" t="n">
        <v>9</v>
      </c>
      <c r="AR1151" t="n">
        <v>64</v>
      </c>
      <c r="AS1151" t="n">
        <v>32</v>
      </c>
      <c r="AU1151">
        <f>COUNTA($BA$1151:$EH$1151)</f>
        <v/>
      </c>
      <c r="AV1151">
        <f>COUNTIF($BA$1151:$EH$1151,"D")</f>
        <v/>
      </c>
      <c r="AW1151">
        <f>COUNTIF($BA$1151:$EH$1151,"R")</f>
        <v/>
      </c>
      <c r="AX1151">
        <f>IF(BN1151="D",1,0)+IF(BO1151="D",1,0)+IF(BT1151="D",1,0)+IF(BU1151="D",1,0)+IF(BW1151="D",1,0)+IF(CC1151="D",1,0)+IF(CD1151="D",1,0)+IF(CE1151="D",1,0)+IF(CF1151="D",1,0)+IF(CL1151="D",1,0)+IF(CM1151="D",1,0)+IF(CQ1151="D",1,0)+IF(CR1151="D",1,0)+IF(CS1151="D",1,0)+IF(CW1151="D",1,0)+IF(CX1151="D",1,0)+IF(DD1151="D",1,0)+IF(DE1151="D",1,0)+IF(DJ1151="D",1,0)+IF(DK1151="D",1,0)+IF(DO1151="D",1,0)+IF(DP1151="D",1,0)+IF(DQ1151="D",1,0)+IF(DW1151="D",1,0)+IF(DZ1151="D",1,0)+IF(EH1151="D",1,0)</f>
        <v/>
      </c>
      <c r="AY1151">
        <f>IF(DJ1151&lt;&gt;"",1,0)+IF(DK1151&lt;&gt;"",1,0)+IF(DM1151&lt;&gt;"",1,0)+IF(DO1151&lt;&gt;"",1,0)+IF(DP1151&lt;&gt;"",1,0)+IF(DQ1151&lt;&gt;"",1,0)+IF(DS1151&lt;&gt;"",1,0)+IF(DT1151&lt;&gt;"",1,0)+IF(DV1151&lt;&gt;"",1,0)+IF(DW1151&lt;&gt;"",1,0)+IF(DX1151&lt;&gt;"",1,0)+IF(DY1151&lt;&gt;"",1,0)+IF(DZ1151&lt;&gt;"",1,0)+IF(EB1151&lt;&gt;"",1,0)+IF(EC1151&lt;&gt;"",1,0)+IF(ED1151&lt;&gt;"",1,0)+IF(EG1151&lt;&gt;"",1,0)+IF(EH1151&lt;&gt;"",1,0)</f>
        <v/>
      </c>
      <c r="AZ1151">
        <f>IF(EH1151&lt;&gt;"",1,0)</f>
        <v/>
      </c>
      <c r="BB1151" t="inlineStr">
        <is>
          <t>WARREN-WARD 4</t>
        </is>
      </c>
      <c r="BS1151" t="inlineStr">
        <is>
          <t>X</t>
        </is>
      </c>
      <c r="CA1151" t="inlineStr">
        <is>
          <t>X</t>
        </is>
      </c>
      <c r="CP1151" t="inlineStr">
        <is>
          <t>X</t>
        </is>
      </c>
    </row>
    <row r="1152">
      <c r="A1152" t="inlineStr">
        <is>
          <t>OH0023309424</t>
        </is>
      </c>
      <c r="B1152" t="n">
        <v>78</v>
      </c>
      <c r="C1152" t="n">
        <v>409945</v>
      </c>
      <c r="D1152" t="inlineStr">
        <is>
          <t>BRANTLEY</t>
        </is>
      </c>
      <c r="E1152" t="inlineStr">
        <is>
          <t>MICHAEL</t>
        </is>
      </c>
      <c r="F1152">
        <f>CONCATENATE(D1152," ",LEFT(H1152,4),"T=",AU1152,"D=",AV1152,"R=",AW1152,"M=",AX1152,"L=",AY1152,"B=",AZ1152)</f>
        <v/>
      </c>
      <c r="G1152" t="inlineStr">
        <is>
          <t>D</t>
        </is>
      </c>
      <c r="I1152" t="inlineStr">
        <is>
          <t>1976-05-05</t>
        </is>
      </c>
      <c r="J1152" t="inlineStr">
        <is>
          <t>2015-09-23</t>
        </is>
      </c>
      <c r="K1152" t="inlineStr">
        <is>
          <t>ACTIVE</t>
        </is>
      </c>
      <c r="M1152" t="inlineStr">
        <is>
          <t>1062 WOODLAND AVE NE</t>
        </is>
      </c>
      <c r="N1152">
        <f>RIGHT(M1152,LEN(M1152)-FIND(" ",M1152))</f>
        <v/>
      </c>
      <c r="P1152" t="inlineStr">
        <is>
          <t>WARREN</t>
        </is>
      </c>
      <c r="Q1152" t="inlineStr">
        <is>
          <t>OH</t>
        </is>
      </c>
      <c r="R1152" t="n">
        <v>44483</v>
      </c>
      <c r="AD1152" t="inlineStr">
        <is>
          <t>TRUMBULL CAREER &amp; TECH CENTER</t>
        </is>
      </c>
      <c r="AE1152" t="inlineStr">
        <is>
          <t>WARREN CITY</t>
        </is>
      </c>
      <c r="AF1152" t="inlineStr">
        <is>
          <t>WARREN CITY SD</t>
        </is>
      </c>
      <c r="AH1152" t="n">
        <v>14</v>
      </c>
      <c r="AI1152" t="n">
        <v>11</v>
      </c>
      <c r="AN1152" t="inlineStr">
        <is>
          <t>WARREN</t>
        </is>
      </c>
      <c r="AO1152" t="inlineStr">
        <is>
          <t>WARREN CITY 4D</t>
        </is>
      </c>
      <c r="AP1152" t="inlineStr">
        <is>
          <t>78-P-ADL</t>
        </is>
      </c>
      <c r="AQ1152" t="n">
        <v>9</v>
      </c>
      <c r="AR1152" t="n">
        <v>64</v>
      </c>
      <c r="AS1152" t="n">
        <v>32</v>
      </c>
      <c r="AU1152">
        <f>COUNTA($BA$1152:$EH$1152)</f>
        <v/>
      </c>
      <c r="AV1152">
        <f>COUNTIF($BA$1152:$EH$1152,"D")</f>
        <v/>
      </c>
      <c r="AW1152">
        <f>COUNTIF($BA$1152:$EH$1152,"R")</f>
        <v/>
      </c>
      <c r="AX1152">
        <f>IF(BN1152="D",1,0)+IF(BO1152="D",1,0)+IF(BT1152="D",1,0)+IF(BU1152="D",1,0)+IF(BW1152="D",1,0)+IF(CC1152="D",1,0)+IF(CD1152="D",1,0)+IF(CE1152="D",1,0)+IF(CF1152="D",1,0)+IF(CL1152="D",1,0)+IF(CM1152="D",1,0)+IF(CQ1152="D",1,0)+IF(CR1152="D",1,0)+IF(CS1152="D",1,0)+IF(CW1152="D",1,0)+IF(CX1152="D",1,0)+IF(DD1152="D",1,0)+IF(DE1152="D",1,0)+IF(DJ1152="D",1,0)+IF(DK1152="D",1,0)+IF(DO1152="D",1,0)+IF(DP1152="D",1,0)+IF(DQ1152="D",1,0)+IF(DW1152="D",1,0)+IF(DZ1152="D",1,0)+IF(EH1152="D",1,0)</f>
        <v/>
      </c>
      <c r="AY1152">
        <f>IF(DJ1152&lt;&gt;"",1,0)+IF(DK1152&lt;&gt;"",1,0)+IF(DM1152&lt;&gt;"",1,0)+IF(DO1152&lt;&gt;"",1,0)+IF(DP1152&lt;&gt;"",1,0)+IF(DQ1152&lt;&gt;"",1,0)+IF(DS1152&lt;&gt;"",1,0)+IF(DT1152&lt;&gt;"",1,0)+IF(DV1152&lt;&gt;"",1,0)+IF(DW1152&lt;&gt;"",1,0)+IF(DX1152&lt;&gt;"",1,0)+IF(DY1152&lt;&gt;"",1,0)+IF(DZ1152&lt;&gt;"",1,0)+IF(EB1152&lt;&gt;"",1,0)+IF(EC1152&lt;&gt;"",1,0)+IF(ED1152&lt;&gt;"",1,0)+IF(EG1152&lt;&gt;"",1,0)+IF(EH1152&lt;&gt;"",1,0)</f>
        <v/>
      </c>
      <c r="AZ1152">
        <f>IF(EH1152&lt;&gt;"",1,0)</f>
        <v/>
      </c>
      <c r="BB1152" t="inlineStr">
        <is>
          <t>WARREN-WARD 4</t>
        </is>
      </c>
      <c r="DN1152" t="inlineStr">
        <is>
          <t>X</t>
        </is>
      </c>
      <c r="EF1152" t="inlineStr">
        <is>
          <t>X</t>
        </is>
      </c>
    </row>
    <row r="1153">
      <c r="A1153" t="inlineStr">
        <is>
          <t>OH0025304646</t>
        </is>
      </c>
      <c r="B1153" t="n">
        <v>78</v>
      </c>
      <c r="C1153" t="n">
        <v>442565</v>
      </c>
      <c r="D1153" t="inlineStr">
        <is>
          <t>MEADOWS</t>
        </is>
      </c>
      <c r="E1153" t="inlineStr">
        <is>
          <t>BRESHA</t>
        </is>
      </c>
      <c r="F1153">
        <f>CONCATENATE(D1153," ",LEFT(H1153,4),"T=",AU1153,"D=",AV1153,"R=",AW1153,"M=",AX1153,"L=",AY1153,"B=",AZ1153)</f>
        <v/>
      </c>
      <c r="G1153" t="inlineStr">
        <is>
          <t>A</t>
        </is>
      </c>
      <c r="I1153" t="inlineStr">
        <is>
          <t>2001-08-11</t>
        </is>
      </c>
      <c r="J1153" t="inlineStr">
        <is>
          <t>2021-09-21</t>
        </is>
      </c>
      <c r="K1153" t="inlineStr">
        <is>
          <t>ACTIVE</t>
        </is>
      </c>
      <c r="M1153" t="inlineStr">
        <is>
          <t>482 OLIVE AVE NE</t>
        </is>
      </c>
      <c r="N1153">
        <f>RIGHT(M1153,LEN(M1153)-FIND(" ",M1153))</f>
        <v/>
      </c>
      <c r="P1153" t="inlineStr">
        <is>
          <t>WARREN</t>
        </is>
      </c>
      <c r="Q1153" t="inlineStr">
        <is>
          <t>OH</t>
        </is>
      </c>
      <c r="R1153" t="n">
        <v>44483</v>
      </c>
      <c r="AD1153" t="inlineStr">
        <is>
          <t>TRUMBULL CAREER &amp; TECH CENTER</t>
        </is>
      </c>
      <c r="AE1153" t="inlineStr">
        <is>
          <t>WARREN CITY</t>
        </is>
      </c>
      <c r="AF1153" t="inlineStr">
        <is>
          <t>WARREN CITY SD</t>
        </is>
      </c>
      <c r="AH1153" t="n">
        <v>14</v>
      </c>
      <c r="AI1153" t="n">
        <v>11</v>
      </c>
      <c r="AN1153" t="inlineStr">
        <is>
          <t>WARREN</t>
        </is>
      </c>
      <c r="AO1153" t="inlineStr">
        <is>
          <t>WARREN CITY 4D</t>
        </is>
      </c>
      <c r="AP1153" t="inlineStr">
        <is>
          <t>78-P-ADL</t>
        </is>
      </c>
      <c r="AQ1153" t="n">
        <v>9</v>
      </c>
      <c r="AR1153" t="n">
        <v>64</v>
      </c>
      <c r="AS1153" t="n">
        <v>32</v>
      </c>
      <c r="AU1153">
        <f>COUNTA($BA$1153:$EH$1153)</f>
        <v/>
      </c>
      <c r="AV1153">
        <f>COUNTIF($BA$1153:$EH$1153,"D")</f>
        <v/>
      </c>
      <c r="AW1153">
        <f>COUNTIF($BA$1153:$EH$1153,"R")</f>
        <v/>
      </c>
      <c r="AX1153">
        <f>IF(BN1153="D",1,0)+IF(BO1153="D",1,0)+IF(BT1153="D",1,0)+IF(BU1153="D",1,0)+IF(BW1153="D",1,0)+IF(CC1153="D",1,0)+IF(CD1153="D",1,0)+IF(CE1153="D",1,0)+IF(CF1153="D",1,0)+IF(CL1153="D",1,0)+IF(CM1153="D",1,0)+IF(CQ1153="D",1,0)+IF(CR1153="D",1,0)+IF(CS1153="D",1,0)+IF(CW1153="D",1,0)+IF(CX1153="D",1,0)+IF(DD1153="D",1,0)+IF(DE1153="D",1,0)+IF(DJ1153="D",1,0)+IF(DK1153="D",1,0)+IF(DO1153="D",1,0)+IF(DP1153="D",1,0)+IF(DQ1153="D",1,0)+IF(DW1153="D",1,0)+IF(DZ1153="D",1,0)+IF(EH1153="D",1,0)</f>
        <v/>
      </c>
      <c r="AY1153">
        <f>IF(DJ1153&lt;&gt;"",1,0)+IF(DK1153&lt;&gt;"",1,0)+IF(DM1153&lt;&gt;"",1,0)+IF(DO1153&lt;&gt;"",1,0)+IF(DP1153&lt;&gt;"",1,0)+IF(DQ1153&lt;&gt;"",1,0)+IF(DS1153&lt;&gt;"",1,0)+IF(DT1153&lt;&gt;"",1,0)+IF(DV1153&lt;&gt;"",1,0)+IF(DW1153&lt;&gt;"",1,0)+IF(DX1153&lt;&gt;"",1,0)+IF(DY1153&lt;&gt;"",1,0)+IF(DZ1153&lt;&gt;"",1,0)+IF(EB1153&lt;&gt;"",1,0)+IF(EC1153&lt;&gt;"",1,0)+IF(ED1153&lt;&gt;"",1,0)+IF(EG1153&lt;&gt;"",1,0)+IF(EH1153&lt;&gt;"",1,0)</f>
        <v/>
      </c>
      <c r="AZ1153">
        <f>IF(EH1153&lt;&gt;"",1,0)</f>
        <v/>
      </c>
      <c r="BB1153" t="inlineStr">
        <is>
          <t>WARREN-WARD 4</t>
        </is>
      </c>
    </row>
    <row r="1154">
      <c r="A1154" t="inlineStr">
        <is>
          <t>OH0026154879</t>
        </is>
      </c>
      <c r="B1154" t="n">
        <v>78</v>
      </c>
      <c r="C1154" t="n">
        <v>457283</v>
      </c>
      <c r="D1154" t="inlineStr">
        <is>
          <t>HART</t>
        </is>
      </c>
      <c r="E1154" t="inlineStr">
        <is>
          <t>NATHAN</t>
        </is>
      </c>
      <c r="F1154">
        <f>CONCATENATE(D1154," ",LEFT(H1154,4),"T=",AU1154,"D=",AV1154,"R=",AW1154,"M=",AX1154,"L=",AY1154,"B=",AZ1154)</f>
        <v/>
      </c>
      <c r="G1154" t="inlineStr">
        <is>
          <t>MARQUIS</t>
        </is>
      </c>
      <c r="I1154" t="inlineStr">
        <is>
          <t>1979-10-03</t>
        </is>
      </c>
      <c r="J1154" t="inlineStr">
        <is>
          <t>2021-03-03</t>
        </is>
      </c>
      <c r="K1154" t="inlineStr">
        <is>
          <t>ACTIVE</t>
        </is>
      </c>
      <c r="M1154" t="inlineStr">
        <is>
          <t>121 MONROE ST NW</t>
        </is>
      </c>
      <c r="N1154">
        <f>RIGHT(M1154,LEN(M1154)-FIND(" ",M1154))</f>
        <v/>
      </c>
      <c r="O1154" t="inlineStr">
        <is>
          <t>APT 7</t>
        </is>
      </c>
      <c r="P1154" t="inlineStr">
        <is>
          <t>WARREN</t>
        </is>
      </c>
      <c r="Q1154" t="inlineStr">
        <is>
          <t>OH</t>
        </is>
      </c>
      <c r="R1154" t="n">
        <v>44483</v>
      </c>
      <c r="AD1154" t="inlineStr">
        <is>
          <t>TRUMBULL CAREER &amp; TECH CENTER</t>
        </is>
      </c>
      <c r="AE1154" t="inlineStr">
        <is>
          <t>WARREN CITY</t>
        </is>
      </c>
      <c r="AF1154" t="inlineStr">
        <is>
          <t>WARREN CITY SD</t>
        </is>
      </c>
      <c r="AH1154" t="n">
        <v>14</v>
      </c>
      <c r="AI1154" t="n">
        <v>11</v>
      </c>
      <c r="AN1154" t="inlineStr">
        <is>
          <t>WARREN</t>
        </is>
      </c>
      <c r="AO1154" t="inlineStr">
        <is>
          <t>WARREN CITY 4D</t>
        </is>
      </c>
      <c r="AP1154" t="inlineStr">
        <is>
          <t>78-P-ADL</t>
        </is>
      </c>
      <c r="AQ1154" t="n">
        <v>9</v>
      </c>
      <c r="AR1154" t="n">
        <v>64</v>
      </c>
      <c r="AS1154" t="n">
        <v>32</v>
      </c>
      <c r="AU1154">
        <f>COUNTA($BA$1154:$EH$1154)</f>
        <v/>
      </c>
      <c r="AV1154">
        <f>COUNTIF($BA$1154:$EH$1154,"D")</f>
        <v/>
      </c>
      <c r="AW1154">
        <f>COUNTIF($BA$1154:$EH$1154,"R")</f>
        <v/>
      </c>
      <c r="AX1154">
        <f>IF(BN1154="D",1,0)+IF(BO1154="D",1,0)+IF(BT1154="D",1,0)+IF(BU1154="D",1,0)+IF(BW1154="D",1,0)+IF(CC1154="D",1,0)+IF(CD1154="D",1,0)+IF(CE1154="D",1,0)+IF(CF1154="D",1,0)+IF(CL1154="D",1,0)+IF(CM1154="D",1,0)+IF(CQ1154="D",1,0)+IF(CR1154="D",1,0)+IF(CS1154="D",1,0)+IF(CW1154="D",1,0)+IF(CX1154="D",1,0)+IF(DD1154="D",1,0)+IF(DE1154="D",1,0)+IF(DJ1154="D",1,0)+IF(DK1154="D",1,0)+IF(DO1154="D",1,0)+IF(DP1154="D",1,0)+IF(DQ1154="D",1,0)+IF(DW1154="D",1,0)+IF(DZ1154="D",1,0)+IF(EH1154="D",1,0)</f>
        <v/>
      </c>
      <c r="AY1154">
        <f>IF(DJ1154&lt;&gt;"",1,0)+IF(DK1154&lt;&gt;"",1,0)+IF(DM1154&lt;&gt;"",1,0)+IF(DO1154&lt;&gt;"",1,0)+IF(DP1154&lt;&gt;"",1,0)+IF(DQ1154&lt;&gt;"",1,0)+IF(DS1154&lt;&gt;"",1,0)+IF(DT1154&lt;&gt;"",1,0)+IF(DV1154&lt;&gt;"",1,0)+IF(DW1154&lt;&gt;"",1,0)+IF(DX1154&lt;&gt;"",1,0)+IF(DY1154&lt;&gt;"",1,0)+IF(DZ1154&lt;&gt;"",1,0)+IF(EB1154&lt;&gt;"",1,0)+IF(EC1154&lt;&gt;"",1,0)+IF(ED1154&lt;&gt;"",1,0)+IF(EG1154&lt;&gt;"",1,0)+IF(EH1154&lt;&gt;"",1,0)</f>
        <v/>
      </c>
      <c r="AZ1154">
        <f>IF(EH1154&lt;&gt;"",1,0)</f>
        <v/>
      </c>
      <c r="BB1154" t="inlineStr">
        <is>
          <t>WARREN-WARD 4</t>
        </is>
      </c>
    </row>
    <row r="1155">
      <c r="A1155" t="inlineStr">
        <is>
          <t>OH0024714392</t>
        </is>
      </c>
      <c r="B1155" t="n">
        <v>78</v>
      </c>
      <c r="C1155" t="n">
        <v>434163</v>
      </c>
      <c r="D1155" t="inlineStr">
        <is>
          <t>CONNER</t>
        </is>
      </c>
      <c r="E1155" t="inlineStr">
        <is>
          <t>MARK</t>
        </is>
      </c>
      <c r="F1155">
        <f>CONCATENATE(D1155," ",LEFT(H1155,4),"T=",AU1155,"D=",AV1155,"R=",AW1155,"M=",AX1155,"L=",AY1155,"B=",AZ1155)</f>
        <v/>
      </c>
      <c r="G1155" t="inlineStr">
        <is>
          <t>W</t>
        </is>
      </c>
      <c r="I1155" t="inlineStr">
        <is>
          <t>1964-02-20</t>
        </is>
      </c>
      <c r="J1155" t="inlineStr">
        <is>
          <t>2020-06-15</t>
        </is>
      </c>
      <c r="K1155" t="inlineStr">
        <is>
          <t>ACTIVE</t>
        </is>
      </c>
      <c r="M1155" t="inlineStr">
        <is>
          <t>1112 HIGH ST NE</t>
        </is>
      </c>
      <c r="N1155">
        <f>RIGHT(M1155,LEN(M1155)-FIND(" ",M1155))</f>
        <v/>
      </c>
      <c r="P1155" t="inlineStr">
        <is>
          <t>WARREN</t>
        </is>
      </c>
      <c r="Q1155" t="inlineStr">
        <is>
          <t>OH</t>
        </is>
      </c>
      <c r="R1155" t="n">
        <v>44483</v>
      </c>
      <c r="AD1155" t="inlineStr">
        <is>
          <t>TRUMBULL CAREER &amp; TECH CENTER</t>
        </is>
      </c>
      <c r="AE1155" t="inlineStr">
        <is>
          <t>WARREN CITY</t>
        </is>
      </c>
      <c r="AF1155" t="inlineStr">
        <is>
          <t>WARREN CITY SD</t>
        </is>
      </c>
      <c r="AH1155" t="n">
        <v>14</v>
      </c>
      <c r="AI1155" t="n">
        <v>11</v>
      </c>
      <c r="AN1155" t="inlineStr">
        <is>
          <t>WARREN</t>
        </is>
      </c>
      <c r="AO1155" t="inlineStr">
        <is>
          <t>WARREN CITY 4D</t>
        </is>
      </c>
      <c r="AP1155" t="inlineStr">
        <is>
          <t>78-P-ADL</t>
        </is>
      </c>
      <c r="AQ1155" t="n">
        <v>9</v>
      </c>
      <c r="AR1155" t="n">
        <v>64</v>
      </c>
      <c r="AS1155" t="n">
        <v>32</v>
      </c>
      <c r="AU1155">
        <f>COUNTA($BA$1155:$EH$1155)</f>
        <v/>
      </c>
      <c r="AV1155">
        <f>COUNTIF($BA$1155:$EH$1155,"D")</f>
        <v/>
      </c>
      <c r="AW1155">
        <f>COUNTIF($BA$1155:$EH$1155,"R")</f>
        <v/>
      </c>
      <c r="AX1155">
        <f>IF(BN1155="D",1,0)+IF(BO1155="D",1,0)+IF(BT1155="D",1,0)+IF(BU1155="D",1,0)+IF(BW1155="D",1,0)+IF(CC1155="D",1,0)+IF(CD1155="D",1,0)+IF(CE1155="D",1,0)+IF(CF1155="D",1,0)+IF(CL1155="D",1,0)+IF(CM1155="D",1,0)+IF(CQ1155="D",1,0)+IF(CR1155="D",1,0)+IF(CS1155="D",1,0)+IF(CW1155="D",1,0)+IF(CX1155="D",1,0)+IF(DD1155="D",1,0)+IF(DE1155="D",1,0)+IF(DJ1155="D",1,0)+IF(DK1155="D",1,0)+IF(DO1155="D",1,0)+IF(DP1155="D",1,0)+IF(DQ1155="D",1,0)+IF(DW1155="D",1,0)+IF(DZ1155="D",1,0)+IF(EH1155="D",1,0)</f>
        <v/>
      </c>
      <c r="AY1155">
        <f>IF(DJ1155&lt;&gt;"",1,0)+IF(DK1155&lt;&gt;"",1,0)+IF(DM1155&lt;&gt;"",1,0)+IF(DO1155&lt;&gt;"",1,0)+IF(DP1155&lt;&gt;"",1,0)+IF(DQ1155&lt;&gt;"",1,0)+IF(DS1155&lt;&gt;"",1,0)+IF(DT1155&lt;&gt;"",1,0)+IF(DV1155&lt;&gt;"",1,0)+IF(DW1155&lt;&gt;"",1,0)+IF(DX1155&lt;&gt;"",1,0)+IF(DY1155&lt;&gt;"",1,0)+IF(DZ1155&lt;&gt;"",1,0)+IF(EB1155&lt;&gt;"",1,0)+IF(EC1155&lt;&gt;"",1,0)+IF(ED1155&lt;&gt;"",1,0)+IF(EG1155&lt;&gt;"",1,0)+IF(EH1155&lt;&gt;"",1,0)</f>
        <v/>
      </c>
      <c r="AZ1155">
        <f>IF(EH1155&lt;&gt;"",1,0)</f>
        <v/>
      </c>
      <c r="BB1155" t="inlineStr">
        <is>
          <t>WARREN-WARD 4</t>
        </is>
      </c>
      <c r="DN1155" t="inlineStr">
        <is>
          <t>X</t>
        </is>
      </c>
      <c r="DR1155" t="inlineStr">
        <is>
          <t>X</t>
        </is>
      </c>
      <c r="DU1155" t="inlineStr">
        <is>
          <t>X</t>
        </is>
      </c>
      <c r="EF1155" t="inlineStr">
        <is>
          <t>X</t>
        </is>
      </c>
    </row>
    <row r="1156">
      <c r="A1156" t="inlineStr">
        <is>
          <t>OH0021036907</t>
        </is>
      </c>
      <c r="B1156" t="n">
        <v>78</v>
      </c>
      <c r="C1156" t="n">
        <v>374451</v>
      </c>
      <c r="D1156" t="inlineStr">
        <is>
          <t>HALL</t>
        </is>
      </c>
      <c r="E1156" t="inlineStr">
        <is>
          <t>ASHLEY</t>
        </is>
      </c>
      <c r="F1156">
        <f>CONCATENATE(D1156," ",LEFT(H1156,4),"T=",AU1156,"D=",AV1156,"R=",AW1156,"M=",AX1156,"L=",AY1156,"B=",AZ1156)</f>
        <v/>
      </c>
      <c r="G1156" t="inlineStr">
        <is>
          <t>NICHOLE</t>
        </is>
      </c>
      <c r="I1156" t="inlineStr">
        <is>
          <t>1991-12-30</t>
        </is>
      </c>
      <c r="J1156" t="inlineStr">
        <is>
          <t>2021-04-09</t>
        </is>
      </c>
      <c r="K1156" t="inlineStr">
        <is>
          <t>CONFIRMATION</t>
        </is>
      </c>
      <c r="M1156" t="inlineStr">
        <is>
          <t>535 WASHINGTON ST NE</t>
        </is>
      </c>
      <c r="N1156">
        <f>RIGHT(M1156,LEN(M1156)-FIND(" ",M1156))</f>
        <v/>
      </c>
      <c r="P1156" t="inlineStr">
        <is>
          <t>WARREN</t>
        </is>
      </c>
      <c r="Q1156" t="inlineStr">
        <is>
          <t>OH</t>
        </is>
      </c>
      <c r="R1156" t="n">
        <v>44483</v>
      </c>
      <c r="AD1156" t="inlineStr">
        <is>
          <t>TRUMBULL CAREER &amp; TECH CENTER</t>
        </is>
      </c>
      <c r="AE1156" t="inlineStr">
        <is>
          <t>WARREN CITY</t>
        </is>
      </c>
      <c r="AF1156" t="inlineStr">
        <is>
          <t>WARREN CITY SD</t>
        </is>
      </c>
      <c r="AH1156" t="n">
        <v>14</v>
      </c>
      <c r="AI1156" t="n">
        <v>11</v>
      </c>
      <c r="AN1156" t="inlineStr">
        <is>
          <t>WARREN</t>
        </is>
      </c>
      <c r="AO1156" t="inlineStr">
        <is>
          <t>WARREN CITY 4D</t>
        </is>
      </c>
      <c r="AP1156" t="inlineStr">
        <is>
          <t>78-P-ADL</t>
        </is>
      </c>
      <c r="AQ1156" t="n">
        <v>9</v>
      </c>
      <c r="AR1156" t="n">
        <v>64</v>
      </c>
      <c r="AS1156" t="n">
        <v>32</v>
      </c>
      <c r="AU1156">
        <f>COUNTA($BA$1156:$EH$1156)</f>
        <v/>
      </c>
      <c r="AV1156">
        <f>COUNTIF($BA$1156:$EH$1156,"D")</f>
        <v/>
      </c>
      <c r="AW1156">
        <f>COUNTIF($BA$1156:$EH$1156,"R")</f>
        <v/>
      </c>
      <c r="AX1156">
        <f>IF(BN1156="D",1,0)+IF(BO1156="D",1,0)+IF(BT1156="D",1,0)+IF(BU1156="D",1,0)+IF(BW1156="D",1,0)+IF(CC1156="D",1,0)+IF(CD1156="D",1,0)+IF(CE1156="D",1,0)+IF(CF1156="D",1,0)+IF(CL1156="D",1,0)+IF(CM1156="D",1,0)+IF(CQ1156="D",1,0)+IF(CR1156="D",1,0)+IF(CS1156="D",1,0)+IF(CW1156="D",1,0)+IF(CX1156="D",1,0)+IF(DD1156="D",1,0)+IF(DE1156="D",1,0)+IF(DJ1156="D",1,0)+IF(DK1156="D",1,0)+IF(DO1156="D",1,0)+IF(DP1156="D",1,0)+IF(DQ1156="D",1,0)+IF(DW1156="D",1,0)+IF(DZ1156="D",1,0)+IF(EH1156="D",1,0)</f>
        <v/>
      </c>
      <c r="AY1156">
        <f>IF(DJ1156&lt;&gt;"",1,0)+IF(DK1156&lt;&gt;"",1,0)+IF(DM1156&lt;&gt;"",1,0)+IF(DO1156&lt;&gt;"",1,0)+IF(DP1156&lt;&gt;"",1,0)+IF(DQ1156&lt;&gt;"",1,0)+IF(DS1156&lt;&gt;"",1,0)+IF(DT1156&lt;&gt;"",1,0)+IF(DV1156&lt;&gt;"",1,0)+IF(DW1156&lt;&gt;"",1,0)+IF(DX1156&lt;&gt;"",1,0)+IF(DY1156&lt;&gt;"",1,0)+IF(DZ1156&lt;&gt;"",1,0)+IF(EB1156&lt;&gt;"",1,0)+IF(EC1156&lt;&gt;"",1,0)+IF(ED1156&lt;&gt;"",1,0)+IF(EG1156&lt;&gt;"",1,0)+IF(EH1156&lt;&gt;"",1,0)</f>
        <v/>
      </c>
      <c r="AZ1156">
        <f>IF(EH1156&lt;&gt;"",1,0)</f>
        <v/>
      </c>
      <c r="BB1156" t="inlineStr">
        <is>
          <t>WARREN-WARD 4</t>
        </is>
      </c>
      <c r="CK1156" t="inlineStr">
        <is>
          <t>X</t>
        </is>
      </c>
    </row>
    <row r="1157">
      <c r="A1157" t="inlineStr">
        <is>
          <t>OH0027932034</t>
        </is>
      </c>
      <c r="B1157" t="n">
        <v>78</v>
      </c>
      <c r="C1157" t="n">
        <v>495644</v>
      </c>
      <c r="D1157" t="inlineStr">
        <is>
          <t>OLIVER</t>
        </is>
      </c>
      <c r="E1157" t="inlineStr">
        <is>
          <t>LOGAN</t>
        </is>
      </c>
      <c r="F1157">
        <f>CONCATENATE(D1157," ",LEFT(H1157,4),"T=",AU1157,"D=",AV1157,"R=",AW1157,"M=",AX1157,"L=",AY1157,"B=",AZ1157)</f>
        <v/>
      </c>
      <c r="G1157" t="inlineStr">
        <is>
          <t>JOSEPH</t>
        </is>
      </c>
      <c r="I1157" t="inlineStr">
        <is>
          <t>2003-11-28</t>
        </is>
      </c>
      <c r="J1157" t="inlineStr">
        <is>
          <t>2025-03-31</t>
        </is>
      </c>
      <c r="K1157" t="inlineStr">
        <is>
          <t>ACTIVE</t>
        </is>
      </c>
      <c r="M1157" t="inlineStr">
        <is>
          <t>340 VINE AVE NE</t>
        </is>
      </c>
      <c r="N1157">
        <f>RIGHT(M1157,LEN(M1157)-FIND(" ",M1157))</f>
        <v/>
      </c>
      <c r="P1157" t="inlineStr">
        <is>
          <t>WARREN</t>
        </is>
      </c>
      <c r="Q1157" t="inlineStr">
        <is>
          <t>OH</t>
        </is>
      </c>
      <c r="R1157" t="n">
        <v>44483</v>
      </c>
      <c r="AD1157" t="inlineStr">
        <is>
          <t>TRUMBULL CAREER &amp; TECH CENTER</t>
        </is>
      </c>
      <c r="AE1157" t="inlineStr">
        <is>
          <t>WARREN CITY</t>
        </is>
      </c>
      <c r="AF1157" t="inlineStr">
        <is>
          <t>WARREN CITY SD</t>
        </is>
      </c>
      <c r="AH1157" t="n">
        <v>14</v>
      </c>
      <c r="AI1157" t="n">
        <v>11</v>
      </c>
      <c r="AN1157" t="inlineStr">
        <is>
          <t>WARREN</t>
        </is>
      </c>
      <c r="AO1157" t="inlineStr">
        <is>
          <t>WARREN CITY 4D</t>
        </is>
      </c>
      <c r="AP1157" t="inlineStr">
        <is>
          <t>78-P-ADL</t>
        </is>
      </c>
      <c r="AQ1157" t="n">
        <v>9</v>
      </c>
      <c r="AR1157" t="n">
        <v>64</v>
      </c>
      <c r="AS1157" t="n">
        <v>32</v>
      </c>
      <c r="AU1157">
        <f>COUNTA($BA$1157:$EH$1157)</f>
        <v/>
      </c>
      <c r="AV1157">
        <f>COUNTIF($BA$1157:$EH$1157,"D")</f>
        <v/>
      </c>
      <c r="AW1157">
        <f>COUNTIF($BA$1157:$EH$1157,"R")</f>
        <v/>
      </c>
      <c r="AX1157">
        <f>IF(BN1157="D",1,0)+IF(BO1157="D",1,0)+IF(BT1157="D",1,0)+IF(BU1157="D",1,0)+IF(BW1157="D",1,0)+IF(CC1157="D",1,0)+IF(CD1157="D",1,0)+IF(CE1157="D",1,0)+IF(CF1157="D",1,0)+IF(CL1157="D",1,0)+IF(CM1157="D",1,0)+IF(CQ1157="D",1,0)+IF(CR1157="D",1,0)+IF(CS1157="D",1,0)+IF(CW1157="D",1,0)+IF(CX1157="D",1,0)+IF(DD1157="D",1,0)+IF(DE1157="D",1,0)+IF(DJ1157="D",1,0)+IF(DK1157="D",1,0)+IF(DO1157="D",1,0)+IF(DP1157="D",1,0)+IF(DQ1157="D",1,0)+IF(DW1157="D",1,0)+IF(DZ1157="D",1,0)+IF(EH1157="D",1,0)</f>
        <v/>
      </c>
      <c r="AY1157">
        <f>IF(DJ1157&lt;&gt;"",1,0)+IF(DK1157&lt;&gt;"",1,0)+IF(DM1157&lt;&gt;"",1,0)+IF(DO1157&lt;&gt;"",1,0)+IF(DP1157&lt;&gt;"",1,0)+IF(DQ1157&lt;&gt;"",1,0)+IF(DS1157&lt;&gt;"",1,0)+IF(DT1157&lt;&gt;"",1,0)+IF(DV1157&lt;&gt;"",1,0)+IF(DW1157&lt;&gt;"",1,0)+IF(DX1157&lt;&gt;"",1,0)+IF(DY1157&lt;&gt;"",1,0)+IF(DZ1157&lt;&gt;"",1,0)+IF(EB1157&lt;&gt;"",1,0)+IF(EC1157&lt;&gt;"",1,0)+IF(ED1157&lt;&gt;"",1,0)+IF(EG1157&lt;&gt;"",1,0)+IF(EH1157&lt;&gt;"",1,0)</f>
        <v/>
      </c>
      <c r="AZ1157">
        <f>IF(EH1157&lt;&gt;"",1,0)</f>
        <v/>
      </c>
      <c r="BB1157" t="inlineStr">
        <is>
          <t>WARREN-WARD 4</t>
        </is>
      </c>
    </row>
    <row r="1158">
      <c r="A1158" t="inlineStr">
        <is>
          <t>OH0015748982</t>
        </is>
      </c>
      <c r="B1158" t="n">
        <v>78</v>
      </c>
      <c r="C1158" t="n">
        <v>306772</v>
      </c>
      <c r="D1158" t="inlineStr">
        <is>
          <t>DAVIS</t>
        </is>
      </c>
      <c r="E1158" t="inlineStr">
        <is>
          <t>VALERIE</t>
        </is>
      </c>
      <c r="F1158">
        <f>CONCATENATE(D1158," ",LEFT(H1158,4),"T=",AU1158,"D=",AV1158,"R=",AW1158,"M=",AX1158,"L=",AY1158,"B=",AZ1158)</f>
        <v/>
      </c>
      <c r="G1158" t="inlineStr">
        <is>
          <t>L</t>
        </is>
      </c>
      <c r="I1158" t="inlineStr">
        <is>
          <t>1961-10-20</t>
        </is>
      </c>
      <c r="J1158" t="inlineStr">
        <is>
          <t>2018-10-03</t>
        </is>
      </c>
      <c r="K1158" t="inlineStr">
        <is>
          <t>ACTIVE</t>
        </is>
      </c>
      <c r="M1158" t="inlineStr">
        <is>
          <t>182 HIGH ST NE</t>
        </is>
      </c>
      <c r="N1158">
        <f>RIGHT(M1158,LEN(M1158)-FIND(" ",M1158))</f>
        <v/>
      </c>
      <c r="O1158" t="inlineStr">
        <is>
          <t>APT 608</t>
        </is>
      </c>
      <c r="P1158" t="inlineStr">
        <is>
          <t>WARREN</t>
        </is>
      </c>
      <c r="Q1158" t="inlineStr">
        <is>
          <t>OH</t>
        </is>
      </c>
      <c r="R1158" t="n">
        <v>44481</v>
      </c>
      <c r="AD1158" t="inlineStr">
        <is>
          <t>TRUMBULL CAREER &amp; TECH CENTER</t>
        </is>
      </c>
      <c r="AE1158" t="inlineStr">
        <is>
          <t>WARREN CITY</t>
        </is>
      </c>
      <c r="AF1158" t="inlineStr">
        <is>
          <t>WARREN CITY SD</t>
        </is>
      </c>
      <c r="AH1158" t="n">
        <v>14</v>
      </c>
      <c r="AI1158" t="n">
        <v>11</v>
      </c>
      <c r="AN1158" t="inlineStr">
        <is>
          <t>WARREN</t>
        </is>
      </c>
      <c r="AO1158" t="inlineStr">
        <is>
          <t>WARREN CITY 4D</t>
        </is>
      </c>
      <c r="AP1158" t="inlineStr">
        <is>
          <t>78-P-ADL</t>
        </is>
      </c>
      <c r="AQ1158" t="n">
        <v>9</v>
      </c>
      <c r="AR1158" t="n">
        <v>64</v>
      </c>
      <c r="AS1158" t="n">
        <v>32</v>
      </c>
      <c r="AU1158">
        <f>COUNTA($BA$1158:$EH$1158)</f>
        <v/>
      </c>
      <c r="AV1158">
        <f>COUNTIF($BA$1158:$EH$1158,"D")</f>
        <v/>
      </c>
      <c r="AW1158">
        <f>COUNTIF($BA$1158:$EH$1158,"R")</f>
        <v/>
      </c>
      <c r="AX1158">
        <f>IF(BN1158="D",1,0)+IF(BO1158="D",1,0)+IF(BT1158="D",1,0)+IF(BU1158="D",1,0)+IF(BW1158="D",1,0)+IF(CC1158="D",1,0)+IF(CD1158="D",1,0)+IF(CE1158="D",1,0)+IF(CF1158="D",1,0)+IF(CL1158="D",1,0)+IF(CM1158="D",1,0)+IF(CQ1158="D",1,0)+IF(CR1158="D",1,0)+IF(CS1158="D",1,0)+IF(CW1158="D",1,0)+IF(CX1158="D",1,0)+IF(DD1158="D",1,0)+IF(DE1158="D",1,0)+IF(DJ1158="D",1,0)+IF(DK1158="D",1,0)+IF(DO1158="D",1,0)+IF(DP1158="D",1,0)+IF(DQ1158="D",1,0)+IF(DW1158="D",1,0)+IF(DZ1158="D",1,0)+IF(EH1158="D",1,0)</f>
        <v/>
      </c>
      <c r="AY1158">
        <f>IF(DJ1158&lt;&gt;"",1,0)+IF(DK1158&lt;&gt;"",1,0)+IF(DM1158&lt;&gt;"",1,0)+IF(DO1158&lt;&gt;"",1,0)+IF(DP1158&lt;&gt;"",1,0)+IF(DQ1158&lt;&gt;"",1,0)+IF(DS1158&lt;&gt;"",1,0)+IF(DT1158&lt;&gt;"",1,0)+IF(DV1158&lt;&gt;"",1,0)+IF(DW1158&lt;&gt;"",1,0)+IF(DX1158&lt;&gt;"",1,0)+IF(DY1158&lt;&gt;"",1,0)+IF(DZ1158&lt;&gt;"",1,0)+IF(EB1158&lt;&gt;"",1,0)+IF(EC1158&lt;&gt;"",1,0)+IF(ED1158&lt;&gt;"",1,0)+IF(EG1158&lt;&gt;"",1,0)+IF(EH1158&lt;&gt;"",1,0)</f>
        <v/>
      </c>
      <c r="AZ1158">
        <f>IF(EH1158&lt;&gt;"",1,0)</f>
        <v/>
      </c>
      <c r="BB1158" t="inlineStr">
        <is>
          <t>WARREN-WARD 4</t>
        </is>
      </c>
      <c r="DN1158" t="inlineStr">
        <is>
          <t>X</t>
        </is>
      </c>
      <c r="DU1158" t="inlineStr">
        <is>
          <t>X</t>
        </is>
      </c>
    </row>
    <row r="1159">
      <c r="A1159" t="inlineStr">
        <is>
          <t>OH0021578224</t>
        </is>
      </c>
      <c r="B1159" t="n">
        <v>78</v>
      </c>
      <c r="C1159" t="n">
        <v>383225</v>
      </c>
      <c r="D1159" t="inlineStr">
        <is>
          <t>CLEVENGER</t>
        </is>
      </c>
      <c r="E1159" t="inlineStr">
        <is>
          <t>CASSANDRA</t>
        </is>
      </c>
      <c r="F1159">
        <f>CONCATENATE(D1159," ",LEFT(H1159,4),"T=",AU1159,"D=",AV1159,"R=",AW1159,"M=",AX1159,"L=",AY1159,"B=",AZ1159)</f>
        <v/>
      </c>
      <c r="G1159" t="inlineStr">
        <is>
          <t>C</t>
        </is>
      </c>
      <c r="I1159" t="inlineStr">
        <is>
          <t>1987-09-02</t>
        </is>
      </c>
      <c r="J1159" t="inlineStr">
        <is>
          <t>2020-07-21</t>
        </is>
      </c>
      <c r="K1159" t="inlineStr">
        <is>
          <t>ACTIVE</t>
        </is>
      </c>
      <c r="L1159" t="inlineStr">
        <is>
          <t>R</t>
        </is>
      </c>
      <c r="M1159" t="inlineStr">
        <is>
          <t>303 WASHINGTON ST NW</t>
        </is>
      </c>
      <c r="N1159">
        <f>RIGHT(M1159,LEN(M1159)-FIND(" ",M1159))</f>
        <v/>
      </c>
      <c r="P1159" t="inlineStr">
        <is>
          <t>WARREN</t>
        </is>
      </c>
      <c r="Q1159" t="inlineStr">
        <is>
          <t>OH</t>
        </is>
      </c>
      <c r="R1159" t="n">
        <v>44483</v>
      </c>
      <c r="AD1159" t="inlineStr">
        <is>
          <t>TRUMBULL CAREER &amp; TECH CENTER</t>
        </is>
      </c>
      <c r="AE1159" t="inlineStr">
        <is>
          <t>WARREN CITY</t>
        </is>
      </c>
      <c r="AF1159" t="inlineStr">
        <is>
          <t>WARREN CITY SD</t>
        </is>
      </c>
      <c r="AH1159" t="n">
        <v>14</v>
      </c>
      <c r="AI1159" t="n">
        <v>11</v>
      </c>
      <c r="AN1159" t="inlineStr">
        <is>
          <t>WARREN</t>
        </is>
      </c>
      <c r="AO1159" t="inlineStr">
        <is>
          <t>WARREN CITY 4D</t>
        </is>
      </c>
      <c r="AP1159" t="inlineStr">
        <is>
          <t>78-P-ADL</t>
        </is>
      </c>
      <c r="AQ1159" t="n">
        <v>9</v>
      </c>
      <c r="AR1159" t="n">
        <v>64</v>
      </c>
      <c r="AS1159" t="n">
        <v>32</v>
      </c>
      <c r="AU1159">
        <f>COUNTA($BA$1159:$EH$1159)</f>
        <v/>
      </c>
      <c r="AV1159">
        <f>COUNTIF($BA$1159:$EH$1159,"D")</f>
        <v/>
      </c>
      <c r="AW1159">
        <f>COUNTIF($BA$1159:$EH$1159,"R")</f>
        <v/>
      </c>
      <c r="AX1159">
        <f>IF(BN1159="D",1,0)+IF(BO1159="D",1,0)+IF(BT1159="D",1,0)+IF(BU1159="D",1,0)+IF(BW1159="D",1,0)+IF(CC1159="D",1,0)+IF(CD1159="D",1,0)+IF(CE1159="D",1,0)+IF(CF1159="D",1,0)+IF(CL1159="D",1,0)+IF(CM1159="D",1,0)+IF(CQ1159="D",1,0)+IF(CR1159="D",1,0)+IF(CS1159="D",1,0)+IF(CW1159="D",1,0)+IF(CX1159="D",1,0)+IF(DD1159="D",1,0)+IF(DE1159="D",1,0)+IF(DJ1159="D",1,0)+IF(DK1159="D",1,0)+IF(DO1159="D",1,0)+IF(DP1159="D",1,0)+IF(DQ1159="D",1,0)+IF(DW1159="D",1,0)+IF(DZ1159="D",1,0)+IF(EH1159="D",1,0)</f>
        <v/>
      </c>
      <c r="AY1159">
        <f>IF(DJ1159&lt;&gt;"",1,0)+IF(DK1159&lt;&gt;"",1,0)+IF(DM1159&lt;&gt;"",1,0)+IF(DO1159&lt;&gt;"",1,0)+IF(DP1159&lt;&gt;"",1,0)+IF(DQ1159&lt;&gt;"",1,0)+IF(DS1159&lt;&gt;"",1,0)+IF(DT1159&lt;&gt;"",1,0)+IF(DV1159&lt;&gt;"",1,0)+IF(DW1159&lt;&gt;"",1,0)+IF(DX1159&lt;&gt;"",1,0)+IF(DY1159&lt;&gt;"",1,0)+IF(DZ1159&lt;&gt;"",1,0)+IF(EB1159&lt;&gt;"",1,0)+IF(EC1159&lt;&gt;"",1,0)+IF(ED1159&lt;&gt;"",1,0)+IF(EG1159&lt;&gt;"",1,0)+IF(EH1159&lt;&gt;"",1,0)</f>
        <v/>
      </c>
      <c r="AZ1159">
        <f>IF(EH1159&lt;&gt;"",1,0)</f>
        <v/>
      </c>
      <c r="BB1159" t="inlineStr">
        <is>
          <t>WARREN-WARD 4</t>
        </is>
      </c>
      <c r="CA1159" t="inlineStr">
        <is>
          <t>X</t>
        </is>
      </c>
      <c r="CG1159" t="inlineStr">
        <is>
          <t>X</t>
        </is>
      </c>
      <c r="CP1159" t="inlineStr">
        <is>
          <t>X</t>
        </is>
      </c>
      <c r="DC1159" t="inlineStr">
        <is>
          <t>X</t>
        </is>
      </c>
      <c r="DD1159" t="inlineStr">
        <is>
          <t>D</t>
        </is>
      </c>
      <c r="DF1159" t="inlineStr">
        <is>
          <t>X</t>
        </is>
      </c>
      <c r="DI1159" t="inlineStr">
        <is>
          <t>X</t>
        </is>
      </c>
      <c r="DJ1159" t="inlineStr">
        <is>
          <t>D</t>
        </is>
      </c>
      <c r="DN1159" t="inlineStr">
        <is>
          <t>X</t>
        </is>
      </c>
      <c r="DR1159" t="inlineStr">
        <is>
          <t>X</t>
        </is>
      </c>
      <c r="DS1159" t="inlineStr">
        <is>
          <t>D</t>
        </is>
      </c>
      <c r="DU1159" t="inlineStr">
        <is>
          <t>X</t>
        </is>
      </c>
      <c r="DX1159" t="inlineStr">
        <is>
          <t>X</t>
        </is>
      </c>
      <c r="ED1159" t="inlineStr">
        <is>
          <t>R</t>
        </is>
      </c>
      <c r="EF1159" t="inlineStr">
        <is>
          <t>X</t>
        </is>
      </c>
    </row>
    <row r="1160">
      <c r="A1160" t="inlineStr">
        <is>
          <t>OH0023187330</t>
        </is>
      </c>
      <c r="B1160" t="n">
        <v>78</v>
      </c>
      <c r="C1160" t="n">
        <v>408052</v>
      </c>
      <c r="D1160" t="inlineStr">
        <is>
          <t>WILSON</t>
        </is>
      </c>
      <c r="E1160" t="inlineStr">
        <is>
          <t>BRADLEY</t>
        </is>
      </c>
      <c r="F1160">
        <f>CONCATENATE(D1160," ",LEFT(H1160,4),"T=",AU1160,"D=",AV1160,"R=",AW1160,"M=",AX1160,"L=",AY1160,"B=",AZ1160)</f>
        <v/>
      </c>
      <c r="G1160" t="inlineStr">
        <is>
          <t>M</t>
        </is>
      </c>
      <c r="I1160" t="inlineStr">
        <is>
          <t>1997-05-06</t>
        </is>
      </c>
      <c r="J1160" t="inlineStr">
        <is>
          <t>2015-06-15</t>
        </is>
      </c>
      <c r="K1160" t="inlineStr">
        <is>
          <t>CONFIRMATION</t>
        </is>
      </c>
      <c r="M1160" t="inlineStr">
        <is>
          <t>464 VINE AVE NE</t>
        </is>
      </c>
      <c r="N1160">
        <f>RIGHT(M1160,LEN(M1160)-FIND(" ",M1160))</f>
        <v/>
      </c>
      <c r="O1160" t="inlineStr">
        <is>
          <t>APT 2</t>
        </is>
      </c>
      <c r="P1160" t="inlineStr">
        <is>
          <t>WARREN</t>
        </is>
      </c>
      <c r="Q1160" t="inlineStr">
        <is>
          <t>OH</t>
        </is>
      </c>
      <c r="R1160" t="n">
        <v>44483</v>
      </c>
      <c r="AD1160" t="inlineStr">
        <is>
          <t>TRUMBULL CAREER &amp; TECH CENTER</t>
        </is>
      </c>
      <c r="AE1160" t="inlineStr">
        <is>
          <t>WARREN CITY</t>
        </is>
      </c>
      <c r="AF1160" t="inlineStr">
        <is>
          <t>WARREN CITY SD</t>
        </is>
      </c>
      <c r="AH1160" t="n">
        <v>14</v>
      </c>
      <c r="AI1160" t="n">
        <v>11</v>
      </c>
      <c r="AN1160" t="inlineStr">
        <is>
          <t>WARREN</t>
        </is>
      </c>
      <c r="AO1160" t="inlineStr">
        <is>
          <t>WARREN CITY 4D</t>
        </is>
      </c>
      <c r="AP1160" t="inlineStr">
        <is>
          <t>78-P-ADL</t>
        </is>
      </c>
      <c r="AQ1160" t="n">
        <v>9</v>
      </c>
      <c r="AR1160" t="n">
        <v>64</v>
      </c>
      <c r="AS1160" t="n">
        <v>32</v>
      </c>
      <c r="AU1160">
        <f>COUNTA($BA$1160:$EH$1160)</f>
        <v/>
      </c>
      <c r="AV1160">
        <f>COUNTIF($BA$1160:$EH$1160,"D")</f>
        <v/>
      </c>
      <c r="AW1160">
        <f>COUNTIF($BA$1160:$EH$1160,"R")</f>
        <v/>
      </c>
      <c r="AX1160">
        <f>IF(BN1160="D",1,0)+IF(BO1160="D",1,0)+IF(BT1160="D",1,0)+IF(BU1160="D",1,0)+IF(BW1160="D",1,0)+IF(CC1160="D",1,0)+IF(CD1160="D",1,0)+IF(CE1160="D",1,0)+IF(CF1160="D",1,0)+IF(CL1160="D",1,0)+IF(CM1160="D",1,0)+IF(CQ1160="D",1,0)+IF(CR1160="D",1,0)+IF(CS1160="D",1,0)+IF(CW1160="D",1,0)+IF(CX1160="D",1,0)+IF(DD1160="D",1,0)+IF(DE1160="D",1,0)+IF(DJ1160="D",1,0)+IF(DK1160="D",1,0)+IF(DO1160="D",1,0)+IF(DP1160="D",1,0)+IF(DQ1160="D",1,0)+IF(DW1160="D",1,0)+IF(DZ1160="D",1,0)+IF(EH1160="D",1,0)</f>
        <v/>
      </c>
      <c r="AY1160">
        <f>IF(DJ1160&lt;&gt;"",1,0)+IF(DK1160&lt;&gt;"",1,0)+IF(DM1160&lt;&gt;"",1,0)+IF(DO1160&lt;&gt;"",1,0)+IF(DP1160&lt;&gt;"",1,0)+IF(DQ1160&lt;&gt;"",1,0)+IF(DS1160&lt;&gt;"",1,0)+IF(DT1160&lt;&gt;"",1,0)+IF(DV1160&lt;&gt;"",1,0)+IF(DW1160&lt;&gt;"",1,0)+IF(DX1160&lt;&gt;"",1,0)+IF(DY1160&lt;&gt;"",1,0)+IF(DZ1160&lt;&gt;"",1,0)+IF(EB1160&lt;&gt;"",1,0)+IF(EC1160&lt;&gt;"",1,0)+IF(ED1160&lt;&gt;"",1,0)+IF(EG1160&lt;&gt;"",1,0)+IF(EH1160&lt;&gt;"",1,0)</f>
        <v/>
      </c>
      <c r="AZ1160">
        <f>IF(EH1160&lt;&gt;"",1,0)</f>
        <v/>
      </c>
      <c r="BB1160" t="inlineStr">
        <is>
          <t>WARREN-WARD 4</t>
        </is>
      </c>
    </row>
    <row r="1161">
      <c r="A1161" t="inlineStr">
        <is>
          <t>OH0015677704</t>
        </is>
      </c>
      <c r="B1161" t="n">
        <v>78</v>
      </c>
      <c r="C1161" t="n">
        <v>266922</v>
      </c>
      <c r="D1161" t="inlineStr">
        <is>
          <t>ALLEN</t>
        </is>
      </c>
      <c r="E1161" t="inlineStr">
        <is>
          <t>ROBERT</t>
        </is>
      </c>
      <c r="F1161">
        <f>CONCATENATE(D1161," ",LEFT(H1161,4),"T=",AU1161,"D=",AV1161,"R=",AW1161,"M=",AX1161,"L=",AY1161,"B=",AZ1161)</f>
        <v/>
      </c>
      <c r="G1161" t="inlineStr">
        <is>
          <t>V</t>
        </is>
      </c>
      <c r="I1161" t="inlineStr">
        <is>
          <t>1952-06-12</t>
        </is>
      </c>
      <c r="J1161" t="inlineStr">
        <is>
          <t>2023-07-11</t>
        </is>
      </c>
      <c r="K1161" t="inlineStr">
        <is>
          <t>ACTIVE</t>
        </is>
      </c>
      <c r="M1161" t="inlineStr">
        <is>
          <t>438 N PARK AVE</t>
        </is>
      </c>
      <c r="N1161">
        <f>RIGHT(M1161,LEN(M1161)-FIND(" ",M1161))</f>
        <v/>
      </c>
      <c r="O1161" t="inlineStr">
        <is>
          <t>APT 4</t>
        </is>
      </c>
      <c r="P1161" t="inlineStr">
        <is>
          <t>WARREN</t>
        </is>
      </c>
      <c r="Q1161" t="inlineStr">
        <is>
          <t>OH</t>
        </is>
      </c>
      <c r="R1161" t="n">
        <v>44481</v>
      </c>
      <c r="AD1161" t="inlineStr">
        <is>
          <t>TRUMBULL CAREER &amp; TECH CENTER</t>
        </is>
      </c>
      <c r="AE1161" t="inlineStr">
        <is>
          <t>WARREN CITY</t>
        </is>
      </c>
      <c r="AF1161" t="inlineStr">
        <is>
          <t>WARREN CITY SD</t>
        </is>
      </c>
      <c r="AH1161" t="n">
        <v>14</v>
      </c>
      <c r="AI1161" t="n">
        <v>11</v>
      </c>
      <c r="AN1161" t="inlineStr">
        <is>
          <t>WARREN</t>
        </is>
      </c>
      <c r="AO1161" t="inlineStr">
        <is>
          <t>WARREN CITY 4D</t>
        </is>
      </c>
      <c r="AP1161" t="inlineStr">
        <is>
          <t>78-P-ADL</t>
        </is>
      </c>
      <c r="AQ1161" t="n">
        <v>9</v>
      </c>
      <c r="AR1161" t="n">
        <v>64</v>
      </c>
      <c r="AS1161" t="n">
        <v>32</v>
      </c>
      <c r="AU1161">
        <f>COUNTA($BA$1161:$EH$1161)</f>
        <v/>
      </c>
      <c r="AV1161">
        <f>COUNTIF($BA$1161:$EH$1161,"D")</f>
        <v/>
      </c>
      <c r="AW1161">
        <f>COUNTIF($BA$1161:$EH$1161,"R")</f>
        <v/>
      </c>
      <c r="AX1161">
        <f>IF(BN1161="D",1,0)+IF(BO1161="D",1,0)+IF(BT1161="D",1,0)+IF(BU1161="D",1,0)+IF(BW1161="D",1,0)+IF(CC1161="D",1,0)+IF(CD1161="D",1,0)+IF(CE1161="D",1,0)+IF(CF1161="D",1,0)+IF(CL1161="D",1,0)+IF(CM1161="D",1,0)+IF(CQ1161="D",1,0)+IF(CR1161="D",1,0)+IF(CS1161="D",1,0)+IF(CW1161="D",1,0)+IF(CX1161="D",1,0)+IF(DD1161="D",1,0)+IF(DE1161="D",1,0)+IF(DJ1161="D",1,0)+IF(DK1161="D",1,0)+IF(DO1161="D",1,0)+IF(DP1161="D",1,0)+IF(DQ1161="D",1,0)+IF(DW1161="D",1,0)+IF(DZ1161="D",1,0)+IF(EH1161="D",1,0)</f>
        <v/>
      </c>
      <c r="AY1161">
        <f>IF(DJ1161&lt;&gt;"",1,0)+IF(DK1161&lt;&gt;"",1,0)+IF(DM1161&lt;&gt;"",1,0)+IF(DO1161&lt;&gt;"",1,0)+IF(DP1161&lt;&gt;"",1,0)+IF(DQ1161&lt;&gt;"",1,0)+IF(DS1161&lt;&gt;"",1,0)+IF(DT1161&lt;&gt;"",1,0)+IF(DV1161&lt;&gt;"",1,0)+IF(DW1161&lt;&gt;"",1,0)+IF(DX1161&lt;&gt;"",1,0)+IF(DY1161&lt;&gt;"",1,0)+IF(DZ1161&lt;&gt;"",1,0)+IF(EB1161&lt;&gt;"",1,0)+IF(EC1161&lt;&gt;"",1,0)+IF(ED1161&lt;&gt;"",1,0)+IF(EG1161&lt;&gt;"",1,0)+IF(EH1161&lt;&gt;"",1,0)</f>
        <v/>
      </c>
      <c r="AZ1161">
        <f>IF(EH1161&lt;&gt;"",1,0)</f>
        <v/>
      </c>
      <c r="BB1161" t="inlineStr">
        <is>
          <t>WARREN-WARD 4</t>
        </is>
      </c>
      <c r="BC1161" t="inlineStr">
        <is>
          <t>X</t>
        </is>
      </c>
      <c r="BD1161" t="inlineStr">
        <is>
          <t>X</t>
        </is>
      </c>
      <c r="BL1161" t="inlineStr">
        <is>
          <t>X</t>
        </is>
      </c>
      <c r="CA1161" t="inlineStr">
        <is>
          <t>X</t>
        </is>
      </c>
      <c r="CY1161" t="inlineStr">
        <is>
          <t>X</t>
        </is>
      </c>
      <c r="DC1161" t="inlineStr">
        <is>
          <t>X</t>
        </is>
      </c>
      <c r="DI1161" t="inlineStr">
        <is>
          <t>X</t>
        </is>
      </c>
      <c r="DN1161" t="inlineStr">
        <is>
          <t>X</t>
        </is>
      </c>
      <c r="EA1161" t="inlineStr">
        <is>
          <t>X</t>
        </is>
      </c>
      <c r="EF1161" t="inlineStr">
        <is>
          <t>X</t>
        </is>
      </c>
    </row>
    <row r="1162">
      <c r="A1162" t="inlineStr">
        <is>
          <t>OH0020289385</t>
        </is>
      </c>
      <c r="B1162" t="n">
        <v>78</v>
      </c>
      <c r="C1162" t="n">
        <v>364647</v>
      </c>
      <c r="D1162" t="inlineStr">
        <is>
          <t>JOHNSON</t>
        </is>
      </c>
      <c r="E1162" t="inlineStr">
        <is>
          <t>RASHAD</t>
        </is>
      </c>
      <c r="F1162">
        <f>CONCATENATE(D1162," ",LEFT(H1162,4),"T=",AU1162,"D=",AV1162,"R=",AW1162,"M=",AX1162,"L=",AY1162,"B=",AZ1162)</f>
        <v/>
      </c>
      <c r="G1162" t="inlineStr">
        <is>
          <t>J</t>
        </is>
      </c>
      <c r="I1162" t="inlineStr">
        <is>
          <t>1990-09-27</t>
        </is>
      </c>
      <c r="J1162" t="inlineStr">
        <is>
          <t>2024-10-10</t>
        </is>
      </c>
      <c r="K1162" t="inlineStr">
        <is>
          <t>ACTIVE</t>
        </is>
      </c>
      <c r="M1162" t="inlineStr">
        <is>
          <t>436 PORTER ST NE</t>
        </is>
      </c>
      <c r="N1162">
        <f>RIGHT(M1162,LEN(M1162)-FIND(" ",M1162))</f>
        <v/>
      </c>
      <c r="P1162" t="inlineStr">
        <is>
          <t>WARREN</t>
        </is>
      </c>
      <c r="Q1162" t="inlineStr">
        <is>
          <t>OH</t>
        </is>
      </c>
      <c r="R1162" t="n">
        <v>44483</v>
      </c>
      <c r="AD1162" t="inlineStr">
        <is>
          <t>TRUMBULL CAREER &amp; TECH CENTER</t>
        </is>
      </c>
      <c r="AE1162" t="inlineStr">
        <is>
          <t>WARREN CITY</t>
        </is>
      </c>
      <c r="AF1162" t="inlineStr">
        <is>
          <t>WARREN CITY SD</t>
        </is>
      </c>
      <c r="AH1162" t="n">
        <v>14</v>
      </c>
      <c r="AI1162" t="n">
        <v>11</v>
      </c>
      <c r="AN1162" t="inlineStr">
        <is>
          <t>WARREN</t>
        </is>
      </c>
      <c r="AO1162" t="inlineStr">
        <is>
          <t>WARREN CITY 4D</t>
        </is>
      </c>
      <c r="AP1162" t="inlineStr">
        <is>
          <t>78-P-ADL</t>
        </is>
      </c>
      <c r="AQ1162" t="n">
        <v>9</v>
      </c>
      <c r="AR1162" t="n">
        <v>64</v>
      </c>
      <c r="AS1162" t="n">
        <v>32</v>
      </c>
      <c r="AU1162">
        <f>COUNTA($BA$1162:$EH$1162)</f>
        <v/>
      </c>
      <c r="AV1162">
        <f>COUNTIF($BA$1162:$EH$1162,"D")</f>
        <v/>
      </c>
      <c r="AW1162">
        <f>COUNTIF($BA$1162:$EH$1162,"R")</f>
        <v/>
      </c>
      <c r="AX1162">
        <f>IF(BN1162="D",1,0)+IF(BO1162="D",1,0)+IF(BT1162="D",1,0)+IF(BU1162="D",1,0)+IF(BW1162="D",1,0)+IF(CC1162="D",1,0)+IF(CD1162="D",1,0)+IF(CE1162="D",1,0)+IF(CF1162="D",1,0)+IF(CL1162="D",1,0)+IF(CM1162="D",1,0)+IF(CQ1162="D",1,0)+IF(CR1162="D",1,0)+IF(CS1162="D",1,0)+IF(CW1162="D",1,0)+IF(CX1162="D",1,0)+IF(DD1162="D",1,0)+IF(DE1162="D",1,0)+IF(DJ1162="D",1,0)+IF(DK1162="D",1,0)+IF(DO1162="D",1,0)+IF(DP1162="D",1,0)+IF(DQ1162="D",1,0)+IF(DW1162="D",1,0)+IF(DZ1162="D",1,0)+IF(EH1162="D",1,0)</f>
        <v/>
      </c>
      <c r="AY1162">
        <f>IF(DJ1162&lt;&gt;"",1,0)+IF(DK1162&lt;&gt;"",1,0)+IF(DM1162&lt;&gt;"",1,0)+IF(DO1162&lt;&gt;"",1,0)+IF(DP1162&lt;&gt;"",1,0)+IF(DQ1162&lt;&gt;"",1,0)+IF(DS1162&lt;&gt;"",1,0)+IF(DT1162&lt;&gt;"",1,0)+IF(DV1162&lt;&gt;"",1,0)+IF(DW1162&lt;&gt;"",1,0)+IF(DX1162&lt;&gt;"",1,0)+IF(DY1162&lt;&gt;"",1,0)+IF(DZ1162&lt;&gt;"",1,0)+IF(EB1162&lt;&gt;"",1,0)+IF(EC1162&lt;&gt;"",1,0)+IF(ED1162&lt;&gt;"",1,0)+IF(EG1162&lt;&gt;"",1,0)+IF(EH1162&lt;&gt;"",1,0)</f>
        <v/>
      </c>
      <c r="AZ1162">
        <f>IF(EH1162&lt;&gt;"",1,0)</f>
        <v/>
      </c>
      <c r="BB1162" t="inlineStr">
        <is>
          <t>WARREN-WARD 4</t>
        </is>
      </c>
      <c r="CA1162" t="inlineStr">
        <is>
          <t>X</t>
        </is>
      </c>
      <c r="CP1162" t="inlineStr">
        <is>
          <t>X</t>
        </is>
      </c>
      <c r="DC1162" t="inlineStr">
        <is>
          <t>X</t>
        </is>
      </c>
    </row>
    <row r="1163">
      <c r="A1163" t="inlineStr">
        <is>
          <t>OH0015816367</t>
        </is>
      </c>
      <c r="B1163" t="n">
        <v>78</v>
      </c>
      <c r="C1163" t="n">
        <v>302150</v>
      </c>
      <c r="D1163" t="inlineStr">
        <is>
          <t>LACOUNT</t>
        </is>
      </c>
      <c r="E1163" t="inlineStr">
        <is>
          <t>GARY</t>
        </is>
      </c>
      <c r="F1163">
        <f>CONCATENATE(D1163," ",LEFT(H1163,4),"T=",AU1163,"D=",AV1163,"R=",AW1163,"M=",AX1163,"L=",AY1163,"B=",AZ1163)</f>
        <v/>
      </c>
      <c r="G1163" t="inlineStr">
        <is>
          <t>ALLEN</t>
        </is>
      </c>
      <c r="I1163" t="inlineStr">
        <is>
          <t>1955-07-28</t>
        </is>
      </c>
      <c r="J1163" t="inlineStr">
        <is>
          <t>2017-09-20</t>
        </is>
      </c>
      <c r="K1163" t="inlineStr">
        <is>
          <t>ACTIVE</t>
        </is>
      </c>
      <c r="M1163" t="inlineStr">
        <is>
          <t>631 OLIVE AVE NE</t>
        </is>
      </c>
      <c r="N1163">
        <f>RIGHT(M1163,LEN(M1163)-FIND(" ",M1163))</f>
        <v/>
      </c>
      <c r="P1163" t="inlineStr">
        <is>
          <t>WARREN</t>
        </is>
      </c>
      <c r="Q1163" t="inlineStr">
        <is>
          <t>OH</t>
        </is>
      </c>
      <c r="R1163" t="n">
        <v>44483</v>
      </c>
      <c r="AD1163" t="inlineStr">
        <is>
          <t>TRUMBULL CAREER &amp; TECH CENTER</t>
        </is>
      </c>
      <c r="AE1163" t="inlineStr">
        <is>
          <t>WARREN CITY</t>
        </is>
      </c>
      <c r="AF1163" t="inlineStr">
        <is>
          <t>WARREN CITY SD</t>
        </is>
      </c>
      <c r="AH1163" t="n">
        <v>14</v>
      </c>
      <c r="AI1163" t="n">
        <v>11</v>
      </c>
      <c r="AN1163" t="inlineStr">
        <is>
          <t>WARREN</t>
        </is>
      </c>
      <c r="AO1163" t="inlineStr">
        <is>
          <t>WARREN CITY 4D</t>
        </is>
      </c>
      <c r="AP1163" t="inlineStr">
        <is>
          <t>78-P-ADL</t>
        </is>
      </c>
      <c r="AQ1163" t="n">
        <v>9</v>
      </c>
      <c r="AR1163" t="n">
        <v>64</v>
      </c>
      <c r="AS1163" t="n">
        <v>32</v>
      </c>
      <c r="AU1163">
        <f>COUNTA($BA$1163:$EH$1163)</f>
        <v/>
      </c>
      <c r="AV1163">
        <f>COUNTIF($BA$1163:$EH$1163,"D")</f>
        <v/>
      </c>
      <c r="AW1163">
        <f>COUNTIF($BA$1163:$EH$1163,"R")</f>
        <v/>
      </c>
      <c r="AX1163">
        <f>IF(BN1163="D",1,0)+IF(BO1163="D",1,0)+IF(BT1163="D",1,0)+IF(BU1163="D",1,0)+IF(BW1163="D",1,0)+IF(CC1163="D",1,0)+IF(CD1163="D",1,0)+IF(CE1163="D",1,0)+IF(CF1163="D",1,0)+IF(CL1163="D",1,0)+IF(CM1163="D",1,0)+IF(CQ1163="D",1,0)+IF(CR1163="D",1,0)+IF(CS1163="D",1,0)+IF(CW1163="D",1,0)+IF(CX1163="D",1,0)+IF(DD1163="D",1,0)+IF(DE1163="D",1,0)+IF(DJ1163="D",1,0)+IF(DK1163="D",1,0)+IF(DO1163="D",1,0)+IF(DP1163="D",1,0)+IF(DQ1163="D",1,0)+IF(DW1163="D",1,0)+IF(DZ1163="D",1,0)+IF(EH1163="D",1,0)</f>
        <v/>
      </c>
      <c r="AY1163">
        <f>IF(DJ1163&lt;&gt;"",1,0)+IF(DK1163&lt;&gt;"",1,0)+IF(DM1163&lt;&gt;"",1,0)+IF(DO1163&lt;&gt;"",1,0)+IF(DP1163&lt;&gt;"",1,0)+IF(DQ1163&lt;&gt;"",1,0)+IF(DS1163&lt;&gt;"",1,0)+IF(DT1163&lt;&gt;"",1,0)+IF(DV1163&lt;&gt;"",1,0)+IF(DW1163&lt;&gt;"",1,0)+IF(DX1163&lt;&gt;"",1,0)+IF(DY1163&lt;&gt;"",1,0)+IF(DZ1163&lt;&gt;"",1,0)+IF(EB1163&lt;&gt;"",1,0)+IF(EC1163&lt;&gt;"",1,0)+IF(ED1163&lt;&gt;"",1,0)+IF(EG1163&lt;&gt;"",1,0)+IF(EH1163&lt;&gt;"",1,0)</f>
        <v/>
      </c>
      <c r="AZ1163">
        <f>IF(EH1163&lt;&gt;"",1,0)</f>
        <v/>
      </c>
      <c r="BB1163" t="inlineStr">
        <is>
          <t>WARREN-WARD 4</t>
        </is>
      </c>
      <c r="DN1163" t="inlineStr">
        <is>
          <t>X</t>
        </is>
      </c>
    </row>
    <row r="1164">
      <c r="A1164" t="inlineStr">
        <is>
          <t>OH0024101400</t>
        </is>
      </c>
      <c r="B1164" t="n">
        <v>78</v>
      </c>
      <c r="C1164" t="n">
        <v>420936</v>
      </c>
      <c r="D1164" t="inlineStr">
        <is>
          <t>MOSHER</t>
        </is>
      </c>
      <c r="E1164" t="inlineStr">
        <is>
          <t>NICOLE</t>
        </is>
      </c>
      <c r="F1164">
        <f>CONCATENATE(D1164," ",LEFT(H1164,4),"T=",AU1164,"D=",AV1164,"R=",AW1164,"M=",AX1164,"L=",AY1164,"B=",AZ1164)</f>
        <v/>
      </c>
      <c r="G1164" t="inlineStr">
        <is>
          <t>LINDSEY</t>
        </is>
      </c>
      <c r="I1164" t="inlineStr">
        <is>
          <t>1986-11-07</t>
        </is>
      </c>
      <c r="J1164" t="inlineStr">
        <is>
          <t>2017-08-05</t>
        </is>
      </c>
      <c r="K1164" t="inlineStr">
        <is>
          <t>ACTIVE</t>
        </is>
      </c>
      <c r="M1164" t="inlineStr">
        <is>
          <t>539 HIGH ST NE</t>
        </is>
      </c>
      <c r="N1164">
        <f>RIGHT(M1164,LEN(M1164)-FIND(" ",M1164))</f>
        <v/>
      </c>
      <c r="P1164" t="inlineStr">
        <is>
          <t>WARREN</t>
        </is>
      </c>
      <c r="Q1164" t="inlineStr">
        <is>
          <t>OH</t>
        </is>
      </c>
      <c r="R1164" t="n">
        <v>44483</v>
      </c>
      <c r="AD1164" t="inlineStr">
        <is>
          <t>TRUMBULL CAREER &amp; TECH CENTER</t>
        </is>
      </c>
      <c r="AE1164" t="inlineStr">
        <is>
          <t>WARREN CITY</t>
        </is>
      </c>
      <c r="AF1164" t="inlineStr">
        <is>
          <t>WARREN CITY SD</t>
        </is>
      </c>
      <c r="AH1164" t="n">
        <v>14</v>
      </c>
      <c r="AI1164" t="n">
        <v>11</v>
      </c>
      <c r="AN1164" t="inlineStr">
        <is>
          <t>WARREN</t>
        </is>
      </c>
      <c r="AO1164" t="inlineStr">
        <is>
          <t>WARREN CITY 4D</t>
        </is>
      </c>
      <c r="AP1164" t="inlineStr">
        <is>
          <t>78-P-ADL</t>
        </is>
      </c>
      <c r="AQ1164" t="n">
        <v>9</v>
      </c>
      <c r="AR1164" t="n">
        <v>64</v>
      </c>
      <c r="AS1164" t="n">
        <v>32</v>
      </c>
      <c r="AU1164">
        <f>COUNTA($BA$1164:$EH$1164)</f>
        <v/>
      </c>
      <c r="AV1164">
        <f>COUNTIF($BA$1164:$EH$1164,"D")</f>
        <v/>
      </c>
      <c r="AW1164">
        <f>COUNTIF($BA$1164:$EH$1164,"R")</f>
        <v/>
      </c>
      <c r="AX1164">
        <f>IF(BN1164="D",1,0)+IF(BO1164="D",1,0)+IF(BT1164="D",1,0)+IF(BU1164="D",1,0)+IF(BW1164="D",1,0)+IF(CC1164="D",1,0)+IF(CD1164="D",1,0)+IF(CE1164="D",1,0)+IF(CF1164="D",1,0)+IF(CL1164="D",1,0)+IF(CM1164="D",1,0)+IF(CQ1164="D",1,0)+IF(CR1164="D",1,0)+IF(CS1164="D",1,0)+IF(CW1164="D",1,0)+IF(CX1164="D",1,0)+IF(DD1164="D",1,0)+IF(DE1164="D",1,0)+IF(DJ1164="D",1,0)+IF(DK1164="D",1,0)+IF(DO1164="D",1,0)+IF(DP1164="D",1,0)+IF(DQ1164="D",1,0)+IF(DW1164="D",1,0)+IF(DZ1164="D",1,0)+IF(EH1164="D",1,0)</f>
        <v/>
      </c>
      <c r="AY1164">
        <f>IF(DJ1164&lt;&gt;"",1,0)+IF(DK1164&lt;&gt;"",1,0)+IF(DM1164&lt;&gt;"",1,0)+IF(DO1164&lt;&gt;"",1,0)+IF(DP1164&lt;&gt;"",1,0)+IF(DQ1164&lt;&gt;"",1,0)+IF(DS1164&lt;&gt;"",1,0)+IF(DT1164&lt;&gt;"",1,0)+IF(DV1164&lt;&gt;"",1,0)+IF(DW1164&lt;&gt;"",1,0)+IF(DX1164&lt;&gt;"",1,0)+IF(DY1164&lt;&gt;"",1,0)+IF(DZ1164&lt;&gt;"",1,0)+IF(EB1164&lt;&gt;"",1,0)+IF(EC1164&lt;&gt;"",1,0)+IF(ED1164&lt;&gt;"",1,0)+IF(EG1164&lt;&gt;"",1,0)+IF(EH1164&lt;&gt;"",1,0)</f>
        <v/>
      </c>
      <c r="AZ1164">
        <f>IF(EH1164&lt;&gt;"",1,0)</f>
        <v/>
      </c>
      <c r="BB1164" t="inlineStr">
        <is>
          <t>WARREN-WARD 4</t>
        </is>
      </c>
    </row>
    <row r="1165">
      <c r="A1165" t="inlineStr">
        <is>
          <t>OH0027094023</t>
        </is>
      </c>
      <c r="B1165" t="n">
        <v>78</v>
      </c>
      <c r="C1165" t="n">
        <v>476953</v>
      </c>
      <c r="D1165" t="inlineStr">
        <is>
          <t>PIETRANGELI</t>
        </is>
      </c>
      <c r="E1165" t="inlineStr">
        <is>
          <t>NICOLE</t>
        </is>
      </c>
      <c r="F1165">
        <f>CONCATENATE(D1165," ",LEFT(H1165,4),"T=",AU1165,"D=",AV1165,"R=",AW1165,"M=",AX1165,"L=",AY1165,"B=",AZ1165)</f>
        <v/>
      </c>
      <c r="G1165" t="inlineStr">
        <is>
          <t>L</t>
        </is>
      </c>
      <c r="I1165" t="inlineStr">
        <is>
          <t>1970-05-11</t>
        </is>
      </c>
      <c r="J1165" t="inlineStr">
        <is>
          <t>2023-10-10</t>
        </is>
      </c>
      <c r="K1165" t="inlineStr">
        <is>
          <t>ACTIVE</t>
        </is>
      </c>
      <c r="M1165" t="inlineStr">
        <is>
          <t>213 VINE AVE NE</t>
        </is>
      </c>
      <c r="N1165">
        <f>RIGHT(M1165,LEN(M1165)-FIND(" ",M1165))</f>
        <v/>
      </c>
      <c r="P1165" t="inlineStr">
        <is>
          <t>WARREN</t>
        </is>
      </c>
      <c r="Q1165" t="inlineStr">
        <is>
          <t>OH</t>
        </is>
      </c>
      <c r="R1165" t="n">
        <v>44483</v>
      </c>
      <c r="AD1165" t="inlineStr">
        <is>
          <t>TRUMBULL CAREER &amp; TECH CENTER</t>
        </is>
      </c>
      <c r="AE1165" t="inlineStr">
        <is>
          <t>WARREN CITY</t>
        </is>
      </c>
      <c r="AF1165" t="inlineStr">
        <is>
          <t>WARREN CITY SD</t>
        </is>
      </c>
      <c r="AH1165" t="n">
        <v>14</v>
      </c>
      <c r="AI1165" t="n">
        <v>11</v>
      </c>
      <c r="AN1165" t="inlineStr">
        <is>
          <t>WARREN</t>
        </is>
      </c>
      <c r="AO1165" t="inlineStr">
        <is>
          <t>WARREN CITY 4D</t>
        </is>
      </c>
      <c r="AP1165" t="inlineStr">
        <is>
          <t>78-P-ADL</t>
        </is>
      </c>
      <c r="AQ1165" t="n">
        <v>9</v>
      </c>
      <c r="AR1165" t="n">
        <v>64</v>
      </c>
      <c r="AS1165" t="n">
        <v>32</v>
      </c>
      <c r="AU1165">
        <f>COUNTA($BA$1165:$EH$1165)</f>
        <v/>
      </c>
      <c r="AV1165">
        <f>COUNTIF($BA$1165:$EH$1165,"D")</f>
        <v/>
      </c>
      <c r="AW1165">
        <f>COUNTIF($BA$1165:$EH$1165,"R")</f>
        <v/>
      </c>
      <c r="AX1165">
        <f>IF(BN1165="D",1,0)+IF(BO1165="D",1,0)+IF(BT1165="D",1,0)+IF(BU1165="D",1,0)+IF(BW1165="D",1,0)+IF(CC1165="D",1,0)+IF(CD1165="D",1,0)+IF(CE1165="D",1,0)+IF(CF1165="D",1,0)+IF(CL1165="D",1,0)+IF(CM1165="D",1,0)+IF(CQ1165="D",1,0)+IF(CR1165="D",1,0)+IF(CS1165="D",1,0)+IF(CW1165="D",1,0)+IF(CX1165="D",1,0)+IF(DD1165="D",1,0)+IF(DE1165="D",1,0)+IF(DJ1165="D",1,0)+IF(DK1165="D",1,0)+IF(DO1165="D",1,0)+IF(DP1165="D",1,0)+IF(DQ1165="D",1,0)+IF(DW1165="D",1,0)+IF(DZ1165="D",1,0)+IF(EH1165="D",1,0)</f>
        <v/>
      </c>
      <c r="AY1165">
        <f>IF(DJ1165&lt;&gt;"",1,0)+IF(DK1165&lt;&gt;"",1,0)+IF(DM1165&lt;&gt;"",1,0)+IF(DO1165&lt;&gt;"",1,0)+IF(DP1165&lt;&gt;"",1,0)+IF(DQ1165&lt;&gt;"",1,0)+IF(DS1165&lt;&gt;"",1,0)+IF(DT1165&lt;&gt;"",1,0)+IF(DV1165&lt;&gt;"",1,0)+IF(DW1165&lt;&gt;"",1,0)+IF(DX1165&lt;&gt;"",1,0)+IF(DY1165&lt;&gt;"",1,0)+IF(DZ1165&lt;&gt;"",1,0)+IF(EB1165&lt;&gt;"",1,0)+IF(EC1165&lt;&gt;"",1,0)+IF(ED1165&lt;&gt;"",1,0)+IF(EG1165&lt;&gt;"",1,0)+IF(EH1165&lt;&gt;"",1,0)</f>
        <v/>
      </c>
      <c r="AZ1165">
        <f>IF(EH1165&lt;&gt;"",1,0)</f>
        <v/>
      </c>
      <c r="BB1165" t="inlineStr">
        <is>
          <t>WARREN-WARD 4</t>
        </is>
      </c>
      <c r="CP1165" t="inlineStr">
        <is>
          <t>X</t>
        </is>
      </c>
      <c r="EF1165" t="inlineStr">
        <is>
          <t>X</t>
        </is>
      </c>
    </row>
    <row r="1166">
      <c r="A1166" t="inlineStr">
        <is>
          <t>OH0023225167</t>
        </is>
      </c>
      <c r="B1166" t="n">
        <v>78</v>
      </c>
      <c r="C1166" t="n">
        <v>408754</v>
      </c>
      <c r="D1166" t="inlineStr">
        <is>
          <t>PATTERSON</t>
        </is>
      </c>
      <c r="E1166" t="inlineStr">
        <is>
          <t>AMIE</t>
        </is>
      </c>
      <c r="F1166">
        <f>CONCATENATE(D1166," ",LEFT(H1166,4),"T=",AU1166,"D=",AV1166,"R=",AW1166,"M=",AX1166,"L=",AY1166,"B=",AZ1166)</f>
        <v/>
      </c>
      <c r="G1166" t="inlineStr">
        <is>
          <t>LYNNE</t>
        </is>
      </c>
      <c r="I1166" t="inlineStr">
        <is>
          <t>1974-05-10</t>
        </is>
      </c>
      <c r="J1166" t="inlineStr">
        <is>
          <t>2015-08-04</t>
        </is>
      </c>
      <c r="K1166" t="inlineStr">
        <is>
          <t>CONFIRMATION</t>
        </is>
      </c>
      <c r="M1166" t="inlineStr">
        <is>
          <t>481 WAVERLY AVE NE</t>
        </is>
      </c>
      <c r="N1166">
        <f>RIGHT(M1166,LEN(M1166)-FIND(" ",M1166))</f>
        <v/>
      </c>
      <c r="P1166" t="inlineStr">
        <is>
          <t>WARREN</t>
        </is>
      </c>
      <c r="Q1166" t="inlineStr">
        <is>
          <t>OH</t>
        </is>
      </c>
      <c r="R1166" t="n">
        <v>44483</v>
      </c>
      <c r="AD1166" t="inlineStr">
        <is>
          <t>TRUMBULL CAREER &amp; TECH CENTER</t>
        </is>
      </c>
      <c r="AE1166" t="inlineStr">
        <is>
          <t>WARREN CITY</t>
        </is>
      </c>
      <c r="AF1166" t="inlineStr">
        <is>
          <t>WARREN CITY SD</t>
        </is>
      </c>
      <c r="AH1166" t="n">
        <v>14</v>
      </c>
      <c r="AI1166" t="n">
        <v>11</v>
      </c>
      <c r="AN1166" t="inlineStr">
        <is>
          <t>WARREN</t>
        </is>
      </c>
      <c r="AO1166" t="inlineStr">
        <is>
          <t>WARREN CITY 4D</t>
        </is>
      </c>
      <c r="AP1166" t="inlineStr">
        <is>
          <t>78-P-ADL</t>
        </is>
      </c>
      <c r="AQ1166" t="n">
        <v>9</v>
      </c>
      <c r="AR1166" t="n">
        <v>64</v>
      </c>
      <c r="AS1166" t="n">
        <v>32</v>
      </c>
      <c r="AU1166">
        <f>COUNTA($BA$1166:$EH$1166)</f>
        <v/>
      </c>
      <c r="AV1166">
        <f>COUNTIF($BA$1166:$EH$1166,"D")</f>
        <v/>
      </c>
      <c r="AW1166">
        <f>COUNTIF($BA$1166:$EH$1166,"R")</f>
        <v/>
      </c>
      <c r="AX1166">
        <f>IF(BN1166="D",1,0)+IF(BO1166="D",1,0)+IF(BT1166="D",1,0)+IF(BU1166="D",1,0)+IF(BW1166="D",1,0)+IF(CC1166="D",1,0)+IF(CD1166="D",1,0)+IF(CE1166="D",1,0)+IF(CF1166="D",1,0)+IF(CL1166="D",1,0)+IF(CM1166="D",1,0)+IF(CQ1166="D",1,0)+IF(CR1166="D",1,0)+IF(CS1166="D",1,0)+IF(CW1166="D",1,0)+IF(CX1166="D",1,0)+IF(DD1166="D",1,0)+IF(DE1166="D",1,0)+IF(DJ1166="D",1,0)+IF(DK1166="D",1,0)+IF(DO1166="D",1,0)+IF(DP1166="D",1,0)+IF(DQ1166="D",1,0)+IF(DW1166="D",1,0)+IF(DZ1166="D",1,0)+IF(EH1166="D",1,0)</f>
        <v/>
      </c>
      <c r="AY1166">
        <f>IF(DJ1166&lt;&gt;"",1,0)+IF(DK1166&lt;&gt;"",1,0)+IF(DM1166&lt;&gt;"",1,0)+IF(DO1166&lt;&gt;"",1,0)+IF(DP1166&lt;&gt;"",1,0)+IF(DQ1166&lt;&gt;"",1,0)+IF(DS1166&lt;&gt;"",1,0)+IF(DT1166&lt;&gt;"",1,0)+IF(DV1166&lt;&gt;"",1,0)+IF(DW1166&lt;&gt;"",1,0)+IF(DX1166&lt;&gt;"",1,0)+IF(DY1166&lt;&gt;"",1,0)+IF(DZ1166&lt;&gt;"",1,0)+IF(EB1166&lt;&gt;"",1,0)+IF(EC1166&lt;&gt;"",1,0)+IF(ED1166&lt;&gt;"",1,0)+IF(EG1166&lt;&gt;"",1,0)+IF(EH1166&lt;&gt;"",1,0)</f>
        <v/>
      </c>
      <c r="AZ1166">
        <f>IF(EH1166&lt;&gt;"",1,0)</f>
        <v/>
      </c>
      <c r="BB1166" t="inlineStr">
        <is>
          <t>WARREN-WARD 4</t>
        </is>
      </c>
    </row>
    <row r="1167">
      <c r="A1167" t="inlineStr">
        <is>
          <t>OH0023488847</t>
        </is>
      </c>
      <c r="B1167" t="n">
        <v>78</v>
      </c>
      <c r="C1167" t="n">
        <v>413589</v>
      </c>
      <c r="D1167" t="inlineStr">
        <is>
          <t>WHEELER</t>
        </is>
      </c>
      <c r="E1167" t="inlineStr">
        <is>
          <t>TYLER</t>
        </is>
      </c>
      <c r="F1167">
        <f>CONCATENATE(D1167," ",LEFT(H1167,4),"T=",AU1167,"D=",AV1167,"R=",AW1167,"M=",AX1167,"L=",AY1167,"B=",AZ1167)</f>
        <v/>
      </c>
      <c r="G1167" t="inlineStr">
        <is>
          <t>C</t>
        </is>
      </c>
      <c r="I1167" t="inlineStr">
        <is>
          <t>1997-12-10</t>
        </is>
      </c>
      <c r="J1167" t="inlineStr">
        <is>
          <t>2024-10-07</t>
        </is>
      </c>
      <c r="K1167" t="inlineStr">
        <is>
          <t>ACTIVE</t>
        </is>
      </c>
      <c r="M1167" t="inlineStr">
        <is>
          <t>141 W MARKET ST</t>
        </is>
      </c>
      <c r="N1167">
        <f>RIGHT(M1167,LEN(M1167)-FIND(" ",M1167))</f>
        <v/>
      </c>
      <c r="O1167" t="inlineStr">
        <is>
          <t>UNIT B</t>
        </is>
      </c>
      <c r="P1167" t="inlineStr">
        <is>
          <t>WARREN</t>
        </is>
      </c>
      <c r="Q1167" t="inlineStr">
        <is>
          <t>OH</t>
        </is>
      </c>
      <c r="R1167" t="n">
        <v>44481</v>
      </c>
      <c r="AD1167" t="inlineStr">
        <is>
          <t>TRUMBULL CAREER &amp; TECH CENTER</t>
        </is>
      </c>
      <c r="AE1167" t="inlineStr">
        <is>
          <t>WARREN CITY</t>
        </is>
      </c>
      <c r="AF1167" t="inlineStr">
        <is>
          <t>WARREN CITY SD</t>
        </is>
      </c>
      <c r="AH1167" t="n">
        <v>14</v>
      </c>
      <c r="AI1167" t="n">
        <v>11</v>
      </c>
      <c r="AN1167" t="inlineStr">
        <is>
          <t>WARREN</t>
        </is>
      </c>
      <c r="AO1167" t="inlineStr">
        <is>
          <t>WARREN CITY 4D</t>
        </is>
      </c>
      <c r="AP1167" t="inlineStr">
        <is>
          <t>78-P-ADL</t>
        </is>
      </c>
      <c r="AQ1167" t="n">
        <v>9</v>
      </c>
      <c r="AR1167" t="n">
        <v>64</v>
      </c>
      <c r="AS1167" t="n">
        <v>32</v>
      </c>
      <c r="AU1167">
        <f>COUNTA($BA$1167:$EH$1167)</f>
        <v/>
      </c>
      <c r="AV1167">
        <f>COUNTIF($BA$1167:$EH$1167,"D")</f>
        <v/>
      </c>
      <c r="AW1167">
        <f>COUNTIF($BA$1167:$EH$1167,"R")</f>
        <v/>
      </c>
      <c r="AX1167">
        <f>IF(BN1167="D",1,0)+IF(BO1167="D",1,0)+IF(BT1167="D",1,0)+IF(BU1167="D",1,0)+IF(BW1167="D",1,0)+IF(CC1167="D",1,0)+IF(CD1167="D",1,0)+IF(CE1167="D",1,0)+IF(CF1167="D",1,0)+IF(CL1167="D",1,0)+IF(CM1167="D",1,0)+IF(CQ1167="D",1,0)+IF(CR1167="D",1,0)+IF(CS1167="D",1,0)+IF(CW1167="D",1,0)+IF(CX1167="D",1,0)+IF(DD1167="D",1,0)+IF(DE1167="D",1,0)+IF(DJ1167="D",1,0)+IF(DK1167="D",1,0)+IF(DO1167="D",1,0)+IF(DP1167="D",1,0)+IF(DQ1167="D",1,0)+IF(DW1167="D",1,0)+IF(DZ1167="D",1,0)+IF(EH1167="D",1,0)</f>
        <v/>
      </c>
      <c r="AY1167">
        <f>IF(DJ1167&lt;&gt;"",1,0)+IF(DK1167&lt;&gt;"",1,0)+IF(DM1167&lt;&gt;"",1,0)+IF(DO1167&lt;&gt;"",1,0)+IF(DP1167&lt;&gt;"",1,0)+IF(DQ1167&lt;&gt;"",1,0)+IF(DS1167&lt;&gt;"",1,0)+IF(DT1167&lt;&gt;"",1,0)+IF(DV1167&lt;&gt;"",1,0)+IF(DW1167&lt;&gt;"",1,0)+IF(DX1167&lt;&gt;"",1,0)+IF(DY1167&lt;&gt;"",1,0)+IF(DZ1167&lt;&gt;"",1,0)+IF(EB1167&lt;&gt;"",1,0)+IF(EC1167&lt;&gt;"",1,0)+IF(ED1167&lt;&gt;"",1,0)+IF(EG1167&lt;&gt;"",1,0)+IF(EH1167&lt;&gt;"",1,0)</f>
        <v/>
      </c>
      <c r="AZ1167">
        <f>IF(EH1167&lt;&gt;"",1,0)</f>
        <v/>
      </c>
      <c r="BB1167" t="inlineStr">
        <is>
          <t>WARREN-WARD 4</t>
        </is>
      </c>
      <c r="DN1167" t="inlineStr">
        <is>
          <t>X</t>
        </is>
      </c>
      <c r="EA1167" t="inlineStr">
        <is>
          <t>X</t>
        </is>
      </c>
      <c r="EF1167" t="inlineStr">
        <is>
          <t>X</t>
        </is>
      </c>
    </row>
    <row r="1168">
      <c r="A1168" t="inlineStr">
        <is>
          <t>OH0026836533</t>
        </is>
      </c>
      <c r="B1168" t="n">
        <v>78</v>
      </c>
      <c r="C1168" t="n">
        <v>472204</v>
      </c>
      <c r="D1168" t="inlineStr">
        <is>
          <t>KORNMUELLER</t>
        </is>
      </c>
      <c r="E1168" t="inlineStr">
        <is>
          <t>ISABELLA</t>
        </is>
      </c>
      <c r="F1168">
        <f>CONCATENATE(D1168," ",LEFT(H1168,4),"T=",AU1168,"D=",AV1168,"R=",AW1168,"M=",AX1168,"L=",AY1168,"B=",AZ1168)</f>
        <v/>
      </c>
      <c r="G1168" t="inlineStr">
        <is>
          <t>MARIE</t>
        </is>
      </c>
      <c r="I1168" t="inlineStr">
        <is>
          <t>2005-01-19</t>
        </is>
      </c>
      <c r="J1168" t="inlineStr">
        <is>
          <t>2024-08-21</t>
        </is>
      </c>
      <c r="K1168" t="inlineStr">
        <is>
          <t>ACTIVE</t>
        </is>
      </c>
      <c r="M1168" t="inlineStr">
        <is>
          <t>531 WASHINGTON ST NE</t>
        </is>
      </c>
      <c r="N1168">
        <f>RIGHT(M1168,LEN(M1168)-FIND(" ",M1168))</f>
        <v/>
      </c>
      <c r="P1168" t="inlineStr">
        <is>
          <t>WARREN</t>
        </is>
      </c>
      <c r="Q1168" t="inlineStr">
        <is>
          <t>OH</t>
        </is>
      </c>
      <c r="R1168" t="n">
        <v>44483</v>
      </c>
      <c r="AD1168" t="inlineStr">
        <is>
          <t>TRUMBULL CAREER &amp; TECH CENTER</t>
        </is>
      </c>
      <c r="AE1168" t="inlineStr">
        <is>
          <t>WARREN CITY</t>
        </is>
      </c>
      <c r="AF1168" t="inlineStr">
        <is>
          <t>WARREN CITY SD</t>
        </is>
      </c>
      <c r="AH1168" t="n">
        <v>14</v>
      </c>
      <c r="AI1168" t="n">
        <v>11</v>
      </c>
      <c r="AN1168" t="inlineStr">
        <is>
          <t>WARREN</t>
        </is>
      </c>
      <c r="AO1168" t="inlineStr">
        <is>
          <t>WARREN CITY 4D</t>
        </is>
      </c>
      <c r="AP1168" t="inlineStr">
        <is>
          <t>78-P-ADL</t>
        </is>
      </c>
      <c r="AQ1168" t="n">
        <v>9</v>
      </c>
      <c r="AR1168" t="n">
        <v>64</v>
      </c>
      <c r="AS1168" t="n">
        <v>32</v>
      </c>
      <c r="AU1168">
        <f>COUNTA($BA$1168:$EH$1168)</f>
        <v/>
      </c>
      <c r="AV1168">
        <f>COUNTIF($BA$1168:$EH$1168,"D")</f>
        <v/>
      </c>
      <c r="AW1168">
        <f>COUNTIF($BA$1168:$EH$1168,"R")</f>
        <v/>
      </c>
      <c r="AX1168">
        <f>IF(BN1168="D",1,0)+IF(BO1168="D",1,0)+IF(BT1168="D",1,0)+IF(BU1168="D",1,0)+IF(BW1168="D",1,0)+IF(CC1168="D",1,0)+IF(CD1168="D",1,0)+IF(CE1168="D",1,0)+IF(CF1168="D",1,0)+IF(CL1168="D",1,0)+IF(CM1168="D",1,0)+IF(CQ1168="D",1,0)+IF(CR1168="D",1,0)+IF(CS1168="D",1,0)+IF(CW1168="D",1,0)+IF(CX1168="D",1,0)+IF(DD1168="D",1,0)+IF(DE1168="D",1,0)+IF(DJ1168="D",1,0)+IF(DK1168="D",1,0)+IF(DO1168="D",1,0)+IF(DP1168="D",1,0)+IF(DQ1168="D",1,0)+IF(DW1168="D",1,0)+IF(DZ1168="D",1,0)+IF(EH1168="D",1,0)</f>
        <v/>
      </c>
      <c r="AY1168">
        <f>IF(DJ1168&lt;&gt;"",1,0)+IF(DK1168&lt;&gt;"",1,0)+IF(DM1168&lt;&gt;"",1,0)+IF(DO1168&lt;&gt;"",1,0)+IF(DP1168&lt;&gt;"",1,0)+IF(DQ1168&lt;&gt;"",1,0)+IF(DS1168&lt;&gt;"",1,0)+IF(DT1168&lt;&gt;"",1,0)+IF(DV1168&lt;&gt;"",1,0)+IF(DW1168&lt;&gt;"",1,0)+IF(DX1168&lt;&gt;"",1,0)+IF(DY1168&lt;&gt;"",1,0)+IF(DZ1168&lt;&gt;"",1,0)+IF(EB1168&lt;&gt;"",1,0)+IF(EC1168&lt;&gt;"",1,0)+IF(ED1168&lt;&gt;"",1,0)+IF(EG1168&lt;&gt;"",1,0)+IF(EH1168&lt;&gt;"",1,0)</f>
        <v/>
      </c>
      <c r="AZ1168">
        <f>IF(EH1168&lt;&gt;"",1,0)</f>
        <v/>
      </c>
      <c r="BB1168" t="inlineStr">
        <is>
          <t>WARREN-WARD 4</t>
        </is>
      </c>
      <c r="DX1168" t="inlineStr">
        <is>
          <t>X</t>
        </is>
      </c>
      <c r="EA1168" t="inlineStr">
        <is>
          <t>X</t>
        </is>
      </c>
      <c r="EF1168" t="inlineStr">
        <is>
          <t>X</t>
        </is>
      </c>
    </row>
    <row r="1169">
      <c r="A1169" t="inlineStr">
        <is>
          <t>OH0015792084</t>
        </is>
      </c>
      <c r="B1169" t="n">
        <v>78</v>
      </c>
      <c r="C1169" t="n">
        <v>309000</v>
      </c>
      <c r="D1169" t="inlineStr">
        <is>
          <t>HUDSON</t>
        </is>
      </c>
      <c r="E1169" t="inlineStr">
        <is>
          <t>MELINDA</t>
        </is>
      </c>
      <c r="F1169">
        <f>CONCATENATE(D1169," ",LEFT(H1169,4),"T=",AU1169,"D=",AV1169,"R=",AW1169,"M=",AX1169,"L=",AY1169,"B=",AZ1169)</f>
        <v/>
      </c>
      <c r="G1169" t="inlineStr">
        <is>
          <t>J</t>
        </is>
      </c>
      <c r="I1169" t="inlineStr">
        <is>
          <t>1970-05-02</t>
        </is>
      </c>
      <c r="J1169" t="inlineStr">
        <is>
          <t>2024-10-22</t>
        </is>
      </c>
      <c r="K1169" t="inlineStr">
        <is>
          <t>ACTIVE</t>
        </is>
      </c>
      <c r="M1169" t="inlineStr">
        <is>
          <t>129 ELM RD NE</t>
        </is>
      </c>
      <c r="N1169">
        <f>RIGHT(M1169,LEN(M1169)-FIND(" ",M1169))</f>
        <v/>
      </c>
      <c r="O1169" t="inlineStr">
        <is>
          <t>APT B</t>
        </is>
      </c>
      <c r="P1169" t="inlineStr">
        <is>
          <t>WARREN</t>
        </is>
      </c>
      <c r="Q1169" t="inlineStr">
        <is>
          <t>OH</t>
        </is>
      </c>
      <c r="R1169" t="n">
        <v>44483</v>
      </c>
      <c r="AD1169" t="inlineStr">
        <is>
          <t>TRUMBULL CAREER &amp; TECH CENTER</t>
        </is>
      </c>
      <c r="AE1169" t="inlineStr">
        <is>
          <t>WARREN CITY</t>
        </is>
      </c>
      <c r="AF1169" t="inlineStr">
        <is>
          <t>WARREN CITY SD</t>
        </is>
      </c>
      <c r="AH1169" t="n">
        <v>14</v>
      </c>
      <c r="AI1169" t="n">
        <v>11</v>
      </c>
      <c r="AN1169" t="inlineStr">
        <is>
          <t>WARREN</t>
        </is>
      </c>
      <c r="AO1169" t="inlineStr">
        <is>
          <t>WARREN CITY 4D</t>
        </is>
      </c>
      <c r="AP1169" t="inlineStr">
        <is>
          <t>78-P-ADL</t>
        </is>
      </c>
      <c r="AQ1169" t="n">
        <v>9</v>
      </c>
      <c r="AR1169" t="n">
        <v>64</v>
      </c>
      <c r="AS1169" t="n">
        <v>32</v>
      </c>
      <c r="AU1169">
        <f>COUNTA($BA$1169:$EH$1169)</f>
        <v/>
      </c>
      <c r="AV1169">
        <f>COUNTIF($BA$1169:$EH$1169,"D")</f>
        <v/>
      </c>
      <c r="AW1169">
        <f>COUNTIF($BA$1169:$EH$1169,"R")</f>
        <v/>
      </c>
      <c r="AX1169">
        <f>IF(BN1169="D",1,0)+IF(BO1169="D",1,0)+IF(BT1169="D",1,0)+IF(BU1169="D",1,0)+IF(BW1169="D",1,0)+IF(CC1169="D",1,0)+IF(CD1169="D",1,0)+IF(CE1169="D",1,0)+IF(CF1169="D",1,0)+IF(CL1169="D",1,0)+IF(CM1169="D",1,0)+IF(CQ1169="D",1,0)+IF(CR1169="D",1,0)+IF(CS1169="D",1,0)+IF(CW1169="D",1,0)+IF(CX1169="D",1,0)+IF(DD1169="D",1,0)+IF(DE1169="D",1,0)+IF(DJ1169="D",1,0)+IF(DK1169="D",1,0)+IF(DO1169="D",1,0)+IF(DP1169="D",1,0)+IF(DQ1169="D",1,0)+IF(DW1169="D",1,0)+IF(DZ1169="D",1,0)+IF(EH1169="D",1,0)</f>
        <v/>
      </c>
      <c r="AY1169">
        <f>IF(DJ1169&lt;&gt;"",1,0)+IF(DK1169&lt;&gt;"",1,0)+IF(DM1169&lt;&gt;"",1,0)+IF(DO1169&lt;&gt;"",1,0)+IF(DP1169&lt;&gt;"",1,0)+IF(DQ1169&lt;&gt;"",1,0)+IF(DS1169&lt;&gt;"",1,0)+IF(DT1169&lt;&gt;"",1,0)+IF(DV1169&lt;&gt;"",1,0)+IF(DW1169&lt;&gt;"",1,0)+IF(DX1169&lt;&gt;"",1,0)+IF(DY1169&lt;&gt;"",1,0)+IF(DZ1169&lt;&gt;"",1,0)+IF(EB1169&lt;&gt;"",1,0)+IF(EC1169&lt;&gt;"",1,0)+IF(ED1169&lt;&gt;"",1,0)+IF(EG1169&lt;&gt;"",1,0)+IF(EH1169&lt;&gt;"",1,0)</f>
        <v/>
      </c>
      <c r="AZ1169">
        <f>IF(EH1169&lt;&gt;"",1,0)</f>
        <v/>
      </c>
      <c r="BB1169" t="inlineStr">
        <is>
          <t>WARREN-WARD 4</t>
        </is>
      </c>
      <c r="BL1169" t="inlineStr">
        <is>
          <t>X</t>
        </is>
      </c>
      <c r="CP1169" t="inlineStr">
        <is>
          <t>X</t>
        </is>
      </c>
      <c r="CY1169" t="inlineStr">
        <is>
          <t>X</t>
        </is>
      </c>
      <c r="DC1169" t="inlineStr">
        <is>
          <t>X</t>
        </is>
      </c>
      <c r="EF1169" t="inlineStr">
        <is>
          <t>X</t>
        </is>
      </c>
    </row>
    <row r="1170">
      <c r="A1170" t="inlineStr">
        <is>
          <t>OH0015807422</t>
        </is>
      </c>
      <c r="B1170" t="n">
        <v>78</v>
      </c>
      <c r="C1170" t="n">
        <v>257118</v>
      </c>
      <c r="D1170" t="inlineStr">
        <is>
          <t>CUSTER</t>
        </is>
      </c>
      <c r="E1170" t="inlineStr">
        <is>
          <t>DIANNA</t>
        </is>
      </c>
      <c r="F1170">
        <f>CONCATENATE(D1170," ",LEFT(H1170,4),"T=",AU1170,"D=",AV1170,"R=",AW1170,"M=",AX1170,"L=",AY1170,"B=",AZ1170)</f>
        <v/>
      </c>
      <c r="G1170" t="inlineStr">
        <is>
          <t>L</t>
        </is>
      </c>
      <c r="I1170" t="inlineStr">
        <is>
          <t>1962-11-12</t>
        </is>
      </c>
      <c r="J1170" t="inlineStr">
        <is>
          <t>2022-05-27</t>
        </is>
      </c>
      <c r="K1170" t="inlineStr">
        <is>
          <t>ACTIVE</t>
        </is>
      </c>
      <c r="M1170" t="inlineStr">
        <is>
          <t>182 HIGH ST NE</t>
        </is>
      </c>
      <c r="N1170">
        <f>RIGHT(M1170,LEN(M1170)-FIND(" ",M1170))</f>
        <v/>
      </c>
      <c r="O1170" t="inlineStr">
        <is>
          <t>APT 304</t>
        </is>
      </c>
      <c r="P1170" t="inlineStr">
        <is>
          <t>WARREN</t>
        </is>
      </c>
      <c r="Q1170" t="inlineStr">
        <is>
          <t>OH</t>
        </is>
      </c>
      <c r="R1170" t="n">
        <v>44481</v>
      </c>
      <c r="AD1170" t="inlineStr">
        <is>
          <t>TRUMBULL CAREER &amp; TECH CENTER</t>
        </is>
      </c>
      <c r="AE1170" t="inlineStr">
        <is>
          <t>WARREN CITY</t>
        </is>
      </c>
      <c r="AF1170" t="inlineStr">
        <is>
          <t>WARREN CITY SD</t>
        </is>
      </c>
      <c r="AH1170" t="n">
        <v>14</v>
      </c>
      <c r="AI1170" t="n">
        <v>11</v>
      </c>
      <c r="AN1170" t="inlineStr">
        <is>
          <t>WARREN</t>
        </is>
      </c>
      <c r="AO1170" t="inlineStr">
        <is>
          <t>WARREN CITY 4D</t>
        </is>
      </c>
      <c r="AP1170" t="inlineStr">
        <is>
          <t>78-P-ADL</t>
        </is>
      </c>
      <c r="AQ1170" t="n">
        <v>9</v>
      </c>
      <c r="AR1170" t="n">
        <v>64</v>
      </c>
      <c r="AS1170" t="n">
        <v>32</v>
      </c>
      <c r="AU1170">
        <f>COUNTA($BA$1170:$EH$1170)</f>
        <v/>
      </c>
      <c r="AV1170">
        <f>COUNTIF($BA$1170:$EH$1170,"D")</f>
        <v/>
      </c>
      <c r="AW1170">
        <f>COUNTIF($BA$1170:$EH$1170,"R")</f>
        <v/>
      </c>
      <c r="AX1170">
        <f>IF(BN1170="D",1,0)+IF(BO1170="D",1,0)+IF(BT1170="D",1,0)+IF(BU1170="D",1,0)+IF(BW1170="D",1,0)+IF(CC1170="D",1,0)+IF(CD1170="D",1,0)+IF(CE1170="D",1,0)+IF(CF1170="D",1,0)+IF(CL1170="D",1,0)+IF(CM1170="D",1,0)+IF(CQ1170="D",1,0)+IF(CR1170="D",1,0)+IF(CS1170="D",1,0)+IF(CW1170="D",1,0)+IF(CX1170="D",1,0)+IF(DD1170="D",1,0)+IF(DE1170="D",1,0)+IF(DJ1170="D",1,0)+IF(DK1170="D",1,0)+IF(DO1170="D",1,0)+IF(DP1170="D",1,0)+IF(DQ1170="D",1,0)+IF(DW1170="D",1,0)+IF(DZ1170="D",1,0)+IF(EH1170="D",1,0)</f>
        <v/>
      </c>
      <c r="AY1170">
        <f>IF(DJ1170&lt;&gt;"",1,0)+IF(DK1170&lt;&gt;"",1,0)+IF(DM1170&lt;&gt;"",1,0)+IF(DO1170&lt;&gt;"",1,0)+IF(DP1170&lt;&gt;"",1,0)+IF(DQ1170&lt;&gt;"",1,0)+IF(DS1170&lt;&gt;"",1,0)+IF(DT1170&lt;&gt;"",1,0)+IF(DV1170&lt;&gt;"",1,0)+IF(DW1170&lt;&gt;"",1,0)+IF(DX1170&lt;&gt;"",1,0)+IF(DY1170&lt;&gt;"",1,0)+IF(DZ1170&lt;&gt;"",1,0)+IF(EB1170&lt;&gt;"",1,0)+IF(EC1170&lt;&gt;"",1,0)+IF(ED1170&lt;&gt;"",1,0)+IF(EG1170&lt;&gt;"",1,0)+IF(EH1170&lt;&gt;"",1,0)</f>
        <v/>
      </c>
      <c r="AZ1170">
        <f>IF(EH1170&lt;&gt;"",1,0)</f>
        <v/>
      </c>
      <c r="BB1170" t="inlineStr">
        <is>
          <t>WARREN-WARD 4</t>
        </is>
      </c>
      <c r="BC1170" t="inlineStr">
        <is>
          <t>X</t>
        </is>
      </c>
      <c r="BD1170" t="inlineStr">
        <is>
          <t>X</t>
        </is>
      </c>
      <c r="BE1170" t="inlineStr">
        <is>
          <t>X</t>
        </is>
      </c>
      <c r="BL1170" t="inlineStr">
        <is>
          <t>X</t>
        </is>
      </c>
      <c r="BP1170" t="inlineStr">
        <is>
          <t>X</t>
        </is>
      </c>
      <c r="CA1170" t="inlineStr">
        <is>
          <t>X</t>
        </is>
      </c>
      <c r="CK1170" t="inlineStr">
        <is>
          <t>X</t>
        </is>
      </c>
      <c r="CP1170" t="inlineStr">
        <is>
          <t>X</t>
        </is>
      </c>
      <c r="CV1170" t="inlineStr">
        <is>
          <t>X</t>
        </is>
      </c>
      <c r="CY1170" t="inlineStr">
        <is>
          <t>X</t>
        </is>
      </c>
      <c r="CZ1170" t="inlineStr">
        <is>
          <t>D</t>
        </is>
      </c>
      <c r="DI1170" t="inlineStr">
        <is>
          <t>X</t>
        </is>
      </c>
      <c r="DN1170" t="inlineStr">
        <is>
          <t>X</t>
        </is>
      </c>
      <c r="DX1170" t="inlineStr">
        <is>
          <t>X</t>
        </is>
      </c>
      <c r="EA1170" t="inlineStr">
        <is>
          <t>X</t>
        </is>
      </c>
      <c r="EF1170" t="inlineStr">
        <is>
          <t>X</t>
        </is>
      </c>
    </row>
    <row r="1171">
      <c r="A1171" t="inlineStr">
        <is>
          <t>OH0015729595</t>
        </is>
      </c>
      <c r="B1171" t="n">
        <v>78</v>
      </c>
      <c r="C1171" t="n">
        <v>323064</v>
      </c>
      <c r="D1171" t="inlineStr">
        <is>
          <t>MOORE</t>
        </is>
      </c>
      <c r="E1171" t="inlineStr">
        <is>
          <t>LISA</t>
        </is>
      </c>
      <c r="F1171">
        <f>CONCATENATE(D1171," ",LEFT(H1171,4),"T=",AU1171,"D=",AV1171,"R=",AW1171,"M=",AX1171,"L=",AY1171,"B=",AZ1171)</f>
        <v/>
      </c>
      <c r="G1171" t="inlineStr">
        <is>
          <t>D</t>
        </is>
      </c>
      <c r="I1171" t="inlineStr">
        <is>
          <t>1969-07-05</t>
        </is>
      </c>
      <c r="J1171" t="inlineStr">
        <is>
          <t>2015-07-14</t>
        </is>
      </c>
      <c r="K1171" t="inlineStr">
        <is>
          <t>ACTIVE</t>
        </is>
      </c>
      <c r="M1171" t="inlineStr">
        <is>
          <t>1062 WOODLAND AVE NE</t>
        </is>
      </c>
      <c r="N1171">
        <f>RIGHT(M1171,LEN(M1171)-FIND(" ",M1171))</f>
        <v/>
      </c>
      <c r="P1171" t="inlineStr">
        <is>
          <t>WARREN</t>
        </is>
      </c>
      <c r="Q1171" t="inlineStr">
        <is>
          <t>OH</t>
        </is>
      </c>
      <c r="R1171" t="n">
        <v>44483</v>
      </c>
      <c r="AD1171" t="inlineStr">
        <is>
          <t>TRUMBULL CAREER &amp; TECH CENTER</t>
        </is>
      </c>
      <c r="AE1171" t="inlineStr">
        <is>
          <t>WARREN CITY</t>
        </is>
      </c>
      <c r="AF1171" t="inlineStr">
        <is>
          <t>WARREN CITY SD</t>
        </is>
      </c>
      <c r="AH1171" t="n">
        <v>14</v>
      </c>
      <c r="AI1171" t="n">
        <v>11</v>
      </c>
      <c r="AN1171" t="inlineStr">
        <is>
          <t>WARREN</t>
        </is>
      </c>
      <c r="AO1171" t="inlineStr">
        <is>
          <t>WARREN CITY 4D</t>
        </is>
      </c>
      <c r="AP1171" t="inlineStr">
        <is>
          <t>78-P-ADL</t>
        </is>
      </c>
      <c r="AQ1171" t="n">
        <v>9</v>
      </c>
      <c r="AR1171" t="n">
        <v>64</v>
      </c>
      <c r="AS1171" t="n">
        <v>32</v>
      </c>
      <c r="AU1171">
        <f>COUNTA($BA$1171:$EH$1171)</f>
        <v/>
      </c>
      <c r="AV1171">
        <f>COUNTIF($BA$1171:$EH$1171,"D")</f>
        <v/>
      </c>
      <c r="AW1171">
        <f>COUNTIF($BA$1171:$EH$1171,"R")</f>
        <v/>
      </c>
      <c r="AX1171">
        <f>IF(BN1171="D",1,0)+IF(BO1171="D",1,0)+IF(BT1171="D",1,0)+IF(BU1171="D",1,0)+IF(BW1171="D",1,0)+IF(CC1171="D",1,0)+IF(CD1171="D",1,0)+IF(CE1171="D",1,0)+IF(CF1171="D",1,0)+IF(CL1171="D",1,0)+IF(CM1171="D",1,0)+IF(CQ1171="D",1,0)+IF(CR1171="D",1,0)+IF(CS1171="D",1,0)+IF(CW1171="D",1,0)+IF(CX1171="D",1,0)+IF(DD1171="D",1,0)+IF(DE1171="D",1,0)+IF(DJ1171="D",1,0)+IF(DK1171="D",1,0)+IF(DO1171="D",1,0)+IF(DP1171="D",1,0)+IF(DQ1171="D",1,0)+IF(DW1171="D",1,0)+IF(DZ1171="D",1,0)+IF(EH1171="D",1,0)</f>
        <v/>
      </c>
      <c r="AY1171">
        <f>IF(DJ1171&lt;&gt;"",1,0)+IF(DK1171&lt;&gt;"",1,0)+IF(DM1171&lt;&gt;"",1,0)+IF(DO1171&lt;&gt;"",1,0)+IF(DP1171&lt;&gt;"",1,0)+IF(DQ1171&lt;&gt;"",1,0)+IF(DS1171&lt;&gt;"",1,0)+IF(DT1171&lt;&gt;"",1,0)+IF(DV1171&lt;&gt;"",1,0)+IF(DW1171&lt;&gt;"",1,0)+IF(DX1171&lt;&gt;"",1,0)+IF(DY1171&lt;&gt;"",1,0)+IF(DZ1171&lt;&gt;"",1,0)+IF(EB1171&lt;&gt;"",1,0)+IF(EC1171&lt;&gt;"",1,0)+IF(ED1171&lt;&gt;"",1,0)+IF(EG1171&lt;&gt;"",1,0)+IF(EH1171&lt;&gt;"",1,0)</f>
        <v/>
      </c>
      <c r="AZ1171">
        <f>IF(EH1171&lt;&gt;"",1,0)</f>
        <v/>
      </c>
      <c r="BB1171" t="inlineStr">
        <is>
          <t>WARREN-WARD 4</t>
        </is>
      </c>
      <c r="BL1171" t="inlineStr">
        <is>
          <t>X</t>
        </is>
      </c>
      <c r="BS1171" t="inlineStr">
        <is>
          <t>X</t>
        </is>
      </c>
      <c r="BY1171" t="inlineStr">
        <is>
          <t>D</t>
        </is>
      </c>
      <c r="CA1171" t="inlineStr">
        <is>
          <t>X</t>
        </is>
      </c>
      <c r="CG1171" t="inlineStr">
        <is>
          <t>X</t>
        </is>
      </c>
      <c r="CP1171" t="inlineStr">
        <is>
          <t>X</t>
        </is>
      </c>
      <c r="DN1171" t="inlineStr">
        <is>
          <t>X</t>
        </is>
      </c>
      <c r="EF1171" t="inlineStr">
        <is>
          <t>X</t>
        </is>
      </c>
    </row>
    <row r="1172">
      <c r="A1172" t="inlineStr">
        <is>
          <t>OH0022109287</t>
        </is>
      </c>
      <c r="B1172" t="n">
        <v>78</v>
      </c>
      <c r="C1172" t="n">
        <v>391404</v>
      </c>
      <c r="D1172" t="inlineStr">
        <is>
          <t>BAILES</t>
        </is>
      </c>
      <c r="E1172" t="inlineStr">
        <is>
          <t>NICHOLAS</t>
        </is>
      </c>
      <c r="F1172">
        <f>CONCATENATE(D1172," ",LEFT(H1172,4),"T=",AU1172,"D=",AV1172,"R=",AW1172,"M=",AX1172,"L=",AY1172,"B=",AZ1172)</f>
        <v/>
      </c>
      <c r="G1172" t="inlineStr">
        <is>
          <t>SCHULTZ</t>
        </is>
      </c>
      <c r="I1172" t="inlineStr">
        <is>
          <t>1994-10-03</t>
        </is>
      </c>
      <c r="J1172" t="inlineStr">
        <is>
          <t>2023-09-29</t>
        </is>
      </c>
      <c r="K1172" t="inlineStr">
        <is>
          <t>ACTIVE</t>
        </is>
      </c>
      <c r="M1172" t="inlineStr">
        <is>
          <t>338 CHESTNUT AVE NE</t>
        </is>
      </c>
      <c r="N1172">
        <f>RIGHT(M1172,LEN(M1172)-FIND(" ",M1172))</f>
        <v/>
      </c>
      <c r="P1172" t="inlineStr">
        <is>
          <t>WARREN</t>
        </is>
      </c>
      <c r="Q1172" t="inlineStr">
        <is>
          <t>OH</t>
        </is>
      </c>
      <c r="R1172" t="n">
        <v>44483</v>
      </c>
      <c r="AD1172" t="inlineStr">
        <is>
          <t>TRUMBULL CAREER &amp; TECH CENTER</t>
        </is>
      </c>
      <c r="AE1172" t="inlineStr">
        <is>
          <t>WARREN CITY</t>
        </is>
      </c>
      <c r="AF1172" t="inlineStr">
        <is>
          <t>WARREN CITY SD</t>
        </is>
      </c>
      <c r="AH1172" t="n">
        <v>14</v>
      </c>
      <c r="AI1172" t="n">
        <v>11</v>
      </c>
      <c r="AN1172" t="inlineStr">
        <is>
          <t>WARREN</t>
        </is>
      </c>
      <c r="AO1172" t="inlineStr">
        <is>
          <t>WARREN CITY 4D</t>
        </is>
      </c>
      <c r="AP1172" t="inlineStr">
        <is>
          <t>78-P-ADL</t>
        </is>
      </c>
      <c r="AQ1172" t="n">
        <v>9</v>
      </c>
      <c r="AR1172" t="n">
        <v>64</v>
      </c>
      <c r="AS1172" t="n">
        <v>32</v>
      </c>
      <c r="AU1172">
        <f>COUNTA($BA$1172:$EH$1172)</f>
        <v/>
      </c>
      <c r="AV1172">
        <f>COUNTIF($BA$1172:$EH$1172,"D")</f>
        <v/>
      </c>
      <c r="AW1172">
        <f>COUNTIF($BA$1172:$EH$1172,"R")</f>
        <v/>
      </c>
      <c r="AX1172">
        <f>IF(BN1172="D",1,0)+IF(BO1172="D",1,0)+IF(BT1172="D",1,0)+IF(BU1172="D",1,0)+IF(BW1172="D",1,0)+IF(CC1172="D",1,0)+IF(CD1172="D",1,0)+IF(CE1172="D",1,0)+IF(CF1172="D",1,0)+IF(CL1172="D",1,0)+IF(CM1172="D",1,0)+IF(CQ1172="D",1,0)+IF(CR1172="D",1,0)+IF(CS1172="D",1,0)+IF(CW1172="D",1,0)+IF(CX1172="D",1,0)+IF(DD1172="D",1,0)+IF(DE1172="D",1,0)+IF(DJ1172="D",1,0)+IF(DK1172="D",1,0)+IF(DO1172="D",1,0)+IF(DP1172="D",1,0)+IF(DQ1172="D",1,0)+IF(DW1172="D",1,0)+IF(DZ1172="D",1,0)+IF(EH1172="D",1,0)</f>
        <v/>
      </c>
      <c r="AY1172">
        <f>IF(DJ1172&lt;&gt;"",1,0)+IF(DK1172&lt;&gt;"",1,0)+IF(DM1172&lt;&gt;"",1,0)+IF(DO1172&lt;&gt;"",1,0)+IF(DP1172&lt;&gt;"",1,0)+IF(DQ1172&lt;&gt;"",1,0)+IF(DS1172&lt;&gt;"",1,0)+IF(DT1172&lt;&gt;"",1,0)+IF(DV1172&lt;&gt;"",1,0)+IF(DW1172&lt;&gt;"",1,0)+IF(DX1172&lt;&gt;"",1,0)+IF(DY1172&lt;&gt;"",1,0)+IF(DZ1172&lt;&gt;"",1,0)+IF(EB1172&lt;&gt;"",1,0)+IF(EC1172&lt;&gt;"",1,0)+IF(ED1172&lt;&gt;"",1,0)+IF(EG1172&lt;&gt;"",1,0)+IF(EH1172&lt;&gt;"",1,0)</f>
        <v/>
      </c>
      <c r="AZ1172">
        <f>IF(EH1172&lt;&gt;"",1,0)</f>
        <v/>
      </c>
      <c r="BB1172" t="inlineStr">
        <is>
          <t>WARREN-WARD 4</t>
        </is>
      </c>
      <c r="EF1172" t="inlineStr">
        <is>
          <t>X</t>
        </is>
      </c>
    </row>
    <row r="1173">
      <c r="A1173" t="inlineStr">
        <is>
          <t>OH0015688190</t>
        </is>
      </c>
      <c r="B1173" t="n">
        <v>78</v>
      </c>
      <c r="C1173" t="n">
        <v>128868</v>
      </c>
      <c r="D1173" t="inlineStr">
        <is>
          <t>GRAHAM</t>
        </is>
      </c>
      <c r="E1173" t="inlineStr">
        <is>
          <t>ANGELIKI</t>
        </is>
      </c>
      <c r="F1173">
        <f>CONCATENATE(D1173," ",LEFT(H1173,4),"T=",AU1173,"D=",AV1173,"R=",AW1173,"M=",AX1173,"L=",AY1173,"B=",AZ1173)</f>
        <v/>
      </c>
      <c r="G1173" t="inlineStr">
        <is>
          <t>E</t>
        </is>
      </c>
      <c r="I1173" t="inlineStr">
        <is>
          <t>1940-03-10</t>
        </is>
      </c>
      <c r="J1173" t="inlineStr">
        <is>
          <t>1980-10-06</t>
        </is>
      </c>
      <c r="K1173" t="inlineStr">
        <is>
          <t>ACTIVE</t>
        </is>
      </c>
      <c r="M1173" t="inlineStr">
        <is>
          <t>182 HIGH ST NE</t>
        </is>
      </c>
      <c r="N1173">
        <f>RIGHT(M1173,LEN(M1173)-FIND(" ",M1173))</f>
        <v/>
      </c>
      <c r="O1173" t="inlineStr">
        <is>
          <t>APT 607</t>
        </is>
      </c>
      <c r="P1173" t="inlineStr">
        <is>
          <t>WARREN</t>
        </is>
      </c>
      <c r="Q1173" t="inlineStr">
        <is>
          <t>OH</t>
        </is>
      </c>
      <c r="R1173" t="n">
        <v>44481</v>
      </c>
      <c r="AD1173" t="inlineStr">
        <is>
          <t>TRUMBULL CAREER &amp; TECH CENTER</t>
        </is>
      </c>
      <c r="AE1173" t="inlineStr">
        <is>
          <t>WARREN CITY</t>
        </is>
      </c>
      <c r="AF1173" t="inlineStr">
        <is>
          <t>WARREN CITY SD</t>
        </is>
      </c>
      <c r="AH1173" t="n">
        <v>14</v>
      </c>
      <c r="AI1173" t="n">
        <v>11</v>
      </c>
      <c r="AN1173" t="inlineStr">
        <is>
          <t>WARREN</t>
        </is>
      </c>
      <c r="AO1173" t="inlineStr">
        <is>
          <t>WARREN CITY 4D</t>
        </is>
      </c>
      <c r="AP1173" t="inlineStr">
        <is>
          <t>78-P-ADL</t>
        </is>
      </c>
      <c r="AQ1173" t="n">
        <v>9</v>
      </c>
      <c r="AR1173" t="n">
        <v>64</v>
      </c>
      <c r="AS1173" t="n">
        <v>32</v>
      </c>
      <c r="AU1173">
        <f>COUNTA($BA$1173:$EH$1173)</f>
        <v/>
      </c>
      <c r="AV1173">
        <f>COUNTIF($BA$1173:$EH$1173,"D")</f>
        <v/>
      </c>
      <c r="AW1173">
        <f>COUNTIF($BA$1173:$EH$1173,"R")</f>
        <v/>
      </c>
      <c r="AX1173">
        <f>IF(BN1173="D",1,0)+IF(BO1173="D",1,0)+IF(BT1173="D",1,0)+IF(BU1173="D",1,0)+IF(BW1173="D",1,0)+IF(CC1173="D",1,0)+IF(CD1173="D",1,0)+IF(CE1173="D",1,0)+IF(CF1173="D",1,0)+IF(CL1173="D",1,0)+IF(CM1173="D",1,0)+IF(CQ1173="D",1,0)+IF(CR1173="D",1,0)+IF(CS1173="D",1,0)+IF(CW1173="D",1,0)+IF(CX1173="D",1,0)+IF(DD1173="D",1,0)+IF(DE1173="D",1,0)+IF(DJ1173="D",1,0)+IF(DK1173="D",1,0)+IF(DO1173="D",1,0)+IF(DP1173="D",1,0)+IF(DQ1173="D",1,0)+IF(DW1173="D",1,0)+IF(DZ1173="D",1,0)+IF(EH1173="D",1,0)</f>
        <v/>
      </c>
      <c r="AY1173">
        <f>IF(DJ1173&lt;&gt;"",1,0)+IF(DK1173&lt;&gt;"",1,0)+IF(DM1173&lt;&gt;"",1,0)+IF(DO1173&lt;&gt;"",1,0)+IF(DP1173&lt;&gt;"",1,0)+IF(DQ1173&lt;&gt;"",1,0)+IF(DS1173&lt;&gt;"",1,0)+IF(DT1173&lt;&gt;"",1,0)+IF(DV1173&lt;&gt;"",1,0)+IF(DW1173&lt;&gt;"",1,0)+IF(DX1173&lt;&gt;"",1,0)+IF(DY1173&lt;&gt;"",1,0)+IF(DZ1173&lt;&gt;"",1,0)+IF(EB1173&lt;&gt;"",1,0)+IF(EC1173&lt;&gt;"",1,0)+IF(ED1173&lt;&gt;"",1,0)+IF(EG1173&lt;&gt;"",1,0)+IF(EH1173&lt;&gt;"",1,0)</f>
        <v/>
      </c>
      <c r="AZ1173">
        <f>IF(EH1173&lt;&gt;"",1,0)</f>
        <v/>
      </c>
      <c r="BB1173" t="inlineStr">
        <is>
          <t>WARREN-WARD 4</t>
        </is>
      </c>
      <c r="BD1173" t="inlineStr">
        <is>
          <t>X</t>
        </is>
      </c>
      <c r="BI1173" t="inlineStr">
        <is>
          <t>X</t>
        </is>
      </c>
      <c r="BJ1173" t="inlineStr">
        <is>
          <t>X</t>
        </is>
      </c>
      <c r="BK1173" t="inlineStr">
        <is>
          <t>X</t>
        </is>
      </c>
      <c r="BS1173" t="inlineStr">
        <is>
          <t>X</t>
        </is>
      </c>
      <c r="CG1173" t="inlineStr">
        <is>
          <t>X</t>
        </is>
      </c>
      <c r="CH1173" t="inlineStr">
        <is>
          <t>R</t>
        </is>
      </c>
      <c r="CK1173" t="inlineStr">
        <is>
          <t>X</t>
        </is>
      </c>
      <c r="CL1173" t="inlineStr">
        <is>
          <t>D</t>
        </is>
      </c>
      <c r="CN1173" t="inlineStr">
        <is>
          <t>X</t>
        </is>
      </c>
      <c r="CO1173" t="inlineStr">
        <is>
          <t>D</t>
        </is>
      </c>
      <c r="CP1173" t="inlineStr">
        <is>
          <t>X</t>
        </is>
      </c>
      <c r="CQ1173" t="inlineStr">
        <is>
          <t>D</t>
        </is>
      </c>
      <c r="CU1173" t="inlineStr">
        <is>
          <t>D</t>
        </is>
      </c>
      <c r="CV1173" t="inlineStr">
        <is>
          <t>X</t>
        </is>
      </c>
      <c r="CW1173" t="inlineStr">
        <is>
          <t>D</t>
        </is>
      </c>
      <c r="CY1173" t="inlineStr">
        <is>
          <t>X</t>
        </is>
      </c>
      <c r="DC1173" t="inlineStr">
        <is>
          <t>X</t>
        </is>
      </c>
      <c r="DF1173" t="inlineStr">
        <is>
          <t>X</t>
        </is>
      </c>
      <c r="DG1173" t="inlineStr">
        <is>
          <t>D</t>
        </is>
      </c>
      <c r="DI1173" t="inlineStr">
        <is>
          <t>X</t>
        </is>
      </c>
      <c r="DL1173" t="inlineStr">
        <is>
          <t>X</t>
        </is>
      </c>
      <c r="DN1173" t="inlineStr">
        <is>
          <t>X</t>
        </is>
      </c>
    </row>
    <row r="1174">
      <c r="A1174" t="inlineStr">
        <is>
          <t>OH0020232946</t>
        </is>
      </c>
      <c r="B1174" t="n">
        <v>78</v>
      </c>
      <c r="C1174" t="n">
        <v>364340</v>
      </c>
      <c r="D1174" t="inlineStr">
        <is>
          <t>DAVENPORT</t>
        </is>
      </c>
      <c r="E1174" t="inlineStr">
        <is>
          <t>JOHN</t>
        </is>
      </c>
      <c r="F1174">
        <f>CONCATENATE(D1174," ",LEFT(H1174,4),"T=",AU1174,"D=",AV1174,"R=",AW1174,"M=",AX1174,"L=",AY1174,"B=",AZ1174)</f>
        <v/>
      </c>
      <c r="G1174" t="inlineStr">
        <is>
          <t>ASHLEY</t>
        </is>
      </c>
      <c r="I1174" t="inlineStr">
        <is>
          <t>1967-02-02</t>
        </is>
      </c>
      <c r="J1174" t="inlineStr">
        <is>
          <t>2016-07-19</t>
        </is>
      </c>
      <c r="K1174" t="inlineStr">
        <is>
          <t>CONFIRMATION</t>
        </is>
      </c>
      <c r="M1174" t="inlineStr">
        <is>
          <t>532 N PARK AVE</t>
        </is>
      </c>
      <c r="N1174">
        <f>RIGHT(M1174,LEN(M1174)-FIND(" ",M1174))</f>
        <v/>
      </c>
      <c r="O1174" t="inlineStr">
        <is>
          <t>APT J</t>
        </is>
      </c>
      <c r="P1174" t="inlineStr">
        <is>
          <t>WARREN</t>
        </is>
      </c>
      <c r="Q1174" t="inlineStr">
        <is>
          <t>OH</t>
        </is>
      </c>
      <c r="R1174" t="n">
        <v>44481</v>
      </c>
      <c r="AD1174" t="inlineStr">
        <is>
          <t>TRUMBULL CAREER &amp; TECH CENTER</t>
        </is>
      </c>
      <c r="AE1174" t="inlineStr">
        <is>
          <t>WARREN CITY</t>
        </is>
      </c>
      <c r="AF1174" t="inlineStr">
        <is>
          <t>WARREN CITY SD</t>
        </is>
      </c>
      <c r="AH1174" t="n">
        <v>14</v>
      </c>
      <c r="AI1174" t="n">
        <v>11</v>
      </c>
      <c r="AN1174" t="inlineStr">
        <is>
          <t>WARREN</t>
        </is>
      </c>
      <c r="AO1174" t="inlineStr">
        <is>
          <t>WARREN CITY 4D</t>
        </is>
      </c>
      <c r="AP1174" t="inlineStr">
        <is>
          <t>78-P-ADL</t>
        </is>
      </c>
      <c r="AQ1174" t="n">
        <v>9</v>
      </c>
      <c r="AR1174" t="n">
        <v>64</v>
      </c>
      <c r="AS1174" t="n">
        <v>32</v>
      </c>
      <c r="AU1174">
        <f>COUNTA($BA$1174:$EH$1174)</f>
        <v/>
      </c>
      <c r="AV1174">
        <f>COUNTIF($BA$1174:$EH$1174,"D")</f>
        <v/>
      </c>
      <c r="AW1174">
        <f>COUNTIF($BA$1174:$EH$1174,"R")</f>
        <v/>
      </c>
      <c r="AX1174">
        <f>IF(BN1174="D",1,0)+IF(BO1174="D",1,0)+IF(BT1174="D",1,0)+IF(BU1174="D",1,0)+IF(BW1174="D",1,0)+IF(CC1174="D",1,0)+IF(CD1174="D",1,0)+IF(CE1174="D",1,0)+IF(CF1174="D",1,0)+IF(CL1174="D",1,0)+IF(CM1174="D",1,0)+IF(CQ1174="D",1,0)+IF(CR1174="D",1,0)+IF(CS1174="D",1,0)+IF(CW1174="D",1,0)+IF(CX1174="D",1,0)+IF(DD1174="D",1,0)+IF(DE1174="D",1,0)+IF(DJ1174="D",1,0)+IF(DK1174="D",1,0)+IF(DO1174="D",1,0)+IF(DP1174="D",1,0)+IF(DQ1174="D",1,0)+IF(DW1174="D",1,0)+IF(DZ1174="D",1,0)+IF(EH1174="D",1,0)</f>
        <v/>
      </c>
      <c r="AY1174">
        <f>IF(DJ1174&lt;&gt;"",1,0)+IF(DK1174&lt;&gt;"",1,0)+IF(DM1174&lt;&gt;"",1,0)+IF(DO1174&lt;&gt;"",1,0)+IF(DP1174&lt;&gt;"",1,0)+IF(DQ1174&lt;&gt;"",1,0)+IF(DS1174&lt;&gt;"",1,0)+IF(DT1174&lt;&gt;"",1,0)+IF(DV1174&lt;&gt;"",1,0)+IF(DW1174&lt;&gt;"",1,0)+IF(DX1174&lt;&gt;"",1,0)+IF(DY1174&lt;&gt;"",1,0)+IF(DZ1174&lt;&gt;"",1,0)+IF(EB1174&lt;&gt;"",1,0)+IF(EC1174&lt;&gt;"",1,0)+IF(ED1174&lt;&gt;"",1,0)+IF(EG1174&lt;&gt;"",1,0)+IF(EH1174&lt;&gt;"",1,0)</f>
        <v/>
      </c>
      <c r="AZ1174">
        <f>IF(EH1174&lt;&gt;"",1,0)</f>
        <v/>
      </c>
      <c r="BB1174" t="inlineStr">
        <is>
          <t>WARREN-WARD 4</t>
        </is>
      </c>
    </row>
    <row r="1175">
      <c r="A1175" t="inlineStr">
        <is>
          <t>OH0015791379</t>
        </is>
      </c>
      <c r="B1175" t="n">
        <v>78</v>
      </c>
      <c r="C1175" t="n">
        <v>70420</v>
      </c>
      <c r="D1175" t="inlineStr">
        <is>
          <t>BROWN</t>
        </is>
      </c>
      <c r="E1175" t="inlineStr">
        <is>
          <t>ROBERTA</t>
        </is>
      </c>
      <c r="F1175">
        <f>CONCATENATE(D1175," ",LEFT(H1175,4),"T=",AU1175,"D=",AV1175,"R=",AW1175,"M=",AX1175,"L=",AY1175,"B=",AZ1175)</f>
        <v/>
      </c>
      <c r="G1175" t="inlineStr">
        <is>
          <t>J</t>
        </is>
      </c>
      <c r="I1175" t="inlineStr">
        <is>
          <t>1961-10-30</t>
        </is>
      </c>
      <c r="J1175" t="inlineStr">
        <is>
          <t>1979-02-20</t>
        </is>
      </c>
      <c r="K1175" t="inlineStr">
        <is>
          <t>ACTIVE</t>
        </is>
      </c>
      <c r="L1175" t="inlineStr">
        <is>
          <t>D</t>
        </is>
      </c>
      <c r="M1175" t="inlineStr">
        <is>
          <t>305 MONROE ST NW</t>
        </is>
      </c>
      <c r="N1175">
        <f>RIGHT(M1175,LEN(M1175)-FIND(" ",M1175))</f>
        <v/>
      </c>
      <c r="P1175" t="inlineStr">
        <is>
          <t>WARREN</t>
        </is>
      </c>
      <c r="Q1175" t="inlineStr">
        <is>
          <t>OH</t>
        </is>
      </c>
      <c r="R1175" t="n">
        <v>44483</v>
      </c>
      <c r="V1175" t="inlineStr">
        <is>
          <t>PO BOX 4115</t>
        </is>
      </c>
      <c r="X1175" t="inlineStr">
        <is>
          <t>WARREN</t>
        </is>
      </c>
      <c r="Y1175" t="inlineStr">
        <is>
          <t>OH</t>
        </is>
      </c>
      <c r="Z1175" t="n">
        <v>44482</v>
      </c>
      <c r="AD1175" t="inlineStr">
        <is>
          <t>TRUMBULL CAREER &amp; TECH CENTER</t>
        </is>
      </c>
      <c r="AE1175" t="inlineStr">
        <is>
          <t>WARREN CITY</t>
        </is>
      </c>
      <c r="AF1175" t="inlineStr">
        <is>
          <t>WARREN CITY SD</t>
        </is>
      </c>
      <c r="AH1175" t="n">
        <v>14</v>
      </c>
      <c r="AI1175" t="n">
        <v>11</v>
      </c>
      <c r="AN1175" t="inlineStr">
        <is>
          <t>WARREN</t>
        </is>
      </c>
      <c r="AO1175" t="inlineStr">
        <is>
          <t>WARREN CITY 4D</t>
        </is>
      </c>
      <c r="AP1175" t="inlineStr">
        <is>
          <t>78-P-ADL</t>
        </is>
      </c>
      <c r="AQ1175" t="n">
        <v>9</v>
      </c>
      <c r="AR1175" t="n">
        <v>64</v>
      </c>
      <c r="AS1175" t="n">
        <v>32</v>
      </c>
      <c r="AU1175">
        <f>COUNTA($BA$1175:$EH$1175)</f>
        <v/>
      </c>
      <c r="AV1175">
        <f>COUNTIF($BA$1175:$EH$1175,"D")</f>
        <v/>
      </c>
      <c r="AW1175">
        <f>COUNTIF($BA$1175:$EH$1175,"R")</f>
        <v/>
      </c>
      <c r="AX1175">
        <f>IF(BN1175="D",1,0)+IF(BO1175="D",1,0)+IF(BT1175="D",1,0)+IF(BU1175="D",1,0)+IF(BW1175="D",1,0)+IF(CC1175="D",1,0)+IF(CD1175="D",1,0)+IF(CE1175="D",1,0)+IF(CF1175="D",1,0)+IF(CL1175="D",1,0)+IF(CM1175="D",1,0)+IF(CQ1175="D",1,0)+IF(CR1175="D",1,0)+IF(CS1175="D",1,0)+IF(CW1175="D",1,0)+IF(CX1175="D",1,0)+IF(DD1175="D",1,0)+IF(DE1175="D",1,0)+IF(DJ1175="D",1,0)+IF(DK1175="D",1,0)+IF(DO1175="D",1,0)+IF(DP1175="D",1,0)+IF(DQ1175="D",1,0)+IF(DW1175="D",1,0)+IF(DZ1175="D",1,0)+IF(EH1175="D",1,0)</f>
        <v/>
      </c>
      <c r="AY1175">
        <f>IF(DJ1175&lt;&gt;"",1,0)+IF(DK1175&lt;&gt;"",1,0)+IF(DM1175&lt;&gt;"",1,0)+IF(DO1175&lt;&gt;"",1,0)+IF(DP1175&lt;&gt;"",1,0)+IF(DQ1175&lt;&gt;"",1,0)+IF(DS1175&lt;&gt;"",1,0)+IF(DT1175&lt;&gt;"",1,0)+IF(DV1175&lt;&gt;"",1,0)+IF(DW1175&lt;&gt;"",1,0)+IF(DX1175&lt;&gt;"",1,0)+IF(DY1175&lt;&gt;"",1,0)+IF(DZ1175&lt;&gt;"",1,0)+IF(EB1175&lt;&gt;"",1,0)+IF(EC1175&lt;&gt;"",1,0)+IF(ED1175&lt;&gt;"",1,0)+IF(EG1175&lt;&gt;"",1,0)+IF(EH1175&lt;&gt;"",1,0)</f>
        <v/>
      </c>
      <c r="AZ1175">
        <f>IF(EH1175&lt;&gt;"",1,0)</f>
        <v/>
      </c>
      <c r="BB1175" t="inlineStr">
        <is>
          <t>WARREN-WARD 4</t>
        </is>
      </c>
      <c r="BC1175" t="inlineStr">
        <is>
          <t>X</t>
        </is>
      </c>
      <c r="BD1175" t="inlineStr">
        <is>
          <t>X</t>
        </is>
      </c>
      <c r="BE1175" t="inlineStr">
        <is>
          <t>X</t>
        </is>
      </c>
      <c r="BF1175" t="inlineStr">
        <is>
          <t>X</t>
        </is>
      </c>
      <c r="BG1175" t="inlineStr">
        <is>
          <t>X</t>
        </is>
      </c>
      <c r="BH1175" t="inlineStr">
        <is>
          <t>X</t>
        </is>
      </c>
      <c r="BI1175" t="inlineStr">
        <is>
          <t>X</t>
        </is>
      </c>
      <c r="BJ1175" t="inlineStr">
        <is>
          <t>X</t>
        </is>
      </c>
      <c r="BK1175" t="inlineStr">
        <is>
          <t>X</t>
        </is>
      </c>
      <c r="BL1175" t="inlineStr">
        <is>
          <t>X</t>
        </is>
      </c>
      <c r="BP1175" t="inlineStr">
        <is>
          <t>X</t>
        </is>
      </c>
      <c r="BR1175" t="inlineStr">
        <is>
          <t>X</t>
        </is>
      </c>
      <c r="BS1175" t="inlineStr">
        <is>
          <t>X</t>
        </is>
      </c>
      <c r="BT1175" t="inlineStr">
        <is>
          <t>X</t>
        </is>
      </c>
      <c r="BV1175" t="inlineStr">
        <is>
          <t>X</t>
        </is>
      </c>
      <c r="BY1175" t="inlineStr">
        <is>
          <t>D</t>
        </is>
      </c>
      <c r="CA1175" t="inlineStr">
        <is>
          <t>X</t>
        </is>
      </c>
      <c r="CC1175" t="inlineStr">
        <is>
          <t>D</t>
        </is>
      </c>
      <c r="CG1175" t="inlineStr">
        <is>
          <t>X</t>
        </is>
      </c>
      <c r="CH1175" t="inlineStr">
        <is>
          <t>D</t>
        </is>
      </c>
      <c r="CK1175" t="inlineStr">
        <is>
          <t>X</t>
        </is>
      </c>
      <c r="CL1175" t="inlineStr">
        <is>
          <t>D</t>
        </is>
      </c>
      <c r="CN1175" t="inlineStr">
        <is>
          <t>X</t>
        </is>
      </c>
      <c r="CO1175" t="inlineStr">
        <is>
          <t>D</t>
        </is>
      </c>
      <c r="CP1175" t="inlineStr">
        <is>
          <t>X</t>
        </is>
      </c>
      <c r="CQ1175" t="inlineStr">
        <is>
          <t>D</t>
        </is>
      </c>
      <c r="CT1175" t="inlineStr">
        <is>
          <t>X</t>
        </is>
      </c>
      <c r="CU1175" t="inlineStr">
        <is>
          <t>D</t>
        </is>
      </c>
      <c r="CV1175" t="inlineStr">
        <is>
          <t>X</t>
        </is>
      </c>
      <c r="CW1175" t="inlineStr">
        <is>
          <t>D</t>
        </is>
      </c>
      <c r="CY1175" t="inlineStr">
        <is>
          <t>X</t>
        </is>
      </c>
      <c r="CZ1175" t="inlineStr">
        <is>
          <t>D</t>
        </is>
      </c>
      <c r="DC1175" t="inlineStr">
        <is>
          <t>X</t>
        </is>
      </c>
      <c r="DF1175" t="inlineStr">
        <is>
          <t>X</t>
        </is>
      </c>
      <c r="DG1175" t="inlineStr">
        <is>
          <t>D</t>
        </is>
      </c>
      <c r="DI1175" t="inlineStr">
        <is>
          <t>X</t>
        </is>
      </c>
      <c r="DL1175" t="inlineStr">
        <is>
          <t>X</t>
        </is>
      </c>
      <c r="DN1175" t="inlineStr">
        <is>
          <t>X</t>
        </is>
      </c>
      <c r="DR1175" t="inlineStr">
        <is>
          <t>X</t>
        </is>
      </c>
      <c r="DS1175" t="inlineStr">
        <is>
          <t>D</t>
        </is>
      </c>
      <c r="DU1175" t="inlineStr">
        <is>
          <t>X</t>
        </is>
      </c>
      <c r="DW1175" t="inlineStr">
        <is>
          <t>D</t>
        </is>
      </c>
      <c r="DX1175" t="inlineStr">
        <is>
          <t>X</t>
        </is>
      </c>
      <c r="EA1175" t="inlineStr">
        <is>
          <t>X</t>
        </is>
      </c>
      <c r="ED1175" t="inlineStr">
        <is>
          <t>D</t>
        </is>
      </c>
      <c r="EF1175" t="inlineStr">
        <is>
          <t>X</t>
        </is>
      </c>
    </row>
    <row r="1176">
      <c r="A1176" t="inlineStr">
        <is>
          <t>OH0015768068</t>
        </is>
      </c>
      <c r="B1176" t="n">
        <v>78</v>
      </c>
      <c r="C1176" t="n">
        <v>255042</v>
      </c>
      <c r="D1176" t="inlineStr">
        <is>
          <t>MCCOMBS CUMMINGS</t>
        </is>
      </c>
      <c r="E1176" t="inlineStr">
        <is>
          <t>DANIELLE</t>
        </is>
      </c>
      <c r="F1176">
        <f>CONCATENATE(D1176," ",LEFT(H1176,4),"T=",AU1176,"D=",AV1176,"R=",AW1176,"M=",AX1176,"L=",AY1176,"B=",AZ1176)</f>
        <v/>
      </c>
      <c r="I1176" t="inlineStr">
        <is>
          <t>1975-09-03</t>
        </is>
      </c>
      <c r="J1176" t="inlineStr">
        <is>
          <t>2024-12-04</t>
        </is>
      </c>
      <c r="K1176" t="inlineStr">
        <is>
          <t>ACTIVE</t>
        </is>
      </c>
      <c r="M1176" t="inlineStr">
        <is>
          <t>329 SCOTT ST NE</t>
        </is>
      </c>
      <c r="N1176">
        <f>RIGHT(M1176,LEN(M1176)-FIND(" ",M1176))</f>
        <v/>
      </c>
      <c r="O1176" t="inlineStr">
        <is>
          <t>APT 2</t>
        </is>
      </c>
      <c r="P1176" t="inlineStr">
        <is>
          <t>WARREN</t>
        </is>
      </c>
      <c r="Q1176" t="inlineStr">
        <is>
          <t>OH</t>
        </is>
      </c>
      <c r="R1176" t="n">
        <v>44483</v>
      </c>
      <c r="AD1176" t="inlineStr">
        <is>
          <t>TRUMBULL CAREER &amp; TECH CENTER</t>
        </is>
      </c>
      <c r="AE1176" t="inlineStr">
        <is>
          <t>WARREN CITY</t>
        </is>
      </c>
      <c r="AF1176" t="inlineStr">
        <is>
          <t>WARREN CITY SD</t>
        </is>
      </c>
      <c r="AH1176" t="n">
        <v>14</v>
      </c>
      <c r="AI1176" t="n">
        <v>11</v>
      </c>
      <c r="AN1176" t="inlineStr">
        <is>
          <t>WARREN</t>
        </is>
      </c>
      <c r="AO1176" t="inlineStr">
        <is>
          <t>WARREN CITY 4D</t>
        </is>
      </c>
      <c r="AP1176" t="inlineStr">
        <is>
          <t>78-P-ADL</t>
        </is>
      </c>
      <c r="AQ1176" t="n">
        <v>9</v>
      </c>
      <c r="AR1176" t="n">
        <v>64</v>
      </c>
      <c r="AS1176" t="n">
        <v>32</v>
      </c>
      <c r="AU1176">
        <f>COUNTA($BA$1176:$EH$1176)</f>
        <v/>
      </c>
      <c r="AV1176">
        <f>COUNTIF($BA$1176:$EH$1176,"D")</f>
        <v/>
      </c>
      <c r="AW1176">
        <f>COUNTIF($BA$1176:$EH$1176,"R")</f>
        <v/>
      </c>
      <c r="AX1176">
        <f>IF(BN1176="D",1,0)+IF(BO1176="D",1,0)+IF(BT1176="D",1,0)+IF(BU1176="D",1,0)+IF(BW1176="D",1,0)+IF(CC1176="D",1,0)+IF(CD1176="D",1,0)+IF(CE1176="D",1,0)+IF(CF1176="D",1,0)+IF(CL1176="D",1,0)+IF(CM1176="D",1,0)+IF(CQ1176="D",1,0)+IF(CR1176="D",1,0)+IF(CS1176="D",1,0)+IF(CW1176="D",1,0)+IF(CX1176="D",1,0)+IF(DD1176="D",1,0)+IF(DE1176="D",1,0)+IF(DJ1176="D",1,0)+IF(DK1176="D",1,0)+IF(DO1176="D",1,0)+IF(DP1176="D",1,0)+IF(DQ1176="D",1,0)+IF(DW1176="D",1,0)+IF(DZ1176="D",1,0)+IF(EH1176="D",1,0)</f>
        <v/>
      </c>
      <c r="AY1176">
        <f>IF(DJ1176&lt;&gt;"",1,0)+IF(DK1176&lt;&gt;"",1,0)+IF(DM1176&lt;&gt;"",1,0)+IF(DO1176&lt;&gt;"",1,0)+IF(DP1176&lt;&gt;"",1,0)+IF(DQ1176&lt;&gt;"",1,0)+IF(DS1176&lt;&gt;"",1,0)+IF(DT1176&lt;&gt;"",1,0)+IF(DV1176&lt;&gt;"",1,0)+IF(DW1176&lt;&gt;"",1,0)+IF(DX1176&lt;&gt;"",1,0)+IF(DY1176&lt;&gt;"",1,0)+IF(DZ1176&lt;&gt;"",1,0)+IF(EB1176&lt;&gt;"",1,0)+IF(EC1176&lt;&gt;"",1,0)+IF(ED1176&lt;&gt;"",1,0)+IF(EG1176&lt;&gt;"",1,0)+IF(EH1176&lt;&gt;"",1,0)</f>
        <v/>
      </c>
      <c r="AZ1176">
        <f>IF(EH1176&lt;&gt;"",1,0)</f>
        <v/>
      </c>
      <c r="BB1176" t="inlineStr">
        <is>
          <t>WARREN-WARD 4</t>
        </is>
      </c>
      <c r="BC1176" t="inlineStr">
        <is>
          <t>X</t>
        </is>
      </c>
      <c r="BD1176" t="inlineStr">
        <is>
          <t>X</t>
        </is>
      </c>
      <c r="BI1176" t="inlineStr">
        <is>
          <t>X</t>
        </is>
      </c>
      <c r="BL1176" t="inlineStr">
        <is>
          <t>X</t>
        </is>
      </c>
      <c r="CA1176" t="inlineStr">
        <is>
          <t>X</t>
        </is>
      </c>
      <c r="CK1176" t="inlineStr">
        <is>
          <t>X</t>
        </is>
      </c>
      <c r="CN1176" t="inlineStr">
        <is>
          <t>X</t>
        </is>
      </c>
      <c r="CP1176" t="inlineStr">
        <is>
          <t>X</t>
        </is>
      </c>
      <c r="CY1176" t="inlineStr">
        <is>
          <t>X</t>
        </is>
      </c>
      <c r="DF1176" t="inlineStr">
        <is>
          <t>X</t>
        </is>
      </c>
      <c r="DI1176" t="inlineStr">
        <is>
          <t>X</t>
        </is>
      </c>
      <c r="DM1176" t="inlineStr">
        <is>
          <t>R</t>
        </is>
      </c>
      <c r="DN1176" t="inlineStr">
        <is>
          <t>X</t>
        </is>
      </c>
      <c r="EA1176" t="inlineStr">
        <is>
          <t>X</t>
        </is>
      </c>
      <c r="EF1176" t="inlineStr">
        <is>
          <t>X</t>
        </is>
      </c>
    </row>
    <row r="1177">
      <c r="A1177" t="inlineStr">
        <is>
          <t>OH0027069344</t>
        </is>
      </c>
      <c r="B1177" t="n">
        <v>78</v>
      </c>
      <c r="C1177" t="n">
        <v>476525</v>
      </c>
      <c r="D1177" t="inlineStr">
        <is>
          <t>JOHNSON</t>
        </is>
      </c>
      <c r="E1177" t="inlineStr">
        <is>
          <t>RASHEEN</t>
        </is>
      </c>
      <c r="F1177">
        <f>CONCATENATE(D1177," ",LEFT(H1177,4),"T=",AU1177,"D=",AV1177,"R=",AW1177,"M=",AX1177,"L=",AY1177,"B=",AZ1177)</f>
        <v/>
      </c>
      <c r="I1177" t="inlineStr">
        <is>
          <t>1978-03-30</t>
        </is>
      </c>
      <c r="J1177" t="inlineStr">
        <is>
          <t>2023-09-07</t>
        </is>
      </c>
      <c r="K1177" t="inlineStr">
        <is>
          <t>ACTIVE</t>
        </is>
      </c>
      <c r="M1177" t="inlineStr">
        <is>
          <t>307 CHESTNUT AVE NE</t>
        </is>
      </c>
      <c r="N1177">
        <f>RIGHT(M1177,LEN(M1177)-FIND(" ",M1177))</f>
        <v/>
      </c>
      <c r="P1177" t="inlineStr">
        <is>
          <t>WARREN</t>
        </is>
      </c>
      <c r="Q1177" t="inlineStr">
        <is>
          <t>OH</t>
        </is>
      </c>
      <c r="R1177" t="n">
        <v>44483</v>
      </c>
      <c r="AD1177" t="inlineStr">
        <is>
          <t>TRUMBULL CAREER &amp; TECH CENTER</t>
        </is>
      </c>
      <c r="AE1177" t="inlineStr">
        <is>
          <t>WARREN CITY</t>
        </is>
      </c>
      <c r="AF1177" t="inlineStr">
        <is>
          <t>WARREN CITY SD</t>
        </is>
      </c>
      <c r="AH1177" t="n">
        <v>14</v>
      </c>
      <c r="AI1177" t="n">
        <v>11</v>
      </c>
      <c r="AN1177" t="inlineStr">
        <is>
          <t>WARREN</t>
        </is>
      </c>
      <c r="AO1177" t="inlineStr">
        <is>
          <t>WARREN CITY 4D</t>
        </is>
      </c>
      <c r="AP1177" t="inlineStr">
        <is>
          <t>78-P-ADL</t>
        </is>
      </c>
      <c r="AQ1177" t="n">
        <v>9</v>
      </c>
      <c r="AR1177" t="n">
        <v>64</v>
      </c>
      <c r="AS1177" t="n">
        <v>32</v>
      </c>
      <c r="AU1177">
        <f>COUNTA($BA$1177:$EH$1177)</f>
        <v/>
      </c>
      <c r="AV1177">
        <f>COUNTIF($BA$1177:$EH$1177,"D")</f>
        <v/>
      </c>
      <c r="AW1177">
        <f>COUNTIF($BA$1177:$EH$1177,"R")</f>
        <v/>
      </c>
      <c r="AX1177">
        <f>IF(BN1177="D",1,0)+IF(BO1177="D",1,0)+IF(BT1177="D",1,0)+IF(BU1177="D",1,0)+IF(BW1177="D",1,0)+IF(CC1177="D",1,0)+IF(CD1177="D",1,0)+IF(CE1177="D",1,0)+IF(CF1177="D",1,0)+IF(CL1177="D",1,0)+IF(CM1177="D",1,0)+IF(CQ1177="D",1,0)+IF(CR1177="D",1,0)+IF(CS1177="D",1,0)+IF(CW1177="D",1,0)+IF(CX1177="D",1,0)+IF(DD1177="D",1,0)+IF(DE1177="D",1,0)+IF(DJ1177="D",1,0)+IF(DK1177="D",1,0)+IF(DO1177="D",1,0)+IF(DP1177="D",1,0)+IF(DQ1177="D",1,0)+IF(DW1177="D",1,0)+IF(DZ1177="D",1,0)+IF(EH1177="D",1,0)</f>
        <v/>
      </c>
      <c r="AY1177">
        <f>IF(DJ1177&lt;&gt;"",1,0)+IF(DK1177&lt;&gt;"",1,0)+IF(DM1177&lt;&gt;"",1,0)+IF(DO1177&lt;&gt;"",1,0)+IF(DP1177&lt;&gt;"",1,0)+IF(DQ1177&lt;&gt;"",1,0)+IF(DS1177&lt;&gt;"",1,0)+IF(DT1177&lt;&gt;"",1,0)+IF(DV1177&lt;&gt;"",1,0)+IF(DW1177&lt;&gt;"",1,0)+IF(DX1177&lt;&gt;"",1,0)+IF(DY1177&lt;&gt;"",1,0)+IF(DZ1177&lt;&gt;"",1,0)+IF(EB1177&lt;&gt;"",1,0)+IF(EC1177&lt;&gt;"",1,0)+IF(ED1177&lt;&gt;"",1,0)+IF(EG1177&lt;&gt;"",1,0)+IF(EH1177&lt;&gt;"",1,0)</f>
        <v/>
      </c>
      <c r="AZ1177">
        <f>IF(EH1177&lt;&gt;"",1,0)</f>
        <v/>
      </c>
      <c r="BB1177" t="inlineStr">
        <is>
          <t>WARREN-WARD 4</t>
        </is>
      </c>
    </row>
    <row r="1178">
      <c r="A1178" t="inlineStr">
        <is>
          <t>OH0024479237</t>
        </is>
      </c>
      <c r="B1178" t="n">
        <v>78</v>
      </c>
      <c r="C1178" t="n">
        <v>429090</v>
      </c>
      <c r="D1178" t="inlineStr">
        <is>
          <t>STEWART</t>
        </is>
      </c>
      <c r="E1178" t="inlineStr">
        <is>
          <t>DALLAS</t>
        </is>
      </c>
      <c r="F1178">
        <f>CONCATENATE(D1178," ",LEFT(H1178,4),"T=",AU1178,"D=",AV1178,"R=",AW1178,"M=",AX1178,"L=",AY1178,"B=",AZ1178)</f>
        <v/>
      </c>
      <c r="G1178" t="inlineStr">
        <is>
          <t>R</t>
        </is>
      </c>
      <c r="H1178" t="inlineStr">
        <is>
          <t>III</t>
        </is>
      </c>
      <c r="I1178" t="inlineStr">
        <is>
          <t>1977-12-24</t>
        </is>
      </c>
      <c r="J1178" t="inlineStr">
        <is>
          <t>2018-01-06</t>
        </is>
      </c>
      <c r="K1178" t="inlineStr">
        <is>
          <t>ACTIVE</t>
        </is>
      </c>
      <c r="L1178" t="inlineStr">
        <is>
          <t>D</t>
        </is>
      </c>
      <c r="M1178" t="inlineStr">
        <is>
          <t>189 LOGAN AVE NE</t>
        </is>
      </c>
      <c r="N1178">
        <f>RIGHT(M1178,LEN(M1178)-FIND(" ",M1178))</f>
        <v/>
      </c>
      <c r="P1178" t="inlineStr">
        <is>
          <t>WARREN</t>
        </is>
      </c>
      <c r="Q1178" t="inlineStr">
        <is>
          <t>OH</t>
        </is>
      </c>
      <c r="R1178" t="n">
        <v>44483</v>
      </c>
      <c r="AD1178" t="inlineStr">
        <is>
          <t>TRUMBULL CAREER &amp; TECH CENTER</t>
        </is>
      </c>
      <c r="AE1178" t="inlineStr">
        <is>
          <t>WARREN CITY</t>
        </is>
      </c>
      <c r="AF1178" t="inlineStr">
        <is>
          <t>WARREN CITY SD</t>
        </is>
      </c>
      <c r="AH1178" t="n">
        <v>14</v>
      </c>
      <c r="AI1178" t="n">
        <v>11</v>
      </c>
      <c r="AN1178" t="inlineStr">
        <is>
          <t>WARREN</t>
        </is>
      </c>
      <c r="AO1178" t="inlineStr">
        <is>
          <t>WARREN CITY 4D</t>
        </is>
      </c>
      <c r="AP1178" t="inlineStr">
        <is>
          <t>78-P-ADL</t>
        </is>
      </c>
      <c r="AQ1178" t="n">
        <v>9</v>
      </c>
      <c r="AR1178" t="n">
        <v>64</v>
      </c>
      <c r="AS1178" t="n">
        <v>32</v>
      </c>
      <c r="AU1178">
        <f>COUNTA($BA$1178:$EH$1178)</f>
        <v/>
      </c>
      <c r="AV1178">
        <f>COUNTIF($BA$1178:$EH$1178,"D")</f>
        <v/>
      </c>
      <c r="AW1178">
        <f>COUNTIF($BA$1178:$EH$1178,"R")</f>
        <v/>
      </c>
      <c r="AX1178">
        <f>IF(BN1178="D",1,0)+IF(BO1178="D",1,0)+IF(BT1178="D",1,0)+IF(BU1178="D",1,0)+IF(BW1178="D",1,0)+IF(CC1178="D",1,0)+IF(CD1178="D",1,0)+IF(CE1178="D",1,0)+IF(CF1178="D",1,0)+IF(CL1178="D",1,0)+IF(CM1178="D",1,0)+IF(CQ1178="D",1,0)+IF(CR1178="D",1,0)+IF(CS1178="D",1,0)+IF(CW1178="D",1,0)+IF(CX1178="D",1,0)+IF(DD1178="D",1,0)+IF(DE1178="D",1,0)+IF(DJ1178="D",1,0)+IF(DK1178="D",1,0)+IF(DO1178="D",1,0)+IF(DP1178="D",1,0)+IF(DQ1178="D",1,0)+IF(DW1178="D",1,0)+IF(DZ1178="D",1,0)+IF(EH1178="D",1,0)</f>
        <v/>
      </c>
      <c r="AY1178">
        <f>IF(DJ1178&lt;&gt;"",1,0)+IF(DK1178&lt;&gt;"",1,0)+IF(DM1178&lt;&gt;"",1,0)+IF(DO1178&lt;&gt;"",1,0)+IF(DP1178&lt;&gt;"",1,0)+IF(DQ1178&lt;&gt;"",1,0)+IF(DS1178&lt;&gt;"",1,0)+IF(DT1178&lt;&gt;"",1,0)+IF(DV1178&lt;&gt;"",1,0)+IF(DW1178&lt;&gt;"",1,0)+IF(DX1178&lt;&gt;"",1,0)+IF(DY1178&lt;&gt;"",1,0)+IF(DZ1178&lt;&gt;"",1,0)+IF(EB1178&lt;&gt;"",1,0)+IF(EC1178&lt;&gt;"",1,0)+IF(ED1178&lt;&gt;"",1,0)+IF(EG1178&lt;&gt;"",1,0)+IF(EH1178&lt;&gt;"",1,0)</f>
        <v/>
      </c>
      <c r="AZ1178">
        <f>IF(EH1178&lt;&gt;"",1,0)</f>
        <v/>
      </c>
      <c r="BB1178" t="inlineStr">
        <is>
          <t>WARREN-WARD 4</t>
        </is>
      </c>
      <c r="BL1178" t="inlineStr">
        <is>
          <t>X</t>
        </is>
      </c>
      <c r="BR1178" t="inlineStr">
        <is>
          <t>D</t>
        </is>
      </c>
      <c r="BS1178" t="inlineStr">
        <is>
          <t>X</t>
        </is>
      </c>
      <c r="BY1178" t="inlineStr">
        <is>
          <t>D</t>
        </is>
      </c>
      <c r="CA1178" t="inlineStr">
        <is>
          <t>X</t>
        </is>
      </c>
      <c r="CG1178" t="inlineStr">
        <is>
          <t>X</t>
        </is>
      </c>
      <c r="CH1178" t="inlineStr">
        <is>
          <t>D</t>
        </is>
      </c>
      <c r="CN1178" t="inlineStr">
        <is>
          <t>X</t>
        </is>
      </c>
      <c r="CT1178" t="inlineStr">
        <is>
          <t>X</t>
        </is>
      </c>
      <c r="CV1178" t="inlineStr">
        <is>
          <t>X</t>
        </is>
      </c>
      <c r="CY1178" t="inlineStr">
        <is>
          <t>X</t>
        </is>
      </c>
      <c r="CZ1178" t="inlineStr">
        <is>
          <t>D</t>
        </is>
      </c>
      <c r="DC1178" t="inlineStr">
        <is>
          <t>X</t>
        </is>
      </c>
      <c r="DI1178" t="inlineStr">
        <is>
          <t>X</t>
        </is>
      </c>
      <c r="DL1178" t="inlineStr">
        <is>
          <t>X</t>
        </is>
      </c>
      <c r="DM1178" t="inlineStr">
        <is>
          <t>D</t>
        </is>
      </c>
      <c r="DN1178" t="inlineStr">
        <is>
          <t>X</t>
        </is>
      </c>
      <c r="DR1178" t="inlineStr">
        <is>
          <t>X</t>
        </is>
      </c>
      <c r="DU1178" t="inlineStr">
        <is>
          <t>X</t>
        </is>
      </c>
      <c r="DW1178" t="inlineStr">
        <is>
          <t>D</t>
        </is>
      </c>
      <c r="DX1178" t="inlineStr">
        <is>
          <t>X</t>
        </is>
      </c>
      <c r="EA1178" t="inlineStr">
        <is>
          <t>X</t>
        </is>
      </c>
      <c r="EF1178" t="inlineStr">
        <is>
          <t>X</t>
        </is>
      </c>
    </row>
    <row r="1179">
      <c r="A1179" t="inlineStr">
        <is>
          <t>OH0015819938</t>
        </is>
      </c>
      <c r="B1179" t="n">
        <v>78</v>
      </c>
      <c r="C1179" t="n">
        <v>314030</v>
      </c>
      <c r="D1179" t="inlineStr">
        <is>
          <t>SIMON</t>
        </is>
      </c>
      <c r="E1179" t="inlineStr">
        <is>
          <t>TIFFANEY</t>
        </is>
      </c>
      <c r="F1179">
        <f>CONCATENATE(D1179," ",LEFT(H1179,4),"T=",AU1179,"D=",AV1179,"R=",AW1179,"M=",AX1179,"L=",AY1179,"B=",AZ1179)</f>
        <v/>
      </c>
      <c r="G1179" t="inlineStr">
        <is>
          <t>MARIE</t>
        </is>
      </c>
      <c r="I1179" t="inlineStr">
        <is>
          <t>1971-02-08</t>
        </is>
      </c>
      <c r="J1179" t="inlineStr">
        <is>
          <t>2022-06-30</t>
        </is>
      </c>
      <c r="K1179" t="inlineStr">
        <is>
          <t>ACTIVE</t>
        </is>
      </c>
      <c r="M1179" t="inlineStr">
        <is>
          <t>1115 MCKINLEY ST NE</t>
        </is>
      </c>
      <c r="N1179">
        <f>RIGHT(M1179,LEN(M1179)-FIND(" ",M1179))</f>
        <v/>
      </c>
      <c r="P1179" t="inlineStr">
        <is>
          <t>WARREN</t>
        </is>
      </c>
      <c r="Q1179" t="inlineStr">
        <is>
          <t>OH</t>
        </is>
      </c>
      <c r="R1179" t="n">
        <v>44483</v>
      </c>
      <c r="AD1179" t="inlineStr">
        <is>
          <t>TRUMBULL CAREER &amp; TECH CENTER</t>
        </is>
      </c>
      <c r="AE1179" t="inlineStr">
        <is>
          <t>WARREN CITY</t>
        </is>
      </c>
      <c r="AF1179" t="inlineStr">
        <is>
          <t>WARREN CITY SD</t>
        </is>
      </c>
      <c r="AH1179" t="n">
        <v>14</v>
      </c>
      <c r="AI1179" t="n">
        <v>11</v>
      </c>
      <c r="AN1179" t="inlineStr">
        <is>
          <t>WARREN</t>
        </is>
      </c>
      <c r="AO1179" t="inlineStr">
        <is>
          <t>WARREN CITY 4D</t>
        </is>
      </c>
      <c r="AP1179" t="inlineStr">
        <is>
          <t>78-P-ADL</t>
        </is>
      </c>
      <c r="AQ1179" t="n">
        <v>9</v>
      </c>
      <c r="AR1179" t="n">
        <v>64</v>
      </c>
      <c r="AS1179" t="n">
        <v>32</v>
      </c>
      <c r="AU1179">
        <f>COUNTA($BA$1179:$EH$1179)</f>
        <v/>
      </c>
      <c r="AV1179">
        <f>COUNTIF($BA$1179:$EH$1179,"D")</f>
        <v/>
      </c>
      <c r="AW1179">
        <f>COUNTIF($BA$1179:$EH$1179,"R")</f>
        <v/>
      </c>
      <c r="AX1179">
        <f>IF(BN1179="D",1,0)+IF(BO1179="D",1,0)+IF(BT1179="D",1,0)+IF(BU1179="D",1,0)+IF(BW1179="D",1,0)+IF(CC1179="D",1,0)+IF(CD1179="D",1,0)+IF(CE1179="D",1,0)+IF(CF1179="D",1,0)+IF(CL1179="D",1,0)+IF(CM1179="D",1,0)+IF(CQ1179="D",1,0)+IF(CR1179="D",1,0)+IF(CS1179="D",1,0)+IF(CW1179="D",1,0)+IF(CX1179="D",1,0)+IF(DD1179="D",1,0)+IF(DE1179="D",1,0)+IF(DJ1179="D",1,0)+IF(DK1179="D",1,0)+IF(DO1179="D",1,0)+IF(DP1179="D",1,0)+IF(DQ1179="D",1,0)+IF(DW1179="D",1,0)+IF(DZ1179="D",1,0)+IF(EH1179="D",1,0)</f>
        <v/>
      </c>
      <c r="AY1179">
        <f>IF(DJ1179&lt;&gt;"",1,0)+IF(DK1179&lt;&gt;"",1,0)+IF(DM1179&lt;&gt;"",1,0)+IF(DO1179&lt;&gt;"",1,0)+IF(DP1179&lt;&gt;"",1,0)+IF(DQ1179&lt;&gt;"",1,0)+IF(DS1179&lt;&gt;"",1,0)+IF(DT1179&lt;&gt;"",1,0)+IF(DV1179&lt;&gt;"",1,0)+IF(DW1179&lt;&gt;"",1,0)+IF(DX1179&lt;&gt;"",1,0)+IF(DY1179&lt;&gt;"",1,0)+IF(DZ1179&lt;&gt;"",1,0)+IF(EB1179&lt;&gt;"",1,0)+IF(EC1179&lt;&gt;"",1,0)+IF(ED1179&lt;&gt;"",1,0)+IF(EG1179&lt;&gt;"",1,0)+IF(EH1179&lt;&gt;"",1,0)</f>
        <v/>
      </c>
      <c r="AZ1179">
        <f>IF(EH1179&lt;&gt;"",1,0)</f>
        <v/>
      </c>
      <c r="BB1179" t="inlineStr">
        <is>
          <t>WARREN-WARD 4</t>
        </is>
      </c>
      <c r="BI1179" t="inlineStr">
        <is>
          <t>X</t>
        </is>
      </c>
      <c r="BK1179" t="inlineStr">
        <is>
          <t>X</t>
        </is>
      </c>
      <c r="BL1179" t="inlineStr">
        <is>
          <t>X</t>
        </is>
      </c>
      <c r="BP1179" t="inlineStr">
        <is>
          <t>X</t>
        </is>
      </c>
      <c r="BR1179" t="inlineStr">
        <is>
          <t>X</t>
        </is>
      </c>
      <c r="CP1179" t="inlineStr">
        <is>
          <t>X</t>
        </is>
      </c>
      <c r="DC1179" t="inlineStr">
        <is>
          <t>X</t>
        </is>
      </c>
      <c r="DF1179" t="inlineStr">
        <is>
          <t>X</t>
        </is>
      </c>
      <c r="DG1179" t="inlineStr">
        <is>
          <t>D</t>
        </is>
      </c>
    </row>
    <row r="1180">
      <c r="A1180" t="inlineStr">
        <is>
          <t>OH0023845107</t>
        </is>
      </c>
      <c r="B1180" t="n">
        <v>78</v>
      </c>
      <c r="C1180" t="n">
        <v>417492</v>
      </c>
      <c r="D1180" t="inlineStr">
        <is>
          <t>ARMSTRONG</t>
        </is>
      </c>
      <c r="E1180" t="inlineStr">
        <is>
          <t>KYLE</t>
        </is>
      </c>
      <c r="F1180">
        <f>CONCATENATE(D1180," ",LEFT(H1180,4),"T=",AU1180,"D=",AV1180,"R=",AW1180,"M=",AX1180,"L=",AY1180,"B=",AZ1180)</f>
        <v/>
      </c>
      <c r="G1180" t="inlineStr">
        <is>
          <t>JAMES</t>
        </is>
      </c>
      <c r="I1180" t="inlineStr">
        <is>
          <t>1998-01-26</t>
        </is>
      </c>
      <c r="J1180" t="inlineStr">
        <is>
          <t>2024-08-21</t>
        </is>
      </c>
      <c r="K1180" t="inlineStr">
        <is>
          <t>ACTIVE</t>
        </is>
      </c>
      <c r="M1180" t="inlineStr">
        <is>
          <t>439 LOGAN AVE NE</t>
        </is>
      </c>
      <c r="N1180">
        <f>RIGHT(M1180,LEN(M1180)-FIND(" ",M1180))</f>
        <v/>
      </c>
      <c r="P1180" t="inlineStr">
        <is>
          <t>WARREN</t>
        </is>
      </c>
      <c r="Q1180" t="inlineStr">
        <is>
          <t>OH</t>
        </is>
      </c>
      <c r="R1180" t="n">
        <v>44483</v>
      </c>
      <c r="AD1180" t="inlineStr">
        <is>
          <t>TRUMBULL CAREER &amp; TECH CENTER</t>
        </is>
      </c>
      <c r="AE1180" t="inlineStr">
        <is>
          <t>WARREN CITY</t>
        </is>
      </c>
      <c r="AF1180" t="inlineStr">
        <is>
          <t>WARREN CITY SD</t>
        </is>
      </c>
      <c r="AH1180" t="n">
        <v>14</v>
      </c>
      <c r="AI1180" t="n">
        <v>11</v>
      </c>
      <c r="AN1180" t="inlineStr">
        <is>
          <t>WARREN</t>
        </is>
      </c>
      <c r="AO1180" t="inlineStr">
        <is>
          <t>WARREN CITY 4D</t>
        </is>
      </c>
      <c r="AP1180" t="inlineStr">
        <is>
          <t>78-P-ADL</t>
        </is>
      </c>
      <c r="AQ1180" t="n">
        <v>9</v>
      </c>
      <c r="AR1180" t="n">
        <v>64</v>
      </c>
      <c r="AS1180" t="n">
        <v>32</v>
      </c>
      <c r="AU1180">
        <f>COUNTA($BA$1180:$EH$1180)</f>
        <v/>
      </c>
      <c r="AV1180">
        <f>COUNTIF($BA$1180:$EH$1180,"D")</f>
        <v/>
      </c>
      <c r="AW1180">
        <f>COUNTIF($BA$1180:$EH$1180,"R")</f>
        <v/>
      </c>
      <c r="AX1180">
        <f>IF(BN1180="D",1,0)+IF(BO1180="D",1,0)+IF(BT1180="D",1,0)+IF(BU1180="D",1,0)+IF(BW1180="D",1,0)+IF(CC1180="D",1,0)+IF(CD1180="D",1,0)+IF(CE1180="D",1,0)+IF(CF1180="D",1,0)+IF(CL1180="D",1,0)+IF(CM1180="D",1,0)+IF(CQ1180="D",1,0)+IF(CR1180="D",1,0)+IF(CS1180="D",1,0)+IF(CW1180="D",1,0)+IF(CX1180="D",1,0)+IF(DD1180="D",1,0)+IF(DE1180="D",1,0)+IF(DJ1180="D",1,0)+IF(DK1180="D",1,0)+IF(DO1180="D",1,0)+IF(DP1180="D",1,0)+IF(DQ1180="D",1,0)+IF(DW1180="D",1,0)+IF(DZ1180="D",1,0)+IF(EH1180="D",1,0)</f>
        <v/>
      </c>
      <c r="AY1180">
        <f>IF(DJ1180&lt;&gt;"",1,0)+IF(DK1180&lt;&gt;"",1,0)+IF(DM1180&lt;&gt;"",1,0)+IF(DO1180&lt;&gt;"",1,0)+IF(DP1180&lt;&gt;"",1,0)+IF(DQ1180&lt;&gt;"",1,0)+IF(DS1180&lt;&gt;"",1,0)+IF(DT1180&lt;&gt;"",1,0)+IF(DV1180&lt;&gt;"",1,0)+IF(DW1180&lt;&gt;"",1,0)+IF(DX1180&lt;&gt;"",1,0)+IF(DY1180&lt;&gt;"",1,0)+IF(DZ1180&lt;&gt;"",1,0)+IF(EB1180&lt;&gt;"",1,0)+IF(EC1180&lt;&gt;"",1,0)+IF(ED1180&lt;&gt;"",1,0)+IF(EG1180&lt;&gt;"",1,0)+IF(EH1180&lt;&gt;"",1,0)</f>
        <v/>
      </c>
      <c r="AZ1180">
        <f>IF(EH1180&lt;&gt;"",1,0)</f>
        <v/>
      </c>
      <c r="BB1180" t="inlineStr">
        <is>
          <t>WARREN-WARD 4</t>
        </is>
      </c>
      <c r="DN1180" t="inlineStr">
        <is>
          <t>X</t>
        </is>
      </c>
    </row>
    <row r="1181">
      <c r="A1181" t="inlineStr">
        <is>
          <t>OH0021646144</t>
        </is>
      </c>
      <c r="B1181" t="n">
        <v>78</v>
      </c>
      <c r="C1181" t="n">
        <v>383835</v>
      </c>
      <c r="D1181" t="inlineStr">
        <is>
          <t>BRATHWAITE</t>
        </is>
      </c>
      <c r="E1181" t="inlineStr">
        <is>
          <t>DIONNE</t>
        </is>
      </c>
      <c r="F1181">
        <f>CONCATENATE(D1181," ",LEFT(H1181,4),"T=",AU1181,"D=",AV1181,"R=",AW1181,"M=",AX1181,"L=",AY1181,"B=",AZ1181)</f>
        <v/>
      </c>
      <c r="G1181" t="inlineStr">
        <is>
          <t>J</t>
        </is>
      </c>
      <c r="I1181" t="inlineStr">
        <is>
          <t>1970-12-29</t>
        </is>
      </c>
      <c r="J1181" t="inlineStr">
        <is>
          <t>2016-09-02</t>
        </is>
      </c>
      <c r="K1181" t="inlineStr">
        <is>
          <t>CONFIRMATION</t>
        </is>
      </c>
      <c r="M1181" t="inlineStr">
        <is>
          <t>275 LAIRD AVE NE</t>
        </is>
      </c>
      <c r="N1181">
        <f>RIGHT(M1181,LEN(M1181)-FIND(" ",M1181))</f>
        <v/>
      </c>
      <c r="P1181" t="inlineStr">
        <is>
          <t>WARREN</t>
        </is>
      </c>
      <c r="Q1181" t="inlineStr">
        <is>
          <t>OH</t>
        </is>
      </c>
      <c r="R1181" t="n">
        <v>44483</v>
      </c>
      <c r="AD1181" t="inlineStr">
        <is>
          <t>TRUMBULL CAREER &amp; TECH CENTER</t>
        </is>
      </c>
      <c r="AE1181" t="inlineStr">
        <is>
          <t>WARREN CITY</t>
        </is>
      </c>
      <c r="AF1181" t="inlineStr">
        <is>
          <t>WARREN CITY SD</t>
        </is>
      </c>
      <c r="AH1181" t="n">
        <v>14</v>
      </c>
      <c r="AI1181" t="n">
        <v>11</v>
      </c>
      <c r="AN1181" t="inlineStr">
        <is>
          <t>WARREN</t>
        </is>
      </c>
      <c r="AO1181" t="inlineStr">
        <is>
          <t>WARREN CITY 4D</t>
        </is>
      </c>
      <c r="AP1181" t="inlineStr">
        <is>
          <t>78-P-ADL</t>
        </is>
      </c>
      <c r="AQ1181" t="n">
        <v>9</v>
      </c>
      <c r="AR1181" t="n">
        <v>64</v>
      </c>
      <c r="AS1181" t="n">
        <v>32</v>
      </c>
      <c r="AU1181">
        <f>COUNTA($BA$1181:$EH$1181)</f>
        <v/>
      </c>
      <c r="AV1181">
        <f>COUNTIF($BA$1181:$EH$1181,"D")</f>
        <v/>
      </c>
      <c r="AW1181">
        <f>COUNTIF($BA$1181:$EH$1181,"R")</f>
        <v/>
      </c>
      <c r="AX1181">
        <f>IF(BN1181="D",1,0)+IF(BO1181="D",1,0)+IF(BT1181="D",1,0)+IF(BU1181="D",1,0)+IF(BW1181="D",1,0)+IF(CC1181="D",1,0)+IF(CD1181="D",1,0)+IF(CE1181="D",1,0)+IF(CF1181="D",1,0)+IF(CL1181="D",1,0)+IF(CM1181="D",1,0)+IF(CQ1181="D",1,0)+IF(CR1181="D",1,0)+IF(CS1181="D",1,0)+IF(CW1181="D",1,0)+IF(CX1181="D",1,0)+IF(DD1181="D",1,0)+IF(DE1181="D",1,0)+IF(DJ1181="D",1,0)+IF(DK1181="D",1,0)+IF(DO1181="D",1,0)+IF(DP1181="D",1,0)+IF(DQ1181="D",1,0)+IF(DW1181="D",1,0)+IF(DZ1181="D",1,0)+IF(EH1181="D",1,0)</f>
        <v/>
      </c>
      <c r="AY1181">
        <f>IF(DJ1181&lt;&gt;"",1,0)+IF(DK1181&lt;&gt;"",1,0)+IF(DM1181&lt;&gt;"",1,0)+IF(DO1181&lt;&gt;"",1,0)+IF(DP1181&lt;&gt;"",1,0)+IF(DQ1181&lt;&gt;"",1,0)+IF(DS1181&lt;&gt;"",1,0)+IF(DT1181&lt;&gt;"",1,0)+IF(DV1181&lt;&gt;"",1,0)+IF(DW1181&lt;&gt;"",1,0)+IF(DX1181&lt;&gt;"",1,0)+IF(DY1181&lt;&gt;"",1,0)+IF(DZ1181&lt;&gt;"",1,0)+IF(EB1181&lt;&gt;"",1,0)+IF(EC1181&lt;&gt;"",1,0)+IF(ED1181&lt;&gt;"",1,0)+IF(EG1181&lt;&gt;"",1,0)+IF(EH1181&lt;&gt;"",1,0)</f>
        <v/>
      </c>
      <c r="AZ1181">
        <f>IF(EH1181&lt;&gt;"",1,0)</f>
        <v/>
      </c>
      <c r="BB1181" t="inlineStr">
        <is>
          <t>WARREN-WARD 4</t>
        </is>
      </c>
      <c r="BL1181" t="inlineStr">
        <is>
          <t>X</t>
        </is>
      </c>
      <c r="CP1181" t="inlineStr">
        <is>
          <t>X</t>
        </is>
      </c>
      <c r="DC1181" t="inlineStr">
        <is>
          <t>X</t>
        </is>
      </c>
    </row>
    <row r="1182">
      <c r="A1182" t="inlineStr">
        <is>
          <t>OH0026908827</t>
        </is>
      </c>
      <c r="B1182" t="n">
        <v>78</v>
      </c>
      <c r="C1182" t="n">
        <v>474077</v>
      </c>
      <c r="D1182" t="inlineStr">
        <is>
          <t>LOATMAN</t>
        </is>
      </c>
      <c r="E1182" t="inlineStr">
        <is>
          <t>ELEANOR</t>
        </is>
      </c>
      <c r="F1182">
        <f>CONCATENATE(D1182," ",LEFT(H1182,4),"T=",AU1182,"D=",AV1182,"R=",AW1182,"M=",AX1182,"L=",AY1182,"B=",AZ1182)</f>
        <v/>
      </c>
      <c r="G1182" t="inlineStr">
        <is>
          <t>BM</t>
        </is>
      </c>
      <c r="I1182" t="inlineStr">
        <is>
          <t>2004-03-06</t>
        </is>
      </c>
      <c r="J1182" t="inlineStr">
        <is>
          <t>2023-06-03</t>
        </is>
      </c>
      <c r="K1182" t="inlineStr">
        <is>
          <t>ACTIVE</t>
        </is>
      </c>
      <c r="M1182" t="inlineStr">
        <is>
          <t>304 LOWELL AVE NE</t>
        </is>
      </c>
      <c r="N1182">
        <f>RIGHT(M1182,LEN(M1182)-FIND(" ",M1182))</f>
        <v/>
      </c>
      <c r="P1182" t="inlineStr">
        <is>
          <t>WARREN</t>
        </is>
      </c>
      <c r="Q1182" t="inlineStr">
        <is>
          <t>OH</t>
        </is>
      </c>
      <c r="R1182" t="n">
        <v>44483</v>
      </c>
      <c r="AD1182" t="inlineStr">
        <is>
          <t>TRUMBULL CAREER &amp; TECH CENTER</t>
        </is>
      </c>
      <c r="AE1182" t="inlineStr">
        <is>
          <t>WARREN CITY</t>
        </is>
      </c>
      <c r="AF1182" t="inlineStr">
        <is>
          <t>WARREN CITY SD</t>
        </is>
      </c>
      <c r="AH1182" t="n">
        <v>14</v>
      </c>
      <c r="AI1182" t="n">
        <v>11</v>
      </c>
      <c r="AN1182" t="inlineStr">
        <is>
          <t>WARREN</t>
        </is>
      </c>
      <c r="AO1182" t="inlineStr">
        <is>
          <t>WARREN CITY 4D</t>
        </is>
      </c>
      <c r="AP1182" t="inlineStr">
        <is>
          <t>78-P-ADL</t>
        </is>
      </c>
      <c r="AQ1182" t="n">
        <v>9</v>
      </c>
      <c r="AR1182" t="n">
        <v>64</v>
      </c>
      <c r="AS1182" t="n">
        <v>32</v>
      </c>
      <c r="AU1182">
        <f>COUNTA($BA$1182:$EH$1182)</f>
        <v/>
      </c>
      <c r="AV1182">
        <f>COUNTIF($BA$1182:$EH$1182,"D")</f>
        <v/>
      </c>
      <c r="AW1182">
        <f>COUNTIF($BA$1182:$EH$1182,"R")</f>
        <v/>
      </c>
      <c r="AX1182">
        <f>IF(BN1182="D",1,0)+IF(BO1182="D",1,0)+IF(BT1182="D",1,0)+IF(BU1182="D",1,0)+IF(BW1182="D",1,0)+IF(CC1182="D",1,0)+IF(CD1182="D",1,0)+IF(CE1182="D",1,0)+IF(CF1182="D",1,0)+IF(CL1182="D",1,0)+IF(CM1182="D",1,0)+IF(CQ1182="D",1,0)+IF(CR1182="D",1,0)+IF(CS1182="D",1,0)+IF(CW1182="D",1,0)+IF(CX1182="D",1,0)+IF(DD1182="D",1,0)+IF(DE1182="D",1,0)+IF(DJ1182="D",1,0)+IF(DK1182="D",1,0)+IF(DO1182="D",1,0)+IF(DP1182="D",1,0)+IF(DQ1182="D",1,0)+IF(DW1182="D",1,0)+IF(DZ1182="D",1,0)+IF(EH1182="D",1,0)</f>
        <v/>
      </c>
      <c r="AY1182">
        <f>IF(DJ1182&lt;&gt;"",1,0)+IF(DK1182&lt;&gt;"",1,0)+IF(DM1182&lt;&gt;"",1,0)+IF(DO1182&lt;&gt;"",1,0)+IF(DP1182&lt;&gt;"",1,0)+IF(DQ1182&lt;&gt;"",1,0)+IF(DS1182&lt;&gt;"",1,0)+IF(DT1182&lt;&gt;"",1,0)+IF(DV1182&lt;&gt;"",1,0)+IF(DW1182&lt;&gt;"",1,0)+IF(DX1182&lt;&gt;"",1,0)+IF(DY1182&lt;&gt;"",1,0)+IF(DZ1182&lt;&gt;"",1,0)+IF(EB1182&lt;&gt;"",1,0)+IF(EC1182&lt;&gt;"",1,0)+IF(ED1182&lt;&gt;"",1,0)+IF(EG1182&lt;&gt;"",1,0)+IF(EH1182&lt;&gt;"",1,0)</f>
        <v/>
      </c>
      <c r="AZ1182">
        <f>IF(EH1182&lt;&gt;"",1,0)</f>
        <v/>
      </c>
      <c r="BB1182" t="inlineStr">
        <is>
          <t>WARREN-WARD 4</t>
        </is>
      </c>
    </row>
    <row r="1183">
      <c r="A1183" t="inlineStr">
        <is>
          <t>OH0020790903</t>
        </is>
      </c>
      <c r="B1183" t="n">
        <v>78</v>
      </c>
      <c r="C1183" t="n">
        <v>370024</v>
      </c>
      <c r="D1183" t="inlineStr">
        <is>
          <t>HARTMAN</t>
        </is>
      </c>
      <c r="E1183" t="inlineStr">
        <is>
          <t>ALICIA</t>
        </is>
      </c>
      <c r="F1183">
        <f>CONCATENATE(D1183," ",LEFT(H1183,4),"T=",AU1183,"D=",AV1183,"R=",AW1183,"M=",AX1183,"L=",AY1183,"B=",AZ1183)</f>
        <v/>
      </c>
      <c r="G1183" t="inlineStr">
        <is>
          <t>L</t>
        </is>
      </c>
      <c r="I1183" t="inlineStr">
        <is>
          <t>1987-07-08</t>
        </is>
      </c>
      <c r="J1183" t="inlineStr">
        <is>
          <t>2024-08-21</t>
        </is>
      </c>
      <c r="K1183" t="inlineStr">
        <is>
          <t>ACTIVE</t>
        </is>
      </c>
      <c r="M1183" t="inlineStr">
        <is>
          <t>176 LINDEN AVE SE</t>
        </is>
      </c>
      <c r="N1183">
        <f>RIGHT(M1183,LEN(M1183)-FIND(" ",M1183))</f>
        <v/>
      </c>
      <c r="P1183" t="inlineStr">
        <is>
          <t>WARREN</t>
        </is>
      </c>
      <c r="Q1183" t="inlineStr">
        <is>
          <t>OH</t>
        </is>
      </c>
      <c r="R1183" t="n">
        <v>44483</v>
      </c>
      <c r="AD1183" t="inlineStr">
        <is>
          <t>TRUMBULL CAREER &amp; TECH CENTER</t>
        </is>
      </c>
      <c r="AE1183" t="inlineStr">
        <is>
          <t>WARREN CITY</t>
        </is>
      </c>
      <c r="AF1183" t="inlineStr">
        <is>
          <t>WARREN CITY SD</t>
        </is>
      </c>
      <c r="AH1183" t="n">
        <v>14</v>
      </c>
      <c r="AI1183" t="n">
        <v>11</v>
      </c>
      <c r="AN1183" t="inlineStr">
        <is>
          <t>WARREN</t>
        </is>
      </c>
      <c r="AO1183" t="inlineStr">
        <is>
          <t>WARREN CITY 4D</t>
        </is>
      </c>
      <c r="AP1183" t="inlineStr">
        <is>
          <t>78-P-ADL</t>
        </is>
      </c>
      <c r="AQ1183" t="n">
        <v>9</v>
      </c>
      <c r="AR1183" t="n">
        <v>64</v>
      </c>
      <c r="AS1183" t="n">
        <v>32</v>
      </c>
      <c r="AU1183">
        <f>COUNTA($BA$1183:$EH$1183)</f>
        <v/>
      </c>
      <c r="AV1183">
        <f>COUNTIF($BA$1183:$EH$1183,"D")</f>
        <v/>
      </c>
      <c r="AW1183">
        <f>COUNTIF($BA$1183:$EH$1183,"R")</f>
        <v/>
      </c>
      <c r="AX1183">
        <f>IF(BN1183="D",1,0)+IF(BO1183="D",1,0)+IF(BT1183="D",1,0)+IF(BU1183="D",1,0)+IF(BW1183="D",1,0)+IF(CC1183="D",1,0)+IF(CD1183="D",1,0)+IF(CE1183="D",1,0)+IF(CF1183="D",1,0)+IF(CL1183="D",1,0)+IF(CM1183="D",1,0)+IF(CQ1183="D",1,0)+IF(CR1183="D",1,0)+IF(CS1183="D",1,0)+IF(CW1183="D",1,0)+IF(CX1183="D",1,0)+IF(DD1183="D",1,0)+IF(DE1183="D",1,0)+IF(DJ1183="D",1,0)+IF(DK1183="D",1,0)+IF(DO1183="D",1,0)+IF(DP1183="D",1,0)+IF(DQ1183="D",1,0)+IF(DW1183="D",1,0)+IF(DZ1183="D",1,0)+IF(EH1183="D",1,0)</f>
        <v/>
      </c>
      <c r="AY1183">
        <f>IF(DJ1183&lt;&gt;"",1,0)+IF(DK1183&lt;&gt;"",1,0)+IF(DM1183&lt;&gt;"",1,0)+IF(DO1183&lt;&gt;"",1,0)+IF(DP1183&lt;&gt;"",1,0)+IF(DQ1183&lt;&gt;"",1,0)+IF(DS1183&lt;&gt;"",1,0)+IF(DT1183&lt;&gt;"",1,0)+IF(DV1183&lt;&gt;"",1,0)+IF(DW1183&lt;&gt;"",1,0)+IF(DX1183&lt;&gt;"",1,0)+IF(DY1183&lt;&gt;"",1,0)+IF(DZ1183&lt;&gt;"",1,0)+IF(EB1183&lt;&gt;"",1,0)+IF(EC1183&lt;&gt;"",1,0)+IF(ED1183&lt;&gt;"",1,0)+IF(EG1183&lt;&gt;"",1,0)+IF(EH1183&lt;&gt;"",1,0)</f>
        <v/>
      </c>
      <c r="AZ1183">
        <f>IF(EH1183&lt;&gt;"",1,0)</f>
        <v/>
      </c>
      <c r="BB1183" t="inlineStr">
        <is>
          <t>WARREN-WARD 4</t>
        </is>
      </c>
    </row>
    <row r="1184">
      <c r="A1184" t="inlineStr">
        <is>
          <t>OH0023227125</t>
        </is>
      </c>
      <c r="B1184" t="n">
        <v>78</v>
      </c>
      <c r="C1184" t="n">
        <v>408822</v>
      </c>
      <c r="D1184" t="inlineStr">
        <is>
          <t>BUSH</t>
        </is>
      </c>
      <c r="E1184" t="inlineStr">
        <is>
          <t>JAMES</t>
        </is>
      </c>
      <c r="F1184">
        <f>CONCATENATE(D1184," ",LEFT(H1184,4),"T=",AU1184,"D=",AV1184,"R=",AW1184,"M=",AX1184,"L=",AY1184,"B=",AZ1184)</f>
        <v/>
      </c>
      <c r="G1184" t="inlineStr">
        <is>
          <t>T</t>
        </is>
      </c>
      <c r="I1184" t="inlineStr">
        <is>
          <t>1950-05-23</t>
        </is>
      </c>
      <c r="J1184" t="inlineStr">
        <is>
          <t>2015-09-22</t>
        </is>
      </c>
      <c r="K1184" t="inlineStr">
        <is>
          <t>CONFIRMATION</t>
        </is>
      </c>
      <c r="M1184" t="inlineStr">
        <is>
          <t>326 N PARK AVE</t>
        </is>
      </c>
      <c r="N1184">
        <f>RIGHT(M1184,LEN(M1184)-FIND(" ",M1184))</f>
        <v/>
      </c>
      <c r="P1184" t="inlineStr">
        <is>
          <t>WARREN</t>
        </is>
      </c>
      <c r="Q1184" t="inlineStr">
        <is>
          <t>OH</t>
        </is>
      </c>
      <c r="R1184" t="n">
        <v>44481</v>
      </c>
      <c r="AD1184" t="inlineStr">
        <is>
          <t>TRUMBULL CAREER &amp; TECH CENTER</t>
        </is>
      </c>
      <c r="AE1184" t="inlineStr">
        <is>
          <t>WARREN CITY</t>
        </is>
      </c>
      <c r="AF1184" t="inlineStr">
        <is>
          <t>WARREN CITY SD</t>
        </is>
      </c>
      <c r="AH1184" t="n">
        <v>14</v>
      </c>
      <c r="AI1184" t="n">
        <v>11</v>
      </c>
      <c r="AN1184" t="inlineStr">
        <is>
          <t>WARREN</t>
        </is>
      </c>
      <c r="AO1184" t="inlineStr">
        <is>
          <t>WARREN CITY 4D</t>
        </is>
      </c>
      <c r="AP1184" t="inlineStr">
        <is>
          <t>78-P-ADL</t>
        </is>
      </c>
      <c r="AQ1184" t="n">
        <v>9</v>
      </c>
      <c r="AR1184" t="n">
        <v>64</v>
      </c>
      <c r="AS1184" t="n">
        <v>32</v>
      </c>
      <c r="AU1184">
        <f>COUNTA($BA$1184:$EH$1184)</f>
        <v/>
      </c>
      <c r="AV1184">
        <f>COUNTIF($BA$1184:$EH$1184,"D")</f>
        <v/>
      </c>
      <c r="AW1184">
        <f>COUNTIF($BA$1184:$EH$1184,"R")</f>
        <v/>
      </c>
      <c r="AX1184">
        <f>IF(BN1184="D",1,0)+IF(BO1184="D",1,0)+IF(BT1184="D",1,0)+IF(BU1184="D",1,0)+IF(BW1184="D",1,0)+IF(CC1184="D",1,0)+IF(CD1184="D",1,0)+IF(CE1184="D",1,0)+IF(CF1184="D",1,0)+IF(CL1184="D",1,0)+IF(CM1184="D",1,0)+IF(CQ1184="D",1,0)+IF(CR1184="D",1,0)+IF(CS1184="D",1,0)+IF(CW1184="D",1,0)+IF(CX1184="D",1,0)+IF(DD1184="D",1,0)+IF(DE1184="D",1,0)+IF(DJ1184="D",1,0)+IF(DK1184="D",1,0)+IF(DO1184="D",1,0)+IF(DP1184="D",1,0)+IF(DQ1184="D",1,0)+IF(DW1184="D",1,0)+IF(DZ1184="D",1,0)+IF(EH1184="D",1,0)</f>
        <v/>
      </c>
      <c r="AY1184">
        <f>IF(DJ1184&lt;&gt;"",1,0)+IF(DK1184&lt;&gt;"",1,0)+IF(DM1184&lt;&gt;"",1,0)+IF(DO1184&lt;&gt;"",1,0)+IF(DP1184&lt;&gt;"",1,0)+IF(DQ1184&lt;&gt;"",1,0)+IF(DS1184&lt;&gt;"",1,0)+IF(DT1184&lt;&gt;"",1,0)+IF(DV1184&lt;&gt;"",1,0)+IF(DW1184&lt;&gt;"",1,0)+IF(DX1184&lt;&gt;"",1,0)+IF(DY1184&lt;&gt;"",1,0)+IF(DZ1184&lt;&gt;"",1,0)+IF(EB1184&lt;&gt;"",1,0)+IF(EC1184&lt;&gt;"",1,0)+IF(ED1184&lt;&gt;"",1,0)+IF(EG1184&lt;&gt;"",1,0)+IF(EH1184&lt;&gt;"",1,0)</f>
        <v/>
      </c>
      <c r="AZ1184">
        <f>IF(EH1184&lt;&gt;"",1,0)</f>
        <v/>
      </c>
      <c r="BB1184" t="inlineStr">
        <is>
          <t>WARREN-WARD 4</t>
        </is>
      </c>
    </row>
    <row r="1185">
      <c r="A1185" t="inlineStr">
        <is>
          <t>OH0026722291</t>
        </is>
      </c>
      <c r="B1185" t="n">
        <v>78</v>
      </c>
      <c r="C1185" t="n">
        <v>466292</v>
      </c>
      <c r="D1185" t="inlineStr">
        <is>
          <t>ENGELHARDT</t>
        </is>
      </c>
      <c r="E1185" t="inlineStr">
        <is>
          <t>REBEKAH</t>
        </is>
      </c>
      <c r="F1185">
        <f>CONCATENATE(D1185," ",LEFT(H1185,4),"T=",AU1185,"D=",AV1185,"R=",AW1185,"M=",AX1185,"L=",AY1185,"B=",AZ1185)</f>
        <v/>
      </c>
      <c r="G1185" t="inlineStr">
        <is>
          <t>DAWN</t>
        </is>
      </c>
      <c r="I1185" t="inlineStr">
        <is>
          <t>1985-08-22</t>
        </is>
      </c>
      <c r="J1185" t="inlineStr">
        <is>
          <t>2022-11-08</t>
        </is>
      </c>
      <c r="K1185" t="inlineStr">
        <is>
          <t>ACTIVE</t>
        </is>
      </c>
      <c r="L1185" t="inlineStr">
        <is>
          <t>R</t>
        </is>
      </c>
      <c r="M1185" t="inlineStr">
        <is>
          <t>328 SCOTT ST NE</t>
        </is>
      </c>
      <c r="N1185">
        <f>RIGHT(M1185,LEN(M1185)-FIND(" ",M1185))</f>
        <v/>
      </c>
      <c r="P1185" t="inlineStr">
        <is>
          <t>WARREN</t>
        </is>
      </c>
      <c r="Q1185" t="inlineStr">
        <is>
          <t>OH</t>
        </is>
      </c>
      <c r="R1185" t="n">
        <v>44483</v>
      </c>
      <c r="AD1185" t="inlineStr">
        <is>
          <t>TRUMBULL CAREER &amp; TECH CENTER</t>
        </is>
      </c>
      <c r="AE1185" t="inlineStr">
        <is>
          <t>WARREN CITY</t>
        </is>
      </c>
      <c r="AF1185" t="inlineStr">
        <is>
          <t>WARREN CITY SD</t>
        </is>
      </c>
      <c r="AH1185" t="n">
        <v>14</v>
      </c>
      <c r="AI1185" t="n">
        <v>11</v>
      </c>
      <c r="AN1185" t="inlineStr">
        <is>
          <t>WARREN</t>
        </is>
      </c>
      <c r="AO1185" t="inlineStr">
        <is>
          <t>WARREN CITY 4D</t>
        </is>
      </c>
      <c r="AP1185" t="inlineStr">
        <is>
          <t>78-P-ADL</t>
        </is>
      </c>
      <c r="AQ1185" t="n">
        <v>9</v>
      </c>
      <c r="AR1185" t="n">
        <v>64</v>
      </c>
      <c r="AS1185" t="n">
        <v>32</v>
      </c>
      <c r="AU1185">
        <f>COUNTA($BA$1185:$EH$1185)</f>
        <v/>
      </c>
      <c r="AV1185">
        <f>COUNTIF($BA$1185:$EH$1185,"D")</f>
        <v/>
      </c>
      <c r="AW1185">
        <f>COUNTIF($BA$1185:$EH$1185,"R")</f>
        <v/>
      </c>
      <c r="AX1185">
        <f>IF(BN1185="D",1,0)+IF(BO1185="D",1,0)+IF(BT1185="D",1,0)+IF(BU1185="D",1,0)+IF(BW1185="D",1,0)+IF(CC1185="D",1,0)+IF(CD1185="D",1,0)+IF(CE1185="D",1,0)+IF(CF1185="D",1,0)+IF(CL1185="D",1,0)+IF(CM1185="D",1,0)+IF(CQ1185="D",1,0)+IF(CR1185="D",1,0)+IF(CS1185="D",1,0)+IF(CW1185="D",1,0)+IF(CX1185="D",1,0)+IF(DD1185="D",1,0)+IF(DE1185="D",1,0)+IF(DJ1185="D",1,0)+IF(DK1185="D",1,0)+IF(DO1185="D",1,0)+IF(DP1185="D",1,0)+IF(DQ1185="D",1,0)+IF(DW1185="D",1,0)+IF(DZ1185="D",1,0)+IF(EH1185="D",1,0)</f>
        <v/>
      </c>
      <c r="AY1185">
        <f>IF(DJ1185&lt;&gt;"",1,0)+IF(DK1185&lt;&gt;"",1,0)+IF(DM1185&lt;&gt;"",1,0)+IF(DO1185&lt;&gt;"",1,0)+IF(DP1185&lt;&gt;"",1,0)+IF(DQ1185&lt;&gt;"",1,0)+IF(DS1185&lt;&gt;"",1,0)+IF(DT1185&lt;&gt;"",1,0)+IF(DV1185&lt;&gt;"",1,0)+IF(DW1185&lt;&gt;"",1,0)+IF(DX1185&lt;&gt;"",1,0)+IF(DY1185&lt;&gt;"",1,0)+IF(DZ1185&lt;&gt;"",1,0)+IF(EB1185&lt;&gt;"",1,0)+IF(EC1185&lt;&gt;"",1,0)+IF(ED1185&lt;&gt;"",1,0)+IF(EG1185&lt;&gt;"",1,0)+IF(EH1185&lt;&gt;"",1,0)</f>
        <v/>
      </c>
      <c r="AZ1185">
        <f>IF(EH1185&lt;&gt;"",1,0)</f>
        <v/>
      </c>
      <c r="BB1185" t="inlineStr">
        <is>
          <t>WARREN-WARD 4</t>
        </is>
      </c>
      <c r="BJ1185" t="inlineStr">
        <is>
          <t>X</t>
        </is>
      </c>
      <c r="BK1185" t="inlineStr">
        <is>
          <t>R</t>
        </is>
      </c>
      <c r="BL1185" t="inlineStr">
        <is>
          <t>X</t>
        </is>
      </c>
      <c r="BP1185" t="inlineStr">
        <is>
          <t>X</t>
        </is>
      </c>
      <c r="BS1185" t="inlineStr">
        <is>
          <t>X</t>
        </is>
      </c>
      <c r="BY1185" t="inlineStr">
        <is>
          <t>D</t>
        </is>
      </c>
      <c r="CA1185" t="inlineStr">
        <is>
          <t>X</t>
        </is>
      </c>
      <c r="CH1185" t="inlineStr">
        <is>
          <t>R</t>
        </is>
      </c>
      <c r="CK1185" t="inlineStr">
        <is>
          <t>X</t>
        </is>
      </c>
      <c r="CL1185" t="inlineStr">
        <is>
          <t>X</t>
        </is>
      </c>
      <c r="CN1185" t="inlineStr">
        <is>
          <t>X</t>
        </is>
      </c>
      <c r="CO1185" t="inlineStr">
        <is>
          <t>R</t>
        </is>
      </c>
      <c r="CP1185" t="inlineStr">
        <is>
          <t>X</t>
        </is>
      </c>
      <c r="CT1185" t="inlineStr">
        <is>
          <t>X</t>
        </is>
      </c>
      <c r="CU1185" t="inlineStr">
        <is>
          <t>R</t>
        </is>
      </c>
      <c r="CV1185" t="inlineStr">
        <is>
          <t>X</t>
        </is>
      </c>
      <c r="CY1185" t="inlineStr">
        <is>
          <t>X</t>
        </is>
      </c>
      <c r="CZ1185" t="inlineStr">
        <is>
          <t>R</t>
        </is>
      </c>
      <c r="DC1185" t="inlineStr">
        <is>
          <t>X</t>
        </is>
      </c>
      <c r="DF1185" t="inlineStr">
        <is>
          <t>X</t>
        </is>
      </c>
      <c r="DG1185" t="inlineStr">
        <is>
          <t>R</t>
        </is>
      </c>
      <c r="DI1185" t="inlineStr">
        <is>
          <t>X</t>
        </is>
      </c>
      <c r="DJ1185" t="inlineStr">
        <is>
          <t>R</t>
        </is>
      </c>
      <c r="DL1185" t="inlineStr">
        <is>
          <t>X</t>
        </is>
      </c>
      <c r="DN1185" t="inlineStr">
        <is>
          <t>X</t>
        </is>
      </c>
      <c r="DU1185" t="inlineStr">
        <is>
          <t>X</t>
        </is>
      </c>
      <c r="DX1185" t="inlineStr">
        <is>
          <t>X</t>
        </is>
      </c>
      <c r="EA1185" t="inlineStr">
        <is>
          <t>X</t>
        </is>
      </c>
      <c r="ED1185" t="inlineStr">
        <is>
          <t>R</t>
        </is>
      </c>
      <c r="EF1185" t="inlineStr">
        <is>
          <t>X</t>
        </is>
      </c>
    </row>
    <row r="1186">
      <c r="A1186" t="inlineStr">
        <is>
          <t>OH0026830472</t>
        </is>
      </c>
      <c r="B1186" t="n">
        <v>78</v>
      </c>
      <c r="C1186" t="n">
        <v>472089</v>
      </c>
      <c r="D1186" t="inlineStr">
        <is>
          <t>MARTINEZ VALENTIN</t>
        </is>
      </c>
      <c r="E1186" t="inlineStr">
        <is>
          <t>DENNISE</t>
        </is>
      </c>
      <c r="F1186">
        <f>CONCATENATE(D1186," ",LEFT(H1186,4),"T=",AU1186,"D=",AV1186,"R=",AW1186,"M=",AX1186,"L=",AY1186,"B=",AZ1186)</f>
        <v/>
      </c>
      <c r="I1186" t="inlineStr">
        <is>
          <t>1985-02-21</t>
        </is>
      </c>
      <c r="J1186" t="inlineStr">
        <is>
          <t>2023-02-23</t>
        </is>
      </c>
      <c r="K1186" t="inlineStr">
        <is>
          <t>ACTIVE</t>
        </is>
      </c>
      <c r="M1186" t="inlineStr">
        <is>
          <t>355 CHESTNUT AVE NE</t>
        </is>
      </c>
      <c r="N1186">
        <f>RIGHT(M1186,LEN(M1186)-FIND(" ",M1186))</f>
        <v/>
      </c>
      <c r="P1186" t="inlineStr">
        <is>
          <t>WARREN</t>
        </is>
      </c>
      <c r="Q1186" t="inlineStr">
        <is>
          <t>OH</t>
        </is>
      </c>
      <c r="R1186" t="n">
        <v>44483</v>
      </c>
      <c r="AD1186" t="inlineStr">
        <is>
          <t>TRUMBULL CAREER &amp; TECH CENTER</t>
        </is>
      </c>
      <c r="AE1186" t="inlineStr">
        <is>
          <t>WARREN CITY</t>
        </is>
      </c>
      <c r="AF1186" t="inlineStr">
        <is>
          <t>WARREN CITY SD</t>
        </is>
      </c>
      <c r="AH1186" t="n">
        <v>14</v>
      </c>
      <c r="AI1186" t="n">
        <v>11</v>
      </c>
      <c r="AN1186" t="inlineStr">
        <is>
          <t>WARREN</t>
        </is>
      </c>
      <c r="AO1186" t="inlineStr">
        <is>
          <t>WARREN CITY 4D</t>
        </is>
      </c>
      <c r="AP1186" t="inlineStr">
        <is>
          <t>78-P-ADL</t>
        </is>
      </c>
      <c r="AQ1186" t="n">
        <v>9</v>
      </c>
      <c r="AR1186" t="n">
        <v>64</v>
      </c>
      <c r="AS1186" t="n">
        <v>32</v>
      </c>
      <c r="AU1186">
        <f>COUNTA($BA$1186:$EH$1186)</f>
        <v/>
      </c>
      <c r="AV1186">
        <f>COUNTIF($BA$1186:$EH$1186,"D")</f>
        <v/>
      </c>
      <c r="AW1186">
        <f>COUNTIF($BA$1186:$EH$1186,"R")</f>
        <v/>
      </c>
      <c r="AX1186">
        <f>IF(BN1186="D",1,0)+IF(BO1186="D",1,0)+IF(BT1186="D",1,0)+IF(BU1186="D",1,0)+IF(BW1186="D",1,0)+IF(CC1186="D",1,0)+IF(CD1186="D",1,0)+IF(CE1186="D",1,0)+IF(CF1186="D",1,0)+IF(CL1186="D",1,0)+IF(CM1186="D",1,0)+IF(CQ1186="D",1,0)+IF(CR1186="D",1,0)+IF(CS1186="D",1,0)+IF(CW1186="D",1,0)+IF(CX1186="D",1,0)+IF(DD1186="D",1,0)+IF(DE1186="D",1,0)+IF(DJ1186="D",1,0)+IF(DK1186="D",1,0)+IF(DO1186="D",1,0)+IF(DP1186="D",1,0)+IF(DQ1186="D",1,0)+IF(DW1186="D",1,0)+IF(DZ1186="D",1,0)+IF(EH1186="D",1,0)</f>
        <v/>
      </c>
      <c r="AY1186">
        <f>IF(DJ1186&lt;&gt;"",1,0)+IF(DK1186&lt;&gt;"",1,0)+IF(DM1186&lt;&gt;"",1,0)+IF(DO1186&lt;&gt;"",1,0)+IF(DP1186&lt;&gt;"",1,0)+IF(DQ1186&lt;&gt;"",1,0)+IF(DS1186&lt;&gt;"",1,0)+IF(DT1186&lt;&gt;"",1,0)+IF(DV1186&lt;&gt;"",1,0)+IF(DW1186&lt;&gt;"",1,0)+IF(DX1186&lt;&gt;"",1,0)+IF(DY1186&lt;&gt;"",1,0)+IF(DZ1186&lt;&gt;"",1,0)+IF(EB1186&lt;&gt;"",1,0)+IF(EC1186&lt;&gt;"",1,0)+IF(ED1186&lt;&gt;"",1,0)+IF(EG1186&lt;&gt;"",1,0)+IF(EH1186&lt;&gt;"",1,0)</f>
        <v/>
      </c>
      <c r="AZ1186">
        <f>IF(EH1186&lt;&gt;"",1,0)</f>
        <v/>
      </c>
      <c r="BB1186" t="inlineStr">
        <is>
          <t>WARREN-WARD 4</t>
        </is>
      </c>
    </row>
    <row r="1187">
      <c r="A1187" t="inlineStr">
        <is>
          <t>OH0023912279</t>
        </is>
      </c>
      <c r="B1187" t="n">
        <v>78</v>
      </c>
      <c r="C1187" t="n">
        <v>419813</v>
      </c>
      <c r="D1187" t="inlineStr">
        <is>
          <t>JOHNSON</t>
        </is>
      </c>
      <c r="E1187" t="inlineStr">
        <is>
          <t>SHELLY</t>
        </is>
      </c>
      <c r="F1187">
        <f>CONCATENATE(D1187," ",LEFT(H1187,4),"T=",AU1187,"D=",AV1187,"R=",AW1187,"M=",AX1187,"L=",AY1187,"B=",AZ1187)</f>
        <v/>
      </c>
      <c r="G1187" t="inlineStr">
        <is>
          <t>C</t>
        </is>
      </c>
      <c r="I1187" t="inlineStr">
        <is>
          <t>1977-01-17</t>
        </is>
      </c>
      <c r="J1187" t="inlineStr">
        <is>
          <t>2016-09-07</t>
        </is>
      </c>
      <c r="K1187" t="inlineStr">
        <is>
          <t>ACTIVE</t>
        </is>
      </c>
      <c r="M1187" t="inlineStr">
        <is>
          <t>661 PORTER ST NE</t>
        </is>
      </c>
      <c r="N1187">
        <f>RIGHT(M1187,LEN(M1187)-FIND(" ",M1187))</f>
        <v/>
      </c>
      <c r="P1187" t="inlineStr">
        <is>
          <t>WARREN</t>
        </is>
      </c>
      <c r="Q1187" t="inlineStr">
        <is>
          <t>OH</t>
        </is>
      </c>
      <c r="R1187" t="n">
        <v>44483</v>
      </c>
      <c r="AD1187" t="inlineStr">
        <is>
          <t>TRUMBULL CAREER &amp; TECH CENTER</t>
        </is>
      </c>
      <c r="AE1187" t="inlineStr">
        <is>
          <t>WARREN CITY</t>
        </is>
      </c>
      <c r="AF1187" t="inlineStr">
        <is>
          <t>WARREN CITY SD</t>
        </is>
      </c>
      <c r="AH1187" t="n">
        <v>14</v>
      </c>
      <c r="AI1187" t="n">
        <v>11</v>
      </c>
      <c r="AN1187" t="inlineStr">
        <is>
          <t>WARREN</t>
        </is>
      </c>
      <c r="AO1187" t="inlineStr">
        <is>
          <t>WARREN CITY 4D</t>
        </is>
      </c>
      <c r="AP1187" t="inlineStr">
        <is>
          <t>78-P-ADL</t>
        </is>
      </c>
      <c r="AQ1187" t="n">
        <v>9</v>
      </c>
      <c r="AR1187" t="n">
        <v>64</v>
      </c>
      <c r="AS1187" t="n">
        <v>32</v>
      </c>
      <c r="AU1187">
        <f>COUNTA($BA$1187:$EH$1187)</f>
        <v/>
      </c>
      <c r="AV1187">
        <f>COUNTIF($BA$1187:$EH$1187,"D")</f>
        <v/>
      </c>
      <c r="AW1187">
        <f>COUNTIF($BA$1187:$EH$1187,"R")</f>
        <v/>
      </c>
      <c r="AX1187">
        <f>IF(BN1187="D",1,0)+IF(BO1187="D",1,0)+IF(BT1187="D",1,0)+IF(BU1187="D",1,0)+IF(BW1187="D",1,0)+IF(CC1187="D",1,0)+IF(CD1187="D",1,0)+IF(CE1187="D",1,0)+IF(CF1187="D",1,0)+IF(CL1187="D",1,0)+IF(CM1187="D",1,0)+IF(CQ1187="D",1,0)+IF(CR1187="D",1,0)+IF(CS1187="D",1,0)+IF(CW1187="D",1,0)+IF(CX1187="D",1,0)+IF(DD1187="D",1,0)+IF(DE1187="D",1,0)+IF(DJ1187="D",1,0)+IF(DK1187="D",1,0)+IF(DO1187="D",1,0)+IF(DP1187="D",1,0)+IF(DQ1187="D",1,0)+IF(DW1187="D",1,0)+IF(DZ1187="D",1,0)+IF(EH1187="D",1,0)</f>
        <v/>
      </c>
      <c r="AY1187">
        <f>IF(DJ1187&lt;&gt;"",1,0)+IF(DK1187&lt;&gt;"",1,0)+IF(DM1187&lt;&gt;"",1,0)+IF(DO1187&lt;&gt;"",1,0)+IF(DP1187&lt;&gt;"",1,0)+IF(DQ1187&lt;&gt;"",1,0)+IF(DS1187&lt;&gt;"",1,0)+IF(DT1187&lt;&gt;"",1,0)+IF(DV1187&lt;&gt;"",1,0)+IF(DW1187&lt;&gt;"",1,0)+IF(DX1187&lt;&gt;"",1,0)+IF(DY1187&lt;&gt;"",1,0)+IF(DZ1187&lt;&gt;"",1,0)+IF(EB1187&lt;&gt;"",1,0)+IF(EC1187&lt;&gt;"",1,0)+IF(ED1187&lt;&gt;"",1,0)+IF(EG1187&lt;&gt;"",1,0)+IF(EH1187&lt;&gt;"",1,0)</f>
        <v/>
      </c>
      <c r="AZ1187">
        <f>IF(EH1187&lt;&gt;"",1,0)</f>
        <v/>
      </c>
      <c r="BB1187" t="inlineStr">
        <is>
          <t>WARREN-WARD 4</t>
        </is>
      </c>
      <c r="DN1187" t="inlineStr">
        <is>
          <t>X</t>
        </is>
      </c>
      <c r="EF1187" t="inlineStr">
        <is>
          <t>X</t>
        </is>
      </c>
    </row>
    <row r="1188">
      <c r="A1188" t="inlineStr">
        <is>
          <t>OH0024560946</t>
        </is>
      </c>
      <c r="B1188" t="n">
        <v>78</v>
      </c>
      <c r="C1188" t="n">
        <v>430469</v>
      </c>
      <c r="D1188" t="inlineStr">
        <is>
          <t>FANNIN</t>
        </is>
      </c>
      <c r="E1188" t="inlineStr">
        <is>
          <t>SHANNON</t>
        </is>
      </c>
      <c r="F1188">
        <f>CONCATENATE(D1188," ",LEFT(H1188,4),"T=",AU1188,"D=",AV1188,"R=",AW1188,"M=",AX1188,"L=",AY1188,"B=",AZ1188)</f>
        <v/>
      </c>
      <c r="G1188" t="inlineStr">
        <is>
          <t>M</t>
        </is>
      </c>
      <c r="I1188" t="inlineStr">
        <is>
          <t>1980-02-08</t>
        </is>
      </c>
      <c r="J1188" t="inlineStr">
        <is>
          <t>2018-04-02</t>
        </is>
      </c>
      <c r="K1188" t="inlineStr">
        <is>
          <t>ACTIVE</t>
        </is>
      </c>
      <c r="M1188" t="inlineStr">
        <is>
          <t>512 HIGH ST NE</t>
        </is>
      </c>
      <c r="N1188">
        <f>RIGHT(M1188,LEN(M1188)-FIND(" ",M1188))</f>
        <v/>
      </c>
      <c r="P1188" t="inlineStr">
        <is>
          <t>WARREN</t>
        </is>
      </c>
      <c r="Q1188" t="inlineStr">
        <is>
          <t>OH</t>
        </is>
      </c>
      <c r="R1188" t="n">
        <v>44483</v>
      </c>
      <c r="AD1188" t="inlineStr">
        <is>
          <t>TRUMBULL CAREER &amp; TECH CENTER</t>
        </is>
      </c>
      <c r="AE1188" t="inlineStr">
        <is>
          <t>WARREN CITY</t>
        </is>
      </c>
      <c r="AF1188" t="inlineStr">
        <is>
          <t>WARREN CITY SD</t>
        </is>
      </c>
      <c r="AH1188" t="n">
        <v>14</v>
      </c>
      <c r="AI1188" t="n">
        <v>11</v>
      </c>
      <c r="AN1188" t="inlineStr">
        <is>
          <t>WARREN</t>
        </is>
      </c>
      <c r="AO1188" t="inlineStr">
        <is>
          <t>WARREN CITY 4D</t>
        </is>
      </c>
      <c r="AP1188" t="inlineStr">
        <is>
          <t>78-P-ADL</t>
        </is>
      </c>
      <c r="AQ1188" t="n">
        <v>9</v>
      </c>
      <c r="AR1188" t="n">
        <v>64</v>
      </c>
      <c r="AS1188" t="n">
        <v>32</v>
      </c>
      <c r="AU1188">
        <f>COUNTA($BA$1188:$EH$1188)</f>
        <v/>
      </c>
      <c r="AV1188">
        <f>COUNTIF($BA$1188:$EH$1188,"D")</f>
        <v/>
      </c>
      <c r="AW1188">
        <f>COUNTIF($BA$1188:$EH$1188,"R")</f>
        <v/>
      </c>
      <c r="AX1188">
        <f>IF(BN1188="D",1,0)+IF(BO1188="D",1,0)+IF(BT1188="D",1,0)+IF(BU1188="D",1,0)+IF(BW1188="D",1,0)+IF(CC1188="D",1,0)+IF(CD1188="D",1,0)+IF(CE1188="D",1,0)+IF(CF1188="D",1,0)+IF(CL1188="D",1,0)+IF(CM1188="D",1,0)+IF(CQ1188="D",1,0)+IF(CR1188="D",1,0)+IF(CS1188="D",1,0)+IF(CW1188="D",1,0)+IF(CX1188="D",1,0)+IF(DD1188="D",1,0)+IF(DE1188="D",1,0)+IF(DJ1188="D",1,0)+IF(DK1188="D",1,0)+IF(DO1188="D",1,0)+IF(DP1188="D",1,0)+IF(DQ1188="D",1,0)+IF(DW1188="D",1,0)+IF(DZ1188="D",1,0)+IF(EH1188="D",1,0)</f>
        <v/>
      </c>
      <c r="AY1188">
        <f>IF(DJ1188&lt;&gt;"",1,0)+IF(DK1188&lt;&gt;"",1,0)+IF(DM1188&lt;&gt;"",1,0)+IF(DO1188&lt;&gt;"",1,0)+IF(DP1188&lt;&gt;"",1,0)+IF(DQ1188&lt;&gt;"",1,0)+IF(DS1188&lt;&gt;"",1,0)+IF(DT1188&lt;&gt;"",1,0)+IF(DV1188&lt;&gt;"",1,0)+IF(DW1188&lt;&gt;"",1,0)+IF(DX1188&lt;&gt;"",1,0)+IF(DY1188&lt;&gt;"",1,0)+IF(DZ1188&lt;&gt;"",1,0)+IF(EB1188&lt;&gt;"",1,0)+IF(EC1188&lt;&gt;"",1,0)+IF(ED1188&lt;&gt;"",1,0)+IF(EG1188&lt;&gt;"",1,0)+IF(EH1188&lt;&gt;"",1,0)</f>
        <v/>
      </c>
      <c r="AZ1188">
        <f>IF(EH1188&lt;&gt;"",1,0)</f>
        <v/>
      </c>
      <c r="BB1188" t="inlineStr">
        <is>
          <t>WARREN-WARD 4</t>
        </is>
      </c>
      <c r="DN1188" t="inlineStr">
        <is>
          <t>X</t>
        </is>
      </c>
      <c r="EA1188" t="inlineStr">
        <is>
          <t>X</t>
        </is>
      </c>
      <c r="EF1188" t="inlineStr">
        <is>
          <t>X</t>
        </is>
      </c>
    </row>
    <row r="1189">
      <c r="A1189" t="inlineStr">
        <is>
          <t>OH0027889172</t>
        </is>
      </c>
      <c r="B1189" t="n">
        <v>78</v>
      </c>
      <c r="C1189" t="n">
        <v>494872</v>
      </c>
      <c r="D1189" t="inlineStr">
        <is>
          <t>DECOST</t>
        </is>
      </c>
      <c r="E1189" t="inlineStr">
        <is>
          <t>ROBERT</t>
        </is>
      </c>
      <c r="F1189">
        <f>CONCATENATE(D1189," ",LEFT(H1189,4),"T=",AU1189,"D=",AV1189,"R=",AW1189,"M=",AX1189,"L=",AY1189,"B=",AZ1189)</f>
        <v/>
      </c>
      <c r="G1189" t="inlineStr">
        <is>
          <t>DALE</t>
        </is>
      </c>
      <c r="I1189" t="inlineStr">
        <is>
          <t>1953-12-01</t>
        </is>
      </c>
      <c r="J1189" t="inlineStr">
        <is>
          <t>2025-01-22</t>
        </is>
      </c>
      <c r="K1189" t="inlineStr">
        <is>
          <t>ACTIVE</t>
        </is>
      </c>
      <c r="M1189" t="inlineStr">
        <is>
          <t>737 PORTER ST NE</t>
        </is>
      </c>
      <c r="N1189">
        <f>RIGHT(M1189,LEN(M1189)-FIND(" ",M1189))</f>
        <v/>
      </c>
      <c r="P1189" t="inlineStr">
        <is>
          <t>WARREN</t>
        </is>
      </c>
      <c r="Q1189" t="inlineStr">
        <is>
          <t>OH</t>
        </is>
      </c>
      <c r="R1189" t="n">
        <v>44483</v>
      </c>
      <c r="AD1189" t="inlineStr">
        <is>
          <t>TRUMBULL CAREER &amp; TECH CENTER</t>
        </is>
      </c>
      <c r="AE1189" t="inlineStr">
        <is>
          <t>WARREN CITY</t>
        </is>
      </c>
      <c r="AF1189" t="inlineStr">
        <is>
          <t>WARREN CITY SD</t>
        </is>
      </c>
      <c r="AH1189" t="n">
        <v>14</v>
      </c>
      <c r="AI1189" t="n">
        <v>11</v>
      </c>
      <c r="AN1189" t="inlineStr">
        <is>
          <t>WARREN</t>
        </is>
      </c>
      <c r="AO1189" t="inlineStr">
        <is>
          <t>WARREN CITY 4D</t>
        </is>
      </c>
      <c r="AP1189" t="inlineStr">
        <is>
          <t>78-P-ADL</t>
        </is>
      </c>
      <c r="AQ1189" t="n">
        <v>9</v>
      </c>
      <c r="AR1189" t="n">
        <v>64</v>
      </c>
      <c r="AS1189" t="n">
        <v>32</v>
      </c>
      <c r="AU1189">
        <f>COUNTA($BA$1189:$EH$1189)</f>
        <v/>
      </c>
      <c r="AV1189">
        <f>COUNTIF($BA$1189:$EH$1189,"D")</f>
        <v/>
      </c>
      <c r="AW1189">
        <f>COUNTIF($BA$1189:$EH$1189,"R")</f>
        <v/>
      </c>
      <c r="AX1189">
        <f>IF(BN1189="D",1,0)+IF(BO1189="D",1,0)+IF(BT1189="D",1,0)+IF(BU1189="D",1,0)+IF(BW1189="D",1,0)+IF(CC1189="D",1,0)+IF(CD1189="D",1,0)+IF(CE1189="D",1,0)+IF(CF1189="D",1,0)+IF(CL1189="D",1,0)+IF(CM1189="D",1,0)+IF(CQ1189="D",1,0)+IF(CR1189="D",1,0)+IF(CS1189="D",1,0)+IF(CW1189="D",1,0)+IF(CX1189="D",1,0)+IF(DD1189="D",1,0)+IF(DE1189="D",1,0)+IF(DJ1189="D",1,0)+IF(DK1189="D",1,0)+IF(DO1189="D",1,0)+IF(DP1189="D",1,0)+IF(DQ1189="D",1,0)+IF(DW1189="D",1,0)+IF(DZ1189="D",1,0)+IF(EH1189="D",1,0)</f>
        <v/>
      </c>
      <c r="AY1189">
        <f>IF(DJ1189&lt;&gt;"",1,0)+IF(DK1189&lt;&gt;"",1,0)+IF(DM1189&lt;&gt;"",1,0)+IF(DO1189&lt;&gt;"",1,0)+IF(DP1189&lt;&gt;"",1,0)+IF(DQ1189&lt;&gt;"",1,0)+IF(DS1189&lt;&gt;"",1,0)+IF(DT1189&lt;&gt;"",1,0)+IF(DV1189&lt;&gt;"",1,0)+IF(DW1189&lt;&gt;"",1,0)+IF(DX1189&lt;&gt;"",1,0)+IF(DY1189&lt;&gt;"",1,0)+IF(DZ1189&lt;&gt;"",1,0)+IF(EB1189&lt;&gt;"",1,0)+IF(EC1189&lt;&gt;"",1,0)+IF(ED1189&lt;&gt;"",1,0)+IF(EG1189&lt;&gt;"",1,0)+IF(EH1189&lt;&gt;"",1,0)</f>
        <v/>
      </c>
      <c r="AZ1189">
        <f>IF(EH1189&lt;&gt;"",1,0)</f>
        <v/>
      </c>
      <c r="BB1189" t="inlineStr">
        <is>
          <t>WARREN-WARD 4</t>
        </is>
      </c>
    </row>
    <row r="1190">
      <c r="A1190" t="inlineStr">
        <is>
          <t>OH0025113679</t>
        </is>
      </c>
      <c r="B1190" t="n">
        <v>78</v>
      </c>
      <c r="C1190" t="n">
        <v>439678</v>
      </c>
      <c r="D1190" t="inlineStr">
        <is>
          <t>HAMPTON</t>
        </is>
      </c>
      <c r="E1190" t="inlineStr">
        <is>
          <t>CASSAUNDRA</t>
        </is>
      </c>
      <c r="F1190">
        <f>CONCATENATE(D1190," ",LEFT(H1190,4),"T=",AU1190,"D=",AV1190,"R=",AW1190,"M=",AX1190,"L=",AY1190,"B=",AZ1190)</f>
        <v/>
      </c>
      <c r="G1190" t="inlineStr">
        <is>
          <t>QUAN</t>
        </is>
      </c>
      <c r="I1190" t="inlineStr">
        <is>
          <t>1979-04-15</t>
        </is>
      </c>
      <c r="J1190" t="inlineStr">
        <is>
          <t>2019-06-03</t>
        </is>
      </c>
      <c r="K1190" t="inlineStr">
        <is>
          <t>ACTIVE</t>
        </is>
      </c>
      <c r="M1190" t="inlineStr">
        <is>
          <t>644 OLIVE AVE NE</t>
        </is>
      </c>
      <c r="N1190">
        <f>RIGHT(M1190,LEN(M1190)-FIND(" ",M1190))</f>
        <v/>
      </c>
      <c r="P1190" t="inlineStr">
        <is>
          <t>WARREN</t>
        </is>
      </c>
      <c r="Q1190" t="inlineStr">
        <is>
          <t>OH</t>
        </is>
      </c>
      <c r="R1190" t="n">
        <v>44483</v>
      </c>
      <c r="AD1190" t="inlineStr">
        <is>
          <t>TRUMBULL CAREER &amp; TECH CENTER</t>
        </is>
      </c>
      <c r="AE1190" t="inlineStr">
        <is>
          <t>WARREN CITY</t>
        </is>
      </c>
      <c r="AF1190" t="inlineStr">
        <is>
          <t>WARREN CITY SD</t>
        </is>
      </c>
      <c r="AH1190" t="n">
        <v>14</v>
      </c>
      <c r="AI1190" t="n">
        <v>11</v>
      </c>
      <c r="AN1190" t="inlineStr">
        <is>
          <t>WARREN</t>
        </is>
      </c>
      <c r="AO1190" t="inlineStr">
        <is>
          <t>WARREN CITY 4D</t>
        </is>
      </c>
      <c r="AP1190" t="inlineStr">
        <is>
          <t>78-P-ADL</t>
        </is>
      </c>
      <c r="AQ1190" t="n">
        <v>9</v>
      </c>
      <c r="AR1190" t="n">
        <v>64</v>
      </c>
      <c r="AS1190" t="n">
        <v>32</v>
      </c>
      <c r="AU1190">
        <f>COUNTA($BA$1190:$EH$1190)</f>
        <v/>
      </c>
      <c r="AV1190">
        <f>COUNTIF($BA$1190:$EH$1190,"D")</f>
        <v/>
      </c>
      <c r="AW1190">
        <f>COUNTIF($BA$1190:$EH$1190,"R")</f>
        <v/>
      </c>
      <c r="AX1190">
        <f>IF(BN1190="D",1,0)+IF(BO1190="D",1,0)+IF(BT1190="D",1,0)+IF(BU1190="D",1,0)+IF(BW1190="D",1,0)+IF(CC1190="D",1,0)+IF(CD1190="D",1,0)+IF(CE1190="D",1,0)+IF(CF1190="D",1,0)+IF(CL1190="D",1,0)+IF(CM1190="D",1,0)+IF(CQ1190="D",1,0)+IF(CR1190="D",1,0)+IF(CS1190="D",1,0)+IF(CW1190="D",1,0)+IF(CX1190="D",1,0)+IF(DD1190="D",1,0)+IF(DE1190="D",1,0)+IF(DJ1190="D",1,0)+IF(DK1190="D",1,0)+IF(DO1190="D",1,0)+IF(DP1190="D",1,0)+IF(DQ1190="D",1,0)+IF(DW1190="D",1,0)+IF(DZ1190="D",1,0)+IF(EH1190="D",1,0)</f>
        <v/>
      </c>
      <c r="AY1190">
        <f>IF(DJ1190&lt;&gt;"",1,0)+IF(DK1190&lt;&gt;"",1,0)+IF(DM1190&lt;&gt;"",1,0)+IF(DO1190&lt;&gt;"",1,0)+IF(DP1190&lt;&gt;"",1,0)+IF(DQ1190&lt;&gt;"",1,0)+IF(DS1190&lt;&gt;"",1,0)+IF(DT1190&lt;&gt;"",1,0)+IF(DV1190&lt;&gt;"",1,0)+IF(DW1190&lt;&gt;"",1,0)+IF(DX1190&lt;&gt;"",1,0)+IF(DY1190&lt;&gt;"",1,0)+IF(DZ1190&lt;&gt;"",1,0)+IF(EB1190&lt;&gt;"",1,0)+IF(EC1190&lt;&gt;"",1,0)+IF(ED1190&lt;&gt;"",1,0)+IF(EG1190&lt;&gt;"",1,0)+IF(EH1190&lt;&gt;"",1,0)</f>
        <v/>
      </c>
      <c r="AZ1190">
        <f>IF(EH1190&lt;&gt;"",1,0)</f>
        <v/>
      </c>
      <c r="BB1190" t="inlineStr">
        <is>
          <t>WARREN-WARD 4</t>
        </is>
      </c>
      <c r="BD1190" t="inlineStr">
        <is>
          <t>X</t>
        </is>
      </c>
      <c r="BJ1190" t="inlineStr">
        <is>
          <t>X</t>
        </is>
      </c>
      <c r="BL1190" t="inlineStr">
        <is>
          <t>X</t>
        </is>
      </c>
      <c r="BS1190" t="inlineStr">
        <is>
          <t>X</t>
        </is>
      </c>
      <c r="BY1190" t="inlineStr">
        <is>
          <t>D</t>
        </is>
      </c>
      <c r="CA1190" t="inlineStr">
        <is>
          <t>X</t>
        </is>
      </c>
      <c r="CN1190" t="inlineStr">
        <is>
          <t>X</t>
        </is>
      </c>
      <c r="CP1190" t="inlineStr">
        <is>
          <t>X</t>
        </is>
      </c>
      <c r="CV1190" t="inlineStr">
        <is>
          <t>X</t>
        </is>
      </c>
      <c r="CW1190" t="inlineStr">
        <is>
          <t>X</t>
        </is>
      </c>
      <c r="CZ1190" t="inlineStr">
        <is>
          <t>D</t>
        </is>
      </c>
      <c r="DC1190" t="inlineStr">
        <is>
          <t>X</t>
        </is>
      </c>
      <c r="DN1190" t="inlineStr">
        <is>
          <t>X</t>
        </is>
      </c>
      <c r="DU1190" t="inlineStr">
        <is>
          <t>X</t>
        </is>
      </c>
      <c r="EF1190" t="inlineStr">
        <is>
          <t>X</t>
        </is>
      </c>
    </row>
    <row r="1191">
      <c r="A1191" t="inlineStr">
        <is>
          <t>OH0015677298</t>
        </is>
      </c>
      <c r="B1191" t="n">
        <v>78</v>
      </c>
      <c r="C1191" t="n">
        <v>266925</v>
      </c>
      <c r="D1191" t="inlineStr">
        <is>
          <t>ALLEN</t>
        </is>
      </c>
      <c r="E1191" t="inlineStr">
        <is>
          <t>MARILYN</t>
        </is>
      </c>
      <c r="F1191">
        <f>CONCATENATE(D1191," ",LEFT(H1191,4),"T=",AU1191,"D=",AV1191,"R=",AW1191,"M=",AX1191,"L=",AY1191,"B=",AZ1191)</f>
        <v/>
      </c>
      <c r="G1191" t="inlineStr">
        <is>
          <t>L</t>
        </is>
      </c>
      <c r="I1191" t="inlineStr">
        <is>
          <t>1963-03-09</t>
        </is>
      </c>
      <c r="J1191" t="inlineStr">
        <is>
          <t>2018-07-28</t>
        </is>
      </c>
      <c r="K1191" t="inlineStr">
        <is>
          <t>ACTIVE</t>
        </is>
      </c>
      <c r="M1191" t="inlineStr">
        <is>
          <t>438 N PARK AVE</t>
        </is>
      </c>
      <c r="N1191">
        <f>RIGHT(M1191,LEN(M1191)-FIND(" ",M1191))</f>
        <v/>
      </c>
      <c r="O1191" t="inlineStr">
        <is>
          <t>APT 4</t>
        </is>
      </c>
      <c r="P1191" t="inlineStr">
        <is>
          <t>WARREN</t>
        </is>
      </c>
      <c r="Q1191" t="inlineStr">
        <is>
          <t>OH</t>
        </is>
      </c>
      <c r="R1191" t="n">
        <v>44481</v>
      </c>
      <c r="AD1191" t="inlineStr">
        <is>
          <t>TRUMBULL CAREER &amp; TECH CENTER</t>
        </is>
      </c>
      <c r="AE1191" t="inlineStr">
        <is>
          <t>WARREN CITY</t>
        </is>
      </c>
      <c r="AF1191" t="inlineStr">
        <is>
          <t>WARREN CITY SD</t>
        </is>
      </c>
      <c r="AH1191" t="n">
        <v>14</v>
      </c>
      <c r="AI1191" t="n">
        <v>11</v>
      </c>
      <c r="AN1191" t="inlineStr">
        <is>
          <t>WARREN</t>
        </is>
      </c>
      <c r="AO1191" t="inlineStr">
        <is>
          <t>WARREN CITY 4D</t>
        </is>
      </c>
      <c r="AP1191" t="inlineStr">
        <is>
          <t>78-P-ADL</t>
        </is>
      </c>
      <c r="AQ1191" t="n">
        <v>9</v>
      </c>
      <c r="AR1191" t="n">
        <v>64</v>
      </c>
      <c r="AS1191" t="n">
        <v>32</v>
      </c>
      <c r="AU1191">
        <f>COUNTA($BA$1191:$EH$1191)</f>
        <v/>
      </c>
      <c r="AV1191">
        <f>COUNTIF($BA$1191:$EH$1191,"D")</f>
        <v/>
      </c>
      <c r="AW1191">
        <f>COUNTIF($BA$1191:$EH$1191,"R")</f>
        <v/>
      </c>
      <c r="AX1191">
        <f>IF(BN1191="D",1,0)+IF(BO1191="D",1,0)+IF(BT1191="D",1,0)+IF(BU1191="D",1,0)+IF(BW1191="D",1,0)+IF(CC1191="D",1,0)+IF(CD1191="D",1,0)+IF(CE1191="D",1,0)+IF(CF1191="D",1,0)+IF(CL1191="D",1,0)+IF(CM1191="D",1,0)+IF(CQ1191="D",1,0)+IF(CR1191="D",1,0)+IF(CS1191="D",1,0)+IF(CW1191="D",1,0)+IF(CX1191="D",1,0)+IF(DD1191="D",1,0)+IF(DE1191="D",1,0)+IF(DJ1191="D",1,0)+IF(DK1191="D",1,0)+IF(DO1191="D",1,0)+IF(DP1191="D",1,0)+IF(DQ1191="D",1,0)+IF(DW1191="D",1,0)+IF(DZ1191="D",1,0)+IF(EH1191="D",1,0)</f>
        <v/>
      </c>
      <c r="AY1191">
        <f>IF(DJ1191&lt;&gt;"",1,0)+IF(DK1191&lt;&gt;"",1,0)+IF(DM1191&lt;&gt;"",1,0)+IF(DO1191&lt;&gt;"",1,0)+IF(DP1191&lt;&gt;"",1,0)+IF(DQ1191&lt;&gt;"",1,0)+IF(DS1191&lt;&gt;"",1,0)+IF(DT1191&lt;&gt;"",1,0)+IF(DV1191&lt;&gt;"",1,0)+IF(DW1191&lt;&gt;"",1,0)+IF(DX1191&lt;&gt;"",1,0)+IF(DY1191&lt;&gt;"",1,0)+IF(DZ1191&lt;&gt;"",1,0)+IF(EB1191&lt;&gt;"",1,0)+IF(EC1191&lt;&gt;"",1,0)+IF(ED1191&lt;&gt;"",1,0)+IF(EG1191&lt;&gt;"",1,0)+IF(EH1191&lt;&gt;"",1,0)</f>
        <v/>
      </c>
      <c r="AZ1191">
        <f>IF(EH1191&lt;&gt;"",1,0)</f>
        <v/>
      </c>
      <c r="BB1191" t="inlineStr">
        <is>
          <t>WARREN-WARD 4</t>
        </is>
      </c>
      <c r="BC1191" t="inlineStr">
        <is>
          <t>X</t>
        </is>
      </c>
      <c r="BD1191" t="inlineStr">
        <is>
          <t>X</t>
        </is>
      </c>
      <c r="BL1191" t="inlineStr">
        <is>
          <t>X</t>
        </is>
      </c>
      <c r="BS1191" t="inlineStr">
        <is>
          <t>X</t>
        </is>
      </c>
      <c r="BY1191" t="inlineStr">
        <is>
          <t>D</t>
        </is>
      </c>
      <c r="CA1191" t="inlineStr">
        <is>
          <t>X</t>
        </is>
      </c>
      <c r="CP1191" t="inlineStr">
        <is>
          <t>X</t>
        </is>
      </c>
      <c r="CY1191" t="inlineStr">
        <is>
          <t>X</t>
        </is>
      </c>
      <c r="CZ1191" t="inlineStr">
        <is>
          <t>D</t>
        </is>
      </c>
      <c r="DC1191" t="inlineStr">
        <is>
          <t>X</t>
        </is>
      </c>
      <c r="DI1191" t="inlineStr">
        <is>
          <t>X</t>
        </is>
      </c>
      <c r="DN1191" t="inlineStr">
        <is>
          <t>X</t>
        </is>
      </c>
      <c r="DX1191" t="inlineStr">
        <is>
          <t>X</t>
        </is>
      </c>
      <c r="EA1191" t="inlineStr">
        <is>
          <t>X</t>
        </is>
      </c>
      <c r="EF1191" t="inlineStr">
        <is>
          <t>X</t>
        </is>
      </c>
    </row>
    <row r="1192">
      <c r="A1192" t="inlineStr">
        <is>
          <t>OH0020885315</t>
        </is>
      </c>
      <c r="B1192" t="n">
        <v>78</v>
      </c>
      <c r="C1192" t="n">
        <v>371250</v>
      </c>
      <c r="D1192" t="inlineStr">
        <is>
          <t>VLASIC</t>
        </is>
      </c>
      <c r="E1192" t="inlineStr">
        <is>
          <t>TARA</t>
        </is>
      </c>
      <c r="F1192">
        <f>CONCATENATE(D1192," ",LEFT(H1192,4),"T=",AU1192,"D=",AV1192,"R=",AW1192,"M=",AX1192,"L=",AY1192,"B=",AZ1192)</f>
        <v/>
      </c>
      <c r="G1192" t="inlineStr">
        <is>
          <t>L</t>
        </is>
      </c>
      <c r="I1192" t="inlineStr">
        <is>
          <t>1989-03-15</t>
        </is>
      </c>
      <c r="J1192" t="inlineStr">
        <is>
          <t>2024-08-12</t>
        </is>
      </c>
      <c r="K1192" t="inlineStr">
        <is>
          <t>CONFIRMATION</t>
        </is>
      </c>
      <c r="M1192" t="inlineStr">
        <is>
          <t>300 SCOTT ST NE</t>
        </is>
      </c>
      <c r="N1192">
        <f>RIGHT(M1192,LEN(M1192)-FIND(" ",M1192))</f>
        <v/>
      </c>
      <c r="P1192" t="inlineStr">
        <is>
          <t>WARREN</t>
        </is>
      </c>
      <c r="Q1192" t="inlineStr">
        <is>
          <t>OH</t>
        </is>
      </c>
      <c r="R1192" t="n">
        <v>44483</v>
      </c>
      <c r="AD1192" t="inlineStr">
        <is>
          <t>TRUMBULL CAREER &amp; TECH CENTER</t>
        </is>
      </c>
      <c r="AE1192" t="inlineStr">
        <is>
          <t>WARREN CITY</t>
        </is>
      </c>
      <c r="AF1192" t="inlineStr">
        <is>
          <t>WARREN CITY SD</t>
        </is>
      </c>
      <c r="AH1192" t="n">
        <v>14</v>
      </c>
      <c r="AI1192" t="n">
        <v>11</v>
      </c>
      <c r="AN1192" t="inlineStr">
        <is>
          <t>WARREN</t>
        </is>
      </c>
      <c r="AO1192" t="inlineStr">
        <is>
          <t>WARREN CITY 4D</t>
        </is>
      </c>
      <c r="AP1192" t="inlineStr">
        <is>
          <t>78-P-ADL</t>
        </is>
      </c>
      <c r="AQ1192" t="n">
        <v>9</v>
      </c>
      <c r="AR1192" t="n">
        <v>64</v>
      </c>
      <c r="AS1192" t="n">
        <v>32</v>
      </c>
      <c r="AU1192">
        <f>COUNTA($BA$1192:$EH$1192)</f>
        <v/>
      </c>
      <c r="AV1192">
        <f>COUNTIF($BA$1192:$EH$1192,"D")</f>
        <v/>
      </c>
      <c r="AW1192">
        <f>COUNTIF($BA$1192:$EH$1192,"R")</f>
        <v/>
      </c>
      <c r="AX1192">
        <f>IF(BN1192="D",1,0)+IF(BO1192="D",1,0)+IF(BT1192="D",1,0)+IF(BU1192="D",1,0)+IF(BW1192="D",1,0)+IF(CC1192="D",1,0)+IF(CD1192="D",1,0)+IF(CE1192="D",1,0)+IF(CF1192="D",1,0)+IF(CL1192="D",1,0)+IF(CM1192="D",1,0)+IF(CQ1192="D",1,0)+IF(CR1192="D",1,0)+IF(CS1192="D",1,0)+IF(CW1192="D",1,0)+IF(CX1192="D",1,0)+IF(DD1192="D",1,0)+IF(DE1192="D",1,0)+IF(DJ1192="D",1,0)+IF(DK1192="D",1,0)+IF(DO1192="D",1,0)+IF(DP1192="D",1,0)+IF(DQ1192="D",1,0)+IF(DW1192="D",1,0)+IF(DZ1192="D",1,0)+IF(EH1192="D",1,0)</f>
        <v/>
      </c>
      <c r="AY1192">
        <f>IF(DJ1192&lt;&gt;"",1,0)+IF(DK1192&lt;&gt;"",1,0)+IF(DM1192&lt;&gt;"",1,0)+IF(DO1192&lt;&gt;"",1,0)+IF(DP1192&lt;&gt;"",1,0)+IF(DQ1192&lt;&gt;"",1,0)+IF(DS1192&lt;&gt;"",1,0)+IF(DT1192&lt;&gt;"",1,0)+IF(DV1192&lt;&gt;"",1,0)+IF(DW1192&lt;&gt;"",1,0)+IF(DX1192&lt;&gt;"",1,0)+IF(DY1192&lt;&gt;"",1,0)+IF(DZ1192&lt;&gt;"",1,0)+IF(EB1192&lt;&gt;"",1,0)+IF(EC1192&lt;&gt;"",1,0)+IF(ED1192&lt;&gt;"",1,0)+IF(EG1192&lt;&gt;"",1,0)+IF(EH1192&lt;&gt;"",1,0)</f>
        <v/>
      </c>
      <c r="AZ1192">
        <f>IF(EH1192&lt;&gt;"",1,0)</f>
        <v/>
      </c>
      <c r="BB1192" t="inlineStr">
        <is>
          <t>WARREN-WARD 4</t>
        </is>
      </c>
    </row>
    <row r="1193">
      <c r="A1193" t="inlineStr">
        <is>
          <t>OH0020128186</t>
        </is>
      </c>
      <c r="B1193" t="n">
        <v>78</v>
      </c>
      <c r="C1193" t="n">
        <v>363303</v>
      </c>
      <c r="D1193" t="inlineStr">
        <is>
          <t>CARTER</t>
        </is>
      </c>
      <c r="E1193" t="inlineStr">
        <is>
          <t>KENNETH</t>
        </is>
      </c>
      <c r="F1193">
        <f>CONCATENATE(D1193," ",LEFT(H1193,4),"T=",AU1193,"D=",AV1193,"R=",AW1193,"M=",AX1193,"L=",AY1193,"B=",AZ1193)</f>
        <v/>
      </c>
      <c r="G1193" t="inlineStr">
        <is>
          <t>R</t>
        </is>
      </c>
      <c r="I1193" t="inlineStr">
        <is>
          <t>1989-08-24</t>
        </is>
      </c>
      <c r="J1193" t="inlineStr">
        <is>
          <t>2021-08-12</t>
        </is>
      </c>
      <c r="K1193" t="inlineStr">
        <is>
          <t>CONFIRMATION</t>
        </is>
      </c>
      <c r="M1193" t="inlineStr">
        <is>
          <t>338 SCOTT ST NE</t>
        </is>
      </c>
      <c r="N1193">
        <f>RIGHT(M1193,LEN(M1193)-FIND(" ",M1193))</f>
        <v/>
      </c>
      <c r="P1193" t="inlineStr">
        <is>
          <t>WARREN</t>
        </is>
      </c>
      <c r="Q1193" t="inlineStr">
        <is>
          <t>OH</t>
        </is>
      </c>
      <c r="R1193" t="n">
        <v>44483</v>
      </c>
      <c r="AD1193" t="inlineStr">
        <is>
          <t>TRUMBULL CAREER &amp; TECH CENTER</t>
        </is>
      </c>
      <c r="AE1193" t="inlineStr">
        <is>
          <t>WARREN CITY</t>
        </is>
      </c>
      <c r="AF1193" t="inlineStr">
        <is>
          <t>WARREN CITY SD</t>
        </is>
      </c>
      <c r="AH1193" t="n">
        <v>14</v>
      </c>
      <c r="AI1193" t="n">
        <v>11</v>
      </c>
      <c r="AN1193" t="inlineStr">
        <is>
          <t>WARREN</t>
        </is>
      </c>
      <c r="AO1193" t="inlineStr">
        <is>
          <t>WARREN CITY 4D</t>
        </is>
      </c>
      <c r="AP1193" t="inlineStr">
        <is>
          <t>78-P-ADL</t>
        </is>
      </c>
      <c r="AQ1193" t="n">
        <v>9</v>
      </c>
      <c r="AR1193" t="n">
        <v>64</v>
      </c>
      <c r="AS1193" t="n">
        <v>32</v>
      </c>
      <c r="AU1193">
        <f>COUNTA($BA$1193:$EH$1193)</f>
        <v/>
      </c>
      <c r="AV1193">
        <f>COUNTIF($BA$1193:$EH$1193,"D")</f>
        <v/>
      </c>
      <c r="AW1193">
        <f>COUNTIF($BA$1193:$EH$1193,"R")</f>
        <v/>
      </c>
      <c r="AX1193">
        <f>IF(BN1193="D",1,0)+IF(BO1193="D",1,0)+IF(BT1193="D",1,0)+IF(BU1193="D",1,0)+IF(BW1193="D",1,0)+IF(CC1193="D",1,0)+IF(CD1193="D",1,0)+IF(CE1193="D",1,0)+IF(CF1193="D",1,0)+IF(CL1193="D",1,0)+IF(CM1193="D",1,0)+IF(CQ1193="D",1,0)+IF(CR1193="D",1,0)+IF(CS1193="D",1,0)+IF(CW1193="D",1,0)+IF(CX1193="D",1,0)+IF(DD1193="D",1,0)+IF(DE1193="D",1,0)+IF(DJ1193="D",1,0)+IF(DK1193="D",1,0)+IF(DO1193="D",1,0)+IF(DP1193="D",1,0)+IF(DQ1193="D",1,0)+IF(DW1193="D",1,0)+IF(DZ1193="D",1,0)+IF(EH1193="D",1,0)</f>
        <v/>
      </c>
      <c r="AY1193">
        <f>IF(DJ1193&lt;&gt;"",1,0)+IF(DK1193&lt;&gt;"",1,0)+IF(DM1193&lt;&gt;"",1,0)+IF(DO1193&lt;&gt;"",1,0)+IF(DP1193&lt;&gt;"",1,0)+IF(DQ1193&lt;&gt;"",1,0)+IF(DS1193&lt;&gt;"",1,0)+IF(DT1193&lt;&gt;"",1,0)+IF(DV1193&lt;&gt;"",1,0)+IF(DW1193&lt;&gt;"",1,0)+IF(DX1193&lt;&gt;"",1,0)+IF(DY1193&lt;&gt;"",1,0)+IF(DZ1193&lt;&gt;"",1,0)+IF(EB1193&lt;&gt;"",1,0)+IF(EC1193&lt;&gt;"",1,0)+IF(ED1193&lt;&gt;"",1,0)+IF(EG1193&lt;&gt;"",1,0)+IF(EH1193&lt;&gt;"",1,0)</f>
        <v/>
      </c>
      <c r="AZ1193">
        <f>IF(EH1193&lt;&gt;"",1,0)</f>
        <v/>
      </c>
      <c r="BB1193" t="inlineStr">
        <is>
          <t>WARREN-WARD 4</t>
        </is>
      </c>
      <c r="CA1193" t="inlineStr">
        <is>
          <t>X</t>
        </is>
      </c>
    </row>
    <row r="1194">
      <c r="A1194" t="inlineStr">
        <is>
          <t>OH0022160335</t>
        </is>
      </c>
      <c r="B1194" t="n">
        <v>78</v>
      </c>
      <c r="C1194" t="n">
        <v>391739</v>
      </c>
      <c r="D1194" t="inlineStr">
        <is>
          <t>COLEMAN</t>
        </is>
      </c>
      <c r="E1194" t="inlineStr">
        <is>
          <t>HEATHER</t>
        </is>
      </c>
      <c r="F1194">
        <f>CONCATENATE(D1194," ",LEFT(H1194,4),"T=",AU1194,"D=",AV1194,"R=",AW1194,"M=",AX1194,"L=",AY1194,"B=",AZ1194)</f>
        <v/>
      </c>
      <c r="G1194" t="inlineStr">
        <is>
          <t>A</t>
        </is>
      </c>
      <c r="I1194" t="inlineStr">
        <is>
          <t>1979-03-25</t>
        </is>
      </c>
      <c r="J1194" t="inlineStr">
        <is>
          <t>2023-11-28</t>
        </is>
      </c>
      <c r="K1194" t="inlineStr">
        <is>
          <t>ACTIVE</t>
        </is>
      </c>
      <c r="L1194" t="inlineStr">
        <is>
          <t>R</t>
        </is>
      </c>
      <c r="M1194" t="inlineStr">
        <is>
          <t>405 WASHINGTON ST NW</t>
        </is>
      </c>
      <c r="N1194">
        <f>RIGHT(M1194,LEN(M1194)-FIND(" ",M1194))</f>
        <v/>
      </c>
      <c r="P1194" t="inlineStr">
        <is>
          <t>WARREN</t>
        </is>
      </c>
      <c r="Q1194" t="inlineStr">
        <is>
          <t>OH</t>
        </is>
      </c>
      <c r="R1194" t="n">
        <v>44483</v>
      </c>
      <c r="AD1194" t="inlineStr">
        <is>
          <t>TRUMBULL CAREER &amp; TECH CENTER</t>
        </is>
      </c>
      <c r="AE1194" t="inlineStr">
        <is>
          <t>WARREN CITY</t>
        </is>
      </c>
      <c r="AF1194" t="inlineStr">
        <is>
          <t>WARREN CITY SD</t>
        </is>
      </c>
      <c r="AH1194" t="n">
        <v>14</v>
      </c>
      <c r="AI1194" t="n">
        <v>11</v>
      </c>
      <c r="AN1194" t="inlineStr">
        <is>
          <t>WARREN</t>
        </is>
      </c>
      <c r="AO1194" t="inlineStr">
        <is>
          <t>WARREN CITY 4D</t>
        </is>
      </c>
      <c r="AP1194" t="inlineStr">
        <is>
          <t>78-P-ADL</t>
        </is>
      </c>
      <c r="AQ1194" t="n">
        <v>9</v>
      </c>
      <c r="AR1194" t="n">
        <v>64</v>
      </c>
      <c r="AS1194" t="n">
        <v>32</v>
      </c>
      <c r="AU1194">
        <f>COUNTA($BA$1194:$EH$1194)</f>
        <v/>
      </c>
      <c r="AV1194">
        <f>COUNTIF($BA$1194:$EH$1194,"D")</f>
        <v/>
      </c>
      <c r="AW1194">
        <f>COUNTIF($BA$1194:$EH$1194,"R")</f>
        <v/>
      </c>
      <c r="AX1194">
        <f>IF(BN1194="D",1,0)+IF(BO1194="D",1,0)+IF(BT1194="D",1,0)+IF(BU1194="D",1,0)+IF(BW1194="D",1,0)+IF(CC1194="D",1,0)+IF(CD1194="D",1,0)+IF(CE1194="D",1,0)+IF(CF1194="D",1,0)+IF(CL1194="D",1,0)+IF(CM1194="D",1,0)+IF(CQ1194="D",1,0)+IF(CR1194="D",1,0)+IF(CS1194="D",1,0)+IF(CW1194="D",1,0)+IF(CX1194="D",1,0)+IF(DD1194="D",1,0)+IF(DE1194="D",1,0)+IF(DJ1194="D",1,0)+IF(DK1194="D",1,0)+IF(DO1194="D",1,0)+IF(DP1194="D",1,0)+IF(DQ1194="D",1,0)+IF(DW1194="D",1,0)+IF(DZ1194="D",1,0)+IF(EH1194="D",1,0)</f>
        <v/>
      </c>
      <c r="AY1194">
        <f>IF(DJ1194&lt;&gt;"",1,0)+IF(DK1194&lt;&gt;"",1,0)+IF(DM1194&lt;&gt;"",1,0)+IF(DO1194&lt;&gt;"",1,0)+IF(DP1194&lt;&gt;"",1,0)+IF(DQ1194&lt;&gt;"",1,0)+IF(DS1194&lt;&gt;"",1,0)+IF(DT1194&lt;&gt;"",1,0)+IF(DV1194&lt;&gt;"",1,0)+IF(DW1194&lt;&gt;"",1,0)+IF(DX1194&lt;&gt;"",1,0)+IF(DY1194&lt;&gt;"",1,0)+IF(DZ1194&lt;&gt;"",1,0)+IF(EB1194&lt;&gt;"",1,0)+IF(EC1194&lt;&gt;"",1,0)+IF(ED1194&lt;&gt;"",1,0)+IF(EG1194&lt;&gt;"",1,0)+IF(EH1194&lt;&gt;"",1,0)</f>
        <v/>
      </c>
      <c r="AZ1194">
        <f>IF(EH1194&lt;&gt;"",1,0)</f>
        <v/>
      </c>
      <c r="BB1194" t="inlineStr">
        <is>
          <t>WARREN-WARD 4</t>
        </is>
      </c>
      <c r="DN1194" t="inlineStr">
        <is>
          <t>X</t>
        </is>
      </c>
      <c r="DR1194" t="inlineStr">
        <is>
          <t>X</t>
        </is>
      </c>
      <c r="DS1194" t="inlineStr">
        <is>
          <t>R</t>
        </is>
      </c>
      <c r="DU1194" t="inlineStr">
        <is>
          <t>X</t>
        </is>
      </c>
      <c r="EA1194" t="inlineStr">
        <is>
          <t>X</t>
        </is>
      </c>
      <c r="EF1194" t="inlineStr">
        <is>
          <t>X</t>
        </is>
      </c>
    </row>
    <row r="1195">
      <c r="A1195" t="inlineStr">
        <is>
          <t>OH0027468554</t>
        </is>
      </c>
      <c r="B1195" t="n">
        <v>78</v>
      </c>
      <c r="C1195" t="n">
        <v>486601</v>
      </c>
      <c r="D1195" t="inlineStr">
        <is>
          <t>NEELY</t>
        </is>
      </c>
      <c r="E1195" t="inlineStr">
        <is>
          <t>WILLIE</t>
        </is>
      </c>
      <c r="F1195">
        <f>CONCATENATE(D1195," ",LEFT(H1195,4),"T=",AU1195,"D=",AV1195,"R=",AW1195,"M=",AX1195,"L=",AY1195,"B=",AZ1195)</f>
        <v/>
      </c>
      <c r="G1195" t="inlineStr">
        <is>
          <t>J</t>
        </is>
      </c>
      <c r="I1195" t="inlineStr">
        <is>
          <t>1963-07-25</t>
        </is>
      </c>
      <c r="J1195" t="inlineStr">
        <is>
          <t>2024-07-25</t>
        </is>
      </c>
      <c r="K1195" t="inlineStr">
        <is>
          <t>ACTIVE</t>
        </is>
      </c>
      <c r="M1195" t="inlineStr">
        <is>
          <t>201 HIGH ST NE</t>
        </is>
      </c>
      <c r="N1195">
        <f>RIGHT(M1195,LEN(M1195)-FIND(" ",M1195))</f>
        <v/>
      </c>
      <c r="P1195" t="inlineStr">
        <is>
          <t>WARREN</t>
        </is>
      </c>
      <c r="Q1195" t="inlineStr">
        <is>
          <t>OH</t>
        </is>
      </c>
      <c r="R1195" t="n">
        <v>44481</v>
      </c>
      <c r="AD1195" t="inlineStr">
        <is>
          <t>TRUMBULL CAREER &amp; TECH CENTER</t>
        </is>
      </c>
      <c r="AE1195" t="inlineStr">
        <is>
          <t>WARREN CITY</t>
        </is>
      </c>
      <c r="AF1195" t="inlineStr">
        <is>
          <t>WARREN CITY SD</t>
        </is>
      </c>
      <c r="AH1195" t="n">
        <v>14</v>
      </c>
      <c r="AI1195" t="n">
        <v>11</v>
      </c>
      <c r="AN1195" t="inlineStr">
        <is>
          <t>WARREN</t>
        </is>
      </c>
      <c r="AO1195" t="inlineStr">
        <is>
          <t>WARREN CITY 4D</t>
        </is>
      </c>
      <c r="AP1195" t="inlineStr">
        <is>
          <t>78-P-ADL</t>
        </is>
      </c>
      <c r="AQ1195" t="n">
        <v>9</v>
      </c>
      <c r="AR1195" t="n">
        <v>64</v>
      </c>
      <c r="AS1195" t="n">
        <v>32</v>
      </c>
      <c r="AU1195">
        <f>COUNTA($BA$1195:$EH$1195)</f>
        <v/>
      </c>
      <c r="AV1195">
        <f>COUNTIF($BA$1195:$EH$1195,"D")</f>
        <v/>
      </c>
      <c r="AW1195">
        <f>COUNTIF($BA$1195:$EH$1195,"R")</f>
        <v/>
      </c>
      <c r="AX1195">
        <f>IF(BN1195="D",1,0)+IF(BO1195="D",1,0)+IF(BT1195="D",1,0)+IF(BU1195="D",1,0)+IF(BW1195="D",1,0)+IF(CC1195="D",1,0)+IF(CD1195="D",1,0)+IF(CE1195="D",1,0)+IF(CF1195="D",1,0)+IF(CL1195="D",1,0)+IF(CM1195="D",1,0)+IF(CQ1195="D",1,0)+IF(CR1195="D",1,0)+IF(CS1195="D",1,0)+IF(CW1195="D",1,0)+IF(CX1195="D",1,0)+IF(DD1195="D",1,0)+IF(DE1195="D",1,0)+IF(DJ1195="D",1,0)+IF(DK1195="D",1,0)+IF(DO1195="D",1,0)+IF(DP1195="D",1,0)+IF(DQ1195="D",1,0)+IF(DW1195="D",1,0)+IF(DZ1195="D",1,0)+IF(EH1195="D",1,0)</f>
        <v/>
      </c>
      <c r="AY1195">
        <f>IF(DJ1195&lt;&gt;"",1,0)+IF(DK1195&lt;&gt;"",1,0)+IF(DM1195&lt;&gt;"",1,0)+IF(DO1195&lt;&gt;"",1,0)+IF(DP1195&lt;&gt;"",1,0)+IF(DQ1195&lt;&gt;"",1,0)+IF(DS1195&lt;&gt;"",1,0)+IF(DT1195&lt;&gt;"",1,0)+IF(DV1195&lt;&gt;"",1,0)+IF(DW1195&lt;&gt;"",1,0)+IF(DX1195&lt;&gt;"",1,0)+IF(DY1195&lt;&gt;"",1,0)+IF(DZ1195&lt;&gt;"",1,0)+IF(EB1195&lt;&gt;"",1,0)+IF(EC1195&lt;&gt;"",1,0)+IF(ED1195&lt;&gt;"",1,0)+IF(EG1195&lt;&gt;"",1,0)+IF(EH1195&lt;&gt;"",1,0)</f>
        <v/>
      </c>
      <c r="AZ1195">
        <f>IF(EH1195&lt;&gt;"",1,0)</f>
        <v/>
      </c>
      <c r="BB1195" t="inlineStr">
        <is>
          <t>WARREN-WARD 4</t>
        </is>
      </c>
    </row>
    <row r="1196">
      <c r="A1196" t="inlineStr">
        <is>
          <t>OH0024524943</t>
        </is>
      </c>
      <c r="B1196" t="n">
        <v>78</v>
      </c>
      <c r="C1196" t="n">
        <v>429852</v>
      </c>
      <c r="D1196" t="inlineStr">
        <is>
          <t>HEYMAN</t>
        </is>
      </c>
      <c r="E1196" t="inlineStr">
        <is>
          <t>KENNETH</t>
        </is>
      </c>
      <c r="F1196">
        <f>CONCATENATE(D1196," ",LEFT(H1196,4),"T=",AU1196,"D=",AV1196,"R=",AW1196,"M=",AX1196,"L=",AY1196,"B=",AZ1196)</f>
        <v/>
      </c>
      <c r="G1196" t="inlineStr">
        <is>
          <t>M</t>
        </is>
      </c>
      <c r="I1196" t="inlineStr">
        <is>
          <t>1961-02-27</t>
        </is>
      </c>
      <c r="J1196" t="inlineStr">
        <is>
          <t>2018-02-27</t>
        </is>
      </c>
      <c r="K1196" t="inlineStr">
        <is>
          <t>CONFIRMATION</t>
        </is>
      </c>
      <c r="M1196" t="inlineStr">
        <is>
          <t>175 FRANKLIN ST SE</t>
        </is>
      </c>
      <c r="N1196">
        <f>RIGHT(M1196,LEN(M1196)-FIND(" ",M1196))</f>
        <v/>
      </c>
      <c r="P1196" t="inlineStr">
        <is>
          <t>WARREN</t>
        </is>
      </c>
      <c r="Q1196" t="inlineStr">
        <is>
          <t>OH</t>
        </is>
      </c>
      <c r="R1196" t="n">
        <v>44481</v>
      </c>
      <c r="AD1196" t="inlineStr">
        <is>
          <t>TRUMBULL CAREER &amp; TECH CENTER</t>
        </is>
      </c>
      <c r="AE1196" t="inlineStr">
        <is>
          <t>WARREN CITY</t>
        </is>
      </c>
      <c r="AF1196" t="inlineStr">
        <is>
          <t>WARREN CITY SD</t>
        </is>
      </c>
      <c r="AH1196" t="n">
        <v>14</v>
      </c>
      <c r="AI1196" t="n">
        <v>11</v>
      </c>
      <c r="AN1196" t="inlineStr">
        <is>
          <t>WARREN</t>
        </is>
      </c>
      <c r="AO1196" t="inlineStr">
        <is>
          <t>WARREN CITY 4D</t>
        </is>
      </c>
      <c r="AP1196" t="inlineStr">
        <is>
          <t>78-P-ADL</t>
        </is>
      </c>
      <c r="AQ1196" t="n">
        <v>9</v>
      </c>
      <c r="AR1196" t="n">
        <v>64</v>
      </c>
      <c r="AS1196" t="n">
        <v>32</v>
      </c>
      <c r="AU1196">
        <f>COUNTA($BA$1196:$EH$1196)</f>
        <v/>
      </c>
      <c r="AV1196">
        <f>COUNTIF($BA$1196:$EH$1196,"D")</f>
        <v/>
      </c>
      <c r="AW1196">
        <f>COUNTIF($BA$1196:$EH$1196,"R")</f>
        <v/>
      </c>
      <c r="AX1196">
        <f>IF(BN1196="D",1,0)+IF(BO1196="D",1,0)+IF(BT1196="D",1,0)+IF(BU1196="D",1,0)+IF(BW1196="D",1,0)+IF(CC1196="D",1,0)+IF(CD1196="D",1,0)+IF(CE1196="D",1,0)+IF(CF1196="D",1,0)+IF(CL1196="D",1,0)+IF(CM1196="D",1,0)+IF(CQ1196="D",1,0)+IF(CR1196="D",1,0)+IF(CS1196="D",1,0)+IF(CW1196="D",1,0)+IF(CX1196="D",1,0)+IF(DD1196="D",1,0)+IF(DE1196="D",1,0)+IF(DJ1196="D",1,0)+IF(DK1196="D",1,0)+IF(DO1196="D",1,0)+IF(DP1196="D",1,0)+IF(DQ1196="D",1,0)+IF(DW1196="D",1,0)+IF(DZ1196="D",1,0)+IF(EH1196="D",1,0)</f>
        <v/>
      </c>
      <c r="AY1196">
        <f>IF(DJ1196&lt;&gt;"",1,0)+IF(DK1196&lt;&gt;"",1,0)+IF(DM1196&lt;&gt;"",1,0)+IF(DO1196&lt;&gt;"",1,0)+IF(DP1196&lt;&gt;"",1,0)+IF(DQ1196&lt;&gt;"",1,0)+IF(DS1196&lt;&gt;"",1,0)+IF(DT1196&lt;&gt;"",1,0)+IF(DV1196&lt;&gt;"",1,0)+IF(DW1196&lt;&gt;"",1,0)+IF(DX1196&lt;&gt;"",1,0)+IF(DY1196&lt;&gt;"",1,0)+IF(DZ1196&lt;&gt;"",1,0)+IF(EB1196&lt;&gt;"",1,0)+IF(EC1196&lt;&gt;"",1,0)+IF(ED1196&lt;&gt;"",1,0)+IF(EG1196&lt;&gt;"",1,0)+IF(EH1196&lt;&gt;"",1,0)</f>
        <v/>
      </c>
      <c r="AZ1196">
        <f>IF(EH1196&lt;&gt;"",1,0)</f>
        <v/>
      </c>
      <c r="BB1196" t="inlineStr">
        <is>
          <t>WARREN-WARD 4</t>
        </is>
      </c>
    </row>
    <row r="1197">
      <c r="A1197" t="inlineStr">
        <is>
          <t>OH0018715843</t>
        </is>
      </c>
      <c r="B1197" t="n">
        <v>78</v>
      </c>
      <c r="C1197" t="n">
        <v>343637</v>
      </c>
      <c r="D1197" t="inlineStr">
        <is>
          <t>ROSE</t>
        </is>
      </c>
      <c r="E1197" t="inlineStr">
        <is>
          <t>JAMES</t>
        </is>
      </c>
      <c r="F1197">
        <f>CONCATENATE(D1197," ",LEFT(H1197,4),"T=",AU1197,"D=",AV1197,"R=",AW1197,"M=",AX1197,"L=",AY1197,"B=",AZ1197)</f>
        <v/>
      </c>
      <c r="G1197" t="inlineStr">
        <is>
          <t>A</t>
        </is>
      </c>
      <c r="I1197" t="inlineStr">
        <is>
          <t>1950-02-15</t>
        </is>
      </c>
      <c r="J1197" t="inlineStr">
        <is>
          <t>2021-09-25</t>
        </is>
      </c>
      <c r="K1197" t="inlineStr">
        <is>
          <t>ACTIVE</t>
        </is>
      </c>
      <c r="M1197" t="inlineStr">
        <is>
          <t>142 MONROE ST NW</t>
        </is>
      </c>
      <c r="N1197">
        <f>RIGHT(M1197,LEN(M1197)-FIND(" ",M1197))</f>
        <v/>
      </c>
      <c r="P1197" t="inlineStr">
        <is>
          <t>WARREN</t>
        </is>
      </c>
      <c r="Q1197" t="inlineStr">
        <is>
          <t>OH</t>
        </is>
      </c>
      <c r="R1197" t="n">
        <v>44483</v>
      </c>
      <c r="AD1197" t="inlineStr">
        <is>
          <t>TRUMBULL CAREER &amp; TECH CENTER</t>
        </is>
      </c>
      <c r="AE1197" t="inlineStr">
        <is>
          <t>WARREN CITY</t>
        </is>
      </c>
      <c r="AF1197" t="inlineStr">
        <is>
          <t>WARREN CITY SD</t>
        </is>
      </c>
      <c r="AH1197" t="n">
        <v>14</v>
      </c>
      <c r="AI1197" t="n">
        <v>11</v>
      </c>
      <c r="AN1197" t="inlineStr">
        <is>
          <t>WARREN</t>
        </is>
      </c>
      <c r="AO1197" t="inlineStr">
        <is>
          <t>WARREN CITY 4D</t>
        </is>
      </c>
      <c r="AP1197" t="inlineStr">
        <is>
          <t>78-P-ADL</t>
        </is>
      </c>
      <c r="AQ1197" t="n">
        <v>9</v>
      </c>
      <c r="AR1197" t="n">
        <v>64</v>
      </c>
      <c r="AS1197" t="n">
        <v>32</v>
      </c>
      <c r="AU1197">
        <f>COUNTA($BA$1197:$EH$1197)</f>
        <v/>
      </c>
      <c r="AV1197">
        <f>COUNTIF($BA$1197:$EH$1197,"D")</f>
        <v/>
      </c>
      <c r="AW1197">
        <f>COUNTIF($BA$1197:$EH$1197,"R")</f>
        <v/>
      </c>
      <c r="AX1197">
        <f>IF(BN1197="D",1,0)+IF(BO1197="D",1,0)+IF(BT1197="D",1,0)+IF(BU1197="D",1,0)+IF(BW1197="D",1,0)+IF(CC1197="D",1,0)+IF(CD1197="D",1,0)+IF(CE1197="D",1,0)+IF(CF1197="D",1,0)+IF(CL1197="D",1,0)+IF(CM1197="D",1,0)+IF(CQ1197="D",1,0)+IF(CR1197="D",1,0)+IF(CS1197="D",1,0)+IF(CW1197="D",1,0)+IF(CX1197="D",1,0)+IF(DD1197="D",1,0)+IF(DE1197="D",1,0)+IF(DJ1197="D",1,0)+IF(DK1197="D",1,0)+IF(DO1197="D",1,0)+IF(DP1197="D",1,0)+IF(DQ1197="D",1,0)+IF(DW1197="D",1,0)+IF(DZ1197="D",1,0)+IF(EH1197="D",1,0)</f>
        <v/>
      </c>
      <c r="AY1197">
        <f>IF(DJ1197&lt;&gt;"",1,0)+IF(DK1197&lt;&gt;"",1,0)+IF(DM1197&lt;&gt;"",1,0)+IF(DO1197&lt;&gt;"",1,0)+IF(DP1197&lt;&gt;"",1,0)+IF(DQ1197&lt;&gt;"",1,0)+IF(DS1197&lt;&gt;"",1,0)+IF(DT1197&lt;&gt;"",1,0)+IF(DV1197&lt;&gt;"",1,0)+IF(DW1197&lt;&gt;"",1,0)+IF(DX1197&lt;&gt;"",1,0)+IF(DY1197&lt;&gt;"",1,0)+IF(DZ1197&lt;&gt;"",1,0)+IF(EB1197&lt;&gt;"",1,0)+IF(EC1197&lt;&gt;"",1,0)+IF(ED1197&lt;&gt;"",1,0)+IF(EG1197&lt;&gt;"",1,0)+IF(EH1197&lt;&gt;"",1,0)</f>
        <v/>
      </c>
      <c r="AZ1197">
        <f>IF(EH1197&lt;&gt;"",1,0)</f>
        <v/>
      </c>
      <c r="BB1197" t="inlineStr">
        <is>
          <t>WARREN-WARD 4</t>
        </is>
      </c>
    </row>
    <row r="1198">
      <c r="A1198" t="inlineStr">
        <is>
          <t>OH0024983295</t>
        </is>
      </c>
      <c r="B1198" t="n">
        <v>78</v>
      </c>
      <c r="C1198" t="n">
        <v>437299</v>
      </c>
      <c r="D1198" t="inlineStr">
        <is>
          <t>REAL</t>
        </is>
      </c>
      <c r="E1198" t="inlineStr">
        <is>
          <t>MARYANN</t>
        </is>
      </c>
      <c r="F1198">
        <f>CONCATENATE(D1198," ",LEFT(H1198,4),"T=",AU1198,"D=",AV1198,"R=",AW1198,"M=",AX1198,"L=",AY1198,"B=",AZ1198)</f>
        <v/>
      </c>
      <c r="I1198" t="inlineStr">
        <is>
          <t>1938-01-16</t>
        </is>
      </c>
      <c r="J1198" t="inlineStr">
        <is>
          <t>2023-03-28</t>
        </is>
      </c>
      <c r="K1198" t="inlineStr">
        <is>
          <t>ACTIVE</t>
        </is>
      </c>
      <c r="L1198" t="inlineStr">
        <is>
          <t>D</t>
        </is>
      </c>
      <c r="M1198" t="inlineStr">
        <is>
          <t>121 MONROE ST NW</t>
        </is>
      </c>
      <c r="N1198">
        <f>RIGHT(M1198,LEN(M1198)-FIND(" ",M1198))</f>
        <v/>
      </c>
      <c r="O1198" t="inlineStr">
        <is>
          <t>APT 9</t>
        </is>
      </c>
      <c r="P1198" t="inlineStr">
        <is>
          <t>WARREN</t>
        </is>
      </c>
      <c r="Q1198" t="inlineStr">
        <is>
          <t>OH</t>
        </is>
      </c>
      <c r="R1198" t="n">
        <v>44483</v>
      </c>
      <c r="AD1198" t="inlineStr">
        <is>
          <t>TRUMBULL CAREER &amp; TECH CENTER</t>
        </is>
      </c>
      <c r="AE1198" t="inlineStr">
        <is>
          <t>WARREN CITY</t>
        </is>
      </c>
      <c r="AF1198" t="inlineStr">
        <is>
          <t>WARREN CITY SD</t>
        </is>
      </c>
      <c r="AH1198" t="n">
        <v>14</v>
      </c>
      <c r="AI1198" t="n">
        <v>11</v>
      </c>
      <c r="AN1198" t="inlineStr">
        <is>
          <t>WARREN</t>
        </is>
      </c>
      <c r="AO1198" t="inlineStr">
        <is>
          <t>WARREN CITY 4D</t>
        </is>
      </c>
      <c r="AP1198" t="inlineStr">
        <is>
          <t>78-P-ADL</t>
        </is>
      </c>
      <c r="AQ1198" t="n">
        <v>9</v>
      </c>
      <c r="AR1198" t="n">
        <v>64</v>
      </c>
      <c r="AS1198" t="n">
        <v>32</v>
      </c>
      <c r="AU1198">
        <f>COUNTA($BA$1198:$EH$1198)</f>
        <v/>
      </c>
      <c r="AV1198">
        <f>COUNTIF($BA$1198:$EH$1198,"D")</f>
        <v/>
      </c>
      <c r="AW1198">
        <f>COUNTIF($BA$1198:$EH$1198,"R")</f>
        <v/>
      </c>
      <c r="AX1198">
        <f>IF(BN1198="D",1,0)+IF(BO1198="D",1,0)+IF(BT1198="D",1,0)+IF(BU1198="D",1,0)+IF(BW1198="D",1,0)+IF(CC1198="D",1,0)+IF(CD1198="D",1,0)+IF(CE1198="D",1,0)+IF(CF1198="D",1,0)+IF(CL1198="D",1,0)+IF(CM1198="D",1,0)+IF(CQ1198="D",1,0)+IF(CR1198="D",1,0)+IF(CS1198="D",1,0)+IF(CW1198="D",1,0)+IF(CX1198="D",1,0)+IF(DD1198="D",1,0)+IF(DE1198="D",1,0)+IF(DJ1198="D",1,0)+IF(DK1198="D",1,0)+IF(DO1198="D",1,0)+IF(DP1198="D",1,0)+IF(DQ1198="D",1,0)+IF(DW1198="D",1,0)+IF(DZ1198="D",1,0)+IF(EH1198="D",1,0)</f>
        <v/>
      </c>
      <c r="AY1198">
        <f>IF(DJ1198&lt;&gt;"",1,0)+IF(DK1198&lt;&gt;"",1,0)+IF(DM1198&lt;&gt;"",1,0)+IF(DO1198&lt;&gt;"",1,0)+IF(DP1198&lt;&gt;"",1,0)+IF(DQ1198&lt;&gt;"",1,0)+IF(DS1198&lt;&gt;"",1,0)+IF(DT1198&lt;&gt;"",1,0)+IF(DV1198&lt;&gt;"",1,0)+IF(DW1198&lt;&gt;"",1,0)+IF(DX1198&lt;&gt;"",1,0)+IF(DY1198&lt;&gt;"",1,0)+IF(DZ1198&lt;&gt;"",1,0)+IF(EB1198&lt;&gt;"",1,0)+IF(EC1198&lt;&gt;"",1,0)+IF(ED1198&lt;&gt;"",1,0)+IF(EG1198&lt;&gt;"",1,0)+IF(EH1198&lt;&gt;"",1,0)</f>
        <v/>
      </c>
      <c r="AZ1198">
        <f>IF(EH1198&lt;&gt;"",1,0)</f>
        <v/>
      </c>
      <c r="BB1198" t="inlineStr">
        <is>
          <t>WARREN-WARD 4</t>
        </is>
      </c>
      <c r="CN1198" t="inlineStr">
        <is>
          <t>X</t>
        </is>
      </c>
      <c r="CO1198" t="inlineStr">
        <is>
          <t>R</t>
        </is>
      </c>
      <c r="DM1198" t="inlineStr">
        <is>
          <t>R</t>
        </is>
      </c>
      <c r="DN1198" t="inlineStr">
        <is>
          <t>X</t>
        </is>
      </c>
      <c r="DU1198" t="inlineStr">
        <is>
          <t>X</t>
        </is>
      </c>
      <c r="DW1198" t="inlineStr">
        <is>
          <t>D</t>
        </is>
      </c>
      <c r="DX1198" t="inlineStr">
        <is>
          <t>X</t>
        </is>
      </c>
      <c r="EF1198" t="inlineStr">
        <is>
          <t>X</t>
        </is>
      </c>
    </row>
    <row r="1199">
      <c r="A1199" t="inlineStr">
        <is>
          <t>OH0021577899</t>
        </is>
      </c>
      <c r="B1199" t="n">
        <v>78</v>
      </c>
      <c r="C1199" t="n">
        <v>383197</v>
      </c>
      <c r="D1199" t="inlineStr">
        <is>
          <t>BUYDOS</t>
        </is>
      </c>
      <c r="E1199" t="inlineStr">
        <is>
          <t>ANDREW</t>
        </is>
      </c>
      <c r="F1199">
        <f>CONCATENATE(D1199," ",LEFT(H1199,4),"T=",AU1199,"D=",AV1199,"R=",AW1199,"M=",AX1199,"L=",AY1199,"B=",AZ1199)</f>
        <v/>
      </c>
      <c r="G1199" t="inlineStr">
        <is>
          <t>J</t>
        </is>
      </c>
      <c r="I1199" t="inlineStr">
        <is>
          <t>1993-09-10</t>
        </is>
      </c>
      <c r="J1199" t="inlineStr">
        <is>
          <t>2013-06-25</t>
        </is>
      </c>
      <c r="K1199" t="inlineStr">
        <is>
          <t>ACTIVE</t>
        </is>
      </c>
      <c r="M1199" t="inlineStr">
        <is>
          <t>760 PAIGE AVE NE</t>
        </is>
      </c>
      <c r="N1199">
        <f>RIGHT(M1199,LEN(M1199)-FIND(" ",M1199))</f>
        <v/>
      </c>
      <c r="P1199" t="inlineStr">
        <is>
          <t>WARREN</t>
        </is>
      </c>
      <c r="Q1199" t="inlineStr">
        <is>
          <t>OH</t>
        </is>
      </c>
      <c r="R1199" t="n">
        <v>44483</v>
      </c>
      <c r="AD1199" t="inlineStr">
        <is>
          <t>TRUMBULL CAREER &amp; TECH CENTER</t>
        </is>
      </c>
      <c r="AE1199" t="inlineStr">
        <is>
          <t>WARREN CITY</t>
        </is>
      </c>
      <c r="AF1199" t="inlineStr">
        <is>
          <t>WARREN CITY SD</t>
        </is>
      </c>
      <c r="AH1199" t="n">
        <v>14</v>
      </c>
      <c r="AI1199" t="n">
        <v>11</v>
      </c>
      <c r="AN1199" t="inlineStr">
        <is>
          <t>WARREN</t>
        </is>
      </c>
      <c r="AO1199" t="inlineStr">
        <is>
          <t>WARREN CITY 4D</t>
        </is>
      </c>
      <c r="AP1199" t="inlineStr">
        <is>
          <t>78-P-ADL</t>
        </is>
      </c>
      <c r="AQ1199" t="n">
        <v>9</v>
      </c>
      <c r="AR1199" t="n">
        <v>64</v>
      </c>
      <c r="AS1199" t="n">
        <v>32</v>
      </c>
      <c r="AU1199">
        <f>COUNTA($BA$1199:$EH$1199)</f>
        <v/>
      </c>
      <c r="AV1199">
        <f>COUNTIF($BA$1199:$EH$1199,"D")</f>
        <v/>
      </c>
      <c r="AW1199">
        <f>COUNTIF($BA$1199:$EH$1199,"R")</f>
        <v/>
      </c>
      <c r="AX1199">
        <f>IF(BN1199="D",1,0)+IF(BO1199="D",1,0)+IF(BT1199="D",1,0)+IF(BU1199="D",1,0)+IF(BW1199="D",1,0)+IF(CC1199="D",1,0)+IF(CD1199="D",1,0)+IF(CE1199="D",1,0)+IF(CF1199="D",1,0)+IF(CL1199="D",1,0)+IF(CM1199="D",1,0)+IF(CQ1199="D",1,0)+IF(CR1199="D",1,0)+IF(CS1199="D",1,0)+IF(CW1199="D",1,0)+IF(CX1199="D",1,0)+IF(DD1199="D",1,0)+IF(DE1199="D",1,0)+IF(DJ1199="D",1,0)+IF(DK1199="D",1,0)+IF(DO1199="D",1,0)+IF(DP1199="D",1,0)+IF(DQ1199="D",1,0)+IF(DW1199="D",1,0)+IF(DZ1199="D",1,0)+IF(EH1199="D",1,0)</f>
        <v/>
      </c>
      <c r="AY1199">
        <f>IF(DJ1199&lt;&gt;"",1,0)+IF(DK1199&lt;&gt;"",1,0)+IF(DM1199&lt;&gt;"",1,0)+IF(DO1199&lt;&gt;"",1,0)+IF(DP1199&lt;&gt;"",1,0)+IF(DQ1199&lt;&gt;"",1,0)+IF(DS1199&lt;&gt;"",1,0)+IF(DT1199&lt;&gt;"",1,0)+IF(DV1199&lt;&gt;"",1,0)+IF(DW1199&lt;&gt;"",1,0)+IF(DX1199&lt;&gt;"",1,0)+IF(DY1199&lt;&gt;"",1,0)+IF(DZ1199&lt;&gt;"",1,0)+IF(EB1199&lt;&gt;"",1,0)+IF(EC1199&lt;&gt;"",1,0)+IF(ED1199&lt;&gt;"",1,0)+IF(EG1199&lt;&gt;"",1,0)+IF(EH1199&lt;&gt;"",1,0)</f>
        <v/>
      </c>
      <c r="AZ1199">
        <f>IF(EH1199&lt;&gt;"",1,0)</f>
        <v/>
      </c>
      <c r="BB1199" t="inlineStr">
        <is>
          <t>WARREN-WARD 4</t>
        </is>
      </c>
      <c r="CN1199" t="inlineStr">
        <is>
          <t>X</t>
        </is>
      </c>
      <c r="CP1199" t="inlineStr">
        <is>
          <t>X</t>
        </is>
      </c>
      <c r="CU1199" t="inlineStr">
        <is>
          <t>D</t>
        </is>
      </c>
      <c r="CV1199" t="inlineStr">
        <is>
          <t>X</t>
        </is>
      </c>
      <c r="CW1199" t="inlineStr">
        <is>
          <t>D</t>
        </is>
      </c>
      <c r="DC1199" t="inlineStr">
        <is>
          <t>X</t>
        </is>
      </c>
      <c r="DF1199" t="inlineStr">
        <is>
          <t>X</t>
        </is>
      </c>
      <c r="DI1199" t="inlineStr">
        <is>
          <t>X</t>
        </is>
      </c>
      <c r="DN1199" t="inlineStr">
        <is>
          <t>X</t>
        </is>
      </c>
      <c r="EF1199" t="inlineStr">
        <is>
          <t>X</t>
        </is>
      </c>
    </row>
    <row r="1200">
      <c r="A1200" t="inlineStr">
        <is>
          <t>OH0027578042</t>
        </is>
      </c>
      <c r="B1200" t="n">
        <v>78</v>
      </c>
      <c r="C1200" t="n">
        <v>488746</v>
      </c>
      <c r="D1200" t="inlineStr">
        <is>
          <t>THOMAS</t>
        </is>
      </c>
      <c r="E1200" t="inlineStr">
        <is>
          <t>ALEXIA</t>
        </is>
      </c>
      <c r="F1200">
        <f>CONCATENATE(D1200," ",LEFT(H1200,4),"T=",AU1200,"D=",AV1200,"R=",AW1200,"M=",AX1200,"L=",AY1200,"B=",AZ1200)</f>
        <v/>
      </c>
      <c r="G1200" t="inlineStr">
        <is>
          <t>MARIE</t>
        </is>
      </c>
      <c r="I1200" t="inlineStr">
        <is>
          <t>1983-05-05</t>
        </is>
      </c>
      <c r="J1200" t="inlineStr">
        <is>
          <t>2024-09-06</t>
        </is>
      </c>
      <c r="K1200" t="inlineStr">
        <is>
          <t>ACTIVE</t>
        </is>
      </c>
      <c r="M1200" t="inlineStr">
        <is>
          <t>149 LOGAN AVE NE</t>
        </is>
      </c>
      <c r="N1200">
        <f>RIGHT(M1200,LEN(M1200)-FIND(" ",M1200))</f>
        <v/>
      </c>
      <c r="P1200" t="inlineStr">
        <is>
          <t>WARREN</t>
        </is>
      </c>
      <c r="Q1200" t="inlineStr">
        <is>
          <t>OH</t>
        </is>
      </c>
      <c r="R1200" t="n">
        <v>44483</v>
      </c>
      <c r="AD1200" t="inlineStr">
        <is>
          <t>TRUMBULL CAREER &amp; TECH CENTER</t>
        </is>
      </c>
      <c r="AE1200" t="inlineStr">
        <is>
          <t>WARREN CITY</t>
        </is>
      </c>
      <c r="AF1200" t="inlineStr">
        <is>
          <t>WARREN CITY SD</t>
        </is>
      </c>
      <c r="AH1200" t="n">
        <v>14</v>
      </c>
      <c r="AI1200" t="n">
        <v>11</v>
      </c>
      <c r="AN1200" t="inlineStr">
        <is>
          <t>WARREN</t>
        </is>
      </c>
      <c r="AO1200" t="inlineStr">
        <is>
          <t>WARREN CITY 4D</t>
        </is>
      </c>
      <c r="AP1200" t="inlineStr">
        <is>
          <t>78-P-ADL</t>
        </is>
      </c>
      <c r="AQ1200" t="n">
        <v>9</v>
      </c>
      <c r="AR1200" t="n">
        <v>64</v>
      </c>
      <c r="AS1200" t="n">
        <v>32</v>
      </c>
      <c r="AU1200">
        <f>COUNTA($BA$1200:$EH$1200)</f>
        <v/>
      </c>
      <c r="AV1200">
        <f>COUNTIF($BA$1200:$EH$1200,"D")</f>
        <v/>
      </c>
      <c r="AW1200">
        <f>COUNTIF($BA$1200:$EH$1200,"R")</f>
        <v/>
      </c>
      <c r="AX1200">
        <f>IF(BN1200="D",1,0)+IF(BO1200="D",1,0)+IF(BT1200="D",1,0)+IF(BU1200="D",1,0)+IF(BW1200="D",1,0)+IF(CC1200="D",1,0)+IF(CD1200="D",1,0)+IF(CE1200="D",1,0)+IF(CF1200="D",1,0)+IF(CL1200="D",1,0)+IF(CM1200="D",1,0)+IF(CQ1200="D",1,0)+IF(CR1200="D",1,0)+IF(CS1200="D",1,0)+IF(CW1200="D",1,0)+IF(CX1200="D",1,0)+IF(DD1200="D",1,0)+IF(DE1200="D",1,0)+IF(DJ1200="D",1,0)+IF(DK1200="D",1,0)+IF(DO1200="D",1,0)+IF(DP1200="D",1,0)+IF(DQ1200="D",1,0)+IF(DW1200="D",1,0)+IF(DZ1200="D",1,0)+IF(EH1200="D",1,0)</f>
        <v/>
      </c>
      <c r="AY1200">
        <f>IF(DJ1200&lt;&gt;"",1,0)+IF(DK1200&lt;&gt;"",1,0)+IF(DM1200&lt;&gt;"",1,0)+IF(DO1200&lt;&gt;"",1,0)+IF(DP1200&lt;&gt;"",1,0)+IF(DQ1200&lt;&gt;"",1,0)+IF(DS1200&lt;&gt;"",1,0)+IF(DT1200&lt;&gt;"",1,0)+IF(DV1200&lt;&gt;"",1,0)+IF(DW1200&lt;&gt;"",1,0)+IF(DX1200&lt;&gt;"",1,0)+IF(DY1200&lt;&gt;"",1,0)+IF(DZ1200&lt;&gt;"",1,0)+IF(EB1200&lt;&gt;"",1,0)+IF(EC1200&lt;&gt;"",1,0)+IF(ED1200&lt;&gt;"",1,0)+IF(EG1200&lt;&gt;"",1,0)+IF(EH1200&lt;&gt;"",1,0)</f>
        <v/>
      </c>
      <c r="AZ1200">
        <f>IF(EH1200&lt;&gt;"",1,0)</f>
        <v/>
      </c>
      <c r="BB1200" t="inlineStr">
        <is>
          <t>WARREN-WARD 4</t>
        </is>
      </c>
      <c r="DN1200" t="inlineStr">
        <is>
          <t>X</t>
        </is>
      </c>
      <c r="EF1200" t="inlineStr">
        <is>
          <t>X</t>
        </is>
      </c>
    </row>
    <row r="1201">
      <c r="A1201" t="inlineStr">
        <is>
          <t>OH0025948949</t>
        </is>
      </c>
      <c r="B1201" t="n">
        <v>78</v>
      </c>
      <c r="C1201" t="n">
        <v>453124</v>
      </c>
      <c r="D1201" t="inlineStr">
        <is>
          <t>WREN</t>
        </is>
      </c>
      <c r="E1201" t="inlineStr">
        <is>
          <t>RAECHEL</t>
        </is>
      </c>
      <c r="F1201">
        <f>CONCATENATE(D1201," ",LEFT(H1201,4),"T=",AU1201,"D=",AV1201,"R=",AW1201,"M=",AX1201,"L=",AY1201,"B=",AZ1201)</f>
        <v/>
      </c>
      <c r="G1201" t="inlineStr">
        <is>
          <t>LYNN</t>
        </is>
      </c>
      <c r="I1201" t="inlineStr">
        <is>
          <t>1987-10-22</t>
        </is>
      </c>
      <c r="J1201" t="inlineStr">
        <is>
          <t>2020-10-02</t>
        </is>
      </c>
      <c r="K1201" t="inlineStr">
        <is>
          <t>CONFIRMATION</t>
        </is>
      </c>
      <c r="M1201" t="inlineStr">
        <is>
          <t>1032 MCKINLEY ST NE</t>
        </is>
      </c>
      <c r="N1201">
        <f>RIGHT(M1201,LEN(M1201)-FIND(" ",M1201))</f>
        <v/>
      </c>
      <c r="P1201" t="inlineStr">
        <is>
          <t>WARREN</t>
        </is>
      </c>
      <c r="Q1201" t="inlineStr">
        <is>
          <t>OH</t>
        </is>
      </c>
      <c r="R1201" t="n">
        <v>44483</v>
      </c>
      <c r="AD1201" t="inlineStr">
        <is>
          <t>TRUMBULL CAREER &amp; TECH CENTER</t>
        </is>
      </c>
      <c r="AE1201" t="inlineStr">
        <is>
          <t>WARREN CITY</t>
        </is>
      </c>
      <c r="AF1201" t="inlineStr">
        <is>
          <t>WARREN CITY SD</t>
        </is>
      </c>
      <c r="AH1201" t="n">
        <v>14</v>
      </c>
      <c r="AI1201" t="n">
        <v>11</v>
      </c>
      <c r="AN1201" t="inlineStr">
        <is>
          <t>WARREN</t>
        </is>
      </c>
      <c r="AO1201" t="inlineStr">
        <is>
          <t>WARREN CITY 4D</t>
        </is>
      </c>
      <c r="AP1201" t="inlineStr">
        <is>
          <t>78-P-ADL</t>
        </is>
      </c>
      <c r="AQ1201" t="n">
        <v>9</v>
      </c>
      <c r="AR1201" t="n">
        <v>64</v>
      </c>
      <c r="AS1201" t="n">
        <v>32</v>
      </c>
      <c r="AU1201">
        <f>COUNTA($BA$1201:$EH$1201)</f>
        <v/>
      </c>
      <c r="AV1201">
        <f>COUNTIF($BA$1201:$EH$1201,"D")</f>
        <v/>
      </c>
      <c r="AW1201">
        <f>COUNTIF($BA$1201:$EH$1201,"R")</f>
        <v/>
      </c>
      <c r="AX1201">
        <f>IF(BN1201="D",1,0)+IF(BO1201="D",1,0)+IF(BT1201="D",1,0)+IF(BU1201="D",1,0)+IF(BW1201="D",1,0)+IF(CC1201="D",1,0)+IF(CD1201="D",1,0)+IF(CE1201="D",1,0)+IF(CF1201="D",1,0)+IF(CL1201="D",1,0)+IF(CM1201="D",1,0)+IF(CQ1201="D",1,0)+IF(CR1201="D",1,0)+IF(CS1201="D",1,0)+IF(CW1201="D",1,0)+IF(CX1201="D",1,0)+IF(DD1201="D",1,0)+IF(DE1201="D",1,0)+IF(DJ1201="D",1,0)+IF(DK1201="D",1,0)+IF(DO1201="D",1,0)+IF(DP1201="D",1,0)+IF(DQ1201="D",1,0)+IF(DW1201="D",1,0)+IF(DZ1201="D",1,0)+IF(EH1201="D",1,0)</f>
        <v/>
      </c>
      <c r="AY1201">
        <f>IF(DJ1201&lt;&gt;"",1,0)+IF(DK1201&lt;&gt;"",1,0)+IF(DM1201&lt;&gt;"",1,0)+IF(DO1201&lt;&gt;"",1,0)+IF(DP1201&lt;&gt;"",1,0)+IF(DQ1201&lt;&gt;"",1,0)+IF(DS1201&lt;&gt;"",1,0)+IF(DT1201&lt;&gt;"",1,0)+IF(DV1201&lt;&gt;"",1,0)+IF(DW1201&lt;&gt;"",1,0)+IF(DX1201&lt;&gt;"",1,0)+IF(DY1201&lt;&gt;"",1,0)+IF(DZ1201&lt;&gt;"",1,0)+IF(EB1201&lt;&gt;"",1,0)+IF(EC1201&lt;&gt;"",1,0)+IF(ED1201&lt;&gt;"",1,0)+IF(EG1201&lt;&gt;"",1,0)+IF(EH1201&lt;&gt;"",1,0)</f>
        <v/>
      </c>
      <c r="AZ1201">
        <f>IF(EH1201&lt;&gt;"",1,0)</f>
        <v/>
      </c>
      <c r="BB1201" t="inlineStr">
        <is>
          <t>WARREN-WARD 4</t>
        </is>
      </c>
    </row>
    <row r="1202">
      <c r="A1202" t="inlineStr">
        <is>
          <t>OH0027541168</t>
        </is>
      </c>
      <c r="B1202" t="n">
        <v>78</v>
      </c>
      <c r="C1202" t="n">
        <v>488113</v>
      </c>
      <c r="D1202" t="inlineStr">
        <is>
          <t>TODD</t>
        </is>
      </c>
      <c r="E1202" t="inlineStr">
        <is>
          <t>JOSIAH</t>
        </is>
      </c>
      <c r="F1202">
        <f>CONCATENATE(D1202," ",LEFT(H1202,4),"T=",AU1202,"D=",AV1202,"R=",AW1202,"M=",AX1202,"L=",AY1202,"B=",AZ1202)</f>
        <v/>
      </c>
      <c r="G1202" t="inlineStr">
        <is>
          <t>DEANDRE</t>
        </is>
      </c>
      <c r="I1202" t="inlineStr">
        <is>
          <t>2003-08-20</t>
        </is>
      </c>
      <c r="J1202" t="inlineStr">
        <is>
          <t>2024-08-19</t>
        </is>
      </c>
      <c r="K1202" t="inlineStr">
        <is>
          <t>ACTIVE</t>
        </is>
      </c>
      <c r="M1202" t="inlineStr">
        <is>
          <t>1115 HARRISON ST NE</t>
        </is>
      </c>
      <c r="N1202">
        <f>RIGHT(M1202,LEN(M1202)-FIND(" ",M1202))</f>
        <v/>
      </c>
      <c r="P1202" t="inlineStr">
        <is>
          <t>WARREN</t>
        </is>
      </c>
      <c r="Q1202" t="inlineStr">
        <is>
          <t>OH</t>
        </is>
      </c>
      <c r="R1202" t="n">
        <v>44483</v>
      </c>
      <c r="AD1202" t="inlineStr">
        <is>
          <t>TRUMBULL CAREER &amp; TECH CENTER</t>
        </is>
      </c>
      <c r="AE1202" t="inlineStr">
        <is>
          <t>WARREN CITY</t>
        </is>
      </c>
      <c r="AF1202" t="inlineStr">
        <is>
          <t>WARREN CITY SD</t>
        </is>
      </c>
      <c r="AH1202" t="n">
        <v>14</v>
      </c>
      <c r="AI1202" t="n">
        <v>11</v>
      </c>
      <c r="AN1202" t="inlineStr">
        <is>
          <t>WARREN</t>
        </is>
      </c>
      <c r="AO1202" t="inlineStr">
        <is>
          <t>WARREN CITY 4D</t>
        </is>
      </c>
      <c r="AP1202" t="inlineStr">
        <is>
          <t>78-P-ADL</t>
        </is>
      </c>
      <c r="AQ1202" t="n">
        <v>9</v>
      </c>
      <c r="AR1202" t="n">
        <v>64</v>
      </c>
      <c r="AS1202" t="n">
        <v>32</v>
      </c>
      <c r="AU1202">
        <f>COUNTA($BA$1202:$EH$1202)</f>
        <v/>
      </c>
      <c r="AV1202">
        <f>COUNTIF($BA$1202:$EH$1202,"D")</f>
        <v/>
      </c>
      <c r="AW1202">
        <f>COUNTIF($BA$1202:$EH$1202,"R")</f>
        <v/>
      </c>
      <c r="AX1202">
        <f>IF(BN1202="D",1,0)+IF(BO1202="D",1,0)+IF(BT1202="D",1,0)+IF(BU1202="D",1,0)+IF(BW1202="D",1,0)+IF(CC1202="D",1,0)+IF(CD1202="D",1,0)+IF(CE1202="D",1,0)+IF(CF1202="D",1,0)+IF(CL1202="D",1,0)+IF(CM1202="D",1,0)+IF(CQ1202="D",1,0)+IF(CR1202="D",1,0)+IF(CS1202="D",1,0)+IF(CW1202="D",1,0)+IF(CX1202="D",1,0)+IF(DD1202="D",1,0)+IF(DE1202="D",1,0)+IF(DJ1202="D",1,0)+IF(DK1202="D",1,0)+IF(DO1202="D",1,0)+IF(DP1202="D",1,0)+IF(DQ1202="D",1,0)+IF(DW1202="D",1,0)+IF(DZ1202="D",1,0)+IF(EH1202="D",1,0)</f>
        <v/>
      </c>
      <c r="AY1202">
        <f>IF(DJ1202&lt;&gt;"",1,0)+IF(DK1202&lt;&gt;"",1,0)+IF(DM1202&lt;&gt;"",1,0)+IF(DO1202&lt;&gt;"",1,0)+IF(DP1202&lt;&gt;"",1,0)+IF(DQ1202&lt;&gt;"",1,0)+IF(DS1202&lt;&gt;"",1,0)+IF(DT1202&lt;&gt;"",1,0)+IF(DV1202&lt;&gt;"",1,0)+IF(DW1202&lt;&gt;"",1,0)+IF(DX1202&lt;&gt;"",1,0)+IF(DY1202&lt;&gt;"",1,0)+IF(DZ1202&lt;&gt;"",1,0)+IF(EB1202&lt;&gt;"",1,0)+IF(EC1202&lt;&gt;"",1,0)+IF(ED1202&lt;&gt;"",1,0)+IF(EG1202&lt;&gt;"",1,0)+IF(EH1202&lt;&gt;"",1,0)</f>
        <v/>
      </c>
      <c r="AZ1202">
        <f>IF(EH1202&lt;&gt;"",1,0)</f>
        <v/>
      </c>
      <c r="BB1202" t="inlineStr">
        <is>
          <t>WARREN-WARD 4</t>
        </is>
      </c>
    </row>
    <row r="1203">
      <c r="A1203" t="inlineStr">
        <is>
          <t>OH0024623842</t>
        </is>
      </c>
      <c r="B1203" t="n">
        <v>78</v>
      </c>
      <c r="C1203" t="n">
        <v>431557</v>
      </c>
      <c r="D1203" t="inlineStr">
        <is>
          <t>MOBLEY</t>
        </is>
      </c>
      <c r="E1203" t="inlineStr">
        <is>
          <t>BOBBI</t>
        </is>
      </c>
      <c r="F1203">
        <f>CONCATENATE(D1203," ",LEFT(H1203,4),"T=",AU1203,"D=",AV1203,"R=",AW1203,"M=",AX1203,"L=",AY1203,"B=",AZ1203)</f>
        <v/>
      </c>
      <c r="G1203" t="inlineStr">
        <is>
          <t>JO</t>
        </is>
      </c>
      <c r="I1203" t="inlineStr">
        <is>
          <t>1977-02-23</t>
        </is>
      </c>
      <c r="J1203" t="inlineStr">
        <is>
          <t>2018-04-26</t>
        </is>
      </c>
      <c r="K1203" t="inlineStr">
        <is>
          <t>CONFIRMATION</t>
        </is>
      </c>
      <c r="M1203" t="inlineStr">
        <is>
          <t>169 LINDEN AVE SE</t>
        </is>
      </c>
      <c r="N1203">
        <f>RIGHT(M1203,LEN(M1203)-FIND(" ",M1203))</f>
        <v/>
      </c>
      <c r="P1203" t="inlineStr">
        <is>
          <t>WARREN</t>
        </is>
      </c>
      <c r="Q1203" t="inlineStr">
        <is>
          <t>OH</t>
        </is>
      </c>
      <c r="R1203" t="n">
        <v>44483</v>
      </c>
      <c r="AD1203" t="inlineStr">
        <is>
          <t>TRUMBULL CAREER &amp; TECH CENTER</t>
        </is>
      </c>
      <c r="AE1203" t="inlineStr">
        <is>
          <t>WARREN CITY</t>
        </is>
      </c>
      <c r="AF1203" t="inlineStr">
        <is>
          <t>WARREN CITY SD</t>
        </is>
      </c>
      <c r="AH1203" t="n">
        <v>14</v>
      </c>
      <c r="AI1203" t="n">
        <v>11</v>
      </c>
      <c r="AN1203" t="inlineStr">
        <is>
          <t>WARREN</t>
        </is>
      </c>
      <c r="AO1203" t="inlineStr">
        <is>
          <t>WARREN CITY 4D</t>
        </is>
      </c>
      <c r="AP1203" t="inlineStr">
        <is>
          <t>78-P-ADL</t>
        </is>
      </c>
      <c r="AQ1203" t="n">
        <v>9</v>
      </c>
      <c r="AR1203" t="n">
        <v>64</v>
      </c>
      <c r="AS1203" t="n">
        <v>32</v>
      </c>
      <c r="AU1203">
        <f>COUNTA($BA$1203:$EH$1203)</f>
        <v/>
      </c>
      <c r="AV1203">
        <f>COUNTIF($BA$1203:$EH$1203,"D")</f>
        <v/>
      </c>
      <c r="AW1203">
        <f>COUNTIF($BA$1203:$EH$1203,"R")</f>
        <v/>
      </c>
      <c r="AX1203">
        <f>IF(BN1203="D",1,0)+IF(BO1203="D",1,0)+IF(BT1203="D",1,0)+IF(BU1203="D",1,0)+IF(BW1203="D",1,0)+IF(CC1203="D",1,0)+IF(CD1203="D",1,0)+IF(CE1203="D",1,0)+IF(CF1203="D",1,0)+IF(CL1203="D",1,0)+IF(CM1203="D",1,0)+IF(CQ1203="D",1,0)+IF(CR1203="D",1,0)+IF(CS1203="D",1,0)+IF(CW1203="D",1,0)+IF(CX1203="D",1,0)+IF(DD1203="D",1,0)+IF(DE1203="D",1,0)+IF(DJ1203="D",1,0)+IF(DK1203="D",1,0)+IF(DO1203="D",1,0)+IF(DP1203="D",1,0)+IF(DQ1203="D",1,0)+IF(DW1203="D",1,0)+IF(DZ1203="D",1,0)+IF(EH1203="D",1,0)</f>
        <v/>
      </c>
      <c r="AY1203">
        <f>IF(DJ1203&lt;&gt;"",1,0)+IF(DK1203&lt;&gt;"",1,0)+IF(DM1203&lt;&gt;"",1,0)+IF(DO1203&lt;&gt;"",1,0)+IF(DP1203&lt;&gt;"",1,0)+IF(DQ1203&lt;&gt;"",1,0)+IF(DS1203&lt;&gt;"",1,0)+IF(DT1203&lt;&gt;"",1,0)+IF(DV1203&lt;&gt;"",1,0)+IF(DW1203&lt;&gt;"",1,0)+IF(DX1203&lt;&gt;"",1,0)+IF(DY1203&lt;&gt;"",1,0)+IF(DZ1203&lt;&gt;"",1,0)+IF(EB1203&lt;&gt;"",1,0)+IF(EC1203&lt;&gt;"",1,0)+IF(ED1203&lt;&gt;"",1,0)+IF(EG1203&lt;&gt;"",1,0)+IF(EH1203&lt;&gt;"",1,0)</f>
        <v/>
      </c>
      <c r="AZ1203">
        <f>IF(EH1203&lt;&gt;"",1,0)</f>
        <v/>
      </c>
      <c r="BB1203" t="inlineStr">
        <is>
          <t>WARREN-WARD 4</t>
        </is>
      </c>
    </row>
    <row r="1204">
      <c r="A1204" t="inlineStr">
        <is>
          <t>OH0027844049</t>
        </is>
      </c>
      <c r="B1204" t="n">
        <v>78</v>
      </c>
      <c r="C1204" t="n">
        <v>494081</v>
      </c>
      <c r="D1204" t="inlineStr">
        <is>
          <t>BENTLEY</t>
        </is>
      </c>
      <c r="E1204" t="inlineStr">
        <is>
          <t>KRISTY</t>
        </is>
      </c>
      <c r="F1204">
        <f>CONCATENATE(D1204," ",LEFT(H1204,4),"T=",AU1204,"D=",AV1204,"R=",AW1204,"M=",AX1204,"L=",AY1204,"B=",AZ1204)</f>
        <v/>
      </c>
      <c r="G1204" t="inlineStr">
        <is>
          <t>M</t>
        </is>
      </c>
      <c r="I1204" t="inlineStr">
        <is>
          <t>1988-02-14</t>
        </is>
      </c>
      <c r="J1204" t="inlineStr">
        <is>
          <t>2024-09-25</t>
        </is>
      </c>
      <c r="K1204" t="inlineStr">
        <is>
          <t>ACTIVE</t>
        </is>
      </c>
      <c r="M1204" t="inlineStr">
        <is>
          <t>469 PLYMOUTH PL NE</t>
        </is>
      </c>
      <c r="N1204">
        <f>RIGHT(M1204,LEN(M1204)-FIND(" ",M1204))</f>
        <v/>
      </c>
      <c r="P1204" t="inlineStr">
        <is>
          <t>WARREN</t>
        </is>
      </c>
      <c r="Q1204" t="inlineStr">
        <is>
          <t>OH</t>
        </is>
      </c>
      <c r="R1204" t="n">
        <v>44483</v>
      </c>
      <c r="AD1204" t="inlineStr">
        <is>
          <t>TRUMBULL CAREER &amp; TECH CENTER</t>
        </is>
      </c>
      <c r="AE1204" t="inlineStr">
        <is>
          <t>WARREN CITY</t>
        </is>
      </c>
      <c r="AF1204" t="inlineStr">
        <is>
          <t>WARREN CITY SD</t>
        </is>
      </c>
      <c r="AH1204" t="n">
        <v>14</v>
      </c>
      <c r="AI1204" t="n">
        <v>11</v>
      </c>
      <c r="AN1204" t="inlineStr">
        <is>
          <t>WARREN</t>
        </is>
      </c>
      <c r="AO1204" t="inlineStr">
        <is>
          <t>WARREN CITY 4D</t>
        </is>
      </c>
      <c r="AP1204" t="inlineStr">
        <is>
          <t>78-P-ADL</t>
        </is>
      </c>
      <c r="AQ1204" t="n">
        <v>9</v>
      </c>
      <c r="AR1204" t="n">
        <v>64</v>
      </c>
      <c r="AS1204" t="n">
        <v>32</v>
      </c>
      <c r="AU1204">
        <f>COUNTA($BA$1204:$EH$1204)</f>
        <v/>
      </c>
      <c r="AV1204">
        <f>COUNTIF($BA$1204:$EH$1204,"D")</f>
        <v/>
      </c>
      <c r="AW1204">
        <f>COUNTIF($BA$1204:$EH$1204,"R")</f>
        <v/>
      </c>
      <c r="AX1204">
        <f>IF(BN1204="D",1,0)+IF(BO1204="D",1,0)+IF(BT1204="D",1,0)+IF(BU1204="D",1,0)+IF(BW1204="D",1,0)+IF(CC1204="D",1,0)+IF(CD1204="D",1,0)+IF(CE1204="D",1,0)+IF(CF1204="D",1,0)+IF(CL1204="D",1,0)+IF(CM1204="D",1,0)+IF(CQ1204="D",1,0)+IF(CR1204="D",1,0)+IF(CS1204="D",1,0)+IF(CW1204="D",1,0)+IF(CX1204="D",1,0)+IF(DD1204="D",1,0)+IF(DE1204="D",1,0)+IF(DJ1204="D",1,0)+IF(DK1204="D",1,0)+IF(DO1204="D",1,0)+IF(DP1204="D",1,0)+IF(DQ1204="D",1,0)+IF(DW1204="D",1,0)+IF(DZ1204="D",1,0)+IF(EH1204="D",1,0)</f>
        <v/>
      </c>
      <c r="AY1204">
        <f>IF(DJ1204&lt;&gt;"",1,0)+IF(DK1204&lt;&gt;"",1,0)+IF(DM1204&lt;&gt;"",1,0)+IF(DO1204&lt;&gt;"",1,0)+IF(DP1204&lt;&gt;"",1,0)+IF(DQ1204&lt;&gt;"",1,0)+IF(DS1204&lt;&gt;"",1,0)+IF(DT1204&lt;&gt;"",1,0)+IF(DV1204&lt;&gt;"",1,0)+IF(DW1204&lt;&gt;"",1,0)+IF(DX1204&lt;&gt;"",1,0)+IF(DY1204&lt;&gt;"",1,0)+IF(DZ1204&lt;&gt;"",1,0)+IF(EB1204&lt;&gt;"",1,0)+IF(EC1204&lt;&gt;"",1,0)+IF(ED1204&lt;&gt;"",1,0)+IF(EG1204&lt;&gt;"",1,0)+IF(EH1204&lt;&gt;"",1,0)</f>
        <v/>
      </c>
      <c r="AZ1204">
        <f>IF(EH1204&lt;&gt;"",1,0)</f>
        <v/>
      </c>
      <c r="BB1204" t="inlineStr">
        <is>
          <t>WARREN-WARD 4</t>
        </is>
      </c>
      <c r="CA1204" t="inlineStr">
        <is>
          <t>X</t>
        </is>
      </c>
      <c r="CP1204" t="inlineStr">
        <is>
          <t>X</t>
        </is>
      </c>
      <c r="CY1204" t="inlineStr">
        <is>
          <t>X</t>
        </is>
      </c>
      <c r="CZ1204" t="inlineStr">
        <is>
          <t>D</t>
        </is>
      </c>
      <c r="DC1204" t="inlineStr">
        <is>
          <t>X</t>
        </is>
      </c>
      <c r="DN1204" t="inlineStr">
        <is>
          <t>X</t>
        </is>
      </c>
    </row>
    <row r="1205">
      <c r="A1205" t="inlineStr">
        <is>
          <t>OH0025638103</t>
        </is>
      </c>
      <c r="B1205" t="n">
        <v>78</v>
      </c>
      <c r="C1205" t="n">
        <v>447532</v>
      </c>
      <c r="D1205" t="inlineStr">
        <is>
          <t>PETRIC</t>
        </is>
      </c>
      <c r="E1205" t="inlineStr">
        <is>
          <t>NICOLE</t>
        </is>
      </c>
      <c r="F1205">
        <f>CONCATENATE(D1205," ",LEFT(H1205,4),"T=",AU1205,"D=",AV1205,"R=",AW1205,"M=",AX1205,"L=",AY1205,"B=",AZ1205)</f>
        <v/>
      </c>
      <c r="I1205" t="inlineStr">
        <is>
          <t>1987-05-21</t>
        </is>
      </c>
      <c r="J1205" t="inlineStr">
        <is>
          <t>2024-03-05</t>
        </is>
      </c>
      <c r="K1205" t="inlineStr">
        <is>
          <t>ACTIVE</t>
        </is>
      </c>
      <c r="M1205" t="inlineStr">
        <is>
          <t>651 PORTER ST NE</t>
        </is>
      </c>
      <c r="N1205">
        <f>RIGHT(M1205,LEN(M1205)-FIND(" ",M1205))</f>
        <v/>
      </c>
      <c r="P1205" t="inlineStr">
        <is>
          <t>WARREN</t>
        </is>
      </c>
      <c r="Q1205" t="inlineStr">
        <is>
          <t>OH</t>
        </is>
      </c>
      <c r="R1205" t="n">
        <v>44483</v>
      </c>
      <c r="AD1205" t="inlineStr">
        <is>
          <t>TRUMBULL CAREER &amp; TECH CENTER</t>
        </is>
      </c>
      <c r="AE1205" t="inlineStr">
        <is>
          <t>WARREN CITY</t>
        </is>
      </c>
      <c r="AF1205" t="inlineStr">
        <is>
          <t>WARREN CITY SD</t>
        </is>
      </c>
      <c r="AH1205" t="n">
        <v>14</v>
      </c>
      <c r="AI1205" t="n">
        <v>11</v>
      </c>
      <c r="AN1205" t="inlineStr">
        <is>
          <t>WARREN</t>
        </is>
      </c>
      <c r="AO1205" t="inlineStr">
        <is>
          <t>WARREN CITY 4D</t>
        </is>
      </c>
      <c r="AP1205" t="inlineStr">
        <is>
          <t>78-P-ADL</t>
        </is>
      </c>
      <c r="AQ1205" t="n">
        <v>9</v>
      </c>
      <c r="AR1205" t="n">
        <v>64</v>
      </c>
      <c r="AS1205" t="n">
        <v>32</v>
      </c>
      <c r="AU1205">
        <f>COUNTA($BA$1205:$EH$1205)</f>
        <v/>
      </c>
      <c r="AV1205">
        <f>COUNTIF($BA$1205:$EH$1205,"D")</f>
        <v/>
      </c>
      <c r="AW1205">
        <f>COUNTIF($BA$1205:$EH$1205,"R")</f>
        <v/>
      </c>
      <c r="AX1205">
        <f>IF(BN1205="D",1,0)+IF(BO1205="D",1,0)+IF(BT1205="D",1,0)+IF(BU1205="D",1,0)+IF(BW1205="D",1,0)+IF(CC1205="D",1,0)+IF(CD1205="D",1,0)+IF(CE1205="D",1,0)+IF(CF1205="D",1,0)+IF(CL1205="D",1,0)+IF(CM1205="D",1,0)+IF(CQ1205="D",1,0)+IF(CR1205="D",1,0)+IF(CS1205="D",1,0)+IF(CW1205="D",1,0)+IF(CX1205="D",1,0)+IF(DD1205="D",1,0)+IF(DE1205="D",1,0)+IF(DJ1205="D",1,0)+IF(DK1205="D",1,0)+IF(DO1205="D",1,0)+IF(DP1205="D",1,0)+IF(DQ1205="D",1,0)+IF(DW1205="D",1,0)+IF(DZ1205="D",1,0)+IF(EH1205="D",1,0)</f>
        <v/>
      </c>
      <c r="AY1205">
        <f>IF(DJ1205&lt;&gt;"",1,0)+IF(DK1205&lt;&gt;"",1,0)+IF(DM1205&lt;&gt;"",1,0)+IF(DO1205&lt;&gt;"",1,0)+IF(DP1205&lt;&gt;"",1,0)+IF(DQ1205&lt;&gt;"",1,0)+IF(DS1205&lt;&gt;"",1,0)+IF(DT1205&lt;&gt;"",1,0)+IF(DV1205&lt;&gt;"",1,0)+IF(DW1205&lt;&gt;"",1,0)+IF(DX1205&lt;&gt;"",1,0)+IF(DY1205&lt;&gt;"",1,0)+IF(DZ1205&lt;&gt;"",1,0)+IF(EB1205&lt;&gt;"",1,0)+IF(EC1205&lt;&gt;"",1,0)+IF(ED1205&lt;&gt;"",1,0)+IF(EG1205&lt;&gt;"",1,0)+IF(EH1205&lt;&gt;"",1,0)</f>
        <v/>
      </c>
      <c r="AZ1205">
        <f>IF(EH1205&lt;&gt;"",1,0)</f>
        <v/>
      </c>
      <c r="BB1205" t="inlineStr">
        <is>
          <t>WARREN-WARD 4</t>
        </is>
      </c>
      <c r="BR1205" t="inlineStr">
        <is>
          <t>D</t>
        </is>
      </c>
      <c r="BS1205" t="inlineStr">
        <is>
          <t>X</t>
        </is>
      </c>
      <c r="BT1205" t="inlineStr">
        <is>
          <t>X</t>
        </is>
      </c>
      <c r="DN1205" t="inlineStr">
        <is>
          <t>X</t>
        </is>
      </c>
      <c r="EF1205" t="inlineStr">
        <is>
          <t>X</t>
        </is>
      </c>
    </row>
    <row r="1206">
      <c r="A1206" t="inlineStr">
        <is>
          <t>OH0025249957</t>
        </is>
      </c>
      <c r="B1206" t="n">
        <v>78</v>
      </c>
      <c r="C1206" t="n">
        <v>442050</v>
      </c>
      <c r="D1206" t="inlineStr">
        <is>
          <t>ETZWILER</t>
        </is>
      </c>
      <c r="E1206" t="inlineStr">
        <is>
          <t>TINNISHA</t>
        </is>
      </c>
      <c r="F1206">
        <f>CONCATENATE(D1206," ",LEFT(H1206,4),"T=",AU1206,"D=",AV1206,"R=",AW1206,"M=",AX1206,"L=",AY1206,"B=",AZ1206)</f>
        <v/>
      </c>
      <c r="G1206" t="inlineStr">
        <is>
          <t>DAWN LYNN</t>
        </is>
      </c>
      <c r="I1206" t="inlineStr">
        <is>
          <t>1978-04-04</t>
        </is>
      </c>
      <c r="J1206" t="inlineStr">
        <is>
          <t>2019-09-24</t>
        </is>
      </c>
      <c r="K1206" t="inlineStr">
        <is>
          <t>CONFIRMATION</t>
        </is>
      </c>
      <c r="M1206" t="inlineStr">
        <is>
          <t>167 CHARLES AVE NE</t>
        </is>
      </c>
      <c r="N1206">
        <f>RIGHT(M1206,LEN(M1206)-FIND(" ",M1206))</f>
        <v/>
      </c>
      <c r="P1206" t="inlineStr">
        <is>
          <t>WARREN</t>
        </is>
      </c>
      <c r="Q1206" t="inlineStr">
        <is>
          <t>OH</t>
        </is>
      </c>
      <c r="R1206" t="n">
        <v>44483</v>
      </c>
      <c r="AD1206" t="inlineStr">
        <is>
          <t>TRUMBULL CAREER &amp; TECH CENTER</t>
        </is>
      </c>
      <c r="AE1206" t="inlineStr">
        <is>
          <t>WARREN CITY</t>
        </is>
      </c>
      <c r="AF1206" t="inlineStr">
        <is>
          <t>WARREN CITY SD</t>
        </is>
      </c>
      <c r="AH1206" t="n">
        <v>14</v>
      </c>
      <c r="AI1206" t="n">
        <v>11</v>
      </c>
      <c r="AN1206" t="inlineStr">
        <is>
          <t>WARREN</t>
        </is>
      </c>
      <c r="AO1206" t="inlineStr">
        <is>
          <t>WARREN CITY 4D</t>
        </is>
      </c>
      <c r="AP1206" t="inlineStr">
        <is>
          <t>78-P-ADL</t>
        </is>
      </c>
      <c r="AQ1206" t="n">
        <v>9</v>
      </c>
      <c r="AR1206" t="n">
        <v>64</v>
      </c>
      <c r="AS1206" t="n">
        <v>32</v>
      </c>
      <c r="AU1206">
        <f>COUNTA($BA$1206:$EH$1206)</f>
        <v/>
      </c>
      <c r="AV1206">
        <f>COUNTIF($BA$1206:$EH$1206,"D")</f>
        <v/>
      </c>
      <c r="AW1206">
        <f>COUNTIF($BA$1206:$EH$1206,"R")</f>
        <v/>
      </c>
      <c r="AX1206">
        <f>IF(BN1206="D",1,0)+IF(BO1206="D",1,0)+IF(BT1206="D",1,0)+IF(BU1206="D",1,0)+IF(BW1206="D",1,0)+IF(CC1206="D",1,0)+IF(CD1206="D",1,0)+IF(CE1206="D",1,0)+IF(CF1206="D",1,0)+IF(CL1206="D",1,0)+IF(CM1206="D",1,0)+IF(CQ1206="D",1,0)+IF(CR1206="D",1,0)+IF(CS1206="D",1,0)+IF(CW1206="D",1,0)+IF(CX1206="D",1,0)+IF(DD1206="D",1,0)+IF(DE1206="D",1,0)+IF(DJ1206="D",1,0)+IF(DK1206="D",1,0)+IF(DO1206="D",1,0)+IF(DP1206="D",1,0)+IF(DQ1206="D",1,0)+IF(DW1206="D",1,0)+IF(DZ1206="D",1,0)+IF(EH1206="D",1,0)</f>
        <v/>
      </c>
      <c r="AY1206">
        <f>IF(DJ1206&lt;&gt;"",1,0)+IF(DK1206&lt;&gt;"",1,0)+IF(DM1206&lt;&gt;"",1,0)+IF(DO1206&lt;&gt;"",1,0)+IF(DP1206&lt;&gt;"",1,0)+IF(DQ1206&lt;&gt;"",1,0)+IF(DS1206&lt;&gt;"",1,0)+IF(DT1206&lt;&gt;"",1,0)+IF(DV1206&lt;&gt;"",1,0)+IF(DW1206&lt;&gt;"",1,0)+IF(DX1206&lt;&gt;"",1,0)+IF(DY1206&lt;&gt;"",1,0)+IF(DZ1206&lt;&gt;"",1,0)+IF(EB1206&lt;&gt;"",1,0)+IF(EC1206&lt;&gt;"",1,0)+IF(ED1206&lt;&gt;"",1,0)+IF(EG1206&lt;&gt;"",1,0)+IF(EH1206&lt;&gt;"",1,0)</f>
        <v/>
      </c>
      <c r="AZ1206">
        <f>IF(EH1206&lt;&gt;"",1,0)</f>
        <v/>
      </c>
      <c r="BB1206" t="inlineStr">
        <is>
          <t>WARREN-WARD 4</t>
        </is>
      </c>
    </row>
    <row r="1207">
      <c r="A1207" t="inlineStr">
        <is>
          <t>OH0026905152</t>
        </is>
      </c>
      <c r="B1207" t="n">
        <v>78</v>
      </c>
      <c r="C1207" t="n">
        <v>473824</v>
      </c>
      <c r="D1207" t="inlineStr">
        <is>
          <t>KEEN</t>
        </is>
      </c>
      <c r="E1207" t="inlineStr">
        <is>
          <t>JOSHUA</t>
        </is>
      </c>
      <c r="F1207">
        <f>CONCATENATE(D1207," ",LEFT(H1207,4),"T=",AU1207,"D=",AV1207,"R=",AW1207,"M=",AX1207,"L=",AY1207,"B=",AZ1207)</f>
        <v/>
      </c>
      <c r="G1207" t="inlineStr">
        <is>
          <t>S</t>
        </is>
      </c>
      <c r="I1207" t="inlineStr">
        <is>
          <t>1991-07-15</t>
        </is>
      </c>
      <c r="J1207" t="inlineStr">
        <is>
          <t>2023-05-02</t>
        </is>
      </c>
      <c r="K1207" t="inlineStr">
        <is>
          <t>ACTIVE</t>
        </is>
      </c>
      <c r="M1207" t="inlineStr">
        <is>
          <t>189 LOGAN AVE NE</t>
        </is>
      </c>
      <c r="N1207">
        <f>RIGHT(M1207,LEN(M1207)-FIND(" ",M1207))</f>
        <v/>
      </c>
      <c r="P1207" t="inlineStr">
        <is>
          <t>WARREN</t>
        </is>
      </c>
      <c r="Q1207" t="inlineStr">
        <is>
          <t>OH</t>
        </is>
      </c>
      <c r="R1207" t="n">
        <v>44483</v>
      </c>
      <c r="AD1207" t="inlineStr">
        <is>
          <t>TRUMBULL CAREER &amp; TECH CENTER</t>
        </is>
      </c>
      <c r="AE1207" t="inlineStr">
        <is>
          <t>WARREN CITY</t>
        </is>
      </c>
      <c r="AF1207" t="inlineStr">
        <is>
          <t>WARREN CITY SD</t>
        </is>
      </c>
      <c r="AH1207" t="n">
        <v>14</v>
      </c>
      <c r="AI1207" t="n">
        <v>11</v>
      </c>
      <c r="AN1207" t="inlineStr">
        <is>
          <t>WARREN</t>
        </is>
      </c>
      <c r="AO1207" t="inlineStr">
        <is>
          <t>WARREN CITY 4D</t>
        </is>
      </c>
      <c r="AP1207" t="inlineStr">
        <is>
          <t>78-P-ADL</t>
        </is>
      </c>
      <c r="AQ1207" t="n">
        <v>9</v>
      </c>
      <c r="AR1207" t="n">
        <v>64</v>
      </c>
      <c r="AS1207" t="n">
        <v>32</v>
      </c>
      <c r="AU1207">
        <f>COUNTA($BA$1207:$EH$1207)</f>
        <v/>
      </c>
      <c r="AV1207">
        <f>COUNTIF($BA$1207:$EH$1207,"D")</f>
        <v/>
      </c>
      <c r="AW1207">
        <f>COUNTIF($BA$1207:$EH$1207,"R")</f>
        <v/>
      </c>
      <c r="AX1207">
        <f>IF(BN1207="D",1,0)+IF(BO1207="D",1,0)+IF(BT1207="D",1,0)+IF(BU1207="D",1,0)+IF(BW1207="D",1,0)+IF(CC1207="D",1,0)+IF(CD1207="D",1,0)+IF(CE1207="D",1,0)+IF(CF1207="D",1,0)+IF(CL1207="D",1,0)+IF(CM1207="D",1,0)+IF(CQ1207="D",1,0)+IF(CR1207="D",1,0)+IF(CS1207="D",1,0)+IF(CW1207="D",1,0)+IF(CX1207="D",1,0)+IF(DD1207="D",1,0)+IF(DE1207="D",1,0)+IF(DJ1207="D",1,0)+IF(DK1207="D",1,0)+IF(DO1207="D",1,0)+IF(DP1207="D",1,0)+IF(DQ1207="D",1,0)+IF(DW1207="D",1,0)+IF(DZ1207="D",1,0)+IF(EH1207="D",1,0)</f>
        <v/>
      </c>
      <c r="AY1207">
        <f>IF(DJ1207&lt;&gt;"",1,0)+IF(DK1207&lt;&gt;"",1,0)+IF(DM1207&lt;&gt;"",1,0)+IF(DO1207&lt;&gt;"",1,0)+IF(DP1207&lt;&gt;"",1,0)+IF(DQ1207&lt;&gt;"",1,0)+IF(DS1207&lt;&gt;"",1,0)+IF(DT1207&lt;&gt;"",1,0)+IF(DV1207&lt;&gt;"",1,0)+IF(DW1207&lt;&gt;"",1,0)+IF(DX1207&lt;&gt;"",1,0)+IF(DY1207&lt;&gt;"",1,0)+IF(DZ1207&lt;&gt;"",1,0)+IF(EB1207&lt;&gt;"",1,0)+IF(EC1207&lt;&gt;"",1,0)+IF(ED1207&lt;&gt;"",1,0)+IF(EG1207&lt;&gt;"",1,0)+IF(EH1207&lt;&gt;"",1,0)</f>
        <v/>
      </c>
      <c r="AZ1207">
        <f>IF(EH1207&lt;&gt;"",1,0)</f>
        <v/>
      </c>
      <c r="BB1207" t="inlineStr">
        <is>
          <t>WARREN-WARD 4</t>
        </is>
      </c>
    </row>
    <row r="1208">
      <c r="A1208" t="inlineStr">
        <is>
          <t>OH0026734092</t>
        </is>
      </c>
      <c r="B1208" t="n">
        <v>78</v>
      </c>
      <c r="C1208" t="n">
        <v>466505</v>
      </c>
      <c r="D1208" t="inlineStr">
        <is>
          <t>SERRATA</t>
        </is>
      </c>
      <c r="E1208" t="inlineStr">
        <is>
          <t>GILSIA</t>
        </is>
      </c>
      <c r="F1208">
        <f>CONCATENATE(D1208," ",LEFT(H1208,4),"T=",AU1208,"D=",AV1208,"R=",AW1208,"M=",AX1208,"L=",AY1208,"B=",AZ1208)</f>
        <v/>
      </c>
      <c r="G1208" t="inlineStr">
        <is>
          <t>D</t>
        </is>
      </c>
      <c r="I1208" t="inlineStr">
        <is>
          <t>1963-09-13</t>
        </is>
      </c>
      <c r="J1208" t="inlineStr">
        <is>
          <t>2022-10-17</t>
        </is>
      </c>
      <c r="K1208" t="inlineStr">
        <is>
          <t>ACTIVE</t>
        </is>
      </c>
      <c r="M1208" t="inlineStr">
        <is>
          <t>710 PAIGE AVE NE</t>
        </is>
      </c>
      <c r="N1208">
        <f>RIGHT(M1208,LEN(M1208)-FIND(" ",M1208))</f>
        <v/>
      </c>
      <c r="P1208" t="inlineStr">
        <is>
          <t>WARREN</t>
        </is>
      </c>
      <c r="Q1208" t="inlineStr">
        <is>
          <t>OH</t>
        </is>
      </c>
      <c r="R1208" t="n">
        <v>44483</v>
      </c>
      <c r="AD1208" t="inlineStr">
        <is>
          <t>TRUMBULL CAREER &amp; TECH CENTER</t>
        </is>
      </c>
      <c r="AE1208" t="inlineStr">
        <is>
          <t>WARREN CITY</t>
        </is>
      </c>
      <c r="AF1208" t="inlineStr">
        <is>
          <t>WARREN CITY SD</t>
        </is>
      </c>
      <c r="AH1208" t="n">
        <v>14</v>
      </c>
      <c r="AI1208" t="n">
        <v>11</v>
      </c>
      <c r="AN1208" t="inlineStr">
        <is>
          <t>WARREN</t>
        </is>
      </c>
      <c r="AO1208" t="inlineStr">
        <is>
          <t>WARREN CITY 4D</t>
        </is>
      </c>
      <c r="AP1208" t="inlineStr">
        <is>
          <t>78-P-ADL</t>
        </is>
      </c>
      <c r="AQ1208" t="n">
        <v>9</v>
      </c>
      <c r="AR1208" t="n">
        <v>64</v>
      </c>
      <c r="AS1208" t="n">
        <v>32</v>
      </c>
      <c r="AU1208">
        <f>COUNTA($BA$1208:$EH$1208)</f>
        <v/>
      </c>
      <c r="AV1208">
        <f>COUNTIF($BA$1208:$EH$1208,"D")</f>
        <v/>
      </c>
      <c r="AW1208">
        <f>COUNTIF($BA$1208:$EH$1208,"R")</f>
        <v/>
      </c>
      <c r="AX1208">
        <f>IF(BN1208="D",1,0)+IF(BO1208="D",1,0)+IF(BT1208="D",1,0)+IF(BU1208="D",1,0)+IF(BW1208="D",1,0)+IF(CC1208="D",1,0)+IF(CD1208="D",1,0)+IF(CE1208="D",1,0)+IF(CF1208="D",1,0)+IF(CL1208="D",1,0)+IF(CM1208="D",1,0)+IF(CQ1208="D",1,0)+IF(CR1208="D",1,0)+IF(CS1208="D",1,0)+IF(CW1208="D",1,0)+IF(CX1208="D",1,0)+IF(DD1208="D",1,0)+IF(DE1208="D",1,0)+IF(DJ1208="D",1,0)+IF(DK1208="D",1,0)+IF(DO1208="D",1,0)+IF(DP1208="D",1,0)+IF(DQ1208="D",1,0)+IF(DW1208="D",1,0)+IF(DZ1208="D",1,0)+IF(EH1208="D",1,0)</f>
        <v/>
      </c>
      <c r="AY1208">
        <f>IF(DJ1208&lt;&gt;"",1,0)+IF(DK1208&lt;&gt;"",1,0)+IF(DM1208&lt;&gt;"",1,0)+IF(DO1208&lt;&gt;"",1,0)+IF(DP1208&lt;&gt;"",1,0)+IF(DQ1208&lt;&gt;"",1,0)+IF(DS1208&lt;&gt;"",1,0)+IF(DT1208&lt;&gt;"",1,0)+IF(DV1208&lt;&gt;"",1,0)+IF(DW1208&lt;&gt;"",1,0)+IF(DX1208&lt;&gt;"",1,0)+IF(DY1208&lt;&gt;"",1,0)+IF(DZ1208&lt;&gt;"",1,0)+IF(EB1208&lt;&gt;"",1,0)+IF(EC1208&lt;&gt;"",1,0)+IF(ED1208&lt;&gt;"",1,0)+IF(EG1208&lt;&gt;"",1,0)+IF(EH1208&lt;&gt;"",1,0)</f>
        <v/>
      </c>
      <c r="AZ1208">
        <f>IF(EH1208&lt;&gt;"",1,0)</f>
        <v/>
      </c>
      <c r="BB1208" t="inlineStr">
        <is>
          <t>WARREN-WARD 4</t>
        </is>
      </c>
    </row>
    <row r="1209">
      <c r="A1209" t="inlineStr">
        <is>
          <t>OH0027464972</t>
        </is>
      </c>
      <c r="B1209" t="n">
        <v>78</v>
      </c>
      <c r="C1209" t="n">
        <v>386347</v>
      </c>
      <c r="D1209" t="inlineStr">
        <is>
          <t>BATES</t>
        </is>
      </c>
      <c r="E1209" t="inlineStr">
        <is>
          <t>WENDY</t>
        </is>
      </c>
      <c r="F1209">
        <f>CONCATENATE(D1209," ",LEFT(H1209,4),"T=",AU1209,"D=",AV1209,"R=",AW1209,"M=",AX1209,"L=",AY1209,"B=",AZ1209)</f>
        <v/>
      </c>
      <c r="G1209" t="inlineStr">
        <is>
          <t>LYNN</t>
        </is>
      </c>
      <c r="I1209" t="inlineStr">
        <is>
          <t>1972-03-24</t>
        </is>
      </c>
      <c r="J1209" t="inlineStr">
        <is>
          <t>2024-07-24</t>
        </is>
      </c>
      <c r="K1209" t="inlineStr">
        <is>
          <t>ACTIVE</t>
        </is>
      </c>
      <c r="M1209" t="inlineStr">
        <is>
          <t>257 WASHINGTON ST NW</t>
        </is>
      </c>
      <c r="N1209">
        <f>RIGHT(M1209,LEN(M1209)-FIND(" ",M1209))</f>
        <v/>
      </c>
      <c r="O1209" t="inlineStr">
        <is>
          <t>APT 4</t>
        </is>
      </c>
      <c r="P1209" t="inlineStr">
        <is>
          <t>WARREN</t>
        </is>
      </c>
      <c r="Q1209" t="inlineStr">
        <is>
          <t>OH</t>
        </is>
      </c>
      <c r="R1209" t="n">
        <v>44483</v>
      </c>
      <c r="AD1209" t="inlineStr">
        <is>
          <t>TRUMBULL CAREER &amp; TECH CENTER</t>
        </is>
      </c>
      <c r="AE1209" t="inlineStr">
        <is>
          <t>WARREN CITY</t>
        </is>
      </c>
      <c r="AF1209" t="inlineStr">
        <is>
          <t>WARREN CITY SD</t>
        </is>
      </c>
      <c r="AH1209" t="n">
        <v>14</v>
      </c>
      <c r="AI1209" t="n">
        <v>11</v>
      </c>
      <c r="AN1209" t="inlineStr">
        <is>
          <t>WARREN</t>
        </is>
      </c>
      <c r="AO1209" t="inlineStr">
        <is>
          <t>WARREN CITY 4D</t>
        </is>
      </c>
      <c r="AP1209" t="inlineStr">
        <is>
          <t>78-P-ADL</t>
        </is>
      </c>
      <c r="AQ1209" t="n">
        <v>9</v>
      </c>
      <c r="AR1209" t="n">
        <v>64</v>
      </c>
      <c r="AS1209" t="n">
        <v>32</v>
      </c>
      <c r="AU1209">
        <f>COUNTA($BA$1209:$EH$1209)</f>
        <v/>
      </c>
      <c r="AV1209">
        <f>COUNTIF($BA$1209:$EH$1209,"D")</f>
        <v/>
      </c>
      <c r="AW1209">
        <f>COUNTIF($BA$1209:$EH$1209,"R")</f>
        <v/>
      </c>
      <c r="AX1209">
        <f>IF(BN1209="D",1,0)+IF(BO1209="D",1,0)+IF(BT1209="D",1,0)+IF(BU1209="D",1,0)+IF(BW1209="D",1,0)+IF(CC1209="D",1,0)+IF(CD1209="D",1,0)+IF(CE1209="D",1,0)+IF(CF1209="D",1,0)+IF(CL1209="D",1,0)+IF(CM1209="D",1,0)+IF(CQ1209="D",1,0)+IF(CR1209="D",1,0)+IF(CS1209="D",1,0)+IF(CW1209="D",1,0)+IF(CX1209="D",1,0)+IF(DD1209="D",1,0)+IF(DE1209="D",1,0)+IF(DJ1209="D",1,0)+IF(DK1209="D",1,0)+IF(DO1209="D",1,0)+IF(DP1209="D",1,0)+IF(DQ1209="D",1,0)+IF(DW1209="D",1,0)+IF(DZ1209="D",1,0)+IF(EH1209="D",1,0)</f>
        <v/>
      </c>
      <c r="AY1209">
        <f>IF(DJ1209&lt;&gt;"",1,0)+IF(DK1209&lt;&gt;"",1,0)+IF(DM1209&lt;&gt;"",1,0)+IF(DO1209&lt;&gt;"",1,0)+IF(DP1209&lt;&gt;"",1,0)+IF(DQ1209&lt;&gt;"",1,0)+IF(DS1209&lt;&gt;"",1,0)+IF(DT1209&lt;&gt;"",1,0)+IF(DV1209&lt;&gt;"",1,0)+IF(DW1209&lt;&gt;"",1,0)+IF(DX1209&lt;&gt;"",1,0)+IF(DY1209&lt;&gt;"",1,0)+IF(DZ1209&lt;&gt;"",1,0)+IF(EB1209&lt;&gt;"",1,0)+IF(EC1209&lt;&gt;"",1,0)+IF(ED1209&lt;&gt;"",1,0)+IF(EG1209&lt;&gt;"",1,0)+IF(EH1209&lt;&gt;"",1,0)</f>
        <v/>
      </c>
      <c r="AZ1209">
        <f>IF(EH1209&lt;&gt;"",1,0)</f>
        <v/>
      </c>
      <c r="BB1209" t="inlineStr">
        <is>
          <t>WARREN-WARD 4</t>
        </is>
      </c>
      <c r="BL1209" t="inlineStr">
        <is>
          <t>X</t>
        </is>
      </c>
      <c r="EF1209" t="inlineStr">
        <is>
          <t>X</t>
        </is>
      </c>
    </row>
    <row r="1210">
      <c r="A1210" t="inlineStr">
        <is>
          <t>OH0023147643</t>
        </is>
      </c>
      <c r="B1210" t="n">
        <v>78</v>
      </c>
      <c r="C1210" t="n">
        <v>407327</v>
      </c>
      <c r="D1210" t="inlineStr">
        <is>
          <t>WYNYARD</t>
        </is>
      </c>
      <c r="E1210" t="inlineStr">
        <is>
          <t>TRISTYN</t>
        </is>
      </c>
      <c r="F1210">
        <f>CONCATENATE(D1210," ",LEFT(H1210,4),"T=",AU1210,"D=",AV1210,"R=",AW1210,"M=",AX1210,"L=",AY1210,"B=",AZ1210)</f>
        <v/>
      </c>
      <c r="G1210" t="inlineStr">
        <is>
          <t>BLAKE</t>
        </is>
      </c>
      <c r="I1210" t="inlineStr">
        <is>
          <t>1997-05-14</t>
        </is>
      </c>
      <c r="J1210" t="inlineStr">
        <is>
          <t>2024-07-21</t>
        </is>
      </c>
      <c r="K1210" t="inlineStr">
        <is>
          <t>ACTIVE</t>
        </is>
      </c>
      <c r="M1210" t="inlineStr">
        <is>
          <t>338 CHESTNUT AVE NE</t>
        </is>
      </c>
      <c r="N1210">
        <f>RIGHT(M1210,LEN(M1210)-FIND(" ",M1210))</f>
        <v/>
      </c>
      <c r="P1210" t="inlineStr">
        <is>
          <t>WARREN</t>
        </is>
      </c>
      <c r="Q1210" t="inlineStr">
        <is>
          <t>OH</t>
        </is>
      </c>
      <c r="R1210" t="n">
        <v>44483</v>
      </c>
      <c r="AD1210" t="inlineStr">
        <is>
          <t>TRUMBULL CAREER &amp; TECH CENTER</t>
        </is>
      </c>
      <c r="AE1210" t="inlineStr">
        <is>
          <t>WARREN CITY</t>
        </is>
      </c>
      <c r="AF1210" t="inlineStr">
        <is>
          <t>WARREN CITY SD</t>
        </is>
      </c>
      <c r="AH1210" t="n">
        <v>14</v>
      </c>
      <c r="AI1210" t="n">
        <v>11</v>
      </c>
      <c r="AN1210" t="inlineStr">
        <is>
          <t>WARREN</t>
        </is>
      </c>
      <c r="AO1210" t="inlineStr">
        <is>
          <t>WARREN CITY 4D</t>
        </is>
      </c>
      <c r="AP1210" t="inlineStr">
        <is>
          <t>78-P-ADL</t>
        </is>
      </c>
      <c r="AQ1210" t="n">
        <v>9</v>
      </c>
      <c r="AR1210" t="n">
        <v>64</v>
      </c>
      <c r="AS1210" t="n">
        <v>32</v>
      </c>
      <c r="AU1210">
        <f>COUNTA($BA$1210:$EH$1210)</f>
        <v/>
      </c>
      <c r="AV1210">
        <f>COUNTIF($BA$1210:$EH$1210,"D")</f>
        <v/>
      </c>
      <c r="AW1210">
        <f>COUNTIF($BA$1210:$EH$1210,"R")</f>
        <v/>
      </c>
      <c r="AX1210">
        <f>IF(BN1210="D",1,0)+IF(BO1210="D",1,0)+IF(BT1210="D",1,0)+IF(BU1210="D",1,0)+IF(BW1210="D",1,0)+IF(CC1210="D",1,0)+IF(CD1210="D",1,0)+IF(CE1210="D",1,0)+IF(CF1210="D",1,0)+IF(CL1210="D",1,0)+IF(CM1210="D",1,0)+IF(CQ1210="D",1,0)+IF(CR1210="D",1,0)+IF(CS1210="D",1,0)+IF(CW1210="D",1,0)+IF(CX1210="D",1,0)+IF(DD1210="D",1,0)+IF(DE1210="D",1,0)+IF(DJ1210="D",1,0)+IF(DK1210="D",1,0)+IF(DO1210="D",1,0)+IF(DP1210="D",1,0)+IF(DQ1210="D",1,0)+IF(DW1210="D",1,0)+IF(DZ1210="D",1,0)+IF(EH1210="D",1,0)</f>
        <v/>
      </c>
      <c r="AY1210">
        <f>IF(DJ1210&lt;&gt;"",1,0)+IF(DK1210&lt;&gt;"",1,0)+IF(DM1210&lt;&gt;"",1,0)+IF(DO1210&lt;&gt;"",1,0)+IF(DP1210&lt;&gt;"",1,0)+IF(DQ1210&lt;&gt;"",1,0)+IF(DS1210&lt;&gt;"",1,0)+IF(DT1210&lt;&gt;"",1,0)+IF(DV1210&lt;&gt;"",1,0)+IF(DW1210&lt;&gt;"",1,0)+IF(DX1210&lt;&gt;"",1,0)+IF(DY1210&lt;&gt;"",1,0)+IF(DZ1210&lt;&gt;"",1,0)+IF(EB1210&lt;&gt;"",1,0)+IF(EC1210&lt;&gt;"",1,0)+IF(ED1210&lt;&gt;"",1,0)+IF(EG1210&lt;&gt;"",1,0)+IF(EH1210&lt;&gt;"",1,0)</f>
        <v/>
      </c>
      <c r="AZ1210">
        <f>IF(EH1210&lt;&gt;"",1,0)</f>
        <v/>
      </c>
      <c r="BB1210" t="inlineStr">
        <is>
          <t>WARREN-WARD 4</t>
        </is>
      </c>
      <c r="EF1210" t="inlineStr">
        <is>
          <t>X</t>
        </is>
      </c>
    </row>
    <row r="1211">
      <c r="A1211" t="inlineStr">
        <is>
          <t>OH0024673537</t>
        </is>
      </c>
      <c r="B1211" t="n">
        <v>78</v>
      </c>
      <c r="C1211" t="n">
        <v>433528</v>
      </c>
      <c r="D1211" t="inlineStr">
        <is>
          <t>JONES</t>
        </is>
      </c>
      <c r="E1211" t="inlineStr">
        <is>
          <t>RUTH</t>
        </is>
      </c>
      <c r="F1211">
        <f>CONCATENATE(D1211," ",LEFT(H1211,4),"T=",AU1211,"D=",AV1211,"R=",AW1211,"M=",AX1211,"L=",AY1211,"B=",AZ1211)</f>
        <v/>
      </c>
      <c r="G1211" t="inlineStr">
        <is>
          <t>L</t>
        </is>
      </c>
      <c r="I1211" t="inlineStr">
        <is>
          <t>1953-11-13</t>
        </is>
      </c>
      <c r="J1211" t="inlineStr">
        <is>
          <t>2023-05-03</t>
        </is>
      </c>
      <c r="K1211" t="inlineStr">
        <is>
          <t>ACTIVE</t>
        </is>
      </c>
      <c r="M1211" t="inlineStr">
        <is>
          <t>620 VINE AVE NE</t>
        </is>
      </c>
      <c r="N1211">
        <f>RIGHT(M1211,LEN(M1211)-FIND(" ",M1211))</f>
        <v/>
      </c>
      <c r="P1211" t="inlineStr">
        <is>
          <t>WARREN</t>
        </is>
      </c>
      <c r="Q1211" t="inlineStr">
        <is>
          <t>OH</t>
        </is>
      </c>
      <c r="R1211" t="n">
        <v>44483</v>
      </c>
      <c r="AD1211" t="inlineStr">
        <is>
          <t>TRUMBULL CAREER &amp; TECH CENTER</t>
        </is>
      </c>
      <c r="AE1211" t="inlineStr">
        <is>
          <t>WARREN CITY</t>
        </is>
      </c>
      <c r="AF1211" t="inlineStr">
        <is>
          <t>WARREN CITY SD</t>
        </is>
      </c>
      <c r="AH1211" t="n">
        <v>14</v>
      </c>
      <c r="AI1211" t="n">
        <v>11</v>
      </c>
      <c r="AN1211" t="inlineStr">
        <is>
          <t>WARREN</t>
        </is>
      </c>
      <c r="AO1211" t="inlineStr">
        <is>
          <t>WARREN CITY 4D</t>
        </is>
      </c>
      <c r="AP1211" t="inlineStr">
        <is>
          <t>78-P-ADL</t>
        </is>
      </c>
      <c r="AQ1211" t="n">
        <v>9</v>
      </c>
      <c r="AR1211" t="n">
        <v>64</v>
      </c>
      <c r="AS1211" t="n">
        <v>32</v>
      </c>
      <c r="AU1211">
        <f>COUNTA($BA$1211:$EH$1211)</f>
        <v/>
      </c>
      <c r="AV1211">
        <f>COUNTIF($BA$1211:$EH$1211,"D")</f>
        <v/>
      </c>
      <c r="AW1211">
        <f>COUNTIF($BA$1211:$EH$1211,"R")</f>
        <v/>
      </c>
      <c r="AX1211">
        <f>IF(BN1211="D",1,0)+IF(BO1211="D",1,0)+IF(BT1211="D",1,0)+IF(BU1211="D",1,0)+IF(BW1211="D",1,0)+IF(CC1211="D",1,0)+IF(CD1211="D",1,0)+IF(CE1211="D",1,0)+IF(CF1211="D",1,0)+IF(CL1211="D",1,0)+IF(CM1211="D",1,0)+IF(CQ1211="D",1,0)+IF(CR1211="D",1,0)+IF(CS1211="D",1,0)+IF(CW1211="D",1,0)+IF(CX1211="D",1,0)+IF(DD1211="D",1,0)+IF(DE1211="D",1,0)+IF(DJ1211="D",1,0)+IF(DK1211="D",1,0)+IF(DO1211="D",1,0)+IF(DP1211="D",1,0)+IF(DQ1211="D",1,0)+IF(DW1211="D",1,0)+IF(DZ1211="D",1,0)+IF(EH1211="D",1,0)</f>
        <v/>
      </c>
      <c r="AY1211">
        <f>IF(DJ1211&lt;&gt;"",1,0)+IF(DK1211&lt;&gt;"",1,0)+IF(DM1211&lt;&gt;"",1,0)+IF(DO1211&lt;&gt;"",1,0)+IF(DP1211&lt;&gt;"",1,0)+IF(DQ1211&lt;&gt;"",1,0)+IF(DS1211&lt;&gt;"",1,0)+IF(DT1211&lt;&gt;"",1,0)+IF(DV1211&lt;&gt;"",1,0)+IF(DW1211&lt;&gt;"",1,0)+IF(DX1211&lt;&gt;"",1,0)+IF(DY1211&lt;&gt;"",1,0)+IF(DZ1211&lt;&gt;"",1,0)+IF(EB1211&lt;&gt;"",1,0)+IF(EC1211&lt;&gt;"",1,0)+IF(ED1211&lt;&gt;"",1,0)+IF(EG1211&lt;&gt;"",1,0)+IF(EH1211&lt;&gt;"",1,0)</f>
        <v/>
      </c>
      <c r="AZ1211">
        <f>IF(EH1211&lt;&gt;"",1,0)</f>
        <v/>
      </c>
      <c r="BB1211" t="inlineStr">
        <is>
          <t>WARREN-WARD 4</t>
        </is>
      </c>
      <c r="DI1211" t="inlineStr">
        <is>
          <t>X</t>
        </is>
      </c>
      <c r="DL1211" t="inlineStr">
        <is>
          <t>X</t>
        </is>
      </c>
      <c r="DN1211" t="inlineStr">
        <is>
          <t>X</t>
        </is>
      </c>
      <c r="DX1211" t="inlineStr">
        <is>
          <t>X</t>
        </is>
      </c>
      <c r="EA1211" t="inlineStr">
        <is>
          <t>X</t>
        </is>
      </c>
      <c r="EF1211" t="inlineStr">
        <is>
          <t>X</t>
        </is>
      </c>
    </row>
    <row r="1212">
      <c r="A1212" t="inlineStr">
        <is>
          <t>OH0015717929</t>
        </is>
      </c>
      <c r="B1212" t="n">
        <v>78</v>
      </c>
      <c r="C1212" t="n">
        <v>324049</v>
      </c>
      <c r="D1212" t="inlineStr">
        <is>
          <t>BAYLEY</t>
        </is>
      </c>
      <c r="E1212" t="inlineStr">
        <is>
          <t>NICOLE</t>
        </is>
      </c>
      <c r="F1212">
        <f>CONCATENATE(D1212," ",LEFT(H1212,4),"T=",AU1212,"D=",AV1212,"R=",AW1212,"M=",AX1212,"L=",AY1212,"B=",AZ1212)</f>
        <v/>
      </c>
      <c r="I1212" t="inlineStr">
        <is>
          <t>1986-01-31</t>
        </is>
      </c>
      <c r="J1212" t="inlineStr">
        <is>
          <t>2024-08-21</t>
        </is>
      </c>
      <c r="K1212" t="inlineStr">
        <is>
          <t>ACTIVE</t>
        </is>
      </c>
      <c r="M1212" t="inlineStr">
        <is>
          <t>176 LINDEN AVE SE</t>
        </is>
      </c>
      <c r="N1212">
        <f>RIGHT(M1212,LEN(M1212)-FIND(" ",M1212))</f>
        <v/>
      </c>
      <c r="P1212" t="inlineStr">
        <is>
          <t>WARREN</t>
        </is>
      </c>
      <c r="Q1212" t="inlineStr">
        <is>
          <t>OH</t>
        </is>
      </c>
      <c r="R1212" t="n">
        <v>44483</v>
      </c>
      <c r="AD1212" t="inlineStr">
        <is>
          <t>TRUMBULL CAREER &amp; TECH CENTER</t>
        </is>
      </c>
      <c r="AE1212" t="inlineStr">
        <is>
          <t>WARREN CITY</t>
        </is>
      </c>
      <c r="AF1212" t="inlineStr">
        <is>
          <t>WARREN CITY SD</t>
        </is>
      </c>
      <c r="AH1212" t="n">
        <v>14</v>
      </c>
      <c r="AI1212" t="n">
        <v>11</v>
      </c>
      <c r="AN1212" t="inlineStr">
        <is>
          <t>WARREN</t>
        </is>
      </c>
      <c r="AO1212" t="inlineStr">
        <is>
          <t>WARREN CITY 4D</t>
        </is>
      </c>
      <c r="AP1212" t="inlineStr">
        <is>
          <t>78-P-ADL</t>
        </is>
      </c>
      <c r="AQ1212" t="n">
        <v>9</v>
      </c>
      <c r="AR1212" t="n">
        <v>64</v>
      </c>
      <c r="AS1212" t="n">
        <v>32</v>
      </c>
      <c r="AU1212">
        <f>COUNTA($BA$1212:$EH$1212)</f>
        <v/>
      </c>
      <c r="AV1212">
        <f>COUNTIF($BA$1212:$EH$1212,"D")</f>
        <v/>
      </c>
      <c r="AW1212">
        <f>COUNTIF($BA$1212:$EH$1212,"R")</f>
        <v/>
      </c>
      <c r="AX1212">
        <f>IF(BN1212="D",1,0)+IF(BO1212="D",1,0)+IF(BT1212="D",1,0)+IF(BU1212="D",1,0)+IF(BW1212="D",1,0)+IF(CC1212="D",1,0)+IF(CD1212="D",1,0)+IF(CE1212="D",1,0)+IF(CF1212="D",1,0)+IF(CL1212="D",1,0)+IF(CM1212="D",1,0)+IF(CQ1212="D",1,0)+IF(CR1212="D",1,0)+IF(CS1212="D",1,0)+IF(CW1212="D",1,0)+IF(CX1212="D",1,0)+IF(DD1212="D",1,0)+IF(DE1212="D",1,0)+IF(DJ1212="D",1,0)+IF(DK1212="D",1,0)+IF(DO1212="D",1,0)+IF(DP1212="D",1,0)+IF(DQ1212="D",1,0)+IF(DW1212="D",1,0)+IF(DZ1212="D",1,0)+IF(EH1212="D",1,0)</f>
        <v/>
      </c>
      <c r="AY1212">
        <f>IF(DJ1212&lt;&gt;"",1,0)+IF(DK1212&lt;&gt;"",1,0)+IF(DM1212&lt;&gt;"",1,0)+IF(DO1212&lt;&gt;"",1,0)+IF(DP1212&lt;&gt;"",1,0)+IF(DQ1212&lt;&gt;"",1,0)+IF(DS1212&lt;&gt;"",1,0)+IF(DT1212&lt;&gt;"",1,0)+IF(DV1212&lt;&gt;"",1,0)+IF(DW1212&lt;&gt;"",1,0)+IF(DX1212&lt;&gt;"",1,0)+IF(DY1212&lt;&gt;"",1,0)+IF(DZ1212&lt;&gt;"",1,0)+IF(EB1212&lt;&gt;"",1,0)+IF(EC1212&lt;&gt;"",1,0)+IF(ED1212&lt;&gt;"",1,0)+IF(EG1212&lt;&gt;"",1,0)+IF(EH1212&lt;&gt;"",1,0)</f>
        <v/>
      </c>
      <c r="AZ1212">
        <f>IF(EH1212&lt;&gt;"",1,0)</f>
        <v/>
      </c>
      <c r="BB1212" t="inlineStr">
        <is>
          <t>WARREN-WARD 4</t>
        </is>
      </c>
      <c r="BL1212" t="inlineStr">
        <is>
          <t>X</t>
        </is>
      </c>
      <c r="BY1212" t="inlineStr">
        <is>
          <t>D</t>
        </is>
      </c>
    </row>
    <row r="1213">
      <c r="A1213" t="inlineStr">
        <is>
          <t>OH0027297991</t>
        </is>
      </c>
      <c r="B1213" t="n">
        <v>78</v>
      </c>
      <c r="C1213" t="n">
        <v>484435</v>
      </c>
      <c r="D1213" t="inlineStr">
        <is>
          <t>COX</t>
        </is>
      </c>
      <c r="E1213" t="inlineStr">
        <is>
          <t>ISAIAH</t>
        </is>
      </c>
      <c r="F1213">
        <f>CONCATENATE(D1213," ",LEFT(H1213,4),"T=",AU1213,"D=",AV1213,"R=",AW1213,"M=",AX1213,"L=",AY1213,"B=",AZ1213)</f>
        <v/>
      </c>
      <c r="G1213" t="inlineStr">
        <is>
          <t>TERRELL</t>
        </is>
      </c>
      <c r="I1213" t="inlineStr">
        <is>
          <t>2004-03-06</t>
        </is>
      </c>
      <c r="J1213" t="inlineStr">
        <is>
          <t>2024-03-23</t>
        </is>
      </c>
      <c r="K1213" t="inlineStr">
        <is>
          <t>ACTIVE</t>
        </is>
      </c>
      <c r="M1213" t="inlineStr">
        <is>
          <t>1156 WOODLAND AVE NE</t>
        </is>
      </c>
      <c r="N1213">
        <f>RIGHT(M1213,LEN(M1213)-FIND(" ",M1213))</f>
        <v/>
      </c>
      <c r="P1213" t="inlineStr">
        <is>
          <t>WARREN</t>
        </is>
      </c>
      <c r="Q1213" t="inlineStr">
        <is>
          <t>OH</t>
        </is>
      </c>
      <c r="R1213" t="n">
        <v>44483</v>
      </c>
      <c r="AD1213" t="inlineStr">
        <is>
          <t>TRUMBULL CAREER &amp; TECH CENTER</t>
        </is>
      </c>
      <c r="AE1213" t="inlineStr">
        <is>
          <t>WARREN CITY</t>
        </is>
      </c>
      <c r="AF1213" t="inlineStr">
        <is>
          <t>WARREN CITY SD</t>
        </is>
      </c>
      <c r="AH1213" t="n">
        <v>14</v>
      </c>
      <c r="AI1213" t="n">
        <v>11</v>
      </c>
      <c r="AN1213" t="inlineStr">
        <is>
          <t>WARREN</t>
        </is>
      </c>
      <c r="AO1213" t="inlineStr">
        <is>
          <t>WARREN CITY 4D</t>
        </is>
      </c>
      <c r="AP1213" t="inlineStr">
        <is>
          <t>78-P-ADL</t>
        </is>
      </c>
      <c r="AQ1213" t="n">
        <v>9</v>
      </c>
      <c r="AR1213" t="n">
        <v>64</v>
      </c>
      <c r="AS1213" t="n">
        <v>32</v>
      </c>
      <c r="AU1213">
        <f>COUNTA($BA$1213:$EH$1213)</f>
        <v/>
      </c>
      <c r="AV1213">
        <f>COUNTIF($BA$1213:$EH$1213,"D")</f>
        <v/>
      </c>
      <c r="AW1213">
        <f>COUNTIF($BA$1213:$EH$1213,"R")</f>
        <v/>
      </c>
      <c r="AX1213">
        <f>IF(BN1213="D",1,0)+IF(BO1213="D",1,0)+IF(BT1213="D",1,0)+IF(BU1213="D",1,0)+IF(BW1213="D",1,0)+IF(CC1213="D",1,0)+IF(CD1213="D",1,0)+IF(CE1213="D",1,0)+IF(CF1213="D",1,0)+IF(CL1213="D",1,0)+IF(CM1213="D",1,0)+IF(CQ1213="D",1,0)+IF(CR1213="D",1,0)+IF(CS1213="D",1,0)+IF(CW1213="D",1,0)+IF(CX1213="D",1,0)+IF(DD1213="D",1,0)+IF(DE1213="D",1,0)+IF(DJ1213="D",1,0)+IF(DK1213="D",1,0)+IF(DO1213="D",1,0)+IF(DP1213="D",1,0)+IF(DQ1213="D",1,0)+IF(DW1213="D",1,0)+IF(DZ1213="D",1,0)+IF(EH1213="D",1,0)</f>
        <v/>
      </c>
      <c r="AY1213">
        <f>IF(DJ1213&lt;&gt;"",1,0)+IF(DK1213&lt;&gt;"",1,0)+IF(DM1213&lt;&gt;"",1,0)+IF(DO1213&lt;&gt;"",1,0)+IF(DP1213&lt;&gt;"",1,0)+IF(DQ1213&lt;&gt;"",1,0)+IF(DS1213&lt;&gt;"",1,0)+IF(DT1213&lt;&gt;"",1,0)+IF(DV1213&lt;&gt;"",1,0)+IF(DW1213&lt;&gt;"",1,0)+IF(DX1213&lt;&gt;"",1,0)+IF(DY1213&lt;&gt;"",1,0)+IF(DZ1213&lt;&gt;"",1,0)+IF(EB1213&lt;&gt;"",1,0)+IF(EC1213&lt;&gt;"",1,0)+IF(ED1213&lt;&gt;"",1,0)+IF(EG1213&lt;&gt;"",1,0)+IF(EH1213&lt;&gt;"",1,0)</f>
        <v/>
      </c>
      <c r="AZ1213">
        <f>IF(EH1213&lt;&gt;"",1,0)</f>
        <v/>
      </c>
      <c r="BB1213" t="inlineStr">
        <is>
          <t>WARREN-WARD 4</t>
        </is>
      </c>
    </row>
    <row r="1214">
      <c r="A1214" t="inlineStr">
        <is>
          <t>OH0015810331</t>
        </is>
      </c>
      <c r="B1214" t="n">
        <v>78</v>
      </c>
      <c r="C1214" t="n">
        <v>304343</v>
      </c>
      <c r="D1214" t="inlineStr">
        <is>
          <t>HOCKMAN</t>
        </is>
      </c>
      <c r="E1214" t="inlineStr">
        <is>
          <t>LUKE</t>
        </is>
      </c>
      <c r="F1214">
        <f>CONCATENATE(D1214," ",LEFT(H1214,4),"T=",AU1214,"D=",AV1214,"R=",AW1214,"M=",AX1214,"L=",AY1214,"B=",AZ1214)</f>
        <v/>
      </c>
      <c r="G1214" t="inlineStr">
        <is>
          <t>N</t>
        </is>
      </c>
      <c r="I1214" t="inlineStr">
        <is>
          <t>1982-03-08</t>
        </is>
      </c>
      <c r="J1214" t="inlineStr">
        <is>
          <t>2008-03-07</t>
        </is>
      </c>
      <c r="K1214" t="inlineStr">
        <is>
          <t>CONFIRMATION</t>
        </is>
      </c>
      <c r="M1214" t="inlineStr">
        <is>
          <t>432 LAMPHIER PL NE</t>
        </is>
      </c>
      <c r="N1214">
        <f>RIGHT(M1214,LEN(M1214)-FIND(" ",M1214))</f>
        <v/>
      </c>
      <c r="P1214" t="inlineStr">
        <is>
          <t>WARREN</t>
        </is>
      </c>
      <c r="Q1214" t="inlineStr">
        <is>
          <t>OH</t>
        </is>
      </c>
      <c r="R1214" t="n">
        <v>44483</v>
      </c>
      <c r="AD1214" t="inlineStr">
        <is>
          <t>TRUMBULL CAREER &amp; TECH CENTER</t>
        </is>
      </c>
      <c r="AE1214" t="inlineStr">
        <is>
          <t>WARREN CITY</t>
        </is>
      </c>
      <c r="AF1214" t="inlineStr">
        <is>
          <t>WARREN CITY SD</t>
        </is>
      </c>
      <c r="AH1214" t="n">
        <v>14</v>
      </c>
      <c r="AI1214" t="n">
        <v>11</v>
      </c>
      <c r="AN1214" t="inlineStr">
        <is>
          <t>WARREN</t>
        </is>
      </c>
      <c r="AO1214" t="inlineStr">
        <is>
          <t>WARREN CITY 4D</t>
        </is>
      </c>
      <c r="AP1214" t="inlineStr">
        <is>
          <t>78-P-ADL</t>
        </is>
      </c>
      <c r="AQ1214" t="n">
        <v>9</v>
      </c>
      <c r="AR1214" t="n">
        <v>64</v>
      </c>
      <c r="AS1214" t="n">
        <v>32</v>
      </c>
      <c r="AU1214">
        <f>COUNTA($BA$1214:$EH$1214)</f>
        <v/>
      </c>
      <c r="AV1214">
        <f>COUNTIF($BA$1214:$EH$1214,"D")</f>
        <v/>
      </c>
      <c r="AW1214">
        <f>COUNTIF($BA$1214:$EH$1214,"R")</f>
        <v/>
      </c>
      <c r="AX1214">
        <f>IF(BN1214="D",1,0)+IF(BO1214="D",1,0)+IF(BT1214="D",1,0)+IF(BU1214="D",1,0)+IF(BW1214="D",1,0)+IF(CC1214="D",1,0)+IF(CD1214="D",1,0)+IF(CE1214="D",1,0)+IF(CF1214="D",1,0)+IF(CL1214="D",1,0)+IF(CM1214="D",1,0)+IF(CQ1214="D",1,0)+IF(CR1214="D",1,0)+IF(CS1214="D",1,0)+IF(CW1214="D",1,0)+IF(CX1214="D",1,0)+IF(DD1214="D",1,0)+IF(DE1214="D",1,0)+IF(DJ1214="D",1,0)+IF(DK1214="D",1,0)+IF(DO1214="D",1,0)+IF(DP1214="D",1,0)+IF(DQ1214="D",1,0)+IF(DW1214="D",1,0)+IF(DZ1214="D",1,0)+IF(EH1214="D",1,0)</f>
        <v/>
      </c>
      <c r="AY1214">
        <f>IF(DJ1214&lt;&gt;"",1,0)+IF(DK1214&lt;&gt;"",1,0)+IF(DM1214&lt;&gt;"",1,0)+IF(DO1214&lt;&gt;"",1,0)+IF(DP1214&lt;&gt;"",1,0)+IF(DQ1214&lt;&gt;"",1,0)+IF(DS1214&lt;&gt;"",1,0)+IF(DT1214&lt;&gt;"",1,0)+IF(DV1214&lt;&gt;"",1,0)+IF(DW1214&lt;&gt;"",1,0)+IF(DX1214&lt;&gt;"",1,0)+IF(DY1214&lt;&gt;"",1,0)+IF(DZ1214&lt;&gt;"",1,0)+IF(EB1214&lt;&gt;"",1,0)+IF(EC1214&lt;&gt;"",1,0)+IF(ED1214&lt;&gt;"",1,0)+IF(EG1214&lt;&gt;"",1,0)+IF(EH1214&lt;&gt;"",1,0)</f>
        <v/>
      </c>
      <c r="AZ1214">
        <f>IF(EH1214&lt;&gt;"",1,0)</f>
        <v/>
      </c>
      <c r="BB1214" t="inlineStr">
        <is>
          <t>WARREN-WARD 4</t>
        </is>
      </c>
      <c r="CA1214" t="inlineStr">
        <is>
          <t>X</t>
        </is>
      </c>
      <c r="DC1214" t="inlineStr">
        <is>
          <t>X</t>
        </is>
      </c>
      <c r="DN1214" t="inlineStr">
        <is>
          <t>X</t>
        </is>
      </c>
    </row>
    <row r="1215">
      <c r="A1215" t="inlineStr">
        <is>
          <t>OH0015817140</t>
        </is>
      </c>
      <c r="B1215" t="n">
        <v>78</v>
      </c>
      <c r="C1215" t="n">
        <v>315315</v>
      </c>
      <c r="D1215" t="inlineStr">
        <is>
          <t>DEAL</t>
        </is>
      </c>
      <c r="E1215" t="inlineStr">
        <is>
          <t>JOHN</t>
        </is>
      </c>
      <c r="F1215">
        <f>CONCATENATE(D1215," ",LEFT(H1215,4),"T=",AU1215,"D=",AV1215,"R=",AW1215,"M=",AX1215,"L=",AY1215,"B=",AZ1215)</f>
        <v/>
      </c>
      <c r="G1215" t="inlineStr">
        <is>
          <t>A</t>
        </is>
      </c>
      <c r="I1215" t="inlineStr">
        <is>
          <t>1943-06-22</t>
        </is>
      </c>
      <c r="J1215" t="inlineStr">
        <is>
          <t>2003-06-11</t>
        </is>
      </c>
      <c r="K1215" t="inlineStr">
        <is>
          <t>ACTIVE</t>
        </is>
      </c>
      <c r="L1215" t="inlineStr">
        <is>
          <t>R</t>
        </is>
      </c>
      <c r="M1215" t="inlineStr">
        <is>
          <t>473 SCOTT ST NE</t>
        </is>
      </c>
      <c r="N1215">
        <f>RIGHT(M1215,LEN(M1215)-FIND(" ",M1215))</f>
        <v/>
      </c>
      <c r="P1215" t="inlineStr">
        <is>
          <t>WARREN</t>
        </is>
      </c>
      <c r="Q1215" t="inlineStr">
        <is>
          <t>OH</t>
        </is>
      </c>
      <c r="R1215" t="n">
        <v>44483</v>
      </c>
      <c r="AD1215" t="inlineStr">
        <is>
          <t>TRUMBULL CAREER &amp; TECH CENTER</t>
        </is>
      </c>
      <c r="AE1215" t="inlineStr">
        <is>
          <t>WARREN CITY</t>
        </is>
      </c>
      <c r="AF1215" t="inlineStr">
        <is>
          <t>WARREN CITY SD</t>
        </is>
      </c>
      <c r="AH1215" t="n">
        <v>14</v>
      </c>
      <c r="AI1215" t="n">
        <v>11</v>
      </c>
      <c r="AN1215" t="inlineStr">
        <is>
          <t>WARREN</t>
        </is>
      </c>
      <c r="AO1215" t="inlineStr">
        <is>
          <t>WARREN CITY 4D</t>
        </is>
      </c>
      <c r="AP1215" t="inlineStr">
        <is>
          <t>78-P-ADL</t>
        </is>
      </c>
      <c r="AQ1215" t="n">
        <v>9</v>
      </c>
      <c r="AR1215" t="n">
        <v>64</v>
      </c>
      <c r="AS1215" t="n">
        <v>32</v>
      </c>
      <c r="AU1215">
        <f>COUNTA($BA$1215:$EH$1215)</f>
        <v/>
      </c>
      <c r="AV1215">
        <f>COUNTIF($BA$1215:$EH$1215,"D")</f>
        <v/>
      </c>
      <c r="AW1215">
        <f>COUNTIF($BA$1215:$EH$1215,"R")</f>
        <v/>
      </c>
      <c r="AX1215">
        <f>IF(BN1215="D",1,0)+IF(BO1215="D",1,0)+IF(BT1215="D",1,0)+IF(BU1215="D",1,0)+IF(BW1215="D",1,0)+IF(CC1215="D",1,0)+IF(CD1215="D",1,0)+IF(CE1215="D",1,0)+IF(CF1215="D",1,0)+IF(CL1215="D",1,0)+IF(CM1215="D",1,0)+IF(CQ1215="D",1,0)+IF(CR1215="D",1,0)+IF(CS1215="D",1,0)+IF(CW1215="D",1,0)+IF(CX1215="D",1,0)+IF(DD1215="D",1,0)+IF(DE1215="D",1,0)+IF(DJ1215="D",1,0)+IF(DK1215="D",1,0)+IF(DO1215="D",1,0)+IF(DP1215="D",1,0)+IF(DQ1215="D",1,0)+IF(DW1215="D",1,0)+IF(DZ1215="D",1,0)+IF(EH1215="D",1,0)</f>
        <v/>
      </c>
      <c r="AY1215">
        <f>IF(DJ1215&lt;&gt;"",1,0)+IF(DK1215&lt;&gt;"",1,0)+IF(DM1215&lt;&gt;"",1,0)+IF(DO1215&lt;&gt;"",1,0)+IF(DP1215&lt;&gt;"",1,0)+IF(DQ1215&lt;&gt;"",1,0)+IF(DS1215&lt;&gt;"",1,0)+IF(DT1215&lt;&gt;"",1,0)+IF(DV1215&lt;&gt;"",1,0)+IF(DW1215&lt;&gt;"",1,0)+IF(DX1215&lt;&gt;"",1,0)+IF(DY1215&lt;&gt;"",1,0)+IF(DZ1215&lt;&gt;"",1,0)+IF(EB1215&lt;&gt;"",1,0)+IF(EC1215&lt;&gt;"",1,0)+IF(ED1215&lt;&gt;"",1,0)+IF(EG1215&lt;&gt;"",1,0)+IF(EH1215&lt;&gt;"",1,0)</f>
        <v/>
      </c>
      <c r="AZ1215">
        <f>IF(EH1215&lt;&gt;"",1,0)</f>
        <v/>
      </c>
      <c r="BB1215" t="inlineStr">
        <is>
          <t>WARREN-WARD 4</t>
        </is>
      </c>
      <c r="BJ1215" t="inlineStr">
        <is>
          <t>X</t>
        </is>
      </c>
      <c r="BL1215" t="inlineStr">
        <is>
          <t>X</t>
        </is>
      </c>
      <c r="BP1215" t="inlineStr">
        <is>
          <t>X</t>
        </is>
      </c>
      <c r="BR1215" t="inlineStr">
        <is>
          <t>X</t>
        </is>
      </c>
      <c r="BS1215" t="inlineStr">
        <is>
          <t>X</t>
        </is>
      </c>
      <c r="BV1215" t="inlineStr">
        <is>
          <t>X</t>
        </is>
      </c>
      <c r="BY1215" t="inlineStr">
        <is>
          <t>R</t>
        </is>
      </c>
      <c r="CA1215" t="inlineStr">
        <is>
          <t>X</t>
        </is>
      </c>
      <c r="CG1215" t="inlineStr">
        <is>
          <t>X</t>
        </is>
      </c>
      <c r="CH1215" t="inlineStr">
        <is>
          <t>R</t>
        </is>
      </c>
      <c r="CK1215" t="inlineStr">
        <is>
          <t>X</t>
        </is>
      </c>
      <c r="CN1215" t="inlineStr">
        <is>
          <t>X</t>
        </is>
      </c>
      <c r="CO1215" t="inlineStr">
        <is>
          <t>R</t>
        </is>
      </c>
      <c r="CP1215" t="inlineStr">
        <is>
          <t>X</t>
        </is>
      </c>
      <c r="CT1215" t="inlineStr">
        <is>
          <t>X</t>
        </is>
      </c>
      <c r="CU1215" t="inlineStr">
        <is>
          <t>R</t>
        </is>
      </c>
      <c r="CV1215" t="inlineStr">
        <is>
          <t>X</t>
        </is>
      </c>
      <c r="CY1215" t="inlineStr">
        <is>
          <t>X</t>
        </is>
      </c>
      <c r="CZ1215" t="inlineStr">
        <is>
          <t>R</t>
        </is>
      </c>
      <c r="DC1215" t="inlineStr">
        <is>
          <t>X</t>
        </is>
      </c>
      <c r="DF1215" t="inlineStr">
        <is>
          <t>X</t>
        </is>
      </c>
      <c r="DG1215" t="inlineStr">
        <is>
          <t>R</t>
        </is>
      </c>
      <c r="DI1215" t="inlineStr">
        <is>
          <t>X</t>
        </is>
      </c>
      <c r="DM1215" t="inlineStr">
        <is>
          <t>R</t>
        </is>
      </c>
      <c r="DN1215" t="inlineStr">
        <is>
          <t>X</t>
        </is>
      </c>
      <c r="DR1215" t="inlineStr">
        <is>
          <t>X</t>
        </is>
      </c>
      <c r="DS1215" t="inlineStr">
        <is>
          <t>R</t>
        </is>
      </c>
      <c r="DU1215" t="inlineStr">
        <is>
          <t>X</t>
        </is>
      </c>
      <c r="DX1215" t="inlineStr">
        <is>
          <t>X</t>
        </is>
      </c>
      <c r="EA1215" t="inlineStr">
        <is>
          <t>X</t>
        </is>
      </c>
      <c r="ED1215" t="inlineStr">
        <is>
          <t>R</t>
        </is>
      </c>
      <c r="EF1215" t="inlineStr">
        <is>
          <t>X</t>
        </is>
      </c>
    </row>
    <row r="1216">
      <c r="A1216" t="inlineStr">
        <is>
          <t>OH0015738027</t>
        </is>
      </c>
      <c r="B1216" t="n">
        <v>78</v>
      </c>
      <c r="C1216" t="n">
        <v>223802</v>
      </c>
      <c r="D1216" t="inlineStr">
        <is>
          <t>THOMPSON</t>
        </is>
      </c>
      <c r="E1216" t="inlineStr">
        <is>
          <t>YVONNE</t>
        </is>
      </c>
      <c r="F1216">
        <f>CONCATENATE(D1216," ",LEFT(H1216,4),"T=",AU1216,"D=",AV1216,"R=",AW1216,"M=",AX1216,"L=",AY1216,"B=",AZ1216)</f>
        <v/>
      </c>
      <c r="G1216" t="inlineStr">
        <is>
          <t>E</t>
        </is>
      </c>
      <c r="I1216" t="inlineStr">
        <is>
          <t>1958-11-20</t>
        </is>
      </c>
      <c r="J1216" t="inlineStr">
        <is>
          <t>2024-08-03</t>
        </is>
      </c>
      <c r="K1216" t="inlineStr">
        <is>
          <t>ACTIVE</t>
        </is>
      </c>
      <c r="L1216" t="inlineStr">
        <is>
          <t>D</t>
        </is>
      </c>
      <c r="M1216" t="inlineStr">
        <is>
          <t>124 LOGAN AVE NE</t>
        </is>
      </c>
      <c r="N1216">
        <f>RIGHT(M1216,LEN(M1216)-FIND(" ",M1216))</f>
        <v/>
      </c>
      <c r="O1216" t="inlineStr">
        <is>
          <t>APT A</t>
        </is>
      </c>
      <c r="P1216" t="inlineStr">
        <is>
          <t>WARREN</t>
        </is>
      </c>
      <c r="Q1216" t="inlineStr">
        <is>
          <t>OH</t>
        </is>
      </c>
      <c r="R1216" t="n">
        <v>44483</v>
      </c>
      <c r="AD1216" t="inlineStr">
        <is>
          <t>TRUMBULL CAREER &amp; TECH CENTER</t>
        </is>
      </c>
      <c r="AE1216" t="inlineStr">
        <is>
          <t>WARREN CITY</t>
        </is>
      </c>
      <c r="AF1216" t="inlineStr">
        <is>
          <t>WARREN CITY SD</t>
        </is>
      </c>
      <c r="AH1216" t="n">
        <v>14</v>
      </c>
      <c r="AI1216" t="n">
        <v>11</v>
      </c>
      <c r="AN1216" t="inlineStr">
        <is>
          <t>WARREN</t>
        </is>
      </c>
      <c r="AO1216" t="inlineStr">
        <is>
          <t>WARREN CITY 4D</t>
        </is>
      </c>
      <c r="AP1216" t="inlineStr">
        <is>
          <t>78-P-ADL</t>
        </is>
      </c>
      <c r="AQ1216" t="n">
        <v>9</v>
      </c>
      <c r="AR1216" t="n">
        <v>64</v>
      </c>
      <c r="AS1216" t="n">
        <v>32</v>
      </c>
      <c r="AU1216">
        <f>COUNTA($BA$1216:$EH$1216)</f>
        <v/>
      </c>
      <c r="AV1216">
        <f>COUNTIF($BA$1216:$EH$1216,"D")</f>
        <v/>
      </c>
      <c r="AW1216">
        <f>COUNTIF($BA$1216:$EH$1216,"R")</f>
        <v/>
      </c>
      <c r="AX1216">
        <f>IF(BN1216="D",1,0)+IF(BO1216="D",1,0)+IF(BT1216="D",1,0)+IF(BU1216="D",1,0)+IF(BW1216="D",1,0)+IF(CC1216="D",1,0)+IF(CD1216="D",1,0)+IF(CE1216="D",1,0)+IF(CF1216="D",1,0)+IF(CL1216="D",1,0)+IF(CM1216="D",1,0)+IF(CQ1216="D",1,0)+IF(CR1216="D",1,0)+IF(CS1216="D",1,0)+IF(CW1216="D",1,0)+IF(CX1216="D",1,0)+IF(DD1216="D",1,0)+IF(DE1216="D",1,0)+IF(DJ1216="D",1,0)+IF(DK1216="D",1,0)+IF(DO1216="D",1,0)+IF(DP1216="D",1,0)+IF(DQ1216="D",1,0)+IF(DW1216="D",1,0)+IF(DZ1216="D",1,0)+IF(EH1216="D",1,0)</f>
        <v/>
      </c>
      <c r="AY1216">
        <f>IF(DJ1216&lt;&gt;"",1,0)+IF(DK1216&lt;&gt;"",1,0)+IF(DM1216&lt;&gt;"",1,0)+IF(DO1216&lt;&gt;"",1,0)+IF(DP1216&lt;&gt;"",1,0)+IF(DQ1216&lt;&gt;"",1,0)+IF(DS1216&lt;&gt;"",1,0)+IF(DT1216&lt;&gt;"",1,0)+IF(DV1216&lt;&gt;"",1,0)+IF(DW1216&lt;&gt;"",1,0)+IF(DX1216&lt;&gt;"",1,0)+IF(DY1216&lt;&gt;"",1,0)+IF(DZ1216&lt;&gt;"",1,0)+IF(EB1216&lt;&gt;"",1,0)+IF(EC1216&lt;&gt;"",1,0)+IF(ED1216&lt;&gt;"",1,0)+IF(EG1216&lt;&gt;"",1,0)+IF(EH1216&lt;&gt;"",1,0)</f>
        <v/>
      </c>
      <c r="AZ1216">
        <f>IF(EH1216&lt;&gt;"",1,0)</f>
        <v/>
      </c>
      <c r="BB1216" t="inlineStr">
        <is>
          <t>WARREN-WARD 4</t>
        </is>
      </c>
      <c r="BD1216" t="inlineStr">
        <is>
          <t>X</t>
        </is>
      </c>
      <c r="BH1216" t="inlineStr">
        <is>
          <t>X</t>
        </is>
      </c>
      <c r="BL1216" t="inlineStr">
        <is>
          <t>X</t>
        </is>
      </c>
      <c r="BS1216" t="inlineStr">
        <is>
          <t>X</t>
        </is>
      </c>
      <c r="BT1216" t="inlineStr">
        <is>
          <t>X</t>
        </is>
      </c>
      <c r="CA1216" t="inlineStr">
        <is>
          <t>X</t>
        </is>
      </c>
      <c r="CG1216" t="inlineStr">
        <is>
          <t>X</t>
        </is>
      </c>
      <c r="CP1216" t="inlineStr">
        <is>
          <t>X</t>
        </is>
      </c>
      <c r="CV1216" t="inlineStr">
        <is>
          <t>X</t>
        </is>
      </c>
      <c r="DC1216" t="inlineStr">
        <is>
          <t>X</t>
        </is>
      </c>
      <c r="DH1216" t="inlineStr">
        <is>
          <t>X</t>
        </is>
      </c>
      <c r="DI1216" t="inlineStr">
        <is>
          <t>X</t>
        </is>
      </c>
      <c r="DM1216" t="inlineStr">
        <is>
          <t>D</t>
        </is>
      </c>
      <c r="DN1216" t="inlineStr">
        <is>
          <t>X</t>
        </is>
      </c>
      <c r="DS1216" t="inlineStr">
        <is>
          <t>D</t>
        </is>
      </c>
      <c r="DT1216" t="inlineStr">
        <is>
          <t>D</t>
        </is>
      </c>
      <c r="DU1216" t="inlineStr">
        <is>
          <t>X</t>
        </is>
      </c>
      <c r="EF1216" t="inlineStr">
        <is>
          <t>X</t>
        </is>
      </c>
    </row>
    <row r="1217">
      <c r="A1217" t="inlineStr">
        <is>
          <t>OH0027623303</t>
        </is>
      </c>
      <c r="B1217" t="n">
        <v>78</v>
      </c>
      <c r="C1217" t="n">
        <v>489565</v>
      </c>
      <c r="D1217" t="inlineStr">
        <is>
          <t>RYDER</t>
        </is>
      </c>
      <c r="E1217" t="inlineStr">
        <is>
          <t>THOMAS</t>
        </is>
      </c>
      <c r="F1217">
        <f>CONCATENATE(D1217," ",LEFT(H1217,4),"T=",AU1217,"D=",AV1217,"R=",AW1217,"M=",AX1217,"L=",AY1217,"B=",AZ1217)</f>
        <v/>
      </c>
      <c r="G1217" t="inlineStr">
        <is>
          <t>BENJAMIN</t>
        </is>
      </c>
      <c r="I1217" t="inlineStr">
        <is>
          <t>1982-05-29</t>
        </is>
      </c>
      <c r="J1217" t="inlineStr">
        <is>
          <t>2024-09-06</t>
        </is>
      </c>
      <c r="K1217" t="inlineStr">
        <is>
          <t>ACTIVE</t>
        </is>
      </c>
      <c r="M1217" t="inlineStr">
        <is>
          <t>454 OLIVE AVE NE</t>
        </is>
      </c>
      <c r="N1217">
        <f>RIGHT(M1217,LEN(M1217)-FIND(" ",M1217))</f>
        <v/>
      </c>
      <c r="P1217" t="inlineStr">
        <is>
          <t>WARREN</t>
        </is>
      </c>
      <c r="Q1217" t="inlineStr">
        <is>
          <t>OH</t>
        </is>
      </c>
      <c r="R1217" t="n">
        <v>44483</v>
      </c>
      <c r="AD1217" t="inlineStr">
        <is>
          <t>TRUMBULL CAREER &amp; TECH CENTER</t>
        </is>
      </c>
      <c r="AE1217" t="inlineStr">
        <is>
          <t>WARREN CITY</t>
        </is>
      </c>
      <c r="AF1217" t="inlineStr">
        <is>
          <t>WARREN CITY SD</t>
        </is>
      </c>
      <c r="AH1217" t="n">
        <v>14</v>
      </c>
      <c r="AI1217" t="n">
        <v>11</v>
      </c>
      <c r="AN1217" t="inlineStr">
        <is>
          <t>WARREN</t>
        </is>
      </c>
      <c r="AO1217" t="inlineStr">
        <is>
          <t>WARREN CITY 4D</t>
        </is>
      </c>
      <c r="AP1217" t="inlineStr">
        <is>
          <t>78-P-ADL</t>
        </is>
      </c>
      <c r="AQ1217" t="n">
        <v>9</v>
      </c>
      <c r="AR1217" t="n">
        <v>64</v>
      </c>
      <c r="AS1217" t="n">
        <v>32</v>
      </c>
      <c r="AU1217">
        <f>COUNTA($BA$1217:$EH$1217)</f>
        <v/>
      </c>
      <c r="AV1217">
        <f>COUNTIF($BA$1217:$EH$1217,"D")</f>
        <v/>
      </c>
      <c r="AW1217">
        <f>COUNTIF($BA$1217:$EH$1217,"R")</f>
        <v/>
      </c>
      <c r="AX1217">
        <f>IF(BN1217="D",1,0)+IF(BO1217="D",1,0)+IF(BT1217="D",1,0)+IF(BU1217="D",1,0)+IF(BW1217="D",1,0)+IF(CC1217="D",1,0)+IF(CD1217="D",1,0)+IF(CE1217="D",1,0)+IF(CF1217="D",1,0)+IF(CL1217="D",1,0)+IF(CM1217="D",1,0)+IF(CQ1217="D",1,0)+IF(CR1217="D",1,0)+IF(CS1217="D",1,0)+IF(CW1217="D",1,0)+IF(CX1217="D",1,0)+IF(DD1217="D",1,0)+IF(DE1217="D",1,0)+IF(DJ1217="D",1,0)+IF(DK1217="D",1,0)+IF(DO1217="D",1,0)+IF(DP1217="D",1,0)+IF(DQ1217="D",1,0)+IF(DW1217="D",1,0)+IF(DZ1217="D",1,0)+IF(EH1217="D",1,0)</f>
        <v/>
      </c>
      <c r="AY1217">
        <f>IF(DJ1217&lt;&gt;"",1,0)+IF(DK1217&lt;&gt;"",1,0)+IF(DM1217&lt;&gt;"",1,0)+IF(DO1217&lt;&gt;"",1,0)+IF(DP1217&lt;&gt;"",1,0)+IF(DQ1217&lt;&gt;"",1,0)+IF(DS1217&lt;&gt;"",1,0)+IF(DT1217&lt;&gt;"",1,0)+IF(DV1217&lt;&gt;"",1,0)+IF(DW1217&lt;&gt;"",1,0)+IF(DX1217&lt;&gt;"",1,0)+IF(DY1217&lt;&gt;"",1,0)+IF(DZ1217&lt;&gt;"",1,0)+IF(EB1217&lt;&gt;"",1,0)+IF(EC1217&lt;&gt;"",1,0)+IF(ED1217&lt;&gt;"",1,0)+IF(EG1217&lt;&gt;"",1,0)+IF(EH1217&lt;&gt;"",1,0)</f>
        <v/>
      </c>
      <c r="AZ1217">
        <f>IF(EH1217&lt;&gt;"",1,0)</f>
        <v/>
      </c>
      <c r="BB1217" t="inlineStr">
        <is>
          <t>WARREN-WARD 4</t>
        </is>
      </c>
      <c r="BF1217" t="inlineStr">
        <is>
          <t>X</t>
        </is>
      </c>
      <c r="BH1217" t="inlineStr">
        <is>
          <t>X</t>
        </is>
      </c>
      <c r="BL1217" t="inlineStr">
        <is>
          <t>X</t>
        </is>
      </c>
      <c r="CA1217" t="inlineStr">
        <is>
          <t>X</t>
        </is>
      </c>
      <c r="EF1217" t="inlineStr">
        <is>
          <t>X</t>
        </is>
      </c>
    </row>
    <row r="1218">
      <c r="A1218" t="inlineStr">
        <is>
          <t>OH0026445149</t>
        </is>
      </c>
      <c r="B1218" t="n">
        <v>78</v>
      </c>
      <c r="C1218" t="n">
        <v>462384</v>
      </c>
      <c r="D1218" t="inlineStr">
        <is>
          <t>HOWARD</t>
        </is>
      </c>
      <c r="E1218" t="inlineStr">
        <is>
          <t>SARAH</t>
        </is>
      </c>
      <c r="F1218">
        <f>CONCATENATE(D1218," ",LEFT(H1218,4),"T=",AU1218,"D=",AV1218,"R=",AW1218,"M=",AX1218,"L=",AY1218,"B=",AZ1218)</f>
        <v/>
      </c>
      <c r="G1218" t="inlineStr">
        <is>
          <t>DESTINY</t>
        </is>
      </c>
      <c r="I1218" t="inlineStr">
        <is>
          <t>2004-03-18</t>
        </is>
      </c>
      <c r="J1218" t="inlineStr">
        <is>
          <t>2024-08-21</t>
        </is>
      </c>
      <c r="K1218" t="inlineStr">
        <is>
          <t>ACTIVE</t>
        </is>
      </c>
      <c r="M1218" t="inlineStr">
        <is>
          <t>305 HARMON AVE NW</t>
        </is>
      </c>
      <c r="N1218">
        <f>RIGHT(M1218,LEN(M1218)-FIND(" ",M1218))</f>
        <v/>
      </c>
      <c r="O1218" t="inlineStr">
        <is>
          <t>APT 103</t>
        </is>
      </c>
      <c r="P1218" t="inlineStr">
        <is>
          <t>WARREN</t>
        </is>
      </c>
      <c r="Q1218" t="inlineStr">
        <is>
          <t>OH</t>
        </is>
      </c>
      <c r="R1218" t="n">
        <v>44483</v>
      </c>
      <c r="AD1218" t="inlineStr">
        <is>
          <t>TRUMBULL CAREER &amp; TECH CENTER</t>
        </is>
      </c>
      <c r="AE1218" t="inlineStr">
        <is>
          <t>WARREN CITY</t>
        </is>
      </c>
      <c r="AF1218" t="inlineStr">
        <is>
          <t>WARREN CITY SD</t>
        </is>
      </c>
      <c r="AH1218" t="n">
        <v>14</v>
      </c>
      <c r="AI1218" t="n">
        <v>11</v>
      </c>
      <c r="AN1218" t="inlineStr">
        <is>
          <t>WARREN</t>
        </is>
      </c>
      <c r="AO1218" t="inlineStr">
        <is>
          <t>WARREN CITY 4D</t>
        </is>
      </c>
      <c r="AP1218" t="inlineStr">
        <is>
          <t>78-P-ADL</t>
        </is>
      </c>
      <c r="AQ1218" t="n">
        <v>9</v>
      </c>
      <c r="AR1218" t="n">
        <v>64</v>
      </c>
      <c r="AS1218" t="n">
        <v>32</v>
      </c>
      <c r="AU1218">
        <f>COUNTA($BA$1218:$EH$1218)</f>
        <v/>
      </c>
      <c r="AV1218">
        <f>COUNTIF($BA$1218:$EH$1218,"D")</f>
        <v/>
      </c>
      <c r="AW1218">
        <f>COUNTIF($BA$1218:$EH$1218,"R")</f>
        <v/>
      </c>
      <c r="AX1218">
        <f>IF(BN1218="D",1,0)+IF(BO1218="D",1,0)+IF(BT1218="D",1,0)+IF(BU1218="D",1,0)+IF(BW1218="D",1,0)+IF(CC1218="D",1,0)+IF(CD1218="D",1,0)+IF(CE1218="D",1,0)+IF(CF1218="D",1,0)+IF(CL1218="D",1,0)+IF(CM1218="D",1,0)+IF(CQ1218="D",1,0)+IF(CR1218="D",1,0)+IF(CS1218="D",1,0)+IF(CW1218="D",1,0)+IF(CX1218="D",1,0)+IF(DD1218="D",1,0)+IF(DE1218="D",1,0)+IF(DJ1218="D",1,0)+IF(DK1218="D",1,0)+IF(DO1218="D",1,0)+IF(DP1218="D",1,0)+IF(DQ1218="D",1,0)+IF(DW1218="D",1,0)+IF(DZ1218="D",1,0)+IF(EH1218="D",1,0)</f>
        <v/>
      </c>
      <c r="AY1218">
        <f>IF(DJ1218&lt;&gt;"",1,0)+IF(DK1218&lt;&gt;"",1,0)+IF(DM1218&lt;&gt;"",1,0)+IF(DO1218&lt;&gt;"",1,0)+IF(DP1218&lt;&gt;"",1,0)+IF(DQ1218&lt;&gt;"",1,0)+IF(DS1218&lt;&gt;"",1,0)+IF(DT1218&lt;&gt;"",1,0)+IF(DV1218&lt;&gt;"",1,0)+IF(DW1218&lt;&gt;"",1,0)+IF(DX1218&lt;&gt;"",1,0)+IF(DY1218&lt;&gt;"",1,0)+IF(DZ1218&lt;&gt;"",1,0)+IF(EB1218&lt;&gt;"",1,0)+IF(EC1218&lt;&gt;"",1,0)+IF(ED1218&lt;&gt;"",1,0)+IF(EG1218&lt;&gt;"",1,0)+IF(EH1218&lt;&gt;"",1,0)</f>
        <v/>
      </c>
      <c r="AZ1218">
        <f>IF(EH1218&lt;&gt;"",1,0)</f>
        <v/>
      </c>
      <c r="BB1218" t="inlineStr">
        <is>
          <t>WARREN-WARD 4</t>
        </is>
      </c>
      <c r="DU1218" t="inlineStr">
        <is>
          <t>X</t>
        </is>
      </c>
    </row>
    <row r="1219">
      <c r="A1219" t="inlineStr">
        <is>
          <t>OH0025372871</t>
        </is>
      </c>
      <c r="B1219" t="n">
        <v>78</v>
      </c>
      <c r="C1219" t="n">
        <v>443365</v>
      </c>
      <c r="D1219" t="inlineStr">
        <is>
          <t>OLIVER</t>
        </is>
      </c>
      <c r="E1219" t="inlineStr">
        <is>
          <t>BYANCAH</t>
        </is>
      </c>
      <c r="F1219">
        <f>CONCATENATE(D1219," ",LEFT(H1219,4),"T=",AU1219,"D=",AV1219,"R=",AW1219,"M=",AX1219,"L=",AY1219,"B=",AZ1219)</f>
        <v/>
      </c>
      <c r="G1219" t="inlineStr">
        <is>
          <t>N</t>
        </is>
      </c>
      <c r="I1219" t="inlineStr">
        <is>
          <t>2001-12-19</t>
        </is>
      </c>
      <c r="J1219" t="inlineStr">
        <is>
          <t>2025-01-17</t>
        </is>
      </c>
      <c r="K1219" t="inlineStr">
        <is>
          <t>ACTIVE</t>
        </is>
      </c>
      <c r="M1219" t="inlineStr">
        <is>
          <t>340 VINE AVE NE</t>
        </is>
      </c>
      <c r="N1219">
        <f>RIGHT(M1219,LEN(M1219)-FIND(" ",M1219))</f>
        <v/>
      </c>
      <c r="P1219" t="inlineStr">
        <is>
          <t>WARREN</t>
        </is>
      </c>
      <c r="Q1219" t="inlineStr">
        <is>
          <t>OH</t>
        </is>
      </c>
      <c r="R1219" t="n">
        <v>44483</v>
      </c>
      <c r="AD1219" t="inlineStr">
        <is>
          <t>TRUMBULL CAREER &amp; TECH CENTER</t>
        </is>
      </c>
      <c r="AE1219" t="inlineStr">
        <is>
          <t>WARREN CITY</t>
        </is>
      </c>
      <c r="AF1219" t="inlineStr">
        <is>
          <t>WARREN CITY SD</t>
        </is>
      </c>
      <c r="AH1219" t="n">
        <v>14</v>
      </c>
      <c r="AI1219" t="n">
        <v>11</v>
      </c>
      <c r="AN1219" t="inlineStr">
        <is>
          <t>WARREN</t>
        </is>
      </c>
      <c r="AO1219" t="inlineStr">
        <is>
          <t>WARREN CITY 4D</t>
        </is>
      </c>
      <c r="AP1219" t="inlineStr">
        <is>
          <t>78-P-ADL</t>
        </is>
      </c>
      <c r="AQ1219" t="n">
        <v>9</v>
      </c>
      <c r="AR1219" t="n">
        <v>64</v>
      </c>
      <c r="AS1219" t="n">
        <v>32</v>
      </c>
      <c r="AU1219">
        <f>COUNTA($BA$1219:$EH$1219)</f>
        <v/>
      </c>
      <c r="AV1219">
        <f>COUNTIF($BA$1219:$EH$1219,"D")</f>
        <v/>
      </c>
      <c r="AW1219">
        <f>COUNTIF($BA$1219:$EH$1219,"R")</f>
        <v/>
      </c>
      <c r="AX1219">
        <f>IF(BN1219="D",1,0)+IF(BO1219="D",1,0)+IF(BT1219="D",1,0)+IF(BU1219="D",1,0)+IF(BW1219="D",1,0)+IF(CC1219="D",1,0)+IF(CD1219="D",1,0)+IF(CE1219="D",1,0)+IF(CF1219="D",1,0)+IF(CL1219="D",1,0)+IF(CM1219="D",1,0)+IF(CQ1219="D",1,0)+IF(CR1219="D",1,0)+IF(CS1219="D",1,0)+IF(CW1219="D",1,0)+IF(CX1219="D",1,0)+IF(DD1219="D",1,0)+IF(DE1219="D",1,0)+IF(DJ1219="D",1,0)+IF(DK1219="D",1,0)+IF(DO1219="D",1,0)+IF(DP1219="D",1,0)+IF(DQ1219="D",1,0)+IF(DW1219="D",1,0)+IF(DZ1219="D",1,0)+IF(EH1219="D",1,0)</f>
        <v/>
      </c>
      <c r="AY1219">
        <f>IF(DJ1219&lt;&gt;"",1,0)+IF(DK1219&lt;&gt;"",1,0)+IF(DM1219&lt;&gt;"",1,0)+IF(DO1219&lt;&gt;"",1,0)+IF(DP1219&lt;&gt;"",1,0)+IF(DQ1219&lt;&gt;"",1,0)+IF(DS1219&lt;&gt;"",1,0)+IF(DT1219&lt;&gt;"",1,0)+IF(DV1219&lt;&gt;"",1,0)+IF(DW1219&lt;&gt;"",1,0)+IF(DX1219&lt;&gt;"",1,0)+IF(DY1219&lt;&gt;"",1,0)+IF(DZ1219&lt;&gt;"",1,0)+IF(EB1219&lt;&gt;"",1,0)+IF(EC1219&lt;&gt;"",1,0)+IF(ED1219&lt;&gt;"",1,0)+IF(EG1219&lt;&gt;"",1,0)+IF(EH1219&lt;&gt;"",1,0)</f>
        <v/>
      </c>
      <c r="AZ1219">
        <f>IF(EH1219&lt;&gt;"",1,0)</f>
        <v/>
      </c>
      <c r="BB1219" t="inlineStr">
        <is>
          <t>WARREN-WARD 4</t>
        </is>
      </c>
      <c r="EF1219" t="inlineStr">
        <is>
          <t>X</t>
        </is>
      </c>
    </row>
    <row r="1220">
      <c r="A1220" t="inlineStr">
        <is>
          <t>OH0021780779</t>
        </is>
      </c>
      <c r="B1220" t="n">
        <v>78</v>
      </c>
      <c r="C1220" t="n">
        <v>387170</v>
      </c>
      <c r="D1220" t="inlineStr">
        <is>
          <t>GOODMAN</t>
        </is>
      </c>
      <c r="E1220" t="inlineStr">
        <is>
          <t>JEFFREY</t>
        </is>
      </c>
      <c r="F1220">
        <f>CONCATENATE(D1220," ",LEFT(H1220,4),"T=",AU1220,"D=",AV1220,"R=",AW1220,"M=",AX1220,"L=",AY1220,"B=",AZ1220)</f>
        <v/>
      </c>
      <c r="G1220" t="inlineStr">
        <is>
          <t>V</t>
        </is>
      </c>
      <c r="I1220" t="inlineStr">
        <is>
          <t>1963-04-06</t>
        </is>
      </c>
      <c r="J1220" t="inlineStr">
        <is>
          <t>2015-05-01</t>
        </is>
      </c>
      <c r="K1220" t="inlineStr">
        <is>
          <t>ACTIVE</t>
        </is>
      </c>
      <c r="L1220" t="inlineStr">
        <is>
          <t>D</t>
        </is>
      </c>
      <c r="M1220" t="inlineStr">
        <is>
          <t>174 N PARK AVE</t>
        </is>
      </c>
      <c r="N1220">
        <f>RIGHT(M1220,LEN(M1220)-FIND(" ",M1220))</f>
        <v/>
      </c>
      <c r="P1220" t="inlineStr">
        <is>
          <t>WARREN</t>
        </is>
      </c>
      <c r="Q1220" t="inlineStr">
        <is>
          <t>OH</t>
        </is>
      </c>
      <c r="R1220" t="n">
        <v>44481</v>
      </c>
      <c r="AD1220" t="inlineStr">
        <is>
          <t>TRUMBULL CAREER &amp; TECH CENTER</t>
        </is>
      </c>
      <c r="AE1220" t="inlineStr">
        <is>
          <t>WARREN CITY</t>
        </is>
      </c>
      <c r="AF1220" t="inlineStr">
        <is>
          <t>WARREN CITY SD</t>
        </is>
      </c>
      <c r="AH1220" t="n">
        <v>14</v>
      </c>
      <c r="AI1220" t="n">
        <v>11</v>
      </c>
      <c r="AN1220" t="inlineStr">
        <is>
          <t>WARREN</t>
        </is>
      </c>
      <c r="AO1220" t="inlineStr">
        <is>
          <t>WARREN CITY 4D</t>
        </is>
      </c>
      <c r="AP1220" t="inlineStr">
        <is>
          <t>78-P-ADL</t>
        </is>
      </c>
      <c r="AQ1220" t="n">
        <v>9</v>
      </c>
      <c r="AR1220" t="n">
        <v>64</v>
      </c>
      <c r="AS1220" t="n">
        <v>32</v>
      </c>
      <c r="AU1220">
        <f>COUNTA($BA$1220:$EH$1220)</f>
        <v/>
      </c>
      <c r="AV1220">
        <f>COUNTIF($BA$1220:$EH$1220,"D")</f>
        <v/>
      </c>
      <c r="AW1220">
        <f>COUNTIF($BA$1220:$EH$1220,"R")</f>
        <v/>
      </c>
      <c r="AX1220">
        <f>IF(BN1220="D",1,0)+IF(BO1220="D",1,0)+IF(BT1220="D",1,0)+IF(BU1220="D",1,0)+IF(BW1220="D",1,0)+IF(CC1220="D",1,0)+IF(CD1220="D",1,0)+IF(CE1220="D",1,0)+IF(CF1220="D",1,0)+IF(CL1220="D",1,0)+IF(CM1220="D",1,0)+IF(CQ1220="D",1,0)+IF(CR1220="D",1,0)+IF(CS1220="D",1,0)+IF(CW1220="D",1,0)+IF(CX1220="D",1,0)+IF(DD1220="D",1,0)+IF(DE1220="D",1,0)+IF(DJ1220="D",1,0)+IF(DK1220="D",1,0)+IF(DO1220="D",1,0)+IF(DP1220="D",1,0)+IF(DQ1220="D",1,0)+IF(DW1220="D",1,0)+IF(DZ1220="D",1,0)+IF(EH1220="D",1,0)</f>
        <v/>
      </c>
      <c r="AY1220">
        <f>IF(DJ1220&lt;&gt;"",1,0)+IF(DK1220&lt;&gt;"",1,0)+IF(DM1220&lt;&gt;"",1,0)+IF(DO1220&lt;&gt;"",1,0)+IF(DP1220&lt;&gt;"",1,0)+IF(DQ1220&lt;&gt;"",1,0)+IF(DS1220&lt;&gt;"",1,0)+IF(DT1220&lt;&gt;"",1,0)+IF(DV1220&lt;&gt;"",1,0)+IF(DW1220&lt;&gt;"",1,0)+IF(DX1220&lt;&gt;"",1,0)+IF(DY1220&lt;&gt;"",1,0)+IF(DZ1220&lt;&gt;"",1,0)+IF(EB1220&lt;&gt;"",1,0)+IF(EC1220&lt;&gt;"",1,0)+IF(ED1220&lt;&gt;"",1,0)+IF(EG1220&lt;&gt;"",1,0)+IF(EH1220&lt;&gt;"",1,0)</f>
        <v/>
      </c>
      <c r="AZ1220">
        <f>IF(EH1220&lt;&gt;"",1,0)</f>
        <v/>
      </c>
      <c r="BB1220" t="inlineStr">
        <is>
          <t>WARREN-WARD 4</t>
        </is>
      </c>
      <c r="BC1220" t="inlineStr">
        <is>
          <t>D</t>
        </is>
      </c>
      <c r="BD1220" t="inlineStr">
        <is>
          <t>X</t>
        </is>
      </c>
      <c r="BG1220" t="inlineStr">
        <is>
          <t>D</t>
        </is>
      </c>
      <c r="BK1220" t="inlineStr">
        <is>
          <t>D</t>
        </is>
      </c>
      <c r="BL1220" t="inlineStr">
        <is>
          <t>X</t>
        </is>
      </c>
      <c r="BP1220" t="inlineStr">
        <is>
          <t>X</t>
        </is>
      </c>
      <c r="BS1220" t="inlineStr">
        <is>
          <t>X</t>
        </is>
      </c>
      <c r="BY1220" t="inlineStr">
        <is>
          <t>D</t>
        </is>
      </c>
      <c r="CA1220" t="inlineStr">
        <is>
          <t>X</t>
        </is>
      </c>
      <c r="CP1220" t="inlineStr">
        <is>
          <t>X</t>
        </is>
      </c>
      <c r="CT1220" t="inlineStr">
        <is>
          <t>X</t>
        </is>
      </c>
      <c r="CU1220" t="inlineStr">
        <is>
          <t>D</t>
        </is>
      </c>
      <c r="CV1220" t="inlineStr">
        <is>
          <t>X</t>
        </is>
      </c>
      <c r="CY1220" t="inlineStr">
        <is>
          <t>X</t>
        </is>
      </c>
      <c r="DC1220" t="inlineStr">
        <is>
          <t>X</t>
        </is>
      </c>
      <c r="DD1220" t="inlineStr">
        <is>
          <t>D</t>
        </is>
      </c>
      <c r="DG1220" t="inlineStr">
        <is>
          <t>D</t>
        </is>
      </c>
      <c r="DI1220" t="inlineStr">
        <is>
          <t>X</t>
        </is>
      </c>
      <c r="DJ1220" t="inlineStr">
        <is>
          <t>D</t>
        </is>
      </c>
      <c r="DL1220" t="inlineStr">
        <is>
          <t>X</t>
        </is>
      </c>
      <c r="DM1220" t="inlineStr">
        <is>
          <t>D</t>
        </is>
      </c>
      <c r="DN1220" t="inlineStr">
        <is>
          <t>X</t>
        </is>
      </c>
      <c r="DS1220" t="inlineStr">
        <is>
          <t>D</t>
        </is>
      </c>
      <c r="DU1220" t="inlineStr">
        <is>
          <t>X</t>
        </is>
      </c>
      <c r="DW1220" t="inlineStr">
        <is>
          <t>D</t>
        </is>
      </c>
      <c r="EA1220" t="inlineStr">
        <is>
          <t>X</t>
        </is>
      </c>
      <c r="ED1220" t="inlineStr">
        <is>
          <t>D</t>
        </is>
      </c>
      <c r="EF1220" t="inlineStr">
        <is>
          <t>X</t>
        </is>
      </c>
      <c r="EH1220" t="inlineStr">
        <is>
          <t>D</t>
        </is>
      </c>
    </row>
    <row r="1221">
      <c r="A1221" t="inlineStr">
        <is>
          <t>OH0022443286</t>
        </is>
      </c>
      <c r="B1221" t="n">
        <v>78</v>
      </c>
      <c r="C1221" t="n">
        <v>394178</v>
      </c>
      <c r="D1221" t="inlineStr">
        <is>
          <t>FREDERICK</t>
        </is>
      </c>
      <c r="E1221" t="inlineStr">
        <is>
          <t>MINDI</t>
        </is>
      </c>
      <c r="F1221">
        <f>CONCATENATE(D1221," ",LEFT(H1221,4),"T=",AU1221,"D=",AV1221,"R=",AW1221,"M=",AX1221,"L=",AY1221,"B=",AZ1221)</f>
        <v/>
      </c>
      <c r="G1221" t="inlineStr">
        <is>
          <t>V</t>
        </is>
      </c>
      <c r="I1221" t="inlineStr">
        <is>
          <t>1969-05-08</t>
        </is>
      </c>
      <c r="J1221" t="inlineStr">
        <is>
          <t>2025-01-09</t>
        </is>
      </c>
      <c r="K1221" t="inlineStr">
        <is>
          <t>ACTIVE</t>
        </is>
      </c>
      <c r="M1221" t="inlineStr">
        <is>
          <t>467 PORTER ST NE</t>
        </is>
      </c>
      <c r="N1221">
        <f>RIGHT(M1221,LEN(M1221)-FIND(" ",M1221))</f>
        <v/>
      </c>
      <c r="O1221" t="inlineStr">
        <is>
          <t>APT A</t>
        </is>
      </c>
      <c r="P1221" t="inlineStr">
        <is>
          <t>WARREN</t>
        </is>
      </c>
      <c r="Q1221" t="inlineStr">
        <is>
          <t>OH</t>
        </is>
      </c>
      <c r="R1221" t="n">
        <v>44483</v>
      </c>
      <c r="AD1221" t="inlineStr">
        <is>
          <t>TRUMBULL CAREER &amp; TECH CENTER</t>
        </is>
      </c>
      <c r="AE1221" t="inlineStr">
        <is>
          <t>WARREN CITY</t>
        </is>
      </c>
      <c r="AF1221" t="inlineStr">
        <is>
          <t>WARREN CITY SD</t>
        </is>
      </c>
      <c r="AH1221" t="n">
        <v>14</v>
      </c>
      <c r="AI1221" t="n">
        <v>11</v>
      </c>
      <c r="AN1221" t="inlineStr">
        <is>
          <t>WARREN</t>
        </is>
      </c>
      <c r="AO1221" t="inlineStr">
        <is>
          <t>WARREN CITY 4D</t>
        </is>
      </c>
      <c r="AP1221" t="inlineStr">
        <is>
          <t>78-P-ADL</t>
        </is>
      </c>
      <c r="AQ1221" t="n">
        <v>9</v>
      </c>
      <c r="AR1221" t="n">
        <v>64</v>
      </c>
      <c r="AS1221" t="n">
        <v>32</v>
      </c>
      <c r="AU1221">
        <f>COUNTA($BA$1221:$EH$1221)</f>
        <v/>
      </c>
      <c r="AV1221">
        <f>COUNTIF($BA$1221:$EH$1221,"D")</f>
        <v/>
      </c>
      <c r="AW1221">
        <f>COUNTIF($BA$1221:$EH$1221,"R")</f>
        <v/>
      </c>
      <c r="AX1221">
        <f>IF(BN1221="D",1,0)+IF(BO1221="D",1,0)+IF(BT1221="D",1,0)+IF(BU1221="D",1,0)+IF(BW1221="D",1,0)+IF(CC1221="D",1,0)+IF(CD1221="D",1,0)+IF(CE1221="D",1,0)+IF(CF1221="D",1,0)+IF(CL1221="D",1,0)+IF(CM1221="D",1,0)+IF(CQ1221="D",1,0)+IF(CR1221="D",1,0)+IF(CS1221="D",1,0)+IF(CW1221="D",1,0)+IF(CX1221="D",1,0)+IF(DD1221="D",1,0)+IF(DE1221="D",1,0)+IF(DJ1221="D",1,0)+IF(DK1221="D",1,0)+IF(DO1221="D",1,0)+IF(DP1221="D",1,0)+IF(DQ1221="D",1,0)+IF(DW1221="D",1,0)+IF(DZ1221="D",1,0)+IF(EH1221="D",1,0)</f>
        <v/>
      </c>
      <c r="AY1221">
        <f>IF(DJ1221&lt;&gt;"",1,0)+IF(DK1221&lt;&gt;"",1,0)+IF(DM1221&lt;&gt;"",1,0)+IF(DO1221&lt;&gt;"",1,0)+IF(DP1221&lt;&gt;"",1,0)+IF(DQ1221&lt;&gt;"",1,0)+IF(DS1221&lt;&gt;"",1,0)+IF(DT1221&lt;&gt;"",1,0)+IF(DV1221&lt;&gt;"",1,0)+IF(DW1221&lt;&gt;"",1,0)+IF(DX1221&lt;&gt;"",1,0)+IF(DY1221&lt;&gt;"",1,0)+IF(DZ1221&lt;&gt;"",1,0)+IF(EB1221&lt;&gt;"",1,0)+IF(EC1221&lt;&gt;"",1,0)+IF(ED1221&lt;&gt;"",1,0)+IF(EG1221&lt;&gt;"",1,0)+IF(EH1221&lt;&gt;"",1,0)</f>
        <v/>
      </c>
      <c r="AZ1221">
        <f>IF(EH1221&lt;&gt;"",1,0)</f>
        <v/>
      </c>
      <c r="BB1221" t="inlineStr">
        <is>
          <t>WARREN-WARD 4</t>
        </is>
      </c>
    </row>
    <row r="1222">
      <c r="A1222" t="inlineStr">
        <is>
          <t>OH0019678438</t>
        </is>
      </c>
      <c r="B1222" t="n">
        <v>78</v>
      </c>
      <c r="C1222" t="n">
        <v>357149</v>
      </c>
      <c r="D1222" t="inlineStr">
        <is>
          <t>SHRUM</t>
        </is>
      </c>
      <c r="E1222" t="inlineStr">
        <is>
          <t>LLOYD</t>
        </is>
      </c>
      <c r="F1222">
        <f>CONCATENATE(D1222," ",LEFT(H1222,4),"T=",AU1222,"D=",AV1222,"R=",AW1222,"M=",AX1222,"L=",AY1222,"B=",AZ1222)</f>
        <v/>
      </c>
      <c r="G1222" t="inlineStr">
        <is>
          <t>M</t>
        </is>
      </c>
      <c r="I1222" t="inlineStr">
        <is>
          <t>1945-03-22</t>
        </is>
      </c>
      <c r="J1222" t="inlineStr">
        <is>
          <t>2008-03-04</t>
        </is>
      </c>
      <c r="K1222" t="inlineStr">
        <is>
          <t>ACTIVE</t>
        </is>
      </c>
      <c r="L1222" t="inlineStr">
        <is>
          <t>R</t>
        </is>
      </c>
      <c r="M1222" t="inlineStr">
        <is>
          <t>553 SCOTT ST NE</t>
        </is>
      </c>
      <c r="N1222">
        <f>RIGHT(M1222,LEN(M1222)-FIND(" ",M1222))</f>
        <v/>
      </c>
      <c r="P1222" t="inlineStr">
        <is>
          <t>WARREN</t>
        </is>
      </c>
      <c r="Q1222" t="inlineStr">
        <is>
          <t>OH</t>
        </is>
      </c>
      <c r="R1222" t="n">
        <v>44483</v>
      </c>
      <c r="AD1222" t="inlineStr">
        <is>
          <t>TRUMBULL CAREER &amp; TECH CENTER</t>
        </is>
      </c>
      <c r="AE1222" t="inlineStr">
        <is>
          <t>WARREN CITY</t>
        </is>
      </c>
      <c r="AF1222" t="inlineStr">
        <is>
          <t>WARREN CITY SD</t>
        </is>
      </c>
      <c r="AH1222" t="n">
        <v>14</v>
      </c>
      <c r="AI1222" t="n">
        <v>11</v>
      </c>
      <c r="AN1222" t="inlineStr">
        <is>
          <t>WARREN</t>
        </is>
      </c>
      <c r="AO1222" t="inlineStr">
        <is>
          <t>WARREN CITY 4D</t>
        </is>
      </c>
      <c r="AP1222" t="inlineStr">
        <is>
          <t>78-P-ADL</t>
        </is>
      </c>
      <c r="AQ1222" t="n">
        <v>9</v>
      </c>
      <c r="AR1222" t="n">
        <v>64</v>
      </c>
      <c r="AS1222" t="n">
        <v>32</v>
      </c>
      <c r="AU1222">
        <f>COUNTA($BA$1222:$EH$1222)</f>
        <v/>
      </c>
      <c r="AV1222">
        <f>COUNTIF($BA$1222:$EH$1222,"D")</f>
        <v/>
      </c>
      <c r="AW1222">
        <f>COUNTIF($BA$1222:$EH$1222,"R")</f>
        <v/>
      </c>
      <c r="AX1222">
        <f>IF(BN1222="D",1,0)+IF(BO1222="D",1,0)+IF(BT1222="D",1,0)+IF(BU1222="D",1,0)+IF(BW1222="D",1,0)+IF(CC1222="D",1,0)+IF(CD1222="D",1,0)+IF(CE1222="D",1,0)+IF(CF1222="D",1,0)+IF(CL1222="D",1,0)+IF(CM1222="D",1,0)+IF(CQ1222="D",1,0)+IF(CR1222="D",1,0)+IF(CS1222="D",1,0)+IF(CW1222="D",1,0)+IF(CX1222="D",1,0)+IF(DD1222="D",1,0)+IF(DE1222="D",1,0)+IF(DJ1222="D",1,0)+IF(DK1222="D",1,0)+IF(DO1222="D",1,0)+IF(DP1222="D",1,0)+IF(DQ1222="D",1,0)+IF(DW1222="D",1,0)+IF(DZ1222="D",1,0)+IF(EH1222="D",1,0)</f>
        <v/>
      </c>
      <c r="AY1222">
        <f>IF(DJ1222&lt;&gt;"",1,0)+IF(DK1222&lt;&gt;"",1,0)+IF(DM1222&lt;&gt;"",1,0)+IF(DO1222&lt;&gt;"",1,0)+IF(DP1222&lt;&gt;"",1,0)+IF(DQ1222&lt;&gt;"",1,0)+IF(DS1222&lt;&gt;"",1,0)+IF(DT1222&lt;&gt;"",1,0)+IF(DV1222&lt;&gt;"",1,0)+IF(DW1222&lt;&gt;"",1,0)+IF(DX1222&lt;&gt;"",1,0)+IF(DY1222&lt;&gt;"",1,0)+IF(DZ1222&lt;&gt;"",1,0)+IF(EB1222&lt;&gt;"",1,0)+IF(EC1222&lt;&gt;"",1,0)+IF(ED1222&lt;&gt;"",1,0)+IF(EG1222&lt;&gt;"",1,0)+IF(EH1222&lt;&gt;"",1,0)</f>
        <v/>
      </c>
      <c r="AZ1222">
        <f>IF(EH1222&lt;&gt;"",1,0)</f>
        <v/>
      </c>
      <c r="BB1222" t="inlineStr">
        <is>
          <t>WARREN-WARD 4</t>
        </is>
      </c>
      <c r="CK1222" t="inlineStr">
        <is>
          <t>X</t>
        </is>
      </c>
      <c r="CN1222" t="inlineStr">
        <is>
          <t>X</t>
        </is>
      </c>
      <c r="CP1222" t="inlineStr">
        <is>
          <t>X</t>
        </is>
      </c>
      <c r="CV1222" t="inlineStr">
        <is>
          <t>X</t>
        </is>
      </c>
      <c r="CY1222" t="inlineStr">
        <is>
          <t>X</t>
        </is>
      </c>
      <c r="DC1222" t="inlineStr">
        <is>
          <t>X</t>
        </is>
      </c>
      <c r="DG1222" t="inlineStr">
        <is>
          <t>R</t>
        </is>
      </c>
      <c r="DI1222" t="inlineStr">
        <is>
          <t>X</t>
        </is>
      </c>
      <c r="DN1222" t="inlineStr">
        <is>
          <t>X</t>
        </is>
      </c>
      <c r="DU1222" t="inlineStr">
        <is>
          <t>X</t>
        </is>
      </c>
      <c r="DX1222" t="inlineStr">
        <is>
          <t>X</t>
        </is>
      </c>
      <c r="ED1222" t="inlineStr">
        <is>
          <t>R</t>
        </is>
      </c>
      <c r="EF1222" t="inlineStr">
        <is>
          <t>X</t>
        </is>
      </c>
    </row>
    <row r="1223">
      <c r="A1223" t="inlineStr">
        <is>
          <t>OH0027977767</t>
        </is>
      </c>
      <c r="B1223" t="n">
        <v>78</v>
      </c>
      <c r="C1223" t="n">
        <v>496436</v>
      </c>
      <c r="D1223" t="inlineStr">
        <is>
          <t>KEYES</t>
        </is>
      </c>
      <c r="E1223" t="inlineStr">
        <is>
          <t>WILLIAM</t>
        </is>
      </c>
      <c r="F1223">
        <f>CONCATENATE(D1223," ",LEFT(H1223,4),"T=",AU1223,"D=",AV1223,"R=",AW1223,"M=",AX1223,"L=",AY1223,"B=",AZ1223)</f>
        <v/>
      </c>
      <c r="G1223" t="inlineStr">
        <is>
          <t>ISAAC</t>
        </is>
      </c>
      <c r="I1223" t="inlineStr">
        <is>
          <t>1988-04-09</t>
        </is>
      </c>
      <c r="J1223" t="inlineStr">
        <is>
          <t>2025-06-05</t>
        </is>
      </c>
      <c r="K1223" t="inlineStr">
        <is>
          <t>ACTIVE</t>
        </is>
      </c>
      <c r="M1223" t="inlineStr">
        <is>
          <t>239 PORTER ST NE</t>
        </is>
      </c>
      <c r="N1223">
        <f>RIGHT(M1223,LEN(M1223)-FIND(" ",M1223))</f>
        <v/>
      </c>
      <c r="O1223" t="inlineStr">
        <is>
          <t>APT 237</t>
        </is>
      </c>
      <c r="P1223" t="inlineStr">
        <is>
          <t>WARREN</t>
        </is>
      </c>
      <c r="Q1223" t="inlineStr">
        <is>
          <t>OH</t>
        </is>
      </c>
      <c r="R1223" t="n">
        <v>44483</v>
      </c>
      <c r="AD1223" t="inlineStr">
        <is>
          <t>TRUMBULL CAREER &amp; TECH CENTER</t>
        </is>
      </c>
      <c r="AE1223" t="inlineStr">
        <is>
          <t>WARREN CITY</t>
        </is>
      </c>
      <c r="AF1223" t="inlineStr">
        <is>
          <t>WARREN CITY SD</t>
        </is>
      </c>
      <c r="AH1223" t="n">
        <v>14</v>
      </c>
      <c r="AI1223" t="n">
        <v>11</v>
      </c>
      <c r="AN1223" t="inlineStr">
        <is>
          <t>WARREN</t>
        </is>
      </c>
      <c r="AO1223" t="inlineStr">
        <is>
          <t>WARREN CITY 4D</t>
        </is>
      </c>
      <c r="AP1223" t="inlineStr">
        <is>
          <t>78-P-ADL</t>
        </is>
      </c>
      <c r="AQ1223" t="n">
        <v>9</v>
      </c>
      <c r="AR1223" t="n">
        <v>64</v>
      </c>
      <c r="AS1223" t="n">
        <v>32</v>
      </c>
      <c r="AU1223">
        <f>COUNTA($BA$1223:$EH$1223)</f>
        <v/>
      </c>
      <c r="AV1223">
        <f>COUNTIF($BA$1223:$EH$1223,"D")</f>
        <v/>
      </c>
      <c r="AW1223">
        <f>COUNTIF($BA$1223:$EH$1223,"R")</f>
        <v/>
      </c>
      <c r="AX1223">
        <f>IF(BN1223="D",1,0)+IF(BO1223="D",1,0)+IF(BT1223="D",1,0)+IF(BU1223="D",1,0)+IF(BW1223="D",1,0)+IF(CC1223="D",1,0)+IF(CD1223="D",1,0)+IF(CE1223="D",1,0)+IF(CF1223="D",1,0)+IF(CL1223="D",1,0)+IF(CM1223="D",1,0)+IF(CQ1223="D",1,0)+IF(CR1223="D",1,0)+IF(CS1223="D",1,0)+IF(CW1223="D",1,0)+IF(CX1223="D",1,0)+IF(DD1223="D",1,0)+IF(DE1223="D",1,0)+IF(DJ1223="D",1,0)+IF(DK1223="D",1,0)+IF(DO1223="D",1,0)+IF(DP1223="D",1,0)+IF(DQ1223="D",1,0)+IF(DW1223="D",1,0)+IF(DZ1223="D",1,0)+IF(EH1223="D",1,0)</f>
        <v/>
      </c>
      <c r="AY1223">
        <f>IF(DJ1223&lt;&gt;"",1,0)+IF(DK1223&lt;&gt;"",1,0)+IF(DM1223&lt;&gt;"",1,0)+IF(DO1223&lt;&gt;"",1,0)+IF(DP1223&lt;&gt;"",1,0)+IF(DQ1223&lt;&gt;"",1,0)+IF(DS1223&lt;&gt;"",1,0)+IF(DT1223&lt;&gt;"",1,0)+IF(DV1223&lt;&gt;"",1,0)+IF(DW1223&lt;&gt;"",1,0)+IF(DX1223&lt;&gt;"",1,0)+IF(DY1223&lt;&gt;"",1,0)+IF(DZ1223&lt;&gt;"",1,0)+IF(EB1223&lt;&gt;"",1,0)+IF(EC1223&lt;&gt;"",1,0)+IF(ED1223&lt;&gt;"",1,0)+IF(EG1223&lt;&gt;"",1,0)+IF(EH1223&lt;&gt;"",1,0)</f>
        <v/>
      </c>
      <c r="AZ1223">
        <f>IF(EH1223&lt;&gt;"",1,0)</f>
        <v/>
      </c>
      <c r="BB1223" t="inlineStr">
        <is>
          <t>WARREN-WARD 4</t>
        </is>
      </c>
    </row>
    <row r="1224">
      <c r="A1224" t="inlineStr">
        <is>
          <t>OH0026402303</t>
        </is>
      </c>
      <c r="B1224" t="n">
        <v>78</v>
      </c>
      <c r="C1224" t="n">
        <v>461521</v>
      </c>
      <c r="D1224" t="inlineStr">
        <is>
          <t>ROMAN HEREDIA</t>
        </is>
      </c>
      <c r="E1224" t="inlineStr">
        <is>
          <t>GILBERTO</t>
        </is>
      </c>
      <c r="F1224">
        <f>CONCATENATE(D1224," ",LEFT(H1224,4),"T=",AU1224,"D=",AV1224,"R=",AW1224,"M=",AX1224,"L=",AY1224,"B=",AZ1224)</f>
        <v/>
      </c>
      <c r="I1224" t="inlineStr">
        <is>
          <t>1976-02-19</t>
        </is>
      </c>
      <c r="J1224" t="inlineStr">
        <is>
          <t>2022-01-31</t>
        </is>
      </c>
      <c r="K1224" t="inlineStr">
        <is>
          <t>CONFIRMATION</t>
        </is>
      </c>
      <c r="M1224" t="inlineStr">
        <is>
          <t>621 PAIGE AVE NE</t>
        </is>
      </c>
      <c r="N1224">
        <f>RIGHT(M1224,LEN(M1224)-FIND(" ",M1224))</f>
        <v/>
      </c>
      <c r="P1224" t="inlineStr">
        <is>
          <t>WARREN</t>
        </is>
      </c>
      <c r="Q1224" t="inlineStr">
        <is>
          <t>OH</t>
        </is>
      </c>
      <c r="R1224" t="n">
        <v>44483</v>
      </c>
      <c r="AD1224" t="inlineStr">
        <is>
          <t>TRUMBULL CAREER &amp; TECH CENTER</t>
        </is>
      </c>
      <c r="AE1224" t="inlineStr">
        <is>
          <t>WARREN CITY</t>
        </is>
      </c>
      <c r="AF1224" t="inlineStr">
        <is>
          <t>WARREN CITY SD</t>
        </is>
      </c>
      <c r="AH1224" t="n">
        <v>14</v>
      </c>
      <c r="AI1224" t="n">
        <v>11</v>
      </c>
      <c r="AN1224" t="inlineStr">
        <is>
          <t>WARREN</t>
        </is>
      </c>
      <c r="AO1224" t="inlineStr">
        <is>
          <t>WARREN CITY 4D</t>
        </is>
      </c>
      <c r="AP1224" t="inlineStr">
        <is>
          <t>78-P-ADL</t>
        </is>
      </c>
      <c r="AQ1224" t="n">
        <v>9</v>
      </c>
      <c r="AR1224" t="n">
        <v>64</v>
      </c>
      <c r="AS1224" t="n">
        <v>32</v>
      </c>
      <c r="AU1224">
        <f>COUNTA($BA$1224:$EH$1224)</f>
        <v/>
      </c>
      <c r="AV1224">
        <f>COUNTIF($BA$1224:$EH$1224,"D")</f>
        <v/>
      </c>
      <c r="AW1224">
        <f>COUNTIF($BA$1224:$EH$1224,"R")</f>
        <v/>
      </c>
      <c r="AX1224">
        <f>IF(BN1224="D",1,0)+IF(BO1224="D",1,0)+IF(BT1224="D",1,0)+IF(BU1224="D",1,0)+IF(BW1224="D",1,0)+IF(CC1224="D",1,0)+IF(CD1224="D",1,0)+IF(CE1224="D",1,0)+IF(CF1224="D",1,0)+IF(CL1224="D",1,0)+IF(CM1224="D",1,0)+IF(CQ1224="D",1,0)+IF(CR1224="D",1,0)+IF(CS1224="D",1,0)+IF(CW1224="D",1,0)+IF(CX1224="D",1,0)+IF(DD1224="D",1,0)+IF(DE1224="D",1,0)+IF(DJ1224="D",1,0)+IF(DK1224="D",1,0)+IF(DO1224="D",1,0)+IF(DP1224="D",1,0)+IF(DQ1224="D",1,0)+IF(DW1224="D",1,0)+IF(DZ1224="D",1,0)+IF(EH1224="D",1,0)</f>
        <v/>
      </c>
      <c r="AY1224">
        <f>IF(DJ1224&lt;&gt;"",1,0)+IF(DK1224&lt;&gt;"",1,0)+IF(DM1224&lt;&gt;"",1,0)+IF(DO1224&lt;&gt;"",1,0)+IF(DP1224&lt;&gt;"",1,0)+IF(DQ1224&lt;&gt;"",1,0)+IF(DS1224&lt;&gt;"",1,0)+IF(DT1224&lt;&gt;"",1,0)+IF(DV1224&lt;&gt;"",1,0)+IF(DW1224&lt;&gt;"",1,0)+IF(DX1224&lt;&gt;"",1,0)+IF(DY1224&lt;&gt;"",1,0)+IF(DZ1224&lt;&gt;"",1,0)+IF(EB1224&lt;&gt;"",1,0)+IF(EC1224&lt;&gt;"",1,0)+IF(ED1224&lt;&gt;"",1,0)+IF(EG1224&lt;&gt;"",1,0)+IF(EH1224&lt;&gt;"",1,0)</f>
        <v/>
      </c>
      <c r="AZ1224">
        <f>IF(EH1224&lt;&gt;"",1,0)</f>
        <v/>
      </c>
      <c r="BB1224" t="inlineStr">
        <is>
          <t>WARREN-WARD 4</t>
        </is>
      </c>
    </row>
    <row r="1225">
      <c r="A1225" t="inlineStr">
        <is>
          <t>OH0026781483</t>
        </is>
      </c>
      <c r="B1225" t="n">
        <v>78</v>
      </c>
      <c r="C1225" t="n">
        <v>468327</v>
      </c>
      <c r="D1225" t="inlineStr">
        <is>
          <t>EKIS</t>
        </is>
      </c>
      <c r="E1225" t="inlineStr">
        <is>
          <t>JOY</t>
        </is>
      </c>
      <c r="F1225">
        <f>CONCATENATE(D1225," ",LEFT(H1225,4),"T=",AU1225,"D=",AV1225,"R=",AW1225,"M=",AX1225,"L=",AY1225,"B=",AZ1225)</f>
        <v/>
      </c>
      <c r="G1225" t="inlineStr">
        <is>
          <t>M</t>
        </is>
      </c>
      <c r="I1225" t="inlineStr">
        <is>
          <t>1975-07-07</t>
        </is>
      </c>
      <c r="J1225" t="inlineStr">
        <is>
          <t>2022-12-01</t>
        </is>
      </c>
      <c r="K1225" t="inlineStr">
        <is>
          <t>ACTIVE</t>
        </is>
      </c>
      <c r="M1225" t="inlineStr">
        <is>
          <t>237 SCOTT ST NE</t>
        </is>
      </c>
      <c r="N1225">
        <f>RIGHT(M1225,LEN(M1225)-FIND(" ",M1225))</f>
        <v/>
      </c>
      <c r="P1225" t="inlineStr">
        <is>
          <t>WARREN</t>
        </is>
      </c>
      <c r="Q1225" t="inlineStr">
        <is>
          <t>OH</t>
        </is>
      </c>
      <c r="R1225" t="n">
        <v>44483</v>
      </c>
      <c r="AD1225" t="inlineStr">
        <is>
          <t>TRUMBULL CAREER &amp; TECH CENTER</t>
        </is>
      </c>
      <c r="AE1225" t="inlineStr">
        <is>
          <t>WARREN CITY</t>
        </is>
      </c>
      <c r="AF1225" t="inlineStr">
        <is>
          <t>WARREN CITY SD</t>
        </is>
      </c>
      <c r="AH1225" t="n">
        <v>14</v>
      </c>
      <c r="AI1225" t="n">
        <v>11</v>
      </c>
      <c r="AN1225" t="inlineStr">
        <is>
          <t>WARREN</t>
        </is>
      </c>
      <c r="AO1225" t="inlineStr">
        <is>
          <t>WARREN CITY 4D</t>
        </is>
      </c>
      <c r="AP1225" t="inlineStr">
        <is>
          <t>78-P-ADL</t>
        </is>
      </c>
      <c r="AQ1225" t="n">
        <v>9</v>
      </c>
      <c r="AR1225" t="n">
        <v>64</v>
      </c>
      <c r="AS1225" t="n">
        <v>32</v>
      </c>
      <c r="AU1225">
        <f>COUNTA($BA$1225:$EH$1225)</f>
        <v/>
      </c>
      <c r="AV1225">
        <f>COUNTIF($BA$1225:$EH$1225,"D")</f>
        <v/>
      </c>
      <c r="AW1225">
        <f>COUNTIF($BA$1225:$EH$1225,"R")</f>
        <v/>
      </c>
      <c r="AX1225">
        <f>IF(BN1225="D",1,0)+IF(BO1225="D",1,0)+IF(BT1225="D",1,0)+IF(BU1225="D",1,0)+IF(BW1225="D",1,0)+IF(CC1225="D",1,0)+IF(CD1225="D",1,0)+IF(CE1225="D",1,0)+IF(CF1225="D",1,0)+IF(CL1225="D",1,0)+IF(CM1225="D",1,0)+IF(CQ1225="D",1,0)+IF(CR1225="D",1,0)+IF(CS1225="D",1,0)+IF(CW1225="D",1,0)+IF(CX1225="D",1,0)+IF(DD1225="D",1,0)+IF(DE1225="D",1,0)+IF(DJ1225="D",1,0)+IF(DK1225="D",1,0)+IF(DO1225="D",1,0)+IF(DP1225="D",1,0)+IF(DQ1225="D",1,0)+IF(DW1225="D",1,0)+IF(DZ1225="D",1,0)+IF(EH1225="D",1,0)</f>
        <v/>
      </c>
      <c r="AY1225">
        <f>IF(DJ1225&lt;&gt;"",1,0)+IF(DK1225&lt;&gt;"",1,0)+IF(DM1225&lt;&gt;"",1,0)+IF(DO1225&lt;&gt;"",1,0)+IF(DP1225&lt;&gt;"",1,0)+IF(DQ1225&lt;&gt;"",1,0)+IF(DS1225&lt;&gt;"",1,0)+IF(DT1225&lt;&gt;"",1,0)+IF(DV1225&lt;&gt;"",1,0)+IF(DW1225&lt;&gt;"",1,0)+IF(DX1225&lt;&gt;"",1,0)+IF(DY1225&lt;&gt;"",1,0)+IF(DZ1225&lt;&gt;"",1,0)+IF(EB1225&lt;&gt;"",1,0)+IF(EC1225&lt;&gt;"",1,0)+IF(ED1225&lt;&gt;"",1,0)+IF(EG1225&lt;&gt;"",1,0)+IF(EH1225&lt;&gt;"",1,0)</f>
        <v/>
      </c>
      <c r="AZ1225">
        <f>IF(EH1225&lt;&gt;"",1,0)</f>
        <v/>
      </c>
      <c r="BB1225" t="inlineStr">
        <is>
          <t>WARREN-WARD 4</t>
        </is>
      </c>
    </row>
    <row r="1226">
      <c r="A1226" t="inlineStr">
        <is>
          <t>OH0025797697</t>
        </is>
      </c>
      <c r="B1226" t="n">
        <v>78</v>
      </c>
      <c r="C1226" t="n">
        <v>450582</v>
      </c>
      <c r="D1226" t="inlineStr">
        <is>
          <t>MOORE</t>
        </is>
      </c>
      <c r="E1226" t="inlineStr">
        <is>
          <t>CHASTITY</t>
        </is>
      </c>
      <c r="F1226">
        <f>CONCATENATE(D1226," ",LEFT(H1226,4),"T=",AU1226,"D=",AV1226,"R=",AW1226,"M=",AX1226,"L=",AY1226,"B=",AZ1226)</f>
        <v/>
      </c>
      <c r="G1226" t="inlineStr">
        <is>
          <t>D</t>
        </is>
      </c>
      <c r="I1226" t="inlineStr">
        <is>
          <t>1992-07-20</t>
        </is>
      </c>
      <c r="J1226" t="inlineStr">
        <is>
          <t>2020-08-06</t>
        </is>
      </c>
      <c r="K1226" t="inlineStr">
        <is>
          <t>CONFIRMATION</t>
        </is>
      </c>
      <c r="M1226" t="inlineStr">
        <is>
          <t>1074 WOODLAND AVE NE</t>
        </is>
      </c>
      <c r="N1226">
        <f>RIGHT(M1226,LEN(M1226)-FIND(" ",M1226))</f>
        <v/>
      </c>
      <c r="P1226" t="inlineStr">
        <is>
          <t>WARREN</t>
        </is>
      </c>
      <c r="Q1226" t="inlineStr">
        <is>
          <t>OH</t>
        </is>
      </c>
      <c r="R1226" t="n">
        <v>44483</v>
      </c>
      <c r="AD1226" t="inlineStr">
        <is>
          <t>TRUMBULL CAREER &amp; TECH CENTER</t>
        </is>
      </c>
      <c r="AE1226" t="inlineStr">
        <is>
          <t>WARREN CITY</t>
        </is>
      </c>
      <c r="AF1226" t="inlineStr">
        <is>
          <t>WARREN CITY SD</t>
        </is>
      </c>
      <c r="AH1226" t="n">
        <v>14</v>
      </c>
      <c r="AI1226" t="n">
        <v>11</v>
      </c>
      <c r="AN1226" t="inlineStr">
        <is>
          <t>WARREN</t>
        </is>
      </c>
      <c r="AO1226" t="inlineStr">
        <is>
          <t>WARREN CITY 4D</t>
        </is>
      </c>
      <c r="AP1226" t="inlineStr">
        <is>
          <t>78-P-ADL</t>
        </is>
      </c>
      <c r="AQ1226" t="n">
        <v>9</v>
      </c>
      <c r="AR1226" t="n">
        <v>64</v>
      </c>
      <c r="AS1226" t="n">
        <v>32</v>
      </c>
      <c r="AU1226">
        <f>COUNTA($BA$1226:$EH$1226)</f>
        <v/>
      </c>
      <c r="AV1226">
        <f>COUNTIF($BA$1226:$EH$1226,"D")</f>
        <v/>
      </c>
      <c r="AW1226">
        <f>COUNTIF($BA$1226:$EH$1226,"R")</f>
        <v/>
      </c>
      <c r="AX1226">
        <f>IF(BN1226="D",1,0)+IF(BO1226="D",1,0)+IF(BT1226="D",1,0)+IF(BU1226="D",1,0)+IF(BW1226="D",1,0)+IF(CC1226="D",1,0)+IF(CD1226="D",1,0)+IF(CE1226="D",1,0)+IF(CF1226="D",1,0)+IF(CL1226="D",1,0)+IF(CM1226="D",1,0)+IF(CQ1226="D",1,0)+IF(CR1226="D",1,0)+IF(CS1226="D",1,0)+IF(CW1226="D",1,0)+IF(CX1226="D",1,0)+IF(DD1226="D",1,0)+IF(DE1226="D",1,0)+IF(DJ1226="D",1,0)+IF(DK1226="D",1,0)+IF(DO1226="D",1,0)+IF(DP1226="D",1,0)+IF(DQ1226="D",1,0)+IF(DW1226="D",1,0)+IF(DZ1226="D",1,0)+IF(EH1226="D",1,0)</f>
        <v/>
      </c>
      <c r="AY1226">
        <f>IF(DJ1226&lt;&gt;"",1,0)+IF(DK1226&lt;&gt;"",1,0)+IF(DM1226&lt;&gt;"",1,0)+IF(DO1226&lt;&gt;"",1,0)+IF(DP1226&lt;&gt;"",1,0)+IF(DQ1226&lt;&gt;"",1,0)+IF(DS1226&lt;&gt;"",1,0)+IF(DT1226&lt;&gt;"",1,0)+IF(DV1226&lt;&gt;"",1,0)+IF(DW1226&lt;&gt;"",1,0)+IF(DX1226&lt;&gt;"",1,0)+IF(DY1226&lt;&gt;"",1,0)+IF(DZ1226&lt;&gt;"",1,0)+IF(EB1226&lt;&gt;"",1,0)+IF(EC1226&lt;&gt;"",1,0)+IF(ED1226&lt;&gt;"",1,0)+IF(EG1226&lt;&gt;"",1,0)+IF(EH1226&lt;&gt;"",1,0)</f>
        <v/>
      </c>
      <c r="AZ1226">
        <f>IF(EH1226&lt;&gt;"",1,0)</f>
        <v/>
      </c>
      <c r="BB1226" t="inlineStr">
        <is>
          <t>WARREN-WARD 4</t>
        </is>
      </c>
      <c r="CP1226" t="inlineStr">
        <is>
          <t>X</t>
        </is>
      </c>
      <c r="DN1226" t="inlineStr">
        <is>
          <t>X</t>
        </is>
      </c>
    </row>
    <row r="1227">
      <c r="A1227" t="inlineStr">
        <is>
          <t>OH0025057676</t>
        </is>
      </c>
      <c r="B1227" t="n">
        <v>78</v>
      </c>
      <c r="C1227" t="n">
        <v>438797</v>
      </c>
      <c r="D1227" t="inlineStr">
        <is>
          <t>MERREL</t>
        </is>
      </c>
      <c r="E1227" t="inlineStr">
        <is>
          <t>ROBERT</t>
        </is>
      </c>
      <c r="F1227">
        <f>CONCATENATE(D1227," ",LEFT(H1227,4),"T=",AU1227,"D=",AV1227,"R=",AW1227,"M=",AX1227,"L=",AY1227,"B=",AZ1227)</f>
        <v/>
      </c>
      <c r="G1227" t="inlineStr">
        <is>
          <t>WILLIAM</t>
        </is>
      </c>
      <c r="H1227" t="inlineStr">
        <is>
          <t>JR</t>
        </is>
      </c>
      <c r="I1227" t="inlineStr">
        <is>
          <t>2000-12-11</t>
        </is>
      </c>
      <c r="J1227" t="inlineStr">
        <is>
          <t>2024-12-17</t>
        </is>
      </c>
      <c r="K1227" t="inlineStr">
        <is>
          <t>ACTIVE</t>
        </is>
      </c>
      <c r="M1227" t="inlineStr">
        <is>
          <t>124 LOGAN AVE NE</t>
        </is>
      </c>
      <c r="N1227">
        <f>RIGHT(M1227,LEN(M1227)-FIND(" ",M1227))</f>
        <v/>
      </c>
      <c r="P1227" t="inlineStr">
        <is>
          <t>WARREN</t>
        </is>
      </c>
      <c r="Q1227" t="inlineStr">
        <is>
          <t>OH</t>
        </is>
      </c>
      <c r="R1227" t="n">
        <v>44483</v>
      </c>
      <c r="AD1227" t="inlineStr">
        <is>
          <t>TRUMBULL CAREER &amp; TECH CENTER</t>
        </is>
      </c>
      <c r="AE1227" t="inlineStr">
        <is>
          <t>WARREN CITY</t>
        </is>
      </c>
      <c r="AF1227" t="inlineStr">
        <is>
          <t>WARREN CITY SD</t>
        </is>
      </c>
      <c r="AH1227" t="n">
        <v>14</v>
      </c>
      <c r="AI1227" t="n">
        <v>11</v>
      </c>
      <c r="AN1227" t="inlineStr">
        <is>
          <t>WARREN</t>
        </is>
      </c>
      <c r="AO1227" t="inlineStr">
        <is>
          <t>WARREN CITY 4D</t>
        </is>
      </c>
      <c r="AP1227" t="inlineStr">
        <is>
          <t>78-P-ADL</t>
        </is>
      </c>
      <c r="AQ1227" t="n">
        <v>9</v>
      </c>
      <c r="AR1227" t="n">
        <v>64</v>
      </c>
      <c r="AS1227" t="n">
        <v>32</v>
      </c>
      <c r="AU1227">
        <f>COUNTA($BA$1227:$EH$1227)</f>
        <v/>
      </c>
      <c r="AV1227">
        <f>COUNTIF($BA$1227:$EH$1227,"D")</f>
        <v/>
      </c>
      <c r="AW1227">
        <f>COUNTIF($BA$1227:$EH$1227,"R")</f>
        <v/>
      </c>
      <c r="AX1227">
        <f>IF(BN1227="D",1,0)+IF(BO1227="D",1,0)+IF(BT1227="D",1,0)+IF(BU1227="D",1,0)+IF(BW1227="D",1,0)+IF(CC1227="D",1,0)+IF(CD1227="D",1,0)+IF(CE1227="D",1,0)+IF(CF1227="D",1,0)+IF(CL1227="D",1,0)+IF(CM1227="D",1,0)+IF(CQ1227="D",1,0)+IF(CR1227="D",1,0)+IF(CS1227="D",1,0)+IF(CW1227="D",1,0)+IF(CX1227="D",1,0)+IF(DD1227="D",1,0)+IF(DE1227="D",1,0)+IF(DJ1227="D",1,0)+IF(DK1227="D",1,0)+IF(DO1227="D",1,0)+IF(DP1227="D",1,0)+IF(DQ1227="D",1,0)+IF(DW1227="D",1,0)+IF(DZ1227="D",1,0)+IF(EH1227="D",1,0)</f>
        <v/>
      </c>
      <c r="AY1227">
        <f>IF(DJ1227&lt;&gt;"",1,0)+IF(DK1227&lt;&gt;"",1,0)+IF(DM1227&lt;&gt;"",1,0)+IF(DO1227&lt;&gt;"",1,0)+IF(DP1227&lt;&gt;"",1,0)+IF(DQ1227&lt;&gt;"",1,0)+IF(DS1227&lt;&gt;"",1,0)+IF(DT1227&lt;&gt;"",1,0)+IF(DV1227&lt;&gt;"",1,0)+IF(DW1227&lt;&gt;"",1,0)+IF(DX1227&lt;&gt;"",1,0)+IF(DY1227&lt;&gt;"",1,0)+IF(DZ1227&lt;&gt;"",1,0)+IF(EB1227&lt;&gt;"",1,0)+IF(EC1227&lt;&gt;"",1,0)+IF(ED1227&lt;&gt;"",1,0)+IF(EG1227&lt;&gt;"",1,0)+IF(EH1227&lt;&gt;"",1,0)</f>
        <v/>
      </c>
      <c r="AZ1227">
        <f>IF(EH1227&lt;&gt;"",1,0)</f>
        <v/>
      </c>
      <c r="BB1227" t="inlineStr">
        <is>
          <t>WARREN-WARD 4</t>
        </is>
      </c>
    </row>
    <row r="1228">
      <c r="A1228" t="inlineStr">
        <is>
          <t>OH0021315934</t>
        </is>
      </c>
      <c r="B1228" t="n">
        <v>78</v>
      </c>
      <c r="C1228" t="n">
        <v>379009</v>
      </c>
      <c r="D1228" t="inlineStr">
        <is>
          <t>COUDRIET</t>
        </is>
      </c>
      <c r="E1228" t="inlineStr">
        <is>
          <t>WILLIAM</t>
        </is>
      </c>
      <c r="F1228">
        <f>CONCATENATE(D1228," ",LEFT(H1228,4),"T=",AU1228,"D=",AV1228,"R=",AW1228,"M=",AX1228,"L=",AY1228,"B=",AZ1228)</f>
        <v/>
      </c>
      <c r="G1228" t="inlineStr">
        <is>
          <t>J</t>
        </is>
      </c>
      <c r="I1228" t="inlineStr">
        <is>
          <t>1950-11-06</t>
        </is>
      </c>
      <c r="J1228" t="inlineStr">
        <is>
          <t>2015-12-28</t>
        </is>
      </c>
      <c r="K1228" t="inlineStr">
        <is>
          <t>CONFIRMATION</t>
        </is>
      </c>
      <c r="M1228" t="inlineStr">
        <is>
          <t>182 HIGH ST NE</t>
        </is>
      </c>
      <c r="N1228">
        <f>RIGHT(M1228,LEN(M1228)-FIND(" ",M1228))</f>
        <v/>
      </c>
      <c r="O1228" t="inlineStr">
        <is>
          <t>APT 510</t>
        </is>
      </c>
      <c r="P1228" t="inlineStr">
        <is>
          <t>WARREN</t>
        </is>
      </c>
      <c r="Q1228" t="inlineStr">
        <is>
          <t>OH</t>
        </is>
      </c>
      <c r="R1228" t="n">
        <v>44481</v>
      </c>
      <c r="AD1228" t="inlineStr">
        <is>
          <t>TRUMBULL CAREER &amp; TECH CENTER</t>
        </is>
      </c>
      <c r="AE1228" t="inlineStr">
        <is>
          <t>WARREN CITY</t>
        </is>
      </c>
      <c r="AF1228" t="inlineStr">
        <is>
          <t>WARREN CITY SD</t>
        </is>
      </c>
      <c r="AH1228" t="n">
        <v>14</v>
      </c>
      <c r="AI1228" t="n">
        <v>11</v>
      </c>
      <c r="AN1228" t="inlineStr">
        <is>
          <t>WARREN</t>
        </is>
      </c>
      <c r="AO1228" t="inlineStr">
        <is>
          <t>WARREN CITY 4D</t>
        </is>
      </c>
      <c r="AP1228" t="inlineStr">
        <is>
          <t>78-P-ADL</t>
        </is>
      </c>
      <c r="AQ1228" t="n">
        <v>9</v>
      </c>
      <c r="AR1228" t="n">
        <v>64</v>
      </c>
      <c r="AS1228" t="n">
        <v>32</v>
      </c>
      <c r="AU1228">
        <f>COUNTA($BA$1228:$EH$1228)</f>
        <v/>
      </c>
      <c r="AV1228">
        <f>COUNTIF($BA$1228:$EH$1228,"D")</f>
        <v/>
      </c>
      <c r="AW1228">
        <f>COUNTIF($BA$1228:$EH$1228,"R")</f>
        <v/>
      </c>
      <c r="AX1228">
        <f>IF(BN1228="D",1,0)+IF(BO1228="D",1,0)+IF(BT1228="D",1,0)+IF(BU1228="D",1,0)+IF(BW1228="D",1,0)+IF(CC1228="D",1,0)+IF(CD1228="D",1,0)+IF(CE1228="D",1,0)+IF(CF1228="D",1,0)+IF(CL1228="D",1,0)+IF(CM1228="D",1,0)+IF(CQ1228="D",1,0)+IF(CR1228="D",1,0)+IF(CS1228="D",1,0)+IF(CW1228="D",1,0)+IF(CX1228="D",1,0)+IF(DD1228="D",1,0)+IF(DE1228="D",1,0)+IF(DJ1228="D",1,0)+IF(DK1228="D",1,0)+IF(DO1228="D",1,0)+IF(DP1228="D",1,0)+IF(DQ1228="D",1,0)+IF(DW1228="D",1,0)+IF(DZ1228="D",1,0)+IF(EH1228="D",1,0)</f>
        <v/>
      </c>
      <c r="AY1228">
        <f>IF(DJ1228&lt;&gt;"",1,0)+IF(DK1228&lt;&gt;"",1,0)+IF(DM1228&lt;&gt;"",1,0)+IF(DO1228&lt;&gt;"",1,0)+IF(DP1228&lt;&gt;"",1,0)+IF(DQ1228&lt;&gt;"",1,0)+IF(DS1228&lt;&gt;"",1,0)+IF(DT1228&lt;&gt;"",1,0)+IF(DV1228&lt;&gt;"",1,0)+IF(DW1228&lt;&gt;"",1,0)+IF(DX1228&lt;&gt;"",1,0)+IF(DY1228&lt;&gt;"",1,0)+IF(DZ1228&lt;&gt;"",1,0)+IF(EB1228&lt;&gt;"",1,0)+IF(EC1228&lt;&gt;"",1,0)+IF(ED1228&lt;&gt;"",1,0)+IF(EG1228&lt;&gt;"",1,0)+IF(EH1228&lt;&gt;"",1,0)</f>
        <v/>
      </c>
      <c r="AZ1228">
        <f>IF(EH1228&lt;&gt;"",1,0)</f>
        <v/>
      </c>
      <c r="BB1228" t="inlineStr">
        <is>
          <t>WARREN-WARD 4</t>
        </is>
      </c>
    </row>
    <row r="1229">
      <c r="A1229" t="inlineStr">
        <is>
          <t>OH0027962535</t>
        </is>
      </c>
      <c r="B1229" t="n">
        <v>78</v>
      </c>
      <c r="C1229" t="n">
        <v>496360</v>
      </c>
      <c r="D1229" t="inlineStr">
        <is>
          <t>CLAAR</t>
        </is>
      </c>
      <c r="E1229" t="inlineStr">
        <is>
          <t>LAURA</t>
        </is>
      </c>
      <c r="F1229">
        <f>CONCATENATE(D1229," ",LEFT(H1229,4),"T=",AU1229,"D=",AV1229,"R=",AW1229,"M=",AX1229,"L=",AY1229,"B=",AZ1229)</f>
        <v/>
      </c>
      <c r="G1229" t="inlineStr">
        <is>
          <t>LEE</t>
        </is>
      </c>
      <c r="I1229" t="inlineStr">
        <is>
          <t>1994-09-01</t>
        </is>
      </c>
      <c r="J1229" t="inlineStr">
        <is>
          <t>2025-06-06</t>
        </is>
      </c>
      <c r="K1229" t="inlineStr">
        <is>
          <t>ACTIVE</t>
        </is>
      </c>
      <c r="M1229" t="inlineStr">
        <is>
          <t>1166 WOODLAND AVE NE</t>
        </is>
      </c>
      <c r="N1229">
        <f>RIGHT(M1229,LEN(M1229)-FIND(" ",M1229))</f>
        <v/>
      </c>
      <c r="P1229" t="inlineStr">
        <is>
          <t>WARREN</t>
        </is>
      </c>
      <c r="Q1229" t="inlineStr">
        <is>
          <t>OH</t>
        </is>
      </c>
      <c r="R1229" t="n">
        <v>44483</v>
      </c>
      <c r="AD1229" t="inlineStr">
        <is>
          <t>TRUMBULL CAREER &amp; TECH CENTER</t>
        </is>
      </c>
      <c r="AE1229" t="inlineStr">
        <is>
          <t>WARREN CITY</t>
        </is>
      </c>
      <c r="AF1229" t="inlineStr">
        <is>
          <t>WARREN CITY SD</t>
        </is>
      </c>
      <c r="AH1229" t="n">
        <v>14</v>
      </c>
      <c r="AI1229" t="n">
        <v>11</v>
      </c>
      <c r="AN1229" t="inlineStr">
        <is>
          <t>WARREN</t>
        </is>
      </c>
      <c r="AO1229" t="inlineStr">
        <is>
          <t>WARREN CITY 4D</t>
        </is>
      </c>
      <c r="AP1229" t="inlineStr">
        <is>
          <t>78-P-ADL</t>
        </is>
      </c>
      <c r="AQ1229" t="n">
        <v>9</v>
      </c>
      <c r="AR1229" t="n">
        <v>64</v>
      </c>
      <c r="AS1229" t="n">
        <v>32</v>
      </c>
      <c r="AU1229">
        <f>COUNTA($BA$1229:$EH$1229)</f>
        <v/>
      </c>
      <c r="AV1229">
        <f>COUNTIF($BA$1229:$EH$1229,"D")</f>
        <v/>
      </c>
      <c r="AW1229">
        <f>COUNTIF($BA$1229:$EH$1229,"R")</f>
        <v/>
      </c>
      <c r="AX1229">
        <f>IF(BN1229="D",1,0)+IF(BO1229="D",1,0)+IF(BT1229="D",1,0)+IF(BU1229="D",1,0)+IF(BW1229="D",1,0)+IF(CC1229="D",1,0)+IF(CD1229="D",1,0)+IF(CE1229="D",1,0)+IF(CF1229="D",1,0)+IF(CL1229="D",1,0)+IF(CM1229="D",1,0)+IF(CQ1229="D",1,0)+IF(CR1229="D",1,0)+IF(CS1229="D",1,0)+IF(CW1229="D",1,0)+IF(CX1229="D",1,0)+IF(DD1229="D",1,0)+IF(DE1229="D",1,0)+IF(DJ1229="D",1,0)+IF(DK1229="D",1,0)+IF(DO1229="D",1,0)+IF(DP1229="D",1,0)+IF(DQ1229="D",1,0)+IF(DW1229="D",1,0)+IF(DZ1229="D",1,0)+IF(EH1229="D",1,0)</f>
        <v/>
      </c>
      <c r="AY1229">
        <f>IF(DJ1229&lt;&gt;"",1,0)+IF(DK1229&lt;&gt;"",1,0)+IF(DM1229&lt;&gt;"",1,0)+IF(DO1229&lt;&gt;"",1,0)+IF(DP1229&lt;&gt;"",1,0)+IF(DQ1229&lt;&gt;"",1,0)+IF(DS1229&lt;&gt;"",1,0)+IF(DT1229&lt;&gt;"",1,0)+IF(DV1229&lt;&gt;"",1,0)+IF(DW1229&lt;&gt;"",1,0)+IF(DX1229&lt;&gt;"",1,0)+IF(DY1229&lt;&gt;"",1,0)+IF(DZ1229&lt;&gt;"",1,0)+IF(EB1229&lt;&gt;"",1,0)+IF(EC1229&lt;&gt;"",1,0)+IF(ED1229&lt;&gt;"",1,0)+IF(EG1229&lt;&gt;"",1,0)+IF(EH1229&lt;&gt;"",1,0)</f>
        <v/>
      </c>
      <c r="AZ1229">
        <f>IF(EH1229&lt;&gt;"",1,0)</f>
        <v/>
      </c>
      <c r="BB1229" t="inlineStr">
        <is>
          <t>WARREN-WARD 4</t>
        </is>
      </c>
      <c r="CP1229" t="inlineStr">
        <is>
          <t>X</t>
        </is>
      </c>
      <c r="CY1229" t="inlineStr">
        <is>
          <t>X</t>
        </is>
      </c>
      <c r="DC1229" t="inlineStr">
        <is>
          <t>X</t>
        </is>
      </c>
      <c r="DN1229" t="inlineStr">
        <is>
          <t>X</t>
        </is>
      </c>
      <c r="EA1229" t="inlineStr">
        <is>
          <t>X</t>
        </is>
      </c>
      <c r="EF1229" t="inlineStr">
        <is>
          <t>X</t>
        </is>
      </c>
    </row>
    <row r="1230">
      <c r="A1230" t="inlineStr">
        <is>
          <t>OH0019843452</t>
        </is>
      </c>
      <c r="B1230" t="n">
        <v>78</v>
      </c>
      <c r="C1230" t="n">
        <v>359995</v>
      </c>
      <c r="D1230" t="inlineStr">
        <is>
          <t>YACOUB</t>
        </is>
      </c>
      <c r="E1230" t="inlineStr">
        <is>
          <t>ISSA</t>
        </is>
      </c>
      <c r="F1230">
        <f>CONCATENATE(D1230," ",LEFT(H1230,4),"T=",AU1230,"D=",AV1230,"R=",AW1230,"M=",AX1230,"L=",AY1230,"B=",AZ1230)</f>
        <v/>
      </c>
      <c r="G1230" t="inlineStr">
        <is>
          <t>M</t>
        </is>
      </c>
      <c r="I1230" t="inlineStr">
        <is>
          <t>1987-06-24</t>
        </is>
      </c>
      <c r="J1230" t="inlineStr">
        <is>
          <t>2017-03-30</t>
        </is>
      </c>
      <c r="K1230" t="inlineStr">
        <is>
          <t>ACTIVE</t>
        </is>
      </c>
      <c r="M1230" t="inlineStr">
        <is>
          <t>297 LAIRD AVE NE</t>
        </is>
      </c>
      <c r="N1230">
        <f>RIGHT(M1230,LEN(M1230)-FIND(" ",M1230))</f>
        <v/>
      </c>
      <c r="P1230" t="inlineStr">
        <is>
          <t>WARREN</t>
        </is>
      </c>
      <c r="Q1230" t="inlineStr">
        <is>
          <t>OH</t>
        </is>
      </c>
      <c r="R1230" t="n">
        <v>44483</v>
      </c>
      <c r="AD1230" t="inlineStr">
        <is>
          <t>TRUMBULL CAREER &amp; TECH CENTER</t>
        </is>
      </c>
      <c r="AE1230" t="inlineStr">
        <is>
          <t>WARREN CITY</t>
        </is>
      </c>
      <c r="AF1230" t="inlineStr">
        <is>
          <t>WARREN CITY SD</t>
        </is>
      </c>
      <c r="AH1230" t="n">
        <v>14</v>
      </c>
      <c r="AI1230" t="n">
        <v>11</v>
      </c>
      <c r="AN1230" t="inlineStr">
        <is>
          <t>WARREN</t>
        </is>
      </c>
      <c r="AO1230" t="inlineStr">
        <is>
          <t>WARREN CITY 4D</t>
        </is>
      </c>
      <c r="AP1230" t="inlineStr">
        <is>
          <t>78-P-ADL</t>
        </is>
      </c>
      <c r="AQ1230" t="n">
        <v>9</v>
      </c>
      <c r="AR1230" t="n">
        <v>64</v>
      </c>
      <c r="AS1230" t="n">
        <v>32</v>
      </c>
      <c r="AU1230">
        <f>COUNTA($BA$1230:$EH$1230)</f>
        <v/>
      </c>
      <c r="AV1230">
        <f>COUNTIF($BA$1230:$EH$1230,"D")</f>
        <v/>
      </c>
      <c r="AW1230">
        <f>COUNTIF($BA$1230:$EH$1230,"R")</f>
        <v/>
      </c>
      <c r="AX1230">
        <f>IF(BN1230="D",1,0)+IF(BO1230="D",1,0)+IF(BT1230="D",1,0)+IF(BU1230="D",1,0)+IF(BW1230="D",1,0)+IF(CC1230="D",1,0)+IF(CD1230="D",1,0)+IF(CE1230="D",1,0)+IF(CF1230="D",1,0)+IF(CL1230="D",1,0)+IF(CM1230="D",1,0)+IF(CQ1230="D",1,0)+IF(CR1230="D",1,0)+IF(CS1230="D",1,0)+IF(CW1230="D",1,0)+IF(CX1230="D",1,0)+IF(DD1230="D",1,0)+IF(DE1230="D",1,0)+IF(DJ1230="D",1,0)+IF(DK1230="D",1,0)+IF(DO1230="D",1,0)+IF(DP1230="D",1,0)+IF(DQ1230="D",1,0)+IF(DW1230="D",1,0)+IF(DZ1230="D",1,0)+IF(EH1230="D",1,0)</f>
        <v/>
      </c>
      <c r="AY1230">
        <f>IF(DJ1230&lt;&gt;"",1,0)+IF(DK1230&lt;&gt;"",1,0)+IF(DM1230&lt;&gt;"",1,0)+IF(DO1230&lt;&gt;"",1,0)+IF(DP1230&lt;&gt;"",1,0)+IF(DQ1230&lt;&gt;"",1,0)+IF(DS1230&lt;&gt;"",1,0)+IF(DT1230&lt;&gt;"",1,0)+IF(DV1230&lt;&gt;"",1,0)+IF(DW1230&lt;&gt;"",1,0)+IF(DX1230&lt;&gt;"",1,0)+IF(DY1230&lt;&gt;"",1,0)+IF(DZ1230&lt;&gt;"",1,0)+IF(EB1230&lt;&gt;"",1,0)+IF(EC1230&lt;&gt;"",1,0)+IF(ED1230&lt;&gt;"",1,0)+IF(EG1230&lt;&gt;"",1,0)+IF(EH1230&lt;&gt;"",1,0)</f>
        <v/>
      </c>
      <c r="AZ1230">
        <f>IF(EH1230&lt;&gt;"",1,0)</f>
        <v/>
      </c>
      <c r="BB1230" t="inlineStr">
        <is>
          <t>WARREN-WARD 4</t>
        </is>
      </c>
      <c r="CA1230" t="inlineStr">
        <is>
          <t>X</t>
        </is>
      </c>
      <c r="CN1230" t="inlineStr">
        <is>
          <t>X</t>
        </is>
      </c>
      <c r="CP1230" t="inlineStr">
        <is>
          <t>X</t>
        </is>
      </c>
      <c r="DC1230" t="inlineStr">
        <is>
          <t>X</t>
        </is>
      </c>
      <c r="DI1230" t="inlineStr">
        <is>
          <t>X</t>
        </is>
      </c>
      <c r="DN1230" t="inlineStr">
        <is>
          <t>X</t>
        </is>
      </c>
      <c r="EF1230" t="inlineStr">
        <is>
          <t>X</t>
        </is>
      </c>
    </row>
    <row r="1231">
      <c r="A1231" t="inlineStr">
        <is>
          <t>OH0015692853</t>
        </is>
      </c>
      <c r="B1231" t="n">
        <v>78</v>
      </c>
      <c r="C1231" t="n">
        <v>14210</v>
      </c>
      <c r="D1231" t="inlineStr">
        <is>
          <t>WATSON</t>
        </is>
      </c>
      <c r="E1231" t="inlineStr">
        <is>
          <t>JOANN</t>
        </is>
      </c>
      <c r="F1231">
        <f>CONCATENATE(D1231," ",LEFT(H1231,4),"T=",AU1231,"D=",AV1231,"R=",AW1231,"M=",AX1231,"L=",AY1231,"B=",AZ1231)</f>
        <v/>
      </c>
      <c r="I1231" t="inlineStr">
        <is>
          <t>1935-12-23</t>
        </is>
      </c>
      <c r="J1231" t="inlineStr">
        <is>
          <t>2020-11-23</t>
        </is>
      </c>
      <c r="K1231" t="inlineStr">
        <is>
          <t>ACTIVE</t>
        </is>
      </c>
      <c r="L1231" t="inlineStr">
        <is>
          <t>R</t>
        </is>
      </c>
      <c r="M1231" t="inlineStr">
        <is>
          <t>206 CHESTNUT AVE SE</t>
        </is>
      </c>
      <c r="N1231">
        <f>RIGHT(M1231,LEN(M1231)-FIND(" ",M1231))</f>
        <v/>
      </c>
      <c r="P1231" t="inlineStr">
        <is>
          <t>WARREN</t>
        </is>
      </c>
      <c r="Q1231" t="inlineStr">
        <is>
          <t>OH</t>
        </is>
      </c>
      <c r="R1231" t="n">
        <v>44483</v>
      </c>
      <c r="AD1231" t="inlineStr">
        <is>
          <t>TRUMBULL CAREER &amp; TECH CENTER</t>
        </is>
      </c>
      <c r="AE1231" t="inlineStr">
        <is>
          <t>WARREN CITY</t>
        </is>
      </c>
      <c r="AF1231" t="inlineStr">
        <is>
          <t>WARREN CITY SD</t>
        </is>
      </c>
      <c r="AH1231" t="n">
        <v>14</v>
      </c>
      <c r="AI1231" t="n">
        <v>11</v>
      </c>
      <c r="AN1231" t="inlineStr">
        <is>
          <t>WARREN</t>
        </is>
      </c>
      <c r="AO1231" t="inlineStr">
        <is>
          <t>WARREN CITY 4D</t>
        </is>
      </c>
      <c r="AP1231" t="inlineStr">
        <is>
          <t>78-P-ADL</t>
        </is>
      </c>
      <c r="AQ1231" t="n">
        <v>9</v>
      </c>
      <c r="AR1231" t="n">
        <v>64</v>
      </c>
      <c r="AS1231" t="n">
        <v>32</v>
      </c>
      <c r="AU1231">
        <f>COUNTA($BA$1231:$EH$1231)</f>
        <v/>
      </c>
      <c r="AV1231">
        <f>COUNTIF($BA$1231:$EH$1231,"D")</f>
        <v/>
      </c>
      <c r="AW1231">
        <f>COUNTIF($BA$1231:$EH$1231,"R")</f>
        <v/>
      </c>
      <c r="AX1231">
        <f>IF(BN1231="D",1,0)+IF(BO1231="D",1,0)+IF(BT1231="D",1,0)+IF(BU1231="D",1,0)+IF(BW1231="D",1,0)+IF(CC1231="D",1,0)+IF(CD1231="D",1,0)+IF(CE1231="D",1,0)+IF(CF1231="D",1,0)+IF(CL1231="D",1,0)+IF(CM1231="D",1,0)+IF(CQ1231="D",1,0)+IF(CR1231="D",1,0)+IF(CS1231="D",1,0)+IF(CW1231="D",1,0)+IF(CX1231="D",1,0)+IF(DD1231="D",1,0)+IF(DE1231="D",1,0)+IF(DJ1231="D",1,0)+IF(DK1231="D",1,0)+IF(DO1231="D",1,0)+IF(DP1231="D",1,0)+IF(DQ1231="D",1,0)+IF(DW1231="D",1,0)+IF(DZ1231="D",1,0)+IF(EH1231="D",1,0)</f>
        <v/>
      </c>
      <c r="AY1231">
        <f>IF(DJ1231&lt;&gt;"",1,0)+IF(DK1231&lt;&gt;"",1,0)+IF(DM1231&lt;&gt;"",1,0)+IF(DO1231&lt;&gt;"",1,0)+IF(DP1231&lt;&gt;"",1,0)+IF(DQ1231&lt;&gt;"",1,0)+IF(DS1231&lt;&gt;"",1,0)+IF(DT1231&lt;&gt;"",1,0)+IF(DV1231&lt;&gt;"",1,0)+IF(DW1231&lt;&gt;"",1,0)+IF(DX1231&lt;&gt;"",1,0)+IF(DY1231&lt;&gt;"",1,0)+IF(DZ1231&lt;&gt;"",1,0)+IF(EB1231&lt;&gt;"",1,0)+IF(EC1231&lt;&gt;"",1,0)+IF(ED1231&lt;&gt;"",1,0)+IF(EG1231&lt;&gt;"",1,0)+IF(EH1231&lt;&gt;"",1,0)</f>
        <v/>
      </c>
      <c r="AZ1231">
        <f>IF(EH1231&lt;&gt;"",1,0)</f>
        <v/>
      </c>
      <c r="BB1231" t="inlineStr">
        <is>
          <t>WARREN-WARD 4</t>
        </is>
      </c>
      <c r="BC1231" t="inlineStr">
        <is>
          <t>X</t>
        </is>
      </c>
      <c r="BD1231" t="inlineStr">
        <is>
          <t>X</t>
        </is>
      </c>
      <c r="BE1231" t="inlineStr">
        <is>
          <t>X</t>
        </is>
      </c>
      <c r="BF1231" t="inlineStr">
        <is>
          <t>X</t>
        </is>
      </c>
      <c r="BH1231" t="inlineStr">
        <is>
          <t>X</t>
        </is>
      </c>
      <c r="BI1231" t="inlineStr">
        <is>
          <t>X</t>
        </is>
      </c>
      <c r="BJ1231" t="inlineStr">
        <is>
          <t>X</t>
        </is>
      </c>
      <c r="BK1231" t="inlineStr">
        <is>
          <t>X</t>
        </is>
      </c>
      <c r="BP1231" t="inlineStr">
        <is>
          <t>X</t>
        </is>
      </c>
      <c r="BS1231" t="inlineStr">
        <is>
          <t>X</t>
        </is>
      </c>
      <c r="BY1231" t="inlineStr">
        <is>
          <t>R</t>
        </is>
      </c>
      <c r="CA1231" t="inlineStr">
        <is>
          <t>X</t>
        </is>
      </c>
      <c r="CG1231" t="inlineStr">
        <is>
          <t>X</t>
        </is>
      </c>
      <c r="CK1231" t="inlineStr">
        <is>
          <t>X</t>
        </is>
      </c>
      <c r="CN1231" t="inlineStr">
        <is>
          <t>X</t>
        </is>
      </c>
      <c r="CO1231" t="inlineStr">
        <is>
          <t>R</t>
        </is>
      </c>
      <c r="CP1231" t="inlineStr">
        <is>
          <t>X</t>
        </is>
      </c>
      <c r="CV1231" t="inlineStr">
        <is>
          <t>X</t>
        </is>
      </c>
      <c r="CY1231" t="inlineStr">
        <is>
          <t>X</t>
        </is>
      </c>
      <c r="CZ1231" t="inlineStr">
        <is>
          <t>R</t>
        </is>
      </c>
      <c r="DC1231" t="inlineStr">
        <is>
          <t>X</t>
        </is>
      </c>
      <c r="DI1231" t="inlineStr">
        <is>
          <t>X</t>
        </is>
      </c>
      <c r="DJ1231" t="inlineStr">
        <is>
          <t>D</t>
        </is>
      </c>
      <c r="DL1231" t="inlineStr">
        <is>
          <t>X</t>
        </is>
      </c>
      <c r="DM1231" t="inlineStr">
        <is>
          <t>R</t>
        </is>
      </c>
      <c r="DN1231" t="inlineStr">
        <is>
          <t>X</t>
        </is>
      </c>
      <c r="DR1231" t="inlineStr">
        <is>
          <t>X</t>
        </is>
      </c>
      <c r="DS1231" t="inlineStr">
        <is>
          <t>R</t>
        </is>
      </c>
      <c r="DU1231" t="inlineStr">
        <is>
          <t>X</t>
        </is>
      </c>
      <c r="DX1231" t="inlineStr">
        <is>
          <t>X</t>
        </is>
      </c>
      <c r="EA1231" t="inlineStr">
        <is>
          <t>X</t>
        </is>
      </c>
      <c r="ED1231" t="inlineStr">
        <is>
          <t>R</t>
        </is>
      </c>
      <c r="EF1231" t="inlineStr">
        <is>
          <t>X</t>
        </is>
      </c>
    </row>
    <row r="1232">
      <c r="A1232" t="inlineStr">
        <is>
          <t>OH0015759509</t>
        </is>
      </c>
      <c r="B1232" t="n">
        <v>78</v>
      </c>
      <c r="C1232" t="n">
        <v>246656</v>
      </c>
      <c r="D1232" t="inlineStr">
        <is>
          <t>BOOKER</t>
        </is>
      </c>
      <c r="E1232" t="inlineStr">
        <is>
          <t>CORNELIUS</t>
        </is>
      </c>
      <c r="F1232">
        <f>CONCATENATE(D1232," ",LEFT(H1232,4),"T=",AU1232,"D=",AV1232,"R=",AW1232,"M=",AX1232,"L=",AY1232,"B=",AZ1232)</f>
        <v/>
      </c>
      <c r="H1232" t="inlineStr">
        <is>
          <t>JR</t>
        </is>
      </c>
      <c r="I1232" t="inlineStr">
        <is>
          <t>1954-08-18</t>
        </is>
      </c>
      <c r="J1232" t="inlineStr">
        <is>
          <t>2024-08-28</t>
        </is>
      </c>
      <c r="K1232" t="inlineStr">
        <is>
          <t>ACTIVE</t>
        </is>
      </c>
      <c r="M1232" t="inlineStr">
        <is>
          <t>1156 WOODLAND AVE NE</t>
        </is>
      </c>
      <c r="N1232">
        <f>RIGHT(M1232,LEN(M1232)-FIND(" ",M1232))</f>
        <v/>
      </c>
      <c r="O1232" t="inlineStr">
        <is>
          <t>APT A</t>
        </is>
      </c>
      <c r="P1232" t="inlineStr">
        <is>
          <t>WARREN</t>
        </is>
      </c>
      <c r="Q1232" t="inlineStr">
        <is>
          <t>OH</t>
        </is>
      </c>
      <c r="R1232" t="n">
        <v>44483</v>
      </c>
      <c r="AD1232" t="inlineStr">
        <is>
          <t>TRUMBULL CAREER &amp; TECH CENTER</t>
        </is>
      </c>
      <c r="AE1232" t="inlineStr">
        <is>
          <t>WARREN CITY</t>
        </is>
      </c>
      <c r="AF1232" t="inlineStr">
        <is>
          <t>WARREN CITY SD</t>
        </is>
      </c>
      <c r="AH1232" t="n">
        <v>14</v>
      </c>
      <c r="AI1232" t="n">
        <v>11</v>
      </c>
      <c r="AN1232" t="inlineStr">
        <is>
          <t>WARREN</t>
        </is>
      </c>
      <c r="AO1232" t="inlineStr">
        <is>
          <t>WARREN CITY 4D</t>
        </is>
      </c>
      <c r="AP1232" t="inlineStr">
        <is>
          <t>78-P-ADL</t>
        </is>
      </c>
      <c r="AQ1232" t="n">
        <v>9</v>
      </c>
      <c r="AR1232" t="n">
        <v>64</v>
      </c>
      <c r="AS1232" t="n">
        <v>32</v>
      </c>
      <c r="AU1232">
        <f>COUNTA($BA$1232:$EH$1232)</f>
        <v/>
      </c>
      <c r="AV1232">
        <f>COUNTIF($BA$1232:$EH$1232,"D")</f>
        <v/>
      </c>
      <c r="AW1232">
        <f>COUNTIF($BA$1232:$EH$1232,"R")</f>
        <v/>
      </c>
      <c r="AX1232">
        <f>IF(BN1232="D",1,0)+IF(BO1232="D",1,0)+IF(BT1232="D",1,0)+IF(BU1232="D",1,0)+IF(BW1232="D",1,0)+IF(CC1232="D",1,0)+IF(CD1232="D",1,0)+IF(CE1232="D",1,0)+IF(CF1232="D",1,0)+IF(CL1232="D",1,0)+IF(CM1232="D",1,0)+IF(CQ1232="D",1,0)+IF(CR1232="D",1,0)+IF(CS1232="D",1,0)+IF(CW1232="D",1,0)+IF(CX1232="D",1,0)+IF(DD1232="D",1,0)+IF(DE1232="D",1,0)+IF(DJ1232="D",1,0)+IF(DK1232="D",1,0)+IF(DO1232="D",1,0)+IF(DP1232="D",1,0)+IF(DQ1232="D",1,0)+IF(DW1232="D",1,0)+IF(DZ1232="D",1,0)+IF(EH1232="D",1,0)</f>
        <v/>
      </c>
      <c r="AY1232">
        <f>IF(DJ1232&lt;&gt;"",1,0)+IF(DK1232&lt;&gt;"",1,0)+IF(DM1232&lt;&gt;"",1,0)+IF(DO1232&lt;&gt;"",1,0)+IF(DP1232&lt;&gt;"",1,0)+IF(DQ1232&lt;&gt;"",1,0)+IF(DS1232&lt;&gt;"",1,0)+IF(DT1232&lt;&gt;"",1,0)+IF(DV1232&lt;&gt;"",1,0)+IF(DW1232&lt;&gt;"",1,0)+IF(DX1232&lt;&gt;"",1,0)+IF(DY1232&lt;&gt;"",1,0)+IF(DZ1232&lt;&gt;"",1,0)+IF(EB1232&lt;&gt;"",1,0)+IF(EC1232&lt;&gt;"",1,0)+IF(ED1232&lt;&gt;"",1,0)+IF(EG1232&lt;&gt;"",1,0)+IF(EH1232&lt;&gt;"",1,0)</f>
        <v/>
      </c>
      <c r="AZ1232">
        <f>IF(EH1232&lt;&gt;"",1,0)</f>
        <v/>
      </c>
      <c r="BB1232" t="inlineStr">
        <is>
          <t>WARREN-WARD 4</t>
        </is>
      </c>
      <c r="BD1232" t="inlineStr">
        <is>
          <t>X</t>
        </is>
      </c>
      <c r="BL1232" t="inlineStr">
        <is>
          <t>X</t>
        </is>
      </c>
      <c r="BS1232" t="inlineStr">
        <is>
          <t>X</t>
        </is>
      </c>
      <c r="BY1232" t="inlineStr">
        <is>
          <t>D</t>
        </is>
      </c>
      <c r="CA1232" t="inlineStr">
        <is>
          <t>X</t>
        </is>
      </c>
      <c r="CK1232" t="inlineStr">
        <is>
          <t>X</t>
        </is>
      </c>
      <c r="CP1232" t="inlineStr">
        <is>
          <t>X</t>
        </is>
      </c>
      <c r="CV1232" t="inlineStr">
        <is>
          <t>X</t>
        </is>
      </c>
      <c r="CY1232" t="inlineStr">
        <is>
          <t>X</t>
        </is>
      </c>
      <c r="CZ1232" t="inlineStr">
        <is>
          <t>D</t>
        </is>
      </c>
      <c r="DC1232" t="inlineStr">
        <is>
          <t>X</t>
        </is>
      </c>
      <c r="DI1232" t="inlineStr">
        <is>
          <t>X</t>
        </is>
      </c>
      <c r="DL1232" t="inlineStr">
        <is>
          <t>X</t>
        </is>
      </c>
      <c r="DM1232" t="inlineStr">
        <is>
          <t>D</t>
        </is>
      </c>
      <c r="DN1232" t="inlineStr">
        <is>
          <t>X</t>
        </is>
      </c>
      <c r="EF1232" t="inlineStr">
        <is>
          <t>X</t>
        </is>
      </c>
    </row>
    <row r="1233">
      <c r="A1233" t="inlineStr">
        <is>
          <t>OH0022328363</t>
        </is>
      </c>
      <c r="B1233" t="n">
        <v>78</v>
      </c>
      <c r="C1233" t="n">
        <v>384094</v>
      </c>
      <c r="D1233" t="inlineStr">
        <is>
          <t>SANTIAGO</t>
        </is>
      </c>
      <c r="E1233" t="inlineStr">
        <is>
          <t>JENNIFER</t>
        </is>
      </c>
      <c r="F1233">
        <f>CONCATENATE(D1233," ",LEFT(H1233,4),"T=",AU1233,"D=",AV1233,"R=",AW1233,"M=",AX1233,"L=",AY1233,"B=",AZ1233)</f>
        <v/>
      </c>
      <c r="I1233" t="inlineStr">
        <is>
          <t>1993-12-13</t>
        </is>
      </c>
      <c r="J1233" t="inlineStr">
        <is>
          <t>2012-11-06</t>
        </is>
      </c>
      <c r="K1233" t="inlineStr">
        <is>
          <t>CONFIRMATION</t>
        </is>
      </c>
      <c r="M1233" t="inlineStr">
        <is>
          <t>512 HIGH ST NE</t>
        </is>
      </c>
      <c r="N1233">
        <f>RIGHT(M1233,LEN(M1233)-FIND(" ",M1233))</f>
        <v/>
      </c>
      <c r="P1233" t="inlineStr">
        <is>
          <t>WARREN</t>
        </is>
      </c>
      <c r="Q1233" t="inlineStr">
        <is>
          <t>OH</t>
        </is>
      </c>
      <c r="R1233" t="n">
        <v>44483</v>
      </c>
      <c r="AD1233" t="inlineStr">
        <is>
          <t>TRUMBULL CAREER &amp; TECH CENTER</t>
        </is>
      </c>
      <c r="AE1233" t="inlineStr">
        <is>
          <t>WARREN CITY</t>
        </is>
      </c>
      <c r="AF1233" t="inlineStr">
        <is>
          <t>WARREN CITY SD</t>
        </is>
      </c>
      <c r="AH1233" t="n">
        <v>14</v>
      </c>
      <c r="AI1233" t="n">
        <v>11</v>
      </c>
      <c r="AN1233" t="inlineStr">
        <is>
          <t>WARREN</t>
        </is>
      </c>
      <c r="AO1233" t="inlineStr">
        <is>
          <t>WARREN CITY 4D</t>
        </is>
      </c>
      <c r="AP1233" t="inlineStr">
        <is>
          <t>78-P-ADL</t>
        </is>
      </c>
      <c r="AQ1233" t="n">
        <v>9</v>
      </c>
      <c r="AR1233" t="n">
        <v>64</v>
      </c>
      <c r="AS1233" t="n">
        <v>32</v>
      </c>
      <c r="AU1233">
        <f>COUNTA($BA$1233:$EH$1233)</f>
        <v/>
      </c>
      <c r="AV1233">
        <f>COUNTIF($BA$1233:$EH$1233,"D")</f>
        <v/>
      </c>
      <c r="AW1233">
        <f>COUNTIF($BA$1233:$EH$1233,"R")</f>
        <v/>
      </c>
      <c r="AX1233">
        <f>IF(BN1233="D",1,0)+IF(BO1233="D",1,0)+IF(BT1233="D",1,0)+IF(BU1233="D",1,0)+IF(BW1233="D",1,0)+IF(CC1233="D",1,0)+IF(CD1233="D",1,0)+IF(CE1233="D",1,0)+IF(CF1233="D",1,0)+IF(CL1233="D",1,0)+IF(CM1233="D",1,0)+IF(CQ1233="D",1,0)+IF(CR1233="D",1,0)+IF(CS1233="D",1,0)+IF(CW1233="D",1,0)+IF(CX1233="D",1,0)+IF(DD1233="D",1,0)+IF(DE1233="D",1,0)+IF(DJ1233="D",1,0)+IF(DK1233="D",1,0)+IF(DO1233="D",1,0)+IF(DP1233="D",1,0)+IF(DQ1233="D",1,0)+IF(DW1233="D",1,0)+IF(DZ1233="D",1,0)+IF(EH1233="D",1,0)</f>
        <v/>
      </c>
      <c r="AY1233">
        <f>IF(DJ1233&lt;&gt;"",1,0)+IF(DK1233&lt;&gt;"",1,0)+IF(DM1233&lt;&gt;"",1,0)+IF(DO1233&lt;&gt;"",1,0)+IF(DP1233&lt;&gt;"",1,0)+IF(DQ1233&lt;&gt;"",1,0)+IF(DS1233&lt;&gt;"",1,0)+IF(DT1233&lt;&gt;"",1,0)+IF(DV1233&lt;&gt;"",1,0)+IF(DW1233&lt;&gt;"",1,0)+IF(DX1233&lt;&gt;"",1,0)+IF(DY1233&lt;&gt;"",1,0)+IF(DZ1233&lt;&gt;"",1,0)+IF(EB1233&lt;&gt;"",1,0)+IF(EC1233&lt;&gt;"",1,0)+IF(ED1233&lt;&gt;"",1,0)+IF(EG1233&lt;&gt;"",1,0)+IF(EH1233&lt;&gt;"",1,0)</f>
        <v/>
      </c>
      <c r="AZ1233">
        <f>IF(EH1233&lt;&gt;"",1,0)</f>
        <v/>
      </c>
      <c r="BB1233" t="inlineStr">
        <is>
          <t>WARREN-WARD 4</t>
        </is>
      </c>
      <c r="CZ1233" t="inlineStr">
        <is>
          <t>D</t>
        </is>
      </c>
    </row>
    <row r="1234">
      <c r="A1234" t="inlineStr">
        <is>
          <t>OH0015869279</t>
        </is>
      </c>
      <c r="B1234" t="n">
        <v>78</v>
      </c>
      <c r="C1234" t="n">
        <v>332320</v>
      </c>
      <c r="D1234" t="inlineStr">
        <is>
          <t>MCKENZIE</t>
        </is>
      </c>
      <c r="E1234" t="inlineStr">
        <is>
          <t>CANDY</t>
        </is>
      </c>
      <c r="F1234">
        <f>CONCATENATE(D1234," ",LEFT(H1234,4),"T=",AU1234,"D=",AV1234,"R=",AW1234,"M=",AX1234,"L=",AY1234,"B=",AZ1234)</f>
        <v/>
      </c>
      <c r="G1234" t="inlineStr">
        <is>
          <t>J</t>
        </is>
      </c>
      <c r="I1234" t="inlineStr">
        <is>
          <t>1964-06-02</t>
        </is>
      </c>
      <c r="J1234" t="inlineStr">
        <is>
          <t>2011-11-30</t>
        </is>
      </c>
      <c r="K1234" t="inlineStr">
        <is>
          <t>ACTIVE</t>
        </is>
      </c>
      <c r="M1234" t="inlineStr">
        <is>
          <t>146 MONROE ST NW</t>
        </is>
      </c>
      <c r="N1234">
        <f>RIGHT(M1234,LEN(M1234)-FIND(" ",M1234))</f>
        <v/>
      </c>
      <c r="P1234" t="inlineStr">
        <is>
          <t>WARREN</t>
        </is>
      </c>
      <c r="Q1234" t="inlineStr">
        <is>
          <t>OH</t>
        </is>
      </c>
      <c r="R1234" t="n">
        <v>44483</v>
      </c>
      <c r="AD1234" t="inlineStr">
        <is>
          <t>TRUMBULL CAREER &amp; TECH CENTER</t>
        </is>
      </c>
      <c r="AE1234" t="inlineStr">
        <is>
          <t>WARREN CITY</t>
        </is>
      </c>
      <c r="AF1234" t="inlineStr">
        <is>
          <t>WARREN CITY SD</t>
        </is>
      </c>
      <c r="AH1234" t="n">
        <v>14</v>
      </c>
      <c r="AI1234" t="n">
        <v>11</v>
      </c>
      <c r="AN1234" t="inlineStr">
        <is>
          <t>WARREN</t>
        </is>
      </c>
      <c r="AO1234" t="inlineStr">
        <is>
          <t>WARREN CITY 4D</t>
        </is>
      </c>
      <c r="AP1234" t="inlineStr">
        <is>
          <t>78-P-ADL</t>
        </is>
      </c>
      <c r="AQ1234" t="n">
        <v>9</v>
      </c>
      <c r="AR1234" t="n">
        <v>64</v>
      </c>
      <c r="AS1234" t="n">
        <v>32</v>
      </c>
      <c r="AU1234">
        <f>COUNTA($BA$1234:$EH$1234)</f>
        <v/>
      </c>
      <c r="AV1234">
        <f>COUNTIF($BA$1234:$EH$1234,"D")</f>
        <v/>
      </c>
      <c r="AW1234">
        <f>COUNTIF($BA$1234:$EH$1234,"R")</f>
        <v/>
      </c>
      <c r="AX1234">
        <f>IF(BN1234="D",1,0)+IF(BO1234="D",1,0)+IF(BT1234="D",1,0)+IF(BU1234="D",1,0)+IF(BW1234="D",1,0)+IF(CC1234="D",1,0)+IF(CD1234="D",1,0)+IF(CE1234="D",1,0)+IF(CF1234="D",1,0)+IF(CL1234="D",1,0)+IF(CM1234="D",1,0)+IF(CQ1234="D",1,0)+IF(CR1234="D",1,0)+IF(CS1234="D",1,0)+IF(CW1234="D",1,0)+IF(CX1234="D",1,0)+IF(DD1234="D",1,0)+IF(DE1234="D",1,0)+IF(DJ1234="D",1,0)+IF(DK1234="D",1,0)+IF(DO1234="D",1,0)+IF(DP1234="D",1,0)+IF(DQ1234="D",1,0)+IF(DW1234="D",1,0)+IF(DZ1234="D",1,0)+IF(EH1234="D",1,0)</f>
        <v/>
      </c>
      <c r="AY1234">
        <f>IF(DJ1234&lt;&gt;"",1,0)+IF(DK1234&lt;&gt;"",1,0)+IF(DM1234&lt;&gt;"",1,0)+IF(DO1234&lt;&gt;"",1,0)+IF(DP1234&lt;&gt;"",1,0)+IF(DQ1234&lt;&gt;"",1,0)+IF(DS1234&lt;&gt;"",1,0)+IF(DT1234&lt;&gt;"",1,0)+IF(DV1234&lt;&gt;"",1,0)+IF(DW1234&lt;&gt;"",1,0)+IF(DX1234&lt;&gt;"",1,0)+IF(DY1234&lt;&gt;"",1,0)+IF(DZ1234&lt;&gt;"",1,0)+IF(EB1234&lt;&gt;"",1,0)+IF(EC1234&lt;&gt;"",1,0)+IF(ED1234&lt;&gt;"",1,0)+IF(EG1234&lt;&gt;"",1,0)+IF(EH1234&lt;&gt;"",1,0)</f>
        <v/>
      </c>
      <c r="AZ1234">
        <f>IF(EH1234&lt;&gt;"",1,0)</f>
        <v/>
      </c>
      <c r="BB1234" t="inlineStr">
        <is>
          <t>WARREN-WARD 4</t>
        </is>
      </c>
      <c r="BL1234" t="inlineStr">
        <is>
          <t>X</t>
        </is>
      </c>
      <c r="CN1234" t="inlineStr">
        <is>
          <t>X</t>
        </is>
      </c>
      <c r="CO1234" t="inlineStr">
        <is>
          <t>D</t>
        </is>
      </c>
      <c r="CP1234" t="inlineStr">
        <is>
          <t>X</t>
        </is>
      </c>
      <c r="CT1234" t="inlineStr">
        <is>
          <t>X</t>
        </is>
      </c>
      <c r="CY1234" t="inlineStr">
        <is>
          <t>X</t>
        </is>
      </c>
      <c r="DC1234" t="inlineStr">
        <is>
          <t>X</t>
        </is>
      </c>
      <c r="DG1234" t="inlineStr">
        <is>
          <t>R</t>
        </is>
      </c>
      <c r="DI1234" t="inlineStr">
        <is>
          <t>X</t>
        </is>
      </c>
      <c r="DL1234" t="inlineStr">
        <is>
          <t>X</t>
        </is>
      </c>
      <c r="DN1234" t="inlineStr">
        <is>
          <t>X</t>
        </is>
      </c>
      <c r="EA1234" t="inlineStr">
        <is>
          <t>X</t>
        </is>
      </c>
    </row>
    <row r="1235">
      <c r="A1235" t="inlineStr">
        <is>
          <t>OH0015744305</t>
        </is>
      </c>
      <c r="B1235" t="n">
        <v>78</v>
      </c>
      <c r="C1235" t="n">
        <v>314635</v>
      </c>
      <c r="D1235" t="inlineStr">
        <is>
          <t>STEELE</t>
        </is>
      </c>
      <c r="E1235" t="inlineStr">
        <is>
          <t>CORIANNE</t>
        </is>
      </c>
      <c r="F1235">
        <f>CONCATENATE(D1235," ",LEFT(H1235,4),"T=",AU1235,"D=",AV1235,"R=",AW1235,"M=",AX1235,"L=",AY1235,"B=",AZ1235)</f>
        <v/>
      </c>
      <c r="G1235" t="inlineStr">
        <is>
          <t>L</t>
        </is>
      </c>
      <c r="I1235" t="inlineStr">
        <is>
          <t>1985-02-11</t>
        </is>
      </c>
      <c r="J1235" t="inlineStr">
        <is>
          <t>2018-04-21</t>
        </is>
      </c>
      <c r="K1235" t="inlineStr">
        <is>
          <t>CONFIRMATION</t>
        </is>
      </c>
      <c r="M1235" t="inlineStr">
        <is>
          <t>245 E MARKET ST</t>
        </is>
      </c>
      <c r="N1235">
        <f>RIGHT(M1235,LEN(M1235)-FIND(" ",M1235))</f>
        <v/>
      </c>
      <c r="P1235" t="inlineStr">
        <is>
          <t>WARREN</t>
        </is>
      </c>
      <c r="Q1235" t="inlineStr">
        <is>
          <t>OH</t>
        </is>
      </c>
      <c r="R1235" t="n">
        <v>44481</v>
      </c>
      <c r="AD1235" t="inlineStr">
        <is>
          <t>TRUMBULL CAREER &amp; TECH CENTER</t>
        </is>
      </c>
      <c r="AE1235" t="inlineStr">
        <is>
          <t>WARREN CITY</t>
        </is>
      </c>
      <c r="AF1235" t="inlineStr">
        <is>
          <t>WARREN CITY SD</t>
        </is>
      </c>
      <c r="AH1235" t="n">
        <v>14</v>
      </c>
      <c r="AI1235" t="n">
        <v>11</v>
      </c>
      <c r="AN1235" t="inlineStr">
        <is>
          <t>WARREN</t>
        </is>
      </c>
      <c r="AO1235" t="inlineStr">
        <is>
          <t>WARREN CITY 4D</t>
        </is>
      </c>
      <c r="AP1235" t="inlineStr">
        <is>
          <t>78-P-ADL</t>
        </is>
      </c>
      <c r="AQ1235" t="n">
        <v>9</v>
      </c>
      <c r="AR1235" t="n">
        <v>64</v>
      </c>
      <c r="AS1235" t="n">
        <v>32</v>
      </c>
      <c r="AU1235">
        <f>COUNTA($BA$1235:$EH$1235)</f>
        <v/>
      </c>
      <c r="AV1235">
        <f>COUNTIF($BA$1235:$EH$1235,"D")</f>
        <v/>
      </c>
      <c r="AW1235">
        <f>COUNTIF($BA$1235:$EH$1235,"R")</f>
        <v/>
      </c>
      <c r="AX1235">
        <f>IF(BN1235="D",1,0)+IF(BO1235="D",1,0)+IF(BT1235="D",1,0)+IF(BU1235="D",1,0)+IF(BW1235="D",1,0)+IF(CC1235="D",1,0)+IF(CD1235="D",1,0)+IF(CE1235="D",1,0)+IF(CF1235="D",1,0)+IF(CL1235="D",1,0)+IF(CM1235="D",1,0)+IF(CQ1235="D",1,0)+IF(CR1235="D",1,0)+IF(CS1235="D",1,0)+IF(CW1235="D",1,0)+IF(CX1235="D",1,0)+IF(DD1235="D",1,0)+IF(DE1235="D",1,0)+IF(DJ1235="D",1,0)+IF(DK1235="D",1,0)+IF(DO1235="D",1,0)+IF(DP1235="D",1,0)+IF(DQ1235="D",1,0)+IF(DW1235="D",1,0)+IF(DZ1235="D",1,0)+IF(EH1235="D",1,0)</f>
        <v/>
      </c>
      <c r="AY1235">
        <f>IF(DJ1235&lt;&gt;"",1,0)+IF(DK1235&lt;&gt;"",1,0)+IF(DM1235&lt;&gt;"",1,0)+IF(DO1235&lt;&gt;"",1,0)+IF(DP1235&lt;&gt;"",1,0)+IF(DQ1235&lt;&gt;"",1,0)+IF(DS1235&lt;&gt;"",1,0)+IF(DT1235&lt;&gt;"",1,0)+IF(DV1235&lt;&gt;"",1,0)+IF(DW1235&lt;&gt;"",1,0)+IF(DX1235&lt;&gt;"",1,0)+IF(DY1235&lt;&gt;"",1,0)+IF(DZ1235&lt;&gt;"",1,0)+IF(EB1235&lt;&gt;"",1,0)+IF(EC1235&lt;&gt;"",1,0)+IF(ED1235&lt;&gt;"",1,0)+IF(EG1235&lt;&gt;"",1,0)+IF(EH1235&lt;&gt;"",1,0)</f>
        <v/>
      </c>
      <c r="AZ1235">
        <f>IF(EH1235&lt;&gt;"",1,0)</f>
        <v/>
      </c>
      <c r="BB1235" t="inlineStr">
        <is>
          <t>WARREN-WARD 4</t>
        </is>
      </c>
    </row>
    <row r="1236">
      <c r="A1236" t="inlineStr">
        <is>
          <t>OH0023062855</t>
        </is>
      </c>
      <c r="B1236" t="n">
        <v>78</v>
      </c>
      <c r="C1236" t="n">
        <v>406194</v>
      </c>
      <c r="D1236" t="inlineStr">
        <is>
          <t>DELEO</t>
        </is>
      </c>
      <c r="E1236" t="inlineStr">
        <is>
          <t>VERONICA</t>
        </is>
      </c>
      <c r="F1236">
        <f>CONCATENATE(D1236," ",LEFT(H1236,4),"T=",AU1236,"D=",AV1236,"R=",AW1236,"M=",AX1236,"L=",AY1236,"B=",AZ1236)</f>
        <v/>
      </c>
      <c r="G1236" t="inlineStr">
        <is>
          <t>ANNALISILLA</t>
        </is>
      </c>
      <c r="I1236" t="inlineStr">
        <is>
          <t>1995-02-20</t>
        </is>
      </c>
      <c r="J1236" t="inlineStr">
        <is>
          <t>2015-02-25</t>
        </is>
      </c>
      <c r="K1236" t="inlineStr">
        <is>
          <t>CONFIRMATION</t>
        </is>
      </c>
      <c r="M1236" t="inlineStr">
        <is>
          <t>598 HIGH ST NE</t>
        </is>
      </c>
      <c r="N1236">
        <f>RIGHT(M1236,LEN(M1236)-FIND(" ",M1236))</f>
        <v/>
      </c>
      <c r="P1236" t="inlineStr">
        <is>
          <t>WARREN</t>
        </is>
      </c>
      <c r="Q1236" t="inlineStr">
        <is>
          <t>OH</t>
        </is>
      </c>
      <c r="R1236" t="n">
        <v>44483</v>
      </c>
      <c r="AD1236" t="inlineStr">
        <is>
          <t>TRUMBULL CAREER &amp; TECH CENTER</t>
        </is>
      </c>
      <c r="AE1236" t="inlineStr">
        <is>
          <t>WARREN CITY</t>
        </is>
      </c>
      <c r="AF1236" t="inlineStr">
        <is>
          <t>WARREN CITY SD</t>
        </is>
      </c>
      <c r="AH1236" t="n">
        <v>14</v>
      </c>
      <c r="AI1236" t="n">
        <v>11</v>
      </c>
      <c r="AN1236" t="inlineStr">
        <is>
          <t>WARREN</t>
        </is>
      </c>
      <c r="AO1236" t="inlineStr">
        <is>
          <t>WARREN CITY 4D</t>
        </is>
      </c>
      <c r="AP1236" t="inlineStr">
        <is>
          <t>78-P-ADL</t>
        </is>
      </c>
      <c r="AQ1236" t="n">
        <v>9</v>
      </c>
      <c r="AR1236" t="n">
        <v>64</v>
      </c>
      <c r="AS1236" t="n">
        <v>32</v>
      </c>
      <c r="AU1236">
        <f>COUNTA($BA$1236:$EH$1236)</f>
        <v/>
      </c>
      <c r="AV1236">
        <f>COUNTIF($BA$1236:$EH$1236,"D")</f>
        <v/>
      </c>
      <c r="AW1236">
        <f>COUNTIF($BA$1236:$EH$1236,"R")</f>
        <v/>
      </c>
      <c r="AX1236">
        <f>IF(BN1236="D",1,0)+IF(BO1236="D",1,0)+IF(BT1236="D",1,0)+IF(BU1236="D",1,0)+IF(BW1236="D",1,0)+IF(CC1236="D",1,0)+IF(CD1236="D",1,0)+IF(CE1236="D",1,0)+IF(CF1236="D",1,0)+IF(CL1236="D",1,0)+IF(CM1236="D",1,0)+IF(CQ1236="D",1,0)+IF(CR1236="D",1,0)+IF(CS1236="D",1,0)+IF(CW1236="D",1,0)+IF(CX1236="D",1,0)+IF(DD1236="D",1,0)+IF(DE1236="D",1,0)+IF(DJ1236="D",1,0)+IF(DK1236="D",1,0)+IF(DO1236="D",1,0)+IF(DP1236="D",1,0)+IF(DQ1236="D",1,0)+IF(DW1236="D",1,0)+IF(DZ1236="D",1,0)+IF(EH1236="D",1,0)</f>
        <v/>
      </c>
      <c r="AY1236">
        <f>IF(DJ1236&lt;&gt;"",1,0)+IF(DK1236&lt;&gt;"",1,0)+IF(DM1236&lt;&gt;"",1,0)+IF(DO1236&lt;&gt;"",1,0)+IF(DP1236&lt;&gt;"",1,0)+IF(DQ1236&lt;&gt;"",1,0)+IF(DS1236&lt;&gt;"",1,0)+IF(DT1236&lt;&gt;"",1,0)+IF(DV1236&lt;&gt;"",1,0)+IF(DW1236&lt;&gt;"",1,0)+IF(DX1236&lt;&gt;"",1,0)+IF(DY1236&lt;&gt;"",1,0)+IF(DZ1236&lt;&gt;"",1,0)+IF(EB1236&lt;&gt;"",1,0)+IF(EC1236&lt;&gt;"",1,0)+IF(ED1236&lt;&gt;"",1,0)+IF(EG1236&lt;&gt;"",1,0)+IF(EH1236&lt;&gt;"",1,0)</f>
        <v/>
      </c>
      <c r="AZ1236">
        <f>IF(EH1236&lt;&gt;"",1,0)</f>
        <v/>
      </c>
      <c r="BB1236" t="inlineStr">
        <is>
          <t>WARREN-WARD 4</t>
        </is>
      </c>
      <c r="CZ1236" t="inlineStr">
        <is>
          <t>D</t>
        </is>
      </c>
    </row>
    <row r="1237">
      <c r="A1237" t="inlineStr">
        <is>
          <t>OH0015727856</t>
        </is>
      </c>
      <c r="B1237" t="n">
        <v>78</v>
      </c>
      <c r="C1237" t="n">
        <v>299292</v>
      </c>
      <c r="D1237" t="inlineStr">
        <is>
          <t>MAZZOLA</t>
        </is>
      </c>
      <c r="E1237" t="inlineStr">
        <is>
          <t>RUSSELL</t>
        </is>
      </c>
      <c r="F1237">
        <f>CONCATENATE(D1237," ",LEFT(H1237,4),"T=",AU1237,"D=",AV1237,"R=",AW1237,"M=",AX1237,"L=",AY1237,"B=",AZ1237)</f>
        <v/>
      </c>
      <c r="G1237" t="inlineStr">
        <is>
          <t>DOMINIC</t>
        </is>
      </c>
      <c r="I1237" t="inlineStr">
        <is>
          <t>1973-09-12</t>
        </is>
      </c>
      <c r="J1237" t="inlineStr">
        <is>
          <t>2021-09-29</t>
        </is>
      </c>
      <c r="K1237" t="inlineStr">
        <is>
          <t>CONFIRMATION</t>
        </is>
      </c>
      <c r="M1237" t="inlineStr">
        <is>
          <t>481 WAVERLY AVE NE</t>
        </is>
      </c>
      <c r="N1237">
        <f>RIGHT(M1237,LEN(M1237)-FIND(" ",M1237))</f>
        <v/>
      </c>
      <c r="P1237" t="inlineStr">
        <is>
          <t>WARREN</t>
        </is>
      </c>
      <c r="Q1237" t="inlineStr">
        <is>
          <t>OH</t>
        </is>
      </c>
      <c r="R1237" t="n">
        <v>44483</v>
      </c>
      <c r="AD1237" t="inlineStr">
        <is>
          <t>TRUMBULL CAREER &amp; TECH CENTER</t>
        </is>
      </c>
      <c r="AE1237" t="inlineStr">
        <is>
          <t>WARREN CITY</t>
        </is>
      </c>
      <c r="AF1237" t="inlineStr">
        <is>
          <t>WARREN CITY SD</t>
        </is>
      </c>
      <c r="AH1237" t="n">
        <v>14</v>
      </c>
      <c r="AI1237" t="n">
        <v>11</v>
      </c>
      <c r="AN1237" t="inlineStr">
        <is>
          <t>WARREN</t>
        </is>
      </c>
      <c r="AO1237" t="inlineStr">
        <is>
          <t>WARREN CITY 4D</t>
        </is>
      </c>
      <c r="AP1237" t="inlineStr">
        <is>
          <t>78-P-ADL</t>
        </is>
      </c>
      <c r="AQ1237" t="n">
        <v>9</v>
      </c>
      <c r="AR1237" t="n">
        <v>64</v>
      </c>
      <c r="AS1237" t="n">
        <v>32</v>
      </c>
      <c r="AU1237">
        <f>COUNTA($BA$1237:$EH$1237)</f>
        <v/>
      </c>
      <c r="AV1237">
        <f>COUNTIF($BA$1237:$EH$1237,"D")</f>
        <v/>
      </c>
      <c r="AW1237">
        <f>COUNTIF($BA$1237:$EH$1237,"R")</f>
        <v/>
      </c>
      <c r="AX1237">
        <f>IF(BN1237="D",1,0)+IF(BO1237="D",1,0)+IF(BT1237="D",1,0)+IF(BU1237="D",1,0)+IF(BW1237="D",1,0)+IF(CC1237="D",1,0)+IF(CD1237="D",1,0)+IF(CE1237="D",1,0)+IF(CF1237="D",1,0)+IF(CL1237="D",1,0)+IF(CM1237="D",1,0)+IF(CQ1237="D",1,0)+IF(CR1237="D",1,0)+IF(CS1237="D",1,0)+IF(CW1237="D",1,0)+IF(CX1237="D",1,0)+IF(DD1237="D",1,0)+IF(DE1237="D",1,0)+IF(DJ1237="D",1,0)+IF(DK1237="D",1,0)+IF(DO1237="D",1,0)+IF(DP1237="D",1,0)+IF(DQ1237="D",1,0)+IF(DW1237="D",1,0)+IF(DZ1237="D",1,0)+IF(EH1237="D",1,0)</f>
        <v/>
      </c>
      <c r="AY1237">
        <f>IF(DJ1237&lt;&gt;"",1,0)+IF(DK1237&lt;&gt;"",1,0)+IF(DM1237&lt;&gt;"",1,0)+IF(DO1237&lt;&gt;"",1,0)+IF(DP1237&lt;&gt;"",1,0)+IF(DQ1237&lt;&gt;"",1,0)+IF(DS1237&lt;&gt;"",1,0)+IF(DT1237&lt;&gt;"",1,0)+IF(DV1237&lt;&gt;"",1,0)+IF(DW1237&lt;&gt;"",1,0)+IF(DX1237&lt;&gt;"",1,0)+IF(DY1237&lt;&gt;"",1,0)+IF(DZ1237&lt;&gt;"",1,0)+IF(EB1237&lt;&gt;"",1,0)+IF(EC1237&lt;&gt;"",1,0)+IF(ED1237&lt;&gt;"",1,0)+IF(EG1237&lt;&gt;"",1,0)+IF(EH1237&lt;&gt;"",1,0)</f>
        <v/>
      </c>
      <c r="AZ1237">
        <f>IF(EH1237&lt;&gt;"",1,0)</f>
        <v/>
      </c>
      <c r="BB1237" t="inlineStr">
        <is>
          <t>WARREN-WARD 4</t>
        </is>
      </c>
      <c r="BD1237" t="inlineStr">
        <is>
          <t>X</t>
        </is>
      </c>
      <c r="BL1237" t="inlineStr">
        <is>
          <t>X</t>
        </is>
      </c>
    </row>
    <row r="1238">
      <c r="A1238" t="inlineStr">
        <is>
          <t>OH0015710197</t>
        </is>
      </c>
      <c r="B1238" t="n">
        <v>78</v>
      </c>
      <c r="C1238" t="n">
        <v>177136</v>
      </c>
      <c r="D1238" t="inlineStr">
        <is>
          <t>PHILLIPS</t>
        </is>
      </c>
      <c r="E1238" t="inlineStr">
        <is>
          <t>TIMOTHY</t>
        </is>
      </c>
      <c r="F1238">
        <f>CONCATENATE(D1238," ",LEFT(H1238,4),"T=",AU1238,"D=",AV1238,"R=",AW1238,"M=",AX1238,"L=",AY1238,"B=",AZ1238)</f>
        <v/>
      </c>
      <c r="G1238" t="inlineStr">
        <is>
          <t>LEE</t>
        </is>
      </c>
      <c r="I1238" t="inlineStr">
        <is>
          <t>1960-12-07</t>
        </is>
      </c>
      <c r="J1238" t="inlineStr">
        <is>
          <t>2016-10-11</t>
        </is>
      </c>
      <c r="K1238" t="inlineStr">
        <is>
          <t>CONFIRMATION</t>
        </is>
      </c>
      <c r="M1238" t="inlineStr">
        <is>
          <t>1014 HARRISON ST NE</t>
        </is>
      </c>
      <c r="N1238">
        <f>RIGHT(M1238,LEN(M1238)-FIND(" ",M1238))</f>
        <v/>
      </c>
      <c r="P1238" t="inlineStr">
        <is>
          <t>WARREN</t>
        </is>
      </c>
      <c r="Q1238" t="inlineStr">
        <is>
          <t>OH</t>
        </is>
      </c>
      <c r="R1238" t="n">
        <v>44483</v>
      </c>
      <c r="AD1238" t="inlineStr">
        <is>
          <t>TRUMBULL CAREER &amp; TECH CENTER</t>
        </is>
      </c>
      <c r="AE1238" t="inlineStr">
        <is>
          <t>WARREN CITY</t>
        </is>
      </c>
      <c r="AF1238" t="inlineStr">
        <is>
          <t>WARREN CITY SD</t>
        </is>
      </c>
      <c r="AH1238" t="n">
        <v>14</v>
      </c>
      <c r="AI1238" t="n">
        <v>11</v>
      </c>
      <c r="AN1238" t="inlineStr">
        <is>
          <t>WARREN</t>
        </is>
      </c>
      <c r="AO1238" t="inlineStr">
        <is>
          <t>WARREN CITY 4D</t>
        </is>
      </c>
      <c r="AP1238" t="inlineStr">
        <is>
          <t>78-P-ADL</t>
        </is>
      </c>
      <c r="AQ1238" t="n">
        <v>9</v>
      </c>
      <c r="AR1238" t="n">
        <v>64</v>
      </c>
      <c r="AS1238" t="n">
        <v>32</v>
      </c>
      <c r="AU1238">
        <f>COUNTA($BA$1238:$EH$1238)</f>
        <v/>
      </c>
      <c r="AV1238">
        <f>COUNTIF($BA$1238:$EH$1238,"D")</f>
        <v/>
      </c>
      <c r="AW1238">
        <f>COUNTIF($BA$1238:$EH$1238,"R")</f>
        <v/>
      </c>
      <c r="AX1238">
        <f>IF(BN1238="D",1,0)+IF(BO1238="D",1,0)+IF(BT1238="D",1,0)+IF(BU1238="D",1,0)+IF(BW1238="D",1,0)+IF(CC1238="D",1,0)+IF(CD1238="D",1,0)+IF(CE1238="D",1,0)+IF(CF1238="D",1,0)+IF(CL1238="D",1,0)+IF(CM1238="D",1,0)+IF(CQ1238="D",1,0)+IF(CR1238="D",1,0)+IF(CS1238="D",1,0)+IF(CW1238="D",1,0)+IF(CX1238="D",1,0)+IF(DD1238="D",1,0)+IF(DE1238="D",1,0)+IF(DJ1238="D",1,0)+IF(DK1238="D",1,0)+IF(DO1238="D",1,0)+IF(DP1238="D",1,0)+IF(DQ1238="D",1,0)+IF(DW1238="D",1,0)+IF(DZ1238="D",1,0)+IF(EH1238="D",1,0)</f>
        <v/>
      </c>
      <c r="AY1238">
        <f>IF(DJ1238&lt;&gt;"",1,0)+IF(DK1238&lt;&gt;"",1,0)+IF(DM1238&lt;&gt;"",1,0)+IF(DO1238&lt;&gt;"",1,0)+IF(DP1238&lt;&gt;"",1,0)+IF(DQ1238&lt;&gt;"",1,0)+IF(DS1238&lt;&gt;"",1,0)+IF(DT1238&lt;&gt;"",1,0)+IF(DV1238&lt;&gt;"",1,0)+IF(DW1238&lt;&gt;"",1,0)+IF(DX1238&lt;&gt;"",1,0)+IF(DY1238&lt;&gt;"",1,0)+IF(DZ1238&lt;&gt;"",1,0)+IF(EB1238&lt;&gt;"",1,0)+IF(EC1238&lt;&gt;"",1,0)+IF(ED1238&lt;&gt;"",1,0)+IF(EG1238&lt;&gt;"",1,0)+IF(EH1238&lt;&gt;"",1,0)</f>
        <v/>
      </c>
      <c r="AZ1238">
        <f>IF(EH1238&lt;&gt;"",1,0)</f>
        <v/>
      </c>
      <c r="BB1238" t="inlineStr">
        <is>
          <t>WARREN-WARD 4</t>
        </is>
      </c>
      <c r="BC1238" t="inlineStr">
        <is>
          <t>X</t>
        </is>
      </c>
      <c r="BD1238" t="inlineStr">
        <is>
          <t>X</t>
        </is>
      </c>
      <c r="DC1238" t="inlineStr">
        <is>
          <t>X</t>
        </is>
      </c>
      <c r="DN1238" t="inlineStr">
        <is>
          <t>X</t>
        </is>
      </c>
    </row>
    <row r="1239">
      <c r="A1239" t="inlineStr">
        <is>
          <t>OH0022466487</t>
        </is>
      </c>
      <c r="B1239" t="n">
        <v>78</v>
      </c>
      <c r="C1239" t="n">
        <v>397094</v>
      </c>
      <c r="D1239" t="inlineStr">
        <is>
          <t>DEAN</t>
        </is>
      </c>
      <c r="E1239" t="inlineStr">
        <is>
          <t>PAUL</t>
        </is>
      </c>
      <c r="F1239">
        <f>CONCATENATE(D1239," ",LEFT(H1239,4),"T=",AU1239,"D=",AV1239,"R=",AW1239,"M=",AX1239,"L=",AY1239,"B=",AZ1239)</f>
        <v/>
      </c>
      <c r="G1239" t="inlineStr">
        <is>
          <t>ROBERT</t>
        </is>
      </c>
      <c r="H1239" t="inlineStr">
        <is>
          <t>III</t>
        </is>
      </c>
      <c r="I1239" t="inlineStr">
        <is>
          <t>1995-06-05</t>
        </is>
      </c>
      <c r="J1239" t="inlineStr">
        <is>
          <t>2013-06-14</t>
        </is>
      </c>
      <c r="K1239" t="inlineStr">
        <is>
          <t>CONFIRMATION</t>
        </is>
      </c>
      <c r="M1239" t="inlineStr">
        <is>
          <t>465 ORCHARD PL NE</t>
        </is>
      </c>
      <c r="N1239">
        <f>RIGHT(M1239,LEN(M1239)-FIND(" ",M1239))</f>
        <v/>
      </c>
      <c r="P1239" t="inlineStr">
        <is>
          <t>WARREN</t>
        </is>
      </c>
      <c r="Q1239" t="inlineStr">
        <is>
          <t>OH</t>
        </is>
      </c>
      <c r="R1239" t="n">
        <v>44483</v>
      </c>
      <c r="AD1239" t="inlineStr">
        <is>
          <t>TRUMBULL CAREER &amp; TECH CENTER</t>
        </is>
      </c>
      <c r="AE1239" t="inlineStr">
        <is>
          <t>WARREN CITY</t>
        </is>
      </c>
      <c r="AF1239" t="inlineStr">
        <is>
          <t>WARREN CITY SD</t>
        </is>
      </c>
      <c r="AH1239" t="n">
        <v>14</v>
      </c>
      <c r="AI1239" t="n">
        <v>11</v>
      </c>
      <c r="AN1239" t="inlineStr">
        <is>
          <t>WARREN</t>
        </is>
      </c>
      <c r="AO1239" t="inlineStr">
        <is>
          <t>WARREN CITY 4D</t>
        </is>
      </c>
      <c r="AP1239" t="inlineStr">
        <is>
          <t>78-P-ADL</t>
        </is>
      </c>
      <c r="AQ1239" t="n">
        <v>9</v>
      </c>
      <c r="AR1239" t="n">
        <v>64</v>
      </c>
      <c r="AS1239" t="n">
        <v>32</v>
      </c>
      <c r="AU1239">
        <f>COUNTA($BA$1239:$EH$1239)</f>
        <v/>
      </c>
      <c r="AV1239">
        <f>COUNTIF($BA$1239:$EH$1239,"D")</f>
        <v/>
      </c>
      <c r="AW1239">
        <f>COUNTIF($BA$1239:$EH$1239,"R")</f>
        <v/>
      </c>
      <c r="AX1239">
        <f>IF(BN1239="D",1,0)+IF(BO1239="D",1,0)+IF(BT1239="D",1,0)+IF(BU1239="D",1,0)+IF(BW1239="D",1,0)+IF(CC1239="D",1,0)+IF(CD1239="D",1,0)+IF(CE1239="D",1,0)+IF(CF1239="D",1,0)+IF(CL1239="D",1,0)+IF(CM1239="D",1,0)+IF(CQ1239="D",1,0)+IF(CR1239="D",1,0)+IF(CS1239="D",1,0)+IF(CW1239="D",1,0)+IF(CX1239="D",1,0)+IF(DD1239="D",1,0)+IF(DE1239="D",1,0)+IF(DJ1239="D",1,0)+IF(DK1239="D",1,0)+IF(DO1239="D",1,0)+IF(DP1239="D",1,0)+IF(DQ1239="D",1,0)+IF(DW1239="D",1,0)+IF(DZ1239="D",1,0)+IF(EH1239="D",1,0)</f>
        <v/>
      </c>
      <c r="AY1239">
        <f>IF(DJ1239&lt;&gt;"",1,0)+IF(DK1239&lt;&gt;"",1,0)+IF(DM1239&lt;&gt;"",1,0)+IF(DO1239&lt;&gt;"",1,0)+IF(DP1239&lt;&gt;"",1,0)+IF(DQ1239&lt;&gt;"",1,0)+IF(DS1239&lt;&gt;"",1,0)+IF(DT1239&lt;&gt;"",1,0)+IF(DV1239&lt;&gt;"",1,0)+IF(DW1239&lt;&gt;"",1,0)+IF(DX1239&lt;&gt;"",1,0)+IF(DY1239&lt;&gt;"",1,0)+IF(DZ1239&lt;&gt;"",1,0)+IF(EB1239&lt;&gt;"",1,0)+IF(EC1239&lt;&gt;"",1,0)+IF(ED1239&lt;&gt;"",1,0)+IF(EG1239&lt;&gt;"",1,0)+IF(EH1239&lt;&gt;"",1,0)</f>
        <v/>
      </c>
      <c r="AZ1239">
        <f>IF(EH1239&lt;&gt;"",1,0)</f>
        <v/>
      </c>
      <c r="BB1239" t="inlineStr">
        <is>
          <t>WARREN-WARD 4</t>
        </is>
      </c>
    </row>
    <row r="1240">
      <c r="A1240" t="inlineStr">
        <is>
          <t>OH0023332679</t>
        </is>
      </c>
      <c r="B1240" t="n">
        <v>78</v>
      </c>
      <c r="C1240" t="n">
        <v>410499</v>
      </c>
      <c r="D1240" t="inlineStr">
        <is>
          <t>RUSH</t>
        </is>
      </c>
      <c r="E1240" t="inlineStr">
        <is>
          <t>MICHELLE</t>
        </is>
      </c>
      <c r="F1240">
        <f>CONCATENATE(D1240," ",LEFT(H1240,4),"T=",AU1240,"D=",AV1240,"R=",AW1240,"M=",AX1240,"L=",AY1240,"B=",AZ1240)</f>
        <v/>
      </c>
      <c r="G1240" t="inlineStr">
        <is>
          <t>RENEE</t>
        </is>
      </c>
      <c r="I1240" t="inlineStr">
        <is>
          <t>1973-01-12</t>
        </is>
      </c>
      <c r="J1240" t="inlineStr">
        <is>
          <t>2015-09-10</t>
        </is>
      </c>
      <c r="K1240" t="inlineStr">
        <is>
          <t>CONFIRMATION</t>
        </is>
      </c>
      <c r="M1240" t="inlineStr">
        <is>
          <t>630 PAIGE AVE NE</t>
        </is>
      </c>
      <c r="N1240">
        <f>RIGHT(M1240,LEN(M1240)-FIND(" ",M1240))</f>
        <v/>
      </c>
      <c r="P1240" t="inlineStr">
        <is>
          <t>WARREN</t>
        </is>
      </c>
      <c r="Q1240" t="inlineStr">
        <is>
          <t>OH</t>
        </is>
      </c>
      <c r="R1240" t="n">
        <v>44483</v>
      </c>
      <c r="AD1240" t="inlineStr">
        <is>
          <t>TRUMBULL CAREER &amp; TECH CENTER</t>
        </is>
      </c>
      <c r="AE1240" t="inlineStr">
        <is>
          <t>WARREN CITY</t>
        </is>
      </c>
      <c r="AF1240" t="inlineStr">
        <is>
          <t>WARREN CITY SD</t>
        </is>
      </c>
      <c r="AH1240" t="n">
        <v>14</v>
      </c>
      <c r="AI1240" t="n">
        <v>11</v>
      </c>
      <c r="AN1240" t="inlineStr">
        <is>
          <t>WARREN</t>
        </is>
      </c>
      <c r="AO1240" t="inlineStr">
        <is>
          <t>WARREN CITY 4D</t>
        </is>
      </c>
      <c r="AP1240" t="inlineStr">
        <is>
          <t>78-P-ADL</t>
        </is>
      </c>
      <c r="AQ1240" t="n">
        <v>9</v>
      </c>
      <c r="AR1240" t="n">
        <v>64</v>
      </c>
      <c r="AS1240" t="n">
        <v>32</v>
      </c>
      <c r="AU1240">
        <f>COUNTA($BA$1240:$EH$1240)</f>
        <v/>
      </c>
      <c r="AV1240">
        <f>COUNTIF($BA$1240:$EH$1240,"D")</f>
        <v/>
      </c>
      <c r="AW1240">
        <f>COUNTIF($BA$1240:$EH$1240,"R")</f>
        <v/>
      </c>
      <c r="AX1240">
        <f>IF(BN1240="D",1,0)+IF(BO1240="D",1,0)+IF(BT1240="D",1,0)+IF(BU1240="D",1,0)+IF(BW1240="D",1,0)+IF(CC1240="D",1,0)+IF(CD1240="D",1,0)+IF(CE1240="D",1,0)+IF(CF1240="D",1,0)+IF(CL1240="D",1,0)+IF(CM1240="D",1,0)+IF(CQ1240="D",1,0)+IF(CR1240="D",1,0)+IF(CS1240="D",1,0)+IF(CW1240="D",1,0)+IF(CX1240="D",1,0)+IF(DD1240="D",1,0)+IF(DE1240="D",1,0)+IF(DJ1240="D",1,0)+IF(DK1240="D",1,0)+IF(DO1240="D",1,0)+IF(DP1240="D",1,0)+IF(DQ1240="D",1,0)+IF(DW1240="D",1,0)+IF(DZ1240="D",1,0)+IF(EH1240="D",1,0)</f>
        <v/>
      </c>
      <c r="AY1240">
        <f>IF(DJ1240&lt;&gt;"",1,0)+IF(DK1240&lt;&gt;"",1,0)+IF(DM1240&lt;&gt;"",1,0)+IF(DO1240&lt;&gt;"",1,0)+IF(DP1240&lt;&gt;"",1,0)+IF(DQ1240&lt;&gt;"",1,0)+IF(DS1240&lt;&gt;"",1,0)+IF(DT1240&lt;&gt;"",1,0)+IF(DV1240&lt;&gt;"",1,0)+IF(DW1240&lt;&gt;"",1,0)+IF(DX1240&lt;&gt;"",1,0)+IF(DY1240&lt;&gt;"",1,0)+IF(DZ1240&lt;&gt;"",1,0)+IF(EB1240&lt;&gt;"",1,0)+IF(EC1240&lt;&gt;"",1,0)+IF(ED1240&lt;&gt;"",1,0)+IF(EG1240&lt;&gt;"",1,0)+IF(EH1240&lt;&gt;"",1,0)</f>
        <v/>
      </c>
      <c r="AZ1240">
        <f>IF(EH1240&lt;&gt;"",1,0)</f>
        <v/>
      </c>
      <c r="BB1240" t="inlineStr">
        <is>
          <t>WARREN-WARD 4</t>
        </is>
      </c>
    </row>
    <row r="1241">
      <c r="A1241" t="inlineStr">
        <is>
          <t>OH0015893196</t>
        </is>
      </c>
      <c r="B1241" t="n">
        <v>78</v>
      </c>
      <c r="C1241" t="n">
        <v>333297</v>
      </c>
      <c r="D1241" t="inlineStr">
        <is>
          <t>FRITZ</t>
        </is>
      </c>
      <c r="E1241" t="inlineStr">
        <is>
          <t>BOBBY</t>
        </is>
      </c>
      <c r="F1241">
        <f>CONCATENATE(D1241," ",LEFT(H1241,4),"T=",AU1241,"D=",AV1241,"R=",AW1241,"M=",AX1241,"L=",AY1241,"B=",AZ1241)</f>
        <v/>
      </c>
      <c r="I1241" t="inlineStr">
        <is>
          <t>1969-07-21</t>
        </is>
      </c>
      <c r="J1241" t="inlineStr">
        <is>
          <t>2012-11-21</t>
        </is>
      </c>
      <c r="K1241" t="inlineStr">
        <is>
          <t>ACTIVE</t>
        </is>
      </c>
      <c r="L1241" t="inlineStr">
        <is>
          <t>R</t>
        </is>
      </c>
      <c r="M1241" t="inlineStr">
        <is>
          <t>405 WASHINGTON ST NW</t>
        </is>
      </c>
      <c r="N1241">
        <f>RIGHT(M1241,LEN(M1241)-FIND(" ",M1241))</f>
        <v/>
      </c>
      <c r="P1241" t="inlineStr">
        <is>
          <t>WARREN</t>
        </is>
      </c>
      <c r="Q1241" t="inlineStr">
        <is>
          <t>OH</t>
        </is>
      </c>
      <c r="R1241" t="n">
        <v>44483</v>
      </c>
      <c r="AD1241" t="inlineStr">
        <is>
          <t>TRUMBULL CAREER &amp; TECH CENTER</t>
        </is>
      </c>
      <c r="AE1241" t="inlineStr">
        <is>
          <t>WARREN CITY</t>
        </is>
      </c>
      <c r="AF1241" t="inlineStr">
        <is>
          <t>WARREN CITY SD</t>
        </is>
      </c>
      <c r="AH1241" t="n">
        <v>14</v>
      </c>
      <c r="AI1241" t="n">
        <v>11</v>
      </c>
      <c r="AN1241" t="inlineStr">
        <is>
          <t>WARREN</t>
        </is>
      </c>
      <c r="AO1241" t="inlineStr">
        <is>
          <t>WARREN CITY 4D</t>
        </is>
      </c>
      <c r="AP1241" t="inlineStr">
        <is>
          <t>78-P-ADL</t>
        </is>
      </c>
      <c r="AQ1241" t="n">
        <v>9</v>
      </c>
      <c r="AR1241" t="n">
        <v>64</v>
      </c>
      <c r="AS1241" t="n">
        <v>32</v>
      </c>
      <c r="AU1241">
        <f>COUNTA($BA$1241:$EH$1241)</f>
        <v/>
      </c>
      <c r="AV1241">
        <f>COUNTIF($BA$1241:$EH$1241,"D")</f>
        <v/>
      </c>
      <c r="AW1241">
        <f>COUNTIF($BA$1241:$EH$1241,"R")</f>
        <v/>
      </c>
      <c r="AX1241">
        <f>IF(BN1241="D",1,0)+IF(BO1241="D",1,0)+IF(BT1241="D",1,0)+IF(BU1241="D",1,0)+IF(BW1241="D",1,0)+IF(CC1241="D",1,0)+IF(CD1241="D",1,0)+IF(CE1241="D",1,0)+IF(CF1241="D",1,0)+IF(CL1241="D",1,0)+IF(CM1241="D",1,0)+IF(CQ1241="D",1,0)+IF(CR1241="D",1,0)+IF(CS1241="D",1,0)+IF(CW1241="D",1,0)+IF(CX1241="D",1,0)+IF(DD1241="D",1,0)+IF(DE1241="D",1,0)+IF(DJ1241="D",1,0)+IF(DK1241="D",1,0)+IF(DO1241="D",1,0)+IF(DP1241="D",1,0)+IF(DQ1241="D",1,0)+IF(DW1241="D",1,0)+IF(DZ1241="D",1,0)+IF(EH1241="D",1,0)</f>
        <v/>
      </c>
      <c r="AY1241">
        <f>IF(DJ1241&lt;&gt;"",1,0)+IF(DK1241&lt;&gt;"",1,0)+IF(DM1241&lt;&gt;"",1,0)+IF(DO1241&lt;&gt;"",1,0)+IF(DP1241&lt;&gt;"",1,0)+IF(DQ1241&lt;&gt;"",1,0)+IF(DS1241&lt;&gt;"",1,0)+IF(DT1241&lt;&gt;"",1,0)+IF(DV1241&lt;&gt;"",1,0)+IF(DW1241&lt;&gt;"",1,0)+IF(DX1241&lt;&gt;"",1,0)+IF(DY1241&lt;&gt;"",1,0)+IF(DZ1241&lt;&gt;"",1,0)+IF(EB1241&lt;&gt;"",1,0)+IF(EC1241&lt;&gt;"",1,0)+IF(ED1241&lt;&gt;"",1,0)+IF(EG1241&lt;&gt;"",1,0)+IF(EH1241&lt;&gt;"",1,0)</f>
        <v/>
      </c>
      <c r="AZ1241">
        <f>IF(EH1241&lt;&gt;"",1,0)</f>
        <v/>
      </c>
      <c r="BB1241" t="inlineStr">
        <is>
          <t>WARREN-WARD 4</t>
        </is>
      </c>
      <c r="BL1241" t="inlineStr">
        <is>
          <t>X</t>
        </is>
      </c>
      <c r="BY1241" t="inlineStr">
        <is>
          <t>D</t>
        </is>
      </c>
      <c r="CA1241" t="inlineStr">
        <is>
          <t>X</t>
        </is>
      </c>
      <c r="CP1241" t="inlineStr">
        <is>
          <t>X</t>
        </is>
      </c>
      <c r="CY1241" t="inlineStr">
        <is>
          <t>X</t>
        </is>
      </c>
      <c r="CZ1241" t="inlineStr">
        <is>
          <t>R</t>
        </is>
      </c>
      <c r="DN1241" t="inlineStr">
        <is>
          <t>X</t>
        </is>
      </c>
      <c r="DR1241" t="inlineStr">
        <is>
          <t>X</t>
        </is>
      </c>
      <c r="DS1241" t="inlineStr">
        <is>
          <t>R</t>
        </is>
      </c>
      <c r="DU1241" t="inlineStr">
        <is>
          <t>X</t>
        </is>
      </c>
      <c r="EA1241" t="inlineStr">
        <is>
          <t>X</t>
        </is>
      </c>
      <c r="EF1241" t="inlineStr">
        <is>
          <t>X</t>
        </is>
      </c>
    </row>
    <row r="1242">
      <c r="A1242" t="inlineStr">
        <is>
          <t>OH0027702253</t>
        </is>
      </c>
      <c r="B1242" t="n">
        <v>78</v>
      </c>
      <c r="C1242" t="n">
        <v>490857</v>
      </c>
      <c r="D1242" t="inlineStr">
        <is>
          <t>FANNIN</t>
        </is>
      </c>
      <c r="E1242" t="inlineStr">
        <is>
          <t>ZACHERY</t>
        </is>
      </c>
      <c r="F1242">
        <f>CONCATENATE(D1242," ",LEFT(H1242,4),"T=",AU1242,"D=",AV1242,"R=",AW1242,"M=",AX1242,"L=",AY1242,"B=",AZ1242)</f>
        <v/>
      </c>
      <c r="G1242" t="inlineStr">
        <is>
          <t>DAVID</t>
        </is>
      </c>
      <c r="I1242" t="inlineStr">
        <is>
          <t>2006-07-21</t>
        </is>
      </c>
      <c r="J1242" t="inlineStr">
        <is>
          <t>2024-10-05</t>
        </is>
      </c>
      <c r="K1242" t="inlineStr">
        <is>
          <t>ACTIVE</t>
        </is>
      </c>
      <c r="M1242" t="inlineStr">
        <is>
          <t>512 HIGH ST NE</t>
        </is>
      </c>
      <c r="N1242">
        <f>RIGHT(M1242,LEN(M1242)-FIND(" ",M1242))</f>
        <v/>
      </c>
      <c r="P1242" t="inlineStr">
        <is>
          <t>WARREN</t>
        </is>
      </c>
      <c r="Q1242" t="inlineStr">
        <is>
          <t>OH</t>
        </is>
      </c>
      <c r="R1242" t="n">
        <v>44483</v>
      </c>
      <c r="AD1242" t="inlineStr">
        <is>
          <t>TRUMBULL CAREER &amp; TECH CENTER</t>
        </is>
      </c>
      <c r="AE1242" t="inlineStr">
        <is>
          <t>WARREN CITY</t>
        </is>
      </c>
      <c r="AF1242" t="inlineStr">
        <is>
          <t>WARREN CITY SD</t>
        </is>
      </c>
      <c r="AH1242" t="n">
        <v>14</v>
      </c>
      <c r="AI1242" t="n">
        <v>11</v>
      </c>
      <c r="AN1242" t="inlineStr">
        <is>
          <t>WARREN</t>
        </is>
      </c>
      <c r="AO1242" t="inlineStr">
        <is>
          <t>WARREN CITY 4D</t>
        </is>
      </c>
      <c r="AP1242" t="inlineStr">
        <is>
          <t>78-P-ADL</t>
        </is>
      </c>
      <c r="AQ1242" t="n">
        <v>9</v>
      </c>
      <c r="AR1242" t="n">
        <v>64</v>
      </c>
      <c r="AS1242" t="n">
        <v>32</v>
      </c>
      <c r="AU1242">
        <f>COUNTA($BA$1242:$EH$1242)</f>
        <v/>
      </c>
      <c r="AV1242">
        <f>COUNTIF($BA$1242:$EH$1242,"D")</f>
        <v/>
      </c>
      <c r="AW1242">
        <f>COUNTIF($BA$1242:$EH$1242,"R")</f>
        <v/>
      </c>
      <c r="AX1242">
        <f>IF(BN1242="D",1,0)+IF(BO1242="D",1,0)+IF(BT1242="D",1,0)+IF(BU1242="D",1,0)+IF(BW1242="D",1,0)+IF(CC1242="D",1,0)+IF(CD1242="D",1,0)+IF(CE1242="D",1,0)+IF(CF1242="D",1,0)+IF(CL1242="D",1,0)+IF(CM1242="D",1,0)+IF(CQ1242="D",1,0)+IF(CR1242="D",1,0)+IF(CS1242="D",1,0)+IF(CW1242="D",1,0)+IF(CX1242="D",1,0)+IF(DD1242="D",1,0)+IF(DE1242="D",1,0)+IF(DJ1242="D",1,0)+IF(DK1242="D",1,0)+IF(DO1242="D",1,0)+IF(DP1242="D",1,0)+IF(DQ1242="D",1,0)+IF(DW1242="D",1,0)+IF(DZ1242="D",1,0)+IF(EH1242="D",1,0)</f>
        <v/>
      </c>
      <c r="AY1242">
        <f>IF(DJ1242&lt;&gt;"",1,0)+IF(DK1242&lt;&gt;"",1,0)+IF(DM1242&lt;&gt;"",1,0)+IF(DO1242&lt;&gt;"",1,0)+IF(DP1242&lt;&gt;"",1,0)+IF(DQ1242&lt;&gt;"",1,0)+IF(DS1242&lt;&gt;"",1,0)+IF(DT1242&lt;&gt;"",1,0)+IF(DV1242&lt;&gt;"",1,0)+IF(DW1242&lt;&gt;"",1,0)+IF(DX1242&lt;&gt;"",1,0)+IF(DY1242&lt;&gt;"",1,0)+IF(DZ1242&lt;&gt;"",1,0)+IF(EB1242&lt;&gt;"",1,0)+IF(EC1242&lt;&gt;"",1,0)+IF(ED1242&lt;&gt;"",1,0)+IF(EG1242&lt;&gt;"",1,0)+IF(EH1242&lt;&gt;"",1,0)</f>
        <v/>
      </c>
      <c r="AZ1242">
        <f>IF(EH1242&lt;&gt;"",1,0)</f>
        <v/>
      </c>
      <c r="BB1242" t="inlineStr">
        <is>
          <t>WARREN-WARD 4</t>
        </is>
      </c>
      <c r="EF1242" t="inlineStr">
        <is>
          <t>X</t>
        </is>
      </c>
    </row>
    <row r="1243">
      <c r="A1243" t="inlineStr">
        <is>
          <t>OH0018749432</t>
        </is>
      </c>
      <c r="B1243" t="n">
        <v>78</v>
      </c>
      <c r="C1243" t="n">
        <v>343874</v>
      </c>
      <c r="D1243" t="inlineStr">
        <is>
          <t>HUFFMAN</t>
        </is>
      </c>
      <c r="E1243" t="inlineStr">
        <is>
          <t>RONALD</t>
        </is>
      </c>
      <c r="F1243">
        <f>CONCATENATE(D1243," ",LEFT(H1243,4),"T=",AU1243,"D=",AV1243,"R=",AW1243,"M=",AX1243,"L=",AY1243,"B=",AZ1243)</f>
        <v/>
      </c>
      <c r="G1243" t="inlineStr">
        <is>
          <t>C</t>
        </is>
      </c>
      <c r="I1243" t="inlineStr">
        <is>
          <t>1978-05-09</t>
        </is>
      </c>
      <c r="J1243" t="inlineStr">
        <is>
          <t>2012-11-21</t>
        </is>
      </c>
      <c r="K1243" t="inlineStr">
        <is>
          <t>ACTIVE</t>
        </is>
      </c>
      <c r="M1243" t="inlineStr">
        <is>
          <t>283 LOWELL AVE NE</t>
        </is>
      </c>
      <c r="N1243">
        <f>RIGHT(M1243,LEN(M1243)-FIND(" ",M1243))</f>
        <v/>
      </c>
      <c r="P1243" t="inlineStr">
        <is>
          <t>WARREN</t>
        </is>
      </c>
      <c r="Q1243" t="inlineStr">
        <is>
          <t>OH</t>
        </is>
      </c>
      <c r="R1243" t="n">
        <v>44483</v>
      </c>
      <c r="AD1243" t="inlineStr">
        <is>
          <t>TRUMBULL CAREER &amp; TECH CENTER</t>
        </is>
      </c>
      <c r="AE1243" t="inlineStr">
        <is>
          <t>WARREN CITY</t>
        </is>
      </c>
      <c r="AF1243" t="inlineStr">
        <is>
          <t>WARREN CITY SD</t>
        </is>
      </c>
      <c r="AH1243" t="n">
        <v>14</v>
      </c>
      <c r="AI1243" t="n">
        <v>11</v>
      </c>
      <c r="AN1243" t="inlineStr">
        <is>
          <t>WARREN</t>
        </is>
      </c>
      <c r="AO1243" t="inlineStr">
        <is>
          <t>WARREN CITY 4D</t>
        </is>
      </c>
      <c r="AP1243" t="inlineStr">
        <is>
          <t>78-P-ADL</t>
        </is>
      </c>
      <c r="AQ1243" t="n">
        <v>9</v>
      </c>
      <c r="AR1243" t="n">
        <v>64</v>
      </c>
      <c r="AS1243" t="n">
        <v>32</v>
      </c>
      <c r="AU1243">
        <f>COUNTA($BA$1243:$EH$1243)</f>
        <v/>
      </c>
      <c r="AV1243">
        <f>COUNTIF($BA$1243:$EH$1243,"D")</f>
        <v/>
      </c>
      <c r="AW1243">
        <f>COUNTIF($BA$1243:$EH$1243,"R")</f>
        <v/>
      </c>
      <c r="AX1243">
        <f>IF(BN1243="D",1,0)+IF(BO1243="D",1,0)+IF(BT1243="D",1,0)+IF(BU1243="D",1,0)+IF(BW1243="D",1,0)+IF(CC1243="D",1,0)+IF(CD1243="D",1,0)+IF(CE1243="D",1,0)+IF(CF1243="D",1,0)+IF(CL1243="D",1,0)+IF(CM1243="D",1,0)+IF(CQ1243="D",1,0)+IF(CR1243="D",1,0)+IF(CS1243="D",1,0)+IF(CW1243="D",1,0)+IF(CX1243="D",1,0)+IF(DD1243="D",1,0)+IF(DE1243="D",1,0)+IF(DJ1243="D",1,0)+IF(DK1243="D",1,0)+IF(DO1243="D",1,0)+IF(DP1243="D",1,0)+IF(DQ1243="D",1,0)+IF(DW1243="D",1,0)+IF(DZ1243="D",1,0)+IF(EH1243="D",1,0)</f>
        <v/>
      </c>
      <c r="AY1243">
        <f>IF(DJ1243&lt;&gt;"",1,0)+IF(DK1243&lt;&gt;"",1,0)+IF(DM1243&lt;&gt;"",1,0)+IF(DO1243&lt;&gt;"",1,0)+IF(DP1243&lt;&gt;"",1,0)+IF(DQ1243&lt;&gt;"",1,0)+IF(DS1243&lt;&gt;"",1,0)+IF(DT1243&lt;&gt;"",1,0)+IF(DV1243&lt;&gt;"",1,0)+IF(DW1243&lt;&gt;"",1,0)+IF(DX1243&lt;&gt;"",1,0)+IF(DY1243&lt;&gt;"",1,0)+IF(DZ1243&lt;&gt;"",1,0)+IF(EB1243&lt;&gt;"",1,0)+IF(EC1243&lt;&gt;"",1,0)+IF(ED1243&lt;&gt;"",1,0)+IF(EG1243&lt;&gt;"",1,0)+IF(EH1243&lt;&gt;"",1,0)</f>
        <v/>
      </c>
      <c r="AZ1243">
        <f>IF(EH1243&lt;&gt;"",1,0)</f>
        <v/>
      </c>
      <c r="BB1243" t="inlineStr">
        <is>
          <t>WARREN-WARD 4</t>
        </is>
      </c>
      <c r="BS1243" t="inlineStr">
        <is>
          <t>X</t>
        </is>
      </c>
      <c r="CA1243" t="inlineStr">
        <is>
          <t>X</t>
        </is>
      </c>
      <c r="CG1243" t="inlineStr">
        <is>
          <t>X</t>
        </is>
      </c>
      <c r="CP1243" t="inlineStr">
        <is>
          <t>X</t>
        </is>
      </c>
      <c r="DC1243" t="inlineStr">
        <is>
          <t>X</t>
        </is>
      </c>
      <c r="DN1243" t="inlineStr">
        <is>
          <t>X</t>
        </is>
      </c>
      <c r="EF1243" t="inlineStr">
        <is>
          <t>X</t>
        </is>
      </c>
    </row>
    <row r="1244">
      <c r="A1244" t="inlineStr">
        <is>
          <t>OH0015741995</t>
        </is>
      </c>
      <c r="B1244" t="n">
        <v>78</v>
      </c>
      <c r="C1244" t="n">
        <v>322399</v>
      </c>
      <c r="D1244" t="inlineStr">
        <is>
          <t>JENNINGS</t>
        </is>
      </c>
      <c r="E1244" t="inlineStr">
        <is>
          <t>MICHAEL</t>
        </is>
      </c>
      <c r="F1244">
        <f>CONCATENATE(D1244," ",LEFT(H1244,4),"T=",AU1244,"D=",AV1244,"R=",AW1244,"M=",AX1244,"L=",AY1244,"B=",AZ1244)</f>
        <v/>
      </c>
      <c r="G1244" t="inlineStr">
        <is>
          <t>W</t>
        </is>
      </c>
      <c r="I1244" t="inlineStr">
        <is>
          <t>1961-01-26</t>
        </is>
      </c>
      <c r="J1244" t="inlineStr">
        <is>
          <t>2025-05-30</t>
        </is>
      </c>
      <c r="K1244" t="inlineStr">
        <is>
          <t>ACTIVE</t>
        </is>
      </c>
      <c r="M1244" t="inlineStr">
        <is>
          <t>182 HIGH ST NE</t>
        </is>
      </c>
      <c r="N1244">
        <f>RIGHT(M1244,LEN(M1244)-FIND(" ",M1244))</f>
        <v/>
      </c>
      <c r="P1244" t="inlineStr">
        <is>
          <t>WARREN</t>
        </is>
      </c>
      <c r="Q1244" t="inlineStr">
        <is>
          <t>OH</t>
        </is>
      </c>
      <c r="R1244" t="n">
        <v>44481</v>
      </c>
      <c r="AD1244" t="inlineStr">
        <is>
          <t>TRUMBULL CAREER &amp; TECH CENTER</t>
        </is>
      </c>
      <c r="AE1244" t="inlineStr">
        <is>
          <t>WARREN CITY</t>
        </is>
      </c>
      <c r="AF1244" t="inlineStr">
        <is>
          <t>WARREN CITY SD</t>
        </is>
      </c>
      <c r="AH1244" t="n">
        <v>14</v>
      </c>
      <c r="AI1244" t="n">
        <v>11</v>
      </c>
      <c r="AN1244" t="inlineStr">
        <is>
          <t>WARREN</t>
        </is>
      </c>
      <c r="AO1244" t="inlineStr">
        <is>
          <t>WARREN CITY 4D</t>
        </is>
      </c>
      <c r="AP1244" t="inlineStr">
        <is>
          <t>78-P-ADL</t>
        </is>
      </c>
      <c r="AQ1244" t="n">
        <v>9</v>
      </c>
      <c r="AR1244" t="n">
        <v>64</v>
      </c>
      <c r="AS1244" t="n">
        <v>32</v>
      </c>
      <c r="AU1244">
        <f>COUNTA($BA$1244:$EH$1244)</f>
        <v/>
      </c>
      <c r="AV1244">
        <f>COUNTIF($BA$1244:$EH$1244,"D")</f>
        <v/>
      </c>
      <c r="AW1244">
        <f>COUNTIF($BA$1244:$EH$1244,"R")</f>
        <v/>
      </c>
      <c r="AX1244">
        <f>IF(BN1244="D",1,0)+IF(BO1244="D",1,0)+IF(BT1244="D",1,0)+IF(BU1244="D",1,0)+IF(BW1244="D",1,0)+IF(CC1244="D",1,0)+IF(CD1244="D",1,0)+IF(CE1244="D",1,0)+IF(CF1244="D",1,0)+IF(CL1244="D",1,0)+IF(CM1244="D",1,0)+IF(CQ1244="D",1,0)+IF(CR1244="D",1,0)+IF(CS1244="D",1,0)+IF(CW1244="D",1,0)+IF(CX1244="D",1,0)+IF(DD1244="D",1,0)+IF(DE1244="D",1,0)+IF(DJ1244="D",1,0)+IF(DK1244="D",1,0)+IF(DO1244="D",1,0)+IF(DP1244="D",1,0)+IF(DQ1244="D",1,0)+IF(DW1244="D",1,0)+IF(DZ1244="D",1,0)+IF(EH1244="D",1,0)</f>
        <v/>
      </c>
      <c r="AY1244">
        <f>IF(DJ1244&lt;&gt;"",1,0)+IF(DK1244&lt;&gt;"",1,0)+IF(DM1244&lt;&gt;"",1,0)+IF(DO1244&lt;&gt;"",1,0)+IF(DP1244&lt;&gt;"",1,0)+IF(DQ1244&lt;&gt;"",1,0)+IF(DS1244&lt;&gt;"",1,0)+IF(DT1244&lt;&gt;"",1,0)+IF(DV1244&lt;&gt;"",1,0)+IF(DW1244&lt;&gt;"",1,0)+IF(DX1244&lt;&gt;"",1,0)+IF(DY1244&lt;&gt;"",1,0)+IF(DZ1244&lt;&gt;"",1,0)+IF(EB1244&lt;&gt;"",1,0)+IF(EC1244&lt;&gt;"",1,0)+IF(ED1244&lt;&gt;"",1,0)+IF(EG1244&lt;&gt;"",1,0)+IF(EH1244&lt;&gt;"",1,0)</f>
        <v/>
      </c>
      <c r="AZ1244">
        <f>IF(EH1244&lt;&gt;"",1,0)</f>
        <v/>
      </c>
      <c r="BB1244" t="inlineStr">
        <is>
          <t>WARREN-WARD 4</t>
        </is>
      </c>
      <c r="CP1244" t="inlineStr">
        <is>
          <t>X</t>
        </is>
      </c>
      <c r="DC1244" t="inlineStr">
        <is>
          <t>X</t>
        </is>
      </c>
    </row>
    <row r="1245">
      <c r="A1245" t="inlineStr">
        <is>
          <t>OH0023700617</t>
        </is>
      </c>
      <c r="B1245" t="n">
        <v>78</v>
      </c>
      <c r="C1245" t="n">
        <v>416897</v>
      </c>
      <c r="D1245" t="inlineStr">
        <is>
          <t>MCCAIN</t>
        </is>
      </c>
      <c r="E1245" t="inlineStr">
        <is>
          <t>TERRANCE</t>
        </is>
      </c>
      <c r="F1245">
        <f>CONCATENATE(D1245," ",LEFT(H1245,4),"T=",AU1245,"D=",AV1245,"R=",AW1245,"M=",AX1245,"L=",AY1245,"B=",AZ1245)</f>
        <v/>
      </c>
      <c r="I1245" t="inlineStr">
        <is>
          <t>1995-10-21</t>
        </is>
      </c>
      <c r="J1245" t="inlineStr">
        <is>
          <t>2018-04-18</t>
        </is>
      </c>
      <c r="K1245" t="inlineStr">
        <is>
          <t>CONFIRMATION</t>
        </is>
      </c>
      <c r="M1245" t="inlineStr">
        <is>
          <t>229 PORTER ST NE</t>
        </is>
      </c>
      <c r="N1245">
        <f>RIGHT(M1245,LEN(M1245)-FIND(" ",M1245))</f>
        <v/>
      </c>
      <c r="P1245" t="inlineStr">
        <is>
          <t>WARREN</t>
        </is>
      </c>
      <c r="Q1245" t="inlineStr">
        <is>
          <t>OH</t>
        </is>
      </c>
      <c r="R1245" t="n">
        <v>44483</v>
      </c>
      <c r="AD1245" t="inlineStr">
        <is>
          <t>TRUMBULL CAREER &amp; TECH CENTER</t>
        </is>
      </c>
      <c r="AE1245" t="inlineStr">
        <is>
          <t>WARREN CITY</t>
        </is>
      </c>
      <c r="AF1245" t="inlineStr">
        <is>
          <t>WARREN CITY SD</t>
        </is>
      </c>
      <c r="AH1245" t="n">
        <v>14</v>
      </c>
      <c r="AI1245" t="n">
        <v>11</v>
      </c>
      <c r="AN1245" t="inlineStr">
        <is>
          <t>WARREN</t>
        </is>
      </c>
      <c r="AO1245" t="inlineStr">
        <is>
          <t>WARREN CITY 4D</t>
        </is>
      </c>
      <c r="AP1245" t="inlineStr">
        <is>
          <t>78-P-ADL</t>
        </is>
      </c>
      <c r="AQ1245" t="n">
        <v>9</v>
      </c>
      <c r="AR1245" t="n">
        <v>64</v>
      </c>
      <c r="AS1245" t="n">
        <v>32</v>
      </c>
      <c r="AU1245">
        <f>COUNTA($BA$1245:$EH$1245)</f>
        <v/>
      </c>
      <c r="AV1245">
        <f>COUNTIF($BA$1245:$EH$1245,"D")</f>
        <v/>
      </c>
      <c r="AW1245">
        <f>COUNTIF($BA$1245:$EH$1245,"R")</f>
        <v/>
      </c>
      <c r="AX1245">
        <f>IF(BN1245="D",1,0)+IF(BO1245="D",1,0)+IF(BT1245="D",1,0)+IF(BU1245="D",1,0)+IF(BW1245="D",1,0)+IF(CC1245="D",1,0)+IF(CD1245="D",1,0)+IF(CE1245="D",1,0)+IF(CF1245="D",1,0)+IF(CL1245="D",1,0)+IF(CM1245="D",1,0)+IF(CQ1245="D",1,0)+IF(CR1245="D",1,0)+IF(CS1245="D",1,0)+IF(CW1245="D",1,0)+IF(CX1245="D",1,0)+IF(DD1245="D",1,0)+IF(DE1245="D",1,0)+IF(DJ1245="D",1,0)+IF(DK1245="D",1,0)+IF(DO1245="D",1,0)+IF(DP1245="D",1,0)+IF(DQ1245="D",1,0)+IF(DW1245="D",1,0)+IF(DZ1245="D",1,0)+IF(EH1245="D",1,0)</f>
        <v/>
      </c>
      <c r="AY1245">
        <f>IF(DJ1245&lt;&gt;"",1,0)+IF(DK1245&lt;&gt;"",1,0)+IF(DM1245&lt;&gt;"",1,0)+IF(DO1245&lt;&gt;"",1,0)+IF(DP1245&lt;&gt;"",1,0)+IF(DQ1245&lt;&gt;"",1,0)+IF(DS1245&lt;&gt;"",1,0)+IF(DT1245&lt;&gt;"",1,0)+IF(DV1245&lt;&gt;"",1,0)+IF(DW1245&lt;&gt;"",1,0)+IF(DX1245&lt;&gt;"",1,0)+IF(DY1245&lt;&gt;"",1,0)+IF(DZ1245&lt;&gt;"",1,0)+IF(EB1245&lt;&gt;"",1,0)+IF(EC1245&lt;&gt;"",1,0)+IF(ED1245&lt;&gt;"",1,0)+IF(EG1245&lt;&gt;"",1,0)+IF(EH1245&lt;&gt;"",1,0)</f>
        <v/>
      </c>
      <c r="AZ1245">
        <f>IF(EH1245&lt;&gt;"",1,0)</f>
        <v/>
      </c>
      <c r="BB1245" t="inlineStr">
        <is>
          <t>WARREN-WARD 4</t>
        </is>
      </c>
    </row>
    <row r="1246">
      <c r="A1246" t="inlineStr">
        <is>
          <t>OH0023484248</t>
        </is>
      </c>
      <c r="B1246" t="n">
        <v>78</v>
      </c>
      <c r="C1246" t="n">
        <v>413338</v>
      </c>
      <c r="D1246" t="inlineStr">
        <is>
          <t>REYES TORRES</t>
        </is>
      </c>
      <c r="E1246" t="inlineStr">
        <is>
          <t>LUIS</t>
        </is>
      </c>
      <c r="F1246">
        <f>CONCATENATE(D1246," ",LEFT(H1246,4),"T=",AU1246,"D=",AV1246,"R=",AW1246,"M=",AX1246,"L=",AY1246,"B=",AZ1246)</f>
        <v/>
      </c>
      <c r="G1246" t="inlineStr">
        <is>
          <t>A</t>
        </is>
      </c>
      <c r="H1246" t="inlineStr">
        <is>
          <t>JR</t>
        </is>
      </c>
      <c r="I1246" t="inlineStr">
        <is>
          <t>1998-10-10</t>
        </is>
      </c>
      <c r="J1246" t="inlineStr">
        <is>
          <t>2018-03-13</t>
        </is>
      </c>
      <c r="K1246" t="inlineStr">
        <is>
          <t>CONFIRMATION</t>
        </is>
      </c>
      <c r="M1246" t="inlineStr">
        <is>
          <t>204 PORTER ST NE</t>
        </is>
      </c>
      <c r="N1246">
        <f>RIGHT(M1246,LEN(M1246)-FIND(" ",M1246))</f>
        <v/>
      </c>
      <c r="P1246" t="inlineStr">
        <is>
          <t>WARREN</t>
        </is>
      </c>
      <c r="Q1246" t="inlineStr">
        <is>
          <t>OH</t>
        </is>
      </c>
      <c r="R1246" t="n">
        <v>44483</v>
      </c>
      <c r="AD1246" t="inlineStr">
        <is>
          <t>TRUMBULL CAREER &amp; TECH CENTER</t>
        </is>
      </c>
      <c r="AE1246" t="inlineStr">
        <is>
          <t>WARREN CITY</t>
        </is>
      </c>
      <c r="AF1246" t="inlineStr">
        <is>
          <t>WARREN CITY SD</t>
        </is>
      </c>
      <c r="AH1246" t="n">
        <v>14</v>
      </c>
      <c r="AI1246" t="n">
        <v>11</v>
      </c>
      <c r="AN1246" t="inlineStr">
        <is>
          <t>WARREN</t>
        </is>
      </c>
      <c r="AO1246" t="inlineStr">
        <is>
          <t>WARREN CITY 4D</t>
        </is>
      </c>
      <c r="AP1246" t="inlineStr">
        <is>
          <t>78-P-ADL</t>
        </is>
      </c>
      <c r="AQ1246" t="n">
        <v>9</v>
      </c>
      <c r="AR1246" t="n">
        <v>64</v>
      </c>
      <c r="AS1246" t="n">
        <v>32</v>
      </c>
      <c r="AU1246">
        <f>COUNTA($BA$1246:$EH$1246)</f>
        <v/>
      </c>
      <c r="AV1246">
        <f>COUNTIF($BA$1246:$EH$1246,"D")</f>
        <v/>
      </c>
      <c r="AW1246">
        <f>COUNTIF($BA$1246:$EH$1246,"R")</f>
        <v/>
      </c>
      <c r="AX1246">
        <f>IF(BN1246="D",1,0)+IF(BO1246="D",1,0)+IF(BT1246="D",1,0)+IF(BU1246="D",1,0)+IF(BW1246="D",1,0)+IF(CC1246="D",1,0)+IF(CD1246="D",1,0)+IF(CE1246="D",1,0)+IF(CF1246="D",1,0)+IF(CL1246="D",1,0)+IF(CM1246="D",1,0)+IF(CQ1246="D",1,0)+IF(CR1246="D",1,0)+IF(CS1246="D",1,0)+IF(CW1246="D",1,0)+IF(CX1246="D",1,0)+IF(DD1246="D",1,0)+IF(DE1246="D",1,0)+IF(DJ1246="D",1,0)+IF(DK1246="D",1,0)+IF(DO1246="D",1,0)+IF(DP1246="D",1,0)+IF(DQ1246="D",1,0)+IF(DW1246="D",1,0)+IF(DZ1246="D",1,0)+IF(EH1246="D",1,0)</f>
        <v/>
      </c>
      <c r="AY1246">
        <f>IF(DJ1246&lt;&gt;"",1,0)+IF(DK1246&lt;&gt;"",1,0)+IF(DM1246&lt;&gt;"",1,0)+IF(DO1246&lt;&gt;"",1,0)+IF(DP1246&lt;&gt;"",1,0)+IF(DQ1246&lt;&gt;"",1,0)+IF(DS1246&lt;&gt;"",1,0)+IF(DT1246&lt;&gt;"",1,0)+IF(DV1246&lt;&gt;"",1,0)+IF(DW1246&lt;&gt;"",1,0)+IF(DX1246&lt;&gt;"",1,0)+IF(DY1246&lt;&gt;"",1,0)+IF(DZ1246&lt;&gt;"",1,0)+IF(EB1246&lt;&gt;"",1,0)+IF(EC1246&lt;&gt;"",1,0)+IF(ED1246&lt;&gt;"",1,0)+IF(EG1246&lt;&gt;"",1,0)+IF(EH1246&lt;&gt;"",1,0)</f>
        <v/>
      </c>
      <c r="AZ1246">
        <f>IF(EH1246&lt;&gt;"",1,0)</f>
        <v/>
      </c>
      <c r="BB1246" t="inlineStr">
        <is>
          <t>WARREN-WARD 4</t>
        </is>
      </c>
    </row>
    <row r="1247">
      <c r="A1247" t="inlineStr">
        <is>
          <t>OH0023317468</t>
        </is>
      </c>
      <c r="B1247" t="n">
        <v>78</v>
      </c>
      <c r="C1247" t="n">
        <v>410002</v>
      </c>
      <c r="D1247" t="inlineStr">
        <is>
          <t>EICHLER</t>
        </is>
      </c>
      <c r="E1247" t="inlineStr">
        <is>
          <t>THOMAS</t>
        </is>
      </c>
      <c r="F1247">
        <f>CONCATENATE(D1247," ",LEFT(H1247,4),"T=",AU1247,"D=",AV1247,"R=",AW1247,"M=",AX1247,"L=",AY1247,"B=",AZ1247)</f>
        <v/>
      </c>
      <c r="G1247" t="inlineStr">
        <is>
          <t>V</t>
        </is>
      </c>
      <c r="H1247" t="inlineStr">
        <is>
          <t>V</t>
        </is>
      </c>
      <c r="I1247" t="inlineStr">
        <is>
          <t>1994-12-07</t>
        </is>
      </c>
      <c r="J1247" t="inlineStr">
        <is>
          <t>2024-08-17</t>
        </is>
      </c>
      <c r="K1247" t="inlineStr">
        <is>
          <t>ACTIVE</t>
        </is>
      </c>
      <c r="M1247" t="inlineStr">
        <is>
          <t>167 CHARLES AVE NE</t>
        </is>
      </c>
      <c r="N1247">
        <f>RIGHT(M1247,LEN(M1247)-FIND(" ",M1247))</f>
        <v/>
      </c>
      <c r="P1247" t="inlineStr">
        <is>
          <t>WARREN</t>
        </is>
      </c>
      <c r="Q1247" t="inlineStr">
        <is>
          <t>OH</t>
        </is>
      </c>
      <c r="R1247" t="n">
        <v>44483</v>
      </c>
      <c r="AD1247" t="inlineStr">
        <is>
          <t>TRUMBULL CAREER &amp; TECH CENTER</t>
        </is>
      </c>
      <c r="AE1247" t="inlineStr">
        <is>
          <t>WARREN CITY</t>
        </is>
      </c>
      <c r="AF1247" t="inlineStr">
        <is>
          <t>WARREN CITY SD</t>
        </is>
      </c>
      <c r="AH1247" t="n">
        <v>14</v>
      </c>
      <c r="AI1247" t="n">
        <v>11</v>
      </c>
      <c r="AN1247" t="inlineStr">
        <is>
          <t>WARREN</t>
        </is>
      </c>
      <c r="AO1247" t="inlineStr">
        <is>
          <t>WARREN CITY 4D</t>
        </is>
      </c>
      <c r="AP1247" t="inlineStr">
        <is>
          <t>78-P-ADL</t>
        </is>
      </c>
      <c r="AQ1247" t="n">
        <v>9</v>
      </c>
      <c r="AR1247" t="n">
        <v>64</v>
      </c>
      <c r="AS1247" t="n">
        <v>32</v>
      </c>
      <c r="AU1247">
        <f>COUNTA($BA$1247:$EH$1247)</f>
        <v/>
      </c>
      <c r="AV1247">
        <f>COUNTIF($BA$1247:$EH$1247,"D")</f>
        <v/>
      </c>
      <c r="AW1247">
        <f>COUNTIF($BA$1247:$EH$1247,"R")</f>
        <v/>
      </c>
      <c r="AX1247">
        <f>IF(BN1247="D",1,0)+IF(BO1247="D",1,0)+IF(BT1247="D",1,0)+IF(BU1247="D",1,0)+IF(BW1247="D",1,0)+IF(CC1247="D",1,0)+IF(CD1247="D",1,0)+IF(CE1247="D",1,0)+IF(CF1247="D",1,0)+IF(CL1247="D",1,0)+IF(CM1247="D",1,0)+IF(CQ1247="D",1,0)+IF(CR1247="D",1,0)+IF(CS1247="D",1,0)+IF(CW1247="D",1,0)+IF(CX1247="D",1,0)+IF(DD1247="D",1,0)+IF(DE1247="D",1,0)+IF(DJ1247="D",1,0)+IF(DK1247="D",1,0)+IF(DO1247="D",1,0)+IF(DP1247="D",1,0)+IF(DQ1247="D",1,0)+IF(DW1247="D",1,0)+IF(DZ1247="D",1,0)+IF(EH1247="D",1,0)</f>
        <v/>
      </c>
      <c r="AY1247">
        <f>IF(DJ1247&lt;&gt;"",1,0)+IF(DK1247&lt;&gt;"",1,0)+IF(DM1247&lt;&gt;"",1,0)+IF(DO1247&lt;&gt;"",1,0)+IF(DP1247&lt;&gt;"",1,0)+IF(DQ1247&lt;&gt;"",1,0)+IF(DS1247&lt;&gt;"",1,0)+IF(DT1247&lt;&gt;"",1,0)+IF(DV1247&lt;&gt;"",1,0)+IF(DW1247&lt;&gt;"",1,0)+IF(DX1247&lt;&gt;"",1,0)+IF(DY1247&lt;&gt;"",1,0)+IF(DZ1247&lt;&gt;"",1,0)+IF(EB1247&lt;&gt;"",1,0)+IF(EC1247&lt;&gt;"",1,0)+IF(ED1247&lt;&gt;"",1,0)+IF(EG1247&lt;&gt;"",1,0)+IF(EH1247&lt;&gt;"",1,0)</f>
        <v/>
      </c>
      <c r="AZ1247">
        <f>IF(EH1247&lt;&gt;"",1,0)</f>
        <v/>
      </c>
      <c r="BB1247" t="inlineStr">
        <is>
          <t>WARREN-WARD 4</t>
        </is>
      </c>
      <c r="CY1247" t="inlineStr">
        <is>
          <t>X</t>
        </is>
      </c>
    </row>
    <row r="1248">
      <c r="A1248" t="inlineStr">
        <is>
          <t>OH0026335419</t>
        </is>
      </c>
      <c r="B1248" t="n">
        <v>78</v>
      </c>
      <c r="C1248" t="n">
        <v>460401</v>
      </c>
      <c r="D1248" t="inlineStr">
        <is>
          <t>FANNIN</t>
        </is>
      </c>
      <c r="E1248" t="inlineStr">
        <is>
          <t>MADISON</t>
        </is>
      </c>
      <c r="F1248">
        <f>CONCATENATE(D1248," ",LEFT(H1248,4),"T=",AU1248,"D=",AV1248,"R=",AW1248,"M=",AX1248,"L=",AY1248,"B=",AZ1248)</f>
        <v/>
      </c>
      <c r="G1248" t="inlineStr">
        <is>
          <t>ELIZABETH</t>
        </is>
      </c>
      <c r="I1248" t="inlineStr">
        <is>
          <t>2003-12-08</t>
        </is>
      </c>
      <c r="J1248" t="inlineStr">
        <is>
          <t>2021-11-04</t>
        </is>
      </c>
      <c r="K1248" t="inlineStr">
        <is>
          <t>ACTIVE</t>
        </is>
      </c>
      <c r="M1248" t="inlineStr">
        <is>
          <t>512 HIGH ST NE</t>
        </is>
      </c>
      <c r="N1248">
        <f>RIGHT(M1248,LEN(M1248)-FIND(" ",M1248))</f>
        <v/>
      </c>
      <c r="P1248" t="inlineStr">
        <is>
          <t>WARREN</t>
        </is>
      </c>
      <c r="Q1248" t="inlineStr">
        <is>
          <t>OH</t>
        </is>
      </c>
      <c r="R1248" t="n">
        <v>44483</v>
      </c>
      <c r="AD1248" t="inlineStr">
        <is>
          <t>TRUMBULL CAREER &amp; TECH CENTER</t>
        </is>
      </c>
      <c r="AE1248" t="inlineStr">
        <is>
          <t>WARREN CITY</t>
        </is>
      </c>
      <c r="AF1248" t="inlineStr">
        <is>
          <t>WARREN CITY SD</t>
        </is>
      </c>
      <c r="AH1248" t="n">
        <v>14</v>
      </c>
      <c r="AI1248" t="n">
        <v>11</v>
      </c>
      <c r="AN1248" t="inlineStr">
        <is>
          <t>WARREN</t>
        </is>
      </c>
      <c r="AO1248" t="inlineStr">
        <is>
          <t>WARREN CITY 4D</t>
        </is>
      </c>
      <c r="AP1248" t="inlineStr">
        <is>
          <t>78-P-ADL</t>
        </is>
      </c>
      <c r="AQ1248" t="n">
        <v>9</v>
      </c>
      <c r="AR1248" t="n">
        <v>64</v>
      </c>
      <c r="AS1248" t="n">
        <v>32</v>
      </c>
      <c r="AU1248">
        <f>COUNTA($BA$1248:$EH$1248)</f>
        <v/>
      </c>
      <c r="AV1248">
        <f>COUNTIF($BA$1248:$EH$1248,"D")</f>
        <v/>
      </c>
      <c r="AW1248">
        <f>COUNTIF($BA$1248:$EH$1248,"R")</f>
        <v/>
      </c>
      <c r="AX1248">
        <f>IF(BN1248="D",1,0)+IF(BO1248="D",1,0)+IF(BT1248="D",1,0)+IF(BU1248="D",1,0)+IF(BW1248="D",1,0)+IF(CC1248="D",1,0)+IF(CD1248="D",1,0)+IF(CE1248="D",1,0)+IF(CF1248="D",1,0)+IF(CL1248="D",1,0)+IF(CM1248="D",1,0)+IF(CQ1248="D",1,0)+IF(CR1248="D",1,0)+IF(CS1248="D",1,0)+IF(CW1248="D",1,0)+IF(CX1248="D",1,0)+IF(DD1248="D",1,0)+IF(DE1248="D",1,0)+IF(DJ1248="D",1,0)+IF(DK1248="D",1,0)+IF(DO1248="D",1,0)+IF(DP1248="D",1,0)+IF(DQ1248="D",1,0)+IF(DW1248="D",1,0)+IF(DZ1248="D",1,0)+IF(EH1248="D",1,0)</f>
        <v/>
      </c>
      <c r="AY1248">
        <f>IF(DJ1248&lt;&gt;"",1,0)+IF(DK1248&lt;&gt;"",1,0)+IF(DM1248&lt;&gt;"",1,0)+IF(DO1248&lt;&gt;"",1,0)+IF(DP1248&lt;&gt;"",1,0)+IF(DQ1248&lt;&gt;"",1,0)+IF(DS1248&lt;&gt;"",1,0)+IF(DT1248&lt;&gt;"",1,0)+IF(DV1248&lt;&gt;"",1,0)+IF(DW1248&lt;&gt;"",1,0)+IF(DX1248&lt;&gt;"",1,0)+IF(DY1248&lt;&gt;"",1,0)+IF(DZ1248&lt;&gt;"",1,0)+IF(EB1248&lt;&gt;"",1,0)+IF(EC1248&lt;&gt;"",1,0)+IF(ED1248&lt;&gt;"",1,0)+IF(EG1248&lt;&gt;"",1,0)+IF(EH1248&lt;&gt;"",1,0)</f>
        <v/>
      </c>
      <c r="AZ1248">
        <f>IF(EH1248&lt;&gt;"",1,0)</f>
        <v/>
      </c>
      <c r="BB1248" t="inlineStr">
        <is>
          <t>WARREN-WARD 4</t>
        </is>
      </c>
      <c r="EF1248" t="inlineStr">
        <is>
          <t>X</t>
        </is>
      </c>
    </row>
    <row r="1249">
      <c r="A1249" t="inlineStr">
        <is>
          <t>OH0023936584</t>
        </is>
      </c>
      <c r="B1249" t="n">
        <v>78</v>
      </c>
      <c r="C1249" t="n">
        <v>420120</v>
      </c>
      <c r="D1249" t="inlineStr">
        <is>
          <t>HOWARD</t>
        </is>
      </c>
      <c r="E1249" t="inlineStr">
        <is>
          <t>MARKETTA</t>
        </is>
      </c>
      <c r="F1249">
        <f>CONCATENATE(D1249," ",LEFT(H1249,4),"T=",AU1249,"D=",AV1249,"R=",AW1249,"M=",AX1249,"L=",AY1249,"B=",AZ1249)</f>
        <v/>
      </c>
      <c r="G1249" t="inlineStr">
        <is>
          <t>SHAWNTELL</t>
        </is>
      </c>
      <c r="I1249" t="inlineStr">
        <is>
          <t>1984-12-30</t>
        </is>
      </c>
      <c r="J1249" t="inlineStr">
        <is>
          <t>2023-02-03</t>
        </is>
      </c>
      <c r="K1249" t="inlineStr">
        <is>
          <t>ACTIVE</t>
        </is>
      </c>
      <c r="M1249" t="inlineStr">
        <is>
          <t>1217 MCKINLEY ST NE</t>
        </is>
      </c>
      <c r="N1249">
        <f>RIGHT(M1249,LEN(M1249)-FIND(" ",M1249))</f>
        <v/>
      </c>
      <c r="P1249" t="inlineStr">
        <is>
          <t>WARREN</t>
        </is>
      </c>
      <c r="Q1249" t="inlineStr">
        <is>
          <t>OH</t>
        </is>
      </c>
      <c r="R1249" t="n">
        <v>44483</v>
      </c>
      <c r="AD1249" t="inlineStr">
        <is>
          <t>TRUMBULL CAREER &amp; TECH CENTER</t>
        </is>
      </c>
      <c r="AE1249" t="inlineStr">
        <is>
          <t>WARREN CITY</t>
        </is>
      </c>
      <c r="AF1249" t="inlineStr">
        <is>
          <t>WARREN CITY SD</t>
        </is>
      </c>
      <c r="AH1249" t="n">
        <v>14</v>
      </c>
      <c r="AI1249" t="n">
        <v>11</v>
      </c>
      <c r="AN1249" t="inlineStr">
        <is>
          <t>WARREN</t>
        </is>
      </c>
      <c r="AO1249" t="inlineStr">
        <is>
          <t>WARREN CITY 4D</t>
        </is>
      </c>
      <c r="AP1249" t="inlineStr">
        <is>
          <t>78-P-ADL</t>
        </is>
      </c>
      <c r="AQ1249" t="n">
        <v>9</v>
      </c>
      <c r="AR1249" t="n">
        <v>64</v>
      </c>
      <c r="AS1249" t="n">
        <v>32</v>
      </c>
      <c r="AU1249">
        <f>COUNTA($BA$1249:$EH$1249)</f>
        <v/>
      </c>
      <c r="AV1249">
        <f>COUNTIF($BA$1249:$EH$1249,"D")</f>
        <v/>
      </c>
      <c r="AW1249">
        <f>COUNTIF($BA$1249:$EH$1249,"R")</f>
        <v/>
      </c>
      <c r="AX1249">
        <f>IF(BN1249="D",1,0)+IF(BO1249="D",1,0)+IF(BT1249="D",1,0)+IF(BU1249="D",1,0)+IF(BW1249="D",1,0)+IF(CC1249="D",1,0)+IF(CD1249="D",1,0)+IF(CE1249="D",1,0)+IF(CF1249="D",1,0)+IF(CL1249="D",1,0)+IF(CM1249="D",1,0)+IF(CQ1249="D",1,0)+IF(CR1249="D",1,0)+IF(CS1249="D",1,0)+IF(CW1249="D",1,0)+IF(CX1249="D",1,0)+IF(DD1249="D",1,0)+IF(DE1249="D",1,0)+IF(DJ1249="D",1,0)+IF(DK1249="D",1,0)+IF(DO1249="D",1,0)+IF(DP1249="D",1,0)+IF(DQ1249="D",1,0)+IF(DW1249="D",1,0)+IF(DZ1249="D",1,0)+IF(EH1249="D",1,0)</f>
        <v/>
      </c>
      <c r="AY1249">
        <f>IF(DJ1249&lt;&gt;"",1,0)+IF(DK1249&lt;&gt;"",1,0)+IF(DM1249&lt;&gt;"",1,0)+IF(DO1249&lt;&gt;"",1,0)+IF(DP1249&lt;&gt;"",1,0)+IF(DQ1249&lt;&gt;"",1,0)+IF(DS1249&lt;&gt;"",1,0)+IF(DT1249&lt;&gt;"",1,0)+IF(DV1249&lt;&gt;"",1,0)+IF(DW1249&lt;&gt;"",1,0)+IF(DX1249&lt;&gt;"",1,0)+IF(DY1249&lt;&gt;"",1,0)+IF(DZ1249&lt;&gt;"",1,0)+IF(EB1249&lt;&gt;"",1,0)+IF(EC1249&lt;&gt;"",1,0)+IF(ED1249&lt;&gt;"",1,0)+IF(EG1249&lt;&gt;"",1,0)+IF(EH1249&lt;&gt;"",1,0)</f>
        <v/>
      </c>
      <c r="AZ1249">
        <f>IF(EH1249&lt;&gt;"",1,0)</f>
        <v/>
      </c>
      <c r="BB1249" t="inlineStr">
        <is>
          <t>WARREN-WARD 4</t>
        </is>
      </c>
      <c r="BL1249" t="inlineStr">
        <is>
          <t>X</t>
        </is>
      </c>
      <c r="CP1249" t="inlineStr">
        <is>
          <t>X</t>
        </is>
      </c>
      <c r="DC1249" t="inlineStr">
        <is>
          <t>X</t>
        </is>
      </c>
      <c r="EA1249" t="inlineStr">
        <is>
          <t>X</t>
        </is>
      </c>
      <c r="EF1249" t="inlineStr">
        <is>
          <t>X</t>
        </is>
      </c>
    </row>
    <row r="1250">
      <c r="A1250" t="inlineStr">
        <is>
          <t>OH0026817849</t>
        </is>
      </c>
      <c r="B1250" t="n">
        <v>78</v>
      </c>
      <c r="C1250" t="n">
        <v>470878</v>
      </c>
      <c r="D1250" t="inlineStr">
        <is>
          <t>OLIVER</t>
        </is>
      </c>
      <c r="E1250" t="inlineStr">
        <is>
          <t>ELIZABETH</t>
        </is>
      </c>
      <c r="F1250">
        <f>CONCATENATE(D1250," ",LEFT(H1250,4),"T=",AU1250,"D=",AV1250,"R=",AW1250,"M=",AX1250,"L=",AY1250,"B=",AZ1250)</f>
        <v/>
      </c>
      <c r="G1250" t="inlineStr">
        <is>
          <t>MAYE</t>
        </is>
      </c>
      <c r="I1250" t="inlineStr">
        <is>
          <t>1982-07-21</t>
        </is>
      </c>
      <c r="J1250" t="inlineStr">
        <is>
          <t>2023-02-07</t>
        </is>
      </c>
      <c r="K1250" t="inlineStr">
        <is>
          <t>ACTIVE</t>
        </is>
      </c>
      <c r="M1250" t="inlineStr">
        <is>
          <t>340 VINE AVE NE</t>
        </is>
      </c>
      <c r="N1250">
        <f>RIGHT(M1250,LEN(M1250)-FIND(" ",M1250))</f>
        <v/>
      </c>
      <c r="P1250" t="inlineStr">
        <is>
          <t>WARREN</t>
        </is>
      </c>
      <c r="Q1250" t="inlineStr">
        <is>
          <t>OH</t>
        </is>
      </c>
      <c r="R1250" t="n">
        <v>44483</v>
      </c>
      <c r="AD1250" t="inlineStr">
        <is>
          <t>TRUMBULL CAREER &amp; TECH CENTER</t>
        </is>
      </c>
      <c r="AE1250" t="inlineStr">
        <is>
          <t>WARREN CITY</t>
        </is>
      </c>
      <c r="AF1250" t="inlineStr">
        <is>
          <t>WARREN CITY SD</t>
        </is>
      </c>
      <c r="AH1250" t="n">
        <v>14</v>
      </c>
      <c r="AI1250" t="n">
        <v>11</v>
      </c>
      <c r="AN1250" t="inlineStr">
        <is>
          <t>WARREN</t>
        </is>
      </c>
      <c r="AO1250" t="inlineStr">
        <is>
          <t>WARREN CITY 4D</t>
        </is>
      </c>
      <c r="AP1250" t="inlineStr">
        <is>
          <t>78-P-ADL</t>
        </is>
      </c>
      <c r="AQ1250" t="n">
        <v>9</v>
      </c>
      <c r="AR1250" t="n">
        <v>64</v>
      </c>
      <c r="AS1250" t="n">
        <v>32</v>
      </c>
      <c r="AU1250">
        <f>COUNTA($BA$1250:$EH$1250)</f>
        <v/>
      </c>
      <c r="AV1250">
        <f>COUNTIF($BA$1250:$EH$1250,"D")</f>
        <v/>
      </c>
      <c r="AW1250">
        <f>COUNTIF($BA$1250:$EH$1250,"R")</f>
        <v/>
      </c>
      <c r="AX1250">
        <f>IF(BN1250="D",1,0)+IF(BO1250="D",1,0)+IF(BT1250="D",1,0)+IF(BU1250="D",1,0)+IF(BW1250="D",1,0)+IF(CC1250="D",1,0)+IF(CD1250="D",1,0)+IF(CE1250="D",1,0)+IF(CF1250="D",1,0)+IF(CL1250="D",1,0)+IF(CM1250="D",1,0)+IF(CQ1250="D",1,0)+IF(CR1250="D",1,0)+IF(CS1250="D",1,0)+IF(CW1250="D",1,0)+IF(CX1250="D",1,0)+IF(DD1250="D",1,0)+IF(DE1250="D",1,0)+IF(DJ1250="D",1,0)+IF(DK1250="D",1,0)+IF(DO1250="D",1,0)+IF(DP1250="D",1,0)+IF(DQ1250="D",1,0)+IF(DW1250="D",1,0)+IF(DZ1250="D",1,0)+IF(EH1250="D",1,0)</f>
        <v/>
      </c>
      <c r="AY1250">
        <f>IF(DJ1250&lt;&gt;"",1,0)+IF(DK1250&lt;&gt;"",1,0)+IF(DM1250&lt;&gt;"",1,0)+IF(DO1250&lt;&gt;"",1,0)+IF(DP1250&lt;&gt;"",1,0)+IF(DQ1250&lt;&gt;"",1,0)+IF(DS1250&lt;&gt;"",1,0)+IF(DT1250&lt;&gt;"",1,0)+IF(DV1250&lt;&gt;"",1,0)+IF(DW1250&lt;&gt;"",1,0)+IF(DX1250&lt;&gt;"",1,0)+IF(DY1250&lt;&gt;"",1,0)+IF(DZ1250&lt;&gt;"",1,0)+IF(EB1250&lt;&gt;"",1,0)+IF(EC1250&lt;&gt;"",1,0)+IF(ED1250&lt;&gt;"",1,0)+IF(EG1250&lt;&gt;"",1,0)+IF(EH1250&lt;&gt;"",1,0)</f>
        <v/>
      </c>
      <c r="AZ1250">
        <f>IF(EH1250&lt;&gt;"",1,0)</f>
        <v/>
      </c>
      <c r="BB1250" t="inlineStr">
        <is>
          <t>WARREN-WARD 4</t>
        </is>
      </c>
    </row>
    <row r="1251">
      <c r="A1251" t="inlineStr">
        <is>
          <t>OH0024655818</t>
        </is>
      </c>
      <c r="B1251" t="n">
        <v>78</v>
      </c>
      <c r="C1251" t="n">
        <v>432282</v>
      </c>
      <c r="D1251" t="inlineStr">
        <is>
          <t>WOMACK</t>
        </is>
      </c>
      <c r="E1251" t="inlineStr">
        <is>
          <t>BEULAH</t>
        </is>
      </c>
      <c r="F1251">
        <f>CONCATENATE(D1251," ",LEFT(H1251,4),"T=",AU1251,"D=",AV1251,"R=",AW1251,"M=",AX1251,"L=",AY1251,"B=",AZ1251)</f>
        <v/>
      </c>
      <c r="G1251" t="inlineStr">
        <is>
          <t>L</t>
        </is>
      </c>
      <c r="I1251" t="inlineStr">
        <is>
          <t>1972-07-04</t>
        </is>
      </c>
      <c r="J1251" t="inlineStr">
        <is>
          <t>2023-04-04</t>
        </is>
      </c>
      <c r="K1251" t="inlineStr">
        <is>
          <t>ACTIVE</t>
        </is>
      </c>
      <c r="M1251" t="inlineStr">
        <is>
          <t>620 VINE AVE NE</t>
        </is>
      </c>
      <c r="N1251">
        <f>RIGHT(M1251,LEN(M1251)-FIND(" ",M1251))</f>
        <v/>
      </c>
      <c r="P1251" t="inlineStr">
        <is>
          <t>WARREN</t>
        </is>
      </c>
      <c r="Q1251" t="inlineStr">
        <is>
          <t>OH</t>
        </is>
      </c>
      <c r="R1251" t="n">
        <v>44483</v>
      </c>
      <c r="AD1251" t="inlineStr">
        <is>
          <t>TRUMBULL CAREER &amp; TECH CENTER</t>
        </is>
      </c>
      <c r="AE1251" t="inlineStr">
        <is>
          <t>WARREN CITY</t>
        </is>
      </c>
      <c r="AF1251" t="inlineStr">
        <is>
          <t>WARREN CITY SD</t>
        </is>
      </c>
      <c r="AH1251" t="n">
        <v>14</v>
      </c>
      <c r="AI1251" t="n">
        <v>11</v>
      </c>
      <c r="AN1251" t="inlineStr">
        <is>
          <t>WARREN</t>
        </is>
      </c>
      <c r="AO1251" t="inlineStr">
        <is>
          <t>WARREN CITY 4D</t>
        </is>
      </c>
      <c r="AP1251" t="inlineStr">
        <is>
          <t>78-P-ADL</t>
        </is>
      </c>
      <c r="AQ1251" t="n">
        <v>9</v>
      </c>
      <c r="AR1251" t="n">
        <v>64</v>
      </c>
      <c r="AS1251" t="n">
        <v>32</v>
      </c>
      <c r="AU1251">
        <f>COUNTA($BA$1251:$EH$1251)</f>
        <v/>
      </c>
      <c r="AV1251">
        <f>COUNTIF($BA$1251:$EH$1251,"D")</f>
        <v/>
      </c>
      <c r="AW1251">
        <f>COUNTIF($BA$1251:$EH$1251,"R")</f>
        <v/>
      </c>
      <c r="AX1251">
        <f>IF(BN1251="D",1,0)+IF(BO1251="D",1,0)+IF(BT1251="D",1,0)+IF(BU1251="D",1,0)+IF(BW1251="D",1,0)+IF(CC1251="D",1,0)+IF(CD1251="D",1,0)+IF(CE1251="D",1,0)+IF(CF1251="D",1,0)+IF(CL1251="D",1,0)+IF(CM1251="D",1,0)+IF(CQ1251="D",1,0)+IF(CR1251="D",1,0)+IF(CS1251="D",1,0)+IF(CW1251="D",1,0)+IF(CX1251="D",1,0)+IF(DD1251="D",1,0)+IF(DE1251="D",1,0)+IF(DJ1251="D",1,0)+IF(DK1251="D",1,0)+IF(DO1251="D",1,0)+IF(DP1251="D",1,0)+IF(DQ1251="D",1,0)+IF(DW1251="D",1,0)+IF(DZ1251="D",1,0)+IF(EH1251="D",1,0)</f>
        <v/>
      </c>
      <c r="AY1251">
        <f>IF(DJ1251&lt;&gt;"",1,0)+IF(DK1251&lt;&gt;"",1,0)+IF(DM1251&lt;&gt;"",1,0)+IF(DO1251&lt;&gt;"",1,0)+IF(DP1251&lt;&gt;"",1,0)+IF(DQ1251&lt;&gt;"",1,0)+IF(DS1251&lt;&gt;"",1,0)+IF(DT1251&lt;&gt;"",1,0)+IF(DV1251&lt;&gt;"",1,0)+IF(DW1251&lt;&gt;"",1,0)+IF(DX1251&lt;&gt;"",1,0)+IF(DY1251&lt;&gt;"",1,0)+IF(DZ1251&lt;&gt;"",1,0)+IF(EB1251&lt;&gt;"",1,0)+IF(EC1251&lt;&gt;"",1,0)+IF(ED1251&lt;&gt;"",1,0)+IF(EG1251&lt;&gt;"",1,0)+IF(EH1251&lt;&gt;"",1,0)</f>
        <v/>
      </c>
      <c r="AZ1251">
        <f>IF(EH1251&lt;&gt;"",1,0)</f>
        <v/>
      </c>
      <c r="BB1251" t="inlineStr">
        <is>
          <t>WARREN-WARD 4</t>
        </is>
      </c>
      <c r="DI1251" t="inlineStr">
        <is>
          <t>X</t>
        </is>
      </c>
      <c r="DL1251" t="inlineStr">
        <is>
          <t>X</t>
        </is>
      </c>
      <c r="DN1251" t="inlineStr">
        <is>
          <t>X</t>
        </is>
      </c>
      <c r="DX1251" t="inlineStr">
        <is>
          <t>X</t>
        </is>
      </c>
      <c r="EA1251" t="inlineStr">
        <is>
          <t>X</t>
        </is>
      </c>
      <c r="EF1251" t="inlineStr">
        <is>
          <t>X</t>
        </is>
      </c>
    </row>
    <row r="1252">
      <c r="A1252" t="inlineStr">
        <is>
          <t>OH0027839036</t>
        </is>
      </c>
      <c r="B1252" t="n">
        <v>78</v>
      </c>
      <c r="C1252" t="n">
        <v>492352</v>
      </c>
      <c r="D1252" t="inlineStr">
        <is>
          <t>VON BERGEN</t>
        </is>
      </c>
      <c r="E1252" t="inlineStr">
        <is>
          <t>COLBY</t>
        </is>
      </c>
      <c r="F1252">
        <f>CONCATENATE(D1252," ",LEFT(H1252,4),"T=",AU1252,"D=",AV1252,"R=",AW1252,"M=",AX1252,"L=",AY1252,"B=",AZ1252)</f>
        <v/>
      </c>
      <c r="G1252" t="inlineStr">
        <is>
          <t>E</t>
        </is>
      </c>
      <c r="I1252" t="inlineStr">
        <is>
          <t>1991-06-03</t>
        </is>
      </c>
      <c r="J1252" t="inlineStr">
        <is>
          <t>2025-06-13</t>
        </is>
      </c>
      <c r="K1252" t="inlineStr">
        <is>
          <t>ACTIVE</t>
        </is>
      </c>
      <c r="M1252" t="inlineStr">
        <is>
          <t>469 PLYMOUTH PL NE</t>
        </is>
      </c>
      <c r="N1252">
        <f>RIGHT(M1252,LEN(M1252)-FIND(" ",M1252))</f>
        <v/>
      </c>
      <c r="P1252" t="inlineStr">
        <is>
          <t>WARREN</t>
        </is>
      </c>
      <c r="Q1252" t="inlineStr">
        <is>
          <t>OH</t>
        </is>
      </c>
      <c r="R1252" t="n">
        <v>44483</v>
      </c>
      <c r="AD1252" t="inlineStr">
        <is>
          <t>TRUMBULL CAREER &amp; TECH CENTER</t>
        </is>
      </c>
      <c r="AE1252" t="inlineStr">
        <is>
          <t>WARREN CITY</t>
        </is>
      </c>
      <c r="AF1252" t="inlineStr">
        <is>
          <t>WARREN CITY SD</t>
        </is>
      </c>
      <c r="AH1252" t="n">
        <v>14</v>
      </c>
      <c r="AI1252" t="n">
        <v>11</v>
      </c>
      <c r="AN1252" t="inlineStr">
        <is>
          <t>WARREN</t>
        </is>
      </c>
      <c r="AO1252" t="inlineStr">
        <is>
          <t>WARREN CITY 4D</t>
        </is>
      </c>
      <c r="AP1252" t="inlineStr">
        <is>
          <t>78-P-ADL</t>
        </is>
      </c>
      <c r="AQ1252" t="n">
        <v>9</v>
      </c>
      <c r="AR1252" t="n">
        <v>64</v>
      </c>
      <c r="AS1252" t="n">
        <v>32</v>
      </c>
      <c r="AU1252">
        <f>COUNTA($BA$1252:$EH$1252)</f>
        <v/>
      </c>
      <c r="AV1252">
        <f>COUNTIF($BA$1252:$EH$1252,"D")</f>
        <v/>
      </c>
      <c r="AW1252">
        <f>COUNTIF($BA$1252:$EH$1252,"R")</f>
        <v/>
      </c>
      <c r="AX1252">
        <f>IF(BN1252="D",1,0)+IF(BO1252="D",1,0)+IF(BT1252="D",1,0)+IF(BU1252="D",1,0)+IF(BW1252="D",1,0)+IF(CC1252="D",1,0)+IF(CD1252="D",1,0)+IF(CE1252="D",1,0)+IF(CF1252="D",1,0)+IF(CL1252="D",1,0)+IF(CM1252="D",1,0)+IF(CQ1252="D",1,0)+IF(CR1252="D",1,0)+IF(CS1252="D",1,0)+IF(CW1252="D",1,0)+IF(CX1252="D",1,0)+IF(DD1252="D",1,0)+IF(DE1252="D",1,0)+IF(DJ1252="D",1,0)+IF(DK1252="D",1,0)+IF(DO1252="D",1,0)+IF(DP1252="D",1,0)+IF(DQ1252="D",1,0)+IF(DW1252="D",1,0)+IF(DZ1252="D",1,0)+IF(EH1252="D",1,0)</f>
        <v/>
      </c>
      <c r="AY1252">
        <f>IF(DJ1252&lt;&gt;"",1,0)+IF(DK1252&lt;&gt;"",1,0)+IF(DM1252&lt;&gt;"",1,0)+IF(DO1252&lt;&gt;"",1,0)+IF(DP1252&lt;&gt;"",1,0)+IF(DQ1252&lt;&gt;"",1,0)+IF(DS1252&lt;&gt;"",1,0)+IF(DT1252&lt;&gt;"",1,0)+IF(DV1252&lt;&gt;"",1,0)+IF(DW1252&lt;&gt;"",1,0)+IF(DX1252&lt;&gt;"",1,0)+IF(DY1252&lt;&gt;"",1,0)+IF(DZ1252&lt;&gt;"",1,0)+IF(EB1252&lt;&gt;"",1,0)+IF(EC1252&lt;&gt;"",1,0)+IF(ED1252&lt;&gt;"",1,0)+IF(EG1252&lt;&gt;"",1,0)+IF(EH1252&lt;&gt;"",1,0)</f>
        <v/>
      </c>
      <c r="AZ1252">
        <f>IF(EH1252&lt;&gt;"",1,0)</f>
        <v/>
      </c>
      <c r="BB1252" t="inlineStr">
        <is>
          <t>WARREN-WARD 4</t>
        </is>
      </c>
    </row>
    <row r="1253">
      <c r="A1253" t="inlineStr">
        <is>
          <t>OH0027857502</t>
        </is>
      </c>
      <c r="B1253" t="n">
        <v>78</v>
      </c>
      <c r="C1253" t="n">
        <v>494510</v>
      </c>
      <c r="D1253" t="inlineStr">
        <is>
          <t>GWINN</t>
        </is>
      </c>
      <c r="E1253" t="inlineStr">
        <is>
          <t>DANIEL</t>
        </is>
      </c>
      <c r="F1253">
        <f>CONCATENATE(D1253," ",LEFT(H1253,4),"T=",AU1253,"D=",AV1253,"R=",AW1253,"M=",AX1253,"L=",AY1253,"B=",AZ1253)</f>
        <v/>
      </c>
      <c r="G1253" t="inlineStr">
        <is>
          <t>XAVIER</t>
        </is>
      </c>
      <c r="I1253" t="inlineStr">
        <is>
          <t>1998-12-11</t>
        </is>
      </c>
      <c r="J1253" t="inlineStr">
        <is>
          <t>2024-12-06</t>
        </is>
      </c>
      <c r="K1253" t="inlineStr">
        <is>
          <t>ACTIVE</t>
        </is>
      </c>
      <c r="M1253" t="inlineStr">
        <is>
          <t>239 LINDEN AVE SE</t>
        </is>
      </c>
      <c r="N1253">
        <f>RIGHT(M1253,LEN(M1253)-FIND(" ",M1253))</f>
        <v/>
      </c>
      <c r="P1253" t="inlineStr">
        <is>
          <t>WARREN</t>
        </is>
      </c>
      <c r="Q1253" t="inlineStr">
        <is>
          <t>OH</t>
        </is>
      </c>
      <c r="R1253" t="n">
        <v>44483</v>
      </c>
      <c r="AD1253" t="inlineStr">
        <is>
          <t>TRUMBULL CAREER &amp; TECH CENTER</t>
        </is>
      </c>
      <c r="AE1253" t="inlineStr">
        <is>
          <t>WARREN CITY</t>
        </is>
      </c>
      <c r="AF1253" t="inlineStr">
        <is>
          <t>WARREN CITY SD</t>
        </is>
      </c>
      <c r="AH1253" t="n">
        <v>14</v>
      </c>
      <c r="AI1253" t="n">
        <v>11</v>
      </c>
      <c r="AN1253" t="inlineStr">
        <is>
          <t>WARREN</t>
        </is>
      </c>
      <c r="AO1253" t="inlineStr">
        <is>
          <t>WARREN CITY 4D</t>
        </is>
      </c>
      <c r="AP1253" t="inlineStr">
        <is>
          <t>78-P-ADL</t>
        </is>
      </c>
      <c r="AQ1253" t="n">
        <v>9</v>
      </c>
      <c r="AR1253" t="n">
        <v>64</v>
      </c>
      <c r="AS1253" t="n">
        <v>32</v>
      </c>
      <c r="AU1253">
        <f>COUNTA($BA$1253:$EH$1253)</f>
        <v/>
      </c>
      <c r="AV1253">
        <f>COUNTIF($BA$1253:$EH$1253,"D")</f>
        <v/>
      </c>
      <c r="AW1253">
        <f>COUNTIF($BA$1253:$EH$1253,"R")</f>
        <v/>
      </c>
      <c r="AX1253">
        <f>IF(BN1253="D",1,0)+IF(BO1253="D",1,0)+IF(BT1253="D",1,0)+IF(BU1253="D",1,0)+IF(BW1253="D",1,0)+IF(CC1253="D",1,0)+IF(CD1253="D",1,0)+IF(CE1253="D",1,0)+IF(CF1253="D",1,0)+IF(CL1253="D",1,0)+IF(CM1253="D",1,0)+IF(CQ1253="D",1,0)+IF(CR1253="D",1,0)+IF(CS1253="D",1,0)+IF(CW1253="D",1,0)+IF(CX1253="D",1,0)+IF(DD1253="D",1,0)+IF(DE1253="D",1,0)+IF(DJ1253="D",1,0)+IF(DK1253="D",1,0)+IF(DO1253="D",1,0)+IF(DP1253="D",1,0)+IF(DQ1253="D",1,0)+IF(DW1253="D",1,0)+IF(DZ1253="D",1,0)+IF(EH1253="D",1,0)</f>
        <v/>
      </c>
      <c r="AY1253">
        <f>IF(DJ1253&lt;&gt;"",1,0)+IF(DK1253&lt;&gt;"",1,0)+IF(DM1253&lt;&gt;"",1,0)+IF(DO1253&lt;&gt;"",1,0)+IF(DP1253&lt;&gt;"",1,0)+IF(DQ1253&lt;&gt;"",1,0)+IF(DS1253&lt;&gt;"",1,0)+IF(DT1253&lt;&gt;"",1,0)+IF(DV1253&lt;&gt;"",1,0)+IF(DW1253&lt;&gt;"",1,0)+IF(DX1253&lt;&gt;"",1,0)+IF(DY1253&lt;&gt;"",1,0)+IF(DZ1253&lt;&gt;"",1,0)+IF(EB1253&lt;&gt;"",1,0)+IF(EC1253&lt;&gt;"",1,0)+IF(ED1253&lt;&gt;"",1,0)+IF(EG1253&lt;&gt;"",1,0)+IF(EH1253&lt;&gt;"",1,0)</f>
        <v/>
      </c>
      <c r="AZ1253">
        <f>IF(EH1253&lt;&gt;"",1,0)</f>
        <v/>
      </c>
      <c r="BB1253" t="inlineStr">
        <is>
          <t>WARREN-WARD 4</t>
        </is>
      </c>
    </row>
    <row r="1254">
      <c r="A1254" t="inlineStr">
        <is>
          <t>OH0015698358</t>
        </is>
      </c>
      <c r="B1254" t="n">
        <v>78</v>
      </c>
      <c r="C1254" t="n">
        <v>155650</v>
      </c>
      <c r="D1254" t="inlineStr">
        <is>
          <t>ACCORDINO</t>
        </is>
      </c>
      <c r="E1254" t="inlineStr">
        <is>
          <t>NICK</t>
        </is>
      </c>
      <c r="F1254">
        <f>CONCATENATE(D1254," ",LEFT(H1254,4),"T=",AU1254,"D=",AV1254,"R=",AW1254,"M=",AX1254,"L=",AY1254,"B=",AZ1254)</f>
        <v/>
      </c>
      <c r="H1254" t="inlineStr">
        <is>
          <t>JR</t>
        </is>
      </c>
      <c r="I1254" t="inlineStr">
        <is>
          <t>1964-12-14</t>
        </is>
      </c>
      <c r="J1254" t="inlineStr">
        <is>
          <t>2023-03-27</t>
        </is>
      </c>
      <c r="K1254" t="inlineStr">
        <is>
          <t>ACTIVE</t>
        </is>
      </c>
      <c r="L1254" t="inlineStr">
        <is>
          <t>R</t>
        </is>
      </c>
      <c r="M1254" t="inlineStr">
        <is>
          <t>216 CHESTNUT AVE NE</t>
        </is>
      </c>
      <c r="N1254">
        <f>RIGHT(M1254,LEN(M1254)-FIND(" ",M1254))</f>
        <v/>
      </c>
      <c r="P1254" t="inlineStr">
        <is>
          <t>WARREN</t>
        </is>
      </c>
      <c r="Q1254" t="inlineStr">
        <is>
          <t>OH</t>
        </is>
      </c>
      <c r="R1254" t="n">
        <v>44483</v>
      </c>
      <c r="AD1254" t="inlineStr">
        <is>
          <t>TRUMBULL CAREER &amp; TECH CENTER</t>
        </is>
      </c>
      <c r="AE1254" t="inlineStr">
        <is>
          <t>WARREN CITY</t>
        </is>
      </c>
      <c r="AF1254" t="inlineStr">
        <is>
          <t>WARREN CITY SD</t>
        </is>
      </c>
      <c r="AH1254" t="n">
        <v>14</v>
      </c>
      <c r="AI1254" t="n">
        <v>11</v>
      </c>
      <c r="AN1254" t="inlineStr">
        <is>
          <t>WARREN</t>
        </is>
      </c>
      <c r="AO1254" t="inlineStr">
        <is>
          <t>WARREN CITY 4D</t>
        </is>
      </c>
      <c r="AP1254" t="inlineStr">
        <is>
          <t>78-P-ADL</t>
        </is>
      </c>
      <c r="AQ1254" t="n">
        <v>9</v>
      </c>
      <c r="AR1254" t="n">
        <v>64</v>
      </c>
      <c r="AS1254" t="n">
        <v>32</v>
      </c>
      <c r="AU1254">
        <f>COUNTA($BA$1254:$EH$1254)</f>
        <v/>
      </c>
      <c r="AV1254">
        <f>COUNTIF($BA$1254:$EH$1254,"D")</f>
        <v/>
      </c>
      <c r="AW1254">
        <f>COUNTIF($BA$1254:$EH$1254,"R")</f>
        <v/>
      </c>
      <c r="AX1254">
        <f>IF(BN1254="D",1,0)+IF(BO1254="D",1,0)+IF(BT1254="D",1,0)+IF(BU1254="D",1,0)+IF(BW1254="D",1,0)+IF(CC1254="D",1,0)+IF(CD1254="D",1,0)+IF(CE1254="D",1,0)+IF(CF1254="D",1,0)+IF(CL1254="D",1,0)+IF(CM1254="D",1,0)+IF(CQ1254="D",1,0)+IF(CR1254="D",1,0)+IF(CS1254="D",1,0)+IF(CW1254="D",1,0)+IF(CX1254="D",1,0)+IF(DD1254="D",1,0)+IF(DE1254="D",1,0)+IF(DJ1254="D",1,0)+IF(DK1254="D",1,0)+IF(DO1254="D",1,0)+IF(DP1254="D",1,0)+IF(DQ1254="D",1,0)+IF(DW1254="D",1,0)+IF(DZ1254="D",1,0)+IF(EH1254="D",1,0)</f>
        <v/>
      </c>
      <c r="AY1254">
        <f>IF(DJ1254&lt;&gt;"",1,0)+IF(DK1254&lt;&gt;"",1,0)+IF(DM1254&lt;&gt;"",1,0)+IF(DO1254&lt;&gt;"",1,0)+IF(DP1254&lt;&gt;"",1,0)+IF(DQ1254&lt;&gt;"",1,0)+IF(DS1254&lt;&gt;"",1,0)+IF(DT1254&lt;&gt;"",1,0)+IF(DV1254&lt;&gt;"",1,0)+IF(DW1254&lt;&gt;"",1,0)+IF(DX1254&lt;&gt;"",1,0)+IF(DY1254&lt;&gt;"",1,0)+IF(DZ1254&lt;&gt;"",1,0)+IF(EB1254&lt;&gt;"",1,0)+IF(EC1254&lt;&gt;"",1,0)+IF(ED1254&lt;&gt;"",1,0)+IF(EG1254&lt;&gt;"",1,0)+IF(EH1254&lt;&gt;"",1,0)</f>
        <v/>
      </c>
      <c r="AZ1254">
        <f>IF(EH1254&lt;&gt;"",1,0)</f>
        <v/>
      </c>
      <c r="BB1254" t="inlineStr">
        <is>
          <t>WARREN-WARD 4</t>
        </is>
      </c>
      <c r="BC1254" t="inlineStr">
        <is>
          <t>X</t>
        </is>
      </c>
      <c r="BD1254" t="inlineStr">
        <is>
          <t>X</t>
        </is>
      </c>
      <c r="BF1254" t="inlineStr">
        <is>
          <t>X</t>
        </is>
      </c>
      <c r="BH1254" t="inlineStr">
        <is>
          <t>X</t>
        </is>
      </c>
      <c r="BI1254" t="inlineStr">
        <is>
          <t>X</t>
        </is>
      </c>
      <c r="BL1254" t="inlineStr">
        <is>
          <t>X</t>
        </is>
      </c>
      <c r="BS1254" t="inlineStr">
        <is>
          <t>X</t>
        </is>
      </c>
      <c r="BV1254" t="inlineStr">
        <is>
          <t>X</t>
        </is>
      </c>
      <c r="BY1254" t="inlineStr">
        <is>
          <t>D</t>
        </is>
      </c>
      <c r="CA1254" t="inlineStr">
        <is>
          <t>X</t>
        </is>
      </c>
      <c r="CG1254" t="inlineStr">
        <is>
          <t>X</t>
        </is>
      </c>
      <c r="CK1254" t="inlineStr">
        <is>
          <t>X</t>
        </is>
      </c>
      <c r="CL1254" t="inlineStr">
        <is>
          <t>X</t>
        </is>
      </c>
      <c r="CN1254" t="inlineStr">
        <is>
          <t>X</t>
        </is>
      </c>
      <c r="CO1254" t="inlineStr">
        <is>
          <t>D</t>
        </is>
      </c>
      <c r="CP1254" t="inlineStr">
        <is>
          <t>X</t>
        </is>
      </c>
      <c r="CU1254" t="inlineStr">
        <is>
          <t>D</t>
        </is>
      </c>
      <c r="CV1254" t="inlineStr">
        <is>
          <t>X</t>
        </is>
      </c>
      <c r="CY1254" t="inlineStr">
        <is>
          <t>X</t>
        </is>
      </c>
      <c r="CZ1254" t="inlineStr">
        <is>
          <t>R</t>
        </is>
      </c>
      <c r="DC1254" t="inlineStr">
        <is>
          <t>X</t>
        </is>
      </c>
      <c r="DD1254" t="inlineStr">
        <is>
          <t>D</t>
        </is>
      </c>
      <c r="DF1254" t="inlineStr">
        <is>
          <t>X</t>
        </is>
      </c>
      <c r="DG1254" t="inlineStr">
        <is>
          <t>D</t>
        </is>
      </c>
      <c r="DI1254" t="inlineStr">
        <is>
          <t>X</t>
        </is>
      </c>
      <c r="DL1254" t="inlineStr">
        <is>
          <t>X</t>
        </is>
      </c>
      <c r="DN1254" t="inlineStr">
        <is>
          <t>X</t>
        </is>
      </c>
      <c r="DU1254" t="inlineStr">
        <is>
          <t>X</t>
        </is>
      </c>
      <c r="DX1254" t="inlineStr">
        <is>
          <t>X</t>
        </is>
      </c>
      <c r="ED1254" t="inlineStr">
        <is>
          <t>R</t>
        </is>
      </c>
      <c r="EF1254" t="inlineStr">
        <is>
          <t>X</t>
        </is>
      </c>
    </row>
    <row r="1255">
      <c r="A1255" t="inlineStr">
        <is>
          <t>OH0015786957</t>
        </is>
      </c>
      <c r="B1255" t="n">
        <v>78</v>
      </c>
      <c r="C1255" t="n">
        <v>6193</v>
      </c>
      <c r="D1255" t="inlineStr">
        <is>
          <t>GERMANO</t>
        </is>
      </c>
      <c r="E1255" t="inlineStr">
        <is>
          <t>MARGARET</t>
        </is>
      </c>
      <c r="F1255">
        <f>CONCATENATE(D1255," ",LEFT(H1255,4),"T=",AU1255,"D=",AV1255,"R=",AW1255,"M=",AX1255,"L=",AY1255,"B=",AZ1255)</f>
        <v/>
      </c>
      <c r="G1255" t="inlineStr">
        <is>
          <t>LISA</t>
        </is>
      </c>
      <c r="I1255" t="inlineStr">
        <is>
          <t>1961-09-09</t>
        </is>
      </c>
      <c r="J1255" t="inlineStr">
        <is>
          <t>2024-09-27</t>
        </is>
      </c>
      <c r="K1255" t="inlineStr">
        <is>
          <t>ACTIVE</t>
        </is>
      </c>
      <c r="L1255" t="inlineStr">
        <is>
          <t>D</t>
        </is>
      </c>
      <c r="M1255" t="inlineStr">
        <is>
          <t>305 HARMON AVE NW</t>
        </is>
      </c>
      <c r="N1255">
        <f>RIGHT(M1255,LEN(M1255)-FIND(" ",M1255))</f>
        <v/>
      </c>
      <c r="O1255" t="inlineStr">
        <is>
          <t>APT 201</t>
        </is>
      </c>
      <c r="P1255" t="inlineStr">
        <is>
          <t>WARREN</t>
        </is>
      </c>
      <c r="Q1255" t="inlineStr">
        <is>
          <t>OH</t>
        </is>
      </c>
      <c r="R1255" t="n">
        <v>44483</v>
      </c>
      <c r="AD1255" t="inlineStr">
        <is>
          <t>TRUMBULL CAREER &amp; TECH CENTER</t>
        </is>
      </c>
      <c r="AE1255" t="inlineStr">
        <is>
          <t>WARREN CITY</t>
        </is>
      </c>
      <c r="AF1255" t="inlineStr">
        <is>
          <t>WARREN CITY SD</t>
        </is>
      </c>
      <c r="AH1255" t="n">
        <v>14</v>
      </c>
      <c r="AI1255" t="n">
        <v>11</v>
      </c>
      <c r="AN1255" t="inlineStr">
        <is>
          <t>WARREN</t>
        </is>
      </c>
      <c r="AO1255" t="inlineStr">
        <is>
          <t>WARREN CITY 4D</t>
        </is>
      </c>
      <c r="AP1255" t="inlineStr">
        <is>
          <t>78-P-ADL</t>
        </is>
      </c>
      <c r="AQ1255" t="n">
        <v>9</v>
      </c>
      <c r="AR1255" t="n">
        <v>64</v>
      </c>
      <c r="AS1255" t="n">
        <v>32</v>
      </c>
      <c r="AU1255">
        <f>COUNTA($BA$1255:$EH$1255)</f>
        <v/>
      </c>
      <c r="AV1255">
        <f>COUNTIF($BA$1255:$EH$1255,"D")</f>
        <v/>
      </c>
      <c r="AW1255">
        <f>COUNTIF($BA$1255:$EH$1255,"R")</f>
        <v/>
      </c>
      <c r="AX1255">
        <f>IF(BN1255="D",1,0)+IF(BO1255="D",1,0)+IF(BT1255="D",1,0)+IF(BU1255="D",1,0)+IF(BW1255="D",1,0)+IF(CC1255="D",1,0)+IF(CD1255="D",1,0)+IF(CE1255="D",1,0)+IF(CF1255="D",1,0)+IF(CL1255="D",1,0)+IF(CM1255="D",1,0)+IF(CQ1255="D",1,0)+IF(CR1255="D",1,0)+IF(CS1255="D",1,0)+IF(CW1255="D",1,0)+IF(CX1255="D",1,0)+IF(DD1255="D",1,0)+IF(DE1255="D",1,0)+IF(DJ1255="D",1,0)+IF(DK1255="D",1,0)+IF(DO1255="D",1,0)+IF(DP1255="D",1,0)+IF(DQ1255="D",1,0)+IF(DW1255="D",1,0)+IF(DZ1255="D",1,0)+IF(EH1255="D",1,0)</f>
        <v/>
      </c>
      <c r="AY1255">
        <f>IF(DJ1255&lt;&gt;"",1,0)+IF(DK1255&lt;&gt;"",1,0)+IF(DM1255&lt;&gt;"",1,0)+IF(DO1255&lt;&gt;"",1,0)+IF(DP1255&lt;&gt;"",1,0)+IF(DQ1255&lt;&gt;"",1,0)+IF(DS1255&lt;&gt;"",1,0)+IF(DT1255&lt;&gt;"",1,0)+IF(DV1255&lt;&gt;"",1,0)+IF(DW1255&lt;&gt;"",1,0)+IF(DX1255&lt;&gt;"",1,0)+IF(DY1255&lt;&gt;"",1,0)+IF(DZ1255&lt;&gt;"",1,0)+IF(EB1255&lt;&gt;"",1,0)+IF(EC1255&lt;&gt;"",1,0)+IF(ED1255&lt;&gt;"",1,0)+IF(EG1255&lt;&gt;"",1,0)+IF(EH1255&lt;&gt;"",1,0)</f>
        <v/>
      </c>
      <c r="AZ1255">
        <f>IF(EH1255&lt;&gt;"",1,0)</f>
        <v/>
      </c>
      <c r="BB1255" t="inlineStr">
        <is>
          <t>WARREN-WARD 4</t>
        </is>
      </c>
      <c r="BD1255" t="inlineStr">
        <is>
          <t>X</t>
        </is>
      </c>
      <c r="BE1255" t="inlineStr">
        <is>
          <t>X</t>
        </is>
      </c>
      <c r="BH1255" t="inlineStr">
        <is>
          <t>X</t>
        </is>
      </c>
      <c r="BL1255" t="inlineStr">
        <is>
          <t>X</t>
        </is>
      </c>
      <c r="BP1255" t="inlineStr">
        <is>
          <t>X</t>
        </is>
      </c>
      <c r="BY1255" t="inlineStr">
        <is>
          <t>D</t>
        </is>
      </c>
      <c r="CA1255" t="inlineStr">
        <is>
          <t>X</t>
        </is>
      </c>
      <c r="CK1255" t="inlineStr">
        <is>
          <t>X</t>
        </is>
      </c>
      <c r="CN1255" t="inlineStr">
        <is>
          <t>X</t>
        </is>
      </c>
      <c r="CP1255" t="inlineStr">
        <is>
          <t>X</t>
        </is>
      </c>
      <c r="CV1255" t="inlineStr">
        <is>
          <t>X</t>
        </is>
      </c>
      <c r="CY1255" t="inlineStr">
        <is>
          <t>X</t>
        </is>
      </c>
      <c r="CZ1255" t="inlineStr">
        <is>
          <t>D</t>
        </is>
      </c>
      <c r="DC1255" t="inlineStr">
        <is>
          <t>X</t>
        </is>
      </c>
      <c r="DI1255" t="inlineStr">
        <is>
          <t>X</t>
        </is>
      </c>
      <c r="DN1255" t="inlineStr">
        <is>
          <t>X</t>
        </is>
      </c>
      <c r="DU1255" t="inlineStr">
        <is>
          <t>X</t>
        </is>
      </c>
      <c r="DX1255" t="inlineStr">
        <is>
          <t>X</t>
        </is>
      </c>
      <c r="EA1255" t="inlineStr">
        <is>
          <t>X</t>
        </is>
      </c>
      <c r="ED1255" t="inlineStr">
        <is>
          <t>D</t>
        </is>
      </c>
      <c r="EF1255" t="inlineStr">
        <is>
          <t>X</t>
        </is>
      </c>
    </row>
    <row r="1256">
      <c r="A1256" t="inlineStr">
        <is>
          <t>OH0015713758</t>
        </is>
      </c>
      <c r="B1256" t="n">
        <v>78</v>
      </c>
      <c r="C1256" t="n">
        <v>186542</v>
      </c>
      <c r="D1256" t="inlineStr">
        <is>
          <t>THOMAE ACCORDINO</t>
        </is>
      </c>
      <c r="E1256" t="inlineStr">
        <is>
          <t>MONICA</t>
        </is>
      </c>
      <c r="F1256">
        <f>CONCATENATE(D1256," ",LEFT(H1256,4),"T=",AU1256,"D=",AV1256,"R=",AW1256,"M=",AX1256,"L=",AY1256,"B=",AZ1256)</f>
        <v/>
      </c>
      <c r="G1256" t="inlineStr">
        <is>
          <t>LYNN</t>
        </is>
      </c>
      <c r="I1256" t="inlineStr">
        <is>
          <t>1967-09-25</t>
        </is>
      </c>
      <c r="J1256" t="inlineStr">
        <is>
          <t>2024-10-04</t>
        </is>
      </c>
      <c r="K1256" t="inlineStr">
        <is>
          <t>ACTIVE</t>
        </is>
      </c>
      <c r="L1256" t="inlineStr">
        <is>
          <t>R</t>
        </is>
      </c>
      <c r="M1256" t="inlineStr">
        <is>
          <t>216 CHESTNUT AVE NE</t>
        </is>
      </c>
      <c r="N1256">
        <f>RIGHT(M1256,LEN(M1256)-FIND(" ",M1256))</f>
        <v/>
      </c>
      <c r="P1256" t="inlineStr">
        <is>
          <t>WARREN</t>
        </is>
      </c>
      <c r="Q1256" t="inlineStr">
        <is>
          <t>OH</t>
        </is>
      </c>
      <c r="R1256" t="n">
        <v>44483</v>
      </c>
      <c r="AD1256" t="inlineStr">
        <is>
          <t>TRUMBULL CAREER &amp; TECH CENTER</t>
        </is>
      </c>
      <c r="AE1256" t="inlineStr">
        <is>
          <t>WARREN CITY</t>
        </is>
      </c>
      <c r="AF1256" t="inlineStr">
        <is>
          <t>WARREN CITY SD</t>
        </is>
      </c>
      <c r="AH1256" t="n">
        <v>14</v>
      </c>
      <c r="AI1256" t="n">
        <v>11</v>
      </c>
      <c r="AN1256" t="inlineStr">
        <is>
          <t>WARREN</t>
        </is>
      </c>
      <c r="AO1256" t="inlineStr">
        <is>
          <t>WARREN CITY 4D</t>
        </is>
      </c>
      <c r="AP1256" t="inlineStr">
        <is>
          <t>78-P-ADL</t>
        </is>
      </c>
      <c r="AQ1256" t="n">
        <v>9</v>
      </c>
      <c r="AR1256" t="n">
        <v>64</v>
      </c>
      <c r="AS1256" t="n">
        <v>32</v>
      </c>
      <c r="AU1256">
        <f>COUNTA($BA$1256:$EH$1256)</f>
        <v/>
      </c>
      <c r="AV1256">
        <f>COUNTIF($BA$1256:$EH$1256,"D")</f>
        <v/>
      </c>
      <c r="AW1256">
        <f>COUNTIF($BA$1256:$EH$1256,"R")</f>
        <v/>
      </c>
      <c r="AX1256">
        <f>IF(BN1256="D",1,0)+IF(BO1256="D",1,0)+IF(BT1256="D",1,0)+IF(BU1256="D",1,0)+IF(BW1256="D",1,0)+IF(CC1256="D",1,0)+IF(CD1256="D",1,0)+IF(CE1256="D",1,0)+IF(CF1256="D",1,0)+IF(CL1256="D",1,0)+IF(CM1256="D",1,0)+IF(CQ1256="D",1,0)+IF(CR1256="D",1,0)+IF(CS1256="D",1,0)+IF(CW1256="D",1,0)+IF(CX1256="D",1,0)+IF(DD1256="D",1,0)+IF(DE1256="D",1,0)+IF(DJ1256="D",1,0)+IF(DK1256="D",1,0)+IF(DO1256="D",1,0)+IF(DP1256="D",1,0)+IF(DQ1256="D",1,0)+IF(DW1256="D",1,0)+IF(DZ1256="D",1,0)+IF(EH1256="D",1,0)</f>
        <v/>
      </c>
      <c r="AY1256">
        <f>IF(DJ1256&lt;&gt;"",1,0)+IF(DK1256&lt;&gt;"",1,0)+IF(DM1256&lt;&gt;"",1,0)+IF(DO1256&lt;&gt;"",1,0)+IF(DP1256&lt;&gt;"",1,0)+IF(DQ1256&lt;&gt;"",1,0)+IF(DS1256&lt;&gt;"",1,0)+IF(DT1256&lt;&gt;"",1,0)+IF(DV1256&lt;&gt;"",1,0)+IF(DW1256&lt;&gt;"",1,0)+IF(DX1256&lt;&gt;"",1,0)+IF(DY1256&lt;&gt;"",1,0)+IF(DZ1256&lt;&gt;"",1,0)+IF(EB1256&lt;&gt;"",1,0)+IF(EC1256&lt;&gt;"",1,0)+IF(ED1256&lt;&gt;"",1,0)+IF(EG1256&lt;&gt;"",1,0)+IF(EH1256&lt;&gt;"",1,0)</f>
        <v/>
      </c>
      <c r="AZ1256">
        <f>IF(EH1256&lt;&gt;"",1,0)</f>
        <v/>
      </c>
      <c r="BB1256" t="inlineStr">
        <is>
          <t>WARREN-WARD 4</t>
        </is>
      </c>
      <c r="BC1256" t="inlineStr">
        <is>
          <t>X</t>
        </is>
      </c>
      <c r="BD1256" t="inlineStr">
        <is>
          <t>X</t>
        </is>
      </c>
      <c r="BH1256" t="inlineStr">
        <is>
          <t>X</t>
        </is>
      </c>
      <c r="BI1256" t="inlineStr">
        <is>
          <t>X</t>
        </is>
      </c>
      <c r="BL1256" t="inlineStr">
        <is>
          <t>X</t>
        </is>
      </c>
      <c r="BS1256" t="inlineStr">
        <is>
          <t>X</t>
        </is>
      </c>
      <c r="BY1256" t="inlineStr">
        <is>
          <t>D</t>
        </is>
      </c>
      <c r="CA1256" t="inlineStr">
        <is>
          <t>X</t>
        </is>
      </c>
      <c r="CG1256" t="inlineStr">
        <is>
          <t>X</t>
        </is>
      </c>
      <c r="CL1256" t="inlineStr">
        <is>
          <t>X</t>
        </is>
      </c>
      <c r="CN1256" t="inlineStr">
        <is>
          <t>X</t>
        </is>
      </c>
      <c r="CO1256" t="inlineStr">
        <is>
          <t>D</t>
        </is>
      </c>
      <c r="CP1256" t="inlineStr">
        <is>
          <t>X</t>
        </is>
      </c>
      <c r="CU1256" t="inlineStr">
        <is>
          <t>D</t>
        </is>
      </c>
      <c r="CV1256" t="inlineStr">
        <is>
          <t>X</t>
        </is>
      </c>
      <c r="CY1256" t="inlineStr">
        <is>
          <t>X</t>
        </is>
      </c>
      <c r="CZ1256" t="inlineStr">
        <is>
          <t>R</t>
        </is>
      </c>
      <c r="DC1256" t="inlineStr">
        <is>
          <t>X</t>
        </is>
      </c>
      <c r="DD1256" t="inlineStr">
        <is>
          <t>D</t>
        </is>
      </c>
      <c r="DF1256" t="inlineStr">
        <is>
          <t>X</t>
        </is>
      </c>
      <c r="DG1256" t="inlineStr">
        <is>
          <t>D</t>
        </is>
      </c>
      <c r="DI1256" t="inlineStr">
        <is>
          <t>X</t>
        </is>
      </c>
      <c r="DL1256" t="inlineStr">
        <is>
          <t>X</t>
        </is>
      </c>
      <c r="DN1256" t="inlineStr">
        <is>
          <t>X</t>
        </is>
      </c>
      <c r="DS1256" t="inlineStr">
        <is>
          <t>R</t>
        </is>
      </c>
      <c r="DU1256" t="inlineStr">
        <is>
          <t>X</t>
        </is>
      </c>
      <c r="DX1256" t="inlineStr">
        <is>
          <t>X</t>
        </is>
      </c>
      <c r="EF1256" t="inlineStr">
        <is>
          <t>X</t>
        </is>
      </c>
    </row>
    <row r="1257">
      <c r="A1257" t="inlineStr">
        <is>
          <t>OH0027477590</t>
        </is>
      </c>
      <c r="B1257" t="n">
        <v>78</v>
      </c>
      <c r="C1257" t="n">
        <v>486736</v>
      </c>
      <c r="D1257" t="inlineStr">
        <is>
          <t>SHEHANE</t>
        </is>
      </c>
      <c r="E1257" t="inlineStr">
        <is>
          <t>MICHAEL</t>
        </is>
      </c>
      <c r="F1257">
        <f>CONCATENATE(D1257," ",LEFT(H1257,4),"T=",AU1257,"D=",AV1257,"R=",AW1257,"M=",AX1257,"L=",AY1257,"B=",AZ1257)</f>
        <v/>
      </c>
      <c r="G1257" t="inlineStr">
        <is>
          <t>ALLEN</t>
        </is>
      </c>
      <c r="I1257" t="inlineStr">
        <is>
          <t>1968-08-23</t>
        </is>
      </c>
      <c r="J1257" t="inlineStr">
        <is>
          <t>2024-07-22</t>
        </is>
      </c>
      <c r="K1257" t="inlineStr">
        <is>
          <t>ACTIVE</t>
        </is>
      </c>
      <c r="M1257" t="inlineStr">
        <is>
          <t>280 N PARK AVE</t>
        </is>
      </c>
      <c r="N1257">
        <f>RIGHT(M1257,LEN(M1257)-FIND(" ",M1257))</f>
        <v/>
      </c>
      <c r="P1257" t="inlineStr">
        <is>
          <t>WARREN</t>
        </is>
      </c>
      <c r="Q1257" t="inlineStr">
        <is>
          <t>OH</t>
        </is>
      </c>
      <c r="R1257" t="n">
        <v>44481</v>
      </c>
      <c r="AD1257" t="inlineStr">
        <is>
          <t>TRUMBULL CAREER &amp; TECH CENTER</t>
        </is>
      </c>
      <c r="AE1257" t="inlineStr">
        <is>
          <t>WARREN CITY</t>
        </is>
      </c>
      <c r="AF1257" t="inlineStr">
        <is>
          <t>WARREN CITY SD</t>
        </is>
      </c>
      <c r="AH1257" t="n">
        <v>14</v>
      </c>
      <c r="AI1257" t="n">
        <v>11</v>
      </c>
      <c r="AN1257" t="inlineStr">
        <is>
          <t>WARREN</t>
        </is>
      </c>
      <c r="AO1257" t="inlineStr">
        <is>
          <t>WARREN CITY 4D</t>
        </is>
      </c>
      <c r="AP1257" t="inlineStr">
        <is>
          <t>78-P-ADL</t>
        </is>
      </c>
      <c r="AQ1257" t="n">
        <v>9</v>
      </c>
      <c r="AR1257" t="n">
        <v>64</v>
      </c>
      <c r="AS1257" t="n">
        <v>32</v>
      </c>
      <c r="AU1257">
        <f>COUNTA($BA$1257:$EH$1257)</f>
        <v/>
      </c>
      <c r="AV1257">
        <f>COUNTIF($BA$1257:$EH$1257,"D")</f>
        <v/>
      </c>
      <c r="AW1257">
        <f>COUNTIF($BA$1257:$EH$1257,"R")</f>
        <v/>
      </c>
      <c r="AX1257">
        <f>IF(BN1257="D",1,0)+IF(BO1257="D",1,0)+IF(BT1257="D",1,0)+IF(BU1257="D",1,0)+IF(BW1257="D",1,0)+IF(CC1257="D",1,0)+IF(CD1257="D",1,0)+IF(CE1257="D",1,0)+IF(CF1257="D",1,0)+IF(CL1257="D",1,0)+IF(CM1257="D",1,0)+IF(CQ1257="D",1,0)+IF(CR1257="D",1,0)+IF(CS1257="D",1,0)+IF(CW1257="D",1,0)+IF(CX1257="D",1,0)+IF(DD1257="D",1,0)+IF(DE1257="D",1,0)+IF(DJ1257="D",1,0)+IF(DK1257="D",1,0)+IF(DO1257="D",1,0)+IF(DP1257="D",1,0)+IF(DQ1257="D",1,0)+IF(DW1257="D",1,0)+IF(DZ1257="D",1,0)+IF(EH1257="D",1,0)</f>
        <v/>
      </c>
      <c r="AY1257">
        <f>IF(DJ1257&lt;&gt;"",1,0)+IF(DK1257&lt;&gt;"",1,0)+IF(DM1257&lt;&gt;"",1,0)+IF(DO1257&lt;&gt;"",1,0)+IF(DP1257&lt;&gt;"",1,0)+IF(DQ1257&lt;&gt;"",1,0)+IF(DS1257&lt;&gt;"",1,0)+IF(DT1257&lt;&gt;"",1,0)+IF(DV1257&lt;&gt;"",1,0)+IF(DW1257&lt;&gt;"",1,0)+IF(DX1257&lt;&gt;"",1,0)+IF(DY1257&lt;&gt;"",1,0)+IF(DZ1257&lt;&gt;"",1,0)+IF(EB1257&lt;&gt;"",1,0)+IF(EC1257&lt;&gt;"",1,0)+IF(ED1257&lt;&gt;"",1,0)+IF(EG1257&lt;&gt;"",1,0)+IF(EH1257&lt;&gt;"",1,0)</f>
        <v/>
      </c>
      <c r="AZ1257">
        <f>IF(EH1257&lt;&gt;"",1,0)</f>
        <v/>
      </c>
      <c r="BB1257" t="inlineStr">
        <is>
          <t>WARREN-WARD 4</t>
        </is>
      </c>
      <c r="BC1257" t="inlineStr">
        <is>
          <t>X</t>
        </is>
      </c>
      <c r="BD1257" t="inlineStr">
        <is>
          <t>X</t>
        </is>
      </c>
      <c r="BE1257" t="inlineStr">
        <is>
          <t>X</t>
        </is>
      </c>
      <c r="BS1257" t="inlineStr">
        <is>
          <t>X</t>
        </is>
      </c>
      <c r="CK1257" t="inlineStr">
        <is>
          <t>X</t>
        </is>
      </c>
      <c r="DI1257" t="inlineStr">
        <is>
          <t>X</t>
        </is>
      </c>
      <c r="DN1257" t="inlineStr">
        <is>
          <t>X</t>
        </is>
      </c>
    </row>
    <row r="1258">
      <c r="A1258" t="inlineStr">
        <is>
          <t>OH0022884055</t>
        </is>
      </c>
      <c r="B1258" t="n">
        <v>78</v>
      </c>
      <c r="C1258" t="n">
        <v>403636</v>
      </c>
      <c r="D1258" t="inlineStr">
        <is>
          <t>SCHLECHT</t>
        </is>
      </c>
      <c r="E1258" t="inlineStr">
        <is>
          <t>SANDRA</t>
        </is>
      </c>
      <c r="F1258">
        <f>CONCATENATE(D1258," ",LEFT(H1258,4),"T=",AU1258,"D=",AV1258,"R=",AW1258,"M=",AX1258,"L=",AY1258,"B=",AZ1258)</f>
        <v/>
      </c>
      <c r="G1258" t="inlineStr">
        <is>
          <t>KAY</t>
        </is>
      </c>
      <c r="I1258" t="inlineStr">
        <is>
          <t>1958-01-13</t>
        </is>
      </c>
      <c r="J1258" t="inlineStr">
        <is>
          <t>2018-09-19</t>
        </is>
      </c>
      <c r="K1258" t="inlineStr">
        <is>
          <t>ACTIVE</t>
        </is>
      </c>
      <c r="L1258" t="inlineStr">
        <is>
          <t>D</t>
        </is>
      </c>
      <c r="M1258" t="inlineStr">
        <is>
          <t>305 HARMON AVE NW</t>
        </is>
      </c>
      <c r="N1258">
        <f>RIGHT(M1258,LEN(M1258)-FIND(" ",M1258))</f>
        <v/>
      </c>
      <c r="O1258" t="inlineStr">
        <is>
          <t>APT 1</t>
        </is>
      </c>
      <c r="P1258" t="inlineStr">
        <is>
          <t>WARREN</t>
        </is>
      </c>
      <c r="Q1258" t="inlineStr">
        <is>
          <t>OH</t>
        </is>
      </c>
      <c r="R1258" t="n">
        <v>44483</v>
      </c>
      <c r="AD1258" t="inlineStr">
        <is>
          <t>TRUMBULL CAREER &amp; TECH CENTER</t>
        </is>
      </c>
      <c r="AE1258" t="inlineStr">
        <is>
          <t>WARREN CITY</t>
        </is>
      </c>
      <c r="AF1258" t="inlineStr">
        <is>
          <t>WARREN CITY SD</t>
        </is>
      </c>
      <c r="AH1258" t="n">
        <v>14</v>
      </c>
      <c r="AI1258" t="n">
        <v>11</v>
      </c>
      <c r="AN1258" t="inlineStr">
        <is>
          <t>WARREN</t>
        </is>
      </c>
      <c r="AO1258" t="inlineStr">
        <is>
          <t>WARREN CITY 4D</t>
        </is>
      </c>
      <c r="AP1258" t="inlineStr">
        <is>
          <t>78-P-ADL</t>
        </is>
      </c>
      <c r="AQ1258" t="n">
        <v>9</v>
      </c>
      <c r="AR1258" t="n">
        <v>64</v>
      </c>
      <c r="AS1258" t="n">
        <v>32</v>
      </c>
      <c r="AU1258">
        <f>COUNTA($BA$1258:$EH$1258)</f>
        <v/>
      </c>
      <c r="AV1258">
        <f>COUNTIF($BA$1258:$EH$1258,"D")</f>
        <v/>
      </c>
      <c r="AW1258">
        <f>COUNTIF($BA$1258:$EH$1258,"R")</f>
        <v/>
      </c>
      <c r="AX1258">
        <f>IF(BN1258="D",1,0)+IF(BO1258="D",1,0)+IF(BT1258="D",1,0)+IF(BU1258="D",1,0)+IF(BW1258="D",1,0)+IF(CC1258="D",1,0)+IF(CD1258="D",1,0)+IF(CE1258="D",1,0)+IF(CF1258="D",1,0)+IF(CL1258="D",1,0)+IF(CM1258="D",1,0)+IF(CQ1258="D",1,0)+IF(CR1258="D",1,0)+IF(CS1258="D",1,0)+IF(CW1258="D",1,0)+IF(CX1258="D",1,0)+IF(DD1258="D",1,0)+IF(DE1258="D",1,0)+IF(DJ1258="D",1,0)+IF(DK1258="D",1,0)+IF(DO1258="D",1,0)+IF(DP1258="D",1,0)+IF(DQ1258="D",1,0)+IF(DW1258="D",1,0)+IF(DZ1258="D",1,0)+IF(EH1258="D",1,0)</f>
        <v/>
      </c>
      <c r="AY1258">
        <f>IF(DJ1258&lt;&gt;"",1,0)+IF(DK1258&lt;&gt;"",1,0)+IF(DM1258&lt;&gt;"",1,0)+IF(DO1258&lt;&gt;"",1,0)+IF(DP1258&lt;&gt;"",1,0)+IF(DQ1258&lt;&gt;"",1,0)+IF(DS1258&lt;&gt;"",1,0)+IF(DT1258&lt;&gt;"",1,0)+IF(DV1258&lt;&gt;"",1,0)+IF(DW1258&lt;&gt;"",1,0)+IF(DX1258&lt;&gt;"",1,0)+IF(DY1258&lt;&gt;"",1,0)+IF(DZ1258&lt;&gt;"",1,0)+IF(EB1258&lt;&gt;"",1,0)+IF(EC1258&lt;&gt;"",1,0)+IF(ED1258&lt;&gt;"",1,0)+IF(EG1258&lt;&gt;"",1,0)+IF(EH1258&lt;&gt;"",1,0)</f>
        <v/>
      </c>
      <c r="AZ1258">
        <f>IF(EH1258&lt;&gt;"",1,0)</f>
        <v/>
      </c>
      <c r="BB1258" t="inlineStr">
        <is>
          <t>WARREN-WARD 4</t>
        </is>
      </c>
      <c r="CY1258" t="inlineStr">
        <is>
          <t>X</t>
        </is>
      </c>
      <c r="CZ1258" t="inlineStr">
        <is>
          <t>D</t>
        </is>
      </c>
      <c r="DC1258" t="inlineStr">
        <is>
          <t>X</t>
        </is>
      </c>
      <c r="DG1258" t="inlineStr">
        <is>
          <t>D</t>
        </is>
      </c>
      <c r="DI1258" t="inlineStr">
        <is>
          <t>X</t>
        </is>
      </c>
      <c r="DJ1258" t="inlineStr">
        <is>
          <t>D</t>
        </is>
      </c>
      <c r="DL1258" t="inlineStr">
        <is>
          <t>X</t>
        </is>
      </c>
      <c r="DM1258" t="inlineStr">
        <is>
          <t>D</t>
        </is>
      </c>
      <c r="DN1258" t="inlineStr">
        <is>
          <t>X</t>
        </is>
      </c>
      <c r="DR1258" t="inlineStr">
        <is>
          <t>X</t>
        </is>
      </c>
      <c r="DS1258" t="inlineStr">
        <is>
          <t>D</t>
        </is>
      </c>
      <c r="DT1258" t="inlineStr">
        <is>
          <t>D</t>
        </is>
      </c>
      <c r="DU1258" t="inlineStr">
        <is>
          <t>X</t>
        </is>
      </c>
      <c r="DX1258" t="inlineStr">
        <is>
          <t>X</t>
        </is>
      </c>
      <c r="EF1258" t="inlineStr">
        <is>
          <t>X</t>
        </is>
      </c>
      <c r="EH1258" t="inlineStr">
        <is>
          <t>D</t>
        </is>
      </c>
    </row>
    <row r="1259">
      <c r="A1259" t="inlineStr">
        <is>
          <t>OH0023890107</t>
        </is>
      </c>
      <c r="B1259" t="n">
        <v>78</v>
      </c>
      <c r="C1259" t="n">
        <v>419485</v>
      </c>
      <c r="D1259" t="inlineStr">
        <is>
          <t>THORNSBERRY</t>
        </is>
      </c>
      <c r="E1259" t="inlineStr">
        <is>
          <t>TAMMY</t>
        </is>
      </c>
      <c r="F1259">
        <f>CONCATENATE(D1259," ",LEFT(H1259,4),"T=",AU1259,"D=",AV1259,"R=",AW1259,"M=",AX1259,"L=",AY1259,"B=",AZ1259)</f>
        <v/>
      </c>
      <c r="G1259" t="inlineStr">
        <is>
          <t>J</t>
        </is>
      </c>
      <c r="I1259" t="inlineStr">
        <is>
          <t>1968-09-16</t>
        </is>
      </c>
      <c r="J1259" t="inlineStr">
        <is>
          <t>2016-08-08</t>
        </is>
      </c>
      <c r="K1259" t="inlineStr">
        <is>
          <t>CONFIRMATION</t>
        </is>
      </c>
      <c r="M1259" t="inlineStr">
        <is>
          <t>280 N PARK AVE</t>
        </is>
      </c>
      <c r="N1259">
        <f>RIGHT(M1259,LEN(M1259)-FIND(" ",M1259))</f>
        <v/>
      </c>
      <c r="P1259" t="inlineStr">
        <is>
          <t>WARREN</t>
        </is>
      </c>
      <c r="Q1259" t="inlineStr">
        <is>
          <t>OH</t>
        </is>
      </c>
      <c r="R1259" t="n">
        <v>44481</v>
      </c>
      <c r="AD1259" t="inlineStr">
        <is>
          <t>TRUMBULL CAREER &amp; TECH CENTER</t>
        </is>
      </c>
      <c r="AE1259" t="inlineStr">
        <is>
          <t>WARREN CITY</t>
        </is>
      </c>
      <c r="AF1259" t="inlineStr">
        <is>
          <t>WARREN CITY SD</t>
        </is>
      </c>
      <c r="AH1259" t="n">
        <v>14</v>
      </c>
      <c r="AI1259" t="n">
        <v>11</v>
      </c>
      <c r="AN1259" t="inlineStr">
        <is>
          <t>WARREN</t>
        </is>
      </c>
      <c r="AO1259" t="inlineStr">
        <is>
          <t>WARREN CITY 4D</t>
        </is>
      </c>
      <c r="AP1259" t="inlineStr">
        <is>
          <t>78-P-ADL</t>
        </is>
      </c>
      <c r="AQ1259" t="n">
        <v>9</v>
      </c>
      <c r="AR1259" t="n">
        <v>64</v>
      </c>
      <c r="AS1259" t="n">
        <v>32</v>
      </c>
      <c r="AU1259">
        <f>COUNTA($BA$1259:$EH$1259)</f>
        <v/>
      </c>
      <c r="AV1259">
        <f>COUNTIF($BA$1259:$EH$1259,"D")</f>
        <v/>
      </c>
      <c r="AW1259">
        <f>COUNTIF($BA$1259:$EH$1259,"R")</f>
        <v/>
      </c>
      <c r="AX1259">
        <f>IF(BN1259="D",1,0)+IF(BO1259="D",1,0)+IF(BT1259="D",1,0)+IF(BU1259="D",1,0)+IF(BW1259="D",1,0)+IF(CC1259="D",1,0)+IF(CD1259="D",1,0)+IF(CE1259="D",1,0)+IF(CF1259="D",1,0)+IF(CL1259="D",1,0)+IF(CM1259="D",1,0)+IF(CQ1259="D",1,0)+IF(CR1259="D",1,0)+IF(CS1259="D",1,0)+IF(CW1259="D",1,0)+IF(CX1259="D",1,0)+IF(DD1259="D",1,0)+IF(DE1259="D",1,0)+IF(DJ1259="D",1,0)+IF(DK1259="D",1,0)+IF(DO1259="D",1,0)+IF(DP1259="D",1,0)+IF(DQ1259="D",1,0)+IF(DW1259="D",1,0)+IF(DZ1259="D",1,0)+IF(EH1259="D",1,0)</f>
        <v/>
      </c>
      <c r="AY1259">
        <f>IF(DJ1259&lt;&gt;"",1,0)+IF(DK1259&lt;&gt;"",1,0)+IF(DM1259&lt;&gt;"",1,0)+IF(DO1259&lt;&gt;"",1,0)+IF(DP1259&lt;&gt;"",1,0)+IF(DQ1259&lt;&gt;"",1,0)+IF(DS1259&lt;&gt;"",1,0)+IF(DT1259&lt;&gt;"",1,0)+IF(DV1259&lt;&gt;"",1,0)+IF(DW1259&lt;&gt;"",1,0)+IF(DX1259&lt;&gt;"",1,0)+IF(DY1259&lt;&gt;"",1,0)+IF(DZ1259&lt;&gt;"",1,0)+IF(EB1259&lt;&gt;"",1,0)+IF(EC1259&lt;&gt;"",1,0)+IF(ED1259&lt;&gt;"",1,0)+IF(EG1259&lt;&gt;"",1,0)+IF(EH1259&lt;&gt;"",1,0)</f>
        <v/>
      </c>
      <c r="AZ1259">
        <f>IF(EH1259&lt;&gt;"",1,0)</f>
        <v/>
      </c>
      <c r="BB1259" t="inlineStr">
        <is>
          <t>WARREN-WARD 4</t>
        </is>
      </c>
    </row>
    <row r="1260">
      <c r="A1260" t="inlineStr">
        <is>
          <t>OH0020954818</t>
        </is>
      </c>
      <c r="B1260" t="n">
        <v>78</v>
      </c>
      <c r="C1260" t="n">
        <v>338671</v>
      </c>
      <c r="D1260" t="inlineStr">
        <is>
          <t>PERRETT</t>
        </is>
      </c>
      <c r="E1260" t="inlineStr">
        <is>
          <t>DEBORAH</t>
        </is>
      </c>
      <c r="F1260">
        <f>CONCATENATE(D1260," ",LEFT(H1260,4),"T=",AU1260,"D=",AV1260,"R=",AW1260,"M=",AX1260,"L=",AY1260,"B=",AZ1260)</f>
        <v/>
      </c>
      <c r="G1260" t="inlineStr">
        <is>
          <t>D</t>
        </is>
      </c>
      <c r="I1260" t="inlineStr">
        <is>
          <t>1952-07-15</t>
        </is>
      </c>
      <c r="J1260" t="inlineStr">
        <is>
          <t>2015-06-30</t>
        </is>
      </c>
      <c r="K1260" t="inlineStr">
        <is>
          <t>ACTIVE</t>
        </is>
      </c>
      <c r="L1260" t="inlineStr">
        <is>
          <t>R</t>
        </is>
      </c>
      <c r="M1260" t="inlineStr">
        <is>
          <t>1142 MCKINLEY ST NE</t>
        </is>
      </c>
      <c r="N1260">
        <f>RIGHT(M1260,LEN(M1260)-FIND(" ",M1260))</f>
        <v/>
      </c>
      <c r="P1260" t="inlineStr">
        <is>
          <t>WARREN</t>
        </is>
      </c>
      <c r="Q1260" t="inlineStr">
        <is>
          <t>OH</t>
        </is>
      </c>
      <c r="R1260" t="n">
        <v>44483</v>
      </c>
      <c r="AD1260" t="inlineStr">
        <is>
          <t>TRUMBULL CAREER &amp; TECH CENTER</t>
        </is>
      </c>
      <c r="AE1260" t="inlineStr">
        <is>
          <t>WARREN CITY</t>
        </is>
      </c>
      <c r="AF1260" t="inlineStr">
        <is>
          <t>WARREN CITY SD</t>
        </is>
      </c>
      <c r="AH1260" t="n">
        <v>14</v>
      </c>
      <c r="AI1260" t="n">
        <v>11</v>
      </c>
      <c r="AN1260" t="inlineStr">
        <is>
          <t>WARREN</t>
        </is>
      </c>
      <c r="AO1260" t="inlineStr">
        <is>
          <t>WARREN CITY 4D</t>
        </is>
      </c>
      <c r="AP1260" t="inlineStr">
        <is>
          <t>78-P-ADL</t>
        </is>
      </c>
      <c r="AQ1260" t="n">
        <v>9</v>
      </c>
      <c r="AR1260" t="n">
        <v>64</v>
      </c>
      <c r="AS1260" t="n">
        <v>32</v>
      </c>
      <c r="AU1260">
        <f>COUNTA($BA$1260:$EH$1260)</f>
        <v/>
      </c>
      <c r="AV1260">
        <f>COUNTIF($BA$1260:$EH$1260,"D")</f>
        <v/>
      </c>
      <c r="AW1260">
        <f>COUNTIF($BA$1260:$EH$1260,"R")</f>
        <v/>
      </c>
      <c r="AX1260">
        <f>IF(BN1260="D",1,0)+IF(BO1260="D",1,0)+IF(BT1260="D",1,0)+IF(BU1260="D",1,0)+IF(BW1260="D",1,0)+IF(CC1260="D",1,0)+IF(CD1260="D",1,0)+IF(CE1260="D",1,0)+IF(CF1260="D",1,0)+IF(CL1260="D",1,0)+IF(CM1260="D",1,0)+IF(CQ1260="D",1,0)+IF(CR1260="D",1,0)+IF(CS1260="D",1,0)+IF(CW1260="D",1,0)+IF(CX1260="D",1,0)+IF(DD1260="D",1,0)+IF(DE1260="D",1,0)+IF(DJ1260="D",1,0)+IF(DK1260="D",1,0)+IF(DO1260="D",1,0)+IF(DP1260="D",1,0)+IF(DQ1260="D",1,0)+IF(DW1260="D",1,0)+IF(DZ1260="D",1,0)+IF(EH1260="D",1,0)</f>
        <v/>
      </c>
      <c r="AY1260">
        <f>IF(DJ1260&lt;&gt;"",1,0)+IF(DK1260&lt;&gt;"",1,0)+IF(DM1260&lt;&gt;"",1,0)+IF(DO1260&lt;&gt;"",1,0)+IF(DP1260&lt;&gt;"",1,0)+IF(DQ1260&lt;&gt;"",1,0)+IF(DS1260&lt;&gt;"",1,0)+IF(DT1260&lt;&gt;"",1,0)+IF(DV1260&lt;&gt;"",1,0)+IF(DW1260&lt;&gt;"",1,0)+IF(DX1260&lt;&gt;"",1,0)+IF(DY1260&lt;&gt;"",1,0)+IF(DZ1260&lt;&gt;"",1,0)+IF(EB1260&lt;&gt;"",1,0)+IF(EC1260&lt;&gt;"",1,0)+IF(ED1260&lt;&gt;"",1,0)+IF(EG1260&lt;&gt;"",1,0)+IF(EH1260&lt;&gt;"",1,0)</f>
        <v/>
      </c>
      <c r="AZ1260">
        <f>IF(EH1260&lt;&gt;"",1,0)</f>
        <v/>
      </c>
      <c r="BB1260" t="inlineStr">
        <is>
          <t>WARREN-WARD 4</t>
        </is>
      </c>
      <c r="CK1260" t="inlineStr">
        <is>
          <t>X</t>
        </is>
      </c>
      <c r="CN1260" t="inlineStr">
        <is>
          <t>X</t>
        </is>
      </c>
      <c r="CP1260" t="inlineStr">
        <is>
          <t>X</t>
        </is>
      </c>
      <c r="CY1260" t="inlineStr">
        <is>
          <t>X</t>
        </is>
      </c>
      <c r="DC1260" t="inlineStr">
        <is>
          <t>X</t>
        </is>
      </c>
      <c r="DF1260" t="inlineStr">
        <is>
          <t>X</t>
        </is>
      </c>
      <c r="DI1260" t="inlineStr">
        <is>
          <t>X</t>
        </is>
      </c>
      <c r="DN1260" t="inlineStr">
        <is>
          <t>X</t>
        </is>
      </c>
      <c r="DS1260" t="inlineStr">
        <is>
          <t>R</t>
        </is>
      </c>
      <c r="DU1260" t="inlineStr">
        <is>
          <t>X</t>
        </is>
      </c>
      <c r="DX1260" t="inlineStr">
        <is>
          <t>X</t>
        </is>
      </c>
      <c r="EA1260" t="inlineStr">
        <is>
          <t>X</t>
        </is>
      </c>
      <c r="ED1260" t="inlineStr">
        <is>
          <t>R</t>
        </is>
      </c>
      <c r="EF1260" t="inlineStr">
        <is>
          <t>X</t>
        </is>
      </c>
    </row>
    <row r="1261">
      <c r="A1261" t="inlineStr">
        <is>
          <t>OH0027550688</t>
        </is>
      </c>
      <c r="B1261" t="n">
        <v>78</v>
      </c>
      <c r="C1261" t="n">
        <v>488318</v>
      </c>
      <c r="D1261" t="inlineStr">
        <is>
          <t>HURST</t>
        </is>
      </c>
      <c r="E1261" t="inlineStr">
        <is>
          <t>KALEI</t>
        </is>
      </c>
      <c r="F1261">
        <f>CONCATENATE(D1261," ",LEFT(H1261,4),"T=",AU1261,"D=",AV1261,"R=",AW1261,"M=",AX1261,"L=",AY1261,"B=",AZ1261)</f>
        <v/>
      </c>
      <c r="G1261" t="inlineStr">
        <is>
          <t>M</t>
        </is>
      </c>
      <c r="I1261" t="inlineStr">
        <is>
          <t>2005-01-24</t>
        </is>
      </c>
      <c r="J1261" t="inlineStr">
        <is>
          <t>2024-08-26</t>
        </is>
      </c>
      <c r="K1261" t="inlineStr">
        <is>
          <t>ACTIVE</t>
        </is>
      </c>
      <c r="M1261" t="inlineStr">
        <is>
          <t>329 SCOTT ST NE</t>
        </is>
      </c>
      <c r="N1261">
        <f>RIGHT(M1261,LEN(M1261)-FIND(" ",M1261))</f>
        <v/>
      </c>
      <c r="O1261" t="inlineStr">
        <is>
          <t>APT 1</t>
        </is>
      </c>
      <c r="P1261" t="inlineStr">
        <is>
          <t>WARREN</t>
        </is>
      </c>
      <c r="Q1261" t="inlineStr">
        <is>
          <t>OH</t>
        </is>
      </c>
      <c r="R1261" t="n">
        <v>44483</v>
      </c>
      <c r="AD1261" t="inlineStr">
        <is>
          <t>TRUMBULL CAREER &amp; TECH CENTER</t>
        </is>
      </c>
      <c r="AE1261" t="inlineStr">
        <is>
          <t>WARREN CITY</t>
        </is>
      </c>
      <c r="AF1261" t="inlineStr">
        <is>
          <t>WARREN CITY SD</t>
        </is>
      </c>
      <c r="AH1261" t="n">
        <v>14</v>
      </c>
      <c r="AI1261" t="n">
        <v>11</v>
      </c>
      <c r="AN1261" t="inlineStr">
        <is>
          <t>WARREN</t>
        </is>
      </c>
      <c r="AO1261" t="inlineStr">
        <is>
          <t>WARREN CITY 4D</t>
        </is>
      </c>
      <c r="AP1261" t="inlineStr">
        <is>
          <t>78-P-ADL</t>
        </is>
      </c>
      <c r="AQ1261" t="n">
        <v>9</v>
      </c>
      <c r="AR1261" t="n">
        <v>64</v>
      </c>
      <c r="AS1261" t="n">
        <v>32</v>
      </c>
      <c r="AU1261">
        <f>COUNTA($BA$1261:$EH$1261)</f>
        <v/>
      </c>
      <c r="AV1261">
        <f>COUNTIF($BA$1261:$EH$1261,"D")</f>
        <v/>
      </c>
      <c r="AW1261">
        <f>COUNTIF($BA$1261:$EH$1261,"R")</f>
        <v/>
      </c>
      <c r="AX1261">
        <f>IF(BN1261="D",1,0)+IF(BO1261="D",1,0)+IF(BT1261="D",1,0)+IF(BU1261="D",1,0)+IF(BW1261="D",1,0)+IF(CC1261="D",1,0)+IF(CD1261="D",1,0)+IF(CE1261="D",1,0)+IF(CF1261="D",1,0)+IF(CL1261="D",1,0)+IF(CM1261="D",1,0)+IF(CQ1261="D",1,0)+IF(CR1261="D",1,0)+IF(CS1261="D",1,0)+IF(CW1261="D",1,0)+IF(CX1261="D",1,0)+IF(DD1261="D",1,0)+IF(DE1261="D",1,0)+IF(DJ1261="D",1,0)+IF(DK1261="D",1,0)+IF(DO1261="D",1,0)+IF(DP1261="D",1,0)+IF(DQ1261="D",1,0)+IF(DW1261="D",1,0)+IF(DZ1261="D",1,0)+IF(EH1261="D",1,0)</f>
        <v/>
      </c>
      <c r="AY1261">
        <f>IF(DJ1261&lt;&gt;"",1,0)+IF(DK1261&lt;&gt;"",1,0)+IF(DM1261&lt;&gt;"",1,0)+IF(DO1261&lt;&gt;"",1,0)+IF(DP1261&lt;&gt;"",1,0)+IF(DQ1261&lt;&gt;"",1,0)+IF(DS1261&lt;&gt;"",1,0)+IF(DT1261&lt;&gt;"",1,0)+IF(DV1261&lt;&gt;"",1,0)+IF(DW1261&lt;&gt;"",1,0)+IF(DX1261&lt;&gt;"",1,0)+IF(DY1261&lt;&gt;"",1,0)+IF(DZ1261&lt;&gt;"",1,0)+IF(EB1261&lt;&gt;"",1,0)+IF(EC1261&lt;&gt;"",1,0)+IF(ED1261&lt;&gt;"",1,0)+IF(EG1261&lt;&gt;"",1,0)+IF(EH1261&lt;&gt;"",1,0)</f>
        <v/>
      </c>
      <c r="AZ1261">
        <f>IF(EH1261&lt;&gt;"",1,0)</f>
        <v/>
      </c>
      <c r="BB1261" t="inlineStr">
        <is>
          <t>WARREN-WARD 4</t>
        </is>
      </c>
      <c r="EF1261" t="inlineStr">
        <is>
          <t>X</t>
        </is>
      </c>
    </row>
    <row r="1262">
      <c r="A1262" t="inlineStr">
        <is>
          <t>OH0020061719</t>
        </is>
      </c>
      <c r="B1262" t="n">
        <v>78</v>
      </c>
      <c r="C1262" t="n">
        <v>362360</v>
      </c>
      <c r="D1262" t="inlineStr">
        <is>
          <t>SMITH</t>
        </is>
      </c>
      <c r="E1262" t="inlineStr">
        <is>
          <t>MONIQUE</t>
        </is>
      </c>
      <c r="F1262">
        <f>CONCATENATE(D1262," ",LEFT(H1262,4),"T=",AU1262,"D=",AV1262,"R=",AW1262,"M=",AX1262,"L=",AY1262,"B=",AZ1262)</f>
        <v/>
      </c>
      <c r="G1262" t="inlineStr">
        <is>
          <t>A</t>
        </is>
      </c>
      <c r="I1262" t="inlineStr">
        <is>
          <t>1978-08-14</t>
        </is>
      </c>
      <c r="J1262" t="inlineStr">
        <is>
          <t>2016-07-19</t>
        </is>
      </c>
      <c r="K1262" t="inlineStr">
        <is>
          <t>CONFIRMATION</t>
        </is>
      </c>
      <c r="M1262" t="inlineStr">
        <is>
          <t>840 ATLANTIC ST NE</t>
        </is>
      </c>
      <c r="N1262">
        <f>RIGHT(M1262,LEN(M1262)-FIND(" ",M1262))</f>
        <v/>
      </c>
      <c r="P1262" t="inlineStr">
        <is>
          <t>WARREN</t>
        </is>
      </c>
      <c r="Q1262" t="inlineStr">
        <is>
          <t>OH</t>
        </is>
      </c>
      <c r="R1262" t="n">
        <v>44483</v>
      </c>
      <c r="AD1262" t="inlineStr">
        <is>
          <t>TRUMBULL CAREER &amp; TECH CENTER</t>
        </is>
      </c>
      <c r="AE1262" t="inlineStr">
        <is>
          <t>WARREN CITY</t>
        </is>
      </c>
      <c r="AF1262" t="inlineStr">
        <is>
          <t>WARREN CITY SD</t>
        </is>
      </c>
      <c r="AH1262" t="n">
        <v>14</v>
      </c>
      <c r="AI1262" t="n">
        <v>11</v>
      </c>
      <c r="AN1262" t="inlineStr">
        <is>
          <t>WARREN</t>
        </is>
      </c>
      <c r="AO1262" t="inlineStr">
        <is>
          <t>WARREN CITY 4D</t>
        </is>
      </c>
      <c r="AP1262" t="inlineStr">
        <is>
          <t>78-P-ADL</t>
        </is>
      </c>
      <c r="AQ1262" t="n">
        <v>9</v>
      </c>
      <c r="AR1262" t="n">
        <v>64</v>
      </c>
      <c r="AS1262" t="n">
        <v>32</v>
      </c>
      <c r="AU1262">
        <f>COUNTA($BA$1262:$EH$1262)</f>
        <v/>
      </c>
      <c r="AV1262">
        <f>COUNTIF($BA$1262:$EH$1262,"D")</f>
        <v/>
      </c>
      <c r="AW1262">
        <f>COUNTIF($BA$1262:$EH$1262,"R")</f>
        <v/>
      </c>
      <c r="AX1262">
        <f>IF(BN1262="D",1,0)+IF(BO1262="D",1,0)+IF(BT1262="D",1,0)+IF(BU1262="D",1,0)+IF(BW1262="D",1,0)+IF(CC1262="D",1,0)+IF(CD1262="D",1,0)+IF(CE1262="D",1,0)+IF(CF1262="D",1,0)+IF(CL1262="D",1,0)+IF(CM1262="D",1,0)+IF(CQ1262="D",1,0)+IF(CR1262="D",1,0)+IF(CS1262="D",1,0)+IF(CW1262="D",1,0)+IF(CX1262="D",1,0)+IF(DD1262="D",1,0)+IF(DE1262="D",1,0)+IF(DJ1262="D",1,0)+IF(DK1262="D",1,0)+IF(DO1262="D",1,0)+IF(DP1262="D",1,0)+IF(DQ1262="D",1,0)+IF(DW1262="D",1,0)+IF(DZ1262="D",1,0)+IF(EH1262="D",1,0)</f>
        <v/>
      </c>
      <c r="AY1262">
        <f>IF(DJ1262&lt;&gt;"",1,0)+IF(DK1262&lt;&gt;"",1,0)+IF(DM1262&lt;&gt;"",1,0)+IF(DO1262&lt;&gt;"",1,0)+IF(DP1262&lt;&gt;"",1,0)+IF(DQ1262&lt;&gt;"",1,0)+IF(DS1262&lt;&gt;"",1,0)+IF(DT1262&lt;&gt;"",1,0)+IF(DV1262&lt;&gt;"",1,0)+IF(DW1262&lt;&gt;"",1,0)+IF(DX1262&lt;&gt;"",1,0)+IF(DY1262&lt;&gt;"",1,0)+IF(DZ1262&lt;&gt;"",1,0)+IF(EB1262&lt;&gt;"",1,0)+IF(EC1262&lt;&gt;"",1,0)+IF(ED1262&lt;&gt;"",1,0)+IF(EG1262&lt;&gt;"",1,0)+IF(EH1262&lt;&gt;"",1,0)</f>
        <v/>
      </c>
      <c r="AZ1262">
        <f>IF(EH1262&lt;&gt;"",1,0)</f>
        <v/>
      </c>
      <c r="BB1262" t="inlineStr">
        <is>
          <t>WARREN-WARD 4</t>
        </is>
      </c>
      <c r="CA1262" t="inlineStr">
        <is>
          <t>X</t>
        </is>
      </c>
      <c r="CP1262" t="inlineStr">
        <is>
          <t>X</t>
        </is>
      </c>
      <c r="DC1262" t="inlineStr">
        <is>
          <t>X</t>
        </is>
      </c>
    </row>
    <row r="1263">
      <c r="A1263" t="inlineStr">
        <is>
          <t>OH0026158642</t>
        </is>
      </c>
      <c r="B1263" t="n">
        <v>78</v>
      </c>
      <c r="C1263" t="n">
        <v>457338</v>
      </c>
      <c r="D1263" t="inlineStr">
        <is>
          <t>DUGGER</t>
        </is>
      </c>
      <c r="E1263" t="inlineStr">
        <is>
          <t>ALEXANDER</t>
        </is>
      </c>
      <c r="F1263">
        <f>CONCATENATE(D1263," ",LEFT(H1263,4),"T=",AU1263,"D=",AV1263,"R=",AW1263,"M=",AX1263,"L=",AY1263,"B=",AZ1263)</f>
        <v/>
      </c>
      <c r="I1263" t="inlineStr">
        <is>
          <t>1964-02-07</t>
        </is>
      </c>
      <c r="J1263" t="inlineStr">
        <is>
          <t>2021-03-09</t>
        </is>
      </c>
      <c r="K1263" t="inlineStr">
        <is>
          <t>ACTIVE</t>
        </is>
      </c>
      <c r="M1263" t="inlineStr">
        <is>
          <t>240 MONROE ST NW</t>
        </is>
      </c>
      <c r="N1263">
        <f>RIGHT(M1263,LEN(M1263)-FIND(" ",M1263))</f>
        <v/>
      </c>
      <c r="O1263" t="inlineStr">
        <is>
          <t>APT 2</t>
        </is>
      </c>
      <c r="P1263" t="inlineStr">
        <is>
          <t>WARREN</t>
        </is>
      </c>
      <c r="Q1263" t="inlineStr">
        <is>
          <t>OH</t>
        </is>
      </c>
      <c r="R1263" t="n">
        <v>44483</v>
      </c>
      <c r="AD1263" t="inlineStr">
        <is>
          <t>TRUMBULL CAREER &amp; TECH CENTER</t>
        </is>
      </c>
      <c r="AE1263" t="inlineStr">
        <is>
          <t>WARREN CITY</t>
        </is>
      </c>
      <c r="AF1263" t="inlineStr">
        <is>
          <t>WARREN CITY SD</t>
        </is>
      </c>
      <c r="AH1263" t="n">
        <v>14</v>
      </c>
      <c r="AI1263" t="n">
        <v>11</v>
      </c>
      <c r="AN1263" t="inlineStr">
        <is>
          <t>WARREN</t>
        </is>
      </c>
      <c r="AO1263" t="inlineStr">
        <is>
          <t>WARREN CITY 4D</t>
        </is>
      </c>
      <c r="AP1263" t="inlineStr">
        <is>
          <t>78-P-ADL</t>
        </is>
      </c>
      <c r="AQ1263" t="n">
        <v>9</v>
      </c>
      <c r="AR1263" t="n">
        <v>64</v>
      </c>
      <c r="AS1263" t="n">
        <v>32</v>
      </c>
      <c r="AU1263">
        <f>COUNTA($BA$1263:$EH$1263)</f>
        <v/>
      </c>
      <c r="AV1263">
        <f>COUNTIF($BA$1263:$EH$1263,"D")</f>
        <v/>
      </c>
      <c r="AW1263">
        <f>COUNTIF($BA$1263:$EH$1263,"R")</f>
        <v/>
      </c>
      <c r="AX1263">
        <f>IF(BN1263="D",1,0)+IF(BO1263="D",1,0)+IF(BT1263="D",1,0)+IF(BU1263="D",1,0)+IF(BW1263="D",1,0)+IF(CC1263="D",1,0)+IF(CD1263="D",1,0)+IF(CE1263="D",1,0)+IF(CF1263="D",1,0)+IF(CL1263="D",1,0)+IF(CM1263="D",1,0)+IF(CQ1263="D",1,0)+IF(CR1263="D",1,0)+IF(CS1263="D",1,0)+IF(CW1263="D",1,0)+IF(CX1263="D",1,0)+IF(DD1263="D",1,0)+IF(DE1263="D",1,0)+IF(DJ1263="D",1,0)+IF(DK1263="D",1,0)+IF(DO1263="D",1,0)+IF(DP1263="D",1,0)+IF(DQ1263="D",1,0)+IF(DW1263="D",1,0)+IF(DZ1263="D",1,0)+IF(EH1263="D",1,0)</f>
        <v/>
      </c>
      <c r="AY1263">
        <f>IF(DJ1263&lt;&gt;"",1,0)+IF(DK1263&lt;&gt;"",1,0)+IF(DM1263&lt;&gt;"",1,0)+IF(DO1263&lt;&gt;"",1,0)+IF(DP1263&lt;&gt;"",1,0)+IF(DQ1263&lt;&gt;"",1,0)+IF(DS1263&lt;&gt;"",1,0)+IF(DT1263&lt;&gt;"",1,0)+IF(DV1263&lt;&gt;"",1,0)+IF(DW1263&lt;&gt;"",1,0)+IF(DX1263&lt;&gt;"",1,0)+IF(DY1263&lt;&gt;"",1,0)+IF(DZ1263&lt;&gt;"",1,0)+IF(EB1263&lt;&gt;"",1,0)+IF(EC1263&lt;&gt;"",1,0)+IF(ED1263&lt;&gt;"",1,0)+IF(EG1263&lt;&gt;"",1,0)+IF(EH1263&lt;&gt;"",1,0)</f>
        <v/>
      </c>
      <c r="AZ1263">
        <f>IF(EH1263&lt;&gt;"",1,0)</f>
        <v/>
      </c>
      <c r="BB1263" t="inlineStr">
        <is>
          <t>WARREN-WARD 4</t>
        </is>
      </c>
    </row>
    <row r="1264">
      <c r="A1264" t="inlineStr">
        <is>
          <t>OH0015725875</t>
        </is>
      </c>
      <c r="B1264" t="n">
        <v>78</v>
      </c>
      <c r="C1264" t="n">
        <v>323299</v>
      </c>
      <c r="D1264" t="inlineStr">
        <is>
          <t>FISHER</t>
        </is>
      </c>
      <c r="E1264" t="inlineStr">
        <is>
          <t>KELLY</t>
        </is>
      </c>
      <c r="F1264">
        <f>CONCATENATE(D1264," ",LEFT(H1264,4),"T=",AU1264,"D=",AV1264,"R=",AW1264,"M=",AX1264,"L=",AY1264,"B=",AZ1264)</f>
        <v/>
      </c>
      <c r="G1264" t="inlineStr">
        <is>
          <t>A</t>
        </is>
      </c>
      <c r="I1264" t="inlineStr">
        <is>
          <t>1979-09-01</t>
        </is>
      </c>
      <c r="J1264" t="inlineStr">
        <is>
          <t>2004-04-17</t>
        </is>
      </c>
      <c r="K1264" t="inlineStr">
        <is>
          <t>ACTIVE</t>
        </is>
      </c>
      <c r="L1264" t="inlineStr">
        <is>
          <t>D</t>
        </is>
      </c>
      <c r="M1264" t="inlineStr">
        <is>
          <t>1065 MCKINLEY ST NE</t>
        </is>
      </c>
      <c r="N1264">
        <f>RIGHT(M1264,LEN(M1264)-FIND(" ",M1264))</f>
        <v/>
      </c>
      <c r="P1264" t="inlineStr">
        <is>
          <t>WARREN</t>
        </is>
      </c>
      <c r="Q1264" t="inlineStr">
        <is>
          <t>OH</t>
        </is>
      </c>
      <c r="R1264" t="n">
        <v>44483</v>
      </c>
      <c r="AD1264" t="inlineStr">
        <is>
          <t>TRUMBULL CAREER &amp; TECH CENTER</t>
        </is>
      </c>
      <c r="AE1264" t="inlineStr">
        <is>
          <t>WARREN CITY</t>
        </is>
      </c>
      <c r="AF1264" t="inlineStr">
        <is>
          <t>WARREN CITY SD</t>
        </is>
      </c>
      <c r="AH1264" t="n">
        <v>14</v>
      </c>
      <c r="AI1264" t="n">
        <v>11</v>
      </c>
      <c r="AN1264" t="inlineStr">
        <is>
          <t>WARREN</t>
        </is>
      </c>
      <c r="AO1264" t="inlineStr">
        <is>
          <t>WARREN CITY 4D</t>
        </is>
      </c>
      <c r="AP1264" t="inlineStr">
        <is>
          <t>78-P-ADL</t>
        </is>
      </c>
      <c r="AQ1264" t="n">
        <v>9</v>
      </c>
      <c r="AR1264" t="n">
        <v>64</v>
      </c>
      <c r="AS1264" t="n">
        <v>32</v>
      </c>
      <c r="AU1264">
        <f>COUNTA($BA$1264:$EH$1264)</f>
        <v/>
      </c>
      <c r="AV1264">
        <f>COUNTIF($BA$1264:$EH$1264,"D")</f>
        <v/>
      </c>
      <c r="AW1264">
        <f>COUNTIF($BA$1264:$EH$1264,"R")</f>
        <v/>
      </c>
      <c r="AX1264">
        <f>IF(BN1264="D",1,0)+IF(BO1264="D",1,0)+IF(BT1264="D",1,0)+IF(BU1264="D",1,0)+IF(BW1264="D",1,0)+IF(CC1264="D",1,0)+IF(CD1264="D",1,0)+IF(CE1264="D",1,0)+IF(CF1264="D",1,0)+IF(CL1264="D",1,0)+IF(CM1264="D",1,0)+IF(CQ1264="D",1,0)+IF(CR1264="D",1,0)+IF(CS1264="D",1,0)+IF(CW1264="D",1,0)+IF(CX1264="D",1,0)+IF(DD1264="D",1,0)+IF(DE1264="D",1,0)+IF(DJ1264="D",1,0)+IF(DK1264="D",1,0)+IF(DO1264="D",1,0)+IF(DP1264="D",1,0)+IF(DQ1264="D",1,0)+IF(DW1264="D",1,0)+IF(DZ1264="D",1,0)+IF(EH1264="D",1,0)</f>
        <v/>
      </c>
      <c r="AY1264">
        <f>IF(DJ1264&lt;&gt;"",1,0)+IF(DK1264&lt;&gt;"",1,0)+IF(DM1264&lt;&gt;"",1,0)+IF(DO1264&lt;&gt;"",1,0)+IF(DP1264&lt;&gt;"",1,0)+IF(DQ1264&lt;&gt;"",1,0)+IF(DS1264&lt;&gt;"",1,0)+IF(DT1264&lt;&gt;"",1,0)+IF(DV1264&lt;&gt;"",1,0)+IF(DW1264&lt;&gt;"",1,0)+IF(DX1264&lt;&gt;"",1,0)+IF(DY1264&lt;&gt;"",1,0)+IF(DZ1264&lt;&gt;"",1,0)+IF(EB1264&lt;&gt;"",1,0)+IF(EC1264&lt;&gt;"",1,0)+IF(ED1264&lt;&gt;"",1,0)+IF(EG1264&lt;&gt;"",1,0)+IF(EH1264&lt;&gt;"",1,0)</f>
        <v/>
      </c>
      <c r="AZ1264">
        <f>IF(EH1264&lt;&gt;"",1,0)</f>
        <v/>
      </c>
      <c r="BB1264" t="inlineStr">
        <is>
          <t>WARREN-WARD 4</t>
        </is>
      </c>
      <c r="BL1264" t="inlineStr">
        <is>
          <t>X</t>
        </is>
      </c>
      <c r="BY1264" t="inlineStr">
        <is>
          <t>D</t>
        </is>
      </c>
      <c r="CA1264" t="inlineStr">
        <is>
          <t>X</t>
        </is>
      </c>
      <c r="CN1264" t="inlineStr">
        <is>
          <t>X</t>
        </is>
      </c>
      <c r="CP1264" t="inlineStr">
        <is>
          <t>X</t>
        </is>
      </c>
      <c r="CT1264" t="inlineStr">
        <is>
          <t>X</t>
        </is>
      </c>
      <c r="DC1264" t="inlineStr">
        <is>
          <t>X</t>
        </is>
      </c>
      <c r="DI1264" t="inlineStr">
        <is>
          <t>X</t>
        </is>
      </c>
      <c r="DN1264" t="inlineStr">
        <is>
          <t>X</t>
        </is>
      </c>
      <c r="DR1264" t="inlineStr">
        <is>
          <t>X</t>
        </is>
      </c>
      <c r="DU1264" t="inlineStr">
        <is>
          <t>X</t>
        </is>
      </c>
      <c r="EA1264" t="inlineStr">
        <is>
          <t>X</t>
        </is>
      </c>
      <c r="ED1264" t="inlineStr">
        <is>
          <t>D</t>
        </is>
      </c>
      <c r="EF1264" t="inlineStr">
        <is>
          <t>X</t>
        </is>
      </c>
    </row>
    <row r="1265">
      <c r="A1265" t="inlineStr">
        <is>
          <t>OH0027952068</t>
        </is>
      </c>
      <c r="B1265" t="n">
        <v>78</v>
      </c>
      <c r="C1265" t="n">
        <v>496057</v>
      </c>
      <c r="D1265" t="inlineStr">
        <is>
          <t>ADAMS</t>
        </is>
      </c>
      <c r="E1265" t="inlineStr">
        <is>
          <t>CHESTER</t>
        </is>
      </c>
      <c r="F1265">
        <f>CONCATENATE(D1265," ",LEFT(H1265,4),"T=",AU1265,"D=",AV1265,"R=",AW1265,"M=",AX1265,"L=",AY1265,"B=",AZ1265)</f>
        <v/>
      </c>
      <c r="G1265" t="inlineStr">
        <is>
          <t>DALLANN</t>
        </is>
      </c>
      <c r="H1265" t="inlineStr">
        <is>
          <t>JR</t>
        </is>
      </c>
      <c r="I1265" t="inlineStr">
        <is>
          <t>2003-07-15</t>
        </is>
      </c>
      <c r="J1265" t="inlineStr">
        <is>
          <t>2025-05-06</t>
        </is>
      </c>
      <c r="K1265" t="inlineStr">
        <is>
          <t>ACTIVE</t>
        </is>
      </c>
      <c r="M1265" t="inlineStr">
        <is>
          <t>732 WOODLAND AVE NE</t>
        </is>
      </c>
      <c r="N1265">
        <f>RIGHT(M1265,LEN(M1265)-FIND(" ",M1265))</f>
        <v/>
      </c>
      <c r="P1265" t="inlineStr">
        <is>
          <t>WARREN</t>
        </is>
      </c>
      <c r="Q1265" t="inlineStr">
        <is>
          <t>OH</t>
        </is>
      </c>
      <c r="R1265" t="n">
        <v>44483</v>
      </c>
      <c r="AD1265" t="inlineStr">
        <is>
          <t>TRUMBULL CAREER &amp; TECH CENTER</t>
        </is>
      </c>
      <c r="AE1265" t="inlineStr">
        <is>
          <t>WARREN CITY</t>
        </is>
      </c>
      <c r="AF1265" t="inlineStr">
        <is>
          <t>WARREN CITY SD</t>
        </is>
      </c>
      <c r="AH1265" t="n">
        <v>14</v>
      </c>
      <c r="AI1265" t="n">
        <v>11</v>
      </c>
      <c r="AN1265" t="inlineStr">
        <is>
          <t>WARREN</t>
        </is>
      </c>
      <c r="AO1265" t="inlineStr">
        <is>
          <t>WARREN CITY 4D</t>
        </is>
      </c>
      <c r="AP1265" t="inlineStr">
        <is>
          <t>78-P-ADL</t>
        </is>
      </c>
      <c r="AQ1265" t="n">
        <v>9</v>
      </c>
      <c r="AR1265" t="n">
        <v>64</v>
      </c>
      <c r="AS1265" t="n">
        <v>32</v>
      </c>
      <c r="AU1265">
        <f>COUNTA($BA$1265:$EH$1265)</f>
        <v/>
      </c>
      <c r="AV1265">
        <f>COUNTIF($BA$1265:$EH$1265,"D")</f>
        <v/>
      </c>
      <c r="AW1265">
        <f>COUNTIF($BA$1265:$EH$1265,"R")</f>
        <v/>
      </c>
      <c r="AX1265">
        <f>IF(BN1265="D",1,0)+IF(BO1265="D",1,0)+IF(BT1265="D",1,0)+IF(BU1265="D",1,0)+IF(BW1265="D",1,0)+IF(CC1265="D",1,0)+IF(CD1265="D",1,0)+IF(CE1265="D",1,0)+IF(CF1265="D",1,0)+IF(CL1265="D",1,0)+IF(CM1265="D",1,0)+IF(CQ1265="D",1,0)+IF(CR1265="D",1,0)+IF(CS1265="D",1,0)+IF(CW1265="D",1,0)+IF(CX1265="D",1,0)+IF(DD1265="D",1,0)+IF(DE1265="D",1,0)+IF(DJ1265="D",1,0)+IF(DK1265="D",1,0)+IF(DO1265="D",1,0)+IF(DP1265="D",1,0)+IF(DQ1265="D",1,0)+IF(DW1265="D",1,0)+IF(DZ1265="D",1,0)+IF(EH1265="D",1,0)</f>
        <v/>
      </c>
      <c r="AY1265">
        <f>IF(DJ1265&lt;&gt;"",1,0)+IF(DK1265&lt;&gt;"",1,0)+IF(DM1265&lt;&gt;"",1,0)+IF(DO1265&lt;&gt;"",1,0)+IF(DP1265&lt;&gt;"",1,0)+IF(DQ1265&lt;&gt;"",1,0)+IF(DS1265&lt;&gt;"",1,0)+IF(DT1265&lt;&gt;"",1,0)+IF(DV1265&lt;&gt;"",1,0)+IF(DW1265&lt;&gt;"",1,0)+IF(DX1265&lt;&gt;"",1,0)+IF(DY1265&lt;&gt;"",1,0)+IF(DZ1265&lt;&gt;"",1,0)+IF(EB1265&lt;&gt;"",1,0)+IF(EC1265&lt;&gt;"",1,0)+IF(ED1265&lt;&gt;"",1,0)+IF(EG1265&lt;&gt;"",1,0)+IF(EH1265&lt;&gt;"",1,0)</f>
        <v/>
      </c>
      <c r="AZ1265">
        <f>IF(EH1265&lt;&gt;"",1,0)</f>
        <v/>
      </c>
      <c r="BB1265" t="inlineStr">
        <is>
          <t>WARREN-WARD 4</t>
        </is>
      </c>
    </row>
    <row r="1266">
      <c r="A1266" t="inlineStr">
        <is>
          <t>OH0027871351</t>
        </is>
      </c>
      <c r="B1266" t="n">
        <v>78</v>
      </c>
      <c r="C1266" t="n">
        <v>494685</v>
      </c>
      <c r="D1266" t="inlineStr">
        <is>
          <t>FORTSON</t>
        </is>
      </c>
      <c r="E1266" t="inlineStr">
        <is>
          <t>JOHN</t>
        </is>
      </c>
      <c r="F1266">
        <f>CONCATENATE(D1266," ",LEFT(H1266,4),"T=",AU1266,"D=",AV1266,"R=",AW1266,"M=",AX1266,"L=",AY1266,"B=",AZ1266)</f>
        <v/>
      </c>
      <c r="I1266" t="inlineStr">
        <is>
          <t>1971-10-23</t>
        </is>
      </c>
      <c r="J1266" t="inlineStr">
        <is>
          <t>2025-01-08</t>
        </is>
      </c>
      <c r="K1266" t="inlineStr">
        <is>
          <t>ACTIVE</t>
        </is>
      </c>
      <c r="M1266" t="inlineStr">
        <is>
          <t>281 N PARK AVE</t>
        </is>
      </c>
      <c r="N1266">
        <f>RIGHT(M1266,LEN(M1266)-FIND(" ",M1266))</f>
        <v/>
      </c>
      <c r="P1266" t="inlineStr">
        <is>
          <t>WARREN</t>
        </is>
      </c>
      <c r="Q1266" t="inlineStr">
        <is>
          <t>OH</t>
        </is>
      </c>
      <c r="R1266" t="n">
        <v>44481</v>
      </c>
      <c r="AD1266" t="inlineStr">
        <is>
          <t>TRUMBULL CAREER &amp; TECH CENTER</t>
        </is>
      </c>
      <c r="AE1266" t="inlineStr">
        <is>
          <t>WARREN CITY</t>
        </is>
      </c>
      <c r="AF1266" t="inlineStr">
        <is>
          <t>WARREN CITY SD</t>
        </is>
      </c>
      <c r="AH1266" t="n">
        <v>14</v>
      </c>
      <c r="AI1266" t="n">
        <v>11</v>
      </c>
      <c r="AN1266" t="inlineStr">
        <is>
          <t>WARREN</t>
        </is>
      </c>
      <c r="AO1266" t="inlineStr">
        <is>
          <t>WARREN CITY 4D</t>
        </is>
      </c>
      <c r="AP1266" t="inlineStr">
        <is>
          <t>78-P-ADL</t>
        </is>
      </c>
      <c r="AQ1266" t="n">
        <v>9</v>
      </c>
      <c r="AR1266" t="n">
        <v>64</v>
      </c>
      <c r="AS1266" t="n">
        <v>32</v>
      </c>
      <c r="AU1266">
        <f>COUNTA($BA$1266:$EH$1266)</f>
        <v/>
      </c>
      <c r="AV1266">
        <f>COUNTIF($BA$1266:$EH$1266,"D")</f>
        <v/>
      </c>
      <c r="AW1266">
        <f>COUNTIF($BA$1266:$EH$1266,"R")</f>
        <v/>
      </c>
      <c r="AX1266">
        <f>IF(BN1266="D",1,0)+IF(BO1266="D",1,0)+IF(BT1266="D",1,0)+IF(BU1266="D",1,0)+IF(BW1266="D",1,0)+IF(CC1266="D",1,0)+IF(CD1266="D",1,0)+IF(CE1266="D",1,0)+IF(CF1266="D",1,0)+IF(CL1266="D",1,0)+IF(CM1266="D",1,0)+IF(CQ1266="D",1,0)+IF(CR1266="D",1,0)+IF(CS1266="D",1,0)+IF(CW1266="D",1,0)+IF(CX1266="D",1,0)+IF(DD1266="D",1,0)+IF(DE1266="D",1,0)+IF(DJ1266="D",1,0)+IF(DK1266="D",1,0)+IF(DO1266="D",1,0)+IF(DP1266="D",1,0)+IF(DQ1266="D",1,0)+IF(DW1266="D",1,0)+IF(DZ1266="D",1,0)+IF(EH1266="D",1,0)</f>
        <v/>
      </c>
      <c r="AY1266">
        <f>IF(DJ1266&lt;&gt;"",1,0)+IF(DK1266&lt;&gt;"",1,0)+IF(DM1266&lt;&gt;"",1,0)+IF(DO1266&lt;&gt;"",1,0)+IF(DP1266&lt;&gt;"",1,0)+IF(DQ1266&lt;&gt;"",1,0)+IF(DS1266&lt;&gt;"",1,0)+IF(DT1266&lt;&gt;"",1,0)+IF(DV1266&lt;&gt;"",1,0)+IF(DW1266&lt;&gt;"",1,0)+IF(DX1266&lt;&gt;"",1,0)+IF(DY1266&lt;&gt;"",1,0)+IF(DZ1266&lt;&gt;"",1,0)+IF(EB1266&lt;&gt;"",1,0)+IF(EC1266&lt;&gt;"",1,0)+IF(ED1266&lt;&gt;"",1,0)+IF(EG1266&lt;&gt;"",1,0)+IF(EH1266&lt;&gt;"",1,0)</f>
        <v/>
      </c>
      <c r="AZ1266">
        <f>IF(EH1266&lt;&gt;"",1,0)</f>
        <v/>
      </c>
      <c r="BB1266" t="inlineStr">
        <is>
          <t>WARREN-WARD 4</t>
        </is>
      </c>
      <c r="CA1266" t="inlineStr">
        <is>
          <t>X</t>
        </is>
      </c>
    </row>
    <row r="1267">
      <c r="A1267" t="inlineStr">
        <is>
          <t>OH0023187051</t>
        </is>
      </c>
      <c r="B1267" t="n">
        <v>78</v>
      </c>
      <c r="C1267" t="n">
        <v>408023</v>
      </c>
      <c r="D1267" t="inlineStr">
        <is>
          <t>STEVENSON</t>
        </is>
      </c>
      <c r="E1267" t="inlineStr">
        <is>
          <t>ROLEIGH</t>
        </is>
      </c>
      <c r="F1267">
        <f>CONCATENATE(D1267," ",LEFT(H1267,4),"T=",AU1267,"D=",AV1267,"R=",AW1267,"M=",AX1267,"L=",AY1267,"B=",AZ1267)</f>
        <v/>
      </c>
      <c r="I1267" t="inlineStr">
        <is>
          <t>1959-05-27</t>
        </is>
      </c>
      <c r="J1267" t="inlineStr">
        <is>
          <t>2025-06-02</t>
        </is>
      </c>
      <c r="K1267" t="inlineStr">
        <is>
          <t>ACTIVE</t>
        </is>
      </c>
      <c r="M1267" t="inlineStr">
        <is>
          <t>151 PEW CT NE</t>
        </is>
      </c>
      <c r="N1267">
        <f>RIGHT(M1267,LEN(M1267)-FIND(" ",M1267))</f>
        <v/>
      </c>
      <c r="P1267" t="inlineStr">
        <is>
          <t>WARREN</t>
        </is>
      </c>
      <c r="Q1267" t="inlineStr">
        <is>
          <t>OH</t>
        </is>
      </c>
      <c r="R1267" t="n">
        <v>44481</v>
      </c>
      <c r="AD1267" t="inlineStr">
        <is>
          <t>TRUMBULL CAREER &amp; TECH CENTER</t>
        </is>
      </c>
      <c r="AE1267" t="inlineStr">
        <is>
          <t>WARREN CITY</t>
        </is>
      </c>
      <c r="AF1267" t="inlineStr">
        <is>
          <t>WARREN CITY SD</t>
        </is>
      </c>
      <c r="AH1267" t="n">
        <v>14</v>
      </c>
      <c r="AI1267" t="n">
        <v>11</v>
      </c>
      <c r="AN1267" t="inlineStr">
        <is>
          <t>WARREN</t>
        </is>
      </c>
      <c r="AO1267" t="inlineStr">
        <is>
          <t>WARREN CITY 4D</t>
        </is>
      </c>
      <c r="AP1267" t="inlineStr">
        <is>
          <t>78-P-ADL</t>
        </is>
      </c>
      <c r="AQ1267" t="n">
        <v>9</v>
      </c>
      <c r="AR1267" t="n">
        <v>64</v>
      </c>
      <c r="AS1267" t="n">
        <v>32</v>
      </c>
      <c r="AU1267">
        <f>COUNTA($BA$1267:$EH$1267)</f>
        <v/>
      </c>
      <c r="AV1267">
        <f>COUNTIF($BA$1267:$EH$1267,"D")</f>
        <v/>
      </c>
      <c r="AW1267">
        <f>COUNTIF($BA$1267:$EH$1267,"R")</f>
        <v/>
      </c>
      <c r="AX1267">
        <f>IF(BN1267="D",1,0)+IF(BO1267="D",1,0)+IF(BT1267="D",1,0)+IF(BU1267="D",1,0)+IF(BW1267="D",1,0)+IF(CC1267="D",1,0)+IF(CD1267="D",1,0)+IF(CE1267="D",1,0)+IF(CF1267="D",1,0)+IF(CL1267="D",1,0)+IF(CM1267="D",1,0)+IF(CQ1267="D",1,0)+IF(CR1267="D",1,0)+IF(CS1267="D",1,0)+IF(CW1267="D",1,0)+IF(CX1267="D",1,0)+IF(DD1267="D",1,0)+IF(DE1267="D",1,0)+IF(DJ1267="D",1,0)+IF(DK1267="D",1,0)+IF(DO1267="D",1,0)+IF(DP1267="D",1,0)+IF(DQ1267="D",1,0)+IF(DW1267="D",1,0)+IF(DZ1267="D",1,0)+IF(EH1267="D",1,0)</f>
        <v/>
      </c>
      <c r="AY1267">
        <f>IF(DJ1267&lt;&gt;"",1,0)+IF(DK1267&lt;&gt;"",1,0)+IF(DM1267&lt;&gt;"",1,0)+IF(DO1267&lt;&gt;"",1,0)+IF(DP1267&lt;&gt;"",1,0)+IF(DQ1267&lt;&gt;"",1,0)+IF(DS1267&lt;&gt;"",1,0)+IF(DT1267&lt;&gt;"",1,0)+IF(DV1267&lt;&gt;"",1,0)+IF(DW1267&lt;&gt;"",1,0)+IF(DX1267&lt;&gt;"",1,0)+IF(DY1267&lt;&gt;"",1,0)+IF(DZ1267&lt;&gt;"",1,0)+IF(EB1267&lt;&gt;"",1,0)+IF(EC1267&lt;&gt;"",1,0)+IF(ED1267&lt;&gt;"",1,0)+IF(EG1267&lt;&gt;"",1,0)+IF(EH1267&lt;&gt;"",1,0)</f>
        <v/>
      </c>
      <c r="AZ1267">
        <f>IF(EH1267&lt;&gt;"",1,0)</f>
        <v/>
      </c>
      <c r="BB1267" t="inlineStr">
        <is>
          <t>WARREN-WARD 4</t>
        </is>
      </c>
    </row>
    <row r="1268">
      <c r="A1268" t="inlineStr">
        <is>
          <t>OH0024866260</t>
        </is>
      </c>
      <c r="B1268" t="n">
        <v>78</v>
      </c>
      <c r="C1268" t="n">
        <v>436029</v>
      </c>
      <c r="D1268" t="inlineStr">
        <is>
          <t>BAILEY</t>
        </is>
      </c>
      <c r="E1268" t="inlineStr">
        <is>
          <t>SHEILA</t>
        </is>
      </c>
      <c r="F1268">
        <f>CONCATENATE(D1268," ",LEFT(H1268,4),"T=",AU1268,"D=",AV1268,"R=",AW1268,"M=",AX1268,"L=",AY1268,"B=",AZ1268)</f>
        <v/>
      </c>
      <c r="G1268" t="inlineStr">
        <is>
          <t>L</t>
        </is>
      </c>
      <c r="I1268" t="inlineStr">
        <is>
          <t>1964-08-01</t>
        </is>
      </c>
      <c r="J1268" t="inlineStr">
        <is>
          <t>2023-11-09</t>
        </is>
      </c>
      <c r="K1268" t="inlineStr">
        <is>
          <t>ACTIVE</t>
        </is>
      </c>
      <c r="M1268" t="inlineStr">
        <is>
          <t>1132 WOODLAND AVE NE</t>
        </is>
      </c>
      <c r="N1268">
        <f>RIGHT(M1268,LEN(M1268)-FIND(" ",M1268))</f>
        <v/>
      </c>
      <c r="O1268" t="inlineStr">
        <is>
          <t>APT A</t>
        </is>
      </c>
      <c r="P1268" t="inlineStr">
        <is>
          <t>WARREN</t>
        </is>
      </c>
      <c r="Q1268" t="inlineStr">
        <is>
          <t>OH</t>
        </is>
      </c>
      <c r="R1268" t="n">
        <v>44483</v>
      </c>
      <c r="AD1268" t="inlineStr">
        <is>
          <t>TRUMBULL CAREER &amp; TECH CENTER</t>
        </is>
      </c>
      <c r="AE1268" t="inlineStr">
        <is>
          <t>WARREN CITY</t>
        </is>
      </c>
      <c r="AF1268" t="inlineStr">
        <is>
          <t>WARREN CITY SD</t>
        </is>
      </c>
      <c r="AH1268" t="n">
        <v>14</v>
      </c>
      <c r="AI1268" t="n">
        <v>11</v>
      </c>
      <c r="AN1268" t="inlineStr">
        <is>
          <t>WARREN</t>
        </is>
      </c>
      <c r="AO1268" t="inlineStr">
        <is>
          <t>WARREN CITY 4D</t>
        </is>
      </c>
      <c r="AP1268" t="inlineStr">
        <is>
          <t>78-P-ADL</t>
        </is>
      </c>
      <c r="AQ1268" t="n">
        <v>9</v>
      </c>
      <c r="AR1268" t="n">
        <v>64</v>
      </c>
      <c r="AS1268" t="n">
        <v>32</v>
      </c>
      <c r="AU1268">
        <f>COUNTA($BA$1268:$EH$1268)</f>
        <v/>
      </c>
      <c r="AV1268">
        <f>COUNTIF($BA$1268:$EH$1268,"D")</f>
        <v/>
      </c>
      <c r="AW1268">
        <f>COUNTIF($BA$1268:$EH$1268,"R")</f>
        <v/>
      </c>
      <c r="AX1268">
        <f>IF(BN1268="D",1,0)+IF(BO1268="D",1,0)+IF(BT1268="D",1,0)+IF(BU1268="D",1,0)+IF(BW1268="D",1,0)+IF(CC1268="D",1,0)+IF(CD1268="D",1,0)+IF(CE1268="D",1,0)+IF(CF1268="D",1,0)+IF(CL1268="D",1,0)+IF(CM1268="D",1,0)+IF(CQ1268="D",1,0)+IF(CR1268="D",1,0)+IF(CS1268="D",1,0)+IF(CW1268="D",1,0)+IF(CX1268="D",1,0)+IF(DD1268="D",1,0)+IF(DE1268="D",1,0)+IF(DJ1268="D",1,0)+IF(DK1268="D",1,0)+IF(DO1268="D",1,0)+IF(DP1268="D",1,0)+IF(DQ1268="D",1,0)+IF(DW1268="D",1,0)+IF(DZ1268="D",1,0)+IF(EH1268="D",1,0)</f>
        <v/>
      </c>
      <c r="AY1268">
        <f>IF(DJ1268&lt;&gt;"",1,0)+IF(DK1268&lt;&gt;"",1,0)+IF(DM1268&lt;&gt;"",1,0)+IF(DO1268&lt;&gt;"",1,0)+IF(DP1268&lt;&gt;"",1,0)+IF(DQ1268&lt;&gt;"",1,0)+IF(DS1268&lt;&gt;"",1,0)+IF(DT1268&lt;&gt;"",1,0)+IF(DV1268&lt;&gt;"",1,0)+IF(DW1268&lt;&gt;"",1,0)+IF(DX1268&lt;&gt;"",1,0)+IF(DY1268&lt;&gt;"",1,0)+IF(DZ1268&lt;&gt;"",1,0)+IF(EB1268&lt;&gt;"",1,0)+IF(EC1268&lt;&gt;"",1,0)+IF(ED1268&lt;&gt;"",1,0)+IF(EG1268&lt;&gt;"",1,0)+IF(EH1268&lt;&gt;"",1,0)</f>
        <v/>
      </c>
      <c r="AZ1268">
        <f>IF(EH1268&lt;&gt;"",1,0)</f>
        <v/>
      </c>
      <c r="BB1268" t="inlineStr">
        <is>
          <t>WARREN-WARD 4</t>
        </is>
      </c>
      <c r="DN1268" t="inlineStr">
        <is>
          <t>X</t>
        </is>
      </c>
      <c r="EF1268" t="inlineStr">
        <is>
          <t>X</t>
        </is>
      </c>
    </row>
    <row r="1269">
      <c r="A1269" t="inlineStr">
        <is>
          <t>OH0019771015</t>
        </is>
      </c>
      <c r="B1269" t="n">
        <v>78</v>
      </c>
      <c r="C1269" t="n">
        <v>358900</v>
      </c>
      <c r="D1269" t="inlineStr">
        <is>
          <t>KENNEDY</t>
        </is>
      </c>
      <c r="E1269" t="inlineStr">
        <is>
          <t>JOSEPH</t>
        </is>
      </c>
      <c r="F1269">
        <f>CONCATENATE(D1269," ",LEFT(H1269,4),"T=",AU1269,"D=",AV1269,"R=",AW1269,"M=",AX1269,"L=",AY1269,"B=",AZ1269)</f>
        <v/>
      </c>
      <c r="G1269" t="inlineStr">
        <is>
          <t>DANIEL</t>
        </is>
      </c>
      <c r="I1269" t="inlineStr">
        <is>
          <t>1957-09-09</t>
        </is>
      </c>
      <c r="J1269" t="inlineStr">
        <is>
          <t>2024-10-07</t>
        </is>
      </c>
      <c r="K1269" t="inlineStr">
        <is>
          <t>ACTIVE</t>
        </is>
      </c>
      <c r="M1269" t="inlineStr">
        <is>
          <t>442 N PARK AVE</t>
        </is>
      </c>
      <c r="N1269">
        <f>RIGHT(M1269,LEN(M1269)-FIND(" ",M1269))</f>
        <v/>
      </c>
      <c r="O1269" t="inlineStr">
        <is>
          <t>APT 3</t>
        </is>
      </c>
      <c r="P1269" t="inlineStr">
        <is>
          <t>WARREN</t>
        </is>
      </c>
      <c r="Q1269" t="inlineStr">
        <is>
          <t>OH</t>
        </is>
      </c>
      <c r="R1269" t="n">
        <v>44481</v>
      </c>
      <c r="S1269" t="n">
        <v>1127</v>
      </c>
      <c r="AD1269" t="inlineStr">
        <is>
          <t>TRUMBULL CAREER &amp; TECH CENTER</t>
        </is>
      </c>
      <c r="AE1269" t="inlineStr">
        <is>
          <t>WARREN CITY</t>
        </is>
      </c>
      <c r="AF1269" t="inlineStr">
        <is>
          <t>WARREN CITY SD</t>
        </is>
      </c>
      <c r="AH1269" t="n">
        <v>14</v>
      </c>
      <c r="AI1269" t="n">
        <v>11</v>
      </c>
      <c r="AN1269" t="inlineStr">
        <is>
          <t>WARREN</t>
        </is>
      </c>
      <c r="AO1269" t="inlineStr">
        <is>
          <t>WARREN CITY 4D</t>
        </is>
      </c>
      <c r="AP1269" t="inlineStr">
        <is>
          <t>78-P-ADL</t>
        </is>
      </c>
      <c r="AQ1269" t="n">
        <v>9</v>
      </c>
      <c r="AR1269" t="n">
        <v>64</v>
      </c>
      <c r="AS1269" t="n">
        <v>32</v>
      </c>
      <c r="AU1269">
        <f>COUNTA($BA$1269:$EH$1269)</f>
        <v/>
      </c>
      <c r="AV1269">
        <f>COUNTIF($BA$1269:$EH$1269,"D")</f>
        <v/>
      </c>
      <c r="AW1269">
        <f>COUNTIF($BA$1269:$EH$1269,"R")</f>
        <v/>
      </c>
      <c r="AX1269">
        <f>IF(BN1269="D",1,0)+IF(BO1269="D",1,0)+IF(BT1269="D",1,0)+IF(BU1269="D",1,0)+IF(BW1269="D",1,0)+IF(CC1269="D",1,0)+IF(CD1269="D",1,0)+IF(CE1269="D",1,0)+IF(CF1269="D",1,0)+IF(CL1269="D",1,0)+IF(CM1269="D",1,0)+IF(CQ1269="D",1,0)+IF(CR1269="D",1,0)+IF(CS1269="D",1,0)+IF(CW1269="D",1,0)+IF(CX1269="D",1,0)+IF(DD1269="D",1,0)+IF(DE1269="D",1,0)+IF(DJ1269="D",1,0)+IF(DK1269="D",1,0)+IF(DO1269="D",1,0)+IF(DP1269="D",1,0)+IF(DQ1269="D",1,0)+IF(DW1269="D",1,0)+IF(DZ1269="D",1,0)+IF(EH1269="D",1,0)</f>
        <v/>
      </c>
      <c r="AY1269">
        <f>IF(DJ1269&lt;&gt;"",1,0)+IF(DK1269&lt;&gt;"",1,0)+IF(DM1269&lt;&gt;"",1,0)+IF(DO1269&lt;&gt;"",1,0)+IF(DP1269&lt;&gt;"",1,0)+IF(DQ1269&lt;&gt;"",1,0)+IF(DS1269&lt;&gt;"",1,0)+IF(DT1269&lt;&gt;"",1,0)+IF(DV1269&lt;&gt;"",1,0)+IF(DW1269&lt;&gt;"",1,0)+IF(DX1269&lt;&gt;"",1,0)+IF(DY1269&lt;&gt;"",1,0)+IF(DZ1269&lt;&gt;"",1,0)+IF(EB1269&lt;&gt;"",1,0)+IF(EC1269&lt;&gt;"",1,0)+IF(ED1269&lt;&gt;"",1,0)+IF(EG1269&lt;&gt;"",1,0)+IF(EH1269&lt;&gt;"",1,0)</f>
        <v/>
      </c>
      <c r="AZ1269">
        <f>IF(EH1269&lt;&gt;"",1,0)</f>
        <v/>
      </c>
      <c r="BB1269" t="inlineStr">
        <is>
          <t>WARREN-WARD 4</t>
        </is>
      </c>
      <c r="DN1269" t="inlineStr">
        <is>
          <t>X</t>
        </is>
      </c>
    </row>
    <row r="1270">
      <c r="A1270" t="inlineStr">
        <is>
          <t>OH0015747289</t>
        </is>
      </c>
      <c r="B1270" t="n">
        <v>78</v>
      </c>
      <c r="C1270" t="n">
        <v>322047</v>
      </c>
      <c r="D1270" t="inlineStr">
        <is>
          <t>REDRICK</t>
        </is>
      </c>
      <c r="E1270" t="inlineStr">
        <is>
          <t>BRANDELL</t>
        </is>
      </c>
      <c r="F1270">
        <f>CONCATENATE(D1270," ",LEFT(H1270,4),"T=",AU1270,"D=",AV1270,"R=",AW1270,"M=",AX1270,"L=",AY1270,"B=",AZ1270)</f>
        <v/>
      </c>
      <c r="G1270" t="inlineStr">
        <is>
          <t>L</t>
        </is>
      </c>
      <c r="I1270" t="inlineStr">
        <is>
          <t>1980-09-29</t>
        </is>
      </c>
      <c r="J1270" t="inlineStr">
        <is>
          <t>2016-08-30</t>
        </is>
      </c>
      <c r="K1270" t="inlineStr">
        <is>
          <t>CONFIRMATION</t>
        </is>
      </c>
      <c r="M1270" t="inlineStr">
        <is>
          <t>156 ELM RD NE</t>
        </is>
      </c>
      <c r="N1270">
        <f>RIGHT(M1270,LEN(M1270)-FIND(" ",M1270))</f>
        <v/>
      </c>
      <c r="O1270" t="inlineStr">
        <is>
          <t>APT 1</t>
        </is>
      </c>
      <c r="P1270" t="inlineStr">
        <is>
          <t>WARREN</t>
        </is>
      </c>
      <c r="Q1270" t="inlineStr">
        <is>
          <t>OH</t>
        </is>
      </c>
      <c r="R1270" t="n">
        <v>44483</v>
      </c>
      <c r="AD1270" t="inlineStr">
        <is>
          <t>TRUMBULL CAREER &amp; TECH CENTER</t>
        </is>
      </c>
      <c r="AE1270" t="inlineStr">
        <is>
          <t>WARREN CITY</t>
        </is>
      </c>
      <c r="AF1270" t="inlineStr">
        <is>
          <t>WARREN CITY SD</t>
        </is>
      </c>
      <c r="AH1270" t="n">
        <v>14</v>
      </c>
      <c r="AI1270" t="n">
        <v>11</v>
      </c>
      <c r="AN1270" t="inlineStr">
        <is>
          <t>WARREN</t>
        </is>
      </c>
      <c r="AO1270" t="inlineStr">
        <is>
          <t>WARREN CITY 4D</t>
        </is>
      </c>
      <c r="AP1270" t="inlineStr">
        <is>
          <t>78-P-ADL</t>
        </is>
      </c>
      <c r="AQ1270" t="n">
        <v>9</v>
      </c>
      <c r="AR1270" t="n">
        <v>64</v>
      </c>
      <c r="AS1270" t="n">
        <v>32</v>
      </c>
      <c r="AU1270">
        <f>COUNTA($BA$1270:$EH$1270)</f>
        <v/>
      </c>
      <c r="AV1270">
        <f>COUNTIF($BA$1270:$EH$1270,"D")</f>
        <v/>
      </c>
      <c r="AW1270">
        <f>COUNTIF($BA$1270:$EH$1270,"R")</f>
        <v/>
      </c>
      <c r="AX1270">
        <f>IF(BN1270="D",1,0)+IF(BO1270="D",1,0)+IF(BT1270="D",1,0)+IF(BU1270="D",1,0)+IF(BW1270="D",1,0)+IF(CC1270="D",1,0)+IF(CD1270="D",1,0)+IF(CE1270="D",1,0)+IF(CF1270="D",1,0)+IF(CL1270="D",1,0)+IF(CM1270="D",1,0)+IF(CQ1270="D",1,0)+IF(CR1270="D",1,0)+IF(CS1270="D",1,0)+IF(CW1270="D",1,0)+IF(CX1270="D",1,0)+IF(DD1270="D",1,0)+IF(DE1270="D",1,0)+IF(DJ1270="D",1,0)+IF(DK1270="D",1,0)+IF(DO1270="D",1,0)+IF(DP1270="D",1,0)+IF(DQ1270="D",1,0)+IF(DW1270="D",1,0)+IF(DZ1270="D",1,0)+IF(EH1270="D",1,0)</f>
        <v/>
      </c>
      <c r="AY1270">
        <f>IF(DJ1270&lt;&gt;"",1,0)+IF(DK1270&lt;&gt;"",1,0)+IF(DM1270&lt;&gt;"",1,0)+IF(DO1270&lt;&gt;"",1,0)+IF(DP1270&lt;&gt;"",1,0)+IF(DQ1270&lt;&gt;"",1,0)+IF(DS1270&lt;&gt;"",1,0)+IF(DT1270&lt;&gt;"",1,0)+IF(DV1270&lt;&gt;"",1,0)+IF(DW1270&lt;&gt;"",1,0)+IF(DX1270&lt;&gt;"",1,0)+IF(DY1270&lt;&gt;"",1,0)+IF(DZ1270&lt;&gt;"",1,0)+IF(EB1270&lt;&gt;"",1,0)+IF(EC1270&lt;&gt;"",1,0)+IF(ED1270&lt;&gt;"",1,0)+IF(EG1270&lt;&gt;"",1,0)+IF(EH1270&lt;&gt;"",1,0)</f>
        <v/>
      </c>
      <c r="AZ1270">
        <f>IF(EH1270&lt;&gt;"",1,0)</f>
        <v/>
      </c>
      <c r="BB1270" t="inlineStr">
        <is>
          <t>WARREN-WARD 4</t>
        </is>
      </c>
    </row>
    <row r="1271">
      <c r="A1271" t="inlineStr">
        <is>
          <t>OH0027526154</t>
        </is>
      </c>
      <c r="B1271" t="n">
        <v>78</v>
      </c>
      <c r="C1271" t="n">
        <v>487867</v>
      </c>
      <c r="D1271" t="inlineStr">
        <is>
          <t>LYTLE</t>
        </is>
      </c>
      <c r="E1271" t="inlineStr">
        <is>
          <t>DUSTIN</t>
        </is>
      </c>
      <c r="F1271">
        <f>CONCATENATE(D1271," ",LEFT(H1271,4),"T=",AU1271,"D=",AV1271,"R=",AW1271,"M=",AX1271,"L=",AY1271,"B=",AZ1271)</f>
        <v/>
      </c>
      <c r="G1271" t="inlineStr">
        <is>
          <t>J</t>
        </is>
      </c>
      <c r="I1271" t="inlineStr">
        <is>
          <t>1989-03-11</t>
        </is>
      </c>
      <c r="J1271" t="inlineStr">
        <is>
          <t>2024-08-15</t>
        </is>
      </c>
      <c r="K1271" t="inlineStr">
        <is>
          <t>ACTIVE</t>
        </is>
      </c>
      <c r="M1271" t="inlineStr">
        <is>
          <t>220 E MARKET ST</t>
        </is>
      </c>
      <c r="N1271">
        <f>RIGHT(M1271,LEN(M1271)-FIND(" ",M1271))</f>
        <v/>
      </c>
      <c r="P1271" t="inlineStr">
        <is>
          <t>WARREN</t>
        </is>
      </c>
      <c r="Q1271" t="inlineStr">
        <is>
          <t>OH</t>
        </is>
      </c>
      <c r="R1271" t="n">
        <v>44481</v>
      </c>
      <c r="AD1271" t="inlineStr">
        <is>
          <t>TRUMBULL CAREER &amp; TECH CENTER</t>
        </is>
      </c>
      <c r="AE1271" t="inlineStr">
        <is>
          <t>WARREN CITY</t>
        </is>
      </c>
      <c r="AF1271" t="inlineStr">
        <is>
          <t>WARREN CITY SD</t>
        </is>
      </c>
      <c r="AH1271" t="n">
        <v>14</v>
      </c>
      <c r="AI1271" t="n">
        <v>11</v>
      </c>
      <c r="AN1271" t="inlineStr">
        <is>
          <t>WARREN</t>
        </is>
      </c>
      <c r="AO1271" t="inlineStr">
        <is>
          <t>WARREN CITY 4D</t>
        </is>
      </c>
      <c r="AP1271" t="inlineStr">
        <is>
          <t>78-P-ADL</t>
        </is>
      </c>
      <c r="AQ1271" t="n">
        <v>9</v>
      </c>
      <c r="AR1271" t="n">
        <v>64</v>
      </c>
      <c r="AS1271" t="n">
        <v>32</v>
      </c>
      <c r="AU1271">
        <f>COUNTA($BA$1271:$EH$1271)</f>
        <v/>
      </c>
      <c r="AV1271">
        <f>COUNTIF($BA$1271:$EH$1271,"D")</f>
        <v/>
      </c>
      <c r="AW1271">
        <f>COUNTIF($BA$1271:$EH$1271,"R")</f>
        <v/>
      </c>
      <c r="AX1271">
        <f>IF(BN1271="D",1,0)+IF(BO1271="D",1,0)+IF(BT1271="D",1,0)+IF(BU1271="D",1,0)+IF(BW1271="D",1,0)+IF(CC1271="D",1,0)+IF(CD1271="D",1,0)+IF(CE1271="D",1,0)+IF(CF1271="D",1,0)+IF(CL1271="D",1,0)+IF(CM1271="D",1,0)+IF(CQ1271="D",1,0)+IF(CR1271="D",1,0)+IF(CS1271="D",1,0)+IF(CW1271="D",1,0)+IF(CX1271="D",1,0)+IF(DD1271="D",1,0)+IF(DE1271="D",1,0)+IF(DJ1271="D",1,0)+IF(DK1271="D",1,0)+IF(DO1271="D",1,0)+IF(DP1271="D",1,0)+IF(DQ1271="D",1,0)+IF(DW1271="D",1,0)+IF(DZ1271="D",1,0)+IF(EH1271="D",1,0)</f>
        <v/>
      </c>
      <c r="AY1271">
        <f>IF(DJ1271&lt;&gt;"",1,0)+IF(DK1271&lt;&gt;"",1,0)+IF(DM1271&lt;&gt;"",1,0)+IF(DO1271&lt;&gt;"",1,0)+IF(DP1271&lt;&gt;"",1,0)+IF(DQ1271&lt;&gt;"",1,0)+IF(DS1271&lt;&gt;"",1,0)+IF(DT1271&lt;&gt;"",1,0)+IF(DV1271&lt;&gt;"",1,0)+IF(DW1271&lt;&gt;"",1,0)+IF(DX1271&lt;&gt;"",1,0)+IF(DY1271&lt;&gt;"",1,0)+IF(DZ1271&lt;&gt;"",1,0)+IF(EB1271&lt;&gt;"",1,0)+IF(EC1271&lt;&gt;"",1,0)+IF(ED1271&lt;&gt;"",1,0)+IF(EG1271&lt;&gt;"",1,0)+IF(EH1271&lt;&gt;"",1,0)</f>
        <v/>
      </c>
      <c r="AZ1271">
        <f>IF(EH1271&lt;&gt;"",1,0)</f>
        <v/>
      </c>
      <c r="BB1271" t="inlineStr">
        <is>
          <t>WARREN-WARD 4</t>
        </is>
      </c>
    </row>
    <row r="1272">
      <c r="A1272" t="inlineStr">
        <is>
          <t>OH0023009605</t>
        </is>
      </c>
      <c r="B1272" t="n">
        <v>78</v>
      </c>
      <c r="C1272" t="n">
        <v>404979</v>
      </c>
      <c r="D1272" t="inlineStr">
        <is>
          <t>BAILEY</t>
        </is>
      </c>
      <c r="E1272" t="inlineStr">
        <is>
          <t>STARR</t>
        </is>
      </c>
      <c r="F1272">
        <f>CONCATENATE(D1272," ",LEFT(H1272,4),"T=",AU1272,"D=",AV1272,"R=",AW1272,"M=",AX1272,"L=",AY1272,"B=",AZ1272)</f>
        <v/>
      </c>
      <c r="G1272" t="inlineStr">
        <is>
          <t>LYNN</t>
        </is>
      </c>
      <c r="I1272" t="inlineStr">
        <is>
          <t>1979-08-27</t>
        </is>
      </c>
      <c r="J1272" t="inlineStr">
        <is>
          <t>2024-09-25</t>
        </is>
      </c>
      <c r="K1272" t="inlineStr">
        <is>
          <t>ACTIVE</t>
        </is>
      </c>
      <c r="M1272" t="inlineStr">
        <is>
          <t>428 VINE AVE NE</t>
        </is>
      </c>
      <c r="N1272">
        <f>RIGHT(M1272,LEN(M1272)-FIND(" ",M1272))</f>
        <v/>
      </c>
      <c r="O1272" t="inlineStr">
        <is>
          <t>APT B</t>
        </is>
      </c>
      <c r="P1272" t="inlineStr">
        <is>
          <t>WARREN</t>
        </is>
      </c>
      <c r="Q1272" t="inlineStr">
        <is>
          <t>OH</t>
        </is>
      </c>
      <c r="R1272" t="n">
        <v>44483</v>
      </c>
      <c r="AD1272" t="inlineStr">
        <is>
          <t>TRUMBULL CAREER &amp; TECH CENTER</t>
        </is>
      </c>
      <c r="AE1272" t="inlineStr">
        <is>
          <t>WARREN CITY</t>
        </is>
      </c>
      <c r="AF1272" t="inlineStr">
        <is>
          <t>WARREN CITY SD</t>
        </is>
      </c>
      <c r="AH1272" t="n">
        <v>14</v>
      </c>
      <c r="AI1272" t="n">
        <v>11</v>
      </c>
      <c r="AN1272" t="inlineStr">
        <is>
          <t>WARREN</t>
        </is>
      </c>
      <c r="AO1272" t="inlineStr">
        <is>
          <t>WARREN CITY 4D</t>
        </is>
      </c>
      <c r="AP1272" t="inlineStr">
        <is>
          <t>78-P-ADL</t>
        </is>
      </c>
      <c r="AQ1272" t="n">
        <v>9</v>
      </c>
      <c r="AR1272" t="n">
        <v>64</v>
      </c>
      <c r="AS1272" t="n">
        <v>32</v>
      </c>
      <c r="AU1272">
        <f>COUNTA($BA$1272:$EH$1272)</f>
        <v/>
      </c>
      <c r="AV1272">
        <f>COUNTIF($BA$1272:$EH$1272,"D")</f>
        <v/>
      </c>
      <c r="AW1272">
        <f>COUNTIF($BA$1272:$EH$1272,"R")</f>
        <v/>
      </c>
      <c r="AX1272">
        <f>IF(BN1272="D",1,0)+IF(BO1272="D",1,0)+IF(BT1272="D",1,0)+IF(BU1272="D",1,0)+IF(BW1272="D",1,0)+IF(CC1272="D",1,0)+IF(CD1272="D",1,0)+IF(CE1272="D",1,0)+IF(CF1272="D",1,0)+IF(CL1272="D",1,0)+IF(CM1272="D",1,0)+IF(CQ1272="D",1,0)+IF(CR1272="D",1,0)+IF(CS1272="D",1,0)+IF(CW1272="D",1,0)+IF(CX1272="D",1,0)+IF(DD1272="D",1,0)+IF(DE1272="D",1,0)+IF(DJ1272="D",1,0)+IF(DK1272="D",1,0)+IF(DO1272="D",1,0)+IF(DP1272="D",1,0)+IF(DQ1272="D",1,0)+IF(DW1272="D",1,0)+IF(DZ1272="D",1,0)+IF(EH1272="D",1,0)</f>
        <v/>
      </c>
      <c r="AY1272">
        <f>IF(DJ1272&lt;&gt;"",1,0)+IF(DK1272&lt;&gt;"",1,0)+IF(DM1272&lt;&gt;"",1,0)+IF(DO1272&lt;&gt;"",1,0)+IF(DP1272&lt;&gt;"",1,0)+IF(DQ1272&lt;&gt;"",1,0)+IF(DS1272&lt;&gt;"",1,0)+IF(DT1272&lt;&gt;"",1,0)+IF(DV1272&lt;&gt;"",1,0)+IF(DW1272&lt;&gt;"",1,0)+IF(DX1272&lt;&gt;"",1,0)+IF(DY1272&lt;&gt;"",1,0)+IF(DZ1272&lt;&gt;"",1,0)+IF(EB1272&lt;&gt;"",1,0)+IF(EC1272&lt;&gt;"",1,0)+IF(ED1272&lt;&gt;"",1,0)+IF(EG1272&lt;&gt;"",1,0)+IF(EH1272&lt;&gt;"",1,0)</f>
        <v/>
      </c>
      <c r="AZ1272">
        <f>IF(EH1272&lt;&gt;"",1,0)</f>
        <v/>
      </c>
      <c r="BB1272" t="inlineStr">
        <is>
          <t>WARREN-WARD 4</t>
        </is>
      </c>
      <c r="BL1272" t="inlineStr">
        <is>
          <t>X</t>
        </is>
      </c>
      <c r="BS1272" t="inlineStr">
        <is>
          <t>X</t>
        </is>
      </c>
      <c r="BY1272" t="inlineStr">
        <is>
          <t>D</t>
        </is>
      </c>
      <c r="CA1272" t="inlineStr">
        <is>
          <t>X</t>
        </is>
      </c>
      <c r="CP1272" t="inlineStr">
        <is>
          <t>X</t>
        </is>
      </c>
      <c r="CY1272" t="inlineStr">
        <is>
          <t>X</t>
        </is>
      </c>
      <c r="DC1272" t="inlineStr">
        <is>
          <t>X</t>
        </is>
      </c>
      <c r="DN1272" t="inlineStr">
        <is>
          <t>X</t>
        </is>
      </c>
      <c r="EF1272" t="inlineStr">
        <is>
          <t>X</t>
        </is>
      </c>
    </row>
    <row r="1273">
      <c r="A1273" t="inlineStr">
        <is>
          <t>OH0023819832</t>
        </is>
      </c>
      <c r="B1273" t="n">
        <v>78</v>
      </c>
      <c r="C1273" t="n">
        <v>418548</v>
      </c>
      <c r="D1273" t="inlineStr">
        <is>
          <t>ATKINSON</t>
        </is>
      </c>
      <c r="E1273" t="inlineStr">
        <is>
          <t>SAMANTHA</t>
        </is>
      </c>
      <c r="F1273">
        <f>CONCATENATE(D1273," ",LEFT(H1273,4),"T=",AU1273,"D=",AV1273,"R=",AW1273,"M=",AX1273,"L=",AY1273,"B=",AZ1273)</f>
        <v/>
      </c>
      <c r="G1273" t="inlineStr">
        <is>
          <t>LYNN</t>
        </is>
      </c>
      <c r="I1273" t="inlineStr">
        <is>
          <t>1995-09-19</t>
        </is>
      </c>
      <c r="J1273" t="inlineStr">
        <is>
          <t>2019-09-15</t>
        </is>
      </c>
      <c r="K1273" t="inlineStr">
        <is>
          <t>CONFIRMATION</t>
        </is>
      </c>
      <c r="M1273" t="inlineStr">
        <is>
          <t>130 LINDEN AVE SE</t>
        </is>
      </c>
      <c r="N1273">
        <f>RIGHT(M1273,LEN(M1273)-FIND(" ",M1273))</f>
        <v/>
      </c>
      <c r="P1273" t="inlineStr">
        <is>
          <t>WARREN</t>
        </is>
      </c>
      <c r="Q1273" t="inlineStr">
        <is>
          <t>OH</t>
        </is>
      </c>
      <c r="R1273" t="n">
        <v>44483</v>
      </c>
      <c r="AD1273" t="inlineStr">
        <is>
          <t>TRUMBULL CAREER &amp; TECH CENTER</t>
        </is>
      </c>
      <c r="AE1273" t="inlineStr">
        <is>
          <t>WARREN CITY</t>
        </is>
      </c>
      <c r="AF1273" t="inlineStr">
        <is>
          <t>WARREN CITY SD</t>
        </is>
      </c>
      <c r="AH1273" t="n">
        <v>14</v>
      </c>
      <c r="AI1273" t="n">
        <v>11</v>
      </c>
      <c r="AN1273" t="inlineStr">
        <is>
          <t>WARREN</t>
        </is>
      </c>
      <c r="AO1273" t="inlineStr">
        <is>
          <t>WARREN CITY 4D</t>
        </is>
      </c>
      <c r="AP1273" t="inlineStr">
        <is>
          <t>78-P-ADL</t>
        </is>
      </c>
      <c r="AQ1273" t="n">
        <v>9</v>
      </c>
      <c r="AR1273" t="n">
        <v>64</v>
      </c>
      <c r="AS1273" t="n">
        <v>32</v>
      </c>
      <c r="AU1273">
        <f>COUNTA($BA$1273:$EH$1273)</f>
        <v/>
      </c>
      <c r="AV1273">
        <f>COUNTIF($BA$1273:$EH$1273,"D")</f>
        <v/>
      </c>
      <c r="AW1273">
        <f>COUNTIF($BA$1273:$EH$1273,"R")</f>
        <v/>
      </c>
      <c r="AX1273">
        <f>IF(BN1273="D",1,0)+IF(BO1273="D",1,0)+IF(BT1273="D",1,0)+IF(BU1273="D",1,0)+IF(BW1273="D",1,0)+IF(CC1273="D",1,0)+IF(CD1273="D",1,0)+IF(CE1273="D",1,0)+IF(CF1273="D",1,0)+IF(CL1273="D",1,0)+IF(CM1273="D",1,0)+IF(CQ1273="D",1,0)+IF(CR1273="D",1,0)+IF(CS1273="D",1,0)+IF(CW1273="D",1,0)+IF(CX1273="D",1,0)+IF(DD1273="D",1,0)+IF(DE1273="D",1,0)+IF(DJ1273="D",1,0)+IF(DK1273="D",1,0)+IF(DO1273="D",1,0)+IF(DP1273="D",1,0)+IF(DQ1273="D",1,0)+IF(DW1273="D",1,0)+IF(DZ1273="D",1,0)+IF(EH1273="D",1,0)</f>
        <v/>
      </c>
      <c r="AY1273">
        <f>IF(DJ1273&lt;&gt;"",1,0)+IF(DK1273&lt;&gt;"",1,0)+IF(DM1273&lt;&gt;"",1,0)+IF(DO1273&lt;&gt;"",1,0)+IF(DP1273&lt;&gt;"",1,0)+IF(DQ1273&lt;&gt;"",1,0)+IF(DS1273&lt;&gt;"",1,0)+IF(DT1273&lt;&gt;"",1,0)+IF(DV1273&lt;&gt;"",1,0)+IF(DW1273&lt;&gt;"",1,0)+IF(DX1273&lt;&gt;"",1,0)+IF(DY1273&lt;&gt;"",1,0)+IF(DZ1273&lt;&gt;"",1,0)+IF(EB1273&lt;&gt;"",1,0)+IF(EC1273&lt;&gt;"",1,0)+IF(ED1273&lt;&gt;"",1,0)+IF(EG1273&lt;&gt;"",1,0)+IF(EH1273&lt;&gt;"",1,0)</f>
        <v/>
      </c>
      <c r="AZ1273">
        <f>IF(EH1273&lt;&gt;"",1,0)</f>
        <v/>
      </c>
      <c r="BB1273" t="inlineStr">
        <is>
          <t>WARREN-WARD 4</t>
        </is>
      </c>
      <c r="DC1273" t="inlineStr">
        <is>
          <t>X</t>
        </is>
      </c>
    </row>
    <row r="1274">
      <c r="A1274" t="inlineStr">
        <is>
          <t>OH0023079600</t>
        </is>
      </c>
      <c r="B1274" t="n">
        <v>78</v>
      </c>
      <c r="C1274" t="n">
        <v>406489</v>
      </c>
      <c r="D1274" t="inlineStr">
        <is>
          <t>ROLLAND</t>
        </is>
      </c>
      <c r="E1274" t="inlineStr">
        <is>
          <t>JAMIE</t>
        </is>
      </c>
      <c r="F1274">
        <f>CONCATENATE(D1274," ",LEFT(H1274,4),"T=",AU1274,"D=",AV1274,"R=",AW1274,"M=",AX1274,"L=",AY1274,"B=",AZ1274)</f>
        <v/>
      </c>
      <c r="G1274" t="inlineStr">
        <is>
          <t>NK</t>
        </is>
      </c>
      <c r="I1274" t="inlineStr">
        <is>
          <t>1997-04-16</t>
        </is>
      </c>
      <c r="J1274" t="inlineStr">
        <is>
          <t>2017-04-20</t>
        </is>
      </c>
      <c r="K1274" t="inlineStr">
        <is>
          <t>CONFIRMATION</t>
        </is>
      </c>
      <c r="M1274" t="inlineStr">
        <is>
          <t>712 VINE AVE NE</t>
        </is>
      </c>
      <c r="N1274">
        <f>RIGHT(M1274,LEN(M1274)-FIND(" ",M1274))</f>
        <v/>
      </c>
      <c r="P1274" t="inlineStr">
        <is>
          <t>WARREN</t>
        </is>
      </c>
      <c r="Q1274" t="inlineStr">
        <is>
          <t>OH</t>
        </is>
      </c>
      <c r="R1274" t="n">
        <v>44483</v>
      </c>
      <c r="AD1274" t="inlineStr">
        <is>
          <t>TRUMBULL CAREER &amp; TECH CENTER</t>
        </is>
      </c>
      <c r="AE1274" t="inlineStr">
        <is>
          <t>WARREN CITY</t>
        </is>
      </c>
      <c r="AF1274" t="inlineStr">
        <is>
          <t>WARREN CITY SD</t>
        </is>
      </c>
      <c r="AH1274" t="n">
        <v>14</v>
      </c>
      <c r="AI1274" t="n">
        <v>11</v>
      </c>
      <c r="AN1274" t="inlineStr">
        <is>
          <t>WARREN</t>
        </is>
      </c>
      <c r="AO1274" t="inlineStr">
        <is>
          <t>WARREN CITY 4D</t>
        </is>
      </c>
      <c r="AP1274" t="inlineStr">
        <is>
          <t>78-P-ADL</t>
        </is>
      </c>
      <c r="AQ1274" t="n">
        <v>9</v>
      </c>
      <c r="AR1274" t="n">
        <v>64</v>
      </c>
      <c r="AS1274" t="n">
        <v>32</v>
      </c>
      <c r="AU1274">
        <f>COUNTA($BA$1274:$EH$1274)</f>
        <v/>
      </c>
      <c r="AV1274">
        <f>COUNTIF($BA$1274:$EH$1274,"D")</f>
        <v/>
      </c>
      <c r="AW1274">
        <f>COUNTIF($BA$1274:$EH$1274,"R")</f>
        <v/>
      </c>
      <c r="AX1274">
        <f>IF(BN1274="D",1,0)+IF(BO1274="D",1,0)+IF(BT1274="D",1,0)+IF(BU1274="D",1,0)+IF(BW1274="D",1,0)+IF(CC1274="D",1,0)+IF(CD1274="D",1,0)+IF(CE1274="D",1,0)+IF(CF1274="D",1,0)+IF(CL1274="D",1,0)+IF(CM1274="D",1,0)+IF(CQ1274="D",1,0)+IF(CR1274="D",1,0)+IF(CS1274="D",1,0)+IF(CW1274="D",1,0)+IF(CX1274="D",1,0)+IF(DD1274="D",1,0)+IF(DE1274="D",1,0)+IF(DJ1274="D",1,0)+IF(DK1274="D",1,0)+IF(DO1274="D",1,0)+IF(DP1274="D",1,0)+IF(DQ1274="D",1,0)+IF(DW1274="D",1,0)+IF(DZ1274="D",1,0)+IF(EH1274="D",1,0)</f>
        <v/>
      </c>
      <c r="AY1274">
        <f>IF(DJ1274&lt;&gt;"",1,0)+IF(DK1274&lt;&gt;"",1,0)+IF(DM1274&lt;&gt;"",1,0)+IF(DO1274&lt;&gt;"",1,0)+IF(DP1274&lt;&gt;"",1,0)+IF(DQ1274&lt;&gt;"",1,0)+IF(DS1274&lt;&gt;"",1,0)+IF(DT1274&lt;&gt;"",1,0)+IF(DV1274&lt;&gt;"",1,0)+IF(DW1274&lt;&gt;"",1,0)+IF(DX1274&lt;&gt;"",1,0)+IF(DY1274&lt;&gt;"",1,0)+IF(DZ1274&lt;&gt;"",1,0)+IF(EB1274&lt;&gt;"",1,0)+IF(EC1274&lt;&gt;"",1,0)+IF(ED1274&lt;&gt;"",1,0)+IF(EG1274&lt;&gt;"",1,0)+IF(EH1274&lt;&gt;"",1,0)</f>
        <v/>
      </c>
      <c r="AZ1274">
        <f>IF(EH1274&lt;&gt;"",1,0)</f>
        <v/>
      </c>
      <c r="BB1274" t="inlineStr">
        <is>
          <t>WARREN-WARD 4</t>
        </is>
      </c>
      <c r="CY1274" t="inlineStr">
        <is>
          <t>X</t>
        </is>
      </c>
    </row>
    <row r="1275">
      <c r="A1275" t="inlineStr">
        <is>
          <t>OH0024291245</t>
        </is>
      </c>
      <c r="B1275" t="n">
        <v>78</v>
      </c>
      <c r="C1275" t="n">
        <v>426314</v>
      </c>
      <c r="D1275" t="inlineStr">
        <is>
          <t>ARNOLD</t>
        </is>
      </c>
      <c r="E1275" t="inlineStr">
        <is>
          <t>CHRISTINA</t>
        </is>
      </c>
      <c r="F1275">
        <f>CONCATENATE(D1275," ",LEFT(H1275,4),"T=",AU1275,"D=",AV1275,"R=",AW1275,"M=",AX1275,"L=",AY1275,"B=",AZ1275)</f>
        <v/>
      </c>
      <c r="G1275" t="inlineStr">
        <is>
          <t>NICOLE</t>
        </is>
      </c>
      <c r="I1275" t="inlineStr">
        <is>
          <t>1995-04-04</t>
        </is>
      </c>
      <c r="J1275" t="inlineStr">
        <is>
          <t>2017-04-21</t>
        </is>
      </c>
      <c r="K1275" t="inlineStr">
        <is>
          <t>CONFIRMATION</t>
        </is>
      </c>
      <c r="M1275" t="inlineStr">
        <is>
          <t>425 SCOTT ST NE</t>
        </is>
      </c>
      <c r="N1275">
        <f>RIGHT(M1275,LEN(M1275)-FIND(" ",M1275))</f>
        <v/>
      </c>
      <c r="O1275" t="inlineStr">
        <is>
          <t>APT B</t>
        </is>
      </c>
      <c r="P1275" t="inlineStr">
        <is>
          <t>WARREN</t>
        </is>
      </c>
      <c r="Q1275" t="inlineStr">
        <is>
          <t>OH</t>
        </is>
      </c>
      <c r="R1275" t="n">
        <v>44483</v>
      </c>
      <c r="AD1275" t="inlineStr">
        <is>
          <t>TRUMBULL CAREER &amp; TECH CENTER</t>
        </is>
      </c>
      <c r="AE1275" t="inlineStr">
        <is>
          <t>WARREN CITY</t>
        </is>
      </c>
      <c r="AF1275" t="inlineStr">
        <is>
          <t>WARREN CITY SD</t>
        </is>
      </c>
      <c r="AH1275" t="n">
        <v>14</v>
      </c>
      <c r="AI1275" t="n">
        <v>11</v>
      </c>
      <c r="AN1275" t="inlineStr">
        <is>
          <t>WARREN</t>
        </is>
      </c>
      <c r="AO1275" t="inlineStr">
        <is>
          <t>WARREN CITY 4D</t>
        </is>
      </c>
      <c r="AP1275" t="inlineStr">
        <is>
          <t>78-P-ADL</t>
        </is>
      </c>
      <c r="AQ1275" t="n">
        <v>9</v>
      </c>
      <c r="AR1275" t="n">
        <v>64</v>
      </c>
      <c r="AS1275" t="n">
        <v>32</v>
      </c>
      <c r="AU1275">
        <f>COUNTA($BA$1275:$EH$1275)</f>
        <v/>
      </c>
      <c r="AV1275">
        <f>COUNTIF($BA$1275:$EH$1275,"D")</f>
        <v/>
      </c>
      <c r="AW1275">
        <f>COUNTIF($BA$1275:$EH$1275,"R")</f>
        <v/>
      </c>
      <c r="AX1275">
        <f>IF(BN1275="D",1,0)+IF(BO1275="D",1,0)+IF(BT1275="D",1,0)+IF(BU1275="D",1,0)+IF(BW1275="D",1,0)+IF(CC1275="D",1,0)+IF(CD1275="D",1,0)+IF(CE1275="D",1,0)+IF(CF1275="D",1,0)+IF(CL1275="D",1,0)+IF(CM1275="D",1,0)+IF(CQ1275="D",1,0)+IF(CR1275="D",1,0)+IF(CS1275="D",1,0)+IF(CW1275="D",1,0)+IF(CX1275="D",1,0)+IF(DD1275="D",1,0)+IF(DE1275="D",1,0)+IF(DJ1275="D",1,0)+IF(DK1275="D",1,0)+IF(DO1275="D",1,0)+IF(DP1275="D",1,0)+IF(DQ1275="D",1,0)+IF(DW1275="D",1,0)+IF(DZ1275="D",1,0)+IF(EH1275="D",1,0)</f>
        <v/>
      </c>
      <c r="AY1275">
        <f>IF(DJ1275&lt;&gt;"",1,0)+IF(DK1275&lt;&gt;"",1,0)+IF(DM1275&lt;&gt;"",1,0)+IF(DO1275&lt;&gt;"",1,0)+IF(DP1275&lt;&gt;"",1,0)+IF(DQ1275&lt;&gt;"",1,0)+IF(DS1275&lt;&gt;"",1,0)+IF(DT1275&lt;&gt;"",1,0)+IF(DV1275&lt;&gt;"",1,0)+IF(DW1275&lt;&gt;"",1,0)+IF(DX1275&lt;&gt;"",1,0)+IF(DY1275&lt;&gt;"",1,0)+IF(DZ1275&lt;&gt;"",1,0)+IF(EB1275&lt;&gt;"",1,0)+IF(EC1275&lt;&gt;"",1,0)+IF(ED1275&lt;&gt;"",1,0)+IF(EG1275&lt;&gt;"",1,0)+IF(EH1275&lt;&gt;"",1,0)</f>
        <v/>
      </c>
      <c r="AZ1275">
        <f>IF(EH1275&lt;&gt;"",1,0)</f>
        <v/>
      </c>
      <c r="BB1275" t="inlineStr">
        <is>
          <t>WARREN-WARD 4</t>
        </is>
      </c>
    </row>
    <row r="1276">
      <c r="A1276" t="inlineStr">
        <is>
          <t>OH0027525755</t>
        </is>
      </c>
      <c r="B1276" t="n">
        <v>78</v>
      </c>
      <c r="C1276" t="n">
        <v>487853</v>
      </c>
      <c r="D1276" t="inlineStr">
        <is>
          <t>GARL</t>
        </is>
      </c>
      <c r="E1276" t="inlineStr">
        <is>
          <t>SABRINA</t>
        </is>
      </c>
      <c r="F1276">
        <f>CONCATENATE(D1276," ",LEFT(H1276,4),"T=",AU1276,"D=",AV1276,"R=",AW1276,"M=",AX1276,"L=",AY1276,"B=",AZ1276)</f>
        <v/>
      </c>
      <c r="G1276" t="inlineStr">
        <is>
          <t>E</t>
        </is>
      </c>
      <c r="I1276" t="inlineStr">
        <is>
          <t>1999-08-14</t>
        </is>
      </c>
      <c r="J1276" t="inlineStr">
        <is>
          <t>2024-09-02</t>
        </is>
      </c>
      <c r="K1276" t="inlineStr">
        <is>
          <t>ACTIVE</t>
        </is>
      </c>
      <c r="M1276" t="inlineStr">
        <is>
          <t>744 PORTER ST NE</t>
        </is>
      </c>
      <c r="N1276">
        <f>RIGHT(M1276,LEN(M1276)-FIND(" ",M1276))</f>
        <v/>
      </c>
      <c r="P1276" t="inlineStr">
        <is>
          <t>WARREN</t>
        </is>
      </c>
      <c r="Q1276" t="inlineStr">
        <is>
          <t>OH</t>
        </is>
      </c>
      <c r="R1276" t="n">
        <v>44483</v>
      </c>
      <c r="AD1276" t="inlineStr">
        <is>
          <t>TRUMBULL CAREER &amp; TECH CENTER</t>
        </is>
      </c>
      <c r="AE1276" t="inlineStr">
        <is>
          <t>WARREN CITY</t>
        </is>
      </c>
      <c r="AF1276" t="inlineStr">
        <is>
          <t>WARREN CITY SD</t>
        </is>
      </c>
      <c r="AH1276" t="n">
        <v>14</v>
      </c>
      <c r="AI1276" t="n">
        <v>11</v>
      </c>
      <c r="AN1276" t="inlineStr">
        <is>
          <t>WARREN</t>
        </is>
      </c>
      <c r="AO1276" t="inlineStr">
        <is>
          <t>WARREN CITY 4D</t>
        </is>
      </c>
      <c r="AP1276" t="inlineStr">
        <is>
          <t>78-P-ADL</t>
        </is>
      </c>
      <c r="AQ1276" t="n">
        <v>9</v>
      </c>
      <c r="AR1276" t="n">
        <v>64</v>
      </c>
      <c r="AS1276" t="n">
        <v>32</v>
      </c>
      <c r="AU1276">
        <f>COUNTA($BA$1276:$EH$1276)</f>
        <v/>
      </c>
      <c r="AV1276">
        <f>COUNTIF($BA$1276:$EH$1276,"D")</f>
        <v/>
      </c>
      <c r="AW1276">
        <f>COUNTIF($BA$1276:$EH$1276,"R")</f>
        <v/>
      </c>
      <c r="AX1276">
        <f>IF(BN1276="D",1,0)+IF(BO1276="D",1,0)+IF(BT1276="D",1,0)+IF(BU1276="D",1,0)+IF(BW1276="D",1,0)+IF(CC1276="D",1,0)+IF(CD1276="D",1,0)+IF(CE1276="D",1,0)+IF(CF1276="D",1,0)+IF(CL1276="D",1,0)+IF(CM1276="D",1,0)+IF(CQ1276="D",1,0)+IF(CR1276="D",1,0)+IF(CS1276="D",1,0)+IF(CW1276="D",1,0)+IF(CX1276="D",1,0)+IF(DD1276="D",1,0)+IF(DE1276="D",1,0)+IF(DJ1276="D",1,0)+IF(DK1276="D",1,0)+IF(DO1276="D",1,0)+IF(DP1276="D",1,0)+IF(DQ1276="D",1,0)+IF(DW1276="D",1,0)+IF(DZ1276="D",1,0)+IF(EH1276="D",1,0)</f>
        <v/>
      </c>
      <c r="AY1276">
        <f>IF(DJ1276&lt;&gt;"",1,0)+IF(DK1276&lt;&gt;"",1,0)+IF(DM1276&lt;&gt;"",1,0)+IF(DO1276&lt;&gt;"",1,0)+IF(DP1276&lt;&gt;"",1,0)+IF(DQ1276&lt;&gt;"",1,0)+IF(DS1276&lt;&gt;"",1,0)+IF(DT1276&lt;&gt;"",1,0)+IF(DV1276&lt;&gt;"",1,0)+IF(DW1276&lt;&gt;"",1,0)+IF(DX1276&lt;&gt;"",1,0)+IF(DY1276&lt;&gt;"",1,0)+IF(DZ1276&lt;&gt;"",1,0)+IF(EB1276&lt;&gt;"",1,0)+IF(EC1276&lt;&gt;"",1,0)+IF(ED1276&lt;&gt;"",1,0)+IF(EG1276&lt;&gt;"",1,0)+IF(EH1276&lt;&gt;"",1,0)</f>
        <v/>
      </c>
      <c r="AZ1276">
        <f>IF(EH1276&lt;&gt;"",1,0)</f>
        <v/>
      </c>
      <c r="BB1276" t="inlineStr">
        <is>
          <t>WARREN-WARD 4</t>
        </is>
      </c>
    </row>
    <row r="1277">
      <c r="A1277" t="inlineStr">
        <is>
          <t>OH0020529175</t>
        </is>
      </c>
      <c r="B1277" t="n">
        <v>78</v>
      </c>
      <c r="C1277" t="n">
        <v>368244</v>
      </c>
      <c r="D1277" t="inlineStr">
        <is>
          <t>PLACER</t>
        </is>
      </c>
      <c r="E1277" t="inlineStr">
        <is>
          <t>CASSANDRA</t>
        </is>
      </c>
      <c r="F1277">
        <f>CONCATENATE(D1277," ",LEFT(H1277,4),"T=",AU1277,"D=",AV1277,"R=",AW1277,"M=",AX1277,"L=",AY1277,"B=",AZ1277)</f>
        <v/>
      </c>
      <c r="G1277" t="inlineStr">
        <is>
          <t>SHAWNA RAE</t>
        </is>
      </c>
      <c r="I1277" t="inlineStr">
        <is>
          <t>1990-12-15</t>
        </is>
      </c>
      <c r="J1277" t="inlineStr">
        <is>
          <t>2017-04-23</t>
        </is>
      </c>
      <c r="K1277" t="inlineStr">
        <is>
          <t>CONFIRMATION</t>
        </is>
      </c>
      <c r="M1277" t="inlineStr">
        <is>
          <t>577 FAIRFIELD AVE NE</t>
        </is>
      </c>
      <c r="N1277">
        <f>RIGHT(M1277,LEN(M1277)-FIND(" ",M1277))</f>
        <v/>
      </c>
      <c r="P1277" t="inlineStr">
        <is>
          <t>WARREN</t>
        </is>
      </c>
      <c r="Q1277" t="inlineStr">
        <is>
          <t>OH</t>
        </is>
      </c>
      <c r="R1277" t="n">
        <v>44483</v>
      </c>
      <c r="AD1277" t="inlineStr">
        <is>
          <t>TRUMBULL CAREER &amp; TECH CENTER</t>
        </is>
      </c>
      <c r="AE1277" t="inlineStr">
        <is>
          <t>WARREN CITY</t>
        </is>
      </c>
      <c r="AF1277" t="inlineStr">
        <is>
          <t>WARREN CITY SD</t>
        </is>
      </c>
      <c r="AH1277" t="n">
        <v>14</v>
      </c>
      <c r="AI1277" t="n">
        <v>11</v>
      </c>
      <c r="AN1277" t="inlineStr">
        <is>
          <t>WARREN</t>
        </is>
      </c>
      <c r="AO1277" t="inlineStr">
        <is>
          <t>WARREN CITY 4D</t>
        </is>
      </c>
      <c r="AP1277" t="inlineStr">
        <is>
          <t>78-P-ADL</t>
        </is>
      </c>
      <c r="AQ1277" t="n">
        <v>9</v>
      </c>
      <c r="AR1277" t="n">
        <v>64</v>
      </c>
      <c r="AS1277" t="n">
        <v>32</v>
      </c>
      <c r="AU1277">
        <f>COUNTA($BA$1277:$EH$1277)</f>
        <v/>
      </c>
      <c r="AV1277">
        <f>COUNTIF($BA$1277:$EH$1277,"D")</f>
        <v/>
      </c>
      <c r="AW1277">
        <f>COUNTIF($BA$1277:$EH$1277,"R")</f>
        <v/>
      </c>
      <c r="AX1277">
        <f>IF(BN1277="D",1,0)+IF(BO1277="D",1,0)+IF(BT1277="D",1,0)+IF(BU1277="D",1,0)+IF(BW1277="D",1,0)+IF(CC1277="D",1,0)+IF(CD1277="D",1,0)+IF(CE1277="D",1,0)+IF(CF1277="D",1,0)+IF(CL1277="D",1,0)+IF(CM1277="D",1,0)+IF(CQ1277="D",1,0)+IF(CR1277="D",1,0)+IF(CS1277="D",1,0)+IF(CW1277="D",1,0)+IF(CX1277="D",1,0)+IF(DD1277="D",1,0)+IF(DE1277="D",1,0)+IF(DJ1277="D",1,0)+IF(DK1277="D",1,0)+IF(DO1277="D",1,0)+IF(DP1277="D",1,0)+IF(DQ1277="D",1,0)+IF(DW1277="D",1,0)+IF(DZ1277="D",1,0)+IF(EH1277="D",1,0)</f>
        <v/>
      </c>
      <c r="AY1277">
        <f>IF(DJ1277&lt;&gt;"",1,0)+IF(DK1277&lt;&gt;"",1,0)+IF(DM1277&lt;&gt;"",1,0)+IF(DO1277&lt;&gt;"",1,0)+IF(DP1277&lt;&gt;"",1,0)+IF(DQ1277&lt;&gt;"",1,0)+IF(DS1277&lt;&gt;"",1,0)+IF(DT1277&lt;&gt;"",1,0)+IF(DV1277&lt;&gt;"",1,0)+IF(DW1277&lt;&gt;"",1,0)+IF(DX1277&lt;&gt;"",1,0)+IF(DY1277&lt;&gt;"",1,0)+IF(DZ1277&lt;&gt;"",1,0)+IF(EB1277&lt;&gt;"",1,0)+IF(EC1277&lt;&gt;"",1,0)+IF(ED1277&lt;&gt;"",1,0)+IF(EG1277&lt;&gt;"",1,0)+IF(EH1277&lt;&gt;"",1,0)</f>
        <v/>
      </c>
      <c r="AZ1277">
        <f>IF(EH1277&lt;&gt;"",1,0)</f>
        <v/>
      </c>
      <c r="BB1277" t="inlineStr">
        <is>
          <t>WARREN-WARD 4</t>
        </is>
      </c>
      <c r="CP1277" t="inlineStr">
        <is>
          <t>X</t>
        </is>
      </c>
    </row>
    <row r="1278">
      <c r="A1278" t="inlineStr">
        <is>
          <t>OH0027418242</t>
        </is>
      </c>
      <c r="B1278" t="n">
        <v>78</v>
      </c>
      <c r="C1278" t="n">
        <v>485820</v>
      </c>
      <c r="D1278" t="inlineStr">
        <is>
          <t>KNOCH</t>
        </is>
      </c>
      <c r="E1278" t="inlineStr">
        <is>
          <t>CHRISTOPHER</t>
        </is>
      </c>
      <c r="F1278">
        <f>CONCATENATE(D1278," ",LEFT(H1278,4),"T=",AU1278,"D=",AV1278,"R=",AW1278,"M=",AX1278,"L=",AY1278,"B=",AZ1278)</f>
        <v/>
      </c>
      <c r="G1278" t="inlineStr">
        <is>
          <t>PAUL</t>
        </is>
      </c>
      <c r="I1278" t="inlineStr">
        <is>
          <t>1977-03-08</t>
        </is>
      </c>
      <c r="J1278" t="inlineStr">
        <is>
          <t>2024-07-06</t>
        </is>
      </c>
      <c r="K1278" t="inlineStr">
        <is>
          <t>ACTIVE</t>
        </is>
      </c>
      <c r="M1278" t="inlineStr">
        <is>
          <t>1166 WOODLAND AVE NE</t>
        </is>
      </c>
      <c r="N1278">
        <f>RIGHT(M1278,LEN(M1278)-FIND(" ",M1278))</f>
        <v/>
      </c>
      <c r="O1278" t="inlineStr">
        <is>
          <t>APT B</t>
        </is>
      </c>
      <c r="P1278" t="inlineStr">
        <is>
          <t>WARREN</t>
        </is>
      </c>
      <c r="Q1278" t="inlineStr">
        <is>
          <t>OH</t>
        </is>
      </c>
      <c r="R1278" t="n">
        <v>44483</v>
      </c>
      <c r="AD1278" t="inlineStr">
        <is>
          <t>TRUMBULL CAREER &amp; TECH CENTER</t>
        </is>
      </c>
      <c r="AE1278" t="inlineStr">
        <is>
          <t>WARREN CITY</t>
        </is>
      </c>
      <c r="AF1278" t="inlineStr">
        <is>
          <t>WARREN CITY SD</t>
        </is>
      </c>
      <c r="AH1278" t="n">
        <v>14</v>
      </c>
      <c r="AI1278" t="n">
        <v>11</v>
      </c>
      <c r="AN1278" t="inlineStr">
        <is>
          <t>WARREN</t>
        </is>
      </c>
      <c r="AO1278" t="inlineStr">
        <is>
          <t>WARREN CITY 4D</t>
        </is>
      </c>
      <c r="AP1278" t="inlineStr">
        <is>
          <t>78-P-ADL</t>
        </is>
      </c>
      <c r="AQ1278" t="n">
        <v>9</v>
      </c>
      <c r="AR1278" t="n">
        <v>64</v>
      </c>
      <c r="AS1278" t="n">
        <v>32</v>
      </c>
      <c r="AU1278">
        <f>COUNTA($BA$1278:$EH$1278)</f>
        <v/>
      </c>
      <c r="AV1278">
        <f>COUNTIF($BA$1278:$EH$1278,"D")</f>
        <v/>
      </c>
      <c r="AW1278">
        <f>COUNTIF($BA$1278:$EH$1278,"R")</f>
        <v/>
      </c>
      <c r="AX1278">
        <f>IF(BN1278="D",1,0)+IF(BO1278="D",1,0)+IF(BT1278="D",1,0)+IF(BU1278="D",1,0)+IF(BW1278="D",1,0)+IF(CC1278="D",1,0)+IF(CD1278="D",1,0)+IF(CE1278="D",1,0)+IF(CF1278="D",1,0)+IF(CL1278="D",1,0)+IF(CM1278="D",1,0)+IF(CQ1278="D",1,0)+IF(CR1278="D",1,0)+IF(CS1278="D",1,0)+IF(CW1278="D",1,0)+IF(CX1278="D",1,0)+IF(DD1278="D",1,0)+IF(DE1278="D",1,0)+IF(DJ1278="D",1,0)+IF(DK1278="D",1,0)+IF(DO1278="D",1,0)+IF(DP1278="D",1,0)+IF(DQ1278="D",1,0)+IF(DW1278="D",1,0)+IF(DZ1278="D",1,0)+IF(EH1278="D",1,0)</f>
        <v/>
      </c>
      <c r="AY1278">
        <f>IF(DJ1278&lt;&gt;"",1,0)+IF(DK1278&lt;&gt;"",1,0)+IF(DM1278&lt;&gt;"",1,0)+IF(DO1278&lt;&gt;"",1,0)+IF(DP1278&lt;&gt;"",1,0)+IF(DQ1278&lt;&gt;"",1,0)+IF(DS1278&lt;&gt;"",1,0)+IF(DT1278&lt;&gt;"",1,0)+IF(DV1278&lt;&gt;"",1,0)+IF(DW1278&lt;&gt;"",1,0)+IF(DX1278&lt;&gt;"",1,0)+IF(DY1278&lt;&gt;"",1,0)+IF(DZ1278&lt;&gt;"",1,0)+IF(EB1278&lt;&gt;"",1,0)+IF(EC1278&lt;&gt;"",1,0)+IF(ED1278&lt;&gt;"",1,0)+IF(EG1278&lt;&gt;"",1,0)+IF(EH1278&lt;&gt;"",1,0)</f>
        <v/>
      </c>
      <c r="AZ1278">
        <f>IF(EH1278&lt;&gt;"",1,0)</f>
        <v/>
      </c>
      <c r="BB1278" t="inlineStr">
        <is>
          <t>WARREN-WARD 4</t>
        </is>
      </c>
      <c r="BC1278" t="inlineStr">
        <is>
          <t>R</t>
        </is>
      </c>
      <c r="BD1278" t="inlineStr">
        <is>
          <t>X</t>
        </is>
      </c>
      <c r="BF1278" t="inlineStr">
        <is>
          <t>X</t>
        </is>
      </c>
      <c r="BL1278" t="inlineStr">
        <is>
          <t>X</t>
        </is>
      </c>
      <c r="BP1278" t="inlineStr">
        <is>
          <t>X</t>
        </is>
      </c>
      <c r="BR1278" t="inlineStr">
        <is>
          <t>X</t>
        </is>
      </c>
      <c r="BY1278" t="inlineStr">
        <is>
          <t>D</t>
        </is>
      </c>
      <c r="CA1278" t="inlineStr">
        <is>
          <t>X</t>
        </is>
      </c>
      <c r="CG1278" t="inlineStr">
        <is>
          <t>X</t>
        </is>
      </c>
      <c r="CK1278" t="inlineStr">
        <is>
          <t>X</t>
        </is>
      </c>
      <c r="CP1278" t="inlineStr">
        <is>
          <t>X</t>
        </is>
      </c>
      <c r="CT1278" t="inlineStr">
        <is>
          <t>X</t>
        </is>
      </c>
      <c r="DR1278" t="inlineStr">
        <is>
          <t>X</t>
        </is>
      </c>
      <c r="DU1278" t="inlineStr">
        <is>
          <t>X</t>
        </is>
      </c>
      <c r="EF1278" t="inlineStr">
        <is>
          <t>X</t>
        </is>
      </c>
    </row>
    <row r="1279">
      <c r="A1279" t="inlineStr">
        <is>
          <t>OH0026023161</t>
        </is>
      </c>
      <c r="B1279" t="n">
        <v>78</v>
      </c>
      <c r="C1279" t="n">
        <v>454558</v>
      </c>
      <c r="D1279" t="inlineStr">
        <is>
          <t>KILLINGSWORTH</t>
        </is>
      </c>
      <c r="E1279" t="inlineStr">
        <is>
          <t>OLIVER</t>
        </is>
      </c>
      <c r="F1279">
        <f>CONCATENATE(D1279," ",LEFT(H1279,4),"T=",AU1279,"D=",AV1279,"R=",AW1279,"M=",AX1279,"L=",AY1279,"B=",AZ1279)</f>
        <v/>
      </c>
      <c r="G1279" t="inlineStr">
        <is>
          <t>L</t>
        </is>
      </c>
      <c r="I1279" t="inlineStr">
        <is>
          <t>1998-06-12</t>
        </is>
      </c>
      <c r="J1279" t="inlineStr">
        <is>
          <t>2020-10-05</t>
        </is>
      </c>
      <c r="K1279" t="inlineStr">
        <is>
          <t>ACTIVE</t>
        </is>
      </c>
      <c r="L1279" t="inlineStr">
        <is>
          <t>R</t>
        </is>
      </c>
      <c r="M1279" t="inlineStr">
        <is>
          <t>405 WASHINGTON ST NW</t>
        </is>
      </c>
      <c r="N1279">
        <f>RIGHT(M1279,LEN(M1279)-FIND(" ",M1279))</f>
        <v/>
      </c>
      <c r="P1279" t="inlineStr">
        <is>
          <t>WARREN</t>
        </is>
      </c>
      <c r="Q1279" t="inlineStr">
        <is>
          <t>OH</t>
        </is>
      </c>
      <c r="R1279" t="n">
        <v>44483</v>
      </c>
      <c r="AD1279" t="inlineStr">
        <is>
          <t>TRUMBULL CAREER &amp; TECH CENTER</t>
        </is>
      </c>
      <c r="AE1279" t="inlineStr">
        <is>
          <t>WARREN CITY</t>
        </is>
      </c>
      <c r="AF1279" t="inlineStr">
        <is>
          <t>WARREN CITY SD</t>
        </is>
      </c>
      <c r="AH1279" t="n">
        <v>14</v>
      </c>
      <c r="AI1279" t="n">
        <v>11</v>
      </c>
      <c r="AN1279" t="inlineStr">
        <is>
          <t>WARREN</t>
        </is>
      </c>
      <c r="AO1279" t="inlineStr">
        <is>
          <t>WARREN CITY 4D</t>
        </is>
      </c>
      <c r="AP1279" t="inlineStr">
        <is>
          <t>78-P-ADL</t>
        </is>
      </c>
      <c r="AQ1279" t="n">
        <v>9</v>
      </c>
      <c r="AR1279" t="n">
        <v>64</v>
      </c>
      <c r="AS1279" t="n">
        <v>32</v>
      </c>
      <c r="AU1279">
        <f>COUNTA($BA$1279:$EH$1279)</f>
        <v/>
      </c>
      <c r="AV1279">
        <f>COUNTIF($BA$1279:$EH$1279,"D")</f>
        <v/>
      </c>
      <c r="AW1279">
        <f>COUNTIF($BA$1279:$EH$1279,"R")</f>
        <v/>
      </c>
      <c r="AX1279">
        <f>IF(BN1279="D",1,0)+IF(BO1279="D",1,0)+IF(BT1279="D",1,0)+IF(BU1279="D",1,0)+IF(BW1279="D",1,0)+IF(CC1279="D",1,0)+IF(CD1279="D",1,0)+IF(CE1279="D",1,0)+IF(CF1279="D",1,0)+IF(CL1279="D",1,0)+IF(CM1279="D",1,0)+IF(CQ1279="D",1,0)+IF(CR1279="D",1,0)+IF(CS1279="D",1,0)+IF(CW1279="D",1,0)+IF(CX1279="D",1,0)+IF(DD1279="D",1,0)+IF(DE1279="D",1,0)+IF(DJ1279="D",1,0)+IF(DK1279="D",1,0)+IF(DO1279="D",1,0)+IF(DP1279="D",1,0)+IF(DQ1279="D",1,0)+IF(DW1279="D",1,0)+IF(DZ1279="D",1,0)+IF(EH1279="D",1,0)</f>
        <v/>
      </c>
      <c r="AY1279">
        <f>IF(DJ1279&lt;&gt;"",1,0)+IF(DK1279&lt;&gt;"",1,0)+IF(DM1279&lt;&gt;"",1,0)+IF(DO1279&lt;&gt;"",1,0)+IF(DP1279&lt;&gt;"",1,0)+IF(DQ1279&lt;&gt;"",1,0)+IF(DS1279&lt;&gt;"",1,0)+IF(DT1279&lt;&gt;"",1,0)+IF(DV1279&lt;&gt;"",1,0)+IF(DW1279&lt;&gt;"",1,0)+IF(DX1279&lt;&gt;"",1,0)+IF(DY1279&lt;&gt;"",1,0)+IF(DZ1279&lt;&gt;"",1,0)+IF(EB1279&lt;&gt;"",1,0)+IF(EC1279&lt;&gt;"",1,0)+IF(ED1279&lt;&gt;"",1,0)+IF(EG1279&lt;&gt;"",1,0)+IF(EH1279&lt;&gt;"",1,0)</f>
        <v/>
      </c>
      <c r="AZ1279">
        <f>IF(EH1279&lt;&gt;"",1,0)</f>
        <v/>
      </c>
      <c r="BB1279" t="inlineStr">
        <is>
          <t>WARREN-WARD 4</t>
        </is>
      </c>
      <c r="DN1279" t="inlineStr">
        <is>
          <t>X</t>
        </is>
      </c>
      <c r="DS1279" t="inlineStr">
        <is>
          <t>R</t>
        </is>
      </c>
      <c r="DU1279" t="inlineStr">
        <is>
          <t>X</t>
        </is>
      </c>
      <c r="EF1279" t="inlineStr">
        <is>
          <t>X</t>
        </is>
      </c>
    </row>
    <row r="1280">
      <c r="A1280" t="inlineStr">
        <is>
          <t>OH0025383712</t>
        </is>
      </c>
      <c r="B1280" t="n">
        <v>78</v>
      </c>
      <c r="C1280" t="n">
        <v>443787</v>
      </c>
      <c r="D1280" t="inlineStr">
        <is>
          <t>WILLRICH</t>
        </is>
      </c>
      <c r="E1280" t="inlineStr">
        <is>
          <t>LISA</t>
        </is>
      </c>
      <c r="F1280">
        <f>CONCATENATE(D1280," ",LEFT(H1280,4),"T=",AU1280,"D=",AV1280,"R=",AW1280,"M=",AX1280,"L=",AY1280,"B=",AZ1280)</f>
        <v/>
      </c>
      <c r="G1280" t="inlineStr">
        <is>
          <t>BETH</t>
        </is>
      </c>
      <c r="I1280" t="inlineStr">
        <is>
          <t>1969-09-24</t>
        </is>
      </c>
      <c r="J1280" t="inlineStr">
        <is>
          <t>2020-01-22</t>
        </is>
      </c>
      <c r="K1280" t="inlineStr">
        <is>
          <t>ACTIVE</t>
        </is>
      </c>
      <c r="M1280" t="inlineStr">
        <is>
          <t>318 LOGAN AVE SE</t>
        </is>
      </c>
      <c r="N1280">
        <f>RIGHT(M1280,LEN(M1280)-FIND(" ",M1280))</f>
        <v/>
      </c>
      <c r="P1280" t="inlineStr">
        <is>
          <t>WARREN</t>
        </is>
      </c>
      <c r="Q1280" t="inlineStr">
        <is>
          <t>OH</t>
        </is>
      </c>
      <c r="R1280" t="n">
        <v>44483</v>
      </c>
      <c r="AD1280" t="inlineStr">
        <is>
          <t>TRUMBULL CAREER &amp; TECH CENTER</t>
        </is>
      </c>
      <c r="AE1280" t="inlineStr">
        <is>
          <t>WARREN CITY</t>
        </is>
      </c>
      <c r="AF1280" t="inlineStr">
        <is>
          <t>WARREN CITY SD</t>
        </is>
      </c>
      <c r="AH1280" t="n">
        <v>14</v>
      </c>
      <c r="AI1280" t="n">
        <v>11</v>
      </c>
      <c r="AN1280" t="inlineStr">
        <is>
          <t>WARREN</t>
        </is>
      </c>
      <c r="AO1280" t="inlineStr">
        <is>
          <t>WARREN CITY 4D</t>
        </is>
      </c>
      <c r="AP1280" t="inlineStr">
        <is>
          <t>78-P-ADL</t>
        </is>
      </c>
      <c r="AQ1280" t="n">
        <v>9</v>
      </c>
      <c r="AR1280" t="n">
        <v>64</v>
      </c>
      <c r="AS1280" t="n">
        <v>32</v>
      </c>
      <c r="AU1280">
        <f>COUNTA($BA$1280:$EH$1280)</f>
        <v/>
      </c>
      <c r="AV1280">
        <f>COUNTIF($BA$1280:$EH$1280,"D")</f>
        <v/>
      </c>
      <c r="AW1280">
        <f>COUNTIF($BA$1280:$EH$1280,"R")</f>
        <v/>
      </c>
      <c r="AX1280">
        <f>IF(BN1280="D",1,0)+IF(BO1280="D",1,0)+IF(BT1280="D",1,0)+IF(BU1280="D",1,0)+IF(BW1280="D",1,0)+IF(CC1280="D",1,0)+IF(CD1280="D",1,0)+IF(CE1280="D",1,0)+IF(CF1280="D",1,0)+IF(CL1280="D",1,0)+IF(CM1280="D",1,0)+IF(CQ1280="D",1,0)+IF(CR1280="D",1,0)+IF(CS1280="D",1,0)+IF(CW1280="D",1,0)+IF(CX1280="D",1,0)+IF(DD1280="D",1,0)+IF(DE1280="D",1,0)+IF(DJ1280="D",1,0)+IF(DK1280="D",1,0)+IF(DO1280="D",1,0)+IF(DP1280="D",1,0)+IF(DQ1280="D",1,0)+IF(DW1280="D",1,0)+IF(DZ1280="D",1,0)+IF(EH1280="D",1,0)</f>
        <v/>
      </c>
      <c r="AY1280">
        <f>IF(DJ1280&lt;&gt;"",1,0)+IF(DK1280&lt;&gt;"",1,0)+IF(DM1280&lt;&gt;"",1,0)+IF(DO1280&lt;&gt;"",1,0)+IF(DP1280&lt;&gt;"",1,0)+IF(DQ1280&lt;&gt;"",1,0)+IF(DS1280&lt;&gt;"",1,0)+IF(DT1280&lt;&gt;"",1,0)+IF(DV1280&lt;&gt;"",1,0)+IF(DW1280&lt;&gt;"",1,0)+IF(DX1280&lt;&gt;"",1,0)+IF(DY1280&lt;&gt;"",1,0)+IF(DZ1280&lt;&gt;"",1,0)+IF(EB1280&lt;&gt;"",1,0)+IF(EC1280&lt;&gt;"",1,0)+IF(ED1280&lt;&gt;"",1,0)+IF(EG1280&lt;&gt;"",1,0)+IF(EH1280&lt;&gt;"",1,0)</f>
        <v/>
      </c>
      <c r="AZ1280">
        <f>IF(EH1280&lt;&gt;"",1,0)</f>
        <v/>
      </c>
      <c r="BB1280" t="inlineStr">
        <is>
          <t>WARREN-WARD 4</t>
        </is>
      </c>
      <c r="DN1280" t="inlineStr">
        <is>
          <t>X</t>
        </is>
      </c>
    </row>
    <row r="1281">
      <c r="A1281" t="inlineStr">
        <is>
          <t>OH0022708237</t>
        </is>
      </c>
      <c r="B1281" t="n">
        <v>78</v>
      </c>
      <c r="C1281" t="n">
        <v>400672</v>
      </c>
      <c r="D1281" t="inlineStr">
        <is>
          <t>HARRIS</t>
        </is>
      </c>
      <c r="E1281" t="inlineStr">
        <is>
          <t>PATRICK</t>
        </is>
      </c>
      <c r="F1281">
        <f>CONCATENATE(D1281," ",LEFT(H1281,4),"T=",AU1281,"D=",AV1281,"R=",AW1281,"M=",AX1281,"L=",AY1281,"B=",AZ1281)</f>
        <v/>
      </c>
      <c r="G1281" t="inlineStr">
        <is>
          <t>A</t>
        </is>
      </c>
      <c r="I1281" t="inlineStr">
        <is>
          <t>1965-12-10</t>
        </is>
      </c>
      <c r="J1281" t="inlineStr">
        <is>
          <t>2023-12-15</t>
        </is>
      </c>
      <c r="K1281" t="inlineStr">
        <is>
          <t>ACTIVE</t>
        </is>
      </c>
      <c r="M1281" t="inlineStr">
        <is>
          <t>644 OLIVE AVE NE</t>
        </is>
      </c>
      <c r="N1281">
        <f>RIGHT(M1281,LEN(M1281)-FIND(" ",M1281))</f>
        <v/>
      </c>
      <c r="P1281" t="inlineStr">
        <is>
          <t>WARREN</t>
        </is>
      </c>
      <c r="Q1281" t="inlineStr">
        <is>
          <t>OH</t>
        </is>
      </c>
      <c r="R1281" t="n">
        <v>44483</v>
      </c>
      <c r="AD1281" t="inlineStr">
        <is>
          <t>TRUMBULL CAREER &amp; TECH CENTER</t>
        </is>
      </c>
      <c r="AE1281" t="inlineStr">
        <is>
          <t>WARREN CITY</t>
        </is>
      </c>
      <c r="AF1281" t="inlineStr">
        <is>
          <t>WARREN CITY SD</t>
        </is>
      </c>
      <c r="AH1281" t="n">
        <v>14</v>
      </c>
      <c r="AI1281" t="n">
        <v>11</v>
      </c>
      <c r="AN1281" t="inlineStr">
        <is>
          <t>WARREN</t>
        </is>
      </c>
      <c r="AO1281" t="inlineStr">
        <is>
          <t>WARREN CITY 4D</t>
        </is>
      </c>
      <c r="AP1281" t="inlineStr">
        <is>
          <t>78-P-ADL</t>
        </is>
      </c>
      <c r="AQ1281" t="n">
        <v>9</v>
      </c>
      <c r="AR1281" t="n">
        <v>64</v>
      </c>
      <c r="AS1281" t="n">
        <v>32</v>
      </c>
      <c r="AU1281">
        <f>COUNTA($BA$1281:$EH$1281)</f>
        <v/>
      </c>
      <c r="AV1281">
        <f>COUNTIF($BA$1281:$EH$1281,"D")</f>
        <v/>
      </c>
      <c r="AW1281">
        <f>COUNTIF($BA$1281:$EH$1281,"R")</f>
        <v/>
      </c>
      <c r="AX1281">
        <f>IF(BN1281="D",1,0)+IF(BO1281="D",1,0)+IF(BT1281="D",1,0)+IF(BU1281="D",1,0)+IF(BW1281="D",1,0)+IF(CC1281="D",1,0)+IF(CD1281="D",1,0)+IF(CE1281="D",1,0)+IF(CF1281="D",1,0)+IF(CL1281="D",1,0)+IF(CM1281="D",1,0)+IF(CQ1281="D",1,0)+IF(CR1281="D",1,0)+IF(CS1281="D",1,0)+IF(CW1281="D",1,0)+IF(CX1281="D",1,0)+IF(DD1281="D",1,0)+IF(DE1281="D",1,0)+IF(DJ1281="D",1,0)+IF(DK1281="D",1,0)+IF(DO1281="D",1,0)+IF(DP1281="D",1,0)+IF(DQ1281="D",1,0)+IF(DW1281="D",1,0)+IF(DZ1281="D",1,0)+IF(EH1281="D",1,0)</f>
        <v/>
      </c>
      <c r="AY1281">
        <f>IF(DJ1281&lt;&gt;"",1,0)+IF(DK1281&lt;&gt;"",1,0)+IF(DM1281&lt;&gt;"",1,0)+IF(DO1281&lt;&gt;"",1,0)+IF(DP1281&lt;&gt;"",1,0)+IF(DQ1281&lt;&gt;"",1,0)+IF(DS1281&lt;&gt;"",1,0)+IF(DT1281&lt;&gt;"",1,0)+IF(DV1281&lt;&gt;"",1,0)+IF(DW1281&lt;&gt;"",1,0)+IF(DX1281&lt;&gt;"",1,0)+IF(DY1281&lt;&gt;"",1,0)+IF(DZ1281&lt;&gt;"",1,0)+IF(EB1281&lt;&gt;"",1,0)+IF(EC1281&lt;&gt;"",1,0)+IF(ED1281&lt;&gt;"",1,0)+IF(EG1281&lt;&gt;"",1,0)+IF(EH1281&lt;&gt;"",1,0)</f>
        <v/>
      </c>
      <c r="AZ1281">
        <f>IF(EH1281&lt;&gt;"",1,0)</f>
        <v/>
      </c>
      <c r="BB1281" t="inlineStr">
        <is>
          <t>WARREN-WARD 4</t>
        </is>
      </c>
      <c r="CA1281" t="inlineStr">
        <is>
          <t>X</t>
        </is>
      </c>
      <c r="CP1281" t="inlineStr">
        <is>
          <t>X</t>
        </is>
      </c>
      <c r="CY1281" t="inlineStr">
        <is>
          <t>X</t>
        </is>
      </c>
      <c r="CZ1281" t="inlineStr">
        <is>
          <t>D</t>
        </is>
      </c>
      <c r="DC1281" t="inlineStr">
        <is>
          <t>X</t>
        </is>
      </c>
      <c r="DI1281" t="inlineStr">
        <is>
          <t>X</t>
        </is>
      </c>
      <c r="DN1281" t="inlineStr">
        <is>
          <t>X</t>
        </is>
      </c>
      <c r="DU1281" t="inlineStr">
        <is>
          <t>X</t>
        </is>
      </c>
      <c r="EA1281" t="inlineStr">
        <is>
          <t>X</t>
        </is>
      </c>
      <c r="EF1281" t="inlineStr">
        <is>
          <t>X</t>
        </is>
      </c>
    </row>
    <row r="1282">
      <c r="A1282" t="inlineStr">
        <is>
          <t>OH0018594137</t>
        </is>
      </c>
      <c r="B1282" t="n">
        <v>78</v>
      </c>
      <c r="C1282" t="n">
        <v>105822</v>
      </c>
      <c r="D1282" t="inlineStr">
        <is>
          <t>COHOL</t>
        </is>
      </c>
      <c r="E1282" t="inlineStr">
        <is>
          <t>DENISE</t>
        </is>
      </c>
      <c r="F1282">
        <f>CONCATENATE(D1282," ",LEFT(H1282,4),"T=",AU1282,"D=",AV1282,"R=",AW1282,"M=",AX1282,"L=",AY1282,"B=",AZ1282)</f>
        <v/>
      </c>
      <c r="G1282" t="inlineStr">
        <is>
          <t>L</t>
        </is>
      </c>
      <c r="I1282" t="inlineStr">
        <is>
          <t>1951-09-30</t>
        </is>
      </c>
      <c r="J1282" t="inlineStr">
        <is>
          <t>1979-03-22</t>
        </is>
      </c>
      <c r="K1282" t="inlineStr">
        <is>
          <t>ACTIVE</t>
        </is>
      </c>
      <c r="M1282" t="inlineStr">
        <is>
          <t>160 E MARKET ST</t>
        </is>
      </c>
      <c r="N1282">
        <f>RIGHT(M1282,LEN(M1282)-FIND(" ",M1282))</f>
        <v/>
      </c>
      <c r="O1282" t="inlineStr">
        <is>
          <t>STE 250</t>
        </is>
      </c>
      <c r="P1282" t="inlineStr">
        <is>
          <t>WARREN</t>
        </is>
      </c>
      <c r="Q1282" t="inlineStr">
        <is>
          <t>OH</t>
        </is>
      </c>
      <c r="R1282" t="n">
        <v>44481</v>
      </c>
      <c r="AD1282" t="inlineStr">
        <is>
          <t>TRUMBULL CAREER &amp; TECH CENTER</t>
        </is>
      </c>
      <c r="AE1282" t="inlineStr">
        <is>
          <t>WARREN CITY</t>
        </is>
      </c>
      <c r="AF1282" t="inlineStr">
        <is>
          <t>WARREN CITY SD</t>
        </is>
      </c>
      <c r="AH1282" t="n">
        <v>14</v>
      </c>
      <c r="AI1282" t="n">
        <v>11</v>
      </c>
      <c r="AN1282" t="inlineStr">
        <is>
          <t>WARREN</t>
        </is>
      </c>
      <c r="AO1282" t="inlineStr">
        <is>
          <t>WARREN CITY 4D</t>
        </is>
      </c>
      <c r="AP1282" t="inlineStr">
        <is>
          <t>78-P-ADL</t>
        </is>
      </c>
      <c r="AQ1282" t="n">
        <v>9</v>
      </c>
      <c r="AR1282" t="n">
        <v>64</v>
      </c>
      <c r="AS1282" t="n">
        <v>32</v>
      </c>
      <c r="AU1282">
        <f>COUNTA($BA$1282:$EH$1282)</f>
        <v/>
      </c>
      <c r="AV1282">
        <f>COUNTIF($BA$1282:$EH$1282,"D")</f>
        <v/>
      </c>
      <c r="AW1282">
        <f>COUNTIF($BA$1282:$EH$1282,"R")</f>
        <v/>
      </c>
      <c r="AX1282">
        <f>IF(BN1282="D",1,0)+IF(BO1282="D",1,0)+IF(BT1282="D",1,0)+IF(BU1282="D",1,0)+IF(BW1282="D",1,0)+IF(CC1282="D",1,0)+IF(CD1282="D",1,0)+IF(CE1282="D",1,0)+IF(CF1282="D",1,0)+IF(CL1282="D",1,0)+IF(CM1282="D",1,0)+IF(CQ1282="D",1,0)+IF(CR1282="D",1,0)+IF(CS1282="D",1,0)+IF(CW1282="D",1,0)+IF(CX1282="D",1,0)+IF(DD1282="D",1,0)+IF(DE1282="D",1,0)+IF(DJ1282="D",1,0)+IF(DK1282="D",1,0)+IF(DO1282="D",1,0)+IF(DP1282="D",1,0)+IF(DQ1282="D",1,0)+IF(DW1282="D",1,0)+IF(DZ1282="D",1,0)+IF(EH1282="D",1,0)</f>
        <v/>
      </c>
      <c r="AY1282">
        <f>IF(DJ1282&lt;&gt;"",1,0)+IF(DK1282&lt;&gt;"",1,0)+IF(DM1282&lt;&gt;"",1,0)+IF(DO1282&lt;&gt;"",1,0)+IF(DP1282&lt;&gt;"",1,0)+IF(DQ1282&lt;&gt;"",1,0)+IF(DS1282&lt;&gt;"",1,0)+IF(DT1282&lt;&gt;"",1,0)+IF(DV1282&lt;&gt;"",1,0)+IF(DW1282&lt;&gt;"",1,0)+IF(DX1282&lt;&gt;"",1,0)+IF(DY1282&lt;&gt;"",1,0)+IF(DZ1282&lt;&gt;"",1,0)+IF(EB1282&lt;&gt;"",1,0)+IF(EC1282&lt;&gt;"",1,0)+IF(ED1282&lt;&gt;"",1,0)+IF(EG1282&lt;&gt;"",1,0)+IF(EH1282&lt;&gt;"",1,0)</f>
        <v/>
      </c>
      <c r="AZ1282">
        <f>IF(EH1282&lt;&gt;"",1,0)</f>
        <v/>
      </c>
      <c r="BB1282" t="inlineStr">
        <is>
          <t>WARREN-WARD 4</t>
        </is>
      </c>
      <c r="BD1282" t="inlineStr">
        <is>
          <t>X</t>
        </is>
      </c>
      <c r="BF1282" t="inlineStr">
        <is>
          <t>X</t>
        </is>
      </c>
      <c r="BH1282" t="inlineStr">
        <is>
          <t>X</t>
        </is>
      </c>
      <c r="BI1282" t="inlineStr">
        <is>
          <t>X</t>
        </is>
      </c>
      <c r="BK1282" t="inlineStr">
        <is>
          <t>X</t>
        </is>
      </c>
      <c r="BL1282" t="inlineStr">
        <is>
          <t>X</t>
        </is>
      </c>
      <c r="BP1282" t="inlineStr">
        <is>
          <t>X</t>
        </is>
      </c>
      <c r="BS1282" t="inlineStr">
        <is>
          <t>X</t>
        </is>
      </c>
      <c r="BV1282" t="inlineStr">
        <is>
          <t>X</t>
        </is>
      </c>
      <c r="BY1282" t="inlineStr">
        <is>
          <t>D</t>
        </is>
      </c>
      <c r="CA1282" t="inlineStr">
        <is>
          <t>X</t>
        </is>
      </c>
      <c r="CC1282" t="inlineStr">
        <is>
          <t>X</t>
        </is>
      </c>
      <c r="CG1282" t="inlineStr">
        <is>
          <t>X</t>
        </is>
      </c>
      <c r="CH1282" t="inlineStr">
        <is>
          <t>D</t>
        </is>
      </c>
      <c r="CK1282" t="inlineStr">
        <is>
          <t>X</t>
        </is>
      </c>
      <c r="CL1282" t="inlineStr">
        <is>
          <t>D</t>
        </is>
      </c>
      <c r="CN1282" t="inlineStr">
        <is>
          <t>X</t>
        </is>
      </c>
      <c r="CO1282" t="inlineStr">
        <is>
          <t>D</t>
        </is>
      </c>
      <c r="CP1282" t="inlineStr">
        <is>
          <t>X</t>
        </is>
      </c>
      <c r="CT1282" t="inlineStr">
        <is>
          <t>X</t>
        </is>
      </c>
      <c r="CU1282" t="inlineStr">
        <is>
          <t>D</t>
        </is>
      </c>
      <c r="CV1282" t="inlineStr">
        <is>
          <t>X</t>
        </is>
      </c>
      <c r="CY1282" t="inlineStr">
        <is>
          <t>X</t>
        </is>
      </c>
      <c r="CZ1282" t="inlineStr">
        <is>
          <t>R</t>
        </is>
      </c>
      <c r="DC1282" t="inlineStr">
        <is>
          <t>X</t>
        </is>
      </c>
      <c r="DF1282" t="inlineStr">
        <is>
          <t>X</t>
        </is>
      </c>
      <c r="DI1282" t="inlineStr">
        <is>
          <t>X</t>
        </is>
      </c>
      <c r="DL1282" t="inlineStr">
        <is>
          <t>X</t>
        </is>
      </c>
      <c r="DN1282" t="inlineStr">
        <is>
          <t>X</t>
        </is>
      </c>
      <c r="DO1282" t="inlineStr">
        <is>
          <t>X</t>
        </is>
      </c>
    </row>
    <row r="1283">
      <c r="A1283" t="inlineStr">
        <is>
          <t>OH0027829854</t>
        </is>
      </c>
      <c r="B1283" t="n">
        <v>78</v>
      </c>
      <c r="C1283" t="n">
        <v>486616</v>
      </c>
      <c r="D1283" t="inlineStr">
        <is>
          <t>ARMSTRONG</t>
        </is>
      </c>
      <c r="E1283" t="inlineStr">
        <is>
          <t>MARIAH</t>
        </is>
      </c>
      <c r="F1283">
        <f>CONCATENATE(D1283," ",LEFT(H1283,4),"T=",AU1283,"D=",AV1283,"R=",AW1283,"M=",AX1283,"L=",AY1283,"B=",AZ1283)</f>
        <v/>
      </c>
      <c r="G1283" t="inlineStr">
        <is>
          <t>D</t>
        </is>
      </c>
      <c r="I1283" t="inlineStr">
        <is>
          <t>1995-02-15</t>
        </is>
      </c>
      <c r="J1283" t="inlineStr">
        <is>
          <t>2024-07-31</t>
        </is>
      </c>
      <c r="K1283" t="inlineStr">
        <is>
          <t>ACTIVE</t>
        </is>
      </c>
      <c r="M1283" t="inlineStr">
        <is>
          <t>160 HIGH ST NE</t>
        </is>
      </c>
      <c r="N1283">
        <f>RIGHT(M1283,LEN(M1283)-FIND(" ",M1283))</f>
        <v/>
      </c>
      <c r="P1283" t="inlineStr">
        <is>
          <t>WARREN</t>
        </is>
      </c>
      <c r="Q1283" t="inlineStr">
        <is>
          <t>OH</t>
        </is>
      </c>
      <c r="R1283" t="n">
        <v>44481</v>
      </c>
      <c r="V1283" t="inlineStr">
        <is>
          <t>GENERAL DELIVERY</t>
        </is>
      </c>
      <c r="X1283" t="inlineStr">
        <is>
          <t>WARREN</t>
        </is>
      </c>
      <c r="Y1283" t="inlineStr">
        <is>
          <t>OH</t>
        </is>
      </c>
      <c r="Z1283" t="n">
        <v>44481</v>
      </c>
      <c r="AD1283" t="inlineStr">
        <is>
          <t>TRUMBULL CAREER &amp; TECH CENTER</t>
        </is>
      </c>
      <c r="AE1283" t="inlineStr">
        <is>
          <t>WARREN CITY</t>
        </is>
      </c>
      <c r="AF1283" t="inlineStr">
        <is>
          <t>WARREN CITY SD</t>
        </is>
      </c>
      <c r="AH1283" t="n">
        <v>14</v>
      </c>
      <c r="AI1283" t="n">
        <v>11</v>
      </c>
      <c r="AN1283" t="inlineStr">
        <is>
          <t>WARREN</t>
        </is>
      </c>
      <c r="AO1283" t="inlineStr">
        <is>
          <t>WARREN CITY 4D</t>
        </is>
      </c>
      <c r="AP1283" t="inlineStr">
        <is>
          <t>78-P-ADL</t>
        </is>
      </c>
      <c r="AQ1283" t="n">
        <v>9</v>
      </c>
      <c r="AR1283" t="n">
        <v>64</v>
      </c>
      <c r="AS1283" t="n">
        <v>32</v>
      </c>
      <c r="AU1283">
        <f>COUNTA($BA$1283:$EH$1283)</f>
        <v/>
      </c>
      <c r="AV1283">
        <f>COUNTIF($BA$1283:$EH$1283,"D")</f>
        <v/>
      </c>
      <c r="AW1283">
        <f>COUNTIF($BA$1283:$EH$1283,"R")</f>
        <v/>
      </c>
      <c r="AX1283">
        <f>IF(BN1283="D",1,0)+IF(BO1283="D",1,0)+IF(BT1283="D",1,0)+IF(BU1283="D",1,0)+IF(BW1283="D",1,0)+IF(CC1283="D",1,0)+IF(CD1283="D",1,0)+IF(CE1283="D",1,0)+IF(CF1283="D",1,0)+IF(CL1283="D",1,0)+IF(CM1283="D",1,0)+IF(CQ1283="D",1,0)+IF(CR1283="D",1,0)+IF(CS1283="D",1,0)+IF(CW1283="D",1,0)+IF(CX1283="D",1,0)+IF(DD1283="D",1,0)+IF(DE1283="D",1,0)+IF(DJ1283="D",1,0)+IF(DK1283="D",1,0)+IF(DO1283="D",1,0)+IF(DP1283="D",1,0)+IF(DQ1283="D",1,0)+IF(DW1283="D",1,0)+IF(DZ1283="D",1,0)+IF(EH1283="D",1,0)</f>
        <v/>
      </c>
      <c r="AY1283">
        <f>IF(DJ1283&lt;&gt;"",1,0)+IF(DK1283&lt;&gt;"",1,0)+IF(DM1283&lt;&gt;"",1,0)+IF(DO1283&lt;&gt;"",1,0)+IF(DP1283&lt;&gt;"",1,0)+IF(DQ1283&lt;&gt;"",1,0)+IF(DS1283&lt;&gt;"",1,0)+IF(DT1283&lt;&gt;"",1,0)+IF(DV1283&lt;&gt;"",1,0)+IF(DW1283&lt;&gt;"",1,0)+IF(DX1283&lt;&gt;"",1,0)+IF(DY1283&lt;&gt;"",1,0)+IF(DZ1283&lt;&gt;"",1,0)+IF(EB1283&lt;&gt;"",1,0)+IF(EC1283&lt;&gt;"",1,0)+IF(ED1283&lt;&gt;"",1,0)+IF(EG1283&lt;&gt;"",1,0)+IF(EH1283&lt;&gt;"",1,0)</f>
        <v/>
      </c>
      <c r="AZ1283">
        <f>IF(EH1283&lt;&gt;"",1,0)</f>
        <v/>
      </c>
      <c r="BB1283" t="inlineStr">
        <is>
          <t>WARREN-WARD 4</t>
        </is>
      </c>
      <c r="CY1283" t="inlineStr">
        <is>
          <t>X</t>
        </is>
      </c>
      <c r="DC1283" t="inlineStr">
        <is>
          <t>X</t>
        </is>
      </c>
      <c r="DI1283" t="inlineStr">
        <is>
          <t>X</t>
        </is>
      </c>
      <c r="DN1283" t="inlineStr">
        <is>
          <t>X</t>
        </is>
      </c>
      <c r="EA1283" t="inlineStr">
        <is>
          <t>X</t>
        </is>
      </c>
      <c r="EF1283" t="inlineStr">
        <is>
          <t>X</t>
        </is>
      </c>
    </row>
    <row r="1284">
      <c r="A1284" t="inlineStr">
        <is>
          <t>OH0021175489</t>
        </is>
      </c>
      <c r="B1284" t="n">
        <v>78</v>
      </c>
      <c r="C1284" t="n">
        <v>376478</v>
      </c>
      <c r="D1284" t="inlineStr">
        <is>
          <t>GALGOZY</t>
        </is>
      </c>
      <c r="E1284" t="inlineStr">
        <is>
          <t>AMBER</t>
        </is>
      </c>
      <c r="F1284">
        <f>CONCATENATE(D1284," ",LEFT(H1284,4),"T=",AU1284,"D=",AV1284,"R=",AW1284,"M=",AX1284,"L=",AY1284,"B=",AZ1284)</f>
        <v/>
      </c>
      <c r="G1284" t="inlineStr">
        <is>
          <t>E</t>
        </is>
      </c>
      <c r="I1284" t="inlineStr">
        <is>
          <t>1992-05-18</t>
        </is>
      </c>
      <c r="J1284" t="inlineStr">
        <is>
          <t>2020-10-19</t>
        </is>
      </c>
      <c r="K1284" t="inlineStr">
        <is>
          <t>CONFIRMATION</t>
        </is>
      </c>
      <c r="M1284" t="inlineStr">
        <is>
          <t>367 HIGH ST NE</t>
        </is>
      </c>
      <c r="N1284">
        <f>RIGHT(M1284,LEN(M1284)-FIND(" ",M1284))</f>
        <v/>
      </c>
      <c r="P1284" t="inlineStr">
        <is>
          <t>WARREN</t>
        </is>
      </c>
      <c r="Q1284" t="inlineStr">
        <is>
          <t>OH</t>
        </is>
      </c>
      <c r="R1284" t="n">
        <v>44481</v>
      </c>
      <c r="AD1284" t="inlineStr">
        <is>
          <t>TRUMBULL CAREER &amp; TECH CENTER</t>
        </is>
      </c>
      <c r="AE1284" t="inlineStr">
        <is>
          <t>WARREN CITY</t>
        </is>
      </c>
      <c r="AF1284" t="inlineStr">
        <is>
          <t>WARREN CITY SD</t>
        </is>
      </c>
      <c r="AH1284" t="n">
        <v>14</v>
      </c>
      <c r="AI1284" t="n">
        <v>11</v>
      </c>
      <c r="AN1284" t="inlineStr">
        <is>
          <t>WARREN</t>
        </is>
      </c>
      <c r="AO1284" t="inlineStr">
        <is>
          <t>WARREN CITY 4D</t>
        </is>
      </c>
      <c r="AP1284" t="inlineStr">
        <is>
          <t>78-P-ADL</t>
        </is>
      </c>
      <c r="AQ1284" t="n">
        <v>9</v>
      </c>
      <c r="AR1284" t="n">
        <v>64</v>
      </c>
      <c r="AS1284" t="n">
        <v>32</v>
      </c>
      <c r="AU1284">
        <f>COUNTA($BA$1284:$EH$1284)</f>
        <v/>
      </c>
      <c r="AV1284">
        <f>COUNTIF($BA$1284:$EH$1284,"D")</f>
        <v/>
      </c>
      <c r="AW1284">
        <f>COUNTIF($BA$1284:$EH$1284,"R")</f>
        <v/>
      </c>
      <c r="AX1284">
        <f>IF(BN1284="D",1,0)+IF(BO1284="D",1,0)+IF(BT1284="D",1,0)+IF(BU1284="D",1,0)+IF(BW1284="D",1,0)+IF(CC1284="D",1,0)+IF(CD1284="D",1,0)+IF(CE1284="D",1,0)+IF(CF1284="D",1,0)+IF(CL1284="D",1,0)+IF(CM1284="D",1,0)+IF(CQ1284="D",1,0)+IF(CR1284="D",1,0)+IF(CS1284="D",1,0)+IF(CW1284="D",1,0)+IF(CX1284="D",1,0)+IF(DD1284="D",1,0)+IF(DE1284="D",1,0)+IF(DJ1284="D",1,0)+IF(DK1284="D",1,0)+IF(DO1284="D",1,0)+IF(DP1284="D",1,0)+IF(DQ1284="D",1,0)+IF(DW1284="D",1,0)+IF(DZ1284="D",1,0)+IF(EH1284="D",1,0)</f>
        <v/>
      </c>
      <c r="AY1284">
        <f>IF(DJ1284&lt;&gt;"",1,0)+IF(DK1284&lt;&gt;"",1,0)+IF(DM1284&lt;&gt;"",1,0)+IF(DO1284&lt;&gt;"",1,0)+IF(DP1284&lt;&gt;"",1,0)+IF(DQ1284&lt;&gt;"",1,0)+IF(DS1284&lt;&gt;"",1,0)+IF(DT1284&lt;&gt;"",1,0)+IF(DV1284&lt;&gt;"",1,0)+IF(DW1284&lt;&gt;"",1,0)+IF(DX1284&lt;&gt;"",1,0)+IF(DY1284&lt;&gt;"",1,0)+IF(DZ1284&lt;&gt;"",1,0)+IF(EB1284&lt;&gt;"",1,0)+IF(EC1284&lt;&gt;"",1,0)+IF(ED1284&lt;&gt;"",1,0)+IF(EG1284&lt;&gt;"",1,0)+IF(EH1284&lt;&gt;"",1,0)</f>
        <v/>
      </c>
      <c r="AZ1284">
        <f>IF(EH1284&lt;&gt;"",1,0)</f>
        <v/>
      </c>
      <c r="BB1284" t="inlineStr">
        <is>
          <t>WARREN-WARD 4</t>
        </is>
      </c>
      <c r="CK1284" t="inlineStr">
        <is>
          <t>X</t>
        </is>
      </c>
      <c r="CN1284" t="inlineStr">
        <is>
          <t>X</t>
        </is>
      </c>
    </row>
    <row r="1285">
      <c r="A1285" t="inlineStr">
        <is>
          <t>OH0022338147</t>
        </is>
      </c>
      <c r="B1285" t="n">
        <v>78</v>
      </c>
      <c r="C1285" t="n">
        <v>394978</v>
      </c>
      <c r="D1285" t="inlineStr">
        <is>
          <t>COTTRILL</t>
        </is>
      </c>
      <c r="E1285" t="inlineStr">
        <is>
          <t>MERANDA</t>
        </is>
      </c>
      <c r="F1285">
        <f>CONCATENATE(D1285," ",LEFT(H1285,4),"T=",AU1285,"D=",AV1285,"R=",AW1285,"M=",AX1285,"L=",AY1285,"B=",AZ1285)</f>
        <v/>
      </c>
      <c r="G1285" t="inlineStr">
        <is>
          <t>LYNN</t>
        </is>
      </c>
      <c r="I1285" t="inlineStr">
        <is>
          <t>1995-01-04</t>
        </is>
      </c>
      <c r="J1285" t="inlineStr">
        <is>
          <t>2019-09-25</t>
        </is>
      </c>
      <c r="K1285" t="inlineStr">
        <is>
          <t>CONFIRMATION</t>
        </is>
      </c>
      <c r="M1285" t="inlineStr">
        <is>
          <t>465 ORCHARD PL NE</t>
        </is>
      </c>
      <c r="N1285">
        <f>RIGHT(M1285,LEN(M1285)-FIND(" ",M1285))</f>
        <v/>
      </c>
      <c r="P1285" t="inlineStr">
        <is>
          <t>WARREN</t>
        </is>
      </c>
      <c r="Q1285" t="inlineStr">
        <is>
          <t>OH</t>
        </is>
      </c>
      <c r="R1285" t="n">
        <v>44483</v>
      </c>
      <c r="AD1285" t="inlineStr">
        <is>
          <t>TRUMBULL CAREER &amp; TECH CENTER</t>
        </is>
      </c>
      <c r="AE1285" t="inlineStr">
        <is>
          <t>WARREN CITY</t>
        </is>
      </c>
      <c r="AF1285" t="inlineStr">
        <is>
          <t>WARREN CITY SD</t>
        </is>
      </c>
      <c r="AH1285" t="n">
        <v>14</v>
      </c>
      <c r="AI1285" t="n">
        <v>11</v>
      </c>
      <c r="AN1285" t="inlineStr">
        <is>
          <t>WARREN</t>
        </is>
      </c>
      <c r="AO1285" t="inlineStr">
        <is>
          <t>WARREN CITY 4D</t>
        </is>
      </c>
      <c r="AP1285" t="inlineStr">
        <is>
          <t>78-P-ADL</t>
        </is>
      </c>
      <c r="AQ1285" t="n">
        <v>9</v>
      </c>
      <c r="AR1285" t="n">
        <v>64</v>
      </c>
      <c r="AS1285" t="n">
        <v>32</v>
      </c>
      <c r="AU1285">
        <f>COUNTA($BA$1285:$EH$1285)</f>
        <v/>
      </c>
      <c r="AV1285">
        <f>COUNTIF($BA$1285:$EH$1285,"D")</f>
        <v/>
      </c>
      <c r="AW1285">
        <f>COUNTIF($BA$1285:$EH$1285,"R")</f>
        <v/>
      </c>
      <c r="AX1285">
        <f>IF(BN1285="D",1,0)+IF(BO1285="D",1,0)+IF(BT1285="D",1,0)+IF(BU1285="D",1,0)+IF(BW1285="D",1,0)+IF(CC1285="D",1,0)+IF(CD1285="D",1,0)+IF(CE1285="D",1,0)+IF(CF1285="D",1,0)+IF(CL1285="D",1,0)+IF(CM1285="D",1,0)+IF(CQ1285="D",1,0)+IF(CR1285="D",1,0)+IF(CS1285="D",1,0)+IF(CW1285="D",1,0)+IF(CX1285="D",1,0)+IF(DD1285="D",1,0)+IF(DE1285="D",1,0)+IF(DJ1285="D",1,0)+IF(DK1285="D",1,0)+IF(DO1285="D",1,0)+IF(DP1285="D",1,0)+IF(DQ1285="D",1,0)+IF(DW1285="D",1,0)+IF(DZ1285="D",1,0)+IF(EH1285="D",1,0)</f>
        <v/>
      </c>
      <c r="AY1285">
        <f>IF(DJ1285&lt;&gt;"",1,0)+IF(DK1285&lt;&gt;"",1,0)+IF(DM1285&lt;&gt;"",1,0)+IF(DO1285&lt;&gt;"",1,0)+IF(DP1285&lt;&gt;"",1,0)+IF(DQ1285&lt;&gt;"",1,0)+IF(DS1285&lt;&gt;"",1,0)+IF(DT1285&lt;&gt;"",1,0)+IF(DV1285&lt;&gt;"",1,0)+IF(DW1285&lt;&gt;"",1,0)+IF(DX1285&lt;&gt;"",1,0)+IF(DY1285&lt;&gt;"",1,0)+IF(DZ1285&lt;&gt;"",1,0)+IF(EB1285&lt;&gt;"",1,0)+IF(EC1285&lt;&gt;"",1,0)+IF(ED1285&lt;&gt;"",1,0)+IF(EG1285&lt;&gt;"",1,0)+IF(EH1285&lt;&gt;"",1,0)</f>
        <v/>
      </c>
      <c r="AZ1285">
        <f>IF(EH1285&lt;&gt;"",1,0)</f>
        <v/>
      </c>
      <c r="BB1285" t="inlineStr">
        <is>
          <t>WARREN-WARD 4</t>
        </is>
      </c>
    </row>
    <row r="1286">
      <c r="A1286" t="inlineStr">
        <is>
          <t>OH0024413819</t>
        </is>
      </c>
      <c r="B1286" t="n">
        <v>78</v>
      </c>
      <c r="C1286" t="n">
        <v>428128</v>
      </c>
      <c r="D1286" t="inlineStr">
        <is>
          <t>EVANS</t>
        </is>
      </c>
      <c r="E1286" t="inlineStr">
        <is>
          <t>JUNE</t>
        </is>
      </c>
      <c r="F1286">
        <f>CONCATENATE(D1286," ",LEFT(H1286,4),"T=",AU1286,"D=",AV1286,"R=",AW1286,"M=",AX1286,"L=",AY1286,"B=",AZ1286)</f>
        <v/>
      </c>
      <c r="G1286" t="inlineStr">
        <is>
          <t>D</t>
        </is>
      </c>
      <c r="I1286" t="inlineStr">
        <is>
          <t>1944-01-17</t>
        </is>
      </c>
      <c r="J1286" t="inlineStr">
        <is>
          <t>2024-07-21</t>
        </is>
      </c>
      <c r="K1286" t="inlineStr">
        <is>
          <t>ACTIVE</t>
        </is>
      </c>
      <c r="M1286" t="inlineStr">
        <is>
          <t>454 OLIVE AVE NE</t>
        </is>
      </c>
      <c r="N1286">
        <f>RIGHT(M1286,LEN(M1286)-FIND(" ",M1286))</f>
        <v/>
      </c>
      <c r="O1286" t="inlineStr">
        <is>
          <t>APT 1</t>
        </is>
      </c>
      <c r="P1286" t="inlineStr">
        <is>
          <t>WARREN</t>
        </is>
      </c>
      <c r="Q1286" t="inlineStr">
        <is>
          <t>OH</t>
        </is>
      </c>
      <c r="R1286" t="n">
        <v>44483</v>
      </c>
      <c r="AD1286" t="inlineStr">
        <is>
          <t>TRUMBULL CAREER &amp; TECH CENTER</t>
        </is>
      </c>
      <c r="AE1286" t="inlineStr">
        <is>
          <t>WARREN CITY</t>
        </is>
      </c>
      <c r="AF1286" t="inlineStr">
        <is>
          <t>WARREN CITY SD</t>
        </is>
      </c>
      <c r="AH1286" t="n">
        <v>14</v>
      </c>
      <c r="AI1286" t="n">
        <v>11</v>
      </c>
      <c r="AN1286" t="inlineStr">
        <is>
          <t>WARREN</t>
        </is>
      </c>
      <c r="AO1286" t="inlineStr">
        <is>
          <t>WARREN CITY 4D</t>
        </is>
      </c>
      <c r="AP1286" t="inlineStr">
        <is>
          <t>78-P-ADL</t>
        </is>
      </c>
      <c r="AQ1286" t="n">
        <v>9</v>
      </c>
      <c r="AR1286" t="n">
        <v>64</v>
      </c>
      <c r="AS1286" t="n">
        <v>32</v>
      </c>
      <c r="AU1286">
        <f>COUNTA($BA$1286:$EH$1286)</f>
        <v/>
      </c>
      <c r="AV1286">
        <f>COUNTIF($BA$1286:$EH$1286,"D")</f>
        <v/>
      </c>
      <c r="AW1286">
        <f>COUNTIF($BA$1286:$EH$1286,"R")</f>
        <v/>
      </c>
      <c r="AX1286">
        <f>IF(BN1286="D",1,0)+IF(BO1286="D",1,0)+IF(BT1286="D",1,0)+IF(BU1286="D",1,0)+IF(BW1286="D",1,0)+IF(CC1286="D",1,0)+IF(CD1286="D",1,0)+IF(CE1286="D",1,0)+IF(CF1286="D",1,0)+IF(CL1286="D",1,0)+IF(CM1286="D",1,0)+IF(CQ1286="D",1,0)+IF(CR1286="D",1,0)+IF(CS1286="D",1,0)+IF(CW1286="D",1,0)+IF(CX1286="D",1,0)+IF(DD1286="D",1,0)+IF(DE1286="D",1,0)+IF(DJ1286="D",1,0)+IF(DK1286="D",1,0)+IF(DO1286="D",1,0)+IF(DP1286="D",1,0)+IF(DQ1286="D",1,0)+IF(DW1286="D",1,0)+IF(DZ1286="D",1,0)+IF(EH1286="D",1,0)</f>
        <v/>
      </c>
      <c r="AY1286">
        <f>IF(DJ1286&lt;&gt;"",1,0)+IF(DK1286&lt;&gt;"",1,0)+IF(DM1286&lt;&gt;"",1,0)+IF(DO1286&lt;&gt;"",1,0)+IF(DP1286&lt;&gt;"",1,0)+IF(DQ1286&lt;&gt;"",1,0)+IF(DS1286&lt;&gt;"",1,0)+IF(DT1286&lt;&gt;"",1,0)+IF(DV1286&lt;&gt;"",1,0)+IF(DW1286&lt;&gt;"",1,0)+IF(DX1286&lt;&gt;"",1,0)+IF(DY1286&lt;&gt;"",1,0)+IF(DZ1286&lt;&gt;"",1,0)+IF(EB1286&lt;&gt;"",1,0)+IF(EC1286&lt;&gt;"",1,0)+IF(ED1286&lt;&gt;"",1,0)+IF(EG1286&lt;&gt;"",1,0)+IF(EH1286&lt;&gt;"",1,0)</f>
        <v/>
      </c>
      <c r="AZ1286">
        <f>IF(EH1286&lt;&gt;"",1,0)</f>
        <v/>
      </c>
      <c r="BB1286" t="inlineStr">
        <is>
          <t>WARREN-WARD 4</t>
        </is>
      </c>
      <c r="BD1286" t="inlineStr">
        <is>
          <t>X</t>
        </is>
      </c>
      <c r="BF1286" t="inlineStr">
        <is>
          <t>X</t>
        </is>
      </c>
      <c r="BH1286" t="inlineStr">
        <is>
          <t>X</t>
        </is>
      </c>
      <c r="BK1286" t="inlineStr">
        <is>
          <t>D</t>
        </is>
      </c>
      <c r="BL1286" t="inlineStr">
        <is>
          <t>X</t>
        </is>
      </c>
      <c r="BP1286" t="inlineStr">
        <is>
          <t>X</t>
        </is>
      </c>
      <c r="BS1286" t="inlineStr">
        <is>
          <t>X</t>
        </is>
      </c>
      <c r="BY1286" t="inlineStr">
        <is>
          <t>D</t>
        </is>
      </c>
      <c r="CA1286" t="inlineStr">
        <is>
          <t>X</t>
        </is>
      </c>
      <c r="CG1286" t="inlineStr">
        <is>
          <t>X</t>
        </is>
      </c>
      <c r="CH1286" t="inlineStr">
        <is>
          <t>D</t>
        </is>
      </c>
      <c r="CK1286" t="inlineStr">
        <is>
          <t>X</t>
        </is>
      </c>
      <c r="CL1286" t="inlineStr">
        <is>
          <t>X</t>
        </is>
      </c>
      <c r="CN1286" t="inlineStr">
        <is>
          <t>X</t>
        </is>
      </c>
      <c r="CP1286" t="inlineStr">
        <is>
          <t>X</t>
        </is>
      </c>
      <c r="CT1286" t="inlineStr">
        <is>
          <t>X</t>
        </is>
      </c>
      <c r="CV1286" t="inlineStr">
        <is>
          <t>X</t>
        </is>
      </c>
      <c r="CZ1286" t="inlineStr">
        <is>
          <t>D</t>
        </is>
      </c>
      <c r="DF1286" t="inlineStr">
        <is>
          <t>X</t>
        </is>
      </c>
      <c r="DN1286" t="inlineStr">
        <is>
          <t>X</t>
        </is>
      </c>
    </row>
    <row r="1287">
      <c r="A1287" t="inlineStr">
        <is>
          <t>OH0025119242</t>
        </is>
      </c>
      <c r="B1287" t="n">
        <v>78</v>
      </c>
      <c r="C1287" t="n">
        <v>439929</v>
      </c>
      <c r="D1287" t="inlineStr">
        <is>
          <t>BUTLER</t>
        </is>
      </c>
      <c r="E1287" t="inlineStr">
        <is>
          <t>DEONTA</t>
        </is>
      </c>
      <c r="F1287">
        <f>CONCATENATE(D1287," ",LEFT(H1287,4),"T=",AU1287,"D=",AV1287,"R=",AW1287,"M=",AX1287,"L=",AY1287,"B=",AZ1287)</f>
        <v/>
      </c>
      <c r="G1287" t="inlineStr">
        <is>
          <t>DUANE SHAQUELLE</t>
        </is>
      </c>
      <c r="I1287" t="inlineStr">
        <is>
          <t>2001-03-11</t>
        </is>
      </c>
      <c r="J1287" t="inlineStr">
        <is>
          <t>2019-06-06</t>
        </is>
      </c>
      <c r="K1287" t="inlineStr">
        <is>
          <t>CONFIRMATION</t>
        </is>
      </c>
      <c r="M1287" t="inlineStr">
        <is>
          <t>136 WASHINGTON ST NE</t>
        </is>
      </c>
      <c r="N1287">
        <f>RIGHT(M1287,LEN(M1287)-FIND(" ",M1287))</f>
        <v/>
      </c>
      <c r="P1287" t="inlineStr">
        <is>
          <t>WARREN</t>
        </is>
      </c>
      <c r="Q1287" t="inlineStr">
        <is>
          <t>OH</t>
        </is>
      </c>
      <c r="R1287" t="n">
        <v>44483</v>
      </c>
      <c r="AD1287" t="inlineStr">
        <is>
          <t>TRUMBULL CAREER &amp; TECH CENTER</t>
        </is>
      </c>
      <c r="AE1287" t="inlineStr">
        <is>
          <t>WARREN CITY</t>
        </is>
      </c>
      <c r="AF1287" t="inlineStr">
        <is>
          <t>WARREN CITY SD</t>
        </is>
      </c>
      <c r="AH1287" t="n">
        <v>14</v>
      </c>
      <c r="AI1287" t="n">
        <v>11</v>
      </c>
      <c r="AN1287" t="inlineStr">
        <is>
          <t>WARREN</t>
        </is>
      </c>
      <c r="AO1287" t="inlineStr">
        <is>
          <t>WARREN CITY 4D</t>
        </is>
      </c>
      <c r="AP1287" t="inlineStr">
        <is>
          <t>78-P-ADL</t>
        </is>
      </c>
      <c r="AQ1287" t="n">
        <v>9</v>
      </c>
      <c r="AR1287" t="n">
        <v>64</v>
      </c>
      <c r="AS1287" t="n">
        <v>32</v>
      </c>
      <c r="AU1287">
        <f>COUNTA($BA$1287:$EH$1287)</f>
        <v/>
      </c>
      <c r="AV1287">
        <f>COUNTIF($BA$1287:$EH$1287,"D")</f>
        <v/>
      </c>
      <c r="AW1287">
        <f>COUNTIF($BA$1287:$EH$1287,"R")</f>
        <v/>
      </c>
      <c r="AX1287">
        <f>IF(BN1287="D",1,0)+IF(BO1287="D",1,0)+IF(BT1287="D",1,0)+IF(BU1287="D",1,0)+IF(BW1287="D",1,0)+IF(CC1287="D",1,0)+IF(CD1287="D",1,0)+IF(CE1287="D",1,0)+IF(CF1287="D",1,0)+IF(CL1287="D",1,0)+IF(CM1287="D",1,0)+IF(CQ1287="D",1,0)+IF(CR1287="D",1,0)+IF(CS1287="D",1,0)+IF(CW1287="D",1,0)+IF(CX1287="D",1,0)+IF(DD1287="D",1,0)+IF(DE1287="D",1,0)+IF(DJ1287="D",1,0)+IF(DK1287="D",1,0)+IF(DO1287="D",1,0)+IF(DP1287="D",1,0)+IF(DQ1287="D",1,0)+IF(DW1287="D",1,0)+IF(DZ1287="D",1,0)+IF(EH1287="D",1,0)</f>
        <v/>
      </c>
      <c r="AY1287">
        <f>IF(DJ1287&lt;&gt;"",1,0)+IF(DK1287&lt;&gt;"",1,0)+IF(DM1287&lt;&gt;"",1,0)+IF(DO1287&lt;&gt;"",1,0)+IF(DP1287&lt;&gt;"",1,0)+IF(DQ1287&lt;&gt;"",1,0)+IF(DS1287&lt;&gt;"",1,0)+IF(DT1287&lt;&gt;"",1,0)+IF(DV1287&lt;&gt;"",1,0)+IF(DW1287&lt;&gt;"",1,0)+IF(DX1287&lt;&gt;"",1,0)+IF(DY1287&lt;&gt;"",1,0)+IF(DZ1287&lt;&gt;"",1,0)+IF(EB1287&lt;&gt;"",1,0)+IF(EC1287&lt;&gt;"",1,0)+IF(ED1287&lt;&gt;"",1,0)+IF(EG1287&lt;&gt;"",1,0)+IF(EH1287&lt;&gt;"",1,0)</f>
        <v/>
      </c>
      <c r="AZ1287">
        <f>IF(EH1287&lt;&gt;"",1,0)</f>
        <v/>
      </c>
      <c r="BB1287" t="inlineStr">
        <is>
          <t>WARREN-WARD 4</t>
        </is>
      </c>
    </row>
    <row r="1288">
      <c r="A1288" t="inlineStr">
        <is>
          <t>OH0025572108</t>
        </is>
      </c>
      <c r="B1288" t="n">
        <v>78</v>
      </c>
      <c r="C1288" t="n">
        <v>446493</v>
      </c>
      <c r="D1288" t="inlineStr">
        <is>
          <t>BUTLER</t>
        </is>
      </c>
      <c r="E1288" t="inlineStr">
        <is>
          <t>JENNIFER</t>
        </is>
      </c>
      <c r="F1288">
        <f>CONCATENATE(D1288," ",LEFT(H1288,4),"T=",AU1288,"D=",AV1288,"R=",AW1288,"M=",AX1288,"L=",AY1288,"B=",AZ1288)</f>
        <v/>
      </c>
      <c r="G1288" t="inlineStr">
        <is>
          <t>L</t>
        </is>
      </c>
      <c r="I1288" t="inlineStr">
        <is>
          <t>1968-01-11</t>
        </is>
      </c>
      <c r="J1288" t="inlineStr">
        <is>
          <t>2020-03-04</t>
        </is>
      </c>
      <c r="K1288" t="inlineStr">
        <is>
          <t>ACTIVE</t>
        </is>
      </c>
      <c r="M1288" t="inlineStr">
        <is>
          <t>349 PORTER ST NE</t>
        </is>
      </c>
      <c r="N1288">
        <f>RIGHT(M1288,LEN(M1288)-FIND(" ",M1288))</f>
        <v/>
      </c>
      <c r="O1288" t="inlineStr">
        <is>
          <t>APT 2</t>
        </is>
      </c>
      <c r="P1288" t="inlineStr">
        <is>
          <t>WARREN</t>
        </is>
      </c>
      <c r="Q1288" t="inlineStr">
        <is>
          <t>OH</t>
        </is>
      </c>
      <c r="R1288" t="n">
        <v>44483</v>
      </c>
      <c r="AD1288" t="inlineStr">
        <is>
          <t>TRUMBULL CAREER &amp; TECH CENTER</t>
        </is>
      </c>
      <c r="AE1288" t="inlineStr">
        <is>
          <t>WARREN CITY</t>
        </is>
      </c>
      <c r="AF1288" t="inlineStr">
        <is>
          <t>WARREN CITY SD</t>
        </is>
      </c>
      <c r="AH1288" t="n">
        <v>14</v>
      </c>
      <c r="AI1288" t="n">
        <v>11</v>
      </c>
      <c r="AN1288" t="inlineStr">
        <is>
          <t>WARREN</t>
        </is>
      </c>
      <c r="AO1288" t="inlineStr">
        <is>
          <t>WARREN CITY 4D</t>
        </is>
      </c>
      <c r="AP1288" t="inlineStr">
        <is>
          <t>78-P-ADL</t>
        </is>
      </c>
      <c r="AQ1288" t="n">
        <v>9</v>
      </c>
      <c r="AR1288" t="n">
        <v>64</v>
      </c>
      <c r="AS1288" t="n">
        <v>32</v>
      </c>
      <c r="AU1288">
        <f>COUNTA($BA$1288:$EH$1288)</f>
        <v/>
      </c>
      <c r="AV1288">
        <f>COUNTIF($BA$1288:$EH$1288,"D")</f>
        <v/>
      </c>
      <c r="AW1288">
        <f>COUNTIF($BA$1288:$EH$1288,"R")</f>
        <v/>
      </c>
      <c r="AX1288">
        <f>IF(BN1288="D",1,0)+IF(BO1288="D",1,0)+IF(BT1288="D",1,0)+IF(BU1288="D",1,0)+IF(BW1288="D",1,0)+IF(CC1288="D",1,0)+IF(CD1288="D",1,0)+IF(CE1288="D",1,0)+IF(CF1288="D",1,0)+IF(CL1288="D",1,0)+IF(CM1288="D",1,0)+IF(CQ1288="D",1,0)+IF(CR1288="D",1,0)+IF(CS1288="D",1,0)+IF(CW1288="D",1,0)+IF(CX1288="D",1,0)+IF(DD1288="D",1,0)+IF(DE1288="D",1,0)+IF(DJ1288="D",1,0)+IF(DK1288="D",1,0)+IF(DO1288="D",1,0)+IF(DP1288="D",1,0)+IF(DQ1288="D",1,0)+IF(DW1288="D",1,0)+IF(DZ1288="D",1,0)+IF(EH1288="D",1,0)</f>
        <v/>
      </c>
      <c r="AY1288">
        <f>IF(DJ1288&lt;&gt;"",1,0)+IF(DK1288&lt;&gt;"",1,0)+IF(DM1288&lt;&gt;"",1,0)+IF(DO1288&lt;&gt;"",1,0)+IF(DP1288&lt;&gt;"",1,0)+IF(DQ1288&lt;&gt;"",1,0)+IF(DS1288&lt;&gt;"",1,0)+IF(DT1288&lt;&gt;"",1,0)+IF(DV1288&lt;&gt;"",1,0)+IF(DW1288&lt;&gt;"",1,0)+IF(DX1288&lt;&gt;"",1,0)+IF(DY1288&lt;&gt;"",1,0)+IF(DZ1288&lt;&gt;"",1,0)+IF(EB1288&lt;&gt;"",1,0)+IF(EC1288&lt;&gt;"",1,0)+IF(ED1288&lt;&gt;"",1,0)+IF(EG1288&lt;&gt;"",1,0)+IF(EH1288&lt;&gt;"",1,0)</f>
        <v/>
      </c>
      <c r="AZ1288">
        <f>IF(EH1288&lt;&gt;"",1,0)</f>
        <v/>
      </c>
      <c r="BB1288" t="inlineStr">
        <is>
          <t>WARREN-WARD 4</t>
        </is>
      </c>
      <c r="DN1288" t="inlineStr">
        <is>
          <t>X</t>
        </is>
      </c>
      <c r="DU1288" t="inlineStr">
        <is>
          <t>X</t>
        </is>
      </c>
      <c r="EA1288" t="inlineStr">
        <is>
          <t>X</t>
        </is>
      </c>
      <c r="EF1288" t="inlineStr">
        <is>
          <t>X</t>
        </is>
      </c>
    </row>
    <row r="1289">
      <c r="A1289" t="inlineStr">
        <is>
          <t>OH0018752433</t>
        </is>
      </c>
      <c r="B1289" t="n">
        <v>78</v>
      </c>
      <c r="C1289" t="n">
        <v>343956</v>
      </c>
      <c r="D1289" t="inlineStr">
        <is>
          <t>GIANAKOS</t>
        </is>
      </c>
      <c r="E1289" t="inlineStr">
        <is>
          <t>MICHAEL</t>
        </is>
      </c>
      <c r="F1289">
        <f>CONCATENATE(D1289," ",LEFT(H1289,4),"T=",AU1289,"D=",AV1289,"R=",AW1289,"M=",AX1289,"L=",AY1289,"B=",AZ1289)</f>
        <v/>
      </c>
      <c r="G1289" t="inlineStr">
        <is>
          <t>T</t>
        </is>
      </c>
      <c r="I1289" t="inlineStr">
        <is>
          <t>1987-07-14</t>
        </is>
      </c>
      <c r="J1289" t="inlineStr">
        <is>
          <t>2021-02-04</t>
        </is>
      </c>
      <c r="K1289" t="inlineStr">
        <is>
          <t>CONFIRMATION</t>
        </is>
      </c>
      <c r="M1289" t="inlineStr">
        <is>
          <t>428 VINE AVE NE</t>
        </is>
      </c>
      <c r="N1289">
        <f>RIGHT(M1289,LEN(M1289)-FIND(" ",M1289))</f>
        <v/>
      </c>
      <c r="O1289" t="inlineStr">
        <is>
          <t>APT A</t>
        </is>
      </c>
      <c r="P1289" t="inlineStr">
        <is>
          <t>WARREN</t>
        </is>
      </c>
      <c r="Q1289" t="inlineStr">
        <is>
          <t>OH</t>
        </is>
      </c>
      <c r="R1289" t="n">
        <v>44483</v>
      </c>
      <c r="AD1289" t="inlineStr">
        <is>
          <t>TRUMBULL CAREER &amp; TECH CENTER</t>
        </is>
      </c>
      <c r="AE1289" t="inlineStr">
        <is>
          <t>WARREN CITY</t>
        </is>
      </c>
      <c r="AF1289" t="inlineStr">
        <is>
          <t>WARREN CITY SD</t>
        </is>
      </c>
      <c r="AH1289" t="n">
        <v>14</v>
      </c>
      <c r="AI1289" t="n">
        <v>11</v>
      </c>
      <c r="AN1289" t="inlineStr">
        <is>
          <t>WARREN</t>
        </is>
      </c>
      <c r="AO1289" t="inlineStr">
        <is>
          <t>WARREN CITY 4D</t>
        </is>
      </c>
      <c r="AP1289" t="inlineStr">
        <is>
          <t>78-P-ADL</t>
        </is>
      </c>
      <c r="AQ1289" t="n">
        <v>9</v>
      </c>
      <c r="AR1289" t="n">
        <v>64</v>
      </c>
      <c r="AS1289" t="n">
        <v>32</v>
      </c>
      <c r="AU1289">
        <f>COUNTA($BA$1289:$EH$1289)</f>
        <v/>
      </c>
      <c r="AV1289">
        <f>COUNTIF($BA$1289:$EH$1289,"D")</f>
        <v/>
      </c>
      <c r="AW1289">
        <f>COUNTIF($BA$1289:$EH$1289,"R")</f>
        <v/>
      </c>
      <c r="AX1289">
        <f>IF(BN1289="D",1,0)+IF(BO1289="D",1,0)+IF(BT1289="D",1,0)+IF(BU1289="D",1,0)+IF(BW1289="D",1,0)+IF(CC1289="D",1,0)+IF(CD1289="D",1,0)+IF(CE1289="D",1,0)+IF(CF1289="D",1,0)+IF(CL1289="D",1,0)+IF(CM1289="D",1,0)+IF(CQ1289="D",1,0)+IF(CR1289="D",1,0)+IF(CS1289="D",1,0)+IF(CW1289="D",1,0)+IF(CX1289="D",1,0)+IF(DD1289="D",1,0)+IF(DE1289="D",1,0)+IF(DJ1289="D",1,0)+IF(DK1289="D",1,0)+IF(DO1289="D",1,0)+IF(DP1289="D",1,0)+IF(DQ1289="D",1,0)+IF(DW1289="D",1,0)+IF(DZ1289="D",1,0)+IF(EH1289="D",1,0)</f>
        <v/>
      </c>
      <c r="AY1289">
        <f>IF(DJ1289&lt;&gt;"",1,0)+IF(DK1289&lt;&gt;"",1,0)+IF(DM1289&lt;&gt;"",1,0)+IF(DO1289&lt;&gt;"",1,0)+IF(DP1289&lt;&gt;"",1,0)+IF(DQ1289&lt;&gt;"",1,0)+IF(DS1289&lt;&gt;"",1,0)+IF(DT1289&lt;&gt;"",1,0)+IF(DV1289&lt;&gt;"",1,0)+IF(DW1289&lt;&gt;"",1,0)+IF(DX1289&lt;&gt;"",1,0)+IF(DY1289&lt;&gt;"",1,0)+IF(DZ1289&lt;&gt;"",1,0)+IF(EB1289&lt;&gt;"",1,0)+IF(EC1289&lt;&gt;"",1,0)+IF(ED1289&lt;&gt;"",1,0)+IF(EG1289&lt;&gt;"",1,0)+IF(EH1289&lt;&gt;"",1,0)</f>
        <v/>
      </c>
      <c r="AZ1289">
        <f>IF(EH1289&lt;&gt;"",1,0)</f>
        <v/>
      </c>
      <c r="BB1289" t="inlineStr">
        <is>
          <t>WARREN-WARD 4</t>
        </is>
      </c>
      <c r="BS1289" t="inlineStr">
        <is>
          <t>X</t>
        </is>
      </c>
      <c r="BY1289" t="inlineStr">
        <is>
          <t>D</t>
        </is>
      </c>
    </row>
    <row r="1290">
      <c r="A1290" t="inlineStr">
        <is>
          <t>OH0019393843</t>
        </is>
      </c>
      <c r="B1290" t="n">
        <v>78</v>
      </c>
      <c r="C1290" t="n">
        <v>349549</v>
      </c>
      <c r="D1290" t="inlineStr">
        <is>
          <t>WILCOX</t>
        </is>
      </c>
      <c r="E1290" t="inlineStr">
        <is>
          <t>RICHARD</t>
        </is>
      </c>
      <c r="F1290">
        <f>CONCATENATE(D1290," ",LEFT(H1290,4),"T=",AU1290,"D=",AV1290,"R=",AW1290,"M=",AX1290,"L=",AY1290,"B=",AZ1290)</f>
        <v/>
      </c>
      <c r="G1290" t="inlineStr">
        <is>
          <t>A</t>
        </is>
      </c>
      <c r="I1290" t="inlineStr">
        <is>
          <t>1973-07-16</t>
        </is>
      </c>
      <c r="J1290" t="inlineStr">
        <is>
          <t>2007-03-30</t>
        </is>
      </c>
      <c r="K1290" t="inlineStr">
        <is>
          <t>ACTIVE</t>
        </is>
      </c>
      <c r="L1290" t="inlineStr">
        <is>
          <t>D</t>
        </is>
      </c>
      <c r="M1290" t="inlineStr">
        <is>
          <t>1160 MCKINLEY ST NE</t>
        </is>
      </c>
      <c r="N1290">
        <f>RIGHT(M1290,LEN(M1290)-FIND(" ",M1290))</f>
        <v/>
      </c>
      <c r="P1290" t="inlineStr">
        <is>
          <t>WARREN</t>
        </is>
      </c>
      <c r="Q1290" t="inlineStr">
        <is>
          <t>OH</t>
        </is>
      </c>
      <c r="R1290" t="n">
        <v>44483</v>
      </c>
      <c r="AD1290" t="inlineStr">
        <is>
          <t>TRUMBULL CAREER &amp; TECH CENTER</t>
        </is>
      </c>
      <c r="AE1290" t="inlineStr">
        <is>
          <t>WARREN CITY</t>
        </is>
      </c>
      <c r="AF1290" t="inlineStr">
        <is>
          <t>WARREN CITY SD</t>
        </is>
      </c>
      <c r="AH1290" t="n">
        <v>14</v>
      </c>
      <c r="AI1290" t="n">
        <v>11</v>
      </c>
      <c r="AN1290" t="inlineStr">
        <is>
          <t>WARREN</t>
        </is>
      </c>
      <c r="AO1290" t="inlineStr">
        <is>
          <t>WARREN CITY 4D</t>
        </is>
      </c>
      <c r="AP1290" t="inlineStr">
        <is>
          <t>78-P-ADL</t>
        </is>
      </c>
      <c r="AQ1290" t="n">
        <v>9</v>
      </c>
      <c r="AR1290" t="n">
        <v>64</v>
      </c>
      <c r="AS1290" t="n">
        <v>32</v>
      </c>
      <c r="AU1290">
        <f>COUNTA($BA$1290:$EH$1290)</f>
        <v/>
      </c>
      <c r="AV1290">
        <f>COUNTIF($BA$1290:$EH$1290,"D")</f>
        <v/>
      </c>
      <c r="AW1290">
        <f>COUNTIF($BA$1290:$EH$1290,"R")</f>
        <v/>
      </c>
      <c r="AX1290">
        <f>IF(BN1290="D",1,0)+IF(BO1290="D",1,0)+IF(BT1290="D",1,0)+IF(BU1290="D",1,0)+IF(BW1290="D",1,0)+IF(CC1290="D",1,0)+IF(CD1290="D",1,0)+IF(CE1290="D",1,0)+IF(CF1290="D",1,0)+IF(CL1290="D",1,0)+IF(CM1290="D",1,0)+IF(CQ1290="D",1,0)+IF(CR1290="D",1,0)+IF(CS1290="D",1,0)+IF(CW1290="D",1,0)+IF(CX1290="D",1,0)+IF(DD1290="D",1,0)+IF(DE1290="D",1,0)+IF(DJ1290="D",1,0)+IF(DK1290="D",1,0)+IF(DO1290="D",1,0)+IF(DP1290="D",1,0)+IF(DQ1290="D",1,0)+IF(DW1290="D",1,0)+IF(DZ1290="D",1,0)+IF(EH1290="D",1,0)</f>
        <v/>
      </c>
      <c r="AY1290">
        <f>IF(DJ1290&lt;&gt;"",1,0)+IF(DK1290&lt;&gt;"",1,0)+IF(DM1290&lt;&gt;"",1,0)+IF(DO1290&lt;&gt;"",1,0)+IF(DP1290&lt;&gt;"",1,0)+IF(DQ1290&lt;&gt;"",1,0)+IF(DS1290&lt;&gt;"",1,0)+IF(DT1290&lt;&gt;"",1,0)+IF(DV1290&lt;&gt;"",1,0)+IF(DW1290&lt;&gt;"",1,0)+IF(DX1290&lt;&gt;"",1,0)+IF(DY1290&lt;&gt;"",1,0)+IF(DZ1290&lt;&gt;"",1,0)+IF(EB1290&lt;&gt;"",1,0)+IF(EC1290&lt;&gt;"",1,0)+IF(ED1290&lt;&gt;"",1,0)+IF(EG1290&lt;&gt;"",1,0)+IF(EH1290&lt;&gt;"",1,0)</f>
        <v/>
      </c>
      <c r="AZ1290">
        <f>IF(EH1290&lt;&gt;"",1,0)</f>
        <v/>
      </c>
      <c r="BB1290" t="inlineStr">
        <is>
          <t>WARREN-WARD 4</t>
        </is>
      </c>
      <c r="BD1290" t="inlineStr">
        <is>
          <t>X</t>
        </is>
      </c>
      <c r="BF1290" t="inlineStr">
        <is>
          <t>X</t>
        </is>
      </c>
      <c r="BG1290" t="inlineStr">
        <is>
          <t>D</t>
        </is>
      </c>
      <c r="BH1290" t="inlineStr">
        <is>
          <t>X</t>
        </is>
      </c>
      <c r="BJ1290" t="inlineStr">
        <is>
          <t>X</t>
        </is>
      </c>
      <c r="BL1290" t="inlineStr">
        <is>
          <t>X</t>
        </is>
      </c>
      <c r="BV1290" t="inlineStr">
        <is>
          <t>X</t>
        </is>
      </c>
      <c r="BY1290" t="inlineStr">
        <is>
          <t>D</t>
        </is>
      </c>
      <c r="CA1290" t="inlineStr">
        <is>
          <t>X</t>
        </is>
      </c>
      <c r="CC1290" t="inlineStr">
        <is>
          <t>D</t>
        </is>
      </c>
      <c r="CG1290" t="inlineStr">
        <is>
          <t>X</t>
        </is>
      </c>
      <c r="CH1290" t="inlineStr">
        <is>
          <t>D</t>
        </is>
      </c>
      <c r="CK1290" t="inlineStr">
        <is>
          <t>X</t>
        </is>
      </c>
      <c r="CL1290" t="inlineStr">
        <is>
          <t>D</t>
        </is>
      </c>
      <c r="CN1290" t="inlineStr">
        <is>
          <t>X</t>
        </is>
      </c>
      <c r="CO1290" t="inlineStr">
        <is>
          <t>D</t>
        </is>
      </c>
      <c r="CP1290" t="inlineStr">
        <is>
          <t>X</t>
        </is>
      </c>
      <c r="CQ1290" t="inlineStr">
        <is>
          <t>D</t>
        </is>
      </c>
      <c r="CT1290" t="inlineStr">
        <is>
          <t>X</t>
        </is>
      </c>
      <c r="CU1290" t="inlineStr">
        <is>
          <t>D</t>
        </is>
      </c>
      <c r="CV1290" t="inlineStr">
        <is>
          <t>X</t>
        </is>
      </c>
      <c r="CW1290" t="inlineStr">
        <is>
          <t>D</t>
        </is>
      </c>
      <c r="CY1290" t="inlineStr">
        <is>
          <t>X</t>
        </is>
      </c>
      <c r="CZ1290" t="inlineStr">
        <is>
          <t>D</t>
        </is>
      </c>
      <c r="DC1290" t="inlineStr">
        <is>
          <t>X</t>
        </is>
      </c>
      <c r="DD1290" t="inlineStr">
        <is>
          <t>D</t>
        </is>
      </c>
      <c r="DF1290" t="inlineStr">
        <is>
          <t>X</t>
        </is>
      </c>
      <c r="DG1290" t="inlineStr">
        <is>
          <t>D</t>
        </is>
      </c>
      <c r="DI1290" t="inlineStr">
        <is>
          <t>X</t>
        </is>
      </c>
      <c r="DJ1290" t="inlineStr">
        <is>
          <t>D</t>
        </is>
      </c>
      <c r="DL1290" t="inlineStr">
        <is>
          <t>X</t>
        </is>
      </c>
      <c r="DN1290" t="inlineStr">
        <is>
          <t>X</t>
        </is>
      </c>
      <c r="DR1290" t="inlineStr">
        <is>
          <t>X</t>
        </is>
      </c>
      <c r="DS1290" t="inlineStr">
        <is>
          <t>D</t>
        </is>
      </c>
      <c r="DT1290" t="inlineStr">
        <is>
          <t>D</t>
        </is>
      </c>
      <c r="DU1290" t="inlineStr">
        <is>
          <t>X</t>
        </is>
      </c>
      <c r="DW1290" t="inlineStr">
        <is>
          <t>D</t>
        </is>
      </c>
      <c r="DX1290" t="inlineStr">
        <is>
          <t>X</t>
        </is>
      </c>
      <c r="EA1290" t="inlineStr">
        <is>
          <t>X</t>
        </is>
      </c>
      <c r="ED1290" t="inlineStr">
        <is>
          <t>D</t>
        </is>
      </c>
      <c r="EF1290" t="inlineStr">
        <is>
          <t>X</t>
        </is>
      </c>
      <c r="EH1290" t="inlineStr">
        <is>
          <t>D</t>
        </is>
      </c>
    </row>
    <row r="1291">
      <c r="A1291" t="inlineStr">
        <is>
          <t>OH0019025969</t>
        </is>
      </c>
      <c r="B1291" t="n">
        <v>78</v>
      </c>
      <c r="C1291" t="n">
        <v>348080</v>
      </c>
      <c r="D1291" t="inlineStr">
        <is>
          <t>PAGAN</t>
        </is>
      </c>
      <c r="E1291" t="inlineStr">
        <is>
          <t>RAUL</t>
        </is>
      </c>
      <c r="F1291">
        <f>CONCATENATE(D1291," ",LEFT(H1291,4),"T=",AU1291,"D=",AV1291,"R=",AW1291,"M=",AX1291,"L=",AY1291,"B=",AZ1291)</f>
        <v/>
      </c>
      <c r="I1291" t="inlineStr">
        <is>
          <t>1984-07-07</t>
        </is>
      </c>
      <c r="J1291" t="inlineStr">
        <is>
          <t>2022-10-03</t>
        </is>
      </c>
      <c r="K1291" t="inlineStr">
        <is>
          <t>ACTIVE</t>
        </is>
      </c>
      <c r="L1291" t="inlineStr">
        <is>
          <t>D</t>
        </is>
      </c>
      <c r="M1291" t="inlineStr">
        <is>
          <t>352 CHESTNUT AVE NE</t>
        </is>
      </c>
      <c r="N1291">
        <f>RIGHT(M1291,LEN(M1291)-FIND(" ",M1291))</f>
        <v/>
      </c>
      <c r="P1291" t="inlineStr">
        <is>
          <t>WARREN</t>
        </is>
      </c>
      <c r="Q1291" t="inlineStr">
        <is>
          <t>OH</t>
        </is>
      </c>
      <c r="R1291" t="n">
        <v>44483</v>
      </c>
      <c r="AD1291" t="inlineStr">
        <is>
          <t>TRUMBULL CAREER &amp; TECH CENTER</t>
        </is>
      </c>
      <c r="AE1291" t="inlineStr">
        <is>
          <t>WARREN CITY</t>
        </is>
      </c>
      <c r="AF1291" t="inlineStr">
        <is>
          <t>WARREN CITY SD</t>
        </is>
      </c>
      <c r="AH1291" t="n">
        <v>14</v>
      </c>
      <c r="AI1291" t="n">
        <v>11</v>
      </c>
      <c r="AN1291" t="inlineStr">
        <is>
          <t>WARREN</t>
        </is>
      </c>
      <c r="AO1291" t="inlineStr">
        <is>
          <t>WARREN CITY 4D</t>
        </is>
      </c>
      <c r="AP1291" t="inlineStr">
        <is>
          <t>78-P-ADL</t>
        </is>
      </c>
      <c r="AQ1291" t="n">
        <v>9</v>
      </c>
      <c r="AR1291" t="n">
        <v>64</v>
      </c>
      <c r="AS1291" t="n">
        <v>32</v>
      </c>
      <c r="AU1291">
        <f>COUNTA($BA$1291:$EH$1291)</f>
        <v/>
      </c>
      <c r="AV1291">
        <f>COUNTIF($BA$1291:$EH$1291,"D")</f>
        <v/>
      </c>
      <c r="AW1291">
        <f>COUNTIF($BA$1291:$EH$1291,"R")</f>
        <v/>
      </c>
      <c r="AX1291">
        <f>IF(BN1291="D",1,0)+IF(BO1291="D",1,0)+IF(BT1291="D",1,0)+IF(BU1291="D",1,0)+IF(BW1291="D",1,0)+IF(CC1291="D",1,0)+IF(CD1291="D",1,0)+IF(CE1291="D",1,0)+IF(CF1291="D",1,0)+IF(CL1291="D",1,0)+IF(CM1291="D",1,0)+IF(CQ1291="D",1,0)+IF(CR1291="D",1,0)+IF(CS1291="D",1,0)+IF(CW1291="D",1,0)+IF(CX1291="D",1,0)+IF(DD1291="D",1,0)+IF(DE1291="D",1,0)+IF(DJ1291="D",1,0)+IF(DK1291="D",1,0)+IF(DO1291="D",1,0)+IF(DP1291="D",1,0)+IF(DQ1291="D",1,0)+IF(DW1291="D",1,0)+IF(DZ1291="D",1,0)+IF(EH1291="D",1,0)</f>
        <v/>
      </c>
      <c r="AY1291">
        <f>IF(DJ1291&lt;&gt;"",1,0)+IF(DK1291&lt;&gt;"",1,0)+IF(DM1291&lt;&gt;"",1,0)+IF(DO1291&lt;&gt;"",1,0)+IF(DP1291&lt;&gt;"",1,0)+IF(DQ1291&lt;&gt;"",1,0)+IF(DS1291&lt;&gt;"",1,0)+IF(DT1291&lt;&gt;"",1,0)+IF(DV1291&lt;&gt;"",1,0)+IF(DW1291&lt;&gt;"",1,0)+IF(DX1291&lt;&gt;"",1,0)+IF(DY1291&lt;&gt;"",1,0)+IF(DZ1291&lt;&gt;"",1,0)+IF(EB1291&lt;&gt;"",1,0)+IF(EC1291&lt;&gt;"",1,0)+IF(ED1291&lt;&gt;"",1,0)+IF(EG1291&lt;&gt;"",1,0)+IF(EH1291&lt;&gt;"",1,0)</f>
        <v/>
      </c>
      <c r="AZ1291">
        <f>IF(EH1291&lt;&gt;"",1,0)</f>
        <v/>
      </c>
      <c r="BB1291" t="inlineStr">
        <is>
          <t>WARREN-WARD 4</t>
        </is>
      </c>
      <c r="BH1291" t="inlineStr">
        <is>
          <t>X</t>
        </is>
      </c>
      <c r="BJ1291" t="inlineStr">
        <is>
          <t>X</t>
        </is>
      </c>
      <c r="BK1291" t="inlineStr">
        <is>
          <t>D</t>
        </is>
      </c>
      <c r="BL1291" t="inlineStr">
        <is>
          <t>X</t>
        </is>
      </c>
      <c r="BN1291" t="inlineStr">
        <is>
          <t>X</t>
        </is>
      </c>
      <c r="BV1291" t="inlineStr">
        <is>
          <t>X</t>
        </is>
      </c>
      <c r="BY1291" t="inlineStr">
        <is>
          <t>D</t>
        </is>
      </c>
      <c r="CA1291" t="inlineStr">
        <is>
          <t>X</t>
        </is>
      </c>
      <c r="CK1291" t="inlineStr">
        <is>
          <t>X</t>
        </is>
      </c>
      <c r="CL1291" t="inlineStr">
        <is>
          <t>D</t>
        </is>
      </c>
      <c r="CP1291" t="inlineStr">
        <is>
          <t>X</t>
        </is>
      </c>
      <c r="CY1291" t="inlineStr">
        <is>
          <t>X</t>
        </is>
      </c>
      <c r="CZ1291" t="inlineStr">
        <is>
          <t>D</t>
        </is>
      </c>
      <c r="DC1291" t="inlineStr">
        <is>
          <t>X</t>
        </is>
      </c>
      <c r="DI1291" t="inlineStr">
        <is>
          <t>X</t>
        </is>
      </c>
      <c r="DN1291" t="inlineStr">
        <is>
          <t>X</t>
        </is>
      </c>
      <c r="DT1291" t="inlineStr">
        <is>
          <t>D</t>
        </is>
      </c>
      <c r="DU1291" t="inlineStr">
        <is>
          <t>X</t>
        </is>
      </c>
      <c r="DW1291" t="inlineStr">
        <is>
          <t>D</t>
        </is>
      </c>
      <c r="EF1291" t="inlineStr">
        <is>
          <t>X</t>
        </is>
      </c>
    </row>
    <row r="1292">
      <c r="A1292" t="inlineStr">
        <is>
          <t>OH0022202371</t>
        </is>
      </c>
      <c r="B1292" t="n">
        <v>78</v>
      </c>
      <c r="C1292" t="n">
        <v>392574</v>
      </c>
      <c r="D1292" t="inlineStr">
        <is>
          <t>MARTINEZ</t>
        </is>
      </c>
      <c r="E1292" t="inlineStr">
        <is>
          <t>CARMEN</t>
        </is>
      </c>
      <c r="F1292">
        <f>CONCATENATE(D1292," ",LEFT(H1292,4),"T=",AU1292,"D=",AV1292,"R=",AW1292,"M=",AX1292,"L=",AY1292,"B=",AZ1292)</f>
        <v/>
      </c>
      <c r="I1292" t="inlineStr">
        <is>
          <t>1966-01-01</t>
        </is>
      </c>
      <c r="J1292" t="inlineStr">
        <is>
          <t>2015-06-18</t>
        </is>
      </c>
      <c r="K1292" t="inlineStr">
        <is>
          <t>CONFIRMATION</t>
        </is>
      </c>
      <c r="M1292" t="inlineStr">
        <is>
          <t>386 CHESTNUT AVE NE</t>
        </is>
      </c>
      <c r="N1292">
        <f>RIGHT(M1292,LEN(M1292)-FIND(" ",M1292))</f>
        <v/>
      </c>
      <c r="O1292" t="inlineStr">
        <is>
          <t>APT 2</t>
        </is>
      </c>
      <c r="P1292" t="inlineStr">
        <is>
          <t>WARREN</t>
        </is>
      </c>
      <c r="Q1292" t="inlineStr">
        <is>
          <t>OH</t>
        </is>
      </c>
      <c r="R1292" t="n">
        <v>44483</v>
      </c>
      <c r="AD1292" t="inlineStr">
        <is>
          <t>TRUMBULL CAREER &amp; TECH CENTER</t>
        </is>
      </c>
      <c r="AE1292" t="inlineStr">
        <is>
          <t>WARREN CITY</t>
        </is>
      </c>
      <c r="AF1292" t="inlineStr">
        <is>
          <t>WARREN CITY SD</t>
        </is>
      </c>
      <c r="AH1292" t="n">
        <v>14</v>
      </c>
      <c r="AI1292" t="n">
        <v>11</v>
      </c>
      <c r="AN1292" t="inlineStr">
        <is>
          <t>WARREN</t>
        </is>
      </c>
      <c r="AO1292" t="inlineStr">
        <is>
          <t>WARREN CITY 4D</t>
        </is>
      </c>
      <c r="AP1292" t="inlineStr">
        <is>
          <t>78-P-ADL</t>
        </is>
      </c>
      <c r="AQ1292" t="n">
        <v>9</v>
      </c>
      <c r="AR1292" t="n">
        <v>64</v>
      </c>
      <c r="AS1292" t="n">
        <v>32</v>
      </c>
      <c r="AU1292">
        <f>COUNTA($BA$1292:$EH$1292)</f>
        <v/>
      </c>
      <c r="AV1292">
        <f>COUNTIF($BA$1292:$EH$1292,"D")</f>
        <v/>
      </c>
      <c r="AW1292">
        <f>COUNTIF($BA$1292:$EH$1292,"R")</f>
        <v/>
      </c>
      <c r="AX1292">
        <f>IF(BN1292="D",1,0)+IF(BO1292="D",1,0)+IF(BT1292="D",1,0)+IF(BU1292="D",1,0)+IF(BW1292="D",1,0)+IF(CC1292="D",1,0)+IF(CD1292="D",1,0)+IF(CE1292="D",1,0)+IF(CF1292="D",1,0)+IF(CL1292="D",1,0)+IF(CM1292="D",1,0)+IF(CQ1292="D",1,0)+IF(CR1292="D",1,0)+IF(CS1292="D",1,0)+IF(CW1292="D",1,0)+IF(CX1292="D",1,0)+IF(DD1292="D",1,0)+IF(DE1292="D",1,0)+IF(DJ1292="D",1,0)+IF(DK1292="D",1,0)+IF(DO1292="D",1,0)+IF(DP1292="D",1,0)+IF(DQ1292="D",1,0)+IF(DW1292="D",1,0)+IF(DZ1292="D",1,0)+IF(EH1292="D",1,0)</f>
        <v/>
      </c>
      <c r="AY1292">
        <f>IF(DJ1292&lt;&gt;"",1,0)+IF(DK1292&lt;&gt;"",1,0)+IF(DM1292&lt;&gt;"",1,0)+IF(DO1292&lt;&gt;"",1,0)+IF(DP1292&lt;&gt;"",1,0)+IF(DQ1292&lt;&gt;"",1,0)+IF(DS1292&lt;&gt;"",1,0)+IF(DT1292&lt;&gt;"",1,0)+IF(DV1292&lt;&gt;"",1,0)+IF(DW1292&lt;&gt;"",1,0)+IF(DX1292&lt;&gt;"",1,0)+IF(DY1292&lt;&gt;"",1,0)+IF(DZ1292&lt;&gt;"",1,0)+IF(EB1292&lt;&gt;"",1,0)+IF(EC1292&lt;&gt;"",1,0)+IF(ED1292&lt;&gt;"",1,0)+IF(EG1292&lt;&gt;"",1,0)+IF(EH1292&lt;&gt;"",1,0)</f>
        <v/>
      </c>
      <c r="AZ1292">
        <f>IF(EH1292&lt;&gt;"",1,0)</f>
        <v/>
      </c>
      <c r="BB1292" t="inlineStr">
        <is>
          <t>WARREN-WARD 4</t>
        </is>
      </c>
      <c r="CP1292" t="inlineStr">
        <is>
          <t>X</t>
        </is>
      </c>
      <c r="DC1292" t="inlineStr">
        <is>
          <t>X</t>
        </is>
      </c>
      <c r="DI1292" t="inlineStr">
        <is>
          <t>X</t>
        </is>
      </c>
      <c r="DN1292" t="inlineStr">
        <is>
          <t>X</t>
        </is>
      </c>
    </row>
    <row r="1293">
      <c r="A1293" t="inlineStr">
        <is>
          <t>OH0023650069</t>
        </is>
      </c>
      <c r="B1293" t="n">
        <v>78</v>
      </c>
      <c r="C1293" t="n">
        <v>416134</v>
      </c>
      <c r="D1293" t="inlineStr">
        <is>
          <t>MURRAY</t>
        </is>
      </c>
      <c r="E1293" t="inlineStr">
        <is>
          <t>DUSTIN</t>
        </is>
      </c>
      <c r="F1293">
        <f>CONCATENATE(D1293," ",LEFT(H1293,4),"T=",AU1293,"D=",AV1293,"R=",AW1293,"M=",AX1293,"L=",AY1293,"B=",AZ1293)</f>
        <v/>
      </c>
      <c r="G1293" t="inlineStr">
        <is>
          <t>ANTHONY</t>
        </is>
      </c>
      <c r="I1293" t="inlineStr">
        <is>
          <t>1983-05-17</t>
        </is>
      </c>
      <c r="J1293" t="inlineStr">
        <is>
          <t>2016-04-13</t>
        </is>
      </c>
      <c r="K1293" t="inlineStr">
        <is>
          <t>CONFIRMATION</t>
        </is>
      </c>
      <c r="M1293" t="inlineStr">
        <is>
          <t>1142 HIGH ST NE</t>
        </is>
      </c>
      <c r="N1293">
        <f>RIGHT(M1293,LEN(M1293)-FIND(" ",M1293))</f>
        <v/>
      </c>
      <c r="P1293" t="inlineStr">
        <is>
          <t>WARREN</t>
        </is>
      </c>
      <c r="Q1293" t="inlineStr">
        <is>
          <t>OH</t>
        </is>
      </c>
      <c r="R1293" t="n">
        <v>44483</v>
      </c>
      <c r="AD1293" t="inlineStr">
        <is>
          <t>TRUMBULL CAREER &amp; TECH CENTER</t>
        </is>
      </c>
      <c r="AE1293" t="inlineStr">
        <is>
          <t>WARREN CITY</t>
        </is>
      </c>
      <c r="AF1293" t="inlineStr">
        <is>
          <t>WARREN CITY SD</t>
        </is>
      </c>
      <c r="AH1293" t="n">
        <v>14</v>
      </c>
      <c r="AI1293" t="n">
        <v>11</v>
      </c>
      <c r="AN1293" t="inlineStr">
        <is>
          <t>WARREN</t>
        </is>
      </c>
      <c r="AO1293" t="inlineStr">
        <is>
          <t>WARREN CITY 4D</t>
        </is>
      </c>
      <c r="AP1293" t="inlineStr">
        <is>
          <t>78-P-ADL</t>
        </is>
      </c>
      <c r="AQ1293" t="n">
        <v>9</v>
      </c>
      <c r="AR1293" t="n">
        <v>64</v>
      </c>
      <c r="AS1293" t="n">
        <v>32</v>
      </c>
      <c r="AU1293">
        <f>COUNTA($BA$1293:$EH$1293)</f>
        <v/>
      </c>
      <c r="AV1293">
        <f>COUNTIF($BA$1293:$EH$1293,"D")</f>
        <v/>
      </c>
      <c r="AW1293">
        <f>COUNTIF($BA$1293:$EH$1293,"R")</f>
        <v/>
      </c>
      <c r="AX1293">
        <f>IF(BN1293="D",1,0)+IF(BO1293="D",1,0)+IF(BT1293="D",1,0)+IF(BU1293="D",1,0)+IF(BW1293="D",1,0)+IF(CC1293="D",1,0)+IF(CD1293="D",1,0)+IF(CE1293="D",1,0)+IF(CF1293="D",1,0)+IF(CL1293="D",1,0)+IF(CM1293="D",1,0)+IF(CQ1293="D",1,0)+IF(CR1293="D",1,0)+IF(CS1293="D",1,0)+IF(CW1293="D",1,0)+IF(CX1293="D",1,0)+IF(DD1293="D",1,0)+IF(DE1293="D",1,0)+IF(DJ1293="D",1,0)+IF(DK1293="D",1,0)+IF(DO1293="D",1,0)+IF(DP1293="D",1,0)+IF(DQ1293="D",1,0)+IF(DW1293="D",1,0)+IF(DZ1293="D",1,0)+IF(EH1293="D",1,0)</f>
        <v/>
      </c>
      <c r="AY1293">
        <f>IF(DJ1293&lt;&gt;"",1,0)+IF(DK1293&lt;&gt;"",1,0)+IF(DM1293&lt;&gt;"",1,0)+IF(DO1293&lt;&gt;"",1,0)+IF(DP1293&lt;&gt;"",1,0)+IF(DQ1293&lt;&gt;"",1,0)+IF(DS1293&lt;&gt;"",1,0)+IF(DT1293&lt;&gt;"",1,0)+IF(DV1293&lt;&gt;"",1,0)+IF(DW1293&lt;&gt;"",1,0)+IF(DX1293&lt;&gt;"",1,0)+IF(DY1293&lt;&gt;"",1,0)+IF(DZ1293&lt;&gt;"",1,0)+IF(EB1293&lt;&gt;"",1,0)+IF(EC1293&lt;&gt;"",1,0)+IF(ED1293&lt;&gt;"",1,0)+IF(EG1293&lt;&gt;"",1,0)+IF(EH1293&lt;&gt;"",1,0)</f>
        <v/>
      </c>
      <c r="AZ1293">
        <f>IF(EH1293&lt;&gt;"",1,0)</f>
        <v/>
      </c>
      <c r="BB1293" t="inlineStr">
        <is>
          <t>WARREN-WARD 4</t>
        </is>
      </c>
    </row>
    <row r="1294">
      <c r="A1294" t="inlineStr">
        <is>
          <t>OH0027228736</t>
        </is>
      </c>
      <c r="B1294" t="n">
        <v>78</v>
      </c>
      <c r="C1294" t="n">
        <v>481015</v>
      </c>
      <c r="D1294" t="inlineStr">
        <is>
          <t>REESE</t>
        </is>
      </c>
      <c r="E1294" t="inlineStr">
        <is>
          <t>TIFFANY</t>
        </is>
      </c>
      <c r="F1294">
        <f>CONCATENATE(D1294," ",LEFT(H1294,4),"T=",AU1294,"D=",AV1294,"R=",AW1294,"M=",AX1294,"L=",AY1294,"B=",AZ1294)</f>
        <v/>
      </c>
      <c r="G1294" t="inlineStr">
        <is>
          <t>MARIE</t>
        </is>
      </c>
      <c r="I1294" t="inlineStr">
        <is>
          <t>1991-03-05</t>
        </is>
      </c>
      <c r="J1294" t="inlineStr">
        <is>
          <t>2025-06-01</t>
        </is>
      </c>
      <c r="K1294" t="inlineStr">
        <is>
          <t>ACTIVE</t>
        </is>
      </c>
      <c r="M1294" t="inlineStr">
        <is>
          <t>304 SCOTT ST NE</t>
        </is>
      </c>
      <c r="N1294">
        <f>RIGHT(M1294,LEN(M1294)-FIND(" ",M1294))</f>
        <v/>
      </c>
      <c r="P1294" t="inlineStr">
        <is>
          <t>WARREN</t>
        </is>
      </c>
      <c r="Q1294" t="inlineStr">
        <is>
          <t>OH</t>
        </is>
      </c>
      <c r="R1294" t="n">
        <v>44483</v>
      </c>
      <c r="AD1294" t="inlineStr">
        <is>
          <t>TRUMBULL CAREER &amp; TECH CENTER</t>
        </is>
      </c>
      <c r="AE1294" t="inlineStr">
        <is>
          <t>WARREN CITY</t>
        </is>
      </c>
      <c r="AF1294" t="inlineStr">
        <is>
          <t>WARREN CITY SD</t>
        </is>
      </c>
      <c r="AH1294" t="n">
        <v>14</v>
      </c>
      <c r="AI1294" t="n">
        <v>11</v>
      </c>
      <c r="AN1294" t="inlineStr">
        <is>
          <t>WARREN</t>
        </is>
      </c>
      <c r="AO1294" t="inlineStr">
        <is>
          <t>WARREN CITY 4D</t>
        </is>
      </c>
      <c r="AP1294" t="inlineStr">
        <is>
          <t>78-P-ADL</t>
        </is>
      </c>
      <c r="AQ1294" t="n">
        <v>9</v>
      </c>
      <c r="AR1294" t="n">
        <v>64</v>
      </c>
      <c r="AS1294" t="n">
        <v>32</v>
      </c>
      <c r="AU1294">
        <f>COUNTA($BA$1294:$EH$1294)</f>
        <v/>
      </c>
      <c r="AV1294">
        <f>COUNTIF($BA$1294:$EH$1294,"D")</f>
        <v/>
      </c>
      <c r="AW1294">
        <f>COUNTIF($BA$1294:$EH$1294,"R")</f>
        <v/>
      </c>
      <c r="AX1294">
        <f>IF(BN1294="D",1,0)+IF(BO1294="D",1,0)+IF(BT1294="D",1,0)+IF(BU1294="D",1,0)+IF(BW1294="D",1,0)+IF(CC1294="D",1,0)+IF(CD1294="D",1,0)+IF(CE1294="D",1,0)+IF(CF1294="D",1,0)+IF(CL1294="D",1,0)+IF(CM1294="D",1,0)+IF(CQ1294="D",1,0)+IF(CR1294="D",1,0)+IF(CS1294="D",1,0)+IF(CW1294="D",1,0)+IF(CX1294="D",1,0)+IF(DD1294="D",1,0)+IF(DE1294="D",1,0)+IF(DJ1294="D",1,0)+IF(DK1294="D",1,0)+IF(DO1294="D",1,0)+IF(DP1294="D",1,0)+IF(DQ1294="D",1,0)+IF(DW1294="D",1,0)+IF(DZ1294="D",1,0)+IF(EH1294="D",1,0)</f>
        <v/>
      </c>
      <c r="AY1294">
        <f>IF(DJ1294&lt;&gt;"",1,0)+IF(DK1294&lt;&gt;"",1,0)+IF(DM1294&lt;&gt;"",1,0)+IF(DO1294&lt;&gt;"",1,0)+IF(DP1294&lt;&gt;"",1,0)+IF(DQ1294&lt;&gt;"",1,0)+IF(DS1294&lt;&gt;"",1,0)+IF(DT1294&lt;&gt;"",1,0)+IF(DV1294&lt;&gt;"",1,0)+IF(DW1294&lt;&gt;"",1,0)+IF(DX1294&lt;&gt;"",1,0)+IF(DY1294&lt;&gt;"",1,0)+IF(DZ1294&lt;&gt;"",1,0)+IF(EB1294&lt;&gt;"",1,0)+IF(EC1294&lt;&gt;"",1,0)+IF(ED1294&lt;&gt;"",1,0)+IF(EG1294&lt;&gt;"",1,0)+IF(EH1294&lt;&gt;"",1,0)</f>
        <v/>
      </c>
      <c r="AZ1294">
        <f>IF(EH1294&lt;&gt;"",1,0)</f>
        <v/>
      </c>
      <c r="BB1294" t="inlineStr">
        <is>
          <t>WARREN-WARD 4</t>
        </is>
      </c>
    </row>
    <row r="1295">
      <c r="A1295" t="inlineStr">
        <is>
          <t>OH0027951760</t>
        </is>
      </c>
      <c r="B1295" t="n">
        <v>78</v>
      </c>
      <c r="C1295" t="n">
        <v>496004</v>
      </c>
      <c r="D1295" t="inlineStr">
        <is>
          <t>WILCOX</t>
        </is>
      </c>
      <c r="E1295" t="inlineStr">
        <is>
          <t>COURTNEY</t>
        </is>
      </c>
      <c r="F1295">
        <f>CONCATENATE(D1295," ",LEFT(H1295,4),"T=",AU1295,"D=",AV1295,"R=",AW1295,"M=",AX1295,"L=",AY1295,"B=",AZ1295)</f>
        <v/>
      </c>
      <c r="G1295" t="inlineStr">
        <is>
          <t>GRACE</t>
        </is>
      </c>
      <c r="I1295" t="inlineStr">
        <is>
          <t>2007-07-16</t>
        </is>
      </c>
      <c r="J1295" t="inlineStr">
        <is>
          <t>2025-05-08</t>
        </is>
      </c>
      <c r="K1295" t="inlineStr">
        <is>
          <t>ACTIVE</t>
        </is>
      </c>
      <c r="M1295" t="inlineStr">
        <is>
          <t>1160 MCKINLEY ST NE</t>
        </is>
      </c>
      <c r="N1295">
        <f>RIGHT(M1295,LEN(M1295)-FIND(" ",M1295))</f>
        <v/>
      </c>
      <c r="P1295" t="inlineStr">
        <is>
          <t>WARREN</t>
        </is>
      </c>
      <c r="Q1295" t="inlineStr">
        <is>
          <t>OH</t>
        </is>
      </c>
      <c r="R1295" t="n">
        <v>44483</v>
      </c>
      <c r="AD1295" t="inlineStr">
        <is>
          <t>TRUMBULL CAREER &amp; TECH CENTER</t>
        </is>
      </c>
      <c r="AE1295" t="inlineStr">
        <is>
          <t>WARREN CITY</t>
        </is>
      </c>
      <c r="AF1295" t="inlineStr">
        <is>
          <t>WARREN CITY SD</t>
        </is>
      </c>
      <c r="AH1295" t="n">
        <v>14</v>
      </c>
      <c r="AI1295" t="n">
        <v>11</v>
      </c>
      <c r="AN1295" t="inlineStr">
        <is>
          <t>WARREN</t>
        </is>
      </c>
      <c r="AO1295" t="inlineStr">
        <is>
          <t>WARREN CITY 4D</t>
        </is>
      </c>
      <c r="AP1295" t="inlineStr">
        <is>
          <t>78-P-ADL</t>
        </is>
      </c>
      <c r="AQ1295" t="n">
        <v>9</v>
      </c>
      <c r="AR1295" t="n">
        <v>64</v>
      </c>
      <c r="AS1295" t="n">
        <v>32</v>
      </c>
      <c r="AU1295">
        <f>COUNTA($BA$1295:$EH$1295)</f>
        <v/>
      </c>
      <c r="AV1295">
        <f>COUNTIF($BA$1295:$EH$1295,"D")</f>
        <v/>
      </c>
      <c r="AW1295">
        <f>COUNTIF($BA$1295:$EH$1295,"R")</f>
        <v/>
      </c>
      <c r="AX1295">
        <f>IF(BN1295="D",1,0)+IF(BO1295="D",1,0)+IF(BT1295="D",1,0)+IF(BU1295="D",1,0)+IF(BW1295="D",1,0)+IF(CC1295="D",1,0)+IF(CD1295="D",1,0)+IF(CE1295="D",1,0)+IF(CF1295="D",1,0)+IF(CL1295="D",1,0)+IF(CM1295="D",1,0)+IF(CQ1295="D",1,0)+IF(CR1295="D",1,0)+IF(CS1295="D",1,0)+IF(CW1295="D",1,0)+IF(CX1295="D",1,0)+IF(DD1295="D",1,0)+IF(DE1295="D",1,0)+IF(DJ1295="D",1,0)+IF(DK1295="D",1,0)+IF(DO1295="D",1,0)+IF(DP1295="D",1,0)+IF(DQ1295="D",1,0)+IF(DW1295="D",1,0)+IF(DZ1295="D",1,0)+IF(EH1295="D",1,0)</f>
        <v/>
      </c>
      <c r="AY1295">
        <f>IF(DJ1295&lt;&gt;"",1,0)+IF(DK1295&lt;&gt;"",1,0)+IF(DM1295&lt;&gt;"",1,0)+IF(DO1295&lt;&gt;"",1,0)+IF(DP1295&lt;&gt;"",1,0)+IF(DQ1295&lt;&gt;"",1,0)+IF(DS1295&lt;&gt;"",1,0)+IF(DT1295&lt;&gt;"",1,0)+IF(DV1295&lt;&gt;"",1,0)+IF(DW1295&lt;&gt;"",1,0)+IF(DX1295&lt;&gt;"",1,0)+IF(DY1295&lt;&gt;"",1,0)+IF(DZ1295&lt;&gt;"",1,0)+IF(EB1295&lt;&gt;"",1,0)+IF(EC1295&lt;&gt;"",1,0)+IF(ED1295&lt;&gt;"",1,0)+IF(EG1295&lt;&gt;"",1,0)+IF(EH1295&lt;&gt;"",1,0)</f>
        <v/>
      </c>
      <c r="AZ1295">
        <f>IF(EH1295&lt;&gt;"",1,0)</f>
        <v/>
      </c>
      <c r="BB1295" t="inlineStr">
        <is>
          <t>WARREN-WARD 4</t>
        </is>
      </c>
    </row>
    <row r="1296">
      <c r="A1296" t="inlineStr">
        <is>
          <t>OH0015688417</t>
        </is>
      </c>
      <c r="B1296" t="n">
        <v>78</v>
      </c>
      <c r="C1296" t="n">
        <v>128886</v>
      </c>
      <c r="D1296" t="inlineStr">
        <is>
          <t>ROBINSON</t>
        </is>
      </c>
      <c r="E1296" t="inlineStr">
        <is>
          <t>CYNTHIA</t>
        </is>
      </c>
      <c r="F1296">
        <f>CONCATENATE(D1296," ",LEFT(H1296,4),"T=",AU1296,"D=",AV1296,"R=",AW1296,"M=",AX1296,"L=",AY1296,"B=",AZ1296)</f>
        <v/>
      </c>
      <c r="I1296" t="inlineStr">
        <is>
          <t>1954-03-18</t>
        </is>
      </c>
      <c r="J1296" t="inlineStr">
        <is>
          <t>1980-06-02</t>
        </is>
      </c>
      <c r="K1296" t="inlineStr">
        <is>
          <t>ACTIVE</t>
        </is>
      </c>
      <c r="M1296" t="inlineStr">
        <is>
          <t>640 PAIGE AVE NE</t>
        </is>
      </c>
      <c r="N1296">
        <f>RIGHT(M1296,LEN(M1296)-FIND(" ",M1296))</f>
        <v/>
      </c>
      <c r="P1296" t="inlineStr">
        <is>
          <t>WARREN</t>
        </is>
      </c>
      <c r="Q1296" t="inlineStr">
        <is>
          <t>OH</t>
        </is>
      </c>
      <c r="R1296" t="n">
        <v>44483</v>
      </c>
      <c r="AD1296" t="inlineStr">
        <is>
          <t>TRUMBULL CAREER &amp; TECH CENTER</t>
        </is>
      </c>
      <c r="AE1296" t="inlineStr">
        <is>
          <t>WARREN CITY</t>
        </is>
      </c>
      <c r="AF1296" t="inlineStr">
        <is>
          <t>WARREN CITY SD</t>
        </is>
      </c>
      <c r="AH1296" t="n">
        <v>14</v>
      </c>
      <c r="AI1296" t="n">
        <v>11</v>
      </c>
      <c r="AN1296" t="inlineStr">
        <is>
          <t>WARREN</t>
        </is>
      </c>
      <c r="AO1296" t="inlineStr">
        <is>
          <t>WARREN CITY 4D</t>
        </is>
      </c>
      <c r="AP1296" t="inlineStr">
        <is>
          <t>78-P-ADL</t>
        </is>
      </c>
      <c r="AQ1296" t="n">
        <v>9</v>
      </c>
      <c r="AR1296" t="n">
        <v>64</v>
      </c>
      <c r="AS1296" t="n">
        <v>32</v>
      </c>
      <c r="AU1296">
        <f>COUNTA($BA$1296:$EH$1296)</f>
        <v/>
      </c>
      <c r="AV1296">
        <f>COUNTIF($BA$1296:$EH$1296,"D")</f>
        <v/>
      </c>
      <c r="AW1296">
        <f>COUNTIF($BA$1296:$EH$1296,"R")</f>
        <v/>
      </c>
      <c r="AX1296">
        <f>IF(BN1296="D",1,0)+IF(BO1296="D",1,0)+IF(BT1296="D",1,0)+IF(BU1296="D",1,0)+IF(BW1296="D",1,0)+IF(CC1296="D",1,0)+IF(CD1296="D",1,0)+IF(CE1296="D",1,0)+IF(CF1296="D",1,0)+IF(CL1296="D",1,0)+IF(CM1296="D",1,0)+IF(CQ1296="D",1,0)+IF(CR1296="D",1,0)+IF(CS1296="D",1,0)+IF(CW1296="D",1,0)+IF(CX1296="D",1,0)+IF(DD1296="D",1,0)+IF(DE1296="D",1,0)+IF(DJ1296="D",1,0)+IF(DK1296="D",1,0)+IF(DO1296="D",1,0)+IF(DP1296="D",1,0)+IF(DQ1296="D",1,0)+IF(DW1296="D",1,0)+IF(DZ1296="D",1,0)+IF(EH1296="D",1,0)</f>
        <v/>
      </c>
      <c r="AY1296">
        <f>IF(DJ1296&lt;&gt;"",1,0)+IF(DK1296&lt;&gt;"",1,0)+IF(DM1296&lt;&gt;"",1,0)+IF(DO1296&lt;&gt;"",1,0)+IF(DP1296&lt;&gt;"",1,0)+IF(DQ1296&lt;&gt;"",1,0)+IF(DS1296&lt;&gt;"",1,0)+IF(DT1296&lt;&gt;"",1,0)+IF(DV1296&lt;&gt;"",1,0)+IF(DW1296&lt;&gt;"",1,0)+IF(DX1296&lt;&gt;"",1,0)+IF(DY1296&lt;&gt;"",1,0)+IF(DZ1296&lt;&gt;"",1,0)+IF(EB1296&lt;&gt;"",1,0)+IF(EC1296&lt;&gt;"",1,0)+IF(ED1296&lt;&gt;"",1,0)+IF(EG1296&lt;&gt;"",1,0)+IF(EH1296&lt;&gt;"",1,0)</f>
        <v/>
      </c>
      <c r="AZ1296">
        <f>IF(EH1296&lt;&gt;"",1,0)</f>
        <v/>
      </c>
      <c r="BB1296" t="inlineStr">
        <is>
          <t>WARREN-WARD 4</t>
        </is>
      </c>
      <c r="BC1296" t="inlineStr">
        <is>
          <t>X</t>
        </is>
      </c>
      <c r="BD1296" t="inlineStr">
        <is>
          <t>X</t>
        </is>
      </c>
      <c r="BF1296" t="inlineStr">
        <is>
          <t>X</t>
        </is>
      </c>
      <c r="BH1296" t="inlineStr">
        <is>
          <t>X</t>
        </is>
      </c>
      <c r="BJ1296" t="inlineStr">
        <is>
          <t>X</t>
        </is>
      </c>
      <c r="BL1296" t="inlineStr">
        <is>
          <t>X</t>
        </is>
      </c>
      <c r="BR1296" t="inlineStr">
        <is>
          <t>X</t>
        </is>
      </c>
      <c r="BS1296" t="inlineStr">
        <is>
          <t>X</t>
        </is>
      </c>
      <c r="BV1296" t="inlineStr">
        <is>
          <t>X</t>
        </is>
      </c>
      <c r="BY1296" t="inlineStr">
        <is>
          <t>D</t>
        </is>
      </c>
      <c r="CA1296" t="inlineStr">
        <is>
          <t>X</t>
        </is>
      </c>
      <c r="CK1296" t="inlineStr">
        <is>
          <t>X</t>
        </is>
      </c>
      <c r="CN1296" t="inlineStr">
        <is>
          <t>X</t>
        </is>
      </c>
      <c r="CO1296" t="inlineStr">
        <is>
          <t>R</t>
        </is>
      </c>
      <c r="CP1296" t="inlineStr">
        <is>
          <t>X</t>
        </is>
      </c>
      <c r="CT1296" t="inlineStr">
        <is>
          <t>X</t>
        </is>
      </c>
      <c r="CV1296" t="inlineStr">
        <is>
          <t>X</t>
        </is>
      </c>
      <c r="CY1296" t="inlineStr">
        <is>
          <t>X</t>
        </is>
      </c>
      <c r="CZ1296" t="inlineStr">
        <is>
          <t>D</t>
        </is>
      </c>
      <c r="DC1296" t="inlineStr">
        <is>
          <t>X</t>
        </is>
      </c>
      <c r="DG1296" t="inlineStr">
        <is>
          <t>D</t>
        </is>
      </c>
      <c r="DI1296" t="inlineStr">
        <is>
          <t>X</t>
        </is>
      </c>
      <c r="DJ1296" t="inlineStr">
        <is>
          <t>D</t>
        </is>
      </c>
      <c r="DN1296" t="inlineStr">
        <is>
          <t>X</t>
        </is>
      </c>
      <c r="DR1296" t="inlineStr">
        <is>
          <t>X</t>
        </is>
      </c>
      <c r="DU1296" t="inlineStr">
        <is>
          <t>X</t>
        </is>
      </c>
      <c r="EA1296" t="inlineStr">
        <is>
          <t>X</t>
        </is>
      </c>
      <c r="EF1296" t="inlineStr">
        <is>
          <t>X</t>
        </is>
      </c>
    </row>
    <row r="1297">
      <c r="A1297" t="inlineStr">
        <is>
          <t>OH0024620331</t>
        </is>
      </c>
      <c r="B1297" t="n">
        <v>78</v>
      </c>
      <c r="C1297" t="n">
        <v>431483</v>
      </c>
      <c r="D1297" t="inlineStr">
        <is>
          <t>MARKHAM</t>
        </is>
      </c>
      <c r="E1297" t="inlineStr">
        <is>
          <t>TODD</t>
        </is>
      </c>
      <c r="F1297">
        <f>CONCATENATE(D1297," ",LEFT(H1297,4),"T=",AU1297,"D=",AV1297,"R=",AW1297,"M=",AX1297,"L=",AY1297,"B=",AZ1297)</f>
        <v/>
      </c>
      <c r="I1297" t="inlineStr">
        <is>
          <t>1975-10-10</t>
        </is>
      </c>
      <c r="J1297" t="inlineStr">
        <is>
          <t>2018-05-04</t>
        </is>
      </c>
      <c r="K1297" t="inlineStr">
        <is>
          <t>CONFIRMATION</t>
        </is>
      </c>
      <c r="M1297" t="inlineStr">
        <is>
          <t>254 WASHINGTON ST NE</t>
        </is>
      </c>
      <c r="N1297">
        <f>RIGHT(M1297,LEN(M1297)-FIND(" ",M1297))</f>
        <v/>
      </c>
      <c r="P1297" t="inlineStr">
        <is>
          <t>WARREN</t>
        </is>
      </c>
      <c r="Q1297" t="inlineStr">
        <is>
          <t>OH</t>
        </is>
      </c>
      <c r="R1297" t="n">
        <v>44483</v>
      </c>
      <c r="AD1297" t="inlineStr">
        <is>
          <t>TRUMBULL CAREER &amp; TECH CENTER</t>
        </is>
      </c>
      <c r="AE1297" t="inlineStr">
        <is>
          <t>WARREN CITY</t>
        </is>
      </c>
      <c r="AF1297" t="inlineStr">
        <is>
          <t>WARREN CITY SD</t>
        </is>
      </c>
      <c r="AH1297" t="n">
        <v>14</v>
      </c>
      <c r="AI1297" t="n">
        <v>11</v>
      </c>
      <c r="AN1297" t="inlineStr">
        <is>
          <t>WARREN</t>
        </is>
      </c>
      <c r="AO1297" t="inlineStr">
        <is>
          <t>WARREN CITY 4D</t>
        </is>
      </c>
      <c r="AP1297" t="inlineStr">
        <is>
          <t>78-P-ADL</t>
        </is>
      </c>
      <c r="AQ1297" t="n">
        <v>9</v>
      </c>
      <c r="AR1297" t="n">
        <v>64</v>
      </c>
      <c r="AS1297" t="n">
        <v>32</v>
      </c>
      <c r="AU1297">
        <f>COUNTA($BA$1297:$EH$1297)</f>
        <v/>
      </c>
      <c r="AV1297">
        <f>COUNTIF($BA$1297:$EH$1297,"D")</f>
        <v/>
      </c>
      <c r="AW1297">
        <f>COUNTIF($BA$1297:$EH$1297,"R")</f>
        <v/>
      </c>
      <c r="AX1297">
        <f>IF(BN1297="D",1,0)+IF(BO1297="D",1,0)+IF(BT1297="D",1,0)+IF(BU1297="D",1,0)+IF(BW1297="D",1,0)+IF(CC1297="D",1,0)+IF(CD1297="D",1,0)+IF(CE1297="D",1,0)+IF(CF1297="D",1,0)+IF(CL1297="D",1,0)+IF(CM1297="D",1,0)+IF(CQ1297="D",1,0)+IF(CR1297="D",1,0)+IF(CS1297="D",1,0)+IF(CW1297="D",1,0)+IF(CX1297="D",1,0)+IF(DD1297="D",1,0)+IF(DE1297="D",1,0)+IF(DJ1297="D",1,0)+IF(DK1297="D",1,0)+IF(DO1297="D",1,0)+IF(DP1297="D",1,0)+IF(DQ1297="D",1,0)+IF(DW1297="D",1,0)+IF(DZ1297="D",1,0)+IF(EH1297="D",1,0)</f>
        <v/>
      </c>
      <c r="AY1297">
        <f>IF(DJ1297&lt;&gt;"",1,0)+IF(DK1297&lt;&gt;"",1,0)+IF(DM1297&lt;&gt;"",1,0)+IF(DO1297&lt;&gt;"",1,0)+IF(DP1297&lt;&gt;"",1,0)+IF(DQ1297&lt;&gt;"",1,0)+IF(DS1297&lt;&gt;"",1,0)+IF(DT1297&lt;&gt;"",1,0)+IF(DV1297&lt;&gt;"",1,0)+IF(DW1297&lt;&gt;"",1,0)+IF(DX1297&lt;&gt;"",1,0)+IF(DY1297&lt;&gt;"",1,0)+IF(DZ1297&lt;&gt;"",1,0)+IF(EB1297&lt;&gt;"",1,0)+IF(EC1297&lt;&gt;"",1,0)+IF(ED1297&lt;&gt;"",1,0)+IF(EG1297&lt;&gt;"",1,0)+IF(EH1297&lt;&gt;"",1,0)</f>
        <v/>
      </c>
      <c r="AZ1297">
        <f>IF(EH1297&lt;&gt;"",1,0)</f>
        <v/>
      </c>
      <c r="BB1297" t="inlineStr">
        <is>
          <t>WARREN-WARD 4</t>
        </is>
      </c>
      <c r="BD1297" t="inlineStr">
        <is>
          <t>X</t>
        </is>
      </c>
      <c r="BP1297" t="inlineStr">
        <is>
          <t>X</t>
        </is>
      </c>
      <c r="CA1297" t="inlineStr">
        <is>
          <t>X</t>
        </is>
      </c>
    </row>
    <row r="1298">
      <c r="A1298" t="inlineStr">
        <is>
          <t>OH0015754179</t>
        </is>
      </c>
      <c r="B1298" t="n">
        <v>78</v>
      </c>
      <c r="C1298" t="n">
        <v>240827</v>
      </c>
      <c r="D1298" t="inlineStr">
        <is>
          <t>HARRIS</t>
        </is>
      </c>
      <c r="E1298" t="inlineStr">
        <is>
          <t>RANDY</t>
        </is>
      </c>
      <c r="F1298">
        <f>CONCATENATE(D1298," ",LEFT(H1298,4),"T=",AU1298,"D=",AV1298,"R=",AW1298,"M=",AX1298,"L=",AY1298,"B=",AZ1298)</f>
        <v/>
      </c>
      <c r="I1298" t="inlineStr">
        <is>
          <t>1955-12-27</t>
        </is>
      </c>
      <c r="J1298" t="inlineStr">
        <is>
          <t>2024-08-08</t>
        </is>
      </c>
      <c r="K1298" t="inlineStr">
        <is>
          <t>ACTIVE</t>
        </is>
      </c>
      <c r="M1298" t="inlineStr">
        <is>
          <t>182 HIGH ST NE</t>
        </is>
      </c>
      <c r="N1298">
        <f>RIGHT(M1298,LEN(M1298)-FIND(" ",M1298))</f>
        <v/>
      </c>
      <c r="O1298" t="inlineStr">
        <is>
          <t>APT 411</t>
        </is>
      </c>
      <c r="P1298" t="inlineStr">
        <is>
          <t>WARREN</t>
        </is>
      </c>
      <c r="Q1298" t="inlineStr">
        <is>
          <t>OH</t>
        </is>
      </c>
      <c r="R1298" t="n">
        <v>44481</v>
      </c>
      <c r="AD1298" t="inlineStr">
        <is>
          <t>TRUMBULL CAREER &amp; TECH CENTER</t>
        </is>
      </c>
      <c r="AE1298" t="inlineStr">
        <is>
          <t>WARREN CITY</t>
        </is>
      </c>
      <c r="AF1298" t="inlineStr">
        <is>
          <t>WARREN CITY SD</t>
        </is>
      </c>
      <c r="AH1298" t="n">
        <v>14</v>
      </c>
      <c r="AI1298" t="n">
        <v>11</v>
      </c>
      <c r="AN1298" t="inlineStr">
        <is>
          <t>WARREN</t>
        </is>
      </c>
      <c r="AO1298" t="inlineStr">
        <is>
          <t>WARREN CITY 4D</t>
        </is>
      </c>
      <c r="AP1298" t="inlineStr">
        <is>
          <t>78-P-ADL</t>
        </is>
      </c>
      <c r="AQ1298" t="n">
        <v>9</v>
      </c>
      <c r="AR1298" t="n">
        <v>64</v>
      </c>
      <c r="AS1298" t="n">
        <v>32</v>
      </c>
      <c r="AU1298">
        <f>COUNTA($BA$1298:$EH$1298)</f>
        <v/>
      </c>
      <c r="AV1298">
        <f>COUNTIF($BA$1298:$EH$1298,"D")</f>
        <v/>
      </c>
      <c r="AW1298">
        <f>COUNTIF($BA$1298:$EH$1298,"R")</f>
        <v/>
      </c>
      <c r="AX1298">
        <f>IF(BN1298="D",1,0)+IF(BO1298="D",1,0)+IF(BT1298="D",1,0)+IF(BU1298="D",1,0)+IF(BW1298="D",1,0)+IF(CC1298="D",1,0)+IF(CD1298="D",1,0)+IF(CE1298="D",1,0)+IF(CF1298="D",1,0)+IF(CL1298="D",1,0)+IF(CM1298="D",1,0)+IF(CQ1298="D",1,0)+IF(CR1298="D",1,0)+IF(CS1298="D",1,0)+IF(CW1298="D",1,0)+IF(CX1298="D",1,0)+IF(DD1298="D",1,0)+IF(DE1298="D",1,0)+IF(DJ1298="D",1,0)+IF(DK1298="D",1,0)+IF(DO1298="D",1,0)+IF(DP1298="D",1,0)+IF(DQ1298="D",1,0)+IF(DW1298="D",1,0)+IF(DZ1298="D",1,0)+IF(EH1298="D",1,0)</f>
        <v/>
      </c>
      <c r="AY1298">
        <f>IF(DJ1298&lt;&gt;"",1,0)+IF(DK1298&lt;&gt;"",1,0)+IF(DM1298&lt;&gt;"",1,0)+IF(DO1298&lt;&gt;"",1,0)+IF(DP1298&lt;&gt;"",1,0)+IF(DQ1298&lt;&gt;"",1,0)+IF(DS1298&lt;&gt;"",1,0)+IF(DT1298&lt;&gt;"",1,0)+IF(DV1298&lt;&gt;"",1,0)+IF(DW1298&lt;&gt;"",1,0)+IF(DX1298&lt;&gt;"",1,0)+IF(DY1298&lt;&gt;"",1,0)+IF(DZ1298&lt;&gt;"",1,0)+IF(EB1298&lt;&gt;"",1,0)+IF(EC1298&lt;&gt;"",1,0)+IF(ED1298&lt;&gt;"",1,0)+IF(EG1298&lt;&gt;"",1,0)+IF(EH1298&lt;&gt;"",1,0)</f>
        <v/>
      </c>
      <c r="AZ1298">
        <f>IF(EH1298&lt;&gt;"",1,0)</f>
        <v/>
      </c>
      <c r="BB1298" t="inlineStr">
        <is>
          <t>WARREN-WARD 4</t>
        </is>
      </c>
      <c r="BC1298" t="inlineStr">
        <is>
          <t>X</t>
        </is>
      </c>
      <c r="BD1298" t="inlineStr">
        <is>
          <t>X</t>
        </is>
      </c>
      <c r="BG1298" t="inlineStr">
        <is>
          <t>X</t>
        </is>
      </c>
      <c r="BH1298" t="inlineStr">
        <is>
          <t>X</t>
        </is>
      </c>
      <c r="BJ1298" t="inlineStr">
        <is>
          <t>X</t>
        </is>
      </c>
      <c r="BL1298" t="inlineStr">
        <is>
          <t>X</t>
        </is>
      </c>
      <c r="CA1298" t="inlineStr">
        <is>
          <t>X</t>
        </is>
      </c>
      <c r="CP1298" t="inlineStr">
        <is>
          <t>X</t>
        </is>
      </c>
      <c r="CY1298" t="inlineStr">
        <is>
          <t>X</t>
        </is>
      </c>
      <c r="DC1298" t="inlineStr">
        <is>
          <t>X</t>
        </is>
      </c>
    </row>
    <row r="1299">
      <c r="A1299" t="inlineStr">
        <is>
          <t>OH0027103516</t>
        </is>
      </c>
      <c r="B1299" t="n">
        <v>78</v>
      </c>
      <c r="C1299" t="n">
        <v>477056</v>
      </c>
      <c r="D1299" t="inlineStr">
        <is>
          <t>JUNG</t>
        </is>
      </c>
      <c r="E1299" t="inlineStr">
        <is>
          <t>JOON YOUNG</t>
        </is>
      </c>
      <c r="F1299">
        <f>CONCATENATE(D1299," ",LEFT(H1299,4),"T=",AU1299,"D=",AV1299,"R=",AW1299,"M=",AX1299,"L=",AY1299,"B=",AZ1299)</f>
        <v/>
      </c>
      <c r="I1299" t="inlineStr">
        <is>
          <t>1979-02-17</t>
        </is>
      </c>
      <c r="J1299" t="inlineStr">
        <is>
          <t>2024-07-26</t>
        </is>
      </c>
      <c r="K1299" t="inlineStr">
        <is>
          <t>ACTIVE</t>
        </is>
      </c>
      <c r="M1299" t="inlineStr">
        <is>
          <t>197 W MARKET ST</t>
        </is>
      </c>
      <c r="N1299">
        <f>RIGHT(M1299,LEN(M1299)-FIND(" ",M1299))</f>
        <v/>
      </c>
      <c r="O1299" t="inlineStr">
        <is>
          <t>STE 501</t>
        </is>
      </c>
      <c r="P1299" t="inlineStr">
        <is>
          <t>WARREN</t>
        </is>
      </c>
      <c r="Q1299" t="inlineStr">
        <is>
          <t>OH</t>
        </is>
      </c>
      <c r="R1299" t="n">
        <v>44481</v>
      </c>
      <c r="AD1299" t="inlineStr">
        <is>
          <t>TRUMBULL CAREER &amp; TECH CENTER</t>
        </is>
      </c>
      <c r="AE1299" t="inlineStr">
        <is>
          <t>WARREN CITY</t>
        </is>
      </c>
      <c r="AF1299" t="inlineStr">
        <is>
          <t>WARREN CITY SD</t>
        </is>
      </c>
      <c r="AH1299" t="n">
        <v>14</v>
      </c>
      <c r="AI1299" t="n">
        <v>11</v>
      </c>
      <c r="AN1299" t="inlineStr">
        <is>
          <t>WARREN</t>
        </is>
      </c>
      <c r="AO1299" t="inlineStr">
        <is>
          <t>WARREN CITY 4D</t>
        </is>
      </c>
      <c r="AP1299" t="inlineStr">
        <is>
          <t>78-P-ADL</t>
        </is>
      </c>
      <c r="AQ1299" t="n">
        <v>9</v>
      </c>
      <c r="AR1299" t="n">
        <v>64</v>
      </c>
      <c r="AS1299" t="n">
        <v>32</v>
      </c>
      <c r="AU1299">
        <f>COUNTA($BA$1299:$EH$1299)</f>
        <v/>
      </c>
      <c r="AV1299">
        <f>COUNTIF($BA$1299:$EH$1299,"D")</f>
        <v/>
      </c>
      <c r="AW1299">
        <f>COUNTIF($BA$1299:$EH$1299,"R")</f>
        <v/>
      </c>
      <c r="AX1299">
        <f>IF(BN1299="D",1,0)+IF(BO1299="D",1,0)+IF(BT1299="D",1,0)+IF(BU1299="D",1,0)+IF(BW1299="D",1,0)+IF(CC1299="D",1,0)+IF(CD1299="D",1,0)+IF(CE1299="D",1,0)+IF(CF1299="D",1,0)+IF(CL1299="D",1,0)+IF(CM1299="D",1,0)+IF(CQ1299="D",1,0)+IF(CR1299="D",1,0)+IF(CS1299="D",1,0)+IF(CW1299="D",1,0)+IF(CX1299="D",1,0)+IF(DD1299="D",1,0)+IF(DE1299="D",1,0)+IF(DJ1299="D",1,0)+IF(DK1299="D",1,0)+IF(DO1299="D",1,0)+IF(DP1299="D",1,0)+IF(DQ1299="D",1,0)+IF(DW1299="D",1,0)+IF(DZ1299="D",1,0)+IF(EH1299="D",1,0)</f>
        <v/>
      </c>
      <c r="AY1299">
        <f>IF(DJ1299&lt;&gt;"",1,0)+IF(DK1299&lt;&gt;"",1,0)+IF(DM1299&lt;&gt;"",1,0)+IF(DO1299&lt;&gt;"",1,0)+IF(DP1299&lt;&gt;"",1,0)+IF(DQ1299&lt;&gt;"",1,0)+IF(DS1299&lt;&gt;"",1,0)+IF(DT1299&lt;&gt;"",1,0)+IF(DV1299&lt;&gt;"",1,0)+IF(DW1299&lt;&gt;"",1,0)+IF(DX1299&lt;&gt;"",1,0)+IF(DY1299&lt;&gt;"",1,0)+IF(DZ1299&lt;&gt;"",1,0)+IF(EB1299&lt;&gt;"",1,0)+IF(EC1299&lt;&gt;"",1,0)+IF(ED1299&lt;&gt;"",1,0)+IF(EG1299&lt;&gt;"",1,0)+IF(EH1299&lt;&gt;"",1,0)</f>
        <v/>
      </c>
      <c r="AZ1299">
        <f>IF(EH1299&lt;&gt;"",1,0)</f>
        <v/>
      </c>
      <c r="BB1299" t="inlineStr">
        <is>
          <t>WARREN-WARD 4</t>
        </is>
      </c>
      <c r="EF1299" t="inlineStr">
        <is>
          <t>X</t>
        </is>
      </c>
    </row>
    <row r="1300">
      <c r="A1300" t="inlineStr">
        <is>
          <t>OH0020222643</t>
        </is>
      </c>
      <c r="B1300" t="n">
        <v>78</v>
      </c>
      <c r="C1300" t="n">
        <v>364271</v>
      </c>
      <c r="D1300" t="inlineStr">
        <is>
          <t>CARMICHAEL</t>
        </is>
      </c>
      <c r="E1300" t="inlineStr">
        <is>
          <t>SANDRA</t>
        </is>
      </c>
      <c r="F1300">
        <f>CONCATENATE(D1300," ",LEFT(H1300,4),"T=",AU1300,"D=",AV1300,"R=",AW1300,"M=",AX1300,"L=",AY1300,"B=",AZ1300)</f>
        <v/>
      </c>
      <c r="G1300" t="inlineStr">
        <is>
          <t>S</t>
        </is>
      </c>
      <c r="I1300" t="inlineStr">
        <is>
          <t>1946-08-28</t>
        </is>
      </c>
      <c r="J1300" t="inlineStr">
        <is>
          <t>2016-08-04</t>
        </is>
      </c>
      <c r="K1300" t="inlineStr">
        <is>
          <t>ACTIVE</t>
        </is>
      </c>
      <c r="M1300" t="inlineStr">
        <is>
          <t>182 HIGH ST NE</t>
        </is>
      </c>
      <c r="N1300">
        <f>RIGHT(M1300,LEN(M1300)-FIND(" ",M1300))</f>
        <v/>
      </c>
      <c r="O1300" t="inlineStr">
        <is>
          <t>APT 403</t>
        </is>
      </c>
      <c r="P1300" t="inlineStr">
        <is>
          <t>WARREN</t>
        </is>
      </c>
      <c r="Q1300" t="inlineStr">
        <is>
          <t>OH</t>
        </is>
      </c>
      <c r="R1300" t="n">
        <v>44481</v>
      </c>
      <c r="AD1300" t="inlineStr">
        <is>
          <t>TRUMBULL CAREER &amp; TECH CENTER</t>
        </is>
      </c>
      <c r="AE1300" t="inlineStr">
        <is>
          <t>WARREN CITY</t>
        </is>
      </c>
      <c r="AF1300" t="inlineStr">
        <is>
          <t>WARREN CITY SD</t>
        </is>
      </c>
      <c r="AH1300" t="n">
        <v>14</v>
      </c>
      <c r="AI1300" t="n">
        <v>11</v>
      </c>
      <c r="AN1300" t="inlineStr">
        <is>
          <t>WARREN</t>
        </is>
      </c>
      <c r="AO1300" t="inlineStr">
        <is>
          <t>WARREN CITY 4D</t>
        </is>
      </c>
      <c r="AP1300" t="inlineStr">
        <is>
          <t>78-P-ADL</t>
        </is>
      </c>
      <c r="AQ1300" t="n">
        <v>9</v>
      </c>
      <c r="AR1300" t="n">
        <v>64</v>
      </c>
      <c r="AS1300" t="n">
        <v>32</v>
      </c>
      <c r="AU1300">
        <f>COUNTA($BA$1300:$EH$1300)</f>
        <v/>
      </c>
      <c r="AV1300">
        <f>COUNTIF($BA$1300:$EH$1300,"D")</f>
        <v/>
      </c>
      <c r="AW1300">
        <f>COUNTIF($BA$1300:$EH$1300,"R")</f>
        <v/>
      </c>
      <c r="AX1300">
        <f>IF(BN1300="D",1,0)+IF(BO1300="D",1,0)+IF(BT1300="D",1,0)+IF(BU1300="D",1,0)+IF(BW1300="D",1,0)+IF(CC1300="D",1,0)+IF(CD1300="D",1,0)+IF(CE1300="D",1,0)+IF(CF1300="D",1,0)+IF(CL1300="D",1,0)+IF(CM1300="D",1,0)+IF(CQ1300="D",1,0)+IF(CR1300="D",1,0)+IF(CS1300="D",1,0)+IF(CW1300="D",1,0)+IF(CX1300="D",1,0)+IF(DD1300="D",1,0)+IF(DE1300="D",1,0)+IF(DJ1300="D",1,0)+IF(DK1300="D",1,0)+IF(DO1300="D",1,0)+IF(DP1300="D",1,0)+IF(DQ1300="D",1,0)+IF(DW1300="D",1,0)+IF(DZ1300="D",1,0)+IF(EH1300="D",1,0)</f>
        <v/>
      </c>
      <c r="AY1300">
        <f>IF(DJ1300&lt;&gt;"",1,0)+IF(DK1300&lt;&gt;"",1,0)+IF(DM1300&lt;&gt;"",1,0)+IF(DO1300&lt;&gt;"",1,0)+IF(DP1300&lt;&gt;"",1,0)+IF(DQ1300&lt;&gt;"",1,0)+IF(DS1300&lt;&gt;"",1,0)+IF(DT1300&lt;&gt;"",1,0)+IF(DV1300&lt;&gt;"",1,0)+IF(DW1300&lt;&gt;"",1,0)+IF(DX1300&lt;&gt;"",1,0)+IF(DY1300&lt;&gt;"",1,0)+IF(DZ1300&lt;&gt;"",1,0)+IF(EB1300&lt;&gt;"",1,0)+IF(EC1300&lt;&gt;"",1,0)+IF(ED1300&lt;&gt;"",1,0)+IF(EG1300&lt;&gt;"",1,0)+IF(EH1300&lt;&gt;"",1,0)</f>
        <v/>
      </c>
      <c r="AZ1300">
        <f>IF(EH1300&lt;&gt;"",1,0)</f>
        <v/>
      </c>
      <c r="BB1300" t="inlineStr">
        <is>
          <t>WARREN-WARD 4</t>
        </is>
      </c>
      <c r="CA1300" t="inlineStr">
        <is>
          <t>X</t>
        </is>
      </c>
      <c r="CP1300" t="inlineStr">
        <is>
          <t>X</t>
        </is>
      </c>
      <c r="DN1300" t="inlineStr">
        <is>
          <t>X</t>
        </is>
      </c>
      <c r="DU1300" t="inlineStr">
        <is>
          <t>X</t>
        </is>
      </c>
      <c r="EF1300" t="inlineStr">
        <is>
          <t>X</t>
        </is>
      </c>
    </row>
    <row r="1301">
      <c r="A1301" t="inlineStr">
        <is>
          <t>OH0027889909</t>
        </is>
      </c>
      <c r="B1301" t="n">
        <v>78</v>
      </c>
      <c r="C1301" t="n">
        <v>494905</v>
      </c>
      <c r="D1301" t="inlineStr">
        <is>
          <t>MEALY</t>
        </is>
      </c>
      <c r="E1301" t="inlineStr">
        <is>
          <t>ROBERT</t>
        </is>
      </c>
      <c r="F1301">
        <f>CONCATENATE(D1301," ",LEFT(H1301,4),"T=",AU1301,"D=",AV1301,"R=",AW1301,"M=",AX1301,"L=",AY1301,"B=",AZ1301)</f>
        <v/>
      </c>
      <c r="G1301" t="inlineStr">
        <is>
          <t>JACOB</t>
        </is>
      </c>
      <c r="I1301" t="inlineStr">
        <is>
          <t>1990-01-18</t>
        </is>
      </c>
      <c r="J1301" t="inlineStr">
        <is>
          <t>2025-01-29</t>
        </is>
      </c>
      <c r="K1301" t="inlineStr">
        <is>
          <t>ACTIVE</t>
        </is>
      </c>
      <c r="M1301" t="inlineStr">
        <is>
          <t>169 LOGAN AVE NE</t>
        </is>
      </c>
      <c r="N1301">
        <f>RIGHT(M1301,LEN(M1301)-FIND(" ",M1301))</f>
        <v/>
      </c>
      <c r="P1301" t="inlineStr">
        <is>
          <t>WARREN</t>
        </is>
      </c>
      <c r="Q1301" t="inlineStr">
        <is>
          <t>OH</t>
        </is>
      </c>
      <c r="R1301" t="n">
        <v>44483</v>
      </c>
      <c r="AD1301" t="inlineStr">
        <is>
          <t>TRUMBULL CAREER &amp; TECH CENTER</t>
        </is>
      </c>
      <c r="AE1301" t="inlineStr">
        <is>
          <t>WARREN CITY</t>
        </is>
      </c>
      <c r="AF1301" t="inlineStr">
        <is>
          <t>WARREN CITY SD</t>
        </is>
      </c>
      <c r="AH1301" t="n">
        <v>14</v>
      </c>
      <c r="AI1301" t="n">
        <v>11</v>
      </c>
      <c r="AN1301" t="inlineStr">
        <is>
          <t>WARREN</t>
        </is>
      </c>
      <c r="AO1301" t="inlineStr">
        <is>
          <t>WARREN CITY 4D</t>
        </is>
      </c>
      <c r="AP1301" t="inlineStr">
        <is>
          <t>78-P-ADL</t>
        </is>
      </c>
      <c r="AQ1301" t="n">
        <v>9</v>
      </c>
      <c r="AR1301" t="n">
        <v>64</v>
      </c>
      <c r="AS1301" t="n">
        <v>32</v>
      </c>
      <c r="AU1301">
        <f>COUNTA($BA$1301:$EH$1301)</f>
        <v/>
      </c>
      <c r="AV1301">
        <f>COUNTIF($BA$1301:$EH$1301,"D")</f>
        <v/>
      </c>
      <c r="AW1301">
        <f>COUNTIF($BA$1301:$EH$1301,"R")</f>
        <v/>
      </c>
      <c r="AX1301">
        <f>IF(BN1301="D",1,0)+IF(BO1301="D",1,0)+IF(BT1301="D",1,0)+IF(BU1301="D",1,0)+IF(BW1301="D",1,0)+IF(CC1301="D",1,0)+IF(CD1301="D",1,0)+IF(CE1301="D",1,0)+IF(CF1301="D",1,0)+IF(CL1301="D",1,0)+IF(CM1301="D",1,0)+IF(CQ1301="D",1,0)+IF(CR1301="D",1,0)+IF(CS1301="D",1,0)+IF(CW1301="D",1,0)+IF(CX1301="D",1,0)+IF(DD1301="D",1,0)+IF(DE1301="D",1,0)+IF(DJ1301="D",1,0)+IF(DK1301="D",1,0)+IF(DO1301="D",1,0)+IF(DP1301="D",1,0)+IF(DQ1301="D",1,0)+IF(DW1301="D",1,0)+IF(DZ1301="D",1,0)+IF(EH1301="D",1,0)</f>
        <v/>
      </c>
      <c r="AY1301">
        <f>IF(DJ1301&lt;&gt;"",1,0)+IF(DK1301&lt;&gt;"",1,0)+IF(DM1301&lt;&gt;"",1,0)+IF(DO1301&lt;&gt;"",1,0)+IF(DP1301&lt;&gt;"",1,0)+IF(DQ1301&lt;&gt;"",1,0)+IF(DS1301&lt;&gt;"",1,0)+IF(DT1301&lt;&gt;"",1,0)+IF(DV1301&lt;&gt;"",1,0)+IF(DW1301&lt;&gt;"",1,0)+IF(DX1301&lt;&gt;"",1,0)+IF(DY1301&lt;&gt;"",1,0)+IF(DZ1301&lt;&gt;"",1,0)+IF(EB1301&lt;&gt;"",1,0)+IF(EC1301&lt;&gt;"",1,0)+IF(ED1301&lt;&gt;"",1,0)+IF(EG1301&lt;&gt;"",1,0)+IF(EH1301&lt;&gt;"",1,0)</f>
        <v/>
      </c>
      <c r="AZ1301">
        <f>IF(EH1301&lt;&gt;"",1,0)</f>
        <v/>
      </c>
      <c r="BB1301" t="inlineStr">
        <is>
          <t>WARREN-WARD 4</t>
        </is>
      </c>
    </row>
    <row r="1302">
      <c r="A1302" t="inlineStr">
        <is>
          <t>OH0025109698</t>
        </is>
      </c>
      <c r="B1302" t="n">
        <v>78</v>
      </c>
      <c r="C1302" t="n">
        <v>439547</v>
      </c>
      <c r="D1302" t="inlineStr">
        <is>
          <t>LEINGANG</t>
        </is>
      </c>
      <c r="E1302" t="inlineStr">
        <is>
          <t>TERRY</t>
        </is>
      </c>
      <c r="F1302">
        <f>CONCATENATE(D1302," ",LEFT(H1302,4),"T=",AU1302,"D=",AV1302,"R=",AW1302,"M=",AX1302,"L=",AY1302,"B=",AZ1302)</f>
        <v/>
      </c>
      <c r="G1302" t="inlineStr">
        <is>
          <t>ANN</t>
        </is>
      </c>
      <c r="I1302" t="inlineStr">
        <is>
          <t>1964-05-13</t>
        </is>
      </c>
      <c r="J1302" t="inlineStr">
        <is>
          <t>2023-06-26</t>
        </is>
      </c>
      <c r="K1302" t="inlineStr">
        <is>
          <t>ACTIVE</t>
        </is>
      </c>
      <c r="L1302" t="inlineStr">
        <is>
          <t>D</t>
        </is>
      </c>
      <c r="M1302" t="inlineStr">
        <is>
          <t>1142 HIGH ST NE</t>
        </is>
      </c>
      <c r="N1302">
        <f>RIGHT(M1302,LEN(M1302)-FIND(" ",M1302))</f>
        <v/>
      </c>
      <c r="P1302" t="inlineStr">
        <is>
          <t>WARREN</t>
        </is>
      </c>
      <c r="Q1302" t="inlineStr">
        <is>
          <t>OH</t>
        </is>
      </c>
      <c r="R1302" t="n">
        <v>44483</v>
      </c>
      <c r="AD1302" t="inlineStr">
        <is>
          <t>TRUMBULL CAREER &amp; TECH CENTER</t>
        </is>
      </c>
      <c r="AE1302" t="inlineStr">
        <is>
          <t>WARREN CITY</t>
        </is>
      </c>
      <c r="AF1302" t="inlineStr">
        <is>
          <t>WARREN CITY SD</t>
        </is>
      </c>
      <c r="AH1302" t="n">
        <v>14</v>
      </c>
      <c r="AI1302" t="n">
        <v>11</v>
      </c>
      <c r="AN1302" t="inlineStr">
        <is>
          <t>WARREN</t>
        </is>
      </c>
      <c r="AO1302" t="inlineStr">
        <is>
          <t>WARREN CITY 4D</t>
        </is>
      </c>
      <c r="AP1302" t="inlineStr">
        <is>
          <t>78-P-ADL</t>
        </is>
      </c>
      <c r="AQ1302" t="n">
        <v>9</v>
      </c>
      <c r="AR1302" t="n">
        <v>64</v>
      </c>
      <c r="AS1302" t="n">
        <v>32</v>
      </c>
      <c r="AU1302">
        <f>COUNTA($BA$1302:$EH$1302)</f>
        <v/>
      </c>
      <c r="AV1302">
        <f>COUNTIF($BA$1302:$EH$1302,"D")</f>
        <v/>
      </c>
      <c r="AW1302">
        <f>COUNTIF($BA$1302:$EH$1302,"R")</f>
        <v/>
      </c>
      <c r="AX1302">
        <f>IF(BN1302="D",1,0)+IF(BO1302="D",1,0)+IF(BT1302="D",1,0)+IF(BU1302="D",1,0)+IF(BW1302="D",1,0)+IF(CC1302="D",1,0)+IF(CD1302="D",1,0)+IF(CE1302="D",1,0)+IF(CF1302="D",1,0)+IF(CL1302="D",1,0)+IF(CM1302="D",1,0)+IF(CQ1302="D",1,0)+IF(CR1302="D",1,0)+IF(CS1302="D",1,0)+IF(CW1302="D",1,0)+IF(CX1302="D",1,0)+IF(DD1302="D",1,0)+IF(DE1302="D",1,0)+IF(DJ1302="D",1,0)+IF(DK1302="D",1,0)+IF(DO1302="D",1,0)+IF(DP1302="D",1,0)+IF(DQ1302="D",1,0)+IF(DW1302="D",1,0)+IF(DZ1302="D",1,0)+IF(EH1302="D",1,0)</f>
        <v/>
      </c>
      <c r="AY1302">
        <f>IF(DJ1302&lt;&gt;"",1,0)+IF(DK1302&lt;&gt;"",1,0)+IF(DM1302&lt;&gt;"",1,0)+IF(DO1302&lt;&gt;"",1,0)+IF(DP1302&lt;&gt;"",1,0)+IF(DQ1302&lt;&gt;"",1,0)+IF(DS1302&lt;&gt;"",1,0)+IF(DT1302&lt;&gt;"",1,0)+IF(DV1302&lt;&gt;"",1,0)+IF(DW1302&lt;&gt;"",1,0)+IF(DX1302&lt;&gt;"",1,0)+IF(DY1302&lt;&gt;"",1,0)+IF(DZ1302&lt;&gt;"",1,0)+IF(EB1302&lt;&gt;"",1,0)+IF(EC1302&lt;&gt;"",1,0)+IF(ED1302&lt;&gt;"",1,0)+IF(EG1302&lt;&gt;"",1,0)+IF(EH1302&lt;&gt;"",1,0)</f>
        <v/>
      </c>
      <c r="AZ1302">
        <f>IF(EH1302&lt;&gt;"",1,0)</f>
        <v/>
      </c>
      <c r="BB1302" t="inlineStr">
        <is>
          <t>WARREN-WARD 4</t>
        </is>
      </c>
      <c r="DM1302" t="inlineStr">
        <is>
          <t>D</t>
        </is>
      </c>
      <c r="DN1302" t="inlineStr">
        <is>
          <t>X</t>
        </is>
      </c>
      <c r="DR1302" t="inlineStr">
        <is>
          <t>X</t>
        </is>
      </c>
      <c r="DS1302" t="inlineStr">
        <is>
          <t>D</t>
        </is>
      </c>
      <c r="DU1302" t="inlineStr">
        <is>
          <t>X</t>
        </is>
      </c>
      <c r="DW1302" t="inlineStr">
        <is>
          <t>D</t>
        </is>
      </c>
      <c r="DX1302" t="inlineStr">
        <is>
          <t>X</t>
        </is>
      </c>
      <c r="EA1302" t="inlineStr">
        <is>
          <t>X</t>
        </is>
      </c>
      <c r="ED1302" t="inlineStr">
        <is>
          <t>D</t>
        </is>
      </c>
      <c r="EF1302" t="inlineStr">
        <is>
          <t>X</t>
        </is>
      </c>
      <c r="EH1302" t="inlineStr">
        <is>
          <t>D</t>
        </is>
      </c>
    </row>
    <row r="1303">
      <c r="A1303" t="inlineStr">
        <is>
          <t>OH0015695697</t>
        </is>
      </c>
      <c r="B1303" t="n">
        <v>78</v>
      </c>
      <c r="C1303" t="n">
        <v>1496</v>
      </c>
      <c r="D1303" t="inlineStr">
        <is>
          <t>BEHRENS</t>
        </is>
      </c>
      <c r="E1303" t="inlineStr">
        <is>
          <t>TOM</t>
        </is>
      </c>
      <c r="F1303">
        <f>CONCATENATE(D1303," ",LEFT(H1303,4),"T=",AU1303,"D=",AV1303,"R=",AW1303,"M=",AX1303,"L=",AY1303,"B=",AZ1303)</f>
        <v/>
      </c>
      <c r="G1303" t="inlineStr">
        <is>
          <t>A</t>
        </is>
      </c>
      <c r="I1303" t="inlineStr">
        <is>
          <t>1953-09-17</t>
        </is>
      </c>
      <c r="J1303" t="inlineStr">
        <is>
          <t>2013-07-22</t>
        </is>
      </c>
      <c r="K1303" t="inlineStr">
        <is>
          <t>CONFIRMATION</t>
        </is>
      </c>
      <c r="M1303" t="inlineStr">
        <is>
          <t>306 WASHINGTON ST NE</t>
        </is>
      </c>
      <c r="N1303">
        <f>RIGHT(M1303,LEN(M1303)-FIND(" ",M1303))</f>
        <v/>
      </c>
      <c r="P1303" t="inlineStr">
        <is>
          <t>WARREN</t>
        </is>
      </c>
      <c r="Q1303" t="inlineStr">
        <is>
          <t>OH</t>
        </is>
      </c>
      <c r="R1303" t="n">
        <v>44483</v>
      </c>
      <c r="AD1303" t="inlineStr">
        <is>
          <t>TRUMBULL CAREER &amp; TECH CENTER</t>
        </is>
      </c>
      <c r="AE1303" t="inlineStr">
        <is>
          <t>WARREN CITY</t>
        </is>
      </c>
      <c r="AF1303" t="inlineStr">
        <is>
          <t>WARREN CITY SD</t>
        </is>
      </c>
      <c r="AH1303" t="n">
        <v>14</v>
      </c>
      <c r="AI1303" t="n">
        <v>11</v>
      </c>
      <c r="AN1303" t="inlineStr">
        <is>
          <t>WARREN</t>
        </is>
      </c>
      <c r="AO1303" t="inlineStr">
        <is>
          <t>WARREN CITY 4D</t>
        </is>
      </c>
      <c r="AP1303" t="inlineStr">
        <is>
          <t>78-P-ADL</t>
        </is>
      </c>
      <c r="AQ1303" t="n">
        <v>9</v>
      </c>
      <c r="AR1303" t="n">
        <v>64</v>
      </c>
      <c r="AS1303" t="n">
        <v>32</v>
      </c>
      <c r="AU1303">
        <f>COUNTA($BA$1303:$EH$1303)</f>
        <v/>
      </c>
      <c r="AV1303">
        <f>COUNTIF($BA$1303:$EH$1303,"D")</f>
        <v/>
      </c>
      <c r="AW1303">
        <f>COUNTIF($BA$1303:$EH$1303,"R")</f>
        <v/>
      </c>
      <c r="AX1303">
        <f>IF(BN1303="D",1,0)+IF(BO1303="D",1,0)+IF(BT1303="D",1,0)+IF(BU1303="D",1,0)+IF(BW1303="D",1,0)+IF(CC1303="D",1,0)+IF(CD1303="D",1,0)+IF(CE1303="D",1,0)+IF(CF1303="D",1,0)+IF(CL1303="D",1,0)+IF(CM1303="D",1,0)+IF(CQ1303="D",1,0)+IF(CR1303="D",1,0)+IF(CS1303="D",1,0)+IF(CW1303="D",1,0)+IF(CX1303="D",1,0)+IF(DD1303="D",1,0)+IF(DE1303="D",1,0)+IF(DJ1303="D",1,0)+IF(DK1303="D",1,0)+IF(DO1303="D",1,0)+IF(DP1303="D",1,0)+IF(DQ1303="D",1,0)+IF(DW1303="D",1,0)+IF(DZ1303="D",1,0)+IF(EH1303="D",1,0)</f>
        <v/>
      </c>
      <c r="AY1303">
        <f>IF(DJ1303&lt;&gt;"",1,0)+IF(DK1303&lt;&gt;"",1,0)+IF(DM1303&lt;&gt;"",1,0)+IF(DO1303&lt;&gt;"",1,0)+IF(DP1303&lt;&gt;"",1,0)+IF(DQ1303&lt;&gt;"",1,0)+IF(DS1303&lt;&gt;"",1,0)+IF(DT1303&lt;&gt;"",1,0)+IF(DV1303&lt;&gt;"",1,0)+IF(DW1303&lt;&gt;"",1,0)+IF(DX1303&lt;&gt;"",1,0)+IF(DY1303&lt;&gt;"",1,0)+IF(DZ1303&lt;&gt;"",1,0)+IF(EB1303&lt;&gt;"",1,0)+IF(EC1303&lt;&gt;"",1,0)+IF(ED1303&lt;&gt;"",1,0)+IF(EG1303&lt;&gt;"",1,0)+IF(EH1303&lt;&gt;"",1,0)</f>
        <v/>
      </c>
      <c r="AZ1303">
        <f>IF(EH1303&lt;&gt;"",1,0)</f>
        <v/>
      </c>
      <c r="BB1303" t="inlineStr">
        <is>
          <t>WARREN-WARD 4</t>
        </is>
      </c>
      <c r="BC1303" t="inlineStr">
        <is>
          <t>X</t>
        </is>
      </c>
      <c r="BD1303" t="inlineStr">
        <is>
          <t>X</t>
        </is>
      </c>
      <c r="BE1303" t="inlineStr">
        <is>
          <t>X</t>
        </is>
      </c>
      <c r="BF1303" t="inlineStr">
        <is>
          <t>X</t>
        </is>
      </c>
      <c r="CG1303" t="inlineStr">
        <is>
          <t>X</t>
        </is>
      </c>
    </row>
    <row r="1304">
      <c r="A1304" t="inlineStr">
        <is>
          <t>OH0015747948</t>
        </is>
      </c>
      <c r="B1304" t="n">
        <v>78</v>
      </c>
      <c r="C1304" t="n">
        <v>285687</v>
      </c>
      <c r="D1304" t="inlineStr">
        <is>
          <t>CARMICHAEL</t>
        </is>
      </c>
      <c r="E1304" t="inlineStr">
        <is>
          <t>KEYLA</t>
        </is>
      </c>
      <c r="F1304">
        <f>CONCATENATE(D1304," ",LEFT(H1304,4),"T=",AU1304,"D=",AV1304,"R=",AW1304,"M=",AX1304,"L=",AY1304,"B=",AZ1304)</f>
        <v/>
      </c>
      <c r="G1304" t="inlineStr">
        <is>
          <t>M</t>
        </is>
      </c>
      <c r="I1304" t="inlineStr">
        <is>
          <t>1980-06-20</t>
        </is>
      </c>
      <c r="J1304" t="inlineStr">
        <is>
          <t>2013-07-19</t>
        </is>
      </c>
      <c r="K1304" t="inlineStr">
        <is>
          <t>CONFIRMATION</t>
        </is>
      </c>
      <c r="M1304" t="inlineStr">
        <is>
          <t>436 PORTER ST NE</t>
        </is>
      </c>
      <c r="N1304">
        <f>RIGHT(M1304,LEN(M1304)-FIND(" ",M1304))</f>
        <v/>
      </c>
      <c r="P1304" t="inlineStr">
        <is>
          <t>WARREN</t>
        </is>
      </c>
      <c r="Q1304" t="inlineStr">
        <is>
          <t>OH</t>
        </is>
      </c>
      <c r="R1304" t="n">
        <v>44483</v>
      </c>
      <c r="AD1304" t="inlineStr">
        <is>
          <t>TRUMBULL CAREER &amp; TECH CENTER</t>
        </is>
      </c>
      <c r="AE1304" t="inlineStr">
        <is>
          <t>WARREN CITY</t>
        </is>
      </c>
      <c r="AF1304" t="inlineStr">
        <is>
          <t>WARREN CITY SD</t>
        </is>
      </c>
      <c r="AH1304" t="n">
        <v>14</v>
      </c>
      <c r="AI1304" t="n">
        <v>11</v>
      </c>
      <c r="AN1304" t="inlineStr">
        <is>
          <t>WARREN</t>
        </is>
      </c>
      <c r="AO1304" t="inlineStr">
        <is>
          <t>WARREN CITY 4D</t>
        </is>
      </c>
      <c r="AP1304" t="inlineStr">
        <is>
          <t>78-P-ADL</t>
        </is>
      </c>
      <c r="AQ1304" t="n">
        <v>9</v>
      </c>
      <c r="AR1304" t="n">
        <v>64</v>
      </c>
      <c r="AS1304" t="n">
        <v>32</v>
      </c>
      <c r="AU1304">
        <f>COUNTA($BA$1304:$EH$1304)</f>
        <v/>
      </c>
      <c r="AV1304">
        <f>COUNTIF($BA$1304:$EH$1304,"D")</f>
        <v/>
      </c>
      <c r="AW1304">
        <f>COUNTIF($BA$1304:$EH$1304,"R")</f>
        <v/>
      </c>
      <c r="AX1304">
        <f>IF(BN1304="D",1,0)+IF(BO1304="D",1,0)+IF(BT1304="D",1,0)+IF(BU1304="D",1,0)+IF(BW1304="D",1,0)+IF(CC1304="D",1,0)+IF(CD1304="D",1,0)+IF(CE1304="D",1,0)+IF(CF1304="D",1,0)+IF(CL1304="D",1,0)+IF(CM1304="D",1,0)+IF(CQ1304="D",1,0)+IF(CR1304="D",1,0)+IF(CS1304="D",1,0)+IF(CW1304="D",1,0)+IF(CX1304="D",1,0)+IF(DD1304="D",1,0)+IF(DE1304="D",1,0)+IF(DJ1304="D",1,0)+IF(DK1304="D",1,0)+IF(DO1304="D",1,0)+IF(DP1304="D",1,0)+IF(DQ1304="D",1,0)+IF(DW1304="D",1,0)+IF(DZ1304="D",1,0)+IF(EH1304="D",1,0)</f>
        <v/>
      </c>
      <c r="AY1304">
        <f>IF(DJ1304&lt;&gt;"",1,0)+IF(DK1304&lt;&gt;"",1,0)+IF(DM1304&lt;&gt;"",1,0)+IF(DO1304&lt;&gt;"",1,0)+IF(DP1304&lt;&gt;"",1,0)+IF(DQ1304&lt;&gt;"",1,0)+IF(DS1304&lt;&gt;"",1,0)+IF(DT1304&lt;&gt;"",1,0)+IF(DV1304&lt;&gt;"",1,0)+IF(DW1304&lt;&gt;"",1,0)+IF(DX1304&lt;&gt;"",1,0)+IF(DY1304&lt;&gt;"",1,0)+IF(DZ1304&lt;&gt;"",1,0)+IF(EB1304&lt;&gt;"",1,0)+IF(EC1304&lt;&gt;"",1,0)+IF(ED1304&lt;&gt;"",1,0)+IF(EG1304&lt;&gt;"",1,0)+IF(EH1304&lt;&gt;"",1,0)</f>
        <v/>
      </c>
      <c r="AZ1304">
        <f>IF(EH1304&lt;&gt;"",1,0)</f>
        <v/>
      </c>
      <c r="BB1304" t="inlineStr">
        <is>
          <t>WARREN-WARD 4</t>
        </is>
      </c>
      <c r="BL1304" t="inlineStr">
        <is>
          <t>X</t>
        </is>
      </c>
      <c r="CA1304" t="inlineStr">
        <is>
          <t>X</t>
        </is>
      </c>
      <c r="DC1304" t="inlineStr">
        <is>
          <t>X</t>
        </is>
      </c>
    </row>
    <row r="1305">
      <c r="A1305" t="inlineStr">
        <is>
          <t>OH0027742497</t>
        </is>
      </c>
      <c r="B1305" t="n">
        <v>78</v>
      </c>
      <c r="C1305" t="n">
        <v>491563</v>
      </c>
      <c r="D1305" t="inlineStr">
        <is>
          <t>HONEYWOOD</t>
        </is>
      </c>
      <c r="E1305" t="inlineStr">
        <is>
          <t>JEFFREY</t>
        </is>
      </c>
      <c r="F1305">
        <f>CONCATENATE(D1305," ",LEFT(H1305,4),"T=",AU1305,"D=",AV1305,"R=",AW1305,"M=",AX1305,"L=",AY1305,"B=",AZ1305)</f>
        <v/>
      </c>
      <c r="G1305" t="inlineStr">
        <is>
          <t>L</t>
        </is>
      </c>
      <c r="I1305" t="inlineStr">
        <is>
          <t>1958-08-22</t>
        </is>
      </c>
      <c r="J1305" t="inlineStr">
        <is>
          <t>2024-10-07</t>
        </is>
      </c>
      <c r="K1305" t="inlineStr">
        <is>
          <t>ACTIVE</t>
        </is>
      </c>
      <c r="M1305" t="inlineStr">
        <is>
          <t>182 HIGH ST NE</t>
        </is>
      </c>
      <c r="N1305">
        <f>RIGHT(M1305,LEN(M1305)-FIND(" ",M1305))</f>
        <v/>
      </c>
      <c r="O1305" t="inlineStr">
        <is>
          <t>APT 610</t>
        </is>
      </c>
      <c r="P1305" t="inlineStr">
        <is>
          <t>WARREN</t>
        </is>
      </c>
      <c r="Q1305" t="inlineStr">
        <is>
          <t>OH</t>
        </is>
      </c>
      <c r="R1305" t="n">
        <v>44481</v>
      </c>
      <c r="AD1305" t="inlineStr">
        <is>
          <t>TRUMBULL CAREER &amp; TECH CENTER</t>
        </is>
      </c>
      <c r="AE1305" t="inlineStr">
        <is>
          <t>WARREN CITY</t>
        </is>
      </c>
      <c r="AF1305" t="inlineStr">
        <is>
          <t>WARREN CITY SD</t>
        </is>
      </c>
      <c r="AH1305" t="n">
        <v>14</v>
      </c>
      <c r="AI1305" t="n">
        <v>11</v>
      </c>
      <c r="AN1305" t="inlineStr">
        <is>
          <t>WARREN</t>
        </is>
      </c>
      <c r="AO1305" t="inlineStr">
        <is>
          <t>WARREN CITY 4D</t>
        </is>
      </c>
      <c r="AP1305" t="inlineStr">
        <is>
          <t>78-P-ADL</t>
        </is>
      </c>
      <c r="AQ1305" t="n">
        <v>9</v>
      </c>
      <c r="AR1305" t="n">
        <v>64</v>
      </c>
      <c r="AS1305" t="n">
        <v>32</v>
      </c>
      <c r="AU1305">
        <f>COUNTA($BA$1305:$EH$1305)</f>
        <v/>
      </c>
      <c r="AV1305">
        <f>COUNTIF($BA$1305:$EH$1305,"D")</f>
        <v/>
      </c>
      <c r="AW1305">
        <f>COUNTIF($BA$1305:$EH$1305,"R")</f>
        <v/>
      </c>
      <c r="AX1305">
        <f>IF(BN1305="D",1,0)+IF(BO1305="D",1,0)+IF(BT1305="D",1,0)+IF(BU1305="D",1,0)+IF(BW1305="D",1,0)+IF(CC1305="D",1,0)+IF(CD1305="D",1,0)+IF(CE1305="D",1,0)+IF(CF1305="D",1,0)+IF(CL1305="D",1,0)+IF(CM1305="D",1,0)+IF(CQ1305="D",1,0)+IF(CR1305="D",1,0)+IF(CS1305="D",1,0)+IF(CW1305="D",1,0)+IF(CX1305="D",1,0)+IF(DD1305="D",1,0)+IF(DE1305="D",1,0)+IF(DJ1305="D",1,0)+IF(DK1305="D",1,0)+IF(DO1305="D",1,0)+IF(DP1305="D",1,0)+IF(DQ1305="D",1,0)+IF(DW1305="D",1,0)+IF(DZ1305="D",1,0)+IF(EH1305="D",1,0)</f>
        <v/>
      </c>
      <c r="AY1305">
        <f>IF(DJ1305&lt;&gt;"",1,0)+IF(DK1305&lt;&gt;"",1,0)+IF(DM1305&lt;&gt;"",1,0)+IF(DO1305&lt;&gt;"",1,0)+IF(DP1305&lt;&gt;"",1,0)+IF(DQ1305&lt;&gt;"",1,0)+IF(DS1305&lt;&gt;"",1,0)+IF(DT1305&lt;&gt;"",1,0)+IF(DV1305&lt;&gt;"",1,0)+IF(DW1305&lt;&gt;"",1,0)+IF(DX1305&lt;&gt;"",1,0)+IF(DY1305&lt;&gt;"",1,0)+IF(DZ1305&lt;&gt;"",1,0)+IF(EB1305&lt;&gt;"",1,0)+IF(EC1305&lt;&gt;"",1,0)+IF(ED1305&lt;&gt;"",1,0)+IF(EG1305&lt;&gt;"",1,0)+IF(EH1305&lt;&gt;"",1,0)</f>
        <v/>
      </c>
      <c r="AZ1305">
        <f>IF(EH1305&lt;&gt;"",1,0)</f>
        <v/>
      </c>
      <c r="BB1305" t="inlineStr">
        <is>
          <t>WARREN-WARD 4</t>
        </is>
      </c>
      <c r="BL1305" t="inlineStr">
        <is>
          <t>X</t>
        </is>
      </c>
      <c r="BP1305" t="inlineStr">
        <is>
          <t>X</t>
        </is>
      </c>
      <c r="BS1305" t="inlineStr">
        <is>
          <t>X</t>
        </is>
      </c>
      <c r="BY1305" t="inlineStr">
        <is>
          <t>D</t>
        </is>
      </c>
      <c r="CA1305" t="inlineStr">
        <is>
          <t>X</t>
        </is>
      </c>
      <c r="CG1305" t="inlineStr">
        <is>
          <t>X</t>
        </is>
      </c>
      <c r="DC1305" t="inlineStr">
        <is>
          <t>X</t>
        </is>
      </c>
      <c r="DI1305" t="inlineStr">
        <is>
          <t>X</t>
        </is>
      </c>
      <c r="DL1305" t="inlineStr">
        <is>
          <t>X</t>
        </is>
      </c>
      <c r="DN1305" t="inlineStr">
        <is>
          <t>X</t>
        </is>
      </c>
    </row>
    <row r="1306">
      <c r="A1306" t="inlineStr">
        <is>
          <t>OH0023525459</t>
        </is>
      </c>
      <c r="B1306" t="n">
        <v>78</v>
      </c>
      <c r="C1306" t="n">
        <v>414155</v>
      </c>
      <c r="D1306" t="inlineStr">
        <is>
          <t>OWENS</t>
        </is>
      </c>
      <c r="E1306" t="inlineStr">
        <is>
          <t>AARON</t>
        </is>
      </c>
      <c r="F1306">
        <f>CONCATENATE(D1306," ",LEFT(H1306,4),"T=",AU1306,"D=",AV1306,"R=",AW1306,"M=",AX1306,"L=",AY1306,"B=",AZ1306)</f>
        <v/>
      </c>
      <c r="G1306" t="inlineStr">
        <is>
          <t>M</t>
        </is>
      </c>
      <c r="I1306" t="inlineStr">
        <is>
          <t>1991-06-27</t>
        </is>
      </c>
      <c r="J1306" t="inlineStr">
        <is>
          <t>2018-04-09</t>
        </is>
      </c>
      <c r="K1306" t="inlineStr">
        <is>
          <t>CONFIRMATION</t>
        </is>
      </c>
      <c r="M1306" t="inlineStr">
        <is>
          <t>541 FAIRFIELD AVE NE</t>
        </is>
      </c>
      <c r="N1306">
        <f>RIGHT(M1306,LEN(M1306)-FIND(" ",M1306))</f>
        <v/>
      </c>
      <c r="P1306" t="inlineStr">
        <is>
          <t>WARREN</t>
        </is>
      </c>
      <c r="Q1306" t="inlineStr">
        <is>
          <t>OH</t>
        </is>
      </c>
      <c r="R1306" t="n">
        <v>44483</v>
      </c>
      <c r="AD1306" t="inlineStr">
        <is>
          <t>TRUMBULL CAREER &amp; TECH CENTER</t>
        </is>
      </c>
      <c r="AE1306" t="inlineStr">
        <is>
          <t>WARREN CITY</t>
        </is>
      </c>
      <c r="AF1306" t="inlineStr">
        <is>
          <t>WARREN CITY SD</t>
        </is>
      </c>
      <c r="AH1306" t="n">
        <v>14</v>
      </c>
      <c r="AI1306" t="n">
        <v>11</v>
      </c>
      <c r="AN1306" t="inlineStr">
        <is>
          <t>WARREN</t>
        </is>
      </c>
      <c r="AO1306" t="inlineStr">
        <is>
          <t>WARREN CITY 4D</t>
        </is>
      </c>
      <c r="AP1306" t="inlineStr">
        <is>
          <t>78-P-ADL</t>
        </is>
      </c>
      <c r="AQ1306" t="n">
        <v>9</v>
      </c>
      <c r="AR1306" t="n">
        <v>64</v>
      </c>
      <c r="AS1306" t="n">
        <v>32</v>
      </c>
      <c r="AU1306">
        <f>COUNTA($BA$1306:$EH$1306)</f>
        <v/>
      </c>
      <c r="AV1306">
        <f>COUNTIF($BA$1306:$EH$1306,"D")</f>
        <v/>
      </c>
      <c r="AW1306">
        <f>COUNTIF($BA$1306:$EH$1306,"R")</f>
        <v/>
      </c>
      <c r="AX1306">
        <f>IF(BN1306="D",1,0)+IF(BO1306="D",1,0)+IF(BT1306="D",1,0)+IF(BU1306="D",1,0)+IF(BW1306="D",1,0)+IF(CC1306="D",1,0)+IF(CD1306="D",1,0)+IF(CE1306="D",1,0)+IF(CF1306="D",1,0)+IF(CL1306="D",1,0)+IF(CM1306="D",1,0)+IF(CQ1306="D",1,0)+IF(CR1306="D",1,0)+IF(CS1306="D",1,0)+IF(CW1306="D",1,0)+IF(CX1306="D",1,0)+IF(DD1306="D",1,0)+IF(DE1306="D",1,0)+IF(DJ1306="D",1,0)+IF(DK1306="D",1,0)+IF(DO1306="D",1,0)+IF(DP1306="D",1,0)+IF(DQ1306="D",1,0)+IF(DW1306="D",1,0)+IF(DZ1306="D",1,0)+IF(EH1306="D",1,0)</f>
        <v/>
      </c>
      <c r="AY1306">
        <f>IF(DJ1306&lt;&gt;"",1,0)+IF(DK1306&lt;&gt;"",1,0)+IF(DM1306&lt;&gt;"",1,0)+IF(DO1306&lt;&gt;"",1,0)+IF(DP1306&lt;&gt;"",1,0)+IF(DQ1306&lt;&gt;"",1,0)+IF(DS1306&lt;&gt;"",1,0)+IF(DT1306&lt;&gt;"",1,0)+IF(DV1306&lt;&gt;"",1,0)+IF(DW1306&lt;&gt;"",1,0)+IF(DX1306&lt;&gt;"",1,0)+IF(DY1306&lt;&gt;"",1,0)+IF(DZ1306&lt;&gt;"",1,0)+IF(EB1306&lt;&gt;"",1,0)+IF(EC1306&lt;&gt;"",1,0)+IF(ED1306&lt;&gt;"",1,0)+IF(EG1306&lt;&gt;"",1,0)+IF(EH1306&lt;&gt;"",1,0)</f>
        <v/>
      </c>
      <c r="AZ1306">
        <f>IF(EH1306&lt;&gt;"",1,0)</f>
        <v/>
      </c>
      <c r="BB1306" t="inlineStr">
        <is>
          <t>WARREN-WARD 4</t>
        </is>
      </c>
      <c r="CZ1306" t="inlineStr">
        <is>
          <t>R</t>
        </is>
      </c>
    </row>
    <row r="1307">
      <c r="A1307" t="inlineStr">
        <is>
          <t>OH0024442912</t>
        </is>
      </c>
      <c r="B1307" t="n">
        <v>78</v>
      </c>
      <c r="C1307" t="n">
        <v>428302</v>
      </c>
      <c r="D1307" t="inlineStr">
        <is>
          <t>POLLARD</t>
        </is>
      </c>
      <c r="E1307" t="inlineStr">
        <is>
          <t>JOHN</t>
        </is>
      </c>
      <c r="F1307">
        <f>CONCATENATE(D1307," ",LEFT(H1307,4),"T=",AU1307,"D=",AV1307,"R=",AW1307,"M=",AX1307,"L=",AY1307,"B=",AZ1307)</f>
        <v/>
      </c>
      <c r="G1307" t="inlineStr">
        <is>
          <t>DORDEN</t>
        </is>
      </c>
      <c r="H1307" t="inlineStr">
        <is>
          <t>II</t>
        </is>
      </c>
      <c r="I1307" t="inlineStr">
        <is>
          <t>1988-06-02</t>
        </is>
      </c>
      <c r="J1307" t="inlineStr">
        <is>
          <t>2024-05-16</t>
        </is>
      </c>
      <c r="K1307" t="inlineStr">
        <is>
          <t>ACTIVE</t>
        </is>
      </c>
      <c r="M1307" t="inlineStr">
        <is>
          <t>570 FAIRFIELD AVE NE</t>
        </is>
      </c>
      <c r="N1307">
        <f>RIGHT(M1307,LEN(M1307)-FIND(" ",M1307))</f>
        <v/>
      </c>
      <c r="P1307" t="inlineStr">
        <is>
          <t>WARREN</t>
        </is>
      </c>
      <c r="Q1307" t="inlineStr">
        <is>
          <t>OH</t>
        </is>
      </c>
      <c r="R1307" t="n">
        <v>44483</v>
      </c>
      <c r="AD1307" t="inlineStr">
        <is>
          <t>TRUMBULL CAREER &amp; TECH CENTER</t>
        </is>
      </c>
      <c r="AE1307" t="inlineStr">
        <is>
          <t>WARREN CITY</t>
        </is>
      </c>
      <c r="AF1307" t="inlineStr">
        <is>
          <t>WARREN CITY SD</t>
        </is>
      </c>
      <c r="AH1307" t="n">
        <v>14</v>
      </c>
      <c r="AI1307" t="n">
        <v>11</v>
      </c>
      <c r="AN1307" t="inlineStr">
        <is>
          <t>WARREN</t>
        </is>
      </c>
      <c r="AO1307" t="inlineStr">
        <is>
          <t>WARREN CITY 4D</t>
        </is>
      </c>
      <c r="AP1307" t="inlineStr">
        <is>
          <t>78-P-ADL</t>
        </is>
      </c>
      <c r="AQ1307" t="n">
        <v>9</v>
      </c>
      <c r="AR1307" t="n">
        <v>64</v>
      </c>
      <c r="AS1307" t="n">
        <v>32</v>
      </c>
      <c r="AU1307">
        <f>COUNTA($BA$1307:$EH$1307)</f>
        <v/>
      </c>
      <c r="AV1307">
        <f>COUNTIF($BA$1307:$EH$1307,"D")</f>
        <v/>
      </c>
      <c r="AW1307">
        <f>COUNTIF($BA$1307:$EH$1307,"R")</f>
        <v/>
      </c>
      <c r="AX1307">
        <f>IF(BN1307="D",1,0)+IF(BO1307="D",1,0)+IF(BT1307="D",1,0)+IF(BU1307="D",1,0)+IF(BW1307="D",1,0)+IF(CC1307="D",1,0)+IF(CD1307="D",1,0)+IF(CE1307="D",1,0)+IF(CF1307="D",1,0)+IF(CL1307="D",1,0)+IF(CM1307="D",1,0)+IF(CQ1307="D",1,0)+IF(CR1307="D",1,0)+IF(CS1307="D",1,0)+IF(CW1307="D",1,0)+IF(CX1307="D",1,0)+IF(DD1307="D",1,0)+IF(DE1307="D",1,0)+IF(DJ1307="D",1,0)+IF(DK1307="D",1,0)+IF(DO1307="D",1,0)+IF(DP1307="D",1,0)+IF(DQ1307="D",1,0)+IF(DW1307="D",1,0)+IF(DZ1307="D",1,0)+IF(EH1307="D",1,0)</f>
        <v/>
      </c>
      <c r="AY1307">
        <f>IF(DJ1307&lt;&gt;"",1,0)+IF(DK1307&lt;&gt;"",1,0)+IF(DM1307&lt;&gt;"",1,0)+IF(DO1307&lt;&gt;"",1,0)+IF(DP1307&lt;&gt;"",1,0)+IF(DQ1307&lt;&gt;"",1,0)+IF(DS1307&lt;&gt;"",1,0)+IF(DT1307&lt;&gt;"",1,0)+IF(DV1307&lt;&gt;"",1,0)+IF(DW1307&lt;&gt;"",1,0)+IF(DX1307&lt;&gt;"",1,0)+IF(DY1307&lt;&gt;"",1,0)+IF(DZ1307&lt;&gt;"",1,0)+IF(EB1307&lt;&gt;"",1,0)+IF(EC1307&lt;&gt;"",1,0)+IF(ED1307&lt;&gt;"",1,0)+IF(EG1307&lt;&gt;"",1,0)+IF(EH1307&lt;&gt;"",1,0)</f>
        <v/>
      </c>
      <c r="AZ1307">
        <f>IF(EH1307&lt;&gt;"",1,0)</f>
        <v/>
      </c>
      <c r="BB1307" t="inlineStr">
        <is>
          <t>WARREN-WARD 4</t>
        </is>
      </c>
      <c r="CA1307" t="inlineStr">
        <is>
          <t>X</t>
        </is>
      </c>
      <c r="CP1307" t="inlineStr">
        <is>
          <t>X</t>
        </is>
      </c>
    </row>
    <row r="1308">
      <c r="A1308" t="inlineStr">
        <is>
          <t>OH0015713155</t>
        </is>
      </c>
      <c r="B1308" t="n">
        <v>78</v>
      </c>
      <c r="C1308" t="n">
        <v>1852</v>
      </c>
      <c r="D1308" t="inlineStr">
        <is>
          <t>MOLLARD</t>
        </is>
      </c>
      <c r="E1308" t="inlineStr">
        <is>
          <t>RUTH</t>
        </is>
      </c>
      <c r="F1308">
        <f>CONCATENATE(D1308," ",LEFT(H1308,4),"T=",AU1308,"D=",AV1308,"R=",AW1308,"M=",AX1308,"L=",AY1308,"B=",AZ1308)</f>
        <v/>
      </c>
      <c r="G1308" t="inlineStr">
        <is>
          <t>A</t>
        </is>
      </c>
      <c r="I1308" t="inlineStr">
        <is>
          <t>1937-02-18</t>
        </is>
      </c>
      <c r="J1308" t="inlineStr">
        <is>
          <t>2018-08-01</t>
        </is>
      </c>
      <c r="K1308" t="inlineStr">
        <is>
          <t>CONFIRMATION</t>
        </is>
      </c>
      <c r="M1308" t="inlineStr">
        <is>
          <t>668 VINE AVE NE</t>
        </is>
      </c>
      <c r="N1308">
        <f>RIGHT(M1308,LEN(M1308)-FIND(" ",M1308))</f>
        <v/>
      </c>
      <c r="P1308" t="inlineStr">
        <is>
          <t>WARREN</t>
        </is>
      </c>
      <c r="Q1308" t="inlineStr">
        <is>
          <t>OH</t>
        </is>
      </c>
      <c r="R1308" t="n">
        <v>44483</v>
      </c>
      <c r="AD1308" t="inlineStr">
        <is>
          <t>TRUMBULL CAREER &amp; TECH CENTER</t>
        </is>
      </c>
      <c r="AE1308" t="inlineStr">
        <is>
          <t>WARREN CITY</t>
        </is>
      </c>
      <c r="AF1308" t="inlineStr">
        <is>
          <t>WARREN CITY SD</t>
        </is>
      </c>
      <c r="AH1308" t="n">
        <v>14</v>
      </c>
      <c r="AI1308" t="n">
        <v>11</v>
      </c>
      <c r="AN1308" t="inlineStr">
        <is>
          <t>WARREN</t>
        </is>
      </c>
      <c r="AO1308" t="inlineStr">
        <is>
          <t>WARREN CITY 4D</t>
        </is>
      </c>
      <c r="AP1308" t="inlineStr">
        <is>
          <t>78-P-ADL</t>
        </is>
      </c>
      <c r="AQ1308" t="n">
        <v>9</v>
      </c>
      <c r="AR1308" t="n">
        <v>64</v>
      </c>
      <c r="AS1308" t="n">
        <v>32</v>
      </c>
      <c r="AU1308">
        <f>COUNTA($BA$1308:$EH$1308)</f>
        <v/>
      </c>
      <c r="AV1308">
        <f>COUNTIF($BA$1308:$EH$1308,"D")</f>
        <v/>
      </c>
      <c r="AW1308">
        <f>COUNTIF($BA$1308:$EH$1308,"R")</f>
        <v/>
      </c>
      <c r="AX1308">
        <f>IF(BN1308="D",1,0)+IF(BO1308="D",1,0)+IF(BT1308="D",1,0)+IF(BU1308="D",1,0)+IF(BW1308="D",1,0)+IF(CC1308="D",1,0)+IF(CD1308="D",1,0)+IF(CE1308="D",1,0)+IF(CF1308="D",1,0)+IF(CL1308="D",1,0)+IF(CM1308="D",1,0)+IF(CQ1308="D",1,0)+IF(CR1308="D",1,0)+IF(CS1308="D",1,0)+IF(CW1308="D",1,0)+IF(CX1308="D",1,0)+IF(DD1308="D",1,0)+IF(DE1308="D",1,0)+IF(DJ1308="D",1,0)+IF(DK1308="D",1,0)+IF(DO1308="D",1,0)+IF(DP1308="D",1,0)+IF(DQ1308="D",1,0)+IF(DW1308="D",1,0)+IF(DZ1308="D",1,0)+IF(EH1308="D",1,0)</f>
        <v/>
      </c>
      <c r="AY1308">
        <f>IF(DJ1308&lt;&gt;"",1,0)+IF(DK1308&lt;&gt;"",1,0)+IF(DM1308&lt;&gt;"",1,0)+IF(DO1308&lt;&gt;"",1,0)+IF(DP1308&lt;&gt;"",1,0)+IF(DQ1308&lt;&gt;"",1,0)+IF(DS1308&lt;&gt;"",1,0)+IF(DT1308&lt;&gt;"",1,0)+IF(DV1308&lt;&gt;"",1,0)+IF(DW1308&lt;&gt;"",1,0)+IF(DX1308&lt;&gt;"",1,0)+IF(DY1308&lt;&gt;"",1,0)+IF(DZ1308&lt;&gt;"",1,0)+IF(EB1308&lt;&gt;"",1,0)+IF(EC1308&lt;&gt;"",1,0)+IF(ED1308&lt;&gt;"",1,0)+IF(EG1308&lt;&gt;"",1,0)+IF(EH1308&lt;&gt;"",1,0)</f>
        <v/>
      </c>
      <c r="AZ1308">
        <f>IF(EH1308&lt;&gt;"",1,0)</f>
        <v/>
      </c>
      <c r="BB1308" t="inlineStr">
        <is>
          <t>WARREN-WARD 4</t>
        </is>
      </c>
      <c r="BC1308" t="inlineStr">
        <is>
          <t>X</t>
        </is>
      </c>
      <c r="BD1308" t="inlineStr">
        <is>
          <t>X</t>
        </is>
      </c>
      <c r="BE1308" t="inlineStr">
        <is>
          <t>X</t>
        </is>
      </c>
      <c r="BH1308" t="inlineStr">
        <is>
          <t>X</t>
        </is>
      </c>
      <c r="BI1308" t="inlineStr">
        <is>
          <t>X</t>
        </is>
      </c>
      <c r="BJ1308" t="inlineStr">
        <is>
          <t>X</t>
        </is>
      </c>
      <c r="BK1308" t="inlineStr">
        <is>
          <t>X</t>
        </is>
      </c>
      <c r="BL1308" t="inlineStr">
        <is>
          <t>X</t>
        </is>
      </c>
      <c r="BP1308" t="inlineStr">
        <is>
          <t>X</t>
        </is>
      </c>
      <c r="BR1308" t="inlineStr">
        <is>
          <t>X</t>
        </is>
      </c>
      <c r="BS1308" t="inlineStr">
        <is>
          <t>X</t>
        </is>
      </c>
      <c r="BT1308" t="inlineStr">
        <is>
          <t>X</t>
        </is>
      </c>
      <c r="BY1308" t="inlineStr">
        <is>
          <t>D</t>
        </is>
      </c>
      <c r="CA1308" t="inlineStr">
        <is>
          <t>X</t>
        </is>
      </c>
      <c r="CG1308" t="inlineStr">
        <is>
          <t>X</t>
        </is>
      </c>
      <c r="CK1308" t="inlineStr">
        <is>
          <t>X</t>
        </is>
      </c>
      <c r="CN1308" t="inlineStr">
        <is>
          <t>X</t>
        </is>
      </c>
      <c r="CP1308" t="inlineStr">
        <is>
          <t>X</t>
        </is>
      </c>
      <c r="CV1308" t="inlineStr">
        <is>
          <t>X</t>
        </is>
      </c>
      <c r="CY1308" t="inlineStr">
        <is>
          <t>X</t>
        </is>
      </c>
      <c r="DN1308" t="inlineStr">
        <is>
          <t>X</t>
        </is>
      </c>
    </row>
    <row r="1309">
      <c r="A1309" t="inlineStr">
        <is>
          <t>OH0023525491</t>
        </is>
      </c>
      <c r="B1309" t="n">
        <v>78</v>
      </c>
      <c r="C1309" t="n">
        <v>414156</v>
      </c>
      <c r="D1309" t="inlineStr">
        <is>
          <t>OWENS</t>
        </is>
      </c>
      <c r="E1309" t="inlineStr">
        <is>
          <t>VICKI</t>
        </is>
      </c>
      <c r="F1309">
        <f>CONCATENATE(D1309," ",LEFT(H1309,4),"T=",AU1309,"D=",AV1309,"R=",AW1309,"M=",AX1309,"L=",AY1309,"B=",AZ1309)</f>
        <v/>
      </c>
      <c r="G1309" t="inlineStr">
        <is>
          <t>L</t>
        </is>
      </c>
      <c r="I1309" t="inlineStr">
        <is>
          <t>1967-08-04</t>
        </is>
      </c>
      <c r="J1309" t="inlineStr">
        <is>
          <t>2016-02-09</t>
        </is>
      </c>
      <c r="K1309" t="inlineStr">
        <is>
          <t>CONFIRMATION</t>
        </is>
      </c>
      <c r="M1309" t="inlineStr">
        <is>
          <t>541 FAIRFIELD AVE NE</t>
        </is>
      </c>
      <c r="N1309">
        <f>RIGHT(M1309,LEN(M1309)-FIND(" ",M1309))</f>
        <v/>
      </c>
      <c r="P1309" t="inlineStr">
        <is>
          <t>WARREN</t>
        </is>
      </c>
      <c r="Q1309" t="inlineStr">
        <is>
          <t>OH</t>
        </is>
      </c>
      <c r="R1309" t="n">
        <v>44483</v>
      </c>
      <c r="AD1309" t="inlineStr">
        <is>
          <t>TRUMBULL CAREER &amp; TECH CENTER</t>
        </is>
      </c>
      <c r="AE1309" t="inlineStr">
        <is>
          <t>WARREN CITY</t>
        </is>
      </c>
      <c r="AF1309" t="inlineStr">
        <is>
          <t>WARREN CITY SD</t>
        </is>
      </c>
      <c r="AH1309" t="n">
        <v>14</v>
      </c>
      <c r="AI1309" t="n">
        <v>11</v>
      </c>
      <c r="AN1309" t="inlineStr">
        <is>
          <t>WARREN</t>
        </is>
      </c>
      <c r="AO1309" t="inlineStr">
        <is>
          <t>WARREN CITY 4D</t>
        </is>
      </c>
      <c r="AP1309" t="inlineStr">
        <is>
          <t>78-P-ADL</t>
        </is>
      </c>
      <c r="AQ1309" t="n">
        <v>9</v>
      </c>
      <c r="AR1309" t="n">
        <v>64</v>
      </c>
      <c r="AS1309" t="n">
        <v>32</v>
      </c>
      <c r="AU1309">
        <f>COUNTA($BA$1309:$EH$1309)</f>
        <v/>
      </c>
      <c r="AV1309">
        <f>COUNTIF($BA$1309:$EH$1309,"D")</f>
        <v/>
      </c>
      <c r="AW1309">
        <f>COUNTIF($BA$1309:$EH$1309,"R")</f>
        <v/>
      </c>
      <c r="AX1309">
        <f>IF(BN1309="D",1,0)+IF(BO1309="D",1,0)+IF(BT1309="D",1,0)+IF(BU1309="D",1,0)+IF(BW1309="D",1,0)+IF(CC1309="D",1,0)+IF(CD1309="D",1,0)+IF(CE1309="D",1,0)+IF(CF1309="D",1,0)+IF(CL1309="D",1,0)+IF(CM1309="D",1,0)+IF(CQ1309="D",1,0)+IF(CR1309="D",1,0)+IF(CS1309="D",1,0)+IF(CW1309="D",1,0)+IF(CX1309="D",1,0)+IF(DD1309="D",1,0)+IF(DE1309="D",1,0)+IF(DJ1309="D",1,0)+IF(DK1309="D",1,0)+IF(DO1309="D",1,0)+IF(DP1309="D",1,0)+IF(DQ1309="D",1,0)+IF(DW1309="D",1,0)+IF(DZ1309="D",1,0)+IF(EH1309="D",1,0)</f>
        <v/>
      </c>
      <c r="AY1309">
        <f>IF(DJ1309&lt;&gt;"",1,0)+IF(DK1309&lt;&gt;"",1,0)+IF(DM1309&lt;&gt;"",1,0)+IF(DO1309&lt;&gt;"",1,0)+IF(DP1309&lt;&gt;"",1,0)+IF(DQ1309&lt;&gt;"",1,0)+IF(DS1309&lt;&gt;"",1,0)+IF(DT1309&lt;&gt;"",1,0)+IF(DV1309&lt;&gt;"",1,0)+IF(DW1309&lt;&gt;"",1,0)+IF(DX1309&lt;&gt;"",1,0)+IF(DY1309&lt;&gt;"",1,0)+IF(DZ1309&lt;&gt;"",1,0)+IF(EB1309&lt;&gt;"",1,0)+IF(EC1309&lt;&gt;"",1,0)+IF(ED1309&lt;&gt;"",1,0)+IF(EG1309&lt;&gt;"",1,0)+IF(EH1309&lt;&gt;"",1,0)</f>
        <v/>
      </c>
      <c r="AZ1309">
        <f>IF(EH1309&lt;&gt;"",1,0)</f>
        <v/>
      </c>
      <c r="BB1309" t="inlineStr">
        <is>
          <t>WARREN-WARD 4</t>
        </is>
      </c>
      <c r="CZ1309" t="inlineStr">
        <is>
          <t>R</t>
        </is>
      </c>
    </row>
    <row r="1310">
      <c r="A1310" t="inlineStr">
        <is>
          <t>OH0026571272</t>
        </is>
      </c>
      <c r="B1310" t="n">
        <v>78</v>
      </c>
      <c r="C1310" t="n">
        <v>464272</v>
      </c>
      <c r="D1310" t="inlineStr">
        <is>
          <t>MALONE</t>
        </is>
      </c>
      <c r="E1310" t="inlineStr">
        <is>
          <t>MICHAEL</t>
        </is>
      </c>
      <c r="F1310">
        <f>CONCATENATE(D1310," ",LEFT(H1310,4),"T=",AU1310,"D=",AV1310,"R=",AW1310,"M=",AX1310,"L=",AY1310,"B=",AZ1310)</f>
        <v/>
      </c>
      <c r="G1310" t="inlineStr">
        <is>
          <t>JOHN</t>
        </is>
      </c>
      <c r="I1310" t="inlineStr">
        <is>
          <t>1968-04-16</t>
        </is>
      </c>
      <c r="J1310" t="inlineStr">
        <is>
          <t>2025-01-13</t>
        </is>
      </c>
      <c r="K1310" t="inlineStr">
        <is>
          <t>ACTIVE</t>
        </is>
      </c>
      <c r="M1310" t="inlineStr">
        <is>
          <t>634 SAINT CLAIR DR NE</t>
        </is>
      </c>
      <c r="N1310">
        <f>RIGHT(M1310,LEN(M1310)-FIND(" ",M1310))</f>
        <v/>
      </c>
      <c r="P1310" t="inlineStr">
        <is>
          <t>WARREN</t>
        </is>
      </c>
      <c r="Q1310" t="inlineStr">
        <is>
          <t>OH</t>
        </is>
      </c>
      <c r="R1310" t="n">
        <v>44483</v>
      </c>
      <c r="AD1310" t="inlineStr">
        <is>
          <t>TRUMBULL CAREER &amp; TECH CENTER</t>
        </is>
      </c>
      <c r="AE1310" t="inlineStr">
        <is>
          <t>WARREN CITY</t>
        </is>
      </c>
      <c r="AF1310" t="inlineStr">
        <is>
          <t>WARREN CITY SD</t>
        </is>
      </c>
      <c r="AH1310" t="n">
        <v>14</v>
      </c>
      <c r="AI1310" t="n">
        <v>11</v>
      </c>
      <c r="AN1310" t="inlineStr">
        <is>
          <t>WARREN</t>
        </is>
      </c>
      <c r="AO1310" t="inlineStr">
        <is>
          <t>WARREN CITY 4D</t>
        </is>
      </c>
      <c r="AP1310" t="inlineStr">
        <is>
          <t>78-P-ADL</t>
        </is>
      </c>
      <c r="AQ1310" t="n">
        <v>9</v>
      </c>
      <c r="AR1310" t="n">
        <v>64</v>
      </c>
      <c r="AS1310" t="n">
        <v>32</v>
      </c>
      <c r="AU1310">
        <f>COUNTA($BA$1310:$EH$1310)</f>
        <v/>
      </c>
      <c r="AV1310">
        <f>COUNTIF($BA$1310:$EH$1310,"D")</f>
        <v/>
      </c>
      <c r="AW1310">
        <f>COUNTIF($BA$1310:$EH$1310,"R")</f>
        <v/>
      </c>
      <c r="AX1310">
        <f>IF(BN1310="D",1,0)+IF(BO1310="D",1,0)+IF(BT1310="D",1,0)+IF(BU1310="D",1,0)+IF(BW1310="D",1,0)+IF(CC1310="D",1,0)+IF(CD1310="D",1,0)+IF(CE1310="D",1,0)+IF(CF1310="D",1,0)+IF(CL1310="D",1,0)+IF(CM1310="D",1,0)+IF(CQ1310="D",1,0)+IF(CR1310="D",1,0)+IF(CS1310="D",1,0)+IF(CW1310="D",1,0)+IF(CX1310="D",1,0)+IF(DD1310="D",1,0)+IF(DE1310="D",1,0)+IF(DJ1310="D",1,0)+IF(DK1310="D",1,0)+IF(DO1310="D",1,0)+IF(DP1310="D",1,0)+IF(DQ1310="D",1,0)+IF(DW1310="D",1,0)+IF(DZ1310="D",1,0)+IF(EH1310="D",1,0)</f>
        <v/>
      </c>
      <c r="AY1310">
        <f>IF(DJ1310&lt;&gt;"",1,0)+IF(DK1310&lt;&gt;"",1,0)+IF(DM1310&lt;&gt;"",1,0)+IF(DO1310&lt;&gt;"",1,0)+IF(DP1310&lt;&gt;"",1,0)+IF(DQ1310&lt;&gt;"",1,0)+IF(DS1310&lt;&gt;"",1,0)+IF(DT1310&lt;&gt;"",1,0)+IF(DV1310&lt;&gt;"",1,0)+IF(DW1310&lt;&gt;"",1,0)+IF(DX1310&lt;&gt;"",1,0)+IF(DY1310&lt;&gt;"",1,0)+IF(DZ1310&lt;&gt;"",1,0)+IF(EB1310&lt;&gt;"",1,0)+IF(EC1310&lt;&gt;"",1,0)+IF(ED1310&lt;&gt;"",1,0)+IF(EG1310&lt;&gt;"",1,0)+IF(EH1310&lt;&gt;"",1,0)</f>
        <v/>
      </c>
      <c r="AZ1310">
        <f>IF(EH1310&lt;&gt;"",1,0)</f>
        <v/>
      </c>
      <c r="BB1310" t="inlineStr">
        <is>
          <t>WARREN-WARD 4</t>
        </is>
      </c>
      <c r="CY1310" t="inlineStr">
        <is>
          <t>X</t>
        </is>
      </c>
      <c r="DN1310" t="inlineStr">
        <is>
          <t>X</t>
        </is>
      </c>
      <c r="EF1310" t="inlineStr">
        <is>
          <t>X</t>
        </is>
      </c>
    </row>
    <row r="1311">
      <c r="A1311" t="inlineStr">
        <is>
          <t>OH0027526943</t>
        </is>
      </c>
      <c r="B1311" t="n">
        <v>78</v>
      </c>
      <c r="C1311" t="n">
        <v>487897</v>
      </c>
      <c r="D1311" t="inlineStr">
        <is>
          <t>JONES</t>
        </is>
      </c>
      <c r="E1311" t="inlineStr">
        <is>
          <t>GUS</t>
        </is>
      </c>
      <c r="F1311">
        <f>CONCATENATE(D1311," ",LEFT(H1311,4),"T=",AU1311,"D=",AV1311,"R=",AW1311,"M=",AX1311,"L=",AY1311,"B=",AZ1311)</f>
        <v/>
      </c>
      <c r="G1311" t="inlineStr">
        <is>
          <t>J</t>
        </is>
      </c>
      <c r="I1311" t="inlineStr">
        <is>
          <t>2002-04-20</t>
        </is>
      </c>
      <c r="J1311" t="inlineStr">
        <is>
          <t>2024-08-12</t>
        </is>
      </c>
      <c r="K1311" t="inlineStr">
        <is>
          <t>ACTIVE</t>
        </is>
      </c>
      <c r="M1311" t="inlineStr">
        <is>
          <t>423 CHESTNUT AVE NE</t>
        </is>
      </c>
      <c r="N1311">
        <f>RIGHT(M1311,LEN(M1311)-FIND(" ",M1311))</f>
        <v/>
      </c>
      <c r="P1311" t="inlineStr">
        <is>
          <t>WARREN</t>
        </is>
      </c>
      <c r="Q1311" t="inlineStr">
        <is>
          <t>OH</t>
        </is>
      </c>
      <c r="R1311" t="n">
        <v>44483</v>
      </c>
      <c r="AD1311" t="inlineStr">
        <is>
          <t>TRUMBULL CAREER &amp; TECH CENTER</t>
        </is>
      </c>
      <c r="AE1311" t="inlineStr">
        <is>
          <t>WARREN CITY</t>
        </is>
      </c>
      <c r="AF1311" t="inlineStr">
        <is>
          <t>WARREN CITY SD</t>
        </is>
      </c>
      <c r="AH1311" t="n">
        <v>14</v>
      </c>
      <c r="AI1311" t="n">
        <v>11</v>
      </c>
      <c r="AN1311" t="inlineStr">
        <is>
          <t>WARREN</t>
        </is>
      </c>
      <c r="AO1311" t="inlineStr">
        <is>
          <t>WARREN CITY 4D</t>
        </is>
      </c>
      <c r="AP1311" t="inlineStr">
        <is>
          <t>78-P-ADL</t>
        </is>
      </c>
      <c r="AQ1311" t="n">
        <v>9</v>
      </c>
      <c r="AR1311" t="n">
        <v>64</v>
      </c>
      <c r="AS1311" t="n">
        <v>32</v>
      </c>
      <c r="AU1311">
        <f>COUNTA($BA$1311:$EH$1311)</f>
        <v/>
      </c>
      <c r="AV1311">
        <f>COUNTIF($BA$1311:$EH$1311,"D")</f>
        <v/>
      </c>
      <c r="AW1311">
        <f>COUNTIF($BA$1311:$EH$1311,"R")</f>
        <v/>
      </c>
      <c r="AX1311">
        <f>IF(BN1311="D",1,0)+IF(BO1311="D",1,0)+IF(BT1311="D",1,0)+IF(BU1311="D",1,0)+IF(BW1311="D",1,0)+IF(CC1311="D",1,0)+IF(CD1311="D",1,0)+IF(CE1311="D",1,0)+IF(CF1311="D",1,0)+IF(CL1311="D",1,0)+IF(CM1311="D",1,0)+IF(CQ1311="D",1,0)+IF(CR1311="D",1,0)+IF(CS1311="D",1,0)+IF(CW1311="D",1,0)+IF(CX1311="D",1,0)+IF(DD1311="D",1,0)+IF(DE1311="D",1,0)+IF(DJ1311="D",1,0)+IF(DK1311="D",1,0)+IF(DO1311="D",1,0)+IF(DP1311="D",1,0)+IF(DQ1311="D",1,0)+IF(DW1311="D",1,0)+IF(DZ1311="D",1,0)+IF(EH1311="D",1,0)</f>
        <v/>
      </c>
      <c r="AY1311">
        <f>IF(DJ1311&lt;&gt;"",1,0)+IF(DK1311&lt;&gt;"",1,0)+IF(DM1311&lt;&gt;"",1,0)+IF(DO1311&lt;&gt;"",1,0)+IF(DP1311&lt;&gt;"",1,0)+IF(DQ1311&lt;&gt;"",1,0)+IF(DS1311&lt;&gt;"",1,0)+IF(DT1311&lt;&gt;"",1,0)+IF(DV1311&lt;&gt;"",1,0)+IF(DW1311&lt;&gt;"",1,0)+IF(DX1311&lt;&gt;"",1,0)+IF(DY1311&lt;&gt;"",1,0)+IF(DZ1311&lt;&gt;"",1,0)+IF(EB1311&lt;&gt;"",1,0)+IF(EC1311&lt;&gt;"",1,0)+IF(ED1311&lt;&gt;"",1,0)+IF(EG1311&lt;&gt;"",1,0)+IF(EH1311&lt;&gt;"",1,0)</f>
        <v/>
      </c>
      <c r="AZ1311">
        <f>IF(EH1311&lt;&gt;"",1,0)</f>
        <v/>
      </c>
      <c r="BB1311" t="inlineStr">
        <is>
          <t>WARREN-WARD 4</t>
        </is>
      </c>
    </row>
    <row r="1312">
      <c r="A1312" t="inlineStr">
        <is>
          <t>OH0026201334</t>
        </is>
      </c>
      <c r="B1312" t="n">
        <v>78</v>
      </c>
      <c r="C1312" t="n">
        <v>458056</v>
      </c>
      <c r="D1312" t="inlineStr">
        <is>
          <t>MORAN</t>
        </is>
      </c>
      <c r="E1312" t="inlineStr">
        <is>
          <t>THOMAS</t>
        </is>
      </c>
      <c r="F1312">
        <f>CONCATENATE(D1312," ",LEFT(H1312,4),"T=",AU1312,"D=",AV1312,"R=",AW1312,"M=",AX1312,"L=",AY1312,"B=",AZ1312)</f>
        <v/>
      </c>
      <c r="G1312" t="inlineStr">
        <is>
          <t>JAMES</t>
        </is>
      </c>
      <c r="I1312" t="inlineStr">
        <is>
          <t>1971-09-11</t>
        </is>
      </c>
      <c r="J1312" t="inlineStr">
        <is>
          <t>2021-05-10</t>
        </is>
      </c>
      <c r="K1312" t="inlineStr">
        <is>
          <t>CONFIRMATION</t>
        </is>
      </c>
      <c r="M1312" t="inlineStr">
        <is>
          <t>434 BELMONT AVE NE</t>
        </is>
      </c>
      <c r="N1312">
        <f>RIGHT(M1312,LEN(M1312)-FIND(" ",M1312))</f>
        <v/>
      </c>
      <c r="P1312" t="inlineStr">
        <is>
          <t>WARREN</t>
        </is>
      </c>
      <c r="Q1312" t="inlineStr">
        <is>
          <t>OH</t>
        </is>
      </c>
      <c r="R1312" t="n">
        <v>44483</v>
      </c>
      <c r="AD1312" t="inlineStr">
        <is>
          <t>TRUMBULL CAREER &amp; TECH CENTER</t>
        </is>
      </c>
      <c r="AE1312" t="inlineStr">
        <is>
          <t>WARREN CITY</t>
        </is>
      </c>
      <c r="AF1312" t="inlineStr">
        <is>
          <t>WARREN CITY SD</t>
        </is>
      </c>
      <c r="AH1312" t="n">
        <v>14</v>
      </c>
      <c r="AI1312" t="n">
        <v>11</v>
      </c>
      <c r="AN1312" t="inlineStr">
        <is>
          <t>WARREN</t>
        </is>
      </c>
      <c r="AO1312" t="inlineStr">
        <is>
          <t>WARREN CITY 4D</t>
        </is>
      </c>
      <c r="AP1312" t="inlineStr">
        <is>
          <t>78-P-ADL</t>
        </is>
      </c>
      <c r="AQ1312" t="n">
        <v>9</v>
      </c>
      <c r="AR1312" t="n">
        <v>64</v>
      </c>
      <c r="AS1312" t="n">
        <v>32</v>
      </c>
      <c r="AU1312">
        <f>COUNTA($BA$1312:$EH$1312)</f>
        <v/>
      </c>
      <c r="AV1312">
        <f>COUNTIF($BA$1312:$EH$1312,"D")</f>
        <v/>
      </c>
      <c r="AW1312">
        <f>COUNTIF($BA$1312:$EH$1312,"R")</f>
        <v/>
      </c>
      <c r="AX1312">
        <f>IF(BN1312="D",1,0)+IF(BO1312="D",1,0)+IF(BT1312="D",1,0)+IF(BU1312="D",1,0)+IF(BW1312="D",1,0)+IF(CC1312="D",1,0)+IF(CD1312="D",1,0)+IF(CE1312="D",1,0)+IF(CF1312="D",1,0)+IF(CL1312="D",1,0)+IF(CM1312="D",1,0)+IF(CQ1312="D",1,0)+IF(CR1312="D",1,0)+IF(CS1312="D",1,0)+IF(CW1312="D",1,0)+IF(CX1312="D",1,0)+IF(DD1312="D",1,0)+IF(DE1312="D",1,0)+IF(DJ1312="D",1,0)+IF(DK1312="D",1,0)+IF(DO1312="D",1,0)+IF(DP1312="D",1,0)+IF(DQ1312="D",1,0)+IF(DW1312="D",1,0)+IF(DZ1312="D",1,0)+IF(EH1312="D",1,0)</f>
        <v/>
      </c>
      <c r="AY1312">
        <f>IF(DJ1312&lt;&gt;"",1,0)+IF(DK1312&lt;&gt;"",1,0)+IF(DM1312&lt;&gt;"",1,0)+IF(DO1312&lt;&gt;"",1,0)+IF(DP1312&lt;&gt;"",1,0)+IF(DQ1312&lt;&gt;"",1,0)+IF(DS1312&lt;&gt;"",1,0)+IF(DT1312&lt;&gt;"",1,0)+IF(DV1312&lt;&gt;"",1,0)+IF(DW1312&lt;&gt;"",1,0)+IF(DX1312&lt;&gt;"",1,0)+IF(DY1312&lt;&gt;"",1,0)+IF(DZ1312&lt;&gt;"",1,0)+IF(EB1312&lt;&gt;"",1,0)+IF(EC1312&lt;&gt;"",1,0)+IF(ED1312&lt;&gt;"",1,0)+IF(EG1312&lt;&gt;"",1,0)+IF(EH1312&lt;&gt;"",1,0)</f>
        <v/>
      </c>
      <c r="AZ1312">
        <f>IF(EH1312&lt;&gt;"",1,0)</f>
        <v/>
      </c>
      <c r="BB1312" t="inlineStr">
        <is>
          <t>WARREN-WARD 4</t>
        </is>
      </c>
    </row>
    <row r="1313">
      <c r="A1313" t="inlineStr">
        <is>
          <t>OH0027913653</t>
        </is>
      </c>
      <c r="B1313" t="n">
        <v>78</v>
      </c>
      <c r="C1313" t="n">
        <v>495308</v>
      </c>
      <c r="D1313" t="inlineStr">
        <is>
          <t>DAVIDSON</t>
        </is>
      </c>
      <c r="E1313" t="inlineStr">
        <is>
          <t>GAVIN</t>
        </is>
      </c>
      <c r="F1313">
        <f>CONCATENATE(D1313," ",LEFT(H1313,4),"T=",AU1313,"D=",AV1313,"R=",AW1313,"M=",AX1313,"L=",AY1313,"B=",AZ1313)</f>
        <v/>
      </c>
      <c r="G1313" t="inlineStr">
        <is>
          <t>PIERCE</t>
        </is>
      </c>
      <c r="I1313" t="inlineStr">
        <is>
          <t>2005-08-12</t>
        </is>
      </c>
      <c r="J1313" t="inlineStr">
        <is>
          <t>2025-03-15</t>
        </is>
      </c>
      <c r="K1313" t="inlineStr">
        <is>
          <t>ACTIVE</t>
        </is>
      </c>
      <c r="M1313" t="inlineStr">
        <is>
          <t>147 LINDEN AVE NE</t>
        </is>
      </c>
      <c r="N1313">
        <f>RIGHT(M1313,LEN(M1313)-FIND(" ",M1313))</f>
        <v/>
      </c>
      <c r="P1313" t="inlineStr">
        <is>
          <t>WARREN</t>
        </is>
      </c>
      <c r="Q1313" t="inlineStr">
        <is>
          <t>OH</t>
        </is>
      </c>
      <c r="R1313" t="n">
        <v>44483</v>
      </c>
      <c r="AD1313" t="inlineStr">
        <is>
          <t>TRUMBULL CAREER &amp; TECH CENTER</t>
        </is>
      </c>
      <c r="AE1313" t="inlineStr">
        <is>
          <t>WARREN CITY</t>
        </is>
      </c>
      <c r="AF1313" t="inlineStr">
        <is>
          <t>WARREN CITY SD</t>
        </is>
      </c>
      <c r="AH1313" t="n">
        <v>14</v>
      </c>
      <c r="AI1313" t="n">
        <v>11</v>
      </c>
      <c r="AN1313" t="inlineStr">
        <is>
          <t>WARREN</t>
        </is>
      </c>
      <c r="AO1313" t="inlineStr">
        <is>
          <t>WARREN CITY 4D</t>
        </is>
      </c>
      <c r="AP1313" t="inlineStr">
        <is>
          <t>78-P-ADL</t>
        </is>
      </c>
      <c r="AQ1313" t="n">
        <v>9</v>
      </c>
      <c r="AR1313" t="n">
        <v>64</v>
      </c>
      <c r="AS1313" t="n">
        <v>32</v>
      </c>
      <c r="AU1313">
        <f>COUNTA($BA$1313:$EH$1313)</f>
        <v/>
      </c>
      <c r="AV1313">
        <f>COUNTIF($BA$1313:$EH$1313,"D")</f>
        <v/>
      </c>
      <c r="AW1313">
        <f>COUNTIF($BA$1313:$EH$1313,"R")</f>
        <v/>
      </c>
      <c r="AX1313">
        <f>IF(BN1313="D",1,0)+IF(BO1313="D",1,0)+IF(BT1313="D",1,0)+IF(BU1313="D",1,0)+IF(BW1313="D",1,0)+IF(CC1313="D",1,0)+IF(CD1313="D",1,0)+IF(CE1313="D",1,0)+IF(CF1313="D",1,0)+IF(CL1313="D",1,0)+IF(CM1313="D",1,0)+IF(CQ1313="D",1,0)+IF(CR1313="D",1,0)+IF(CS1313="D",1,0)+IF(CW1313="D",1,0)+IF(CX1313="D",1,0)+IF(DD1313="D",1,0)+IF(DE1313="D",1,0)+IF(DJ1313="D",1,0)+IF(DK1313="D",1,0)+IF(DO1313="D",1,0)+IF(DP1313="D",1,0)+IF(DQ1313="D",1,0)+IF(DW1313="D",1,0)+IF(DZ1313="D",1,0)+IF(EH1313="D",1,0)</f>
        <v/>
      </c>
      <c r="AY1313">
        <f>IF(DJ1313&lt;&gt;"",1,0)+IF(DK1313&lt;&gt;"",1,0)+IF(DM1313&lt;&gt;"",1,0)+IF(DO1313&lt;&gt;"",1,0)+IF(DP1313&lt;&gt;"",1,0)+IF(DQ1313&lt;&gt;"",1,0)+IF(DS1313&lt;&gt;"",1,0)+IF(DT1313&lt;&gt;"",1,0)+IF(DV1313&lt;&gt;"",1,0)+IF(DW1313&lt;&gt;"",1,0)+IF(DX1313&lt;&gt;"",1,0)+IF(DY1313&lt;&gt;"",1,0)+IF(DZ1313&lt;&gt;"",1,0)+IF(EB1313&lt;&gt;"",1,0)+IF(EC1313&lt;&gt;"",1,0)+IF(ED1313&lt;&gt;"",1,0)+IF(EG1313&lt;&gt;"",1,0)+IF(EH1313&lt;&gt;"",1,0)</f>
        <v/>
      </c>
      <c r="AZ1313">
        <f>IF(EH1313&lt;&gt;"",1,0)</f>
        <v/>
      </c>
      <c r="BB1313" t="inlineStr">
        <is>
          <t>WARREN-WARD 4</t>
        </is>
      </c>
      <c r="EA1313" t="inlineStr">
        <is>
          <t>X</t>
        </is>
      </c>
      <c r="EF1313" t="inlineStr">
        <is>
          <t>X</t>
        </is>
      </c>
    </row>
    <row r="1314">
      <c r="A1314" t="inlineStr">
        <is>
          <t>OH0015813987</t>
        </is>
      </c>
      <c r="B1314" t="n">
        <v>78</v>
      </c>
      <c r="C1314" t="n">
        <v>303232</v>
      </c>
      <c r="D1314" t="inlineStr">
        <is>
          <t>WAJDA</t>
        </is>
      </c>
      <c r="E1314" t="inlineStr">
        <is>
          <t>DEBORAH</t>
        </is>
      </c>
      <c r="F1314">
        <f>CONCATENATE(D1314," ",LEFT(H1314,4),"T=",AU1314,"D=",AV1314,"R=",AW1314,"M=",AX1314,"L=",AY1314,"B=",AZ1314)</f>
        <v/>
      </c>
      <c r="G1314" t="inlineStr">
        <is>
          <t>A</t>
        </is>
      </c>
      <c r="I1314" t="inlineStr">
        <is>
          <t>1959-08-27</t>
        </is>
      </c>
      <c r="J1314" t="inlineStr">
        <is>
          <t>2001-06-18</t>
        </is>
      </c>
      <c r="K1314" t="inlineStr">
        <is>
          <t>ACTIVE</t>
        </is>
      </c>
      <c r="L1314" t="inlineStr">
        <is>
          <t>D</t>
        </is>
      </c>
      <c r="M1314" t="inlineStr">
        <is>
          <t>1042 MCKINLEY ST NE</t>
        </is>
      </c>
      <c r="N1314">
        <f>RIGHT(M1314,LEN(M1314)-FIND(" ",M1314))</f>
        <v/>
      </c>
      <c r="P1314" t="inlineStr">
        <is>
          <t>WARREN</t>
        </is>
      </c>
      <c r="Q1314" t="inlineStr">
        <is>
          <t>OH</t>
        </is>
      </c>
      <c r="R1314" t="n">
        <v>44483</v>
      </c>
      <c r="AD1314" t="inlineStr">
        <is>
          <t>TRUMBULL CAREER &amp; TECH CENTER</t>
        </is>
      </c>
      <c r="AE1314" t="inlineStr">
        <is>
          <t>WARREN CITY</t>
        </is>
      </c>
      <c r="AF1314" t="inlineStr">
        <is>
          <t>WARREN CITY SD</t>
        </is>
      </c>
      <c r="AH1314" t="n">
        <v>14</v>
      </c>
      <c r="AI1314" t="n">
        <v>11</v>
      </c>
      <c r="AN1314" t="inlineStr">
        <is>
          <t>WARREN</t>
        </is>
      </c>
      <c r="AO1314" t="inlineStr">
        <is>
          <t>WARREN CITY 4D</t>
        </is>
      </c>
      <c r="AP1314" t="inlineStr">
        <is>
          <t>78-P-ADL</t>
        </is>
      </c>
      <c r="AQ1314" t="n">
        <v>9</v>
      </c>
      <c r="AR1314" t="n">
        <v>64</v>
      </c>
      <c r="AS1314" t="n">
        <v>32</v>
      </c>
      <c r="AU1314">
        <f>COUNTA($BA$1314:$EH$1314)</f>
        <v/>
      </c>
      <c r="AV1314">
        <f>COUNTIF($BA$1314:$EH$1314,"D")</f>
        <v/>
      </c>
      <c r="AW1314">
        <f>COUNTIF($BA$1314:$EH$1314,"R")</f>
        <v/>
      </c>
      <c r="AX1314">
        <f>IF(BN1314="D",1,0)+IF(BO1314="D",1,0)+IF(BT1314="D",1,0)+IF(BU1314="D",1,0)+IF(BW1314="D",1,0)+IF(CC1314="D",1,0)+IF(CD1314="D",1,0)+IF(CE1314="D",1,0)+IF(CF1314="D",1,0)+IF(CL1314="D",1,0)+IF(CM1314="D",1,0)+IF(CQ1314="D",1,0)+IF(CR1314="D",1,0)+IF(CS1314="D",1,0)+IF(CW1314="D",1,0)+IF(CX1314="D",1,0)+IF(DD1314="D",1,0)+IF(DE1314="D",1,0)+IF(DJ1314="D",1,0)+IF(DK1314="D",1,0)+IF(DO1314="D",1,0)+IF(DP1314="D",1,0)+IF(DQ1314="D",1,0)+IF(DW1314="D",1,0)+IF(DZ1314="D",1,0)+IF(EH1314="D",1,0)</f>
        <v/>
      </c>
      <c r="AY1314">
        <f>IF(DJ1314&lt;&gt;"",1,0)+IF(DK1314&lt;&gt;"",1,0)+IF(DM1314&lt;&gt;"",1,0)+IF(DO1314&lt;&gt;"",1,0)+IF(DP1314&lt;&gt;"",1,0)+IF(DQ1314&lt;&gt;"",1,0)+IF(DS1314&lt;&gt;"",1,0)+IF(DT1314&lt;&gt;"",1,0)+IF(DV1314&lt;&gt;"",1,0)+IF(DW1314&lt;&gt;"",1,0)+IF(DX1314&lt;&gt;"",1,0)+IF(DY1314&lt;&gt;"",1,0)+IF(DZ1314&lt;&gt;"",1,0)+IF(EB1314&lt;&gt;"",1,0)+IF(EC1314&lt;&gt;"",1,0)+IF(ED1314&lt;&gt;"",1,0)+IF(EG1314&lt;&gt;"",1,0)+IF(EH1314&lt;&gt;"",1,0)</f>
        <v/>
      </c>
      <c r="AZ1314">
        <f>IF(EH1314&lt;&gt;"",1,0)</f>
        <v/>
      </c>
      <c r="BB1314" t="inlineStr">
        <is>
          <t>WARREN-WARD 4</t>
        </is>
      </c>
      <c r="BL1314" t="inlineStr">
        <is>
          <t>X</t>
        </is>
      </c>
      <c r="BY1314" t="inlineStr">
        <is>
          <t>D</t>
        </is>
      </c>
      <c r="CA1314" t="inlineStr">
        <is>
          <t>X</t>
        </is>
      </c>
      <c r="CK1314" t="inlineStr">
        <is>
          <t>X</t>
        </is>
      </c>
      <c r="CN1314" t="inlineStr">
        <is>
          <t>X</t>
        </is>
      </c>
      <c r="CP1314" t="inlineStr">
        <is>
          <t>X</t>
        </is>
      </c>
      <c r="CT1314" t="inlineStr">
        <is>
          <t>X</t>
        </is>
      </c>
      <c r="CY1314" t="inlineStr">
        <is>
          <t>X</t>
        </is>
      </c>
      <c r="DC1314" t="inlineStr">
        <is>
          <t>X</t>
        </is>
      </c>
      <c r="DG1314" t="inlineStr">
        <is>
          <t>D</t>
        </is>
      </c>
      <c r="DI1314" t="inlineStr">
        <is>
          <t>X</t>
        </is>
      </c>
      <c r="DL1314" t="inlineStr">
        <is>
          <t>X</t>
        </is>
      </c>
      <c r="DN1314" t="inlineStr">
        <is>
          <t>X</t>
        </is>
      </c>
      <c r="DU1314" t="inlineStr">
        <is>
          <t>X</t>
        </is>
      </c>
      <c r="DX1314" t="inlineStr">
        <is>
          <t>X</t>
        </is>
      </c>
      <c r="EA1314" t="inlineStr">
        <is>
          <t>X</t>
        </is>
      </c>
      <c r="ED1314" t="inlineStr">
        <is>
          <t>D</t>
        </is>
      </c>
      <c r="EF1314" t="inlineStr">
        <is>
          <t>X</t>
        </is>
      </c>
    </row>
    <row r="1315">
      <c r="A1315" t="inlineStr">
        <is>
          <t>OH0015814515</t>
        </is>
      </c>
      <c r="B1315" t="n">
        <v>78</v>
      </c>
      <c r="C1315" t="n">
        <v>303104</v>
      </c>
      <c r="D1315" t="inlineStr">
        <is>
          <t>WAJDA</t>
        </is>
      </c>
      <c r="E1315" t="inlineStr">
        <is>
          <t>CHESTER</t>
        </is>
      </c>
      <c r="F1315">
        <f>CONCATENATE(D1315," ",LEFT(H1315,4),"T=",AU1315,"D=",AV1315,"R=",AW1315,"M=",AX1315,"L=",AY1315,"B=",AZ1315)</f>
        <v/>
      </c>
      <c r="G1315" t="inlineStr">
        <is>
          <t>D</t>
        </is>
      </c>
      <c r="H1315" t="inlineStr">
        <is>
          <t>JR</t>
        </is>
      </c>
      <c r="I1315" t="inlineStr">
        <is>
          <t>1955-07-21</t>
        </is>
      </c>
      <c r="J1315" t="inlineStr">
        <is>
          <t>2001-06-06</t>
        </is>
      </c>
      <c r="K1315" t="inlineStr">
        <is>
          <t>ACTIVE</t>
        </is>
      </c>
      <c r="L1315" t="inlineStr">
        <is>
          <t>R</t>
        </is>
      </c>
      <c r="M1315" t="inlineStr">
        <is>
          <t>1042 MCKINLEY ST NE</t>
        </is>
      </c>
      <c r="N1315">
        <f>RIGHT(M1315,LEN(M1315)-FIND(" ",M1315))</f>
        <v/>
      </c>
      <c r="P1315" t="inlineStr">
        <is>
          <t>WARREN</t>
        </is>
      </c>
      <c r="Q1315" t="inlineStr">
        <is>
          <t>OH</t>
        </is>
      </c>
      <c r="R1315" t="n">
        <v>44483</v>
      </c>
      <c r="AD1315" t="inlineStr">
        <is>
          <t>TRUMBULL CAREER &amp; TECH CENTER</t>
        </is>
      </c>
      <c r="AE1315" t="inlineStr">
        <is>
          <t>WARREN CITY</t>
        </is>
      </c>
      <c r="AF1315" t="inlineStr">
        <is>
          <t>WARREN CITY SD</t>
        </is>
      </c>
      <c r="AH1315" t="n">
        <v>14</v>
      </c>
      <c r="AI1315" t="n">
        <v>11</v>
      </c>
      <c r="AN1315" t="inlineStr">
        <is>
          <t>WARREN</t>
        </is>
      </c>
      <c r="AO1315" t="inlineStr">
        <is>
          <t>WARREN CITY 4D</t>
        </is>
      </c>
      <c r="AP1315" t="inlineStr">
        <is>
          <t>78-P-ADL</t>
        </is>
      </c>
      <c r="AQ1315" t="n">
        <v>9</v>
      </c>
      <c r="AR1315" t="n">
        <v>64</v>
      </c>
      <c r="AS1315" t="n">
        <v>32</v>
      </c>
      <c r="AU1315">
        <f>COUNTA($BA$1315:$EH$1315)</f>
        <v/>
      </c>
      <c r="AV1315">
        <f>COUNTIF($BA$1315:$EH$1315,"D")</f>
        <v/>
      </c>
      <c r="AW1315">
        <f>COUNTIF($BA$1315:$EH$1315,"R")</f>
        <v/>
      </c>
      <c r="AX1315">
        <f>IF(BN1315="D",1,0)+IF(BO1315="D",1,0)+IF(BT1315="D",1,0)+IF(BU1315="D",1,0)+IF(BW1315="D",1,0)+IF(CC1315="D",1,0)+IF(CD1315="D",1,0)+IF(CE1315="D",1,0)+IF(CF1315="D",1,0)+IF(CL1315="D",1,0)+IF(CM1315="D",1,0)+IF(CQ1315="D",1,0)+IF(CR1315="D",1,0)+IF(CS1315="D",1,0)+IF(CW1315="D",1,0)+IF(CX1315="D",1,0)+IF(DD1315="D",1,0)+IF(DE1315="D",1,0)+IF(DJ1315="D",1,0)+IF(DK1315="D",1,0)+IF(DO1315="D",1,0)+IF(DP1315="D",1,0)+IF(DQ1315="D",1,0)+IF(DW1315="D",1,0)+IF(DZ1315="D",1,0)+IF(EH1315="D",1,0)</f>
        <v/>
      </c>
      <c r="AY1315">
        <f>IF(DJ1315&lt;&gt;"",1,0)+IF(DK1315&lt;&gt;"",1,0)+IF(DM1315&lt;&gt;"",1,0)+IF(DO1315&lt;&gt;"",1,0)+IF(DP1315&lt;&gt;"",1,0)+IF(DQ1315&lt;&gt;"",1,0)+IF(DS1315&lt;&gt;"",1,0)+IF(DT1315&lt;&gt;"",1,0)+IF(DV1315&lt;&gt;"",1,0)+IF(DW1315&lt;&gt;"",1,0)+IF(DX1315&lt;&gt;"",1,0)+IF(DY1315&lt;&gt;"",1,0)+IF(DZ1315&lt;&gt;"",1,0)+IF(EB1315&lt;&gt;"",1,0)+IF(EC1315&lt;&gt;"",1,0)+IF(ED1315&lt;&gt;"",1,0)+IF(EG1315&lt;&gt;"",1,0)+IF(EH1315&lt;&gt;"",1,0)</f>
        <v/>
      </c>
      <c r="AZ1315">
        <f>IF(EH1315&lt;&gt;"",1,0)</f>
        <v/>
      </c>
      <c r="BB1315" t="inlineStr">
        <is>
          <t>WARREN-WARD 4</t>
        </is>
      </c>
      <c r="BL1315" t="inlineStr">
        <is>
          <t>X</t>
        </is>
      </c>
      <c r="BS1315" t="inlineStr">
        <is>
          <t>X</t>
        </is>
      </c>
      <c r="BY1315" t="inlineStr">
        <is>
          <t>D</t>
        </is>
      </c>
      <c r="CA1315" t="inlineStr">
        <is>
          <t>X</t>
        </is>
      </c>
      <c r="CG1315" t="inlineStr">
        <is>
          <t>X</t>
        </is>
      </c>
      <c r="CH1315" t="inlineStr">
        <is>
          <t>D</t>
        </is>
      </c>
      <c r="CK1315" t="inlineStr">
        <is>
          <t>X</t>
        </is>
      </c>
      <c r="CL1315" t="inlineStr">
        <is>
          <t>D</t>
        </is>
      </c>
      <c r="CN1315" t="inlineStr">
        <is>
          <t>X</t>
        </is>
      </c>
      <c r="CP1315" t="inlineStr">
        <is>
          <t>X</t>
        </is>
      </c>
      <c r="CT1315" t="inlineStr">
        <is>
          <t>X</t>
        </is>
      </c>
      <c r="CV1315" t="inlineStr">
        <is>
          <t>X</t>
        </is>
      </c>
      <c r="CY1315" t="inlineStr">
        <is>
          <t>X</t>
        </is>
      </c>
      <c r="CZ1315" t="inlineStr">
        <is>
          <t>R</t>
        </is>
      </c>
      <c r="DC1315" t="inlineStr">
        <is>
          <t>X</t>
        </is>
      </c>
      <c r="DG1315" t="inlineStr">
        <is>
          <t>R</t>
        </is>
      </c>
      <c r="DI1315" t="inlineStr">
        <is>
          <t>X</t>
        </is>
      </c>
      <c r="DL1315" t="inlineStr">
        <is>
          <t>X</t>
        </is>
      </c>
      <c r="DN1315" t="inlineStr">
        <is>
          <t>X</t>
        </is>
      </c>
      <c r="DU1315" t="inlineStr">
        <is>
          <t>X</t>
        </is>
      </c>
      <c r="DX1315" t="inlineStr">
        <is>
          <t>X</t>
        </is>
      </c>
      <c r="EA1315" t="inlineStr">
        <is>
          <t>X</t>
        </is>
      </c>
      <c r="ED1315" t="inlineStr">
        <is>
          <t>R</t>
        </is>
      </c>
      <c r="EF1315" t="inlineStr">
        <is>
          <t>X</t>
        </is>
      </c>
    </row>
    <row r="1316">
      <c r="A1316" t="inlineStr">
        <is>
          <t>OH0015759148</t>
        </is>
      </c>
      <c r="B1316" t="n">
        <v>78</v>
      </c>
      <c r="C1316" t="n">
        <v>246300</v>
      </c>
      <c r="D1316" t="inlineStr">
        <is>
          <t>GRIGGS</t>
        </is>
      </c>
      <c r="E1316" t="inlineStr">
        <is>
          <t>ABRAHAM</t>
        </is>
      </c>
      <c r="F1316">
        <f>CONCATENATE(D1316," ",LEFT(H1316,4),"T=",AU1316,"D=",AV1316,"R=",AW1316,"M=",AX1316,"L=",AY1316,"B=",AZ1316)</f>
        <v/>
      </c>
      <c r="G1316" t="inlineStr">
        <is>
          <t>A</t>
        </is>
      </c>
      <c r="I1316" t="inlineStr">
        <is>
          <t>1972-02-17</t>
        </is>
      </c>
      <c r="J1316" t="inlineStr">
        <is>
          <t>2024-03-20</t>
        </is>
      </c>
      <c r="K1316" t="inlineStr">
        <is>
          <t>ACTIVE</t>
        </is>
      </c>
      <c r="M1316" t="inlineStr">
        <is>
          <t>167 PORTER ST NE</t>
        </is>
      </c>
      <c r="N1316">
        <f>RIGHT(M1316,LEN(M1316)-FIND(" ",M1316))</f>
        <v/>
      </c>
      <c r="O1316" t="inlineStr">
        <is>
          <t>UNIT 1</t>
        </is>
      </c>
      <c r="P1316" t="inlineStr">
        <is>
          <t>WARREN</t>
        </is>
      </c>
      <c r="Q1316" t="inlineStr">
        <is>
          <t>OH</t>
        </is>
      </c>
      <c r="R1316" t="n">
        <v>44483</v>
      </c>
      <c r="AD1316" t="inlineStr">
        <is>
          <t>TRUMBULL CAREER &amp; TECH CENTER</t>
        </is>
      </c>
      <c r="AE1316" t="inlineStr">
        <is>
          <t>WARREN CITY</t>
        </is>
      </c>
      <c r="AF1316" t="inlineStr">
        <is>
          <t>WARREN CITY SD</t>
        </is>
      </c>
      <c r="AH1316" t="n">
        <v>14</v>
      </c>
      <c r="AI1316" t="n">
        <v>11</v>
      </c>
      <c r="AN1316" t="inlineStr">
        <is>
          <t>WARREN</t>
        </is>
      </c>
      <c r="AO1316" t="inlineStr">
        <is>
          <t>WARREN CITY 4D</t>
        </is>
      </c>
      <c r="AP1316" t="inlineStr">
        <is>
          <t>78-P-ADL</t>
        </is>
      </c>
      <c r="AQ1316" t="n">
        <v>9</v>
      </c>
      <c r="AR1316" t="n">
        <v>64</v>
      </c>
      <c r="AS1316" t="n">
        <v>32</v>
      </c>
      <c r="AU1316">
        <f>COUNTA($BA$1316:$EH$1316)</f>
        <v/>
      </c>
      <c r="AV1316">
        <f>COUNTIF($BA$1316:$EH$1316,"D")</f>
        <v/>
      </c>
      <c r="AW1316">
        <f>COUNTIF($BA$1316:$EH$1316,"R")</f>
        <v/>
      </c>
      <c r="AX1316">
        <f>IF(BN1316="D",1,0)+IF(BO1316="D",1,0)+IF(BT1316="D",1,0)+IF(BU1316="D",1,0)+IF(BW1316="D",1,0)+IF(CC1316="D",1,0)+IF(CD1316="D",1,0)+IF(CE1316="D",1,0)+IF(CF1316="D",1,0)+IF(CL1316="D",1,0)+IF(CM1316="D",1,0)+IF(CQ1316="D",1,0)+IF(CR1316="D",1,0)+IF(CS1316="D",1,0)+IF(CW1316="D",1,0)+IF(CX1316="D",1,0)+IF(DD1316="D",1,0)+IF(DE1316="D",1,0)+IF(DJ1316="D",1,0)+IF(DK1316="D",1,0)+IF(DO1316="D",1,0)+IF(DP1316="D",1,0)+IF(DQ1316="D",1,0)+IF(DW1316="D",1,0)+IF(DZ1316="D",1,0)+IF(EH1316="D",1,0)</f>
        <v/>
      </c>
      <c r="AY1316">
        <f>IF(DJ1316&lt;&gt;"",1,0)+IF(DK1316&lt;&gt;"",1,0)+IF(DM1316&lt;&gt;"",1,0)+IF(DO1316&lt;&gt;"",1,0)+IF(DP1316&lt;&gt;"",1,0)+IF(DQ1316&lt;&gt;"",1,0)+IF(DS1316&lt;&gt;"",1,0)+IF(DT1316&lt;&gt;"",1,0)+IF(DV1316&lt;&gt;"",1,0)+IF(DW1316&lt;&gt;"",1,0)+IF(DX1316&lt;&gt;"",1,0)+IF(DY1316&lt;&gt;"",1,0)+IF(DZ1316&lt;&gt;"",1,0)+IF(EB1316&lt;&gt;"",1,0)+IF(EC1316&lt;&gt;"",1,0)+IF(ED1316&lt;&gt;"",1,0)+IF(EG1316&lt;&gt;"",1,0)+IF(EH1316&lt;&gt;"",1,0)</f>
        <v/>
      </c>
      <c r="AZ1316">
        <f>IF(EH1316&lt;&gt;"",1,0)</f>
        <v/>
      </c>
      <c r="BB1316" t="inlineStr">
        <is>
          <t>WARREN-WARD 4</t>
        </is>
      </c>
      <c r="CK1316" t="inlineStr">
        <is>
          <t>X</t>
        </is>
      </c>
      <c r="CL1316" t="inlineStr">
        <is>
          <t>D</t>
        </is>
      </c>
      <c r="CP1316" t="inlineStr">
        <is>
          <t>X</t>
        </is>
      </c>
      <c r="CY1316" t="inlineStr">
        <is>
          <t>X</t>
        </is>
      </c>
      <c r="DC1316" t="inlineStr">
        <is>
          <t>X</t>
        </is>
      </c>
      <c r="DN1316" t="inlineStr">
        <is>
          <t>X</t>
        </is>
      </c>
      <c r="EA1316" t="inlineStr">
        <is>
          <t>X</t>
        </is>
      </c>
      <c r="EF1316" t="inlineStr">
        <is>
          <t>X</t>
        </is>
      </c>
    </row>
    <row r="1317">
      <c r="A1317" t="inlineStr">
        <is>
          <t>OH0025188979</t>
        </is>
      </c>
      <c r="B1317" t="n">
        <v>78</v>
      </c>
      <c r="C1317" t="n">
        <v>441081</v>
      </c>
      <c r="D1317" t="inlineStr">
        <is>
          <t>WILSON</t>
        </is>
      </c>
      <c r="E1317" t="inlineStr">
        <is>
          <t>KENNETH</t>
        </is>
      </c>
      <c r="F1317">
        <f>CONCATENATE(D1317," ",LEFT(H1317,4),"T=",AU1317,"D=",AV1317,"R=",AW1317,"M=",AX1317,"L=",AY1317,"B=",AZ1317)</f>
        <v/>
      </c>
      <c r="I1317" t="inlineStr">
        <is>
          <t>1955-01-10</t>
        </is>
      </c>
      <c r="J1317" t="inlineStr">
        <is>
          <t>2019-08-29</t>
        </is>
      </c>
      <c r="K1317" t="inlineStr">
        <is>
          <t>CONFIRMATION</t>
        </is>
      </c>
      <c r="M1317" t="inlineStr">
        <is>
          <t>1166 WOODLAND AVE NE</t>
        </is>
      </c>
      <c r="N1317">
        <f>RIGHT(M1317,LEN(M1317)-FIND(" ",M1317))</f>
        <v/>
      </c>
      <c r="P1317" t="inlineStr">
        <is>
          <t>WARREN</t>
        </is>
      </c>
      <c r="Q1317" t="inlineStr">
        <is>
          <t>OH</t>
        </is>
      </c>
      <c r="R1317" t="n">
        <v>44483</v>
      </c>
      <c r="AD1317" t="inlineStr">
        <is>
          <t>TRUMBULL CAREER &amp; TECH CENTER</t>
        </is>
      </c>
      <c r="AE1317" t="inlineStr">
        <is>
          <t>WARREN CITY</t>
        </is>
      </c>
      <c r="AF1317" t="inlineStr">
        <is>
          <t>WARREN CITY SD</t>
        </is>
      </c>
      <c r="AH1317" t="n">
        <v>14</v>
      </c>
      <c r="AI1317" t="n">
        <v>11</v>
      </c>
      <c r="AN1317" t="inlineStr">
        <is>
          <t>WARREN</t>
        </is>
      </c>
      <c r="AO1317" t="inlineStr">
        <is>
          <t>WARREN CITY 4D</t>
        </is>
      </c>
      <c r="AP1317" t="inlineStr">
        <is>
          <t>78-P-ADL</t>
        </is>
      </c>
      <c r="AQ1317" t="n">
        <v>9</v>
      </c>
      <c r="AR1317" t="n">
        <v>64</v>
      </c>
      <c r="AS1317" t="n">
        <v>32</v>
      </c>
      <c r="AU1317">
        <f>COUNTA($BA$1317:$EH$1317)</f>
        <v/>
      </c>
      <c r="AV1317">
        <f>COUNTIF($BA$1317:$EH$1317,"D")</f>
        <v/>
      </c>
      <c r="AW1317">
        <f>COUNTIF($BA$1317:$EH$1317,"R")</f>
        <v/>
      </c>
      <c r="AX1317">
        <f>IF(BN1317="D",1,0)+IF(BO1317="D",1,0)+IF(BT1317="D",1,0)+IF(BU1317="D",1,0)+IF(BW1317="D",1,0)+IF(CC1317="D",1,0)+IF(CD1317="D",1,0)+IF(CE1317="D",1,0)+IF(CF1317="D",1,0)+IF(CL1317="D",1,0)+IF(CM1317="D",1,0)+IF(CQ1317="D",1,0)+IF(CR1317="D",1,0)+IF(CS1317="D",1,0)+IF(CW1317="D",1,0)+IF(CX1317="D",1,0)+IF(DD1317="D",1,0)+IF(DE1317="D",1,0)+IF(DJ1317="D",1,0)+IF(DK1317="D",1,0)+IF(DO1317="D",1,0)+IF(DP1317="D",1,0)+IF(DQ1317="D",1,0)+IF(DW1317="D",1,0)+IF(DZ1317="D",1,0)+IF(EH1317="D",1,0)</f>
        <v/>
      </c>
      <c r="AY1317">
        <f>IF(DJ1317&lt;&gt;"",1,0)+IF(DK1317&lt;&gt;"",1,0)+IF(DM1317&lt;&gt;"",1,0)+IF(DO1317&lt;&gt;"",1,0)+IF(DP1317&lt;&gt;"",1,0)+IF(DQ1317&lt;&gt;"",1,0)+IF(DS1317&lt;&gt;"",1,0)+IF(DT1317&lt;&gt;"",1,0)+IF(DV1317&lt;&gt;"",1,0)+IF(DW1317&lt;&gt;"",1,0)+IF(DX1317&lt;&gt;"",1,0)+IF(DY1317&lt;&gt;"",1,0)+IF(DZ1317&lt;&gt;"",1,0)+IF(EB1317&lt;&gt;"",1,0)+IF(EC1317&lt;&gt;"",1,0)+IF(ED1317&lt;&gt;"",1,0)+IF(EG1317&lt;&gt;"",1,0)+IF(EH1317&lt;&gt;"",1,0)</f>
        <v/>
      </c>
      <c r="AZ1317">
        <f>IF(EH1317&lt;&gt;"",1,0)</f>
        <v/>
      </c>
      <c r="BB1317" t="inlineStr">
        <is>
          <t>WARREN-WARD 4</t>
        </is>
      </c>
      <c r="CP1317" t="inlineStr">
        <is>
          <t>X</t>
        </is>
      </c>
      <c r="CT1317" t="inlineStr">
        <is>
          <t>X</t>
        </is>
      </c>
      <c r="DC1317" t="inlineStr">
        <is>
          <t>X</t>
        </is>
      </c>
    </row>
    <row r="1318">
      <c r="A1318" t="inlineStr">
        <is>
          <t>OH0027906329</t>
        </is>
      </c>
      <c r="B1318" t="n">
        <v>78</v>
      </c>
      <c r="C1318" t="n">
        <v>495151</v>
      </c>
      <c r="D1318" t="inlineStr">
        <is>
          <t>MAZZOLA</t>
        </is>
      </c>
      <c r="E1318" t="inlineStr">
        <is>
          <t>BRENDON</t>
        </is>
      </c>
      <c r="F1318">
        <f>CONCATENATE(D1318," ",LEFT(H1318,4),"T=",AU1318,"D=",AV1318,"R=",AW1318,"M=",AX1318,"L=",AY1318,"B=",AZ1318)</f>
        <v/>
      </c>
      <c r="G1318" t="inlineStr">
        <is>
          <t>MICHEAL</t>
        </is>
      </c>
      <c r="I1318" t="inlineStr">
        <is>
          <t>1997-06-02</t>
        </is>
      </c>
      <c r="J1318" t="inlineStr">
        <is>
          <t>2025-02-27</t>
        </is>
      </c>
      <c r="K1318" t="inlineStr">
        <is>
          <t>ACTIVE</t>
        </is>
      </c>
      <c r="M1318" t="inlineStr">
        <is>
          <t>481 WAVERLY AVE NE</t>
        </is>
      </c>
      <c r="N1318">
        <f>RIGHT(M1318,LEN(M1318)-FIND(" ",M1318))</f>
        <v/>
      </c>
      <c r="P1318" t="inlineStr">
        <is>
          <t>WARREN</t>
        </is>
      </c>
      <c r="Q1318" t="inlineStr">
        <is>
          <t>OH</t>
        </is>
      </c>
      <c r="R1318" t="n">
        <v>44483</v>
      </c>
      <c r="AD1318" t="inlineStr">
        <is>
          <t>TRUMBULL CAREER &amp; TECH CENTER</t>
        </is>
      </c>
      <c r="AE1318" t="inlineStr">
        <is>
          <t>WARREN CITY</t>
        </is>
      </c>
      <c r="AF1318" t="inlineStr">
        <is>
          <t>WARREN CITY SD</t>
        </is>
      </c>
      <c r="AH1318" t="n">
        <v>14</v>
      </c>
      <c r="AI1318" t="n">
        <v>11</v>
      </c>
      <c r="AN1318" t="inlineStr">
        <is>
          <t>WARREN</t>
        </is>
      </c>
      <c r="AO1318" t="inlineStr">
        <is>
          <t>WARREN CITY 4D</t>
        </is>
      </c>
      <c r="AP1318" t="inlineStr">
        <is>
          <t>78-P-ADL</t>
        </is>
      </c>
      <c r="AQ1318" t="n">
        <v>9</v>
      </c>
      <c r="AR1318" t="n">
        <v>64</v>
      </c>
      <c r="AS1318" t="n">
        <v>32</v>
      </c>
      <c r="AU1318">
        <f>COUNTA($BA$1318:$EH$1318)</f>
        <v/>
      </c>
      <c r="AV1318">
        <f>COUNTIF($BA$1318:$EH$1318,"D")</f>
        <v/>
      </c>
      <c r="AW1318">
        <f>COUNTIF($BA$1318:$EH$1318,"R")</f>
        <v/>
      </c>
      <c r="AX1318">
        <f>IF(BN1318="D",1,0)+IF(BO1318="D",1,0)+IF(BT1318="D",1,0)+IF(BU1318="D",1,0)+IF(BW1318="D",1,0)+IF(CC1318="D",1,0)+IF(CD1318="D",1,0)+IF(CE1318="D",1,0)+IF(CF1318="D",1,0)+IF(CL1318="D",1,0)+IF(CM1318="D",1,0)+IF(CQ1318="D",1,0)+IF(CR1318="D",1,0)+IF(CS1318="D",1,0)+IF(CW1318="D",1,0)+IF(CX1318="D",1,0)+IF(DD1318="D",1,0)+IF(DE1318="D",1,0)+IF(DJ1318="D",1,0)+IF(DK1318="D",1,0)+IF(DO1318="D",1,0)+IF(DP1318="D",1,0)+IF(DQ1318="D",1,0)+IF(DW1318="D",1,0)+IF(DZ1318="D",1,0)+IF(EH1318="D",1,0)</f>
        <v/>
      </c>
      <c r="AY1318">
        <f>IF(DJ1318&lt;&gt;"",1,0)+IF(DK1318&lt;&gt;"",1,0)+IF(DM1318&lt;&gt;"",1,0)+IF(DO1318&lt;&gt;"",1,0)+IF(DP1318&lt;&gt;"",1,0)+IF(DQ1318&lt;&gt;"",1,0)+IF(DS1318&lt;&gt;"",1,0)+IF(DT1318&lt;&gt;"",1,0)+IF(DV1318&lt;&gt;"",1,0)+IF(DW1318&lt;&gt;"",1,0)+IF(DX1318&lt;&gt;"",1,0)+IF(DY1318&lt;&gt;"",1,0)+IF(DZ1318&lt;&gt;"",1,0)+IF(EB1318&lt;&gt;"",1,0)+IF(EC1318&lt;&gt;"",1,0)+IF(ED1318&lt;&gt;"",1,0)+IF(EG1318&lt;&gt;"",1,0)+IF(EH1318&lt;&gt;"",1,0)</f>
        <v/>
      </c>
      <c r="AZ1318">
        <f>IF(EH1318&lt;&gt;"",1,0)</f>
        <v/>
      </c>
      <c r="BB1318" t="inlineStr">
        <is>
          <t>WARREN-WARD 4</t>
        </is>
      </c>
    </row>
    <row r="1319">
      <c r="A1319" t="inlineStr">
        <is>
          <t>OH0027906344</t>
        </is>
      </c>
      <c r="B1319" t="n">
        <v>78</v>
      </c>
      <c r="C1319" t="n">
        <v>495152</v>
      </c>
      <c r="D1319" t="inlineStr">
        <is>
          <t>GRAVES</t>
        </is>
      </c>
      <c r="E1319" t="inlineStr">
        <is>
          <t>DENNIS</t>
        </is>
      </c>
      <c r="F1319">
        <f>CONCATENATE(D1319," ",LEFT(H1319,4),"T=",AU1319,"D=",AV1319,"R=",AW1319,"M=",AX1319,"L=",AY1319,"B=",AZ1319)</f>
        <v/>
      </c>
      <c r="G1319" t="inlineStr">
        <is>
          <t>M</t>
        </is>
      </c>
      <c r="I1319" t="inlineStr">
        <is>
          <t>1963-07-28</t>
        </is>
      </c>
      <c r="J1319" t="inlineStr">
        <is>
          <t>2025-03-04</t>
        </is>
      </c>
      <c r="K1319" t="inlineStr">
        <is>
          <t>ACTIVE</t>
        </is>
      </c>
      <c r="M1319" t="inlineStr">
        <is>
          <t>434 WASHINGTON ST NE</t>
        </is>
      </c>
      <c r="N1319">
        <f>RIGHT(M1319,LEN(M1319)-FIND(" ",M1319))</f>
        <v/>
      </c>
      <c r="P1319" t="inlineStr">
        <is>
          <t>WARREN</t>
        </is>
      </c>
      <c r="Q1319" t="inlineStr">
        <is>
          <t>OH</t>
        </is>
      </c>
      <c r="R1319" t="n">
        <v>44483</v>
      </c>
      <c r="AD1319" t="inlineStr">
        <is>
          <t>TRUMBULL CAREER &amp; TECH CENTER</t>
        </is>
      </c>
      <c r="AE1319" t="inlineStr">
        <is>
          <t>WARREN CITY</t>
        </is>
      </c>
      <c r="AF1319" t="inlineStr">
        <is>
          <t>WARREN CITY SD</t>
        </is>
      </c>
      <c r="AH1319" t="n">
        <v>14</v>
      </c>
      <c r="AI1319" t="n">
        <v>11</v>
      </c>
      <c r="AN1319" t="inlineStr">
        <is>
          <t>WARREN</t>
        </is>
      </c>
      <c r="AO1319" t="inlineStr">
        <is>
          <t>WARREN CITY 4D</t>
        </is>
      </c>
      <c r="AP1319" t="inlineStr">
        <is>
          <t>78-P-ADL</t>
        </is>
      </c>
      <c r="AQ1319" t="n">
        <v>9</v>
      </c>
      <c r="AR1319" t="n">
        <v>64</v>
      </c>
      <c r="AS1319" t="n">
        <v>32</v>
      </c>
      <c r="AU1319">
        <f>COUNTA($BA$1319:$EH$1319)</f>
        <v/>
      </c>
      <c r="AV1319">
        <f>COUNTIF($BA$1319:$EH$1319,"D")</f>
        <v/>
      </c>
      <c r="AW1319">
        <f>COUNTIF($BA$1319:$EH$1319,"R")</f>
        <v/>
      </c>
      <c r="AX1319">
        <f>IF(BN1319="D",1,0)+IF(BO1319="D",1,0)+IF(BT1319="D",1,0)+IF(BU1319="D",1,0)+IF(BW1319="D",1,0)+IF(CC1319="D",1,0)+IF(CD1319="D",1,0)+IF(CE1319="D",1,0)+IF(CF1319="D",1,0)+IF(CL1319="D",1,0)+IF(CM1319="D",1,0)+IF(CQ1319="D",1,0)+IF(CR1319="D",1,0)+IF(CS1319="D",1,0)+IF(CW1319="D",1,0)+IF(CX1319="D",1,0)+IF(DD1319="D",1,0)+IF(DE1319="D",1,0)+IF(DJ1319="D",1,0)+IF(DK1319="D",1,0)+IF(DO1319="D",1,0)+IF(DP1319="D",1,0)+IF(DQ1319="D",1,0)+IF(DW1319="D",1,0)+IF(DZ1319="D",1,0)+IF(EH1319="D",1,0)</f>
        <v/>
      </c>
      <c r="AY1319">
        <f>IF(DJ1319&lt;&gt;"",1,0)+IF(DK1319&lt;&gt;"",1,0)+IF(DM1319&lt;&gt;"",1,0)+IF(DO1319&lt;&gt;"",1,0)+IF(DP1319&lt;&gt;"",1,0)+IF(DQ1319&lt;&gt;"",1,0)+IF(DS1319&lt;&gt;"",1,0)+IF(DT1319&lt;&gt;"",1,0)+IF(DV1319&lt;&gt;"",1,0)+IF(DW1319&lt;&gt;"",1,0)+IF(DX1319&lt;&gt;"",1,0)+IF(DY1319&lt;&gt;"",1,0)+IF(DZ1319&lt;&gt;"",1,0)+IF(EB1319&lt;&gt;"",1,0)+IF(EC1319&lt;&gt;"",1,0)+IF(ED1319&lt;&gt;"",1,0)+IF(EG1319&lt;&gt;"",1,0)+IF(EH1319&lt;&gt;"",1,0)</f>
        <v/>
      </c>
      <c r="AZ1319">
        <f>IF(EH1319&lt;&gt;"",1,0)</f>
        <v/>
      </c>
      <c r="BB1319" t="inlineStr">
        <is>
          <t>WARREN-WARD 4</t>
        </is>
      </c>
      <c r="BD1319" t="inlineStr">
        <is>
          <t>X</t>
        </is>
      </c>
      <c r="BH1319" t="inlineStr">
        <is>
          <t>X</t>
        </is>
      </c>
      <c r="BJ1319" t="inlineStr">
        <is>
          <t>X</t>
        </is>
      </c>
      <c r="BK1319" t="inlineStr">
        <is>
          <t>X</t>
        </is>
      </c>
      <c r="CA1319" t="inlineStr">
        <is>
          <t>X</t>
        </is>
      </c>
      <c r="DU1319" t="inlineStr">
        <is>
          <t>X</t>
        </is>
      </c>
    </row>
    <row r="1320">
      <c r="A1320" t="inlineStr">
        <is>
          <t>OH0015718821</t>
        </is>
      </c>
      <c r="B1320" t="n">
        <v>78</v>
      </c>
      <c r="C1320" t="n">
        <v>197544</v>
      </c>
      <c r="D1320" t="inlineStr">
        <is>
          <t>TICORAS</t>
        </is>
      </c>
      <c r="E1320" t="inlineStr">
        <is>
          <t>WILLIAM</t>
        </is>
      </c>
      <c r="F1320">
        <f>CONCATENATE(D1320," ",LEFT(H1320,4),"T=",AU1320,"D=",AV1320,"R=",AW1320,"M=",AX1320,"L=",AY1320,"B=",AZ1320)</f>
        <v/>
      </c>
      <c r="G1320" t="inlineStr">
        <is>
          <t>JOHN</t>
        </is>
      </c>
      <c r="I1320" t="inlineStr">
        <is>
          <t>1960-09-13</t>
        </is>
      </c>
      <c r="J1320" t="inlineStr">
        <is>
          <t>2021-08-09</t>
        </is>
      </c>
      <c r="K1320" t="inlineStr">
        <is>
          <t>ACTIVE</t>
        </is>
      </c>
      <c r="L1320" t="inlineStr">
        <is>
          <t>D</t>
        </is>
      </c>
      <c r="M1320" t="inlineStr">
        <is>
          <t>1175 HIGH ST NE</t>
        </is>
      </c>
      <c r="N1320">
        <f>RIGHT(M1320,LEN(M1320)-FIND(" ",M1320))</f>
        <v/>
      </c>
      <c r="P1320" t="inlineStr">
        <is>
          <t>WARREN</t>
        </is>
      </c>
      <c r="Q1320" t="inlineStr">
        <is>
          <t>OH</t>
        </is>
      </c>
      <c r="R1320" t="n">
        <v>44483</v>
      </c>
      <c r="AD1320" t="inlineStr">
        <is>
          <t>TRUMBULL CAREER &amp; TECH CENTER</t>
        </is>
      </c>
      <c r="AE1320" t="inlineStr">
        <is>
          <t>WARREN CITY</t>
        </is>
      </c>
      <c r="AF1320" t="inlineStr">
        <is>
          <t>WARREN CITY SD</t>
        </is>
      </c>
      <c r="AH1320" t="n">
        <v>14</v>
      </c>
      <c r="AI1320" t="n">
        <v>11</v>
      </c>
      <c r="AN1320" t="inlineStr">
        <is>
          <t>WARREN</t>
        </is>
      </c>
      <c r="AO1320" t="inlineStr">
        <is>
          <t>WARREN CITY 4D</t>
        </is>
      </c>
      <c r="AP1320" t="inlineStr">
        <is>
          <t>78-P-ADL</t>
        </is>
      </c>
      <c r="AQ1320" t="n">
        <v>9</v>
      </c>
      <c r="AR1320" t="n">
        <v>64</v>
      </c>
      <c r="AS1320" t="n">
        <v>32</v>
      </c>
      <c r="AU1320">
        <f>COUNTA($BA$1320:$EH$1320)</f>
        <v/>
      </c>
      <c r="AV1320">
        <f>COUNTIF($BA$1320:$EH$1320,"D")</f>
        <v/>
      </c>
      <c r="AW1320">
        <f>COUNTIF($BA$1320:$EH$1320,"R")</f>
        <v/>
      </c>
      <c r="AX1320">
        <f>IF(BN1320="D",1,0)+IF(BO1320="D",1,0)+IF(BT1320="D",1,0)+IF(BU1320="D",1,0)+IF(BW1320="D",1,0)+IF(CC1320="D",1,0)+IF(CD1320="D",1,0)+IF(CE1320="D",1,0)+IF(CF1320="D",1,0)+IF(CL1320="D",1,0)+IF(CM1320="D",1,0)+IF(CQ1320="D",1,0)+IF(CR1320="D",1,0)+IF(CS1320="D",1,0)+IF(CW1320="D",1,0)+IF(CX1320="D",1,0)+IF(DD1320="D",1,0)+IF(DE1320="D",1,0)+IF(DJ1320="D",1,0)+IF(DK1320="D",1,0)+IF(DO1320="D",1,0)+IF(DP1320="D",1,0)+IF(DQ1320="D",1,0)+IF(DW1320="D",1,0)+IF(DZ1320="D",1,0)+IF(EH1320="D",1,0)</f>
        <v/>
      </c>
      <c r="AY1320">
        <f>IF(DJ1320&lt;&gt;"",1,0)+IF(DK1320&lt;&gt;"",1,0)+IF(DM1320&lt;&gt;"",1,0)+IF(DO1320&lt;&gt;"",1,0)+IF(DP1320&lt;&gt;"",1,0)+IF(DQ1320&lt;&gt;"",1,0)+IF(DS1320&lt;&gt;"",1,0)+IF(DT1320&lt;&gt;"",1,0)+IF(DV1320&lt;&gt;"",1,0)+IF(DW1320&lt;&gt;"",1,0)+IF(DX1320&lt;&gt;"",1,0)+IF(DY1320&lt;&gt;"",1,0)+IF(DZ1320&lt;&gt;"",1,0)+IF(EB1320&lt;&gt;"",1,0)+IF(EC1320&lt;&gt;"",1,0)+IF(ED1320&lt;&gt;"",1,0)+IF(EG1320&lt;&gt;"",1,0)+IF(EH1320&lt;&gt;"",1,0)</f>
        <v/>
      </c>
      <c r="AZ1320">
        <f>IF(EH1320&lt;&gt;"",1,0)</f>
        <v/>
      </c>
      <c r="BB1320" t="inlineStr">
        <is>
          <t>WARREN-WARD 4</t>
        </is>
      </c>
      <c r="BC1320" t="inlineStr">
        <is>
          <t>X</t>
        </is>
      </c>
      <c r="BD1320" t="inlineStr">
        <is>
          <t>X</t>
        </is>
      </c>
      <c r="BF1320" t="inlineStr">
        <is>
          <t>X</t>
        </is>
      </c>
      <c r="BG1320" t="inlineStr">
        <is>
          <t>X</t>
        </is>
      </c>
      <c r="BH1320" t="inlineStr">
        <is>
          <t>X</t>
        </is>
      </c>
      <c r="BI1320" t="inlineStr">
        <is>
          <t>X</t>
        </is>
      </c>
      <c r="BJ1320" t="inlineStr">
        <is>
          <t>X</t>
        </is>
      </c>
      <c r="BK1320" t="inlineStr">
        <is>
          <t>X</t>
        </is>
      </c>
      <c r="BL1320" t="inlineStr">
        <is>
          <t>X</t>
        </is>
      </c>
      <c r="BS1320" t="inlineStr">
        <is>
          <t>X</t>
        </is>
      </c>
      <c r="BY1320" t="inlineStr">
        <is>
          <t>R</t>
        </is>
      </c>
      <c r="CG1320" t="inlineStr">
        <is>
          <t>X</t>
        </is>
      </c>
      <c r="CH1320" t="inlineStr">
        <is>
          <t>D</t>
        </is>
      </c>
      <c r="CK1320" t="inlineStr">
        <is>
          <t>X</t>
        </is>
      </c>
      <c r="CN1320" t="inlineStr">
        <is>
          <t>X</t>
        </is>
      </c>
      <c r="CP1320" t="inlineStr">
        <is>
          <t>X</t>
        </is>
      </c>
      <c r="CT1320" t="inlineStr">
        <is>
          <t>X</t>
        </is>
      </c>
      <c r="CU1320" t="inlineStr">
        <is>
          <t>D</t>
        </is>
      </c>
      <c r="CV1320" t="inlineStr">
        <is>
          <t>X</t>
        </is>
      </c>
      <c r="CY1320" t="inlineStr">
        <is>
          <t>X</t>
        </is>
      </c>
      <c r="CZ1320" t="inlineStr">
        <is>
          <t>D</t>
        </is>
      </c>
      <c r="DC1320" t="inlineStr">
        <is>
          <t>X</t>
        </is>
      </c>
      <c r="DF1320" t="inlineStr">
        <is>
          <t>X</t>
        </is>
      </c>
      <c r="DG1320" t="inlineStr">
        <is>
          <t>D</t>
        </is>
      </c>
      <c r="DI1320" t="inlineStr">
        <is>
          <t>X</t>
        </is>
      </c>
      <c r="DJ1320" t="inlineStr">
        <is>
          <t>D</t>
        </is>
      </c>
      <c r="DL1320" t="inlineStr">
        <is>
          <t>X</t>
        </is>
      </c>
      <c r="DM1320" t="inlineStr">
        <is>
          <t>D</t>
        </is>
      </c>
      <c r="DN1320" t="inlineStr">
        <is>
          <t>X</t>
        </is>
      </c>
      <c r="DR1320" t="inlineStr">
        <is>
          <t>X</t>
        </is>
      </c>
      <c r="DS1320" t="inlineStr">
        <is>
          <t>D</t>
        </is>
      </c>
      <c r="DT1320" t="inlineStr">
        <is>
          <t>D</t>
        </is>
      </c>
      <c r="DU1320" t="inlineStr">
        <is>
          <t>X</t>
        </is>
      </c>
      <c r="DW1320" t="inlineStr">
        <is>
          <t>D</t>
        </is>
      </c>
      <c r="DX1320" t="inlineStr">
        <is>
          <t>X</t>
        </is>
      </c>
      <c r="EA1320" t="inlineStr">
        <is>
          <t>X</t>
        </is>
      </c>
      <c r="ED1320" t="inlineStr">
        <is>
          <t>D</t>
        </is>
      </c>
      <c r="EF1320" t="inlineStr">
        <is>
          <t>X</t>
        </is>
      </c>
      <c r="EH1320" t="inlineStr">
        <is>
          <t>D</t>
        </is>
      </c>
    </row>
    <row r="1321">
      <c r="A1321" t="inlineStr">
        <is>
          <t>OH0020954851</t>
        </is>
      </c>
      <c r="B1321" t="n">
        <v>78</v>
      </c>
      <c r="C1321" t="n">
        <v>363463</v>
      </c>
      <c r="D1321" t="inlineStr">
        <is>
          <t>SILHAN</t>
        </is>
      </c>
      <c r="E1321" t="inlineStr">
        <is>
          <t>JERRY</t>
        </is>
      </c>
      <c r="F1321">
        <f>CONCATENATE(D1321," ",LEFT(H1321,4),"T=",AU1321,"D=",AV1321,"R=",AW1321,"M=",AX1321,"L=",AY1321,"B=",AZ1321)</f>
        <v/>
      </c>
      <c r="I1321" t="inlineStr">
        <is>
          <t>1972-01-02</t>
        </is>
      </c>
      <c r="J1321" t="inlineStr">
        <is>
          <t>2015-12-27</t>
        </is>
      </c>
      <c r="K1321" t="inlineStr">
        <is>
          <t>ACTIVE</t>
        </is>
      </c>
      <c r="M1321" t="inlineStr">
        <is>
          <t>730 PAIGE AVE NE</t>
        </is>
      </c>
      <c r="N1321">
        <f>RIGHT(M1321,LEN(M1321)-FIND(" ",M1321))</f>
        <v/>
      </c>
      <c r="P1321" t="inlineStr">
        <is>
          <t>WARREN</t>
        </is>
      </c>
      <c r="Q1321" t="inlineStr">
        <is>
          <t>OH</t>
        </is>
      </c>
      <c r="R1321" t="n">
        <v>44483</v>
      </c>
      <c r="AD1321" t="inlineStr">
        <is>
          <t>TRUMBULL CAREER &amp; TECH CENTER</t>
        </is>
      </c>
      <c r="AE1321" t="inlineStr">
        <is>
          <t>WARREN CITY</t>
        </is>
      </c>
      <c r="AF1321" t="inlineStr">
        <is>
          <t>WARREN CITY SD</t>
        </is>
      </c>
      <c r="AH1321" t="n">
        <v>14</v>
      </c>
      <c r="AI1321" t="n">
        <v>11</v>
      </c>
      <c r="AN1321" t="inlineStr">
        <is>
          <t>WARREN</t>
        </is>
      </c>
      <c r="AO1321" t="inlineStr">
        <is>
          <t>WARREN CITY 4D</t>
        </is>
      </c>
      <c r="AP1321" t="inlineStr">
        <is>
          <t>78-P-ADL</t>
        </is>
      </c>
      <c r="AQ1321" t="n">
        <v>9</v>
      </c>
      <c r="AR1321" t="n">
        <v>64</v>
      </c>
      <c r="AS1321" t="n">
        <v>32</v>
      </c>
      <c r="AU1321">
        <f>COUNTA($BA$1321:$EH$1321)</f>
        <v/>
      </c>
      <c r="AV1321">
        <f>COUNTIF($BA$1321:$EH$1321,"D")</f>
        <v/>
      </c>
      <c r="AW1321">
        <f>COUNTIF($BA$1321:$EH$1321,"R")</f>
        <v/>
      </c>
      <c r="AX1321">
        <f>IF(BN1321="D",1,0)+IF(BO1321="D",1,0)+IF(BT1321="D",1,0)+IF(BU1321="D",1,0)+IF(BW1321="D",1,0)+IF(CC1321="D",1,0)+IF(CD1321="D",1,0)+IF(CE1321="D",1,0)+IF(CF1321="D",1,0)+IF(CL1321="D",1,0)+IF(CM1321="D",1,0)+IF(CQ1321="D",1,0)+IF(CR1321="D",1,0)+IF(CS1321="D",1,0)+IF(CW1321="D",1,0)+IF(CX1321="D",1,0)+IF(DD1321="D",1,0)+IF(DE1321="D",1,0)+IF(DJ1321="D",1,0)+IF(DK1321="D",1,0)+IF(DO1321="D",1,0)+IF(DP1321="D",1,0)+IF(DQ1321="D",1,0)+IF(DW1321="D",1,0)+IF(DZ1321="D",1,0)+IF(EH1321="D",1,0)</f>
        <v/>
      </c>
      <c r="AY1321">
        <f>IF(DJ1321&lt;&gt;"",1,0)+IF(DK1321&lt;&gt;"",1,0)+IF(DM1321&lt;&gt;"",1,0)+IF(DO1321&lt;&gt;"",1,0)+IF(DP1321&lt;&gt;"",1,0)+IF(DQ1321&lt;&gt;"",1,0)+IF(DS1321&lt;&gt;"",1,0)+IF(DT1321&lt;&gt;"",1,0)+IF(DV1321&lt;&gt;"",1,0)+IF(DW1321&lt;&gt;"",1,0)+IF(DX1321&lt;&gt;"",1,0)+IF(DY1321&lt;&gt;"",1,0)+IF(DZ1321&lt;&gt;"",1,0)+IF(EB1321&lt;&gt;"",1,0)+IF(EC1321&lt;&gt;"",1,0)+IF(ED1321&lt;&gt;"",1,0)+IF(EG1321&lt;&gt;"",1,0)+IF(EH1321&lt;&gt;"",1,0)</f>
        <v/>
      </c>
      <c r="AZ1321">
        <f>IF(EH1321&lt;&gt;"",1,0)</f>
        <v/>
      </c>
      <c r="BB1321" t="inlineStr">
        <is>
          <t>WARREN-WARD 4</t>
        </is>
      </c>
      <c r="DI1321" t="inlineStr">
        <is>
          <t>X</t>
        </is>
      </c>
      <c r="DL1321" t="inlineStr">
        <is>
          <t>X</t>
        </is>
      </c>
      <c r="DN1321" t="inlineStr">
        <is>
          <t>X</t>
        </is>
      </c>
      <c r="DU1321" t="inlineStr">
        <is>
          <t>X</t>
        </is>
      </c>
      <c r="EF1321" t="inlineStr">
        <is>
          <t>X</t>
        </is>
      </c>
    </row>
    <row r="1322">
      <c r="A1322" t="inlineStr">
        <is>
          <t>OH0015740941</t>
        </is>
      </c>
      <c r="B1322" t="n">
        <v>78</v>
      </c>
      <c r="C1322" t="n">
        <v>311446</v>
      </c>
      <c r="D1322" t="inlineStr">
        <is>
          <t>BAUMGARTNER</t>
        </is>
      </c>
      <c r="E1322" t="inlineStr">
        <is>
          <t>JOSEPHINE</t>
        </is>
      </c>
      <c r="F1322">
        <f>CONCATENATE(D1322," ",LEFT(H1322,4),"T=",AU1322,"D=",AV1322,"R=",AW1322,"M=",AX1322,"L=",AY1322,"B=",AZ1322)</f>
        <v/>
      </c>
      <c r="G1322" t="inlineStr">
        <is>
          <t>J</t>
        </is>
      </c>
      <c r="I1322" t="inlineStr">
        <is>
          <t>1983-01-12</t>
        </is>
      </c>
      <c r="J1322" t="inlineStr">
        <is>
          <t>2025-03-26</t>
        </is>
      </c>
      <c r="K1322" t="inlineStr">
        <is>
          <t>ACTIVE</t>
        </is>
      </c>
      <c r="M1322" t="inlineStr">
        <is>
          <t>158 LINDEN AVE NE</t>
        </is>
      </c>
      <c r="N1322">
        <f>RIGHT(M1322,LEN(M1322)-FIND(" ",M1322))</f>
        <v/>
      </c>
      <c r="P1322" t="inlineStr">
        <is>
          <t>WARREN</t>
        </is>
      </c>
      <c r="Q1322" t="inlineStr">
        <is>
          <t>OH</t>
        </is>
      </c>
      <c r="R1322" t="n">
        <v>44483</v>
      </c>
      <c r="AD1322" t="inlineStr">
        <is>
          <t>TRUMBULL CAREER &amp; TECH CENTER</t>
        </is>
      </c>
      <c r="AE1322" t="inlineStr">
        <is>
          <t>WARREN CITY</t>
        </is>
      </c>
      <c r="AF1322" t="inlineStr">
        <is>
          <t>WARREN CITY SD</t>
        </is>
      </c>
      <c r="AH1322" t="n">
        <v>14</v>
      </c>
      <c r="AI1322" t="n">
        <v>11</v>
      </c>
      <c r="AN1322" t="inlineStr">
        <is>
          <t>WARREN</t>
        </is>
      </c>
      <c r="AO1322" t="inlineStr">
        <is>
          <t>WARREN CITY 4D</t>
        </is>
      </c>
      <c r="AP1322" t="inlineStr">
        <is>
          <t>78-P-ADL</t>
        </is>
      </c>
      <c r="AQ1322" t="n">
        <v>9</v>
      </c>
      <c r="AR1322" t="n">
        <v>64</v>
      </c>
      <c r="AS1322" t="n">
        <v>32</v>
      </c>
      <c r="AU1322">
        <f>COUNTA($BA$1322:$EH$1322)</f>
        <v/>
      </c>
      <c r="AV1322">
        <f>COUNTIF($BA$1322:$EH$1322,"D")</f>
        <v/>
      </c>
      <c r="AW1322">
        <f>COUNTIF($BA$1322:$EH$1322,"R")</f>
        <v/>
      </c>
      <c r="AX1322">
        <f>IF(BN1322="D",1,0)+IF(BO1322="D",1,0)+IF(BT1322="D",1,0)+IF(BU1322="D",1,0)+IF(BW1322="D",1,0)+IF(CC1322="D",1,0)+IF(CD1322="D",1,0)+IF(CE1322="D",1,0)+IF(CF1322="D",1,0)+IF(CL1322="D",1,0)+IF(CM1322="D",1,0)+IF(CQ1322="D",1,0)+IF(CR1322="D",1,0)+IF(CS1322="D",1,0)+IF(CW1322="D",1,0)+IF(CX1322="D",1,0)+IF(DD1322="D",1,0)+IF(DE1322="D",1,0)+IF(DJ1322="D",1,0)+IF(DK1322="D",1,0)+IF(DO1322="D",1,0)+IF(DP1322="D",1,0)+IF(DQ1322="D",1,0)+IF(DW1322="D",1,0)+IF(DZ1322="D",1,0)+IF(EH1322="D",1,0)</f>
        <v/>
      </c>
      <c r="AY1322">
        <f>IF(DJ1322&lt;&gt;"",1,0)+IF(DK1322&lt;&gt;"",1,0)+IF(DM1322&lt;&gt;"",1,0)+IF(DO1322&lt;&gt;"",1,0)+IF(DP1322&lt;&gt;"",1,0)+IF(DQ1322&lt;&gt;"",1,0)+IF(DS1322&lt;&gt;"",1,0)+IF(DT1322&lt;&gt;"",1,0)+IF(DV1322&lt;&gt;"",1,0)+IF(DW1322&lt;&gt;"",1,0)+IF(DX1322&lt;&gt;"",1,0)+IF(DY1322&lt;&gt;"",1,0)+IF(DZ1322&lt;&gt;"",1,0)+IF(EB1322&lt;&gt;"",1,0)+IF(EC1322&lt;&gt;"",1,0)+IF(ED1322&lt;&gt;"",1,0)+IF(EG1322&lt;&gt;"",1,0)+IF(EH1322&lt;&gt;"",1,0)</f>
        <v/>
      </c>
      <c r="AZ1322">
        <f>IF(EH1322&lt;&gt;"",1,0)</f>
        <v/>
      </c>
      <c r="BB1322" t="inlineStr">
        <is>
          <t>WARREN-WARD 4</t>
        </is>
      </c>
      <c r="BH1322" t="inlineStr">
        <is>
          <t>X</t>
        </is>
      </c>
      <c r="BL1322" t="inlineStr">
        <is>
          <t>X</t>
        </is>
      </c>
      <c r="CV1322" t="inlineStr">
        <is>
          <t>X</t>
        </is>
      </c>
    </row>
    <row r="1323">
      <c r="A1323" t="inlineStr">
        <is>
          <t>OH0027927550</t>
        </is>
      </c>
      <c r="B1323" t="n">
        <v>78</v>
      </c>
      <c r="C1323" t="n">
        <v>495551</v>
      </c>
      <c r="D1323" t="inlineStr">
        <is>
          <t>HAVRILESKO</t>
        </is>
      </c>
      <c r="E1323" t="inlineStr">
        <is>
          <t>STEVEN</t>
        </is>
      </c>
      <c r="F1323">
        <f>CONCATENATE(D1323," ",LEFT(H1323,4),"T=",AU1323,"D=",AV1323,"R=",AW1323,"M=",AX1323,"L=",AY1323,"B=",AZ1323)</f>
        <v/>
      </c>
      <c r="G1323" t="inlineStr">
        <is>
          <t>NICOLAUS</t>
        </is>
      </c>
      <c r="I1323" t="inlineStr">
        <is>
          <t>1981-09-13</t>
        </is>
      </c>
      <c r="J1323" t="inlineStr">
        <is>
          <t>2025-03-25</t>
        </is>
      </c>
      <c r="K1323" t="inlineStr">
        <is>
          <t>ACTIVE</t>
        </is>
      </c>
      <c r="M1323" t="inlineStr">
        <is>
          <t>1107 MCKINLEY ST NE</t>
        </is>
      </c>
      <c r="N1323">
        <f>RIGHT(M1323,LEN(M1323)-FIND(" ",M1323))</f>
        <v/>
      </c>
      <c r="P1323" t="inlineStr">
        <is>
          <t>WARREN</t>
        </is>
      </c>
      <c r="Q1323" t="inlineStr">
        <is>
          <t>OH</t>
        </is>
      </c>
      <c r="R1323" t="n">
        <v>44483</v>
      </c>
      <c r="AD1323" t="inlineStr">
        <is>
          <t>TRUMBULL CAREER &amp; TECH CENTER</t>
        </is>
      </c>
      <c r="AE1323" t="inlineStr">
        <is>
          <t>WARREN CITY</t>
        </is>
      </c>
      <c r="AF1323" t="inlineStr">
        <is>
          <t>WARREN CITY SD</t>
        </is>
      </c>
      <c r="AH1323" t="n">
        <v>14</v>
      </c>
      <c r="AI1323" t="n">
        <v>11</v>
      </c>
      <c r="AN1323" t="inlineStr">
        <is>
          <t>WARREN</t>
        </is>
      </c>
      <c r="AO1323" t="inlineStr">
        <is>
          <t>WARREN CITY 4D</t>
        </is>
      </c>
      <c r="AP1323" t="inlineStr">
        <is>
          <t>78-P-ADL</t>
        </is>
      </c>
      <c r="AQ1323" t="n">
        <v>9</v>
      </c>
      <c r="AR1323" t="n">
        <v>64</v>
      </c>
      <c r="AS1323" t="n">
        <v>32</v>
      </c>
      <c r="AU1323">
        <f>COUNTA($BA$1323:$EH$1323)</f>
        <v/>
      </c>
      <c r="AV1323">
        <f>COUNTIF($BA$1323:$EH$1323,"D")</f>
        <v/>
      </c>
      <c r="AW1323">
        <f>COUNTIF($BA$1323:$EH$1323,"R")</f>
        <v/>
      </c>
      <c r="AX1323">
        <f>IF(BN1323="D",1,0)+IF(BO1323="D",1,0)+IF(BT1323="D",1,0)+IF(BU1323="D",1,0)+IF(BW1323="D",1,0)+IF(CC1323="D",1,0)+IF(CD1323="D",1,0)+IF(CE1323="D",1,0)+IF(CF1323="D",1,0)+IF(CL1323="D",1,0)+IF(CM1323="D",1,0)+IF(CQ1323="D",1,0)+IF(CR1323="D",1,0)+IF(CS1323="D",1,0)+IF(CW1323="D",1,0)+IF(CX1323="D",1,0)+IF(DD1323="D",1,0)+IF(DE1323="D",1,0)+IF(DJ1323="D",1,0)+IF(DK1323="D",1,0)+IF(DO1323="D",1,0)+IF(DP1323="D",1,0)+IF(DQ1323="D",1,0)+IF(DW1323="D",1,0)+IF(DZ1323="D",1,0)+IF(EH1323="D",1,0)</f>
        <v/>
      </c>
      <c r="AY1323">
        <f>IF(DJ1323&lt;&gt;"",1,0)+IF(DK1323&lt;&gt;"",1,0)+IF(DM1323&lt;&gt;"",1,0)+IF(DO1323&lt;&gt;"",1,0)+IF(DP1323&lt;&gt;"",1,0)+IF(DQ1323&lt;&gt;"",1,0)+IF(DS1323&lt;&gt;"",1,0)+IF(DT1323&lt;&gt;"",1,0)+IF(DV1323&lt;&gt;"",1,0)+IF(DW1323&lt;&gt;"",1,0)+IF(DX1323&lt;&gt;"",1,0)+IF(DY1323&lt;&gt;"",1,0)+IF(DZ1323&lt;&gt;"",1,0)+IF(EB1323&lt;&gt;"",1,0)+IF(EC1323&lt;&gt;"",1,0)+IF(ED1323&lt;&gt;"",1,0)+IF(EG1323&lt;&gt;"",1,0)+IF(EH1323&lt;&gt;"",1,0)</f>
        <v/>
      </c>
      <c r="AZ1323">
        <f>IF(EH1323&lt;&gt;"",1,0)</f>
        <v/>
      </c>
      <c r="BB1323" t="inlineStr">
        <is>
          <t>WARREN-WARD 4</t>
        </is>
      </c>
    </row>
    <row r="1324">
      <c r="A1324" t="inlineStr">
        <is>
          <t>OH0027927562</t>
        </is>
      </c>
      <c r="B1324" t="n">
        <v>78</v>
      </c>
      <c r="C1324" t="n">
        <v>495552</v>
      </c>
      <c r="D1324" t="inlineStr">
        <is>
          <t>HAVRILESKO</t>
        </is>
      </c>
      <c r="E1324" t="inlineStr">
        <is>
          <t>ETHAN</t>
        </is>
      </c>
      <c r="F1324">
        <f>CONCATENATE(D1324," ",LEFT(H1324,4),"T=",AU1324,"D=",AV1324,"R=",AW1324,"M=",AX1324,"L=",AY1324,"B=",AZ1324)</f>
        <v/>
      </c>
      <c r="G1324" t="inlineStr">
        <is>
          <t>J</t>
        </is>
      </c>
      <c r="I1324" t="inlineStr">
        <is>
          <t>2006-03-21</t>
        </is>
      </c>
      <c r="J1324" t="inlineStr">
        <is>
          <t>2025-03-25</t>
        </is>
      </c>
      <c r="K1324" t="inlineStr">
        <is>
          <t>ACTIVE</t>
        </is>
      </c>
      <c r="M1324" t="inlineStr">
        <is>
          <t>1107 MCKINLEY ST NE</t>
        </is>
      </c>
      <c r="N1324">
        <f>RIGHT(M1324,LEN(M1324)-FIND(" ",M1324))</f>
        <v/>
      </c>
      <c r="P1324" t="inlineStr">
        <is>
          <t>WARREN</t>
        </is>
      </c>
      <c r="Q1324" t="inlineStr">
        <is>
          <t>OH</t>
        </is>
      </c>
      <c r="R1324" t="n">
        <v>44483</v>
      </c>
      <c r="AD1324" t="inlineStr">
        <is>
          <t>TRUMBULL CAREER &amp; TECH CENTER</t>
        </is>
      </c>
      <c r="AE1324" t="inlineStr">
        <is>
          <t>WARREN CITY</t>
        </is>
      </c>
      <c r="AF1324" t="inlineStr">
        <is>
          <t>WARREN CITY SD</t>
        </is>
      </c>
      <c r="AH1324" t="n">
        <v>14</v>
      </c>
      <c r="AI1324" t="n">
        <v>11</v>
      </c>
      <c r="AN1324" t="inlineStr">
        <is>
          <t>WARREN</t>
        </is>
      </c>
      <c r="AO1324" t="inlineStr">
        <is>
          <t>WARREN CITY 4D</t>
        </is>
      </c>
      <c r="AP1324" t="inlineStr">
        <is>
          <t>78-P-ADL</t>
        </is>
      </c>
      <c r="AQ1324" t="n">
        <v>9</v>
      </c>
      <c r="AR1324" t="n">
        <v>64</v>
      </c>
      <c r="AS1324" t="n">
        <v>32</v>
      </c>
      <c r="AU1324">
        <f>COUNTA($BA$1324:$EH$1324)</f>
        <v/>
      </c>
      <c r="AV1324">
        <f>COUNTIF($BA$1324:$EH$1324,"D")</f>
        <v/>
      </c>
      <c r="AW1324">
        <f>COUNTIF($BA$1324:$EH$1324,"R")</f>
        <v/>
      </c>
      <c r="AX1324">
        <f>IF(BN1324="D",1,0)+IF(BO1324="D",1,0)+IF(BT1324="D",1,0)+IF(BU1324="D",1,0)+IF(BW1324="D",1,0)+IF(CC1324="D",1,0)+IF(CD1324="D",1,0)+IF(CE1324="D",1,0)+IF(CF1324="D",1,0)+IF(CL1324="D",1,0)+IF(CM1324="D",1,0)+IF(CQ1324="D",1,0)+IF(CR1324="D",1,0)+IF(CS1324="D",1,0)+IF(CW1324="D",1,0)+IF(CX1324="D",1,0)+IF(DD1324="D",1,0)+IF(DE1324="D",1,0)+IF(DJ1324="D",1,0)+IF(DK1324="D",1,0)+IF(DO1324="D",1,0)+IF(DP1324="D",1,0)+IF(DQ1324="D",1,0)+IF(DW1324="D",1,0)+IF(DZ1324="D",1,0)+IF(EH1324="D",1,0)</f>
        <v/>
      </c>
      <c r="AY1324">
        <f>IF(DJ1324&lt;&gt;"",1,0)+IF(DK1324&lt;&gt;"",1,0)+IF(DM1324&lt;&gt;"",1,0)+IF(DO1324&lt;&gt;"",1,0)+IF(DP1324&lt;&gt;"",1,0)+IF(DQ1324&lt;&gt;"",1,0)+IF(DS1324&lt;&gt;"",1,0)+IF(DT1324&lt;&gt;"",1,0)+IF(DV1324&lt;&gt;"",1,0)+IF(DW1324&lt;&gt;"",1,0)+IF(DX1324&lt;&gt;"",1,0)+IF(DY1324&lt;&gt;"",1,0)+IF(DZ1324&lt;&gt;"",1,0)+IF(EB1324&lt;&gt;"",1,0)+IF(EC1324&lt;&gt;"",1,0)+IF(ED1324&lt;&gt;"",1,0)+IF(EG1324&lt;&gt;"",1,0)+IF(EH1324&lt;&gt;"",1,0)</f>
        <v/>
      </c>
      <c r="AZ1324">
        <f>IF(EH1324&lt;&gt;"",1,0)</f>
        <v/>
      </c>
      <c r="BB1324" t="inlineStr">
        <is>
          <t>WARREN-WARD 4</t>
        </is>
      </c>
    </row>
    <row r="1325">
      <c r="A1325" t="inlineStr">
        <is>
          <t>OH0027025687</t>
        </is>
      </c>
      <c r="B1325" t="n">
        <v>78</v>
      </c>
      <c r="C1325" t="n">
        <v>475888</v>
      </c>
      <c r="D1325" t="inlineStr">
        <is>
          <t>LUCIANO</t>
        </is>
      </c>
      <c r="E1325" t="inlineStr">
        <is>
          <t>FRANCISCO</t>
        </is>
      </c>
      <c r="F1325">
        <f>CONCATENATE(D1325," ",LEFT(H1325,4),"T=",AU1325,"D=",AV1325,"R=",AW1325,"M=",AX1325,"L=",AY1325,"B=",AZ1325)</f>
        <v/>
      </c>
      <c r="G1325" t="inlineStr">
        <is>
          <t>A</t>
        </is>
      </c>
      <c r="I1325" t="inlineStr">
        <is>
          <t>1998-11-16</t>
        </is>
      </c>
      <c r="J1325" t="inlineStr">
        <is>
          <t>2023-08-09</t>
        </is>
      </c>
      <c r="K1325" t="inlineStr">
        <is>
          <t>ACTIVE</t>
        </is>
      </c>
      <c r="M1325" t="inlineStr">
        <is>
          <t>338 SCOTT ST NE</t>
        </is>
      </c>
      <c r="N1325">
        <f>RIGHT(M1325,LEN(M1325)-FIND(" ",M1325))</f>
        <v/>
      </c>
      <c r="O1325" t="inlineStr">
        <is>
          <t>APT 1</t>
        </is>
      </c>
      <c r="P1325" t="inlineStr">
        <is>
          <t>WARREN</t>
        </is>
      </c>
      <c r="Q1325" t="inlineStr">
        <is>
          <t>OH</t>
        </is>
      </c>
      <c r="R1325" t="n">
        <v>44483</v>
      </c>
      <c r="AD1325" t="inlineStr">
        <is>
          <t>TRUMBULL CAREER &amp; TECH CENTER</t>
        </is>
      </c>
      <c r="AE1325" t="inlineStr">
        <is>
          <t>WARREN CITY</t>
        </is>
      </c>
      <c r="AF1325" t="inlineStr">
        <is>
          <t>WARREN CITY SD</t>
        </is>
      </c>
      <c r="AH1325" t="n">
        <v>14</v>
      </c>
      <c r="AI1325" t="n">
        <v>11</v>
      </c>
      <c r="AN1325" t="inlineStr">
        <is>
          <t>WARREN</t>
        </is>
      </c>
      <c r="AO1325" t="inlineStr">
        <is>
          <t>WARREN CITY 4D</t>
        </is>
      </c>
      <c r="AP1325" t="inlineStr">
        <is>
          <t>78-P-ADL</t>
        </is>
      </c>
      <c r="AQ1325" t="n">
        <v>9</v>
      </c>
      <c r="AR1325" t="n">
        <v>64</v>
      </c>
      <c r="AS1325" t="n">
        <v>32</v>
      </c>
      <c r="AU1325">
        <f>COUNTA($BA$1325:$EH$1325)</f>
        <v/>
      </c>
      <c r="AV1325">
        <f>COUNTIF($BA$1325:$EH$1325,"D")</f>
        <v/>
      </c>
      <c r="AW1325">
        <f>COUNTIF($BA$1325:$EH$1325,"R")</f>
        <v/>
      </c>
      <c r="AX1325">
        <f>IF(BN1325="D",1,0)+IF(BO1325="D",1,0)+IF(BT1325="D",1,0)+IF(BU1325="D",1,0)+IF(BW1325="D",1,0)+IF(CC1325="D",1,0)+IF(CD1325="D",1,0)+IF(CE1325="D",1,0)+IF(CF1325="D",1,0)+IF(CL1325="D",1,0)+IF(CM1325="D",1,0)+IF(CQ1325="D",1,0)+IF(CR1325="D",1,0)+IF(CS1325="D",1,0)+IF(CW1325="D",1,0)+IF(CX1325="D",1,0)+IF(DD1325="D",1,0)+IF(DE1325="D",1,0)+IF(DJ1325="D",1,0)+IF(DK1325="D",1,0)+IF(DO1325="D",1,0)+IF(DP1325="D",1,0)+IF(DQ1325="D",1,0)+IF(DW1325="D",1,0)+IF(DZ1325="D",1,0)+IF(EH1325="D",1,0)</f>
        <v/>
      </c>
      <c r="AY1325">
        <f>IF(DJ1325&lt;&gt;"",1,0)+IF(DK1325&lt;&gt;"",1,0)+IF(DM1325&lt;&gt;"",1,0)+IF(DO1325&lt;&gt;"",1,0)+IF(DP1325&lt;&gt;"",1,0)+IF(DQ1325&lt;&gt;"",1,0)+IF(DS1325&lt;&gt;"",1,0)+IF(DT1325&lt;&gt;"",1,0)+IF(DV1325&lt;&gt;"",1,0)+IF(DW1325&lt;&gt;"",1,0)+IF(DX1325&lt;&gt;"",1,0)+IF(DY1325&lt;&gt;"",1,0)+IF(DZ1325&lt;&gt;"",1,0)+IF(EB1325&lt;&gt;"",1,0)+IF(EC1325&lt;&gt;"",1,0)+IF(ED1325&lt;&gt;"",1,0)+IF(EG1325&lt;&gt;"",1,0)+IF(EH1325&lt;&gt;"",1,0)</f>
        <v/>
      </c>
      <c r="AZ1325">
        <f>IF(EH1325&lt;&gt;"",1,0)</f>
        <v/>
      </c>
      <c r="BB1325" t="inlineStr">
        <is>
          <t>WARREN-WARD 4</t>
        </is>
      </c>
    </row>
    <row r="1326">
      <c r="A1326" t="inlineStr">
        <is>
          <t>OH0015723170</t>
        </is>
      </c>
      <c r="B1326" t="n">
        <v>78</v>
      </c>
      <c r="C1326" t="n">
        <v>205573</v>
      </c>
      <c r="D1326" t="inlineStr">
        <is>
          <t>WATSON</t>
        </is>
      </c>
      <c r="E1326" t="inlineStr">
        <is>
          <t>ANITA</t>
        </is>
      </c>
      <c r="F1326">
        <f>CONCATENATE(D1326," ",LEFT(H1326,4),"T=",AU1326,"D=",AV1326,"R=",AW1326,"M=",AX1326,"L=",AY1326,"B=",AZ1326)</f>
        <v/>
      </c>
      <c r="G1326" t="inlineStr">
        <is>
          <t>L</t>
        </is>
      </c>
      <c r="I1326" t="inlineStr">
        <is>
          <t>1970-04-09</t>
        </is>
      </c>
      <c r="J1326" t="inlineStr">
        <is>
          <t>2020-06-03</t>
        </is>
      </c>
      <c r="K1326" t="inlineStr">
        <is>
          <t>ACTIVE</t>
        </is>
      </c>
      <c r="L1326" t="inlineStr">
        <is>
          <t>D</t>
        </is>
      </c>
      <c r="M1326" t="inlineStr">
        <is>
          <t>838 PAIGE AVE NE</t>
        </is>
      </c>
      <c r="N1326">
        <f>RIGHT(M1326,LEN(M1326)-FIND(" ",M1326))</f>
        <v/>
      </c>
      <c r="P1326" t="inlineStr">
        <is>
          <t>WARREN</t>
        </is>
      </c>
      <c r="Q1326" t="inlineStr">
        <is>
          <t>OH</t>
        </is>
      </c>
      <c r="R1326" t="n">
        <v>44483</v>
      </c>
      <c r="AD1326" t="inlineStr">
        <is>
          <t>TRUMBULL CAREER &amp; TECH CENTER</t>
        </is>
      </c>
      <c r="AE1326" t="inlineStr">
        <is>
          <t>WARREN CITY</t>
        </is>
      </c>
      <c r="AF1326" t="inlineStr">
        <is>
          <t>WARREN CITY SD</t>
        </is>
      </c>
      <c r="AH1326" t="n">
        <v>14</v>
      </c>
      <c r="AI1326" t="n">
        <v>11</v>
      </c>
      <c r="AN1326" t="inlineStr">
        <is>
          <t>WARREN</t>
        </is>
      </c>
      <c r="AO1326" t="inlineStr">
        <is>
          <t>WARREN CITY 4D</t>
        </is>
      </c>
      <c r="AP1326" t="inlineStr">
        <is>
          <t>78-P-ADL</t>
        </is>
      </c>
      <c r="AQ1326" t="n">
        <v>9</v>
      </c>
      <c r="AR1326" t="n">
        <v>64</v>
      </c>
      <c r="AS1326" t="n">
        <v>32</v>
      </c>
      <c r="AU1326">
        <f>COUNTA($BA$1326:$EH$1326)</f>
        <v/>
      </c>
      <c r="AV1326">
        <f>COUNTIF($BA$1326:$EH$1326,"D")</f>
        <v/>
      </c>
      <c r="AW1326">
        <f>COUNTIF($BA$1326:$EH$1326,"R")</f>
        <v/>
      </c>
      <c r="AX1326">
        <f>IF(BN1326="D",1,0)+IF(BO1326="D",1,0)+IF(BT1326="D",1,0)+IF(BU1326="D",1,0)+IF(BW1326="D",1,0)+IF(CC1326="D",1,0)+IF(CD1326="D",1,0)+IF(CE1326="D",1,0)+IF(CF1326="D",1,0)+IF(CL1326="D",1,0)+IF(CM1326="D",1,0)+IF(CQ1326="D",1,0)+IF(CR1326="D",1,0)+IF(CS1326="D",1,0)+IF(CW1326="D",1,0)+IF(CX1326="D",1,0)+IF(DD1326="D",1,0)+IF(DE1326="D",1,0)+IF(DJ1326="D",1,0)+IF(DK1326="D",1,0)+IF(DO1326="D",1,0)+IF(DP1326="D",1,0)+IF(DQ1326="D",1,0)+IF(DW1326="D",1,0)+IF(DZ1326="D",1,0)+IF(EH1326="D",1,0)</f>
        <v/>
      </c>
      <c r="AY1326">
        <f>IF(DJ1326&lt;&gt;"",1,0)+IF(DK1326&lt;&gt;"",1,0)+IF(DM1326&lt;&gt;"",1,0)+IF(DO1326&lt;&gt;"",1,0)+IF(DP1326&lt;&gt;"",1,0)+IF(DQ1326&lt;&gt;"",1,0)+IF(DS1326&lt;&gt;"",1,0)+IF(DT1326&lt;&gt;"",1,0)+IF(DV1326&lt;&gt;"",1,0)+IF(DW1326&lt;&gt;"",1,0)+IF(DX1326&lt;&gt;"",1,0)+IF(DY1326&lt;&gt;"",1,0)+IF(DZ1326&lt;&gt;"",1,0)+IF(EB1326&lt;&gt;"",1,0)+IF(EC1326&lt;&gt;"",1,0)+IF(ED1326&lt;&gt;"",1,0)+IF(EG1326&lt;&gt;"",1,0)+IF(EH1326&lt;&gt;"",1,0)</f>
        <v/>
      </c>
      <c r="AZ1326">
        <f>IF(EH1326&lt;&gt;"",1,0)</f>
        <v/>
      </c>
      <c r="BB1326" t="inlineStr">
        <is>
          <t>WARREN-WARD 4</t>
        </is>
      </c>
      <c r="BC1326" t="inlineStr">
        <is>
          <t>X</t>
        </is>
      </c>
      <c r="BD1326" t="inlineStr">
        <is>
          <t>X</t>
        </is>
      </c>
      <c r="BE1326" t="inlineStr">
        <is>
          <t>X</t>
        </is>
      </c>
      <c r="BP1326" t="inlineStr">
        <is>
          <t>X</t>
        </is>
      </c>
      <c r="BS1326" t="inlineStr">
        <is>
          <t>X</t>
        </is>
      </c>
      <c r="BV1326" t="inlineStr">
        <is>
          <t>X</t>
        </is>
      </c>
      <c r="BY1326" t="inlineStr">
        <is>
          <t>D</t>
        </is>
      </c>
      <c r="CA1326" t="inlineStr">
        <is>
          <t>X</t>
        </is>
      </c>
      <c r="CG1326" t="inlineStr">
        <is>
          <t>X</t>
        </is>
      </c>
      <c r="DN1326" t="inlineStr">
        <is>
          <t>X</t>
        </is>
      </c>
      <c r="DR1326" t="inlineStr">
        <is>
          <t>X</t>
        </is>
      </c>
      <c r="DU1326" t="inlineStr">
        <is>
          <t>X</t>
        </is>
      </c>
      <c r="DW1326" t="inlineStr">
        <is>
          <t>D</t>
        </is>
      </c>
      <c r="DX1326" t="inlineStr">
        <is>
          <t>X</t>
        </is>
      </c>
      <c r="EA1326" t="inlineStr">
        <is>
          <t>X</t>
        </is>
      </c>
      <c r="EF1326" t="inlineStr">
        <is>
          <t>X</t>
        </is>
      </c>
    </row>
    <row r="1327">
      <c r="A1327" t="inlineStr">
        <is>
          <t>OH0018583822</t>
        </is>
      </c>
      <c r="B1327" t="n">
        <v>78</v>
      </c>
      <c r="C1327" t="n">
        <v>321972</v>
      </c>
      <c r="D1327" t="inlineStr">
        <is>
          <t>STANLEY</t>
        </is>
      </c>
      <c r="E1327" t="inlineStr">
        <is>
          <t>SUEANN</t>
        </is>
      </c>
      <c r="F1327">
        <f>CONCATENATE(D1327," ",LEFT(H1327,4),"T=",AU1327,"D=",AV1327,"R=",AW1327,"M=",AX1327,"L=",AY1327,"B=",AZ1327)</f>
        <v/>
      </c>
      <c r="I1327" t="inlineStr">
        <is>
          <t>1970-04-05</t>
        </is>
      </c>
      <c r="J1327" t="inlineStr">
        <is>
          <t>2019-05-06</t>
        </is>
      </c>
      <c r="K1327" t="inlineStr">
        <is>
          <t>CONFIRMATION</t>
        </is>
      </c>
      <c r="M1327" t="inlineStr">
        <is>
          <t>439 WAVERLY AVE NE</t>
        </is>
      </c>
      <c r="N1327">
        <f>RIGHT(M1327,LEN(M1327)-FIND(" ",M1327))</f>
        <v/>
      </c>
      <c r="O1327" t="inlineStr">
        <is>
          <t>APT 6</t>
        </is>
      </c>
      <c r="P1327" t="inlineStr">
        <is>
          <t>WARREN</t>
        </is>
      </c>
      <c r="Q1327" t="inlineStr">
        <is>
          <t>OH</t>
        </is>
      </c>
      <c r="R1327" t="n">
        <v>44483</v>
      </c>
      <c r="AD1327" t="inlineStr">
        <is>
          <t>TRUMBULL CAREER &amp; TECH CENTER</t>
        </is>
      </c>
      <c r="AE1327" t="inlineStr">
        <is>
          <t>WARREN CITY</t>
        </is>
      </c>
      <c r="AF1327" t="inlineStr">
        <is>
          <t>WARREN CITY SD</t>
        </is>
      </c>
      <c r="AH1327" t="n">
        <v>14</v>
      </c>
      <c r="AI1327" t="n">
        <v>11</v>
      </c>
      <c r="AN1327" t="inlineStr">
        <is>
          <t>WARREN</t>
        </is>
      </c>
      <c r="AO1327" t="inlineStr">
        <is>
          <t>WARREN CITY 4D</t>
        </is>
      </c>
      <c r="AP1327" t="inlineStr">
        <is>
          <t>78-P-ADL</t>
        </is>
      </c>
      <c r="AQ1327" t="n">
        <v>9</v>
      </c>
      <c r="AR1327" t="n">
        <v>64</v>
      </c>
      <c r="AS1327" t="n">
        <v>32</v>
      </c>
      <c r="AU1327">
        <f>COUNTA($BA$1327:$EH$1327)</f>
        <v/>
      </c>
      <c r="AV1327">
        <f>COUNTIF($BA$1327:$EH$1327,"D")</f>
        <v/>
      </c>
      <c r="AW1327">
        <f>COUNTIF($BA$1327:$EH$1327,"R")</f>
        <v/>
      </c>
      <c r="AX1327">
        <f>IF(BN1327="D",1,0)+IF(BO1327="D",1,0)+IF(BT1327="D",1,0)+IF(BU1327="D",1,0)+IF(BW1327="D",1,0)+IF(CC1327="D",1,0)+IF(CD1327="D",1,0)+IF(CE1327="D",1,0)+IF(CF1327="D",1,0)+IF(CL1327="D",1,0)+IF(CM1327="D",1,0)+IF(CQ1327="D",1,0)+IF(CR1327="D",1,0)+IF(CS1327="D",1,0)+IF(CW1327="D",1,0)+IF(CX1327="D",1,0)+IF(DD1327="D",1,0)+IF(DE1327="D",1,0)+IF(DJ1327="D",1,0)+IF(DK1327="D",1,0)+IF(DO1327="D",1,0)+IF(DP1327="D",1,0)+IF(DQ1327="D",1,0)+IF(DW1327="D",1,0)+IF(DZ1327="D",1,0)+IF(EH1327="D",1,0)</f>
        <v/>
      </c>
      <c r="AY1327">
        <f>IF(DJ1327&lt;&gt;"",1,0)+IF(DK1327&lt;&gt;"",1,0)+IF(DM1327&lt;&gt;"",1,0)+IF(DO1327&lt;&gt;"",1,0)+IF(DP1327&lt;&gt;"",1,0)+IF(DQ1327&lt;&gt;"",1,0)+IF(DS1327&lt;&gt;"",1,0)+IF(DT1327&lt;&gt;"",1,0)+IF(DV1327&lt;&gt;"",1,0)+IF(DW1327&lt;&gt;"",1,0)+IF(DX1327&lt;&gt;"",1,0)+IF(DY1327&lt;&gt;"",1,0)+IF(DZ1327&lt;&gt;"",1,0)+IF(EB1327&lt;&gt;"",1,0)+IF(EC1327&lt;&gt;"",1,0)+IF(ED1327&lt;&gt;"",1,0)+IF(EG1327&lt;&gt;"",1,0)+IF(EH1327&lt;&gt;"",1,0)</f>
        <v/>
      </c>
      <c r="AZ1327">
        <f>IF(EH1327&lt;&gt;"",1,0)</f>
        <v/>
      </c>
      <c r="BB1327" t="inlineStr">
        <is>
          <t>WARREN-WARD 4</t>
        </is>
      </c>
    </row>
    <row r="1328">
      <c r="A1328" t="inlineStr">
        <is>
          <t>OH0027913785</t>
        </is>
      </c>
      <c r="B1328" t="n">
        <v>78</v>
      </c>
      <c r="C1328" t="n">
        <v>495311</v>
      </c>
      <c r="D1328" t="inlineStr">
        <is>
          <t>RUDOLPH</t>
        </is>
      </c>
      <c r="E1328" t="inlineStr">
        <is>
          <t>MALHKIYA</t>
        </is>
      </c>
      <c r="F1328">
        <f>CONCATENATE(D1328," ",LEFT(H1328,4),"T=",AU1328,"D=",AV1328,"R=",AW1328,"M=",AX1328,"L=",AY1328,"B=",AZ1328)</f>
        <v/>
      </c>
      <c r="G1328" t="inlineStr">
        <is>
          <t>ADIRA</t>
        </is>
      </c>
      <c r="I1328" t="inlineStr">
        <is>
          <t>2003-02-28</t>
        </is>
      </c>
      <c r="J1328" t="inlineStr">
        <is>
          <t>2025-03-07</t>
        </is>
      </c>
      <c r="K1328" t="inlineStr">
        <is>
          <t>ACTIVE</t>
        </is>
      </c>
      <c r="M1328" t="inlineStr">
        <is>
          <t>184 PORTER ST NE</t>
        </is>
      </c>
      <c r="N1328">
        <f>RIGHT(M1328,LEN(M1328)-FIND(" ",M1328))</f>
        <v/>
      </c>
      <c r="O1328" t="inlineStr">
        <is>
          <t>UNIT 2W</t>
        </is>
      </c>
      <c r="P1328" t="inlineStr">
        <is>
          <t>WARREN</t>
        </is>
      </c>
      <c r="Q1328" t="inlineStr">
        <is>
          <t>OH</t>
        </is>
      </c>
      <c r="R1328" t="n">
        <v>44483</v>
      </c>
      <c r="AD1328" t="inlineStr">
        <is>
          <t>TRUMBULL CAREER &amp; TECH CENTER</t>
        </is>
      </c>
      <c r="AE1328" t="inlineStr">
        <is>
          <t>WARREN CITY</t>
        </is>
      </c>
      <c r="AF1328" t="inlineStr">
        <is>
          <t>WARREN CITY SD</t>
        </is>
      </c>
      <c r="AH1328" t="n">
        <v>14</v>
      </c>
      <c r="AI1328" t="n">
        <v>11</v>
      </c>
      <c r="AN1328" t="inlineStr">
        <is>
          <t>WARREN</t>
        </is>
      </c>
      <c r="AO1328" t="inlineStr">
        <is>
          <t>WARREN CITY 4D</t>
        </is>
      </c>
      <c r="AP1328" t="inlineStr">
        <is>
          <t>78-P-ADL</t>
        </is>
      </c>
      <c r="AQ1328" t="n">
        <v>9</v>
      </c>
      <c r="AR1328" t="n">
        <v>64</v>
      </c>
      <c r="AS1328" t="n">
        <v>32</v>
      </c>
      <c r="AU1328">
        <f>COUNTA($BA$1328:$EH$1328)</f>
        <v/>
      </c>
      <c r="AV1328">
        <f>COUNTIF($BA$1328:$EH$1328,"D")</f>
        <v/>
      </c>
      <c r="AW1328">
        <f>COUNTIF($BA$1328:$EH$1328,"R")</f>
        <v/>
      </c>
      <c r="AX1328">
        <f>IF(BN1328="D",1,0)+IF(BO1328="D",1,0)+IF(BT1328="D",1,0)+IF(BU1328="D",1,0)+IF(BW1328="D",1,0)+IF(CC1328="D",1,0)+IF(CD1328="D",1,0)+IF(CE1328="D",1,0)+IF(CF1328="D",1,0)+IF(CL1328="D",1,0)+IF(CM1328="D",1,0)+IF(CQ1328="D",1,0)+IF(CR1328="D",1,0)+IF(CS1328="D",1,0)+IF(CW1328="D",1,0)+IF(CX1328="D",1,0)+IF(DD1328="D",1,0)+IF(DE1328="D",1,0)+IF(DJ1328="D",1,0)+IF(DK1328="D",1,0)+IF(DO1328="D",1,0)+IF(DP1328="D",1,0)+IF(DQ1328="D",1,0)+IF(DW1328="D",1,0)+IF(DZ1328="D",1,0)+IF(EH1328="D",1,0)</f>
        <v/>
      </c>
      <c r="AY1328">
        <f>IF(DJ1328&lt;&gt;"",1,0)+IF(DK1328&lt;&gt;"",1,0)+IF(DM1328&lt;&gt;"",1,0)+IF(DO1328&lt;&gt;"",1,0)+IF(DP1328&lt;&gt;"",1,0)+IF(DQ1328&lt;&gt;"",1,0)+IF(DS1328&lt;&gt;"",1,0)+IF(DT1328&lt;&gt;"",1,0)+IF(DV1328&lt;&gt;"",1,0)+IF(DW1328&lt;&gt;"",1,0)+IF(DX1328&lt;&gt;"",1,0)+IF(DY1328&lt;&gt;"",1,0)+IF(DZ1328&lt;&gt;"",1,0)+IF(EB1328&lt;&gt;"",1,0)+IF(EC1328&lt;&gt;"",1,0)+IF(ED1328&lt;&gt;"",1,0)+IF(EG1328&lt;&gt;"",1,0)+IF(EH1328&lt;&gt;"",1,0)</f>
        <v/>
      </c>
      <c r="AZ1328">
        <f>IF(EH1328&lt;&gt;"",1,0)</f>
        <v/>
      </c>
      <c r="BB1328" t="inlineStr">
        <is>
          <t>WARREN-WARD 4</t>
        </is>
      </c>
    </row>
    <row r="1329">
      <c r="A1329" t="inlineStr">
        <is>
          <t>OH0026643073</t>
        </is>
      </c>
      <c r="B1329" t="n">
        <v>78</v>
      </c>
      <c r="C1329" t="n">
        <v>465444</v>
      </c>
      <c r="D1329" t="inlineStr">
        <is>
          <t>BROWN</t>
        </is>
      </c>
      <c r="E1329" t="inlineStr">
        <is>
          <t>DERASJAH</t>
        </is>
      </c>
      <c r="F1329">
        <f>CONCATENATE(D1329," ",LEFT(H1329,4),"T=",AU1329,"D=",AV1329,"R=",AW1329,"M=",AX1329,"L=",AY1329,"B=",AZ1329)</f>
        <v/>
      </c>
      <c r="G1329" t="inlineStr">
        <is>
          <t>SHYAH MARIE</t>
        </is>
      </c>
      <c r="I1329" t="inlineStr">
        <is>
          <t>2000-10-07</t>
        </is>
      </c>
      <c r="J1329" t="inlineStr">
        <is>
          <t>2024-10-28</t>
        </is>
      </c>
      <c r="K1329" t="inlineStr">
        <is>
          <t>ACTIVE</t>
        </is>
      </c>
      <c r="M1329" t="inlineStr">
        <is>
          <t>338 SCOTT ST NE</t>
        </is>
      </c>
      <c r="N1329">
        <f>RIGHT(M1329,LEN(M1329)-FIND(" ",M1329))</f>
        <v/>
      </c>
      <c r="O1329" t="inlineStr">
        <is>
          <t>APT 8</t>
        </is>
      </c>
      <c r="P1329" t="inlineStr">
        <is>
          <t>WARREN</t>
        </is>
      </c>
      <c r="Q1329" t="inlineStr">
        <is>
          <t>OH</t>
        </is>
      </c>
      <c r="R1329" t="n">
        <v>44483</v>
      </c>
      <c r="AD1329" t="inlineStr">
        <is>
          <t>TRUMBULL CAREER &amp; TECH CENTER</t>
        </is>
      </c>
      <c r="AE1329" t="inlineStr">
        <is>
          <t>WARREN CITY</t>
        </is>
      </c>
      <c r="AF1329" t="inlineStr">
        <is>
          <t>WARREN CITY SD</t>
        </is>
      </c>
      <c r="AH1329" t="n">
        <v>14</v>
      </c>
      <c r="AI1329" t="n">
        <v>11</v>
      </c>
      <c r="AN1329" t="inlineStr">
        <is>
          <t>WARREN</t>
        </is>
      </c>
      <c r="AO1329" t="inlineStr">
        <is>
          <t>WARREN CITY 4D</t>
        </is>
      </c>
      <c r="AP1329" t="inlineStr">
        <is>
          <t>78-P-ADL</t>
        </is>
      </c>
      <c r="AQ1329" t="n">
        <v>9</v>
      </c>
      <c r="AR1329" t="n">
        <v>64</v>
      </c>
      <c r="AS1329" t="n">
        <v>32</v>
      </c>
      <c r="AU1329">
        <f>COUNTA($BA$1329:$EH$1329)</f>
        <v/>
      </c>
      <c r="AV1329">
        <f>COUNTIF($BA$1329:$EH$1329,"D")</f>
        <v/>
      </c>
      <c r="AW1329">
        <f>COUNTIF($BA$1329:$EH$1329,"R")</f>
        <v/>
      </c>
      <c r="AX1329">
        <f>IF(BN1329="D",1,0)+IF(BO1329="D",1,0)+IF(BT1329="D",1,0)+IF(BU1329="D",1,0)+IF(BW1329="D",1,0)+IF(CC1329="D",1,0)+IF(CD1329="D",1,0)+IF(CE1329="D",1,0)+IF(CF1329="D",1,0)+IF(CL1329="D",1,0)+IF(CM1329="D",1,0)+IF(CQ1329="D",1,0)+IF(CR1329="D",1,0)+IF(CS1329="D",1,0)+IF(CW1329="D",1,0)+IF(CX1329="D",1,0)+IF(DD1329="D",1,0)+IF(DE1329="D",1,0)+IF(DJ1329="D",1,0)+IF(DK1329="D",1,0)+IF(DO1329="D",1,0)+IF(DP1329="D",1,0)+IF(DQ1329="D",1,0)+IF(DW1329="D",1,0)+IF(DZ1329="D",1,0)+IF(EH1329="D",1,0)</f>
        <v/>
      </c>
      <c r="AY1329">
        <f>IF(DJ1329&lt;&gt;"",1,0)+IF(DK1329&lt;&gt;"",1,0)+IF(DM1329&lt;&gt;"",1,0)+IF(DO1329&lt;&gt;"",1,0)+IF(DP1329&lt;&gt;"",1,0)+IF(DQ1329&lt;&gt;"",1,0)+IF(DS1329&lt;&gt;"",1,0)+IF(DT1329&lt;&gt;"",1,0)+IF(DV1329&lt;&gt;"",1,0)+IF(DW1329&lt;&gt;"",1,0)+IF(DX1329&lt;&gt;"",1,0)+IF(DY1329&lt;&gt;"",1,0)+IF(DZ1329&lt;&gt;"",1,0)+IF(EB1329&lt;&gt;"",1,0)+IF(EC1329&lt;&gt;"",1,0)+IF(ED1329&lt;&gt;"",1,0)+IF(EG1329&lt;&gt;"",1,0)+IF(EH1329&lt;&gt;"",1,0)</f>
        <v/>
      </c>
      <c r="AZ1329">
        <f>IF(EH1329&lt;&gt;"",1,0)</f>
        <v/>
      </c>
      <c r="BB1329" t="inlineStr">
        <is>
          <t>WARREN-WARD 4</t>
        </is>
      </c>
    </row>
    <row r="1330">
      <c r="A1330" t="inlineStr">
        <is>
          <t>OH0026643069</t>
        </is>
      </c>
      <c r="B1330" t="n">
        <v>78</v>
      </c>
      <c r="C1330" t="n">
        <v>465455</v>
      </c>
      <c r="D1330" t="inlineStr">
        <is>
          <t>WEITZ</t>
        </is>
      </c>
      <c r="E1330" t="inlineStr">
        <is>
          <t>ERIN</t>
        </is>
      </c>
      <c r="F1330">
        <f>CONCATENATE(D1330," ",LEFT(H1330,4),"T=",AU1330,"D=",AV1330,"R=",AW1330,"M=",AX1330,"L=",AY1330,"B=",AZ1330)</f>
        <v/>
      </c>
      <c r="G1330" t="inlineStr">
        <is>
          <t>ELIZABETH</t>
        </is>
      </c>
      <c r="I1330" t="inlineStr">
        <is>
          <t>1979-04-20</t>
        </is>
      </c>
      <c r="J1330" t="inlineStr">
        <is>
          <t>2022-09-22</t>
        </is>
      </c>
      <c r="K1330" t="inlineStr">
        <is>
          <t>ACTIVE</t>
        </is>
      </c>
      <c r="M1330" t="inlineStr">
        <is>
          <t>161 W MARKET ST</t>
        </is>
      </c>
      <c r="N1330">
        <f>RIGHT(M1330,LEN(M1330)-FIND(" ",M1330))</f>
        <v/>
      </c>
      <c r="P1330" t="inlineStr">
        <is>
          <t>WARREN</t>
        </is>
      </c>
      <c r="Q1330" t="inlineStr">
        <is>
          <t>OH</t>
        </is>
      </c>
      <c r="R1330" t="n">
        <v>44481</v>
      </c>
      <c r="AD1330" t="inlineStr">
        <is>
          <t>TRUMBULL CAREER &amp; TECH CENTER</t>
        </is>
      </c>
      <c r="AE1330" t="inlineStr">
        <is>
          <t>WARREN CITY</t>
        </is>
      </c>
      <c r="AF1330" t="inlineStr">
        <is>
          <t>WARREN CITY SD</t>
        </is>
      </c>
      <c r="AH1330" t="n">
        <v>14</v>
      </c>
      <c r="AI1330" t="n">
        <v>11</v>
      </c>
      <c r="AN1330" t="inlineStr">
        <is>
          <t>WARREN</t>
        </is>
      </c>
      <c r="AO1330" t="inlineStr">
        <is>
          <t>WARREN CITY 4D</t>
        </is>
      </c>
      <c r="AP1330" t="inlineStr">
        <is>
          <t>78-P-ADL</t>
        </is>
      </c>
      <c r="AQ1330" t="n">
        <v>9</v>
      </c>
      <c r="AR1330" t="n">
        <v>64</v>
      </c>
      <c r="AS1330" t="n">
        <v>32</v>
      </c>
      <c r="AU1330">
        <f>COUNTA($BA$1330:$EH$1330)</f>
        <v/>
      </c>
      <c r="AV1330">
        <f>COUNTIF($BA$1330:$EH$1330,"D")</f>
        <v/>
      </c>
      <c r="AW1330">
        <f>COUNTIF($BA$1330:$EH$1330,"R")</f>
        <v/>
      </c>
      <c r="AX1330">
        <f>IF(BN1330="D",1,0)+IF(BO1330="D",1,0)+IF(BT1330="D",1,0)+IF(BU1330="D",1,0)+IF(BW1330="D",1,0)+IF(CC1330="D",1,0)+IF(CD1330="D",1,0)+IF(CE1330="D",1,0)+IF(CF1330="D",1,0)+IF(CL1330="D",1,0)+IF(CM1330="D",1,0)+IF(CQ1330="D",1,0)+IF(CR1330="D",1,0)+IF(CS1330="D",1,0)+IF(CW1330="D",1,0)+IF(CX1330="D",1,0)+IF(DD1330="D",1,0)+IF(DE1330="D",1,0)+IF(DJ1330="D",1,0)+IF(DK1330="D",1,0)+IF(DO1330="D",1,0)+IF(DP1330="D",1,0)+IF(DQ1330="D",1,0)+IF(DW1330="D",1,0)+IF(DZ1330="D",1,0)+IF(EH1330="D",1,0)</f>
        <v/>
      </c>
      <c r="AY1330">
        <f>IF(DJ1330&lt;&gt;"",1,0)+IF(DK1330&lt;&gt;"",1,0)+IF(DM1330&lt;&gt;"",1,0)+IF(DO1330&lt;&gt;"",1,0)+IF(DP1330&lt;&gt;"",1,0)+IF(DQ1330&lt;&gt;"",1,0)+IF(DS1330&lt;&gt;"",1,0)+IF(DT1330&lt;&gt;"",1,0)+IF(DV1330&lt;&gt;"",1,0)+IF(DW1330&lt;&gt;"",1,0)+IF(DX1330&lt;&gt;"",1,0)+IF(DY1330&lt;&gt;"",1,0)+IF(DZ1330&lt;&gt;"",1,0)+IF(EB1330&lt;&gt;"",1,0)+IF(EC1330&lt;&gt;"",1,0)+IF(ED1330&lt;&gt;"",1,0)+IF(EG1330&lt;&gt;"",1,0)+IF(EH1330&lt;&gt;"",1,0)</f>
        <v/>
      </c>
      <c r="AZ1330">
        <f>IF(EH1330&lt;&gt;"",1,0)</f>
        <v/>
      </c>
      <c r="BB1330" t="inlineStr">
        <is>
          <t>WARREN-WARD 4</t>
        </is>
      </c>
      <c r="BD1330" t="inlineStr">
        <is>
          <t>X</t>
        </is>
      </c>
      <c r="BL1330" t="inlineStr">
        <is>
          <t>X</t>
        </is>
      </c>
      <c r="BP1330" t="inlineStr">
        <is>
          <t>X</t>
        </is>
      </c>
      <c r="BS1330" t="inlineStr">
        <is>
          <t>X</t>
        </is>
      </c>
      <c r="BY1330" t="inlineStr">
        <is>
          <t>D</t>
        </is>
      </c>
      <c r="CA1330" t="inlineStr">
        <is>
          <t>X</t>
        </is>
      </c>
      <c r="CK1330" t="inlineStr">
        <is>
          <t>X</t>
        </is>
      </c>
      <c r="CN1330" t="inlineStr">
        <is>
          <t>X</t>
        </is>
      </c>
      <c r="CO1330" t="inlineStr">
        <is>
          <t>R</t>
        </is>
      </c>
      <c r="CP1330" t="inlineStr">
        <is>
          <t>X</t>
        </is>
      </c>
      <c r="CT1330" t="inlineStr">
        <is>
          <t>X</t>
        </is>
      </c>
      <c r="CV1330" t="inlineStr">
        <is>
          <t>X</t>
        </is>
      </c>
      <c r="CY1330" t="inlineStr">
        <is>
          <t>X</t>
        </is>
      </c>
      <c r="CZ1330" t="inlineStr">
        <is>
          <t>D</t>
        </is>
      </c>
      <c r="DC1330" t="inlineStr">
        <is>
          <t>X</t>
        </is>
      </c>
      <c r="DF1330" t="inlineStr">
        <is>
          <t>X</t>
        </is>
      </c>
      <c r="DG1330" t="inlineStr">
        <is>
          <t>D</t>
        </is>
      </c>
      <c r="DI1330" t="inlineStr">
        <is>
          <t>X</t>
        </is>
      </c>
      <c r="DL1330" t="inlineStr">
        <is>
          <t>X</t>
        </is>
      </c>
      <c r="DM1330" t="inlineStr">
        <is>
          <t>D</t>
        </is>
      </c>
      <c r="DN1330" t="inlineStr">
        <is>
          <t>X</t>
        </is>
      </c>
      <c r="DU1330" t="inlineStr">
        <is>
          <t>X</t>
        </is>
      </c>
      <c r="DX1330" t="inlineStr">
        <is>
          <t>X</t>
        </is>
      </c>
      <c r="EA1330" t="inlineStr">
        <is>
          <t>X</t>
        </is>
      </c>
      <c r="EF1330" t="inlineStr">
        <is>
          <t>X</t>
        </is>
      </c>
    </row>
    <row r="1331">
      <c r="A1331" t="inlineStr">
        <is>
          <t>OH0026643065</t>
        </is>
      </c>
      <c r="B1331" t="n">
        <v>78</v>
      </c>
      <c r="C1331" t="n">
        <v>465456</v>
      </c>
      <c r="D1331" t="inlineStr">
        <is>
          <t>WEITZ</t>
        </is>
      </c>
      <c r="E1331" t="inlineStr">
        <is>
          <t>DAVID</t>
        </is>
      </c>
      <c r="F1331">
        <f>CONCATENATE(D1331," ",LEFT(H1331,4),"T=",AU1331,"D=",AV1331,"R=",AW1331,"M=",AX1331,"L=",AY1331,"B=",AZ1331)</f>
        <v/>
      </c>
      <c r="G1331" t="inlineStr">
        <is>
          <t>ALAN</t>
        </is>
      </c>
      <c r="I1331" t="inlineStr">
        <is>
          <t>1976-06-24</t>
        </is>
      </c>
      <c r="J1331" t="inlineStr">
        <is>
          <t>2022-11-30</t>
        </is>
      </c>
      <c r="K1331" t="inlineStr">
        <is>
          <t>ACTIVE</t>
        </is>
      </c>
      <c r="M1331" t="inlineStr">
        <is>
          <t>161 W MARKET ST</t>
        </is>
      </c>
      <c r="N1331">
        <f>RIGHT(M1331,LEN(M1331)-FIND(" ",M1331))</f>
        <v/>
      </c>
      <c r="P1331" t="inlineStr">
        <is>
          <t>WARREN</t>
        </is>
      </c>
      <c r="Q1331" t="inlineStr">
        <is>
          <t>OH</t>
        </is>
      </c>
      <c r="R1331" t="n">
        <v>44481</v>
      </c>
      <c r="AD1331" t="inlineStr">
        <is>
          <t>TRUMBULL CAREER &amp; TECH CENTER</t>
        </is>
      </c>
      <c r="AE1331" t="inlineStr">
        <is>
          <t>WARREN CITY</t>
        </is>
      </c>
      <c r="AF1331" t="inlineStr">
        <is>
          <t>WARREN CITY SD</t>
        </is>
      </c>
      <c r="AH1331" t="n">
        <v>14</v>
      </c>
      <c r="AI1331" t="n">
        <v>11</v>
      </c>
      <c r="AN1331" t="inlineStr">
        <is>
          <t>WARREN</t>
        </is>
      </c>
      <c r="AO1331" t="inlineStr">
        <is>
          <t>WARREN CITY 4D</t>
        </is>
      </c>
      <c r="AP1331" t="inlineStr">
        <is>
          <t>78-P-ADL</t>
        </is>
      </c>
      <c r="AQ1331" t="n">
        <v>9</v>
      </c>
      <c r="AR1331" t="n">
        <v>64</v>
      </c>
      <c r="AS1331" t="n">
        <v>32</v>
      </c>
      <c r="AU1331">
        <f>COUNTA($BA$1331:$EH$1331)</f>
        <v/>
      </c>
      <c r="AV1331">
        <f>COUNTIF($BA$1331:$EH$1331,"D")</f>
        <v/>
      </c>
      <c r="AW1331">
        <f>COUNTIF($BA$1331:$EH$1331,"R")</f>
        <v/>
      </c>
      <c r="AX1331">
        <f>IF(BN1331="D",1,0)+IF(BO1331="D",1,0)+IF(BT1331="D",1,0)+IF(BU1331="D",1,0)+IF(BW1331="D",1,0)+IF(CC1331="D",1,0)+IF(CD1331="D",1,0)+IF(CE1331="D",1,0)+IF(CF1331="D",1,0)+IF(CL1331="D",1,0)+IF(CM1331="D",1,0)+IF(CQ1331="D",1,0)+IF(CR1331="D",1,0)+IF(CS1331="D",1,0)+IF(CW1331="D",1,0)+IF(CX1331="D",1,0)+IF(DD1331="D",1,0)+IF(DE1331="D",1,0)+IF(DJ1331="D",1,0)+IF(DK1331="D",1,0)+IF(DO1331="D",1,0)+IF(DP1331="D",1,0)+IF(DQ1331="D",1,0)+IF(DW1331="D",1,0)+IF(DZ1331="D",1,0)+IF(EH1331="D",1,0)</f>
        <v/>
      </c>
      <c r="AY1331">
        <f>IF(DJ1331&lt;&gt;"",1,0)+IF(DK1331&lt;&gt;"",1,0)+IF(DM1331&lt;&gt;"",1,0)+IF(DO1331&lt;&gt;"",1,0)+IF(DP1331&lt;&gt;"",1,0)+IF(DQ1331&lt;&gt;"",1,0)+IF(DS1331&lt;&gt;"",1,0)+IF(DT1331&lt;&gt;"",1,0)+IF(DV1331&lt;&gt;"",1,0)+IF(DW1331&lt;&gt;"",1,0)+IF(DX1331&lt;&gt;"",1,0)+IF(DY1331&lt;&gt;"",1,0)+IF(DZ1331&lt;&gt;"",1,0)+IF(EB1331&lt;&gt;"",1,0)+IF(EC1331&lt;&gt;"",1,0)+IF(ED1331&lt;&gt;"",1,0)+IF(EG1331&lt;&gt;"",1,0)+IF(EH1331&lt;&gt;"",1,0)</f>
        <v/>
      </c>
      <c r="AZ1331">
        <f>IF(EH1331&lt;&gt;"",1,0)</f>
        <v/>
      </c>
      <c r="BB1331" t="inlineStr">
        <is>
          <t>WARREN-WARD 4</t>
        </is>
      </c>
      <c r="BL1331" t="inlineStr">
        <is>
          <t>X</t>
        </is>
      </c>
      <c r="BV1331" t="inlineStr">
        <is>
          <t>X</t>
        </is>
      </c>
      <c r="BY1331" t="inlineStr">
        <is>
          <t>D</t>
        </is>
      </c>
      <c r="CA1331" t="inlineStr">
        <is>
          <t>X</t>
        </is>
      </c>
      <c r="CG1331" t="inlineStr">
        <is>
          <t>X</t>
        </is>
      </c>
      <c r="CH1331" t="inlineStr">
        <is>
          <t>D</t>
        </is>
      </c>
      <c r="CK1331" t="inlineStr">
        <is>
          <t>X</t>
        </is>
      </c>
      <c r="CN1331" t="inlineStr">
        <is>
          <t>X</t>
        </is>
      </c>
      <c r="CO1331" t="inlineStr">
        <is>
          <t>D</t>
        </is>
      </c>
      <c r="CP1331" t="inlineStr">
        <is>
          <t>X</t>
        </is>
      </c>
      <c r="CY1331" t="inlineStr">
        <is>
          <t>X</t>
        </is>
      </c>
      <c r="CZ1331" t="inlineStr">
        <is>
          <t>D</t>
        </is>
      </c>
      <c r="DC1331" t="inlineStr">
        <is>
          <t>X</t>
        </is>
      </c>
      <c r="DG1331" t="inlineStr">
        <is>
          <t>D</t>
        </is>
      </c>
      <c r="DI1331" t="inlineStr">
        <is>
          <t>X</t>
        </is>
      </c>
      <c r="DJ1331" t="inlineStr">
        <is>
          <t>D</t>
        </is>
      </c>
      <c r="DL1331" t="inlineStr">
        <is>
          <t>X</t>
        </is>
      </c>
      <c r="DM1331" t="inlineStr">
        <is>
          <t>D</t>
        </is>
      </c>
      <c r="DN1331" t="inlineStr">
        <is>
          <t>X</t>
        </is>
      </c>
      <c r="DS1331" t="inlineStr">
        <is>
          <t>D</t>
        </is>
      </c>
      <c r="DU1331" t="inlineStr">
        <is>
          <t>X</t>
        </is>
      </c>
      <c r="DX1331" t="inlineStr">
        <is>
          <t>X</t>
        </is>
      </c>
      <c r="EA1331" t="inlineStr">
        <is>
          <t>X</t>
        </is>
      </c>
      <c r="EF1331" t="inlineStr">
        <is>
          <t>X</t>
        </is>
      </c>
    </row>
    <row r="1332">
      <c r="A1332" t="inlineStr">
        <is>
          <t>OH0027952106</t>
        </is>
      </c>
      <c r="B1332" t="n">
        <v>78</v>
      </c>
      <c r="C1332" t="n">
        <v>496101</v>
      </c>
      <c r="D1332" t="inlineStr">
        <is>
          <t>HARRIS</t>
        </is>
      </c>
      <c r="E1332" t="inlineStr">
        <is>
          <t>PRECIOUS</t>
        </is>
      </c>
      <c r="F1332">
        <f>CONCATENATE(D1332," ",LEFT(H1332,4),"T=",AU1332,"D=",AV1332,"R=",AW1332,"M=",AX1332,"L=",AY1332,"B=",AZ1332)</f>
        <v/>
      </c>
      <c r="G1332" t="inlineStr">
        <is>
          <t>S</t>
        </is>
      </c>
      <c r="I1332" t="inlineStr">
        <is>
          <t>1991-05-20</t>
        </is>
      </c>
      <c r="J1332" t="inlineStr">
        <is>
          <t>2025-05-19</t>
        </is>
      </c>
      <c r="K1332" t="inlineStr">
        <is>
          <t>ACTIVE</t>
        </is>
      </c>
      <c r="M1332" t="inlineStr">
        <is>
          <t>432 ELM RD NE</t>
        </is>
      </c>
      <c r="N1332">
        <f>RIGHT(M1332,LEN(M1332)-FIND(" ",M1332))</f>
        <v/>
      </c>
      <c r="P1332" t="inlineStr">
        <is>
          <t>WARREN</t>
        </is>
      </c>
      <c r="Q1332" t="inlineStr">
        <is>
          <t>OH</t>
        </is>
      </c>
      <c r="R1332" t="n">
        <v>44483</v>
      </c>
      <c r="AD1332" t="inlineStr">
        <is>
          <t>TRUMBULL CAREER &amp; TECH CENTER</t>
        </is>
      </c>
      <c r="AE1332" t="inlineStr">
        <is>
          <t>WARREN CITY</t>
        </is>
      </c>
      <c r="AF1332" t="inlineStr">
        <is>
          <t>WARREN CITY SD</t>
        </is>
      </c>
      <c r="AH1332" t="n">
        <v>14</v>
      </c>
      <c r="AI1332" t="n">
        <v>11</v>
      </c>
      <c r="AN1332" t="inlineStr">
        <is>
          <t>WARREN</t>
        </is>
      </c>
      <c r="AO1332" t="inlineStr">
        <is>
          <t>WARREN CITY 4D</t>
        </is>
      </c>
      <c r="AP1332" t="inlineStr">
        <is>
          <t>78-P-ADL</t>
        </is>
      </c>
      <c r="AQ1332" t="n">
        <v>9</v>
      </c>
      <c r="AR1332" t="n">
        <v>64</v>
      </c>
      <c r="AS1332" t="n">
        <v>32</v>
      </c>
      <c r="AU1332">
        <f>COUNTA($BA$1332:$EH$1332)</f>
        <v/>
      </c>
      <c r="AV1332">
        <f>COUNTIF($BA$1332:$EH$1332,"D")</f>
        <v/>
      </c>
      <c r="AW1332">
        <f>COUNTIF($BA$1332:$EH$1332,"R")</f>
        <v/>
      </c>
      <c r="AX1332">
        <f>IF(BN1332="D",1,0)+IF(BO1332="D",1,0)+IF(BT1332="D",1,0)+IF(BU1332="D",1,0)+IF(BW1332="D",1,0)+IF(CC1332="D",1,0)+IF(CD1332="D",1,0)+IF(CE1332="D",1,0)+IF(CF1332="D",1,0)+IF(CL1332="D",1,0)+IF(CM1332="D",1,0)+IF(CQ1332="D",1,0)+IF(CR1332="D",1,0)+IF(CS1332="D",1,0)+IF(CW1332="D",1,0)+IF(CX1332="D",1,0)+IF(DD1332="D",1,0)+IF(DE1332="D",1,0)+IF(DJ1332="D",1,0)+IF(DK1332="D",1,0)+IF(DO1332="D",1,0)+IF(DP1332="D",1,0)+IF(DQ1332="D",1,0)+IF(DW1332="D",1,0)+IF(DZ1332="D",1,0)+IF(EH1332="D",1,0)</f>
        <v/>
      </c>
      <c r="AY1332">
        <f>IF(DJ1332&lt;&gt;"",1,0)+IF(DK1332&lt;&gt;"",1,0)+IF(DM1332&lt;&gt;"",1,0)+IF(DO1332&lt;&gt;"",1,0)+IF(DP1332&lt;&gt;"",1,0)+IF(DQ1332&lt;&gt;"",1,0)+IF(DS1332&lt;&gt;"",1,0)+IF(DT1332&lt;&gt;"",1,0)+IF(DV1332&lt;&gt;"",1,0)+IF(DW1332&lt;&gt;"",1,0)+IF(DX1332&lt;&gt;"",1,0)+IF(DY1332&lt;&gt;"",1,0)+IF(DZ1332&lt;&gt;"",1,0)+IF(EB1332&lt;&gt;"",1,0)+IF(EC1332&lt;&gt;"",1,0)+IF(ED1332&lt;&gt;"",1,0)+IF(EG1332&lt;&gt;"",1,0)+IF(EH1332&lt;&gt;"",1,0)</f>
        <v/>
      </c>
      <c r="AZ1332">
        <f>IF(EH1332&lt;&gt;"",1,0)</f>
        <v/>
      </c>
      <c r="BB1332" t="inlineStr">
        <is>
          <t>WARREN-WARD 4</t>
        </is>
      </c>
      <c r="DC1332" t="inlineStr">
        <is>
          <t>X</t>
        </is>
      </c>
    </row>
    <row r="1333">
      <c r="A1333" t="inlineStr">
        <is>
          <t>OH0015719832</t>
        </is>
      </c>
      <c r="B1333" t="n">
        <v>78</v>
      </c>
      <c r="C1333" t="n">
        <v>199538</v>
      </c>
      <c r="D1333" t="inlineStr">
        <is>
          <t>FRAZIER</t>
        </is>
      </c>
      <c r="E1333" t="inlineStr">
        <is>
          <t>JEFFREY</t>
        </is>
      </c>
      <c r="F1333">
        <f>CONCATENATE(D1333," ",LEFT(H1333,4),"T=",AU1333,"D=",AV1333,"R=",AW1333,"M=",AX1333,"L=",AY1333,"B=",AZ1333)</f>
        <v/>
      </c>
      <c r="G1333" t="inlineStr">
        <is>
          <t>M</t>
        </is>
      </c>
      <c r="I1333" t="inlineStr">
        <is>
          <t>1956-12-16</t>
        </is>
      </c>
      <c r="J1333" t="inlineStr">
        <is>
          <t>2015-06-26</t>
        </is>
      </c>
      <c r="K1333" t="inlineStr">
        <is>
          <t>ACTIVE</t>
        </is>
      </c>
      <c r="M1333" t="inlineStr">
        <is>
          <t>1114 MCKINLEY ST NE</t>
        </is>
      </c>
      <c r="N1333">
        <f>RIGHT(M1333,LEN(M1333)-FIND(" ",M1333))</f>
        <v/>
      </c>
      <c r="P1333" t="inlineStr">
        <is>
          <t>WARREN</t>
        </is>
      </c>
      <c r="Q1333" t="inlineStr">
        <is>
          <t>OH</t>
        </is>
      </c>
      <c r="R1333" t="n">
        <v>44483</v>
      </c>
      <c r="AD1333" t="inlineStr">
        <is>
          <t>TRUMBULL CAREER &amp; TECH CENTER</t>
        </is>
      </c>
      <c r="AE1333" t="inlineStr">
        <is>
          <t>WARREN CITY</t>
        </is>
      </c>
      <c r="AF1333" t="inlineStr">
        <is>
          <t>WARREN CITY SD</t>
        </is>
      </c>
      <c r="AH1333" t="n">
        <v>14</v>
      </c>
      <c r="AI1333" t="n">
        <v>11</v>
      </c>
      <c r="AN1333" t="inlineStr">
        <is>
          <t>WARREN</t>
        </is>
      </c>
      <c r="AO1333" t="inlineStr">
        <is>
          <t>WARREN CITY 4D</t>
        </is>
      </c>
      <c r="AP1333" t="inlineStr">
        <is>
          <t>78-P-ADL</t>
        </is>
      </c>
      <c r="AQ1333" t="n">
        <v>9</v>
      </c>
      <c r="AR1333" t="n">
        <v>64</v>
      </c>
      <c r="AS1333" t="n">
        <v>32</v>
      </c>
      <c r="AU1333">
        <f>COUNTA($BA$1333:$EH$1333)</f>
        <v/>
      </c>
      <c r="AV1333">
        <f>COUNTIF($BA$1333:$EH$1333,"D")</f>
        <v/>
      </c>
      <c r="AW1333">
        <f>COUNTIF($BA$1333:$EH$1333,"R")</f>
        <v/>
      </c>
      <c r="AX1333">
        <f>IF(BN1333="D",1,0)+IF(BO1333="D",1,0)+IF(BT1333="D",1,0)+IF(BU1333="D",1,0)+IF(BW1333="D",1,0)+IF(CC1333="D",1,0)+IF(CD1333="D",1,0)+IF(CE1333="D",1,0)+IF(CF1333="D",1,0)+IF(CL1333="D",1,0)+IF(CM1333="D",1,0)+IF(CQ1333="D",1,0)+IF(CR1333="D",1,0)+IF(CS1333="D",1,0)+IF(CW1333="D",1,0)+IF(CX1333="D",1,0)+IF(DD1333="D",1,0)+IF(DE1333="D",1,0)+IF(DJ1333="D",1,0)+IF(DK1333="D",1,0)+IF(DO1333="D",1,0)+IF(DP1333="D",1,0)+IF(DQ1333="D",1,0)+IF(DW1333="D",1,0)+IF(DZ1333="D",1,0)+IF(EH1333="D",1,0)</f>
        <v/>
      </c>
      <c r="AY1333">
        <f>IF(DJ1333&lt;&gt;"",1,0)+IF(DK1333&lt;&gt;"",1,0)+IF(DM1333&lt;&gt;"",1,0)+IF(DO1333&lt;&gt;"",1,0)+IF(DP1333&lt;&gt;"",1,0)+IF(DQ1333&lt;&gt;"",1,0)+IF(DS1333&lt;&gt;"",1,0)+IF(DT1333&lt;&gt;"",1,0)+IF(DV1333&lt;&gt;"",1,0)+IF(DW1333&lt;&gt;"",1,0)+IF(DX1333&lt;&gt;"",1,0)+IF(DY1333&lt;&gt;"",1,0)+IF(DZ1333&lt;&gt;"",1,0)+IF(EB1333&lt;&gt;"",1,0)+IF(EC1333&lt;&gt;"",1,0)+IF(ED1333&lt;&gt;"",1,0)+IF(EG1333&lt;&gt;"",1,0)+IF(EH1333&lt;&gt;"",1,0)</f>
        <v/>
      </c>
      <c r="AZ1333">
        <f>IF(EH1333&lt;&gt;"",1,0)</f>
        <v/>
      </c>
      <c r="BB1333" t="inlineStr">
        <is>
          <t>WARREN-WARD 4</t>
        </is>
      </c>
      <c r="BD1333" t="inlineStr">
        <is>
          <t>X</t>
        </is>
      </c>
      <c r="BI1333" t="inlineStr">
        <is>
          <t>X</t>
        </is>
      </c>
      <c r="BJ1333" t="inlineStr">
        <is>
          <t>X</t>
        </is>
      </c>
      <c r="BL1333" t="inlineStr">
        <is>
          <t>X</t>
        </is>
      </c>
      <c r="BP1333" t="inlineStr">
        <is>
          <t>X</t>
        </is>
      </c>
      <c r="BS1333" t="inlineStr">
        <is>
          <t>X</t>
        </is>
      </c>
      <c r="BY1333" t="inlineStr">
        <is>
          <t>D</t>
        </is>
      </c>
      <c r="CA1333" t="inlineStr">
        <is>
          <t>X</t>
        </is>
      </c>
      <c r="CG1333" t="inlineStr">
        <is>
          <t>X</t>
        </is>
      </c>
      <c r="CK1333" t="inlineStr">
        <is>
          <t>X</t>
        </is>
      </c>
      <c r="CL1333" t="inlineStr">
        <is>
          <t>D</t>
        </is>
      </c>
      <c r="CN1333" t="inlineStr">
        <is>
          <t>X</t>
        </is>
      </c>
      <c r="CP1333" t="inlineStr">
        <is>
          <t>X</t>
        </is>
      </c>
      <c r="CY1333" t="inlineStr">
        <is>
          <t>X</t>
        </is>
      </c>
      <c r="DC1333" t="inlineStr">
        <is>
          <t>X</t>
        </is>
      </c>
      <c r="DD1333" t="inlineStr">
        <is>
          <t>D</t>
        </is>
      </c>
      <c r="DI1333" t="inlineStr">
        <is>
          <t>X</t>
        </is>
      </c>
      <c r="DN1333" t="inlineStr">
        <is>
          <t>X</t>
        </is>
      </c>
      <c r="DU1333" t="inlineStr">
        <is>
          <t>X</t>
        </is>
      </c>
      <c r="DX1333" t="inlineStr">
        <is>
          <t>X</t>
        </is>
      </c>
      <c r="EF1333" t="inlineStr">
        <is>
          <t>X</t>
        </is>
      </c>
    </row>
    <row r="1334">
      <c r="A1334" t="inlineStr">
        <is>
          <t>OH0021351391</t>
        </is>
      </c>
      <c r="B1334" t="n">
        <v>78</v>
      </c>
      <c r="C1334" t="n">
        <v>379658</v>
      </c>
      <c r="D1334" t="inlineStr">
        <is>
          <t>JONES</t>
        </is>
      </c>
      <c r="E1334" t="inlineStr">
        <is>
          <t>JAROLD</t>
        </is>
      </c>
      <c r="F1334">
        <f>CONCATENATE(D1334," ",LEFT(H1334,4),"T=",AU1334,"D=",AV1334,"R=",AW1334,"M=",AX1334,"L=",AY1334,"B=",AZ1334)</f>
        <v/>
      </c>
      <c r="G1334" t="inlineStr">
        <is>
          <t>P</t>
        </is>
      </c>
      <c r="I1334" t="inlineStr">
        <is>
          <t>1993-09-11</t>
        </is>
      </c>
      <c r="J1334" t="inlineStr">
        <is>
          <t>2019-09-04</t>
        </is>
      </c>
      <c r="K1334" t="inlineStr">
        <is>
          <t>CONFIRMATION</t>
        </is>
      </c>
      <c r="M1334" t="inlineStr">
        <is>
          <t>182 HIGH ST NE</t>
        </is>
      </c>
      <c r="N1334">
        <f>RIGHT(M1334,LEN(M1334)-FIND(" ",M1334))</f>
        <v/>
      </c>
      <c r="O1334" t="inlineStr">
        <is>
          <t>APT 602</t>
        </is>
      </c>
      <c r="P1334" t="inlineStr">
        <is>
          <t>WARREN</t>
        </is>
      </c>
      <c r="Q1334" t="inlineStr">
        <is>
          <t>OH</t>
        </is>
      </c>
      <c r="R1334" t="n">
        <v>44481</v>
      </c>
      <c r="AD1334" t="inlineStr">
        <is>
          <t>TRUMBULL CAREER &amp; TECH CENTER</t>
        </is>
      </c>
      <c r="AE1334" t="inlineStr">
        <is>
          <t>WARREN CITY</t>
        </is>
      </c>
      <c r="AF1334" t="inlineStr">
        <is>
          <t>WARREN CITY SD</t>
        </is>
      </c>
      <c r="AH1334" t="n">
        <v>14</v>
      </c>
      <c r="AI1334" t="n">
        <v>11</v>
      </c>
      <c r="AN1334" t="inlineStr">
        <is>
          <t>WARREN</t>
        </is>
      </c>
      <c r="AO1334" t="inlineStr">
        <is>
          <t>WARREN CITY 4D</t>
        </is>
      </c>
      <c r="AP1334" t="inlineStr">
        <is>
          <t>78-P-ADL</t>
        </is>
      </c>
      <c r="AQ1334" t="n">
        <v>9</v>
      </c>
      <c r="AR1334" t="n">
        <v>64</v>
      </c>
      <c r="AS1334" t="n">
        <v>32</v>
      </c>
      <c r="AU1334">
        <f>COUNTA($BA$1334:$EH$1334)</f>
        <v/>
      </c>
      <c r="AV1334">
        <f>COUNTIF($BA$1334:$EH$1334,"D")</f>
        <v/>
      </c>
      <c r="AW1334">
        <f>COUNTIF($BA$1334:$EH$1334,"R")</f>
        <v/>
      </c>
      <c r="AX1334">
        <f>IF(BN1334="D",1,0)+IF(BO1334="D",1,0)+IF(BT1334="D",1,0)+IF(BU1334="D",1,0)+IF(BW1334="D",1,0)+IF(CC1334="D",1,0)+IF(CD1334="D",1,0)+IF(CE1334="D",1,0)+IF(CF1334="D",1,0)+IF(CL1334="D",1,0)+IF(CM1334="D",1,0)+IF(CQ1334="D",1,0)+IF(CR1334="D",1,0)+IF(CS1334="D",1,0)+IF(CW1334="D",1,0)+IF(CX1334="D",1,0)+IF(DD1334="D",1,0)+IF(DE1334="D",1,0)+IF(DJ1334="D",1,0)+IF(DK1334="D",1,0)+IF(DO1334="D",1,0)+IF(DP1334="D",1,0)+IF(DQ1334="D",1,0)+IF(DW1334="D",1,0)+IF(DZ1334="D",1,0)+IF(EH1334="D",1,0)</f>
        <v/>
      </c>
      <c r="AY1334">
        <f>IF(DJ1334&lt;&gt;"",1,0)+IF(DK1334&lt;&gt;"",1,0)+IF(DM1334&lt;&gt;"",1,0)+IF(DO1334&lt;&gt;"",1,0)+IF(DP1334&lt;&gt;"",1,0)+IF(DQ1334&lt;&gt;"",1,0)+IF(DS1334&lt;&gt;"",1,0)+IF(DT1334&lt;&gt;"",1,0)+IF(DV1334&lt;&gt;"",1,0)+IF(DW1334&lt;&gt;"",1,0)+IF(DX1334&lt;&gt;"",1,0)+IF(DY1334&lt;&gt;"",1,0)+IF(DZ1334&lt;&gt;"",1,0)+IF(EB1334&lt;&gt;"",1,0)+IF(EC1334&lt;&gt;"",1,0)+IF(ED1334&lt;&gt;"",1,0)+IF(EG1334&lt;&gt;"",1,0)+IF(EH1334&lt;&gt;"",1,0)</f>
        <v/>
      </c>
      <c r="AZ1334">
        <f>IF(EH1334&lt;&gt;"",1,0)</f>
        <v/>
      </c>
      <c r="BB1334" t="inlineStr">
        <is>
          <t>WARREN-WARD 4</t>
        </is>
      </c>
    </row>
    <row r="1335">
      <c r="A1335" t="inlineStr">
        <is>
          <t>OH0015745219</t>
        </is>
      </c>
      <c r="B1335" t="n">
        <v>78</v>
      </c>
      <c r="C1335" t="n">
        <v>231613</v>
      </c>
      <c r="D1335" t="inlineStr">
        <is>
          <t>LIPTAK</t>
        </is>
      </c>
      <c r="E1335" t="inlineStr">
        <is>
          <t>NINA</t>
        </is>
      </c>
      <c r="F1335">
        <f>CONCATENATE(D1335," ",LEFT(H1335,4),"T=",AU1335,"D=",AV1335,"R=",AW1335,"M=",AX1335,"L=",AY1335,"B=",AZ1335)</f>
        <v/>
      </c>
      <c r="G1335" t="inlineStr">
        <is>
          <t>C</t>
        </is>
      </c>
      <c r="I1335" t="inlineStr">
        <is>
          <t>1960-12-01</t>
        </is>
      </c>
      <c r="J1335" t="inlineStr">
        <is>
          <t>2025-05-06</t>
        </is>
      </c>
      <c r="K1335" t="inlineStr">
        <is>
          <t>ACTIVE</t>
        </is>
      </c>
      <c r="L1335" t="inlineStr">
        <is>
          <t>D</t>
        </is>
      </c>
      <c r="M1335" t="inlineStr">
        <is>
          <t>741 PAIGE AVE NE</t>
        </is>
      </c>
      <c r="N1335">
        <f>RIGHT(M1335,LEN(M1335)-FIND(" ",M1335))</f>
        <v/>
      </c>
      <c r="P1335" t="inlineStr">
        <is>
          <t>WARREN</t>
        </is>
      </c>
      <c r="Q1335" t="inlineStr">
        <is>
          <t>OH</t>
        </is>
      </c>
      <c r="R1335" t="n">
        <v>44483</v>
      </c>
      <c r="AD1335" t="inlineStr">
        <is>
          <t>TRUMBULL CAREER &amp; TECH CENTER</t>
        </is>
      </c>
      <c r="AE1335" t="inlineStr">
        <is>
          <t>WARREN CITY</t>
        </is>
      </c>
      <c r="AF1335" t="inlineStr">
        <is>
          <t>WARREN CITY SD</t>
        </is>
      </c>
      <c r="AH1335" t="n">
        <v>14</v>
      </c>
      <c r="AI1335" t="n">
        <v>11</v>
      </c>
      <c r="AN1335" t="inlineStr">
        <is>
          <t>WARREN</t>
        </is>
      </c>
      <c r="AO1335" t="inlineStr">
        <is>
          <t>WARREN CITY 4D</t>
        </is>
      </c>
      <c r="AP1335" t="inlineStr">
        <is>
          <t>78-P-ADL</t>
        </is>
      </c>
      <c r="AQ1335" t="n">
        <v>9</v>
      </c>
      <c r="AR1335" t="n">
        <v>64</v>
      </c>
      <c r="AS1335" t="n">
        <v>32</v>
      </c>
      <c r="AU1335">
        <f>COUNTA($BA$1335:$EH$1335)</f>
        <v/>
      </c>
      <c r="AV1335">
        <f>COUNTIF($BA$1335:$EH$1335,"D")</f>
        <v/>
      </c>
      <c r="AW1335">
        <f>COUNTIF($BA$1335:$EH$1335,"R")</f>
        <v/>
      </c>
      <c r="AX1335">
        <f>IF(BN1335="D",1,0)+IF(BO1335="D",1,0)+IF(BT1335="D",1,0)+IF(BU1335="D",1,0)+IF(BW1335="D",1,0)+IF(CC1335="D",1,0)+IF(CD1335="D",1,0)+IF(CE1335="D",1,0)+IF(CF1335="D",1,0)+IF(CL1335="D",1,0)+IF(CM1335="D",1,0)+IF(CQ1335="D",1,0)+IF(CR1335="D",1,0)+IF(CS1335="D",1,0)+IF(CW1335="D",1,0)+IF(CX1335="D",1,0)+IF(DD1335="D",1,0)+IF(DE1335="D",1,0)+IF(DJ1335="D",1,0)+IF(DK1335="D",1,0)+IF(DO1335="D",1,0)+IF(DP1335="D",1,0)+IF(DQ1335="D",1,0)+IF(DW1335="D",1,0)+IF(DZ1335="D",1,0)+IF(EH1335="D",1,0)</f>
        <v/>
      </c>
      <c r="AY1335">
        <f>IF(DJ1335&lt;&gt;"",1,0)+IF(DK1335&lt;&gt;"",1,0)+IF(DM1335&lt;&gt;"",1,0)+IF(DO1335&lt;&gt;"",1,0)+IF(DP1335&lt;&gt;"",1,0)+IF(DQ1335&lt;&gt;"",1,0)+IF(DS1335&lt;&gt;"",1,0)+IF(DT1335&lt;&gt;"",1,0)+IF(DV1335&lt;&gt;"",1,0)+IF(DW1335&lt;&gt;"",1,0)+IF(DX1335&lt;&gt;"",1,0)+IF(DY1335&lt;&gt;"",1,0)+IF(DZ1335&lt;&gt;"",1,0)+IF(EB1335&lt;&gt;"",1,0)+IF(EC1335&lt;&gt;"",1,0)+IF(ED1335&lt;&gt;"",1,0)+IF(EG1335&lt;&gt;"",1,0)+IF(EH1335&lt;&gt;"",1,0)</f>
        <v/>
      </c>
      <c r="AZ1335">
        <f>IF(EH1335&lt;&gt;"",1,0)</f>
        <v/>
      </c>
      <c r="BB1335" t="inlineStr">
        <is>
          <t>WARREN-WARD 4</t>
        </is>
      </c>
      <c r="BC1335" t="inlineStr">
        <is>
          <t>X</t>
        </is>
      </c>
      <c r="BD1335" t="inlineStr">
        <is>
          <t>X</t>
        </is>
      </c>
      <c r="BE1335" t="inlineStr">
        <is>
          <t>X</t>
        </is>
      </c>
      <c r="BF1335" t="inlineStr">
        <is>
          <t>X</t>
        </is>
      </c>
      <c r="BG1335" t="inlineStr">
        <is>
          <t>X</t>
        </is>
      </c>
      <c r="BH1335" t="inlineStr">
        <is>
          <t>X</t>
        </is>
      </c>
      <c r="BJ1335" t="inlineStr">
        <is>
          <t>X</t>
        </is>
      </c>
      <c r="BK1335" t="inlineStr">
        <is>
          <t>X</t>
        </is>
      </c>
      <c r="BL1335" t="inlineStr">
        <is>
          <t>X</t>
        </is>
      </c>
      <c r="BP1335" t="inlineStr">
        <is>
          <t>X</t>
        </is>
      </c>
      <c r="BR1335" t="inlineStr">
        <is>
          <t>X</t>
        </is>
      </c>
      <c r="BS1335" t="inlineStr">
        <is>
          <t>X</t>
        </is>
      </c>
      <c r="BV1335" t="inlineStr">
        <is>
          <t>X</t>
        </is>
      </c>
      <c r="BY1335" t="inlineStr">
        <is>
          <t>D</t>
        </is>
      </c>
      <c r="CA1335" t="inlineStr">
        <is>
          <t>X</t>
        </is>
      </c>
      <c r="CG1335" t="inlineStr">
        <is>
          <t>X</t>
        </is>
      </c>
      <c r="CK1335" t="inlineStr">
        <is>
          <t>X</t>
        </is>
      </c>
      <c r="CN1335" t="inlineStr">
        <is>
          <t>X</t>
        </is>
      </c>
      <c r="CO1335" t="inlineStr">
        <is>
          <t>D</t>
        </is>
      </c>
      <c r="CP1335" t="inlineStr">
        <is>
          <t>X</t>
        </is>
      </c>
      <c r="CV1335" t="inlineStr">
        <is>
          <t>X</t>
        </is>
      </c>
      <c r="CW1335" t="inlineStr">
        <is>
          <t>D</t>
        </is>
      </c>
      <c r="CY1335" t="inlineStr">
        <is>
          <t>X</t>
        </is>
      </c>
      <c r="CZ1335" t="inlineStr">
        <is>
          <t>D</t>
        </is>
      </c>
      <c r="DC1335" t="inlineStr">
        <is>
          <t>X</t>
        </is>
      </c>
      <c r="DF1335" t="inlineStr">
        <is>
          <t>X</t>
        </is>
      </c>
      <c r="DG1335" t="inlineStr">
        <is>
          <t>D</t>
        </is>
      </c>
      <c r="DI1335" t="inlineStr">
        <is>
          <t>X</t>
        </is>
      </c>
      <c r="DL1335" t="inlineStr">
        <is>
          <t>X</t>
        </is>
      </c>
      <c r="DM1335" t="inlineStr">
        <is>
          <t>D</t>
        </is>
      </c>
      <c r="DN1335" t="inlineStr">
        <is>
          <t>X</t>
        </is>
      </c>
      <c r="DR1335" t="inlineStr">
        <is>
          <t>X</t>
        </is>
      </c>
      <c r="DS1335" t="inlineStr">
        <is>
          <t>D</t>
        </is>
      </c>
      <c r="DT1335" t="inlineStr">
        <is>
          <t>D</t>
        </is>
      </c>
      <c r="DU1335" t="inlineStr">
        <is>
          <t>X</t>
        </is>
      </c>
      <c r="DW1335" t="inlineStr">
        <is>
          <t>D</t>
        </is>
      </c>
      <c r="DX1335" t="inlineStr">
        <is>
          <t>X</t>
        </is>
      </c>
      <c r="EA1335" t="inlineStr">
        <is>
          <t>X</t>
        </is>
      </c>
      <c r="EF1335" t="inlineStr">
        <is>
          <t>X</t>
        </is>
      </c>
      <c r="EH1335" t="inlineStr">
        <is>
          <t>D</t>
        </is>
      </c>
    </row>
    <row r="1336">
      <c r="A1336" t="inlineStr">
        <is>
          <t>OH0018798688</t>
        </is>
      </c>
      <c r="B1336" t="n">
        <v>78</v>
      </c>
      <c r="C1336" t="n">
        <v>344988</v>
      </c>
      <c r="D1336" t="inlineStr">
        <is>
          <t>BARTHOLOMEW</t>
        </is>
      </c>
      <c r="E1336" t="inlineStr">
        <is>
          <t>GREGORY</t>
        </is>
      </c>
      <c r="F1336">
        <f>CONCATENATE(D1336," ",LEFT(H1336,4),"T=",AU1336,"D=",AV1336,"R=",AW1336,"M=",AX1336,"L=",AY1336,"B=",AZ1336)</f>
        <v/>
      </c>
      <c r="G1336" t="inlineStr">
        <is>
          <t>A</t>
        </is>
      </c>
      <c r="I1336" t="inlineStr">
        <is>
          <t>1966-10-14</t>
        </is>
      </c>
      <c r="J1336" t="inlineStr">
        <is>
          <t>2006-07-06</t>
        </is>
      </c>
      <c r="K1336" t="inlineStr">
        <is>
          <t>ACTIVE</t>
        </is>
      </c>
      <c r="L1336" t="inlineStr">
        <is>
          <t>D</t>
        </is>
      </c>
      <c r="M1336" t="inlineStr">
        <is>
          <t>161 W MARKET ST</t>
        </is>
      </c>
      <c r="N1336">
        <f>RIGHT(M1336,LEN(M1336)-FIND(" ",M1336))</f>
        <v/>
      </c>
      <c r="P1336" t="inlineStr">
        <is>
          <t>WARREN</t>
        </is>
      </c>
      <c r="Q1336" t="inlineStr">
        <is>
          <t>OH</t>
        </is>
      </c>
      <c r="R1336" t="n">
        <v>44481</v>
      </c>
      <c r="AD1336" t="inlineStr">
        <is>
          <t>TRUMBULL CAREER &amp; TECH CENTER</t>
        </is>
      </c>
      <c r="AE1336" t="inlineStr">
        <is>
          <t>WARREN CITY</t>
        </is>
      </c>
      <c r="AF1336" t="inlineStr">
        <is>
          <t>WARREN CITY SD</t>
        </is>
      </c>
      <c r="AH1336" t="n">
        <v>14</v>
      </c>
      <c r="AI1336" t="n">
        <v>11</v>
      </c>
      <c r="AN1336" t="inlineStr">
        <is>
          <t>WARREN</t>
        </is>
      </c>
      <c r="AO1336" t="inlineStr">
        <is>
          <t>WARREN CITY 4D</t>
        </is>
      </c>
      <c r="AP1336" t="inlineStr">
        <is>
          <t>78-P-ADL</t>
        </is>
      </c>
      <c r="AQ1336" t="n">
        <v>9</v>
      </c>
      <c r="AR1336" t="n">
        <v>64</v>
      </c>
      <c r="AS1336" t="n">
        <v>32</v>
      </c>
      <c r="AU1336">
        <f>COUNTA($BA$1336:$EH$1336)</f>
        <v/>
      </c>
      <c r="AV1336">
        <f>COUNTIF($BA$1336:$EH$1336,"D")</f>
        <v/>
      </c>
      <c r="AW1336">
        <f>COUNTIF($BA$1336:$EH$1336,"R")</f>
        <v/>
      </c>
      <c r="AX1336">
        <f>IF(BN1336="D",1,0)+IF(BO1336="D",1,0)+IF(BT1336="D",1,0)+IF(BU1336="D",1,0)+IF(BW1336="D",1,0)+IF(CC1336="D",1,0)+IF(CD1336="D",1,0)+IF(CE1336="D",1,0)+IF(CF1336="D",1,0)+IF(CL1336="D",1,0)+IF(CM1336="D",1,0)+IF(CQ1336="D",1,0)+IF(CR1336="D",1,0)+IF(CS1336="D",1,0)+IF(CW1336="D",1,0)+IF(CX1336="D",1,0)+IF(DD1336="D",1,0)+IF(DE1336="D",1,0)+IF(DJ1336="D",1,0)+IF(DK1336="D",1,0)+IF(DO1336="D",1,0)+IF(DP1336="D",1,0)+IF(DQ1336="D",1,0)+IF(DW1336="D",1,0)+IF(DZ1336="D",1,0)+IF(EH1336="D",1,0)</f>
        <v/>
      </c>
      <c r="AY1336">
        <f>IF(DJ1336&lt;&gt;"",1,0)+IF(DK1336&lt;&gt;"",1,0)+IF(DM1336&lt;&gt;"",1,0)+IF(DO1336&lt;&gt;"",1,0)+IF(DP1336&lt;&gt;"",1,0)+IF(DQ1336&lt;&gt;"",1,0)+IF(DS1336&lt;&gt;"",1,0)+IF(DT1336&lt;&gt;"",1,0)+IF(DV1336&lt;&gt;"",1,0)+IF(DW1336&lt;&gt;"",1,0)+IF(DX1336&lt;&gt;"",1,0)+IF(DY1336&lt;&gt;"",1,0)+IF(DZ1336&lt;&gt;"",1,0)+IF(EB1336&lt;&gt;"",1,0)+IF(EC1336&lt;&gt;"",1,0)+IF(ED1336&lt;&gt;"",1,0)+IF(EG1336&lt;&gt;"",1,0)+IF(EH1336&lt;&gt;"",1,0)</f>
        <v/>
      </c>
      <c r="AZ1336">
        <f>IF(EH1336&lt;&gt;"",1,0)</f>
        <v/>
      </c>
      <c r="BB1336" t="inlineStr">
        <is>
          <t>WARREN-WARD 4</t>
        </is>
      </c>
      <c r="CA1336" t="inlineStr">
        <is>
          <t>X</t>
        </is>
      </c>
      <c r="CG1336" t="inlineStr">
        <is>
          <t>X</t>
        </is>
      </c>
      <c r="CK1336" t="inlineStr">
        <is>
          <t>X</t>
        </is>
      </c>
      <c r="CL1336" t="inlineStr">
        <is>
          <t>D</t>
        </is>
      </c>
      <c r="CN1336" t="inlineStr">
        <is>
          <t>X</t>
        </is>
      </c>
      <c r="CO1336" t="inlineStr">
        <is>
          <t>D</t>
        </is>
      </c>
      <c r="CP1336" t="inlineStr">
        <is>
          <t>X</t>
        </is>
      </c>
      <c r="CQ1336" t="inlineStr">
        <is>
          <t>D</t>
        </is>
      </c>
      <c r="CT1336" t="inlineStr">
        <is>
          <t>X</t>
        </is>
      </c>
      <c r="CU1336" t="inlineStr">
        <is>
          <t>D</t>
        </is>
      </c>
      <c r="CV1336" t="inlineStr">
        <is>
          <t>X</t>
        </is>
      </c>
      <c r="CW1336" t="inlineStr">
        <is>
          <t>D</t>
        </is>
      </c>
      <c r="CY1336" t="inlineStr">
        <is>
          <t>X</t>
        </is>
      </c>
      <c r="CZ1336" t="inlineStr">
        <is>
          <t>D</t>
        </is>
      </c>
      <c r="DC1336" t="inlineStr">
        <is>
          <t>X</t>
        </is>
      </c>
      <c r="DD1336" t="inlineStr">
        <is>
          <t>D</t>
        </is>
      </c>
      <c r="DF1336" t="inlineStr">
        <is>
          <t>X</t>
        </is>
      </c>
      <c r="DG1336" t="inlineStr">
        <is>
          <t>D</t>
        </is>
      </c>
      <c r="DI1336" t="inlineStr">
        <is>
          <t>X</t>
        </is>
      </c>
      <c r="DJ1336" t="inlineStr">
        <is>
          <t>D</t>
        </is>
      </c>
      <c r="DL1336" t="inlineStr">
        <is>
          <t>X</t>
        </is>
      </c>
      <c r="DN1336" t="inlineStr">
        <is>
          <t>X</t>
        </is>
      </c>
      <c r="DR1336" t="inlineStr">
        <is>
          <t>X</t>
        </is>
      </c>
      <c r="DS1336" t="inlineStr">
        <is>
          <t>D</t>
        </is>
      </c>
      <c r="DT1336" t="inlineStr">
        <is>
          <t>D</t>
        </is>
      </c>
      <c r="DU1336" t="inlineStr">
        <is>
          <t>X</t>
        </is>
      </c>
      <c r="DW1336" t="inlineStr">
        <is>
          <t>D</t>
        </is>
      </c>
      <c r="DX1336" t="inlineStr">
        <is>
          <t>X</t>
        </is>
      </c>
      <c r="ED1336" t="inlineStr">
        <is>
          <t>D</t>
        </is>
      </c>
      <c r="EF1336" t="inlineStr">
        <is>
          <t>X</t>
        </is>
      </c>
    </row>
    <row r="1337">
      <c r="A1337" t="inlineStr">
        <is>
          <t>OH0015694224</t>
        </is>
      </c>
      <c r="B1337" t="n">
        <v>78</v>
      </c>
      <c r="C1337" t="n">
        <v>145562</v>
      </c>
      <c r="D1337" t="inlineStr">
        <is>
          <t>CLOUSER</t>
        </is>
      </c>
      <c r="E1337" t="inlineStr">
        <is>
          <t>PAUL</t>
        </is>
      </c>
      <c r="F1337">
        <f>CONCATENATE(D1337," ",LEFT(H1337,4),"T=",AU1337,"D=",AV1337,"R=",AW1337,"M=",AX1337,"L=",AY1337,"B=",AZ1337)</f>
        <v/>
      </c>
      <c r="G1337" t="inlineStr">
        <is>
          <t>L</t>
        </is>
      </c>
      <c r="I1337" t="inlineStr">
        <is>
          <t>1963-01-29</t>
        </is>
      </c>
      <c r="J1337" t="inlineStr">
        <is>
          <t>2012-06-15</t>
        </is>
      </c>
      <c r="K1337" t="inlineStr">
        <is>
          <t>ACTIVE</t>
        </is>
      </c>
      <c r="L1337" t="inlineStr">
        <is>
          <t>D</t>
        </is>
      </c>
      <c r="M1337" t="inlineStr">
        <is>
          <t>143 W MARKET ST</t>
        </is>
      </c>
      <c r="N1337">
        <f>RIGHT(M1337,LEN(M1337)-FIND(" ",M1337))</f>
        <v/>
      </c>
      <c r="P1337" t="inlineStr">
        <is>
          <t>WARREN</t>
        </is>
      </c>
      <c r="Q1337" t="inlineStr">
        <is>
          <t>OH</t>
        </is>
      </c>
      <c r="R1337" t="n">
        <v>44481</v>
      </c>
      <c r="AD1337" t="inlineStr">
        <is>
          <t>TRUMBULL CAREER &amp; TECH CENTER</t>
        </is>
      </c>
      <c r="AE1337" t="inlineStr">
        <is>
          <t>WARREN CITY</t>
        </is>
      </c>
      <c r="AF1337" t="inlineStr">
        <is>
          <t>WARREN CITY SD</t>
        </is>
      </c>
      <c r="AH1337" t="n">
        <v>14</v>
      </c>
      <c r="AI1337" t="n">
        <v>11</v>
      </c>
      <c r="AN1337" t="inlineStr">
        <is>
          <t>WARREN</t>
        </is>
      </c>
      <c r="AO1337" t="inlineStr">
        <is>
          <t>WARREN CITY 4D</t>
        </is>
      </c>
      <c r="AP1337" t="inlineStr">
        <is>
          <t>78-P-ADL</t>
        </is>
      </c>
      <c r="AQ1337" t="n">
        <v>9</v>
      </c>
      <c r="AR1337" t="n">
        <v>64</v>
      </c>
      <c r="AS1337" t="n">
        <v>32</v>
      </c>
      <c r="AU1337">
        <f>COUNTA($BA$1337:$EH$1337)</f>
        <v/>
      </c>
      <c r="AV1337">
        <f>COUNTIF($BA$1337:$EH$1337,"D")</f>
        <v/>
      </c>
      <c r="AW1337">
        <f>COUNTIF($BA$1337:$EH$1337,"R")</f>
        <v/>
      </c>
      <c r="AX1337">
        <f>IF(BN1337="D",1,0)+IF(BO1337="D",1,0)+IF(BT1337="D",1,0)+IF(BU1337="D",1,0)+IF(BW1337="D",1,0)+IF(CC1337="D",1,0)+IF(CD1337="D",1,0)+IF(CE1337="D",1,0)+IF(CF1337="D",1,0)+IF(CL1337="D",1,0)+IF(CM1337="D",1,0)+IF(CQ1337="D",1,0)+IF(CR1337="D",1,0)+IF(CS1337="D",1,0)+IF(CW1337="D",1,0)+IF(CX1337="D",1,0)+IF(DD1337="D",1,0)+IF(DE1337="D",1,0)+IF(DJ1337="D",1,0)+IF(DK1337="D",1,0)+IF(DO1337="D",1,0)+IF(DP1337="D",1,0)+IF(DQ1337="D",1,0)+IF(DW1337="D",1,0)+IF(DZ1337="D",1,0)+IF(EH1337="D",1,0)</f>
        <v/>
      </c>
      <c r="AY1337">
        <f>IF(DJ1337&lt;&gt;"",1,0)+IF(DK1337&lt;&gt;"",1,0)+IF(DM1337&lt;&gt;"",1,0)+IF(DO1337&lt;&gt;"",1,0)+IF(DP1337&lt;&gt;"",1,0)+IF(DQ1337&lt;&gt;"",1,0)+IF(DS1337&lt;&gt;"",1,0)+IF(DT1337&lt;&gt;"",1,0)+IF(DV1337&lt;&gt;"",1,0)+IF(DW1337&lt;&gt;"",1,0)+IF(DX1337&lt;&gt;"",1,0)+IF(DY1337&lt;&gt;"",1,0)+IF(DZ1337&lt;&gt;"",1,0)+IF(EB1337&lt;&gt;"",1,0)+IF(EC1337&lt;&gt;"",1,0)+IF(ED1337&lt;&gt;"",1,0)+IF(EG1337&lt;&gt;"",1,0)+IF(EH1337&lt;&gt;"",1,0)</f>
        <v/>
      </c>
      <c r="AZ1337">
        <f>IF(EH1337&lt;&gt;"",1,0)</f>
        <v/>
      </c>
      <c r="BB1337" t="inlineStr">
        <is>
          <t>WARREN-WARD 4</t>
        </is>
      </c>
      <c r="BC1337" t="inlineStr">
        <is>
          <t>X</t>
        </is>
      </c>
      <c r="BD1337" t="inlineStr">
        <is>
          <t>X</t>
        </is>
      </c>
      <c r="BE1337" t="inlineStr">
        <is>
          <t>X</t>
        </is>
      </c>
      <c r="BG1337" t="inlineStr">
        <is>
          <t>X</t>
        </is>
      </c>
      <c r="BH1337" t="inlineStr">
        <is>
          <t>X</t>
        </is>
      </c>
      <c r="BJ1337" t="inlineStr">
        <is>
          <t>X</t>
        </is>
      </c>
      <c r="BK1337" t="inlineStr">
        <is>
          <t>X</t>
        </is>
      </c>
      <c r="BL1337" t="inlineStr">
        <is>
          <t>X</t>
        </is>
      </c>
      <c r="BP1337" t="inlineStr">
        <is>
          <t>X</t>
        </is>
      </c>
      <c r="BR1337" t="inlineStr">
        <is>
          <t>X</t>
        </is>
      </c>
      <c r="BS1337" t="inlineStr">
        <is>
          <t>X</t>
        </is>
      </c>
      <c r="BV1337" t="inlineStr">
        <is>
          <t>X</t>
        </is>
      </c>
      <c r="BY1337" t="inlineStr">
        <is>
          <t>D</t>
        </is>
      </c>
      <c r="CA1337" t="inlineStr">
        <is>
          <t>X</t>
        </is>
      </c>
      <c r="CG1337" t="inlineStr">
        <is>
          <t>X</t>
        </is>
      </c>
      <c r="CH1337" t="inlineStr">
        <is>
          <t>D</t>
        </is>
      </c>
      <c r="CK1337" t="inlineStr">
        <is>
          <t>X</t>
        </is>
      </c>
      <c r="CL1337" t="inlineStr">
        <is>
          <t>D</t>
        </is>
      </c>
      <c r="CN1337" t="inlineStr">
        <is>
          <t>X</t>
        </is>
      </c>
      <c r="CO1337" t="inlineStr">
        <is>
          <t>R</t>
        </is>
      </c>
      <c r="CP1337" t="inlineStr">
        <is>
          <t>X</t>
        </is>
      </c>
      <c r="CT1337" t="inlineStr">
        <is>
          <t>X</t>
        </is>
      </c>
      <c r="CU1337" t="inlineStr">
        <is>
          <t>R</t>
        </is>
      </c>
      <c r="CV1337" t="inlineStr">
        <is>
          <t>X</t>
        </is>
      </c>
      <c r="CY1337" t="inlineStr">
        <is>
          <t>X</t>
        </is>
      </c>
      <c r="CZ1337" t="inlineStr">
        <is>
          <t>R</t>
        </is>
      </c>
      <c r="DC1337" t="inlineStr">
        <is>
          <t>X</t>
        </is>
      </c>
      <c r="DF1337" t="inlineStr">
        <is>
          <t>X</t>
        </is>
      </c>
      <c r="DG1337" t="inlineStr">
        <is>
          <t>R</t>
        </is>
      </c>
      <c r="DI1337" t="inlineStr">
        <is>
          <t>X</t>
        </is>
      </c>
      <c r="DJ1337" t="inlineStr">
        <is>
          <t>D</t>
        </is>
      </c>
      <c r="DL1337" t="inlineStr">
        <is>
          <t>X</t>
        </is>
      </c>
      <c r="DM1337" t="inlineStr">
        <is>
          <t>D</t>
        </is>
      </c>
      <c r="DN1337" t="inlineStr">
        <is>
          <t>X</t>
        </is>
      </c>
      <c r="DR1337" t="inlineStr">
        <is>
          <t>X</t>
        </is>
      </c>
      <c r="DS1337" t="inlineStr">
        <is>
          <t>D</t>
        </is>
      </c>
      <c r="DU1337" t="inlineStr">
        <is>
          <t>X</t>
        </is>
      </c>
      <c r="DW1337" t="inlineStr">
        <is>
          <t>D</t>
        </is>
      </c>
      <c r="DX1337" t="inlineStr">
        <is>
          <t>X</t>
        </is>
      </c>
      <c r="EA1337" t="inlineStr">
        <is>
          <t>X</t>
        </is>
      </c>
      <c r="ED1337" t="inlineStr">
        <is>
          <t>D</t>
        </is>
      </c>
      <c r="EF1337" t="inlineStr">
        <is>
          <t>X</t>
        </is>
      </c>
      <c r="EH1337" t="inlineStr">
        <is>
          <t>D</t>
        </is>
      </c>
    </row>
    <row r="1338">
      <c r="A1338" t="inlineStr">
        <is>
          <t>OH0025536463</t>
        </is>
      </c>
      <c r="B1338" t="n">
        <v>78</v>
      </c>
      <c r="C1338" t="n">
        <v>445636</v>
      </c>
      <c r="D1338" t="inlineStr">
        <is>
          <t>TICE</t>
        </is>
      </c>
      <c r="E1338" t="inlineStr">
        <is>
          <t>ROBERT</t>
        </is>
      </c>
      <c r="F1338">
        <f>CONCATENATE(D1338," ",LEFT(H1338,4),"T=",AU1338,"D=",AV1338,"R=",AW1338,"M=",AX1338,"L=",AY1338,"B=",AZ1338)</f>
        <v/>
      </c>
      <c r="G1338" t="inlineStr">
        <is>
          <t>C</t>
        </is>
      </c>
      <c r="H1338" t="inlineStr">
        <is>
          <t>SR</t>
        </is>
      </c>
      <c r="I1338" t="inlineStr">
        <is>
          <t>1981-10-06</t>
        </is>
      </c>
      <c r="J1338" t="inlineStr">
        <is>
          <t>2024-08-21</t>
        </is>
      </c>
      <c r="K1338" t="inlineStr">
        <is>
          <t>ACTIVE</t>
        </is>
      </c>
      <c r="M1338" t="inlineStr">
        <is>
          <t>287 LAWRENCE AVE NE</t>
        </is>
      </c>
      <c r="N1338">
        <f>RIGHT(M1338,LEN(M1338)-FIND(" ",M1338))</f>
        <v/>
      </c>
      <c r="P1338" t="inlineStr">
        <is>
          <t>WARREN</t>
        </is>
      </c>
      <c r="Q1338" t="inlineStr">
        <is>
          <t>OH</t>
        </is>
      </c>
      <c r="R1338" t="n">
        <v>44483</v>
      </c>
      <c r="AD1338" t="inlineStr">
        <is>
          <t>TRUMBULL CAREER &amp; TECH CENTER</t>
        </is>
      </c>
      <c r="AE1338" t="inlineStr">
        <is>
          <t>WARREN CITY</t>
        </is>
      </c>
      <c r="AF1338" t="inlineStr">
        <is>
          <t>WARREN CITY SD</t>
        </is>
      </c>
      <c r="AH1338" t="n">
        <v>14</v>
      </c>
      <c r="AI1338" t="n">
        <v>11</v>
      </c>
      <c r="AN1338" t="inlineStr">
        <is>
          <t>WARREN</t>
        </is>
      </c>
      <c r="AO1338" t="inlineStr">
        <is>
          <t>WARREN CITY 4D</t>
        </is>
      </c>
      <c r="AP1338" t="inlineStr">
        <is>
          <t>78-P-ADL</t>
        </is>
      </c>
      <c r="AQ1338" t="n">
        <v>9</v>
      </c>
      <c r="AR1338" t="n">
        <v>64</v>
      </c>
      <c r="AS1338" t="n">
        <v>32</v>
      </c>
      <c r="AU1338">
        <f>COUNTA($BA$1338:$EH$1338)</f>
        <v/>
      </c>
      <c r="AV1338">
        <f>COUNTIF($BA$1338:$EH$1338,"D")</f>
        <v/>
      </c>
      <c r="AW1338">
        <f>COUNTIF($BA$1338:$EH$1338,"R")</f>
        <v/>
      </c>
      <c r="AX1338">
        <f>IF(BN1338="D",1,0)+IF(BO1338="D",1,0)+IF(BT1338="D",1,0)+IF(BU1338="D",1,0)+IF(BW1338="D",1,0)+IF(CC1338="D",1,0)+IF(CD1338="D",1,0)+IF(CE1338="D",1,0)+IF(CF1338="D",1,0)+IF(CL1338="D",1,0)+IF(CM1338="D",1,0)+IF(CQ1338="D",1,0)+IF(CR1338="D",1,0)+IF(CS1338="D",1,0)+IF(CW1338="D",1,0)+IF(CX1338="D",1,0)+IF(DD1338="D",1,0)+IF(DE1338="D",1,0)+IF(DJ1338="D",1,0)+IF(DK1338="D",1,0)+IF(DO1338="D",1,0)+IF(DP1338="D",1,0)+IF(DQ1338="D",1,0)+IF(DW1338="D",1,0)+IF(DZ1338="D",1,0)+IF(EH1338="D",1,0)</f>
        <v/>
      </c>
      <c r="AY1338">
        <f>IF(DJ1338&lt;&gt;"",1,0)+IF(DK1338&lt;&gt;"",1,0)+IF(DM1338&lt;&gt;"",1,0)+IF(DO1338&lt;&gt;"",1,0)+IF(DP1338&lt;&gt;"",1,0)+IF(DQ1338&lt;&gt;"",1,0)+IF(DS1338&lt;&gt;"",1,0)+IF(DT1338&lt;&gt;"",1,0)+IF(DV1338&lt;&gt;"",1,0)+IF(DW1338&lt;&gt;"",1,0)+IF(DX1338&lt;&gt;"",1,0)+IF(DY1338&lt;&gt;"",1,0)+IF(DZ1338&lt;&gt;"",1,0)+IF(EB1338&lt;&gt;"",1,0)+IF(EC1338&lt;&gt;"",1,0)+IF(ED1338&lt;&gt;"",1,0)+IF(EG1338&lt;&gt;"",1,0)+IF(EH1338&lt;&gt;"",1,0)</f>
        <v/>
      </c>
      <c r="AZ1338">
        <f>IF(EH1338&lt;&gt;"",1,0)</f>
        <v/>
      </c>
      <c r="BB1338" t="inlineStr">
        <is>
          <t>WARREN-WARD 4</t>
        </is>
      </c>
      <c r="BL1338" t="inlineStr">
        <is>
          <t>X</t>
        </is>
      </c>
      <c r="BR1338" t="inlineStr">
        <is>
          <t>D</t>
        </is>
      </c>
      <c r="BS1338" t="inlineStr">
        <is>
          <t>X</t>
        </is>
      </c>
      <c r="CN1338" t="inlineStr">
        <is>
          <t>X</t>
        </is>
      </c>
      <c r="CO1338" t="inlineStr">
        <is>
          <t>R</t>
        </is>
      </c>
      <c r="CP1338" t="inlineStr">
        <is>
          <t>X</t>
        </is>
      </c>
      <c r="CQ1338" t="inlineStr">
        <is>
          <t>X</t>
        </is>
      </c>
      <c r="CY1338" t="inlineStr">
        <is>
          <t>X</t>
        </is>
      </c>
      <c r="CZ1338" t="inlineStr">
        <is>
          <t>D</t>
        </is>
      </c>
      <c r="DC1338" t="inlineStr">
        <is>
          <t>X</t>
        </is>
      </c>
      <c r="DI1338" t="inlineStr">
        <is>
          <t>X</t>
        </is>
      </c>
      <c r="DN1338" t="inlineStr">
        <is>
          <t>X</t>
        </is>
      </c>
    </row>
    <row r="1339">
      <c r="A1339" t="inlineStr">
        <is>
          <t>OH0026350749</t>
        </is>
      </c>
      <c r="B1339" t="n">
        <v>78</v>
      </c>
      <c r="C1339" t="n">
        <v>460819</v>
      </c>
      <c r="D1339" t="inlineStr">
        <is>
          <t>DUKES</t>
        </is>
      </c>
      <c r="E1339" t="inlineStr">
        <is>
          <t>JAMES</t>
        </is>
      </c>
      <c r="F1339">
        <f>CONCATENATE(D1339," ",LEFT(H1339,4),"T=",AU1339,"D=",AV1339,"R=",AW1339,"M=",AX1339,"L=",AY1339,"B=",AZ1339)</f>
        <v/>
      </c>
      <c r="G1339" t="inlineStr">
        <is>
          <t>DONALD</t>
        </is>
      </c>
      <c r="H1339" t="inlineStr">
        <is>
          <t>JR</t>
        </is>
      </c>
      <c r="I1339" t="inlineStr">
        <is>
          <t>2003-08-14</t>
        </is>
      </c>
      <c r="J1339" t="inlineStr">
        <is>
          <t>2024-12-10</t>
        </is>
      </c>
      <c r="K1339" t="inlineStr">
        <is>
          <t>ACTIVE</t>
        </is>
      </c>
      <c r="M1339" t="inlineStr">
        <is>
          <t>1240 WOODLAND AVE NE</t>
        </is>
      </c>
      <c r="N1339">
        <f>RIGHT(M1339,LEN(M1339)-FIND(" ",M1339))</f>
        <v/>
      </c>
      <c r="P1339" t="inlineStr">
        <is>
          <t>WARREN</t>
        </is>
      </c>
      <c r="Q1339" t="inlineStr">
        <is>
          <t>OH</t>
        </is>
      </c>
      <c r="R1339" t="n">
        <v>44483</v>
      </c>
      <c r="AD1339" t="inlineStr">
        <is>
          <t>TRUMBULL CAREER &amp; TECH CENTER</t>
        </is>
      </c>
      <c r="AE1339" t="inlineStr">
        <is>
          <t>WARREN CITY</t>
        </is>
      </c>
      <c r="AF1339" t="inlineStr">
        <is>
          <t>WARREN CITY SD</t>
        </is>
      </c>
      <c r="AH1339" t="n">
        <v>14</v>
      </c>
      <c r="AI1339" t="n">
        <v>11</v>
      </c>
      <c r="AN1339" t="inlineStr">
        <is>
          <t>WARREN</t>
        </is>
      </c>
      <c r="AO1339" t="inlineStr">
        <is>
          <t>WARREN CITY 4D</t>
        </is>
      </c>
      <c r="AP1339" t="inlineStr">
        <is>
          <t>78-P-ADL</t>
        </is>
      </c>
      <c r="AQ1339" t="n">
        <v>9</v>
      </c>
      <c r="AR1339" t="n">
        <v>64</v>
      </c>
      <c r="AS1339" t="n">
        <v>32</v>
      </c>
      <c r="AU1339">
        <f>COUNTA($BA$1339:$EH$1339)</f>
        <v/>
      </c>
      <c r="AV1339">
        <f>COUNTIF($BA$1339:$EH$1339,"D")</f>
        <v/>
      </c>
      <c r="AW1339">
        <f>COUNTIF($BA$1339:$EH$1339,"R")</f>
        <v/>
      </c>
      <c r="AX1339">
        <f>IF(BN1339="D",1,0)+IF(BO1339="D",1,0)+IF(BT1339="D",1,0)+IF(BU1339="D",1,0)+IF(BW1339="D",1,0)+IF(CC1339="D",1,0)+IF(CD1339="D",1,0)+IF(CE1339="D",1,0)+IF(CF1339="D",1,0)+IF(CL1339="D",1,0)+IF(CM1339="D",1,0)+IF(CQ1339="D",1,0)+IF(CR1339="D",1,0)+IF(CS1339="D",1,0)+IF(CW1339="D",1,0)+IF(CX1339="D",1,0)+IF(DD1339="D",1,0)+IF(DE1339="D",1,0)+IF(DJ1339="D",1,0)+IF(DK1339="D",1,0)+IF(DO1339="D",1,0)+IF(DP1339="D",1,0)+IF(DQ1339="D",1,0)+IF(DW1339="D",1,0)+IF(DZ1339="D",1,0)+IF(EH1339="D",1,0)</f>
        <v/>
      </c>
      <c r="AY1339">
        <f>IF(DJ1339&lt;&gt;"",1,0)+IF(DK1339&lt;&gt;"",1,0)+IF(DM1339&lt;&gt;"",1,0)+IF(DO1339&lt;&gt;"",1,0)+IF(DP1339&lt;&gt;"",1,0)+IF(DQ1339&lt;&gt;"",1,0)+IF(DS1339&lt;&gt;"",1,0)+IF(DT1339&lt;&gt;"",1,0)+IF(DV1339&lt;&gt;"",1,0)+IF(DW1339&lt;&gt;"",1,0)+IF(DX1339&lt;&gt;"",1,0)+IF(DY1339&lt;&gt;"",1,0)+IF(DZ1339&lt;&gt;"",1,0)+IF(EB1339&lt;&gt;"",1,0)+IF(EC1339&lt;&gt;"",1,0)+IF(ED1339&lt;&gt;"",1,0)+IF(EG1339&lt;&gt;"",1,0)+IF(EH1339&lt;&gt;"",1,0)</f>
        <v/>
      </c>
      <c r="AZ1339">
        <f>IF(EH1339&lt;&gt;"",1,0)</f>
        <v/>
      </c>
      <c r="BB1339" t="inlineStr">
        <is>
          <t>WARREN-WARD 4</t>
        </is>
      </c>
    </row>
    <row r="1340">
      <c r="A1340" t="inlineStr">
        <is>
          <t>OH0023330623</t>
        </is>
      </c>
      <c r="B1340" t="n">
        <v>78</v>
      </c>
      <c r="C1340" t="n">
        <v>410421</v>
      </c>
      <c r="D1340" t="inlineStr">
        <is>
          <t>MAHAN</t>
        </is>
      </c>
      <c r="E1340" t="inlineStr">
        <is>
          <t>JONATHAN</t>
        </is>
      </c>
      <c r="F1340">
        <f>CONCATENATE(D1340," ",LEFT(H1340,4),"T=",AU1340,"D=",AV1340,"R=",AW1340,"M=",AX1340,"L=",AY1340,"B=",AZ1340)</f>
        <v/>
      </c>
      <c r="G1340" t="inlineStr">
        <is>
          <t>STUART</t>
        </is>
      </c>
      <c r="I1340" t="inlineStr">
        <is>
          <t>1997-10-29</t>
        </is>
      </c>
      <c r="J1340" t="inlineStr">
        <is>
          <t>2024-11-25</t>
        </is>
      </c>
      <c r="K1340" t="inlineStr">
        <is>
          <t>ACTIVE</t>
        </is>
      </c>
      <c r="M1340" t="inlineStr">
        <is>
          <t>160 N PARK AVE</t>
        </is>
      </c>
      <c r="N1340">
        <f>RIGHT(M1340,LEN(M1340)-FIND(" ",M1340))</f>
        <v/>
      </c>
      <c r="O1340" t="inlineStr">
        <is>
          <t>APT B</t>
        </is>
      </c>
      <c r="P1340" t="inlineStr">
        <is>
          <t>WARREN</t>
        </is>
      </c>
      <c r="Q1340" t="inlineStr">
        <is>
          <t>OH</t>
        </is>
      </c>
      <c r="R1340" t="n">
        <v>44481</v>
      </c>
      <c r="AD1340" t="inlineStr">
        <is>
          <t>TRUMBULL CAREER &amp; TECH CENTER</t>
        </is>
      </c>
      <c r="AE1340" t="inlineStr">
        <is>
          <t>WARREN CITY</t>
        </is>
      </c>
      <c r="AF1340" t="inlineStr">
        <is>
          <t>WARREN CITY SD</t>
        </is>
      </c>
      <c r="AH1340" t="n">
        <v>14</v>
      </c>
      <c r="AI1340" t="n">
        <v>11</v>
      </c>
      <c r="AN1340" t="inlineStr">
        <is>
          <t>WARREN</t>
        </is>
      </c>
      <c r="AO1340" t="inlineStr">
        <is>
          <t>WARREN CITY 4D</t>
        </is>
      </c>
      <c r="AP1340" t="inlineStr">
        <is>
          <t>78-P-ADL</t>
        </is>
      </c>
      <c r="AQ1340" t="n">
        <v>9</v>
      </c>
      <c r="AR1340" t="n">
        <v>64</v>
      </c>
      <c r="AS1340" t="n">
        <v>32</v>
      </c>
      <c r="AU1340">
        <f>COUNTA($BA$1340:$EH$1340)</f>
        <v/>
      </c>
      <c r="AV1340">
        <f>COUNTIF($BA$1340:$EH$1340,"D")</f>
        <v/>
      </c>
      <c r="AW1340">
        <f>COUNTIF($BA$1340:$EH$1340,"R")</f>
        <v/>
      </c>
      <c r="AX1340">
        <f>IF(BN1340="D",1,0)+IF(BO1340="D",1,0)+IF(BT1340="D",1,0)+IF(BU1340="D",1,0)+IF(BW1340="D",1,0)+IF(CC1340="D",1,0)+IF(CD1340="D",1,0)+IF(CE1340="D",1,0)+IF(CF1340="D",1,0)+IF(CL1340="D",1,0)+IF(CM1340="D",1,0)+IF(CQ1340="D",1,0)+IF(CR1340="D",1,0)+IF(CS1340="D",1,0)+IF(CW1340="D",1,0)+IF(CX1340="D",1,0)+IF(DD1340="D",1,0)+IF(DE1340="D",1,0)+IF(DJ1340="D",1,0)+IF(DK1340="D",1,0)+IF(DO1340="D",1,0)+IF(DP1340="D",1,0)+IF(DQ1340="D",1,0)+IF(DW1340="D",1,0)+IF(DZ1340="D",1,0)+IF(EH1340="D",1,0)</f>
        <v/>
      </c>
      <c r="AY1340">
        <f>IF(DJ1340&lt;&gt;"",1,0)+IF(DK1340&lt;&gt;"",1,0)+IF(DM1340&lt;&gt;"",1,0)+IF(DO1340&lt;&gt;"",1,0)+IF(DP1340&lt;&gt;"",1,0)+IF(DQ1340&lt;&gt;"",1,0)+IF(DS1340&lt;&gt;"",1,0)+IF(DT1340&lt;&gt;"",1,0)+IF(DV1340&lt;&gt;"",1,0)+IF(DW1340&lt;&gt;"",1,0)+IF(DX1340&lt;&gt;"",1,0)+IF(DY1340&lt;&gt;"",1,0)+IF(DZ1340&lt;&gt;"",1,0)+IF(EB1340&lt;&gt;"",1,0)+IF(EC1340&lt;&gt;"",1,0)+IF(ED1340&lt;&gt;"",1,0)+IF(EG1340&lt;&gt;"",1,0)+IF(EH1340&lt;&gt;"",1,0)</f>
        <v/>
      </c>
      <c r="AZ1340">
        <f>IF(EH1340&lt;&gt;"",1,0)</f>
        <v/>
      </c>
      <c r="BB1340" t="inlineStr">
        <is>
          <t>WARREN-WARD 4</t>
        </is>
      </c>
      <c r="CY1340" t="inlineStr">
        <is>
          <t>X</t>
        </is>
      </c>
      <c r="CZ1340" t="inlineStr">
        <is>
          <t>D</t>
        </is>
      </c>
      <c r="DC1340" t="inlineStr">
        <is>
          <t>X</t>
        </is>
      </c>
      <c r="DF1340" t="inlineStr">
        <is>
          <t>X</t>
        </is>
      </c>
      <c r="DN1340" t="inlineStr">
        <is>
          <t>X</t>
        </is>
      </c>
      <c r="EF1340" t="inlineStr">
        <is>
          <t>X</t>
        </is>
      </c>
    </row>
    <row r="1341">
      <c r="A1341" t="inlineStr">
        <is>
          <t>OH0023335716</t>
        </is>
      </c>
      <c r="B1341" t="n">
        <v>78</v>
      </c>
      <c r="C1341" t="n">
        <v>399712</v>
      </c>
      <c r="D1341" t="inlineStr">
        <is>
          <t>SHERMAN</t>
        </is>
      </c>
      <c r="E1341" t="inlineStr">
        <is>
          <t>ADRIONNA</t>
        </is>
      </c>
      <c r="F1341">
        <f>CONCATENATE(D1341," ",LEFT(H1341,4),"T=",AU1341,"D=",AV1341,"R=",AW1341,"M=",AX1341,"L=",AY1341,"B=",AZ1341)</f>
        <v/>
      </c>
      <c r="G1341" t="inlineStr">
        <is>
          <t>L</t>
        </is>
      </c>
      <c r="I1341" t="inlineStr">
        <is>
          <t>1995-02-03</t>
        </is>
      </c>
      <c r="J1341" t="inlineStr">
        <is>
          <t>2018-04-12</t>
        </is>
      </c>
      <c r="K1341" t="inlineStr">
        <is>
          <t>CONFIRMATION</t>
        </is>
      </c>
      <c r="M1341" t="inlineStr">
        <is>
          <t>225 LAWRENCE AVE NE</t>
        </is>
      </c>
      <c r="N1341">
        <f>RIGHT(M1341,LEN(M1341)-FIND(" ",M1341))</f>
        <v/>
      </c>
      <c r="P1341" t="inlineStr">
        <is>
          <t>WARREN</t>
        </is>
      </c>
      <c r="Q1341" t="inlineStr">
        <is>
          <t>OH</t>
        </is>
      </c>
      <c r="R1341" t="n">
        <v>44483</v>
      </c>
      <c r="AD1341" t="inlineStr">
        <is>
          <t>TRUMBULL CAREER &amp; TECH CENTER</t>
        </is>
      </c>
      <c r="AE1341" t="inlineStr">
        <is>
          <t>WARREN CITY</t>
        </is>
      </c>
      <c r="AF1341" t="inlineStr">
        <is>
          <t>WARREN CITY SD</t>
        </is>
      </c>
      <c r="AH1341" t="n">
        <v>14</v>
      </c>
      <c r="AI1341" t="n">
        <v>11</v>
      </c>
      <c r="AN1341" t="inlineStr">
        <is>
          <t>WARREN</t>
        </is>
      </c>
      <c r="AO1341" t="inlineStr">
        <is>
          <t>WARREN CITY 4D</t>
        </is>
      </c>
      <c r="AP1341" t="inlineStr">
        <is>
          <t>78-P-ADL</t>
        </is>
      </c>
      <c r="AQ1341" t="n">
        <v>9</v>
      </c>
      <c r="AR1341" t="n">
        <v>64</v>
      </c>
      <c r="AS1341" t="n">
        <v>32</v>
      </c>
      <c r="AU1341">
        <f>COUNTA($BA$1341:$EH$1341)</f>
        <v/>
      </c>
      <c r="AV1341">
        <f>COUNTIF($BA$1341:$EH$1341,"D")</f>
        <v/>
      </c>
      <c r="AW1341">
        <f>COUNTIF($BA$1341:$EH$1341,"R")</f>
        <v/>
      </c>
      <c r="AX1341">
        <f>IF(BN1341="D",1,0)+IF(BO1341="D",1,0)+IF(BT1341="D",1,0)+IF(BU1341="D",1,0)+IF(BW1341="D",1,0)+IF(CC1341="D",1,0)+IF(CD1341="D",1,0)+IF(CE1341="D",1,0)+IF(CF1341="D",1,0)+IF(CL1341="D",1,0)+IF(CM1341="D",1,0)+IF(CQ1341="D",1,0)+IF(CR1341="D",1,0)+IF(CS1341="D",1,0)+IF(CW1341="D",1,0)+IF(CX1341="D",1,0)+IF(DD1341="D",1,0)+IF(DE1341="D",1,0)+IF(DJ1341="D",1,0)+IF(DK1341="D",1,0)+IF(DO1341="D",1,0)+IF(DP1341="D",1,0)+IF(DQ1341="D",1,0)+IF(DW1341="D",1,0)+IF(DZ1341="D",1,0)+IF(EH1341="D",1,0)</f>
        <v/>
      </c>
      <c r="AY1341">
        <f>IF(DJ1341&lt;&gt;"",1,0)+IF(DK1341&lt;&gt;"",1,0)+IF(DM1341&lt;&gt;"",1,0)+IF(DO1341&lt;&gt;"",1,0)+IF(DP1341&lt;&gt;"",1,0)+IF(DQ1341&lt;&gt;"",1,0)+IF(DS1341&lt;&gt;"",1,0)+IF(DT1341&lt;&gt;"",1,0)+IF(DV1341&lt;&gt;"",1,0)+IF(DW1341&lt;&gt;"",1,0)+IF(DX1341&lt;&gt;"",1,0)+IF(DY1341&lt;&gt;"",1,0)+IF(DZ1341&lt;&gt;"",1,0)+IF(EB1341&lt;&gt;"",1,0)+IF(EC1341&lt;&gt;"",1,0)+IF(ED1341&lt;&gt;"",1,0)+IF(EG1341&lt;&gt;"",1,0)+IF(EH1341&lt;&gt;"",1,0)</f>
        <v/>
      </c>
      <c r="AZ1341">
        <f>IF(EH1341&lt;&gt;"",1,0)</f>
        <v/>
      </c>
      <c r="BB1341" t="inlineStr">
        <is>
          <t>WARREN-WARD 4</t>
        </is>
      </c>
    </row>
    <row r="1342">
      <c r="A1342" t="inlineStr">
        <is>
          <t>OH0015800211</t>
        </is>
      </c>
      <c r="B1342" t="n">
        <v>78</v>
      </c>
      <c r="C1342" t="n">
        <v>86819</v>
      </c>
      <c r="D1342" t="inlineStr">
        <is>
          <t>STARK</t>
        </is>
      </c>
      <c r="E1342" t="inlineStr">
        <is>
          <t>GAIL</t>
        </is>
      </c>
      <c r="F1342">
        <f>CONCATENATE(D1342," ",LEFT(H1342,4),"T=",AU1342,"D=",AV1342,"R=",AW1342,"M=",AX1342,"L=",AY1342,"B=",AZ1342)</f>
        <v/>
      </c>
      <c r="I1342" t="inlineStr">
        <is>
          <t>1960-10-12</t>
        </is>
      </c>
      <c r="J1342" t="inlineStr">
        <is>
          <t>1978-05-01</t>
        </is>
      </c>
      <c r="K1342" t="inlineStr">
        <is>
          <t>ACTIVE</t>
        </is>
      </c>
      <c r="L1342" t="inlineStr">
        <is>
          <t>R</t>
        </is>
      </c>
      <c r="M1342" t="inlineStr">
        <is>
          <t>847 ELM RD NE</t>
        </is>
      </c>
      <c r="N1342">
        <f>RIGHT(M1342,LEN(M1342)-FIND(" ",M1342))</f>
        <v/>
      </c>
      <c r="P1342" t="inlineStr">
        <is>
          <t>WARREN</t>
        </is>
      </c>
      <c r="Q1342" t="inlineStr">
        <is>
          <t>OH</t>
        </is>
      </c>
      <c r="R1342" t="n">
        <v>44483</v>
      </c>
      <c r="AD1342" t="inlineStr">
        <is>
          <t>TRUMBULL CAREER &amp; TECH CENTER</t>
        </is>
      </c>
      <c r="AE1342" t="inlineStr">
        <is>
          <t>WARREN CITY</t>
        </is>
      </c>
      <c r="AF1342" t="inlineStr">
        <is>
          <t>WARREN CITY SD</t>
        </is>
      </c>
      <c r="AH1342" t="n">
        <v>14</v>
      </c>
      <c r="AI1342" t="n">
        <v>11</v>
      </c>
      <c r="AN1342" t="inlineStr">
        <is>
          <t>WARREN</t>
        </is>
      </c>
      <c r="AO1342" t="inlineStr">
        <is>
          <t>WARREN CITY 4D</t>
        </is>
      </c>
      <c r="AP1342" t="inlineStr">
        <is>
          <t>78-P-ADL</t>
        </is>
      </c>
      <c r="AQ1342" t="n">
        <v>9</v>
      </c>
      <c r="AR1342" t="n">
        <v>64</v>
      </c>
      <c r="AS1342" t="n">
        <v>32</v>
      </c>
      <c r="AU1342">
        <f>COUNTA($BA$1342:$EH$1342)</f>
        <v/>
      </c>
      <c r="AV1342">
        <f>COUNTIF($BA$1342:$EH$1342,"D")</f>
        <v/>
      </c>
      <c r="AW1342">
        <f>COUNTIF($BA$1342:$EH$1342,"R")</f>
        <v/>
      </c>
      <c r="AX1342">
        <f>IF(BN1342="D",1,0)+IF(BO1342="D",1,0)+IF(BT1342="D",1,0)+IF(BU1342="D",1,0)+IF(BW1342="D",1,0)+IF(CC1342="D",1,0)+IF(CD1342="D",1,0)+IF(CE1342="D",1,0)+IF(CF1342="D",1,0)+IF(CL1342="D",1,0)+IF(CM1342="D",1,0)+IF(CQ1342="D",1,0)+IF(CR1342="D",1,0)+IF(CS1342="D",1,0)+IF(CW1342="D",1,0)+IF(CX1342="D",1,0)+IF(DD1342="D",1,0)+IF(DE1342="D",1,0)+IF(DJ1342="D",1,0)+IF(DK1342="D",1,0)+IF(DO1342="D",1,0)+IF(DP1342="D",1,0)+IF(DQ1342="D",1,0)+IF(DW1342="D",1,0)+IF(DZ1342="D",1,0)+IF(EH1342="D",1,0)</f>
        <v/>
      </c>
      <c r="AY1342">
        <f>IF(DJ1342&lt;&gt;"",1,0)+IF(DK1342&lt;&gt;"",1,0)+IF(DM1342&lt;&gt;"",1,0)+IF(DO1342&lt;&gt;"",1,0)+IF(DP1342&lt;&gt;"",1,0)+IF(DQ1342&lt;&gt;"",1,0)+IF(DS1342&lt;&gt;"",1,0)+IF(DT1342&lt;&gt;"",1,0)+IF(DV1342&lt;&gt;"",1,0)+IF(DW1342&lt;&gt;"",1,0)+IF(DX1342&lt;&gt;"",1,0)+IF(DY1342&lt;&gt;"",1,0)+IF(DZ1342&lt;&gt;"",1,0)+IF(EB1342&lt;&gt;"",1,0)+IF(EC1342&lt;&gt;"",1,0)+IF(ED1342&lt;&gt;"",1,0)+IF(EG1342&lt;&gt;"",1,0)+IF(EH1342&lt;&gt;"",1,0)</f>
        <v/>
      </c>
      <c r="AZ1342">
        <f>IF(EH1342&lt;&gt;"",1,0)</f>
        <v/>
      </c>
      <c r="BB1342" t="inlineStr">
        <is>
          <t>WARREN-WARD 4</t>
        </is>
      </c>
      <c r="BC1342" t="inlineStr">
        <is>
          <t>X</t>
        </is>
      </c>
      <c r="BD1342" t="inlineStr">
        <is>
          <t>X</t>
        </is>
      </c>
      <c r="BH1342" t="inlineStr">
        <is>
          <t>X</t>
        </is>
      </c>
      <c r="BJ1342" t="inlineStr">
        <is>
          <t>X</t>
        </is>
      </c>
      <c r="BK1342" t="inlineStr">
        <is>
          <t>X</t>
        </is>
      </c>
      <c r="BL1342" t="inlineStr">
        <is>
          <t>X</t>
        </is>
      </c>
      <c r="BS1342" t="inlineStr">
        <is>
          <t>X</t>
        </is>
      </c>
      <c r="BV1342" t="inlineStr">
        <is>
          <t>X</t>
        </is>
      </c>
      <c r="BY1342" t="inlineStr">
        <is>
          <t>D</t>
        </is>
      </c>
      <c r="CA1342" t="inlineStr">
        <is>
          <t>X</t>
        </is>
      </c>
      <c r="CC1342" t="inlineStr">
        <is>
          <t>D</t>
        </is>
      </c>
      <c r="CG1342" t="inlineStr">
        <is>
          <t>X</t>
        </is>
      </c>
      <c r="CH1342" t="inlineStr">
        <is>
          <t>D</t>
        </is>
      </c>
      <c r="CK1342" t="inlineStr">
        <is>
          <t>X</t>
        </is>
      </c>
      <c r="CL1342" t="inlineStr">
        <is>
          <t>D</t>
        </is>
      </c>
      <c r="CN1342" t="inlineStr">
        <is>
          <t>X</t>
        </is>
      </c>
      <c r="CP1342" t="inlineStr">
        <is>
          <t>X</t>
        </is>
      </c>
      <c r="CU1342" t="inlineStr">
        <is>
          <t>D</t>
        </is>
      </c>
      <c r="CW1342" t="inlineStr">
        <is>
          <t>D</t>
        </is>
      </c>
      <c r="CY1342" t="inlineStr">
        <is>
          <t>X</t>
        </is>
      </c>
      <c r="CZ1342" t="inlineStr">
        <is>
          <t>D</t>
        </is>
      </c>
      <c r="DC1342" t="inlineStr">
        <is>
          <t>X</t>
        </is>
      </c>
      <c r="DN1342" t="inlineStr">
        <is>
          <t>X</t>
        </is>
      </c>
      <c r="DS1342" t="inlineStr">
        <is>
          <t>R</t>
        </is>
      </c>
      <c r="DT1342" t="inlineStr">
        <is>
          <t>R</t>
        </is>
      </c>
      <c r="DU1342" t="inlineStr">
        <is>
          <t>X</t>
        </is>
      </c>
      <c r="EF1342" t="inlineStr">
        <is>
          <t>X</t>
        </is>
      </c>
    </row>
    <row r="1343">
      <c r="A1343" t="inlineStr">
        <is>
          <t>OH0020995722</t>
        </is>
      </c>
      <c r="B1343" t="n">
        <v>78</v>
      </c>
      <c r="C1343" t="n">
        <v>373626</v>
      </c>
      <c r="D1343" t="inlineStr">
        <is>
          <t>FARAH</t>
        </is>
      </c>
      <c r="E1343" t="inlineStr">
        <is>
          <t>LAURA</t>
        </is>
      </c>
      <c r="F1343">
        <f>CONCATENATE(D1343," ",LEFT(H1343,4),"T=",AU1343,"D=",AV1343,"R=",AW1343,"M=",AX1343,"L=",AY1343,"B=",AZ1343)</f>
        <v/>
      </c>
      <c r="G1343" t="inlineStr">
        <is>
          <t>KATHLEEN</t>
        </is>
      </c>
      <c r="I1343" t="inlineStr">
        <is>
          <t>1971-12-23</t>
        </is>
      </c>
      <c r="J1343" t="inlineStr">
        <is>
          <t>2013-05-06</t>
        </is>
      </c>
      <c r="K1343" t="inlineStr">
        <is>
          <t>CONFIRMATION</t>
        </is>
      </c>
      <c r="M1343" t="inlineStr">
        <is>
          <t>728 PORTER ST NE</t>
        </is>
      </c>
      <c r="N1343">
        <f>RIGHT(M1343,LEN(M1343)-FIND(" ",M1343))</f>
        <v/>
      </c>
      <c r="P1343" t="inlineStr">
        <is>
          <t>WARREN</t>
        </is>
      </c>
      <c r="Q1343" t="inlineStr">
        <is>
          <t>OH</t>
        </is>
      </c>
      <c r="R1343" t="n">
        <v>44483</v>
      </c>
      <c r="AD1343" t="inlineStr">
        <is>
          <t>TRUMBULL CAREER &amp; TECH CENTER</t>
        </is>
      </c>
      <c r="AE1343" t="inlineStr">
        <is>
          <t>WARREN CITY</t>
        </is>
      </c>
      <c r="AF1343" t="inlineStr">
        <is>
          <t>WARREN CITY SD</t>
        </is>
      </c>
      <c r="AH1343" t="n">
        <v>14</v>
      </c>
      <c r="AI1343" t="n">
        <v>11</v>
      </c>
      <c r="AN1343" t="inlineStr">
        <is>
          <t>WARREN</t>
        </is>
      </c>
      <c r="AO1343" t="inlineStr">
        <is>
          <t>WARREN CITY 4D</t>
        </is>
      </c>
      <c r="AP1343" t="inlineStr">
        <is>
          <t>78-P-ADL</t>
        </is>
      </c>
      <c r="AQ1343" t="n">
        <v>9</v>
      </c>
      <c r="AR1343" t="n">
        <v>64</v>
      </c>
      <c r="AS1343" t="n">
        <v>32</v>
      </c>
      <c r="AU1343">
        <f>COUNTA($BA$1343:$EH$1343)</f>
        <v/>
      </c>
      <c r="AV1343">
        <f>COUNTIF($BA$1343:$EH$1343,"D")</f>
        <v/>
      </c>
      <c r="AW1343">
        <f>COUNTIF($BA$1343:$EH$1343,"R")</f>
        <v/>
      </c>
      <c r="AX1343">
        <f>IF(BN1343="D",1,0)+IF(BO1343="D",1,0)+IF(BT1343="D",1,0)+IF(BU1343="D",1,0)+IF(BW1343="D",1,0)+IF(CC1343="D",1,0)+IF(CD1343="D",1,0)+IF(CE1343="D",1,0)+IF(CF1343="D",1,0)+IF(CL1343="D",1,0)+IF(CM1343="D",1,0)+IF(CQ1343="D",1,0)+IF(CR1343="D",1,0)+IF(CS1343="D",1,0)+IF(CW1343="D",1,0)+IF(CX1343="D",1,0)+IF(DD1343="D",1,0)+IF(DE1343="D",1,0)+IF(DJ1343="D",1,0)+IF(DK1343="D",1,0)+IF(DO1343="D",1,0)+IF(DP1343="D",1,0)+IF(DQ1343="D",1,0)+IF(DW1343="D",1,0)+IF(DZ1343="D",1,0)+IF(EH1343="D",1,0)</f>
        <v/>
      </c>
      <c r="AY1343">
        <f>IF(DJ1343&lt;&gt;"",1,0)+IF(DK1343&lt;&gt;"",1,0)+IF(DM1343&lt;&gt;"",1,0)+IF(DO1343&lt;&gt;"",1,0)+IF(DP1343&lt;&gt;"",1,0)+IF(DQ1343&lt;&gt;"",1,0)+IF(DS1343&lt;&gt;"",1,0)+IF(DT1343&lt;&gt;"",1,0)+IF(DV1343&lt;&gt;"",1,0)+IF(DW1343&lt;&gt;"",1,0)+IF(DX1343&lt;&gt;"",1,0)+IF(DY1343&lt;&gt;"",1,0)+IF(DZ1343&lt;&gt;"",1,0)+IF(EB1343&lt;&gt;"",1,0)+IF(EC1343&lt;&gt;"",1,0)+IF(ED1343&lt;&gt;"",1,0)+IF(EG1343&lt;&gt;"",1,0)+IF(EH1343&lt;&gt;"",1,0)</f>
        <v/>
      </c>
      <c r="AZ1343">
        <f>IF(EH1343&lt;&gt;"",1,0)</f>
        <v/>
      </c>
      <c r="BB1343" t="inlineStr">
        <is>
          <t>WARREN-WARD 4</t>
        </is>
      </c>
      <c r="CP1343" t="inlineStr">
        <is>
          <t>X</t>
        </is>
      </c>
      <c r="DC1343" t="inlineStr">
        <is>
          <t>X</t>
        </is>
      </c>
      <c r="DN1343" t="inlineStr">
        <is>
          <t>X</t>
        </is>
      </c>
    </row>
    <row r="1344">
      <c r="A1344" t="inlineStr">
        <is>
          <t>OH0025640767</t>
        </is>
      </c>
      <c r="B1344" t="n">
        <v>78</v>
      </c>
      <c r="C1344" t="n">
        <v>447612</v>
      </c>
      <c r="D1344" t="inlineStr">
        <is>
          <t>KNIGHT</t>
        </is>
      </c>
      <c r="E1344" t="inlineStr">
        <is>
          <t>AZADIUS</t>
        </is>
      </c>
      <c r="F1344">
        <f>CONCATENATE(D1344," ",LEFT(H1344,4),"T=",AU1344,"D=",AV1344,"R=",AW1344,"M=",AX1344,"L=",AY1344,"B=",AZ1344)</f>
        <v/>
      </c>
      <c r="G1344" t="inlineStr">
        <is>
          <t>REUEL</t>
        </is>
      </c>
      <c r="I1344" t="inlineStr">
        <is>
          <t>2000-12-23</t>
        </is>
      </c>
      <c r="J1344" t="inlineStr">
        <is>
          <t>2024-08-21</t>
        </is>
      </c>
      <c r="K1344" t="inlineStr">
        <is>
          <t>ACTIVE</t>
        </is>
      </c>
      <c r="M1344" t="inlineStr">
        <is>
          <t>445 OLIVE AVE NE</t>
        </is>
      </c>
      <c r="N1344">
        <f>RIGHT(M1344,LEN(M1344)-FIND(" ",M1344))</f>
        <v/>
      </c>
      <c r="P1344" t="inlineStr">
        <is>
          <t>WARREN</t>
        </is>
      </c>
      <c r="Q1344" t="inlineStr">
        <is>
          <t>OH</t>
        </is>
      </c>
      <c r="R1344" t="n">
        <v>44483</v>
      </c>
      <c r="AD1344" t="inlineStr">
        <is>
          <t>TRUMBULL CAREER &amp; TECH CENTER</t>
        </is>
      </c>
      <c r="AE1344" t="inlineStr">
        <is>
          <t>WARREN CITY</t>
        </is>
      </c>
      <c r="AF1344" t="inlineStr">
        <is>
          <t>WARREN CITY SD</t>
        </is>
      </c>
      <c r="AH1344" t="n">
        <v>14</v>
      </c>
      <c r="AI1344" t="n">
        <v>11</v>
      </c>
      <c r="AN1344" t="inlineStr">
        <is>
          <t>WARREN</t>
        </is>
      </c>
      <c r="AO1344" t="inlineStr">
        <is>
          <t>WARREN CITY 4D</t>
        </is>
      </c>
      <c r="AP1344" t="inlineStr">
        <is>
          <t>78-P-ADL</t>
        </is>
      </c>
      <c r="AQ1344" t="n">
        <v>9</v>
      </c>
      <c r="AR1344" t="n">
        <v>64</v>
      </c>
      <c r="AS1344" t="n">
        <v>32</v>
      </c>
      <c r="AU1344">
        <f>COUNTA($BA$1344:$EH$1344)</f>
        <v/>
      </c>
      <c r="AV1344">
        <f>COUNTIF($BA$1344:$EH$1344,"D")</f>
        <v/>
      </c>
      <c r="AW1344">
        <f>COUNTIF($BA$1344:$EH$1344,"R")</f>
        <v/>
      </c>
      <c r="AX1344">
        <f>IF(BN1344="D",1,0)+IF(BO1344="D",1,0)+IF(BT1344="D",1,0)+IF(BU1344="D",1,0)+IF(BW1344="D",1,0)+IF(CC1344="D",1,0)+IF(CD1344="D",1,0)+IF(CE1344="D",1,0)+IF(CF1344="D",1,0)+IF(CL1344="D",1,0)+IF(CM1344="D",1,0)+IF(CQ1344="D",1,0)+IF(CR1344="D",1,0)+IF(CS1344="D",1,0)+IF(CW1344="D",1,0)+IF(CX1344="D",1,0)+IF(DD1344="D",1,0)+IF(DE1344="D",1,0)+IF(DJ1344="D",1,0)+IF(DK1344="D",1,0)+IF(DO1344="D",1,0)+IF(DP1344="D",1,0)+IF(DQ1344="D",1,0)+IF(DW1344="D",1,0)+IF(DZ1344="D",1,0)+IF(EH1344="D",1,0)</f>
        <v/>
      </c>
      <c r="AY1344">
        <f>IF(DJ1344&lt;&gt;"",1,0)+IF(DK1344&lt;&gt;"",1,0)+IF(DM1344&lt;&gt;"",1,0)+IF(DO1344&lt;&gt;"",1,0)+IF(DP1344&lt;&gt;"",1,0)+IF(DQ1344&lt;&gt;"",1,0)+IF(DS1344&lt;&gt;"",1,0)+IF(DT1344&lt;&gt;"",1,0)+IF(DV1344&lt;&gt;"",1,0)+IF(DW1344&lt;&gt;"",1,0)+IF(DX1344&lt;&gt;"",1,0)+IF(DY1344&lt;&gt;"",1,0)+IF(DZ1344&lt;&gt;"",1,0)+IF(EB1344&lt;&gt;"",1,0)+IF(EC1344&lt;&gt;"",1,0)+IF(ED1344&lt;&gt;"",1,0)+IF(EG1344&lt;&gt;"",1,0)+IF(EH1344&lt;&gt;"",1,0)</f>
        <v/>
      </c>
      <c r="AZ1344">
        <f>IF(EH1344&lt;&gt;"",1,0)</f>
        <v/>
      </c>
      <c r="BB1344" t="inlineStr">
        <is>
          <t>WARREN-WARD 4</t>
        </is>
      </c>
    </row>
    <row r="1345">
      <c r="A1345" t="inlineStr">
        <is>
          <t>OH0021577067</t>
        </is>
      </c>
      <c r="B1345" t="n">
        <v>78</v>
      </c>
      <c r="C1345" t="n">
        <v>383167</v>
      </c>
      <c r="D1345" t="inlineStr">
        <is>
          <t>POWELL</t>
        </is>
      </c>
      <c r="E1345" t="inlineStr">
        <is>
          <t>AMY</t>
        </is>
      </c>
      <c r="F1345">
        <f>CONCATENATE(D1345," ",LEFT(H1345,4),"T=",AU1345,"D=",AV1345,"R=",AW1345,"M=",AX1345,"L=",AY1345,"B=",AZ1345)</f>
        <v/>
      </c>
      <c r="G1345" t="inlineStr">
        <is>
          <t>M</t>
        </is>
      </c>
      <c r="I1345" t="inlineStr">
        <is>
          <t>1977-10-09</t>
        </is>
      </c>
      <c r="J1345" t="inlineStr">
        <is>
          <t>2024-08-06</t>
        </is>
      </c>
      <c r="K1345" t="inlineStr">
        <is>
          <t>ACTIVE</t>
        </is>
      </c>
      <c r="M1345" t="inlineStr">
        <is>
          <t>1189 HARRISON ST NE</t>
        </is>
      </c>
      <c r="N1345">
        <f>RIGHT(M1345,LEN(M1345)-FIND(" ",M1345))</f>
        <v/>
      </c>
      <c r="P1345" t="inlineStr">
        <is>
          <t>WARREN</t>
        </is>
      </c>
      <c r="Q1345" t="inlineStr">
        <is>
          <t>OH</t>
        </is>
      </c>
      <c r="R1345" t="n">
        <v>44483</v>
      </c>
      <c r="AD1345" t="inlineStr">
        <is>
          <t>TRUMBULL CAREER &amp; TECH CENTER</t>
        </is>
      </c>
      <c r="AE1345" t="inlineStr">
        <is>
          <t>WARREN CITY</t>
        </is>
      </c>
      <c r="AF1345" t="inlineStr">
        <is>
          <t>WARREN CITY SD</t>
        </is>
      </c>
      <c r="AH1345" t="n">
        <v>14</v>
      </c>
      <c r="AI1345" t="n">
        <v>11</v>
      </c>
      <c r="AN1345" t="inlineStr">
        <is>
          <t>WARREN</t>
        </is>
      </c>
      <c r="AO1345" t="inlineStr">
        <is>
          <t>WARREN CITY 4D</t>
        </is>
      </c>
      <c r="AP1345" t="inlineStr">
        <is>
          <t>78-P-ADL</t>
        </is>
      </c>
      <c r="AQ1345" t="n">
        <v>9</v>
      </c>
      <c r="AR1345" t="n">
        <v>64</v>
      </c>
      <c r="AS1345" t="n">
        <v>32</v>
      </c>
      <c r="AU1345">
        <f>COUNTA($BA$1345:$EH$1345)</f>
        <v/>
      </c>
      <c r="AV1345">
        <f>COUNTIF($BA$1345:$EH$1345,"D")</f>
        <v/>
      </c>
      <c r="AW1345">
        <f>COUNTIF($BA$1345:$EH$1345,"R")</f>
        <v/>
      </c>
      <c r="AX1345">
        <f>IF(BN1345="D",1,0)+IF(BO1345="D",1,0)+IF(BT1345="D",1,0)+IF(BU1345="D",1,0)+IF(BW1345="D",1,0)+IF(CC1345="D",1,0)+IF(CD1345="D",1,0)+IF(CE1345="D",1,0)+IF(CF1345="D",1,0)+IF(CL1345="D",1,0)+IF(CM1345="D",1,0)+IF(CQ1345="D",1,0)+IF(CR1345="D",1,0)+IF(CS1345="D",1,0)+IF(CW1345="D",1,0)+IF(CX1345="D",1,0)+IF(DD1345="D",1,0)+IF(DE1345="D",1,0)+IF(DJ1345="D",1,0)+IF(DK1345="D",1,0)+IF(DO1345="D",1,0)+IF(DP1345="D",1,0)+IF(DQ1345="D",1,0)+IF(DW1345="D",1,0)+IF(DZ1345="D",1,0)+IF(EH1345="D",1,0)</f>
        <v/>
      </c>
      <c r="AY1345">
        <f>IF(DJ1345&lt;&gt;"",1,0)+IF(DK1345&lt;&gt;"",1,0)+IF(DM1345&lt;&gt;"",1,0)+IF(DO1345&lt;&gt;"",1,0)+IF(DP1345&lt;&gt;"",1,0)+IF(DQ1345&lt;&gt;"",1,0)+IF(DS1345&lt;&gt;"",1,0)+IF(DT1345&lt;&gt;"",1,0)+IF(DV1345&lt;&gt;"",1,0)+IF(DW1345&lt;&gt;"",1,0)+IF(DX1345&lt;&gt;"",1,0)+IF(DY1345&lt;&gt;"",1,0)+IF(DZ1345&lt;&gt;"",1,0)+IF(EB1345&lt;&gt;"",1,0)+IF(EC1345&lt;&gt;"",1,0)+IF(ED1345&lt;&gt;"",1,0)+IF(EG1345&lt;&gt;"",1,0)+IF(EH1345&lt;&gt;"",1,0)</f>
        <v/>
      </c>
      <c r="AZ1345">
        <f>IF(EH1345&lt;&gt;"",1,0)</f>
        <v/>
      </c>
      <c r="BB1345" t="inlineStr">
        <is>
          <t>WARREN-WARD 4</t>
        </is>
      </c>
    </row>
    <row r="1346">
      <c r="A1346" t="inlineStr">
        <is>
          <t>OH0015756411</t>
        </is>
      </c>
      <c r="B1346" t="n">
        <v>78</v>
      </c>
      <c r="C1346" t="n">
        <v>286906</v>
      </c>
      <c r="D1346" t="inlineStr">
        <is>
          <t>MALLAS</t>
        </is>
      </c>
      <c r="E1346" t="inlineStr">
        <is>
          <t>ANEZA</t>
        </is>
      </c>
      <c r="F1346">
        <f>CONCATENATE(D1346," ",LEFT(H1346,4),"T=",AU1346,"D=",AV1346,"R=",AW1346,"M=",AX1346,"L=",AY1346,"B=",AZ1346)</f>
        <v/>
      </c>
      <c r="I1346" t="inlineStr">
        <is>
          <t>1957-10-18</t>
        </is>
      </c>
      <c r="J1346" t="inlineStr">
        <is>
          <t>1999-02-17</t>
        </is>
      </c>
      <c r="K1346" t="inlineStr">
        <is>
          <t>CONFIRMATION</t>
        </is>
      </c>
      <c r="M1346" t="inlineStr">
        <is>
          <t>419 LAIRD AVE NE</t>
        </is>
      </c>
      <c r="N1346">
        <f>RIGHT(M1346,LEN(M1346)-FIND(" ",M1346))</f>
        <v/>
      </c>
      <c r="P1346" t="inlineStr">
        <is>
          <t>WARREN</t>
        </is>
      </c>
      <c r="Q1346" t="inlineStr">
        <is>
          <t>OH</t>
        </is>
      </c>
      <c r="R1346" t="n">
        <v>44483</v>
      </c>
      <c r="AD1346" t="inlineStr">
        <is>
          <t>TRUMBULL CAREER &amp; TECH CENTER</t>
        </is>
      </c>
      <c r="AE1346" t="inlineStr">
        <is>
          <t>WARREN CITY</t>
        </is>
      </c>
      <c r="AF1346" t="inlineStr">
        <is>
          <t>WARREN CITY SD</t>
        </is>
      </c>
      <c r="AH1346" t="n">
        <v>14</v>
      </c>
      <c r="AI1346" t="n">
        <v>11</v>
      </c>
      <c r="AN1346" t="inlineStr">
        <is>
          <t>WARREN</t>
        </is>
      </c>
      <c r="AO1346" t="inlineStr">
        <is>
          <t>WARREN CITY 4D</t>
        </is>
      </c>
      <c r="AP1346" t="inlineStr">
        <is>
          <t>78-P-ADL</t>
        </is>
      </c>
      <c r="AQ1346" t="n">
        <v>9</v>
      </c>
      <c r="AR1346" t="n">
        <v>64</v>
      </c>
      <c r="AS1346" t="n">
        <v>32</v>
      </c>
      <c r="AU1346">
        <f>COUNTA($BA$1346:$EH$1346)</f>
        <v/>
      </c>
      <c r="AV1346">
        <f>COUNTIF($BA$1346:$EH$1346,"D")</f>
        <v/>
      </c>
      <c r="AW1346">
        <f>COUNTIF($BA$1346:$EH$1346,"R")</f>
        <v/>
      </c>
      <c r="AX1346">
        <f>IF(BN1346="D",1,0)+IF(BO1346="D",1,0)+IF(BT1346="D",1,0)+IF(BU1346="D",1,0)+IF(BW1346="D",1,0)+IF(CC1346="D",1,0)+IF(CD1346="D",1,0)+IF(CE1346="D",1,0)+IF(CF1346="D",1,0)+IF(CL1346="D",1,0)+IF(CM1346="D",1,0)+IF(CQ1346="D",1,0)+IF(CR1346="D",1,0)+IF(CS1346="D",1,0)+IF(CW1346="D",1,0)+IF(CX1346="D",1,0)+IF(DD1346="D",1,0)+IF(DE1346="D",1,0)+IF(DJ1346="D",1,0)+IF(DK1346="D",1,0)+IF(DO1346="D",1,0)+IF(DP1346="D",1,0)+IF(DQ1346="D",1,0)+IF(DW1346="D",1,0)+IF(DZ1346="D",1,0)+IF(EH1346="D",1,0)</f>
        <v/>
      </c>
      <c r="AY1346">
        <f>IF(DJ1346&lt;&gt;"",1,0)+IF(DK1346&lt;&gt;"",1,0)+IF(DM1346&lt;&gt;"",1,0)+IF(DO1346&lt;&gt;"",1,0)+IF(DP1346&lt;&gt;"",1,0)+IF(DQ1346&lt;&gt;"",1,0)+IF(DS1346&lt;&gt;"",1,0)+IF(DT1346&lt;&gt;"",1,0)+IF(DV1346&lt;&gt;"",1,0)+IF(DW1346&lt;&gt;"",1,0)+IF(DX1346&lt;&gt;"",1,0)+IF(DY1346&lt;&gt;"",1,0)+IF(DZ1346&lt;&gt;"",1,0)+IF(EB1346&lt;&gt;"",1,0)+IF(EC1346&lt;&gt;"",1,0)+IF(ED1346&lt;&gt;"",1,0)+IF(EG1346&lt;&gt;"",1,0)+IF(EH1346&lt;&gt;"",1,0)</f>
        <v/>
      </c>
      <c r="AZ1346">
        <f>IF(EH1346&lt;&gt;"",1,0)</f>
        <v/>
      </c>
      <c r="BB1346" t="inlineStr">
        <is>
          <t>WARREN-WARD 4</t>
        </is>
      </c>
      <c r="BC1346" t="inlineStr">
        <is>
          <t>X</t>
        </is>
      </c>
      <c r="BD1346" t="inlineStr">
        <is>
          <t>X</t>
        </is>
      </c>
      <c r="BI1346" t="inlineStr">
        <is>
          <t>X</t>
        </is>
      </c>
      <c r="BL1346" t="inlineStr">
        <is>
          <t>X</t>
        </is>
      </c>
      <c r="BY1346" t="inlineStr">
        <is>
          <t>D</t>
        </is>
      </c>
      <c r="CA1346" t="inlineStr">
        <is>
          <t>X</t>
        </is>
      </c>
      <c r="CK1346" t="inlineStr">
        <is>
          <t>X</t>
        </is>
      </c>
      <c r="CL1346" t="inlineStr">
        <is>
          <t>D</t>
        </is>
      </c>
      <c r="CP1346" t="inlineStr">
        <is>
          <t>X</t>
        </is>
      </c>
      <c r="CQ1346" t="inlineStr">
        <is>
          <t>D</t>
        </is>
      </c>
      <c r="CY1346" t="inlineStr">
        <is>
          <t>X</t>
        </is>
      </c>
      <c r="DC1346" t="inlineStr">
        <is>
          <t>X</t>
        </is>
      </c>
      <c r="DI1346" t="inlineStr">
        <is>
          <t>X</t>
        </is>
      </c>
      <c r="DN1346" t="inlineStr">
        <is>
          <t>X</t>
        </is>
      </c>
    </row>
    <row r="1347">
      <c r="A1347" t="inlineStr">
        <is>
          <t>OH0026905246</t>
        </is>
      </c>
      <c r="B1347" t="n">
        <v>78</v>
      </c>
      <c r="C1347" t="n">
        <v>473919</v>
      </c>
      <c r="D1347" t="inlineStr">
        <is>
          <t>CRAMER</t>
        </is>
      </c>
      <c r="E1347" t="inlineStr">
        <is>
          <t>JOHN</t>
        </is>
      </c>
      <c r="F1347">
        <f>CONCATENATE(D1347," ",LEFT(H1347,4),"T=",AU1347,"D=",AV1347,"R=",AW1347,"M=",AX1347,"L=",AY1347,"B=",AZ1347)</f>
        <v/>
      </c>
      <c r="G1347" t="inlineStr">
        <is>
          <t>W</t>
        </is>
      </c>
      <c r="I1347" t="inlineStr">
        <is>
          <t>1980-07-31</t>
        </is>
      </c>
      <c r="J1347" t="inlineStr">
        <is>
          <t>2024-08-08</t>
        </is>
      </c>
      <c r="K1347" t="inlineStr">
        <is>
          <t>ACTIVE</t>
        </is>
      </c>
      <c r="M1347" t="inlineStr">
        <is>
          <t>738 OLIVE AVE NE</t>
        </is>
      </c>
      <c r="N1347">
        <f>RIGHT(M1347,LEN(M1347)-FIND(" ",M1347))</f>
        <v/>
      </c>
      <c r="O1347" t="inlineStr">
        <is>
          <t>APT B</t>
        </is>
      </c>
      <c r="P1347" t="inlineStr">
        <is>
          <t>WARREN</t>
        </is>
      </c>
      <c r="Q1347" t="inlineStr">
        <is>
          <t>OH</t>
        </is>
      </c>
      <c r="R1347" t="n">
        <v>44483</v>
      </c>
      <c r="AD1347" t="inlineStr">
        <is>
          <t>TRUMBULL CAREER &amp; TECH CENTER</t>
        </is>
      </c>
      <c r="AE1347" t="inlineStr">
        <is>
          <t>WARREN CITY</t>
        </is>
      </c>
      <c r="AF1347" t="inlineStr">
        <is>
          <t>WARREN CITY SD</t>
        </is>
      </c>
      <c r="AH1347" t="n">
        <v>14</v>
      </c>
      <c r="AI1347" t="n">
        <v>11</v>
      </c>
      <c r="AN1347" t="inlineStr">
        <is>
          <t>WARREN</t>
        </is>
      </c>
      <c r="AO1347" t="inlineStr">
        <is>
          <t>WARREN CITY 4D</t>
        </is>
      </c>
      <c r="AP1347" t="inlineStr">
        <is>
          <t>78-P-ADL</t>
        </is>
      </c>
      <c r="AQ1347" t="n">
        <v>9</v>
      </c>
      <c r="AR1347" t="n">
        <v>64</v>
      </c>
      <c r="AS1347" t="n">
        <v>32</v>
      </c>
      <c r="AU1347">
        <f>COUNTA($BA$1347:$EH$1347)</f>
        <v/>
      </c>
      <c r="AV1347">
        <f>COUNTIF($BA$1347:$EH$1347,"D")</f>
        <v/>
      </c>
      <c r="AW1347">
        <f>COUNTIF($BA$1347:$EH$1347,"R")</f>
        <v/>
      </c>
      <c r="AX1347">
        <f>IF(BN1347="D",1,0)+IF(BO1347="D",1,0)+IF(BT1347="D",1,0)+IF(BU1347="D",1,0)+IF(BW1347="D",1,0)+IF(CC1347="D",1,0)+IF(CD1347="D",1,0)+IF(CE1347="D",1,0)+IF(CF1347="D",1,0)+IF(CL1347="D",1,0)+IF(CM1347="D",1,0)+IF(CQ1347="D",1,0)+IF(CR1347="D",1,0)+IF(CS1347="D",1,0)+IF(CW1347="D",1,0)+IF(CX1347="D",1,0)+IF(DD1347="D",1,0)+IF(DE1347="D",1,0)+IF(DJ1347="D",1,0)+IF(DK1347="D",1,0)+IF(DO1347="D",1,0)+IF(DP1347="D",1,0)+IF(DQ1347="D",1,0)+IF(DW1347="D",1,0)+IF(DZ1347="D",1,0)+IF(EH1347="D",1,0)</f>
        <v/>
      </c>
      <c r="AY1347">
        <f>IF(DJ1347&lt;&gt;"",1,0)+IF(DK1347&lt;&gt;"",1,0)+IF(DM1347&lt;&gt;"",1,0)+IF(DO1347&lt;&gt;"",1,0)+IF(DP1347&lt;&gt;"",1,0)+IF(DQ1347&lt;&gt;"",1,0)+IF(DS1347&lt;&gt;"",1,0)+IF(DT1347&lt;&gt;"",1,0)+IF(DV1347&lt;&gt;"",1,0)+IF(DW1347&lt;&gt;"",1,0)+IF(DX1347&lt;&gt;"",1,0)+IF(DY1347&lt;&gt;"",1,0)+IF(DZ1347&lt;&gt;"",1,0)+IF(EB1347&lt;&gt;"",1,0)+IF(EC1347&lt;&gt;"",1,0)+IF(ED1347&lt;&gt;"",1,0)+IF(EG1347&lt;&gt;"",1,0)+IF(EH1347&lt;&gt;"",1,0)</f>
        <v/>
      </c>
      <c r="AZ1347">
        <f>IF(EH1347&lt;&gt;"",1,0)</f>
        <v/>
      </c>
      <c r="BB1347" t="inlineStr">
        <is>
          <t>WARREN-WARD 4</t>
        </is>
      </c>
      <c r="BY1347" t="inlineStr">
        <is>
          <t>D</t>
        </is>
      </c>
    </row>
    <row r="1348">
      <c r="A1348" t="inlineStr">
        <is>
          <t>OH0024543864</t>
        </is>
      </c>
      <c r="B1348" t="n">
        <v>78</v>
      </c>
      <c r="C1348" t="n">
        <v>430140</v>
      </c>
      <c r="D1348" t="inlineStr">
        <is>
          <t>DENNO</t>
        </is>
      </c>
      <c r="E1348" t="inlineStr">
        <is>
          <t>JADE</t>
        </is>
      </c>
      <c r="F1348">
        <f>CONCATENATE(D1348," ",LEFT(H1348,4),"T=",AU1348,"D=",AV1348,"R=",AW1348,"M=",AX1348,"L=",AY1348,"B=",AZ1348)</f>
        <v/>
      </c>
      <c r="G1348" t="inlineStr">
        <is>
          <t>M</t>
        </is>
      </c>
      <c r="I1348" t="inlineStr">
        <is>
          <t>2000-09-25</t>
        </is>
      </c>
      <c r="J1348" t="inlineStr">
        <is>
          <t>2024-11-05</t>
        </is>
      </c>
      <c r="K1348" t="inlineStr">
        <is>
          <t>ACTIVE</t>
        </is>
      </c>
      <c r="M1348" t="inlineStr">
        <is>
          <t>719 PORTER ST NE</t>
        </is>
      </c>
      <c r="N1348">
        <f>RIGHT(M1348,LEN(M1348)-FIND(" ",M1348))</f>
        <v/>
      </c>
      <c r="P1348" t="inlineStr">
        <is>
          <t>WARREN</t>
        </is>
      </c>
      <c r="Q1348" t="inlineStr">
        <is>
          <t>OH</t>
        </is>
      </c>
      <c r="R1348" t="n">
        <v>44483</v>
      </c>
      <c r="AD1348" t="inlineStr">
        <is>
          <t>TRUMBULL CAREER &amp; TECH CENTER</t>
        </is>
      </c>
      <c r="AE1348" t="inlineStr">
        <is>
          <t>WARREN CITY</t>
        </is>
      </c>
      <c r="AF1348" t="inlineStr">
        <is>
          <t>WARREN CITY SD</t>
        </is>
      </c>
      <c r="AH1348" t="n">
        <v>14</v>
      </c>
      <c r="AI1348" t="n">
        <v>11</v>
      </c>
      <c r="AN1348" t="inlineStr">
        <is>
          <t>WARREN</t>
        </is>
      </c>
      <c r="AO1348" t="inlineStr">
        <is>
          <t>WARREN CITY 4D</t>
        </is>
      </c>
      <c r="AP1348" t="inlineStr">
        <is>
          <t>78-P-ADL</t>
        </is>
      </c>
      <c r="AQ1348" t="n">
        <v>9</v>
      </c>
      <c r="AR1348" t="n">
        <v>64</v>
      </c>
      <c r="AS1348" t="n">
        <v>32</v>
      </c>
      <c r="AU1348">
        <f>COUNTA($BA$1348:$EH$1348)</f>
        <v/>
      </c>
      <c r="AV1348">
        <f>COUNTIF($BA$1348:$EH$1348,"D")</f>
        <v/>
      </c>
      <c r="AW1348">
        <f>COUNTIF($BA$1348:$EH$1348,"R")</f>
        <v/>
      </c>
      <c r="AX1348">
        <f>IF(BN1348="D",1,0)+IF(BO1348="D",1,0)+IF(BT1348="D",1,0)+IF(BU1348="D",1,0)+IF(BW1348="D",1,0)+IF(CC1348="D",1,0)+IF(CD1348="D",1,0)+IF(CE1348="D",1,0)+IF(CF1348="D",1,0)+IF(CL1348="D",1,0)+IF(CM1348="D",1,0)+IF(CQ1348="D",1,0)+IF(CR1348="D",1,0)+IF(CS1348="D",1,0)+IF(CW1348="D",1,0)+IF(CX1348="D",1,0)+IF(DD1348="D",1,0)+IF(DE1348="D",1,0)+IF(DJ1348="D",1,0)+IF(DK1348="D",1,0)+IF(DO1348="D",1,0)+IF(DP1348="D",1,0)+IF(DQ1348="D",1,0)+IF(DW1348="D",1,0)+IF(DZ1348="D",1,0)+IF(EH1348="D",1,0)</f>
        <v/>
      </c>
      <c r="AY1348">
        <f>IF(DJ1348&lt;&gt;"",1,0)+IF(DK1348&lt;&gt;"",1,0)+IF(DM1348&lt;&gt;"",1,0)+IF(DO1348&lt;&gt;"",1,0)+IF(DP1348&lt;&gt;"",1,0)+IF(DQ1348&lt;&gt;"",1,0)+IF(DS1348&lt;&gt;"",1,0)+IF(DT1348&lt;&gt;"",1,0)+IF(DV1348&lt;&gt;"",1,0)+IF(DW1348&lt;&gt;"",1,0)+IF(DX1348&lt;&gt;"",1,0)+IF(DY1348&lt;&gt;"",1,0)+IF(DZ1348&lt;&gt;"",1,0)+IF(EB1348&lt;&gt;"",1,0)+IF(EC1348&lt;&gt;"",1,0)+IF(ED1348&lt;&gt;"",1,0)+IF(EG1348&lt;&gt;"",1,0)+IF(EH1348&lt;&gt;"",1,0)</f>
        <v/>
      </c>
      <c r="AZ1348">
        <f>IF(EH1348&lt;&gt;"",1,0)</f>
        <v/>
      </c>
      <c r="BB1348" t="inlineStr">
        <is>
          <t>WARREN-WARD 4</t>
        </is>
      </c>
      <c r="DI1348" t="inlineStr">
        <is>
          <t>X</t>
        </is>
      </c>
      <c r="DX1348" t="inlineStr">
        <is>
          <t>X</t>
        </is>
      </c>
      <c r="EA1348" t="inlineStr">
        <is>
          <t>X</t>
        </is>
      </c>
      <c r="EF1348" t="inlineStr">
        <is>
          <t>X</t>
        </is>
      </c>
    </row>
    <row r="1349">
      <c r="A1349" t="inlineStr">
        <is>
          <t>OH0021362838</t>
        </is>
      </c>
      <c r="B1349" t="n">
        <v>78</v>
      </c>
      <c r="C1349" t="n">
        <v>379997</v>
      </c>
      <c r="D1349" t="inlineStr">
        <is>
          <t>PHIPPS</t>
        </is>
      </c>
      <c r="E1349" t="inlineStr">
        <is>
          <t>MEGAN</t>
        </is>
      </c>
      <c r="F1349">
        <f>CONCATENATE(D1349," ",LEFT(H1349,4),"T=",AU1349,"D=",AV1349,"R=",AW1349,"M=",AX1349,"L=",AY1349,"B=",AZ1349)</f>
        <v/>
      </c>
      <c r="G1349" t="inlineStr">
        <is>
          <t>A</t>
        </is>
      </c>
      <c r="I1349" t="inlineStr">
        <is>
          <t>1993-03-27</t>
        </is>
      </c>
      <c r="J1349" t="inlineStr">
        <is>
          <t>2024-11-05</t>
        </is>
      </c>
      <c r="K1349" t="inlineStr">
        <is>
          <t>ACTIVE</t>
        </is>
      </c>
      <c r="M1349" t="inlineStr">
        <is>
          <t>1050 WOODLAND AVE NE</t>
        </is>
      </c>
      <c r="N1349">
        <f>RIGHT(M1349,LEN(M1349)-FIND(" ",M1349))</f>
        <v/>
      </c>
      <c r="P1349" t="inlineStr">
        <is>
          <t>WARREN</t>
        </is>
      </c>
      <c r="Q1349" t="inlineStr">
        <is>
          <t>OH</t>
        </is>
      </c>
      <c r="R1349" t="n">
        <v>44483</v>
      </c>
      <c r="AD1349" t="inlineStr">
        <is>
          <t>TRUMBULL CAREER &amp; TECH CENTER</t>
        </is>
      </c>
      <c r="AE1349" t="inlineStr">
        <is>
          <t>WARREN CITY</t>
        </is>
      </c>
      <c r="AF1349" t="inlineStr">
        <is>
          <t>WARREN CITY SD</t>
        </is>
      </c>
      <c r="AH1349" t="n">
        <v>14</v>
      </c>
      <c r="AI1349" t="n">
        <v>11</v>
      </c>
      <c r="AN1349" t="inlineStr">
        <is>
          <t>WARREN</t>
        </is>
      </c>
      <c r="AO1349" t="inlineStr">
        <is>
          <t>WARREN CITY 4D</t>
        </is>
      </c>
      <c r="AP1349" t="inlineStr">
        <is>
          <t>78-P-ADL</t>
        </is>
      </c>
      <c r="AQ1349" t="n">
        <v>9</v>
      </c>
      <c r="AR1349" t="n">
        <v>64</v>
      </c>
      <c r="AS1349" t="n">
        <v>32</v>
      </c>
      <c r="AU1349">
        <f>COUNTA($BA$1349:$EH$1349)</f>
        <v/>
      </c>
      <c r="AV1349">
        <f>COUNTIF($BA$1349:$EH$1349,"D")</f>
        <v/>
      </c>
      <c r="AW1349">
        <f>COUNTIF($BA$1349:$EH$1349,"R")</f>
        <v/>
      </c>
      <c r="AX1349">
        <f>IF(BN1349="D",1,0)+IF(BO1349="D",1,0)+IF(BT1349="D",1,0)+IF(BU1349="D",1,0)+IF(BW1349="D",1,0)+IF(CC1349="D",1,0)+IF(CD1349="D",1,0)+IF(CE1349="D",1,0)+IF(CF1349="D",1,0)+IF(CL1349="D",1,0)+IF(CM1349="D",1,0)+IF(CQ1349="D",1,0)+IF(CR1349="D",1,0)+IF(CS1349="D",1,0)+IF(CW1349="D",1,0)+IF(CX1349="D",1,0)+IF(DD1349="D",1,0)+IF(DE1349="D",1,0)+IF(DJ1349="D",1,0)+IF(DK1349="D",1,0)+IF(DO1349="D",1,0)+IF(DP1349="D",1,0)+IF(DQ1349="D",1,0)+IF(DW1349="D",1,0)+IF(DZ1349="D",1,0)+IF(EH1349="D",1,0)</f>
        <v/>
      </c>
      <c r="AY1349">
        <f>IF(DJ1349&lt;&gt;"",1,0)+IF(DK1349&lt;&gt;"",1,0)+IF(DM1349&lt;&gt;"",1,0)+IF(DO1349&lt;&gt;"",1,0)+IF(DP1349&lt;&gt;"",1,0)+IF(DQ1349&lt;&gt;"",1,0)+IF(DS1349&lt;&gt;"",1,0)+IF(DT1349&lt;&gt;"",1,0)+IF(DV1349&lt;&gt;"",1,0)+IF(DW1349&lt;&gt;"",1,0)+IF(DX1349&lt;&gt;"",1,0)+IF(DY1349&lt;&gt;"",1,0)+IF(DZ1349&lt;&gt;"",1,0)+IF(EB1349&lt;&gt;"",1,0)+IF(EC1349&lt;&gt;"",1,0)+IF(ED1349&lt;&gt;"",1,0)+IF(EG1349&lt;&gt;"",1,0)+IF(EH1349&lt;&gt;"",1,0)</f>
        <v/>
      </c>
      <c r="AZ1349">
        <f>IF(EH1349&lt;&gt;"",1,0)</f>
        <v/>
      </c>
      <c r="BB1349" t="inlineStr">
        <is>
          <t>WARREN-WARD 4</t>
        </is>
      </c>
      <c r="CL1349" t="inlineStr">
        <is>
          <t>X</t>
        </is>
      </c>
      <c r="CN1349" t="inlineStr">
        <is>
          <t>X</t>
        </is>
      </c>
      <c r="CP1349" t="inlineStr">
        <is>
          <t>X</t>
        </is>
      </c>
      <c r="CY1349" t="inlineStr">
        <is>
          <t>X</t>
        </is>
      </c>
      <c r="DC1349" t="inlineStr">
        <is>
          <t>X</t>
        </is>
      </c>
      <c r="EF1349" t="inlineStr">
        <is>
          <t>X</t>
        </is>
      </c>
    </row>
    <row r="1350">
      <c r="A1350" t="inlineStr">
        <is>
          <t>OH0023016301</t>
        </is>
      </c>
      <c r="B1350" t="n">
        <v>78</v>
      </c>
      <c r="C1350" t="n">
        <v>405247</v>
      </c>
      <c r="D1350" t="inlineStr">
        <is>
          <t>LYNN</t>
        </is>
      </c>
      <c r="E1350" t="inlineStr">
        <is>
          <t>MOLLY</t>
        </is>
      </c>
      <c r="F1350">
        <f>CONCATENATE(D1350," ",LEFT(H1350,4),"T=",AU1350,"D=",AV1350,"R=",AW1350,"M=",AX1350,"L=",AY1350,"B=",AZ1350)</f>
        <v/>
      </c>
      <c r="G1350" t="inlineStr">
        <is>
          <t>M</t>
        </is>
      </c>
      <c r="I1350" t="inlineStr">
        <is>
          <t>1981-10-15</t>
        </is>
      </c>
      <c r="J1350" t="inlineStr">
        <is>
          <t>2023-01-24</t>
        </is>
      </c>
      <c r="K1350" t="inlineStr">
        <is>
          <t>ACTIVE</t>
        </is>
      </c>
      <c r="M1350" t="inlineStr">
        <is>
          <t>286 LOWELL AVE NE</t>
        </is>
      </c>
      <c r="N1350">
        <f>RIGHT(M1350,LEN(M1350)-FIND(" ",M1350))</f>
        <v/>
      </c>
      <c r="P1350" t="inlineStr">
        <is>
          <t>WARREN</t>
        </is>
      </c>
      <c r="Q1350" t="inlineStr">
        <is>
          <t>OH</t>
        </is>
      </c>
      <c r="R1350" t="n">
        <v>44483</v>
      </c>
      <c r="AD1350" t="inlineStr">
        <is>
          <t>TRUMBULL CAREER &amp; TECH CENTER</t>
        </is>
      </c>
      <c r="AE1350" t="inlineStr">
        <is>
          <t>WARREN CITY</t>
        </is>
      </c>
      <c r="AF1350" t="inlineStr">
        <is>
          <t>WARREN CITY SD</t>
        </is>
      </c>
      <c r="AH1350" t="n">
        <v>14</v>
      </c>
      <c r="AI1350" t="n">
        <v>11</v>
      </c>
      <c r="AN1350" t="inlineStr">
        <is>
          <t>WARREN</t>
        </is>
      </c>
      <c r="AO1350" t="inlineStr">
        <is>
          <t>WARREN CITY 4D</t>
        </is>
      </c>
      <c r="AP1350" t="inlineStr">
        <is>
          <t>78-P-ADL</t>
        </is>
      </c>
      <c r="AQ1350" t="n">
        <v>9</v>
      </c>
      <c r="AR1350" t="n">
        <v>64</v>
      </c>
      <c r="AS1350" t="n">
        <v>32</v>
      </c>
      <c r="AU1350">
        <f>COUNTA($BA$1350:$EH$1350)</f>
        <v/>
      </c>
      <c r="AV1350">
        <f>COUNTIF($BA$1350:$EH$1350,"D")</f>
        <v/>
      </c>
      <c r="AW1350">
        <f>COUNTIF($BA$1350:$EH$1350,"R")</f>
        <v/>
      </c>
      <c r="AX1350">
        <f>IF(BN1350="D",1,0)+IF(BO1350="D",1,0)+IF(BT1350="D",1,0)+IF(BU1350="D",1,0)+IF(BW1350="D",1,0)+IF(CC1350="D",1,0)+IF(CD1350="D",1,0)+IF(CE1350="D",1,0)+IF(CF1350="D",1,0)+IF(CL1350="D",1,0)+IF(CM1350="D",1,0)+IF(CQ1350="D",1,0)+IF(CR1350="D",1,0)+IF(CS1350="D",1,0)+IF(CW1350="D",1,0)+IF(CX1350="D",1,0)+IF(DD1350="D",1,0)+IF(DE1350="D",1,0)+IF(DJ1350="D",1,0)+IF(DK1350="D",1,0)+IF(DO1350="D",1,0)+IF(DP1350="D",1,0)+IF(DQ1350="D",1,0)+IF(DW1350="D",1,0)+IF(DZ1350="D",1,0)+IF(EH1350="D",1,0)</f>
        <v/>
      </c>
      <c r="AY1350">
        <f>IF(DJ1350&lt;&gt;"",1,0)+IF(DK1350&lt;&gt;"",1,0)+IF(DM1350&lt;&gt;"",1,0)+IF(DO1350&lt;&gt;"",1,0)+IF(DP1350&lt;&gt;"",1,0)+IF(DQ1350&lt;&gt;"",1,0)+IF(DS1350&lt;&gt;"",1,0)+IF(DT1350&lt;&gt;"",1,0)+IF(DV1350&lt;&gt;"",1,0)+IF(DW1350&lt;&gt;"",1,0)+IF(DX1350&lt;&gt;"",1,0)+IF(DY1350&lt;&gt;"",1,0)+IF(DZ1350&lt;&gt;"",1,0)+IF(EB1350&lt;&gt;"",1,0)+IF(EC1350&lt;&gt;"",1,0)+IF(ED1350&lt;&gt;"",1,0)+IF(EG1350&lt;&gt;"",1,0)+IF(EH1350&lt;&gt;"",1,0)</f>
        <v/>
      </c>
      <c r="AZ1350">
        <f>IF(EH1350&lt;&gt;"",1,0)</f>
        <v/>
      </c>
      <c r="BB1350" t="inlineStr">
        <is>
          <t>WARREN-WARD 4</t>
        </is>
      </c>
      <c r="BL1350" t="inlineStr">
        <is>
          <t>X</t>
        </is>
      </c>
      <c r="CA1350" t="inlineStr">
        <is>
          <t>X</t>
        </is>
      </c>
      <c r="CY1350" t="inlineStr">
        <is>
          <t>X</t>
        </is>
      </c>
    </row>
    <row r="1351">
      <c r="A1351" t="inlineStr">
        <is>
          <t>OH0020946876</t>
        </is>
      </c>
      <c r="B1351" t="n">
        <v>78</v>
      </c>
      <c r="C1351" t="n">
        <v>372664</v>
      </c>
      <c r="D1351" t="inlineStr">
        <is>
          <t>STREETER</t>
        </is>
      </c>
      <c r="E1351" t="inlineStr">
        <is>
          <t>DWAYNE</t>
        </is>
      </c>
      <c r="F1351">
        <f>CONCATENATE(D1351," ",LEFT(H1351,4),"T=",AU1351,"D=",AV1351,"R=",AW1351,"M=",AX1351,"L=",AY1351,"B=",AZ1351)</f>
        <v/>
      </c>
      <c r="G1351" t="inlineStr">
        <is>
          <t>B</t>
        </is>
      </c>
      <c r="I1351" t="inlineStr">
        <is>
          <t>1991-09-02</t>
        </is>
      </c>
      <c r="J1351" t="inlineStr">
        <is>
          <t>2024-08-12</t>
        </is>
      </c>
      <c r="K1351" t="inlineStr">
        <is>
          <t>ACTIVE</t>
        </is>
      </c>
      <c r="M1351" t="inlineStr">
        <is>
          <t>636 OLIVE AVE NE</t>
        </is>
      </c>
      <c r="N1351">
        <f>RIGHT(M1351,LEN(M1351)-FIND(" ",M1351))</f>
        <v/>
      </c>
      <c r="P1351" t="inlineStr">
        <is>
          <t>WARREN</t>
        </is>
      </c>
      <c r="Q1351" t="inlineStr">
        <is>
          <t>OH</t>
        </is>
      </c>
      <c r="R1351" t="n">
        <v>44483</v>
      </c>
      <c r="AD1351" t="inlineStr">
        <is>
          <t>TRUMBULL CAREER &amp; TECH CENTER</t>
        </is>
      </c>
      <c r="AE1351" t="inlineStr">
        <is>
          <t>WARREN CITY</t>
        </is>
      </c>
      <c r="AF1351" t="inlineStr">
        <is>
          <t>WARREN CITY SD</t>
        </is>
      </c>
      <c r="AH1351" t="n">
        <v>14</v>
      </c>
      <c r="AI1351" t="n">
        <v>11</v>
      </c>
      <c r="AN1351" t="inlineStr">
        <is>
          <t>WARREN</t>
        </is>
      </c>
      <c r="AO1351" t="inlineStr">
        <is>
          <t>WARREN CITY 4D</t>
        </is>
      </c>
      <c r="AP1351" t="inlineStr">
        <is>
          <t>78-P-ADL</t>
        </is>
      </c>
      <c r="AQ1351" t="n">
        <v>9</v>
      </c>
      <c r="AR1351" t="n">
        <v>64</v>
      </c>
      <c r="AS1351" t="n">
        <v>32</v>
      </c>
      <c r="AU1351">
        <f>COUNTA($BA$1351:$EH$1351)</f>
        <v/>
      </c>
      <c r="AV1351">
        <f>COUNTIF($BA$1351:$EH$1351,"D")</f>
        <v/>
      </c>
      <c r="AW1351">
        <f>COUNTIF($BA$1351:$EH$1351,"R")</f>
        <v/>
      </c>
      <c r="AX1351">
        <f>IF(BN1351="D",1,0)+IF(BO1351="D",1,0)+IF(BT1351="D",1,0)+IF(BU1351="D",1,0)+IF(BW1351="D",1,0)+IF(CC1351="D",1,0)+IF(CD1351="D",1,0)+IF(CE1351="D",1,0)+IF(CF1351="D",1,0)+IF(CL1351="D",1,0)+IF(CM1351="D",1,0)+IF(CQ1351="D",1,0)+IF(CR1351="D",1,0)+IF(CS1351="D",1,0)+IF(CW1351="D",1,0)+IF(CX1351="D",1,0)+IF(DD1351="D",1,0)+IF(DE1351="D",1,0)+IF(DJ1351="D",1,0)+IF(DK1351="D",1,0)+IF(DO1351="D",1,0)+IF(DP1351="D",1,0)+IF(DQ1351="D",1,0)+IF(DW1351="D",1,0)+IF(DZ1351="D",1,0)+IF(EH1351="D",1,0)</f>
        <v/>
      </c>
      <c r="AY1351">
        <f>IF(DJ1351&lt;&gt;"",1,0)+IF(DK1351&lt;&gt;"",1,0)+IF(DM1351&lt;&gt;"",1,0)+IF(DO1351&lt;&gt;"",1,0)+IF(DP1351&lt;&gt;"",1,0)+IF(DQ1351&lt;&gt;"",1,0)+IF(DS1351&lt;&gt;"",1,0)+IF(DT1351&lt;&gt;"",1,0)+IF(DV1351&lt;&gt;"",1,0)+IF(DW1351&lt;&gt;"",1,0)+IF(DX1351&lt;&gt;"",1,0)+IF(DY1351&lt;&gt;"",1,0)+IF(DZ1351&lt;&gt;"",1,0)+IF(EB1351&lt;&gt;"",1,0)+IF(EC1351&lt;&gt;"",1,0)+IF(ED1351&lt;&gt;"",1,0)+IF(EG1351&lt;&gt;"",1,0)+IF(EH1351&lt;&gt;"",1,0)</f>
        <v/>
      </c>
      <c r="AZ1351">
        <f>IF(EH1351&lt;&gt;"",1,0)</f>
        <v/>
      </c>
      <c r="BB1351" t="inlineStr">
        <is>
          <t>WARREN-WARD 4</t>
        </is>
      </c>
      <c r="CP1351" t="inlineStr">
        <is>
          <t>X</t>
        </is>
      </c>
    </row>
    <row r="1352">
      <c r="A1352" t="inlineStr">
        <is>
          <t>OH0024943132</t>
        </is>
      </c>
      <c r="B1352" t="n">
        <v>78</v>
      </c>
      <c r="C1352" t="n">
        <v>436663</v>
      </c>
      <c r="D1352" t="inlineStr">
        <is>
          <t>SEVY</t>
        </is>
      </c>
      <c r="E1352" t="inlineStr">
        <is>
          <t>AMBER</t>
        </is>
      </c>
      <c r="F1352">
        <f>CONCATENATE(D1352," ",LEFT(H1352,4),"T=",AU1352,"D=",AV1352,"R=",AW1352,"M=",AX1352,"L=",AY1352,"B=",AZ1352)</f>
        <v/>
      </c>
      <c r="G1352" t="inlineStr">
        <is>
          <t>RENEE</t>
        </is>
      </c>
      <c r="I1352" t="inlineStr">
        <is>
          <t>1989-09-22</t>
        </is>
      </c>
      <c r="J1352" t="inlineStr">
        <is>
          <t>2020-09-25</t>
        </is>
      </c>
      <c r="K1352" t="inlineStr">
        <is>
          <t>CONFIRMATION</t>
        </is>
      </c>
      <c r="M1352" t="inlineStr">
        <is>
          <t>200 WASHINGTON ST NE</t>
        </is>
      </c>
      <c r="N1352">
        <f>RIGHT(M1352,LEN(M1352)-FIND(" ",M1352))</f>
        <v/>
      </c>
      <c r="O1352" t="inlineStr">
        <is>
          <t>APT 21</t>
        </is>
      </c>
      <c r="P1352" t="inlineStr">
        <is>
          <t>WARREN</t>
        </is>
      </c>
      <c r="Q1352" t="inlineStr">
        <is>
          <t>OH</t>
        </is>
      </c>
      <c r="R1352" t="n">
        <v>44483</v>
      </c>
      <c r="AD1352" t="inlineStr">
        <is>
          <t>TRUMBULL CAREER &amp; TECH CENTER</t>
        </is>
      </c>
      <c r="AE1352" t="inlineStr">
        <is>
          <t>WARREN CITY</t>
        </is>
      </c>
      <c r="AF1352" t="inlineStr">
        <is>
          <t>WARREN CITY SD</t>
        </is>
      </c>
      <c r="AH1352" t="n">
        <v>14</v>
      </c>
      <c r="AI1352" t="n">
        <v>11</v>
      </c>
      <c r="AN1352" t="inlineStr">
        <is>
          <t>WARREN</t>
        </is>
      </c>
      <c r="AO1352" t="inlineStr">
        <is>
          <t>WARREN CITY 4D</t>
        </is>
      </c>
      <c r="AP1352" t="inlineStr">
        <is>
          <t>78-P-ADL</t>
        </is>
      </c>
      <c r="AQ1352" t="n">
        <v>9</v>
      </c>
      <c r="AR1352" t="n">
        <v>64</v>
      </c>
      <c r="AS1352" t="n">
        <v>32</v>
      </c>
      <c r="AU1352">
        <f>COUNTA($BA$1352:$EH$1352)</f>
        <v/>
      </c>
      <c r="AV1352">
        <f>COUNTIF($BA$1352:$EH$1352,"D")</f>
        <v/>
      </c>
      <c r="AW1352">
        <f>COUNTIF($BA$1352:$EH$1352,"R")</f>
        <v/>
      </c>
      <c r="AX1352">
        <f>IF(BN1352="D",1,0)+IF(BO1352="D",1,0)+IF(BT1352="D",1,0)+IF(BU1352="D",1,0)+IF(BW1352="D",1,0)+IF(CC1352="D",1,0)+IF(CD1352="D",1,0)+IF(CE1352="D",1,0)+IF(CF1352="D",1,0)+IF(CL1352="D",1,0)+IF(CM1352="D",1,0)+IF(CQ1352="D",1,0)+IF(CR1352="D",1,0)+IF(CS1352="D",1,0)+IF(CW1352="D",1,0)+IF(CX1352="D",1,0)+IF(DD1352="D",1,0)+IF(DE1352="D",1,0)+IF(DJ1352="D",1,0)+IF(DK1352="D",1,0)+IF(DO1352="D",1,0)+IF(DP1352="D",1,0)+IF(DQ1352="D",1,0)+IF(DW1352="D",1,0)+IF(DZ1352="D",1,0)+IF(EH1352="D",1,0)</f>
        <v/>
      </c>
      <c r="AY1352">
        <f>IF(DJ1352&lt;&gt;"",1,0)+IF(DK1352&lt;&gt;"",1,0)+IF(DM1352&lt;&gt;"",1,0)+IF(DO1352&lt;&gt;"",1,0)+IF(DP1352&lt;&gt;"",1,0)+IF(DQ1352&lt;&gt;"",1,0)+IF(DS1352&lt;&gt;"",1,0)+IF(DT1352&lt;&gt;"",1,0)+IF(DV1352&lt;&gt;"",1,0)+IF(DW1352&lt;&gt;"",1,0)+IF(DX1352&lt;&gt;"",1,0)+IF(DY1352&lt;&gt;"",1,0)+IF(DZ1352&lt;&gt;"",1,0)+IF(EB1352&lt;&gt;"",1,0)+IF(EC1352&lt;&gt;"",1,0)+IF(ED1352&lt;&gt;"",1,0)+IF(EG1352&lt;&gt;"",1,0)+IF(EH1352&lt;&gt;"",1,0)</f>
        <v/>
      </c>
      <c r="AZ1352">
        <f>IF(EH1352&lt;&gt;"",1,0)</f>
        <v/>
      </c>
      <c r="BB1352" t="inlineStr">
        <is>
          <t>WARREN-WARD 4</t>
        </is>
      </c>
    </row>
    <row r="1353">
      <c r="A1353" t="inlineStr">
        <is>
          <t>OH0027183111</t>
        </is>
      </c>
      <c r="B1353" t="n">
        <v>78</v>
      </c>
      <c r="C1353" t="n">
        <v>478365</v>
      </c>
      <c r="D1353" t="inlineStr">
        <is>
          <t>RUSHNOK</t>
        </is>
      </c>
      <c r="E1353" t="inlineStr">
        <is>
          <t>MADISON</t>
        </is>
      </c>
      <c r="F1353">
        <f>CONCATENATE(D1353," ",LEFT(H1353,4),"T=",AU1353,"D=",AV1353,"R=",AW1353,"M=",AX1353,"L=",AY1353,"B=",AZ1353)</f>
        <v/>
      </c>
      <c r="G1353" t="inlineStr">
        <is>
          <t>RIAH</t>
        </is>
      </c>
      <c r="I1353" t="inlineStr">
        <is>
          <t>2005-09-07</t>
        </is>
      </c>
      <c r="J1353" t="inlineStr">
        <is>
          <t>2024-01-08</t>
        </is>
      </c>
      <c r="K1353" t="inlineStr">
        <is>
          <t>ACTIVE</t>
        </is>
      </c>
      <c r="M1353" t="inlineStr">
        <is>
          <t>1240 WOODLAND AVE NE</t>
        </is>
      </c>
      <c r="N1353">
        <f>RIGHT(M1353,LEN(M1353)-FIND(" ",M1353))</f>
        <v/>
      </c>
      <c r="P1353" t="inlineStr">
        <is>
          <t>WARREN</t>
        </is>
      </c>
      <c r="Q1353" t="inlineStr">
        <is>
          <t>OH</t>
        </is>
      </c>
      <c r="R1353" t="n">
        <v>44483</v>
      </c>
      <c r="AD1353" t="inlineStr">
        <is>
          <t>TRUMBULL CAREER &amp; TECH CENTER</t>
        </is>
      </c>
      <c r="AE1353" t="inlineStr">
        <is>
          <t>WARREN CITY</t>
        </is>
      </c>
      <c r="AF1353" t="inlineStr">
        <is>
          <t>WARREN CITY SD</t>
        </is>
      </c>
      <c r="AH1353" t="n">
        <v>14</v>
      </c>
      <c r="AI1353" t="n">
        <v>11</v>
      </c>
      <c r="AN1353" t="inlineStr">
        <is>
          <t>WARREN</t>
        </is>
      </c>
      <c r="AO1353" t="inlineStr">
        <is>
          <t>WARREN CITY 4D</t>
        </is>
      </c>
      <c r="AP1353" t="inlineStr">
        <is>
          <t>78-P-ADL</t>
        </is>
      </c>
      <c r="AQ1353" t="n">
        <v>9</v>
      </c>
      <c r="AR1353" t="n">
        <v>64</v>
      </c>
      <c r="AS1353" t="n">
        <v>32</v>
      </c>
      <c r="AU1353">
        <f>COUNTA($BA$1353:$EH$1353)</f>
        <v/>
      </c>
      <c r="AV1353">
        <f>COUNTIF($BA$1353:$EH$1353,"D")</f>
        <v/>
      </c>
      <c r="AW1353">
        <f>COUNTIF($BA$1353:$EH$1353,"R")</f>
        <v/>
      </c>
      <c r="AX1353">
        <f>IF(BN1353="D",1,0)+IF(BO1353="D",1,0)+IF(BT1353="D",1,0)+IF(BU1353="D",1,0)+IF(BW1353="D",1,0)+IF(CC1353="D",1,0)+IF(CD1353="D",1,0)+IF(CE1353="D",1,0)+IF(CF1353="D",1,0)+IF(CL1353="D",1,0)+IF(CM1353="D",1,0)+IF(CQ1353="D",1,0)+IF(CR1353="D",1,0)+IF(CS1353="D",1,0)+IF(CW1353="D",1,0)+IF(CX1353="D",1,0)+IF(DD1353="D",1,0)+IF(DE1353="D",1,0)+IF(DJ1353="D",1,0)+IF(DK1353="D",1,0)+IF(DO1353="D",1,0)+IF(DP1353="D",1,0)+IF(DQ1353="D",1,0)+IF(DW1353="D",1,0)+IF(DZ1353="D",1,0)+IF(EH1353="D",1,0)</f>
        <v/>
      </c>
      <c r="AY1353">
        <f>IF(DJ1353&lt;&gt;"",1,0)+IF(DK1353&lt;&gt;"",1,0)+IF(DM1353&lt;&gt;"",1,0)+IF(DO1353&lt;&gt;"",1,0)+IF(DP1353&lt;&gt;"",1,0)+IF(DQ1353&lt;&gt;"",1,0)+IF(DS1353&lt;&gt;"",1,0)+IF(DT1353&lt;&gt;"",1,0)+IF(DV1353&lt;&gt;"",1,0)+IF(DW1353&lt;&gt;"",1,0)+IF(DX1353&lt;&gt;"",1,0)+IF(DY1353&lt;&gt;"",1,0)+IF(DZ1353&lt;&gt;"",1,0)+IF(EB1353&lt;&gt;"",1,0)+IF(EC1353&lt;&gt;"",1,0)+IF(ED1353&lt;&gt;"",1,0)+IF(EG1353&lt;&gt;"",1,0)+IF(EH1353&lt;&gt;"",1,0)</f>
        <v/>
      </c>
      <c r="AZ1353">
        <f>IF(EH1353&lt;&gt;"",1,0)</f>
        <v/>
      </c>
      <c r="BB1353" t="inlineStr">
        <is>
          <t>WARREN-WARD 4</t>
        </is>
      </c>
    </row>
    <row r="1354">
      <c r="A1354" t="inlineStr">
        <is>
          <t>OH0020291538</t>
        </is>
      </c>
      <c r="B1354" t="n">
        <v>78</v>
      </c>
      <c r="C1354" t="n">
        <v>365441</v>
      </c>
      <c r="D1354" t="inlineStr">
        <is>
          <t>REDMOND</t>
        </is>
      </c>
      <c r="E1354" t="inlineStr">
        <is>
          <t>KIMBERLY</t>
        </is>
      </c>
      <c r="F1354">
        <f>CONCATENATE(D1354," ",LEFT(H1354,4),"T=",AU1354,"D=",AV1354,"R=",AW1354,"M=",AX1354,"L=",AY1354,"B=",AZ1354)</f>
        <v/>
      </c>
      <c r="G1354" t="inlineStr">
        <is>
          <t>ELAINE</t>
        </is>
      </c>
      <c r="I1354" t="inlineStr">
        <is>
          <t>1980-10-31</t>
        </is>
      </c>
      <c r="J1354" t="inlineStr">
        <is>
          <t>2018-10-20</t>
        </is>
      </c>
      <c r="K1354" t="inlineStr">
        <is>
          <t>CONFIRMATION</t>
        </is>
      </c>
      <c r="M1354" t="inlineStr">
        <is>
          <t>179 LOGAN AVE NE</t>
        </is>
      </c>
      <c r="N1354">
        <f>RIGHT(M1354,LEN(M1354)-FIND(" ",M1354))</f>
        <v/>
      </c>
      <c r="P1354" t="inlineStr">
        <is>
          <t>WARREN</t>
        </is>
      </c>
      <c r="Q1354" t="inlineStr">
        <is>
          <t>OH</t>
        </is>
      </c>
      <c r="R1354" t="n">
        <v>44483</v>
      </c>
      <c r="AD1354" t="inlineStr">
        <is>
          <t>TRUMBULL CAREER &amp; TECH CENTER</t>
        </is>
      </c>
      <c r="AE1354" t="inlineStr">
        <is>
          <t>WARREN CITY</t>
        </is>
      </c>
      <c r="AF1354" t="inlineStr">
        <is>
          <t>WARREN CITY SD</t>
        </is>
      </c>
      <c r="AH1354" t="n">
        <v>14</v>
      </c>
      <c r="AI1354" t="n">
        <v>11</v>
      </c>
      <c r="AN1354" t="inlineStr">
        <is>
          <t>WARREN</t>
        </is>
      </c>
      <c r="AO1354" t="inlineStr">
        <is>
          <t>WARREN CITY 4D</t>
        </is>
      </c>
      <c r="AP1354" t="inlineStr">
        <is>
          <t>78-P-ADL</t>
        </is>
      </c>
      <c r="AQ1354" t="n">
        <v>9</v>
      </c>
      <c r="AR1354" t="n">
        <v>64</v>
      </c>
      <c r="AS1354" t="n">
        <v>32</v>
      </c>
      <c r="AU1354">
        <f>COUNTA($BA$1354:$EH$1354)</f>
        <v/>
      </c>
      <c r="AV1354">
        <f>COUNTIF($BA$1354:$EH$1354,"D")</f>
        <v/>
      </c>
      <c r="AW1354">
        <f>COUNTIF($BA$1354:$EH$1354,"R")</f>
        <v/>
      </c>
      <c r="AX1354">
        <f>IF(BN1354="D",1,0)+IF(BO1354="D",1,0)+IF(BT1354="D",1,0)+IF(BU1354="D",1,0)+IF(BW1354="D",1,0)+IF(CC1354="D",1,0)+IF(CD1354="D",1,0)+IF(CE1354="D",1,0)+IF(CF1354="D",1,0)+IF(CL1354="D",1,0)+IF(CM1354="D",1,0)+IF(CQ1354="D",1,0)+IF(CR1354="D",1,0)+IF(CS1354="D",1,0)+IF(CW1354="D",1,0)+IF(CX1354="D",1,0)+IF(DD1354="D",1,0)+IF(DE1354="D",1,0)+IF(DJ1354="D",1,0)+IF(DK1354="D",1,0)+IF(DO1354="D",1,0)+IF(DP1354="D",1,0)+IF(DQ1354="D",1,0)+IF(DW1354="D",1,0)+IF(DZ1354="D",1,0)+IF(EH1354="D",1,0)</f>
        <v/>
      </c>
      <c r="AY1354">
        <f>IF(DJ1354&lt;&gt;"",1,0)+IF(DK1354&lt;&gt;"",1,0)+IF(DM1354&lt;&gt;"",1,0)+IF(DO1354&lt;&gt;"",1,0)+IF(DP1354&lt;&gt;"",1,0)+IF(DQ1354&lt;&gt;"",1,0)+IF(DS1354&lt;&gt;"",1,0)+IF(DT1354&lt;&gt;"",1,0)+IF(DV1354&lt;&gt;"",1,0)+IF(DW1354&lt;&gt;"",1,0)+IF(DX1354&lt;&gt;"",1,0)+IF(DY1354&lt;&gt;"",1,0)+IF(DZ1354&lt;&gt;"",1,0)+IF(EB1354&lt;&gt;"",1,0)+IF(EC1354&lt;&gt;"",1,0)+IF(ED1354&lt;&gt;"",1,0)+IF(EG1354&lt;&gt;"",1,0)+IF(EH1354&lt;&gt;"",1,0)</f>
        <v/>
      </c>
      <c r="AZ1354">
        <f>IF(EH1354&lt;&gt;"",1,0)</f>
        <v/>
      </c>
      <c r="BB1354" t="inlineStr">
        <is>
          <t>WARREN-WARD 4</t>
        </is>
      </c>
    </row>
    <row r="1355">
      <c r="A1355" t="inlineStr">
        <is>
          <t>OH0027526615</t>
        </is>
      </c>
      <c r="B1355" t="n">
        <v>78</v>
      </c>
      <c r="C1355" t="n">
        <v>487887</v>
      </c>
      <c r="D1355" t="inlineStr">
        <is>
          <t>SOLOMON</t>
        </is>
      </c>
      <c r="E1355" t="inlineStr">
        <is>
          <t>TALIYAH</t>
        </is>
      </c>
      <c r="F1355">
        <f>CONCATENATE(D1355," ",LEFT(H1355,4),"T=",AU1355,"D=",AV1355,"R=",AW1355,"M=",AX1355,"L=",AY1355,"B=",AZ1355)</f>
        <v/>
      </c>
      <c r="G1355" t="inlineStr">
        <is>
          <t>L</t>
        </is>
      </c>
      <c r="I1355" t="inlineStr">
        <is>
          <t>1999-12-26</t>
        </is>
      </c>
      <c r="J1355" t="inlineStr">
        <is>
          <t>2024-08-15</t>
        </is>
      </c>
      <c r="K1355" t="inlineStr">
        <is>
          <t>ACTIVE</t>
        </is>
      </c>
      <c r="M1355" t="inlineStr">
        <is>
          <t>338 SCOTT ST NE</t>
        </is>
      </c>
      <c r="N1355">
        <f>RIGHT(M1355,LEN(M1355)-FIND(" ",M1355))</f>
        <v/>
      </c>
      <c r="O1355" t="inlineStr">
        <is>
          <t>APT 1</t>
        </is>
      </c>
      <c r="P1355" t="inlineStr">
        <is>
          <t>WARREN</t>
        </is>
      </c>
      <c r="Q1355" t="inlineStr">
        <is>
          <t>OH</t>
        </is>
      </c>
      <c r="R1355" t="n">
        <v>44483</v>
      </c>
      <c r="AD1355" t="inlineStr">
        <is>
          <t>TRUMBULL CAREER &amp; TECH CENTER</t>
        </is>
      </c>
      <c r="AE1355" t="inlineStr">
        <is>
          <t>WARREN CITY</t>
        </is>
      </c>
      <c r="AF1355" t="inlineStr">
        <is>
          <t>WARREN CITY SD</t>
        </is>
      </c>
      <c r="AH1355" t="n">
        <v>14</v>
      </c>
      <c r="AI1355" t="n">
        <v>11</v>
      </c>
      <c r="AN1355" t="inlineStr">
        <is>
          <t>WARREN</t>
        </is>
      </c>
      <c r="AO1355" t="inlineStr">
        <is>
          <t>WARREN CITY 4D</t>
        </is>
      </c>
      <c r="AP1355" t="inlineStr">
        <is>
          <t>78-P-ADL</t>
        </is>
      </c>
      <c r="AQ1355" t="n">
        <v>9</v>
      </c>
      <c r="AR1355" t="n">
        <v>64</v>
      </c>
      <c r="AS1355" t="n">
        <v>32</v>
      </c>
      <c r="AU1355">
        <f>COUNTA($BA$1355:$EH$1355)</f>
        <v/>
      </c>
      <c r="AV1355">
        <f>COUNTIF($BA$1355:$EH$1355,"D")</f>
        <v/>
      </c>
      <c r="AW1355">
        <f>COUNTIF($BA$1355:$EH$1355,"R")</f>
        <v/>
      </c>
      <c r="AX1355">
        <f>IF(BN1355="D",1,0)+IF(BO1355="D",1,0)+IF(BT1355="D",1,0)+IF(BU1355="D",1,0)+IF(BW1355="D",1,0)+IF(CC1355="D",1,0)+IF(CD1355="D",1,0)+IF(CE1355="D",1,0)+IF(CF1355="D",1,0)+IF(CL1355="D",1,0)+IF(CM1355="D",1,0)+IF(CQ1355="D",1,0)+IF(CR1355="D",1,0)+IF(CS1355="D",1,0)+IF(CW1355="D",1,0)+IF(CX1355="D",1,0)+IF(DD1355="D",1,0)+IF(DE1355="D",1,0)+IF(DJ1355="D",1,0)+IF(DK1355="D",1,0)+IF(DO1355="D",1,0)+IF(DP1355="D",1,0)+IF(DQ1355="D",1,0)+IF(DW1355="D",1,0)+IF(DZ1355="D",1,0)+IF(EH1355="D",1,0)</f>
        <v/>
      </c>
      <c r="AY1355">
        <f>IF(DJ1355&lt;&gt;"",1,0)+IF(DK1355&lt;&gt;"",1,0)+IF(DM1355&lt;&gt;"",1,0)+IF(DO1355&lt;&gt;"",1,0)+IF(DP1355&lt;&gt;"",1,0)+IF(DQ1355&lt;&gt;"",1,0)+IF(DS1355&lt;&gt;"",1,0)+IF(DT1355&lt;&gt;"",1,0)+IF(DV1355&lt;&gt;"",1,0)+IF(DW1355&lt;&gt;"",1,0)+IF(DX1355&lt;&gt;"",1,0)+IF(DY1355&lt;&gt;"",1,0)+IF(DZ1355&lt;&gt;"",1,0)+IF(EB1355&lt;&gt;"",1,0)+IF(EC1355&lt;&gt;"",1,0)+IF(ED1355&lt;&gt;"",1,0)+IF(EG1355&lt;&gt;"",1,0)+IF(EH1355&lt;&gt;"",1,0)</f>
        <v/>
      </c>
      <c r="AZ1355">
        <f>IF(EH1355&lt;&gt;"",1,0)</f>
        <v/>
      </c>
      <c r="BB1355" t="inlineStr">
        <is>
          <t>WARREN-WARD 4</t>
        </is>
      </c>
    </row>
    <row r="1356">
      <c r="A1356" t="inlineStr">
        <is>
          <t>OH0024633516</t>
        </is>
      </c>
      <c r="B1356" t="n">
        <v>78</v>
      </c>
      <c r="C1356" t="n">
        <v>431760</v>
      </c>
      <c r="D1356" t="inlineStr">
        <is>
          <t>PARKS</t>
        </is>
      </c>
      <c r="E1356" t="inlineStr">
        <is>
          <t>COTY</t>
        </is>
      </c>
      <c r="F1356">
        <f>CONCATENATE(D1356," ",LEFT(H1356,4),"T=",AU1356,"D=",AV1356,"R=",AW1356,"M=",AX1356,"L=",AY1356,"B=",AZ1356)</f>
        <v/>
      </c>
      <c r="G1356" t="inlineStr">
        <is>
          <t>N</t>
        </is>
      </c>
      <c r="I1356" t="inlineStr">
        <is>
          <t>1991-07-25</t>
        </is>
      </c>
      <c r="J1356" t="inlineStr">
        <is>
          <t>2024-01-18</t>
        </is>
      </c>
      <c r="K1356" t="inlineStr">
        <is>
          <t>ACTIVE</t>
        </is>
      </c>
      <c r="M1356" t="inlineStr">
        <is>
          <t>464 VINE AVE NE</t>
        </is>
      </c>
      <c r="N1356">
        <f>RIGHT(M1356,LEN(M1356)-FIND(" ",M1356))</f>
        <v/>
      </c>
      <c r="P1356" t="inlineStr">
        <is>
          <t>WARREN</t>
        </is>
      </c>
      <c r="Q1356" t="inlineStr">
        <is>
          <t>OH</t>
        </is>
      </c>
      <c r="R1356" t="n">
        <v>44483</v>
      </c>
      <c r="AD1356" t="inlineStr">
        <is>
          <t>TRUMBULL CAREER &amp; TECH CENTER</t>
        </is>
      </c>
      <c r="AE1356" t="inlineStr">
        <is>
          <t>WARREN CITY</t>
        </is>
      </c>
      <c r="AF1356" t="inlineStr">
        <is>
          <t>WARREN CITY SD</t>
        </is>
      </c>
      <c r="AH1356" t="n">
        <v>14</v>
      </c>
      <c r="AI1356" t="n">
        <v>11</v>
      </c>
      <c r="AN1356" t="inlineStr">
        <is>
          <t>WARREN</t>
        </is>
      </c>
      <c r="AO1356" t="inlineStr">
        <is>
          <t>WARREN CITY 4D</t>
        </is>
      </c>
      <c r="AP1356" t="inlineStr">
        <is>
          <t>78-P-ADL</t>
        </is>
      </c>
      <c r="AQ1356" t="n">
        <v>9</v>
      </c>
      <c r="AR1356" t="n">
        <v>64</v>
      </c>
      <c r="AS1356" t="n">
        <v>32</v>
      </c>
      <c r="AU1356">
        <f>COUNTA($BA$1356:$EH$1356)</f>
        <v/>
      </c>
      <c r="AV1356">
        <f>COUNTIF($BA$1356:$EH$1356,"D")</f>
        <v/>
      </c>
      <c r="AW1356">
        <f>COUNTIF($BA$1356:$EH$1356,"R")</f>
        <v/>
      </c>
      <c r="AX1356">
        <f>IF(BN1356="D",1,0)+IF(BO1356="D",1,0)+IF(BT1356="D",1,0)+IF(BU1356="D",1,0)+IF(BW1356="D",1,0)+IF(CC1356="D",1,0)+IF(CD1356="D",1,0)+IF(CE1356="D",1,0)+IF(CF1356="D",1,0)+IF(CL1356="D",1,0)+IF(CM1356="D",1,0)+IF(CQ1356="D",1,0)+IF(CR1356="D",1,0)+IF(CS1356="D",1,0)+IF(CW1356="D",1,0)+IF(CX1356="D",1,0)+IF(DD1356="D",1,0)+IF(DE1356="D",1,0)+IF(DJ1356="D",1,0)+IF(DK1356="D",1,0)+IF(DO1356="D",1,0)+IF(DP1356="D",1,0)+IF(DQ1356="D",1,0)+IF(DW1356="D",1,0)+IF(DZ1356="D",1,0)+IF(EH1356="D",1,0)</f>
        <v/>
      </c>
      <c r="AY1356">
        <f>IF(DJ1356&lt;&gt;"",1,0)+IF(DK1356&lt;&gt;"",1,0)+IF(DM1356&lt;&gt;"",1,0)+IF(DO1356&lt;&gt;"",1,0)+IF(DP1356&lt;&gt;"",1,0)+IF(DQ1356&lt;&gt;"",1,0)+IF(DS1356&lt;&gt;"",1,0)+IF(DT1356&lt;&gt;"",1,0)+IF(DV1356&lt;&gt;"",1,0)+IF(DW1356&lt;&gt;"",1,0)+IF(DX1356&lt;&gt;"",1,0)+IF(DY1356&lt;&gt;"",1,0)+IF(DZ1356&lt;&gt;"",1,0)+IF(EB1356&lt;&gt;"",1,0)+IF(EC1356&lt;&gt;"",1,0)+IF(ED1356&lt;&gt;"",1,0)+IF(EG1356&lt;&gt;"",1,0)+IF(EH1356&lt;&gt;"",1,0)</f>
        <v/>
      </c>
      <c r="AZ1356">
        <f>IF(EH1356&lt;&gt;"",1,0)</f>
        <v/>
      </c>
      <c r="BB1356" t="inlineStr">
        <is>
          <t>WARREN-WARD 4</t>
        </is>
      </c>
    </row>
    <row r="1357">
      <c r="A1357" t="inlineStr">
        <is>
          <t>OH0021300087</t>
        </is>
      </c>
      <c r="B1357" t="n">
        <v>78</v>
      </c>
      <c r="C1357" t="n">
        <v>378606</v>
      </c>
      <c r="D1357" t="inlineStr">
        <is>
          <t>VANWINKLE</t>
        </is>
      </c>
      <c r="E1357" t="inlineStr">
        <is>
          <t>NICOLE</t>
        </is>
      </c>
      <c r="F1357">
        <f>CONCATENATE(D1357," ",LEFT(H1357,4),"T=",AU1357,"D=",AV1357,"R=",AW1357,"M=",AX1357,"L=",AY1357,"B=",AZ1357)</f>
        <v/>
      </c>
      <c r="G1357" t="inlineStr">
        <is>
          <t>M</t>
        </is>
      </c>
      <c r="I1357" t="inlineStr">
        <is>
          <t>1981-04-24</t>
        </is>
      </c>
      <c r="J1357" t="inlineStr">
        <is>
          <t>2016-10-02</t>
        </is>
      </c>
      <c r="K1357" t="inlineStr">
        <is>
          <t>CONFIRMATION</t>
        </is>
      </c>
      <c r="M1357" t="inlineStr">
        <is>
          <t>464 WASHINGTON ST NE</t>
        </is>
      </c>
      <c r="N1357">
        <f>RIGHT(M1357,LEN(M1357)-FIND(" ",M1357))</f>
        <v/>
      </c>
      <c r="P1357" t="inlineStr">
        <is>
          <t>WARREN</t>
        </is>
      </c>
      <c r="Q1357" t="inlineStr">
        <is>
          <t>OH</t>
        </is>
      </c>
      <c r="R1357" t="n">
        <v>44483</v>
      </c>
      <c r="AD1357" t="inlineStr">
        <is>
          <t>TRUMBULL CAREER &amp; TECH CENTER</t>
        </is>
      </c>
      <c r="AE1357" t="inlineStr">
        <is>
          <t>WARREN CITY</t>
        </is>
      </c>
      <c r="AF1357" t="inlineStr">
        <is>
          <t>WARREN CITY SD</t>
        </is>
      </c>
      <c r="AH1357" t="n">
        <v>14</v>
      </c>
      <c r="AI1357" t="n">
        <v>11</v>
      </c>
      <c r="AN1357" t="inlineStr">
        <is>
          <t>WARREN</t>
        </is>
      </c>
      <c r="AO1357" t="inlineStr">
        <is>
          <t>WARREN CITY 4D</t>
        </is>
      </c>
      <c r="AP1357" t="inlineStr">
        <is>
          <t>78-P-ADL</t>
        </is>
      </c>
      <c r="AQ1357" t="n">
        <v>9</v>
      </c>
      <c r="AR1357" t="n">
        <v>64</v>
      </c>
      <c r="AS1357" t="n">
        <v>32</v>
      </c>
      <c r="AU1357">
        <f>COUNTA($BA$1357:$EH$1357)</f>
        <v/>
      </c>
      <c r="AV1357">
        <f>COUNTIF($BA$1357:$EH$1357,"D")</f>
        <v/>
      </c>
      <c r="AW1357">
        <f>COUNTIF($BA$1357:$EH$1357,"R")</f>
        <v/>
      </c>
      <c r="AX1357">
        <f>IF(BN1357="D",1,0)+IF(BO1357="D",1,0)+IF(BT1357="D",1,0)+IF(BU1357="D",1,0)+IF(BW1357="D",1,0)+IF(CC1357="D",1,0)+IF(CD1357="D",1,0)+IF(CE1357="D",1,0)+IF(CF1357="D",1,0)+IF(CL1357="D",1,0)+IF(CM1357="D",1,0)+IF(CQ1357="D",1,0)+IF(CR1357="D",1,0)+IF(CS1357="D",1,0)+IF(CW1357="D",1,0)+IF(CX1357="D",1,0)+IF(DD1357="D",1,0)+IF(DE1357="D",1,0)+IF(DJ1357="D",1,0)+IF(DK1357="D",1,0)+IF(DO1357="D",1,0)+IF(DP1357="D",1,0)+IF(DQ1357="D",1,0)+IF(DW1357="D",1,0)+IF(DZ1357="D",1,0)+IF(EH1357="D",1,0)</f>
        <v/>
      </c>
      <c r="AY1357">
        <f>IF(DJ1357&lt;&gt;"",1,0)+IF(DK1357&lt;&gt;"",1,0)+IF(DM1357&lt;&gt;"",1,0)+IF(DO1357&lt;&gt;"",1,0)+IF(DP1357&lt;&gt;"",1,0)+IF(DQ1357&lt;&gt;"",1,0)+IF(DS1357&lt;&gt;"",1,0)+IF(DT1357&lt;&gt;"",1,0)+IF(DV1357&lt;&gt;"",1,0)+IF(DW1357&lt;&gt;"",1,0)+IF(DX1357&lt;&gt;"",1,0)+IF(DY1357&lt;&gt;"",1,0)+IF(DZ1357&lt;&gt;"",1,0)+IF(EB1357&lt;&gt;"",1,0)+IF(EC1357&lt;&gt;"",1,0)+IF(ED1357&lt;&gt;"",1,0)+IF(EG1357&lt;&gt;"",1,0)+IF(EH1357&lt;&gt;"",1,0)</f>
        <v/>
      </c>
      <c r="AZ1357">
        <f>IF(EH1357&lt;&gt;"",1,0)</f>
        <v/>
      </c>
      <c r="BB1357" t="inlineStr">
        <is>
          <t>WARREN-WARD 4</t>
        </is>
      </c>
    </row>
    <row r="1358">
      <c r="A1358" t="inlineStr">
        <is>
          <t>OH0021816000</t>
        </is>
      </c>
      <c r="B1358" t="n">
        <v>78</v>
      </c>
      <c r="C1358" t="n">
        <v>381764</v>
      </c>
      <c r="D1358" t="inlineStr">
        <is>
          <t>GASTON</t>
        </is>
      </c>
      <c r="E1358" t="inlineStr">
        <is>
          <t>TODD</t>
        </is>
      </c>
      <c r="F1358">
        <f>CONCATENATE(D1358," ",LEFT(H1358,4),"T=",AU1358,"D=",AV1358,"R=",AW1358,"M=",AX1358,"L=",AY1358,"B=",AZ1358)</f>
        <v/>
      </c>
      <c r="G1358" t="inlineStr">
        <is>
          <t>D</t>
        </is>
      </c>
      <c r="I1358" t="inlineStr">
        <is>
          <t>1971-12-09</t>
        </is>
      </c>
      <c r="J1358" t="inlineStr">
        <is>
          <t>2013-01-03</t>
        </is>
      </c>
      <c r="K1358" t="inlineStr">
        <is>
          <t>CONFIRMATION</t>
        </is>
      </c>
      <c r="M1358" t="inlineStr">
        <is>
          <t>300 SCOTT ST NE</t>
        </is>
      </c>
      <c r="N1358">
        <f>RIGHT(M1358,LEN(M1358)-FIND(" ",M1358))</f>
        <v/>
      </c>
      <c r="O1358" t="inlineStr">
        <is>
          <t>APT 4</t>
        </is>
      </c>
      <c r="P1358" t="inlineStr">
        <is>
          <t>WARREN</t>
        </is>
      </c>
      <c r="Q1358" t="inlineStr">
        <is>
          <t>OH</t>
        </is>
      </c>
      <c r="R1358" t="n">
        <v>44483</v>
      </c>
      <c r="AD1358" t="inlineStr">
        <is>
          <t>TRUMBULL CAREER &amp; TECH CENTER</t>
        </is>
      </c>
      <c r="AE1358" t="inlineStr">
        <is>
          <t>WARREN CITY</t>
        </is>
      </c>
      <c r="AF1358" t="inlineStr">
        <is>
          <t>WARREN CITY SD</t>
        </is>
      </c>
      <c r="AH1358" t="n">
        <v>14</v>
      </c>
      <c r="AI1358" t="n">
        <v>11</v>
      </c>
      <c r="AN1358" t="inlineStr">
        <is>
          <t>WARREN</t>
        </is>
      </c>
      <c r="AO1358" t="inlineStr">
        <is>
          <t>WARREN CITY 4D</t>
        </is>
      </c>
      <c r="AP1358" t="inlineStr">
        <is>
          <t>78-P-ADL</t>
        </is>
      </c>
      <c r="AQ1358" t="n">
        <v>9</v>
      </c>
      <c r="AR1358" t="n">
        <v>64</v>
      </c>
      <c r="AS1358" t="n">
        <v>32</v>
      </c>
      <c r="AU1358">
        <f>COUNTA($BA$1358:$EH$1358)</f>
        <v/>
      </c>
      <c r="AV1358">
        <f>COUNTIF($BA$1358:$EH$1358,"D")</f>
        <v/>
      </c>
      <c r="AW1358">
        <f>COUNTIF($BA$1358:$EH$1358,"R")</f>
        <v/>
      </c>
      <c r="AX1358">
        <f>IF(BN1358="D",1,0)+IF(BO1358="D",1,0)+IF(BT1358="D",1,0)+IF(BU1358="D",1,0)+IF(BW1358="D",1,0)+IF(CC1358="D",1,0)+IF(CD1358="D",1,0)+IF(CE1358="D",1,0)+IF(CF1358="D",1,0)+IF(CL1358="D",1,0)+IF(CM1358="D",1,0)+IF(CQ1358="D",1,0)+IF(CR1358="D",1,0)+IF(CS1358="D",1,0)+IF(CW1358="D",1,0)+IF(CX1358="D",1,0)+IF(DD1358="D",1,0)+IF(DE1358="D",1,0)+IF(DJ1358="D",1,0)+IF(DK1358="D",1,0)+IF(DO1358="D",1,0)+IF(DP1358="D",1,0)+IF(DQ1358="D",1,0)+IF(DW1358="D",1,0)+IF(DZ1358="D",1,0)+IF(EH1358="D",1,0)</f>
        <v/>
      </c>
      <c r="AY1358">
        <f>IF(DJ1358&lt;&gt;"",1,0)+IF(DK1358&lt;&gt;"",1,0)+IF(DM1358&lt;&gt;"",1,0)+IF(DO1358&lt;&gt;"",1,0)+IF(DP1358&lt;&gt;"",1,0)+IF(DQ1358&lt;&gt;"",1,0)+IF(DS1358&lt;&gt;"",1,0)+IF(DT1358&lt;&gt;"",1,0)+IF(DV1358&lt;&gt;"",1,0)+IF(DW1358&lt;&gt;"",1,0)+IF(DX1358&lt;&gt;"",1,0)+IF(DY1358&lt;&gt;"",1,0)+IF(DZ1358&lt;&gt;"",1,0)+IF(EB1358&lt;&gt;"",1,0)+IF(EC1358&lt;&gt;"",1,0)+IF(ED1358&lt;&gt;"",1,0)+IF(EG1358&lt;&gt;"",1,0)+IF(EH1358&lt;&gt;"",1,0)</f>
        <v/>
      </c>
      <c r="AZ1358">
        <f>IF(EH1358&lt;&gt;"",1,0)</f>
        <v/>
      </c>
      <c r="BB1358" t="inlineStr">
        <is>
          <t>WARREN-WARD 4</t>
        </is>
      </c>
    </row>
    <row r="1359">
      <c r="A1359" t="inlineStr">
        <is>
          <t>OH0027951755</t>
        </is>
      </c>
      <c r="B1359" t="n">
        <v>78</v>
      </c>
      <c r="C1359" t="n">
        <v>495999</v>
      </c>
      <c r="D1359" t="inlineStr">
        <is>
          <t>CUNNINGHAM</t>
        </is>
      </c>
      <c r="E1359" t="inlineStr">
        <is>
          <t>ANNETTE</t>
        </is>
      </c>
      <c r="F1359">
        <f>CONCATENATE(D1359," ",LEFT(H1359,4),"T=",AU1359,"D=",AV1359,"R=",AW1359,"M=",AX1359,"L=",AY1359,"B=",AZ1359)</f>
        <v/>
      </c>
      <c r="G1359" t="inlineStr">
        <is>
          <t>ELZY</t>
        </is>
      </c>
      <c r="I1359" t="inlineStr">
        <is>
          <t>1957-07-28</t>
        </is>
      </c>
      <c r="J1359" t="inlineStr">
        <is>
          <t>2025-05-06</t>
        </is>
      </c>
      <c r="K1359" t="inlineStr">
        <is>
          <t>ACTIVE</t>
        </is>
      </c>
      <c r="M1359" t="inlineStr">
        <is>
          <t>628 OLIVE AVE NE</t>
        </is>
      </c>
      <c r="N1359">
        <f>RIGHT(M1359,LEN(M1359)-FIND(" ",M1359))</f>
        <v/>
      </c>
      <c r="P1359" t="inlineStr">
        <is>
          <t>WARREN</t>
        </is>
      </c>
      <c r="Q1359" t="inlineStr">
        <is>
          <t>OH</t>
        </is>
      </c>
      <c r="R1359" t="n">
        <v>44483</v>
      </c>
      <c r="AD1359" t="inlineStr">
        <is>
          <t>TRUMBULL CAREER &amp; TECH CENTER</t>
        </is>
      </c>
      <c r="AE1359" t="inlineStr">
        <is>
          <t>WARREN CITY</t>
        </is>
      </c>
      <c r="AF1359" t="inlineStr">
        <is>
          <t>WARREN CITY SD</t>
        </is>
      </c>
      <c r="AH1359" t="n">
        <v>14</v>
      </c>
      <c r="AI1359" t="n">
        <v>11</v>
      </c>
      <c r="AN1359" t="inlineStr">
        <is>
          <t>WARREN</t>
        </is>
      </c>
      <c r="AO1359" t="inlineStr">
        <is>
          <t>WARREN CITY 4D</t>
        </is>
      </c>
      <c r="AP1359" t="inlineStr">
        <is>
          <t>78-P-ADL</t>
        </is>
      </c>
      <c r="AQ1359" t="n">
        <v>9</v>
      </c>
      <c r="AR1359" t="n">
        <v>64</v>
      </c>
      <c r="AS1359" t="n">
        <v>32</v>
      </c>
      <c r="AU1359">
        <f>COUNTA($BA$1359:$EH$1359)</f>
        <v/>
      </c>
      <c r="AV1359">
        <f>COUNTIF($BA$1359:$EH$1359,"D")</f>
        <v/>
      </c>
      <c r="AW1359">
        <f>COUNTIF($BA$1359:$EH$1359,"R")</f>
        <v/>
      </c>
      <c r="AX1359">
        <f>IF(BN1359="D",1,0)+IF(BO1359="D",1,0)+IF(BT1359="D",1,0)+IF(BU1359="D",1,0)+IF(BW1359="D",1,0)+IF(CC1359="D",1,0)+IF(CD1359="D",1,0)+IF(CE1359="D",1,0)+IF(CF1359="D",1,0)+IF(CL1359="D",1,0)+IF(CM1359="D",1,0)+IF(CQ1359="D",1,0)+IF(CR1359="D",1,0)+IF(CS1359="D",1,0)+IF(CW1359="D",1,0)+IF(CX1359="D",1,0)+IF(DD1359="D",1,0)+IF(DE1359="D",1,0)+IF(DJ1359="D",1,0)+IF(DK1359="D",1,0)+IF(DO1359="D",1,0)+IF(DP1359="D",1,0)+IF(DQ1359="D",1,0)+IF(DW1359="D",1,0)+IF(DZ1359="D",1,0)+IF(EH1359="D",1,0)</f>
        <v/>
      </c>
      <c r="AY1359">
        <f>IF(DJ1359&lt;&gt;"",1,0)+IF(DK1359&lt;&gt;"",1,0)+IF(DM1359&lt;&gt;"",1,0)+IF(DO1359&lt;&gt;"",1,0)+IF(DP1359&lt;&gt;"",1,0)+IF(DQ1359&lt;&gt;"",1,0)+IF(DS1359&lt;&gt;"",1,0)+IF(DT1359&lt;&gt;"",1,0)+IF(DV1359&lt;&gt;"",1,0)+IF(DW1359&lt;&gt;"",1,0)+IF(DX1359&lt;&gt;"",1,0)+IF(DY1359&lt;&gt;"",1,0)+IF(DZ1359&lt;&gt;"",1,0)+IF(EB1359&lt;&gt;"",1,0)+IF(EC1359&lt;&gt;"",1,0)+IF(ED1359&lt;&gt;"",1,0)+IF(EG1359&lt;&gt;"",1,0)+IF(EH1359&lt;&gt;"",1,0)</f>
        <v/>
      </c>
      <c r="AZ1359">
        <f>IF(EH1359&lt;&gt;"",1,0)</f>
        <v/>
      </c>
      <c r="BB1359" t="inlineStr">
        <is>
          <t>WARREN-WARD 4</t>
        </is>
      </c>
      <c r="BJ1359" t="inlineStr">
        <is>
          <t>X</t>
        </is>
      </c>
      <c r="BK1359" t="inlineStr">
        <is>
          <t>D</t>
        </is>
      </c>
      <c r="BL1359" t="inlineStr">
        <is>
          <t>X</t>
        </is>
      </c>
      <c r="BP1359" t="inlineStr">
        <is>
          <t>X</t>
        </is>
      </c>
      <c r="BS1359" t="inlineStr">
        <is>
          <t>X</t>
        </is>
      </c>
      <c r="BY1359" t="inlineStr">
        <is>
          <t>D</t>
        </is>
      </c>
      <c r="CA1359" t="inlineStr">
        <is>
          <t>X</t>
        </is>
      </c>
      <c r="CK1359" t="inlineStr">
        <is>
          <t>X</t>
        </is>
      </c>
      <c r="CN1359" t="inlineStr">
        <is>
          <t>X</t>
        </is>
      </c>
      <c r="CP1359" t="inlineStr">
        <is>
          <t>X</t>
        </is>
      </c>
      <c r="DC1359" t="inlineStr">
        <is>
          <t>X</t>
        </is>
      </c>
      <c r="DF1359" t="inlineStr">
        <is>
          <t>X</t>
        </is>
      </c>
      <c r="DG1359" t="inlineStr">
        <is>
          <t>D</t>
        </is>
      </c>
      <c r="DI1359" t="inlineStr">
        <is>
          <t>X</t>
        </is>
      </c>
      <c r="DL1359" t="inlineStr">
        <is>
          <t>X</t>
        </is>
      </c>
      <c r="DM1359" t="inlineStr">
        <is>
          <t>D</t>
        </is>
      </c>
      <c r="DN1359" t="inlineStr">
        <is>
          <t>X</t>
        </is>
      </c>
      <c r="DO1359" t="inlineStr">
        <is>
          <t>X</t>
        </is>
      </c>
      <c r="DR1359" t="inlineStr">
        <is>
          <t>X</t>
        </is>
      </c>
      <c r="DS1359" t="inlineStr">
        <is>
          <t>D</t>
        </is>
      </c>
      <c r="DU1359" t="inlineStr">
        <is>
          <t>X</t>
        </is>
      </c>
      <c r="DX1359" t="inlineStr">
        <is>
          <t>X</t>
        </is>
      </c>
      <c r="EA1359" t="inlineStr">
        <is>
          <t>X</t>
        </is>
      </c>
      <c r="ED1359" t="inlineStr">
        <is>
          <t>D</t>
        </is>
      </c>
      <c r="EF1359" t="inlineStr">
        <is>
          <t>X</t>
        </is>
      </c>
    </row>
    <row r="1360">
      <c r="A1360" t="inlineStr">
        <is>
          <t>OH0019926669</t>
        </is>
      </c>
      <c r="B1360" t="n">
        <v>78</v>
      </c>
      <c r="C1360" t="n">
        <v>360765</v>
      </c>
      <c r="D1360" t="inlineStr">
        <is>
          <t>RUSH</t>
        </is>
      </c>
      <c r="E1360" t="inlineStr">
        <is>
          <t>JAMES</t>
        </is>
      </c>
      <c r="F1360">
        <f>CONCATENATE(D1360," ",LEFT(H1360,4),"T=",AU1360,"D=",AV1360,"R=",AW1360,"M=",AX1360,"L=",AY1360,"B=",AZ1360)</f>
        <v/>
      </c>
      <c r="G1360" t="inlineStr">
        <is>
          <t>A</t>
        </is>
      </c>
      <c r="I1360" t="inlineStr">
        <is>
          <t>1944-05-25</t>
        </is>
      </c>
      <c r="J1360" t="inlineStr">
        <is>
          <t>2015-03-31</t>
        </is>
      </c>
      <c r="K1360" t="inlineStr">
        <is>
          <t>CONFIRMATION</t>
        </is>
      </c>
      <c r="M1360" t="inlineStr">
        <is>
          <t>645 PORTER ST NE</t>
        </is>
      </c>
      <c r="N1360">
        <f>RIGHT(M1360,LEN(M1360)-FIND(" ",M1360))</f>
        <v/>
      </c>
      <c r="P1360" t="inlineStr">
        <is>
          <t>WARREN</t>
        </is>
      </c>
      <c r="Q1360" t="inlineStr">
        <is>
          <t>OH</t>
        </is>
      </c>
      <c r="R1360" t="n">
        <v>44483</v>
      </c>
      <c r="AD1360" t="inlineStr">
        <is>
          <t>TRUMBULL CAREER &amp; TECH CENTER</t>
        </is>
      </c>
      <c r="AE1360" t="inlineStr">
        <is>
          <t>WARREN CITY</t>
        </is>
      </c>
      <c r="AF1360" t="inlineStr">
        <is>
          <t>WARREN CITY SD</t>
        </is>
      </c>
      <c r="AH1360" t="n">
        <v>14</v>
      </c>
      <c r="AI1360" t="n">
        <v>11</v>
      </c>
      <c r="AN1360" t="inlineStr">
        <is>
          <t>WARREN</t>
        </is>
      </c>
      <c r="AO1360" t="inlineStr">
        <is>
          <t>WARREN CITY 4D</t>
        </is>
      </c>
      <c r="AP1360" t="inlineStr">
        <is>
          <t>78-P-ADL</t>
        </is>
      </c>
      <c r="AQ1360" t="n">
        <v>9</v>
      </c>
      <c r="AR1360" t="n">
        <v>64</v>
      </c>
      <c r="AS1360" t="n">
        <v>32</v>
      </c>
      <c r="AU1360">
        <f>COUNTA($BA$1360:$EH$1360)</f>
        <v/>
      </c>
      <c r="AV1360">
        <f>COUNTIF($BA$1360:$EH$1360,"D")</f>
        <v/>
      </c>
      <c r="AW1360">
        <f>COUNTIF($BA$1360:$EH$1360,"R")</f>
        <v/>
      </c>
      <c r="AX1360">
        <f>IF(BN1360="D",1,0)+IF(BO1360="D",1,0)+IF(BT1360="D",1,0)+IF(BU1360="D",1,0)+IF(BW1360="D",1,0)+IF(CC1360="D",1,0)+IF(CD1360="D",1,0)+IF(CE1360="D",1,0)+IF(CF1360="D",1,0)+IF(CL1360="D",1,0)+IF(CM1360="D",1,0)+IF(CQ1360="D",1,0)+IF(CR1360="D",1,0)+IF(CS1360="D",1,0)+IF(CW1360="D",1,0)+IF(CX1360="D",1,0)+IF(DD1360="D",1,0)+IF(DE1360="D",1,0)+IF(DJ1360="D",1,0)+IF(DK1360="D",1,0)+IF(DO1360="D",1,0)+IF(DP1360="D",1,0)+IF(DQ1360="D",1,0)+IF(DW1360="D",1,0)+IF(DZ1360="D",1,0)+IF(EH1360="D",1,0)</f>
        <v/>
      </c>
      <c r="AY1360">
        <f>IF(DJ1360&lt;&gt;"",1,0)+IF(DK1360&lt;&gt;"",1,0)+IF(DM1360&lt;&gt;"",1,0)+IF(DO1360&lt;&gt;"",1,0)+IF(DP1360&lt;&gt;"",1,0)+IF(DQ1360&lt;&gt;"",1,0)+IF(DS1360&lt;&gt;"",1,0)+IF(DT1360&lt;&gt;"",1,0)+IF(DV1360&lt;&gt;"",1,0)+IF(DW1360&lt;&gt;"",1,0)+IF(DX1360&lt;&gt;"",1,0)+IF(DY1360&lt;&gt;"",1,0)+IF(DZ1360&lt;&gt;"",1,0)+IF(EB1360&lt;&gt;"",1,0)+IF(EC1360&lt;&gt;"",1,0)+IF(ED1360&lt;&gt;"",1,0)+IF(EG1360&lt;&gt;"",1,0)+IF(EH1360&lt;&gt;"",1,0)</f>
        <v/>
      </c>
      <c r="AZ1360">
        <f>IF(EH1360&lt;&gt;"",1,0)</f>
        <v/>
      </c>
      <c r="BB1360" t="inlineStr">
        <is>
          <t>WARREN-WARD 4</t>
        </is>
      </c>
      <c r="CA1360" t="inlineStr">
        <is>
          <t>X</t>
        </is>
      </c>
      <c r="CP1360" t="inlineStr">
        <is>
          <t>X</t>
        </is>
      </c>
      <c r="DN1360" t="inlineStr">
        <is>
          <t>X</t>
        </is>
      </c>
    </row>
    <row r="1361">
      <c r="A1361" t="inlineStr">
        <is>
          <t>OH0015791208</t>
        </is>
      </c>
      <c r="B1361" t="n">
        <v>78</v>
      </c>
      <c r="C1361" t="n">
        <v>317655</v>
      </c>
      <c r="D1361" t="inlineStr">
        <is>
          <t>CAMPBELL</t>
        </is>
      </c>
      <c r="E1361" t="inlineStr">
        <is>
          <t>CHRISTINA</t>
        </is>
      </c>
      <c r="F1361">
        <f>CONCATENATE(D1361," ",LEFT(H1361,4),"T=",AU1361,"D=",AV1361,"R=",AW1361,"M=",AX1361,"L=",AY1361,"B=",AZ1361)</f>
        <v/>
      </c>
      <c r="G1361" t="inlineStr">
        <is>
          <t>MARIE</t>
        </is>
      </c>
      <c r="I1361" t="inlineStr">
        <is>
          <t>1982-01-19</t>
        </is>
      </c>
      <c r="J1361" t="inlineStr">
        <is>
          <t>2019-09-04</t>
        </is>
      </c>
      <c r="K1361" t="inlineStr">
        <is>
          <t>ACTIVE</t>
        </is>
      </c>
      <c r="M1361" t="inlineStr">
        <is>
          <t>370 WASHINGTON ST NE</t>
        </is>
      </c>
      <c r="N1361">
        <f>RIGHT(M1361,LEN(M1361)-FIND(" ",M1361))</f>
        <v/>
      </c>
      <c r="P1361" t="inlineStr">
        <is>
          <t>WARREN</t>
        </is>
      </c>
      <c r="Q1361" t="inlineStr">
        <is>
          <t>OH</t>
        </is>
      </c>
      <c r="R1361" t="n">
        <v>44483</v>
      </c>
      <c r="AD1361" t="inlineStr">
        <is>
          <t>TRUMBULL CAREER &amp; TECH CENTER</t>
        </is>
      </c>
      <c r="AE1361" t="inlineStr">
        <is>
          <t>WARREN CITY</t>
        </is>
      </c>
      <c r="AF1361" t="inlineStr">
        <is>
          <t>WARREN CITY SD</t>
        </is>
      </c>
      <c r="AH1361" t="n">
        <v>14</v>
      </c>
      <c r="AI1361" t="n">
        <v>11</v>
      </c>
      <c r="AN1361" t="inlineStr">
        <is>
          <t>WARREN</t>
        </is>
      </c>
      <c r="AO1361" t="inlineStr">
        <is>
          <t>WARREN CITY 4D</t>
        </is>
      </c>
      <c r="AP1361" t="inlineStr">
        <is>
          <t>78-P-ADL</t>
        </is>
      </c>
      <c r="AQ1361" t="n">
        <v>9</v>
      </c>
      <c r="AR1361" t="n">
        <v>64</v>
      </c>
      <c r="AS1361" t="n">
        <v>32</v>
      </c>
      <c r="AU1361">
        <f>COUNTA($BA$1361:$EH$1361)</f>
        <v/>
      </c>
      <c r="AV1361">
        <f>COUNTIF($BA$1361:$EH$1361,"D")</f>
        <v/>
      </c>
      <c r="AW1361">
        <f>COUNTIF($BA$1361:$EH$1361,"R")</f>
        <v/>
      </c>
      <c r="AX1361">
        <f>IF(BN1361="D",1,0)+IF(BO1361="D",1,0)+IF(BT1361="D",1,0)+IF(BU1361="D",1,0)+IF(BW1361="D",1,0)+IF(CC1361="D",1,0)+IF(CD1361="D",1,0)+IF(CE1361="D",1,0)+IF(CF1361="D",1,0)+IF(CL1361="D",1,0)+IF(CM1361="D",1,0)+IF(CQ1361="D",1,0)+IF(CR1361="D",1,0)+IF(CS1361="D",1,0)+IF(CW1361="D",1,0)+IF(CX1361="D",1,0)+IF(DD1361="D",1,0)+IF(DE1361="D",1,0)+IF(DJ1361="D",1,0)+IF(DK1361="D",1,0)+IF(DO1361="D",1,0)+IF(DP1361="D",1,0)+IF(DQ1361="D",1,0)+IF(DW1361="D",1,0)+IF(DZ1361="D",1,0)+IF(EH1361="D",1,0)</f>
        <v/>
      </c>
      <c r="AY1361">
        <f>IF(DJ1361&lt;&gt;"",1,0)+IF(DK1361&lt;&gt;"",1,0)+IF(DM1361&lt;&gt;"",1,0)+IF(DO1361&lt;&gt;"",1,0)+IF(DP1361&lt;&gt;"",1,0)+IF(DQ1361&lt;&gt;"",1,0)+IF(DS1361&lt;&gt;"",1,0)+IF(DT1361&lt;&gt;"",1,0)+IF(DV1361&lt;&gt;"",1,0)+IF(DW1361&lt;&gt;"",1,0)+IF(DX1361&lt;&gt;"",1,0)+IF(DY1361&lt;&gt;"",1,0)+IF(DZ1361&lt;&gt;"",1,0)+IF(EB1361&lt;&gt;"",1,0)+IF(EC1361&lt;&gt;"",1,0)+IF(ED1361&lt;&gt;"",1,0)+IF(EG1361&lt;&gt;"",1,0)+IF(EH1361&lt;&gt;"",1,0)</f>
        <v/>
      </c>
      <c r="AZ1361">
        <f>IF(EH1361&lt;&gt;"",1,0)</f>
        <v/>
      </c>
      <c r="BB1361" t="inlineStr">
        <is>
          <t>WARREN-WARD 4</t>
        </is>
      </c>
      <c r="BL1361" t="inlineStr">
        <is>
          <t>X</t>
        </is>
      </c>
      <c r="CA1361" t="inlineStr">
        <is>
          <t>X</t>
        </is>
      </c>
      <c r="CY1361" t="inlineStr">
        <is>
          <t>X</t>
        </is>
      </c>
      <c r="DC1361" t="inlineStr">
        <is>
          <t>X</t>
        </is>
      </c>
    </row>
    <row r="1362">
      <c r="A1362" t="inlineStr">
        <is>
          <t>OH0023187902</t>
        </is>
      </c>
      <c r="B1362" t="n">
        <v>78</v>
      </c>
      <c r="C1362" t="n">
        <v>408142</v>
      </c>
      <c r="D1362" t="inlineStr">
        <is>
          <t>HAYS</t>
        </is>
      </c>
      <c r="E1362" t="inlineStr">
        <is>
          <t>DONALD</t>
        </is>
      </c>
      <c r="F1362">
        <f>CONCATENATE(D1362," ",LEFT(H1362,4),"T=",AU1362,"D=",AV1362,"R=",AW1362,"M=",AX1362,"L=",AY1362,"B=",AZ1362)</f>
        <v/>
      </c>
      <c r="G1362" t="inlineStr">
        <is>
          <t>FRANKLIN</t>
        </is>
      </c>
      <c r="H1362" t="inlineStr">
        <is>
          <t>IV</t>
        </is>
      </c>
      <c r="I1362" t="inlineStr">
        <is>
          <t>1981-02-23</t>
        </is>
      </c>
      <c r="J1362" t="inlineStr">
        <is>
          <t>2023-03-06</t>
        </is>
      </c>
      <c r="K1362" t="inlineStr">
        <is>
          <t>ACTIVE</t>
        </is>
      </c>
      <c r="M1362" t="inlineStr">
        <is>
          <t>464 WASHINGTON ST NE</t>
        </is>
      </c>
      <c r="N1362">
        <f>RIGHT(M1362,LEN(M1362)-FIND(" ",M1362))</f>
        <v/>
      </c>
      <c r="P1362" t="inlineStr">
        <is>
          <t>WARREN</t>
        </is>
      </c>
      <c r="Q1362" t="inlineStr">
        <is>
          <t>OH</t>
        </is>
      </c>
      <c r="R1362" t="n">
        <v>44483</v>
      </c>
      <c r="AD1362" t="inlineStr">
        <is>
          <t>TRUMBULL CAREER &amp; TECH CENTER</t>
        </is>
      </c>
      <c r="AE1362" t="inlineStr">
        <is>
          <t>WARREN CITY</t>
        </is>
      </c>
      <c r="AF1362" t="inlineStr">
        <is>
          <t>WARREN CITY SD</t>
        </is>
      </c>
      <c r="AH1362" t="n">
        <v>14</v>
      </c>
      <c r="AI1362" t="n">
        <v>11</v>
      </c>
      <c r="AN1362" t="inlineStr">
        <is>
          <t>WARREN</t>
        </is>
      </c>
      <c r="AO1362" t="inlineStr">
        <is>
          <t>WARREN CITY 4D</t>
        </is>
      </c>
      <c r="AP1362" t="inlineStr">
        <is>
          <t>78-P-ADL</t>
        </is>
      </c>
      <c r="AQ1362" t="n">
        <v>9</v>
      </c>
      <c r="AR1362" t="n">
        <v>64</v>
      </c>
      <c r="AS1362" t="n">
        <v>32</v>
      </c>
      <c r="AU1362">
        <f>COUNTA($BA$1362:$EH$1362)</f>
        <v/>
      </c>
      <c r="AV1362">
        <f>COUNTIF($BA$1362:$EH$1362,"D")</f>
        <v/>
      </c>
      <c r="AW1362">
        <f>COUNTIF($BA$1362:$EH$1362,"R")</f>
        <v/>
      </c>
      <c r="AX1362">
        <f>IF(BN1362="D",1,0)+IF(BO1362="D",1,0)+IF(BT1362="D",1,0)+IF(BU1362="D",1,0)+IF(BW1362="D",1,0)+IF(CC1362="D",1,0)+IF(CD1362="D",1,0)+IF(CE1362="D",1,0)+IF(CF1362="D",1,0)+IF(CL1362="D",1,0)+IF(CM1362="D",1,0)+IF(CQ1362="D",1,0)+IF(CR1362="D",1,0)+IF(CS1362="D",1,0)+IF(CW1362="D",1,0)+IF(CX1362="D",1,0)+IF(DD1362="D",1,0)+IF(DE1362="D",1,0)+IF(DJ1362="D",1,0)+IF(DK1362="D",1,0)+IF(DO1362="D",1,0)+IF(DP1362="D",1,0)+IF(DQ1362="D",1,0)+IF(DW1362="D",1,0)+IF(DZ1362="D",1,0)+IF(EH1362="D",1,0)</f>
        <v/>
      </c>
      <c r="AY1362">
        <f>IF(DJ1362&lt;&gt;"",1,0)+IF(DK1362&lt;&gt;"",1,0)+IF(DM1362&lt;&gt;"",1,0)+IF(DO1362&lt;&gt;"",1,0)+IF(DP1362&lt;&gt;"",1,0)+IF(DQ1362&lt;&gt;"",1,0)+IF(DS1362&lt;&gt;"",1,0)+IF(DT1362&lt;&gt;"",1,0)+IF(DV1362&lt;&gt;"",1,0)+IF(DW1362&lt;&gt;"",1,0)+IF(DX1362&lt;&gt;"",1,0)+IF(DY1362&lt;&gt;"",1,0)+IF(DZ1362&lt;&gt;"",1,0)+IF(EB1362&lt;&gt;"",1,0)+IF(EC1362&lt;&gt;"",1,0)+IF(ED1362&lt;&gt;"",1,0)+IF(EG1362&lt;&gt;"",1,0)+IF(EH1362&lt;&gt;"",1,0)</f>
        <v/>
      </c>
      <c r="AZ1362">
        <f>IF(EH1362&lt;&gt;"",1,0)</f>
        <v/>
      </c>
      <c r="BB1362" t="inlineStr">
        <is>
          <t>WARREN-WARD 4</t>
        </is>
      </c>
    </row>
    <row r="1363">
      <c r="A1363" t="inlineStr">
        <is>
          <t>OH0027724337</t>
        </is>
      </c>
      <c r="B1363" t="n">
        <v>78</v>
      </c>
      <c r="C1363" t="n">
        <v>491265</v>
      </c>
      <c r="D1363" t="inlineStr">
        <is>
          <t>BAILES</t>
        </is>
      </c>
      <c r="E1363" t="inlineStr">
        <is>
          <t>ELIZABETH</t>
        </is>
      </c>
      <c r="F1363">
        <f>CONCATENATE(D1363," ",LEFT(H1363,4),"T=",AU1363,"D=",AV1363,"R=",AW1363,"M=",AX1363,"L=",AY1363,"B=",AZ1363)</f>
        <v/>
      </c>
      <c r="G1363" t="inlineStr">
        <is>
          <t>L</t>
        </is>
      </c>
      <c r="I1363" t="inlineStr">
        <is>
          <t>1973-06-04</t>
        </is>
      </c>
      <c r="J1363" t="inlineStr">
        <is>
          <t>2025-06-06</t>
        </is>
      </c>
      <c r="K1363" t="inlineStr">
        <is>
          <t>ACTIVE</t>
        </is>
      </c>
      <c r="M1363" t="inlineStr">
        <is>
          <t>338 CHESTNUT AVE NE</t>
        </is>
      </c>
      <c r="N1363">
        <f>RIGHT(M1363,LEN(M1363)-FIND(" ",M1363))</f>
        <v/>
      </c>
      <c r="P1363" t="inlineStr">
        <is>
          <t>WARREN</t>
        </is>
      </c>
      <c r="Q1363" t="inlineStr">
        <is>
          <t>OH</t>
        </is>
      </c>
      <c r="R1363" t="n">
        <v>44483</v>
      </c>
      <c r="AD1363" t="inlineStr">
        <is>
          <t>TRUMBULL CAREER &amp; TECH CENTER</t>
        </is>
      </c>
      <c r="AE1363" t="inlineStr">
        <is>
          <t>WARREN CITY</t>
        </is>
      </c>
      <c r="AF1363" t="inlineStr">
        <is>
          <t>WARREN CITY SD</t>
        </is>
      </c>
      <c r="AH1363" t="n">
        <v>14</v>
      </c>
      <c r="AI1363" t="n">
        <v>11</v>
      </c>
      <c r="AN1363" t="inlineStr">
        <is>
          <t>WARREN</t>
        </is>
      </c>
      <c r="AO1363" t="inlineStr">
        <is>
          <t>WARREN CITY 4D</t>
        </is>
      </c>
      <c r="AP1363" t="inlineStr">
        <is>
          <t>78-P-ADL</t>
        </is>
      </c>
      <c r="AQ1363" t="n">
        <v>9</v>
      </c>
      <c r="AR1363" t="n">
        <v>64</v>
      </c>
      <c r="AS1363" t="n">
        <v>32</v>
      </c>
      <c r="AU1363">
        <f>COUNTA($BA$1363:$EH$1363)</f>
        <v/>
      </c>
      <c r="AV1363">
        <f>COUNTIF($BA$1363:$EH$1363,"D")</f>
        <v/>
      </c>
      <c r="AW1363">
        <f>COUNTIF($BA$1363:$EH$1363,"R")</f>
        <v/>
      </c>
      <c r="AX1363">
        <f>IF(BN1363="D",1,0)+IF(BO1363="D",1,0)+IF(BT1363="D",1,0)+IF(BU1363="D",1,0)+IF(BW1363="D",1,0)+IF(CC1363="D",1,0)+IF(CD1363="D",1,0)+IF(CE1363="D",1,0)+IF(CF1363="D",1,0)+IF(CL1363="D",1,0)+IF(CM1363="D",1,0)+IF(CQ1363="D",1,0)+IF(CR1363="D",1,0)+IF(CS1363="D",1,0)+IF(CW1363="D",1,0)+IF(CX1363="D",1,0)+IF(DD1363="D",1,0)+IF(DE1363="D",1,0)+IF(DJ1363="D",1,0)+IF(DK1363="D",1,0)+IF(DO1363="D",1,0)+IF(DP1363="D",1,0)+IF(DQ1363="D",1,0)+IF(DW1363="D",1,0)+IF(DZ1363="D",1,0)+IF(EH1363="D",1,0)</f>
        <v/>
      </c>
      <c r="AY1363">
        <f>IF(DJ1363&lt;&gt;"",1,0)+IF(DK1363&lt;&gt;"",1,0)+IF(DM1363&lt;&gt;"",1,0)+IF(DO1363&lt;&gt;"",1,0)+IF(DP1363&lt;&gt;"",1,0)+IF(DQ1363&lt;&gt;"",1,0)+IF(DS1363&lt;&gt;"",1,0)+IF(DT1363&lt;&gt;"",1,0)+IF(DV1363&lt;&gt;"",1,0)+IF(DW1363&lt;&gt;"",1,0)+IF(DX1363&lt;&gt;"",1,0)+IF(DY1363&lt;&gt;"",1,0)+IF(DZ1363&lt;&gt;"",1,0)+IF(EB1363&lt;&gt;"",1,0)+IF(EC1363&lt;&gt;"",1,0)+IF(ED1363&lt;&gt;"",1,0)+IF(EG1363&lt;&gt;"",1,0)+IF(EH1363&lt;&gt;"",1,0)</f>
        <v/>
      </c>
      <c r="AZ1363">
        <f>IF(EH1363&lt;&gt;"",1,0)</f>
        <v/>
      </c>
      <c r="BB1363" t="inlineStr">
        <is>
          <t>WARREN-WARD 4</t>
        </is>
      </c>
      <c r="EF1363" t="inlineStr">
        <is>
          <t>X</t>
        </is>
      </c>
    </row>
    <row r="1364">
      <c r="A1364" t="inlineStr">
        <is>
          <t>OH0026851061</t>
        </is>
      </c>
      <c r="B1364" t="n">
        <v>78</v>
      </c>
      <c r="C1364" t="n">
        <v>472443</v>
      </c>
      <c r="D1364" t="inlineStr">
        <is>
          <t>MOORHEAD</t>
        </is>
      </c>
      <c r="E1364" t="inlineStr">
        <is>
          <t>TYLER</t>
        </is>
      </c>
      <c r="F1364">
        <f>CONCATENATE(D1364," ",LEFT(H1364,4),"T=",AU1364,"D=",AV1364,"R=",AW1364,"M=",AX1364,"L=",AY1364,"B=",AZ1364)</f>
        <v/>
      </c>
      <c r="G1364" t="inlineStr">
        <is>
          <t>JOSEPH</t>
        </is>
      </c>
      <c r="I1364" t="inlineStr">
        <is>
          <t>2000-11-03</t>
        </is>
      </c>
      <c r="J1364" t="inlineStr">
        <is>
          <t>2024-11-05</t>
        </is>
      </c>
      <c r="K1364" t="inlineStr">
        <is>
          <t>ACTIVE</t>
        </is>
      </c>
      <c r="M1364" t="inlineStr">
        <is>
          <t>1235 MCKINLEY ST NE</t>
        </is>
      </c>
      <c r="N1364">
        <f>RIGHT(M1364,LEN(M1364)-FIND(" ",M1364))</f>
        <v/>
      </c>
      <c r="P1364" t="inlineStr">
        <is>
          <t>WARREN</t>
        </is>
      </c>
      <c r="Q1364" t="inlineStr">
        <is>
          <t>OH</t>
        </is>
      </c>
      <c r="R1364" t="n">
        <v>44483</v>
      </c>
      <c r="AD1364" t="inlineStr">
        <is>
          <t>TRUMBULL CAREER &amp; TECH CENTER</t>
        </is>
      </c>
      <c r="AE1364" t="inlineStr">
        <is>
          <t>WARREN CITY</t>
        </is>
      </c>
      <c r="AF1364" t="inlineStr">
        <is>
          <t>WARREN CITY SD</t>
        </is>
      </c>
      <c r="AH1364" t="n">
        <v>14</v>
      </c>
      <c r="AI1364" t="n">
        <v>11</v>
      </c>
      <c r="AN1364" t="inlineStr">
        <is>
          <t>WARREN</t>
        </is>
      </c>
      <c r="AO1364" t="inlineStr">
        <is>
          <t>WARREN CITY 4D</t>
        </is>
      </c>
      <c r="AP1364" t="inlineStr">
        <is>
          <t>78-P-ADL</t>
        </is>
      </c>
      <c r="AQ1364" t="n">
        <v>9</v>
      </c>
      <c r="AR1364" t="n">
        <v>64</v>
      </c>
      <c r="AS1364" t="n">
        <v>32</v>
      </c>
      <c r="AU1364">
        <f>COUNTA($BA$1364:$EH$1364)</f>
        <v/>
      </c>
      <c r="AV1364">
        <f>COUNTIF($BA$1364:$EH$1364,"D")</f>
        <v/>
      </c>
      <c r="AW1364">
        <f>COUNTIF($BA$1364:$EH$1364,"R")</f>
        <v/>
      </c>
      <c r="AX1364">
        <f>IF(BN1364="D",1,0)+IF(BO1364="D",1,0)+IF(BT1364="D",1,0)+IF(BU1364="D",1,0)+IF(BW1364="D",1,0)+IF(CC1364="D",1,0)+IF(CD1364="D",1,0)+IF(CE1364="D",1,0)+IF(CF1364="D",1,0)+IF(CL1364="D",1,0)+IF(CM1364="D",1,0)+IF(CQ1364="D",1,0)+IF(CR1364="D",1,0)+IF(CS1364="D",1,0)+IF(CW1364="D",1,0)+IF(CX1364="D",1,0)+IF(DD1364="D",1,0)+IF(DE1364="D",1,0)+IF(DJ1364="D",1,0)+IF(DK1364="D",1,0)+IF(DO1364="D",1,0)+IF(DP1364="D",1,0)+IF(DQ1364="D",1,0)+IF(DW1364="D",1,0)+IF(DZ1364="D",1,0)+IF(EH1364="D",1,0)</f>
        <v/>
      </c>
      <c r="AY1364">
        <f>IF(DJ1364&lt;&gt;"",1,0)+IF(DK1364&lt;&gt;"",1,0)+IF(DM1364&lt;&gt;"",1,0)+IF(DO1364&lt;&gt;"",1,0)+IF(DP1364&lt;&gt;"",1,0)+IF(DQ1364&lt;&gt;"",1,0)+IF(DS1364&lt;&gt;"",1,0)+IF(DT1364&lt;&gt;"",1,0)+IF(DV1364&lt;&gt;"",1,0)+IF(DW1364&lt;&gt;"",1,0)+IF(DX1364&lt;&gt;"",1,0)+IF(DY1364&lt;&gt;"",1,0)+IF(DZ1364&lt;&gt;"",1,0)+IF(EB1364&lt;&gt;"",1,0)+IF(EC1364&lt;&gt;"",1,0)+IF(ED1364&lt;&gt;"",1,0)+IF(EG1364&lt;&gt;"",1,0)+IF(EH1364&lt;&gt;"",1,0)</f>
        <v/>
      </c>
      <c r="AZ1364">
        <f>IF(EH1364&lt;&gt;"",1,0)</f>
        <v/>
      </c>
      <c r="BB1364" t="inlineStr">
        <is>
          <t>WARREN-WARD 4</t>
        </is>
      </c>
    </row>
    <row r="1365">
      <c r="A1365" t="inlineStr">
        <is>
          <t>OH0015764315</t>
        </is>
      </c>
      <c r="B1365" t="n">
        <v>78</v>
      </c>
      <c r="C1365" t="n">
        <v>251679</v>
      </c>
      <c r="D1365" t="inlineStr">
        <is>
          <t>LEHMAN</t>
        </is>
      </c>
      <c r="E1365" t="inlineStr">
        <is>
          <t>HEATHER</t>
        </is>
      </c>
      <c r="F1365">
        <f>CONCATENATE(D1365," ",LEFT(H1365,4),"T=",AU1365,"D=",AV1365,"R=",AW1365,"M=",AX1365,"L=",AY1365,"B=",AZ1365)</f>
        <v/>
      </c>
      <c r="G1365" t="inlineStr">
        <is>
          <t>LYNN</t>
        </is>
      </c>
      <c r="I1365" t="inlineStr">
        <is>
          <t>1975-09-08</t>
        </is>
      </c>
      <c r="J1365" t="inlineStr">
        <is>
          <t>2025-04-24</t>
        </is>
      </c>
      <c r="K1365" t="inlineStr">
        <is>
          <t>ACTIVE</t>
        </is>
      </c>
      <c r="L1365" t="inlineStr">
        <is>
          <t>R</t>
        </is>
      </c>
      <c r="M1365" t="inlineStr">
        <is>
          <t>634 SAINT CLAIR DR NE</t>
        </is>
      </c>
      <c r="N1365">
        <f>RIGHT(M1365,LEN(M1365)-FIND(" ",M1365))</f>
        <v/>
      </c>
      <c r="P1365" t="inlineStr">
        <is>
          <t>WARREN</t>
        </is>
      </c>
      <c r="Q1365" t="inlineStr">
        <is>
          <t>OH</t>
        </is>
      </c>
      <c r="R1365" t="n">
        <v>44483</v>
      </c>
      <c r="AD1365" t="inlineStr">
        <is>
          <t>TRUMBULL CAREER &amp; TECH CENTER</t>
        </is>
      </c>
      <c r="AE1365" t="inlineStr">
        <is>
          <t>WARREN CITY</t>
        </is>
      </c>
      <c r="AF1365" t="inlineStr">
        <is>
          <t>WARREN CITY SD</t>
        </is>
      </c>
      <c r="AH1365" t="n">
        <v>14</v>
      </c>
      <c r="AI1365" t="n">
        <v>11</v>
      </c>
      <c r="AN1365" t="inlineStr">
        <is>
          <t>WARREN</t>
        </is>
      </c>
      <c r="AO1365" t="inlineStr">
        <is>
          <t>WARREN CITY 4D</t>
        </is>
      </c>
      <c r="AP1365" t="inlineStr">
        <is>
          <t>78-P-ADL</t>
        </is>
      </c>
      <c r="AQ1365" t="n">
        <v>9</v>
      </c>
      <c r="AR1365" t="n">
        <v>64</v>
      </c>
      <c r="AS1365" t="n">
        <v>32</v>
      </c>
      <c r="AU1365">
        <f>COUNTA($BA$1365:$EH$1365)</f>
        <v/>
      </c>
      <c r="AV1365">
        <f>COUNTIF($BA$1365:$EH$1365,"D")</f>
        <v/>
      </c>
      <c r="AW1365">
        <f>COUNTIF($BA$1365:$EH$1365,"R")</f>
        <v/>
      </c>
      <c r="AX1365">
        <f>IF(BN1365="D",1,0)+IF(BO1365="D",1,0)+IF(BT1365="D",1,0)+IF(BU1365="D",1,0)+IF(BW1365="D",1,0)+IF(CC1365="D",1,0)+IF(CD1365="D",1,0)+IF(CE1365="D",1,0)+IF(CF1365="D",1,0)+IF(CL1365="D",1,0)+IF(CM1365="D",1,0)+IF(CQ1365="D",1,0)+IF(CR1365="D",1,0)+IF(CS1365="D",1,0)+IF(CW1365="D",1,0)+IF(CX1365="D",1,0)+IF(DD1365="D",1,0)+IF(DE1365="D",1,0)+IF(DJ1365="D",1,0)+IF(DK1365="D",1,0)+IF(DO1365="D",1,0)+IF(DP1365="D",1,0)+IF(DQ1365="D",1,0)+IF(DW1365="D",1,0)+IF(DZ1365="D",1,0)+IF(EH1365="D",1,0)</f>
        <v/>
      </c>
      <c r="AY1365">
        <f>IF(DJ1365&lt;&gt;"",1,0)+IF(DK1365&lt;&gt;"",1,0)+IF(DM1365&lt;&gt;"",1,0)+IF(DO1365&lt;&gt;"",1,0)+IF(DP1365&lt;&gt;"",1,0)+IF(DQ1365&lt;&gt;"",1,0)+IF(DS1365&lt;&gt;"",1,0)+IF(DT1365&lt;&gt;"",1,0)+IF(DV1365&lt;&gt;"",1,0)+IF(DW1365&lt;&gt;"",1,0)+IF(DX1365&lt;&gt;"",1,0)+IF(DY1365&lt;&gt;"",1,0)+IF(DZ1365&lt;&gt;"",1,0)+IF(EB1365&lt;&gt;"",1,0)+IF(EC1365&lt;&gt;"",1,0)+IF(ED1365&lt;&gt;"",1,0)+IF(EG1365&lt;&gt;"",1,0)+IF(EH1365&lt;&gt;"",1,0)</f>
        <v/>
      </c>
      <c r="AZ1365">
        <f>IF(EH1365&lt;&gt;"",1,0)</f>
        <v/>
      </c>
      <c r="BB1365" t="inlineStr">
        <is>
          <t>WARREN-WARD 4</t>
        </is>
      </c>
      <c r="BD1365" t="inlineStr">
        <is>
          <t>X</t>
        </is>
      </c>
      <c r="BF1365" t="inlineStr">
        <is>
          <t>X</t>
        </is>
      </c>
      <c r="BG1365" t="inlineStr">
        <is>
          <t>X</t>
        </is>
      </c>
      <c r="BH1365" t="inlineStr">
        <is>
          <t>X</t>
        </is>
      </c>
      <c r="BJ1365" t="inlineStr">
        <is>
          <t>X</t>
        </is>
      </c>
      <c r="BK1365" t="inlineStr">
        <is>
          <t>X</t>
        </is>
      </c>
      <c r="BL1365" t="inlineStr">
        <is>
          <t>X</t>
        </is>
      </c>
      <c r="BR1365" t="inlineStr">
        <is>
          <t>X</t>
        </is>
      </c>
      <c r="BS1365" t="inlineStr">
        <is>
          <t>X</t>
        </is>
      </c>
      <c r="BV1365" t="inlineStr">
        <is>
          <t>X</t>
        </is>
      </c>
      <c r="BY1365" t="inlineStr">
        <is>
          <t>D</t>
        </is>
      </c>
      <c r="CA1365" t="inlineStr">
        <is>
          <t>X</t>
        </is>
      </c>
      <c r="CG1365" t="inlineStr">
        <is>
          <t>X</t>
        </is>
      </c>
      <c r="CH1365" t="inlineStr">
        <is>
          <t>R</t>
        </is>
      </c>
      <c r="CY1365" t="inlineStr">
        <is>
          <t>X</t>
        </is>
      </c>
      <c r="DC1365" t="inlineStr">
        <is>
          <t>X</t>
        </is>
      </c>
      <c r="DU1365" t="inlineStr">
        <is>
          <t>X</t>
        </is>
      </c>
      <c r="EA1365" t="inlineStr">
        <is>
          <t>X</t>
        </is>
      </c>
      <c r="ED1365" t="inlineStr">
        <is>
          <t>R</t>
        </is>
      </c>
      <c r="EF1365" t="inlineStr">
        <is>
          <t>X</t>
        </is>
      </c>
    </row>
    <row r="1366">
      <c r="A1366" t="inlineStr">
        <is>
          <t>OH0027472841</t>
        </is>
      </c>
      <c r="B1366" t="n">
        <v>78</v>
      </c>
      <c r="C1366" t="n">
        <v>486640</v>
      </c>
      <c r="D1366" t="inlineStr">
        <is>
          <t>ORTIZ</t>
        </is>
      </c>
      <c r="E1366" t="inlineStr">
        <is>
          <t>HAILEY</t>
        </is>
      </c>
      <c r="F1366">
        <f>CONCATENATE(D1366," ",LEFT(H1366,4),"T=",AU1366,"D=",AV1366,"R=",AW1366,"M=",AX1366,"L=",AY1366,"B=",AZ1366)</f>
        <v/>
      </c>
      <c r="G1366" t="inlineStr">
        <is>
          <t>COLLETTA</t>
        </is>
      </c>
      <c r="I1366" t="inlineStr">
        <is>
          <t>1996-09-09</t>
        </is>
      </c>
      <c r="J1366" t="inlineStr">
        <is>
          <t>2024-07-17</t>
        </is>
      </c>
      <c r="K1366" t="inlineStr">
        <is>
          <t>ACTIVE</t>
        </is>
      </c>
      <c r="M1366" t="inlineStr">
        <is>
          <t>620 HIGH ST NE</t>
        </is>
      </c>
      <c r="N1366">
        <f>RIGHT(M1366,LEN(M1366)-FIND(" ",M1366))</f>
        <v/>
      </c>
      <c r="P1366" t="inlineStr">
        <is>
          <t>WARREN</t>
        </is>
      </c>
      <c r="Q1366" t="inlineStr">
        <is>
          <t>OH</t>
        </is>
      </c>
      <c r="R1366" t="n">
        <v>44483</v>
      </c>
      <c r="AD1366" t="inlineStr">
        <is>
          <t>TRUMBULL CAREER &amp; TECH CENTER</t>
        </is>
      </c>
      <c r="AE1366" t="inlineStr">
        <is>
          <t>WARREN CITY</t>
        </is>
      </c>
      <c r="AF1366" t="inlineStr">
        <is>
          <t>WARREN CITY SD</t>
        </is>
      </c>
      <c r="AH1366" t="n">
        <v>14</v>
      </c>
      <c r="AI1366" t="n">
        <v>11</v>
      </c>
      <c r="AN1366" t="inlineStr">
        <is>
          <t>WARREN</t>
        </is>
      </c>
      <c r="AO1366" t="inlineStr">
        <is>
          <t>WARREN CITY 4D</t>
        </is>
      </c>
      <c r="AP1366" t="inlineStr">
        <is>
          <t>78-P-ADL</t>
        </is>
      </c>
      <c r="AQ1366" t="n">
        <v>9</v>
      </c>
      <c r="AR1366" t="n">
        <v>64</v>
      </c>
      <c r="AS1366" t="n">
        <v>32</v>
      </c>
      <c r="AU1366">
        <f>COUNTA($BA$1366:$EH$1366)</f>
        <v/>
      </c>
      <c r="AV1366">
        <f>COUNTIF($BA$1366:$EH$1366,"D")</f>
        <v/>
      </c>
      <c r="AW1366">
        <f>COUNTIF($BA$1366:$EH$1366,"R")</f>
        <v/>
      </c>
      <c r="AX1366">
        <f>IF(BN1366="D",1,0)+IF(BO1366="D",1,0)+IF(BT1366="D",1,0)+IF(BU1366="D",1,0)+IF(BW1366="D",1,0)+IF(CC1366="D",1,0)+IF(CD1366="D",1,0)+IF(CE1366="D",1,0)+IF(CF1366="D",1,0)+IF(CL1366="D",1,0)+IF(CM1366="D",1,0)+IF(CQ1366="D",1,0)+IF(CR1366="D",1,0)+IF(CS1366="D",1,0)+IF(CW1366="D",1,0)+IF(CX1366="D",1,0)+IF(DD1366="D",1,0)+IF(DE1366="D",1,0)+IF(DJ1366="D",1,0)+IF(DK1366="D",1,0)+IF(DO1366="D",1,0)+IF(DP1366="D",1,0)+IF(DQ1366="D",1,0)+IF(DW1366="D",1,0)+IF(DZ1366="D",1,0)+IF(EH1366="D",1,0)</f>
        <v/>
      </c>
      <c r="AY1366">
        <f>IF(DJ1366&lt;&gt;"",1,0)+IF(DK1366&lt;&gt;"",1,0)+IF(DM1366&lt;&gt;"",1,0)+IF(DO1366&lt;&gt;"",1,0)+IF(DP1366&lt;&gt;"",1,0)+IF(DQ1366&lt;&gt;"",1,0)+IF(DS1366&lt;&gt;"",1,0)+IF(DT1366&lt;&gt;"",1,0)+IF(DV1366&lt;&gt;"",1,0)+IF(DW1366&lt;&gt;"",1,0)+IF(DX1366&lt;&gt;"",1,0)+IF(DY1366&lt;&gt;"",1,0)+IF(DZ1366&lt;&gt;"",1,0)+IF(EB1366&lt;&gt;"",1,0)+IF(EC1366&lt;&gt;"",1,0)+IF(ED1366&lt;&gt;"",1,0)+IF(EG1366&lt;&gt;"",1,0)+IF(EH1366&lt;&gt;"",1,0)</f>
        <v/>
      </c>
      <c r="AZ1366">
        <f>IF(EH1366&lt;&gt;"",1,0)</f>
        <v/>
      </c>
      <c r="BB1366" t="inlineStr">
        <is>
          <t>WARREN-WARD 4</t>
        </is>
      </c>
    </row>
    <row r="1367">
      <c r="A1367" t="inlineStr">
        <is>
          <t>OH0026425759</t>
        </is>
      </c>
      <c r="B1367" t="n">
        <v>78</v>
      </c>
      <c r="C1367" t="n">
        <v>462024</v>
      </c>
      <c r="D1367" t="inlineStr">
        <is>
          <t>BURTT</t>
        </is>
      </c>
      <c r="E1367" t="inlineStr">
        <is>
          <t>TERRANCE</t>
        </is>
      </c>
      <c r="F1367">
        <f>CONCATENATE(D1367," ",LEFT(H1367,4),"T=",AU1367,"D=",AV1367,"R=",AW1367,"M=",AX1367,"L=",AY1367,"B=",AZ1367)</f>
        <v/>
      </c>
      <c r="G1367" t="inlineStr">
        <is>
          <t>FREDERICK</t>
        </is>
      </c>
      <c r="I1367" t="inlineStr">
        <is>
          <t>2001-09-02</t>
        </is>
      </c>
      <c r="J1367" t="inlineStr">
        <is>
          <t>2025-04-23</t>
        </is>
      </c>
      <c r="K1367" t="inlineStr">
        <is>
          <t>ACTIVE</t>
        </is>
      </c>
      <c r="M1367" t="inlineStr">
        <is>
          <t>156 WASHINGTON ST NE</t>
        </is>
      </c>
      <c r="N1367">
        <f>RIGHT(M1367,LEN(M1367)-FIND(" ",M1367))</f>
        <v/>
      </c>
      <c r="P1367" t="inlineStr">
        <is>
          <t>WARREN</t>
        </is>
      </c>
      <c r="Q1367" t="inlineStr">
        <is>
          <t>OH</t>
        </is>
      </c>
      <c r="R1367" t="n">
        <v>44483</v>
      </c>
      <c r="AD1367" t="inlineStr">
        <is>
          <t>TRUMBULL CAREER &amp; TECH CENTER</t>
        </is>
      </c>
      <c r="AE1367" t="inlineStr">
        <is>
          <t>WARREN CITY</t>
        </is>
      </c>
      <c r="AF1367" t="inlineStr">
        <is>
          <t>WARREN CITY SD</t>
        </is>
      </c>
      <c r="AH1367" t="n">
        <v>14</v>
      </c>
      <c r="AI1367" t="n">
        <v>11</v>
      </c>
      <c r="AN1367" t="inlineStr">
        <is>
          <t>WARREN</t>
        </is>
      </c>
      <c r="AO1367" t="inlineStr">
        <is>
          <t>WARREN CITY 4D</t>
        </is>
      </c>
      <c r="AP1367" t="inlineStr">
        <is>
          <t>78-P-ADL</t>
        </is>
      </c>
      <c r="AQ1367" t="n">
        <v>9</v>
      </c>
      <c r="AR1367" t="n">
        <v>64</v>
      </c>
      <c r="AS1367" t="n">
        <v>32</v>
      </c>
      <c r="AU1367">
        <f>COUNTA($BA$1367:$EH$1367)</f>
        <v/>
      </c>
      <c r="AV1367">
        <f>COUNTIF($BA$1367:$EH$1367,"D")</f>
        <v/>
      </c>
      <c r="AW1367">
        <f>COUNTIF($BA$1367:$EH$1367,"R")</f>
        <v/>
      </c>
      <c r="AX1367">
        <f>IF(BN1367="D",1,0)+IF(BO1367="D",1,0)+IF(BT1367="D",1,0)+IF(BU1367="D",1,0)+IF(BW1367="D",1,0)+IF(CC1367="D",1,0)+IF(CD1367="D",1,0)+IF(CE1367="D",1,0)+IF(CF1367="D",1,0)+IF(CL1367="D",1,0)+IF(CM1367="D",1,0)+IF(CQ1367="D",1,0)+IF(CR1367="D",1,0)+IF(CS1367="D",1,0)+IF(CW1367="D",1,0)+IF(CX1367="D",1,0)+IF(DD1367="D",1,0)+IF(DE1367="D",1,0)+IF(DJ1367="D",1,0)+IF(DK1367="D",1,0)+IF(DO1367="D",1,0)+IF(DP1367="D",1,0)+IF(DQ1367="D",1,0)+IF(DW1367="D",1,0)+IF(DZ1367="D",1,0)+IF(EH1367="D",1,0)</f>
        <v/>
      </c>
      <c r="AY1367">
        <f>IF(DJ1367&lt;&gt;"",1,0)+IF(DK1367&lt;&gt;"",1,0)+IF(DM1367&lt;&gt;"",1,0)+IF(DO1367&lt;&gt;"",1,0)+IF(DP1367&lt;&gt;"",1,0)+IF(DQ1367&lt;&gt;"",1,0)+IF(DS1367&lt;&gt;"",1,0)+IF(DT1367&lt;&gt;"",1,0)+IF(DV1367&lt;&gt;"",1,0)+IF(DW1367&lt;&gt;"",1,0)+IF(DX1367&lt;&gt;"",1,0)+IF(DY1367&lt;&gt;"",1,0)+IF(DZ1367&lt;&gt;"",1,0)+IF(EB1367&lt;&gt;"",1,0)+IF(EC1367&lt;&gt;"",1,0)+IF(ED1367&lt;&gt;"",1,0)+IF(EG1367&lt;&gt;"",1,0)+IF(EH1367&lt;&gt;"",1,0)</f>
        <v/>
      </c>
      <c r="AZ1367">
        <f>IF(EH1367&lt;&gt;"",1,0)</f>
        <v/>
      </c>
      <c r="BB1367" t="inlineStr">
        <is>
          <t>WARREN-WARD 4</t>
        </is>
      </c>
    </row>
    <row r="1368">
      <c r="A1368" t="inlineStr">
        <is>
          <t>OH0025135208</t>
        </is>
      </c>
      <c r="B1368" t="n">
        <v>78</v>
      </c>
      <c r="C1368" t="n">
        <v>440224</v>
      </c>
      <c r="D1368" t="inlineStr">
        <is>
          <t>TOLLIVER</t>
        </is>
      </c>
      <c r="E1368" t="inlineStr">
        <is>
          <t>MATTHEW</t>
        </is>
      </c>
      <c r="F1368">
        <f>CONCATENATE(D1368," ",LEFT(H1368,4),"T=",AU1368,"D=",AV1368,"R=",AW1368,"M=",AX1368,"L=",AY1368,"B=",AZ1368)</f>
        <v/>
      </c>
      <c r="G1368" t="inlineStr">
        <is>
          <t>H</t>
        </is>
      </c>
      <c r="I1368" t="inlineStr">
        <is>
          <t>2000-08-22</t>
        </is>
      </c>
      <c r="J1368" t="inlineStr">
        <is>
          <t>2019-07-09</t>
        </is>
      </c>
      <c r="K1368" t="inlineStr">
        <is>
          <t>CONFIRMATION</t>
        </is>
      </c>
      <c r="M1368" t="inlineStr">
        <is>
          <t>257 WASHINGTON ST NW</t>
        </is>
      </c>
      <c r="N1368">
        <f>RIGHT(M1368,LEN(M1368)-FIND(" ",M1368))</f>
        <v/>
      </c>
      <c r="O1368" t="inlineStr">
        <is>
          <t>APT 2</t>
        </is>
      </c>
      <c r="P1368" t="inlineStr">
        <is>
          <t>WARREN</t>
        </is>
      </c>
      <c r="Q1368" t="inlineStr">
        <is>
          <t>OH</t>
        </is>
      </c>
      <c r="R1368" t="n">
        <v>44483</v>
      </c>
      <c r="AD1368" t="inlineStr">
        <is>
          <t>TRUMBULL CAREER &amp; TECH CENTER</t>
        </is>
      </c>
      <c r="AE1368" t="inlineStr">
        <is>
          <t>WARREN CITY</t>
        </is>
      </c>
      <c r="AF1368" t="inlineStr">
        <is>
          <t>WARREN CITY SD</t>
        </is>
      </c>
      <c r="AH1368" t="n">
        <v>14</v>
      </c>
      <c r="AI1368" t="n">
        <v>11</v>
      </c>
      <c r="AN1368" t="inlineStr">
        <is>
          <t>WARREN</t>
        </is>
      </c>
      <c r="AO1368" t="inlineStr">
        <is>
          <t>WARREN CITY 4D</t>
        </is>
      </c>
      <c r="AP1368" t="inlineStr">
        <is>
          <t>78-P-ADL</t>
        </is>
      </c>
      <c r="AQ1368" t="n">
        <v>9</v>
      </c>
      <c r="AR1368" t="n">
        <v>64</v>
      </c>
      <c r="AS1368" t="n">
        <v>32</v>
      </c>
      <c r="AU1368">
        <f>COUNTA($BA$1368:$EH$1368)</f>
        <v/>
      </c>
      <c r="AV1368">
        <f>COUNTIF($BA$1368:$EH$1368,"D")</f>
        <v/>
      </c>
      <c r="AW1368">
        <f>COUNTIF($BA$1368:$EH$1368,"R")</f>
        <v/>
      </c>
      <c r="AX1368">
        <f>IF(BN1368="D",1,0)+IF(BO1368="D",1,0)+IF(BT1368="D",1,0)+IF(BU1368="D",1,0)+IF(BW1368="D",1,0)+IF(CC1368="D",1,0)+IF(CD1368="D",1,0)+IF(CE1368="D",1,0)+IF(CF1368="D",1,0)+IF(CL1368="D",1,0)+IF(CM1368="D",1,0)+IF(CQ1368="D",1,0)+IF(CR1368="D",1,0)+IF(CS1368="D",1,0)+IF(CW1368="D",1,0)+IF(CX1368="D",1,0)+IF(DD1368="D",1,0)+IF(DE1368="D",1,0)+IF(DJ1368="D",1,0)+IF(DK1368="D",1,0)+IF(DO1368="D",1,0)+IF(DP1368="D",1,0)+IF(DQ1368="D",1,0)+IF(DW1368="D",1,0)+IF(DZ1368="D",1,0)+IF(EH1368="D",1,0)</f>
        <v/>
      </c>
      <c r="AY1368">
        <f>IF(DJ1368&lt;&gt;"",1,0)+IF(DK1368&lt;&gt;"",1,0)+IF(DM1368&lt;&gt;"",1,0)+IF(DO1368&lt;&gt;"",1,0)+IF(DP1368&lt;&gt;"",1,0)+IF(DQ1368&lt;&gt;"",1,0)+IF(DS1368&lt;&gt;"",1,0)+IF(DT1368&lt;&gt;"",1,0)+IF(DV1368&lt;&gt;"",1,0)+IF(DW1368&lt;&gt;"",1,0)+IF(DX1368&lt;&gt;"",1,0)+IF(DY1368&lt;&gt;"",1,0)+IF(DZ1368&lt;&gt;"",1,0)+IF(EB1368&lt;&gt;"",1,0)+IF(EC1368&lt;&gt;"",1,0)+IF(ED1368&lt;&gt;"",1,0)+IF(EG1368&lt;&gt;"",1,0)+IF(EH1368&lt;&gt;"",1,0)</f>
        <v/>
      </c>
      <c r="AZ1368">
        <f>IF(EH1368&lt;&gt;"",1,0)</f>
        <v/>
      </c>
      <c r="BB1368" t="inlineStr">
        <is>
          <t>WARREN-WARD 4</t>
        </is>
      </c>
    </row>
    <row r="1369">
      <c r="A1369" t="inlineStr">
        <is>
          <t>OH0015763022</t>
        </is>
      </c>
      <c r="B1369" t="n">
        <v>78</v>
      </c>
      <c r="C1369" t="n">
        <v>290472</v>
      </c>
      <c r="D1369" t="inlineStr">
        <is>
          <t>COPELAND</t>
        </is>
      </c>
      <c r="E1369" t="inlineStr">
        <is>
          <t>DAVID</t>
        </is>
      </c>
      <c r="F1369">
        <f>CONCATENATE(D1369," ",LEFT(H1369,4),"T=",AU1369,"D=",AV1369,"R=",AW1369,"M=",AX1369,"L=",AY1369,"B=",AZ1369)</f>
        <v/>
      </c>
      <c r="G1369" t="inlineStr">
        <is>
          <t>W</t>
        </is>
      </c>
      <c r="I1369" t="inlineStr">
        <is>
          <t>1980-06-04</t>
        </is>
      </c>
      <c r="J1369" t="inlineStr">
        <is>
          <t>2019-07-09</t>
        </is>
      </c>
      <c r="K1369" t="inlineStr">
        <is>
          <t>CONFIRMATION</t>
        </is>
      </c>
      <c r="M1369" t="inlineStr">
        <is>
          <t>442 SCOTT ST NE</t>
        </is>
      </c>
      <c r="N1369">
        <f>RIGHT(M1369,LEN(M1369)-FIND(" ",M1369))</f>
        <v/>
      </c>
      <c r="P1369" t="inlineStr">
        <is>
          <t>WARREN</t>
        </is>
      </c>
      <c r="Q1369" t="inlineStr">
        <is>
          <t>OH</t>
        </is>
      </c>
      <c r="R1369" t="n">
        <v>44483</v>
      </c>
      <c r="AD1369" t="inlineStr">
        <is>
          <t>TRUMBULL CAREER &amp; TECH CENTER</t>
        </is>
      </c>
      <c r="AE1369" t="inlineStr">
        <is>
          <t>WARREN CITY</t>
        </is>
      </c>
      <c r="AF1369" t="inlineStr">
        <is>
          <t>WARREN CITY SD</t>
        </is>
      </c>
      <c r="AH1369" t="n">
        <v>14</v>
      </c>
      <c r="AI1369" t="n">
        <v>11</v>
      </c>
      <c r="AN1369" t="inlineStr">
        <is>
          <t>WARREN</t>
        </is>
      </c>
      <c r="AO1369" t="inlineStr">
        <is>
          <t>WARREN CITY 4D</t>
        </is>
      </c>
      <c r="AP1369" t="inlineStr">
        <is>
          <t>78-P-ADL</t>
        </is>
      </c>
      <c r="AQ1369" t="n">
        <v>9</v>
      </c>
      <c r="AR1369" t="n">
        <v>64</v>
      </c>
      <c r="AS1369" t="n">
        <v>32</v>
      </c>
      <c r="AU1369">
        <f>COUNTA($BA$1369:$EH$1369)</f>
        <v/>
      </c>
      <c r="AV1369">
        <f>COUNTIF($BA$1369:$EH$1369,"D")</f>
        <v/>
      </c>
      <c r="AW1369">
        <f>COUNTIF($BA$1369:$EH$1369,"R")</f>
        <v/>
      </c>
      <c r="AX1369">
        <f>IF(BN1369="D",1,0)+IF(BO1369="D",1,0)+IF(BT1369="D",1,0)+IF(BU1369="D",1,0)+IF(BW1369="D",1,0)+IF(CC1369="D",1,0)+IF(CD1369="D",1,0)+IF(CE1369="D",1,0)+IF(CF1369="D",1,0)+IF(CL1369="D",1,0)+IF(CM1369="D",1,0)+IF(CQ1369="D",1,0)+IF(CR1369="D",1,0)+IF(CS1369="D",1,0)+IF(CW1369="D",1,0)+IF(CX1369="D",1,0)+IF(DD1369="D",1,0)+IF(DE1369="D",1,0)+IF(DJ1369="D",1,0)+IF(DK1369="D",1,0)+IF(DO1369="D",1,0)+IF(DP1369="D",1,0)+IF(DQ1369="D",1,0)+IF(DW1369="D",1,0)+IF(DZ1369="D",1,0)+IF(EH1369="D",1,0)</f>
        <v/>
      </c>
      <c r="AY1369">
        <f>IF(DJ1369&lt;&gt;"",1,0)+IF(DK1369&lt;&gt;"",1,0)+IF(DM1369&lt;&gt;"",1,0)+IF(DO1369&lt;&gt;"",1,0)+IF(DP1369&lt;&gt;"",1,0)+IF(DQ1369&lt;&gt;"",1,0)+IF(DS1369&lt;&gt;"",1,0)+IF(DT1369&lt;&gt;"",1,0)+IF(DV1369&lt;&gt;"",1,0)+IF(DW1369&lt;&gt;"",1,0)+IF(DX1369&lt;&gt;"",1,0)+IF(DY1369&lt;&gt;"",1,0)+IF(DZ1369&lt;&gt;"",1,0)+IF(EB1369&lt;&gt;"",1,0)+IF(EC1369&lt;&gt;"",1,0)+IF(ED1369&lt;&gt;"",1,0)+IF(EG1369&lt;&gt;"",1,0)+IF(EH1369&lt;&gt;"",1,0)</f>
        <v/>
      </c>
      <c r="AZ1369">
        <f>IF(EH1369&lt;&gt;"",1,0)</f>
        <v/>
      </c>
      <c r="BB1369" t="inlineStr">
        <is>
          <t>WARREN-WARD 4</t>
        </is>
      </c>
      <c r="BL1369" t="inlineStr">
        <is>
          <t>X</t>
        </is>
      </c>
      <c r="CP1369" t="inlineStr">
        <is>
          <t>X</t>
        </is>
      </c>
      <c r="DC1369" t="inlineStr">
        <is>
          <t>X</t>
        </is>
      </c>
    </row>
    <row r="1370">
      <c r="A1370" t="inlineStr">
        <is>
          <t>OH0015715807</t>
        </is>
      </c>
      <c r="B1370" t="n">
        <v>78</v>
      </c>
      <c r="C1370" t="n">
        <v>191108</v>
      </c>
      <c r="D1370" t="inlineStr">
        <is>
          <t>SMITH</t>
        </is>
      </c>
      <c r="E1370" t="inlineStr">
        <is>
          <t>BRENDAN</t>
        </is>
      </c>
      <c r="F1370">
        <f>CONCATENATE(D1370," ",LEFT(H1370,4),"T=",AU1370,"D=",AV1370,"R=",AW1370,"M=",AX1370,"L=",AY1370,"B=",AZ1370)</f>
        <v/>
      </c>
      <c r="G1370" t="inlineStr">
        <is>
          <t>LOREN</t>
        </is>
      </c>
      <c r="I1370" t="inlineStr">
        <is>
          <t>1960-09-12</t>
        </is>
      </c>
      <c r="J1370" t="inlineStr">
        <is>
          <t>2020-04-06</t>
        </is>
      </c>
      <c r="K1370" t="inlineStr">
        <is>
          <t>CONFIRMATION</t>
        </is>
      </c>
      <c r="M1370" t="inlineStr">
        <is>
          <t>182 HIGH ST NE</t>
        </is>
      </c>
      <c r="N1370">
        <f>RIGHT(M1370,LEN(M1370)-FIND(" ",M1370))</f>
        <v/>
      </c>
      <c r="O1370" t="inlineStr">
        <is>
          <t>APT 201</t>
        </is>
      </c>
      <c r="P1370" t="inlineStr">
        <is>
          <t>WARREN</t>
        </is>
      </c>
      <c r="Q1370" t="inlineStr">
        <is>
          <t>OH</t>
        </is>
      </c>
      <c r="R1370" t="n">
        <v>44481</v>
      </c>
      <c r="AD1370" t="inlineStr">
        <is>
          <t>TRUMBULL CAREER &amp; TECH CENTER</t>
        </is>
      </c>
      <c r="AE1370" t="inlineStr">
        <is>
          <t>WARREN CITY</t>
        </is>
      </c>
      <c r="AF1370" t="inlineStr">
        <is>
          <t>WARREN CITY SD</t>
        </is>
      </c>
      <c r="AH1370" t="n">
        <v>14</v>
      </c>
      <c r="AI1370" t="n">
        <v>11</v>
      </c>
      <c r="AN1370" t="inlineStr">
        <is>
          <t>WARREN</t>
        </is>
      </c>
      <c r="AO1370" t="inlineStr">
        <is>
          <t>WARREN CITY 4D</t>
        </is>
      </c>
      <c r="AP1370" t="inlineStr">
        <is>
          <t>78-P-ADL</t>
        </is>
      </c>
      <c r="AQ1370" t="n">
        <v>9</v>
      </c>
      <c r="AR1370" t="n">
        <v>64</v>
      </c>
      <c r="AS1370" t="n">
        <v>32</v>
      </c>
      <c r="AU1370">
        <f>COUNTA($BA$1370:$EH$1370)</f>
        <v/>
      </c>
      <c r="AV1370">
        <f>COUNTIF($BA$1370:$EH$1370,"D")</f>
        <v/>
      </c>
      <c r="AW1370">
        <f>COUNTIF($BA$1370:$EH$1370,"R")</f>
        <v/>
      </c>
      <c r="AX1370">
        <f>IF(BN1370="D",1,0)+IF(BO1370="D",1,0)+IF(BT1370="D",1,0)+IF(BU1370="D",1,0)+IF(BW1370="D",1,0)+IF(CC1370="D",1,0)+IF(CD1370="D",1,0)+IF(CE1370="D",1,0)+IF(CF1370="D",1,0)+IF(CL1370="D",1,0)+IF(CM1370="D",1,0)+IF(CQ1370="D",1,0)+IF(CR1370="D",1,0)+IF(CS1370="D",1,0)+IF(CW1370="D",1,0)+IF(CX1370="D",1,0)+IF(DD1370="D",1,0)+IF(DE1370="D",1,0)+IF(DJ1370="D",1,0)+IF(DK1370="D",1,0)+IF(DO1370="D",1,0)+IF(DP1370="D",1,0)+IF(DQ1370="D",1,0)+IF(DW1370="D",1,0)+IF(DZ1370="D",1,0)+IF(EH1370="D",1,0)</f>
        <v/>
      </c>
      <c r="AY1370">
        <f>IF(DJ1370&lt;&gt;"",1,0)+IF(DK1370&lt;&gt;"",1,0)+IF(DM1370&lt;&gt;"",1,0)+IF(DO1370&lt;&gt;"",1,0)+IF(DP1370&lt;&gt;"",1,0)+IF(DQ1370&lt;&gt;"",1,0)+IF(DS1370&lt;&gt;"",1,0)+IF(DT1370&lt;&gt;"",1,0)+IF(DV1370&lt;&gt;"",1,0)+IF(DW1370&lt;&gt;"",1,0)+IF(DX1370&lt;&gt;"",1,0)+IF(DY1370&lt;&gt;"",1,0)+IF(DZ1370&lt;&gt;"",1,0)+IF(EB1370&lt;&gt;"",1,0)+IF(EC1370&lt;&gt;"",1,0)+IF(ED1370&lt;&gt;"",1,0)+IF(EG1370&lt;&gt;"",1,0)+IF(EH1370&lt;&gt;"",1,0)</f>
        <v/>
      </c>
      <c r="AZ1370">
        <f>IF(EH1370&lt;&gt;"",1,0)</f>
        <v/>
      </c>
      <c r="BB1370" t="inlineStr">
        <is>
          <t>WARREN-WARD 4</t>
        </is>
      </c>
      <c r="BD1370" t="inlineStr">
        <is>
          <t>X</t>
        </is>
      </c>
      <c r="BG1370" t="inlineStr">
        <is>
          <t>X</t>
        </is>
      </c>
      <c r="BH1370" t="inlineStr">
        <is>
          <t>X</t>
        </is>
      </c>
      <c r="BL1370" t="inlineStr">
        <is>
          <t>X</t>
        </is>
      </c>
      <c r="BS1370" t="inlineStr">
        <is>
          <t>X</t>
        </is>
      </c>
      <c r="BY1370" t="inlineStr">
        <is>
          <t>D</t>
        </is>
      </c>
      <c r="CA1370" t="inlineStr">
        <is>
          <t>X</t>
        </is>
      </c>
      <c r="CP1370" t="inlineStr">
        <is>
          <t>X</t>
        </is>
      </c>
      <c r="CY1370" t="inlineStr">
        <is>
          <t>X</t>
        </is>
      </c>
      <c r="CZ1370" t="inlineStr">
        <is>
          <t>D</t>
        </is>
      </c>
      <c r="DC1370" t="inlineStr">
        <is>
          <t>X</t>
        </is>
      </c>
      <c r="DI1370" t="inlineStr">
        <is>
          <t>X</t>
        </is>
      </c>
      <c r="DL1370" t="inlineStr">
        <is>
          <t>X</t>
        </is>
      </c>
    </row>
    <row r="1371">
      <c r="A1371" t="inlineStr">
        <is>
          <t>OH0015677838</t>
        </is>
      </c>
      <c r="B1371" t="n">
        <v>78</v>
      </c>
      <c r="C1371" t="n">
        <v>284640</v>
      </c>
      <c r="D1371" t="inlineStr">
        <is>
          <t>COOK</t>
        </is>
      </c>
      <c r="E1371" t="inlineStr">
        <is>
          <t>SHARIN</t>
        </is>
      </c>
      <c r="F1371">
        <f>CONCATENATE(D1371," ",LEFT(H1371,4),"T=",AU1371,"D=",AV1371,"R=",AW1371,"M=",AX1371,"L=",AY1371,"B=",AZ1371)</f>
        <v/>
      </c>
      <c r="G1371" t="inlineStr">
        <is>
          <t>L</t>
        </is>
      </c>
      <c r="I1371" t="inlineStr">
        <is>
          <t>1965-02-06</t>
        </is>
      </c>
      <c r="J1371" t="inlineStr">
        <is>
          <t>2016-05-09</t>
        </is>
      </c>
      <c r="K1371" t="inlineStr">
        <is>
          <t>ACTIVE</t>
        </is>
      </c>
      <c r="L1371" t="inlineStr">
        <is>
          <t>D</t>
        </is>
      </c>
      <c r="M1371" t="inlineStr">
        <is>
          <t>712 VINE AVE NE</t>
        </is>
      </c>
      <c r="N1371">
        <f>RIGHT(M1371,LEN(M1371)-FIND(" ",M1371))</f>
        <v/>
      </c>
      <c r="P1371" t="inlineStr">
        <is>
          <t>WARREN</t>
        </is>
      </c>
      <c r="Q1371" t="inlineStr">
        <is>
          <t>OH</t>
        </is>
      </c>
      <c r="R1371" t="n">
        <v>44483</v>
      </c>
      <c r="AD1371" t="inlineStr">
        <is>
          <t>TRUMBULL CAREER &amp; TECH CENTER</t>
        </is>
      </c>
      <c r="AE1371" t="inlineStr">
        <is>
          <t>WARREN CITY</t>
        </is>
      </c>
      <c r="AF1371" t="inlineStr">
        <is>
          <t>WARREN CITY SD</t>
        </is>
      </c>
      <c r="AH1371" t="n">
        <v>14</v>
      </c>
      <c r="AI1371" t="n">
        <v>11</v>
      </c>
      <c r="AN1371" t="inlineStr">
        <is>
          <t>WARREN</t>
        </is>
      </c>
      <c r="AO1371" t="inlineStr">
        <is>
          <t>WARREN CITY 4D</t>
        </is>
      </c>
      <c r="AP1371" t="inlineStr">
        <is>
          <t>78-P-ADL</t>
        </is>
      </c>
      <c r="AQ1371" t="n">
        <v>9</v>
      </c>
      <c r="AR1371" t="n">
        <v>64</v>
      </c>
      <c r="AS1371" t="n">
        <v>32</v>
      </c>
      <c r="AU1371">
        <f>COUNTA($BA$1371:$EH$1371)</f>
        <v/>
      </c>
      <c r="AV1371">
        <f>COUNTIF($BA$1371:$EH$1371,"D")</f>
        <v/>
      </c>
      <c r="AW1371">
        <f>COUNTIF($BA$1371:$EH$1371,"R")</f>
        <v/>
      </c>
      <c r="AX1371">
        <f>IF(BN1371="D",1,0)+IF(BO1371="D",1,0)+IF(BT1371="D",1,0)+IF(BU1371="D",1,0)+IF(BW1371="D",1,0)+IF(CC1371="D",1,0)+IF(CD1371="D",1,0)+IF(CE1371="D",1,0)+IF(CF1371="D",1,0)+IF(CL1371="D",1,0)+IF(CM1371="D",1,0)+IF(CQ1371="D",1,0)+IF(CR1371="D",1,0)+IF(CS1371="D",1,0)+IF(CW1371="D",1,0)+IF(CX1371="D",1,0)+IF(DD1371="D",1,0)+IF(DE1371="D",1,0)+IF(DJ1371="D",1,0)+IF(DK1371="D",1,0)+IF(DO1371="D",1,0)+IF(DP1371="D",1,0)+IF(DQ1371="D",1,0)+IF(DW1371="D",1,0)+IF(DZ1371="D",1,0)+IF(EH1371="D",1,0)</f>
        <v/>
      </c>
      <c r="AY1371">
        <f>IF(DJ1371&lt;&gt;"",1,0)+IF(DK1371&lt;&gt;"",1,0)+IF(DM1371&lt;&gt;"",1,0)+IF(DO1371&lt;&gt;"",1,0)+IF(DP1371&lt;&gt;"",1,0)+IF(DQ1371&lt;&gt;"",1,0)+IF(DS1371&lt;&gt;"",1,0)+IF(DT1371&lt;&gt;"",1,0)+IF(DV1371&lt;&gt;"",1,0)+IF(DW1371&lt;&gt;"",1,0)+IF(DX1371&lt;&gt;"",1,0)+IF(DY1371&lt;&gt;"",1,0)+IF(DZ1371&lt;&gt;"",1,0)+IF(EB1371&lt;&gt;"",1,0)+IF(EC1371&lt;&gt;"",1,0)+IF(ED1371&lt;&gt;"",1,0)+IF(EG1371&lt;&gt;"",1,0)+IF(EH1371&lt;&gt;"",1,0)</f>
        <v/>
      </c>
      <c r="AZ1371">
        <f>IF(EH1371&lt;&gt;"",1,0)</f>
        <v/>
      </c>
      <c r="BB1371" t="inlineStr">
        <is>
          <t>WARREN-WARD 4</t>
        </is>
      </c>
      <c r="BL1371" t="inlineStr">
        <is>
          <t>X</t>
        </is>
      </c>
      <c r="CA1371" t="inlineStr">
        <is>
          <t>X</t>
        </is>
      </c>
      <c r="CK1371" t="inlineStr">
        <is>
          <t>X</t>
        </is>
      </c>
      <c r="CL1371" t="inlineStr">
        <is>
          <t>D</t>
        </is>
      </c>
      <c r="CN1371" t="inlineStr">
        <is>
          <t>X</t>
        </is>
      </c>
      <c r="CY1371" t="inlineStr">
        <is>
          <t>X</t>
        </is>
      </c>
      <c r="CZ1371" t="inlineStr">
        <is>
          <t>R</t>
        </is>
      </c>
      <c r="DC1371" t="inlineStr">
        <is>
          <t>X</t>
        </is>
      </c>
      <c r="DN1371" t="inlineStr">
        <is>
          <t>X</t>
        </is>
      </c>
      <c r="DU1371" t="inlineStr">
        <is>
          <t>X</t>
        </is>
      </c>
      <c r="ED1371" t="inlineStr">
        <is>
          <t>D</t>
        </is>
      </c>
      <c r="EF1371" t="inlineStr">
        <is>
          <t>X</t>
        </is>
      </c>
    </row>
    <row r="1372">
      <c r="A1372" t="inlineStr">
        <is>
          <t>OH0024524985</t>
        </is>
      </c>
      <c r="B1372" t="n">
        <v>78</v>
      </c>
      <c r="C1372" t="n">
        <v>429861</v>
      </c>
      <c r="D1372" t="inlineStr">
        <is>
          <t>KELLEY</t>
        </is>
      </c>
      <c r="E1372" t="inlineStr">
        <is>
          <t>WILLIAM</t>
        </is>
      </c>
      <c r="F1372">
        <f>CONCATENATE(D1372," ",LEFT(H1372,4),"T=",AU1372,"D=",AV1372,"R=",AW1372,"M=",AX1372,"L=",AY1372,"B=",AZ1372)</f>
        <v/>
      </c>
      <c r="G1372" t="inlineStr">
        <is>
          <t>H</t>
        </is>
      </c>
      <c r="I1372" t="inlineStr">
        <is>
          <t>1973-09-25</t>
        </is>
      </c>
      <c r="J1372" t="inlineStr">
        <is>
          <t>2019-09-26</t>
        </is>
      </c>
      <c r="K1372" t="inlineStr">
        <is>
          <t>CONFIRMATION</t>
        </is>
      </c>
      <c r="M1372" t="inlineStr">
        <is>
          <t>890 HARRISON ST NE</t>
        </is>
      </c>
      <c r="N1372">
        <f>RIGHT(M1372,LEN(M1372)-FIND(" ",M1372))</f>
        <v/>
      </c>
      <c r="P1372" t="inlineStr">
        <is>
          <t>WARREN</t>
        </is>
      </c>
      <c r="Q1372" t="inlineStr">
        <is>
          <t>OH</t>
        </is>
      </c>
      <c r="R1372" t="n">
        <v>44483</v>
      </c>
      <c r="AD1372" t="inlineStr">
        <is>
          <t>TRUMBULL CAREER &amp; TECH CENTER</t>
        </is>
      </c>
      <c r="AE1372" t="inlineStr">
        <is>
          <t>WARREN CITY</t>
        </is>
      </c>
      <c r="AF1372" t="inlineStr">
        <is>
          <t>WARREN CITY SD</t>
        </is>
      </c>
      <c r="AH1372" t="n">
        <v>14</v>
      </c>
      <c r="AI1372" t="n">
        <v>11</v>
      </c>
      <c r="AN1372" t="inlineStr">
        <is>
          <t>WARREN</t>
        </is>
      </c>
      <c r="AO1372" t="inlineStr">
        <is>
          <t>WARREN CITY 4D</t>
        </is>
      </c>
      <c r="AP1372" t="inlineStr">
        <is>
          <t>78-P-ADL</t>
        </is>
      </c>
      <c r="AQ1372" t="n">
        <v>9</v>
      </c>
      <c r="AR1372" t="n">
        <v>64</v>
      </c>
      <c r="AS1372" t="n">
        <v>32</v>
      </c>
      <c r="AU1372">
        <f>COUNTA($BA$1372:$EH$1372)</f>
        <v/>
      </c>
      <c r="AV1372">
        <f>COUNTIF($BA$1372:$EH$1372,"D")</f>
        <v/>
      </c>
      <c r="AW1372">
        <f>COUNTIF($BA$1372:$EH$1372,"R")</f>
        <v/>
      </c>
      <c r="AX1372">
        <f>IF(BN1372="D",1,0)+IF(BO1372="D",1,0)+IF(BT1372="D",1,0)+IF(BU1372="D",1,0)+IF(BW1372="D",1,0)+IF(CC1372="D",1,0)+IF(CD1372="D",1,0)+IF(CE1372="D",1,0)+IF(CF1372="D",1,0)+IF(CL1372="D",1,0)+IF(CM1372="D",1,0)+IF(CQ1372="D",1,0)+IF(CR1372="D",1,0)+IF(CS1372="D",1,0)+IF(CW1372="D",1,0)+IF(CX1372="D",1,0)+IF(DD1372="D",1,0)+IF(DE1372="D",1,0)+IF(DJ1372="D",1,0)+IF(DK1372="D",1,0)+IF(DO1372="D",1,0)+IF(DP1372="D",1,0)+IF(DQ1372="D",1,0)+IF(DW1372="D",1,0)+IF(DZ1372="D",1,0)+IF(EH1372="D",1,0)</f>
        <v/>
      </c>
      <c r="AY1372">
        <f>IF(DJ1372&lt;&gt;"",1,0)+IF(DK1372&lt;&gt;"",1,0)+IF(DM1372&lt;&gt;"",1,0)+IF(DO1372&lt;&gt;"",1,0)+IF(DP1372&lt;&gt;"",1,0)+IF(DQ1372&lt;&gt;"",1,0)+IF(DS1372&lt;&gt;"",1,0)+IF(DT1372&lt;&gt;"",1,0)+IF(DV1372&lt;&gt;"",1,0)+IF(DW1372&lt;&gt;"",1,0)+IF(DX1372&lt;&gt;"",1,0)+IF(DY1372&lt;&gt;"",1,0)+IF(DZ1372&lt;&gt;"",1,0)+IF(EB1372&lt;&gt;"",1,0)+IF(EC1372&lt;&gt;"",1,0)+IF(ED1372&lt;&gt;"",1,0)+IF(EG1372&lt;&gt;"",1,0)+IF(EH1372&lt;&gt;"",1,0)</f>
        <v/>
      </c>
      <c r="AZ1372">
        <f>IF(EH1372&lt;&gt;"",1,0)</f>
        <v/>
      </c>
      <c r="BB1372" t="inlineStr">
        <is>
          <t>WARREN-WARD 4</t>
        </is>
      </c>
    </row>
    <row r="1373">
      <c r="A1373" t="inlineStr">
        <is>
          <t>OH0025063507</t>
        </is>
      </c>
      <c r="B1373" t="n">
        <v>78</v>
      </c>
      <c r="C1373" t="n">
        <v>439085</v>
      </c>
      <c r="D1373" t="inlineStr">
        <is>
          <t>HAFNER</t>
        </is>
      </c>
      <c r="E1373" t="inlineStr">
        <is>
          <t>CHRISTOPHER</t>
        </is>
      </c>
      <c r="F1373">
        <f>CONCATENATE(D1373," ",LEFT(H1373,4),"T=",AU1373,"D=",AV1373,"R=",AW1373,"M=",AX1373,"L=",AY1373,"B=",AZ1373)</f>
        <v/>
      </c>
      <c r="G1373" t="inlineStr">
        <is>
          <t>N</t>
        </is>
      </c>
      <c r="I1373" t="inlineStr">
        <is>
          <t>2001-11-05</t>
        </is>
      </c>
      <c r="J1373" t="inlineStr">
        <is>
          <t>2020-02-18</t>
        </is>
      </c>
      <c r="K1373" t="inlineStr">
        <is>
          <t>ACTIVE</t>
        </is>
      </c>
      <c r="M1373" t="inlineStr">
        <is>
          <t>1205 HIGH ST NE</t>
        </is>
      </c>
      <c r="N1373">
        <f>RIGHT(M1373,LEN(M1373)-FIND(" ",M1373))</f>
        <v/>
      </c>
      <c r="P1373" t="inlineStr">
        <is>
          <t>WARREN</t>
        </is>
      </c>
      <c r="Q1373" t="inlineStr">
        <is>
          <t>OH</t>
        </is>
      </c>
      <c r="R1373" t="n">
        <v>44483</v>
      </c>
      <c r="AD1373" t="inlineStr">
        <is>
          <t>TRUMBULL CAREER &amp; TECH CENTER</t>
        </is>
      </c>
      <c r="AE1373" t="inlineStr">
        <is>
          <t>WARREN CITY</t>
        </is>
      </c>
      <c r="AF1373" t="inlineStr">
        <is>
          <t>WARREN CITY SD</t>
        </is>
      </c>
      <c r="AH1373" t="n">
        <v>14</v>
      </c>
      <c r="AI1373" t="n">
        <v>11</v>
      </c>
      <c r="AN1373" t="inlineStr">
        <is>
          <t>WARREN</t>
        </is>
      </c>
      <c r="AO1373" t="inlineStr">
        <is>
          <t>WARREN CITY 4D</t>
        </is>
      </c>
      <c r="AP1373" t="inlineStr">
        <is>
          <t>78-P-ADL</t>
        </is>
      </c>
      <c r="AQ1373" t="n">
        <v>9</v>
      </c>
      <c r="AR1373" t="n">
        <v>64</v>
      </c>
      <c r="AS1373" t="n">
        <v>32</v>
      </c>
      <c r="AU1373">
        <f>COUNTA($BA$1373:$EH$1373)</f>
        <v/>
      </c>
      <c r="AV1373">
        <f>COUNTIF($BA$1373:$EH$1373,"D")</f>
        <v/>
      </c>
      <c r="AW1373">
        <f>COUNTIF($BA$1373:$EH$1373,"R")</f>
        <v/>
      </c>
      <c r="AX1373">
        <f>IF(BN1373="D",1,0)+IF(BO1373="D",1,0)+IF(BT1373="D",1,0)+IF(BU1373="D",1,0)+IF(BW1373="D",1,0)+IF(CC1373="D",1,0)+IF(CD1373="D",1,0)+IF(CE1373="D",1,0)+IF(CF1373="D",1,0)+IF(CL1373="D",1,0)+IF(CM1373="D",1,0)+IF(CQ1373="D",1,0)+IF(CR1373="D",1,0)+IF(CS1373="D",1,0)+IF(CW1373="D",1,0)+IF(CX1373="D",1,0)+IF(DD1373="D",1,0)+IF(DE1373="D",1,0)+IF(DJ1373="D",1,0)+IF(DK1373="D",1,0)+IF(DO1373="D",1,0)+IF(DP1373="D",1,0)+IF(DQ1373="D",1,0)+IF(DW1373="D",1,0)+IF(DZ1373="D",1,0)+IF(EH1373="D",1,0)</f>
        <v/>
      </c>
      <c r="AY1373">
        <f>IF(DJ1373&lt;&gt;"",1,0)+IF(DK1373&lt;&gt;"",1,0)+IF(DM1373&lt;&gt;"",1,0)+IF(DO1373&lt;&gt;"",1,0)+IF(DP1373&lt;&gt;"",1,0)+IF(DQ1373&lt;&gt;"",1,0)+IF(DS1373&lt;&gt;"",1,0)+IF(DT1373&lt;&gt;"",1,0)+IF(DV1373&lt;&gt;"",1,0)+IF(DW1373&lt;&gt;"",1,0)+IF(DX1373&lt;&gt;"",1,0)+IF(DY1373&lt;&gt;"",1,0)+IF(DZ1373&lt;&gt;"",1,0)+IF(EB1373&lt;&gt;"",1,0)+IF(EC1373&lt;&gt;"",1,0)+IF(ED1373&lt;&gt;"",1,0)+IF(EG1373&lt;&gt;"",1,0)+IF(EH1373&lt;&gt;"",1,0)</f>
        <v/>
      </c>
      <c r="AZ1373">
        <f>IF(EH1373&lt;&gt;"",1,0)</f>
        <v/>
      </c>
      <c r="BB1373" t="inlineStr">
        <is>
          <t>WARREN-WARD 4</t>
        </is>
      </c>
    </row>
    <row r="1374">
      <c r="A1374" t="inlineStr">
        <is>
          <t>OH0027860680</t>
        </is>
      </c>
      <c r="B1374" t="n">
        <v>78</v>
      </c>
      <c r="C1374" t="n">
        <v>494556</v>
      </c>
      <c r="D1374" t="inlineStr">
        <is>
          <t>WALKER</t>
        </is>
      </c>
      <c r="E1374" t="inlineStr">
        <is>
          <t>JOHN</t>
        </is>
      </c>
      <c r="F1374">
        <f>CONCATENATE(D1374," ",LEFT(H1374,4),"T=",AU1374,"D=",AV1374,"R=",AW1374,"M=",AX1374,"L=",AY1374,"B=",AZ1374)</f>
        <v/>
      </c>
      <c r="G1374" t="inlineStr">
        <is>
          <t>ALLEN</t>
        </is>
      </c>
      <c r="H1374" t="inlineStr">
        <is>
          <t>SR</t>
        </is>
      </c>
      <c r="I1374" t="inlineStr">
        <is>
          <t>1967-07-22</t>
        </is>
      </c>
      <c r="J1374" t="inlineStr">
        <is>
          <t>2024-12-06</t>
        </is>
      </c>
      <c r="K1374" t="inlineStr">
        <is>
          <t>ACTIVE</t>
        </is>
      </c>
      <c r="M1374" t="inlineStr">
        <is>
          <t>162 CHESTNUT AVE NE</t>
        </is>
      </c>
      <c r="N1374">
        <f>RIGHT(M1374,LEN(M1374)-FIND(" ",M1374))</f>
        <v/>
      </c>
      <c r="P1374" t="inlineStr">
        <is>
          <t>WARREN</t>
        </is>
      </c>
      <c r="Q1374" t="inlineStr">
        <is>
          <t>OH</t>
        </is>
      </c>
      <c r="R1374" t="n">
        <v>44483</v>
      </c>
      <c r="AD1374" t="inlineStr">
        <is>
          <t>TRUMBULL CAREER &amp; TECH CENTER</t>
        </is>
      </c>
      <c r="AE1374" t="inlineStr">
        <is>
          <t>WARREN CITY</t>
        </is>
      </c>
      <c r="AF1374" t="inlineStr">
        <is>
          <t>WARREN CITY SD</t>
        </is>
      </c>
      <c r="AH1374" t="n">
        <v>14</v>
      </c>
      <c r="AI1374" t="n">
        <v>11</v>
      </c>
      <c r="AN1374" t="inlineStr">
        <is>
          <t>WARREN</t>
        </is>
      </c>
      <c r="AO1374" t="inlineStr">
        <is>
          <t>WARREN CITY 4D</t>
        </is>
      </c>
      <c r="AP1374" t="inlineStr">
        <is>
          <t>78-P-ADL</t>
        </is>
      </c>
      <c r="AQ1374" t="n">
        <v>9</v>
      </c>
      <c r="AR1374" t="n">
        <v>64</v>
      </c>
      <c r="AS1374" t="n">
        <v>32</v>
      </c>
      <c r="AU1374">
        <f>COUNTA($BA$1374:$EH$1374)</f>
        <v/>
      </c>
      <c r="AV1374">
        <f>COUNTIF($BA$1374:$EH$1374,"D")</f>
        <v/>
      </c>
      <c r="AW1374">
        <f>COUNTIF($BA$1374:$EH$1374,"R")</f>
        <v/>
      </c>
      <c r="AX1374">
        <f>IF(BN1374="D",1,0)+IF(BO1374="D",1,0)+IF(BT1374="D",1,0)+IF(BU1374="D",1,0)+IF(BW1374="D",1,0)+IF(CC1374="D",1,0)+IF(CD1374="D",1,0)+IF(CE1374="D",1,0)+IF(CF1374="D",1,0)+IF(CL1374="D",1,0)+IF(CM1374="D",1,0)+IF(CQ1374="D",1,0)+IF(CR1374="D",1,0)+IF(CS1374="D",1,0)+IF(CW1374="D",1,0)+IF(CX1374="D",1,0)+IF(DD1374="D",1,0)+IF(DE1374="D",1,0)+IF(DJ1374="D",1,0)+IF(DK1374="D",1,0)+IF(DO1374="D",1,0)+IF(DP1374="D",1,0)+IF(DQ1374="D",1,0)+IF(DW1374="D",1,0)+IF(DZ1374="D",1,0)+IF(EH1374="D",1,0)</f>
        <v/>
      </c>
      <c r="AY1374">
        <f>IF(DJ1374&lt;&gt;"",1,0)+IF(DK1374&lt;&gt;"",1,0)+IF(DM1374&lt;&gt;"",1,0)+IF(DO1374&lt;&gt;"",1,0)+IF(DP1374&lt;&gt;"",1,0)+IF(DQ1374&lt;&gt;"",1,0)+IF(DS1374&lt;&gt;"",1,0)+IF(DT1374&lt;&gt;"",1,0)+IF(DV1374&lt;&gt;"",1,0)+IF(DW1374&lt;&gt;"",1,0)+IF(DX1374&lt;&gt;"",1,0)+IF(DY1374&lt;&gt;"",1,0)+IF(DZ1374&lt;&gt;"",1,0)+IF(EB1374&lt;&gt;"",1,0)+IF(EC1374&lt;&gt;"",1,0)+IF(ED1374&lt;&gt;"",1,0)+IF(EG1374&lt;&gt;"",1,0)+IF(EH1374&lt;&gt;"",1,0)</f>
        <v/>
      </c>
      <c r="AZ1374">
        <f>IF(EH1374&lt;&gt;"",1,0)</f>
        <v/>
      </c>
      <c r="BB1374" t="inlineStr">
        <is>
          <t>WARREN-WARD 4</t>
        </is>
      </c>
    </row>
    <row r="1375">
      <c r="A1375" t="inlineStr">
        <is>
          <t>OH0023079142</t>
        </is>
      </c>
      <c r="B1375" t="n">
        <v>78</v>
      </c>
      <c r="C1375" t="n">
        <v>406462</v>
      </c>
      <c r="D1375" t="inlineStr">
        <is>
          <t>HUDSON</t>
        </is>
      </c>
      <c r="E1375" t="inlineStr">
        <is>
          <t>TRINESHIA</t>
        </is>
      </c>
      <c r="F1375">
        <f>CONCATENATE(D1375," ",LEFT(H1375,4),"T=",AU1375,"D=",AV1375,"R=",AW1375,"M=",AX1375,"L=",AY1375,"B=",AZ1375)</f>
        <v/>
      </c>
      <c r="G1375" t="inlineStr">
        <is>
          <t>M</t>
        </is>
      </c>
      <c r="I1375" t="inlineStr">
        <is>
          <t>1997-05-13</t>
        </is>
      </c>
      <c r="J1375" t="inlineStr">
        <is>
          <t>2015-03-26</t>
        </is>
      </c>
      <c r="K1375" t="inlineStr">
        <is>
          <t>ACTIVE</t>
        </is>
      </c>
      <c r="M1375" t="inlineStr">
        <is>
          <t>1185 MCKINLEY ST NE</t>
        </is>
      </c>
      <c r="N1375">
        <f>RIGHT(M1375,LEN(M1375)-FIND(" ",M1375))</f>
        <v/>
      </c>
      <c r="P1375" t="inlineStr">
        <is>
          <t>WARREN</t>
        </is>
      </c>
      <c r="Q1375" t="inlineStr">
        <is>
          <t>OH</t>
        </is>
      </c>
      <c r="R1375" t="n">
        <v>44483</v>
      </c>
      <c r="AD1375" t="inlineStr">
        <is>
          <t>TRUMBULL CAREER &amp; TECH CENTER</t>
        </is>
      </c>
      <c r="AE1375" t="inlineStr">
        <is>
          <t>WARREN CITY</t>
        </is>
      </c>
      <c r="AF1375" t="inlineStr">
        <is>
          <t>WARREN CITY SD</t>
        </is>
      </c>
      <c r="AH1375" t="n">
        <v>14</v>
      </c>
      <c r="AI1375" t="n">
        <v>11</v>
      </c>
      <c r="AN1375" t="inlineStr">
        <is>
          <t>WARREN</t>
        </is>
      </c>
      <c r="AO1375" t="inlineStr">
        <is>
          <t>WARREN CITY 4D</t>
        </is>
      </c>
      <c r="AP1375" t="inlineStr">
        <is>
          <t>78-P-ADL</t>
        </is>
      </c>
      <c r="AQ1375" t="n">
        <v>9</v>
      </c>
      <c r="AR1375" t="n">
        <v>64</v>
      </c>
      <c r="AS1375" t="n">
        <v>32</v>
      </c>
      <c r="AU1375">
        <f>COUNTA($BA$1375:$EH$1375)</f>
        <v/>
      </c>
      <c r="AV1375">
        <f>COUNTIF($BA$1375:$EH$1375,"D")</f>
        <v/>
      </c>
      <c r="AW1375">
        <f>COUNTIF($BA$1375:$EH$1375,"R")</f>
        <v/>
      </c>
      <c r="AX1375">
        <f>IF(BN1375="D",1,0)+IF(BO1375="D",1,0)+IF(BT1375="D",1,0)+IF(BU1375="D",1,0)+IF(BW1375="D",1,0)+IF(CC1375="D",1,0)+IF(CD1375="D",1,0)+IF(CE1375="D",1,0)+IF(CF1375="D",1,0)+IF(CL1375="D",1,0)+IF(CM1375="D",1,0)+IF(CQ1375="D",1,0)+IF(CR1375="D",1,0)+IF(CS1375="D",1,0)+IF(CW1375="D",1,0)+IF(CX1375="D",1,0)+IF(DD1375="D",1,0)+IF(DE1375="D",1,0)+IF(DJ1375="D",1,0)+IF(DK1375="D",1,0)+IF(DO1375="D",1,0)+IF(DP1375="D",1,0)+IF(DQ1375="D",1,0)+IF(DW1375="D",1,0)+IF(DZ1375="D",1,0)+IF(EH1375="D",1,0)</f>
        <v/>
      </c>
      <c r="AY1375">
        <f>IF(DJ1375&lt;&gt;"",1,0)+IF(DK1375&lt;&gt;"",1,0)+IF(DM1375&lt;&gt;"",1,0)+IF(DO1375&lt;&gt;"",1,0)+IF(DP1375&lt;&gt;"",1,0)+IF(DQ1375&lt;&gt;"",1,0)+IF(DS1375&lt;&gt;"",1,0)+IF(DT1375&lt;&gt;"",1,0)+IF(DV1375&lt;&gt;"",1,0)+IF(DW1375&lt;&gt;"",1,0)+IF(DX1375&lt;&gt;"",1,0)+IF(DY1375&lt;&gt;"",1,0)+IF(DZ1375&lt;&gt;"",1,0)+IF(EB1375&lt;&gt;"",1,0)+IF(EC1375&lt;&gt;"",1,0)+IF(ED1375&lt;&gt;"",1,0)+IF(EG1375&lt;&gt;"",1,0)+IF(EH1375&lt;&gt;"",1,0)</f>
        <v/>
      </c>
      <c r="AZ1375">
        <f>IF(EH1375&lt;&gt;"",1,0)</f>
        <v/>
      </c>
      <c r="BB1375" t="inlineStr">
        <is>
          <t>WARREN-WARD 4</t>
        </is>
      </c>
      <c r="CY1375" t="inlineStr">
        <is>
          <t>X</t>
        </is>
      </c>
    </row>
    <row r="1376">
      <c r="A1376" t="inlineStr">
        <is>
          <t>OH0015692545</t>
        </is>
      </c>
      <c r="B1376" t="n">
        <v>78</v>
      </c>
      <c r="C1376" t="n">
        <v>14122</v>
      </c>
      <c r="D1376" t="inlineStr">
        <is>
          <t>MARVIN</t>
        </is>
      </c>
      <c r="E1376" t="inlineStr">
        <is>
          <t>WENDY</t>
        </is>
      </c>
      <c r="F1376">
        <f>CONCATENATE(D1376," ",LEFT(H1376,4),"T=",AU1376,"D=",AV1376,"R=",AW1376,"M=",AX1376,"L=",AY1376,"B=",AZ1376)</f>
        <v/>
      </c>
      <c r="G1376" t="inlineStr">
        <is>
          <t>JOYCE</t>
        </is>
      </c>
      <c r="I1376" t="inlineStr">
        <is>
          <t>1962-08-11</t>
        </is>
      </c>
      <c r="J1376" t="inlineStr">
        <is>
          <t>2019-12-20</t>
        </is>
      </c>
      <c r="K1376" t="inlineStr">
        <is>
          <t>CONFIRMATION</t>
        </is>
      </c>
      <c r="M1376" t="inlineStr">
        <is>
          <t>124 N PARK AVE</t>
        </is>
      </c>
      <c r="N1376">
        <f>RIGHT(M1376,LEN(M1376)-FIND(" ",M1376))</f>
        <v/>
      </c>
      <c r="O1376" t="inlineStr">
        <is>
          <t>STE 300</t>
        </is>
      </c>
      <c r="P1376" t="inlineStr">
        <is>
          <t>WARREN</t>
        </is>
      </c>
      <c r="Q1376" t="inlineStr">
        <is>
          <t>OH</t>
        </is>
      </c>
      <c r="R1376" t="n">
        <v>44481</v>
      </c>
      <c r="AD1376" t="inlineStr">
        <is>
          <t>TRUMBULL CAREER &amp; TECH CENTER</t>
        </is>
      </c>
      <c r="AE1376" t="inlineStr">
        <is>
          <t>WARREN CITY</t>
        </is>
      </c>
      <c r="AF1376" t="inlineStr">
        <is>
          <t>WARREN CITY SD</t>
        </is>
      </c>
      <c r="AH1376" t="n">
        <v>14</v>
      </c>
      <c r="AI1376" t="n">
        <v>11</v>
      </c>
      <c r="AN1376" t="inlineStr">
        <is>
          <t>WARREN</t>
        </is>
      </c>
      <c r="AO1376" t="inlineStr">
        <is>
          <t>WARREN CITY 4D</t>
        </is>
      </c>
      <c r="AP1376" t="inlineStr">
        <is>
          <t>78-P-ADL</t>
        </is>
      </c>
      <c r="AQ1376" t="n">
        <v>9</v>
      </c>
      <c r="AR1376" t="n">
        <v>64</v>
      </c>
      <c r="AS1376" t="n">
        <v>32</v>
      </c>
      <c r="AU1376">
        <f>COUNTA($BA$1376:$EH$1376)</f>
        <v/>
      </c>
      <c r="AV1376">
        <f>COUNTIF($BA$1376:$EH$1376,"D")</f>
        <v/>
      </c>
      <c r="AW1376">
        <f>COUNTIF($BA$1376:$EH$1376,"R")</f>
        <v/>
      </c>
      <c r="AX1376">
        <f>IF(BN1376="D",1,0)+IF(BO1376="D",1,0)+IF(BT1376="D",1,0)+IF(BU1376="D",1,0)+IF(BW1376="D",1,0)+IF(CC1376="D",1,0)+IF(CD1376="D",1,0)+IF(CE1376="D",1,0)+IF(CF1376="D",1,0)+IF(CL1376="D",1,0)+IF(CM1376="D",1,0)+IF(CQ1376="D",1,0)+IF(CR1376="D",1,0)+IF(CS1376="D",1,0)+IF(CW1376="D",1,0)+IF(CX1376="D",1,0)+IF(DD1376="D",1,0)+IF(DE1376="D",1,0)+IF(DJ1376="D",1,0)+IF(DK1376="D",1,0)+IF(DO1376="D",1,0)+IF(DP1376="D",1,0)+IF(DQ1376="D",1,0)+IF(DW1376="D",1,0)+IF(DZ1376="D",1,0)+IF(EH1376="D",1,0)</f>
        <v/>
      </c>
      <c r="AY1376">
        <f>IF(DJ1376&lt;&gt;"",1,0)+IF(DK1376&lt;&gt;"",1,0)+IF(DM1376&lt;&gt;"",1,0)+IF(DO1376&lt;&gt;"",1,0)+IF(DP1376&lt;&gt;"",1,0)+IF(DQ1376&lt;&gt;"",1,0)+IF(DS1376&lt;&gt;"",1,0)+IF(DT1376&lt;&gt;"",1,0)+IF(DV1376&lt;&gt;"",1,0)+IF(DW1376&lt;&gt;"",1,0)+IF(DX1376&lt;&gt;"",1,0)+IF(DY1376&lt;&gt;"",1,0)+IF(DZ1376&lt;&gt;"",1,0)+IF(EB1376&lt;&gt;"",1,0)+IF(EC1376&lt;&gt;"",1,0)+IF(ED1376&lt;&gt;"",1,0)+IF(EG1376&lt;&gt;"",1,0)+IF(EH1376&lt;&gt;"",1,0)</f>
        <v/>
      </c>
      <c r="AZ1376">
        <f>IF(EH1376&lt;&gt;"",1,0)</f>
        <v/>
      </c>
      <c r="BB1376" t="inlineStr">
        <is>
          <t>WARREN-WARD 4</t>
        </is>
      </c>
      <c r="BL1376" t="inlineStr">
        <is>
          <t>X</t>
        </is>
      </c>
      <c r="CA1376" t="inlineStr">
        <is>
          <t>X</t>
        </is>
      </c>
      <c r="CL1376" t="inlineStr">
        <is>
          <t>D</t>
        </is>
      </c>
      <c r="CP1376" t="inlineStr">
        <is>
          <t>X</t>
        </is>
      </c>
      <c r="DC1376" t="inlineStr">
        <is>
          <t>X</t>
        </is>
      </c>
      <c r="DN1376" t="inlineStr">
        <is>
          <t>X</t>
        </is>
      </c>
    </row>
    <row r="1377">
      <c r="A1377" t="inlineStr">
        <is>
          <t>OH0015758799</t>
        </is>
      </c>
      <c r="B1377" t="n">
        <v>78</v>
      </c>
      <c r="C1377" t="n">
        <v>328528</v>
      </c>
      <c r="D1377" t="inlineStr">
        <is>
          <t>HALL</t>
        </is>
      </c>
      <c r="E1377" t="inlineStr">
        <is>
          <t>MITCH</t>
        </is>
      </c>
      <c r="F1377">
        <f>CONCATENATE(D1377," ",LEFT(H1377,4),"T=",AU1377,"D=",AV1377,"R=",AW1377,"M=",AX1377,"L=",AY1377,"B=",AZ1377)</f>
        <v/>
      </c>
      <c r="I1377" t="inlineStr">
        <is>
          <t>1976-10-20</t>
        </is>
      </c>
      <c r="J1377" t="inlineStr">
        <is>
          <t>2004-08-05</t>
        </is>
      </c>
      <c r="K1377" t="inlineStr">
        <is>
          <t>CONFIRMATION</t>
        </is>
      </c>
      <c r="M1377" t="inlineStr">
        <is>
          <t>182 HIGH ST NE</t>
        </is>
      </c>
      <c r="N1377">
        <f>RIGHT(M1377,LEN(M1377)-FIND(" ",M1377))</f>
        <v/>
      </c>
      <c r="O1377" t="inlineStr">
        <is>
          <t>APT 210</t>
        </is>
      </c>
      <c r="P1377" t="inlineStr">
        <is>
          <t>WARREN</t>
        </is>
      </c>
      <c r="Q1377" t="inlineStr">
        <is>
          <t>OH</t>
        </is>
      </c>
      <c r="R1377" t="n">
        <v>44481</v>
      </c>
      <c r="AD1377" t="inlineStr">
        <is>
          <t>TRUMBULL CAREER &amp; TECH CENTER</t>
        </is>
      </c>
      <c r="AE1377" t="inlineStr">
        <is>
          <t>WARREN CITY</t>
        </is>
      </c>
      <c r="AF1377" t="inlineStr">
        <is>
          <t>WARREN CITY SD</t>
        </is>
      </c>
      <c r="AH1377" t="n">
        <v>14</v>
      </c>
      <c r="AI1377" t="n">
        <v>11</v>
      </c>
      <c r="AN1377" t="inlineStr">
        <is>
          <t>WARREN</t>
        </is>
      </c>
      <c r="AO1377" t="inlineStr">
        <is>
          <t>WARREN CITY 4D</t>
        </is>
      </c>
      <c r="AP1377" t="inlineStr">
        <is>
          <t>78-P-ADL</t>
        </is>
      </c>
      <c r="AQ1377" t="n">
        <v>9</v>
      </c>
      <c r="AR1377" t="n">
        <v>64</v>
      </c>
      <c r="AS1377" t="n">
        <v>32</v>
      </c>
      <c r="AU1377">
        <f>COUNTA($BA$1377:$EH$1377)</f>
        <v/>
      </c>
      <c r="AV1377">
        <f>COUNTIF($BA$1377:$EH$1377,"D")</f>
        <v/>
      </c>
      <c r="AW1377">
        <f>COUNTIF($BA$1377:$EH$1377,"R")</f>
        <v/>
      </c>
      <c r="AX1377">
        <f>IF(BN1377="D",1,0)+IF(BO1377="D",1,0)+IF(BT1377="D",1,0)+IF(BU1377="D",1,0)+IF(BW1377="D",1,0)+IF(CC1377="D",1,0)+IF(CD1377="D",1,0)+IF(CE1377="D",1,0)+IF(CF1377="D",1,0)+IF(CL1377="D",1,0)+IF(CM1377="D",1,0)+IF(CQ1377="D",1,0)+IF(CR1377="D",1,0)+IF(CS1377="D",1,0)+IF(CW1377="D",1,0)+IF(CX1377="D",1,0)+IF(DD1377="D",1,0)+IF(DE1377="D",1,0)+IF(DJ1377="D",1,0)+IF(DK1377="D",1,0)+IF(DO1377="D",1,0)+IF(DP1377="D",1,0)+IF(DQ1377="D",1,0)+IF(DW1377="D",1,0)+IF(DZ1377="D",1,0)+IF(EH1377="D",1,0)</f>
        <v/>
      </c>
      <c r="AY1377">
        <f>IF(DJ1377&lt;&gt;"",1,0)+IF(DK1377&lt;&gt;"",1,0)+IF(DM1377&lt;&gt;"",1,0)+IF(DO1377&lt;&gt;"",1,0)+IF(DP1377&lt;&gt;"",1,0)+IF(DQ1377&lt;&gt;"",1,0)+IF(DS1377&lt;&gt;"",1,0)+IF(DT1377&lt;&gt;"",1,0)+IF(DV1377&lt;&gt;"",1,0)+IF(DW1377&lt;&gt;"",1,0)+IF(DX1377&lt;&gt;"",1,0)+IF(DY1377&lt;&gt;"",1,0)+IF(DZ1377&lt;&gt;"",1,0)+IF(EB1377&lt;&gt;"",1,0)+IF(EC1377&lt;&gt;"",1,0)+IF(ED1377&lt;&gt;"",1,0)+IF(EG1377&lt;&gt;"",1,0)+IF(EH1377&lt;&gt;"",1,0)</f>
        <v/>
      </c>
      <c r="AZ1377">
        <f>IF(EH1377&lt;&gt;"",1,0)</f>
        <v/>
      </c>
      <c r="BB1377" t="inlineStr">
        <is>
          <t>WARREN-WARD 4</t>
        </is>
      </c>
    </row>
    <row r="1378">
      <c r="A1378" t="inlineStr">
        <is>
          <t>OH0018597669</t>
        </is>
      </c>
      <c r="B1378" t="n">
        <v>78</v>
      </c>
      <c r="C1378" t="n">
        <v>337832</v>
      </c>
      <c r="D1378" t="inlineStr">
        <is>
          <t>HARVEY</t>
        </is>
      </c>
      <c r="E1378" t="inlineStr">
        <is>
          <t>SHAWNTEL</t>
        </is>
      </c>
      <c r="F1378">
        <f>CONCATENATE(D1378," ",LEFT(H1378,4),"T=",AU1378,"D=",AV1378,"R=",AW1378,"M=",AX1378,"L=",AY1378,"B=",AZ1378)</f>
        <v/>
      </c>
      <c r="G1378" t="inlineStr">
        <is>
          <t>G</t>
        </is>
      </c>
      <c r="I1378" t="inlineStr">
        <is>
          <t>1982-12-12</t>
        </is>
      </c>
      <c r="J1378" t="inlineStr">
        <is>
          <t>2024-12-31</t>
        </is>
      </c>
      <c r="K1378" t="inlineStr">
        <is>
          <t>ACTIVE</t>
        </is>
      </c>
      <c r="M1378" t="inlineStr">
        <is>
          <t>1217 MCKINLEY ST NE</t>
        </is>
      </c>
      <c r="N1378">
        <f>RIGHT(M1378,LEN(M1378)-FIND(" ",M1378))</f>
        <v/>
      </c>
      <c r="P1378" t="inlineStr">
        <is>
          <t>WARREN</t>
        </is>
      </c>
      <c r="Q1378" t="inlineStr">
        <is>
          <t>OH</t>
        </is>
      </c>
      <c r="R1378" t="n">
        <v>44483</v>
      </c>
      <c r="AD1378" t="inlineStr">
        <is>
          <t>TRUMBULL CAREER &amp; TECH CENTER</t>
        </is>
      </c>
      <c r="AE1378" t="inlineStr">
        <is>
          <t>WARREN CITY</t>
        </is>
      </c>
      <c r="AF1378" t="inlineStr">
        <is>
          <t>WARREN CITY SD</t>
        </is>
      </c>
      <c r="AH1378" t="n">
        <v>14</v>
      </c>
      <c r="AI1378" t="n">
        <v>11</v>
      </c>
      <c r="AN1378" t="inlineStr">
        <is>
          <t>WARREN</t>
        </is>
      </c>
      <c r="AO1378" t="inlineStr">
        <is>
          <t>WARREN CITY 4D</t>
        </is>
      </c>
      <c r="AP1378" t="inlineStr">
        <is>
          <t>78-P-ADL</t>
        </is>
      </c>
      <c r="AQ1378" t="n">
        <v>9</v>
      </c>
      <c r="AR1378" t="n">
        <v>64</v>
      </c>
      <c r="AS1378" t="n">
        <v>32</v>
      </c>
      <c r="AU1378">
        <f>COUNTA($BA$1378:$EH$1378)</f>
        <v/>
      </c>
      <c r="AV1378">
        <f>COUNTIF($BA$1378:$EH$1378,"D")</f>
        <v/>
      </c>
      <c r="AW1378">
        <f>COUNTIF($BA$1378:$EH$1378,"R")</f>
        <v/>
      </c>
      <c r="AX1378">
        <f>IF(BN1378="D",1,0)+IF(BO1378="D",1,0)+IF(BT1378="D",1,0)+IF(BU1378="D",1,0)+IF(BW1378="D",1,0)+IF(CC1378="D",1,0)+IF(CD1378="D",1,0)+IF(CE1378="D",1,0)+IF(CF1378="D",1,0)+IF(CL1378="D",1,0)+IF(CM1378="D",1,0)+IF(CQ1378="D",1,0)+IF(CR1378="D",1,0)+IF(CS1378="D",1,0)+IF(CW1378="D",1,0)+IF(CX1378="D",1,0)+IF(DD1378="D",1,0)+IF(DE1378="D",1,0)+IF(DJ1378="D",1,0)+IF(DK1378="D",1,0)+IF(DO1378="D",1,0)+IF(DP1378="D",1,0)+IF(DQ1378="D",1,0)+IF(DW1378="D",1,0)+IF(DZ1378="D",1,0)+IF(EH1378="D",1,0)</f>
        <v/>
      </c>
      <c r="AY1378">
        <f>IF(DJ1378&lt;&gt;"",1,0)+IF(DK1378&lt;&gt;"",1,0)+IF(DM1378&lt;&gt;"",1,0)+IF(DO1378&lt;&gt;"",1,0)+IF(DP1378&lt;&gt;"",1,0)+IF(DQ1378&lt;&gt;"",1,0)+IF(DS1378&lt;&gt;"",1,0)+IF(DT1378&lt;&gt;"",1,0)+IF(DV1378&lt;&gt;"",1,0)+IF(DW1378&lt;&gt;"",1,0)+IF(DX1378&lt;&gt;"",1,0)+IF(DY1378&lt;&gt;"",1,0)+IF(DZ1378&lt;&gt;"",1,0)+IF(EB1378&lt;&gt;"",1,0)+IF(EC1378&lt;&gt;"",1,0)+IF(ED1378&lt;&gt;"",1,0)+IF(EG1378&lt;&gt;"",1,0)+IF(EH1378&lt;&gt;"",1,0)</f>
        <v/>
      </c>
      <c r="AZ1378">
        <f>IF(EH1378&lt;&gt;"",1,0)</f>
        <v/>
      </c>
      <c r="BB1378" t="inlineStr">
        <is>
          <t>WARREN-WARD 4</t>
        </is>
      </c>
      <c r="CP1378" t="inlineStr">
        <is>
          <t>X</t>
        </is>
      </c>
      <c r="CZ1378" t="inlineStr">
        <is>
          <t>D</t>
        </is>
      </c>
      <c r="DC1378" t="inlineStr">
        <is>
          <t>X</t>
        </is>
      </c>
      <c r="DI1378" t="inlineStr">
        <is>
          <t>X</t>
        </is>
      </c>
      <c r="EF1378" t="inlineStr">
        <is>
          <t>X</t>
        </is>
      </c>
    </row>
    <row r="1379">
      <c r="A1379" t="inlineStr">
        <is>
          <t>OH0019823746</t>
        </is>
      </c>
      <c r="B1379" t="n">
        <v>78</v>
      </c>
      <c r="C1379" t="n">
        <v>359650</v>
      </c>
      <c r="D1379" t="inlineStr">
        <is>
          <t>PETRONELLI</t>
        </is>
      </c>
      <c r="E1379" t="inlineStr">
        <is>
          <t>AUBREE</t>
        </is>
      </c>
      <c r="F1379">
        <f>CONCATENATE(D1379," ",LEFT(H1379,4),"T=",AU1379,"D=",AV1379,"R=",AW1379,"M=",AX1379,"L=",AY1379,"B=",AZ1379)</f>
        <v/>
      </c>
      <c r="G1379" t="inlineStr">
        <is>
          <t>TARAN</t>
        </is>
      </c>
      <c r="I1379" t="inlineStr">
        <is>
          <t>1982-06-17</t>
        </is>
      </c>
      <c r="J1379" t="inlineStr">
        <is>
          <t>2016-08-17</t>
        </is>
      </c>
      <c r="K1379" t="inlineStr">
        <is>
          <t>CONFIRMATION</t>
        </is>
      </c>
      <c r="M1379" t="inlineStr">
        <is>
          <t>160 N PARK AVE</t>
        </is>
      </c>
      <c r="N1379">
        <f>RIGHT(M1379,LEN(M1379)-FIND(" ",M1379))</f>
        <v/>
      </c>
      <c r="O1379" t="inlineStr">
        <is>
          <t>APT A</t>
        </is>
      </c>
      <c r="P1379" t="inlineStr">
        <is>
          <t>WARREN</t>
        </is>
      </c>
      <c r="Q1379" t="inlineStr">
        <is>
          <t>OH</t>
        </is>
      </c>
      <c r="R1379" t="n">
        <v>44481</v>
      </c>
      <c r="AD1379" t="inlineStr">
        <is>
          <t>TRUMBULL CAREER &amp; TECH CENTER</t>
        </is>
      </c>
      <c r="AE1379" t="inlineStr">
        <is>
          <t>WARREN CITY</t>
        </is>
      </c>
      <c r="AF1379" t="inlineStr">
        <is>
          <t>WARREN CITY SD</t>
        </is>
      </c>
      <c r="AH1379" t="n">
        <v>14</v>
      </c>
      <c r="AI1379" t="n">
        <v>11</v>
      </c>
      <c r="AN1379" t="inlineStr">
        <is>
          <t>WARREN</t>
        </is>
      </c>
      <c r="AO1379" t="inlineStr">
        <is>
          <t>WARREN CITY 4D</t>
        </is>
      </c>
      <c r="AP1379" t="inlineStr">
        <is>
          <t>78-P-ADL</t>
        </is>
      </c>
      <c r="AQ1379" t="n">
        <v>9</v>
      </c>
      <c r="AR1379" t="n">
        <v>64</v>
      </c>
      <c r="AS1379" t="n">
        <v>32</v>
      </c>
      <c r="AU1379">
        <f>COUNTA($BA$1379:$EH$1379)</f>
        <v/>
      </c>
      <c r="AV1379">
        <f>COUNTIF($BA$1379:$EH$1379,"D")</f>
        <v/>
      </c>
      <c r="AW1379">
        <f>COUNTIF($BA$1379:$EH$1379,"R")</f>
        <v/>
      </c>
      <c r="AX1379">
        <f>IF(BN1379="D",1,0)+IF(BO1379="D",1,0)+IF(BT1379="D",1,0)+IF(BU1379="D",1,0)+IF(BW1379="D",1,0)+IF(CC1379="D",1,0)+IF(CD1379="D",1,0)+IF(CE1379="D",1,0)+IF(CF1379="D",1,0)+IF(CL1379="D",1,0)+IF(CM1379="D",1,0)+IF(CQ1379="D",1,0)+IF(CR1379="D",1,0)+IF(CS1379="D",1,0)+IF(CW1379="D",1,0)+IF(CX1379="D",1,0)+IF(DD1379="D",1,0)+IF(DE1379="D",1,0)+IF(DJ1379="D",1,0)+IF(DK1379="D",1,0)+IF(DO1379="D",1,0)+IF(DP1379="D",1,0)+IF(DQ1379="D",1,0)+IF(DW1379="D",1,0)+IF(DZ1379="D",1,0)+IF(EH1379="D",1,0)</f>
        <v/>
      </c>
      <c r="AY1379">
        <f>IF(DJ1379&lt;&gt;"",1,0)+IF(DK1379&lt;&gt;"",1,0)+IF(DM1379&lt;&gt;"",1,0)+IF(DO1379&lt;&gt;"",1,0)+IF(DP1379&lt;&gt;"",1,0)+IF(DQ1379&lt;&gt;"",1,0)+IF(DS1379&lt;&gt;"",1,0)+IF(DT1379&lt;&gt;"",1,0)+IF(DV1379&lt;&gt;"",1,0)+IF(DW1379&lt;&gt;"",1,0)+IF(DX1379&lt;&gt;"",1,0)+IF(DY1379&lt;&gt;"",1,0)+IF(DZ1379&lt;&gt;"",1,0)+IF(EB1379&lt;&gt;"",1,0)+IF(EC1379&lt;&gt;"",1,0)+IF(ED1379&lt;&gt;"",1,0)+IF(EG1379&lt;&gt;"",1,0)+IF(EH1379&lt;&gt;"",1,0)</f>
        <v/>
      </c>
      <c r="AZ1379">
        <f>IF(EH1379&lt;&gt;"",1,0)</f>
        <v/>
      </c>
      <c r="BB1379" t="inlineStr">
        <is>
          <t>WARREN-WARD 4</t>
        </is>
      </c>
      <c r="CA1379" t="inlineStr">
        <is>
          <t>X</t>
        </is>
      </c>
      <c r="CN1379" t="inlineStr">
        <is>
          <t>X</t>
        </is>
      </c>
      <c r="CP1379" t="inlineStr">
        <is>
          <t>X</t>
        </is>
      </c>
      <c r="CV1379" t="inlineStr">
        <is>
          <t>X</t>
        </is>
      </c>
      <c r="CW1379" t="inlineStr">
        <is>
          <t>D</t>
        </is>
      </c>
      <c r="CY1379" t="inlineStr">
        <is>
          <t>X</t>
        </is>
      </c>
      <c r="DC1379" t="inlineStr">
        <is>
          <t>X</t>
        </is>
      </c>
    </row>
    <row r="1380">
      <c r="A1380" t="inlineStr">
        <is>
          <t>OH0027369026</t>
        </is>
      </c>
      <c r="B1380" t="n">
        <v>78</v>
      </c>
      <c r="C1380" t="n">
        <v>485226</v>
      </c>
      <c r="D1380" t="inlineStr">
        <is>
          <t>POLLARD</t>
        </is>
      </c>
      <c r="E1380" t="inlineStr">
        <is>
          <t>RONNIE</t>
        </is>
      </c>
      <c r="F1380">
        <f>CONCATENATE(D1380," ",LEFT(H1380,4),"T=",AU1380,"D=",AV1380,"R=",AW1380,"M=",AX1380,"L=",AY1380,"B=",AZ1380)</f>
        <v/>
      </c>
      <c r="G1380" t="inlineStr">
        <is>
          <t>LEE</t>
        </is>
      </c>
      <c r="I1380" t="inlineStr">
        <is>
          <t>1973-11-13</t>
        </is>
      </c>
      <c r="J1380" t="inlineStr">
        <is>
          <t>2024-05-29</t>
        </is>
      </c>
      <c r="K1380" t="inlineStr">
        <is>
          <t>ACTIVE</t>
        </is>
      </c>
      <c r="M1380" t="inlineStr">
        <is>
          <t>1190 WOODLAND AVE NE</t>
        </is>
      </c>
      <c r="N1380">
        <f>RIGHT(M1380,LEN(M1380)-FIND(" ",M1380))</f>
        <v/>
      </c>
      <c r="P1380" t="inlineStr">
        <is>
          <t>WARREN</t>
        </is>
      </c>
      <c r="Q1380" t="inlineStr">
        <is>
          <t>OH</t>
        </is>
      </c>
      <c r="R1380" t="n">
        <v>44483</v>
      </c>
      <c r="AD1380" t="inlineStr">
        <is>
          <t>TRUMBULL CAREER &amp; TECH CENTER</t>
        </is>
      </c>
      <c r="AE1380" t="inlineStr">
        <is>
          <t>WARREN CITY</t>
        </is>
      </c>
      <c r="AF1380" t="inlineStr">
        <is>
          <t>WARREN CITY SD</t>
        </is>
      </c>
      <c r="AH1380" t="n">
        <v>14</v>
      </c>
      <c r="AI1380" t="n">
        <v>11</v>
      </c>
      <c r="AN1380" t="inlineStr">
        <is>
          <t>WARREN</t>
        </is>
      </c>
      <c r="AO1380" t="inlineStr">
        <is>
          <t>WARREN CITY 4D</t>
        </is>
      </c>
      <c r="AP1380" t="inlineStr">
        <is>
          <t>78-P-ADL</t>
        </is>
      </c>
      <c r="AQ1380" t="n">
        <v>9</v>
      </c>
      <c r="AR1380" t="n">
        <v>64</v>
      </c>
      <c r="AS1380" t="n">
        <v>32</v>
      </c>
      <c r="AU1380">
        <f>COUNTA($BA$1380:$EH$1380)</f>
        <v/>
      </c>
      <c r="AV1380">
        <f>COUNTIF($BA$1380:$EH$1380,"D")</f>
        <v/>
      </c>
      <c r="AW1380">
        <f>COUNTIF($BA$1380:$EH$1380,"R")</f>
        <v/>
      </c>
      <c r="AX1380">
        <f>IF(BN1380="D",1,0)+IF(BO1380="D",1,0)+IF(BT1380="D",1,0)+IF(BU1380="D",1,0)+IF(BW1380="D",1,0)+IF(CC1380="D",1,0)+IF(CD1380="D",1,0)+IF(CE1380="D",1,0)+IF(CF1380="D",1,0)+IF(CL1380="D",1,0)+IF(CM1380="D",1,0)+IF(CQ1380="D",1,0)+IF(CR1380="D",1,0)+IF(CS1380="D",1,0)+IF(CW1380="D",1,0)+IF(CX1380="D",1,0)+IF(DD1380="D",1,0)+IF(DE1380="D",1,0)+IF(DJ1380="D",1,0)+IF(DK1380="D",1,0)+IF(DO1380="D",1,0)+IF(DP1380="D",1,0)+IF(DQ1380="D",1,0)+IF(DW1380="D",1,0)+IF(DZ1380="D",1,0)+IF(EH1380="D",1,0)</f>
        <v/>
      </c>
      <c r="AY1380">
        <f>IF(DJ1380&lt;&gt;"",1,0)+IF(DK1380&lt;&gt;"",1,0)+IF(DM1380&lt;&gt;"",1,0)+IF(DO1380&lt;&gt;"",1,0)+IF(DP1380&lt;&gt;"",1,0)+IF(DQ1380&lt;&gt;"",1,0)+IF(DS1380&lt;&gt;"",1,0)+IF(DT1380&lt;&gt;"",1,0)+IF(DV1380&lt;&gt;"",1,0)+IF(DW1380&lt;&gt;"",1,0)+IF(DX1380&lt;&gt;"",1,0)+IF(DY1380&lt;&gt;"",1,0)+IF(DZ1380&lt;&gt;"",1,0)+IF(EB1380&lt;&gt;"",1,0)+IF(EC1380&lt;&gt;"",1,0)+IF(ED1380&lt;&gt;"",1,0)+IF(EG1380&lt;&gt;"",1,0)+IF(EH1380&lt;&gt;"",1,0)</f>
        <v/>
      </c>
      <c r="AZ1380">
        <f>IF(EH1380&lt;&gt;"",1,0)</f>
        <v/>
      </c>
      <c r="BB1380" t="inlineStr">
        <is>
          <t>WARREN-WARD 4</t>
        </is>
      </c>
      <c r="CY1380" t="inlineStr">
        <is>
          <t>X</t>
        </is>
      </c>
      <c r="CZ1380" t="inlineStr">
        <is>
          <t>R</t>
        </is>
      </c>
      <c r="DC1380" t="inlineStr">
        <is>
          <t>X</t>
        </is>
      </c>
      <c r="DI1380" t="inlineStr">
        <is>
          <t>X</t>
        </is>
      </c>
      <c r="DL1380" t="inlineStr">
        <is>
          <t>X</t>
        </is>
      </c>
      <c r="EA1380" t="inlineStr">
        <is>
          <t>X</t>
        </is>
      </c>
      <c r="EF1380" t="inlineStr">
        <is>
          <t>X</t>
        </is>
      </c>
    </row>
    <row r="1381">
      <c r="A1381" t="inlineStr">
        <is>
          <t>OH0027686307</t>
        </is>
      </c>
      <c r="B1381" t="n">
        <v>78</v>
      </c>
      <c r="C1381" t="n">
        <v>490499</v>
      </c>
      <c r="D1381" t="inlineStr">
        <is>
          <t>JACKSON</t>
        </is>
      </c>
      <c r="E1381" t="inlineStr">
        <is>
          <t>ANDREA</t>
        </is>
      </c>
      <c r="F1381">
        <f>CONCATENATE(D1381," ",LEFT(H1381,4),"T=",AU1381,"D=",AV1381,"R=",AW1381,"M=",AX1381,"L=",AY1381,"B=",AZ1381)</f>
        <v/>
      </c>
      <c r="G1381" t="inlineStr">
        <is>
          <t>Y</t>
        </is>
      </c>
      <c r="I1381" t="inlineStr">
        <is>
          <t>1971-06-07</t>
        </is>
      </c>
      <c r="J1381" t="inlineStr">
        <is>
          <t>2024-10-02</t>
        </is>
      </c>
      <c r="K1381" t="inlineStr">
        <is>
          <t>ACTIVE</t>
        </is>
      </c>
      <c r="M1381" t="inlineStr">
        <is>
          <t>239 LINDEN AVE SE</t>
        </is>
      </c>
      <c r="N1381">
        <f>RIGHT(M1381,LEN(M1381)-FIND(" ",M1381))</f>
        <v/>
      </c>
      <c r="P1381" t="inlineStr">
        <is>
          <t>WARREN</t>
        </is>
      </c>
      <c r="Q1381" t="inlineStr">
        <is>
          <t>OH</t>
        </is>
      </c>
      <c r="R1381" t="n">
        <v>44483</v>
      </c>
      <c r="AD1381" t="inlineStr">
        <is>
          <t>TRUMBULL CAREER &amp; TECH CENTER</t>
        </is>
      </c>
      <c r="AE1381" t="inlineStr">
        <is>
          <t>WARREN CITY</t>
        </is>
      </c>
      <c r="AF1381" t="inlineStr">
        <is>
          <t>WARREN CITY SD</t>
        </is>
      </c>
      <c r="AH1381" t="n">
        <v>14</v>
      </c>
      <c r="AI1381" t="n">
        <v>11</v>
      </c>
      <c r="AN1381" t="inlineStr">
        <is>
          <t>WARREN</t>
        </is>
      </c>
      <c r="AO1381" t="inlineStr">
        <is>
          <t>WARREN CITY 4D</t>
        </is>
      </c>
      <c r="AP1381" t="inlineStr">
        <is>
          <t>78-P-ADL</t>
        </is>
      </c>
      <c r="AQ1381" t="n">
        <v>9</v>
      </c>
      <c r="AR1381" t="n">
        <v>64</v>
      </c>
      <c r="AS1381" t="n">
        <v>32</v>
      </c>
      <c r="AU1381">
        <f>COUNTA($BA$1381:$EH$1381)</f>
        <v/>
      </c>
      <c r="AV1381">
        <f>COUNTIF($BA$1381:$EH$1381,"D")</f>
        <v/>
      </c>
      <c r="AW1381">
        <f>COUNTIF($BA$1381:$EH$1381,"R")</f>
        <v/>
      </c>
      <c r="AX1381">
        <f>IF(BN1381="D",1,0)+IF(BO1381="D",1,0)+IF(BT1381="D",1,0)+IF(BU1381="D",1,0)+IF(BW1381="D",1,0)+IF(CC1381="D",1,0)+IF(CD1381="D",1,0)+IF(CE1381="D",1,0)+IF(CF1381="D",1,0)+IF(CL1381="D",1,0)+IF(CM1381="D",1,0)+IF(CQ1381="D",1,0)+IF(CR1381="D",1,0)+IF(CS1381="D",1,0)+IF(CW1381="D",1,0)+IF(CX1381="D",1,0)+IF(DD1381="D",1,0)+IF(DE1381="D",1,0)+IF(DJ1381="D",1,0)+IF(DK1381="D",1,0)+IF(DO1381="D",1,0)+IF(DP1381="D",1,0)+IF(DQ1381="D",1,0)+IF(DW1381="D",1,0)+IF(DZ1381="D",1,0)+IF(EH1381="D",1,0)</f>
        <v/>
      </c>
      <c r="AY1381">
        <f>IF(DJ1381&lt;&gt;"",1,0)+IF(DK1381&lt;&gt;"",1,0)+IF(DM1381&lt;&gt;"",1,0)+IF(DO1381&lt;&gt;"",1,0)+IF(DP1381&lt;&gt;"",1,0)+IF(DQ1381&lt;&gt;"",1,0)+IF(DS1381&lt;&gt;"",1,0)+IF(DT1381&lt;&gt;"",1,0)+IF(DV1381&lt;&gt;"",1,0)+IF(DW1381&lt;&gt;"",1,0)+IF(DX1381&lt;&gt;"",1,0)+IF(DY1381&lt;&gt;"",1,0)+IF(DZ1381&lt;&gt;"",1,0)+IF(EB1381&lt;&gt;"",1,0)+IF(EC1381&lt;&gt;"",1,0)+IF(ED1381&lt;&gt;"",1,0)+IF(EG1381&lt;&gt;"",1,0)+IF(EH1381&lt;&gt;"",1,0)</f>
        <v/>
      </c>
      <c r="AZ1381">
        <f>IF(EH1381&lt;&gt;"",1,0)</f>
        <v/>
      </c>
      <c r="BB1381" t="inlineStr">
        <is>
          <t>WARREN-WARD 4</t>
        </is>
      </c>
      <c r="DC1381" t="inlineStr">
        <is>
          <t>X</t>
        </is>
      </c>
      <c r="EF1381" t="inlineStr">
        <is>
          <t>X</t>
        </is>
      </c>
    </row>
    <row r="1382">
      <c r="A1382" t="inlineStr">
        <is>
          <t>OH0027885317</t>
        </is>
      </c>
      <c r="B1382" t="n">
        <v>78</v>
      </c>
      <c r="C1382" t="n">
        <v>494822</v>
      </c>
      <c r="D1382" t="inlineStr">
        <is>
          <t>GANTT</t>
        </is>
      </c>
      <c r="E1382" t="inlineStr">
        <is>
          <t>CHARLES</t>
        </is>
      </c>
      <c r="F1382">
        <f>CONCATENATE(D1382," ",LEFT(H1382,4),"T=",AU1382,"D=",AV1382,"R=",AW1382,"M=",AX1382,"L=",AY1382,"B=",AZ1382)</f>
        <v/>
      </c>
      <c r="G1382" t="inlineStr">
        <is>
          <t>A</t>
        </is>
      </c>
      <c r="H1382" t="inlineStr">
        <is>
          <t>SR</t>
        </is>
      </c>
      <c r="I1382" t="inlineStr">
        <is>
          <t>1966-02-09</t>
        </is>
      </c>
      <c r="J1382" t="inlineStr">
        <is>
          <t>2025-02-03</t>
        </is>
      </c>
      <c r="K1382" t="inlineStr">
        <is>
          <t>ACTIVE</t>
        </is>
      </c>
      <c r="M1382" t="inlineStr">
        <is>
          <t>182 HIGH ST NE</t>
        </is>
      </c>
      <c r="N1382">
        <f>RIGHT(M1382,LEN(M1382)-FIND(" ",M1382))</f>
        <v/>
      </c>
      <c r="O1382" t="inlineStr">
        <is>
          <t>APT 402</t>
        </is>
      </c>
      <c r="P1382" t="inlineStr">
        <is>
          <t>WARREN</t>
        </is>
      </c>
      <c r="Q1382" t="inlineStr">
        <is>
          <t>OH</t>
        </is>
      </c>
      <c r="R1382" t="n">
        <v>44481</v>
      </c>
      <c r="AD1382" t="inlineStr">
        <is>
          <t>TRUMBULL CAREER &amp; TECH CENTER</t>
        </is>
      </c>
      <c r="AE1382" t="inlineStr">
        <is>
          <t>WARREN CITY</t>
        </is>
      </c>
      <c r="AF1382" t="inlineStr">
        <is>
          <t>WARREN CITY SD</t>
        </is>
      </c>
      <c r="AH1382" t="n">
        <v>14</v>
      </c>
      <c r="AI1382" t="n">
        <v>11</v>
      </c>
      <c r="AN1382" t="inlineStr">
        <is>
          <t>WARREN</t>
        </is>
      </c>
      <c r="AO1382" t="inlineStr">
        <is>
          <t>WARREN CITY 4D</t>
        </is>
      </c>
      <c r="AP1382" t="inlineStr">
        <is>
          <t>78-P-ADL</t>
        </is>
      </c>
      <c r="AQ1382" t="n">
        <v>9</v>
      </c>
      <c r="AR1382" t="n">
        <v>64</v>
      </c>
      <c r="AS1382" t="n">
        <v>32</v>
      </c>
      <c r="AU1382">
        <f>COUNTA($BA$1382:$EH$1382)</f>
        <v/>
      </c>
      <c r="AV1382">
        <f>COUNTIF($BA$1382:$EH$1382,"D")</f>
        <v/>
      </c>
      <c r="AW1382">
        <f>COUNTIF($BA$1382:$EH$1382,"R")</f>
        <v/>
      </c>
      <c r="AX1382">
        <f>IF(BN1382="D",1,0)+IF(BO1382="D",1,0)+IF(BT1382="D",1,0)+IF(BU1382="D",1,0)+IF(BW1382="D",1,0)+IF(CC1382="D",1,0)+IF(CD1382="D",1,0)+IF(CE1382="D",1,0)+IF(CF1382="D",1,0)+IF(CL1382="D",1,0)+IF(CM1382="D",1,0)+IF(CQ1382="D",1,0)+IF(CR1382="D",1,0)+IF(CS1382="D",1,0)+IF(CW1382="D",1,0)+IF(CX1382="D",1,0)+IF(DD1382="D",1,0)+IF(DE1382="D",1,0)+IF(DJ1382="D",1,0)+IF(DK1382="D",1,0)+IF(DO1382="D",1,0)+IF(DP1382="D",1,0)+IF(DQ1382="D",1,0)+IF(DW1382="D",1,0)+IF(DZ1382="D",1,0)+IF(EH1382="D",1,0)</f>
        <v/>
      </c>
      <c r="AY1382">
        <f>IF(DJ1382&lt;&gt;"",1,0)+IF(DK1382&lt;&gt;"",1,0)+IF(DM1382&lt;&gt;"",1,0)+IF(DO1382&lt;&gt;"",1,0)+IF(DP1382&lt;&gt;"",1,0)+IF(DQ1382&lt;&gt;"",1,0)+IF(DS1382&lt;&gt;"",1,0)+IF(DT1382&lt;&gt;"",1,0)+IF(DV1382&lt;&gt;"",1,0)+IF(DW1382&lt;&gt;"",1,0)+IF(DX1382&lt;&gt;"",1,0)+IF(DY1382&lt;&gt;"",1,0)+IF(DZ1382&lt;&gt;"",1,0)+IF(EB1382&lt;&gt;"",1,0)+IF(EC1382&lt;&gt;"",1,0)+IF(ED1382&lt;&gt;"",1,0)+IF(EG1382&lt;&gt;"",1,0)+IF(EH1382&lt;&gt;"",1,0)</f>
        <v/>
      </c>
      <c r="AZ1382">
        <f>IF(EH1382&lt;&gt;"",1,0)</f>
        <v/>
      </c>
      <c r="BB1382" t="inlineStr">
        <is>
          <t>WARREN-WARD 4</t>
        </is>
      </c>
      <c r="BD1382" t="inlineStr">
        <is>
          <t>X</t>
        </is>
      </c>
      <c r="BH1382" t="inlineStr">
        <is>
          <t>X</t>
        </is>
      </c>
      <c r="BL1382" t="inlineStr">
        <is>
          <t>X</t>
        </is>
      </c>
      <c r="BP1382" t="inlineStr">
        <is>
          <t>X</t>
        </is>
      </c>
      <c r="BS1382" t="inlineStr">
        <is>
          <t>X</t>
        </is>
      </c>
      <c r="BY1382" t="inlineStr">
        <is>
          <t>D</t>
        </is>
      </c>
      <c r="CA1382" t="inlineStr">
        <is>
          <t>X</t>
        </is>
      </c>
      <c r="CG1382" t="inlineStr">
        <is>
          <t>X</t>
        </is>
      </c>
      <c r="CP1382" t="inlineStr">
        <is>
          <t>X</t>
        </is>
      </c>
    </row>
    <row r="1383">
      <c r="A1383" t="inlineStr">
        <is>
          <t>OH0023548828</t>
        </is>
      </c>
      <c r="B1383" t="n">
        <v>78</v>
      </c>
      <c r="C1383" t="n">
        <v>414693</v>
      </c>
      <c r="D1383" t="inlineStr">
        <is>
          <t>DESANTIS</t>
        </is>
      </c>
      <c r="E1383" t="inlineStr">
        <is>
          <t>LISA</t>
        </is>
      </c>
      <c r="F1383">
        <f>CONCATENATE(D1383," ",LEFT(H1383,4),"T=",AU1383,"D=",AV1383,"R=",AW1383,"M=",AX1383,"L=",AY1383,"B=",AZ1383)</f>
        <v/>
      </c>
      <c r="G1383" t="inlineStr">
        <is>
          <t>R</t>
        </is>
      </c>
      <c r="I1383" t="inlineStr">
        <is>
          <t>1975-02-10</t>
        </is>
      </c>
      <c r="J1383" t="inlineStr">
        <is>
          <t>2024-02-26</t>
        </is>
      </c>
      <c r="K1383" t="inlineStr">
        <is>
          <t>ACTIVE</t>
        </is>
      </c>
      <c r="M1383" t="inlineStr">
        <is>
          <t>928 SOUTH ST SE</t>
        </is>
      </c>
      <c r="N1383">
        <f>RIGHT(M1383,LEN(M1383)-FIND(" ",M1383))</f>
        <v/>
      </c>
      <c r="P1383" t="inlineStr">
        <is>
          <t>WARREN</t>
        </is>
      </c>
      <c r="Q1383" t="inlineStr">
        <is>
          <t>OH</t>
        </is>
      </c>
      <c r="R1383" t="n">
        <v>44483</v>
      </c>
      <c r="AD1383" t="inlineStr">
        <is>
          <t>TRUMBULL CAREER &amp; TECH CENTER</t>
        </is>
      </c>
      <c r="AE1383" t="inlineStr">
        <is>
          <t>WARREN CITY</t>
        </is>
      </c>
      <c r="AF1383" t="inlineStr">
        <is>
          <t>WARREN CITY SD</t>
        </is>
      </c>
      <c r="AH1383" t="n">
        <v>14</v>
      </c>
      <c r="AI1383" t="n">
        <v>11</v>
      </c>
      <c r="AN1383" t="inlineStr">
        <is>
          <t>WARREN</t>
        </is>
      </c>
      <c r="AO1383" t="inlineStr">
        <is>
          <t>WARREN CITY 4D</t>
        </is>
      </c>
      <c r="AP1383" t="inlineStr">
        <is>
          <t>78-P-ADL</t>
        </is>
      </c>
      <c r="AQ1383" t="n">
        <v>9</v>
      </c>
      <c r="AR1383" t="n">
        <v>64</v>
      </c>
      <c r="AS1383" t="n">
        <v>32</v>
      </c>
      <c r="AU1383">
        <f>COUNTA($BA$1383:$EH$1383)</f>
        <v/>
      </c>
      <c r="AV1383">
        <f>COUNTIF($BA$1383:$EH$1383,"D")</f>
        <v/>
      </c>
      <c r="AW1383">
        <f>COUNTIF($BA$1383:$EH$1383,"R")</f>
        <v/>
      </c>
      <c r="AX1383">
        <f>IF(BN1383="D",1,0)+IF(BO1383="D",1,0)+IF(BT1383="D",1,0)+IF(BU1383="D",1,0)+IF(BW1383="D",1,0)+IF(CC1383="D",1,0)+IF(CD1383="D",1,0)+IF(CE1383="D",1,0)+IF(CF1383="D",1,0)+IF(CL1383="D",1,0)+IF(CM1383="D",1,0)+IF(CQ1383="D",1,0)+IF(CR1383="D",1,0)+IF(CS1383="D",1,0)+IF(CW1383="D",1,0)+IF(CX1383="D",1,0)+IF(DD1383="D",1,0)+IF(DE1383="D",1,0)+IF(DJ1383="D",1,0)+IF(DK1383="D",1,0)+IF(DO1383="D",1,0)+IF(DP1383="D",1,0)+IF(DQ1383="D",1,0)+IF(DW1383="D",1,0)+IF(DZ1383="D",1,0)+IF(EH1383="D",1,0)</f>
        <v/>
      </c>
      <c r="AY1383">
        <f>IF(DJ1383&lt;&gt;"",1,0)+IF(DK1383&lt;&gt;"",1,0)+IF(DM1383&lt;&gt;"",1,0)+IF(DO1383&lt;&gt;"",1,0)+IF(DP1383&lt;&gt;"",1,0)+IF(DQ1383&lt;&gt;"",1,0)+IF(DS1383&lt;&gt;"",1,0)+IF(DT1383&lt;&gt;"",1,0)+IF(DV1383&lt;&gt;"",1,0)+IF(DW1383&lt;&gt;"",1,0)+IF(DX1383&lt;&gt;"",1,0)+IF(DY1383&lt;&gt;"",1,0)+IF(DZ1383&lt;&gt;"",1,0)+IF(EB1383&lt;&gt;"",1,0)+IF(EC1383&lt;&gt;"",1,0)+IF(ED1383&lt;&gt;"",1,0)+IF(EG1383&lt;&gt;"",1,0)+IF(EH1383&lt;&gt;"",1,0)</f>
        <v/>
      </c>
      <c r="AZ1383">
        <f>IF(EH1383&lt;&gt;"",1,0)</f>
        <v/>
      </c>
      <c r="BB1383" t="inlineStr">
        <is>
          <t>WARREN-WARD 4</t>
        </is>
      </c>
      <c r="DG1383" t="inlineStr">
        <is>
          <t>D</t>
        </is>
      </c>
      <c r="DN1383" t="inlineStr">
        <is>
          <t>X</t>
        </is>
      </c>
      <c r="EF1383" t="inlineStr">
        <is>
          <t>X</t>
        </is>
      </c>
    </row>
    <row r="1384">
      <c r="A1384" t="inlineStr">
        <is>
          <t>OH0015808625</t>
        </is>
      </c>
      <c r="B1384" t="n">
        <v>78</v>
      </c>
      <c r="C1384" t="n">
        <v>304881</v>
      </c>
      <c r="D1384" t="inlineStr">
        <is>
          <t>BLALOCK</t>
        </is>
      </c>
      <c r="E1384" t="inlineStr">
        <is>
          <t>ANASTASIA</t>
        </is>
      </c>
      <c r="F1384">
        <f>CONCATENATE(D1384," ",LEFT(H1384,4),"T=",AU1384,"D=",AV1384,"R=",AW1384,"M=",AX1384,"L=",AY1384,"B=",AZ1384)</f>
        <v/>
      </c>
      <c r="I1384" t="inlineStr">
        <is>
          <t>1982-12-09</t>
        </is>
      </c>
      <c r="J1384" t="inlineStr">
        <is>
          <t>2020-09-11</t>
        </is>
      </c>
      <c r="K1384" t="inlineStr">
        <is>
          <t>ACTIVE</t>
        </is>
      </c>
      <c r="M1384" t="inlineStr">
        <is>
          <t>532 N PARK AVE</t>
        </is>
      </c>
      <c r="N1384">
        <f>RIGHT(M1384,LEN(M1384)-FIND(" ",M1384))</f>
        <v/>
      </c>
      <c r="O1384" t="inlineStr">
        <is>
          <t>APT K</t>
        </is>
      </c>
      <c r="P1384" t="inlineStr">
        <is>
          <t>WARREN</t>
        </is>
      </c>
      <c r="Q1384" t="inlineStr">
        <is>
          <t>OH</t>
        </is>
      </c>
      <c r="R1384" t="n">
        <v>44481</v>
      </c>
      <c r="AD1384" t="inlineStr">
        <is>
          <t>TRUMBULL CAREER &amp; TECH CENTER</t>
        </is>
      </c>
      <c r="AE1384" t="inlineStr">
        <is>
          <t>WARREN CITY</t>
        </is>
      </c>
      <c r="AF1384" t="inlineStr">
        <is>
          <t>WARREN CITY SD</t>
        </is>
      </c>
      <c r="AH1384" t="n">
        <v>14</v>
      </c>
      <c r="AI1384" t="n">
        <v>11</v>
      </c>
      <c r="AN1384" t="inlineStr">
        <is>
          <t>WARREN</t>
        </is>
      </c>
      <c r="AO1384" t="inlineStr">
        <is>
          <t>WARREN CITY 4D</t>
        </is>
      </c>
      <c r="AP1384" t="inlineStr">
        <is>
          <t>78-P-ADL</t>
        </is>
      </c>
      <c r="AQ1384" t="n">
        <v>9</v>
      </c>
      <c r="AR1384" t="n">
        <v>64</v>
      </c>
      <c r="AS1384" t="n">
        <v>32</v>
      </c>
      <c r="AU1384">
        <f>COUNTA($BA$1384:$EH$1384)</f>
        <v/>
      </c>
      <c r="AV1384">
        <f>COUNTIF($BA$1384:$EH$1384,"D")</f>
        <v/>
      </c>
      <c r="AW1384">
        <f>COUNTIF($BA$1384:$EH$1384,"R")</f>
        <v/>
      </c>
      <c r="AX1384">
        <f>IF(BN1384="D",1,0)+IF(BO1384="D",1,0)+IF(BT1384="D",1,0)+IF(BU1384="D",1,0)+IF(BW1384="D",1,0)+IF(CC1384="D",1,0)+IF(CD1384="D",1,0)+IF(CE1384="D",1,0)+IF(CF1384="D",1,0)+IF(CL1384="D",1,0)+IF(CM1384="D",1,0)+IF(CQ1384="D",1,0)+IF(CR1384="D",1,0)+IF(CS1384="D",1,0)+IF(CW1384="D",1,0)+IF(CX1384="D",1,0)+IF(DD1384="D",1,0)+IF(DE1384="D",1,0)+IF(DJ1384="D",1,0)+IF(DK1384="D",1,0)+IF(DO1384="D",1,0)+IF(DP1384="D",1,0)+IF(DQ1384="D",1,0)+IF(DW1384="D",1,0)+IF(DZ1384="D",1,0)+IF(EH1384="D",1,0)</f>
        <v/>
      </c>
      <c r="AY1384">
        <f>IF(DJ1384&lt;&gt;"",1,0)+IF(DK1384&lt;&gt;"",1,0)+IF(DM1384&lt;&gt;"",1,0)+IF(DO1384&lt;&gt;"",1,0)+IF(DP1384&lt;&gt;"",1,0)+IF(DQ1384&lt;&gt;"",1,0)+IF(DS1384&lt;&gt;"",1,0)+IF(DT1384&lt;&gt;"",1,0)+IF(DV1384&lt;&gt;"",1,0)+IF(DW1384&lt;&gt;"",1,0)+IF(DX1384&lt;&gt;"",1,0)+IF(DY1384&lt;&gt;"",1,0)+IF(DZ1384&lt;&gt;"",1,0)+IF(EB1384&lt;&gt;"",1,0)+IF(EC1384&lt;&gt;"",1,0)+IF(ED1384&lt;&gt;"",1,0)+IF(EG1384&lt;&gt;"",1,0)+IF(EH1384&lt;&gt;"",1,0)</f>
        <v/>
      </c>
      <c r="AZ1384">
        <f>IF(EH1384&lt;&gt;"",1,0)</f>
        <v/>
      </c>
      <c r="BB1384" t="inlineStr">
        <is>
          <t>WARREN-WARD 4</t>
        </is>
      </c>
      <c r="BH1384" t="inlineStr">
        <is>
          <t>X</t>
        </is>
      </c>
      <c r="BK1384" t="inlineStr">
        <is>
          <t>X</t>
        </is>
      </c>
      <c r="BL1384" t="inlineStr">
        <is>
          <t>X</t>
        </is>
      </c>
      <c r="BS1384" t="inlineStr">
        <is>
          <t>X</t>
        </is>
      </c>
      <c r="BY1384" t="inlineStr">
        <is>
          <t>D</t>
        </is>
      </c>
      <c r="CA1384" t="inlineStr">
        <is>
          <t>X</t>
        </is>
      </c>
      <c r="DC1384" t="inlineStr">
        <is>
          <t>X</t>
        </is>
      </c>
      <c r="DN1384" t="inlineStr">
        <is>
          <t>X</t>
        </is>
      </c>
      <c r="EA1384" t="inlineStr">
        <is>
          <t>X</t>
        </is>
      </c>
      <c r="EF1384" t="inlineStr">
        <is>
          <t>X</t>
        </is>
      </c>
    </row>
    <row r="1385">
      <c r="A1385" t="inlineStr">
        <is>
          <t>OH0026171919</t>
        </is>
      </c>
      <c r="B1385" t="n">
        <v>78</v>
      </c>
      <c r="C1385" t="n">
        <v>430524</v>
      </c>
      <c r="D1385" t="inlineStr">
        <is>
          <t>STEWART</t>
        </is>
      </c>
      <c r="E1385" t="inlineStr">
        <is>
          <t>AUSTIN</t>
        </is>
      </c>
      <c r="F1385">
        <f>CONCATENATE(D1385," ",LEFT(H1385,4),"T=",AU1385,"D=",AV1385,"R=",AW1385,"M=",AX1385,"L=",AY1385,"B=",AZ1385)</f>
        <v/>
      </c>
      <c r="G1385" t="inlineStr">
        <is>
          <t>T</t>
        </is>
      </c>
      <c r="I1385" t="inlineStr">
        <is>
          <t>1997-07-23</t>
        </is>
      </c>
      <c r="J1385" t="inlineStr">
        <is>
          <t>2018-03-19</t>
        </is>
      </c>
      <c r="K1385" t="inlineStr">
        <is>
          <t>CONFIRMATION</t>
        </is>
      </c>
      <c r="M1385" t="inlineStr">
        <is>
          <t>191 LINDEN AVE NE</t>
        </is>
      </c>
      <c r="N1385">
        <f>RIGHT(M1385,LEN(M1385)-FIND(" ",M1385))</f>
        <v/>
      </c>
      <c r="P1385" t="inlineStr">
        <is>
          <t>WARREN</t>
        </is>
      </c>
      <c r="Q1385" t="inlineStr">
        <is>
          <t>OH</t>
        </is>
      </c>
      <c r="R1385" t="n">
        <v>44483</v>
      </c>
      <c r="AD1385" t="inlineStr">
        <is>
          <t>TRUMBULL CAREER &amp; TECH CENTER</t>
        </is>
      </c>
      <c r="AE1385" t="inlineStr">
        <is>
          <t>WARREN CITY</t>
        </is>
      </c>
      <c r="AF1385" t="inlineStr">
        <is>
          <t>WARREN CITY SD</t>
        </is>
      </c>
      <c r="AH1385" t="n">
        <v>14</v>
      </c>
      <c r="AI1385" t="n">
        <v>11</v>
      </c>
      <c r="AN1385" t="inlineStr">
        <is>
          <t>WARREN</t>
        </is>
      </c>
      <c r="AO1385" t="inlineStr">
        <is>
          <t>WARREN CITY 4D</t>
        </is>
      </c>
      <c r="AP1385" t="inlineStr">
        <is>
          <t>78-P-ADL</t>
        </is>
      </c>
      <c r="AQ1385" t="n">
        <v>9</v>
      </c>
      <c r="AR1385" t="n">
        <v>64</v>
      </c>
      <c r="AS1385" t="n">
        <v>32</v>
      </c>
      <c r="AU1385">
        <f>COUNTA($BA$1385:$EH$1385)</f>
        <v/>
      </c>
      <c r="AV1385">
        <f>COUNTIF($BA$1385:$EH$1385,"D")</f>
        <v/>
      </c>
      <c r="AW1385">
        <f>COUNTIF($BA$1385:$EH$1385,"R")</f>
        <v/>
      </c>
      <c r="AX1385">
        <f>IF(BN1385="D",1,0)+IF(BO1385="D",1,0)+IF(BT1385="D",1,0)+IF(BU1385="D",1,0)+IF(BW1385="D",1,0)+IF(CC1385="D",1,0)+IF(CD1385="D",1,0)+IF(CE1385="D",1,0)+IF(CF1385="D",1,0)+IF(CL1385="D",1,0)+IF(CM1385="D",1,0)+IF(CQ1385="D",1,0)+IF(CR1385="D",1,0)+IF(CS1385="D",1,0)+IF(CW1385="D",1,0)+IF(CX1385="D",1,0)+IF(DD1385="D",1,0)+IF(DE1385="D",1,0)+IF(DJ1385="D",1,0)+IF(DK1385="D",1,0)+IF(DO1385="D",1,0)+IF(DP1385="D",1,0)+IF(DQ1385="D",1,0)+IF(DW1385="D",1,0)+IF(DZ1385="D",1,0)+IF(EH1385="D",1,0)</f>
        <v/>
      </c>
      <c r="AY1385">
        <f>IF(DJ1385&lt;&gt;"",1,0)+IF(DK1385&lt;&gt;"",1,0)+IF(DM1385&lt;&gt;"",1,0)+IF(DO1385&lt;&gt;"",1,0)+IF(DP1385&lt;&gt;"",1,0)+IF(DQ1385&lt;&gt;"",1,0)+IF(DS1385&lt;&gt;"",1,0)+IF(DT1385&lt;&gt;"",1,0)+IF(DV1385&lt;&gt;"",1,0)+IF(DW1385&lt;&gt;"",1,0)+IF(DX1385&lt;&gt;"",1,0)+IF(DY1385&lt;&gt;"",1,0)+IF(DZ1385&lt;&gt;"",1,0)+IF(EB1385&lt;&gt;"",1,0)+IF(EC1385&lt;&gt;"",1,0)+IF(ED1385&lt;&gt;"",1,0)+IF(EG1385&lt;&gt;"",1,0)+IF(EH1385&lt;&gt;"",1,0)</f>
        <v/>
      </c>
      <c r="AZ1385">
        <f>IF(EH1385&lt;&gt;"",1,0)</f>
        <v/>
      </c>
      <c r="BB1385" t="inlineStr">
        <is>
          <t>WARREN-WARD 4</t>
        </is>
      </c>
    </row>
    <row r="1386">
      <c r="A1386" t="inlineStr">
        <is>
          <t>OH0025378475</t>
        </is>
      </c>
      <c r="B1386" t="n">
        <v>78</v>
      </c>
      <c r="C1386" t="n">
        <v>443573</v>
      </c>
      <c r="D1386" t="inlineStr">
        <is>
          <t>SCAGGS</t>
        </is>
      </c>
      <c r="E1386" t="inlineStr">
        <is>
          <t>TERESA</t>
        </is>
      </c>
      <c r="F1386">
        <f>CONCATENATE(D1386," ",LEFT(H1386,4),"T=",AU1386,"D=",AV1386,"R=",AW1386,"M=",AX1386,"L=",AY1386,"B=",AZ1386)</f>
        <v/>
      </c>
      <c r="G1386" t="inlineStr">
        <is>
          <t>ANN</t>
        </is>
      </c>
      <c r="I1386" t="inlineStr">
        <is>
          <t>1984-10-28</t>
        </is>
      </c>
      <c r="J1386" t="inlineStr">
        <is>
          <t>2023-10-26</t>
        </is>
      </c>
      <c r="K1386" t="inlineStr">
        <is>
          <t>ACTIVE</t>
        </is>
      </c>
      <c r="M1386" t="inlineStr">
        <is>
          <t>300 SCOTT ST NE</t>
        </is>
      </c>
      <c r="N1386">
        <f>RIGHT(M1386,LEN(M1386)-FIND(" ",M1386))</f>
        <v/>
      </c>
      <c r="O1386" t="inlineStr">
        <is>
          <t>APT 2</t>
        </is>
      </c>
      <c r="P1386" t="inlineStr">
        <is>
          <t>WARREN</t>
        </is>
      </c>
      <c r="Q1386" t="inlineStr">
        <is>
          <t>OH</t>
        </is>
      </c>
      <c r="R1386" t="n">
        <v>44483</v>
      </c>
      <c r="AD1386" t="inlineStr">
        <is>
          <t>TRUMBULL CAREER &amp; TECH CENTER</t>
        </is>
      </c>
      <c r="AE1386" t="inlineStr">
        <is>
          <t>WARREN CITY</t>
        </is>
      </c>
      <c r="AF1386" t="inlineStr">
        <is>
          <t>WARREN CITY SD</t>
        </is>
      </c>
      <c r="AH1386" t="n">
        <v>14</v>
      </c>
      <c r="AI1386" t="n">
        <v>11</v>
      </c>
      <c r="AN1386" t="inlineStr">
        <is>
          <t>WARREN</t>
        </is>
      </c>
      <c r="AO1386" t="inlineStr">
        <is>
          <t>WARREN CITY 4D</t>
        </is>
      </c>
      <c r="AP1386" t="inlineStr">
        <is>
          <t>78-P-ADL</t>
        </is>
      </c>
      <c r="AQ1386" t="n">
        <v>9</v>
      </c>
      <c r="AR1386" t="n">
        <v>64</v>
      </c>
      <c r="AS1386" t="n">
        <v>32</v>
      </c>
      <c r="AU1386">
        <f>COUNTA($BA$1386:$EH$1386)</f>
        <v/>
      </c>
      <c r="AV1386">
        <f>COUNTIF($BA$1386:$EH$1386,"D")</f>
        <v/>
      </c>
      <c r="AW1386">
        <f>COUNTIF($BA$1386:$EH$1386,"R")</f>
        <v/>
      </c>
      <c r="AX1386">
        <f>IF(BN1386="D",1,0)+IF(BO1386="D",1,0)+IF(BT1386="D",1,0)+IF(BU1386="D",1,0)+IF(BW1386="D",1,0)+IF(CC1386="D",1,0)+IF(CD1386="D",1,0)+IF(CE1386="D",1,0)+IF(CF1386="D",1,0)+IF(CL1386="D",1,0)+IF(CM1386="D",1,0)+IF(CQ1386="D",1,0)+IF(CR1386="D",1,0)+IF(CS1386="D",1,0)+IF(CW1386="D",1,0)+IF(CX1386="D",1,0)+IF(DD1386="D",1,0)+IF(DE1386="D",1,0)+IF(DJ1386="D",1,0)+IF(DK1386="D",1,0)+IF(DO1386="D",1,0)+IF(DP1386="D",1,0)+IF(DQ1386="D",1,0)+IF(DW1386="D",1,0)+IF(DZ1386="D",1,0)+IF(EH1386="D",1,0)</f>
        <v/>
      </c>
      <c r="AY1386">
        <f>IF(DJ1386&lt;&gt;"",1,0)+IF(DK1386&lt;&gt;"",1,0)+IF(DM1386&lt;&gt;"",1,0)+IF(DO1386&lt;&gt;"",1,0)+IF(DP1386&lt;&gt;"",1,0)+IF(DQ1386&lt;&gt;"",1,0)+IF(DS1386&lt;&gt;"",1,0)+IF(DT1386&lt;&gt;"",1,0)+IF(DV1386&lt;&gt;"",1,0)+IF(DW1386&lt;&gt;"",1,0)+IF(DX1386&lt;&gt;"",1,0)+IF(DY1386&lt;&gt;"",1,0)+IF(DZ1386&lt;&gt;"",1,0)+IF(EB1386&lt;&gt;"",1,0)+IF(EC1386&lt;&gt;"",1,0)+IF(ED1386&lt;&gt;"",1,0)+IF(EG1386&lt;&gt;"",1,0)+IF(EH1386&lt;&gt;"",1,0)</f>
        <v/>
      </c>
      <c r="AZ1386">
        <f>IF(EH1386&lt;&gt;"",1,0)</f>
        <v/>
      </c>
      <c r="BB1386" t="inlineStr">
        <is>
          <t>WARREN-WARD 4</t>
        </is>
      </c>
      <c r="BL1386" t="inlineStr">
        <is>
          <t>X</t>
        </is>
      </c>
    </row>
    <row r="1387">
      <c r="A1387" t="inlineStr">
        <is>
          <t>OH0027139282</t>
        </is>
      </c>
      <c r="B1387" t="n">
        <v>78</v>
      </c>
      <c r="C1387" t="n">
        <v>477437</v>
      </c>
      <c r="D1387" t="inlineStr">
        <is>
          <t>LONG</t>
        </is>
      </c>
      <c r="E1387" t="inlineStr">
        <is>
          <t>KATHLEEN</t>
        </is>
      </c>
      <c r="F1387">
        <f>CONCATENATE(D1387," ",LEFT(H1387,4),"T=",AU1387,"D=",AV1387,"R=",AW1387,"M=",AX1387,"L=",AY1387,"B=",AZ1387)</f>
        <v/>
      </c>
      <c r="G1387" t="inlineStr">
        <is>
          <t>E</t>
        </is>
      </c>
      <c r="I1387" t="inlineStr">
        <is>
          <t>1993-09-13</t>
        </is>
      </c>
      <c r="J1387" t="inlineStr">
        <is>
          <t>2023-10-26</t>
        </is>
      </c>
      <c r="K1387" t="inlineStr">
        <is>
          <t>ACTIVE</t>
        </is>
      </c>
      <c r="M1387" t="inlineStr">
        <is>
          <t>237 SCOTT ST NE</t>
        </is>
      </c>
      <c r="N1387">
        <f>RIGHT(M1387,LEN(M1387)-FIND(" ",M1387))</f>
        <v/>
      </c>
      <c r="P1387" t="inlineStr">
        <is>
          <t>WARREN</t>
        </is>
      </c>
      <c r="Q1387" t="inlineStr">
        <is>
          <t>OH</t>
        </is>
      </c>
      <c r="R1387" t="n">
        <v>44483</v>
      </c>
      <c r="AD1387" t="inlineStr">
        <is>
          <t>TRUMBULL CAREER &amp; TECH CENTER</t>
        </is>
      </c>
      <c r="AE1387" t="inlineStr">
        <is>
          <t>WARREN CITY</t>
        </is>
      </c>
      <c r="AF1387" t="inlineStr">
        <is>
          <t>WARREN CITY SD</t>
        </is>
      </c>
      <c r="AH1387" t="n">
        <v>14</v>
      </c>
      <c r="AI1387" t="n">
        <v>11</v>
      </c>
      <c r="AN1387" t="inlineStr">
        <is>
          <t>WARREN</t>
        </is>
      </c>
      <c r="AO1387" t="inlineStr">
        <is>
          <t>WARREN CITY 4D</t>
        </is>
      </c>
      <c r="AP1387" t="inlineStr">
        <is>
          <t>78-P-ADL</t>
        </is>
      </c>
      <c r="AQ1387" t="n">
        <v>9</v>
      </c>
      <c r="AR1387" t="n">
        <v>64</v>
      </c>
      <c r="AS1387" t="n">
        <v>32</v>
      </c>
      <c r="AU1387">
        <f>COUNTA($BA$1387:$EH$1387)</f>
        <v/>
      </c>
      <c r="AV1387">
        <f>COUNTIF($BA$1387:$EH$1387,"D")</f>
        <v/>
      </c>
      <c r="AW1387">
        <f>COUNTIF($BA$1387:$EH$1387,"R")</f>
        <v/>
      </c>
      <c r="AX1387">
        <f>IF(BN1387="D",1,0)+IF(BO1387="D",1,0)+IF(BT1387="D",1,0)+IF(BU1387="D",1,0)+IF(BW1387="D",1,0)+IF(CC1387="D",1,0)+IF(CD1387="D",1,0)+IF(CE1387="D",1,0)+IF(CF1387="D",1,0)+IF(CL1387="D",1,0)+IF(CM1387="D",1,0)+IF(CQ1387="D",1,0)+IF(CR1387="D",1,0)+IF(CS1387="D",1,0)+IF(CW1387="D",1,0)+IF(CX1387="D",1,0)+IF(DD1387="D",1,0)+IF(DE1387="D",1,0)+IF(DJ1387="D",1,0)+IF(DK1387="D",1,0)+IF(DO1387="D",1,0)+IF(DP1387="D",1,0)+IF(DQ1387="D",1,0)+IF(DW1387="D",1,0)+IF(DZ1387="D",1,0)+IF(EH1387="D",1,0)</f>
        <v/>
      </c>
      <c r="AY1387">
        <f>IF(DJ1387&lt;&gt;"",1,0)+IF(DK1387&lt;&gt;"",1,0)+IF(DM1387&lt;&gt;"",1,0)+IF(DO1387&lt;&gt;"",1,0)+IF(DP1387&lt;&gt;"",1,0)+IF(DQ1387&lt;&gt;"",1,0)+IF(DS1387&lt;&gt;"",1,0)+IF(DT1387&lt;&gt;"",1,0)+IF(DV1387&lt;&gt;"",1,0)+IF(DW1387&lt;&gt;"",1,0)+IF(DX1387&lt;&gt;"",1,0)+IF(DY1387&lt;&gt;"",1,0)+IF(DZ1387&lt;&gt;"",1,0)+IF(EB1387&lt;&gt;"",1,0)+IF(EC1387&lt;&gt;"",1,0)+IF(ED1387&lt;&gt;"",1,0)+IF(EG1387&lt;&gt;"",1,0)+IF(EH1387&lt;&gt;"",1,0)</f>
        <v/>
      </c>
      <c r="AZ1387">
        <f>IF(EH1387&lt;&gt;"",1,0)</f>
        <v/>
      </c>
      <c r="BB1387" t="inlineStr">
        <is>
          <t>WARREN-WARD 4</t>
        </is>
      </c>
    </row>
    <row r="1388">
      <c r="A1388" t="inlineStr">
        <is>
          <t>OH0025043485</t>
        </is>
      </c>
      <c r="B1388" t="n">
        <v>78</v>
      </c>
      <c r="C1388" t="n">
        <v>438398</v>
      </c>
      <c r="D1388" t="inlineStr">
        <is>
          <t>KOVELL</t>
        </is>
      </c>
      <c r="E1388" t="inlineStr">
        <is>
          <t>CASSIDY</t>
        </is>
      </c>
      <c r="F1388">
        <f>CONCATENATE(D1388," ",LEFT(H1388,4),"T=",AU1388,"D=",AV1388,"R=",AW1388,"M=",AX1388,"L=",AY1388,"B=",AZ1388)</f>
        <v/>
      </c>
      <c r="G1388" t="inlineStr">
        <is>
          <t>ROSE</t>
        </is>
      </c>
      <c r="I1388" t="inlineStr">
        <is>
          <t>2000-07-01</t>
        </is>
      </c>
      <c r="J1388" t="inlineStr">
        <is>
          <t>2020-11-23</t>
        </is>
      </c>
      <c r="K1388" t="inlineStr">
        <is>
          <t>CONFIRMATION</t>
        </is>
      </c>
      <c r="M1388" t="inlineStr">
        <is>
          <t>182 HIGH ST NE</t>
        </is>
      </c>
      <c r="N1388">
        <f>RIGHT(M1388,LEN(M1388)-FIND(" ",M1388))</f>
        <v/>
      </c>
      <c r="O1388" t="inlineStr">
        <is>
          <t>APT 103</t>
        </is>
      </c>
      <c r="P1388" t="inlineStr">
        <is>
          <t>WARREN</t>
        </is>
      </c>
      <c r="Q1388" t="inlineStr">
        <is>
          <t>OH</t>
        </is>
      </c>
      <c r="R1388" t="n">
        <v>44481</v>
      </c>
      <c r="AD1388" t="inlineStr">
        <is>
          <t>TRUMBULL CAREER &amp; TECH CENTER</t>
        </is>
      </c>
      <c r="AE1388" t="inlineStr">
        <is>
          <t>WARREN CITY</t>
        </is>
      </c>
      <c r="AF1388" t="inlineStr">
        <is>
          <t>WARREN CITY SD</t>
        </is>
      </c>
      <c r="AH1388" t="n">
        <v>14</v>
      </c>
      <c r="AI1388" t="n">
        <v>11</v>
      </c>
      <c r="AN1388" t="inlineStr">
        <is>
          <t>WARREN</t>
        </is>
      </c>
      <c r="AO1388" t="inlineStr">
        <is>
          <t>WARREN CITY 4D</t>
        </is>
      </c>
      <c r="AP1388" t="inlineStr">
        <is>
          <t>78-P-ADL</t>
        </is>
      </c>
      <c r="AQ1388" t="n">
        <v>9</v>
      </c>
      <c r="AR1388" t="n">
        <v>64</v>
      </c>
      <c r="AS1388" t="n">
        <v>32</v>
      </c>
      <c r="AU1388">
        <f>COUNTA($BA$1388:$EH$1388)</f>
        <v/>
      </c>
      <c r="AV1388">
        <f>COUNTIF($BA$1388:$EH$1388,"D")</f>
        <v/>
      </c>
      <c r="AW1388">
        <f>COUNTIF($BA$1388:$EH$1388,"R")</f>
        <v/>
      </c>
      <c r="AX1388">
        <f>IF(BN1388="D",1,0)+IF(BO1388="D",1,0)+IF(BT1388="D",1,0)+IF(BU1388="D",1,0)+IF(BW1388="D",1,0)+IF(CC1388="D",1,0)+IF(CD1388="D",1,0)+IF(CE1388="D",1,0)+IF(CF1388="D",1,0)+IF(CL1388="D",1,0)+IF(CM1388="D",1,0)+IF(CQ1388="D",1,0)+IF(CR1388="D",1,0)+IF(CS1388="D",1,0)+IF(CW1388="D",1,0)+IF(CX1388="D",1,0)+IF(DD1388="D",1,0)+IF(DE1388="D",1,0)+IF(DJ1388="D",1,0)+IF(DK1388="D",1,0)+IF(DO1388="D",1,0)+IF(DP1388="D",1,0)+IF(DQ1388="D",1,0)+IF(DW1388="D",1,0)+IF(DZ1388="D",1,0)+IF(EH1388="D",1,0)</f>
        <v/>
      </c>
      <c r="AY1388">
        <f>IF(DJ1388&lt;&gt;"",1,0)+IF(DK1388&lt;&gt;"",1,0)+IF(DM1388&lt;&gt;"",1,0)+IF(DO1388&lt;&gt;"",1,0)+IF(DP1388&lt;&gt;"",1,0)+IF(DQ1388&lt;&gt;"",1,0)+IF(DS1388&lt;&gt;"",1,0)+IF(DT1388&lt;&gt;"",1,0)+IF(DV1388&lt;&gt;"",1,0)+IF(DW1388&lt;&gt;"",1,0)+IF(DX1388&lt;&gt;"",1,0)+IF(DY1388&lt;&gt;"",1,0)+IF(DZ1388&lt;&gt;"",1,0)+IF(EB1388&lt;&gt;"",1,0)+IF(EC1388&lt;&gt;"",1,0)+IF(ED1388&lt;&gt;"",1,0)+IF(EG1388&lt;&gt;"",1,0)+IF(EH1388&lt;&gt;"",1,0)</f>
        <v/>
      </c>
      <c r="AZ1388">
        <f>IF(EH1388&lt;&gt;"",1,0)</f>
        <v/>
      </c>
      <c r="BB1388" t="inlineStr">
        <is>
          <t>WARREN-WARD 4</t>
        </is>
      </c>
      <c r="DN1388" t="inlineStr">
        <is>
          <t>X</t>
        </is>
      </c>
    </row>
    <row r="1389">
      <c r="A1389" t="inlineStr">
        <is>
          <t>OH0027130556</t>
        </is>
      </c>
      <c r="B1389" t="n">
        <v>78</v>
      </c>
      <c r="C1389" t="n">
        <v>477168</v>
      </c>
      <c r="D1389" t="inlineStr">
        <is>
          <t>DIMARTINO</t>
        </is>
      </c>
      <c r="E1389" t="inlineStr">
        <is>
          <t>GIOVANNI</t>
        </is>
      </c>
      <c r="F1389">
        <f>CONCATENATE(D1389," ",LEFT(H1389,4),"T=",AU1389,"D=",AV1389,"R=",AW1389,"M=",AX1389,"L=",AY1389,"B=",AZ1389)</f>
        <v/>
      </c>
      <c r="G1389" t="inlineStr">
        <is>
          <t>ANTONIO</t>
        </is>
      </c>
      <c r="I1389" t="inlineStr">
        <is>
          <t>1960-09-28</t>
        </is>
      </c>
      <c r="J1389" t="inlineStr">
        <is>
          <t>2023-11-02</t>
        </is>
      </c>
      <c r="K1389" t="inlineStr">
        <is>
          <t>ACTIVE</t>
        </is>
      </c>
      <c r="M1389" t="inlineStr">
        <is>
          <t>413 PORTER ST NE</t>
        </is>
      </c>
      <c r="N1389">
        <f>RIGHT(M1389,LEN(M1389)-FIND(" ",M1389))</f>
        <v/>
      </c>
      <c r="P1389" t="inlineStr">
        <is>
          <t>WARREN</t>
        </is>
      </c>
      <c r="Q1389" t="inlineStr">
        <is>
          <t>OH</t>
        </is>
      </c>
      <c r="R1389" t="n">
        <v>44483</v>
      </c>
      <c r="AD1389" t="inlineStr">
        <is>
          <t>TRUMBULL CAREER &amp; TECH CENTER</t>
        </is>
      </c>
      <c r="AE1389" t="inlineStr">
        <is>
          <t>WARREN CITY</t>
        </is>
      </c>
      <c r="AF1389" t="inlineStr">
        <is>
          <t>WARREN CITY SD</t>
        </is>
      </c>
      <c r="AH1389" t="n">
        <v>14</v>
      </c>
      <c r="AI1389" t="n">
        <v>11</v>
      </c>
      <c r="AN1389" t="inlineStr">
        <is>
          <t>WARREN</t>
        </is>
      </c>
      <c r="AO1389" t="inlineStr">
        <is>
          <t>WARREN CITY 4D</t>
        </is>
      </c>
      <c r="AP1389" t="inlineStr">
        <is>
          <t>78-P-ADL</t>
        </is>
      </c>
      <c r="AQ1389" t="n">
        <v>9</v>
      </c>
      <c r="AR1389" t="n">
        <v>64</v>
      </c>
      <c r="AS1389" t="n">
        <v>32</v>
      </c>
      <c r="AU1389">
        <f>COUNTA($BA$1389:$EH$1389)</f>
        <v/>
      </c>
      <c r="AV1389">
        <f>COUNTIF($BA$1389:$EH$1389,"D")</f>
        <v/>
      </c>
      <c r="AW1389">
        <f>COUNTIF($BA$1389:$EH$1389,"R")</f>
        <v/>
      </c>
      <c r="AX1389">
        <f>IF(BN1389="D",1,0)+IF(BO1389="D",1,0)+IF(BT1389="D",1,0)+IF(BU1389="D",1,0)+IF(BW1389="D",1,0)+IF(CC1389="D",1,0)+IF(CD1389="D",1,0)+IF(CE1389="D",1,0)+IF(CF1389="D",1,0)+IF(CL1389="D",1,0)+IF(CM1389="D",1,0)+IF(CQ1389="D",1,0)+IF(CR1389="D",1,0)+IF(CS1389="D",1,0)+IF(CW1389="D",1,0)+IF(CX1389="D",1,0)+IF(DD1389="D",1,0)+IF(DE1389="D",1,0)+IF(DJ1389="D",1,0)+IF(DK1389="D",1,0)+IF(DO1389="D",1,0)+IF(DP1389="D",1,0)+IF(DQ1389="D",1,0)+IF(DW1389="D",1,0)+IF(DZ1389="D",1,0)+IF(EH1389="D",1,0)</f>
        <v/>
      </c>
      <c r="AY1389">
        <f>IF(DJ1389&lt;&gt;"",1,0)+IF(DK1389&lt;&gt;"",1,0)+IF(DM1389&lt;&gt;"",1,0)+IF(DO1389&lt;&gt;"",1,0)+IF(DP1389&lt;&gt;"",1,0)+IF(DQ1389&lt;&gt;"",1,0)+IF(DS1389&lt;&gt;"",1,0)+IF(DT1389&lt;&gt;"",1,0)+IF(DV1389&lt;&gt;"",1,0)+IF(DW1389&lt;&gt;"",1,0)+IF(DX1389&lt;&gt;"",1,0)+IF(DY1389&lt;&gt;"",1,0)+IF(DZ1389&lt;&gt;"",1,0)+IF(EB1389&lt;&gt;"",1,0)+IF(EC1389&lt;&gt;"",1,0)+IF(ED1389&lt;&gt;"",1,0)+IF(EG1389&lt;&gt;"",1,0)+IF(EH1389&lt;&gt;"",1,0)</f>
        <v/>
      </c>
      <c r="AZ1389">
        <f>IF(EH1389&lt;&gt;"",1,0)</f>
        <v/>
      </c>
      <c r="BB1389" t="inlineStr">
        <is>
          <t>WARREN-WARD 4</t>
        </is>
      </c>
      <c r="CP1389" t="inlineStr">
        <is>
          <t>X</t>
        </is>
      </c>
      <c r="EA1389" t="inlineStr">
        <is>
          <t>X</t>
        </is>
      </c>
      <c r="EF1389" t="inlineStr">
        <is>
          <t>X</t>
        </is>
      </c>
    </row>
    <row r="1390">
      <c r="A1390" t="inlineStr">
        <is>
          <t>OH0018591715</t>
        </is>
      </c>
      <c r="B1390" t="n">
        <v>78</v>
      </c>
      <c r="C1390" t="n">
        <v>102438</v>
      </c>
      <c r="D1390" t="inlineStr">
        <is>
          <t>VIROSTEK</t>
        </is>
      </c>
      <c r="E1390" t="inlineStr">
        <is>
          <t>JANET</t>
        </is>
      </c>
      <c r="F1390">
        <f>CONCATENATE(D1390," ",LEFT(H1390,4),"T=",AU1390,"D=",AV1390,"R=",AW1390,"M=",AX1390,"L=",AY1390,"B=",AZ1390)</f>
        <v/>
      </c>
      <c r="G1390" t="inlineStr">
        <is>
          <t>E</t>
        </is>
      </c>
      <c r="I1390" t="inlineStr">
        <is>
          <t>1946-12-04</t>
        </is>
      </c>
      <c r="J1390" t="inlineStr">
        <is>
          <t>1975-07-16</t>
        </is>
      </c>
      <c r="K1390" t="inlineStr">
        <is>
          <t>CONFIRMATION</t>
        </is>
      </c>
      <c r="M1390" t="inlineStr">
        <is>
          <t>160 E MARKET ST</t>
        </is>
      </c>
      <c r="N1390">
        <f>RIGHT(M1390,LEN(M1390)-FIND(" ",M1390))</f>
        <v/>
      </c>
      <c r="O1390" t="inlineStr">
        <is>
          <t>STE 250</t>
        </is>
      </c>
      <c r="P1390" t="inlineStr">
        <is>
          <t>WARREN</t>
        </is>
      </c>
      <c r="Q1390" t="inlineStr">
        <is>
          <t>OH</t>
        </is>
      </c>
      <c r="R1390" t="n">
        <v>44481</v>
      </c>
      <c r="AD1390" t="inlineStr">
        <is>
          <t>TRUMBULL CAREER &amp; TECH CENTER</t>
        </is>
      </c>
      <c r="AE1390" t="inlineStr">
        <is>
          <t>WARREN CITY</t>
        </is>
      </c>
      <c r="AF1390" t="inlineStr">
        <is>
          <t>WARREN CITY SD</t>
        </is>
      </c>
      <c r="AH1390" t="n">
        <v>14</v>
      </c>
      <c r="AI1390" t="n">
        <v>11</v>
      </c>
      <c r="AN1390" t="inlineStr">
        <is>
          <t>WARREN</t>
        </is>
      </c>
      <c r="AO1390" t="inlineStr">
        <is>
          <t>WARREN CITY 4D</t>
        </is>
      </c>
      <c r="AP1390" t="inlineStr">
        <is>
          <t>78-P-ADL</t>
        </is>
      </c>
      <c r="AQ1390" t="n">
        <v>9</v>
      </c>
      <c r="AR1390" t="n">
        <v>64</v>
      </c>
      <c r="AS1390" t="n">
        <v>32</v>
      </c>
      <c r="AU1390">
        <f>COUNTA($BA$1390:$EH$1390)</f>
        <v/>
      </c>
      <c r="AV1390">
        <f>COUNTIF($BA$1390:$EH$1390,"D")</f>
        <v/>
      </c>
      <c r="AW1390">
        <f>COUNTIF($BA$1390:$EH$1390,"R")</f>
        <v/>
      </c>
      <c r="AX1390">
        <f>IF(BN1390="D",1,0)+IF(BO1390="D",1,0)+IF(BT1390="D",1,0)+IF(BU1390="D",1,0)+IF(BW1390="D",1,0)+IF(CC1390="D",1,0)+IF(CD1390="D",1,0)+IF(CE1390="D",1,0)+IF(CF1390="D",1,0)+IF(CL1390="D",1,0)+IF(CM1390="D",1,0)+IF(CQ1390="D",1,0)+IF(CR1390="D",1,0)+IF(CS1390="D",1,0)+IF(CW1390="D",1,0)+IF(CX1390="D",1,0)+IF(DD1390="D",1,0)+IF(DE1390="D",1,0)+IF(DJ1390="D",1,0)+IF(DK1390="D",1,0)+IF(DO1390="D",1,0)+IF(DP1390="D",1,0)+IF(DQ1390="D",1,0)+IF(DW1390="D",1,0)+IF(DZ1390="D",1,0)+IF(EH1390="D",1,0)</f>
        <v/>
      </c>
      <c r="AY1390">
        <f>IF(DJ1390&lt;&gt;"",1,0)+IF(DK1390&lt;&gt;"",1,0)+IF(DM1390&lt;&gt;"",1,0)+IF(DO1390&lt;&gt;"",1,0)+IF(DP1390&lt;&gt;"",1,0)+IF(DQ1390&lt;&gt;"",1,0)+IF(DS1390&lt;&gt;"",1,0)+IF(DT1390&lt;&gt;"",1,0)+IF(DV1390&lt;&gt;"",1,0)+IF(DW1390&lt;&gt;"",1,0)+IF(DX1390&lt;&gt;"",1,0)+IF(DY1390&lt;&gt;"",1,0)+IF(DZ1390&lt;&gt;"",1,0)+IF(EB1390&lt;&gt;"",1,0)+IF(EC1390&lt;&gt;"",1,0)+IF(ED1390&lt;&gt;"",1,0)+IF(EG1390&lt;&gt;"",1,0)+IF(EH1390&lt;&gt;"",1,0)</f>
        <v/>
      </c>
      <c r="AZ1390">
        <f>IF(EH1390&lt;&gt;"",1,0)</f>
        <v/>
      </c>
      <c r="BB1390" t="inlineStr">
        <is>
          <t>WARREN-WARD 4</t>
        </is>
      </c>
      <c r="BL1390" t="inlineStr">
        <is>
          <t>X</t>
        </is>
      </c>
      <c r="BP1390" t="inlineStr">
        <is>
          <t>X</t>
        </is>
      </c>
      <c r="BY1390" t="inlineStr">
        <is>
          <t>D</t>
        </is>
      </c>
      <c r="CA1390" t="inlineStr">
        <is>
          <t>X</t>
        </is>
      </c>
      <c r="CC1390" t="inlineStr">
        <is>
          <t>X</t>
        </is>
      </c>
      <c r="CG1390" t="inlineStr">
        <is>
          <t>X</t>
        </is>
      </c>
      <c r="CH1390" t="inlineStr">
        <is>
          <t>D</t>
        </is>
      </c>
      <c r="CK1390" t="inlineStr">
        <is>
          <t>X</t>
        </is>
      </c>
      <c r="CL1390" t="inlineStr">
        <is>
          <t>D</t>
        </is>
      </c>
      <c r="CN1390" t="inlineStr">
        <is>
          <t>X</t>
        </is>
      </c>
      <c r="CP1390" t="inlineStr">
        <is>
          <t>X</t>
        </is>
      </c>
      <c r="CT1390" t="inlineStr">
        <is>
          <t>X</t>
        </is>
      </c>
      <c r="CU1390" t="inlineStr">
        <is>
          <t>D</t>
        </is>
      </c>
      <c r="CV1390" t="inlineStr">
        <is>
          <t>X</t>
        </is>
      </c>
      <c r="CW1390" t="inlineStr">
        <is>
          <t>X</t>
        </is>
      </c>
      <c r="CY1390" t="inlineStr">
        <is>
          <t>X</t>
        </is>
      </c>
      <c r="CZ1390" t="inlineStr">
        <is>
          <t>D</t>
        </is>
      </c>
      <c r="DC1390" t="inlineStr">
        <is>
          <t>X</t>
        </is>
      </c>
      <c r="DF1390" t="inlineStr">
        <is>
          <t>X</t>
        </is>
      </c>
      <c r="DG1390" t="inlineStr">
        <is>
          <t>D</t>
        </is>
      </c>
      <c r="DI1390" t="inlineStr">
        <is>
          <t>X</t>
        </is>
      </c>
    </row>
    <row r="1391">
      <c r="A1391" t="inlineStr">
        <is>
          <t>OH0015706240</t>
        </is>
      </c>
      <c r="B1391" t="n">
        <v>78</v>
      </c>
      <c r="C1391" t="n">
        <v>169198</v>
      </c>
      <c r="D1391" t="inlineStr">
        <is>
          <t>CHALKER</t>
        </is>
      </c>
      <c r="E1391" t="inlineStr">
        <is>
          <t>CHRISTINE</t>
        </is>
      </c>
      <c r="F1391">
        <f>CONCATENATE(D1391," ",LEFT(H1391,4),"T=",AU1391,"D=",AV1391,"R=",AW1391,"M=",AX1391,"L=",AY1391,"B=",AZ1391)</f>
        <v/>
      </c>
      <c r="G1391" t="inlineStr">
        <is>
          <t>M</t>
        </is>
      </c>
      <c r="I1391" t="inlineStr">
        <is>
          <t>1966-02-26</t>
        </is>
      </c>
      <c r="J1391" t="inlineStr">
        <is>
          <t>2017-03-15</t>
        </is>
      </c>
      <c r="K1391" t="inlineStr">
        <is>
          <t>ACTIVE</t>
        </is>
      </c>
      <c r="L1391" t="inlineStr">
        <is>
          <t>R</t>
        </is>
      </c>
      <c r="M1391" t="inlineStr">
        <is>
          <t>1173 MCKINLEY ST NE</t>
        </is>
      </c>
      <c r="N1391">
        <f>RIGHT(M1391,LEN(M1391)-FIND(" ",M1391))</f>
        <v/>
      </c>
      <c r="P1391" t="inlineStr">
        <is>
          <t>WARREN</t>
        </is>
      </c>
      <c r="Q1391" t="inlineStr">
        <is>
          <t>OH</t>
        </is>
      </c>
      <c r="R1391" t="n">
        <v>44483</v>
      </c>
      <c r="AD1391" t="inlineStr">
        <is>
          <t>TRUMBULL CAREER &amp; TECH CENTER</t>
        </is>
      </c>
      <c r="AE1391" t="inlineStr">
        <is>
          <t>WARREN CITY</t>
        </is>
      </c>
      <c r="AF1391" t="inlineStr">
        <is>
          <t>WARREN CITY SD</t>
        </is>
      </c>
      <c r="AH1391" t="n">
        <v>14</v>
      </c>
      <c r="AI1391" t="n">
        <v>11</v>
      </c>
      <c r="AN1391" t="inlineStr">
        <is>
          <t>WARREN</t>
        </is>
      </c>
      <c r="AO1391" t="inlineStr">
        <is>
          <t>WARREN CITY 4D</t>
        </is>
      </c>
      <c r="AP1391" t="inlineStr">
        <is>
          <t>78-P-ADL</t>
        </is>
      </c>
      <c r="AQ1391" t="n">
        <v>9</v>
      </c>
      <c r="AR1391" t="n">
        <v>64</v>
      </c>
      <c r="AS1391" t="n">
        <v>32</v>
      </c>
      <c r="AU1391">
        <f>COUNTA($BA$1391:$EH$1391)</f>
        <v/>
      </c>
      <c r="AV1391">
        <f>COUNTIF($BA$1391:$EH$1391,"D")</f>
        <v/>
      </c>
      <c r="AW1391">
        <f>COUNTIF($BA$1391:$EH$1391,"R")</f>
        <v/>
      </c>
      <c r="AX1391">
        <f>IF(BN1391="D",1,0)+IF(BO1391="D",1,0)+IF(BT1391="D",1,0)+IF(BU1391="D",1,0)+IF(BW1391="D",1,0)+IF(CC1391="D",1,0)+IF(CD1391="D",1,0)+IF(CE1391="D",1,0)+IF(CF1391="D",1,0)+IF(CL1391="D",1,0)+IF(CM1391="D",1,0)+IF(CQ1391="D",1,0)+IF(CR1391="D",1,0)+IF(CS1391="D",1,0)+IF(CW1391="D",1,0)+IF(CX1391="D",1,0)+IF(DD1391="D",1,0)+IF(DE1391="D",1,0)+IF(DJ1391="D",1,0)+IF(DK1391="D",1,0)+IF(DO1391="D",1,0)+IF(DP1391="D",1,0)+IF(DQ1391="D",1,0)+IF(DW1391="D",1,0)+IF(DZ1391="D",1,0)+IF(EH1391="D",1,0)</f>
        <v/>
      </c>
      <c r="AY1391">
        <f>IF(DJ1391&lt;&gt;"",1,0)+IF(DK1391&lt;&gt;"",1,0)+IF(DM1391&lt;&gt;"",1,0)+IF(DO1391&lt;&gt;"",1,0)+IF(DP1391&lt;&gt;"",1,0)+IF(DQ1391&lt;&gt;"",1,0)+IF(DS1391&lt;&gt;"",1,0)+IF(DT1391&lt;&gt;"",1,0)+IF(DV1391&lt;&gt;"",1,0)+IF(DW1391&lt;&gt;"",1,0)+IF(DX1391&lt;&gt;"",1,0)+IF(DY1391&lt;&gt;"",1,0)+IF(DZ1391&lt;&gt;"",1,0)+IF(EB1391&lt;&gt;"",1,0)+IF(EC1391&lt;&gt;"",1,0)+IF(ED1391&lt;&gt;"",1,0)+IF(EG1391&lt;&gt;"",1,0)+IF(EH1391&lt;&gt;"",1,0)</f>
        <v/>
      </c>
      <c r="AZ1391">
        <f>IF(EH1391&lt;&gt;"",1,0)</f>
        <v/>
      </c>
      <c r="BB1391" t="inlineStr">
        <is>
          <t>WARREN-WARD 4</t>
        </is>
      </c>
      <c r="BC1391" t="inlineStr">
        <is>
          <t>X</t>
        </is>
      </c>
      <c r="BD1391" t="inlineStr">
        <is>
          <t>X</t>
        </is>
      </c>
      <c r="BE1391" t="inlineStr">
        <is>
          <t>X</t>
        </is>
      </c>
      <c r="BG1391" t="inlineStr">
        <is>
          <t>X</t>
        </is>
      </c>
      <c r="BH1391" t="inlineStr">
        <is>
          <t>X</t>
        </is>
      </c>
      <c r="BI1391" t="inlineStr">
        <is>
          <t>X</t>
        </is>
      </c>
      <c r="BL1391" t="inlineStr">
        <is>
          <t>X</t>
        </is>
      </c>
      <c r="BP1391" t="inlineStr">
        <is>
          <t>X</t>
        </is>
      </c>
      <c r="BR1391" t="inlineStr">
        <is>
          <t>X</t>
        </is>
      </c>
      <c r="BS1391" t="inlineStr">
        <is>
          <t>X</t>
        </is>
      </c>
      <c r="CA1391" t="inlineStr">
        <is>
          <t>X</t>
        </is>
      </c>
      <c r="CC1391" t="inlineStr">
        <is>
          <t>D</t>
        </is>
      </c>
      <c r="CG1391" t="inlineStr">
        <is>
          <t>X</t>
        </is>
      </c>
      <c r="CK1391" t="inlineStr">
        <is>
          <t>X</t>
        </is>
      </c>
      <c r="CV1391" t="inlineStr">
        <is>
          <t>X</t>
        </is>
      </c>
      <c r="CW1391" t="inlineStr">
        <is>
          <t>D</t>
        </is>
      </c>
      <c r="CY1391" t="inlineStr">
        <is>
          <t>X</t>
        </is>
      </c>
      <c r="CZ1391" t="inlineStr">
        <is>
          <t>D</t>
        </is>
      </c>
      <c r="DC1391" t="inlineStr">
        <is>
          <t>X</t>
        </is>
      </c>
      <c r="DD1391" t="inlineStr">
        <is>
          <t>D</t>
        </is>
      </c>
      <c r="DI1391" t="inlineStr">
        <is>
          <t>X</t>
        </is>
      </c>
      <c r="DN1391" t="inlineStr">
        <is>
          <t>X</t>
        </is>
      </c>
      <c r="DU1391" t="inlineStr">
        <is>
          <t>X</t>
        </is>
      </c>
      <c r="ED1391" t="inlineStr">
        <is>
          <t>R</t>
        </is>
      </c>
      <c r="EF1391" t="inlineStr">
        <is>
          <t>X</t>
        </is>
      </c>
      <c r="EH1391" t="inlineStr">
        <is>
          <t>X</t>
        </is>
      </c>
    </row>
    <row r="1392">
      <c r="A1392" t="inlineStr">
        <is>
          <t>OH0027083117</t>
        </is>
      </c>
      <c r="B1392" t="n">
        <v>78</v>
      </c>
      <c r="C1392" t="n">
        <v>476762</v>
      </c>
      <c r="D1392" t="inlineStr">
        <is>
          <t>FLOYD</t>
        </is>
      </c>
      <c r="E1392" t="inlineStr">
        <is>
          <t>ELIJAH</t>
        </is>
      </c>
      <c r="F1392">
        <f>CONCATENATE(D1392," ",LEFT(H1392,4),"T=",AU1392,"D=",AV1392,"R=",AW1392,"M=",AX1392,"L=",AY1392,"B=",AZ1392)</f>
        <v/>
      </c>
      <c r="G1392" t="inlineStr">
        <is>
          <t>BRADFORD</t>
        </is>
      </c>
      <c r="I1392" t="inlineStr">
        <is>
          <t>2005-06-02</t>
        </is>
      </c>
      <c r="J1392" t="inlineStr">
        <is>
          <t>2023-09-16</t>
        </is>
      </c>
      <c r="K1392" t="inlineStr">
        <is>
          <t>ACTIVE</t>
        </is>
      </c>
      <c r="M1392" t="inlineStr">
        <is>
          <t>146 LINDEN AVE NE</t>
        </is>
      </c>
      <c r="N1392">
        <f>RIGHT(M1392,LEN(M1392)-FIND(" ",M1392))</f>
        <v/>
      </c>
      <c r="P1392" t="inlineStr">
        <is>
          <t>WARREN</t>
        </is>
      </c>
      <c r="Q1392" t="inlineStr">
        <is>
          <t>OH</t>
        </is>
      </c>
      <c r="R1392" t="n">
        <v>44483</v>
      </c>
      <c r="AD1392" t="inlineStr">
        <is>
          <t>TRUMBULL CAREER &amp; TECH CENTER</t>
        </is>
      </c>
      <c r="AE1392" t="inlineStr">
        <is>
          <t>WARREN CITY</t>
        </is>
      </c>
      <c r="AF1392" t="inlineStr">
        <is>
          <t>WARREN CITY SD</t>
        </is>
      </c>
      <c r="AH1392" t="n">
        <v>14</v>
      </c>
      <c r="AI1392" t="n">
        <v>11</v>
      </c>
      <c r="AN1392" t="inlineStr">
        <is>
          <t>WARREN</t>
        </is>
      </c>
      <c r="AO1392" t="inlineStr">
        <is>
          <t>WARREN CITY 4D</t>
        </is>
      </c>
      <c r="AP1392" t="inlineStr">
        <is>
          <t>78-P-ADL</t>
        </is>
      </c>
      <c r="AQ1392" t="n">
        <v>9</v>
      </c>
      <c r="AR1392" t="n">
        <v>64</v>
      </c>
      <c r="AS1392" t="n">
        <v>32</v>
      </c>
      <c r="AU1392">
        <f>COUNTA($BA$1392:$EH$1392)</f>
        <v/>
      </c>
      <c r="AV1392">
        <f>COUNTIF($BA$1392:$EH$1392,"D")</f>
        <v/>
      </c>
      <c r="AW1392">
        <f>COUNTIF($BA$1392:$EH$1392,"R")</f>
        <v/>
      </c>
      <c r="AX1392">
        <f>IF(BN1392="D",1,0)+IF(BO1392="D",1,0)+IF(BT1392="D",1,0)+IF(BU1392="D",1,0)+IF(BW1392="D",1,0)+IF(CC1392="D",1,0)+IF(CD1392="D",1,0)+IF(CE1392="D",1,0)+IF(CF1392="D",1,0)+IF(CL1392="D",1,0)+IF(CM1392="D",1,0)+IF(CQ1392="D",1,0)+IF(CR1392="D",1,0)+IF(CS1392="D",1,0)+IF(CW1392="D",1,0)+IF(CX1392="D",1,0)+IF(DD1392="D",1,0)+IF(DE1392="D",1,0)+IF(DJ1392="D",1,0)+IF(DK1392="D",1,0)+IF(DO1392="D",1,0)+IF(DP1392="D",1,0)+IF(DQ1392="D",1,0)+IF(DW1392="D",1,0)+IF(DZ1392="D",1,0)+IF(EH1392="D",1,0)</f>
        <v/>
      </c>
      <c r="AY1392">
        <f>IF(DJ1392&lt;&gt;"",1,0)+IF(DK1392&lt;&gt;"",1,0)+IF(DM1392&lt;&gt;"",1,0)+IF(DO1392&lt;&gt;"",1,0)+IF(DP1392&lt;&gt;"",1,0)+IF(DQ1392&lt;&gt;"",1,0)+IF(DS1392&lt;&gt;"",1,0)+IF(DT1392&lt;&gt;"",1,0)+IF(DV1392&lt;&gt;"",1,0)+IF(DW1392&lt;&gt;"",1,0)+IF(DX1392&lt;&gt;"",1,0)+IF(DY1392&lt;&gt;"",1,0)+IF(DZ1392&lt;&gt;"",1,0)+IF(EB1392&lt;&gt;"",1,0)+IF(EC1392&lt;&gt;"",1,0)+IF(ED1392&lt;&gt;"",1,0)+IF(EG1392&lt;&gt;"",1,0)+IF(EH1392&lt;&gt;"",1,0)</f>
        <v/>
      </c>
      <c r="AZ1392">
        <f>IF(EH1392&lt;&gt;"",1,0)</f>
        <v/>
      </c>
      <c r="BB1392" t="inlineStr">
        <is>
          <t>WARREN-WARD 4</t>
        </is>
      </c>
    </row>
    <row r="1393">
      <c r="A1393" t="inlineStr">
        <is>
          <t>OH0015743436</t>
        </is>
      </c>
      <c r="B1393" t="n">
        <v>78</v>
      </c>
      <c r="C1393" t="n">
        <v>229811</v>
      </c>
      <c r="D1393" t="inlineStr">
        <is>
          <t>HOWARD</t>
        </is>
      </c>
      <c r="E1393" t="inlineStr">
        <is>
          <t>TERESA</t>
        </is>
      </c>
      <c r="F1393">
        <f>CONCATENATE(D1393," ",LEFT(H1393,4),"T=",AU1393,"D=",AV1393,"R=",AW1393,"M=",AX1393,"L=",AY1393,"B=",AZ1393)</f>
        <v/>
      </c>
      <c r="G1393" t="inlineStr">
        <is>
          <t>A</t>
        </is>
      </c>
      <c r="I1393" t="inlineStr">
        <is>
          <t>1962-03-10</t>
        </is>
      </c>
      <c r="J1393" t="inlineStr">
        <is>
          <t>2021-07-13</t>
        </is>
      </c>
      <c r="K1393" t="inlineStr">
        <is>
          <t>ACTIVE</t>
        </is>
      </c>
      <c r="M1393" t="inlineStr">
        <is>
          <t>1217 MCKINLEY ST NE</t>
        </is>
      </c>
      <c r="N1393">
        <f>RIGHT(M1393,LEN(M1393)-FIND(" ",M1393))</f>
        <v/>
      </c>
      <c r="P1393" t="inlineStr">
        <is>
          <t>WARREN</t>
        </is>
      </c>
      <c r="Q1393" t="inlineStr">
        <is>
          <t>OH</t>
        </is>
      </c>
      <c r="R1393" t="n">
        <v>44483</v>
      </c>
      <c r="AD1393" t="inlineStr">
        <is>
          <t>TRUMBULL CAREER &amp; TECH CENTER</t>
        </is>
      </c>
      <c r="AE1393" t="inlineStr">
        <is>
          <t>WARREN CITY</t>
        </is>
      </c>
      <c r="AF1393" t="inlineStr">
        <is>
          <t>WARREN CITY SD</t>
        </is>
      </c>
      <c r="AH1393" t="n">
        <v>14</v>
      </c>
      <c r="AI1393" t="n">
        <v>11</v>
      </c>
      <c r="AN1393" t="inlineStr">
        <is>
          <t>WARREN</t>
        </is>
      </c>
      <c r="AO1393" t="inlineStr">
        <is>
          <t>WARREN CITY 4D</t>
        </is>
      </c>
      <c r="AP1393" t="inlineStr">
        <is>
          <t>78-P-ADL</t>
        </is>
      </c>
      <c r="AQ1393" t="n">
        <v>9</v>
      </c>
      <c r="AR1393" t="n">
        <v>64</v>
      </c>
      <c r="AS1393" t="n">
        <v>32</v>
      </c>
      <c r="AU1393">
        <f>COUNTA($BA$1393:$EH$1393)</f>
        <v/>
      </c>
      <c r="AV1393">
        <f>COUNTIF($BA$1393:$EH$1393,"D")</f>
        <v/>
      </c>
      <c r="AW1393">
        <f>COUNTIF($BA$1393:$EH$1393,"R")</f>
        <v/>
      </c>
      <c r="AX1393">
        <f>IF(BN1393="D",1,0)+IF(BO1393="D",1,0)+IF(BT1393="D",1,0)+IF(BU1393="D",1,0)+IF(BW1393="D",1,0)+IF(CC1393="D",1,0)+IF(CD1393="D",1,0)+IF(CE1393="D",1,0)+IF(CF1393="D",1,0)+IF(CL1393="D",1,0)+IF(CM1393="D",1,0)+IF(CQ1393="D",1,0)+IF(CR1393="D",1,0)+IF(CS1393="D",1,0)+IF(CW1393="D",1,0)+IF(CX1393="D",1,0)+IF(DD1393="D",1,0)+IF(DE1393="D",1,0)+IF(DJ1393="D",1,0)+IF(DK1393="D",1,0)+IF(DO1393="D",1,0)+IF(DP1393="D",1,0)+IF(DQ1393="D",1,0)+IF(DW1393="D",1,0)+IF(DZ1393="D",1,0)+IF(EH1393="D",1,0)</f>
        <v/>
      </c>
      <c r="AY1393">
        <f>IF(DJ1393&lt;&gt;"",1,0)+IF(DK1393&lt;&gt;"",1,0)+IF(DM1393&lt;&gt;"",1,0)+IF(DO1393&lt;&gt;"",1,0)+IF(DP1393&lt;&gt;"",1,0)+IF(DQ1393&lt;&gt;"",1,0)+IF(DS1393&lt;&gt;"",1,0)+IF(DT1393&lt;&gt;"",1,0)+IF(DV1393&lt;&gt;"",1,0)+IF(DW1393&lt;&gt;"",1,0)+IF(DX1393&lt;&gt;"",1,0)+IF(DY1393&lt;&gt;"",1,0)+IF(DZ1393&lt;&gt;"",1,0)+IF(EB1393&lt;&gt;"",1,0)+IF(EC1393&lt;&gt;"",1,0)+IF(ED1393&lt;&gt;"",1,0)+IF(EG1393&lt;&gt;"",1,0)+IF(EH1393&lt;&gt;"",1,0)</f>
        <v/>
      </c>
      <c r="AZ1393">
        <f>IF(EH1393&lt;&gt;"",1,0)</f>
        <v/>
      </c>
      <c r="BB1393" t="inlineStr">
        <is>
          <t>WARREN-WARD 4</t>
        </is>
      </c>
      <c r="BD1393" t="inlineStr">
        <is>
          <t>X</t>
        </is>
      </c>
      <c r="BF1393" t="inlineStr">
        <is>
          <t>X</t>
        </is>
      </c>
      <c r="BH1393" t="inlineStr">
        <is>
          <t>X</t>
        </is>
      </c>
      <c r="BL1393" t="inlineStr">
        <is>
          <t>X</t>
        </is>
      </c>
      <c r="CA1393" t="inlineStr">
        <is>
          <t>X</t>
        </is>
      </c>
      <c r="CK1393" t="inlineStr">
        <is>
          <t>X</t>
        </is>
      </c>
      <c r="CN1393" t="inlineStr">
        <is>
          <t>X</t>
        </is>
      </c>
      <c r="CP1393" t="inlineStr">
        <is>
          <t>X</t>
        </is>
      </c>
      <c r="CW1393" t="inlineStr">
        <is>
          <t>D</t>
        </is>
      </c>
      <c r="CY1393" t="inlineStr">
        <is>
          <t>X</t>
        </is>
      </c>
      <c r="DC1393" t="inlineStr">
        <is>
          <t>X</t>
        </is>
      </c>
      <c r="EA1393" t="inlineStr">
        <is>
          <t>X</t>
        </is>
      </c>
      <c r="EF1393" t="inlineStr">
        <is>
          <t>X</t>
        </is>
      </c>
    </row>
    <row r="1394">
      <c r="A1394" t="inlineStr">
        <is>
          <t>OH0026277026</t>
        </is>
      </c>
      <c r="B1394" t="n">
        <v>78</v>
      </c>
      <c r="C1394" t="n">
        <v>459501</v>
      </c>
      <c r="D1394" t="inlineStr">
        <is>
          <t>COLEMAN</t>
        </is>
      </c>
      <c r="E1394" t="inlineStr">
        <is>
          <t>JURNEE</t>
        </is>
      </c>
      <c r="F1394">
        <f>CONCATENATE(D1394," ",LEFT(H1394,4),"T=",AU1394,"D=",AV1394,"R=",AW1394,"M=",AX1394,"L=",AY1394,"B=",AZ1394)</f>
        <v/>
      </c>
      <c r="G1394" t="inlineStr">
        <is>
          <t>MORREA</t>
        </is>
      </c>
      <c r="I1394" t="inlineStr">
        <is>
          <t>2002-07-01</t>
        </is>
      </c>
      <c r="J1394" t="inlineStr">
        <is>
          <t>2024-11-06</t>
        </is>
      </c>
      <c r="K1394" t="inlineStr">
        <is>
          <t>ACTIVE</t>
        </is>
      </c>
      <c r="M1394" t="inlineStr">
        <is>
          <t>618 HIGH ST NE</t>
        </is>
      </c>
      <c r="N1394">
        <f>RIGHT(M1394,LEN(M1394)-FIND(" ",M1394))</f>
        <v/>
      </c>
      <c r="P1394" t="inlineStr">
        <is>
          <t>WARREN</t>
        </is>
      </c>
      <c r="Q1394" t="inlineStr">
        <is>
          <t>OH</t>
        </is>
      </c>
      <c r="R1394" t="n">
        <v>44483</v>
      </c>
      <c r="AD1394" t="inlineStr">
        <is>
          <t>TRUMBULL CAREER &amp; TECH CENTER</t>
        </is>
      </c>
      <c r="AE1394" t="inlineStr">
        <is>
          <t>WARREN CITY</t>
        </is>
      </c>
      <c r="AF1394" t="inlineStr">
        <is>
          <t>WARREN CITY SD</t>
        </is>
      </c>
      <c r="AH1394" t="n">
        <v>14</v>
      </c>
      <c r="AI1394" t="n">
        <v>11</v>
      </c>
      <c r="AN1394" t="inlineStr">
        <is>
          <t>WARREN</t>
        </is>
      </c>
      <c r="AO1394" t="inlineStr">
        <is>
          <t>WARREN CITY 4D</t>
        </is>
      </c>
      <c r="AP1394" t="inlineStr">
        <is>
          <t>78-P-ADL</t>
        </is>
      </c>
      <c r="AQ1394" t="n">
        <v>9</v>
      </c>
      <c r="AR1394" t="n">
        <v>64</v>
      </c>
      <c r="AS1394" t="n">
        <v>32</v>
      </c>
      <c r="AU1394">
        <f>COUNTA($BA$1394:$EH$1394)</f>
        <v/>
      </c>
      <c r="AV1394">
        <f>COUNTIF($BA$1394:$EH$1394,"D")</f>
        <v/>
      </c>
      <c r="AW1394">
        <f>COUNTIF($BA$1394:$EH$1394,"R")</f>
        <v/>
      </c>
      <c r="AX1394">
        <f>IF(BN1394="D",1,0)+IF(BO1394="D",1,0)+IF(BT1394="D",1,0)+IF(BU1394="D",1,0)+IF(BW1394="D",1,0)+IF(CC1394="D",1,0)+IF(CD1394="D",1,0)+IF(CE1394="D",1,0)+IF(CF1394="D",1,0)+IF(CL1394="D",1,0)+IF(CM1394="D",1,0)+IF(CQ1394="D",1,0)+IF(CR1394="D",1,0)+IF(CS1394="D",1,0)+IF(CW1394="D",1,0)+IF(CX1394="D",1,0)+IF(DD1394="D",1,0)+IF(DE1394="D",1,0)+IF(DJ1394="D",1,0)+IF(DK1394="D",1,0)+IF(DO1394="D",1,0)+IF(DP1394="D",1,0)+IF(DQ1394="D",1,0)+IF(DW1394="D",1,0)+IF(DZ1394="D",1,0)+IF(EH1394="D",1,0)</f>
        <v/>
      </c>
      <c r="AY1394">
        <f>IF(DJ1394&lt;&gt;"",1,0)+IF(DK1394&lt;&gt;"",1,0)+IF(DM1394&lt;&gt;"",1,0)+IF(DO1394&lt;&gt;"",1,0)+IF(DP1394&lt;&gt;"",1,0)+IF(DQ1394&lt;&gt;"",1,0)+IF(DS1394&lt;&gt;"",1,0)+IF(DT1394&lt;&gt;"",1,0)+IF(DV1394&lt;&gt;"",1,0)+IF(DW1394&lt;&gt;"",1,0)+IF(DX1394&lt;&gt;"",1,0)+IF(DY1394&lt;&gt;"",1,0)+IF(DZ1394&lt;&gt;"",1,0)+IF(EB1394&lt;&gt;"",1,0)+IF(EC1394&lt;&gt;"",1,0)+IF(ED1394&lt;&gt;"",1,0)+IF(EG1394&lt;&gt;"",1,0)+IF(EH1394&lt;&gt;"",1,0)</f>
        <v/>
      </c>
      <c r="AZ1394">
        <f>IF(EH1394&lt;&gt;"",1,0)</f>
        <v/>
      </c>
      <c r="BB1394" t="inlineStr">
        <is>
          <t>WARREN-WARD 4</t>
        </is>
      </c>
      <c r="EF1394" t="inlineStr">
        <is>
          <t>X</t>
        </is>
      </c>
    </row>
    <row r="1395">
      <c r="A1395" t="inlineStr">
        <is>
          <t>OH0025955750</t>
        </is>
      </c>
      <c r="B1395" t="n">
        <v>78</v>
      </c>
      <c r="C1395" t="n">
        <v>453428</v>
      </c>
      <c r="D1395" t="inlineStr">
        <is>
          <t>HIGGINS</t>
        </is>
      </c>
      <c r="E1395" t="inlineStr">
        <is>
          <t>HEATHER</t>
        </is>
      </c>
      <c r="F1395">
        <f>CONCATENATE(D1395," ",LEFT(H1395,4),"T=",AU1395,"D=",AV1395,"R=",AW1395,"M=",AX1395,"L=",AY1395,"B=",AZ1395)</f>
        <v/>
      </c>
      <c r="G1395" t="inlineStr">
        <is>
          <t>LYNN</t>
        </is>
      </c>
      <c r="I1395" t="inlineStr">
        <is>
          <t>1977-04-16</t>
        </is>
      </c>
      <c r="J1395" t="inlineStr">
        <is>
          <t>2020-10-03</t>
        </is>
      </c>
      <c r="K1395" t="inlineStr">
        <is>
          <t>ACTIVE</t>
        </is>
      </c>
      <c r="M1395" t="inlineStr">
        <is>
          <t>425 OLIVE AVE NE</t>
        </is>
      </c>
      <c r="N1395">
        <f>RIGHT(M1395,LEN(M1395)-FIND(" ",M1395))</f>
        <v/>
      </c>
      <c r="P1395" t="inlineStr">
        <is>
          <t>WARREN</t>
        </is>
      </c>
      <c r="Q1395" t="inlineStr">
        <is>
          <t>OH</t>
        </is>
      </c>
      <c r="R1395" t="n">
        <v>44483</v>
      </c>
      <c r="AD1395" t="inlineStr">
        <is>
          <t>TRUMBULL CAREER &amp; TECH CENTER</t>
        </is>
      </c>
      <c r="AE1395" t="inlineStr">
        <is>
          <t>WARREN CITY</t>
        </is>
      </c>
      <c r="AF1395" t="inlineStr">
        <is>
          <t>WARREN CITY SD</t>
        </is>
      </c>
      <c r="AH1395" t="n">
        <v>14</v>
      </c>
      <c r="AI1395" t="n">
        <v>11</v>
      </c>
      <c r="AN1395" t="inlineStr">
        <is>
          <t>WARREN</t>
        </is>
      </c>
      <c r="AO1395" t="inlineStr">
        <is>
          <t>WARREN CITY 4D</t>
        </is>
      </c>
      <c r="AP1395" t="inlineStr">
        <is>
          <t>78-P-ADL</t>
        </is>
      </c>
      <c r="AQ1395" t="n">
        <v>9</v>
      </c>
      <c r="AR1395" t="n">
        <v>64</v>
      </c>
      <c r="AS1395" t="n">
        <v>32</v>
      </c>
      <c r="AU1395">
        <f>COUNTA($BA$1395:$EH$1395)</f>
        <v/>
      </c>
      <c r="AV1395">
        <f>COUNTIF($BA$1395:$EH$1395,"D")</f>
        <v/>
      </c>
      <c r="AW1395">
        <f>COUNTIF($BA$1395:$EH$1395,"R")</f>
        <v/>
      </c>
      <c r="AX1395">
        <f>IF(BN1395="D",1,0)+IF(BO1395="D",1,0)+IF(BT1395="D",1,0)+IF(BU1395="D",1,0)+IF(BW1395="D",1,0)+IF(CC1395="D",1,0)+IF(CD1395="D",1,0)+IF(CE1395="D",1,0)+IF(CF1395="D",1,0)+IF(CL1395="D",1,0)+IF(CM1395="D",1,0)+IF(CQ1395="D",1,0)+IF(CR1395="D",1,0)+IF(CS1395="D",1,0)+IF(CW1395="D",1,0)+IF(CX1395="D",1,0)+IF(DD1395="D",1,0)+IF(DE1395="D",1,0)+IF(DJ1395="D",1,0)+IF(DK1395="D",1,0)+IF(DO1395="D",1,0)+IF(DP1395="D",1,0)+IF(DQ1395="D",1,0)+IF(DW1395="D",1,0)+IF(DZ1395="D",1,0)+IF(EH1395="D",1,0)</f>
        <v/>
      </c>
      <c r="AY1395">
        <f>IF(DJ1395&lt;&gt;"",1,0)+IF(DK1395&lt;&gt;"",1,0)+IF(DM1395&lt;&gt;"",1,0)+IF(DO1395&lt;&gt;"",1,0)+IF(DP1395&lt;&gt;"",1,0)+IF(DQ1395&lt;&gt;"",1,0)+IF(DS1395&lt;&gt;"",1,0)+IF(DT1395&lt;&gt;"",1,0)+IF(DV1395&lt;&gt;"",1,0)+IF(DW1395&lt;&gt;"",1,0)+IF(DX1395&lt;&gt;"",1,0)+IF(DY1395&lt;&gt;"",1,0)+IF(DZ1395&lt;&gt;"",1,0)+IF(EB1395&lt;&gt;"",1,0)+IF(EC1395&lt;&gt;"",1,0)+IF(ED1395&lt;&gt;"",1,0)+IF(EG1395&lt;&gt;"",1,0)+IF(EH1395&lt;&gt;"",1,0)</f>
        <v/>
      </c>
      <c r="AZ1395">
        <f>IF(EH1395&lt;&gt;"",1,0)</f>
        <v/>
      </c>
      <c r="BB1395" t="inlineStr">
        <is>
          <t>WARREN-WARD 4</t>
        </is>
      </c>
      <c r="DN1395" t="inlineStr">
        <is>
          <t>X</t>
        </is>
      </c>
      <c r="EF1395" t="inlineStr">
        <is>
          <t>X</t>
        </is>
      </c>
    </row>
    <row r="1396">
      <c r="A1396" t="inlineStr">
        <is>
          <t>OH0015764527</t>
        </is>
      </c>
      <c r="B1396" t="n">
        <v>78</v>
      </c>
      <c r="C1396" t="n">
        <v>327068</v>
      </c>
      <c r="D1396" t="inlineStr">
        <is>
          <t>ROBERTS</t>
        </is>
      </c>
      <c r="E1396" t="inlineStr">
        <is>
          <t>TANE</t>
        </is>
      </c>
      <c r="F1396">
        <f>CONCATENATE(D1396," ",LEFT(H1396,4),"T=",AU1396,"D=",AV1396,"R=",AW1396,"M=",AX1396,"L=",AY1396,"B=",AZ1396)</f>
        <v/>
      </c>
      <c r="G1396" t="inlineStr">
        <is>
          <t>L</t>
        </is>
      </c>
      <c r="I1396" t="inlineStr">
        <is>
          <t>1983-09-23</t>
        </is>
      </c>
      <c r="J1396" t="inlineStr">
        <is>
          <t>2020-11-23</t>
        </is>
      </c>
      <c r="K1396" t="inlineStr">
        <is>
          <t>CONFIRMATION</t>
        </is>
      </c>
      <c r="M1396" t="inlineStr">
        <is>
          <t>156 ELM RD NE</t>
        </is>
      </c>
      <c r="N1396">
        <f>RIGHT(M1396,LEN(M1396)-FIND(" ",M1396))</f>
        <v/>
      </c>
      <c r="P1396" t="inlineStr">
        <is>
          <t>WARREN</t>
        </is>
      </c>
      <c r="Q1396" t="inlineStr">
        <is>
          <t>OH</t>
        </is>
      </c>
      <c r="R1396" t="n">
        <v>44483</v>
      </c>
      <c r="AD1396" t="inlineStr">
        <is>
          <t>TRUMBULL CAREER &amp; TECH CENTER</t>
        </is>
      </c>
      <c r="AE1396" t="inlineStr">
        <is>
          <t>WARREN CITY</t>
        </is>
      </c>
      <c r="AF1396" t="inlineStr">
        <is>
          <t>WARREN CITY SD</t>
        </is>
      </c>
      <c r="AH1396" t="n">
        <v>14</v>
      </c>
      <c r="AI1396" t="n">
        <v>11</v>
      </c>
      <c r="AN1396" t="inlineStr">
        <is>
          <t>WARREN</t>
        </is>
      </c>
      <c r="AO1396" t="inlineStr">
        <is>
          <t>WARREN CITY 4D</t>
        </is>
      </c>
      <c r="AP1396" t="inlineStr">
        <is>
          <t>78-P-ADL</t>
        </is>
      </c>
      <c r="AQ1396" t="n">
        <v>9</v>
      </c>
      <c r="AR1396" t="n">
        <v>64</v>
      </c>
      <c r="AS1396" t="n">
        <v>32</v>
      </c>
      <c r="AU1396">
        <f>COUNTA($BA$1396:$EH$1396)</f>
        <v/>
      </c>
      <c r="AV1396">
        <f>COUNTIF($BA$1396:$EH$1396,"D")</f>
        <v/>
      </c>
      <c r="AW1396">
        <f>COUNTIF($BA$1396:$EH$1396,"R")</f>
        <v/>
      </c>
      <c r="AX1396">
        <f>IF(BN1396="D",1,0)+IF(BO1396="D",1,0)+IF(BT1396="D",1,0)+IF(BU1396="D",1,0)+IF(BW1396="D",1,0)+IF(CC1396="D",1,0)+IF(CD1396="D",1,0)+IF(CE1396="D",1,0)+IF(CF1396="D",1,0)+IF(CL1396="D",1,0)+IF(CM1396="D",1,0)+IF(CQ1396="D",1,0)+IF(CR1396="D",1,0)+IF(CS1396="D",1,0)+IF(CW1396="D",1,0)+IF(CX1396="D",1,0)+IF(DD1396="D",1,0)+IF(DE1396="D",1,0)+IF(DJ1396="D",1,0)+IF(DK1396="D",1,0)+IF(DO1396="D",1,0)+IF(DP1396="D",1,0)+IF(DQ1396="D",1,0)+IF(DW1396="D",1,0)+IF(DZ1396="D",1,0)+IF(EH1396="D",1,0)</f>
        <v/>
      </c>
      <c r="AY1396">
        <f>IF(DJ1396&lt;&gt;"",1,0)+IF(DK1396&lt;&gt;"",1,0)+IF(DM1396&lt;&gt;"",1,0)+IF(DO1396&lt;&gt;"",1,0)+IF(DP1396&lt;&gt;"",1,0)+IF(DQ1396&lt;&gt;"",1,0)+IF(DS1396&lt;&gt;"",1,0)+IF(DT1396&lt;&gt;"",1,0)+IF(DV1396&lt;&gt;"",1,0)+IF(DW1396&lt;&gt;"",1,0)+IF(DX1396&lt;&gt;"",1,0)+IF(DY1396&lt;&gt;"",1,0)+IF(DZ1396&lt;&gt;"",1,0)+IF(EB1396&lt;&gt;"",1,0)+IF(EC1396&lt;&gt;"",1,0)+IF(ED1396&lt;&gt;"",1,0)+IF(EG1396&lt;&gt;"",1,0)+IF(EH1396&lt;&gt;"",1,0)</f>
        <v/>
      </c>
      <c r="AZ1396">
        <f>IF(EH1396&lt;&gt;"",1,0)</f>
        <v/>
      </c>
      <c r="BB1396" t="inlineStr">
        <is>
          <t>WARREN-WARD 4</t>
        </is>
      </c>
      <c r="CP1396" t="inlineStr">
        <is>
          <t>X</t>
        </is>
      </c>
      <c r="DC1396" t="inlineStr">
        <is>
          <t>X</t>
        </is>
      </c>
      <c r="DI1396" t="inlineStr">
        <is>
          <t>X</t>
        </is>
      </c>
      <c r="DN1396" t="inlineStr">
        <is>
          <t>X</t>
        </is>
      </c>
    </row>
    <row r="1397">
      <c r="A1397" t="inlineStr">
        <is>
          <t>OH0015801276</t>
        </is>
      </c>
      <c r="B1397" t="n">
        <v>78</v>
      </c>
      <c r="C1397" t="n">
        <v>300119</v>
      </c>
      <c r="D1397" t="inlineStr">
        <is>
          <t>LAUGHNER</t>
        </is>
      </c>
      <c r="E1397" t="inlineStr">
        <is>
          <t>J</t>
        </is>
      </c>
      <c r="F1397">
        <f>CONCATENATE(D1397," ",LEFT(H1397,4),"T=",AU1397,"D=",AV1397,"R=",AW1397,"M=",AX1397,"L=",AY1397,"B=",AZ1397)</f>
        <v/>
      </c>
      <c r="G1397" t="inlineStr">
        <is>
          <t>E</t>
        </is>
      </c>
      <c r="H1397" t="inlineStr">
        <is>
          <t>JR</t>
        </is>
      </c>
      <c r="I1397" t="inlineStr">
        <is>
          <t>1943-03-21</t>
        </is>
      </c>
      <c r="J1397" t="inlineStr">
        <is>
          <t>2000-11-04</t>
        </is>
      </c>
      <c r="K1397" t="inlineStr">
        <is>
          <t>ACTIVE</t>
        </is>
      </c>
      <c r="M1397" t="inlineStr">
        <is>
          <t>1190 MCKINLEY ST NE</t>
        </is>
      </c>
      <c r="N1397">
        <f>RIGHT(M1397,LEN(M1397)-FIND(" ",M1397))</f>
        <v/>
      </c>
      <c r="P1397" t="inlineStr">
        <is>
          <t>WARREN</t>
        </is>
      </c>
      <c r="Q1397" t="inlineStr">
        <is>
          <t>OH</t>
        </is>
      </c>
      <c r="R1397" t="n">
        <v>44483</v>
      </c>
      <c r="AD1397" t="inlineStr">
        <is>
          <t>TRUMBULL CAREER &amp; TECH CENTER</t>
        </is>
      </c>
      <c r="AE1397" t="inlineStr">
        <is>
          <t>WARREN CITY</t>
        </is>
      </c>
      <c r="AF1397" t="inlineStr">
        <is>
          <t>WARREN CITY SD</t>
        </is>
      </c>
      <c r="AH1397" t="n">
        <v>14</v>
      </c>
      <c r="AI1397" t="n">
        <v>11</v>
      </c>
      <c r="AN1397" t="inlineStr">
        <is>
          <t>WARREN</t>
        </is>
      </c>
      <c r="AO1397" t="inlineStr">
        <is>
          <t>WARREN CITY 4D</t>
        </is>
      </c>
      <c r="AP1397" t="inlineStr">
        <is>
          <t>78-P-ADL</t>
        </is>
      </c>
      <c r="AQ1397" t="n">
        <v>9</v>
      </c>
      <c r="AR1397" t="n">
        <v>64</v>
      </c>
      <c r="AS1397" t="n">
        <v>32</v>
      </c>
      <c r="AU1397">
        <f>COUNTA($BA$1397:$EH$1397)</f>
        <v/>
      </c>
      <c r="AV1397">
        <f>COUNTIF($BA$1397:$EH$1397,"D")</f>
        <v/>
      </c>
      <c r="AW1397">
        <f>COUNTIF($BA$1397:$EH$1397,"R")</f>
        <v/>
      </c>
      <c r="AX1397">
        <f>IF(BN1397="D",1,0)+IF(BO1397="D",1,0)+IF(BT1397="D",1,0)+IF(BU1397="D",1,0)+IF(BW1397="D",1,0)+IF(CC1397="D",1,0)+IF(CD1397="D",1,0)+IF(CE1397="D",1,0)+IF(CF1397="D",1,0)+IF(CL1397="D",1,0)+IF(CM1397="D",1,0)+IF(CQ1397="D",1,0)+IF(CR1397="D",1,0)+IF(CS1397="D",1,0)+IF(CW1397="D",1,0)+IF(CX1397="D",1,0)+IF(DD1397="D",1,0)+IF(DE1397="D",1,0)+IF(DJ1397="D",1,0)+IF(DK1397="D",1,0)+IF(DO1397="D",1,0)+IF(DP1397="D",1,0)+IF(DQ1397="D",1,0)+IF(DW1397="D",1,0)+IF(DZ1397="D",1,0)+IF(EH1397="D",1,0)</f>
        <v/>
      </c>
      <c r="AY1397">
        <f>IF(DJ1397&lt;&gt;"",1,0)+IF(DK1397&lt;&gt;"",1,0)+IF(DM1397&lt;&gt;"",1,0)+IF(DO1397&lt;&gt;"",1,0)+IF(DP1397&lt;&gt;"",1,0)+IF(DQ1397&lt;&gt;"",1,0)+IF(DS1397&lt;&gt;"",1,0)+IF(DT1397&lt;&gt;"",1,0)+IF(DV1397&lt;&gt;"",1,0)+IF(DW1397&lt;&gt;"",1,0)+IF(DX1397&lt;&gt;"",1,0)+IF(DY1397&lt;&gt;"",1,0)+IF(DZ1397&lt;&gt;"",1,0)+IF(EB1397&lt;&gt;"",1,0)+IF(EC1397&lt;&gt;"",1,0)+IF(ED1397&lt;&gt;"",1,0)+IF(EG1397&lt;&gt;"",1,0)+IF(EH1397&lt;&gt;"",1,0)</f>
        <v/>
      </c>
      <c r="AZ1397">
        <f>IF(EH1397&lt;&gt;"",1,0)</f>
        <v/>
      </c>
      <c r="BB1397" t="inlineStr">
        <is>
          <t>WARREN-WARD 4</t>
        </is>
      </c>
      <c r="BD1397" t="inlineStr">
        <is>
          <t>X</t>
        </is>
      </c>
      <c r="BG1397" t="inlineStr">
        <is>
          <t>X</t>
        </is>
      </c>
      <c r="BH1397" t="inlineStr">
        <is>
          <t>X</t>
        </is>
      </c>
      <c r="BI1397" t="inlineStr">
        <is>
          <t>X</t>
        </is>
      </c>
      <c r="BJ1397" t="inlineStr">
        <is>
          <t>X</t>
        </is>
      </c>
      <c r="BK1397" t="inlineStr">
        <is>
          <t>X</t>
        </is>
      </c>
      <c r="BL1397" t="inlineStr">
        <is>
          <t>X</t>
        </is>
      </c>
      <c r="BP1397" t="inlineStr">
        <is>
          <t>X</t>
        </is>
      </c>
      <c r="BR1397" t="inlineStr">
        <is>
          <t>X</t>
        </is>
      </c>
      <c r="BS1397" t="inlineStr">
        <is>
          <t>X</t>
        </is>
      </c>
      <c r="BV1397" t="inlineStr">
        <is>
          <t>X</t>
        </is>
      </c>
      <c r="BY1397" t="inlineStr">
        <is>
          <t>D</t>
        </is>
      </c>
      <c r="CA1397" t="inlineStr">
        <is>
          <t>X</t>
        </is>
      </c>
      <c r="CG1397" t="inlineStr">
        <is>
          <t>X</t>
        </is>
      </c>
      <c r="CK1397" t="inlineStr">
        <is>
          <t>X</t>
        </is>
      </c>
      <c r="CL1397" t="inlineStr">
        <is>
          <t>D</t>
        </is>
      </c>
      <c r="CN1397" t="inlineStr">
        <is>
          <t>X</t>
        </is>
      </c>
      <c r="CP1397" t="inlineStr">
        <is>
          <t>X</t>
        </is>
      </c>
      <c r="CU1397" t="inlineStr">
        <is>
          <t>D</t>
        </is>
      </c>
      <c r="CV1397" t="inlineStr">
        <is>
          <t>X</t>
        </is>
      </c>
      <c r="CW1397" t="inlineStr">
        <is>
          <t>D</t>
        </is>
      </c>
      <c r="CY1397" t="inlineStr">
        <is>
          <t>X</t>
        </is>
      </c>
      <c r="DC1397" t="inlineStr">
        <is>
          <t>X</t>
        </is>
      </c>
      <c r="DF1397" t="inlineStr">
        <is>
          <t>X</t>
        </is>
      </c>
      <c r="DI1397" t="inlineStr">
        <is>
          <t>X</t>
        </is>
      </c>
      <c r="DL1397" t="inlineStr">
        <is>
          <t>X</t>
        </is>
      </c>
      <c r="DM1397" t="inlineStr">
        <is>
          <t>D</t>
        </is>
      </c>
      <c r="DN1397" t="inlineStr">
        <is>
          <t>X</t>
        </is>
      </c>
      <c r="DU1397" t="inlineStr">
        <is>
          <t>X</t>
        </is>
      </c>
      <c r="DX1397" t="inlineStr">
        <is>
          <t>X</t>
        </is>
      </c>
      <c r="EA1397" t="inlineStr">
        <is>
          <t>X</t>
        </is>
      </c>
      <c r="EF1397" t="inlineStr">
        <is>
          <t>X</t>
        </is>
      </c>
    </row>
    <row r="1398">
      <c r="A1398" t="inlineStr">
        <is>
          <t>OH0015767794</t>
        </is>
      </c>
      <c r="B1398" t="n">
        <v>78</v>
      </c>
      <c r="C1398" t="n">
        <v>255222</v>
      </c>
      <c r="D1398" t="inlineStr">
        <is>
          <t>BOSAK</t>
        </is>
      </c>
      <c r="E1398" t="inlineStr">
        <is>
          <t>DEBBIE</t>
        </is>
      </c>
      <c r="F1398">
        <f>CONCATENATE(D1398," ",LEFT(H1398,4),"T=",AU1398,"D=",AV1398,"R=",AW1398,"M=",AX1398,"L=",AY1398,"B=",AZ1398)</f>
        <v/>
      </c>
      <c r="G1398" t="inlineStr">
        <is>
          <t>L</t>
        </is>
      </c>
      <c r="I1398" t="inlineStr">
        <is>
          <t>1973-03-09</t>
        </is>
      </c>
      <c r="J1398" t="inlineStr">
        <is>
          <t>2017-02-21</t>
        </is>
      </c>
      <c r="K1398" t="inlineStr">
        <is>
          <t>CONFIRMATION</t>
        </is>
      </c>
      <c r="M1398" t="inlineStr">
        <is>
          <t>636 OLIVE AVE NE</t>
        </is>
      </c>
      <c r="N1398">
        <f>RIGHT(M1398,LEN(M1398)-FIND(" ",M1398))</f>
        <v/>
      </c>
      <c r="P1398" t="inlineStr">
        <is>
          <t>WARREN</t>
        </is>
      </c>
      <c r="Q1398" t="inlineStr">
        <is>
          <t>OH</t>
        </is>
      </c>
      <c r="R1398" t="n">
        <v>44483</v>
      </c>
      <c r="AD1398" t="inlineStr">
        <is>
          <t>TRUMBULL CAREER &amp; TECH CENTER</t>
        </is>
      </c>
      <c r="AE1398" t="inlineStr">
        <is>
          <t>WARREN CITY</t>
        </is>
      </c>
      <c r="AF1398" t="inlineStr">
        <is>
          <t>WARREN CITY SD</t>
        </is>
      </c>
      <c r="AH1398" t="n">
        <v>14</v>
      </c>
      <c r="AI1398" t="n">
        <v>11</v>
      </c>
      <c r="AN1398" t="inlineStr">
        <is>
          <t>WARREN</t>
        </is>
      </c>
      <c r="AO1398" t="inlineStr">
        <is>
          <t>WARREN CITY 4D</t>
        </is>
      </c>
      <c r="AP1398" t="inlineStr">
        <is>
          <t>78-P-ADL</t>
        </is>
      </c>
      <c r="AQ1398" t="n">
        <v>9</v>
      </c>
      <c r="AR1398" t="n">
        <v>64</v>
      </c>
      <c r="AS1398" t="n">
        <v>32</v>
      </c>
      <c r="AU1398">
        <f>COUNTA($BA$1398:$EH$1398)</f>
        <v/>
      </c>
      <c r="AV1398">
        <f>COUNTIF($BA$1398:$EH$1398,"D")</f>
        <v/>
      </c>
      <c r="AW1398">
        <f>COUNTIF($BA$1398:$EH$1398,"R")</f>
        <v/>
      </c>
      <c r="AX1398">
        <f>IF(BN1398="D",1,0)+IF(BO1398="D",1,0)+IF(BT1398="D",1,0)+IF(BU1398="D",1,0)+IF(BW1398="D",1,0)+IF(CC1398="D",1,0)+IF(CD1398="D",1,0)+IF(CE1398="D",1,0)+IF(CF1398="D",1,0)+IF(CL1398="D",1,0)+IF(CM1398="D",1,0)+IF(CQ1398="D",1,0)+IF(CR1398="D",1,0)+IF(CS1398="D",1,0)+IF(CW1398="D",1,0)+IF(CX1398="D",1,0)+IF(DD1398="D",1,0)+IF(DE1398="D",1,0)+IF(DJ1398="D",1,0)+IF(DK1398="D",1,0)+IF(DO1398="D",1,0)+IF(DP1398="D",1,0)+IF(DQ1398="D",1,0)+IF(DW1398="D",1,0)+IF(DZ1398="D",1,0)+IF(EH1398="D",1,0)</f>
        <v/>
      </c>
      <c r="AY1398">
        <f>IF(DJ1398&lt;&gt;"",1,0)+IF(DK1398&lt;&gt;"",1,0)+IF(DM1398&lt;&gt;"",1,0)+IF(DO1398&lt;&gt;"",1,0)+IF(DP1398&lt;&gt;"",1,0)+IF(DQ1398&lt;&gt;"",1,0)+IF(DS1398&lt;&gt;"",1,0)+IF(DT1398&lt;&gt;"",1,0)+IF(DV1398&lt;&gt;"",1,0)+IF(DW1398&lt;&gt;"",1,0)+IF(DX1398&lt;&gt;"",1,0)+IF(DY1398&lt;&gt;"",1,0)+IF(DZ1398&lt;&gt;"",1,0)+IF(EB1398&lt;&gt;"",1,0)+IF(EC1398&lt;&gt;"",1,0)+IF(ED1398&lt;&gt;"",1,0)+IF(EG1398&lt;&gt;"",1,0)+IF(EH1398&lt;&gt;"",1,0)</f>
        <v/>
      </c>
      <c r="AZ1398">
        <f>IF(EH1398&lt;&gt;"",1,0)</f>
        <v/>
      </c>
      <c r="BB1398" t="inlineStr">
        <is>
          <t>WARREN-WARD 4</t>
        </is>
      </c>
      <c r="BC1398" t="inlineStr">
        <is>
          <t>X</t>
        </is>
      </c>
      <c r="BD1398" t="inlineStr">
        <is>
          <t>X</t>
        </is>
      </c>
      <c r="BF1398" t="inlineStr">
        <is>
          <t>X</t>
        </is>
      </c>
      <c r="BH1398" t="inlineStr">
        <is>
          <t>X</t>
        </is>
      </c>
      <c r="BK1398" t="inlineStr">
        <is>
          <t>X</t>
        </is>
      </c>
      <c r="BL1398" t="inlineStr">
        <is>
          <t>X</t>
        </is>
      </c>
      <c r="BR1398" t="inlineStr">
        <is>
          <t>X</t>
        </is>
      </c>
      <c r="BS1398" t="inlineStr">
        <is>
          <t>X</t>
        </is>
      </c>
      <c r="CA1398" t="inlineStr">
        <is>
          <t>X</t>
        </is>
      </c>
    </row>
    <row r="1399">
      <c r="A1399" t="inlineStr">
        <is>
          <t>OH0015697838</t>
        </is>
      </c>
      <c r="B1399" t="n">
        <v>78</v>
      </c>
      <c r="C1399" t="n">
        <v>15458</v>
      </c>
      <c r="D1399" t="inlineStr">
        <is>
          <t>SINCHAK</t>
        </is>
      </c>
      <c r="E1399" t="inlineStr">
        <is>
          <t>RICHARD</t>
        </is>
      </c>
      <c r="F1399">
        <f>CONCATENATE(D1399," ",LEFT(H1399,4),"T=",AU1399,"D=",AV1399,"R=",AW1399,"M=",AX1399,"L=",AY1399,"B=",AZ1399)</f>
        <v/>
      </c>
      <c r="G1399" t="inlineStr">
        <is>
          <t>D</t>
        </is>
      </c>
      <c r="I1399" t="inlineStr">
        <is>
          <t>1948-10-08</t>
        </is>
      </c>
      <c r="J1399" t="inlineStr">
        <is>
          <t>1969-12-29</t>
        </is>
      </c>
      <c r="K1399" t="inlineStr">
        <is>
          <t>ACTIVE</t>
        </is>
      </c>
      <c r="L1399" t="inlineStr">
        <is>
          <t>D</t>
        </is>
      </c>
      <c r="M1399" t="inlineStr">
        <is>
          <t>727 E MARKET ST</t>
        </is>
      </c>
      <c r="N1399">
        <f>RIGHT(M1399,LEN(M1399)-FIND(" ",M1399))</f>
        <v/>
      </c>
      <c r="P1399" t="inlineStr">
        <is>
          <t>WARREN</t>
        </is>
      </c>
      <c r="Q1399" t="inlineStr">
        <is>
          <t>OH</t>
        </is>
      </c>
      <c r="R1399" t="n">
        <v>44481</v>
      </c>
      <c r="AD1399" t="inlineStr">
        <is>
          <t>TRUMBULL CAREER &amp; TECH CENTER</t>
        </is>
      </c>
      <c r="AE1399" t="inlineStr">
        <is>
          <t>WARREN CITY</t>
        </is>
      </c>
      <c r="AF1399" t="inlineStr">
        <is>
          <t>WARREN CITY SD</t>
        </is>
      </c>
      <c r="AH1399" t="n">
        <v>14</v>
      </c>
      <c r="AI1399" t="n">
        <v>11</v>
      </c>
      <c r="AN1399" t="inlineStr">
        <is>
          <t>WARREN</t>
        </is>
      </c>
      <c r="AO1399" t="inlineStr">
        <is>
          <t>WARREN CITY 4D</t>
        </is>
      </c>
      <c r="AP1399" t="inlineStr">
        <is>
          <t>78-P-ADL</t>
        </is>
      </c>
      <c r="AQ1399" t="n">
        <v>9</v>
      </c>
      <c r="AR1399" t="n">
        <v>64</v>
      </c>
      <c r="AS1399" t="n">
        <v>32</v>
      </c>
      <c r="AU1399">
        <f>COUNTA($BA$1399:$EH$1399)</f>
        <v/>
      </c>
      <c r="AV1399">
        <f>COUNTIF($BA$1399:$EH$1399,"D")</f>
        <v/>
      </c>
      <c r="AW1399">
        <f>COUNTIF($BA$1399:$EH$1399,"R")</f>
        <v/>
      </c>
      <c r="AX1399">
        <f>IF(BN1399="D",1,0)+IF(BO1399="D",1,0)+IF(BT1399="D",1,0)+IF(BU1399="D",1,0)+IF(BW1399="D",1,0)+IF(CC1399="D",1,0)+IF(CD1399="D",1,0)+IF(CE1399="D",1,0)+IF(CF1399="D",1,0)+IF(CL1399="D",1,0)+IF(CM1399="D",1,0)+IF(CQ1399="D",1,0)+IF(CR1399="D",1,0)+IF(CS1399="D",1,0)+IF(CW1399="D",1,0)+IF(CX1399="D",1,0)+IF(DD1399="D",1,0)+IF(DE1399="D",1,0)+IF(DJ1399="D",1,0)+IF(DK1399="D",1,0)+IF(DO1399="D",1,0)+IF(DP1399="D",1,0)+IF(DQ1399="D",1,0)+IF(DW1399="D",1,0)+IF(DZ1399="D",1,0)+IF(EH1399="D",1,0)</f>
        <v/>
      </c>
      <c r="AY1399">
        <f>IF(DJ1399&lt;&gt;"",1,0)+IF(DK1399&lt;&gt;"",1,0)+IF(DM1399&lt;&gt;"",1,0)+IF(DO1399&lt;&gt;"",1,0)+IF(DP1399&lt;&gt;"",1,0)+IF(DQ1399&lt;&gt;"",1,0)+IF(DS1399&lt;&gt;"",1,0)+IF(DT1399&lt;&gt;"",1,0)+IF(DV1399&lt;&gt;"",1,0)+IF(DW1399&lt;&gt;"",1,0)+IF(DX1399&lt;&gt;"",1,0)+IF(DY1399&lt;&gt;"",1,0)+IF(DZ1399&lt;&gt;"",1,0)+IF(EB1399&lt;&gt;"",1,0)+IF(EC1399&lt;&gt;"",1,0)+IF(ED1399&lt;&gt;"",1,0)+IF(EG1399&lt;&gt;"",1,0)+IF(EH1399&lt;&gt;"",1,0)</f>
        <v/>
      </c>
      <c r="AZ1399">
        <f>IF(EH1399&lt;&gt;"",1,0)</f>
        <v/>
      </c>
      <c r="BB1399" t="inlineStr">
        <is>
          <t>WARREN-WARD 4</t>
        </is>
      </c>
      <c r="BC1399" t="inlineStr">
        <is>
          <t>X</t>
        </is>
      </c>
      <c r="BD1399" t="inlineStr">
        <is>
          <t>X</t>
        </is>
      </c>
      <c r="BE1399" t="inlineStr">
        <is>
          <t>X</t>
        </is>
      </c>
      <c r="BF1399" t="inlineStr">
        <is>
          <t>X</t>
        </is>
      </c>
      <c r="BG1399" t="inlineStr">
        <is>
          <t>X</t>
        </is>
      </c>
      <c r="BH1399" t="inlineStr">
        <is>
          <t>X</t>
        </is>
      </c>
      <c r="BI1399" t="inlineStr">
        <is>
          <t>X</t>
        </is>
      </c>
      <c r="BJ1399" t="inlineStr">
        <is>
          <t>X</t>
        </is>
      </c>
      <c r="BK1399" t="inlineStr">
        <is>
          <t>X</t>
        </is>
      </c>
      <c r="BL1399" t="inlineStr">
        <is>
          <t>X</t>
        </is>
      </c>
      <c r="BP1399" t="inlineStr">
        <is>
          <t>X</t>
        </is>
      </c>
      <c r="BR1399" t="inlineStr">
        <is>
          <t>X</t>
        </is>
      </c>
      <c r="BS1399" t="inlineStr">
        <is>
          <t>X</t>
        </is>
      </c>
      <c r="BY1399" t="inlineStr">
        <is>
          <t>D</t>
        </is>
      </c>
      <c r="CA1399" t="inlineStr">
        <is>
          <t>X</t>
        </is>
      </c>
      <c r="CG1399" t="inlineStr">
        <is>
          <t>X</t>
        </is>
      </c>
      <c r="CH1399" t="inlineStr">
        <is>
          <t>D</t>
        </is>
      </c>
      <c r="CK1399" t="inlineStr">
        <is>
          <t>X</t>
        </is>
      </c>
      <c r="CL1399" t="inlineStr">
        <is>
          <t>D</t>
        </is>
      </c>
      <c r="CN1399" t="inlineStr">
        <is>
          <t>X</t>
        </is>
      </c>
      <c r="CO1399" t="inlineStr">
        <is>
          <t>R</t>
        </is>
      </c>
      <c r="CP1399" t="inlineStr">
        <is>
          <t>X</t>
        </is>
      </c>
      <c r="CQ1399" t="inlineStr">
        <is>
          <t>D</t>
        </is>
      </c>
      <c r="CT1399" t="inlineStr">
        <is>
          <t>X</t>
        </is>
      </c>
      <c r="CU1399" t="inlineStr">
        <is>
          <t>D</t>
        </is>
      </c>
      <c r="CV1399" t="inlineStr">
        <is>
          <t>X</t>
        </is>
      </c>
      <c r="CW1399" t="inlineStr">
        <is>
          <t>D</t>
        </is>
      </c>
      <c r="CY1399" t="inlineStr">
        <is>
          <t>X</t>
        </is>
      </c>
      <c r="CZ1399" t="inlineStr">
        <is>
          <t>R</t>
        </is>
      </c>
      <c r="DC1399" t="inlineStr">
        <is>
          <t>X</t>
        </is>
      </c>
      <c r="DF1399" t="inlineStr">
        <is>
          <t>X</t>
        </is>
      </c>
      <c r="DG1399" t="inlineStr">
        <is>
          <t>R</t>
        </is>
      </c>
      <c r="DI1399" t="inlineStr">
        <is>
          <t>X</t>
        </is>
      </c>
      <c r="DJ1399" t="inlineStr">
        <is>
          <t>D</t>
        </is>
      </c>
      <c r="DL1399" t="inlineStr">
        <is>
          <t>X</t>
        </is>
      </c>
      <c r="DN1399" t="inlineStr">
        <is>
          <t>X</t>
        </is>
      </c>
      <c r="DS1399" t="inlineStr">
        <is>
          <t>D</t>
        </is>
      </c>
      <c r="DU1399" t="inlineStr">
        <is>
          <t>X</t>
        </is>
      </c>
      <c r="DW1399" t="inlineStr">
        <is>
          <t>D</t>
        </is>
      </c>
      <c r="EA1399" t="inlineStr">
        <is>
          <t>X</t>
        </is>
      </c>
      <c r="ED1399" t="inlineStr">
        <is>
          <t>D</t>
        </is>
      </c>
      <c r="EF1399" t="inlineStr">
        <is>
          <t>X</t>
        </is>
      </c>
      <c r="EH1399" t="inlineStr">
        <is>
          <t>D</t>
        </is>
      </c>
    </row>
    <row r="1400">
      <c r="A1400" t="inlineStr">
        <is>
          <t>OH0027547712</t>
        </is>
      </c>
      <c r="B1400" t="n">
        <v>78</v>
      </c>
      <c r="C1400" t="n">
        <v>488232</v>
      </c>
      <c r="D1400" t="inlineStr">
        <is>
          <t>TORRES</t>
        </is>
      </c>
      <c r="E1400" t="inlineStr">
        <is>
          <t>JOSE</t>
        </is>
      </c>
      <c r="F1400">
        <f>CONCATENATE(D1400," ",LEFT(H1400,4),"T=",AU1400,"D=",AV1400,"R=",AW1400,"M=",AX1400,"L=",AY1400,"B=",AZ1400)</f>
        <v/>
      </c>
      <c r="G1400" t="inlineStr">
        <is>
          <t>O</t>
        </is>
      </c>
      <c r="I1400" t="inlineStr">
        <is>
          <t>1986-07-29</t>
        </is>
      </c>
      <c r="J1400" t="inlineStr">
        <is>
          <t>2024-08-21</t>
        </is>
      </c>
      <c r="K1400" t="inlineStr">
        <is>
          <t>ACTIVE</t>
        </is>
      </c>
      <c r="M1400" t="inlineStr">
        <is>
          <t>149 CHARLES AVE NE</t>
        </is>
      </c>
      <c r="N1400">
        <f>RIGHT(M1400,LEN(M1400)-FIND(" ",M1400))</f>
        <v/>
      </c>
      <c r="P1400" t="inlineStr">
        <is>
          <t>WARREN</t>
        </is>
      </c>
      <c r="Q1400" t="inlineStr">
        <is>
          <t>OH</t>
        </is>
      </c>
      <c r="R1400" t="n">
        <v>44483</v>
      </c>
      <c r="AD1400" t="inlineStr">
        <is>
          <t>TRUMBULL CAREER &amp; TECH CENTER</t>
        </is>
      </c>
      <c r="AE1400" t="inlineStr">
        <is>
          <t>WARREN CITY</t>
        </is>
      </c>
      <c r="AF1400" t="inlineStr">
        <is>
          <t>WARREN CITY SD</t>
        </is>
      </c>
      <c r="AH1400" t="n">
        <v>14</v>
      </c>
      <c r="AI1400" t="n">
        <v>11</v>
      </c>
      <c r="AN1400" t="inlineStr">
        <is>
          <t>WARREN</t>
        </is>
      </c>
      <c r="AO1400" t="inlineStr">
        <is>
          <t>WARREN CITY 4D</t>
        </is>
      </c>
      <c r="AP1400" t="inlineStr">
        <is>
          <t>78-P-ADL</t>
        </is>
      </c>
      <c r="AQ1400" t="n">
        <v>9</v>
      </c>
      <c r="AR1400" t="n">
        <v>64</v>
      </c>
      <c r="AS1400" t="n">
        <v>32</v>
      </c>
      <c r="AU1400">
        <f>COUNTA($BA$1400:$EH$1400)</f>
        <v/>
      </c>
      <c r="AV1400">
        <f>COUNTIF($BA$1400:$EH$1400,"D")</f>
        <v/>
      </c>
      <c r="AW1400">
        <f>COUNTIF($BA$1400:$EH$1400,"R")</f>
        <v/>
      </c>
      <c r="AX1400">
        <f>IF(BN1400="D",1,0)+IF(BO1400="D",1,0)+IF(BT1400="D",1,0)+IF(BU1400="D",1,0)+IF(BW1400="D",1,0)+IF(CC1400="D",1,0)+IF(CD1400="D",1,0)+IF(CE1400="D",1,0)+IF(CF1400="D",1,0)+IF(CL1400="D",1,0)+IF(CM1400="D",1,0)+IF(CQ1400="D",1,0)+IF(CR1400="D",1,0)+IF(CS1400="D",1,0)+IF(CW1400="D",1,0)+IF(CX1400="D",1,0)+IF(DD1400="D",1,0)+IF(DE1400="D",1,0)+IF(DJ1400="D",1,0)+IF(DK1400="D",1,0)+IF(DO1400="D",1,0)+IF(DP1400="D",1,0)+IF(DQ1400="D",1,0)+IF(DW1400="D",1,0)+IF(DZ1400="D",1,0)+IF(EH1400="D",1,0)</f>
        <v/>
      </c>
      <c r="AY1400">
        <f>IF(DJ1400&lt;&gt;"",1,0)+IF(DK1400&lt;&gt;"",1,0)+IF(DM1400&lt;&gt;"",1,0)+IF(DO1400&lt;&gt;"",1,0)+IF(DP1400&lt;&gt;"",1,0)+IF(DQ1400&lt;&gt;"",1,0)+IF(DS1400&lt;&gt;"",1,0)+IF(DT1400&lt;&gt;"",1,0)+IF(DV1400&lt;&gt;"",1,0)+IF(DW1400&lt;&gt;"",1,0)+IF(DX1400&lt;&gt;"",1,0)+IF(DY1400&lt;&gt;"",1,0)+IF(DZ1400&lt;&gt;"",1,0)+IF(EB1400&lt;&gt;"",1,0)+IF(EC1400&lt;&gt;"",1,0)+IF(ED1400&lt;&gt;"",1,0)+IF(EG1400&lt;&gt;"",1,0)+IF(EH1400&lt;&gt;"",1,0)</f>
        <v/>
      </c>
      <c r="AZ1400">
        <f>IF(EH1400&lt;&gt;"",1,0)</f>
        <v/>
      </c>
      <c r="BB1400" t="inlineStr">
        <is>
          <t>WARREN-WARD 4</t>
        </is>
      </c>
    </row>
    <row r="1401">
      <c r="A1401" t="inlineStr">
        <is>
          <t>OH0015785298</t>
        </is>
      </c>
      <c r="B1401" t="n">
        <v>78</v>
      </c>
      <c r="C1401" t="n">
        <v>58892</v>
      </c>
      <c r="D1401" t="inlineStr">
        <is>
          <t>TYMOCHKO</t>
        </is>
      </c>
      <c r="E1401" t="inlineStr">
        <is>
          <t>YOURA</t>
        </is>
      </c>
      <c r="F1401">
        <f>CONCATENATE(D1401," ",LEFT(H1401,4),"T=",AU1401,"D=",AV1401,"R=",AW1401,"M=",AX1401,"L=",AY1401,"B=",AZ1401)</f>
        <v/>
      </c>
      <c r="I1401" t="inlineStr">
        <is>
          <t>1946-10-27</t>
        </is>
      </c>
      <c r="J1401" t="inlineStr">
        <is>
          <t>2024-08-21</t>
        </is>
      </c>
      <c r="K1401" t="inlineStr">
        <is>
          <t>ACTIVE</t>
        </is>
      </c>
      <c r="M1401" t="inlineStr">
        <is>
          <t>160 E MARKET ST</t>
        </is>
      </c>
      <c r="N1401">
        <f>RIGHT(M1401,LEN(M1401)-FIND(" ",M1401))</f>
        <v/>
      </c>
      <c r="O1401" t="inlineStr">
        <is>
          <t>STE 250</t>
        </is>
      </c>
      <c r="P1401" t="inlineStr">
        <is>
          <t>WARREN</t>
        </is>
      </c>
      <c r="Q1401" t="inlineStr">
        <is>
          <t>OH</t>
        </is>
      </c>
      <c r="R1401" t="n">
        <v>44481</v>
      </c>
      <c r="AD1401" t="inlineStr">
        <is>
          <t>TRUMBULL CAREER &amp; TECH CENTER</t>
        </is>
      </c>
      <c r="AE1401" t="inlineStr">
        <is>
          <t>WARREN CITY</t>
        </is>
      </c>
      <c r="AF1401" t="inlineStr">
        <is>
          <t>WARREN CITY SD</t>
        </is>
      </c>
      <c r="AH1401" t="n">
        <v>14</v>
      </c>
      <c r="AI1401" t="n">
        <v>11</v>
      </c>
      <c r="AN1401" t="inlineStr">
        <is>
          <t>WARREN</t>
        </is>
      </c>
      <c r="AO1401" t="inlineStr">
        <is>
          <t>WARREN CITY 4D</t>
        </is>
      </c>
      <c r="AP1401" t="inlineStr">
        <is>
          <t>78-P-ADL</t>
        </is>
      </c>
      <c r="AQ1401" t="n">
        <v>9</v>
      </c>
      <c r="AR1401" t="n">
        <v>64</v>
      </c>
      <c r="AS1401" t="n">
        <v>32</v>
      </c>
      <c r="AU1401">
        <f>COUNTA($BA$1401:$EH$1401)</f>
        <v/>
      </c>
      <c r="AV1401">
        <f>COUNTIF($BA$1401:$EH$1401,"D")</f>
        <v/>
      </c>
      <c r="AW1401">
        <f>COUNTIF($BA$1401:$EH$1401,"R")</f>
        <v/>
      </c>
      <c r="AX1401">
        <f>IF(BN1401="D",1,0)+IF(BO1401="D",1,0)+IF(BT1401="D",1,0)+IF(BU1401="D",1,0)+IF(BW1401="D",1,0)+IF(CC1401="D",1,0)+IF(CD1401="D",1,0)+IF(CE1401="D",1,0)+IF(CF1401="D",1,0)+IF(CL1401="D",1,0)+IF(CM1401="D",1,0)+IF(CQ1401="D",1,0)+IF(CR1401="D",1,0)+IF(CS1401="D",1,0)+IF(CW1401="D",1,0)+IF(CX1401="D",1,0)+IF(DD1401="D",1,0)+IF(DE1401="D",1,0)+IF(DJ1401="D",1,0)+IF(DK1401="D",1,0)+IF(DO1401="D",1,0)+IF(DP1401="D",1,0)+IF(DQ1401="D",1,0)+IF(DW1401="D",1,0)+IF(DZ1401="D",1,0)+IF(EH1401="D",1,0)</f>
        <v/>
      </c>
      <c r="AY1401">
        <f>IF(DJ1401&lt;&gt;"",1,0)+IF(DK1401&lt;&gt;"",1,0)+IF(DM1401&lt;&gt;"",1,0)+IF(DO1401&lt;&gt;"",1,0)+IF(DP1401&lt;&gt;"",1,0)+IF(DQ1401&lt;&gt;"",1,0)+IF(DS1401&lt;&gt;"",1,0)+IF(DT1401&lt;&gt;"",1,0)+IF(DV1401&lt;&gt;"",1,0)+IF(DW1401&lt;&gt;"",1,0)+IF(DX1401&lt;&gt;"",1,0)+IF(DY1401&lt;&gt;"",1,0)+IF(DZ1401&lt;&gt;"",1,0)+IF(EB1401&lt;&gt;"",1,0)+IF(EC1401&lt;&gt;"",1,0)+IF(ED1401&lt;&gt;"",1,0)+IF(EG1401&lt;&gt;"",1,0)+IF(EH1401&lt;&gt;"",1,0)</f>
        <v/>
      </c>
      <c r="AZ1401">
        <f>IF(EH1401&lt;&gt;"",1,0)</f>
        <v/>
      </c>
      <c r="BB1401" t="inlineStr">
        <is>
          <t>WARREN-WARD 4</t>
        </is>
      </c>
      <c r="BC1401" t="inlineStr">
        <is>
          <t>X</t>
        </is>
      </c>
      <c r="BD1401" t="inlineStr">
        <is>
          <t>X</t>
        </is>
      </c>
      <c r="BH1401" t="inlineStr">
        <is>
          <t>X</t>
        </is>
      </c>
      <c r="BL1401" t="inlineStr">
        <is>
          <t>X</t>
        </is>
      </c>
      <c r="BS1401" t="inlineStr">
        <is>
          <t>X</t>
        </is>
      </c>
      <c r="CA1401" t="inlineStr">
        <is>
          <t>X</t>
        </is>
      </c>
      <c r="CK1401" t="inlineStr">
        <is>
          <t>X</t>
        </is>
      </c>
      <c r="CP1401" t="inlineStr">
        <is>
          <t>X</t>
        </is>
      </c>
      <c r="DC1401" t="inlineStr">
        <is>
          <t>X</t>
        </is>
      </c>
      <c r="DN1401" t="inlineStr">
        <is>
          <t>X</t>
        </is>
      </c>
    </row>
    <row r="1402">
      <c r="A1402" t="inlineStr">
        <is>
          <t>OH0015764942</t>
        </is>
      </c>
      <c r="B1402" t="n">
        <v>78</v>
      </c>
      <c r="C1402" t="n">
        <v>252338</v>
      </c>
      <c r="D1402" t="inlineStr">
        <is>
          <t>WILCOX</t>
        </is>
      </c>
      <c r="E1402" t="inlineStr">
        <is>
          <t>RENEE</t>
        </is>
      </c>
      <c r="F1402">
        <f>CONCATENATE(D1402," ",LEFT(H1402,4),"T=",AU1402,"D=",AV1402,"R=",AW1402,"M=",AX1402,"L=",AY1402,"B=",AZ1402)</f>
        <v/>
      </c>
      <c r="G1402" t="inlineStr">
        <is>
          <t>LYN</t>
        </is>
      </c>
      <c r="I1402" t="inlineStr">
        <is>
          <t>1976-03-30</t>
        </is>
      </c>
      <c r="J1402" t="inlineStr">
        <is>
          <t>2007-03-30</t>
        </is>
      </c>
      <c r="K1402" t="inlineStr">
        <is>
          <t>ACTIVE</t>
        </is>
      </c>
      <c r="L1402" t="inlineStr">
        <is>
          <t>D</t>
        </is>
      </c>
      <c r="M1402" t="inlineStr">
        <is>
          <t>1160 MCKINLEY ST NE</t>
        </is>
      </c>
      <c r="N1402">
        <f>RIGHT(M1402,LEN(M1402)-FIND(" ",M1402))</f>
        <v/>
      </c>
      <c r="P1402" t="inlineStr">
        <is>
          <t>WARREN</t>
        </is>
      </c>
      <c r="Q1402" t="inlineStr">
        <is>
          <t>OH</t>
        </is>
      </c>
      <c r="R1402" t="n">
        <v>44483</v>
      </c>
      <c r="AD1402" t="inlineStr">
        <is>
          <t>TRUMBULL CAREER &amp; TECH CENTER</t>
        </is>
      </c>
      <c r="AE1402" t="inlineStr">
        <is>
          <t>WARREN CITY</t>
        </is>
      </c>
      <c r="AF1402" t="inlineStr">
        <is>
          <t>WARREN CITY SD</t>
        </is>
      </c>
      <c r="AH1402" t="n">
        <v>14</v>
      </c>
      <c r="AI1402" t="n">
        <v>11</v>
      </c>
      <c r="AN1402" t="inlineStr">
        <is>
          <t>WARREN</t>
        </is>
      </c>
      <c r="AO1402" t="inlineStr">
        <is>
          <t>WARREN CITY 4D</t>
        </is>
      </c>
      <c r="AP1402" t="inlineStr">
        <is>
          <t>78-P-ADL</t>
        </is>
      </c>
      <c r="AQ1402" t="n">
        <v>9</v>
      </c>
      <c r="AR1402" t="n">
        <v>64</v>
      </c>
      <c r="AS1402" t="n">
        <v>32</v>
      </c>
      <c r="AU1402">
        <f>COUNTA($BA$1402:$EH$1402)</f>
        <v/>
      </c>
      <c r="AV1402">
        <f>COUNTIF($BA$1402:$EH$1402,"D")</f>
        <v/>
      </c>
      <c r="AW1402">
        <f>COUNTIF($BA$1402:$EH$1402,"R")</f>
        <v/>
      </c>
      <c r="AX1402">
        <f>IF(BN1402="D",1,0)+IF(BO1402="D",1,0)+IF(BT1402="D",1,0)+IF(BU1402="D",1,0)+IF(BW1402="D",1,0)+IF(CC1402="D",1,0)+IF(CD1402="D",1,0)+IF(CE1402="D",1,0)+IF(CF1402="D",1,0)+IF(CL1402="D",1,0)+IF(CM1402="D",1,0)+IF(CQ1402="D",1,0)+IF(CR1402="D",1,0)+IF(CS1402="D",1,0)+IF(CW1402="D",1,0)+IF(CX1402="D",1,0)+IF(DD1402="D",1,0)+IF(DE1402="D",1,0)+IF(DJ1402="D",1,0)+IF(DK1402="D",1,0)+IF(DO1402="D",1,0)+IF(DP1402="D",1,0)+IF(DQ1402="D",1,0)+IF(DW1402="D",1,0)+IF(DZ1402="D",1,0)+IF(EH1402="D",1,0)</f>
        <v/>
      </c>
      <c r="AY1402">
        <f>IF(DJ1402&lt;&gt;"",1,0)+IF(DK1402&lt;&gt;"",1,0)+IF(DM1402&lt;&gt;"",1,0)+IF(DO1402&lt;&gt;"",1,0)+IF(DP1402&lt;&gt;"",1,0)+IF(DQ1402&lt;&gt;"",1,0)+IF(DS1402&lt;&gt;"",1,0)+IF(DT1402&lt;&gt;"",1,0)+IF(DV1402&lt;&gt;"",1,0)+IF(DW1402&lt;&gt;"",1,0)+IF(DX1402&lt;&gt;"",1,0)+IF(DY1402&lt;&gt;"",1,0)+IF(DZ1402&lt;&gt;"",1,0)+IF(EB1402&lt;&gt;"",1,0)+IF(EC1402&lt;&gt;"",1,0)+IF(ED1402&lt;&gt;"",1,0)+IF(EG1402&lt;&gt;"",1,0)+IF(EH1402&lt;&gt;"",1,0)</f>
        <v/>
      </c>
      <c r="AZ1402">
        <f>IF(EH1402&lt;&gt;"",1,0)</f>
        <v/>
      </c>
      <c r="BB1402" t="inlineStr">
        <is>
          <t>WARREN-WARD 4</t>
        </is>
      </c>
      <c r="BC1402" t="inlineStr">
        <is>
          <t>X</t>
        </is>
      </c>
      <c r="BD1402" t="inlineStr">
        <is>
          <t>X</t>
        </is>
      </c>
      <c r="BE1402" t="inlineStr">
        <is>
          <t>X</t>
        </is>
      </c>
      <c r="BF1402" t="inlineStr">
        <is>
          <t>X</t>
        </is>
      </c>
      <c r="BG1402" t="inlineStr">
        <is>
          <t>X</t>
        </is>
      </c>
      <c r="BH1402" t="inlineStr">
        <is>
          <t>X</t>
        </is>
      </c>
      <c r="BI1402" t="inlineStr">
        <is>
          <t>X</t>
        </is>
      </c>
      <c r="BJ1402" t="inlineStr">
        <is>
          <t>X</t>
        </is>
      </c>
      <c r="BK1402" t="inlineStr">
        <is>
          <t>X</t>
        </is>
      </c>
      <c r="BL1402" t="inlineStr">
        <is>
          <t>X</t>
        </is>
      </c>
      <c r="BP1402" t="inlineStr">
        <is>
          <t>X</t>
        </is>
      </c>
      <c r="BR1402" t="inlineStr">
        <is>
          <t>X</t>
        </is>
      </c>
      <c r="BS1402" t="inlineStr">
        <is>
          <t>X</t>
        </is>
      </c>
      <c r="BT1402" t="inlineStr">
        <is>
          <t>X</t>
        </is>
      </c>
      <c r="BV1402" t="inlineStr">
        <is>
          <t>X</t>
        </is>
      </c>
      <c r="BY1402" t="inlineStr">
        <is>
          <t>D</t>
        </is>
      </c>
      <c r="CA1402" t="inlineStr">
        <is>
          <t>X</t>
        </is>
      </c>
      <c r="CC1402" t="inlineStr">
        <is>
          <t>D</t>
        </is>
      </c>
      <c r="CG1402" t="inlineStr">
        <is>
          <t>X</t>
        </is>
      </c>
      <c r="CH1402" t="inlineStr">
        <is>
          <t>D</t>
        </is>
      </c>
      <c r="CK1402" t="inlineStr">
        <is>
          <t>X</t>
        </is>
      </c>
      <c r="CL1402" t="inlineStr">
        <is>
          <t>D</t>
        </is>
      </c>
      <c r="CN1402" t="inlineStr">
        <is>
          <t>X</t>
        </is>
      </c>
      <c r="CO1402" t="inlineStr">
        <is>
          <t>D</t>
        </is>
      </c>
      <c r="CP1402" t="inlineStr">
        <is>
          <t>X</t>
        </is>
      </c>
      <c r="CQ1402" t="inlineStr">
        <is>
          <t>D</t>
        </is>
      </c>
      <c r="CT1402" t="inlineStr">
        <is>
          <t>X</t>
        </is>
      </c>
      <c r="CU1402" t="inlineStr">
        <is>
          <t>D</t>
        </is>
      </c>
      <c r="CV1402" t="inlineStr">
        <is>
          <t>X</t>
        </is>
      </c>
      <c r="CW1402" t="inlineStr">
        <is>
          <t>D</t>
        </is>
      </c>
      <c r="CY1402" t="inlineStr">
        <is>
          <t>X</t>
        </is>
      </c>
      <c r="CZ1402" t="inlineStr">
        <is>
          <t>D</t>
        </is>
      </c>
      <c r="DC1402" t="inlineStr">
        <is>
          <t>X</t>
        </is>
      </c>
      <c r="DD1402" t="inlineStr">
        <is>
          <t>D</t>
        </is>
      </c>
      <c r="DF1402" t="inlineStr">
        <is>
          <t>X</t>
        </is>
      </c>
      <c r="DG1402" t="inlineStr">
        <is>
          <t>D</t>
        </is>
      </c>
      <c r="DI1402" t="inlineStr">
        <is>
          <t>X</t>
        </is>
      </c>
      <c r="DJ1402" t="inlineStr">
        <is>
          <t>D</t>
        </is>
      </c>
      <c r="DL1402" t="inlineStr">
        <is>
          <t>X</t>
        </is>
      </c>
      <c r="DM1402" t="inlineStr">
        <is>
          <t>D</t>
        </is>
      </c>
      <c r="DN1402" t="inlineStr">
        <is>
          <t>X</t>
        </is>
      </c>
      <c r="DR1402" t="inlineStr">
        <is>
          <t>X</t>
        </is>
      </c>
      <c r="DS1402" t="inlineStr">
        <is>
          <t>D</t>
        </is>
      </c>
      <c r="DU1402" t="inlineStr">
        <is>
          <t>X</t>
        </is>
      </c>
      <c r="DW1402" t="inlineStr">
        <is>
          <t>D</t>
        </is>
      </c>
      <c r="DX1402" t="inlineStr">
        <is>
          <t>X</t>
        </is>
      </c>
      <c r="EA1402" t="inlineStr">
        <is>
          <t>X</t>
        </is>
      </c>
      <c r="ED1402" t="inlineStr">
        <is>
          <t>D</t>
        </is>
      </c>
      <c r="EF1402" t="inlineStr">
        <is>
          <t>X</t>
        </is>
      </c>
      <c r="EH1402" t="inlineStr">
        <is>
          <t>D</t>
        </is>
      </c>
    </row>
    <row r="1403">
      <c r="A1403" t="inlineStr">
        <is>
          <t>OH0015818881</t>
        </is>
      </c>
      <c r="B1403" t="n">
        <v>78</v>
      </c>
      <c r="C1403" t="n">
        <v>274511</v>
      </c>
      <c r="D1403" t="inlineStr">
        <is>
          <t>MOSLEY</t>
        </is>
      </c>
      <c r="E1403" t="inlineStr">
        <is>
          <t>CHRISTINE</t>
        </is>
      </c>
      <c r="F1403">
        <f>CONCATENATE(D1403," ",LEFT(H1403,4),"T=",AU1403,"D=",AV1403,"R=",AW1403,"M=",AX1403,"L=",AY1403,"B=",AZ1403)</f>
        <v/>
      </c>
      <c r="G1403" t="inlineStr">
        <is>
          <t>S</t>
        </is>
      </c>
      <c r="I1403" t="inlineStr">
        <is>
          <t>1968-10-20</t>
        </is>
      </c>
      <c r="J1403" t="inlineStr">
        <is>
          <t>2018-08-02</t>
        </is>
      </c>
      <c r="K1403" t="inlineStr">
        <is>
          <t>ACTIVE</t>
        </is>
      </c>
      <c r="M1403" t="inlineStr">
        <is>
          <t>590 FAIRFIELD AVE NE</t>
        </is>
      </c>
      <c r="N1403">
        <f>RIGHT(M1403,LEN(M1403)-FIND(" ",M1403))</f>
        <v/>
      </c>
      <c r="P1403" t="inlineStr">
        <is>
          <t>WARREN</t>
        </is>
      </c>
      <c r="Q1403" t="inlineStr">
        <is>
          <t>OH</t>
        </is>
      </c>
      <c r="R1403" t="n">
        <v>44483</v>
      </c>
      <c r="AD1403" t="inlineStr">
        <is>
          <t>TRUMBULL CAREER &amp; TECH CENTER</t>
        </is>
      </c>
      <c r="AE1403" t="inlineStr">
        <is>
          <t>WARREN CITY</t>
        </is>
      </c>
      <c r="AF1403" t="inlineStr">
        <is>
          <t>WARREN CITY SD</t>
        </is>
      </c>
      <c r="AH1403" t="n">
        <v>14</v>
      </c>
      <c r="AI1403" t="n">
        <v>11</v>
      </c>
      <c r="AN1403" t="inlineStr">
        <is>
          <t>WARREN</t>
        </is>
      </c>
      <c r="AO1403" t="inlineStr">
        <is>
          <t>WARREN CITY 4D</t>
        </is>
      </c>
      <c r="AP1403" t="inlineStr">
        <is>
          <t>78-P-ADL</t>
        </is>
      </c>
      <c r="AQ1403" t="n">
        <v>9</v>
      </c>
      <c r="AR1403" t="n">
        <v>64</v>
      </c>
      <c r="AS1403" t="n">
        <v>32</v>
      </c>
      <c r="AU1403">
        <f>COUNTA($BA$1403:$EH$1403)</f>
        <v/>
      </c>
      <c r="AV1403">
        <f>COUNTIF($BA$1403:$EH$1403,"D")</f>
        <v/>
      </c>
      <c r="AW1403">
        <f>COUNTIF($BA$1403:$EH$1403,"R")</f>
        <v/>
      </c>
      <c r="AX1403">
        <f>IF(BN1403="D",1,0)+IF(BO1403="D",1,0)+IF(BT1403="D",1,0)+IF(BU1403="D",1,0)+IF(BW1403="D",1,0)+IF(CC1403="D",1,0)+IF(CD1403="D",1,0)+IF(CE1403="D",1,0)+IF(CF1403="D",1,0)+IF(CL1403="D",1,0)+IF(CM1403="D",1,0)+IF(CQ1403="D",1,0)+IF(CR1403="D",1,0)+IF(CS1403="D",1,0)+IF(CW1403="D",1,0)+IF(CX1403="D",1,0)+IF(DD1403="D",1,0)+IF(DE1403="D",1,0)+IF(DJ1403="D",1,0)+IF(DK1403="D",1,0)+IF(DO1403="D",1,0)+IF(DP1403="D",1,0)+IF(DQ1403="D",1,0)+IF(DW1403="D",1,0)+IF(DZ1403="D",1,0)+IF(EH1403="D",1,0)</f>
        <v/>
      </c>
      <c r="AY1403">
        <f>IF(DJ1403&lt;&gt;"",1,0)+IF(DK1403&lt;&gt;"",1,0)+IF(DM1403&lt;&gt;"",1,0)+IF(DO1403&lt;&gt;"",1,0)+IF(DP1403&lt;&gt;"",1,0)+IF(DQ1403&lt;&gt;"",1,0)+IF(DS1403&lt;&gt;"",1,0)+IF(DT1403&lt;&gt;"",1,0)+IF(DV1403&lt;&gt;"",1,0)+IF(DW1403&lt;&gt;"",1,0)+IF(DX1403&lt;&gt;"",1,0)+IF(DY1403&lt;&gt;"",1,0)+IF(DZ1403&lt;&gt;"",1,0)+IF(EB1403&lt;&gt;"",1,0)+IF(EC1403&lt;&gt;"",1,0)+IF(ED1403&lt;&gt;"",1,0)+IF(EG1403&lt;&gt;"",1,0)+IF(EH1403&lt;&gt;"",1,0)</f>
        <v/>
      </c>
      <c r="AZ1403">
        <f>IF(EH1403&lt;&gt;"",1,0)</f>
        <v/>
      </c>
      <c r="BB1403" t="inlineStr">
        <is>
          <t>WARREN-WARD 4</t>
        </is>
      </c>
      <c r="BL1403" t="inlineStr">
        <is>
          <t>X</t>
        </is>
      </c>
      <c r="BS1403" t="inlineStr">
        <is>
          <t>X</t>
        </is>
      </c>
      <c r="BV1403" t="inlineStr">
        <is>
          <t>X</t>
        </is>
      </c>
      <c r="CA1403" t="inlineStr">
        <is>
          <t>X</t>
        </is>
      </c>
      <c r="CG1403" t="inlineStr">
        <is>
          <t>X</t>
        </is>
      </c>
      <c r="CN1403" t="inlineStr">
        <is>
          <t>X</t>
        </is>
      </c>
      <c r="DC1403" t="inlineStr">
        <is>
          <t>X</t>
        </is>
      </c>
      <c r="DI1403" t="inlineStr">
        <is>
          <t>X</t>
        </is>
      </c>
      <c r="DN1403" t="inlineStr">
        <is>
          <t>X</t>
        </is>
      </c>
      <c r="EA1403" t="inlineStr">
        <is>
          <t>X</t>
        </is>
      </c>
      <c r="EF1403" t="inlineStr">
        <is>
          <t>X</t>
        </is>
      </c>
    </row>
    <row r="1404">
      <c r="A1404" t="inlineStr">
        <is>
          <t>OH0024369446</t>
        </is>
      </c>
      <c r="B1404" t="n">
        <v>78</v>
      </c>
      <c r="C1404" t="n">
        <v>427605</v>
      </c>
      <c r="D1404" t="inlineStr">
        <is>
          <t>BROWN LEE</t>
        </is>
      </c>
      <c r="E1404" t="inlineStr">
        <is>
          <t>SHEDALL</t>
        </is>
      </c>
      <c r="F1404">
        <f>CONCATENATE(D1404," ",LEFT(H1404,4),"T=",AU1404,"D=",AV1404,"R=",AW1404,"M=",AX1404,"L=",AY1404,"B=",AZ1404)</f>
        <v/>
      </c>
      <c r="I1404" t="inlineStr">
        <is>
          <t>1993-02-22</t>
        </is>
      </c>
      <c r="J1404" t="inlineStr">
        <is>
          <t>2017-08-23</t>
        </is>
      </c>
      <c r="K1404" t="inlineStr">
        <is>
          <t>CONFIRMATION</t>
        </is>
      </c>
      <c r="M1404" t="inlineStr">
        <is>
          <t>200 WASHINGTON ST NE</t>
        </is>
      </c>
      <c r="N1404">
        <f>RIGHT(M1404,LEN(M1404)-FIND(" ",M1404))</f>
        <v/>
      </c>
      <c r="O1404" t="inlineStr">
        <is>
          <t>APT 21</t>
        </is>
      </c>
      <c r="P1404" t="inlineStr">
        <is>
          <t>WARREN</t>
        </is>
      </c>
      <c r="Q1404" t="inlineStr">
        <is>
          <t>OH</t>
        </is>
      </c>
      <c r="R1404" t="n">
        <v>44483</v>
      </c>
      <c r="AD1404" t="inlineStr">
        <is>
          <t>TRUMBULL CAREER &amp; TECH CENTER</t>
        </is>
      </c>
      <c r="AE1404" t="inlineStr">
        <is>
          <t>WARREN CITY</t>
        </is>
      </c>
      <c r="AF1404" t="inlineStr">
        <is>
          <t>WARREN CITY SD</t>
        </is>
      </c>
      <c r="AH1404" t="n">
        <v>14</v>
      </c>
      <c r="AI1404" t="n">
        <v>11</v>
      </c>
      <c r="AN1404" t="inlineStr">
        <is>
          <t>WARREN</t>
        </is>
      </c>
      <c r="AO1404" t="inlineStr">
        <is>
          <t>WARREN CITY 4D</t>
        </is>
      </c>
      <c r="AP1404" t="inlineStr">
        <is>
          <t>78-P-ADL</t>
        </is>
      </c>
      <c r="AQ1404" t="n">
        <v>9</v>
      </c>
      <c r="AR1404" t="n">
        <v>64</v>
      </c>
      <c r="AS1404" t="n">
        <v>32</v>
      </c>
      <c r="AU1404">
        <f>COUNTA($BA$1404:$EH$1404)</f>
        <v/>
      </c>
      <c r="AV1404">
        <f>COUNTIF($BA$1404:$EH$1404,"D")</f>
        <v/>
      </c>
      <c r="AW1404">
        <f>COUNTIF($BA$1404:$EH$1404,"R")</f>
        <v/>
      </c>
      <c r="AX1404">
        <f>IF(BN1404="D",1,0)+IF(BO1404="D",1,0)+IF(BT1404="D",1,0)+IF(BU1404="D",1,0)+IF(BW1404="D",1,0)+IF(CC1404="D",1,0)+IF(CD1404="D",1,0)+IF(CE1404="D",1,0)+IF(CF1404="D",1,0)+IF(CL1404="D",1,0)+IF(CM1404="D",1,0)+IF(CQ1404="D",1,0)+IF(CR1404="D",1,0)+IF(CS1404="D",1,0)+IF(CW1404="D",1,0)+IF(CX1404="D",1,0)+IF(DD1404="D",1,0)+IF(DE1404="D",1,0)+IF(DJ1404="D",1,0)+IF(DK1404="D",1,0)+IF(DO1404="D",1,0)+IF(DP1404="D",1,0)+IF(DQ1404="D",1,0)+IF(DW1404="D",1,0)+IF(DZ1404="D",1,0)+IF(EH1404="D",1,0)</f>
        <v/>
      </c>
      <c r="AY1404">
        <f>IF(DJ1404&lt;&gt;"",1,0)+IF(DK1404&lt;&gt;"",1,0)+IF(DM1404&lt;&gt;"",1,0)+IF(DO1404&lt;&gt;"",1,0)+IF(DP1404&lt;&gt;"",1,0)+IF(DQ1404&lt;&gt;"",1,0)+IF(DS1404&lt;&gt;"",1,0)+IF(DT1404&lt;&gt;"",1,0)+IF(DV1404&lt;&gt;"",1,0)+IF(DW1404&lt;&gt;"",1,0)+IF(DX1404&lt;&gt;"",1,0)+IF(DY1404&lt;&gt;"",1,0)+IF(DZ1404&lt;&gt;"",1,0)+IF(EB1404&lt;&gt;"",1,0)+IF(EC1404&lt;&gt;"",1,0)+IF(ED1404&lt;&gt;"",1,0)+IF(EG1404&lt;&gt;"",1,0)+IF(EH1404&lt;&gt;"",1,0)</f>
        <v/>
      </c>
      <c r="AZ1404">
        <f>IF(EH1404&lt;&gt;"",1,0)</f>
        <v/>
      </c>
      <c r="BB1404" t="inlineStr">
        <is>
          <t>WARREN-WARD 4</t>
        </is>
      </c>
    </row>
    <row r="1405">
      <c r="A1405" t="inlineStr">
        <is>
          <t>OH0025423265</t>
        </is>
      </c>
      <c r="B1405" t="n">
        <v>78</v>
      </c>
      <c r="C1405" t="n">
        <v>444492</v>
      </c>
      <c r="D1405" t="inlineStr">
        <is>
          <t>NORMAN</t>
        </is>
      </c>
      <c r="E1405" t="inlineStr">
        <is>
          <t>CHRISTINA</t>
        </is>
      </c>
      <c r="F1405">
        <f>CONCATENATE(D1405," ",LEFT(H1405,4),"T=",AU1405,"D=",AV1405,"R=",AW1405,"M=",AX1405,"L=",AY1405,"B=",AZ1405)</f>
        <v/>
      </c>
      <c r="G1405" t="inlineStr">
        <is>
          <t>M</t>
        </is>
      </c>
      <c r="I1405" t="inlineStr">
        <is>
          <t>1969-11-24</t>
        </is>
      </c>
      <c r="J1405" t="inlineStr">
        <is>
          <t>2020-07-03</t>
        </is>
      </c>
      <c r="K1405" t="inlineStr">
        <is>
          <t>CONFIRMATION</t>
        </is>
      </c>
      <c r="M1405" t="inlineStr">
        <is>
          <t>207 LAIRD AVE NE</t>
        </is>
      </c>
      <c r="N1405">
        <f>RIGHT(M1405,LEN(M1405)-FIND(" ",M1405))</f>
        <v/>
      </c>
      <c r="P1405" t="inlineStr">
        <is>
          <t>WARREN</t>
        </is>
      </c>
      <c r="Q1405" t="inlineStr">
        <is>
          <t>OH</t>
        </is>
      </c>
      <c r="R1405" t="n">
        <v>44483</v>
      </c>
      <c r="AD1405" t="inlineStr">
        <is>
          <t>TRUMBULL CAREER &amp; TECH CENTER</t>
        </is>
      </c>
      <c r="AE1405" t="inlineStr">
        <is>
          <t>WARREN CITY</t>
        </is>
      </c>
      <c r="AF1405" t="inlineStr">
        <is>
          <t>WARREN CITY SD</t>
        </is>
      </c>
      <c r="AH1405" t="n">
        <v>14</v>
      </c>
      <c r="AI1405" t="n">
        <v>11</v>
      </c>
      <c r="AN1405" t="inlineStr">
        <is>
          <t>WARREN</t>
        </is>
      </c>
      <c r="AO1405" t="inlineStr">
        <is>
          <t>WARREN CITY 4D</t>
        </is>
      </c>
      <c r="AP1405" t="inlineStr">
        <is>
          <t>78-P-ADL</t>
        </is>
      </c>
      <c r="AQ1405" t="n">
        <v>9</v>
      </c>
      <c r="AR1405" t="n">
        <v>64</v>
      </c>
      <c r="AS1405" t="n">
        <v>32</v>
      </c>
      <c r="AU1405">
        <f>COUNTA($BA$1405:$EH$1405)</f>
        <v/>
      </c>
      <c r="AV1405">
        <f>COUNTIF($BA$1405:$EH$1405,"D")</f>
        <v/>
      </c>
      <c r="AW1405">
        <f>COUNTIF($BA$1405:$EH$1405,"R")</f>
        <v/>
      </c>
      <c r="AX1405">
        <f>IF(BN1405="D",1,0)+IF(BO1405="D",1,0)+IF(BT1405="D",1,0)+IF(BU1405="D",1,0)+IF(BW1405="D",1,0)+IF(CC1405="D",1,0)+IF(CD1405="D",1,0)+IF(CE1405="D",1,0)+IF(CF1405="D",1,0)+IF(CL1405="D",1,0)+IF(CM1405="D",1,0)+IF(CQ1405="D",1,0)+IF(CR1405="D",1,0)+IF(CS1405="D",1,0)+IF(CW1405="D",1,0)+IF(CX1405="D",1,0)+IF(DD1405="D",1,0)+IF(DE1405="D",1,0)+IF(DJ1405="D",1,0)+IF(DK1405="D",1,0)+IF(DO1405="D",1,0)+IF(DP1405="D",1,0)+IF(DQ1405="D",1,0)+IF(DW1405="D",1,0)+IF(DZ1405="D",1,0)+IF(EH1405="D",1,0)</f>
        <v/>
      </c>
      <c r="AY1405">
        <f>IF(DJ1405&lt;&gt;"",1,0)+IF(DK1405&lt;&gt;"",1,0)+IF(DM1405&lt;&gt;"",1,0)+IF(DO1405&lt;&gt;"",1,0)+IF(DP1405&lt;&gt;"",1,0)+IF(DQ1405&lt;&gt;"",1,0)+IF(DS1405&lt;&gt;"",1,0)+IF(DT1405&lt;&gt;"",1,0)+IF(DV1405&lt;&gt;"",1,0)+IF(DW1405&lt;&gt;"",1,0)+IF(DX1405&lt;&gt;"",1,0)+IF(DY1405&lt;&gt;"",1,0)+IF(DZ1405&lt;&gt;"",1,0)+IF(EB1405&lt;&gt;"",1,0)+IF(EC1405&lt;&gt;"",1,0)+IF(ED1405&lt;&gt;"",1,0)+IF(EG1405&lt;&gt;"",1,0)+IF(EH1405&lt;&gt;"",1,0)</f>
        <v/>
      </c>
      <c r="AZ1405">
        <f>IF(EH1405&lt;&gt;"",1,0)</f>
        <v/>
      </c>
      <c r="BB1405" t="inlineStr">
        <is>
          <t>WARREN-WARD 4</t>
        </is>
      </c>
      <c r="BK1405" t="inlineStr">
        <is>
          <t>R</t>
        </is>
      </c>
      <c r="BL1405" t="inlineStr">
        <is>
          <t>X</t>
        </is>
      </c>
      <c r="BM1405" t="inlineStr">
        <is>
          <t>X</t>
        </is>
      </c>
      <c r="BN1405" t="inlineStr">
        <is>
          <t>X</t>
        </is>
      </c>
      <c r="BP1405" t="inlineStr">
        <is>
          <t>X</t>
        </is>
      </c>
      <c r="BR1405" t="inlineStr">
        <is>
          <t>R</t>
        </is>
      </c>
      <c r="BS1405" t="inlineStr">
        <is>
          <t>X</t>
        </is>
      </c>
      <c r="BT1405" t="inlineStr">
        <is>
          <t>X</t>
        </is>
      </c>
      <c r="BV1405" t="inlineStr">
        <is>
          <t>X</t>
        </is>
      </c>
      <c r="CA1405" t="inlineStr">
        <is>
          <t>X</t>
        </is>
      </c>
      <c r="CG1405" t="inlineStr">
        <is>
          <t>X</t>
        </is>
      </c>
      <c r="CH1405" t="inlineStr">
        <is>
          <t>R</t>
        </is>
      </c>
      <c r="CK1405" t="inlineStr">
        <is>
          <t>X</t>
        </is>
      </c>
      <c r="CL1405" t="inlineStr">
        <is>
          <t>R</t>
        </is>
      </c>
      <c r="CN1405" t="inlineStr">
        <is>
          <t>X</t>
        </is>
      </c>
      <c r="CP1405" t="inlineStr">
        <is>
          <t>X</t>
        </is>
      </c>
      <c r="CV1405" t="inlineStr">
        <is>
          <t>X</t>
        </is>
      </c>
      <c r="CY1405" t="inlineStr">
        <is>
          <t>X</t>
        </is>
      </c>
      <c r="CZ1405" t="inlineStr">
        <is>
          <t>R</t>
        </is>
      </c>
      <c r="DC1405" t="inlineStr">
        <is>
          <t>X</t>
        </is>
      </c>
    </row>
    <row r="1406">
      <c r="A1406" t="inlineStr">
        <is>
          <t>OH0025906831</t>
        </is>
      </c>
      <c r="B1406" t="n">
        <v>78</v>
      </c>
      <c r="C1406" t="n">
        <v>452469</v>
      </c>
      <c r="D1406" t="inlineStr">
        <is>
          <t>SMITH</t>
        </is>
      </c>
      <c r="E1406" t="inlineStr">
        <is>
          <t>ASHLEE</t>
        </is>
      </c>
      <c r="F1406">
        <f>CONCATENATE(D1406," ",LEFT(H1406,4),"T=",AU1406,"D=",AV1406,"R=",AW1406,"M=",AX1406,"L=",AY1406,"B=",AZ1406)</f>
        <v/>
      </c>
      <c r="G1406" t="inlineStr">
        <is>
          <t>LYNN</t>
        </is>
      </c>
      <c r="I1406" t="inlineStr">
        <is>
          <t>1994-10-24</t>
        </is>
      </c>
      <c r="J1406" t="inlineStr">
        <is>
          <t>2020-09-28</t>
        </is>
      </c>
      <c r="K1406" t="inlineStr">
        <is>
          <t>CONFIRMATION</t>
        </is>
      </c>
      <c r="M1406" t="inlineStr">
        <is>
          <t>464 VINE AVE NE</t>
        </is>
      </c>
      <c r="N1406">
        <f>RIGHT(M1406,LEN(M1406)-FIND(" ",M1406))</f>
        <v/>
      </c>
      <c r="O1406" t="inlineStr">
        <is>
          <t>APT 3</t>
        </is>
      </c>
      <c r="P1406" t="inlineStr">
        <is>
          <t>WARREN</t>
        </is>
      </c>
      <c r="Q1406" t="inlineStr">
        <is>
          <t>OH</t>
        </is>
      </c>
      <c r="R1406" t="n">
        <v>44483</v>
      </c>
      <c r="AD1406" t="inlineStr">
        <is>
          <t>TRUMBULL CAREER &amp; TECH CENTER</t>
        </is>
      </c>
      <c r="AE1406" t="inlineStr">
        <is>
          <t>WARREN CITY</t>
        </is>
      </c>
      <c r="AF1406" t="inlineStr">
        <is>
          <t>WARREN CITY SD</t>
        </is>
      </c>
      <c r="AH1406" t="n">
        <v>14</v>
      </c>
      <c r="AI1406" t="n">
        <v>11</v>
      </c>
      <c r="AN1406" t="inlineStr">
        <is>
          <t>WARREN</t>
        </is>
      </c>
      <c r="AO1406" t="inlineStr">
        <is>
          <t>WARREN CITY 4D</t>
        </is>
      </c>
      <c r="AP1406" t="inlineStr">
        <is>
          <t>78-P-ADL</t>
        </is>
      </c>
      <c r="AQ1406" t="n">
        <v>9</v>
      </c>
      <c r="AR1406" t="n">
        <v>64</v>
      </c>
      <c r="AS1406" t="n">
        <v>32</v>
      </c>
      <c r="AU1406">
        <f>COUNTA($BA$1406:$EH$1406)</f>
        <v/>
      </c>
      <c r="AV1406">
        <f>COUNTIF($BA$1406:$EH$1406,"D")</f>
        <v/>
      </c>
      <c r="AW1406">
        <f>COUNTIF($BA$1406:$EH$1406,"R")</f>
        <v/>
      </c>
      <c r="AX1406">
        <f>IF(BN1406="D",1,0)+IF(BO1406="D",1,0)+IF(BT1406="D",1,0)+IF(BU1406="D",1,0)+IF(BW1406="D",1,0)+IF(CC1406="D",1,0)+IF(CD1406="D",1,0)+IF(CE1406="D",1,0)+IF(CF1406="D",1,0)+IF(CL1406="D",1,0)+IF(CM1406="D",1,0)+IF(CQ1406="D",1,0)+IF(CR1406="D",1,0)+IF(CS1406="D",1,0)+IF(CW1406="D",1,0)+IF(CX1406="D",1,0)+IF(DD1406="D",1,0)+IF(DE1406="D",1,0)+IF(DJ1406="D",1,0)+IF(DK1406="D",1,0)+IF(DO1406="D",1,0)+IF(DP1406="D",1,0)+IF(DQ1406="D",1,0)+IF(DW1406="D",1,0)+IF(DZ1406="D",1,0)+IF(EH1406="D",1,0)</f>
        <v/>
      </c>
      <c r="AY1406">
        <f>IF(DJ1406&lt;&gt;"",1,0)+IF(DK1406&lt;&gt;"",1,0)+IF(DM1406&lt;&gt;"",1,0)+IF(DO1406&lt;&gt;"",1,0)+IF(DP1406&lt;&gt;"",1,0)+IF(DQ1406&lt;&gt;"",1,0)+IF(DS1406&lt;&gt;"",1,0)+IF(DT1406&lt;&gt;"",1,0)+IF(DV1406&lt;&gt;"",1,0)+IF(DW1406&lt;&gt;"",1,0)+IF(DX1406&lt;&gt;"",1,0)+IF(DY1406&lt;&gt;"",1,0)+IF(DZ1406&lt;&gt;"",1,0)+IF(EB1406&lt;&gt;"",1,0)+IF(EC1406&lt;&gt;"",1,0)+IF(ED1406&lt;&gt;"",1,0)+IF(EG1406&lt;&gt;"",1,0)+IF(EH1406&lt;&gt;"",1,0)</f>
        <v/>
      </c>
      <c r="AZ1406">
        <f>IF(EH1406&lt;&gt;"",1,0)</f>
        <v/>
      </c>
      <c r="BB1406" t="inlineStr">
        <is>
          <t>WARREN-WARD 4</t>
        </is>
      </c>
    </row>
    <row r="1407">
      <c r="A1407" t="inlineStr">
        <is>
          <t>OH0022311864</t>
        </is>
      </c>
      <c r="B1407" t="n">
        <v>78</v>
      </c>
      <c r="C1407" t="n">
        <v>394082</v>
      </c>
      <c r="D1407" t="inlineStr">
        <is>
          <t>NELSON</t>
        </is>
      </c>
      <c r="E1407" t="inlineStr">
        <is>
          <t>CAMERON</t>
        </is>
      </c>
      <c r="F1407">
        <f>CONCATENATE(D1407," ",LEFT(H1407,4),"T=",AU1407,"D=",AV1407,"R=",AW1407,"M=",AX1407,"L=",AY1407,"B=",AZ1407)</f>
        <v/>
      </c>
      <c r="G1407" t="inlineStr">
        <is>
          <t>A</t>
        </is>
      </c>
      <c r="I1407" t="inlineStr">
        <is>
          <t>1990-09-11</t>
        </is>
      </c>
      <c r="J1407" t="inlineStr">
        <is>
          <t>2019-05-31</t>
        </is>
      </c>
      <c r="K1407" t="inlineStr">
        <is>
          <t>CONFIRMATION</t>
        </is>
      </c>
      <c r="M1407" t="inlineStr">
        <is>
          <t>182 HIGH ST NW</t>
        </is>
      </c>
      <c r="N1407">
        <f>RIGHT(M1407,LEN(M1407)-FIND(" ",M1407))</f>
        <v/>
      </c>
      <c r="O1407" t="inlineStr">
        <is>
          <t>APT 410</t>
        </is>
      </c>
      <c r="P1407" t="inlineStr">
        <is>
          <t>WARREN</t>
        </is>
      </c>
      <c r="Q1407" t="inlineStr">
        <is>
          <t>OH</t>
        </is>
      </c>
      <c r="R1407" t="n">
        <v>44481</v>
      </c>
      <c r="AD1407" t="inlineStr">
        <is>
          <t>TRUMBULL CAREER &amp; TECH CENTER</t>
        </is>
      </c>
      <c r="AE1407" t="inlineStr">
        <is>
          <t>WARREN CITY</t>
        </is>
      </c>
      <c r="AF1407" t="inlineStr">
        <is>
          <t>WARREN CITY SD</t>
        </is>
      </c>
      <c r="AH1407" t="n">
        <v>14</v>
      </c>
      <c r="AI1407" t="n">
        <v>11</v>
      </c>
      <c r="AN1407" t="inlineStr">
        <is>
          <t>WARREN</t>
        </is>
      </c>
      <c r="AO1407" t="inlineStr">
        <is>
          <t>WARREN CITY 4D</t>
        </is>
      </c>
      <c r="AP1407" t="inlineStr">
        <is>
          <t>78-P-ADL</t>
        </is>
      </c>
      <c r="AQ1407" t="n">
        <v>9</v>
      </c>
      <c r="AR1407" t="n">
        <v>64</v>
      </c>
      <c r="AS1407" t="n">
        <v>32</v>
      </c>
      <c r="AU1407">
        <f>COUNTA($BA$1407:$EH$1407)</f>
        <v/>
      </c>
      <c r="AV1407">
        <f>COUNTIF($BA$1407:$EH$1407,"D")</f>
        <v/>
      </c>
      <c r="AW1407">
        <f>COUNTIF($BA$1407:$EH$1407,"R")</f>
        <v/>
      </c>
      <c r="AX1407">
        <f>IF(BN1407="D",1,0)+IF(BO1407="D",1,0)+IF(BT1407="D",1,0)+IF(BU1407="D",1,0)+IF(BW1407="D",1,0)+IF(CC1407="D",1,0)+IF(CD1407="D",1,0)+IF(CE1407="D",1,0)+IF(CF1407="D",1,0)+IF(CL1407="D",1,0)+IF(CM1407="D",1,0)+IF(CQ1407="D",1,0)+IF(CR1407="D",1,0)+IF(CS1407="D",1,0)+IF(CW1407="D",1,0)+IF(CX1407="D",1,0)+IF(DD1407="D",1,0)+IF(DE1407="D",1,0)+IF(DJ1407="D",1,0)+IF(DK1407="D",1,0)+IF(DO1407="D",1,0)+IF(DP1407="D",1,0)+IF(DQ1407="D",1,0)+IF(DW1407="D",1,0)+IF(DZ1407="D",1,0)+IF(EH1407="D",1,0)</f>
        <v/>
      </c>
      <c r="AY1407">
        <f>IF(DJ1407&lt;&gt;"",1,0)+IF(DK1407&lt;&gt;"",1,0)+IF(DM1407&lt;&gt;"",1,0)+IF(DO1407&lt;&gt;"",1,0)+IF(DP1407&lt;&gt;"",1,0)+IF(DQ1407&lt;&gt;"",1,0)+IF(DS1407&lt;&gt;"",1,0)+IF(DT1407&lt;&gt;"",1,0)+IF(DV1407&lt;&gt;"",1,0)+IF(DW1407&lt;&gt;"",1,0)+IF(DX1407&lt;&gt;"",1,0)+IF(DY1407&lt;&gt;"",1,0)+IF(DZ1407&lt;&gt;"",1,0)+IF(EB1407&lt;&gt;"",1,0)+IF(EC1407&lt;&gt;"",1,0)+IF(ED1407&lt;&gt;"",1,0)+IF(EG1407&lt;&gt;"",1,0)+IF(EH1407&lt;&gt;"",1,0)</f>
        <v/>
      </c>
      <c r="AZ1407">
        <f>IF(EH1407&lt;&gt;"",1,0)</f>
        <v/>
      </c>
      <c r="BB1407" t="inlineStr">
        <is>
          <t>WARREN-WARD 4</t>
        </is>
      </c>
      <c r="DC1407" t="inlineStr">
        <is>
          <t>X</t>
        </is>
      </c>
    </row>
    <row r="1408">
      <c r="A1408" t="inlineStr">
        <is>
          <t>OH0027278078</t>
        </is>
      </c>
      <c r="B1408" t="n">
        <v>78</v>
      </c>
      <c r="C1408" t="n">
        <v>484211</v>
      </c>
      <c r="D1408" t="inlineStr">
        <is>
          <t>LOWERY</t>
        </is>
      </c>
      <c r="E1408" t="inlineStr">
        <is>
          <t>DAVID</t>
        </is>
      </c>
      <c r="F1408">
        <f>CONCATENATE(D1408," ",LEFT(H1408,4),"T=",AU1408,"D=",AV1408,"R=",AW1408,"M=",AX1408,"L=",AY1408,"B=",AZ1408)</f>
        <v/>
      </c>
      <c r="G1408" t="inlineStr">
        <is>
          <t>F</t>
        </is>
      </c>
      <c r="I1408" t="inlineStr">
        <is>
          <t>1961-03-04</t>
        </is>
      </c>
      <c r="J1408" t="inlineStr">
        <is>
          <t>2024-03-20</t>
        </is>
      </c>
      <c r="K1408" t="inlineStr">
        <is>
          <t>ACTIVE</t>
        </is>
      </c>
      <c r="M1408" t="inlineStr">
        <is>
          <t>622 BELMONT AVE NE</t>
        </is>
      </c>
      <c r="N1408">
        <f>RIGHT(M1408,LEN(M1408)-FIND(" ",M1408))</f>
        <v/>
      </c>
      <c r="P1408" t="inlineStr">
        <is>
          <t>WARREN</t>
        </is>
      </c>
      <c r="Q1408" t="inlineStr">
        <is>
          <t>OH</t>
        </is>
      </c>
      <c r="R1408" t="n">
        <v>44483</v>
      </c>
      <c r="AD1408" t="inlineStr">
        <is>
          <t>TRUMBULL CAREER &amp; TECH CENTER</t>
        </is>
      </c>
      <c r="AE1408" t="inlineStr">
        <is>
          <t>WARREN CITY</t>
        </is>
      </c>
      <c r="AF1408" t="inlineStr">
        <is>
          <t>WARREN CITY SD</t>
        </is>
      </c>
      <c r="AH1408" t="n">
        <v>14</v>
      </c>
      <c r="AI1408" t="n">
        <v>11</v>
      </c>
      <c r="AN1408" t="inlineStr">
        <is>
          <t>WARREN</t>
        </is>
      </c>
      <c r="AO1408" t="inlineStr">
        <is>
          <t>WARREN CITY 4D</t>
        </is>
      </c>
      <c r="AP1408" t="inlineStr">
        <is>
          <t>78-P-ADL</t>
        </is>
      </c>
      <c r="AQ1408" t="n">
        <v>9</v>
      </c>
      <c r="AR1408" t="n">
        <v>64</v>
      </c>
      <c r="AS1408" t="n">
        <v>32</v>
      </c>
      <c r="AU1408">
        <f>COUNTA($BA$1408:$EH$1408)</f>
        <v/>
      </c>
      <c r="AV1408">
        <f>COUNTIF($BA$1408:$EH$1408,"D")</f>
        <v/>
      </c>
      <c r="AW1408">
        <f>COUNTIF($BA$1408:$EH$1408,"R")</f>
        <v/>
      </c>
      <c r="AX1408">
        <f>IF(BN1408="D",1,0)+IF(BO1408="D",1,0)+IF(BT1408="D",1,0)+IF(BU1408="D",1,0)+IF(BW1408="D",1,0)+IF(CC1408="D",1,0)+IF(CD1408="D",1,0)+IF(CE1408="D",1,0)+IF(CF1408="D",1,0)+IF(CL1408="D",1,0)+IF(CM1408="D",1,0)+IF(CQ1408="D",1,0)+IF(CR1408="D",1,0)+IF(CS1408="D",1,0)+IF(CW1408="D",1,0)+IF(CX1408="D",1,0)+IF(DD1408="D",1,0)+IF(DE1408="D",1,0)+IF(DJ1408="D",1,0)+IF(DK1408="D",1,0)+IF(DO1408="D",1,0)+IF(DP1408="D",1,0)+IF(DQ1408="D",1,0)+IF(DW1408="D",1,0)+IF(DZ1408="D",1,0)+IF(EH1408="D",1,0)</f>
        <v/>
      </c>
      <c r="AY1408">
        <f>IF(DJ1408&lt;&gt;"",1,0)+IF(DK1408&lt;&gt;"",1,0)+IF(DM1408&lt;&gt;"",1,0)+IF(DO1408&lt;&gt;"",1,0)+IF(DP1408&lt;&gt;"",1,0)+IF(DQ1408&lt;&gt;"",1,0)+IF(DS1408&lt;&gt;"",1,0)+IF(DT1408&lt;&gt;"",1,0)+IF(DV1408&lt;&gt;"",1,0)+IF(DW1408&lt;&gt;"",1,0)+IF(DX1408&lt;&gt;"",1,0)+IF(DY1408&lt;&gt;"",1,0)+IF(DZ1408&lt;&gt;"",1,0)+IF(EB1408&lt;&gt;"",1,0)+IF(EC1408&lt;&gt;"",1,0)+IF(ED1408&lt;&gt;"",1,0)+IF(EG1408&lt;&gt;"",1,0)+IF(EH1408&lt;&gt;"",1,0)</f>
        <v/>
      </c>
      <c r="AZ1408">
        <f>IF(EH1408&lt;&gt;"",1,0)</f>
        <v/>
      </c>
      <c r="BB1408" t="inlineStr">
        <is>
          <t>WARREN-WARD 4</t>
        </is>
      </c>
      <c r="EF1408" t="inlineStr">
        <is>
          <t>X</t>
        </is>
      </c>
    </row>
    <row r="1409">
      <c r="A1409" t="inlineStr">
        <is>
          <t>OH0021884757</t>
        </is>
      </c>
      <c r="B1409" t="n">
        <v>78</v>
      </c>
      <c r="C1409" t="n">
        <v>388808</v>
      </c>
      <c r="D1409" t="inlineStr">
        <is>
          <t>MONMIRTH</t>
        </is>
      </c>
      <c r="E1409" t="inlineStr">
        <is>
          <t>MARTHA</t>
        </is>
      </c>
      <c r="F1409">
        <f>CONCATENATE(D1409," ",LEFT(H1409,4),"T=",AU1409,"D=",AV1409,"R=",AW1409,"M=",AX1409,"L=",AY1409,"B=",AZ1409)</f>
        <v/>
      </c>
      <c r="G1409" t="inlineStr">
        <is>
          <t>J</t>
        </is>
      </c>
      <c r="I1409" t="inlineStr">
        <is>
          <t>1932-11-03</t>
        </is>
      </c>
      <c r="J1409" t="inlineStr">
        <is>
          <t>2012-08-09</t>
        </is>
      </c>
      <c r="K1409" t="inlineStr">
        <is>
          <t>ACTIVE</t>
        </is>
      </c>
      <c r="L1409" t="inlineStr">
        <is>
          <t>R</t>
        </is>
      </c>
      <c r="M1409" t="inlineStr">
        <is>
          <t>1004 WOODLAND AVE NE</t>
        </is>
      </c>
      <c r="N1409">
        <f>RIGHT(M1409,LEN(M1409)-FIND(" ",M1409))</f>
        <v/>
      </c>
      <c r="P1409" t="inlineStr">
        <is>
          <t>WARREN</t>
        </is>
      </c>
      <c r="Q1409" t="inlineStr">
        <is>
          <t>OH</t>
        </is>
      </c>
      <c r="R1409" t="n">
        <v>44483</v>
      </c>
      <c r="AD1409" t="inlineStr">
        <is>
          <t>TRUMBULL CAREER &amp; TECH CENTER</t>
        </is>
      </c>
      <c r="AE1409" t="inlineStr">
        <is>
          <t>WARREN CITY</t>
        </is>
      </c>
      <c r="AF1409" t="inlineStr">
        <is>
          <t>WARREN CITY SD</t>
        </is>
      </c>
      <c r="AH1409" t="n">
        <v>14</v>
      </c>
      <c r="AI1409" t="n">
        <v>11</v>
      </c>
      <c r="AN1409" t="inlineStr">
        <is>
          <t>WARREN</t>
        </is>
      </c>
      <c r="AO1409" t="inlineStr">
        <is>
          <t>WARREN CITY 4D</t>
        </is>
      </c>
      <c r="AP1409" t="inlineStr">
        <is>
          <t>78-P-ADL</t>
        </is>
      </c>
      <c r="AQ1409" t="n">
        <v>9</v>
      </c>
      <c r="AR1409" t="n">
        <v>64</v>
      </c>
      <c r="AS1409" t="n">
        <v>32</v>
      </c>
      <c r="AU1409">
        <f>COUNTA($BA$1409:$EH$1409)</f>
        <v/>
      </c>
      <c r="AV1409">
        <f>COUNTIF($BA$1409:$EH$1409,"D")</f>
        <v/>
      </c>
      <c r="AW1409">
        <f>COUNTIF($BA$1409:$EH$1409,"R")</f>
        <v/>
      </c>
      <c r="AX1409">
        <f>IF(BN1409="D",1,0)+IF(BO1409="D",1,0)+IF(BT1409="D",1,0)+IF(BU1409="D",1,0)+IF(BW1409="D",1,0)+IF(CC1409="D",1,0)+IF(CD1409="D",1,0)+IF(CE1409="D",1,0)+IF(CF1409="D",1,0)+IF(CL1409="D",1,0)+IF(CM1409="D",1,0)+IF(CQ1409="D",1,0)+IF(CR1409="D",1,0)+IF(CS1409="D",1,0)+IF(CW1409="D",1,0)+IF(CX1409="D",1,0)+IF(DD1409="D",1,0)+IF(DE1409="D",1,0)+IF(DJ1409="D",1,0)+IF(DK1409="D",1,0)+IF(DO1409="D",1,0)+IF(DP1409="D",1,0)+IF(DQ1409="D",1,0)+IF(DW1409="D",1,0)+IF(DZ1409="D",1,0)+IF(EH1409="D",1,0)</f>
        <v/>
      </c>
      <c r="AY1409">
        <f>IF(DJ1409&lt;&gt;"",1,0)+IF(DK1409&lt;&gt;"",1,0)+IF(DM1409&lt;&gt;"",1,0)+IF(DO1409&lt;&gt;"",1,0)+IF(DP1409&lt;&gt;"",1,0)+IF(DQ1409&lt;&gt;"",1,0)+IF(DS1409&lt;&gt;"",1,0)+IF(DT1409&lt;&gt;"",1,0)+IF(DV1409&lt;&gt;"",1,0)+IF(DW1409&lt;&gt;"",1,0)+IF(DX1409&lt;&gt;"",1,0)+IF(DY1409&lt;&gt;"",1,0)+IF(DZ1409&lt;&gt;"",1,0)+IF(EB1409&lt;&gt;"",1,0)+IF(EC1409&lt;&gt;"",1,0)+IF(ED1409&lt;&gt;"",1,0)+IF(EG1409&lt;&gt;"",1,0)+IF(EH1409&lt;&gt;"",1,0)</f>
        <v/>
      </c>
      <c r="AZ1409">
        <f>IF(EH1409&lt;&gt;"",1,0)</f>
        <v/>
      </c>
      <c r="BB1409" t="inlineStr">
        <is>
          <t>WARREN-WARD 4</t>
        </is>
      </c>
      <c r="CP1409" t="inlineStr">
        <is>
          <t>X</t>
        </is>
      </c>
      <c r="CV1409" t="inlineStr">
        <is>
          <t>X</t>
        </is>
      </c>
      <c r="CY1409" t="inlineStr">
        <is>
          <t>X</t>
        </is>
      </c>
      <c r="CZ1409" t="inlineStr">
        <is>
          <t>R</t>
        </is>
      </c>
      <c r="DC1409" t="inlineStr">
        <is>
          <t>X</t>
        </is>
      </c>
      <c r="DF1409" t="inlineStr">
        <is>
          <t>X</t>
        </is>
      </c>
      <c r="DG1409" t="inlineStr">
        <is>
          <t>R</t>
        </is>
      </c>
      <c r="DI1409" t="inlineStr">
        <is>
          <t>X</t>
        </is>
      </c>
      <c r="DL1409" t="inlineStr">
        <is>
          <t>X</t>
        </is>
      </c>
      <c r="DM1409" t="inlineStr">
        <is>
          <t>R</t>
        </is>
      </c>
      <c r="DN1409" t="inlineStr">
        <is>
          <t>X</t>
        </is>
      </c>
      <c r="DS1409" t="inlineStr">
        <is>
          <t>R</t>
        </is>
      </c>
      <c r="DT1409" t="inlineStr">
        <is>
          <t>R</t>
        </is>
      </c>
      <c r="DU1409" t="inlineStr">
        <is>
          <t>X</t>
        </is>
      </c>
      <c r="DW1409" t="inlineStr">
        <is>
          <t>X</t>
        </is>
      </c>
      <c r="DX1409" t="inlineStr">
        <is>
          <t>X</t>
        </is>
      </c>
      <c r="EA1409" t="inlineStr">
        <is>
          <t>X</t>
        </is>
      </c>
      <c r="ED1409" t="inlineStr">
        <is>
          <t>R</t>
        </is>
      </c>
      <c r="EF1409" t="inlineStr">
        <is>
          <t>X</t>
        </is>
      </c>
    </row>
    <row r="1410">
      <c r="A1410" t="inlineStr">
        <is>
          <t>OH0027350582</t>
        </is>
      </c>
      <c r="B1410" t="n">
        <v>78</v>
      </c>
      <c r="C1410" t="n">
        <v>484989</v>
      </c>
      <c r="D1410" t="inlineStr">
        <is>
          <t>SILIANO</t>
        </is>
      </c>
      <c r="E1410" t="inlineStr">
        <is>
          <t>JOSEPH</t>
        </is>
      </c>
      <c r="F1410">
        <f>CONCATENATE(D1410," ",LEFT(H1410,4),"T=",AU1410,"D=",AV1410,"R=",AW1410,"M=",AX1410,"L=",AY1410,"B=",AZ1410)</f>
        <v/>
      </c>
      <c r="G1410" t="inlineStr">
        <is>
          <t>JEREMIAH</t>
        </is>
      </c>
      <c r="I1410" t="inlineStr">
        <is>
          <t>2003-05-08</t>
        </is>
      </c>
      <c r="J1410" t="inlineStr">
        <is>
          <t>2024-05-06</t>
        </is>
      </c>
      <c r="K1410" t="inlineStr">
        <is>
          <t>ACTIVE</t>
        </is>
      </c>
      <c r="M1410" t="inlineStr">
        <is>
          <t>200 WASHINGTON ST NE</t>
        </is>
      </c>
      <c r="N1410">
        <f>RIGHT(M1410,LEN(M1410)-FIND(" ",M1410))</f>
        <v/>
      </c>
      <c r="O1410" t="inlineStr">
        <is>
          <t>APT 11</t>
        </is>
      </c>
      <c r="P1410" t="inlineStr">
        <is>
          <t>WARREN</t>
        </is>
      </c>
      <c r="Q1410" t="inlineStr">
        <is>
          <t>OH</t>
        </is>
      </c>
      <c r="R1410" t="n">
        <v>44483</v>
      </c>
      <c r="S1410" t="n">
        <v>4958</v>
      </c>
      <c r="AD1410" t="inlineStr">
        <is>
          <t>TRUMBULL CAREER &amp; TECH CENTER</t>
        </is>
      </c>
      <c r="AE1410" t="inlineStr">
        <is>
          <t>WARREN CITY</t>
        </is>
      </c>
      <c r="AF1410" t="inlineStr">
        <is>
          <t>WARREN CITY SD</t>
        </is>
      </c>
      <c r="AH1410" t="n">
        <v>14</v>
      </c>
      <c r="AI1410" t="n">
        <v>11</v>
      </c>
      <c r="AN1410" t="inlineStr">
        <is>
          <t>WARREN</t>
        </is>
      </c>
      <c r="AO1410" t="inlineStr">
        <is>
          <t>WARREN CITY 4D</t>
        </is>
      </c>
      <c r="AP1410" t="inlineStr">
        <is>
          <t>78-P-ADL</t>
        </is>
      </c>
      <c r="AQ1410" t="n">
        <v>9</v>
      </c>
      <c r="AR1410" t="n">
        <v>64</v>
      </c>
      <c r="AS1410" t="n">
        <v>32</v>
      </c>
      <c r="AU1410">
        <f>COUNTA($BA$1410:$EH$1410)</f>
        <v/>
      </c>
      <c r="AV1410">
        <f>COUNTIF($BA$1410:$EH$1410,"D")</f>
        <v/>
      </c>
      <c r="AW1410">
        <f>COUNTIF($BA$1410:$EH$1410,"R")</f>
        <v/>
      </c>
      <c r="AX1410">
        <f>IF(BN1410="D",1,0)+IF(BO1410="D",1,0)+IF(BT1410="D",1,0)+IF(BU1410="D",1,0)+IF(BW1410="D",1,0)+IF(CC1410="D",1,0)+IF(CD1410="D",1,0)+IF(CE1410="D",1,0)+IF(CF1410="D",1,0)+IF(CL1410="D",1,0)+IF(CM1410="D",1,0)+IF(CQ1410="D",1,0)+IF(CR1410="D",1,0)+IF(CS1410="D",1,0)+IF(CW1410="D",1,0)+IF(CX1410="D",1,0)+IF(DD1410="D",1,0)+IF(DE1410="D",1,0)+IF(DJ1410="D",1,0)+IF(DK1410="D",1,0)+IF(DO1410="D",1,0)+IF(DP1410="D",1,0)+IF(DQ1410="D",1,0)+IF(DW1410="D",1,0)+IF(DZ1410="D",1,0)+IF(EH1410="D",1,0)</f>
        <v/>
      </c>
      <c r="AY1410">
        <f>IF(DJ1410&lt;&gt;"",1,0)+IF(DK1410&lt;&gt;"",1,0)+IF(DM1410&lt;&gt;"",1,0)+IF(DO1410&lt;&gt;"",1,0)+IF(DP1410&lt;&gt;"",1,0)+IF(DQ1410&lt;&gt;"",1,0)+IF(DS1410&lt;&gt;"",1,0)+IF(DT1410&lt;&gt;"",1,0)+IF(DV1410&lt;&gt;"",1,0)+IF(DW1410&lt;&gt;"",1,0)+IF(DX1410&lt;&gt;"",1,0)+IF(DY1410&lt;&gt;"",1,0)+IF(DZ1410&lt;&gt;"",1,0)+IF(EB1410&lt;&gt;"",1,0)+IF(EC1410&lt;&gt;"",1,0)+IF(ED1410&lt;&gt;"",1,0)+IF(EG1410&lt;&gt;"",1,0)+IF(EH1410&lt;&gt;"",1,0)</f>
        <v/>
      </c>
      <c r="AZ1410">
        <f>IF(EH1410&lt;&gt;"",1,0)</f>
        <v/>
      </c>
      <c r="BB1410" t="inlineStr">
        <is>
          <t>WARREN-WARD 4</t>
        </is>
      </c>
    </row>
    <row r="1411">
      <c r="A1411" t="inlineStr">
        <is>
          <t>OH0025536333</t>
        </is>
      </c>
      <c r="B1411" t="n">
        <v>78</v>
      </c>
      <c r="C1411" t="n">
        <v>445601</v>
      </c>
      <c r="D1411" t="inlineStr">
        <is>
          <t>FLETCHER</t>
        </is>
      </c>
      <c r="E1411" t="inlineStr">
        <is>
          <t>MELISSA</t>
        </is>
      </c>
      <c r="F1411">
        <f>CONCATENATE(D1411," ",LEFT(H1411,4),"T=",AU1411,"D=",AV1411,"R=",AW1411,"M=",AX1411,"L=",AY1411,"B=",AZ1411)</f>
        <v/>
      </c>
      <c r="G1411" t="inlineStr">
        <is>
          <t>D</t>
        </is>
      </c>
      <c r="I1411" t="inlineStr">
        <is>
          <t>1992-12-18</t>
        </is>
      </c>
      <c r="J1411" t="inlineStr">
        <is>
          <t>2024-08-21</t>
        </is>
      </c>
      <c r="K1411" t="inlineStr">
        <is>
          <t>ACTIVE</t>
        </is>
      </c>
      <c r="M1411" t="inlineStr">
        <is>
          <t>300 SCOTT ST NE</t>
        </is>
      </c>
      <c r="N1411">
        <f>RIGHT(M1411,LEN(M1411)-FIND(" ",M1411))</f>
        <v/>
      </c>
      <c r="O1411" t="inlineStr">
        <is>
          <t>APT 4</t>
        </is>
      </c>
      <c r="P1411" t="inlineStr">
        <is>
          <t>WARREN</t>
        </is>
      </c>
      <c r="Q1411" t="inlineStr">
        <is>
          <t>OH</t>
        </is>
      </c>
      <c r="R1411" t="n">
        <v>44483</v>
      </c>
      <c r="AD1411" t="inlineStr">
        <is>
          <t>TRUMBULL CAREER &amp; TECH CENTER</t>
        </is>
      </c>
      <c r="AE1411" t="inlineStr">
        <is>
          <t>WARREN CITY</t>
        </is>
      </c>
      <c r="AF1411" t="inlineStr">
        <is>
          <t>WARREN CITY SD</t>
        </is>
      </c>
      <c r="AH1411" t="n">
        <v>14</v>
      </c>
      <c r="AI1411" t="n">
        <v>11</v>
      </c>
      <c r="AN1411" t="inlineStr">
        <is>
          <t>WARREN</t>
        </is>
      </c>
      <c r="AO1411" t="inlineStr">
        <is>
          <t>WARREN CITY 4D</t>
        </is>
      </c>
      <c r="AP1411" t="inlineStr">
        <is>
          <t>78-P-ADL</t>
        </is>
      </c>
      <c r="AQ1411" t="n">
        <v>9</v>
      </c>
      <c r="AR1411" t="n">
        <v>64</v>
      </c>
      <c r="AS1411" t="n">
        <v>32</v>
      </c>
      <c r="AU1411">
        <f>COUNTA($BA$1411:$EH$1411)</f>
        <v/>
      </c>
      <c r="AV1411">
        <f>COUNTIF($BA$1411:$EH$1411,"D")</f>
        <v/>
      </c>
      <c r="AW1411">
        <f>COUNTIF($BA$1411:$EH$1411,"R")</f>
        <v/>
      </c>
      <c r="AX1411">
        <f>IF(BN1411="D",1,0)+IF(BO1411="D",1,0)+IF(BT1411="D",1,0)+IF(BU1411="D",1,0)+IF(BW1411="D",1,0)+IF(CC1411="D",1,0)+IF(CD1411="D",1,0)+IF(CE1411="D",1,0)+IF(CF1411="D",1,0)+IF(CL1411="D",1,0)+IF(CM1411="D",1,0)+IF(CQ1411="D",1,0)+IF(CR1411="D",1,0)+IF(CS1411="D",1,0)+IF(CW1411="D",1,0)+IF(CX1411="D",1,0)+IF(DD1411="D",1,0)+IF(DE1411="D",1,0)+IF(DJ1411="D",1,0)+IF(DK1411="D",1,0)+IF(DO1411="D",1,0)+IF(DP1411="D",1,0)+IF(DQ1411="D",1,0)+IF(DW1411="D",1,0)+IF(DZ1411="D",1,0)+IF(EH1411="D",1,0)</f>
        <v/>
      </c>
      <c r="AY1411">
        <f>IF(DJ1411&lt;&gt;"",1,0)+IF(DK1411&lt;&gt;"",1,0)+IF(DM1411&lt;&gt;"",1,0)+IF(DO1411&lt;&gt;"",1,0)+IF(DP1411&lt;&gt;"",1,0)+IF(DQ1411&lt;&gt;"",1,0)+IF(DS1411&lt;&gt;"",1,0)+IF(DT1411&lt;&gt;"",1,0)+IF(DV1411&lt;&gt;"",1,0)+IF(DW1411&lt;&gt;"",1,0)+IF(DX1411&lt;&gt;"",1,0)+IF(DY1411&lt;&gt;"",1,0)+IF(DZ1411&lt;&gt;"",1,0)+IF(EB1411&lt;&gt;"",1,0)+IF(EC1411&lt;&gt;"",1,0)+IF(ED1411&lt;&gt;"",1,0)+IF(EG1411&lt;&gt;"",1,0)+IF(EH1411&lt;&gt;"",1,0)</f>
        <v/>
      </c>
      <c r="AZ1411">
        <f>IF(EH1411&lt;&gt;"",1,0)</f>
        <v/>
      </c>
      <c r="BB1411" t="inlineStr">
        <is>
          <t>WARREN-WARD 4</t>
        </is>
      </c>
    </row>
    <row r="1412">
      <c r="A1412" t="inlineStr">
        <is>
          <t>OH0015757632</t>
        </is>
      </c>
      <c r="B1412" t="n">
        <v>78</v>
      </c>
      <c r="C1412" t="n">
        <v>314594</v>
      </c>
      <c r="D1412" t="inlineStr">
        <is>
          <t>MCMILLIAN</t>
        </is>
      </c>
      <c r="E1412" t="inlineStr">
        <is>
          <t>LACARLA</t>
        </is>
      </c>
      <c r="F1412">
        <f>CONCATENATE(D1412," ",LEFT(H1412,4),"T=",AU1412,"D=",AV1412,"R=",AW1412,"M=",AX1412,"L=",AY1412,"B=",AZ1412)</f>
        <v/>
      </c>
      <c r="G1412" t="inlineStr">
        <is>
          <t>D</t>
        </is>
      </c>
      <c r="I1412" t="inlineStr">
        <is>
          <t>1985-01-15</t>
        </is>
      </c>
      <c r="J1412" t="inlineStr">
        <is>
          <t>2024-10-05</t>
        </is>
      </c>
      <c r="K1412" t="inlineStr">
        <is>
          <t>ACTIVE</t>
        </is>
      </c>
      <c r="M1412" t="inlineStr">
        <is>
          <t>191 LINDEN AVE NE</t>
        </is>
      </c>
      <c r="N1412">
        <f>RIGHT(M1412,LEN(M1412)-FIND(" ",M1412))</f>
        <v/>
      </c>
      <c r="P1412" t="inlineStr">
        <is>
          <t>WARREN</t>
        </is>
      </c>
      <c r="Q1412" t="inlineStr">
        <is>
          <t>OH</t>
        </is>
      </c>
      <c r="R1412" t="n">
        <v>44483</v>
      </c>
      <c r="AD1412" t="inlineStr">
        <is>
          <t>TRUMBULL CAREER &amp; TECH CENTER</t>
        </is>
      </c>
      <c r="AE1412" t="inlineStr">
        <is>
          <t>WARREN CITY</t>
        </is>
      </c>
      <c r="AF1412" t="inlineStr">
        <is>
          <t>WARREN CITY SD</t>
        </is>
      </c>
      <c r="AH1412" t="n">
        <v>14</v>
      </c>
      <c r="AI1412" t="n">
        <v>11</v>
      </c>
      <c r="AN1412" t="inlineStr">
        <is>
          <t>WARREN</t>
        </is>
      </c>
      <c r="AO1412" t="inlineStr">
        <is>
          <t>WARREN CITY 4D</t>
        </is>
      </c>
      <c r="AP1412" t="inlineStr">
        <is>
          <t>78-P-ADL</t>
        </is>
      </c>
      <c r="AQ1412" t="n">
        <v>9</v>
      </c>
      <c r="AR1412" t="n">
        <v>64</v>
      </c>
      <c r="AS1412" t="n">
        <v>32</v>
      </c>
      <c r="AU1412">
        <f>COUNTA($BA$1412:$EH$1412)</f>
        <v/>
      </c>
      <c r="AV1412">
        <f>COUNTIF($BA$1412:$EH$1412,"D")</f>
        <v/>
      </c>
      <c r="AW1412">
        <f>COUNTIF($BA$1412:$EH$1412,"R")</f>
        <v/>
      </c>
      <c r="AX1412">
        <f>IF(BN1412="D",1,0)+IF(BO1412="D",1,0)+IF(BT1412="D",1,0)+IF(BU1412="D",1,0)+IF(BW1412="D",1,0)+IF(CC1412="D",1,0)+IF(CD1412="D",1,0)+IF(CE1412="D",1,0)+IF(CF1412="D",1,0)+IF(CL1412="D",1,0)+IF(CM1412="D",1,0)+IF(CQ1412="D",1,0)+IF(CR1412="D",1,0)+IF(CS1412="D",1,0)+IF(CW1412="D",1,0)+IF(CX1412="D",1,0)+IF(DD1412="D",1,0)+IF(DE1412="D",1,0)+IF(DJ1412="D",1,0)+IF(DK1412="D",1,0)+IF(DO1412="D",1,0)+IF(DP1412="D",1,0)+IF(DQ1412="D",1,0)+IF(DW1412="D",1,0)+IF(DZ1412="D",1,0)+IF(EH1412="D",1,0)</f>
        <v/>
      </c>
      <c r="AY1412">
        <f>IF(DJ1412&lt;&gt;"",1,0)+IF(DK1412&lt;&gt;"",1,0)+IF(DM1412&lt;&gt;"",1,0)+IF(DO1412&lt;&gt;"",1,0)+IF(DP1412&lt;&gt;"",1,0)+IF(DQ1412&lt;&gt;"",1,0)+IF(DS1412&lt;&gt;"",1,0)+IF(DT1412&lt;&gt;"",1,0)+IF(DV1412&lt;&gt;"",1,0)+IF(DW1412&lt;&gt;"",1,0)+IF(DX1412&lt;&gt;"",1,0)+IF(DY1412&lt;&gt;"",1,0)+IF(DZ1412&lt;&gt;"",1,0)+IF(EB1412&lt;&gt;"",1,0)+IF(EC1412&lt;&gt;"",1,0)+IF(ED1412&lt;&gt;"",1,0)+IF(EG1412&lt;&gt;"",1,0)+IF(EH1412&lt;&gt;"",1,0)</f>
        <v/>
      </c>
      <c r="AZ1412">
        <f>IF(EH1412&lt;&gt;"",1,0)</f>
        <v/>
      </c>
      <c r="BB1412" t="inlineStr">
        <is>
          <t>WARREN-WARD 4</t>
        </is>
      </c>
      <c r="BK1412" t="inlineStr">
        <is>
          <t>X</t>
        </is>
      </c>
      <c r="BL1412" t="inlineStr">
        <is>
          <t>X</t>
        </is>
      </c>
      <c r="BP1412" t="inlineStr">
        <is>
          <t>X</t>
        </is>
      </c>
      <c r="CK1412" t="inlineStr">
        <is>
          <t>X</t>
        </is>
      </c>
      <c r="CN1412" t="inlineStr">
        <is>
          <t>X</t>
        </is>
      </c>
      <c r="CP1412" t="inlineStr">
        <is>
          <t>X</t>
        </is>
      </c>
      <c r="DC1412" t="inlineStr">
        <is>
          <t>X</t>
        </is>
      </c>
      <c r="DI1412" t="inlineStr">
        <is>
          <t>X</t>
        </is>
      </c>
      <c r="DN1412" t="inlineStr">
        <is>
          <t>X</t>
        </is>
      </c>
      <c r="DU1412" t="inlineStr">
        <is>
          <t>X</t>
        </is>
      </c>
      <c r="EF1412" t="inlineStr">
        <is>
          <t>X</t>
        </is>
      </c>
    </row>
    <row r="1413">
      <c r="A1413" t="inlineStr">
        <is>
          <t>OH0027043407</t>
        </is>
      </c>
      <c r="B1413" t="n">
        <v>78</v>
      </c>
      <c r="C1413" t="n">
        <v>476249</v>
      </c>
      <c r="D1413" t="inlineStr">
        <is>
          <t>DORSEY</t>
        </is>
      </c>
      <c r="E1413" t="inlineStr">
        <is>
          <t>CURTIS</t>
        </is>
      </c>
      <c r="F1413">
        <f>CONCATENATE(D1413," ",LEFT(H1413,4),"T=",AU1413,"D=",AV1413,"R=",AW1413,"M=",AX1413,"L=",AY1413,"B=",AZ1413)</f>
        <v/>
      </c>
      <c r="G1413" t="inlineStr">
        <is>
          <t>CORTEZ</t>
        </is>
      </c>
      <c r="H1413" t="inlineStr">
        <is>
          <t>JR</t>
        </is>
      </c>
      <c r="I1413" t="inlineStr">
        <is>
          <t>2005-08-03</t>
        </is>
      </c>
      <c r="J1413" t="inlineStr">
        <is>
          <t>2024-05-22</t>
        </is>
      </c>
      <c r="K1413" t="inlineStr">
        <is>
          <t>ACTIVE</t>
        </is>
      </c>
      <c r="M1413" t="inlineStr">
        <is>
          <t>438 PORTER ST NE</t>
        </is>
      </c>
      <c r="N1413">
        <f>RIGHT(M1413,LEN(M1413)-FIND(" ",M1413))</f>
        <v/>
      </c>
      <c r="P1413" t="inlineStr">
        <is>
          <t>WARREN</t>
        </is>
      </c>
      <c r="Q1413" t="inlineStr">
        <is>
          <t>OH</t>
        </is>
      </c>
      <c r="R1413" t="n">
        <v>44483</v>
      </c>
      <c r="AD1413" t="inlineStr">
        <is>
          <t>TRUMBULL CAREER &amp; TECH CENTER</t>
        </is>
      </c>
      <c r="AE1413" t="inlineStr">
        <is>
          <t>WARREN CITY</t>
        </is>
      </c>
      <c r="AF1413" t="inlineStr">
        <is>
          <t>WARREN CITY SD</t>
        </is>
      </c>
      <c r="AH1413" t="n">
        <v>14</v>
      </c>
      <c r="AI1413" t="n">
        <v>11</v>
      </c>
      <c r="AN1413" t="inlineStr">
        <is>
          <t>WARREN</t>
        </is>
      </c>
      <c r="AO1413" t="inlineStr">
        <is>
          <t>WARREN CITY 4D</t>
        </is>
      </c>
      <c r="AP1413" t="inlineStr">
        <is>
          <t>78-P-ADL</t>
        </is>
      </c>
      <c r="AQ1413" t="n">
        <v>9</v>
      </c>
      <c r="AR1413" t="n">
        <v>64</v>
      </c>
      <c r="AS1413" t="n">
        <v>32</v>
      </c>
      <c r="AU1413">
        <f>COUNTA($BA$1413:$EH$1413)</f>
        <v/>
      </c>
      <c r="AV1413">
        <f>COUNTIF($BA$1413:$EH$1413,"D")</f>
        <v/>
      </c>
      <c r="AW1413">
        <f>COUNTIF($BA$1413:$EH$1413,"R")</f>
        <v/>
      </c>
      <c r="AX1413">
        <f>IF(BN1413="D",1,0)+IF(BO1413="D",1,0)+IF(BT1413="D",1,0)+IF(BU1413="D",1,0)+IF(BW1413="D",1,0)+IF(CC1413="D",1,0)+IF(CD1413="D",1,0)+IF(CE1413="D",1,0)+IF(CF1413="D",1,0)+IF(CL1413="D",1,0)+IF(CM1413="D",1,0)+IF(CQ1413="D",1,0)+IF(CR1413="D",1,0)+IF(CS1413="D",1,0)+IF(CW1413="D",1,0)+IF(CX1413="D",1,0)+IF(DD1413="D",1,0)+IF(DE1413="D",1,0)+IF(DJ1413="D",1,0)+IF(DK1413="D",1,0)+IF(DO1413="D",1,0)+IF(DP1413="D",1,0)+IF(DQ1413="D",1,0)+IF(DW1413="D",1,0)+IF(DZ1413="D",1,0)+IF(EH1413="D",1,0)</f>
        <v/>
      </c>
      <c r="AY1413">
        <f>IF(DJ1413&lt;&gt;"",1,0)+IF(DK1413&lt;&gt;"",1,0)+IF(DM1413&lt;&gt;"",1,0)+IF(DO1413&lt;&gt;"",1,0)+IF(DP1413&lt;&gt;"",1,0)+IF(DQ1413&lt;&gt;"",1,0)+IF(DS1413&lt;&gt;"",1,0)+IF(DT1413&lt;&gt;"",1,0)+IF(DV1413&lt;&gt;"",1,0)+IF(DW1413&lt;&gt;"",1,0)+IF(DX1413&lt;&gt;"",1,0)+IF(DY1413&lt;&gt;"",1,0)+IF(DZ1413&lt;&gt;"",1,0)+IF(EB1413&lt;&gt;"",1,0)+IF(EC1413&lt;&gt;"",1,0)+IF(ED1413&lt;&gt;"",1,0)+IF(EG1413&lt;&gt;"",1,0)+IF(EH1413&lt;&gt;"",1,0)</f>
        <v/>
      </c>
      <c r="AZ1413">
        <f>IF(EH1413&lt;&gt;"",1,0)</f>
        <v/>
      </c>
      <c r="BB1413" t="inlineStr">
        <is>
          <t>WARREN-WARD 4</t>
        </is>
      </c>
    </row>
    <row r="1414">
      <c r="A1414" t="inlineStr">
        <is>
          <t>OH0024503788</t>
        </is>
      </c>
      <c r="B1414" t="n">
        <v>78</v>
      </c>
      <c r="C1414" t="n">
        <v>429409</v>
      </c>
      <c r="D1414" t="inlineStr">
        <is>
          <t>ALEXANDER</t>
        </is>
      </c>
      <c r="E1414" t="inlineStr">
        <is>
          <t>SHANNON</t>
        </is>
      </c>
      <c r="F1414">
        <f>CONCATENATE(D1414," ",LEFT(H1414,4),"T=",AU1414,"D=",AV1414,"R=",AW1414,"M=",AX1414,"L=",AY1414,"B=",AZ1414)</f>
        <v/>
      </c>
      <c r="G1414" t="inlineStr">
        <is>
          <t>MICHELE</t>
        </is>
      </c>
      <c r="I1414" t="inlineStr">
        <is>
          <t>1982-01-25</t>
        </is>
      </c>
      <c r="J1414" t="inlineStr">
        <is>
          <t>2018-02-08</t>
        </is>
      </c>
      <c r="K1414" t="inlineStr">
        <is>
          <t>CONFIRMATION</t>
        </is>
      </c>
      <c r="M1414" t="inlineStr">
        <is>
          <t>124 LOGAN AVE NE</t>
        </is>
      </c>
      <c r="N1414">
        <f>RIGHT(M1414,LEN(M1414)-FIND(" ",M1414))</f>
        <v/>
      </c>
      <c r="O1414" t="inlineStr">
        <is>
          <t>APT B</t>
        </is>
      </c>
      <c r="P1414" t="inlineStr">
        <is>
          <t>WARREN</t>
        </is>
      </c>
      <c r="Q1414" t="inlineStr">
        <is>
          <t>OH</t>
        </is>
      </c>
      <c r="R1414" t="n">
        <v>44483</v>
      </c>
      <c r="AD1414" t="inlineStr">
        <is>
          <t>TRUMBULL CAREER &amp; TECH CENTER</t>
        </is>
      </c>
      <c r="AE1414" t="inlineStr">
        <is>
          <t>WARREN CITY</t>
        </is>
      </c>
      <c r="AF1414" t="inlineStr">
        <is>
          <t>WARREN CITY SD</t>
        </is>
      </c>
      <c r="AH1414" t="n">
        <v>14</v>
      </c>
      <c r="AI1414" t="n">
        <v>11</v>
      </c>
      <c r="AN1414" t="inlineStr">
        <is>
          <t>WARREN</t>
        </is>
      </c>
      <c r="AO1414" t="inlineStr">
        <is>
          <t>WARREN CITY 4D</t>
        </is>
      </c>
      <c r="AP1414" t="inlineStr">
        <is>
          <t>78-P-ADL</t>
        </is>
      </c>
      <c r="AQ1414" t="n">
        <v>9</v>
      </c>
      <c r="AR1414" t="n">
        <v>64</v>
      </c>
      <c r="AS1414" t="n">
        <v>32</v>
      </c>
      <c r="AU1414">
        <f>COUNTA($BA$1414:$EH$1414)</f>
        <v/>
      </c>
      <c r="AV1414">
        <f>COUNTIF($BA$1414:$EH$1414,"D")</f>
        <v/>
      </c>
      <c r="AW1414">
        <f>COUNTIF($BA$1414:$EH$1414,"R")</f>
        <v/>
      </c>
      <c r="AX1414">
        <f>IF(BN1414="D",1,0)+IF(BO1414="D",1,0)+IF(BT1414="D",1,0)+IF(BU1414="D",1,0)+IF(BW1414="D",1,0)+IF(CC1414="D",1,0)+IF(CD1414="D",1,0)+IF(CE1414="D",1,0)+IF(CF1414="D",1,0)+IF(CL1414="D",1,0)+IF(CM1414="D",1,0)+IF(CQ1414="D",1,0)+IF(CR1414="D",1,0)+IF(CS1414="D",1,0)+IF(CW1414="D",1,0)+IF(CX1414="D",1,0)+IF(DD1414="D",1,0)+IF(DE1414="D",1,0)+IF(DJ1414="D",1,0)+IF(DK1414="D",1,0)+IF(DO1414="D",1,0)+IF(DP1414="D",1,0)+IF(DQ1414="D",1,0)+IF(DW1414="D",1,0)+IF(DZ1414="D",1,0)+IF(EH1414="D",1,0)</f>
        <v/>
      </c>
      <c r="AY1414">
        <f>IF(DJ1414&lt;&gt;"",1,0)+IF(DK1414&lt;&gt;"",1,0)+IF(DM1414&lt;&gt;"",1,0)+IF(DO1414&lt;&gt;"",1,0)+IF(DP1414&lt;&gt;"",1,0)+IF(DQ1414&lt;&gt;"",1,0)+IF(DS1414&lt;&gt;"",1,0)+IF(DT1414&lt;&gt;"",1,0)+IF(DV1414&lt;&gt;"",1,0)+IF(DW1414&lt;&gt;"",1,0)+IF(DX1414&lt;&gt;"",1,0)+IF(DY1414&lt;&gt;"",1,0)+IF(DZ1414&lt;&gt;"",1,0)+IF(EB1414&lt;&gt;"",1,0)+IF(EC1414&lt;&gt;"",1,0)+IF(ED1414&lt;&gt;"",1,0)+IF(EG1414&lt;&gt;"",1,0)+IF(EH1414&lt;&gt;"",1,0)</f>
        <v/>
      </c>
      <c r="AZ1414">
        <f>IF(EH1414&lt;&gt;"",1,0)</f>
        <v/>
      </c>
      <c r="BB1414" t="inlineStr">
        <is>
          <t>WARREN-WARD 4</t>
        </is>
      </c>
      <c r="DC1414" t="inlineStr">
        <is>
          <t>X</t>
        </is>
      </c>
    </row>
    <row r="1415">
      <c r="A1415" t="inlineStr">
        <is>
          <t>OH0027369729</t>
        </is>
      </c>
      <c r="B1415" t="n">
        <v>78</v>
      </c>
      <c r="C1415" t="n">
        <v>477940</v>
      </c>
      <c r="D1415" t="inlineStr">
        <is>
          <t>BEAL</t>
        </is>
      </c>
      <c r="E1415" t="inlineStr">
        <is>
          <t>SKYLA</t>
        </is>
      </c>
      <c r="F1415">
        <f>CONCATENATE(D1415," ",LEFT(H1415,4),"T=",AU1415,"D=",AV1415,"R=",AW1415,"M=",AX1415,"L=",AY1415,"B=",AZ1415)</f>
        <v/>
      </c>
      <c r="G1415" t="inlineStr">
        <is>
          <t>ROSE</t>
        </is>
      </c>
      <c r="I1415" t="inlineStr">
        <is>
          <t>2001-07-03</t>
        </is>
      </c>
      <c r="J1415" t="inlineStr">
        <is>
          <t>2023-11-07</t>
        </is>
      </c>
      <c r="K1415" t="inlineStr">
        <is>
          <t>ACTIVE</t>
        </is>
      </c>
      <c r="M1415" t="inlineStr">
        <is>
          <t>174 N PARK AVE</t>
        </is>
      </c>
      <c r="N1415">
        <f>RIGHT(M1415,LEN(M1415)-FIND(" ",M1415))</f>
        <v/>
      </c>
      <c r="O1415" t="inlineStr">
        <is>
          <t>B</t>
        </is>
      </c>
      <c r="P1415" t="inlineStr">
        <is>
          <t>WARREN</t>
        </is>
      </c>
      <c r="Q1415" t="inlineStr">
        <is>
          <t>OH</t>
        </is>
      </c>
      <c r="R1415" t="n">
        <v>44481</v>
      </c>
      <c r="AD1415" t="inlineStr">
        <is>
          <t>TRUMBULL CAREER &amp; TECH CENTER</t>
        </is>
      </c>
      <c r="AE1415" t="inlineStr">
        <is>
          <t>WARREN CITY</t>
        </is>
      </c>
      <c r="AF1415" t="inlineStr">
        <is>
          <t>WARREN CITY SD</t>
        </is>
      </c>
      <c r="AH1415" t="n">
        <v>14</v>
      </c>
      <c r="AI1415" t="n">
        <v>11</v>
      </c>
      <c r="AN1415" t="inlineStr">
        <is>
          <t>WARREN</t>
        </is>
      </c>
      <c r="AO1415" t="inlineStr">
        <is>
          <t>WARREN CITY 4D</t>
        </is>
      </c>
      <c r="AP1415" t="inlineStr">
        <is>
          <t>78-P-ADL</t>
        </is>
      </c>
      <c r="AQ1415" t="n">
        <v>9</v>
      </c>
      <c r="AR1415" t="n">
        <v>64</v>
      </c>
      <c r="AS1415" t="n">
        <v>32</v>
      </c>
      <c r="AU1415">
        <f>COUNTA($BA$1415:$EH$1415)</f>
        <v/>
      </c>
      <c r="AV1415">
        <f>COUNTIF($BA$1415:$EH$1415,"D")</f>
        <v/>
      </c>
      <c r="AW1415">
        <f>COUNTIF($BA$1415:$EH$1415,"R")</f>
        <v/>
      </c>
      <c r="AX1415">
        <f>IF(BN1415="D",1,0)+IF(BO1415="D",1,0)+IF(BT1415="D",1,0)+IF(BU1415="D",1,0)+IF(BW1415="D",1,0)+IF(CC1415="D",1,0)+IF(CD1415="D",1,0)+IF(CE1415="D",1,0)+IF(CF1415="D",1,0)+IF(CL1415="D",1,0)+IF(CM1415="D",1,0)+IF(CQ1415="D",1,0)+IF(CR1415="D",1,0)+IF(CS1415="D",1,0)+IF(CW1415="D",1,0)+IF(CX1415="D",1,0)+IF(DD1415="D",1,0)+IF(DE1415="D",1,0)+IF(DJ1415="D",1,0)+IF(DK1415="D",1,0)+IF(DO1415="D",1,0)+IF(DP1415="D",1,0)+IF(DQ1415="D",1,0)+IF(DW1415="D",1,0)+IF(DZ1415="D",1,0)+IF(EH1415="D",1,0)</f>
        <v/>
      </c>
      <c r="AY1415">
        <f>IF(DJ1415&lt;&gt;"",1,0)+IF(DK1415&lt;&gt;"",1,0)+IF(DM1415&lt;&gt;"",1,0)+IF(DO1415&lt;&gt;"",1,0)+IF(DP1415&lt;&gt;"",1,0)+IF(DQ1415&lt;&gt;"",1,0)+IF(DS1415&lt;&gt;"",1,0)+IF(DT1415&lt;&gt;"",1,0)+IF(DV1415&lt;&gt;"",1,0)+IF(DW1415&lt;&gt;"",1,0)+IF(DX1415&lt;&gt;"",1,0)+IF(DY1415&lt;&gt;"",1,0)+IF(DZ1415&lt;&gt;"",1,0)+IF(EB1415&lt;&gt;"",1,0)+IF(EC1415&lt;&gt;"",1,0)+IF(ED1415&lt;&gt;"",1,0)+IF(EG1415&lt;&gt;"",1,0)+IF(EH1415&lt;&gt;"",1,0)</f>
        <v/>
      </c>
      <c r="AZ1415">
        <f>IF(EH1415&lt;&gt;"",1,0)</f>
        <v/>
      </c>
      <c r="BB1415" t="inlineStr">
        <is>
          <t>WARREN-WARD 4</t>
        </is>
      </c>
      <c r="EF1415" t="inlineStr">
        <is>
          <t>X</t>
        </is>
      </c>
    </row>
    <row r="1416">
      <c r="A1416" t="inlineStr">
        <is>
          <t>OH0015715877</t>
        </is>
      </c>
      <c r="B1416" t="n">
        <v>78</v>
      </c>
      <c r="C1416" t="n">
        <v>308703</v>
      </c>
      <c r="D1416" t="inlineStr">
        <is>
          <t>WADE</t>
        </is>
      </c>
      <c r="E1416" t="inlineStr">
        <is>
          <t>TAYNA</t>
        </is>
      </c>
      <c r="F1416">
        <f>CONCATENATE(D1416," ",LEFT(H1416,4),"T=",AU1416,"D=",AV1416,"R=",AW1416,"M=",AX1416,"L=",AY1416,"B=",AZ1416)</f>
        <v/>
      </c>
      <c r="G1416" t="inlineStr">
        <is>
          <t>D</t>
        </is>
      </c>
      <c r="I1416" t="inlineStr">
        <is>
          <t>1984-02-27</t>
        </is>
      </c>
      <c r="J1416" t="inlineStr">
        <is>
          <t>2024-09-12</t>
        </is>
      </c>
      <c r="K1416" t="inlineStr">
        <is>
          <t>ACTIVE</t>
        </is>
      </c>
      <c r="M1416" t="inlineStr">
        <is>
          <t>734 WOODLAND AVE NE</t>
        </is>
      </c>
      <c r="N1416">
        <f>RIGHT(M1416,LEN(M1416)-FIND(" ",M1416))</f>
        <v/>
      </c>
      <c r="O1416" t="inlineStr">
        <is>
          <t>APT B</t>
        </is>
      </c>
      <c r="P1416" t="inlineStr">
        <is>
          <t>WARREN</t>
        </is>
      </c>
      <c r="Q1416" t="inlineStr">
        <is>
          <t>OH</t>
        </is>
      </c>
      <c r="R1416" t="n">
        <v>44483</v>
      </c>
      <c r="AD1416" t="inlineStr">
        <is>
          <t>TRUMBULL CAREER &amp; TECH CENTER</t>
        </is>
      </c>
      <c r="AE1416" t="inlineStr">
        <is>
          <t>WARREN CITY</t>
        </is>
      </c>
      <c r="AF1416" t="inlineStr">
        <is>
          <t>WARREN CITY SD</t>
        </is>
      </c>
      <c r="AH1416" t="n">
        <v>14</v>
      </c>
      <c r="AI1416" t="n">
        <v>11</v>
      </c>
      <c r="AN1416" t="inlineStr">
        <is>
          <t>WARREN</t>
        </is>
      </c>
      <c r="AO1416" t="inlineStr">
        <is>
          <t>WARREN CITY 4D</t>
        </is>
      </c>
      <c r="AP1416" t="inlineStr">
        <is>
          <t>78-P-ADL</t>
        </is>
      </c>
      <c r="AQ1416" t="n">
        <v>9</v>
      </c>
      <c r="AR1416" t="n">
        <v>64</v>
      </c>
      <c r="AS1416" t="n">
        <v>32</v>
      </c>
      <c r="AU1416">
        <f>COUNTA($BA$1416:$EH$1416)</f>
        <v/>
      </c>
      <c r="AV1416">
        <f>COUNTIF($BA$1416:$EH$1416,"D")</f>
        <v/>
      </c>
      <c r="AW1416">
        <f>COUNTIF($BA$1416:$EH$1416,"R")</f>
        <v/>
      </c>
      <c r="AX1416">
        <f>IF(BN1416="D",1,0)+IF(BO1416="D",1,0)+IF(BT1416="D",1,0)+IF(BU1416="D",1,0)+IF(BW1416="D",1,0)+IF(CC1416="D",1,0)+IF(CD1416="D",1,0)+IF(CE1416="D",1,0)+IF(CF1416="D",1,0)+IF(CL1416="D",1,0)+IF(CM1416="D",1,0)+IF(CQ1416="D",1,0)+IF(CR1416="D",1,0)+IF(CS1416="D",1,0)+IF(CW1416="D",1,0)+IF(CX1416="D",1,0)+IF(DD1416="D",1,0)+IF(DE1416="D",1,0)+IF(DJ1416="D",1,0)+IF(DK1416="D",1,0)+IF(DO1416="D",1,0)+IF(DP1416="D",1,0)+IF(DQ1416="D",1,0)+IF(DW1416="D",1,0)+IF(DZ1416="D",1,0)+IF(EH1416="D",1,0)</f>
        <v/>
      </c>
      <c r="AY1416">
        <f>IF(DJ1416&lt;&gt;"",1,0)+IF(DK1416&lt;&gt;"",1,0)+IF(DM1416&lt;&gt;"",1,0)+IF(DO1416&lt;&gt;"",1,0)+IF(DP1416&lt;&gt;"",1,0)+IF(DQ1416&lt;&gt;"",1,0)+IF(DS1416&lt;&gt;"",1,0)+IF(DT1416&lt;&gt;"",1,0)+IF(DV1416&lt;&gt;"",1,0)+IF(DW1416&lt;&gt;"",1,0)+IF(DX1416&lt;&gt;"",1,0)+IF(DY1416&lt;&gt;"",1,0)+IF(DZ1416&lt;&gt;"",1,0)+IF(EB1416&lt;&gt;"",1,0)+IF(EC1416&lt;&gt;"",1,0)+IF(ED1416&lt;&gt;"",1,0)+IF(EG1416&lt;&gt;"",1,0)+IF(EH1416&lt;&gt;"",1,0)</f>
        <v/>
      </c>
      <c r="AZ1416">
        <f>IF(EH1416&lt;&gt;"",1,0)</f>
        <v/>
      </c>
      <c r="BB1416" t="inlineStr">
        <is>
          <t>WARREN-WARD 4</t>
        </is>
      </c>
      <c r="BH1416" t="inlineStr">
        <is>
          <t>X</t>
        </is>
      </c>
      <c r="BI1416" t="inlineStr">
        <is>
          <t>X</t>
        </is>
      </c>
      <c r="BL1416" t="inlineStr">
        <is>
          <t>X</t>
        </is>
      </c>
      <c r="CY1416" t="inlineStr">
        <is>
          <t>X</t>
        </is>
      </c>
      <c r="CZ1416" t="inlineStr">
        <is>
          <t>D</t>
        </is>
      </c>
      <c r="DC1416" t="inlineStr">
        <is>
          <t>X</t>
        </is>
      </c>
      <c r="DI1416" t="inlineStr">
        <is>
          <t>X</t>
        </is>
      </c>
      <c r="DL1416" t="inlineStr">
        <is>
          <t>X</t>
        </is>
      </c>
      <c r="DN1416" t="inlineStr">
        <is>
          <t>X</t>
        </is>
      </c>
      <c r="DU1416" t="inlineStr">
        <is>
          <t>X</t>
        </is>
      </c>
      <c r="DX1416" t="inlineStr">
        <is>
          <t>X</t>
        </is>
      </c>
      <c r="EA1416" t="inlineStr">
        <is>
          <t>X</t>
        </is>
      </c>
      <c r="EF1416" t="inlineStr">
        <is>
          <t>X</t>
        </is>
      </c>
    </row>
    <row r="1417">
      <c r="A1417" t="inlineStr">
        <is>
          <t>OH0015699116</t>
        </is>
      </c>
      <c r="B1417" t="n">
        <v>78</v>
      </c>
      <c r="C1417" t="n">
        <v>156913</v>
      </c>
      <c r="D1417" t="inlineStr">
        <is>
          <t>TAMBURES</t>
        </is>
      </c>
      <c r="E1417" t="inlineStr">
        <is>
          <t>DINO</t>
        </is>
      </c>
      <c r="F1417">
        <f>CONCATENATE(D1417," ",LEFT(H1417,4),"T=",AU1417,"D=",AV1417,"R=",AW1417,"M=",AX1417,"L=",AY1417,"B=",AZ1417)</f>
        <v/>
      </c>
      <c r="G1417" t="inlineStr">
        <is>
          <t>C</t>
        </is>
      </c>
      <c r="I1417" t="inlineStr">
        <is>
          <t>1962-11-23</t>
        </is>
      </c>
      <c r="J1417" t="inlineStr">
        <is>
          <t>2020-11-23</t>
        </is>
      </c>
      <c r="K1417" t="inlineStr">
        <is>
          <t>ACTIVE</t>
        </is>
      </c>
      <c r="L1417" t="inlineStr">
        <is>
          <t>R</t>
        </is>
      </c>
      <c r="M1417" t="inlineStr">
        <is>
          <t>1173 MCKINLEY ST NE</t>
        </is>
      </c>
      <c r="N1417">
        <f>RIGHT(M1417,LEN(M1417)-FIND(" ",M1417))</f>
        <v/>
      </c>
      <c r="P1417" t="inlineStr">
        <is>
          <t>WARREN</t>
        </is>
      </c>
      <c r="Q1417" t="inlineStr">
        <is>
          <t>OH</t>
        </is>
      </c>
      <c r="R1417" t="n">
        <v>44483</v>
      </c>
      <c r="AD1417" t="inlineStr">
        <is>
          <t>TRUMBULL CAREER &amp; TECH CENTER</t>
        </is>
      </c>
      <c r="AE1417" t="inlineStr">
        <is>
          <t>WARREN CITY</t>
        </is>
      </c>
      <c r="AF1417" t="inlineStr">
        <is>
          <t>WARREN CITY SD</t>
        </is>
      </c>
      <c r="AH1417" t="n">
        <v>14</v>
      </c>
      <c r="AI1417" t="n">
        <v>11</v>
      </c>
      <c r="AN1417" t="inlineStr">
        <is>
          <t>WARREN</t>
        </is>
      </c>
      <c r="AO1417" t="inlineStr">
        <is>
          <t>WARREN CITY 4D</t>
        </is>
      </c>
      <c r="AP1417" t="inlineStr">
        <is>
          <t>78-P-ADL</t>
        </is>
      </c>
      <c r="AQ1417" t="n">
        <v>9</v>
      </c>
      <c r="AR1417" t="n">
        <v>64</v>
      </c>
      <c r="AS1417" t="n">
        <v>32</v>
      </c>
      <c r="AU1417">
        <f>COUNTA($BA$1417:$EH$1417)</f>
        <v/>
      </c>
      <c r="AV1417">
        <f>COUNTIF($BA$1417:$EH$1417,"D")</f>
        <v/>
      </c>
      <c r="AW1417">
        <f>COUNTIF($BA$1417:$EH$1417,"R")</f>
        <v/>
      </c>
      <c r="AX1417">
        <f>IF(BN1417="D",1,0)+IF(BO1417="D",1,0)+IF(BT1417="D",1,0)+IF(BU1417="D",1,0)+IF(BW1417="D",1,0)+IF(CC1417="D",1,0)+IF(CD1417="D",1,0)+IF(CE1417="D",1,0)+IF(CF1417="D",1,0)+IF(CL1417="D",1,0)+IF(CM1417="D",1,0)+IF(CQ1417="D",1,0)+IF(CR1417="D",1,0)+IF(CS1417="D",1,0)+IF(CW1417="D",1,0)+IF(CX1417="D",1,0)+IF(DD1417="D",1,0)+IF(DE1417="D",1,0)+IF(DJ1417="D",1,0)+IF(DK1417="D",1,0)+IF(DO1417="D",1,0)+IF(DP1417="D",1,0)+IF(DQ1417="D",1,0)+IF(DW1417="D",1,0)+IF(DZ1417="D",1,0)+IF(EH1417="D",1,0)</f>
        <v/>
      </c>
      <c r="AY1417">
        <f>IF(DJ1417&lt;&gt;"",1,0)+IF(DK1417&lt;&gt;"",1,0)+IF(DM1417&lt;&gt;"",1,0)+IF(DO1417&lt;&gt;"",1,0)+IF(DP1417&lt;&gt;"",1,0)+IF(DQ1417&lt;&gt;"",1,0)+IF(DS1417&lt;&gt;"",1,0)+IF(DT1417&lt;&gt;"",1,0)+IF(DV1417&lt;&gt;"",1,0)+IF(DW1417&lt;&gt;"",1,0)+IF(DX1417&lt;&gt;"",1,0)+IF(DY1417&lt;&gt;"",1,0)+IF(DZ1417&lt;&gt;"",1,0)+IF(EB1417&lt;&gt;"",1,0)+IF(EC1417&lt;&gt;"",1,0)+IF(ED1417&lt;&gt;"",1,0)+IF(EG1417&lt;&gt;"",1,0)+IF(EH1417&lt;&gt;"",1,0)</f>
        <v/>
      </c>
      <c r="AZ1417">
        <f>IF(EH1417&lt;&gt;"",1,0)</f>
        <v/>
      </c>
      <c r="BB1417" t="inlineStr">
        <is>
          <t>WARREN-WARD 4</t>
        </is>
      </c>
      <c r="BC1417" t="inlineStr">
        <is>
          <t>X</t>
        </is>
      </c>
      <c r="BD1417" t="inlineStr">
        <is>
          <t>X</t>
        </is>
      </c>
      <c r="BE1417" t="inlineStr">
        <is>
          <t>X</t>
        </is>
      </c>
      <c r="BG1417" t="inlineStr">
        <is>
          <t>X</t>
        </is>
      </c>
      <c r="BH1417" t="inlineStr">
        <is>
          <t>X</t>
        </is>
      </c>
      <c r="BI1417" t="inlineStr">
        <is>
          <t>X</t>
        </is>
      </c>
      <c r="BL1417" t="inlineStr">
        <is>
          <t>X</t>
        </is>
      </c>
      <c r="BP1417" t="inlineStr">
        <is>
          <t>X</t>
        </is>
      </c>
      <c r="CA1417" t="inlineStr">
        <is>
          <t>X</t>
        </is>
      </c>
      <c r="CK1417" t="inlineStr">
        <is>
          <t>X</t>
        </is>
      </c>
      <c r="CP1417" t="inlineStr">
        <is>
          <t>X</t>
        </is>
      </c>
      <c r="CU1417" t="inlineStr">
        <is>
          <t>D</t>
        </is>
      </c>
      <c r="CV1417" t="inlineStr">
        <is>
          <t>X</t>
        </is>
      </c>
      <c r="CW1417" t="inlineStr">
        <is>
          <t>D</t>
        </is>
      </c>
      <c r="CY1417" t="inlineStr">
        <is>
          <t>X</t>
        </is>
      </c>
      <c r="CZ1417" t="inlineStr">
        <is>
          <t>D</t>
        </is>
      </c>
      <c r="DC1417" t="inlineStr">
        <is>
          <t>X</t>
        </is>
      </c>
      <c r="DD1417" t="inlineStr">
        <is>
          <t>D</t>
        </is>
      </c>
      <c r="DI1417" t="inlineStr">
        <is>
          <t>X</t>
        </is>
      </c>
      <c r="DJ1417" t="inlineStr">
        <is>
          <t>D</t>
        </is>
      </c>
      <c r="DN1417" t="inlineStr">
        <is>
          <t>X</t>
        </is>
      </c>
      <c r="DR1417" t="inlineStr">
        <is>
          <t>X</t>
        </is>
      </c>
      <c r="DS1417" t="inlineStr">
        <is>
          <t>R</t>
        </is>
      </c>
      <c r="DU1417" t="inlineStr">
        <is>
          <t>X</t>
        </is>
      </c>
      <c r="DW1417" t="inlineStr">
        <is>
          <t>D</t>
        </is>
      </c>
      <c r="DX1417" t="inlineStr">
        <is>
          <t>X</t>
        </is>
      </c>
      <c r="EA1417" t="inlineStr">
        <is>
          <t>X</t>
        </is>
      </c>
      <c r="ED1417" t="inlineStr">
        <is>
          <t>R</t>
        </is>
      </c>
      <c r="EF1417" t="inlineStr">
        <is>
          <t>X</t>
        </is>
      </c>
    </row>
    <row r="1418">
      <c r="A1418" t="inlineStr">
        <is>
          <t>OH0015688833</t>
        </is>
      </c>
      <c r="B1418" t="n">
        <v>78</v>
      </c>
      <c r="C1418" t="n">
        <v>13081</v>
      </c>
      <c r="D1418" t="inlineStr">
        <is>
          <t>SPRECACENERE</t>
        </is>
      </c>
      <c r="E1418" t="inlineStr">
        <is>
          <t>CLAUDIA</t>
        </is>
      </c>
      <c r="F1418">
        <f>CONCATENATE(D1418," ",LEFT(H1418,4),"T=",AU1418,"D=",AV1418,"R=",AW1418,"M=",AX1418,"L=",AY1418,"B=",AZ1418)</f>
        <v/>
      </c>
      <c r="I1418" t="inlineStr">
        <is>
          <t>1939-06-04</t>
        </is>
      </c>
      <c r="J1418" t="inlineStr">
        <is>
          <t>1970-01-20</t>
        </is>
      </c>
      <c r="K1418" t="inlineStr">
        <is>
          <t>ACTIVE</t>
        </is>
      </c>
      <c r="M1418" t="inlineStr">
        <is>
          <t>1122 HIGH ST NE</t>
        </is>
      </c>
      <c r="N1418">
        <f>RIGHT(M1418,LEN(M1418)-FIND(" ",M1418))</f>
        <v/>
      </c>
      <c r="P1418" t="inlineStr">
        <is>
          <t>WARREN</t>
        </is>
      </c>
      <c r="Q1418" t="inlineStr">
        <is>
          <t>OH</t>
        </is>
      </c>
      <c r="R1418" t="n">
        <v>44483</v>
      </c>
      <c r="AD1418" t="inlineStr">
        <is>
          <t>TRUMBULL CAREER &amp; TECH CENTER</t>
        </is>
      </c>
      <c r="AE1418" t="inlineStr">
        <is>
          <t>WARREN CITY</t>
        </is>
      </c>
      <c r="AF1418" t="inlineStr">
        <is>
          <t>WARREN CITY SD</t>
        </is>
      </c>
      <c r="AH1418" t="n">
        <v>14</v>
      </c>
      <c r="AI1418" t="n">
        <v>11</v>
      </c>
      <c r="AN1418" t="inlineStr">
        <is>
          <t>WARREN</t>
        </is>
      </c>
      <c r="AO1418" t="inlineStr">
        <is>
          <t>WARREN CITY 4D</t>
        </is>
      </c>
      <c r="AP1418" t="inlineStr">
        <is>
          <t>78-P-ADL</t>
        </is>
      </c>
      <c r="AQ1418" t="n">
        <v>9</v>
      </c>
      <c r="AR1418" t="n">
        <v>64</v>
      </c>
      <c r="AS1418" t="n">
        <v>32</v>
      </c>
      <c r="AU1418">
        <f>COUNTA($BA$1418:$EH$1418)</f>
        <v/>
      </c>
      <c r="AV1418">
        <f>COUNTIF($BA$1418:$EH$1418,"D")</f>
        <v/>
      </c>
      <c r="AW1418">
        <f>COUNTIF($BA$1418:$EH$1418,"R")</f>
        <v/>
      </c>
      <c r="AX1418">
        <f>IF(BN1418="D",1,0)+IF(BO1418="D",1,0)+IF(BT1418="D",1,0)+IF(BU1418="D",1,0)+IF(BW1418="D",1,0)+IF(CC1418="D",1,0)+IF(CD1418="D",1,0)+IF(CE1418="D",1,0)+IF(CF1418="D",1,0)+IF(CL1418="D",1,0)+IF(CM1418="D",1,0)+IF(CQ1418="D",1,0)+IF(CR1418="D",1,0)+IF(CS1418="D",1,0)+IF(CW1418="D",1,0)+IF(CX1418="D",1,0)+IF(DD1418="D",1,0)+IF(DE1418="D",1,0)+IF(DJ1418="D",1,0)+IF(DK1418="D",1,0)+IF(DO1418="D",1,0)+IF(DP1418="D",1,0)+IF(DQ1418="D",1,0)+IF(DW1418="D",1,0)+IF(DZ1418="D",1,0)+IF(EH1418="D",1,0)</f>
        <v/>
      </c>
      <c r="AY1418">
        <f>IF(DJ1418&lt;&gt;"",1,0)+IF(DK1418&lt;&gt;"",1,0)+IF(DM1418&lt;&gt;"",1,0)+IF(DO1418&lt;&gt;"",1,0)+IF(DP1418&lt;&gt;"",1,0)+IF(DQ1418&lt;&gt;"",1,0)+IF(DS1418&lt;&gt;"",1,0)+IF(DT1418&lt;&gt;"",1,0)+IF(DV1418&lt;&gt;"",1,0)+IF(DW1418&lt;&gt;"",1,0)+IF(DX1418&lt;&gt;"",1,0)+IF(DY1418&lt;&gt;"",1,0)+IF(DZ1418&lt;&gt;"",1,0)+IF(EB1418&lt;&gt;"",1,0)+IF(EC1418&lt;&gt;"",1,0)+IF(ED1418&lt;&gt;"",1,0)+IF(EG1418&lt;&gt;"",1,0)+IF(EH1418&lt;&gt;"",1,0)</f>
        <v/>
      </c>
      <c r="AZ1418">
        <f>IF(EH1418&lt;&gt;"",1,0)</f>
        <v/>
      </c>
      <c r="BB1418" t="inlineStr">
        <is>
          <t>WARREN-WARD 4</t>
        </is>
      </c>
      <c r="BC1418" t="inlineStr">
        <is>
          <t>X</t>
        </is>
      </c>
      <c r="BD1418" t="inlineStr">
        <is>
          <t>X</t>
        </is>
      </c>
      <c r="BH1418" t="inlineStr">
        <is>
          <t>X</t>
        </is>
      </c>
      <c r="BL1418" t="inlineStr">
        <is>
          <t>X</t>
        </is>
      </c>
      <c r="BP1418" t="inlineStr">
        <is>
          <t>X</t>
        </is>
      </c>
      <c r="BR1418" t="inlineStr">
        <is>
          <t>X</t>
        </is>
      </c>
      <c r="BS1418" t="inlineStr">
        <is>
          <t>X</t>
        </is>
      </c>
      <c r="BY1418" t="inlineStr">
        <is>
          <t>D</t>
        </is>
      </c>
      <c r="CA1418" t="inlineStr">
        <is>
          <t>X</t>
        </is>
      </c>
      <c r="CK1418" t="inlineStr">
        <is>
          <t>X</t>
        </is>
      </c>
      <c r="CN1418" t="inlineStr">
        <is>
          <t>X</t>
        </is>
      </c>
      <c r="CP1418" t="inlineStr">
        <is>
          <t>X</t>
        </is>
      </c>
      <c r="CU1418" t="inlineStr">
        <is>
          <t>D</t>
        </is>
      </c>
      <c r="CV1418" t="inlineStr">
        <is>
          <t>X</t>
        </is>
      </c>
      <c r="CY1418" t="inlineStr">
        <is>
          <t>X</t>
        </is>
      </c>
      <c r="CZ1418" t="inlineStr">
        <is>
          <t>R</t>
        </is>
      </c>
      <c r="DC1418" t="inlineStr">
        <is>
          <t>X</t>
        </is>
      </c>
      <c r="DI1418" t="inlineStr">
        <is>
          <t>X</t>
        </is>
      </c>
      <c r="DL1418" t="inlineStr">
        <is>
          <t>X</t>
        </is>
      </c>
      <c r="DN1418" t="inlineStr">
        <is>
          <t>X</t>
        </is>
      </c>
      <c r="DU1418" t="inlineStr">
        <is>
          <t>X</t>
        </is>
      </c>
      <c r="EF1418" t="inlineStr">
        <is>
          <t>X</t>
        </is>
      </c>
    </row>
    <row r="1419">
      <c r="A1419" t="inlineStr">
        <is>
          <t>OH0015737991</t>
        </is>
      </c>
      <c r="B1419" t="n">
        <v>78</v>
      </c>
      <c r="C1419" t="n">
        <v>223758</v>
      </c>
      <c r="D1419" t="inlineStr">
        <is>
          <t>SHANNON</t>
        </is>
      </c>
      <c r="E1419" t="inlineStr">
        <is>
          <t>JACQUELINE</t>
        </is>
      </c>
      <c r="F1419">
        <f>CONCATENATE(D1419," ",LEFT(H1419,4),"T=",AU1419,"D=",AV1419,"R=",AW1419,"M=",AX1419,"L=",AY1419,"B=",AZ1419)</f>
        <v/>
      </c>
      <c r="G1419" t="inlineStr">
        <is>
          <t>L</t>
        </is>
      </c>
      <c r="I1419" t="inlineStr">
        <is>
          <t>1962-11-22</t>
        </is>
      </c>
      <c r="J1419" t="inlineStr">
        <is>
          <t>2007-11-21</t>
        </is>
      </c>
      <c r="K1419" t="inlineStr">
        <is>
          <t>ACTIVE</t>
        </is>
      </c>
      <c r="L1419" t="inlineStr">
        <is>
          <t>D</t>
        </is>
      </c>
      <c r="M1419" t="inlineStr">
        <is>
          <t>1132 HIGH ST NE</t>
        </is>
      </c>
      <c r="N1419">
        <f>RIGHT(M1419,LEN(M1419)-FIND(" ",M1419))</f>
        <v/>
      </c>
      <c r="P1419" t="inlineStr">
        <is>
          <t>WARREN</t>
        </is>
      </c>
      <c r="Q1419" t="inlineStr">
        <is>
          <t>OH</t>
        </is>
      </c>
      <c r="R1419" t="n">
        <v>44483</v>
      </c>
      <c r="AD1419" t="inlineStr">
        <is>
          <t>TRUMBULL CAREER &amp; TECH CENTER</t>
        </is>
      </c>
      <c r="AE1419" t="inlineStr">
        <is>
          <t>WARREN CITY</t>
        </is>
      </c>
      <c r="AF1419" t="inlineStr">
        <is>
          <t>WARREN CITY SD</t>
        </is>
      </c>
      <c r="AH1419" t="n">
        <v>14</v>
      </c>
      <c r="AI1419" t="n">
        <v>11</v>
      </c>
      <c r="AN1419" t="inlineStr">
        <is>
          <t>WARREN</t>
        </is>
      </c>
      <c r="AO1419" t="inlineStr">
        <is>
          <t>WARREN CITY 4D</t>
        </is>
      </c>
      <c r="AP1419" t="inlineStr">
        <is>
          <t>78-P-ADL</t>
        </is>
      </c>
      <c r="AQ1419" t="n">
        <v>9</v>
      </c>
      <c r="AR1419" t="n">
        <v>64</v>
      </c>
      <c r="AS1419" t="n">
        <v>32</v>
      </c>
      <c r="AU1419">
        <f>COUNTA($BA$1419:$EH$1419)</f>
        <v/>
      </c>
      <c r="AV1419">
        <f>COUNTIF($BA$1419:$EH$1419,"D")</f>
        <v/>
      </c>
      <c r="AW1419">
        <f>COUNTIF($BA$1419:$EH$1419,"R")</f>
        <v/>
      </c>
      <c r="AX1419">
        <f>IF(BN1419="D",1,0)+IF(BO1419="D",1,0)+IF(BT1419="D",1,0)+IF(BU1419="D",1,0)+IF(BW1419="D",1,0)+IF(CC1419="D",1,0)+IF(CD1419="D",1,0)+IF(CE1419="D",1,0)+IF(CF1419="D",1,0)+IF(CL1419="D",1,0)+IF(CM1419="D",1,0)+IF(CQ1419="D",1,0)+IF(CR1419="D",1,0)+IF(CS1419="D",1,0)+IF(CW1419="D",1,0)+IF(CX1419="D",1,0)+IF(DD1419="D",1,0)+IF(DE1419="D",1,0)+IF(DJ1419="D",1,0)+IF(DK1419="D",1,0)+IF(DO1419="D",1,0)+IF(DP1419="D",1,0)+IF(DQ1419="D",1,0)+IF(DW1419="D",1,0)+IF(DZ1419="D",1,0)+IF(EH1419="D",1,0)</f>
        <v/>
      </c>
      <c r="AY1419">
        <f>IF(DJ1419&lt;&gt;"",1,0)+IF(DK1419&lt;&gt;"",1,0)+IF(DM1419&lt;&gt;"",1,0)+IF(DO1419&lt;&gt;"",1,0)+IF(DP1419&lt;&gt;"",1,0)+IF(DQ1419&lt;&gt;"",1,0)+IF(DS1419&lt;&gt;"",1,0)+IF(DT1419&lt;&gt;"",1,0)+IF(DV1419&lt;&gt;"",1,0)+IF(DW1419&lt;&gt;"",1,0)+IF(DX1419&lt;&gt;"",1,0)+IF(DY1419&lt;&gt;"",1,0)+IF(DZ1419&lt;&gt;"",1,0)+IF(EB1419&lt;&gt;"",1,0)+IF(EC1419&lt;&gt;"",1,0)+IF(ED1419&lt;&gt;"",1,0)+IF(EG1419&lt;&gt;"",1,0)+IF(EH1419&lt;&gt;"",1,0)</f>
        <v/>
      </c>
      <c r="AZ1419">
        <f>IF(EH1419&lt;&gt;"",1,0)</f>
        <v/>
      </c>
      <c r="BB1419" t="inlineStr">
        <is>
          <t>WARREN-WARD 4</t>
        </is>
      </c>
      <c r="BC1419" t="inlineStr">
        <is>
          <t>X</t>
        </is>
      </c>
      <c r="BD1419" t="inlineStr">
        <is>
          <t>X</t>
        </is>
      </c>
      <c r="BE1419" t="inlineStr">
        <is>
          <t>X</t>
        </is>
      </c>
      <c r="BF1419" t="inlineStr">
        <is>
          <t>X</t>
        </is>
      </c>
      <c r="BH1419" t="inlineStr">
        <is>
          <t>X</t>
        </is>
      </c>
      <c r="BI1419" t="inlineStr">
        <is>
          <t>X</t>
        </is>
      </c>
      <c r="BJ1419" t="inlineStr">
        <is>
          <t>X</t>
        </is>
      </c>
      <c r="BK1419" t="inlineStr">
        <is>
          <t>X</t>
        </is>
      </c>
      <c r="BL1419" t="inlineStr">
        <is>
          <t>X</t>
        </is>
      </c>
      <c r="BP1419" t="inlineStr">
        <is>
          <t>X</t>
        </is>
      </c>
      <c r="BR1419" t="inlineStr">
        <is>
          <t>X</t>
        </is>
      </c>
      <c r="BS1419" t="inlineStr">
        <is>
          <t>X</t>
        </is>
      </c>
      <c r="BV1419" t="inlineStr">
        <is>
          <t>X</t>
        </is>
      </c>
      <c r="BY1419" t="inlineStr">
        <is>
          <t>D</t>
        </is>
      </c>
      <c r="CA1419" t="inlineStr">
        <is>
          <t>X</t>
        </is>
      </c>
      <c r="CG1419" t="inlineStr">
        <is>
          <t>X</t>
        </is>
      </c>
      <c r="CH1419" t="inlineStr">
        <is>
          <t>D</t>
        </is>
      </c>
      <c r="CK1419" t="inlineStr">
        <is>
          <t>X</t>
        </is>
      </c>
      <c r="CL1419" t="inlineStr">
        <is>
          <t>D</t>
        </is>
      </c>
      <c r="CN1419" t="inlineStr">
        <is>
          <t>X</t>
        </is>
      </c>
      <c r="CO1419" t="inlineStr">
        <is>
          <t>D</t>
        </is>
      </c>
      <c r="CP1419" t="inlineStr">
        <is>
          <t>X</t>
        </is>
      </c>
      <c r="CT1419" t="inlineStr">
        <is>
          <t>X</t>
        </is>
      </c>
      <c r="CV1419" t="inlineStr">
        <is>
          <t>X</t>
        </is>
      </c>
      <c r="CY1419" t="inlineStr">
        <is>
          <t>X</t>
        </is>
      </c>
      <c r="CZ1419" t="inlineStr">
        <is>
          <t>D</t>
        </is>
      </c>
      <c r="DC1419" t="inlineStr">
        <is>
          <t>X</t>
        </is>
      </c>
      <c r="DF1419" t="inlineStr">
        <is>
          <t>X</t>
        </is>
      </c>
      <c r="DG1419" t="inlineStr">
        <is>
          <t>D</t>
        </is>
      </c>
      <c r="DI1419" t="inlineStr">
        <is>
          <t>X</t>
        </is>
      </c>
      <c r="DJ1419" t="inlineStr">
        <is>
          <t>D</t>
        </is>
      </c>
      <c r="DL1419" t="inlineStr">
        <is>
          <t>X</t>
        </is>
      </c>
      <c r="DM1419" t="inlineStr">
        <is>
          <t>D</t>
        </is>
      </c>
      <c r="DN1419" t="inlineStr">
        <is>
          <t>X</t>
        </is>
      </c>
      <c r="DR1419" t="inlineStr">
        <is>
          <t>X</t>
        </is>
      </c>
      <c r="DS1419" t="inlineStr">
        <is>
          <t>D</t>
        </is>
      </c>
      <c r="DU1419" t="inlineStr">
        <is>
          <t>X</t>
        </is>
      </c>
      <c r="DW1419" t="inlineStr">
        <is>
          <t>D</t>
        </is>
      </c>
      <c r="DX1419" t="inlineStr">
        <is>
          <t>X</t>
        </is>
      </c>
      <c r="EA1419" t="inlineStr">
        <is>
          <t>X</t>
        </is>
      </c>
      <c r="ED1419" t="inlineStr">
        <is>
          <t>D</t>
        </is>
      </c>
      <c r="EF1419" t="inlineStr">
        <is>
          <t>X</t>
        </is>
      </c>
      <c r="EH1419" t="inlineStr">
        <is>
          <t>D</t>
        </is>
      </c>
    </row>
    <row r="1420">
      <c r="A1420" t="inlineStr">
        <is>
          <t>OH0015761626</t>
        </is>
      </c>
      <c r="B1420" t="n">
        <v>78</v>
      </c>
      <c r="C1420" t="n">
        <v>248859</v>
      </c>
      <c r="D1420" t="inlineStr">
        <is>
          <t>SPRECACENERE</t>
        </is>
      </c>
      <c r="E1420" t="inlineStr">
        <is>
          <t>MICHAEL</t>
        </is>
      </c>
      <c r="F1420">
        <f>CONCATENATE(D1420," ",LEFT(H1420,4),"T=",AU1420,"D=",AV1420,"R=",AW1420,"M=",AX1420,"L=",AY1420,"B=",AZ1420)</f>
        <v/>
      </c>
      <c r="I1420" t="inlineStr">
        <is>
          <t>1961-08-03</t>
        </is>
      </c>
      <c r="J1420" t="inlineStr">
        <is>
          <t>1993-05-13</t>
        </is>
      </c>
      <c r="K1420" t="inlineStr">
        <is>
          <t>ACTIVE</t>
        </is>
      </c>
      <c r="L1420" t="inlineStr">
        <is>
          <t>D</t>
        </is>
      </c>
      <c r="M1420" t="inlineStr">
        <is>
          <t>1122 HIGH ST NE</t>
        </is>
      </c>
      <c r="N1420">
        <f>RIGHT(M1420,LEN(M1420)-FIND(" ",M1420))</f>
        <v/>
      </c>
      <c r="P1420" t="inlineStr">
        <is>
          <t>WARREN</t>
        </is>
      </c>
      <c r="Q1420" t="inlineStr">
        <is>
          <t>OH</t>
        </is>
      </c>
      <c r="R1420" t="n">
        <v>44483</v>
      </c>
      <c r="AD1420" t="inlineStr">
        <is>
          <t>TRUMBULL CAREER &amp; TECH CENTER</t>
        </is>
      </c>
      <c r="AE1420" t="inlineStr">
        <is>
          <t>WARREN CITY</t>
        </is>
      </c>
      <c r="AF1420" t="inlineStr">
        <is>
          <t>WARREN CITY SD</t>
        </is>
      </c>
      <c r="AH1420" t="n">
        <v>14</v>
      </c>
      <c r="AI1420" t="n">
        <v>11</v>
      </c>
      <c r="AN1420" t="inlineStr">
        <is>
          <t>WARREN</t>
        </is>
      </c>
      <c r="AO1420" t="inlineStr">
        <is>
          <t>WARREN CITY 4D</t>
        </is>
      </c>
      <c r="AP1420" t="inlineStr">
        <is>
          <t>78-P-ADL</t>
        </is>
      </c>
      <c r="AQ1420" t="n">
        <v>9</v>
      </c>
      <c r="AR1420" t="n">
        <v>64</v>
      </c>
      <c r="AS1420" t="n">
        <v>32</v>
      </c>
      <c r="AU1420">
        <f>COUNTA($BA$1420:$EH$1420)</f>
        <v/>
      </c>
      <c r="AV1420">
        <f>COUNTIF($BA$1420:$EH$1420,"D")</f>
        <v/>
      </c>
      <c r="AW1420">
        <f>COUNTIF($BA$1420:$EH$1420,"R")</f>
        <v/>
      </c>
      <c r="AX1420">
        <f>IF(BN1420="D",1,0)+IF(BO1420="D",1,0)+IF(BT1420="D",1,0)+IF(BU1420="D",1,0)+IF(BW1420="D",1,0)+IF(CC1420="D",1,0)+IF(CD1420="D",1,0)+IF(CE1420="D",1,0)+IF(CF1420="D",1,0)+IF(CL1420="D",1,0)+IF(CM1420="D",1,0)+IF(CQ1420="D",1,0)+IF(CR1420="D",1,0)+IF(CS1420="D",1,0)+IF(CW1420="D",1,0)+IF(CX1420="D",1,0)+IF(DD1420="D",1,0)+IF(DE1420="D",1,0)+IF(DJ1420="D",1,0)+IF(DK1420="D",1,0)+IF(DO1420="D",1,0)+IF(DP1420="D",1,0)+IF(DQ1420="D",1,0)+IF(DW1420="D",1,0)+IF(DZ1420="D",1,0)+IF(EH1420="D",1,0)</f>
        <v/>
      </c>
      <c r="AY1420">
        <f>IF(DJ1420&lt;&gt;"",1,0)+IF(DK1420&lt;&gt;"",1,0)+IF(DM1420&lt;&gt;"",1,0)+IF(DO1420&lt;&gt;"",1,0)+IF(DP1420&lt;&gt;"",1,0)+IF(DQ1420&lt;&gt;"",1,0)+IF(DS1420&lt;&gt;"",1,0)+IF(DT1420&lt;&gt;"",1,0)+IF(DV1420&lt;&gt;"",1,0)+IF(DW1420&lt;&gt;"",1,0)+IF(DX1420&lt;&gt;"",1,0)+IF(DY1420&lt;&gt;"",1,0)+IF(DZ1420&lt;&gt;"",1,0)+IF(EB1420&lt;&gt;"",1,0)+IF(EC1420&lt;&gt;"",1,0)+IF(ED1420&lt;&gt;"",1,0)+IF(EG1420&lt;&gt;"",1,0)+IF(EH1420&lt;&gt;"",1,0)</f>
        <v/>
      </c>
      <c r="AZ1420">
        <f>IF(EH1420&lt;&gt;"",1,0)</f>
        <v/>
      </c>
      <c r="BB1420" t="inlineStr">
        <is>
          <t>WARREN-WARD 4</t>
        </is>
      </c>
      <c r="BC1420" t="inlineStr">
        <is>
          <t>X</t>
        </is>
      </c>
      <c r="BL1420" t="inlineStr">
        <is>
          <t>X</t>
        </is>
      </c>
      <c r="BP1420" t="inlineStr">
        <is>
          <t>X</t>
        </is>
      </c>
      <c r="BV1420" t="inlineStr">
        <is>
          <t>X</t>
        </is>
      </c>
      <c r="BY1420" t="inlineStr">
        <is>
          <t>D</t>
        </is>
      </c>
      <c r="CA1420" t="inlineStr">
        <is>
          <t>X</t>
        </is>
      </c>
      <c r="CK1420" t="inlineStr">
        <is>
          <t>X</t>
        </is>
      </c>
      <c r="CN1420" t="inlineStr">
        <is>
          <t>X</t>
        </is>
      </c>
      <c r="CP1420" t="inlineStr">
        <is>
          <t>X</t>
        </is>
      </c>
      <c r="CU1420" t="inlineStr">
        <is>
          <t>D</t>
        </is>
      </c>
      <c r="CV1420" t="inlineStr">
        <is>
          <t>X</t>
        </is>
      </c>
      <c r="CY1420" t="inlineStr">
        <is>
          <t>X</t>
        </is>
      </c>
      <c r="CZ1420" t="inlineStr">
        <is>
          <t>D</t>
        </is>
      </c>
      <c r="DC1420" t="inlineStr">
        <is>
          <t>X</t>
        </is>
      </c>
      <c r="DI1420" t="inlineStr">
        <is>
          <t>X</t>
        </is>
      </c>
      <c r="DL1420" t="inlineStr">
        <is>
          <t>X</t>
        </is>
      </c>
      <c r="DM1420" t="inlineStr">
        <is>
          <t>D</t>
        </is>
      </c>
      <c r="DN1420" t="inlineStr">
        <is>
          <t>X</t>
        </is>
      </c>
      <c r="DU1420" t="inlineStr">
        <is>
          <t>X</t>
        </is>
      </c>
      <c r="DX1420" t="inlineStr">
        <is>
          <t>X</t>
        </is>
      </c>
      <c r="ED1420" t="inlineStr">
        <is>
          <t>D</t>
        </is>
      </c>
      <c r="EF1420" t="inlineStr">
        <is>
          <t>X</t>
        </is>
      </c>
      <c r="EH1420" t="inlineStr">
        <is>
          <t>D</t>
        </is>
      </c>
    </row>
    <row r="1421">
      <c r="A1421" t="inlineStr">
        <is>
          <t>OH0015818955</t>
        </is>
      </c>
      <c r="B1421" t="n">
        <v>78</v>
      </c>
      <c r="C1421" t="n">
        <v>285904</v>
      </c>
      <c r="D1421" t="inlineStr">
        <is>
          <t>NAVARRO</t>
        </is>
      </c>
      <c r="E1421" t="inlineStr">
        <is>
          <t>TRACY</t>
        </is>
      </c>
      <c r="F1421">
        <f>CONCATENATE(D1421," ",LEFT(H1421,4),"T=",AU1421,"D=",AV1421,"R=",AW1421,"M=",AX1421,"L=",AY1421,"B=",AZ1421)</f>
        <v/>
      </c>
      <c r="G1421" t="inlineStr">
        <is>
          <t>L</t>
        </is>
      </c>
      <c r="I1421" t="inlineStr">
        <is>
          <t>1962-10-02</t>
        </is>
      </c>
      <c r="J1421" t="inlineStr">
        <is>
          <t>1998-10-13</t>
        </is>
      </c>
      <c r="K1421" t="inlineStr">
        <is>
          <t>ACTIVE</t>
        </is>
      </c>
      <c r="M1421" t="inlineStr">
        <is>
          <t>1135 HIGH ST NE</t>
        </is>
      </c>
      <c r="N1421">
        <f>RIGHT(M1421,LEN(M1421)-FIND(" ",M1421))</f>
        <v/>
      </c>
      <c r="P1421" t="inlineStr">
        <is>
          <t>WARREN</t>
        </is>
      </c>
      <c r="Q1421" t="inlineStr">
        <is>
          <t>OH</t>
        </is>
      </c>
      <c r="R1421" t="n">
        <v>44483</v>
      </c>
      <c r="AD1421" t="inlineStr">
        <is>
          <t>TRUMBULL CAREER &amp; TECH CENTER</t>
        </is>
      </c>
      <c r="AE1421" t="inlineStr">
        <is>
          <t>WARREN CITY</t>
        </is>
      </c>
      <c r="AF1421" t="inlineStr">
        <is>
          <t>WARREN CITY SD</t>
        </is>
      </c>
      <c r="AH1421" t="n">
        <v>14</v>
      </c>
      <c r="AI1421" t="n">
        <v>11</v>
      </c>
      <c r="AN1421" t="inlineStr">
        <is>
          <t>WARREN</t>
        </is>
      </c>
      <c r="AO1421" t="inlineStr">
        <is>
          <t>WARREN CITY 4D</t>
        </is>
      </c>
      <c r="AP1421" t="inlineStr">
        <is>
          <t>78-P-ADL</t>
        </is>
      </c>
      <c r="AQ1421" t="n">
        <v>9</v>
      </c>
      <c r="AR1421" t="n">
        <v>64</v>
      </c>
      <c r="AS1421" t="n">
        <v>32</v>
      </c>
      <c r="AU1421">
        <f>COUNTA($BA$1421:$EH$1421)</f>
        <v/>
      </c>
      <c r="AV1421">
        <f>COUNTIF($BA$1421:$EH$1421,"D")</f>
        <v/>
      </c>
      <c r="AW1421">
        <f>COUNTIF($BA$1421:$EH$1421,"R")</f>
        <v/>
      </c>
      <c r="AX1421">
        <f>IF(BN1421="D",1,0)+IF(BO1421="D",1,0)+IF(BT1421="D",1,0)+IF(BU1421="D",1,0)+IF(BW1421="D",1,0)+IF(CC1421="D",1,0)+IF(CD1421="D",1,0)+IF(CE1421="D",1,0)+IF(CF1421="D",1,0)+IF(CL1421="D",1,0)+IF(CM1421="D",1,0)+IF(CQ1421="D",1,0)+IF(CR1421="D",1,0)+IF(CS1421="D",1,0)+IF(CW1421="D",1,0)+IF(CX1421="D",1,0)+IF(DD1421="D",1,0)+IF(DE1421="D",1,0)+IF(DJ1421="D",1,0)+IF(DK1421="D",1,0)+IF(DO1421="D",1,0)+IF(DP1421="D",1,0)+IF(DQ1421="D",1,0)+IF(DW1421="D",1,0)+IF(DZ1421="D",1,0)+IF(EH1421="D",1,0)</f>
        <v/>
      </c>
      <c r="AY1421">
        <f>IF(DJ1421&lt;&gt;"",1,0)+IF(DK1421&lt;&gt;"",1,0)+IF(DM1421&lt;&gt;"",1,0)+IF(DO1421&lt;&gt;"",1,0)+IF(DP1421&lt;&gt;"",1,0)+IF(DQ1421&lt;&gt;"",1,0)+IF(DS1421&lt;&gt;"",1,0)+IF(DT1421&lt;&gt;"",1,0)+IF(DV1421&lt;&gt;"",1,0)+IF(DW1421&lt;&gt;"",1,0)+IF(DX1421&lt;&gt;"",1,0)+IF(DY1421&lt;&gt;"",1,0)+IF(DZ1421&lt;&gt;"",1,0)+IF(EB1421&lt;&gt;"",1,0)+IF(EC1421&lt;&gt;"",1,0)+IF(ED1421&lt;&gt;"",1,0)+IF(EG1421&lt;&gt;"",1,0)+IF(EH1421&lt;&gt;"",1,0)</f>
        <v/>
      </c>
      <c r="AZ1421">
        <f>IF(EH1421&lt;&gt;"",1,0)</f>
        <v/>
      </c>
      <c r="BB1421" t="inlineStr">
        <is>
          <t>WARREN-WARD 4</t>
        </is>
      </c>
      <c r="BD1421" t="inlineStr">
        <is>
          <t>X</t>
        </is>
      </c>
      <c r="BJ1421" t="inlineStr">
        <is>
          <t>X</t>
        </is>
      </c>
      <c r="BL1421" t="inlineStr">
        <is>
          <t>X</t>
        </is>
      </c>
      <c r="BP1421" t="inlineStr">
        <is>
          <t>X</t>
        </is>
      </c>
      <c r="BS1421" t="inlineStr">
        <is>
          <t>X</t>
        </is>
      </c>
      <c r="BV1421" t="inlineStr">
        <is>
          <t>X</t>
        </is>
      </c>
      <c r="BY1421" t="inlineStr">
        <is>
          <t>D</t>
        </is>
      </c>
      <c r="CA1421" t="inlineStr">
        <is>
          <t>X</t>
        </is>
      </c>
      <c r="CG1421" t="inlineStr">
        <is>
          <t>X</t>
        </is>
      </c>
      <c r="CK1421" t="inlineStr">
        <is>
          <t>X</t>
        </is>
      </c>
      <c r="CL1421" t="inlineStr">
        <is>
          <t>D</t>
        </is>
      </c>
      <c r="CN1421" t="inlineStr">
        <is>
          <t>X</t>
        </is>
      </c>
      <c r="CP1421" t="inlineStr">
        <is>
          <t>X</t>
        </is>
      </c>
      <c r="CV1421" t="inlineStr">
        <is>
          <t>X</t>
        </is>
      </c>
      <c r="CY1421" t="inlineStr">
        <is>
          <t>X</t>
        </is>
      </c>
      <c r="CZ1421" t="inlineStr">
        <is>
          <t>D</t>
        </is>
      </c>
      <c r="DC1421" t="inlineStr">
        <is>
          <t>X</t>
        </is>
      </c>
      <c r="DF1421" t="inlineStr">
        <is>
          <t>X</t>
        </is>
      </c>
      <c r="DN1421" t="inlineStr">
        <is>
          <t>X</t>
        </is>
      </c>
      <c r="DX1421" t="inlineStr">
        <is>
          <t>X</t>
        </is>
      </c>
      <c r="EF1421" t="inlineStr">
        <is>
          <t>X</t>
        </is>
      </c>
    </row>
    <row r="1422">
      <c r="A1422" t="inlineStr">
        <is>
          <t>OH0015717982</t>
        </is>
      </c>
      <c r="B1422" t="n">
        <v>78</v>
      </c>
      <c r="C1422" t="n">
        <v>19575</v>
      </c>
      <c r="D1422" t="inlineStr">
        <is>
          <t>HAINESWORTH</t>
        </is>
      </c>
      <c r="E1422" t="inlineStr">
        <is>
          <t>WINFRED</t>
        </is>
      </c>
      <c r="F1422">
        <f>CONCATENATE(D1422," ",LEFT(H1422,4),"T=",AU1422,"D=",AV1422,"R=",AW1422,"M=",AX1422,"L=",AY1422,"B=",AZ1422)</f>
        <v/>
      </c>
      <c r="I1422" t="inlineStr">
        <is>
          <t>1937-09-05</t>
        </is>
      </c>
      <c r="J1422" t="inlineStr">
        <is>
          <t>2024-05-30</t>
        </is>
      </c>
      <c r="K1422" t="inlineStr">
        <is>
          <t>ACTIVE</t>
        </is>
      </c>
      <c r="L1422" t="inlineStr">
        <is>
          <t>D</t>
        </is>
      </c>
      <c r="M1422" t="inlineStr">
        <is>
          <t>516 FAIRFIELD AVE NE</t>
        </is>
      </c>
      <c r="N1422">
        <f>RIGHT(M1422,LEN(M1422)-FIND(" ",M1422))</f>
        <v/>
      </c>
      <c r="P1422" t="inlineStr">
        <is>
          <t>WARREN</t>
        </is>
      </c>
      <c r="Q1422" t="inlineStr">
        <is>
          <t>OH</t>
        </is>
      </c>
      <c r="R1422" t="n">
        <v>44483</v>
      </c>
      <c r="AD1422" t="inlineStr">
        <is>
          <t>TRUMBULL CAREER &amp; TECH CENTER</t>
        </is>
      </c>
      <c r="AE1422" t="inlineStr">
        <is>
          <t>WARREN CITY</t>
        </is>
      </c>
      <c r="AF1422" t="inlineStr">
        <is>
          <t>WARREN CITY SD</t>
        </is>
      </c>
      <c r="AH1422" t="n">
        <v>14</v>
      </c>
      <c r="AI1422" t="n">
        <v>11</v>
      </c>
      <c r="AN1422" t="inlineStr">
        <is>
          <t>WARREN</t>
        </is>
      </c>
      <c r="AO1422" t="inlineStr">
        <is>
          <t>WARREN CITY 4D</t>
        </is>
      </c>
      <c r="AP1422" t="inlineStr">
        <is>
          <t>78-P-ADL</t>
        </is>
      </c>
      <c r="AQ1422" t="n">
        <v>9</v>
      </c>
      <c r="AR1422" t="n">
        <v>64</v>
      </c>
      <c r="AS1422" t="n">
        <v>32</v>
      </c>
      <c r="AU1422">
        <f>COUNTA($BA$1422:$EH$1422)</f>
        <v/>
      </c>
      <c r="AV1422">
        <f>COUNTIF($BA$1422:$EH$1422,"D")</f>
        <v/>
      </c>
      <c r="AW1422">
        <f>COUNTIF($BA$1422:$EH$1422,"R")</f>
        <v/>
      </c>
      <c r="AX1422">
        <f>IF(BN1422="D",1,0)+IF(BO1422="D",1,0)+IF(BT1422="D",1,0)+IF(BU1422="D",1,0)+IF(BW1422="D",1,0)+IF(CC1422="D",1,0)+IF(CD1422="D",1,0)+IF(CE1422="D",1,0)+IF(CF1422="D",1,0)+IF(CL1422="D",1,0)+IF(CM1422="D",1,0)+IF(CQ1422="D",1,0)+IF(CR1422="D",1,0)+IF(CS1422="D",1,0)+IF(CW1422="D",1,0)+IF(CX1422="D",1,0)+IF(DD1422="D",1,0)+IF(DE1422="D",1,0)+IF(DJ1422="D",1,0)+IF(DK1422="D",1,0)+IF(DO1422="D",1,0)+IF(DP1422="D",1,0)+IF(DQ1422="D",1,0)+IF(DW1422="D",1,0)+IF(DZ1422="D",1,0)+IF(EH1422="D",1,0)</f>
        <v/>
      </c>
      <c r="AY1422">
        <f>IF(DJ1422&lt;&gt;"",1,0)+IF(DK1422&lt;&gt;"",1,0)+IF(DM1422&lt;&gt;"",1,0)+IF(DO1422&lt;&gt;"",1,0)+IF(DP1422&lt;&gt;"",1,0)+IF(DQ1422&lt;&gt;"",1,0)+IF(DS1422&lt;&gt;"",1,0)+IF(DT1422&lt;&gt;"",1,0)+IF(DV1422&lt;&gt;"",1,0)+IF(DW1422&lt;&gt;"",1,0)+IF(DX1422&lt;&gt;"",1,0)+IF(DY1422&lt;&gt;"",1,0)+IF(DZ1422&lt;&gt;"",1,0)+IF(EB1422&lt;&gt;"",1,0)+IF(EC1422&lt;&gt;"",1,0)+IF(ED1422&lt;&gt;"",1,0)+IF(EG1422&lt;&gt;"",1,0)+IF(EH1422&lt;&gt;"",1,0)</f>
        <v/>
      </c>
      <c r="AZ1422">
        <f>IF(EH1422&lt;&gt;"",1,0)</f>
        <v/>
      </c>
      <c r="BB1422" t="inlineStr">
        <is>
          <t>WARREN-WARD 4</t>
        </is>
      </c>
      <c r="BC1422" t="inlineStr">
        <is>
          <t>X</t>
        </is>
      </c>
      <c r="BD1422" t="inlineStr">
        <is>
          <t>X</t>
        </is>
      </c>
      <c r="BF1422" t="inlineStr">
        <is>
          <t>X</t>
        </is>
      </c>
      <c r="BK1422" t="inlineStr">
        <is>
          <t>X</t>
        </is>
      </c>
      <c r="BL1422" t="inlineStr">
        <is>
          <t>X</t>
        </is>
      </c>
      <c r="BY1422" t="inlineStr">
        <is>
          <t>D</t>
        </is>
      </c>
      <c r="CA1422" t="inlineStr">
        <is>
          <t>X</t>
        </is>
      </c>
      <c r="CG1422" t="inlineStr">
        <is>
          <t>X</t>
        </is>
      </c>
      <c r="CK1422" t="inlineStr">
        <is>
          <t>X</t>
        </is>
      </c>
      <c r="CN1422" t="inlineStr">
        <is>
          <t>X</t>
        </is>
      </c>
      <c r="CP1422" t="inlineStr">
        <is>
          <t>X</t>
        </is>
      </c>
      <c r="CT1422" t="inlineStr">
        <is>
          <t>X</t>
        </is>
      </c>
      <c r="CV1422" t="inlineStr">
        <is>
          <t>X</t>
        </is>
      </c>
      <c r="CY1422" t="inlineStr">
        <is>
          <t>X</t>
        </is>
      </c>
      <c r="CZ1422" t="inlineStr">
        <is>
          <t>D</t>
        </is>
      </c>
      <c r="DC1422" t="inlineStr">
        <is>
          <t>X</t>
        </is>
      </c>
      <c r="DD1422" t="inlineStr">
        <is>
          <t>D</t>
        </is>
      </c>
      <c r="DF1422" t="inlineStr">
        <is>
          <t>X</t>
        </is>
      </c>
      <c r="DG1422" t="inlineStr">
        <is>
          <t>D</t>
        </is>
      </c>
      <c r="DI1422" t="inlineStr">
        <is>
          <t>X</t>
        </is>
      </c>
      <c r="DL1422" t="inlineStr">
        <is>
          <t>X</t>
        </is>
      </c>
      <c r="DM1422" t="inlineStr">
        <is>
          <t>D</t>
        </is>
      </c>
      <c r="DN1422" t="inlineStr">
        <is>
          <t>X</t>
        </is>
      </c>
      <c r="DS1422" t="inlineStr">
        <is>
          <t>D</t>
        </is>
      </c>
      <c r="DW1422" t="inlineStr">
        <is>
          <t>D</t>
        </is>
      </c>
      <c r="EA1422" t="inlineStr">
        <is>
          <t>X</t>
        </is>
      </c>
    </row>
    <row r="1423">
      <c r="A1423" t="inlineStr">
        <is>
          <t>OH0015749411</t>
        </is>
      </c>
      <c r="B1423" t="n">
        <v>78</v>
      </c>
      <c r="C1423" t="n">
        <v>295172</v>
      </c>
      <c r="D1423" t="inlineStr">
        <is>
          <t>NAVARRO</t>
        </is>
      </c>
      <c r="E1423" t="inlineStr">
        <is>
          <t>LITO</t>
        </is>
      </c>
      <c r="F1423">
        <f>CONCATENATE(D1423," ",LEFT(H1423,4),"T=",AU1423,"D=",AV1423,"R=",AW1423,"M=",AX1423,"L=",AY1423,"B=",AZ1423)</f>
        <v/>
      </c>
      <c r="I1423" t="inlineStr">
        <is>
          <t>1960-05-11</t>
        </is>
      </c>
      <c r="J1423" t="inlineStr">
        <is>
          <t>2000-04-06</t>
        </is>
      </c>
      <c r="K1423" t="inlineStr">
        <is>
          <t>ACTIVE</t>
        </is>
      </c>
      <c r="L1423" t="inlineStr">
        <is>
          <t>R</t>
        </is>
      </c>
      <c r="M1423" t="inlineStr">
        <is>
          <t>1135 HIGH ST NE</t>
        </is>
      </c>
      <c r="N1423">
        <f>RIGHT(M1423,LEN(M1423)-FIND(" ",M1423))</f>
        <v/>
      </c>
      <c r="P1423" t="inlineStr">
        <is>
          <t>WARREN</t>
        </is>
      </c>
      <c r="Q1423" t="inlineStr">
        <is>
          <t>OH</t>
        </is>
      </c>
      <c r="R1423" t="n">
        <v>44483</v>
      </c>
      <c r="AD1423" t="inlineStr">
        <is>
          <t>TRUMBULL CAREER &amp; TECH CENTER</t>
        </is>
      </c>
      <c r="AE1423" t="inlineStr">
        <is>
          <t>WARREN CITY</t>
        </is>
      </c>
      <c r="AF1423" t="inlineStr">
        <is>
          <t>WARREN CITY SD</t>
        </is>
      </c>
      <c r="AH1423" t="n">
        <v>14</v>
      </c>
      <c r="AI1423" t="n">
        <v>11</v>
      </c>
      <c r="AN1423" t="inlineStr">
        <is>
          <t>WARREN</t>
        </is>
      </c>
      <c r="AO1423" t="inlineStr">
        <is>
          <t>WARREN CITY 4D</t>
        </is>
      </c>
      <c r="AP1423" t="inlineStr">
        <is>
          <t>78-P-ADL</t>
        </is>
      </c>
      <c r="AQ1423" t="n">
        <v>9</v>
      </c>
      <c r="AR1423" t="n">
        <v>64</v>
      </c>
      <c r="AS1423" t="n">
        <v>32</v>
      </c>
      <c r="AU1423">
        <f>COUNTA($BA$1423:$EH$1423)</f>
        <v/>
      </c>
      <c r="AV1423">
        <f>COUNTIF($BA$1423:$EH$1423,"D")</f>
        <v/>
      </c>
      <c r="AW1423">
        <f>COUNTIF($BA$1423:$EH$1423,"R")</f>
        <v/>
      </c>
      <c r="AX1423">
        <f>IF(BN1423="D",1,0)+IF(BO1423="D",1,0)+IF(BT1423="D",1,0)+IF(BU1423="D",1,0)+IF(BW1423="D",1,0)+IF(CC1423="D",1,0)+IF(CD1423="D",1,0)+IF(CE1423="D",1,0)+IF(CF1423="D",1,0)+IF(CL1423="D",1,0)+IF(CM1423="D",1,0)+IF(CQ1423="D",1,0)+IF(CR1423="D",1,0)+IF(CS1423="D",1,0)+IF(CW1423="D",1,0)+IF(CX1423="D",1,0)+IF(DD1423="D",1,0)+IF(DE1423="D",1,0)+IF(DJ1423="D",1,0)+IF(DK1423="D",1,0)+IF(DO1423="D",1,0)+IF(DP1423="D",1,0)+IF(DQ1423="D",1,0)+IF(DW1423="D",1,0)+IF(DZ1423="D",1,0)+IF(EH1423="D",1,0)</f>
        <v/>
      </c>
      <c r="AY1423">
        <f>IF(DJ1423&lt;&gt;"",1,0)+IF(DK1423&lt;&gt;"",1,0)+IF(DM1423&lt;&gt;"",1,0)+IF(DO1423&lt;&gt;"",1,0)+IF(DP1423&lt;&gt;"",1,0)+IF(DQ1423&lt;&gt;"",1,0)+IF(DS1423&lt;&gt;"",1,0)+IF(DT1423&lt;&gt;"",1,0)+IF(DV1423&lt;&gt;"",1,0)+IF(DW1423&lt;&gt;"",1,0)+IF(DX1423&lt;&gt;"",1,0)+IF(DY1423&lt;&gt;"",1,0)+IF(DZ1423&lt;&gt;"",1,0)+IF(EB1423&lt;&gt;"",1,0)+IF(EC1423&lt;&gt;"",1,0)+IF(ED1423&lt;&gt;"",1,0)+IF(EG1423&lt;&gt;"",1,0)+IF(EH1423&lt;&gt;"",1,0)</f>
        <v/>
      </c>
      <c r="AZ1423">
        <f>IF(EH1423&lt;&gt;"",1,0)</f>
        <v/>
      </c>
      <c r="BB1423" t="inlineStr">
        <is>
          <t>WARREN-WARD 4</t>
        </is>
      </c>
      <c r="BD1423" t="inlineStr">
        <is>
          <t>X</t>
        </is>
      </c>
      <c r="BJ1423" t="inlineStr">
        <is>
          <t>X</t>
        </is>
      </c>
      <c r="BL1423" t="inlineStr">
        <is>
          <t>X</t>
        </is>
      </c>
      <c r="BP1423" t="inlineStr">
        <is>
          <t>X</t>
        </is>
      </c>
      <c r="BS1423" t="inlineStr">
        <is>
          <t>X</t>
        </is>
      </c>
      <c r="BV1423" t="inlineStr">
        <is>
          <t>X</t>
        </is>
      </c>
      <c r="BY1423" t="inlineStr">
        <is>
          <t>R</t>
        </is>
      </c>
      <c r="CA1423" t="inlineStr">
        <is>
          <t>X</t>
        </is>
      </c>
      <c r="CG1423" t="inlineStr">
        <is>
          <t>X</t>
        </is>
      </c>
      <c r="CK1423" t="inlineStr">
        <is>
          <t>X</t>
        </is>
      </c>
      <c r="CL1423" t="inlineStr">
        <is>
          <t>D</t>
        </is>
      </c>
      <c r="CN1423" t="inlineStr">
        <is>
          <t>X</t>
        </is>
      </c>
      <c r="CO1423" t="inlineStr">
        <is>
          <t>R</t>
        </is>
      </c>
      <c r="CP1423" t="inlineStr">
        <is>
          <t>X</t>
        </is>
      </c>
      <c r="CV1423" t="inlineStr">
        <is>
          <t>X</t>
        </is>
      </c>
      <c r="CY1423" t="inlineStr">
        <is>
          <t>X</t>
        </is>
      </c>
      <c r="CZ1423" t="inlineStr">
        <is>
          <t>R</t>
        </is>
      </c>
      <c r="DC1423" t="inlineStr">
        <is>
          <t>X</t>
        </is>
      </c>
      <c r="DF1423" t="inlineStr">
        <is>
          <t>X</t>
        </is>
      </c>
      <c r="DI1423" t="inlineStr">
        <is>
          <t>X</t>
        </is>
      </c>
      <c r="DL1423" t="inlineStr">
        <is>
          <t>X</t>
        </is>
      </c>
      <c r="DN1423" t="inlineStr">
        <is>
          <t>X</t>
        </is>
      </c>
      <c r="DU1423" t="inlineStr">
        <is>
          <t>X</t>
        </is>
      </c>
      <c r="DW1423" t="inlineStr">
        <is>
          <t>D</t>
        </is>
      </c>
      <c r="DX1423" t="inlineStr">
        <is>
          <t>X</t>
        </is>
      </c>
      <c r="EA1423" t="inlineStr">
        <is>
          <t>X</t>
        </is>
      </c>
      <c r="ED1423" t="inlineStr">
        <is>
          <t>R</t>
        </is>
      </c>
      <c r="EF1423" t="inlineStr">
        <is>
          <t>X</t>
        </is>
      </c>
    </row>
    <row r="1424">
      <c r="A1424" t="inlineStr">
        <is>
          <t>OH0023225320</t>
        </is>
      </c>
      <c r="B1424" t="n">
        <v>78</v>
      </c>
      <c r="C1424" t="n">
        <v>408777</v>
      </c>
      <c r="D1424" t="inlineStr">
        <is>
          <t>GASKILL</t>
        </is>
      </c>
      <c r="E1424" t="inlineStr">
        <is>
          <t>BRANDY</t>
        </is>
      </c>
      <c r="F1424">
        <f>CONCATENATE(D1424," ",LEFT(H1424,4),"T=",AU1424,"D=",AV1424,"R=",AW1424,"M=",AX1424,"L=",AY1424,"B=",AZ1424)</f>
        <v/>
      </c>
      <c r="G1424" t="inlineStr">
        <is>
          <t>NICOLE</t>
        </is>
      </c>
      <c r="I1424" t="inlineStr">
        <is>
          <t>1975-09-28</t>
        </is>
      </c>
      <c r="J1424" t="inlineStr">
        <is>
          <t>2024-09-23</t>
        </is>
      </c>
      <c r="K1424" t="inlineStr">
        <is>
          <t>ACTIVE</t>
        </is>
      </c>
      <c r="M1424" t="inlineStr">
        <is>
          <t>525 SCOTT ST NE</t>
        </is>
      </c>
      <c r="N1424">
        <f>RIGHT(M1424,LEN(M1424)-FIND(" ",M1424))</f>
        <v/>
      </c>
      <c r="P1424" t="inlineStr">
        <is>
          <t>WARREN</t>
        </is>
      </c>
      <c r="Q1424" t="inlineStr">
        <is>
          <t>OH</t>
        </is>
      </c>
      <c r="R1424" t="n">
        <v>44483</v>
      </c>
      <c r="AD1424" t="inlineStr">
        <is>
          <t>TRUMBULL CAREER &amp; TECH CENTER</t>
        </is>
      </c>
      <c r="AE1424" t="inlineStr">
        <is>
          <t>WARREN CITY</t>
        </is>
      </c>
      <c r="AF1424" t="inlineStr">
        <is>
          <t>WARREN CITY SD</t>
        </is>
      </c>
      <c r="AH1424" t="n">
        <v>14</v>
      </c>
      <c r="AI1424" t="n">
        <v>11</v>
      </c>
      <c r="AN1424" t="inlineStr">
        <is>
          <t>WARREN</t>
        </is>
      </c>
      <c r="AO1424" t="inlineStr">
        <is>
          <t>WARREN CITY 4D</t>
        </is>
      </c>
      <c r="AP1424" t="inlineStr">
        <is>
          <t>78-P-ADL</t>
        </is>
      </c>
      <c r="AQ1424" t="n">
        <v>9</v>
      </c>
      <c r="AR1424" t="n">
        <v>64</v>
      </c>
      <c r="AS1424" t="n">
        <v>32</v>
      </c>
      <c r="AU1424">
        <f>COUNTA($BA$1424:$EH$1424)</f>
        <v/>
      </c>
      <c r="AV1424">
        <f>COUNTIF($BA$1424:$EH$1424,"D")</f>
        <v/>
      </c>
      <c r="AW1424">
        <f>COUNTIF($BA$1424:$EH$1424,"R")</f>
        <v/>
      </c>
      <c r="AX1424">
        <f>IF(BN1424="D",1,0)+IF(BO1424="D",1,0)+IF(BT1424="D",1,0)+IF(BU1424="D",1,0)+IF(BW1424="D",1,0)+IF(CC1424="D",1,0)+IF(CD1424="D",1,0)+IF(CE1424="D",1,0)+IF(CF1424="D",1,0)+IF(CL1424="D",1,0)+IF(CM1424="D",1,0)+IF(CQ1424="D",1,0)+IF(CR1424="D",1,0)+IF(CS1424="D",1,0)+IF(CW1424="D",1,0)+IF(CX1424="D",1,0)+IF(DD1424="D",1,0)+IF(DE1424="D",1,0)+IF(DJ1424="D",1,0)+IF(DK1424="D",1,0)+IF(DO1424="D",1,0)+IF(DP1424="D",1,0)+IF(DQ1424="D",1,0)+IF(DW1424="D",1,0)+IF(DZ1424="D",1,0)+IF(EH1424="D",1,0)</f>
        <v/>
      </c>
      <c r="AY1424">
        <f>IF(DJ1424&lt;&gt;"",1,0)+IF(DK1424&lt;&gt;"",1,0)+IF(DM1424&lt;&gt;"",1,0)+IF(DO1424&lt;&gt;"",1,0)+IF(DP1424&lt;&gt;"",1,0)+IF(DQ1424&lt;&gt;"",1,0)+IF(DS1424&lt;&gt;"",1,0)+IF(DT1424&lt;&gt;"",1,0)+IF(DV1424&lt;&gt;"",1,0)+IF(DW1424&lt;&gt;"",1,0)+IF(DX1424&lt;&gt;"",1,0)+IF(DY1424&lt;&gt;"",1,0)+IF(DZ1424&lt;&gt;"",1,0)+IF(EB1424&lt;&gt;"",1,0)+IF(EC1424&lt;&gt;"",1,0)+IF(ED1424&lt;&gt;"",1,0)+IF(EG1424&lt;&gt;"",1,0)+IF(EH1424&lt;&gt;"",1,0)</f>
        <v/>
      </c>
      <c r="AZ1424">
        <f>IF(EH1424&lt;&gt;"",1,0)</f>
        <v/>
      </c>
      <c r="BB1424" t="inlineStr">
        <is>
          <t>WARREN-WARD 4</t>
        </is>
      </c>
      <c r="DN1424" t="inlineStr">
        <is>
          <t>X</t>
        </is>
      </c>
      <c r="EA1424" t="inlineStr">
        <is>
          <t>X</t>
        </is>
      </c>
      <c r="EF1424" t="inlineStr">
        <is>
          <t>X</t>
        </is>
      </c>
    </row>
    <row r="1425">
      <c r="A1425" t="inlineStr">
        <is>
          <t>OH0019050222</t>
        </is>
      </c>
      <c r="B1425" t="n">
        <v>78</v>
      </c>
      <c r="C1425" t="n">
        <v>348490</v>
      </c>
      <c r="D1425" t="inlineStr">
        <is>
          <t>GORE</t>
        </is>
      </c>
      <c r="E1425" t="inlineStr">
        <is>
          <t>DONALD</t>
        </is>
      </c>
      <c r="F1425">
        <f>CONCATENATE(D1425," ",LEFT(H1425,4),"T=",AU1425,"D=",AV1425,"R=",AW1425,"M=",AX1425,"L=",AY1425,"B=",AZ1425)</f>
        <v/>
      </c>
      <c r="G1425" t="inlineStr">
        <is>
          <t>R</t>
        </is>
      </c>
      <c r="H1425" t="inlineStr">
        <is>
          <t>JR</t>
        </is>
      </c>
      <c r="I1425" t="inlineStr">
        <is>
          <t>1962-01-29</t>
        </is>
      </c>
      <c r="J1425" t="inlineStr">
        <is>
          <t>2024-09-20</t>
        </is>
      </c>
      <c r="K1425" t="inlineStr">
        <is>
          <t>ACTIVE</t>
        </is>
      </c>
      <c r="M1425" t="inlineStr">
        <is>
          <t>182 HIGH ST NW</t>
        </is>
      </c>
      <c r="N1425">
        <f>RIGHT(M1425,LEN(M1425)-FIND(" ",M1425))</f>
        <v/>
      </c>
      <c r="O1425" t="inlineStr">
        <is>
          <t>APT 611</t>
        </is>
      </c>
      <c r="P1425" t="inlineStr">
        <is>
          <t>WARREN</t>
        </is>
      </c>
      <c r="Q1425" t="inlineStr">
        <is>
          <t>OH</t>
        </is>
      </c>
      <c r="R1425" t="n">
        <v>44481</v>
      </c>
      <c r="AD1425" t="inlineStr">
        <is>
          <t>TRUMBULL CAREER &amp; TECH CENTER</t>
        </is>
      </c>
      <c r="AE1425" t="inlineStr">
        <is>
          <t>WARREN CITY</t>
        </is>
      </c>
      <c r="AF1425" t="inlineStr">
        <is>
          <t>WARREN CITY SD</t>
        </is>
      </c>
      <c r="AH1425" t="n">
        <v>14</v>
      </c>
      <c r="AI1425" t="n">
        <v>11</v>
      </c>
      <c r="AN1425" t="inlineStr">
        <is>
          <t>WARREN</t>
        </is>
      </c>
      <c r="AO1425" t="inlineStr">
        <is>
          <t>WARREN CITY 4D</t>
        </is>
      </c>
      <c r="AP1425" t="inlineStr">
        <is>
          <t>78-P-ADL</t>
        </is>
      </c>
      <c r="AQ1425" t="n">
        <v>9</v>
      </c>
      <c r="AR1425" t="n">
        <v>64</v>
      </c>
      <c r="AS1425" t="n">
        <v>32</v>
      </c>
      <c r="AU1425">
        <f>COUNTA($BA$1425:$EH$1425)</f>
        <v/>
      </c>
      <c r="AV1425">
        <f>COUNTIF($BA$1425:$EH$1425,"D")</f>
        <v/>
      </c>
      <c r="AW1425">
        <f>COUNTIF($BA$1425:$EH$1425,"R")</f>
        <v/>
      </c>
      <c r="AX1425">
        <f>IF(BN1425="D",1,0)+IF(BO1425="D",1,0)+IF(BT1425="D",1,0)+IF(BU1425="D",1,0)+IF(BW1425="D",1,0)+IF(CC1425="D",1,0)+IF(CD1425="D",1,0)+IF(CE1425="D",1,0)+IF(CF1425="D",1,0)+IF(CL1425="D",1,0)+IF(CM1425="D",1,0)+IF(CQ1425="D",1,0)+IF(CR1425="D",1,0)+IF(CS1425="D",1,0)+IF(CW1425="D",1,0)+IF(CX1425="D",1,0)+IF(DD1425="D",1,0)+IF(DE1425="D",1,0)+IF(DJ1425="D",1,0)+IF(DK1425="D",1,0)+IF(DO1425="D",1,0)+IF(DP1425="D",1,0)+IF(DQ1425="D",1,0)+IF(DW1425="D",1,0)+IF(DZ1425="D",1,0)+IF(EH1425="D",1,0)</f>
        <v/>
      </c>
      <c r="AY1425">
        <f>IF(DJ1425&lt;&gt;"",1,0)+IF(DK1425&lt;&gt;"",1,0)+IF(DM1425&lt;&gt;"",1,0)+IF(DO1425&lt;&gt;"",1,0)+IF(DP1425&lt;&gt;"",1,0)+IF(DQ1425&lt;&gt;"",1,0)+IF(DS1425&lt;&gt;"",1,0)+IF(DT1425&lt;&gt;"",1,0)+IF(DV1425&lt;&gt;"",1,0)+IF(DW1425&lt;&gt;"",1,0)+IF(DX1425&lt;&gt;"",1,0)+IF(DY1425&lt;&gt;"",1,0)+IF(DZ1425&lt;&gt;"",1,0)+IF(EB1425&lt;&gt;"",1,0)+IF(EC1425&lt;&gt;"",1,0)+IF(ED1425&lt;&gt;"",1,0)+IF(EG1425&lt;&gt;"",1,0)+IF(EH1425&lt;&gt;"",1,0)</f>
        <v/>
      </c>
      <c r="AZ1425">
        <f>IF(EH1425&lt;&gt;"",1,0)</f>
        <v/>
      </c>
      <c r="BB1425" t="inlineStr">
        <is>
          <t>WARREN-WARD 4</t>
        </is>
      </c>
      <c r="CT1425" t="inlineStr">
        <is>
          <t>X</t>
        </is>
      </c>
      <c r="CV1425" t="inlineStr">
        <is>
          <t>X</t>
        </is>
      </c>
      <c r="CW1425" t="inlineStr">
        <is>
          <t>D</t>
        </is>
      </c>
      <c r="CY1425" t="inlineStr">
        <is>
          <t>X</t>
        </is>
      </c>
      <c r="CZ1425" t="inlineStr">
        <is>
          <t>D</t>
        </is>
      </c>
      <c r="DC1425" t="inlineStr">
        <is>
          <t>X</t>
        </is>
      </c>
      <c r="DD1425" t="inlineStr">
        <is>
          <t>D</t>
        </is>
      </c>
      <c r="DR1425" t="inlineStr">
        <is>
          <t>X</t>
        </is>
      </c>
    </row>
    <row r="1426">
      <c r="A1426" t="inlineStr">
        <is>
          <t>OH0015688952</t>
        </is>
      </c>
      <c r="B1426" t="n">
        <v>78</v>
      </c>
      <c r="C1426" t="n">
        <v>13110</v>
      </c>
      <c r="D1426" t="inlineStr">
        <is>
          <t>LAUGHNER</t>
        </is>
      </c>
      <c r="E1426" t="inlineStr">
        <is>
          <t>JANICE</t>
        </is>
      </c>
      <c r="F1426">
        <f>CONCATENATE(D1426," ",LEFT(H1426,4),"T=",AU1426,"D=",AV1426,"R=",AW1426,"M=",AX1426,"L=",AY1426,"B=",AZ1426)</f>
        <v/>
      </c>
      <c r="G1426" t="inlineStr">
        <is>
          <t>S</t>
        </is>
      </c>
      <c r="I1426" t="inlineStr">
        <is>
          <t>1948-12-02</t>
        </is>
      </c>
      <c r="J1426" t="inlineStr">
        <is>
          <t>1979-03-21</t>
        </is>
      </c>
      <c r="K1426" t="inlineStr">
        <is>
          <t>ACTIVE</t>
        </is>
      </c>
      <c r="M1426" t="inlineStr">
        <is>
          <t>1190 MCKINLEY ST NE</t>
        </is>
      </c>
      <c r="N1426">
        <f>RIGHT(M1426,LEN(M1426)-FIND(" ",M1426))</f>
        <v/>
      </c>
      <c r="P1426" t="inlineStr">
        <is>
          <t>WARREN</t>
        </is>
      </c>
      <c r="Q1426" t="inlineStr">
        <is>
          <t>OH</t>
        </is>
      </c>
      <c r="R1426" t="n">
        <v>44483</v>
      </c>
      <c r="AD1426" t="inlineStr">
        <is>
          <t>TRUMBULL CAREER &amp; TECH CENTER</t>
        </is>
      </c>
      <c r="AE1426" t="inlineStr">
        <is>
          <t>WARREN CITY</t>
        </is>
      </c>
      <c r="AF1426" t="inlineStr">
        <is>
          <t>WARREN CITY SD</t>
        </is>
      </c>
      <c r="AH1426" t="n">
        <v>14</v>
      </c>
      <c r="AI1426" t="n">
        <v>11</v>
      </c>
      <c r="AN1426" t="inlineStr">
        <is>
          <t>WARREN</t>
        </is>
      </c>
      <c r="AO1426" t="inlineStr">
        <is>
          <t>WARREN CITY 4D</t>
        </is>
      </c>
      <c r="AP1426" t="inlineStr">
        <is>
          <t>78-P-ADL</t>
        </is>
      </c>
      <c r="AQ1426" t="n">
        <v>9</v>
      </c>
      <c r="AR1426" t="n">
        <v>64</v>
      </c>
      <c r="AS1426" t="n">
        <v>32</v>
      </c>
      <c r="AU1426">
        <f>COUNTA($BA$1426:$EH$1426)</f>
        <v/>
      </c>
      <c r="AV1426">
        <f>COUNTIF($BA$1426:$EH$1426,"D")</f>
        <v/>
      </c>
      <c r="AW1426">
        <f>COUNTIF($BA$1426:$EH$1426,"R")</f>
        <v/>
      </c>
      <c r="AX1426">
        <f>IF(BN1426="D",1,0)+IF(BO1426="D",1,0)+IF(BT1426="D",1,0)+IF(BU1426="D",1,0)+IF(BW1426="D",1,0)+IF(CC1426="D",1,0)+IF(CD1426="D",1,0)+IF(CE1426="D",1,0)+IF(CF1426="D",1,0)+IF(CL1426="D",1,0)+IF(CM1426="D",1,0)+IF(CQ1426="D",1,0)+IF(CR1426="D",1,0)+IF(CS1426="D",1,0)+IF(CW1426="D",1,0)+IF(CX1426="D",1,0)+IF(DD1426="D",1,0)+IF(DE1426="D",1,0)+IF(DJ1426="D",1,0)+IF(DK1426="D",1,0)+IF(DO1426="D",1,0)+IF(DP1426="D",1,0)+IF(DQ1426="D",1,0)+IF(DW1426="D",1,0)+IF(DZ1426="D",1,0)+IF(EH1426="D",1,0)</f>
        <v/>
      </c>
      <c r="AY1426">
        <f>IF(DJ1426&lt;&gt;"",1,0)+IF(DK1426&lt;&gt;"",1,0)+IF(DM1426&lt;&gt;"",1,0)+IF(DO1426&lt;&gt;"",1,0)+IF(DP1426&lt;&gt;"",1,0)+IF(DQ1426&lt;&gt;"",1,0)+IF(DS1426&lt;&gt;"",1,0)+IF(DT1426&lt;&gt;"",1,0)+IF(DV1426&lt;&gt;"",1,0)+IF(DW1426&lt;&gt;"",1,0)+IF(DX1426&lt;&gt;"",1,0)+IF(DY1426&lt;&gt;"",1,0)+IF(DZ1426&lt;&gt;"",1,0)+IF(EB1426&lt;&gt;"",1,0)+IF(EC1426&lt;&gt;"",1,0)+IF(ED1426&lt;&gt;"",1,0)+IF(EG1426&lt;&gt;"",1,0)+IF(EH1426&lt;&gt;"",1,0)</f>
        <v/>
      </c>
      <c r="AZ1426">
        <f>IF(EH1426&lt;&gt;"",1,0)</f>
        <v/>
      </c>
      <c r="BB1426" t="inlineStr">
        <is>
          <t>WARREN-WARD 4</t>
        </is>
      </c>
      <c r="BC1426" t="inlineStr">
        <is>
          <t>X</t>
        </is>
      </c>
      <c r="BD1426" t="inlineStr">
        <is>
          <t>X</t>
        </is>
      </c>
      <c r="BG1426" t="inlineStr">
        <is>
          <t>X</t>
        </is>
      </c>
      <c r="BH1426" t="inlineStr">
        <is>
          <t>X</t>
        </is>
      </c>
      <c r="BI1426" t="inlineStr">
        <is>
          <t>X</t>
        </is>
      </c>
      <c r="BJ1426" t="inlineStr">
        <is>
          <t>X</t>
        </is>
      </c>
      <c r="BK1426" t="inlineStr">
        <is>
          <t>X</t>
        </is>
      </c>
      <c r="BL1426" t="inlineStr">
        <is>
          <t>X</t>
        </is>
      </c>
      <c r="BP1426" t="inlineStr">
        <is>
          <t>X</t>
        </is>
      </c>
      <c r="BR1426" t="inlineStr">
        <is>
          <t>X</t>
        </is>
      </c>
      <c r="BS1426" t="inlineStr">
        <is>
          <t>X</t>
        </is>
      </c>
      <c r="BV1426" t="inlineStr">
        <is>
          <t>X</t>
        </is>
      </c>
      <c r="BY1426" t="inlineStr">
        <is>
          <t>D</t>
        </is>
      </c>
      <c r="CA1426" t="inlineStr">
        <is>
          <t>X</t>
        </is>
      </c>
      <c r="CG1426" t="inlineStr">
        <is>
          <t>X</t>
        </is>
      </c>
      <c r="CK1426" t="inlineStr">
        <is>
          <t>X</t>
        </is>
      </c>
      <c r="CL1426" t="inlineStr">
        <is>
          <t>D</t>
        </is>
      </c>
      <c r="CN1426" t="inlineStr">
        <is>
          <t>X</t>
        </is>
      </c>
      <c r="CP1426" t="inlineStr">
        <is>
          <t>X</t>
        </is>
      </c>
      <c r="CT1426" t="inlineStr">
        <is>
          <t>X</t>
        </is>
      </c>
      <c r="CU1426" t="inlineStr">
        <is>
          <t>D</t>
        </is>
      </c>
      <c r="CV1426" t="inlineStr">
        <is>
          <t>X</t>
        </is>
      </c>
      <c r="CW1426" t="inlineStr">
        <is>
          <t>D</t>
        </is>
      </c>
      <c r="CY1426" t="inlineStr">
        <is>
          <t>X</t>
        </is>
      </c>
      <c r="DC1426" t="inlineStr">
        <is>
          <t>X</t>
        </is>
      </c>
      <c r="DF1426" t="inlineStr">
        <is>
          <t>X</t>
        </is>
      </c>
      <c r="DG1426" t="inlineStr">
        <is>
          <t>D</t>
        </is>
      </c>
      <c r="DI1426" t="inlineStr">
        <is>
          <t>X</t>
        </is>
      </c>
      <c r="DL1426" t="inlineStr">
        <is>
          <t>X</t>
        </is>
      </c>
      <c r="DM1426" t="inlineStr">
        <is>
          <t>D</t>
        </is>
      </c>
      <c r="DN1426" t="inlineStr">
        <is>
          <t>X</t>
        </is>
      </c>
      <c r="DU1426" t="inlineStr">
        <is>
          <t>X</t>
        </is>
      </c>
      <c r="DX1426" t="inlineStr">
        <is>
          <t>X</t>
        </is>
      </c>
      <c r="EA1426" t="inlineStr">
        <is>
          <t>X</t>
        </is>
      </c>
      <c r="EF1426" t="inlineStr">
        <is>
          <t>X</t>
        </is>
      </c>
    </row>
    <row r="1427">
      <c r="A1427" t="inlineStr">
        <is>
          <t>OH0015742980</t>
        </is>
      </c>
      <c r="B1427" t="n">
        <v>78</v>
      </c>
      <c r="C1427" t="n">
        <v>229342</v>
      </c>
      <c r="D1427" t="inlineStr">
        <is>
          <t>MASEK</t>
        </is>
      </c>
      <c r="E1427" t="inlineStr">
        <is>
          <t>RAYMOND</t>
        </is>
      </c>
      <c r="F1427">
        <f>CONCATENATE(D1427," ",LEFT(H1427,4),"T=",AU1427,"D=",AV1427,"R=",AW1427,"M=",AX1427,"L=",AY1427,"B=",AZ1427)</f>
        <v/>
      </c>
      <c r="G1427" t="inlineStr">
        <is>
          <t>J</t>
        </is>
      </c>
      <c r="I1427" t="inlineStr">
        <is>
          <t>1946-09-01</t>
        </is>
      </c>
      <c r="J1427" t="inlineStr">
        <is>
          <t>2024-09-06</t>
        </is>
      </c>
      <c r="K1427" t="inlineStr">
        <is>
          <t>ACTIVE</t>
        </is>
      </c>
      <c r="M1427" t="inlineStr">
        <is>
          <t>183 W MARKET ST</t>
        </is>
      </c>
      <c r="N1427">
        <f>RIGHT(M1427,LEN(M1427)-FIND(" ",M1427))</f>
        <v/>
      </c>
      <c r="O1427" t="inlineStr">
        <is>
          <t>APT 300</t>
        </is>
      </c>
      <c r="P1427" t="inlineStr">
        <is>
          <t>WARREN</t>
        </is>
      </c>
      <c r="Q1427" t="inlineStr">
        <is>
          <t>OH</t>
        </is>
      </c>
      <c r="R1427" t="n">
        <v>44481</v>
      </c>
      <c r="AD1427" t="inlineStr">
        <is>
          <t>TRUMBULL CAREER &amp; TECH CENTER</t>
        </is>
      </c>
      <c r="AE1427" t="inlineStr">
        <is>
          <t>WARREN CITY</t>
        </is>
      </c>
      <c r="AF1427" t="inlineStr">
        <is>
          <t>WARREN CITY SD</t>
        </is>
      </c>
      <c r="AH1427" t="n">
        <v>14</v>
      </c>
      <c r="AI1427" t="n">
        <v>11</v>
      </c>
      <c r="AN1427" t="inlineStr">
        <is>
          <t>WARREN</t>
        </is>
      </c>
      <c r="AO1427" t="inlineStr">
        <is>
          <t>WARREN CITY 4D</t>
        </is>
      </c>
      <c r="AP1427" t="inlineStr">
        <is>
          <t>78-P-ADL</t>
        </is>
      </c>
      <c r="AQ1427" t="n">
        <v>9</v>
      </c>
      <c r="AR1427" t="n">
        <v>64</v>
      </c>
      <c r="AS1427" t="n">
        <v>32</v>
      </c>
      <c r="AU1427">
        <f>COUNTA($BA$1427:$EH$1427)</f>
        <v/>
      </c>
      <c r="AV1427">
        <f>COUNTIF($BA$1427:$EH$1427,"D")</f>
        <v/>
      </c>
      <c r="AW1427">
        <f>COUNTIF($BA$1427:$EH$1427,"R")</f>
        <v/>
      </c>
      <c r="AX1427">
        <f>IF(BN1427="D",1,0)+IF(BO1427="D",1,0)+IF(BT1427="D",1,0)+IF(BU1427="D",1,0)+IF(BW1427="D",1,0)+IF(CC1427="D",1,0)+IF(CD1427="D",1,0)+IF(CE1427="D",1,0)+IF(CF1427="D",1,0)+IF(CL1427="D",1,0)+IF(CM1427="D",1,0)+IF(CQ1427="D",1,0)+IF(CR1427="D",1,0)+IF(CS1427="D",1,0)+IF(CW1427="D",1,0)+IF(CX1427="D",1,0)+IF(DD1427="D",1,0)+IF(DE1427="D",1,0)+IF(DJ1427="D",1,0)+IF(DK1427="D",1,0)+IF(DO1427="D",1,0)+IF(DP1427="D",1,0)+IF(DQ1427="D",1,0)+IF(DW1427="D",1,0)+IF(DZ1427="D",1,0)+IF(EH1427="D",1,0)</f>
        <v/>
      </c>
      <c r="AY1427">
        <f>IF(DJ1427&lt;&gt;"",1,0)+IF(DK1427&lt;&gt;"",1,0)+IF(DM1427&lt;&gt;"",1,0)+IF(DO1427&lt;&gt;"",1,0)+IF(DP1427&lt;&gt;"",1,0)+IF(DQ1427&lt;&gt;"",1,0)+IF(DS1427&lt;&gt;"",1,0)+IF(DT1427&lt;&gt;"",1,0)+IF(DV1427&lt;&gt;"",1,0)+IF(DW1427&lt;&gt;"",1,0)+IF(DX1427&lt;&gt;"",1,0)+IF(DY1427&lt;&gt;"",1,0)+IF(DZ1427&lt;&gt;"",1,0)+IF(EB1427&lt;&gt;"",1,0)+IF(EC1427&lt;&gt;"",1,0)+IF(ED1427&lt;&gt;"",1,0)+IF(EG1427&lt;&gt;"",1,0)+IF(EH1427&lt;&gt;"",1,0)</f>
        <v/>
      </c>
      <c r="AZ1427">
        <f>IF(EH1427&lt;&gt;"",1,0)</f>
        <v/>
      </c>
      <c r="BB1427" t="inlineStr">
        <is>
          <t>WARREN-WARD 4</t>
        </is>
      </c>
      <c r="BC1427" t="inlineStr">
        <is>
          <t>X</t>
        </is>
      </c>
      <c r="BD1427" t="inlineStr">
        <is>
          <t>X</t>
        </is>
      </c>
      <c r="BH1427" t="inlineStr">
        <is>
          <t>X</t>
        </is>
      </c>
      <c r="BJ1427" t="inlineStr">
        <is>
          <t>X</t>
        </is>
      </c>
      <c r="BL1427" t="inlineStr">
        <is>
          <t>X</t>
        </is>
      </c>
      <c r="BR1427" t="inlineStr">
        <is>
          <t>X</t>
        </is>
      </c>
      <c r="CA1427" t="inlineStr">
        <is>
          <t>X</t>
        </is>
      </c>
      <c r="CO1427" t="inlineStr">
        <is>
          <t>X</t>
        </is>
      </c>
      <c r="CP1427" t="inlineStr">
        <is>
          <t>X</t>
        </is>
      </c>
      <c r="DG1427" t="inlineStr">
        <is>
          <t>R</t>
        </is>
      </c>
      <c r="DN1427" t="inlineStr">
        <is>
          <t>X</t>
        </is>
      </c>
    </row>
    <row r="1428">
      <c r="A1428" t="inlineStr">
        <is>
          <t>OH0025720605</t>
        </is>
      </c>
      <c r="B1428" t="n">
        <v>78</v>
      </c>
      <c r="C1428" t="n">
        <v>449298</v>
      </c>
      <c r="D1428" t="inlineStr">
        <is>
          <t>FRIETZE</t>
        </is>
      </c>
      <c r="E1428" t="inlineStr">
        <is>
          <t>DANIEL</t>
        </is>
      </c>
      <c r="F1428">
        <f>CONCATENATE(D1428," ",LEFT(H1428,4),"T=",AU1428,"D=",AV1428,"R=",AW1428,"M=",AX1428,"L=",AY1428,"B=",AZ1428)</f>
        <v/>
      </c>
      <c r="G1428" t="inlineStr">
        <is>
          <t>DREW</t>
        </is>
      </c>
      <c r="I1428" t="inlineStr">
        <is>
          <t>1985-08-22</t>
        </is>
      </c>
      <c r="J1428" t="inlineStr">
        <is>
          <t>2020-08-21</t>
        </is>
      </c>
      <c r="K1428" t="inlineStr">
        <is>
          <t>CONFIRMATION</t>
        </is>
      </c>
      <c r="M1428" t="inlineStr">
        <is>
          <t>515 SCOTT ST NE</t>
        </is>
      </c>
      <c r="N1428">
        <f>RIGHT(M1428,LEN(M1428)-FIND(" ",M1428))</f>
        <v/>
      </c>
      <c r="P1428" t="inlineStr">
        <is>
          <t>WARREN</t>
        </is>
      </c>
      <c r="Q1428" t="inlineStr">
        <is>
          <t>OH</t>
        </is>
      </c>
      <c r="R1428" t="n">
        <v>44483</v>
      </c>
      <c r="AD1428" t="inlineStr">
        <is>
          <t>TRUMBULL CAREER &amp; TECH CENTER</t>
        </is>
      </c>
      <c r="AE1428" t="inlineStr">
        <is>
          <t>WARREN CITY</t>
        </is>
      </c>
      <c r="AF1428" t="inlineStr">
        <is>
          <t>WARREN CITY SD</t>
        </is>
      </c>
      <c r="AH1428" t="n">
        <v>14</v>
      </c>
      <c r="AI1428" t="n">
        <v>11</v>
      </c>
      <c r="AN1428" t="inlineStr">
        <is>
          <t>WARREN</t>
        </is>
      </c>
      <c r="AO1428" t="inlineStr">
        <is>
          <t>WARREN CITY 4D</t>
        </is>
      </c>
      <c r="AP1428" t="inlineStr">
        <is>
          <t>78-P-ADL</t>
        </is>
      </c>
      <c r="AQ1428" t="n">
        <v>9</v>
      </c>
      <c r="AR1428" t="n">
        <v>64</v>
      </c>
      <c r="AS1428" t="n">
        <v>32</v>
      </c>
      <c r="AU1428">
        <f>COUNTA($BA$1428:$EH$1428)</f>
        <v/>
      </c>
      <c r="AV1428">
        <f>COUNTIF($BA$1428:$EH$1428,"D")</f>
        <v/>
      </c>
      <c r="AW1428">
        <f>COUNTIF($BA$1428:$EH$1428,"R")</f>
        <v/>
      </c>
      <c r="AX1428">
        <f>IF(BN1428="D",1,0)+IF(BO1428="D",1,0)+IF(BT1428="D",1,0)+IF(BU1428="D",1,0)+IF(BW1428="D",1,0)+IF(CC1428="D",1,0)+IF(CD1428="D",1,0)+IF(CE1428="D",1,0)+IF(CF1428="D",1,0)+IF(CL1428="D",1,0)+IF(CM1428="D",1,0)+IF(CQ1428="D",1,0)+IF(CR1428="D",1,0)+IF(CS1428="D",1,0)+IF(CW1428="D",1,0)+IF(CX1428="D",1,0)+IF(DD1428="D",1,0)+IF(DE1428="D",1,0)+IF(DJ1428="D",1,0)+IF(DK1428="D",1,0)+IF(DO1428="D",1,0)+IF(DP1428="D",1,0)+IF(DQ1428="D",1,0)+IF(DW1428="D",1,0)+IF(DZ1428="D",1,0)+IF(EH1428="D",1,0)</f>
        <v/>
      </c>
      <c r="AY1428">
        <f>IF(DJ1428&lt;&gt;"",1,0)+IF(DK1428&lt;&gt;"",1,0)+IF(DM1428&lt;&gt;"",1,0)+IF(DO1428&lt;&gt;"",1,0)+IF(DP1428&lt;&gt;"",1,0)+IF(DQ1428&lt;&gt;"",1,0)+IF(DS1428&lt;&gt;"",1,0)+IF(DT1428&lt;&gt;"",1,0)+IF(DV1428&lt;&gt;"",1,0)+IF(DW1428&lt;&gt;"",1,0)+IF(DX1428&lt;&gt;"",1,0)+IF(DY1428&lt;&gt;"",1,0)+IF(DZ1428&lt;&gt;"",1,0)+IF(EB1428&lt;&gt;"",1,0)+IF(EC1428&lt;&gt;"",1,0)+IF(ED1428&lt;&gt;"",1,0)+IF(EG1428&lt;&gt;"",1,0)+IF(EH1428&lt;&gt;"",1,0)</f>
        <v/>
      </c>
      <c r="AZ1428">
        <f>IF(EH1428&lt;&gt;"",1,0)</f>
        <v/>
      </c>
      <c r="BB1428" t="inlineStr">
        <is>
          <t>WARREN-WARD 4</t>
        </is>
      </c>
      <c r="DI1428" t="inlineStr">
        <is>
          <t>X</t>
        </is>
      </c>
    </row>
    <row r="1429">
      <c r="A1429" t="inlineStr">
        <is>
          <t>OH0027270079</t>
        </is>
      </c>
      <c r="B1429" t="n">
        <v>78</v>
      </c>
      <c r="C1429" t="n">
        <v>483978</v>
      </c>
      <c r="D1429" t="inlineStr">
        <is>
          <t>ENGSTER</t>
        </is>
      </c>
      <c r="E1429" t="inlineStr">
        <is>
          <t>AARON</t>
        </is>
      </c>
      <c r="F1429">
        <f>CONCATENATE(D1429," ",LEFT(H1429,4),"T=",AU1429,"D=",AV1429,"R=",AW1429,"M=",AX1429,"L=",AY1429,"B=",AZ1429)</f>
        <v/>
      </c>
      <c r="G1429" t="inlineStr">
        <is>
          <t>J</t>
        </is>
      </c>
      <c r="I1429" t="inlineStr">
        <is>
          <t>1995-08-08</t>
        </is>
      </c>
      <c r="J1429" t="inlineStr">
        <is>
          <t>2024-03-21</t>
        </is>
      </c>
      <c r="K1429" t="inlineStr">
        <is>
          <t>ACTIVE</t>
        </is>
      </c>
      <c r="M1429" t="inlineStr">
        <is>
          <t>428 ELM RD NE</t>
        </is>
      </c>
      <c r="N1429">
        <f>RIGHT(M1429,LEN(M1429)-FIND(" ",M1429))</f>
        <v/>
      </c>
      <c r="P1429" t="inlineStr">
        <is>
          <t>WARREN</t>
        </is>
      </c>
      <c r="Q1429" t="inlineStr">
        <is>
          <t>OH</t>
        </is>
      </c>
      <c r="R1429" t="n">
        <v>44483</v>
      </c>
      <c r="AD1429" t="inlineStr">
        <is>
          <t>TRUMBULL CAREER &amp; TECH CENTER</t>
        </is>
      </c>
      <c r="AE1429" t="inlineStr">
        <is>
          <t>WARREN CITY</t>
        </is>
      </c>
      <c r="AF1429" t="inlineStr">
        <is>
          <t>WARREN CITY SD</t>
        </is>
      </c>
      <c r="AH1429" t="n">
        <v>14</v>
      </c>
      <c r="AI1429" t="n">
        <v>11</v>
      </c>
      <c r="AN1429" t="inlineStr">
        <is>
          <t>WARREN</t>
        </is>
      </c>
      <c r="AO1429" t="inlineStr">
        <is>
          <t>WARREN CITY 4D</t>
        </is>
      </c>
      <c r="AP1429" t="inlineStr">
        <is>
          <t>78-P-ADL</t>
        </is>
      </c>
      <c r="AQ1429" t="n">
        <v>9</v>
      </c>
      <c r="AR1429" t="n">
        <v>64</v>
      </c>
      <c r="AS1429" t="n">
        <v>32</v>
      </c>
      <c r="AU1429">
        <f>COUNTA($BA$1429:$EH$1429)</f>
        <v/>
      </c>
      <c r="AV1429">
        <f>COUNTIF($BA$1429:$EH$1429,"D")</f>
        <v/>
      </c>
      <c r="AW1429">
        <f>COUNTIF($BA$1429:$EH$1429,"R")</f>
        <v/>
      </c>
      <c r="AX1429">
        <f>IF(BN1429="D",1,0)+IF(BO1429="D",1,0)+IF(BT1429="D",1,0)+IF(BU1429="D",1,0)+IF(BW1429="D",1,0)+IF(CC1429="D",1,0)+IF(CD1429="D",1,0)+IF(CE1429="D",1,0)+IF(CF1429="D",1,0)+IF(CL1429="D",1,0)+IF(CM1429="D",1,0)+IF(CQ1429="D",1,0)+IF(CR1429="D",1,0)+IF(CS1429="D",1,0)+IF(CW1429="D",1,0)+IF(CX1429="D",1,0)+IF(DD1429="D",1,0)+IF(DE1429="D",1,0)+IF(DJ1429="D",1,0)+IF(DK1429="D",1,0)+IF(DO1429="D",1,0)+IF(DP1429="D",1,0)+IF(DQ1429="D",1,0)+IF(DW1429="D",1,0)+IF(DZ1429="D",1,0)+IF(EH1429="D",1,0)</f>
        <v/>
      </c>
      <c r="AY1429">
        <f>IF(DJ1429&lt;&gt;"",1,0)+IF(DK1429&lt;&gt;"",1,0)+IF(DM1429&lt;&gt;"",1,0)+IF(DO1429&lt;&gt;"",1,0)+IF(DP1429&lt;&gt;"",1,0)+IF(DQ1429&lt;&gt;"",1,0)+IF(DS1429&lt;&gt;"",1,0)+IF(DT1429&lt;&gt;"",1,0)+IF(DV1429&lt;&gt;"",1,0)+IF(DW1429&lt;&gt;"",1,0)+IF(DX1429&lt;&gt;"",1,0)+IF(DY1429&lt;&gt;"",1,0)+IF(DZ1429&lt;&gt;"",1,0)+IF(EB1429&lt;&gt;"",1,0)+IF(EC1429&lt;&gt;"",1,0)+IF(ED1429&lt;&gt;"",1,0)+IF(EG1429&lt;&gt;"",1,0)+IF(EH1429&lt;&gt;"",1,0)</f>
        <v/>
      </c>
      <c r="AZ1429">
        <f>IF(EH1429&lt;&gt;"",1,0)</f>
        <v/>
      </c>
      <c r="BB1429" t="inlineStr">
        <is>
          <t>WARREN-WARD 4</t>
        </is>
      </c>
      <c r="EF1429" t="inlineStr">
        <is>
          <t>X</t>
        </is>
      </c>
    </row>
    <row r="1430">
      <c r="A1430" t="inlineStr">
        <is>
          <t>OH0027042653</t>
        </is>
      </c>
      <c r="B1430" t="n">
        <v>78</v>
      </c>
      <c r="C1430" t="n">
        <v>476136</v>
      </c>
      <c r="D1430" t="inlineStr">
        <is>
          <t>ROBINSON</t>
        </is>
      </c>
      <c r="E1430" t="inlineStr">
        <is>
          <t>SHAZON</t>
        </is>
      </c>
      <c r="F1430">
        <f>CONCATENATE(D1430," ",LEFT(H1430,4),"T=",AU1430,"D=",AV1430,"R=",AW1430,"M=",AX1430,"L=",AY1430,"B=",AZ1430)</f>
        <v/>
      </c>
      <c r="G1430" t="inlineStr">
        <is>
          <t>AXAVIER</t>
        </is>
      </c>
      <c r="I1430" t="inlineStr">
        <is>
          <t>2005-04-29</t>
        </is>
      </c>
      <c r="J1430" t="inlineStr">
        <is>
          <t>2023-08-17</t>
        </is>
      </c>
      <c r="K1430" t="inlineStr">
        <is>
          <t>ACTIVE</t>
        </is>
      </c>
      <c r="M1430" t="inlineStr">
        <is>
          <t>770 PAIGE AVE NE</t>
        </is>
      </c>
      <c r="N1430">
        <f>RIGHT(M1430,LEN(M1430)-FIND(" ",M1430))</f>
        <v/>
      </c>
      <c r="P1430" t="inlineStr">
        <is>
          <t>WARREN</t>
        </is>
      </c>
      <c r="Q1430" t="inlineStr">
        <is>
          <t>OH</t>
        </is>
      </c>
      <c r="R1430" t="n">
        <v>44483</v>
      </c>
      <c r="AD1430" t="inlineStr">
        <is>
          <t>TRUMBULL CAREER &amp; TECH CENTER</t>
        </is>
      </c>
      <c r="AE1430" t="inlineStr">
        <is>
          <t>WARREN CITY</t>
        </is>
      </c>
      <c r="AF1430" t="inlineStr">
        <is>
          <t>WARREN CITY SD</t>
        </is>
      </c>
      <c r="AH1430" t="n">
        <v>14</v>
      </c>
      <c r="AI1430" t="n">
        <v>11</v>
      </c>
      <c r="AN1430" t="inlineStr">
        <is>
          <t>WARREN</t>
        </is>
      </c>
      <c r="AO1430" t="inlineStr">
        <is>
          <t>WARREN CITY 4D</t>
        </is>
      </c>
      <c r="AP1430" t="inlineStr">
        <is>
          <t>78-P-ADL</t>
        </is>
      </c>
      <c r="AQ1430" t="n">
        <v>9</v>
      </c>
      <c r="AR1430" t="n">
        <v>64</v>
      </c>
      <c r="AS1430" t="n">
        <v>32</v>
      </c>
      <c r="AU1430">
        <f>COUNTA($BA$1430:$EH$1430)</f>
        <v/>
      </c>
      <c r="AV1430">
        <f>COUNTIF($BA$1430:$EH$1430,"D")</f>
        <v/>
      </c>
      <c r="AW1430">
        <f>COUNTIF($BA$1430:$EH$1430,"R")</f>
        <v/>
      </c>
      <c r="AX1430">
        <f>IF(BN1430="D",1,0)+IF(BO1430="D",1,0)+IF(BT1430="D",1,0)+IF(BU1430="D",1,0)+IF(BW1430="D",1,0)+IF(CC1430="D",1,0)+IF(CD1430="D",1,0)+IF(CE1430="D",1,0)+IF(CF1430="D",1,0)+IF(CL1430="D",1,0)+IF(CM1430="D",1,0)+IF(CQ1430="D",1,0)+IF(CR1430="D",1,0)+IF(CS1430="D",1,0)+IF(CW1430="D",1,0)+IF(CX1430="D",1,0)+IF(DD1430="D",1,0)+IF(DE1430="D",1,0)+IF(DJ1430="D",1,0)+IF(DK1430="D",1,0)+IF(DO1430="D",1,0)+IF(DP1430="D",1,0)+IF(DQ1430="D",1,0)+IF(DW1430="D",1,0)+IF(DZ1430="D",1,0)+IF(EH1430="D",1,0)</f>
        <v/>
      </c>
      <c r="AY1430">
        <f>IF(DJ1430&lt;&gt;"",1,0)+IF(DK1430&lt;&gt;"",1,0)+IF(DM1430&lt;&gt;"",1,0)+IF(DO1430&lt;&gt;"",1,0)+IF(DP1430&lt;&gt;"",1,0)+IF(DQ1430&lt;&gt;"",1,0)+IF(DS1430&lt;&gt;"",1,0)+IF(DT1430&lt;&gt;"",1,0)+IF(DV1430&lt;&gt;"",1,0)+IF(DW1430&lt;&gt;"",1,0)+IF(DX1430&lt;&gt;"",1,0)+IF(DY1430&lt;&gt;"",1,0)+IF(DZ1430&lt;&gt;"",1,0)+IF(EB1430&lt;&gt;"",1,0)+IF(EC1430&lt;&gt;"",1,0)+IF(ED1430&lt;&gt;"",1,0)+IF(EG1430&lt;&gt;"",1,0)+IF(EH1430&lt;&gt;"",1,0)</f>
        <v/>
      </c>
      <c r="AZ1430">
        <f>IF(EH1430&lt;&gt;"",1,0)</f>
        <v/>
      </c>
      <c r="BB1430" t="inlineStr">
        <is>
          <t>WARREN-WARD 4</t>
        </is>
      </c>
    </row>
    <row r="1431">
      <c r="A1431" t="inlineStr">
        <is>
          <t>OH0025914202</t>
        </is>
      </c>
      <c r="B1431" t="n">
        <v>78</v>
      </c>
      <c r="C1431" t="n">
        <v>452526</v>
      </c>
      <c r="D1431" t="inlineStr">
        <is>
          <t>KELLEY</t>
        </is>
      </c>
      <c r="E1431" t="inlineStr">
        <is>
          <t>THERESE</t>
        </is>
      </c>
      <c r="F1431">
        <f>CONCATENATE(D1431," ",LEFT(H1431,4),"T=",AU1431,"D=",AV1431,"R=",AW1431,"M=",AX1431,"L=",AY1431,"B=",AZ1431)</f>
        <v/>
      </c>
      <c r="G1431" t="inlineStr">
        <is>
          <t>ANN</t>
        </is>
      </c>
      <c r="I1431" t="inlineStr">
        <is>
          <t>1975-04-14</t>
        </is>
      </c>
      <c r="J1431" t="inlineStr">
        <is>
          <t>2020-09-26</t>
        </is>
      </c>
      <c r="K1431" t="inlineStr">
        <is>
          <t>ACTIVE</t>
        </is>
      </c>
      <c r="M1431" t="inlineStr">
        <is>
          <t>247 SCOTT ST NE</t>
        </is>
      </c>
      <c r="N1431">
        <f>RIGHT(M1431,LEN(M1431)-FIND(" ",M1431))</f>
        <v/>
      </c>
      <c r="P1431" t="inlineStr">
        <is>
          <t>WARREN</t>
        </is>
      </c>
      <c r="Q1431" t="inlineStr">
        <is>
          <t>OH</t>
        </is>
      </c>
      <c r="R1431" t="n">
        <v>44483</v>
      </c>
      <c r="AD1431" t="inlineStr">
        <is>
          <t>TRUMBULL CAREER &amp; TECH CENTER</t>
        </is>
      </c>
      <c r="AE1431" t="inlineStr">
        <is>
          <t>WARREN CITY</t>
        </is>
      </c>
      <c r="AF1431" t="inlineStr">
        <is>
          <t>WARREN CITY SD</t>
        </is>
      </c>
      <c r="AH1431" t="n">
        <v>14</v>
      </c>
      <c r="AI1431" t="n">
        <v>11</v>
      </c>
      <c r="AN1431" t="inlineStr">
        <is>
          <t>WARREN</t>
        </is>
      </c>
      <c r="AO1431" t="inlineStr">
        <is>
          <t>WARREN CITY 4D</t>
        </is>
      </c>
      <c r="AP1431" t="inlineStr">
        <is>
          <t>78-P-ADL</t>
        </is>
      </c>
      <c r="AQ1431" t="n">
        <v>9</v>
      </c>
      <c r="AR1431" t="n">
        <v>64</v>
      </c>
      <c r="AS1431" t="n">
        <v>32</v>
      </c>
      <c r="AU1431">
        <f>COUNTA($BA$1431:$EH$1431)</f>
        <v/>
      </c>
      <c r="AV1431">
        <f>COUNTIF($BA$1431:$EH$1431,"D")</f>
        <v/>
      </c>
      <c r="AW1431">
        <f>COUNTIF($BA$1431:$EH$1431,"R")</f>
        <v/>
      </c>
      <c r="AX1431">
        <f>IF(BN1431="D",1,0)+IF(BO1431="D",1,0)+IF(BT1431="D",1,0)+IF(BU1431="D",1,0)+IF(BW1431="D",1,0)+IF(CC1431="D",1,0)+IF(CD1431="D",1,0)+IF(CE1431="D",1,0)+IF(CF1431="D",1,0)+IF(CL1431="D",1,0)+IF(CM1431="D",1,0)+IF(CQ1431="D",1,0)+IF(CR1431="D",1,0)+IF(CS1431="D",1,0)+IF(CW1431="D",1,0)+IF(CX1431="D",1,0)+IF(DD1431="D",1,0)+IF(DE1431="D",1,0)+IF(DJ1431="D",1,0)+IF(DK1431="D",1,0)+IF(DO1431="D",1,0)+IF(DP1431="D",1,0)+IF(DQ1431="D",1,0)+IF(DW1431="D",1,0)+IF(DZ1431="D",1,0)+IF(EH1431="D",1,0)</f>
        <v/>
      </c>
      <c r="AY1431">
        <f>IF(DJ1431&lt;&gt;"",1,0)+IF(DK1431&lt;&gt;"",1,0)+IF(DM1431&lt;&gt;"",1,0)+IF(DO1431&lt;&gt;"",1,0)+IF(DP1431&lt;&gt;"",1,0)+IF(DQ1431&lt;&gt;"",1,0)+IF(DS1431&lt;&gt;"",1,0)+IF(DT1431&lt;&gt;"",1,0)+IF(DV1431&lt;&gt;"",1,0)+IF(DW1431&lt;&gt;"",1,0)+IF(DX1431&lt;&gt;"",1,0)+IF(DY1431&lt;&gt;"",1,0)+IF(DZ1431&lt;&gt;"",1,0)+IF(EB1431&lt;&gt;"",1,0)+IF(EC1431&lt;&gt;"",1,0)+IF(ED1431&lt;&gt;"",1,0)+IF(EG1431&lt;&gt;"",1,0)+IF(EH1431&lt;&gt;"",1,0)</f>
        <v/>
      </c>
      <c r="AZ1431">
        <f>IF(EH1431&lt;&gt;"",1,0)</f>
        <v/>
      </c>
      <c r="BB1431" t="inlineStr">
        <is>
          <t>WARREN-WARD 4</t>
        </is>
      </c>
      <c r="DN1431" t="inlineStr">
        <is>
          <t>X</t>
        </is>
      </c>
      <c r="EF1431" t="inlineStr">
        <is>
          <t>X</t>
        </is>
      </c>
    </row>
    <row r="1432">
      <c r="A1432" t="inlineStr">
        <is>
          <t>OH0025914426</t>
        </is>
      </c>
      <c r="B1432" t="n">
        <v>78</v>
      </c>
      <c r="C1432" t="n">
        <v>452527</v>
      </c>
      <c r="D1432" t="inlineStr">
        <is>
          <t>TUCKER</t>
        </is>
      </c>
      <c r="E1432" t="inlineStr">
        <is>
          <t>THOMAS</t>
        </is>
      </c>
      <c r="F1432">
        <f>CONCATENATE(D1432," ",LEFT(H1432,4),"T=",AU1432,"D=",AV1432,"R=",AW1432,"M=",AX1432,"L=",AY1432,"B=",AZ1432)</f>
        <v/>
      </c>
      <c r="G1432" t="inlineStr">
        <is>
          <t>EDWARD</t>
        </is>
      </c>
      <c r="I1432" t="inlineStr">
        <is>
          <t>1967-06-15</t>
        </is>
      </c>
      <c r="J1432" t="inlineStr">
        <is>
          <t>2020-09-26</t>
        </is>
      </c>
      <c r="K1432" t="inlineStr">
        <is>
          <t>ACTIVE</t>
        </is>
      </c>
      <c r="M1432" t="inlineStr">
        <is>
          <t>247 SCOTT ST NE</t>
        </is>
      </c>
      <c r="N1432">
        <f>RIGHT(M1432,LEN(M1432)-FIND(" ",M1432))</f>
        <v/>
      </c>
      <c r="P1432" t="inlineStr">
        <is>
          <t>WARREN</t>
        </is>
      </c>
      <c r="Q1432" t="inlineStr">
        <is>
          <t>OH</t>
        </is>
      </c>
      <c r="R1432" t="n">
        <v>44483</v>
      </c>
      <c r="AD1432" t="inlineStr">
        <is>
          <t>TRUMBULL CAREER &amp; TECH CENTER</t>
        </is>
      </c>
      <c r="AE1432" t="inlineStr">
        <is>
          <t>WARREN CITY</t>
        </is>
      </c>
      <c r="AF1432" t="inlineStr">
        <is>
          <t>WARREN CITY SD</t>
        </is>
      </c>
      <c r="AH1432" t="n">
        <v>14</v>
      </c>
      <c r="AI1432" t="n">
        <v>11</v>
      </c>
      <c r="AN1432" t="inlineStr">
        <is>
          <t>WARREN</t>
        </is>
      </c>
      <c r="AO1432" t="inlineStr">
        <is>
          <t>WARREN CITY 4D</t>
        </is>
      </c>
      <c r="AP1432" t="inlineStr">
        <is>
          <t>78-P-ADL</t>
        </is>
      </c>
      <c r="AQ1432" t="n">
        <v>9</v>
      </c>
      <c r="AR1432" t="n">
        <v>64</v>
      </c>
      <c r="AS1432" t="n">
        <v>32</v>
      </c>
      <c r="AU1432">
        <f>COUNTA($BA$1432:$EH$1432)</f>
        <v/>
      </c>
      <c r="AV1432">
        <f>COUNTIF($BA$1432:$EH$1432,"D")</f>
        <v/>
      </c>
      <c r="AW1432">
        <f>COUNTIF($BA$1432:$EH$1432,"R")</f>
        <v/>
      </c>
      <c r="AX1432">
        <f>IF(BN1432="D",1,0)+IF(BO1432="D",1,0)+IF(BT1432="D",1,0)+IF(BU1432="D",1,0)+IF(BW1432="D",1,0)+IF(CC1432="D",1,0)+IF(CD1432="D",1,0)+IF(CE1432="D",1,0)+IF(CF1432="D",1,0)+IF(CL1432="D",1,0)+IF(CM1432="D",1,0)+IF(CQ1432="D",1,0)+IF(CR1432="D",1,0)+IF(CS1432="D",1,0)+IF(CW1432="D",1,0)+IF(CX1432="D",1,0)+IF(DD1432="D",1,0)+IF(DE1432="D",1,0)+IF(DJ1432="D",1,0)+IF(DK1432="D",1,0)+IF(DO1432="D",1,0)+IF(DP1432="D",1,0)+IF(DQ1432="D",1,0)+IF(DW1432="D",1,0)+IF(DZ1432="D",1,0)+IF(EH1432="D",1,0)</f>
        <v/>
      </c>
      <c r="AY1432">
        <f>IF(DJ1432&lt;&gt;"",1,0)+IF(DK1432&lt;&gt;"",1,0)+IF(DM1432&lt;&gt;"",1,0)+IF(DO1432&lt;&gt;"",1,0)+IF(DP1432&lt;&gt;"",1,0)+IF(DQ1432&lt;&gt;"",1,0)+IF(DS1432&lt;&gt;"",1,0)+IF(DT1432&lt;&gt;"",1,0)+IF(DV1432&lt;&gt;"",1,0)+IF(DW1432&lt;&gt;"",1,0)+IF(DX1432&lt;&gt;"",1,0)+IF(DY1432&lt;&gt;"",1,0)+IF(DZ1432&lt;&gt;"",1,0)+IF(EB1432&lt;&gt;"",1,0)+IF(EC1432&lt;&gt;"",1,0)+IF(ED1432&lt;&gt;"",1,0)+IF(EG1432&lt;&gt;"",1,0)+IF(EH1432&lt;&gt;"",1,0)</f>
        <v/>
      </c>
      <c r="AZ1432">
        <f>IF(EH1432&lt;&gt;"",1,0)</f>
        <v/>
      </c>
      <c r="BB1432" t="inlineStr">
        <is>
          <t>WARREN-WARD 4</t>
        </is>
      </c>
      <c r="DN1432" t="inlineStr">
        <is>
          <t>X</t>
        </is>
      </c>
      <c r="DU1432" t="inlineStr">
        <is>
          <t>X</t>
        </is>
      </c>
      <c r="EF1432" t="inlineStr">
        <is>
          <t>X</t>
        </is>
      </c>
    </row>
    <row r="1433">
      <c r="A1433" t="inlineStr">
        <is>
          <t>OH0018855150</t>
        </is>
      </c>
      <c r="B1433" t="n">
        <v>78</v>
      </c>
      <c r="C1433" t="n">
        <v>345508</v>
      </c>
      <c r="D1433" t="inlineStr">
        <is>
          <t>JONES</t>
        </is>
      </c>
      <c r="E1433" t="inlineStr">
        <is>
          <t>HEATHER</t>
        </is>
      </c>
      <c r="F1433">
        <f>CONCATENATE(D1433," ",LEFT(H1433,4),"T=",AU1433,"D=",AV1433,"R=",AW1433,"M=",AX1433,"L=",AY1433,"B=",AZ1433)</f>
        <v/>
      </c>
      <c r="G1433" t="inlineStr">
        <is>
          <t>D</t>
        </is>
      </c>
      <c r="I1433" t="inlineStr">
        <is>
          <t>1984-02-16</t>
        </is>
      </c>
      <c r="J1433" t="inlineStr">
        <is>
          <t>2024-08-09</t>
        </is>
      </c>
      <c r="K1433" t="inlineStr">
        <is>
          <t>ACTIVE</t>
        </is>
      </c>
      <c r="M1433" t="inlineStr">
        <is>
          <t>330 LOGAN AVE NE</t>
        </is>
      </c>
      <c r="N1433">
        <f>RIGHT(M1433,LEN(M1433)-FIND(" ",M1433))</f>
        <v/>
      </c>
      <c r="P1433" t="inlineStr">
        <is>
          <t>WARREN</t>
        </is>
      </c>
      <c r="Q1433" t="inlineStr">
        <is>
          <t>OH</t>
        </is>
      </c>
      <c r="R1433" t="n">
        <v>44483</v>
      </c>
      <c r="AD1433" t="inlineStr">
        <is>
          <t>TRUMBULL CAREER &amp; TECH CENTER</t>
        </is>
      </c>
      <c r="AE1433" t="inlineStr">
        <is>
          <t>WARREN CITY</t>
        </is>
      </c>
      <c r="AF1433" t="inlineStr">
        <is>
          <t>WARREN CITY SD</t>
        </is>
      </c>
      <c r="AH1433" t="n">
        <v>14</v>
      </c>
      <c r="AI1433" t="n">
        <v>11</v>
      </c>
      <c r="AN1433" t="inlineStr">
        <is>
          <t>WARREN</t>
        </is>
      </c>
      <c r="AO1433" t="inlineStr">
        <is>
          <t>WARREN CITY 4D</t>
        </is>
      </c>
      <c r="AP1433" t="inlineStr">
        <is>
          <t>78-P-ADL</t>
        </is>
      </c>
      <c r="AQ1433" t="n">
        <v>9</v>
      </c>
      <c r="AR1433" t="n">
        <v>64</v>
      </c>
      <c r="AS1433" t="n">
        <v>32</v>
      </c>
      <c r="AU1433">
        <f>COUNTA($BA$1433:$EH$1433)</f>
        <v/>
      </c>
      <c r="AV1433">
        <f>COUNTIF($BA$1433:$EH$1433,"D")</f>
        <v/>
      </c>
      <c r="AW1433">
        <f>COUNTIF($BA$1433:$EH$1433,"R")</f>
        <v/>
      </c>
      <c r="AX1433">
        <f>IF(BN1433="D",1,0)+IF(BO1433="D",1,0)+IF(BT1433="D",1,0)+IF(BU1433="D",1,0)+IF(BW1433="D",1,0)+IF(CC1433="D",1,0)+IF(CD1433="D",1,0)+IF(CE1433="D",1,0)+IF(CF1433="D",1,0)+IF(CL1433="D",1,0)+IF(CM1433="D",1,0)+IF(CQ1433="D",1,0)+IF(CR1433="D",1,0)+IF(CS1433="D",1,0)+IF(CW1433="D",1,0)+IF(CX1433="D",1,0)+IF(DD1433="D",1,0)+IF(DE1433="D",1,0)+IF(DJ1433="D",1,0)+IF(DK1433="D",1,0)+IF(DO1433="D",1,0)+IF(DP1433="D",1,0)+IF(DQ1433="D",1,0)+IF(DW1433="D",1,0)+IF(DZ1433="D",1,0)+IF(EH1433="D",1,0)</f>
        <v/>
      </c>
      <c r="AY1433">
        <f>IF(DJ1433&lt;&gt;"",1,0)+IF(DK1433&lt;&gt;"",1,0)+IF(DM1433&lt;&gt;"",1,0)+IF(DO1433&lt;&gt;"",1,0)+IF(DP1433&lt;&gt;"",1,0)+IF(DQ1433&lt;&gt;"",1,0)+IF(DS1433&lt;&gt;"",1,0)+IF(DT1433&lt;&gt;"",1,0)+IF(DV1433&lt;&gt;"",1,0)+IF(DW1433&lt;&gt;"",1,0)+IF(DX1433&lt;&gt;"",1,0)+IF(DY1433&lt;&gt;"",1,0)+IF(DZ1433&lt;&gt;"",1,0)+IF(EB1433&lt;&gt;"",1,0)+IF(EC1433&lt;&gt;"",1,0)+IF(ED1433&lt;&gt;"",1,0)+IF(EG1433&lt;&gt;"",1,0)+IF(EH1433&lt;&gt;"",1,0)</f>
        <v/>
      </c>
      <c r="AZ1433">
        <f>IF(EH1433&lt;&gt;"",1,0)</f>
        <v/>
      </c>
      <c r="BB1433" t="inlineStr">
        <is>
          <t>WARREN-WARD 4</t>
        </is>
      </c>
    </row>
    <row r="1434">
      <c r="A1434" t="inlineStr">
        <is>
          <t>OH0015709939</t>
        </is>
      </c>
      <c r="B1434" t="n">
        <v>78</v>
      </c>
      <c r="C1434" t="n">
        <v>176452</v>
      </c>
      <c r="D1434" t="inlineStr">
        <is>
          <t>RAMEY</t>
        </is>
      </c>
      <c r="E1434" t="inlineStr">
        <is>
          <t>ERVIN</t>
        </is>
      </c>
      <c r="F1434">
        <f>CONCATENATE(D1434," ",LEFT(H1434,4),"T=",AU1434,"D=",AV1434,"R=",AW1434,"M=",AX1434,"L=",AY1434,"B=",AZ1434)</f>
        <v/>
      </c>
      <c r="G1434" t="inlineStr">
        <is>
          <t>B</t>
        </is>
      </c>
      <c r="I1434" t="inlineStr">
        <is>
          <t>1949-01-03</t>
        </is>
      </c>
      <c r="J1434" t="inlineStr">
        <is>
          <t>1984-10-09</t>
        </is>
      </c>
      <c r="K1434" t="inlineStr">
        <is>
          <t>ACTIVE</t>
        </is>
      </c>
      <c r="L1434" t="inlineStr">
        <is>
          <t>D</t>
        </is>
      </c>
      <c r="M1434" t="inlineStr">
        <is>
          <t>348 WASHINGTON ST NE</t>
        </is>
      </c>
      <c r="N1434">
        <f>RIGHT(M1434,LEN(M1434)-FIND(" ",M1434))</f>
        <v/>
      </c>
      <c r="P1434" t="inlineStr">
        <is>
          <t>WARREN</t>
        </is>
      </c>
      <c r="Q1434" t="inlineStr">
        <is>
          <t>OH</t>
        </is>
      </c>
      <c r="R1434" t="n">
        <v>44483</v>
      </c>
      <c r="AD1434" t="inlineStr">
        <is>
          <t>TRUMBULL CAREER &amp; TECH CENTER</t>
        </is>
      </c>
      <c r="AE1434" t="inlineStr">
        <is>
          <t>WARREN CITY</t>
        </is>
      </c>
      <c r="AF1434" t="inlineStr">
        <is>
          <t>WARREN CITY SD</t>
        </is>
      </c>
      <c r="AH1434" t="n">
        <v>14</v>
      </c>
      <c r="AI1434" t="n">
        <v>11</v>
      </c>
      <c r="AN1434" t="inlineStr">
        <is>
          <t>WARREN</t>
        </is>
      </c>
      <c r="AO1434" t="inlineStr">
        <is>
          <t>WARREN CITY 4D</t>
        </is>
      </c>
      <c r="AP1434" t="inlineStr">
        <is>
          <t>78-P-ADL</t>
        </is>
      </c>
      <c r="AQ1434" t="n">
        <v>9</v>
      </c>
      <c r="AR1434" t="n">
        <v>64</v>
      </c>
      <c r="AS1434" t="n">
        <v>32</v>
      </c>
      <c r="AU1434">
        <f>COUNTA($BA$1434:$EH$1434)</f>
        <v/>
      </c>
      <c r="AV1434">
        <f>COUNTIF($BA$1434:$EH$1434,"D")</f>
        <v/>
      </c>
      <c r="AW1434">
        <f>COUNTIF($BA$1434:$EH$1434,"R")</f>
        <v/>
      </c>
      <c r="AX1434">
        <f>IF(BN1434="D",1,0)+IF(BO1434="D",1,0)+IF(BT1434="D",1,0)+IF(BU1434="D",1,0)+IF(BW1434="D",1,0)+IF(CC1434="D",1,0)+IF(CD1434="D",1,0)+IF(CE1434="D",1,0)+IF(CF1434="D",1,0)+IF(CL1434="D",1,0)+IF(CM1434="D",1,0)+IF(CQ1434="D",1,0)+IF(CR1434="D",1,0)+IF(CS1434="D",1,0)+IF(CW1434="D",1,0)+IF(CX1434="D",1,0)+IF(DD1434="D",1,0)+IF(DE1434="D",1,0)+IF(DJ1434="D",1,0)+IF(DK1434="D",1,0)+IF(DO1434="D",1,0)+IF(DP1434="D",1,0)+IF(DQ1434="D",1,0)+IF(DW1434="D",1,0)+IF(DZ1434="D",1,0)+IF(EH1434="D",1,0)</f>
        <v/>
      </c>
      <c r="AY1434">
        <f>IF(DJ1434&lt;&gt;"",1,0)+IF(DK1434&lt;&gt;"",1,0)+IF(DM1434&lt;&gt;"",1,0)+IF(DO1434&lt;&gt;"",1,0)+IF(DP1434&lt;&gt;"",1,0)+IF(DQ1434&lt;&gt;"",1,0)+IF(DS1434&lt;&gt;"",1,0)+IF(DT1434&lt;&gt;"",1,0)+IF(DV1434&lt;&gt;"",1,0)+IF(DW1434&lt;&gt;"",1,0)+IF(DX1434&lt;&gt;"",1,0)+IF(DY1434&lt;&gt;"",1,0)+IF(DZ1434&lt;&gt;"",1,0)+IF(EB1434&lt;&gt;"",1,0)+IF(EC1434&lt;&gt;"",1,0)+IF(ED1434&lt;&gt;"",1,0)+IF(EG1434&lt;&gt;"",1,0)+IF(EH1434&lt;&gt;"",1,0)</f>
        <v/>
      </c>
      <c r="AZ1434">
        <f>IF(EH1434&lt;&gt;"",1,0)</f>
        <v/>
      </c>
      <c r="BB1434" t="inlineStr">
        <is>
          <t>WARREN-WARD 4</t>
        </is>
      </c>
      <c r="BC1434" t="inlineStr">
        <is>
          <t>X</t>
        </is>
      </c>
      <c r="BD1434" t="inlineStr">
        <is>
          <t>X</t>
        </is>
      </c>
      <c r="BE1434" t="inlineStr">
        <is>
          <t>X</t>
        </is>
      </c>
      <c r="BF1434" t="inlineStr">
        <is>
          <t>X</t>
        </is>
      </c>
      <c r="BG1434" t="inlineStr">
        <is>
          <t>X</t>
        </is>
      </c>
      <c r="BH1434" t="inlineStr">
        <is>
          <t>X</t>
        </is>
      </c>
      <c r="BI1434" t="inlineStr">
        <is>
          <t>X</t>
        </is>
      </c>
      <c r="BJ1434" t="inlineStr">
        <is>
          <t>X</t>
        </is>
      </c>
      <c r="BK1434" t="inlineStr">
        <is>
          <t>X</t>
        </is>
      </c>
      <c r="BL1434" t="inlineStr">
        <is>
          <t>X</t>
        </is>
      </c>
      <c r="BP1434" t="inlineStr">
        <is>
          <t>X</t>
        </is>
      </c>
      <c r="BR1434" t="inlineStr">
        <is>
          <t>X</t>
        </is>
      </c>
      <c r="BS1434" t="inlineStr">
        <is>
          <t>X</t>
        </is>
      </c>
      <c r="BT1434" t="inlineStr">
        <is>
          <t>X</t>
        </is>
      </c>
      <c r="BV1434" t="inlineStr">
        <is>
          <t>X</t>
        </is>
      </c>
      <c r="BY1434" t="inlineStr">
        <is>
          <t>D</t>
        </is>
      </c>
      <c r="CA1434" t="inlineStr">
        <is>
          <t>X</t>
        </is>
      </c>
      <c r="CC1434" t="inlineStr">
        <is>
          <t>D</t>
        </is>
      </c>
      <c r="CG1434" t="inlineStr">
        <is>
          <t>X</t>
        </is>
      </c>
      <c r="CH1434" t="inlineStr">
        <is>
          <t>D</t>
        </is>
      </c>
      <c r="CK1434" t="inlineStr">
        <is>
          <t>X</t>
        </is>
      </c>
      <c r="CL1434" t="inlineStr">
        <is>
          <t>D</t>
        </is>
      </c>
      <c r="CN1434" t="inlineStr">
        <is>
          <t>X</t>
        </is>
      </c>
      <c r="CO1434" t="inlineStr">
        <is>
          <t>D</t>
        </is>
      </c>
      <c r="CP1434" t="inlineStr">
        <is>
          <t>X</t>
        </is>
      </c>
      <c r="CQ1434" t="inlineStr">
        <is>
          <t>D</t>
        </is>
      </c>
      <c r="CT1434" t="inlineStr">
        <is>
          <t>X</t>
        </is>
      </c>
      <c r="CU1434" t="inlineStr">
        <is>
          <t>D</t>
        </is>
      </c>
      <c r="CV1434" t="inlineStr">
        <is>
          <t>X</t>
        </is>
      </c>
      <c r="CW1434" t="inlineStr">
        <is>
          <t>D</t>
        </is>
      </c>
      <c r="CY1434" t="inlineStr">
        <is>
          <t>X</t>
        </is>
      </c>
      <c r="CZ1434" t="inlineStr">
        <is>
          <t>D</t>
        </is>
      </c>
      <c r="DC1434" t="inlineStr">
        <is>
          <t>X</t>
        </is>
      </c>
      <c r="DD1434" t="inlineStr">
        <is>
          <t>D</t>
        </is>
      </c>
      <c r="DF1434" t="inlineStr">
        <is>
          <t>X</t>
        </is>
      </c>
      <c r="DG1434" t="inlineStr">
        <is>
          <t>D</t>
        </is>
      </c>
      <c r="DI1434" t="inlineStr">
        <is>
          <t>X</t>
        </is>
      </c>
      <c r="DJ1434" t="inlineStr">
        <is>
          <t>D</t>
        </is>
      </c>
      <c r="DL1434" t="inlineStr">
        <is>
          <t>X</t>
        </is>
      </c>
      <c r="DM1434" t="inlineStr">
        <is>
          <t>D</t>
        </is>
      </c>
      <c r="DN1434" t="inlineStr">
        <is>
          <t>X</t>
        </is>
      </c>
      <c r="DR1434" t="inlineStr">
        <is>
          <t>X</t>
        </is>
      </c>
      <c r="DS1434" t="inlineStr">
        <is>
          <t>D</t>
        </is>
      </c>
      <c r="DT1434" t="inlineStr">
        <is>
          <t>D</t>
        </is>
      </c>
      <c r="DU1434" t="inlineStr">
        <is>
          <t>X</t>
        </is>
      </c>
      <c r="DW1434" t="inlineStr">
        <is>
          <t>D</t>
        </is>
      </c>
      <c r="DX1434" t="inlineStr">
        <is>
          <t>X</t>
        </is>
      </c>
      <c r="EA1434" t="inlineStr">
        <is>
          <t>X</t>
        </is>
      </c>
      <c r="ED1434" t="inlineStr">
        <is>
          <t>D</t>
        </is>
      </c>
      <c r="EF1434" t="inlineStr">
        <is>
          <t>X</t>
        </is>
      </c>
      <c r="EH1434" t="inlineStr">
        <is>
          <t>D</t>
        </is>
      </c>
    </row>
    <row r="1435">
      <c r="A1435" t="inlineStr">
        <is>
          <t>OH0018757890</t>
        </is>
      </c>
      <c r="B1435" t="n">
        <v>78</v>
      </c>
      <c r="C1435" t="n">
        <v>344162</v>
      </c>
      <c r="D1435" t="inlineStr">
        <is>
          <t>ROBINSON</t>
        </is>
      </c>
      <c r="E1435" t="inlineStr">
        <is>
          <t>ALICIA</t>
        </is>
      </c>
      <c r="F1435">
        <f>CONCATENATE(D1435," ",LEFT(H1435,4),"T=",AU1435,"D=",AV1435,"R=",AW1435,"M=",AX1435,"L=",AY1435,"B=",AZ1435)</f>
        <v/>
      </c>
      <c r="G1435" t="inlineStr">
        <is>
          <t>M</t>
        </is>
      </c>
      <c r="I1435" t="inlineStr">
        <is>
          <t>1981-05-16</t>
        </is>
      </c>
      <c r="J1435" t="inlineStr">
        <is>
          <t>2017-02-21</t>
        </is>
      </c>
      <c r="K1435" t="inlineStr">
        <is>
          <t>CONFIRMATION</t>
        </is>
      </c>
      <c r="M1435" t="inlineStr">
        <is>
          <t>770 PAIGE AVE NE</t>
        </is>
      </c>
      <c r="N1435">
        <f>RIGHT(M1435,LEN(M1435)-FIND(" ",M1435))</f>
        <v/>
      </c>
      <c r="P1435" t="inlineStr">
        <is>
          <t>WARREN</t>
        </is>
      </c>
      <c r="Q1435" t="inlineStr">
        <is>
          <t>OH</t>
        </is>
      </c>
      <c r="R1435" t="n">
        <v>44483</v>
      </c>
      <c r="AD1435" t="inlineStr">
        <is>
          <t>TRUMBULL CAREER &amp; TECH CENTER</t>
        </is>
      </c>
      <c r="AE1435" t="inlineStr">
        <is>
          <t>WARREN CITY</t>
        </is>
      </c>
      <c r="AF1435" t="inlineStr">
        <is>
          <t>WARREN CITY SD</t>
        </is>
      </c>
      <c r="AH1435" t="n">
        <v>14</v>
      </c>
      <c r="AI1435" t="n">
        <v>11</v>
      </c>
      <c r="AN1435" t="inlineStr">
        <is>
          <t>WARREN</t>
        </is>
      </c>
      <c r="AO1435" t="inlineStr">
        <is>
          <t>WARREN CITY 4D</t>
        </is>
      </c>
      <c r="AP1435" t="inlineStr">
        <is>
          <t>78-P-ADL</t>
        </is>
      </c>
      <c r="AQ1435" t="n">
        <v>9</v>
      </c>
      <c r="AR1435" t="n">
        <v>64</v>
      </c>
      <c r="AS1435" t="n">
        <v>32</v>
      </c>
      <c r="AU1435">
        <f>COUNTA($BA$1435:$EH$1435)</f>
        <v/>
      </c>
      <c r="AV1435">
        <f>COUNTIF($BA$1435:$EH$1435,"D")</f>
        <v/>
      </c>
      <c r="AW1435">
        <f>COUNTIF($BA$1435:$EH$1435,"R")</f>
        <v/>
      </c>
      <c r="AX1435">
        <f>IF(BN1435="D",1,0)+IF(BO1435="D",1,0)+IF(BT1435="D",1,0)+IF(BU1435="D",1,0)+IF(BW1435="D",1,0)+IF(CC1435="D",1,0)+IF(CD1435="D",1,0)+IF(CE1435="D",1,0)+IF(CF1435="D",1,0)+IF(CL1435="D",1,0)+IF(CM1435="D",1,0)+IF(CQ1435="D",1,0)+IF(CR1435="D",1,0)+IF(CS1435="D",1,0)+IF(CW1435="D",1,0)+IF(CX1435="D",1,0)+IF(DD1435="D",1,0)+IF(DE1435="D",1,0)+IF(DJ1435="D",1,0)+IF(DK1435="D",1,0)+IF(DO1435="D",1,0)+IF(DP1435="D",1,0)+IF(DQ1435="D",1,0)+IF(DW1435="D",1,0)+IF(DZ1435="D",1,0)+IF(EH1435="D",1,0)</f>
        <v/>
      </c>
      <c r="AY1435">
        <f>IF(DJ1435&lt;&gt;"",1,0)+IF(DK1435&lt;&gt;"",1,0)+IF(DM1435&lt;&gt;"",1,0)+IF(DO1435&lt;&gt;"",1,0)+IF(DP1435&lt;&gt;"",1,0)+IF(DQ1435&lt;&gt;"",1,0)+IF(DS1435&lt;&gt;"",1,0)+IF(DT1435&lt;&gt;"",1,0)+IF(DV1435&lt;&gt;"",1,0)+IF(DW1435&lt;&gt;"",1,0)+IF(DX1435&lt;&gt;"",1,0)+IF(DY1435&lt;&gt;"",1,0)+IF(DZ1435&lt;&gt;"",1,0)+IF(EB1435&lt;&gt;"",1,0)+IF(EC1435&lt;&gt;"",1,0)+IF(ED1435&lt;&gt;"",1,0)+IF(EG1435&lt;&gt;"",1,0)+IF(EH1435&lt;&gt;"",1,0)</f>
        <v/>
      </c>
      <c r="AZ1435">
        <f>IF(EH1435&lt;&gt;"",1,0)</f>
        <v/>
      </c>
      <c r="BB1435" t="inlineStr">
        <is>
          <t>WARREN-WARD 4</t>
        </is>
      </c>
      <c r="CA1435" t="inlineStr">
        <is>
          <t>X</t>
        </is>
      </c>
    </row>
    <row r="1436">
      <c r="A1436" t="inlineStr">
        <is>
          <t>OH0026925119</t>
        </is>
      </c>
      <c r="B1436" t="n">
        <v>78</v>
      </c>
      <c r="C1436" t="n">
        <v>474512</v>
      </c>
      <c r="D1436" t="inlineStr">
        <is>
          <t>SOUSA</t>
        </is>
      </c>
      <c r="E1436" t="inlineStr">
        <is>
          <t>INES</t>
        </is>
      </c>
      <c r="F1436">
        <f>CONCATENATE(D1436," ",LEFT(H1436,4),"T=",AU1436,"D=",AV1436,"R=",AW1436,"M=",AX1436,"L=",AY1436,"B=",AZ1436)</f>
        <v/>
      </c>
      <c r="G1436" t="inlineStr">
        <is>
          <t>M</t>
        </is>
      </c>
      <c r="I1436" t="inlineStr">
        <is>
          <t>2004-10-21</t>
        </is>
      </c>
      <c r="J1436" t="inlineStr">
        <is>
          <t>2023-06-17</t>
        </is>
      </c>
      <c r="K1436" t="inlineStr">
        <is>
          <t>ACTIVE</t>
        </is>
      </c>
      <c r="M1436" t="inlineStr">
        <is>
          <t>262 LAWRENCE AVE NE</t>
        </is>
      </c>
      <c r="N1436">
        <f>RIGHT(M1436,LEN(M1436)-FIND(" ",M1436))</f>
        <v/>
      </c>
      <c r="P1436" t="inlineStr">
        <is>
          <t>WARREN</t>
        </is>
      </c>
      <c r="Q1436" t="inlineStr">
        <is>
          <t>OH</t>
        </is>
      </c>
      <c r="R1436" t="n">
        <v>44483</v>
      </c>
      <c r="AD1436" t="inlineStr">
        <is>
          <t>TRUMBULL CAREER &amp; TECH CENTER</t>
        </is>
      </c>
      <c r="AE1436" t="inlineStr">
        <is>
          <t>WARREN CITY</t>
        </is>
      </c>
      <c r="AF1436" t="inlineStr">
        <is>
          <t>WARREN CITY SD</t>
        </is>
      </c>
      <c r="AH1436" t="n">
        <v>14</v>
      </c>
      <c r="AI1436" t="n">
        <v>11</v>
      </c>
      <c r="AN1436" t="inlineStr">
        <is>
          <t>WARREN</t>
        </is>
      </c>
      <c r="AO1436" t="inlineStr">
        <is>
          <t>WARREN CITY 4D</t>
        </is>
      </c>
      <c r="AP1436" t="inlineStr">
        <is>
          <t>78-P-ADL</t>
        </is>
      </c>
      <c r="AQ1436" t="n">
        <v>9</v>
      </c>
      <c r="AR1436" t="n">
        <v>64</v>
      </c>
      <c r="AS1436" t="n">
        <v>32</v>
      </c>
      <c r="AU1436">
        <f>COUNTA($BA$1436:$EH$1436)</f>
        <v/>
      </c>
      <c r="AV1436">
        <f>COUNTIF($BA$1436:$EH$1436,"D")</f>
        <v/>
      </c>
      <c r="AW1436">
        <f>COUNTIF($BA$1436:$EH$1436,"R")</f>
        <v/>
      </c>
      <c r="AX1436">
        <f>IF(BN1436="D",1,0)+IF(BO1436="D",1,0)+IF(BT1436="D",1,0)+IF(BU1436="D",1,0)+IF(BW1436="D",1,0)+IF(CC1436="D",1,0)+IF(CD1436="D",1,0)+IF(CE1436="D",1,0)+IF(CF1436="D",1,0)+IF(CL1436="D",1,0)+IF(CM1436="D",1,0)+IF(CQ1436="D",1,0)+IF(CR1436="D",1,0)+IF(CS1436="D",1,0)+IF(CW1436="D",1,0)+IF(CX1436="D",1,0)+IF(DD1436="D",1,0)+IF(DE1436="D",1,0)+IF(DJ1436="D",1,0)+IF(DK1436="D",1,0)+IF(DO1436="D",1,0)+IF(DP1436="D",1,0)+IF(DQ1436="D",1,0)+IF(DW1436="D",1,0)+IF(DZ1436="D",1,0)+IF(EH1436="D",1,0)</f>
        <v/>
      </c>
      <c r="AY1436">
        <f>IF(DJ1436&lt;&gt;"",1,0)+IF(DK1436&lt;&gt;"",1,0)+IF(DM1436&lt;&gt;"",1,0)+IF(DO1436&lt;&gt;"",1,0)+IF(DP1436&lt;&gt;"",1,0)+IF(DQ1436&lt;&gt;"",1,0)+IF(DS1436&lt;&gt;"",1,0)+IF(DT1436&lt;&gt;"",1,0)+IF(DV1436&lt;&gt;"",1,0)+IF(DW1436&lt;&gt;"",1,0)+IF(DX1436&lt;&gt;"",1,0)+IF(DY1436&lt;&gt;"",1,0)+IF(DZ1436&lt;&gt;"",1,0)+IF(EB1436&lt;&gt;"",1,0)+IF(EC1436&lt;&gt;"",1,0)+IF(ED1436&lt;&gt;"",1,0)+IF(EG1436&lt;&gt;"",1,0)+IF(EH1436&lt;&gt;"",1,0)</f>
        <v/>
      </c>
      <c r="AZ1436">
        <f>IF(EH1436&lt;&gt;"",1,0)</f>
        <v/>
      </c>
      <c r="BB1436" t="inlineStr">
        <is>
          <t>WARREN-WARD 4</t>
        </is>
      </c>
    </row>
    <row r="1437">
      <c r="A1437" t="inlineStr">
        <is>
          <t>OH0019038172</t>
        </is>
      </c>
      <c r="B1437" t="n">
        <v>78</v>
      </c>
      <c r="C1437" t="n">
        <v>348212</v>
      </c>
      <c r="D1437" t="inlineStr">
        <is>
          <t>RHINE</t>
        </is>
      </c>
      <c r="E1437" t="inlineStr">
        <is>
          <t>KEVIN</t>
        </is>
      </c>
      <c r="F1437">
        <f>CONCATENATE(D1437," ",LEFT(H1437,4),"T=",AU1437,"D=",AV1437,"R=",AW1437,"M=",AX1437,"L=",AY1437,"B=",AZ1437)</f>
        <v/>
      </c>
      <c r="G1437" t="inlineStr">
        <is>
          <t>J</t>
        </is>
      </c>
      <c r="I1437" t="inlineStr">
        <is>
          <t>1988-07-28</t>
        </is>
      </c>
      <c r="J1437" t="inlineStr">
        <is>
          <t>2019-06-28</t>
        </is>
      </c>
      <c r="K1437" t="inlineStr">
        <is>
          <t>CONFIRMATION</t>
        </is>
      </c>
      <c r="M1437" t="inlineStr">
        <is>
          <t>438 WAVERLY AVE NE</t>
        </is>
      </c>
      <c r="N1437">
        <f>RIGHT(M1437,LEN(M1437)-FIND(" ",M1437))</f>
        <v/>
      </c>
      <c r="P1437" t="inlineStr">
        <is>
          <t>WARREN</t>
        </is>
      </c>
      <c r="Q1437" t="inlineStr">
        <is>
          <t>OH</t>
        </is>
      </c>
      <c r="R1437" t="n">
        <v>44483</v>
      </c>
      <c r="AD1437" t="inlineStr">
        <is>
          <t>TRUMBULL CAREER &amp; TECH CENTER</t>
        </is>
      </c>
      <c r="AE1437" t="inlineStr">
        <is>
          <t>WARREN CITY</t>
        </is>
      </c>
      <c r="AF1437" t="inlineStr">
        <is>
          <t>WARREN CITY SD</t>
        </is>
      </c>
      <c r="AH1437" t="n">
        <v>14</v>
      </c>
      <c r="AI1437" t="n">
        <v>11</v>
      </c>
      <c r="AN1437" t="inlineStr">
        <is>
          <t>WARREN</t>
        </is>
      </c>
      <c r="AO1437" t="inlineStr">
        <is>
          <t>WARREN CITY 4D</t>
        </is>
      </c>
      <c r="AP1437" t="inlineStr">
        <is>
          <t>78-P-ADL</t>
        </is>
      </c>
      <c r="AQ1437" t="n">
        <v>9</v>
      </c>
      <c r="AR1437" t="n">
        <v>64</v>
      </c>
      <c r="AS1437" t="n">
        <v>32</v>
      </c>
      <c r="AU1437">
        <f>COUNTA($BA$1437:$EH$1437)</f>
        <v/>
      </c>
      <c r="AV1437">
        <f>COUNTIF($BA$1437:$EH$1437,"D")</f>
        <v/>
      </c>
      <c r="AW1437">
        <f>COUNTIF($BA$1437:$EH$1437,"R")</f>
        <v/>
      </c>
      <c r="AX1437">
        <f>IF(BN1437="D",1,0)+IF(BO1437="D",1,0)+IF(BT1437="D",1,0)+IF(BU1437="D",1,0)+IF(BW1437="D",1,0)+IF(CC1437="D",1,0)+IF(CD1437="D",1,0)+IF(CE1437="D",1,0)+IF(CF1437="D",1,0)+IF(CL1437="D",1,0)+IF(CM1437="D",1,0)+IF(CQ1437="D",1,0)+IF(CR1437="D",1,0)+IF(CS1437="D",1,0)+IF(CW1437="D",1,0)+IF(CX1437="D",1,0)+IF(DD1437="D",1,0)+IF(DE1437="D",1,0)+IF(DJ1437="D",1,0)+IF(DK1437="D",1,0)+IF(DO1437="D",1,0)+IF(DP1437="D",1,0)+IF(DQ1437="D",1,0)+IF(DW1437="D",1,0)+IF(DZ1437="D",1,0)+IF(EH1437="D",1,0)</f>
        <v/>
      </c>
      <c r="AY1437">
        <f>IF(DJ1437&lt;&gt;"",1,0)+IF(DK1437&lt;&gt;"",1,0)+IF(DM1437&lt;&gt;"",1,0)+IF(DO1437&lt;&gt;"",1,0)+IF(DP1437&lt;&gt;"",1,0)+IF(DQ1437&lt;&gt;"",1,0)+IF(DS1437&lt;&gt;"",1,0)+IF(DT1437&lt;&gt;"",1,0)+IF(DV1437&lt;&gt;"",1,0)+IF(DW1437&lt;&gt;"",1,0)+IF(DX1437&lt;&gt;"",1,0)+IF(DY1437&lt;&gt;"",1,0)+IF(DZ1437&lt;&gt;"",1,0)+IF(EB1437&lt;&gt;"",1,0)+IF(EC1437&lt;&gt;"",1,0)+IF(ED1437&lt;&gt;"",1,0)+IF(EG1437&lt;&gt;"",1,0)+IF(EH1437&lt;&gt;"",1,0)</f>
        <v/>
      </c>
      <c r="AZ1437">
        <f>IF(EH1437&lt;&gt;"",1,0)</f>
        <v/>
      </c>
      <c r="BB1437" t="inlineStr">
        <is>
          <t>WARREN-WARD 4</t>
        </is>
      </c>
      <c r="BV1437" t="inlineStr">
        <is>
          <t>X</t>
        </is>
      </c>
      <c r="CA1437" t="inlineStr">
        <is>
          <t>X</t>
        </is>
      </c>
      <c r="CG1437" t="inlineStr">
        <is>
          <t>X</t>
        </is>
      </c>
      <c r="CN1437" t="inlineStr">
        <is>
          <t>X</t>
        </is>
      </c>
      <c r="CP1437" t="inlineStr">
        <is>
          <t>X</t>
        </is>
      </c>
      <c r="DC1437" t="inlineStr">
        <is>
          <t>X</t>
        </is>
      </c>
      <c r="DI1437" t="inlineStr">
        <is>
          <t>X</t>
        </is>
      </c>
      <c r="DN1437" t="inlineStr">
        <is>
          <t>X</t>
        </is>
      </c>
    </row>
    <row r="1438">
      <c r="A1438" t="inlineStr">
        <is>
          <t>OH0026995578</t>
        </is>
      </c>
      <c r="B1438" t="n">
        <v>78</v>
      </c>
      <c r="C1438" t="n">
        <v>475373</v>
      </c>
      <c r="D1438" t="inlineStr">
        <is>
          <t>ROBINSON</t>
        </is>
      </c>
      <c r="E1438" t="inlineStr">
        <is>
          <t>NAOMI</t>
        </is>
      </c>
      <c r="F1438">
        <f>CONCATENATE(D1438," ",LEFT(H1438,4),"T=",AU1438,"D=",AV1438,"R=",AW1438,"M=",AX1438,"L=",AY1438,"B=",AZ1438)</f>
        <v/>
      </c>
      <c r="G1438" t="inlineStr">
        <is>
          <t>JANICE</t>
        </is>
      </c>
      <c r="I1438" t="inlineStr">
        <is>
          <t>1985-08-06</t>
        </is>
      </c>
      <c r="J1438" t="inlineStr">
        <is>
          <t>2023-08-03</t>
        </is>
      </c>
      <c r="K1438" t="inlineStr">
        <is>
          <t>ACTIVE</t>
        </is>
      </c>
      <c r="M1438" t="inlineStr">
        <is>
          <t>770 PAIGE AVE NE</t>
        </is>
      </c>
      <c r="N1438">
        <f>RIGHT(M1438,LEN(M1438)-FIND(" ",M1438))</f>
        <v/>
      </c>
      <c r="P1438" t="inlineStr">
        <is>
          <t>WARREN</t>
        </is>
      </c>
      <c r="Q1438" t="inlineStr">
        <is>
          <t>OH</t>
        </is>
      </c>
      <c r="R1438" t="n">
        <v>44483</v>
      </c>
      <c r="AD1438" t="inlineStr">
        <is>
          <t>TRUMBULL CAREER &amp; TECH CENTER</t>
        </is>
      </c>
      <c r="AE1438" t="inlineStr">
        <is>
          <t>WARREN CITY</t>
        </is>
      </c>
      <c r="AF1438" t="inlineStr">
        <is>
          <t>WARREN CITY SD</t>
        </is>
      </c>
      <c r="AH1438" t="n">
        <v>14</v>
      </c>
      <c r="AI1438" t="n">
        <v>11</v>
      </c>
      <c r="AN1438" t="inlineStr">
        <is>
          <t>WARREN</t>
        </is>
      </c>
      <c r="AO1438" t="inlineStr">
        <is>
          <t>WARREN CITY 4D</t>
        </is>
      </c>
      <c r="AP1438" t="inlineStr">
        <is>
          <t>78-P-ADL</t>
        </is>
      </c>
      <c r="AQ1438" t="n">
        <v>9</v>
      </c>
      <c r="AR1438" t="n">
        <v>64</v>
      </c>
      <c r="AS1438" t="n">
        <v>32</v>
      </c>
      <c r="AU1438">
        <f>COUNTA($BA$1438:$EH$1438)</f>
        <v/>
      </c>
      <c r="AV1438">
        <f>COUNTIF($BA$1438:$EH$1438,"D")</f>
        <v/>
      </c>
      <c r="AW1438">
        <f>COUNTIF($BA$1438:$EH$1438,"R")</f>
        <v/>
      </c>
      <c r="AX1438">
        <f>IF(BN1438="D",1,0)+IF(BO1438="D",1,0)+IF(BT1438="D",1,0)+IF(BU1438="D",1,0)+IF(BW1438="D",1,0)+IF(CC1438="D",1,0)+IF(CD1438="D",1,0)+IF(CE1438="D",1,0)+IF(CF1438="D",1,0)+IF(CL1438="D",1,0)+IF(CM1438="D",1,0)+IF(CQ1438="D",1,0)+IF(CR1438="D",1,0)+IF(CS1438="D",1,0)+IF(CW1438="D",1,0)+IF(CX1438="D",1,0)+IF(DD1438="D",1,0)+IF(DE1438="D",1,0)+IF(DJ1438="D",1,0)+IF(DK1438="D",1,0)+IF(DO1438="D",1,0)+IF(DP1438="D",1,0)+IF(DQ1438="D",1,0)+IF(DW1438="D",1,0)+IF(DZ1438="D",1,0)+IF(EH1438="D",1,0)</f>
        <v/>
      </c>
      <c r="AY1438">
        <f>IF(DJ1438&lt;&gt;"",1,0)+IF(DK1438&lt;&gt;"",1,0)+IF(DM1438&lt;&gt;"",1,0)+IF(DO1438&lt;&gt;"",1,0)+IF(DP1438&lt;&gt;"",1,0)+IF(DQ1438&lt;&gt;"",1,0)+IF(DS1438&lt;&gt;"",1,0)+IF(DT1438&lt;&gt;"",1,0)+IF(DV1438&lt;&gt;"",1,0)+IF(DW1438&lt;&gt;"",1,0)+IF(DX1438&lt;&gt;"",1,0)+IF(DY1438&lt;&gt;"",1,0)+IF(DZ1438&lt;&gt;"",1,0)+IF(EB1438&lt;&gt;"",1,0)+IF(EC1438&lt;&gt;"",1,0)+IF(ED1438&lt;&gt;"",1,0)+IF(EG1438&lt;&gt;"",1,0)+IF(EH1438&lt;&gt;"",1,0)</f>
        <v/>
      </c>
      <c r="AZ1438">
        <f>IF(EH1438&lt;&gt;"",1,0)</f>
        <v/>
      </c>
      <c r="BB1438" t="inlineStr">
        <is>
          <t>WARREN-WARD 4</t>
        </is>
      </c>
    </row>
    <row r="1439">
      <c r="A1439" t="inlineStr">
        <is>
          <t>OH0024294002</t>
        </is>
      </c>
      <c r="B1439" t="n">
        <v>78</v>
      </c>
      <c r="C1439" t="n">
        <v>426479</v>
      </c>
      <c r="D1439" t="inlineStr">
        <is>
          <t>WARD</t>
        </is>
      </c>
      <c r="E1439" t="inlineStr">
        <is>
          <t>TERRANCE</t>
        </is>
      </c>
      <c r="F1439">
        <f>CONCATENATE(D1439," ",LEFT(H1439,4),"T=",AU1439,"D=",AV1439,"R=",AW1439,"M=",AX1439,"L=",AY1439,"B=",AZ1439)</f>
        <v/>
      </c>
      <c r="G1439" t="inlineStr">
        <is>
          <t>ANTHONY</t>
        </is>
      </c>
      <c r="I1439" t="inlineStr">
        <is>
          <t>1988-01-13</t>
        </is>
      </c>
      <c r="J1439" t="inlineStr">
        <is>
          <t>2017-05-03</t>
        </is>
      </c>
      <c r="K1439" t="inlineStr">
        <is>
          <t>CONFIRMATION</t>
        </is>
      </c>
      <c r="M1439" t="inlineStr">
        <is>
          <t>1156 WOODLAND AVE NE</t>
        </is>
      </c>
      <c r="N1439">
        <f>RIGHT(M1439,LEN(M1439)-FIND(" ",M1439))</f>
        <v/>
      </c>
      <c r="P1439" t="inlineStr">
        <is>
          <t>WARREN</t>
        </is>
      </c>
      <c r="Q1439" t="inlineStr">
        <is>
          <t>OH</t>
        </is>
      </c>
      <c r="R1439" t="n">
        <v>44483</v>
      </c>
      <c r="AD1439" t="inlineStr">
        <is>
          <t>TRUMBULL CAREER &amp; TECH CENTER</t>
        </is>
      </c>
      <c r="AE1439" t="inlineStr">
        <is>
          <t>WARREN CITY</t>
        </is>
      </c>
      <c r="AF1439" t="inlineStr">
        <is>
          <t>WARREN CITY SD</t>
        </is>
      </c>
      <c r="AH1439" t="n">
        <v>14</v>
      </c>
      <c r="AI1439" t="n">
        <v>11</v>
      </c>
      <c r="AN1439" t="inlineStr">
        <is>
          <t>WARREN</t>
        </is>
      </c>
      <c r="AO1439" t="inlineStr">
        <is>
          <t>WARREN CITY 4D</t>
        </is>
      </c>
      <c r="AP1439" t="inlineStr">
        <is>
          <t>78-P-ADL</t>
        </is>
      </c>
      <c r="AQ1439" t="n">
        <v>9</v>
      </c>
      <c r="AR1439" t="n">
        <v>64</v>
      </c>
      <c r="AS1439" t="n">
        <v>32</v>
      </c>
      <c r="AU1439">
        <f>COUNTA($BA$1439:$EH$1439)</f>
        <v/>
      </c>
      <c r="AV1439">
        <f>COUNTIF($BA$1439:$EH$1439,"D")</f>
        <v/>
      </c>
      <c r="AW1439">
        <f>COUNTIF($BA$1439:$EH$1439,"R")</f>
        <v/>
      </c>
      <c r="AX1439">
        <f>IF(BN1439="D",1,0)+IF(BO1439="D",1,0)+IF(BT1439="D",1,0)+IF(BU1439="D",1,0)+IF(BW1439="D",1,0)+IF(CC1439="D",1,0)+IF(CD1439="D",1,0)+IF(CE1439="D",1,0)+IF(CF1439="D",1,0)+IF(CL1439="D",1,0)+IF(CM1439="D",1,0)+IF(CQ1439="D",1,0)+IF(CR1439="D",1,0)+IF(CS1439="D",1,0)+IF(CW1439="D",1,0)+IF(CX1439="D",1,0)+IF(DD1439="D",1,0)+IF(DE1439="D",1,0)+IF(DJ1439="D",1,0)+IF(DK1439="D",1,0)+IF(DO1439="D",1,0)+IF(DP1439="D",1,0)+IF(DQ1439="D",1,0)+IF(DW1439="D",1,0)+IF(DZ1439="D",1,0)+IF(EH1439="D",1,0)</f>
        <v/>
      </c>
      <c r="AY1439">
        <f>IF(DJ1439&lt;&gt;"",1,0)+IF(DK1439&lt;&gt;"",1,0)+IF(DM1439&lt;&gt;"",1,0)+IF(DO1439&lt;&gt;"",1,0)+IF(DP1439&lt;&gt;"",1,0)+IF(DQ1439&lt;&gt;"",1,0)+IF(DS1439&lt;&gt;"",1,0)+IF(DT1439&lt;&gt;"",1,0)+IF(DV1439&lt;&gt;"",1,0)+IF(DW1439&lt;&gt;"",1,0)+IF(DX1439&lt;&gt;"",1,0)+IF(DY1439&lt;&gt;"",1,0)+IF(DZ1439&lt;&gt;"",1,0)+IF(EB1439&lt;&gt;"",1,0)+IF(EC1439&lt;&gt;"",1,0)+IF(ED1439&lt;&gt;"",1,0)+IF(EG1439&lt;&gt;"",1,0)+IF(EH1439&lt;&gt;"",1,0)</f>
        <v/>
      </c>
      <c r="AZ1439">
        <f>IF(EH1439&lt;&gt;"",1,0)</f>
        <v/>
      </c>
      <c r="BB1439" t="inlineStr">
        <is>
          <t>WARREN-WARD 4</t>
        </is>
      </c>
    </row>
    <row r="1440">
      <c r="A1440" t="inlineStr">
        <is>
          <t>OH0027515294</t>
        </is>
      </c>
      <c r="B1440" t="n">
        <v>78</v>
      </c>
      <c r="C1440" t="n">
        <v>487627</v>
      </c>
      <c r="D1440" t="inlineStr">
        <is>
          <t>ADKINS</t>
        </is>
      </c>
      <c r="E1440" t="inlineStr">
        <is>
          <t>JOHN</t>
        </is>
      </c>
      <c r="F1440">
        <f>CONCATENATE(D1440," ",LEFT(H1440,4),"T=",AU1440,"D=",AV1440,"R=",AW1440,"M=",AX1440,"L=",AY1440,"B=",AZ1440)</f>
        <v/>
      </c>
      <c r="G1440" t="inlineStr">
        <is>
          <t>J</t>
        </is>
      </c>
      <c r="I1440" t="inlineStr">
        <is>
          <t>1984-05-02</t>
        </is>
      </c>
      <c r="J1440" t="inlineStr">
        <is>
          <t>2024-08-05</t>
        </is>
      </c>
      <c r="K1440" t="inlineStr">
        <is>
          <t>ACTIVE</t>
        </is>
      </c>
      <c r="M1440" t="inlineStr">
        <is>
          <t>149 PORTER ST NE</t>
        </is>
      </c>
      <c r="N1440">
        <f>RIGHT(M1440,LEN(M1440)-FIND(" ",M1440))</f>
        <v/>
      </c>
      <c r="P1440" t="inlineStr">
        <is>
          <t>WARREN</t>
        </is>
      </c>
      <c r="Q1440" t="inlineStr">
        <is>
          <t>OH</t>
        </is>
      </c>
      <c r="R1440" t="n">
        <v>44483</v>
      </c>
      <c r="AD1440" t="inlineStr">
        <is>
          <t>TRUMBULL CAREER &amp; TECH CENTER</t>
        </is>
      </c>
      <c r="AE1440" t="inlineStr">
        <is>
          <t>WARREN CITY</t>
        </is>
      </c>
      <c r="AF1440" t="inlineStr">
        <is>
          <t>WARREN CITY SD</t>
        </is>
      </c>
      <c r="AH1440" t="n">
        <v>14</v>
      </c>
      <c r="AI1440" t="n">
        <v>11</v>
      </c>
      <c r="AN1440" t="inlineStr">
        <is>
          <t>WARREN</t>
        </is>
      </c>
      <c r="AO1440" t="inlineStr">
        <is>
          <t>WARREN CITY 4D</t>
        </is>
      </c>
      <c r="AP1440" t="inlineStr">
        <is>
          <t>78-P-ADL</t>
        </is>
      </c>
      <c r="AQ1440" t="n">
        <v>9</v>
      </c>
      <c r="AR1440" t="n">
        <v>64</v>
      </c>
      <c r="AS1440" t="n">
        <v>32</v>
      </c>
      <c r="AU1440">
        <f>COUNTA($BA$1440:$EH$1440)</f>
        <v/>
      </c>
      <c r="AV1440">
        <f>COUNTIF($BA$1440:$EH$1440,"D")</f>
        <v/>
      </c>
      <c r="AW1440">
        <f>COUNTIF($BA$1440:$EH$1440,"R")</f>
        <v/>
      </c>
      <c r="AX1440">
        <f>IF(BN1440="D",1,0)+IF(BO1440="D",1,0)+IF(BT1440="D",1,0)+IF(BU1440="D",1,0)+IF(BW1440="D",1,0)+IF(CC1440="D",1,0)+IF(CD1440="D",1,0)+IF(CE1440="D",1,0)+IF(CF1440="D",1,0)+IF(CL1440="D",1,0)+IF(CM1440="D",1,0)+IF(CQ1440="D",1,0)+IF(CR1440="D",1,0)+IF(CS1440="D",1,0)+IF(CW1440="D",1,0)+IF(CX1440="D",1,0)+IF(DD1440="D",1,0)+IF(DE1440="D",1,0)+IF(DJ1440="D",1,0)+IF(DK1440="D",1,0)+IF(DO1440="D",1,0)+IF(DP1440="D",1,0)+IF(DQ1440="D",1,0)+IF(DW1440="D",1,0)+IF(DZ1440="D",1,0)+IF(EH1440="D",1,0)</f>
        <v/>
      </c>
      <c r="AY1440">
        <f>IF(DJ1440&lt;&gt;"",1,0)+IF(DK1440&lt;&gt;"",1,0)+IF(DM1440&lt;&gt;"",1,0)+IF(DO1440&lt;&gt;"",1,0)+IF(DP1440&lt;&gt;"",1,0)+IF(DQ1440&lt;&gt;"",1,0)+IF(DS1440&lt;&gt;"",1,0)+IF(DT1440&lt;&gt;"",1,0)+IF(DV1440&lt;&gt;"",1,0)+IF(DW1440&lt;&gt;"",1,0)+IF(DX1440&lt;&gt;"",1,0)+IF(DY1440&lt;&gt;"",1,0)+IF(DZ1440&lt;&gt;"",1,0)+IF(EB1440&lt;&gt;"",1,0)+IF(EC1440&lt;&gt;"",1,0)+IF(ED1440&lt;&gt;"",1,0)+IF(EG1440&lt;&gt;"",1,0)+IF(EH1440&lt;&gt;"",1,0)</f>
        <v/>
      </c>
      <c r="AZ1440">
        <f>IF(EH1440&lt;&gt;"",1,0)</f>
        <v/>
      </c>
      <c r="BB1440" t="inlineStr">
        <is>
          <t>WARREN-WARD 4</t>
        </is>
      </c>
    </row>
    <row r="1441">
      <c r="A1441" t="inlineStr">
        <is>
          <t>OH0023775912</t>
        </is>
      </c>
      <c r="B1441" t="n">
        <v>78</v>
      </c>
      <c r="C1441" t="n">
        <v>417970</v>
      </c>
      <c r="D1441" t="inlineStr">
        <is>
          <t>MEALY</t>
        </is>
      </c>
      <c r="E1441" t="inlineStr">
        <is>
          <t>EILEEN</t>
        </is>
      </c>
      <c r="F1441">
        <f>CONCATENATE(D1441," ",LEFT(H1441,4),"T=",AU1441,"D=",AV1441,"R=",AW1441,"M=",AX1441,"L=",AY1441,"B=",AZ1441)</f>
        <v/>
      </c>
      <c r="G1441" t="inlineStr">
        <is>
          <t>M</t>
        </is>
      </c>
      <c r="I1441" t="inlineStr">
        <is>
          <t>1965-05-12</t>
        </is>
      </c>
      <c r="J1441" t="inlineStr">
        <is>
          <t>2017-10-06</t>
        </is>
      </c>
      <c r="K1441" t="inlineStr">
        <is>
          <t>CONFIRMATION</t>
        </is>
      </c>
      <c r="M1441" t="inlineStr">
        <is>
          <t>169 LOGAN AVE NE</t>
        </is>
      </c>
      <c r="N1441">
        <f>RIGHT(M1441,LEN(M1441)-FIND(" ",M1441))</f>
        <v/>
      </c>
      <c r="P1441" t="inlineStr">
        <is>
          <t>WARREN</t>
        </is>
      </c>
      <c r="Q1441" t="inlineStr">
        <is>
          <t>OH</t>
        </is>
      </c>
      <c r="R1441" t="n">
        <v>44483</v>
      </c>
      <c r="AD1441" t="inlineStr">
        <is>
          <t>TRUMBULL CAREER &amp; TECH CENTER</t>
        </is>
      </c>
      <c r="AE1441" t="inlineStr">
        <is>
          <t>WARREN CITY</t>
        </is>
      </c>
      <c r="AF1441" t="inlineStr">
        <is>
          <t>WARREN CITY SD</t>
        </is>
      </c>
      <c r="AH1441" t="n">
        <v>14</v>
      </c>
      <c r="AI1441" t="n">
        <v>11</v>
      </c>
      <c r="AN1441" t="inlineStr">
        <is>
          <t>WARREN</t>
        </is>
      </c>
      <c r="AO1441" t="inlineStr">
        <is>
          <t>WARREN CITY 4D</t>
        </is>
      </c>
      <c r="AP1441" t="inlineStr">
        <is>
          <t>78-P-ADL</t>
        </is>
      </c>
      <c r="AQ1441" t="n">
        <v>9</v>
      </c>
      <c r="AR1441" t="n">
        <v>64</v>
      </c>
      <c r="AS1441" t="n">
        <v>32</v>
      </c>
      <c r="AU1441">
        <f>COUNTA($BA$1441:$EH$1441)</f>
        <v/>
      </c>
      <c r="AV1441">
        <f>COUNTIF($BA$1441:$EH$1441,"D")</f>
        <v/>
      </c>
      <c r="AW1441">
        <f>COUNTIF($BA$1441:$EH$1441,"R")</f>
        <v/>
      </c>
      <c r="AX1441">
        <f>IF(BN1441="D",1,0)+IF(BO1441="D",1,0)+IF(BT1441="D",1,0)+IF(BU1441="D",1,0)+IF(BW1441="D",1,0)+IF(CC1441="D",1,0)+IF(CD1441="D",1,0)+IF(CE1441="D",1,0)+IF(CF1441="D",1,0)+IF(CL1441="D",1,0)+IF(CM1441="D",1,0)+IF(CQ1441="D",1,0)+IF(CR1441="D",1,0)+IF(CS1441="D",1,0)+IF(CW1441="D",1,0)+IF(CX1441="D",1,0)+IF(DD1441="D",1,0)+IF(DE1441="D",1,0)+IF(DJ1441="D",1,0)+IF(DK1441="D",1,0)+IF(DO1441="D",1,0)+IF(DP1441="D",1,0)+IF(DQ1441="D",1,0)+IF(DW1441="D",1,0)+IF(DZ1441="D",1,0)+IF(EH1441="D",1,0)</f>
        <v/>
      </c>
      <c r="AY1441">
        <f>IF(DJ1441&lt;&gt;"",1,0)+IF(DK1441&lt;&gt;"",1,0)+IF(DM1441&lt;&gt;"",1,0)+IF(DO1441&lt;&gt;"",1,0)+IF(DP1441&lt;&gt;"",1,0)+IF(DQ1441&lt;&gt;"",1,0)+IF(DS1441&lt;&gt;"",1,0)+IF(DT1441&lt;&gt;"",1,0)+IF(DV1441&lt;&gt;"",1,0)+IF(DW1441&lt;&gt;"",1,0)+IF(DX1441&lt;&gt;"",1,0)+IF(DY1441&lt;&gt;"",1,0)+IF(DZ1441&lt;&gt;"",1,0)+IF(EB1441&lt;&gt;"",1,0)+IF(EC1441&lt;&gt;"",1,0)+IF(ED1441&lt;&gt;"",1,0)+IF(EG1441&lt;&gt;"",1,0)+IF(EH1441&lt;&gt;"",1,0)</f>
        <v/>
      </c>
      <c r="AZ1441">
        <f>IF(EH1441&lt;&gt;"",1,0)</f>
        <v/>
      </c>
      <c r="BB1441" t="inlineStr">
        <is>
          <t>WARREN-WARD 4</t>
        </is>
      </c>
      <c r="BG1441" t="inlineStr">
        <is>
          <t>R</t>
        </is>
      </c>
      <c r="BH1441" t="inlineStr">
        <is>
          <t>X</t>
        </is>
      </c>
      <c r="BI1441" t="inlineStr">
        <is>
          <t>X</t>
        </is>
      </c>
      <c r="BJ1441" t="inlineStr">
        <is>
          <t>X</t>
        </is>
      </c>
      <c r="BL1441" t="inlineStr">
        <is>
          <t>X</t>
        </is>
      </c>
      <c r="BN1441" t="inlineStr">
        <is>
          <t>X</t>
        </is>
      </c>
      <c r="BP1441" t="inlineStr">
        <is>
          <t>X</t>
        </is>
      </c>
      <c r="DC1441" t="inlineStr">
        <is>
          <t>X</t>
        </is>
      </c>
      <c r="DI1441" t="inlineStr">
        <is>
          <t>X</t>
        </is>
      </c>
      <c r="DN1441" t="inlineStr">
        <is>
          <t>X</t>
        </is>
      </c>
    </row>
    <row r="1442">
      <c r="A1442" t="inlineStr">
        <is>
          <t>OH0023465634</t>
        </is>
      </c>
      <c r="B1442" t="n">
        <v>78</v>
      </c>
      <c r="C1442" t="n">
        <v>412764</v>
      </c>
      <c r="D1442" t="inlineStr">
        <is>
          <t>SAIN</t>
        </is>
      </c>
      <c r="E1442" t="inlineStr">
        <is>
          <t>AMANDA</t>
        </is>
      </c>
      <c r="F1442">
        <f>CONCATENATE(D1442," ",LEFT(H1442,4),"T=",AU1442,"D=",AV1442,"R=",AW1442,"M=",AX1442,"L=",AY1442,"B=",AZ1442)</f>
        <v/>
      </c>
      <c r="G1442" t="inlineStr">
        <is>
          <t>CATHRYN</t>
        </is>
      </c>
      <c r="I1442" t="inlineStr">
        <is>
          <t>1991-09-21</t>
        </is>
      </c>
      <c r="J1442" t="inlineStr">
        <is>
          <t>2024-08-21</t>
        </is>
      </c>
      <c r="K1442" t="inlineStr">
        <is>
          <t>ACTIVE</t>
        </is>
      </c>
      <c r="L1442" t="inlineStr">
        <is>
          <t>R</t>
        </is>
      </c>
      <c r="M1442" t="inlineStr">
        <is>
          <t>338 CHESTNUT AVE NE</t>
        </is>
      </c>
      <c r="N1442">
        <f>RIGHT(M1442,LEN(M1442)-FIND(" ",M1442))</f>
        <v/>
      </c>
      <c r="P1442" t="inlineStr">
        <is>
          <t>WARREN</t>
        </is>
      </c>
      <c r="Q1442" t="inlineStr">
        <is>
          <t>OH</t>
        </is>
      </c>
      <c r="R1442" t="n">
        <v>44483</v>
      </c>
      <c r="AD1442" t="inlineStr">
        <is>
          <t>TRUMBULL CAREER &amp; TECH CENTER</t>
        </is>
      </c>
      <c r="AE1442" t="inlineStr">
        <is>
          <t>WARREN CITY</t>
        </is>
      </c>
      <c r="AF1442" t="inlineStr">
        <is>
          <t>WARREN CITY SD</t>
        </is>
      </c>
      <c r="AH1442" t="n">
        <v>14</v>
      </c>
      <c r="AI1442" t="n">
        <v>11</v>
      </c>
      <c r="AN1442" t="inlineStr">
        <is>
          <t>WARREN</t>
        </is>
      </c>
      <c r="AO1442" t="inlineStr">
        <is>
          <t>WARREN CITY 4D</t>
        </is>
      </c>
      <c r="AP1442" t="inlineStr">
        <is>
          <t>78-P-ADL</t>
        </is>
      </c>
      <c r="AQ1442" t="n">
        <v>9</v>
      </c>
      <c r="AR1442" t="n">
        <v>64</v>
      </c>
      <c r="AS1442" t="n">
        <v>32</v>
      </c>
      <c r="AU1442">
        <f>COUNTA($BA$1442:$EH$1442)</f>
        <v/>
      </c>
      <c r="AV1442">
        <f>COUNTIF($BA$1442:$EH$1442,"D")</f>
        <v/>
      </c>
      <c r="AW1442">
        <f>COUNTIF($BA$1442:$EH$1442,"R")</f>
        <v/>
      </c>
      <c r="AX1442">
        <f>IF(BN1442="D",1,0)+IF(BO1442="D",1,0)+IF(BT1442="D",1,0)+IF(BU1442="D",1,0)+IF(BW1442="D",1,0)+IF(CC1442="D",1,0)+IF(CD1442="D",1,0)+IF(CE1442="D",1,0)+IF(CF1442="D",1,0)+IF(CL1442="D",1,0)+IF(CM1442="D",1,0)+IF(CQ1442="D",1,0)+IF(CR1442="D",1,0)+IF(CS1442="D",1,0)+IF(CW1442="D",1,0)+IF(CX1442="D",1,0)+IF(DD1442="D",1,0)+IF(DE1442="D",1,0)+IF(DJ1442="D",1,0)+IF(DK1442="D",1,0)+IF(DO1442="D",1,0)+IF(DP1442="D",1,0)+IF(DQ1442="D",1,0)+IF(DW1442="D",1,0)+IF(DZ1442="D",1,0)+IF(EH1442="D",1,0)</f>
        <v/>
      </c>
      <c r="AY1442">
        <f>IF(DJ1442&lt;&gt;"",1,0)+IF(DK1442&lt;&gt;"",1,0)+IF(DM1442&lt;&gt;"",1,0)+IF(DO1442&lt;&gt;"",1,0)+IF(DP1442&lt;&gt;"",1,0)+IF(DQ1442&lt;&gt;"",1,0)+IF(DS1442&lt;&gt;"",1,0)+IF(DT1442&lt;&gt;"",1,0)+IF(DV1442&lt;&gt;"",1,0)+IF(DW1442&lt;&gt;"",1,0)+IF(DX1442&lt;&gt;"",1,0)+IF(DY1442&lt;&gt;"",1,0)+IF(DZ1442&lt;&gt;"",1,0)+IF(EB1442&lt;&gt;"",1,0)+IF(EC1442&lt;&gt;"",1,0)+IF(ED1442&lt;&gt;"",1,0)+IF(EG1442&lt;&gt;"",1,0)+IF(EH1442&lt;&gt;"",1,0)</f>
        <v/>
      </c>
      <c r="AZ1442">
        <f>IF(EH1442&lt;&gt;"",1,0)</f>
        <v/>
      </c>
      <c r="BB1442" t="inlineStr">
        <is>
          <t>WARREN-WARD 4</t>
        </is>
      </c>
      <c r="DC1442" t="inlineStr">
        <is>
          <t>X</t>
        </is>
      </c>
      <c r="DN1442" t="inlineStr">
        <is>
          <t>X</t>
        </is>
      </c>
      <c r="DS1442" t="inlineStr">
        <is>
          <t>R</t>
        </is>
      </c>
      <c r="EF1442" t="inlineStr">
        <is>
          <t>X</t>
        </is>
      </c>
    </row>
    <row r="1443">
      <c r="A1443" t="inlineStr">
        <is>
          <t>OH0026781553</t>
        </is>
      </c>
      <c r="B1443" t="n">
        <v>78</v>
      </c>
      <c r="C1443" t="n">
        <v>468331</v>
      </c>
      <c r="D1443" t="inlineStr">
        <is>
          <t>BROOKS</t>
        </is>
      </c>
      <c r="E1443" t="inlineStr">
        <is>
          <t>HAROLD</t>
        </is>
      </c>
      <c r="F1443">
        <f>CONCATENATE(D1443," ",LEFT(H1443,4),"T=",AU1443,"D=",AV1443,"R=",AW1443,"M=",AX1443,"L=",AY1443,"B=",AZ1443)</f>
        <v/>
      </c>
      <c r="G1443" t="inlineStr">
        <is>
          <t>HOWARD</t>
        </is>
      </c>
      <c r="H1443" t="inlineStr">
        <is>
          <t>JR</t>
        </is>
      </c>
      <c r="I1443" t="inlineStr">
        <is>
          <t>1959-06-09</t>
        </is>
      </c>
      <c r="J1443" t="inlineStr">
        <is>
          <t>2024-10-07</t>
        </is>
      </c>
      <c r="K1443" t="inlineStr">
        <is>
          <t>ACTIVE</t>
        </is>
      </c>
      <c r="M1443" t="inlineStr">
        <is>
          <t>182 HIGH ST NE</t>
        </is>
      </c>
      <c r="N1443">
        <f>RIGHT(M1443,LEN(M1443)-FIND(" ",M1443))</f>
        <v/>
      </c>
      <c r="O1443" t="inlineStr">
        <is>
          <t>APT 404</t>
        </is>
      </c>
      <c r="P1443" t="inlineStr">
        <is>
          <t>WARREN</t>
        </is>
      </c>
      <c r="Q1443" t="inlineStr">
        <is>
          <t>OH</t>
        </is>
      </c>
      <c r="R1443" t="n">
        <v>44481</v>
      </c>
      <c r="AD1443" t="inlineStr">
        <is>
          <t>TRUMBULL CAREER &amp; TECH CENTER</t>
        </is>
      </c>
      <c r="AE1443" t="inlineStr">
        <is>
          <t>WARREN CITY</t>
        </is>
      </c>
      <c r="AF1443" t="inlineStr">
        <is>
          <t>WARREN CITY SD</t>
        </is>
      </c>
      <c r="AH1443" t="n">
        <v>14</v>
      </c>
      <c r="AI1443" t="n">
        <v>11</v>
      </c>
      <c r="AN1443" t="inlineStr">
        <is>
          <t>WARREN</t>
        </is>
      </c>
      <c r="AO1443" t="inlineStr">
        <is>
          <t>WARREN CITY 4D</t>
        </is>
      </c>
      <c r="AP1443" t="inlineStr">
        <is>
          <t>78-P-ADL</t>
        </is>
      </c>
      <c r="AQ1443" t="n">
        <v>9</v>
      </c>
      <c r="AR1443" t="n">
        <v>64</v>
      </c>
      <c r="AS1443" t="n">
        <v>32</v>
      </c>
      <c r="AU1443">
        <f>COUNTA($BA$1443:$EH$1443)</f>
        <v/>
      </c>
      <c r="AV1443">
        <f>COUNTIF($BA$1443:$EH$1443,"D")</f>
        <v/>
      </c>
      <c r="AW1443">
        <f>COUNTIF($BA$1443:$EH$1443,"R")</f>
        <v/>
      </c>
      <c r="AX1443">
        <f>IF(BN1443="D",1,0)+IF(BO1443="D",1,0)+IF(BT1443="D",1,0)+IF(BU1443="D",1,0)+IF(BW1443="D",1,0)+IF(CC1443="D",1,0)+IF(CD1443="D",1,0)+IF(CE1443="D",1,0)+IF(CF1443="D",1,0)+IF(CL1443="D",1,0)+IF(CM1443="D",1,0)+IF(CQ1443="D",1,0)+IF(CR1443="D",1,0)+IF(CS1443="D",1,0)+IF(CW1443="D",1,0)+IF(CX1443="D",1,0)+IF(DD1443="D",1,0)+IF(DE1443="D",1,0)+IF(DJ1443="D",1,0)+IF(DK1443="D",1,0)+IF(DO1443="D",1,0)+IF(DP1443="D",1,0)+IF(DQ1443="D",1,0)+IF(DW1443="D",1,0)+IF(DZ1443="D",1,0)+IF(EH1443="D",1,0)</f>
        <v/>
      </c>
      <c r="AY1443">
        <f>IF(DJ1443&lt;&gt;"",1,0)+IF(DK1443&lt;&gt;"",1,0)+IF(DM1443&lt;&gt;"",1,0)+IF(DO1443&lt;&gt;"",1,0)+IF(DP1443&lt;&gt;"",1,0)+IF(DQ1443&lt;&gt;"",1,0)+IF(DS1443&lt;&gt;"",1,0)+IF(DT1443&lt;&gt;"",1,0)+IF(DV1443&lt;&gt;"",1,0)+IF(DW1443&lt;&gt;"",1,0)+IF(DX1443&lt;&gt;"",1,0)+IF(DY1443&lt;&gt;"",1,0)+IF(DZ1443&lt;&gt;"",1,0)+IF(EB1443&lt;&gt;"",1,0)+IF(EC1443&lt;&gt;"",1,0)+IF(ED1443&lt;&gt;"",1,0)+IF(EG1443&lt;&gt;"",1,0)+IF(EH1443&lt;&gt;"",1,0)</f>
        <v/>
      </c>
      <c r="AZ1443">
        <f>IF(EH1443&lt;&gt;"",1,0)</f>
        <v/>
      </c>
      <c r="BB1443" t="inlineStr">
        <is>
          <t>WARREN-WARD 4</t>
        </is>
      </c>
      <c r="CK1443" t="inlineStr">
        <is>
          <t>X</t>
        </is>
      </c>
      <c r="CZ1443" t="inlineStr">
        <is>
          <t>D</t>
        </is>
      </c>
      <c r="DC1443" t="inlineStr">
        <is>
          <t>X</t>
        </is>
      </c>
      <c r="DD1443" t="inlineStr">
        <is>
          <t>D</t>
        </is>
      </c>
      <c r="DF1443" t="inlineStr">
        <is>
          <t>X</t>
        </is>
      </c>
      <c r="DI1443" t="inlineStr">
        <is>
          <t>X</t>
        </is>
      </c>
      <c r="DJ1443" t="inlineStr">
        <is>
          <t>D</t>
        </is>
      </c>
      <c r="DL1443" t="inlineStr">
        <is>
          <t>X</t>
        </is>
      </c>
      <c r="DN1443" t="inlineStr">
        <is>
          <t>X</t>
        </is>
      </c>
      <c r="DO1443" t="inlineStr">
        <is>
          <t>D</t>
        </is>
      </c>
      <c r="EF1443" t="inlineStr">
        <is>
          <t>X</t>
        </is>
      </c>
    </row>
    <row r="1444">
      <c r="A1444" t="inlineStr">
        <is>
          <t>OH0026030611</t>
        </is>
      </c>
      <c r="B1444" t="n">
        <v>78</v>
      </c>
      <c r="C1444" t="n">
        <v>454716</v>
      </c>
      <c r="D1444" t="inlineStr">
        <is>
          <t>COX</t>
        </is>
      </c>
      <c r="E1444" t="inlineStr">
        <is>
          <t>JASON</t>
        </is>
      </c>
      <c r="F1444">
        <f>CONCATENATE(D1444," ",LEFT(H1444,4),"T=",AU1444,"D=",AV1444,"R=",AW1444,"M=",AX1444,"L=",AY1444,"B=",AZ1444)</f>
        <v/>
      </c>
      <c r="G1444" t="inlineStr">
        <is>
          <t>MICHAEL</t>
        </is>
      </c>
      <c r="I1444" t="inlineStr">
        <is>
          <t>1994-09-13</t>
        </is>
      </c>
      <c r="J1444" t="inlineStr">
        <is>
          <t>2020-10-03</t>
        </is>
      </c>
      <c r="K1444" t="inlineStr">
        <is>
          <t>ACTIVE</t>
        </is>
      </c>
      <c r="M1444" t="inlineStr">
        <is>
          <t>258 SENECA AVE NE</t>
        </is>
      </c>
      <c r="N1444">
        <f>RIGHT(M1444,LEN(M1444)-FIND(" ",M1444))</f>
        <v/>
      </c>
      <c r="P1444" t="inlineStr">
        <is>
          <t>WARREN</t>
        </is>
      </c>
      <c r="Q1444" t="inlineStr">
        <is>
          <t>OH</t>
        </is>
      </c>
      <c r="R1444" t="n">
        <v>44481</v>
      </c>
      <c r="AD1444" t="inlineStr">
        <is>
          <t>TRUMBULL CAREER &amp; TECH CENTER</t>
        </is>
      </c>
      <c r="AE1444" t="inlineStr">
        <is>
          <t>WARREN CITY</t>
        </is>
      </c>
      <c r="AF1444" t="inlineStr">
        <is>
          <t>WARREN CITY SD</t>
        </is>
      </c>
      <c r="AH1444" t="n">
        <v>14</v>
      </c>
      <c r="AI1444" t="n">
        <v>11</v>
      </c>
      <c r="AN1444" t="inlineStr">
        <is>
          <t>WARREN</t>
        </is>
      </c>
      <c r="AO1444" t="inlineStr">
        <is>
          <t>WARREN CITY 4D</t>
        </is>
      </c>
      <c r="AP1444" t="inlineStr">
        <is>
          <t>78-P-ADL</t>
        </is>
      </c>
      <c r="AQ1444" t="n">
        <v>9</v>
      </c>
      <c r="AR1444" t="n">
        <v>64</v>
      </c>
      <c r="AS1444" t="n">
        <v>32</v>
      </c>
      <c r="AU1444">
        <f>COUNTA($BA$1444:$EH$1444)</f>
        <v/>
      </c>
      <c r="AV1444">
        <f>COUNTIF($BA$1444:$EH$1444,"D")</f>
        <v/>
      </c>
      <c r="AW1444">
        <f>COUNTIF($BA$1444:$EH$1444,"R")</f>
        <v/>
      </c>
      <c r="AX1444">
        <f>IF(BN1444="D",1,0)+IF(BO1444="D",1,0)+IF(BT1444="D",1,0)+IF(BU1444="D",1,0)+IF(BW1444="D",1,0)+IF(CC1444="D",1,0)+IF(CD1444="D",1,0)+IF(CE1444="D",1,0)+IF(CF1444="D",1,0)+IF(CL1444="D",1,0)+IF(CM1444="D",1,0)+IF(CQ1444="D",1,0)+IF(CR1444="D",1,0)+IF(CS1444="D",1,0)+IF(CW1444="D",1,0)+IF(CX1444="D",1,0)+IF(DD1444="D",1,0)+IF(DE1444="D",1,0)+IF(DJ1444="D",1,0)+IF(DK1444="D",1,0)+IF(DO1444="D",1,0)+IF(DP1444="D",1,0)+IF(DQ1444="D",1,0)+IF(DW1444="D",1,0)+IF(DZ1444="D",1,0)+IF(EH1444="D",1,0)</f>
        <v/>
      </c>
      <c r="AY1444">
        <f>IF(DJ1444&lt;&gt;"",1,0)+IF(DK1444&lt;&gt;"",1,0)+IF(DM1444&lt;&gt;"",1,0)+IF(DO1444&lt;&gt;"",1,0)+IF(DP1444&lt;&gt;"",1,0)+IF(DQ1444&lt;&gt;"",1,0)+IF(DS1444&lt;&gt;"",1,0)+IF(DT1444&lt;&gt;"",1,0)+IF(DV1444&lt;&gt;"",1,0)+IF(DW1444&lt;&gt;"",1,0)+IF(DX1444&lt;&gt;"",1,0)+IF(DY1444&lt;&gt;"",1,0)+IF(DZ1444&lt;&gt;"",1,0)+IF(EB1444&lt;&gt;"",1,0)+IF(EC1444&lt;&gt;"",1,0)+IF(ED1444&lt;&gt;"",1,0)+IF(EG1444&lt;&gt;"",1,0)+IF(EH1444&lt;&gt;"",1,0)</f>
        <v/>
      </c>
      <c r="AZ1444">
        <f>IF(EH1444&lt;&gt;"",1,0)</f>
        <v/>
      </c>
      <c r="BB1444" t="inlineStr">
        <is>
          <t>WARREN-WARD 4</t>
        </is>
      </c>
    </row>
    <row r="1445">
      <c r="A1445" t="inlineStr">
        <is>
          <t>OH0022437020</t>
        </is>
      </c>
      <c r="B1445" t="n">
        <v>78</v>
      </c>
      <c r="C1445" t="n">
        <v>396515</v>
      </c>
      <c r="D1445" t="inlineStr">
        <is>
          <t>JOHNSON</t>
        </is>
      </c>
      <c r="E1445" t="inlineStr">
        <is>
          <t>ALEXIS</t>
        </is>
      </c>
      <c r="F1445">
        <f>CONCATENATE(D1445," ",LEFT(H1445,4),"T=",AU1445,"D=",AV1445,"R=",AW1445,"M=",AX1445,"L=",AY1445,"B=",AZ1445)</f>
        <v/>
      </c>
      <c r="G1445" t="inlineStr">
        <is>
          <t>S</t>
        </is>
      </c>
      <c r="I1445" t="inlineStr">
        <is>
          <t>1991-12-18</t>
        </is>
      </c>
      <c r="J1445" t="inlineStr">
        <is>
          <t>2024-09-28</t>
        </is>
      </c>
      <c r="K1445" t="inlineStr">
        <is>
          <t>ACTIVE</t>
        </is>
      </c>
      <c r="M1445" t="inlineStr">
        <is>
          <t>1041 MCKINLEY ST NE</t>
        </is>
      </c>
      <c r="N1445">
        <f>RIGHT(M1445,LEN(M1445)-FIND(" ",M1445))</f>
        <v/>
      </c>
      <c r="P1445" t="inlineStr">
        <is>
          <t>WARREN</t>
        </is>
      </c>
      <c r="Q1445" t="inlineStr">
        <is>
          <t>OH</t>
        </is>
      </c>
      <c r="R1445" t="n">
        <v>44483</v>
      </c>
      <c r="AD1445" t="inlineStr">
        <is>
          <t>TRUMBULL CAREER &amp; TECH CENTER</t>
        </is>
      </c>
      <c r="AE1445" t="inlineStr">
        <is>
          <t>WARREN CITY</t>
        </is>
      </c>
      <c r="AF1445" t="inlineStr">
        <is>
          <t>WARREN CITY SD</t>
        </is>
      </c>
      <c r="AH1445" t="n">
        <v>14</v>
      </c>
      <c r="AI1445" t="n">
        <v>11</v>
      </c>
      <c r="AN1445" t="inlineStr">
        <is>
          <t>WARREN</t>
        </is>
      </c>
      <c r="AO1445" t="inlineStr">
        <is>
          <t>WARREN CITY 4D</t>
        </is>
      </c>
      <c r="AP1445" t="inlineStr">
        <is>
          <t>78-P-ADL</t>
        </is>
      </c>
      <c r="AQ1445" t="n">
        <v>9</v>
      </c>
      <c r="AR1445" t="n">
        <v>64</v>
      </c>
      <c r="AS1445" t="n">
        <v>32</v>
      </c>
      <c r="AU1445">
        <f>COUNTA($BA$1445:$EH$1445)</f>
        <v/>
      </c>
      <c r="AV1445">
        <f>COUNTIF($BA$1445:$EH$1445,"D")</f>
        <v/>
      </c>
      <c r="AW1445">
        <f>COUNTIF($BA$1445:$EH$1445,"R")</f>
        <v/>
      </c>
      <c r="AX1445">
        <f>IF(BN1445="D",1,0)+IF(BO1445="D",1,0)+IF(BT1445="D",1,0)+IF(BU1445="D",1,0)+IF(BW1445="D",1,0)+IF(CC1445="D",1,0)+IF(CD1445="D",1,0)+IF(CE1445="D",1,0)+IF(CF1445="D",1,0)+IF(CL1445="D",1,0)+IF(CM1445="D",1,0)+IF(CQ1445="D",1,0)+IF(CR1445="D",1,0)+IF(CS1445="D",1,0)+IF(CW1445="D",1,0)+IF(CX1445="D",1,0)+IF(DD1445="D",1,0)+IF(DE1445="D",1,0)+IF(DJ1445="D",1,0)+IF(DK1445="D",1,0)+IF(DO1445="D",1,0)+IF(DP1445="D",1,0)+IF(DQ1445="D",1,0)+IF(DW1445="D",1,0)+IF(DZ1445="D",1,0)+IF(EH1445="D",1,0)</f>
        <v/>
      </c>
      <c r="AY1445">
        <f>IF(DJ1445&lt;&gt;"",1,0)+IF(DK1445&lt;&gt;"",1,0)+IF(DM1445&lt;&gt;"",1,0)+IF(DO1445&lt;&gt;"",1,0)+IF(DP1445&lt;&gt;"",1,0)+IF(DQ1445&lt;&gt;"",1,0)+IF(DS1445&lt;&gt;"",1,0)+IF(DT1445&lt;&gt;"",1,0)+IF(DV1445&lt;&gt;"",1,0)+IF(DW1445&lt;&gt;"",1,0)+IF(DX1445&lt;&gt;"",1,0)+IF(DY1445&lt;&gt;"",1,0)+IF(DZ1445&lt;&gt;"",1,0)+IF(EB1445&lt;&gt;"",1,0)+IF(EC1445&lt;&gt;"",1,0)+IF(ED1445&lt;&gt;"",1,0)+IF(EG1445&lt;&gt;"",1,0)+IF(EH1445&lt;&gt;"",1,0)</f>
        <v/>
      </c>
      <c r="AZ1445">
        <f>IF(EH1445&lt;&gt;"",1,0)</f>
        <v/>
      </c>
      <c r="BB1445" t="inlineStr">
        <is>
          <t>WARREN-WARD 4</t>
        </is>
      </c>
      <c r="DN1445" t="inlineStr">
        <is>
          <t>X</t>
        </is>
      </c>
      <c r="EF1445" t="inlineStr">
        <is>
          <t>X</t>
        </is>
      </c>
    </row>
    <row r="1446">
      <c r="A1446" t="inlineStr">
        <is>
          <t>OH0015799912</t>
        </is>
      </c>
      <c r="B1446" t="n">
        <v>78</v>
      </c>
      <c r="C1446" t="n">
        <v>291437</v>
      </c>
      <c r="D1446" t="inlineStr">
        <is>
          <t>WALLACE</t>
        </is>
      </c>
      <c r="E1446" t="inlineStr">
        <is>
          <t>PATRICIA</t>
        </is>
      </c>
      <c r="F1446">
        <f>CONCATENATE(D1446," ",LEFT(H1446,4),"T=",AU1446,"D=",AV1446,"R=",AW1446,"M=",AX1446,"L=",AY1446,"B=",AZ1446)</f>
        <v/>
      </c>
      <c r="I1446" t="inlineStr">
        <is>
          <t>1946-08-05</t>
        </is>
      </c>
      <c r="J1446" t="inlineStr">
        <is>
          <t>1999-10-25</t>
        </is>
      </c>
      <c r="K1446" t="inlineStr">
        <is>
          <t>ACTIVE</t>
        </is>
      </c>
      <c r="L1446" t="inlineStr">
        <is>
          <t>D</t>
        </is>
      </c>
      <c r="M1446" t="inlineStr">
        <is>
          <t>1024 HARRISON ST NE</t>
        </is>
      </c>
      <c r="N1446">
        <f>RIGHT(M1446,LEN(M1446)-FIND(" ",M1446))</f>
        <v/>
      </c>
      <c r="P1446" t="inlineStr">
        <is>
          <t>WARREN</t>
        </is>
      </c>
      <c r="Q1446" t="inlineStr">
        <is>
          <t>OH</t>
        </is>
      </c>
      <c r="R1446" t="n">
        <v>44483</v>
      </c>
      <c r="AD1446" t="inlineStr">
        <is>
          <t>TRUMBULL CAREER &amp; TECH CENTER</t>
        </is>
      </c>
      <c r="AE1446" t="inlineStr">
        <is>
          <t>WARREN CITY</t>
        </is>
      </c>
      <c r="AF1446" t="inlineStr">
        <is>
          <t>WARREN CITY SD</t>
        </is>
      </c>
      <c r="AH1446" t="n">
        <v>14</v>
      </c>
      <c r="AI1446" t="n">
        <v>11</v>
      </c>
      <c r="AN1446" t="inlineStr">
        <is>
          <t>WARREN</t>
        </is>
      </c>
      <c r="AO1446" t="inlineStr">
        <is>
          <t>WARREN CITY 4D</t>
        </is>
      </c>
      <c r="AP1446" t="inlineStr">
        <is>
          <t>78-P-ADL</t>
        </is>
      </c>
      <c r="AQ1446" t="n">
        <v>9</v>
      </c>
      <c r="AR1446" t="n">
        <v>64</v>
      </c>
      <c r="AS1446" t="n">
        <v>32</v>
      </c>
      <c r="AU1446">
        <f>COUNTA($BA$1446:$EH$1446)</f>
        <v/>
      </c>
      <c r="AV1446">
        <f>COUNTIF($BA$1446:$EH$1446,"D")</f>
        <v/>
      </c>
      <c r="AW1446">
        <f>COUNTIF($BA$1446:$EH$1446,"R")</f>
        <v/>
      </c>
      <c r="AX1446">
        <f>IF(BN1446="D",1,0)+IF(BO1446="D",1,0)+IF(BT1446="D",1,0)+IF(BU1446="D",1,0)+IF(BW1446="D",1,0)+IF(CC1446="D",1,0)+IF(CD1446="D",1,0)+IF(CE1446="D",1,0)+IF(CF1446="D",1,0)+IF(CL1446="D",1,0)+IF(CM1446="D",1,0)+IF(CQ1446="D",1,0)+IF(CR1446="D",1,0)+IF(CS1446="D",1,0)+IF(CW1446="D",1,0)+IF(CX1446="D",1,0)+IF(DD1446="D",1,0)+IF(DE1446="D",1,0)+IF(DJ1446="D",1,0)+IF(DK1446="D",1,0)+IF(DO1446="D",1,0)+IF(DP1446="D",1,0)+IF(DQ1446="D",1,0)+IF(DW1446="D",1,0)+IF(DZ1446="D",1,0)+IF(EH1446="D",1,0)</f>
        <v/>
      </c>
      <c r="AY1446">
        <f>IF(DJ1446&lt;&gt;"",1,0)+IF(DK1446&lt;&gt;"",1,0)+IF(DM1446&lt;&gt;"",1,0)+IF(DO1446&lt;&gt;"",1,0)+IF(DP1446&lt;&gt;"",1,0)+IF(DQ1446&lt;&gt;"",1,0)+IF(DS1446&lt;&gt;"",1,0)+IF(DT1446&lt;&gt;"",1,0)+IF(DV1446&lt;&gt;"",1,0)+IF(DW1446&lt;&gt;"",1,0)+IF(DX1446&lt;&gt;"",1,0)+IF(DY1446&lt;&gt;"",1,0)+IF(DZ1446&lt;&gt;"",1,0)+IF(EB1446&lt;&gt;"",1,0)+IF(EC1446&lt;&gt;"",1,0)+IF(ED1446&lt;&gt;"",1,0)+IF(EG1446&lt;&gt;"",1,0)+IF(EH1446&lt;&gt;"",1,0)</f>
        <v/>
      </c>
      <c r="AZ1446">
        <f>IF(EH1446&lt;&gt;"",1,0)</f>
        <v/>
      </c>
      <c r="BB1446" t="inlineStr">
        <is>
          <t>WARREN-WARD 4</t>
        </is>
      </c>
      <c r="BD1446" t="inlineStr">
        <is>
          <t>X</t>
        </is>
      </c>
      <c r="BK1446" t="inlineStr">
        <is>
          <t>X</t>
        </is>
      </c>
      <c r="BL1446" t="inlineStr">
        <is>
          <t>X</t>
        </is>
      </c>
      <c r="BS1446" t="inlineStr">
        <is>
          <t>X</t>
        </is>
      </c>
      <c r="BY1446" t="inlineStr">
        <is>
          <t>D</t>
        </is>
      </c>
      <c r="CA1446" t="inlineStr">
        <is>
          <t>X</t>
        </is>
      </c>
      <c r="CG1446" t="inlineStr">
        <is>
          <t>X</t>
        </is>
      </c>
      <c r="CK1446" t="inlineStr">
        <is>
          <t>X</t>
        </is>
      </c>
      <c r="CN1446" t="inlineStr">
        <is>
          <t>X</t>
        </is>
      </c>
      <c r="CP1446" t="inlineStr">
        <is>
          <t>X</t>
        </is>
      </c>
      <c r="CY1446" t="inlineStr">
        <is>
          <t>X</t>
        </is>
      </c>
      <c r="CZ1446" t="inlineStr">
        <is>
          <t>D</t>
        </is>
      </c>
      <c r="DC1446" t="inlineStr">
        <is>
          <t>X</t>
        </is>
      </c>
      <c r="DF1446" t="inlineStr">
        <is>
          <t>X</t>
        </is>
      </c>
      <c r="DI1446" t="inlineStr">
        <is>
          <t>X</t>
        </is>
      </c>
      <c r="DL1446" t="inlineStr">
        <is>
          <t>X</t>
        </is>
      </c>
      <c r="DM1446" t="inlineStr">
        <is>
          <t>D</t>
        </is>
      </c>
      <c r="DN1446" t="inlineStr">
        <is>
          <t>X</t>
        </is>
      </c>
      <c r="DR1446" t="inlineStr">
        <is>
          <t>X</t>
        </is>
      </c>
      <c r="DS1446" t="inlineStr">
        <is>
          <t>D</t>
        </is>
      </c>
      <c r="DU1446" t="inlineStr">
        <is>
          <t>X</t>
        </is>
      </c>
      <c r="DW1446" t="inlineStr">
        <is>
          <t>D</t>
        </is>
      </c>
      <c r="DX1446" t="inlineStr">
        <is>
          <t>X</t>
        </is>
      </c>
      <c r="EA1446" t="inlineStr">
        <is>
          <t>X</t>
        </is>
      </c>
      <c r="EF1446" t="inlineStr">
        <is>
          <t>X</t>
        </is>
      </c>
    </row>
    <row r="1447">
      <c r="A1447" t="inlineStr">
        <is>
          <t>OH0015691020</t>
        </is>
      </c>
      <c r="B1447" t="n">
        <v>78</v>
      </c>
      <c r="C1447" t="n">
        <v>136287</v>
      </c>
      <c r="D1447" t="inlineStr">
        <is>
          <t>GENTIS</t>
        </is>
      </c>
      <c r="E1447" t="inlineStr">
        <is>
          <t>PETE</t>
        </is>
      </c>
      <c r="F1447">
        <f>CONCATENATE(D1447," ",LEFT(H1447,4),"T=",AU1447,"D=",AV1447,"R=",AW1447,"M=",AX1447,"L=",AY1447,"B=",AZ1447)</f>
        <v/>
      </c>
      <c r="I1447" t="inlineStr">
        <is>
          <t>1938-01-23</t>
        </is>
      </c>
      <c r="J1447" t="inlineStr">
        <is>
          <t>1981-04-30</t>
        </is>
      </c>
      <c r="K1447" t="inlineStr">
        <is>
          <t>ACTIVE</t>
        </is>
      </c>
      <c r="M1447" t="inlineStr">
        <is>
          <t>1134 HARRISON ST NE</t>
        </is>
      </c>
      <c r="N1447">
        <f>RIGHT(M1447,LEN(M1447)-FIND(" ",M1447))</f>
        <v/>
      </c>
      <c r="P1447" t="inlineStr">
        <is>
          <t>WARREN</t>
        </is>
      </c>
      <c r="Q1447" t="inlineStr">
        <is>
          <t>OH</t>
        </is>
      </c>
      <c r="R1447" t="n">
        <v>44483</v>
      </c>
      <c r="AD1447" t="inlineStr">
        <is>
          <t>TRUMBULL CAREER &amp; TECH CENTER</t>
        </is>
      </c>
      <c r="AE1447" t="inlineStr">
        <is>
          <t>WARREN CITY</t>
        </is>
      </c>
      <c r="AF1447" t="inlineStr">
        <is>
          <t>WARREN CITY SD</t>
        </is>
      </c>
      <c r="AH1447" t="n">
        <v>14</v>
      </c>
      <c r="AI1447" t="n">
        <v>11</v>
      </c>
      <c r="AN1447" t="inlineStr">
        <is>
          <t>WARREN</t>
        </is>
      </c>
      <c r="AO1447" t="inlineStr">
        <is>
          <t>WARREN CITY 4D</t>
        </is>
      </c>
      <c r="AP1447" t="inlineStr">
        <is>
          <t>78-P-ADL</t>
        </is>
      </c>
      <c r="AQ1447" t="n">
        <v>9</v>
      </c>
      <c r="AR1447" t="n">
        <v>64</v>
      </c>
      <c r="AS1447" t="n">
        <v>32</v>
      </c>
      <c r="AU1447">
        <f>COUNTA($BA$1447:$EH$1447)</f>
        <v/>
      </c>
      <c r="AV1447">
        <f>COUNTIF($BA$1447:$EH$1447,"D")</f>
        <v/>
      </c>
      <c r="AW1447">
        <f>COUNTIF($BA$1447:$EH$1447,"R")</f>
        <v/>
      </c>
      <c r="AX1447">
        <f>IF(BN1447="D",1,0)+IF(BO1447="D",1,0)+IF(BT1447="D",1,0)+IF(BU1447="D",1,0)+IF(BW1447="D",1,0)+IF(CC1447="D",1,0)+IF(CD1447="D",1,0)+IF(CE1447="D",1,0)+IF(CF1447="D",1,0)+IF(CL1447="D",1,0)+IF(CM1447="D",1,0)+IF(CQ1447="D",1,0)+IF(CR1447="D",1,0)+IF(CS1447="D",1,0)+IF(CW1447="D",1,0)+IF(CX1447="D",1,0)+IF(DD1447="D",1,0)+IF(DE1447="D",1,0)+IF(DJ1447="D",1,0)+IF(DK1447="D",1,0)+IF(DO1447="D",1,0)+IF(DP1447="D",1,0)+IF(DQ1447="D",1,0)+IF(DW1447="D",1,0)+IF(DZ1447="D",1,0)+IF(EH1447="D",1,0)</f>
        <v/>
      </c>
      <c r="AY1447">
        <f>IF(DJ1447&lt;&gt;"",1,0)+IF(DK1447&lt;&gt;"",1,0)+IF(DM1447&lt;&gt;"",1,0)+IF(DO1447&lt;&gt;"",1,0)+IF(DP1447&lt;&gt;"",1,0)+IF(DQ1447&lt;&gt;"",1,0)+IF(DS1447&lt;&gt;"",1,0)+IF(DT1447&lt;&gt;"",1,0)+IF(DV1447&lt;&gt;"",1,0)+IF(DW1447&lt;&gt;"",1,0)+IF(DX1447&lt;&gt;"",1,0)+IF(DY1447&lt;&gt;"",1,0)+IF(DZ1447&lt;&gt;"",1,0)+IF(EB1447&lt;&gt;"",1,0)+IF(EC1447&lt;&gt;"",1,0)+IF(ED1447&lt;&gt;"",1,0)+IF(EG1447&lt;&gt;"",1,0)+IF(EH1447&lt;&gt;"",1,0)</f>
        <v/>
      </c>
      <c r="AZ1447">
        <f>IF(EH1447&lt;&gt;"",1,0)</f>
        <v/>
      </c>
      <c r="BB1447" t="inlineStr">
        <is>
          <t>WARREN-WARD 4</t>
        </is>
      </c>
      <c r="BC1447" t="inlineStr">
        <is>
          <t>X</t>
        </is>
      </c>
      <c r="BG1447" t="inlineStr">
        <is>
          <t>X</t>
        </is>
      </c>
      <c r="BH1447" t="inlineStr">
        <is>
          <t>X</t>
        </is>
      </c>
      <c r="BI1447" t="inlineStr">
        <is>
          <t>X</t>
        </is>
      </c>
      <c r="BJ1447" t="inlineStr">
        <is>
          <t>X</t>
        </is>
      </c>
      <c r="BK1447" t="inlineStr">
        <is>
          <t>X</t>
        </is>
      </c>
      <c r="BL1447" t="inlineStr">
        <is>
          <t>X</t>
        </is>
      </c>
      <c r="BP1447" t="inlineStr">
        <is>
          <t>X</t>
        </is>
      </c>
      <c r="BS1447" t="inlineStr">
        <is>
          <t>X</t>
        </is>
      </c>
      <c r="BY1447" t="inlineStr">
        <is>
          <t>D</t>
        </is>
      </c>
      <c r="CA1447" t="inlineStr">
        <is>
          <t>X</t>
        </is>
      </c>
      <c r="CL1447" t="inlineStr">
        <is>
          <t>D</t>
        </is>
      </c>
      <c r="CN1447" t="inlineStr">
        <is>
          <t>X</t>
        </is>
      </c>
      <c r="CU1447" t="inlineStr">
        <is>
          <t>D</t>
        </is>
      </c>
      <c r="DC1447" t="inlineStr">
        <is>
          <t>X</t>
        </is>
      </c>
      <c r="DN1447" t="inlineStr">
        <is>
          <t>X</t>
        </is>
      </c>
      <c r="EF1447" t="inlineStr">
        <is>
          <t>X</t>
        </is>
      </c>
    </row>
    <row r="1448">
      <c r="A1448" t="inlineStr">
        <is>
          <t>OH0022208761</t>
        </is>
      </c>
      <c r="B1448" t="n">
        <v>78</v>
      </c>
      <c r="C1448" t="n">
        <v>392802</v>
      </c>
      <c r="D1448" t="inlineStr">
        <is>
          <t>BARNES</t>
        </is>
      </c>
      <c r="E1448" t="inlineStr">
        <is>
          <t>CODY</t>
        </is>
      </c>
      <c r="F1448">
        <f>CONCATENATE(D1448," ",LEFT(H1448,4),"T=",AU1448,"D=",AV1448,"R=",AW1448,"M=",AX1448,"L=",AY1448,"B=",AZ1448)</f>
        <v/>
      </c>
      <c r="G1448" t="inlineStr">
        <is>
          <t>A</t>
        </is>
      </c>
      <c r="I1448" t="inlineStr">
        <is>
          <t>1991-02-27</t>
        </is>
      </c>
      <c r="J1448" t="inlineStr">
        <is>
          <t>2018-07-20</t>
        </is>
      </c>
      <c r="K1448" t="inlineStr">
        <is>
          <t>CONFIRMATION</t>
        </is>
      </c>
      <c r="M1448" t="inlineStr">
        <is>
          <t>648 VINE AVE NE</t>
        </is>
      </c>
      <c r="N1448">
        <f>RIGHT(M1448,LEN(M1448)-FIND(" ",M1448))</f>
        <v/>
      </c>
      <c r="P1448" t="inlineStr">
        <is>
          <t>WARREN</t>
        </is>
      </c>
      <c r="Q1448" t="inlineStr">
        <is>
          <t>OH</t>
        </is>
      </c>
      <c r="R1448" t="n">
        <v>44483</v>
      </c>
      <c r="AD1448" t="inlineStr">
        <is>
          <t>TRUMBULL CAREER &amp; TECH CENTER</t>
        </is>
      </c>
      <c r="AE1448" t="inlineStr">
        <is>
          <t>WARREN CITY</t>
        </is>
      </c>
      <c r="AF1448" t="inlineStr">
        <is>
          <t>WARREN CITY SD</t>
        </is>
      </c>
      <c r="AH1448" t="n">
        <v>14</v>
      </c>
      <c r="AI1448" t="n">
        <v>11</v>
      </c>
      <c r="AN1448" t="inlineStr">
        <is>
          <t>WARREN</t>
        </is>
      </c>
      <c r="AO1448" t="inlineStr">
        <is>
          <t>WARREN CITY 4D</t>
        </is>
      </c>
      <c r="AP1448" t="inlineStr">
        <is>
          <t>78-P-ADL</t>
        </is>
      </c>
      <c r="AQ1448" t="n">
        <v>9</v>
      </c>
      <c r="AR1448" t="n">
        <v>64</v>
      </c>
      <c r="AS1448" t="n">
        <v>32</v>
      </c>
      <c r="AU1448">
        <f>COUNTA($BA$1448:$EH$1448)</f>
        <v/>
      </c>
      <c r="AV1448">
        <f>COUNTIF($BA$1448:$EH$1448,"D")</f>
        <v/>
      </c>
      <c r="AW1448">
        <f>COUNTIF($BA$1448:$EH$1448,"R")</f>
        <v/>
      </c>
      <c r="AX1448">
        <f>IF(BN1448="D",1,0)+IF(BO1448="D",1,0)+IF(BT1448="D",1,0)+IF(BU1448="D",1,0)+IF(BW1448="D",1,0)+IF(CC1448="D",1,0)+IF(CD1448="D",1,0)+IF(CE1448="D",1,0)+IF(CF1448="D",1,0)+IF(CL1448="D",1,0)+IF(CM1448="D",1,0)+IF(CQ1448="D",1,0)+IF(CR1448="D",1,0)+IF(CS1448="D",1,0)+IF(CW1448="D",1,0)+IF(CX1448="D",1,0)+IF(DD1448="D",1,0)+IF(DE1448="D",1,0)+IF(DJ1448="D",1,0)+IF(DK1448="D",1,0)+IF(DO1448="D",1,0)+IF(DP1448="D",1,0)+IF(DQ1448="D",1,0)+IF(DW1448="D",1,0)+IF(DZ1448="D",1,0)+IF(EH1448="D",1,0)</f>
        <v/>
      </c>
      <c r="AY1448">
        <f>IF(DJ1448&lt;&gt;"",1,0)+IF(DK1448&lt;&gt;"",1,0)+IF(DM1448&lt;&gt;"",1,0)+IF(DO1448&lt;&gt;"",1,0)+IF(DP1448&lt;&gt;"",1,0)+IF(DQ1448&lt;&gt;"",1,0)+IF(DS1448&lt;&gt;"",1,0)+IF(DT1448&lt;&gt;"",1,0)+IF(DV1448&lt;&gt;"",1,0)+IF(DW1448&lt;&gt;"",1,0)+IF(DX1448&lt;&gt;"",1,0)+IF(DY1448&lt;&gt;"",1,0)+IF(DZ1448&lt;&gt;"",1,0)+IF(EB1448&lt;&gt;"",1,0)+IF(EC1448&lt;&gt;"",1,0)+IF(ED1448&lt;&gt;"",1,0)+IF(EG1448&lt;&gt;"",1,0)+IF(EH1448&lt;&gt;"",1,0)</f>
        <v/>
      </c>
      <c r="AZ1448">
        <f>IF(EH1448&lt;&gt;"",1,0)</f>
        <v/>
      </c>
      <c r="BB1448" t="inlineStr">
        <is>
          <t>WARREN-WARD 4</t>
        </is>
      </c>
    </row>
    <row r="1449">
      <c r="A1449" t="inlineStr">
        <is>
          <t>OH0027353628</t>
        </is>
      </c>
      <c r="B1449" t="n">
        <v>78</v>
      </c>
      <c r="C1449" t="n">
        <v>485014</v>
      </c>
      <c r="D1449" t="inlineStr">
        <is>
          <t>LONSBROUGH</t>
        </is>
      </c>
      <c r="E1449" t="inlineStr">
        <is>
          <t>DAVID</t>
        </is>
      </c>
      <c r="F1449">
        <f>CONCATENATE(D1449," ",LEFT(H1449,4),"T=",AU1449,"D=",AV1449,"R=",AW1449,"M=",AX1449,"L=",AY1449,"B=",AZ1449)</f>
        <v/>
      </c>
      <c r="G1449" t="inlineStr">
        <is>
          <t>LENO</t>
        </is>
      </c>
      <c r="I1449" t="inlineStr">
        <is>
          <t>1982-10-08</t>
        </is>
      </c>
      <c r="J1449" t="inlineStr">
        <is>
          <t>2024-05-10</t>
        </is>
      </c>
      <c r="K1449" t="inlineStr">
        <is>
          <t>ACTIVE</t>
        </is>
      </c>
      <c r="M1449" t="inlineStr">
        <is>
          <t>305 HARMON AVE NW</t>
        </is>
      </c>
      <c r="N1449">
        <f>RIGHT(M1449,LEN(M1449)-FIND(" ",M1449))</f>
        <v/>
      </c>
      <c r="O1449" t="inlineStr">
        <is>
          <t>APT 2</t>
        </is>
      </c>
      <c r="P1449" t="inlineStr">
        <is>
          <t>WARREN</t>
        </is>
      </c>
      <c r="Q1449" t="inlineStr">
        <is>
          <t>OH</t>
        </is>
      </c>
      <c r="R1449" t="n">
        <v>44483</v>
      </c>
      <c r="AD1449" t="inlineStr">
        <is>
          <t>TRUMBULL CAREER &amp; TECH CENTER</t>
        </is>
      </c>
      <c r="AE1449" t="inlineStr">
        <is>
          <t>WARREN CITY</t>
        </is>
      </c>
      <c r="AF1449" t="inlineStr">
        <is>
          <t>WARREN CITY SD</t>
        </is>
      </c>
      <c r="AH1449" t="n">
        <v>14</v>
      </c>
      <c r="AI1449" t="n">
        <v>11</v>
      </c>
      <c r="AN1449" t="inlineStr">
        <is>
          <t>WARREN</t>
        </is>
      </c>
      <c r="AO1449" t="inlineStr">
        <is>
          <t>WARREN CITY 4D</t>
        </is>
      </c>
      <c r="AP1449" t="inlineStr">
        <is>
          <t>78-P-ADL</t>
        </is>
      </c>
      <c r="AQ1449" t="n">
        <v>9</v>
      </c>
      <c r="AR1449" t="n">
        <v>64</v>
      </c>
      <c r="AS1449" t="n">
        <v>32</v>
      </c>
      <c r="AU1449">
        <f>COUNTA($BA$1449:$EH$1449)</f>
        <v/>
      </c>
      <c r="AV1449">
        <f>COUNTIF($BA$1449:$EH$1449,"D")</f>
        <v/>
      </c>
      <c r="AW1449">
        <f>COUNTIF($BA$1449:$EH$1449,"R")</f>
        <v/>
      </c>
      <c r="AX1449">
        <f>IF(BN1449="D",1,0)+IF(BO1449="D",1,0)+IF(BT1449="D",1,0)+IF(BU1449="D",1,0)+IF(BW1449="D",1,0)+IF(CC1449="D",1,0)+IF(CD1449="D",1,0)+IF(CE1449="D",1,0)+IF(CF1449="D",1,0)+IF(CL1449="D",1,0)+IF(CM1449="D",1,0)+IF(CQ1449="D",1,0)+IF(CR1449="D",1,0)+IF(CS1449="D",1,0)+IF(CW1449="D",1,0)+IF(CX1449="D",1,0)+IF(DD1449="D",1,0)+IF(DE1449="D",1,0)+IF(DJ1449="D",1,0)+IF(DK1449="D",1,0)+IF(DO1449="D",1,0)+IF(DP1449="D",1,0)+IF(DQ1449="D",1,0)+IF(DW1449="D",1,0)+IF(DZ1449="D",1,0)+IF(EH1449="D",1,0)</f>
        <v/>
      </c>
      <c r="AY1449">
        <f>IF(DJ1449&lt;&gt;"",1,0)+IF(DK1449&lt;&gt;"",1,0)+IF(DM1449&lt;&gt;"",1,0)+IF(DO1449&lt;&gt;"",1,0)+IF(DP1449&lt;&gt;"",1,0)+IF(DQ1449&lt;&gt;"",1,0)+IF(DS1449&lt;&gt;"",1,0)+IF(DT1449&lt;&gt;"",1,0)+IF(DV1449&lt;&gt;"",1,0)+IF(DW1449&lt;&gt;"",1,0)+IF(DX1449&lt;&gt;"",1,0)+IF(DY1449&lt;&gt;"",1,0)+IF(DZ1449&lt;&gt;"",1,0)+IF(EB1449&lt;&gt;"",1,0)+IF(EC1449&lt;&gt;"",1,0)+IF(ED1449&lt;&gt;"",1,0)+IF(EG1449&lt;&gt;"",1,0)+IF(EH1449&lt;&gt;"",1,0)</f>
        <v/>
      </c>
      <c r="AZ1449">
        <f>IF(EH1449&lt;&gt;"",1,0)</f>
        <v/>
      </c>
      <c r="BB1449" t="inlineStr">
        <is>
          <t>WARREN-WARD 4</t>
        </is>
      </c>
      <c r="CA1449" t="inlineStr">
        <is>
          <t>X</t>
        </is>
      </c>
      <c r="CP1449" t="inlineStr">
        <is>
          <t>X</t>
        </is>
      </c>
      <c r="CV1449" t="inlineStr">
        <is>
          <t>X</t>
        </is>
      </c>
      <c r="CZ1449" t="inlineStr">
        <is>
          <t>R</t>
        </is>
      </c>
      <c r="DC1449" t="inlineStr">
        <is>
          <t>X</t>
        </is>
      </c>
      <c r="DL1449" t="inlineStr">
        <is>
          <t>X</t>
        </is>
      </c>
      <c r="DN1449" t="inlineStr">
        <is>
          <t>X</t>
        </is>
      </c>
      <c r="DR1449" t="inlineStr">
        <is>
          <t>X</t>
        </is>
      </c>
      <c r="DS1449" t="inlineStr">
        <is>
          <t>R</t>
        </is>
      </c>
      <c r="DU1449" t="inlineStr">
        <is>
          <t>X</t>
        </is>
      </c>
      <c r="EF1449" t="inlineStr">
        <is>
          <t>X</t>
        </is>
      </c>
    </row>
    <row r="1450">
      <c r="A1450" t="inlineStr">
        <is>
          <t>OH0027081777</t>
        </is>
      </c>
      <c r="B1450" t="n">
        <v>78</v>
      </c>
      <c r="C1450" t="n">
        <v>476724</v>
      </c>
      <c r="D1450" t="inlineStr">
        <is>
          <t>DYE</t>
        </is>
      </c>
      <c r="E1450" t="inlineStr">
        <is>
          <t>COREY</t>
        </is>
      </c>
      <c r="F1450">
        <f>CONCATENATE(D1450," ",LEFT(H1450,4),"T=",AU1450,"D=",AV1450,"R=",AW1450,"M=",AX1450,"L=",AY1450,"B=",AZ1450)</f>
        <v/>
      </c>
      <c r="G1450" t="inlineStr">
        <is>
          <t>ALLEN</t>
        </is>
      </c>
      <c r="I1450" t="inlineStr">
        <is>
          <t>1995-04-12</t>
        </is>
      </c>
      <c r="J1450" t="inlineStr">
        <is>
          <t>2023-09-26</t>
        </is>
      </c>
      <c r="K1450" t="inlineStr">
        <is>
          <t>ACTIVE</t>
        </is>
      </c>
      <c r="M1450" t="inlineStr">
        <is>
          <t>431 WASHINGTON ST NE</t>
        </is>
      </c>
      <c r="N1450">
        <f>RIGHT(M1450,LEN(M1450)-FIND(" ",M1450))</f>
        <v/>
      </c>
      <c r="P1450" t="inlineStr">
        <is>
          <t>WARREN</t>
        </is>
      </c>
      <c r="Q1450" t="inlineStr">
        <is>
          <t>OH</t>
        </is>
      </c>
      <c r="R1450" t="n">
        <v>44483</v>
      </c>
      <c r="AD1450" t="inlineStr">
        <is>
          <t>TRUMBULL CAREER &amp; TECH CENTER</t>
        </is>
      </c>
      <c r="AE1450" t="inlineStr">
        <is>
          <t>WARREN CITY</t>
        </is>
      </c>
      <c r="AF1450" t="inlineStr">
        <is>
          <t>WARREN CITY SD</t>
        </is>
      </c>
      <c r="AH1450" t="n">
        <v>14</v>
      </c>
      <c r="AI1450" t="n">
        <v>11</v>
      </c>
      <c r="AN1450" t="inlineStr">
        <is>
          <t>WARREN</t>
        </is>
      </c>
      <c r="AO1450" t="inlineStr">
        <is>
          <t>WARREN CITY 4D</t>
        </is>
      </c>
      <c r="AP1450" t="inlineStr">
        <is>
          <t>78-P-ADL</t>
        </is>
      </c>
      <c r="AQ1450" t="n">
        <v>9</v>
      </c>
      <c r="AR1450" t="n">
        <v>64</v>
      </c>
      <c r="AS1450" t="n">
        <v>32</v>
      </c>
      <c r="AU1450">
        <f>COUNTA($BA$1450:$EH$1450)</f>
        <v/>
      </c>
      <c r="AV1450">
        <f>COUNTIF($BA$1450:$EH$1450,"D")</f>
        <v/>
      </c>
      <c r="AW1450">
        <f>COUNTIF($BA$1450:$EH$1450,"R")</f>
        <v/>
      </c>
      <c r="AX1450">
        <f>IF(BN1450="D",1,0)+IF(BO1450="D",1,0)+IF(BT1450="D",1,0)+IF(BU1450="D",1,0)+IF(BW1450="D",1,0)+IF(CC1450="D",1,0)+IF(CD1450="D",1,0)+IF(CE1450="D",1,0)+IF(CF1450="D",1,0)+IF(CL1450="D",1,0)+IF(CM1450="D",1,0)+IF(CQ1450="D",1,0)+IF(CR1450="D",1,0)+IF(CS1450="D",1,0)+IF(CW1450="D",1,0)+IF(CX1450="D",1,0)+IF(DD1450="D",1,0)+IF(DE1450="D",1,0)+IF(DJ1450="D",1,0)+IF(DK1450="D",1,0)+IF(DO1450="D",1,0)+IF(DP1450="D",1,0)+IF(DQ1450="D",1,0)+IF(DW1450="D",1,0)+IF(DZ1450="D",1,0)+IF(EH1450="D",1,0)</f>
        <v/>
      </c>
      <c r="AY1450">
        <f>IF(DJ1450&lt;&gt;"",1,0)+IF(DK1450&lt;&gt;"",1,0)+IF(DM1450&lt;&gt;"",1,0)+IF(DO1450&lt;&gt;"",1,0)+IF(DP1450&lt;&gt;"",1,0)+IF(DQ1450&lt;&gt;"",1,0)+IF(DS1450&lt;&gt;"",1,0)+IF(DT1450&lt;&gt;"",1,0)+IF(DV1450&lt;&gt;"",1,0)+IF(DW1450&lt;&gt;"",1,0)+IF(DX1450&lt;&gt;"",1,0)+IF(DY1450&lt;&gt;"",1,0)+IF(DZ1450&lt;&gt;"",1,0)+IF(EB1450&lt;&gt;"",1,0)+IF(EC1450&lt;&gt;"",1,0)+IF(ED1450&lt;&gt;"",1,0)+IF(EG1450&lt;&gt;"",1,0)+IF(EH1450&lt;&gt;"",1,0)</f>
        <v/>
      </c>
      <c r="AZ1450">
        <f>IF(EH1450&lt;&gt;"",1,0)</f>
        <v/>
      </c>
      <c r="BB1450" t="inlineStr">
        <is>
          <t>WARREN-WARD 4</t>
        </is>
      </c>
      <c r="DC1450" t="inlineStr">
        <is>
          <t>X</t>
        </is>
      </c>
      <c r="DN1450" t="inlineStr">
        <is>
          <t>X</t>
        </is>
      </c>
      <c r="EF1450" t="inlineStr">
        <is>
          <t>X</t>
        </is>
      </c>
    </row>
    <row r="1451">
      <c r="A1451" t="inlineStr">
        <is>
          <t>OH0026366546</t>
        </is>
      </c>
      <c r="B1451" t="n">
        <v>78</v>
      </c>
      <c r="C1451" t="n">
        <v>460982</v>
      </c>
      <c r="D1451" t="inlineStr">
        <is>
          <t>VAUGHN</t>
        </is>
      </c>
      <c r="E1451" t="inlineStr">
        <is>
          <t>ELIZABETH</t>
        </is>
      </c>
      <c r="F1451">
        <f>CONCATENATE(D1451," ",LEFT(H1451,4),"T=",AU1451,"D=",AV1451,"R=",AW1451,"M=",AX1451,"L=",AY1451,"B=",AZ1451)</f>
        <v/>
      </c>
      <c r="G1451" t="inlineStr">
        <is>
          <t>M</t>
        </is>
      </c>
      <c r="I1451" t="inlineStr">
        <is>
          <t>1988-03-17</t>
        </is>
      </c>
      <c r="J1451" t="inlineStr">
        <is>
          <t>2024-09-05</t>
        </is>
      </c>
      <c r="K1451" t="inlineStr">
        <is>
          <t>ACTIVE</t>
        </is>
      </c>
      <c r="M1451" t="inlineStr">
        <is>
          <t>818 PAIGE AVE NE</t>
        </is>
      </c>
      <c r="N1451">
        <f>RIGHT(M1451,LEN(M1451)-FIND(" ",M1451))</f>
        <v/>
      </c>
      <c r="P1451" t="inlineStr">
        <is>
          <t>WARREN</t>
        </is>
      </c>
      <c r="Q1451" t="inlineStr">
        <is>
          <t>OH</t>
        </is>
      </c>
      <c r="R1451" t="n">
        <v>44483</v>
      </c>
      <c r="AD1451" t="inlineStr">
        <is>
          <t>TRUMBULL CAREER &amp; TECH CENTER</t>
        </is>
      </c>
      <c r="AE1451" t="inlineStr">
        <is>
          <t>WARREN CITY</t>
        </is>
      </c>
      <c r="AF1451" t="inlineStr">
        <is>
          <t>WARREN CITY SD</t>
        </is>
      </c>
      <c r="AH1451" t="n">
        <v>14</v>
      </c>
      <c r="AI1451" t="n">
        <v>11</v>
      </c>
      <c r="AN1451" t="inlineStr">
        <is>
          <t>WARREN</t>
        </is>
      </c>
      <c r="AO1451" t="inlineStr">
        <is>
          <t>WARREN CITY 4D</t>
        </is>
      </c>
      <c r="AP1451" t="inlineStr">
        <is>
          <t>78-P-ADL</t>
        </is>
      </c>
      <c r="AQ1451" t="n">
        <v>9</v>
      </c>
      <c r="AR1451" t="n">
        <v>64</v>
      </c>
      <c r="AS1451" t="n">
        <v>32</v>
      </c>
      <c r="AU1451">
        <f>COUNTA($BA$1451:$EH$1451)</f>
        <v/>
      </c>
      <c r="AV1451">
        <f>COUNTIF($BA$1451:$EH$1451,"D")</f>
        <v/>
      </c>
      <c r="AW1451">
        <f>COUNTIF($BA$1451:$EH$1451,"R")</f>
        <v/>
      </c>
      <c r="AX1451">
        <f>IF(BN1451="D",1,0)+IF(BO1451="D",1,0)+IF(BT1451="D",1,0)+IF(BU1451="D",1,0)+IF(BW1451="D",1,0)+IF(CC1451="D",1,0)+IF(CD1451="D",1,0)+IF(CE1451="D",1,0)+IF(CF1451="D",1,0)+IF(CL1451="D",1,0)+IF(CM1451="D",1,0)+IF(CQ1451="D",1,0)+IF(CR1451="D",1,0)+IF(CS1451="D",1,0)+IF(CW1451="D",1,0)+IF(CX1451="D",1,0)+IF(DD1451="D",1,0)+IF(DE1451="D",1,0)+IF(DJ1451="D",1,0)+IF(DK1451="D",1,0)+IF(DO1451="D",1,0)+IF(DP1451="D",1,0)+IF(DQ1451="D",1,0)+IF(DW1451="D",1,0)+IF(DZ1451="D",1,0)+IF(EH1451="D",1,0)</f>
        <v/>
      </c>
      <c r="AY1451">
        <f>IF(DJ1451&lt;&gt;"",1,0)+IF(DK1451&lt;&gt;"",1,0)+IF(DM1451&lt;&gt;"",1,0)+IF(DO1451&lt;&gt;"",1,0)+IF(DP1451&lt;&gt;"",1,0)+IF(DQ1451&lt;&gt;"",1,0)+IF(DS1451&lt;&gt;"",1,0)+IF(DT1451&lt;&gt;"",1,0)+IF(DV1451&lt;&gt;"",1,0)+IF(DW1451&lt;&gt;"",1,0)+IF(DX1451&lt;&gt;"",1,0)+IF(DY1451&lt;&gt;"",1,0)+IF(DZ1451&lt;&gt;"",1,0)+IF(EB1451&lt;&gt;"",1,0)+IF(EC1451&lt;&gt;"",1,0)+IF(ED1451&lt;&gt;"",1,0)+IF(EG1451&lt;&gt;"",1,0)+IF(EH1451&lt;&gt;"",1,0)</f>
        <v/>
      </c>
      <c r="AZ1451">
        <f>IF(EH1451&lt;&gt;"",1,0)</f>
        <v/>
      </c>
      <c r="BB1451" t="inlineStr">
        <is>
          <t>WARREN-WARD 4</t>
        </is>
      </c>
    </row>
    <row r="1452">
      <c r="A1452" t="inlineStr">
        <is>
          <t>OH0024413743</t>
        </is>
      </c>
      <c r="B1452" t="n">
        <v>78</v>
      </c>
      <c r="C1452" t="n">
        <v>428123</v>
      </c>
      <c r="D1452" t="inlineStr">
        <is>
          <t>EVANS</t>
        </is>
      </c>
      <c r="E1452" t="inlineStr">
        <is>
          <t>SAMUEL</t>
        </is>
      </c>
      <c r="F1452">
        <f>CONCATENATE(D1452," ",LEFT(H1452,4),"T=",AU1452,"D=",AV1452,"R=",AW1452,"M=",AX1452,"L=",AY1452,"B=",AZ1452)</f>
        <v/>
      </c>
      <c r="G1452" t="inlineStr">
        <is>
          <t>MICHAEL</t>
        </is>
      </c>
      <c r="I1452" t="inlineStr">
        <is>
          <t>1994-01-14</t>
        </is>
      </c>
      <c r="J1452" t="inlineStr">
        <is>
          <t>2017-10-10</t>
        </is>
      </c>
      <c r="K1452" t="inlineStr">
        <is>
          <t>CONFIRMATION</t>
        </is>
      </c>
      <c r="M1452" t="inlineStr">
        <is>
          <t>454 OLIVE AVE NE</t>
        </is>
      </c>
      <c r="N1452">
        <f>RIGHT(M1452,LEN(M1452)-FIND(" ",M1452))</f>
        <v/>
      </c>
      <c r="P1452" t="inlineStr">
        <is>
          <t>WARREN</t>
        </is>
      </c>
      <c r="Q1452" t="inlineStr">
        <is>
          <t>OH</t>
        </is>
      </c>
      <c r="R1452" t="n">
        <v>44483</v>
      </c>
      <c r="AD1452" t="inlineStr">
        <is>
          <t>TRUMBULL CAREER &amp; TECH CENTER</t>
        </is>
      </c>
      <c r="AE1452" t="inlineStr">
        <is>
          <t>WARREN CITY</t>
        </is>
      </c>
      <c r="AF1452" t="inlineStr">
        <is>
          <t>WARREN CITY SD</t>
        </is>
      </c>
      <c r="AH1452" t="n">
        <v>14</v>
      </c>
      <c r="AI1452" t="n">
        <v>11</v>
      </c>
      <c r="AN1452" t="inlineStr">
        <is>
          <t>WARREN</t>
        </is>
      </c>
      <c r="AO1452" t="inlineStr">
        <is>
          <t>WARREN CITY 4D</t>
        </is>
      </c>
      <c r="AP1452" t="inlineStr">
        <is>
          <t>78-P-ADL</t>
        </is>
      </c>
      <c r="AQ1452" t="n">
        <v>9</v>
      </c>
      <c r="AR1452" t="n">
        <v>64</v>
      </c>
      <c r="AS1452" t="n">
        <v>32</v>
      </c>
      <c r="AU1452">
        <f>COUNTA($BA$1452:$EH$1452)</f>
        <v/>
      </c>
      <c r="AV1452">
        <f>COUNTIF($BA$1452:$EH$1452,"D")</f>
        <v/>
      </c>
      <c r="AW1452">
        <f>COUNTIF($BA$1452:$EH$1452,"R")</f>
        <v/>
      </c>
      <c r="AX1452">
        <f>IF(BN1452="D",1,0)+IF(BO1452="D",1,0)+IF(BT1452="D",1,0)+IF(BU1452="D",1,0)+IF(BW1452="D",1,0)+IF(CC1452="D",1,0)+IF(CD1452="D",1,0)+IF(CE1452="D",1,0)+IF(CF1452="D",1,0)+IF(CL1452="D",1,0)+IF(CM1452="D",1,0)+IF(CQ1452="D",1,0)+IF(CR1452="D",1,0)+IF(CS1452="D",1,0)+IF(CW1452="D",1,0)+IF(CX1452="D",1,0)+IF(DD1452="D",1,0)+IF(DE1452="D",1,0)+IF(DJ1452="D",1,0)+IF(DK1452="D",1,0)+IF(DO1452="D",1,0)+IF(DP1452="D",1,0)+IF(DQ1452="D",1,0)+IF(DW1452="D",1,0)+IF(DZ1452="D",1,0)+IF(EH1452="D",1,0)</f>
        <v/>
      </c>
      <c r="AY1452">
        <f>IF(DJ1452&lt;&gt;"",1,0)+IF(DK1452&lt;&gt;"",1,0)+IF(DM1452&lt;&gt;"",1,0)+IF(DO1452&lt;&gt;"",1,0)+IF(DP1452&lt;&gt;"",1,0)+IF(DQ1452&lt;&gt;"",1,0)+IF(DS1452&lt;&gt;"",1,0)+IF(DT1452&lt;&gt;"",1,0)+IF(DV1452&lt;&gt;"",1,0)+IF(DW1452&lt;&gt;"",1,0)+IF(DX1452&lt;&gt;"",1,0)+IF(DY1452&lt;&gt;"",1,0)+IF(DZ1452&lt;&gt;"",1,0)+IF(EB1452&lt;&gt;"",1,0)+IF(EC1452&lt;&gt;"",1,0)+IF(ED1452&lt;&gt;"",1,0)+IF(EG1452&lt;&gt;"",1,0)+IF(EH1452&lt;&gt;"",1,0)</f>
        <v/>
      </c>
      <c r="AZ1452">
        <f>IF(EH1452&lt;&gt;"",1,0)</f>
        <v/>
      </c>
      <c r="BB1452" t="inlineStr">
        <is>
          <t>WARREN-WARD 4</t>
        </is>
      </c>
      <c r="CZ1452" t="inlineStr">
        <is>
          <t>D</t>
        </is>
      </c>
      <c r="DF1452" t="inlineStr">
        <is>
          <t>X</t>
        </is>
      </c>
      <c r="DN1452" t="inlineStr">
        <is>
          <t>X</t>
        </is>
      </c>
    </row>
    <row r="1453">
      <c r="A1453" t="inlineStr">
        <is>
          <t>OH0027857721</t>
        </is>
      </c>
      <c r="B1453" t="n">
        <v>78</v>
      </c>
      <c r="C1453" t="n">
        <v>494513</v>
      </c>
      <c r="D1453" t="inlineStr">
        <is>
          <t>MIRANDA</t>
        </is>
      </c>
      <c r="E1453" t="inlineStr">
        <is>
          <t>BRIANNA</t>
        </is>
      </c>
      <c r="F1453">
        <f>CONCATENATE(D1453," ",LEFT(H1453,4),"T=",AU1453,"D=",AV1453,"R=",AW1453,"M=",AX1453,"L=",AY1453,"B=",AZ1453)</f>
        <v/>
      </c>
      <c r="G1453" t="inlineStr">
        <is>
          <t>ANN</t>
        </is>
      </c>
      <c r="I1453" t="inlineStr">
        <is>
          <t>2006-11-03</t>
        </is>
      </c>
      <c r="J1453" t="inlineStr">
        <is>
          <t>2024-11-06</t>
        </is>
      </c>
      <c r="K1453" t="inlineStr">
        <is>
          <t>ACTIVE</t>
        </is>
      </c>
      <c r="M1453" t="inlineStr">
        <is>
          <t>483 WASHINGTON ST NE</t>
        </is>
      </c>
      <c r="N1453">
        <f>RIGHT(M1453,LEN(M1453)-FIND(" ",M1453))</f>
        <v/>
      </c>
      <c r="P1453" t="inlineStr">
        <is>
          <t>WARREN</t>
        </is>
      </c>
      <c r="Q1453" t="inlineStr">
        <is>
          <t>OH</t>
        </is>
      </c>
      <c r="R1453" t="n">
        <v>44483</v>
      </c>
      <c r="AD1453" t="inlineStr">
        <is>
          <t>TRUMBULL CAREER &amp; TECH CENTER</t>
        </is>
      </c>
      <c r="AE1453" t="inlineStr">
        <is>
          <t>WARREN CITY</t>
        </is>
      </c>
      <c r="AF1453" t="inlineStr">
        <is>
          <t>WARREN CITY SD</t>
        </is>
      </c>
      <c r="AH1453" t="n">
        <v>14</v>
      </c>
      <c r="AI1453" t="n">
        <v>11</v>
      </c>
      <c r="AN1453" t="inlineStr">
        <is>
          <t>WARREN</t>
        </is>
      </c>
      <c r="AO1453" t="inlineStr">
        <is>
          <t>WARREN CITY 4D</t>
        </is>
      </c>
      <c r="AP1453" t="inlineStr">
        <is>
          <t>78-P-ADL</t>
        </is>
      </c>
      <c r="AQ1453" t="n">
        <v>9</v>
      </c>
      <c r="AR1453" t="n">
        <v>64</v>
      </c>
      <c r="AS1453" t="n">
        <v>32</v>
      </c>
      <c r="AU1453">
        <f>COUNTA($BA$1453:$EH$1453)</f>
        <v/>
      </c>
      <c r="AV1453">
        <f>COUNTIF($BA$1453:$EH$1453,"D")</f>
        <v/>
      </c>
      <c r="AW1453">
        <f>COUNTIF($BA$1453:$EH$1453,"R")</f>
        <v/>
      </c>
      <c r="AX1453">
        <f>IF(BN1453="D",1,0)+IF(BO1453="D",1,0)+IF(BT1453="D",1,0)+IF(BU1453="D",1,0)+IF(BW1453="D",1,0)+IF(CC1453="D",1,0)+IF(CD1453="D",1,0)+IF(CE1453="D",1,0)+IF(CF1453="D",1,0)+IF(CL1453="D",1,0)+IF(CM1453="D",1,0)+IF(CQ1453="D",1,0)+IF(CR1453="D",1,0)+IF(CS1453="D",1,0)+IF(CW1453="D",1,0)+IF(CX1453="D",1,0)+IF(DD1453="D",1,0)+IF(DE1453="D",1,0)+IF(DJ1453="D",1,0)+IF(DK1453="D",1,0)+IF(DO1453="D",1,0)+IF(DP1453="D",1,0)+IF(DQ1453="D",1,0)+IF(DW1453="D",1,0)+IF(DZ1453="D",1,0)+IF(EH1453="D",1,0)</f>
        <v/>
      </c>
      <c r="AY1453">
        <f>IF(DJ1453&lt;&gt;"",1,0)+IF(DK1453&lt;&gt;"",1,0)+IF(DM1453&lt;&gt;"",1,0)+IF(DO1453&lt;&gt;"",1,0)+IF(DP1453&lt;&gt;"",1,0)+IF(DQ1453&lt;&gt;"",1,0)+IF(DS1453&lt;&gt;"",1,0)+IF(DT1453&lt;&gt;"",1,0)+IF(DV1453&lt;&gt;"",1,0)+IF(DW1453&lt;&gt;"",1,0)+IF(DX1453&lt;&gt;"",1,0)+IF(DY1453&lt;&gt;"",1,0)+IF(DZ1453&lt;&gt;"",1,0)+IF(EB1453&lt;&gt;"",1,0)+IF(EC1453&lt;&gt;"",1,0)+IF(ED1453&lt;&gt;"",1,0)+IF(EG1453&lt;&gt;"",1,0)+IF(EH1453&lt;&gt;"",1,0)</f>
        <v/>
      </c>
      <c r="AZ1453">
        <f>IF(EH1453&lt;&gt;"",1,0)</f>
        <v/>
      </c>
      <c r="BB1453" t="inlineStr">
        <is>
          <t>WARREN-WARD 4</t>
        </is>
      </c>
    </row>
    <row r="1454">
      <c r="A1454" t="inlineStr">
        <is>
          <t>OH0026062988</t>
        </is>
      </c>
      <c r="B1454" t="n">
        <v>78</v>
      </c>
      <c r="C1454" t="n">
        <v>408701</v>
      </c>
      <c r="D1454" t="inlineStr">
        <is>
          <t>MCFARLAND</t>
        </is>
      </c>
      <c r="E1454" t="inlineStr">
        <is>
          <t>DARRELL</t>
        </is>
      </c>
      <c r="F1454">
        <f>CONCATENATE(D1454," ",LEFT(H1454,4),"T=",AU1454,"D=",AV1454,"R=",AW1454,"M=",AX1454,"L=",AY1454,"B=",AZ1454)</f>
        <v/>
      </c>
      <c r="G1454" t="inlineStr">
        <is>
          <t>JAY</t>
        </is>
      </c>
      <c r="I1454" t="inlineStr">
        <is>
          <t>1967-06-22</t>
        </is>
      </c>
      <c r="J1454" t="inlineStr">
        <is>
          <t>2024-03-19</t>
        </is>
      </c>
      <c r="K1454" t="inlineStr">
        <is>
          <t>ACTIVE</t>
        </is>
      </c>
      <c r="L1454" t="inlineStr">
        <is>
          <t>R</t>
        </is>
      </c>
      <c r="M1454" t="inlineStr">
        <is>
          <t>648 PORTER ST NE</t>
        </is>
      </c>
      <c r="N1454">
        <f>RIGHT(M1454,LEN(M1454)-FIND(" ",M1454))</f>
        <v/>
      </c>
      <c r="P1454" t="inlineStr">
        <is>
          <t>WARREN</t>
        </is>
      </c>
      <c r="Q1454" t="inlineStr">
        <is>
          <t>OH</t>
        </is>
      </c>
      <c r="R1454" t="n">
        <v>44483</v>
      </c>
      <c r="AD1454" t="inlineStr">
        <is>
          <t>TRUMBULL CAREER &amp; TECH CENTER</t>
        </is>
      </c>
      <c r="AE1454" t="inlineStr">
        <is>
          <t>WARREN CITY</t>
        </is>
      </c>
      <c r="AF1454" t="inlineStr">
        <is>
          <t>WARREN CITY SD</t>
        </is>
      </c>
      <c r="AH1454" t="n">
        <v>14</v>
      </c>
      <c r="AI1454" t="n">
        <v>11</v>
      </c>
      <c r="AN1454" t="inlineStr">
        <is>
          <t>WARREN</t>
        </is>
      </c>
      <c r="AO1454" t="inlineStr">
        <is>
          <t>WARREN CITY 4D</t>
        </is>
      </c>
      <c r="AP1454" t="inlineStr">
        <is>
          <t>78-P-ADL</t>
        </is>
      </c>
      <c r="AQ1454" t="n">
        <v>9</v>
      </c>
      <c r="AR1454" t="n">
        <v>64</v>
      </c>
      <c r="AS1454" t="n">
        <v>32</v>
      </c>
      <c r="AU1454">
        <f>COUNTA($BA$1454:$EH$1454)</f>
        <v/>
      </c>
      <c r="AV1454">
        <f>COUNTIF($BA$1454:$EH$1454,"D")</f>
        <v/>
      </c>
      <c r="AW1454">
        <f>COUNTIF($BA$1454:$EH$1454,"R")</f>
        <v/>
      </c>
      <c r="AX1454">
        <f>IF(BN1454="D",1,0)+IF(BO1454="D",1,0)+IF(BT1454="D",1,0)+IF(BU1454="D",1,0)+IF(BW1454="D",1,0)+IF(CC1454="D",1,0)+IF(CD1454="D",1,0)+IF(CE1454="D",1,0)+IF(CF1454="D",1,0)+IF(CL1454="D",1,0)+IF(CM1454="D",1,0)+IF(CQ1454="D",1,0)+IF(CR1454="D",1,0)+IF(CS1454="D",1,0)+IF(CW1454="D",1,0)+IF(CX1454="D",1,0)+IF(DD1454="D",1,0)+IF(DE1454="D",1,0)+IF(DJ1454="D",1,0)+IF(DK1454="D",1,0)+IF(DO1454="D",1,0)+IF(DP1454="D",1,0)+IF(DQ1454="D",1,0)+IF(DW1454="D",1,0)+IF(DZ1454="D",1,0)+IF(EH1454="D",1,0)</f>
        <v/>
      </c>
      <c r="AY1454">
        <f>IF(DJ1454&lt;&gt;"",1,0)+IF(DK1454&lt;&gt;"",1,0)+IF(DM1454&lt;&gt;"",1,0)+IF(DO1454&lt;&gt;"",1,0)+IF(DP1454&lt;&gt;"",1,0)+IF(DQ1454&lt;&gt;"",1,0)+IF(DS1454&lt;&gt;"",1,0)+IF(DT1454&lt;&gt;"",1,0)+IF(DV1454&lt;&gt;"",1,0)+IF(DW1454&lt;&gt;"",1,0)+IF(DX1454&lt;&gt;"",1,0)+IF(DY1454&lt;&gt;"",1,0)+IF(DZ1454&lt;&gt;"",1,0)+IF(EB1454&lt;&gt;"",1,0)+IF(EC1454&lt;&gt;"",1,0)+IF(ED1454&lt;&gt;"",1,0)+IF(EG1454&lt;&gt;"",1,0)+IF(EH1454&lt;&gt;"",1,0)</f>
        <v/>
      </c>
      <c r="AZ1454">
        <f>IF(EH1454&lt;&gt;"",1,0)</f>
        <v/>
      </c>
      <c r="BB1454" t="inlineStr">
        <is>
          <t>WARREN-WARD 4</t>
        </is>
      </c>
      <c r="DN1454" t="inlineStr">
        <is>
          <t>X</t>
        </is>
      </c>
      <c r="DW1454" t="inlineStr">
        <is>
          <t>D</t>
        </is>
      </c>
      <c r="ED1454" t="inlineStr">
        <is>
          <t>R</t>
        </is>
      </c>
    </row>
    <row r="1455">
      <c r="A1455" t="inlineStr">
        <is>
          <t>OH0027600520</t>
        </is>
      </c>
      <c r="B1455" t="n">
        <v>78</v>
      </c>
      <c r="C1455" t="n">
        <v>489133</v>
      </c>
      <c r="D1455" t="inlineStr">
        <is>
          <t>TRASK</t>
        </is>
      </c>
      <c r="E1455" t="inlineStr">
        <is>
          <t>TOD</t>
        </is>
      </c>
      <c r="F1455">
        <f>CONCATENATE(D1455," ",LEFT(H1455,4),"T=",AU1455,"D=",AV1455,"R=",AW1455,"M=",AX1455,"L=",AY1455,"B=",AZ1455)</f>
        <v/>
      </c>
      <c r="G1455" t="inlineStr">
        <is>
          <t>A</t>
        </is>
      </c>
      <c r="I1455" t="inlineStr">
        <is>
          <t>1973-12-13</t>
        </is>
      </c>
      <c r="J1455" t="inlineStr">
        <is>
          <t>2024-09-13</t>
        </is>
      </c>
      <c r="K1455" t="inlineStr">
        <is>
          <t>ACTIVE</t>
        </is>
      </c>
      <c r="M1455" t="inlineStr">
        <is>
          <t>169 IDDINGS AVE NE</t>
        </is>
      </c>
      <c r="N1455">
        <f>RIGHT(M1455,LEN(M1455)-FIND(" ",M1455))</f>
        <v/>
      </c>
      <c r="P1455" t="inlineStr">
        <is>
          <t>WARREN</t>
        </is>
      </c>
      <c r="Q1455" t="inlineStr">
        <is>
          <t>OH</t>
        </is>
      </c>
      <c r="R1455" t="n">
        <v>44483</v>
      </c>
      <c r="AD1455" t="inlineStr">
        <is>
          <t>TRUMBULL CAREER &amp; TECH CENTER</t>
        </is>
      </c>
      <c r="AE1455" t="inlineStr">
        <is>
          <t>WARREN CITY</t>
        </is>
      </c>
      <c r="AF1455" t="inlineStr">
        <is>
          <t>WARREN CITY SD</t>
        </is>
      </c>
      <c r="AH1455" t="n">
        <v>14</v>
      </c>
      <c r="AI1455" t="n">
        <v>11</v>
      </c>
      <c r="AN1455" t="inlineStr">
        <is>
          <t>WARREN</t>
        </is>
      </c>
      <c r="AO1455" t="inlineStr">
        <is>
          <t>WARREN CITY 4D</t>
        </is>
      </c>
      <c r="AP1455" t="inlineStr">
        <is>
          <t>78-P-ADL</t>
        </is>
      </c>
      <c r="AQ1455" t="n">
        <v>9</v>
      </c>
      <c r="AR1455" t="n">
        <v>64</v>
      </c>
      <c r="AS1455" t="n">
        <v>32</v>
      </c>
      <c r="AU1455">
        <f>COUNTA($BA$1455:$EH$1455)</f>
        <v/>
      </c>
      <c r="AV1455">
        <f>COUNTIF($BA$1455:$EH$1455,"D")</f>
        <v/>
      </c>
      <c r="AW1455">
        <f>COUNTIF($BA$1455:$EH$1455,"R")</f>
        <v/>
      </c>
      <c r="AX1455">
        <f>IF(BN1455="D",1,0)+IF(BO1455="D",1,0)+IF(BT1455="D",1,0)+IF(BU1455="D",1,0)+IF(BW1455="D",1,0)+IF(CC1455="D",1,0)+IF(CD1455="D",1,0)+IF(CE1455="D",1,0)+IF(CF1455="D",1,0)+IF(CL1455="D",1,0)+IF(CM1455="D",1,0)+IF(CQ1455="D",1,0)+IF(CR1455="D",1,0)+IF(CS1455="D",1,0)+IF(CW1455="D",1,0)+IF(CX1455="D",1,0)+IF(DD1455="D",1,0)+IF(DE1455="D",1,0)+IF(DJ1455="D",1,0)+IF(DK1455="D",1,0)+IF(DO1455="D",1,0)+IF(DP1455="D",1,0)+IF(DQ1455="D",1,0)+IF(DW1455="D",1,0)+IF(DZ1455="D",1,0)+IF(EH1455="D",1,0)</f>
        <v/>
      </c>
      <c r="AY1455">
        <f>IF(DJ1455&lt;&gt;"",1,0)+IF(DK1455&lt;&gt;"",1,0)+IF(DM1455&lt;&gt;"",1,0)+IF(DO1455&lt;&gt;"",1,0)+IF(DP1455&lt;&gt;"",1,0)+IF(DQ1455&lt;&gt;"",1,0)+IF(DS1455&lt;&gt;"",1,0)+IF(DT1455&lt;&gt;"",1,0)+IF(DV1455&lt;&gt;"",1,0)+IF(DW1455&lt;&gt;"",1,0)+IF(DX1455&lt;&gt;"",1,0)+IF(DY1455&lt;&gt;"",1,0)+IF(DZ1455&lt;&gt;"",1,0)+IF(EB1455&lt;&gt;"",1,0)+IF(EC1455&lt;&gt;"",1,0)+IF(ED1455&lt;&gt;"",1,0)+IF(EG1455&lt;&gt;"",1,0)+IF(EH1455&lt;&gt;"",1,0)</f>
        <v/>
      </c>
      <c r="AZ1455">
        <f>IF(EH1455&lt;&gt;"",1,0)</f>
        <v/>
      </c>
      <c r="BB1455" t="inlineStr">
        <is>
          <t>WARREN-WARD 4</t>
        </is>
      </c>
      <c r="BD1455" t="inlineStr">
        <is>
          <t>X</t>
        </is>
      </c>
      <c r="BL1455" t="inlineStr">
        <is>
          <t>X</t>
        </is>
      </c>
      <c r="EF1455" t="inlineStr">
        <is>
          <t>X</t>
        </is>
      </c>
    </row>
    <row r="1456">
      <c r="A1456" t="inlineStr">
        <is>
          <t>OH0024822026</t>
        </is>
      </c>
      <c r="B1456" t="n">
        <v>78</v>
      </c>
      <c r="C1456" t="n">
        <v>435395</v>
      </c>
      <c r="D1456" t="inlineStr">
        <is>
          <t>KOBLE</t>
        </is>
      </c>
      <c r="E1456" t="inlineStr">
        <is>
          <t>TRACY</t>
        </is>
      </c>
      <c r="F1456">
        <f>CONCATENATE(D1456," ",LEFT(H1456,4),"T=",AU1456,"D=",AV1456,"R=",AW1456,"M=",AX1456,"L=",AY1456,"B=",AZ1456)</f>
        <v/>
      </c>
      <c r="G1456" t="inlineStr">
        <is>
          <t>L</t>
        </is>
      </c>
      <c r="I1456" t="inlineStr">
        <is>
          <t>1964-11-17</t>
        </is>
      </c>
      <c r="J1456" t="inlineStr">
        <is>
          <t>2018-09-26</t>
        </is>
      </c>
      <c r="K1456" t="inlineStr">
        <is>
          <t>CONFIRMATION</t>
        </is>
      </c>
      <c r="M1456" t="inlineStr">
        <is>
          <t>140 LOGAN AVE SE</t>
        </is>
      </c>
      <c r="N1456">
        <f>RIGHT(M1456,LEN(M1456)-FIND(" ",M1456))</f>
        <v/>
      </c>
      <c r="P1456" t="inlineStr">
        <is>
          <t>WARREN</t>
        </is>
      </c>
      <c r="Q1456" t="inlineStr">
        <is>
          <t>OH</t>
        </is>
      </c>
      <c r="R1456" t="n">
        <v>44483</v>
      </c>
      <c r="AD1456" t="inlineStr">
        <is>
          <t>TRUMBULL CAREER &amp; TECH CENTER</t>
        </is>
      </c>
      <c r="AE1456" t="inlineStr">
        <is>
          <t>WARREN CITY</t>
        </is>
      </c>
      <c r="AF1456" t="inlineStr">
        <is>
          <t>WARREN CITY SD</t>
        </is>
      </c>
      <c r="AH1456" t="n">
        <v>14</v>
      </c>
      <c r="AI1456" t="n">
        <v>11</v>
      </c>
      <c r="AN1456" t="inlineStr">
        <is>
          <t>WARREN</t>
        </is>
      </c>
      <c r="AO1456" t="inlineStr">
        <is>
          <t>WARREN CITY 4D</t>
        </is>
      </c>
      <c r="AP1456" t="inlineStr">
        <is>
          <t>78-P-ADL</t>
        </is>
      </c>
      <c r="AQ1456" t="n">
        <v>9</v>
      </c>
      <c r="AR1456" t="n">
        <v>64</v>
      </c>
      <c r="AS1456" t="n">
        <v>32</v>
      </c>
      <c r="AU1456">
        <f>COUNTA($BA$1456:$EH$1456)</f>
        <v/>
      </c>
      <c r="AV1456">
        <f>COUNTIF($BA$1456:$EH$1456,"D")</f>
        <v/>
      </c>
      <c r="AW1456">
        <f>COUNTIF($BA$1456:$EH$1456,"R")</f>
        <v/>
      </c>
      <c r="AX1456">
        <f>IF(BN1456="D",1,0)+IF(BO1456="D",1,0)+IF(BT1456="D",1,0)+IF(BU1456="D",1,0)+IF(BW1456="D",1,0)+IF(CC1456="D",1,0)+IF(CD1456="D",1,0)+IF(CE1456="D",1,0)+IF(CF1456="D",1,0)+IF(CL1456="D",1,0)+IF(CM1456="D",1,0)+IF(CQ1456="D",1,0)+IF(CR1456="D",1,0)+IF(CS1456="D",1,0)+IF(CW1456="D",1,0)+IF(CX1456="D",1,0)+IF(DD1456="D",1,0)+IF(DE1456="D",1,0)+IF(DJ1456="D",1,0)+IF(DK1456="D",1,0)+IF(DO1456="D",1,0)+IF(DP1456="D",1,0)+IF(DQ1456="D",1,0)+IF(DW1456="D",1,0)+IF(DZ1456="D",1,0)+IF(EH1456="D",1,0)</f>
        <v/>
      </c>
      <c r="AY1456">
        <f>IF(DJ1456&lt;&gt;"",1,0)+IF(DK1456&lt;&gt;"",1,0)+IF(DM1456&lt;&gt;"",1,0)+IF(DO1456&lt;&gt;"",1,0)+IF(DP1456&lt;&gt;"",1,0)+IF(DQ1456&lt;&gt;"",1,0)+IF(DS1456&lt;&gt;"",1,0)+IF(DT1456&lt;&gt;"",1,0)+IF(DV1456&lt;&gt;"",1,0)+IF(DW1456&lt;&gt;"",1,0)+IF(DX1456&lt;&gt;"",1,0)+IF(DY1456&lt;&gt;"",1,0)+IF(DZ1456&lt;&gt;"",1,0)+IF(EB1456&lt;&gt;"",1,0)+IF(EC1456&lt;&gt;"",1,0)+IF(ED1456&lt;&gt;"",1,0)+IF(EG1456&lt;&gt;"",1,0)+IF(EH1456&lt;&gt;"",1,0)</f>
        <v/>
      </c>
      <c r="AZ1456">
        <f>IF(EH1456&lt;&gt;"",1,0)</f>
        <v/>
      </c>
      <c r="BB1456" t="inlineStr">
        <is>
          <t>WARREN-WARD 4</t>
        </is>
      </c>
    </row>
    <row r="1457">
      <c r="A1457" t="inlineStr">
        <is>
          <t>OH0023708774</t>
        </is>
      </c>
      <c r="B1457" t="n">
        <v>78</v>
      </c>
      <c r="C1457" t="n">
        <v>417041</v>
      </c>
      <c r="D1457" t="inlineStr">
        <is>
          <t>NEELY</t>
        </is>
      </c>
      <c r="E1457" t="inlineStr">
        <is>
          <t>SHARON</t>
        </is>
      </c>
      <c r="F1457">
        <f>CONCATENATE(D1457," ",LEFT(H1457,4),"T=",AU1457,"D=",AV1457,"R=",AW1457,"M=",AX1457,"L=",AY1457,"B=",AZ1457)</f>
        <v/>
      </c>
      <c r="I1457" t="inlineStr">
        <is>
          <t>1974-05-09</t>
        </is>
      </c>
      <c r="J1457" t="inlineStr">
        <is>
          <t>2018-01-04</t>
        </is>
      </c>
      <c r="K1457" t="inlineStr">
        <is>
          <t>CONFIRMATION</t>
        </is>
      </c>
      <c r="M1457" t="inlineStr">
        <is>
          <t>639 OLIVE AVE NE</t>
        </is>
      </c>
      <c r="N1457">
        <f>RIGHT(M1457,LEN(M1457)-FIND(" ",M1457))</f>
        <v/>
      </c>
      <c r="P1457" t="inlineStr">
        <is>
          <t>WARREN</t>
        </is>
      </c>
      <c r="Q1457" t="inlineStr">
        <is>
          <t>OH</t>
        </is>
      </c>
      <c r="R1457" t="n">
        <v>44483</v>
      </c>
      <c r="AD1457" t="inlineStr">
        <is>
          <t>TRUMBULL CAREER &amp; TECH CENTER</t>
        </is>
      </c>
      <c r="AE1457" t="inlineStr">
        <is>
          <t>WARREN CITY</t>
        </is>
      </c>
      <c r="AF1457" t="inlineStr">
        <is>
          <t>WARREN CITY SD</t>
        </is>
      </c>
      <c r="AH1457" t="n">
        <v>14</v>
      </c>
      <c r="AI1457" t="n">
        <v>11</v>
      </c>
      <c r="AN1457" t="inlineStr">
        <is>
          <t>WARREN</t>
        </is>
      </c>
      <c r="AO1457" t="inlineStr">
        <is>
          <t>WARREN CITY 4D</t>
        </is>
      </c>
      <c r="AP1457" t="inlineStr">
        <is>
          <t>78-P-ADL</t>
        </is>
      </c>
      <c r="AQ1457" t="n">
        <v>9</v>
      </c>
      <c r="AR1457" t="n">
        <v>64</v>
      </c>
      <c r="AS1457" t="n">
        <v>32</v>
      </c>
      <c r="AU1457">
        <f>COUNTA($BA$1457:$EH$1457)</f>
        <v/>
      </c>
      <c r="AV1457">
        <f>COUNTIF($BA$1457:$EH$1457,"D")</f>
        <v/>
      </c>
      <c r="AW1457">
        <f>COUNTIF($BA$1457:$EH$1457,"R")</f>
        <v/>
      </c>
      <c r="AX1457">
        <f>IF(BN1457="D",1,0)+IF(BO1457="D",1,0)+IF(BT1457="D",1,0)+IF(BU1457="D",1,0)+IF(BW1457="D",1,0)+IF(CC1457="D",1,0)+IF(CD1457="D",1,0)+IF(CE1457="D",1,0)+IF(CF1457="D",1,0)+IF(CL1457="D",1,0)+IF(CM1457="D",1,0)+IF(CQ1457="D",1,0)+IF(CR1457="D",1,0)+IF(CS1457="D",1,0)+IF(CW1457="D",1,0)+IF(CX1457="D",1,0)+IF(DD1457="D",1,0)+IF(DE1457="D",1,0)+IF(DJ1457="D",1,0)+IF(DK1457="D",1,0)+IF(DO1457="D",1,0)+IF(DP1457="D",1,0)+IF(DQ1457="D",1,0)+IF(DW1457="D",1,0)+IF(DZ1457="D",1,0)+IF(EH1457="D",1,0)</f>
        <v/>
      </c>
      <c r="AY1457">
        <f>IF(DJ1457&lt;&gt;"",1,0)+IF(DK1457&lt;&gt;"",1,0)+IF(DM1457&lt;&gt;"",1,0)+IF(DO1457&lt;&gt;"",1,0)+IF(DP1457&lt;&gt;"",1,0)+IF(DQ1457&lt;&gt;"",1,0)+IF(DS1457&lt;&gt;"",1,0)+IF(DT1457&lt;&gt;"",1,0)+IF(DV1457&lt;&gt;"",1,0)+IF(DW1457&lt;&gt;"",1,0)+IF(DX1457&lt;&gt;"",1,0)+IF(DY1457&lt;&gt;"",1,0)+IF(DZ1457&lt;&gt;"",1,0)+IF(EB1457&lt;&gt;"",1,0)+IF(EC1457&lt;&gt;"",1,0)+IF(ED1457&lt;&gt;"",1,0)+IF(EG1457&lt;&gt;"",1,0)+IF(EH1457&lt;&gt;"",1,0)</f>
        <v/>
      </c>
      <c r="AZ1457">
        <f>IF(EH1457&lt;&gt;"",1,0)</f>
        <v/>
      </c>
      <c r="BB1457" t="inlineStr">
        <is>
          <t>WARREN-WARD 4</t>
        </is>
      </c>
      <c r="DC1457" t="inlineStr">
        <is>
          <t>X</t>
        </is>
      </c>
    </row>
    <row r="1458">
      <c r="A1458" t="inlineStr">
        <is>
          <t>OH0020217646</t>
        </is>
      </c>
      <c r="B1458" t="n">
        <v>78</v>
      </c>
      <c r="C1458" t="n">
        <v>364217</v>
      </c>
      <c r="D1458" t="inlineStr">
        <is>
          <t>SMITH</t>
        </is>
      </c>
      <c r="E1458" t="inlineStr">
        <is>
          <t>MARCIALATTRICE</t>
        </is>
      </c>
      <c r="F1458">
        <f>CONCATENATE(D1458," ",LEFT(H1458,4),"T=",AU1458,"D=",AV1458,"R=",AW1458,"M=",AX1458,"L=",AY1458,"B=",AZ1458)</f>
        <v/>
      </c>
      <c r="G1458" t="inlineStr">
        <is>
          <t>DENISE</t>
        </is>
      </c>
      <c r="I1458" t="inlineStr">
        <is>
          <t>1973-12-27</t>
        </is>
      </c>
      <c r="J1458" t="inlineStr">
        <is>
          <t>2024-05-16</t>
        </is>
      </c>
      <c r="K1458" t="inlineStr">
        <is>
          <t>ACTIVE</t>
        </is>
      </c>
      <c r="M1458" t="inlineStr">
        <is>
          <t>121 MONROE ST NW</t>
        </is>
      </c>
      <c r="N1458">
        <f>RIGHT(M1458,LEN(M1458)-FIND(" ",M1458))</f>
        <v/>
      </c>
      <c r="O1458" t="inlineStr">
        <is>
          <t>APT 12</t>
        </is>
      </c>
      <c r="P1458" t="inlineStr">
        <is>
          <t>WARREN</t>
        </is>
      </c>
      <c r="Q1458" t="inlineStr">
        <is>
          <t>OH</t>
        </is>
      </c>
      <c r="R1458" t="n">
        <v>44483</v>
      </c>
      <c r="AD1458" t="inlineStr">
        <is>
          <t>TRUMBULL CAREER &amp; TECH CENTER</t>
        </is>
      </c>
      <c r="AE1458" t="inlineStr">
        <is>
          <t>WARREN CITY</t>
        </is>
      </c>
      <c r="AF1458" t="inlineStr">
        <is>
          <t>WARREN CITY SD</t>
        </is>
      </c>
      <c r="AH1458" t="n">
        <v>14</v>
      </c>
      <c r="AI1458" t="n">
        <v>11</v>
      </c>
      <c r="AN1458" t="inlineStr">
        <is>
          <t>WARREN</t>
        </is>
      </c>
      <c r="AO1458" t="inlineStr">
        <is>
          <t>WARREN CITY 4D</t>
        </is>
      </c>
      <c r="AP1458" t="inlineStr">
        <is>
          <t>78-P-ADL</t>
        </is>
      </c>
      <c r="AQ1458" t="n">
        <v>9</v>
      </c>
      <c r="AR1458" t="n">
        <v>64</v>
      </c>
      <c r="AS1458" t="n">
        <v>32</v>
      </c>
      <c r="AU1458">
        <f>COUNTA($BA$1458:$EH$1458)</f>
        <v/>
      </c>
      <c r="AV1458">
        <f>COUNTIF($BA$1458:$EH$1458,"D")</f>
        <v/>
      </c>
      <c r="AW1458">
        <f>COUNTIF($BA$1458:$EH$1458,"R")</f>
        <v/>
      </c>
      <c r="AX1458">
        <f>IF(BN1458="D",1,0)+IF(BO1458="D",1,0)+IF(BT1458="D",1,0)+IF(BU1458="D",1,0)+IF(BW1458="D",1,0)+IF(CC1458="D",1,0)+IF(CD1458="D",1,0)+IF(CE1458="D",1,0)+IF(CF1458="D",1,0)+IF(CL1458="D",1,0)+IF(CM1458="D",1,0)+IF(CQ1458="D",1,0)+IF(CR1458="D",1,0)+IF(CS1458="D",1,0)+IF(CW1458="D",1,0)+IF(CX1458="D",1,0)+IF(DD1458="D",1,0)+IF(DE1458="D",1,0)+IF(DJ1458="D",1,0)+IF(DK1458="D",1,0)+IF(DO1458="D",1,0)+IF(DP1458="D",1,0)+IF(DQ1458="D",1,0)+IF(DW1458="D",1,0)+IF(DZ1458="D",1,0)+IF(EH1458="D",1,0)</f>
        <v/>
      </c>
      <c r="AY1458">
        <f>IF(DJ1458&lt;&gt;"",1,0)+IF(DK1458&lt;&gt;"",1,0)+IF(DM1458&lt;&gt;"",1,0)+IF(DO1458&lt;&gt;"",1,0)+IF(DP1458&lt;&gt;"",1,0)+IF(DQ1458&lt;&gt;"",1,0)+IF(DS1458&lt;&gt;"",1,0)+IF(DT1458&lt;&gt;"",1,0)+IF(DV1458&lt;&gt;"",1,0)+IF(DW1458&lt;&gt;"",1,0)+IF(DX1458&lt;&gt;"",1,0)+IF(DY1458&lt;&gt;"",1,0)+IF(DZ1458&lt;&gt;"",1,0)+IF(EB1458&lt;&gt;"",1,0)+IF(EC1458&lt;&gt;"",1,0)+IF(ED1458&lt;&gt;"",1,0)+IF(EG1458&lt;&gt;"",1,0)+IF(EH1458&lt;&gt;"",1,0)</f>
        <v/>
      </c>
      <c r="AZ1458">
        <f>IF(EH1458&lt;&gt;"",1,0)</f>
        <v/>
      </c>
      <c r="BB1458" t="inlineStr">
        <is>
          <t>WARREN-WARD 4</t>
        </is>
      </c>
      <c r="CA1458" t="inlineStr">
        <is>
          <t>X</t>
        </is>
      </c>
      <c r="CP1458" t="inlineStr">
        <is>
          <t>X</t>
        </is>
      </c>
      <c r="DN1458" t="inlineStr">
        <is>
          <t>X</t>
        </is>
      </c>
      <c r="EF1458" t="inlineStr">
        <is>
          <t>X</t>
        </is>
      </c>
    </row>
    <row r="1459">
      <c r="A1459" t="inlineStr">
        <is>
          <t>OH0021406107</t>
        </is>
      </c>
      <c r="B1459" t="n">
        <v>78</v>
      </c>
      <c r="C1459" t="n">
        <v>380985</v>
      </c>
      <c r="D1459" t="inlineStr">
        <is>
          <t>SMITH</t>
        </is>
      </c>
      <c r="E1459" t="inlineStr">
        <is>
          <t>KRISTIE</t>
        </is>
      </c>
      <c r="F1459">
        <f>CONCATENATE(D1459," ",LEFT(H1459,4),"T=",AU1459,"D=",AV1459,"R=",AW1459,"M=",AX1459,"L=",AY1459,"B=",AZ1459)</f>
        <v/>
      </c>
      <c r="G1459" t="inlineStr">
        <is>
          <t>L</t>
        </is>
      </c>
      <c r="I1459" t="inlineStr">
        <is>
          <t>1986-01-22</t>
        </is>
      </c>
      <c r="J1459" t="inlineStr">
        <is>
          <t>2025-02-24</t>
        </is>
      </c>
      <c r="K1459" t="inlineStr">
        <is>
          <t>ACTIVE</t>
        </is>
      </c>
      <c r="M1459" t="inlineStr">
        <is>
          <t>169 LINDEN AVE NE</t>
        </is>
      </c>
      <c r="N1459">
        <f>RIGHT(M1459,LEN(M1459)-FIND(" ",M1459))</f>
        <v/>
      </c>
      <c r="P1459" t="inlineStr">
        <is>
          <t>WARREN</t>
        </is>
      </c>
      <c r="Q1459" t="inlineStr">
        <is>
          <t>OH</t>
        </is>
      </c>
      <c r="R1459" t="n">
        <v>44483</v>
      </c>
      <c r="AD1459" t="inlineStr">
        <is>
          <t>TRUMBULL CAREER &amp; TECH CENTER</t>
        </is>
      </c>
      <c r="AE1459" t="inlineStr">
        <is>
          <t>WARREN CITY</t>
        </is>
      </c>
      <c r="AF1459" t="inlineStr">
        <is>
          <t>WARREN CITY SD</t>
        </is>
      </c>
      <c r="AH1459" t="n">
        <v>14</v>
      </c>
      <c r="AI1459" t="n">
        <v>11</v>
      </c>
      <c r="AN1459" t="inlineStr">
        <is>
          <t>WARREN</t>
        </is>
      </c>
      <c r="AO1459" t="inlineStr">
        <is>
          <t>WARREN CITY 4D</t>
        </is>
      </c>
      <c r="AP1459" t="inlineStr">
        <is>
          <t>78-P-ADL</t>
        </is>
      </c>
      <c r="AQ1459" t="n">
        <v>9</v>
      </c>
      <c r="AR1459" t="n">
        <v>64</v>
      </c>
      <c r="AS1459" t="n">
        <v>32</v>
      </c>
      <c r="AU1459">
        <f>COUNTA($BA$1459:$EH$1459)</f>
        <v/>
      </c>
      <c r="AV1459">
        <f>COUNTIF($BA$1459:$EH$1459,"D")</f>
        <v/>
      </c>
      <c r="AW1459">
        <f>COUNTIF($BA$1459:$EH$1459,"R")</f>
        <v/>
      </c>
      <c r="AX1459">
        <f>IF(BN1459="D",1,0)+IF(BO1459="D",1,0)+IF(BT1459="D",1,0)+IF(BU1459="D",1,0)+IF(BW1459="D",1,0)+IF(CC1459="D",1,0)+IF(CD1459="D",1,0)+IF(CE1459="D",1,0)+IF(CF1459="D",1,0)+IF(CL1459="D",1,0)+IF(CM1459="D",1,0)+IF(CQ1459="D",1,0)+IF(CR1459="D",1,0)+IF(CS1459="D",1,0)+IF(CW1459="D",1,0)+IF(CX1459="D",1,0)+IF(DD1459="D",1,0)+IF(DE1459="D",1,0)+IF(DJ1459="D",1,0)+IF(DK1459="D",1,0)+IF(DO1459="D",1,0)+IF(DP1459="D",1,0)+IF(DQ1459="D",1,0)+IF(DW1459="D",1,0)+IF(DZ1459="D",1,0)+IF(EH1459="D",1,0)</f>
        <v/>
      </c>
      <c r="AY1459">
        <f>IF(DJ1459&lt;&gt;"",1,0)+IF(DK1459&lt;&gt;"",1,0)+IF(DM1459&lt;&gt;"",1,0)+IF(DO1459&lt;&gt;"",1,0)+IF(DP1459&lt;&gt;"",1,0)+IF(DQ1459&lt;&gt;"",1,0)+IF(DS1459&lt;&gt;"",1,0)+IF(DT1459&lt;&gt;"",1,0)+IF(DV1459&lt;&gt;"",1,0)+IF(DW1459&lt;&gt;"",1,0)+IF(DX1459&lt;&gt;"",1,0)+IF(DY1459&lt;&gt;"",1,0)+IF(DZ1459&lt;&gt;"",1,0)+IF(EB1459&lt;&gt;"",1,0)+IF(EC1459&lt;&gt;"",1,0)+IF(ED1459&lt;&gt;"",1,0)+IF(EG1459&lt;&gt;"",1,0)+IF(EH1459&lt;&gt;"",1,0)</f>
        <v/>
      </c>
      <c r="AZ1459">
        <f>IF(EH1459&lt;&gt;"",1,0)</f>
        <v/>
      </c>
      <c r="BB1459" t="inlineStr">
        <is>
          <t>WARREN-WARD 4</t>
        </is>
      </c>
      <c r="CP1459" t="inlineStr">
        <is>
          <t>X</t>
        </is>
      </c>
      <c r="CZ1459" t="inlineStr">
        <is>
          <t>R</t>
        </is>
      </c>
      <c r="DC1459" t="inlineStr">
        <is>
          <t>X</t>
        </is>
      </c>
      <c r="DN1459" t="inlineStr">
        <is>
          <t>X</t>
        </is>
      </c>
      <c r="DU1459" t="inlineStr">
        <is>
          <t>X</t>
        </is>
      </c>
      <c r="EA1459" t="inlineStr">
        <is>
          <t>X</t>
        </is>
      </c>
      <c r="EF1459" t="inlineStr">
        <is>
          <t>X</t>
        </is>
      </c>
    </row>
    <row r="1460">
      <c r="A1460" t="inlineStr">
        <is>
          <t>OH0015709887</t>
        </is>
      </c>
      <c r="B1460" t="n">
        <v>78</v>
      </c>
      <c r="C1460" t="n">
        <v>176285</v>
      </c>
      <c r="D1460" t="inlineStr">
        <is>
          <t>YAKUBEK</t>
        </is>
      </c>
      <c r="E1460" t="inlineStr">
        <is>
          <t>PHYLLIS</t>
        </is>
      </c>
      <c r="F1460">
        <f>CONCATENATE(D1460," ",LEFT(H1460,4),"T=",AU1460,"D=",AV1460,"R=",AW1460,"M=",AX1460,"L=",AY1460,"B=",AZ1460)</f>
        <v/>
      </c>
      <c r="G1460" t="inlineStr">
        <is>
          <t>JANE</t>
        </is>
      </c>
      <c r="I1460" t="inlineStr">
        <is>
          <t>1956-12-05</t>
        </is>
      </c>
      <c r="J1460" t="inlineStr">
        <is>
          <t>2024-03-21</t>
        </is>
      </c>
      <c r="K1460" t="inlineStr">
        <is>
          <t>ACTIVE</t>
        </is>
      </c>
      <c r="L1460" t="inlineStr">
        <is>
          <t>D</t>
        </is>
      </c>
      <c r="M1460" t="inlineStr">
        <is>
          <t>182 HIGH ST NE</t>
        </is>
      </c>
      <c r="N1460">
        <f>RIGHT(M1460,LEN(M1460)-FIND(" ",M1460))</f>
        <v/>
      </c>
      <c r="O1460" t="inlineStr">
        <is>
          <t>APT 305</t>
        </is>
      </c>
      <c r="P1460" t="inlineStr">
        <is>
          <t>WARREN</t>
        </is>
      </c>
      <c r="Q1460" t="inlineStr">
        <is>
          <t>OH</t>
        </is>
      </c>
      <c r="R1460" t="n">
        <v>44481</v>
      </c>
      <c r="AD1460" t="inlineStr">
        <is>
          <t>TRUMBULL CAREER &amp; TECH CENTER</t>
        </is>
      </c>
      <c r="AE1460" t="inlineStr">
        <is>
          <t>WARREN CITY</t>
        </is>
      </c>
      <c r="AF1460" t="inlineStr">
        <is>
          <t>WARREN CITY SD</t>
        </is>
      </c>
      <c r="AH1460" t="n">
        <v>14</v>
      </c>
      <c r="AI1460" t="n">
        <v>11</v>
      </c>
      <c r="AN1460" t="inlineStr">
        <is>
          <t>WARREN</t>
        </is>
      </c>
      <c r="AO1460" t="inlineStr">
        <is>
          <t>WARREN CITY 4D</t>
        </is>
      </c>
      <c r="AP1460" t="inlineStr">
        <is>
          <t>78-P-ADL</t>
        </is>
      </c>
      <c r="AQ1460" t="n">
        <v>9</v>
      </c>
      <c r="AR1460" t="n">
        <v>64</v>
      </c>
      <c r="AS1460" t="n">
        <v>32</v>
      </c>
      <c r="AU1460">
        <f>COUNTA($BA$1460:$EH$1460)</f>
        <v/>
      </c>
      <c r="AV1460">
        <f>COUNTIF($BA$1460:$EH$1460,"D")</f>
        <v/>
      </c>
      <c r="AW1460">
        <f>COUNTIF($BA$1460:$EH$1460,"R")</f>
        <v/>
      </c>
      <c r="AX1460">
        <f>IF(BN1460="D",1,0)+IF(BO1460="D",1,0)+IF(BT1460="D",1,0)+IF(BU1460="D",1,0)+IF(BW1460="D",1,0)+IF(CC1460="D",1,0)+IF(CD1460="D",1,0)+IF(CE1460="D",1,0)+IF(CF1460="D",1,0)+IF(CL1460="D",1,0)+IF(CM1460="D",1,0)+IF(CQ1460="D",1,0)+IF(CR1460="D",1,0)+IF(CS1460="D",1,0)+IF(CW1460="D",1,0)+IF(CX1460="D",1,0)+IF(DD1460="D",1,0)+IF(DE1460="D",1,0)+IF(DJ1460="D",1,0)+IF(DK1460="D",1,0)+IF(DO1460="D",1,0)+IF(DP1460="D",1,0)+IF(DQ1460="D",1,0)+IF(DW1460="D",1,0)+IF(DZ1460="D",1,0)+IF(EH1460="D",1,0)</f>
        <v/>
      </c>
      <c r="AY1460">
        <f>IF(DJ1460&lt;&gt;"",1,0)+IF(DK1460&lt;&gt;"",1,0)+IF(DM1460&lt;&gt;"",1,0)+IF(DO1460&lt;&gt;"",1,0)+IF(DP1460&lt;&gt;"",1,0)+IF(DQ1460&lt;&gt;"",1,0)+IF(DS1460&lt;&gt;"",1,0)+IF(DT1460&lt;&gt;"",1,0)+IF(DV1460&lt;&gt;"",1,0)+IF(DW1460&lt;&gt;"",1,0)+IF(DX1460&lt;&gt;"",1,0)+IF(DY1460&lt;&gt;"",1,0)+IF(DZ1460&lt;&gt;"",1,0)+IF(EB1460&lt;&gt;"",1,0)+IF(EC1460&lt;&gt;"",1,0)+IF(ED1460&lt;&gt;"",1,0)+IF(EG1460&lt;&gt;"",1,0)+IF(EH1460&lt;&gt;"",1,0)</f>
        <v/>
      </c>
      <c r="AZ1460">
        <f>IF(EH1460&lt;&gt;"",1,0)</f>
        <v/>
      </c>
      <c r="BB1460" t="inlineStr">
        <is>
          <t>WARREN-WARD 4</t>
        </is>
      </c>
      <c r="BC1460" t="inlineStr">
        <is>
          <t>X</t>
        </is>
      </c>
      <c r="BD1460" t="inlineStr">
        <is>
          <t>X</t>
        </is>
      </c>
      <c r="BH1460" t="inlineStr">
        <is>
          <t>X</t>
        </is>
      </c>
      <c r="BL1460" t="inlineStr">
        <is>
          <t>X</t>
        </is>
      </c>
      <c r="BP1460" t="inlineStr">
        <is>
          <t>X</t>
        </is>
      </c>
      <c r="BR1460" t="inlineStr">
        <is>
          <t>X</t>
        </is>
      </c>
      <c r="BS1460" t="inlineStr">
        <is>
          <t>X</t>
        </is>
      </c>
      <c r="BV1460" t="inlineStr">
        <is>
          <t>X</t>
        </is>
      </c>
      <c r="CA1460" t="inlineStr">
        <is>
          <t>X</t>
        </is>
      </c>
      <c r="CL1460" t="inlineStr">
        <is>
          <t>D</t>
        </is>
      </c>
      <c r="CN1460" t="inlineStr">
        <is>
          <t>X</t>
        </is>
      </c>
      <c r="CP1460" t="inlineStr">
        <is>
          <t>X</t>
        </is>
      </c>
      <c r="CT1460" t="inlineStr">
        <is>
          <t>X</t>
        </is>
      </c>
      <c r="CW1460" t="inlineStr">
        <is>
          <t>D</t>
        </is>
      </c>
      <c r="CY1460" t="inlineStr">
        <is>
          <t>X</t>
        </is>
      </c>
      <c r="CZ1460" t="inlineStr">
        <is>
          <t>D</t>
        </is>
      </c>
      <c r="DC1460" t="inlineStr">
        <is>
          <t>X</t>
        </is>
      </c>
      <c r="DD1460" t="inlineStr">
        <is>
          <t>D</t>
        </is>
      </c>
      <c r="DF1460" t="inlineStr">
        <is>
          <t>X</t>
        </is>
      </c>
      <c r="DG1460" t="inlineStr">
        <is>
          <t>D</t>
        </is>
      </c>
      <c r="DI1460" t="inlineStr">
        <is>
          <t>X</t>
        </is>
      </c>
      <c r="DM1460" t="inlineStr">
        <is>
          <t>D</t>
        </is>
      </c>
      <c r="DN1460" t="inlineStr">
        <is>
          <t>X</t>
        </is>
      </c>
      <c r="DU1460" t="inlineStr">
        <is>
          <t>X</t>
        </is>
      </c>
      <c r="EA1460" t="inlineStr">
        <is>
          <t>X</t>
        </is>
      </c>
      <c r="EF1460" t="inlineStr">
        <is>
          <t>X</t>
        </is>
      </c>
      <c r="EH1460" t="inlineStr">
        <is>
          <t>D</t>
        </is>
      </c>
    </row>
    <row r="1461">
      <c r="A1461" t="inlineStr">
        <is>
          <t>OH0027952109</t>
        </is>
      </c>
      <c r="B1461" t="n">
        <v>78</v>
      </c>
      <c r="C1461" t="n">
        <v>496102</v>
      </c>
      <c r="D1461" t="inlineStr">
        <is>
          <t>MARSHALL</t>
        </is>
      </c>
      <c r="E1461" t="inlineStr">
        <is>
          <t>JACOB</t>
        </is>
      </c>
      <c r="F1461">
        <f>CONCATENATE(D1461," ",LEFT(H1461,4),"T=",AU1461,"D=",AV1461,"R=",AW1461,"M=",AX1461,"L=",AY1461,"B=",AZ1461)</f>
        <v/>
      </c>
      <c r="G1461" t="inlineStr">
        <is>
          <t>JAMES FREDERICK</t>
        </is>
      </c>
      <c r="I1461" t="inlineStr">
        <is>
          <t>1990-11-19</t>
        </is>
      </c>
      <c r="J1461" t="inlineStr">
        <is>
          <t>2025-05-19</t>
        </is>
      </c>
      <c r="K1461" t="inlineStr">
        <is>
          <t>ACTIVE</t>
        </is>
      </c>
      <c r="M1461" t="inlineStr">
        <is>
          <t>200 WASHINGTON ST NE</t>
        </is>
      </c>
      <c r="N1461">
        <f>RIGHT(M1461,LEN(M1461)-FIND(" ",M1461))</f>
        <v/>
      </c>
      <c r="O1461" t="inlineStr">
        <is>
          <t>APT 28</t>
        </is>
      </c>
      <c r="P1461" t="inlineStr">
        <is>
          <t>WARREN</t>
        </is>
      </c>
      <c r="Q1461" t="inlineStr">
        <is>
          <t>OH</t>
        </is>
      </c>
      <c r="R1461" t="n">
        <v>44483</v>
      </c>
      <c r="AD1461" t="inlineStr">
        <is>
          <t>TRUMBULL CAREER &amp; TECH CENTER</t>
        </is>
      </c>
      <c r="AE1461" t="inlineStr">
        <is>
          <t>WARREN CITY</t>
        </is>
      </c>
      <c r="AF1461" t="inlineStr">
        <is>
          <t>WARREN CITY SD</t>
        </is>
      </c>
      <c r="AH1461" t="n">
        <v>14</v>
      </c>
      <c r="AI1461" t="n">
        <v>11</v>
      </c>
      <c r="AN1461" t="inlineStr">
        <is>
          <t>WARREN</t>
        </is>
      </c>
      <c r="AO1461" t="inlineStr">
        <is>
          <t>WARREN CITY 4D</t>
        </is>
      </c>
      <c r="AP1461" t="inlineStr">
        <is>
          <t>78-P-ADL</t>
        </is>
      </c>
      <c r="AQ1461" t="n">
        <v>9</v>
      </c>
      <c r="AR1461" t="n">
        <v>64</v>
      </c>
      <c r="AS1461" t="n">
        <v>32</v>
      </c>
      <c r="AU1461">
        <f>COUNTA($BA$1461:$EH$1461)</f>
        <v/>
      </c>
      <c r="AV1461">
        <f>COUNTIF($BA$1461:$EH$1461,"D")</f>
        <v/>
      </c>
      <c r="AW1461">
        <f>COUNTIF($BA$1461:$EH$1461,"R")</f>
        <v/>
      </c>
      <c r="AX1461">
        <f>IF(BN1461="D",1,0)+IF(BO1461="D",1,0)+IF(BT1461="D",1,0)+IF(BU1461="D",1,0)+IF(BW1461="D",1,0)+IF(CC1461="D",1,0)+IF(CD1461="D",1,0)+IF(CE1461="D",1,0)+IF(CF1461="D",1,0)+IF(CL1461="D",1,0)+IF(CM1461="D",1,0)+IF(CQ1461="D",1,0)+IF(CR1461="D",1,0)+IF(CS1461="D",1,0)+IF(CW1461="D",1,0)+IF(CX1461="D",1,0)+IF(DD1461="D",1,0)+IF(DE1461="D",1,0)+IF(DJ1461="D",1,0)+IF(DK1461="D",1,0)+IF(DO1461="D",1,0)+IF(DP1461="D",1,0)+IF(DQ1461="D",1,0)+IF(DW1461="D",1,0)+IF(DZ1461="D",1,0)+IF(EH1461="D",1,0)</f>
        <v/>
      </c>
      <c r="AY1461">
        <f>IF(DJ1461&lt;&gt;"",1,0)+IF(DK1461&lt;&gt;"",1,0)+IF(DM1461&lt;&gt;"",1,0)+IF(DO1461&lt;&gt;"",1,0)+IF(DP1461&lt;&gt;"",1,0)+IF(DQ1461&lt;&gt;"",1,0)+IF(DS1461&lt;&gt;"",1,0)+IF(DT1461&lt;&gt;"",1,0)+IF(DV1461&lt;&gt;"",1,0)+IF(DW1461&lt;&gt;"",1,0)+IF(DX1461&lt;&gt;"",1,0)+IF(DY1461&lt;&gt;"",1,0)+IF(DZ1461&lt;&gt;"",1,0)+IF(EB1461&lt;&gt;"",1,0)+IF(EC1461&lt;&gt;"",1,0)+IF(ED1461&lt;&gt;"",1,0)+IF(EG1461&lt;&gt;"",1,0)+IF(EH1461&lt;&gt;"",1,0)</f>
        <v/>
      </c>
      <c r="AZ1461">
        <f>IF(EH1461&lt;&gt;"",1,0)</f>
        <v/>
      </c>
      <c r="BB1461" t="inlineStr">
        <is>
          <t>WARREN-WARD 4</t>
        </is>
      </c>
    </row>
    <row r="1462">
      <c r="A1462" t="inlineStr">
        <is>
          <t>OH0025046541</t>
        </is>
      </c>
      <c r="B1462" t="n">
        <v>78</v>
      </c>
      <c r="C1462" t="n">
        <v>438444</v>
      </c>
      <c r="D1462" t="inlineStr">
        <is>
          <t>EISENHUTH</t>
        </is>
      </c>
      <c r="E1462" t="inlineStr">
        <is>
          <t>KASSI</t>
        </is>
      </c>
      <c r="F1462">
        <f>CONCATENATE(D1462," ",LEFT(H1462,4),"T=",AU1462,"D=",AV1462,"R=",AW1462,"M=",AX1462,"L=",AY1462,"B=",AZ1462)</f>
        <v/>
      </c>
      <c r="G1462" t="inlineStr">
        <is>
          <t>LEE</t>
        </is>
      </c>
      <c r="I1462" t="inlineStr">
        <is>
          <t>2000-10-26</t>
        </is>
      </c>
      <c r="J1462" t="inlineStr">
        <is>
          <t>2020-06-01</t>
        </is>
      </c>
      <c r="K1462" t="inlineStr">
        <is>
          <t>CONFIRMATION</t>
        </is>
      </c>
      <c r="M1462" t="inlineStr">
        <is>
          <t>167 CHARLES AVE NE</t>
        </is>
      </c>
      <c r="N1462">
        <f>RIGHT(M1462,LEN(M1462)-FIND(" ",M1462))</f>
        <v/>
      </c>
      <c r="P1462" t="inlineStr">
        <is>
          <t>WARREN</t>
        </is>
      </c>
      <c r="Q1462" t="inlineStr">
        <is>
          <t>OH</t>
        </is>
      </c>
      <c r="R1462" t="n">
        <v>44483</v>
      </c>
      <c r="AD1462" t="inlineStr">
        <is>
          <t>TRUMBULL CAREER &amp; TECH CENTER</t>
        </is>
      </c>
      <c r="AE1462" t="inlineStr">
        <is>
          <t>WARREN CITY</t>
        </is>
      </c>
      <c r="AF1462" t="inlineStr">
        <is>
          <t>WARREN CITY SD</t>
        </is>
      </c>
      <c r="AH1462" t="n">
        <v>14</v>
      </c>
      <c r="AI1462" t="n">
        <v>11</v>
      </c>
      <c r="AN1462" t="inlineStr">
        <is>
          <t>WARREN</t>
        </is>
      </c>
      <c r="AO1462" t="inlineStr">
        <is>
          <t>WARREN CITY 4D</t>
        </is>
      </c>
      <c r="AP1462" t="inlineStr">
        <is>
          <t>78-P-ADL</t>
        </is>
      </c>
      <c r="AQ1462" t="n">
        <v>9</v>
      </c>
      <c r="AR1462" t="n">
        <v>64</v>
      </c>
      <c r="AS1462" t="n">
        <v>32</v>
      </c>
      <c r="AU1462">
        <f>COUNTA($BA$1462:$EH$1462)</f>
        <v/>
      </c>
      <c r="AV1462">
        <f>COUNTIF($BA$1462:$EH$1462,"D")</f>
        <v/>
      </c>
      <c r="AW1462">
        <f>COUNTIF($BA$1462:$EH$1462,"R")</f>
        <v/>
      </c>
      <c r="AX1462">
        <f>IF(BN1462="D",1,0)+IF(BO1462="D",1,0)+IF(BT1462="D",1,0)+IF(BU1462="D",1,0)+IF(BW1462="D",1,0)+IF(CC1462="D",1,0)+IF(CD1462="D",1,0)+IF(CE1462="D",1,0)+IF(CF1462="D",1,0)+IF(CL1462="D",1,0)+IF(CM1462="D",1,0)+IF(CQ1462="D",1,0)+IF(CR1462="D",1,0)+IF(CS1462="D",1,0)+IF(CW1462="D",1,0)+IF(CX1462="D",1,0)+IF(DD1462="D",1,0)+IF(DE1462="D",1,0)+IF(DJ1462="D",1,0)+IF(DK1462="D",1,0)+IF(DO1462="D",1,0)+IF(DP1462="D",1,0)+IF(DQ1462="D",1,0)+IF(DW1462="D",1,0)+IF(DZ1462="D",1,0)+IF(EH1462="D",1,0)</f>
        <v/>
      </c>
      <c r="AY1462">
        <f>IF(DJ1462&lt;&gt;"",1,0)+IF(DK1462&lt;&gt;"",1,0)+IF(DM1462&lt;&gt;"",1,0)+IF(DO1462&lt;&gt;"",1,0)+IF(DP1462&lt;&gt;"",1,0)+IF(DQ1462&lt;&gt;"",1,0)+IF(DS1462&lt;&gt;"",1,0)+IF(DT1462&lt;&gt;"",1,0)+IF(DV1462&lt;&gt;"",1,0)+IF(DW1462&lt;&gt;"",1,0)+IF(DX1462&lt;&gt;"",1,0)+IF(DY1462&lt;&gt;"",1,0)+IF(DZ1462&lt;&gt;"",1,0)+IF(EB1462&lt;&gt;"",1,0)+IF(EC1462&lt;&gt;"",1,0)+IF(ED1462&lt;&gt;"",1,0)+IF(EG1462&lt;&gt;"",1,0)+IF(EH1462&lt;&gt;"",1,0)</f>
        <v/>
      </c>
      <c r="AZ1462">
        <f>IF(EH1462&lt;&gt;"",1,0)</f>
        <v/>
      </c>
      <c r="BB1462" t="inlineStr">
        <is>
          <t>WARREN-WARD 4</t>
        </is>
      </c>
    </row>
    <row r="1463">
      <c r="A1463" t="inlineStr">
        <is>
          <t>OH0027912276</t>
        </is>
      </c>
      <c r="B1463" t="n">
        <v>78</v>
      </c>
      <c r="C1463" t="n">
        <v>495258</v>
      </c>
      <c r="D1463" t="inlineStr">
        <is>
          <t>GENTIS</t>
        </is>
      </c>
      <c r="E1463" t="inlineStr">
        <is>
          <t>GUS</t>
        </is>
      </c>
      <c r="F1463">
        <f>CONCATENATE(D1463," ",LEFT(H1463,4),"T=",AU1463,"D=",AV1463,"R=",AW1463,"M=",AX1463,"L=",AY1463,"B=",AZ1463)</f>
        <v/>
      </c>
      <c r="G1463" t="inlineStr">
        <is>
          <t>P</t>
        </is>
      </c>
      <c r="I1463" t="inlineStr">
        <is>
          <t>1966-03-20</t>
        </is>
      </c>
      <c r="J1463" t="inlineStr">
        <is>
          <t>2025-03-12</t>
        </is>
      </c>
      <c r="K1463" t="inlineStr">
        <is>
          <t>ACTIVE</t>
        </is>
      </c>
      <c r="M1463" t="inlineStr">
        <is>
          <t>1134 HARRISON ST NE</t>
        </is>
      </c>
      <c r="N1463">
        <f>RIGHT(M1463,LEN(M1463)-FIND(" ",M1463))</f>
        <v/>
      </c>
      <c r="P1463" t="inlineStr">
        <is>
          <t>WARREN</t>
        </is>
      </c>
      <c r="Q1463" t="inlineStr">
        <is>
          <t>OH</t>
        </is>
      </c>
      <c r="R1463" t="n">
        <v>44483</v>
      </c>
      <c r="AD1463" t="inlineStr">
        <is>
          <t>TRUMBULL CAREER &amp; TECH CENTER</t>
        </is>
      </c>
      <c r="AE1463" t="inlineStr">
        <is>
          <t>WARREN CITY</t>
        </is>
      </c>
      <c r="AF1463" t="inlineStr">
        <is>
          <t>WARREN CITY SD</t>
        </is>
      </c>
      <c r="AH1463" t="n">
        <v>14</v>
      </c>
      <c r="AI1463" t="n">
        <v>11</v>
      </c>
      <c r="AN1463" t="inlineStr">
        <is>
          <t>WARREN</t>
        </is>
      </c>
      <c r="AO1463" t="inlineStr">
        <is>
          <t>WARREN CITY 4D</t>
        </is>
      </c>
      <c r="AP1463" t="inlineStr">
        <is>
          <t>78-P-ADL</t>
        </is>
      </c>
      <c r="AQ1463" t="n">
        <v>9</v>
      </c>
      <c r="AR1463" t="n">
        <v>64</v>
      </c>
      <c r="AS1463" t="n">
        <v>32</v>
      </c>
      <c r="AU1463">
        <f>COUNTA($BA$1463:$EH$1463)</f>
        <v/>
      </c>
      <c r="AV1463">
        <f>COUNTIF($BA$1463:$EH$1463,"D")</f>
        <v/>
      </c>
      <c r="AW1463">
        <f>COUNTIF($BA$1463:$EH$1463,"R")</f>
        <v/>
      </c>
      <c r="AX1463">
        <f>IF(BN1463="D",1,0)+IF(BO1463="D",1,0)+IF(BT1463="D",1,0)+IF(BU1463="D",1,0)+IF(BW1463="D",1,0)+IF(CC1463="D",1,0)+IF(CD1463="D",1,0)+IF(CE1463="D",1,0)+IF(CF1463="D",1,0)+IF(CL1463="D",1,0)+IF(CM1463="D",1,0)+IF(CQ1463="D",1,0)+IF(CR1463="D",1,0)+IF(CS1463="D",1,0)+IF(CW1463="D",1,0)+IF(CX1463="D",1,0)+IF(DD1463="D",1,0)+IF(DE1463="D",1,0)+IF(DJ1463="D",1,0)+IF(DK1463="D",1,0)+IF(DO1463="D",1,0)+IF(DP1463="D",1,0)+IF(DQ1463="D",1,0)+IF(DW1463="D",1,0)+IF(DZ1463="D",1,0)+IF(EH1463="D",1,0)</f>
        <v/>
      </c>
      <c r="AY1463">
        <f>IF(DJ1463&lt;&gt;"",1,0)+IF(DK1463&lt;&gt;"",1,0)+IF(DM1463&lt;&gt;"",1,0)+IF(DO1463&lt;&gt;"",1,0)+IF(DP1463&lt;&gt;"",1,0)+IF(DQ1463&lt;&gt;"",1,0)+IF(DS1463&lt;&gt;"",1,0)+IF(DT1463&lt;&gt;"",1,0)+IF(DV1463&lt;&gt;"",1,0)+IF(DW1463&lt;&gt;"",1,0)+IF(DX1463&lt;&gt;"",1,0)+IF(DY1463&lt;&gt;"",1,0)+IF(DZ1463&lt;&gt;"",1,0)+IF(EB1463&lt;&gt;"",1,0)+IF(EC1463&lt;&gt;"",1,0)+IF(ED1463&lt;&gt;"",1,0)+IF(EG1463&lt;&gt;"",1,0)+IF(EH1463&lt;&gt;"",1,0)</f>
        <v/>
      </c>
      <c r="AZ1463">
        <f>IF(EH1463&lt;&gt;"",1,0)</f>
        <v/>
      </c>
      <c r="BB1463" t="inlineStr">
        <is>
          <t>WARREN-WARD 4</t>
        </is>
      </c>
      <c r="BY1463" t="inlineStr">
        <is>
          <t>D</t>
        </is>
      </c>
      <c r="CA1463" t="inlineStr">
        <is>
          <t>X</t>
        </is>
      </c>
      <c r="CG1463" t="inlineStr">
        <is>
          <t>X</t>
        </is>
      </c>
      <c r="CO1463" t="inlineStr">
        <is>
          <t>R</t>
        </is>
      </c>
      <c r="CP1463" t="inlineStr">
        <is>
          <t>X</t>
        </is>
      </c>
      <c r="CT1463" t="inlineStr">
        <is>
          <t>X</t>
        </is>
      </c>
      <c r="CY1463" t="inlineStr">
        <is>
          <t>X</t>
        </is>
      </c>
      <c r="CZ1463" t="inlineStr">
        <is>
          <t>R</t>
        </is>
      </c>
      <c r="DC1463" t="inlineStr">
        <is>
          <t>X</t>
        </is>
      </c>
      <c r="DF1463" t="inlineStr">
        <is>
          <t>X</t>
        </is>
      </c>
      <c r="DG1463" t="inlineStr">
        <is>
          <t>R</t>
        </is>
      </c>
      <c r="DL1463" t="inlineStr">
        <is>
          <t>X</t>
        </is>
      </c>
      <c r="DN1463" t="inlineStr">
        <is>
          <t>X</t>
        </is>
      </c>
      <c r="DX1463" t="inlineStr">
        <is>
          <t>X</t>
        </is>
      </c>
      <c r="EA1463" t="inlineStr">
        <is>
          <t>X</t>
        </is>
      </c>
      <c r="EF1463" t="inlineStr">
        <is>
          <t>X</t>
        </is>
      </c>
    </row>
    <row r="1464">
      <c r="A1464" t="inlineStr">
        <is>
          <t>OH0025371985</t>
        </is>
      </c>
      <c r="B1464" t="n">
        <v>78</v>
      </c>
      <c r="C1464" t="n">
        <v>443304</v>
      </c>
      <c r="D1464" t="inlineStr">
        <is>
          <t>NORMAN</t>
        </is>
      </c>
      <c r="E1464" t="inlineStr">
        <is>
          <t>SAMMY</t>
        </is>
      </c>
      <c r="F1464">
        <f>CONCATENATE(D1464," ",LEFT(H1464,4),"T=",AU1464,"D=",AV1464,"R=",AW1464,"M=",AX1464,"L=",AY1464,"B=",AZ1464)</f>
        <v/>
      </c>
      <c r="G1464" t="inlineStr">
        <is>
          <t>BERNARD</t>
        </is>
      </c>
      <c r="I1464" t="inlineStr">
        <is>
          <t>1959-09-22</t>
        </is>
      </c>
      <c r="J1464" t="inlineStr">
        <is>
          <t>2020-01-28</t>
        </is>
      </c>
      <c r="K1464" t="inlineStr">
        <is>
          <t>CONFIRMATION</t>
        </is>
      </c>
      <c r="M1464" t="inlineStr">
        <is>
          <t>207 LAIRD AVE NE</t>
        </is>
      </c>
      <c r="N1464">
        <f>RIGHT(M1464,LEN(M1464)-FIND(" ",M1464))</f>
        <v/>
      </c>
      <c r="P1464" t="inlineStr">
        <is>
          <t>WARREN</t>
        </is>
      </c>
      <c r="Q1464" t="inlineStr">
        <is>
          <t>OH</t>
        </is>
      </c>
      <c r="R1464" t="n">
        <v>44483</v>
      </c>
      <c r="AD1464" t="inlineStr">
        <is>
          <t>TRUMBULL CAREER &amp; TECH CENTER</t>
        </is>
      </c>
      <c r="AE1464" t="inlineStr">
        <is>
          <t>WARREN CITY</t>
        </is>
      </c>
      <c r="AF1464" t="inlineStr">
        <is>
          <t>WARREN CITY SD</t>
        </is>
      </c>
      <c r="AH1464" t="n">
        <v>14</v>
      </c>
      <c r="AI1464" t="n">
        <v>11</v>
      </c>
      <c r="AN1464" t="inlineStr">
        <is>
          <t>WARREN</t>
        </is>
      </c>
      <c r="AO1464" t="inlineStr">
        <is>
          <t>WARREN CITY 4D</t>
        </is>
      </c>
      <c r="AP1464" t="inlineStr">
        <is>
          <t>78-P-ADL</t>
        </is>
      </c>
      <c r="AQ1464" t="n">
        <v>9</v>
      </c>
      <c r="AR1464" t="n">
        <v>64</v>
      </c>
      <c r="AS1464" t="n">
        <v>32</v>
      </c>
      <c r="AU1464">
        <f>COUNTA($BA$1464:$EH$1464)</f>
        <v/>
      </c>
      <c r="AV1464">
        <f>COUNTIF($BA$1464:$EH$1464,"D")</f>
        <v/>
      </c>
      <c r="AW1464">
        <f>COUNTIF($BA$1464:$EH$1464,"R")</f>
        <v/>
      </c>
      <c r="AX1464">
        <f>IF(BN1464="D",1,0)+IF(BO1464="D",1,0)+IF(BT1464="D",1,0)+IF(BU1464="D",1,0)+IF(BW1464="D",1,0)+IF(CC1464="D",1,0)+IF(CD1464="D",1,0)+IF(CE1464="D",1,0)+IF(CF1464="D",1,0)+IF(CL1464="D",1,0)+IF(CM1464="D",1,0)+IF(CQ1464="D",1,0)+IF(CR1464="D",1,0)+IF(CS1464="D",1,0)+IF(CW1464="D",1,0)+IF(CX1464="D",1,0)+IF(DD1464="D",1,0)+IF(DE1464="D",1,0)+IF(DJ1464="D",1,0)+IF(DK1464="D",1,0)+IF(DO1464="D",1,0)+IF(DP1464="D",1,0)+IF(DQ1464="D",1,0)+IF(DW1464="D",1,0)+IF(DZ1464="D",1,0)+IF(EH1464="D",1,0)</f>
        <v/>
      </c>
      <c r="AY1464">
        <f>IF(DJ1464&lt;&gt;"",1,0)+IF(DK1464&lt;&gt;"",1,0)+IF(DM1464&lt;&gt;"",1,0)+IF(DO1464&lt;&gt;"",1,0)+IF(DP1464&lt;&gt;"",1,0)+IF(DQ1464&lt;&gt;"",1,0)+IF(DS1464&lt;&gt;"",1,0)+IF(DT1464&lt;&gt;"",1,0)+IF(DV1464&lt;&gt;"",1,0)+IF(DW1464&lt;&gt;"",1,0)+IF(DX1464&lt;&gt;"",1,0)+IF(DY1464&lt;&gt;"",1,0)+IF(DZ1464&lt;&gt;"",1,0)+IF(EB1464&lt;&gt;"",1,0)+IF(EC1464&lt;&gt;"",1,0)+IF(ED1464&lt;&gt;"",1,0)+IF(EG1464&lt;&gt;"",1,0)+IF(EH1464&lt;&gt;"",1,0)</f>
        <v/>
      </c>
      <c r="AZ1464">
        <f>IF(EH1464&lt;&gt;"",1,0)</f>
        <v/>
      </c>
      <c r="BB1464" t="inlineStr">
        <is>
          <t>WARREN-WARD 4</t>
        </is>
      </c>
      <c r="CZ1464" t="inlineStr">
        <is>
          <t>D</t>
        </is>
      </c>
      <c r="DI1464" t="inlineStr">
        <is>
          <t>X</t>
        </is>
      </c>
    </row>
    <row r="1465">
      <c r="A1465" t="inlineStr">
        <is>
          <t>OH0023350529</t>
        </is>
      </c>
      <c r="B1465" t="n">
        <v>78</v>
      </c>
      <c r="C1465" t="n">
        <v>411058</v>
      </c>
      <c r="D1465" t="inlineStr">
        <is>
          <t>FOSTER</t>
        </is>
      </c>
      <c r="E1465" t="inlineStr">
        <is>
          <t>RONALD</t>
        </is>
      </c>
      <c r="F1465">
        <f>CONCATENATE(D1465," ",LEFT(H1465,4),"T=",AU1465,"D=",AV1465,"R=",AW1465,"M=",AX1465,"L=",AY1465,"B=",AZ1465)</f>
        <v/>
      </c>
      <c r="G1465" t="inlineStr">
        <is>
          <t>L</t>
        </is>
      </c>
      <c r="I1465" t="inlineStr">
        <is>
          <t>1974-09-09</t>
        </is>
      </c>
      <c r="J1465" t="inlineStr">
        <is>
          <t>2025-05-01</t>
        </is>
      </c>
      <c r="K1465" t="inlineStr">
        <is>
          <t>ACTIVE</t>
        </is>
      </c>
      <c r="M1465" t="inlineStr">
        <is>
          <t>438 N PARK AVE</t>
        </is>
      </c>
      <c r="N1465">
        <f>RIGHT(M1465,LEN(M1465)-FIND(" ",M1465))</f>
        <v/>
      </c>
      <c r="O1465" t="inlineStr">
        <is>
          <t>APT 7</t>
        </is>
      </c>
      <c r="P1465" t="inlineStr">
        <is>
          <t>WARREN</t>
        </is>
      </c>
      <c r="Q1465" t="inlineStr">
        <is>
          <t>OH</t>
        </is>
      </c>
      <c r="R1465" t="n">
        <v>44481</v>
      </c>
      <c r="AD1465" t="inlineStr">
        <is>
          <t>TRUMBULL CAREER &amp; TECH CENTER</t>
        </is>
      </c>
      <c r="AE1465" t="inlineStr">
        <is>
          <t>WARREN CITY</t>
        </is>
      </c>
      <c r="AF1465" t="inlineStr">
        <is>
          <t>WARREN CITY SD</t>
        </is>
      </c>
      <c r="AH1465" t="n">
        <v>14</v>
      </c>
      <c r="AI1465" t="n">
        <v>11</v>
      </c>
      <c r="AN1465" t="inlineStr">
        <is>
          <t>WARREN</t>
        </is>
      </c>
      <c r="AO1465" t="inlineStr">
        <is>
          <t>WARREN CITY 4D</t>
        </is>
      </c>
      <c r="AP1465" t="inlineStr">
        <is>
          <t>78-P-ADL</t>
        </is>
      </c>
      <c r="AQ1465" t="n">
        <v>9</v>
      </c>
      <c r="AR1465" t="n">
        <v>64</v>
      </c>
      <c r="AS1465" t="n">
        <v>32</v>
      </c>
      <c r="AU1465">
        <f>COUNTA($BA$1465:$EH$1465)</f>
        <v/>
      </c>
      <c r="AV1465">
        <f>COUNTIF($BA$1465:$EH$1465,"D")</f>
        <v/>
      </c>
      <c r="AW1465">
        <f>COUNTIF($BA$1465:$EH$1465,"R")</f>
        <v/>
      </c>
      <c r="AX1465">
        <f>IF(BN1465="D",1,0)+IF(BO1465="D",1,0)+IF(BT1465="D",1,0)+IF(BU1465="D",1,0)+IF(BW1465="D",1,0)+IF(CC1465="D",1,0)+IF(CD1465="D",1,0)+IF(CE1465="D",1,0)+IF(CF1465="D",1,0)+IF(CL1465="D",1,0)+IF(CM1465="D",1,0)+IF(CQ1465="D",1,0)+IF(CR1465="D",1,0)+IF(CS1465="D",1,0)+IF(CW1465="D",1,0)+IF(CX1465="D",1,0)+IF(DD1465="D",1,0)+IF(DE1465="D",1,0)+IF(DJ1465="D",1,0)+IF(DK1465="D",1,0)+IF(DO1465="D",1,0)+IF(DP1465="D",1,0)+IF(DQ1465="D",1,0)+IF(DW1465="D",1,0)+IF(DZ1465="D",1,0)+IF(EH1465="D",1,0)</f>
        <v/>
      </c>
      <c r="AY1465">
        <f>IF(DJ1465&lt;&gt;"",1,0)+IF(DK1465&lt;&gt;"",1,0)+IF(DM1465&lt;&gt;"",1,0)+IF(DO1465&lt;&gt;"",1,0)+IF(DP1465&lt;&gt;"",1,0)+IF(DQ1465&lt;&gt;"",1,0)+IF(DS1465&lt;&gt;"",1,0)+IF(DT1465&lt;&gt;"",1,0)+IF(DV1465&lt;&gt;"",1,0)+IF(DW1465&lt;&gt;"",1,0)+IF(DX1465&lt;&gt;"",1,0)+IF(DY1465&lt;&gt;"",1,0)+IF(DZ1465&lt;&gt;"",1,0)+IF(EB1465&lt;&gt;"",1,0)+IF(EC1465&lt;&gt;"",1,0)+IF(ED1465&lt;&gt;"",1,0)+IF(EG1465&lt;&gt;"",1,0)+IF(EH1465&lt;&gt;"",1,0)</f>
        <v/>
      </c>
      <c r="AZ1465">
        <f>IF(EH1465&lt;&gt;"",1,0)</f>
        <v/>
      </c>
      <c r="BB1465" t="inlineStr">
        <is>
          <t>WARREN-WARD 4</t>
        </is>
      </c>
    </row>
    <row r="1466">
      <c r="A1466" t="inlineStr">
        <is>
          <t>OH0024980809</t>
        </is>
      </c>
      <c r="B1466" t="n">
        <v>78</v>
      </c>
      <c r="C1466" t="n">
        <v>437246</v>
      </c>
      <c r="D1466" t="inlineStr">
        <is>
          <t>WORTHY CURRIE</t>
        </is>
      </c>
      <c r="E1466" t="inlineStr">
        <is>
          <t>SHAWNTE</t>
        </is>
      </c>
      <c r="F1466">
        <f>CONCATENATE(D1466," ",LEFT(H1466,4),"T=",AU1466,"D=",AV1466,"R=",AW1466,"M=",AX1466,"L=",AY1466,"B=",AZ1466)</f>
        <v/>
      </c>
      <c r="G1466" t="inlineStr">
        <is>
          <t>MICHELLE</t>
        </is>
      </c>
      <c r="I1466" t="inlineStr">
        <is>
          <t>1977-03-15</t>
        </is>
      </c>
      <c r="J1466" t="inlineStr">
        <is>
          <t>2019-10-07</t>
        </is>
      </c>
      <c r="K1466" t="inlineStr">
        <is>
          <t>CONFIRMATION</t>
        </is>
      </c>
      <c r="M1466" t="inlineStr">
        <is>
          <t>446 LAMPHIER PL NE</t>
        </is>
      </c>
      <c r="N1466">
        <f>RIGHT(M1466,LEN(M1466)-FIND(" ",M1466))</f>
        <v/>
      </c>
      <c r="P1466" t="inlineStr">
        <is>
          <t>WARREN</t>
        </is>
      </c>
      <c r="Q1466" t="inlineStr">
        <is>
          <t>OH</t>
        </is>
      </c>
      <c r="R1466" t="n">
        <v>44483</v>
      </c>
      <c r="AD1466" t="inlineStr">
        <is>
          <t>TRUMBULL CAREER &amp; TECH CENTER</t>
        </is>
      </c>
      <c r="AE1466" t="inlineStr">
        <is>
          <t>WARREN CITY</t>
        </is>
      </c>
      <c r="AF1466" t="inlineStr">
        <is>
          <t>WARREN CITY SD</t>
        </is>
      </c>
      <c r="AH1466" t="n">
        <v>14</v>
      </c>
      <c r="AI1466" t="n">
        <v>11</v>
      </c>
      <c r="AN1466" t="inlineStr">
        <is>
          <t>WARREN</t>
        </is>
      </c>
      <c r="AO1466" t="inlineStr">
        <is>
          <t>WARREN CITY 4D</t>
        </is>
      </c>
      <c r="AP1466" t="inlineStr">
        <is>
          <t>78-P-ADL</t>
        </is>
      </c>
      <c r="AQ1466" t="n">
        <v>9</v>
      </c>
      <c r="AR1466" t="n">
        <v>64</v>
      </c>
      <c r="AS1466" t="n">
        <v>32</v>
      </c>
      <c r="AU1466">
        <f>COUNTA($BA$1466:$EH$1466)</f>
        <v/>
      </c>
      <c r="AV1466">
        <f>COUNTIF($BA$1466:$EH$1466,"D")</f>
        <v/>
      </c>
      <c r="AW1466">
        <f>COUNTIF($BA$1466:$EH$1466,"R")</f>
        <v/>
      </c>
      <c r="AX1466">
        <f>IF(BN1466="D",1,0)+IF(BO1466="D",1,0)+IF(BT1466="D",1,0)+IF(BU1466="D",1,0)+IF(BW1466="D",1,0)+IF(CC1466="D",1,0)+IF(CD1466="D",1,0)+IF(CE1466="D",1,0)+IF(CF1466="D",1,0)+IF(CL1466="D",1,0)+IF(CM1466="D",1,0)+IF(CQ1466="D",1,0)+IF(CR1466="D",1,0)+IF(CS1466="D",1,0)+IF(CW1466="D",1,0)+IF(CX1466="D",1,0)+IF(DD1466="D",1,0)+IF(DE1466="D",1,0)+IF(DJ1466="D",1,0)+IF(DK1466="D",1,0)+IF(DO1466="D",1,0)+IF(DP1466="D",1,0)+IF(DQ1466="D",1,0)+IF(DW1466="D",1,0)+IF(DZ1466="D",1,0)+IF(EH1466="D",1,0)</f>
        <v/>
      </c>
      <c r="AY1466">
        <f>IF(DJ1466&lt;&gt;"",1,0)+IF(DK1466&lt;&gt;"",1,0)+IF(DM1466&lt;&gt;"",1,0)+IF(DO1466&lt;&gt;"",1,0)+IF(DP1466&lt;&gt;"",1,0)+IF(DQ1466&lt;&gt;"",1,0)+IF(DS1466&lt;&gt;"",1,0)+IF(DT1466&lt;&gt;"",1,0)+IF(DV1466&lt;&gt;"",1,0)+IF(DW1466&lt;&gt;"",1,0)+IF(DX1466&lt;&gt;"",1,0)+IF(DY1466&lt;&gt;"",1,0)+IF(DZ1466&lt;&gt;"",1,0)+IF(EB1466&lt;&gt;"",1,0)+IF(EC1466&lt;&gt;"",1,0)+IF(ED1466&lt;&gt;"",1,0)+IF(EG1466&lt;&gt;"",1,0)+IF(EH1466&lt;&gt;"",1,0)</f>
        <v/>
      </c>
      <c r="AZ1466">
        <f>IF(EH1466&lt;&gt;"",1,0)</f>
        <v/>
      </c>
      <c r="BB1466" t="inlineStr">
        <is>
          <t>WARREN-WARD 4</t>
        </is>
      </c>
    </row>
    <row r="1467">
      <c r="A1467" t="inlineStr">
        <is>
          <t>OH0025221843</t>
        </is>
      </c>
      <c r="B1467" t="n">
        <v>78</v>
      </c>
      <c r="C1467" t="n">
        <v>441631</v>
      </c>
      <c r="D1467" t="inlineStr">
        <is>
          <t>EVANS</t>
        </is>
      </c>
      <c r="E1467" t="inlineStr">
        <is>
          <t>AMANDA</t>
        </is>
      </c>
      <c r="F1467">
        <f>CONCATENATE(D1467," ",LEFT(H1467,4),"T=",AU1467,"D=",AV1467,"R=",AW1467,"M=",AX1467,"L=",AY1467,"B=",AZ1467)</f>
        <v/>
      </c>
      <c r="G1467" t="inlineStr">
        <is>
          <t>R</t>
        </is>
      </c>
      <c r="I1467" t="inlineStr">
        <is>
          <t>1996-10-07</t>
        </is>
      </c>
      <c r="J1467" t="inlineStr">
        <is>
          <t>2019-09-20</t>
        </is>
      </c>
      <c r="K1467" t="inlineStr">
        <is>
          <t>CONFIRMATION</t>
        </is>
      </c>
      <c r="M1467" t="inlineStr">
        <is>
          <t>454 OLIVE AVE NE</t>
        </is>
      </c>
      <c r="N1467">
        <f>RIGHT(M1467,LEN(M1467)-FIND(" ",M1467))</f>
        <v/>
      </c>
      <c r="P1467" t="inlineStr">
        <is>
          <t>WARREN</t>
        </is>
      </c>
      <c r="Q1467" t="inlineStr">
        <is>
          <t>OH</t>
        </is>
      </c>
      <c r="R1467" t="n">
        <v>44483</v>
      </c>
      <c r="AD1467" t="inlineStr">
        <is>
          <t>TRUMBULL CAREER &amp; TECH CENTER</t>
        </is>
      </c>
      <c r="AE1467" t="inlineStr">
        <is>
          <t>WARREN CITY</t>
        </is>
      </c>
      <c r="AF1467" t="inlineStr">
        <is>
          <t>WARREN CITY SD</t>
        </is>
      </c>
      <c r="AH1467" t="n">
        <v>14</v>
      </c>
      <c r="AI1467" t="n">
        <v>11</v>
      </c>
      <c r="AN1467" t="inlineStr">
        <is>
          <t>WARREN</t>
        </is>
      </c>
      <c r="AO1467" t="inlineStr">
        <is>
          <t>WARREN CITY 4D</t>
        </is>
      </c>
      <c r="AP1467" t="inlineStr">
        <is>
          <t>78-P-ADL</t>
        </is>
      </c>
      <c r="AQ1467" t="n">
        <v>9</v>
      </c>
      <c r="AR1467" t="n">
        <v>64</v>
      </c>
      <c r="AS1467" t="n">
        <v>32</v>
      </c>
      <c r="AU1467">
        <f>COUNTA($BA$1467:$EH$1467)</f>
        <v/>
      </c>
      <c r="AV1467">
        <f>COUNTIF($BA$1467:$EH$1467,"D")</f>
        <v/>
      </c>
      <c r="AW1467">
        <f>COUNTIF($BA$1467:$EH$1467,"R")</f>
        <v/>
      </c>
      <c r="AX1467">
        <f>IF(BN1467="D",1,0)+IF(BO1467="D",1,0)+IF(BT1467="D",1,0)+IF(BU1467="D",1,0)+IF(BW1467="D",1,0)+IF(CC1467="D",1,0)+IF(CD1467="D",1,0)+IF(CE1467="D",1,0)+IF(CF1467="D",1,0)+IF(CL1467="D",1,0)+IF(CM1467="D",1,0)+IF(CQ1467="D",1,0)+IF(CR1467="D",1,0)+IF(CS1467="D",1,0)+IF(CW1467="D",1,0)+IF(CX1467="D",1,0)+IF(DD1467="D",1,0)+IF(DE1467="D",1,0)+IF(DJ1467="D",1,0)+IF(DK1467="D",1,0)+IF(DO1467="D",1,0)+IF(DP1467="D",1,0)+IF(DQ1467="D",1,0)+IF(DW1467="D",1,0)+IF(DZ1467="D",1,0)+IF(EH1467="D",1,0)</f>
        <v/>
      </c>
      <c r="AY1467">
        <f>IF(DJ1467&lt;&gt;"",1,0)+IF(DK1467&lt;&gt;"",1,0)+IF(DM1467&lt;&gt;"",1,0)+IF(DO1467&lt;&gt;"",1,0)+IF(DP1467&lt;&gt;"",1,0)+IF(DQ1467&lt;&gt;"",1,0)+IF(DS1467&lt;&gt;"",1,0)+IF(DT1467&lt;&gt;"",1,0)+IF(DV1467&lt;&gt;"",1,0)+IF(DW1467&lt;&gt;"",1,0)+IF(DX1467&lt;&gt;"",1,0)+IF(DY1467&lt;&gt;"",1,0)+IF(DZ1467&lt;&gt;"",1,0)+IF(EB1467&lt;&gt;"",1,0)+IF(EC1467&lt;&gt;"",1,0)+IF(ED1467&lt;&gt;"",1,0)+IF(EG1467&lt;&gt;"",1,0)+IF(EH1467&lt;&gt;"",1,0)</f>
        <v/>
      </c>
      <c r="AZ1467">
        <f>IF(EH1467&lt;&gt;"",1,0)</f>
        <v/>
      </c>
      <c r="BB1467" t="inlineStr">
        <is>
          <t>WARREN-WARD 4</t>
        </is>
      </c>
      <c r="CY1467" t="inlineStr">
        <is>
          <t>X</t>
        </is>
      </c>
      <c r="CZ1467" t="inlineStr">
        <is>
          <t>D</t>
        </is>
      </c>
    </row>
    <row r="1468">
      <c r="A1468" t="inlineStr">
        <is>
          <t>OH0027162106</t>
        </is>
      </c>
      <c r="B1468" t="n">
        <v>78</v>
      </c>
      <c r="C1468" t="n">
        <v>477961</v>
      </c>
      <c r="D1468" t="inlineStr">
        <is>
          <t>JARVIS</t>
        </is>
      </c>
      <c r="E1468" t="inlineStr">
        <is>
          <t>RICHARD</t>
        </is>
      </c>
      <c r="F1468">
        <f>CONCATENATE(D1468," ",LEFT(H1468,4),"T=",AU1468,"D=",AV1468,"R=",AW1468,"M=",AX1468,"L=",AY1468,"B=",AZ1468)</f>
        <v/>
      </c>
      <c r="G1468" t="inlineStr">
        <is>
          <t>PAUL</t>
        </is>
      </c>
      <c r="H1468" t="inlineStr">
        <is>
          <t>II</t>
        </is>
      </c>
      <c r="I1468" t="inlineStr">
        <is>
          <t>2005-05-03</t>
        </is>
      </c>
      <c r="J1468" t="inlineStr">
        <is>
          <t>2023-10-11</t>
        </is>
      </c>
      <c r="K1468" t="inlineStr">
        <is>
          <t>ACTIVE</t>
        </is>
      </c>
      <c r="M1468" t="inlineStr">
        <is>
          <t>141 LINDEN AVE SE</t>
        </is>
      </c>
      <c r="N1468">
        <f>RIGHT(M1468,LEN(M1468)-FIND(" ",M1468))</f>
        <v/>
      </c>
      <c r="P1468" t="inlineStr">
        <is>
          <t>WARREN</t>
        </is>
      </c>
      <c r="Q1468" t="inlineStr">
        <is>
          <t>OH</t>
        </is>
      </c>
      <c r="R1468" t="n">
        <v>44483</v>
      </c>
      <c r="AD1468" t="inlineStr">
        <is>
          <t>TRUMBULL CAREER &amp; TECH CENTER</t>
        </is>
      </c>
      <c r="AE1468" t="inlineStr">
        <is>
          <t>WARREN CITY</t>
        </is>
      </c>
      <c r="AF1468" t="inlineStr">
        <is>
          <t>WARREN CITY SD</t>
        </is>
      </c>
      <c r="AH1468" t="n">
        <v>14</v>
      </c>
      <c r="AI1468" t="n">
        <v>11</v>
      </c>
      <c r="AN1468" t="inlineStr">
        <is>
          <t>WARREN</t>
        </is>
      </c>
      <c r="AO1468" t="inlineStr">
        <is>
          <t>WARREN CITY 4D</t>
        </is>
      </c>
      <c r="AP1468" t="inlineStr">
        <is>
          <t>78-P-ADL</t>
        </is>
      </c>
      <c r="AQ1468" t="n">
        <v>9</v>
      </c>
      <c r="AR1468" t="n">
        <v>64</v>
      </c>
      <c r="AS1468" t="n">
        <v>32</v>
      </c>
      <c r="AU1468">
        <f>COUNTA($BA$1468:$EH$1468)</f>
        <v/>
      </c>
      <c r="AV1468">
        <f>COUNTIF($BA$1468:$EH$1468,"D")</f>
        <v/>
      </c>
      <c r="AW1468">
        <f>COUNTIF($BA$1468:$EH$1468,"R")</f>
        <v/>
      </c>
      <c r="AX1468">
        <f>IF(BN1468="D",1,0)+IF(BO1468="D",1,0)+IF(BT1468="D",1,0)+IF(BU1468="D",1,0)+IF(BW1468="D",1,0)+IF(CC1468="D",1,0)+IF(CD1468="D",1,0)+IF(CE1468="D",1,0)+IF(CF1468="D",1,0)+IF(CL1468="D",1,0)+IF(CM1468="D",1,0)+IF(CQ1468="D",1,0)+IF(CR1468="D",1,0)+IF(CS1468="D",1,0)+IF(CW1468="D",1,0)+IF(CX1468="D",1,0)+IF(DD1468="D",1,0)+IF(DE1468="D",1,0)+IF(DJ1468="D",1,0)+IF(DK1468="D",1,0)+IF(DO1468="D",1,0)+IF(DP1468="D",1,0)+IF(DQ1468="D",1,0)+IF(DW1468="D",1,0)+IF(DZ1468="D",1,0)+IF(EH1468="D",1,0)</f>
        <v/>
      </c>
      <c r="AY1468">
        <f>IF(DJ1468&lt;&gt;"",1,0)+IF(DK1468&lt;&gt;"",1,0)+IF(DM1468&lt;&gt;"",1,0)+IF(DO1468&lt;&gt;"",1,0)+IF(DP1468&lt;&gt;"",1,0)+IF(DQ1468&lt;&gt;"",1,0)+IF(DS1468&lt;&gt;"",1,0)+IF(DT1468&lt;&gt;"",1,0)+IF(DV1468&lt;&gt;"",1,0)+IF(DW1468&lt;&gt;"",1,0)+IF(DX1468&lt;&gt;"",1,0)+IF(DY1468&lt;&gt;"",1,0)+IF(DZ1468&lt;&gt;"",1,0)+IF(EB1468&lt;&gt;"",1,0)+IF(EC1468&lt;&gt;"",1,0)+IF(ED1468&lt;&gt;"",1,0)+IF(EG1468&lt;&gt;"",1,0)+IF(EH1468&lt;&gt;"",1,0)</f>
        <v/>
      </c>
      <c r="AZ1468">
        <f>IF(EH1468&lt;&gt;"",1,0)</f>
        <v/>
      </c>
      <c r="BB1468" t="inlineStr">
        <is>
          <t>WARREN-WARD 4</t>
        </is>
      </c>
    </row>
    <row r="1469">
      <c r="A1469" t="inlineStr">
        <is>
          <t>OH0026627392</t>
        </is>
      </c>
      <c r="B1469" t="n">
        <v>78</v>
      </c>
      <c r="C1469" t="n">
        <v>465266</v>
      </c>
      <c r="D1469" t="inlineStr">
        <is>
          <t>DOHERTY</t>
        </is>
      </c>
      <c r="E1469" t="inlineStr">
        <is>
          <t>TINA</t>
        </is>
      </c>
      <c r="F1469">
        <f>CONCATENATE(D1469," ",LEFT(H1469,4),"T=",AU1469,"D=",AV1469,"R=",AW1469,"M=",AX1469,"L=",AY1469,"B=",AZ1469)</f>
        <v/>
      </c>
      <c r="G1469" t="inlineStr">
        <is>
          <t>LOUISE</t>
        </is>
      </c>
      <c r="I1469" t="inlineStr">
        <is>
          <t>1968-07-22</t>
        </is>
      </c>
      <c r="J1469" t="inlineStr">
        <is>
          <t>2022-09-13</t>
        </is>
      </c>
      <c r="K1469" t="inlineStr">
        <is>
          <t>ACTIVE</t>
        </is>
      </c>
      <c r="L1469" t="inlineStr">
        <is>
          <t>D</t>
        </is>
      </c>
      <c r="M1469" t="inlineStr">
        <is>
          <t>200 WASHINGTON ST NE</t>
        </is>
      </c>
      <c r="N1469">
        <f>RIGHT(M1469,LEN(M1469)-FIND(" ",M1469))</f>
        <v/>
      </c>
      <c r="O1469" t="inlineStr">
        <is>
          <t>APT 26</t>
        </is>
      </c>
      <c r="P1469" t="inlineStr">
        <is>
          <t>WARREN</t>
        </is>
      </c>
      <c r="Q1469" t="inlineStr">
        <is>
          <t>OH</t>
        </is>
      </c>
      <c r="R1469" t="n">
        <v>44483</v>
      </c>
      <c r="AD1469" t="inlineStr">
        <is>
          <t>TRUMBULL CAREER &amp; TECH CENTER</t>
        </is>
      </c>
      <c r="AE1469" t="inlineStr">
        <is>
          <t>WARREN CITY</t>
        </is>
      </c>
      <c r="AF1469" t="inlineStr">
        <is>
          <t>WARREN CITY SD</t>
        </is>
      </c>
      <c r="AH1469" t="n">
        <v>14</v>
      </c>
      <c r="AI1469" t="n">
        <v>11</v>
      </c>
      <c r="AN1469" t="inlineStr">
        <is>
          <t>WARREN</t>
        </is>
      </c>
      <c r="AO1469" t="inlineStr">
        <is>
          <t>WARREN CITY 4D</t>
        </is>
      </c>
      <c r="AP1469" t="inlineStr">
        <is>
          <t>78-P-ADL</t>
        </is>
      </c>
      <c r="AQ1469" t="n">
        <v>9</v>
      </c>
      <c r="AR1469" t="n">
        <v>64</v>
      </c>
      <c r="AS1469" t="n">
        <v>32</v>
      </c>
      <c r="AU1469">
        <f>COUNTA($BA$1469:$EH$1469)</f>
        <v/>
      </c>
      <c r="AV1469">
        <f>COUNTIF($BA$1469:$EH$1469,"D")</f>
        <v/>
      </c>
      <c r="AW1469">
        <f>COUNTIF($BA$1469:$EH$1469,"R")</f>
        <v/>
      </c>
      <c r="AX1469">
        <f>IF(BN1469="D",1,0)+IF(BO1469="D",1,0)+IF(BT1469="D",1,0)+IF(BU1469="D",1,0)+IF(BW1469="D",1,0)+IF(CC1469="D",1,0)+IF(CD1469="D",1,0)+IF(CE1469="D",1,0)+IF(CF1469="D",1,0)+IF(CL1469="D",1,0)+IF(CM1469="D",1,0)+IF(CQ1469="D",1,0)+IF(CR1469="D",1,0)+IF(CS1469="D",1,0)+IF(CW1469="D",1,0)+IF(CX1469="D",1,0)+IF(DD1469="D",1,0)+IF(DE1469="D",1,0)+IF(DJ1469="D",1,0)+IF(DK1469="D",1,0)+IF(DO1469="D",1,0)+IF(DP1469="D",1,0)+IF(DQ1469="D",1,0)+IF(DW1469="D",1,0)+IF(DZ1469="D",1,0)+IF(EH1469="D",1,0)</f>
        <v/>
      </c>
      <c r="AY1469">
        <f>IF(DJ1469&lt;&gt;"",1,0)+IF(DK1469&lt;&gt;"",1,0)+IF(DM1469&lt;&gt;"",1,0)+IF(DO1469&lt;&gt;"",1,0)+IF(DP1469&lt;&gt;"",1,0)+IF(DQ1469&lt;&gt;"",1,0)+IF(DS1469&lt;&gt;"",1,0)+IF(DT1469&lt;&gt;"",1,0)+IF(DV1469&lt;&gt;"",1,0)+IF(DW1469&lt;&gt;"",1,0)+IF(DX1469&lt;&gt;"",1,0)+IF(DY1469&lt;&gt;"",1,0)+IF(DZ1469&lt;&gt;"",1,0)+IF(EB1469&lt;&gt;"",1,0)+IF(EC1469&lt;&gt;"",1,0)+IF(ED1469&lt;&gt;"",1,0)+IF(EG1469&lt;&gt;"",1,0)+IF(EH1469&lt;&gt;"",1,0)</f>
        <v/>
      </c>
      <c r="AZ1469">
        <f>IF(EH1469&lt;&gt;"",1,0)</f>
        <v/>
      </c>
      <c r="BB1469" t="inlineStr">
        <is>
          <t>WARREN-WARD 4</t>
        </is>
      </c>
      <c r="BC1469" t="inlineStr">
        <is>
          <t>X</t>
        </is>
      </c>
      <c r="BD1469" t="inlineStr">
        <is>
          <t>X</t>
        </is>
      </c>
      <c r="BF1469" t="inlineStr">
        <is>
          <t>X</t>
        </is>
      </c>
      <c r="BH1469" t="inlineStr">
        <is>
          <t>X</t>
        </is>
      </c>
      <c r="BI1469" t="inlineStr">
        <is>
          <t>X</t>
        </is>
      </c>
      <c r="BJ1469" t="inlineStr">
        <is>
          <t>X</t>
        </is>
      </c>
      <c r="BL1469" t="inlineStr">
        <is>
          <t>X</t>
        </is>
      </c>
      <c r="CA1469" t="inlineStr">
        <is>
          <t>X</t>
        </is>
      </c>
      <c r="CP1469" t="inlineStr">
        <is>
          <t>X</t>
        </is>
      </c>
      <c r="DC1469" t="inlineStr">
        <is>
          <t>X</t>
        </is>
      </c>
      <c r="DF1469" t="inlineStr">
        <is>
          <t>X</t>
        </is>
      </c>
      <c r="DG1469" t="inlineStr">
        <is>
          <t>D</t>
        </is>
      </c>
      <c r="DI1469" t="inlineStr">
        <is>
          <t>X</t>
        </is>
      </c>
      <c r="DU1469" t="inlineStr">
        <is>
          <t>X</t>
        </is>
      </c>
      <c r="DW1469" t="inlineStr">
        <is>
          <t>D</t>
        </is>
      </c>
      <c r="DX1469" t="inlineStr">
        <is>
          <t>X</t>
        </is>
      </c>
      <c r="EA1469" t="inlineStr">
        <is>
          <t>X</t>
        </is>
      </c>
      <c r="EF1469" t="inlineStr">
        <is>
          <t>X</t>
        </is>
      </c>
    </row>
    <row r="1470">
      <c r="A1470" t="inlineStr">
        <is>
          <t>OH0027100271</t>
        </is>
      </c>
      <c r="B1470" t="n">
        <v>78</v>
      </c>
      <c r="C1470" t="n">
        <v>476999</v>
      </c>
      <c r="D1470" t="inlineStr">
        <is>
          <t>CHATMAN</t>
        </is>
      </c>
      <c r="E1470" t="inlineStr">
        <is>
          <t>EMMA</t>
        </is>
      </c>
      <c r="F1470">
        <f>CONCATENATE(D1470," ",LEFT(H1470,4),"T=",AU1470,"D=",AV1470,"R=",AW1470,"M=",AX1470,"L=",AY1470,"B=",AZ1470)</f>
        <v/>
      </c>
      <c r="G1470" t="inlineStr">
        <is>
          <t>LEA</t>
        </is>
      </c>
      <c r="I1470" t="inlineStr">
        <is>
          <t>1977-05-20</t>
        </is>
      </c>
      <c r="J1470" t="inlineStr">
        <is>
          <t>2023-10-10</t>
        </is>
      </c>
      <c r="K1470" t="inlineStr">
        <is>
          <t>ACTIVE</t>
        </is>
      </c>
      <c r="L1470" t="inlineStr">
        <is>
          <t>D</t>
        </is>
      </c>
      <c r="M1470" t="inlineStr">
        <is>
          <t>633 FAIRFIELD AVE NE</t>
        </is>
      </c>
      <c r="N1470">
        <f>RIGHT(M1470,LEN(M1470)-FIND(" ",M1470))</f>
        <v/>
      </c>
      <c r="P1470" t="inlineStr">
        <is>
          <t>WARREN</t>
        </is>
      </c>
      <c r="Q1470" t="inlineStr">
        <is>
          <t>OH</t>
        </is>
      </c>
      <c r="R1470" t="n">
        <v>44483</v>
      </c>
      <c r="AD1470" t="inlineStr">
        <is>
          <t>TRUMBULL CAREER &amp; TECH CENTER</t>
        </is>
      </c>
      <c r="AE1470" t="inlineStr">
        <is>
          <t>WARREN CITY</t>
        </is>
      </c>
      <c r="AF1470" t="inlineStr">
        <is>
          <t>WARREN CITY SD</t>
        </is>
      </c>
      <c r="AH1470" t="n">
        <v>14</v>
      </c>
      <c r="AI1470" t="n">
        <v>11</v>
      </c>
      <c r="AN1470" t="inlineStr">
        <is>
          <t>WARREN</t>
        </is>
      </c>
      <c r="AO1470" t="inlineStr">
        <is>
          <t>WARREN CITY 4D</t>
        </is>
      </c>
      <c r="AP1470" t="inlineStr">
        <is>
          <t>78-P-ADL</t>
        </is>
      </c>
      <c r="AQ1470" t="n">
        <v>9</v>
      </c>
      <c r="AR1470" t="n">
        <v>64</v>
      </c>
      <c r="AS1470" t="n">
        <v>32</v>
      </c>
      <c r="AU1470">
        <f>COUNTA($BA$1470:$EH$1470)</f>
        <v/>
      </c>
      <c r="AV1470">
        <f>COUNTIF($BA$1470:$EH$1470,"D")</f>
        <v/>
      </c>
      <c r="AW1470">
        <f>COUNTIF($BA$1470:$EH$1470,"R")</f>
        <v/>
      </c>
      <c r="AX1470">
        <f>IF(BN1470="D",1,0)+IF(BO1470="D",1,0)+IF(BT1470="D",1,0)+IF(BU1470="D",1,0)+IF(BW1470="D",1,0)+IF(CC1470="D",1,0)+IF(CD1470="D",1,0)+IF(CE1470="D",1,0)+IF(CF1470="D",1,0)+IF(CL1470="D",1,0)+IF(CM1470="D",1,0)+IF(CQ1470="D",1,0)+IF(CR1470="D",1,0)+IF(CS1470="D",1,0)+IF(CW1470="D",1,0)+IF(CX1470="D",1,0)+IF(DD1470="D",1,0)+IF(DE1470="D",1,0)+IF(DJ1470="D",1,0)+IF(DK1470="D",1,0)+IF(DO1470="D",1,0)+IF(DP1470="D",1,0)+IF(DQ1470="D",1,0)+IF(DW1470="D",1,0)+IF(DZ1470="D",1,0)+IF(EH1470="D",1,0)</f>
        <v/>
      </c>
      <c r="AY1470">
        <f>IF(DJ1470&lt;&gt;"",1,0)+IF(DK1470&lt;&gt;"",1,0)+IF(DM1470&lt;&gt;"",1,0)+IF(DO1470&lt;&gt;"",1,0)+IF(DP1470&lt;&gt;"",1,0)+IF(DQ1470&lt;&gt;"",1,0)+IF(DS1470&lt;&gt;"",1,0)+IF(DT1470&lt;&gt;"",1,0)+IF(DV1470&lt;&gt;"",1,0)+IF(DW1470&lt;&gt;"",1,0)+IF(DX1470&lt;&gt;"",1,0)+IF(DY1470&lt;&gt;"",1,0)+IF(DZ1470&lt;&gt;"",1,0)+IF(EB1470&lt;&gt;"",1,0)+IF(EC1470&lt;&gt;"",1,0)+IF(ED1470&lt;&gt;"",1,0)+IF(EG1470&lt;&gt;"",1,0)+IF(EH1470&lt;&gt;"",1,0)</f>
        <v/>
      </c>
      <c r="AZ1470">
        <f>IF(EH1470&lt;&gt;"",1,0)</f>
        <v/>
      </c>
      <c r="BB1470" t="inlineStr">
        <is>
          <t>WARREN-WARD 4</t>
        </is>
      </c>
      <c r="BL1470" t="inlineStr">
        <is>
          <t>X</t>
        </is>
      </c>
      <c r="CY1470" t="inlineStr">
        <is>
          <t>X</t>
        </is>
      </c>
      <c r="CZ1470" t="inlineStr">
        <is>
          <t>D</t>
        </is>
      </c>
      <c r="DC1470" t="inlineStr">
        <is>
          <t>X</t>
        </is>
      </c>
      <c r="EA1470" t="inlineStr">
        <is>
          <t>X</t>
        </is>
      </c>
      <c r="ED1470" t="inlineStr">
        <is>
          <t>D</t>
        </is>
      </c>
      <c r="EF1470" t="inlineStr">
        <is>
          <t>X</t>
        </is>
      </c>
    </row>
    <row r="1471">
      <c r="A1471" t="inlineStr">
        <is>
          <t>OH0015711525</t>
        </is>
      </c>
      <c r="B1471" t="n">
        <v>78</v>
      </c>
      <c r="C1471" t="n">
        <v>180552</v>
      </c>
      <c r="D1471" t="inlineStr">
        <is>
          <t>LOOMIS</t>
        </is>
      </c>
      <c r="E1471" t="inlineStr">
        <is>
          <t>BARBARA</t>
        </is>
      </c>
      <c r="F1471">
        <f>CONCATENATE(D1471," ",LEFT(H1471,4),"T=",AU1471,"D=",AV1471,"R=",AW1471,"M=",AX1471,"L=",AY1471,"B=",AZ1471)</f>
        <v/>
      </c>
      <c r="G1471" t="inlineStr">
        <is>
          <t>ANN</t>
        </is>
      </c>
      <c r="I1471" t="inlineStr">
        <is>
          <t>1951-07-20</t>
        </is>
      </c>
      <c r="J1471" t="inlineStr">
        <is>
          <t>1984-10-09</t>
        </is>
      </c>
      <c r="K1471" t="inlineStr">
        <is>
          <t>ACTIVE</t>
        </is>
      </c>
      <c r="M1471" t="inlineStr">
        <is>
          <t>1044 HARRISON ST NE</t>
        </is>
      </c>
      <c r="N1471">
        <f>RIGHT(M1471,LEN(M1471)-FIND(" ",M1471))</f>
        <v/>
      </c>
      <c r="P1471" t="inlineStr">
        <is>
          <t>WARREN</t>
        </is>
      </c>
      <c r="Q1471" t="inlineStr">
        <is>
          <t>OH</t>
        </is>
      </c>
      <c r="R1471" t="n">
        <v>44483</v>
      </c>
      <c r="AD1471" t="inlineStr">
        <is>
          <t>TRUMBULL CAREER &amp; TECH CENTER</t>
        </is>
      </c>
      <c r="AE1471" t="inlineStr">
        <is>
          <t>WARREN CITY</t>
        </is>
      </c>
      <c r="AF1471" t="inlineStr">
        <is>
          <t>WARREN CITY SD</t>
        </is>
      </c>
      <c r="AH1471" t="n">
        <v>14</v>
      </c>
      <c r="AI1471" t="n">
        <v>11</v>
      </c>
      <c r="AN1471" t="inlineStr">
        <is>
          <t>WARREN</t>
        </is>
      </c>
      <c r="AO1471" t="inlineStr">
        <is>
          <t>WARREN CITY 4D</t>
        </is>
      </c>
      <c r="AP1471" t="inlineStr">
        <is>
          <t>78-P-ADL</t>
        </is>
      </c>
      <c r="AQ1471" t="n">
        <v>9</v>
      </c>
      <c r="AR1471" t="n">
        <v>64</v>
      </c>
      <c r="AS1471" t="n">
        <v>32</v>
      </c>
      <c r="AU1471">
        <f>COUNTA($BA$1471:$EH$1471)</f>
        <v/>
      </c>
      <c r="AV1471">
        <f>COUNTIF($BA$1471:$EH$1471,"D")</f>
        <v/>
      </c>
      <c r="AW1471">
        <f>COUNTIF($BA$1471:$EH$1471,"R")</f>
        <v/>
      </c>
      <c r="AX1471">
        <f>IF(BN1471="D",1,0)+IF(BO1471="D",1,0)+IF(BT1471="D",1,0)+IF(BU1471="D",1,0)+IF(BW1471="D",1,0)+IF(CC1471="D",1,0)+IF(CD1471="D",1,0)+IF(CE1471="D",1,0)+IF(CF1471="D",1,0)+IF(CL1471="D",1,0)+IF(CM1471="D",1,0)+IF(CQ1471="D",1,0)+IF(CR1471="D",1,0)+IF(CS1471="D",1,0)+IF(CW1471="D",1,0)+IF(CX1471="D",1,0)+IF(DD1471="D",1,0)+IF(DE1471="D",1,0)+IF(DJ1471="D",1,0)+IF(DK1471="D",1,0)+IF(DO1471="D",1,0)+IF(DP1471="D",1,0)+IF(DQ1471="D",1,0)+IF(DW1471="D",1,0)+IF(DZ1471="D",1,0)+IF(EH1471="D",1,0)</f>
        <v/>
      </c>
      <c r="AY1471">
        <f>IF(DJ1471&lt;&gt;"",1,0)+IF(DK1471&lt;&gt;"",1,0)+IF(DM1471&lt;&gt;"",1,0)+IF(DO1471&lt;&gt;"",1,0)+IF(DP1471&lt;&gt;"",1,0)+IF(DQ1471&lt;&gt;"",1,0)+IF(DS1471&lt;&gt;"",1,0)+IF(DT1471&lt;&gt;"",1,0)+IF(DV1471&lt;&gt;"",1,0)+IF(DW1471&lt;&gt;"",1,0)+IF(DX1471&lt;&gt;"",1,0)+IF(DY1471&lt;&gt;"",1,0)+IF(DZ1471&lt;&gt;"",1,0)+IF(EB1471&lt;&gt;"",1,0)+IF(EC1471&lt;&gt;"",1,0)+IF(ED1471&lt;&gt;"",1,0)+IF(EG1471&lt;&gt;"",1,0)+IF(EH1471&lt;&gt;"",1,0)</f>
        <v/>
      </c>
      <c r="AZ1471">
        <f>IF(EH1471&lt;&gt;"",1,0)</f>
        <v/>
      </c>
      <c r="BB1471" t="inlineStr">
        <is>
          <t>WARREN-WARD 4</t>
        </is>
      </c>
      <c r="BC1471" t="inlineStr">
        <is>
          <t>X</t>
        </is>
      </c>
      <c r="BD1471" t="inlineStr">
        <is>
          <t>X</t>
        </is>
      </c>
      <c r="BE1471" t="inlineStr">
        <is>
          <t>X</t>
        </is>
      </c>
      <c r="BF1471" t="inlineStr">
        <is>
          <t>X</t>
        </is>
      </c>
      <c r="BH1471" t="inlineStr">
        <is>
          <t>X</t>
        </is>
      </c>
      <c r="BI1471" t="inlineStr">
        <is>
          <t>X</t>
        </is>
      </c>
      <c r="BL1471" t="inlineStr">
        <is>
          <t>X</t>
        </is>
      </c>
      <c r="BR1471" t="inlineStr">
        <is>
          <t>X</t>
        </is>
      </c>
      <c r="BS1471" t="inlineStr">
        <is>
          <t>X</t>
        </is>
      </c>
      <c r="BT1471" t="inlineStr">
        <is>
          <t>X</t>
        </is>
      </c>
      <c r="BV1471" t="inlineStr">
        <is>
          <t>X</t>
        </is>
      </c>
      <c r="BY1471" t="inlineStr">
        <is>
          <t>D</t>
        </is>
      </c>
      <c r="CA1471" t="inlineStr">
        <is>
          <t>X</t>
        </is>
      </c>
      <c r="CG1471" t="inlineStr">
        <is>
          <t>X</t>
        </is>
      </c>
      <c r="CH1471" t="inlineStr">
        <is>
          <t>D</t>
        </is>
      </c>
      <c r="CK1471" t="inlineStr">
        <is>
          <t>X</t>
        </is>
      </c>
      <c r="CL1471" t="inlineStr">
        <is>
          <t>D</t>
        </is>
      </c>
      <c r="CN1471" t="inlineStr">
        <is>
          <t>X</t>
        </is>
      </c>
      <c r="CO1471" t="inlineStr">
        <is>
          <t>D</t>
        </is>
      </c>
      <c r="CP1471" t="inlineStr">
        <is>
          <t>X</t>
        </is>
      </c>
      <c r="CU1471" t="inlineStr">
        <is>
          <t>D</t>
        </is>
      </c>
      <c r="CV1471" t="inlineStr">
        <is>
          <t>X</t>
        </is>
      </c>
      <c r="CZ1471" t="inlineStr">
        <is>
          <t>D</t>
        </is>
      </c>
      <c r="DC1471" t="inlineStr">
        <is>
          <t>X</t>
        </is>
      </c>
      <c r="DI1471" t="inlineStr">
        <is>
          <t>X</t>
        </is>
      </c>
      <c r="DM1471" t="inlineStr">
        <is>
          <t>D</t>
        </is>
      </c>
      <c r="DN1471" t="inlineStr">
        <is>
          <t>X</t>
        </is>
      </c>
      <c r="DU1471" t="inlineStr">
        <is>
          <t>X</t>
        </is>
      </c>
      <c r="EF1471" t="inlineStr">
        <is>
          <t>X</t>
        </is>
      </c>
    </row>
    <row r="1472">
      <c r="A1472" t="inlineStr">
        <is>
          <t>OH0023357460</t>
        </is>
      </c>
      <c r="B1472" t="n">
        <v>78</v>
      </c>
      <c r="C1472" t="n">
        <v>411232</v>
      </c>
      <c r="D1472" t="inlineStr">
        <is>
          <t>BOTTEN</t>
        </is>
      </c>
      <c r="E1472" t="inlineStr">
        <is>
          <t>SNOOPI</t>
        </is>
      </c>
      <c r="F1472">
        <f>CONCATENATE(D1472," ",LEFT(H1472,4),"T=",AU1472,"D=",AV1472,"R=",AW1472,"M=",AX1472,"L=",AY1472,"B=",AZ1472)</f>
        <v/>
      </c>
      <c r="G1472" t="inlineStr">
        <is>
          <t>JIM</t>
        </is>
      </c>
      <c r="I1472" t="inlineStr">
        <is>
          <t>1964-12-11</t>
        </is>
      </c>
      <c r="J1472" t="inlineStr">
        <is>
          <t>2020-08-07</t>
        </is>
      </c>
      <c r="K1472" t="inlineStr">
        <is>
          <t>CONFIRMATION</t>
        </is>
      </c>
      <c r="M1472" t="inlineStr">
        <is>
          <t>200 WASHINGTON ST NE</t>
        </is>
      </c>
      <c r="N1472">
        <f>RIGHT(M1472,LEN(M1472)-FIND(" ",M1472))</f>
        <v/>
      </c>
      <c r="O1472" t="inlineStr">
        <is>
          <t>APT 5</t>
        </is>
      </c>
      <c r="P1472" t="inlineStr">
        <is>
          <t>WARREN</t>
        </is>
      </c>
      <c r="Q1472" t="inlineStr">
        <is>
          <t>OH</t>
        </is>
      </c>
      <c r="R1472" t="n">
        <v>44483</v>
      </c>
      <c r="AD1472" t="inlineStr">
        <is>
          <t>TRUMBULL CAREER &amp; TECH CENTER</t>
        </is>
      </c>
      <c r="AE1472" t="inlineStr">
        <is>
          <t>WARREN CITY</t>
        </is>
      </c>
      <c r="AF1472" t="inlineStr">
        <is>
          <t>WARREN CITY SD</t>
        </is>
      </c>
      <c r="AH1472" t="n">
        <v>14</v>
      </c>
      <c r="AI1472" t="n">
        <v>11</v>
      </c>
      <c r="AN1472" t="inlineStr">
        <is>
          <t>WARREN</t>
        </is>
      </c>
      <c r="AO1472" t="inlineStr">
        <is>
          <t>WARREN CITY 4D</t>
        </is>
      </c>
      <c r="AP1472" t="inlineStr">
        <is>
          <t>78-P-ADL</t>
        </is>
      </c>
      <c r="AQ1472" t="n">
        <v>9</v>
      </c>
      <c r="AR1472" t="n">
        <v>64</v>
      </c>
      <c r="AS1472" t="n">
        <v>32</v>
      </c>
      <c r="AU1472">
        <f>COUNTA($BA$1472:$EH$1472)</f>
        <v/>
      </c>
      <c r="AV1472">
        <f>COUNTIF($BA$1472:$EH$1472,"D")</f>
        <v/>
      </c>
      <c r="AW1472">
        <f>COUNTIF($BA$1472:$EH$1472,"R")</f>
        <v/>
      </c>
      <c r="AX1472">
        <f>IF(BN1472="D",1,0)+IF(BO1472="D",1,0)+IF(BT1472="D",1,0)+IF(BU1472="D",1,0)+IF(BW1472="D",1,0)+IF(CC1472="D",1,0)+IF(CD1472="D",1,0)+IF(CE1472="D",1,0)+IF(CF1472="D",1,0)+IF(CL1472="D",1,0)+IF(CM1472="D",1,0)+IF(CQ1472="D",1,0)+IF(CR1472="D",1,0)+IF(CS1472="D",1,0)+IF(CW1472="D",1,0)+IF(CX1472="D",1,0)+IF(DD1472="D",1,0)+IF(DE1472="D",1,0)+IF(DJ1472="D",1,0)+IF(DK1472="D",1,0)+IF(DO1472="D",1,0)+IF(DP1472="D",1,0)+IF(DQ1472="D",1,0)+IF(DW1472="D",1,0)+IF(DZ1472="D",1,0)+IF(EH1472="D",1,0)</f>
        <v/>
      </c>
      <c r="AY1472">
        <f>IF(DJ1472&lt;&gt;"",1,0)+IF(DK1472&lt;&gt;"",1,0)+IF(DM1472&lt;&gt;"",1,0)+IF(DO1472&lt;&gt;"",1,0)+IF(DP1472&lt;&gt;"",1,0)+IF(DQ1472&lt;&gt;"",1,0)+IF(DS1472&lt;&gt;"",1,0)+IF(DT1472&lt;&gt;"",1,0)+IF(DV1472&lt;&gt;"",1,0)+IF(DW1472&lt;&gt;"",1,0)+IF(DX1472&lt;&gt;"",1,0)+IF(DY1472&lt;&gt;"",1,0)+IF(DZ1472&lt;&gt;"",1,0)+IF(EB1472&lt;&gt;"",1,0)+IF(EC1472&lt;&gt;"",1,0)+IF(ED1472&lt;&gt;"",1,0)+IF(EG1472&lt;&gt;"",1,0)+IF(EH1472&lt;&gt;"",1,0)</f>
        <v/>
      </c>
      <c r="AZ1472">
        <f>IF(EH1472&lt;&gt;"",1,0)</f>
        <v/>
      </c>
      <c r="BB1472" t="inlineStr">
        <is>
          <t>WARREN-WARD 4</t>
        </is>
      </c>
      <c r="BL1472" t="inlineStr">
        <is>
          <t>X</t>
        </is>
      </c>
    </row>
    <row r="1473">
      <c r="A1473" t="inlineStr">
        <is>
          <t>OH0015683592</t>
        </is>
      </c>
      <c r="B1473" t="n">
        <v>78</v>
      </c>
      <c r="C1473" t="n">
        <v>293830</v>
      </c>
      <c r="D1473" t="inlineStr">
        <is>
          <t>WALLACE</t>
        </is>
      </c>
      <c r="E1473" t="inlineStr">
        <is>
          <t>RICKEY</t>
        </is>
      </c>
      <c r="F1473">
        <f>CONCATENATE(D1473," ",LEFT(H1473,4),"T=",AU1473,"D=",AV1473,"R=",AW1473,"M=",AX1473,"L=",AY1473,"B=",AZ1473)</f>
        <v/>
      </c>
      <c r="I1473" t="inlineStr">
        <is>
          <t>1961-10-27</t>
        </is>
      </c>
      <c r="J1473" t="inlineStr">
        <is>
          <t>2020-10-19</t>
        </is>
      </c>
      <c r="K1473" t="inlineStr">
        <is>
          <t>ACTIVE</t>
        </is>
      </c>
      <c r="L1473" t="inlineStr">
        <is>
          <t>D</t>
        </is>
      </c>
      <c r="M1473" t="inlineStr">
        <is>
          <t>1024 HARRISON ST NE</t>
        </is>
      </c>
      <c r="N1473">
        <f>RIGHT(M1473,LEN(M1473)-FIND(" ",M1473))</f>
        <v/>
      </c>
      <c r="P1473" t="inlineStr">
        <is>
          <t>WARREN</t>
        </is>
      </c>
      <c r="Q1473" t="inlineStr">
        <is>
          <t>OH</t>
        </is>
      </c>
      <c r="R1473" t="n">
        <v>44483</v>
      </c>
      <c r="AD1473" t="inlineStr">
        <is>
          <t>TRUMBULL CAREER &amp; TECH CENTER</t>
        </is>
      </c>
      <c r="AE1473" t="inlineStr">
        <is>
          <t>WARREN CITY</t>
        </is>
      </c>
      <c r="AF1473" t="inlineStr">
        <is>
          <t>WARREN CITY SD</t>
        </is>
      </c>
      <c r="AH1473" t="n">
        <v>14</v>
      </c>
      <c r="AI1473" t="n">
        <v>11</v>
      </c>
      <c r="AN1473" t="inlineStr">
        <is>
          <t>WARREN</t>
        </is>
      </c>
      <c r="AO1473" t="inlineStr">
        <is>
          <t>WARREN CITY 4D</t>
        </is>
      </c>
      <c r="AP1473" t="inlineStr">
        <is>
          <t>78-P-ADL</t>
        </is>
      </c>
      <c r="AQ1473" t="n">
        <v>9</v>
      </c>
      <c r="AR1473" t="n">
        <v>64</v>
      </c>
      <c r="AS1473" t="n">
        <v>32</v>
      </c>
      <c r="AU1473">
        <f>COUNTA($BA$1473:$EH$1473)</f>
        <v/>
      </c>
      <c r="AV1473">
        <f>COUNTIF($BA$1473:$EH$1473,"D")</f>
        <v/>
      </c>
      <c r="AW1473">
        <f>COUNTIF($BA$1473:$EH$1473,"R")</f>
        <v/>
      </c>
      <c r="AX1473">
        <f>IF(BN1473="D",1,0)+IF(BO1473="D",1,0)+IF(BT1473="D",1,0)+IF(BU1473="D",1,0)+IF(BW1473="D",1,0)+IF(CC1473="D",1,0)+IF(CD1473="D",1,0)+IF(CE1473="D",1,0)+IF(CF1473="D",1,0)+IF(CL1473="D",1,0)+IF(CM1473="D",1,0)+IF(CQ1473="D",1,0)+IF(CR1473="D",1,0)+IF(CS1473="D",1,0)+IF(CW1473="D",1,0)+IF(CX1473="D",1,0)+IF(DD1473="D",1,0)+IF(DE1473="D",1,0)+IF(DJ1473="D",1,0)+IF(DK1473="D",1,0)+IF(DO1473="D",1,0)+IF(DP1473="D",1,0)+IF(DQ1473="D",1,0)+IF(DW1473="D",1,0)+IF(DZ1473="D",1,0)+IF(EH1473="D",1,0)</f>
        <v/>
      </c>
      <c r="AY1473">
        <f>IF(DJ1473&lt;&gt;"",1,0)+IF(DK1473&lt;&gt;"",1,0)+IF(DM1473&lt;&gt;"",1,0)+IF(DO1473&lt;&gt;"",1,0)+IF(DP1473&lt;&gt;"",1,0)+IF(DQ1473&lt;&gt;"",1,0)+IF(DS1473&lt;&gt;"",1,0)+IF(DT1473&lt;&gt;"",1,0)+IF(DV1473&lt;&gt;"",1,0)+IF(DW1473&lt;&gt;"",1,0)+IF(DX1473&lt;&gt;"",1,0)+IF(DY1473&lt;&gt;"",1,0)+IF(DZ1473&lt;&gt;"",1,0)+IF(EB1473&lt;&gt;"",1,0)+IF(EC1473&lt;&gt;"",1,0)+IF(ED1473&lt;&gt;"",1,0)+IF(EG1473&lt;&gt;"",1,0)+IF(EH1473&lt;&gt;"",1,0)</f>
        <v/>
      </c>
      <c r="AZ1473">
        <f>IF(EH1473&lt;&gt;"",1,0)</f>
        <v/>
      </c>
      <c r="BB1473" t="inlineStr">
        <is>
          <t>WARREN-WARD 4</t>
        </is>
      </c>
      <c r="BD1473" t="inlineStr">
        <is>
          <t>X</t>
        </is>
      </c>
      <c r="BK1473" t="inlineStr">
        <is>
          <t>X</t>
        </is>
      </c>
      <c r="BL1473" t="inlineStr">
        <is>
          <t>X</t>
        </is>
      </c>
      <c r="CA1473" t="inlineStr">
        <is>
          <t>X</t>
        </is>
      </c>
      <c r="CG1473" t="inlineStr">
        <is>
          <t>X</t>
        </is>
      </c>
      <c r="CK1473" t="inlineStr">
        <is>
          <t>X</t>
        </is>
      </c>
      <c r="CL1473" t="inlineStr">
        <is>
          <t>D</t>
        </is>
      </c>
      <c r="CN1473" t="inlineStr">
        <is>
          <t>X</t>
        </is>
      </c>
      <c r="CP1473" t="inlineStr">
        <is>
          <t>X</t>
        </is>
      </c>
      <c r="CV1473" t="inlineStr">
        <is>
          <t>X</t>
        </is>
      </c>
      <c r="CY1473" t="inlineStr">
        <is>
          <t>X</t>
        </is>
      </c>
      <c r="CZ1473" t="inlineStr">
        <is>
          <t>D</t>
        </is>
      </c>
      <c r="DC1473" t="inlineStr">
        <is>
          <t>X</t>
        </is>
      </c>
      <c r="DD1473" t="inlineStr">
        <is>
          <t>D</t>
        </is>
      </c>
      <c r="DF1473" t="inlineStr">
        <is>
          <t>X</t>
        </is>
      </c>
      <c r="DI1473" t="inlineStr">
        <is>
          <t>X</t>
        </is>
      </c>
      <c r="DL1473" t="inlineStr">
        <is>
          <t>X</t>
        </is>
      </c>
      <c r="DM1473" t="inlineStr">
        <is>
          <t>D</t>
        </is>
      </c>
      <c r="DN1473" t="inlineStr">
        <is>
          <t>X</t>
        </is>
      </c>
      <c r="DR1473" t="inlineStr">
        <is>
          <t>X</t>
        </is>
      </c>
      <c r="DS1473" t="inlineStr">
        <is>
          <t>D</t>
        </is>
      </c>
      <c r="DU1473" t="inlineStr">
        <is>
          <t>X</t>
        </is>
      </c>
      <c r="DW1473" t="inlineStr">
        <is>
          <t>D</t>
        </is>
      </c>
      <c r="EA1473" t="inlineStr">
        <is>
          <t>X</t>
        </is>
      </c>
      <c r="EF1473" t="inlineStr">
        <is>
          <t>X</t>
        </is>
      </c>
    </row>
    <row r="1474">
      <c r="A1474" t="inlineStr">
        <is>
          <t>OH0015709937</t>
        </is>
      </c>
      <c r="B1474" t="n">
        <v>78</v>
      </c>
      <c r="C1474" t="n">
        <v>176448</v>
      </c>
      <c r="D1474" t="inlineStr">
        <is>
          <t>RAMEY</t>
        </is>
      </c>
      <c r="E1474" t="inlineStr">
        <is>
          <t>MARGARET</t>
        </is>
      </c>
      <c r="F1474">
        <f>CONCATENATE(D1474," ",LEFT(H1474,4),"T=",AU1474,"D=",AV1474,"R=",AW1474,"M=",AX1474,"L=",AY1474,"B=",AZ1474)</f>
        <v/>
      </c>
      <c r="G1474" t="inlineStr">
        <is>
          <t>L</t>
        </is>
      </c>
      <c r="I1474" t="inlineStr">
        <is>
          <t>1949-05-10</t>
        </is>
      </c>
      <c r="J1474" t="inlineStr">
        <is>
          <t>1984-10-09</t>
        </is>
      </c>
      <c r="K1474" t="inlineStr">
        <is>
          <t>ACTIVE</t>
        </is>
      </c>
      <c r="L1474" t="inlineStr">
        <is>
          <t>D</t>
        </is>
      </c>
      <c r="M1474" t="inlineStr">
        <is>
          <t>348 WASHINGTON ST NE</t>
        </is>
      </c>
      <c r="N1474">
        <f>RIGHT(M1474,LEN(M1474)-FIND(" ",M1474))</f>
        <v/>
      </c>
      <c r="P1474" t="inlineStr">
        <is>
          <t>WARREN</t>
        </is>
      </c>
      <c r="Q1474" t="inlineStr">
        <is>
          <t>OH</t>
        </is>
      </c>
      <c r="R1474" t="n">
        <v>44483</v>
      </c>
      <c r="AD1474" t="inlineStr">
        <is>
          <t>TRUMBULL CAREER &amp; TECH CENTER</t>
        </is>
      </c>
      <c r="AE1474" t="inlineStr">
        <is>
          <t>WARREN CITY</t>
        </is>
      </c>
      <c r="AF1474" t="inlineStr">
        <is>
          <t>WARREN CITY SD</t>
        </is>
      </c>
      <c r="AH1474" t="n">
        <v>14</v>
      </c>
      <c r="AI1474" t="n">
        <v>11</v>
      </c>
      <c r="AN1474" t="inlineStr">
        <is>
          <t>WARREN</t>
        </is>
      </c>
      <c r="AO1474" t="inlineStr">
        <is>
          <t>WARREN CITY 4D</t>
        </is>
      </c>
      <c r="AP1474" t="inlineStr">
        <is>
          <t>78-P-ADL</t>
        </is>
      </c>
      <c r="AQ1474" t="n">
        <v>9</v>
      </c>
      <c r="AR1474" t="n">
        <v>64</v>
      </c>
      <c r="AS1474" t="n">
        <v>32</v>
      </c>
      <c r="AU1474">
        <f>COUNTA($BA$1474:$EH$1474)</f>
        <v/>
      </c>
      <c r="AV1474">
        <f>COUNTIF($BA$1474:$EH$1474,"D")</f>
        <v/>
      </c>
      <c r="AW1474">
        <f>COUNTIF($BA$1474:$EH$1474,"R")</f>
        <v/>
      </c>
      <c r="AX1474">
        <f>IF(BN1474="D",1,0)+IF(BO1474="D",1,0)+IF(BT1474="D",1,0)+IF(BU1474="D",1,0)+IF(BW1474="D",1,0)+IF(CC1474="D",1,0)+IF(CD1474="D",1,0)+IF(CE1474="D",1,0)+IF(CF1474="D",1,0)+IF(CL1474="D",1,0)+IF(CM1474="D",1,0)+IF(CQ1474="D",1,0)+IF(CR1474="D",1,0)+IF(CS1474="D",1,0)+IF(CW1474="D",1,0)+IF(CX1474="D",1,0)+IF(DD1474="D",1,0)+IF(DE1474="D",1,0)+IF(DJ1474="D",1,0)+IF(DK1474="D",1,0)+IF(DO1474="D",1,0)+IF(DP1474="D",1,0)+IF(DQ1474="D",1,0)+IF(DW1474="D",1,0)+IF(DZ1474="D",1,0)+IF(EH1474="D",1,0)</f>
        <v/>
      </c>
      <c r="AY1474">
        <f>IF(DJ1474&lt;&gt;"",1,0)+IF(DK1474&lt;&gt;"",1,0)+IF(DM1474&lt;&gt;"",1,0)+IF(DO1474&lt;&gt;"",1,0)+IF(DP1474&lt;&gt;"",1,0)+IF(DQ1474&lt;&gt;"",1,0)+IF(DS1474&lt;&gt;"",1,0)+IF(DT1474&lt;&gt;"",1,0)+IF(DV1474&lt;&gt;"",1,0)+IF(DW1474&lt;&gt;"",1,0)+IF(DX1474&lt;&gt;"",1,0)+IF(DY1474&lt;&gt;"",1,0)+IF(DZ1474&lt;&gt;"",1,0)+IF(EB1474&lt;&gt;"",1,0)+IF(EC1474&lt;&gt;"",1,0)+IF(ED1474&lt;&gt;"",1,0)+IF(EG1474&lt;&gt;"",1,0)+IF(EH1474&lt;&gt;"",1,0)</f>
        <v/>
      </c>
      <c r="AZ1474">
        <f>IF(EH1474&lt;&gt;"",1,0)</f>
        <v/>
      </c>
      <c r="BB1474" t="inlineStr">
        <is>
          <t>WARREN-WARD 4</t>
        </is>
      </c>
      <c r="BC1474" t="inlineStr">
        <is>
          <t>X</t>
        </is>
      </c>
      <c r="BD1474" t="inlineStr">
        <is>
          <t>X</t>
        </is>
      </c>
      <c r="BE1474" t="inlineStr">
        <is>
          <t>X</t>
        </is>
      </c>
      <c r="BF1474" t="inlineStr">
        <is>
          <t>X</t>
        </is>
      </c>
      <c r="BG1474" t="inlineStr">
        <is>
          <t>X</t>
        </is>
      </c>
      <c r="BH1474" t="inlineStr">
        <is>
          <t>X</t>
        </is>
      </c>
      <c r="BI1474" t="inlineStr">
        <is>
          <t>X</t>
        </is>
      </c>
      <c r="BJ1474" t="inlineStr">
        <is>
          <t>X</t>
        </is>
      </c>
      <c r="BK1474" t="inlineStr">
        <is>
          <t>X</t>
        </is>
      </c>
      <c r="BL1474" t="inlineStr">
        <is>
          <t>X</t>
        </is>
      </c>
      <c r="BP1474" t="inlineStr">
        <is>
          <t>X</t>
        </is>
      </c>
      <c r="BR1474" t="inlineStr">
        <is>
          <t>X</t>
        </is>
      </c>
      <c r="BS1474" t="inlineStr">
        <is>
          <t>X</t>
        </is>
      </c>
      <c r="BT1474" t="inlineStr">
        <is>
          <t>X</t>
        </is>
      </c>
      <c r="BV1474" t="inlineStr">
        <is>
          <t>X</t>
        </is>
      </c>
      <c r="BY1474" t="inlineStr">
        <is>
          <t>D</t>
        </is>
      </c>
      <c r="CA1474" t="inlineStr">
        <is>
          <t>X</t>
        </is>
      </c>
      <c r="CC1474" t="inlineStr">
        <is>
          <t>D</t>
        </is>
      </c>
      <c r="CG1474" t="inlineStr">
        <is>
          <t>X</t>
        </is>
      </c>
      <c r="CH1474" t="inlineStr">
        <is>
          <t>D</t>
        </is>
      </c>
      <c r="CK1474" t="inlineStr">
        <is>
          <t>X</t>
        </is>
      </c>
      <c r="CL1474" t="inlineStr">
        <is>
          <t>D</t>
        </is>
      </c>
      <c r="CN1474" t="inlineStr">
        <is>
          <t>X</t>
        </is>
      </c>
      <c r="CO1474" t="inlineStr">
        <is>
          <t>D</t>
        </is>
      </c>
      <c r="CP1474" t="inlineStr">
        <is>
          <t>X</t>
        </is>
      </c>
      <c r="CQ1474" t="inlineStr">
        <is>
          <t>D</t>
        </is>
      </c>
      <c r="CT1474" t="inlineStr">
        <is>
          <t>X</t>
        </is>
      </c>
      <c r="CU1474" t="inlineStr">
        <is>
          <t>D</t>
        </is>
      </c>
      <c r="CV1474" t="inlineStr">
        <is>
          <t>X</t>
        </is>
      </c>
      <c r="CW1474" t="inlineStr">
        <is>
          <t>D</t>
        </is>
      </c>
      <c r="CY1474" t="inlineStr">
        <is>
          <t>X</t>
        </is>
      </c>
      <c r="CZ1474" t="inlineStr">
        <is>
          <t>D</t>
        </is>
      </c>
      <c r="DC1474" t="inlineStr">
        <is>
          <t>X</t>
        </is>
      </c>
      <c r="DD1474" t="inlineStr">
        <is>
          <t>D</t>
        </is>
      </c>
      <c r="DF1474" t="inlineStr">
        <is>
          <t>X</t>
        </is>
      </c>
      <c r="DG1474" t="inlineStr">
        <is>
          <t>D</t>
        </is>
      </c>
      <c r="DI1474" t="inlineStr">
        <is>
          <t>X</t>
        </is>
      </c>
      <c r="DJ1474" t="inlineStr">
        <is>
          <t>D</t>
        </is>
      </c>
      <c r="DL1474" t="inlineStr">
        <is>
          <t>X</t>
        </is>
      </c>
      <c r="DM1474" t="inlineStr">
        <is>
          <t>D</t>
        </is>
      </c>
      <c r="DN1474" t="inlineStr">
        <is>
          <t>X</t>
        </is>
      </c>
      <c r="DR1474" t="inlineStr">
        <is>
          <t>X</t>
        </is>
      </c>
      <c r="DS1474" t="inlineStr">
        <is>
          <t>D</t>
        </is>
      </c>
      <c r="DU1474" t="inlineStr">
        <is>
          <t>X</t>
        </is>
      </c>
      <c r="DW1474" t="inlineStr">
        <is>
          <t>D</t>
        </is>
      </c>
      <c r="DX1474" t="inlineStr">
        <is>
          <t>X</t>
        </is>
      </c>
      <c r="EA1474" t="inlineStr">
        <is>
          <t>X</t>
        </is>
      </c>
      <c r="ED1474" t="inlineStr">
        <is>
          <t>D</t>
        </is>
      </c>
      <c r="EF1474" t="inlineStr">
        <is>
          <t>X</t>
        </is>
      </c>
      <c r="EH1474" t="inlineStr">
        <is>
          <t>D</t>
        </is>
      </c>
    </row>
    <row r="1475">
      <c r="A1475" t="inlineStr">
        <is>
          <t>OH0024625661</t>
        </is>
      </c>
      <c r="B1475" t="n">
        <v>78</v>
      </c>
      <c r="C1475" t="n">
        <v>431592</v>
      </c>
      <c r="D1475" t="inlineStr">
        <is>
          <t>MACIAS</t>
        </is>
      </c>
      <c r="E1475" t="inlineStr">
        <is>
          <t>MICHAEL</t>
        </is>
      </c>
      <c r="F1475">
        <f>CONCATENATE(D1475," ",LEFT(H1475,4),"T=",AU1475,"D=",AV1475,"R=",AW1475,"M=",AX1475,"L=",AY1475,"B=",AZ1475)</f>
        <v/>
      </c>
      <c r="G1475" t="inlineStr">
        <is>
          <t>JAMES</t>
        </is>
      </c>
      <c r="I1475" t="inlineStr">
        <is>
          <t>1985-08-10</t>
        </is>
      </c>
      <c r="J1475" t="inlineStr">
        <is>
          <t>2018-05-10</t>
        </is>
      </c>
      <c r="K1475" t="inlineStr">
        <is>
          <t>CONFIRMATION</t>
        </is>
      </c>
      <c r="M1475" t="inlineStr">
        <is>
          <t>352 ELM RD NE</t>
        </is>
      </c>
      <c r="N1475">
        <f>RIGHT(M1475,LEN(M1475)-FIND(" ",M1475))</f>
        <v/>
      </c>
      <c r="P1475" t="inlineStr">
        <is>
          <t>WARREN</t>
        </is>
      </c>
      <c r="Q1475" t="inlineStr">
        <is>
          <t>OH</t>
        </is>
      </c>
      <c r="R1475" t="n">
        <v>44483</v>
      </c>
      <c r="AD1475" t="inlineStr">
        <is>
          <t>TRUMBULL CAREER &amp; TECH CENTER</t>
        </is>
      </c>
      <c r="AE1475" t="inlineStr">
        <is>
          <t>WARREN CITY</t>
        </is>
      </c>
      <c r="AF1475" t="inlineStr">
        <is>
          <t>WARREN CITY SD</t>
        </is>
      </c>
      <c r="AH1475" t="n">
        <v>14</v>
      </c>
      <c r="AI1475" t="n">
        <v>11</v>
      </c>
      <c r="AN1475" t="inlineStr">
        <is>
          <t>WARREN</t>
        </is>
      </c>
      <c r="AO1475" t="inlineStr">
        <is>
          <t>WARREN CITY 4D</t>
        </is>
      </c>
      <c r="AP1475" t="inlineStr">
        <is>
          <t>78-P-ADL</t>
        </is>
      </c>
      <c r="AQ1475" t="n">
        <v>9</v>
      </c>
      <c r="AR1475" t="n">
        <v>64</v>
      </c>
      <c r="AS1475" t="n">
        <v>32</v>
      </c>
      <c r="AU1475">
        <f>COUNTA($BA$1475:$EH$1475)</f>
        <v/>
      </c>
      <c r="AV1475">
        <f>COUNTIF($BA$1475:$EH$1475,"D")</f>
        <v/>
      </c>
      <c r="AW1475">
        <f>COUNTIF($BA$1475:$EH$1475,"R")</f>
        <v/>
      </c>
      <c r="AX1475">
        <f>IF(BN1475="D",1,0)+IF(BO1475="D",1,0)+IF(BT1475="D",1,0)+IF(BU1475="D",1,0)+IF(BW1475="D",1,0)+IF(CC1475="D",1,0)+IF(CD1475="D",1,0)+IF(CE1475="D",1,0)+IF(CF1475="D",1,0)+IF(CL1475="D",1,0)+IF(CM1475="D",1,0)+IF(CQ1475="D",1,0)+IF(CR1475="D",1,0)+IF(CS1475="D",1,0)+IF(CW1475="D",1,0)+IF(CX1475="D",1,0)+IF(DD1475="D",1,0)+IF(DE1475="D",1,0)+IF(DJ1475="D",1,0)+IF(DK1475="D",1,0)+IF(DO1475="D",1,0)+IF(DP1475="D",1,0)+IF(DQ1475="D",1,0)+IF(DW1475="D",1,0)+IF(DZ1475="D",1,0)+IF(EH1475="D",1,0)</f>
        <v/>
      </c>
      <c r="AY1475">
        <f>IF(DJ1475&lt;&gt;"",1,0)+IF(DK1475&lt;&gt;"",1,0)+IF(DM1475&lt;&gt;"",1,0)+IF(DO1475&lt;&gt;"",1,0)+IF(DP1475&lt;&gt;"",1,0)+IF(DQ1475&lt;&gt;"",1,0)+IF(DS1475&lt;&gt;"",1,0)+IF(DT1475&lt;&gt;"",1,0)+IF(DV1475&lt;&gt;"",1,0)+IF(DW1475&lt;&gt;"",1,0)+IF(DX1475&lt;&gt;"",1,0)+IF(DY1475&lt;&gt;"",1,0)+IF(DZ1475&lt;&gt;"",1,0)+IF(EB1475&lt;&gt;"",1,0)+IF(EC1475&lt;&gt;"",1,0)+IF(ED1475&lt;&gt;"",1,0)+IF(EG1475&lt;&gt;"",1,0)+IF(EH1475&lt;&gt;"",1,0)</f>
        <v/>
      </c>
      <c r="AZ1475">
        <f>IF(EH1475&lt;&gt;"",1,0)</f>
        <v/>
      </c>
      <c r="BB1475" t="inlineStr">
        <is>
          <t>WARREN-WARD 4</t>
        </is>
      </c>
    </row>
    <row r="1476">
      <c r="A1476" t="inlineStr">
        <is>
          <t>OH0019678294</t>
        </is>
      </c>
      <c r="B1476" t="n">
        <v>78</v>
      </c>
      <c r="C1476" t="n">
        <v>357144</v>
      </c>
      <c r="D1476" t="inlineStr">
        <is>
          <t>EVANS</t>
        </is>
      </c>
      <c r="E1476" t="inlineStr">
        <is>
          <t>MARGIE</t>
        </is>
      </c>
      <c r="F1476">
        <f>CONCATENATE(D1476," ",LEFT(H1476,4),"T=",AU1476,"D=",AV1476,"R=",AW1476,"M=",AX1476,"L=",AY1476,"B=",AZ1476)</f>
        <v/>
      </c>
      <c r="G1476" t="inlineStr">
        <is>
          <t>LOUISE</t>
        </is>
      </c>
      <c r="I1476" t="inlineStr">
        <is>
          <t>1959-10-29</t>
        </is>
      </c>
      <c r="J1476" t="inlineStr">
        <is>
          <t>2015-07-05</t>
        </is>
      </c>
      <c r="K1476" t="inlineStr">
        <is>
          <t>ACTIVE</t>
        </is>
      </c>
      <c r="L1476" t="inlineStr">
        <is>
          <t>R</t>
        </is>
      </c>
      <c r="M1476" t="inlineStr">
        <is>
          <t>1185 HIGH ST NE</t>
        </is>
      </c>
      <c r="N1476">
        <f>RIGHT(M1476,LEN(M1476)-FIND(" ",M1476))</f>
        <v/>
      </c>
      <c r="P1476" t="inlineStr">
        <is>
          <t>WARREN</t>
        </is>
      </c>
      <c r="Q1476" t="inlineStr">
        <is>
          <t>OH</t>
        </is>
      </c>
      <c r="R1476" t="n">
        <v>44483</v>
      </c>
      <c r="AD1476" t="inlineStr">
        <is>
          <t>TRUMBULL CAREER &amp; TECH CENTER</t>
        </is>
      </c>
      <c r="AE1476" t="inlineStr">
        <is>
          <t>WARREN CITY</t>
        </is>
      </c>
      <c r="AF1476" t="inlineStr">
        <is>
          <t>WARREN CITY SD</t>
        </is>
      </c>
      <c r="AH1476" t="n">
        <v>14</v>
      </c>
      <c r="AI1476" t="n">
        <v>11</v>
      </c>
      <c r="AN1476" t="inlineStr">
        <is>
          <t>WARREN</t>
        </is>
      </c>
      <c r="AO1476" t="inlineStr">
        <is>
          <t>WARREN CITY 4D</t>
        </is>
      </c>
      <c r="AP1476" t="inlineStr">
        <is>
          <t>78-P-ADL</t>
        </is>
      </c>
      <c r="AQ1476" t="n">
        <v>9</v>
      </c>
      <c r="AR1476" t="n">
        <v>64</v>
      </c>
      <c r="AS1476" t="n">
        <v>32</v>
      </c>
      <c r="AU1476">
        <f>COUNTA($BA$1476:$EH$1476)</f>
        <v/>
      </c>
      <c r="AV1476">
        <f>COUNTIF($BA$1476:$EH$1476,"D")</f>
        <v/>
      </c>
      <c r="AW1476">
        <f>COUNTIF($BA$1476:$EH$1476,"R")</f>
        <v/>
      </c>
      <c r="AX1476">
        <f>IF(BN1476="D",1,0)+IF(BO1476="D",1,0)+IF(BT1476="D",1,0)+IF(BU1476="D",1,0)+IF(BW1476="D",1,0)+IF(CC1476="D",1,0)+IF(CD1476="D",1,0)+IF(CE1476="D",1,0)+IF(CF1476="D",1,0)+IF(CL1476="D",1,0)+IF(CM1476="D",1,0)+IF(CQ1476="D",1,0)+IF(CR1476="D",1,0)+IF(CS1476="D",1,0)+IF(CW1476="D",1,0)+IF(CX1476="D",1,0)+IF(DD1476="D",1,0)+IF(DE1476="D",1,0)+IF(DJ1476="D",1,0)+IF(DK1476="D",1,0)+IF(DO1476="D",1,0)+IF(DP1476="D",1,0)+IF(DQ1476="D",1,0)+IF(DW1476="D",1,0)+IF(DZ1476="D",1,0)+IF(EH1476="D",1,0)</f>
        <v/>
      </c>
      <c r="AY1476">
        <f>IF(DJ1476&lt;&gt;"",1,0)+IF(DK1476&lt;&gt;"",1,0)+IF(DM1476&lt;&gt;"",1,0)+IF(DO1476&lt;&gt;"",1,0)+IF(DP1476&lt;&gt;"",1,0)+IF(DQ1476&lt;&gt;"",1,0)+IF(DS1476&lt;&gt;"",1,0)+IF(DT1476&lt;&gt;"",1,0)+IF(DV1476&lt;&gt;"",1,0)+IF(DW1476&lt;&gt;"",1,0)+IF(DX1476&lt;&gt;"",1,0)+IF(DY1476&lt;&gt;"",1,0)+IF(DZ1476&lt;&gt;"",1,0)+IF(EB1476&lt;&gt;"",1,0)+IF(EC1476&lt;&gt;"",1,0)+IF(ED1476&lt;&gt;"",1,0)+IF(EG1476&lt;&gt;"",1,0)+IF(EH1476&lt;&gt;"",1,0)</f>
        <v/>
      </c>
      <c r="AZ1476">
        <f>IF(EH1476&lt;&gt;"",1,0)</f>
        <v/>
      </c>
      <c r="BB1476" t="inlineStr">
        <is>
          <t>WARREN-WARD 4</t>
        </is>
      </c>
      <c r="CA1476" t="inlineStr">
        <is>
          <t>X</t>
        </is>
      </c>
      <c r="CK1476" t="inlineStr">
        <is>
          <t>X</t>
        </is>
      </c>
      <c r="CO1476" t="inlineStr">
        <is>
          <t>R</t>
        </is>
      </c>
      <c r="CP1476" t="inlineStr">
        <is>
          <t>X</t>
        </is>
      </c>
      <c r="CY1476" t="inlineStr">
        <is>
          <t>X</t>
        </is>
      </c>
      <c r="CZ1476" t="inlineStr">
        <is>
          <t>R</t>
        </is>
      </c>
      <c r="DC1476" t="inlineStr">
        <is>
          <t>X</t>
        </is>
      </c>
      <c r="DG1476" t="inlineStr">
        <is>
          <t>R</t>
        </is>
      </c>
      <c r="DI1476" t="inlineStr">
        <is>
          <t>X</t>
        </is>
      </c>
      <c r="DL1476" t="inlineStr">
        <is>
          <t>X</t>
        </is>
      </c>
      <c r="DN1476" t="inlineStr">
        <is>
          <t>X</t>
        </is>
      </c>
      <c r="DR1476" t="inlineStr">
        <is>
          <t>X</t>
        </is>
      </c>
      <c r="DS1476" t="inlineStr">
        <is>
          <t>R</t>
        </is>
      </c>
      <c r="DU1476" t="inlineStr">
        <is>
          <t>X</t>
        </is>
      </c>
      <c r="DX1476" t="inlineStr">
        <is>
          <t>X</t>
        </is>
      </c>
      <c r="EA1476" t="inlineStr">
        <is>
          <t>X</t>
        </is>
      </c>
      <c r="ED1476" t="inlineStr">
        <is>
          <t>R</t>
        </is>
      </c>
      <c r="EF1476" t="inlineStr">
        <is>
          <t>X</t>
        </is>
      </c>
    </row>
    <row r="1477">
      <c r="A1477" t="inlineStr">
        <is>
          <t>OH0019626564</t>
        </is>
      </c>
      <c r="B1477" t="n">
        <v>78</v>
      </c>
      <c r="C1477" t="n">
        <v>356623</v>
      </c>
      <c r="D1477" t="inlineStr">
        <is>
          <t>DONAHUE</t>
        </is>
      </c>
      <c r="E1477" t="inlineStr">
        <is>
          <t>JANE</t>
        </is>
      </c>
      <c r="F1477">
        <f>CONCATENATE(D1477," ",LEFT(H1477,4),"T=",AU1477,"D=",AV1477,"R=",AW1477,"M=",AX1477,"L=",AY1477,"B=",AZ1477)</f>
        <v/>
      </c>
      <c r="I1477" t="inlineStr">
        <is>
          <t>1954-09-21</t>
        </is>
      </c>
      <c r="J1477" t="inlineStr">
        <is>
          <t>2015-08-12</t>
        </is>
      </c>
      <c r="K1477" t="inlineStr">
        <is>
          <t>ACTIVE</t>
        </is>
      </c>
      <c r="L1477" t="inlineStr">
        <is>
          <t>R</t>
        </is>
      </c>
      <c r="M1477" t="inlineStr">
        <is>
          <t>1185 HIGH ST NE</t>
        </is>
      </c>
      <c r="N1477">
        <f>RIGHT(M1477,LEN(M1477)-FIND(" ",M1477))</f>
        <v/>
      </c>
      <c r="P1477" t="inlineStr">
        <is>
          <t>WARREN</t>
        </is>
      </c>
      <c r="Q1477" t="inlineStr">
        <is>
          <t>OH</t>
        </is>
      </c>
      <c r="R1477" t="n">
        <v>44483</v>
      </c>
      <c r="AD1477" t="inlineStr">
        <is>
          <t>TRUMBULL CAREER &amp; TECH CENTER</t>
        </is>
      </c>
      <c r="AE1477" t="inlineStr">
        <is>
          <t>WARREN CITY</t>
        </is>
      </c>
      <c r="AF1477" t="inlineStr">
        <is>
          <t>WARREN CITY SD</t>
        </is>
      </c>
      <c r="AH1477" t="n">
        <v>14</v>
      </c>
      <c r="AI1477" t="n">
        <v>11</v>
      </c>
      <c r="AN1477" t="inlineStr">
        <is>
          <t>WARREN</t>
        </is>
      </c>
      <c r="AO1477" t="inlineStr">
        <is>
          <t>WARREN CITY 4D</t>
        </is>
      </c>
      <c r="AP1477" t="inlineStr">
        <is>
          <t>78-P-ADL</t>
        </is>
      </c>
      <c r="AQ1477" t="n">
        <v>9</v>
      </c>
      <c r="AR1477" t="n">
        <v>64</v>
      </c>
      <c r="AS1477" t="n">
        <v>32</v>
      </c>
      <c r="AU1477">
        <f>COUNTA($BA$1477:$EH$1477)</f>
        <v/>
      </c>
      <c r="AV1477">
        <f>COUNTIF($BA$1477:$EH$1477,"D")</f>
        <v/>
      </c>
      <c r="AW1477">
        <f>COUNTIF($BA$1477:$EH$1477,"R")</f>
        <v/>
      </c>
      <c r="AX1477">
        <f>IF(BN1477="D",1,0)+IF(BO1477="D",1,0)+IF(BT1477="D",1,0)+IF(BU1477="D",1,0)+IF(BW1477="D",1,0)+IF(CC1477="D",1,0)+IF(CD1477="D",1,0)+IF(CE1477="D",1,0)+IF(CF1477="D",1,0)+IF(CL1477="D",1,0)+IF(CM1477="D",1,0)+IF(CQ1477="D",1,0)+IF(CR1477="D",1,0)+IF(CS1477="D",1,0)+IF(CW1477="D",1,0)+IF(CX1477="D",1,0)+IF(DD1477="D",1,0)+IF(DE1477="D",1,0)+IF(DJ1477="D",1,0)+IF(DK1477="D",1,0)+IF(DO1477="D",1,0)+IF(DP1477="D",1,0)+IF(DQ1477="D",1,0)+IF(DW1477="D",1,0)+IF(DZ1477="D",1,0)+IF(EH1477="D",1,0)</f>
        <v/>
      </c>
      <c r="AY1477">
        <f>IF(DJ1477&lt;&gt;"",1,0)+IF(DK1477&lt;&gt;"",1,0)+IF(DM1477&lt;&gt;"",1,0)+IF(DO1477&lt;&gt;"",1,0)+IF(DP1477&lt;&gt;"",1,0)+IF(DQ1477&lt;&gt;"",1,0)+IF(DS1477&lt;&gt;"",1,0)+IF(DT1477&lt;&gt;"",1,0)+IF(DV1477&lt;&gt;"",1,0)+IF(DW1477&lt;&gt;"",1,0)+IF(DX1477&lt;&gt;"",1,0)+IF(DY1477&lt;&gt;"",1,0)+IF(DZ1477&lt;&gt;"",1,0)+IF(EB1477&lt;&gt;"",1,0)+IF(EC1477&lt;&gt;"",1,0)+IF(ED1477&lt;&gt;"",1,0)+IF(EG1477&lt;&gt;"",1,0)+IF(EH1477&lt;&gt;"",1,0)</f>
        <v/>
      </c>
      <c r="AZ1477">
        <f>IF(EH1477&lt;&gt;"",1,0)</f>
        <v/>
      </c>
      <c r="BB1477" t="inlineStr">
        <is>
          <t>WARREN-WARD 4</t>
        </is>
      </c>
      <c r="BL1477" t="inlineStr">
        <is>
          <t>X</t>
        </is>
      </c>
      <c r="CA1477" t="inlineStr">
        <is>
          <t>X</t>
        </is>
      </c>
      <c r="CK1477" t="inlineStr">
        <is>
          <t>X</t>
        </is>
      </c>
      <c r="CO1477" t="inlineStr">
        <is>
          <t>R</t>
        </is>
      </c>
      <c r="CP1477" t="inlineStr">
        <is>
          <t>X</t>
        </is>
      </c>
      <c r="CY1477" t="inlineStr">
        <is>
          <t>X</t>
        </is>
      </c>
      <c r="CZ1477" t="inlineStr">
        <is>
          <t>R</t>
        </is>
      </c>
      <c r="DC1477" t="inlineStr">
        <is>
          <t>X</t>
        </is>
      </c>
      <c r="DG1477" t="inlineStr">
        <is>
          <t>R</t>
        </is>
      </c>
      <c r="DI1477" t="inlineStr">
        <is>
          <t>X</t>
        </is>
      </c>
      <c r="DL1477" t="inlineStr">
        <is>
          <t>X</t>
        </is>
      </c>
      <c r="DN1477" t="inlineStr">
        <is>
          <t>X</t>
        </is>
      </c>
      <c r="DR1477" t="inlineStr">
        <is>
          <t>X</t>
        </is>
      </c>
      <c r="DS1477" t="inlineStr">
        <is>
          <t>R</t>
        </is>
      </c>
      <c r="DU1477" t="inlineStr">
        <is>
          <t>X</t>
        </is>
      </c>
      <c r="DX1477" t="inlineStr">
        <is>
          <t>X</t>
        </is>
      </c>
      <c r="EA1477" t="inlineStr">
        <is>
          <t>X</t>
        </is>
      </c>
      <c r="ED1477" t="inlineStr">
        <is>
          <t>R</t>
        </is>
      </c>
      <c r="EF1477" t="inlineStr">
        <is>
          <t>X</t>
        </is>
      </c>
    </row>
    <row r="1478">
      <c r="A1478" t="inlineStr">
        <is>
          <t>OH0019760694</t>
        </is>
      </c>
      <c r="B1478" t="n">
        <v>78</v>
      </c>
      <c r="C1478" t="n">
        <v>344168</v>
      </c>
      <c r="D1478" t="inlineStr">
        <is>
          <t>BROWN</t>
        </is>
      </c>
      <c r="E1478" t="inlineStr">
        <is>
          <t>MICHELLE</t>
        </is>
      </c>
      <c r="F1478">
        <f>CONCATENATE(D1478," ",LEFT(H1478,4),"T=",AU1478,"D=",AV1478,"R=",AW1478,"M=",AX1478,"L=",AY1478,"B=",AZ1478)</f>
        <v/>
      </c>
      <c r="G1478" t="inlineStr">
        <is>
          <t>D</t>
        </is>
      </c>
      <c r="I1478" t="inlineStr">
        <is>
          <t>1974-11-30</t>
        </is>
      </c>
      <c r="J1478" t="inlineStr">
        <is>
          <t>2024-07-31</t>
        </is>
      </c>
      <c r="K1478" t="inlineStr">
        <is>
          <t>ACTIVE</t>
        </is>
      </c>
      <c r="M1478" t="inlineStr">
        <is>
          <t>182 HIGH ST NW</t>
        </is>
      </c>
      <c r="N1478">
        <f>RIGHT(M1478,LEN(M1478)-FIND(" ",M1478))</f>
        <v/>
      </c>
      <c r="O1478" t="inlineStr">
        <is>
          <t>APT 210</t>
        </is>
      </c>
      <c r="P1478" t="inlineStr">
        <is>
          <t>WARREN</t>
        </is>
      </c>
      <c r="Q1478" t="inlineStr">
        <is>
          <t>OH</t>
        </is>
      </c>
      <c r="R1478" t="n">
        <v>44481</v>
      </c>
      <c r="AD1478" t="inlineStr">
        <is>
          <t>TRUMBULL CAREER &amp; TECH CENTER</t>
        </is>
      </c>
      <c r="AE1478" t="inlineStr">
        <is>
          <t>WARREN CITY</t>
        </is>
      </c>
      <c r="AF1478" t="inlineStr">
        <is>
          <t>WARREN CITY SD</t>
        </is>
      </c>
      <c r="AH1478" t="n">
        <v>14</v>
      </c>
      <c r="AI1478" t="n">
        <v>11</v>
      </c>
      <c r="AN1478" t="inlineStr">
        <is>
          <t>WARREN</t>
        </is>
      </c>
      <c r="AO1478" t="inlineStr">
        <is>
          <t>WARREN CITY 4D</t>
        </is>
      </c>
      <c r="AP1478" t="inlineStr">
        <is>
          <t>78-P-ADL</t>
        </is>
      </c>
      <c r="AQ1478" t="n">
        <v>9</v>
      </c>
      <c r="AR1478" t="n">
        <v>64</v>
      </c>
      <c r="AS1478" t="n">
        <v>32</v>
      </c>
      <c r="AU1478">
        <f>COUNTA($BA$1478:$EH$1478)</f>
        <v/>
      </c>
      <c r="AV1478">
        <f>COUNTIF($BA$1478:$EH$1478,"D")</f>
        <v/>
      </c>
      <c r="AW1478">
        <f>COUNTIF($BA$1478:$EH$1478,"R")</f>
        <v/>
      </c>
      <c r="AX1478">
        <f>IF(BN1478="D",1,0)+IF(BO1478="D",1,0)+IF(BT1478="D",1,0)+IF(BU1478="D",1,0)+IF(BW1478="D",1,0)+IF(CC1478="D",1,0)+IF(CD1478="D",1,0)+IF(CE1478="D",1,0)+IF(CF1478="D",1,0)+IF(CL1478="D",1,0)+IF(CM1478="D",1,0)+IF(CQ1478="D",1,0)+IF(CR1478="D",1,0)+IF(CS1478="D",1,0)+IF(CW1478="D",1,0)+IF(CX1478="D",1,0)+IF(DD1478="D",1,0)+IF(DE1478="D",1,0)+IF(DJ1478="D",1,0)+IF(DK1478="D",1,0)+IF(DO1478="D",1,0)+IF(DP1478="D",1,0)+IF(DQ1478="D",1,0)+IF(DW1478="D",1,0)+IF(DZ1478="D",1,0)+IF(EH1478="D",1,0)</f>
        <v/>
      </c>
      <c r="AY1478">
        <f>IF(DJ1478&lt;&gt;"",1,0)+IF(DK1478&lt;&gt;"",1,0)+IF(DM1478&lt;&gt;"",1,0)+IF(DO1478&lt;&gt;"",1,0)+IF(DP1478&lt;&gt;"",1,0)+IF(DQ1478&lt;&gt;"",1,0)+IF(DS1478&lt;&gt;"",1,0)+IF(DT1478&lt;&gt;"",1,0)+IF(DV1478&lt;&gt;"",1,0)+IF(DW1478&lt;&gt;"",1,0)+IF(DX1478&lt;&gt;"",1,0)+IF(DY1478&lt;&gt;"",1,0)+IF(DZ1478&lt;&gt;"",1,0)+IF(EB1478&lt;&gt;"",1,0)+IF(EC1478&lt;&gt;"",1,0)+IF(ED1478&lt;&gt;"",1,0)+IF(EG1478&lt;&gt;"",1,0)+IF(EH1478&lt;&gt;"",1,0)</f>
        <v/>
      </c>
      <c r="AZ1478">
        <f>IF(EH1478&lt;&gt;"",1,0)</f>
        <v/>
      </c>
      <c r="BB1478" t="inlineStr">
        <is>
          <t>WARREN-WARD 4</t>
        </is>
      </c>
    </row>
    <row r="1479">
      <c r="A1479" t="inlineStr">
        <is>
          <t>OH0021178832</t>
        </is>
      </c>
      <c r="B1479" t="n">
        <v>78</v>
      </c>
      <c r="C1479" t="n">
        <v>376598</v>
      </c>
      <c r="D1479" t="inlineStr">
        <is>
          <t>JENKINS</t>
        </is>
      </c>
      <c r="E1479" t="inlineStr">
        <is>
          <t>TEAUNA</t>
        </is>
      </c>
      <c r="F1479">
        <f>CONCATENATE(D1479," ",LEFT(H1479,4),"T=",AU1479,"D=",AV1479,"R=",AW1479,"M=",AX1479,"L=",AY1479,"B=",AZ1479)</f>
        <v/>
      </c>
      <c r="G1479" t="inlineStr">
        <is>
          <t>L</t>
        </is>
      </c>
      <c r="I1479" t="inlineStr">
        <is>
          <t>1988-06-24</t>
        </is>
      </c>
      <c r="J1479" t="inlineStr">
        <is>
          <t>2024-07-31</t>
        </is>
      </c>
      <c r="K1479" t="inlineStr">
        <is>
          <t>ACTIVE</t>
        </is>
      </c>
      <c r="M1479" t="inlineStr">
        <is>
          <t>1145 HIGH ST NE</t>
        </is>
      </c>
      <c r="N1479">
        <f>RIGHT(M1479,LEN(M1479)-FIND(" ",M1479))</f>
        <v/>
      </c>
      <c r="P1479" t="inlineStr">
        <is>
          <t>WARREN</t>
        </is>
      </c>
      <c r="Q1479" t="inlineStr">
        <is>
          <t>OH</t>
        </is>
      </c>
      <c r="R1479" t="n">
        <v>44483</v>
      </c>
      <c r="AD1479" t="inlineStr">
        <is>
          <t>TRUMBULL CAREER &amp; TECH CENTER</t>
        </is>
      </c>
      <c r="AE1479" t="inlineStr">
        <is>
          <t>WARREN CITY</t>
        </is>
      </c>
      <c r="AF1479" t="inlineStr">
        <is>
          <t>WARREN CITY SD</t>
        </is>
      </c>
      <c r="AH1479" t="n">
        <v>14</v>
      </c>
      <c r="AI1479" t="n">
        <v>11</v>
      </c>
      <c r="AN1479" t="inlineStr">
        <is>
          <t>WARREN</t>
        </is>
      </c>
      <c r="AO1479" t="inlineStr">
        <is>
          <t>WARREN CITY 4D</t>
        </is>
      </c>
      <c r="AP1479" t="inlineStr">
        <is>
          <t>78-P-ADL</t>
        </is>
      </c>
      <c r="AQ1479" t="n">
        <v>9</v>
      </c>
      <c r="AR1479" t="n">
        <v>64</v>
      </c>
      <c r="AS1479" t="n">
        <v>32</v>
      </c>
      <c r="AU1479">
        <f>COUNTA($BA$1479:$EH$1479)</f>
        <v/>
      </c>
      <c r="AV1479">
        <f>COUNTIF($BA$1479:$EH$1479,"D")</f>
        <v/>
      </c>
      <c r="AW1479">
        <f>COUNTIF($BA$1479:$EH$1479,"R")</f>
        <v/>
      </c>
      <c r="AX1479">
        <f>IF(BN1479="D",1,0)+IF(BO1479="D",1,0)+IF(BT1479="D",1,0)+IF(BU1479="D",1,0)+IF(BW1479="D",1,0)+IF(CC1479="D",1,0)+IF(CD1479="D",1,0)+IF(CE1479="D",1,0)+IF(CF1479="D",1,0)+IF(CL1479="D",1,0)+IF(CM1479="D",1,0)+IF(CQ1479="D",1,0)+IF(CR1479="D",1,0)+IF(CS1479="D",1,0)+IF(CW1479="D",1,0)+IF(CX1479="D",1,0)+IF(DD1479="D",1,0)+IF(DE1479="D",1,0)+IF(DJ1479="D",1,0)+IF(DK1479="D",1,0)+IF(DO1479="D",1,0)+IF(DP1479="D",1,0)+IF(DQ1479="D",1,0)+IF(DW1479="D",1,0)+IF(DZ1479="D",1,0)+IF(EH1479="D",1,0)</f>
        <v/>
      </c>
      <c r="AY1479">
        <f>IF(DJ1479&lt;&gt;"",1,0)+IF(DK1479&lt;&gt;"",1,0)+IF(DM1479&lt;&gt;"",1,0)+IF(DO1479&lt;&gt;"",1,0)+IF(DP1479&lt;&gt;"",1,0)+IF(DQ1479&lt;&gt;"",1,0)+IF(DS1479&lt;&gt;"",1,0)+IF(DT1479&lt;&gt;"",1,0)+IF(DV1479&lt;&gt;"",1,0)+IF(DW1479&lt;&gt;"",1,0)+IF(DX1479&lt;&gt;"",1,0)+IF(DY1479&lt;&gt;"",1,0)+IF(DZ1479&lt;&gt;"",1,0)+IF(EB1479&lt;&gt;"",1,0)+IF(EC1479&lt;&gt;"",1,0)+IF(ED1479&lt;&gt;"",1,0)+IF(EG1479&lt;&gt;"",1,0)+IF(EH1479&lt;&gt;"",1,0)</f>
        <v/>
      </c>
      <c r="AZ1479">
        <f>IF(EH1479&lt;&gt;"",1,0)</f>
        <v/>
      </c>
      <c r="BB1479" t="inlineStr">
        <is>
          <t>WARREN-WARD 4</t>
        </is>
      </c>
      <c r="CP1479" t="inlineStr">
        <is>
          <t>X</t>
        </is>
      </c>
      <c r="DC1479" t="inlineStr">
        <is>
          <t>X</t>
        </is>
      </c>
      <c r="DN1479" t="inlineStr">
        <is>
          <t>X</t>
        </is>
      </c>
      <c r="EF1479" t="inlineStr">
        <is>
          <t>X</t>
        </is>
      </c>
    </row>
    <row r="1480">
      <c r="A1480" t="inlineStr">
        <is>
          <t>OH0019559271</t>
        </is>
      </c>
      <c r="B1480" t="n">
        <v>78</v>
      </c>
      <c r="C1480" t="n">
        <v>345118</v>
      </c>
      <c r="D1480" t="inlineStr">
        <is>
          <t>JENKINS</t>
        </is>
      </c>
      <c r="E1480" t="inlineStr">
        <is>
          <t>ANITA</t>
        </is>
      </c>
      <c r="F1480">
        <f>CONCATENATE(D1480," ",LEFT(H1480,4),"T=",AU1480,"D=",AV1480,"R=",AW1480,"M=",AX1480,"L=",AY1480,"B=",AZ1480)</f>
        <v/>
      </c>
      <c r="G1480" t="inlineStr">
        <is>
          <t>MARIE</t>
        </is>
      </c>
      <c r="I1480" t="inlineStr">
        <is>
          <t>1959-11-17</t>
        </is>
      </c>
      <c r="J1480" t="inlineStr">
        <is>
          <t>2023-07-10</t>
        </is>
      </c>
      <c r="K1480" t="inlineStr">
        <is>
          <t>ACTIVE</t>
        </is>
      </c>
      <c r="M1480" t="inlineStr">
        <is>
          <t>182 HIGH ST NE</t>
        </is>
      </c>
      <c r="N1480">
        <f>RIGHT(M1480,LEN(M1480)-FIND(" ",M1480))</f>
        <v/>
      </c>
      <c r="O1480" t="inlineStr">
        <is>
          <t>APT 307</t>
        </is>
      </c>
      <c r="P1480" t="inlineStr">
        <is>
          <t>WARREN</t>
        </is>
      </c>
      <c r="Q1480" t="inlineStr">
        <is>
          <t>OH</t>
        </is>
      </c>
      <c r="R1480" t="n">
        <v>44481</v>
      </c>
      <c r="AD1480" t="inlineStr">
        <is>
          <t>TRUMBULL CAREER &amp; TECH CENTER</t>
        </is>
      </c>
      <c r="AE1480" t="inlineStr">
        <is>
          <t>WARREN CITY</t>
        </is>
      </c>
      <c r="AF1480" t="inlineStr">
        <is>
          <t>WARREN CITY SD</t>
        </is>
      </c>
      <c r="AH1480" t="n">
        <v>14</v>
      </c>
      <c r="AI1480" t="n">
        <v>11</v>
      </c>
      <c r="AN1480" t="inlineStr">
        <is>
          <t>WARREN</t>
        </is>
      </c>
      <c r="AO1480" t="inlineStr">
        <is>
          <t>WARREN CITY 4D</t>
        </is>
      </c>
      <c r="AP1480" t="inlineStr">
        <is>
          <t>78-P-ADL</t>
        </is>
      </c>
      <c r="AQ1480" t="n">
        <v>9</v>
      </c>
      <c r="AR1480" t="n">
        <v>64</v>
      </c>
      <c r="AS1480" t="n">
        <v>32</v>
      </c>
      <c r="AU1480">
        <f>COUNTA($BA$1480:$EH$1480)</f>
        <v/>
      </c>
      <c r="AV1480">
        <f>COUNTIF($BA$1480:$EH$1480,"D")</f>
        <v/>
      </c>
      <c r="AW1480">
        <f>COUNTIF($BA$1480:$EH$1480,"R")</f>
        <v/>
      </c>
      <c r="AX1480">
        <f>IF(BN1480="D",1,0)+IF(BO1480="D",1,0)+IF(BT1480="D",1,0)+IF(BU1480="D",1,0)+IF(BW1480="D",1,0)+IF(CC1480="D",1,0)+IF(CD1480="D",1,0)+IF(CE1480="D",1,0)+IF(CF1480="D",1,0)+IF(CL1480="D",1,0)+IF(CM1480="D",1,0)+IF(CQ1480="D",1,0)+IF(CR1480="D",1,0)+IF(CS1480="D",1,0)+IF(CW1480="D",1,0)+IF(CX1480="D",1,0)+IF(DD1480="D",1,0)+IF(DE1480="D",1,0)+IF(DJ1480="D",1,0)+IF(DK1480="D",1,0)+IF(DO1480="D",1,0)+IF(DP1480="D",1,0)+IF(DQ1480="D",1,0)+IF(DW1480="D",1,0)+IF(DZ1480="D",1,0)+IF(EH1480="D",1,0)</f>
        <v/>
      </c>
      <c r="AY1480">
        <f>IF(DJ1480&lt;&gt;"",1,0)+IF(DK1480&lt;&gt;"",1,0)+IF(DM1480&lt;&gt;"",1,0)+IF(DO1480&lt;&gt;"",1,0)+IF(DP1480&lt;&gt;"",1,0)+IF(DQ1480&lt;&gt;"",1,0)+IF(DS1480&lt;&gt;"",1,0)+IF(DT1480&lt;&gt;"",1,0)+IF(DV1480&lt;&gt;"",1,0)+IF(DW1480&lt;&gt;"",1,0)+IF(DX1480&lt;&gt;"",1,0)+IF(DY1480&lt;&gt;"",1,0)+IF(DZ1480&lt;&gt;"",1,0)+IF(EB1480&lt;&gt;"",1,0)+IF(EC1480&lt;&gt;"",1,0)+IF(ED1480&lt;&gt;"",1,0)+IF(EG1480&lt;&gt;"",1,0)+IF(EH1480&lt;&gt;"",1,0)</f>
        <v/>
      </c>
      <c r="AZ1480">
        <f>IF(EH1480&lt;&gt;"",1,0)</f>
        <v/>
      </c>
      <c r="BB1480" t="inlineStr">
        <is>
          <t>WARREN-WARD 4</t>
        </is>
      </c>
      <c r="CP1480" t="inlineStr">
        <is>
          <t>X</t>
        </is>
      </c>
      <c r="DC1480" t="inlineStr">
        <is>
          <t>X</t>
        </is>
      </c>
      <c r="DL1480" t="inlineStr">
        <is>
          <t>X</t>
        </is>
      </c>
      <c r="EF1480" t="inlineStr">
        <is>
          <t>X</t>
        </is>
      </c>
    </row>
    <row r="1481">
      <c r="A1481" t="inlineStr">
        <is>
          <t>OH0024629619</t>
        </is>
      </c>
      <c r="B1481" t="n">
        <v>78</v>
      </c>
      <c r="C1481" t="n">
        <v>431672</v>
      </c>
      <c r="D1481" t="inlineStr">
        <is>
          <t>STANLEY</t>
        </is>
      </c>
      <c r="E1481" t="inlineStr">
        <is>
          <t>WILLIAM</t>
        </is>
      </c>
      <c r="F1481">
        <f>CONCATENATE(D1481," ",LEFT(H1481,4),"T=",AU1481,"D=",AV1481,"R=",AW1481,"M=",AX1481,"L=",AY1481,"B=",AZ1481)</f>
        <v/>
      </c>
      <c r="G1481" t="inlineStr">
        <is>
          <t>LUTHER</t>
        </is>
      </c>
      <c r="I1481" t="inlineStr">
        <is>
          <t>2000-01-29</t>
        </is>
      </c>
      <c r="J1481" t="inlineStr">
        <is>
          <t>2018-04-18</t>
        </is>
      </c>
      <c r="K1481" t="inlineStr">
        <is>
          <t>CONFIRMATION</t>
        </is>
      </c>
      <c r="M1481" t="inlineStr">
        <is>
          <t>240 MONROE ST NW</t>
        </is>
      </c>
      <c r="N1481">
        <f>RIGHT(M1481,LEN(M1481)-FIND(" ",M1481))</f>
        <v/>
      </c>
      <c r="O1481" t="inlineStr">
        <is>
          <t>APT 2</t>
        </is>
      </c>
      <c r="P1481" t="inlineStr">
        <is>
          <t>WARREN</t>
        </is>
      </c>
      <c r="Q1481" t="inlineStr">
        <is>
          <t>OH</t>
        </is>
      </c>
      <c r="R1481" t="n">
        <v>44483</v>
      </c>
      <c r="AD1481" t="inlineStr">
        <is>
          <t>TRUMBULL CAREER &amp; TECH CENTER</t>
        </is>
      </c>
      <c r="AE1481" t="inlineStr">
        <is>
          <t>WARREN CITY</t>
        </is>
      </c>
      <c r="AF1481" t="inlineStr">
        <is>
          <t>WARREN CITY SD</t>
        </is>
      </c>
      <c r="AH1481" t="n">
        <v>14</v>
      </c>
      <c r="AI1481" t="n">
        <v>11</v>
      </c>
      <c r="AN1481" t="inlineStr">
        <is>
          <t>WARREN</t>
        </is>
      </c>
      <c r="AO1481" t="inlineStr">
        <is>
          <t>WARREN CITY 4D</t>
        </is>
      </c>
      <c r="AP1481" t="inlineStr">
        <is>
          <t>78-P-ADL</t>
        </is>
      </c>
      <c r="AQ1481" t="n">
        <v>9</v>
      </c>
      <c r="AR1481" t="n">
        <v>64</v>
      </c>
      <c r="AS1481" t="n">
        <v>32</v>
      </c>
      <c r="AU1481">
        <f>COUNTA($BA$1481:$EH$1481)</f>
        <v/>
      </c>
      <c r="AV1481">
        <f>COUNTIF($BA$1481:$EH$1481,"D")</f>
        <v/>
      </c>
      <c r="AW1481">
        <f>COUNTIF($BA$1481:$EH$1481,"R")</f>
        <v/>
      </c>
      <c r="AX1481">
        <f>IF(BN1481="D",1,0)+IF(BO1481="D",1,0)+IF(BT1481="D",1,0)+IF(BU1481="D",1,0)+IF(BW1481="D",1,0)+IF(CC1481="D",1,0)+IF(CD1481="D",1,0)+IF(CE1481="D",1,0)+IF(CF1481="D",1,0)+IF(CL1481="D",1,0)+IF(CM1481="D",1,0)+IF(CQ1481="D",1,0)+IF(CR1481="D",1,0)+IF(CS1481="D",1,0)+IF(CW1481="D",1,0)+IF(CX1481="D",1,0)+IF(DD1481="D",1,0)+IF(DE1481="D",1,0)+IF(DJ1481="D",1,0)+IF(DK1481="D",1,0)+IF(DO1481="D",1,0)+IF(DP1481="D",1,0)+IF(DQ1481="D",1,0)+IF(DW1481="D",1,0)+IF(DZ1481="D",1,0)+IF(EH1481="D",1,0)</f>
        <v/>
      </c>
      <c r="AY1481">
        <f>IF(DJ1481&lt;&gt;"",1,0)+IF(DK1481&lt;&gt;"",1,0)+IF(DM1481&lt;&gt;"",1,0)+IF(DO1481&lt;&gt;"",1,0)+IF(DP1481&lt;&gt;"",1,0)+IF(DQ1481&lt;&gt;"",1,0)+IF(DS1481&lt;&gt;"",1,0)+IF(DT1481&lt;&gt;"",1,0)+IF(DV1481&lt;&gt;"",1,0)+IF(DW1481&lt;&gt;"",1,0)+IF(DX1481&lt;&gt;"",1,0)+IF(DY1481&lt;&gt;"",1,0)+IF(DZ1481&lt;&gt;"",1,0)+IF(EB1481&lt;&gt;"",1,0)+IF(EC1481&lt;&gt;"",1,0)+IF(ED1481&lt;&gt;"",1,0)+IF(EG1481&lt;&gt;"",1,0)+IF(EH1481&lt;&gt;"",1,0)</f>
        <v/>
      </c>
      <c r="AZ1481">
        <f>IF(EH1481&lt;&gt;"",1,0)</f>
        <v/>
      </c>
      <c r="BB1481" t="inlineStr">
        <is>
          <t>WARREN-WARD 4</t>
        </is>
      </c>
    </row>
    <row r="1482">
      <c r="A1482" t="inlineStr">
        <is>
          <t>OH0019264460</t>
        </is>
      </c>
      <c r="B1482" t="n">
        <v>78</v>
      </c>
      <c r="C1482" t="n">
        <v>352131</v>
      </c>
      <c r="D1482" t="inlineStr">
        <is>
          <t>VAUGHN</t>
        </is>
      </c>
      <c r="E1482" t="inlineStr">
        <is>
          <t>MICHAEL</t>
        </is>
      </c>
      <c r="F1482">
        <f>CONCATENATE(D1482," ",LEFT(H1482,4),"T=",AU1482,"D=",AV1482,"R=",AW1482,"M=",AX1482,"L=",AY1482,"B=",AZ1482)</f>
        <v/>
      </c>
      <c r="G1482" t="inlineStr">
        <is>
          <t>R</t>
        </is>
      </c>
      <c r="I1482" t="inlineStr">
        <is>
          <t>1989-09-08</t>
        </is>
      </c>
      <c r="J1482" t="inlineStr">
        <is>
          <t>2022-09-20</t>
        </is>
      </c>
      <c r="K1482" t="inlineStr">
        <is>
          <t>ACTIVE</t>
        </is>
      </c>
      <c r="L1482" t="inlineStr">
        <is>
          <t>R</t>
        </is>
      </c>
      <c r="M1482" t="inlineStr">
        <is>
          <t>276 LOWELL AVE NE</t>
        </is>
      </c>
      <c r="N1482">
        <f>RIGHT(M1482,LEN(M1482)-FIND(" ",M1482))</f>
        <v/>
      </c>
      <c r="P1482" t="inlineStr">
        <is>
          <t>WARREN</t>
        </is>
      </c>
      <c r="Q1482" t="inlineStr">
        <is>
          <t>OH</t>
        </is>
      </c>
      <c r="R1482" t="n">
        <v>44483</v>
      </c>
      <c r="AD1482" t="inlineStr">
        <is>
          <t>TRUMBULL CAREER &amp; TECH CENTER</t>
        </is>
      </c>
      <c r="AE1482" t="inlineStr">
        <is>
          <t>WARREN CITY</t>
        </is>
      </c>
      <c r="AF1482" t="inlineStr">
        <is>
          <t>WARREN CITY SD</t>
        </is>
      </c>
      <c r="AH1482" t="n">
        <v>14</v>
      </c>
      <c r="AI1482" t="n">
        <v>11</v>
      </c>
      <c r="AN1482" t="inlineStr">
        <is>
          <t>WARREN</t>
        </is>
      </c>
      <c r="AO1482" t="inlineStr">
        <is>
          <t>WARREN CITY 4D</t>
        </is>
      </c>
      <c r="AP1482" t="inlineStr">
        <is>
          <t>78-P-ADL</t>
        </is>
      </c>
      <c r="AQ1482" t="n">
        <v>9</v>
      </c>
      <c r="AR1482" t="n">
        <v>64</v>
      </c>
      <c r="AS1482" t="n">
        <v>32</v>
      </c>
      <c r="AU1482">
        <f>COUNTA($BA$1482:$EH$1482)</f>
        <v/>
      </c>
      <c r="AV1482">
        <f>COUNTIF($BA$1482:$EH$1482,"D")</f>
        <v/>
      </c>
      <c r="AW1482">
        <f>COUNTIF($BA$1482:$EH$1482,"R")</f>
        <v/>
      </c>
      <c r="AX1482">
        <f>IF(BN1482="D",1,0)+IF(BO1482="D",1,0)+IF(BT1482="D",1,0)+IF(BU1482="D",1,0)+IF(BW1482="D",1,0)+IF(CC1482="D",1,0)+IF(CD1482="D",1,0)+IF(CE1482="D",1,0)+IF(CF1482="D",1,0)+IF(CL1482="D",1,0)+IF(CM1482="D",1,0)+IF(CQ1482="D",1,0)+IF(CR1482="D",1,0)+IF(CS1482="D",1,0)+IF(CW1482="D",1,0)+IF(CX1482="D",1,0)+IF(DD1482="D",1,0)+IF(DE1482="D",1,0)+IF(DJ1482="D",1,0)+IF(DK1482="D",1,0)+IF(DO1482="D",1,0)+IF(DP1482="D",1,0)+IF(DQ1482="D",1,0)+IF(DW1482="D",1,0)+IF(DZ1482="D",1,0)+IF(EH1482="D",1,0)</f>
        <v/>
      </c>
      <c r="AY1482">
        <f>IF(DJ1482&lt;&gt;"",1,0)+IF(DK1482&lt;&gt;"",1,0)+IF(DM1482&lt;&gt;"",1,0)+IF(DO1482&lt;&gt;"",1,0)+IF(DP1482&lt;&gt;"",1,0)+IF(DQ1482&lt;&gt;"",1,0)+IF(DS1482&lt;&gt;"",1,0)+IF(DT1482&lt;&gt;"",1,0)+IF(DV1482&lt;&gt;"",1,0)+IF(DW1482&lt;&gt;"",1,0)+IF(DX1482&lt;&gt;"",1,0)+IF(DY1482&lt;&gt;"",1,0)+IF(DZ1482&lt;&gt;"",1,0)+IF(EB1482&lt;&gt;"",1,0)+IF(EC1482&lt;&gt;"",1,0)+IF(ED1482&lt;&gt;"",1,0)+IF(EG1482&lt;&gt;"",1,0)+IF(EH1482&lt;&gt;"",1,0)</f>
        <v/>
      </c>
      <c r="AZ1482">
        <f>IF(EH1482&lt;&gt;"",1,0)</f>
        <v/>
      </c>
      <c r="BB1482" t="inlineStr">
        <is>
          <t>WARREN-WARD 4</t>
        </is>
      </c>
      <c r="CT1482" t="inlineStr">
        <is>
          <t>X</t>
        </is>
      </c>
      <c r="DN1482" t="inlineStr">
        <is>
          <t>X</t>
        </is>
      </c>
      <c r="DU1482" t="inlineStr">
        <is>
          <t>X</t>
        </is>
      </c>
      <c r="DW1482" t="inlineStr">
        <is>
          <t>D</t>
        </is>
      </c>
      <c r="DX1482" t="inlineStr">
        <is>
          <t>X</t>
        </is>
      </c>
      <c r="EA1482" t="inlineStr">
        <is>
          <t>X</t>
        </is>
      </c>
      <c r="ED1482" t="inlineStr">
        <is>
          <t>R</t>
        </is>
      </c>
      <c r="EF1482" t="inlineStr">
        <is>
          <t>X</t>
        </is>
      </c>
    </row>
    <row r="1483">
      <c r="A1483" t="inlineStr">
        <is>
          <t>OH0027951907</t>
        </is>
      </c>
      <c r="B1483" t="n">
        <v>78</v>
      </c>
      <c r="C1483" t="n">
        <v>496031</v>
      </c>
      <c r="D1483" t="inlineStr">
        <is>
          <t>GRAY</t>
        </is>
      </c>
      <c r="E1483" t="inlineStr">
        <is>
          <t>ARON</t>
        </is>
      </c>
      <c r="F1483">
        <f>CONCATENATE(D1483," ",LEFT(H1483,4),"T=",AU1483,"D=",AV1483,"R=",AW1483,"M=",AX1483,"L=",AY1483,"B=",AZ1483)</f>
        <v/>
      </c>
      <c r="G1483" t="inlineStr">
        <is>
          <t>RYAN</t>
        </is>
      </c>
      <c r="I1483" t="inlineStr">
        <is>
          <t>2000-12-18</t>
        </is>
      </c>
      <c r="J1483" t="inlineStr">
        <is>
          <t>2025-05-02</t>
        </is>
      </c>
      <c r="K1483" t="inlineStr">
        <is>
          <t>ACTIVE</t>
        </is>
      </c>
      <c r="M1483" t="inlineStr">
        <is>
          <t>585 FAIRFIELD AVE NE</t>
        </is>
      </c>
      <c r="N1483">
        <f>RIGHT(M1483,LEN(M1483)-FIND(" ",M1483))</f>
        <v/>
      </c>
      <c r="P1483" t="inlineStr">
        <is>
          <t>WARREN</t>
        </is>
      </c>
      <c r="Q1483" t="inlineStr">
        <is>
          <t>OH</t>
        </is>
      </c>
      <c r="R1483" t="n">
        <v>44483</v>
      </c>
      <c r="AD1483" t="inlineStr">
        <is>
          <t>TRUMBULL CAREER &amp; TECH CENTER</t>
        </is>
      </c>
      <c r="AE1483" t="inlineStr">
        <is>
          <t>WARREN CITY</t>
        </is>
      </c>
      <c r="AF1483" t="inlineStr">
        <is>
          <t>WARREN CITY SD</t>
        </is>
      </c>
      <c r="AH1483" t="n">
        <v>14</v>
      </c>
      <c r="AI1483" t="n">
        <v>11</v>
      </c>
      <c r="AN1483" t="inlineStr">
        <is>
          <t>WARREN</t>
        </is>
      </c>
      <c r="AO1483" t="inlineStr">
        <is>
          <t>WARREN CITY 4D</t>
        </is>
      </c>
      <c r="AP1483" t="inlineStr">
        <is>
          <t>78-P-ADL</t>
        </is>
      </c>
      <c r="AQ1483" t="n">
        <v>9</v>
      </c>
      <c r="AR1483" t="n">
        <v>64</v>
      </c>
      <c r="AS1483" t="n">
        <v>32</v>
      </c>
      <c r="AU1483">
        <f>COUNTA($BA$1483:$EH$1483)</f>
        <v/>
      </c>
      <c r="AV1483">
        <f>COUNTIF($BA$1483:$EH$1483,"D")</f>
        <v/>
      </c>
      <c r="AW1483">
        <f>COUNTIF($BA$1483:$EH$1483,"R")</f>
        <v/>
      </c>
      <c r="AX1483">
        <f>IF(BN1483="D",1,0)+IF(BO1483="D",1,0)+IF(BT1483="D",1,0)+IF(BU1483="D",1,0)+IF(BW1483="D",1,0)+IF(CC1483="D",1,0)+IF(CD1483="D",1,0)+IF(CE1483="D",1,0)+IF(CF1483="D",1,0)+IF(CL1483="D",1,0)+IF(CM1483="D",1,0)+IF(CQ1483="D",1,0)+IF(CR1483="D",1,0)+IF(CS1483="D",1,0)+IF(CW1483="D",1,0)+IF(CX1483="D",1,0)+IF(DD1483="D",1,0)+IF(DE1483="D",1,0)+IF(DJ1483="D",1,0)+IF(DK1483="D",1,0)+IF(DO1483="D",1,0)+IF(DP1483="D",1,0)+IF(DQ1483="D",1,0)+IF(DW1483="D",1,0)+IF(DZ1483="D",1,0)+IF(EH1483="D",1,0)</f>
        <v/>
      </c>
      <c r="AY1483">
        <f>IF(DJ1483&lt;&gt;"",1,0)+IF(DK1483&lt;&gt;"",1,0)+IF(DM1483&lt;&gt;"",1,0)+IF(DO1483&lt;&gt;"",1,0)+IF(DP1483&lt;&gt;"",1,0)+IF(DQ1483&lt;&gt;"",1,0)+IF(DS1483&lt;&gt;"",1,0)+IF(DT1483&lt;&gt;"",1,0)+IF(DV1483&lt;&gt;"",1,0)+IF(DW1483&lt;&gt;"",1,0)+IF(DX1483&lt;&gt;"",1,0)+IF(DY1483&lt;&gt;"",1,0)+IF(DZ1483&lt;&gt;"",1,0)+IF(EB1483&lt;&gt;"",1,0)+IF(EC1483&lt;&gt;"",1,0)+IF(ED1483&lt;&gt;"",1,0)+IF(EG1483&lt;&gt;"",1,0)+IF(EH1483&lt;&gt;"",1,0)</f>
        <v/>
      </c>
      <c r="AZ1483">
        <f>IF(EH1483&lt;&gt;"",1,0)</f>
        <v/>
      </c>
      <c r="BB1483" t="inlineStr">
        <is>
          <t>WARREN-WARD 4</t>
        </is>
      </c>
    </row>
    <row r="1484">
      <c r="A1484" t="inlineStr">
        <is>
          <t>OH0027422947</t>
        </is>
      </c>
      <c r="B1484" t="n">
        <v>78</v>
      </c>
      <c r="C1484" t="n">
        <v>485902</v>
      </c>
      <c r="D1484" t="inlineStr">
        <is>
          <t>LOOMIS</t>
        </is>
      </c>
      <c r="E1484" t="inlineStr">
        <is>
          <t>BRIANNA</t>
        </is>
      </c>
      <c r="F1484">
        <f>CONCATENATE(D1484," ",LEFT(H1484,4),"T=",AU1484,"D=",AV1484,"R=",AW1484,"M=",AX1484,"L=",AY1484,"B=",AZ1484)</f>
        <v/>
      </c>
      <c r="G1484" t="inlineStr">
        <is>
          <t>NICOLE</t>
        </is>
      </c>
      <c r="I1484" t="inlineStr">
        <is>
          <t>2004-01-19</t>
        </is>
      </c>
      <c r="J1484" t="inlineStr">
        <is>
          <t>2024-07-10</t>
        </is>
      </c>
      <c r="K1484" t="inlineStr">
        <is>
          <t>ACTIVE</t>
        </is>
      </c>
      <c r="M1484" t="inlineStr">
        <is>
          <t>1044 HARRISON ST NE</t>
        </is>
      </c>
      <c r="N1484">
        <f>RIGHT(M1484,LEN(M1484)-FIND(" ",M1484))</f>
        <v/>
      </c>
      <c r="P1484" t="inlineStr">
        <is>
          <t>WARREN</t>
        </is>
      </c>
      <c r="Q1484" t="inlineStr">
        <is>
          <t>OH</t>
        </is>
      </c>
      <c r="R1484" t="n">
        <v>44483</v>
      </c>
      <c r="AD1484" t="inlineStr">
        <is>
          <t>TRUMBULL CAREER &amp; TECH CENTER</t>
        </is>
      </c>
      <c r="AE1484" t="inlineStr">
        <is>
          <t>WARREN CITY</t>
        </is>
      </c>
      <c r="AF1484" t="inlineStr">
        <is>
          <t>WARREN CITY SD</t>
        </is>
      </c>
      <c r="AH1484" t="n">
        <v>14</v>
      </c>
      <c r="AI1484" t="n">
        <v>11</v>
      </c>
      <c r="AN1484" t="inlineStr">
        <is>
          <t>WARREN</t>
        </is>
      </c>
      <c r="AO1484" t="inlineStr">
        <is>
          <t>WARREN CITY 4D</t>
        </is>
      </c>
      <c r="AP1484" t="inlineStr">
        <is>
          <t>78-P-ADL</t>
        </is>
      </c>
      <c r="AQ1484" t="n">
        <v>9</v>
      </c>
      <c r="AR1484" t="n">
        <v>64</v>
      </c>
      <c r="AS1484" t="n">
        <v>32</v>
      </c>
      <c r="AU1484">
        <f>COUNTA($BA$1484:$EH$1484)</f>
        <v/>
      </c>
      <c r="AV1484">
        <f>COUNTIF($BA$1484:$EH$1484,"D")</f>
        <v/>
      </c>
      <c r="AW1484">
        <f>COUNTIF($BA$1484:$EH$1484,"R")</f>
        <v/>
      </c>
      <c r="AX1484">
        <f>IF(BN1484="D",1,0)+IF(BO1484="D",1,0)+IF(BT1484="D",1,0)+IF(BU1484="D",1,0)+IF(BW1484="D",1,0)+IF(CC1484="D",1,0)+IF(CD1484="D",1,0)+IF(CE1484="D",1,0)+IF(CF1484="D",1,0)+IF(CL1484="D",1,0)+IF(CM1484="D",1,0)+IF(CQ1484="D",1,0)+IF(CR1484="D",1,0)+IF(CS1484="D",1,0)+IF(CW1484="D",1,0)+IF(CX1484="D",1,0)+IF(DD1484="D",1,0)+IF(DE1484="D",1,0)+IF(DJ1484="D",1,0)+IF(DK1484="D",1,0)+IF(DO1484="D",1,0)+IF(DP1484="D",1,0)+IF(DQ1484="D",1,0)+IF(DW1484="D",1,0)+IF(DZ1484="D",1,0)+IF(EH1484="D",1,0)</f>
        <v/>
      </c>
      <c r="AY1484">
        <f>IF(DJ1484&lt;&gt;"",1,0)+IF(DK1484&lt;&gt;"",1,0)+IF(DM1484&lt;&gt;"",1,0)+IF(DO1484&lt;&gt;"",1,0)+IF(DP1484&lt;&gt;"",1,0)+IF(DQ1484&lt;&gt;"",1,0)+IF(DS1484&lt;&gt;"",1,0)+IF(DT1484&lt;&gt;"",1,0)+IF(DV1484&lt;&gt;"",1,0)+IF(DW1484&lt;&gt;"",1,0)+IF(DX1484&lt;&gt;"",1,0)+IF(DY1484&lt;&gt;"",1,0)+IF(DZ1484&lt;&gt;"",1,0)+IF(EB1484&lt;&gt;"",1,0)+IF(EC1484&lt;&gt;"",1,0)+IF(ED1484&lt;&gt;"",1,0)+IF(EG1484&lt;&gt;"",1,0)+IF(EH1484&lt;&gt;"",1,0)</f>
        <v/>
      </c>
      <c r="AZ1484">
        <f>IF(EH1484&lt;&gt;"",1,0)</f>
        <v/>
      </c>
      <c r="BB1484" t="inlineStr">
        <is>
          <t>WARREN-WARD 4</t>
        </is>
      </c>
    </row>
    <row r="1485">
      <c r="A1485" t="inlineStr">
        <is>
          <t>OH0027521839</t>
        </is>
      </c>
      <c r="B1485" t="n">
        <v>78</v>
      </c>
      <c r="C1485" t="n">
        <v>487795</v>
      </c>
      <c r="D1485" t="inlineStr">
        <is>
          <t>FAY</t>
        </is>
      </c>
      <c r="E1485" t="inlineStr">
        <is>
          <t>JOSHUA</t>
        </is>
      </c>
      <c r="F1485">
        <f>CONCATENATE(D1485," ",LEFT(H1485,4),"T=",AU1485,"D=",AV1485,"R=",AW1485,"M=",AX1485,"L=",AY1485,"B=",AZ1485)</f>
        <v/>
      </c>
      <c r="G1485" t="inlineStr">
        <is>
          <t>TIMOTHY</t>
        </is>
      </c>
      <c r="I1485" t="inlineStr">
        <is>
          <t>2001-03-29</t>
        </is>
      </c>
      <c r="J1485" t="inlineStr">
        <is>
          <t>2024-08-13</t>
        </is>
      </c>
      <c r="K1485" t="inlineStr">
        <is>
          <t>ACTIVE</t>
        </is>
      </c>
      <c r="M1485" t="inlineStr">
        <is>
          <t>296 MONROE ST NW</t>
        </is>
      </c>
      <c r="N1485">
        <f>RIGHT(M1485,LEN(M1485)-FIND(" ",M1485))</f>
        <v/>
      </c>
      <c r="P1485" t="inlineStr">
        <is>
          <t>WARREN</t>
        </is>
      </c>
      <c r="Q1485" t="inlineStr">
        <is>
          <t>OH</t>
        </is>
      </c>
      <c r="R1485" t="n">
        <v>44483</v>
      </c>
      <c r="AD1485" t="inlineStr">
        <is>
          <t>TRUMBULL CAREER &amp; TECH CENTER</t>
        </is>
      </c>
      <c r="AE1485" t="inlineStr">
        <is>
          <t>WARREN CITY</t>
        </is>
      </c>
      <c r="AF1485" t="inlineStr">
        <is>
          <t>WARREN CITY SD</t>
        </is>
      </c>
      <c r="AH1485" t="n">
        <v>14</v>
      </c>
      <c r="AI1485" t="n">
        <v>11</v>
      </c>
      <c r="AN1485" t="inlineStr">
        <is>
          <t>WARREN</t>
        </is>
      </c>
      <c r="AO1485" t="inlineStr">
        <is>
          <t>WARREN CITY 4D</t>
        </is>
      </c>
      <c r="AP1485" t="inlineStr">
        <is>
          <t>78-P-ADL</t>
        </is>
      </c>
      <c r="AQ1485" t="n">
        <v>9</v>
      </c>
      <c r="AR1485" t="n">
        <v>64</v>
      </c>
      <c r="AS1485" t="n">
        <v>32</v>
      </c>
      <c r="AU1485">
        <f>COUNTA($BA$1485:$EH$1485)</f>
        <v/>
      </c>
      <c r="AV1485">
        <f>COUNTIF($BA$1485:$EH$1485,"D")</f>
        <v/>
      </c>
      <c r="AW1485">
        <f>COUNTIF($BA$1485:$EH$1485,"R")</f>
        <v/>
      </c>
      <c r="AX1485">
        <f>IF(BN1485="D",1,0)+IF(BO1485="D",1,0)+IF(BT1485="D",1,0)+IF(BU1485="D",1,0)+IF(BW1485="D",1,0)+IF(CC1485="D",1,0)+IF(CD1485="D",1,0)+IF(CE1485="D",1,0)+IF(CF1485="D",1,0)+IF(CL1485="D",1,0)+IF(CM1485="D",1,0)+IF(CQ1485="D",1,0)+IF(CR1485="D",1,0)+IF(CS1485="D",1,0)+IF(CW1485="D",1,0)+IF(CX1485="D",1,0)+IF(DD1485="D",1,0)+IF(DE1485="D",1,0)+IF(DJ1485="D",1,0)+IF(DK1485="D",1,0)+IF(DO1485="D",1,0)+IF(DP1485="D",1,0)+IF(DQ1485="D",1,0)+IF(DW1485="D",1,0)+IF(DZ1485="D",1,0)+IF(EH1485="D",1,0)</f>
        <v/>
      </c>
      <c r="AY1485">
        <f>IF(DJ1485&lt;&gt;"",1,0)+IF(DK1485&lt;&gt;"",1,0)+IF(DM1485&lt;&gt;"",1,0)+IF(DO1485&lt;&gt;"",1,0)+IF(DP1485&lt;&gt;"",1,0)+IF(DQ1485&lt;&gt;"",1,0)+IF(DS1485&lt;&gt;"",1,0)+IF(DT1485&lt;&gt;"",1,0)+IF(DV1485&lt;&gt;"",1,0)+IF(DW1485&lt;&gt;"",1,0)+IF(DX1485&lt;&gt;"",1,0)+IF(DY1485&lt;&gt;"",1,0)+IF(DZ1485&lt;&gt;"",1,0)+IF(EB1485&lt;&gt;"",1,0)+IF(EC1485&lt;&gt;"",1,0)+IF(ED1485&lt;&gt;"",1,0)+IF(EG1485&lt;&gt;"",1,0)+IF(EH1485&lt;&gt;"",1,0)</f>
        <v/>
      </c>
      <c r="AZ1485">
        <f>IF(EH1485&lt;&gt;"",1,0)</f>
        <v/>
      </c>
      <c r="BB1485" t="inlineStr">
        <is>
          <t>WARREN-WARD 4</t>
        </is>
      </c>
      <c r="EF1485" t="inlineStr">
        <is>
          <t>X</t>
        </is>
      </c>
    </row>
    <row r="1486">
      <c r="A1486" t="inlineStr">
        <is>
          <t>OH0019008928</t>
        </is>
      </c>
      <c r="B1486" t="n">
        <v>78</v>
      </c>
      <c r="C1486" t="n">
        <v>347439</v>
      </c>
      <c r="D1486" t="inlineStr">
        <is>
          <t>THOMAS</t>
        </is>
      </c>
      <c r="E1486" t="inlineStr">
        <is>
          <t>BRIAN</t>
        </is>
      </c>
      <c r="F1486">
        <f>CONCATENATE(D1486," ",LEFT(H1486,4),"T=",AU1486,"D=",AV1486,"R=",AW1486,"M=",AX1486,"L=",AY1486,"B=",AZ1486)</f>
        <v/>
      </c>
      <c r="G1486" t="inlineStr">
        <is>
          <t>E</t>
        </is>
      </c>
      <c r="I1486" t="inlineStr">
        <is>
          <t>1981-11-27</t>
        </is>
      </c>
      <c r="J1486" t="inlineStr">
        <is>
          <t>2024-11-20</t>
        </is>
      </c>
      <c r="K1486" t="inlineStr">
        <is>
          <t>ACTIVE</t>
        </is>
      </c>
      <c r="M1486" t="inlineStr">
        <is>
          <t>445 OLIVE AVE NE</t>
        </is>
      </c>
      <c r="N1486">
        <f>RIGHT(M1486,LEN(M1486)-FIND(" ",M1486))</f>
        <v/>
      </c>
      <c r="P1486" t="inlineStr">
        <is>
          <t>WARREN</t>
        </is>
      </c>
      <c r="Q1486" t="inlineStr">
        <is>
          <t>OH</t>
        </is>
      </c>
      <c r="R1486" t="n">
        <v>44483</v>
      </c>
      <c r="AD1486" t="inlineStr">
        <is>
          <t>TRUMBULL CAREER &amp; TECH CENTER</t>
        </is>
      </c>
      <c r="AE1486" t="inlineStr">
        <is>
          <t>WARREN CITY</t>
        </is>
      </c>
      <c r="AF1486" t="inlineStr">
        <is>
          <t>WARREN CITY SD</t>
        </is>
      </c>
      <c r="AH1486" t="n">
        <v>14</v>
      </c>
      <c r="AI1486" t="n">
        <v>11</v>
      </c>
      <c r="AN1486" t="inlineStr">
        <is>
          <t>WARREN</t>
        </is>
      </c>
      <c r="AO1486" t="inlineStr">
        <is>
          <t>WARREN CITY 4D</t>
        </is>
      </c>
      <c r="AP1486" t="inlineStr">
        <is>
          <t>78-P-ADL</t>
        </is>
      </c>
      <c r="AQ1486" t="n">
        <v>9</v>
      </c>
      <c r="AR1486" t="n">
        <v>64</v>
      </c>
      <c r="AS1486" t="n">
        <v>32</v>
      </c>
      <c r="AU1486">
        <f>COUNTA($BA$1486:$EH$1486)</f>
        <v/>
      </c>
      <c r="AV1486">
        <f>COUNTIF($BA$1486:$EH$1486,"D")</f>
        <v/>
      </c>
      <c r="AW1486">
        <f>COUNTIF($BA$1486:$EH$1486,"R")</f>
        <v/>
      </c>
      <c r="AX1486">
        <f>IF(BN1486="D",1,0)+IF(BO1486="D",1,0)+IF(BT1486="D",1,0)+IF(BU1486="D",1,0)+IF(BW1486="D",1,0)+IF(CC1486="D",1,0)+IF(CD1486="D",1,0)+IF(CE1486="D",1,0)+IF(CF1486="D",1,0)+IF(CL1486="D",1,0)+IF(CM1486="D",1,0)+IF(CQ1486="D",1,0)+IF(CR1486="D",1,0)+IF(CS1486="D",1,0)+IF(CW1486="D",1,0)+IF(CX1486="D",1,0)+IF(DD1486="D",1,0)+IF(DE1486="D",1,0)+IF(DJ1486="D",1,0)+IF(DK1486="D",1,0)+IF(DO1486="D",1,0)+IF(DP1486="D",1,0)+IF(DQ1486="D",1,0)+IF(DW1486="D",1,0)+IF(DZ1486="D",1,0)+IF(EH1486="D",1,0)</f>
        <v/>
      </c>
      <c r="AY1486">
        <f>IF(DJ1486&lt;&gt;"",1,0)+IF(DK1486&lt;&gt;"",1,0)+IF(DM1486&lt;&gt;"",1,0)+IF(DO1486&lt;&gt;"",1,0)+IF(DP1486&lt;&gt;"",1,0)+IF(DQ1486&lt;&gt;"",1,0)+IF(DS1486&lt;&gt;"",1,0)+IF(DT1486&lt;&gt;"",1,0)+IF(DV1486&lt;&gt;"",1,0)+IF(DW1486&lt;&gt;"",1,0)+IF(DX1486&lt;&gt;"",1,0)+IF(DY1486&lt;&gt;"",1,0)+IF(DZ1486&lt;&gt;"",1,0)+IF(EB1486&lt;&gt;"",1,0)+IF(EC1486&lt;&gt;"",1,0)+IF(ED1486&lt;&gt;"",1,0)+IF(EG1486&lt;&gt;"",1,0)+IF(EH1486&lt;&gt;"",1,0)</f>
        <v/>
      </c>
      <c r="AZ1486">
        <f>IF(EH1486&lt;&gt;"",1,0)</f>
        <v/>
      </c>
      <c r="BB1486" t="inlineStr">
        <is>
          <t>WARREN-WARD 4</t>
        </is>
      </c>
      <c r="BY1486" t="inlineStr">
        <is>
          <t>D</t>
        </is>
      </c>
      <c r="CA1486" t="inlineStr">
        <is>
          <t>X</t>
        </is>
      </c>
      <c r="CG1486" t="inlineStr">
        <is>
          <t>X</t>
        </is>
      </c>
      <c r="CP1486" t="inlineStr">
        <is>
          <t>X</t>
        </is>
      </c>
    </row>
    <row r="1487">
      <c r="A1487" t="inlineStr">
        <is>
          <t>OH0026573627</t>
        </is>
      </c>
      <c r="B1487" t="n">
        <v>78</v>
      </c>
      <c r="C1487" t="n">
        <v>464457</v>
      </c>
      <c r="D1487" t="inlineStr">
        <is>
          <t>NEAL</t>
        </is>
      </c>
      <c r="E1487" t="inlineStr">
        <is>
          <t>KAI</t>
        </is>
      </c>
      <c r="F1487">
        <f>CONCATENATE(D1487," ",LEFT(H1487,4),"T=",AU1487,"D=",AV1487,"R=",AW1487,"M=",AX1487,"L=",AY1487,"B=",AZ1487)</f>
        <v/>
      </c>
      <c r="I1487" t="inlineStr">
        <is>
          <t>2003-09-04</t>
        </is>
      </c>
      <c r="J1487" t="inlineStr">
        <is>
          <t>2022-08-02</t>
        </is>
      </c>
      <c r="K1487" t="inlineStr">
        <is>
          <t>ACTIVE</t>
        </is>
      </c>
      <c r="L1487" t="inlineStr">
        <is>
          <t>D</t>
        </is>
      </c>
      <c r="M1487" t="inlineStr">
        <is>
          <t>168 IDDINGS AVE NE</t>
        </is>
      </c>
      <c r="N1487">
        <f>RIGHT(M1487,LEN(M1487)-FIND(" ",M1487))</f>
        <v/>
      </c>
      <c r="P1487" t="inlineStr">
        <is>
          <t>WARREN</t>
        </is>
      </c>
      <c r="Q1487" t="inlineStr">
        <is>
          <t>OH</t>
        </is>
      </c>
      <c r="R1487" t="n">
        <v>44483</v>
      </c>
      <c r="AD1487" t="inlineStr">
        <is>
          <t>TRUMBULL CAREER &amp; TECH CENTER</t>
        </is>
      </c>
      <c r="AE1487" t="inlineStr">
        <is>
          <t>WARREN CITY</t>
        </is>
      </c>
      <c r="AF1487" t="inlineStr">
        <is>
          <t>WARREN CITY SD</t>
        </is>
      </c>
      <c r="AH1487" t="n">
        <v>14</v>
      </c>
      <c r="AI1487" t="n">
        <v>11</v>
      </c>
      <c r="AN1487" t="inlineStr">
        <is>
          <t>WARREN</t>
        </is>
      </c>
      <c r="AO1487" t="inlineStr">
        <is>
          <t>WARREN CITY 4D</t>
        </is>
      </c>
      <c r="AP1487" t="inlineStr">
        <is>
          <t>78-P-ADL</t>
        </is>
      </c>
      <c r="AQ1487" t="n">
        <v>9</v>
      </c>
      <c r="AR1487" t="n">
        <v>64</v>
      </c>
      <c r="AS1487" t="n">
        <v>32</v>
      </c>
      <c r="AU1487">
        <f>COUNTA($BA$1487:$EH$1487)</f>
        <v/>
      </c>
      <c r="AV1487">
        <f>COUNTIF($BA$1487:$EH$1487,"D")</f>
        <v/>
      </c>
      <c r="AW1487">
        <f>COUNTIF($BA$1487:$EH$1487,"R")</f>
        <v/>
      </c>
      <c r="AX1487">
        <f>IF(BN1487="D",1,0)+IF(BO1487="D",1,0)+IF(BT1487="D",1,0)+IF(BU1487="D",1,0)+IF(BW1487="D",1,0)+IF(CC1487="D",1,0)+IF(CD1487="D",1,0)+IF(CE1487="D",1,0)+IF(CF1487="D",1,0)+IF(CL1487="D",1,0)+IF(CM1487="D",1,0)+IF(CQ1487="D",1,0)+IF(CR1487="D",1,0)+IF(CS1487="D",1,0)+IF(CW1487="D",1,0)+IF(CX1487="D",1,0)+IF(DD1487="D",1,0)+IF(DE1487="D",1,0)+IF(DJ1487="D",1,0)+IF(DK1487="D",1,0)+IF(DO1487="D",1,0)+IF(DP1487="D",1,0)+IF(DQ1487="D",1,0)+IF(DW1487="D",1,0)+IF(DZ1487="D",1,0)+IF(EH1487="D",1,0)</f>
        <v/>
      </c>
      <c r="AY1487">
        <f>IF(DJ1487&lt;&gt;"",1,0)+IF(DK1487&lt;&gt;"",1,0)+IF(DM1487&lt;&gt;"",1,0)+IF(DO1487&lt;&gt;"",1,0)+IF(DP1487&lt;&gt;"",1,0)+IF(DQ1487&lt;&gt;"",1,0)+IF(DS1487&lt;&gt;"",1,0)+IF(DT1487&lt;&gt;"",1,0)+IF(DV1487&lt;&gt;"",1,0)+IF(DW1487&lt;&gt;"",1,0)+IF(DX1487&lt;&gt;"",1,0)+IF(DY1487&lt;&gt;"",1,0)+IF(DZ1487&lt;&gt;"",1,0)+IF(EB1487&lt;&gt;"",1,0)+IF(EC1487&lt;&gt;"",1,0)+IF(ED1487&lt;&gt;"",1,0)+IF(EG1487&lt;&gt;"",1,0)+IF(EH1487&lt;&gt;"",1,0)</f>
        <v/>
      </c>
      <c r="AZ1487">
        <f>IF(EH1487&lt;&gt;"",1,0)</f>
        <v/>
      </c>
      <c r="BB1487" t="inlineStr">
        <is>
          <t>WARREN-WARD 4</t>
        </is>
      </c>
      <c r="DU1487" t="inlineStr">
        <is>
          <t>X</t>
        </is>
      </c>
      <c r="DW1487" t="inlineStr">
        <is>
          <t>D</t>
        </is>
      </c>
      <c r="DX1487" t="inlineStr">
        <is>
          <t>X</t>
        </is>
      </c>
      <c r="EA1487" t="inlineStr">
        <is>
          <t>X</t>
        </is>
      </c>
      <c r="ED1487" t="inlineStr">
        <is>
          <t>D</t>
        </is>
      </c>
      <c r="EF1487" t="inlineStr">
        <is>
          <t>X</t>
        </is>
      </c>
    </row>
    <row r="1488">
      <c r="A1488" t="inlineStr">
        <is>
          <t>OH0026267160</t>
        </is>
      </c>
      <c r="B1488" t="n">
        <v>78</v>
      </c>
      <c r="C1488" t="n">
        <v>459302</v>
      </c>
      <c r="D1488" t="inlineStr">
        <is>
          <t>BESWICK</t>
        </is>
      </c>
      <c r="E1488" t="inlineStr">
        <is>
          <t>MARY</t>
        </is>
      </c>
      <c r="F1488">
        <f>CONCATENATE(D1488," ",LEFT(H1488,4),"T=",AU1488,"D=",AV1488,"R=",AW1488,"M=",AX1488,"L=",AY1488,"B=",AZ1488)</f>
        <v/>
      </c>
      <c r="G1488" t="inlineStr">
        <is>
          <t>VERONICA</t>
        </is>
      </c>
      <c r="I1488" t="inlineStr">
        <is>
          <t>1955-10-24</t>
        </is>
      </c>
      <c r="J1488" t="inlineStr">
        <is>
          <t>2024-08-21</t>
        </is>
      </c>
      <c r="K1488" t="inlineStr">
        <is>
          <t>ACTIVE</t>
        </is>
      </c>
      <c r="M1488" t="inlineStr">
        <is>
          <t>233 LAWRENCE AVE NE</t>
        </is>
      </c>
      <c r="N1488">
        <f>RIGHT(M1488,LEN(M1488)-FIND(" ",M1488))</f>
        <v/>
      </c>
      <c r="P1488" t="inlineStr">
        <is>
          <t>WARREN</t>
        </is>
      </c>
      <c r="Q1488" t="inlineStr">
        <is>
          <t>OH</t>
        </is>
      </c>
      <c r="R1488" t="n">
        <v>44483</v>
      </c>
      <c r="AD1488" t="inlineStr">
        <is>
          <t>TRUMBULL CAREER &amp; TECH CENTER</t>
        </is>
      </c>
      <c r="AE1488" t="inlineStr">
        <is>
          <t>WARREN CITY</t>
        </is>
      </c>
      <c r="AF1488" t="inlineStr">
        <is>
          <t>WARREN CITY SD</t>
        </is>
      </c>
      <c r="AH1488" t="n">
        <v>14</v>
      </c>
      <c r="AI1488" t="n">
        <v>11</v>
      </c>
      <c r="AN1488" t="inlineStr">
        <is>
          <t>WARREN</t>
        </is>
      </c>
      <c r="AO1488" t="inlineStr">
        <is>
          <t>WARREN CITY 4D</t>
        </is>
      </c>
      <c r="AP1488" t="inlineStr">
        <is>
          <t>78-P-ADL</t>
        </is>
      </c>
      <c r="AQ1488" t="n">
        <v>9</v>
      </c>
      <c r="AR1488" t="n">
        <v>64</v>
      </c>
      <c r="AS1488" t="n">
        <v>32</v>
      </c>
      <c r="AU1488">
        <f>COUNTA($BA$1488:$EH$1488)</f>
        <v/>
      </c>
      <c r="AV1488">
        <f>COUNTIF($BA$1488:$EH$1488,"D")</f>
        <v/>
      </c>
      <c r="AW1488">
        <f>COUNTIF($BA$1488:$EH$1488,"R")</f>
        <v/>
      </c>
      <c r="AX1488">
        <f>IF(BN1488="D",1,0)+IF(BO1488="D",1,0)+IF(BT1488="D",1,0)+IF(BU1488="D",1,0)+IF(BW1488="D",1,0)+IF(CC1488="D",1,0)+IF(CD1488="D",1,0)+IF(CE1488="D",1,0)+IF(CF1488="D",1,0)+IF(CL1488="D",1,0)+IF(CM1488="D",1,0)+IF(CQ1488="D",1,0)+IF(CR1488="D",1,0)+IF(CS1488="D",1,0)+IF(CW1488="D",1,0)+IF(CX1488="D",1,0)+IF(DD1488="D",1,0)+IF(DE1488="D",1,0)+IF(DJ1488="D",1,0)+IF(DK1488="D",1,0)+IF(DO1488="D",1,0)+IF(DP1488="D",1,0)+IF(DQ1488="D",1,0)+IF(DW1488="D",1,0)+IF(DZ1488="D",1,0)+IF(EH1488="D",1,0)</f>
        <v/>
      </c>
      <c r="AY1488">
        <f>IF(DJ1488&lt;&gt;"",1,0)+IF(DK1488&lt;&gt;"",1,0)+IF(DM1488&lt;&gt;"",1,0)+IF(DO1488&lt;&gt;"",1,0)+IF(DP1488&lt;&gt;"",1,0)+IF(DQ1488&lt;&gt;"",1,0)+IF(DS1488&lt;&gt;"",1,0)+IF(DT1488&lt;&gt;"",1,0)+IF(DV1488&lt;&gt;"",1,0)+IF(DW1488&lt;&gt;"",1,0)+IF(DX1488&lt;&gt;"",1,0)+IF(DY1488&lt;&gt;"",1,0)+IF(DZ1488&lt;&gt;"",1,0)+IF(EB1488&lt;&gt;"",1,0)+IF(EC1488&lt;&gt;"",1,0)+IF(ED1488&lt;&gt;"",1,0)+IF(EG1488&lt;&gt;"",1,0)+IF(EH1488&lt;&gt;"",1,0)</f>
        <v/>
      </c>
      <c r="AZ1488">
        <f>IF(EH1488&lt;&gt;"",1,0)</f>
        <v/>
      </c>
      <c r="BB1488" t="inlineStr">
        <is>
          <t>WARREN-WARD 4</t>
        </is>
      </c>
      <c r="DR1488" t="inlineStr">
        <is>
          <t>X</t>
        </is>
      </c>
      <c r="EA1488" t="inlineStr">
        <is>
          <t>X</t>
        </is>
      </c>
      <c r="EF1488" t="inlineStr">
        <is>
          <t>X</t>
        </is>
      </c>
    </row>
    <row r="1489">
      <c r="A1489" t="inlineStr">
        <is>
          <t>OH0027839644</t>
        </is>
      </c>
      <c r="B1489" t="n">
        <v>78</v>
      </c>
      <c r="C1489" t="n">
        <v>492963</v>
      </c>
      <c r="D1489" t="inlineStr">
        <is>
          <t>BILL</t>
        </is>
      </c>
      <c r="E1489" t="inlineStr">
        <is>
          <t>LANCE</t>
        </is>
      </c>
      <c r="F1489">
        <f>CONCATENATE(D1489," ",LEFT(H1489,4),"T=",AU1489,"D=",AV1489,"R=",AW1489,"M=",AX1489,"L=",AY1489,"B=",AZ1489)</f>
        <v/>
      </c>
      <c r="G1489" t="inlineStr">
        <is>
          <t>TAYLOR</t>
        </is>
      </c>
      <c r="I1489" t="inlineStr">
        <is>
          <t>2002-11-27</t>
        </is>
      </c>
      <c r="J1489" t="inlineStr">
        <is>
          <t>2024-11-21</t>
        </is>
      </c>
      <c r="K1489" t="inlineStr">
        <is>
          <t>ACTIVE</t>
        </is>
      </c>
      <c r="M1489" t="inlineStr">
        <is>
          <t>433 LOGAN AVE NE</t>
        </is>
      </c>
      <c r="N1489">
        <f>RIGHT(M1489,LEN(M1489)-FIND(" ",M1489))</f>
        <v/>
      </c>
      <c r="P1489" t="inlineStr">
        <is>
          <t>WARREN</t>
        </is>
      </c>
      <c r="Q1489" t="inlineStr">
        <is>
          <t>OH</t>
        </is>
      </c>
      <c r="R1489" t="n">
        <v>44483</v>
      </c>
      <c r="AD1489" t="inlineStr">
        <is>
          <t>TRUMBULL CAREER &amp; TECH CENTER</t>
        </is>
      </c>
      <c r="AE1489" t="inlineStr">
        <is>
          <t>WARREN CITY</t>
        </is>
      </c>
      <c r="AF1489" t="inlineStr">
        <is>
          <t>WARREN CITY SD</t>
        </is>
      </c>
      <c r="AH1489" t="n">
        <v>14</v>
      </c>
      <c r="AI1489" t="n">
        <v>11</v>
      </c>
      <c r="AN1489" t="inlineStr">
        <is>
          <t>WARREN</t>
        </is>
      </c>
      <c r="AO1489" t="inlineStr">
        <is>
          <t>WARREN CITY 4D</t>
        </is>
      </c>
      <c r="AP1489" t="inlineStr">
        <is>
          <t>78-P-ADL</t>
        </is>
      </c>
      <c r="AQ1489" t="n">
        <v>9</v>
      </c>
      <c r="AR1489" t="n">
        <v>64</v>
      </c>
      <c r="AS1489" t="n">
        <v>32</v>
      </c>
      <c r="AU1489">
        <f>COUNTA($BA$1489:$EH$1489)</f>
        <v/>
      </c>
      <c r="AV1489">
        <f>COUNTIF($BA$1489:$EH$1489,"D")</f>
        <v/>
      </c>
      <c r="AW1489">
        <f>COUNTIF($BA$1489:$EH$1489,"R")</f>
        <v/>
      </c>
      <c r="AX1489">
        <f>IF(BN1489="D",1,0)+IF(BO1489="D",1,0)+IF(BT1489="D",1,0)+IF(BU1489="D",1,0)+IF(BW1489="D",1,0)+IF(CC1489="D",1,0)+IF(CD1489="D",1,0)+IF(CE1489="D",1,0)+IF(CF1489="D",1,0)+IF(CL1489="D",1,0)+IF(CM1489="D",1,0)+IF(CQ1489="D",1,0)+IF(CR1489="D",1,0)+IF(CS1489="D",1,0)+IF(CW1489="D",1,0)+IF(CX1489="D",1,0)+IF(DD1489="D",1,0)+IF(DE1489="D",1,0)+IF(DJ1489="D",1,0)+IF(DK1489="D",1,0)+IF(DO1489="D",1,0)+IF(DP1489="D",1,0)+IF(DQ1489="D",1,0)+IF(DW1489="D",1,0)+IF(DZ1489="D",1,0)+IF(EH1489="D",1,0)</f>
        <v/>
      </c>
      <c r="AY1489">
        <f>IF(DJ1489&lt;&gt;"",1,0)+IF(DK1489&lt;&gt;"",1,0)+IF(DM1489&lt;&gt;"",1,0)+IF(DO1489&lt;&gt;"",1,0)+IF(DP1489&lt;&gt;"",1,0)+IF(DQ1489&lt;&gt;"",1,0)+IF(DS1489&lt;&gt;"",1,0)+IF(DT1489&lt;&gt;"",1,0)+IF(DV1489&lt;&gt;"",1,0)+IF(DW1489&lt;&gt;"",1,0)+IF(DX1489&lt;&gt;"",1,0)+IF(DY1489&lt;&gt;"",1,0)+IF(DZ1489&lt;&gt;"",1,0)+IF(EB1489&lt;&gt;"",1,0)+IF(EC1489&lt;&gt;"",1,0)+IF(ED1489&lt;&gt;"",1,0)+IF(EG1489&lt;&gt;"",1,0)+IF(EH1489&lt;&gt;"",1,0)</f>
        <v/>
      </c>
      <c r="AZ1489">
        <f>IF(EH1489&lt;&gt;"",1,0)</f>
        <v/>
      </c>
      <c r="BB1489" t="inlineStr">
        <is>
          <t>WARREN-WARD 4</t>
        </is>
      </c>
    </row>
    <row r="1490">
      <c r="A1490" t="inlineStr">
        <is>
          <t>OH0015823081</t>
        </is>
      </c>
      <c r="B1490" t="n">
        <v>78</v>
      </c>
      <c r="C1490" t="n">
        <v>287941</v>
      </c>
      <c r="D1490" t="inlineStr">
        <is>
          <t>WALKER</t>
        </is>
      </c>
      <c r="E1490" t="inlineStr">
        <is>
          <t>JAKITA</t>
        </is>
      </c>
      <c r="F1490">
        <f>CONCATENATE(D1490," ",LEFT(H1490,4),"T=",AU1490,"D=",AV1490,"R=",AW1490,"M=",AX1490,"L=",AY1490,"B=",AZ1490)</f>
        <v/>
      </c>
      <c r="G1490" t="inlineStr">
        <is>
          <t>M</t>
        </is>
      </c>
      <c r="I1490" t="inlineStr">
        <is>
          <t>1979-10-22</t>
        </is>
      </c>
      <c r="J1490" t="inlineStr">
        <is>
          <t>2020-11-23</t>
        </is>
      </c>
      <c r="K1490" t="inlineStr">
        <is>
          <t>ACTIVE</t>
        </is>
      </c>
      <c r="L1490" t="inlineStr">
        <is>
          <t>D</t>
        </is>
      </c>
      <c r="M1490" t="inlineStr">
        <is>
          <t>232 LAWRENCE AVE NE</t>
        </is>
      </c>
      <c r="N1490">
        <f>RIGHT(M1490,LEN(M1490)-FIND(" ",M1490))</f>
        <v/>
      </c>
      <c r="P1490" t="inlineStr">
        <is>
          <t>WARREN</t>
        </is>
      </c>
      <c r="Q1490" t="inlineStr">
        <is>
          <t>OH</t>
        </is>
      </c>
      <c r="R1490" t="n">
        <v>44483</v>
      </c>
      <c r="AD1490" t="inlineStr">
        <is>
          <t>TRUMBULL CAREER &amp; TECH CENTER</t>
        </is>
      </c>
      <c r="AE1490" t="inlineStr">
        <is>
          <t>WARREN CITY</t>
        </is>
      </c>
      <c r="AF1490" t="inlineStr">
        <is>
          <t>WARREN CITY SD</t>
        </is>
      </c>
      <c r="AH1490" t="n">
        <v>14</v>
      </c>
      <c r="AI1490" t="n">
        <v>11</v>
      </c>
      <c r="AN1490" t="inlineStr">
        <is>
          <t>WARREN</t>
        </is>
      </c>
      <c r="AO1490" t="inlineStr">
        <is>
          <t>WARREN CITY 4D</t>
        </is>
      </c>
      <c r="AP1490" t="inlineStr">
        <is>
          <t>78-P-ADL</t>
        </is>
      </c>
      <c r="AQ1490" t="n">
        <v>9</v>
      </c>
      <c r="AR1490" t="n">
        <v>64</v>
      </c>
      <c r="AS1490" t="n">
        <v>32</v>
      </c>
      <c r="AU1490">
        <f>COUNTA($BA$1490:$EH$1490)</f>
        <v/>
      </c>
      <c r="AV1490">
        <f>COUNTIF($BA$1490:$EH$1490,"D")</f>
        <v/>
      </c>
      <c r="AW1490">
        <f>COUNTIF($BA$1490:$EH$1490,"R")</f>
        <v/>
      </c>
      <c r="AX1490">
        <f>IF(BN1490="D",1,0)+IF(BO1490="D",1,0)+IF(BT1490="D",1,0)+IF(BU1490="D",1,0)+IF(BW1490="D",1,0)+IF(CC1490="D",1,0)+IF(CD1490="D",1,0)+IF(CE1490="D",1,0)+IF(CF1490="D",1,0)+IF(CL1490="D",1,0)+IF(CM1490="D",1,0)+IF(CQ1490="D",1,0)+IF(CR1490="D",1,0)+IF(CS1490="D",1,0)+IF(CW1490="D",1,0)+IF(CX1490="D",1,0)+IF(DD1490="D",1,0)+IF(DE1490="D",1,0)+IF(DJ1490="D",1,0)+IF(DK1490="D",1,0)+IF(DO1490="D",1,0)+IF(DP1490="D",1,0)+IF(DQ1490="D",1,0)+IF(DW1490="D",1,0)+IF(DZ1490="D",1,0)+IF(EH1490="D",1,0)</f>
        <v/>
      </c>
      <c r="AY1490">
        <f>IF(DJ1490&lt;&gt;"",1,0)+IF(DK1490&lt;&gt;"",1,0)+IF(DM1490&lt;&gt;"",1,0)+IF(DO1490&lt;&gt;"",1,0)+IF(DP1490&lt;&gt;"",1,0)+IF(DQ1490&lt;&gt;"",1,0)+IF(DS1490&lt;&gt;"",1,0)+IF(DT1490&lt;&gt;"",1,0)+IF(DV1490&lt;&gt;"",1,0)+IF(DW1490&lt;&gt;"",1,0)+IF(DX1490&lt;&gt;"",1,0)+IF(DY1490&lt;&gt;"",1,0)+IF(DZ1490&lt;&gt;"",1,0)+IF(EB1490&lt;&gt;"",1,0)+IF(EC1490&lt;&gt;"",1,0)+IF(ED1490&lt;&gt;"",1,0)+IF(EG1490&lt;&gt;"",1,0)+IF(EH1490&lt;&gt;"",1,0)</f>
        <v/>
      </c>
      <c r="AZ1490">
        <f>IF(EH1490&lt;&gt;"",1,0)</f>
        <v/>
      </c>
      <c r="BB1490" t="inlineStr">
        <is>
          <t>WARREN-WARD 4</t>
        </is>
      </c>
      <c r="BH1490" t="inlineStr">
        <is>
          <t>X</t>
        </is>
      </c>
      <c r="BL1490" t="inlineStr">
        <is>
          <t>X</t>
        </is>
      </c>
      <c r="BP1490" t="inlineStr">
        <is>
          <t>X</t>
        </is>
      </c>
      <c r="BS1490" t="inlineStr">
        <is>
          <t>X</t>
        </is>
      </c>
      <c r="CA1490" t="inlineStr">
        <is>
          <t>X</t>
        </is>
      </c>
      <c r="CK1490" t="inlineStr">
        <is>
          <t>X</t>
        </is>
      </c>
      <c r="CP1490" t="inlineStr">
        <is>
          <t>X</t>
        </is>
      </c>
      <c r="CV1490" t="inlineStr">
        <is>
          <t>X</t>
        </is>
      </c>
      <c r="CY1490" t="inlineStr">
        <is>
          <t>X</t>
        </is>
      </c>
      <c r="CZ1490" t="inlineStr">
        <is>
          <t>D</t>
        </is>
      </c>
      <c r="DC1490" t="inlineStr">
        <is>
          <t>X</t>
        </is>
      </c>
      <c r="DF1490" t="inlineStr">
        <is>
          <t>X</t>
        </is>
      </c>
      <c r="DI1490" t="inlineStr">
        <is>
          <t>X</t>
        </is>
      </c>
      <c r="DL1490" t="inlineStr">
        <is>
          <t>X</t>
        </is>
      </c>
      <c r="DN1490" t="inlineStr">
        <is>
          <t>X</t>
        </is>
      </c>
      <c r="DT1490" t="inlineStr">
        <is>
          <t>D</t>
        </is>
      </c>
      <c r="EA1490" t="inlineStr">
        <is>
          <t>X</t>
        </is>
      </c>
      <c r="EF1490" t="inlineStr">
        <is>
          <t>X</t>
        </is>
      </c>
    </row>
    <row r="1491">
      <c r="A1491" t="inlineStr">
        <is>
          <t>OH0015712407</t>
        </is>
      </c>
      <c r="B1491" t="n">
        <v>78</v>
      </c>
      <c r="C1491" t="n">
        <v>183160</v>
      </c>
      <c r="D1491" t="inlineStr">
        <is>
          <t>YAUGER</t>
        </is>
      </c>
      <c r="E1491" t="inlineStr">
        <is>
          <t>THOMAS</t>
        </is>
      </c>
      <c r="F1491">
        <f>CONCATENATE(D1491," ",LEFT(H1491,4),"T=",AU1491,"D=",AV1491,"R=",AW1491,"M=",AX1491,"L=",AY1491,"B=",AZ1491)</f>
        <v/>
      </c>
      <c r="I1491" t="inlineStr">
        <is>
          <t>1967-07-30</t>
        </is>
      </c>
      <c r="J1491" t="inlineStr">
        <is>
          <t>1985-04-03</t>
        </is>
      </c>
      <c r="K1491" t="inlineStr">
        <is>
          <t>ACTIVE</t>
        </is>
      </c>
      <c r="L1491" t="inlineStr">
        <is>
          <t>D</t>
        </is>
      </c>
      <c r="M1491" t="inlineStr">
        <is>
          <t>460 BELMONT AVE NE</t>
        </is>
      </c>
      <c r="N1491">
        <f>RIGHT(M1491,LEN(M1491)-FIND(" ",M1491))</f>
        <v/>
      </c>
      <c r="P1491" t="inlineStr">
        <is>
          <t>WARREN</t>
        </is>
      </c>
      <c r="Q1491" t="inlineStr">
        <is>
          <t>OH</t>
        </is>
      </c>
      <c r="R1491" t="n">
        <v>44483</v>
      </c>
      <c r="AD1491" t="inlineStr">
        <is>
          <t>TRUMBULL CAREER &amp; TECH CENTER</t>
        </is>
      </c>
      <c r="AE1491" t="inlineStr">
        <is>
          <t>WARREN CITY</t>
        </is>
      </c>
      <c r="AF1491" t="inlineStr">
        <is>
          <t>WARREN CITY SD</t>
        </is>
      </c>
      <c r="AH1491" t="n">
        <v>14</v>
      </c>
      <c r="AI1491" t="n">
        <v>11</v>
      </c>
      <c r="AN1491" t="inlineStr">
        <is>
          <t>WARREN</t>
        </is>
      </c>
      <c r="AO1491" t="inlineStr">
        <is>
          <t>WARREN CITY 4D</t>
        </is>
      </c>
      <c r="AP1491" t="inlineStr">
        <is>
          <t>78-P-ADL</t>
        </is>
      </c>
      <c r="AQ1491" t="n">
        <v>9</v>
      </c>
      <c r="AR1491" t="n">
        <v>64</v>
      </c>
      <c r="AS1491" t="n">
        <v>32</v>
      </c>
      <c r="AU1491">
        <f>COUNTA($BA$1491:$EH$1491)</f>
        <v/>
      </c>
      <c r="AV1491">
        <f>COUNTIF($BA$1491:$EH$1491,"D")</f>
        <v/>
      </c>
      <c r="AW1491">
        <f>COUNTIF($BA$1491:$EH$1491,"R")</f>
        <v/>
      </c>
      <c r="AX1491">
        <f>IF(BN1491="D",1,0)+IF(BO1491="D",1,0)+IF(BT1491="D",1,0)+IF(BU1491="D",1,0)+IF(BW1491="D",1,0)+IF(CC1491="D",1,0)+IF(CD1491="D",1,0)+IF(CE1491="D",1,0)+IF(CF1491="D",1,0)+IF(CL1491="D",1,0)+IF(CM1491="D",1,0)+IF(CQ1491="D",1,0)+IF(CR1491="D",1,0)+IF(CS1491="D",1,0)+IF(CW1491="D",1,0)+IF(CX1491="D",1,0)+IF(DD1491="D",1,0)+IF(DE1491="D",1,0)+IF(DJ1491="D",1,0)+IF(DK1491="D",1,0)+IF(DO1491="D",1,0)+IF(DP1491="D",1,0)+IF(DQ1491="D",1,0)+IF(DW1491="D",1,0)+IF(DZ1491="D",1,0)+IF(EH1491="D",1,0)</f>
        <v/>
      </c>
      <c r="AY1491">
        <f>IF(DJ1491&lt;&gt;"",1,0)+IF(DK1491&lt;&gt;"",1,0)+IF(DM1491&lt;&gt;"",1,0)+IF(DO1491&lt;&gt;"",1,0)+IF(DP1491&lt;&gt;"",1,0)+IF(DQ1491&lt;&gt;"",1,0)+IF(DS1491&lt;&gt;"",1,0)+IF(DT1491&lt;&gt;"",1,0)+IF(DV1491&lt;&gt;"",1,0)+IF(DW1491&lt;&gt;"",1,0)+IF(DX1491&lt;&gt;"",1,0)+IF(DY1491&lt;&gt;"",1,0)+IF(DZ1491&lt;&gt;"",1,0)+IF(EB1491&lt;&gt;"",1,0)+IF(EC1491&lt;&gt;"",1,0)+IF(ED1491&lt;&gt;"",1,0)+IF(EG1491&lt;&gt;"",1,0)+IF(EH1491&lt;&gt;"",1,0)</f>
        <v/>
      </c>
      <c r="AZ1491">
        <f>IF(EH1491&lt;&gt;"",1,0)</f>
        <v/>
      </c>
      <c r="BB1491" t="inlineStr">
        <is>
          <t>WARREN-WARD 4</t>
        </is>
      </c>
      <c r="BC1491" t="inlineStr">
        <is>
          <t>X</t>
        </is>
      </c>
      <c r="BD1491" t="inlineStr">
        <is>
          <t>X</t>
        </is>
      </c>
      <c r="BE1491" t="inlineStr">
        <is>
          <t>X</t>
        </is>
      </c>
      <c r="BJ1491" t="inlineStr">
        <is>
          <t>X</t>
        </is>
      </c>
      <c r="BL1491" t="inlineStr">
        <is>
          <t>X</t>
        </is>
      </c>
      <c r="BP1491" t="inlineStr">
        <is>
          <t>X</t>
        </is>
      </c>
      <c r="BS1491" t="inlineStr">
        <is>
          <t>X</t>
        </is>
      </c>
      <c r="BT1491" t="inlineStr">
        <is>
          <t>X</t>
        </is>
      </c>
      <c r="BV1491" t="inlineStr">
        <is>
          <t>X</t>
        </is>
      </c>
      <c r="CA1491" t="inlineStr">
        <is>
          <t>X</t>
        </is>
      </c>
      <c r="CK1491" t="inlineStr">
        <is>
          <t>X</t>
        </is>
      </c>
      <c r="CL1491" t="inlineStr">
        <is>
          <t>D</t>
        </is>
      </c>
      <c r="CN1491" t="inlineStr">
        <is>
          <t>X</t>
        </is>
      </c>
      <c r="CP1491" t="inlineStr">
        <is>
          <t>X</t>
        </is>
      </c>
      <c r="CT1491" t="inlineStr">
        <is>
          <t>X</t>
        </is>
      </c>
      <c r="CY1491" t="inlineStr">
        <is>
          <t>X</t>
        </is>
      </c>
      <c r="DC1491" t="inlineStr">
        <is>
          <t>X</t>
        </is>
      </c>
      <c r="DF1491" t="inlineStr">
        <is>
          <t>X</t>
        </is>
      </c>
      <c r="DG1491" t="inlineStr">
        <is>
          <t>D</t>
        </is>
      </c>
      <c r="DI1491" t="inlineStr">
        <is>
          <t>X</t>
        </is>
      </c>
      <c r="DJ1491" t="inlineStr">
        <is>
          <t>D</t>
        </is>
      </c>
      <c r="DL1491" t="inlineStr">
        <is>
          <t>X</t>
        </is>
      </c>
      <c r="DM1491" t="inlineStr">
        <is>
          <t>D</t>
        </is>
      </c>
      <c r="DN1491" t="inlineStr">
        <is>
          <t>X</t>
        </is>
      </c>
      <c r="DS1491" t="inlineStr">
        <is>
          <t>D</t>
        </is>
      </c>
      <c r="DU1491" t="inlineStr">
        <is>
          <t>X</t>
        </is>
      </c>
      <c r="DX1491" t="inlineStr">
        <is>
          <t>X</t>
        </is>
      </c>
      <c r="EA1491" t="inlineStr">
        <is>
          <t>X</t>
        </is>
      </c>
      <c r="ED1491" t="inlineStr">
        <is>
          <t>D</t>
        </is>
      </c>
      <c r="EF1491" t="inlineStr">
        <is>
          <t>X</t>
        </is>
      </c>
    </row>
    <row r="1492">
      <c r="A1492" t="inlineStr">
        <is>
          <t>OH0015723709</t>
        </is>
      </c>
      <c r="B1492" t="n">
        <v>78</v>
      </c>
      <c r="C1492" t="n">
        <v>206561</v>
      </c>
      <c r="D1492" t="inlineStr">
        <is>
          <t>YAUGER</t>
        </is>
      </c>
      <c r="E1492" t="inlineStr">
        <is>
          <t>PATRICIA</t>
        </is>
      </c>
      <c r="F1492">
        <f>CONCATENATE(D1492," ",LEFT(H1492,4),"T=",AU1492,"D=",AV1492,"R=",AW1492,"M=",AX1492,"L=",AY1492,"B=",AZ1492)</f>
        <v/>
      </c>
      <c r="G1492" t="inlineStr">
        <is>
          <t>K</t>
        </is>
      </c>
      <c r="I1492" t="inlineStr">
        <is>
          <t>1970-03-18</t>
        </is>
      </c>
      <c r="J1492" t="inlineStr">
        <is>
          <t>1988-05-13</t>
        </is>
      </c>
      <c r="K1492" t="inlineStr">
        <is>
          <t>ACTIVE</t>
        </is>
      </c>
      <c r="L1492" t="inlineStr">
        <is>
          <t>D</t>
        </is>
      </c>
      <c r="M1492" t="inlineStr">
        <is>
          <t>460 BELMONT AVE NE</t>
        </is>
      </c>
      <c r="N1492">
        <f>RIGHT(M1492,LEN(M1492)-FIND(" ",M1492))</f>
        <v/>
      </c>
      <c r="P1492" t="inlineStr">
        <is>
          <t>WARREN</t>
        </is>
      </c>
      <c r="Q1492" t="inlineStr">
        <is>
          <t>OH</t>
        </is>
      </c>
      <c r="R1492" t="n">
        <v>44483</v>
      </c>
      <c r="AD1492" t="inlineStr">
        <is>
          <t>TRUMBULL CAREER &amp; TECH CENTER</t>
        </is>
      </c>
      <c r="AE1492" t="inlineStr">
        <is>
          <t>WARREN CITY</t>
        </is>
      </c>
      <c r="AF1492" t="inlineStr">
        <is>
          <t>WARREN CITY SD</t>
        </is>
      </c>
      <c r="AH1492" t="n">
        <v>14</v>
      </c>
      <c r="AI1492" t="n">
        <v>11</v>
      </c>
      <c r="AN1492" t="inlineStr">
        <is>
          <t>WARREN</t>
        </is>
      </c>
      <c r="AO1492" t="inlineStr">
        <is>
          <t>WARREN CITY 4D</t>
        </is>
      </c>
      <c r="AP1492" t="inlineStr">
        <is>
          <t>78-P-ADL</t>
        </is>
      </c>
      <c r="AQ1492" t="n">
        <v>9</v>
      </c>
      <c r="AR1492" t="n">
        <v>64</v>
      </c>
      <c r="AS1492" t="n">
        <v>32</v>
      </c>
      <c r="AU1492">
        <f>COUNTA($BA$1492:$EH$1492)</f>
        <v/>
      </c>
      <c r="AV1492">
        <f>COUNTIF($BA$1492:$EH$1492,"D")</f>
        <v/>
      </c>
      <c r="AW1492">
        <f>COUNTIF($BA$1492:$EH$1492,"R")</f>
        <v/>
      </c>
      <c r="AX1492">
        <f>IF(BN1492="D",1,0)+IF(BO1492="D",1,0)+IF(BT1492="D",1,0)+IF(BU1492="D",1,0)+IF(BW1492="D",1,0)+IF(CC1492="D",1,0)+IF(CD1492="D",1,0)+IF(CE1492="D",1,0)+IF(CF1492="D",1,0)+IF(CL1492="D",1,0)+IF(CM1492="D",1,0)+IF(CQ1492="D",1,0)+IF(CR1492="D",1,0)+IF(CS1492="D",1,0)+IF(CW1492="D",1,0)+IF(CX1492="D",1,0)+IF(DD1492="D",1,0)+IF(DE1492="D",1,0)+IF(DJ1492="D",1,0)+IF(DK1492="D",1,0)+IF(DO1492="D",1,0)+IF(DP1492="D",1,0)+IF(DQ1492="D",1,0)+IF(DW1492="D",1,0)+IF(DZ1492="D",1,0)+IF(EH1492="D",1,0)</f>
        <v/>
      </c>
      <c r="AY1492">
        <f>IF(DJ1492&lt;&gt;"",1,0)+IF(DK1492&lt;&gt;"",1,0)+IF(DM1492&lt;&gt;"",1,0)+IF(DO1492&lt;&gt;"",1,0)+IF(DP1492&lt;&gt;"",1,0)+IF(DQ1492&lt;&gt;"",1,0)+IF(DS1492&lt;&gt;"",1,0)+IF(DT1492&lt;&gt;"",1,0)+IF(DV1492&lt;&gt;"",1,0)+IF(DW1492&lt;&gt;"",1,0)+IF(DX1492&lt;&gt;"",1,0)+IF(DY1492&lt;&gt;"",1,0)+IF(DZ1492&lt;&gt;"",1,0)+IF(EB1492&lt;&gt;"",1,0)+IF(EC1492&lt;&gt;"",1,0)+IF(ED1492&lt;&gt;"",1,0)+IF(EG1492&lt;&gt;"",1,0)+IF(EH1492&lt;&gt;"",1,0)</f>
        <v/>
      </c>
      <c r="AZ1492">
        <f>IF(EH1492&lt;&gt;"",1,0)</f>
        <v/>
      </c>
      <c r="BB1492" t="inlineStr">
        <is>
          <t>WARREN-WARD 4</t>
        </is>
      </c>
      <c r="BC1492" t="inlineStr">
        <is>
          <t>X</t>
        </is>
      </c>
      <c r="BD1492" t="inlineStr">
        <is>
          <t>X</t>
        </is>
      </c>
      <c r="BE1492" t="inlineStr">
        <is>
          <t>X</t>
        </is>
      </c>
      <c r="BJ1492" t="inlineStr">
        <is>
          <t>X</t>
        </is>
      </c>
      <c r="BL1492" t="inlineStr">
        <is>
          <t>X</t>
        </is>
      </c>
      <c r="BP1492" t="inlineStr">
        <is>
          <t>X</t>
        </is>
      </c>
      <c r="BS1492" t="inlineStr">
        <is>
          <t>X</t>
        </is>
      </c>
      <c r="BT1492" t="inlineStr">
        <is>
          <t>X</t>
        </is>
      </c>
      <c r="BV1492" t="inlineStr">
        <is>
          <t>X</t>
        </is>
      </c>
      <c r="CA1492" t="inlineStr">
        <is>
          <t>X</t>
        </is>
      </c>
      <c r="CK1492" t="inlineStr">
        <is>
          <t>X</t>
        </is>
      </c>
      <c r="CL1492" t="inlineStr">
        <is>
          <t>D</t>
        </is>
      </c>
      <c r="CN1492" t="inlineStr">
        <is>
          <t>X</t>
        </is>
      </c>
      <c r="CP1492" t="inlineStr">
        <is>
          <t>X</t>
        </is>
      </c>
      <c r="CT1492" t="inlineStr">
        <is>
          <t>X</t>
        </is>
      </c>
      <c r="CV1492" t="inlineStr">
        <is>
          <t>X</t>
        </is>
      </c>
      <c r="CW1492" t="inlineStr">
        <is>
          <t>D</t>
        </is>
      </c>
      <c r="CY1492" t="inlineStr">
        <is>
          <t>X</t>
        </is>
      </c>
      <c r="CZ1492" t="inlineStr">
        <is>
          <t>D</t>
        </is>
      </c>
      <c r="DC1492" t="inlineStr">
        <is>
          <t>X</t>
        </is>
      </c>
      <c r="DF1492" t="inlineStr">
        <is>
          <t>X</t>
        </is>
      </c>
      <c r="DG1492" t="inlineStr">
        <is>
          <t>D</t>
        </is>
      </c>
      <c r="DI1492" t="inlineStr">
        <is>
          <t>X</t>
        </is>
      </c>
      <c r="DJ1492" t="inlineStr">
        <is>
          <t>D</t>
        </is>
      </c>
      <c r="DL1492" t="inlineStr">
        <is>
          <t>X</t>
        </is>
      </c>
      <c r="DM1492" t="inlineStr">
        <is>
          <t>D</t>
        </is>
      </c>
      <c r="DN1492" t="inlineStr">
        <is>
          <t>X</t>
        </is>
      </c>
      <c r="DR1492" t="inlineStr">
        <is>
          <t>X</t>
        </is>
      </c>
      <c r="DS1492" t="inlineStr">
        <is>
          <t>D</t>
        </is>
      </c>
      <c r="DW1492" t="inlineStr">
        <is>
          <t>D</t>
        </is>
      </c>
      <c r="DX1492" t="inlineStr">
        <is>
          <t>X</t>
        </is>
      </c>
      <c r="EA1492" t="inlineStr">
        <is>
          <t>X</t>
        </is>
      </c>
      <c r="ED1492" t="inlineStr">
        <is>
          <t>D</t>
        </is>
      </c>
      <c r="EF1492" t="inlineStr">
        <is>
          <t>X</t>
        </is>
      </c>
      <c r="EH1492" t="inlineStr">
        <is>
          <t>D</t>
        </is>
      </c>
    </row>
    <row r="1493">
      <c r="A1493" t="inlineStr">
        <is>
          <t>OH0015764140</t>
        </is>
      </c>
      <c r="B1493" t="n">
        <v>78</v>
      </c>
      <c r="C1493" t="n">
        <v>251524</v>
      </c>
      <c r="D1493" t="inlineStr">
        <is>
          <t>ASHBURN</t>
        </is>
      </c>
      <c r="E1493" t="inlineStr">
        <is>
          <t>HELENE</t>
        </is>
      </c>
      <c r="F1493">
        <f>CONCATENATE(D1493," ",LEFT(H1493,4),"T=",AU1493,"D=",AV1493,"R=",AW1493,"M=",AX1493,"L=",AY1493,"B=",AZ1493)</f>
        <v/>
      </c>
      <c r="G1493" t="inlineStr">
        <is>
          <t>A</t>
        </is>
      </c>
      <c r="I1493" t="inlineStr">
        <is>
          <t>1956-04-06</t>
        </is>
      </c>
      <c r="J1493" t="inlineStr">
        <is>
          <t>2018-04-18</t>
        </is>
      </c>
      <c r="K1493" t="inlineStr">
        <is>
          <t>CONFIRMATION</t>
        </is>
      </c>
      <c r="M1493" t="inlineStr">
        <is>
          <t>240 MONROE ST NW</t>
        </is>
      </c>
      <c r="N1493">
        <f>RIGHT(M1493,LEN(M1493)-FIND(" ",M1493))</f>
        <v/>
      </c>
      <c r="O1493" t="inlineStr">
        <is>
          <t>APT 2</t>
        </is>
      </c>
      <c r="P1493" t="inlineStr">
        <is>
          <t>WARREN</t>
        </is>
      </c>
      <c r="Q1493" t="inlineStr">
        <is>
          <t>OH</t>
        </is>
      </c>
      <c r="R1493" t="n">
        <v>44483</v>
      </c>
      <c r="AD1493" t="inlineStr">
        <is>
          <t>TRUMBULL CAREER &amp; TECH CENTER</t>
        </is>
      </c>
      <c r="AE1493" t="inlineStr">
        <is>
          <t>WARREN CITY</t>
        </is>
      </c>
      <c r="AF1493" t="inlineStr">
        <is>
          <t>WARREN CITY SD</t>
        </is>
      </c>
      <c r="AH1493" t="n">
        <v>14</v>
      </c>
      <c r="AI1493" t="n">
        <v>11</v>
      </c>
      <c r="AN1493" t="inlineStr">
        <is>
          <t>WARREN</t>
        </is>
      </c>
      <c r="AO1493" t="inlineStr">
        <is>
          <t>WARREN CITY 4D</t>
        </is>
      </c>
      <c r="AP1493" t="inlineStr">
        <is>
          <t>78-P-ADL</t>
        </is>
      </c>
      <c r="AQ1493" t="n">
        <v>9</v>
      </c>
      <c r="AR1493" t="n">
        <v>64</v>
      </c>
      <c r="AS1493" t="n">
        <v>32</v>
      </c>
      <c r="AU1493">
        <f>COUNTA($BA$1493:$EH$1493)</f>
        <v/>
      </c>
      <c r="AV1493">
        <f>COUNTIF($BA$1493:$EH$1493,"D")</f>
        <v/>
      </c>
      <c r="AW1493">
        <f>COUNTIF($BA$1493:$EH$1493,"R")</f>
        <v/>
      </c>
      <c r="AX1493">
        <f>IF(BN1493="D",1,0)+IF(BO1493="D",1,0)+IF(BT1493="D",1,0)+IF(BU1493="D",1,0)+IF(BW1493="D",1,0)+IF(CC1493="D",1,0)+IF(CD1493="D",1,0)+IF(CE1493="D",1,0)+IF(CF1493="D",1,0)+IF(CL1493="D",1,0)+IF(CM1493="D",1,0)+IF(CQ1493="D",1,0)+IF(CR1493="D",1,0)+IF(CS1493="D",1,0)+IF(CW1493="D",1,0)+IF(CX1493="D",1,0)+IF(DD1493="D",1,0)+IF(DE1493="D",1,0)+IF(DJ1493="D",1,0)+IF(DK1493="D",1,0)+IF(DO1493="D",1,0)+IF(DP1493="D",1,0)+IF(DQ1493="D",1,0)+IF(DW1493="D",1,0)+IF(DZ1493="D",1,0)+IF(EH1493="D",1,0)</f>
        <v/>
      </c>
      <c r="AY1493">
        <f>IF(DJ1493&lt;&gt;"",1,0)+IF(DK1493&lt;&gt;"",1,0)+IF(DM1493&lt;&gt;"",1,0)+IF(DO1493&lt;&gt;"",1,0)+IF(DP1493&lt;&gt;"",1,0)+IF(DQ1493&lt;&gt;"",1,0)+IF(DS1493&lt;&gt;"",1,0)+IF(DT1493&lt;&gt;"",1,0)+IF(DV1493&lt;&gt;"",1,0)+IF(DW1493&lt;&gt;"",1,0)+IF(DX1493&lt;&gt;"",1,0)+IF(DY1493&lt;&gt;"",1,0)+IF(DZ1493&lt;&gt;"",1,0)+IF(EB1493&lt;&gt;"",1,0)+IF(EC1493&lt;&gt;"",1,0)+IF(ED1493&lt;&gt;"",1,0)+IF(EG1493&lt;&gt;"",1,0)+IF(EH1493&lt;&gt;"",1,0)</f>
        <v/>
      </c>
      <c r="AZ1493">
        <f>IF(EH1493&lt;&gt;"",1,0)</f>
        <v/>
      </c>
      <c r="BB1493" t="inlineStr">
        <is>
          <t>WARREN-WARD 4</t>
        </is>
      </c>
      <c r="BD1493" t="inlineStr">
        <is>
          <t>X</t>
        </is>
      </c>
      <c r="BL1493" t="inlineStr">
        <is>
          <t>X</t>
        </is>
      </c>
      <c r="BY1493" t="inlineStr">
        <is>
          <t>D</t>
        </is>
      </c>
      <c r="CP1493" t="inlineStr">
        <is>
          <t>X</t>
        </is>
      </c>
      <c r="DC1493" t="inlineStr">
        <is>
          <t>X</t>
        </is>
      </c>
    </row>
    <row r="1494">
      <c r="A1494" t="inlineStr">
        <is>
          <t>OH0015688460</t>
        </is>
      </c>
      <c r="B1494" t="n">
        <v>78</v>
      </c>
      <c r="C1494" t="n">
        <v>12967</v>
      </c>
      <c r="D1494" t="inlineStr">
        <is>
          <t>IOANNOU</t>
        </is>
      </c>
      <c r="E1494" t="inlineStr">
        <is>
          <t>FRANZISKA</t>
        </is>
      </c>
      <c r="F1494">
        <f>CONCATENATE(D1494," ",LEFT(H1494,4),"T=",AU1494,"D=",AV1494,"R=",AW1494,"M=",AX1494,"L=",AY1494,"B=",AZ1494)</f>
        <v/>
      </c>
      <c r="G1494" t="inlineStr">
        <is>
          <t>K</t>
        </is>
      </c>
      <c r="I1494" t="inlineStr">
        <is>
          <t>1937-03-08</t>
        </is>
      </c>
      <c r="J1494" t="inlineStr">
        <is>
          <t>2023-09-16</t>
        </is>
      </c>
      <c r="K1494" t="inlineStr">
        <is>
          <t>ACTIVE</t>
        </is>
      </c>
      <c r="L1494" t="inlineStr">
        <is>
          <t>D</t>
        </is>
      </c>
      <c r="M1494" t="inlineStr">
        <is>
          <t>1152 HIGH ST NE</t>
        </is>
      </c>
      <c r="N1494">
        <f>RIGHT(M1494,LEN(M1494)-FIND(" ",M1494))</f>
        <v/>
      </c>
      <c r="P1494" t="inlineStr">
        <is>
          <t>WARREN</t>
        </is>
      </c>
      <c r="Q1494" t="inlineStr">
        <is>
          <t>OH</t>
        </is>
      </c>
      <c r="R1494" t="n">
        <v>44483</v>
      </c>
      <c r="AD1494" t="inlineStr">
        <is>
          <t>TRUMBULL CAREER &amp; TECH CENTER</t>
        </is>
      </c>
      <c r="AE1494" t="inlineStr">
        <is>
          <t>WARREN CITY</t>
        </is>
      </c>
      <c r="AF1494" t="inlineStr">
        <is>
          <t>WARREN CITY SD</t>
        </is>
      </c>
      <c r="AH1494" t="n">
        <v>14</v>
      </c>
      <c r="AI1494" t="n">
        <v>11</v>
      </c>
      <c r="AN1494" t="inlineStr">
        <is>
          <t>WARREN</t>
        </is>
      </c>
      <c r="AO1494" t="inlineStr">
        <is>
          <t>WARREN CITY 4D</t>
        </is>
      </c>
      <c r="AP1494" t="inlineStr">
        <is>
          <t>78-P-ADL</t>
        </is>
      </c>
      <c r="AQ1494" t="n">
        <v>9</v>
      </c>
      <c r="AR1494" t="n">
        <v>64</v>
      </c>
      <c r="AS1494" t="n">
        <v>32</v>
      </c>
      <c r="AU1494">
        <f>COUNTA($BA$1494:$EH$1494)</f>
        <v/>
      </c>
      <c r="AV1494">
        <f>COUNTIF($BA$1494:$EH$1494,"D")</f>
        <v/>
      </c>
      <c r="AW1494">
        <f>COUNTIF($BA$1494:$EH$1494,"R")</f>
        <v/>
      </c>
      <c r="AX1494">
        <f>IF(BN1494="D",1,0)+IF(BO1494="D",1,0)+IF(BT1494="D",1,0)+IF(BU1494="D",1,0)+IF(BW1494="D",1,0)+IF(CC1494="D",1,0)+IF(CD1494="D",1,0)+IF(CE1494="D",1,0)+IF(CF1494="D",1,0)+IF(CL1494="D",1,0)+IF(CM1494="D",1,0)+IF(CQ1494="D",1,0)+IF(CR1494="D",1,0)+IF(CS1494="D",1,0)+IF(CW1494="D",1,0)+IF(CX1494="D",1,0)+IF(DD1494="D",1,0)+IF(DE1494="D",1,0)+IF(DJ1494="D",1,0)+IF(DK1494="D",1,0)+IF(DO1494="D",1,0)+IF(DP1494="D",1,0)+IF(DQ1494="D",1,0)+IF(DW1494="D",1,0)+IF(DZ1494="D",1,0)+IF(EH1494="D",1,0)</f>
        <v/>
      </c>
      <c r="AY1494">
        <f>IF(DJ1494&lt;&gt;"",1,0)+IF(DK1494&lt;&gt;"",1,0)+IF(DM1494&lt;&gt;"",1,0)+IF(DO1494&lt;&gt;"",1,0)+IF(DP1494&lt;&gt;"",1,0)+IF(DQ1494&lt;&gt;"",1,0)+IF(DS1494&lt;&gt;"",1,0)+IF(DT1494&lt;&gt;"",1,0)+IF(DV1494&lt;&gt;"",1,0)+IF(DW1494&lt;&gt;"",1,0)+IF(DX1494&lt;&gt;"",1,0)+IF(DY1494&lt;&gt;"",1,0)+IF(DZ1494&lt;&gt;"",1,0)+IF(EB1494&lt;&gt;"",1,0)+IF(EC1494&lt;&gt;"",1,0)+IF(ED1494&lt;&gt;"",1,0)+IF(EG1494&lt;&gt;"",1,0)+IF(EH1494&lt;&gt;"",1,0)</f>
        <v/>
      </c>
      <c r="AZ1494">
        <f>IF(EH1494&lt;&gt;"",1,0)</f>
        <v/>
      </c>
      <c r="BB1494" t="inlineStr">
        <is>
          <t>WARREN-WARD 4</t>
        </is>
      </c>
      <c r="BC1494" t="inlineStr">
        <is>
          <t>X</t>
        </is>
      </c>
      <c r="BD1494" t="inlineStr">
        <is>
          <t>X</t>
        </is>
      </c>
      <c r="BE1494" t="inlineStr">
        <is>
          <t>X</t>
        </is>
      </c>
      <c r="BF1494" t="inlineStr">
        <is>
          <t>X</t>
        </is>
      </c>
      <c r="BG1494" t="inlineStr">
        <is>
          <t>X</t>
        </is>
      </c>
      <c r="BH1494" t="inlineStr">
        <is>
          <t>X</t>
        </is>
      </c>
      <c r="BI1494" t="inlineStr">
        <is>
          <t>X</t>
        </is>
      </c>
      <c r="BJ1494" t="inlineStr">
        <is>
          <t>X</t>
        </is>
      </c>
      <c r="BK1494" t="inlineStr">
        <is>
          <t>X</t>
        </is>
      </c>
      <c r="BL1494" t="inlineStr">
        <is>
          <t>X</t>
        </is>
      </c>
      <c r="BP1494" t="inlineStr">
        <is>
          <t>X</t>
        </is>
      </c>
      <c r="BR1494" t="inlineStr">
        <is>
          <t>X</t>
        </is>
      </c>
      <c r="BS1494" t="inlineStr">
        <is>
          <t>X</t>
        </is>
      </c>
      <c r="BT1494" t="inlineStr">
        <is>
          <t>X</t>
        </is>
      </c>
      <c r="BV1494" t="inlineStr">
        <is>
          <t>X</t>
        </is>
      </c>
      <c r="BY1494" t="inlineStr">
        <is>
          <t>D</t>
        </is>
      </c>
      <c r="CA1494" t="inlineStr">
        <is>
          <t>X</t>
        </is>
      </c>
      <c r="CG1494" t="inlineStr">
        <is>
          <t>X</t>
        </is>
      </c>
      <c r="CH1494" t="inlineStr">
        <is>
          <t>D</t>
        </is>
      </c>
      <c r="CK1494" t="inlineStr">
        <is>
          <t>X</t>
        </is>
      </c>
      <c r="CL1494" t="inlineStr">
        <is>
          <t>D</t>
        </is>
      </c>
      <c r="CN1494" t="inlineStr">
        <is>
          <t>X</t>
        </is>
      </c>
      <c r="CP1494" t="inlineStr">
        <is>
          <t>X</t>
        </is>
      </c>
      <c r="CT1494" t="inlineStr">
        <is>
          <t>X</t>
        </is>
      </c>
      <c r="CU1494" t="inlineStr">
        <is>
          <t>D</t>
        </is>
      </c>
      <c r="CV1494" t="inlineStr">
        <is>
          <t>X</t>
        </is>
      </c>
      <c r="CW1494" t="inlineStr">
        <is>
          <t>D</t>
        </is>
      </c>
      <c r="CY1494" t="inlineStr">
        <is>
          <t>X</t>
        </is>
      </c>
      <c r="CZ1494" t="inlineStr">
        <is>
          <t>D</t>
        </is>
      </c>
      <c r="DC1494" t="inlineStr">
        <is>
          <t>X</t>
        </is>
      </c>
      <c r="DF1494" t="inlineStr">
        <is>
          <t>X</t>
        </is>
      </c>
      <c r="DG1494" t="inlineStr">
        <is>
          <t>D</t>
        </is>
      </c>
      <c r="DI1494" t="inlineStr">
        <is>
          <t>X</t>
        </is>
      </c>
      <c r="DJ1494" t="inlineStr">
        <is>
          <t>D</t>
        </is>
      </c>
      <c r="DL1494" t="inlineStr">
        <is>
          <t>X</t>
        </is>
      </c>
      <c r="DM1494" t="inlineStr">
        <is>
          <t>D</t>
        </is>
      </c>
      <c r="DN1494" t="inlineStr">
        <is>
          <t>X</t>
        </is>
      </c>
      <c r="DS1494" t="inlineStr">
        <is>
          <t>D</t>
        </is>
      </c>
      <c r="DU1494" t="inlineStr">
        <is>
          <t>X</t>
        </is>
      </c>
      <c r="DW1494" t="inlineStr">
        <is>
          <t>D</t>
        </is>
      </c>
      <c r="DX1494" t="inlineStr">
        <is>
          <t>X</t>
        </is>
      </c>
      <c r="ED1494" t="inlineStr">
        <is>
          <t>D</t>
        </is>
      </c>
      <c r="EF1494" t="inlineStr">
        <is>
          <t>X</t>
        </is>
      </c>
    </row>
    <row r="1495">
      <c r="A1495" t="inlineStr">
        <is>
          <t>OH0015745198</t>
        </is>
      </c>
      <c r="B1495" t="n">
        <v>78</v>
      </c>
      <c r="C1495" t="n">
        <v>231595</v>
      </c>
      <c r="D1495" t="inlineStr">
        <is>
          <t>PALM</t>
        </is>
      </c>
      <c r="E1495" t="inlineStr">
        <is>
          <t>LINDA</t>
        </is>
      </c>
      <c r="F1495">
        <f>CONCATENATE(D1495," ",LEFT(H1495,4),"T=",AU1495,"D=",AV1495,"R=",AW1495,"M=",AX1495,"L=",AY1495,"B=",AZ1495)</f>
        <v/>
      </c>
      <c r="G1495" t="inlineStr">
        <is>
          <t>M</t>
        </is>
      </c>
      <c r="I1495" t="inlineStr">
        <is>
          <t>1948-11-03</t>
        </is>
      </c>
      <c r="J1495" t="inlineStr">
        <is>
          <t>1991-10-17</t>
        </is>
      </c>
      <c r="K1495" t="inlineStr">
        <is>
          <t>ACTIVE</t>
        </is>
      </c>
      <c r="L1495" t="inlineStr">
        <is>
          <t>D</t>
        </is>
      </c>
      <c r="M1495" t="inlineStr">
        <is>
          <t>1214 HIGH ST NE</t>
        </is>
      </c>
      <c r="N1495">
        <f>RIGHT(M1495,LEN(M1495)-FIND(" ",M1495))</f>
        <v/>
      </c>
      <c r="P1495" t="inlineStr">
        <is>
          <t>WARREN</t>
        </is>
      </c>
      <c r="Q1495" t="inlineStr">
        <is>
          <t>OH</t>
        </is>
      </c>
      <c r="R1495" t="n">
        <v>44483</v>
      </c>
      <c r="AD1495" t="inlineStr">
        <is>
          <t>TRUMBULL CAREER &amp; TECH CENTER</t>
        </is>
      </c>
      <c r="AE1495" t="inlineStr">
        <is>
          <t>WARREN CITY</t>
        </is>
      </c>
      <c r="AF1495" t="inlineStr">
        <is>
          <t>WARREN CITY SD</t>
        </is>
      </c>
      <c r="AH1495" t="n">
        <v>14</v>
      </c>
      <c r="AI1495" t="n">
        <v>11</v>
      </c>
      <c r="AN1495" t="inlineStr">
        <is>
          <t>WARREN</t>
        </is>
      </c>
      <c r="AO1495" t="inlineStr">
        <is>
          <t>WARREN CITY 4D</t>
        </is>
      </c>
      <c r="AP1495" t="inlineStr">
        <is>
          <t>78-P-ADL</t>
        </is>
      </c>
      <c r="AQ1495" t="n">
        <v>9</v>
      </c>
      <c r="AR1495" t="n">
        <v>64</v>
      </c>
      <c r="AS1495" t="n">
        <v>32</v>
      </c>
      <c r="AU1495">
        <f>COUNTA($BA$1495:$EH$1495)</f>
        <v/>
      </c>
      <c r="AV1495">
        <f>COUNTIF($BA$1495:$EH$1495,"D")</f>
        <v/>
      </c>
      <c r="AW1495">
        <f>COUNTIF($BA$1495:$EH$1495,"R")</f>
        <v/>
      </c>
      <c r="AX1495">
        <f>IF(BN1495="D",1,0)+IF(BO1495="D",1,0)+IF(BT1495="D",1,0)+IF(BU1495="D",1,0)+IF(BW1495="D",1,0)+IF(CC1495="D",1,0)+IF(CD1495="D",1,0)+IF(CE1495="D",1,0)+IF(CF1495="D",1,0)+IF(CL1495="D",1,0)+IF(CM1495="D",1,0)+IF(CQ1495="D",1,0)+IF(CR1495="D",1,0)+IF(CS1495="D",1,0)+IF(CW1495="D",1,0)+IF(CX1495="D",1,0)+IF(DD1495="D",1,0)+IF(DE1495="D",1,0)+IF(DJ1495="D",1,0)+IF(DK1495="D",1,0)+IF(DO1495="D",1,0)+IF(DP1495="D",1,0)+IF(DQ1495="D",1,0)+IF(DW1495="D",1,0)+IF(DZ1495="D",1,0)+IF(EH1495="D",1,0)</f>
        <v/>
      </c>
      <c r="AY1495">
        <f>IF(DJ1495&lt;&gt;"",1,0)+IF(DK1495&lt;&gt;"",1,0)+IF(DM1495&lt;&gt;"",1,0)+IF(DO1495&lt;&gt;"",1,0)+IF(DP1495&lt;&gt;"",1,0)+IF(DQ1495&lt;&gt;"",1,0)+IF(DS1495&lt;&gt;"",1,0)+IF(DT1495&lt;&gt;"",1,0)+IF(DV1495&lt;&gt;"",1,0)+IF(DW1495&lt;&gt;"",1,0)+IF(DX1495&lt;&gt;"",1,0)+IF(DY1495&lt;&gt;"",1,0)+IF(DZ1495&lt;&gt;"",1,0)+IF(EB1495&lt;&gt;"",1,0)+IF(EC1495&lt;&gt;"",1,0)+IF(ED1495&lt;&gt;"",1,0)+IF(EG1495&lt;&gt;"",1,0)+IF(EH1495&lt;&gt;"",1,0)</f>
        <v/>
      </c>
      <c r="AZ1495">
        <f>IF(EH1495&lt;&gt;"",1,0)</f>
        <v/>
      </c>
      <c r="BB1495" t="inlineStr">
        <is>
          <t>WARREN-WARD 4</t>
        </is>
      </c>
      <c r="BC1495" t="inlineStr">
        <is>
          <t>X</t>
        </is>
      </c>
      <c r="BD1495" t="inlineStr">
        <is>
          <t>X</t>
        </is>
      </c>
      <c r="BE1495" t="inlineStr">
        <is>
          <t>X</t>
        </is>
      </c>
      <c r="BI1495" t="inlineStr">
        <is>
          <t>X</t>
        </is>
      </c>
      <c r="BJ1495" t="inlineStr">
        <is>
          <t>X</t>
        </is>
      </c>
      <c r="BK1495" t="inlineStr">
        <is>
          <t>X</t>
        </is>
      </c>
      <c r="BL1495" t="inlineStr">
        <is>
          <t>X</t>
        </is>
      </c>
      <c r="BS1495" t="inlineStr">
        <is>
          <t>X</t>
        </is>
      </c>
      <c r="BY1495" t="inlineStr">
        <is>
          <t>D</t>
        </is>
      </c>
      <c r="CA1495" t="inlineStr">
        <is>
          <t>X</t>
        </is>
      </c>
      <c r="CG1495" t="inlineStr">
        <is>
          <t>X</t>
        </is>
      </c>
      <c r="CK1495" t="inlineStr">
        <is>
          <t>X</t>
        </is>
      </c>
      <c r="CN1495" t="inlineStr">
        <is>
          <t>X</t>
        </is>
      </c>
      <c r="CO1495" t="inlineStr">
        <is>
          <t>D</t>
        </is>
      </c>
      <c r="CP1495" t="inlineStr">
        <is>
          <t>X</t>
        </is>
      </c>
      <c r="CT1495" t="inlineStr">
        <is>
          <t>X</t>
        </is>
      </c>
      <c r="CW1495" t="inlineStr">
        <is>
          <t>D</t>
        </is>
      </c>
      <c r="CY1495" t="inlineStr">
        <is>
          <t>X</t>
        </is>
      </c>
      <c r="CZ1495" t="inlineStr">
        <is>
          <t>D</t>
        </is>
      </c>
      <c r="DC1495" t="inlineStr">
        <is>
          <t>X</t>
        </is>
      </c>
      <c r="DI1495" t="inlineStr">
        <is>
          <t>X</t>
        </is>
      </c>
      <c r="DJ1495" t="inlineStr">
        <is>
          <t>D</t>
        </is>
      </c>
      <c r="DM1495" t="inlineStr">
        <is>
          <t>D</t>
        </is>
      </c>
      <c r="DN1495" t="inlineStr">
        <is>
          <t>X</t>
        </is>
      </c>
      <c r="DS1495" t="inlineStr">
        <is>
          <t>D</t>
        </is>
      </c>
      <c r="DU1495" t="inlineStr">
        <is>
          <t>X</t>
        </is>
      </c>
      <c r="DW1495" t="inlineStr">
        <is>
          <t>D</t>
        </is>
      </c>
      <c r="DX1495" t="inlineStr">
        <is>
          <t>X</t>
        </is>
      </c>
      <c r="EA1495" t="inlineStr">
        <is>
          <t>X</t>
        </is>
      </c>
      <c r="ED1495" t="inlineStr">
        <is>
          <t>D</t>
        </is>
      </c>
      <c r="EF1495" t="inlineStr">
        <is>
          <t>X</t>
        </is>
      </c>
    </row>
    <row r="1496">
      <c r="A1496" t="inlineStr">
        <is>
          <t>OH0024749531</t>
        </is>
      </c>
      <c r="B1496" t="n">
        <v>78</v>
      </c>
      <c r="C1496" t="n">
        <v>434549</v>
      </c>
      <c r="D1496" t="inlineStr">
        <is>
          <t>PISTRITTO</t>
        </is>
      </c>
      <c r="E1496" t="inlineStr">
        <is>
          <t>ANDREW</t>
        </is>
      </c>
      <c r="F1496">
        <f>CONCATENATE(D1496," ",LEFT(H1496,4),"T=",AU1496,"D=",AV1496,"R=",AW1496,"M=",AX1496,"L=",AY1496,"B=",AZ1496)</f>
        <v/>
      </c>
      <c r="G1496" t="inlineStr">
        <is>
          <t>CHRISTOPHER</t>
        </is>
      </c>
      <c r="I1496" t="inlineStr">
        <is>
          <t>1999-06-30</t>
        </is>
      </c>
      <c r="J1496" t="inlineStr">
        <is>
          <t>2021-09-27</t>
        </is>
      </c>
      <c r="K1496" t="inlineStr">
        <is>
          <t>CONFIRMATION</t>
        </is>
      </c>
      <c r="M1496" t="inlineStr">
        <is>
          <t>1110 WOODLAND AVE NE</t>
        </is>
      </c>
      <c r="N1496">
        <f>RIGHT(M1496,LEN(M1496)-FIND(" ",M1496))</f>
        <v/>
      </c>
      <c r="P1496" t="inlineStr">
        <is>
          <t>WARREN</t>
        </is>
      </c>
      <c r="Q1496" t="inlineStr">
        <is>
          <t>OH</t>
        </is>
      </c>
      <c r="R1496" t="n">
        <v>44483</v>
      </c>
      <c r="AD1496" t="inlineStr">
        <is>
          <t>TRUMBULL CAREER &amp; TECH CENTER</t>
        </is>
      </c>
      <c r="AE1496" t="inlineStr">
        <is>
          <t>WARREN CITY</t>
        </is>
      </c>
      <c r="AF1496" t="inlineStr">
        <is>
          <t>WARREN CITY SD</t>
        </is>
      </c>
      <c r="AH1496" t="n">
        <v>14</v>
      </c>
      <c r="AI1496" t="n">
        <v>11</v>
      </c>
      <c r="AN1496" t="inlineStr">
        <is>
          <t>WARREN</t>
        </is>
      </c>
      <c r="AO1496" t="inlineStr">
        <is>
          <t>WARREN CITY 4D</t>
        </is>
      </c>
      <c r="AP1496" t="inlineStr">
        <is>
          <t>78-P-ADL</t>
        </is>
      </c>
      <c r="AQ1496" t="n">
        <v>9</v>
      </c>
      <c r="AR1496" t="n">
        <v>64</v>
      </c>
      <c r="AS1496" t="n">
        <v>32</v>
      </c>
      <c r="AU1496">
        <f>COUNTA($BA$1496:$EH$1496)</f>
        <v/>
      </c>
      <c r="AV1496">
        <f>COUNTIF($BA$1496:$EH$1496,"D")</f>
        <v/>
      </c>
      <c r="AW1496">
        <f>COUNTIF($BA$1496:$EH$1496,"R")</f>
        <v/>
      </c>
      <c r="AX1496">
        <f>IF(BN1496="D",1,0)+IF(BO1496="D",1,0)+IF(BT1496="D",1,0)+IF(BU1496="D",1,0)+IF(BW1496="D",1,0)+IF(CC1496="D",1,0)+IF(CD1496="D",1,0)+IF(CE1496="D",1,0)+IF(CF1496="D",1,0)+IF(CL1496="D",1,0)+IF(CM1496="D",1,0)+IF(CQ1496="D",1,0)+IF(CR1496="D",1,0)+IF(CS1496="D",1,0)+IF(CW1496="D",1,0)+IF(CX1496="D",1,0)+IF(DD1496="D",1,0)+IF(DE1496="D",1,0)+IF(DJ1496="D",1,0)+IF(DK1496="D",1,0)+IF(DO1496="D",1,0)+IF(DP1496="D",1,0)+IF(DQ1496="D",1,0)+IF(DW1496="D",1,0)+IF(DZ1496="D",1,0)+IF(EH1496="D",1,0)</f>
        <v/>
      </c>
      <c r="AY1496">
        <f>IF(DJ1496&lt;&gt;"",1,0)+IF(DK1496&lt;&gt;"",1,0)+IF(DM1496&lt;&gt;"",1,0)+IF(DO1496&lt;&gt;"",1,0)+IF(DP1496&lt;&gt;"",1,0)+IF(DQ1496&lt;&gt;"",1,0)+IF(DS1496&lt;&gt;"",1,0)+IF(DT1496&lt;&gt;"",1,0)+IF(DV1496&lt;&gt;"",1,0)+IF(DW1496&lt;&gt;"",1,0)+IF(DX1496&lt;&gt;"",1,0)+IF(DY1496&lt;&gt;"",1,0)+IF(DZ1496&lt;&gt;"",1,0)+IF(EB1496&lt;&gt;"",1,0)+IF(EC1496&lt;&gt;"",1,0)+IF(ED1496&lt;&gt;"",1,0)+IF(EG1496&lt;&gt;"",1,0)+IF(EH1496&lt;&gt;"",1,0)</f>
        <v/>
      </c>
      <c r="AZ1496">
        <f>IF(EH1496&lt;&gt;"",1,0)</f>
        <v/>
      </c>
      <c r="BB1496" t="inlineStr">
        <is>
          <t>WARREN-WARD 4</t>
        </is>
      </c>
    </row>
    <row r="1497">
      <c r="A1497" t="inlineStr">
        <is>
          <t>OH0015741363</t>
        </is>
      </c>
      <c r="B1497" t="n">
        <v>78</v>
      </c>
      <c r="C1497" t="n">
        <v>322443</v>
      </c>
      <c r="D1497" t="inlineStr">
        <is>
          <t>SHUGART</t>
        </is>
      </c>
      <c r="E1497" t="inlineStr">
        <is>
          <t>DONALD</t>
        </is>
      </c>
      <c r="F1497">
        <f>CONCATENATE(D1497," ",LEFT(H1497,4),"T=",AU1497,"D=",AV1497,"R=",AW1497,"M=",AX1497,"L=",AY1497,"B=",AZ1497)</f>
        <v/>
      </c>
      <c r="G1497" t="inlineStr">
        <is>
          <t>EUGENE</t>
        </is>
      </c>
      <c r="I1497" t="inlineStr">
        <is>
          <t>1957-02-17</t>
        </is>
      </c>
      <c r="J1497" t="inlineStr">
        <is>
          <t>2023-07-19</t>
        </is>
      </c>
      <c r="K1497" t="inlineStr">
        <is>
          <t>ACTIVE</t>
        </is>
      </c>
      <c r="M1497" t="inlineStr">
        <is>
          <t>1169 HARRISON ST NE</t>
        </is>
      </c>
      <c r="N1497">
        <f>RIGHT(M1497,LEN(M1497)-FIND(" ",M1497))</f>
        <v/>
      </c>
      <c r="P1497" t="inlineStr">
        <is>
          <t>WARREN</t>
        </is>
      </c>
      <c r="Q1497" t="inlineStr">
        <is>
          <t>OH</t>
        </is>
      </c>
      <c r="R1497" t="n">
        <v>44483</v>
      </c>
      <c r="AD1497" t="inlineStr">
        <is>
          <t>TRUMBULL CAREER &amp; TECH CENTER</t>
        </is>
      </c>
      <c r="AE1497" t="inlineStr">
        <is>
          <t>WARREN CITY</t>
        </is>
      </c>
      <c r="AF1497" t="inlineStr">
        <is>
          <t>WARREN CITY SD</t>
        </is>
      </c>
      <c r="AH1497" t="n">
        <v>14</v>
      </c>
      <c r="AI1497" t="n">
        <v>11</v>
      </c>
      <c r="AN1497" t="inlineStr">
        <is>
          <t>WARREN</t>
        </is>
      </c>
      <c r="AO1497" t="inlineStr">
        <is>
          <t>WARREN CITY 4D</t>
        </is>
      </c>
      <c r="AP1497" t="inlineStr">
        <is>
          <t>78-P-ADL</t>
        </is>
      </c>
      <c r="AQ1497" t="n">
        <v>9</v>
      </c>
      <c r="AR1497" t="n">
        <v>64</v>
      </c>
      <c r="AS1497" t="n">
        <v>32</v>
      </c>
      <c r="AU1497">
        <f>COUNTA($BA$1497:$EH$1497)</f>
        <v/>
      </c>
      <c r="AV1497">
        <f>COUNTIF($BA$1497:$EH$1497,"D")</f>
        <v/>
      </c>
      <c r="AW1497">
        <f>COUNTIF($BA$1497:$EH$1497,"R")</f>
        <v/>
      </c>
      <c r="AX1497">
        <f>IF(BN1497="D",1,0)+IF(BO1497="D",1,0)+IF(BT1497="D",1,0)+IF(BU1497="D",1,0)+IF(BW1497="D",1,0)+IF(CC1497="D",1,0)+IF(CD1497="D",1,0)+IF(CE1497="D",1,0)+IF(CF1497="D",1,0)+IF(CL1497="D",1,0)+IF(CM1497="D",1,0)+IF(CQ1497="D",1,0)+IF(CR1497="D",1,0)+IF(CS1497="D",1,0)+IF(CW1497="D",1,0)+IF(CX1497="D",1,0)+IF(DD1497="D",1,0)+IF(DE1497="D",1,0)+IF(DJ1497="D",1,0)+IF(DK1497="D",1,0)+IF(DO1497="D",1,0)+IF(DP1497="D",1,0)+IF(DQ1497="D",1,0)+IF(DW1497="D",1,0)+IF(DZ1497="D",1,0)+IF(EH1497="D",1,0)</f>
        <v/>
      </c>
      <c r="AY1497">
        <f>IF(DJ1497&lt;&gt;"",1,0)+IF(DK1497&lt;&gt;"",1,0)+IF(DM1497&lt;&gt;"",1,0)+IF(DO1497&lt;&gt;"",1,0)+IF(DP1497&lt;&gt;"",1,0)+IF(DQ1497&lt;&gt;"",1,0)+IF(DS1497&lt;&gt;"",1,0)+IF(DT1497&lt;&gt;"",1,0)+IF(DV1497&lt;&gt;"",1,0)+IF(DW1497&lt;&gt;"",1,0)+IF(DX1497&lt;&gt;"",1,0)+IF(DY1497&lt;&gt;"",1,0)+IF(DZ1497&lt;&gt;"",1,0)+IF(EB1497&lt;&gt;"",1,0)+IF(EC1497&lt;&gt;"",1,0)+IF(ED1497&lt;&gt;"",1,0)+IF(EG1497&lt;&gt;"",1,0)+IF(EH1497&lt;&gt;"",1,0)</f>
        <v/>
      </c>
      <c r="AZ1497">
        <f>IF(EH1497&lt;&gt;"",1,0)</f>
        <v/>
      </c>
      <c r="BB1497" t="inlineStr">
        <is>
          <t>WARREN-WARD 4</t>
        </is>
      </c>
      <c r="BL1497" t="inlineStr">
        <is>
          <t>X</t>
        </is>
      </c>
      <c r="BY1497" t="inlineStr">
        <is>
          <t>D</t>
        </is>
      </c>
      <c r="CA1497" t="inlineStr">
        <is>
          <t>X</t>
        </is>
      </c>
      <c r="CY1497" t="inlineStr">
        <is>
          <t>X</t>
        </is>
      </c>
      <c r="DN1497" t="inlineStr">
        <is>
          <t>X</t>
        </is>
      </c>
      <c r="EF1497" t="inlineStr">
        <is>
          <t>X</t>
        </is>
      </c>
    </row>
    <row r="1498">
      <c r="A1498" t="inlineStr">
        <is>
          <t>OH0018596957</t>
        </is>
      </c>
      <c r="B1498" t="n">
        <v>78</v>
      </c>
      <c r="C1498" t="n">
        <v>336516</v>
      </c>
      <c r="D1498" t="inlineStr">
        <is>
          <t>BALL</t>
        </is>
      </c>
      <c r="E1498" t="inlineStr">
        <is>
          <t>ALONZO</t>
        </is>
      </c>
      <c r="F1498">
        <f>CONCATENATE(D1498," ",LEFT(H1498,4),"T=",AU1498,"D=",AV1498,"R=",AW1498,"M=",AX1498,"L=",AY1498,"B=",AZ1498)</f>
        <v/>
      </c>
      <c r="G1498" t="inlineStr">
        <is>
          <t>FREDERICK</t>
        </is>
      </c>
      <c r="I1498" t="inlineStr">
        <is>
          <t>1960-07-13</t>
        </is>
      </c>
      <c r="J1498" t="inlineStr">
        <is>
          <t>2018-04-05</t>
        </is>
      </c>
      <c r="K1498" t="inlineStr">
        <is>
          <t>CONFIRMATION</t>
        </is>
      </c>
      <c r="M1498" t="inlineStr">
        <is>
          <t>184 PORTER ST NE</t>
        </is>
      </c>
      <c r="N1498">
        <f>RIGHT(M1498,LEN(M1498)-FIND(" ",M1498))</f>
        <v/>
      </c>
      <c r="O1498" t="inlineStr">
        <is>
          <t>APT 2</t>
        </is>
      </c>
      <c r="P1498" t="inlineStr">
        <is>
          <t>WARREN</t>
        </is>
      </c>
      <c r="Q1498" t="inlineStr">
        <is>
          <t>OH</t>
        </is>
      </c>
      <c r="R1498" t="n">
        <v>44483</v>
      </c>
      <c r="AD1498" t="inlineStr">
        <is>
          <t>TRUMBULL CAREER &amp; TECH CENTER</t>
        </is>
      </c>
      <c r="AE1498" t="inlineStr">
        <is>
          <t>WARREN CITY</t>
        </is>
      </c>
      <c r="AF1498" t="inlineStr">
        <is>
          <t>WARREN CITY SD</t>
        </is>
      </c>
      <c r="AH1498" t="n">
        <v>14</v>
      </c>
      <c r="AI1498" t="n">
        <v>11</v>
      </c>
      <c r="AN1498" t="inlineStr">
        <is>
          <t>WARREN</t>
        </is>
      </c>
      <c r="AO1498" t="inlineStr">
        <is>
          <t>WARREN CITY 4D</t>
        </is>
      </c>
      <c r="AP1498" t="inlineStr">
        <is>
          <t>78-P-ADL</t>
        </is>
      </c>
      <c r="AQ1498" t="n">
        <v>9</v>
      </c>
      <c r="AR1498" t="n">
        <v>64</v>
      </c>
      <c r="AS1498" t="n">
        <v>32</v>
      </c>
      <c r="AU1498">
        <f>COUNTA($BA$1498:$EH$1498)</f>
        <v/>
      </c>
      <c r="AV1498">
        <f>COUNTIF($BA$1498:$EH$1498,"D")</f>
        <v/>
      </c>
      <c r="AW1498">
        <f>COUNTIF($BA$1498:$EH$1498,"R")</f>
        <v/>
      </c>
      <c r="AX1498">
        <f>IF(BN1498="D",1,0)+IF(BO1498="D",1,0)+IF(BT1498="D",1,0)+IF(BU1498="D",1,0)+IF(BW1498="D",1,0)+IF(CC1498="D",1,0)+IF(CD1498="D",1,0)+IF(CE1498="D",1,0)+IF(CF1498="D",1,0)+IF(CL1498="D",1,0)+IF(CM1498="D",1,0)+IF(CQ1498="D",1,0)+IF(CR1498="D",1,0)+IF(CS1498="D",1,0)+IF(CW1498="D",1,0)+IF(CX1498="D",1,0)+IF(DD1498="D",1,0)+IF(DE1498="D",1,0)+IF(DJ1498="D",1,0)+IF(DK1498="D",1,0)+IF(DO1498="D",1,0)+IF(DP1498="D",1,0)+IF(DQ1498="D",1,0)+IF(DW1498="D",1,0)+IF(DZ1498="D",1,0)+IF(EH1498="D",1,0)</f>
        <v/>
      </c>
      <c r="AY1498">
        <f>IF(DJ1498&lt;&gt;"",1,0)+IF(DK1498&lt;&gt;"",1,0)+IF(DM1498&lt;&gt;"",1,0)+IF(DO1498&lt;&gt;"",1,0)+IF(DP1498&lt;&gt;"",1,0)+IF(DQ1498&lt;&gt;"",1,0)+IF(DS1498&lt;&gt;"",1,0)+IF(DT1498&lt;&gt;"",1,0)+IF(DV1498&lt;&gt;"",1,0)+IF(DW1498&lt;&gt;"",1,0)+IF(DX1498&lt;&gt;"",1,0)+IF(DY1498&lt;&gt;"",1,0)+IF(DZ1498&lt;&gt;"",1,0)+IF(EB1498&lt;&gt;"",1,0)+IF(EC1498&lt;&gt;"",1,0)+IF(ED1498&lt;&gt;"",1,0)+IF(EG1498&lt;&gt;"",1,0)+IF(EH1498&lt;&gt;"",1,0)</f>
        <v/>
      </c>
      <c r="AZ1498">
        <f>IF(EH1498&lt;&gt;"",1,0)</f>
        <v/>
      </c>
      <c r="BB1498" t="inlineStr">
        <is>
          <t>WARREN-WARD 4</t>
        </is>
      </c>
    </row>
    <row r="1499">
      <c r="A1499" t="inlineStr">
        <is>
          <t>OH0015727862</t>
        </is>
      </c>
      <c r="B1499" t="n">
        <v>78</v>
      </c>
      <c r="C1499" t="n">
        <v>213650</v>
      </c>
      <c r="D1499" t="inlineStr">
        <is>
          <t>WISSINGER</t>
        </is>
      </c>
      <c r="E1499" t="inlineStr">
        <is>
          <t>RUTH</t>
        </is>
      </c>
      <c r="F1499">
        <f>CONCATENATE(D1499," ",LEFT(H1499,4),"T=",AU1499,"D=",AV1499,"R=",AW1499,"M=",AX1499,"L=",AY1499,"B=",AZ1499)</f>
        <v/>
      </c>
      <c r="G1499" t="inlineStr">
        <is>
          <t>A</t>
        </is>
      </c>
      <c r="I1499" t="inlineStr">
        <is>
          <t>1959-01-13</t>
        </is>
      </c>
      <c r="J1499" t="inlineStr">
        <is>
          <t>1988-10-04</t>
        </is>
      </c>
      <c r="K1499" t="inlineStr">
        <is>
          <t>ACTIVE</t>
        </is>
      </c>
      <c r="L1499" t="inlineStr">
        <is>
          <t>D</t>
        </is>
      </c>
      <c r="M1499" t="inlineStr">
        <is>
          <t>1161 HARRISON ST NE</t>
        </is>
      </c>
      <c r="N1499">
        <f>RIGHT(M1499,LEN(M1499)-FIND(" ",M1499))</f>
        <v/>
      </c>
      <c r="P1499" t="inlineStr">
        <is>
          <t>WARREN</t>
        </is>
      </c>
      <c r="Q1499" t="inlineStr">
        <is>
          <t>OH</t>
        </is>
      </c>
      <c r="R1499" t="n">
        <v>44483</v>
      </c>
      <c r="AD1499" t="inlineStr">
        <is>
          <t>TRUMBULL CAREER &amp; TECH CENTER</t>
        </is>
      </c>
      <c r="AE1499" t="inlineStr">
        <is>
          <t>WARREN CITY</t>
        </is>
      </c>
      <c r="AF1499" t="inlineStr">
        <is>
          <t>WARREN CITY SD</t>
        </is>
      </c>
      <c r="AH1499" t="n">
        <v>14</v>
      </c>
      <c r="AI1499" t="n">
        <v>11</v>
      </c>
      <c r="AN1499" t="inlineStr">
        <is>
          <t>WARREN</t>
        </is>
      </c>
      <c r="AO1499" t="inlineStr">
        <is>
          <t>WARREN CITY 4D</t>
        </is>
      </c>
      <c r="AP1499" t="inlineStr">
        <is>
          <t>78-P-ADL</t>
        </is>
      </c>
      <c r="AQ1499" t="n">
        <v>9</v>
      </c>
      <c r="AR1499" t="n">
        <v>64</v>
      </c>
      <c r="AS1499" t="n">
        <v>32</v>
      </c>
      <c r="AU1499">
        <f>COUNTA($BA$1499:$EH$1499)</f>
        <v/>
      </c>
      <c r="AV1499">
        <f>COUNTIF($BA$1499:$EH$1499,"D")</f>
        <v/>
      </c>
      <c r="AW1499">
        <f>COUNTIF($BA$1499:$EH$1499,"R")</f>
        <v/>
      </c>
      <c r="AX1499">
        <f>IF(BN1499="D",1,0)+IF(BO1499="D",1,0)+IF(BT1499="D",1,0)+IF(BU1499="D",1,0)+IF(BW1499="D",1,0)+IF(CC1499="D",1,0)+IF(CD1499="D",1,0)+IF(CE1499="D",1,0)+IF(CF1499="D",1,0)+IF(CL1499="D",1,0)+IF(CM1499="D",1,0)+IF(CQ1499="D",1,0)+IF(CR1499="D",1,0)+IF(CS1499="D",1,0)+IF(CW1499="D",1,0)+IF(CX1499="D",1,0)+IF(DD1499="D",1,0)+IF(DE1499="D",1,0)+IF(DJ1499="D",1,0)+IF(DK1499="D",1,0)+IF(DO1499="D",1,0)+IF(DP1499="D",1,0)+IF(DQ1499="D",1,0)+IF(DW1499="D",1,0)+IF(DZ1499="D",1,0)+IF(EH1499="D",1,0)</f>
        <v/>
      </c>
      <c r="AY1499">
        <f>IF(DJ1499&lt;&gt;"",1,0)+IF(DK1499&lt;&gt;"",1,0)+IF(DM1499&lt;&gt;"",1,0)+IF(DO1499&lt;&gt;"",1,0)+IF(DP1499&lt;&gt;"",1,0)+IF(DQ1499&lt;&gt;"",1,0)+IF(DS1499&lt;&gt;"",1,0)+IF(DT1499&lt;&gt;"",1,0)+IF(DV1499&lt;&gt;"",1,0)+IF(DW1499&lt;&gt;"",1,0)+IF(DX1499&lt;&gt;"",1,0)+IF(DY1499&lt;&gt;"",1,0)+IF(DZ1499&lt;&gt;"",1,0)+IF(EB1499&lt;&gt;"",1,0)+IF(EC1499&lt;&gt;"",1,0)+IF(ED1499&lt;&gt;"",1,0)+IF(EG1499&lt;&gt;"",1,0)+IF(EH1499&lt;&gt;"",1,0)</f>
        <v/>
      </c>
      <c r="AZ1499">
        <f>IF(EH1499&lt;&gt;"",1,0)</f>
        <v/>
      </c>
      <c r="BB1499" t="inlineStr">
        <is>
          <t>WARREN-WARD 4</t>
        </is>
      </c>
      <c r="BC1499" t="inlineStr">
        <is>
          <t>X</t>
        </is>
      </c>
      <c r="BD1499" t="inlineStr">
        <is>
          <t>X</t>
        </is>
      </c>
      <c r="BE1499" t="inlineStr">
        <is>
          <t>X</t>
        </is>
      </c>
      <c r="BF1499" t="inlineStr">
        <is>
          <t>X</t>
        </is>
      </c>
      <c r="BH1499" t="inlineStr">
        <is>
          <t>X</t>
        </is>
      </c>
      <c r="BI1499" t="inlineStr">
        <is>
          <t>X</t>
        </is>
      </c>
      <c r="BJ1499" t="inlineStr">
        <is>
          <t>X</t>
        </is>
      </c>
      <c r="BK1499" t="inlineStr">
        <is>
          <t>X</t>
        </is>
      </c>
      <c r="BL1499" t="inlineStr">
        <is>
          <t>X</t>
        </is>
      </c>
      <c r="BP1499" t="inlineStr">
        <is>
          <t>X</t>
        </is>
      </c>
      <c r="BS1499" t="inlineStr">
        <is>
          <t>X</t>
        </is>
      </c>
      <c r="BV1499" t="inlineStr">
        <is>
          <t>X</t>
        </is>
      </c>
      <c r="BY1499" t="inlineStr">
        <is>
          <t>D</t>
        </is>
      </c>
      <c r="CA1499" t="inlineStr">
        <is>
          <t>X</t>
        </is>
      </c>
      <c r="CG1499" t="inlineStr">
        <is>
          <t>X</t>
        </is>
      </c>
      <c r="CK1499" t="inlineStr">
        <is>
          <t>X</t>
        </is>
      </c>
      <c r="CL1499" t="inlineStr">
        <is>
          <t>D</t>
        </is>
      </c>
      <c r="CN1499" t="inlineStr">
        <is>
          <t>X</t>
        </is>
      </c>
      <c r="CP1499" t="inlineStr">
        <is>
          <t>X</t>
        </is>
      </c>
      <c r="CV1499" t="inlineStr">
        <is>
          <t>X</t>
        </is>
      </c>
      <c r="CW1499" t="inlineStr">
        <is>
          <t>D</t>
        </is>
      </c>
      <c r="CY1499" t="inlineStr">
        <is>
          <t>X</t>
        </is>
      </c>
      <c r="CZ1499" t="inlineStr">
        <is>
          <t>R</t>
        </is>
      </c>
      <c r="DC1499" t="inlineStr">
        <is>
          <t>X</t>
        </is>
      </c>
      <c r="DI1499" t="inlineStr">
        <is>
          <t>X</t>
        </is>
      </c>
      <c r="DJ1499" t="inlineStr">
        <is>
          <t>D</t>
        </is>
      </c>
      <c r="DL1499" t="inlineStr">
        <is>
          <t>X</t>
        </is>
      </c>
      <c r="DM1499" t="inlineStr">
        <is>
          <t>D</t>
        </is>
      </c>
      <c r="DN1499" t="inlineStr">
        <is>
          <t>X</t>
        </is>
      </c>
      <c r="DU1499" t="inlineStr">
        <is>
          <t>X</t>
        </is>
      </c>
      <c r="DX1499" t="inlineStr">
        <is>
          <t>X</t>
        </is>
      </c>
      <c r="EA1499" t="inlineStr">
        <is>
          <t>X</t>
        </is>
      </c>
      <c r="ED1499" t="inlineStr">
        <is>
          <t>D</t>
        </is>
      </c>
      <c r="EF1499" t="inlineStr">
        <is>
          <t>X</t>
        </is>
      </c>
    </row>
    <row r="1500">
      <c r="A1500" t="inlineStr">
        <is>
          <t>OH0015702279</t>
        </is>
      </c>
      <c r="B1500" t="n">
        <v>78</v>
      </c>
      <c r="C1500" t="n">
        <v>161953</v>
      </c>
      <c r="D1500" t="inlineStr">
        <is>
          <t>BEHRENS</t>
        </is>
      </c>
      <c r="E1500" t="inlineStr">
        <is>
          <t>VICKY</t>
        </is>
      </c>
      <c r="F1500">
        <f>CONCATENATE(D1500," ",LEFT(H1500,4),"T=",AU1500,"D=",AV1500,"R=",AW1500,"M=",AX1500,"L=",AY1500,"B=",AZ1500)</f>
        <v/>
      </c>
      <c r="G1500" t="inlineStr">
        <is>
          <t>L</t>
        </is>
      </c>
      <c r="I1500" t="inlineStr">
        <is>
          <t>1961-08-21</t>
        </is>
      </c>
      <c r="J1500" t="inlineStr">
        <is>
          <t>2010-05-26</t>
        </is>
      </c>
      <c r="K1500" t="inlineStr">
        <is>
          <t>ACTIVE</t>
        </is>
      </c>
      <c r="L1500" t="inlineStr">
        <is>
          <t>D</t>
        </is>
      </c>
      <c r="M1500" t="inlineStr">
        <is>
          <t>306 WASHINGTON ST NE</t>
        </is>
      </c>
      <c r="N1500">
        <f>RIGHT(M1500,LEN(M1500)-FIND(" ",M1500))</f>
        <v/>
      </c>
      <c r="P1500" t="inlineStr">
        <is>
          <t>WARREN</t>
        </is>
      </c>
      <c r="Q1500" t="inlineStr">
        <is>
          <t>OH</t>
        </is>
      </c>
      <c r="R1500" t="n">
        <v>44483</v>
      </c>
      <c r="AD1500" t="inlineStr">
        <is>
          <t>TRUMBULL CAREER &amp; TECH CENTER</t>
        </is>
      </c>
      <c r="AE1500" t="inlineStr">
        <is>
          <t>WARREN CITY</t>
        </is>
      </c>
      <c r="AF1500" t="inlineStr">
        <is>
          <t>WARREN CITY SD</t>
        </is>
      </c>
      <c r="AH1500" t="n">
        <v>14</v>
      </c>
      <c r="AI1500" t="n">
        <v>11</v>
      </c>
      <c r="AN1500" t="inlineStr">
        <is>
          <t>WARREN</t>
        </is>
      </c>
      <c r="AO1500" t="inlineStr">
        <is>
          <t>WARREN CITY 4D</t>
        </is>
      </c>
      <c r="AP1500" t="inlineStr">
        <is>
          <t>78-P-ADL</t>
        </is>
      </c>
      <c r="AQ1500" t="n">
        <v>9</v>
      </c>
      <c r="AR1500" t="n">
        <v>64</v>
      </c>
      <c r="AS1500" t="n">
        <v>32</v>
      </c>
      <c r="AU1500">
        <f>COUNTA($BA$1500:$EH$1500)</f>
        <v/>
      </c>
      <c r="AV1500">
        <f>COUNTIF($BA$1500:$EH$1500,"D")</f>
        <v/>
      </c>
      <c r="AW1500">
        <f>COUNTIF($BA$1500:$EH$1500,"R")</f>
        <v/>
      </c>
      <c r="AX1500">
        <f>IF(BN1500="D",1,0)+IF(BO1500="D",1,0)+IF(BT1500="D",1,0)+IF(BU1500="D",1,0)+IF(BW1500="D",1,0)+IF(CC1500="D",1,0)+IF(CD1500="D",1,0)+IF(CE1500="D",1,0)+IF(CF1500="D",1,0)+IF(CL1500="D",1,0)+IF(CM1500="D",1,0)+IF(CQ1500="D",1,0)+IF(CR1500="D",1,0)+IF(CS1500="D",1,0)+IF(CW1500="D",1,0)+IF(CX1500="D",1,0)+IF(DD1500="D",1,0)+IF(DE1500="D",1,0)+IF(DJ1500="D",1,0)+IF(DK1500="D",1,0)+IF(DO1500="D",1,0)+IF(DP1500="D",1,0)+IF(DQ1500="D",1,0)+IF(DW1500="D",1,0)+IF(DZ1500="D",1,0)+IF(EH1500="D",1,0)</f>
        <v/>
      </c>
      <c r="AY1500">
        <f>IF(DJ1500&lt;&gt;"",1,0)+IF(DK1500&lt;&gt;"",1,0)+IF(DM1500&lt;&gt;"",1,0)+IF(DO1500&lt;&gt;"",1,0)+IF(DP1500&lt;&gt;"",1,0)+IF(DQ1500&lt;&gt;"",1,0)+IF(DS1500&lt;&gt;"",1,0)+IF(DT1500&lt;&gt;"",1,0)+IF(DV1500&lt;&gt;"",1,0)+IF(DW1500&lt;&gt;"",1,0)+IF(DX1500&lt;&gt;"",1,0)+IF(DY1500&lt;&gt;"",1,0)+IF(DZ1500&lt;&gt;"",1,0)+IF(EB1500&lt;&gt;"",1,0)+IF(EC1500&lt;&gt;"",1,0)+IF(ED1500&lt;&gt;"",1,0)+IF(EG1500&lt;&gt;"",1,0)+IF(EH1500&lt;&gt;"",1,0)</f>
        <v/>
      </c>
      <c r="AZ1500">
        <f>IF(EH1500&lt;&gt;"",1,0)</f>
        <v/>
      </c>
      <c r="BB1500" t="inlineStr">
        <is>
          <t>WARREN-WARD 4</t>
        </is>
      </c>
      <c r="BC1500" t="inlineStr">
        <is>
          <t>X</t>
        </is>
      </c>
      <c r="BD1500" t="inlineStr">
        <is>
          <t>X</t>
        </is>
      </c>
      <c r="BE1500" t="inlineStr">
        <is>
          <t>X</t>
        </is>
      </c>
      <c r="BF1500" t="inlineStr">
        <is>
          <t>X</t>
        </is>
      </c>
      <c r="BG1500" t="inlineStr">
        <is>
          <t>X</t>
        </is>
      </c>
      <c r="BH1500" t="inlineStr">
        <is>
          <t>X</t>
        </is>
      </c>
      <c r="BJ1500" t="inlineStr">
        <is>
          <t>X</t>
        </is>
      </c>
      <c r="BK1500" t="inlineStr">
        <is>
          <t>X</t>
        </is>
      </c>
      <c r="BL1500" t="inlineStr">
        <is>
          <t>X</t>
        </is>
      </c>
      <c r="BP1500" t="inlineStr">
        <is>
          <t>X</t>
        </is>
      </c>
      <c r="BS1500" t="inlineStr">
        <is>
          <t>X</t>
        </is>
      </c>
      <c r="BY1500" t="inlineStr">
        <is>
          <t>D</t>
        </is>
      </c>
      <c r="CA1500" t="inlineStr">
        <is>
          <t>X</t>
        </is>
      </c>
      <c r="CG1500" t="inlineStr">
        <is>
          <t>X</t>
        </is>
      </c>
      <c r="CH1500" t="inlineStr">
        <is>
          <t>D</t>
        </is>
      </c>
      <c r="CK1500" t="inlineStr">
        <is>
          <t>X</t>
        </is>
      </c>
      <c r="CO1500" t="inlineStr">
        <is>
          <t>R</t>
        </is>
      </c>
      <c r="CP1500" t="inlineStr">
        <is>
          <t>X</t>
        </is>
      </c>
      <c r="CV1500" t="inlineStr">
        <is>
          <t>X</t>
        </is>
      </c>
      <c r="CY1500" t="inlineStr">
        <is>
          <t>X</t>
        </is>
      </c>
      <c r="CZ1500" t="inlineStr">
        <is>
          <t>D</t>
        </is>
      </c>
      <c r="DC1500" t="inlineStr">
        <is>
          <t>X</t>
        </is>
      </c>
      <c r="DD1500" t="inlineStr">
        <is>
          <t>D</t>
        </is>
      </c>
      <c r="DF1500" t="inlineStr">
        <is>
          <t>X</t>
        </is>
      </c>
      <c r="DG1500" t="inlineStr">
        <is>
          <t>D</t>
        </is>
      </c>
      <c r="DI1500" t="inlineStr">
        <is>
          <t>X</t>
        </is>
      </c>
      <c r="DL1500" t="inlineStr">
        <is>
          <t>X</t>
        </is>
      </c>
      <c r="DM1500" t="inlineStr">
        <is>
          <t>D</t>
        </is>
      </c>
      <c r="DN1500" t="inlineStr">
        <is>
          <t>X</t>
        </is>
      </c>
      <c r="DR1500" t="inlineStr">
        <is>
          <t>X</t>
        </is>
      </c>
      <c r="DS1500" t="inlineStr">
        <is>
          <t>D</t>
        </is>
      </c>
      <c r="DU1500" t="inlineStr">
        <is>
          <t>X</t>
        </is>
      </c>
      <c r="DW1500" t="inlineStr">
        <is>
          <t>D</t>
        </is>
      </c>
      <c r="DX1500" t="inlineStr">
        <is>
          <t>X</t>
        </is>
      </c>
      <c r="EA1500" t="inlineStr">
        <is>
          <t>X</t>
        </is>
      </c>
      <c r="ED1500" t="inlineStr">
        <is>
          <t>D</t>
        </is>
      </c>
      <c r="EF1500" t="inlineStr">
        <is>
          <t>X</t>
        </is>
      </c>
      <c r="EH1500" t="inlineStr">
        <is>
          <t>D</t>
        </is>
      </c>
    </row>
    <row r="1501">
      <c r="A1501" t="inlineStr">
        <is>
          <t>OH0015779169</t>
        </is>
      </c>
      <c r="B1501" t="n">
        <v>78</v>
      </c>
      <c r="C1501" t="n">
        <v>46095</v>
      </c>
      <c r="D1501" t="inlineStr">
        <is>
          <t>DAVIS</t>
        </is>
      </c>
      <c r="E1501" t="inlineStr">
        <is>
          <t>RANDAL</t>
        </is>
      </c>
      <c r="F1501">
        <f>CONCATENATE(D1501," ",LEFT(H1501,4),"T=",AU1501,"D=",AV1501,"R=",AW1501,"M=",AX1501,"L=",AY1501,"B=",AZ1501)</f>
        <v/>
      </c>
      <c r="G1501" t="inlineStr">
        <is>
          <t>E</t>
        </is>
      </c>
      <c r="I1501" t="inlineStr">
        <is>
          <t>1948-03-16</t>
        </is>
      </c>
      <c r="J1501" t="inlineStr">
        <is>
          <t>1975-08-29</t>
        </is>
      </c>
      <c r="K1501" t="inlineStr">
        <is>
          <t>ACTIVE</t>
        </is>
      </c>
      <c r="L1501" t="inlineStr">
        <is>
          <t>D</t>
        </is>
      </c>
      <c r="M1501" t="inlineStr">
        <is>
          <t>434 WASHINGTON ST NE</t>
        </is>
      </c>
      <c r="N1501">
        <f>RIGHT(M1501,LEN(M1501)-FIND(" ",M1501))</f>
        <v/>
      </c>
      <c r="P1501" t="inlineStr">
        <is>
          <t>WARREN</t>
        </is>
      </c>
      <c r="Q1501" t="inlineStr">
        <is>
          <t>OH</t>
        </is>
      </c>
      <c r="R1501" t="n">
        <v>44483</v>
      </c>
      <c r="AD1501" t="inlineStr">
        <is>
          <t>TRUMBULL CAREER &amp; TECH CENTER</t>
        </is>
      </c>
      <c r="AE1501" t="inlineStr">
        <is>
          <t>WARREN CITY</t>
        </is>
      </c>
      <c r="AF1501" t="inlineStr">
        <is>
          <t>WARREN CITY SD</t>
        </is>
      </c>
      <c r="AH1501" t="n">
        <v>14</v>
      </c>
      <c r="AI1501" t="n">
        <v>11</v>
      </c>
      <c r="AN1501" t="inlineStr">
        <is>
          <t>WARREN</t>
        </is>
      </c>
      <c r="AO1501" t="inlineStr">
        <is>
          <t>WARREN CITY 4D</t>
        </is>
      </c>
      <c r="AP1501" t="inlineStr">
        <is>
          <t>78-P-ADL</t>
        </is>
      </c>
      <c r="AQ1501" t="n">
        <v>9</v>
      </c>
      <c r="AR1501" t="n">
        <v>64</v>
      </c>
      <c r="AS1501" t="n">
        <v>32</v>
      </c>
      <c r="AU1501">
        <f>COUNTA($BA$1501:$EH$1501)</f>
        <v/>
      </c>
      <c r="AV1501">
        <f>COUNTIF($BA$1501:$EH$1501,"D")</f>
        <v/>
      </c>
      <c r="AW1501">
        <f>COUNTIF($BA$1501:$EH$1501,"R")</f>
        <v/>
      </c>
      <c r="AX1501">
        <f>IF(BN1501="D",1,0)+IF(BO1501="D",1,0)+IF(BT1501="D",1,0)+IF(BU1501="D",1,0)+IF(BW1501="D",1,0)+IF(CC1501="D",1,0)+IF(CD1501="D",1,0)+IF(CE1501="D",1,0)+IF(CF1501="D",1,0)+IF(CL1501="D",1,0)+IF(CM1501="D",1,0)+IF(CQ1501="D",1,0)+IF(CR1501="D",1,0)+IF(CS1501="D",1,0)+IF(CW1501="D",1,0)+IF(CX1501="D",1,0)+IF(DD1501="D",1,0)+IF(DE1501="D",1,0)+IF(DJ1501="D",1,0)+IF(DK1501="D",1,0)+IF(DO1501="D",1,0)+IF(DP1501="D",1,0)+IF(DQ1501="D",1,0)+IF(DW1501="D",1,0)+IF(DZ1501="D",1,0)+IF(EH1501="D",1,0)</f>
        <v/>
      </c>
      <c r="AY1501">
        <f>IF(DJ1501&lt;&gt;"",1,0)+IF(DK1501&lt;&gt;"",1,0)+IF(DM1501&lt;&gt;"",1,0)+IF(DO1501&lt;&gt;"",1,0)+IF(DP1501&lt;&gt;"",1,0)+IF(DQ1501&lt;&gt;"",1,0)+IF(DS1501&lt;&gt;"",1,0)+IF(DT1501&lt;&gt;"",1,0)+IF(DV1501&lt;&gt;"",1,0)+IF(DW1501&lt;&gt;"",1,0)+IF(DX1501&lt;&gt;"",1,0)+IF(DY1501&lt;&gt;"",1,0)+IF(DZ1501&lt;&gt;"",1,0)+IF(EB1501&lt;&gt;"",1,0)+IF(EC1501&lt;&gt;"",1,0)+IF(ED1501&lt;&gt;"",1,0)+IF(EG1501&lt;&gt;"",1,0)+IF(EH1501&lt;&gt;"",1,0)</f>
        <v/>
      </c>
      <c r="AZ1501">
        <f>IF(EH1501&lt;&gt;"",1,0)</f>
        <v/>
      </c>
      <c r="BB1501" t="inlineStr">
        <is>
          <t>WARREN-WARD 4</t>
        </is>
      </c>
      <c r="BC1501" t="inlineStr">
        <is>
          <t>X</t>
        </is>
      </c>
      <c r="BD1501" t="inlineStr">
        <is>
          <t>X</t>
        </is>
      </c>
      <c r="BE1501" t="inlineStr">
        <is>
          <t>X</t>
        </is>
      </c>
      <c r="BF1501" t="inlineStr">
        <is>
          <t>X</t>
        </is>
      </c>
      <c r="BG1501" t="inlineStr">
        <is>
          <t>X</t>
        </is>
      </c>
      <c r="BH1501" t="inlineStr">
        <is>
          <t>X</t>
        </is>
      </c>
      <c r="BI1501" t="inlineStr">
        <is>
          <t>X</t>
        </is>
      </c>
      <c r="BJ1501" t="inlineStr">
        <is>
          <t>X</t>
        </is>
      </c>
      <c r="BK1501" t="inlineStr">
        <is>
          <t>X</t>
        </is>
      </c>
      <c r="BL1501" t="inlineStr">
        <is>
          <t>X</t>
        </is>
      </c>
      <c r="BP1501" t="inlineStr">
        <is>
          <t>X</t>
        </is>
      </c>
      <c r="BR1501" t="inlineStr">
        <is>
          <t>X</t>
        </is>
      </c>
      <c r="BS1501" t="inlineStr">
        <is>
          <t>X</t>
        </is>
      </c>
      <c r="BV1501" t="inlineStr">
        <is>
          <t>X</t>
        </is>
      </c>
      <c r="BY1501" t="inlineStr">
        <is>
          <t>D</t>
        </is>
      </c>
      <c r="CA1501" t="inlineStr">
        <is>
          <t>X</t>
        </is>
      </c>
      <c r="CG1501" t="inlineStr">
        <is>
          <t>X</t>
        </is>
      </c>
      <c r="CK1501" t="inlineStr">
        <is>
          <t>X</t>
        </is>
      </c>
      <c r="CN1501" t="inlineStr">
        <is>
          <t>X</t>
        </is>
      </c>
      <c r="CP1501" t="inlineStr">
        <is>
          <t>X</t>
        </is>
      </c>
      <c r="CV1501" t="inlineStr">
        <is>
          <t>X</t>
        </is>
      </c>
      <c r="CY1501" t="inlineStr">
        <is>
          <t>X</t>
        </is>
      </c>
      <c r="DC1501" t="inlineStr">
        <is>
          <t>X</t>
        </is>
      </c>
      <c r="DF1501" t="inlineStr">
        <is>
          <t>X</t>
        </is>
      </c>
      <c r="DI1501" t="inlineStr">
        <is>
          <t>X</t>
        </is>
      </c>
      <c r="DJ1501" t="inlineStr">
        <is>
          <t>D</t>
        </is>
      </c>
      <c r="DN1501" t="inlineStr">
        <is>
          <t>X</t>
        </is>
      </c>
      <c r="DS1501" t="inlineStr">
        <is>
          <t>R</t>
        </is>
      </c>
      <c r="DT1501" t="inlineStr">
        <is>
          <t>D</t>
        </is>
      </c>
      <c r="DU1501" t="inlineStr">
        <is>
          <t>X</t>
        </is>
      </c>
      <c r="DW1501" t="inlineStr">
        <is>
          <t>D</t>
        </is>
      </c>
      <c r="DX1501" t="inlineStr">
        <is>
          <t>X</t>
        </is>
      </c>
      <c r="EA1501" t="inlineStr">
        <is>
          <t>X</t>
        </is>
      </c>
      <c r="ED1501" t="inlineStr">
        <is>
          <t>D</t>
        </is>
      </c>
      <c r="EF1501" t="inlineStr">
        <is>
          <t>X</t>
        </is>
      </c>
      <c r="EH1501" t="inlineStr">
        <is>
          <t>D</t>
        </is>
      </c>
    </row>
    <row r="1502">
      <c r="A1502" t="inlineStr">
        <is>
          <t>OH0015773321</t>
        </is>
      </c>
      <c r="B1502" t="n">
        <v>78</v>
      </c>
      <c r="C1502" t="n">
        <v>280325</v>
      </c>
      <c r="D1502" t="inlineStr">
        <is>
          <t>WISSINGER</t>
        </is>
      </c>
      <c r="E1502" t="inlineStr">
        <is>
          <t>ROBERT</t>
        </is>
      </c>
      <c r="F1502">
        <f>CONCATENATE(D1502," ",LEFT(H1502,4),"T=",AU1502,"D=",AV1502,"R=",AW1502,"M=",AX1502,"L=",AY1502,"B=",AZ1502)</f>
        <v/>
      </c>
      <c r="G1502" t="inlineStr">
        <is>
          <t>S</t>
        </is>
      </c>
      <c r="I1502" t="inlineStr">
        <is>
          <t>1961-07-12</t>
        </is>
      </c>
      <c r="J1502" t="inlineStr">
        <is>
          <t>1997-12-17</t>
        </is>
      </c>
      <c r="K1502" t="inlineStr">
        <is>
          <t>ACTIVE</t>
        </is>
      </c>
      <c r="L1502" t="inlineStr">
        <is>
          <t>D</t>
        </is>
      </c>
      <c r="M1502" t="inlineStr">
        <is>
          <t>1161 HARRISON ST NE</t>
        </is>
      </c>
      <c r="N1502">
        <f>RIGHT(M1502,LEN(M1502)-FIND(" ",M1502))</f>
        <v/>
      </c>
      <c r="P1502" t="inlineStr">
        <is>
          <t>WARREN</t>
        </is>
      </c>
      <c r="Q1502" t="inlineStr">
        <is>
          <t>OH</t>
        </is>
      </c>
      <c r="R1502" t="n">
        <v>44483</v>
      </c>
      <c r="AD1502" t="inlineStr">
        <is>
          <t>TRUMBULL CAREER &amp; TECH CENTER</t>
        </is>
      </c>
      <c r="AE1502" t="inlineStr">
        <is>
          <t>WARREN CITY</t>
        </is>
      </c>
      <c r="AF1502" t="inlineStr">
        <is>
          <t>WARREN CITY SD</t>
        </is>
      </c>
      <c r="AH1502" t="n">
        <v>14</v>
      </c>
      <c r="AI1502" t="n">
        <v>11</v>
      </c>
      <c r="AN1502" t="inlineStr">
        <is>
          <t>WARREN</t>
        </is>
      </c>
      <c r="AO1502" t="inlineStr">
        <is>
          <t>WARREN CITY 4D</t>
        </is>
      </c>
      <c r="AP1502" t="inlineStr">
        <is>
          <t>78-P-ADL</t>
        </is>
      </c>
      <c r="AQ1502" t="n">
        <v>9</v>
      </c>
      <c r="AR1502" t="n">
        <v>64</v>
      </c>
      <c r="AS1502" t="n">
        <v>32</v>
      </c>
      <c r="AU1502">
        <f>COUNTA($BA$1502:$EH$1502)</f>
        <v/>
      </c>
      <c r="AV1502">
        <f>COUNTIF($BA$1502:$EH$1502,"D")</f>
        <v/>
      </c>
      <c r="AW1502">
        <f>COUNTIF($BA$1502:$EH$1502,"R")</f>
        <v/>
      </c>
      <c r="AX1502">
        <f>IF(BN1502="D",1,0)+IF(BO1502="D",1,0)+IF(BT1502="D",1,0)+IF(BU1502="D",1,0)+IF(BW1502="D",1,0)+IF(CC1502="D",1,0)+IF(CD1502="D",1,0)+IF(CE1502="D",1,0)+IF(CF1502="D",1,0)+IF(CL1502="D",1,0)+IF(CM1502="D",1,0)+IF(CQ1502="D",1,0)+IF(CR1502="D",1,0)+IF(CS1502="D",1,0)+IF(CW1502="D",1,0)+IF(CX1502="D",1,0)+IF(DD1502="D",1,0)+IF(DE1502="D",1,0)+IF(DJ1502="D",1,0)+IF(DK1502="D",1,0)+IF(DO1502="D",1,0)+IF(DP1502="D",1,0)+IF(DQ1502="D",1,0)+IF(DW1502="D",1,0)+IF(DZ1502="D",1,0)+IF(EH1502="D",1,0)</f>
        <v/>
      </c>
      <c r="AY1502">
        <f>IF(DJ1502&lt;&gt;"",1,0)+IF(DK1502&lt;&gt;"",1,0)+IF(DM1502&lt;&gt;"",1,0)+IF(DO1502&lt;&gt;"",1,0)+IF(DP1502&lt;&gt;"",1,0)+IF(DQ1502&lt;&gt;"",1,0)+IF(DS1502&lt;&gt;"",1,0)+IF(DT1502&lt;&gt;"",1,0)+IF(DV1502&lt;&gt;"",1,0)+IF(DW1502&lt;&gt;"",1,0)+IF(DX1502&lt;&gt;"",1,0)+IF(DY1502&lt;&gt;"",1,0)+IF(DZ1502&lt;&gt;"",1,0)+IF(EB1502&lt;&gt;"",1,0)+IF(EC1502&lt;&gt;"",1,0)+IF(ED1502&lt;&gt;"",1,0)+IF(EG1502&lt;&gt;"",1,0)+IF(EH1502&lt;&gt;"",1,0)</f>
        <v/>
      </c>
      <c r="AZ1502">
        <f>IF(EH1502&lt;&gt;"",1,0)</f>
        <v/>
      </c>
      <c r="BB1502" t="inlineStr">
        <is>
          <t>WARREN-WARD 4</t>
        </is>
      </c>
      <c r="BC1502" t="inlineStr">
        <is>
          <t>X</t>
        </is>
      </c>
      <c r="BD1502" t="inlineStr">
        <is>
          <t>X</t>
        </is>
      </c>
      <c r="BK1502" t="inlineStr">
        <is>
          <t>X</t>
        </is>
      </c>
      <c r="BL1502" t="inlineStr">
        <is>
          <t>X</t>
        </is>
      </c>
      <c r="BS1502" t="inlineStr">
        <is>
          <t>X</t>
        </is>
      </c>
      <c r="BY1502" t="inlineStr">
        <is>
          <t>D</t>
        </is>
      </c>
      <c r="CA1502" t="inlineStr">
        <is>
          <t>X</t>
        </is>
      </c>
      <c r="CG1502" t="inlineStr">
        <is>
          <t>X</t>
        </is>
      </c>
      <c r="CK1502" t="inlineStr">
        <is>
          <t>X</t>
        </is>
      </c>
      <c r="CL1502" t="inlineStr">
        <is>
          <t>D</t>
        </is>
      </c>
      <c r="CN1502" t="inlineStr">
        <is>
          <t>X</t>
        </is>
      </c>
      <c r="CO1502" t="inlineStr">
        <is>
          <t>R</t>
        </is>
      </c>
      <c r="CP1502" t="inlineStr">
        <is>
          <t>X</t>
        </is>
      </c>
      <c r="CV1502" t="inlineStr">
        <is>
          <t>X</t>
        </is>
      </c>
      <c r="CW1502" t="inlineStr">
        <is>
          <t>D</t>
        </is>
      </c>
      <c r="CY1502" t="inlineStr">
        <is>
          <t>X</t>
        </is>
      </c>
      <c r="CZ1502" t="inlineStr">
        <is>
          <t>D</t>
        </is>
      </c>
      <c r="DC1502" t="inlineStr">
        <is>
          <t>X</t>
        </is>
      </c>
      <c r="DD1502" t="inlineStr">
        <is>
          <t>D</t>
        </is>
      </c>
      <c r="DF1502" t="inlineStr">
        <is>
          <t>X</t>
        </is>
      </c>
      <c r="DI1502" t="inlineStr">
        <is>
          <t>X</t>
        </is>
      </c>
      <c r="DJ1502" t="inlineStr">
        <is>
          <t>D</t>
        </is>
      </c>
      <c r="DL1502" t="inlineStr">
        <is>
          <t>X</t>
        </is>
      </c>
      <c r="DM1502" t="inlineStr">
        <is>
          <t>R</t>
        </is>
      </c>
      <c r="DN1502" t="inlineStr">
        <is>
          <t>X</t>
        </is>
      </c>
      <c r="DU1502" t="inlineStr">
        <is>
          <t>X</t>
        </is>
      </c>
      <c r="DW1502" t="inlineStr">
        <is>
          <t>D</t>
        </is>
      </c>
      <c r="DX1502" t="inlineStr">
        <is>
          <t>X</t>
        </is>
      </c>
      <c r="EA1502" t="inlineStr">
        <is>
          <t>X</t>
        </is>
      </c>
      <c r="EF1502" t="inlineStr">
        <is>
          <t>X</t>
        </is>
      </c>
    </row>
    <row r="1503">
      <c r="A1503" t="inlineStr">
        <is>
          <t>OH0015688288</t>
        </is>
      </c>
      <c r="B1503" t="n">
        <v>78</v>
      </c>
      <c r="C1503" t="n">
        <v>12928</v>
      </c>
      <c r="D1503" t="inlineStr">
        <is>
          <t>FOERTCH</t>
        </is>
      </c>
      <c r="E1503" t="inlineStr">
        <is>
          <t>THOMAS</t>
        </is>
      </c>
      <c r="F1503">
        <f>CONCATENATE(D1503," ",LEFT(H1503,4),"T=",AU1503,"D=",AV1503,"R=",AW1503,"M=",AX1503,"L=",AY1503,"B=",AZ1503)</f>
        <v/>
      </c>
      <c r="G1503" t="inlineStr">
        <is>
          <t>L</t>
        </is>
      </c>
      <c r="I1503" t="inlineStr">
        <is>
          <t>1947-04-27</t>
        </is>
      </c>
      <c r="J1503" t="inlineStr">
        <is>
          <t>2015-08-25</t>
        </is>
      </c>
      <c r="K1503" t="inlineStr">
        <is>
          <t>ACTIVE</t>
        </is>
      </c>
      <c r="L1503" t="inlineStr">
        <is>
          <t>D</t>
        </is>
      </c>
      <c r="M1503" t="inlineStr">
        <is>
          <t>1197 HARRISON ST NE</t>
        </is>
      </c>
      <c r="N1503">
        <f>RIGHT(M1503,LEN(M1503)-FIND(" ",M1503))</f>
        <v/>
      </c>
      <c r="P1503" t="inlineStr">
        <is>
          <t>WARREN</t>
        </is>
      </c>
      <c r="Q1503" t="inlineStr">
        <is>
          <t>OH</t>
        </is>
      </c>
      <c r="R1503" t="n">
        <v>44483</v>
      </c>
      <c r="AD1503" t="inlineStr">
        <is>
          <t>TRUMBULL CAREER &amp; TECH CENTER</t>
        </is>
      </c>
      <c r="AE1503" t="inlineStr">
        <is>
          <t>WARREN CITY</t>
        </is>
      </c>
      <c r="AF1503" t="inlineStr">
        <is>
          <t>WARREN CITY SD</t>
        </is>
      </c>
      <c r="AH1503" t="n">
        <v>14</v>
      </c>
      <c r="AI1503" t="n">
        <v>11</v>
      </c>
      <c r="AN1503" t="inlineStr">
        <is>
          <t>WARREN</t>
        </is>
      </c>
      <c r="AO1503" t="inlineStr">
        <is>
          <t>WARREN CITY 4D</t>
        </is>
      </c>
      <c r="AP1503" t="inlineStr">
        <is>
          <t>78-P-ADL</t>
        </is>
      </c>
      <c r="AQ1503" t="n">
        <v>9</v>
      </c>
      <c r="AR1503" t="n">
        <v>64</v>
      </c>
      <c r="AS1503" t="n">
        <v>32</v>
      </c>
      <c r="AU1503">
        <f>COUNTA($BA$1503:$EH$1503)</f>
        <v/>
      </c>
      <c r="AV1503">
        <f>COUNTIF($BA$1503:$EH$1503,"D")</f>
        <v/>
      </c>
      <c r="AW1503">
        <f>COUNTIF($BA$1503:$EH$1503,"R")</f>
        <v/>
      </c>
      <c r="AX1503">
        <f>IF(BN1503="D",1,0)+IF(BO1503="D",1,0)+IF(BT1503="D",1,0)+IF(BU1503="D",1,0)+IF(BW1503="D",1,0)+IF(CC1503="D",1,0)+IF(CD1503="D",1,0)+IF(CE1503="D",1,0)+IF(CF1503="D",1,0)+IF(CL1503="D",1,0)+IF(CM1503="D",1,0)+IF(CQ1503="D",1,0)+IF(CR1503="D",1,0)+IF(CS1503="D",1,0)+IF(CW1503="D",1,0)+IF(CX1503="D",1,0)+IF(DD1503="D",1,0)+IF(DE1503="D",1,0)+IF(DJ1503="D",1,0)+IF(DK1503="D",1,0)+IF(DO1503="D",1,0)+IF(DP1503="D",1,0)+IF(DQ1503="D",1,0)+IF(DW1503="D",1,0)+IF(DZ1503="D",1,0)+IF(EH1503="D",1,0)</f>
        <v/>
      </c>
      <c r="AY1503">
        <f>IF(DJ1503&lt;&gt;"",1,0)+IF(DK1503&lt;&gt;"",1,0)+IF(DM1503&lt;&gt;"",1,0)+IF(DO1503&lt;&gt;"",1,0)+IF(DP1503&lt;&gt;"",1,0)+IF(DQ1503&lt;&gt;"",1,0)+IF(DS1503&lt;&gt;"",1,0)+IF(DT1503&lt;&gt;"",1,0)+IF(DV1503&lt;&gt;"",1,0)+IF(DW1503&lt;&gt;"",1,0)+IF(DX1503&lt;&gt;"",1,0)+IF(DY1503&lt;&gt;"",1,0)+IF(DZ1503&lt;&gt;"",1,0)+IF(EB1503&lt;&gt;"",1,0)+IF(EC1503&lt;&gt;"",1,0)+IF(ED1503&lt;&gt;"",1,0)+IF(EG1503&lt;&gt;"",1,0)+IF(EH1503&lt;&gt;"",1,0)</f>
        <v/>
      </c>
      <c r="AZ1503">
        <f>IF(EH1503&lt;&gt;"",1,0)</f>
        <v/>
      </c>
      <c r="BB1503" t="inlineStr">
        <is>
          <t>WARREN-WARD 4</t>
        </is>
      </c>
      <c r="BD1503" t="inlineStr">
        <is>
          <t>X</t>
        </is>
      </c>
      <c r="BE1503" t="inlineStr">
        <is>
          <t>X</t>
        </is>
      </c>
      <c r="BH1503" t="inlineStr">
        <is>
          <t>X</t>
        </is>
      </c>
      <c r="BK1503" t="inlineStr">
        <is>
          <t>X</t>
        </is>
      </c>
      <c r="BL1503" t="inlineStr">
        <is>
          <t>X</t>
        </is>
      </c>
      <c r="BS1503" t="inlineStr">
        <is>
          <t>X</t>
        </is>
      </c>
      <c r="BY1503" t="inlineStr">
        <is>
          <t>D</t>
        </is>
      </c>
      <c r="CA1503" t="inlineStr">
        <is>
          <t>X</t>
        </is>
      </c>
      <c r="CG1503" t="inlineStr">
        <is>
          <t>X</t>
        </is>
      </c>
      <c r="CK1503" t="inlineStr">
        <is>
          <t>X</t>
        </is>
      </c>
      <c r="CN1503" t="inlineStr">
        <is>
          <t>X</t>
        </is>
      </c>
      <c r="CP1503" t="inlineStr">
        <is>
          <t>X</t>
        </is>
      </c>
      <c r="CY1503" t="inlineStr">
        <is>
          <t>X</t>
        </is>
      </c>
      <c r="CZ1503" t="inlineStr">
        <is>
          <t>R</t>
        </is>
      </c>
      <c r="DC1503" t="inlineStr">
        <is>
          <t>X</t>
        </is>
      </c>
      <c r="DI1503" t="inlineStr">
        <is>
          <t>X</t>
        </is>
      </c>
      <c r="DL1503" t="inlineStr">
        <is>
          <t>X</t>
        </is>
      </c>
      <c r="DM1503" t="inlineStr">
        <is>
          <t>D</t>
        </is>
      </c>
      <c r="DN1503" t="inlineStr">
        <is>
          <t>X</t>
        </is>
      </c>
      <c r="DU1503" t="inlineStr">
        <is>
          <t>X</t>
        </is>
      </c>
      <c r="DX1503" t="inlineStr">
        <is>
          <t>X</t>
        </is>
      </c>
      <c r="ED1503" t="inlineStr">
        <is>
          <t>D</t>
        </is>
      </c>
      <c r="EF1503" t="inlineStr">
        <is>
          <t>X</t>
        </is>
      </c>
    </row>
    <row r="1504">
      <c r="A1504" t="inlineStr">
        <is>
          <t>OH0027708952</t>
        </is>
      </c>
      <c r="B1504" t="n">
        <v>78</v>
      </c>
      <c r="C1504" t="n">
        <v>491061</v>
      </c>
      <c r="D1504" t="inlineStr">
        <is>
          <t>JARVIS</t>
        </is>
      </c>
      <c r="E1504" t="inlineStr">
        <is>
          <t>MADDISON</t>
        </is>
      </c>
      <c r="F1504">
        <f>CONCATENATE(D1504," ",LEFT(H1504,4),"T=",AU1504,"D=",AV1504,"R=",AW1504,"M=",AX1504,"L=",AY1504,"B=",AZ1504)</f>
        <v/>
      </c>
      <c r="G1504" t="inlineStr">
        <is>
          <t>GRACE</t>
        </is>
      </c>
      <c r="I1504" t="inlineStr">
        <is>
          <t>2003-03-04</t>
        </is>
      </c>
      <c r="J1504" t="inlineStr">
        <is>
          <t>2024-10-07</t>
        </is>
      </c>
      <c r="K1504" t="inlineStr">
        <is>
          <t>ACTIVE</t>
        </is>
      </c>
      <c r="M1504" t="inlineStr">
        <is>
          <t>1166 WOODLAND AVE NE</t>
        </is>
      </c>
      <c r="N1504">
        <f>RIGHT(M1504,LEN(M1504)-FIND(" ",M1504))</f>
        <v/>
      </c>
      <c r="O1504" t="inlineStr">
        <is>
          <t>APT 3</t>
        </is>
      </c>
      <c r="P1504" t="inlineStr">
        <is>
          <t>WARREN</t>
        </is>
      </c>
      <c r="Q1504" t="inlineStr">
        <is>
          <t>OH</t>
        </is>
      </c>
      <c r="R1504" t="n">
        <v>44483</v>
      </c>
      <c r="AD1504" t="inlineStr">
        <is>
          <t>TRUMBULL CAREER &amp; TECH CENTER</t>
        </is>
      </c>
      <c r="AE1504" t="inlineStr">
        <is>
          <t>WARREN CITY</t>
        </is>
      </c>
      <c r="AF1504" t="inlineStr">
        <is>
          <t>WARREN CITY SD</t>
        </is>
      </c>
      <c r="AH1504" t="n">
        <v>14</v>
      </c>
      <c r="AI1504" t="n">
        <v>11</v>
      </c>
      <c r="AN1504" t="inlineStr">
        <is>
          <t>WARREN</t>
        </is>
      </c>
      <c r="AO1504" t="inlineStr">
        <is>
          <t>WARREN CITY 4D</t>
        </is>
      </c>
      <c r="AP1504" t="inlineStr">
        <is>
          <t>78-P-ADL</t>
        </is>
      </c>
      <c r="AQ1504" t="n">
        <v>9</v>
      </c>
      <c r="AR1504" t="n">
        <v>64</v>
      </c>
      <c r="AS1504" t="n">
        <v>32</v>
      </c>
      <c r="AU1504">
        <f>COUNTA($BA$1504:$EH$1504)</f>
        <v/>
      </c>
      <c r="AV1504">
        <f>COUNTIF($BA$1504:$EH$1504,"D")</f>
        <v/>
      </c>
      <c r="AW1504">
        <f>COUNTIF($BA$1504:$EH$1504,"R")</f>
        <v/>
      </c>
      <c r="AX1504">
        <f>IF(BN1504="D",1,0)+IF(BO1504="D",1,0)+IF(BT1504="D",1,0)+IF(BU1504="D",1,0)+IF(BW1504="D",1,0)+IF(CC1504="D",1,0)+IF(CD1504="D",1,0)+IF(CE1504="D",1,0)+IF(CF1504="D",1,0)+IF(CL1504="D",1,0)+IF(CM1504="D",1,0)+IF(CQ1504="D",1,0)+IF(CR1504="D",1,0)+IF(CS1504="D",1,0)+IF(CW1504="D",1,0)+IF(CX1504="D",1,0)+IF(DD1504="D",1,0)+IF(DE1504="D",1,0)+IF(DJ1504="D",1,0)+IF(DK1504="D",1,0)+IF(DO1504="D",1,0)+IF(DP1504="D",1,0)+IF(DQ1504="D",1,0)+IF(DW1504="D",1,0)+IF(DZ1504="D",1,0)+IF(EH1504="D",1,0)</f>
        <v/>
      </c>
      <c r="AY1504">
        <f>IF(DJ1504&lt;&gt;"",1,0)+IF(DK1504&lt;&gt;"",1,0)+IF(DM1504&lt;&gt;"",1,0)+IF(DO1504&lt;&gt;"",1,0)+IF(DP1504&lt;&gt;"",1,0)+IF(DQ1504&lt;&gt;"",1,0)+IF(DS1504&lt;&gt;"",1,0)+IF(DT1504&lt;&gt;"",1,0)+IF(DV1504&lt;&gt;"",1,0)+IF(DW1504&lt;&gt;"",1,0)+IF(DX1504&lt;&gt;"",1,0)+IF(DY1504&lt;&gt;"",1,0)+IF(DZ1504&lt;&gt;"",1,0)+IF(EB1504&lt;&gt;"",1,0)+IF(EC1504&lt;&gt;"",1,0)+IF(ED1504&lt;&gt;"",1,0)+IF(EG1504&lt;&gt;"",1,0)+IF(EH1504&lt;&gt;"",1,0)</f>
        <v/>
      </c>
      <c r="AZ1504">
        <f>IF(EH1504&lt;&gt;"",1,0)</f>
        <v/>
      </c>
      <c r="BB1504" t="inlineStr">
        <is>
          <t>WARREN-WARD 4</t>
        </is>
      </c>
    </row>
    <row r="1505">
      <c r="A1505" t="inlineStr">
        <is>
          <t>OH0019137566</t>
        </is>
      </c>
      <c r="B1505" t="n">
        <v>78</v>
      </c>
      <c r="C1505" t="n">
        <v>350238</v>
      </c>
      <c r="D1505" t="inlineStr">
        <is>
          <t>GILLIAM</t>
        </is>
      </c>
      <c r="E1505" t="inlineStr">
        <is>
          <t>MALISA</t>
        </is>
      </c>
      <c r="F1505">
        <f>CONCATENATE(D1505," ",LEFT(H1505,4),"T=",AU1505,"D=",AV1505,"R=",AW1505,"M=",AX1505,"L=",AY1505,"B=",AZ1505)</f>
        <v/>
      </c>
      <c r="G1505" t="inlineStr">
        <is>
          <t>S</t>
        </is>
      </c>
      <c r="I1505" t="inlineStr">
        <is>
          <t>1988-08-30</t>
        </is>
      </c>
      <c r="J1505" t="inlineStr">
        <is>
          <t>2018-07-20</t>
        </is>
      </c>
      <c r="K1505" t="inlineStr">
        <is>
          <t>CONFIRMATION</t>
        </is>
      </c>
      <c r="M1505" t="inlineStr">
        <is>
          <t>656 SAINT CLAIR DR NE</t>
        </is>
      </c>
      <c r="N1505">
        <f>RIGHT(M1505,LEN(M1505)-FIND(" ",M1505))</f>
        <v/>
      </c>
      <c r="P1505" t="inlineStr">
        <is>
          <t>WARREN</t>
        </is>
      </c>
      <c r="Q1505" t="inlineStr">
        <is>
          <t>OH</t>
        </is>
      </c>
      <c r="R1505" t="n">
        <v>44483</v>
      </c>
      <c r="AD1505" t="inlineStr">
        <is>
          <t>TRUMBULL CAREER &amp; TECH CENTER</t>
        </is>
      </c>
      <c r="AE1505" t="inlineStr">
        <is>
          <t>WARREN CITY</t>
        </is>
      </c>
      <c r="AF1505" t="inlineStr">
        <is>
          <t>WARREN CITY SD</t>
        </is>
      </c>
      <c r="AH1505" t="n">
        <v>14</v>
      </c>
      <c r="AI1505" t="n">
        <v>11</v>
      </c>
      <c r="AN1505" t="inlineStr">
        <is>
          <t>WARREN</t>
        </is>
      </c>
      <c r="AO1505" t="inlineStr">
        <is>
          <t>WARREN CITY 4D</t>
        </is>
      </c>
      <c r="AP1505" t="inlineStr">
        <is>
          <t>78-P-ADL</t>
        </is>
      </c>
      <c r="AQ1505" t="n">
        <v>9</v>
      </c>
      <c r="AR1505" t="n">
        <v>64</v>
      </c>
      <c r="AS1505" t="n">
        <v>32</v>
      </c>
      <c r="AU1505">
        <f>COUNTA($BA$1505:$EH$1505)</f>
        <v/>
      </c>
      <c r="AV1505">
        <f>COUNTIF($BA$1505:$EH$1505,"D")</f>
        <v/>
      </c>
      <c r="AW1505">
        <f>COUNTIF($BA$1505:$EH$1505,"R")</f>
        <v/>
      </c>
      <c r="AX1505">
        <f>IF(BN1505="D",1,0)+IF(BO1505="D",1,0)+IF(BT1505="D",1,0)+IF(BU1505="D",1,0)+IF(BW1505="D",1,0)+IF(CC1505="D",1,0)+IF(CD1505="D",1,0)+IF(CE1505="D",1,0)+IF(CF1505="D",1,0)+IF(CL1505="D",1,0)+IF(CM1505="D",1,0)+IF(CQ1505="D",1,0)+IF(CR1505="D",1,0)+IF(CS1505="D",1,0)+IF(CW1505="D",1,0)+IF(CX1505="D",1,0)+IF(DD1505="D",1,0)+IF(DE1505="D",1,0)+IF(DJ1505="D",1,0)+IF(DK1505="D",1,0)+IF(DO1505="D",1,0)+IF(DP1505="D",1,0)+IF(DQ1505="D",1,0)+IF(DW1505="D",1,0)+IF(DZ1505="D",1,0)+IF(EH1505="D",1,0)</f>
        <v/>
      </c>
      <c r="AY1505">
        <f>IF(DJ1505&lt;&gt;"",1,0)+IF(DK1505&lt;&gt;"",1,0)+IF(DM1505&lt;&gt;"",1,0)+IF(DO1505&lt;&gt;"",1,0)+IF(DP1505&lt;&gt;"",1,0)+IF(DQ1505&lt;&gt;"",1,0)+IF(DS1505&lt;&gt;"",1,0)+IF(DT1505&lt;&gt;"",1,0)+IF(DV1505&lt;&gt;"",1,0)+IF(DW1505&lt;&gt;"",1,0)+IF(DX1505&lt;&gt;"",1,0)+IF(DY1505&lt;&gt;"",1,0)+IF(DZ1505&lt;&gt;"",1,0)+IF(EB1505&lt;&gt;"",1,0)+IF(EC1505&lt;&gt;"",1,0)+IF(ED1505&lt;&gt;"",1,0)+IF(EG1505&lt;&gt;"",1,0)+IF(EH1505&lt;&gt;"",1,0)</f>
        <v/>
      </c>
      <c r="AZ1505">
        <f>IF(EH1505&lt;&gt;"",1,0)</f>
        <v/>
      </c>
      <c r="BB1505" t="inlineStr">
        <is>
          <t>WARREN-WARD 4</t>
        </is>
      </c>
    </row>
    <row r="1506">
      <c r="A1506" t="inlineStr">
        <is>
          <t>OH0015724612</t>
        </is>
      </c>
      <c r="B1506" t="n">
        <v>78</v>
      </c>
      <c r="C1506" t="n">
        <v>208145</v>
      </c>
      <c r="D1506" t="inlineStr">
        <is>
          <t>BLACK</t>
        </is>
      </c>
      <c r="E1506" t="inlineStr">
        <is>
          <t>DANIEL</t>
        </is>
      </c>
      <c r="F1506">
        <f>CONCATENATE(D1506," ",LEFT(H1506,4),"T=",AU1506,"D=",AV1506,"R=",AW1506,"M=",AX1506,"L=",AY1506,"B=",AZ1506)</f>
        <v/>
      </c>
      <c r="G1506" t="inlineStr">
        <is>
          <t>WILLIAM</t>
        </is>
      </c>
      <c r="I1506" t="inlineStr">
        <is>
          <t>1944-02-24</t>
        </is>
      </c>
      <c r="J1506" t="inlineStr">
        <is>
          <t>1988-09-09</t>
        </is>
      </c>
      <c r="K1506" t="inlineStr">
        <is>
          <t>ACTIVE</t>
        </is>
      </c>
      <c r="L1506" t="inlineStr">
        <is>
          <t>R</t>
        </is>
      </c>
      <c r="M1506" t="inlineStr">
        <is>
          <t>1183 HARRISON ST NE</t>
        </is>
      </c>
      <c r="N1506">
        <f>RIGHT(M1506,LEN(M1506)-FIND(" ",M1506))</f>
        <v/>
      </c>
      <c r="P1506" t="inlineStr">
        <is>
          <t>WARREN</t>
        </is>
      </c>
      <c r="Q1506" t="inlineStr">
        <is>
          <t>OH</t>
        </is>
      </c>
      <c r="R1506" t="n">
        <v>44483</v>
      </c>
      <c r="AD1506" t="inlineStr">
        <is>
          <t>TRUMBULL CAREER &amp; TECH CENTER</t>
        </is>
      </c>
      <c r="AE1506" t="inlineStr">
        <is>
          <t>WARREN CITY</t>
        </is>
      </c>
      <c r="AF1506" t="inlineStr">
        <is>
          <t>WARREN CITY SD</t>
        </is>
      </c>
      <c r="AH1506" t="n">
        <v>14</v>
      </c>
      <c r="AI1506" t="n">
        <v>11</v>
      </c>
      <c r="AN1506" t="inlineStr">
        <is>
          <t>WARREN</t>
        </is>
      </c>
      <c r="AO1506" t="inlineStr">
        <is>
          <t>WARREN CITY 4D</t>
        </is>
      </c>
      <c r="AP1506" t="inlineStr">
        <is>
          <t>78-P-ADL</t>
        </is>
      </c>
      <c r="AQ1506" t="n">
        <v>9</v>
      </c>
      <c r="AR1506" t="n">
        <v>64</v>
      </c>
      <c r="AS1506" t="n">
        <v>32</v>
      </c>
      <c r="AU1506">
        <f>COUNTA($BA$1506:$EH$1506)</f>
        <v/>
      </c>
      <c r="AV1506">
        <f>COUNTIF($BA$1506:$EH$1506,"D")</f>
        <v/>
      </c>
      <c r="AW1506">
        <f>COUNTIF($BA$1506:$EH$1506,"R")</f>
        <v/>
      </c>
      <c r="AX1506">
        <f>IF(BN1506="D",1,0)+IF(BO1506="D",1,0)+IF(BT1506="D",1,0)+IF(BU1506="D",1,0)+IF(BW1506="D",1,0)+IF(CC1506="D",1,0)+IF(CD1506="D",1,0)+IF(CE1506="D",1,0)+IF(CF1506="D",1,0)+IF(CL1506="D",1,0)+IF(CM1506="D",1,0)+IF(CQ1506="D",1,0)+IF(CR1506="D",1,0)+IF(CS1506="D",1,0)+IF(CW1506="D",1,0)+IF(CX1506="D",1,0)+IF(DD1506="D",1,0)+IF(DE1506="D",1,0)+IF(DJ1506="D",1,0)+IF(DK1506="D",1,0)+IF(DO1506="D",1,0)+IF(DP1506="D",1,0)+IF(DQ1506="D",1,0)+IF(DW1506="D",1,0)+IF(DZ1506="D",1,0)+IF(EH1506="D",1,0)</f>
        <v/>
      </c>
      <c r="AY1506">
        <f>IF(DJ1506&lt;&gt;"",1,0)+IF(DK1506&lt;&gt;"",1,0)+IF(DM1506&lt;&gt;"",1,0)+IF(DO1506&lt;&gt;"",1,0)+IF(DP1506&lt;&gt;"",1,0)+IF(DQ1506&lt;&gt;"",1,0)+IF(DS1506&lt;&gt;"",1,0)+IF(DT1506&lt;&gt;"",1,0)+IF(DV1506&lt;&gt;"",1,0)+IF(DW1506&lt;&gt;"",1,0)+IF(DX1506&lt;&gt;"",1,0)+IF(DY1506&lt;&gt;"",1,0)+IF(DZ1506&lt;&gt;"",1,0)+IF(EB1506&lt;&gt;"",1,0)+IF(EC1506&lt;&gt;"",1,0)+IF(ED1506&lt;&gt;"",1,0)+IF(EG1506&lt;&gt;"",1,0)+IF(EH1506&lt;&gt;"",1,0)</f>
        <v/>
      </c>
      <c r="AZ1506">
        <f>IF(EH1506&lt;&gt;"",1,0)</f>
        <v/>
      </c>
      <c r="BB1506" t="inlineStr">
        <is>
          <t>WARREN-WARD 4</t>
        </is>
      </c>
      <c r="BC1506" t="inlineStr">
        <is>
          <t>X</t>
        </is>
      </c>
      <c r="BD1506" t="inlineStr">
        <is>
          <t>X</t>
        </is>
      </c>
      <c r="BE1506" t="inlineStr">
        <is>
          <t>X</t>
        </is>
      </c>
      <c r="BF1506" t="inlineStr">
        <is>
          <t>X</t>
        </is>
      </c>
      <c r="BH1506" t="inlineStr">
        <is>
          <t>X</t>
        </is>
      </c>
      <c r="BI1506" t="inlineStr">
        <is>
          <t>X</t>
        </is>
      </c>
      <c r="BJ1506" t="inlineStr">
        <is>
          <t>X</t>
        </is>
      </c>
      <c r="BK1506" t="inlineStr">
        <is>
          <t>X</t>
        </is>
      </c>
      <c r="BL1506" t="inlineStr">
        <is>
          <t>X</t>
        </is>
      </c>
      <c r="BP1506" t="inlineStr">
        <is>
          <t>X</t>
        </is>
      </c>
      <c r="BR1506" t="inlineStr">
        <is>
          <t>X</t>
        </is>
      </c>
      <c r="BS1506" t="inlineStr">
        <is>
          <t>X</t>
        </is>
      </c>
      <c r="BY1506" t="inlineStr">
        <is>
          <t>D</t>
        </is>
      </c>
      <c r="CA1506" t="inlineStr">
        <is>
          <t>X</t>
        </is>
      </c>
      <c r="CG1506" t="inlineStr">
        <is>
          <t>X</t>
        </is>
      </c>
      <c r="CH1506" t="inlineStr">
        <is>
          <t>D</t>
        </is>
      </c>
      <c r="CK1506" t="inlineStr">
        <is>
          <t>X</t>
        </is>
      </c>
      <c r="CL1506" t="inlineStr">
        <is>
          <t>D</t>
        </is>
      </c>
      <c r="CN1506" t="inlineStr">
        <is>
          <t>X</t>
        </is>
      </c>
      <c r="CO1506" t="inlineStr">
        <is>
          <t>R</t>
        </is>
      </c>
      <c r="CP1506" t="inlineStr">
        <is>
          <t>X</t>
        </is>
      </c>
      <c r="CV1506" t="inlineStr">
        <is>
          <t>X</t>
        </is>
      </c>
      <c r="CY1506" t="inlineStr">
        <is>
          <t>X</t>
        </is>
      </c>
      <c r="CZ1506" t="inlineStr">
        <is>
          <t>R</t>
        </is>
      </c>
      <c r="DC1506" t="inlineStr">
        <is>
          <t>X</t>
        </is>
      </c>
      <c r="DF1506" t="inlineStr">
        <is>
          <t>X</t>
        </is>
      </c>
      <c r="DG1506" t="inlineStr">
        <is>
          <t>R</t>
        </is>
      </c>
      <c r="DI1506" t="inlineStr">
        <is>
          <t>X</t>
        </is>
      </c>
      <c r="DL1506" t="inlineStr">
        <is>
          <t>X</t>
        </is>
      </c>
      <c r="DM1506" t="inlineStr">
        <is>
          <t>R</t>
        </is>
      </c>
      <c r="DN1506" t="inlineStr">
        <is>
          <t>X</t>
        </is>
      </c>
      <c r="DR1506" t="inlineStr">
        <is>
          <t>X</t>
        </is>
      </c>
      <c r="DS1506" t="inlineStr">
        <is>
          <t>R</t>
        </is>
      </c>
      <c r="DT1506" t="inlineStr">
        <is>
          <t>R</t>
        </is>
      </c>
      <c r="DU1506" t="inlineStr">
        <is>
          <t>X</t>
        </is>
      </c>
      <c r="DX1506" t="inlineStr">
        <is>
          <t>X</t>
        </is>
      </c>
      <c r="EA1506" t="inlineStr">
        <is>
          <t>X</t>
        </is>
      </c>
      <c r="ED1506" t="inlineStr">
        <is>
          <t>R</t>
        </is>
      </c>
      <c r="EF1506" t="inlineStr">
        <is>
          <t>X</t>
        </is>
      </c>
    </row>
    <row r="1507">
      <c r="A1507" t="inlineStr">
        <is>
          <t>OH0019135665</t>
        </is>
      </c>
      <c r="B1507" t="n">
        <v>78</v>
      </c>
      <c r="C1507" t="n">
        <v>350078</v>
      </c>
      <c r="D1507" t="inlineStr">
        <is>
          <t>TESORIERO</t>
        </is>
      </c>
      <c r="E1507" t="inlineStr">
        <is>
          <t>DENISE</t>
        </is>
      </c>
      <c r="F1507">
        <f>CONCATENATE(D1507," ",LEFT(H1507,4),"T=",AU1507,"D=",AV1507,"R=",AW1507,"M=",AX1507,"L=",AY1507,"B=",AZ1507)</f>
        <v/>
      </c>
      <c r="I1507" t="inlineStr">
        <is>
          <t>1968-04-23</t>
        </is>
      </c>
      <c r="J1507" t="inlineStr">
        <is>
          <t>2020-11-04</t>
        </is>
      </c>
      <c r="K1507" t="inlineStr">
        <is>
          <t>ACTIVE</t>
        </is>
      </c>
      <c r="L1507" t="inlineStr">
        <is>
          <t>D</t>
        </is>
      </c>
      <c r="M1507" t="inlineStr">
        <is>
          <t>1124 HARRISON ST NE</t>
        </is>
      </c>
      <c r="N1507">
        <f>RIGHT(M1507,LEN(M1507)-FIND(" ",M1507))</f>
        <v/>
      </c>
      <c r="P1507" t="inlineStr">
        <is>
          <t>WARREN</t>
        </is>
      </c>
      <c r="Q1507" t="inlineStr">
        <is>
          <t>OH</t>
        </is>
      </c>
      <c r="R1507" t="n">
        <v>44483</v>
      </c>
      <c r="AD1507" t="inlineStr">
        <is>
          <t>TRUMBULL CAREER &amp; TECH CENTER</t>
        </is>
      </c>
      <c r="AE1507" t="inlineStr">
        <is>
          <t>WARREN CITY</t>
        </is>
      </c>
      <c r="AF1507" t="inlineStr">
        <is>
          <t>WARREN CITY SD</t>
        </is>
      </c>
      <c r="AH1507" t="n">
        <v>14</v>
      </c>
      <c r="AI1507" t="n">
        <v>11</v>
      </c>
      <c r="AN1507" t="inlineStr">
        <is>
          <t>WARREN</t>
        </is>
      </c>
      <c r="AO1507" t="inlineStr">
        <is>
          <t>WARREN CITY 4D</t>
        </is>
      </c>
      <c r="AP1507" t="inlineStr">
        <is>
          <t>78-P-ADL</t>
        </is>
      </c>
      <c r="AQ1507" t="n">
        <v>9</v>
      </c>
      <c r="AR1507" t="n">
        <v>64</v>
      </c>
      <c r="AS1507" t="n">
        <v>32</v>
      </c>
      <c r="AU1507">
        <f>COUNTA($BA$1507:$EH$1507)</f>
        <v/>
      </c>
      <c r="AV1507">
        <f>COUNTIF($BA$1507:$EH$1507,"D")</f>
        <v/>
      </c>
      <c r="AW1507">
        <f>COUNTIF($BA$1507:$EH$1507,"R")</f>
        <v/>
      </c>
      <c r="AX1507">
        <f>IF(BN1507="D",1,0)+IF(BO1507="D",1,0)+IF(BT1507="D",1,0)+IF(BU1507="D",1,0)+IF(BW1507="D",1,0)+IF(CC1507="D",1,0)+IF(CD1507="D",1,0)+IF(CE1507="D",1,0)+IF(CF1507="D",1,0)+IF(CL1507="D",1,0)+IF(CM1507="D",1,0)+IF(CQ1507="D",1,0)+IF(CR1507="D",1,0)+IF(CS1507="D",1,0)+IF(CW1507="D",1,0)+IF(CX1507="D",1,0)+IF(DD1507="D",1,0)+IF(DE1507="D",1,0)+IF(DJ1507="D",1,0)+IF(DK1507="D",1,0)+IF(DO1507="D",1,0)+IF(DP1507="D",1,0)+IF(DQ1507="D",1,0)+IF(DW1507="D",1,0)+IF(DZ1507="D",1,0)+IF(EH1507="D",1,0)</f>
        <v/>
      </c>
      <c r="AY1507">
        <f>IF(DJ1507&lt;&gt;"",1,0)+IF(DK1507&lt;&gt;"",1,0)+IF(DM1507&lt;&gt;"",1,0)+IF(DO1507&lt;&gt;"",1,0)+IF(DP1507&lt;&gt;"",1,0)+IF(DQ1507&lt;&gt;"",1,0)+IF(DS1507&lt;&gt;"",1,0)+IF(DT1507&lt;&gt;"",1,0)+IF(DV1507&lt;&gt;"",1,0)+IF(DW1507&lt;&gt;"",1,0)+IF(DX1507&lt;&gt;"",1,0)+IF(DY1507&lt;&gt;"",1,0)+IF(DZ1507&lt;&gt;"",1,0)+IF(EB1507&lt;&gt;"",1,0)+IF(EC1507&lt;&gt;"",1,0)+IF(ED1507&lt;&gt;"",1,0)+IF(EG1507&lt;&gt;"",1,0)+IF(EH1507&lt;&gt;"",1,0)</f>
        <v/>
      </c>
      <c r="AZ1507">
        <f>IF(EH1507&lt;&gt;"",1,0)</f>
        <v/>
      </c>
      <c r="BB1507" t="inlineStr">
        <is>
          <t>WARREN-WARD 4</t>
        </is>
      </c>
      <c r="BV1507" t="inlineStr">
        <is>
          <t>X</t>
        </is>
      </c>
      <c r="BY1507" t="inlineStr">
        <is>
          <t>D</t>
        </is>
      </c>
      <c r="CA1507" t="inlineStr">
        <is>
          <t>X</t>
        </is>
      </c>
      <c r="CG1507" t="inlineStr">
        <is>
          <t>X</t>
        </is>
      </c>
      <c r="CK1507" t="inlineStr">
        <is>
          <t>X</t>
        </is>
      </c>
      <c r="CL1507" t="inlineStr">
        <is>
          <t>D</t>
        </is>
      </c>
      <c r="CN1507" t="inlineStr">
        <is>
          <t>X</t>
        </is>
      </c>
      <c r="CO1507" t="inlineStr">
        <is>
          <t>D</t>
        </is>
      </c>
      <c r="CP1507" t="inlineStr">
        <is>
          <t>X</t>
        </is>
      </c>
      <c r="CV1507" t="inlineStr">
        <is>
          <t>X</t>
        </is>
      </c>
      <c r="CW1507" t="inlineStr">
        <is>
          <t>D</t>
        </is>
      </c>
      <c r="CY1507" t="inlineStr">
        <is>
          <t>X</t>
        </is>
      </c>
      <c r="CZ1507" t="inlineStr">
        <is>
          <t>D</t>
        </is>
      </c>
      <c r="DC1507" t="inlineStr">
        <is>
          <t>X</t>
        </is>
      </c>
      <c r="DD1507" t="inlineStr">
        <is>
          <t>D</t>
        </is>
      </c>
      <c r="DF1507" t="inlineStr">
        <is>
          <t>X</t>
        </is>
      </c>
      <c r="DG1507" t="inlineStr">
        <is>
          <t>D</t>
        </is>
      </c>
      <c r="DI1507" t="inlineStr">
        <is>
          <t>X</t>
        </is>
      </c>
      <c r="DJ1507" t="inlineStr">
        <is>
          <t>D</t>
        </is>
      </c>
      <c r="DL1507" t="inlineStr">
        <is>
          <t>X</t>
        </is>
      </c>
      <c r="DN1507" t="inlineStr">
        <is>
          <t>X</t>
        </is>
      </c>
      <c r="DS1507" t="inlineStr">
        <is>
          <t>D</t>
        </is>
      </c>
      <c r="DT1507" t="inlineStr">
        <is>
          <t>D</t>
        </is>
      </c>
      <c r="DU1507" t="inlineStr">
        <is>
          <t>X</t>
        </is>
      </c>
      <c r="DW1507" t="inlineStr">
        <is>
          <t>D</t>
        </is>
      </c>
      <c r="DX1507" t="inlineStr">
        <is>
          <t>X</t>
        </is>
      </c>
      <c r="EA1507" t="inlineStr">
        <is>
          <t>X</t>
        </is>
      </c>
      <c r="ED1507" t="inlineStr">
        <is>
          <t>D</t>
        </is>
      </c>
      <c r="EF1507" t="inlineStr">
        <is>
          <t>X</t>
        </is>
      </c>
      <c r="EH1507" t="inlineStr">
        <is>
          <t>D</t>
        </is>
      </c>
    </row>
    <row r="1508">
      <c r="A1508" t="inlineStr">
        <is>
          <t>OH0024784470</t>
        </is>
      </c>
      <c r="B1508" t="n">
        <v>78</v>
      </c>
      <c r="C1508" t="n">
        <v>434997</v>
      </c>
      <c r="D1508" t="inlineStr">
        <is>
          <t>TOLER</t>
        </is>
      </c>
      <c r="E1508" t="inlineStr">
        <is>
          <t>JON</t>
        </is>
      </c>
      <c r="F1508">
        <f>CONCATENATE(D1508," ",LEFT(H1508,4),"T=",AU1508,"D=",AV1508,"R=",AW1508,"M=",AX1508,"L=",AY1508,"B=",AZ1508)</f>
        <v/>
      </c>
      <c r="G1508" t="inlineStr">
        <is>
          <t>A</t>
        </is>
      </c>
      <c r="I1508" t="inlineStr">
        <is>
          <t>1975-04-11</t>
        </is>
      </c>
      <c r="J1508" t="inlineStr">
        <is>
          <t>2018-09-21</t>
        </is>
      </c>
      <c r="K1508" t="inlineStr">
        <is>
          <t>ACTIVE</t>
        </is>
      </c>
      <c r="M1508" t="inlineStr">
        <is>
          <t>648 VINE AVE NE</t>
        </is>
      </c>
      <c r="N1508">
        <f>RIGHT(M1508,LEN(M1508)-FIND(" ",M1508))</f>
        <v/>
      </c>
      <c r="P1508" t="inlineStr">
        <is>
          <t>WARREN</t>
        </is>
      </c>
      <c r="Q1508" t="inlineStr">
        <is>
          <t>OH</t>
        </is>
      </c>
      <c r="R1508" t="n">
        <v>44483</v>
      </c>
      <c r="AD1508" t="inlineStr">
        <is>
          <t>TRUMBULL CAREER &amp; TECH CENTER</t>
        </is>
      </c>
      <c r="AE1508" t="inlineStr">
        <is>
          <t>WARREN CITY</t>
        </is>
      </c>
      <c r="AF1508" t="inlineStr">
        <is>
          <t>WARREN CITY SD</t>
        </is>
      </c>
      <c r="AH1508" t="n">
        <v>14</v>
      </c>
      <c r="AI1508" t="n">
        <v>11</v>
      </c>
      <c r="AN1508" t="inlineStr">
        <is>
          <t>WARREN</t>
        </is>
      </c>
      <c r="AO1508" t="inlineStr">
        <is>
          <t>WARREN CITY 4D</t>
        </is>
      </c>
      <c r="AP1508" t="inlineStr">
        <is>
          <t>78-P-ADL</t>
        </is>
      </c>
      <c r="AQ1508" t="n">
        <v>9</v>
      </c>
      <c r="AR1508" t="n">
        <v>64</v>
      </c>
      <c r="AS1508" t="n">
        <v>32</v>
      </c>
      <c r="AU1508">
        <f>COUNTA($BA$1508:$EH$1508)</f>
        <v/>
      </c>
      <c r="AV1508">
        <f>COUNTIF($BA$1508:$EH$1508,"D")</f>
        <v/>
      </c>
      <c r="AW1508">
        <f>COUNTIF($BA$1508:$EH$1508,"R")</f>
        <v/>
      </c>
      <c r="AX1508">
        <f>IF(BN1508="D",1,0)+IF(BO1508="D",1,0)+IF(BT1508="D",1,0)+IF(BU1508="D",1,0)+IF(BW1508="D",1,0)+IF(CC1508="D",1,0)+IF(CD1508="D",1,0)+IF(CE1508="D",1,0)+IF(CF1508="D",1,0)+IF(CL1508="D",1,0)+IF(CM1508="D",1,0)+IF(CQ1508="D",1,0)+IF(CR1508="D",1,0)+IF(CS1508="D",1,0)+IF(CW1508="D",1,0)+IF(CX1508="D",1,0)+IF(DD1508="D",1,0)+IF(DE1508="D",1,0)+IF(DJ1508="D",1,0)+IF(DK1508="D",1,0)+IF(DO1508="D",1,0)+IF(DP1508="D",1,0)+IF(DQ1508="D",1,0)+IF(DW1508="D",1,0)+IF(DZ1508="D",1,0)+IF(EH1508="D",1,0)</f>
        <v/>
      </c>
      <c r="AY1508">
        <f>IF(DJ1508&lt;&gt;"",1,0)+IF(DK1508&lt;&gt;"",1,0)+IF(DM1508&lt;&gt;"",1,0)+IF(DO1508&lt;&gt;"",1,0)+IF(DP1508&lt;&gt;"",1,0)+IF(DQ1508&lt;&gt;"",1,0)+IF(DS1508&lt;&gt;"",1,0)+IF(DT1508&lt;&gt;"",1,0)+IF(DV1508&lt;&gt;"",1,0)+IF(DW1508&lt;&gt;"",1,0)+IF(DX1508&lt;&gt;"",1,0)+IF(DY1508&lt;&gt;"",1,0)+IF(DZ1508&lt;&gt;"",1,0)+IF(EB1508&lt;&gt;"",1,0)+IF(EC1508&lt;&gt;"",1,0)+IF(ED1508&lt;&gt;"",1,0)+IF(EG1508&lt;&gt;"",1,0)+IF(EH1508&lt;&gt;"",1,0)</f>
        <v/>
      </c>
      <c r="AZ1508">
        <f>IF(EH1508&lt;&gt;"",1,0)</f>
        <v/>
      </c>
      <c r="BB1508" t="inlineStr">
        <is>
          <t>WARREN-WARD 4</t>
        </is>
      </c>
      <c r="CA1508" t="inlineStr">
        <is>
          <t>X</t>
        </is>
      </c>
      <c r="DI1508" t="inlineStr">
        <is>
          <t>X</t>
        </is>
      </c>
      <c r="DN1508" t="inlineStr">
        <is>
          <t>X</t>
        </is>
      </c>
      <c r="DU1508" t="inlineStr">
        <is>
          <t>X</t>
        </is>
      </c>
      <c r="EA1508" t="inlineStr">
        <is>
          <t>X</t>
        </is>
      </c>
      <c r="EF1508" t="inlineStr">
        <is>
          <t>X</t>
        </is>
      </c>
    </row>
    <row r="1509">
      <c r="A1509" t="inlineStr">
        <is>
          <t>OH0021964123</t>
        </is>
      </c>
      <c r="B1509" t="n">
        <v>78</v>
      </c>
      <c r="C1509" t="n">
        <v>389589</v>
      </c>
      <c r="D1509" t="inlineStr">
        <is>
          <t>RICH</t>
        </is>
      </c>
      <c r="E1509" t="inlineStr">
        <is>
          <t>JOSEPH</t>
        </is>
      </c>
      <c r="F1509">
        <f>CONCATENATE(D1509," ",LEFT(H1509,4),"T=",AU1509,"D=",AV1509,"R=",AW1509,"M=",AX1509,"L=",AY1509,"B=",AZ1509)</f>
        <v/>
      </c>
      <c r="G1509" t="inlineStr">
        <is>
          <t>F</t>
        </is>
      </c>
      <c r="I1509" t="inlineStr">
        <is>
          <t>1974-08-28</t>
        </is>
      </c>
      <c r="J1509" t="inlineStr">
        <is>
          <t>2024-07-31</t>
        </is>
      </c>
      <c r="K1509" t="inlineStr">
        <is>
          <t>ACTIVE</t>
        </is>
      </c>
      <c r="M1509" t="inlineStr">
        <is>
          <t>182 HIGH ST NW</t>
        </is>
      </c>
      <c r="N1509">
        <f>RIGHT(M1509,LEN(M1509)-FIND(" ",M1509))</f>
        <v/>
      </c>
      <c r="P1509" t="inlineStr">
        <is>
          <t>WARREN</t>
        </is>
      </c>
      <c r="Q1509" t="inlineStr">
        <is>
          <t>OH</t>
        </is>
      </c>
      <c r="R1509" t="n">
        <v>44481</v>
      </c>
      <c r="AD1509" t="inlineStr">
        <is>
          <t>TRUMBULL CAREER &amp; TECH CENTER</t>
        </is>
      </c>
      <c r="AE1509" t="inlineStr">
        <is>
          <t>WARREN CITY</t>
        </is>
      </c>
      <c r="AF1509" t="inlineStr">
        <is>
          <t>WARREN CITY SD</t>
        </is>
      </c>
      <c r="AH1509" t="n">
        <v>14</v>
      </c>
      <c r="AI1509" t="n">
        <v>11</v>
      </c>
      <c r="AN1509" t="inlineStr">
        <is>
          <t>WARREN</t>
        </is>
      </c>
      <c r="AO1509" t="inlineStr">
        <is>
          <t>WARREN CITY 4D</t>
        </is>
      </c>
      <c r="AP1509" t="inlineStr">
        <is>
          <t>78-P-ADL</t>
        </is>
      </c>
      <c r="AQ1509" t="n">
        <v>9</v>
      </c>
      <c r="AR1509" t="n">
        <v>64</v>
      </c>
      <c r="AS1509" t="n">
        <v>32</v>
      </c>
      <c r="AU1509">
        <f>COUNTA($BA$1509:$EH$1509)</f>
        <v/>
      </c>
      <c r="AV1509">
        <f>COUNTIF($BA$1509:$EH$1509,"D")</f>
        <v/>
      </c>
      <c r="AW1509">
        <f>COUNTIF($BA$1509:$EH$1509,"R")</f>
        <v/>
      </c>
      <c r="AX1509">
        <f>IF(BN1509="D",1,0)+IF(BO1509="D",1,0)+IF(BT1509="D",1,0)+IF(BU1509="D",1,0)+IF(BW1509="D",1,0)+IF(CC1509="D",1,0)+IF(CD1509="D",1,0)+IF(CE1509="D",1,0)+IF(CF1509="D",1,0)+IF(CL1509="D",1,0)+IF(CM1509="D",1,0)+IF(CQ1509="D",1,0)+IF(CR1509="D",1,0)+IF(CS1509="D",1,0)+IF(CW1509="D",1,0)+IF(CX1509="D",1,0)+IF(DD1509="D",1,0)+IF(DE1509="D",1,0)+IF(DJ1509="D",1,0)+IF(DK1509="D",1,0)+IF(DO1509="D",1,0)+IF(DP1509="D",1,0)+IF(DQ1509="D",1,0)+IF(DW1509="D",1,0)+IF(DZ1509="D",1,0)+IF(EH1509="D",1,0)</f>
        <v/>
      </c>
      <c r="AY1509">
        <f>IF(DJ1509&lt;&gt;"",1,0)+IF(DK1509&lt;&gt;"",1,0)+IF(DM1509&lt;&gt;"",1,0)+IF(DO1509&lt;&gt;"",1,0)+IF(DP1509&lt;&gt;"",1,0)+IF(DQ1509&lt;&gt;"",1,0)+IF(DS1509&lt;&gt;"",1,0)+IF(DT1509&lt;&gt;"",1,0)+IF(DV1509&lt;&gt;"",1,0)+IF(DW1509&lt;&gt;"",1,0)+IF(DX1509&lt;&gt;"",1,0)+IF(DY1509&lt;&gt;"",1,0)+IF(DZ1509&lt;&gt;"",1,0)+IF(EB1509&lt;&gt;"",1,0)+IF(EC1509&lt;&gt;"",1,0)+IF(ED1509&lt;&gt;"",1,0)+IF(EG1509&lt;&gt;"",1,0)+IF(EH1509&lt;&gt;"",1,0)</f>
        <v/>
      </c>
      <c r="AZ1509">
        <f>IF(EH1509&lt;&gt;"",1,0)</f>
        <v/>
      </c>
      <c r="BB1509" t="inlineStr">
        <is>
          <t>WARREN-WARD 4</t>
        </is>
      </c>
    </row>
    <row r="1510">
      <c r="A1510" t="inlineStr">
        <is>
          <t>OH0024699536</t>
        </is>
      </c>
      <c r="B1510" t="n">
        <v>78</v>
      </c>
      <c r="C1510" t="n">
        <v>433880</v>
      </c>
      <c r="D1510" t="inlineStr">
        <is>
          <t>MURRAY</t>
        </is>
      </c>
      <c r="E1510" t="inlineStr">
        <is>
          <t>TAMARA</t>
        </is>
      </c>
      <c r="F1510">
        <f>CONCATENATE(D1510," ",LEFT(H1510,4),"T=",AU1510,"D=",AV1510,"R=",AW1510,"M=",AX1510,"L=",AY1510,"B=",AZ1510)</f>
        <v/>
      </c>
      <c r="G1510" t="inlineStr">
        <is>
          <t>L</t>
        </is>
      </c>
      <c r="I1510" t="inlineStr">
        <is>
          <t>1971-06-19</t>
        </is>
      </c>
      <c r="J1510" t="inlineStr">
        <is>
          <t>2018-07-19</t>
        </is>
      </c>
      <c r="K1510" t="inlineStr">
        <is>
          <t>CONFIRMATION</t>
        </is>
      </c>
      <c r="M1510" t="inlineStr">
        <is>
          <t>440 ELM RD NE</t>
        </is>
      </c>
      <c r="N1510">
        <f>RIGHT(M1510,LEN(M1510)-FIND(" ",M1510))</f>
        <v/>
      </c>
      <c r="P1510" t="inlineStr">
        <is>
          <t>WARREN</t>
        </is>
      </c>
      <c r="Q1510" t="inlineStr">
        <is>
          <t>OH</t>
        </is>
      </c>
      <c r="R1510" t="n">
        <v>44483</v>
      </c>
      <c r="AD1510" t="inlineStr">
        <is>
          <t>TRUMBULL CAREER &amp; TECH CENTER</t>
        </is>
      </c>
      <c r="AE1510" t="inlineStr">
        <is>
          <t>WARREN CITY</t>
        </is>
      </c>
      <c r="AF1510" t="inlineStr">
        <is>
          <t>WARREN CITY SD</t>
        </is>
      </c>
      <c r="AH1510" t="n">
        <v>14</v>
      </c>
      <c r="AI1510" t="n">
        <v>11</v>
      </c>
      <c r="AN1510" t="inlineStr">
        <is>
          <t>WARREN</t>
        </is>
      </c>
      <c r="AO1510" t="inlineStr">
        <is>
          <t>WARREN CITY 4D</t>
        </is>
      </c>
      <c r="AP1510" t="inlineStr">
        <is>
          <t>78-P-ADL</t>
        </is>
      </c>
      <c r="AQ1510" t="n">
        <v>9</v>
      </c>
      <c r="AR1510" t="n">
        <v>64</v>
      </c>
      <c r="AS1510" t="n">
        <v>32</v>
      </c>
      <c r="AU1510">
        <f>COUNTA($BA$1510:$EH$1510)</f>
        <v/>
      </c>
      <c r="AV1510">
        <f>COUNTIF($BA$1510:$EH$1510,"D")</f>
        <v/>
      </c>
      <c r="AW1510">
        <f>COUNTIF($BA$1510:$EH$1510,"R")</f>
        <v/>
      </c>
      <c r="AX1510">
        <f>IF(BN1510="D",1,0)+IF(BO1510="D",1,0)+IF(BT1510="D",1,0)+IF(BU1510="D",1,0)+IF(BW1510="D",1,0)+IF(CC1510="D",1,0)+IF(CD1510="D",1,0)+IF(CE1510="D",1,0)+IF(CF1510="D",1,0)+IF(CL1510="D",1,0)+IF(CM1510="D",1,0)+IF(CQ1510="D",1,0)+IF(CR1510="D",1,0)+IF(CS1510="D",1,0)+IF(CW1510="D",1,0)+IF(CX1510="D",1,0)+IF(DD1510="D",1,0)+IF(DE1510="D",1,0)+IF(DJ1510="D",1,0)+IF(DK1510="D",1,0)+IF(DO1510="D",1,0)+IF(DP1510="D",1,0)+IF(DQ1510="D",1,0)+IF(DW1510="D",1,0)+IF(DZ1510="D",1,0)+IF(EH1510="D",1,0)</f>
        <v/>
      </c>
      <c r="AY1510">
        <f>IF(DJ1510&lt;&gt;"",1,0)+IF(DK1510&lt;&gt;"",1,0)+IF(DM1510&lt;&gt;"",1,0)+IF(DO1510&lt;&gt;"",1,0)+IF(DP1510&lt;&gt;"",1,0)+IF(DQ1510&lt;&gt;"",1,0)+IF(DS1510&lt;&gt;"",1,0)+IF(DT1510&lt;&gt;"",1,0)+IF(DV1510&lt;&gt;"",1,0)+IF(DW1510&lt;&gt;"",1,0)+IF(DX1510&lt;&gt;"",1,0)+IF(DY1510&lt;&gt;"",1,0)+IF(DZ1510&lt;&gt;"",1,0)+IF(EB1510&lt;&gt;"",1,0)+IF(EC1510&lt;&gt;"",1,0)+IF(ED1510&lt;&gt;"",1,0)+IF(EG1510&lt;&gt;"",1,0)+IF(EH1510&lt;&gt;"",1,0)</f>
        <v/>
      </c>
      <c r="AZ1510">
        <f>IF(EH1510&lt;&gt;"",1,0)</f>
        <v/>
      </c>
      <c r="BB1510" t="inlineStr">
        <is>
          <t>WARREN-WARD 4</t>
        </is>
      </c>
    </row>
    <row r="1511">
      <c r="A1511" t="inlineStr">
        <is>
          <t>OH0015724614</t>
        </is>
      </c>
      <c r="B1511" t="n">
        <v>78</v>
      </c>
      <c r="C1511" t="n">
        <v>208146</v>
      </c>
      <c r="D1511" t="inlineStr">
        <is>
          <t>BLACK</t>
        </is>
      </c>
      <c r="E1511" t="inlineStr">
        <is>
          <t>KAREN</t>
        </is>
      </c>
      <c r="F1511">
        <f>CONCATENATE(D1511," ",LEFT(H1511,4),"T=",AU1511,"D=",AV1511,"R=",AW1511,"M=",AX1511,"L=",AY1511,"B=",AZ1511)</f>
        <v/>
      </c>
      <c r="G1511" t="inlineStr">
        <is>
          <t>LEE</t>
        </is>
      </c>
      <c r="I1511" t="inlineStr">
        <is>
          <t>1942-02-16</t>
        </is>
      </c>
      <c r="J1511" t="inlineStr">
        <is>
          <t>1988-09-09</t>
        </is>
      </c>
      <c r="K1511" t="inlineStr">
        <is>
          <t>ACTIVE</t>
        </is>
      </c>
      <c r="L1511" t="inlineStr">
        <is>
          <t>R</t>
        </is>
      </c>
      <c r="M1511" t="inlineStr">
        <is>
          <t>1183 HARRISON ST NE</t>
        </is>
      </c>
      <c r="N1511">
        <f>RIGHT(M1511,LEN(M1511)-FIND(" ",M1511))</f>
        <v/>
      </c>
      <c r="P1511" t="inlineStr">
        <is>
          <t>WARREN</t>
        </is>
      </c>
      <c r="Q1511" t="inlineStr">
        <is>
          <t>OH</t>
        </is>
      </c>
      <c r="R1511" t="n">
        <v>44483</v>
      </c>
      <c r="AD1511" t="inlineStr">
        <is>
          <t>TRUMBULL CAREER &amp; TECH CENTER</t>
        </is>
      </c>
      <c r="AE1511" t="inlineStr">
        <is>
          <t>WARREN CITY</t>
        </is>
      </c>
      <c r="AF1511" t="inlineStr">
        <is>
          <t>WARREN CITY SD</t>
        </is>
      </c>
      <c r="AH1511" t="n">
        <v>14</v>
      </c>
      <c r="AI1511" t="n">
        <v>11</v>
      </c>
      <c r="AN1511" t="inlineStr">
        <is>
          <t>WARREN</t>
        </is>
      </c>
      <c r="AO1511" t="inlineStr">
        <is>
          <t>WARREN CITY 4D</t>
        </is>
      </c>
      <c r="AP1511" t="inlineStr">
        <is>
          <t>78-P-ADL</t>
        </is>
      </c>
      <c r="AQ1511" t="n">
        <v>9</v>
      </c>
      <c r="AR1511" t="n">
        <v>64</v>
      </c>
      <c r="AS1511" t="n">
        <v>32</v>
      </c>
      <c r="AU1511">
        <f>COUNTA($BA$1511:$EH$1511)</f>
        <v/>
      </c>
      <c r="AV1511">
        <f>COUNTIF($BA$1511:$EH$1511,"D")</f>
        <v/>
      </c>
      <c r="AW1511">
        <f>COUNTIF($BA$1511:$EH$1511,"R")</f>
        <v/>
      </c>
      <c r="AX1511">
        <f>IF(BN1511="D",1,0)+IF(BO1511="D",1,0)+IF(BT1511="D",1,0)+IF(BU1511="D",1,0)+IF(BW1511="D",1,0)+IF(CC1511="D",1,0)+IF(CD1511="D",1,0)+IF(CE1511="D",1,0)+IF(CF1511="D",1,0)+IF(CL1511="D",1,0)+IF(CM1511="D",1,0)+IF(CQ1511="D",1,0)+IF(CR1511="D",1,0)+IF(CS1511="D",1,0)+IF(CW1511="D",1,0)+IF(CX1511="D",1,0)+IF(DD1511="D",1,0)+IF(DE1511="D",1,0)+IF(DJ1511="D",1,0)+IF(DK1511="D",1,0)+IF(DO1511="D",1,0)+IF(DP1511="D",1,0)+IF(DQ1511="D",1,0)+IF(DW1511="D",1,0)+IF(DZ1511="D",1,0)+IF(EH1511="D",1,0)</f>
        <v/>
      </c>
      <c r="AY1511">
        <f>IF(DJ1511&lt;&gt;"",1,0)+IF(DK1511&lt;&gt;"",1,0)+IF(DM1511&lt;&gt;"",1,0)+IF(DO1511&lt;&gt;"",1,0)+IF(DP1511&lt;&gt;"",1,0)+IF(DQ1511&lt;&gt;"",1,0)+IF(DS1511&lt;&gt;"",1,0)+IF(DT1511&lt;&gt;"",1,0)+IF(DV1511&lt;&gt;"",1,0)+IF(DW1511&lt;&gt;"",1,0)+IF(DX1511&lt;&gt;"",1,0)+IF(DY1511&lt;&gt;"",1,0)+IF(DZ1511&lt;&gt;"",1,0)+IF(EB1511&lt;&gt;"",1,0)+IF(EC1511&lt;&gt;"",1,0)+IF(ED1511&lt;&gt;"",1,0)+IF(EG1511&lt;&gt;"",1,0)+IF(EH1511&lt;&gt;"",1,0)</f>
        <v/>
      </c>
      <c r="AZ1511">
        <f>IF(EH1511&lt;&gt;"",1,0)</f>
        <v/>
      </c>
      <c r="BB1511" t="inlineStr">
        <is>
          <t>WARREN-WARD 4</t>
        </is>
      </c>
      <c r="BC1511" t="inlineStr">
        <is>
          <t>X</t>
        </is>
      </c>
      <c r="BD1511" t="inlineStr">
        <is>
          <t>X</t>
        </is>
      </c>
      <c r="BE1511" t="inlineStr">
        <is>
          <t>X</t>
        </is>
      </c>
      <c r="BF1511" t="inlineStr">
        <is>
          <t>X</t>
        </is>
      </c>
      <c r="BH1511" t="inlineStr">
        <is>
          <t>X</t>
        </is>
      </c>
      <c r="BI1511" t="inlineStr">
        <is>
          <t>X</t>
        </is>
      </c>
      <c r="BJ1511" t="inlineStr">
        <is>
          <t>X</t>
        </is>
      </c>
      <c r="BK1511" t="inlineStr">
        <is>
          <t>X</t>
        </is>
      </c>
      <c r="BL1511" t="inlineStr">
        <is>
          <t>X</t>
        </is>
      </c>
      <c r="BP1511" t="inlineStr">
        <is>
          <t>X</t>
        </is>
      </c>
      <c r="BR1511" t="inlineStr">
        <is>
          <t>X</t>
        </is>
      </c>
      <c r="BS1511" t="inlineStr">
        <is>
          <t>X</t>
        </is>
      </c>
      <c r="BY1511" t="inlineStr">
        <is>
          <t>D</t>
        </is>
      </c>
      <c r="CA1511" t="inlineStr">
        <is>
          <t>X</t>
        </is>
      </c>
      <c r="CG1511" t="inlineStr">
        <is>
          <t>X</t>
        </is>
      </c>
      <c r="CH1511" t="inlineStr">
        <is>
          <t>D</t>
        </is>
      </c>
      <c r="CK1511" t="inlineStr">
        <is>
          <t>X</t>
        </is>
      </c>
      <c r="CL1511" t="inlineStr">
        <is>
          <t>D</t>
        </is>
      </c>
      <c r="CN1511" t="inlineStr">
        <is>
          <t>X</t>
        </is>
      </c>
      <c r="CO1511" t="inlineStr">
        <is>
          <t>R</t>
        </is>
      </c>
      <c r="CP1511" t="inlineStr">
        <is>
          <t>X</t>
        </is>
      </c>
      <c r="CV1511" t="inlineStr">
        <is>
          <t>X</t>
        </is>
      </c>
      <c r="CZ1511" t="inlineStr">
        <is>
          <t>R</t>
        </is>
      </c>
      <c r="DC1511" t="inlineStr">
        <is>
          <t>X</t>
        </is>
      </c>
      <c r="DF1511" t="inlineStr">
        <is>
          <t>X</t>
        </is>
      </c>
      <c r="DG1511" t="inlineStr">
        <is>
          <t>R</t>
        </is>
      </c>
      <c r="DI1511" t="inlineStr">
        <is>
          <t>X</t>
        </is>
      </c>
      <c r="DL1511" t="inlineStr">
        <is>
          <t>X</t>
        </is>
      </c>
      <c r="DM1511" t="inlineStr">
        <is>
          <t>R</t>
        </is>
      </c>
      <c r="DN1511" t="inlineStr">
        <is>
          <t>X</t>
        </is>
      </c>
      <c r="DS1511" t="inlineStr">
        <is>
          <t>R</t>
        </is>
      </c>
      <c r="DU1511" t="inlineStr">
        <is>
          <t>X</t>
        </is>
      </c>
      <c r="DX1511" t="inlineStr">
        <is>
          <t>X</t>
        </is>
      </c>
      <c r="EA1511" t="inlineStr">
        <is>
          <t>X</t>
        </is>
      </c>
      <c r="ED1511" t="inlineStr">
        <is>
          <t>R</t>
        </is>
      </c>
      <c r="EF1511" t="inlineStr">
        <is>
          <t>X</t>
        </is>
      </c>
    </row>
    <row r="1512">
      <c r="A1512" t="inlineStr">
        <is>
          <t>OH0027270150</t>
        </is>
      </c>
      <c r="B1512" t="n">
        <v>78</v>
      </c>
      <c r="C1512" t="n">
        <v>484029</v>
      </c>
      <c r="D1512" t="inlineStr">
        <is>
          <t>ENGLERT</t>
        </is>
      </c>
      <c r="E1512" t="inlineStr">
        <is>
          <t>ROSE</t>
        </is>
      </c>
      <c r="F1512">
        <f>CONCATENATE(D1512," ",LEFT(H1512,4),"T=",AU1512,"D=",AV1512,"R=",AW1512,"M=",AX1512,"L=",AY1512,"B=",AZ1512)</f>
        <v/>
      </c>
      <c r="G1512" t="inlineStr">
        <is>
          <t>M</t>
        </is>
      </c>
      <c r="I1512" t="inlineStr">
        <is>
          <t>1999-04-09</t>
        </is>
      </c>
      <c r="J1512" t="inlineStr">
        <is>
          <t>2024-03-28</t>
        </is>
      </c>
      <c r="K1512" t="inlineStr">
        <is>
          <t>ACTIVE</t>
        </is>
      </c>
      <c r="M1512" t="inlineStr">
        <is>
          <t>444 SCOTT ST NE</t>
        </is>
      </c>
      <c r="N1512">
        <f>RIGHT(M1512,LEN(M1512)-FIND(" ",M1512))</f>
        <v/>
      </c>
      <c r="P1512" t="inlineStr">
        <is>
          <t>WARREN</t>
        </is>
      </c>
      <c r="Q1512" t="inlineStr">
        <is>
          <t>OH</t>
        </is>
      </c>
      <c r="R1512" t="n">
        <v>44483</v>
      </c>
      <c r="AD1512" t="inlineStr">
        <is>
          <t>TRUMBULL CAREER &amp; TECH CENTER</t>
        </is>
      </c>
      <c r="AE1512" t="inlineStr">
        <is>
          <t>WARREN CITY</t>
        </is>
      </c>
      <c r="AF1512" t="inlineStr">
        <is>
          <t>WARREN CITY SD</t>
        </is>
      </c>
      <c r="AH1512" t="n">
        <v>14</v>
      </c>
      <c r="AI1512" t="n">
        <v>11</v>
      </c>
      <c r="AN1512" t="inlineStr">
        <is>
          <t>WARREN</t>
        </is>
      </c>
      <c r="AO1512" t="inlineStr">
        <is>
          <t>WARREN CITY 4D</t>
        </is>
      </c>
      <c r="AP1512" t="inlineStr">
        <is>
          <t>78-P-ADL</t>
        </is>
      </c>
      <c r="AQ1512" t="n">
        <v>9</v>
      </c>
      <c r="AR1512" t="n">
        <v>64</v>
      </c>
      <c r="AS1512" t="n">
        <v>32</v>
      </c>
      <c r="AU1512">
        <f>COUNTA($BA$1512:$EH$1512)</f>
        <v/>
      </c>
      <c r="AV1512">
        <f>COUNTIF($BA$1512:$EH$1512,"D")</f>
        <v/>
      </c>
      <c r="AW1512">
        <f>COUNTIF($BA$1512:$EH$1512,"R")</f>
        <v/>
      </c>
      <c r="AX1512">
        <f>IF(BN1512="D",1,0)+IF(BO1512="D",1,0)+IF(BT1512="D",1,0)+IF(BU1512="D",1,0)+IF(BW1512="D",1,0)+IF(CC1512="D",1,0)+IF(CD1512="D",1,0)+IF(CE1512="D",1,0)+IF(CF1512="D",1,0)+IF(CL1512="D",1,0)+IF(CM1512="D",1,0)+IF(CQ1512="D",1,0)+IF(CR1512="D",1,0)+IF(CS1512="D",1,0)+IF(CW1512="D",1,0)+IF(CX1512="D",1,0)+IF(DD1512="D",1,0)+IF(DE1512="D",1,0)+IF(DJ1512="D",1,0)+IF(DK1512="D",1,0)+IF(DO1512="D",1,0)+IF(DP1512="D",1,0)+IF(DQ1512="D",1,0)+IF(DW1512="D",1,0)+IF(DZ1512="D",1,0)+IF(EH1512="D",1,0)</f>
        <v/>
      </c>
      <c r="AY1512">
        <f>IF(DJ1512&lt;&gt;"",1,0)+IF(DK1512&lt;&gt;"",1,0)+IF(DM1512&lt;&gt;"",1,0)+IF(DO1512&lt;&gt;"",1,0)+IF(DP1512&lt;&gt;"",1,0)+IF(DQ1512&lt;&gt;"",1,0)+IF(DS1512&lt;&gt;"",1,0)+IF(DT1512&lt;&gt;"",1,0)+IF(DV1512&lt;&gt;"",1,0)+IF(DW1512&lt;&gt;"",1,0)+IF(DX1512&lt;&gt;"",1,0)+IF(DY1512&lt;&gt;"",1,0)+IF(DZ1512&lt;&gt;"",1,0)+IF(EB1512&lt;&gt;"",1,0)+IF(EC1512&lt;&gt;"",1,0)+IF(ED1512&lt;&gt;"",1,0)+IF(EG1512&lt;&gt;"",1,0)+IF(EH1512&lt;&gt;"",1,0)</f>
        <v/>
      </c>
      <c r="AZ1512">
        <f>IF(EH1512&lt;&gt;"",1,0)</f>
        <v/>
      </c>
      <c r="BB1512" t="inlineStr">
        <is>
          <t>WARREN-WARD 4</t>
        </is>
      </c>
      <c r="DI1512" t="inlineStr">
        <is>
          <t>X</t>
        </is>
      </c>
      <c r="DN1512" t="inlineStr">
        <is>
          <t>X</t>
        </is>
      </c>
      <c r="EF1512" t="inlineStr">
        <is>
          <t>X</t>
        </is>
      </c>
    </row>
    <row r="1513">
      <c r="A1513" t="inlineStr">
        <is>
          <t>OH0015688216</t>
        </is>
      </c>
      <c r="B1513" t="n">
        <v>78</v>
      </c>
      <c r="C1513" t="n">
        <v>12918</v>
      </c>
      <c r="D1513" t="inlineStr">
        <is>
          <t>DONAHUE</t>
        </is>
      </c>
      <c r="E1513" t="inlineStr">
        <is>
          <t>JANET</t>
        </is>
      </c>
      <c r="F1513">
        <f>CONCATENATE(D1513," ",LEFT(H1513,4),"T=",AU1513,"D=",AV1513,"R=",AW1513,"M=",AX1513,"L=",AY1513,"B=",AZ1513)</f>
        <v/>
      </c>
      <c r="G1513" t="inlineStr">
        <is>
          <t>K</t>
        </is>
      </c>
      <c r="I1513" t="inlineStr">
        <is>
          <t>1949-12-11</t>
        </is>
      </c>
      <c r="J1513" t="inlineStr">
        <is>
          <t>1971-03-18</t>
        </is>
      </c>
      <c r="K1513" t="inlineStr">
        <is>
          <t>ACTIVE</t>
        </is>
      </c>
      <c r="L1513" t="inlineStr">
        <is>
          <t>R</t>
        </is>
      </c>
      <c r="M1513" t="inlineStr">
        <is>
          <t>1185 HIGH ST NE</t>
        </is>
      </c>
      <c r="N1513">
        <f>RIGHT(M1513,LEN(M1513)-FIND(" ",M1513))</f>
        <v/>
      </c>
      <c r="P1513" t="inlineStr">
        <is>
          <t>WARREN</t>
        </is>
      </c>
      <c r="Q1513" t="inlineStr">
        <is>
          <t>OH</t>
        </is>
      </c>
      <c r="R1513" t="n">
        <v>44483</v>
      </c>
      <c r="AD1513" t="inlineStr">
        <is>
          <t>TRUMBULL CAREER &amp; TECH CENTER</t>
        </is>
      </c>
      <c r="AE1513" t="inlineStr">
        <is>
          <t>WARREN CITY</t>
        </is>
      </c>
      <c r="AF1513" t="inlineStr">
        <is>
          <t>WARREN CITY SD</t>
        </is>
      </c>
      <c r="AH1513" t="n">
        <v>14</v>
      </c>
      <c r="AI1513" t="n">
        <v>11</v>
      </c>
      <c r="AN1513" t="inlineStr">
        <is>
          <t>WARREN</t>
        </is>
      </c>
      <c r="AO1513" t="inlineStr">
        <is>
          <t>WARREN CITY 4D</t>
        </is>
      </c>
      <c r="AP1513" t="inlineStr">
        <is>
          <t>78-P-ADL</t>
        </is>
      </c>
      <c r="AQ1513" t="n">
        <v>9</v>
      </c>
      <c r="AR1513" t="n">
        <v>64</v>
      </c>
      <c r="AS1513" t="n">
        <v>32</v>
      </c>
      <c r="AU1513">
        <f>COUNTA($BA$1513:$EH$1513)</f>
        <v/>
      </c>
      <c r="AV1513">
        <f>COUNTIF($BA$1513:$EH$1513,"D")</f>
        <v/>
      </c>
      <c r="AW1513">
        <f>COUNTIF($BA$1513:$EH$1513,"R")</f>
        <v/>
      </c>
      <c r="AX1513">
        <f>IF(BN1513="D",1,0)+IF(BO1513="D",1,0)+IF(BT1513="D",1,0)+IF(BU1513="D",1,0)+IF(BW1513="D",1,0)+IF(CC1513="D",1,0)+IF(CD1513="D",1,0)+IF(CE1513="D",1,0)+IF(CF1513="D",1,0)+IF(CL1513="D",1,0)+IF(CM1513="D",1,0)+IF(CQ1513="D",1,0)+IF(CR1513="D",1,0)+IF(CS1513="D",1,0)+IF(CW1513="D",1,0)+IF(CX1513="D",1,0)+IF(DD1513="D",1,0)+IF(DE1513="D",1,0)+IF(DJ1513="D",1,0)+IF(DK1513="D",1,0)+IF(DO1513="D",1,0)+IF(DP1513="D",1,0)+IF(DQ1513="D",1,0)+IF(DW1513="D",1,0)+IF(DZ1513="D",1,0)+IF(EH1513="D",1,0)</f>
        <v/>
      </c>
      <c r="AY1513">
        <f>IF(DJ1513&lt;&gt;"",1,0)+IF(DK1513&lt;&gt;"",1,0)+IF(DM1513&lt;&gt;"",1,0)+IF(DO1513&lt;&gt;"",1,0)+IF(DP1513&lt;&gt;"",1,0)+IF(DQ1513&lt;&gt;"",1,0)+IF(DS1513&lt;&gt;"",1,0)+IF(DT1513&lt;&gt;"",1,0)+IF(DV1513&lt;&gt;"",1,0)+IF(DW1513&lt;&gt;"",1,0)+IF(DX1513&lt;&gt;"",1,0)+IF(DY1513&lt;&gt;"",1,0)+IF(DZ1513&lt;&gt;"",1,0)+IF(EB1513&lt;&gt;"",1,0)+IF(EC1513&lt;&gt;"",1,0)+IF(ED1513&lt;&gt;"",1,0)+IF(EG1513&lt;&gt;"",1,0)+IF(EH1513&lt;&gt;"",1,0)</f>
        <v/>
      </c>
      <c r="AZ1513">
        <f>IF(EH1513&lt;&gt;"",1,0)</f>
        <v/>
      </c>
      <c r="BB1513" t="inlineStr">
        <is>
          <t>WARREN-WARD 4</t>
        </is>
      </c>
      <c r="BC1513" t="inlineStr">
        <is>
          <t>X</t>
        </is>
      </c>
      <c r="BD1513" t="inlineStr">
        <is>
          <t>X</t>
        </is>
      </c>
      <c r="BF1513" t="inlineStr">
        <is>
          <t>X</t>
        </is>
      </c>
      <c r="BG1513" t="inlineStr">
        <is>
          <t>X</t>
        </is>
      </c>
      <c r="BH1513" t="inlineStr">
        <is>
          <t>X</t>
        </is>
      </c>
      <c r="BI1513" t="inlineStr">
        <is>
          <t>X</t>
        </is>
      </c>
      <c r="BL1513" t="inlineStr">
        <is>
          <t>X</t>
        </is>
      </c>
      <c r="BR1513" t="inlineStr">
        <is>
          <t>X</t>
        </is>
      </c>
      <c r="BS1513" t="inlineStr">
        <is>
          <t>X</t>
        </is>
      </c>
      <c r="BY1513" t="inlineStr">
        <is>
          <t>D</t>
        </is>
      </c>
      <c r="CA1513" t="inlineStr">
        <is>
          <t>X</t>
        </is>
      </c>
      <c r="CK1513" t="inlineStr">
        <is>
          <t>X</t>
        </is>
      </c>
      <c r="CN1513" t="inlineStr">
        <is>
          <t>X</t>
        </is>
      </c>
      <c r="CO1513" t="inlineStr">
        <is>
          <t>R</t>
        </is>
      </c>
      <c r="CP1513" t="inlineStr">
        <is>
          <t>X</t>
        </is>
      </c>
      <c r="CZ1513" t="inlineStr">
        <is>
          <t>R</t>
        </is>
      </c>
      <c r="DC1513" t="inlineStr">
        <is>
          <t>X</t>
        </is>
      </c>
      <c r="DI1513" t="inlineStr">
        <is>
          <t>X</t>
        </is>
      </c>
      <c r="DL1513" t="inlineStr">
        <is>
          <t>X</t>
        </is>
      </c>
      <c r="DN1513" t="inlineStr">
        <is>
          <t>X</t>
        </is>
      </c>
      <c r="DR1513" t="inlineStr">
        <is>
          <t>X</t>
        </is>
      </c>
      <c r="DS1513" t="inlineStr">
        <is>
          <t>R</t>
        </is>
      </c>
      <c r="DT1513" t="inlineStr">
        <is>
          <t>R</t>
        </is>
      </c>
      <c r="DU1513" t="inlineStr">
        <is>
          <t>X</t>
        </is>
      </c>
      <c r="DX1513" t="inlineStr">
        <is>
          <t>X</t>
        </is>
      </c>
      <c r="EA1513" t="inlineStr">
        <is>
          <t>X</t>
        </is>
      </c>
      <c r="ED1513" t="inlineStr">
        <is>
          <t>R</t>
        </is>
      </c>
      <c r="EF1513" t="inlineStr">
        <is>
          <t>X</t>
        </is>
      </c>
    </row>
    <row r="1514">
      <c r="A1514" t="inlineStr">
        <is>
          <t>OH0027282909</t>
        </is>
      </c>
      <c r="B1514" t="n">
        <v>78</v>
      </c>
      <c r="C1514" t="n">
        <v>484272</v>
      </c>
      <c r="D1514" t="inlineStr">
        <is>
          <t>HOCKMAN</t>
        </is>
      </c>
      <c r="E1514" t="inlineStr">
        <is>
          <t>BREANA</t>
        </is>
      </c>
      <c r="F1514">
        <f>CONCATENATE(D1514," ",LEFT(H1514,4),"T=",AU1514,"D=",AV1514,"R=",AW1514,"M=",AX1514,"L=",AY1514,"B=",AZ1514)</f>
        <v/>
      </c>
      <c r="G1514" t="inlineStr">
        <is>
          <t>PAIGE</t>
        </is>
      </c>
      <c r="I1514" t="inlineStr">
        <is>
          <t>2005-02-01</t>
        </is>
      </c>
      <c r="J1514" t="inlineStr">
        <is>
          <t>2024-03-14</t>
        </is>
      </c>
      <c r="K1514" t="inlineStr">
        <is>
          <t>ACTIVE</t>
        </is>
      </c>
      <c r="M1514" t="inlineStr">
        <is>
          <t>432 LAMPHIER PL NE</t>
        </is>
      </c>
      <c r="N1514">
        <f>RIGHT(M1514,LEN(M1514)-FIND(" ",M1514))</f>
        <v/>
      </c>
      <c r="P1514" t="inlineStr">
        <is>
          <t>WARREN</t>
        </is>
      </c>
      <c r="Q1514" t="inlineStr">
        <is>
          <t>OH</t>
        </is>
      </c>
      <c r="R1514" t="n">
        <v>44483</v>
      </c>
      <c r="S1514" t="n">
        <v>5010</v>
      </c>
      <c r="AD1514" t="inlineStr">
        <is>
          <t>TRUMBULL CAREER &amp; TECH CENTER</t>
        </is>
      </c>
      <c r="AE1514" t="inlineStr">
        <is>
          <t>WARREN CITY</t>
        </is>
      </c>
      <c r="AF1514" t="inlineStr">
        <is>
          <t>WARREN CITY SD</t>
        </is>
      </c>
      <c r="AH1514" t="n">
        <v>14</v>
      </c>
      <c r="AI1514" t="n">
        <v>11</v>
      </c>
      <c r="AN1514" t="inlineStr">
        <is>
          <t>WARREN</t>
        </is>
      </c>
      <c r="AO1514" t="inlineStr">
        <is>
          <t>WARREN CITY 4D</t>
        </is>
      </c>
      <c r="AP1514" t="inlineStr">
        <is>
          <t>78-P-ADL</t>
        </is>
      </c>
      <c r="AQ1514" t="n">
        <v>9</v>
      </c>
      <c r="AR1514" t="n">
        <v>64</v>
      </c>
      <c r="AS1514" t="n">
        <v>32</v>
      </c>
      <c r="AU1514">
        <f>COUNTA($BA$1514:$EH$1514)</f>
        <v/>
      </c>
      <c r="AV1514">
        <f>COUNTIF($BA$1514:$EH$1514,"D")</f>
        <v/>
      </c>
      <c r="AW1514">
        <f>COUNTIF($BA$1514:$EH$1514,"R")</f>
        <v/>
      </c>
      <c r="AX1514">
        <f>IF(BN1514="D",1,0)+IF(BO1514="D",1,0)+IF(BT1514="D",1,0)+IF(BU1514="D",1,0)+IF(BW1514="D",1,0)+IF(CC1514="D",1,0)+IF(CD1514="D",1,0)+IF(CE1514="D",1,0)+IF(CF1514="D",1,0)+IF(CL1514="D",1,0)+IF(CM1514="D",1,0)+IF(CQ1514="D",1,0)+IF(CR1514="D",1,0)+IF(CS1514="D",1,0)+IF(CW1514="D",1,0)+IF(CX1514="D",1,0)+IF(DD1514="D",1,0)+IF(DE1514="D",1,0)+IF(DJ1514="D",1,0)+IF(DK1514="D",1,0)+IF(DO1514="D",1,0)+IF(DP1514="D",1,0)+IF(DQ1514="D",1,0)+IF(DW1514="D",1,0)+IF(DZ1514="D",1,0)+IF(EH1514="D",1,0)</f>
        <v/>
      </c>
      <c r="AY1514">
        <f>IF(DJ1514&lt;&gt;"",1,0)+IF(DK1514&lt;&gt;"",1,0)+IF(DM1514&lt;&gt;"",1,0)+IF(DO1514&lt;&gt;"",1,0)+IF(DP1514&lt;&gt;"",1,0)+IF(DQ1514&lt;&gt;"",1,0)+IF(DS1514&lt;&gt;"",1,0)+IF(DT1514&lt;&gt;"",1,0)+IF(DV1514&lt;&gt;"",1,0)+IF(DW1514&lt;&gt;"",1,0)+IF(DX1514&lt;&gt;"",1,0)+IF(DY1514&lt;&gt;"",1,0)+IF(DZ1514&lt;&gt;"",1,0)+IF(EB1514&lt;&gt;"",1,0)+IF(EC1514&lt;&gt;"",1,0)+IF(ED1514&lt;&gt;"",1,0)+IF(EG1514&lt;&gt;"",1,0)+IF(EH1514&lt;&gt;"",1,0)</f>
        <v/>
      </c>
      <c r="AZ1514">
        <f>IF(EH1514&lt;&gt;"",1,0)</f>
        <v/>
      </c>
      <c r="BB1514" t="inlineStr">
        <is>
          <t>WARREN-WARD 4</t>
        </is>
      </c>
    </row>
    <row r="1515">
      <c r="A1515" t="inlineStr">
        <is>
          <t>OH0015687884</t>
        </is>
      </c>
      <c r="B1515" t="n">
        <v>78</v>
      </c>
      <c r="C1515" t="n">
        <v>128021</v>
      </c>
      <c r="D1515" t="inlineStr">
        <is>
          <t>GUARNIERI</t>
        </is>
      </c>
      <c r="E1515" t="inlineStr">
        <is>
          <t>JOHN</t>
        </is>
      </c>
      <c r="F1515">
        <f>CONCATENATE(D1515," ",LEFT(H1515,4),"T=",AU1515,"D=",AV1515,"R=",AW1515,"M=",AX1515,"L=",AY1515,"B=",AZ1515)</f>
        <v/>
      </c>
      <c r="I1515" t="inlineStr">
        <is>
          <t>1946-07-19</t>
        </is>
      </c>
      <c r="J1515" t="inlineStr">
        <is>
          <t>2010-08-18</t>
        </is>
      </c>
      <c r="K1515" t="inlineStr">
        <is>
          <t>ACTIVE</t>
        </is>
      </c>
      <c r="L1515" t="inlineStr">
        <is>
          <t>D</t>
        </is>
      </c>
      <c r="M1515" t="inlineStr">
        <is>
          <t>1214 HIGH ST NE</t>
        </is>
      </c>
      <c r="N1515">
        <f>RIGHT(M1515,LEN(M1515)-FIND(" ",M1515))</f>
        <v/>
      </c>
      <c r="P1515" t="inlineStr">
        <is>
          <t>WARREN</t>
        </is>
      </c>
      <c r="Q1515" t="inlineStr">
        <is>
          <t>OH</t>
        </is>
      </c>
      <c r="R1515" t="n">
        <v>44483</v>
      </c>
      <c r="AD1515" t="inlineStr">
        <is>
          <t>TRUMBULL CAREER &amp; TECH CENTER</t>
        </is>
      </c>
      <c r="AE1515" t="inlineStr">
        <is>
          <t>WARREN CITY</t>
        </is>
      </c>
      <c r="AF1515" t="inlineStr">
        <is>
          <t>WARREN CITY SD</t>
        </is>
      </c>
      <c r="AH1515" t="n">
        <v>14</v>
      </c>
      <c r="AI1515" t="n">
        <v>11</v>
      </c>
      <c r="AN1515" t="inlineStr">
        <is>
          <t>WARREN</t>
        </is>
      </c>
      <c r="AO1515" t="inlineStr">
        <is>
          <t>WARREN CITY 4D</t>
        </is>
      </c>
      <c r="AP1515" t="inlineStr">
        <is>
          <t>78-P-ADL</t>
        </is>
      </c>
      <c r="AQ1515" t="n">
        <v>9</v>
      </c>
      <c r="AR1515" t="n">
        <v>64</v>
      </c>
      <c r="AS1515" t="n">
        <v>32</v>
      </c>
      <c r="AU1515">
        <f>COUNTA($BA$1515:$EH$1515)</f>
        <v/>
      </c>
      <c r="AV1515">
        <f>COUNTIF($BA$1515:$EH$1515,"D")</f>
        <v/>
      </c>
      <c r="AW1515">
        <f>COUNTIF($BA$1515:$EH$1515,"R")</f>
        <v/>
      </c>
      <c r="AX1515">
        <f>IF(BN1515="D",1,0)+IF(BO1515="D",1,0)+IF(BT1515="D",1,0)+IF(BU1515="D",1,0)+IF(BW1515="D",1,0)+IF(CC1515="D",1,0)+IF(CD1515="D",1,0)+IF(CE1515="D",1,0)+IF(CF1515="D",1,0)+IF(CL1515="D",1,0)+IF(CM1515="D",1,0)+IF(CQ1515="D",1,0)+IF(CR1515="D",1,0)+IF(CS1515="D",1,0)+IF(CW1515="D",1,0)+IF(CX1515="D",1,0)+IF(DD1515="D",1,0)+IF(DE1515="D",1,0)+IF(DJ1515="D",1,0)+IF(DK1515="D",1,0)+IF(DO1515="D",1,0)+IF(DP1515="D",1,0)+IF(DQ1515="D",1,0)+IF(DW1515="D",1,0)+IF(DZ1515="D",1,0)+IF(EH1515="D",1,0)</f>
        <v/>
      </c>
      <c r="AY1515">
        <f>IF(DJ1515&lt;&gt;"",1,0)+IF(DK1515&lt;&gt;"",1,0)+IF(DM1515&lt;&gt;"",1,0)+IF(DO1515&lt;&gt;"",1,0)+IF(DP1515&lt;&gt;"",1,0)+IF(DQ1515&lt;&gt;"",1,0)+IF(DS1515&lt;&gt;"",1,0)+IF(DT1515&lt;&gt;"",1,0)+IF(DV1515&lt;&gt;"",1,0)+IF(DW1515&lt;&gt;"",1,0)+IF(DX1515&lt;&gt;"",1,0)+IF(DY1515&lt;&gt;"",1,0)+IF(DZ1515&lt;&gt;"",1,0)+IF(EB1515&lt;&gt;"",1,0)+IF(EC1515&lt;&gt;"",1,0)+IF(ED1515&lt;&gt;"",1,0)+IF(EG1515&lt;&gt;"",1,0)+IF(EH1515&lt;&gt;"",1,0)</f>
        <v/>
      </c>
      <c r="AZ1515">
        <f>IF(EH1515&lt;&gt;"",1,0)</f>
        <v/>
      </c>
      <c r="BB1515" t="inlineStr">
        <is>
          <t>WARREN-WARD 4</t>
        </is>
      </c>
      <c r="BC1515" t="inlineStr">
        <is>
          <t>X</t>
        </is>
      </c>
      <c r="BD1515" t="inlineStr">
        <is>
          <t>X</t>
        </is>
      </c>
      <c r="BE1515" t="inlineStr">
        <is>
          <t>X</t>
        </is>
      </c>
      <c r="BF1515" t="inlineStr">
        <is>
          <t>X</t>
        </is>
      </c>
      <c r="BG1515" t="inlineStr">
        <is>
          <t>X</t>
        </is>
      </c>
      <c r="BH1515" t="inlineStr">
        <is>
          <t>X</t>
        </is>
      </c>
      <c r="BI1515" t="inlineStr">
        <is>
          <t>X</t>
        </is>
      </c>
      <c r="BJ1515" t="inlineStr">
        <is>
          <t>X</t>
        </is>
      </c>
      <c r="BK1515" t="inlineStr">
        <is>
          <t>X</t>
        </is>
      </c>
      <c r="BL1515" t="inlineStr">
        <is>
          <t>X</t>
        </is>
      </c>
      <c r="BP1515" t="inlineStr">
        <is>
          <t>X</t>
        </is>
      </c>
      <c r="BR1515" t="inlineStr">
        <is>
          <t>X</t>
        </is>
      </c>
      <c r="BS1515" t="inlineStr">
        <is>
          <t>X</t>
        </is>
      </c>
      <c r="BT1515" t="inlineStr">
        <is>
          <t>X</t>
        </is>
      </c>
      <c r="BV1515" t="inlineStr">
        <is>
          <t>X</t>
        </is>
      </c>
      <c r="BY1515" t="inlineStr">
        <is>
          <t>D</t>
        </is>
      </c>
      <c r="CA1515" t="inlineStr">
        <is>
          <t>X</t>
        </is>
      </c>
      <c r="CG1515" t="inlineStr">
        <is>
          <t>X</t>
        </is>
      </c>
      <c r="CH1515" t="inlineStr">
        <is>
          <t>D</t>
        </is>
      </c>
      <c r="CK1515" t="inlineStr">
        <is>
          <t>X</t>
        </is>
      </c>
      <c r="CL1515" t="inlineStr">
        <is>
          <t>D</t>
        </is>
      </c>
      <c r="CN1515" t="inlineStr">
        <is>
          <t>X</t>
        </is>
      </c>
      <c r="CO1515" t="inlineStr">
        <is>
          <t>D</t>
        </is>
      </c>
      <c r="CP1515" t="inlineStr">
        <is>
          <t>X</t>
        </is>
      </c>
      <c r="CQ1515" t="inlineStr">
        <is>
          <t>D</t>
        </is>
      </c>
      <c r="CT1515" t="inlineStr">
        <is>
          <t>X</t>
        </is>
      </c>
      <c r="CU1515" t="inlineStr">
        <is>
          <t>D</t>
        </is>
      </c>
      <c r="CV1515" t="inlineStr">
        <is>
          <t>X</t>
        </is>
      </c>
      <c r="CW1515" t="inlineStr">
        <is>
          <t>D</t>
        </is>
      </c>
      <c r="CY1515" t="inlineStr">
        <is>
          <t>X</t>
        </is>
      </c>
      <c r="CZ1515" t="inlineStr">
        <is>
          <t>D</t>
        </is>
      </c>
      <c r="DC1515" t="inlineStr">
        <is>
          <t>X</t>
        </is>
      </c>
      <c r="DF1515" t="inlineStr">
        <is>
          <t>X</t>
        </is>
      </c>
      <c r="DG1515" t="inlineStr">
        <is>
          <t>D</t>
        </is>
      </c>
      <c r="DI1515" t="inlineStr">
        <is>
          <t>X</t>
        </is>
      </c>
      <c r="DJ1515" t="inlineStr">
        <is>
          <t>D</t>
        </is>
      </c>
      <c r="DL1515" t="inlineStr">
        <is>
          <t>X</t>
        </is>
      </c>
      <c r="DM1515" t="inlineStr">
        <is>
          <t>D</t>
        </is>
      </c>
      <c r="DN1515" t="inlineStr">
        <is>
          <t>X</t>
        </is>
      </c>
      <c r="DU1515" t="inlineStr">
        <is>
          <t>X</t>
        </is>
      </c>
      <c r="DW1515" t="inlineStr">
        <is>
          <t>D</t>
        </is>
      </c>
      <c r="DX1515" t="inlineStr">
        <is>
          <t>X</t>
        </is>
      </c>
      <c r="EA1515" t="inlineStr">
        <is>
          <t>X</t>
        </is>
      </c>
      <c r="ED1515" t="inlineStr">
        <is>
          <t>D</t>
        </is>
      </c>
      <c r="EF1515" t="inlineStr">
        <is>
          <t>X</t>
        </is>
      </c>
    </row>
    <row r="1516">
      <c r="A1516" t="inlineStr">
        <is>
          <t>OH0015687653</t>
        </is>
      </c>
      <c r="B1516" t="n">
        <v>78</v>
      </c>
      <c r="C1516" t="n">
        <v>127392</v>
      </c>
      <c r="D1516" t="inlineStr">
        <is>
          <t>MILLESON</t>
        </is>
      </c>
      <c r="E1516" t="inlineStr">
        <is>
          <t>KATHLEEN</t>
        </is>
      </c>
      <c r="F1516">
        <f>CONCATENATE(D1516," ",LEFT(H1516,4),"T=",AU1516,"D=",AV1516,"R=",AW1516,"M=",AX1516,"L=",AY1516,"B=",AZ1516)</f>
        <v/>
      </c>
      <c r="G1516" t="inlineStr">
        <is>
          <t>M</t>
        </is>
      </c>
      <c r="I1516" t="inlineStr">
        <is>
          <t>1947-03-04</t>
        </is>
      </c>
      <c r="J1516" t="inlineStr">
        <is>
          <t>2023-08-25</t>
        </is>
      </c>
      <c r="K1516" t="inlineStr">
        <is>
          <t>ACTIVE</t>
        </is>
      </c>
      <c r="M1516" t="inlineStr">
        <is>
          <t>1045 HARRISON ST NE</t>
        </is>
      </c>
      <c r="N1516">
        <f>RIGHT(M1516,LEN(M1516)-FIND(" ",M1516))</f>
        <v/>
      </c>
      <c r="P1516" t="inlineStr">
        <is>
          <t>WARREN</t>
        </is>
      </c>
      <c r="Q1516" t="inlineStr">
        <is>
          <t>OH</t>
        </is>
      </c>
      <c r="R1516" t="n">
        <v>44483</v>
      </c>
      <c r="AD1516" t="inlineStr">
        <is>
          <t>TRUMBULL CAREER &amp; TECH CENTER</t>
        </is>
      </c>
      <c r="AE1516" t="inlineStr">
        <is>
          <t>WARREN CITY</t>
        </is>
      </c>
      <c r="AF1516" t="inlineStr">
        <is>
          <t>WARREN CITY SD</t>
        </is>
      </c>
      <c r="AH1516" t="n">
        <v>14</v>
      </c>
      <c r="AI1516" t="n">
        <v>11</v>
      </c>
      <c r="AN1516" t="inlineStr">
        <is>
          <t>WARREN</t>
        </is>
      </c>
      <c r="AO1516" t="inlineStr">
        <is>
          <t>WARREN CITY 4D</t>
        </is>
      </c>
      <c r="AP1516" t="inlineStr">
        <is>
          <t>78-P-ADL</t>
        </is>
      </c>
      <c r="AQ1516" t="n">
        <v>9</v>
      </c>
      <c r="AR1516" t="n">
        <v>64</v>
      </c>
      <c r="AS1516" t="n">
        <v>32</v>
      </c>
      <c r="AU1516">
        <f>COUNTA($BA$1516:$EH$1516)</f>
        <v/>
      </c>
      <c r="AV1516">
        <f>COUNTIF($BA$1516:$EH$1516,"D")</f>
        <v/>
      </c>
      <c r="AW1516">
        <f>COUNTIF($BA$1516:$EH$1516,"R")</f>
        <v/>
      </c>
      <c r="AX1516">
        <f>IF(BN1516="D",1,0)+IF(BO1516="D",1,0)+IF(BT1516="D",1,0)+IF(BU1516="D",1,0)+IF(BW1516="D",1,0)+IF(CC1516="D",1,0)+IF(CD1516="D",1,0)+IF(CE1516="D",1,0)+IF(CF1516="D",1,0)+IF(CL1516="D",1,0)+IF(CM1516="D",1,0)+IF(CQ1516="D",1,0)+IF(CR1516="D",1,0)+IF(CS1516="D",1,0)+IF(CW1516="D",1,0)+IF(CX1516="D",1,0)+IF(DD1516="D",1,0)+IF(DE1516="D",1,0)+IF(DJ1516="D",1,0)+IF(DK1516="D",1,0)+IF(DO1516="D",1,0)+IF(DP1516="D",1,0)+IF(DQ1516="D",1,0)+IF(DW1516="D",1,0)+IF(DZ1516="D",1,0)+IF(EH1516="D",1,0)</f>
        <v/>
      </c>
      <c r="AY1516">
        <f>IF(DJ1516&lt;&gt;"",1,0)+IF(DK1516&lt;&gt;"",1,0)+IF(DM1516&lt;&gt;"",1,0)+IF(DO1516&lt;&gt;"",1,0)+IF(DP1516&lt;&gt;"",1,0)+IF(DQ1516&lt;&gt;"",1,0)+IF(DS1516&lt;&gt;"",1,0)+IF(DT1516&lt;&gt;"",1,0)+IF(DV1516&lt;&gt;"",1,0)+IF(DW1516&lt;&gt;"",1,0)+IF(DX1516&lt;&gt;"",1,0)+IF(DY1516&lt;&gt;"",1,0)+IF(DZ1516&lt;&gt;"",1,0)+IF(EB1516&lt;&gt;"",1,0)+IF(EC1516&lt;&gt;"",1,0)+IF(ED1516&lt;&gt;"",1,0)+IF(EG1516&lt;&gt;"",1,0)+IF(EH1516&lt;&gt;"",1,0)</f>
        <v/>
      </c>
      <c r="AZ1516">
        <f>IF(EH1516&lt;&gt;"",1,0)</f>
        <v/>
      </c>
      <c r="BB1516" t="inlineStr">
        <is>
          <t>WARREN-WARD 4</t>
        </is>
      </c>
      <c r="BC1516" t="inlineStr">
        <is>
          <t>X</t>
        </is>
      </c>
      <c r="BD1516" t="inlineStr">
        <is>
          <t>X</t>
        </is>
      </c>
      <c r="BE1516" t="inlineStr">
        <is>
          <t>X</t>
        </is>
      </c>
      <c r="BF1516" t="inlineStr">
        <is>
          <t>X</t>
        </is>
      </c>
      <c r="BG1516" t="inlineStr">
        <is>
          <t>X</t>
        </is>
      </c>
      <c r="BH1516" t="inlineStr">
        <is>
          <t>X</t>
        </is>
      </c>
      <c r="BJ1516" t="inlineStr">
        <is>
          <t>X</t>
        </is>
      </c>
      <c r="BK1516" t="inlineStr">
        <is>
          <t>X</t>
        </is>
      </c>
      <c r="BL1516" t="inlineStr">
        <is>
          <t>X</t>
        </is>
      </c>
      <c r="BP1516" t="inlineStr">
        <is>
          <t>X</t>
        </is>
      </c>
      <c r="BS1516" t="inlineStr">
        <is>
          <t>X</t>
        </is>
      </c>
      <c r="CA1516" t="inlineStr">
        <is>
          <t>X</t>
        </is>
      </c>
      <c r="CL1516" t="inlineStr">
        <is>
          <t>D</t>
        </is>
      </c>
      <c r="CP1516" t="inlineStr">
        <is>
          <t>X</t>
        </is>
      </c>
      <c r="CU1516" t="inlineStr">
        <is>
          <t>D</t>
        </is>
      </c>
      <c r="DC1516" t="inlineStr">
        <is>
          <t>X</t>
        </is>
      </c>
      <c r="DI1516" t="inlineStr">
        <is>
          <t>X</t>
        </is>
      </c>
      <c r="DN1516" t="inlineStr">
        <is>
          <t>X</t>
        </is>
      </c>
      <c r="EF1516" t="inlineStr">
        <is>
          <t>X</t>
        </is>
      </c>
    </row>
    <row r="1517">
      <c r="A1517" t="inlineStr">
        <is>
          <t>OH0027366867</t>
        </is>
      </c>
      <c r="B1517" t="n">
        <v>78</v>
      </c>
      <c r="C1517" t="n">
        <v>485184</v>
      </c>
      <c r="D1517" t="inlineStr">
        <is>
          <t>STANICK</t>
        </is>
      </c>
      <c r="E1517" t="inlineStr">
        <is>
          <t>DIXIE</t>
        </is>
      </c>
      <c r="F1517">
        <f>CONCATENATE(D1517," ",LEFT(H1517,4),"T=",AU1517,"D=",AV1517,"R=",AW1517,"M=",AX1517,"L=",AY1517,"B=",AZ1517)</f>
        <v/>
      </c>
      <c r="G1517" t="inlineStr">
        <is>
          <t>C</t>
        </is>
      </c>
      <c r="I1517" t="inlineStr">
        <is>
          <t>1950-06-06</t>
        </is>
      </c>
      <c r="J1517" t="inlineStr">
        <is>
          <t>2024-06-03</t>
        </is>
      </c>
      <c r="K1517" t="inlineStr">
        <is>
          <t>ACTIVE</t>
        </is>
      </c>
      <c r="M1517" t="inlineStr">
        <is>
          <t>1165 HIGH ST NE</t>
        </is>
      </c>
      <c r="N1517">
        <f>RIGHT(M1517,LEN(M1517)-FIND(" ",M1517))</f>
        <v/>
      </c>
      <c r="P1517" t="inlineStr">
        <is>
          <t>WARREN</t>
        </is>
      </c>
      <c r="Q1517" t="inlineStr">
        <is>
          <t>OH</t>
        </is>
      </c>
      <c r="R1517" t="n">
        <v>44483</v>
      </c>
      <c r="AD1517" t="inlineStr">
        <is>
          <t>TRUMBULL CAREER &amp; TECH CENTER</t>
        </is>
      </c>
      <c r="AE1517" t="inlineStr">
        <is>
          <t>WARREN CITY</t>
        </is>
      </c>
      <c r="AF1517" t="inlineStr">
        <is>
          <t>WARREN CITY SD</t>
        </is>
      </c>
      <c r="AH1517" t="n">
        <v>14</v>
      </c>
      <c r="AI1517" t="n">
        <v>11</v>
      </c>
      <c r="AN1517" t="inlineStr">
        <is>
          <t>WARREN</t>
        </is>
      </c>
      <c r="AO1517" t="inlineStr">
        <is>
          <t>WARREN CITY 4D</t>
        </is>
      </c>
      <c r="AP1517" t="inlineStr">
        <is>
          <t>78-P-ADL</t>
        </is>
      </c>
      <c r="AQ1517" t="n">
        <v>9</v>
      </c>
      <c r="AR1517" t="n">
        <v>64</v>
      </c>
      <c r="AS1517" t="n">
        <v>32</v>
      </c>
      <c r="AU1517">
        <f>COUNTA($BA$1517:$EH$1517)</f>
        <v/>
      </c>
      <c r="AV1517">
        <f>COUNTIF($BA$1517:$EH$1517,"D")</f>
        <v/>
      </c>
      <c r="AW1517">
        <f>COUNTIF($BA$1517:$EH$1517,"R")</f>
        <v/>
      </c>
      <c r="AX1517">
        <f>IF(BN1517="D",1,0)+IF(BO1517="D",1,0)+IF(BT1517="D",1,0)+IF(BU1517="D",1,0)+IF(BW1517="D",1,0)+IF(CC1517="D",1,0)+IF(CD1517="D",1,0)+IF(CE1517="D",1,0)+IF(CF1517="D",1,0)+IF(CL1517="D",1,0)+IF(CM1517="D",1,0)+IF(CQ1517="D",1,0)+IF(CR1517="D",1,0)+IF(CS1517="D",1,0)+IF(CW1517="D",1,0)+IF(CX1517="D",1,0)+IF(DD1517="D",1,0)+IF(DE1517="D",1,0)+IF(DJ1517="D",1,0)+IF(DK1517="D",1,0)+IF(DO1517="D",1,0)+IF(DP1517="D",1,0)+IF(DQ1517="D",1,0)+IF(DW1517="D",1,0)+IF(DZ1517="D",1,0)+IF(EH1517="D",1,0)</f>
        <v/>
      </c>
      <c r="AY1517">
        <f>IF(DJ1517&lt;&gt;"",1,0)+IF(DK1517&lt;&gt;"",1,0)+IF(DM1517&lt;&gt;"",1,0)+IF(DO1517&lt;&gt;"",1,0)+IF(DP1517&lt;&gt;"",1,0)+IF(DQ1517&lt;&gt;"",1,0)+IF(DS1517&lt;&gt;"",1,0)+IF(DT1517&lt;&gt;"",1,0)+IF(DV1517&lt;&gt;"",1,0)+IF(DW1517&lt;&gt;"",1,0)+IF(DX1517&lt;&gt;"",1,0)+IF(DY1517&lt;&gt;"",1,0)+IF(DZ1517&lt;&gt;"",1,0)+IF(EB1517&lt;&gt;"",1,0)+IF(EC1517&lt;&gt;"",1,0)+IF(ED1517&lt;&gt;"",1,0)+IF(EG1517&lt;&gt;"",1,0)+IF(EH1517&lt;&gt;"",1,0)</f>
        <v/>
      </c>
      <c r="AZ1517">
        <f>IF(EH1517&lt;&gt;"",1,0)</f>
        <v/>
      </c>
      <c r="BB1517" t="inlineStr">
        <is>
          <t>WARREN-WARD 4</t>
        </is>
      </c>
      <c r="BD1517" t="inlineStr">
        <is>
          <t>X</t>
        </is>
      </c>
      <c r="BK1517" t="inlineStr">
        <is>
          <t>D</t>
        </is>
      </c>
      <c r="BL1517" t="inlineStr">
        <is>
          <t>X</t>
        </is>
      </c>
      <c r="BP1517" t="inlineStr">
        <is>
          <t>X</t>
        </is>
      </c>
      <c r="BS1517" t="inlineStr">
        <is>
          <t>X</t>
        </is>
      </c>
      <c r="BV1517" t="inlineStr">
        <is>
          <t>X</t>
        </is>
      </c>
      <c r="BY1517" t="inlineStr">
        <is>
          <t>D</t>
        </is>
      </c>
      <c r="CA1517" t="inlineStr">
        <is>
          <t>X</t>
        </is>
      </c>
      <c r="CG1517" t="inlineStr">
        <is>
          <t>X</t>
        </is>
      </c>
      <c r="CH1517" t="inlineStr">
        <is>
          <t>D</t>
        </is>
      </c>
      <c r="CP1517" t="inlineStr">
        <is>
          <t>X</t>
        </is>
      </c>
      <c r="CV1517" t="inlineStr">
        <is>
          <t>X</t>
        </is>
      </c>
      <c r="CY1517" t="inlineStr">
        <is>
          <t>X</t>
        </is>
      </c>
      <c r="CZ1517" t="inlineStr">
        <is>
          <t>D</t>
        </is>
      </c>
      <c r="DC1517" t="inlineStr">
        <is>
          <t>X</t>
        </is>
      </c>
      <c r="DI1517" t="inlineStr">
        <is>
          <t>X</t>
        </is>
      </c>
      <c r="DL1517" t="inlineStr">
        <is>
          <t>X</t>
        </is>
      </c>
      <c r="DM1517" t="inlineStr">
        <is>
          <t>D</t>
        </is>
      </c>
      <c r="DN1517" t="inlineStr">
        <is>
          <t>X</t>
        </is>
      </c>
      <c r="DS1517" t="inlineStr">
        <is>
          <t>D</t>
        </is>
      </c>
      <c r="DU1517" t="inlineStr">
        <is>
          <t>X</t>
        </is>
      </c>
      <c r="EF1517" t="inlineStr">
        <is>
          <t>X</t>
        </is>
      </c>
    </row>
    <row r="1518">
      <c r="A1518" t="inlineStr">
        <is>
          <t>OH0015786307</t>
        </is>
      </c>
      <c r="B1518" t="n">
        <v>78</v>
      </c>
      <c r="C1518" t="n">
        <v>309205</v>
      </c>
      <c r="D1518" t="inlineStr">
        <is>
          <t>COLAPIETRO</t>
        </is>
      </c>
      <c r="E1518" t="inlineStr">
        <is>
          <t>REITA</t>
        </is>
      </c>
      <c r="F1518">
        <f>CONCATENATE(D1518," ",LEFT(H1518,4),"T=",AU1518,"D=",AV1518,"R=",AW1518,"M=",AX1518,"L=",AY1518,"B=",AZ1518)</f>
        <v/>
      </c>
      <c r="G1518" t="inlineStr">
        <is>
          <t>ERIN</t>
        </is>
      </c>
      <c r="I1518" t="inlineStr">
        <is>
          <t>1977-08-11</t>
        </is>
      </c>
      <c r="J1518" t="inlineStr">
        <is>
          <t>2019-08-03</t>
        </is>
      </c>
      <c r="K1518" t="inlineStr">
        <is>
          <t>ACTIVE</t>
        </is>
      </c>
      <c r="L1518" t="inlineStr">
        <is>
          <t>D</t>
        </is>
      </c>
      <c r="M1518" t="inlineStr">
        <is>
          <t>591 HIGH ST NE</t>
        </is>
      </c>
      <c r="N1518">
        <f>RIGHT(M1518,LEN(M1518)-FIND(" ",M1518))</f>
        <v/>
      </c>
      <c r="P1518" t="inlineStr">
        <is>
          <t>WARREN</t>
        </is>
      </c>
      <c r="Q1518" t="inlineStr">
        <is>
          <t>OH</t>
        </is>
      </c>
      <c r="R1518" t="n">
        <v>44483</v>
      </c>
      <c r="AD1518" t="inlineStr">
        <is>
          <t>TRUMBULL CAREER &amp; TECH CENTER</t>
        </is>
      </c>
      <c r="AE1518" t="inlineStr">
        <is>
          <t>WARREN CITY</t>
        </is>
      </c>
      <c r="AF1518" t="inlineStr">
        <is>
          <t>WARREN CITY SD</t>
        </is>
      </c>
      <c r="AH1518" t="n">
        <v>14</v>
      </c>
      <c r="AI1518" t="n">
        <v>11</v>
      </c>
      <c r="AN1518" t="inlineStr">
        <is>
          <t>WARREN</t>
        </is>
      </c>
      <c r="AO1518" t="inlineStr">
        <is>
          <t>WARREN CITY 4D</t>
        </is>
      </c>
      <c r="AP1518" t="inlineStr">
        <is>
          <t>78-P-ADL</t>
        </is>
      </c>
      <c r="AQ1518" t="n">
        <v>9</v>
      </c>
      <c r="AR1518" t="n">
        <v>64</v>
      </c>
      <c r="AS1518" t="n">
        <v>32</v>
      </c>
      <c r="AU1518">
        <f>COUNTA($BA$1518:$EH$1518)</f>
        <v/>
      </c>
      <c r="AV1518">
        <f>COUNTIF($BA$1518:$EH$1518,"D")</f>
        <v/>
      </c>
      <c r="AW1518">
        <f>COUNTIF($BA$1518:$EH$1518,"R")</f>
        <v/>
      </c>
      <c r="AX1518">
        <f>IF(BN1518="D",1,0)+IF(BO1518="D",1,0)+IF(BT1518="D",1,0)+IF(BU1518="D",1,0)+IF(BW1518="D",1,0)+IF(CC1518="D",1,0)+IF(CD1518="D",1,0)+IF(CE1518="D",1,0)+IF(CF1518="D",1,0)+IF(CL1518="D",1,0)+IF(CM1518="D",1,0)+IF(CQ1518="D",1,0)+IF(CR1518="D",1,0)+IF(CS1518="D",1,0)+IF(CW1518="D",1,0)+IF(CX1518="D",1,0)+IF(DD1518="D",1,0)+IF(DE1518="D",1,0)+IF(DJ1518="D",1,0)+IF(DK1518="D",1,0)+IF(DO1518="D",1,0)+IF(DP1518="D",1,0)+IF(DQ1518="D",1,0)+IF(DW1518="D",1,0)+IF(DZ1518="D",1,0)+IF(EH1518="D",1,0)</f>
        <v/>
      </c>
      <c r="AY1518">
        <f>IF(DJ1518&lt;&gt;"",1,0)+IF(DK1518&lt;&gt;"",1,0)+IF(DM1518&lt;&gt;"",1,0)+IF(DO1518&lt;&gt;"",1,0)+IF(DP1518&lt;&gt;"",1,0)+IF(DQ1518&lt;&gt;"",1,0)+IF(DS1518&lt;&gt;"",1,0)+IF(DT1518&lt;&gt;"",1,0)+IF(DV1518&lt;&gt;"",1,0)+IF(DW1518&lt;&gt;"",1,0)+IF(DX1518&lt;&gt;"",1,0)+IF(DY1518&lt;&gt;"",1,0)+IF(DZ1518&lt;&gt;"",1,0)+IF(EB1518&lt;&gt;"",1,0)+IF(EC1518&lt;&gt;"",1,0)+IF(ED1518&lt;&gt;"",1,0)+IF(EG1518&lt;&gt;"",1,0)+IF(EH1518&lt;&gt;"",1,0)</f>
        <v/>
      </c>
      <c r="AZ1518">
        <f>IF(EH1518&lt;&gt;"",1,0)</f>
        <v/>
      </c>
      <c r="BB1518" t="inlineStr">
        <is>
          <t>WARREN-WARD 4</t>
        </is>
      </c>
      <c r="BK1518" t="inlineStr">
        <is>
          <t>X</t>
        </is>
      </c>
      <c r="BL1518" t="inlineStr">
        <is>
          <t>X</t>
        </is>
      </c>
      <c r="CA1518" t="inlineStr">
        <is>
          <t>X</t>
        </is>
      </c>
      <c r="CP1518" t="inlineStr">
        <is>
          <t>X</t>
        </is>
      </c>
      <c r="DC1518" t="inlineStr">
        <is>
          <t>X</t>
        </is>
      </c>
      <c r="DS1518" t="inlineStr">
        <is>
          <t>D</t>
        </is>
      </c>
      <c r="EF1518" t="inlineStr">
        <is>
          <t>X</t>
        </is>
      </c>
    </row>
    <row r="1519">
      <c r="A1519" t="inlineStr">
        <is>
          <t>OH0021884704</t>
        </is>
      </c>
      <c r="B1519" t="n">
        <v>78</v>
      </c>
      <c r="C1519" t="n">
        <v>388803</v>
      </c>
      <c r="D1519" t="inlineStr">
        <is>
          <t>DURDA</t>
        </is>
      </c>
      <c r="E1519" t="inlineStr">
        <is>
          <t>JOHNNY</t>
        </is>
      </c>
      <c r="F1519">
        <f>CONCATENATE(D1519," ",LEFT(H1519,4),"T=",AU1519,"D=",AV1519,"R=",AW1519,"M=",AX1519,"L=",AY1519,"B=",AZ1519)</f>
        <v/>
      </c>
      <c r="G1519" t="inlineStr">
        <is>
          <t>S</t>
        </is>
      </c>
      <c r="H1519" t="inlineStr">
        <is>
          <t>JR</t>
        </is>
      </c>
      <c r="I1519" t="inlineStr">
        <is>
          <t>1978-02-07</t>
        </is>
      </c>
      <c r="J1519" t="inlineStr">
        <is>
          <t>2018-02-16</t>
        </is>
      </c>
      <c r="K1519" t="inlineStr">
        <is>
          <t>CONFIRMATION</t>
        </is>
      </c>
      <c r="M1519" t="inlineStr">
        <is>
          <t>1115 MCKINLEY ST NE</t>
        </is>
      </c>
      <c r="N1519">
        <f>RIGHT(M1519,LEN(M1519)-FIND(" ",M1519))</f>
        <v/>
      </c>
      <c r="P1519" t="inlineStr">
        <is>
          <t>WARREN</t>
        </is>
      </c>
      <c r="Q1519" t="inlineStr">
        <is>
          <t>OH</t>
        </is>
      </c>
      <c r="R1519" t="n">
        <v>44483</v>
      </c>
      <c r="AD1519" t="inlineStr">
        <is>
          <t>TRUMBULL CAREER &amp; TECH CENTER</t>
        </is>
      </c>
      <c r="AE1519" t="inlineStr">
        <is>
          <t>WARREN CITY</t>
        </is>
      </c>
      <c r="AF1519" t="inlineStr">
        <is>
          <t>WARREN CITY SD</t>
        </is>
      </c>
      <c r="AH1519" t="n">
        <v>14</v>
      </c>
      <c r="AI1519" t="n">
        <v>11</v>
      </c>
      <c r="AN1519" t="inlineStr">
        <is>
          <t>WARREN</t>
        </is>
      </c>
      <c r="AO1519" t="inlineStr">
        <is>
          <t>WARREN CITY 4D</t>
        </is>
      </c>
      <c r="AP1519" t="inlineStr">
        <is>
          <t>78-P-ADL</t>
        </is>
      </c>
      <c r="AQ1519" t="n">
        <v>9</v>
      </c>
      <c r="AR1519" t="n">
        <v>64</v>
      </c>
      <c r="AS1519" t="n">
        <v>32</v>
      </c>
      <c r="AU1519">
        <f>COUNTA($BA$1519:$EH$1519)</f>
        <v/>
      </c>
      <c r="AV1519">
        <f>COUNTIF($BA$1519:$EH$1519,"D")</f>
        <v/>
      </c>
      <c r="AW1519">
        <f>COUNTIF($BA$1519:$EH$1519,"R")</f>
        <v/>
      </c>
      <c r="AX1519">
        <f>IF(BN1519="D",1,0)+IF(BO1519="D",1,0)+IF(BT1519="D",1,0)+IF(BU1519="D",1,0)+IF(BW1519="D",1,0)+IF(CC1519="D",1,0)+IF(CD1519="D",1,0)+IF(CE1519="D",1,0)+IF(CF1519="D",1,0)+IF(CL1519="D",1,0)+IF(CM1519="D",1,0)+IF(CQ1519="D",1,0)+IF(CR1519="D",1,0)+IF(CS1519="D",1,0)+IF(CW1519="D",1,0)+IF(CX1519="D",1,0)+IF(DD1519="D",1,0)+IF(DE1519="D",1,0)+IF(DJ1519="D",1,0)+IF(DK1519="D",1,0)+IF(DO1519="D",1,0)+IF(DP1519="D",1,0)+IF(DQ1519="D",1,0)+IF(DW1519="D",1,0)+IF(DZ1519="D",1,0)+IF(EH1519="D",1,0)</f>
        <v/>
      </c>
      <c r="AY1519">
        <f>IF(DJ1519&lt;&gt;"",1,0)+IF(DK1519&lt;&gt;"",1,0)+IF(DM1519&lt;&gt;"",1,0)+IF(DO1519&lt;&gt;"",1,0)+IF(DP1519&lt;&gt;"",1,0)+IF(DQ1519&lt;&gt;"",1,0)+IF(DS1519&lt;&gt;"",1,0)+IF(DT1519&lt;&gt;"",1,0)+IF(DV1519&lt;&gt;"",1,0)+IF(DW1519&lt;&gt;"",1,0)+IF(DX1519&lt;&gt;"",1,0)+IF(DY1519&lt;&gt;"",1,0)+IF(DZ1519&lt;&gt;"",1,0)+IF(EB1519&lt;&gt;"",1,0)+IF(EC1519&lt;&gt;"",1,0)+IF(ED1519&lt;&gt;"",1,0)+IF(EG1519&lt;&gt;"",1,0)+IF(EH1519&lt;&gt;"",1,0)</f>
        <v/>
      </c>
      <c r="AZ1519">
        <f>IF(EH1519&lt;&gt;"",1,0)</f>
        <v/>
      </c>
      <c r="BB1519" t="inlineStr">
        <is>
          <t>WARREN-WARD 4</t>
        </is>
      </c>
      <c r="CY1519" t="inlineStr">
        <is>
          <t>X</t>
        </is>
      </c>
    </row>
    <row r="1520">
      <c r="A1520" t="inlineStr">
        <is>
          <t>OH0021406266</t>
        </is>
      </c>
      <c r="B1520" t="n">
        <v>78</v>
      </c>
      <c r="C1520" t="n">
        <v>381005</v>
      </c>
      <c r="D1520" t="inlineStr">
        <is>
          <t>ATKINSON</t>
        </is>
      </c>
      <c r="E1520" t="inlineStr">
        <is>
          <t>STEPHEN</t>
        </is>
      </c>
      <c r="F1520">
        <f>CONCATENATE(D1520," ",LEFT(H1520,4),"T=",AU1520,"D=",AV1520,"R=",AW1520,"M=",AX1520,"L=",AY1520,"B=",AZ1520)</f>
        <v/>
      </c>
      <c r="G1520" t="inlineStr">
        <is>
          <t>S</t>
        </is>
      </c>
      <c r="I1520" t="inlineStr">
        <is>
          <t>1993-04-27</t>
        </is>
      </c>
      <c r="J1520" t="inlineStr">
        <is>
          <t>2016-07-19</t>
        </is>
      </c>
      <c r="K1520" t="inlineStr">
        <is>
          <t>CONFIRMATION</t>
        </is>
      </c>
      <c r="M1520" t="inlineStr">
        <is>
          <t>130 LINDEN AVE SE</t>
        </is>
      </c>
      <c r="N1520">
        <f>RIGHT(M1520,LEN(M1520)-FIND(" ",M1520))</f>
        <v/>
      </c>
      <c r="P1520" t="inlineStr">
        <is>
          <t>WARREN</t>
        </is>
      </c>
      <c r="Q1520" t="inlineStr">
        <is>
          <t>OH</t>
        </is>
      </c>
      <c r="R1520" t="n">
        <v>44483</v>
      </c>
      <c r="AD1520" t="inlineStr">
        <is>
          <t>TRUMBULL CAREER &amp; TECH CENTER</t>
        </is>
      </c>
      <c r="AE1520" t="inlineStr">
        <is>
          <t>WARREN CITY</t>
        </is>
      </c>
      <c r="AF1520" t="inlineStr">
        <is>
          <t>WARREN CITY SD</t>
        </is>
      </c>
      <c r="AH1520" t="n">
        <v>14</v>
      </c>
      <c r="AI1520" t="n">
        <v>11</v>
      </c>
      <c r="AN1520" t="inlineStr">
        <is>
          <t>WARREN</t>
        </is>
      </c>
      <c r="AO1520" t="inlineStr">
        <is>
          <t>WARREN CITY 4D</t>
        </is>
      </c>
      <c r="AP1520" t="inlineStr">
        <is>
          <t>78-P-ADL</t>
        </is>
      </c>
      <c r="AQ1520" t="n">
        <v>9</v>
      </c>
      <c r="AR1520" t="n">
        <v>64</v>
      </c>
      <c r="AS1520" t="n">
        <v>32</v>
      </c>
      <c r="AU1520">
        <f>COUNTA($BA$1520:$EH$1520)</f>
        <v/>
      </c>
      <c r="AV1520">
        <f>COUNTIF($BA$1520:$EH$1520,"D")</f>
        <v/>
      </c>
      <c r="AW1520">
        <f>COUNTIF($BA$1520:$EH$1520,"R")</f>
        <v/>
      </c>
      <c r="AX1520">
        <f>IF(BN1520="D",1,0)+IF(BO1520="D",1,0)+IF(BT1520="D",1,0)+IF(BU1520="D",1,0)+IF(BW1520="D",1,0)+IF(CC1520="D",1,0)+IF(CD1520="D",1,0)+IF(CE1520="D",1,0)+IF(CF1520="D",1,0)+IF(CL1520="D",1,0)+IF(CM1520="D",1,0)+IF(CQ1520="D",1,0)+IF(CR1520="D",1,0)+IF(CS1520="D",1,0)+IF(CW1520="D",1,0)+IF(CX1520="D",1,0)+IF(DD1520="D",1,0)+IF(DE1520="D",1,0)+IF(DJ1520="D",1,0)+IF(DK1520="D",1,0)+IF(DO1520="D",1,0)+IF(DP1520="D",1,0)+IF(DQ1520="D",1,0)+IF(DW1520="D",1,0)+IF(DZ1520="D",1,0)+IF(EH1520="D",1,0)</f>
        <v/>
      </c>
      <c r="AY1520">
        <f>IF(DJ1520&lt;&gt;"",1,0)+IF(DK1520&lt;&gt;"",1,0)+IF(DM1520&lt;&gt;"",1,0)+IF(DO1520&lt;&gt;"",1,0)+IF(DP1520&lt;&gt;"",1,0)+IF(DQ1520&lt;&gt;"",1,0)+IF(DS1520&lt;&gt;"",1,0)+IF(DT1520&lt;&gt;"",1,0)+IF(DV1520&lt;&gt;"",1,0)+IF(DW1520&lt;&gt;"",1,0)+IF(DX1520&lt;&gt;"",1,0)+IF(DY1520&lt;&gt;"",1,0)+IF(DZ1520&lt;&gt;"",1,0)+IF(EB1520&lt;&gt;"",1,0)+IF(EC1520&lt;&gt;"",1,0)+IF(ED1520&lt;&gt;"",1,0)+IF(EG1520&lt;&gt;"",1,0)+IF(EH1520&lt;&gt;"",1,0)</f>
        <v/>
      </c>
      <c r="AZ1520">
        <f>IF(EH1520&lt;&gt;"",1,0)</f>
        <v/>
      </c>
      <c r="BB1520" t="inlineStr">
        <is>
          <t>WARREN-WARD 4</t>
        </is>
      </c>
    </row>
    <row r="1521">
      <c r="A1521" t="inlineStr">
        <is>
          <t>OH0015790916</t>
        </is>
      </c>
      <c r="B1521" t="n">
        <v>78</v>
      </c>
      <c r="C1521" t="n">
        <v>317063</v>
      </c>
      <c r="D1521" t="inlineStr">
        <is>
          <t>RAMSELL</t>
        </is>
      </c>
      <c r="E1521" t="inlineStr">
        <is>
          <t>KIMBERLY</t>
        </is>
      </c>
      <c r="F1521">
        <f>CONCATENATE(D1521," ",LEFT(H1521,4),"T=",AU1521,"D=",AV1521,"R=",AW1521,"M=",AX1521,"L=",AY1521,"B=",AZ1521)</f>
        <v/>
      </c>
      <c r="G1521" t="inlineStr">
        <is>
          <t>A</t>
        </is>
      </c>
      <c r="I1521" t="inlineStr">
        <is>
          <t>1969-09-02</t>
        </is>
      </c>
      <c r="J1521" t="inlineStr">
        <is>
          <t>2017-02-28</t>
        </is>
      </c>
      <c r="K1521" t="inlineStr">
        <is>
          <t>ACTIVE</t>
        </is>
      </c>
      <c r="L1521" t="inlineStr">
        <is>
          <t>D</t>
        </is>
      </c>
      <c r="M1521" t="inlineStr">
        <is>
          <t>367 HIGH ST NE</t>
        </is>
      </c>
      <c r="N1521">
        <f>RIGHT(M1521,LEN(M1521)-FIND(" ",M1521))</f>
        <v/>
      </c>
      <c r="O1521" t="inlineStr">
        <is>
          <t>APT 2</t>
        </is>
      </c>
      <c r="P1521" t="inlineStr">
        <is>
          <t>WARREN</t>
        </is>
      </c>
      <c r="Q1521" t="inlineStr">
        <is>
          <t>OH</t>
        </is>
      </c>
      <c r="R1521" t="n">
        <v>44481</v>
      </c>
      <c r="AD1521" t="inlineStr">
        <is>
          <t>TRUMBULL CAREER &amp; TECH CENTER</t>
        </is>
      </c>
      <c r="AE1521" t="inlineStr">
        <is>
          <t>WARREN CITY</t>
        </is>
      </c>
      <c r="AF1521" t="inlineStr">
        <is>
          <t>WARREN CITY SD</t>
        </is>
      </c>
      <c r="AH1521" t="n">
        <v>14</v>
      </c>
      <c r="AI1521" t="n">
        <v>11</v>
      </c>
      <c r="AN1521" t="inlineStr">
        <is>
          <t>WARREN</t>
        </is>
      </c>
      <c r="AO1521" t="inlineStr">
        <is>
          <t>WARREN CITY 4D</t>
        </is>
      </c>
      <c r="AP1521" t="inlineStr">
        <is>
          <t>78-P-ADL</t>
        </is>
      </c>
      <c r="AQ1521" t="n">
        <v>9</v>
      </c>
      <c r="AR1521" t="n">
        <v>64</v>
      </c>
      <c r="AS1521" t="n">
        <v>32</v>
      </c>
      <c r="AU1521">
        <f>COUNTA($BA$1521:$EH$1521)</f>
        <v/>
      </c>
      <c r="AV1521">
        <f>COUNTIF($BA$1521:$EH$1521,"D")</f>
        <v/>
      </c>
      <c r="AW1521">
        <f>COUNTIF($BA$1521:$EH$1521,"R")</f>
        <v/>
      </c>
      <c r="AX1521">
        <f>IF(BN1521="D",1,0)+IF(BO1521="D",1,0)+IF(BT1521="D",1,0)+IF(BU1521="D",1,0)+IF(BW1521="D",1,0)+IF(CC1521="D",1,0)+IF(CD1521="D",1,0)+IF(CE1521="D",1,0)+IF(CF1521="D",1,0)+IF(CL1521="D",1,0)+IF(CM1521="D",1,0)+IF(CQ1521="D",1,0)+IF(CR1521="D",1,0)+IF(CS1521="D",1,0)+IF(CW1521="D",1,0)+IF(CX1521="D",1,0)+IF(DD1521="D",1,0)+IF(DE1521="D",1,0)+IF(DJ1521="D",1,0)+IF(DK1521="D",1,0)+IF(DO1521="D",1,0)+IF(DP1521="D",1,0)+IF(DQ1521="D",1,0)+IF(DW1521="D",1,0)+IF(DZ1521="D",1,0)+IF(EH1521="D",1,0)</f>
        <v/>
      </c>
      <c r="AY1521">
        <f>IF(DJ1521&lt;&gt;"",1,0)+IF(DK1521&lt;&gt;"",1,0)+IF(DM1521&lt;&gt;"",1,0)+IF(DO1521&lt;&gt;"",1,0)+IF(DP1521&lt;&gt;"",1,0)+IF(DQ1521&lt;&gt;"",1,0)+IF(DS1521&lt;&gt;"",1,0)+IF(DT1521&lt;&gt;"",1,0)+IF(DV1521&lt;&gt;"",1,0)+IF(DW1521&lt;&gt;"",1,0)+IF(DX1521&lt;&gt;"",1,0)+IF(DY1521&lt;&gt;"",1,0)+IF(DZ1521&lt;&gt;"",1,0)+IF(EB1521&lt;&gt;"",1,0)+IF(EC1521&lt;&gt;"",1,0)+IF(ED1521&lt;&gt;"",1,0)+IF(EG1521&lt;&gt;"",1,0)+IF(EH1521&lt;&gt;"",1,0)</f>
        <v/>
      </c>
      <c r="AZ1521">
        <f>IF(EH1521&lt;&gt;"",1,0)</f>
        <v/>
      </c>
      <c r="BB1521" t="inlineStr">
        <is>
          <t>WARREN-WARD 4</t>
        </is>
      </c>
      <c r="BJ1521" t="inlineStr">
        <is>
          <t>X</t>
        </is>
      </c>
      <c r="BL1521" t="inlineStr">
        <is>
          <t>X</t>
        </is>
      </c>
      <c r="CA1521" t="inlineStr">
        <is>
          <t>X</t>
        </is>
      </c>
      <c r="CK1521" t="inlineStr">
        <is>
          <t>X</t>
        </is>
      </c>
      <c r="CP1521" t="inlineStr">
        <is>
          <t>X</t>
        </is>
      </c>
      <c r="CV1521" t="inlineStr">
        <is>
          <t>X</t>
        </is>
      </c>
      <c r="DC1521" t="inlineStr">
        <is>
          <t>X</t>
        </is>
      </c>
      <c r="DN1521" t="inlineStr">
        <is>
          <t>X</t>
        </is>
      </c>
      <c r="DU1521" t="inlineStr">
        <is>
          <t>X</t>
        </is>
      </c>
      <c r="DW1521" t="inlineStr">
        <is>
          <t>D</t>
        </is>
      </c>
      <c r="DX1521" t="inlineStr">
        <is>
          <t>X</t>
        </is>
      </c>
      <c r="EF1521" t="inlineStr">
        <is>
          <t>X</t>
        </is>
      </c>
    </row>
    <row r="1522">
      <c r="A1522" t="inlineStr">
        <is>
          <t>OH0015694127</t>
        </is>
      </c>
      <c r="B1522" t="n">
        <v>78</v>
      </c>
      <c r="C1522" t="n">
        <v>14526</v>
      </c>
      <c r="D1522" t="inlineStr">
        <is>
          <t>BLACK</t>
        </is>
      </c>
      <c r="E1522" t="inlineStr">
        <is>
          <t>BERNICE</t>
        </is>
      </c>
      <c r="F1522">
        <f>CONCATENATE(D1522," ",LEFT(H1522,4),"T=",AU1522,"D=",AV1522,"R=",AW1522,"M=",AX1522,"L=",AY1522,"B=",AZ1522)</f>
        <v/>
      </c>
      <c r="G1522" t="inlineStr">
        <is>
          <t>M</t>
        </is>
      </c>
      <c r="I1522" t="inlineStr">
        <is>
          <t>1941-05-21</t>
        </is>
      </c>
      <c r="J1522" t="inlineStr">
        <is>
          <t>1976-02-18</t>
        </is>
      </c>
      <c r="K1522" t="inlineStr">
        <is>
          <t>ACTIVE</t>
        </is>
      </c>
      <c r="L1522" t="inlineStr">
        <is>
          <t>D</t>
        </is>
      </c>
      <c r="M1522" t="inlineStr">
        <is>
          <t>131 LAIRD AVE NE</t>
        </is>
      </c>
      <c r="N1522">
        <f>RIGHT(M1522,LEN(M1522)-FIND(" ",M1522))</f>
        <v/>
      </c>
      <c r="P1522" t="inlineStr">
        <is>
          <t>WARREN</t>
        </is>
      </c>
      <c r="Q1522" t="inlineStr">
        <is>
          <t>OH</t>
        </is>
      </c>
      <c r="R1522" t="n">
        <v>44483</v>
      </c>
      <c r="AD1522" t="inlineStr">
        <is>
          <t>TRUMBULL CAREER &amp; TECH CENTER</t>
        </is>
      </c>
      <c r="AE1522" t="inlineStr">
        <is>
          <t>WARREN CITY</t>
        </is>
      </c>
      <c r="AF1522" t="inlineStr">
        <is>
          <t>WARREN CITY SD</t>
        </is>
      </c>
      <c r="AH1522" t="n">
        <v>14</v>
      </c>
      <c r="AI1522" t="n">
        <v>11</v>
      </c>
      <c r="AN1522" t="inlineStr">
        <is>
          <t>WARREN</t>
        </is>
      </c>
      <c r="AO1522" t="inlineStr">
        <is>
          <t>WARREN CITY 4D</t>
        </is>
      </c>
      <c r="AP1522" t="inlineStr">
        <is>
          <t>78-P-ADL</t>
        </is>
      </c>
      <c r="AQ1522" t="n">
        <v>9</v>
      </c>
      <c r="AR1522" t="n">
        <v>64</v>
      </c>
      <c r="AS1522" t="n">
        <v>32</v>
      </c>
      <c r="AU1522">
        <f>COUNTA($BA$1522:$EH$1522)</f>
        <v/>
      </c>
      <c r="AV1522">
        <f>COUNTIF($BA$1522:$EH$1522,"D")</f>
        <v/>
      </c>
      <c r="AW1522">
        <f>COUNTIF($BA$1522:$EH$1522,"R")</f>
        <v/>
      </c>
      <c r="AX1522">
        <f>IF(BN1522="D",1,0)+IF(BO1522="D",1,0)+IF(BT1522="D",1,0)+IF(BU1522="D",1,0)+IF(BW1522="D",1,0)+IF(CC1522="D",1,0)+IF(CD1522="D",1,0)+IF(CE1522="D",1,0)+IF(CF1522="D",1,0)+IF(CL1522="D",1,0)+IF(CM1522="D",1,0)+IF(CQ1522="D",1,0)+IF(CR1522="D",1,0)+IF(CS1522="D",1,0)+IF(CW1522="D",1,0)+IF(CX1522="D",1,0)+IF(DD1522="D",1,0)+IF(DE1522="D",1,0)+IF(DJ1522="D",1,0)+IF(DK1522="D",1,0)+IF(DO1522="D",1,0)+IF(DP1522="D",1,0)+IF(DQ1522="D",1,0)+IF(DW1522="D",1,0)+IF(DZ1522="D",1,0)+IF(EH1522="D",1,0)</f>
        <v/>
      </c>
      <c r="AY1522">
        <f>IF(DJ1522&lt;&gt;"",1,0)+IF(DK1522&lt;&gt;"",1,0)+IF(DM1522&lt;&gt;"",1,0)+IF(DO1522&lt;&gt;"",1,0)+IF(DP1522&lt;&gt;"",1,0)+IF(DQ1522&lt;&gt;"",1,0)+IF(DS1522&lt;&gt;"",1,0)+IF(DT1522&lt;&gt;"",1,0)+IF(DV1522&lt;&gt;"",1,0)+IF(DW1522&lt;&gt;"",1,0)+IF(DX1522&lt;&gt;"",1,0)+IF(DY1522&lt;&gt;"",1,0)+IF(DZ1522&lt;&gt;"",1,0)+IF(EB1522&lt;&gt;"",1,0)+IF(EC1522&lt;&gt;"",1,0)+IF(ED1522&lt;&gt;"",1,0)+IF(EG1522&lt;&gt;"",1,0)+IF(EH1522&lt;&gt;"",1,0)</f>
        <v/>
      </c>
      <c r="AZ1522">
        <f>IF(EH1522&lt;&gt;"",1,0)</f>
        <v/>
      </c>
      <c r="BB1522" t="inlineStr">
        <is>
          <t>WARREN-WARD 4</t>
        </is>
      </c>
      <c r="BD1522" t="inlineStr">
        <is>
          <t>X</t>
        </is>
      </c>
      <c r="BE1522" t="inlineStr">
        <is>
          <t>X</t>
        </is>
      </c>
      <c r="BF1522" t="inlineStr">
        <is>
          <t>X</t>
        </is>
      </c>
      <c r="BG1522" t="inlineStr">
        <is>
          <t>X</t>
        </is>
      </c>
      <c r="BH1522" t="inlineStr">
        <is>
          <t>X</t>
        </is>
      </c>
      <c r="BJ1522" t="inlineStr">
        <is>
          <t>X</t>
        </is>
      </c>
      <c r="BK1522" t="inlineStr">
        <is>
          <t>X</t>
        </is>
      </c>
      <c r="BL1522" t="inlineStr">
        <is>
          <t>X</t>
        </is>
      </c>
      <c r="BP1522" t="inlineStr">
        <is>
          <t>X</t>
        </is>
      </c>
      <c r="BR1522" t="inlineStr">
        <is>
          <t>X</t>
        </is>
      </c>
      <c r="BS1522" t="inlineStr">
        <is>
          <t>X</t>
        </is>
      </c>
      <c r="BY1522" t="inlineStr">
        <is>
          <t>R</t>
        </is>
      </c>
      <c r="CA1522" t="inlineStr">
        <is>
          <t>X</t>
        </is>
      </c>
      <c r="CG1522" t="inlineStr">
        <is>
          <t>X</t>
        </is>
      </c>
      <c r="CH1522" t="inlineStr">
        <is>
          <t>R</t>
        </is>
      </c>
      <c r="CK1522" t="inlineStr">
        <is>
          <t>X</t>
        </is>
      </c>
      <c r="CN1522" t="inlineStr">
        <is>
          <t>X</t>
        </is>
      </c>
      <c r="CO1522" t="inlineStr">
        <is>
          <t>R</t>
        </is>
      </c>
      <c r="CP1522" t="inlineStr">
        <is>
          <t>X</t>
        </is>
      </c>
      <c r="CT1522" t="inlineStr">
        <is>
          <t>X</t>
        </is>
      </c>
      <c r="CU1522" t="inlineStr">
        <is>
          <t>R</t>
        </is>
      </c>
      <c r="CV1522" t="inlineStr">
        <is>
          <t>X</t>
        </is>
      </c>
      <c r="CY1522" t="inlineStr">
        <is>
          <t>X</t>
        </is>
      </c>
      <c r="CZ1522" t="inlineStr">
        <is>
          <t>R</t>
        </is>
      </c>
      <c r="DC1522" t="inlineStr">
        <is>
          <t>X</t>
        </is>
      </c>
      <c r="DF1522" t="inlineStr">
        <is>
          <t>X</t>
        </is>
      </c>
      <c r="DI1522" t="inlineStr">
        <is>
          <t>X</t>
        </is>
      </c>
      <c r="DL1522" t="inlineStr">
        <is>
          <t>X</t>
        </is>
      </c>
      <c r="DM1522" t="inlineStr">
        <is>
          <t>R</t>
        </is>
      </c>
      <c r="DN1522" t="inlineStr">
        <is>
          <t>X</t>
        </is>
      </c>
      <c r="DU1522" t="inlineStr">
        <is>
          <t>X</t>
        </is>
      </c>
      <c r="DX1522" t="inlineStr">
        <is>
          <t>X</t>
        </is>
      </c>
      <c r="EA1522" t="inlineStr">
        <is>
          <t>X</t>
        </is>
      </c>
      <c r="EF1522" t="inlineStr">
        <is>
          <t>X</t>
        </is>
      </c>
      <c r="EH1522" t="inlineStr">
        <is>
          <t>D</t>
        </is>
      </c>
    </row>
    <row r="1523">
      <c r="A1523" t="inlineStr">
        <is>
          <t>OH0027789366</t>
        </is>
      </c>
      <c r="B1523" t="n">
        <v>78</v>
      </c>
      <c r="C1523" t="n">
        <v>492089</v>
      </c>
      <c r="D1523" t="inlineStr">
        <is>
          <t>ESMOND</t>
        </is>
      </c>
      <c r="E1523" t="inlineStr">
        <is>
          <t>DAVID</t>
        </is>
      </c>
      <c r="F1523">
        <f>CONCATENATE(D1523," ",LEFT(H1523,4),"T=",AU1523,"D=",AV1523,"R=",AW1523,"M=",AX1523,"L=",AY1523,"B=",AZ1523)</f>
        <v/>
      </c>
      <c r="G1523" t="inlineStr">
        <is>
          <t>N</t>
        </is>
      </c>
      <c r="I1523" t="inlineStr">
        <is>
          <t>1990-03-18</t>
        </is>
      </c>
      <c r="J1523" t="inlineStr">
        <is>
          <t>2024-11-12</t>
        </is>
      </c>
      <c r="K1523" t="inlineStr">
        <is>
          <t>ACTIVE</t>
        </is>
      </c>
      <c r="M1523" t="inlineStr">
        <is>
          <t>471 PORTER ST NE</t>
        </is>
      </c>
      <c r="N1523">
        <f>RIGHT(M1523,LEN(M1523)-FIND(" ",M1523))</f>
        <v/>
      </c>
      <c r="P1523" t="inlineStr">
        <is>
          <t>WARREN</t>
        </is>
      </c>
      <c r="Q1523" t="inlineStr">
        <is>
          <t>OH</t>
        </is>
      </c>
      <c r="R1523" t="n">
        <v>44483</v>
      </c>
      <c r="AD1523" t="inlineStr">
        <is>
          <t>TRUMBULL CAREER &amp; TECH CENTER</t>
        </is>
      </c>
      <c r="AE1523" t="inlineStr">
        <is>
          <t>WARREN CITY</t>
        </is>
      </c>
      <c r="AF1523" t="inlineStr">
        <is>
          <t>WARREN CITY SD</t>
        </is>
      </c>
      <c r="AH1523" t="n">
        <v>14</v>
      </c>
      <c r="AI1523" t="n">
        <v>11</v>
      </c>
      <c r="AN1523" t="inlineStr">
        <is>
          <t>WARREN</t>
        </is>
      </c>
      <c r="AO1523" t="inlineStr">
        <is>
          <t>WARREN CITY 4D</t>
        </is>
      </c>
      <c r="AP1523" t="inlineStr">
        <is>
          <t>78-P-ADL</t>
        </is>
      </c>
      <c r="AQ1523" t="n">
        <v>9</v>
      </c>
      <c r="AR1523" t="n">
        <v>64</v>
      </c>
      <c r="AS1523" t="n">
        <v>32</v>
      </c>
      <c r="AU1523">
        <f>COUNTA($BA$1523:$EH$1523)</f>
        <v/>
      </c>
      <c r="AV1523">
        <f>COUNTIF($BA$1523:$EH$1523,"D")</f>
        <v/>
      </c>
      <c r="AW1523">
        <f>COUNTIF($BA$1523:$EH$1523,"R")</f>
        <v/>
      </c>
      <c r="AX1523">
        <f>IF(BN1523="D",1,0)+IF(BO1523="D",1,0)+IF(BT1523="D",1,0)+IF(BU1523="D",1,0)+IF(BW1523="D",1,0)+IF(CC1523="D",1,0)+IF(CD1523="D",1,0)+IF(CE1523="D",1,0)+IF(CF1523="D",1,0)+IF(CL1523="D",1,0)+IF(CM1523="D",1,0)+IF(CQ1523="D",1,0)+IF(CR1523="D",1,0)+IF(CS1523="D",1,0)+IF(CW1523="D",1,0)+IF(CX1523="D",1,0)+IF(DD1523="D",1,0)+IF(DE1523="D",1,0)+IF(DJ1523="D",1,0)+IF(DK1523="D",1,0)+IF(DO1523="D",1,0)+IF(DP1523="D",1,0)+IF(DQ1523="D",1,0)+IF(DW1523="D",1,0)+IF(DZ1523="D",1,0)+IF(EH1523="D",1,0)</f>
        <v/>
      </c>
      <c r="AY1523">
        <f>IF(DJ1523&lt;&gt;"",1,0)+IF(DK1523&lt;&gt;"",1,0)+IF(DM1523&lt;&gt;"",1,0)+IF(DO1523&lt;&gt;"",1,0)+IF(DP1523&lt;&gt;"",1,0)+IF(DQ1523&lt;&gt;"",1,0)+IF(DS1523&lt;&gt;"",1,0)+IF(DT1523&lt;&gt;"",1,0)+IF(DV1523&lt;&gt;"",1,0)+IF(DW1523&lt;&gt;"",1,0)+IF(DX1523&lt;&gt;"",1,0)+IF(DY1523&lt;&gt;"",1,0)+IF(DZ1523&lt;&gt;"",1,0)+IF(EB1523&lt;&gt;"",1,0)+IF(EC1523&lt;&gt;"",1,0)+IF(ED1523&lt;&gt;"",1,0)+IF(EG1523&lt;&gt;"",1,0)+IF(EH1523&lt;&gt;"",1,0)</f>
        <v/>
      </c>
      <c r="AZ1523">
        <f>IF(EH1523&lt;&gt;"",1,0)</f>
        <v/>
      </c>
      <c r="BB1523" t="inlineStr">
        <is>
          <t>WARREN-WARD 4</t>
        </is>
      </c>
    </row>
    <row r="1524">
      <c r="A1524" t="inlineStr">
        <is>
          <t>OH0015694134</t>
        </is>
      </c>
      <c r="B1524" t="n">
        <v>78</v>
      </c>
      <c r="C1524" t="n">
        <v>14527</v>
      </c>
      <c r="D1524" t="inlineStr">
        <is>
          <t>BLACK</t>
        </is>
      </c>
      <c r="E1524" t="inlineStr">
        <is>
          <t>DAVID</t>
        </is>
      </c>
      <c r="F1524">
        <f>CONCATENATE(D1524," ",LEFT(H1524,4),"T=",AU1524,"D=",AV1524,"R=",AW1524,"M=",AX1524,"L=",AY1524,"B=",AZ1524)</f>
        <v/>
      </c>
      <c r="G1524" t="inlineStr">
        <is>
          <t>R</t>
        </is>
      </c>
      <c r="I1524" t="inlineStr">
        <is>
          <t>1944-07-22</t>
        </is>
      </c>
      <c r="J1524" t="inlineStr">
        <is>
          <t>1976-02-18</t>
        </is>
      </c>
      <c r="K1524" t="inlineStr">
        <is>
          <t>ACTIVE</t>
        </is>
      </c>
      <c r="L1524" t="inlineStr">
        <is>
          <t>D</t>
        </is>
      </c>
      <c r="M1524" t="inlineStr">
        <is>
          <t>131 LAIRD AVE NE</t>
        </is>
      </c>
      <c r="N1524">
        <f>RIGHT(M1524,LEN(M1524)-FIND(" ",M1524))</f>
        <v/>
      </c>
      <c r="P1524" t="inlineStr">
        <is>
          <t>WARREN</t>
        </is>
      </c>
      <c r="Q1524" t="inlineStr">
        <is>
          <t>OH</t>
        </is>
      </c>
      <c r="R1524" t="n">
        <v>44483</v>
      </c>
      <c r="AD1524" t="inlineStr">
        <is>
          <t>TRUMBULL CAREER &amp; TECH CENTER</t>
        </is>
      </c>
      <c r="AE1524" t="inlineStr">
        <is>
          <t>WARREN CITY</t>
        </is>
      </c>
      <c r="AF1524" t="inlineStr">
        <is>
          <t>WARREN CITY SD</t>
        </is>
      </c>
      <c r="AH1524" t="n">
        <v>14</v>
      </c>
      <c r="AI1524" t="n">
        <v>11</v>
      </c>
      <c r="AN1524" t="inlineStr">
        <is>
          <t>WARREN</t>
        </is>
      </c>
      <c r="AO1524" t="inlineStr">
        <is>
          <t>WARREN CITY 4D</t>
        </is>
      </c>
      <c r="AP1524" t="inlineStr">
        <is>
          <t>78-P-ADL</t>
        </is>
      </c>
      <c r="AQ1524" t="n">
        <v>9</v>
      </c>
      <c r="AR1524" t="n">
        <v>64</v>
      </c>
      <c r="AS1524" t="n">
        <v>32</v>
      </c>
      <c r="AU1524">
        <f>COUNTA($BA$1524:$EH$1524)</f>
        <v/>
      </c>
      <c r="AV1524">
        <f>COUNTIF($BA$1524:$EH$1524,"D")</f>
        <v/>
      </c>
      <c r="AW1524">
        <f>COUNTIF($BA$1524:$EH$1524,"R")</f>
        <v/>
      </c>
      <c r="AX1524">
        <f>IF(BN1524="D",1,0)+IF(BO1524="D",1,0)+IF(BT1524="D",1,0)+IF(BU1524="D",1,0)+IF(BW1524="D",1,0)+IF(CC1524="D",1,0)+IF(CD1524="D",1,0)+IF(CE1524="D",1,0)+IF(CF1524="D",1,0)+IF(CL1524="D",1,0)+IF(CM1524="D",1,0)+IF(CQ1524="D",1,0)+IF(CR1524="D",1,0)+IF(CS1524="D",1,0)+IF(CW1524="D",1,0)+IF(CX1524="D",1,0)+IF(DD1524="D",1,0)+IF(DE1524="D",1,0)+IF(DJ1524="D",1,0)+IF(DK1524="D",1,0)+IF(DO1524="D",1,0)+IF(DP1524="D",1,0)+IF(DQ1524="D",1,0)+IF(DW1524="D",1,0)+IF(DZ1524="D",1,0)+IF(EH1524="D",1,0)</f>
        <v/>
      </c>
      <c r="AY1524">
        <f>IF(DJ1524&lt;&gt;"",1,0)+IF(DK1524&lt;&gt;"",1,0)+IF(DM1524&lt;&gt;"",1,0)+IF(DO1524&lt;&gt;"",1,0)+IF(DP1524&lt;&gt;"",1,0)+IF(DQ1524&lt;&gt;"",1,0)+IF(DS1524&lt;&gt;"",1,0)+IF(DT1524&lt;&gt;"",1,0)+IF(DV1524&lt;&gt;"",1,0)+IF(DW1524&lt;&gt;"",1,0)+IF(DX1524&lt;&gt;"",1,0)+IF(DY1524&lt;&gt;"",1,0)+IF(DZ1524&lt;&gt;"",1,0)+IF(EB1524&lt;&gt;"",1,0)+IF(EC1524&lt;&gt;"",1,0)+IF(ED1524&lt;&gt;"",1,0)+IF(EG1524&lt;&gt;"",1,0)+IF(EH1524&lt;&gt;"",1,0)</f>
        <v/>
      </c>
      <c r="AZ1524">
        <f>IF(EH1524&lt;&gt;"",1,0)</f>
        <v/>
      </c>
      <c r="BB1524" t="inlineStr">
        <is>
          <t>WARREN-WARD 4</t>
        </is>
      </c>
      <c r="BC1524" t="inlineStr">
        <is>
          <t>X</t>
        </is>
      </c>
      <c r="BD1524" t="inlineStr">
        <is>
          <t>X</t>
        </is>
      </c>
      <c r="BE1524" t="inlineStr">
        <is>
          <t>X</t>
        </is>
      </c>
      <c r="BF1524" t="inlineStr">
        <is>
          <t>X</t>
        </is>
      </c>
      <c r="BG1524" t="inlineStr">
        <is>
          <t>X</t>
        </is>
      </c>
      <c r="BH1524" t="inlineStr">
        <is>
          <t>X</t>
        </is>
      </c>
      <c r="BI1524" t="inlineStr">
        <is>
          <t>X</t>
        </is>
      </c>
      <c r="BJ1524" t="inlineStr">
        <is>
          <t>X</t>
        </is>
      </c>
      <c r="BK1524" t="inlineStr">
        <is>
          <t>X</t>
        </is>
      </c>
      <c r="BL1524" t="inlineStr">
        <is>
          <t>X</t>
        </is>
      </c>
      <c r="BP1524" t="inlineStr">
        <is>
          <t>X</t>
        </is>
      </c>
      <c r="BR1524" t="inlineStr">
        <is>
          <t>X</t>
        </is>
      </c>
      <c r="BS1524" t="inlineStr">
        <is>
          <t>X</t>
        </is>
      </c>
      <c r="BV1524" t="inlineStr">
        <is>
          <t>X</t>
        </is>
      </c>
      <c r="BY1524" t="inlineStr">
        <is>
          <t>R</t>
        </is>
      </c>
      <c r="CA1524" t="inlineStr">
        <is>
          <t>X</t>
        </is>
      </c>
      <c r="CG1524" t="inlineStr">
        <is>
          <t>X</t>
        </is>
      </c>
      <c r="CH1524" t="inlineStr">
        <is>
          <t>R</t>
        </is>
      </c>
      <c r="CK1524" t="inlineStr">
        <is>
          <t>X</t>
        </is>
      </c>
      <c r="CN1524" t="inlineStr">
        <is>
          <t>X</t>
        </is>
      </c>
      <c r="CO1524" t="inlineStr">
        <is>
          <t>R</t>
        </is>
      </c>
      <c r="CP1524" t="inlineStr">
        <is>
          <t>X</t>
        </is>
      </c>
      <c r="CT1524" t="inlineStr">
        <is>
          <t>X</t>
        </is>
      </c>
      <c r="CU1524" t="inlineStr">
        <is>
          <t>R</t>
        </is>
      </c>
      <c r="CV1524" t="inlineStr">
        <is>
          <t>X</t>
        </is>
      </c>
      <c r="CY1524" t="inlineStr">
        <is>
          <t>X</t>
        </is>
      </c>
      <c r="CZ1524" t="inlineStr">
        <is>
          <t>R</t>
        </is>
      </c>
      <c r="DC1524" t="inlineStr">
        <is>
          <t>X</t>
        </is>
      </c>
      <c r="DG1524" t="inlineStr">
        <is>
          <t>R</t>
        </is>
      </c>
      <c r="DI1524" t="inlineStr">
        <is>
          <t>X</t>
        </is>
      </c>
      <c r="DL1524" t="inlineStr">
        <is>
          <t>X</t>
        </is>
      </c>
      <c r="DM1524" t="inlineStr">
        <is>
          <t>R</t>
        </is>
      </c>
      <c r="DN1524" t="inlineStr">
        <is>
          <t>X</t>
        </is>
      </c>
      <c r="DU1524" t="inlineStr">
        <is>
          <t>X</t>
        </is>
      </c>
      <c r="DX1524" t="inlineStr">
        <is>
          <t>X</t>
        </is>
      </c>
      <c r="EA1524" t="inlineStr">
        <is>
          <t>X</t>
        </is>
      </c>
      <c r="EF1524" t="inlineStr">
        <is>
          <t>X</t>
        </is>
      </c>
      <c r="EH1524" t="inlineStr">
        <is>
          <t>D</t>
        </is>
      </c>
    </row>
    <row r="1525">
      <c r="A1525" t="inlineStr">
        <is>
          <t>OH0015737631</t>
        </is>
      </c>
      <c r="B1525" t="n">
        <v>78</v>
      </c>
      <c r="C1525" t="n">
        <v>306879</v>
      </c>
      <c r="D1525" t="inlineStr">
        <is>
          <t>VECCHIO</t>
        </is>
      </c>
      <c r="E1525" t="inlineStr">
        <is>
          <t>KATHLEEN</t>
        </is>
      </c>
      <c r="F1525">
        <f>CONCATENATE(D1525," ",LEFT(H1525,4),"T=",AU1525,"D=",AV1525,"R=",AW1525,"M=",AX1525,"L=",AY1525,"B=",AZ1525)</f>
        <v/>
      </c>
      <c r="I1525" t="inlineStr">
        <is>
          <t>1961-09-21</t>
        </is>
      </c>
      <c r="J1525" t="inlineStr">
        <is>
          <t>2023-09-14</t>
        </is>
      </c>
      <c r="K1525" t="inlineStr">
        <is>
          <t>ACTIVE</t>
        </is>
      </c>
      <c r="M1525" t="inlineStr">
        <is>
          <t>182 HIGH ST NE</t>
        </is>
      </c>
      <c r="N1525">
        <f>RIGHT(M1525,LEN(M1525)-FIND(" ",M1525))</f>
        <v/>
      </c>
      <c r="O1525" t="inlineStr">
        <is>
          <t>APT 401</t>
        </is>
      </c>
      <c r="P1525" t="inlineStr">
        <is>
          <t>WARREN</t>
        </is>
      </c>
      <c r="Q1525" t="inlineStr">
        <is>
          <t>OH</t>
        </is>
      </c>
      <c r="R1525" t="n">
        <v>44481</v>
      </c>
      <c r="AD1525" t="inlineStr">
        <is>
          <t>TRUMBULL CAREER &amp; TECH CENTER</t>
        </is>
      </c>
      <c r="AE1525" t="inlineStr">
        <is>
          <t>WARREN CITY</t>
        </is>
      </c>
      <c r="AF1525" t="inlineStr">
        <is>
          <t>WARREN CITY SD</t>
        </is>
      </c>
      <c r="AH1525" t="n">
        <v>14</v>
      </c>
      <c r="AI1525" t="n">
        <v>11</v>
      </c>
      <c r="AN1525" t="inlineStr">
        <is>
          <t>WARREN</t>
        </is>
      </c>
      <c r="AO1525" t="inlineStr">
        <is>
          <t>WARREN CITY 4D</t>
        </is>
      </c>
      <c r="AP1525" t="inlineStr">
        <is>
          <t>78-P-ADL</t>
        </is>
      </c>
      <c r="AQ1525" t="n">
        <v>9</v>
      </c>
      <c r="AR1525" t="n">
        <v>64</v>
      </c>
      <c r="AS1525" t="n">
        <v>32</v>
      </c>
      <c r="AU1525">
        <f>COUNTA($BA$1525:$EH$1525)</f>
        <v/>
      </c>
      <c r="AV1525">
        <f>COUNTIF($BA$1525:$EH$1525,"D")</f>
        <v/>
      </c>
      <c r="AW1525">
        <f>COUNTIF($BA$1525:$EH$1525,"R")</f>
        <v/>
      </c>
      <c r="AX1525">
        <f>IF(BN1525="D",1,0)+IF(BO1525="D",1,0)+IF(BT1525="D",1,0)+IF(BU1525="D",1,0)+IF(BW1525="D",1,0)+IF(CC1525="D",1,0)+IF(CD1525="D",1,0)+IF(CE1525="D",1,0)+IF(CF1525="D",1,0)+IF(CL1525="D",1,0)+IF(CM1525="D",1,0)+IF(CQ1525="D",1,0)+IF(CR1525="D",1,0)+IF(CS1525="D",1,0)+IF(CW1525="D",1,0)+IF(CX1525="D",1,0)+IF(DD1525="D",1,0)+IF(DE1525="D",1,0)+IF(DJ1525="D",1,0)+IF(DK1525="D",1,0)+IF(DO1525="D",1,0)+IF(DP1525="D",1,0)+IF(DQ1525="D",1,0)+IF(DW1525="D",1,0)+IF(DZ1525="D",1,0)+IF(EH1525="D",1,0)</f>
        <v/>
      </c>
      <c r="AY1525">
        <f>IF(DJ1525&lt;&gt;"",1,0)+IF(DK1525&lt;&gt;"",1,0)+IF(DM1525&lt;&gt;"",1,0)+IF(DO1525&lt;&gt;"",1,0)+IF(DP1525&lt;&gt;"",1,0)+IF(DQ1525&lt;&gt;"",1,0)+IF(DS1525&lt;&gt;"",1,0)+IF(DT1525&lt;&gt;"",1,0)+IF(DV1525&lt;&gt;"",1,0)+IF(DW1525&lt;&gt;"",1,0)+IF(DX1525&lt;&gt;"",1,0)+IF(DY1525&lt;&gt;"",1,0)+IF(DZ1525&lt;&gt;"",1,0)+IF(EB1525&lt;&gt;"",1,0)+IF(EC1525&lt;&gt;"",1,0)+IF(ED1525&lt;&gt;"",1,0)+IF(EG1525&lt;&gt;"",1,0)+IF(EH1525&lt;&gt;"",1,0)</f>
        <v/>
      </c>
      <c r="AZ1525">
        <f>IF(EH1525&lt;&gt;"",1,0)</f>
        <v/>
      </c>
      <c r="BB1525" t="inlineStr">
        <is>
          <t>WARREN-WARD 4</t>
        </is>
      </c>
      <c r="CA1525" t="inlineStr">
        <is>
          <t>X</t>
        </is>
      </c>
      <c r="CP1525" t="inlineStr">
        <is>
          <t>X</t>
        </is>
      </c>
      <c r="DI1525" t="inlineStr">
        <is>
          <t>X</t>
        </is>
      </c>
      <c r="EA1525" t="inlineStr">
        <is>
          <t>X</t>
        </is>
      </c>
      <c r="EF1525" t="inlineStr">
        <is>
          <t>X</t>
        </is>
      </c>
    </row>
    <row r="1526">
      <c r="A1526" t="inlineStr">
        <is>
          <t>OH0026528364</t>
        </is>
      </c>
      <c r="B1526" t="n">
        <v>78</v>
      </c>
      <c r="C1526" t="n">
        <v>463747</v>
      </c>
      <c r="D1526" t="inlineStr">
        <is>
          <t>DUKES</t>
        </is>
      </c>
      <c r="E1526" t="inlineStr">
        <is>
          <t>ETHAN</t>
        </is>
      </c>
      <c r="F1526">
        <f>CONCATENATE(D1526," ",LEFT(H1526,4),"T=",AU1526,"D=",AV1526,"R=",AW1526,"M=",AX1526,"L=",AY1526,"B=",AZ1526)</f>
        <v/>
      </c>
      <c r="I1526" t="inlineStr">
        <is>
          <t>2002-07-28</t>
        </is>
      </c>
      <c r="J1526" t="inlineStr">
        <is>
          <t>2024-10-15</t>
        </is>
      </c>
      <c r="K1526" t="inlineStr">
        <is>
          <t>ACTIVE</t>
        </is>
      </c>
      <c r="M1526" t="inlineStr">
        <is>
          <t>1240 WOODLAND AVE NE</t>
        </is>
      </c>
      <c r="N1526">
        <f>RIGHT(M1526,LEN(M1526)-FIND(" ",M1526))</f>
        <v/>
      </c>
      <c r="P1526" t="inlineStr">
        <is>
          <t>WARREN</t>
        </is>
      </c>
      <c r="Q1526" t="inlineStr">
        <is>
          <t>OH</t>
        </is>
      </c>
      <c r="R1526" t="n">
        <v>44483</v>
      </c>
      <c r="AD1526" t="inlineStr">
        <is>
          <t>TRUMBULL CAREER &amp; TECH CENTER</t>
        </is>
      </c>
      <c r="AE1526" t="inlineStr">
        <is>
          <t>WARREN CITY</t>
        </is>
      </c>
      <c r="AF1526" t="inlineStr">
        <is>
          <t>WARREN CITY SD</t>
        </is>
      </c>
      <c r="AH1526" t="n">
        <v>14</v>
      </c>
      <c r="AI1526" t="n">
        <v>11</v>
      </c>
      <c r="AN1526" t="inlineStr">
        <is>
          <t>WARREN</t>
        </is>
      </c>
      <c r="AO1526" t="inlineStr">
        <is>
          <t>WARREN CITY 4D</t>
        </is>
      </c>
      <c r="AP1526" t="inlineStr">
        <is>
          <t>78-P-ADL</t>
        </is>
      </c>
      <c r="AQ1526" t="n">
        <v>9</v>
      </c>
      <c r="AR1526" t="n">
        <v>64</v>
      </c>
      <c r="AS1526" t="n">
        <v>32</v>
      </c>
      <c r="AU1526">
        <f>COUNTA($BA$1526:$EH$1526)</f>
        <v/>
      </c>
      <c r="AV1526">
        <f>COUNTIF($BA$1526:$EH$1526,"D")</f>
        <v/>
      </c>
      <c r="AW1526">
        <f>COUNTIF($BA$1526:$EH$1526,"R")</f>
        <v/>
      </c>
      <c r="AX1526">
        <f>IF(BN1526="D",1,0)+IF(BO1526="D",1,0)+IF(BT1526="D",1,0)+IF(BU1526="D",1,0)+IF(BW1526="D",1,0)+IF(CC1526="D",1,0)+IF(CD1526="D",1,0)+IF(CE1526="D",1,0)+IF(CF1526="D",1,0)+IF(CL1526="D",1,0)+IF(CM1526="D",1,0)+IF(CQ1526="D",1,0)+IF(CR1526="D",1,0)+IF(CS1526="D",1,0)+IF(CW1526="D",1,0)+IF(CX1526="D",1,0)+IF(DD1526="D",1,0)+IF(DE1526="D",1,0)+IF(DJ1526="D",1,0)+IF(DK1526="D",1,0)+IF(DO1526="D",1,0)+IF(DP1526="D",1,0)+IF(DQ1526="D",1,0)+IF(DW1526="D",1,0)+IF(DZ1526="D",1,0)+IF(EH1526="D",1,0)</f>
        <v/>
      </c>
      <c r="AY1526">
        <f>IF(DJ1526&lt;&gt;"",1,0)+IF(DK1526&lt;&gt;"",1,0)+IF(DM1526&lt;&gt;"",1,0)+IF(DO1526&lt;&gt;"",1,0)+IF(DP1526&lt;&gt;"",1,0)+IF(DQ1526&lt;&gt;"",1,0)+IF(DS1526&lt;&gt;"",1,0)+IF(DT1526&lt;&gt;"",1,0)+IF(DV1526&lt;&gt;"",1,0)+IF(DW1526&lt;&gt;"",1,0)+IF(DX1526&lt;&gt;"",1,0)+IF(DY1526&lt;&gt;"",1,0)+IF(DZ1526&lt;&gt;"",1,0)+IF(EB1526&lt;&gt;"",1,0)+IF(EC1526&lt;&gt;"",1,0)+IF(ED1526&lt;&gt;"",1,0)+IF(EG1526&lt;&gt;"",1,0)+IF(EH1526&lt;&gt;"",1,0)</f>
        <v/>
      </c>
      <c r="AZ1526">
        <f>IF(EH1526&lt;&gt;"",1,0)</f>
        <v/>
      </c>
      <c r="BB1526" t="inlineStr">
        <is>
          <t>WARREN-WARD 4</t>
        </is>
      </c>
      <c r="EF1526" t="inlineStr">
        <is>
          <t>X</t>
        </is>
      </c>
    </row>
    <row r="1527">
      <c r="A1527" t="inlineStr">
        <is>
          <t>OH0025974691</t>
        </is>
      </c>
      <c r="B1527" t="n">
        <v>78</v>
      </c>
      <c r="C1527" t="n">
        <v>454110</v>
      </c>
      <c r="D1527" t="inlineStr">
        <is>
          <t>WALTER</t>
        </is>
      </c>
      <c r="E1527" t="inlineStr">
        <is>
          <t>ELIZABETH</t>
        </is>
      </c>
      <c r="F1527">
        <f>CONCATENATE(D1527," ",LEFT(H1527,4),"T=",AU1527,"D=",AV1527,"R=",AW1527,"M=",AX1527,"L=",AY1527,"B=",AZ1527)</f>
        <v/>
      </c>
      <c r="G1527" t="inlineStr">
        <is>
          <t>EILEEN</t>
        </is>
      </c>
      <c r="I1527" t="inlineStr">
        <is>
          <t>1996-10-21</t>
        </is>
      </c>
      <c r="J1527" t="inlineStr">
        <is>
          <t>2023-11-08</t>
        </is>
      </c>
      <c r="K1527" t="inlineStr">
        <is>
          <t>ACTIVE</t>
        </is>
      </c>
      <c r="M1527" t="inlineStr">
        <is>
          <t>182 HIGH ST NE</t>
        </is>
      </c>
      <c r="N1527">
        <f>RIGHT(M1527,LEN(M1527)-FIND(" ",M1527))</f>
        <v/>
      </c>
      <c r="O1527" t="inlineStr">
        <is>
          <t>APT 511</t>
        </is>
      </c>
      <c r="P1527" t="inlineStr">
        <is>
          <t>WARREN</t>
        </is>
      </c>
      <c r="Q1527" t="inlineStr">
        <is>
          <t>OH</t>
        </is>
      </c>
      <c r="R1527" t="n">
        <v>44481</v>
      </c>
      <c r="AD1527" t="inlineStr">
        <is>
          <t>TRUMBULL CAREER &amp; TECH CENTER</t>
        </is>
      </c>
      <c r="AE1527" t="inlineStr">
        <is>
          <t>WARREN CITY</t>
        </is>
      </c>
      <c r="AF1527" t="inlineStr">
        <is>
          <t>WARREN CITY SD</t>
        </is>
      </c>
      <c r="AH1527" t="n">
        <v>14</v>
      </c>
      <c r="AI1527" t="n">
        <v>11</v>
      </c>
      <c r="AN1527" t="inlineStr">
        <is>
          <t>WARREN</t>
        </is>
      </c>
      <c r="AO1527" t="inlineStr">
        <is>
          <t>WARREN CITY 4D</t>
        </is>
      </c>
      <c r="AP1527" t="inlineStr">
        <is>
          <t>78-P-ADL</t>
        </is>
      </c>
      <c r="AQ1527" t="n">
        <v>9</v>
      </c>
      <c r="AR1527" t="n">
        <v>64</v>
      </c>
      <c r="AS1527" t="n">
        <v>32</v>
      </c>
      <c r="AU1527">
        <f>COUNTA($BA$1527:$EH$1527)</f>
        <v/>
      </c>
      <c r="AV1527">
        <f>COUNTIF($BA$1527:$EH$1527,"D")</f>
        <v/>
      </c>
      <c r="AW1527">
        <f>COUNTIF($BA$1527:$EH$1527,"R")</f>
        <v/>
      </c>
      <c r="AX1527">
        <f>IF(BN1527="D",1,0)+IF(BO1527="D",1,0)+IF(BT1527="D",1,0)+IF(BU1527="D",1,0)+IF(BW1527="D",1,0)+IF(CC1527="D",1,0)+IF(CD1527="D",1,0)+IF(CE1527="D",1,0)+IF(CF1527="D",1,0)+IF(CL1527="D",1,0)+IF(CM1527="D",1,0)+IF(CQ1527="D",1,0)+IF(CR1527="D",1,0)+IF(CS1527="D",1,0)+IF(CW1527="D",1,0)+IF(CX1527="D",1,0)+IF(DD1527="D",1,0)+IF(DE1527="D",1,0)+IF(DJ1527="D",1,0)+IF(DK1527="D",1,0)+IF(DO1527="D",1,0)+IF(DP1527="D",1,0)+IF(DQ1527="D",1,0)+IF(DW1527="D",1,0)+IF(DZ1527="D",1,0)+IF(EH1527="D",1,0)</f>
        <v/>
      </c>
      <c r="AY1527">
        <f>IF(DJ1527&lt;&gt;"",1,0)+IF(DK1527&lt;&gt;"",1,0)+IF(DM1527&lt;&gt;"",1,0)+IF(DO1527&lt;&gt;"",1,0)+IF(DP1527&lt;&gt;"",1,0)+IF(DQ1527&lt;&gt;"",1,0)+IF(DS1527&lt;&gt;"",1,0)+IF(DT1527&lt;&gt;"",1,0)+IF(DV1527&lt;&gt;"",1,0)+IF(DW1527&lt;&gt;"",1,0)+IF(DX1527&lt;&gt;"",1,0)+IF(DY1527&lt;&gt;"",1,0)+IF(DZ1527&lt;&gt;"",1,0)+IF(EB1527&lt;&gt;"",1,0)+IF(EC1527&lt;&gt;"",1,0)+IF(ED1527&lt;&gt;"",1,0)+IF(EG1527&lt;&gt;"",1,0)+IF(EH1527&lt;&gt;"",1,0)</f>
        <v/>
      </c>
      <c r="AZ1527">
        <f>IF(EH1527&lt;&gt;"",1,0)</f>
        <v/>
      </c>
      <c r="BB1527" t="inlineStr">
        <is>
          <t>WARREN-WARD 4</t>
        </is>
      </c>
    </row>
    <row r="1528">
      <c r="A1528" t="inlineStr">
        <is>
          <t>OH0027519624</t>
        </is>
      </c>
      <c r="B1528" t="n">
        <v>78</v>
      </c>
      <c r="C1528" t="n">
        <v>487732</v>
      </c>
      <c r="D1528" t="inlineStr">
        <is>
          <t>NOBLE</t>
        </is>
      </c>
      <c r="E1528" t="inlineStr">
        <is>
          <t>MICHAEL</t>
        </is>
      </c>
      <c r="F1528">
        <f>CONCATENATE(D1528," ",LEFT(H1528,4),"T=",AU1528,"D=",AV1528,"R=",AW1528,"M=",AX1528,"L=",AY1528,"B=",AZ1528)</f>
        <v/>
      </c>
      <c r="G1528" t="inlineStr">
        <is>
          <t>A</t>
        </is>
      </c>
      <c r="I1528" t="inlineStr">
        <is>
          <t>2006-05-10</t>
        </is>
      </c>
      <c r="J1528" t="inlineStr">
        <is>
          <t>2024-08-06</t>
        </is>
      </c>
      <c r="K1528" t="inlineStr">
        <is>
          <t>CONFIRMATION</t>
        </is>
      </c>
      <c r="M1528" t="inlineStr">
        <is>
          <t>632 BELMONT AVE NE</t>
        </is>
      </c>
      <c r="N1528">
        <f>RIGHT(M1528,LEN(M1528)-FIND(" ",M1528))</f>
        <v/>
      </c>
      <c r="P1528" t="inlineStr">
        <is>
          <t>WARREN</t>
        </is>
      </c>
      <c r="Q1528" t="inlineStr">
        <is>
          <t>OH</t>
        </is>
      </c>
      <c r="R1528" t="n">
        <v>44483</v>
      </c>
      <c r="AD1528" t="inlineStr">
        <is>
          <t>TRUMBULL CAREER &amp; TECH CENTER</t>
        </is>
      </c>
      <c r="AE1528" t="inlineStr">
        <is>
          <t>WARREN CITY</t>
        </is>
      </c>
      <c r="AF1528" t="inlineStr">
        <is>
          <t>WARREN CITY SD</t>
        </is>
      </c>
      <c r="AH1528" t="n">
        <v>14</v>
      </c>
      <c r="AI1528" t="n">
        <v>11</v>
      </c>
      <c r="AN1528" t="inlineStr">
        <is>
          <t>WARREN</t>
        </is>
      </c>
      <c r="AO1528" t="inlineStr">
        <is>
          <t>WARREN CITY 4D</t>
        </is>
      </c>
      <c r="AP1528" t="inlineStr">
        <is>
          <t>78-P-ADL</t>
        </is>
      </c>
      <c r="AQ1528" t="n">
        <v>9</v>
      </c>
      <c r="AR1528" t="n">
        <v>64</v>
      </c>
      <c r="AS1528" t="n">
        <v>32</v>
      </c>
      <c r="AU1528">
        <f>COUNTA($BA$1528:$EH$1528)</f>
        <v/>
      </c>
      <c r="AV1528">
        <f>COUNTIF($BA$1528:$EH$1528,"D")</f>
        <v/>
      </c>
      <c r="AW1528">
        <f>COUNTIF($BA$1528:$EH$1528,"R")</f>
        <v/>
      </c>
      <c r="AX1528">
        <f>IF(BN1528="D",1,0)+IF(BO1528="D",1,0)+IF(BT1528="D",1,0)+IF(BU1528="D",1,0)+IF(BW1528="D",1,0)+IF(CC1528="D",1,0)+IF(CD1528="D",1,0)+IF(CE1528="D",1,0)+IF(CF1528="D",1,0)+IF(CL1528="D",1,0)+IF(CM1528="D",1,0)+IF(CQ1528="D",1,0)+IF(CR1528="D",1,0)+IF(CS1528="D",1,0)+IF(CW1528="D",1,0)+IF(CX1528="D",1,0)+IF(DD1528="D",1,0)+IF(DE1528="D",1,0)+IF(DJ1528="D",1,0)+IF(DK1528="D",1,0)+IF(DO1528="D",1,0)+IF(DP1528="D",1,0)+IF(DQ1528="D",1,0)+IF(DW1528="D",1,0)+IF(DZ1528="D",1,0)+IF(EH1528="D",1,0)</f>
        <v/>
      </c>
      <c r="AY1528">
        <f>IF(DJ1528&lt;&gt;"",1,0)+IF(DK1528&lt;&gt;"",1,0)+IF(DM1528&lt;&gt;"",1,0)+IF(DO1528&lt;&gt;"",1,0)+IF(DP1528&lt;&gt;"",1,0)+IF(DQ1528&lt;&gt;"",1,0)+IF(DS1528&lt;&gt;"",1,0)+IF(DT1528&lt;&gt;"",1,0)+IF(DV1528&lt;&gt;"",1,0)+IF(DW1528&lt;&gt;"",1,0)+IF(DX1528&lt;&gt;"",1,0)+IF(DY1528&lt;&gt;"",1,0)+IF(DZ1528&lt;&gt;"",1,0)+IF(EB1528&lt;&gt;"",1,0)+IF(EC1528&lt;&gt;"",1,0)+IF(ED1528&lt;&gt;"",1,0)+IF(EG1528&lt;&gt;"",1,0)+IF(EH1528&lt;&gt;"",1,0)</f>
        <v/>
      </c>
      <c r="AZ1528">
        <f>IF(EH1528&lt;&gt;"",1,0)</f>
        <v/>
      </c>
      <c r="BB1528" t="inlineStr">
        <is>
          <t>WARREN-WARD 4</t>
        </is>
      </c>
    </row>
    <row r="1529">
      <c r="A1529" t="inlineStr">
        <is>
          <t>OH0015680595</t>
        </is>
      </c>
      <c r="B1529" t="n">
        <v>78</v>
      </c>
      <c r="C1529" t="n">
        <v>287184</v>
      </c>
      <c r="D1529" t="inlineStr">
        <is>
          <t>LEE</t>
        </is>
      </c>
      <c r="E1529" t="inlineStr">
        <is>
          <t>MELISSA</t>
        </is>
      </c>
      <c r="F1529">
        <f>CONCATENATE(D1529," ",LEFT(H1529,4),"T=",AU1529,"D=",AV1529,"R=",AW1529,"M=",AX1529,"L=",AY1529,"B=",AZ1529)</f>
        <v/>
      </c>
      <c r="G1529" t="inlineStr">
        <is>
          <t>PATRICE</t>
        </is>
      </c>
      <c r="I1529" t="inlineStr">
        <is>
          <t>1980-11-16</t>
        </is>
      </c>
      <c r="J1529" t="inlineStr">
        <is>
          <t>2017-07-17</t>
        </is>
      </c>
      <c r="K1529" t="inlineStr">
        <is>
          <t>ACTIVE</t>
        </is>
      </c>
      <c r="M1529" t="inlineStr">
        <is>
          <t>469 PLYMOUTH PL NE</t>
        </is>
      </c>
      <c r="N1529">
        <f>RIGHT(M1529,LEN(M1529)-FIND(" ",M1529))</f>
        <v/>
      </c>
      <c r="P1529" t="inlineStr">
        <is>
          <t>WARREN</t>
        </is>
      </c>
      <c r="Q1529" t="inlineStr">
        <is>
          <t>OH</t>
        </is>
      </c>
      <c r="R1529" t="n">
        <v>44483</v>
      </c>
      <c r="AD1529" t="inlineStr">
        <is>
          <t>TRUMBULL CAREER &amp; TECH CENTER</t>
        </is>
      </c>
      <c r="AE1529" t="inlineStr">
        <is>
          <t>WARREN CITY</t>
        </is>
      </c>
      <c r="AF1529" t="inlineStr">
        <is>
          <t>WARREN CITY SD</t>
        </is>
      </c>
      <c r="AH1529" t="n">
        <v>14</v>
      </c>
      <c r="AI1529" t="n">
        <v>11</v>
      </c>
      <c r="AN1529" t="inlineStr">
        <is>
          <t>WARREN</t>
        </is>
      </c>
      <c r="AO1529" t="inlineStr">
        <is>
          <t>WARREN CITY 4D</t>
        </is>
      </c>
      <c r="AP1529" t="inlineStr">
        <is>
          <t>78-P-ADL</t>
        </is>
      </c>
      <c r="AQ1529" t="n">
        <v>9</v>
      </c>
      <c r="AR1529" t="n">
        <v>64</v>
      </c>
      <c r="AS1529" t="n">
        <v>32</v>
      </c>
      <c r="AU1529">
        <f>COUNTA($BA$1529:$EH$1529)</f>
        <v/>
      </c>
      <c r="AV1529">
        <f>COUNTIF($BA$1529:$EH$1529,"D")</f>
        <v/>
      </c>
      <c r="AW1529">
        <f>COUNTIF($BA$1529:$EH$1529,"R")</f>
        <v/>
      </c>
      <c r="AX1529">
        <f>IF(BN1529="D",1,0)+IF(BO1529="D",1,0)+IF(BT1529="D",1,0)+IF(BU1529="D",1,0)+IF(BW1529="D",1,0)+IF(CC1529="D",1,0)+IF(CD1529="D",1,0)+IF(CE1529="D",1,0)+IF(CF1529="D",1,0)+IF(CL1529="D",1,0)+IF(CM1529="D",1,0)+IF(CQ1529="D",1,0)+IF(CR1529="D",1,0)+IF(CS1529="D",1,0)+IF(CW1529="D",1,0)+IF(CX1529="D",1,0)+IF(DD1529="D",1,0)+IF(DE1529="D",1,0)+IF(DJ1529="D",1,0)+IF(DK1529="D",1,0)+IF(DO1529="D",1,0)+IF(DP1529="D",1,0)+IF(DQ1529="D",1,0)+IF(DW1529="D",1,0)+IF(DZ1529="D",1,0)+IF(EH1529="D",1,0)</f>
        <v/>
      </c>
      <c r="AY1529">
        <f>IF(DJ1529&lt;&gt;"",1,0)+IF(DK1529&lt;&gt;"",1,0)+IF(DM1529&lt;&gt;"",1,0)+IF(DO1529&lt;&gt;"",1,0)+IF(DP1529&lt;&gt;"",1,0)+IF(DQ1529&lt;&gt;"",1,0)+IF(DS1529&lt;&gt;"",1,0)+IF(DT1529&lt;&gt;"",1,0)+IF(DV1529&lt;&gt;"",1,0)+IF(DW1529&lt;&gt;"",1,0)+IF(DX1529&lt;&gt;"",1,0)+IF(DY1529&lt;&gt;"",1,0)+IF(DZ1529&lt;&gt;"",1,0)+IF(EB1529&lt;&gt;"",1,0)+IF(EC1529&lt;&gt;"",1,0)+IF(ED1529&lt;&gt;"",1,0)+IF(EG1529&lt;&gt;"",1,0)+IF(EH1529&lt;&gt;"",1,0)</f>
        <v/>
      </c>
      <c r="AZ1529">
        <f>IF(EH1529&lt;&gt;"",1,0)</f>
        <v/>
      </c>
      <c r="BB1529" t="inlineStr">
        <is>
          <t>WARREN-WARD 4</t>
        </is>
      </c>
      <c r="BL1529" t="inlineStr">
        <is>
          <t>X</t>
        </is>
      </c>
      <c r="CA1529" t="inlineStr">
        <is>
          <t>X</t>
        </is>
      </c>
      <c r="CL1529" t="inlineStr">
        <is>
          <t>D</t>
        </is>
      </c>
      <c r="CP1529" t="inlineStr">
        <is>
          <t>X</t>
        </is>
      </c>
      <c r="CY1529" t="inlineStr">
        <is>
          <t>X</t>
        </is>
      </c>
      <c r="DC1529" t="inlineStr">
        <is>
          <t>X</t>
        </is>
      </c>
      <c r="DI1529" t="inlineStr">
        <is>
          <t>X</t>
        </is>
      </c>
      <c r="DL1529" t="inlineStr">
        <is>
          <t>X</t>
        </is>
      </c>
      <c r="DN1529" t="inlineStr">
        <is>
          <t>X</t>
        </is>
      </c>
    </row>
    <row r="1530">
      <c r="A1530" t="inlineStr">
        <is>
          <t>OH0015766539</t>
        </is>
      </c>
      <c r="B1530" t="n">
        <v>78</v>
      </c>
      <c r="C1530" t="n">
        <v>325851</v>
      </c>
      <c r="D1530" t="inlineStr">
        <is>
          <t>ADOVASIO</t>
        </is>
      </c>
      <c r="E1530" t="inlineStr">
        <is>
          <t>JAMES</t>
        </is>
      </c>
      <c r="F1530">
        <f>CONCATENATE(D1530," ",LEFT(H1530,4),"T=",AU1530,"D=",AV1530,"R=",AW1530,"M=",AX1530,"L=",AY1530,"B=",AZ1530)</f>
        <v/>
      </c>
      <c r="G1530" t="inlineStr">
        <is>
          <t>E</t>
        </is>
      </c>
      <c r="I1530" t="inlineStr">
        <is>
          <t>1955-07-24</t>
        </is>
      </c>
      <c r="J1530" t="inlineStr">
        <is>
          <t>2017-03-02</t>
        </is>
      </c>
      <c r="K1530" t="inlineStr">
        <is>
          <t>ACTIVE</t>
        </is>
      </c>
      <c r="M1530" t="inlineStr">
        <is>
          <t>318 LOGAN AVE SE</t>
        </is>
      </c>
      <c r="N1530">
        <f>RIGHT(M1530,LEN(M1530)-FIND(" ",M1530))</f>
        <v/>
      </c>
      <c r="P1530" t="inlineStr">
        <is>
          <t>WARREN</t>
        </is>
      </c>
      <c r="Q1530" t="inlineStr">
        <is>
          <t>OH</t>
        </is>
      </c>
      <c r="R1530" t="n">
        <v>44483</v>
      </c>
      <c r="AD1530" t="inlineStr">
        <is>
          <t>TRUMBULL CAREER &amp; TECH CENTER</t>
        </is>
      </c>
      <c r="AE1530" t="inlineStr">
        <is>
          <t>WARREN CITY</t>
        </is>
      </c>
      <c r="AF1530" t="inlineStr">
        <is>
          <t>WARREN CITY SD</t>
        </is>
      </c>
      <c r="AH1530" t="n">
        <v>14</v>
      </c>
      <c r="AI1530" t="n">
        <v>11</v>
      </c>
      <c r="AN1530" t="inlineStr">
        <is>
          <t>WARREN</t>
        </is>
      </c>
      <c r="AO1530" t="inlineStr">
        <is>
          <t>WARREN CITY 4D</t>
        </is>
      </c>
      <c r="AP1530" t="inlineStr">
        <is>
          <t>78-P-ADL</t>
        </is>
      </c>
      <c r="AQ1530" t="n">
        <v>9</v>
      </c>
      <c r="AR1530" t="n">
        <v>64</v>
      </c>
      <c r="AS1530" t="n">
        <v>32</v>
      </c>
      <c r="AU1530">
        <f>COUNTA($BA$1530:$EH$1530)</f>
        <v/>
      </c>
      <c r="AV1530">
        <f>COUNTIF($BA$1530:$EH$1530,"D")</f>
        <v/>
      </c>
      <c r="AW1530">
        <f>COUNTIF($BA$1530:$EH$1530,"R")</f>
        <v/>
      </c>
      <c r="AX1530">
        <f>IF(BN1530="D",1,0)+IF(BO1530="D",1,0)+IF(BT1530="D",1,0)+IF(BU1530="D",1,0)+IF(BW1530="D",1,0)+IF(CC1530="D",1,0)+IF(CD1530="D",1,0)+IF(CE1530="D",1,0)+IF(CF1530="D",1,0)+IF(CL1530="D",1,0)+IF(CM1530="D",1,0)+IF(CQ1530="D",1,0)+IF(CR1530="D",1,0)+IF(CS1530="D",1,0)+IF(CW1530="D",1,0)+IF(CX1530="D",1,0)+IF(DD1530="D",1,0)+IF(DE1530="D",1,0)+IF(DJ1530="D",1,0)+IF(DK1530="D",1,0)+IF(DO1530="D",1,0)+IF(DP1530="D",1,0)+IF(DQ1530="D",1,0)+IF(DW1530="D",1,0)+IF(DZ1530="D",1,0)+IF(EH1530="D",1,0)</f>
        <v/>
      </c>
      <c r="AY1530">
        <f>IF(DJ1530&lt;&gt;"",1,0)+IF(DK1530&lt;&gt;"",1,0)+IF(DM1530&lt;&gt;"",1,0)+IF(DO1530&lt;&gt;"",1,0)+IF(DP1530&lt;&gt;"",1,0)+IF(DQ1530&lt;&gt;"",1,0)+IF(DS1530&lt;&gt;"",1,0)+IF(DT1530&lt;&gt;"",1,0)+IF(DV1530&lt;&gt;"",1,0)+IF(DW1530&lt;&gt;"",1,0)+IF(DX1530&lt;&gt;"",1,0)+IF(DY1530&lt;&gt;"",1,0)+IF(DZ1530&lt;&gt;"",1,0)+IF(EB1530&lt;&gt;"",1,0)+IF(EC1530&lt;&gt;"",1,0)+IF(ED1530&lt;&gt;"",1,0)+IF(EG1530&lt;&gt;"",1,0)+IF(EH1530&lt;&gt;"",1,0)</f>
        <v/>
      </c>
      <c r="AZ1530">
        <f>IF(EH1530&lt;&gt;"",1,0)</f>
        <v/>
      </c>
      <c r="BB1530" t="inlineStr">
        <is>
          <t>WARREN-WARD 4</t>
        </is>
      </c>
      <c r="BL1530" t="inlineStr">
        <is>
          <t>X</t>
        </is>
      </c>
      <c r="CK1530" t="inlineStr">
        <is>
          <t>X</t>
        </is>
      </c>
      <c r="CL1530" t="inlineStr">
        <is>
          <t>D</t>
        </is>
      </c>
      <c r="CN1530" t="inlineStr">
        <is>
          <t>X</t>
        </is>
      </c>
      <c r="CZ1530" t="inlineStr">
        <is>
          <t>D</t>
        </is>
      </c>
      <c r="DC1530" t="inlineStr">
        <is>
          <t>X</t>
        </is>
      </c>
    </row>
    <row r="1531">
      <c r="A1531" t="inlineStr">
        <is>
          <t>OH0015755967</t>
        </is>
      </c>
      <c r="B1531" t="n">
        <v>78</v>
      </c>
      <c r="C1531" t="n">
        <v>294046</v>
      </c>
      <c r="D1531" t="inlineStr">
        <is>
          <t>LOMAX</t>
        </is>
      </c>
      <c r="E1531" t="inlineStr">
        <is>
          <t>JASON</t>
        </is>
      </c>
      <c r="F1531">
        <f>CONCATENATE(D1531," ",LEFT(H1531,4),"T=",AU1531,"D=",AV1531,"R=",AW1531,"M=",AX1531,"L=",AY1531,"B=",AZ1531)</f>
        <v/>
      </c>
      <c r="G1531" t="inlineStr">
        <is>
          <t>M</t>
        </is>
      </c>
      <c r="I1531" t="inlineStr">
        <is>
          <t>1979-02-13</t>
        </is>
      </c>
      <c r="J1531" t="inlineStr">
        <is>
          <t>2024-11-05</t>
        </is>
      </c>
      <c r="K1531" t="inlineStr">
        <is>
          <t>ACTIVE</t>
        </is>
      </c>
      <c r="M1531" t="inlineStr">
        <is>
          <t>255 CHARLES AVE NE</t>
        </is>
      </c>
      <c r="N1531">
        <f>RIGHT(M1531,LEN(M1531)-FIND(" ",M1531))</f>
        <v/>
      </c>
      <c r="P1531" t="inlineStr">
        <is>
          <t>WARREN</t>
        </is>
      </c>
      <c r="Q1531" t="inlineStr">
        <is>
          <t>OH</t>
        </is>
      </c>
      <c r="R1531" t="n">
        <v>44483</v>
      </c>
      <c r="AD1531" t="inlineStr">
        <is>
          <t>TRUMBULL CAREER &amp; TECH CENTER</t>
        </is>
      </c>
      <c r="AE1531" t="inlineStr">
        <is>
          <t>WARREN CITY</t>
        </is>
      </c>
      <c r="AF1531" t="inlineStr">
        <is>
          <t>WARREN CITY SD</t>
        </is>
      </c>
      <c r="AH1531" t="n">
        <v>14</v>
      </c>
      <c r="AI1531" t="n">
        <v>11</v>
      </c>
      <c r="AN1531" t="inlineStr">
        <is>
          <t>WARREN</t>
        </is>
      </c>
      <c r="AO1531" t="inlineStr">
        <is>
          <t>WARREN CITY 4D</t>
        </is>
      </c>
      <c r="AP1531" t="inlineStr">
        <is>
          <t>78-P-ADL</t>
        </is>
      </c>
      <c r="AQ1531" t="n">
        <v>9</v>
      </c>
      <c r="AR1531" t="n">
        <v>64</v>
      </c>
      <c r="AS1531" t="n">
        <v>32</v>
      </c>
      <c r="AU1531">
        <f>COUNTA($BA$1531:$EH$1531)</f>
        <v/>
      </c>
      <c r="AV1531">
        <f>COUNTIF($BA$1531:$EH$1531,"D")</f>
        <v/>
      </c>
      <c r="AW1531">
        <f>COUNTIF($BA$1531:$EH$1531,"R")</f>
        <v/>
      </c>
      <c r="AX1531">
        <f>IF(BN1531="D",1,0)+IF(BO1531="D",1,0)+IF(BT1531="D",1,0)+IF(BU1531="D",1,0)+IF(BW1531="D",1,0)+IF(CC1531="D",1,0)+IF(CD1531="D",1,0)+IF(CE1531="D",1,0)+IF(CF1531="D",1,0)+IF(CL1531="D",1,0)+IF(CM1531="D",1,0)+IF(CQ1531="D",1,0)+IF(CR1531="D",1,0)+IF(CS1531="D",1,0)+IF(CW1531="D",1,0)+IF(CX1531="D",1,0)+IF(DD1531="D",1,0)+IF(DE1531="D",1,0)+IF(DJ1531="D",1,0)+IF(DK1531="D",1,0)+IF(DO1531="D",1,0)+IF(DP1531="D",1,0)+IF(DQ1531="D",1,0)+IF(DW1531="D",1,0)+IF(DZ1531="D",1,0)+IF(EH1531="D",1,0)</f>
        <v/>
      </c>
      <c r="AY1531">
        <f>IF(DJ1531&lt;&gt;"",1,0)+IF(DK1531&lt;&gt;"",1,0)+IF(DM1531&lt;&gt;"",1,0)+IF(DO1531&lt;&gt;"",1,0)+IF(DP1531&lt;&gt;"",1,0)+IF(DQ1531&lt;&gt;"",1,0)+IF(DS1531&lt;&gt;"",1,0)+IF(DT1531&lt;&gt;"",1,0)+IF(DV1531&lt;&gt;"",1,0)+IF(DW1531&lt;&gt;"",1,0)+IF(DX1531&lt;&gt;"",1,0)+IF(DY1531&lt;&gt;"",1,0)+IF(DZ1531&lt;&gt;"",1,0)+IF(EB1531&lt;&gt;"",1,0)+IF(EC1531&lt;&gt;"",1,0)+IF(ED1531&lt;&gt;"",1,0)+IF(EG1531&lt;&gt;"",1,0)+IF(EH1531&lt;&gt;"",1,0)</f>
        <v/>
      </c>
      <c r="AZ1531">
        <f>IF(EH1531&lt;&gt;"",1,0)</f>
        <v/>
      </c>
      <c r="BB1531" t="inlineStr">
        <is>
          <t>WARREN-WARD 4</t>
        </is>
      </c>
      <c r="BL1531" t="inlineStr">
        <is>
          <t>X</t>
        </is>
      </c>
      <c r="CZ1531" t="inlineStr">
        <is>
          <t>D</t>
        </is>
      </c>
      <c r="DC1531" t="inlineStr">
        <is>
          <t>X</t>
        </is>
      </c>
      <c r="DI1531" t="inlineStr">
        <is>
          <t>X</t>
        </is>
      </c>
      <c r="DN1531" t="inlineStr">
        <is>
          <t>X</t>
        </is>
      </c>
      <c r="EF1531" t="inlineStr">
        <is>
          <t>X</t>
        </is>
      </c>
    </row>
    <row r="1532">
      <c r="A1532" t="inlineStr">
        <is>
          <t>OH0023151155</t>
        </is>
      </c>
      <c r="B1532" t="n">
        <v>78</v>
      </c>
      <c r="C1532" t="n">
        <v>407626</v>
      </c>
      <c r="D1532" t="inlineStr">
        <is>
          <t>DESANTIS</t>
        </is>
      </c>
      <c r="E1532" t="inlineStr">
        <is>
          <t>MICHAEL</t>
        </is>
      </c>
      <c r="F1532">
        <f>CONCATENATE(D1532," ",LEFT(H1532,4),"T=",AU1532,"D=",AV1532,"R=",AW1532,"M=",AX1532,"L=",AY1532,"B=",AZ1532)</f>
        <v/>
      </c>
      <c r="G1532" t="inlineStr">
        <is>
          <t>ALLEN</t>
        </is>
      </c>
      <c r="I1532" t="inlineStr">
        <is>
          <t>1985-05-31</t>
        </is>
      </c>
      <c r="J1532" t="inlineStr">
        <is>
          <t>2024-11-05</t>
        </is>
      </c>
      <c r="K1532" t="inlineStr">
        <is>
          <t>ACTIVE</t>
        </is>
      </c>
      <c r="M1532" t="inlineStr">
        <is>
          <t>928 SOUTH ST SE</t>
        </is>
      </c>
      <c r="N1532">
        <f>RIGHT(M1532,LEN(M1532)-FIND(" ",M1532))</f>
        <v/>
      </c>
      <c r="P1532" t="inlineStr">
        <is>
          <t>WARREN</t>
        </is>
      </c>
      <c r="Q1532" t="inlineStr">
        <is>
          <t>OH</t>
        </is>
      </c>
      <c r="R1532" t="n">
        <v>44483</v>
      </c>
      <c r="AD1532" t="inlineStr">
        <is>
          <t>TRUMBULL CAREER &amp; TECH CENTER</t>
        </is>
      </c>
      <c r="AE1532" t="inlineStr">
        <is>
          <t>WARREN CITY</t>
        </is>
      </c>
      <c r="AF1532" t="inlineStr">
        <is>
          <t>WARREN CITY SD</t>
        </is>
      </c>
      <c r="AH1532" t="n">
        <v>14</v>
      </c>
      <c r="AI1532" t="n">
        <v>11</v>
      </c>
      <c r="AN1532" t="inlineStr">
        <is>
          <t>WARREN</t>
        </is>
      </c>
      <c r="AO1532" t="inlineStr">
        <is>
          <t>WARREN CITY 4D</t>
        </is>
      </c>
      <c r="AP1532" t="inlineStr">
        <is>
          <t>78-P-ADL</t>
        </is>
      </c>
      <c r="AQ1532" t="n">
        <v>9</v>
      </c>
      <c r="AR1532" t="n">
        <v>64</v>
      </c>
      <c r="AS1532" t="n">
        <v>32</v>
      </c>
      <c r="AU1532">
        <f>COUNTA($BA$1532:$EH$1532)</f>
        <v/>
      </c>
      <c r="AV1532">
        <f>COUNTIF($BA$1532:$EH$1532,"D")</f>
        <v/>
      </c>
      <c r="AW1532">
        <f>COUNTIF($BA$1532:$EH$1532,"R")</f>
        <v/>
      </c>
      <c r="AX1532">
        <f>IF(BN1532="D",1,0)+IF(BO1532="D",1,0)+IF(BT1532="D",1,0)+IF(BU1532="D",1,0)+IF(BW1532="D",1,0)+IF(CC1532="D",1,0)+IF(CD1532="D",1,0)+IF(CE1532="D",1,0)+IF(CF1532="D",1,0)+IF(CL1532="D",1,0)+IF(CM1532="D",1,0)+IF(CQ1532="D",1,0)+IF(CR1532="D",1,0)+IF(CS1532="D",1,0)+IF(CW1532="D",1,0)+IF(CX1532="D",1,0)+IF(DD1532="D",1,0)+IF(DE1532="D",1,0)+IF(DJ1532="D",1,0)+IF(DK1532="D",1,0)+IF(DO1532="D",1,0)+IF(DP1532="D",1,0)+IF(DQ1532="D",1,0)+IF(DW1532="D",1,0)+IF(DZ1532="D",1,0)+IF(EH1532="D",1,0)</f>
        <v/>
      </c>
      <c r="AY1532">
        <f>IF(DJ1532&lt;&gt;"",1,0)+IF(DK1532&lt;&gt;"",1,0)+IF(DM1532&lt;&gt;"",1,0)+IF(DO1532&lt;&gt;"",1,0)+IF(DP1532&lt;&gt;"",1,0)+IF(DQ1532&lt;&gt;"",1,0)+IF(DS1532&lt;&gt;"",1,0)+IF(DT1532&lt;&gt;"",1,0)+IF(DV1532&lt;&gt;"",1,0)+IF(DW1532&lt;&gt;"",1,0)+IF(DX1532&lt;&gt;"",1,0)+IF(DY1532&lt;&gt;"",1,0)+IF(DZ1532&lt;&gt;"",1,0)+IF(EB1532&lt;&gt;"",1,0)+IF(EC1532&lt;&gt;"",1,0)+IF(ED1532&lt;&gt;"",1,0)+IF(EG1532&lt;&gt;"",1,0)+IF(EH1532&lt;&gt;"",1,0)</f>
        <v/>
      </c>
      <c r="AZ1532">
        <f>IF(EH1532&lt;&gt;"",1,0)</f>
        <v/>
      </c>
      <c r="BB1532" t="inlineStr">
        <is>
          <t>WARREN-WARD 4</t>
        </is>
      </c>
      <c r="EF1532" t="inlineStr">
        <is>
          <t>X</t>
        </is>
      </c>
    </row>
    <row r="1533">
      <c r="A1533" t="inlineStr">
        <is>
          <t>OH0025453334</t>
        </is>
      </c>
      <c r="B1533" t="n">
        <v>78</v>
      </c>
      <c r="C1533" t="n">
        <v>444962</v>
      </c>
      <c r="D1533" t="inlineStr">
        <is>
          <t>DUKES</t>
        </is>
      </c>
      <c r="E1533" t="inlineStr">
        <is>
          <t>ERIC</t>
        </is>
      </c>
      <c r="F1533">
        <f>CONCATENATE(D1533," ",LEFT(H1533,4),"T=",AU1533,"D=",AV1533,"R=",AW1533,"M=",AX1533,"L=",AY1533,"B=",AZ1533)</f>
        <v/>
      </c>
      <c r="I1533" t="inlineStr">
        <is>
          <t>2002-07-28</t>
        </is>
      </c>
      <c r="J1533" t="inlineStr">
        <is>
          <t>2024-11-05</t>
        </is>
      </c>
      <c r="K1533" t="inlineStr">
        <is>
          <t>ACTIVE</t>
        </is>
      </c>
      <c r="M1533" t="inlineStr">
        <is>
          <t>1240 WOODLAND AVE NE</t>
        </is>
      </c>
      <c r="N1533">
        <f>RIGHT(M1533,LEN(M1533)-FIND(" ",M1533))</f>
        <v/>
      </c>
      <c r="P1533" t="inlineStr">
        <is>
          <t>WARREN</t>
        </is>
      </c>
      <c r="Q1533" t="inlineStr">
        <is>
          <t>OH</t>
        </is>
      </c>
      <c r="R1533" t="n">
        <v>44483</v>
      </c>
      <c r="AD1533" t="inlineStr">
        <is>
          <t>TRUMBULL CAREER &amp; TECH CENTER</t>
        </is>
      </c>
      <c r="AE1533" t="inlineStr">
        <is>
          <t>WARREN CITY</t>
        </is>
      </c>
      <c r="AF1533" t="inlineStr">
        <is>
          <t>WARREN CITY SD</t>
        </is>
      </c>
      <c r="AH1533" t="n">
        <v>14</v>
      </c>
      <c r="AI1533" t="n">
        <v>11</v>
      </c>
      <c r="AN1533" t="inlineStr">
        <is>
          <t>WARREN</t>
        </is>
      </c>
      <c r="AO1533" t="inlineStr">
        <is>
          <t>WARREN CITY 4D</t>
        </is>
      </c>
      <c r="AP1533" t="inlineStr">
        <is>
          <t>78-P-ADL</t>
        </is>
      </c>
      <c r="AQ1533" t="n">
        <v>9</v>
      </c>
      <c r="AR1533" t="n">
        <v>64</v>
      </c>
      <c r="AS1533" t="n">
        <v>32</v>
      </c>
      <c r="AU1533">
        <f>COUNTA($BA$1533:$EH$1533)</f>
        <v/>
      </c>
      <c r="AV1533">
        <f>COUNTIF($BA$1533:$EH$1533,"D")</f>
        <v/>
      </c>
      <c r="AW1533">
        <f>COUNTIF($BA$1533:$EH$1533,"R")</f>
        <v/>
      </c>
      <c r="AX1533">
        <f>IF(BN1533="D",1,0)+IF(BO1533="D",1,0)+IF(BT1533="D",1,0)+IF(BU1533="D",1,0)+IF(BW1533="D",1,0)+IF(CC1533="D",1,0)+IF(CD1533="D",1,0)+IF(CE1533="D",1,0)+IF(CF1533="D",1,0)+IF(CL1533="D",1,0)+IF(CM1533="D",1,0)+IF(CQ1533="D",1,0)+IF(CR1533="D",1,0)+IF(CS1533="D",1,0)+IF(CW1533="D",1,0)+IF(CX1533="D",1,0)+IF(DD1533="D",1,0)+IF(DE1533="D",1,0)+IF(DJ1533="D",1,0)+IF(DK1533="D",1,0)+IF(DO1533="D",1,0)+IF(DP1533="D",1,0)+IF(DQ1533="D",1,0)+IF(DW1533="D",1,0)+IF(DZ1533="D",1,0)+IF(EH1533="D",1,0)</f>
        <v/>
      </c>
      <c r="AY1533">
        <f>IF(DJ1533&lt;&gt;"",1,0)+IF(DK1533&lt;&gt;"",1,0)+IF(DM1533&lt;&gt;"",1,0)+IF(DO1533&lt;&gt;"",1,0)+IF(DP1533&lt;&gt;"",1,0)+IF(DQ1533&lt;&gt;"",1,0)+IF(DS1533&lt;&gt;"",1,0)+IF(DT1533&lt;&gt;"",1,0)+IF(DV1533&lt;&gt;"",1,0)+IF(DW1533&lt;&gt;"",1,0)+IF(DX1533&lt;&gt;"",1,0)+IF(DY1533&lt;&gt;"",1,0)+IF(DZ1533&lt;&gt;"",1,0)+IF(EB1533&lt;&gt;"",1,0)+IF(EC1533&lt;&gt;"",1,0)+IF(ED1533&lt;&gt;"",1,0)+IF(EG1533&lt;&gt;"",1,0)+IF(EH1533&lt;&gt;"",1,0)</f>
        <v/>
      </c>
      <c r="AZ1533">
        <f>IF(EH1533&lt;&gt;"",1,0)</f>
        <v/>
      </c>
      <c r="BB1533" t="inlineStr">
        <is>
          <t>WARREN-WARD 4</t>
        </is>
      </c>
      <c r="DN1533" t="inlineStr">
        <is>
          <t>X</t>
        </is>
      </c>
      <c r="EF1533" t="inlineStr">
        <is>
          <t>X</t>
        </is>
      </c>
    </row>
    <row r="1534">
      <c r="A1534" t="inlineStr">
        <is>
          <t>OH0027499210</t>
        </is>
      </c>
      <c r="B1534" t="n">
        <v>78</v>
      </c>
      <c r="C1534" t="n">
        <v>487170</v>
      </c>
      <c r="D1534" t="inlineStr">
        <is>
          <t>WALKER</t>
        </is>
      </c>
      <c r="E1534" t="inlineStr">
        <is>
          <t>TAMARCUS</t>
        </is>
      </c>
      <c r="F1534">
        <f>CONCATENATE(D1534," ",LEFT(H1534,4),"T=",AU1534,"D=",AV1534,"R=",AW1534,"M=",AX1534,"L=",AY1534,"B=",AZ1534)</f>
        <v/>
      </c>
      <c r="G1534" t="inlineStr">
        <is>
          <t>DELQWON</t>
        </is>
      </c>
      <c r="I1534" t="inlineStr">
        <is>
          <t>2002-10-27</t>
        </is>
      </c>
      <c r="J1534" t="inlineStr">
        <is>
          <t>2024-08-01</t>
        </is>
      </c>
      <c r="K1534" t="inlineStr">
        <is>
          <t>ACTIVE</t>
        </is>
      </c>
      <c r="M1534" t="inlineStr">
        <is>
          <t>232 LAWRENCE AVE NE</t>
        </is>
      </c>
      <c r="N1534">
        <f>RIGHT(M1534,LEN(M1534)-FIND(" ",M1534))</f>
        <v/>
      </c>
      <c r="P1534" t="inlineStr">
        <is>
          <t>WARREN</t>
        </is>
      </c>
      <c r="Q1534" t="inlineStr">
        <is>
          <t>OH</t>
        </is>
      </c>
      <c r="R1534" t="n">
        <v>44483</v>
      </c>
      <c r="AD1534" t="inlineStr">
        <is>
          <t>TRUMBULL CAREER &amp; TECH CENTER</t>
        </is>
      </c>
      <c r="AE1534" t="inlineStr">
        <is>
          <t>WARREN CITY</t>
        </is>
      </c>
      <c r="AF1534" t="inlineStr">
        <is>
          <t>WARREN CITY SD</t>
        </is>
      </c>
      <c r="AH1534" t="n">
        <v>14</v>
      </c>
      <c r="AI1534" t="n">
        <v>11</v>
      </c>
      <c r="AN1534" t="inlineStr">
        <is>
          <t>WARREN</t>
        </is>
      </c>
      <c r="AO1534" t="inlineStr">
        <is>
          <t>WARREN CITY 4D</t>
        </is>
      </c>
      <c r="AP1534" t="inlineStr">
        <is>
          <t>78-P-ADL</t>
        </is>
      </c>
      <c r="AQ1534" t="n">
        <v>9</v>
      </c>
      <c r="AR1534" t="n">
        <v>64</v>
      </c>
      <c r="AS1534" t="n">
        <v>32</v>
      </c>
      <c r="AU1534">
        <f>COUNTA($BA$1534:$EH$1534)</f>
        <v/>
      </c>
      <c r="AV1534">
        <f>COUNTIF($BA$1534:$EH$1534,"D")</f>
        <v/>
      </c>
      <c r="AW1534">
        <f>COUNTIF($BA$1534:$EH$1534,"R")</f>
        <v/>
      </c>
      <c r="AX1534">
        <f>IF(BN1534="D",1,0)+IF(BO1534="D",1,0)+IF(BT1534="D",1,0)+IF(BU1534="D",1,0)+IF(BW1534="D",1,0)+IF(CC1534="D",1,0)+IF(CD1534="D",1,0)+IF(CE1534="D",1,0)+IF(CF1534="D",1,0)+IF(CL1534="D",1,0)+IF(CM1534="D",1,0)+IF(CQ1534="D",1,0)+IF(CR1534="D",1,0)+IF(CS1534="D",1,0)+IF(CW1534="D",1,0)+IF(CX1534="D",1,0)+IF(DD1534="D",1,0)+IF(DE1534="D",1,0)+IF(DJ1534="D",1,0)+IF(DK1534="D",1,0)+IF(DO1534="D",1,0)+IF(DP1534="D",1,0)+IF(DQ1534="D",1,0)+IF(DW1534="D",1,0)+IF(DZ1534="D",1,0)+IF(EH1534="D",1,0)</f>
        <v/>
      </c>
      <c r="AY1534">
        <f>IF(DJ1534&lt;&gt;"",1,0)+IF(DK1534&lt;&gt;"",1,0)+IF(DM1534&lt;&gt;"",1,0)+IF(DO1534&lt;&gt;"",1,0)+IF(DP1534&lt;&gt;"",1,0)+IF(DQ1534&lt;&gt;"",1,0)+IF(DS1534&lt;&gt;"",1,0)+IF(DT1534&lt;&gt;"",1,0)+IF(DV1534&lt;&gt;"",1,0)+IF(DW1534&lt;&gt;"",1,0)+IF(DX1534&lt;&gt;"",1,0)+IF(DY1534&lt;&gt;"",1,0)+IF(DZ1534&lt;&gt;"",1,0)+IF(EB1534&lt;&gt;"",1,0)+IF(EC1534&lt;&gt;"",1,0)+IF(ED1534&lt;&gt;"",1,0)+IF(EG1534&lt;&gt;"",1,0)+IF(EH1534&lt;&gt;"",1,0)</f>
        <v/>
      </c>
      <c r="AZ1534">
        <f>IF(EH1534&lt;&gt;"",1,0)</f>
        <v/>
      </c>
      <c r="BB1534" t="inlineStr">
        <is>
          <t>WARREN-WARD 4</t>
        </is>
      </c>
    </row>
    <row r="1535">
      <c r="A1535" t="inlineStr">
        <is>
          <t>OH0026063562</t>
        </is>
      </c>
      <c r="B1535" t="n">
        <v>78</v>
      </c>
      <c r="C1535" t="n">
        <v>455315</v>
      </c>
      <c r="D1535" t="inlineStr">
        <is>
          <t>WILSON</t>
        </is>
      </c>
      <c r="E1535" t="inlineStr">
        <is>
          <t>RENEE</t>
        </is>
      </c>
      <c r="F1535">
        <f>CONCATENATE(D1535," ",LEFT(H1535,4),"T=",AU1535,"D=",AV1535,"R=",AW1535,"M=",AX1535,"L=",AY1535,"B=",AZ1535)</f>
        <v/>
      </c>
      <c r="G1535" t="inlineStr">
        <is>
          <t>EILIZABETH</t>
        </is>
      </c>
      <c r="I1535" t="inlineStr">
        <is>
          <t>1960-11-07</t>
        </is>
      </c>
      <c r="J1535" t="inlineStr">
        <is>
          <t>2020-11-03</t>
        </is>
      </c>
      <c r="K1535" t="inlineStr">
        <is>
          <t>ACTIVE</t>
        </is>
      </c>
      <c r="M1535" t="inlineStr">
        <is>
          <t>504 HIGH ST NE</t>
        </is>
      </c>
      <c r="N1535">
        <f>RIGHT(M1535,LEN(M1535)-FIND(" ",M1535))</f>
        <v/>
      </c>
      <c r="P1535" t="inlineStr">
        <is>
          <t>WARREN</t>
        </is>
      </c>
      <c r="Q1535" t="inlineStr">
        <is>
          <t>OH</t>
        </is>
      </c>
      <c r="R1535" t="n">
        <v>44483</v>
      </c>
      <c r="AD1535" t="inlineStr">
        <is>
          <t>TRUMBULL CAREER &amp; TECH CENTER</t>
        </is>
      </c>
      <c r="AE1535" t="inlineStr">
        <is>
          <t>WARREN CITY</t>
        </is>
      </c>
      <c r="AF1535" t="inlineStr">
        <is>
          <t>WARREN CITY SD</t>
        </is>
      </c>
      <c r="AH1535" t="n">
        <v>14</v>
      </c>
      <c r="AI1535" t="n">
        <v>11</v>
      </c>
      <c r="AN1535" t="inlineStr">
        <is>
          <t>WARREN</t>
        </is>
      </c>
      <c r="AO1535" t="inlineStr">
        <is>
          <t>WARREN CITY 4D</t>
        </is>
      </c>
      <c r="AP1535" t="inlineStr">
        <is>
          <t>78-P-ADL</t>
        </is>
      </c>
      <c r="AQ1535" t="n">
        <v>9</v>
      </c>
      <c r="AR1535" t="n">
        <v>64</v>
      </c>
      <c r="AS1535" t="n">
        <v>32</v>
      </c>
      <c r="AU1535">
        <f>COUNTA($BA$1535:$EH$1535)</f>
        <v/>
      </c>
      <c r="AV1535">
        <f>COUNTIF($BA$1535:$EH$1535,"D")</f>
        <v/>
      </c>
      <c r="AW1535">
        <f>COUNTIF($BA$1535:$EH$1535,"R")</f>
        <v/>
      </c>
      <c r="AX1535">
        <f>IF(BN1535="D",1,0)+IF(BO1535="D",1,0)+IF(BT1535="D",1,0)+IF(BU1535="D",1,0)+IF(BW1535="D",1,0)+IF(CC1535="D",1,0)+IF(CD1535="D",1,0)+IF(CE1535="D",1,0)+IF(CF1535="D",1,0)+IF(CL1535="D",1,0)+IF(CM1535="D",1,0)+IF(CQ1535="D",1,0)+IF(CR1535="D",1,0)+IF(CS1535="D",1,0)+IF(CW1535="D",1,0)+IF(CX1535="D",1,0)+IF(DD1535="D",1,0)+IF(DE1535="D",1,0)+IF(DJ1535="D",1,0)+IF(DK1535="D",1,0)+IF(DO1535="D",1,0)+IF(DP1535="D",1,0)+IF(DQ1535="D",1,0)+IF(DW1535="D",1,0)+IF(DZ1535="D",1,0)+IF(EH1535="D",1,0)</f>
        <v/>
      </c>
      <c r="AY1535">
        <f>IF(DJ1535&lt;&gt;"",1,0)+IF(DK1535&lt;&gt;"",1,0)+IF(DM1535&lt;&gt;"",1,0)+IF(DO1535&lt;&gt;"",1,0)+IF(DP1535&lt;&gt;"",1,0)+IF(DQ1535&lt;&gt;"",1,0)+IF(DS1535&lt;&gt;"",1,0)+IF(DT1535&lt;&gt;"",1,0)+IF(DV1535&lt;&gt;"",1,0)+IF(DW1535&lt;&gt;"",1,0)+IF(DX1535&lt;&gt;"",1,0)+IF(DY1535&lt;&gt;"",1,0)+IF(DZ1535&lt;&gt;"",1,0)+IF(EB1535&lt;&gt;"",1,0)+IF(EC1535&lt;&gt;"",1,0)+IF(ED1535&lt;&gt;"",1,0)+IF(EG1535&lt;&gt;"",1,0)+IF(EH1535&lt;&gt;"",1,0)</f>
        <v/>
      </c>
      <c r="AZ1535">
        <f>IF(EH1535&lt;&gt;"",1,0)</f>
        <v/>
      </c>
      <c r="BB1535" t="inlineStr">
        <is>
          <t>WARREN-WARD 4</t>
        </is>
      </c>
      <c r="BC1535" t="inlineStr">
        <is>
          <t>X</t>
        </is>
      </c>
      <c r="BD1535" t="inlineStr">
        <is>
          <t>X</t>
        </is>
      </c>
      <c r="DN1535" t="inlineStr">
        <is>
          <t>X</t>
        </is>
      </c>
      <c r="EA1535" t="inlineStr">
        <is>
          <t>X</t>
        </is>
      </c>
      <c r="EF1535" t="inlineStr">
        <is>
          <t>X</t>
        </is>
      </c>
    </row>
    <row r="1536">
      <c r="A1536" t="inlineStr">
        <is>
          <t>OH0022334626</t>
        </is>
      </c>
      <c r="B1536" t="n">
        <v>78</v>
      </c>
      <c r="C1536" t="n">
        <v>394729</v>
      </c>
      <c r="D1536" t="inlineStr">
        <is>
          <t>BELLOWS</t>
        </is>
      </c>
      <c r="E1536" t="inlineStr">
        <is>
          <t>CHARLES</t>
        </is>
      </c>
      <c r="F1536">
        <f>CONCATENATE(D1536," ",LEFT(H1536,4),"T=",AU1536,"D=",AV1536,"R=",AW1536,"M=",AX1536,"L=",AY1536,"B=",AZ1536)</f>
        <v/>
      </c>
      <c r="G1536" t="inlineStr">
        <is>
          <t>W</t>
        </is>
      </c>
      <c r="I1536" t="inlineStr">
        <is>
          <t>1953-01-30</t>
        </is>
      </c>
      <c r="J1536" t="inlineStr">
        <is>
          <t>2016-09-26</t>
        </is>
      </c>
      <c r="K1536" t="inlineStr">
        <is>
          <t>ACTIVE</t>
        </is>
      </c>
      <c r="L1536" t="inlineStr">
        <is>
          <t>D</t>
        </is>
      </c>
      <c r="M1536" t="inlineStr">
        <is>
          <t>182 HIGH ST NE</t>
        </is>
      </c>
      <c r="N1536">
        <f>RIGHT(M1536,LEN(M1536)-FIND(" ",M1536))</f>
        <v/>
      </c>
      <c r="O1536" t="inlineStr">
        <is>
          <t>APT 502</t>
        </is>
      </c>
      <c r="P1536" t="inlineStr">
        <is>
          <t>WARREN</t>
        </is>
      </c>
      <c r="Q1536" t="inlineStr">
        <is>
          <t>OH</t>
        </is>
      </c>
      <c r="R1536" t="n">
        <v>44481</v>
      </c>
      <c r="AD1536" t="inlineStr">
        <is>
          <t>TRUMBULL CAREER &amp; TECH CENTER</t>
        </is>
      </c>
      <c r="AE1536" t="inlineStr">
        <is>
          <t>WARREN CITY</t>
        </is>
      </c>
      <c r="AF1536" t="inlineStr">
        <is>
          <t>WARREN CITY SD</t>
        </is>
      </c>
      <c r="AH1536" t="n">
        <v>14</v>
      </c>
      <c r="AI1536" t="n">
        <v>11</v>
      </c>
      <c r="AN1536" t="inlineStr">
        <is>
          <t>WARREN</t>
        </is>
      </c>
      <c r="AO1536" t="inlineStr">
        <is>
          <t>WARREN CITY 4D</t>
        </is>
      </c>
      <c r="AP1536" t="inlineStr">
        <is>
          <t>78-P-ADL</t>
        </is>
      </c>
      <c r="AQ1536" t="n">
        <v>9</v>
      </c>
      <c r="AR1536" t="n">
        <v>64</v>
      </c>
      <c r="AS1536" t="n">
        <v>32</v>
      </c>
      <c r="AU1536">
        <f>COUNTA($BA$1536:$EH$1536)</f>
        <v/>
      </c>
      <c r="AV1536">
        <f>COUNTIF($BA$1536:$EH$1536,"D")</f>
        <v/>
      </c>
      <c r="AW1536">
        <f>COUNTIF($BA$1536:$EH$1536,"R")</f>
        <v/>
      </c>
      <c r="AX1536">
        <f>IF(BN1536="D",1,0)+IF(BO1536="D",1,0)+IF(BT1536="D",1,0)+IF(BU1536="D",1,0)+IF(BW1536="D",1,0)+IF(CC1536="D",1,0)+IF(CD1536="D",1,0)+IF(CE1536="D",1,0)+IF(CF1536="D",1,0)+IF(CL1536="D",1,0)+IF(CM1536="D",1,0)+IF(CQ1536="D",1,0)+IF(CR1536="D",1,0)+IF(CS1536="D",1,0)+IF(CW1536="D",1,0)+IF(CX1536="D",1,0)+IF(DD1536="D",1,0)+IF(DE1536="D",1,0)+IF(DJ1536="D",1,0)+IF(DK1536="D",1,0)+IF(DO1536="D",1,0)+IF(DP1536="D",1,0)+IF(DQ1536="D",1,0)+IF(DW1536="D",1,0)+IF(DZ1536="D",1,0)+IF(EH1536="D",1,0)</f>
        <v/>
      </c>
      <c r="AY1536">
        <f>IF(DJ1536&lt;&gt;"",1,0)+IF(DK1536&lt;&gt;"",1,0)+IF(DM1536&lt;&gt;"",1,0)+IF(DO1536&lt;&gt;"",1,0)+IF(DP1536&lt;&gt;"",1,0)+IF(DQ1536&lt;&gt;"",1,0)+IF(DS1536&lt;&gt;"",1,0)+IF(DT1536&lt;&gt;"",1,0)+IF(DV1536&lt;&gt;"",1,0)+IF(DW1536&lt;&gt;"",1,0)+IF(DX1536&lt;&gt;"",1,0)+IF(DY1536&lt;&gt;"",1,0)+IF(DZ1536&lt;&gt;"",1,0)+IF(EB1536&lt;&gt;"",1,0)+IF(EC1536&lt;&gt;"",1,0)+IF(ED1536&lt;&gt;"",1,0)+IF(EG1536&lt;&gt;"",1,0)+IF(EH1536&lt;&gt;"",1,0)</f>
        <v/>
      </c>
      <c r="AZ1536">
        <f>IF(EH1536&lt;&gt;"",1,0)</f>
        <v/>
      </c>
      <c r="BB1536" t="inlineStr">
        <is>
          <t>WARREN-WARD 4</t>
        </is>
      </c>
      <c r="CY1536" t="inlineStr">
        <is>
          <t>X</t>
        </is>
      </c>
      <c r="CZ1536" t="inlineStr">
        <is>
          <t>R</t>
        </is>
      </c>
      <c r="DC1536" t="inlineStr">
        <is>
          <t>X</t>
        </is>
      </c>
      <c r="DG1536" t="inlineStr">
        <is>
          <t>R</t>
        </is>
      </c>
      <c r="DI1536" t="inlineStr">
        <is>
          <t>X</t>
        </is>
      </c>
      <c r="DL1536" t="inlineStr">
        <is>
          <t>X</t>
        </is>
      </c>
      <c r="DN1536" t="inlineStr">
        <is>
          <t>X</t>
        </is>
      </c>
      <c r="DS1536" t="inlineStr">
        <is>
          <t>D</t>
        </is>
      </c>
      <c r="DT1536" t="inlineStr">
        <is>
          <t>D</t>
        </is>
      </c>
      <c r="DU1536" t="inlineStr">
        <is>
          <t>X</t>
        </is>
      </c>
      <c r="DW1536" t="inlineStr">
        <is>
          <t>D</t>
        </is>
      </c>
      <c r="DX1536" t="inlineStr">
        <is>
          <t>X</t>
        </is>
      </c>
      <c r="EA1536" t="inlineStr">
        <is>
          <t>X</t>
        </is>
      </c>
      <c r="ED1536" t="inlineStr">
        <is>
          <t>D</t>
        </is>
      </c>
      <c r="EF1536" t="inlineStr">
        <is>
          <t>X</t>
        </is>
      </c>
    </row>
    <row r="1537">
      <c r="A1537" t="inlineStr">
        <is>
          <t>OH0026148705</t>
        </is>
      </c>
      <c r="B1537" t="n">
        <v>78</v>
      </c>
      <c r="C1537" t="n">
        <v>457181</v>
      </c>
      <c r="D1537" t="inlineStr">
        <is>
          <t>OMAR</t>
        </is>
      </c>
      <c r="E1537" t="inlineStr">
        <is>
          <t>HALA</t>
        </is>
      </c>
      <c r="F1537">
        <f>CONCATENATE(D1537," ",LEFT(H1537,4),"T=",AU1537,"D=",AV1537,"R=",AW1537,"M=",AX1537,"L=",AY1537,"B=",AZ1537)</f>
        <v/>
      </c>
      <c r="G1537" t="inlineStr">
        <is>
          <t>A</t>
        </is>
      </c>
      <c r="I1537" t="inlineStr">
        <is>
          <t>1958-03-12</t>
        </is>
      </c>
      <c r="J1537" t="inlineStr">
        <is>
          <t>2021-02-24</t>
        </is>
      </c>
      <c r="K1537" t="inlineStr">
        <is>
          <t>CONFIRMATION</t>
        </is>
      </c>
      <c r="M1537" t="inlineStr">
        <is>
          <t>317 CHESTNUT AVE NE</t>
        </is>
      </c>
      <c r="N1537">
        <f>RIGHT(M1537,LEN(M1537)-FIND(" ",M1537))</f>
        <v/>
      </c>
      <c r="P1537" t="inlineStr">
        <is>
          <t>WARREN</t>
        </is>
      </c>
      <c r="Q1537" t="inlineStr">
        <is>
          <t>OH</t>
        </is>
      </c>
      <c r="R1537" t="n">
        <v>44483</v>
      </c>
      <c r="AD1537" t="inlineStr">
        <is>
          <t>TRUMBULL CAREER &amp; TECH CENTER</t>
        </is>
      </c>
      <c r="AE1537" t="inlineStr">
        <is>
          <t>WARREN CITY</t>
        </is>
      </c>
      <c r="AF1537" t="inlineStr">
        <is>
          <t>WARREN CITY SD</t>
        </is>
      </c>
      <c r="AH1537" t="n">
        <v>14</v>
      </c>
      <c r="AI1537" t="n">
        <v>11</v>
      </c>
      <c r="AN1537" t="inlineStr">
        <is>
          <t>WARREN</t>
        </is>
      </c>
      <c r="AO1537" t="inlineStr">
        <is>
          <t>WARREN CITY 4D</t>
        </is>
      </c>
      <c r="AP1537" t="inlineStr">
        <is>
          <t>78-P-ADL</t>
        </is>
      </c>
      <c r="AQ1537" t="n">
        <v>9</v>
      </c>
      <c r="AR1537" t="n">
        <v>64</v>
      </c>
      <c r="AS1537" t="n">
        <v>32</v>
      </c>
      <c r="AU1537">
        <f>COUNTA($BA$1537:$EH$1537)</f>
        <v/>
      </c>
      <c r="AV1537">
        <f>COUNTIF($BA$1537:$EH$1537,"D")</f>
        <v/>
      </c>
      <c r="AW1537">
        <f>COUNTIF($BA$1537:$EH$1537,"R")</f>
        <v/>
      </c>
      <c r="AX1537">
        <f>IF(BN1537="D",1,0)+IF(BO1537="D",1,0)+IF(BT1537="D",1,0)+IF(BU1537="D",1,0)+IF(BW1537="D",1,0)+IF(CC1537="D",1,0)+IF(CD1537="D",1,0)+IF(CE1537="D",1,0)+IF(CF1537="D",1,0)+IF(CL1537="D",1,0)+IF(CM1537="D",1,0)+IF(CQ1537="D",1,0)+IF(CR1537="D",1,0)+IF(CS1537="D",1,0)+IF(CW1537="D",1,0)+IF(CX1537="D",1,0)+IF(DD1537="D",1,0)+IF(DE1537="D",1,0)+IF(DJ1537="D",1,0)+IF(DK1537="D",1,0)+IF(DO1537="D",1,0)+IF(DP1537="D",1,0)+IF(DQ1537="D",1,0)+IF(DW1537="D",1,0)+IF(DZ1537="D",1,0)+IF(EH1537="D",1,0)</f>
        <v/>
      </c>
      <c r="AY1537">
        <f>IF(DJ1537&lt;&gt;"",1,0)+IF(DK1537&lt;&gt;"",1,0)+IF(DM1537&lt;&gt;"",1,0)+IF(DO1537&lt;&gt;"",1,0)+IF(DP1537&lt;&gt;"",1,0)+IF(DQ1537&lt;&gt;"",1,0)+IF(DS1537&lt;&gt;"",1,0)+IF(DT1537&lt;&gt;"",1,0)+IF(DV1537&lt;&gt;"",1,0)+IF(DW1537&lt;&gt;"",1,0)+IF(DX1537&lt;&gt;"",1,0)+IF(DY1537&lt;&gt;"",1,0)+IF(DZ1537&lt;&gt;"",1,0)+IF(EB1537&lt;&gt;"",1,0)+IF(EC1537&lt;&gt;"",1,0)+IF(ED1537&lt;&gt;"",1,0)+IF(EG1537&lt;&gt;"",1,0)+IF(EH1537&lt;&gt;"",1,0)</f>
        <v/>
      </c>
      <c r="AZ1537">
        <f>IF(EH1537&lt;&gt;"",1,0)</f>
        <v/>
      </c>
      <c r="BB1537" t="inlineStr">
        <is>
          <t>WARREN-WARD 4</t>
        </is>
      </c>
      <c r="CP1537" t="inlineStr">
        <is>
          <t>X</t>
        </is>
      </c>
    </row>
    <row r="1538">
      <c r="A1538" t="inlineStr">
        <is>
          <t>OH0025367820</t>
        </is>
      </c>
      <c r="B1538" t="n">
        <v>78</v>
      </c>
      <c r="C1538" t="n">
        <v>443207</v>
      </c>
      <c r="D1538" t="inlineStr">
        <is>
          <t>SCOTT</t>
        </is>
      </c>
      <c r="E1538" t="inlineStr">
        <is>
          <t>DIAMOND</t>
        </is>
      </c>
      <c r="F1538">
        <f>CONCATENATE(D1538," ",LEFT(H1538,4),"T=",AU1538,"D=",AV1538,"R=",AW1538,"M=",AX1538,"L=",AY1538,"B=",AZ1538)</f>
        <v/>
      </c>
      <c r="G1538" t="inlineStr">
        <is>
          <t>NICOLE</t>
        </is>
      </c>
      <c r="I1538" t="inlineStr">
        <is>
          <t>1994-10-03</t>
        </is>
      </c>
      <c r="J1538" t="inlineStr">
        <is>
          <t>2021-12-28</t>
        </is>
      </c>
      <c r="K1538" t="inlineStr">
        <is>
          <t>CONFIRMATION</t>
        </is>
      </c>
      <c r="M1538" t="inlineStr">
        <is>
          <t>307 SCOTT ST NE</t>
        </is>
      </c>
      <c r="N1538">
        <f>RIGHT(M1538,LEN(M1538)-FIND(" ",M1538))</f>
        <v/>
      </c>
      <c r="P1538" t="inlineStr">
        <is>
          <t>WARREN</t>
        </is>
      </c>
      <c r="Q1538" t="inlineStr">
        <is>
          <t>OH</t>
        </is>
      </c>
      <c r="R1538" t="n">
        <v>44483</v>
      </c>
      <c r="AD1538" t="inlineStr">
        <is>
          <t>TRUMBULL CAREER &amp; TECH CENTER</t>
        </is>
      </c>
      <c r="AE1538" t="inlineStr">
        <is>
          <t>WARREN CITY</t>
        </is>
      </c>
      <c r="AF1538" t="inlineStr">
        <is>
          <t>WARREN CITY SD</t>
        </is>
      </c>
      <c r="AH1538" t="n">
        <v>14</v>
      </c>
      <c r="AI1538" t="n">
        <v>11</v>
      </c>
      <c r="AN1538" t="inlineStr">
        <is>
          <t>WARREN</t>
        </is>
      </c>
      <c r="AO1538" t="inlineStr">
        <is>
          <t>WARREN CITY 4D</t>
        </is>
      </c>
      <c r="AP1538" t="inlineStr">
        <is>
          <t>78-P-ADL</t>
        </is>
      </c>
      <c r="AQ1538" t="n">
        <v>9</v>
      </c>
      <c r="AR1538" t="n">
        <v>64</v>
      </c>
      <c r="AS1538" t="n">
        <v>32</v>
      </c>
      <c r="AU1538">
        <f>COUNTA($BA$1538:$EH$1538)</f>
        <v/>
      </c>
      <c r="AV1538">
        <f>COUNTIF($BA$1538:$EH$1538,"D")</f>
        <v/>
      </c>
      <c r="AW1538">
        <f>COUNTIF($BA$1538:$EH$1538,"R")</f>
        <v/>
      </c>
      <c r="AX1538">
        <f>IF(BN1538="D",1,0)+IF(BO1538="D",1,0)+IF(BT1538="D",1,0)+IF(BU1538="D",1,0)+IF(BW1538="D",1,0)+IF(CC1538="D",1,0)+IF(CD1538="D",1,0)+IF(CE1538="D",1,0)+IF(CF1538="D",1,0)+IF(CL1538="D",1,0)+IF(CM1538="D",1,0)+IF(CQ1538="D",1,0)+IF(CR1538="D",1,0)+IF(CS1538="D",1,0)+IF(CW1538="D",1,0)+IF(CX1538="D",1,0)+IF(DD1538="D",1,0)+IF(DE1538="D",1,0)+IF(DJ1538="D",1,0)+IF(DK1538="D",1,0)+IF(DO1538="D",1,0)+IF(DP1538="D",1,0)+IF(DQ1538="D",1,0)+IF(DW1538="D",1,0)+IF(DZ1538="D",1,0)+IF(EH1538="D",1,0)</f>
        <v/>
      </c>
      <c r="AY1538">
        <f>IF(DJ1538&lt;&gt;"",1,0)+IF(DK1538&lt;&gt;"",1,0)+IF(DM1538&lt;&gt;"",1,0)+IF(DO1538&lt;&gt;"",1,0)+IF(DP1538&lt;&gt;"",1,0)+IF(DQ1538&lt;&gt;"",1,0)+IF(DS1538&lt;&gt;"",1,0)+IF(DT1538&lt;&gt;"",1,0)+IF(DV1538&lt;&gt;"",1,0)+IF(DW1538&lt;&gt;"",1,0)+IF(DX1538&lt;&gt;"",1,0)+IF(DY1538&lt;&gt;"",1,0)+IF(DZ1538&lt;&gt;"",1,0)+IF(EB1538&lt;&gt;"",1,0)+IF(EC1538&lt;&gt;"",1,0)+IF(ED1538&lt;&gt;"",1,0)+IF(EG1538&lt;&gt;"",1,0)+IF(EH1538&lt;&gt;"",1,0)</f>
        <v/>
      </c>
      <c r="AZ1538">
        <f>IF(EH1538&lt;&gt;"",1,0)</f>
        <v/>
      </c>
      <c r="BB1538" t="inlineStr">
        <is>
          <t>WARREN-WARD 4</t>
        </is>
      </c>
      <c r="CP1538" t="inlineStr">
        <is>
          <t>X</t>
        </is>
      </c>
    </row>
    <row r="1539">
      <c r="A1539" t="inlineStr">
        <is>
          <t>OH0015809352</t>
        </is>
      </c>
      <c r="B1539" t="n">
        <v>78</v>
      </c>
      <c r="C1539" t="n">
        <v>312864</v>
      </c>
      <c r="D1539" t="inlineStr">
        <is>
          <t>JONES</t>
        </is>
      </c>
      <c r="E1539" t="inlineStr">
        <is>
          <t>MONICA</t>
        </is>
      </c>
      <c r="F1539">
        <f>CONCATENATE(D1539," ",LEFT(H1539,4),"T=",AU1539,"D=",AV1539,"R=",AW1539,"M=",AX1539,"L=",AY1539,"B=",AZ1539)</f>
        <v/>
      </c>
      <c r="G1539" t="inlineStr">
        <is>
          <t>E</t>
        </is>
      </c>
      <c r="I1539" t="inlineStr">
        <is>
          <t>1967-02-21</t>
        </is>
      </c>
      <c r="J1539" t="inlineStr">
        <is>
          <t>2012-10-30</t>
        </is>
      </c>
      <c r="K1539" t="inlineStr">
        <is>
          <t>ACTIVE</t>
        </is>
      </c>
      <c r="M1539" t="inlineStr">
        <is>
          <t>716 OLIVE AVE NE</t>
        </is>
      </c>
      <c r="N1539">
        <f>RIGHT(M1539,LEN(M1539)-FIND(" ",M1539))</f>
        <v/>
      </c>
      <c r="P1539" t="inlineStr">
        <is>
          <t>WARREN</t>
        </is>
      </c>
      <c r="Q1539" t="inlineStr">
        <is>
          <t>OH</t>
        </is>
      </c>
      <c r="R1539" t="n">
        <v>44483</v>
      </c>
      <c r="AD1539" t="inlineStr">
        <is>
          <t>TRUMBULL CAREER &amp; TECH CENTER</t>
        </is>
      </c>
      <c r="AE1539" t="inlineStr">
        <is>
          <t>WARREN CITY</t>
        </is>
      </c>
      <c r="AF1539" t="inlineStr">
        <is>
          <t>WARREN CITY SD</t>
        </is>
      </c>
      <c r="AH1539" t="n">
        <v>14</v>
      </c>
      <c r="AI1539" t="n">
        <v>11</v>
      </c>
      <c r="AN1539" t="inlineStr">
        <is>
          <t>WARREN</t>
        </is>
      </c>
      <c r="AO1539" t="inlineStr">
        <is>
          <t>WARREN CITY 4D</t>
        </is>
      </c>
      <c r="AP1539" t="inlineStr">
        <is>
          <t>78-P-ADL</t>
        </is>
      </c>
      <c r="AQ1539" t="n">
        <v>9</v>
      </c>
      <c r="AR1539" t="n">
        <v>64</v>
      </c>
      <c r="AS1539" t="n">
        <v>32</v>
      </c>
      <c r="AU1539">
        <f>COUNTA($BA$1539:$EH$1539)</f>
        <v/>
      </c>
      <c r="AV1539">
        <f>COUNTIF($BA$1539:$EH$1539,"D")</f>
        <v/>
      </c>
      <c r="AW1539">
        <f>COUNTIF($BA$1539:$EH$1539,"R")</f>
        <v/>
      </c>
      <c r="AX1539">
        <f>IF(BN1539="D",1,0)+IF(BO1539="D",1,0)+IF(BT1539="D",1,0)+IF(BU1539="D",1,0)+IF(BW1539="D",1,0)+IF(CC1539="D",1,0)+IF(CD1539="D",1,0)+IF(CE1539="D",1,0)+IF(CF1539="D",1,0)+IF(CL1539="D",1,0)+IF(CM1539="D",1,0)+IF(CQ1539="D",1,0)+IF(CR1539="D",1,0)+IF(CS1539="D",1,0)+IF(CW1539="D",1,0)+IF(CX1539="D",1,0)+IF(DD1539="D",1,0)+IF(DE1539="D",1,0)+IF(DJ1539="D",1,0)+IF(DK1539="D",1,0)+IF(DO1539="D",1,0)+IF(DP1539="D",1,0)+IF(DQ1539="D",1,0)+IF(DW1539="D",1,0)+IF(DZ1539="D",1,0)+IF(EH1539="D",1,0)</f>
        <v/>
      </c>
      <c r="AY1539">
        <f>IF(DJ1539&lt;&gt;"",1,0)+IF(DK1539&lt;&gt;"",1,0)+IF(DM1539&lt;&gt;"",1,0)+IF(DO1539&lt;&gt;"",1,0)+IF(DP1539&lt;&gt;"",1,0)+IF(DQ1539&lt;&gt;"",1,0)+IF(DS1539&lt;&gt;"",1,0)+IF(DT1539&lt;&gt;"",1,0)+IF(DV1539&lt;&gt;"",1,0)+IF(DW1539&lt;&gt;"",1,0)+IF(DX1539&lt;&gt;"",1,0)+IF(DY1539&lt;&gt;"",1,0)+IF(DZ1539&lt;&gt;"",1,0)+IF(EB1539&lt;&gt;"",1,0)+IF(EC1539&lt;&gt;"",1,0)+IF(ED1539&lt;&gt;"",1,0)+IF(EG1539&lt;&gt;"",1,0)+IF(EH1539&lt;&gt;"",1,0)</f>
        <v/>
      </c>
      <c r="AZ1539">
        <f>IF(EH1539&lt;&gt;"",1,0)</f>
        <v/>
      </c>
      <c r="BB1539" t="inlineStr">
        <is>
          <t>WARREN-WARD 4</t>
        </is>
      </c>
      <c r="BL1539" t="inlineStr">
        <is>
          <t>X</t>
        </is>
      </c>
      <c r="BS1539" t="inlineStr">
        <is>
          <t>X</t>
        </is>
      </c>
      <c r="BY1539" t="inlineStr">
        <is>
          <t>D</t>
        </is>
      </c>
      <c r="CA1539" t="inlineStr">
        <is>
          <t>X</t>
        </is>
      </c>
      <c r="CP1539" t="inlineStr">
        <is>
          <t>X</t>
        </is>
      </c>
      <c r="CZ1539" t="inlineStr">
        <is>
          <t>D</t>
        </is>
      </c>
      <c r="DC1539" t="inlineStr">
        <is>
          <t>X</t>
        </is>
      </c>
      <c r="DI1539" t="inlineStr">
        <is>
          <t>X</t>
        </is>
      </c>
      <c r="DN1539" t="inlineStr">
        <is>
          <t>X</t>
        </is>
      </c>
      <c r="EF1539" t="inlineStr">
        <is>
          <t>X</t>
        </is>
      </c>
    </row>
    <row r="1540">
      <c r="A1540" t="inlineStr">
        <is>
          <t>OH0023673150</t>
        </is>
      </c>
      <c r="B1540" t="n">
        <v>78</v>
      </c>
      <c r="C1540" t="n">
        <v>416605</v>
      </c>
      <c r="D1540" t="inlineStr">
        <is>
          <t>MITCHAM</t>
        </is>
      </c>
      <c r="E1540" t="inlineStr">
        <is>
          <t>ERIC</t>
        </is>
      </c>
      <c r="F1540">
        <f>CONCATENATE(D1540," ",LEFT(H1540,4),"T=",AU1540,"D=",AV1540,"R=",AW1540,"M=",AX1540,"L=",AY1540,"B=",AZ1540)</f>
        <v/>
      </c>
      <c r="G1540" t="inlineStr">
        <is>
          <t>L</t>
        </is>
      </c>
      <c r="I1540" t="inlineStr">
        <is>
          <t>1960-04-04</t>
        </is>
      </c>
      <c r="J1540" t="inlineStr">
        <is>
          <t>2016-04-30</t>
        </is>
      </c>
      <c r="K1540" t="inlineStr">
        <is>
          <t>CONFIRMATION</t>
        </is>
      </c>
      <c r="M1540" t="inlineStr">
        <is>
          <t>595 SIDELLS CT NE</t>
        </is>
      </c>
      <c r="N1540">
        <f>RIGHT(M1540,LEN(M1540)-FIND(" ",M1540))</f>
        <v/>
      </c>
      <c r="P1540" t="inlineStr">
        <is>
          <t>WARREN</t>
        </is>
      </c>
      <c r="Q1540" t="inlineStr">
        <is>
          <t>OH</t>
        </is>
      </c>
      <c r="R1540" t="n">
        <v>44483</v>
      </c>
      <c r="AD1540" t="inlineStr">
        <is>
          <t>TRUMBULL CAREER &amp; TECH CENTER</t>
        </is>
      </c>
      <c r="AE1540" t="inlineStr">
        <is>
          <t>WARREN CITY</t>
        </is>
      </c>
      <c r="AF1540" t="inlineStr">
        <is>
          <t>WARREN CITY SD</t>
        </is>
      </c>
      <c r="AH1540" t="n">
        <v>14</v>
      </c>
      <c r="AI1540" t="n">
        <v>11</v>
      </c>
      <c r="AN1540" t="inlineStr">
        <is>
          <t>WARREN</t>
        </is>
      </c>
      <c r="AO1540" t="inlineStr">
        <is>
          <t>WARREN CITY 4D</t>
        </is>
      </c>
      <c r="AP1540" t="inlineStr">
        <is>
          <t>78-P-ADL</t>
        </is>
      </c>
      <c r="AQ1540" t="n">
        <v>9</v>
      </c>
      <c r="AR1540" t="n">
        <v>64</v>
      </c>
      <c r="AS1540" t="n">
        <v>32</v>
      </c>
      <c r="AU1540">
        <f>COUNTA($BA$1540:$EH$1540)</f>
        <v/>
      </c>
      <c r="AV1540">
        <f>COUNTIF($BA$1540:$EH$1540,"D")</f>
        <v/>
      </c>
      <c r="AW1540">
        <f>COUNTIF($BA$1540:$EH$1540,"R")</f>
        <v/>
      </c>
      <c r="AX1540">
        <f>IF(BN1540="D",1,0)+IF(BO1540="D",1,0)+IF(BT1540="D",1,0)+IF(BU1540="D",1,0)+IF(BW1540="D",1,0)+IF(CC1540="D",1,0)+IF(CD1540="D",1,0)+IF(CE1540="D",1,0)+IF(CF1540="D",1,0)+IF(CL1540="D",1,0)+IF(CM1540="D",1,0)+IF(CQ1540="D",1,0)+IF(CR1540="D",1,0)+IF(CS1540="D",1,0)+IF(CW1540="D",1,0)+IF(CX1540="D",1,0)+IF(DD1540="D",1,0)+IF(DE1540="D",1,0)+IF(DJ1540="D",1,0)+IF(DK1540="D",1,0)+IF(DO1540="D",1,0)+IF(DP1540="D",1,0)+IF(DQ1540="D",1,0)+IF(DW1540="D",1,0)+IF(DZ1540="D",1,0)+IF(EH1540="D",1,0)</f>
        <v/>
      </c>
      <c r="AY1540">
        <f>IF(DJ1540&lt;&gt;"",1,0)+IF(DK1540&lt;&gt;"",1,0)+IF(DM1540&lt;&gt;"",1,0)+IF(DO1540&lt;&gt;"",1,0)+IF(DP1540&lt;&gt;"",1,0)+IF(DQ1540&lt;&gt;"",1,0)+IF(DS1540&lt;&gt;"",1,0)+IF(DT1540&lt;&gt;"",1,0)+IF(DV1540&lt;&gt;"",1,0)+IF(DW1540&lt;&gt;"",1,0)+IF(DX1540&lt;&gt;"",1,0)+IF(DY1540&lt;&gt;"",1,0)+IF(DZ1540&lt;&gt;"",1,0)+IF(EB1540&lt;&gt;"",1,0)+IF(EC1540&lt;&gt;"",1,0)+IF(ED1540&lt;&gt;"",1,0)+IF(EG1540&lt;&gt;"",1,0)+IF(EH1540&lt;&gt;"",1,0)</f>
        <v/>
      </c>
      <c r="AZ1540">
        <f>IF(EH1540&lt;&gt;"",1,0)</f>
        <v/>
      </c>
      <c r="BB1540" t="inlineStr">
        <is>
          <t>WARREN-WARD 4</t>
        </is>
      </c>
    </row>
    <row r="1541">
      <c r="A1541" t="inlineStr">
        <is>
          <t>OH0027062021</t>
        </is>
      </c>
      <c r="B1541" t="n">
        <v>78</v>
      </c>
      <c r="C1541" t="n">
        <v>476424</v>
      </c>
      <c r="D1541" t="inlineStr">
        <is>
          <t>BROADSTONE</t>
        </is>
      </c>
      <c r="E1541" t="inlineStr">
        <is>
          <t>LAILA</t>
        </is>
      </c>
      <c r="F1541">
        <f>CONCATENATE(D1541," ",LEFT(H1541,4),"T=",AU1541,"D=",AV1541,"R=",AW1541,"M=",AX1541,"L=",AY1541,"B=",AZ1541)</f>
        <v/>
      </c>
      <c r="I1541" t="inlineStr">
        <is>
          <t>2004-11-29</t>
        </is>
      </c>
      <c r="J1541" t="inlineStr">
        <is>
          <t>2023-09-19</t>
        </is>
      </c>
      <c r="K1541" t="inlineStr">
        <is>
          <t>ACTIVE</t>
        </is>
      </c>
      <c r="M1541" t="inlineStr">
        <is>
          <t>200 WASHINGTON ST NE</t>
        </is>
      </c>
      <c r="N1541">
        <f>RIGHT(M1541,LEN(M1541)-FIND(" ",M1541))</f>
        <v/>
      </c>
      <c r="P1541" t="inlineStr">
        <is>
          <t>WARREN</t>
        </is>
      </c>
      <c r="Q1541" t="inlineStr">
        <is>
          <t>OH</t>
        </is>
      </c>
      <c r="R1541" t="n">
        <v>44483</v>
      </c>
      <c r="AD1541" t="inlineStr">
        <is>
          <t>TRUMBULL CAREER &amp; TECH CENTER</t>
        </is>
      </c>
      <c r="AE1541" t="inlineStr">
        <is>
          <t>WARREN CITY</t>
        </is>
      </c>
      <c r="AF1541" t="inlineStr">
        <is>
          <t>WARREN CITY SD</t>
        </is>
      </c>
      <c r="AH1541" t="n">
        <v>14</v>
      </c>
      <c r="AI1541" t="n">
        <v>11</v>
      </c>
      <c r="AN1541" t="inlineStr">
        <is>
          <t>WARREN</t>
        </is>
      </c>
      <c r="AO1541" t="inlineStr">
        <is>
          <t>WARREN CITY 4D</t>
        </is>
      </c>
      <c r="AP1541" t="inlineStr">
        <is>
          <t>78-P-ADL</t>
        </is>
      </c>
      <c r="AQ1541" t="n">
        <v>9</v>
      </c>
      <c r="AR1541" t="n">
        <v>64</v>
      </c>
      <c r="AS1541" t="n">
        <v>32</v>
      </c>
      <c r="AU1541">
        <f>COUNTA($BA$1541:$EH$1541)</f>
        <v/>
      </c>
      <c r="AV1541">
        <f>COUNTIF($BA$1541:$EH$1541,"D")</f>
        <v/>
      </c>
      <c r="AW1541">
        <f>COUNTIF($BA$1541:$EH$1541,"R")</f>
        <v/>
      </c>
      <c r="AX1541">
        <f>IF(BN1541="D",1,0)+IF(BO1541="D",1,0)+IF(BT1541="D",1,0)+IF(BU1541="D",1,0)+IF(BW1541="D",1,0)+IF(CC1541="D",1,0)+IF(CD1541="D",1,0)+IF(CE1541="D",1,0)+IF(CF1541="D",1,0)+IF(CL1541="D",1,0)+IF(CM1541="D",1,0)+IF(CQ1541="D",1,0)+IF(CR1541="D",1,0)+IF(CS1541="D",1,0)+IF(CW1541="D",1,0)+IF(CX1541="D",1,0)+IF(DD1541="D",1,0)+IF(DE1541="D",1,0)+IF(DJ1541="D",1,0)+IF(DK1541="D",1,0)+IF(DO1541="D",1,0)+IF(DP1541="D",1,0)+IF(DQ1541="D",1,0)+IF(DW1541="D",1,0)+IF(DZ1541="D",1,0)+IF(EH1541="D",1,0)</f>
        <v/>
      </c>
      <c r="AY1541">
        <f>IF(DJ1541&lt;&gt;"",1,0)+IF(DK1541&lt;&gt;"",1,0)+IF(DM1541&lt;&gt;"",1,0)+IF(DO1541&lt;&gt;"",1,0)+IF(DP1541&lt;&gt;"",1,0)+IF(DQ1541&lt;&gt;"",1,0)+IF(DS1541&lt;&gt;"",1,0)+IF(DT1541&lt;&gt;"",1,0)+IF(DV1541&lt;&gt;"",1,0)+IF(DW1541&lt;&gt;"",1,0)+IF(DX1541&lt;&gt;"",1,0)+IF(DY1541&lt;&gt;"",1,0)+IF(DZ1541&lt;&gt;"",1,0)+IF(EB1541&lt;&gt;"",1,0)+IF(EC1541&lt;&gt;"",1,0)+IF(ED1541&lt;&gt;"",1,0)+IF(EG1541&lt;&gt;"",1,0)+IF(EH1541&lt;&gt;"",1,0)</f>
        <v/>
      </c>
      <c r="AZ1541">
        <f>IF(EH1541&lt;&gt;"",1,0)</f>
        <v/>
      </c>
      <c r="BB1541" t="inlineStr">
        <is>
          <t>WARREN-WARD 4</t>
        </is>
      </c>
    </row>
    <row r="1542">
      <c r="A1542" t="inlineStr">
        <is>
          <t>OH0025174683</t>
        </is>
      </c>
      <c r="B1542" t="n">
        <v>78</v>
      </c>
      <c r="C1542" t="n">
        <v>440872</v>
      </c>
      <c r="D1542" t="inlineStr">
        <is>
          <t>HENRY</t>
        </is>
      </c>
      <c r="E1542" t="inlineStr">
        <is>
          <t>ELLIOT</t>
        </is>
      </c>
      <c r="F1542">
        <f>CONCATENATE(D1542," ",LEFT(H1542,4),"T=",AU1542,"D=",AV1542,"R=",AW1542,"M=",AX1542,"L=",AY1542,"B=",AZ1542)</f>
        <v/>
      </c>
      <c r="G1542" t="inlineStr">
        <is>
          <t>JOSEPH</t>
        </is>
      </c>
      <c r="I1542" t="inlineStr">
        <is>
          <t>2001-01-17</t>
        </is>
      </c>
      <c r="J1542" t="inlineStr">
        <is>
          <t>2024-09-23</t>
        </is>
      </c>
      <c r="K1542" t="inlineStr">
        <is>
          <t>ACTIVE</t>
        </is>
      </c>
      <c r="M1542" t="inlineStr">
        <is>
          <t>286 LOWELL AVE NE</t>
        </is>
      </c>
      <c r="N1542">
        <f>RIGHT(M1542,LEN(M1542)-FIND(" ",M1542))</f>
        <v/>
      </c>
      <c r="P1542" t="inlineStr">
        <is>
          <t>WARREN</t>
        </is>
      </c>
      <c r="Q1542" t="inlineStr">
        <is>
          <t>OH</t>
        </is>
      </c>
      <c r="R1542" t="n">
        <v>44483</v>
      </c>
      <c r="AD1542" t="inlineStr">
        <is>
          <t>TRUMBULL CAREER &amp; TECH CENTER</t>
        </is>
      </c>
      <c r="AE1542" t="inlineStr">
        <is>
          <t>WARREN CITY</t>
        </is>
      </c>
      <c r="AF1542" t="inlineStr">
        <is>
          <t>WARREN CITY SD</t>
        </is>
      </c>
      <c r="AH1542" t="n">
        <v>14</v>
      </c>
      <c r="AI1542" t="n">
        <v>11</v>
      </c>
      <c r="AN1542" t="inlineStr">
        <is>
          <t>WARREN</t>
        </is>
      </c>
      <c r="AO1542" t="inlineStr">
        <is>
          <t>WARREN CITY 4D</t>
        </is>
      </c>
      <c r="AP1542" t="inlineStr">
        <is>
          <t>78-P-ADL</t>
        </is>
      </c>
      <c r="AQ1542" t="n">
        <v>9</v>
      </c>
      <c r="AR1542" t="n">
        <v>64</v>
      </c>
      <c r="AS1542" t="n">
        <v>32</v>
      </c>
      <c r="AU1542">
        <f>COUNTA($BA$1542:$EH$1542)</f>
        <v/>
      </c>
      <c r="AV1542">
        <f>COUNTIF($BA$1542:$EH$1542,"D")</f>
        <v/>
      </c>
      <c r="AW1542">
        <f>COUNTIF($BA$1542:$EH$1542,"R")</f>
        <v/>
      </c>
      <c r="AX1542">
        <f>IF(BN1542="D",1,0)+IF(BO1542="D",1,0)+IF(BT1542="D",1,0)+IF(BU1542="D",1,0)+IF(BW1542="D",1,0)+IF(CC1542="D",1,0)+IF(CD1542="D",1,0)+IF(CE1542="D",1,0)+IF(CF1542="D",1,0)+IF(CL1542="D",1,0)+IF(CM1542="D",1,0)+IF(CQ1542="D",1,0)+IF(CR1542="D",1,0)+IF(CS1542="D",1,0)+IF(CW1542="D",1,0)+IF(CX1542="D",1,0)+IF(DD1542="D",1,0)+IF(DE1542="D",1,0)+IF(DJ1542="D",1,0)+IF(DK1542="D",1,0)+IF(DO1542="D",1,0)+IF(DP1542="D",1,0)+IF(DQ1542="D",1,0)+IF(DW1542="D",1,0)+IF(DZ1542="D",1,0)+IF(EH1542="D",1,0)</f>
        <v/>
      </c>
      <c r="AY1542">
        <f>IF(DJ1542&lt;&gt;"",1,0)+IF(DK1542&lt;&gt;"",1,0)+IF(DM1542&lt;&gt;"",1,0)+IF(DO1542&lt;&gt;"",1,0)+IF(DP1542&lt;&gt;"",1,0)+IF(DQ1542&lt;&gt;"",1,0)+IF(DS1542&lt;&gt;"",1,0)+IF(DT1542&lt;&gt;"",1,0)+IF(DV1542&lt;&gt;"",1,0)+IF(DW1542&lt;&gt;"",1,0)+IF(DX1542&lt;&gt;"",1,0)+IF(DY1542&lt;&gt;"",1,0)+IF(DZ1542&lt;&gt;"",1,0)+IF(EB1542&lt;&gt;"",1,0)+IF(EC1542&lt;&gt;"",1,0)+IF(ED1542&lt;&gt;"",1,0)+IF(EG1542&lt;&gt;"",1,0)+IF(EH1542&lt;&gt;"",1,0)</f>
        <v/>
      </c>
      <c r="AZ1542">
        <f>IF(EH1542&lt;&gt;"",1,0)</f>
        <v/>
      </c>
      <c r="BB1542" t="inlineStr">
        <is>
          <t>WARREN-WARD 4</t>
        </is>
      </c>
    </row>
    <row r="1543">
      <c r="A1543" t="inlineStr">
        <is>
          <t>OH0027860329</t>
        </is>
      </c>
      <c r="B1543" t="n">
        <v>78</v>
      </c>
      <c r="C1543" t="n">
        <v>494542</v>
      </c>
      <c r="D1543" t="inlineStr">
        <is>
          <t>GUST</t>
        </is>
      </c>
      <c r="E1543" t="inlineStr">
        <is>
          <t>DOMINICK</t>
        </is>
      </c>
      <c r="F1543">
        <f>CONCATENATE(D1543," ",LEFT(H1543,4),"T=",AU1543,"D=",AV1543,"R=",AW1543,"M=",AX1543,"L=",AY1543,"B=",AZ1543)</f>
        <v/>
      </c>
      <c r="G1543" t="inlineStr">
        <is>
          <t>IMMANUEL</t>
        </is>
      </c>
      <c r="I1543" t="inlineStr">
        <is>
          <t>2002-08-02</t>
        </is>
      </c>
      <c r="J1543" t="inlineStr">
        <is>
          <t>2024-12-20</t>
        </is>
      </c>
      <c r="K1543" t="inlineStr">
        <is>
          <t>ACTIVE</t>
        </is>
      </c>
      <c r="M1543" t="inlineStr">
        <is>
          <t>539 WASHINGTON ST NE</t>
        </is>
      </c>
      <c r="N1543">
        <f>RIGHT(M1543,LEN(M1543)-FIND(" ",M1543))</f>
        <v/>
      </c>
      <c r="P1543" t="inlineStr">
        <is>
          <t>WARREN</t>
        </is>
      </c>
      <c r="Q1543" t="inlineStr">
        <is>
          <t>OH</t>
        </is>
      </c>
      <c r="R1543" t="n">
        <v>44483</v>
      </c>
      <c r="AD1543" t="inlineStr">
        <is>
          <t>TRUMBULL CAREER &amp; TECH CENTER</t>
        </is>
      </c>
      <c r="AE1543" t="inlineStr">
        <is>
          <t>WARREN CITY</t>
        </is>
      </c>
      <c r="AF1543" t="inlineStr">
        <is>
          <t>WARREN CITY SD</t>
        </is>
      </c>
      <c r="AH1543" t="n">
        <v>14</v>
      </c>
      <c r="AI1543" t="n">
        <v>11</v>
      </c>
      <c r="AN1543" t="inlineStr">
        <is>
          <t>WARREN</t>
        </is>
      </c>
      <c r="AO1543" t="inlineStr">
        <is>
          <t>WARREN CITY 4D</t>
        </is>
      </c>
      <c r="AP1543" t="inlineStr">
        <is>
          <t>78-P-ADL</t>
        </is>
      </c>
      <c r="AQ1543" t="n">
        <v>9</v>
      </c>
      <c r="AR1543" t="n">
        <v>64</v>
      </c>
      <c r="AS1543" t="n">
        <v>32</v>
      </c>
      <c r="AU1543">
        <f>COUNTA($BA$1543:$EH$1543)</f>
        <v/>
      </c>
      <c r="AV1543">
        <f>COUNTIF($BA$1543:$EH$1543,"D")</f>
        <v/>
      </c>
      <c r="AW1543">
        <f>COUNTIF($BA$1543:$EH$1543,"R")</f>
        <v/>
      </c>
      <c r="AX1543">
        <f>IF(BN1543="D",1,0)+IF(BO1543="D",1,0)+IF(BT1543="D",1,0)+IF(BU1543="D",1,0)+IF(BW1543="D",1,0)+IF(CC1543="D",1,0)+IF(CD1543="D",1,0)+IF(CE1543="D",1,0)+IF(CF1543="D",1,0)+IF(CL1543="D",1,0)+IF(CM1543="D",1,0)+IF(CQ1543="D",1,0)+IF(CR1543="D",1,0)+IF(CS1543="D",1,0)+IF(CW1543="D",1,0)+IF(CX1543="D",1,0)+IF(DD1543="D",1,0)+IF(DE1543="D",1,0)+IF(DJ1543="D",1,0)+IF(DK1543="D",1,0)+IF(DO1543="D",1,0)+IF(DP1543="D",1,0)+IF(DQ1543="D",1,0)+IF(DW1543="D",1,0)+IF(DZ1543="D",1,0)+IF(EH1543="D",1,0)</f>
        <v/>
      </c>
      <c r="AY1543">
        <f>IF(DJ1543&lt;&gt;"",1,0)+IF(DK1543&lt;&gt;"",1,0)+IF(DM1543&lt;&gt;"",1,0)+IF(DO1543&lt;&gt;"",1,0)+IF(DP1543&lt;&gt;"",1,0)+IF(DQ1543&lt;&gt;"",1,0)+IF(DS1543&lt;&gt;"",1,0)+IF(DT1543&lt;&gt;"",1,0)+IF(DV1543&lt;&gt;"",1,0)+IF(DW1543&lt;&gt;"",1,0)+IF(DX1543&lt;&gt;"",1,0)+IF(DY1543&lt;&gt;"",1,0)+IF(DZ1543&lt;&gt;"",1,0)+IF(EB1543&lt;&gt;"",1,0)+IF(EC1543&lt;&gt;"",1,0)+IF(ED1543&lt;&gt;"",1,0)+IF(EG1543&lt;&gt;"",1,0)+IF(EH1543&lt;&gt;"",1,0)</f>
        <v/>
      </c>
      <c r="AZ1543">
        <f>IF(EH1543&lt;&gt;"",1,0)</f>
        <v/>
      </c>
      <c r="BB1543" t="inlineStr">
        <is>
          <t>WARREN-WARD 4</t>
        </is>
      </c>
    </row>
    <row r="1544">
      <c r="A1544" t="inlineStr">
        <is>
          <t>OH0019557801</t>
        </is>
      </c>
      <c r="B1544" t="n">
        <v>78</v>
      </c>
      <c r="C1544" t="n">
        <v>355529</v>
      </c>
      <c r="D1544" t="inlineStr">
        <is>
          <t>KEEN</t>
        </is>
      </c>
      <c r="E1544" t="inlineStr">
        <is>
          <t>HEAVENLY</t>
        </is>
      </c>
      <c r="F1544">
        <f>CONCATENATE(D1544," ",LEFT(H1544,4),"T=",AU1544,"D=",AV1544,"R=",AW1544,"M=",AX1544,"L=",AY1544,"B=",AZ1544)</f>
        <v/>
      </c>
      <c r="G1544" t="inlineStr">
        <is>
          <t>A</t>
        </is>
      </c>
      <c r="I1544" t="inlineStr">
        <is>
          <t>1970-12-29</t>
        </is>
      </c>
      <c r="J1544" t="inlineStr">
        <is>
          <t>2013-07-17</t>
        </is>
      </c>
      <c r="K1544" t="inlineStr">
        <is>
          <t>ACTIVE</t>
        </is>
      </c>
      <c r="M1544" t="inlineStr">
        <is>
          <t>189 LOGAN AVE NE</t>
        </is>
      </c>
      <c r="N1544">
        <f>RIGHT(M1544,LEN(M1544)-FIND(" ",M1544))</f>
        <v/>
      </c>
      <c r="P1544" t="inlineStr">
        <is>
          <t>WARREN</t>
        </is>
      </c>
      <c r="Q1544" t="inlineStr">
        <is>
          <t>OH</t>
        </is>
      </c>
      <c r="R1544" t="n">
        <v>44483</v>
      </c>
      <c r="AD1544" t="inlineStr">
        <is>
          <t>TRUMBULL CAREER &amp; TECH CENTER</t>
        </is>
      </c>
      <c r="AE1544" t="inlineStr">
        <is>
          <t>WARREN CITY</t>
        </is>
      </c>
      <c r="AF1544" t="inlineStr">
        <is>
          <t>WARREN CITY SD</t>
        </is>
      </c>
      <c r="AH1544" t="n">
        <v>14</v>
      </c>
      <c r="AI1544" t="n">
        <v>11</v>
      </c>
      <c r="AN1544" t="inlineStr">
        <is>
          <t>WARREN</t>
        </is>
      </c>
      <c r="AO1544" t="inlineStr">
        <is>
          <t>WARREN CITY 4D</t>
        </is>
      </c>
      <c r="AP1544" t="inlineStr">
        <is>
          <t>78-P-ADL</t>
        </is>
      </c>
      <c r="AQ1544" t="n">
        <v>9</v>
      </c>
      <c r="AR1544" t="n">
        <v>64</v>
      </c>
      <c r="AS1544" t="n">
        <v>32</v>
      </c>
      <c r="AU1544">
        <f>COUNTA($BA$1544:$EH$1544)</f>
        <v/>
      </c>
      <c r="AV1544">
        <f>COUNTIF($BA$1544:$EH$1544,"D")</f>
        <v/>
      </c>
      <c r="AW1544">
        <f>COUNTIF($BA$1544:$EH$1544,"R")</f>
        <v/>
      </c>
      <c r="AX1544">
        <f>IF(BN1544="D",1,0)+IF(BO1544="D",1,0)+IF(BT1544="D",1,0)+IF(BU1544="D",1,0)+IF(BW1544="D",1,0)+IF(CC1544="D",1,0)+IF(CD1544="D",1,0)+IF(CE1544="D",1,0)+IF(CF1544="D",1,0)+IF(CL1544="D",1,0)+IF(CM1544="D",1,0)+IF(CQ1544="D",1,0)+IF(CR1544="D",1,0)+IF(CS1544="D",1,0)+IF(CW1544="D",1,0)+IF(CX1544="D",1,0)+IF(DD1544="D",1,0)+IF(DE1544="D",1,0)+IF(DJ1544="D",1,0)+IF(DK1544="D",1,0)+IF(DO1544="D",1,0)+IF(DP1544="D",1,0)+IF(DQ1544="D",1,0)+IF(DW1544="D",1,0)+IF(DZ1544="D",1,0)+IF(EH1544="D",1,0)</f>
        <v/>
      </c>
      <c r="AY1544">
        <f>IF(DJ1544&lt;&gt;"",1,0)+IF(DK1544&lt;&gt;"",1,0)+IF(DM1544&lt;&gt;"",1,0)+IF(DO1544&lt;&gt;"",1,0)+IF(DP1544&lt;&gt;"",1,0)+IF(DQ1544&lt;&gt;"",1,0)+IF(DS1544&lt;&gt;"",1,0)+IF(DT1544&lt;&gt;"",1,0)+IF(DV1544&lt;&gt;"",1,0)+IF(DW1544&lt;&gt;"",1,0)+IF(DX1544&lt;&gt;"",1,0)+IF(DY1544&lt;&gt;"",1,0)+IF(DZ1544&lt;&gt;"",1,0)+IF(EB1544&lt;&gt;"",1,0)+IF(EC1544&lt;&gt;"",1,0)+IF(ED1544&lt;&gt;"",1,0)+IF(EG1544&lt;&gt;"",1,0)+IF(EH1544&lt;&gt;"",1,0)</f>
        <v/>
      </c>
      <c r="AZ1544">
        <f>IF(EH1544&lt;&gt;"",1,0)</f>
        <v/>
      </c>
      <c r="BB1544" t="inlineStr">
        <is>
          <t>WARREN-WARD 4</t>
        </is>
      </c>
      <c r="CA1544" t="inlineStr">
        <is>
          <t>X</t>
        </is>
      </c>
      <c r="DC1544" t="inlineStr">
        <is>
          <t>X</t>
        </is>
      </c>
      <c r="DN1544" t="inlineStr">
        <is>
          <t>X</t>
        </is>
      </c>
      <c r="DU1544" t="inlineStr">
        <is>
          <t>X</t>
        </is>
      </c>
      <c r="EF1544" t="inlineStr">
        <is>
          <t>X</t>
        </is>
      </c>
    </row>
    <row r="1545">
      <c r="A1545" t="inlineStr">
        <is>
          <t>OH0027845184</t>
        </is>
      </c>
      <c r="B1545" t="n">
        <v>78</v>
      </c>
      <c r="C1545" t="n">
        <v>494109</v>
      </c>
      <c r="D1545" t="inlineStr">
        <is>
          <t>BOONE</t>
        </is>
      </c>
      <c r="E1545" t="inlineStr">
        <is>
          <t>TIMOTHY</t>
        </is>
      </c>
      <c r="F1545">
        <f>CONCATENATE(D1545," ",LEFT(H1545,4),"T=",AU1545,"D=",AV1545,"R=",AW1545,"M=",AX1545,"L=",AY1545,"B=",AZ1545)</f>
        <v/>
      </c>
      <c r="G1545" t="inlineStr">
        <is>
          <t>CLINE</t>
        </is>
      </c>
      <c r="I1545" t="inlineStr">
        <is>
          <t>1998-03-30</t>
        </is>
      </c>
      <c r="J1545" t="inlineStr">
        <is>
          <t>2024-10-11</t>
        </is>
      </c>
      <c r="K1545" t="inlineStr">
        <is>
          <t>ACTIVE</t>
        </is>
      </c>
      <c r="M1545" t="inlineStr">
        <is>
          <t>753 ELM RD NE</t>
        </is>
      </c>
      <c r="N1545">
        <f>RIGHT(M1545,LEN(M1545)-FIND(" ",M1545))</f>
        <v/>
      </c>
      <c r="P1545" t="inlineStr">
        <is>
          <t>WARREN</t>
        </is>
      </c>
      <c r="Q1545" t="inlineStr">
        <is>
          <t>OH</t>
        </is>
      </c>
      <c r="R1545" t="n">
        <v>44483</v>
      </c>
      <c r="AD1545" t="inlineStr">
        <is>
          <t>TRUMBULL CAREER &amp; TECH CENTER</t>
        </is>
      </c>
      <c r="AE1545" t="inlineStr">
        <is>
          <t>WARREN CITY</t>
        </is>
      </c>
      <c r="AF1545" t="inlineStr">
        <is>
          <t>WARREN CITY SD</t>
        </is>
      </c>
      <c r="AH1545" t="n">
        <v>14</v>
      </c>
      <c r="AI1545" t="n">
        <v>11</v>
      </c>
      <c r="AN1545" t="inlineStr">
        <is>
          <t>WARREN</t>
        </is>
      </c>
      <c r="AO1545" t="inlineStr">
        <is>
          <t>WARREN CITY 4D</t>
        </is>
      </c>
      <c r="AP1545" t="inlineStr">
        <is>
          <t>78-P-ADL</t>
        </is>
      </c>
      <c r="AQ1545" t="n">
        <v>9</v>
      </c>
      <c r="AR1545" t="n">
        <v>64</v>
      </c>
      <c r="AS1545" t="n">
        <v>32</v>
      </c>
      <c r="AU1545">
        <f>COUNTA($BA$1545:$EH$1545)</f>
        <v/>
      </c>
      <c r="AV1545">
        <f>COUNTIF($BA$1545:$EH$1545,"D")</f>
        <v/>
      </c>
      <c r="AW1545">
        <f>COUNTIF($BA$1545:$EH$1545,"R")</f>
        <v/>
      </c>
      <c r="AX1545">
        <f>IF(BN1545="D",1,0)+IF(BO1545="D",1,0)+IF(BT1545="D",1,0)+IF(BU1545="D",1,0)+IF(BW1545="D",1,0)+IF(CC1545="D",1,0)+IF(CD1545="D",1,0)+IF(CE1545="D",1,0)+IF(CF1545="D",1,0)+IF(CL1545="D",1,0)+IF(CM1545="D",1,0)+IF(CQ1545="D",1,0)+IF(CR1545="D",1,0)+IF(CS1545="D",1,0)+IF(CW1545="D",1,0)+IF(CX1545="D",1,0)+IF(DD1545="D",1,0)+IF(DE1545="D",1,0)+IF(DJ1545="D",1,0)+IF(DK1545="D",1,0)+IF(DO1545="D",1,0)+IF(DP1545="D",1,0)+IF(DQ1545="D",1,0)+IF(DW1545="D",1,0)+IF(DZ1545="D",1,0)+IF(EH1545="D",1,0)</f>
        <v/>
      </c>
      <c r="AY1545">
        <f>IF(DJ1545&lt;&gt;"",1,0)+IF(DK1545&lt;&gt;"",1,0)+IF(DM1545&lt;&gt;"",1,0)+IF(DO1545&lt;&gt;"",1,0)+IF(DP1545&lt;&gt;"",1,0)+IF(DQ1545&lt;&gt;"",1,0)+IF(DS1545&lt;&gt;"",1,0)+IF(DT1545&lt;&gt;"",1,0)+IF(DV1545&lt;&gt;"",1,0)+IF(DW1545&lt;&gt;"",1,0)+IF(DX1545&lt;&gt;"",1,0)+IF(DY1545&lt;&gt;"",1,0)+IF(DZ1545&lt;&gt;"",1,0)+IF(EB1545&lt;&gt;"",1,0)+IF(EC1545&lt;&gt;"",1,0)+IF(ED1545&lt;&gt;"",1,0)+IF(EG1545&lt;&gt;"",1,0)+IF(EH1545&lt;&gt;"",1,0)</f>
        <v/>
      </c>
      <c r="AZ1545">
        <f>IF(EH1545&lt;&gt;"",1,0)</f>
        <v/>
      </c>
      <c r="BB1545" t="inlineStr">
        <is>
          <t>WARREN-WARD 4</t>
        </is>
      </c>
    </row>
    <row r="1546">
      <c r="A1546" t="inlineStr">
        <is>
          <t>OH0021371845</t>
        </is>
      </c>
      <c r="B1546" t="n">
        <v>78</v>
      </c>
      <c r="C1546" t="n">
        <v>372240</v>
      </c>
      <c r="D1546" t="inlineStr">
        <is>
          <t>JOHNSON</t>
        </is>
      </c>
      <c r="E1546" t="inlineStr">
        <is>
          <t>TAMMY</t>
        </is>
      </c>
      <c r="F1546">
        <f>CONCATENATE(D1546," ",LEFT(H1546,4),"T=",AU1546,"D=",AV1546,"R=",AW1546,"M=",AX1546,"L=",AY1546,"B=",AZ1546)</f>
        <v/>
      </c>
      <c r="G1546" t="inlineStr">
        <is>
          <t>R</t>
        </is>
      </c>
      <c r="I1546" t="inlineStr">
        <is>
          <t>1983-03-03</t>
        </is>
      </c>
      <c r="J1546" t="inlineStr">
        <is>
          <t>2011-04-12</t>
        </is>
      </c>
      <c r="K1546" t="inlineStr">
        <is>
          <t>ACTIVE</t>
        </is>
      </c>
      <c r="M1546" t="inlineStr">
        <is>
          <t>349 SCOTT ST NE</t>
        </is>
      </c>
      <c r="N1546">
        <f>RIGHT(M1546,LEN(M1546)-FIND(" ",M1546))</f>
        <v/>
      </c>
      <c r="P1546" t="inlineStr">
        <is>
          <t>WARREN</t>
        </is>
      </c>
      <c r="Q1546" t="inlineStr">
        <is>
          <t>OH</t>
        </is>
      </c>
      <c r="R1546" t="n">
        <v>44483</v>
      </c>
      <c r="AD1546" t="inlineStr">
        <is>
          <t>TRUMBULL CAREER &amp; TECH CENTER</t>
        </is>
      </c>
      <c r="AE1546" t="inlineStr">
        <is>
          <t>WARREN CITY</t>
        </is>
      </c>
      <c r="AF1546" t="inlineStr">
        <is>
          <t>WARREN CITY SD</t>
        </is>
      </c>
      <c r="AH1546" t="n">
        <v>14</v>
      </c>
      <c r="AI1546" t="n">
        <v>11</v>
      </c>
      <c r="AN1546" t="inlineStr">
        <is>
          <t>WARREN</t>
        </is>
      </c>
      <c r="AO1546" t="inlineStr">
        <is>
          <t>WARREN CITY 4D</t>
        </is>
      </c>
      <c r="AP1546" t="inlineStr">
        <is>
          <t>78-P-ADL</t>
        </is>
      </c>
      <c r="AQ1546" t="n">
        <v>9</v>
      </c>
      <c r="AR1546" t="n">
        <v>64</v>
      </c>
      <c r="AS1546" t="n">
        <v>32</v>
      </c>
      <c r="AU1546">
        <f>COUNTA($BA$1546:$EH$1546)</f>
        <v/>
      </c>
      <c r="AV1546">
        <f>COUNTIF($BA$1546:$EH$1546,"D")</f>
        <v/>
      </c>
      <c r="AW1546">
        <f>COUNTIF($BA$1546:$EH$1546,"R")</f>
        <v/>
      </c>
      <c r="AX1546">
        <f>IF(BN1546="D",1,0)+IF(BO1546="D",1,0)+IF(BT1546="D",1,0)+IF(BU1546="D",1,0)+IF(BW1546="D",1,0)+IF(CC1546="D",1,0)+IF(CD1546="D",1,0)+IF(CE1546="D",1,0)+IF(CF1546="D",1,0)+IF(CL1546="D",1,0)+IF(CM1546="D",1,0)+IF(CQ1546="D",1,0)+IF(CR1546="D",1,0)+IF(CS1546="D",1,0)+IF(CW1546="D",1,0)+IF(CX1546="D",1,0)+IF(DD1546="D",1,0)+IF(DE1546="D",1,0)+IF(DJ1546="D",1,0)+IF(DK1546="D",1,0)+IF(DO1546="D",1,0)+IF(DP1546="D",1,0)+IF(DQ1546="D",1,0)+IF(DW1546="D",1,0)+IF(DZ1546="D",1,0)+IF(EH1546="D",1,0)</f>
        <v/>
      </c>
      <c r="AY1546">
        <f>IF(DJ1546&lt;&gt;"",1,0)+IF(DK1546&lt;&gt;"",1,0)+IF(DM1546&lt;&gt;"",1,0)+IF(DO1546&lt;&gt;"",1,0)+IF(DP1546&lt;&gt;"",1,0)+IF(DQ1546&lt;&gt;"",1,0)+IF(DS1546&lt;&gt;"",1,0)+IF(DT1546&lt;&gt;"",1,0)+IF(DV1546&lt;&gt;"",1,0)+IF(DW1546&lt;&gt;"",1,0)+IF(DX1546&lt;&gt;"",1,0)+IF(DY1546&lt;&gt;"",1,0)+IF(DZ1546&lt;&gt;"",1,0)+IF(EB1546&lt;&gt;"",1,0)+IF(EC1546&lt;&gt;"",1,0)+IF(ED1546&lt;&gt;"",1,0)+IF(EG1546&lt;&gt;"",1,0)+IF(EH1546&lt;&gt;"",1,0)</f>
        <v/>
      </c>
      <c r="AZ1546">
        <f>IF(EH1546&lt;&gt;"",1,0)</f>
        <v/>
      </c>
      <c r="BB1546" t="inlineStr">
        <is>
          <t>WARREN-WARD 4</t>
        </is>
      </c>
      <c r="CP1546" t="inlineStr">
        <is>
          <t>X</t>
        </is>
      </c>
      <c r="DC1546" t="inlineStr">
        <is>
          <t>X</t>
        </is>
      </c>
      <c r="DI1546" t="inlineStr">
        <is>
          <t>X</t>
        </is>
      </c>
      <c r="DN1546" t="inlineStr">
        <is>
          <t>X</t>
        </is>
      </c>
      <c r="EA1546" t="inlineStr">
        <is>
          <t>X</t>
        </is>
      </c>
      <c r="EF1546" t="inlineStr">
        <is>
          <t>X</t>
        </is>
      </c>
    </row>
    <row r="1547">
      <c r="A1547" t="inlineStr">
        <is>
          <t>OH0021796768</t>
        </is>
      </c>
      <c r="B1547" t="n">
        <v>78</v>
      </c>
      <c r="C1547" t="n">
        <v>387370</v>
      </c>
      <c r="D1547" t="inlineStr">
        <is>
          <t>CONLEY</t>
        </is>
      </c>
      <c r="E1547" t="inlineStr">
        <is>
          <t>DONALD</t>
        </is>
      </c>
      <c r="F1547">
        <f>CONCATENATE(D1547," ",LEFT(H1547,4),"T=",AU1547,"D=",AV1547,"R=",AW1547,"M=",AX1547,"L=",AY1547,"B=",AZ1547)</f>
        <v/>
      </c>
      <c r="G1547" t="inlineStr">
        <is>
          <t>R</t>
        </is>
      </c>
      <c r="I1547" t="inlineStr">
        <is>
          <t>1954-04-23</t>
        </is>
      </c>
      <c r="J1547" t="inlineStr">
        <is>
          <t>2015-08-13</t>
        </is>
      </c>
      <c r="K1547" t="inlineStr">
        <is>
          <t>ACTIVE</t>
        </is>
      </c>
      <c r="M1547" t="inlineStr">
        <is>
          <t>341 SCOTT ST NE</t>
        </is>
      </c>
      <c r="N1547">
        <f>RIGHT(M1547,LEN(M1547)-FIND(" ",M1547))</f>
        <v/>
      </c>
      <c r="P1547" t="inlineStr">
        <is>
          <t>WARREN</t>
        </is>
      </c>
      <c r="Q1547" t="inlineStr">
        <is>
          <t>OH</t>
        </is>
      </c>
      <c r="R1547" t="n">
        <v>44483</v>
      </c>
      <c r="AD1547" t="inlineStr">
        <is>
          <t>TRUMBULL CAREER &amp; TECH CENTER</t>
        </is>
      </c>
      <c r="AE1547" t="inlineStr">
        <is>
          <t>WARREN CITY</t>
        </is>
      </c>
      <c r="AF1547" t="inlineStr">
        <is>
          <t>WARREN CITY SD</t>
        </is>
      </c>
      <c r="AH1547" t="n">
        <v>14</v>
      </c>
      <c r="AI1547" t="n">
        <v>11</v>
      </c>
      <c r="AN1547" t="inlineStr">
        <is>
          <t>WARREN</t>
        </is>
      </c>
      <c r="AO1547" t="inlineStr">
        <is>
          <t>WARREN CITY 4D</t>
        </is>
      </c>
      <c r="AP1547" t="inlineStr">
        <is>
          <t>78-P-ADL</t>
        </is>
      </c>
      <c r="AQ1547" t="n">
        <v>9</v>
      </c>
      <c r="AR1547" t="n">
        <v>64</v>
      </c>
      <c r="AS1547" t="n">
        <v>32</v>
      </c>
      <c r="AU1547">
        <f>COUNTA($BA$1547:$EH$1547)</f>
        <v/>
      </c>
      <c r="AV1547">
        <f>COUNTIF($BA$1547:$EH$1547,"D")</f>
        <v/>
      </c>
      <c r="AW1547">
        <f>COUNTIF($BA$1547:$EH$1547,"R")</f>
        <v/>
      </c>
      <c r="AX1547">
        <f>IF(BN1547="D",1,0)+IF(BO1547="D",1,0)+IF(BT1547="D",1,0)+IF(BU1547="D",1,0)+IF(BW1547="D",1,0)+IF(CC1547="D",1,0)+IF(CD1547="D",1,0)+IF(CE1547="D",1,0)+IF(CF1547="D",1,0)+IF(CL1547="D",1,0)+IF(CM1547="D",1,0)+IF(CQ1547="D",1,0)+IF(CR1547="D",1,0)+IF(CS1547="D",1,0)+IF(CW1547="D",1,0)+IF(CX1547="D",1,0)+IF(DD1547="D",1,0)+IF(DE1547="D",1,0)+IF(DJ1547="D",1,0)+IF(DK1547="D",1,0)+IF(DO1547="D",1,0)+IF(DP1547="D",1,0)+IF(DQ1547="D",1,0)+IF(DW1547="D",1,0)+IF(DZ1547="D",1,0)+IF(EH1547="D",1,0)</f>
        <v/>
      </c>
      <c r="AY1547">
        <f>IF(DJ1547&lt;&gt;"",1,0)+IF(DK1547&lt;&gt;"",1,0)+IF(DM1547&lt;&gt;"",1,0)+IF(DO1547&lt;&gt;"",1,0)+IF(DP1547&lt;&gt;"",1,0)+IF(DQ1547&lt;&gt;"",1,0)+IF(DS1547&lt;&gt;"",1,0)+IF(DT1547&lt;&gt;"",1,0)+IF(DV1547&lt;&gt;"",1,0)+IF(DW1547&lt;&gt;"",1,0)+IF(DX1547&lt;&gt;"",1,0)+IF(DY1547&lt;&gt;"",1,0)+IF(DZ1547&lt;&gt;"",1,0)+IF(EB1547&lt;&gt;"",1,0)+IF(EC1547&lt;&gt;"",1,0)+IF(ED1547&lt;&gt;"",1,0)+IF(EG1547&lt;&gt;"",1,0)+IF(EH1547&lt;&gt;"",1,0)</f>
        <v/>
      </c>
      <c r="AZ1547">
        <f>IF(EH1547&lt;&gt;"",1,0)</f>
        <v/>
      </c>
      <c r="BB1547" t="inlineStr">
        <is>
          <t>WARREN-WARD 4</t>
        </is>
      </c>
      <c r="CP1547" t="inlineStr">
        <is>
          <t>X</t>
        </is>
      </c>
      <c r="CY1547" t="inlineStr">
        <is>
          <t>X</t>
        </is>
      </c>
      <c r="DC1547" t="inlineStr">
        <is>
          <t>X</t>
        </is>
      </c>
      <c r="DI1547" t="inlineStr">
        <is>
          <t>X</t>
        </is>
      </c>
      <c r="DN1547" t="inlineStr">
        <is>
          <t>X</t>
        </is>
      </c>
      <c r="DU1547" t="inlineStr">
        <is>
          <t>X</t>
        </is>
      </c>
      <c r="DX1547" t="inlineStr">
        <is>
          <t>X</t>
        </is>
      </c>
      <c r="EA1547" t="inlineStr">
        <is>
          <t>X</t>
        </is>
      </c>
      <c r="EF1547" t="inlineStr">
        <is>
          <t>X</t>
        </is>
      </c>
    </row>
    <row r="1548">
      <c r="A1548" t="inlineStr">
        <is>
          <t>OH0015709960</t>
        </is>
      </c>
      <c r="B1548" t="n">
        <v>78</v>
      </c>
      <c r="C1548" t="n">
        <v>176500</v>
      </c>
      <c r="D1548" t="inlineStr">
        <is>
          <t>STROTHER</t>
        </is>
      </c>
      <c r="E1548" t="inlineStr">
        <is>
          <t>BARBARA</t>
        </is>
      </c>
      <c r="F1548">
        <f>CONCATENATE(D1548," ",LEFT(H1548,4),"T=",AU1548,"D=",AV1548,"R=",AW1548,"M=",AX1548,"L=",AY1548,"B=",AZ1548)</f>
        <v/>
      </c>
      <c r="G1548" t="inlineStr">
        <is>
          <t>S</t>
        </is>
      </c>
      <c r="I1548" t="inlineStr">
        <is>
          <t>1956-08-02</t>
        </is>
      </c>
      <c r="J1548" t="inlineStr">
        <is>
          <t>2015-09-15</t>
        </is>
      </c>
      <c r="K1548" t="inlineStr">
        <is>
          <t>ACTIVE</t>
        </is>
      </c>
      <c r="L1548" t="inlineStr">
        <is>
          <t>D</t>
        </is>
      </c>
      <c r="M1548" t="inlineStr">
        <is>
          <t>435 SCOTT ST NE</t>
        </is>
      </c>
      <c r="N1548">
        <f>RIGHT(M1548,LEN(M1548)-FIND(" ",M1548))</f>
        <v/>
      </c>
      <c r="P1548" t="inlineStr">
        <is>
          <t>WARREN</t>
        </is>
      </c>
      <c r="Q1548" t="inlineStr">
        <is>
          <t>OH</t>
        </is>
      </c>
      <c r="R1548" t="n">
        <v>44483</v>
      </c>
      <c r="AD1548" t="inlineStr">
        <is>
          <t>TRUMBULL CAREER &amp; TECH CENTER</t>
        </is>
      </c>
      <c r="AE1548" t="inlineStr">
        <is>
          <t>WARREN CITY</t>
        </is>
      </c>
      <c r="AF1548" t="inlineStr">
        <is>
          <t>WARREN CITY SD</t>
        </is>
      </c>
      <c r="AH1548" t="n">
        <v>14</v>
      </c>
      <c r="AI1548" t="n">
        <v>11</v>
      </c>
      <c r="AN1548" t="inlineStr">
        <is>
          <t>WARREN</t>
        </is>
      </c>
      <c r="AO1548" t="inlineStr">
        <is>
          <t>WARREN CITY 4D</t>
        </is>
      </c>
      <c r="AP1548" t="inlineStr">
        <is>
          <t>78-P-ADL</t>
        </is>
      </c>
      <c r="AQ1548" t="n">
        <v>9</v>
      </c>
      <c r="AR1548" t="n">
        <v>64</v>
      </c>
      <c r="AS1548" t="n">
        <v>32</v>
      </c>
      <c r="AU1548">
        <f>COUNTA($BA$1548:$EH$1548)</f>
        <v/>
      </c>
      <c r="AV1548">
        <f>COUNTIF($BA$1548:$EH$1548,"D")</f>
        <v/>
      </c>
      <c r="AW1548">
        <f>COUNTIF($BA$1548:$EH$1548,"R")</f>
        <v/>
      </c>
      <c r="AX1548">
        <f>IF(BN1548="D",1,0)+IF(BO1548="D",1,0)+IF(BT1548="D",1,0)+IF(BU1548="D",1,0)+IF(BW1548="D",1,0)+IF(CC1548="D",1,0)+IF(CD1548="D",1,0)+IF(CE1548="D",1,0)+IF(CF1548="D",1,0)+IF(CL1548="D",1,0)+IF(CM1548="D",1,0)+IF(CQ1548="D",1,0)+IF(CR1548="D",1,0)+IF(CS1548="D",1,0)+IF(CW1548="D",1,0)+IF(CX1548="D",1,0)+IF(DD1548="D",1,0)+IF(DE1548="D",1,0)+IF(DJ1548="D",1,0)+IF(DK1548="D",1,0)+IF(DO1548="D",1,0)+IF(DP1548="D",1,0)+IF(DQ1548="D",1,0)+IF(DW1548="D",1,0)+IF(DZ1548="D",1,0)+IF(EH1548="D",1,0)</f>
        <v/>
      </c>
      <c r="AY1548">
        <f>IF(DJ1548&lt;&gt;"",1,0)+IF(DK1548&lt;&gt;"",1,0)+IF(DM1548&lt;&gt;"",1,0)+IF(DO1548&lt;&gt;"",1,0)+IF(DP1548&lt;&gt;"",1,0)+IF(DQ1548&lt;&gt;"",1,0)+IF(DS1548&lt;&gt;"",1,0)+IF(DT1548&lt;&gt;"",1,0)+IF(DV1548&lt;&gt;"",1,0)+IF(DW1548&lt;&gt;"",1,0)+IF(DX1548&lt;&gt;"",1,0)+IF(DY1548&lt;&gt;"",1,0)+IF(DZ1548&lt;&gt;"",1,0)+IF(EB1548&lt;&gt;"",1,0)+IF(EC1548&lt;&gt;"",1,0)+IF(ED1548&lt;&gt;"",1,0)+IF(EG1548&lt;&gt;"",1,0)+IF(EH1548&lt;&gt;"",1,0)</f>
        <v/>
      </c>
      <c r="AZ1548">
        <f>IF(EH1548&lt;&gt;"",1,0)</f>
        <v/>
      </c>
      <c r="BB1548" t="inlineStr">
        <is>
          <t>WARREN-WARD 4</t>
        </is>
      </c>
      <c r="BC1548" t="inlineStr">
        <is>
          <t>X</t>
        </is>
      </c>
      <c r="BD1548" t="inlineStr">
        <is>
          <t>X</t>
        </is>
      </c>
      <c r="BE1548" t="inlineStr">
        <is>
          <t>X</t>
        </is>
      </c>
      <c r="BF1548" t="inlineStr">
        <is>
          <t>X</t>
        </is>
      </c>
      <c r="BG1548" t="inlineStr">
        <is>
          <t>X</t>
        </is>
      </c>
      <c r="BH1548" t="inlineStr">
        <is>
          <t>X</t>
        </is>
      </c>
      <c r="BI1548" t="inlineStr">
        <is>
          <t>X</t>
        </is>
      </c>
      <c r="BJ1548" t="inlineStr">
        <is>
          <t>X</t>
        </is>
      </c>
      <c r="BL1548" t="inlineStr">
        <is>
          <t>X</t>
        </is>
      </c>
      <c r="BP1548" t="inlineStr">
        <is>
          <t>X</t>
        </is>
      </c>
      <c r="BR1548" t="inlineStr">
        <is>
          <t>X</t>
        </is>
      </c>
      <c r="BS1548" t="inlineStr">
        <is>
          <t>X</t>
        </is>
      </c>
      <c r="BV1548" t="inlineStr">
        <is>
          <t>X</t>
        </is>
      </c>
      <c r="BY1548" t="inlineStr">
        <is>
          <t>D</t>
        </is>
      </c>
      <c r="CA1548" t="inlineStr">
        <is>
          <t>X</t>
        </is>
      </c>
      <c r="CC1548" t="inlineStr">
        <is>
          <t>D</t>
        </is>
      </c>
      <c r="CH1548" t="inlineStr">
        <is>
          <t>D</t>
        </is>
      </c>
      <c r="CK1548" t="inlineStr">
        <is>
          <t>X</t>
        </is>
      </c>
      <c r="CL1548" t="inlineStr">
        <is>
          <t>D</t>
        </is>
      </c>
      <c r="CN1548" t="inlineStr">
        <is>
          <t>X</t>
        </is>
      </c>
      <c r="CO1548" t="inlineStr">
        <is>
          <t>D</t>
        </is>
      </c>
      <c r="CP1548" t="inlineStr">
        <is>
          <t>X</t>
        </is>
      </c>
      <c r="CQ1548" t="inlineStr">
        <is>
          <t>D</t>
        </is>
      </c>
      <c r="CT1548" t="inlineStr">
        <is>
          <t>X</t>
        </is>
      </c>
      <c r="CU1548" t="inlineStr">
        <is>
          <t>D</t>
        </is>
      </c>
      <c r="CV1548" t="inlineStr">
        <is>
          <t>X</t>
        </is>
      </c>
      <c r="CW1548" t="inlineStr">
        <is>
          <t>D</t>
        </is>
      </c>
      <c r="CY1548" t="inlineStr">
        <is>
          <t>X</t>
        </is>
      </c>
      <c r="CZ1548" t="inlineStr">
        <is>
          <t>D</t>
        </is>
      </c>
      <c r="DC1548" t="inlineStr">
        <is>
          <t>X</t>
        </is>
      </c>
      <c r="DF1548" t="inlineStr">
        <is>
          <t>X</t>
        </is>
      </c>
      <c r="DG1548" t="inlineStr">
        <is>
          <t>D</t>
        </is>
      </c>
      <c r="DI1548" t="inlineStr">
        <is>
          <t>X</t>
        </is>
      </c>
      <c r="DJ1548" t="inlineStr">
        <is>
          <t>D</t>
        </is>
      </c>
      <c r="DL1548" t="inlineStr">
        <is>
          <t>X</t>
        </is>
      </c>
      <c r="DN1548" t="inlineStr">
        <is>
          <t>X</t>
        </is>
      </c>
      <c r="DR1548" t="inlineStr">
        <is>
          <t>X</t>
        </is>
      </c>
      <c r="DS1548" t="inlineStr">
        <is>
          <t>D</t>
        </is>
      </c>
      <c r="DT1548" t="inlineStr">
        <is>
          <t>D</t>
        </is>
      </c>
      <c r="DW1548" t="inlineStr">
        <is>
          <t>D</t>
        </is>
      </c>
      <c r="DX1548" t="inlineStr">
        <is>
          <t>X</t>
        </is>
      </c>
      <c r="EA1548" t="inlineStr">
        <is>
          <t>X</t>
        </is>
      </c>
      <c r="ED1548" t="inlineStr">
        <is>
          <t>D</t>
        </is>
      </c>
      <c r="EF1548" t="inlineStr">
        <is>
          <t>X</t>
        </is>
      </c>
      <c r="EH1548" t="inlineStr">
        <is>
          <t>D</t>
        </is>
      </c>
    </row>
    <row r="1549">
      <c r="A1549" t="inlineStr">
        <is>
          <t>OH0015768173</t>
        </is>
      </c>
      <c r="B1549" t="n">
        <v>78</v>
      </c>
      <c r="C1549" t="n">
        <v>267270</v>
      </c>
      <c r="D1549" t="inlineStr">
        <is>
          <t>KORNMUELLER</t>
        </is>
      </c>
      <c r="E1549" t="inlineStr">
        <is>
          <t>ROBERT</t>
        </is>
      </c>
      <c r="F1549">
        <f>CONCATENATE(D1549," ",LEFT(H1549,4),"T=",AU1549,"D=",AV1549,"R=",AW1549,"M=",AX1549,"L=",AY1549,"B=",AZ1549)</f>
        <v/>
      </c>
      <c r="G1549" t="inlineStr">
        <is>
          <t>JOHN</t>
        </is>
      </c>
      <c r="I1549" t="inlineStr">
        <is>
          <t>1978-01-10</t>
        </is>
      </c>
      <c r="J1549" t="inlineStr">
        <is>
          <t>2024-08-21</t>
        </is>
      </c>
      <c r="K1549" t="inlineStr">
        <is>
          <t>ACTIVE</t>
        </is>
      </c>
      <c r="M1549" t="inlineStr">
        <is>
          <t>531 WASHINGTON ST NE</t>
        </is>
      </c>
      <c r="N1549">
        <f>RIGHT(M1549,LEN(M1549)-FIND(" ",M1549))</f>
        <v/>
      </c>
      <c r="P1549" t="inlineStr">
        <is>
          <t>WARREN</t>
        </is>
      </c>
      <c r="Q1549" t="inlineStr">
        <is>
          <t>OH</t>
        </is>
      </c>
      <c r="R1549" t="n">
        <v>44483</v>
      </c>
      <c r="AD1549" t="inlineStr">
        <is>
          <t>TRUMBULL CAREER &amp; TECH CENTER</t>
        </is>
      </c>
      <c r="AE1549" t="inlineStr">
        <is>
          <t>WARREN CITY</t>
        </is>
      </c>
      <c r="AF1549" t="inlineStr">
        <is>
          <t>WARREN CITY SD</t>
        </is>
      </c>
      <c r="AH1549" t="n">
        <v>14</v>
      </c>
      <c r="AI1549" t="n">
        <v>11</v>
      </c>
      <c r="AN1549" t="inlineStr">
        <is>
          <t>WARREN</t>
        </is>
      </c>
      <c r="AO1549" t="inlineStr">
        <is>
          <t>WARREN CITY 4D</t>
        </is>
      </c>
      <c r="AP1549" t="inlineStr">
        <is>
          <t>78-P-ADL</t>
        </is>
      </c>
      <c r="AQ1549" t="n">
        <v>9</v>
      </c>
      <c r="AR1549" t="n">
        <v>64</v>
      </c>
      <c r="AS1549" t="n">
        <v>32</v>
      </c>
      <c r="AU1549">
        <f>COUNTA($BA$1549:$EH$1549)</f>
        <v/>
      </c>
      <c r="AV1549">
        <f>COUNTIF($BA$1549:$EH$1549,"D")</f>
        <v/>
      </c>
      <c r="AW1549">
        <f>COUNTIF($BA$1549:$EH$1549,"R")</f>
        <v/>
      </c>
      <c r="AX1549">
        <f>IF(BN1549="D",1,0)+IF(BO1549="D",1,0)+IF(BT1549="D",1,0)+IF(BU1549="D",1,0)+IF(BW1549="D",1,0)+IF(CC1549="D",1,0)+IF(CD1549="D",1,0)+IF(CE1549="D",1,0)+IF(CF1549="D",1,0)+IF(CL1549="D",1,0)+IF(CM1549="D",1,0)+IF(CQ1549="D",1,0)+IF(CR1549="D",1,0)+IF(CS1549="D",1,0)+IF(CW1549="D",1,0)+IF(CX1549="D",1,0)+IF(DD1549="D",1,0)+IF(DE1549="D",1,0)+IF(DJ1549="D",1,0)+IF(DK1549="D",1,0)+IF(DO1549="D",1,0)+IF(DP1549="D",1,0)+IF(DQ1549="D",1,0)+IF(DW1549="D",1,0)+IF(DZ1549="D",1,0)+IF(EH1549="D",1,0)</f>
        <v/>
      </c>
      <c r="AY1549">
        <f>IF(DJ1549&lt;&gt;"",1,0)+IF(DK1549&lt;&gt;"",1,0)+IF(DM1549&lt;&gt;"",1,0)+IF(DO1549&lt;&gt;"",1,0)+IF(DP1549&lt;&gt;"",1,0)+IF(DQ1549&lt;&gt;"",1,0)+IF(DS1549&lt;&gt;"",1,0)+IF(DT1549&lt;&gt;"",1,0)+IF(DV1549&lt;&gt;"",1,0)+IF(DW1549&lt;&gt;"",1,0)+IF(DX1549&lt;&gt;"",1,0)+IF(DY1549&lt;&gt;"",1,0)+IF(DZ1549&lt;&gt;"",1,0)+IF(EB1549&lt;&gt;"",1,0)+IF(EC1549&lt;&gt;"",1,0)+IF(ED1549&lt;&gt;"",1,0)+IF(EG1549&lt;&gt;"",1,0)+IF(EH1549&lt;&gt;"",1,0)</f>
        <v/>
      </c>
      <c r="AZ1549">
        <f>IF(EH1549&lt;&gt;"",1,0)</f>
        <v/>
      </c>
      <c r="BB1549" t="inlineStr">
        <is>
          <t>WARREN-WARD 4</t>
        </is>
      </c>
      <c r="CP1549" t="inlineStr">
        <is>
          <t>X</t>
        </is>
      </c>
      <c r="CY1549" t="inlineStr">
        <is>
          <t>X</t>
        </is>
      </c>
      <c r="DC1549" t="inlineStr">
        <is>
          <t>X</t>
        </is>
      </c>
      <c r="DI1549" t="inlineStr">
        <is>
          <t>X</t>
        </is>
      </c>
      <c r="DN1549" t="inlineStr">
        <is>
          <t>X</t>
        </is>
      </c>
      <c r="DU1549" t="inlineStr">
        <is>
          <t>X</t>
        </is>
      </c>
      <c r="DX1549" t="inlineStr">
        <is>
          <t>X</t>
        </is>
      </c>
      <c r="EA1549" t="inlineStr">
        <is>
          <t>X</t>
        </is>
      </c>
      <c r="EF1549" t="inlineStr">
        <is>
          <t>X</t>
        </is>
      </c>
    </row>
    <row r="1550">
      <c r="A1550" t="inlineStr">
        <is>
          <t>OH0027139512</t>
        </is>
      </c>
      <c r="B1550" t="n">
        <v>78</v>
      </c>
      <c r="C1550" t="n">
        <v>477678</v>
      </c>
      <c r="D1550" t="inlineStr">
        <is>
          <t>BURT</t>
        </is>
      </c>
      <c r="E1550" t="inlineStr">
        <is>
          <t>CHAD</t>
        </is>
      </c>
      <c r="F1550">
        <f>CONCATENATE(D1550," ",LEFT(H1550,4),"T=",AU1550,"D=",AV1550,"R=",AW1550,"M=",AX1550,"L=",AY1550,"B=",AZ1550)</f>
        <v/>
      </c>
      <c r="G1550" t="inlineStr">
        <is>
          <t>MICHAEL</t>
        </is>
      </c>
      <c r="I1550" t="inlineStr">
        <is>
          <t>1982-10-15</t>
        </is>
      </c>
      <c r="J1550" t="inlineStr">
        <is>
          <t>2024-08-21</t>
        </is>
      </c>
      <c r="K1550" t="inlineStr">
        <is>
          <t>ACTIVE</t>
        </is>
      </c>
      <c r="M1550" t="inlineStr">
        <is>
          <t>473 PORTER ST NE</t>
        </is>
      </c>
      <c r="N1550">
        <f>RIGHT(M1550,LEN(M1550)-FIND(" ",M1550))</f>
        <v/>
      </c>
      <c r="P1550" t="inlineStr">
        <is>
          <t>WARREN</t>
        </is>
      </c>
      <c r="Q1550" t="inlineStr">
        <is>
          <t>OH</t>
        </is>
      </c>
      <c r="R1550" t="n">
        <v>44483</v>
      </c>
      <c r="AD1550" t="inlineStr">
        <is>
          <t>TRUMBULL CAREER &amp; TECH CENTER</t>
        </is>
      </c>
      <c r="AE1550" t="inlineStr">
        <is>
          <t>WARREN CITY</t>
        </is>
      </c>
      <c r="AF1550" t="inlineStr">
        <is>
          <t>WARREN CITY SD</t>
        </is>
      </c>
      <c r="AH1550" t="n">
        <v>14</v>
      </c>
      <c r="AI1550" t="n">
        <v>11</v>
      </c>
      <c r="AN1550" t="inlineStr">
        <is>
          <t>WARREN</t>
        </is>
      </c>
      <c r="AO1550" t="inlineStr">
        <is>
          <t>WARREN CITY 4D</t>
        </is>
      </c>
      <c r="AP1550" t="inlineStr">
        <is>
          <t>78-P-ADL</t>
        </is>
      </c>
      <c r="AQ1550" t="n">
        <v>9</v>
      </c>
      <c r="AR1550" t="n">
        <v>64</v>
      </c>
      <c r="AS1550" t="n">
        <v>32</v>
      </c>
      <c r="AU1550">
        <f>COUNTA($BA$1550:$EH$1550)</f>
        <v/>
      </c>
      <c r="AV1550">
        <f>COUNTIF($BA$1550:$EH$1550,"D")</f>
        <v/>
      </c>
      <c r="AW1550">
        <f>COUNTIF($BA$1550:$EH$1550,"R")</f>
        <v/>
      </c>
      <c r="AX1550">
        <f>IF(BN1550="D",1,0)+IF(BO1550="D",1,0)+IF(BT1550="D",1,0)+IF(BU1550="D",1,0)+IF(BW1550="D",1,0)+IF(CC1550="D",1,0)+IF(CD1550="D",1,0)+IF(CE1550="D",1,0)+IF(CF1550="D",1,0)+IF(CL1550="D",1,0)+IF(CM1550="D",1,0)+IF(CQ1550="D",1,0)+IF(CR1550="D",1,0)+IF(CS1550="D",1,0)+IF(CW1550="D",1,0)+IF(CX1550="D",1,0)+IF(DD1550="D",1,0)+IF(DE1550="D",1,0)+IF(DJ1550="D",1,0)+IF(DK1550="D",1,0)+IF(DO1550="D",1,0)+IF(DP1550="D",1,0)+IF(DQ1550="D",1,0)+IF(DW1550="D",1,0)+IF(DZ1550="D",1,0)+IF(EH1550="D",1,0)</f>
        <v/>
      </c>
      <c r="AY1550">
        <f>IF(DJ1550&lt;&gt;"",1,0)+IF(DK1550&lt;&gt;"",1,0)+IF(DM1550&lt;&gt;"",1,0)+IF(DO1550&lt;&gt;"",1,0)+IF(DP1550&lt;&gt;"",1,0)+IF(DQ1550&lt;&gt;"",1,0)+IF(DS1550&lt;&gt;"",1,0)+IF(DT1550&lt;&gt;"",1,0)+IF(DV1550&lt;&gt;"",1,0)+IF(DW1550&lt;&gt;"",1,0)+IF(DX1550&lt;&gt;"",1,0)+IF(DY1550&lt;&gt;"",1,0)+IF(DZ1550&lt;&gt;"",1,0)+IF(EB1550&lt;&gt;"",1,0)+IF(EC1550&lt;&gt;"",1,0)+IF(ED1550&lt;&gt;"",1,0)+IF(EG1550&lt;&gt;"",1,0)+IF(EH1550&lt;&gt;"",1,0)</f>
        <v/>
      </c>
      <c r="AZ1550">
        <f>IF(EH1550&lt;&gt;"",1,0)</f>
        <v/>
      </c>
      <c r="BB1550" t="inlineStr">
        <is>
          <t>WARREN-WARD 4</t>
        </is>
      </c>
      <c r="CY1550" t="inlineStr">
        <is>
          <t>X</t>
        </is>
      </c>
      <c r="DC1550" t="inlineStr">
        <is>
          <t>X</t>
        </is>
      </c>
      <c r="DL1550" t="inlineStr">
        <is>
          <t>X</t>
        </is>
      </c>
      <c r="DN1550" t="inlineStr">
        <is>
          <t>X</t>
        </is>
      </c>
      <c r="DU1550" t="inlineStr">
        <is>
          <t>X</t>
        </is>
      </c>
      <c r="EF1550" t="inlineStr">
        <is>
          <t>X</t>
        </is>
      </c>
    </row>
    <row r="1551">
      <c r="A1551" t="inlineStr">
        <is>
          <t>OH0015808839</t>
        </is>
      </c>
      <c r="B1551" t="n">
        <v>78</v>
      </c>
      <c r="C1551" t="n">
        <v>279661</v>
      </c>
      <c r="D1551" t="inlineStr">
        <is>
          <t>MORGAN</t>
        </is>
      </c>
      <c r="E1551" t="inlineStr">
        <is>
          <t>GARRY</t>
        </is>
      </c>
      <c r="F1551">
        <f>CONCATENATE(D1551," ",LEFT(H1551,4),"T=",AU1551,"D=",AV1551,"R=",AW1551,"M=",AX1551,"L=",AY1551,"B=",AZ1551)</f>
        <v/>
      </c>
      <c r="G1551" t="inlineStr">
        <is>
          <t>E</t>
        </is>
      </c>
      <c r="H1551" t="inlineStr">
        <is>
          <t>SR</t>
        </is>
      </c>
      <c r="I1551" t="inlineStr">
        <is>
          <t>1957-11-17</t>
        </is>
      </c>
      <c r="J1551" t="inlineStr">
        <is>
          <t>2015-11-29</t>
        </is>
      </c>
      <c r="K1551" t="inlineStr">
        <is>
          <t>ACTIVE</t>
        </is>
      </c>
      <c r="L1551" t="inlineStr">
        <is>
          <t>R</t>
        </is>
      </c>
      <c r="M1551" t="inlineStr">
        <is>
          <t>359 SCOTT ST NE</t>
        </is>
      </c>
      <c r="N1551">
        <f>RIGHT(M1551,LEN(M1551)-FIND(" ",M1551))</f>
        <v/>
      </c>
      <c r="P1551" t="inlineStr">
        <is>
          <t>WARREN</t>
        </is>
      </c>
      <c r="Q1551" t="inlineStr">
        <is>
          <t>OH</t>
        </is>
      </c>
      <c r="R1551" t="n">
        <v>44483</v>
      </c>
      <c r="AD1551" t="inlineStr">
        <is>
          <t>TRUMBULL CAREER &amp; TECH CENTER</t>
        </is>
      </c>
      <c r="AE1551" t="inlineStr">
        <is>
          <t>WARREN CITY</t>
        </is>
      </c>
      <c r="AF1551" t="inlineStr">
        <is>
          <t>WARREN CITY SD</t>
        </is>
      </c>
      <c r="AH1551" t="n">
        <v>14</v>
      </c>
      <c r="AI1551" t="n">
        <v>11</v>
      </c>
      <c r="AN1551" t="inlineStr">
        <is>
          <t>WARREN</t>
        </is>
      </c>
      <c r="AO1551" t="inlineStr">
        <is>
          <t>WARREN CITY 4D</t>
        </is>
      </c>
      <c r="AP1551" t="inlineStr">
        <is>
          <t>78-P-ADL</t>
        </is>
      </c>
      <c r="AQ1551" t="n">
        <v>9</v>
      </c>
      <c r="AR1551" t="n">
        <v>64</v>
      </c>
      <c r="AS1551" t="n">
        <v>32</v>
      </c>
      <c r="AU1551">
        <f>COUNTA($BA$1551:$EH$1551)</f>
        <v/>
      </c>
      <c r="AV1551">
        <f>COUNTIF($BA$1551:$EH$1551,"D")</f>
        <v/>
      </c>
      <c r="AW1551">
        <f>COUNTIF($BA$1551:$EH$1551,"R")</f>
        <v/>
      </c>
      <c r="AX1551">
        <f>IF(BN1551="D",1,0)+IF(BO1551="D",1,0)+IF(BT1551="D",1,0)+IF(BU1551="D",1,0)+IF(BW1551="D",1,0)+IF(CC1551="D",1,0)+IF(CD1551="D",1,0)+IF(CE1551="D",1,0)+IF(CF1551="D",1,0)+IF(CL1551="D",1,0)+IF(CM1551="D",1,0)+IF(CQ1551="D",1,0)+IF(CR1551="D",1,0)+IF(CS1551="D",1,0)+IF(CW1551="D",1,0)+IF(CX1551="D",1,0)+IF(DD1551="D",1,0)+IF(DE1551="D",1,0)+IF(DJ1551="D",1,0)+IF(DK1551="D",1,0)+IF(DO1551="D",1,0)+IF(DP1551="D",1,0)+IF(DQ1551="D",1,0)+IF(DW1551="D",1,0)+IF(DZ1551="D",1,0)+IF(EH1551="D",1,0)</f>
        <v/>
      </c>
      <c r="AY1551">
        <f>IF(DJ1551&lt;&gt;"",1,0)+IF(DK1551&lt;&gt;"",1,0)+IF(DM1551&lt;&gt;"",1,0)+IF(DO1551&lt;&gt;"",1,0)+IF(DP1551&lt;&gt;"",1,0)+IF(DQ1551&lt;&gt;"",1,0)+IF(DS1551&lt;&gt;"",1,0)+IF(DT1551&lt;&gt;"",1,0)+IF(DV1551&lt;&gt;"",1,0)+IF(DW1551&lt;&gt;"",1,0)+IF(DX1551&lt;&gt;"",1,0)+IF(DY1551&lt;&gt;"",1,0)+IF(DZ1551&lt;&gt;"",1,0)+IF(EB1551&lt;&gt;"",1,0)+IF(EC1551&lt;&gt;"",1,0)+IF(ED1551&lt;&gt;"",1,0)+IF(EG1551&lt;&gt;"",1,0)+IF(EH1551&lt;&gt;"",1,0)</f>
        <v/>
      </c>
      <c r="AZ1551">
        <f>IF(EH1551&lt;&gt;"",1,0)</f>
        <v/>
      </c>
      <c r="BB1551" t="inlineStr">
        <is>
          <t>WARREN-WARD 4</t>
        </is>
      </c>
      <c r="BC1551" t="inlineStr">
        <is>
          <t>X</t>
        </is>
      </c>
      <c r="BD1551" t="inlineStr">
        <is>
          <t>X</t>
        </is>
      </c>
      <c r="BE1551" t="inlineStr">
        <is>
          <t>X</t>
        </is>
      </c>
      <c r="BF1551" t="inlineStr">
        <is>
          <t>X</t>
        </is>
      </c>
      <c r="BH1551" t="inlineStr">
        <is>
          <t>X</t>
        </is>
      </c>
      <c r="BI1551" t="inlineStr">
        <is>
          <t>X</t>
        </is>
      </c>
      <c r="BJ1551" t="inlineStr">
        <is>
          <t>X</t>
        </is>
      </c>
      <c r="BL1551" t="inlineStr">
        <is>
          <t>X</t>
        </is>
      </c>
      <c r="BP1551" t="inlineStr">
        <is>
          <t>X</t>
        </is>
      </c>
      <c r="BR1551" t="inlineStr">
        <is>
          <t>X</t>
        </is>
      </c>
      <c r="BS1551" t="inlineStr">
        <is>
          <t>X</t>
        </is>
      </c>
      <c r="BV1551" t="inlineStr">
        <is>
          <t>X</t>
        </is>
      </c>
      <c r="CA1551" t="inlineStr">
        <is>
          <t>X</t>
        </is>
      </c>
      <c r="CK1551" t="inlineStr">
        <is>
          <t>X</t>
        </is>
      </c>
      <c r="CN1551" t="inlineStr">
        <is>
          <t>X</t>
        </is>
      </c>
      <c r="CO1551" t="inlineStr">
        <is>
          <t>R</t>
        </is>
      </c>
      <c r="CP1551" t="inlineStr">
        <is>
          <t>X</t>
        </is>
      </c>
      <c r="CU1551" t="inlineStr">
        <is>
          <t>R</t>
        </is>
      </c>
      <c r="CV1551" t="inlineStr">
        <is>
          <t>X</t>
        </is>
      </c>
      <c r="CY1551" t="inlineStr">
        <is>
          <t>X</t>
        </is>
      </c>
      <c r="CZ1551" t="inlineStr">
        <is>
          <t>R</t>
        </is>
      </c>
      <c r="DC1551" t="inlineStr">
        <is>
          <t>X</t>
        </is>
      </c>
      <c r="DG1551" t="inlineStr">
        <is>
          <t>R</t>
        </is>
      </c>
      <c r="DI1551" t="inlineStr">
        <is>
          <t>X</t>
        </is>
      </c>
      <c r="DL1551" t="inlineStr">
        <is>
          <t>X</t>
        </is>
      </c>
      <c r="DN1551" t="inlineStr">
        <is>
          <t>X</t>
        </is>
      </c>
      <c r="DR1551" t="inlineStr">
        <is>
          <t>X</t>
        </is>
      </c>
      <c r="DS1551" t="inlineStr">
        <is>
          <t>R</t>
        </is>
      </c>
      <c r="DT1551" t="inlineStr">
        <is>
          <t>R</t>
        </is>
      </c>
      <c r="DU1551" t="inlineStr">
        <is>
          <t>X</t>
        </is>
      </c>
      <c r="DW1551" t="inlineStr">
        <is>
          <t>D</t>
        </is>
      </c>
      <c r="DX1551" t="inlineStr">
        <is>
          <t>X</t>
        </is>
      </c>
      <c r="EA1551" t="inlineStr">
        <is>
          <t>X</t>
        </is>
      </c>
      <c r="ED1551" t="inlineStr">
        <is>
          <t>R</t>
        </is>
      </c>
      <c r="EF1551" t="inlineStr">
        <is>
          <t>X</t>
        </is>
      </c>
    </row>
    <row r="1552">
      <c r="A1552" t="inlineStr">
        <is>
          <t>OH0015748146</t>
        </is>
      </c>
      <c r="B1552" t="n">
        <v>78</v>
      </c>
      <c r="C1552" t="n">
        <v>321995</v>
      </c>
      <c r="D1552" t="inlineStr">
        <is>
          <t>SHRUM</t>
        </is>
      </c>
      <c r="E1552" t="inlineStr">
        <is>
          <t>DOROTHY</t>
        </is>
      </c>
      <c r="F1552">
        <f>CONCATENATE(D1552," ",LEFT(H1552,4),"T=",AU1552,"D=",AV1552,"R=",AW1552,"M=",AX1552,"L=",AY1552,"B=",AZ1552)</f>
        <v/>
      </c>
      <c r="G1552" t="inlineStr">
        <is>
          <t>J</t>
        </is>
      </c>
      <c r="I1552" t="inlineStr">
        <is>
          <t>1948-10-28</t>
        </is>
      </c>
      <c r="J1552" t="inlineStr">
        <is>
          <t>2007-09-26</t>
        </is>
      </c>
      <c r="K1552" t="inlineStr">
        <is>
          <t>ACTIVE</t>
        </is>
      </c>
      <c r="M1552" t="inlineStr">
        <is>
          <t>553 SCOTT ST NE</t>
        </is>
      </c>
      <c r="N1552">
        <f>RIGHT(M1552,LEN(M1552)-FIND(" ",M1552))</f>
        <v/>
      </c>
      <c r="P1552" t="inlineStr">
        <is>
          <t>WARREN</t>
        </is>
      </c>
      <c r="Q1552" t="inlineStr">
        <is>
          <t>OH</t>
        </is>
      </c>
      <c r="R1552" t="n">
        <v>44483</v>
      </c>
      <c r="AD1552" t="inlineStr">
        <is>
          <t>TRUMBULL CAREER &amp; TECH CENTER</t>
        </is>
      </c>
      <c r="AE1552" t="inlineStr">
        <is>
          <t>WARREN CITY</t>
        </is>
      </c>
      <c r="AF1552" t="inlineStr">
        <is>
          <t>WARREN CITY SD</t>
        </is>
      </c>
      <c r="AH1552" t="n">
        <v>14</v>
      </c>
      <c r="AI1552" t="n">
        <v>11</v>
      </c>
      <c r="AN1552" t="inlineStr">
        <is>
          <t>WARREN</t>
        </is>
      </c>
      <c r="AO1552" t="inlineStr">
        <is>
          <t>WARREN CITY 4D</t>
        </is>
      </c>
      <c r="AP1552" t="inlineStr">
        <is>
          <t>78-P-ADL</t>
        </is>
      </c>
      <c r="AQ1552" t="n">
        <v>9</v>
      </c>
      <c r="AR1552" t="n">
        <v>64</v>
      </c>
      <c r="AS1552" t="n">
        <v>32</v>
      </c>
      <c r="AU1552">
        <f>COUNTA($BA$1552:$EH$1552)</f>
        <v/>
      </c>
      <c r="AV1552">
        <f>COUNTIF($BA$1552:$EH$1552,"D")</f>
        <v/>
      </c>
      <c r="AW1552">
        <f>COUNTIF($BA$1552:$EH$1552,"R")</f>
        <v/>
      </c>
      <c r="AX1552">
        <f>IF(BN1552="D",1,0)+IF(BO1552="D",1,0)+IF(BT1552="D",1,0)+IF(BU1552="D",1,0)+IF(BW1552="D",1,0)+IF(CC1552="D",1,0)+IF(CD1552="D",1,0)+IF(CE1552="D",1,0)+IF(CF1552="D",1,0)+IF(CL1552="D",1,0)+IF(CM1552="D",1,0)+IF(CQ1552="D",1,0)+IF(CR1552="D",1,0)+IF(CS1552="D",1,0)+IF(CW1552="D",1,0)+IF(CX1552="D",1,0)+IF(DD1552="D",1,0)+IF(DE1552="D",1,0)+IF(DJ1552="D",1,0)+IF(DK1552="D",1,0)+IF(DO1552="D",1,0)+IF(DP1552="D",1,0)+IF(DQ1552="D",1,0)+IF(DW1552="D",1,0)+IF(DZ1552="D",1,0)+IF(EH1552="D",1,0)</f>
        <v/>
      </c>
      <c r="AY1552">
        <f>IF(DJ1552&lt;&gt;"",1,0)+IF(DK1552&lt;&gt;"",1,0)+IF(DM1552&lt;&gt;"",1,0)+IF(DO1552&lt;&gt;"",1,0)+IF(DP1552&lt;&gt;"",1,0)+IF(DQ1552&lt;&gt;"",1,0)+IF(DS1552&lt;&gt;"",1,0)+IF(DT1552&lt;&gt;"",1,0)+IF(DV1552&lt;&gt;"",1,0)+IF(DW1552&lt;&gt;"",1,0)+IF(DX1552&lt;&gt;"",1,0)+IF(DY1552&lt;&gt;"",1,0)+IF(DZ1552&lt;&gt;"",1,0)+IF(EB1552&lt;&gt;"",1,0)+IF(EC1552&lt;&gt;"",1,0)+IF(ED1552&lt;&gt;"",1,0)+IF(EG1552&lt;&gt;"",1,0)+IF(EH1552&lt;&gt;"",1,0)</f>
        <v/>
      </c>
      <c r="AZ1552">
        <f>IF(EH1552&lt;&gt;"",1,0)</f>
        <v/>
      </c>
      <c r="BB1552" t="inlineStr">
        <is>
          <t>WARREN-WARD 4</t>
        </is>
      </c>
      <c r="BV1552" t="inlineStr">
        <is>
          <t>X</t>
        </is>
      </c>
      <c r="BY1552" t="inlineStr">
        <is>
          <t>D</t>
        </is>
      </c>
      <c r="CA1552" t="inlineStr">
        <is>
          <t>X</t>
        </is>
      </c>
      <c r="CH1552" t="inlineStr">
        <is>
          <t>D</t>
        </is>
      </c>
      <c r="CK1552" t="inlineStr">
        <is>
          <t>X</t>
        </is>
      </c>
      <c r="CP1552" t="inlineStr">
        <is>
          <t>X</t>
        </is>
      </c>
      <c r="CV1552" t="inlineStr">
        <is>
          <t>X</t>
        </is>
      </c>
      <c r="CY1552" t="inlineStr">
        <is>
          <t>X</t>
        </is>
      </c>
      <c r="DC1552" t="inlineStr">
        <is>
          <t>X</t>
        </is>
      </c>
      <c r="DG1552" t="inlineStr">
        <is>
          <t>R</t>
        </is>
      </c>
      <c r="DI1552" t="inlineStr">
        <is>
          <t>X</t>
        </is>
      </c>
      <c r="DN1552" t="inlineStr">
        <is>
          <t>X</t>
        </is>
      </c>
      <c r="DU1552" t="inlineStr">
        <is>
          <t>X</t>
        </is>
      </c>
      <c r="EF1552" t="inlineStr">
        <is>
          <t>X</t>
        </is>
      </c>
    </row>
    <row r="1553">
      <c r="A1553" t="inlineStr">
        <is>
          <t>OH0021346477</t>
        </is>
      </c>
      <c r="B1553" t="n">
        <v>78</v>
      </c>
      <c r="C1553" t="n">
        <v>379517</v>
      </c>
      <c r="D1553" t="inlineStr">
        <is>
          <t>KOVALIK</t>
        </is>
      </c>
      <c r="E1553" t="inlineStr">
        <is>
          <t>ALEX</t>
        </is>
      </c>
      <c r="F1553">
        <f>CONCATENATE(D1553," ",LEFT(H1553,4),"T=",AU1553,"D=",AV1553,"R=",AW1553,"M=",AX1553,"L=",AY1553,"B=",AZ1553)</f>
        <v/>
      </c>
      <c r="G1553" t="inlineStr">
        <is>
          <t>P</t>
        </is>
      </c>
      <c r="I1553" t="inlineStr">
        <is>
          <t>1993-02-05</t>
        </is>
      </c>
      <c r="J1553" t="inlineStr">
        <is>
          <t>2015-09-01</t>
        </is>
      </c>
      <c r="K1553" t="inlineStr">
        <is>
          <t>CONFIRMATION</t>
        </is>
      </c>
      <c r="M1553" t="inlineStr">
        <is>
          <t>1189 HARRISON ST NE</t>
        </is>
      </c>
      <c r="N1553">
        <f>RIGHT(M1553,LEN(M1553)-FIND(" ",M1553))</f>
        <v/>
      </c>
      <c r="P1553" t="inlineStr">
        <is>
          <t>WARREN</t>
        </is>
      </c>
      <c r="Q1553" t="inlineStr">
        <is>
          <t>OH</t>
        </is>
      </c>
      <c r="R1553" t="n">
        <v>44483</v>
      </c>
      <c r="AD1553" t="inlineStr">
        <is>
          <t>TRUMBULL CAREER &amp; TECH CENTER</t>
        </is>
      </c>
      <c r="AE1553" t="inlineStr">
        <is>
          <t>WARREN CITY</t>
        </is>
      </c>
      <c r="AF1553" t="inlineStr">
        <is>
          <t>WARREN CITY SD</t>
        </is>
      </c>
      <c r="AH1553" t="n">
        <v>14</v>
      </c>
      <c r="AI1553" t="n">
        <v>11</v>
      </c>
      <c r="AN1553" t="inlineStr">
        <is>
          <t>WARREN</t>
        </is>
      </c>
      <c r="AO1553" t="inlineStr">
        <is>
          <t>WARREN CITY 4D</t>
        </is>
      </c>
      <c r="AP1553" t="inlineStr">
        <is>
          <t>78-P-ADL</t>
        </is>
      </c>
      <c r="AQ1553" t="n">
        <v>9</v>
      </c>
      <c r="AR1553" t="n">
        <v>64</v>
      </c>
      <c r="AS1553" t="n">
        <v>32</v>
      </c>
      <c r="AU1553">
        <f>COUNTA($BA$1553:$EH$1553)</f>
        <v/>
      </c>
      <c r="AV1553">
        <f>COUNTIF($BA$1553:$EH$1553,"D")</f>
        <v/>
      </c>
      <c r="AW1553">
        <f>COUNTIF($BA$1553:$EH$1553,"R")</f>
        <v/>
      </c>
      <c r="AX1553">
        <f>IF(BN1553="D",1,0)+IF(BO1553="D",1,0)+IF(BT1553="D",1,0)+IF(BU1553="D",1,0)+IF(BW1553="D",1,0)+IF(CC1553="D",1,0)+IF(CD1553="D",1,0)+IF(CE1553="D",1,0)+IF(CF1553="D",1,0)+IF(CL1553="D",1,0)+IF(CM1553="D",1,0)+IF(CQ1553="D",1,0)+IF(CR1553="D",1,0)+IF(CS1553="D",1,0)+IF(CW1553="D",1,0)+IF(CX1553="D",1,0)+IF(DD1553="D",1,0)+IF(DE1553="D",1,0)+IF(DJ1553="D",1,0)+IF(DK1553="D",1,0)+IF(DO1553="D",1,0)+IF(DP1553="D",1,0)+IF(DQ1553="D",1,0)+IF(DW1553="D",1,0)+IF(DZ1553="D",1,0)+IF(EH1553="D",1,0)</f>
        <v/>
      </c>
      <c r="AY1553">
        <f>IF(DJ1553&lt;&gt;"",1,0)+IF(DK1553&lt;&gt;"",1,0)+IF(DM1553&lt;&gt;"",1,0)+IF(DO1553&lt;&gt;"",1,0)+IF(DP1553&lt;&gt;"",1,0)+IF(DQ1553&lt;&gt;"",1,0)+IF(DS1553&lt;&gt;"",1,0)+IF(DT1553&lt;&gt;"",1,0)+IF(DV1553&lt;&gt;"",1,0)+IF(DW1553&lt;&gt;"",1,0)+IF(DX1553&lt;&gt;"",1,0)+IF(DY1553&lt;&gt;"",1,0)+IF(DZ1553&lt;&gt;"",1,0)+IF(EB1553&lt;&gt;"",1,0)+IF(EC1553&lt;&gt;"",1,0)+IF(ED1553&lt;&gt;"",1,0)+IF(EG1553&lt;&gt;"",1,0)+IF(EH1553&lt;&gt;"",1,0)</f>
        <v/>
      </c>
      <c r="AZ1553">
        <f>IF(EH1553&lt;&gt;"",1,0)</f>
        <v/>
      </c>
      <c r="BB1553" t="inlineStr">
        <is>
          <t>WARREN-WARD 4</t>
        </is>
      </c>
      <c r="CN1553" t="inlineStr">
        <is>
          <t>X</t>
        </is>
      </c>
    </row>
    <row r="1554">
      <c r="A1554" t="inlineStr">
        <is>
          <t>OH0024619556</t>
        </is>
      </c>
      <c r="B1554" t="n">
        <v>78</v>
      </c>
      <c r="C1554" t="n">
        <v>431464</v>
      </c>
      <c r="D1554" t="inlineStr">
        <is>
          <t>PUGH</t>
        </is>
      </c>
      <c r="E1554" t="inlineStr">
        <is>
          <t>JUSTIN</t>
        </is>
      </c>
      <c r="F1554">
        <f>CONCATENATE(D1554," ",LEFT(H1554,4),"T=",AU1554,"D=",AV1554,"R=",AW1554,"M=",AX1554,"L=",AY1554,"B=",AZ1554)</f>
        <v/>
      </c>
      <c r="G1554" t="inlineStr">
        <is>
          <t>A</t>
        </is>
      </c>
      <c r="I1554" t="inlineStr">
        <is>
          <t>1989-06-06</t>
        </is>
      </c>
      <c r="J1554" t="inlineStr">
        <is>
          <t>2018-05-07</t>
        </is>
      </c>
      <c r="K1554" t="inlineStr">
        <is>
          <t>CONFIRMATION</t>
        </is>
      </c>
      <c r="M1554" t="inlineStr">
        <is>
          <t>570 FAIRFIELD AVE NE</t>
        </is>
      </c>
      <c r="N1554">
        <f>RIGHT(M1554,LEN(M1554)-FIND(" ",M1554))</f>
        <v/>
      </c>
      <c r="P1554" t="inlineStr">
        <is>
          <t>WARREN</t>
        </is>
      </c>
      <c r="Q1554" t="inlineStr">
        <is>
          <t>OH</t>
        </is>
      </c>
      <c r="R1554" t="n">
        <v>44483</v>
      </c>
      <c r="AD1554" t="inlineStr">
        <is>
          <t>TRUMBULL CAREER &amp; TECH CENTER</t>
        </is>
      </c>
      <c r="AE1554" t="inlineStr">
        <is>
          <t>WARREN CITY</t>
        </is>
      </c>
      <c r="AF1554" t="inlineStr">
        <is>
          <t>WARREN CITY SD</t>
        </is>
      </c>
      <c r="AH1554" t="n">
        <v>14</v>
      </c>
      <c r="AI1554" t="n">
        <v>11</v>
      </c>
      <c r="AN1554" t="inlineStr">
        <is>
          <t>WARREN</t>
        </is>
      </c>
      <c r="AO1554" t="inlineStr">
        <is>
          <t>WARREN CITY 4D</t>
        </is>
      </c>
      <c r="AP1554" t="inlineStr">
        <is>
          <t>78-P-ADL</t>
        </is>
      </c>
      <c r="AQ1554" t="n">
        <v>9</v>
      </c>
      <c r="AR1554" t="n">
        <v>64</v>
      </c>
      <c r="AS1554" t="n">
        <v>32</v>
      </c>
      <c r="AU1554">
        <f>COUNTA($BA$1554:$EH$1554)</f>
        <v/>
      </c>
      <c r="AV1554">
        <f>COUNTIF($BA$1554:$EH$1554,"D")</f>
        <v/>
      </c>
      <c r="AW1554">
        <f>COUNTIF($BA$1554:$EH$1554,"R")</f>
        <v/>
      </c>
      <c r="AX1554">
        <f>IF(BN1554="D",1,0)+IF(BO1554="D",1,0)+IF(BT1554="D",1,0)+IF(BU1554="D",1,0)+IF(BW1554="D",1,0)+IF(CC1554="D",1,0)+IF(CD1554="D",1,0)+IF(CE1554="D",1,0)+IF(CF1554="D",1,0)+IF(CL1554="D",1,0)+IF(CM1554="D",1,0)+IF(CQ1554="D",1,0)+IF(CR1554="D",1,0)+IF(CS1554="D",1,0)+IF(CW1554="D",1,0)+IF(CX1554="D",1,0)+IF(DD1554="D",1,0)+IF(DE1554="D",1,0)+IF(DJ1554="D",1,0)+IF(DK1554="D",1,0)+IF(DO1554="D",1,0)+IF(DP1554="D",1,0)+IF(DQ1554="D",1,0)+IF(DW1554="D",1,0)+IF(DZ1554="D",1,0)+IF(EH1554="D",1,0)</f>
        <v/>
      </c>
      <c r="AY1554">
        <f>IF(DJ1554&lt;&gt;"",1,0)+IF(DK1554&lt;&gt;"",1,0)+IF(DM1554&lt;&gt;"",1,0)+IF(DO1554&lt;&gt;"",1,0)+IF(DP1554&lt;&gt;"",1,0)+IF(DQ1554&lt;&gt;"",1,0)+IF(DS1554&lt;&gt;"",1,0)+IF(DT1554&lt;&gt;"",1,0)+IF(DV1554&lt;&gt;"",1,0)+IF(DW1554&lt;&gt;"",1,0)+IF(DX1554&lt;&gt;"",1,0)+IF(DY1554&lt;&gt;"",1,0)+IF(DZ1554&lt;&gt;"",1,0)+IF(EB1554&lt;&gt;"",1,0)+IF(EC1554&lt;&gt;"",1,0)+IF(ED1554&lt;&gt;"",1,0)+IF(EG1554&lt;&gt;"",1,0)+IF(EH1554&lt;&gt;"",1,0)</f>
        <v/>
      </c>
      <c r="AZ1554">
        <f>IF(EH1554&lt;&gt;"",1,0)</f>
        <v/>
      </c>
      <c r="BB1554" t="inlineStr">
        <is>
          <t>WARREN-WARD 4</t>
        </is>
      </c>
    </row>
    <row r="1555">
      <c r="A1555" t="inlineStr">
        <is>
          <t>OH0027845069</t>
        </is>
      </c>
      <c r="B1555" t="n">
        <v>78</v>
      </c>
      <c r="C1555" t="n">
        <v>494104</v>
      </c>
      <c r="D1555" t="inlineStr">
        <is>
          <t>POLING</t>
        </is>
      </c>
      <c r="E1555" t="inlineStr">
        <is>
          <t>KOLTYN</t>
        </is>
      </c>
      <c r="F1555">
        <f>CONCATENATE(D1555," ",LEFT(H1555,4),"T=",AU1555,"D=",AV1555,"R=",AW1555,"M=",AX1555,"L=",AY1555,"B=",AZ1555)</f>
        <v/>
      </c>
      <c r="G1555" t="inlineStr">
        <is>
          <t>DAYLAN HAYWARD</t>
        </is>
      </c>
      <c r="I1555" t="inlineStr">
        <is>
          <t>2005-01-26</t>
        </is>
      </c>
      <c r="J1555" t="inlineStr">
        <is>
          <t>2024-10-17</t>
        </is>
      </c>
      <c r="K1555" t="inlineStr">
        <is>
          <t>ACTIVE</t>
        </is>
      </c>
      <c r="M1555" t="inlineStr">
        <is>
          <t>1123 MCKINLEY ST NE</t>
        </is>
      </c>
      <c r="N1555">
        <f>RIGHT(M1555,LEN(M1555)-FIND(" ",M1555))</f>
        <v/>
      </c>
      <c r="P1555" t="inlineStr">
        <is>
          <t>WARREN</t>
        </is>
      </c>
      <c r="Q1555" t="inlineStr">
        <is>
          <t>OH</t>
        </is>
      </c>
      <c r="R1555" t="n">
        <v>44483</v>
      </c>
      <c r="AD1555" t="inlineStr">
        <is>
          <t>TRUMBULL CAREER &amp; TECH CENTER</t>
        </is>
      </c>
      <c r="AE1555" t="inlineStr">
        <is>
          <t>WARREN CITY</t>
        </is>
      </c>
      <c r="AF1555" t="inlineStr">
        <is>
          <t>WARREN CITY SD</t>
        </is>
      </c>
      <c r="AH1555" t="n">
        <v>14</v>
      </c>
      <c r="AI1555" t="n">
        <v>11</v>
      </c>
      <c r="AN1555" t="inlineStr">
        <is>
          <t>WARREN</t>
        </is>
      </c>
      <c r="AO1555" t="inlineStr">
        <is>
          <t>WARREN CITY 4D</t>
        </is>
      </c>
      <c r="AP1555" t="inlineStr">
        <is>
          <t>78-P-ADL</t>
        </is>
      </c>
      <c r="AQ1555" t="n">
        <v>9</v>
      </c>
      <c r="AR1555" t="n">
        <v>64</v>
      </c>
      <c r="AS1555" t="n">
        <v>32</v>
      </c>
      <c r="AU1555">
        <f>COUNTA($BA$1555:$EH$1555)</f>
        <v/>
      </c>
      <c r="AV1555">
        <f>COUNTIF($BA$1555:$EH$1555,"D")</f>
        <v/>
      </c>
      <c r="AW1555">
        <f>COUNTIF($BA$1555:$EH$1555,"R")</f>
        <v/>
      </c>
      <c r="AX1555">
        <f>IF(BN1555="D",1,0)+IF(BO1555="D",1,0)+IF(BT1555="D",1,0)+IF(BU1555="D",1,0)+IF(BW1555="D",1,0)+IF(CC1555="D",1,0)+IF(CD1555="D",1,0)+IF(CE1555="D",1,0)+IF(CF1555="D",1,0)+IF(CL1555="D",1,0)+IF(CM1555="D",1,0)+IF(CQ1555="D",1,0)+IF(CR1555="D",1,0)+IF(CS1555="D",1,0)+IF(CW1555="D",1,0)+IF(CX1555="D",1,0)+IF(DD1555="D",1,0)+IF(DE1555="D",1,0)+IF(DJ1555="D",1,0)+IF(DK1555="D",1,0)+IF(DO1555="D",1,0)+IF(DP1555="D",1,0)+IF(DQ1555="D",1,0)+IF(DW1555="D",1,0)+IF(DZ1555="D",1,0)+IF(EH1555="D",1,0)</f>
        <v/>
      </c>
      <c r="AY1555">
        <f>IF(DJ1555&lt;&gt;"",1,0)+IF(DK1555&lt;&gt;"",1,0)+IF(DM1555&lt;&gt;"",1,0)+IF(DO1555&lt;&gt;"",1,0)+IF(DP1555&lt;&gt;"",1,0)+IF(DQ1555&lt;&gt;"",1,0)+IF(DS1555&lt;&gt;"",1,0)+IF(DT1555&lt;&gt;"",1,0)+IF(DV1555&lt;&gt;"",1,0)+IF(DW1555&lt;&gt;"",1,0)+IF(DX1555&lt;&gt;"",1,0)+IF(DY1555&lt;&gt;"",1,0)+IF(DZ1555&lt;&gt;"",1,0)+IF(EB1555&lt;&gt;"",1,0)+IF(EC1555&lt;&gt;"",1,0)+IF(ED1555&lt;&gt;"",1,0)+IF(EG1555&lt;&gt;"",1,0)+IF(EH1555&lt;&gt;"",1,0)</f>
        <v/>
      </c>
      <c r="AZ1555">
        <f>IF(EH1555&lt;&gt;"",1,0)</f>
        <v/>
      </c>
      <c r="BB1555" t="inlineStr">
        <is>
          <t>WARREN-WARD 4</t>
        </is>
      </c>
    </row>
    <row r="1556">
      <c r="A1556" t="inlineStr">
        <is>
          <t>OH0026285027</t>
        </is>
      </c>
      <c r="B1556" t="n">
        <v>78</v>
      </c>
      <c r="C1556" t="n">
        <v>459618</v>
      </c>
      <c r="D1556" t="inlineStr">
        <is>
          <t>SPARKS</t>
        </is>
      </c>
      <c r="E1556" t="inlineStr">
        <is>
          <t>JOSIAH</t>
        </is>
      </c>
      <c r="F1556">
        <f>CONCATENATE(D1556," ",LEFT(H1556,4),"T=",AU1556,"D=",AV1556,"R=",AW1556,"M=",AX1556,"L=",AY1556,"B=",AZ1556)</f>
        <v/>
      </c>
      <c r="G1556" t="inlineStr">
        <is>
          <t>EDWARD</t>
        </is>
      </c>
      <c r="I1556" t="inlineStr">
        <is>
          <t>1995-09-07</t>
        </is>
      </c>
      <c r="J1556" t="inlineStr">
        <is>
          <t>2021-09-07</t>
        </is>
      </c>
      <c r="K1556" t="inlineStr">
        <is>
          <t>CONFIRMATION</t>
        </is>
      </c>
      <c r="M1556" t="inlineStr">
        <is>
          <t>200 WASHINGTON ST NE</t>
        </is>
      </c>
      <c r="N1556">
        <f>RIGHT(M1556,LEN(M1556)-FIND(" ",M1556))</f>
        <v/>
      </c>
      <c r="O1556" t="inlineStr">
        <is>
          <t>APT 22</t>
        </is>
      </c>
      <c r="P1556" t="inlineStr">
        <is>
          <t>WARREN</t>
        </is>
      </c>
      <c r="Q1556" t="inlineStr">
        <is>
          <t>OH</t>
        </is>
      </c>
      <c r="R1556" t="n">
        <v>44483</v>
      </c>
      <c r="AD1556" t="inlineStr">
        <is>
          <t>TRUMBULL CAREER &amp; TECH CENTER</t>
        </is>
      </c>
      <c r="AE1556" t="inlineStr">
        <is>
          <t>WARREN CITY</t>
        </is>
      </c>
      <c r="AF1556" t="inlineStr">
        <is>
          <t>WARREN CITY SD</t>
        </is>
      </c>
      <c r="AH1556" t="n">
        <v>14</v>
      </c>
      <c r="AI1556" t="n">
        <v>11</v>
      </c>
      <c r="AN1556" t="inlineStr">
        <is>
          <t>WARREN</t>
        </is>
      </c>
      <c r="AO1556" t="inlineStr">
        <is>
          <t>WARREN CITY 4D</t>
        </is>
      </c>
      <c r="AP1556" t="inlineStr">
        <is>
          <t>78-P-ADL</t>
        </is>
      </c>
      <c r="AQ1556" t="n">
        <v>9</v>
      </c>
      <c r="AR1556" t="n">
        <v>64</v>
      </c>
      <c r="AS1556" t="n">
        <v>32</v>
      </c>
      <c r="AU1556">
        <f>COUNTA($BA$1556:$EH$1556)</f>
        <v/>
      </c>
      <c r="AV1556">
        <f>COUNTIF($BA$1556:$EH$1556,"D")</f>
        <v/>
      </c>
      <c r="AW1556">
        <f>COUNTIF($BA$1556:$EH$1556,"R")</f>
        <v/>
      </c>
      <c r="AX1556">
        <f>IF(BN1556="D",1,0)+IF(BO1556="D",1,0)+IF(BT1556="D",1,0)+IF(BU1556="D",1,0)+IF(BW1556="D",1,0)+IF(CC1556="D",1,0)+IF(CD1556="D",1,0)+IF(CE1556="D",1,0)+IF(CF1556="D",1,0)+IF(CL1556="D",1,0)+IF(CM1556="D",1,0)+IF(CQ1556="D",1,0)+IF(CR1556="D",1,0)+IF(CS1556="D",1,0)+IF(CW1556="D",1,0)+IF(CX1556="D",1,0)+IF(DD1556="D",1,0)+IF(DE1556="D",1,0)+IF(DJ1556="D",1,0)+IF(DK1556="D",1,0)+IF(DO1556="D",1,0)+IF(DP1556="D",1,0)+IF(DQ1556="D",1,0)+IF(DW1556="D",1,0)+IF(DZ1556="D",1,0)+IF(EH1556="D",1,0)</f>
        <v/>
      </c>
      <c r="AY1556">
        <f>IF(DJ1556&lt;&gt;"",1,0)+IF(DK1556&lt;&gt;"",1,0)+IF(DM1556&lt;&gt;"",1,0)+IF(DO1556&lt;&gt;"",1,0)+IF(DP1556&lt;&gt;"",1,0)+IF(DQ1556&lt;&gt;"",1,0)+IF(DS1556&lt;&gt;"",1,0)+IF(DT1556&lt;&gt;"",1,0)+IF(DV1556&lt;&gt;"",1,0)+IF(DW1556&lt;&gt;"",1,0)+IF(DX1556&lt;&gt;"",1,0)+IF(DY1556&lt;&gt;"",1,0)+IF(DZ1556&lt;&gt;"",1,0)+IF(EB1556&lt;&gt;"",1,0)+IF(EC1556&lt;&gt;"",1,0)+IF(ED1556&lt;&gt;"",1,0)+IF(EG1556&lt;&gt;"",1,0)+IF(EH1556&lt;&gt;"",1,0)</f>
        <v/>
      </c>
      <c r="AZ1556">
        <f>IF(EH1556&lt;&gt;"",1,0)</f>
        <v/>
      </c>
      <c r="BB1556" t="inlineStr">
        <is>
          <t>WARREN-WARD 4</t>
        </is>
      </c>
    </row>
    <row r="1557">
      <c r="A1557" t="inlineStr">
        <is>
          <t>OH0018597539</t>
        </is>
      </c>
      <c r="B1557" t="n">
        <v>78</v>
      </c>
      <c r="C1557" t="n">
        <v>339917</v>
      </c>
      <c r="D1557" t="inlineStr">
        <is>
          <t>JONES</t>
        </is>
      </c>
      <c r="E1557" t="inlineStr">
        <is>
          <t>ELLWOOD</t>
        </is>
      </c>
      <c r="F1557">
        <f>CONCATENATE(D1557," ",LEFT(H1557,4),"T=",AU1557,"D=",AV1557,"R=",AW1557,"M=",AX1557,"L=",AY1557,"B=",AZ1557)</f>
        <v/>
      </c>
      <c r="G1557" t="inlineStr">
        <is>
          <t>O</t>
        </is>
      </c>
      <c r="H1557" t="inlineStr">
        <is>
          <t>III</t>
        </is>
      </c>
      <c r="I1557" t="inlineStr">
        <is>
          <t>1964-08-17</t>
        </is>
      </c>
      <c r="J1557" t="inlineStr">
        <is>
          <t>2005-08-08</t>
        </is>
      </c>
      <c r="K1557" t="inlineStr">
        <is>
          <t>ACTIVE</t>
        </is>
      </c>
      <c r="L1557" t="inlineStr">
        <is>
          <t>D</t>
        </is>
      </c>
      <c r="M1557" t="inlineStr">
        <is>
          <t>716 OLIVE AVE NE</t>
        </is>
      </c>
      <c r="N1557">
        <f>RIGHT(M1557,LEN(M1557)-FIND(" ",M1557))</f>
        <v/>
      </c>
      <c r="P1557" t="inlineStr">
        <is>
          <t>WARREN</t>
        </is>
      </c>
      <c r="Q1557" t="inlineStr">
        <is>
          <t>OH</t>
        </is>
      </c>
      <c r="R1557" t="n">
        <v>44483</v>
      </c>
      <c r="AD1557" t="inlineStr">
        <is>
          <t>TRUMBULL CAREER &amp; TECH CENTER</t>
        </is>
      </c>
      <c r="AE1557" t="inlineStr">
        <is>
          <t>WARREN CITY</t>
        </is>
      </c>
      <c r="AF1557" t="inlineStr">
        <is>
          <t>WARREN CITY SD</t>
        </is>
      </c>
      <c r="AH1557" t="n">
        <v>14</v>
      </c>
      <c r="AI1557" t="n">
        <v>11</v>
      </c>
      <c r="AN1557" t="inlineStr">
        <is>
          <t>WARREN</t>
        </is>
      </c>
      <c r="AO1557" t="inlineStr">
        <is>
          <t>WARREN CITY 4D</t>
        </is>
      </c>
      <c r="AP1557" t="inlineStr">
        <is>
          <t>78-P-ADL</t>
        </is>
      </c>
      <c r="AQ1557" t="n">
        <v>9</v>
      </c>
      <c r="AR1557" t="n">
        <v>64</v>
      </c>
      <c r="AS1557" t="n">
        <v>32</v>
      </c>
      <c r="AU1557">
        <f>COUNTA($BA$1557:$EH$1557)</f>
        <v/>
      </c>
      <c r="AV1557">
        <f>COUNTIF($BA$1557:$EH$1557,"D")</f>
        <v/>
      </c>
      <c r="AW1557">
        <f>COUNTIF($BA$1557:$EH$1557,"R")</f>
        <v/>
      </c>
      <c r="AX1557">
        <f>IF(BN1557="D",1,0)+IF(BO1557="D",1,0)+IF(BT1557="D",1,0)+IF(BU1557="D",1,0)+IF(BW1557="D",1,0)+IF(CC1557="D",1,0)+IF(CD1557="D",1,0)+IF(CE1557="D",1,0)+IF(CF1557="D",1,0)+IF(CL1557="D",1,0)+IF(CM1557="D",1,0)+IF(CQ1557="D",1,0)+IF(CR1557="D",1,0)+IF(CS1557="D",1,0)+IF(CW1557="D",1,0)+IF(CX1557="D",1,0)+IF(DD1557="D",1,0)+IF(DE1557="D",1,0)+IF(DJ1557="D",1,0)+IF(DK1557="D",1,0)+IF(DO1557="D",1,0)+IF(DP1557="D",1,0)+IF(DQ1557="D",1,0)+IF(DW1557="D",1,0)+IF(DZ1557="D",1,0)+IF(EH1557="D",1,0)</f>
        <v/>
      </c>
      <c r="AY1557">
        <f>IF(DJ1557&lt;&gt;"",1,0)+IF(DK1557&lt;&gt;"",1,0)+IF(DM1557&lt;&gt;"",1,0)+IF(DO1557&lt;&gt;"",1,0)+IF(DP1557&lt;&gt;"",1,0)+IF(DQ1557&lt;&gt;"",1,0)+IF(DS1557&lt;&gt;"",1,0)+IF(DT1557&lt;&gt;"",1,0)+IF(DV1557&lt;&gt;"",1,0)+IF(DW1557&lt;&gt;"",1,0)+IF(DX1557&lt;&gt;"",1,0)+IF(DY1557&lt;&gt;"",1,0)+IF(DZ1557&lt;&gt;"",1,0)+IF(EB1557&lt;&gt;"",1,0)+IF(EC1557&lt;&gt;"",1,0)+IF(ED1557&lt;&gt;"",1,0)+IF(EG1557&lt;&gt;"",1,0)+IF(EH1557&lt;&gt;"",1,0)</f>
        <v/>
      </c>
      <c r="AZ1557">
        <f>IF(EH1557&lt;&gt;"",1,0)</f>
        <v/>
      </c>
      <c r="BB1557" t="inlineStr">
        <is>
          <t>WARREN-WARD 4</t>
        </is>
      </c>
      <c r="BS1557" t="inlineStr">
        <is>
          <t>X</t>
        </is>
      </c>
      <c r="BV1557" t="inlineStr">
        <is>
          <t>X</t>
        </is>
      </c>
      <c r="BY1557" t="inlineStr">
        <is>
          <t>D</t>
        </is>
      </c>
      <c r="CA1557" t="inlineStr">
        <is>
          <t>X</t>
        </is>
      </c>
      <c r="CC1557" t="inlineStr">
        <is>
          <t>D</t>
        </is>
      </c>
      <c r="CG1557" t="inlineStr">
        <is>
          <t>X</t>
        </is>
      </c>
      <c r="CH1557" t="inlineStr">
        <is>
          <t>D</t>
        </is>
      </c>
      <c r="CK1557" t="inlineStr">
        <is>
          <t>X</t>
        </is>
      </c>
      <c r="CN1557" t="inlineStr">
        <is>
          <t>X</t>
        </is>
      </c>
      <c r="CP1557" t="inlineStr">
        <is>
          <t>X</t>
        </is>
      </c>
      <c r="CQ1557" t="inlineStr">
        <is>
          <t>D</t>
        </is>
      </c>
      <c r="CT1557" t="inlineStr">
        <is>
          <t>X</t>
        </is>
      </c>
      <c r="CV1557" t="inlineStr">
        <is>
          <t>X</t>
        </is>
      </c>
      <c r="CW1557" t="inlineStr">
        <is>
          <t>D</t>
        </is>
      </c>
      <c r="CY1557" t="inlineStr">
        <is>
          <t>X</t>
        </is>
      </c>
      <c r="CZ1557" t="inlineStr">
        <is>
          <t>D</t>
        </is>
      </c>
      <c r="DC1557" t="inlineStr">
        <is>
          <t>X</t>
        </is>
      </c>
      <c r="DF1557" t="inlineStr">
        <is>
          <t>X</t>
        </is>
      </c>
      <c r="DG1557" t="inlineStr">
        <is>
          <t>D</t>
        </is>
      </c>
      <c r="DI1557" t="inlineStr">
        <is>
          <t>X</t>
        </is>
      </c>
      <c r="DN1557" t="inlineStr">
        <is>
          <t>X</t>
        </is>
      </c>
      <c r="DU1557" t="inlineStr">
        <is>
          <t>X</t>
        </is>
      </c>
      <c r="DX1557" t="inlineStr">
        <is>
          <t>X</t>
        </is>
      </c>
      <c r="EA1557" t="inlineStr">
        <is>
          <t>X</t>
        </is>
      </c>
      <c r="ED1557" t="inlineStr">
        <is>
          <t>D</t>
        </is>
      </c>
      <c r="EF1557" t="inlineStr">
        <is>
          <t>X</t>
        </is>
      </c>
    </row>
    <row r="1558">
      <c r="A1558" t="inlineStr">
        <is>
          <t>OH0027501169</t>
        </is>
      </c>
      <c r="B1558" t="n">
        <v>78</v>
      </c>
      <c r="C1558" t="n">
        <v>487228</v>
      </c>
      <c r="D1558" t="inlineStr">
        <is>
          <t>COLLINS</t>
        </is>
      </c>
      <c r="E1558" t="inlineStr">
        <is>
          <t>SAM</t>
        </is>
      </c>
      <c r="F1558">
        <f>CONCATENATE(D1558," ",LEFT(H1558,4),"T=",AU1558,"D=",AV1558,"R=",AW1558,"M=",AX1558,"L=",AY1558,"B=",AZ1558)</f>
        <v/>
      </c>
      <c r="G1558" t="inlineStr">
        <is>
          <t>J</t>
        </is>
      </c>
      <c r="I1558" t="inlineStr">
        <is>
          <t>1986-04-18</t>
        </is>
      </c>
      <c r="J1558" t="inlineStr">
        <is>
          <t>2024-07-30</t>
        </is>
      </c>
      <c r="K1558" t="inlineStr">
        <is>
          <t>CONFIRMATION</t>
        </is>
      </c>
      <c r="M1558" t="inlineStr">
        <is>
          <t>321 HIGH ST NE</t>
        </is>
      </c>
      <c r="N1558">
        <f>RIGHT(M1558,LEN(M1558)-FIND(" ",M1558))</f>
        <v/>
      </c>
      <c r="P1558" t="inlineStr">
        <is>
          <t>WARREN</t>
        </is>
      </c>
      <c r="Q1558" t="inlineStr">
        <is>
          <t>OH</t>
        </is>
      </c>
      <c r="R1558" t="n">
        <v>44481</v>
      </c>
      <c r="AD1558" t="inlineStr">
        <is>
          <t>TRUMBULL CAREER &amp; TECH CENTER</t>
        </is>
      </c>
      <c r="AE1558" t="inlineStr">
        <is>
          <t>WARREN CITY</t>
        </is>
      </c>
      <c r="AF1558" t="inlineStr">
        <is>
          <t>WARREN CITY SD</t>
        </is>
      </c>
      <c r="AH1558" t="n">
        <v>14</v>
      </c>
      <c r="AI1558" t="n">
        <v>11</v>
      </c>
      <c r="AN1558" t="inlineStr">
        <is>
          <t>WARREN</t>
        </is>
      </c>
      <c r="AO1558" t="inlineStr">
        <is>
          <t>WARREN CITY 4D</t>
        </is>
      </c>
      <c r="AP1558" t="inlineStr">
        <is>
          <t>78-P-ADL</t>
        </is>
      </c>
      <c r="AQ1558" t="n">
        <v>9</v>
      </c>
      <c r="AR1558" t="n">
        <v>64</v>
      </c>
      <c r="AS1558" t="n">
        <v>32</v>
      </c>
      <c r="AU1558">
        <f>COUNTA($BA$1558:$EH$1558)</f>
        <v/>
      </c>
      <c r="AV1558">
        <f>COUNTIF($BA$1558:$EH$1558,"D")</f>
        <v/>
      </c>
      <c r="AW1558">
        <f>COUNTIF($BA$1558:$EH$1558,"R")</f>
        <v/>
      </c>
      <c r="AX1558">
        <f>IF(BN1558="D",1,0)+IF(BO1558="D",1,0)+IF(BT1558="D",1,0)+IF(BU1558="D",1,0)+IF(BW1558="D",1,0)+IF(CC1558="D",1,0)+IF(CD1558="D",1,0)+IF(CE1558="D",1,0)+IF(CF1558="D",1,0)+IF(CL1558="D",1,0)+IF(CM1558="D",1,0)+IF(CQ1558="D",1,0)+IF(CR1558="D",1,0)+IF(CS1558="D",1,0)+IF(CW1558="D",1,0)+IF(CX1558="D",1,0)+IF(DD1558="D",1,0)+IF(DE1558="D",1,0)+IF(DJ1558="D",1,0)+IF(DK1558="D",1,0)+IF(DO1558="D",1,0)+IF(DP1558="D",1,0)+IF(DQ1558="D",1,0)+IF(DW1558="D",1,0)+IF(DZ1558="D",1,0)+IF(EH1558="D",1,0)</f>
        <v/>
      </c>
      <c r="AY1558">
        <f>IF(DJ1558&lt;&gt;"",1,0)+IF(DK1558&lt;&gt;"",1,0)+IF(DM1558&lt;&gt;"",1,0)+IF(DO1558&lt;&gt;"",1,0)+IF(DP1558&lt;&gt;"",1,0)+IF(DQ1558&lt;&gt;"",1,0)+IF(DS1558&lt;&gt;"",1,0)+IF(DT1558&lt;&gt;"",1,0)+IF(DV1558&lt;&gt;"",1,0)+IF(DW1558&lt;&gt;"",1,0)+IF(DX1558&lt;&gt;"",1,0)+IF(DY1558&lt;&gt;"",1,0)+IF(DZ1558&lt;&gt;"",1,0)+IF(EB1558&lt;&gt;"",1,0)+IF(EC1558&lt;&gt;"",1,0)+IF(ED1558&lt;&gt;"",1,0)+IF(EG1558&lt;&gt;"",1,0)+IF(EH1558&lt;&gt;"",1,0)</f>
        <v/>
      </c>
      <c r="AZ1558">
        <f>IF(EH1558&lt;&gt;"",1,0)</f>
        <v/>
      </c>
      <c r="BB1558" t="inlineStr">
        <is>
          <t>WARREN-WARD 4</t>
        </is>
      </c>
    </row>
    <row r="1559">
      <c r="A1559" t="inlineStr">
        <is>
          <t>OH0027498707</t>
        </is>
      </c>
      <c r="B1559" t="n">
        <v>78</v>
      </c>
      <c r="C1559" t="n">
        <v>487159</v>
      </c>
      <c r="D1559" t="inlineStr">
        <is>
          <t>CARTER</t>
        </is>
      </c>
      <c r="E1559" t="inlineStr">
        <is>
          <t>SEAN</t>
        </is>
      </c>
      <c r="F1559">
        <f>CONCATENATE(D1559," ",LEFT(H1559,4),"T=",AU1559,"D=",AV1559,"R=",AW1559,"M=",AX1559,"L=",AY1559,"B=",AZ1559)</f>
        <v/>
      </c>
      <c r="G1559" t="inlineStr">
        <is>
          <t>D</t>
        </is>
      </c>
      <c r="I1559" t="inlineStr">
        <is>
          <t>1991-01-15</t>
        </is>
      </c>
      <c r="J1559" t="inlineStr">
        <is>
          <t>2024-08-02</t>
        </is>
      </c>
      <c r="K1559" t="inlineStr">
        <is>
          <t>CONFIRMATION</t>
        </is>
      </c>
      <c r="M1559" t="inlineStr">
        <is>
          <t>721 ELM RD NE</t>
        </is>
      </c>
      <c r="N1559">
        <f>RIGHT(M1559,LEN(M1559)-FIND(" ",M1559))</f>
        <v/>
      </c>
      <c r="P1559" t="inlineStr">
        <is>
          <t>WARREN</t>
        </is>
      </c>
      <c r="Q1559" t="inlineStr">
        <is>
          <t>OH</t>
        </is>
      </c>
      <c r="R1559" t="n">
        <v>44483</v>
      </c>
      <c r="AD1559" t="inlineStr">
        <is>
          <t>TRUMBULL CAREER &amp; TECH CENTER</t>
        </is>
      </c>
      <c r="AE1559" t="inlineStr">
        <is>
          <t>WARREN CITY</t>
        </is>
      </c>
      <c r="AF1559" t="inlineStr">
        <is>
          <t>WARREN CITY SD</t>
        </is>
      </c>
      <c r="AH1559" t="n">
        <v>14</v>
      </c>
      <c r="AI1559" t="n">
        <v>11</v>
      </c>
      <c r="AN1559" t="inlineStr">
        <is>
          <t>WARREN</t>
        </is>
      </c>
      <c r="AO1559" t="inlineStr">
        <is>
          <t>WARREN CITY 4D</t>
        </is>
      </c>
      <c r="AP1559" t="inlineStr">
        <is>
          <t>78-P-ADL</t>
        </is>
      </c>
      <c r="AQ1559" t="n">
        <v>9</v>
      </c>
      <c r="AR1559" t="n">
        <v>64</v>
      </c>
      <c r="AS1559" t="n">
        <v>32</v>
      </c>
      <c r="AU1559">
        <f>COUNTA($BA$1559:$EH$1559)</f>
        <v/>
      </c>
      <c r="AV1559">
        <f>COUNTIF($BA$1559:$EH$1559,"D")</f>
        <v/>
      </c>
      <c r="AW1559">
        <f>COUNTIF($BA$1559:$EH$1559,"R")</f>
        <v/>
      </c>
      <c r="AX1559">
        <f>IF(BN1559="D",1,0)+IF(BO1559="D",1,0)+IF(BT1559="D",1,0)+IF(BU1559="D",1,0)+IF(BW1559="D",1,0)+IF(CC1559="D",1,0)+IF(CD1559="D",1,0)+IF(CE1559="D",1,0)+IF(CF1559="D",1,0)+IF(CL1559="D",1,0)+IF(CM1559="D",1,0)+IF(CQ1559="D",1,0)+IF(CR1559="D",1,0)+IF(CS1559="D",1,0)+IF(CW1559="D",1,0)+IF(CX1559="D",1,0)+IF(DD1559="D",1,0)+IF(DE1559="D",1,0)+IF(DJ1559="D",1,0)+IF(DK1559="D",1,0)+IF(DO1559="D",1,0)+IF(DP1559="D",1,0)+IF(DQ1559="D",1,0)+IF(DW1559="D",1,0)+IF(DZ1559="D",1,0)+IF(EH1559="D",1,0)</f>
        <v/>
      </c>
      <c r="AY1559">
        <f>IF(DJ1559&lt;&gt;"",1,0)+IF(DK1559&lt;&gt;"",1,0)+IF(DM1559&lt;&gt;"",1,0)+IF(DO1559&lt;&gt;"",1,0)+IF(DP1559&lt;&gt;"",1,0)+IF(DQ1559&lt;&gt;"",1,0)+IF(DS1559&lt;&gt;"",1,0)+IF(DT1559&lt;&gt;"",1,0)+IF(DV1559&lt;&gt;"",1,0)+IF(DW1559&lt;&gt;"",1,0)+IF(DX1559&lt;&gt;"",1,0)+IF(DY1559&lt;&gt;"",1,0)+IF(DZ1559&lt;&gt;"",1,0)+IF(EB1559&lt;&gt;"",1,0)+IF(EC1559&lt;&gt;"",1,0)+IF(ED1559&lt;&gt;"",1,0)+IF(EG1559&lt;&gt;"",1,0)+IF(EH1559&lt;&gt;"",1,0)</f>
        <v/>
      </c>
      <c r="AZ1559">
        <f>IF(EH1559&lt;&gt;"",1,0)</f>
        <v/>
      </c>
      <c r="BB1559" t="inlineStr">
        <is>
          <t>WARREN-WARD 4</t>
        </is>
      </c>
    </row>
    <row r="1560">
      <c r="A1560" t="inlineStr">
        <is>
          <t>OH0023668972</t>
        </is>
      </c>
      <c r="B1560" t="n">
        <v>78</v>
      </c>
      <c r="C1560" t="n">
        <v>416542</v>
      </c>
      <c r="D1560" t="inlineStr">
        <is>
          <t>FLOWERS</t>
        </is>
      </c>
      <c r="E1560" t="inlineStr">
        <is>
          <t>SUSAN</t>
        </is>
      </c>
      <c r="F1560">
        <f>CONCATENATE(D1560," ",LEFT(H1560,4),"T=",AU1560,"D=",AV1560,"R=",AW1560,"M=",AX1560,"L=",AY1560,"B=",AZ1560)</f>
        <v/>
      </c>
      <c r="G1560" t="inlineStr">
        <is>
          <t>A</t>
        </is>
      </c>
      <c r="I1560" t="inlineStr">
        <is>
          <t>1961-03-03</t>
        </is>
      </c>
      <c r="J1560" t="inlineStr">
        <is>
          <t>2016-04-25</t>
        </is>
      </c>
      <c r="K1560" t="inlineStr">
        <is>
          <t>CONFIRMATION</t>
        </is>
      </c>
      <c r="M1560" t="inlineStr">
        <is>
          <t>1180 HARRISON ST NE</t>
        </is>
      </c>
      <c r="N1560">
        <f>RIGHT(M1560,LEN(M1560)-FIND(" ",M1560))</f>
        <v/>
      </c>
      <c r="P1560" t="inlineStr">
        <is>
          <t>WARREN</t>
        </is>
      </c>
      <c r="Q1560" t="inlineStr">
        <is>
          <t>OH</t>
        </is>
      </c>
      <c r="R1560" t="n">
        <v>44483</v>
      </c>
      <c r="AD1560" t="inlineStr">
        <is>
          <t>TRUMBULL CAREER &amp; TECH CENTER</t>
        </is>
      </c>
      <c r="AE1560" t="inlineStr">
        <is>
          <t>WARREN CITY</t>
        </is>
      </c>
      <c r="AF1560" t="inlineStr">
        <is>
          <t>WARREN CITY SD</t>
        </is>
      </c>
      <c r="AH1560" t="n">
        <v>14</v>
      </c>
      <c r="AI1560" t="n">
        <v>11</v>
      </c>
      <c r="AN1560" t="inlineStr">
        <is>
          <t>WARREN</t>
        </is>
      </c>
      <c r="AO1560" t="inlineStr">
        <is>
          <t>WARREN CITY 4D</t>
        </is>
      </c>
      <c r="AP1560" t="inlineStr">
        <is>
          <t>78-P-ADL</t>
        </is>
      </c>
      <c r="AQ1560" t="n">
        <v>9</v>
      </c>
      <c r="AR1560" t="n">
        <v>64</v>
      </c>
      <c r="AS1560" t="n">
        <v>32</v>
      </c>
      <c r="AU1560">
        <f>COUNTA($BA$1560:$EH$1560)</f>
        <v/>
      </c>
      <c r="AV1560">
        <f>COUNTIF($BA$1560:$EH$1560,"D")</f>
        <v/>
      </c>
      <c r="AW1560">
        <f>COUNTIF($BA$1560:$EH$1560,"R")</f>
        <v/>
      </c>
      <c r="AX1560">
        <f>IF(BN1560="D",1,0)+IF(BO1560="D",1,0)+IF(BT1560="D",1,0)+IF(BU1560="D",1,0)+IF(BW1560="D",1,0)+IF(CC1560="D",1,0)+IF(CD1560="D",1,0)+IF(CE1560="D",1,0)+IF(CF1560="D",1,0)+IF(CL1560="D",1,0)+IF(CM1560="D",1,0)+IF(CQ1560="D",1,0)+IF(CR1560="D",1,0)+IF(CS1560="D",1,0)+IF(CW1560="D",1,0)+IF(CX1560="D",1,0)+IF(DD1560="D",1,0)+IF(DE1560="D",1,0)+IF(DJ1560="D",1,0)+IF(DK1560="D",1,0)+IF(DO1560="D",1,0)+IF(DP1560="D",1,0)+IF(DQ1560="D",1,0)+IF(DW1560="D",1,0)+IF(DZ1560="D",1,0)+IF(EH1560="D",1,0)</f>
        <v/>
      </c>
      <c r="AY1560">
        <f>IF(DJ1560&lt;&gt;"",1,0)+IF(DK1560&lt;&gt;"",1,0)+IF(DM1560&lt;&gt;"",1,0)+IF(DO1560&lt;&gt;"",1,0)+IF(DP1560&lt;&gt;"",1,0)+IF(DQ1560&lt;&gt;"",1,0)+IF(DS1560&lt;&gt;"",1,0)+IF(DT1560&lt;&gt;"",1,0)+IF(DV1560&lt;&gt;"",1,0)+IF(DW1560&lt;&gt;"",1,0)+IF(DX1560&lt;&gt;"",1,0)+IF(DY1560&lt;&gt;"",1,0)+IF(DZ1560&lt;&gt;"",1,0)+IF(EB1560&lt;&gt;"",1,0)+IF(EC1560&lt;&gt;"",1,0)+IF(ED1560&lt;&gt;"",1,0)+IF(EG1560&lt;&gt;"",1,0)+IF(EH1560&lt;&gt;"",1,0)</f>
        <v/>
      </c>
      <c r="AZ1560">
        <f>IF(EH1560&lt;&gt;"",1,0)</f>
        <v/>
      </c>
      <c r="BB1560" t="inlineStr">
        <is>
          <t>WARREN-WARD 4</t>
        </is>
      </c>
      <c r="DC1560" t="inlineStr">
        <is>
          <t>X</t>
        </is>
      </c>
    </row>
    <row r="1561">
      <c r="A1561" t="inlineStr">
        <is>
          <t>OH0026407536</t>
        </is>
      </c>
      <c r="B1561" t="n">
        <v>78</v>
      </c>
      <c r="C1561" t="n">
        <v>461672</v>
      </c>
      <c r="D1561" t="inlineStr">
        <is>
          <t>GETTMANN</t>
        </is>
      </c>
      <c r="E1561" t="inlineStr">
        <is>
          <t>TRENT</t>
        </is>
      </c>
      <c r="F1561">
        <f>CONCATENATE(D1561," ",LEFT(H1561,4),"T=",AU1561,"D=",AV1561,"R=",AW1561,"M=",AX1561,"L=",AY1561,"B=",AZ1561)</f>
        <v/>
      </c>
      <c r="G1561" t="inlineStr">
        <is>
          <t>MITCHEL QUADERE</t>
        </is>
      </c>
      <c r="I1561" t="inlineStr">
        <is>
          <t>1996-10-28</t>
        </is>
      </c>
      <c r="J1561" t="inlineStr">
        <is>
          <t>2022-01-03</t>
        </is>
      </c>
      <c r="K1561" t="inlineStr">
        <is>
          <t>CONFIRMATION</t>
        </is>
      </c>
      <c r="M1561" t="inlineStr">
        <is>
          <t>149 PORTER ST NE</t>
        </is>
      </c>
      <c r="N1561">
        <f>RIGHT(M1561,LEN(M1561)-FIND(" ",M1561))</f>
        <v/>
      </c>
      <c r="P1561" t="inlineStr">
        <is>
          <t>WARREN</t>
        </is>
      </c>
      <c r="Q1561" t="inlineStr">
        <is>
          <t>OH</t>
        </is>
      </c>
      <c r="R1561" t="n">
        <v>44483</v>
      </c>
      <c r="AD1561" t="inlineStr">
        <is>
          <t>TRUMBULL CAREER &amp; TECH CENTER</t>
        </is>
      </c>
      <c r="AE1561" t="inlineStr">
        <is>
          <t>WARREN CITY</t>
        </is>
      </c>
      <c r="AF1561" t="inlineStr">
        <is>
          <t>WARREN CITY SD</t>
        </is>
      </c>
      <c r="AH1561" t="n">
        <v>14</v>
      </c>
      <c r="AI1561" t="n">
        <v>11</v>
      </c>
      <c r="AN1561" t="inlineStr">
        <is>
          <t>WARREN</t>
        </is>
      </c>
      <c r="AO1561" t="inlineStr">
        <is>
          <t>WARREN CITY 4D</t>
        </is>
      </c>
      <c r="AP1561" t="inlineStr">
        <is>
          <t>78-P-ADL</t>
        </is>
      </c>
      <c r="AQ1561" t="n">
        <v>9</v>
      </c>
      <c r="AR1561" t="n">
        <v>64</v>
      </c>
      <c r="AS1561" t="n">
        <v>32</v>
      </c>
      <c r="AU1561">
        <f>COUNTA($BA$1561:$EH$1561)</f>
        <v/>
      </c>
      <c r="AV1561">
        <f>COUNTIF($BA$1561:$EH$1561,"D")</f>
        <v/>
      </c>
      <c r="AW1561">
        <f>COUNTIF($BA$1561:$EH$1561,"R")</f>
        <v/>
      </c>
      <c r="AX1561">
        <f>IF(BN1561="D",1,0)+IF(BO1561="D",1,0)+IF(BT1561="D",1,0)+IF(BU1561="D",1,0)+IF(BW1561="D",1,0)+IF(CC1561="D",1,0)+IF(CD1561="D",1,0)+IF(CE1561="D",1,0)+IF(CF1561="D",1,0)+IF(CL1561="D",1,0)+IF(CM1561="D",1,0)+IF(CQ1561="D",1,0)+IF(CR1561="D",1,0)+IF(CS1561="D",1,0)+IF(CW1561="D",1,0)+IF(CX1561="D",1,0)+IF(DD1561="D",1,0)+IF(DE1561="D",1,0)+IF(DJ1561="D",1,0)+IF(DK1561="D",1,0)+IF(DO1561="D",1,0)+IF(DP1561="D",1,0)+IF(DQ1561="D",1,0)+IF(DW1561="D",1,0)+IF(DZ1561="D",1,0)+IF(EH1561="D",1,0)</f>
        <v/>
      </c>
      <c r="AY1561">
        <f>IF(DJ1561&lt;&gt;"",1,0)+IF(DK1561&lt;&gt;"",1,0)+IF(DM1561&lt;&gt;"",1,0)+IF(DO1561&lt;&gt;"",1,0)+IF(DP1561&lt;&gt;"",1,0)+IF(DQ1561&lt;&gt;"",1,0)+IF(DS1561&lt;&gt;"",1,0)+IF(DT1561&lt;&gt;"",1,0)+IF(DV1561&lt;&gt;"",1,0)+IF(DW1561&lt;&gt;"",1,0)+IF(DX1561&lt;&gt;"",1,0)+IF(DY1561&lt;&gt;"",1,0)+IF(DZ1561&lt;&gt;"",1,0)+IF(EB1561&lt;&gt;"",1,0)+IF(EC1561&lt;&gt;"",1,0)+IF(ED1561&lt;&gt;"",1,0)+IF(EG1561&lt;&gt;"",1,0)+IF(EH1561&lt;&gt;"",1,0)</f>
        <v/>
      </c>
      <c r="AZ1561">
        <f>IF(EH1561&lt;&gt;"",1,0)</f>
        <v/>
      </c>
      <c r="BB1561" t="inlineStr">
        <is>
          <t>WARREN-WARD 4</t>
        </is>
      </c>
    </row>
    <row r="1562">
      <c r="A1562" t="inlineStr">
        <is>
          <t>OH0015737800</t>
        </is>
      </c>
      <c r="B1562" t="n">
        <v>78</v>
      </c>
      <c r="C1562" t="n">
        <v>223543</v>
      </c>
      <c r="D1562" t="inlineStr">
        <is>
          <t>HANAWALT</t>
        </is>
      </c>
      <c r="E1562" t="inlineStr">
        <is>
          <t>K</t>
        </is>
      </c>
      <c r="F1562">
        <f>CONCATENATE(D1562," ",LEFT(H1562,4),"T=",AU1562,"D=",AV1562,"R=",AW1562,"M=",AX1562,"L=",AY1562,"B=",AZ1562)</f>
        <v/>
      </c>
      <c r="G1562" t="inlineStr">
        <is>
          <t>MARTIN</t>
        </is>
      </c>
      <c r="I1562" t="inlineStr">
        <is>
          <t>1955-12-18</t>
        </is>
      </c>
      <c r="J1562" t="inlineStr">
        <is>
          <t>2006-09-13</t>
        </is>
      </c>
      <c r="K1562" t="inlineStr">
        <is>
          <t>ACTIVE</t>
        </is>
      </c>
      <c r="L1562" t="inlineStr">
        <is>
          <t>R</t>
        </is>
      </c>
      <c r="M1562" t="inlineStr">
        <is>
          <t>182 HIGH ST NE</t>
        </is>
      </c>
      <c r="N1562">
        <f>RIGHT(M1562,LEN(M1562)-FIND(" ",M1562))</f>
        <v/>
      </c>
      <c r="O1562" t="inlineStr">
        <is>
          <t>APT 605</t>
        </is>
      </c>
      <c r="P1562" t="inlineStr">
        <is>
          <t>WARREN</t>
        </is>
      </c>
      <c r="Q1562" t="inlineStr">
        <is>
          <t>OH</t>
        </is>
      </c>
      <c r="R1562" t="n">
        <v>44481</v>
      </c>
      <c r="AD1562" t="inlineStr">
        <is>
          <t>TRUMBULL CAREER &amp; TECH CENTER</t>
        </is>
      </c>
      <c r="AE1562" t="inlineStr">
        <is>
          <t>WARREN CITY</t>
        </is>
      </c>
      <c r="AF1562" t="inlineStr">
        <is>
          <t>WARREN CITY SD</t>
        </is>
      </c>
      <c r="AH1562" t="n">
        <v>14</v>
      </c>
      <c r="AI1562" t="n">
        <v>11</v>
      </c>
      <c r="AN1562" t="inlineStr">
        <is>
          <t>WARREN</t>
        </is>
      </c>
      <c r="AO1562" t="inlineStr">
        <is>
          <t>WARREN CITY 4D</t>
        </is>
      </c>
      <c r="AP1562" t="inlineStr">
        <is>
          <t>78-P-ADL</t>
        </is>
      </c>
      <c r="AQ1562" t="n">
        <v>9</v>
      </c>
      <c r="AR1562" t="n">
        <v>64</v>
      </c>
      <c r="AS1562" t="n">
        <v>32</v>
      </c>
      <c r="AU1562">
        <f>COUNTA($BA$1562:$EH$1562)</f>
        <v/>
      </c>
      <c r="AV1562">
        <f>COUNTIF($BA$1562:$EH$1562,"D")</f>
        <v/>
      </c>
      <c r="AW1562">
        <f>COUNTIF($BA$1562:$EH$1562,"R")</f>
        <v/>
      </c>
      <c r="AX1562">
        <f>IF(BN1562="D",1,0)+IF(BO1562="D",1,0)+IF(BT1562="D",1,0)+IF(BU1562="D",1,0)+IF(BW1562="D",1,0)+IF(CC1562="D",1,0)+IF(CD1562="D",1,0)+IF(CE1562="D",1,0)+IF(CF1562="D",1,0)+IF(CL1562="D",1,0)+IF(CM1562="D",1,0)+IF(CQ1562="D",1,0)+IF(CR1562="D",1,0)+IF(CS1562="D",1,0)+IF(CW1562="D",1,0)+IF(CX1562="D",1,0)+IF(DD1562="D",1,0)+IF(DE1562="D",1,0)+IF(DJ1562="D",1,0)+IF(DK1562="D",1,0)+IF(DO1562="D",1,0)+IF(DP1562="D",1,0)+IF(DQ1562="D",1,0)+IF(DW1562="D",1,0)+IF(DZ1562="D",1,0)+IF(EH1562="D",1,0)</f>
        <v/>
      </c>
      <c r="AY1562">
        <f>IF(DJ1562&lt;&gt;"",1,0)+IF(DK1562&lt;&gt;"",1,0)+IF(DM1562&lt;&gt;"",1,0)+IF(DO1562&lt;&gt;"",1,0)+IF(DP1562&lt;&gt;"",1,0)+IF(DQ1562&lt;&gt;"",1,0)+IF(DS1562&lt;&gt;"",1,0)+IF(DT1562&lt;&gt;"",1,0)+IF(DV1562&lt;&gt;"",1,0)+IF(DW1562&lt;&gt;"",1,0)+IF(DX1562&lt;&gt;"",1,0)+IF(DY1562&lt;&gt;"",1,0)+IF(DZ1562&lt;&gt;"",1,0)+IF(EB1562&lt;&gt;"",1,0)+IF(EC1562&lt;&gt;"",1,0)+IF(ED1562&lt;&gt;"",1,0)+IF(EG1562&lt;&gt;"",1,0)+IF(EH1562&lt;&gt;"",1,0)</f>
        <v/>
      </c>
      <c r="AZ1562">
        <f>IF(EH1562&lt;&gt;"",1,0)</f>
        <v/>
      </c>
      <c r="BB1562" t="inlineStr">
        <is>
          <t>WARREN-WARD 4</t>
        </is>
      </c>
      <c r="BD1562" t="inlineStr">
        <is>
          <t>X</t>
        </is>
      </c>
      <c r="BE1562" t="inlineStr">
        <is>
          <t>X</t>
        </is>
      </c>
      <c r="BG1562" t="inlineStr">
        <is>
          <t>X</t>
        </is>
      </c>
      <c r="BH1562" t="inlineStr">
        <is>
          <t>X</t>
        </is>
      </c>
      <c r="BK1562" t="inlineStr">
        <is>
          <t>X</t>
        </is>
      </c>
      <c r="BL1562" t="inlineStr">
        <is>
          <t>X</t>
        </is>
      </c>
      <c r="BS1562" t="inlineStr">
        <is>
          <t>X</t>
        </is>
      </c>
      <c r="BY1562" t="inlineStr">
        <is>
          <t>D</t>
        </is>
      </c>
      <c r="CA1562" t="inlineStr">
        <is>
          <t>X</t>
        </is>
      </c>
      <c r="CK1562" t="inlineStr">
        <is>
          <t>X</t>
        </is>
      </c>
      <c r="CN1562" t="inlineStr">
        <is>
          <t>X</t>
        </is>
      </c>
      <c r="CO1562" t="inlineStr">
        <is>
          <t>D</t>
        </is>
      </c>
      <c r="CP1562" t="inlineStr">
        <is>
          <t>X</t>
        </is>
      </c>
      <c r="CU1562" t="inlineStr">
        <is>
          <t>D</t>
        </is>
      </c>
      <c r="CV1562" t="inlineStr">
        <is>
          <t>X</t>
        </is>
      </c>
      <c r="CW1562" t="inlineStr">
        <is>
          <t>D</t>
        </is>
      </c>
      <c r="CY1562" t="inlineStr">
        <is>
          <t>X</t>
        </is>
      </c>
      <c r="CZ1562" t="inlineStr">
        <is>
          <t>D</t>
        </is>
      </c>
      <c r="DC1562" t="inlineStr">
        <is>
          <t>X</t>
        </is>
      </c>
      <c r="DF1562" t="inlineStr">
        <is>
          <t>X</t>
        </is>
      </c>
      <c r="DG1562" t="inlineStr">
        <is>
          <t>D</t>
        </is>
      </c>
      <c r="DI1562" t="inlineStr">
        <is>
          <t>X</t>
        </is>
      </c>
      <c r="DJ1562" t="inlineStr">
        <is>
          <t>D</t>
        </is>
      </c>
      <c r="DL1562" t="inlineStr">
        <is>
          <t>X</t>
        </is>
      </c>
      <c r="DM1562" t="inlineStr">
        <is>
          <t>D</t>
        </is>
      </c>
      <c r="DN1562" t="inlineStr">
        <is>
          <t>X</t>
        </is>
      </c>
      <c r="DR1562" t="inlineStr">
        <is>
          <t>X</t>
        </is>
      </c>
      <c r="DS1562" t="inlineStr">
        <is>
          <t>R</t>
        </is>
      </c>
      <c r="DX1562" t="inlineStr">
        <is>
          <t>X</t>
        </is>
      </c>
      <c r="EA1562" t="inlineStr">
        <is>
          <t>X</t>
        </is>
      </c>
      <c r="ED1562" t="inlineStr">
        <is>
          <t>R</t>
        </is>
      </c>
      <c r="EF1562" t="inlineStr">
        <is>
          <t>X</t>
        </is>
      </c>
    </row>
    <row r="1563">
      <c r="A1563" t="inlineStr">
        <is>
          <t>OH0027452680</t>
        </is>
      </c>
      <c r="B1563" t="n">
        <v>78</v>
      </c>
      <c r="C1563" t="n">
        <v>486369</v>
      </c>
      <c r="D1563" t="inlineStr">
        <is>
          <t>ROYSTER</t>
        </is>
      </c>
      <c r="E1563" t="inlineStr">
        <is>
          <t>DARYLE</t>
        </is>
      </c>
      <c r="F1563">
        <f>CONCATENATE(D1563," ",LEFT(H1563,4),"T=",AU1563,"D=",AV1563,"R=",AW1563,"M=",AX1563,"L=",AY1563,"B=",AZ1563)</f>
        <v/>
      </c>
      <c r="G1563" t="inlineStr">
        <is>
          <t>W</t>
        </is>
      </c>
      <c r="I1563" t="inlineStr">
        <is>
          <t>1992-12-07</t>
        </is>
      </c>
      <c r="J1563" t="inlineStr">
        <is>
          <t>2024-07-17</t>
        </is>
      </c>
      <c r="K1563" t="inlineStr">
        <is>
          <t>ACTIVE</t>
        </is>
      </c>
      <c r="M1563" t="inlineStr">
        <is>
          <t>163 HIGH ST NE</t>
        </is>
      </c>
      <c r="N1563">
        <f>RIGHT(M1563,LEN(M1563)-FIND(" ",M1563))</f>
        <v/>
      </c>
      <c r="P1563" t="inlineStr">
        <is>
          <t>WARREN</t>
        </is>
      </c>
      <c r="Q1563" t="inlineStr">
        <is>
          <t>OH</t>
        </is>
      </c>
      <c r="R1563" t="n">
        <v>44481</v>
      </c>
      <c r="AD1563" t="inlineStr">
        <is>
          <t>TRUMBULL CAREER &amp; TECH CENTER</t>
        </is>
      </c>
      <c r="AE1563" t="inlineStr">
        <is>
          <t>WARREN CITY</t>
        </is>
      </c>
      <c r="AF1563" t="inlineStr">
        <is>
          <t>WARREN CITY SD</t>
        </is>
      </c>
      <c r="AH1563" t="n">
        <v>14</v>
      </c>
      <c r="AI1563" t="n">
        <v>11</v>
      </c>
      <c r="AN1563" t="inlineStr">
        <is>
          <t>WARREN</t>
        </is>
      </c>
      <c r="AO1563" t="inlineStr">
        <is>
          <t>WARREN CITY 4D</t>
        </is>
      </c>
      <c r="AP1563" t="inlineStr">
        <is>
          <t>78-P-ADL</t>
        </is>
      </c>
      <c r="AQ1563" t="n">
        <v>9</v>
      </c>
      <c r="AR1563" t="n">
        <v>64</v>
      </c>
      <c r="AS1563" t="n">
        <v>32</v>
      </c>
      <c r="AU1563">
        <f>COUNTA($BA$1563:$EH$1563)</f>
        <v/>
      </c>
      <c r="AV1563">
        <f>COUNTIF($BA$1563:$EH$1563,"D")</f>
        <v/>
      </c>
      <c r="AW1563">
        <f>COUNTIF($BA$1563:$EH$1563,"R")</f>
        <v/>
      </c>
      <c r="AX1563">
        <f>IF(BN1563="D",1,0)+IF(BO1563="D",1,0)+IF(BT1563="D",1,0)+IF(BU1563="D",1,0)+IF(BW1563="D",1,0)+IF(CC1563="D",1,0)+IF(CD1563="D",1,0)+IF(CE1563="D",1,0)+IF(CF1563="D",1,0)+IF(CL1563="D",1,0)+IF(CM1563="D",1,0)+IF(CQ1563="D",1,0)+IF(CR1563="D",1,0)+IF(CS1563="D",1,0)+IF(CW1563="D",1,0)+IF(CX1563="D",1,0)+IF(DD1563="D",1,0)+IF(DE1563="D",1,0)+IF(DJ1563="D",1,0)+IF(DK1563="D",1,0)+IF(DO1563="D",1,0)+IF(DP1563="D",1,0)+IF(DQ1563="D",1,0)+IF(DW1563="D",1,0)+IF(DZ1563="D",1,0)+IF(EH1563="D",1,0)</f>
        <v/>
      </c>
      <c r="AY1563">
        <f>IF(DJ1563&lt;&gt;"",1,0)+IF(DK1563&lt;&gt;"",1,0)+IF(DM1563&lt;&gt;"",1,0)+IF(DO1563&lt;&gt;"",1,0)+IF(DP1563&lt;&gt;"",1,0)+IF(DQ1563&lt;&gt;"",1,0)+IF(DS1563&lt;&gt;"",1,0)+IF(DT1563&lt;&gt;"",1,0)+IF(DV1563&lt;&gt;"",1,0)+IF(DW1563&lt;&gt;"",1,0)+IF(DX1563&lt;&gt;"",1,0)+IF(DY1563&lt;&gt;"",1,0)+IF(DZ1563&lt;&gt;"",1,0)+IF(EB1563&lt;&gt;"",1,0)+IF(EC1563&lt;&gt;"",1,0)+IF(ED1563&lt;&gt;"",1,0)+IF(EG1563&lt;&gt;"",1,0)+IF(EH1563&lt;&gt;"",1,0)</f>
        <v/>
      </c>
      <c r="AZ1563">
        <f>IF(EH1563&lt;&gt;"",1,0)</f>
        <v/>
      </c>
      <c r="BB1563" t="inlineStr">
        <is>
          <t>WARREN-WARD 4</t>
        </is>
      </c>
    </row>
    <row r="1564">
      <c r="A1564" t="inlineStr">
        <is>
          <t>OH0026596678</t>
        </is>
      </c>
      <c r="B1564" t="n">
        <v>78</v>
      </c>
      <c r="C1564" t="n">
        <v>464799</v>
      </c>
      <c r="D1564" t="inlineStr">
        <is>
          <t>MATTHIAS</t>
        </is>
      </c>
      <c r="E1564" t="inlineStr">
        <is>
          <t>SAMANTHA</t>
        </is>
      </c>
      <c r="F1564">
        <f>CONCATENATE(D1564," ",LEFT(H1564,4),"T=",AU1564,"D=",AV1564,"R=",AW1564,"M=",AX1564,"L=",AY1564,"B=",AZ1564)</f>
        <v/>
      </c>
      <c r="G1564" t="inlineStr">
        <is>
          <t>RENE</t>
        </is>
      </c>
      <c r="I1564" t="inlineStr">
        <is>
          <t>1994-07-26</t>
        </is>
      </c>
      <c r="J1564" t="inlineStr">
        <is>
          <t>2022-07-23</t>
        </is>
      </c>
      <c r="K1564" t="inlineStr">
        <is>
          <t>CONFIRMATION</t>
        </is>
      </c>
      <c r="M1564" t="inlineStr">
        <is>
          <t>532 N PARK AVE</t>
        </is>
      </c>
      <c r="N1564">
        <f>RIGHT(M1564,LEN(M1564)-FIND(" ",M1564))</f>
        <v/>
      </c>
      <c r="O1564" t="inlineStr">
        <is>
          <t>APT A</t>
        </is>
      </c>
      <c r="P1564" t="inlineStr">
        <is>
          <t>WARREN</t>
        </is>
      </c>
      <c r="Q1564" t="inlineStr">
        <is>
          <t>OH</t>
        </is>
      </c>
      <c r="R1564" t="n">
        <v>44481</v>
      </c>
      <c r="AD1564" t="inlineStr">
        <is>
          <t>TRUMBULL CAREER &amp; TECH CENTER</t>
        </is>
      </c>
      <c r="AE1564" t="inlineStr">
        <is>
          <t>WARREN CITY</t>
        </is>
      </c>
      <c r="AF1564" t="inlineStr">
        <is>
          <t>WARREN CITY SD</t>
        </is>
      </c>
      <c r="AH1564" t="n">
        <v>14</v>
      </c>
      <c r="AI1564" t="n">
        <v>11</v>
      </c>
      <c r="AN1564" t="inlineStr">
        <is>
          <t>WARREN</t>
        </is>
      </c>
      <c r="AO1564" t="inlineStr">
        <is>
          <t>WARREN CITY 4D</t>
        </is>
      </c>
      <c r="AP1564" t="inlineStr">
        <is>
          <t>78-P-ADL</t>
        </is>
      </c>
      <c r="AQ1564" t="n">
        <v>9</v>
      </c>
      <c r="AR1564" t="n">
        <v>64</v>
      </c>
      <c r="AS1564" t="n">
        <v>32</v>
      </c>
      <c r="AU1564">
        <f>COUNTA($BA$1564:$EH$1564)</f>
        <v/>
      </c>
      <c r="AV1564">
        <f>COUNTIF($BA$1564:$EH$1564,"D")</f>
        <v/>
      </c>
      <c r="AW1564">
        <f>COUNTIF($BA$1564:$EH$1564,"R")</f>
        <v/>
      </c>
      <c r="AX1564">
        <f>IF(BN1564="D",1,0)+IF(BO1564="D",1,0)+IF(BT1564="D",1,0)+IF(BU1564="D",1,0)+IF(BW1564="D",1,0)+IF(CC1564="D",1,0)+IF(CD1564="D",1,0)+IF(CE1564="D",1,0)+IF(CF1564="D",1,0)+IF(CL1564="D",1,0)+IF(CM1564="D",1,0)+IF(CQ1564="D",1,0)+IF(CR1564="D",1,0)+IF(CS1564="D",1,0)+IF(CW1564="D",1,0)+IF(CX1564="D",1,0)+IF(DD1564="D",1,0)+IF(DE1564="D",1,0)+IF(DJ1564="D",1,0)+IF(DK1564="D",1,0)+IF(DO1564="D",1,0)+IF(DP1564="D",1,0)+IF(DQ1564="D",1,0)+IF(DW1564="D",1,0)+IF(DZ1564="D",1,0)+IF(EH1564="D",1,0)</f>
        <v/>
      </c>
      <c r="AY1564">
        <f>IF(DJ1564&lt;&gt;"",1,0)+IF(DK1564&lt;&gt;"",1,0)+IF(DM1564&lt;&gt;"",1,0)+IF(DO1564&lt;&gt;"",1,0)+IF(DP1564&lt;&gt;"",1,0)+IF(DQ1564&lt;&gt;"",1,0)+IF(DS1564&lt;&gt;"",1,0)+IF(DT1564&lt;&gt;"",1,0)+IF(DV1564&lt;&gt;"",1,0)+IF(DW1564&lt;&gt;"",1,0)+IF(DX1564&lt;&gt;"",1,0)+IF(DY1564&lt;&gt;"",1,0)+IF(DZ1564&lt;&gt;"",1,0)+IF(EB1564&lt;&gt;"",1,0)+IF(EC1564&lt;&gt;"",1,0)+IF(ED1564&lt;&gt;"",1,0)+IF(EG1564&lt;&gt;"",1,0)+IF(EH1564&lt;&gt;"",1,0)</f>
        <v/>
      </c>
      <c r="AZ1564">
        <f>IF(EH1564&lt;&gt;"",1,0)</f>
        <v/>
      </c>
      <c r="BB1564" t="inlineStr">
        <is>
          <t>WARREN-WARD 4</t>
        </is>
      </c>
    </row>
    <row r="1565">
      <c r="A1565" t="inlineStr">
        <is>
          <t>OH0027751087</t>
        </is>
      </c>
      <c r="B1565" t="n">
        <v>78</v>
      </c>
      <c r="C1565" t="n">
        <v>491614</v>
      </c>
      <c r="D1565" t="inlineStr">
        <is>
          <t>KIRBY</t>
        </is>
      </c>
      <c r="E1565" t="inlineStr">
        <is>
          <t>KARI</t>
        </is>
      </c>
      <c r="F1565">
        <f>CONCATENATE(D1565," ",LEFT(H1565,4),"T=",AU1565,"D=",AV1565,"R=",AW1565,"M=",AX1565,"L=",AY1565,"B=",AZ1565)</f>
        <v/>
      </c>
      <c r="G1565" t="inlineStr">
        <is>
          <t>ANN</t>
        </is>
      </c>
      <c r="I1565" t="inlineStr">
        <is>
          <t>1992-01-27</t>
        </is>
      </c>
      <c r="J1565" t="inlineStr">
        <is>
          <t>2024-09-25</t>
        </is>
      </c>
      <c r="K1565" t="inlineStr">
        <is>
          <t>ACTIVE</t>
        </is>
      </c>
      <c r="M1565" t="inlineStr">
        <is>
          <t>188 LOGAN AVE NE</t>
        </is>
      </c>
      <c r="N1565">
        <f>RIGHT(M1565,LEN(M1565)-FIND(" ",M1565))</f>
        <v/>
      </c>
      <c r="P1565" t="inlineStr">
        <is>
          <t>WARREN</t>
        </is>
      </c>
      <c r="Q1565" t="inlineStr">
        <is>
          <t>OH</t>
        </is>
      </c>
      <c r="R1565" t="n">
        <v>44483</v>
      </c>
      <c r="AD1565" t="inlineStr">
        <is>
          <t>TRUMBULL CAREER &amp; TECH CENTER</t>
        </is>
      </c>
      <c r="AE1565" t="inlineStr">
        <is>
          <t>WARREN CITY</t>
        </is>
      </c>
      <c r="AF1565" t="inlineStr">
        <is>
          <t>WARREN CITY SD</t>
        </is>
      </c>
      <c r="AH1565" t="n">
        <v>14</v>
      </c>
      <c r="AI1565" t="n">
        <v>11</v>
      </c>
      <c r="AN1565" t="inlineStr">
        <is>
          <t>WARREN</t>
        </is>
      </c>
      <c r="AO1565" t="inlineStr">
        <is>
          <t>WARREN CITY 4D</t>
        </is>
      </c>
      <c r="AP1565" t="inlineStr">
        <is>
          <t>78-P-ADL</t>
        </is>
      </c>
      <c r="AQ1565" t="n">
        <v>9</v>
      </c>
      <c r="AR1565" t="n">
        <v>64</v>
      </c>
      <c r="AS1565" t="n">
        <v>32</v>
      </c>
      <c r="AU1565">
        <f>COUNTA($BA$1565:$EH$1565)</f>
        <v/>
      </c>
      <c r="AV1565">
        <f>COUNTIF($BA$1565:$EH$1565,"D")</f>
        <v/>
      </c>
      <c r="AW1565">
        <f>COUNTIF($BA$1565:$EH$1565,"R")</f>
        <v/>
      </c>
      <c r="AX1565">
        <f>IF(BN1565="D",1,0)+IF(BO1565="D",1,0)+IF(BT1565="D",1,0)+IF(BU1565="D",1,0)+IF(BW1565="D",1,0)+IF(CC1565="D",1,0)+IF(CD1565="D",1,0)+IF(CE1565="D",1,0)+IF(CF1565="D",1,0)+IF(CL1565="D",1,0)+IF(CM1565="D",1,0)+IF(CQ1565="D",1,0)+IF(CR1565="D",1,0)+IF(CS1565="D",1,0)+IF(CW1565="D",1,0)+IF(CX1565="D",1,0)+IF(DD1565="D",1,0)+IF(DE1565="D",1,0)+IF(DJ1565="D",1,0)+IF(DK1565="D",1,0)+IF(DO1565="D",1,0)+IF(DP1565="D",1,0)+IF(DQ1565="D",1,0)+IF(DW1565="D",1,0)+IF(DZ1565="D",1,0)+IF(EH1565="D",1,0)</f>
        <v/>
      </c>
      <c r="AY1565">
        <f>IF(DJ1565&lt;&gt;"",1,0)+IF(DK1565&lt;&gt;"",1,0)+IF(DM1565&lt;&gt;"",1,0)+IF(DO1565&lt;&gt;"",1,0)+IF(DP1565&lt;&gt;"",1,0)+IF(DQ1565&lt;&gt;"",1,0)+IF(DS1565&lt;&gt;"",1,0)+IF(DT1565&lt;&gt;"",1,0)+IF(DV1565&lt;&gt;"",1,0)+IF(DW1565&lt;&gt;"",1,0)+IF(DX1565&lt;&gt;"",1,0)+IF(DY1565&lt;&gt;"",1,0)+IF(DZ1565&lt;&gt;"",1,0)+IF(EB1565&lt;&gt;"",1,0)+IF(EC1565&lt;&gt;"",1,0)+IF(ED1565&lt;&gt;"",1,0)+IF(EG1565&lt;&gt;"",1,0)+IF(EH1565&lt;&gt;"",1,0)</f>
        <v/>
      </c>
      <c r="AZ1565">
        <f>IF(EH1565&lt;&gt;"",1,0)</f>
        <v/>
      </c>
      <c r="BB1565" t="inlineStr">
        <is>
          <t>WARREN-WARD 4</t>
        </is>
      </c>
      <c r="EF1565" t="inlineStr">
        <is>
          <t>X</t>
        </is>
      </c>
    </row>
    <row r="1566">
      <c r="A1566" t="inlineStr">
        <is>
          <t>OH0027751070</t>
        </is>
      </c>
      <c r="B1566" t="n">
        <v>78</v>
      </c>
      <c r="C1566" t="n">
        <v>491612</v>
      </c>
      <c r="D1566" t="inlineStr">
        <is>
          <t>KIRBY</t>
        </is>
      </c>
      <c r="E1566" t="inlineStr">
        <is>
          <t>DARREN</t>
        </is>
      </c>
      <c r="F1566">
        <f>CONCATENATE(D1566," ",LEFT(H1566,4),"T=",AU1566,"D=",AV1566,"R=",AW1566,"M=",AX1566,"L=",AY1566,"B=",AZ1566)</f>
        <v/>
      </c>
      <c r="G1566" t="inlineStr">
        <is>
          <t>TYLER</t>
        </is>
      </c>
      <c r="I1566" t="inlineStr">
        <is>
          <t>1990-08-19</t>
        </is>
      </c>
      <c r="J1566" t="inlineStr">
        <is>
          <t>2024-09-25</t>
        </is>
      </c>
      <c r="K1566" t="inlineStr">
        <is>
          <t>ACTIVE</t>
        </is>
      </c>
      <c r="M1566" t="inlineStr">
        <is>
          <t>188 LOGAN AVE NE</t>
        </is>
      </c>
      <c r="N1566">
        <f>RIGHT(M1566,LEN(M1566)-FIND(" ",M1566))</f>
        <v/>
      </c>
      <c r="P1566" t="inlineStr">
        <is>
          <t>WARREN</t>
        </is>
      </c>
      <c r="Q1566" t="inlineStr">
        <is>
          <t>OH</t>
        </is>
      </c>
      <c r="R1566" t="n">
        <v>44483</v>
      </c>
      <c r="AD1566" t="inlineStr">
        <is>
          <t>TRUMBULL CAREER &amp; TECH CENTER</t>
        </is>
      </c>
      <c r="AE1566" t="inlineStr">
        <is>
          <t>WARREN CITY</t>
        </is>
      </c>
      <c r="AF1566" t="inlineStr">
        <is>
          <t>WARREN CITY SD</t>
        </is>
      </c>
      <c r="AH1566" t="n">
        <v>14</v>
      </c>
      <c r="AI1566" t="n">
        <v>11</v>
      </c>
      <c r="AN1566" t="inlineStr">
        <is>
          <t>WARREN</t>
        </is>
      </c>
      <c r="AO1566" t="inlineStr">
        <is>
          <t>WARREN CITY 4D</t>
        </is>
      </c>
      <c r="AP1566" t="inlineStr">
        <is>
          <t>78-P-ADL</t>
        </is>
      </c>
      <c r="AQ1566" t="n">
        <v>9</v>
      </c>
      <c r="AR1566" t="n">
        <v>64</v>
      </c>
      <c r="AS1566" t="n">
        <v>32</v>
      </c>
      <c r="AU1566">
        <f>COUNTA($BA$1566:$EH$1566)</f>
        <v/>
      </c>
      <c r="AV1566">
        <f>COUNTIF($BA$1566:$EH$1566,"D")</f>
        <v/>
      </c>
      <c r="AW1566">
        <f>COUNTIF($BA$1566:$EH$1566,"R")</f>
        <v/>
      </c>
      <c r="AX1566">
        <f>IF(BN1566="D",1,0)+IF(BO1566="D",1,0)+IF(BT1566="D",1,0)+IF(BU1566="D",1,0)+IF(BW1566="D",1,0)+IF(CC1566="D",1,0)+IF(CD1566="D",1,0)+IF(CE1566="D",1,0)+IF(CF1566="D",1,0)+IF(CL1566="D",1,0)+IF(CM1566="D",1,0)+IF(CQ1566="D",1,0)+IF(CR1566="D",1,0)+IF(CS1566="D",1,0)+IF(CW1566="D",1,0)+IF(CX1566="D",1,0)+IF(DD1566="D",1,0)+IF(DE1566="D",1,0)+IF(DJ1566="D",1,0)+IF(DK1566="D",1,0)+IF(DO1566="D",1,0)+IF(DP1566="D",1,0)+IF(DQ1566="D",1,0)+IF(DW1566="D",1,0)+IF(DZ1566="D",1,0)+IF(EH1566="D",1,0)</f>
        <v/>
      </c>
      <c r="AY1566">
        <f>IF(DJ1566&lt;&gt;"",1,0)+IF(DK1566&lt;&gt;"",1,0)+IF(DM1566&lt;&gt;"",1,0)+IF(DO1566&lt;&gt;"",1,0)+IF(DP1566&lt;&gt;"",1,0)+IF(DQ1566&lt;&gt;"",1,0)+IF(DS1566&lt;&gt;"",1,0)+IF(DT1566&lt;&gt;"",1,0)+IF(DV1566&lt;&gt;"",1,0)+IF(DW1566&lt;&gt;"",1,0)+IF(DX1566&lt;&gt;"",1,0)+IF(DY1566&lt;&gt;"",1,0)+IF(DZ1566&lt;&gt;"",1,0)+IF(EB1566&lt;&gt;"",1,0)+IF(EC1566&lt;&gt;"",1,0)+IF(ED1566&lt;&gt;"",1,0)+IF(EG1566&lt;&gt;"",1,0)+IF(EH1566&lt;&gt;"",1,0)</f>
        <v/>
      </c>
      <c r="AZ1566">
        <f>IF(EH1566&lt;&gt;"",1,0)</f>
        <v/>
      </c>
      <c r="BB1566" t="inlineStr">
        <is>
          <t>WARREN-WARD 4</t>
        </is>
      </c>
      <c r="EF1566" t="inlineStr">
        <is>
          <t>X</t>
        </is>
      </c>
    </row>
    <row r="1567">
      <c r="A1567" t="inlineStr">
        <is>
          <t>OH0026800886</t>
        </is>
      </c>
      <c r="B1567" t="n">
        <v>78</v>
      </c>
      <c r="C1567" t="n">
        <v>470596</v>
      </c>
      <c r="D1567" t="inlineStr">
        <is>
          <t>DUKES</t>
        </is>
      </c>
      <c r="E1567" t="inlineStr">
        <is>
          <t>MARKILA</t>
        </is>
      </c>
      <c r="F1567">
        <f>CONCATENATE(D1567," ",LEFT(H1567,4),"T=",AU1567,"D=",AV1567,"R=",AW1567,"M=",AX1567,"L=",AY1567,"B=",AZ1567)</f>
        <v/>
      </c>
      <c r="G1567" t="inlineStr">
        <is>
          <t>D</t>
        </is>
      </c>
      <c r="I1567" t="inlineStr">
        <is>
          <t>2001-07-22</t>
        </is>
      </c>
      <c r="J1567" t="inlineStr">
        <is>
          <t>2023-01-17</t>
        </is>
      </c>
      <c r="K1567" t="inlineStr">
        <is>
          <t>ACTIVE</t>
        </is>
      </c>
      <c r="M1567" t="inlineStr">
        <is>
          <t>349 SCOTT ST NE</t>
        </is>
      </c>
      <c r="N1567">
        <f>RIGHT(M1567,LEN(M1567)-FIND(" ",M1567))</f>
        <v/>
      </c>
      <c r="P1567" t="inlineStr">
        <is>
          <t>WARREN</t>
        </is>
      </c>
      <c r="Q1567" t="inlineStr">
        <is>
          <t>OH</t>
        </is>
      </c>
      <c r="R1567" t="n">
        <v>44483</v>
      </c>
      <c r="AD1567" t="inlineStr">
        <is>
          <t>TRUMBULL CAREER &amp; TECH CENTER</t>
        </is>
      </c>
      <c r="AE1567" t="inlineStr">
        <is>
          <t>WARREN CITY</t>
        </is>
      </c>
      <c r="AF1567" t="inlineStr">
        <is>
          <t>WARREN CITY SD</t>
        </is>
      </c>
      <c r="AH1567" t="n">
        <v>14</v>
      </c>
      <c r="AI1567" t="n">
        <v>11</v>
      </c>
      <c r="AN1567" t="inlineStr">
        <is>
          <t>WARREN</t>
        </is>
      </c>
      <c r="AO1567" t="inlineStr">
        <is>
          <t>WARREN CITY 4D</t>
        </is>
      </c>
      <c r="AP1567" t="inlineStr">
        <is>
          <t>78-P-ADL</t>
        </is>
      </c>
      <c r="AQ1567" t="n">
        <v>9</v>
      </c>
      <c r="AR1567" t="n">
        <v>64</v>
      </c>
      <c r="AS1567" t="n">
        <v>32</v>
      </c>
      <c r="AU1567">
        <f>COUNTA($BA$1567:$EH$1567)</f>
        <v/>
      </c>
      <c r="AV1567">
        <f>COUNTIF($BA$1567:$EH$1567,"D")</f>
        <v/>
      </c>
      <c r="AW1567">
        <f>COUNTIF($BA$1567:$EH$1567,"R")</f>
        <v/>
      </c>
      <c r="AX1567">
        <f>IF(BN1567="D",1,0)+IF(BO1567="D",1,0)+IF(BT1567="D",1,0)+IF(BU1567="D",1,0)+IF(BW1567="D",1,0)+IF(CC1567="D",1,0)+IF(CD1567="D",1,0)+IF(CE1567="D",1,0)+IF(CF1567="D",1,0)+IF(CL1567="D",1,0)+IF(CM1567="D",1,0)+IF(CQ1567="D",1,0)+IF(CR1567="D",1,0)+IF(CS1567="D",1,0)+IF(CW1567="D",1,0)+IF(CX1567="D",1,0)+IF(DD1567="D",1,0)+IF(DE1567="D",1,0)+IF(DJ1567="D",1,0)+IF(DK1567="D",1,0)+IF(DO1567="D",1,0)+IF(DP1567="D",1,0)+IF(DQ1567="D",1,0)+IF(DW1567="D",1,0)+IF(DZ1567="D",1,0)+IF(EH1567="D",1,0)</f>
        <v/>
      </c>
      <c r="AY1567">
        <f>IF(DJ1567&lt;&gt;"",1,0)+IF(DK1567&lt;&gt;"",1,0)+IF(DM1567&lt;&gt;"",1,0)+IF(DO1567&lt;&gt;"",1,0)+IF(DP1567&lt;&gt;"",1,0)+IF(DQ1567&lt;&gt;"",1,0)+IF(DS1567&lt;&gt;"",1,0)+IF(DT1567&lt;&gt;"",1,0)+IF(DV1567&lt;&gt;"",1,0)+IF(DW1567&lt;&gt;"",1,0)+IF(DX1567&lt;&gt;"",1,0)+IF(DY1567&lt;&gt;"",1,0)+IF(DZ1567&lt;&gt;"",1,0)+IF(EB1567&lt;&gt;"",1,0)+IF(EC1567&lt;&gt;"",1,0)+IF(ED1567&lt;&gt;"",1,0)+IF(EG1567&lt;&gt;"",1,0)+IF(EH1567&lt;&gt;"",1,0)</f>
        <v/>
      </c>
      <c r="AZ1567">
        <f>IF(EH1567&lt;&gt;"",1,0)</f>
        <v/>
      </c>
      <c r="BB1567" t="inlineStr">
        <is>
          <t>WARREN-WARD 4</t>
        </is>
      </c>
    </row>
    <row r="1568">
      <c r="A1568" t="inlineStr">
        <is>
          <t>OH0024908159</t>
        </is>
      </c>
      <c r="B1568" t="n">
        <v>78</v>
      </c>
      <c r="C1568" t="n">
        <v>435436</v>
      </c>
      <c r="D1568" t="inlineStr">
        <is>
          <t>SULLIVAN</t>
        </is>
      </c>
      <c r="E1568" t="inlineStr">
        <is>
          <t>CAREY</t>
        </is>
      </c>
      <c r="F1568">
        <f>CONCATENATE(D1568," ",LEFT(H1568,4),"T=",AU1568,"D=",AV1568,"R=",AW1568,"M=",AX1568,"L=",AY1568,"B=",AZ1568)</f>
        <v/>
      </c>
      <c r="G1568" t="inlineStr">
        <is>
          <t>LEE</t>
        </is>
      </c>
      <c r="I1568" t="inlineStr">
        <is>
          <t>1983-04-28</t>
        </is>
      </c>
      <c r="J1568" t="inlineStr">
        <is>
          <t>2018-09-26</t>
        </is>
      </c>
      <c r="K1568" t="inlineStr">
        <is>
          <t>CONFIRMATION</t>
        </is>
      </c>
      <c r="M1568" t="inlineStr">
        <is>
          <t>121 MONROE ST NW</t>
        </is>
      </c>
      <c r="N1568">
        <f>RIGHT(M1568,LEN(M1568)-FIND(" ",M1568))</f>
        <v/>
      </c>
      <c r="O1568" t="inlineStr">
        <is>
          <t>APT 11</t>
        </is>
      </c>
      <c r="P1568" t="inlineStr">
        <is>
          <t>WARREN</t>
        </is>
      </c>
      <c r="Q1568" t="inlineStr">
        <is>
          <t>OH</t>
        </is>
      </c>
      <c r="R1568" t="n">
        <v>44483</v>
      </c>
      <c r="AD1568" t="inlineStr">
        <is>
          <t>TRUMBULL CAREER &amp; TECH CENTER</t>
        </is>
      </c>
      <c r="AE1568" t="inlineStr">
        <is>
          <t>WARREN CITY</t>
        </is>
      </c>
      <c r="AF1568" t="inlineStr">
        <is>
          <t>WARREN CITY SD</t>
        </is>
      </c>
      <c r="AH1568" t="n">
        <v>14</v>
      </c>
      <c r="AI1568" t="n">
        <v>11</v>
      </c>
      <c r="AN1568" t="inlineStr">
        <is>
          <t>WARREN</t>
        </is>
      </c>
      <c r="AO1568" t="inlineStr">
        <is>
          <t>WARREN CITY 4D</t>
        </is>
      </c>
      <c r="AP1568" t="inlineStr">
        <is>
          <t>78-P-ADL</t>
        </is>
      </c>
      <c r="AQ1568" t="n">
        <v>9</v>
      </c>
      <c r="AR1568" t="n">
        <v>64</v>
      </c>
      <c r="AS1568" t="n">
        <v>32</v>
      </c>
      <c r="AU1568">
        <f>COUNTA($BA$1568:$EH$1568)</f>
        <v/>
      </c>
      <c r="AV1568">
        <f>COUNTIF($BA$1568:$EH$1568,"D")</f>
        <v/>
      </c>
      <c r="AW1568">
        <f>COUNTIF($BA$1568:$EH$1568,"R")</f>
        <v/>
      </c>
      <c r="AX1568">
        <f>IF(BN1568="D",1,0)+IF(BO1568="D",1,0)+IF(BT1568="D",1,0)+IF(BU1568="D",1,0)+IF(BW1568="D",1,0)+IF(CC1568="D",1,0)+IF(CD1568="D",1,0)+IF(CE1568="D",1,0)+IF(CF1568="D",1,0)+IF(CL1568="D",1,0)+IF(CM1568="D",1,0)+IF(CQ1568="D",1,0)+IF(CR1568="D",1,0)+IF(CS1568="D",1,0)+IF(CW1568="D",1,0)+IF(CX1568="D",1,0)+IF(DD1568="D",1,0)+IF(DE1568="D",1,0)+IF(DJ1568="D",1,0)+IF(DK1568="D",1,0)+IF(DO1568="D",1,0)+IF(DP1568="D",1,0)+IF(DQ1568="D",1,0)+IF(DW1568="D",1,0)+IF(DZ1568="D",1,0)+IF(EH1568="D",1,0)</f>
        <v/>
      </c>
      <c r="AY1568">
        <f>IF(DJ1568&lt;&gt;"",1,0)+IF(DK1568&lt;&gt;"",1,0)+IF(DM1568&lt;&gt;"",1,0)+IF(DO1568&lt;&gt;"",1,0)+IF(DP1568&lt;&gt;"",1,0)+IF(DQ1568&lt;&gt;"",1,0)+IF(DS1568&lt;&gt;"",1,0)+IF(DT1568&lt;&gt;"",1,0)+IF(DV1568&lt;&gt;"",1,0)+IF(DW1568&lt;&gt;"",1,0)+IF(DX1568&lt;&gt;"",1,0)+IF(DY1568&lt;&gt;"",1,0)+IF(DZ1568&lt;&gt;"",1,0)+IF(EB1568&lt;&gt;"",1,0)+IF(EC1568&lt;&gt;"",1,0)+IF(ED1568&lt;&gt;"",1,0)+IF(EG1568&lt;&gt;"",1,0)+IF(EH1568&lt;&gt;"",1,0)</f>
        <v/>
      </c>
      <c r="AZ1568">
        <f>IF(EH1568&lt;&gt;"",1,0)</f>
        <v/>
      </c>
      <c r="BB1568" t="inlineStr">
        <is>
          <t>WARREN-WARD 4</t>
        </is>
      </c>
    </row>
    <row r="1569">
      <c r="A1569" t="inlineStr">
        <is>
          <t>OH0024661164</t>
        </is>
      </c>
      <c r="B1569" t="n">
        <v>78</v>
      </c>
      <c r="C1569" t="n">
        <v>432359</v>
      </c>
      <c r="D1569" t="inlineStr">
        <is>
          <t>DARBEY</t>
        </is>
      </c>
      <c r="E1569" t="inlineStr">
        <is>
          <t>SHAWN</t>
        </is>
      </c>
      <c r="F1569">
        <f>CONCATENATE(D1569," ",LEFT(H1569,4),"T=",AU1569,"D=",AV1569,"R=",AW1569,"M=",AX1569,"L=",AY1569,"B=",AZ1569)</f>
        <v/>
      </c>
      <c r="G1569" t="inlineStr">
        <is>
          <t>M</t>
        </is>
      </c>
      <c r="H1569" t="inlineStr">
        <is>
          <t>SR</t>
        </is>
      </c>
      <c r="I1569" t="inlineStr">
        <is>
          <t>1971-09-21</t>
        </is>
      </c>
      <c r="J1569" t="inlineStr">
        <is>
          <t>2018-06-14</t>
        </is>
      </c>
      <c r="K1569" t="inlineStr">
        <is>
          <t>CONFIRMATION</t>
        </is>
      </c>
      <c r="M1569" t="inlineStr">
        <is>
          <t>1103 HIGH ST NE</t>
        </is>
      </c>
      <c r="N1569">
        <f>RIGHT(M1569,LEN(M1569)-FIND(" ",M1569))</f>
        <v/>
      </c>
      <c r="O1569" t="inlineStr">
        <is>
          <t>APT 2</t>
        </is>
      </c>
      <c r="P1569" t="inlineStr">
        <is>
          <t>WARREN</t>
        </is>
      </c>
      <c r="Q1569" t="inlineStr">
        <is>
          <t>OH</t>
        </is>
      </c>
      <c r="R1569" t="n">
        <v>44483</v>
      </c>
      <c r="AD1569" t="inlineStr">
        <is>
          <t>TRUMBULL CAREER &amp; TECH CENTER</t>
        </is>
      </c>
      <c r="AE1569" t="inlineStr">
        <is>
          <t>WARREN CITY</t>
        </is>
      </c>
      <c r="AF1569" t="inlineStr">
        <is>
          <t>WARREN CITY SD</t>
        </is>
      </c>
      <c r="AH1569" t="n">
        <v>14</v>
      </c>
      <c r="AI1569" t="n">
        <v>11</v>
      </c>
      <c r="AN1569" t="inlineStr">
        <is>
          <t>WARREN</t>
        </is>
      </c>
      <c r="AO1569" t="inlineStr">
        <is>
          <t>WARREN CITY 4D</t>
        </is>
      </c>
      <c r="AP1569" t="inlineStr">
        <is>
          <t>78-P-ADL</t>
        </is>
      </c>
      <c r="AQ1569" t="n">
        <v>9</v>
      </c>
      <c r="AR1569" t="n">
        <v>64</v>
      </c>
      <c r="AS1569" t="n">
        <v>32</v>
      </c>
      <c r="AU1569">
        <f>COUNTA($BA$1569:$EH$1569)</f>
        <v/>
      </c>
      <c r="AV1569">
        <f>COUNTIF($BA$1569:$EH$1569,"D")</f>
        <v/>
      </c>
      <c r="AW1569">
        <f>COUNTIF($BA$1569:$EH$1569,"R")</f>
        <v/>
      </c>
      <c r="AX1569">
        <f>IF(BN1569="D",1,0)+IF(BO1569="D",1,0)+IF(BT1569="D",1,0)+IF(BU1569="D",1,0)+IF(BW1569="D",1,0)+IF(CC1569="D",1,0)+IF(CD1569="D",1,0)+IF(CE1569="D",1,0)+IF(CF1569="D",1,0)+IF(CL1569="D",1,0)+IF(CM1569="D",1,0)+IF(CQ1569="D",1,0)+IF(CR1569="D",1,0)+IF(CS1569="D",1,0)+IF(CW1569="D",1,0)+IF(CX1569="D",1,0)+IF(DD1569="D",1,0)+IF(DE1569="D",1,0)+IF(DJ1569="D",1,0)+IF(DK1569="D",1,0)+IF(DO1569="D",1,0)+IF(DP1569="D",1,0)+IF(DQ1569="D",1,0)+IF(DW1569="D",1,0)+IF(DZ1569="D",1,0)+IF(EH1569="D",1,0)</f>
        <v/>
      </c>
      <c r="AY1569">
        <f>IF(DJ1569&lt;&gt;"",1,0)+IF(DK1569&lt;&gt;"",1,0)+IF(DM1569&lt;&gt;"",1,0)+IF(DO1569&lt;&gt;"",1,0)+IF(DP1569&lt;&gt;"",1,0)+IF(DQ1569&lt;&gt;"",1,0)+IF(DS1569&lt;&gt;"",1,0)+IF(DT1569&lt;&gt;"",1,0)+IF(DV1569&lt;&gt;"",1,0)+IF(DW1569&lt;&gt;"",1,0)+IF(DX1569&lt;&gt;"",1,0)+IF(DY1569&lt;&gt;"",1,0)+IF(DZ1569&lt;&gt;"",1,0)+IF(EB1569&lt;&gt;"",1,0)+IF(EC1569&lt;&gt;"",1,0)+IF(ED1569&lt;&gt;"",1,0)+IF(EG1569&lt;&gt;"",1,0)+IF(EH1569&lt;&gt;"",1,0)</f>
        <v/>
      </c>
      <c r="AZ1569">
        <f>IF(EH1569&lt;&gt;"",1,0)</f>
        <v/>
      </c>
      <c r="BB1569" t="inlineStr">
        <is>
          <t>WARREN-WARD 4</t>
        </is>
      </c>
    </row>
    <row r="1570">
      <c r="A1570" t="inlineStr">
        <is>
          <t>OH0027692894</t>
        </is>
      </c>
      <c r="B1570" t="n">
        <v>78</v>
      </c>
      <c r="C1570" t="n">
        <v>490582</v>
      </c>
      <c r="D1570" t="inlineStr">
        <is>
          <t>CARTER</t>
        </is>
      </c>
      <c r="E1570" t="inlineStr">
        <is>
          <t>CHRISTOPHER</t>
        </is>
      </c>
      <c r="F1570">
        <f>CONCATENATE(D1570," ",LEFT(H1570,4),"T=",AU1570,"D=",AV1570,"R=",AW1570,"M=",AX1570,"L=",AY1570,"B=",AZ1570)</f>
        <v/>
      </c>
      <c r="G1570" t="inlineStr">
        <is>
          <t>BLAKE</t>
        </is>
      </c>
      <c r="I1570" t="inlineStr">
        <is>
          <t>2001-04-04</t>
        </is>
      </c>
      <c r="J1570" t="inlineStr">
        <is>
          <t>2024-10-03</t>
        </is>
      </c>
      <c r="K1570" t="inlineStr">
        <is>
          <t>ACTIVE</t>
        </is>
      </c>
      <c r="M1570" t="inlineStr">
        <is>
          <t>169 IDDINGS AVE NE</t>
        </is>
      </c>
      <c r="N1570">
        <f>RIGHT(M1570,LEN(M1570)-FIND(" ",M1570))</f>
        <v/>
      </c>
      <c r="P1570" t="inlineStr">
        <is>
          <t>WARREN</t>
        </is>
      </c>
      <c r="Q1570" t="inlineStr">
        <is>
          <t>OH</t>
        </is>
      </c>
      <c r="R1570" t="n">
        <v>44483</v>
      </c>
      <c r="AD1570" t="inlineStr">
        <is>
          <t>TRUMBULL CAREER &amp; TECH CENTER</t>
        </is>
      </c>
      <c r="AE1570" t="inlineStr">
        <is>
          <t>WARREN CITY</t>
        </is>
      </c>
      <c r="AF1570" t="inlineStr">
        <is>
          <t>WARREN CITY SD</t>
        </is>
      </c>
      <c r="AH1570" t="n">
        <v>14</v>
      </c>
      <c r="AI1570" t="n">
        <v>11</v>
      </c>
      <c r="AN1570" t="inlineStr">
        <is>
          <t>WARREN</t>
        </is>
      </c>
      <c r="AO1570" t="inlineStr">
        <is>
          <t>WARREN CITY 4D</t>
        </is>
      </c>
      <c r="AP1570" t="inlineStr">
        <is>
          <t>78-P-ADL</t>
        </is>
      </c>
      <c r="AQ1570" t="n">
        <v>9</v>
      </c>
      <c r="AR1570" t="n">
        <v>64</v>
      </c>
      <c r="AS1570" t="n">
        <v>32</v>
      </c>
      <c r="AU1570">
        <f>COUNTA($BA$1570:$EH$1570)</f>
        <v/>
      </c>
      <c r="AV1570">
        <f>COUNTIF($BA$1570:$EH$1570,"D")</f>
        <v/>
      </c>
      <c r="AW1570">
        <f>COUNTIF($BA$1570:$EH$1570,"R")</f>
        <v/>
      </c>
      <c r="AX1570">
        <f>IF(BN1570="D",1,0)+IF(BO1570="D",1,0)+IF(BT1570="D",1,0)+IF(BU1570="D",1,0)+IF(BW1570="D",1,0)+IF(CC1570="D",1,0)+IF(CD1570="D",1,0)+IF(CE1570="D",1,0)+IF(CF1570="D",1,0)+IF(CL1570="D",1,0)+IF(CM1570="D",1,0)+IF(CQ1570="D",1,0)+IF(CR1570="D",1,0)+IF(CS1570="D",1,0)+IF(CW1570="D",1,0)+IF(CX1570="D",1,0)+IF(DD1570="D",1,0)+IF(DE1570="D",1,0)+IF(DJ1570="D",1,0)+IF(DK1570="D",1,0)+IF(DO1570="D",1,0)+IF(DP1570="D",1,0)+IF(DQ1570="D",1,0)+IF(DW1570="D",1,0)+IF(DZ1570="D",1,0)+IF(EH1570="D",1,0)</f>
        <v/>
      </c>
      <c r="AY1570">
        <f>IF(DJ1570&lt;&gt;"",1,0)+IF(DK1570&lt;&gt;"",1,0)+IF(DM1570&lt;&gt;"",1,0)+IF(DO1570&lt;&gt;"",1,0)+IF(DP1570&lt;&gt;"",1,0)+IF(DQ1570&lt;&gt;"",1,0)+IF(DS1570&lt;&gt;"",1,0)+IF(DT1570&lt;&gt;"",1,0)+IF(DV1570&lt;&gt;"",1,0)+IF(DW1570&lt;&gt;"",1,0)+IF(DX1570&lt;&gt;"",1,0)+IF(DY1570&lt;&gt;"",1,0)+IF(DZ1570&lt;&gt;"",1,0)+IF(EB1570&lt;&gt;"",1,0)+IF(EC1570&lt;&gt;"",1,0)+IF(ED1570&lt;&gt;"",1,0)+IF(EG1570&lt;&gt;"",1,0)+IF(EH1570&lt;&gt;"",1,0)</f>
        <v/>
      </c>
      <c r="AZ1570">
        <f>IF(EH1570&lt;&gt;"",1,0)</f>
        <v/>
      </c>
      <c r="BB1570" t="inlineStr">
        <is>
          <t>WARREN-WARD 4</t>
        </is>
      </c>
      <c r="EF1570" t="inlineStr">
        <is>
          <t>X</t>
        </is>
      </c>
    </row>
    <row r="1571">
      <c r="A1571" t="inlineStr">
        <is>
          <t>OH0026082335</t>
        </is>
      </c>
      <c r="B1571" t="n">
        <v>78</v>
      </c>
      <c r="C1571" t="n">
        <v>455447</v>
      </c>
      <c r="D1571" t="inlineStr">
        <is>
          <t>HARBOUR</t>
        </is>
      </c>
      <c r="E1571" t="inlineStr">
        <is>
          <t>SHARON</t>
        </is>
      </c>
      <c r="F1571">
        <f>CONCATENATE(D1571," ",LEFT(H1571,4),"T=",AU1571,"D=",AV1571,"R=",AW1571,"M=",AX1571,"L=",AY1571,"B=",AZ1571)</f>
        <v/>
      </c>
      <c r="G1571" t="inlineStr">
        <is>
          <t>R</t>
        </is>
      </c>
      <c r="I1571" t="inlineStr">
        <is>
          <t>1957-10-13</t>
        </is>
      </c>
      <c r="J1571" t="inlineStr">
        <is>
          <t>2020-10-09</t>
        </is>
      </c>
      <c r="K1571" t="inlineStr">
        <is>
          <t>CONFIRMATION</t>
        </is>
      </c>
      <c r="M1571" t="inlineStr">
        <is>
          <t>464 VINE AVE NE</t>
        </is>
      </c>
      <c r="N1571">
        <f>RIGHT(M1571,LEN(M1571)-FIND(" ",M1571))</f>
        <v/>
      </c>
      <c r="O1571" t="inlineStr">
        <is>
          <t>APT 2</t>
        </is>
      </c>
      <c r="P1571" t="inlineStr">
        <is>
          <t>WARREN</t>
        </is>
      </c>
      <c r="Q1571" t="inlineStr">
        <is>
          <t>OH</t>
        </is>
      </c>
      <c r="R1571" t="n">
        <v>44483</v>
      </c>
      <c r="AD1571" t="inlineStr">
        <is>
          <t>TRUMBULL CAREER &amp; TECH CENTER</t>
        </is>
      </c>
      <c r="AE1571" t="inlineStr">
        <is>
          <t>WARREN CITY</t>
        </is>
      </c>
      <c r="AF1571" t="inlineStr">
        <is>
          <t>WARREN CITY SD</t>
        </is>
      </c>
      <c r="AH1571" t="n">
        <v>14</v>
      </c>
      <c r="AI1571" t="n">
        <v>11</v>
      </c>
      <c r="AN1571" t="inlineStr">
        <is>
          <t>WARREN</t>
        </is>
      </c>
      <c r="AO1571" t="inlineStr">
        <is>
          <t>WARREN CITY 4D</t>
        </is>
      </c>
      <c r="AP1571" t="inlineStr">
        <is>
          <t>78-P-ADL</t>
        </is>
      </c>
      <c r="AQ1571" t="n">
        <v>9</v>
      </c>
      <c r="AR1571" t="n">
        <v>64</v>
      </c>
      <c r="AS1571" t="n">
        <v>32</v>
      </c>
      <c r="AU1571">
        <f>COUNTA($BA$1571:$EH$1571)</f>
        <v/>
      </c>
      <c r="AV1571">
        <f>COUNTIF($BA$1571:$EH$1571,"D")</f>
        <v/>
      </c>
      <c r="AW1571">
        <f>COUNTIF($BA$1571:$EH$1571,"R")</f>
        <v/>
      </c>
      <c r="AX1571">
        <f>IF(BN1571="D",1,0)+IF(BO1571="D",1,0)+IF(BT1571="D",1,0)+IF(BU1571="D",1,0)+IF(BW1571="D",1,0)+IF(CC1571="D",1,0)+IF(CD1571="D",1,0)+IF(CE1571="D",1,0)+IF(CF1571="D",1,0)+IF(CL1571="D",1,0)+IF(CM1571="D",1,0)+IF(CQ1571="D",1,0)+IF(CR1571="D",1,0)+IF(CS1571="D",1,0)+IF(CW1571="D",1,0)+IF(CX1571="D",1,0)+IF(DD1571="D",1,0)+IF(DE1571="D",1,0)+IF(DJ1571="D",1,0)+IF(DK1571="D",1,0)+IF(DO1571="D",1,0)+IF(DP1571="D",1,0)+IF(DQ1571="D",1,0)+IF(DW1571="D",1,0)+IF(DZ1571="D",1,0)+IF(EH1571="D",1,0)</f>
        <v/>
      </c>
      <c r="AY1571">
        <f>IF(DJ1571&lt;&gt;"",1,0)+IF(DK1571&lt;&gt;"",1,0)+IF(DM1571&lt;&gt;"",1,0)+IF(DO1571&lt;&gt;"",1,0)+IF(DP1571&lt;&gt;"",1,0)+IF(DQ1571&lt;&gt;"",1,0)+IF(DS1571&lt;&gt;"",1,0)+IF(DT1571&lt;&gt;"",1,0)+IF(DV1571&lt;&gt;"",1,0)+IF(DW1571&lt;&gt;"",1,0)+IF(DX1571&lt;&gt;"",1,0)+IF(DY1571&lt;&gt;"",1,0)+IF(DZ1571&lt;&gt;"",1,0)+IF(EB1571&lt;&gt;"",1,0)+IF(EC1571&lt;&gt;"",1,0)+IF(ED1571&lt;&gt;"",1,0)+IF(EG1571&lt;&gt;"",1,0)+IF(EH1571&lt;&gt;"",1,0)</f>
        <v/>
      </c>
      <c r="AZ1571">
        <f>IF(EH1571&lt;&gt;"",1,0)</f>
        <v/>
      </c>
      <c r="BB1571" t="inlineStr">
        <is>
          <t>WARREN-WARD 4</t>
        </is>
      </c>
    </row>
    <row r="1572">
      <c r="A1572" t="inlineStr">
        <is>
          <t>OH0024416449</t>
        </is>
      </c>
      <c r="B1572" t="n">
        <v>78</v>
      </c>
      <c r="C1572" t="n">
        <v>428219</v>
      </c>
      <c r="D1572" t="inlineStr">
        <is>
          <t>ROBERTS</t>
        </is>
      </c>
      <c r="E1572" t="inlineStr">
        <is>
          <t>WILLIAM</t>
        </is>
      </c>
      <c r="F1572">
        <f>CONCATENATE(D1572," ",LEFT(H1572,4),"T=",AU1572,"D=",AV1572,"R=",AW1572,"M=",AX1572,"L=",AY1572,"B=",AZ1572)</f>
        <v/>
      </c>
      <c r="G1572" t="inlineStr">
        <is>
          <t>JAMAHL</t>
        </is>
      </c>
      <c r="I1572" t="inlineStr">
        <is>
          <t>1974-06-21</t>
        </is>
      </c>
      <c r="J1572" t="inlineStr">
        <is>
          <t>2017-09-15</t>
        </is>
      </c>
      <c r="K1572" t="inlineStr">
        <is>
          <t>CONFIRMATION</t>
        </is>
      </c>
      <c r="M1572" t="inlineStr">
        <is>
          <t>585 FAIRFIELD AVE NE</t>
        </is>
      </c>
      <c r="N1572">
        <f>RIGHT(M1572,LEN(M1572)-FIND(" ",M1572))</f>
        <v/>
      </c>
      <c r="P1572" t="inlineStr">
        <is>
          <t>WARREN</t>
        </is>
      </c>
      <c r="Q1572" t="inlineStr">
        <is>
          <t>OH</t>
        </is>
      </c>
      <c r="R1572" t="n">
        <v>44483</v>
      </c>
      <c r="AD1572" t="inlineStr">
        <is>
          <t>TRUMBULL CAREER &amp; TECH CENTER</t>
        </is>
      </c>
      <c r="AE1572" t="inlineStr">
        <is>
          <t>WARREN CITY</t>
        </is>
      </c>
      <c r="AF1572" t="inlineStr">
        <is>
          <t>WARREN CITY SD</t>
        </is>
      </c>
      <c r="AH1572" t="n">
        <v>14</v>
      </c>
      <c r="AI1572" t="n">
        <v>11</v>
      </c>
      <c r="AN1572" t="inlineStr">
        <is>
          <t>WARREN</t>
        </is>
      </c>
      <c r="AO1572" t="inlineStr">
        <is>
          <t>WARREN CITY 4D</t>
        </is>
      </c>
      <c r="AP1572" t="inlineStr">
        <is>
          <t>78-P-ADL</t>
        </is>
      </c>
      <c r="AQ1572" t="n">
        <v>9</v>
      </c>
      <c r="AR1572" t="n">
        <v>64</v>
      </c>
      <c r="AS1572" t="n">
        <v>32</v>
      </c>
      <c r="AU1572">
        <f>COUNTA($BA$1572:$EH$1572)</f>
        <v/>
      </c>
      <c r="AV1572">
        <f>COUNTIF($BA$1572:$EH$1572,"D")</f>
        <v/>
      </c>
      <c r="AW1572">
        <f>COUNTIF($BA$1572:$EH$1572,"R")</f>
        <v/>
      </c>
      <c r="AX1572">
        <f>IF(BN1572="D",1,0)+IF(BO1572="D",1,0)+IF(BT1572="D",1,0)+IF(BU1572="D",1,0)+IF(BW1572="D",1,0)+IF(CC1572="D",1,0)+IF(CD1572="D",1,0)+IF(CE1572="D",1,0)+IF(CF1572="D",1,0)+IF(CL1572="D",1,0)+IF(CM1572="D",1,0)+IF(CQ1572="D",1,0)+IF(CR1572="D",1,0)+IF(CS1572="D",1,0)+IF(CW1572="D",1,0)+IF(CX1572="D",1,0)+IF(DD1572="D",1,0)+IF(DE1572="D",1,0)+IF(DJ1572="D",1,0)+IF(DK1572="D",1,0)+IF(DO1572="D",1,0)+IF(DP1572="D",1,0)+IF(DQ1572="D",1,0)+IF(DW1572="D",1,0)+IF(DZ1572="D",1,0)+IF(EH1572="D",1,0)</f>
        <v/>
      </c>
      <c r="AY1572">
        <f>IF(DJ1572&lt;&gt;"",1,0)+IF(DK1572&lt;&gt;"",1,0)+IF(DM1572&lt;&gt;"",1,0)+IF(DO1572&lt;&gt;"",1,0)+IF(DP1572&lt;&gt;"",1,0)+IF(DQ1572&lt;&gt;"",1,0)+IF(DS1572&lt;&gt;"",1,0)+IF(DT1572&lt;&gt;"",1,0)+IF(DV1572&lt;&gt;"",1,0)+IF(DW1572&lt;&gt;"",1,0)+IF(DX1572&lt;&gt;"",1,0)+IF(DY1572&lt;&gt;"",1,0)+IF(DZ1572&lt;&gt;"",1,0)+IF(EB1572&lt;&gt;"",1,0)+IF(EC1572&lt;&gt;"",1,0)+IF(ED1572&lt;&gt;"",1,0)+IF(EG1572&lt;&gt;"",1,0)+IF(EH1572&lt;&gt;"",1,0)</f>
        <v/>
      </c>
      <c r="AZ1572">
        <f>IF(EH1572&lt;&gt;"",1,0)</f>
        <v/>
      </c>
      <c r="BB1572" t="inlineStr">
        <is>
          <t>WARREN-WARD 4</t>
        </is>
      </c>
    </row>
    <row r="1573">
      <c r="A1573" t="inlineStr">
        <is>
          <t>OH0015706081</t>
        </is>
      </c>
      <c r="B1573" t="n">
        <v>78</v>
      </c>
      <c r="C1573" t="n">
        <v>168855</v>
      </c>
      <c r="D1573" t="inlineStr">
        <is>
          <t>RENNINGER</t>
        </is>
      </c>
      <c r="E1573" t="inlineStr">
        <is>
          <t>LORRAINE</t>
        </is>
      </c>
      <c r="F1573">
        <f>CONCATENATE(D1573," ",LEFT(H1573,4),"T=",AU1573,"D=",AV1573,"R=",AW1573,"M=",AX1573,"L=",AY1573,"B=",AZ1573)</f>
        <v/>
      </c>
      <c r="G1573" t="inlineStr">
        <is>
          <t>M</t>
        </is>
      </c>
      <c r="I1573" t="inlineStr">
        <is>
          <t>1929-06-26</t>
        </is>
      </c>
      <c r="J1573" t="inlineStr">
        <is>
          <t>1984-03-08</t>
        </is>
      </c>
      <c r="K1573" t="inlineStr">
        <is>
          <t>CONFIRMATION</t>
        </is>
      </c>
      <c r="M1573" t="inlineStr">
        <is>
          <t>160 E MARKET ST</t>
        </is>
      </c>
      <c r="N1573">
        <f>RIGHT(M1573,LEN(M1573)-FIND(" ",M1573))</f>
        <v/>
      </c>
      <c r="O1573" t="inlineStr">
        <is>
          <t>STE 250</t>
        </is>
      </c>
      <c r="P1573" t="inlineStr">
        <is>
          <t>WARREN</t>
        </is>
      </c>
      <c r="Q1573" t="inlineStr">
        <is>
          <t>OH</t>
        </is>
      </c>
      <c r="R1573" t="n">
        <v>44481</v>
      </c>
      <c r="AD1573" t="inlineStr">
        <is>
          <t>TRUMBULL CAREER &amp; TECH CENTER</t>
        </is>
      </c>
      <c r="AE1573" t="inlineStr">
        <is>
          <t>WARREN CITY</t>
        </is>
      </c>
      <c r="AF1573" t="inlineStr">
        <is>
          <t>WARREN CITY SD</t>
        </is>
      </c>
      <c r="AH1573" t="n">
        <v>14</v>
      </c>
      <c r="AI1573" t="n">
        <v>11</v>
      </c>
      <c r="AN1573" t="inlineStr">
        <is>
          <t>WARREN</t>
        </is>
      </c>
      <c r="AO1573" t="inlineStr">
        <is>
          <t>WARREN CITY 4D</t>
        </is>
      </c>
      <c r="AP1573" t="inlineStr">
        <is>
          <t>78-P-ADL</t>
        </is>
      </c>
      <c r="AQ1573" t="n">
        <v>9</v>
      </c>
      <c r="AR1573" t="n">
        <v>64</v>
      </c>
      <c r="AS1573" t="n">
        <v>32</v>
      </c>
      <c r="AU1573">
        <f>COUNTA($BA$1573:$EH$1573)</f>
        <v/>
      </c>
      <c r="AV1573">
        <f>COUNTIF($BA$1573:$EH$1573,"D")</f>
        <v/>
      </c>
      <c r="AW1573">
        <f>COUNTIF($BA$1573:$EH$1573,"R")</f>
        <v/>
      </c>
      <c r="AX1573">
        <f>IF(BN1573="D",1,0)+IF(BO1573="D",1,0)+IF(BT1573="D",1,0)+IF(BU1573="D",1,0)+IF(BW1573="D",1,0)+IF(CC1573="D",1,0)+IF(CD1573="D",1,0)+IF(CE1573="D",1,0)+IF(CF1573="D",1,0)+IF(CL1573="D",1,0)+IF(CM1573="D",1,0)+IF(CQ1573="D",1,0)+IF(CR1573="D",1,0)+IF(CS1573="D",1,0)+IF(CW1573="D",1,0)+IF(CX1573="D",1,0)+IF(DD1573="D",1,0)+IF(DE1573="D",1,0)+IF(DJ1573="D",1,0)+IF(DK1573="D",1,0)+IF(DO1573="D",1,0)+IF(DP1573="D",1,0)+IF(DQ1573="D",1,0)+IF(DW1573="D",1,0)+IF(DZ1573="D",1,0)+IF(EH1573="D",1,0)</f>
        <v/>
      </c>
      <c r="AY1573">
        <f>IF(DJ1573&lt;&gt;"",1,0)+IF(DK1573&lt;&gt;"",1,0)+IF(DM1573&lt;&gt;"",1,0)+IF(DO1573&lt;&gt;"",1,0)+IF(DP1573&lt;&gt;"",1,0)+IF(DQ1573&lt;&gt;"",1,0)+IF(DS1573&lt;&gt;"",1,0)+IF(DT1573&lt;&gt;"",1,0)+IF(DV1573&lt;&gt;"",1,0)+IF(DW1573&lt;&gt;"",1,0)+IF(DX1573&lt;&gt;"",1,0)+IF(DY1573&lt;&gt;"",1,0)+IF(DZ1573&lt;&gt;"",1,0)+IF(EB1573&lt;&gt;"",1,0)+IF(EC1573&lt;&gt;"",1,0)+IF(ED1573&lt;&gt;"",1,0)+IF(EG1573&lt;&gt;"",1,0)+IF(EH1573&lt;&gt;"",1,0)</f>
        <v/>
      </c>
      <c r="AZ1573">
        <f>IF(EH1573&lt;&gt;"",1,0)</f>
        <v/>
      </c>
      <c r="BB1573" t="inlineStr">
        <is>
          <t>WARREN-WARD 4</t>
        </is>
      </c>
      <c r="BC1573" t="inlineStr">
        <is>
          <t>X</t>
        </is>
      </c>
      <c r="BD1573" t="inlineStr">
        <is>
          <t>X</t>
        </is>
      </c>
      <c r="BF1573" t="inlineStr">
        <is>
          <t>X</t>
        </is>
      </c>
      <c r="BG1573" t="inlineStr">
        <is>
          <t>X</t>
        </is>
      </c>
      <c r="BH1573" t="inlineStr">
        <is>
          <t>X</t>
        </is>
      </c>
      <c r="BI1573" t="inlineStr">
        <is>
          <t>X</t>
        </is>
      </c>
      <c r="BJ1573" t="inlineStr">
        <is>
          <t>X</t>
        </is>
      </c>
      <c r="BK1573" t="inlineStr">
        <is>
          <t>X</t>
        </is>
      </c>
      <c r="BL1573" t="inlineStr">
        <is>
          <t>X</t>
        </is>
      </c>
      <c r="BP1573" t="inlineStr">
        <is>
          <t>X</t>
        </is>
      </c>
      <c r="BR1573" t="inlineStr">
        <is>
          <t>X</t>
        </is>
      </c>
      <c r="BS1573" t="inlineStr">
        <is>
          <t>X</t>
        </is>
      </c>
      <c r="BV1573" t="inlineStr">
        <is>
          <t>X</t>
        </is>
      </c>
      <c r="BY1573" t="inlineStr">
        <is>
          <t>D</t>
        </is>
      </c>
      <c r="CA1573" t="inlineStr">
        <is>
          <t>X</t>
        </is>
      </c>
      <c r="CG1573" t="inlineStr">
        <is>
          <t>X</t>
        </is>
      </c>
      <c r="CH1573" t="inlineStr">
        <is>
          <t>D</t>
        </is>
      </c>
      <c r="CK1573" t="inlineStr">
        <is>
          <t>X</t>
        </is>
      </c>
      <c r="CN1573" t="inlineStr">
        <is>
          <t>X</t>
        </is>
      </c>
      <c r="CO1573" t="inlineStr">
        <is>
          <t>D</t>
        </is>
      </c>
      <c r="CP1573" t="inlineStr">
        <is>
          <t>X</t>
        </is>
      </c>
      <c r="CT1573" t="inlineStr">
        <is>
          <t>X</t>
        </is>
      </c>
      <c r="CU1573" t="inlineStr">
        <is>
          <t>D</t>
        </is>
      </c>
      <c r="CV1573" t="inlineStr">
        <is>
          <t>X</t>
        </is>
      </c>
      <c r="CY1573" t="inlineStr">
        <is>
          <t>X</t>
        </is>
      </c>
      <c r="DC1573" t="inlineStr">
        <is>
          <t>X</t>
        </is>
      </c>
    </row>
    <row r="1574">
      <c r="A1574" t="inlineStr">
        <is>
          <t>OH0024767363</t>
        </is>
      </c>
      <c r="B1574" t="n">
        <v>78</v>
      </c>
      <c r="C1574" t="n">
        <v>434748</v>
      </c>
      <c r="D1574" t="inlineStr">
        <is>
          <t>FRAZIER</t>
        </is>
      </c>
      <c r="E1574" t="inlineStr">
        <is>
          <t>BRANDON</t>
        </is>
      </c>
      <c r="F1574">
        <f>CONCATENATE(D1574," ",LEFT(H1574,4),"T=",AU1574,"D=",AV1574,"R=",AW1574,"M=",AX1574,"L=",AY1574,"B=",AZ1574)</f>
        <v/>
      </c>
      <c r="G1574" t="inlineStr">
        <is>
          <t>DONTE</t>
        </is>
      </c>
      <c r="I1574" t="inlineStr">
        <is>
          <t>1999-02-09</t>
        </is>
      </c>
      <c r="J1574" t="inlineStr">
        <is>
          <t>2018-09-06</t>
        </is>
      </c>
      <c r="K1574" t="inlineStr">
        <is>
          <t>CONFIRMATION</t>
        </is>
      </c>
      <c r="M1574" t="inlineStr">
        <is>
          <t>1114 MCKINLEY ST NE</t>
        </is>
      </c>
      <c r="N1574">
        <f>RIGHT(M1574,LEN(M1574)-FIND(" ",M1574))</f>
        <v/>
      </c>
      <c r="P1574" t="inlineStr">
        <is>
          <t>WARREN</t>
        </is>
      </c>
      <c r="Q1574" t="inlineStr">
        <is>
          <t>OH</t>
        </is>
      </c>
      <c r="R1574" t="n">
        <v>44483</v>
      </c>
      <c r="AD1574" t="inlineStr">
        <is>
          <t>TRUMBULL CAREER &amp; TECH CENTER</t>
        </is>
      </c>
      <c r="AE1574" t="inlineStr">
        <is>
          <t>WARREN CITY</t>
        </is>
      </c>
      <c r="AF1574" t="inlineStr">
        <is>
          <t>WARREN CITY SD</t>
        </is>
      </c>
      <c r="AH1574" t="n">
        <v>14</v>
      </c>
      <c r="AI1574" t="n">
        <v>11</v>
      </c>
      <c r="AN1574" t="inlineStr">
        <is>
          <t>WARREN</t>
        </is>
      </c>
      <c r="AO1574" t="inlineStr">
        <is>
          <t>WARREN CITY 4D</t>
        </is>
      </c>
      <c r="AP1574" t="inlineStr">
        <is>
          <t>78-P-ADL</t>
        </is>
      </c>
      <c r="AQ1574" t="n">
        <v>9</v>
      </c>
      <c r="AR1574" t="n">
        <v>64</v>
      </c>
      <c r="AS1574" t="n">
        <v>32</v>
      </c>
      <c r="AU1574">
        <f>COUNTA($BA$1574:$EH$1574)</f>
        <v/>
      </c>
      <c r="AV1574">
        <f>COUNTIF($BA$1574:$EH$1574,"D")</f>
        <v/>
      </c>
      <c r="AW1574">
        <f>COUNTIF($BA$1574:$EH$1574,"R")</f>
        <v/>
      </c>
      <c r="AX1574">
        <f>IF(BN1574="D",1,0)+IF(BO1574="D",1,0)+IF(BT1574="D",1,0)+IF(BU1574="D",1,0)+IF(BW1574="D",1,0)+IF(CC1574="D",1,0)+IF(CD1574="D",1,0)+IF(CE1574="D",1,0)+IF(CF1574="D",1,0)+IF(CL1574="D",1,0)+IF(CM1574="D",1,0)+IF(CQ1574="D",1,0)+IF(CR1574="D",1,0)+IF(CS1574="D",1,0)+IF(CW1574="D",1,0)+IF(CX1574="D",1,0)+IF(DD1574="D",1,0)+IF(DE1574="D",1,0)+IF(DJ1574="D",1,0)+IF(DK1574="D",1,0)+IF(DO1574="D",1,0)+IF(DP1574="D",1,0)+IF(DQ1574="D",1,0)+IF(DW1574="D",1,0)+IF(DZ1574="D",1,0)+IF(EH1574="D",1,0)</f>
        <v/>
      </c>
      <c r="AY1574">
        <f>IF(DJ1574&lt;&gt;"",1,0)+IF(DK1574&lt;&gt;"",1,0)+IF(DM1574&lt;&gt;"",1,0)+IF(DO1574&lt;&gt;"",1,0)+IF(DP1574&lt;&gt;"",1,0)+IF(DQ1574&lt;&gt;"",1,0)+IF(DS1574&lt;&gt;"",1,0)+IF(DT1574&lt;&gt;"",1,0)+IF(DV1574&lt;&gt;"",1,0)+IF(DW1574&lt;&gt;"",1,0)+IF(DX1574&lt;&gt;"",1,0)+IF(DY1574&lt;&gt;"",1,0)+IF(DZ1574&lt;&gt;"",1,0)+IF(EB1574&lt;&gt;"",1,0)+IF(EC1574&lt;&gt;"",1,0)+IF(ED1574&lt;&gt;"",1,0)+IF(EG1574&lt;&gt;"",1,0)+IF(EH1574&lt;&gt;"",1,0)</f>
        <v/>
      </c>
      <c r="AZ1574">
        <f>IF(EH1574&lt;&gt;"",1,0)</f>
        <v/>
      </c>
      <c r="BB1574" t="inlineStr">
        <is>
          <t>WARREN-WARD 4</t>
        </is>
      </c>
      <c r="DI1574" t="inlineStr">
        <is>
          <t>X</t>
        </is>
      </c>
      <c r="DN1574" t="inlineStr">
        <is>
          <t>X</t>
        </is>
      </c>
    </row>
    <row r="1575">
      <c r="A1575" t="inlineStr">
        <is>
          <t>OH0027680360</t>
        </is>
      </c>
      <c r="B1575" t="n">
        <v>78</v>
      </c>
      <c r="C1575" t="n">
        <v>490334</v>
      </c>
      <c r="D1575" t="inlineStr">
        <is>
          <t>OGLETREE</t>
        </is>
      </c>
      <c r="E1575" t="inlineStr">
        <is>
          <t>REANA</t>
        </is>
      </c>
      <c r="F1575">
        <f>CONCATENATE(D1575," ",LEFT(H1575,4),"T=",AU1575,"D=",AV1575,"R=",AW1575,"M=",AX1575,"L=",AY1575,"B=",AZ1575)</f>
        <v/>
      </c>
      <c r="G1575" t="inlineStr">
        <is>
          <t>C</t>
        </is>
      </c>
      <c r="I1575" t="inlineStr">
        <is>
          <t>2005-10-28</t>
        </is>
      </c>
      <c r="J1575" t="inlineStr">
        <is>
          <t>2024-09-16</t>
        </is>
      </c>
      <c r="K1575" t="inlineStr">
        <is>
          <t>ACTIVE</t>
        </is>
      </c>
      <c r="M1575" t="inlineStr">
        <is>
          <t>150 LINDEN AVE SE</t>
        </is>
      </c>
      <c r="N1575">
        <f>RIGHT(M1575,LEN(M1575)-FIND(" ",M1575))</f>
        <v/>
      </c>
      <c r="P1575" t="inlineStr">
        <is>
          <t>WARREN</t>
        </is>
      </c>
      <c r="Q1575" t="inlineStr">
        <is>
          <t>OH</t>
        </is>
      </c>
      <c r="R1575" t="n">
        <v>44483</v>
      </c>
      <c r="AD1575" t="inlineStr">
        <is>
          <t>TRUMBULL CAREER &amp; TECH CENTER</t>
        </is>
      </c>
      <c r="AE1575" t="inlineStr">
        <is>
          <t>WARREN CITY</t>
        </is>
      </c>
      <c r="AF1575" t="inlineStr">
        <is>
          <t>WARREN CITY SD</t>
        </is>
      </c>
      <c r="AH1575" t="n">
        <v>14</v>
      </c>
      <c r="AI1575" t="n">
        <v>11</v>
      </c>
      <c r="AN1575" t="inlineStr">
        <is>
          <t>WARREN</t>
        </is>
      </c>
      <c r="AO1575" t="inlineStr">
        <is>
          <t>WARREN CITY 4D</t>
        </is>
      </c>
      <c r="AP1575" t="inlineStr">
        <is>
          <t>78-P-ADL</t>
        </is>
      </c>
      <c r="AQ1575" t="n">
        <v>9</v>
      </c>
      <c r="AR1575" t="n">
        <v>64</v>
      </c>
      <c r="AS1575" t="n">
        <v>32</v>
      </c>
      <c r="AU1575">
        <f>COUNTA($BA$1575:$EH$1575)</f>
        <v/>
      </c>
      <c r="AV1575">
        <f>COUNTIF($BA$1575:$EH$1575,"D")</f>
        <v/>
      </c>
      <c r="AW1575">
        <f>COUNTIF($BA$1575:$EH$1575,"R")</f>
        <v/>
      </c>
      <c r="AX1575">
        <f>IF(BN1575="D",1,0)+IF(BO1575="D",1,0)+IF(BT1575="D",1,0)+IF(BU1575="D",1,0)+IF(BW1575="D",1,0)+IF(CC1575="D",1,0)+IF(CD1575="D",1,0)+IF(CE1575="D",1,0)+IF(CF1575="D",1,0)+IF(CL1575="D",1,0)+IF(CM1575="D",1,0)+IF(CQ1575="D",1,0)+IF(CR1575="D",1,0)+IF(CS1575="D",1,0)+IF(CW1575="D",1,0)+IF(CX1575="D",1,0)+IF(DD1575="D",1,0)+IF(DE1575="D",1,0)+IF(DJ1575="D",1,0)+IF(DK1575="D",1,0)+IF(DO1575="D",1,0)+IF(DP1575="D",1,0)+IF(DQ1575="D",1,0)+IF(DW1575="D",1,0)+IF(DZ1575="D",1,0)+IF(EH1575="D",1,0)</f>
        <v/>
      </c>
      <c r="AY1575">
        <f>IF(DJ1575&lt;&gt;"",1,0)+IF(DK1575&lt;&gt;"",1,0)+IF(DM1575&lt;&gt;"",1,0)+IF(DO1575&lt;&gt;"",1,0)+IF(DP1575&lt;&gt;"",1,0)+IF(DQ1575&lt;&gt;"",1,0)+IF(DS1575&lt;&gt;"",1,0)+IF(DT1575&lt;&gt;"",1,0)+IF(DV1575&lt;&gt;"",1,0)+IF(DW1575&lt;&gt;"",1,0)+IF(DX1575&lt;&gt;"",1,0)+IF(DY1575&lt;&gt;"",1,0)+IF(DZ1575&lt;&gt;"",1,0)+IF(EB1575&lt;&gt;"",1,0)+IF(EC1575&lt;&gt;"",1,0)+IF(ED1575&lt;&gt;"",1,0)+IF(EG1575&lt;&gt;"",1,0)+IF(EH1575&lt;&gt;"",1,0)</f>
        <v/>
      </c>
      <c r="AZ1575">
        <f>IF(EH1575&lt;&gt;"",1,0)</f>
        <v/>
      </c>
      <c r="BB1575" t="inlineStr">
        <is>
          <t>WARREN-WARD 4</t>
        </is>
      </c>
      <c r="EF1575" t="inlineStr">
        <is>
          <t>X</t>
        </is>
      </c>
    </row>
    <row r="1576">
      <c r="A1576" t="inlineStr">
        <is>
          <t>OH0027838806</t>
        </is>
      </c>
      <c r="B1576" t="n">
        <v>78</v>
      </c>
      <c r="C1576" t="n">
        <v>492152</v>
      </c>
      <c r="D1576" t="inlineStr">
        <is>
          <t>RUSS</t>
        </is>
      </c>
      <c r="E1576" t="inlineStr">
        <is>
          <t>LEE</t>
        </is>
      </c>
      <c r="F1576">
        <f>CONCATENATE(D1576," ",LEFT(H1576,4),"T=",AU1576,"D=",AV1576,"R=",AW1576,"M=",AX1576,"L=",AY1576,"B=",AZ1576)</f>
        <v/>
      </c>
      <c r="G1576" t="inlineStr">
        <is>
          <t>AARON</t>
        </is>
      </c>
      <c r="I1576" t="inlineStr">
        <is>
          <t>1967-11-18</t>
        </is>
      </c>
      <c r="J1576" t="inlineStr">
        <is>
          <t>2024-10-10</t>
        </is>
      </c>
      <c r="K1576" t="inlineStr">
        <is>
          <t>ACTIVE</t>
        </is>
      </c>
      <c r="M1576" t="inlineStr">
        <is>
          <t>495 OLIVE AVE NE</t>
        </is>
      </c>
      <c r="N1576">
        <f>RIGHT(M1576,LEN(M1576)-FIND(" ",M1576))</f>
        <v/>
      </c>
      <c r="P1576" t="inlineStr">
        <is>
          <t>WARREN</t>
        </is>
      </c>
      <c r="Q1576" t="inlineStr">
        <is>
          <t>OH</t>
        </is>
      </c>
      <c r="R1576" t="n">
        <v>44483</v>
      </c>
      <c r="AD1576" t="inlineStr">
        <is>
          <t>TRUMBULL CAREER &amp; TECH CENTER</t>
        </is>
      </c>
      <c r="AE1576" t="inlineStr">
        <is>
          <t>WARREN CITY</t>
        </is>
      </c>
      <c r="AF1576" t="inlineStr">
        <is>
          <t>WARREN CITY SD</t>
        </is>
      </c>
      <c r="AH1576" t="n">
        <v>14</v>
      </c>
      <c r="AI1576" t="n">
        <v>11</v>
      </c>
      <c r="AN1576" t="inlineStr">
        <is>
          <t>WARREN</t>
        </is>
      </c>
      <c r="AO1576" t="inlineStr">
        <is>
          <t>WARREN CITY 4D</t>
        </is>
      </c>
      <c r="AP1576" t="inlineStr">
        <is>
          <t>78-P-ADL</t>
        </is>
      </c>
      <c r="AQ1576" t="n">
        <v>9</v>
      </c>
      <c r="AR1576" t="n">
        <v>64</v>
      </c>
      <c r="AS1576" t="n">
        <v>32</v>
      </c>
      <c r="AU1576">
        <f>COUNTA($BA$1576:$EH$1576)</f>
        <v/>
      </c>
      <c r="AV1576">
        <f>COUNTIF($BA$1576:$EH$1576,"D")</f>
        <v/>
      </c>
      <c r="AW1576">
        <f>COUNTIF($BA$1576:$EH$1576,"R")</f>
        <v/>
      </c>
      <c r="AX1576">
        <f>IF(BN1576="D",1,0)+IF(BO1576="D",1,0)+IF(BT1576="D",1,0)+IF(BU1576="D",1,0)+IF(BW1576="D",1,0)+IF(CC1576="D",1,0)+IF(CD1576="D",1,0)+IF(CE1576="D",1,0)+IF(CF1576="D",1,0)+IF(CL1576="D",1,0)+IF(CM1576="D",1,0)+IF(CQ1576="D",1,0)+IF(CR1576="D",1,0)+IF(CS1576="D",1,0)+IF(CW1576="D",1,0)+IF(CX1576="D",1,0)+IF(DD1576="D",1,0)+IF(DE1576="D",1,0)+IF(DJ1576="D",1,0)+IF(DK1576="D",1,0)+IF(DO1576="D",1,0)+IF(DP1576="D",1,0)+IF(DQ1576="D",1,0)+IF(DW1576="D",1,0)+IF(DZ1576="D",1,0)+IF(EH1576="D",1,0)</f>
        <v/>
      </c>
      <c r="AY1576">
        <f>IF(DJ1576&lt;&gt;"",1,0)+IF(DK1576&lt;&gt;"",1,0)+IF(DM1576&lt;&gt;"",1,0)+IF(DO1576&lt;&gt;"",1,0)+IF(DP1576&lt;&gt;"",1,0)+IF(DQ1576&lt;&gt;"",1,0)+IF(DS1576&lt;&gt;"",1,0)+IF(DT1576&lt;&gt;"",1,0)+IF(DV1576&lt;&gt;"",1,0)+IF(DW1576&lt;&gt;"",1,0)+IF(DX1576&lt;&gt;"",1,0)+IF(DY1576&lt;&gt;"",1,0)+IF(DZ1576&lt;&gt;"",1,0)+IF(EB1576&lt;&gt;"",1,0)+IF(EC1576&lt;&gt;"",1,0)+IF(ED1576&lt;&gt;"",1,0)+IF(EG1576&lt;&gt;"",1,0)+IF(EH1576&lt;&gt;"",1,0)</f>
        <v/>
      </c>
      <c r="AZ1576">
        <f>IF(EH1576&lt;&gt;"",1,0)</f>
        <v/>
      </c>
      <c r="BB1576" t="inlineStr">
        <is>
          <t>WARREN-WARD 4</t>
        </is>
      </c>
      <c r="BC1576" t="inlineStr">
        <is>
          <t>X</t>
        </is>
      </c>
      <c r="BD1576" t="inlineStr">
        <is>
          <t>X</t>
        </is>
      </c>
      <c r="BE1576" t="inlineStr">
        <is>
          <t>X</t>
        </is>
      </c>
      <c r="BF1576" t="inlineStr">
        <is>
          <t>X</t>
        </is>
      </c>
      <c r="BG1576" t="inlineStr">
        <is>
          <t>X</t>
        </is>
      </c>
      <c r="BH1576" t="inlineStr">
        <is>
          <t>X</t>
        </is>
      </c>
      <c r="BI1576" t="inlineStr">
        <is>
          <t>X</t>
        </is>
      </c>
      <c r="BJ1576" t="inlineStr">
        <is>
          <t>X</t>
        </is>
      </c>
      <c r="BK1576" t="inlineStr">
        <is>
          <t>X</t>
        </is>
      </c>
      <c r="BL1576" t="inlineStr">
        <is>
          <t>X</t>
        </is>
      </c>
    </row>
    <row r="1577">
      <c r="A1577" t="inlineStr">
        <is>
          <t>OH0026082709</t>
        </is>
      </c>
      <c r="B1577" t="n">
        <v>78</v>
      </c>
      <c r="C1577" t="n">
        <v>455804</v>
      </c>
      <c r="D1577" t="inlineStr">
        <is>
          <t>WILBERT</t>
        </is>
      </c>
      <c r="E1577" t="inlineStr">
        <is>
          <t>KATELINN</t>
        </is>
      </c>
      <c r="F1577">
        <f>CONCATENATE(D1577," ",LEFT(H1577,4),"T=",AU1577,"D=",AV1577,"R=",AW1577,"M=",AX1577,"L=",AY1577,"B=",AZ1577)</f>
        <v/>
      </c>
      <c r="G1577" t="inlineStr">
        <is>
          <t>A</t>
        </is>
      </c>
      <c r="I1577" t="inlineStr">
        <is>
          <t>2000-02-21</t>
        </is>
      </c>
      <c r="J1577" t="inlineStr">
        <is>
          <t>2025-06-02</t>
        </is>
      </c>
      <c r="K1577" t="inlineStr">
        <is>
          <t>ACTIVE</t>
        </is>
      </c>
      <c r="M1577" t="inlineStr">
        <is>
          <t>483 PORTER ST NE</t>
        </is>
      </c>
      <c r="N1577">
        <f>RIGHT(M1577,LEN(M1577)-FIND(" ",M1577))</f>
        <v/>
      </c>
      <c r="P1577" t="inlineStr">
        <is>
          <t>WARREN</t>
        </is>
      </c>
      <c r="Q1577" t="inlineStr">
        <is>
          <t>OH</t>
        </is>
      </c>
      <c r="R1577" t="n">
        <v>44483</v>
      </c>
      <c r="AD1577" t="inlineStr">
        <is>
          <t>TRUMBULL CAREER &amp; TECH CENTER</t>
        </is>
      </c>
      <c r="AE1577" t="inlineStr">
        <is>
          <t>WARREN CITY</t>
        </is>
      </c>
      <c r="AF1577" t="inlineStr">
        <is>
          <t>WARREN CITY SD</t>
        </is>
      </c>
      <c r="AH1577" t="n">
        <v>14</v>
      </c>
      <c r="AI1577" t="n">
        <v>11</v>
      </c>
      <c r="AN1577" t="inlineStr">
        <is>
          <t>WARREN</t>
        </is>
      </c>
      <c r="AO1577" t="inlineStr">
        <is>
          <t>WARREN CITY 4D</t>
        </is>
      </c>
      <c r="AP1577" t="inlineStr">
        <is>
          <t>78-P-ADL</t>
        </is>
      </c>
      <c r="AQ1577" t="n">
        <v>9</v>
      </c>
      <c r="AR1577" t="n">
        <v>64</v>
      </c>
      <c r="AS1577" t="n">
        <v>32</v>
      </c>
      <c r="AU1577">
        <f>COUNTA($BA$1577:$EH$1577)</f>
        <v/>
      </c>
      <c r="AV1577">
        <f>COUNTIF($BA$1577:$EH$1577,"D")</f>
        <v/>
      </c>
      <c r="AW1577">
        <f>COUNTIF($BA$1577:$EH$1577,"R")</f>
        <v/>
      </c>
      <c r="AX1577">
        <f>IF(BN1577="D",1,0)+IF(BO1577="D",1,0)+IF(BT1577="D",1,0)+IF(BU1577="D",1,0)+IF(BW1577="D",1,0)+IF(CC1577="D",1,0)+IF(CD1577="D",1,0)+IF(CE1577="D",1,0)+IF(CF1577="D",1,0)+IF(CL1577="D",1,0)+IF(CM1577="D",1,0)+IF(CQ1577="D",1,0)+IF(CR1577="D",1,0)+IF(CS1577="D",1,0)+IF(CW1577="D",1,0)+IF(CX1577="D",1,0)+IF(DD1577="D",1,0)+IF(DE1577="D",1,0)+IF(DJ1577="D",1,0)+IF(DK1577="D",1,0)+IF(DO1577="D",1,0)+IF(DP1577="D",1,0)+IF(DQ1577="D",1,0)+IF(DW1577="D",1,0)+IF(DZ1577="D",1,0)+IF(EH1577="D",1,0)</f>
        <v/>
      </c>
      <c r="AY1577">
        <f>IF(DJ1577&lt;&gt;"",1,0)+IF(DK1577&lt;&gt;"",1,0)+IF(DM1577&lt;&gt;"",1,0)+IF(DO1577&lt;&gt;"",1,0)+IF(DP1577&lt;&gt;"",1,0)+IF(DQ1577&lt;&gt;"",1,0)+IF(DS1577&lt;&gt;"",1,0)+IF(DT1577&lt;&gt;"",1,0)+IF(DV1577&lt;&gt;"",1,0)+IF(DW1577&lt;&gt;"",1,0)+IF(DX1577&lt;&gt;"",1,0)+IF(DY1577&lt;&gt;"",1,0)+IF(DZ1577&lt;&gt;"",1,0)+IF(EB1577&lt;&gt;"",1,0)+IF(EC1577&lt;&gt;"",1,0)+IF(ED1577&lt;&gt;"",1,0)+IF(EG1577&lt;&gt;"",1,0)+IF(EH1577&lt;&gt;"",1,0)</f>
        <v/>
      </c>
      <c r="AZ1577">
        <f>IF(EH1577&lt;&gt;"",1,0)</f>
        <v/>
      </c>
      <c r="BB1577" t="inlineStr">
        <is>
          <t>WARREN-WARD 4</t>
        </is>
      </c>
    </row>
    <row r="1578">
      <c r="A1578" t="inlineStr">
        <is>
          <t>OH0023773939</t>
        </is>
      </c>
      <c r="B1578" t="n">
        <v>78</v>
      </c>
      <c r="C1578" t="n">
        <v>417949</v>
      </c>
      <c r="D1578" t="inlineStr">
        <is>
          <t>VANEK</t>
        </is>
      </c>
      <c r="E1578" t="inlineStr">
        <is>
          <t>GREGORY</t>
        </is>
      </c>
      <c r="F1578">
        <f>CONCATENATE(D1578," ",LEFT(H1578,4),"T=",AU1578,"D=",AV1578,"R=",AW1578,"M=",AX1578,"L=",AY1578,"B=",AZ1578)</f>
        <v/>
      </c>
      <c r="G1578" t="inlineStr">
        <is>
          <t>J</t>
        </is>
      </c>
      <c r="I1578" t="inlineStr">
        <is>
          <t>1973-08-09</t>
        </is>
      </c>
      <c r="J1578" t="inlineStr">
        <is>
          <t>2016-06-30</t>
        </is>
      </c>
      <c r="K1578" t="inlineStr">
        <is>
          <t>CONFIRMATION</t>
        </is>
      </c>
      <c r="M1578" t="inlineStr">
        <is>
          <t>342 PORTER ST NE</t>
        </is>
      </c>
      <c r="N1578">
        <f>RIGHT(M1578,LEN(M1578)-FIND(" ",M1578))</f>
        <v/>
      </c>
      <c r="P1578" t="inlineStr">
        <is>
          <t>WARREN</t>
        </is>
      </c>
      <c r="Q1578" t="inlineStr">
        <is>
          <t>OH</t>
        </is>
      </c>
      <c r="R1578" t="n">
        <v>44483</v>
      </c>
      <c r="AD1578" t="inlineStr">
        <is>
          <t>TRUMBULL CAREER &amp; TECH CENTER</t>
        </is>
      </c>
      <c r="AE1578" t="inlineStr">
        <is>
          <t>WARREN CITY</t>
        </is>
      </c>
      <c r="AF1578" t="inlineStr">
        <is>
          <t>WARREN CITY SD</t>
        </is>
      </c>
      <c r="AH1578" t="n">
        <v>14</v>
      </c>
      <c r="AI1578" t="n">
        <v>11</v>
      </c>
      <c r="AN1578" t="inlineStr">
        <is>
          <t>WARREN</t>
        </is>
      </c>
      <c r="AO1578" t="inlineStr">
        <is>
          <t>WARREN CITY 4D</t>
        </is>
      </c>
      <c r="AP1578" t="inlineStr">
        <is>
          <t>78-P-ADL</t>
        </is>
      </c>
      <c r="AQ1578" t="n">
        <v>9</v>
      </c>
      <c r="AR1578" t="n">
        <v>64</v>
      </c>
      <c r="AS1578" t="n">
        <v>32</v>
      </c>
      <c r="AU1578">
        <f>COUNTA($BA$1578:$EH$1578)</f>
        <v/>
      </c>
      <c r="AV1578">
        <f>COUNTIF($BA$1578:$EH$1578,"D")</f>
        <v/>
      </c>
      <c r="AW1578">
        <f>COUNTIF($BA$1578:$EH$1578,"R")</f>
        <v/>
      </c>
      <c r="AX1578">
        <f>IF(BN1578="D",1,0)+IF(BO1578="D",1,0)+IF(BT1578="D",1,0)+IF(BU1578="D",1,0)+IF(BW1578="D",1,0)+IF(CC1578="D",1,0)+IF(CD1578="D",1,0)+IF(CE1578="D",1,0)+IF(CF1578="D",1,0)+IF(CL1578="D",1,0)+IF(CM1578="D",1,0)+IF(CQ1578="D",1,0)+IF(CR1578="D",1,0)+IF(CS1578="D",1,0)+IF(CW1578="D",1,0)+IF(CX1578="D",1,0)+IF(DD1578="D",1,0)+IF(DE1578="D",1,0)+IF(DJ1578="D",1,0)+IF(DK1578="D",1,0)+IF(DO1578="D",1,0)+IF(DP1578="D",1,0)+IF(DQ1578="D",1,0)+IF(DW1578="D",1,0)+IF(DZ1578="D",1,0)+IF(EH1578="D",1,0)</f>
        <v/>
      </c>
      <c r="AY1578">
        <f>IF(DJ1578&lt;&gt;"",1,0)+IF(DK1578&lt;&gt;"",1,0)+IF(DM1578&lt;&gt;"",1,0)+IF(DO1578&lt;&gt;"",1,0)+IF(DP1578&lt;&gt;"",1,0)+IF(DQ1578&lt;&gt;"",1,0)+IF(DS1578&lt;&gt;"",1,0)+IF(DT1578&lt;&gt;"",1,0)+IF(DV1578&lt;&gt;"",1,0)+IF(DW1578&lt;&gt;"",1,0)+IF(DX1578&lt;&gt;"",1,0)+IF(DY1578&lt;&gt;"",1,0)+IF(DZ1578&lt;&gt;"",1,0)+IF(EB1578&lt;&gt;"",1,0)+IF(EC1578&lt;&gt;"",1,0)+IF(ED1578&lt;&gt;"",1,0)+IF(EG1578&lt;&gt;"",1,0)+IF(EH1578&lt;&gt;"",1,0)</f>
        <v/>
      </c>
      <c r="AZ1578">
        <f>IF(EH1578&lt;&gt;"",1,0)</f>
        <v/>
      </c>
      <c r="BB1578" t="inlineStr">
        <is>
          <t>WARREN-WARD 4</t>
        </is>
      </c>
      <c r="CA1578" t="inlineStr">
        <is>
          <t>X</t>
        </is>
      </c>
    </row>
    <row r="1579">
      <c r="A1579" t="inlineStr">
        <is>
          <t>OH0026992188</t>
        </is>
      </c>
      <c r="B1579" t="n">
        <v>78</v>
      </c>
      <c r="C1579" t="n">
        <v>475104</v>
      </c>
      <c r="D1579" t="inlineStr">
        <is>
          <t>PRATT</t>
        </is>
      </c>
      <c r="E1579" t="inlineStr">
        <is>
          <t>JACOB</t>
        </is>
      </c>
      <c r="F1579">
        <f>CONCATENATE(D1579," ",LEFT(H1579,4),"T=",AU1579,"D=",AV1579,"R=",AW1579,"M=",AX1579,"L=",AY1579,"B=",AZ1579)</f>
        <v/>
      </c>
      <c r="G1579" t="inlineStr">
        <is>
          <t>S</t>
        </is>
      </c>
      <c r="I1579" t="inlineStr">
        <is>
          <t>1999-12-21</t>
        </is>
      </c>
      <c r="J1579" t="inlineStr">
        <is>
          <t>2024-11-05</t>
        </is>
      </c>
      <c r="K1579" t="inlineStr">
        <is>
          <t>ACTIVE</t>
        </is>
      </c>
      <c r="M1579" t="inlineStr">
        <is>
          <t>287 WASHINGTON ST NW</t>
        </is>
      </c>
      <c r="N1579">
        <f>RIGHT(M1579,LEN(M1579)-FIND(" ",M1579))</f>
        <v/>
      </c>
      <c r="P1579" t="inlineStr">
        <is>
          <t>WARREN</t>
        </is>
      </c>
      <c r="Q1579" t="inlineStr">
        <is>
          <t>OH</t>
        </is>
      </c>
      <c r="R1579" t="n">
        <v>44483</v>
      </c>
      <c r="AD1579" t="inlineStr">
        <is>
          <t>TRUMBULL CAREER &amp; TECH CENTER</t>
        </is>
      </c>
      <c r="AE1579" t="inlineStr">
        <is>
          <t>WARREN CITY</t>
        </is>
      </c>
      <c r="AF1579" t="inlineStr">
        <is>
          <t>WARREN CITY SD</t>
        </is>
      </c>
      <c r="AH1579" t="n">
        <v>14</v>
      </c>
      <c r="AI1579" t="n">
        <v>11</v>
      </c>
      <c r="AN1579" t="inlineStr">
        <is>
          <t>WARREN</t>
        </is>
      </c>
      <c r="AO1579" t="inlineStr">
        <is>
          <t>WARREN CITY 4D</t>
        </is>
      </c>
      <c r="AP1579" t="inlineStr">
        <is>
          <t>78-P-ADL</t>
        </is>
      </c>
      <c r="AQ1579" t="n">
        <v>9</v>
      </c>
      <c r="AR1579" t="n">
        <v>64</v>
      </c>
      <c r="AS1579" t="n">
        <v>32</v>
      </c>
      <c r="AU1579">
        <f>COUNTA($BA$1579:$EH$1579)</f>
        <v/>
      </c>
      <c r="AV1579">
        <f>COUNTIF($BA$1579:$EH$1579,"D")</f>
        <v/>
      </c>
      <c r="AW1579">
        <f>COUNTIF($BA$1579:$EH$1579,"R")</f>
        <v/>
      </c>
      <c r="AX1579">
        <f>IF(BN1579="D",1,0)+IF(BO1579="D",1,0)+IF(BT1579="D",1,0)+IF(BU1579="D",1,0)+IF(BW1579="D",1,0)+IF(CC1579="D",1,0)+IF(CD1579="D",1,0)+IF(CE1579="D",1,0)+IF(CF1579="D",1,0)+IF(CL1579="D",1,0)+IF(CM1579="D",1,0)+IF(CQ1579="D",1,0)+IF(CR1579="D",1,0)+IF(CS1579="D",1,0)+IF(CW1579="D",1,0)+IF(CX1579="D",1,0)+IF(DD1579="D",1,0)+IF(DE1579="D",1,0)+IF(DJ1579="D",1,0)+IF(DK1579="D",1,0)+IF(DO1579="D",1,0)+IF(DP1579="D",1,0)+IF(DQ1579="D",1,0)+IF(DW1579="D",1,0)+IF(DZ1579="D",1,0)+IF(EH1579="D",1,0)</f>
        <v/>
      </c>
      <c r="AY1579">
        <f>IF(DJ1579&lt;&gt;"",1,0)+IF(DK1579&lt;&gt;"",1,0)+IF(DM1579&lt;&gt;"",1,0)+IF(DO1579&lt;&gt;"",1,0)+IF(DP1579&lt;&gt;"",1,0)+IF(DQ1579&lt;&gt;"",1,0)+IF(DS1579&lt;&gt;"",1,0)+IF(DT1579&lt;&gt;"",1,0)+IF(DV1579&lt;&gt;"",1,0)+IF(DW1579&lt;&gt;"",1,0)+IF(DX1579&lt;&gt;"",1,0)+IF(DY1579&lt;&gt;"",1,0)+IF(DZ1579&lt;&gt;"",1,0)+IF(EB1579&lt;&gt;"",1,0)+IF(EC1579&lt;&gt;"",1,0)+IF(ED1579&lt;&gt;"",1,0)+IF(EG1579&lt;&gt;"",1,0)+IF(EH1579&lt;&gt;"",1,0)</f>
        <v/>
      </c>
      <c r="AZ1579">
        <f>IF(EH1579&lt;&gt;"",1,0)</f>
        <v/>
      </c>
      <c r="BB1579" t="inlineStr">
        <is>
          <t>WARREN-WARD 4</t>
        </is>
      </c>
      <c r="DI1579" t="inlineStr">
        <is>
          <t>X</t>
        </is>
      </c>
      <c r="DX1579" t="inlineStr">
        <is>
          <t>X</t>
        </is>
      </c>
      <c r="EF1579" t="inlineStr">
        <is>
          <t>X</t>
        </is>
      </c>
    </row>
    <row r="1580">
      <c r="A1580" t="inlineStr">
        <is>
          <t>OH0022734327</t>
        </is>
      </c>
      <c r="B1580" t="n">
        <v>78</v>
      </c>
      <c r="C1580" t="n">
        <v>401181</v>
      </c>
      <c r="D1580" t="inlineStr">
        <is>
          <t>SMITH</t>
        </is>
      </c>
      <c r="E1580" t="inlineStr">
        <is>
          <t>REBECCA</t>
        </is>
      </c>
      <c r="F1580">
        <f>CONCATENATE(D1580," ",LEFT(H1580,4),"T=",AU1580,"D=",AV1580,"R=",AW1580,"M=",AX1580,"L=",AY1580,"B=",AZ1580)</f>
        <v/>
      </c>
      <c r="G1580" t="inlineStr">
        <is>
          <t>J</t>
        </is>
      </c>
      <c r="I1580" t="inlineStr">
        <is>
          <t>1996-01-06</t>
        </is>
      </c>
      <c r="J1580" t="inlineStr">
        <is>
          <t>2021-05-25</t>
        </is>
      </c>
      <c r="K1580" t="inlineStr">
        <is>
          <t>ACTIVE</t>
        </is>
      </c>
      <c r="L1580" t="inlineStr">
        <is>
          <t>D</t>
        </is>
      </c>
      <c r="M1580" t="inlineStr">
        <is>
          <t>116 LINDEN AVE NE</t>
        </is>
      </c>
      <c r="N1580">
        <f>RIGHT(M1580,LEN(M1580)-FIND(" ",M1580))</f>
        <v/>
      </c>
      <c r="O1580" t="inlineStr">
        <is>
          <t>APT 2</t>
        </is>
      </c>
      <c r="P1580" t="inlineStr">
        <is>
          <t>WARREN</t>
        </is>
      </c>
      <c r="Q1580" t="inlineStr">
        <is>
          <t>OH</t>
        </is>
      </c>
      <c r="R1580" t="n">
        <v>44483</v>
      </c>
      <c r="AD1580" t="inlineStr">
        <is>
          <t>TRUMBULL CAREER &amp; TECH CENTER</t>
        </is>
      </c>
      <c r="AE1580" t="inlineStr">
        <is>
          <t>WARREN CITY</t>
        </is>
      </c>
      <c r="AF1580" t="inlineStr">
        <is>
          <t>WARREN CITY SD</t>
        </is>
      </c>
      <c r="AH1580" t="n">
        <v>14</v>
      </c>
      <c r="AI1580" t="n">
        <v>11</v>
      </c>
      <c r="AN1580" t="inlineStr">
        <is>
          <t>WARREN</t>
        </is>
      </c>
      <c r="AO1580" t="inlineStr">
        <is>
          <t>WARREN CITY 4D</t>
        </is>
      </c>
      <c r="AP1580" t="inlineStr">
        <is>
          <t>78-P-ADL</t>
        </is>
      </c>
      <c r="AQ1580" t="n">
        <v>9</v>
      </c>
      <c r="AR1580" t="n">
        <v>64</v>
      </c>
      <c r="AS1580" t="n">
        <v>32</v>
      </c>
      <c r="AU1580">
        <f>COUNTA($BA$1580:$EH$1580)</f>
        <v/>
      </c>
      <c r="AV1580">
        <f>COUNTIF($BA$1580:$EH$1580,"D")</f>
        <v/>
      </c>
      <c r="AW1580">
        <f>COUNTIF($BA$1580:$EH$1580,"R")</f>
        <v/>
      </c>
      <c r="AX1580">
        <f>IF(BN1580="D",1,0)+IF(BO1580="D",1,0)+IF(BT1580="D",1,0)+IF(BU1580="D",1,0)+IF(BW1580="D",1,0)+IF(CC1580="D",1,0)+IF(CD1580="D",1,0)+IF(CE1580="D",1,0)+IF(CF1580="D",1,0)+IF(CL1580="D",1,0)+IF(CM1580="D",1,0)+IF(CQ1580="D",1,0)+IF(CR1580="D",1,0)+IF(CS1580="D",1,0)+IF(CW1580="D",1,0)+IF(CX1580="D",1,0)+IF(DD1580="D",1,0)+IF(DE1580="D",1,0)+IF(DJ1580="D",1,0)+IF(DK1580="D",1,0)+IF(DO1580="D",1,0)+IF(DP1580="D",1,0)+IF(DQ1580="D",1,0)+IF(DW1580="D",1,0)+IF(DZ1580="D",1,0)+IF(EH1580="D",1,0)</f>
        <v/>
      </c>
      <c r="AY1580">
        <f>IF(DJ1580&lt;&gt;"",1,0)+IF(DK1580&lt;&gt;"",1,0)+IF(DM1580&lt;&gt;"",1,0)+IF(DO1580&lt;&gt;"",1,0)+IF(DP1580&lt;&gt;"",1,0)+IF(DQ1580&lt;&gt;"",1,0)+IF(DS1580&lt;&gt;"",1,0)+IF(DT1580&lt;&gt;"",1,0)+IF(DV1580&lt;&gt;"",1,0)+IF(DW1580&lt;&gt;"",1,0)+IF(DX1580&lt;&gt;"",1,0)+IF(DY1580&lt;&gt;"",1,0)+IF(DZ1580&lt;&gt;"",1,0)+IF(EB1580&lt;&gt;"",1,0)+IF(EC1580&lt;&gt;"",1,0)+IF(ED1580&lt;&gt;"",1,0)+IF(EG1580&lt;&gt;"",1,0)+IF(EH1580&lt;&gt;"",1,0)</f>
        <v/>
      </c>
      <c r="AZ1580">
        <f>IF(EH1580&lt;&gt;"",1,0)</f>
        <v/>
      </c>
      <c r="BB1580" t="inlineStr">
        <is>
          <t>WARREN-WARD 4</t>
        </is>
      </c>
      <c r="CU1580" t="inlineStr">
        <is>
          <t>D</t>
        </is>
      </c>
      <c r="CV1580" t="inlineStr">
        <is>
          <t>X</t>
        </is>
      </c>
      <c r="CY1580" t="inlineStr">
        <is>
          <t>X</t>
        </is>
      </c>
      <c r="CZ1580" t="inlineStr">
        <is>
          <t>D</t>
        </is>
      </c>
      <c r="DC1580" t="inlineStr">
        <is>
          <t>X</t>
        </is>
      </c>
      <c r="DF1580" t="inlineStr">
        <is>
          <t>X</t>
        </is>
      </c>
      <c r="DG1580" t="inlineStr">
        <is>
          <t>D</t>
        </is>
      </c>
      <c r="DX1580" t="inlineStr">
        <is>
          <t>X</t>
        </is>
      </c>
      <c r="EA1580" t="inlineStr">
        <is>
          <t>X</t>
        </is>
      </c>
      <c r="ED1580" t="inlineStr">
        <is>
          <t>D</t>
        </is>
      </c>
      <c r="EF1580" t="inlineStr">
        <is>
          <t>X</t>
        </is>
      </c>
    </row>
    <row r="1581">
      <c r="A1581" t="inlineStr">
        <is>
          <t>OH0026503436</t>
        </is>
      </c>
      <c r="B1581" t="n">
        <v>78</v>
      </c>
      <c r="C1581" t="n">
        <v>463092</v>
      </c>
      <c r="D1581" t="inlineStr">
        <is>
          <t>ENGELHARDT</t>
        </is>
      </c>
      <c r="E1581" t="inlineStr">
        <is>
          <t>SETH</t>
        </is>
      </c>
      <c r="F1581">
        <f>CONCATENATE(D1581," ",LEFT(H1581,4),"T=",AU1581,"D=",AV1581,"R=",AW1581,"M=",AX1581,"L=",AY1581,"B=",AZ1581)</f>
        <v/>
      </c>
      <c r="G1581" t="inlineStr">
        <is>
          <t>BENTON</t>
        </is>
      </c>
      <c r="I1581" t="inlineStr">
        <is>
          <t>1984-04-30</t>
        </is>
      </c>
      <c r="J1581" t="inlineStr">
        <is>
          <t>2022-06-05</t>
        </is>
      </c>
      <c r="K1581" t="inlineStr">
        <is>
          <t>ACTIVE</t>
        </is>
      </c>
      <c r="L1581" t="inlineStr">
        <is>
          <t>R</t>
        </is>
      </c>
      <c r="M1581" t="inlineStr">
        <is>
          <t>328 SCOTT ST NE</t>
        </is>
      </c>
      <c r="N1581">
        <f>RIGHT(M1581,LEN(M1581)-FIND(" ",M1581))</f>
        <v/>
      </c>
      <c r="P1581" t="inlineStr">
        <is>
          <t>WARREN</t>
        </is>
      </c>
      <c r="Q1581" t="inlineStr">
        <is>
          <t>OH</t>
        </is>
      </c>
      <c r="R1581" t="n">
        <v>44483</v>
      </c>
      <c r="AD1581" t="inlineStr">
        <is>
          <t>TRUMBULL CAREER &amp; TECH CENTER</t>
        </is>
      </c>
      <c r="AE1581" t="inlineStr">
        <is>
          <t>WARREN CITY</t>
        </is>
      </c>
      <c r="AF1581" t="inlineStr">
        <is>
          <t>WARREN CITY SD</t>
        </is>
      </c>
      <c r="AH1581" t="n">
        <v>14</v>
      </c>
      <c r="AI1581" t="n">
        <v>11</v>
      </c>
      <c r="AN1581" t="inlineStr">
        <is>
          <t>WARREN</t>
        </is>
      </c>
      <c r="AO1581" t="inlineStr">
        <is>
          <t>WARREN CITY 4D</t>
        </is>
      </c>
      <c r="AP1581" t="inlineStr">
        <is>
          <t>78-P-ADL</t>
        </is>
      </c>
      <c r="AQ1581" t="n">
        <v>9</v>
      </c>
      <c r="AR1581" t="n">
        <v>64</v>
      </c>
      <c r="AS1581" t="n">
        <v>32</v>
      </c>
      <c r="AU1581">
        <f>COUNTA($BA$1581:$EH$1581)</f>
        <v/>
      </c>
      <c r="AV1581">
        <f>COUNTIF($BA$1581:$EH$1581,"D")</f>
        <v/>
      </c>
      <c r="AW1581">
        <f>COUNTIF($BA$1581:$EH$1581,"R")</f>
        <v/>
      </c>
      <c r="AX1581">
        <f>IF(BN1581="D",1,0)+IF(BO1581="D",1,0)+IF(BT1581="D",1,0)+IF(BU1581="D",1,0)+IF(BW1581="D",1,0)+IF(CC1581="D",1,0)+IF(CD1581="D",1,0)+IF(CE1581="D",1,0)+IF(CF1581="D",1,0)+IF(CL1581="D",1,0)+IF(CM1581="D",1,0)+IF(CQ1581="D",1,0)+IF(CR1581="D",1,0)+IF(CS1581="D",1,0)+IF(CW1581="D",1,0)+IF(CX1581="D",1,0)+IF(DD1581="D",1,0)+IF(DE1581="D",1,0)+IF(DJ1581="D",1,0)+IF(DK1581="D",1,0)+IF(DO1581="D",1,0)+IF(DP1581="D",1,0)+IF(DQ1581="D",1,0)+IF(DW1581="D",1,0)+IF(DZ1581="D",1,0)+IF(EH1581="D",1,0)</f>
        <v/>
      </c>
      <c r="AY1581">
        <f>IF(DJ1581&lt;&gt;"",1,0)+IF(DK1581&lt;&gt;"",1,0)+IF(DM1581&lt;&gt;"",1,0)+IF(DO1581&lt;&gt;"",1,0)+IF(DP1581&lt;&gt;"",1,0)+IF(DQ1581&lt;&gt;"",1,0)+IF(DS1581&lt;&gt;"",1,0)+IF(DT1581&lt;&gt;"",1,0)+IF(DV1581&lt;&gt;"",1,0)+IF(DW1581&lt;&gt;"",1,0)+IF(DX1581&lt;&gt;"",1,0)+IF(DY1581&lt;&gt;"",1,0)+IF(DZ1581&lt;&gt;"",1,0)+IF(EB1581&lt;&gt;"",1,0)+IF(EC1581&lt;&gt;"",1,0)+IF(ED1581&lt;&gt;"",1,0)+IF(EG1581&lt;&gt;"",1,0)+IF(EH1581&lt;&gt;"",1,0)</f>
        <v/>
      </c>
      <c r="AZ1581">
        <f>IF(EH1581&lt;&gt;"",1,0)</f>
        <v/>
      </c>
      <c r="BB1581" t="inlineStr">
        <is>
          <t>WARREN-WARD 4</t>
        </is>
      </c>
      <c r="CA1581" t="inlineStr">
        <is>
          <t>X</t>
        </is>
      </c>
      <c r="CH1581" t="inlineStr">
        <is>
          <t>R</t>
        </is>
      </c>
      <c r="CK1581" t="inlineStr">
        <is>
          <t>X</t>
        </is>
      </c>
      <c r="CL1581" t="inlineStr">
        <is>
          <t>X</t>
        </is>
      </c>
      <c r="CN1581" t="inlineStr">
        <is>
          <t>X</t>
        </is>
      </c>
      <c r="CO1581" t="inlineStr">
        <is>
          <t>R</t>
        </is>
      </c>
      <c r="CP1581" t="inlineStr">
        <is>
          <t>X</t>
        </is>
      </c>
      <c r="CT1581" t="inlineStr">
        <is>
          <t>X</t>
        </is>
      </c>
      <c r="CU1581" t="inlineStr">
        <is>
          <t>R</t>
        </is>
      </c>
      <c r="CV1581" t="inlineStr">
        <is>
          <t>X</t>
        </is>
      </c>
      <c r="DC1581" t="inlineStr">
        <is>
          <t>X</t>
        </is>
      </c>
      <c r="DF1581" t="inlineStr">
        <is>
          <t>X</t>
        </is>
      </c>
      <c r="DI1581" t="inlineStr">
        <is>
          <t>X</t>
        </is>
      </c>
      <c r="DJ1581" t="inlineStr">
        <is>
          <t>R</t>
        </is>
      </c>
      <c r="DL1581" t="inlineStr">
        <is>
          <t>X</t>
        </is>
      </c>
      <c r="DN1581" t="inlineStr">
        <is>
          <t>X</t>
        </is>
      </c>
      <c r="DO1581" t="inlineStr">
        <is>
          <t>X</t>
        </is>
      </c>
      <c r="DU1581" t="inlineStr">
        <is>
          <t>X</t>
        </is>
      </c>
      <c r="DX1581" t="inlineStr">
        <is>
          <t>X</t>
        </is>
      </c>
      <c r="EA1581" t="inlineStr">
        <is>
          <t>X</t>
        </is>
      </c>
      <c r="ED1581" t="inlineStr">
        <is>
          <t>R</t>
        </is>
      </c>
      <c r="EF1581" t="inlineStr">
        <is>
          <t>X</t>
        </is>
      </c>
      <c r="EH1581" t="inlineStr">
        <is>
          <t>X</t>
        </is>
      </c>
    </row>
    <row r="1582">
      <c r="A1582" t="inlineStr">
        <is>
          <t>OH0015682025</t>
        </is>
      </c>
      <c r="B1582" t="n">
        <v>78</v>
      </c>
      <c r="C1582" t="n">
        <v>326726</v>
      </c>
      <c r="D1582" t="inlineStr">
        <is>
          <t>GRICE</t>
        </is>
      </c>
      <c r="E1582" t="inlineStr">
        <is>
          <t>KRISTIN</t>
        </is>
      </c>
      <c r="F1582">
        <f>CONCATENATE(D1582," ",LEFT(H1582,4),"T=",AU1582,"D=",AV1582,"R=",AW1582,"M=",AX1582,"L=",AY1582,"B=",AZ1582)</f>
        <v/>
      </c>
      <c r="G1582" t="inlineStr">
        <is>
          <t>ESTA</t>
        </is>
      </c>
      <c r="I1582" t="inlineStr">
        <is>
          <t>1986-05-23</t>
        </is>
      </c>
      <c r="J1582" t="inlineStr">
        <is>
          <t>2023-05-27</t>
        </is>
      </c>
      <c r="K1582" t="inlineStr">
        <is>
          <t>ACTIVE</t>
        </is>
      </c>
      <c r="M1582" t="inlineStr">
        <is>
          <t>207 LAIRD AVE NE</t>
        </is>
      </c>
      <c r="N1582">
        <f>RIGHT(M1582,LEN(M1582)-FIND(" ",M1582))</f>
        <v/>
      </c>
      <c r="P1582" t="inlineStr">
        <is>
          <t>WARREN</t>
        </is>
      </c>
      <c r="Q1582" t="inlineStr">
        <is>
          <t>OH</t>
        </is>
      </c>
      <c r="R1582" t="n">
        <v>44483</v>
      </c>
      <c r="AD1582" t="inlineStr">
        <is>
          <t>TRUMBULL CAREER &amp; TECH CENTER</t>
        </is>
      </c>
      <c r="AE1582" t="inlineStr">
        <is>
          <t>WARREN CITY</t>
        </is>
      </c>
      <c r="AF1582" t="inlineStr">
        <is>
          <t>WARREN CITY SD</t>
        </is>
      </c>
      <c r="AH1582" t="n">
        <v>14</v>
      </c>
      <c r="AI1582" t="n">
        <v>11</v>
      </c>
      <c r="AN1582" t="inlineStr">
        <is>
          <t>WARREN</t>
        </is>
      </c>
      <c r="AO1582" t="inlineStr">
        <is>
          <t>WARREN CITY 4D</t>
        </is>
      </c>
      <c r="AP1582" t="inlineStr">
        <is>
          <t>78-P-ADL</t>
        </is>
      </c>
      <c r="AQ1582" t="n">
        <v>9</v>
      </c>
      <c r="AR1582" t="n">
        <v>64</v>
      </c>
      <c r="AS1582" t="n">
        <v>32</v>
      </c>
      <c r="AU1582">
        <f>COUNTA($BA$1582:$EH$1582)</f>
        <v/>
      </c>
      <c r="AV1582">
        <f>COUNTIF($BA$1582:$EH$1582,"D")</f>
        <v/>
      </c>
      <c r="AW1582">
        <f>COUNTIF($BA$1582:$EH$1582,"R")</f>
        <v/>
      </c>
      <c r="AX1582">
        <f>IF(BN1582="D",1,0)+IF(BO1582="D",1,0)+IF(BT1582="D",1,0)+IF(BU1582="D",1,0)+IF(BW1582="D",1,0)+IF(CC1582="D",1,0)+IF(CD1582="D",1,0)+IF(CE1582="D",1,0)+IF(CF1582="D",1,0)+IF(CL1582="D",1,0)+IF(CM1582="D",1,0)+IF(CQ1582="D",1,0)+IF(CR1582="D",1,0)+IF(CS1582="D",1,0)+IF(CW1582="D",1,0)+IF(CX1582="D",1,0)+IF(DD1582="D",1,0)+IF(DE1582="D",1,0)+IF(DJ1582="D",1,0)+IF(DK1582="D",1,0)+IF(DO1582="D",1,0)+IF(DP1582="D",1,0)+IF(DQ1582="D",1,0)+IF(DW1582="D",1,0)+IF(DZ1582="D",1,0)+IF(EH1582="D",1,0)</f>
        <v/>
      </c>
      <c r="AY1582">
        <f>IF(DJ1582&lt;&gt;"",1,0)+IF(DK1582&lt;&gt;"",1,0)+IF(DM1582&lt;&gt;"",1,0)+IF(DO1582&lt;&gt;"",1,0)+IF(DP1582&lt;&gt;"",1,0)+IF(DQ1582&lt;&gt;"",1,0)+IF(DS1582&lt;&gt;"",1,0)+IF(DT1582&lt;&gt;"",1,0)+IF(DV1582&lt;&gt;"",1,0)+IF(DW1582&lt;&gt;"",1,0)+IF(DX1582&lt;&gt;"",1,0)+IF(DY1582&lt;&gt;"",1,0)+IF(DZ1582&lt;&gt;"",1,0)+IF(EB1582&lt;&gt;"",1,0)+IF(EC1582&lt;&gt;"",1,0)+IF(ED1582&lt;&gt;"",1,0)+IF(EG1582&lt;&gt;"",1,0)+IF(EH1582&lt;&gt;"",1,0)</f>
        <v/>
      </c>
      <c r="AZ1582">
        <f>IF(EH1582&lt;&gt;"",1,0)</f>
        <v/>
      </c>
      <c r="BB1582" t="inlineStr">
        <is>
          <t>WARREN-WARD 4</t>
        </is>
      </c>
      <c r="CA1582" t="inlineStr">
        <is>
          <t>X</t>
        </is>
      </c>
      <c r="DN1582" t="inlineStr">
        <is>
          <t>X</t>
        </is>
      </c>
    </row>
    <row r="1583">
      <c r="A1583" t="inlineStr">
        <is>
          <t>OH0018896065</t>
        </is>
      </c>
      <c r="B1583" t="n">
        <v>78</v>
      </c>
      <c r="C1583" t="n">
        <v>345911</v>
      </c>
      <c r="D1583" t="inlineStr">
        <is>
          <t>COMANESCU</t>
        </is>
      </c>
      <c r="E1583" t="inlineStr">
        <is>
          <t>SAMUEL</t>
        </is>
      </c>
      <c r="F1583">
        <f>CONCATENATE(D1583," ",LEFT(H1583,4),"T=",AU1583,"D=",AV1583,"R=",AW1583,"M=",AX1583,"L=",AY1583,"B=",AZ1583)</f>
        <v/>
      </c>
      <c r="G1583" t="inlineStr">
        <is>
          <t>NEIL</t>
        </is>
      </c>
      <c r="I1583" t="inlineStr">
        <is>
          <t>1959-06-09</t>
        </is>
      </c>
      <c r="J1583" t="inlineStr">
        <is>
          <t>2023-05-30</t>
        </is>
      </c>
      <c r="K1583" t="inlineStr">
        <is>
          <t>ACTIVE</t>
        </is>
      </c>
      <c r="M1583" t="inlineStr">
        <is>
          <t>438 N PARK AVE</t>
        </is>
      </c>
      <c r="N1583">
        <f>RIGHT(M1583,LEN(M1583)-FIND(" ",M1583))</f>
        <v/>
      </c>
      <c r="O1583" t="inlineStr">
        <is>
          <t>APT 3</t>
        </is>
      </c>
      <c r="P1583" t="inlineStr">
        <is>
          <t>WARREN</t>
        </is>
      </c>
      <c r="Q1583" t="inlineStr">
        <is>
          <t>OH</t>
        </is>
      </c>
      <c r="R1583" t="n">
        <v>44481</v>
      </c>
      <c r="AD1583" t="inlineStr">
        <is>
          <t>TRUMBULL CAREER &amp; TECH CENTER</t>
        </is>
      </c>
      <c r="AE1583" t="inlineStr">
        <is>
          <t>WARREN CITY</t>
        </is>
      </c>
      <c r="AF1583" t="inlineStr">
        <is>
          <t>WARREN CITY SD</t>
        </is>
      </c>
      <c r="AH1583" t="n">
        <v>14</v>
      </c>
      <c r="AI1583" t="n">
        <v>11</v>
      </c>
      <c r="AN1583" t="inlineStr">
        <is>
          <t>WARREN</t>
        </is>
      </c>
      <c r="AO1583" t="inlineStr">
        <is>
          <t>WARREN CITY 4D</t>
        </is>
      </c>
      <c r="AP1583" t="inlineStr">
        <is>
          <t>78-P-ADL</t>
        </is>
      </c>
      <c r="AQ1583" t="n">
        <v>9</v>
      </c>
      <c r="AR1583" t="n">
        <v>64</v>
      </c>
      <c r="AS1583" t="n">
        <v>32</v>
      </c>
      <c r="AU1583">
        <f>COUNTA($BA$1583:$EH$1583)</f>
        <v/>
      </c>
      <c r="AV1583">
        <f>COUNTIF($BA$1583:$EH$1583,"D")</f>
        <v/>
      </c>
      <c r="AW1583">
        <f>COUNTIF($BA$1583:$EH$1583,"R")</f>
        <v/>
      </c>
      <c r="AX1583">
        <f>IF(BN1583="D",1,0)+IF(BO1583="D",1,0)+IF(BT1583="D",1,0)+IF(BU1583="D",1,0)+IF(BW1583="D",1,0)+IF(CC1583="D",1,0)+IF(CD1583="D",1,0)+IF(CE1583="D",1,0)+IF(CF1583="D",1,0)+IF(CL1583="D",1,0)+IF(CM1583="D",1,0)+IF(CQ1583="D",1,0)+IF(CR1583="D",1,0)+IF(CS1583="D",1,0)+IF(CW1583="D",1,0)+IF(CX1583="D",1,0)+IF(DD1583="D",1,0)+IF(DE1583="D",1,0)+IF(DJ1583="D",1,0)+IF(DK1583="D",1,0)+IF(DO1583="D",1,0)+IF(DP1583="D",1,0)+IF(DQ1583="D",1,0)+IF(DW1583="D",1,0)+IF(DZ1583="D",1,0)+IF(EH1583="D",1,0)</f>
        <v/>
      </c>
      <c r="AY1583">
        <f>IF(DJ1583&lt;&gt;"",1,0)+IF(DK1583&lt;&gt;"",1,0)+IF(DM1583&lt;&gt;"",1,0)+IF(DO1583&lt;&gt;"",1,0)+IF(DP1583&lt;&gt;"",1,0)+IF(DQ1583&lt;&gt;"",1,0)+IF(DS1583&lt;&gt;"",1,0)+IF(DT1583&lt;&gt;"",1,0)+IF(DV1583&lt;&gt;"",1,0)+IF(DW1583&lt;&gt;"",1,0)+IF(DX1583&lt;&gt;"",1,0)+IF(DY1583&lt;&gt;"",1,0)+IF(DZ1583&lt;&gt;"",1,0)+IF(EB1583&lt;&gt;"",1,0)+IF(EC1583&lt;&gt;"",1,0)+IF(ED1583&lt;&gt;"",1,0)+IF(EG1583&lt;&gt;"",1,0)+IF(EH1583&lt;&gt;"",1,0)</f>
        <v/>
      </c>
      <c r="AZ1583">
        <f>IF(EH1583&lt;&gt;"",1,0)</f>
        <v/>
      </c>
      <c r="BB1583" t="inlineStr">
        <is>
          <t>WARREN-WARD 4</t>
        </is>
      </c>
      <c r="BS1583" t="inlineStr">
        <is>
          <t>X</t>
        </is>
      </c>
      <c r="BT1583" t="inlineStr">
        <is>
          <t>X</t>
        </is>
      </c>
      <c r="BV1583" t="inlineStr">
        <is>
          <t>X</t>
        </is>
      </c>
      <c r="BY1583" t="inlineStr">
        <is>
          <t>D</t>
        </is>
      </c>
      <c r="CA1583" t="inlineStr">
        <is>
          <t>X</t>
        </is>
      </c>
      <c r="CN1583" t="inlineStr">
        <is>
          <t>X</t>
        </is>
      </c>
      <c r="CP1583" t="inlineStr">
        <is>
          <t>X</t>
        </is>
      </c>
      <c r="CU1583" t="inlineStr">
        <is>
          <t>D</t>
        </is>
      </c>
      <c r="CY1583" t="inlineStr">
        <is>
          <t>X</t>
        </is>
      </c>
      <c r="CZ1583" t="inlineStr">
        <is>
          <t>R</t>
        </is>
      </c>
      <c r="DC1583" t="inlineStr">
        <is>
          <t>X</t>
        </is>
      </c>
      <c r="DD1583" t="inlineStr">
        <is>
          <t>D</t>
        </is>
      </c>
      <c r="DG1583" t="inlineStr">
        <is>
          <t>D</t>
        </is>
      </c>
      <c r="DI1583" t="inlineStr">
        <is>
          <t>X</t>
        </is>
      </c>
      <c r="DM1583" t="inlineStr">
        <is>
          <t>D</t>
        </is>
      </c>
      <c r="DN1583" t="inlineStr">
        <is>
          <t>X</t>
        </is>
      </c>
      <c r="DU1583" t="inlineStr">
        <is>
          <t>X</t>
        </is>
      </c>
    </row>
    <row r="1584">
      <c r="A1584" t="inlineStr">
        <is>
          <t>OH0025151292</t>
        </is>
      </c>
      <c r="B1584" t="n">
        <v>78</v>
      </c>
      <c r="C1584" t="n">
        <v>440470</v>
      </c>
      <c r="D1584" t="inlineStr">
        <is>
          <t>OBRIEN</t>
        </is>
      </c>
      <c r="E1584" t="inlineStr">
        <is>
          <t>ERIK</t>
        </is>
      </c>
      <c r="F1584">
        <f>CONCATENATE(D1584," ",LEFT(H1584,4),"T=",AU1584,"D=",AV1584,"R=",AW1584,"M=",AX1584,"L=",AY1584,"B=",AZ1584)</f>
        <v/>
      </c>
      <c r="G1584" t="inlineStr">
        <is>
          <t>R</t>
        </is>
      </c>
      <c r="I1584" t="inlineStr">
        <is>
          <t>1971-12-26</t>
        </is>
      </c>
      <c r="J1584" t="inlineStr">
        <is>
          <t>2019-07-26</t>
        </is>
      </c>
      <c r="K1584" t="inlineStr">
        <is>
          <t>CONFIRMATION</t>
        </is>
      </c>
      <c r="M1584" t="inlineStr">
        <is>
          <t>218 E MARKET ST</t>
        </is>
      </c>
      <c r="N1584">
        <f>RIGHT(M1584,LEN(M1584)-FIND(" ",M1584))</f>
        <v/>
      </c>
      <c r="P1584" t="inlineStr">
        <is>
          <t>WARREN</t>
        </is>
      </c>
      <c r="Q1584" t="inlineStr">
        <is>
          <t>OH</t>
        </is>
      </c>
      <c r="R1584" t="n">
        <v>44481</v>
      </c>
      <c r="AD1584" t="inlineStr">
        <is>
          <t>TRUMBULL CAREER &amp; TECH CENTER</t>
        </is>
      </c>
      <c r="AE1584" t="inlineStr">
        <is>
          <t>WARREN CITY</t>
        </is>
      </c>
      <c r="AF1584" t="inlineStr">
        <is>
          <t>WARREN CITY SD</t>
        </is>
      </c>
      <c r="AH1584" t="n">
        <v>14</v>
      </c>
      <c r="AI1584" t="n">
        <v>11</v>
      </c>
      <c r="AN1584" t="inlineStr">
        <is>
          <t>WARREN</t>
        </is>
      </c>
      <c r="AO1584" t="inlineStr">
        <is>
          <t>WARREN CITY 4D</t>
        </is>
      </c>
      <c r="AP1584" t="inlineStr">
        <is>
          <t>78-P-ADL</t>
        </is>
      </c>
      <c r="AQ1584" t="n">
        <v>9</v>
      </c>
      <c r="AR1584" t="n">
        <v>64</v>
      </c>
      <c r="AS1584" t="n">
        <v>32</v>
      </c>
      <c r="AU1584">
        <f>COUNTA($BA$1584:$EH$1584)</f>
        <v/>
      </c>
      <c r="AV1584">
        <f>COUNTIF($BA$1584:$EH$1584,"D")</f>
        <v/>
      </c>
      <c r="AW1584">
        <f>COUNTIF($BA$1584:$EH$1584,"R")</f>
        <v/>
      </c>
      <c r="AX1584">
        <f>IF(BN1584="D",1,0)+IF(BO1584="D",1,0)+IF(BT1584="D",1,0)+IF(BU1584="D",1,0)+IF(BW1584="D",1,0)+IF(CC1584="D",1,0)+IF(CD1584="D",1,0)+IF(CE1584="D",1,0)+IF(CF1584="D",1,0)+IF(CL1584="D",1,0)+IF(CM1584="D",1,0)+IF(CQ1584="D",1,0)+IF(CR1584="D",1,0)+IF(CS1584="D",1,0)+IF(CW1584="D",1,0)+IF(CX1584="D",1,0)+IF(DD1584="D",1,0)+IF(DE1584="D",1,0)+IF(DJ1584="D",1,0)+IF(DK1584="D",1,0)+IF(DO1584="D",1,0)+IF(DP1584="D",1,0)+IF(DQ1584="D",1,0)+IF(DW1584="D",1,0)+IF(DZ1584="D",1,0)+IF(EH1584="D",1,0)</f>
        <v/>
      </c>
      <c r="AY1584">
        <f>IF(DJ1584&lt;&gt;"",1,0)+IF(DK1584&lt;&gt;"",1,0)+IF(DM1584&lt;&gt;"",1,0)+IF(DO1584&lt;&gt;"",1,0)+IF(DP1584&lt;&gt;"",1,0)+IF(DQ1584&lt;&gt;"",1,0)+IF(DS1584&lt;&gt;"",1,0)+IF(DT1584&lt;&gt;"",1,0)+IF(DV1584&lt;&gt;"",1,0)+IF(DW1584&lt;&gt;"",1,0)+IF(DX1584&lt;&gt;"",1,0)+IF(DY1584&lt;&gt;"",1,0)+IF(DZ1584&lt;&gt;"",1,0)+IF(EB1584&lt;&gt;"",1,0)+IF(EC1584&lt;&gt;"",1,0)+IF(ED1584&lt;&gt;"",1,0)+IF(EG1584&lt;&gt;"",1,0)+IF(EH1584&lt;&gt;"",1,0)</f>
        <v/>
      </c>
      <c r="AZ1584">
        <f>IF(EH1584&lt;&gt;"",1,0)</f>
        <v/>
      </c>
      <c r="BB1584" t="inlineStr">
        <is>
          <t>WARREN-WARD 4</t>
        </is>
      </c>
      <c r="BD1584" t="inlineStr">
        <is>
          <t>X</t>
        </is>
      </c>
      <c r="BH1584" t="inlineStr">
        <is>
          <t>X</t>
        </is>
      </c>
      <c r="DL1584" t="inlineStr">
        <is>
          <t>X</t>
        </is>
      </c>
    </row>
    <row r="1585">
      <c r="A1585" t="inlineStr">
        <is>
          <t>OH0015816395</t>
        </is>
      </c>
      <c r="B1585" t="n">
        <v>78</v>
      </c>
      <c r="C1585" t="n">
        <v>288525</v>
      </c>
      <c r="D1585" t="inlineStr">
        <is>
          <t>ROBINSON</t>
        </is>
      </c>
      <c r="E1585" t="inlineStr">
        <is>
          <t>LISA</t>
        </is>
      </c>
      <c r="F1585">
        <f>CONCATENATE(D1585," ",LEFT(H1585,4),"T=",AU1585,"D=",AV1585,"R=",AW1585,"M=",AX1585,"L=",AY1585,"B=",AZ1585)</f>
        <v/>
      </c>
      <c r="G1585" t="inlineStr">
        <is>
          <t>J</t>
        </is>
      </c>
      <c r="I1585" t="inlineStr">
        <is>
          <t>1981-01-20</t>
        </is>
      </c>
      <c r="J1585" t="inlineStr">
        <is>
          <t>1999-04-28</t>
        </is>
      </c>
      <c r="K1585" t="inlineStr">
        <is>
          <t>CONFIRMATION</t>
        </is>
      </c>
      <c r="M1585" t="inlineStr">
        <is>
          <t>640 PAIGE AVE NE</t>
        </is>
      </c>
      <c r="N1585">
        <f>RIGHT(M1585,LEN(M1585)-FIND(" ",M1585))</f>
        <v/>
      </c>
      <c r="P1585" t="inlineStr">
        <is>
          <t>WARREN</t>
        </is>
      </c>
      <c r="Q1585" t="inlineStr">
        <is>
          <t>OH</t>
        </is>
      </c>
      <c r="R1585" t="n">
        <v>44483</v>
      </c>
      <c r="AD1585" t="inlineStr">
        <is>
          <t>TRUMBULL CAREER &amp; TECH CENTER</t>
        </is>
      </c>
      <c r="AE1585" t="inlineStr">
        <is>
          <t>WARREN CITY</t>
        </is>
      </c>
      <c r="AF1585" t="inlineStr">
        <is>
          <t>WARREN CITY SD</t>
        </is>
      </c>
      <c r="AH1585" t="n">
        <v>14</v>
      </c>
      <c r="AI1585" t="n">
        <v>11</v>
      </c>
      <c r="AN1585" t="inlineStr">
        <is>
          <t>WARREN</t>
        </is>
      </c>
      <c r="AO1585" t="inlineStr">
        <is>
          <t>WARREN CITY 4D</t>
        </is>
      </c>
      <c r="AP1585" t="inlineStr">
        <is>
          <t>78-P-ADL</t>
        </is>
      </c>
      <c r="AQ1585" t="n">
        <v>9</v>
      </c>
      <c r="AR1585" t="n">
        <v>64</v>
      </c>
      <c r="AS1585" t="n">
        <v>32</v>
      </c>
      <c r="AU1585">
        <f>COUNTA($BA$1585:$EH$1585)</f>
        <v/>
      </c>
      <c r="AV1585">
        <f>COUNTIF($BA$1585:$EH$1585,"D")</f>
        <v/>
      </c>
      <c r="AW1585">
        <f>COUNTIF($BA$1585:$EH$1585,"R")</f>
        <v/>
      </c>
      <c r="AX1585">
        <f>IF(BN1585="D",1,0)+IF(BO1585="D",1,0)+IF(BT1585="D",1,0)+IF(BU1585="D",1,0)+IF(BW1585="D",1,0)+IF(CC1585="D",1,0)+IF(CD1585="D",1,0)+IF(CE1585="D",1,0)+IF(CF1585="D",1,0)+IF(CL1585="D",1,0)+IF(CM1585="D",1,0)+IF(CQ1585="D",1,0)+IF(CR1585="D",1,0)+IF(CS1585="D",1,0)+IF(CW1585="D",1,0)+IF(CX1585="D",1,0)+IF(DD1585="D",1,0)+IF(DE1585="D",1,0)+IF(DJ1585="D",1,0)+IF(DK1585="D",1,0)+IF(DO1585="D",1,0)+IF(DP1585="D",1,0)+IF(DQ1585="D",1,0)+IF(DW1585="D",1,0)+IF(DZ1585="D",1,0)+IF(EH1585="D",1,0)</f>
        <v/>
      </c>
      <c r="AY1585">
        <f>IF(DJ1585&lt;&gt;"",1,0)+IF(DK1585&lt;&gt;"",1,0)+IF(DM1585&lt;&gt;"",1,0)+IF(DO1585&lt;&gt;"",1,0)+IF(DP1585&lt;&gt;"",1,0)+IF(DQ1585&lt;&gt;"",1,0)+IF(DS1585&lt;&gt;"",1,0)+IF(DT1585&lt;&gt;"",1,0)+IF(DV1585&lt;&gt;"",1,0)+IF(DW1585&lt;&gt;"",1,0)+IF(DX1585&lt;&gt;"",1,0)+IF(DY1585&lt;&gt;"",1,0)+IF(DZ1585&lt;&gt;"",1,0)+IF(EB1585&lt;&gt;"",1,0)+IF(EC1585&lt;&gt;"",1,0)+IF(ED1585&lt;&gt;"",1,0)+IF(EG1585&lt;&gt;"",1,0)+IF(EH1585&lt;&gt;"",1,0)</f>
        <v/>
      </c>
      <c r="AZ1585">
        <f>IF(EH1585&lt;&gt;"",1,0)</f>
        <v/>
      </c>
      <c r="BB1585" t="inlineStr">
        <is>
          <t>WARREN-WARD 4</t>
        </is>
      </c>
      <c r="BL1585" t="inlineStr">
        <is>
          <t>X</t>
        </is>
      </c>
      <c r="BY1585" t="inlineStr">
        <is>
          <t>D</t>
        </is>
      </c>
      <c r="CA1585" t="inlineStr">
        <is>
          <t>X</t>
        </is>
      </c>
      <c r="CP1585" t="inlineStr">
        <is>
          <t>X</t>
        </is>
      </c>
      <c r="CY1585" t="inlineStr">
        <is>
          <t>X</t>
        </is>
      </c>
      <c r="CZ1585" t="inlineStr">
        <is>
          <t>R</t>
        </is>
      </c>
      <c r="DC1585" t="inlineStr">
        <is>
          <t>X</t>
        </is>
      </c>
      <c r="DI1585" t="inlineStr">
        <is>
          <t>X</t>
        </is>
      </c>
      <c r="DN1585" t="inlineStr">
        <is>
          <t>X</t>
        </is>
      </c>
    </row>
    <row r="1586">
      <c r="A1586" t="inlineStr">
        <is>
          <t>OH0025460441</t>
        </is>
      </c>
      <c r="B1586" t="n">
        <v>78</v>
      </c>
      <c r="C1586" t="n">
        <v>445093</v>
      </c>
      <c r="D1586" t="inlineStr">
        <is>
          <t>JONES</t>
        </is>
      </c>
      <c r="E1586" t="inlineStr">
        <is>
          <t>PETE</t>
        </is>
      </c>
      <c r="F1586">
        <f>CONCATENATE(D1586," ",LEFT(H1586,4),"T=",AU1586,"D=",AV1586,"R=",AW1586,"M=",AX1586,"L=",AY1586,"B=",AZ1586)</f>
        <v/>
      </c>
      <c r="G1586" t="inlineStr">
        <is>
          <t>A</t>
        </is>
      </c>
      <c r="I1586" t="inlineStr">
        <is>
          <t>1985-06-14</t>
        </is>
      </c>
      <c r="J1586" t="inlineStr">
        <is>
          <t>2020-02-05</t>
        </is>
      </c>
      <c r="K1586" t="inlineStr">
        <is>
          <t>ACTIVE</t>
        </is>
      </c>
      <c r="M1586" t="inlineStr">
        <is>
          <t>149 PORTER ST NE</t>
        </is>
      </c>
      <c r="N1586">
        <f>RIGHT(M1586,LEN(M1586)-FIND(" ",M1586))</f>
        <v/>
      </c>
      <c r="P1586" t="inlineStr">
        <is>
          <t>WARREN</t>
        </is>
      </c>
      <c r="Q1586" t="inlineStr">
        <is>
          <t>OH</t>
        </is>
      </c>
      <c r="R1586" t="n">
        <v>44483</v>
      </c>
      <c r="AD1586" t="inlineStr">
        <is>
          <t>TRUMBULL CAREER &amp; TECH CENTER</t>
        </is>
      </c>
      <c r="AE1586" t="inlineStr">
        <is>
          <t>WARREN CITY</t>
        </is>
      </c>
      <c r="AF1586" t="inlineStr">
        <is>
          <t>WARREN CITY SD</t>
        </is>
      </c>
      <c r="AH1586" t="n">
        <v>14</v>
      </c>
      <c r="AI1586" t="n">
        <v>11</v>
      </c>
      <c r="AN1586" t="inlineStr">
        <is>
          <t>WARREN</t>
        </is>
      </c>
      <c r="AO1586" t="inlineStr">
        <is>
          <t>WARREN CITY 4D</t>
        </is>
      </c>
      <c r="AP1586" t="inlineStr">
        <is>
          <t>78-P-ADL</t>
        </is>
      </c>
      <c r="AQ1586" t="n">
        <v>9</v>
      </c>
      <c r="AR1586" t="n">
        <v>64</v>
      </c>
      <c r="AS1586" t="n">
        <v>32</v>
      </c>
      <c r="AU1586">
        <f>COUNTA($BA$1586:$EH$1586)</f>
        <v/>
      </c>
      <c r="AV1586">
        <f>COUNTIF($BA$1586:$EH$1586,"D")</f>
        <v/>
      </c>
      <c r="AW1586">
        <f>COUNTIF($BA$1586:$EH$1586,"R")</f>
        <v/>
      </c>
      <c r="AX1586">
        <f>IF(BN1586="D",1,0)+IF(BO1586="D",1,0)+IF(BT1586="D",1,0)+IF(BU1586="D",1,0)+IF(BW1586="D",1,0)+IF(CC1586="D",1,0)+IF(CD1586="D",1,0)+IF(CE1586="D",1,0)+IF(CF1586="D",1,0)+IF(CL1586="D",1,0)+IF(CM1586="D",1,0)+IF(CQ1586="D",1,0)+IF(CR1586="D",1,0)+IF(CS1586="D",1,0)+IF(CW1586="D",1,0)+IF(CX1586="D",1,0)+IF(DD1586="D",1,0)+IF(DE1586="D",1,0)+IF(DJ1586="D",1,0)+IF(DK1586="D",1,0)+IF(DO1586="D",1,0)+IF(DP1586="D",1,0)+IF(DQ1586="D",1,0)+IF(DW1586="D",1,0)+IF(DZ1586="D",1,0)+IF(EH1586="D",1,0)</f>
        <v/>
      </c>
      <c r="AY1586">
        <f>IF(DJ1586&lt;&gt;"",1,0)+IF(DK1586&lt;&gt;"",1,0)+IF(DM1586&lt;&gt;"",1,0)+IF(DO1586&lt;&gt;"",1,0)+IF(DP1586&lt;&gt;"",1,0)+IF(DQ1586&lt;&gt;"",1,0)+IF(DS1586&lt;&gt;"",1,0)+IF(DT1586&lt;&gt;"",1,0)+IF(DV1586&lt;&gt;"",1,0)+IF(DW1586&lt;&gt;"",1,0)+IF(DX1586&lt;&gt;"",1,0)+IF(DY1586&lt;&gt;"",1,0)+IF(DZ1586&lt;&gt;"",1,0)+IF(EB1586&lt;&gt;"",1,0)+IF(EC1586&lt;&gt;"",1,0)+IF(ED1586&lt;&gt;"",1,0)+IF(EG1586&lt;&gt;"",1,0)+IF(EH1586&lt;&gt;"",1,0)</f>
        <v/>
      </c>
      <c r="AZ1586">
        <f>IF(EH1586&lt;&gt;"",1,0)</f>
        <v/>
      </c>
      <c r="BB1586" t="inlineStr">
        <is>
          <t>WARREN-WARD 4</t>
        </is>
      </c>
    </row>
    <row r="1587">
      <c r="A1587" t="inlineStr">
        <is>
          <t>OH0025161202</t>
        </is>
      </c>
      <c r="B1587" t="n">
        <v>78</v>
      </c>
      <c r="C1587" t="n">
        <v>440640</v>
      </c>
      <c r="D1587" t="inlineStr">
        <is>
          <t>SEBELIST</t>
        </is>
      </c>
      <c r="E1587" t="inlineStr">
        <is>
          <t>THOMAS</t>
        </is>
      </c>
      <c r="F1587">
        <f>CONCATENATE(D1587," ",LEFT(H1587,4),"T=",AU1587,"D=",AV1587,"R=",AW1587,"M=",AX1587,"L=",AY1587,"B=",AZ1587)</f>
        <v/>
      </c>
      <c r="G1587" t="inlineStr">
        <is>
          <t>LEE</t>
        </is>
      </c>
      <c r="I1587" t="inlineStr">
        <is>
          <t>1941-08-26</t>
        </is>
      </c>
      <c r="J1587" t="inlineStr">
        <is>
          <t>2019-07-31</t>
        </is>
      </c>
      <c r="K1587" t="inlineStr">
        <is>
          <t>ACTIVE</t>
        </is>
      </c>
      <c r="L1587" t="inlineStr">
        <is>
          <t>D</t>
        </is>
      </c>
      <c r="M1587" t="inlineStr">
        <is>
          <t>1142 HIGH ST NE</t>
        </is>
      </c>
      <c r="N1587">
        <f>RIGHT(M1587,LEN(M1587)-FIND(" ",M1587))</f>
        <v/>
      </c>
      <c r="P1587" t="inlineStr">
        <is>
          <t>WARREN</t>
        </is>
      </c>
      <c r="Q1587" t="inlineStr">
        <is>
          <t>OH</t>
        </is>
      </c>
      <c r="R1587" t="n">
        <v>44483</v>
      </c>
      <c r="S1587" t="n">
        <v>5858</v>
      </c>
      <c r="AD1587" t="inlineStr">
        <is>
          <t>TRUMBULL CAREER &amp; TECH CENTER</t>
        </is>
      </c>
      <c r="AE1587" t="inlineStr">
        <is>
          <t>WARREN CITY</t>
        </is>
      </c>
      <c r="AF1587" t="inlineStr">
        <is>
          <t>WARREN CITY SD</t>
        </is>
      </c>
      <c r="AH1587" t="n">
        <v>14</v>
      </c>
      <c r="AI1587" t="n">
        <v>11</v>
      </c>
      <c r="AN1587" t="inlineStr">
        <is>
          <t>WARREN</t>
        </is>
      </c>
      <c r="AO1587" t="inlineStr">
        <is>
          <t>WARREN CITY 4D</t>
        </is>
      </c>
      <c r="AP1587" t="inlineStr">
        <is>
          <t>78-P-ADL</t>
        </is>
      </c>
      <c r="AQ1587" t="n">
        <v>9</v>
      </c>
      <c r="AR1587" t="n">
        <v>64</v>
      </c>
      <c r="AS1587" t="n">
        <v>32</v>
      </c>
      <c r="AU1587">
        <f>COUNTA($BA$1587:$EH$1587)</f>
        <v/>
      </c>
      <c r="AV1587">
        <f>COUNTIF($BA$1587:$EH$1587,"D")</f>
        <v/>
      </c>
      <c r="AW1587">
        <f>COUNTIF($BA$1587:$EH$1587,"R")</f>
        <v/>
      </c>
      <c r="AX1587">
        <f>IF(BN1587="D",1,0)+IF(BO1587="D",1,0)+IF(BT1587="D",1,0)+IF(BU1587="D",1,0)+IF(BW1587="D",1,0)+IF(CC1587="D",1,0)+IF(CD1587="D",1,0)+IF(CE1587="D",1,0)+IF(CF1587="D",1,0)+IF(CL1587="D",1,0)+IF(CM1587="D",1,0)+IF(CQ1587="D",1,0)+IF(CR1587="D",1,0)+IF(CS1587="D",1,0)+IF(CW1587="D",1,0)+IF(CX1587="D",1,0)+IF(DD1587="D",1,0)+IF(DE1587="D",1,0)+IF(DJ1587="D",1,0)+IF(DK1587="D",1,0)+IF(DO1587="D",1,0)+IF(DP1587="D",1,0)+IF(DQ1587="D",1,0)+IF(DW1587="D",1,0)+IF(DZ1587="D",1,0)+IF(EH1587="D",1,0)</f>
        <v/>
      </c>
      <c r="AY1587">
        <f>IF(DJ1587&lt;&gt;"",1,0)+IF(DK1587&lt;&gt;"",1,0)+IF(DM1587&lt;&gt;"",1,0)+IF(DO1587&lt;&gt;"",1,0)+IF(DP1587&lt;&gt;"",1,0)+IF(DQ1587&lt;&gt;"",1,0)+IF(DS1587&lt;&gt;"",1,0)+IF(DT1587&lt;&gt;"",1,0)+IF(DV1587&lt;&gt;"",1,0)+IF(DW1587&lt;&gt;"",1,0)+IF(DX1587&lt;&gt;"",1,0)+IF(DY1587&lt;&gt;"",1,0)+IF(DZ1587&lt;&gt;"",1,0)+IF(EB1587&lt;&gt;"",1,0)+IF(EC1587&lt;&gt;"",1,0)+IF(ED1587&lt;&gt;"",1,0)+IF(EG1587&lt;&gt;"",1,0)+IF(EH1587&lt;&gt;"",1,0)</f>
        <v/>
      </c>
      <c r="AZ1587">
        <f>IF(EH1587&lt;&gt;"",1,0)</f>
        <v/>
      </c>
      <c r="BB1587" t="inlineStr">
        <is>
          <t>WARREN-WARD 4</t>
        </is>
      </c>
      <c r="DL1587" t="inlineStr">
        <is>
          <t>X</t>
        </is>
      </c>
      <c r="DM1587" t="inlineStr">
        <is>
          <t>D</t>
        </is>
      </c>
      <c r="DN1587" t="inlineStr">
        <is>
          <t>X</t>
        </is>
      </c>
      <c r="DS1587" t="inlineStr">
        <is>
          <t>D</t>
        </is>
      </c>
      <c r="DU1587" t="inlineStr">
        <is>
          <t>X</t>
        </is>
      </c>
      <c r="DW1587" t="inlineStr">
        <is>
          <t>D</t>
        </is>
      </c>
      <c r="DX1587" t="inlineStr">
        <is>
          <t>X</t>
        </is>
      </c>
      <c r="EA1587" t="inlineStr">
        <is>
          <t>X</t>
        </is>
      </c>
      <c r="ED1587" t="inlineStr">
        <is>
          <t>D</t>
        </is>
      </c>
      <c r="EF1587" t="inlineStr">
        <is>
          <t>X</t>
        </is>
      </c>
      <c r="EH1587" t="inlineStr">
        <is>
          <t>D</t>
        </is>
      </c>
    </row>
    <row r="1588">
      <c r="A1588" t="inlineStr">
        <is>
          <t>OH0026575543</t>
        </is>
      </c>
      <c r="B1588" t="n">
        <v>78</v>
      </c>
      <c r="C1588" t="n">
        <v>464505</v>
      </c>
      <c r="D1588" t="inlineStr">
        <is>
          <t>RUPP</t>
        </is>
      </c>
      <c r="E1588" t="inlineStr">
        <is>
          <t>LAWRENCE</t>
        </is>
      </c>
      <c r="F1588">
        <f>CONCATENATE(D1588," ",LEFT(H1588,4),"T=",AU1588,"D=",AV1588,"R=",AW1588,"M=",AX1588,"L=",AY1588,"B=",AZ1588)</f>
        <v/>
      </c>
      <c r="G1588" t="inlineStr">
        <is>
          <t>M</t>
        </is>
      </c>
      <c r="I1588" t="inlineStr">
        <is>
          <t>1986-04-14</t>
        </is>
      </c>
      <c r="J1588" t="inlineStr">
        <is>
          <t>2022-06-27</t>
        </is>
      </c>
      <c r="K1588" t="inlineStr">
        <is>
          <t>CONFIRMATION</t>
        </is>
      </c>
      <c r="M1588" t="inlineStr">
        <is>
          <t>280 N PARK AVE</t>
        </is>
      </c>
      <c r="N1588">
        <f>RIGHT(M1588,LEN(M1588)-FIND(" ",M1588))</f>
        <v/>
      </c>
      <c r="O1588" t="inlineStr">
        <is>
          <t>APT 1</t>
        </is>
      </c>
      <c r="P1588" t="inlineStr">
        <is>
          <t>WARREN</t>
        </is>
      </c>
      <c r="Q1588" t="inlineStr">
        <is>
          <t>OH</t>
        </is>
      </c>
      <c r="R1588" t="n">
        <v>44481</v>
      </c>
      <c r="AD1588" t="inlineStr">
        <is>
          <t>TRUMBULL CAREER &amp; TECH CENTER</t>
        </is>
      </c>
      <c r="AE1588" t="inlineStr">
        <is>
          <t>WARREN CITY</t>
        </is>
      </c>
      <c r="AF1588" t="inlineStr">
        <is>
          <t>WARREN CITY SD</t>
        </is>
      </c>
      <c r="AH1588" t="n">
        <v>14</v>
      </c>
      <c r="AI1588" t="n">
        <v>11</v>
      </c>
      <c r="AN1588" t="inlineStr">
        <is>
          <t>WARREN</t>
        </is>
      </c>
      <c r="AO1588" t="inlineStr">
        <is>
          <t>WARREN CITY 4D</t>
        </is>
      </c>
      <c r="AP1588" t="inlineStr">
        <is>
          <t>78-P-ADL</t>
        </is>
      </c>
      <c r="AQ1588" t="n">
        <v>9</v>
      </c>
      <c r="AR1588" t="n">
        <v>64</v>
      </c>
      <c r="AS1588" t="n">
        <v>32</v>
      </c>
      <c r="AU1588">
        <f>COUNTA($BA$1588:$EH$1588)</f>
        <v/>
      </c>
      <c r="AV1588">
        <f>COUNTIF($BA$1588:$EH$1588,"D")</f>
        <v/>
      </c>
      <c r="AW1588">
        <f>COUNTIF($BA$1588:$EH$1588,"R")</f>
        <v/>
      </c>
      <c r="AX1588">
        <f>IF(BN1588="D",1,0)+IF(BO1588="D",1,0)+IF(BT1588="D",1,0)+IF(BU1588="D",1,0)+IF(BW1588="D",1,0)+IF(CC1588="D",1,0)+IF(CD1588="D",1,0)+IF(CE1588="D",1,0)+IF(CF1588="D",1,0)+IF(CL1588="D",1,0)+IF(CM1588="D",1,0)+IF(CQ1588="D",1,0)+IF(CR1588="D",1,0)+IF(CS1588="D",1,0)+IF(CW1588="D",1,0)+IF(CX1588="D",1,0)+IF(DD1588="D",1,0)+IF(DE1588="D",1,0)+IF(DJ1588="D",1,0)+IF(DK1588="D",1,0)+IF(DO1588="D",1,0)+IF(DP1588="D",1,0)+IF(DQ1588="D",1,0)+IF(DW1588="D",1,0)+IF(DZ1588="D",1,0)+IF(EH1588="D",1,0)</f>
        <v/>
      </c>
      <c r="AY1588">
        <f>IF(DJ1588&lt;&gt;"",1,0)+IF(DK1588&lt;&gt;"",1,0)+IF(DM1588&lt;&gt;"",1,0)+IF(DO1588&lt;&gt;"",1,0)+IF(DP1588&lt;&gt;"",1,0)+IF(DQ1588&lt;&gt;"",1,0)+IF(DS1588&lt;&gt;"",1,0)+IF(DT1588&lt;&gt;"",1,0)+IF(DV1588&lt;&gt;"",1,0)+IF(DW1588&lt;&gt;"",1,0)+IF(DX1588&lt;&gt;"",1,0)+IF(DY1588&lt;&gt;"",1,0)+IF(DZ1588&lt;&gt;"",1,0)+IF(EB1588&lt;&gt;"",1,0)+IF(EC1588&lt;&gt;"",1,0)+IF(ED1588&lt;&gt;"",1,0)+IF(EG1588&lt;&gt;"",1,0)+IF(EH1588&lt;&gt;"",1,0)</f>
        <v/>
      </c>
      <c r="AZ1588">
        <f>IF(EH1588&lt;&gt;"",1,0)</f>
        <v/>
      </c>
      <c r="BB1588" t="inlineStr">
        <is>
          <t>WARREN-WARD 4</t>
        </is>
      </c>
    </row>
    <row r="1589">
      <c r="A1589" t="inlineStr">
        <is>
          <t>OH0026574612</t>
        </is>
      </c>
      <c r="B1589" t="n">
        <v>78</v>
      </c>
      <c r="C1589" t="n">
        <v>464472</v>
      </c>
      <c r="D1589" t="inlineStr">
        <is>
          <t>CARTER TOTTER</t>
        </is>
      </c>
      <c r="E1589" t="inlineStr">
        <is>
          <t>SHAUN</t>
        </is>
      </c>
      <c r="F1589">
        <f>CONCATENATE(D1589," ",LEFT(H1589,4),"T=",AU1589,"D=",AV1589,"R=",AW1589,"M=",AX1589,"L=",AY1589,"B=",AZ1589)</f>
        <v/>
      </c>
      <c r="G1589" t="inlineStr">
        <is>
          <t>A</t>
        </is>
      </c>
      <c r="I1589" t="inlineStr">
        <is>
          <t>1987-02-21</t>
        </is>
      </c>
      <c r="J1589" t="inlineStr">
        <is>
          <t>2022-08-13</t>
        </is>
      </c>
      <c r="K1589" t="inlineStr">
        <is>
          <t>CONFIRMATION</t>
        </is>
      </c>
      <c r="M1589" t="inlineStr">
        <is>
          <t>1028 WOODLAND AVE NE</t>
        </is>
      </c>
      <c r="N1589">
        <f>RIGHT(M1589,LEN(M1589)-FIND(" ",M1589))</f>
        <v/>
      </c>
      <c r="P1589" t="inlineStr">
        <is>
          <t>WARREN</t>
        </is>
      </c>
      <c r="Q1589" t="inlineStr">
        <is>
          <t>OH</t>
        </is>
      </c>
      <c r="R1589" t="n">
        <v>44483</v>
      </c>
      <c r="AD1589" t="inlineStr">
        <is>
          <t>TRUMBULL CAREER &amp; TECH CENTER</t>
        </is>
      </c>
      <c r="AE1589" t="inlineStr">
        <is>
          <t>WARREN CITY</t>
        </is>
      </c>
      <c r="AF1589" t="inlineStr">
        <is>
          <t>WARREN CITY SD</t>
        </is>
      </c>
      <c r="AH1589" t="n">
        <v>14</v>
      </c>
      <c r="AI1589" t="n">
        <v>11</v>
      </c>
      <c r="AN1589" t="inlineStr">
        <is>
          <t>WARREN</t>
        </is>
      </c>
      <c r="AO1589" t="inlineStr">
        <is>
          <t>WARREN CITY 4D</t>
        </is>
      </c>
      <c r="AP1589" t="inlineStr">
        <is>
          <t>78-P-ADL</t>
        </is>
      </c>
      <c r="AQ1589" t="n">
        <v>9</v>
      </c>
      <c r="AR1589" t="n">
        <v>64</v>
      </c>
      <c r="AS1589" t="n">
        <v>32</v>
      </c>
      <c r="AU1589">
        <f>COUNTA($BA$1589:$EH$1589)</f>
        <v/>
      </c>
      <c r="AV1589">
        <f>COUNTIF($BA$1589:$EH$1589,"D")</f>
        <v/>
      </c>
      <c r="AW1589">
        <f>COUNTIF($BA$1589:$EH$1589,"R")</f>
        <v/>
      </c>
      <c r="AX1589">
        <f>IF(BN1589="D",1,0)+IF(BO1589="D",1,0)+IF(BT1589="D",1,0)+IF(BU1589="D",1,0)+IF(BW1589="D",1,0)+IF(CC1589="D",1,0)+IF(CD1589="D",1,0)+IF(CE1589="D",1,0)+IF(CF1589="D",1,0)+IF(CL1589="D",1,0)+IF(CM1589="D",1,0)+IF(CQ1589="D",1,0)+IF(CR1589="D",1,0)+IF(CS1589="D",1,0)+IF(CW1589="D",1,0)+IF(CX1589="D",1,0)+IF(DD1589="D",1,0)+IF(DE1589="D",1,0)+IF(DJ1589="D",1,0)+IF(DK1589="D",1,0)+IF(DO1589="D",1,0)+IF(DP1589="D",1,0)+IF(DQ1589="D",1,0)+IF(DW1589="D",1,0)+IF(DZ1589="D",1,0)+IF(EH1589="D",1,0)</f>
        <v/>
      </c>
      <c r="AY1589">
        <f>IF(DJ1589&lt;&gt;"",1,0)+IF(DK1589&lt;&gt;"",1,0)+IF(DM1589&lt;&gt;"",1,0)+IF(DO1589&lt;&gt;"",1,0)+IF(DP1589&lt;&gt;"",1,0)+IF(DQ1589&lt;&gt;"",1,0)+IF(DS1589&lt;&gt;"",1,0)+IF(DT1589&lt;&gt;"",1,0)+IF(DV1589&lt;&gt;"",1,0)+IF(DW1589&lt;&gt;"",1,0)+IF(DX1589&lt;&gt;"",1,0)+IF(DY1589&lt;&gt;"",1,0)+IF(DZ1589&lt;&gt;"",1,0)+IF(EB1589&lt;&gt;"",1,0)+IF(EC1589&lt;&gt;"",1,0)+IF(ED1589&lt;&gt;"",1,0)+IF(EG1589&lt;&gt;"",1,0)+IF(EH1589&lt;&gt;"",1,0)</f>
        <v/>
      </c>
      <c r="AZ1589">
        <f>IF(EH1589&lt;&gt;"",1,0)</f>
        <v/>
      </c>
      <c r="BB1589" t="inlineStr">
        <is>
          <t>WARREN-WARD 4</t>
        </is>
      </c>
      <c r="EA1589" t="inlineStr">
        <is>
          <t>X</t>
        </is>
      </c>
    </row>
    <row r="1590">
      <c r="A1590" t="inlineStr">
        <is>
          <t>OH0020135771</t>
        </is>
      </c>
      <c r="B1590" t="n">
        <v>78</v>
      </c>
      <c r="C1590" t="n">
        <v>363365</v>
      </c>
      <c r="D1590" t="inlineStr">
        <is>
          <t>PENNOCK</t>
        </is>
      </c>
      <c r="E1590" t="inlineStr">
        <is>
          <t>NORMAN</t>
        </is>
      </c>
      <c r="F1590">
        <f>CONCATENATE(D1590," ",LEFT(H1590,4),"T=",AU1590,"D=",AV1590,"R=",AW1590,"M=",AX1590,"L=",AY1590,"B=",AZ1590)</f>
        <v/>
      </c>
      <c r="G1590" t="inlineStr">
        <is>
          <t>R</t>
        </is>
      </c>
      <c r="I1590" t="inlineStr">
        <is>
          <t>1956-07-27</t>
        </is>
      </c>
      <c r="J1590" t="inlineStr">
        <is>
          <t>2014-11-19</t>
        </is>
      </c>
      <c r="K1590" t="inlineStr">
        <is>
          <t>ACTIVE</t>
        </is>
      </c>
      <c r="L1590" t="inlineStr">
        <is>
          <t>D</t>
        </is>
      </c>
      <c r="M1590" t="inlineStr">
        <is>
          <t>182 HIGH ST NW</t>
        </is>
      </c>
      <c r="N1590">
        <f>RIGHT(M1590,LEN(M1590)-FIND(" ",M1590))</f>
        <v/>
      </c>
      <c r="O1590" t="inlineStr">
        <is>
          <t>APT 211</t>
        </is>
      </c>
      <c r="P1590" t="inlineStr">
        <is>
          <t>WARREN</t>
        </is>
      </c>
      <c r="Q1590" t="inlineStr">
        <is>
          <t>OH</t>
        </is>
      </c>
      <c r="R1590" t="n">
        <v>44481</v>
      </c>
      <c r="AD1590" t="inlineStr">
        <is>
          <t>TRUMBULL CAREER &amp; TECH CENTER</t>
        </is>
      </c>
      <c r="AE1590" t="inlineStr">
        <is>
          <t>WARREN CITY</t>
        </is>
      </c>
      <c r="AF1590" t="inlineStr">
        <is>
          <t>WARREN CITY SD</t>
        </is>
      </c>
      <c r="AH1590" t="n">
        <v>14</v>
      </c>
      <c r="AI1590" t="n">
        <v>11</v>
      </c>
      <c r="AN1590" t="inlineStr">
        <is>
          <t>WARREN</t>
        </is>
      </c>
      <c r="AO1590" t="inlineStr">
        <is>
          <t>WARREN CITY 4D</t>
        </is>
      </c>
      <c r="AP1590" t="inlineStr">
        <is>
          <t>78-P-ADL</t>
        </is>
      </c>
      <c r="AQ1590" t="n">
        <v>9</v>
      </c>
      <c r="AR1590" t="n">
        <v>64</v>
      </c>
      <c r="AS1590" t="n">
        <v>32</v>
      </c>
      <c r="AU1590">
        <f>COUNTA($BA$1590:$EH$1590)</f>
        <v/>
      </c>
      <c r="AV1590">
        <f>COUNTIF($BA$1590:$EH$1590,"D")</f>
        <v/>
      </c>
      <c r="AW1590">
        <f>COUNTIF($BA$1590:$EH$1590,"R")</f>
        <v/>
      </c>
      <c r="AX1590">
        <f>IF(BN1590="D",1,0)+IF(BO1590="D",1,0)+IF(BT1590="D",1,0)+IF(BU1590="D",1,0)+IF(BW1590="D",1,0)+IF(CC1590="D",1,0)+IF(CD1590="D",1,0)+IF(CE1590="D",1,0)+IF(CF1590="D",1,0)+IF(CL1590="D",1,0)+IF(CM1590="D",1,0)+IF(CQ1590="D",1,0)+IF(CR1590="D",1,0)+IF(CS1590="D",1,0)+IF(CW1590="D",1,0)+IF(CX1590="D",1,0)+IF(DD1590="D",1,0)+IF(DE1590="D",1,0)+IF(DJ1590="D",1,0)+IF(DK1590="D",1,0)+IF(DO1590="D",1,0)+IF(DP1590="D",1,0)+IF(DQ1590="D",1,0)+IF(DW1590="D",1,0)+IF(DZ1590="D",1,0)+IF(EH1590="D",1,0)</f>
        <v/>
      </c>
      <c r="AY1590">
        <f>IF(DJ1590&lt;&gt;"",1,0)+IF(DK1590&lt;&gt;"",1,0)+IF(DM1590&lt;&gt;"",1,0)+IF(DO1590&lt;&gt;"",1,0)+IF(DP1590&lt;&gt;"",1,0)+IF(DQ1590&lt;&gt;"",1,0)+IF(DS1590&lt;&gt;"",1,0)+IF(DT1590&lt;&gt;"",1,0)+IF(DV1590&lt;&gt;"",1,0)+IF(DW1590&lt;&gt;"",1,0)+IF(DX1590&lt;&gt;"",1,0)+IF(DY1590&lt;&gt;"",1,0)+IF(DZ1590&lt;&gt;"",1,0)+IF(EB1590&lt;&gt;"",1,0)+IF(EC1590&lt;&gt;"",1,0)+IF(ED1590&lt;&gt;"",1,0)+IF(EG1590&lt;&gt;"",1,0)+IF(EH1590&lt;&gt;"",1,0)</f>
        <v/>
      </c>
      <c r="AZ1590">
        <f>IF(EH1590&lt;&gt;"",1,0)</f>
        <v/>
      </c>
      <c r="BB1590" t="inlineStr">
        <is>
          <t>WARREN-WARD 4</t>
        </is>
      </c>
      <c r="CA1590" t="inlineStr">
        <is>
          <t>X</t>
        </is>
      </c>
      <c r="CC1590" t="inlineStr">
        <is>
          <t>D</t>
        </is>
      </c>
      <c r="CG1590" t="inlineStr">
        <is>
          <t>X</t>
        </is>
      </c>
      <c r="CH1590" t="inlineStr">
        <is>
          <t>D</t>
        </is>
      </c>
      <c r="CK1590" t="inlineStr">
        <is>
          <t>X</t>
        </is>
      </c>
      <c r="CL1590" t="inlineStr">
        <is>
          <t>D</t>
        </is>
      </c>
      <c r="CN1590" t="inlineStr">
        <is>
          <t>X</t>
        </is>
      </c>
      <c r="CO1590" t="inlineStr">
        <is>
          <t>R</t>
        </is>
      </c>
      <c r="CP1590" t="inlineStr">
        <is>
          <t>X</t>
        </is>
      </c>
      <c r="CQ1590" t="inlineStr">
        <is>
          <t>D</t>
        </is>
      </c>
      <c r="CT1590" t="inlineStr">
        <is>
          <t>X</t>
        </is>
      </c>
      <c r="CU1590" t="inlineStr">
        <is>
          <t>D</t>
        </is>
      </c>
      <c r="CV1590" t="inlineStr">
        <is>
          <t>X</t>
        </is>
      </c>
      <c r="DC1590" t="inlineStr">
        <is>
          <t>X</t>
        </is>
      </c>
      <c r="DI1590" t="inlineStr">
        <is>
          <t>X</t>
        </is>
      </c>
      <c r="DL1590" t="inlineStr">
        <is>
          <t>X</t>
        </is>
      </c>
      <c r="DN1590" t="inlineStr">
        <is>
          <t>X</t>
        </is>
      </c>
      <c r="DT1590" t="inlineStr">
        <is>
          <t>D</t>
        </is>
      </c>
      <c r="DU1590" t="inlineStr">
        <is>
          <t>X</t>
        </is>
      </c>
      <c r="DW1590" t="inlineStr">
        <is>
          <t>D</t>
        </is>
      </c>
      <c r="DX1590" t="inlineStr">
        <is>
          <t>X</t>
        </is>
      </c>
      <c r="EA1590" t="inlineStr">
        <is>
          <t>X</t>
        </is>
      </c>
      <c r="ED1590" t="inlineStr">
        <is>
          <t>D</t>
        </is>
      </c>
      <c r="EF1590" t="inlineStr">
        <is>
          <t>X</t>
        </is>
      </c>
    </row>
    <row r="1591">
      <c r="A1591" t="inlineStr">
        <is>
          <t>OH0021211369</t>
        </is>
      </c>
      <c r="B1591" t="n">
        <v>78</v>
      </c>
      <c r="C1591" t="n">
        <v>377259</v>
      </c>
      <c r="D1591" t="inlineStr">
        <is>
          <t>TURSACK</t>
        </is>
      </c>
      <c r="E1591" t="inlineStr">
        <is>
          <t>KILYI</t>
        </is>
      </c>
      <c r="F1591">
        <f>CONCATENATE(D1591," ",LEFT(H1591,4),"T=",AU1591,"D=",AV1591,"R=",AW1591,"M=",AX1591,"L=",AY1591,"B=",AZ1591)</f>
        <v/>
      </c>
      <c r="G1591" t="inlineStr">
        <is>
          <t>JONAE</t>
        </is>
      </c>
      <c r="I1591" t="inlineStr">
        <is>
          <t>1992-09-02</t>
        </is>
      </c>
      <c r="J1591" t="inlineStr">
        <is>
          <t>2023-03-01</t>
        </is>
      </c>
      <c r="K1591" t="inlineStr">
        <is>
          <t>ACTIVE</t>
        </is>
      </c>
      <c r="M1591" t="inlineStr">
        <is>
          <t>342 MAHONING AVE NW</t>
        </is>
      </c>
      <c r="N1591">
        <f>RIGHT(M1591,LEN(M1591)-FIND(" ",M1591))</f>
        <v/>
      </c>
      <c r="O1591" t="inlineStr">
        <is>
          <t>APT C</t>
        </is>
      </c>
      <c r="P1591" t="inlineStr">
        <is>
          <t>WARREN</t>
        </is>
      </c>
      <c r="Q1591" t="inlineStr">
        <is>
          <t>OH</t>
        </is>
      </c>
      <c r="R1591" t="n">
        <v>44483</v>
      </c>
      <c r="AD1591" t="inlineStr">
        <is>
          <t>TRUMBULL CAREER &amp; TECH CENTER</t>
        </is>
      </c>
      <c r="AE1591" t="inlineStr">
        <is>
          <t>WARREN CITY</t>
        </is>
      </c>
      <c r="AF1591" t="inlineStr">
        <is>
          <t>WARREN CITY SD</t>
        </is>
      </c>
      <c r="AH1591" t="n">
        <v>14</v>
      </c>
      <c r="AI1591" t="n">
        <v>11</v>
      </c>
      <c r="AN1591" t="inlineStr">
        <is>
          <t>WARREN</t>
        </is>
      </c>
      <c r="AO1591" t="inlineStr">
        <is>
          <t>WARREN CITY 4D</t>
        </is>
      </c>
      <c r="AP1591" t="inlineStr">
        <is>
          <t>78-P-ADL</t>
        </is>
      </c>
      <c r="AQ1591" t="n">
        <v>9</v>
      </c>
      <c r="AR1591" t="n">
        <v>64</v>
      </c>
      <c r="AS1591" t="n">
        <v>32</v>
      </c>
      <c r="AU1591">
        <f>COUNTA($BA$1591:$EH$1591)</f>
        <v/>
      </c>
      <c r="AV1591">
        <f>COUNTIF($BA$1591:$EH$1591,"D")</f>
        <v/>
      </c>
      <c r="AW1591">
        <f>COUNTIF($BA$1591:$EH$1591,"R")</f>
        <v/>
      </c>
      <c r="AX1591">
        <f>IF(BN1591="D",1,0)+IF(BO1591="D",1,0)+IF(BT1591="D",1,0)+IF(BU1591="D",1,0)+IF(BW1591="D",1,0)+IF(CC1591="D",1,0)+IF(CD1591="D",1,0)+IF(CE1591="D",1,0)+IF(CF1591="D",1,0)+IF(CL1591="D",1,0)+IF(CM1591="D",1,0)+IF(CQ1591="D",1,0)+IF(CR1591="D",1,0)+IF(CS1591="D",1,0)+IF(CW1591="D",1,0)+IF(CX1591="D",1,0)+IF(DD1591="D",1,0)+IF(DE1591="D",1,0)+IF(DJ1591="D",1,0)+IF(DK1591="D",1,0)+IF(DO1591="D",1,0)+IF(DP1591="D",1,0)+IF(DQ1591="D",1,0)+IF(DW1591="D",1,0)+IF(DZ1591="D",1,0)+IF(EH1591="D",1,0)</f>
        <v/>
      </c>
      <c r="AY1591">
        <f>IF(DJ1591&lt;&gt;"",1,0)+IF(DK1591&lt;&gt;"",1,0)+IF(DM1591&lt;&gt;"",1,0)+IF(DO1591&lt;&gt;"",1,0)+IF(DP1591&lt;&gt;"",1,0)+IF(DQ1591&lt;&gt;"",1,0)+IF(DS1591&lt;&gt;"",1,0)+IF(DT1591&lt;&gt;"",1,0)+IF(DV1591&lt;&gt;"",1,0)+IF(DW1591&lt;&gt;"",1,0)+IF(DX1591&lt;&gt;"",1,0)+IF(DY1591&lt;&gt;"",1,0)+IF(DZ1591&lt;&gt;"",1,0)+IF(EB1591&lt;&gt;"",1,0)+IF(EC1591&lt;&gt;"",1,0)+IF(ED1591&lt;&gt;"",1,0)+IF(EG1591&lt;&gt;"",1,0)+IF(EH1591&lt;&gt;"",1,0)</f>
        <v/>
      </c>
      <c r="AZ1591">
        <f>IF(EH1591&lt;&gt;"",1,0)</f>
        <v/>
      </c>
      <c r="BB1591" t="inlineStr">
        <is>
          <t>WARREN-WARD 4</t>
        </is>
      </c>
      <c r="CP1591" t="inlineStr">
        <is>
          <t>X</t>
        </is>
      </c>
      <c r="CZ1591" t="inlineStr">
        <is>
          <t>D</t>
        </is>
      </c>
      <c r="DC1591" t="inlineStr">
        <is>
          <t>X</t>
        </is>
      </c>
      <c r="EF1591" t="inlineStr">
        <is>
          <t>X</t>
        </is>
      </c>
    </row>
    <row r="1592">
      <c r="A1592" t="inlineStr">
        <is>
          <t>OH0018956076</t>
        </is>
      </c>
      <c r="B1592" t="n">
        <v>78</v>
      </c>
      <c r="C1592" t="n">
        <v>346158</v>
      </c>
      <c r="D1592" t="inlineStr">
        <is>
          <t>GRAY</t>
        </is>
      </c>
      <c r="E1592" t="inlineStr">
        <is>
          <t>LORI</t>
        </is>
      </c>
      <c r="F1592">
        <f>CONCATENATE(D1592," ",LEFT(H1592,4),"T=",AU1592,"D=",AV1592,"R=",AW1592,"M=",AX1592,"L=",AY1592,"B=",AZ1592)</f>
        <v/>
      </c>
      <c r="G1592" t="inlineStr">
        <is>
          <t>ANN</t>
        </is>
      </c>
      <c r="I1592" t="inlineStr">
        <is>
          <t>1976-10-12</t>
        </is>
      </c>
      <c r="J1592" t="inlineStr">
        <is>
          <t>2016-06-28</t>
        </is>
      </c>
      <c r="K1592" t="inlineStr">
        <is>
          <t>CONFIRMATION</t>
        </is>
      </c>
      <c r="M1592" t="inlineStr">
        <is>
          <t>585 FAIRFIELD AVE NE</t>
        </is>
      </c>
      <c r="N1592">
        <f>RIGHT(M1592,LEN(M1592)-FIND(" ",M1592))</f>
        <v/>
      </c>
      <c r="P1592" t="inlineStr">
        <is>
          <t>WARREN</t>
        </is>
      </c>
      <c r="Q1592" t="inlineStr">
        <is>
          <t>OH</t>
        </is>
      </c>
      <c r="R1592" t="n">
        <v>44483</v>
      </c>
      <c r="AD1592" t="inlineStr">
        <is>
          <t>TRUMBULL CAREER &amp; TECH CENTER</t>
        </is>
      </c>
      <c r="AE1592" t="inlineStr">
        <is>
          <t>WARREN CITY</t>
        </is>
      </c>
      <c r="AF1592" t="inlineStr">
        <is>
          <t>WARREN CITY SD</t>
        </is>
      </c>
      <c r="AH1592" t="n">
        <v>14</v>
      </c>
      <c r="AI1592" t="n">
        <v>11</v>
      </c>
      <c r="AN1592" t="inlineStr">
        <is>
          <t>WARREN</t>
        </is>
      </c>
      <c r="AO1592" t="inlineStr">
        <is>
          <t>WARREN CITY 4D</t>
        </is>
      </c>
      <c r="AP1592" t="inlineStr">
        <is>
          <t>78-P-ADL</t>
        </is>
      </c>
      <c r="AQ1592" t="n">
        <v>9</v>
      </c>
      <c r="AR1592" t="n">
        <v>64</v>
      </c>
      <c r="AS1592" t="n">
        <v>32</v>
      </c>
      <c r="AU1592">
        <f>COUNTA($BA$1592:$EH$1592)</f>
        <v/>
      </c>
      <c r="AV1592">
        <f>COUNTIF($BA$1592:$EH$1592,"D")</f>
        <v/>
      </c>
      <c r="AW1592">
        <f>COUNTIF($BA$1592:$EH$1592,"R")</f>
        <v/>
      </c>
      <c r="AX1592">
        <f>IF(BN1592="D",1,0)+IF(BO1592="D",1,0)+IF(BT1592="D",1,0)+IF(BU1592="D",1,0)+IF(BW1592="D",1,0)+IF(CC1592="D",1,0)+IF(CD1592="D",1,0)+IF(CE1592="D",1,0)+IF(CF1592="D",1,0)+IF(CL1592="D",1,0)+IF(CM1592="D",1,0)+IF(CQ1592="D",1,0)+IF(CR1592="D",1,0)+IF(CS1592="D",1,0)+IF(CW1592="D",1,0)+IF(CX1592="D",1,0)+IF(DD1592="D",1,0)+IF(DE1592="D",1,0)+IF(DJ1592="D",1,0)+IF(DK1592="D",1,0)+IF(DO1592="D",1,0)+IF(DP1592="D",1,0)+IF(DQ1592="D",1,0)+IF(DW1592="D",1,0)+IF(DZ1592="D",1,0)+IF(EH1592="D",1,0)</f>
        <v/>
      </c>
      <c r="AY1592">
        <f>IF(DJ1592&lt;&gt;"",1,0)+IF(DK1592&lt;&gt;"",1,0)+IF(DM1592&lt;&gt;"",1,0)+IF(DO1592&lt;&gt;"",1,0)+IF(DP1592&lt;&gt;"",1,0)+IF(DQ1592&lt;&gt;"",1,0)+IF(DS1592&lt;&gt;"",1,0)+IF(DT1592&lt;&gt;"",1,0)+IF(DV1592&lt;&gt;"",1,0)+IF(DW1592&lt;&gt;"",1,0)+IF(DX1592&lt;&gt;"",1,0)+IF(DY1592&lt;&gt;"",1,0)+IF(DZ1592&lt;&gt;"",1,0)+IF(EB1592&lt;&gt;"",1,0)+IF(EC1592&lt;&gt;"",1,0)+IF(ED1592&lt;&gt;"",1,0)+IF(EG1592&lt;&gt;"",1,0)+IF(EH1592&lt;&gt;"",1,0)</f>
        <v/>
      </c>
      <c r="AZ1592">
        <f>IF(EH1592&lt;&gt;"",1,0)</f>
        <v/>
      </c>
      <c r="BB1592" t="inlineStr">
        <is>
          <t>WARREN-WARD 4</t>
        </is>
      </c>
      <c r="BY1592" t="inlineStr">
        <is>
          <t>D</t>
        </is>
      </c>
      <c r="CA1592" t="inlineStr">
        <is>
          <t>X</t>
        </is>
      </c>
      <c r="CG1592" t="inlineStr">
        <is>
          <t>X</t>
        </is>
      </c>
      <c r="CK1592" t="inlineStr">
        <is>
          <t>X</t>
        </is>
      </c>
      <c r="CP1592" t="inlineStr">
        <is>
          <t>X</t>
        </is>
      </c>
      <c r="CZ1592" t="inlineStr">
        <is>
          <t>D</t>
        </is>
      </c>
      <c r="DC1592" t="inlineStr">
        <is>
          <t>X</t>
        </is>
      </c>
    </row>
    <row r="1593">
      <c r="A1593" t="inlineStr">
        <is>
          <t>OH0023911850</t>
        </is>
      </c>
      <c r="B1593" t="n">
        <v>78</v>
      </c>
      <c r="C1593" t="n">
        <v>419803</v>
      </c>
      <c r="D1593" t="inlineStr">
        <is>
          <t>KRESEVICH</t>
        </is>
      </c>
      <c r="E1593" t="inlineStr">
        <is>
          <t>CARA</t>
        </is>
      </c>
      <c r="F1593">
        <f>CONCATENATE(D1593," ",LEFT(H1593,4),"T=",AU1593,"D=",AV1593,"R=",AW1593,"M=",AX1593,"L=",AY1593,"B=",AZ1593)</f>
        <v/>
      </c>
      <c r="G1593" t="inlineStr">
        <is>
          <t>L</t>
        </is>
      </c>
      <c r="I1593" t="inlineStr">
        <is>
          <t>1958-03-16</t>
        </is>
      </c>
      <c r="J1593" t="inlineStr">
        <is>
          <t>2016-09-04</t>
        </is>
      </c>
      <c r="K1593" t="inlineStr">
        <is>
          <t>CONFIRMATION</t>
        </is>
      </c>
      <c r="M1593" t="inlineStr">
        <is>
          <t>587 SIDELLS CT NE</t>
        </is>
      </c>
      <c r="N1593">
        <f>RIGHT(M1593,LEN(M1593)-FIND(" ",M1593))</f>
        <v/>
      </c>
      <c r="P1593" t="inlineStr">
        <is>
          <t>WARREN</t>
        </is>
      </c>
      <c r="Q1593" t="inlineStr">
        <is>
          <t>OH</t>
        </is>
      </c>
      <c r="R1593" t="n">
        <v>44483</v>
      </c>
      <c r="AD1593" t="inlineStr">
        <is>
          <t>TRUMBULL CAREER &amp; TECH CENTER</t>
        </is>
      </c>
      <c r="AE1593" t="inlineStr">
        <is>
          <t>WARREN CITY</t>
        </is>
      </c>
      <c r="AF1593" t="inlineStr">
        <is>
          <t>WARREN CITY SD</t>
        </is>
      </c>
      <c r="AH1593" t="n">
        <v>14</v>
      </c>
      <c r="AI1593" t="n">
        <v>11</v>
      </c>
      <c r="AN1593" t="inlineStr">
        <is>
          <t>WARREN</t>
        </is>
      </c>
      <c r="AO1593" t="inlineStr">
        <is>
          <t>WARREN CITY 4D</t>
        </is>
      </c>
      <c r="AP1593" t="inlineStr">
        <is>
          <t>78-P-ADL</t>
        </is>
      </c>
      <c r="AQ1593" t="n">
        <v>9</v>
      </c>
      <c r="AR1593" t="n">
        <v>64</v>
      </c>
      <c r="AS1593" t="n">
        <v>32</v>
      </c>
      <c r="AU1593">
        <f>COUNTA($BA$1593:$EH$1593)</f>
        <v/>
      </c>
      <c r="AV1593">
        <f>COUNTIF($BA$1593:$EH$1593,"D")</f>
        <v/>
      </c>
      <c r="AW1593">
        <f>COUNTIF($BA$1593:$EH$1593,"R")</f>
        <v/>
      </c>
      <c r="AX1593">
        <f>IF(BN1593="D",1,0)+IF(BO1593="D",1,0)+IF(BT1593="D",1,0)+IF(BU1593="D",1,0)+IF(BW1593="D",1,0)+IF(CC1593="D",1,0)+IF(CD1593="D",1,0)+IF(CE1593="D",1,0)+IF(CF1593="D",1,0)+IF(CL1593="D",1,0)+IF(CM1593="D",1,0)+IF(CQ1593="D",1,0)+IF(CR1593="D",1,0)+IF(CS1593="D",1,0)+IF(CW1593="D",1,0)+IF(CX1593="D",1,0)+IF(DD1593="D",1,0)+IF(DE1593="D",1,0)+IF(DJ1593="D",1,0)+IF(DK1593="D",1,0)+IF(DO1593="D",1,0)+IF(DP1593="D",1,0)+IF(DQ1593="D",1,0)+IF(DW1593="D",1,0)+IF(DZ1593="D",1,0)+IF(EH1593="D",1,0)</f>
        <v/>
      </c>
      <c r="AY1593">
        <f>IF(DJ1593&lt;&gt;"",1,0)+IF(DK1593&lt;&gt;"",1,0)+IF(DM1593&lt;&gt;"",1,0)+IF(DO1593&lt;&gt;"",1,0)+IF(DP1593&lt;&gt;"",1,0)+IF(DQ1593&lt;&gt;"",1,0)+IF(DS1593&lt;&gt;"",1,0)+IF(DT1593&lt;&gt;"",1,0)+IF(DV1593&lt;&gt;"",1,0)+IF(DW1593&lt;&gt;"",1,0)+IF(DX1593&lt;&gt;"",1,0)+IF(DY1593&lt;&gt;"",1,0)+IF(DZ1593&lt;&gt;"",1,0)+IF(EB1593&lt;&gt;"",1,0)+IF(EC1593&lt;&gt;"",1,0)+IF(ED1593&lt;&gt;"",1,0)+IF(EG1593&lt;&gt;"",1,0)+IF(EH1593&lt;&gt;"",1,0)</f>
        <v/>
      </c>
      <c r="AZ1593">
        <f>IF(EH1593&lt;&gt;"",1,0)</f>
        <v/>
      </c>
      <c r="BB1593" t="inlineStr">
        <is>
          <t>WARREN-WARD 4</t>
        </is>
      </c>
      <c r="DC1593" t="inlineStr">
        <is>
          <t>X</t>
        </is>
      </c>
      <c r="DI1593" t="inlineStr">
        <is>
          <t>X</t>
        </is>
      </c>
      <c r="DM1593" t="inlineStr">
        <is>
          <t>D</t>
        </is>
      </c>
      <c r="DN1593" t="inlineStr">
        <is>
          <t>X</t>
        </is>
      </c>
    </row>
    <row r="1594">
      <c r="A1594" t="inlineStr">
        <is>
          <t>OH0025378433</t>
        </is>
      </c>
      <c r="B1594" t="n">
        <v>78</v>
      </c>
      <c r="C1594" t="n">
        <v>443568</v>
      </c>
      <c r="D1594" t="inlineStr">
        <is>
          <t>HUDSON</t>
        </is>
      </c>
      <c r="E1594" t="inlineStr">
        <is>
          <t>TERRI</t>
        </is>
      </c>
      <c r="F1594">
        <f>CONCATENATE(D1594," ",LEFT(H1594,4),"T=",AU1594,"D=",AV1594,"R=",AW1594,"M=",AX1594,"L=",AY1594,"B=",AZ1594)</f>
        <v/>
      </c>
      <c r="G1594" t="inlineStr">
        <is>
          <t>JANAE</t>
        </is>
      </c>
      <c r="I1594" t="inlineStr">
        <is>
          <t>1999-01-15</t>
        </is>
      </c>
      <c r="J1594" t="inlineStr">
        <is>
          <t>2020-01-15</t>
        </is>
      </c>
      <c r="K1594" t="inlineStr">
        <is>
          <t>CONFIRMATION</t>
        </is>
      </c>
      <c r="M1594" t="inlineStr">
        <is>
          <t>446 LAMPHIER PL NE</t>
        </is>
      </c>
      <c r="N1594">
        <f>RIGHT(M1594,LEN(M1594)-FIND(" ",M1594))</f>
        <v/>
      </c>
      <c r="P1594" t="inlineStr">
        <is>
          <t>WARREN</t>
        </is>
      </c>
      <c r="Q1594" t="inlineStr">
        <is>
          <t>OH</t>
        </is>
      </c>
      <c r="R1594" t="n">
        <v>44483</v>
      </c>
      <c r="AD1594" t="inlineStr">
        <is>
          <t>TRUMBULL CAREER &amp; TECH CENTER</t>
        </is>
      </c>
      <c r="AE1594" t="inlineStr">
        <is>
          <t>WARREN CITY</t>
        </is>
      </c>
      <c r="AF1594" t="inlineStr">
        <is>
          <t>WARREN CITY SD</t>
        </is>
      </c>
      <c r="AH1594" t="n">
        <v>14</v>
      </c>
      <c r="AI1594" t="n">
        <v>11</v>
      </c>
      <c r="AN1594" t="inlineStr">
        <is>
          <t>WARREN</t>
        </is>
      </c>
      <c r="AO1594" t="inlineStr">
        <is>
          <t>WARREN CITY 4D</t>
        </is>
      </c>
      <c r="AP1594" t="inlineStr">
        <is>
          <t>78-P-ADL</t>
        </is>
      </c>
      <c r="AQ1594" t="n">
        <v>9</v>
      </c>
      <c r="AR1594" t="n">
        <v>64</v>
      </c>
      <c r="AS1594" t="n">
        <v>32</v>
      </c>
      <c r="AU1594">
        <f>COUNTA($BA$1594:$EH$1594)</f>
        <v/>
      </c>
      <c r="AV1594">
        <f>COUNTIF($BA$1594:$EH$1594,"D")</f>
        <v/>
      </c>
      <c r="AW1594">
        <f>COUNTIF($BA$1594:$EH$1594,"R")</f>
        <v/>
      </c>
      <c r="AX1594">
        <f>IF(BN1594="D",1,0)+IF(BO1594="D",1,0)+IF(BT1594="D",1,0)+IF(BU1594="D",1,0)+IF(BW1594="D",1,0)+IF(CC1594="D",1,0)+IF(CD1594="D",1,0)+IF(CE1594="D",1,0)+IF(CF1594="D",1,0)+IF(CL1594="D",1,0)+IF(CM1594="D",1,0)+IF(CQ1594="D",1,0)+IF(CR1594="D",1,0)+IF(CS1594="D",1,0)+IF(CW1594="D",1,0)+IF(CX1594="D",1,0)+IF(DD1594="D",1,0)+IF(DE1594="D",1,0)+IF(DJ1594="D",1,0)+IF(DK1594="D",1,0)+IF(DO1594="D",1,0)+IF(DP1594="D",1,0)+IF(DQ1594="D",1,0)+IF(DW1594="D",1,0)+IF(DZ1594="D",1,0)+IF(EH1594="D",1,0)</f>
        <v/>
      </c>
      <c r="AY1594">
        <f>IF(DJ1594&lt;&gt;"",1,0)+IF(DK1594&lt;&gt;"",1,0)+IF(DM1594&lt;&gt;"",1,0)+IF(DO1594&lt;&gt;"",1,0)+IF(DP1594&lt;&gt;"",1,0)+IF(DQ1594&lt;&gt;"",1,0)+IF(DS1594&lt;&gt;"",1,0)+IF(DT1594&lt;&gt;"",1,0)+IF(DV1594&lt;&gt;"",1,0)+IF(DW1594&lt;&gt;"",1,0)+IF(DX1594&lt;&gt;"",1,0)+IF(DY1594&lt;&gt;"",1,0)+IF(DZ1594&lt;&gt;"",1,0)+IF(EB1594&lt;&gt;"",1,0)+IF(EC1594&lt;&gt;"",1,0)+IF(ED1594&lt;&gt;"",1,0)+IF(EG1594&lt;&gt;"",1,0)+IF(EH1594&lt;&gt;"",1,0)</f>
        <v/>
      </c>
      <c r="AZ1594">
        <f>IF(EH1594&lt;&gt;"",1,0)</f>
        <v/>
      </c>
      <c r="BB1594" t="inlineStr">
        <is>
          <t>WARREN-WARD 4</t>
        </is>
      </c>
    </row>
    <row r="1595">
      <c r="A1595" t="inlineStr">
        <is>
          <t>OH0023912488</t>
        </is>
      </c>
      <c r="B1595" t="n">
        <v>78</v>
      </c>
      <c r="C1595" t="n">
        <v>419819</v>
      </c>
      <c r="D1595" t="inlineStr">
        <is>
          <t>BARR</t>
        </is>
      </c>
      <c r="E1595" t="inlineStr">
        <is>
          <t>FREDERICK</t>
        </is>
      </c>
      <c r="F1595">
        <f>CONCATENATE(D1595," ",LEFT(H1595,4),"T=",AU1595,"D=",AV1595,"R=",AW1595,"M=",AX1595,"L=",AY1595,"B=",AZ1595)</f>
        <v/>
      </c>
      <c r="G1595" t="inlineStr">
        <is>
          <t>A</t>
        </is>
      </c>
      <c r="I1595" t="inlineStr">
        <is>
          <t>1962-10-25</t>
        </is>
      </c>
      <c r="J1595" t="inlineStr">
        <is>
          <t>2016-09-06</t>
        </is>
      </c>
      <c r="K1595" t="inlineStr">
        <is>
          <t>CONFIRMATION</t>
        </is>
      </c>
      <c r="M1595" t="inlineStr">
        <is>
          <t>179 LINDEN AVE NE</t>
        </is>
      </c>
      <c r="N1595">
        <f>RIGHT(M1595,LEN(M1595)-FIND(" ",M1595))</f>
        <v/>
      </c>
      <c r="P1595" t="inlineStr">
        <is>
          <t>WARREN</t>
        </is>
      </c>
      <c r="Q1595" t="inlineStr">
        <is>
          <t>OH</t>
        </is>
      </c>
      <c r="R1595" t="n">
        <v>44483</v>
      </c>
      <c r="AD1595" t="inlineStr">
        <is>
          <t>TRUMBULL CAREER &amp; TECH CENTER</t>
        </is>
      </c>
      <c r="AE1595" t="inlineStr">
        <is>
          <t>WARREN CITY</t>
        </is>
      </c>
      <c r="AF1595" t="inlineStr">
        <is>
          <t>WARREN CITY SD</t>
        </is>
      </c>
      <c r="AH1595" t="n">
        <v>14</v>
      </c>
      <c r="AI1595" t="n">
        <v>11</v>
      </c>
      <c r="AN1595" t="inlineStr">
        <is>
          <t>WARREN</t>
        </is>
      </c>
      <c r="AO1595" t="inlineStr">
        <is>
          <t>WARREN CITY 4D</t>
        </is>
      </c>
      <c r="AP1595" t="inlineStr">
        <is>
          <t>78-P-ADL</t>
        </is>
      </c>
      <c r="AQ1595" t="n">
        <v>9</v>
      </c>
      <c r="AR1595" t="n">
        <v>64</v>
      </c>
      <c r="AS1595" t="n">
        <v>32</v>
      </c>
      <c r="AU1595">
        <f>COUNTA($BA$1595:$EH$1595)</f>
        <v/>
      </c>
      <c r="AV1595">
        <f>COUNTIF($BA$1595:$EH$1595,"D")</f>
        <v/>
      </c>
      <c r="AW1595">
        <f>COUNTIF($BA$1595:$EH$1595,"R")</f>
        <v/>
      </c>
      <c r="AX1595">
        <f>IF(BN1595="D",1,0)+IF(BO1595="D",1,0)+IF(BT1595="D",1,0)+IF(BU1595="D",1,0)+IF(BW1595="D",1,0)+IF(CC1595="D",1,0)+IF(CD1595="D",1,0)+IF(CE1595="D",1,0)+IF(CF1595="D",1,0)+IF(CL1595="D",1,0)+IF(CM1595="D",1,0)+IF(CQ1595="D",1,0)+IF(CR1595="D",1,0)+IF(CS1595="D",1,0)+IF(CW1595="D",1,0)+IF(CX1595="D",1,0)+IF(DD1595="D",1,0)+IF(DE1595="D",1,0)+IF(DJ1595="D",1,0)+IF(DK1595="D",1,0)+IF(DO1595="D",1,0)+IF(DP1595="D",1,0)+IF(DQ1595="D",1,0)+IF(DW1595="D",1,0)+IF(DZ1595="D",1,0)+IF(EH1595="D",1,0)</f>
        <v/>
      </c>
      <c r="AY1595">
        <f>IF(DJ1595&lt;&gt;"",1,0)+IF(DK1595&lt;&gt;"",1,0)+IF(DM1595&lt;&gt;"",1,0)+IF(DO1595&lt;&gt;"",1,0)+IF(DP1595&lt;&gt;"",1,0)+IF(DQ1595&lt;&gt;"",1,0)+IF(DS1595&lt;&gt;"",1,0)+IF(DT1595&lt;&gt;"",1,0)+IF(DV1595&lt;&gt;"",1,0)+IF(DW1595&lt;&gt;"",1,0)+IF(DX1595&lt;&gt;"",1,0)+IF(DY1595&lt;&gt;"",1,0)+IF(DZ1595&lt;&gt;"",1,0)+IF(EB1595&lt;&gt;"",1,0)+IF(EC1595&lt;&gt;"",1,0)+IF(ED1595&lt;&gt;"",1,0)+IF(EG1595&lt;&gt;"",1,0)+IF(EH1595&lt;&gt;"",1,0)</f>
        <v/>
      </c>
      <c r="AZ1595">
        <f>IF(EH1595&lt;&gt;"",1,0)</f>
        <v/>
      </c>
      <c r="BB1595" t="inlineStr">
        <is>
          <t>WARREN-WARD 4</t>
        </is>
      </c>
    </row>
    <row r="1596">
      <c r="A1596" t="inlineStr">
        <is>
          <t>OH0015768768</t>
        </is>
      </c>
      <c r="B1596" t="n">
        <v>78</v>
      </c>
      <c r="C1596" t="n">
        <v>256220</v>
      </c>
      <c r="D1596" t="inlineStr">
        <is>
          <t>LAWRENCE</t>
        </is>
      </c>
      <c r="E1596" t="inlineStr">
        <is>
          <t>JOSEPHINE</t>
        </is>
      </c>
      <c r="F1596">
        <f>CONCATENATE(D1596," ",LEFT(H1596,4),"T=",AU1596,"D=",AV1596,"R=",AW1596,"M=",AX1596,"L=",AY1596,"B=",AZ1596)</f>
        <v/>
      </c>
      <c r="G1596" t="inlineStr">
        <is>
          <t>A</t>
        </is>
      </c>
      <c r="I1596" t="inlineStr">
        <is>
          <t>1942-10-27</t>
        </is>
      </c>
      <c r="J1596" t="inlineStr">
        <is>
          <t>1995-01-06</t>
        </is>
      </c>
      <c r="K1596" t="inlineStr">
        <is>
          <t>ACTIVE</t>
        </is>
      </c>
      <c r="M1596" t="inlineStr">
        <is>
          <t>160 E MARKET ST</t>
        </is>
      </c>
      <c r="N1596">
        <f>RIGHT(M1596,LEN(M1596)-FIND(" ",M1596))</f>
        <v/>
      </c>
      <c r="O1596" t="inlineStr">
        <is>
          <t>STE 250</t>
        </is>
      </c>
      <c r="P1596" t="inlineStr">
        <is>
          <t>WARREN</t>
        </is>
      </c>
      <c r="Q1596" t="inlineStr">
        <is>
          <t>OH</t>
        </is>
      </c>
      <c r="R1596" t="n">
        <v>44481</v>
      </c>
      <c r="AD1596" t="inlineStr">
        <is>
          <t>TRUMBULL CAREER &amp; TECH CENTER</t>
        </is>
      </c>
      <c r="AE1596" t="inlineStr">
        <is>
          <t>WARREN CITY</t>
        </is>
      </c>
      <c r="AF1596" t="inlineStr">
        <is>
          <t>WARREN CITY SD</t>
        </is>
      </c>
      <c r="AH1596" t="n">
        <v>14</v>
      </c>
      <c r="AI1596" t="n">
        <v>11</v>
      </c>
      <c r="AN1596" t="inlineStr">
        <is>
          <t>WARREN</t>
        </is>
      </c>
      <c r="AO1596" t="inlineStr">
        <is>
          <t>WARREN CITY 4D</t>
        </is>
      </c>
      <c r="AP1596" t="inlineStr">
        <is>
          <t>78-P-ADL</t>
        </is>
      </c>
      <c r="AQ1596" t="n">
        <v>9</v>
      </c>
      <c r="AR1596" t="n">
        <v>64</v>
      </c>
      <c r="AS1596" t="n">
        <v>32</v>
      </c>
      <c r="AU1596">
        <f>COUNTA($BA$1596:$EH$1596)</f>
        <v/>
      </c>
      <c r="AV1596">
        <f>COUNTIF($BA$1596:$EH$1596,"D")</f>
        <v/>
      </c>
      <c r="AW1596">
        <f>COUNTIF($BA$1596:$EH$1596,"R")</f>
        <v/>
      </c>
      <c r="AX1596">
        <f>IF(BN1596="D",1,0)+IF(BO1596="D",1,0)+IF(BT1596="D",1,0)+IF(BU1596="D",1,0)+IF(BW1596="D",1,0)+IF(CC1596="D",1,0)+IF(CD1596="D",1,0)+IF(CE1596="D",1,0)+IF(CF1596="D",1,0)+IF(CL1596="D",1,0)+IF(CM1596="D",1,0)+IF(CQ1596="D",1,0)+IF(CR1596="D",1,0)+IF(CS1596="D",1,0)+IF(CW1596="D",1,0)+IF(CX1596="D",1,0)+IF(DD1596="D",1,0)+IF(DE1596="D",1,0)+IF(DJ1596="D",1,0)+IF(DK1596="D",1,0)+IF(DO1596="D",1,0)+IF(DP1596="D",1,0)+IF(DQ1596="D",1,0)+IF(DW1596="D",1,0)+IF(DZ1596="D",1,0)+IF(EH1596="D",1,0)</f>
        <v/>
      </c>
      <c r="AY1596">
        <f>IF(DJ1596&lt;&gt;"",1,0)+IF(DK1596&lt;&gt;"",1,0)+IF(DM1596&lt;&gt;"",1,0)+IF(DO1596&lt;&gt;"",1,0)+IF(DP1596&lt;&gt;"",1,0)+IF(DQ1596&lt;&gt;"",1,0)+IF(DS1596&lt;&gt;"",1,0)+IF(DT1596&lt;&gt;"",1,0)+IF(DV1596&lt;&gt;"",1,0)+IF(DW1596&lt;&gt;"",1,0)+IF(DX1596&lt;&gt;"",1,0)+IF(DY1596&lt;&gt;"",1,0)+IF(DZ1596&lt;&gt;"",1,0)+IF(EB1596&lt;&gt;"",1,0)+IF(EC1596&lt;&gt;"",1,0)+IF(ED1596&lt;&gt;"",1,0)+IF(EG1596&lt;&gt;"",1,0)+IF(EH1596&lt;&gt;"",1,0)</f>
        <v/>
      </c>
      <c r="AZ1596">
        <f>IF(EH1596&lt;&gt;"",1,0)</f>
        <v/>
      </c>
      <c r="BB1596" t="inlineStr">
        <is>
          <t>WARREN-WARD 4</t>
        </is>
      </c>
      <c r="BC1596" t="inlineStr">
        <is>
          <t>X</t>
        </is>
      </c>
      <c r="BD1596" t="inlineStr">
        <is>
          <t>X</t>
        </is>
      </c>
      <c r="BE1596" t="inlineStr">
        <is>
          <t>X</t>
        </is>
      </c>
      <c r="BF1596" t="inlineStr">
        <is>
          <t>X</t>
        </is>
      </c>
      <c r="BH1596" t="inlineStr">
        <is>
          <t>X</t>
        </is>
      </c>
      <c r="BI1596" t="inlineStr">
        <is>
          <t>X</t>
        </is>
      </c>
      <c r="BJ1596" t="inlineStr">
        <is>
          <t>X</t>
        </is>
      </c>
      <c r="BK1596" t="inlineStr">
        <is>
          <t>X</t>
        </is>
      </c>
      <c r="BL1596" t="inlineStr">
        <is>
          <t>X</t>
        </is>
      </c>
      <c r="BP1596" t="inlineStr">
        <is>
          <t>X</t>
        </is>
      </c>
      <c r="BR1596" t="inlineStr">
        <is>
          <t>X</t>
        </is>
      </c>
      <c r="BS1596" t="inlineStr">
        <is>
          <t>X</t>
        </is>
      </c>
      <c r="BV1596" t="inlineStr">
        <is>
          <t>X</t>
        </is>
      </c>
      <c r="BY1596" t="inlineStr">
        <is>
          <t>D</t>
        </is>
      </c>
      <c r="CA1596" t="inlineStr">
        <is>
          <t>X</t>
        </is>
      </c>
      <c r="CC1596" t="inlineStr">
        <is>
          <t>D</t>
        </is>
      </c>
      <c r="CG1596" t="inlineStr">
        <is>
          <t>X</t>
        </is>
      </c>
      <c r="CK1596" t="inlineStr">
        <is>
          <t>X</t>
        </is>
      </c>
      <c r="CL1596" t="inlineStr">
        <is>
          <t>D</t>
        </is>
      </c>
      <c r="CN1596" t="inlineStr">
        <is>
          <t>X</t>
        </is>
      </c>
      <c r="CO1596" t="inlineStr">
        <is>
          <t>R</t>
        </is>
      </c>
      <c r="CP1596" t="inlineStr">
        <is>
          <t>X</t>
        </is>
      </c>
      <c r="CQ1596" t="inlineStr">
        <is>
          <t>D</t>
        </is>
      </c>
      <c r="CT1596" t="inlineStr">
        <is>
          <t>X</t>
        </is>
      </c>
      <c r="CV1596" t="inlineStr">
        <is>
          <t>X</t>
        </is>
      </c>
      <c r="CW1596" t="inlineStr">
        <is>
          <t>D</t>
        </is>
      </c>
      <c r="CY1596" t="inlineStr">
        <is>
          <t>X</t>
        </is>
      </c>
      <c r="CZ1596" t="inlineStr">
        <is>
          <t>R</t>
        </is>
      </c>
      <c r="DC1596" t="inlineStr">
        <is>
          <t>X</t>
        </is>
      </c>
      <c r="DF1596" t="inlineStr">
        <is>
          <t>X</t>
        </is>
      </c>
      <c r="DG1596" t="inlineStr">
        <is>
          <t>R</t>
        </is>
      </c>
      <c r="DI1596" t="inlineStr">
        <is>
          <t>X</t>
        </is>
      </c>
      <c r="DL1596" t="inlineStr">
        <is>
          <t>X</t>
        </is>
      </c>
      <c r="DN1596" t="inlineStr">
        <is>
          <t>X</t>
        </is>
      </c>
    </row>
    <row r="1597">
      <c r="A1597" t="inlineStr">
        <is>
          <t>OH0015732895</t>
        </is>
      </c>
      <c r="B1597" t="n">
        <v>78</v>
      </c>
      <c r="C1597" t="n">
        <v>306897</v>
      </c>
      <c r="D1597" t="inlineStr">
        <is>
          <t>OCONNELL</t>
        </is>
      </c>
      <c r="E1597" t="inlineStr">
        <is>
          <t>JOHN</t>
        </is>
      </c>
      <c r="F1597">
        <f>CONCATENATE(D1597," ",LEFT(H1597,4),"T=",AU1597,"D=",AV1597,"R=",AW1597,"M=",AX1597,"L=",AY1597,"B=",AZ1597)</f>
        <v/>
      </c>
      <c r="G1597" t="inlineStr">
        <is>
          <t>J</t>
        </is>
      </c>
      <c r="I1597" t="inlineStr">
        <is>
          <t>1961-10-28</t>
        </is>
      </c>
      <c r="J1597" t="inlineStr">
        <is>
          <t>2018-08-05</t>
        </is>
      </c>
      <c r="K1597" t="inlineStr">
        <is>
          <t>ACTIVE</t>
        </is>
      </c>
      <c r="M1597" t="inlineStr">
        <is>
          <t>182 HIGH ST NW</t>
        </is>
      </c>
      <c r="N1597">
        <f>RIGHT(M1597,LEN(M1597)-FIND(" ",M1597))</f>
        <v/>
      </c>
      <c r="O1597" t="inlineStr">
        <is>
          <t>APT 104</t>
        </is>
      </c>
      <c r="P1597" t="inlineStr">
        <is>
          <t>WARREN</t>
        </is>
      </c>
      <c r="Q1597" t="inlineStr">
        <is>
          <t>OH</t>
        </is>
      </c>
      <c r="R1597" t="n">
        <v>44481</v>
      </c>
      <c r="AD1597" t="inlineStr">
        <is>
          <t>TRUMBULL CAREER &amp; TECH CENTER</t>
        </is>
      </c>
      <c r="AE1597" t="inlineStr">
        <is>
          <t>WARREN CITY</t>
        </is>
      </c>
      <c r="AF1597" t="inlineStr">
        <is>
          <t>WARREN CITY SD</t>
        </is>
      </c>
      <c r="AH1597" t="n">
        <v>14</v>
      </c>
      <c r="AI1597" t="n">
        <v>11</v>
      </c>
      <c r="AN1597" t="inlineStr">
        <is>
          <t>WARREN</t>
        </is>
      </c>
      <c r="AO1597" t="inlineStr">
        <is>
          <t>WARREN CITY 4D</t>
        </is>
      </c>
      <c r="AP1597" t="inlineStr">
        <is>
          <t>78-P-ADL</t>
        </is>
      </c>
      <c r="AQ1597" t="n">
        <v>9</v>
      </c>
      <c r="AR1597" t="n">
        <v>64</v>
      </c>
      <c r="AS1597" t="n">
        <v>32</v>
      </c>
      <c r="AU1597">
        <f>COUNTA($BA$1597:$EH$1597)</f>
        <v/>
      </c>
      <c r="AV1597">
        <f>COUNTIF($BA$1597:$EH$1597,"D")</f>
        <v/>
      </c>
      <c r="AW1597">
        <f>COUNTIF($BA$1597:$EH$1597,"R")</f>
        <v/>
      </c>
      <c r="AX1597">
        <f>IF(BN1597="D",1,0)+IF(BO1597="D",1,0)+IF(BT1597="D",1,0)+IF(BU1597="D",1,0)+IF(BW1597="D",1,0)+IF(CC1597="D",1,0)+IF(CD1597="D",1,0)+IF(CE1597="D",1,0)+IF(CF1597="D",1,0)+IF(CL1597="D",1,0)+IF(CM1597="D",1,0)+IF(CQ1597="D",1,0)+IF(CR1597="D",1,0)+IF(CS1597="D",1,0)+IF(CW1597="D",1,0)+IF(CX1597="D",1,0)+IF(DD1597="D",1,0)+IF(DE1597="D",1,0)+IF(DJ1597="D",1,0)+IF(DK1597="D",1,0)+IF(DO1597="D",1,0)+IF(DP1597="D",1,0)+IF(DQ1597="D",1,0)+IF(DW1597="D",1,0)+IF(DZ1597="D",1,0)+IF(EH1597="D",1,0)</f>
        <v/>
      </c>
      <c r="AY1597">
        <f>IF(DJ1597&lt;&gt;"",1,0)+IF(DK1597&lt;&gt;"",1,0)+IF(DM1597&lt;&gt;"",1,0)+IF(DO1597&lt;&gt;"",1,0)+IF(DP1597&lt;&gt;"",1,0)+IF(DQ1597&lt;&gt;"",1,0)+IF(DS1597&lt;&gt;"",1,0)+IF(DT1597&lt;&gt;"",1,0)+IF(DV1597&lt;&gt;"",1,0)+IF(DW1597&lt;&gt;"",1,0)+IF(DX1597&lt;&gt;"",1,0)+IF(DY1597&lt;&gt;"",1,0)+IF(DZ1597&lt;&gt;"",1,0)+IF(EB1597&lt;&gt;"",1,0)+IF(EC1597&lt;&gt;"",1,0)+IF(ED1597&lt;&gt;"",1,0)+IF(EG1597&lt;&gt;"",1,0)+IF(EH1597&lt;&gt;"",1,0)</f>
        <v/>
      </c>
      <c r="AZ1597">
        <f>IF(EH1597&lt;&gt;"",1,0)</f>
        <v/>
      </c>
      <c r="BB1597" t="inlineStr">
        <is>
          <t>WARREN-WARD 4</t>
        </is>
      </c>
      <c r="BG1597" t="inlineStr">
        <is>
          <t>X</t>
        </is>
      </c>
      <c r="BH1597" t="inlineStr">
        <is>
          <t>X</t>
        </is>
      </c>
      <c r="BL1597" t="inlineStr">
        <is>
          <t>X</t>
        </is>
      </c>
      <c r="CA1597" t="inlineStr">
        <is>
          <t>X</t>
        </is>
      </c>
      <c r="CP1597" t="inlineStr">
        <is>
          <t>X</t>
        </is>
      </c>
      <c r="DN1597" t="inlineStr">
        <is>
          <t>X</t>
        </is>
      </c>
      <c r="DX1597" t="inlineStr">
        <is>
          <t>X</t>
        </is>
      </c>
      <c r="EF1597" t="inlineStr">
        <is>
          <t>X</t>
        </is>
      </c>
    </row>
    <row r="1598">
      <c r="A1598" t="inlineStr">
        <is>
          <t>OH0023912604</t>
        </is>
      </c>
      <c r="B1598" t="n">
        <v>78</v>
      </c>
      <c r="C1598" t="n">
        <v>419825</v>
      </c>
      <c r="D1598" t="inlineStr">
        <is>
          <t>KRESEVICH</t>
        </is>
      </c>
      <c r="E1598" t="inlineStr">
        <is>
          <t>MICHAEL</t>
        </is>
      </c>
      <c r="F1598">
        <f>CONCATENATE(D1598," ",LEFT(H1598,4),"T=",AU1598,"D=",AV1598,"R=",AW1598,"M=",AX1598,"L=",AY1598,"B=",AZ1598)</f>
        <v/>
      </c>
      <c r="G1598" t="inlineStr">
        <is>
          <t>ANTHONY</t>
        </is>
      </c>
      <c r="I1598" t="inlineStr">
        <is>
          <t>1952-10-18</t>
        </is>
      </c>
      <c r="J1598" t="inlineStr">
        <is>
          <t>2016-09-04</t>
        </is>
      </c>
      <c r="K1598" t="inlineStr">
        <is>
          <t>CONFIRMATION</t>
        </is>
      </c>
      <c r="M1598" t="inlineStr">
        <is>
          <t>587 SIDELLS CT NE</t>
        </is>
      </c>
      <c r="N1598">
        <f>RIGHT(M1598,LEN(M1598)-FIND(" ",M1598))</f>
        <v/>
      </c>
      <c r="P1598" t="inlineStr">
        <is>
          <t>WARREN</t>
        </is>
      </c>
      <c r="Q1598" t="inlineStr">
        <is>
          <t>OH</t>
        </is>
      </c>
      <c r="R1598" t="n">
        <v>44483</v>
      </c>
      <c r="AD1598" t="inlineStr">
        <is>
          <t>TRUMBULL CAREER &amp; TECH CENTER</t>
        </is>
      </c>
      <c r="AE1598" t="inlineStr">
        <is>
          <t>WARREN CITY</t>
        </is>
      </c>
      <c r="AF1598" t="inlineStr">
        <is>
          <t>WARREN CITY SD</t>
        </is>
      </c>
      <c r="AH1598" t="n">
        <v>14</v>
      </c>
      <c r="AI1598" t="n">
        <v>11</v>
      </c>
      <c r="AN1598" t="inlineStr">
        <is>
          <t>WARREN</t>
        </is>
      </c>
      <c r="AO1598" t="inlineStr">
        <is>
          <t>WARREN CITY 4D</t>
        </is>
      </c>
      <c r="AP1598" t="inlineStr">
        <is>
          <t>78-P-ADL</t>
        </is>
      </c>
      <c r="AQ1598" t="n">
        <v>9</v>
      </c>
      <c r="AR1598" t="n">
        <v>64</v>
      </c>
      <c r="AS1598" t="n">
        <v>32</v>
      </c>
      <c r="AU1598">
        <f>COUNTA($BA$1598:$EH$1598)</f>
        <v/>
      </c>
      <c r="AV1598">
        <f>COUNTIF($BA$1598:$EH$1598,"D")</f>
        <v/>
      </c>
      <c r="AW1598">
        <f>COUNTIF($BA$1598:$EH$1598,"R")</f>
        <v/>
      </c>
      <c r="AX1598">
        <f>IF(BN1598="D",1,0)+IF(BO1598="D",1,0)+IF(BT1598="D",1,0)+IF(BU1598="D",1,0)+IF(BW1598="D",1,0)+IF(CC1598="D",1,0)+IF(CD1598="D",1,0)+IF(CE1598="D",1,0)+IF(CF1598="D",1,0)+IF(CL1598="D",1,0)+IF(CM1598="D",1,0)+IF(CQ1598="D",1,0)+IF(CR1598="D",1,0)+IF(CS1598="D",1,0)+IF(CW1598="D",1,0)+IF(CX1598="D",1,0)+IF(DD1598="D",1,0)+IF(DE1598="D",1,0)+IF(DJ1598="D",1,0)+IF(DK1598="D",1,0)+IF(DO1598="D",1,0)+IF(DP1598="D",1,0)+IF(DQ1598="D",1,0)+IF(DW1598="D",1,0)+IF(DZ1598="D",1,0)+IF(EH1598="D",1,0)</f>
        <v/>
      </c>
      <c r="AY1598">
        <f>IF(DJ1598&lt;&gt;"",1,0)+IF(DK1598&lt;&gt;"",1,0)+IF(DM1598&lt;&gt;"",1,0)+IF(DO1598&lt;&gt;"",1,0)+IF(DP1598&lt;&gt;"",1,0)+IF(DQ1598&lt;&gt;"",1,0)+IF(DS1598&lt;&gt;"",1,0)+IF(DT1598&lt;&gt;"",1,0)+IF(DV1598&lt;&gt;"",1,0)+IF(DW1598&lt;&gt;"",1,0)+IF(DX1598&lt;&gt;"",1,0)+IF(DY1598&lt;&gt;"",1,0)+IF(DZ1598&lt;&gt;"",1,0)+IF(EB1598&lt;&gt;"",1,0)+IF(EC1598&lt;&gt;"",1,0)+IF(ED1598&lt;&gt;"",1,0)+IF(EG1598&lt;&gt;"",1,0)+IF(EH1598&lt;&gt;"",1,0)</f>
        <v/>
      </c>
      <c r="AZ1598">
        <f>IF(EH1598&lt;&gt;"",1,0)</f>
        <v/>
      </c>
      <c r="BB1598" t="inlineStr">
        <is>
          <t>WARREN-WARD 4</t>
        </is>
      </c>
      <c r="DC1598" t="inlineStr">
        <is>
          <t>X</t>
        </is>
      </c>
      <c r="DI1598" t="inlineStr">
        <is>
          <t>X</t>
        </is>
      </c>
      <c r="DM1598" t="inlineStr">
        <is>
          <t>D</t>
        </is>
      </c>
      <c r="DN1598" t="inlineStr">
        <is>
          <t>X</t>
        </is>
      </c>
    </row>
    <row r="1599">
      <c r="A1599" t="inlineStr">
        <is>
          <t>OH0026206020</t>
        </is>
      </c>
      <c r="B1599" t="n">
        <v>78</v>
      </c>
      <c r="C1599" t="n">
        <v>458225</v>
      </c>
      <c r="D1599" t="inlineStr">
        <is>
          <t>STIFFLER</t>
        </is>
      </c>
      <c r="E1599" t="inlineStr">
        <is>
          <t>MARY</t>
        </is>
      </c>
      <c r="F1599">
        <f>CONCATENATE(D1599," ",LEFT(H1599,4),"T=",AU1599,"D=",AV1599,"R=",AW1599,"M=",AX1599,"L=",AY1599,"B=",AZ1599)</f>
        <v/>
      </c>
      <c r="G1599" t="inlineStr">
        <is>
          <t>K</t>
        </is>
      </c>
      <c r="I1599" t="inlineStr">
        <is>
          <t>1976-05-28</t>
        </is>
      </c>
      <c r="J1599" t="inlineStr">
        <is>
          <t>2021-05-22</t>
        </is>
      </c>
      <c r="K1599" t="inlineStr">
        <is>
          <t>CONFIRMATION</t>
        </is>
      </c>
      <c r="M1599" t="inlineStr">
        <is>
          <t>147 LINDEN AVE NE</t>
        </is>
      </c>
      <c r="N1599">
        <f>RIGHT(M1599,LEN(M1599)-FIND(" ",M1599))</f>
        <v/>
      </c>
      <c r="P1599" t="inlineStr">
        <is>
          <t>WARREN</t>
        </is>
      </c>
      <c r="Q1599" t="inlineStr">
        <is>
          <t>OH</t>
        </is>
      </c>
      <c r="R1599" t="n">
        <v>44483</v>
      </c>
      <c r="AD1599" t="inlineStr">
        <is>
          <t>TRUMBULL CAREER &amp; TECH CENTER</t>
        </is>
      </c>
      <c r="AE1599" t="inlineStr">
        <is>
          <t>WARREN CITY</t>
        </is>
      </c>
      <c r="AF1599" t="inlineStr">
        <is>
          <t>WARREN CITY SD</t>
        </is>
      </c>
      <c r="AH1599" t="n">
        <v>14</v>
      </c>
      <c r="AI1599" t="n">
        <v>11</v>
      </c>
      <c r="AN1599" t="inlineStr">
        <is>
          <t>WARREN</t>
        </is>
      </c>
      <c r="AO1599" t="inlineStr">
        <is>
          <t>WARREN CITY 4D</t>
        </is>
      </c>
      <c r="AP1599" t="inlineStr">
        <is>
          <t>78-P-ADL</t>
        </is>
      </c>
      <c r="AQ1599" t="n">
        <v>9</v>
      </c>
      <c r="AR1599" t="n">
        <v>64</v>
      </c>
      <c r="AS1599" t="n">
        <v>32</v>
      </c>
      <c r="AU1599">
        <f>COUNTA($BA$1599:$EH$1599)</f>
        <v/>
      </c>
      <c r="AV1599">
        <f>COUNTIF($BA$1599:$EH$1599,"D")</f>
        <v/>
      </c>
      <c r="AW1599">
        <f>COUNTIF($BA$1599:$EH$1599,"R")</f>
        <v/>
      </c>
      <c r="AX1599">
        <f>IF(BN1599="D",1,0)+IF(BO1599="D",1,0)+IF(BT1599="D",1,0)+IF(BU1599="D",1,0)+IF(BW1599="D",1,0)+IF(CC1599="D",1,0)+IF(CD1599="D",1,0)+IF(CE1599="D",1,0)+IF(CF1599="D",1,0)+IF(CL1599="D",1,0)+IF(CM1599="D",1,0)+IF(CQ1599="D",1,0)+IF(CR1599="D",1,0)+IF(CS1599="D",1,0)+IF(CW1599="D",1,0)+IF(CX1599="D",1,0)+IF(DD1599="D",1,0)+IF(DE1599="D",1,0)+IF(DJ1599="D",1,0)+IF(DK1599="D",1,0)+IF(DO1599="D",1,0)+IF(DP1599="D",1,0)+IF(DQ1599="D",1,0)+IF(DW1599="D",1,0)+IF(DZ1599="D",1,0)+IF(EH1599="D",1,0)</f>
        <v/>
      </c>
      <c r="AY1599">
        <f>IF(DJ1599&lt;&gt;"",1,0)+IF(DK1599&lt;&gt;"",1,0)+IF(DM1599&lt;&gt;"",1,0)+IF(DO1599&lt;&gt;"",1,0)+IF(DP1599&lt;&gt;"",1,0)+IF(DQ1599&lt;&gt;"",1,0)+IF(DS1599&lt;&gt;"",1,0)+IF(DT1599&lt;&gt;"",1,0)+IF(DV1599&lt;&gt;"",1,0)+IF(DW1599&lt;&gt;"",1,0)+IF(DX1599&lt;&gt;"",1,0)+IF(DY1599&lt;&gt;"",1,0)+IF(DZ1599&lt;&gt;"",1,0)+IF(EB1599&lt;&gt;"",1,0)+IF(EC1599&lt;&gt;"",1,0)+IF(ED1599&lt;&gt;"",1,0)+IF(EG1599&lt;&gt;"",1,0)+IF(EH1599&lt;&gt;"",1,0)</f>
        <v/>
      </c>
      <c r="AZ1599">
        <f>IF(EH1599&lt;&gt;"",1,0)</f>
        <v/>
      </c>
      <c r="BB1599" t="inlineStr">
        <is>
          <t>WARREN-WARD 4</t>
        </is>
      </c>
      <c r="CA1599" t="inlineStr">
        <is>
          <t>X</t>
        </is>
      </c>
    </row>
    <row r="1600">
      <c r="A1600" t="inlineStr">
        <is>
          <t>OH0021853574</t>
        </is>
      </c>
      <c r="B1600" t="n">
        <v>78</v>
      </c>
      <c r="C1600" t="n">
        <v>388343</v>
      </c>
      <c r="D1600" t="inlineStr">
        <is>
          <t>ISER</t>
        </is>
      </c>
      <c r="E1600" t="inlineStr">
        <is>
          <t>AMBER</t>
        </is>
      </c>
      <c r="F1600">
        <f>CONCATENATE(D1600," ",LEFT(H1600,4),"T=",AU1600,"D=",AV1600,"R=",AW1600,"M=",AX1600,"L=",AY1600,"B=",AZ1600)</f>
        <v/>
      </c>
      <c r="G1600" t="inlineStr">
        <is>
          <t>D</t>
        </is>
      </c>
      <c r="I1600" t="inlineStr">
        <is>
          <t>1986-09-11</t>
        </is>
      </c>
      <c r="J1600" t="inlineStr">
        <is>
          <t>2015-06-02</t>
        </is>
      </c>
      <c r="K1600" t="inlineStr">
        <is>
          <t>ACTIVE</t>
        </is>
      </c>
      <c r="M1600" t="inlineStr">
        <is>
          <t>257 WASHINGTON ST NW</t>
        </is>
      </c>
      <c r="N1600">
        <f>RIGHT(M1600,LEN(M1600)-FIND(" ",M1600))</f>
        <v/>
      </c>
      <c r="O1600" t="inlineStr">
        <is>
          <t>APT 3</t>
        </is>
      </c>
      <c r="P1600" t="inlineStr">
        <is>
          <t>WARREN</t>
        </is>
      </c>
      <c r="Q1600" t="inlineStr">
        <is>
          <t>OH</t>
        </is>
      </c>
      <c r="R1600" t="n">
        <v>44483</v>
      </c>
      <c r="AD1600" t="inlineStr">
        <is>
          <t>TRUMBULL CAREER &amp; TECH CENTER</t>
        </is>
      </c>
      <c r="AE1600" t="inlineStr">
        <is>
          <t>WARREN CITY</t>
        </is>
      </c>
      <c r="AF1600" t="inlineStr">
        <is>
          <t>WARREN CITY SD</t>
        </is>
      </c>
      <c r="AH1600" t="n">
        <v>14</v>
      </c>
      <c r="AI1600" t="n">
        <v>11</v>
      </c>
      <c r="AN1600" t="inlineStr">
        <is>
          <t>WARREN</t>
        </is>
      </c>
      <c r="AO1600" t="inlineStr">
        <is>
          <t>WARREN CITY 4D</t>
        </is>
      </c>
      <c r="AP1600" t="inlineStr">
        <is>
          <t>78-P-ADL</t>
        </is>
      </c>
      <c r="AQ1600" t="n">
        <v>9</v>
      </c>
      <c r="AR1600" t="n">
        <v>64</v>
      </c>
      <c r="AS1600" t="n">
        <v>32</v>
      </c>
      <c r="AU1600">
        <f>COUNTA($BA$1600:$EH$1600)</f>
        <v/>
      </c>
      <c r="AV1600">
        <f>COUNTIF($BA$1600:$EH$1600,"D")</f>
        <v/>
      </c>
      <c r="AW1600">
        <f>COUNTIF($BA$1600:$EH$1600,"R")</f>
        <v/>
      </c>
      <c r="AX1600">
        <f>IF(BN1600="D",1,0)+IF(BO1600="D",1,0)+IF(BT1600="D",1,0)+IF(BU1600="D",1,0)+IF(BW1600="D",1,0)+IF(CC1600="D",1,0)+IF(CD1600="D",1,0)+IF(CE1600="D",1,0)+IF(CF1600="D",1,0)+IF(CL1600="D",1,0)+IF(CM1600="D",1,0)+IF(CQ1600="D",1,0)+IF(CR1600="D",1,0)+IF(CS1600="D",1,0)+IF(CW1600="D",1,0)+IF(CX1600="D",1,0)+IF(DD1600="D",1,0)+IF(DE1600="D",1,0)+IF(DJ1600="D",1,0)+IF(DK1600="D",1,0)+IF(DO1600="D",1,0)+IF(DP1600="D",1,0)+IF(DQ1600="D",1,0)+IF(DW1600="D",1,0)+IF(DZ1600="D",1,0)+IF(EH1600="D",1,0)</f>
        <v/>
      </c>
      <c r="AY1600">
        <f>IF(DJ1600&lt;&gt;"",1,0)+IF(DK1600&lt;&gt;"",1,0)+IF(DM1600&lt;&gt;"",1,0)+IF(DO1600&lt;&gt;"",1,0)+IF(DP1600&lt;&gt;"",1,0)+IF(DQ1600&lt;&gt;"",1,0)+IF(DS1600&lt;&gt;"",1,0)+IF(DT1600&lt;&gt;"",1,0)+IF(DV1600&lt;&gt;"",1,0)+IF(DW1600&lt;&gt;"",1,0)+IF(DX1600&lt;&gt;"",1,0)+IF(DY1600&lt;&gt;"",1,0)+IF(DZ1600&lt;&gt;"",1,0)+IF(EB1600&lt;&gt;"",1,0)+IF(EC1600&lt;&gt;"",1,0)+IF(ED1600&lt;&gt;"",1,0)+IF(EG1600&lt;&gt;"",1,0)+IF(EH1600&lt;&gt;"",1,0)</f>
        <v/>
      </c>
      <c r="AZ1600">
        <f>IF(EH1600&lt;&gt;"",1,0)</f>
        <v/>
      </c>
      <c r="BB1600" t="inlineStr">
        <is>
          <t>WARREN-WARD 4</t>
        </is>
      </c>
      <c r="CP1600" t="inlineStr">
        <is>
          <t>X</t>
        </is>
      </c>
    </row>
    <row r="1601">
      <c r="A1601" t="inlineStr">
        <is>
          <t>OH0019048947</t>
        </is>
      </c>
      <c r="B1601" t="n">
        <v>78</v>
      </c>
      <c r="C1601" t="n">
        <v>348440</v>
      </c>
      <c r="D1601" t="inlineStr">
        <is>
          <t>HALLAS</t>
        </is>
      </c>
      <c r="E1601" t="inlineStr">
        <is>
          <t>MATHEW</t>
        </is>
      </c>
      <c r="F1601">
        <f>CONCATENATE(D1601," ",LEFT(H1601,4),"T=",AU1601,"D=",AV1601,"R=",AW1601,"M=",AX1601,"L=",AY1601,"B=",AZ1601)</f>
        <v/>
      </c>
      <c r="I1601" t="inlineStr">
        <is>
          <t>1988-12-17</t>
        </is>
      </c>
      <c r="J1601" t="inlineStr">
        <is>
          <t>2007-01-04</t>
        </is>
      </c>
      <c r="K1601" t="inlineStr">
        <is>
          <t>ACTIVE</t>
        </is>
      </c>
      <c r="M1601" t="inlineStr">
        <is>
          <t>453 VINE AVE NE</t>
        </is>
      </c>
      <c r="N1601">
        <f>RIGHT(M1601,LEN(M1601)-FIND(" ",M1601))</f>
        <v/>
      </c>
      <c r="P1601" t="inlineStr">
        <is>
          <t>WARREN</t>
        </is>
      </c>
      <c r="Q1601" t="inlineStr">
        <is>
          <t>OH</t>
        </is>
      </c>
      <c r="R1601" t="n">
        <v>44483</v>
      </c>
      <c r="AD1601" t="inlineStr">
        <is>
          <t>TRUMBULL CAREER &amp; TECH CENTER</t>
        </is>
      </c>
      <c r="AE1601" t="inlineStr">
        <is>
          <t>WARREN CITY</t>
        </is>
      </c>
      <c r="AF1601" t="inlineStr">
        <is>
          <t>WARREN CITY SD</t>
        </is>
      </c>
      <c r="AH1601" t="n">
        <v>14</v>
      </c>
      <c r="AI1601" t="n">
        <v>11</v>
      </c>
      <c r="AN1601" t="inlineStr">
        <is>
          <t>WARREN</t>
        </is>
      </c>
      <c r="AO1601" t="inlineStr">
        <is>
          <t>WARREN CITY 4D</t>
        </is>
      </c>
      <c r="AP1601" t="inlineStr">
        <is>
          <t>78-P-ADL</t>
        </is>
      </c>
      <c r="AQ1601" t="n">
        <v>9</v>
      </c>
      <c r="AR1601" t="n">
        <v>64</v>
      </c>
      <c r="AS1601" t="n">
        <v>32</v>
      </c>
      <c r="AU1601">
        <f>COUNTA($BA$1601:$EH$1601)</f>
        <v/>
      </c>
      <c r="AV1601">
        <f>COUNTIF($BA$1601:$EH$1601,"D")</f>
        <v/>
      </c>
      <c r="AW1601">
        <f>COUNTIF($BA$1601:$EH$1601,"R")</f>
        <v/>
      </c>
      <c r="AX1601">
        <f>IF(BN1601="D",1,0)+IF(BO1601="D",1,0)+IF(BT1601="D",1,0)+IF(BU1601="D",1,0)+IF(BW1601="D",1,0)+IF(CC1601="D",1,0)+IF(CD1601="D",1,0)+IF(CE1601="D",1,0)+IF(CF1601="D",1,0)+IF(CL1601="D",1,0)+IF(CM1601="D",1,0)+IF(CQ1601="D",1,0)+IF(CR1601="D",1,0)+IF(CS1601="D",1,0)+IF(CW1601="D",1,0)+IF(CX1601="D",1,0)+IF(DD1601="D",1,0)+IF(DE1601="D",1,0)+IF(DJ1601="D",1,0)+IF(DK1601="D",1,0)+IF(DO1601="D",1,0)+IF(DP1601="D",1,0)+IF(DQ1601="D",1,0)+IF(DW1601="D",1,0)+IF(DZ1601="D",1,0)+IF(EH1601="D",1,0)</f>
        <v/>
      </c>
      <c r="AY1601">
        <f>IF(DJ1601&lt;&gt;"",1,0)+IF(DK1601&lt;&gt;"",1,0)+IF(DM1601&lt;&gt;"",1,0)+IF(DO1601&lt;&gt;"",1,0)+IF(DP1601&lt;&gt;"",1,0)+IF(DQ1601&lt;&gt;"",1,0)+IF(DS1601&lt;&gt;"",1,0)+IF(DT1601&lt;&gt;"",1,0)+IF(DV1601&lt;&gt;"",1,0)+IF(DW1601&lt;&gt;"",1,0)+IF(DX1601&lt;&gt;"",1,0)+IF(DY1601&lt;&gt;"",1,0)+IF(DZ1601&lt;&gt;"",1,0)+IF(EB1601&lt;&gt;"",1,0)+IF(EC1601&lt;&gt;"",1,0)+IF(ED1601&lt;&gt;"",1,0)+IF(EG1601&lt;&gt;"",1,0)+IF(EH1601&lt;&gt;"",1,0)</f>
        <v/>
      </c>
      <c r="AZ1601">
        <f>IF(EH1601&lt;&gt;"",1,0)</f>
        <v/>
      </c>
      <c r="BB1601" t="inlineStr">
        <is>
          <t>WARREN-WARD 4</t>
        </is>
      </c>
      <c r="CA1601" t="inlineStr">
        <is>
          <t>X</t>
        </is>
      </c>
      <c r="CG1601" t="inlineStr">
        <is>
          <t>X</t>
        </is>
      </c>
      <c r="CP1601" t="inlineStr">
        <is>
          <t>X</t>
        </is>
      </c>
      <c r="CY1601" t="inlineStr">
        <is>
          <t>X</t>
        </is>
      </c>
      <c r="CZ1601" t="inlineStr">
        <is>
          <t>D</t>
        </is>
      </c>
      <c r="DC1601" t="inlineStr">
        <is>
          <t>X</t>
        </is>
      </c>
      <c r="DI1601" t="inlineStr">
        <is>
          <t>X</t>
        </is>
      </c>
      <c r="DJ1601" t="inlineStr">
        <is>
          <t>D</t>
        </is>
      </c>
      <c r="DL1601" t="inlineStr">
        <is>
          <t>X</t>
        </is>
      </c>
      <c r="DN1601" t="inlineStr">
        <is>
          <t>X</t>
        </is>
      </c>
      <c r="EF1601" t="inlineStr">
        <is>
          <t>X</t>
        </is>
      </c>
    </row>
    <row r="1602">
      <c r="A1602" t="inlineStr">
        <is>
          <t>OH0024307764</t>
        </is>
      </c>
      <c r="B1602" t="n">
        <v>78</v>
      </c>
      <c r="C1602" t="n">
        <v>426781</v>
      </c>
      <c r="D1602" t="inlineStr">
        <is>
          <t>DAVIDSON</t>
        </is>
      </c>
      <c r="E1602" t="inlineStr">
        <is>
          <t>WANDA</t>
        </is>
      </c>
      <c r="F1602">
        <f>CONCATENATE(D1602," ",LEFT(H1602,4),"T=",AU1602,"D=",AV1602,"R=",AW1602,"M=",AX1602,"L=",AY1602,"B=",AZ1602)</f>
        <v/>
      </c>
      <c r="G1602" t="inlineStr">
        <is>
          <t>L</t>
        </is>
      </c>
      <c r="I1602" t="inlineStr">
        <is>
          <t>1958-07-06</t>
        </is>
      </c>
      <c r="J1602" t="inlineStr">
        <is>
          <t>2020-09-23</t>
        </is>
      </c>
      <c r="K1602" t="inlineStr">
        <is>
          <t>ACTIVE</t>
        </is>
      </c>
      <c r="L1602" t="inlineStr">
        <is>
          <t>D</t>
        </is>
      </c>
      <c r="M1602" t="inlineStr">
        <is>
          <t>182 HIGH ST NE</t>
        </is>
      </c>
      <c r="N1602">
        <f>RIGHT(M1602,LEN(M1602)-FIND(" ",M1602))</f>
        <v/>
      </c>
      <c r="O1602" t="inlineStr">
        <is>
          <t>APT 311</t>
        </is>
      </c>
      <c r="P1602" t="inlineStr">
        <is>
          <t>WARREN</t>
        </is>
      </c>
      <c r="Q1602" t="inlineStr">
        <is>
          <t>OH</t>
        </is>
      </c>
      <c r="R1602" t="n">
        <v>44481</v>
      </c>
      <c r="AD1602" t="inlineStr">
        <is>
          <t>TRUMBULL CAREER &amp; TECH CENTER</t>
        </is>
      </c>
      <c r="AE1602" t="inlineStr">
        <is>
          <t>WARREN CITY</t>
        </is>
      </c>
      <c r="AF1602" t="inlineStr">
        <is>
          <t>WARREN CITY SD</t>
        </is>
      </c>
      <c r="AH1602" t="n">
        <v>14</v>
      </c>
      <c r="AI1602" t="n">
        <v>11</v>
      </c>
      <c r="AN1602" t="inlineStr">
        <is>
          <t>WARREN</t>
        </is>
      </c>
      <c r="AO1602" t="inlineStr">
        <is>
          <t>WARREN CITY 4D</t>
        </is>
      </c>
      <c r="AP1602" t="inlineStr">
        <is>
          <t>78-P-ADL</t>
        </is>
      </c>
      <c r="AQ1602" t="n">
        <v>9</v>
      </c>
      <c r="AR1602" t="n">
        <v>64</v>
      </c>
      <c r="AS1602" t="n">
        <v>32</v>
      </c>
      <c r="AU1602">
        <f>COUNTA($BA$1602:$EH$1602)</f>
        <v/>
      </c>
      <c r="AV1602">
        <f>COUNTIF($BA$1602:$EH$1602,"D")</f>
        <v/>
      </c>
      <c r="AW1602">
        <f>COUNTIF($BA$1602:$EH$1602,"R")</f>
        <v/>
      </c>
      <c r="AX1602">
        <f>IF(BN1602="D",1,0)+IF(BO1602="D",1,0)+IF(BT1602="D",1,0)+IF(BU1602="D",1,0)+IF(BW1602="D",1,0)+IF(CC1602="D",1,0)+IF(CD1602="D",1,0)+IF(CE1602="D",1,0)+IF(CF1602="D",1,0)+IF(CL1602="D",1,0)+IF(CM1602="D",1,0)+IF(CQ1602="D",1,0)+IF(CR1602="D",1,0)+IF(CS1602="D",1,0)+IF(CW1602="D",1,0)+IF(CX1602="D",1,0)+IF(DD1602="D",1,0)+IF(DE1602="D",1,0)+IF(DJ1602="D",1,0)+IF(DK1602="D",1,0)+IF(DO1602="D",1,0)+IF(DP1602="D",1,0)+IF(DQ1602="D",1,0)+IF(DW1602="D",1,0)+IF(DZ1602="D",1,0)+IF(EH1602="D",1,0)</f>
        <v/>
      </c>
      <c r="AY1602">
        <f>IF(DJ1602&lt;&gt;"",1,0)+IF(DK1602&lt;&gt;"",1,0)+IF(DM1602&lt;&gt;"",1,0)+IF(DO1602&lt;&gt;"",1,0)+IF(DP1602&lt;&gt;"",1,0)+IF(DQ1602&lt;&gt;"",1,0)+IF(DS1602&lt;&gt;"",1,0)+IF(DT1602&lt;&gt;"",1,0)+IF(DV1602&lt;&gt;"",1,0)+IF(DW1602&lt;&gt;"",1,0)+IF(DX1602&lt;&gt;"",1,0)+IF(DY1602&lt;&gt;"",1,0)+IF(DZ1602&lt;&gt;"",1,0)+IF(EB1602&lt;&gt;"",1,0)+IF(EC1602&lt;&gt;"",1,0)+IF(ED1602&lt;&gt;"",1,0)+IF(EG1602&lt;&gt;"",1,0)+IF(EH1602&lt;&gt;"",1,0)</f>
        <v/>
      </c>
      <c r="AZ1602">
        <f>IF(EH1602&lt;&gt;"",1,0)</f>
        <v/>
      </c>
      <c r="BB1602" t="inlineStr">
        <is>
          <t>WARREN-WARD 4</t>
        </is>
      </c>
      <c r="BD1602" t="inlineStr">
        <is>
          <t>X</t>
        </is>
      </c>
      <c r="BG1602" t="inlineStr">
        <is>
          <t>X</t>
        </is>
      </c>
      <c r="BH1602" t="inlineStr">
        <is>
          <t>X</t>
        </is>
      </c>
      <c r="BI1602" t="inlineStr">
        <is>
          <t>X</t>
        </is>
      </c>
      <c r="BJ1602" t="inlineStr">
        <is>
          <t>X</t>
        </is>
      </c>
      <c r="BK1602" t="inlineStr">
        <is>
          <t>X</t>
        </is>
      </c>
      <c r="BL1602" t="inlineStr">
        <is>
          <t>X</t>
        </is>
      </c>
      <c r="BP1602" t="inlineStr">
        <is>
          <t>X</t>
        </is>
      </c>
      <c r="BR1602" t="inlineStr">
        <is>
          <t>X</t>
        </is>
      </c>
      <c r="BY1602" t="inlineStr">
        <is>
          <t>R</t>
        </is>
      </c>
      <c r="CA1602" t="inlineStr">
        <is>
          <t>X</t>
        </is>
      </c>
      <c r="CG1602" t="inlineStr">
        <is>
          <t>X</t>
        </is>
      </c>
      <c r="CH1602" t="inlineStr">
        <is>
          <t>D</t>
        </is>
      </c>
      <c r="DM1602" t="inlineStr">
        <is>
          <t>R</t>
        </is>
      </c>
      <c r="DN1602" t="inlineStr">
        <is>
          <t>X</t>
        </is>
      </c>
      <c r="DU1602" t="inlineStr">
        <is>
          <t>X</t>
        </is>
      </c>
      <c r="DW1602" t="inlineStr">
        <is>
          <t>D</t>
        </is>
      </c>
      <c r="EA1602" t="inlineStr">
        <is>
          <t>X</t>
        </is>
      </c>
      <c r="EF1602" t="inlineStr">
        <is>
          <t>X</t>
        </is>
      </c>
    </row>
    <row r="1603">
      <c r="A1603" t="inlineStr">
        <is>
          <t>OH0026159221</t>
        </is>
      </c>
      <c r="B1603" t="n">
        <v>78</v>
      </c>
      <c r="C1603" t="n">
        <v>434722</v>
      </c>
      <c r="D1603" t="inlineStr">
        <is>
          <t>WINLAND</t>
        </is>
      </c>
      <c r="E1603" t="inlineStr">
        <is>
          <t>JESSICA</t>
        </is>
      </c>
      <c r="F1603">
        <f>CONCATENATE(D1603," ",LEFT(H1603,4),"T=",AU1603,"D=",AV1603,"R=",AW1603,"M=",AX1603,"L=",AY1603,"B=",AZ1603)</f>
        <v/>
      </c>
      <c r="G1603" t="inlineStr">
        <is>
          <t>ANN</t>
        </is>
      </c>
      <c r="I1603" t="inlineStr">
        <is>
          <t>1999-11-17</t>
        </is>
      </c>
      <c r="J1603" t="inlineStr">
        <is>
          <t>2018-09-07</t>
        </is>
      </c>
      <c r="K1603" t="inlineStr">
        <is>
          <t>ACTIVE</t>
        </is>
      </c>
      <c r="M1603" t="inlineStr">
        <is>
          <t>740 PORTER ST NE</t>
        </is>
      </c>
      <c r="N1603">
        <f>RIGHT(M1603,LEN(M1603)-FIND(" ",M1603))</f>
        <v/>
      </c>
      <c r="P1603" t="inlineStr">
        <is>
          <t>WARREN</t>
        </is>
      </c>
      <c r="Q1603" t="inlineStr">
        <is>
          <t>OH</t>
        </is>
      </c>
      <c r="R1603" t="n">
        <v>44483</v>
      </c>
      <c r="AD1603" t="inlineStr">
        <is>
          <t>TRUMBULL CAREER &amp; TECH CENTER</t>
        </is>
      </c>
      <c r="AE1603" t="inlineStr">
        <is>
          <t>WARREN CITY</t>
        </is>
      </c>
      <c r="AF1603" t="inlineStr">
        <is>
          <t>WARREN CITY SD</t>
        </is>
      </c>
      <c r="AH1603" t="n">
        <v>14</v>
      </c>
      <c r="AI1603" t="n">
        <v>11</v>
      </c>
      <c r="AN1603" t="inlineStr">
        <is>
          <t>WARREN</t>
        </is>
      </c>
      <c r="AO1603" t="inlineStr">
        <is>
          <t>WARREN CITY 4D</t>
        </is>
      </c>
      <c r="AP1603" t="inlineStr">
        <is>
          <t>78-P-ADL</t>
        </is>
      </c>
      <c r="AQ1603" t="n">
        <v>9</v>
      </c>
      <c r="AR1603" t="n">
        <v>64</v>
      </c>
      <c r="AS1603" t="n">
        <v>32</v>
      </c>
      <c r="AU1603">
        <f>COUNTA($BA$1603:$EH$1603)</f>
        <v/>
      </c>
      <c r="AV1603">
        <f>COUNTIF($BA$1603:$EH$1603,"D")</f>
        <v/>
      </c>
      <c r="AW1603">
        <f>COUNTIF($BA$1603:$EH$1603,"R")</f>
        <v/>
      </c>
      <c r="AX1603">
        <f>IF(BN1603="D",1,0)+IF(BO1603="D",1,0)+IF(BT1603="D",1,0)+IF(BU1603="D",1,0)+IF(BW1603="D",1,0)+IF(CC1603="D",1,0)+IF(CD1603="D",1,0)+IF(CE1603="D",1,0)+IF(CF1603="D",1,0)+IF(CL1603="D",1,0)+IF(CM1603="D",1,0)+IF(CQ1603="D",1,0)+IF(CR1603="D",1,0)+IF(CS1603="D",1,0)+IF(CW1603="D",1,0)+IF(CX1603="D",1,0)+IF(DD1603="D",1,0)+IF(DE1603="D",1,0)+IF(DJ1603="D",1,0)+IF(DK1603="D",1,0)+IF(DO1603="D",1,0)+IF(DP1603="D",1,0)+IF(DQ1603="D",1,0)+IF(DW1603="D",1,0)+IF(DZ1603="D",1,0)+IF(EH1603="D",1,0)</f>
        <v/>
      </c>
      <c r="AY1603">
        <f>IF(DJ1603&lt;&gt;"",1,0)+IF(DK1603&lt;&gt;"",1,0)+IF(DM1603&lt;&gt;"",1,0)+IF(DO1603&lt;&gt;"",1,0)+IF(DP1603&lt;&gt;"",1,0)+IF(DQ1603&lt;&gt;"",1,0)+IF(DS1603&lt;&gt;"",1,0)+IF(DT1603&lt;&gt;"",1,0)+IF(DV1603&lt;&gt;"",1,0)+IF(DW1603&lt;&gt;"",1,0)+IF(DX1603&lt;&gt;"",1,0)+IF(DY1603&lt;&gt;"",1,0)+IF(DZ1603&lt;&gt;"",1,0)+IF(EB1603&lt;&gt;"",1,0)+IF(EC1603&lt;&gt;"",1,0)+IF(ED1603&lt;&gt;"",1,0)+IF(EG1603&lt;&gt;"",1,0)+IF(EH1603&lt;&gt;"",1,0)</f>
        <v/>
      </c>
      <c r="AZ1603">
        <f>IF(EH1603&lt;&gt;"",1,0)</f>
        <v/>
      </c>
      <c r="BB1603" t="inlineStr">
        <is>
          <t>WARREN-WARD 4</t>
        </is>
      </c>
    </row>
    <row r="1604">
      <c r="A1604" t="inlineStr">
        <is>
          <t>OH0020790088</t>
        </is>
      </c>
      <c r="B1604" t="n">
        <v>78</v>
      </c>
      <c r="C1604" t="n">
        <v>370007</v>
      </c>
      <c r="D1604" t="inlineStr">
        <is>
          <t>YOUNG</t>
        </is>
      </c>
      <c r="E1604" t="inlineStr">
        <is>
          <t>SABRINA</t>
        </is>
      </c>
      <c r="F1604">
        <f>CONCATENATE(D1604," ",LEFT(H1604,4),"T=",AU1604,"D=",AV1604,"R=",AW1604,"M=",AX1604,"L=",AY1604,"B=",AZ1604)</f>
        <v/>
      </c>
      <c r="G1604" t="inlineStr">
        <is>
          <t>L</t>
        </is>
      </c>
      <c r="I1604" t="inlineStr">
        <is>
          <t>1975-06-02</t>
        </is>
      </c>
      <c r="J1604" t="inlineStr">
        <is>
          <t>2017-07-14</t>
        </is>
      </c>
      <c r="K1604" t="inlineStr">
        <is>
          <t>CONFIRMATION</t>
        </is>
      </c>
      <c r="M1604" t="inlineStr">
        <is>
          <t>406 LOGAN AVE NE</t>
        </is>
      </c>
      <c r="N1604">
        <f>RIGHT(M1604,LEN(M1604)-FIND(" ",M1604))</f>
        <v/>
      </c>
      <c r="P1604" t="inlineStr">
        <is>
          <t>WARREN</t>
        </is>
      </c>
      <c r="Q1604" t="inlineStr">
        <is>
          <t>OH</t>
        </is>
      </c>
      <c r="R1604" t="n">
        <v>44483</v>
      </c>
      <c r="AD1604" t="inlineStr">
        <is>
          <t>TRUMBULL CAREER &amp; TECH CENTER</t>
        </is>
      </c>
      <c r="AE1604" t="inlineStr">
        <is>
          <t>WARREN CITY</t>
        </is>
      </c>
      <c r="AF1604" t="inlineStr">
        <is>
          <t>WARREN CITY SD</t>
        </is>
      </c>
      <c r="AH1604" t="n">
        <v>14</v>
      </c>
      <c r="AI1604" t="n">
        <v>11</v>
      </c>
      <c r="AN1604" t="inlineStr">
        <is>
          <t>WARREN</t>
        </is>
      </c>
      <c r="AO1604" t="inlineStr">
        <is>
          <t>WARREN CITY 4D</t>
        </is>
      </c>
      <c r="AP1604" t="inlineStr">
        <is>
          <t>78-P-ADL</t>
        </is>
      </c>
      <c r="AQ1604" t="n">
        <v>9</v>
      </c>
      <c r="AR1604" t="n">
        <v>64</v>
      </c>
      <c r="AS1604" t="n">
        <v>32</v>
      </c>
      <c r="AU1604">
        <f>COUNTA($BA$1604:$EH$1604)</f>
        <v/>
      </c>
      <c r="AV1604">
        <f>COUNTIF($BA$1604:$EH$1604,"D")</f>
        <v/>
      </c>
      <c r="AW1604">
        <f>COUNTIF($BA$1604:$EH$1604,"R")</f>
        <v/>
      </c>
      <c r="AX1604">
        <f>IF(BN1604="D",1,0)+IF(BO1604="D",1,0)+IF(BT1604="D",1,0)+IF(BU1604="D",1,0)+IF(BW1604="D",1,0)+IF(CC1604="D",1,0)+IF(CD1604="D",1,0)+IF(CE1604="D",1,0)+IF(CF1604="D",1,0)+IF(CL1604="D",1,0)+IF(CM1604="D",1,0)+IF(CQ1604="D",1,0)+IF(CR1604="D",1,0)+IF(CS1604="D",1,0)+IF(CW1604="D",1,0)+IF(CX1604="D",1,0)+IF(DD1604="D",1,0)+IF(DE1604="D",1,0)+IF(DJ1604="D",1,0)+IF(DK1604="D",1,0)+IF(DO1604="D",1,0)+IF(DP1604="D",1,0)+IF(DQ1604="D",1,0)+IF(DW1604="D",1,0)+IF(DZ1604="D",1,0)+IF(EH1604="D",1,0)</f>
        <v/>
      </c>
      <c r="AY1604">
        <f>IF(DJ1604&lt;&gt;"",1,0)+IF(DK1604&lt;&gt;"",1,0)+IF(DM1604&lt;&gt;"",1,0)+IF(DO1604&lt;&gt;"",1,0)+IF(DP1604&lt;&gt;"",1,0)+IF(DQ1604&lt;&gt;"",1,0)+IF(DS1604&lt;&gt;"",1,0)+IF(DT1604&lt;&gt;"",1,0)+IF(DV1604&lt;&gt;"",1,0)+IF(DW1604&lt;&gt;"",1,0)+IF(DX1604&lt;&gt;"",1,0)+IF(DY1604&lt;&gt;"",1,0)+IF(DZ1604&lt;&gt;"",1,0)+IF(EB1604&lt;&gt;"",1,0)+IF(EC1604&lt;&gt;"",1,0)+IF(ED1604&lt;&gt;"",1,0)+IF(EG1604&lt;&gt;"",1,0)+IF(EH1604&lt;&gt;"",1,0)</f>
        <v/>
      </c>
      <c r="AZ1604">
        <f>IF(EH1604&lt;&gt;"",1,0)</f>
        <v/>
      </c>
      <c r="BB1604" t="inlineStr">
        <is>
          <t>WARREN-WARD 4</t>
        </is>
      </c>
    </row>
    <row r="1605">
      <c r="A1605" t="inlineStr">
        <is>
          <t>OH0021178851</t>
        </is>
      </c>
      <c r="B1605" t="n">
        <v>78</v>
      </c>
      <c r="C1605" t="n">
        <v>376613</v>
      </c>
      <c r="D1605" t="inlineStr">
        <is>
          <t>BENNETT</t>
        </is>
      </c>
      <c r="E1605" t="inlineStr">
        <is>
          <t>TASHARRA</t>
        </is>
      </c>
      <c r="F1605">
        <f>CONCATENATE(D1605," ",LEFT(H1605,4),"T=",AU1605,"D=",AV1605,"R=",AW1605,"M=",AX1605,"L=",AY1605,"B=",AZ1605)</f>
        <v/>
      </c>
      <c r="G1605" t="inlineStr">
        <is>
          <t>S</t>
        </is>
      </c>
      <c r="I1605" t="inlineStr">
        <is>
          <t>1978-11-03</t>
        </is>
      </c>
      <c r="J1605" t="inlineStr">
        <is>
          <t>2017-02-21</t>
        </is>
      </c>
      <c r="K1605" t="inlineStr">
        <is>
          <t>CONFIRMATION</t>
        </is>
      </c>
      <c r="M1605" t="inlineStr">
        <is>
          <t>265 CHARLES AVE NE</t>
        </is>
      </c>
      <c r="N1605">
        <f>RIGHT(M1605,LEN(M1605)-FIND(" ",M1605))</f>
        <v/>
      </c>
      <c r="P1605" t="inlineStr">
        <is>
          <t>WARREN</t>
        </is>
      </c>
      <c r="Q1605" t="inlineStr">
        <is>
          <t>OH</t>
        </is>
      </c>
      <c r="R1605" t="n">
        <v>44483</v>
      </c>
      <c r="AD1605" t="inlineStr">
        <is>
          <t>TRUMBULL CAREER &amp; TECH CENTER</t>
        </is>
      </c>
      <c r="AE1605" t="inlineStr">
        <is>
          <t>WARREN CITY</t>
        </is>
      </c>
      <c r="AF1605" t="inlineStr">
        <is>
          <t>WARREN CITY SD</t>
        </is>
      </c>
      <c r="AH1605" t="n">
        <v>14</v>
      </c>
      <c r="AI1605" t="n">
        <v>11</v>
      </c>
      <c r="AN1605" t="inlineStr">
        <is>
          <t>WARREN</t>
        </is>
      </c>
      <c r="AO1605" t="inlineStr">
        <is>
          <t>WARREN CITY 4D</t>
        </is>
      </c>
      <c r="AP1605" t="inlineStr">
        <is>
          <t>78-P-ADL</t>
        </is>
      </c>
      <c r="AQ1605" t="n">
        <v>9</v>
      </c>
      <c r="AR1605" t="n">
        <v>64</v>
      </c>
      <c r="AS1605" t="n">
        <v>32</v>
      </c>
      <c r="AU1605">
        <f>COUNTA($BA$1605:$EH$1605)</f>
        <v/>
      </c>
      <c r="AV1605">
        <f>COUNTIF($BA$1605:$EH$1605,"D")</f>
        <v/>
      </c>
      <c r="AW1605">
        <f>COUNTIF($BA$1605:$EH$1605,"R")</f>
        <v/>
      </c>
      <c r="AX1605">
        <f>IF(BN1605="D",1,0)+IF(BO1605="D",1,0)+IF(BT1605="D",1,0)+IF(BU1605="D",1,0)+IF(BW1605="D",1,0)+IF(CC1605="D",1,0)+IF(CD1605="D",1,0)+IF(CE1605="D",1,0)+IF(CF1605="D",1,0)+IF(CL1605="D",1,0)+IF(CM1605="D",1,0)+IF(CQ1605="D",1,0)+IF(CR1605="D",1,0)+IF(CS1605="D",1,0)+IF(CW1605="D",1,0)+IF(CX1605="D",1,0)+IF(DD1605="D",1,0)+IF(DE1605="D",1,0)+IF(DJ1605="D",1,0)+IF(DK1605="D",1,0)+IF(DO1605="D",1,0)+IF(DP1605="D",1,0)+IF(DQ1605="D",1,0)+IF(DW1605="D",1,0)+IF(DZ1605="D",1,0)+IF(EH1605="D",1,0)</f>
        <v/>
      </c>
      <c r="AY1605">
        <f>IF(DJ1605&lt;&gt;"",1,0)+IF(DK1605&lt;&gt;"",1,0)+IF(DM1605&lt;&gt;"",1,0)+IF(DO1605&lt;&gt;"",1,0)+IF(DP1605&lt;&gt;"",1,0)+IF(DQ1605&lt;&gt;"",1,0)+IF(DS1605&lt;&gt;"",1,0)+IF(DT1605&lt;&gt;"",1,0)+IF(DV1605&lt;&gt;"",1,0)+IF(DW1605&lt;&gt;"",1,0)+IF(DX1605&lt;&gt;"",1,0)+IF(DY1605&lt;&gt;"",1,0)+IF(DZ1605&lt;&gt;"",1,0)+IF(EB1605&lt;&gt;"",1,0)+IF(EC1605&lt;&gt;"",1,0)+IF(ED1605&lt;&gt;"",1,0)+IF(EG1605&lt;&gt;"",1,0)+IF(EH1605&lt;&gt;"",1,0)</f>
        <v/>
      </c>
      <c r="AZ1605">
        <f>IF(EH1605&lt;&gt;"",1,0)</f>
        <v/>
      </c>
      <c r="BB1605" t="inlineStr">
        <is>
          <t>WARREN-WARD 4</t>
        </is>
      </c>
    </row>
    <row r="1606">
      <c r="A1606" t="inlineStr">
        <is>
          <t>OH0020538671</t>
        </is>
      </c>
      <c r="B1606" t="n">
        <v>78</v>
      </c>
      <c r="C1606" t="n">
        <v>368563</v>
      </c>
      <c r="D1606" t="inlineStr">
        <is>
          <t>LEPOLA</t>
        </is>
      </c>
      <c r="E1606" t="inlineStr">
        <is>
          <t>JO</t>
        </is>
      </c>
      <c r="F1606">
        <f>CONCATENATE(D1606," ",LEFT(H1606,4),"T=",AU1606,"D=",AV1606,"R=",AW1606,"M=",AX1606,"L=",AY1606,"B=",AZ1606)</f>
        <v/>
      </c>
      <c r="G1606" t="inlineStr">
        <is>
          <t>ANN</t>
        </is>
      </c>
      <c r="I1606" t="inlineStr">
        <is>
          <t>1965-01-28</t>
        </is>
      </c>
      <c r="J1606" t="inlineStr">
        <is>
          <t>2010-08-19</t>
        </is>
      </c>
      <c r="K1606" t="inlineStr">
        <is>
          <t>CONFIRMATION</t>
        </is>
      </c>
      <c r="M1606" t="inlineStr">
        <is>
          <t>314 LOWELL AVE NE</t>
        </is>
      </c>
      <c r="N1606">
        <f>RIGHT(M1606,LEN(M1606)-FIND(" ",M1606))</f>
        <v/>
      </c>
      <c r="P1606" t="inlineStr">
        <is>
          <t>WARREN</t>
        </is>
      </c>
      <c r="Q1606" t="inlineStr">
        <is>
          <t>OH</t>
        </is>
      </c>
      <c r="R1606" t="n">
        <v>44483</v>
      </c>
      <c r="AD1606" t="inlineStr">
        <is>
          <t>TRUMBULL CAREER &amp; TECH CENTER</t>
        </is>
      </c>
      <c r="AE1606" t="inlineStr">
        <is>
          <t>WARREN CITY</t>
        </is>
      </c>
      <c r="AF1606" t="inlineStr">
        <is>
          <t>WARREN CITY SD</t>
        </is>
      </c>
      <c r="AH1606" t="n">
        <v>14</v>
      </c>
      <c r="AI1606" t="n">
        <v>11</v>
      </c>
      <c r="AN1606" t="inlineStr">
        <is>
          <t>WARREN</t>
        </is>
      </c>
      <c r="AO1606" t="inlineStr">
        <is>
          <t>WARREN CITY 4D</t>
        </is>
      </c>
      <c r="AP1606" t="inlineStr">
        <is>
          <t>78-P-ADL</t>
        </is>
      </c>
      <c r="AQ1606" t="n">
        <v>9</v>
      </c>
      <c r="AR1606" t="n">
        <v>64</v>
      </c>
      <c r="AS1606" t="n">
        <v>32</v>
      </c>
      <c r="AU1606">
        <f>COUNTA($BA$1606:$EH$1606)</f>
        <v/>
      </c>
      <c r="AV1606">
        <f>COUNTIF($BA$1606:$EH$1606,"D")</f>
        <v/>
      </c>
      <c r="AW1606">
        <f>COUNTIF($BA$1606:$EH$1606,"R")</f>
        <v/>
      </c>
      <c r="AX1606">
        <f>IF(BN1606="D",1,0)+IF(BO1606="D",1,0)+IF(BT1606="D",1,0)+IF(BU1606="D",1,0)+IF(BW1606="D",1,0)+IF(CC1606="D",1,0)+IF(CD1606="D",1,0)+IF(CE1606="D",1,0)+IF(CF1606="D",1,0)+IF(CL1606="D",1,0)+IF(CM1606="D",1,0)+IF(CQ1606="D",1,0)+IF(CR1606="D",1,0)+IF(CS1606="D",1,0)+IF(CW1606="D",1,0)+IF(CX1606="D",1,0)+IF(DD1606="D",1,0)+IF(DE1606="D",1,0)+IF(DJ1606="D",1,0)+IF(DK1606="D",1,0)+IF(DO1606="D",1,0)+IF(DP1606="D",1,0)+IF(DQ1606="D",1,0)+IF(DW1606="D",1,0)+IF(DZ1606="D",1,0)+IF(EH1606="D",1,0)</f>
        <v/>
      </c>
      <c r="AY1606">
        <f>IF(DJ1606&lt;&gt;"",1,0)+IF(DK1606&lt;&gt;"",1,0)+IF(DM1606&lt;&gt;"",1,0)+IF(DO1606&lt;&gt;"",1,0)+IF(DP1606&lt;&gt;"",1,0)+IF(DQ1606&lt;&gt;"",1,0)+IF(DS1606&lt;&gt;"",1,0)+IF(DT1606&lt;&gt;"",1,0)+IF(DV1606&lt;&gt;"",1,0)+IF(DW1606&lt;&gt;"",1,0)+IF(DX1606&lt;&gt;"",1,0)+IF(DY1606&lt;&gt;"",1,0)+IF(DZ1606&lt;&gt;"",1,0)+IF(EB1606&lt;&gt;"",1,0)+IF(EC1606&lt;&gt;"",1,0)+IF(ED1606&lt;&gt;"",1,0)+IF(EG1606&lt;&gt;"",1,0)+IF(EH1606&lt;&gt;"",1,0)</f>
        <v/>
      </c>
      <c r="AZ1606">
        <f>IF(EH1606&lt;&gt;"",1,0)</f>
        <v/>
      </c>
      <c r="BB1606" t="inlineStr">
        <is>
          <t>WARREN-WARD 4</t>
        </is>
      </c>
    </row>
    <row r="1607">
      <c r="A1607" t="inlineStr">
        <is>
          <t>OH0024174819</t>
        </is>
      </c>
      <c r="B1607" t="n">
        <v>78</v>
      </c>
      <c r="C1607" t="n">
        <v>423277</v>
      </c>
      <c r="D1607" t="inlineStr">
        <is>
          <t>FREEMAN</t>
        </is>
      </c>
      <c r="E1607" t="inlineStr">
        <is>
          <t>COURTNEY</t>
        </is>
      </c>
      <c r="F1607">
        <f>CONCATENATE(D1607," ",LEFT(H1607,4),"T=",AU1607,"D=",AV1607,"R=",AW1607,"M=",AX1607,"L=",AY1607,"B=",AZ1607)</f>
        <v/>
      </c>
      <c r="G1607" t="inlineStr">
        <is>
          <t>D</t>
        </is>
      </c>
      <c r="I1607" t="inlineStr">
        <is>
          <t>1997-01-03</t>
        </is>
      </c>
      <c r="J1607" t="inlineStr">
        <is>
          <t>2016-11-08</t>
        </is>
      </c>
      <c r="K1607" t="inlineStr">
        <is>
          <t>CONFIRMATION</t>
        </is>
      </c>
      <c r="M1607" t="inlineStr">
        <is>
          <t>914 E MARKET ST</t>
        </is>
      </c>
      <c r="N1607">
        <f>RIGHT(M1607,LEN(M1607)-FIND(" ",M1607))</f>
        <v/>
      </c>
      <c r="O1607" t="inlineStr">
        <is>
          <t>APT A</t>
        </is>
      </c>
      <c r="P1607" t="inlineStr">
        <is>
          <t>WARREN</t>
        </is>
      </c>
      <c r="Q1607" t="inlineStr">
        <is>
          <t>OH</t>
        </is>
      </c>
      <c r="R1607" t="n">
        <v>44483</v>
      </c>
      <c r="AD1607" t="inlineStr">
        <is>
          <t>TRUMBULL CAREER &amp; TECH CENTER</t>
        </is>
      </c>
      <c r="AE1607" t="inlineStr">
        <is>
          <t>WARREN CITY</t>
        </is>
      </c>
      <c r="AF1607" t="inlineStr">
        <is>
          <t>WARREN CITY SD</t>
        </is>
      </c>
      <c r="AH1607" t="n">
        <v>14</v>
      </c>
      <c r="AI1607" t="n">
        <v>11</v>
      </c>
      <c r="AN1607" t="inlineStr">
        <is>
          <t>WARREN</t>
        </is>
      </c>
      <c r="AO1607" t="inlineStr">
        <is>
          <t>WARREN CITY 4D</t>
        </is>
      </c>
      <c r="AP1607" t="inlineStr">
        <is>
          <t>78-P-ADL</t>
        </is>
      </c>
      <c r="AQ1607" t="n">
        <v>9</v>
      </c>
      <c r="AR1607" t="n">
        <v>64</v>
      </c>
      <c r="AS1607" t="n">
        <v>32</v>
      </c>
      <c r="AU1607">
        <f>COUNTA($BA$1607:$EH$1607)</f>
        <v/>
      </c>
      <c r="AV1607">
        <f>COUNTIF($BA$1607:$EH$1607,"D")</f>
        <v/>
      </c>
      <c r="AW1607">
        <f>COUNTIF($BA$1607:$EH$1607,"R")</f>
        <v/>
      </c>
      <c r="AX1607">
        <f>IF(BN1607="D",1,0)+IF(BO1607="D",1,0)+IF(BT1607="D",1,0)+IF(BU1607="D",1,0)+IF(BW1607="D",1,0)+IF(CC1607="D",1,0)+IF(CD1607="D",1,0)+IF(CE1607="D",1,0)+IF(CF1607="D",1,0)+IF(CL1607="D",1,0)+IF(CM1607="D",1,0)+IF(CQ1607="D",1,0)+IF(CR1607="D",1,0)+IF(CS1607="D",1,0)+IF(CW1607="D",1,0)+IF(CX1607="D",1,0)+IF(DD1607="D",1,0)+IF(DE1607="D",1,0)+IF(DJ1607="D",1,0)+IF(DK1607="D",1,0)+IF(DO1607="D",1,0)+IF(DP1607="D",1,0)+IF(DQ1607="D",1,0)+IF(DW1607="D",1,0)+IF(DZ1607="D",1,0)+IF(EH1607="D",1,0)</f>
        <v/>
      </c>
      <c r="AY1607">
        <f>IF(DJ1607&lt;&gt;"",1,0)+IF(DK1607&lt;&gt;"",1,0)+IF(DM1607&lt;&gt;"",1,0)+IF(DO1607&lt;&gt;"",1,0)+IF(DP1607&lt;&gt;"",1,0)+IF(DQ1607&lt;&gt;"",1,0)+IF(DS1607&lt;&gt;"",1,0)+IF(DT1607&lt;&gt;"",1,0)+IF(DV1607&lt;&gt;"",1,0)+IF(DW1607&lt;&gt;"",1,0)+IF(DX1607&lt;&gt;"",1,0)+IF(DY1607&lt;&gt;"",1,0)+IF(DZ1607&lt;&gt;"",1,0)+IF(EB1607&lt;&gt;"",1,0)+IF(EC1607&lt;&gt;"",1,0)+IF(ED1607&lt;&gt;"",1,0)+IF(EG1607&lt;&gt;"",1,0)+IF(EH1607&lt;&gt;"",1,0)</f>
        <v/>
      </c>
      <c r="AZ1607">
        <f>IF(EH1607&lt;&gt;"",1,0)</f>
        <v/>
      </c>
      <c r="BB1607" t="inlineStr">
        <is>
          <t>WARREN-WARD 4</t>
        </is>
      </c>
    </row>
    <row r="1608">
      <c r="A1608" t="inlineStr">
        <is>
          <t>OH0020945225</t>
        </is>
      </c>
      <c r="B1608" t="n">
        <v>78</v>
      </c>
      <c r="C1608" t="n">
        <v>372461</v>
      </c>
      <c r="D1608" t="inlineStr">
        <is>
          <t>RAINES</t>
        </is>
      </c>
      <c r="E1608" t="inlineStr">
        <is>
          <t>TINA</t>
        </is>
      </c>
      <c r="F1608">
        <f>CONCATENATE(D1608," ",LEFT(H1608,4),"T=",AU1608,"D=",AV1608,"R=",AW1608,"M=",AX1608,"L=",AY1608,"B=",AZ1608)</f>
        <v/>
      </c>
      <c r="G1608" t="inlineStr">
        <is>
          <t>M</t>
        </is>
      </c>
      <c r="I1608" t="inlineStr">
        <is>
          <t>1958-09-12</t>
        </is>
      </c>
      <c r="J1608" t="inlineStr">
        <is>
          <t>2020-07-08</t>
        </is>
      </c>
      <c r="K1608" t="inlineStr">
        <is>
          <t>CONFIRMATION</t>
        </is>
      </c>
      <c r="M1608" t="inlineStr">
        <is>
          <t>194 PORTER ST NE</t>
        </is>
      </c>
      <c r="N1608">
        <f>RIGHT(M1608,LEN(M1608)-FIND(" ",M1608))</f>
        <v/>
      </c>
      <c r="P1608" t="inlineStr">
        <is>
          <t>WARREN</t>
        </is>
      </c>
      <c r="Q1608" t="inlineStr">
        <is>
          <t>OH</t>
        </is>
      </c>
      <c r="R1608" t="n">
        <v>44483</v>
      </c>
      <c r="AD1608" t="inlineStr">
        <is>
          <t>TRUMBULL CAREER &amp; TECH CENTER</t>
        </is>
      </c>
      <c r="AE1608" t="inlineStr">
        <is>
          <t>WARREN CITY</t>
        </is>
      </c>
      <c r="AF1608" t="inlineStr">
        <is>
          <t>WARREN CITY SD</t>
        </is>
      </c>
      <c r="AH1608" t="n">
        <v>14</v>
      </c>
      <c r="AI1608" t="n">
        <v>11</v>
      </c>
      <c r="AN1608" t="inlineStr">
        <is>
          <t>WARREN</t>
        </is>
      </c>
      <c r="AO1608" t="inlineStr">
        <is>
          <t>WARREN CITY 4D</t>
        </is>
      </c>
      <c r="AP1608" t="inlineStr">
        <is>
          <t>78-P-ADL</t>
        </is>
      </c>
      <c r="AQ1608" t="n">
        <v>9</v>
      </c>
      <c r="AR1608" t="n">
        <v>64</v>
      </c>
      <c r="AS1608" t="n">
        <v>32</v>
      </c>
      <c r="AU1608">
        <f>COUNTA($BA$1608:$EH$1608)</f>
        <v/>
      </c>
      <c r="AV1608">
        <f>COUNTIF($BA$1608:$EH$1608,"D")</f>
        <v/>
      </c>
      <c r="AW1608">
        <f>COUNTIF($BA$1608:$EH$1608,"R")</f>
        <v/>
      </c>
      <c r="AX1608">
        <f>IF(BN1608="D",1,0)+IF(BO1608="D",1,0)+IF(BT1608="D",1,0)+IF(BU1608="D",1,0)+IF(BW1608="D",1,0)+IF(CC1608="D",1,0)+IF(CD1608="D",1,0)+IF(CE1608="D",1,0)+IF(CF1608="D",1,0)+IF(CL1608="D",1,0)+IF(CM1608="D",1,0)+IF(CQ1608="D",1,0)+IF(CR1608="D",1,0)+IF(CS1608="D",1,0)+IF(CW1608="D",1,0)+IF(CX1608="D",1,0)+IF(DD1608="D",1,0)+IF(DE1608="D",1,0)+IF(DJ1608="D",1,0)+IF(DK1608="D",1,0)+IF(DO1608="D",1,0)+IF(DP1608="D",1,0)+IF(DQ1608="D",1,0)+IF(DW1608="D",1,0)+IF(DZ1608="D",1,0)+IF(EH1608="D",1,0)</f>
        <v/>
      </c>
      <c r="AY1608">
        <f>IF(DJ1608&lt;&gt;"",1,0)+IF(DK1608&lt;&gt;"",1,0)+IF(DM1608&lt;&gt;"",1,0)+IF(DO1608&lt;&gt;"",1,0)+IF(DP1608&lt;&gt;"",1,0)+IF(DQ1608&lt;&gt;"",1,0)+IF(DS1608&lt;&gt;"",1,0)+IF(DT1608&lt;&gt;"",1,0)+IF(DV1608&lt;&gt;"",1,0)+IF(DW1608&lt;&gt;"",1,0)+IF(DX1608&lt;&gt;"",1,0)+IF(DY1608&lt;&gt;"",1,0)+IF(DZ1608&lt;&gt;"",1,0)+IF(EB1608&lt;&gt;"",1,0)+IF(EC1608&lt;&gt;"",1,0)+IF(ED1608&lt;&gt;"",1,0)+IF(EG1608&lt;&gt;"",1,0)+IF(EH1608&lt;&gt;"",1,0)</f>
        <v/>
      </c>
      <c r="AZ1608">
        <f>IF(EH1608&lt;&gt;"",1,0)</f>
        <v/>
      </c>
      <c r="BB1608" t="inlineStr">
        <is>
          <t>WARREN-WARD 4</t>
        </is>
      </c>
      <c r="BL1608" t="inlineStr">
        <is>
          <t>X</t>
        </is>
      </c>
      <c r="CP1608" t="inlineStr">
        <is>
          <t>X</t>
        </is>
      </c>
      <c r="DC1608" t="inlineStr">
        <is>
          <t>X</t>
        </is>
      </c>
    </row>
    <row r="1609">
      <c r="A1609" t="inlineStr">
        <is>
          <t>OH0027747400</t>
        </is>
      </c>
      <c r="B1609" t="n">
        <v>78</v>
      </c>
      <c r="C1609" t="n">
        <v>491582</v>
      </c>
      <c r="D1609" t="inlineStr">
        <is>
          <t>BLACK</t>
        </is>
      </c>
      <c r="E1609" t="inlineStr">
        <is>
          <t>DIANA</t>
        </is>
      </c>
      <c r="F1609">
        <f>CONCATENATE(D1609," ",LEFT(H1609,4),"T=",AU1609,"D=",AV1609,"R=",AW1609,"M=",AX1609,"L=",AY1609,"B=",AZ1609)</f>
        <v/>
      </c>
      <c r="G1609" t="inlineStr">
        <is>
          <t>LEE</t>
        </is>
      </c>
      <c r="I1609" t="inlineStr">
        <is>
          <t>1967-07-30</t>
        </is>
      </c>
      <c r="J1609" t="inlineStr">
        <is>
          <t>2024-10-04</t>
        </is>
      </c>
      <c r="K1609" t="inlineStr">
        <is>
          <t>ACTIVE</t>
        </is>
      </c>
      <c r="M1609" t="inlineStr">
        <is>
          <t>179 IDDINGS AVE NE</t>
        </is>
      </c>
      <c r="N1609">
        <f>RIGHT(M1609,LEN(M1609)-FIND(" ",M1609))</f>
        <v/>
      </c>
      <c r="P1609" t="inlineStr">
        <is>
          <t>WARREN</t>
        </is>
      </c>
      <c r="Q1609" t="inlineStr">
        <is>
          <t>OH</t>
        </is>
      </c>
      <c r="R1609" t="n">
        <v>44483</v>
      </c>
      <c r="AD1609" t="inlineStr">
        <is>
          <t>TRUMBULL CAREER &amp; TECH CENTER</t>
        </is>
      </c>
      <c r="AE1609" t="inlineStr">
        <is>
          <t>WARREN CITY</t>
        </is>
      </c>
      <c r="AF1609" t="inlineStr">
        <is>
          <t>WARREN CITY SD</t>
        </is>
      </c>
      <c r="AH1609" t="n">
        <v>14</v>
      </c>
      <c r="AI1609" t="n">
        <v>11</v>
      </c>
      <c r="AN1609" t="inlineStr">
        <is>
          <t>WARREN</t>
        </is>
      </c>
      <c r="AO1609" t="inlineStr">
        <is>
          <t>WARREN CITY 4D</t>
        </is>
      </c>
      <c r="AP1609" t="inlineStr">
        <is>
          <t>78-P-ADL</t>
        </is>
      </c>
      <c r="AQ1609" t="n">
        <v>9</v>
      </c>
      <c r="AR1609" t="n">
        <v>64</v>
      </c>
      <c r="AS1609" t="n">
        <v>32</v>
      </c>
      <c r="AU1609">
        <f>COUNTA($BA$1609:$EH$1609)</f>
        <v/>
      </c>
      <c r="AV1609">
        <f>COUNTIF($BA$1609:$EH$1609,"D")</f>
        <v/>
      </c>
      <c r="AW1609">
        <f>COUNTIF($BA$1609:$EH$1609,"R")</f>
        <v/>
      </c>
      <c r="AX1609">
        <f>IF(BN1609="D",1,0)+IF(BO1609="D",1,0)+IF(BT1609="D",1,0)+IF(BU1609="D",1,0)+IF(BW1609="D",1,0)+IF(CC1609="D",1,0)+IF(CD1609="D",1,0)+IF(CE1609="D",1,0)+IF(CF1609="D",1,0)+IF(CL1609="D",1,0)+IF(CM1609="D",1,0)+IF(CQ1609="D",1,0)+IF(CR1609="D",1,0)+IF(CS1609="D",1,0)+IF(CW1609="D",1,0)+IF(CX1609="D",1,0)+IF(DD1609="D",1,0)+IF(DE1609="D",1,0)+IF(DJ1609="D",1,0)+IF(DK1609="D",1,0)+IF(DO1609="D",1,0)+IF(DP1609="D",1,0)+IF(DQ1609="D",1,0)+IF(DW1609="D",1,0)+IF(DZ1609="D",1,0)+IF(EH1609="D",1,0)</f>
        <v/>
      </c>
      <c r="AY1609">
        <f>IF(DJ1609&lt;&gt;"",1,0)+IF(DK1609&lt;&gt;"",1,0)+IF(DM1609&lt;&gt;"",1,0)+IF(DO1609&lt;&gt;"",1,0)+IF(DP1609&lt;&gt;"",1,0)+IF(DQ1609&lt;&gt;"",1,0)+IF(DS1609&lt;&gt;"",1,0)+IF(DT1609&lt;&gt;"",1,0)+IF(DV1609&lt;&gt;"",1,0)+IF(DW1609&lt;&gt;"",1,0)+IF(DX1609&lt;&gt;"",1,0)+IF(DY1609&lt;&gt;"",1,0)+IF(DZ1609&lt;&gt;"",1,0)+IF(EB1609&lt;&gt;"",1,0)+IF(EC1609&lt;&gt;"",1,0)+IF(ED1609&lt;&gt;"",1,0)+IF(EG1609&lt;&gt;"",1,0)+IF(EH1609&lt;&gt;"",1,0)</f>
        <v/>
      </c>
      <c r="AZ1609">
        <f>IF(EH1609&lt;&gt;"",1,0)</f>
        <v/>
      </c>
      <c r="BB1609" t="inlineStr">
        <is>
          <t>WARREN-WARD 4</t>
        </is>
      </c>
      <c r="EF1609" t="inlineStr">
        <is>
          <t>X</t>
        </is>
      </c>
    </row>
    <row r="1610">
      <c r="A1610" t="inlineStr">
        <is>
          <t>OH0015751367</t>
        </is>
      </c>
      <c r="B1610" t="n">
        <v>78</v>
      </c>
      <c r="C1610" t="n">
        <v>238029</v>
      </c>
      <c r="D1610" t="inlineStr">
        <is>
          <t>MARKO</t>
        </is>
      </c>
      <c r="E1610" t="inlineStr">
        <is>
          <t>SHAWN</t>
        </is>
      </c>
      <c r="F1610">
        <f>CONCATENATE(D1610," ",LEFT(H1610,4),"T=",AU1610,"D=",AV1610,"R=",AW1610,"M=",AX1610,"L=",AY1610,"B=",AZ1610)</f>
        <v/>
      </c>
      <c r="I1610" t="inlineStr">
        <is>
          <t>1970-06-23</t>
        </is>
      </c>
      <c r="J1610" t="inlineStr">
        <is>
          <t>2008-12-01</t>
        </is>
      </c>
      <c r="K1610" t="inlineStr">
        <is>
          <t>ACTIVE</t>
        </is>
      </c>
      <c r="M1610" t="inlineStr">
        <is>
          <t>169 WASHINGTON ST NW</t>
        </is>
      </c>
      <c r="N1610">
        <f>RIGHT(M1610,LEN(M1610)-FIND(" ",M1610))</f>
        <v/>
      </c>
      <c r="P1610" t="inlineStr">
        <is>
          <t>WARREN</t>
        </is>
      </c>
      <c r="Q1610" t="inlineStr">
        <is>
          <t>OH</t>
        </is>
      </c>
      <c r="R1610" t="n">
        <v>44483</v>
      </c>
      <c r="AD1610" t="inlineStr">
        <is>
          <t>TRUMBULL CAREER &amp; TECH CENTER</t>
        </is>
      </c>
      <c r="AE1610" t="inlineStr">
        <is>
          <t>WARREN CITY</t>
        </is>
      </c>
      <c r="AF1610" t="inlineStr">
        <is>
          <t>WARREN CITY SD</t>
        </is>
      </c>
      <c r="AH1610" t="n">
        <v>14</v>
      </c>
      <c r="AI1610" t="n">
        <v>11</v>
      </c>
      <c r="AN1610" t="inlineStr">
        <is>
          <t>WARREN</t>
        </is>
      </c>
      <c r="AO1610" t="inlineStr">
        <is>
          <t>WARREN CITY 4D</t>
        </is>
      </c>
      <c r="AP1610" t="inlineStr">
        <is>
          <t>78-P-ADL</t>
        </is>
      </c>
      <c r="AQ1610" t="n">
        <v>9</v>
      </c>
      <c r="AR1610" t="n">
        <v>64</v>
      </c>
      <c r="AS1610" t="n">
        <v>32</v>
      </c>
      <c r="AU1610">
        <f>COUNTA($BA$1610:$EH$1610)</f>
        <v/>
      </c>
      <c r="AV1610">
        <f>COUNTIF($BA$1610:$EH$1610,"D")</f>
        <v/>
      </c>
      <c r="AW1610">
        <f>COUNTIF($BA$1610:$EH$1610,"R")</f>
        <v/>
      </c>
      <c r="AX1610">
        <f>IF(BN1610="D",1,0)+IF(BO1610="D",1,0)+IF(BT1610="D",1,0)+IF(BU1610="D",1,0)+IF(BW1610="D",1,0)+IF(CC1610="D",1,0)+IF(CD1610="D",1,0)+IF(CE1610="D",1,0)+IF(CF1610="D",1,0)+IF(CL1610="D",1,0)+IF(CM1610="D",1,0)+IF(CQ1610="D",1,0)+IF(CR1610="D",1,0)+IF(CS1610="D",1,0)+IF(CW1610="D",1,0)+IF(CX1610="D",1,0)+IF(DD1610="D",1,0)+IF(DE1610="D",1,0)+IF(DJ1610="D",1,0)+IF(DK1610="D",1,0)+IF(DO1610="D",1,0)+IF(DP1610="D",1,0)+IF(DQ1610="D",1,0)+IF(DW1610="D",1,0)+IF(DZ1610="D",1,0)+IF(EH1610="D",1,0)</f>
        <v/>
      </c>
      <c r="AY1610">
        <f>IF(DJ1610&lt;&gt;"",1,0)+IF(DK1610&lt;&gt;"",1,0)+IF(DM1610&lt;&gt;"",1,0)+IF(DO1610&lt;&gt;"",1,0)+IF(DP1610&lt;&gt;"",1,0)+IF(DQ1610&lt;&gt;"",1,0)+IF(DS1610&lt;&gt;"",1,0)+IF(DT1610&lt;&gt;"",1,0)+IF(DV1610&lt;&gt;"",1,0)+IF(DW1610&lt;&gt;"",1,0)+IF(DX1610&lt;&gt;"",1,0)+IF(DY1610&lt;&gt;"",1,0)+IF(DZ1610&lt;&gt;"",1,0)+IF(EB1610&lt;&gt;"",1,0)+IF(EC1610&lt;&gt;"",1,0)+IF(ED1610&lt;&gt;"",1,0)+IF(EG1610&lt;&gt;"",1,0)+IF(EH1610&lt;&gt;"",1,0)</f>
        <v/>
      </c>
      <c r="AZ1610">
        <f>IF(EH1610&lt;&gt;"",1,0)</f>
        <v/>
      </c>
      <c r="BB1610" t="inlineStr">
        <is>
          <t>WARREN-WARD 4</t>
        </is>
      </c>
      <c r="BL1610" t="inlineStr">
        <is>
          <t>X</t>
        </is>
      </c>
      <c r="BR1610" t="inlineStr">
        <is>
          <t>X</t>
        </is>
      </c>
      <c r="BS1610" t="inlineStr">
        <is>
          <t>X</t>
        </is>
      </c>
      <c r="BY1610" t="inlineStr">
        <is>
          <t>D</t>
        </is>
      </c>
      <c r="CA1610" t="inlineStr">
        <is>
          <t>X</t>
        </is>
      </c>
      <c r="CN1610" t="inlineStr">
        <is>
          <t>X</t>
        </is>
      </c>
      <c r="CP1610" t="inlineStr">
        <is>
          <t>X</t>
        </is>
      </c>
      <c r="CV1610" t="inlineStr">
        <is>
          <t>X</t>
        </is>
      </c>
      <c r="CY1610" t="inlineStr">
        <is>
          <t>X</t>
        </is>
      </c>
      <c r="CZ1610" t="inlineStr">
        <is>
          <t>R</t>
        </is>
      </c>
      <c r="DC1610" t="inlineStr">
        <is>
          <t>X</t>
        </is>
      </c>
      <c r="DG1610" t="inlineStr">
        <is>
          <t>R</t>
        </is>
      </c>
      <c r="DI1610" t="inlineStr">
        <is>
          <t>X</t>
        </is>
      </c>
      <c r="DL1610" t="inlineStr">
        <is>
          <t>X</t>
        </is>
      </c>
      <c r="DN1610" t="inlineStr">
        <is>
          <t>X</t>
        </is>
      </c>
      <c r="DU1610" t="inlineStr">
        <is>
          <t>X</t>
        </is>
      </c>
      <c r="EA1610" t="inlineStr">
        <is>
          <t>X</t>
        </is>
      </c>
      <c r="EF1610" t="inlineStr">
        <is>
          <t>X</t>
        </is>
      </c>
    </row>
    <row r="1611">
      <c r="A1611" t="inlineStr">
        <is>
          <t>OH0022955811</t>
        </is>
      </c>
      <c r="B1611" t="n">
        <v>78</v>
      </c>
      <c r="C1611" t="n">
        <v>404652</v>
      </c>
      <c r="D1611" t="inlineStr">
        <is>
          <t>STEPHENS</t>
        </is>
      </c>
      <c r="E1611" t="inlineStr">
        <is>
          <t>DESTINY</t>
        </is>
      </c>
      <c r="F1611">
        <f>CONCATENATE(D1611," ",LEFT(H1611,4),"T=",AU1611,"D=",AV1611,"R=",AW1611,"M=",AX1611,"L=",AY1611,"B=",AZ1611)</f>
        <v/>
      </c>
      <c r="G1611" t="inlineStr">
        <is>
          <t>JOY</t>
        </is>
      </c>
      <c r="I1611" t="inlineStr">
        <is>
          <t>1995-06-12</t>
        </is>
      </c>
      <c r="J1611" t="inlineStr">
        <is>
          <t>2014-10-06</t>
        </is>
      </c>
      <c r="K1611" t="inlineStr">
        <is>
          <t>ACTIVE</t>
        </is>
      </c>
      <c r="M1611" t="inlineStr">
        <is>
          <t>461 LAMPHIER PL NE</t>
        </is>
      </c>
      <c r="N1611">
        <f>RIGHT(M1611,LEN(M1611)-FIND(" ",M1611))</f>
        <v/>
      </c>
      <c r="P1611" t="inlineStr">
        <is>
          <t>WARREN</t>
        </is>
      </c>
      <c r="Q1611" t="inlineStr">
        <is>
          <t>OH</t>
        </is>
      </c>
      <c r="R1611" t="n">
        <v>44483</v>
      </c>
      <c r="AD1611" t="inlineStr">
        <is>
          <t>TRUMBULL CAREER &amp; TECH CENTER</t>
        </is>
      </c>
      <c r="AE1611" t="inlineStr">
        <is>
          <t>WARREN CITY</t>
        </is>
      </c>
      <c r="AF1611" t="inlineStr">
        <is>
          <t>WARREN CITY SD</t>
        </is>
      </c>
      <c r="AH1611" t="n">
        <v>14</v>
      </c>
      <c r="AI1611" t="n">
        <v>11</v>
      </c>
      <c r="AN1611" t="inlineStr">
        <is>
          <t>WARREN</t>
        </is>
      </c>
      <c r="AO1611" t="inlineStr">
        <is>
          <t>WARREN CITY 4D</t>
        </is>
      </c>
      <c r="AP1611" t="inlineStr">
        <is>
          <t>78-P-ADL</t>
        </is>
      </c>
      <c r="AQ1611" t="n">
        <v>9</v>
      </c>
      <c r="AR1611" t="n">
        <v>64</v>
      </c>
      <c r="AS1611" t="n">
        <v>32</v>
      </c>
      <c r="AU1611">
        <f>COUNTA($BA$1611:$EH$1611)</f>
        <v/>
      </c>
      <c r="AV1611">
        <f>COUNTIF($BA$1611:$EH$1611,"D")</f>
        <v/>
      </c>
      <c r="AW1611">
        <f>COUNTIF($BA$1611:$EH$1611,"R")</f>
        <v/>
      </c>
      <c r="AX1611">
        <f>IF(BN1611="D",1,0)+IF(BO1611="D",1,0)+IF(BT1611="D",1,0)+IF(BU1611="D",1,0)+IF(BW1611="D",1,0)+IF(CC1611="D",1,0)+IF(CD1611="D",1,0)+IF(CE1611="D",1,0)+IF(CF1611="D",1,0)+IF(CL1611="D",1,0)+IF(CM1611="D",1,0)+IF(CQ1611="D",1,0)+IF(CR1611="D",1,0)+IF(CS1611="D",1,0)+IF(CW1611="D",1,0)+IF(CX1611="D",1,0)+IF(DD1611="D",1,0)+IF(DE1611="D",1,0)+IF(DJ1611="D",1,0)+IF(DK1611="D",1,0)+IF(DO1611="D",1,0)+IF(DP1611="D",1,0)+IF(DQ1611="D",1,0)+IF(DW1611="D",1,0)+IF(DZ1611="D",1,0)+IF(EH1611="D",1,0)</f>
        <v/>
      </c>
      <c r="AY1611">
        <f>IF(DJ1611&lt;&gt;"",1,0)+IF(DK1611&lt;&gt;"",1,0)+IF(DM1611&lt;&gt;"",1,0)+IF(DO1611&lt;&gt;"",1,0)+IF(DP1611&lt;&gt;"",1,0)+IF(DQ1611&lt;&gt;"",1,0)+IF(DS1611&lt;&gt;"",1,0)+IF(DT1611&lt;&gt;"",1,0)+IF(DV1611&lt;&gt;"",1,0)+IF(DW1611&lt;&gt;"",1,0)+IF(DX1611&lt;&gt;"",1,0)+IF(DY1611&lt;&gt;"",1,0)+IF(DZ1611&lt;&gt;"",1,0)+IF(EB1611&lt;&gt;"",1,0)+IF(EC1611&lt;&gt;"",1,0)+IF(ED1611&lt;&gt;"",1,0)+IF(EG1611&lt;&gt;"",1,0)+IF(EH1611&lt;&gt;"",1,0)</f>
        <v/>
      </c>
      <c r="AZ1611">
        <f>IF(EH1611&lt;&gt;"",1,0)</f>
        <v/>
      </c>
      <c r="BB1611" t="inlineStr">
        <is>
          <t>WARREN-WARD 4</t>
        </is>
      </c>
      <c r="CV1611" t="inlineStr">
        <is>
          <t>X</t>
        </is>
      </c>
      <c r="CZ1611" t="inlineStr">
        <is>
          <t>R</t>
        </is>
      </c>
      <c r="DC1611" t="inlineStr">
        <is>
          <t>X</t>
        </is>
      </c>
      <c r="DI1611" t="inlineStr">
        <is>
          <t>X</t>
        </is>
      </c>
      <c r="DN1611" t="inlineStr">
        <is>
          <t>X</t>
        </is>
      </c>
      <c r="DU1611" t="inlineStr">
        <is>
          <t>X</t>
        </is>
      </c>
    </row>
    <row r="1612">
      <c r="A1612" t="inlineStr">
        <is>
          <t>OH0021372800</t>
        </is>
      </c>
      <c r="B1612" t="n">
        <v>78</v>
      </c>
      <c r="C1612" t="n">
        <v>380366</v>
      </c>
      <c r="D1612" t="inlineStr">
        <is>
          <t>DAHL</t>
        </is>
      </c>
      <c r="E1612" t="inlineStr">
        <is>
          <t>JASMIN</t>
        </is>
      </c>
      <c r="F1612">
        <f>CONCATENATE(D1612," ",LEFT(H1612,4),"T=",AU1612,"D=",AV1612,"R=",AW1612,"M=",AX1612,"L=",AY1612,"B=",AZ1612)</f>
        <v/>
      </c>
      <c r="G1612" t="inlineStr">
        <is>
          <t>M</t>
        </is>
      </c>
      <c r="I1612" t="inlineStr">
        <is>
          <t>1981-07-25</t>
        </is>
      </c>
      <c r="J1612" t="inlineStr">
        <is>
          <t>2015-08-12</t>
        </is>
      </c>
      <c r="K1612" t="inlineStr">
        <is>
          <t>CONFIRMATION</t>
        </is>
      </c>
      <c r="M1612" t="inlineStr">
        <is>
          <t>159 LINDEN AVE SE</t>
        </is>
      </c>
      <c r="N1612">
        <f>RIGHT(M1612,LEN(M1612)-FIND(" ",M1612))</f>
        <v/>
      </c>
      <c r="P1612" t="inlineStr">
        <is>
          <t>WARREN</t>
        </is>
      </c>
      <c r="Q1612" t="inlineStr">
        <is>
          <t>OH</t>
        </is>
      </c>
      <c r="R1612" t="n">
        <v>44483</v>
      </c>
      <c r="AD1612" t="inlineStr">
        <is>
          <t>TRUMBULL CAREER &amp; TECH CENTER</t>
        </is>
      </c>
      <c r="AE1612" t="inlineStr">
        <is>
          <t>WARREN CITY</t>
        </is>
      </c>
      <c r="AF1612" t="inlineStr">
        <is>
          <t>WARREN CITY SD</t>
        </is>
      </c>
      <c r="AH1612" t="n">
        <v>14</v>
      </c>
      <c r="AI1612" t="n">
        <v>11</v>
      </c>
      <c r="AN1612" t="inlineStr">
        <is>
          <t>WARREN</t>
        </is>
      </c>
      <c r="AO1612" t="inlineStr">
        <is>
          <t>WARREN CITY 4D</t>
        </is>
      </c>
      <c r="AP1612" t="inlineStr">
        <is>
          <t>78-P-ADL</t>
        </is>
      </c>
      <c r="AQ1612" t="n">
        <v>9</v>
      </c>
      <c r="AR1612" t="n">
        <v>64</v>
      </c>
      <c r="AS1612" t="n">
        <v>32</v>
      </c>
      <c r="AU1612">
        <f>COUNTA($BA$1612:$EH$1612)</f>
        <v/>
      </c>
      <c r="AV1612">
        <f>COUNTIF($BA$1612:$EH$1612,"D")</f>
        <v/>
      </c>
      <c r="AW1612">
        <f>COUNTIF($BA$1612:$EH$1612,"R")</f>
        <v/>
      </c>
      <c r="AX1612">
        <f>IF(BN1612="D",1,0)+IF(BO1612="D",1,0)+IF(BT1612="D",1,0)+IF(BU1612="D",1,0)+IF(BW1612="D",1,0)+IF(CC1612="D",1,0)+IF(CD1612="D",1,0)+IF(CE1612="D",1,0)+IF(CF1612="D",1,0)+IF(CL1612="D",1,0)+IF(CM1612="D",1,0)+IF(CQ1612="D",1,0)+IF(CR1612="D",1,0)+IF(CS1612="D",1,0)+IF(CW1612="D",1,0)+IF(CX1612="D",1,0)+IF(DD1612="D",1,0)+IF(DE1612="D",1,0)+IF(DJ1612="D",1,0)+IF(DK1612="D",1,0)+IF(DO1612="D",1,0)+IF(DP1612="D",1,0)+IF(DQ1612="D",1,0)+IF(DW1612="D",1,0)+IF(DZ1612="D",1,0)+IF(EH1612="D",1,0)</f>
        <v/>
      </c>
      <c r="AY1612">
        <f>IF(DJ1612&lt;&gt;"",1,0)+IF(DK1612&lt;&gt;"",1,0)+IF(DM1612&lt;&gt;"",1,0)+IF(DO1612&lt;&gt;"",1,0)+IF(DP1612&lt;&gt;"",1,0)+IF(DQ1612&lt;&gt;"",1,0)+IF(DS1612&lt;&gt;"",1,0)+IF(DT1612&lt;&gt;"",1,0)+IF(DV1612&lt;&gt;"",1,0)+IF(DW1612&lt;&gt;"",1,0)+IF(DX1612&lt;&gt;"",1,0)+IF(DY1612&lt;&gt;"",1,0)+IF(DZ1612&lt;&gt;"",1,0)+IF(EB1612&lt;&gt;"",1,0)+IF(EC1612&lt;&gt;"",1,0)+IF(ED1612&lt;&gt;"",1,0)+IF(EG1612&lt;&gt;"",1,0)+IF(EH1612&lt;&gt;"",1,0)</f>
        <v/>
      </c>
      <c r="AZ1612">
        <f>IF(EH1612&lt;&gt;"",1,0)</f>
        <v/>
      </c>
      <c r="BB1612" t="inlineStr">
        <is>
          <t>WARREN-WARD 4</t>
        </is>
      </c>
      <c r="CP1612" t="inlineStr">
        <is>
          <t>X</t>
        </is>
      </c>
    </row>
    <row r="1613">
      <c r="A1613" t="inlineStr">
        <is>
          <t>OH0027516762</t>
        </is>
      </c>
      <c r="B1613" t="n">
        <v>78</v>
      </c>
      <c r="C1613" t="n">
        <v>487654</v>
      </c>
      <c r="D1613" t="inlineStr">
        <is>
          <t>PARRY</t>
        </is>
      </c>
      <c r="E1613" t="inlineStr">
        <is>
          <t>TRINITY</t>
        </is>
      </c>
      <c r="F1613">
        <f>CONCATENATE(D1613," ",LEFT(H1613,4),"T=",AU1613,"D=",AV1613,"R=",AW1613,"M=",AX1613,"L=",AY1613,"B=",AZ1613)</f>
        <v/>
      </c>
      <c r="G1613" t="inlineStr">
        <is>
          <t>F</t>
        </is>
      </c>
      <c r="I1613" t="inlineStr">
        <is>
          <t>1986-02-08</t>
        </is>
      </c>
      <c r="J1613" t="inlineStr">
        <is>
          <t>2024-08-06</t>
        </is>
      </c>
      <c r="K1613" t="inlineStr">
        <is>
          <t>ACTIVE</t>
        </is>
      </c>
      <c r="M1613" t="inlineStr">
        <is>
          <t>1186 HARRISON ST NE</t>
        </is>
      </c>
      <c r="N1613">
        <f>RIGHT(M1613,LEN(M1613)-FIND(" ",M1613))</f>
        <v/>
      </c>
      <c r="P1613" t="inlineStr">
        <is>
          <t>WARREN</t>
        </is>
      </c>
      <c r="Q1613" t="inlineStr">
        <is>
          <t>OH</t>
        </is>
      </c>
      <c r="R1613" t="n">
        <v>44483</v>
      </c>
      <c r="AD1613" t="inlineStr">
        <is>
          <t>TRUMBULL CAREER &amp; TECH CENTER</t>
        </is>
      </c>
      <c r="AE1613" t="inlineStr">
        <is>
          <t>WARREN CITY</t>
        </is>
      </c>
      <c r="AF1613" t="inlineStr">
        <is>
          <t>WARREN CITY SD</t>
        </is>
      </c>
      <c r="AH1613" t="n">
        <v>14</v>
      </c>
      <c r="AI1613" t="n">
        <v>11</v>
      </c>
      <c r="AN1613" t="inlineStr">
        <is>
          <t>WARREN</t>
        </is>
      </c>
      <c r="AO1613" t="inlineStr">
        <is>
          <t>WARREN CITY 4D</t>
        </is>
      </c>
      <c r="AP1613" t="inlineStr">
        <is>
          <t>78-P-ADL</t>
        </is>
      </c>
      <c r="AQ1613" t="n">
        <v>9</v>
      </c>
      <c r="AR1613" t="n">
        <v>64</v>
      </c>
      <c r="AS1613" t="n">
        <v>32</v>
      </c>
      <c r="AU1613">
        <f>COUNTA($BA$1613:$EH$1613)</f>
        <v/>
      </c>
      <c r="AV1613">
        <f>COUNTIF($BA$1613:$EH$1613,"D")</f>
        <v/>
      </c>
      <c r="AW1613">
        <f>COUNTIF($BA$1613:$EH$1613,"R")</f>
        <v/>
      </c>
      <c r="AX1613">
        <f>IF(BN1613="D",1,0)+IF(BO1613="D",1,0)+IF(BT1613="D",1,0)+IF(BU1613="D",1,0)+IF(BW1613="D",1,0)+IF(CC1613="D",1,0)+IF(CD1613="D",1,0)+IF(CE1613="D",1,0)+IF(CF1613="D",1,0)+IF(CL1613="D",1,0)+IF(CM1613="D",1,0)+IF(CQ1613="D",1,0)+IF(CR1613="D",1,0)+IF(CS1613="D",1,0)+IF(CW1613="D",1,0)+IF(CX1613="D",1,0)+IF(DD1613="D",1,0)+IF(DE1613="D",1,0)+IF(DJ1613="D",1,0)+IF(DK1613="D",1,0)+IF(DO1613="D",1,0)+IF(DP1613="D",1,0)+IF(DQ1613="D",1,0)+IF(DW1613="D",1,0)+IF(DZ1613="D",1,0)+IF(EH1613="D",1,0)</f>
        <v/>
      </c>
      <c r="AY1613">
        <f>IF(DJ1613&lt;&gt;"",1,0)+IF(DK1613&lt;&gt;"",1,0)+IF(DM1613&lt;&gt;"",1,0)+IF(DO1613&lt;&gt;"",1,0)+IF(DP1613&lt;&gt;"",1,0)+IF(DQ1613&lt;&gt;"",1,0)+IF(DS1613&lt;&gt;"",1,0)+IF(DT1613&lt;&gt;"",1,0)+IF(DV1613&lt;&gt;"",1,0)+IF(DW1613&lt;&gt;"",1,0)+IF(DX1613&lt;&gt;"",1,0)+IF(DY1613&lt;&gt;"",1,0)+IF(DZ1613&lt;&gt;"",1,0)+IF(EB1613&lt;&gt;"",1,0)+IF(EC1613&lt;&gt;"",1,0)+IF(ED1613&lt;&gt;"",1,0)+IF(EG1613&lt;&gt;"",1,0)+IF(EH1613&lt;&gt;"",1,0)</f>
        <v/>
      </c>
      <c r="AZ1613">
        <f>IF(EH1613&lt;&gt;"",1,0)</f>
        <v/>
      </c>
      <c r="BB1613" t="inlineStr">
        <is>
          <t>WARREN-WARD 4</t>
        </is>
      </c>
    </row>
    <row r="1614">
      <c r="A1614" t="inlineStr">
        <is>
          <t>OH0015709303</t>
        </is>
      </c>
      <c r="B1614" t="n">
        <v>78</v>
      </c>
      <c r="C1614" t="n">
        <v>268377</v>
      </c>
      <c r="D1614" t="inlineStr">
        <is>
          <t>NICHOLAS</t>
        </is>
      </c>
      <c r="E1614" t="inlineStr">
        <is>
          <t>MICHAEL</t>
        </is>
      </c>
      <c r="F1614">
        <f>CONCATENATE(D1614," ",LEFT(H1614,4),"T=",AU1614,"D=",AV1614,"R=",AW1614,"M=",AX1614,"L=",AY1614,"B=",AZ1614)</f>
        <v/>
      </c>
      <c r="G1614" t="inlineStr">
        <is>
          <t>M</t>
        </is>
      </c>
      <c r="I1614" t="inlineStr">
        <is>
          <t>1947-06-10</t>
        </is>
      </c>
      <c r="J1614" t="inlineStr">
        <is>
          <t>2014-05-10</t>
        </is>
      </c>
      <c r="K1614" t="inlineStr">
        <is>
          <t>ACTIVE</t>
        </is>
      </c>
      <c r="M1614" t="inlineStr">
        <is>
          <t>226 LOWELL AVE NE</t>
        </is>
      </c>
      <c r="N1614">
        <f>RIGHT(M1614,LEN(M1614)-FIND(" ",M1614))</f>
        <v/>
      </c>
      <c r="P1614" t="inlineStr">
        <is>
          <t>WARREN</t>
        </is>
      </c>
      <c r="Q1614" t="inlineStr">
        <is>
          <t>OH</t>
        </is>
      </c>
      <c r="R1614" t="n">
        <v>44483</v>
      </c>
      <c r="AD1614" t="inlineStr">
        <is>
          <t>TRUMBULL CAREER &amp; TECH CENTER</t>
        </is>
      </c>
      <c r="AE1614" t="inlineStr">
        <is>
          <t>WARREN CITY</t>
        </is>
      </c>
      <c r="AF1614" t="inlineStr">
        <is>
          <t>WARREN CITY SD</t>
        </is>
      </c>
      <c r="AH1614" t="n">
        <v>14</v>
      </c>
      <c r="AI1614" t="n">
        <v>11</v>
      </c>
      <c r="AN1614" t="inlineStr">
        <is>
          <t>WARREN</t>
        </is>
      </c>
      <c r="AO1614" t="inlineStr">
        <is>
          <t>WARREN CITY 4D</t>
        </is>
      </c>
      <c r="AP1614" t="inlineStr">
        <is>
          <t>78-P-ADL</t>
        </is>
      </c>
      <c r="AQ1614" t="n">
        <v>9</v>
      </c>
      <c r="AR1614" t="n">
        <v>64</v>
      </c>
      <c r="AS1614" t="n">
        <v>32</v>
      </c>
      <c r="AU1614">
        <f>COUNTA($BA$1614:$EH$1614)</f>
        <v/>
      </c>
      <c r="AV1614">
        <f>COUNTIF($BA$1614:$EH$1614,"D")</f>
        <v/>
      </c>
      <c r="AW1614">
        <f>COUNTIF($BA$1614:$EH$1614,"R")</f>
        <v/>
      </c>
      <c r="AX1614">
        <f>IF(BN1614="D",1,0)+IF(BO1614="D",1,0)+IF(BT1614="D",1,0)+IF(BU1614="D",1,0)+IF(BW1614="D",1,0)+IF(CC1614="D",1,0)+IF(CD1614="D",1,0)+IF(CE1614="D",1,0)+IF(CF1614="D",1,0)+IF(CL1614="D",1,0)+IF(CM1614="D",1,0)+IF(CQ1614="D",1,0)+IF(CR1614="D",1,0)+IF(CS1614="D",1,0)+IF(CW1614="D",1,0)+IF(CX1614="D",1,0)+IF(DD1614="D",1,0)+IF(DE1614="D",1,0)+IF(DJ1614="D",1,0)+IF(DK1614="D",1,0)+IF(DO1614="D",1,0)+IF(DP1614="D",1,0)+IF(DQ1614="D",1,0)+IF(DW1614="D",1,0)+IF(DZ1614="D",1,0)+IF(EH1614="D",1,0)</f>
        <v/>
      </c>
      <c r="AY1614">
        <f>IF(DJ1614&lt;&gt;"",1,0)+IF(DK1614&lt;&gt;"",1,0)+IF(DM1614&lt;&gt;"",1,0)+IF(DO1614&lt;&gt;"",1,0)+IF(DP1614&lt;&gt;"",1,0)+IF(DQ1614&lt;&gt;"",1,0)+IF(DS1614&lt;&gt;"",1,0)+IF(DT1614&lt;&gt;"",1,0)+IF(DV1614&lt;&gt;"",1,0)+IF(DW1614&lt;&gt;"",1,0)+IF(DX1614&lt;&gt;"",1,0)+IF(DY1614&lt;&gt;"",1,0)+IF(DZ1614&lt;&gt;"",1,0)+IF(EB1614&lt;&gt;"",1,0)+IF(EC1614&lt;&gt;"",1,0)+IF(ED1614&lt;&gt;"",1,0)+IF(EG1614&lt;&gt;"",1,0)+IF(EH1614&lt;&gt;"",1,0)</f>
        <v/>
      </c>
      <c r="AZ1614">
        <f>IF(EH1614&lt;&gt;"",1,0)</f>
        <v/>
      </c>
      <c r="BB1614" t="inlineStr">
        <is>
          <t>WARREN-WARD 4</t>
        </is>
      </c>
      <c r="CK1614" t="inlineStr">
        <is>
          <t>X</t>
        </is>
      </c>
      <c r="CP1614" t="inlineStr">
        <is>
          <t>X</t>
        </is>
      </c>
      <c r="DC1614" t="inlineStr">
        <is>
          <t>X</t>
        </is>
      </c>
      <c r="DI1614" t="inlineStr">
        <is>
          <t>X</t>
        </is>
      </c>
      <c r="DN1614" t="inlineStr">
        <is>
          <t>X</t>
        </is>
      </c>
      <c r="DU1614" t="inlineStr">
        <is>
          <t>X</t>
        </is>
      </c>
      <c r="EF1614" t="inlineStr">
        <is>
          <t>X</t>
        </is>
      </c>
    </row>
    <row r="1615">
      <c r="A1615" t="inlineStr">
        <is>
          <t>OH0015726368</t>
        </is>
      </c>
      <c r="B1615" t="n">
        <v>78</v>
      </c>
      <c r="C1615" t="n">
        <v>323270</v>
      </c>
      <c r="D1615" t="inlineStr">
        <is>
          <t>JOYE</t>
        </is>
      </c>
      <c r="E1615" t="inlineStr">
        <is>
          <t>LEANNA</t>
        </is>
      </c>
      <c r="F1615">
        <f>CONCATENATE(D1615," ",LEFT(H1615,4),"T=",AU1615,"D=",AV1615,"R=",AW1615,"M=",AX1615,"L=",AY1615,"B=",AZ1615)</f>
        <v/>
      </c>
      <c r="G1615" t="inlineStr">
        <is>
          <t>J</t>
        </is>
      </c>
      <c r="I1615" t="inlineStr">
        <is>
          <t>1977-09-06</t>
        </is>
      </c>
      <c r="J1615" t="inlineStr">
        <is>
          <t>2023-08-08</t>
        </is>
      </c>
      <c r="K1615" t="inlineStr">
        <is>
          <t>ACTIVE</t>
        </is>
      </c>
      <c r="M1615" t="inlineStr">
        <is>
          <t>446 LAMPHIER PL NE</t>
        </is>
      </c>
      <c r="N1615">
        <f>RIGHT(M1615,LEN(M1615)-FIND(" ",M1615))</f>
        <v/>
      </c>
      <c r="P1615" t="inlineStr">
        <is>
          <t>WARREN</t>
        </is>
      </c>
      <c r="Q1615" t="inlineStr">
        <is>
          <t>OH</t>
        </is>
      </c>
      <c r="R1615" t="n">
        <v>44483</v>
      </c>
      <c r="AD1615" t="inlineStr">
        <is>
          <t>TRUMBULL CAREER &amp; TECH CENTER</t>
        </is>
      </c>
      <c r="AE1615" t="inlineStr">
        <is>
          <t>WARREN CITY</t>
        </is>
      </c>
      <c r="AF1615" t="inlineStr">
        <is>
          <t>WARREN CITY SD</t>
        </is>
      </c>
      <c r="AH1615" t="n">
        <v>14</v>
      </c>
      <c r="AI1615" t="n">
        <v>11</v>
      </c>
      <c r="AN1615" t="inlineStr">
        <is>
          <t>WARREN</t>
        </is>
      </c>
      <c r="AO1615" t="inlineStr">
        <is>
          <t>WARREN CITY 4D</t>
        </is>
      </c>
      <c r="AP1615" t="inlineStr">
        <is>
          <t>78-P-ADL</t>
        </is>
      </c>
      <c r="AQ1615" t="n">
        <v>9</v>
      </c>
      <c r="AR1615" t="n">
        <v>64</v>
      </c>
      <c r="AS1615" t="n">
        <v>32</v>
      </c>
      <c r="AU1615">
        <f>COUNTA($BA$1615:$EH$1615)</f>
        <v/>
      </c>
      <c r="AV1615">
        <f>COUNTIF($BA$1615:$EH$1615,"D")</f>
        <v/>
      </c>
      <c r="AW1615">
        <f>COUNTIF($BA$1615:$EH$1615,"R")</f>
        <v/>
      </c>
      <c r="AX1615">
        <f>IF(BN1615="D",1,0)+IF(BO1615="D",1,0)+IF(BT1615="D",1,0)+IF(BU1615="D",1,0)+IF(BW1615="D",1,0)+IF(CC1615="D",1,0)+IF(CD1615="D",1,0)+IF(CE1615="D",1,0)+IF(CF1615="D",1,0)+IF(CL1615="D",1,0)+IF(CM1615="D",1,0)+IF(CQ1615="D",1,0)+IF(CR1615="D",1,0)+IF(CS1615="D",1,0)+IF(CW1615="D",1,0)+IF(CX1615="D",1,0)+IF(DD1615="D",1,0)+IF(DE1615="D",1,0)+IF(DJ1615="D",1,0)+IF(DK1615="D",1,0)+IF(DO1615="D",1,0)+IF(DP1615="D",1,0)+IF(DQ1615="D",1,0)+IF(DW1615="D",1,0)+IF(DZ1615="D",1,0)+IF(EH1615="D",1,0)</f>
        <v/>
      </c>
      <c r="AY1615">
        <f>IF(DJ1615&lt;&gt;"",1,0)+IF(DK1615&lt;&gt;"",1,0)+IF(DM1615&lt;&gt;"",1,0)+IF(DO1615&lt;&gt;"",1,0)+IF(DP1615&lt;&gt;"",1,0)+IF(DQ1615&lt;&gt;"",1,0)+IF(DS1615&lt;&gt;"",1,0)+IF(DT1615&lt;&gt;"",1,0)+IF(DV1615&lt;&gt;"",1,0)+IF(DW1615&lt;&gt;"",1,0)+IF(DX1615&lt;&gt;"",1,0)+IF(DY1615&lt;&gt;"",1,0)+IF(DZ1615&lt;&gt;"",1,0)+IF(EB1615&lt;&gt;"",1,0)+IF(EC1615&lt;&gt;"",1,0)+IF(ED1615&lt;&gt;"",1,0)+IF(EG1615&lt;&gt;"",1,0)+IF(EH1615&lt;&gt;"",1,0)</f>
        <v/>
      </c>
      <c r="AZ1615">
        <f>IF(EH1615&lt;&gt;"",1,0)</f>
        <v/>
      </c>
      <c r="BB1615" t="inlineStr">
        <is>
          <t>WARREN-WARD 4</t>
        </is>
      </c>
      <c r="BL1615" t="inlineStr">
        <is>
          <t>X</t>
        </is>
      </c>
      <c r="BY1615" t="inlineStr">
        <is>
          <t>D</t>
        </is>
      </c>
      <c r="CA1615" t="inlineStr">
        <is>
          <t>X</t>
        </is>
      </c>
      <c r="EF1615" t="inlineStr">
        <is>
          <t>X</t>
        </is>
      </c>
    </row>
    <row r="1616">
      <c r="A1616" t="inlineStr">
        <is>
          <t>OH0025738460</t>
        </is>
      </c>
      <c r="B1616" t="n">
        <v>78</v>
      </c>
      <c r="C1616" t="n">
        <v>449674</v>
      </c>
      <c r="D1616" t="inlineStr">
        <is>
          <t>VAIL</t>
        </is>
      </c>
      <c r="E1616" t="inlineStr">
        <is>
          <t>KAYLAH</t>
        </is>
      </c>
      <c r="F1616">
        <f>CONCATENATE(D1616," ",LEFT(H1616,4),"T=",AU1616,"D=",AV1616,"R=",AW1616,"M=",AX1616,"L=",AY1616,"B=",AZ1616)</f>
        <v/>
      </c>
      <c r="G1616" t="inlineStr">
        <is>
          <t>SOFIA ANNE</t>
        </is>
      </c>
      <c r="I1616" t="inlineStr">
        <is>
          <t>1999-12-26</t>
        </is>
      </c>
      <c r="J1616" t="inlineStr">
        <is>
          <t>2023-12-19</t>
        </is>
      </c>
      <c r="K1616" t="inlineStr">
        <is>
          <t>ACTIVE</t>
        </is>
      </c>
      <c r="M1616" t="inlineStr">
        <is>
          <t>256 CHARLES AVE NE</t>
        </is>
      </c>
      <c r="N1616">
        <f>RIGHT(M1616,LEN(M1616)-FIND(" ",M1616))</f>
        <v/>
      </c>
      <c r="P1616" t="inlineStr">
        <is>
          <t>WARREN</t>
        </is>
      </c>
      <c r="Q1616" t="inlineStr">
        <is>
          <t>OH</t>
        </is>
      </c>
      <c r="R1616" t="n">
        <v>44483</v>
      </c>
      <c r="AD1616" t="inlineStr">
        <is>
          <t>TRUMBULL CAREER &amp; TECH CENTER</t>
        </is>
      </c>
      <c r="AE1616" t="inlineStr">
        <is>
          <t>WARREN CITY</t>
        </is>
      </c>
      <c r="AF1616" t="inlineStr">
        <is>
          <t>WARREN CITY SD</t>
        </is>
      </c>
      <c r="AH1616" t="n">
        <v>14</v>
      </c>
      <c r="AI1616" t="n">
        <v>11</v>
      </c>
      <c r="AN1616" t="inlineStr">
        <is>
          <t>WARREN</t>
        </is>
      </c>
      <c r="AO1616" t="inlineStr">
        <is>
          <t>WARREN CITY 4D</t>
        </is>
      </c>
      <c r="AP1616" t="inlineStr">
        <is>
          <t>78-P-ADL</t>
        </is>
      </c>
      <c r="AQ1616" t="n">
        <v>9</v>
      </c>
      <c r="AR1616" t="n">
        <v>64</v>
      </c>
      <c r="AS1616" t="n">
        <v>32</v>
      </c>
      <c r="AU1616">
        <f>COUNTA($BA$1616:$EH$1616)</f>
        <v/>
      </c>
      <c r="AV1616">
        <f>COUNTIF($BA$1616:$EH$1616,"D")</f>
        <v/>
      </c>
      <c r="AW1616">
        <f>COUNTIF($BA$1616:$EH$1616,"R")</f>
        <v/>
      </c>
      <c r="AX1616">
        <f>IF(BN1616="D",1,0)+IF(BO1616="D",1,0)+IF(BT1616="D",1,0)+IF(BU1616="D",1,0)+IF(BW1616="D",1,0)+IF(CC1616="D",1,0)+IF(CD1616="D",1,0)+IF(CE1616="D",1,0)+IF(CF1616="D",1,0)+IF(CL1616="D",1,0)+IF(CM1616="D",1,0)+IF(CQ1616="D",1,0)+IF(CR1616="D",1,0)+IF(CS1616="D",1,0)+IF(CW1616="D",1,0)+IF(CX1616="D",1,0)+IF(DD1616="D",1,0)+IF(DE1616="D",1,0)+IF(DJ1616="D",1,0)+IF(DK1616="D",1,0)+IF(DO1616="D",1,0)+IF(DP1616="D",1,0)+IF(DQ1616="D",1,0)+IF(DW1616="D",1,0)+IF(DZ1616="D",1,0)+IF(EH1616="D",1,0)</f>
        <v/>
      </c>
      <c r="AY1616">
        <f>IF(DJ1616&lt;&gt;"",1,0)+IF(DK1616&lt;&gt;"",1,0)+IF(DM1616&lt;&gt;"",1,0)+IF(DO1616&lt;&gt;"",1,0)+IF(DP1616&lt;&gt;"",1,0)+IF(DQ1616&lt;&gt;"",1,0)+IF(DS1616&lt;&gt;"",1,0)+IF(DT1616&lt;&gt;"",1,0)+IF(DV1616&lt;&gt;"",1,0)+IF(DW1616&lt;&gt;"",1,0)+IF(DX1616&lt;&gt;"",1,0)+IF(DY1616&lt;&gt;"",1,0)+IF(DZ1616&lt;&gt;"",1,0)+IF(EB1616&lt;&gt;"",1,0)+IF(EC1616&lt;&gt;"",1,0)+IF(ED1616&lt;&gt;"",1,0)+IF(EG1616&lt;&gt;"",1,0)+IF(EH1616&lt;&gt;"",1,0)</f>
        <v/>
      </c>
      <c r="AZ1616">
        <f>IF(EH1616&lt;&gt;"",1,0)</f>
        <v/>
      </c>
      <c r="BB1616" t="inlineStr">
        <is>
          <t>WARREN-WARD 4</t>
        </is>
      </c>
      <c r="DN1616" t="inlineStr">
        <is>
          <t>X</t>
        </is>
      </c>
      <c r="EA1616" t="inlineStr">
        <is>
          <t>X</t>
        </is>
      </c>
      <c r="EF1616" t="inlineStr">
        <is>
          <t>X</t>
        </is>
      </c>
    </row>
    <row r="1617">
      <c r="A1617" t="inlineStr">
        <is>
          <t>OH0025091975</t>
        </is>
      </c>
      <c r="B1617" t="n">
        <v>78</v>
      </c>
      <c r="C1617" t="n">
        <v>439148</v>
      </c>
      <c r="D1617" t="inlineStr">
        <is>
          <t>RIGGS</t>
        </is>
      </c>
      <c r="E1617" t="inlineStr">
        <is>
          <t>ANGEL</t>
        </is>
      </c>
      <c r="F1617">
        <f>CONCATENATE(D1617," ",LEFT(H1617,4),"T=",AU1617,"D=",AV1617,"R=",AW1617,"M=",AX1617,"L=",AY1617,"B=",AZ1617)</f>
        <v/>
      </c>
      <c r="G1617" t="inlineStr">
        <is>
          <t>MARIE</t>
        </is>
      </c>
      <c r="I1617" t="inlineStr">
        <is>
          <t>1999-04-05</t>
        </is>
      </c>
      <c r="J1617" t="inlineStr">
        <is>
          <t>2019-04-17</t>
        </is>
      </c>
      <c r="K1617" t="inlineStr">
        <is>
          <t>CONFIRMATION</t>
        </is>
      </c>
      <c r="M1617" t="inlineStr">
        <is>
          <t>230 LINDEN AVE SE</t>
        </is>
      </c>
      <c r="N1617">
        <f>RIGHT(M1617,LEN(M1617)-FIND(" ",M1617))</f>
        <v/>
      </c>
      <c r="P1617" t="inlineStr">
        <is>
          <t>WARREN</t>
        </is>
      </c>
      <c r="Q1617" t="inlineStr">
        <is>
          <t>OH</t>
        </is>
      </c>
      <c r="R1617" t="n">
        <v>44483</v>
      </c>
      <c r="AD1617" t="inlineStr">
        <is>
          <t>TRUMBULL CAREER &amp; TECH CENTER</t>
        </is>
      </c>
      <c r="AE1617" t="inlineStr">
        <is>
          <t>WARREN CITY</t>
        </is>
      </c>
      <c r="AF1617" t="inlineStr">
        <is>
          <t>WARREN CITY SD</t>
        </is>
      </c>
      <c r="AH1617" t="n">
        <v>14</v>
      </c>
      <c r="AI1617" t="n">
        <v>11</v>
      </c>
      <c r="AN1617" t="inlineStr">
        <is>
          <t>WARREN</t>
        </is>
      </c>
      <c r="AO1617" t="inlineStr">
        <is>
          <t>WARREN CITY 4D</t>
        </is>
      </c>
      <c r="AP1617" t="inlineStr">
        <is>
          <t>78-P-ADL</t>
        </is>
      </c>
      <c r="AQ1617" t="n">
        <v>9</v>
      </c>
      <c r="AR1617" t="n">
        <v>64</v>
      </c>
      <c r="AS1617" t="n">
        <v>32</v>
      </c>
      <c r="AU1617">
        <f>COUNTA($BA$1617:$EH$1617)</f>
        <v/>
      </c>
      <c r="AV1617">
        <f>COUNTIF($BA$1617:$EH$1617,"D")</f>
        <v/>
      </c>
      <c r="AW1617">
        <f>COUNTIF($BA$1617:$EH$1617,"R")</f>
        <v/>
      </c>
      <c r="AX1617">
        <f>IF(BN1617="D",1,0)+IF(BO1617="D",1,0)+IF(BT1617="D",1,0)+IF(BU1617="D",1,0)+IF(BW1617="D",1,0)+IF(CC1617="D",1,0)+IF(CD1617="D",1,0)+IF(CE1617="D",1,0)+IF(CF1617="D",1,0)+IF(CL1617="D",1,0)+IF(CM1617="D",1,0)+IF(CQ1617="D",1,0)+IF(CR1617="D",1,0)+IF(CS1617="D",1,0)+IF(CW1617="D",1,0)+IF(CX1617="D",1,0)+IF(DD1617="D",1,0)+IF(DE1617="D",1,0)+IF(DJ1617="D",1,0)+IF(DK1617="D",1,0)+IF(DO1617="D",1,0)+IF(DP1617="D",1,0)+IF(DQ1617="D",1,0)+IF(DW1617="D",1,0)+IF(DZ1617="D",1,0)+IF(EH1617="D",1,0)</f>
        <v/>
      </c>
      <c r="AY1617">
        <f>IF(DJ1617&lt;&gt;"",1,0)+IF(DK1617&lt;&gt;"",1,0)+IF(DM1617&lt;&gt;"",1,0)+IF(DO1617&lt;&gt;"",1,0)+IF(DP1617&lt;&gt;"",1,0)+IF(DQ1617&lt;&gt;"",1,0)+IF(DS1617&lt;&gt;"",1,0)+IF(DT1617&lt;&gt;"",1,0)+IF(DV1617&lt;&gt;"",1,0)+IF(DW1617&lt;&gt;"",1,0)+IF(DX1617&lt;&gt;"",1,0)+IF(DY1617&lt;&gt;"",1,0)+IF(DZ1617&lt;&gt;"",1,0)+IF(EB1617&lt;&gt;"",1,0)+IF(EC1617&lt;&gt;"",1,0)+IF(ED1617&lt;&gt;"",1,0)+IF(EG1617&lt;&gt;"",1,0)+IF(EH1617&lt;&gt;"",1,0)</f>
        <v/>
      </c>
      <c r="AZ1617">
        <f>IF(EH1617&lt;&gt;"",1,0)</f>
        <v/>
      </c>
      <c r="BB1617" t="inlineStr">
        <is>
          <t>WARREN-WARD 4</t>
        </is>
      </c>
    </row>
    <row r="1618">
      <c r="A1618" t="inlineStr">
        <is>
          <t>OH0023719282</t>
        </is>
      </c>
      <c r="B1618" t="n">
        <v>78</v>
      </c>
      <c r="C1618" t="n">
        <v>417215</v>
      </c>
      <c r="D1618" t="inlineStr">
        <is>
          <t>LEE</t>
        </is>
      </c>
      <c r="E1618" t="inlineStr">
        <is>
          <t>RODNEY</t>
        </is>
      </c>
      <c r="F1618">
        <f>CONCATENATE(D1618," ",LEFT(H1618,4),"T=",AU1618,"D=",AV1618,"R=",AW1618,"M=",AX1618,"L=",AY1618,"B=",AZ1618)</f>
        <v/>
      </c>
      <c r="G1618" t="inlineStr">
        <is>
          <t>E</t>
        </is>
      </c>
      <c r="H1618" t="inlineStr">
        <is>
          <t>II</t>
        </is>
      </c>
      <c r="I1618" t="inlineStr">
        <is>
          <t>1986-01-13</t>
        </is>
      </c>
      <c r="J1618" t="inlineStr">
        <is>
          <t>2024-03-20</t>
        </is>
      </c>
      <c r="K1618" t="inlineStr">
        <is>
          <t>ACTIVE</t>
        </is>
      </c>
      <c r="M1618" t="inlineStr">
        <is>
          <t>201 HIGH ST NE</t>
        </is>
      </c>
      <c r="N1618">
        <f>RIGHT(M1618,LEN(M1618)-FIND(" ",M1618))</f>
        <v/>
      </c>
      <c r="P1618" t="inlineStr">
        <is>
          <t>WARREN</t>
        </is>
      </c>
      <c r="Q1618" t="inlineStr">
        <is>
          <t>OH</t>
        </is>
      </c>
      <c r="R1618" t="n">
        <v>44481</v>
      </c>
      <c r="AD1618" t="inlineStr">
        <is>
          <t>TRUMBULL CAREER &amp; TECH CENTER</t>
        </is>
      </c>
      <c r="AE1618" t="inlineStr">
        <is>
          <t>WARREN CITY</t>
        </is>
      </c>
      <c r="AF1618" t="inlineStr">
        <is>
          <t>WARREN CITY SD</t>
        </is>
      </c>
      <c r="AH1618" t="n">
        <v>14</v>
      </c>
      <c r="AI1618" t="n">
        <v>11</v>
      </c>
      <c r="AN1618" t="inlineStr">
        <is>
          <t>WARREN</t>
        </is>
      </c>
      <c r="AO1618" t="inlineStr">
        <is>
          <t>WARREN CITY 4D</t>
        </is>
      </c>
      <c r="AP1618" t="inlineStr">
        <is>
          <t>78-P-ADL</t>
        </is>
      </c>
      <c r="AQ1618" t="n">
        <v>9</v>
      </c>
      <c r="AR1618" t="n">
        <v>64</v>
      </c>
      <c r="AS1618" t="n">
        <v>32</v>
      </c>
      <c r="AU1618">
        <f>COUNTA($BA$1618:$EH$1618)</f>
        <v/>
      </c>
      <c r="AV1618">
        <f>COUNTIF($BA$1618:$EH$1618,"D")</f>
        <v/>
      </c>
      <c r="AW1618">
        <f>COUNTIF($BA$1618:$EH$1618,"R")</f>
        <v/>
      </c>
      <c r="AX1618">
        <f>IF(BN1618="D",1,0)+IF(BO1618="D",1,0)+IF(BT1618="D",1,0)+IF(BU1618="D",1,0)+IF(BW1618="D",1,0)+IF(CC1618="D",1,0)+IF(CD1618="D",1,0)+IF(CE1618="D",1,0)+IF(CF1618="D",1,0)+IF(CL1618="D",1,0)+IF(CM1618="D",1,0)+IF(CQ1618="D",1,0)+IF(CR1618="D",1,0)+IF(CS1618="D",1,0)+IF(CW1618="D",1,0)+IF(CX1618="D",1,0)+IF(DD1618="D",1,0)+IF(DE1618="D",1,0)+IF(DJ1618="D",1,0)+IF(DK1618="D",1,0)+IF(DO1618="D",1,0)+IF(DP1618="D",1,0)+IF(DQ1618="D",1,0)+IF(DW1618="D",1,0)+IF(DZ1618="D",1,0)+IF(EH1618="D",1,0)</f>
        <v/>
      </c>
      <c r="AY1618">
        <f>IF(DJ1618&lt;&gt;"",1,0)+IF(DK1618&lt;&gt;"",1,0)+IF(DM1618&lt;&gt;"",1,0)+IF(DO1618&lt;&gt;"",1,0)+IF(DP1618&lt;&gt;"",1,0)+IF(DQ1618&lt;&gt;"",1,0)+IF(DS1618&lt;&gt;"",1,0)+IF(DT1618&lt;&gt;"",1,0)+IF(DV1618&lt;&gt;"",1,0)+IF(DW1618&lt;&gt;"",1,0)+IF(DX1618&lt;&gt;"",1,0)+IF(DY1618&lt;&gt;"",1,0)+IF(DZ1618&lt;&gt;"",1,0)+IF(EB1618&lt;&gt;"",1,0)+IF(EC1618&lt;&gt;"",1,0)+IF(ED1618&lt;&gt;"",1,0)+IF(EG1618&lt;&gt;"",1,0)+IF(EH1618&lt;&gt;"",1,0)</f>
        <v/>
      </c>
      <c r="AZ1618">
        <f>IF(EH1618&lt;&gt;"",1,0)</f>
        <v/>
      </c>
      <c r="BB1618" t="inlineStr">
        <is>
          <t>WARREN-WARD 4</t>
        </is>
      </c>
    </row>
    <row r="1619">
      <c r="A1619" t="inlineStr">
        <is>
          <t>OH0020714849</t>
        </is>
      </c>
      <c r="B1619" t="n">
        <v>78</v>
      </c>
      <c r="C1619" t="n">
        <v>369700</v>
      </c>
      <c r="D1619" t="inlineStr">
        <is>
          <t>BARNETT</t>
        </is>
      </c>
      <c r="E1619" t="inlineStr">
        <is>
          <t>PAMELA</t>
        </is>
      </c>
      <c r="F1619">
        <f>CONCATENATE(D1619," ",LEFT(H1619,4),"T=",AU1619,"D=",AV1619,"R=",AW1619,"M=",AX1619,"L=",AY1619,"B=",AZ1619)</f>
        <v/>
      </c>
      <c r="G1619" t="inlineStr">
        <is>
          <t>J</t>
        </is>
      </c>
      <c r="I1619" t="inlineStr">
        <is>
          <t>1966-01-29</t>
        </is>
      </c>
      <c r="J1619" t="inlineStr">
        <is>
          <t>2009-05-16</t>
        </is>
      </c>
      <c r="K1619" t="inlineStr">
        <is>
          <t>ACTIVE</t>
        </is>
      </c>
      <c r="M1619" t="inlineStr">
        <is>
          <t>1150 MCKINLEY ST NE</t>
        </is>
      </c>
      <c r="N1619">
        <f>RIGHT(M1619,LEN(M1619)-FIND(" ",M1619))</f>
        <v/>
      </c>
      <c r="P1619" t="inlineStr">
        <is>
          <t>WARREN</t>
        </is>
      </c>
      <c r="Q1619" t="inlineStr">
        <is>
          <t>OH</t>
        </is>
      </c>
      <c r="R1619" t="n">
        <v>44483</v>
      </c>
      <c r="AD1619" t="inlineStr">
        <is>
          <t>TRUMBULL CAREER &amp; TECH CENTER</t>
        </is>
      </c>
      <c r="AE1619" t="inlineStr">
        <is>
          <t>WARREN CITY</t>
        </is>
      </c>
      <c r="AF1619" t="inlineStr">
        <is>
          <t>WARREN CITY SD</t>
        </is>
      </c>
      <c r="AH1619" t="n">
        <v>14</v>
      </c>
      <c r="AI1619" t="n">
        <v>11</v>
      </c>
      <c r="AN1619" t="inlineStr">
        <is>
          <t>WARREN</t>
        </is>
      </c>
      <c r="AO1619" t="inlineStr">
        <is>
          <t>WARREN CITY 4D</t>
        </is>
      </c>
      <c r="AP1619" t="inlineStr">
        <is>
          <t>78-P-ADL</t>
        </is>
      </c>
      <c r="AQ1619" t="n">
        <v>9</v>
      </c>
      <c r="AR1619" t="n">
        <v>64</v>
      </c>
      <c r="AS1619" t="n">
        <v>32</v>
      </c>
      <c r="AU1619">
        <f>COUNTA($BA$1619:$EH$1619)</f>
        <v/>
      </c>
      <c r="AV1619">
        <f>COUNTIF($BA$1619:$EH$1619,"D")</f>
        <v/>
      </c>
      <c r="AW1619">
        <f>COUNTIF($BA$1619:$EH$1619,"R")</f>
        <v/>
      </c>
      <c r="AX1619">
        <f>IF(BN1619="D",1,0)+IF(BO1619="D",1,0)+IF(BT1619="D",1,0)+IF(BU1619="D",1,0)+IF(BW1619="D",1,0)+IF(CC1619="D",1,0)+IF(CD1619="D",1,0)+IF(CE1619="D",1,0)+IF(CF1619="D",1,0)+IF(CL1619="D",1,0)+IF(CM1619="D",1,0)+IF(CQ1619="D",1,0)+IF(CR1619="D",1,0)+IF(CS1619="D",1,0)+IF(CW1619="D",1,0)+IF(CX1619="D",1,0)+IF(DD1619="D",1,0)+IF(DE1619="D",1,0)+IF(DJ1619="D",1,0)+IF(DK1619="D",1,0)+IF(DO1619="D",1,0)+IF(DP1619="D",1,0)+IF(DQ1619="D",1,0)+IF(DW1619="D",1,0)+IF(DZ1619="D",1,0)+IF(EH1619="D",1,0)</f>
        <v/>
      </c>
      <c r="AY1619">
        <f>IF(DJ1619&lt;&gt;"",1,0)+IF(DK1619&lt;&gt;"",1,0)+IF(DM1619&lt;&gt;"",1,0)+IF(DO1619&lt;&gt;"",1,0)+IF(DP1619&lt;&gt;"",1,0)+IF(DQ1619&lt;&gt;"",1,0)+IF(DS1619&lt;&gt;"",1,0)+IF(DT1619&lt;&gt;"",1,0)+IF(DV1619&lt;&gt;"",1,0)+IF(DW1619&lt;&gt;"",1,0)+IF(DX1619&lt;&gt;"",1,0)+IF(DY1619&lt;&gt;"",1,0)+IF(DZ1619&lt;&gt;"",1,0)+IF(EB1619&lt;&gt;"",1,0)+IF(EC1619&lt;&gt;"",1,0)+IF(ED1619&lt;&gt;"",1,0)+IF(EG1619&lt;&gt;"",1,0)+IF(EH1619&lt;&gt;"",1,0)</f>
        <v/>
      </c>
      <c r="AZ1619">
        <f>IF(EH1619&lt;&gt;"",1,0)</f>
        <v/>
      </c>
      <c r="BB1619" t="inlineStr">
        <is>
          <t>WARREN-WARD 4</t>
        </is>
      </c>
      <c r="DC1619" t="inlineStr">
        <is>
          <t>X</t>
        </is>
      </c>
    </row>
    <row r="1620">
      <c r="A1620" t="inlineStr">
        <is>
          <t>OH0018616226</t>
        </is>
      </c>
      <c r="B1620" t="n">
        <v>78</v>
      </c>
      <c r="C1620" t="n">
        <v>341849</v>
      </c>
      <c r="D1620" t="inlineStr">
        <is>
          <t>WALTON</t>
        </is>
      </c>
      <c r="E1620" t="inlineStr">
        <is>
          <t>TAMMY</t>
        </is>
      </c>
      <c r="F1620">
        <f>CONCATENATE(D1620," ",LEFT(H1620,4),"T=",AU1620,"D=",AV1620,"R=",AW1620,"M=",AX1620,"L=",AY1620,"B=",AZ1620)</f>
        <v/>
      </c>
      <c r="G1620" t="inlineStr">
        <is>
          <t>SUE</t>
        </is>
      </c>
      <c r="I1620" t="inlineStr">
        <is>
          <t>1972-01-31</t>
        </is>
      </c>
      <c r="J1620" t="inlineStr">
        <is>
          <t>2016-06-27</t>
        </is>
      </c>
      <c r="K1620" t="inlineStr">
        <is>
          <t>CONFIRMATION</t>
        </is>
      </c>
      <c r="M1620" t="inlineStr">
        <is>
          <t>222 LINDEN AVE SE</t>
        </is>
      </c>
      <c r="N1620">
        <f>RIGHT(M1620,LEN(M1620)-FIND(" ",M1620))</f>
        <v/>
      </c>
      <c r="P1620" t="inlineStr">
        <is>
          <t>WARREN</t>
        </is>
      </c>
      <c r="Q1620" t="inlineStr">
        <is>
          <t>OH</t>
        </is>
      </c>
      <c r="R1620" t="n">
        <v>44483</v>
      </c>
      <c r="AD1620" t="inlineStr">
        <is>
          <t>TRUMBULL CAREER &amp; TECH CENTER</t>
        </is>
      </c>
      <c r="AE1620" t="inlineStr">
        <is>
          <t>WARREN CITY</t>
        </is>
      </c>
      <c r="AF1620" t="inlineStr">
        <is>
          <t>WARREN CITY SD</t>
        </is>
      </c>
      <c r="AH1620" t="n">
        <v>14</v>
      </c>
      <c r="AI1620" t="n">
        <v>11</v>
      </c>
      <c r="AN1620" t="inlineStr">
        <is>
          <t>WARREN</t>
        </is>
      </c>
      <c r="AO1620" t="inlineStr">
        <is>
          <t>WARREN CITY 4D</t>
        </is>
      </c>
      <c r="AP1620" t="inlineStr">
        <is>
          <t>78-P-ADL</t>
        </is>
      </c>
      <c r="AQ1620" t="n">
        <v>9</v>
      </c>
      <c r="AR1620" t="n">
        <v>64</v>
      </c>
      <c r="AS1620" t="n">
        <v>32</v>
      </c>
      <c r="AU1620">
        <f>COUNTA($BA$1620:$EH$1620)</f>
        <v/>
      </c>
      <c r="AV1620">
        <f>COUNTIF($BA$1620:$EH$1620,"D")</f>
        <v/>
      </c>
      <c r="AW1620">
        <f>COUNTIF($BA$1620:$EH$1620,"R")</f>
        <v/>
      </c>
      <c r="AX1620">
        <f>IF(BN1620="D",1,0)+IF(BO1620="D",1,0)+IF(BT1620="D",1,0)+IF(BU1620="D",1,0)+IF(BW1620="D",1,0)+IF(CC1620="D",1,0)+IF(CD1620="D",1,0)+IF(CE1620="D",1,0)+IF(CF1620="D",1,0)+IF(CL1620="D",1,0)+IF(CM1620="D",1,0)+IF(CQ1620="D",1,0)+IF(CR1620="D",1,0)+IF(CS1620="D",1,0)+IF(CW1620="D",1,0)+IF(CX1620="D",1,0)+IF(DD1620="D",1,0)+IF(DE1620="D",1,0)+IF(DJ1620="D",1,0)+IF(DK1620="D",1,0)+IF(DO1620="D",1,0)+IF(DP1620="D",1,0)+IF(DQ1620="D",1,0)+IF(DW1620="D",1,0)+IF(DZ1620="D",1,0)+IF(EH1620="D",1,0)</f>
        <v/>
      </c>
      <c r="AY1620">
        <f>IF(DJ1620&lt;&gt;"",1,0)+IF(DK1620&lt;&gt;"",1,0)+IF(DM1620&lt;&gt;"",1,0)+IF(DO1620&lt;&gt;"",1,0)+IF(DP1620&lt;&gt;"",1,0)+IF(DQ1620&lt;&gt;"",1,0)+IF(DS1620&lt;&gt;"",1,0)+IF(DT1620&lt;&gt;"",1,0)+IF(DV1620&lt;&gt;"",1,0)+IF(DW1620&lt;&gt;"",1,0)+IF(DX1620&lt;&gt;"",1,0)+IF(DY1620&lt;&gt;"",1,0)+IF(DZ1620&lt;&gt;"",1,0)+IF(EB1620&lt;&gt;"",1,0)+IF(EC1620&lt;&gt;"",1,0)+IF(ED1620&lt;&gt;"",1,0)+IF(EG1620&lt;&gt;"",1,0)+IF(EH1620&lt;&gt;"",1,0)</f>
        <v/>
      </c>
      <c r="AZ1620">
        <f>IF(EH1620&lt;&gt;"",1,0)</f>
        <v/>
      </c>
      <c r="BB1620" t="inlineStr">
        <is>
          <t>WARREN-WARD 4</t>
        </is>
      </c>
      <c r="CA1620" t="inlineStr">
        <is>
          <t>X</t>
        </is>
      </c>
      <c r="CY1620" t="inlineStr">
        <is>
          <t>X</t>
        </is>
      </c>
      <c r="DC1620" t="inlineStr">
        <is>
          <t>X</t>
        </is>
      </c>
    </row>
    <row r="1621">
      <c r="A1621" t="inlineStr">
        <is>
          <t>OH0015695583</t>
        </is>
      </c>
      <c r="B1621" t="n">
        <v>78</v>
      </c>
      <c r="C1621" t="n">
        <v>149362</v>
      </c>
      <c r="D1621" t="inlineStr">
        <is>
          <t>STEVENS</t>
        </is>
      </c>
      <c r="E1621" t="inlineStr">
        <is>
          <t>MARC</t>
        </is>
      </c>
      <c r="F1621">
        <f>CONCATENATE(D1621," ",LEFT(H1621,4),"T=",AU1621,"D=",AV1621,"R=",AW1621,"M=",AX1621,"L=",AY1621,"B=",AZ1621)</f>
        <v/>
      </c>
      <c r="G1621" t="inlineStr">
        <is>
          <t>A</t>
        </is>
      </c>
      <c r="I1621" t="inlineStr">
        <is>
          <t>1951-11-12</t>
        </is>
      </c>
      <c r="J1621" t="inlineStr">
        <is>
          <t>2023-08-17</t>
        </is>
      </c>
      <c r="K1621" t="inlineStr">
        <is>
          <t>ACTIVE</t>
        </is>
      </c>
      <c r="M1621" t="inlineStr">
        <is>
          <t>1215 HIGH ST NE</t>
        </is>
      </c>
      <c r="N1621">
        <f>RIGHT(M1621,LEN(M1621)-FIND(" ",M1621))</f>
        <v/>
      </c>
      <c r="P1621" t="inlineStr">
        <is>
          <t>WARREN</t>
        </is>
      </c>
      <c r="Q1621" t="inlineStr">
        <is>
          <t>OH</t>
        </is>
      </c>
      <c r="R1621" t="n">
        <v>44483</v>
      </c>
      <c r="AD1621" t="inlineStr">
        <is>
          <t>TRUMBULL CAREER &amp; TECH CENTER</t>
        </is>
      </c>
      <c r="AE1621" t="inlineStr">
        <is>
          <t>WARREN CITY</t>
        </is>
      </c>
      <c r="AF1621" t="inlineStr">
        <is>
          <t>WARREN CITY SD</t>
        </is>
      </c>
      <c r="AH1621" t="n">
        <v>14</v>
      </c>
      <c r="AI1621" t="n">
        <v>11</v>
      </c>
      <c r="AN1621" t="inlineStr">
        <is>
          <t>WARREN</t>
        </is>
      </c>
      <c r="AO1621" t="inlineStr">
        <is>
          <t>WARREN CITY 4D</t>
        </is>
      </c>
      <c r="AP1621" t="inlineStr">
        <is>
          <t>78-P-ADL</t>
        </is>
      </c>
      <c r="AQ1621" t="n">
        <v>9</v>
      </c>
      <c r="AR1621" t="n">
        <v>64</v>
      </c>
      <c r="AS1621" t="n">
        <v>32</v>
      </c>
      <c r="AU1621">
        <f>COUNTA($BA$1621:$EH$1621)</f>
        <v/>
      </c>
      <c r="AV1621">
        <f>COUNTIF($BA$1621:$EH$1621,"D")</f>
        <v/>
      </c>
      <c r="AW1621">
        <f>COUNTIF($BA$1621:$EH$1621,"R")</f>
        <v/>
      </c>
      <c r="AX1621">
        <f>IF(BN1621="D",1,0)+IF(BO1621="D",1,0)+IF(BT1621="D",1,0)+IF(BU1621="D",1,0)+IF(BW1621="D",1,0)+IF(CC1621="D",1,0)+IF(CD1621="D",1,0)+IF(CE1621="D",1,0)+IF(CF1621="D",1,0)+IF(CL1621="D",1,0)+IF(CM1621="D",1,0)+IF(CQ1621="D",1,0)+IF(CR1621="D",1,0)+IF(CS1621="D",1,0)+IF(CW1621="D",1,0)+IF(CX1621="D",1,0)+IF(DD1621="D",1,0)+IF(DE1621="D",1,0)+IF(DJ1621="D",1,0)+IF(DK1621="D",1,0)+IF(DO1621="D",1,0)+IF(DP1621="D",1,0)+IF(DQ1621="D",1,0)+IF(DW1621="D",1,0)+IF(DZ1621="D",1,0)+IF(EH1621="D",1,0)</f>
        <v/>
      </c>
      <c r="AY1621">
        <f>IF(DJ1621&lt;&gt;"",1,0)+IF(DK1621&lt;&gt;"",1,0)+IF(DM1621&lt;&gt;"",1,0)+IF(DO1621&lt;&gt;"",1,0)+IF(DP1621&lt;&gt;"",1,0)+IF(DQ1621&lt;&gt;"",1,0)+IF(DS1621&lt;&gt;"",1,0)+IF(DT1621&lt;&gt;"",1,0)+IF(DV1621&lt;&gt;"",1,0)+IF(DW1621&lt;&gt;"",1,0)+IF(DX1621&lt;&gt;"",1,0)+IF(DY1621&lt;&gt;"",1,0)+IF(DZ1621&lt;&gt;"",1,0)+IF(EB1621&lt;&gt;"",1,0)+IF(EC1621&lt;&gt;"",1,0)+IF(ED1621&lt;&gt;"",1,0)+IF(EG1621&lt;&gt;"",1,0)+IF(EH1621&lt;&gt;"",1,0)</f>
        <v/>
      </c>
      <c r="AZ1621">
        <f>IF(EH1621&lt;&gt;"",1,0)</f>
        <v/>
      </c>
      <c r="BB1621" t="inlineStr">
        <is>
          <t>WARREN-WARD 4</t>
        </is>
      </c>
      <c r="BC1621" t="inlineStr">
        <is>
          <t>X</t>
        </is>
      </c>
      <c r="BD1621" t="inlineStr">
        <is>
          <t>X</t>
        </is>
      </c>
      <c r="BH1621" t="inlineStr">
        <is>
          <t>X</t>
        </is>
      </c>
      <c r="BL1621" t="inlineStr">
        <is>
          <t>X</t>
        </is>
      </c>
      <c r="BS1621" t="inlineStr">
        <is>
          <t>X</t>
        </is>
      </c>
      <c r="CA1621" t="inlineStr">
        <is>
          <t>X</t>
        </is>
      </c>
      <c r="CK1621" t="inlineStr">
        <is>
          <t>X</t>
        </is>
      </c>
      <c r="CN1621" t="inlineStr">
        <is>
          <t>X</t>
        </is>
      </c>
      <c r="CP1621" t="inlineStr">
        <is>
          <t>X</t>
        </is>
      </c>
      <c r="DC1621" t="inlineStr">
        <is>
          <t>X</t>
        </is>
      </c>
      <c r="DI1621" t="inlineStr">
        <is>
          <t>X</t>
        </is>
      </c>
      <c r="DN1621" t="inlineStr">
        <is>
          <t>X</t>
        </is>
      </c>
      <c r="EF1621" t="inlineStr">
        <is>
          <t>X</t>
        </is>
      </c>
    </row>
    <row r="1622">
      <c r="A1622" t="inlineStr">
        <is>
          <t>OH0019756815</t>
        </is>
      </c>
      <c r="B1622" t="n">
        <v>78</v>
      </c>
      <c r="C1622" t="n">
        <v>358261</v>
      </c>
      <c r="D1622" t="inlineStr">
        <is>
          <t>JONES</t>
        </is>
      </c>
      <c r="E1622" t="inlineStr">
        <is>
          <t>SHANELL</t>
        </is>
      </c>
      <c r="F1622">
        <f>CONCATENATE(D1622," ",LEFT(H1622,4),"T=",AU1622,"D=",AV1622,"R=",AW1622,"M=",AX1622,"L=",AY1622,"B=",AZ1622)</f>
        <v/>
      </c>
      <c r="G1622" t="inlineStr">
        <is>
          <t>D</t>
        </is>
      </c>
      <c r="I1622" t="inlineStr">
        <is>
          <t>1990-09-18</t>
        </is>
      </c>
      <c r="J1622" t="inlineStr">
        <is>
          <t>2016-12-08</t>
        </is>
      </c>
      <c r="K1622" t="inlineStr">
        <is>
          <t>ACTIVE</t>
        </is>
      </c>
      <c r="M1622" t="inlineStr">
        <is>
          <t>629 PAIGE AVE NE</t>
        </is>
      </c>
      <c r="N1622">
        <f>RIGHT(M1622,LEN(M1622)-FIND(" ",M1622))</f>
        <v/>
      </c>
      <c r="P1622" t="inlineStr">
        <is>
          <t>WARREN</t>
        </is>
      </c>
      <c r="Q1622" t="inlineStr">
        <is>
          <t>OH</t>
        </is>
      </c>
      <c r="R1622" t="n">
        <v>44483</v>
      </c>
      <c r="AD1622" t="inlineStr">
        <is>
          <t>TRUMBULL CAREER &amp; TECH CENTER</t>
        </is>
      </c>
      <c r="AE1622" t="inlineStr">
        <is>
          <t>WARREN CITY</t>
        </is>
      </c>
      <c r="AF1622" t="inlineStr">
        <is>
          <t>WARREN CITY SD</t>
        </is>
      </c>
      <c r="AH1622" t="n">
        <v>14</v>
      </c>
      <c r="AI1622" t="n">
        <v>11</v>
      </c>
      <c r="AN1622" t="inlineStr">
        <is>
          <t>WARREN</t>
        </is>
      </c>
      <c r="AO1622" t="inlineStr">
        <is>
          <t>WARREN CITY 4D</t>
        </is>
      </c>
      <c r="AP1622" t="inlineStr">
        <is>
          <t>78-P-ADL</t>
        </is>
      </c>
      <c r="AQ1622" t="n">
        <v>9</v>
      </c>
      <c r="AR1622" t="n">
        <v>64</v>
      </c>
      <c r="AS1622" t="n">
        <v>32</v>
      </c>
      <c r="AU1622">
        <f>COUNTA($BA$1622:$EH$1622)</f>
        <v/>
      </c>
      <c r="AV1622">
        <f>COUNTIF($BA$1622:$EH$1622,"D")</f>
        <v/>
      </c>
      <c r="AW1622">
        <f>COUNTIF($BA$1622:$EH$1622,"R")</f>
        <v/>
      </c>
      <c r="AX1622">
        <f>IF(BN1622="D",1,0)+IF(BO1622="D",1,0)+IF(BT1622="D",1,0)+IF(BU1622="D",1,0)+IF(BW1622="D",1,0)+IF(CC1622="D",1,0)+IF(CD1622="D",1,0)+IF(CE1622="D",1,0)+IF(CF1622="D",1,0)+IF(CL1622="D",1,0)+IF(CM1622="D",1,0)+IF(CQ1622="D",1,0)+IF(CR1622="D",1,0)+IF(CS1622="D",1,0)+IF(CW1622="D",1,0)+IF(CX1622="D",1,0)+IF(DD1622="D",1,0)+IF(DE1622="D",1,0)+IF(DJ1622="D",1,0)+IF(DK1622="D",1,0)+IF(DO1622="D",1,0)+IF(DP1622="D",1,0)+IF(DQ1622="D",1,0)+IF(DW1622="D",1,0)+IF(DZ1622="D",1,0)+IF(EH1622="D",1,0)</f>
        <v/>
      </c>
      <c r="AY1622">
        <f>IF(DJ1622&lt;&gt;"",1,0)+IF(DK1622&lt;&gt;"",1,0)+IF(DM1622&lt;&gt;"",1,0)+IF(DO1622&lt;&gt;"",1,0)+IF(DP1622&lt;&gt;"",1,0)+IF(DQ1622&lt;&gt;"",1,0)+IF(DS1622&lt;&gt;"",1,0)+IF(DT1622&lt;&gt;"",1,0)+IF(DV1622&lt;&gt;"",1,0)+IF(DW1622&lt;&gt;"",1,0)+IF(DX1622&lt;&gt;"",1,0)+IF(DY1622&lt;&gt;"",1,0)+IF(DZ1622&lt;&gt;"",1,0)+IF(EB1622&lt;&gt;"",1,0)+IF(EC1622&lt;&gt;"",1,0)+IF(ED1622&lt;&gt;"",1,0)+IF(EG1622&lt;&gt;"",1,0)+IF(EH1622&lt;&gt;"",1,0)</f>
        <v/>
      </c>
      <c r="AZ1622">
        <f>IF(EH1622&lt;&gt;"",1,0)</f>
        <v/>
      </c>
      <c r="BB1622" t="inlineStr">
        <is>
          <t>WARREN-WARD 4</t>
        </is>
      </c>
      <c r="CP1622" t="inlineStr">
        <is>
          <t>X</t>
        </is>
      </c>
      <c r="DC1622" t="inlineStr">
        <is>
          <t>X</t>
        </is>
      </c>
    </row>
    <row r="1623">
      <c r="A1623" t="inlineStr">
        <is>
          <t>OH0021187710</t>
        </is>
      </c>
      <c r="B1623" t="n">
        <v>78</v>
      </c>
      <c r="C1623" t="n">
        <v>376814</v>
      </c>
      <c r="D1623" t="inlineStr">
        <is>
          <t>BENDER</t>
        </is>
      </c>
      <c r="E1623" t="inlineStr">
        <is>
          <t>ERIC</t>
        </is>
      </c>
      <c r="F1623">
        <f>CONCATENATE(D1623," ",LEFT(H1623,4),"T=",AU1623,"D=",AV1623,"R=",AW1623,"M=",AX1623,"L=",AY1623,"B=",AZ1623)</f>
        <v/>
      </c>
      <c r="G1623" t="inlineStr">
        <is>
          <t>D</t>
        </is>
      </c>
      <c r="I1623" t="inlineStr">
        <is>
          <t>1991-02-27</t>
        </is>
      </c>
      <c r="J1623" t="inlineStr">
        <is>
          <t>2015-09-16</t>
        </is>
      </c>
      <c r="K1623" t="inlineStr">
        <is>
          <t>ACTIVE</t>
        </is>
      </c>
      <c r="M1623" t="inlineStr">
        <is>
          <t>351 CHESTNUT AVE NE</t>
        </is>
      </c>
      <c r="N1623">
        <f>RIGHT(M1623,LEN(M1623)-FIND(" ",M1623))</f>
        <v/>
      </c>
      <c r="P1623" t="inlineStr">
        <is>
          <t>WARREN</t>
        </is>
      </c>
      <c r="Q1623" t="inlineStr">
        <is>
          <t>OH</t>
        </is>
      </c>
      <c r="R1623" t="n">
        <v>44483</v>
      </c>
      <c r="AD1623" t="inlineStr">
        <is>
          <t>TRUMBULL CAREER &amp; TECH CENTER</t>
        </is>
      </c>
      <c r="AE1623" t="inlineStr">
        <is>
          <t>WARREN CITY</t>
        </is>
      </c>
      <c r="AF1623" t="inlineStr">
        <is>
          <t>WARREN CITY SD</t>
        </is>
      </c>
      <c r="AH1623" t="n">
        <v>14</v>
      </c>
      <c r="AI1623" t="n">
        <v>11</v>
      </c>
      <c r="AN1623" t="inlineStr">
        <is>
          <t>WARREN</t>
        </is>
      </c>
      <c r="AO1623" t="inlineStr">
        <is>
          <t>WARREN CITY 4D</t>
        </is>
      </c>
      <c r="AP1623" t="inlineStr">
        <is>
          <t>78-P-ADL</t>
        </is>
      </c>
      <c r="AQ1623" t="n">
        <v>9</v>
      </c>
      <c r="AR1623" t="n">
        <v>64</v>
      </c>
      <c r="AS1623" t="n">
        <v>32</v>
      </c>
      <c r="AU1623">
        <f>COUNTA($BA$1623:$EH$1623)</f>
        <v/>
      </c>
      <c r="AV1623">
        <f>COUNTIF($BA$1623:$EH$1623,"D")</f>
        <v/>
      </c>
      <c r="AW1623">
        <f>COUNTIF($BA$1623:$EH$1623,"R")</f>
        <v/>
      </c>
      <c r="AX1623">
        <f>IF(BN1623="D",1,0)+IF(BO1623="D",1,0)+IF(BT1623="D",1,0)+IF(BU1623="D",1,0)+IF(BW1623="D",1,0)+IF(CC1623="D",1,0)+IF(CD1623="D",1,0)+IF(CE1623="D",1,0)+IF(CF1623="D",1,0)+IF(CL1623="D",1,0)+IF(CM1623="D",1,0)+IF(CQ1623="D",1,0)+IF(CR1623="D",1,0)+IF(CS1623="D",1,0)+IF(CW1623="D",1,0)+IF(CX1623="D",1,0)+IF(DD1623="D",1,0)+IF(DE1623="D",1,0)+IF(DJ1623="D",1,0)+IF(DK1623="D",1,0)+IF(DO1623="D",1,0)+IF(DP1623="D",1,0)+IF(DQ1623="D",1,0)+IF(DW1623="D",1,0)+IF(DZ1623="D",1,0)+IF(EH1623="D",1,0)</f>
        <v/>
      </c>
      <c r="AY1623">
        <f>IF(DJ1623&lt;&gt;"",1,0)+IF(DK1623&lt;&gt;"",1,0)+IF(DM1623&lt;&gt;"",1,0)+IF(DO1623&lt;&gt;"",1,0)+IF(DP1623&lt;&gt;"",1,0)+IF(DQ1623&lt;&gt;"",1,0)+IF(DS1623&lt;&gt;"",1,0)+IF(DT1623&lt;&gt;"",1,0)+IF(DV1623&lt;&gt;"",1,0)+IF(DW1623&lt;&gt;"",1,0)+IF(DX1623&lt;&gt;"",1,0)+IF(DY1623&lt;&gt;"",1,0)+IF(DZ1623&lt;&gt;"",1,0)+IF(EB1623&lt;&gt;"",1,0)+IF(EC1623&lt;&gt;"",1,0)+IF(ED1623&lt;&gt;"",1,0)+IF(EG1623&lt;&gt;"",1,0)+IF(EH1623&lt;&gt;"",1,0)</f>
        <v/>
      </c>
      <c r="AZ1623">
        <f>IF(EH1623&lt;&gt;"",1,0)</f>
        <v/>
      </c>
      <c r="BB1623" t="inlineStr">
        <is>
          <t>WARREN-WARD 4</t>
        </is>
      </c>
    </row>
    <row r="1624">
      <c r="A1624" t="inlineStr">
        <is>
          <t>OH0023323966</t>
        </is>
      </c>
      <c r="B1624" t="n">
        <v>78</v>
      </c>
      <c r="C1624" t="n">
        <v>410132</v>
      </c>
      <c r="D1624" t="inlineStr">
        <is>
          <t>COX</t>
        </is>
      </c>
      <c r="E1624" t="inlineStr">
        <is>
          <t>ADAM</t>
        </is>
      </c>
      <c r="F1624">
        <f>CONCATENATE(D1624," ",LEFT(H1624,4),"T=",AU1624,"D=",AV1624,"R=",AW1624,"M=",AX1624,"L=",AY1624,"B=",AZ1624)</f>
        <v/>
      </c>
      <c r="G1624" t="inlineStr">
        <is>
          <t>J</t>
        </is>
      </c>
      <c r="I1624" t="inlineStr">
        <is>
          <t>1994-07-27</t>
        </is>
      </c>
      <c r="J1624" t="inlineStr">
        <is>
          <t>2024-08-06</t>
        </is>
      </c>
      <c r="K1624" t="inlineStr">
        <is>
          <t>ACTIVE</t>
        </is>
      </c>
      <c r="M1624" t="inlineStr">
        <is>
          <t>172 LOGAN AVE SE</t>
        </is>
      </c>
      <c r="N1624">
        <f>RIGHT(M1624,LEN(M1624)-FIND(" ",M1624))</f>
        <v/>
      </c>
      <c r="P1624" t="inlineStr">
        <is>
          <t>WARREN</t>
        </is>
      </c>
      <c r="Q1624" t="inlineStr">
        <is>
          <t>OH</t>
        </is>
      </c>
      <c r="R1624" t="n">
        <v>44483</v>
      </c>
      <c r="AD1624" t="inlineStr">
        <is>
          <t>TRUMBULL CAREER &amp; TECH CENTER</t>
        </is>
      </c>
      <c r="AE1624" t="inlineStr">
        <is>
          <t>WARREN CITY</t>
        </is>
      </c>
      <c r="AF1624" t="inlineStr">
        <is>
          <t>WARREN CITY SD</t>
        </is>
      </c>
      <c r="AH1624" t="n">
        <v>14</v>
      </c>
      <c r="AI1624" t="n">
        <v>11</v>
      </c>
      <c r="AN1624" t="inlineStr">
        <is>
          <t>WARREN</t>
        </is>
      </c>
      <c r="AO1624" t="inlineStr">
        <is>
          <t>WARREN CITY 4D</t>
        </is>
      </c>
      <c r="AP1624" t="inlineStr">
        <is>
          <t>78-P-ADL</t>
        </is>
      </c>
      <c r="AQ1624" t="n">
        <v>9</v>
      </c>
      <c r="AR1624" t="n">
        <v>64</v>
      </c>
      <c r="AS1624" t="n">
        <v>32</v>
      </c>
      <c r="AU1624">
        <f>COUNTA($BA$1624:$EH$1624)</f>
        <v/>
      </c>
      <c r="AV1624">
        <f>COUNTIF($BA$1624:$EH$1624,"D")</f>
        <v/>
      </c>
      <c r="AW1624">
        <f>COUNTIF($BA$1624:$EH$1624,"R")</f>
        <v/>
      </c>
      <c r="AX1624">
        <f>IF(BN1624="D",1,0)+IF(BO1624="D",1,0)+IF(BT1624="D",1,0)+IF(BU1624="D",1,0)+IF(BW1624="D",1,0)+IF(CC1624="D",1,0)+IF(CD1624="D",1,0)+IF(CE1624="D",1,0)+IF(CF1624="D",1,0)+IF(CL1624="D",1,0)+IF(CM1624="D",1,0)+IF(CQ1624="D",1,0)+IF(CR1624="D",1,0)+IF(CS1624="D",1,0)+IF(CW1624="D",1,0)+IF(CX1624="D",1,0)+IF(DD1624="D",1,0)+IF(DE1624="D",1,0)+IF(DJ1624="D",1,0)+IF(DK1624="D",1,0)+IF(DO1624="D",1,0)+IF(DP1624="D",1,0)+IF(DQ1624="D",1,0)+IF(DW1624="D",1,0)+IF(DZ1624="D",1,0)+IF(EH1624="D",1,0)</f>
        <v/>
      </c>
      <c r="AY1624">
        <f>IF(DJ1624&lt;&gt;"",1,0)+IF(DK1624&lt;&gt;"",1,0)+IF(DM1624&lt;&gt;"",1,0)+IF(DO1624&lt;&gt;"",1,0)+IF(DP1624&lt;&gt;"",1,0)+IF(DQ1624&lt;&gt;"",1,0)+IF(DS1624&lt;&gt;"",1,0)+IF(DT1624&lt;&gt;"",1,0)+IF(DV1624&lt;&gt;"",1,0)+IF(DW1624&lt;&gt;"",1,0)+IF(DX1624&lt;&gt;"",1,0)+IF(DY1624&lt;&gt;"",1,0)+IF(DZ1624&lt;&gt;"",1,0)+IF(EB1624&lt;&gt;"",1,0)+IF(EC1624&lt;&gt;"",1,0)+IF(ED1624&lt;&gt;"",1,0)+IF(EG1624&lt;&gt;"",1,0)+IF(EH1624&lt;&gt;"",1,0)</f>
        <v/>
      </c>
      <c r="AZ1624">
        <f>IF(EH1624&lt;&gt;"",1,0)</f>
        <v/>
      </c>
      <c r="BB1624" t="inlineStr">
        <is>
          <t>WARREN-WARD 4</t>
        </is>
      </c>
    </row>
    <row r="1625">
      <c r="A1625" t="inlineStr">
        <is>
          <t>OH0025667819</t>
        </is>
      </c>
      <c r="B1625" t="n">
        <v>78</v>
      </c>
      <c r="C1625" t="n">
        <v>448151</v>
      </c>
      <c r="D1625" t="inlineStr">
        <is>
          <t>LYNCH</t>
        </is>
      </c>
      <c r="E1625" t="inlineStr">
        <is>
          <t>LEWIS</t>
        </is>
      </c>
      <c r="F1625">
        <f>CONCATENATE(D1625," ",LEFT(H1625,4),"T=",AU1625,"D=",AV1625,"R=",AW1625,"M=",AX1625,"L=",AY1625,"B=",AZ1625)</f>
        <v/>
      </c>
      <c r="G1625" t="inlineStr">
        <is>
          <t>T</t>
        </is>
      </c>
      <c r="I1625" t="inlineStr">
        <is>
          <t>1992-01-04</t>
        </is>
      </c>
      <c r="J1625" t="inlineStr">
        <is>
          <t>2024-11-05</t>
        </is>
      </c>
      <c r="K1625" t="inlineStr">
        <is>
          <t>ACTIVE</t>
        </is>
      </c>
      <c r="M1625" t="inlineStr">
        <is>
          <t>177 PORTER ST NE</t>
        </is>
      </c>
      <c r="N1625">
        <f>RIGHT(M1625,LEN(M1625)-FIND(" ",M1625))</f>
        <v/>
      </c>
      <c r="P1625" t="inlineStr">
        <is>
          <t>WARREN</t>
        </is>
      </c>
      <c r="Q1625" t="inlineStr">
        <is>
          <t>OH</t>
        </is>
      </c>
      <c r="R1625" t="n">
        <v>44483</v>
      </c>
      <c r="AD1625" t="inlineStr">
        <is>
          <t>TRUMBULL CAREER &amp; TECH CENTER</t>
        </is>
      </c>
      <c r="AE1625" t="inlineStr">
        <is>
          <t>WARREN CITY</t>
        </is>
      </c>
      <c r="AF1625" t="inlineStr">
        <is>
          <t>WARREN CITY SD</t>
        </is>
      </c>
      <c r="AH1625" t="n">
        <v>14</v>
      </c>
      <c r="AI1625" t="n">
        <v>11</v>
      </c>
      <c r="AN1625" t="inlineStr">
        <is>
          <t>WARREN</t>
        </is>
      </c>
      <c r="AO1625" t="inlineStr">
        <is>
          <t>WARREN CITY 4D</t>
        </is>
      </c>
      <c r="AP1625" t="inlineStr">
        <is>
          <t>78-P-ADL</t>
        </is>
      </c>
      <c r="AQ1625" t="n">
        <v>9</v>
      </c>
      <c r="AR1625" t="n">
        <v>64</v>
      </c>
      <c r="AS1625" t="n">
        <v>32</v>
      </c>
      <c r="AU1625">
        <f>COUNTA($BA$1625:$EH$1625)</f>
        <v/>
      </c>
      <c r="AV1625">
        <f>COUNTIF($BA$1625:$EH$1625,"D")</f>
        <v/>
      </c>
      <c r="AW1625">
        <f>COUNTIF($BA$1625:$EH$1625,"R")</f>
        <v/>
      </c>
      <c r="AX1625">
        <f>IF(BN1625="D",1,0)+IF(BO1625="D",1,0)+IF(BT1625="D",1,0)+IF(BU1625="D",1,0)+IF(BW1625="D",1,0)+IF(CC1625="D",1,0)+IF(CD1625="D",1,0)+IF(CE1625="D",1,0)+IF(CF1625="D",1,0)+IF(CL1625="D",1,0)+IF(CM1625="D",1,0)+IF(CQ1625="D",1,0)+IF(CR1625="D",1,0)+IF(CS1625="D",1,0)+IF(CW1625="D",1,0)+IF(CX1625="D",1,0)+IF(DD1625="D",1,0)+IF(DE1625="D",1,0)+IF(DJ1625="D",1,0)+IF(DK1625="D",1,0)+IF(DO1625="D",1,0)+IF(DP1625="D",1,0)+IF(DQ1625="D",1,0)+IF(DW1625="D",1,0)+IF(DZ1625="D",1,0)+IF(EH1625="D",1,0)</f>
        <v/>
      </c>
      <c r="AY1625">
        <f>IF(DJ1625&lt;&gt;"",1,0)+IF(DK1625&lt;&gt;"",1,0)+IF(DM1625&lt;&gt;"",1,0)+IF(DO1625&lt;&gt;"",1,0)+IF(DP1625&lt;&gt;"",1,0)+IF(DQ1625&lt;&gt;"",1,0)+IF(DS1625&lt;&gt;"",1,0)+IF(DT1625&lt;&gt;"",1,0)+IF(DV1625&lt;&gt;"",1,0)+IF(DW1625&lt;&gt;"",1,0)+IF(DX1625&lt;&gt;"",1,0)+IF(DY1625&lt;&gt;"",1,0)+IF(DZ1625&lt;&gt;"",1,0)+IF(EB1625&lt;&gt;"",1,0)+IF(EC1625&lt;&gt;"",1,0)+IF(ED1625&lt;&gt;"",1,0)+IF(EG1625&lt;&gt;"",1,0)+IF(EH1625&lt;&gt;"",1,0)</f>
        <v/>
      </c>
      <c r="AZ1625">
        <f>IF(EH1625&lt;&gt;"",1,0)</f>
        <v/>
      </c>
      <c r="BB1625" t="inlineStr">
        <is>
          <t>WARREN-WARD 4</t>
        </is>
      </c>
      <c r="EF1625" t="inlineStr">
        <is>
          <t>X</t>
        </is>
      </c>
    </row>
    <row r="1626">
      <c r="A1626" t="inlineStr">
        <is>
          <t>OH0027916517</t>
        </is>
      </c>
      <c r="B1626" t="n">
        <v>78</v>
      </c>
      <c r="C1626" t="n">
        <v>495364</v>
      </c>
      <c r="D1626" t="inlineStr">
        <is>
          <t>VIVIO</t>
        </is>
      </c>
      <c r="E1626" t="inlineStr">
        <is>
          <t>LISA</t>
        </is>
      </c>
      <c r="F1626">
        <f>CONCATENATE(D1626," ",LEFT(H1626,4),"T=",AU1626,"D=",AV1626,"R=",AW1626,"M=",AX1626,"L=",AY1626,"B=",AZ1626)</f>
        <v/>
      </c>
      <c r="G1626" t="inlineStr">
        <is>
          <t>J</t>
        </is>
      </c>
      <c r="I1626" t="inlineStr">
        <is>
          <t>1971-12-21</t>
        </is>
      </c>
      <c r="J1626" t="inlineStr">
        <is>
          <t>2025-03-13</t>
        </is>
      </c>
      <c r="K1626" t="inlineStr">
        <is>
          <t>CONFIRMATION</t>
        </is>
      </c>
      <c r="M1626" t="inlineStr">
        <is>
          <t>103 W MARKET ST</t>
        </is>
      </c>
      <c r="N1626">
        <f>RIGHT(M1626,LEN(M1626)-FIND(" ",M1626))</f>
        <v/>
      </c>
      <c r="P1626" t="inlineStr">
        <is>
          <t>WARREN</t>
        </is>
      </c>
      <c r="Q1626" t="inlineStr">
        <is>
          <t>OH</t>
        </is>
      </c>
      <c r="R1626" t="n">
        <v>44481</v>
      </c>
      <c r="AD1626" t="inlineStr">
        <is>
          <t>TRUMBULL CAREER &amp; TECH CENTER</t>
        </is>
      </c>
      <c r="AE1626" t="inlineStr">
        <is>
          <t>WARREN CITY</t>
        </is>
      </c>
      <c r="AF1626" t="inlineStr">
        <is>
          <t>WARREN CITY SD</t>
        </is>
      </c>
      <c r="AH1626" t="n">
        <v>14</v>
      </c>
      <c r="AI1626" t="n">
        <v>11</v>
      </c>
      <c r="AN1626" t="inlineStr">
        <is>
          <t>WARREN</t>
        </is>
      </c>
      <c r="AO1626" t="inlineStr">
        <is>
          <t>WARREN CITY 4D</t>
        </is>
      </c>
      <c r="AP1626" t="inlineStr">
        <is>
          <t>78-P-ADL</t>
        </is>
      </c>
      <c r="AQ1626" t="n">
        <v>9</v>
      </c>
      <c r="AR1626" t="n">
        <v>64</v>
      </c>
      <c r="AS1626" t="n">
        <v>32</v>
      </c>
      <c r="AU1626">
        <f>COUNTA($BA$1626:$EH$1626)</f>
        <v/>
      </c>
      <c r="AV1626">
        <f>COUNTIF($BA$1626:$EH$1626,"D")</f>
        <v/>
      </c>
      <c r="AW1626">
        <f>COUNTIF($BA$1626:$EH$1626,"R")</f>
        <v/>
      </c>
      <c r="AX1626">
        <f>IF(BN1626="D",1,0)+IF(BO1626="D",1,0)+IF(BT1626="D",1,0)+IF(BU1626="D",1,0)+IF(BW1626="D",1,0)+IF(CC1626="D",1,0)+IF(CD1626="D",1,0)+IF(CE1626="D",1,0)+IF(CF1626="D",1,0)+IF(CL1626="D",1,0)+IF(CM1626="D",1,0)+IF(CQ1626="D",1,0)+IF(CR1626="D",1,0)+IF(CS1626="D",1,0)+IF(CW1626="D",1,0)+IF(CX1626="D",1,0)+IF(DD1626="D",1,0)+IF(DE1626="D",1,0)+IF(DJ1626="D",1,0)+IF(DK1626="D",1,0)+IF(DO1626="D",1,0)+IF(DP1626="D",1,0)+IF(DQ1626="D",1,0)+IF(DW1626="D",1,0)+IF(DZ1626="D",1,0)+IF(EH1626="D",1,0)</f>
        <v/>
      </c>
      <c r="AY1626">
        <f>IF(DJ1626&lt;&gt;"",1,0)+IF(DK1626&lt;&gt;"",1,0)+IF(DM1626&lt;&gt;"",1,0)+IF(DO1626&lt;&gt;"",1,0)+IF(DP1626&lt;&gt;"",1,0)+IF(DQ1626&lt;&gt;"",1,0)+IF(DS1626&lt;&gt;"",1,0)+IF(DT1626&lt;&gt;"",1,0)+IF(DV1626&lt;&gt;"",1,0)+IF(DW1626&lt;&gt;"",1,0)+IF(DX1626&lt;&gt;"",1,0)+IF(DY1626&lt;&gt;"",1,0)+IF(DZ1626&lt;&gt;"",1,0)+IF(EB1626&lt;&gt;"",1,0)+IF(EC1626&lt;&gt;"",1,0)+IF(ED1626&lt;&gt;"",1,0)+IF(EG1626&lt;&gt;"",1,0)+IF(EH1626&lt;&gt;"",1,0)</f>
        <v/>
      </c>
      <c r="AZ1626">
        <f>IF(EH1626&lt;&gt;"",1,0)</f>
        <v/>
      </c>
      <c r="BB1626" t="inlineStr">
        <is>
          <t>WARREN-WARD 4</t>
        </is>
      </c>
    </row>
    <row r="1627">
      <c r="A1627" t="inlineStr">
        <is>
          <t>OH0025667822</t>
        </is>
      </c>
      <c r="B1627" t="n">
        <v>78</v>
      </c>
      <c r="C1627" t="n">
        <v>448152</v>
      </c>
      <c r="D1627" t="inlineStr">
        <is>
          <t>BIALOGLOWICZ</t>
        </is>
      </c>
      <c r="E1627" t="inlineStr">
        <is>
          <t>MONIQUE</t>
        </is>
      </c>
      <c r="F1627">
        <f>CONCATENATE(D1627," ",LEFT(H1627,4),"T=",AU1627,"D=",AV1627,"R=",AW1627,"M=",AX1627,"L=",AY1627,"B=",AZ1627)</f>
        <v/>
      </c>
      <c r="G1627" t="inlineStr">
        <is>
          <t>V</t>
        </is>
      </c>
      <c r="I1627" t="inlineStr">
        <is>
          <t>1993-12-15</t>
        </is>
      </c>
      <c r="J1627" t="inlineStr">
        <is>
          <t>2020-08-01</t>
        </is>
      </c>
      <c r="K1627" t="inlineStr">
        <is>
          <t>ACTIVE</t>
        </is>
      </c>
      <c r="M1627" t="inlineStr">
        <is>
          <t>177 PORTER ST NE</t>
        </is>
      </c>
      <c r="N1627">
        <f>RIGHT(M1627,LEN(M1627)-FIND(" ",M1627))</f>
        <v/>
      </c>
      <c r="P1627" t="inlineStr">
        <is>
          <t>WARREN</t>
        </is>
      </c>
      <c r="Q1627" t="inlineStr">
        <is>
          <t>OH</t>
        </is>
      </c>
      <c r="R1627" t="n">
        <v>44483</v>
      </c>
      <c r="AD1627" t="inlineStr">
        <is>
          <t>TRUMBULL CAREER &amp; TECH CENTER</t>
        </is>
      </c>
      <c r="AE1627" t="inlineStr">
        <is>
          <t>WARREN CITY</t>
        </is>
      </c>
      <c r="AF1627" t="inlineStr">
        <is>
          <t>WARREN CITY SD</t>
        </is>
      </c>
      <c r="AH1627" t="n">
        <v>14</v>
      </c>
      <c r="AI1627" t="n">
        <v>11</v>
      </c>
      <c r="AN1627" t="inlineStr">
        <is>
          <t>WARREN</t>
        </is>
      </c>
      <c r="AO1627" t="inlineStr">
        <is>
          <t>WARREN CITY 4D</t>
        </is>
      </c>
      <c r="AP1627" t="inlineStr">
        <is>
          <t>78-P-ADL</t>
        </is>
      </c>
      <c r="AQ1627" t="n">
        <v>9</v>
      </c>
      <c r="AR1627" t="n">
        <v>64</v>
      </c>
      <c r="AS1627" t="n">
        <v>32</v>
      </c>
      <c r="AU1627">
        <f>COUNTA($BA$1627:$EH$1627)</f>
        <v/>
      </c>
      <c r="AV1627">
        <f>COUNTIF($BA$1627:$EH$1627,"D")</f>
        <v/>
      </c>
      <c r="AW1627">
        <f>COUNTIF($BA$1627:$EH$1627,"R")</f>
        <v/>
      </c>
      <c r="AX1627">
        <f>IF(BN1627="D",1,0)+IF(BO1627="D",1,0)+IF(BT1627="D",1,0)+IF(BU1627="D",1,0)+IF(BW1627="D",1,0)+IF(CC1627="D",1,0)+IF(CD1627="D",1,0)+IF(CE1627="D",1,0)+IF(CF1627="D",1,0)+IF(CL1627="D",1,0)+IF(CM1627="D",1,0)+IF(CQ1627="D",1,0)+IF(CR1627="D",1,0)+IF(CS1627="D",1,0)+IF(CW1627="D",1,0)+IF(CX1627="D",1,0)+IF(DD1627="D",1,0)+IF(DE1627="D",1,0)+IF(DJ1627="D",1,0)+IF(DK1627="D",1,0)+IF(DO1627="D",1,0)+IF(DP1627="D",1,0)+IF(DQ1627="D",1,0)+IF(DW1627="D",1,0)+IF(DZ1627="D",1,0)+IF(EH1627="D",1,0)</f>
        <v/>
      </c>
      <c r="AY1627">
        <f>IF(DJ1627&lt;&gt;"",1,0)+IF(DK1627&lt;&gt;"",1,0)+IF(DM1627&lt;&gt;"",1,0)+IF(DO1627&lt;&gt;"",1,0)+IF(DP1627&lt;&gt;"",1,0)+IF(DQ1627&lt;&gt;"",1,0)+IF(DS1627&lt;&gt;"",1,0)+IF(DT1627&lt;&gt;"",1,0)+IF(DV1627&lt;&gt;"",1,0)+IF(DW1627&lt;&gt;"",1,0)+IF(DX1627&lt;&gt;"",1,0)+IF(DY1627&lt;&gt;"",1,0)+IF(DZ1627&lt;&gt;"",1,0)+IF(EB1627&lt;&gt;"",1,0)+IF(EC1627&lt;&gt;"",1,0)+IF(ED1627&lt;&gt;"",1,0)+IF(EG1627&lt;&gt;"",1,0)+IF(EH1627&lt;&gt;"",1,0)</f>
        <v/>
      </c>
      <c r="AZ1627">
        <f>IF(EH1627&lt;&gt;"",1,0)</f>
        <v/>
      </c>
      <c r="BB1627" t="inlineStr">
        <is>
          <t>WARREN-WARD 4</t>
        </is>
      </c>
      <c r="EF1627" t="inlineStr">
        <is>
          <t>X</t>
        </is>
      </c>
    </row>
    <row r="1628">
      <c r="A1628" t="inlineStr">
        <is>
          <t>OH0027073968</t>
        </is>
      </c>
      <c r="B1628" t="n">
        <v>78</v>
      </c>
      <c r="C1628" t="n">
        <v>476574</v>
      </c>
      <c r="D1628" t="inlineStr">
        <is>
          <t>REESE</t>
        </is>
      </c>
      <c r="E1628" t="inlineStr">
        <is>
          <t>DEBORAH</t>
        </is>
      </c>
      <c r="F1628">
        <f>CONCATENATE(D1628," ",LEFT(H1628,4),"T=",AU1628,"D=",AV1628,"R=",AW1628,"M=",AX1628,"L=",AY1628,"B=",AZ1628)</f>
        <v/>
      </c>
      <c r="G1628" t="inlineStr">
        <is>
          <t>L</t>
        </is>
      </c>
      <c r="I1628" t="inlineStr">
        <is>
          <t>1958-07-31</t>
        </is>
      </c>
      <c r="J1628" t="inlineStr">
        <is>
          <t>2023-09-18</t>
        </is>
      </c>
      <c r="K1628" t="inlineStr">
        <is>
          <t>ACTIVE</t>
        </is>
      </c>
      <c r="M1628" t="inlineStr">
        <is>
          <t>730 PAIGE AVE NE</t>
        </is>
      </c>
      <c r="N1628">
        <f>RIGHT(M1628,LEN(M1628)-FIND(" ",M1628))</f>
        <v/>
      </c>
      <c r="P1628" t="inlineStr">
        <is>
          <t>WARREN</t>
        </is>
      </c>
      <c r="Q1628" t="inlineStr">
        <is>
          <t>OH</t>
        </is>
      </c>
      <c r="R1628" t="n">
        <v>44483</v>
      </c>
      <c r="AD1628" t="inlineStr">
        <is>
          <t>TRUMBULL CAREER &amp; TECH CENTER</t>
        </is>
      </c>
      <c r="AE1628" t="inlineStr">
        <is>
          <t>WARREN CITY</t>
        </is>
      </c>
      <c r="AF1628" t="inlineStr">
        <is>
          <t>WARREN CITY SD</t>
        </is>
      </c>
      <c r="AH1628" t="n">
        <v>14</v>
      </c>
      <c r="AI1628" t="n">
        <v>11</v>
      </c>
      <c r="AN1628" t="inlineStr">
        <is>
          <t>WARREN</t>
        </is>
      </c>
      <c r="AO1628" t="inlineStr">
        <is>
          <t>WARREN CITY 4D</t>
        </is>
      </c>
      <c r="AP1628" t="inlineStr">
        <is>
          <t>78-P-ADL</t>
        </is>
      </c>
      <c r="AQ1628" t="n">
        <v>9</v>
      </c>
      <c r="AR1628" t="n">
        <v>64</v>
      </c>
      <c r="AS1628" t="n">
        <v>32</v>
      </c>
      <c r="AU1628">
        <f>COUNTA($BA$1628:$EH$1628)</f>
        <v/>
      </c>
      <c r="AV1628">
        <f>COUNTIF($BA$1628:$EH$1628,"D")</f>
        <v/>
      </c>
      <c r="AW1628">
        <f>COUNTIF($BA$1628:$EH$1628,"R")</f>
        <v/>
      </c>
      <c r="AX1628">
        <f>IF(BN1628="D",1,0)+IF(BO1628="D",1,0)+IF(BT1628="D",1,0)+IF(BU1628="D",1,0)+IF(BW1628="D",1,0)+IF(CC1628="D",1,0)+IF(CD1628="D",1,0)+IF(CE1628="D",1,0)+IF(CF1628="D",1,0)+IF(CL1628="D",1,0)+IF(CM1628="D",1,0)+IF(CQ1628="D",1,0)+IF(CR1628="D",1,0)+IF(CS1628="D",1,0)+IF(CW1628="D",1,0)+IF(CX1628="D",1,0)+IF(DD1628="D",1,0)+IF(DE1628="D",1,0)+IF(DJ1628="D",1,0)+IF(DK1628="D",1,0)+IF(DO1628="D",1,0)+IF(DP1628="D",1,0)+IF(DQ1628="D",1,0)+IF(DW1628="D",1,0)+IF(DZ1628="D",1,0)+IF(EH1628="D",1,0)</f>
        <v/>
      </c>
      <c r="AY1628">
        <f>IF(DJ1628&lt;&gt;"",1,0)+IF(DK1628&lt;&gt;"",1,0)+IF(DM1628&lt;&gt;"",1,0)+IF(DO1628&lt;&gt;"",1,0)+IF(DP1628&lt;&gt;"",1,0)+IF(DQ1628&lt;&gt;"",1,0)+IF(DS1628&lt;&gt;"",1,0)+IF(DT1628&lt;&gt;"",1,0)+IF(DV1628&lt;&gt;"",1,0)+IF(DW1628&lt;&gt;"",1,0)+IF(DX1628&lt;&gt;"",1,0)+IF(DY1628&lt;&gt;"",1,0)+IF(DZ1628&lt;&gt;"",1,0)+IF(EB1628&lt;&gt;"",1,0)+IF(EC1628&lt;&gt;"",1,0)+IF(ED1628&lt;&gt;"",1,0)+IF(EG1628&lt;&gt;"",1,0)+IF(EH1628&lt;&gt;"",1,0)</f>
        <v/>
      </c>
      <c r="AZ1628">
        <f>IF(EH1628&lt;&gt;"",1,0)</f>
        <v/>
      </c>
      <c r="BB1628" t="inlineStr">
        <is>
          <t>WARREN-WARD 4</t>
        </is>
      </c>
    </row>
    <row r="1629">
      <c r="A1629" t="inlineStr">
        <is>
          <t>OH0026855098</t>
        </is>
      </c>
      <c r="B1629" t="n">
        <v>78</v>
      </c>
      <c r="C1629" t="n">
        <v>473511</v>
      </c>
      <c r="D1629" t="inlineStr">
        <is>
          <t>CAIN</t>
        </is>
      </c>
      <c r="E1629" t="inlineStr">
        <is>
          <t>ANANDEH</t>
        </is>
      </c>
      <c r="F1629">
        <f>CONCATENATE(D1629," ",LEFT(H1629,4),"T=",AU1629,"D=",AV1629,"R=",AW1629,"M=",AX1629,"L=",AY1629,"B=",AZ1629)</f>
        <v/>
      </c>
      <c r="G1629" t="inlineStr">
        <is>
          <t>PELAR IERRA</t>
        </is>
      </c>
      <c r="I1629" t="inlineStr">
        <is>
          <t>2000-03-16</t>
        </is>
      </c>
      <c r="J1629" t="inlineStr">
        <is>
          <t>2023-03-31</t>
        </is>
      </c>
      <c r="K1629" t="inlineStr">
        <is>
          <t>CONFIRMATION</t>
        </is>
      </c>
      <c r="M1629" t="inlineStr">
        <is>
          <t>200 WASHINGTON ST NE</t>
        </is>
      </c>
      <c r="N1629">
        <f>RIGHT(M1629,LEN(M1629)-FIND(" ",M1629))</f>
        <v/>
      </c>
      <c r="O1629" t="inlineStr">
        <is>
          <t>APT 4</t>
        </is>
      </c>
      <c r="P1629" t="inlineStr">
        <is>
          <t>WARREN</t>
        </is>
      </c>
      <c r="Q1629" t="inlineStr">
        <is>
          <t>OH</t>
        </is>
      </c>
      <c r="R1629" t="n">
        <v>44483</v>
      </c>
      <c r="AD1629" t="inlineStr">
        <is>
          <t>TRUMBULL CAREER &amp; TECH CENTER</t>
        </is>
      </c>
      <c r="AE1629" t="inlineStr">
        <is>
          <t>WARREN CITY</t>
        </is>
      </c>
      <c r="AF1629" t="inlineStr">
        <is>
          <t>WARREN CITY SD</t>
        </is>
      </c>
      <c r="AH1629" t="n">
        <v>14</v>
      </c>
      <c r="AI1629" t="n">
        <v>11</v>
      </c>
      <c r="AN1629" t="inlineStr">
        <is>
          <t>WARREN</t>
        </is>
      </c>
      <c r="AO1629" t="inlineStr">
        <is>
          <t>WARREN CITY 4D</t>
        </is>
      </c>
      <c r="AP1629" t="inlineStr">
        <is>
          <t>78-P-ADL</t>
        </is>
      </c>
      <c r="AQ1629" t="n">
        <v>9</v>
      </c>
      <c r="AR1629" t="n">
        <v>64</v>
      </c>
      <c r="AS1629" t="n">
        <v>32</v>
      </c>
      <c r="AU1629">
        <f>COUNTA($BA$1629:$EH$1629)</f>
        <v/>
      </c>
      <c r="AV1629">
        <f>COUNTIF($BA$1629:$EH$1629,"D")</f>
        <v/>
      </c>
      <c r="AW1629">
        <f>COUNTIF($BA$1629:$EH$1629,"R")</f>
        <v/>
      </c>
      <c r="AX1629">
        <f>IF(BN1629="D",1,0)+IF(BO1629="D",1,0)+IF(BT1629="D",1,0)+IF(BU1629="D",1,0)+IF(BW1629="D",1,0)+IF(CC1629="D",1,0)+IF(CD1629="D",1,0)+IF(CE1629="D",1,0)+IF(CF1629="D",1,0)+IF(CL1629="D",1,0)+IF(CM1629="D",1,0)+IF(CQ1629="D",1,0)+IF(CR1629="D",1,0)+IF(CS1629="D",1,0)+IF(CW1629="D",1,0)+IF(CX1629="D",1,0)+IF(DD1629="D",1,0)+IF(DE1629="D",1,0)+IF(DJ1629="D",1,0)+IF(DK1629="D",1,0)+IF(DO1629="D",1,0)+IF(DP1629="D",1,0)+IF(DQ1629="D",1,0)+IF(DW1629="D",1,0)+IF(DZ1629="D",1,0)+IF(EH1629="D",1,0)</f>
        <v/>
      </c>
      <c r="AY1629">
        <f>IF(DJ1629&lt;&gt;"",1,0)+IF(DK1629&lt;&gt;"",1,0)+IF(DM1629&lt;&gt;"",1,0)+IF(DO1629&lt;&gt;"",1,0)+IF(DP1629&lt;&gt;"",1,0)+IF(DQ1629&lt;&gt;"",1,0)+IF(DS1629&lt;&gt;"",1,0)+IF(DT1629&lt;&gt;"",1,0)+IF(DV1629&lt;&gt;"",1,0)+IF(DW1629&lt;&gt;"",1,0)+IF(DX1629&lt;&gt;"",1,0)+IF(DY1629&lt;&gt;"",1,0)+IF(DZ1629&lt;&gt;"",1,0)+IF(EB1629&lt;&gt;"",1,0)+IF(EC1629&lt;&gt;"",1,0)+IF(ED1629&lt;&gt;"",1,0)+IF(EG1629&lt;&gt;"",1,0)+IF(EH1629&lt;&gt;"",1,0)</f>
        <v/>
      </c>
      <c r="AZ1629">
        <f>IF(EH1629&lt;&gt;"",1,0)</f>
        <v/>
      </c>
      <c r="BB1629" t="inlineStr">
        <is>
          <t>WARREN-WARD 4</t>
        </is>
      </c>
      <c r="DO1629" t="inlineStr">
        <is>
          <t>D</t>
        </is>
      </c>
    </row>
    <row r="1630">
      <c r="A1630" t="inlineStr">
        <is>
          <t>OH0023547798</t>
        </is>
      </c>
      <c r="B1630" t="n">
        <v>78</v>
      </c>
      <c r="C1630" t="n">
        <v>414672</v>
      </c>
      <c r="D1630" t="inlineStr">
        <is>
          <t>MARKO</t>
        </is>
      </c>
      <c r="E1630" t="inlineStr">
        <is>
          <t>MARIA</t>
        </is>
      </c>
      <c r="F1630">
        <f>CONCATENATE(D1630," ",LEFT(H1630,4),"T=",AU1630,"D=",AV1630,"R=",AW1630,"M=",AX1630,"L=",AY1630,"B=",AZ1630)</f>
        <v/>
      </c>
      <c r="G1630" t="inlineStr">
        <is>
          <t>A</t>
        </is>
      </c>
      <c r="I1630" t="inlineStr">
        <is>
          <t>1970-04-05</t>
        </is>
      </c>
      <c r="J1630" t="inlineStr">
        <is>
          <t>2016-11-08</t>
        </is>
      </c>
      <c r="K1630" t="inlineStr">
        <is>
          <t>CONFIRMATION</t>
        </is>
      </c>
      <c r="M1630" t="inlineStr">
        <is>
          <t>169 WASHINGTON ST NW</t>
        </is>
      </c>
      <c r="N1630">
        <f>RIGHT(M1630,LEN(M1630)-FIND(" ",M1630))</f>
        <v/>
      </c>
      <c r="P1630" t="inlineStr">
        <is>
          <t>WARREN</t>
        </is>
      </c>
      <c r="Q1630" t="inlineStr">
        <is>
          <t>OH</t>
        </is>
      </c>
      <c r="R1630" t="n">
        <v>44483</v>
      </c>
      <c r="AD1630" t="inlineStr">
        <is>
          <t>TRUMBULL CAREER &amp; TECH CENTER</t>
        </is>
      </c>
      <c r="AE1630" t="inlineStr">
        <is>
          <t>WARREN CITY</t>
        </is>
      </c>
      <c r="AF1630" t="inlineStr">
        <is>
          <t>WARREN CITY SD</t>
        </is>
      </c>
      <c r="AH1630" t="n">
        <v>14</v>
      </c>
      <c r="AI1630" t="n">
        <v>11</v>
      </c>
      <c r="AN1630" t="inlineStr">
        <is>
          <t>WARREN</t>
        </is>
      </c>
      <c r="AO1630" t="inlineStr">
        <is>
          <t>WARREN CITY 4D</t>
        </is>
      </c>
      <c r="AP1630" t="inlineStr">
        <is>
          <t>78-P-ADL</t>
        </is>
      </c>
      <c r="AQ1630" t="n">
        <v>9</v>
      </c>
      <c r="AR1630" t="n">
        <v>64</v>
      </c>
      <c r="AS1630" t="n">
        <v>32</v>
      </c>
      <c r="AU1630">
        <f>COUNTA($BA$1630:$EH$1630)</f>
        <v/>
      </c>
      <c r="AV1630">
        <f>COUNTIF($BA$1630:$EH$1630,"D")</f>
        <v/>
      </c>
      <c r="AW1630">
        <f>COUNTIF($BA$1630:$EH$1630,"R")</f>
        <v/>
      </c>
      <c r="AX1630">
        <f>IF(BN1630="D",1,0)+IF(BO1630="D",1,0)+IF(BT1630="D",1,0)+IF(BU1630="D",1,0)+IF(BW1630="D",1,0)+IF(CC1630="D",1,0)+IF(CD1630="D",1,0)+IF(CE1630="D",1,0)+IF(CF1630="D",1,0)+IF(CL1630="D",1,0)+IF(CM1630="D",1,0)+IF(CQ1630="D",1,0)+IF(CR1630="D",1,0)+IF(CS1630="D",1,0)+IF(CW1630="D",1,0)+IF(CX1630="D",1,0)+IF(DD1630="D",1,0)+IF(DE1630="D",1,0)+IF(DJ1630="D",1,0)+IF(DK1630="D",1,0)+IF(DO1630="D",1,0)+IF(DP1630="D",1,0)+IF(DQ1630="D",1,0)+IF(DW1630="D",1,0)+IF(DZ1630="D",1,0)+IF(EH1630="D",1,0)</f>
        <v/>
      </c>
      <c r="AY1630">
        <f>IF(DJ1630&lt;&gt;"",1,0)+IF(DK1630&lt;&gt;"",1,0)+IF(DM1630&lt;&gt;"",1,0)+IF(DO1630&lt;&gt;"",1,0)+IF(DP1630&lt;&gt;"",1,0)+IF(DQ1630&lt;&gt;"",1,0)+IF(DS1630&lt;&gt;"",1,0)+IF(DT1630&lt;&gt;"",1,0)+IF(DV1630&lt;&gt;"",1,0)+IF(DW1630&lt;&gt;"",1,0)+IF(DX1630&lt;&gt;"",1,0)+IF(DY1630&lt;&gt;"",1,0)+IF(DZ1630&lt;&gt;"",1,0)+IF(EB1630&lt;&gt;"",1,0)+IF(EC1630&lt;&gt;"",1,0)+IF(ED1630&lt;&gt;"",1,0)+IF(EG1630&lt;&gt;"",1,0)+IF(EH1630&lt;&gt;"",1,0)</f>
        <v/>
      </c>
      <c r="AZ1630">
        <f>IF(EH1630&lt;&gt;"",1,0)</f>
        <v/>
      </c>
      <c r="BB1630" t="inlineStr">
        <is>
          <t>WARREN-WARD 4</t>
        </is>
      </c>
      <c r="DC1630" t="inlineStr">
        <is>
          <t>X</t>
        </is>
      </c>
      <c r="DI1630" t="inlineStr">
        <is>
          <t>X</t>
        </is>
      </c>
      <c r="DN1630" t="inlineStr">
        <is>
          <t>X</t>
        </is>
      </c>
    </row>
    <row r="1631">
      <c r="A1631" t="inlineStr">
        <is>
          <t>OH0023526806</t>
        </is>
      </c>
      <c r="B1631" t="n">
        <v>78</v>
      </c>
      <c r="C1631" t="n">
        <v>414218</v>
      </c>
      <c r="D1631" t="inlineStr">
        <is>
          <t>FLAHERTY</t>
        </is>
      </c>
      <c r="E1631" t="inlineStr">
        <is>
          <t>WILLIAM</t>
        </is>
      </c>
      <c r="F1631">
        <f>CONCATENATE(D1631," ",LEFT(H1631,4),"T=",AU1631,"D=",AV1631,"R=",AW1631,"M=",AX1631,"L=",AY1631,"B=",AZ1631)</f>
        <v/>
      </c>
      <c r="G1631" t="inlineStr">
        <is>
          <t>K</t>
        </is>
      </c>
      <c r="I1631" t="inlineStr">
        <is>
          <t>1976-08-02</t>
        </is>
      </c>
      <c r="J1631" t="inlineStr">
        <is>
          <t>2025-05-06</t>
        </is>
      </c>
      <c r="K1631" t="inlineStr">
        <is>
          <t>ACTIVE</t>
        </is>
      </c>
      <c r="L1631" t="inlineStr">
        <is>
          <t>D</t>
        </is>
      </c>
      <c r="M1631" t="inlineStr">
        <is>
          <t>139 SCOTT ST NE</t>
        </is>
      </c>
      <c r="N1631">
        <f>RIGHT(M1631,LEN(M1631)-FIND(" ",M1631))</f>
        <v/>
      </c>
      <c r="P1631" t="inlineStr">
        <is>
          <t>WARREN</t>
        </is>
      </c>
      <c r="Q1631" t="inlineStr">
        <is>
          <t>OH</t>
        </is>
      </c>
      <c r="R1631" t="n">
        <v>44483</v>
      </c>
      <c r="AD1631" t="inlineStr">
        <is>
          <t>TRUMBULL CAREER &amp; TECH CENTER</t>
        </is>
      </c>
      <c r="AE1631" t="inlineStr">
        <is>
          <t>WARREN CITY</t>
        </is>
      </c>
      <c r="AF1631" t="inlineStr">
        <is>
          <t>WARREN CITY SD</t>
        </is>
      </c>
      <c r="AH1631" t="n">
        <v>14</v>
      </c>
      <c r="AI1631" t="n">
        <v>11</v>
      </c>
      <c r="AN1631" t="inlineStr">
        <is>
          <t>WARREN</t>
        </is>
      </c>
      <c r="AO1631" t="inlineStr">
        <is>
          <t>WARREN CITY 4D</t>
        </is>
      </c>
      <c r="AP1631" t="inlineStr">
        <is>
          <t>78-P-ADL</t>
        </is>
      </c>
      <c r="AQ1631" t="n">
        <v>9</v>
      </c>
      <c r="AR1631" t="n">
        <v>64</v>
      </c>
      <c r="AS1631" t="n">
        <v>32</v>
      </c>
      <c r="AU1631">
        <f>COUNTA($BA$1631:$EH$1631)</f>
        <v/>
      </c>
      <c r="AV1631">
        <f>COUNTIF($BA$1631:$EH$1631,"D")</f>
        <v/>
      </c>
      <c r="AW1631">
        <f>COUNTIF($BA$1631:$EH$1631,"R")</f>
        <v/>
      </c>
      <c r="AX1631">
        <f>IF(BN1631="D",1,0)+IF(BO1631="D",1,0)+IF(BT1631="D",1,0)+IF(BU1631="D",1,0)+IF(BW1631="D",1,0)+IF(CC1631="D",1,0)+IF(CD1631="D",1,0)+IF(CE1631="D",1,0)+IF(CF1631="D",1,0)+IF(CL1631="D",1,0)+IF(CM1631="D",1,0)+IF(CQ1631="D",1,0)+IF(CR1631="D",1,0)+IF(CS1631="D",1,0)+IF(CW1631="D",1,0)+IF(CX1631="D",1,0)+IF(DD1631="D",1,0)+IF(DE1631="D",1,0)+IF(DJ1631="D",1,0)+IF(DK1631="D",1,0)+IF(DO1631="D",1,0)+IF(DP1631="D",1,0)+IF(DQ1631="D",1,0)+IF(DW1631="D",1,0)+IF(DZ1631="D",1,0)+IF(EH1631="D",1,0)</f>
        <v/>
      </c>
      <c r="AY1631">
        <f>IF(DJ1631&lt;&gt;"",1,0)+IF(DK1631&lt;&gt;"",1,0)+IF(DM1631&lt;&gt;"",1,0)+IF(DO1631&lt;&gt;"",1,0)+IF(DP1631&lt;&gt;"",1,0)+IF(DQ1631&lt;&gt;"",1,0)+IF(DS1631&lt;&gt;"",1,0)+IF(DT1631&lt;&gt;"",1,0)+IF(DV1631&lt;&gt;"",1,0)+IF(DW1631&lt;&gt;"",1,0)+IF(DX1631&lt;&gt;"",1,0)+IF(DY1631&lt;&gt;"",1,0)+IF(DZ1631&lt;&gt;"",1,0)+IF(EB1631&lt;&gt;"",1,0)+IF(EC1631&lt;&gt;"",1,0)+IF(ED1631&lt;&gt;"",1,0)+IF(EG1631&lt;&gt;"",1,0)+IF(EH1631&lt;&gt;"",1,0)</f>
        <v/>
      </c>
      <c r="AZ1631">
        <f>IF(EH1631&lt;&gt;"",1,0)</f>
        <v/>
      </c>
      <c r="BB1631" t="inlineStr">
        <is>
          <t>WARREN-WARD 4</t>
        </is>
      </c>
      <c r="CZ1631" t="inlineStr">
        <is>
          <t>D</t>
        </is>
      </c>
      <c r="DC1631" t="inlineStr">
        <is>
          <t>X</t>
        </is>
      </c>
      <c r="DU1631" t="inlineStr">
        <is>
          <t>X</t>
        </is>
      </c>
      <c r="EA1631" t="inlineStr">
        <is>
          <t>X</t>
        </is>
      </c>
      <c r="EF1631" t="inlineStr">
        <is>
          <t>X</t>
        </is>
      </c>
      <c r="EH1631" t="inlineStr">
        <is>
          <t>D</t>
        </is>
      </c>
    </row>
    <row r="1632">
      <c r="A1632" t="inlineStr">
        <is>
          <t>OH0027507749</t>
        </is>
      </c>
      <c r="B1632" t="n">
        <v>78</v>
      </c>
      <c r="C1632" t="n">
        <v>487350</v>
      </c>
      <c r="D1632" t="inlineStr">
        <is>
          <t>BALL</t>
        </is>
      </c>
      <c r="E1632" t="inlineStr">
        <is>
          <t>ANTHONY</t>
        </is>
      </c>
      <c r="F1632">
        <f>CONCATENATE(D1632," ",LEFT(H1632,4),"T=",AU1632,"D=",AV1632,"R=",AW1632,"M=",AX1632,"L=",AY1632,"B=",AZ1632)</f>
        <v/>
      </c>
      <c r="G1632" t="inlineStr">
        <is>
          <t>J</t>
        </is>
      </c>
      <c r="I1632" t="inlineStr">
        <is>
          <t>1994-07-20</t>
        </is>
      </c>
      <c r="J1632" t="inlineStr">
        <is>
          <t>2024-08-08</t>
        </is>
      </c>
      <c r="K1632" t="inlineStr">
        <is>
          <t>ACTIVE</t>
        </is>
      </c>
      <c r="M1632" t="inlineStr">
        <is>
          <t>349 SCOTT ST NE</t>
        </is>
      </c>
      <c r="N1632">
        <f>RIGHT(M1632,LEN(M1632)-FIND(" ",M1632))</f>
        <v/>
      </c>
      <c r="P1632" t="inlineStr">
        <is>
          <t>WARREN</t>
        </is>
      </c>
      <c r="Q1632" t="inlineStr">
        <is>
          <t>OH</t>
        </is>
      </c>
      <c r="R1632" t="n">
        <v>44483</v>
      </c>
      <c r="AD1632" t="inlineStr">
        <is>
          <t>TRUMBULL CAREER &amp; TECH CENTER</t>
        </is>
      </c>
      <c r="AE1632" t="inlineStr">
        <is>
          <t>WARREN CITY</t>
        </is>
      </c>
      <c r="AF1632" t="inlineStr">
        <is>
          <t>WARREN CITY SD</t>
        </is>
      </c>
      <c r="AH1632" t="n">
        <v>14</v>
      </c>
      <c r="AI1632" t="n">
        <v>11</v>
      </c>
      <c r="AN1632" t="inlineStr">
        <is>
          <t>WARREN</t>
        </is>
      </c>
      <c r="AO1632" t="inlineStr">
        <is>
          <t>WARREN CITY 4D</t>
        </is>
      </c>
      <c r="AP1632" t="inlineStr">
        <is>
          <t>78-P-ADL</t>
        </is>
      </c>
      <c r="AQ1632" t="n">
        <v>9</v>
      </c>
      <c r="AR1632" t="n">
        <v>64</v>
      </c>
      <c r="AS1632" t="n">
        <v>32</v>
      </c>
      <c r="AU1632">
        <f>COUNTA($BA$1632:$EH$1632)</f>
        <v/>
      </c>
      <c r="AV1632">
        <f>COUNTIF($BA$1632:$EH$1632,"D")</f>
        <v/>
      </c>
      <c r="AW1632">
        <f>COUNTIF($BA$1632:$EH$1632,"R")</f>
        <v/>
      </c>
      <c r="AX1632">
        <f>IF(BN1632="D",1,0)+IF(BO1632="D",1,0)+IF(BT1632="D",1,0)+IF(BU1632="D",1,0)+IF(BW1632="D",1,0)+IF(CC1632="D",1,0)+IF(CD1632="D",1,0)+IF(CE1632="D",1,0)+IF(CF1632="D",1,0)+IF(CL1632="D",1,0)+IF(CM1632="D",1,0)+IF(CQ1632="D",1,0)+IF(CR1632="D",1,0)+IF(CS1632="D",1,0)+IF(CW1632="D",1,0)+IF(CX1632="D",1,0)+IF(DD1632="D",1,0)+IF(DE1632="D",1,0)+IF(DJ1632="D",1,0)+IF(DK1632="D",1,0)+IF(DO1632="D",1,0)+IF(DP1632="D",1,0)+IF(DQ1632="D",1,0)+IF(DW1632="D",1,0)+IF(DZ1632="D",1,0)+IF(EH1632="D",1,0)</f>
        <v/>
      </c>
      <c r="AY1632">
        <f>IF(DJ1632&lt;&gt;"",1,0)+IF(DK1632&lt;&gt;"",1,0)+IF(DM1632&lt;&gt;"",1,0)+IF(DO1632&lt;&gt;"",1,0)+IF(DP1632&lt;&gt;"",1,0)+IF(DQ1632&lt;&gt;"",1,0)+IF(DS1632&lt;&gt;"",1,0)+IF(DT1632&lt;&gt;"",1,0)+IF(DV1632&lt;&gt;"",1,0)+IF(DW1632&lt;&gt;"",1,0)+IF(DX1632&lt;&gt;"",1,0)+IF(DY1632&lt;&gt;"",1,0)+IF(DZ1632&lt;&gt;"",1,0)+IF(EB1632&lt;&gt;"",1,0)+IF(EC1632&lt;&gt;"",1,0)+IF(ED1632&lt;&gt;"",1,0)+IF(EG1632&lt;&gt;"",1,0)+IF(EH1632&lt;&gt;"",1,0)</f>
        <v/>
      </c>
      <c r="AZ1632">
        <f>IF(EH1632&lt;&gt;"",1,0)</f>
        <v/>
      </c>
      <c r="BB1632" t="inlineStr">
        <is>
          <t>WARREN-WARD 4</t>
        </is>
      </c>
    </row>
    <row r="1633">
      <c r="A1633" t="inlineStr">
        <is>
          <t>OH0015758059</t>
        </is>
      </c>
      <c r="B1633" t="n">
        <v>78</v>
      </c>
      <c r="C1633" t="n">
        <v>245023</v>
      </c>
      <c r="D1633" t="inlineStr">
        <is>
          <t>BOOTH</t>
        </is>
      </c>
      <c r="E1633" t="inlineStr">
        <is>
          <t>AMY</t>
        </is>
      </c>
      <c r="F1633">
        <f>CONCATENATE(D1633," ",LEFT(H1633,4),"T=",AU1633,"D=",AV1633,"R=",AW1633,"M=",AX1633,"L=",AY1633,"B=",AZ1633)</f>
        <v/>
      </c>
      <c r="G1633" t="inlineStr">
        <is>
          <t>J</t>
        </is>
      </c>
      <c r="I1633" t="inlineStr">
        <is>
          <t>1958-10-09</t>
        </is>
      </c>
      <c r="J1633" t="inlineStr">
        <is>
          <t>2015-10-03</t>
        </is>
      </c>
      <c r="K1633" t="inlineStr">
        <is>
          <t>ACTIVE</t>
        </is>
      </c>
      <c r="M1633" t="inlineStr">
        <is>
          <t>745 PORTER ST NE</t>
        </is>
      </c>
      <c r="N1633">
        <f>RIGHT(M1633,LEN(M1633)-FIND(" ",M1633))</f>
        <v/>
      </c>
      <c r="P1633" t="inlineStr">
        <is>
          <t>WARREN</t>
        </is>
      </c>
      <c r="Q1633" t="inlineStr">
        <is>
          <t>OH</t>
        </is>
      </c>
      <c r="R1633" t="n">
        <v>44483</v>
      </c>
      <c r="AD1633" t="inlineStr">
        <is>
          <t>TRUMBULL CAREER &amp; TECH CENTER</t>
        </is>
      </c>
      <c r="AE1633" t="inlineStr">
        <is>
          <t>WARREN CITY</t>
        </is>
      </c>
      <c r="AF1633" t="inlineStr">
        <is>
          <t>WARREN CITY SD</t>
        </is>
      </c>
      <c r="AH1633" t="n">
        <v>14</v>
      </c>
      <c r="AI1633" t="n">
        <v>11</v>
      </c>
      <c r="AN1633" t="inlineStr">
        <is>
          <t>WARREN</t>
        </is>
      </c>
      <c r="AO1633" t="inlineStr">
        <is>
          <t>WARREN CITY 4D</t>
        </is>
      </c>
      <c r="AP1633" t="inlineStr">
        <is>
          <t>78-P-ADL</t>
        </is>
      </c>
      <c r="AQ1633" t="n">
        <v>9</v>
      </c>
      <c r="AR1633" t="n">
        <v>64</v>
      </c>
      <c r="AS1633" t="n">
        <v>32</v>
      </c>
      <c r="AU1633">
        <f>COUNTA($BA$1633:$EH$1633)</f>
        <v/>
      </c>
      <c r="AV1633">
        <f>COUNTIF($BA$1633:$EH$1633,"D")</f>
        <v/>
      </c>
      <c r="AW1633">
        <f>COUNTIF($BA$1633:$EH$1633,"R")</f>
        <v/>
      </c>
      <c r="AX1633">
        <f>IF(BN1633="D",1,0)+IF(BO1633="D",1,0)+IF(BT1633="D",1,0)+IF(BU1633="D",1,0)+IF(BW1633="D",1,0)+IF(CC1633="D",1,0)+IF(CD1633="D",1,0)+IF(CE1633="D",1,0)+IF(CF1633="D",1,0)+IF(CL1633="D",1,0)+IF(CM1633="D",1,0)+IF(CQ1633="D",1,0)+IF(CR1633="D",1,0)+IF(CS1633="D",1,0)+IF(CW1633="D",1,0)+IF(CX1633="D",1,0)+IF(DD1633="D",1,0)+IF(DE1633="D",1,0)+IF(DJ1633="D",1,0)+IF(DK1633="D",1,0)+IF(DO1633="D",1,0)+IF(DP1633="D",1,0)+IF(DQ1633="D",1,0)+IF(DW1633="D",1,0)+IF(DZ1633="D",1,0)+IF(EH1633="D",1,0)</f>
        <v/>
      </c>
      <c r="AY1633">
        <f>IF(DJ1633&lt;&gt;"",1,0)+IF(DK1633&lt;&gt;"",1,0)+IF(DM1633&lt;&gt;"",1,0)+IF(DO1633&lt;&gt;"",1,0)+IF(DP1633&lt;&gt;"",1,0)+IF(DQ1633&lt;&gt;"",1,0)+IF(DS1633&lt;&gt;"",1,0)+IF(DT1633&lt;&gt;"",1,0)+IF(DV1633&lt;&gt;"",1,0)+IF(DW1633&lt;&gt;"",1,0)+IF(DX1633&lt;&gt;"",1,0)+IF(DY1633&lt;&gt;"",1,0)+IF(DZ1633&lt;&gt;"",1,0)+IF(EB1633&lt;&gt;"",1,0)+IF(EC1633&lt;&gt;"",1,0)+IF(ED1633&lt;&gt;"",1,0)+IF(EG1633&lt;&gt;"",1,0)+IF(EH1633&lt;&gt;"",1,0)</f>
        <v/>
      </c>
      <c r="AZ1633">
        <f>IF(EH1633&lt;&gt;"",1,0)</f>
        <v/>
      </c>
      <c r="BB1633" t="inlineStr">
        <is>
          <t>WARREN-WARD 4</t>
        </is>
      </c>
      <c r="BD1633" t="inlineStr">
        <is>
          <t>X</t>
        </is>
      </c>
      <c r="BH1633" t="inlineStr">
        <is>
          <t>X</t>
        </is>
      </c>
      <c r="BY1633" t="inlineStr">
        <is>
          <t>D</t>
        </is>
      </c>
      <c r="CA1633" t="inlineStr">
        <is>
          <t>X</t>
        </is>
      </c>
      <c r="CN1633" t="inlineStr">
        <is>
          <t>X</t>
        </is>
      </c>
      <c r="CP1633" t="inlineStr">
        <is>
          <t>X</t>
        </is>
      </c>
      <c r="DN1633" t="inlineStr">
        <is>
          <t>X</t>
        </is>
      </c>
      <c r="EF1633" t="inlineStr">
        <is>
          <t>X</t>
        </is>
      </c>
    </row>
    <row r="1634">
      <c r="A1634" t="inlineStr">
        <is>
          <t>OH0020387363</t>
        </is>
      </c>
      <c r="B1634" t="n">
        <v>78</v>
      </c>
      <c r="C1634" t="n">
        <v>367609</v>
      </c>
      <c r="D1634" t="inlineStr">
        <is>
          <t>REEVES</t>
        </is>
      </c>
      <c r="E1634" t="inlineStr">
        <is>
          <t>MATTHEW</t>
        </is>
      </c>
      <c r="F1634">
        <f>CONCATENATE(D1634," ",LEFT(H1634,4),"T=",AU1634,"D=",AV1634,"R=",AW1634,"M=",AX1634,"L=",AY1634,"B=",AZ1634)</f>
        <v/>
      </c>
      <c r="G1634" t="inlineStr">
        <is>
          <t>CRAIG</t>
        </is>
      </c>
      <c r="I1634" t="inlineStr">
        <is>
          <t>1988-06-19</t>
        </is>
      </c>
      <c r="J1634" t="inlineStr">
        <is>
          <t>2016-07-19</t>
        </is>
      </c>
      <c r="K1634" t="inlineStr">
        <is>
          <t>CONFIRMATION</t>
        </is>
      </c>
      <c r="M1634" t="inlineStr">
        <is>
          <t>429 WASHINGTON ST NE</t>
        </is>
      </c>
      <c r="N1634">
        <f>RIGHT(M1634,LEN(M1634)-FIND(" ",M1634))</f>
        <v/>
      </c>
      <c r="P1634" t="inlineStr">
        <is>
          <t>WARREN</t>
        </is>
      </c>
      <c r="Q1634" t="inlineStr">
        <is>
          <t>OH</t>
        </is>
      </c>
      <c r="R1634" t="n">
        <v>44483</v>
      </c>
      <c r="AD1634" t="inlineStr">
        <is>
          <t>TRUMBULL CAREER &amp; TECH CENTER</t>
        </is>
      </c>
      <c r="AE1634" t="inlineStr">
        <is>
          <t>WARREN CITY</t>
        </is>
      </c>
      <c r="AF1634" t="inlineStr">
        <is>
          <t>WARREN CITY SD</t>
        </is>
      </c>
      <c r="AH1634" t="n">
        <v>14</v>
      </c>
      <c r="AI1634" t="n">
        <v>11</v>
      </c>
      <c r="AN1634" t="inlineStr">
        <is>
          <t>WARREN</t>
        </is>
      </c>
      <c r="AO1634" t="inlineStr">
        <is>
          <t>WARREN CITY 4D</t>
        </is>
      </c>
      <c r="AP1634" t="inlineStr">
        <is>
          <t>78-P-ADL</t>
        </is>
      </c>
      <c r="AQ1634" t="n">
        <v>9</v>
      </c>
      <c r="AR1634" t="n">
        <v>64</v>
      </c>
      <c r="AS1634" t="n">
        <v>32</v>
      </c>
      <c r="AU1634">
        <f>COUNTA($BA$1634:$EH$1634)</f>
        <v/>
      </c>
      <c r="AV1634">
        <f>COUNTIF($BA$1634:$EH$1634,"D")</f>
        <v/>
      </c>
      <c r="AW1634">
        <f>COUNTIF($BA$1634:$EH$1634,"R")</f>
        <v/>
      </c>
      <c r="AX1634">
        <f>IF(BN1634="D",1,0)+IF(BO1634="D",1,0)+IF(BT1634="D",1,0)+IF(BU1634="D",1,0)+IF(BW1634="D",1,0)+IF(CC1634="D",1,0)+IF(CD1634="D",1,0)+IF(CE1634="D",1,0)+IF(CF1634="D",1,0)+IF(CL1634="D",1,0)+IF(CM1634="D",1,0)+IF(CQ1634="D",1,0)+IF(CR1634="D",1,0)+IF(CS1634="D",1,0)+IF(CW1634="D",1,0)+IF(CX1634="D",1,0)+IF(DD1634="D",1,0)+IF(DE1634="D",1,0)+IF(DJ1634="D",1,0)+IF(DK1634="D",1,0)+IF(DO1634="D",1,0)+IF(DP1634="D",1,0)+IF(DQ1634="D",1,0)+IF(DW1634="D",1,0)+IF(DZ1634="D",1,0)+IF(EH1634="D",1,0)</f>
        <v/>
      </c>
      <c r="AY1634">
        <f>IF(DJ1634&lt;&gt;"",1,0)+IF(DK1634&lt;&gt;"",1,0)+IF(DM1634&lt;&gt;"",1,0)+IF(DO1634&lt;&gt;"",1,0)+IF(DP1634&lt;&gt;"",1,0)+IF(DQ1634&lt;&gt;"",1,0)+IF(DS1634&lt;&gt;"",1,0)+IF(DT1634&lt;&gt;"",1,0)+IF(DV1634&lt;&gt;"",1,0)+IF(DW1634&lt;&gt;"",1,0)+IF(DX1634&lt;&gt;"",1,0)+IF(DY1634&lt;&gt;"",1,0)+IF(DZ1634&lt;&gt;"",1,0)+IF(EB1634&lt;&gt;"",1,0)+IF(EC1634&lt;&gt;"",1,0)+IF(ED1634&lt;&gt;"",1,0)+IF(EG1634&lt;&gt;"",1,0)+IF(EH1634&lt;&gt;"",1,0)</f>
        <v/>
      </c>
      <c r="AZ1634">
        <f>IF(EH1634&lt;&gt;"",1,0)</f>
        <v/>
      </c>
      <c r="BB1634" t="inlineStr">
        <is>
          <t>WARREN-WARD 4</t>
        </is>
      </c>
    </row>
    <row r="1635">
      <c r="A1635" t="inlineStr">
        <is>
          <t>OH0026928131</t>
        </is>
      </c>
      <c r="B1635" t="n">
        <v>78</v>
      </c>
      <c r="C1635" t="n">
        <v>474589</v>
      </c>
      <c r="D1635" t="inlineStr">
        <is>
          <t>PERRY</t>
        </is>
      </c>
      <c r="E1635" t="inlineStr">
        <is>
          <t>CHAD</t>
        </is>
      </c>
      <c r="F1635">
        <f>CONCATENATE(D1635," ",LEFT(H1635,4),"T=",AU1635,"D=",AV1635,"R=",AW1635,"M=",AX1635,"L=",AY1635,"B=",AZ1635)</f>
        <v/>
      </c>
      <c r="G1635" t="inlineStr">
        <is>
          <t>MONROE</t>
        </is>
      </c>
      <c r="I1635" t="inlineStr">
        <is>
          <t>1990-12-06</t>
        </is>
      </c>
      <c r="J1635" t="inlineStr">
        <is>
          <t>2023-06-07</t>
        </is>
      </c>
      <c r="K1635" t="inlineStr">
        <is>
          <t>ACTIVE</t>
        </is>
      </c>
      <c r="M1635" t="inlineStr">
        <is>
          <t>103 W MARKET ST</t>
        </is>
      </c>
      <c r="N1635">
        <f>RIGHT(M1635,LEN(M1635)-FIND(" ",M1635))</f>
        <v/>
      </c>
      <c r="P1635" t="inlineStr">
        <is>
          <t>WARREN</t>
        </is>
      </c>
      <c r="Q1635" t="inlineStr">
        <is>
          <t>OH</t>
        </is>
      </c>
      <c r="R1635" t="n">
        <v>44481</v>
      </c>
      <c r="AD1635" t="inlineStr">
        <is>
          <t>TRUMBULL CAREER &amp; TECH CENTER</t>
        </is>
      </c>
      <c r="AE1635" t="inlineStr">
        <is>
          <t>WARREN CITY</t>
        </is>
      </c>
      <c r="AF1635" t="inlineStr">
        <is>
          <t>WARREN CITY SD</t>
        </is>
      </c>
      <c r="AH1635" t="n">
        <v>14</v>
      </c>
      <c r="AI1635" t="n">
        <v>11</v>
      </c>
      <c r="AN1635" t="inlineStr">
        <is>
          <t>WARREN</t>
        </is>
      </c>
      <c r="AO1635" t="inlineStr">
        <is>
          <t>WARREN CITY 4D</t>
        </is>
      </c>
      <c r="AP1635" t="inlineStr">
        <is>
          <t>78-P-ADL</t>
        </is>
      </c>
      <c r="AQ1635" t="n">
        <v>9</v>
      </c>
      <c r="AR1635" t="n">
        <v>64</v>
      </c>
      <c r="AS1635" t="n">
        <v>32</v>
      </c>
      <c r="AU1635">
        <f>COUNTA($BA$1635:$EH$1635)</f>
        <v/>
      </c>
      <c r="AV1635">
        <f>COUNTIF($BA$1635:$EH$1635,"D")</f>
        <v/>
      </c>
      <c r="AW1635">
        <f>COUNTIF($BA$1635:$EH$1635,"R")</f>
        <v/>
      </c>
      <c r="AX1635">
        <f>IF(BN1635="D",1,0)+IF(BO1635="D",1,0)+IF(BT1635="D",1,0)+IF(BU1635="D",1,0)+IF(BW1635="D",1,0)+IF(CC1635="D",1,0)+IF(CD1635="D",1,0)+IF(CE1635="D",1,0)+IF(CF1635="D",1,0)+IF(CL1635="D",1,0)+IF(CM1635="D",1,0)+IF(CQ1635="D",1,0)+IF(CR1635="D",1,0)+IF(CS1635="D",1,0)+IF(CW1635="D",1,0)+IF(CX1635="D",1,0)+IF(DD1635="D",1,0)+IF(DE1635="D",1,0)+IF(DJ1635="D",1,0)+IF(DK1635="D",1,0)+IF(DO1635="D",1,0)+IF(DP1635="D",1,0)+IF(DQ1635="D",1,0)+IF(DW1635="D",1,0)+IF(DZ1635="D",1,0)+IF(EH1635="D",1,0)</f>
        <v/>
      </c>
      <c r="AY1635">
        <f>IF(DJ1635&lt;&gt;"",1,0)+IF(DK1635&lt;&gt;"",1,0)+IF(DM1635&lt;&gt;"",1,0)+IF(DO1635&lt;&gt;"",1,0)+IF(DP1635&lt;&gt;"",1,0)+IF(DQ1635&lt;&gt;"",1,0)+IF(DS1635&lt;&gt;"",1,0)+IF(DT1635&lt;&gt;"",1,0)+IF(DV1635&lt;&gt;"",1,0)+IF(DW1635&lt;&gt;"",1,0)+IF(DX1635&lt;&gt;"",1,0)+IF(DY1635&lt;&gt;"",1,0)+IF(DZ1635&lt;&gt;"",1,0)+IF(EB1635&lt;&gt;"",1,0)+IF(EC1635&lt;&gt;"",1,0)+IF(ED1635&lt;&gt;"",1,0)+IF(EG1635&lt;&gt;"",1,0)+IF(EH1635&lt;&gt;"",1,0)</f>
        <v/>
      </c>
      <c r="AZ1635">
        <f>IF(EH1635&lt;&gt;"",1,0)</f>
        <v/>
      </c>
      <c r="BB1635" t="inlineStr">
        <is>
          <t>WARREN-WARD 4</t>
        </is>
      </c>
    </row>
    <row r="1636">
      <c r="A1636" t="inlineStr">
        <is>
          <t>OH0027508693</t>
        </is>
      </c>
      <c r="B1636" t="n">
        <v>78</v>
      </c>
      <c r="C1636" t="n">
        <v>487381</v>
      </c>
      <c r="D1636" t="inlineStr">
        <is>
          <t>AMOS</t>
        </is>
      </c>
      <c r="E1636" t="inlineStr">
        <is>
          <t>DANNY</t>
        </is>
      </c>
      <c r="F1636">
        <f>CONCATENATE(D1636," ",LEFT(H1636,4),"T=",AU1636,"D=",AV1636,"R=",AW1636,"M=",AX1636,"L=",AY1636,"B=",AZ1636)</f>
        <v/>
      </c>
      <c r="G1636" t="inlineStr">
        <is>
          <t>L</t>
        </is>
      </c>
      <c r="I1636" t="inlineStr">
        <is>
          <t>1969-02-10</t>
        </is>
      </c>
      <c r="J1636" t="inlineStr">
        <is>
          <t>2024-08-14</t>
        </is>
      </c>
      <c r="K1636" t="inlineStr">
        <is>
          <t>ACTIVE</t>
        </is>
      </c>
      <c r="M1636" t="inlineStr">
        <is>
          <t>258 SENECA AVE NE</t>
        </is>
      </c>
      <c r="N1636">
        <f>RIGHT(M1636,LEN(M1636)-FIND(" ",M1636))</f>
        <v/>
      </c>
      <c r="P1636" t="inlineStr">
        <is>
          <t>WARREN</t>
        </is>
      </c>
      <c r="Q1636" t="inlineStr">
        <is>
          <t>OH</t>
        </is>
      </c>
      <c r="R1636" t="n">
        <v>44481</v>
      </c>
      <c r="AD1636" t="inlineStr">
        <is>
          <t>TRUMBULL CAREER &amp; TECH CENTER</t>
        </is>
      </c>
      <c r="AE1636" t="inlineStr">
        <is>
          <t>WARREN CITY</t>
        </is>
      </c>
      <c r="AF1636" t="inlineStr">
        <is>
          <t>WARREN CITY SD</t>
        </is>
      </c>
      <c r="AH1636" t="n">
        <v>14</v>
      </c>
      <c r="AI1636" t="n">
        <v>11</v>
      </c>
      <c r="AN1636" t="inlineStr">
        <is>
          <t>WARREN</t>
        </is>
      </c>
      <c r="AO1636" t="inlineStr">
        <is>
          <t>WARREN CITY 4D</t>
        </is>
      </c>
      <c r="AP1636" t="inlineStr">
        <is>
          <t>78-P-ADL</t>
        </is>
      </c>
      <c r="AQ1636" t="n">
        <v>9</v>
      </c>
      <c r="AR1636" t="n">
        <v>64</v>
      </c>
      <c r="AS1636" t="n">
        <v>32</v>
      </c>
      <c r="AU1636">
        <f>COUNTA($BA$1636:$EH$1636)</f>
        <v/>
      </c>
      <c r="AV1636">
        <f>COUNTIF($BA$1636:$EH$1636,"D")</f>
        <v/>
      </c>
      <c r="AW1636">
        <f>COUNTIF($BA$1636:$EH$1636,"R")</f>
        <v/>
      </c>
      <c r="AX1636">
        <f>IF(BN1636="D",1,0)+IF(BO1636="D",1,0)+IF(BT1636="D",1,0)+IF(BU1636="D",1,0)+IF(BW1636="D",1,0)+IF(CC1636="D",1,0)+IF(CD1636="D",1,0)+IF(CE1636="D",1,0)+IF(CF1636="D",1,0)+IF(CL1636="D",1,0)+IF(CM1636="D",1,0)+IF(CQ1636="D",1,0)+IF(CR1636="D",1,0)+IF(CS1636="D",1,0)+IF(CW1636="D",1,0)+IF(CX1636="D",1,0)+IF(DD1636="D",1,0)+IF(DE1636="D",1,0)+IF(DJ1636="D",1,0)+IF(DK1636="D",1,0)+IF(DO1636="D",1,0)+IF(DP1636="D",1,0)+IF(DQ1636="D",1,0)+IF(DW1636="D",1,0)+IF(DZ1636="D",1,0)+IF(EH1636="D",1,0)</f>
        <v/>
      </c>
      <c r="AY1636">
        <f>IF(DJ1636&lt;&gt;"",1,0)+IF(DK1636&lt;&gt;"",1,0)+IF(DM1636&lt;&gt;"",1,0)+IF(DO1636&lt;&gt;"",1,0)+IF(DP1636&lt;&gt;"",1,0)+IF(DQ1636&lt;&gt;"",1,0)+IF(DS1636&lt;&gt;"",1,0)+IF(DT1636&lt;&gt;"",1,0)+IF(DV1636&lt;&gt;"",1,0)+IF(DW1636&lt;&gt;"",1,0)+IF(DX1636&lt;&gt;"",1,0)+IF(DY1636&lt;&gt;"",1,0)+IF(DZ1636&lt;&gt;"",1,0)+IF(EB1636&lt;&gt;"",1,0)+IF(EC1636&lt;&gt;"",1,0)+IF(ED1636&lt;&gt;"",1,0)+IF(EG1636&lt;&gt;"",1,0)+IF(EH1636&lt;&gt;"",1,0)</f>
        <v/>
      </c>
      <c r="AZ1636">
        <f>IF(EH1636&lt;&gt;"",1,0)</f>
        <v/>
      </c>
      <c r="BB1636" t="inlineStr">
        <is>
          <t>WARREN-WARD 4</t>
        </is>
      </c>
    </row>
    <row r="1637">
      <c r="A1637" t="inlineStr">
        <is>
          <t>OH0022699788</t>
        </is>
      </c>
      <c r="B1637" t="n">
        <v>78</v>
      </c>
      <c r="C1637" t="n">
        <v>400617</v>
      </c>
      <c r="D1637" t="inlineStr">
        <is>
          <t>PUENTE</t>
        </is>
      </c>
      <c r="E1637" t="inlineStr">
        <is>
          <t>VICTOR</t>
        </is>
      </c>
      <c r="F1637">
        <f>CONCATENATE(D1637," ",LEFT(H1637,4),"T=",AU1637,"D=",AV1637,"R=",AW1637,"M=",AX1637,"L=",AY1637,"B=",AZ1637)</f>
        <v/>
      </c>
      <c r="G1637" t="inlineStr">
        <is>
          <t>HUGO</t>
        </is>
      </c>
      <c r="I1637" t="inlineStr">
        <is>
          <t>1987-02-20</t>
        </is>
      </c>
      <c r="J1637" t="inlineStr">
        <is>
          <t>2016-07-19</t>
        </is>
      </c>
      <c r="K1637" t="inlineStr">
        <is>
          <t>CONFIRMATION</t>
        </is>
      </c>
      <c r="M1637" t="inlineStr">
        <is>
          <t>150 HIGH ST NW</t>
        </is>
      </c>
      <c r="N1637">
        <f>RIGHT(M1637,LEN(M1637)-FIND(" ",M1637))</f>
        <v/>
      </c>
      <c r="P1637" t="inlineStr">
        <is>
          <t>WARREN</t>
        </is>
      </c>
      <c r="Q1637" t="inlineStr">
        <is>
          <t>OH</t>
        </is>
      </c>
      <c r="R1637" t="n">
        <v>44481</v>
      </c>
      <c r="AD1637" t="inlineStr">
        <is>
          <t>TRUMBULL CAREER &amp; TECH CENTER</t>
        </is>
      </c>
      <c r="AE1637" t="inlineStr">
        <is>
          <t>WARREN CITY</t>
        </is>
      </c>
      <c r="AF1637" t="inlineStr">
        <is>
          <t>WARREN CITY SD</t>
        </is>
      </c>
      <c r="AH1637" t="n">
        <v>14</v>
      </c>
      <c r="AI1637" t="n">
        <v>11</v>
      </c>
      <c r="AN1637" t="inlineStr">
        <is>
          <t>WARREN</t>
        </is>
      </c>
      <c r="AO1637" t="inlineStr">
        <is>
          <t>WARREN CITY 4D</t>
        </is>
      </c>
      <c r="AP1637" t="inlineStr">
        <is>
          <t>78-P-ADL</t>
        </is>
      </c>
      <c r="AQ1637" t="n">
        <v>9</v>
      </c>
      <c r="AR1637" t="n">
        <v>64</v>
      </c>
      <c r="AS1637" t="n">
        <v>32</v>
      </c>
      <c r="AU1637">
        <f>COUNTA($BA$1637:$EH$1637)</f>
        <v/>
      </c>
      <c r="AV1637">
        <f>COUNTIF($BA$1637:$EH$1637,"D")</f>
        <v/>
      </c>
      <c r="AW1637">
        <f>COUNTIF($BA$1637:$EH$1637,"R")</f>
        <v/>
      </c>
      <c r="AX1637">
        <f>IF(BN1637="D",1,0)+IF(BO1637="D",1,0)+IF(BT1637="D",1,0)+IF(BU1637="D",1,0)+IF(BW1637="D",1,0)+IF(CC1637="D",1,0)+IF(CD1637="D",1,0)+IF(CE1637="D",1,0)+IF(CF1637="D",1,0)+IF(CL1637="D",1,0)+IF(CM1637="D",1,0)+IF(CQ1637="D",1,0)+IF(CR1637="D",1,0)+IF(CS1637="D",1,0)+IF(CW1637="D",1,0)+IF(CX1637="D",1,0)+IF(DD1637="D",1,0)+IF(DE1637="D",1,0)+IF(DJ1637="D",1,0)+IF(DK1637="D",1,0)+IF(DO1637="D",1,0)+IF(DP1637="D",1,0)+IF(DQ1637="D",1,0)+IF(DW1637="D",1,0)+IF(DZ1637="D",1,0)+IF(EH1637="D",1,0)</f>
        <v/>
      </c>
      <c r="AY1637">
        <f>IF(DJ1637&lt;&gt;"",1,0)+IF(DK1637&lt;&gt;"",1,0)+IF(DM1637&lt;&gt;"",1,0)+IF(DO1637&lt;&gt;"",1,0)+IF(DP1637&lt;&gt;"",1,0)+IF(DQ1637&lt;&gt;"",1,0)+IF(DS1637&lt;&gt;"",1,0)+IF(DT1637&lt;&gt;"",1,0)+IF(DV1637&lt;&gt;"",1,0)+IF(DW1637&lt;&gt;"",1,0)+IF(DX1637&lt;&gt;"",1,0)+IF(DY1637&lt;&gt;"",1,0)+IF(DZ1637&lt;&gt;"",1,0)+IF(EB1637&lt;&gt;"",1,0)+IF(EC1637&lt;&gt;"",1,0)+IF(ED1637&lt;&gt;"",1,0)+IF(EG1637&lt;&gt;"",1,0)+IF(EH1637&lt;&gt;"",1,0)</f>
        <v/>
      </c>
      <c r="AZ1637">
        <f>IF(EH1637&lt;&gt;"",1,0)</f>
        <v/>
      </c>
      <c r="BB1637" t="inlineStr">
        <is>
          <t>WARREN-WARD 4</t>
        </is>
      </c>
    </row>
    <row r="1638">
      <c r="A1638" t="inlineStr">
        <is>
          <t>OH0026950665</t>
        </is>
      </c>
      <c r="B1638" t="n">
        <v>78</v>
      </c>
      <c r="C1638" t="n">
        <v>474927</v>
      </c>
      <c r="D1638" t="inlineStr">
        <is>
          <t>CHURCH</t>
        </is>
      </c>
      <c r="E1638" t="inlineStr">
        <is>
          <t>CHRISTIAN</t>
        </is>
      </c>
      <c r="F1638">
        <f>CONCATENATE(D1638," ",LEFT(H1638,4),"T=",AU1638,"D=",AV1638,"R=",AW1638,"M=",AX1638,"L=",AY1638,"B=",AZ1638)</f>
        <v/>
      </c>
      <c r="G1638" t="inlineStr">
        <is>
          <t>LOYD</t>
        </is>
      </c>
      <c r="I1638" t="inlineStr">
        <is>
          <t>2004-11-30</t>
        </is>
      </c>
      <c r="J1638" t="inlineStr">
        <is>
          <t>2023-07-06</t>
        </is>
      </c>
      <c r="K1638" t="inlineStr">
        <is>
          <t>ACTIVE</t>
        </is>
      </c>
      <c r="M1638" t="inlineStr">
        <is>
          <t>527 WASHINGTON ST NE</t>
        </is>
      </c>
      <c r="N1638">
        <f>RIGHT(M1638,LEN(M1638)-FIND(" ",M1638))</f>
        <v/>
      </c>
      <c r="P1638" t="inlineStr">
        <is>
          <t>WARREN</t>
        </is>
      </c>
      <c r="Q1638" t="inlineStr">
        <is>
          <t>OH</t>
        </is>
      </c>
      <c r="R1638" t="n">
        <v>44483</v>
      </c>
      <c r="AD1638" t="inlineStr">
        <is>
          <t>TRUMBULL CAREER &amp; TECH CENTER</t>
        </is>
      </c>
      <c r="AE1638" t="inlineStr">
        <is>
          <t>WARREN CITY</t>
        </is>
      </c>
      <c r="AF1638" t="inlineStr">
        <is>
          <t>WARREN CITY SD</t>
        </is>
      </c>
      <c r="AH1638" t="n">
        <v>14</v>
      </c>
      <c r="AI1638" t="n">
        <v>11</v>
      </c>
      <c r="AN1638" t="inlineStr">
        <is>
          <t>WARREN</t>
        </is>
      </c>
      <c r="AO1638" t="inlineStr">
        <is>
          <t>WARREN CITY 4D</t>
        </is>
      </c>
      <c r="AP1638" t="inlineStr">
        <is>
          <t>78-P-ADL</t>
        </is>
      </c>
      <c r="AQ1638" t="n">
        <v>9</v>
      </c>
      <c r="AR1638" t="n">
        <v>64</v>
      </c>
      <c r="AS1638" t="n">
        <v>32</v>
      </c>
      <c r="AU1638">
        <f>COUNTA($BA$1638:$EH$1638)</f>
        <v/>
      </c>
      <c r="AV1638">
        <f>COUNTIF($BA$1638:$EH$1638,"D")</f>
        <v/>
      </c>
      <c r="AW1638">
        <f>COUNTIF($BA$1638:$EH$1638,"R")</f>
        <v/>
      </c>
      <c r="AX1638">
        <f>IF(BN1638="D",1,0)+IF(BO1638="D",1,0)+IF(BT1638="D",1,0)+IF(BU1638="D",1,0)+IF(BW1638="D",1,0)+IF(CC1638="D",1,0)+IF(CD1638="D",1,0)+IF(CE1638="D",1,0)+IF(CF1638="D",1,0)+IF(CL1638="D",1,0)+IF(CM1638="D",1,0)+IF(CQ1638="D",1,0)+IF(CR1638="D",1,0)+IF(CS1638="D",1,0)+IF(CW1638="D",1,0)+IF(CX1638="D",1,0)+IF(DD1638="D",1,0)+IF(DE1638="D",1,0)+IF(DJ1638="D",1,0)+IF(DK1638="D",1,0)+IF(DO1638="D",1,0)+IF(DP1638="D",1,0)+IF(DQ1638="D",1,0)+IF(DW1638="D",1,0)+IF(DZ1638="D",1,0)+IF(EH1638="D",1,0)</f>
        <v/>
      </c>
      <c r="AY1638">
        <f>IF(DJ1638&lt;&gt;"",1,0)+IF(DK1638&lt;&gt;"",1,0)+IF(DM1638&lt;&gt;"",1,0)+IF(DO1638&lt;&gt;"",1,0)+IF(DP1638&lt;&gt;"",1,0)+IF(DQ1638&lt;&gt;"",1,0)+IF(DS1638&lt;&gt;"",1,0)+IF(DT1638&lt;&gt;"",1,0)+IF(DV1638&lt;&gt;"",1,0)+IF(DW1638&lt;&gt;"",1,0)+IF(DX1638&lt;&gt;"",1,0)+IF(DY1638&lt;&gt;"",1,0)+IF(DZ1638&lt;&gt;"",1,0)+IF(EB1638&lt;&gt;"",1,0)+IF(EC1638&lt;&gt;"",1,0)+IF(ED1638&lt;&gt;"",1,0)+IF(EG1638&lt;&gt;"",1,0)+IF(EH1638&lt;&gt;"",1,0)</f>
        <v/>
      </c>
      <c r="AZ1638">
        <f>IF(EH1638&lt;&gt;"",1,0)</f>
        <v/>
      </c>
      <c r="BB1638" t="inlineStr">
        <is>
          <t>WARREN-WARD 4</t>
        </is>
      </c>
    </row>
    <row r="1639">
      <c r="A1639" t="inlineStr">
        <is>
          <t>OH0015746069</t>
        </is>
      </c>
      <c r="B1639" t="n">
        <v>78</v>
      </c>
      <c r="C1639" t="n">
        <v>322138</v>
      </c>
      <c r="D1639" t="inlineStr">
        <is>
          <t>HOLBROOK</t>
        </is>
      </c>
      <c r="E1639" t="inlineStr">
        <is>
          <t>JESSE</t>
        </is>
      </c>
      <c r="F1639">
        <f>CONCATENATE(D1639," ",LEFT(H1639,4),"T=",AU1639,"D=",AV1639,"R=",AW1639,"M=",AX1639,"L=",AY1639,"B=",AZ1639)</f>
        <v/>
      </c>
      <c r="I1639" t="inlineStr">
        <is>
          <t>1983-06-16</t>
        </is>
      </c>
      <c r="J1639" t="inlineStr">
        <is>
          <t>2020-05-02</t>
        </is>
      </c>
      <c r="K1639" t="inlineStr">
        <is>
          <t>ACTIVE</t>
        </is>
      </c>
      <c r="M1639" t="inlineStr">
        <is>
          <t>1202 WOODLAND AVE NE</t>
        </is>
      </c>
      <c r="N1639">
        <f>RIGHT(M1639,LEN(M1639)-FIND(" ",M1639))</f>
        <v/>
      </c>
      <c r="P1639" t="inlineStr">
        <is>
          <t>WARREN</t>
        </is>
      </c>
      <c r="Q1639" t="inlineStr">
        <is>
          <t>OH</t>
        </is>
      </c>
      <c r="R1639" t="n">
        <v>44483</v>
      </c>
      <c r="AD1639" t="inlineStr">
        <is>
          <t>TRUMBULL CAREER &amp; TECH CENTER</t>
        </is>
      </c>
      <c r="AE1639" t="inlineStr">
        <is>
          <t>WARREN CITY</t>
        </is>
      </c>
      <c r="AF1639" t="inlineStr">
        <is>
          <t>WARREN CITY SD</t>
        </is>
      </c>
      <c r="AH1639" t="n">
        <v>14</v>
      </c>
      <c r="AI1639" t="n">
        <v>11</v>
      </c>
      <c r="AN1639" t="inlineStr">
        <is>
          <t>WARREN</t>
        </is>
      </c>
      <c r="AO1639" t="inlineStr">
        <is>
          <t>WARREN CITY 4D</t>
        </is>
      </c>
      <c r="AP1639" t="inlineStr">
        <is>
          <t>78-P-ADL</t>
        </is>
      </c>
      <c r="AQ1639" t="n">
        <v>9</v>
      </c>
      <c r="AR1639" t="n">
        <v>64</v>
      </c>
      <c r="AS1639" t="n">
        <v>32</v>
      </c>
      <c r="AU1639">
        <f>COUNTA($BA$1639:$EH$1639)</f>
        <v/>
      </c>
      <c r="AV1639">
        <f>COUNTIF($BA$1639:$EH$1639,"D")</f>
        <v/>
      </c>
      <c r="AW1639">
        <f>COUNTIF($BA$1639:$EH$1639,"R")</f>
        <v/>
      </c>
      <c r="AX1639">
        <f>IF(BN1639="D",1,0)+IF(BO1639="D",1,0)+IF(BT1639="D",1,0)+IF(BU1639="D",1,0)+IF(BW1639="D",1,0)+IF(CC1639="D",1,0)+IF(CD1639="D",1,0)+IF(CE1639="D",1,0)+IF(CF1639="D",1,0)+IF(CL1639="D",1,0)+IF(CM1639="D",1,0)+IF(CQ1639="D",1,0)+IF(CR1639="D",1,0)+IF(CS1639="D",1,0)+IF(CW1639="D",1,0)+IF(CX1639="D",1,0)+IF(DD1639="D",1,0)+IF(DE1639="D",1,0)+IF(DJ1639="D",1,0)+IF(DK1639="D",1,0)+IF(DO1639="D",1,0)+IF(DP1639="D",1,0)+IF(DQ1639="D",1,0)+IF(DW1639="D",1,0)+IF(DZ1639="D",1,0)+IF(EH1639="D",1,0)</f>
        <v/>
      </c>
      <c r="AY1639">
        <f>IF(DJ1639&lt;&gt;"",1,0)+IF(DK1639&lt;&gt;"",1,0)+IF(DM1639&lt;&gt;"",1,0)+IF(DO1639&lt;&gt;"",1,0)+IF(DP1639&lt;&gt;"",1,0)+IF(DQ1639&lt;&gt;"",1,0)+IF(DS1639&lt;&gt;"",1,0)+IF(DT1639&lt;&gt;"",1,0)+IF(DV1639&lt;&gt;"",1,0)+IF(DW1639&lt;&gt;"",1,0)+IF(DX1639&lt;&gt;"",1,0)+IF(DY1639&lt;&gt;"",1,0)+IF(DZ1639&lt;&gt;"",1,0)+IF(EB1639&lt;&gt;"",1,0)+IF(EC1639&lt;&gt;"",1,0)+IF(ED1639&lt;&gt;"",1,0)+IF(EG1639&lt;&gt;"",1,0)+IF(EH1639&lt;&gt;"",1,0)</f>
        <v/>
      </c>
      <c r="AZ1639">
        <f>IF(EH1639&lt;&gt;"",1,0)</f>
        <v/>
      </c>
      <c r="BB1639" t="inlineStr">
        <is>
          <t>WARREN-WARD 4</t>
        </is>
      </c>
      <c r="BL1639" t="inlineStr">
        <is>
          <t>X</t>
        </is>
      </c>
      <c r="BS1639" t="inlineStr">
        <is>
          <t>X</t>
        </is>
      </c>
      <c r="BY1639" t="inlineStr">
        <is>
          <t>D</t>
        </is>
      </c>
      <c r="CA1639" t="inlineStr">
        <is>
          <t>X</t>
        </is>
      </c>
      <c r="CP1639" t="inlineStr">
        <is>
          <t>X</t>
        </is>
      </c>
      <c r="CW1639" t="inlineStr">
        <is>
          <t>D</t>
        </is>
      </c>
      <c r="CZ1639" t="inlineStr">
        <is>
          <t>D</t>
        </is>
      </c>
      <c r="DC1639" t="inlineStr">
        <is>
          <t>X</t>
        </is>
      </c>
      <c r="DN1639" t="inlineStr">
        <is>
          <t>X</t>
        </is>
      </c>
      <c r="DU1639" t="inlineStr">
        <is>
          <t>X</t>
        </is>
      </c>
      <c r="EF1639" t="inlineStr">
        <is>
          <t>X</t>
        </is>
      </c>
    </row>
    <row r="1640">
      <c r="A1640" t="inlineStr">
        <is>
          <t>OH0026860367</t>
        </is>
      </c>
      <c r="B1640" t="n">
        <v>78</v>
      </c>
      <c r="C1640" t="n">
        <v>473629</v>
      </c>
      <c r="D1640" t="inlineStr">
        <is>
          <t>CAPIRANO</t>
        </is>
      </c>
      <c r="E1640" t="inlineStr">
        <is>
          <t>BARABARA</t>
        </is>
      </c>
      <c r="F1640">
        <f>CONCATENATE(D1640," ",LEFT(H1640,4),"T=",AU1640,"D=",AV1640,"R=",AW1640,"M=",AX1640,"L=",AY1640,"B=",AZ1640)</f>
        <v/>
      </c>
      <c r="G1640" t="inlineStr">
        <is>
          <t>JOAN</t>
        </is>
      </c>
      <c r="I1640" t="inlineStr">
        <is>
          <t>1953-04-02</t>
        </is>
      </c>
      <c r="J1640" t="inlineStr">
        <is>
          <t>2023-04-03</t>
        </is>
      </c>
      <c r="K1640" t="inlineStr">
        <is>
          <t>ACTIVE</t>
        </is>
      </c>
      <c r="M1640" t="inlineStr">
        <is>
          <t>1113 HIGH ST NE</t>
        </is>
      </c>
      <c r="N1640">
        <f>RIGHT(M1640,LEN(M1640)-FIND(" ",M1640))</f>
        <v/>
      </c>
      <c r="P1640" t="inlineStr">
        <is>
          <t>WARREN</t>
        </is>
      </c>
      <c r="Q1640" t="inlineStr">
        <is>
          <t>OH</t>
        </is>
      </c>
      <c r="R1640" t="n">
        <v>44483</v>
      </c>
      <c r="AD1640" t="inlineStr">
        <is>
          <t>TRUMBULL CAREER &amp; TECH CENTER</t>
        </is>
      </c>
      <c r="AE1640" t="inlineStr">
        <is>
          <t>WARREN CITY</t>
        </is>
      </c>
      <c r="AF1640" t="inlineStr">
        <is>
          <t>WARREN CITY SD</t>
        </is>
      </c>
      <c r="AH1640" t="n">
        <v>14</v>
      </c>
      <c r="AI1640" t="n">
        <v>11</v>
      </c>
      <c r="AN1640" t="inlineStr">
        <is>
          <t>WARREN</t>
        </is>
      </c>
      <c r="AO1640" t="inlineStr">
        <is>
          <t>WARREN CITY 4D</t>
        </is>
      </c>
      <c r="AP1640" t="inlineStr">
        <is>
          <t>78-P-ADL</t>
        </is>
      </c>
      <c r="AQ1640" t="n">
        <v>9</v>
      </c>
      <c r="AR1640" t="n">
        <v>64</v>
      </c>
      <c r="AS1640" t="n">
        <v>32</v>
      </c>
      <c r="AU1640">
        <f>COUNTA($BA$1640:$EH$1640)</f>
        <v/>
      </c>
      <c r="AV1640">
        <f>COUNTIF($BA$1640:$EH$1640,"D")</f>
        <v/>
      </c>
      <c r="AW1640">
        <f>COUNTIF($BA$1640:$EH$1640,"R")</f>
        <v/>
      </c>
      <c r="AX1640">
        <f>IF(BN1640="D",1,0)+IF(BO1640="D",1,0)+IF(BT1640="D",1,0)+IF(BU1640="D",1,0)+IF(BW1640="D",1,0)+IF(CC1640="D",1,0)+IF(CD1640="D",1,0)+IF(CE1640="D",1,0)+IF(CF1640="D",1,0)+IF(CL1640="D",1,0)+IF(CM1640="D",1,0)+IF(CQ1640="D",1,0)+IF(CR1640="D",1,0)+IF(CS1640="D",1,0)+IF(CW1640="D",1,0)+IF(CX1640="D",1,0)+IF(DD1640="D",1,0)+IF(DE1640="D",1,0)+IF(DJ1640="D",1,0)+IF(DK1640="D",1,0)+IF(DO1640="D",1,0)+IF(DP1640="D",1,0)+IF(DQ1640="D",1,0)+IF(DW1640="D",1,0)+IF(DZ1640="D",1,0)+IF(EH1640="D",1,0)</f>
        <v/>
      </c>
      <c r="AY1640">
        <f>IF(DJ1640&lt;&gt;"",1,0)+IF(DK1640&lt;&gt;"",1,0)+IF(DM1640&lt;&gt;"",1,0)+IF(DO1640&lt;&gt;"",1,0)+IF(DP1640&lt;&gt;"",1,0)+IF(DQ1640&lt;&gt;"",1,0)+IF(DS1640&lt;&gt;"",1,0)+IF(DT1640&lt;&gt;"",1,0)+IF(DV1640&lt;&gt;"",1,0)+IF(DW1640&lt;&gt;"",1,0)+IF(DX1640&lt;&gt;"",1,0)+IF(DY1640&lt;&gt;"",1,0)+IF(DZ1640&lt;&gt;"",1,0)+IF(EB1640&lt;&gt;"",1,0)+IF(EC1640&lt;&gt;"",1,0)+IF(ED1640&lt;&gt;"",1,0)+IF(EG1640&lt;&gt;"",1,0)+IF(EH1640&lt;&gt;"",1,0)</f>
        <v/>
      </c>
      <c r="AZ1640">
        <f>IF(EH1640&lt;&gt;"",1,0)</f>
        <v/>
      </c>
      <c r="BB1640" t="inlineStr">
        <is>
          <t>WARREN-WARD 4</t>
        </is>
      </c>
      <c r="EF1640" t="inlineStr">
        <is>
          <t>X</t>
        </is>
      </c>
    </row>
    <row r="1641">
      <c r="A1641" t="inlineStr">
        <is>
          <t>OH0025863800</t>
        </is>
      </c>
      <c r="B1641" t="n">
        <v>78</v>
      </c>
      <c r="C1641" t="n">
        <v>451744</v>
      </c>
      <c r="D1641" t="inlineStr">
        <is>
          <t>SETTLES</t>
        </is>
      </c>
      <c r="E1641" t="inlineStr">
        <is>
          <t>HEATHER</t>
        </is>
      </c>
      <c r="F1641">
        <f>CONCATENATE(D1641," ",LEFT(H1641,4),"T=",AU1641,"D=",AV1641,"R=",AW1641,"M=",AX1641,"L=",AY1641,"B=",AZ1641)</f>
        <v/>
      </c>
      <c r="G1641" t="inlineStr">
        <is>
          <t>LEE</t>
        </is>
      </c>
      <c r="I1641" t="inlineStr">
        <is>
          <t>1987-06-28</t>
        </is>
      </c>
      <c r="J1641" t="inlineStr">
        <is>
          <t>2023-07-31</t>
        </is>
      </c>
      <c r="K1641" t="inlineStr">
        <is>
          <t>ACTIVE</t>
        </is>
      </c>
      <c r="M1641" t="inlineStr">
        <is>
          <t>1112 HIGH ST NE</t>
        </is>
      </c>
      <c r="N1641">
        <f>RIGHT(M1641,LEN(M1641)-FIND(" ",M1641))</f>
        <v/>
      </c>
      <c r="P1641" t="inlineStr">
        <is>
          <t>WARREN</t>
        </is>
      </c>
      <c r="Q1641" t="inlineStr">
        <is>
          <t>OH</t>
        </is>
      </c>
      <c r="R1641" t="n">
        <v>44483</v>
      </c>
      <c r="AD1641" t="inlineStr">
        <is>
          <t>TRUMBULL CAREER &amp; TECH CENTER</t>
        </is>
      </c>
      <c r="AE1641" t="inlineStr">
        <is>
          <t>WARREN CITY</t>
        </is>
      </c>
      <c r="AF1641" t="inlineStr">
        <is>
          <t>WARREN CITY SD</t>
        </is>
      </c>
      <c r="AH1641" t="n">
        <v>14</v>
      </c>
      <c r="AI1641" t="n">
        <v>11</v>
      </c>
      <c r="AN1641" t="inlineStr">
        <is>
          <t>WARREN</t>
        </is>
      </c>
      <c r="AO1641" t="inlineStr">
        <is>
          <t>WARREN CITY 4D</t>
        </is>
      </c>
      <c r="AP1641" t="inlineStr">
        <is>
          <t>78-P-ADL</t>
        </is>
      </c>
      <c r="AQ1641" t="n">
        <v>9</v>
      </c>
      <c r="AR1641" t="n">
        <v>64</v>
      </c>
      <c r="AS1641" t="n">
        <v>32</v>
      </c>
      <c r="AU1641">
        <f>COUNTA($BA$1641:$EH$1641)</f>
        <v/>
      </c>
      <c r="AV1641">
        <f>COUNTIF($BA$1641:$EH$1641,"D")</f>
        <v/>
      </c>
      <c r="AW1641">
        <f>COUNTIF($BA$1641:$EH$1641,"R")</f>
        <v/>
      </c>
      <c r="AX1641">
        <f>IF(BN1641="D",1,0)+IF(BO1641="D",1,0)+IF(BT1641="D",1,0)+IF(BU1641="D",1,0)+IF(BW1641="D",1,0)+IF(CC1641="D",1,0)+IF(CD1641="D",1,0)+IF(CE1641="D",1,0)+IF(CF1641="D",1,0)+IF(CL1641="D",1,0)+IF(CM1641="D",1,0)+IF(CQ1641="D",1,0)+IF(CR1641="D",1,0)+IF(CS1641="D",1,0)+IF(CW1641="D",1,0)+IF(CX1641="D",1,0)+IF(DD1641="D",1,0)+IF(DE1641="D",1,0)+IF(DJ1641="D",1,0)+IF(DK1641="D",1,0)+IF(DO1641="D",1,0)+IF(DP1641="D",1,0)+IF(DQ1641="D",1,0)+IF(DW1641="D",1,0)+IF(DZ1641="D",1,0)+IF(EH1641="D",1,0)</f>
        <v/>
      </c>
      <c r="AY1641">
        <f>IF(DJ1641&lt;&gt;"",1,0)+IF(DK1641&lt;&gt;"",1,0)+IF(DM1641&lt;&gt;"",1,0)+IF(DO1641&lt;&gt;"",1,0)+IF(DP1641&lt;&gt;"",1,0)+IF(DQ1641&lt;&gt;"",1,0)+IF(DS1641&lt;&gt;"",1,0)+IF(DT1641&lt;&gt;"",1,0)+IF(DV1641&lt;&gt;"",1,0)+IF(DW1641&lt;&gt;"",1,0)+IF(DX1641&lt;&gt;"",1,0)+IF(DY1641&lt;&gt;"",1,0)+IF(DZ1641&lt;&gt;"",1,0)+IF(EB1641&lt;&gt;"",1,0)+IF(EC1641&lt;&gt;"",1,0)+IF(ED1641&lt;&gt;"",1,0)+IF(EG1641&lt;&gt;"",1,0)+IF(EH1641&lt;&gt;"",1,0)</f>
        <v/>
      </c>
      <c r="AZ1641">
        <f>IF(EH1641&lt;&gt;"",1,0)</f>
        <v/>
      </c>
      <c r="BB1641" t="inlineStr">
        <is>
          <t>WARREN-WARD 4</t>
        </is>
      </c>
      <c r="DN1641" t="inlineStr">
        <is>
          <t>X</t>
        </is>
      </c>
    </row>
    <row r="1642">
      <c r="A1642" t="inlineStr">
        <is>
          <t>OH0025348810</t>
        </is>
      </c>
      <c r="B1642" t="n">
        <v>78</v>
      </c>
      <c r="C1642" t="n">
        <v>442945</v>
      </c>
      <c r="D1642" t="inlineStr">
        <is>
          <t>ROGERS</t>
        </is>
      </c>
      <c r="E1642" t="inlineStr">
        <is>
          <t>BAILEY</t>
        </is>
      </c>
      <c r="F1642">
        <f>CONCATENATE(D1642," ",LEFT(H1642,4),"T=",AU1642,"D=",AV1642,"R=",AW1642,"M=",AX1642,"L=",AY1642,"B=",AZ1642)</f>
        <v/>
      </c>
      <c r="G1642" t="inlineStr">
        <is>
          <t>R</t>
        </is>
      </c>
      <c r="I1642" t="inlineStr">
        <is>
          <t>2000-07-11</t>
        </is>
      </c>
      <c r="J1642" t="inlineStr">
        <is>
          <t>2024-12-09</t>
        </is>
      </c>
      <c r="K1642" t="inlineStr">
        <is>
          <t>ACTIVE</t>
        </is>
      </c>
      <c r="M1642" t="inlineStr">
        <is>
          <t>444 SCOTT ST NE</t>
        </is>
      </c>
      <c r="N1642">
        <f>RIGHT(M1642,LEN(M1642)-FIND(" ",M1642))</f>
        <v/>
      </c>
      <c r="P1642" t="inlineStr">
        <is>
          <t>WARREN</t>
        </is>
      </c>
      <c r="Q1642" t="inlineStr">
        <is>
          <t>OH</t>
        </is>
      </c>
      <c r="R1642" t="n">
        <v>44483</v>
      </c>
      <c r="AD1642" t="inlineStr">
        <is>
          <t>TRUMBULL CAREER &amp; TECH CENTER</t>
        </is>
      </c>
      <c r="AE1642" t="inlineStr">
        <is>
          <t>WARREN CITY</t>
        </is>
      </c>
      <c r="AF1642" t="inlineStr">
        <is>
          <t>WARREN CITY SD</t>
        </is>
      </c>
      <c r="AH1642" t="n">
        <v>14</v>
      </c>
      <c r="AI1642" t="n">
        <v>11</v>
      </c>
      <c r="AN1642" t="inlineStr">
        <is>
          <t>WARREN</t>
        </is>
      </c>
      <c r="AO1642" t="inlineStr">
        <is>
          <t>WARREN CITY 4D</t>
        </is>
      </c>
      <c r="AP1642" t="inlineStr">
        <is>
          <t>78-P-ADL</t>
        </is>
      </c>
      <c r="AQ1642" t="n">
        <v>9</v>
      </c>
      <c r="AR1642" t="n">
        <v>64</v>
      </c>
      <c r="AS1642" t="n">
        <v>32</v>
      </c>
      <c r="AU1642">
        <f>COUNTA($BA$1642:$EH$1642)</f>
        <v/>
      </c>
      <c r="AV1642">
        <f>COUNTIF($BA$1642:$EH$1642,"D")</f>
        <v/>
      </c>
      <c r="AW1642">
        <f>COUNTIF($BA$1642:$EH$1642,"R")</f>
        <v/>
      </c>
      <c r="AX1642">
        <f>IF(BN1642="D",1,0)+IF(BO1642="D",1,0)+IF(BT1642="D",1,0)+IF(BU1642="D",1,0)+IF(BW1642="D",1,0)+IF(CC1642="D",1,0)+IF(CD1642="D",1,0)+IF(CE1642="D",1,0)+IF(CF1642="D",1,0)+IF(CL1642="D",1,0)+IF(CM1642="D",1,0)+IF(CQ1642="D",1,0)+IF(CR1642="D",1,0)+IF(CS1642="D",1,0)+IF(CW1642="D",1,0)+IF(CX1642="D",1,0)+IF(DD1642="D",1,0)+IF(DE1642="D",1,0)+IF(DJ1642="D",1,0)+IF(DK1642="D",1,0)+IF(DO1642="D",1,0)+IF(DP1642="D",1,0)+IF(DQ1642="D",1,0)+IF(DW1642="D",1,0)+IF(DZ1642="D",1,0)+IF(EH1642="D",1,0)</f>
        <v/>
      </c>
      <c r="AY1642">
        <f>IF(DJ1642&lt;&gt;"",1,0)+IF(DK1642&lt;&gt;"",1,0)+IF(DM1642&lt;&gt;"",1,0)+IF(DO1642&lt;&gt;"",1,0)+IF(DP1642&lt;&gt;"",1,0)+IF(DQ1642&lt;&gt;"",1,0)+IF(DS1642&lt;&gt;"",1,0)+IF(DT1642&lt;&gt;"",1,0)+IF(DV1642&lt;&gt;"",1,0)+IF(DW1642&lt;&gt;"",1,0)+IF(DX1642&lt;&gt;"",1,0)+IF(DY1642&lt;&gt;"",1,0)+IF(DZ1642&lt;&gt;"",1,0)+IF(EB1642&lt;&gt;"",1,0)+IF(EC1642&lt;&gt;"",1,0)+IF(ED1642&lt;&gt;"",1,0)+IF(EG1642&lt;&gt;"",1,0)+IF(EH1642&lt;&gt;"",1,0)</f>
        <v/>
      </c>
      <c r="AZ1642">
        <f>IF(EH1642&lt;&gt;"",1,0)</f>
        <v/>
      </c>
      <c r="BB1642" t="inlineStr">
        <is>
          <t>WARREN-WARD 4</t>
        </is>
      </c>
      <c r="DN1642" t="inlineStr">
        <is>
          <t>X</t>
        </is>
      </c>
      <c r="EA1642" t="inlineStr">
        <is>
          <t>X</t>
        </is>
      </c>
      <c r="EF1642" t="inlineStr">
        <is>
          <t>X</t>
        </is>
      </c>
    </row>
    <row r="1643">
      <c r="A1643" t="inlineStr">
        <is>
          <t>OH0026836546</t>
        </is>
      </c>
      <c r="B1643" t="n">
        <v>78</v>
      </c>
      <c r="C1643" t="n">
        <v>472214</v>
      </c>
      <c r="D1643" t="inlineStr">
        <is>
          <t>ALLEN</t>
        </is>
      </c>
      <c r="E1643" t="inlineStr">
        <is>
          <t>JAMES</t>
        </is>
      </c>
      <c r="F1643">
        <f>CONCATENATE(D1643," ",LEFT(H1643,4),"T=",AU1643,"D=",AV1643,"R=",AW1643,"M=",AX1643,"L=",AY1643,"B=",AZ1643)</f>
        <v/>
      </c>
      <c r="G1643" t="inlineStr">
        <is>
          <t>LEE TYWHAUN</t>
        </is>
      </c>
      <c r="I1643" t="inlineStr">
        <is>
          <t>2000-10-13</t>
        </is>
      </c>
      <c r="J1643" t="inlineStr">
        <is>
          <t>2023-03-14</t>
        </is>
      </c>
      <c r="K1643" t="inlineStr">
        <is>
          <t>CONFIRMATION</t>
        </is>
      </c>
      <c r="M1643" t="inlineStr">
        <is>
          <t>628 OLIVE AVE NE</t>
        </is>
      </c>
      <c r="N1643">
        <f>RIGHT(M1643,LEN(M1643)-FIND(" ",M1643))</f>
        <v/>
      </c>
      <c r="P1643" t="inlineStr">
        <is>
          <t>WARREN</t>
        </is>
      </c>
      <c r="Q1643" t="inlineStr">
        <is>
          <t>OH</t>
        </is>
      </c>
      <c r="R1643" t="n">
        <v>44483</v>
      </c>
      <c r="AD1643" t="inlineStr">
        <is>
          <t>TRUMBULL CAREER &amp; TECH CENTER</t>
        </is>
      </c>
      <c r="AE1643" t="inlineStr">
        <is>
          <t>WARREN CITY</t>
        </is>
      </c>
      <c r="AF1643" t="inlineStr">
        <is>
          <t>WARREN CITY SD</t>
        </is>
      </c>
      <c r="AH1643" t="n">
        <v>14</v>
      </c>
      <c r="AI1643" t="n">
        <v>11</v>
      </c>
      <c r="AN1643" t="inlineStr">
        <is>
          <t>WARREN</t>
        </is>
      </c>
      <c r="AO1643" t="inlineStr">
        <is>
          <t>WARREN CITY 4D</t>
        </is>
      </c>
      <c r="AP1643" t="inlineStr">
        <is>
          <t>78-P-ADL</t>
        </is>
      </c>
      <c r="AQ1643" t="n">
        <v>9</v>
      </c>
      <c r="AR1643" t="n">
        <v>64</v>
      </c>
      <c r="AS1643" t="n">
        <v>32</v>
      </c>
      <c r="AU1643">
        <f>COUNTA($BA$1643:$EH$1643)</f>
        <v/>
      </c>
      <c r="AV1643">
        <f>COUNTIF($BA$1643:$EH$1643,"D")</f>
        <v/>
      </c>
      <c r="AW1643">
        <f>COUNTIF($BA$1643:$EH$1643,"R")</f>
        <v/>
      </c>
      <c r="AX1643">
        <f>IF(BN1643="D",1,0)+IF(BO1643="D",1,0)+IF(BT1643="D",1,0)+IF(BU1643="D",1,0)+IF(BW1643="D",1,0)+IF(CC1643="D",1,0)+IF(CD1643="D",1,0)+IF(CE1643="D",1,0)+IF(CF1643="D",1,0)+IF(CL1643="D",1,0)+IF(CM1643="D",1,0)+IF(CQ1643="D",1,0)+IF(CR1643="D",1,0)+IF(CS1643="D",1,0)+IF(CW1643="D",1,0)+IF(CX1643="D",1,0)+IF(DD1643="D",1,0)+IF(DE1643="D",1,0)+IF(DJ1643="D",1,0)+IF(DK1643="D",1,0)+IF(DO1643="D",1,0)+IF(DP1643="D",1,0)+IF(DQ1643="D",1,0)+IF(DW1643="D",1,0)+IF(DZ1643="D",1,0)+IF(EH1643="D",1,0)</f>
        <v/>
      </c>
      <c r="AY1643">
        <f>IF(DJ1643&lt;&gt;"",1,0)+IF(DK1643&lt;&gt;"",1,0)+IF(DM1643&lt;&gt;"",1,0)+IF(DO1643&lt;&gt;"",1,0)+IF(DP1643&lt;&gt;"",1,0)+IF(DQ1643&lt;&gt;"",1,0)+IF(DS1643&lt;&gt;"",1,0)+IF(DT1643&lt;&gt;"",1,0)+IF(DV1643&lt;&gt;"",1,0)+IF(DW1643&lt;&gt;"",1,0)+IF(DX1643&lt;&gt;"",1,0)+IF(DY1643&lt;&gt;"",1,0)+IF(DZ1643&lt;&gt;"",1,0)+IF(EB1643&lt;&gt;"",1,0)+IF(EC1643&lt;&gt;"",1,0)+IF(ED1643&lt;&gt;"",1,0)+IF(EG1643&lt;&gt;"",1,0)+IF(EH1643&lt;&gt;"",1,0)</f>
        <v/>
      </c>
      <c r="AZ1643">
        <f>IF(EH1643&lt;&gt;"",1,0)</f>
        <v/>
      </c>
      <c r="BB1643" t="inlineStr">
        <is>
          <t>WARREN-WARD 4</t>
        </is>
      </c>
    </row>
    <row r="1644">
      <c r="A1644" t="inlineStr">
        <is>
          <t>OH0026844841</t>
        </is>
      </c>
      <c r="B1644" t="n">
        <v>78</v>
      </c>
      <c r="C1644" t="n">
        <v>472339</v>
      </c>
      <c r="D1644" t="inlineStr">
        <is>
          <t>FERRER</t>
        </is>
      </c>
      <c r="E1644" t="inlineStr">
        <is>
          <t>TIRON</t>
        </is>
      </c>
      <c r="F1644">
        <f>CONCATENATE(D1644," ",LEFT(H1644,4),"T=",AU1644,"D=",AV1644,"R=",AW1644,"M=",AX1644,"L=",AY1644,"B=",AZ1644)</f>
        <v/>
      </c>
      <c r="G1644" t="inlineStr">
        <is>
          <t>MONROE</t>
        </is>
      </c>
      <c r="I1644" t="inlineStr">
        <is>
          <t>1999-10-04</t>
        </is>
      </c>
      <c r="J1644" t="inlineStr">
        <is>
          <t>2023-03-13</t>
        </is>
      </c>
      <c r="K1644" t="inlineStr">
        <is>
          <t>ACTIVE</t>
        </is>
      </c>
      <c r="M1644" t="inlineStr">
        <is>
          <t>304 LOWELL AVE NE</t>
        </is>
      </c>
      <c r="N1644">
        <f>RIGHT(M1644,LEN(M1644)-FIND(" ",M1644))</f>
        <v/>
      </c>
      <c r="P1644" t="inlineStr">
        <is>
          <t>WARREN</t>
        </is>
      </c>
      <c r="Q1644" t="inlineStr">
        <is>
          <t>OH</t>
        </is>
      </c>
      <c r="R1644" t="n">
        <v>44483</v>
      </c>
      <c r="AD1644" t="inlineStr">
        <is>
          <t>TRUMBULL CAREER &amp; TECH CENTER</t>
        </is>
      </c>
      <c r="AE1644" t="inlineStr">
        <is>
          <t>WARREN CITY</t>
        </is>
      </c>
      <c r="AF1644" t="inlineStr">
        <is>
          <t>WARREN CITY SD</t>
        </is>
      </c>
      <c r="AH1644" t="n">
        <v>14</v>
      </c>
      <c r="AI1644" t="n">
        <v>11</v>
      </c>
      <c r="AN1644" t="inlineStr">
        <is>
          <t>WARREN</t>
        </is>
      </c>
      <c r="AO1644" t="inlineStr">
        <is>
          <t>WARREN CITY 4D</t>
        </is>
      </c>
      <c r="AP1644" t="inlineStr">
        <is>
          <t>78-P-ADL</t>
        </is>
      </c>
      <c r="AQ1644" t="n">
        <v>9</v>
      </c>
      <c r="AR1644" t="n">
        <v>64</v>
      </c>
      <c r="AS1644" t="n">
        <v>32</v>
      </c>
      <c r="AU1644">
        <f>COUNTA($BA$1644:$EH$1644)</f>
        <v/>
      </c>
      <c r="AV1644">
        <f>COUNTIF($BA$1644:$EH$1644,"D")</f>
        <v/>
      </c>
      <c r="AW1644">
        <f>COUNTIF($BA$1644:$EH$1644,"R")</f>
        <v/>
      </c>
      <c r="AX1644">
        <f>IF(BN1644="D",1,0)+IF(BO1644="D",1,0)+IF(BT1644="D",1,0)+IF(BU1644="D",1,0)+IF(BW1644="D",1,0)+IF(CC1644="D",1,0)+IF(CD1644="D",1,0)+IF(CE1644="D",1,0)+IF(CF1644="D",1,0)+IF(CL1644="D",1,0)+IF(CM1644="D",1,0)+IF(CQ1644="D",1,0)+IF(CR1644="D",1,0)+IF(CS1644="D",1,0)+IF(CW1644="D",1,0)+IF(CX1644="D",1,0)+IF(DD1644="D",1,0)+IF(DE1644="D",1,0)+IF(DJ1644="D",1,0)+IF(DK1644="D",1,0)+IF(DO1644="D",1,0)+IF(DP1644="D",1,0)+IF(DQ1644="D",1,0)+IF(DW1644="D",1,0)+IF(DZ1644="D",1,0)+IF(EH1644="D",1,0)</f>
        <v/>
      </c>
      <c r="AY1644">
        <f>IF(DJ1644&lt;&gt;"",1,0)+IF(DK1644&lt;&gt;"",1,0)+IF(DM1644&lt;&gt;"",1,0)+IF(DO1644&lt;&gt;"",1,0)+IF(DP1644&lt;&gt;"",1,0)+IF(DQ1644&lt;&gt;"",1,0)+IF(DS1644&lt;&gt;"",1,0)+IF(DT1644&lt;&gt;"",1,0)+IF(DV1644&lt;&gt;"",1,0)+IF(DW1644&lt;&gt;"",1,0)+IF(DX1644&lt;&gt;"",1,0)+IF(DY1644&lt;&gt;"",1,0)+IF(DZ1644&lt;&gt;"",1,0)+IF(EB1644&lt;&gt;"",1,0)+IF(EC1644&lt;&gt;"",1,0)+IF(ED1644&lt;&gt;"",1,0)+IF(EG1644&lt;&gt;"",1,0)+IF(EH1644&lt;&gt;"",1,0)</f>
        <v/>
      </c>
      <c r="AZ1644">
        <f>IF(EH1644&lt;&gt;"",1,0)</f>
        <v/>
      </c>
      <c r="BB1644" t="inlineStr">
        <is>
          <t>WARREN-WARD 4</t>
        </is>
      </c>
    </row>
    <row r="1645">
      <c r="A1645" t="inlineStr">
        <is>
          <t>OH0019521671</t>
        </is>
      </c>
      <c r="B1645" t="n">
        <v>78</v>
      </c>
      <c r="C1645" t="n">
        <v>354893</v>
      </c>
      <c r="D1645" t="inlineStr">
        <is>
          <t>KUNTZ</t>
        </is>
      </c>
      <c r="E1645" t="inlineStr">
        <is>
          <t>JOSHUA</t>
        </is>
      </c>
      <c r="F1645">
        <f>CONCATENATE(D1645," ",LEFT(H1645,4),"T=",AU1645,"D=",AV1645,"R=",AW1645,"M=",AX1645,"L=",AY1645,"B=",AZ1645)</f>
        <v/>
      </c>
      <c r="G1645" t="inlineStr">
        <is>
          <t>A</t>
        </is>
      </c>
      <c r="I1645" t="inlineStr">
        <is>
          <t>1982-03-06</t>
        </is>
      </c>
      <c r="J1645" t="inlineStr">
        <is>
          <t>2018-05-25</t>
        </is>
      </c>
      <c r="K1645" t="inlineStr">
        <is>
          <t>CONFIRMATION</t>
        </is>
      </c>
      <c r="M1645" t="inlineStr">
        <is>
          <t>240 MONROE ST NW</t>
        </is>
      </c>
      <c r="N1645">
        <f>RIGHT(M1645,LEN(M1645)-FIND(" ",M1645))</f>
        <v/>
      </c>
      <c r="O1645" t="inlineStr">
        <is>
          <t>APT 4</t>
        </is>
      </c>
      <c r="P1645" t="inlineStr">
        <is>
          <t>WARREN</t>
        </is>
      </c>
      <c r="Q1645" t="inlineStr">
        <is>
          <t>OH</t>
        </is>
      </c>
      <c r="R1645" t="n">
        <v>44483</v>
      </c>
      <c r="AD1645" t="inlineStr">
        <is>
          <t>TRUMBULL CAREER &amp; TECH CENTER</t>
        </is>
      </c>
      <c r="AE1645" t="inlineStr">
        <is>
          <t>WARREN CITY</t>
        </is>
      </c>
      <c r="AF1645" t="inlineStr">
        <is>
          <t>WARREN CITY SD</t>
        </is>
      </c>
      <c r="AH1645" t="n">
        <v>14</v>
      </c>
      <c r="AI1645" t="n">
        <v>11</v>
      </c>
      <c r="AN1645" t="inlineStr">
        <is>
          <t>WARREN</t>
        </is>
      </c>
      <c r="AO1645" t="inlineStr">
        <is>
          <t>WARREN CITY 4D</t>
        </is>
      </c>
      <c r="AP1645" t="inlineStr">
        <is>
          <t>78-P-ADL</t>
        </is>
      </c>
      <c r="AQ1645" t="n">
        <v>9</v>
      </c>
      <c r="AR1645" t="n">
        <v>64</v>
      </c>
      <c r="AS1645" t="n">
        <v>32</v>
      </c>
      <c r="AU1645">
        <f>COUNTA($BA$1645:$EH$1645)</f>
        <v/>
      </c>
      <c r="AV1645">
        <f>COUNTIF($BA$1645:$EH$1645,"D")</f>
        <v/>
      </c>
      <c r="AW1645">
        <f>COUNTIF($BA$1645:$EH$1645,"R")</f>
        <v/>
      </c>
      <c r="AX1645">
        <f>IF(BN1645="D",1,0)+IF(BO1645="D",1,0)+IF(BT1645="D",1,0)+IF(BU1645="D",1,0)+IF(BW1645="D",1,0)+IF(CC1645="D",1,0)+IF(CD1645="D",1,0)+IF(CE1645="D",1,0)+IF(CF1645="D",1,0)+IF(CL1645="D",1,0)+IF(CM1645="D",1,0)+IF(CQ1645="D",1,0)+IF(CR1645="D",1,0)+IF(CS1645="D",1,0)+IF(CW1645="D",1,0)+IF(CX1645="D",1,0)+IF(DD1645="D",1,0)+IF(DE1645="D",1,0)+IF(DJ1645="D",1,0)+IF(DK1645="D",1,0)+IF(DO1645="D",1,0)+IF(DP1645="D",1,0)+IF(DQ1645="D",1,0)+IF(DW1645="D",1,0)+IF(DZ1645="D",1,0)+IF(EH1645="D",1,0)</f>
        <v/>
      </c>
      <c r="AY1645">
        <f>IF(DJ1645&lt;&gt;"",1,0)+IF(DK1645&lt;&gt;"",1,0)+IF(DM1645&lt;&gt;"",1,0)+IF(DO1645&lt;&gt;"",1,0)+IF(DP1645&lt;&gt;"",1,0)+IF(DQ1645&lt;&gt;"",1,0)+IF(DS1645&lt;&gt;"",1,0)+IF(DT1645&lt;&gt;"",1,0)+IF(DV1645&lt;&gt;"",1,0)+IF(DW1645&lt;&gt;"",1,0)+IF(DX1645&lt;&gt;"",1,0)+IF(DY1645&lt;&gt;"",1,0)+IF(DZ1645&lt;&gt;"",1,0)+IF(EB1645&lt;&gt;"",1,0)+IF(EC1645&lt;&gt;"",1,0)+IF(ED1645&lt;&gt;"",1,0)+IF(EG1645&lt;&gt;"",1,0)+IF(EH1645&lt;&gt;"",1,0)</f>
        <v/>
      </c>
      <c r="AZ1645">
        <f>IF(EH1645&lt;&gt;"",1,0)</f>
        <v/>
      </c>
      <c r="BB1645" t="inlineStr">
        <is>
          <t>WARREN-WARD 4</t>
        </is>
      </c>
    </row>
    <row r="1646">
      <c r="A1646" t="inlineStr">
        <is>
          <t>OH0026734410</t>
        </is>
      </c>
      <c r="B1646" t="n">
        <v>78</v>
      </c>
      <c r="C1646" t="n">
        <v>466779</v>
      </c>
      <c r="D1646" t="inlineStr">
        <is>
          <t>GARLOCK</t>
        </is>
      </c>
      <c r="E1646" t="inlineStr">
        <is>
          <t>KAYLA</t>
        </is>
      </c>
      <c r="F1646">
        <f>CONCATENATE(D1646," ",LEFT(H1646,4),"T=",AU1646,"D=",AV1646,"R=",AW1646,"M=",AX1646,"L=",AY1646,"B=",AZ1646)</f>
        <v/>
      </c>
      <c r="G1646" t="inlineStr">
        <is>
          <t>RACHELLE</t>
        </is>
      </c>
      <c r="I1646" t="inlineStr">
        <is>
          <t>1999-11-05</t>
        </is>
      </c>
      <c r="J1646" t="inlineStr">
        <is>
          <t>2022-11-17</t>
        </is>
      </c>
      <c r="K1646" t="inlineStr">
        <is>
          <t>ACTIVE</t>
        </is>
      </c>
      <c r="M1646" t="inlineStr">
        <is>
          <t>407 LAIRD AVE NE</t>
        </is>
      </c>
      <c r="N1646">
        <f>RIGHT(M1646,LEN(M1646)-FIND(" ",M1646))</f>
        <v/>
      </c>
      <c r="O1646" t="inlineStr">
        <is>
          <t>APT B</t>
        </is>
      </c>
      <c r="P1646" t="inlineStr">
        <is>
          <t>WARREN</t>
        </is>
      </c>
      <c r="Q1646" t="inlineStr">
        <is>
          <t>OH</t>
        </is>
      </c>
      <c r="R1646" t="n">
        <v>44483</v>
      </c>
      <c r="AD1646" t="inlineStr">
        <is>
          <t>TRUMBULL CAREER &amp; TECH CENTER</t>
        </is>
      </c>
      <c r="AE1646" t="inlineStr">
        <is>
          <t>WARREN CITY</t>
        </is>
      </c>
      <c r="AF1646" t="inlineStr">
        <is>
          <t>WARREN CITY SD</t>
        </is>
      </c>
      <c r="AH1646" t="n">
        <v>14</v>
      </c>
      <c r="AI1646" t="n">
        <v>11</v>
      </c>
      <c r="AN1646" t="inlineStr">
        <is>
          <t>WARREN</t>
        </is>
      </c>
      <c r="AO1646" t="inlineStr">
        <is>
          <t>WARREN CITY 4D</t>
        </is>
      </c>
      <c r="AP1646" t="inlineStr">
        <is>
          <t>78-P-ADL</t>
        </is>
      </c>
      <c r="AQ1646" t="n">
        <v>9</v>
      </c>
      <c r="AR1646" t="n">
        <v>64</v>
      </c>
      <c r="AS1646" t="n">
        <v>32</v>
      </c>
      <c r="AU1646">
        <f>COUNTA($BA$1646:$EH$1646)</f>
        <v/>
      </c>
      <c r="AV1646">
        <f>COUNTIF($BA$1646:$EH$1646,"D")</f>
        <v/>
      </c>
      <c r="AW1646">
        <f>COUNTIF($BA$1646:$EH$1646,"R")</f>
        <v/>
      </c>
      <c r="AX1646">
        <f>IF(BN1646="D",1,0)+IF(BO1646="D",1,0)+IF(BT1646="D",1,0)+IF(BU1646="D",1,0)+IF(BW1646="D",1,0)+IF(CC1646="D",1,0)+IF(CD1646="D",1,0)+IF(CE1646="D",1,0)+IF(CF1646="D",1,0)+IF(CL1646="D",1,0)+IF(CM1646="D",1,0)+IF(CQ1646="D",1,0)+IF(CR1646="D",1,0)+IF(CS1646="D",1,0)+IF(CW1646="D",1,0)+IF(CX1646="D",1,0)+IF(DD1646="D",1,0)+IF(DE1646="D",1,0)+IF(DJ1646="D",1,0)+IF(DK1646="D",1,0)+IF(DO1646="D",1,0)+IF(DP1646="D",1,0)+IF(DQ1646="D",1,0)+IF(DW1646="D",1,0)+IF(DZ1646="D",1,0)+IF(EH1646="D",1,0)</f>
        <v/>
      </c>
      <c r="AY1646">
        <f>IF(DJ1646&lt;&gt;"",1,0)+IF(DK1646&lt;&gt;"",1,0)+IF(DM1646&lt;&gt;"",1,0)+IF(DO1646&lt;&gt;"",1,0)+IF(DP1646&lt;&gt;"",1,0)+IF(DQ1646&lt;&gt;"",1,0)+IF(DS1646&lt;&gt;"",1,0)+IF(DT1646&lt;&gt;"",1,0)+IF(DV1646&lt;&gt;"",1,0)+IF(DW1646&lt;&gt;"",1,0)+IF(DX1646&lt;&gt;"",1,0)+IF(DY1646&lt;&gt;"",1,0)+IF(DZ1646&lt;&gt;"",1,0)+IF(EB1646&lt;&gt;"",1,0)+IF(EC1646&lt;&gt;"",1,0)+IF(ED1646&lt;&gt;"",1,0)+IF(EG1646&lt;&gt;"",1,0)+IF(EH1646&lt;&gt;"",1,0)</f>
        <v/>
      </c>
      <c r="AZ1646">
        <f>IF(EH1646&lt;&gt;"",1,0)</f>
        <v/>
      </c>
      <c r="BB1646" t="inlineStr">
        <is>
          <t>WARREN-WARD 4</t>
        </is>
      </c>
    </row>
    <row r="1647">
      <c r="A1647" t="inlineStr">
        <is>
          <t>OH0020343380</t>
        </is>
      </c>
      <c r="B1647" t="n">
        <v>78</v>
      </c>
      <c r="C1647" t="n">
        <v>366928</v>
      </c>
      <c r="D1647" t="inlineStr">
        <is>
          <t>KNIGHT</t>
        </is>
      </c>
      <c r="E1647" t="inlineStr">
        <is>
          <t>ASHLEY</t>
        </is>
      </c>
      <c r="F1647">
        <f>CONCATENATE(D1647," ",LEFT(H1647,4),"T=",AU1647,"D=",AV1647,"R=",AW1647,"M=",AX1647,"L=",AY1647,"B=",AZ1647)</f>
        <v/>
      </c>
      <c r="G1647" t="inlineStr">
        <is>
          <t>M</t>
        </is>
      </c>
      <c r="I1647" t="inlineStr">
        <is>
          <t>1980-04-21</t>
        </is>
      </c>
      <c r="J1647" t="inlineStr">
        <is>
          <t>2024-08-21</t>
        </is>
      </c>
      <c r="K1647" t="inlineStr">
        <is>
          <t>ACTIVE</t>
        </is>
      </c>
      <c r="M1647" t="inlineStr">
        <is>
          <t>445 OLIVE AVE NE</t>
        </is>
      </c>
      <c r="N1647">
        <f>RIGHT(M1647,LEN(M1647)-FIND(" ",M1647))</f>
        <v/>
      </c>
      <c r="P1647" t="inlineStr">
        <is>
          <t>WARREN</t>
        </is>
      </c>
      <c r="Q1647" t="inlineStr">
        <is>
          <t>OH</t>
        </is>
      </c>
      <c r="R1647" t="n">
        <v>44483</v>
      </c>
      <c r="AD1647" t="inlineStr">
        <is>
          <t>TRUMBULL CAREER &amp; TECH CENTER</t>
        </is>
      </c>
      <c r="AE1647" t="inlineStr">
        <is>
          <t>WARREN CITY</t>
        </is>
      </c>
      <c r="AF1647" t="inlineStr">
        <is>
          <t>WARREN CITY SD</t>
        </is>
      </c>
      <c r="AH1647" t="n">
        <v>14</v>
      </c>
      <c r="AI1647" t="n">
        <v>11</v>
      </c>
      <c r="AN1647" t="inlineStr">
        <is>
          <t>WARREN</t>
        </is>
      </c>
      <c r="AO1647" t="inlineStr">
        <is>
          <t>WARREN CITY 4D</t>
        </is>
      </c>
      <c r="AP1647" t="inlineStr">
        <is>
          <t>78-P-ADL</t>
        </is>
      </c>
      <c r="AQ1647" t="n">
        <v>9</v>
      </c>
      <c r="AR1647" t="n">
        <v>64</v>
      </c>
      <c r="AS1647" t="n">
        <v>32</v>
      </c>
      <c r="AU1647">
        <f>COUNTA($BA$1647:$EH$1647)</f>
        <v/>
      </c>
      <c r="AV1647">
        <f>COUNTIF($BA$1647:$EH$1647,"D")</f>
        <v/>
      </c>
      <c r="AW1647">
        <f>COUNTIF($BA$1647:$EH$1647,"R")</f>
        <v/>
      </c>
      <c r="AX1647">
        <f>IF(BN1647="D",1,0)+IF(BO1647="D",1,0)+IF(BT1647="D",1,0)+IF(BU1647="D",1,0)+IF(BW1647="D",1,0)+IF(CC1647="D",1,0)+IF(CD1647="D",1,0)+IF(CE1647="D",1,0)+IF(CF1647="D",1,0)+IF(CL1647="D",1,0)+IF(CM1647="D",1,0)+IF(CQ1647="D",1,0)+IF(CR1647="D",1,0)+IF(CS1647="D",1,0)+IF(CW1647="D",1,0)+IF(CX1647="D",1,0)+IF(DD1647="D",1,0)+IF(DE1647="D",1,0)+IF(DJ1647="D",1,0)+IF(DK1647="D",1,0)+IF(DO1647="D",1,0)+IF(DP1647="D",1,0)+IF(DQ1647="D",1,0)+IF(DW1647="D",1,0)+IF(DZ1647="D",1,0)+IF(EH1647="D",1,0)</f>
        <v/>
      </c>
      <c r="AY1647">
        <f>IF(DJ1647&lt;&gt;"",1,0)+IF(DK1647&lt;&gt;"",1,0)+IF(DM1647&lt;&gt;"",1,0)+IF(DO1647&lt;&gt;"",1,0)+IF(DP1647&lt;&gt;"",1,0)+IF(DQ1647&lt;&gt;"",1,0)+IF(DS1647&lt;&gt;"",1,0)+IF(DT1647&lt;&gt;"",1,0)+IF(DV1647&lt;&gt;"",1,0)+IF(DW1647&lt;&gt;"",1,0)+IF(DX1647&lt;&gt;"",1,0)+IF(DY1647&lt;&gt;"",1,0)+IF(DZ1647&lt;&gt;"",1,0)+IF(EB1647&lt;&gt;"",1,0)+IF(EC1647&lt;&gt;"",1,0)+IF(ED1647&lt;&gt;"",1,0)+IF(EG1647&lt;&gt;"",1,0)+IF(EH1647&lt;&gt;"",1,0)</f>
        <v/>
      </c>
      <c r="AZ1647">
        <f>IF(EH1647&lt;&gt;"",1,0)</f>
        <v/>
      </c>
      <c r="BB1647" t="inlineStr">
        <is>
          <t>WARREN-WARD 4</t>
        </is>
      </c>
      <c r="CA1647" t="inlineStr">
        <is>
          <t>X</t>
        </is>
      </c>
      <c r="CP1647" t="inlineStr">
        <is>
          <t>X</t>
        </is>
      </c>
      <c r="DC1647" t="inlineStr">
        <is>
          <t>X</t>
        </is>
      </c>
      <c r="DN1647" t="inlineStr">
        <is>
          <t>X</t>
        </is>
      </c>
    </row>
    <row r="1648">
      <c r="A1648" t="inlineStr">
        <is>
          <t>OH0015726642</t>
        </is>
      </c>
      <c r="B1648" t="n">
        <v>78</v>
      </c>
      <c r="C1648" t="n">
        <v>211685</v>
      </c>
      <c r="D1648" t="inlineStr">
        <is>
          <t>BUCCI</t>
        </is>
      </c>
      <c r="E1648" t="inlineStr">
        <is>
          <t>CAROL</t>
        </is>
      </c>
      <c r="F1648">
        <f>CONCATENATE(D1648," ",LEFT(H1648,4),"T=",AU1648,"D=",AV1648,"R=",AW1648,"M=",AX1648,"L=",AY1648,"B=",AZ1648)</f>
        <v/>
      </c>
      <c r="I1648" t="inlineStr">
        <is>
          <t>1959-04-01</t>
        </is>
      </c>
      <c r="J1648" t="inlineStr">
        <is>
          <t>1988-10-06</t>
        </is>
      </c>
      <c r="K1648" t="inlineStr">
        <is>
          <t>ACTIVE</t>
        </is>
      </c>
      <c r="M1648" t="inlineStr">
        <is>
          <t>176 LOGAN AVE NE</t>
        </is>
      </c>
      <c r="N1648">
        <f>RIGHT(M1648,LEN(M1648)-FIND(" ",M1648))</f>
        <v/>
      </c>
      <c r="P1648" t="inlineStr">
        <is>
          <t>WARREN</t>
        </is>
      </c>
      <c r="Q1648" t="inlineStr">
        <is>
          <t>OH</t>
        </is>
      </c>
      <c r="R1648" t="n">
        <v>44483</v>
      </c>
      <c r="AD1648" t="inlineStr">
        <is>
          <t>TRUMBULL CAREER &amp; TECH CENTER</t>
        </is>
      </c>
      <c r="AE1648" t="inlineStr">
        <is>
          <t>WARREN CITY</t>
        </is>
      </c>
      <c r="AF1648" t="inlineStr">
        <is>
          <t>WARREN CITY SD</t>
        </is>
      </c>
      <c r="AH1648" t="n">
        <v>14</v>
      </c>
      <c r="AI1648" t="n">
        <v>11</v>
      </c>
      <c r="AN1648" t="inlineStr">
        <is>
          <t>WARREN</t>
        </is>
      </c>
      <c r="AO1648" t="inlineStr">
        <is>
          <t>WARREN CITY 4D</t>
        </is>
      </c>
      <c r="AP1648" t="inlineStr">
        <is>
          <t>78-P-ADL</t>
        </is>
      </c>
      <c r="AQ1648" t="n">
        <v>9</v>
      </c>
      <c r="AR1648" t="n">
        <v>64</v>
      </c>
      <c r="AS1648" t="n">
        <v>32</v>
      </c>
      <c r="AU1648">
        <f>COUNTA($BA$1648:$EH$1648)</f>
        <v/>
      </c>
      <c r="AV1648">
        <f>COUNTIF($BA$1648:$EH$1648,"D")</f>
        <v/>
      </c>
      <c r="AW1648">
        <f>COUNTIF($BA$1648:$EH$1648,"R")</f>
        <v/>
      </c>
      <c r="AX1648">
        <f>IF(BN1648="D",1,0)+IF(BO1648="D",1,0)+IF(BT1648="D",1,0)+IF(BU1648="D",1,0)+IF(BW1648="D",1,0)+IF(CC1648="D",1,0)+IF(CD1648="D",1,0)+IF(CE1648="D",1,0)+IF(CF1648="D",1,0)+IF(CL1648="D",1,0)+IF(CM1648="D",1,0)+IF(CQ1648="D",1,0)+IF(CR1648="D",1,0)+IF(CS1648="D",1,0)+IF(CW1648="D",1,0)+IF(CX1648="D",1,0)+IF(DD1648="D",1,0)+IF(DE1648="D",1,0)+IF(DJ1648="D",1,0)+IF(DK1648="D",1,0)+IF(DO1648="D",1,0)+IF(DP1648="D",1,0)+IF(DQ1648="D",1,0)+IF(DW1648="D",1,0)+IF(DZ1648="D",1,0)+IF(EH1648="D",1,0)</f>
        <v/>
      </c>
      <c r="AY1648">
        <f>IF(DJ1648&lt;&gt;"",1,0)+IF(DK1648&lt;&gt;"",1,0)+IF(DM1648&lt;&gt;"",1,0)+IF(DO1648&lt;&gt;"",1,0)+IF(DP1648&lt;&gt;"",1,0)+IF(DQ1648&lt;&gt;"",1,0)+IF(DS1648&lt;&gt;"",1,0)+IF(DT1648&lt;&gt;"",1,0)+IF(DV1648&lt;&gt;"",1,0)+IF(DW1648&lt;&gt;"",1,0)+IF(DX1648&lt;&gt;"",1,0)+IF(DY1648&lt;&gt;"",1,0)+IF(DZ1648&lt;&gt;"",1,0)+IF(EB1648&lt;&gt;"",1,0)+IF(EC1648&lt;&gt;"",1,0)+IF(ED1648&lt;&gt;"",1,0)+IF(EG1648&lt;&gt;"",1,0)+IF(EH1648&lt;&gt;"",1,0)</f>
        <v/>
      </c>
      <c r="AZ1648">
        <f>IF(EH1648&lt;&gt;"",1,0)</f>
        <v/>
      </c>
      <c r="BB1648" t="inlineStr">
        <is>
          <t>WARREN-WARD 4</t>
        </is>
      </c>
      <c r="BD1648" t="inlineStr">
        <is>
          <t>X</t>
        </is>
      </c>
      <c r="BG1648" t="inlineStr">
        <is>
          <t>X</t>
        </is>
      </c>
      <c r="BH1648" t="inlineStr">
        <is>
          <t>X</t>
        </is>
      </c>
      <c r="BL1648" t="inlineStr">
        <is>
          <t>X</t>
        </is>
      </c>
      <c r="BY1648" t="inlineStr">
        <is>
          <t>D</t>
        </is>
      </c>
      <c r="CA1648" t="inlineStr">
        <is>
          <t>X</t>
        </is>
      </c>
      <c r="CP1648" t="inlineStr">
        <is>
          <t>X</t>
        </is>
      </c>
      <c r="CY1648" t="inlineStr">
        <is>
          <t>X</t>
        </is>
      </c>
      <c r="DC1648" t="inlineStr">
        <is>
          <t>X</t>
        </is>
      </c>
      <c r="DF1648" t="inlineStr">
        <is>
          <t>X</t>
        </is>
      </c>
      <c r="DI1648" t="inlineStr">
        <is>
          <t>X</t>
        </is>
      </c>
      <c r="DN1648" t="inlineStr">
        <is>
          <t>X</t>
        </is>
      </c>
      <c r="DU1648" t="inlineStr">
        <is>
          <t>X</t>
        </is>
      </c>
      <c r="EA1648" t="inlineStr">
        <is>
          <t>X</t>
        </is>
      </c>
      <c r="EF1648" t="inlineStr">
        <is>
          <t>X</t>
        </is>
      </c>
    </row>
    <row r="1649">
      <c r="A1649" t="inlineStr">
        <is>
          <t>OH0022904153</t>
        </is>
      </c>
      <c r="B1649" t="n">
        <v>78</v>
      </c>
      <c r="C1649" t="n">
        <v>403876</v>
      </c>
      <c r="D1649" t="inlineStr">
        <is>
          <t>MACKELLAR</t>
        </is>
      </c>
      <c r="E1649" t="inlineStr">
        <is>
          <t>KRISTEN</t>
        </is>
      </c>
      <c r="F1649">
        <f>CONCATENATE(D1649," ",LEFT(H1649,4),"T=",AU1649,"D=",AV1649,"R=",AW1649,"M=",AX1649,"L=",AY1649,"B=",AZ1649)</f>
        <v/>
      </c>
      <c r="G1649" t="inlineStr">
        <is>
          <t>K</t>
        </is>
      </c>
      <c r="I1649" t="inlineStr">
        <is>
          <t>1996-05-02</t>
        </is>
      </c>
      <c r="J1649" t="inlineStr">
        <is>
          <t>2023-06-26</t>
        </is>
      </c>
      <c r="K1649" t="inlineStr">
        <is>
          <t>ACTIVE</t>
        </is>
      </c>
      <c r="M1649" t="inlineStr">
        <is>
          <t>206 LOGAN AVE SE</t>
        </is>
      </c>
      <c r="N1649">
        <f>RIGHT(M1649,LEN(M1649)-FIND(" ",M1649))</f>
        <v/>
      </c>
      <c r="P1649" t="inlineStr">
        <is>
          <t>WARREN</t>
        </is>
      </c>
      <c r="Q1649" t="inlineStr">
        <is>
          <t>OH</t>
        </is>
      </c>
      <c r="R1649" t="n">
        <v>44483</v>
      </c>
      <c r="AD1649" t="inlineStr">
        <is>
          <t>TRUMBULL CAREER &amp; TECH CENTER</t>
        </is>
      </c>
      <c r="AE1649" t="inlineStr">
        <is>
          <t>WARREN CITY</t>
        </is>
      </c>
      <c r="AF1649" t="inlineStr">
        <is>
          <t>WARREN CITY SD</t>
        </is>
      </c>
      <c r="AH1649" t="n">
        <v>14</v>
      </c>
      <c r="AI1649" t="n">
        <v>11</v>
      </c>
      <c r="AN1649" t="inlineStr">
        <is>
          <t>WARREN</t>
        </is>
      </c>
      <c r="AO1649" t="inlineStr">
        <is>
          <t>WARREN CITY 4D</t>
        </is>
      </c>
      <c r="AP1649" t="inlineStr">
        <is>
          <t>78-P-ADL</t>
        </is>
      </c>
      <c r="AQ1649" t="n">
        <v>9</v>
      </c>
      <c r="AR1649" t="n">
        <v>64</v>
      </c>
      <c r="AS1649" t="n">
        <v>32</v>
      </c>
      <c r="AU1649">
        <f>COUNTA($BA$1649:$EH$1649)</f>
        <v/>
      </c>
      <c r="AV1649">
        <f>COUNTIF($BA$1649:$EH$1649,"D")</f>
        <v/>
      </c>
      <c r="AW1649">
        <f>COUNTIF($BA$1649:$EH$1649,"R")</f>
        <v/>
      </c>
      <c r="AX1649">
        <f>IF(BN1649="D",1,0)+IF(BO1649="D",1,0)+IF(BT1649="D",1,0)+IF(BU1649="D",1,0)+IF(BW1649="D",1,0)+IF(CC1649="D",1,0)+IF(CD1649="D",1,0)+IF(CE1649="D",1,0)+IF(CF1649="D",1,0)+IF(CL1649="D",1,0)+IF(CM1649="D",1,0)+IF(CQ1649="D",1,0)+IF(CR1649="D",1,0)+IF(CS1649="D",1,0)+IF(CW1649="D",1,0)+IF(CX1649="D",1,0)+IF(DD1649="D",1,0)+IF(DE1649="D",1,0)+IF(DJ1649="D",1,0)+IF(DK1649="D",1,0)+IF(DO1649="D",1,0)+IF(DP1649="D",1,0)+IF(DQ1649="D",1,0)+IF(DW1649="D",1,0)+IF(DZ1649="D",1,0)+IF(EH1649="D",1,0)</f>
        <v/>
      </c>
      <c r="AY1649">
        <f>IF(DJ1649&lt;&gt;"",1,0)+IF(DK1649&lt;&gt;"",1,0)+IF(DM1649&lt;&gt;"",1,0)+IF(DO1649&lt;&gt;"",1,0)+IF(DP1649&lt;&gt;"",1,0)+IF(DQ1649&lt;&gt;"",1,0)+IF(DS1649&lt;&gt;"",1,0)+IF(DT1649&lt;&gt;"",1,0)+IF(DV1649&lt;&gt;"",1,0)+IF(DW1649&lt;&gt;"",1,0)+IF(DX1649&lt;&gt;"",1,0)+IF(DY1649&lt;&gt;"",1,0)+IF(DZ1649&lt;&gt;"",1,0)+IF(EB1649&lt;&gt;"",1,0)+IF(EC1649&lt;&gt;"",1,0)+IF(ED1649&lt;&gt;"",1,0)+IF(EG1649&lt;&gt;"",1,0)+IF(EH1649&lt;&gt;"",1,0)</f>
        <v/>
      </c>
      <c r="AZ1649">
        <f>IF(EH1649&lt;&gt;"",1,0)</f>
        <v/>
      </c>
      <c r="BB1649" t="inlineStr">
        <is>
          <t>WARREN-WARD 4</t>
        </is>
      </c>
    </row>
    <row r="1650">
      <c r="A1650" t="inlineStr">
        <is>
          <t>OH0020288829</t>
        </is>
      </c>
      <c r="B1650" t="n">
        <v>78</v>
      </c>
      <c r="C1650" t="n">
        <v>341112</v>
      </c>
      <c r="D1650" t="inlineStr">
        <is>
          <t>HAAS</t>
        </is>
      </c>
      <c r="E1650" t="inlineStr">
        <is>
          <t>PENNY</t>
        </is>
      </c>
      <c r="F1650">
        <f>CONCATENATE(D1650," ",LEFT(H1650,4),"T=",AU1650,"D=",AV1650,"R=",AW1650,"M=",AX1650,"L=",AY1650,"B=",AZ1650)</f>
        <v/>
      </c>
      <c r="G1650" t="inlineStr">
        <is>
          <t>L</t>
        </is>
      </c>
      <c r="I1650" t="inlineStr">
        <is>
          <t>1965-10-10</t>
        </is>
      </c>
      <c r="J1650" t="inlineStr">
        <is>
          <t>2024-09-06</t>
        </is>
      </c>
      <c r="K1650" t="inlineStr">
        <is>
          <t>ACTIVE</t>
        </is>
      </c>
      <c r="M1650" t="inlineStr">
        <is>
          <t>182 HIGH ST NE</t>
        </is>
      </c>
      <c r="N1650">
        <f>RIGHT(M1650,LEN(M1650)-FIND(" ",M1650))</f>
        <v/>
      </c>
      <c r="O1650" t="inlineStr">
        <is>
          <t>APT 508</t>
        </is>
      </c>
      <c r="P1650" t="inlineStr">
        <is>
          <t>WARREN</t>
        </is>
      </c>
      <c r="Q1650" t="inlineStr">
        <is>
          <t>OH</t>
        </is>
      </c>
      <c r="R1650" t="n">
        <v>44481</v>
      </c>
      <c r="AD1650" t="inlineStr">
        <is>
          <t>TRUMBULL CAREER &amp; TECH CENTER</t>
        </is>
      </c>
      <c r="AE1650" t="inlineStr">
        <is>
          <t>WARREN CITY</t>
        </is>
      </c>
      <c r="AF1650" t="inlineStr">
        <is>
          <t>WARREN CITY SD</t>
        </is>
      </c>
      <c r="AH1650" t="n">
        <v>14</v>
      </c>
      <c r="AI1650" t="n">
        <v>11</v>
      </c>
      <c r="AN1650" t="inlineStr">
        <is>
          <t>WARREN</t>
        </is>
      </c>
      <c r="AO1650" t="inlineStr">
        <is>
          <t>WARREN CITY 4D</t>
        </is>
      </c>
      <c r="AP1650" t="inlineStr">
        <is>
          <t>78-P-ADL</t>
        </is>
      </c>
      <c r="AQ1650" t="n">
        <v>9</v>
      </c>
      <c r="AR1650" t="n">
        <v>64</v>
      </c>
      <c r="AS1650" t="n">
        <v>32</v>
      </c>
      <c r="AU1650">
        <f>COUNTA($BA$1650:$EH$1650)</f>
        <v/>
      </c>
      <c r="AV1650">
        <f>COUNTIF($BA$1650:$EH$1650,"D")</f>
        <v/>
      </c>
      <c r="AW1650">
        <f>COUNTIF($BA$1650:$EH$1650,"R")</f>
        <v/>
      </c>
      <c r="AX1650">
        <f>IF(BN1650="D",1,0)+IF(BO1650="D",1,0)+IF(BT1650="D",1,0)+IF(BU1650="D",1,0)+IF(BW1650="D",1,0)+IF(CC1650="D",1,0)+IF(CD1650="D",1,0)+IF(CE1650="D",1,0)+IF(CF1650="D",1,0)+IF(CL1650="D",1,0)+IF(CM1650="D",1,0)+IF(CQ1650="D",1,0)+IF(CR1650="D",1,0)+IF(CS1650="D",1,0)+IF(CW1650="D",1,0)+IF(CX1650="D",1,0)+IF(DD1650="D",1,0)+IF(DE1650="D",1,0)+IF(DJ1650="D",1,0)+IF(DK1650="D",1,0)+IF(DO1650="D",1,0)+IF(DP1650="D",1,0)+IF(DQ1650="D",1,0)+IF(DW1650="D",1,0)+IF(DZ1650="D",1,0)+IF(EH1650="D",1,0)</f>
        <v/>
      </c>
      <c r="AY1650">
        <f>IF(DJ1650&lt;&gt;"",1,0)+IF(DK1650&lt;&gt;"",1,0)+IF(DM1650&lt;&gt;"",1,0)+IF(DO1650&lt;&gt;"",1,0)+IF(DP1650&lt;&gt;"",1,0)+IF(DQ1650&lt;&gt;"",1,0)+IF(DS1650&lt;&gt;"",1,0)+IF(DT1650&lt;&gt;"",1,0)+IF(DV1650&lt;&gt;"",1,0)+IF(DW1650&lt;&gt;"",1,0)+IF(DX1650&lt;&gt;"",1,0)+IF(DY1650&lt;&gt;"",1,0)+IF(DZ1650&lt;&gt;"",1,0)+IF(EB1650&lt;&gt;"",1,0)+IF(EC1650&lt;&gt;"",1,0)+IF(ED1650&lt;&gt;"",1,0)+IF(EG1650&lt;&gt;"",1,0)+IF(EH1650&lt;&gt;"",1,0)</f>
        <v/>
      </c>
      <c r="AZ1650">
        <f>IF(EH1650&lt;&gt;"",1,0)</f>
        <v/>
      </c>
      <c r="BB1650" t="inlineStr">
        <is>
          <t>WARREN-WARD 4</t>
        </is>
      </c>
      <c r="CA1650" t="inlineStr">
        <is>
          <t>X</t>
        </is>
      </c>
      <c r="CN1650" t="inlineStr">
        <is>
          <t>X</t>
        </is>
      </c>
      <c r="CO1650" t="inlineStr">
        <is>
          <t>D</t>
        </is>
      </c>
      <c r="CP1650" t="inlineStr">
        <is>
          <t>X</t>
        </is>
      </c>
      <c r="CU1650" t="inlineStr">
        <is>
          <t>D</t>
        </is>
      </c>
      <c r="CV1650" t="inlineStr">
        <is>
          <t>X</t>
        </is>
      </c>
      <c r="DU1650" t="inlineStr">
        <is>
          <t>X</t>
        </is>
      </c>
    </row>
    <row r="1651">
      <c r="A1651" t="inlineStr">
        <is>
          <t>OH0026114640</t>
        </is>
      </c>
      <c r="B1651" t="n">
        <v>78</v>
      </c>
      <c r="C1651" t="n">
        <v>456426</v>
      </c>
      <c r="D1651" t="inlineStr">
        <is>
          <t>MZEHEM</t>
        </is>
      </c>
      <c r="E1651" t="inlineStr">
        <is>
          <t>KATIA</t>
        </is>
      </c>
      <c r="F1651">
        <f>CONCATENATE(D1651," ",LEFT(H1651,4),"T=",AU1651,"D=",AV1651,"R=",AW1651,"M=",AX1651,"L=",AY1651,"B=",AZ1651)</f>
        <v/>
      </c>
      <c r="G1651" t="inlineStr">
        <is>
          <t>DIAA</t>
        </is>
      </c>
      <c r="I1651" t="inlineStr">
        <is>
          <t>2002-11-09</t>
        </is>
      </c>
      <c r="J1651" t="inlineStr">
        <is>
          <t>2024-06-13</t>
        </is>
      </c>
      <c r="K1651" t="inlineStr">
        <is>
          <t>ACTIVE</t>
        </is>
      </c>
      <c r="M1651" t="inlineStr">
        <is>
          <t>837 ELM RD NE</t>
        </is>
      </c>
      <c r="N1651">
        <f>RIGHT(M1651,LEN(M1651)-FIND(" ",M1651))</f>
        <v/>
      </c>
      <c r="P1651" t="inlineStr">
        <is>
          <t>WARREN</t>
        </is>
      </c>
      <c r="Q1651" t="inlineStr">
        <is>
          <t>OH</t>
        </is>
      </c>
      <c r="R1651" t="n">
        <v>44483</v>
      </c>
      <c r="AD1651" t="inlineStr">
        <is>
          <t>TRUMBULL CAREER &amp; TECH CENTER</t>
        </is>
      </c>
      <c r="AE1651" t="inlineStr">
        <is>
          <t>WARREN CITY</t>
        </is>
      </c>
      <c r="AF1651" t="inlineStr">
        <is>
          <t>WARREN CITY SD</t>
        </is>
      </c>
      <c r="AH1651" t="n">
        <v>14</v>
      </c>
      <c r="AI1651" t="n">
        <v>11</v>
      </c>
      <c r="AN1651" t="inlineStr">
        <is>
          <t>WARREN</t>
        </is>
      </c>
      <c r="AO1651" t="inlineStr">
        <is>
          <t>WARREN CITY 4D</t>
        </is>
      </c>
      <c r="AP1651" t="inlineStr">
        <is>
          <t>78-P-ADL</t>
        </is>
      </c>
      <c r="AQ1651" t="n">
        <v>9</v>
      </c>
      <c r="AR1651" t="n">
        <v>64</v>
      </c>
      <c r="AS1651" t="n">
        <v>32</v>
      </c>
      <c r="AU1651">
        <f>COUNTA($BA$1651:$EH$1651)</f>
        <v/>
      </c>
      <c r="AV1651">
        <f>COUNTIF($BA$1651:$EH$1651,"D")</f>
        <v/>
      </c>
      <c r="AW1651">
        <f>COUNTIF($BA$1651:$EH$1651,"R")</f>
        <v/>
      </c>
      <c r="AX1651">
        <f>IF(BN1651="D",1,0)+IF(BO1651="D",1,0)+IF(BT1651="D",1,0)+IF(BU1651="D",1,0)+IF(BW1651="D",1,0)+IF(CC1651="D",1,0)+IF(CD1651="D",1,0)+IF(CE1651="D",1,0)+IF(CF1651="D",1,0)+IF(CL1651="D",1,0)+IF(CM1651="D",1,0)+IF(CQ1651="D",1,0)+IF(CR1651="D",1,0)+IF(CS1651="D",1,0)+IF(CW1651="D",1,0)+IF(CX1651="D",1,0)+IF(DD1651="D",1,0)+IF(DE1651="D",1,0)+IF(DJ1651="D",1,0)+IF(DK1651="D",1,0)+IF(DO1651="D",1,0)+IF(DP1651="D",1,0)+IF(DQ1651="D",1,0)+IF(DW1651="D",1,0)+IF(DZ1651="D",1,0)+IF(EH1651="D",1,0)</f>
        <v/>
      </c>
      <c r="AY1651">
        <f>IF(DJ1651&lt;&gt;"",1,0)+IF(DK1651&lt;&gt;"",1,0)+IF(DM1651&lt;&gt;"",1,0)+IF(DO1651&lt;&gt;"",1,0)+IF(DP1651&lt;&gt;"",1,0)+IF(DQ1651&lt;&gt;"",1,0)+IF(DS1651&lt;&gt;"",1,0)+IF(DT1651&lt;&gt;"",1,0)+IF(DV1651&lt;&gt;"",1,0)+IF(DW1651&lt;&gt;"",1,0)+IF(DX1651&lt;&gt;"",1,0)+IF(DY1651&lt;&gt;"",1,0)+IF(DZ1651&lt;&gt;"",1,0)+IF(EB1651&lt;&gt;"",1,0)+IF(EC1651&lt;&gt;"",1,0)+IF(ED1651&lt;&gt;"",1,0)+IF(EG1651&lt;&gt;"",1,0)+IF(EH1651&lt;&gt;"",1,0)</f>
        <v/>
      </c>
      <c r="AZ1651">
        <f>IF(EH1651&lt;&gt;"",1,0)</f>
        <v/>
      </c>
      <c r="BB1651" t="inlineStr">
        <is>
          <t>WARREN-WARD 4</t>
        </is>
      </c>
    </row>
    <row r="1652">
      <c r="A1652" t="inlineStr">
        <is>
          <t>OH0015797289</t>
        </is>
      </c>
      <c r="B1652" t="n">
        <v>78</v>
      </c>
      <c r="C1652" t="n">
        <v>326223</v>
      </c>
      <c r="D1652" t="inlineStr">
        <is>
          <t>COOK</t>
        </is>
      </c>
      <c r="E1652" t="inlineStr">
        <is>
          <t>ERIC</t>
        </is>
      </c>
      <c r="F1652">
        <f>CONCATENATE(D1652," ",LEFT(H1652,4),"T=",AU1652,"D=",AV1652,"R=",AW1652,"M=",AX1652,"L=",AY1652,"B=",AZ1652)</f>
        <v/>
      </c>
      <c r="G1652" t="inlineStr">
        <is>
          <t>R</t>
        </is>
      </c>
      <c r="I1652" t="inlineStr">
        <is>
          <t>1954-05-13</t>
        </is>
      </c>
      <c r="J1652" t="inlineStr">
        <is>
          <t>2004-07-29</t>
        </is>
      </c>
      <c r="K1652" t="inlineStr">
        <is>
          <t>ACTIVE</t>
        </is>
      </c>
      <c r="L1652" t="inlineStr">
        <is>
          <t>D</t>
        </is>
      </c>
      <c r="M1652" t="inlineStr">
        <is>
          <t>445 LAIRD AVE NE</t>
        </is>
      </c>
      <c r="N1652">
        <f>RIGHT(M1652,LEN(M1652)-FIND(" ",M1652))</f>
        <v/>
      </c>
      <c r="P1652" t="inlineStr">
        <is>
          <t>WARREN</t>
        </is>
      </c>
      <c r="Q1652" t="inlineStr">
        <is>
          <t>OH</t>
        </is>
      </c>
      <c r="R1652" t="n">
        <v>44483</v>
      </c>
      <c r="AD1652" t="inlineStr">
        <is>
          <t>TRUMBULL CAREER &amp; TECH CENTER</t>
        </is>
      </c>
      <c r="AE1652" t="inlineStr">
        <is>
          <t>WARREN CITY</t>
        </is>
      </c>
      <c r="AF1652" t="inlineStr">
        <is>
          <t>WARREN CITY SD</t>
        </is>
      </c>
      <c r="AH1652" t="n">
        <v>14</v>
      </c>
      <c r="AI1652" t="n">
        <v>11</v>
      </c>
      <c r="AN1652" t="inlineStr">
        <is>
          <t>WARREN</t>
        </is>
      </c>
      <c r="AO1652" t="inlineStr">
        <is>
          <t>WARREN CITY 4D</t>
        </is>
      </c>
      <c r="AP1652" t="inlineStr">
        <is>
          <t>78-P-ADL</t>
        </is>
      </c>
      <c r="AQ1652" t="n">
        <v>9</v>
      </c>
      <c r="AR1652" t="n">
        <v>64</v>
      </c>
      <c r="AS1652" t="n">
        <v>32</v>
      </c>
      <c r="AU1652">
        <f>COUNTA($BA$1652:$EH$1652)</f>
        <v/>
      </c>
      <c r="AV1652">
        <f>COUNTIF($BA$1652:$EH$1652,"D")</f>
        <v/>
      </c>
      <c r="AW1652">
        <f>COUNTIF($BA$1652:$EH$1652,"R")</f>
        <v/>
      </c>
      <c r="AX1652">
        <f>IF(BN1652="D",1,0)+IF(BO1652="D",1,0)+IF(BT1652="D",1,0)+IF(BU1652="D",1,0)+IF(BW1652="D",1,0)+IF(CC1652="D",1,0)+IF(CD1652="D",1,0)+IF(CE1652="D",1,0)+IF(CF1652="D",1,0)+IF(CL1652="D",1,0)+IF(CM1652="D",1,0)+IF(CQ1652="D",1,0)+IF(CR1652="D",1,0)+IF(CS1652="D",1,0)+IF(CW1652="D",1,0)+IF(CX1652="D",1,0)+IF(DD1652="D",1,0)+IF(DE1652="D",1,0)+IF(DJ1652="D",1,0)+IF(DK1652="D",1,0)+IF(DO1652="D",1,0)+IF(DP1652="D",1,0)+IF(DQ1652="D",1,0)+IF(DW1652="D",1,0)+IF(DZ1652="D",1,0)+IF(EH1652="D",1,0)</f>
        <v/>
      </c>
      <c r="AY1652">
        <f>IF(DJ1652&lt;&gt;"",1,0)+IF(DK1652&lt;&gt;"",1,0)+IF(DM1652&lt;&gt;"",1,0)+IF(DO1652&lt;&gt;"",1,0)+IF(DP1652&lt;&gt;"",1,0)+IF(DQ1652&lt;&gt;"",1,0)+IF(DS1652&lt;&gt;"",1,0)+IF(DT1652&lt;&gt;"",1,0)+IF(DV1652&lt;&gt;"",1,0)+IF(DW1652&lt;&gt;"",1,0)+IF(DX1652&lt;&gt;"",1,0)+IF(DY1652&lt;&gt;"",1,0)+IF(DZ1652&lt;&gt;"",1,0)+IF(EB1652&lt;&gt;"",1,0)+IF(EC1652&lt;&gt;"",1,0)+IF(ED1652&lt;&gt;"",1,0)+IF(EG1652&lt;&gt;"",1,0)+IF(EH1652&lt;&gt;"",1,0)</f>
        <v/>
      </c>
      <c r="AZ1652">
        <f>IF(EH1652&lt;&gt;"",1,0)</f>
        <v/>
      </c>
      <c r="BB1652" t="inlineStr">
        <is>
          <t>WARREN-WARD 4</t>
        </is>
      </c>
      <c r="BL1652" t="inlineStr">
        <is>
          <t>X</t>
        </is>
      </c>
      <c r="BP1652" t="inlineStr">
        <is>
          <t>X</t>
        </is>
      </c>
      <c r="BR1652" t="inlineStr">
        <is>
          <t>X</t>
        </is>
      </c>
      <c r="BS1652" t="inlineStr">
        <is>
          <t>X</t>
        </is>
      </c>
      <c r="BY1652" t="inlineStr">
        <is>
          <t>D</t>
        </is>
      </c>
      <c r="CA1652" t="inlineStr">
        <is>
          <t>X</t>
        </is>
      </c>
      <c r="CG1652" t="inlineStr">
        <is>
          <t>X</t>
        </is>
      </c>
      <c r="CH1652" t="inlineStr">
        <is>
          <t>D</t>
        </is>
      </c>
      <c r="CK1652" t="inlineStr">
        <is>
          <t>X</t>
        </is>
      </c>
      <c r="CL1652" t="inlineStr">
        <is>
          <t>D</t>
        </is>
      </c>
      <c r="CN1652" t="inlineStr">
        <is>
          <t>X</t>
        </is>
      </c>
      <c r="CP1652" t="inlineStr">
        <is>
          <t>X</t>
        </is>
      </c>
      <c r="CV1652" t="inlineStr">
        <is>
          <t>X</t>
        </is>
      </c>
      <c r="DC1652" t="inlineStr">
        <is>
          <t>X</t>
        </is>
      </c>
      <c r="DI1652" t="inlineStr">
        <is>
          <t>X</t>
        </is>
      </c>
      <c r="DM1652" t="inlineStr">
        <is>
          <t>D</t>
        </is>
      </c>
      <c r="DU1652" t="inlineStr">
        <is>
          <t>X</t>
        </is>
      </c>
      <c r="DW1652" t="inlineStr">
        <is>
          <t>D</t>
        </is>
      </c>
      <c r="DX1652" t="inlineStr">
        <is>
          <t>X</t>
        </is>
      </c>
      <c r="EA1652" t="inlineStr">
        <is>
          <t>X</t>
        </is>
      </c>
      <c r="ED1652" t="inlineStr">
        <is>
          <t>D</t>
        </is>
      </c>
      <c r="EF1652" t="inlineStr">
        <is>
          <t>X</t>
        </is>
      </c>
    </row>
    <row r="1653">
      <c r="A1653" t="inlineStr">
        <is>
          <t>OH0015719774</t>
        </is>
      </c>
      <c r="B1653" t="n">
        <v>78</v>
      </c>
      <c r="C1653" t="n">
        <v>199406</v>
      </c>
      <c r="D1653" t="inlineStr">
        <is>
          <t>HUTCHISON</t>
        </is>
      </c>
      <c r="E1653" t="inlineStr">
        <is>
          <t>KELLY</t>
        </is>
      </c>
      <c r="F1653">
        <f>CONCATENATE(D1653," ",LEFT(H1653,4),"T=",AU1653,"D=",AV1653,"R=",AW1653,"M=",AX1653,"L=",AY1653,"B=",AZ1653)</f>
        <v/>
      </c>
      <c r="G1653" t="inlineStr">
        <is>
          <t>ANN</t>
        </is>
      </c>
      <c r="I1653" t="inlineStr">
        <is>
          <t>1969-09-30</t>
        </is>
      </c>
      <c r="J1653" t="inlineStr">
        <is>
          <t>1987-10-05</t>
        </is>
      </c>
      <c r="K1653" t="inlineStr">
        <is>
          <t>ACTIVE</t>
        </is>
      </c>
      <c r="L1653" t="inlineStr">
        <is>
          <t>D</t>
        </is>
      </c>
      <c r="M1653" t="inlineStr">
        <is>
          <t>636 VINE AVE NE</t>
        </is>
      </c>
      <c r="N1653">
        <f>RIGHT(M1653,LEN(M1653)-FIND(" ",M1653))</f>
        <v/>
      </c>
      <c r="P1653" t="inlineStr">
        <is>
          <t>WARREN</t>
        </is>
      </c>
      <c r="Q1653" t="inlineStr">
        <is>
          <t>OH</t>
        </is>
      </c>
      <c r="R1653" t="n">
        <v>44483</v>
      </c>
      <c r="AD1653" t="inlineStr">
        <is>
          <t>TRUMBULL CAREER &amp; TECH CENTER</t>
        </is>
      </c>
      <c r="AE1653" t="inlineStr">
        <is>
          <t>WARREN CITY</t>
        </is>
      </c>
      <c r="AF1653" t="inlineStr">
        <is>
          <t>WARREN CITY SD</t>
        </is>
      </c>
      <c r="AH1653" t="n">
        <v>14</v>
      </c>
      <c r="AI1653" t="n">
        <v>11</v>
      </c>
      <c r="AN1653" t="inlineStr">
        <is>
          <t>WARREN</t>
        </is>
      </c>
      <c r="AO1653" t="inlineStr">
        <is>
          <t>WARREN CITY 4D</t>
        </is>
      </c>
      <c r="AP1653" t="inlineStr">
        <is>
          <t>78-P-ADL</t>
        </is>
      </c>
      <c r="AQ1653" t="n">
        <v>9</v>
      </c>
      <c r="AR1653" t="n">
        <v>64</v>
      </c>
      <c r="AS1653" t="n">
        <v>32</v>
      </c>
      <c r="AU1653">
        <f>COUNTA($BA$1653:$EH$1653)</f>
        <v/>
      </c>
      <c r="AV1653">
        <f>COUNTIF($BA$1653:$EH$1653,"D")</f>
        <v/>
      </c>
      <c r="AW1653">
        <f>COUNTIF($BA$1653:$EH$1653,"R")</f>
        <v/>
      </c>
      <c r="AX1653">
        <f>IF(BN1653="D",1,0)+IF(BO1653="D",1,0)+IF(BT1653="D",1,0)+IF(BU1653="D",1,0)+IF(BW1653="D",1,0)+IF(CC1653="D",1,0)+IF(CD1653="D",1,0)+IF(CE1653="D",1,0)+IF(CF1653="D",1,0)+IF(CL1653="D",1,0)+IF(CM1653="D",1,0)+IF(CQ1653="D",1,0)+IF(CR1653="D",1,0)+IF(CS1653="D",1,0)+IF(CW1653="D",1,0)+IF(CX1653="D",1,0)+IF(DD1653="D",1,0)+IF(DE1653="D",1,0)+IF(DJ1653="D",1,0)+IF(DK1653="D",1,0)+IF(DO1653="D",1,0)+IF(DP1653="D",1,0)+IF(DQ1653="D",1,0)+IF(DW1653="D",1,0)+IF(DZ1653="D",1,0)+IF(EH1653="D",1,0)</f>
        <v/>
      </c>
      <c r="AY1653">
        <f>IF(DJ1653&lt;&gt;"",1,0)+IF(DK1653&lt;&gt;"",1,0)+IF(DM1653&lt;&gt;"",1,0)+IF(DO1653&lt;&gt;"",1,0)+IF(DP1653&lt;&gt;"",1,0)+IF(DQ1653&lt;&gt;"",1,0)+IF(DS1653&lt;&gt;"",1,0)+IF(DT1653&lt;&gt;"",1,0)+IF(DV1653&lt;&gt;"",1,0)+IF(DW1653&lt;&gt;"",1,0)+IF(DX1653&lt;&gt;"",1,0)+IF(DY1653&lt;&gt;"",1,0)+IF(DZ1653&lt;&gt;"",1,0)+IF(EB1653&lt;&gt;"",1,0)+IF(EC1653&lt;&gt;"",1,0)+IF(ED1653&lt;&gt;"",1,0)+IF(EG1653&lt;&gt;"",1,0)+IF(EH1653&lt;&gt;"",1,0)</f>
        <v/>
      </c>
      <c r="AZ1653">
        <f>IF(EH1653&lt;&gt;"",1,0)</f>
        <v/>
      </c>
      <c r="BB1653" t="inlineStr">
        <is>
          <t>WARREN-WARD 4</t>
        </is>
      </c>
      <c r="BC1653" t="inlineStr">
        <is>
          <t>X</t>
        </is>
      </c>
      <c r="BD1653" t="inlineStr">
        <is>
          <t>X</t>
        </is>
      </c>
      <c r="BF1653" t="inlineStr">
        <is>
          <t>X</t>
        </is>
      </c>
      <c r="BG1653" t="inlineStr">
        <is>
          <t>X</t>
        </is>
      </c>
      <c r="BH1653" t="inlineStr">
        <is>
          <t>X</t>
        </is>
      </c>
      <c r="BI1653" t="inlineStr">
        <is>
          <t>X</t>
        </is>
      </c>
      <c r="BJ1653" t="inlineStr">
        <is>
          <t>X</t>
        </is>
      </c>
      <c r="BK1653" t="inlineStr">
        <is>
          <t>X</t>
        </is>
      </c>
      <c r="BL1653" t="inlineStr">
        <is>
          <t>X</t>
        </is>
      </c>
      <c r="BP1653" t="inlineStr">
        <is>
          <t>X</t>
        </is>
      </c>
      <c r="BR1653" t="inlineStr">
        <is>
          <t>X</t>
        </is>
      </c>
      <c r="BS1653" t="inlineStr">
        <is>
          <t>X</t>
        </is>
      </c>
      <c r="BT1653" t="inlineStr">
        <is>
          <t>X</t>
        </is>
      </c>
      <c r="BV1653" t="inlineStr">
        <is>
          <t>X</t>
        </is>
      </c>
      <c r="BY1653" t="inlineStr">
        <is>
          <t>D</t>
        </is>
      </c>
      <c r="CA1653" t="inlineStr">
        <is>
          <t>X</t>
        </is>
      </c>
      <c r="CG1653" t="inlineStr">
        <is>
          <t>X</t>
        </is>
      </c>
      <c r="CK1653" t="inlineStr">
        <is>
          <t>X</t>
        </is>
      </c>
      <c r="CL1653" t="inlineStr">
        <is>
          <t>D</t>
        </is>
      </c>
      <c r="CN1653" t="inlineStr">
        <is>
          <t>X</t>
        </is>
      </c>
      <c r="CO1653" t="inlineStr">
        <is>
          <t>D</t>
        </is>
      </c>
      <c r="CP1653" t="inlineStr">
        <is>
          <t>X</t>
        </is>
      </c>
      <c r="CT1653" t="inlineStr">
        <is>
          <t>X</t>
        </is>
      </c>
      <c r="CV1653" t="inlineStr">
        <is>
          <t>X</t>
        </is>
      </c>
      <c r="CW1653" t="inlineStr">
        <is>
          <t>D</t>
        </is>
      </c>
      <c r="CY1653" t="inlineStr">
        <is>
          <t>X</t>
        </is>
      </c>
      <c r="CZ1653" t="inlineStr">
        <is>
          <t>D</t>
        </is>
      </c>
      <c r="DC1653" t="inlineStr">
        <is>
          <t>X</t>
        </is>
      </c>
      <c r="DF1653" t="inlineStr">
        <is>
          <t>X</t>
        </is>
      </c>
      <c r="DG1653" t="inlineStr">
        <is>
          <t>D</t>
        </is>
      </c>
      <c r="DI1653" t="inlineStr">
        <is>
          <t>X</t>
        </is>
      </c>
      <c r="DJ1653" t="inlineStr">
        <is>
          <t>D</t>
        </is>
      </c>
      <c r="DL1653" t="inlineStr">
        <is>
          <t>X</t>
        </is>
      </c>
      <c r="DM1653" t="inlineStr">
        <is>
          <t>D</t>
        </is>
      </c>
      <c r="DN1653" t="inlineStr">
        <is>
          <t>X</t>
        </is>
      </c>
      <c r="DU1653" t="inlineStr">
        <is>
          <t>X</t>
        </is>
      </c>
      <c r="DW1653" t="inlineStr">
        <is>
          <t>D</t>
        </is>
      </c>
      <c r="EF1653" t="inlineStr">
        <is>
          <t>X</t>
        </is>
      </c>
    </row>
    <row r="1654">
      <c r="A1654" t="inlineStr">
        <is>
          <t>OH0015755293</t>
        </is>
      </c>
      <c r="B1654" t="n">
        <v>78</v>
      </c>
      <c r="C1654" t="n">
        <v>242122</v>
      </c>
      <c r="D1654" t="inlineStr">
        <is>
          <t>CARBY</t>
        </is>
      </c>
      <c r="E1654" t="inlineStr">
        <is>
          <t>JOSEPH</t>
        </is>
      </c>
      <c r="F1654">
        <f>CONCATENATE(D1654," ",LEFT(H1654,4),"T=",AU1654,"D=",AV1654,"R=",AW1654,"M=",AX1654,"L=",AY1654,"B=",AZ1654)</f>
        <v/>
      </c>
      <c r="G1654" t="inlineStr">
        <is>
          <t>J</t>
        </is>
      </c>
      <c r="I1654" t="inlineStr">
        <is>
          <t>1960-09-07</t>
        </is>
      </c>
      <c r="J1654" t="inlineStr">
        <is>
          <t>2022-04-07</t>
        </is>
      </c>
      <c r="K1654" t="inlineStr">
        <is>
          <t>ACTIVE</t>
        </is>
      </c>
      <c r="L1654" t="inlineStr">
        <is>
          <t>D</t>
        </is>
      </c>
      <c r="M1654" t="inlineStr">
        <is>
          <t>453 LAIRD AVE NE</t>
        </is>
      </c>
      <c r="N1654">
        <f>RIGHT(M1654,LEN(M1654)-FIND(" ",M1654))</f>
        <v/>
      </c>
      <c r="P1654" t="inlineStr">
        <is>
          <t>WARREN</t>
        </is>
      </c>
      <c r="Q1654" t="inlineStr">
        <is>
          <t>OH</t>
        </is>
      </c>
      <c r="R1654" t="n">
        <v>44483</v>
      </c>
      <c r="AD1654" t="inlineStr">
        <is>
          <t>TRUMBULL CAREER &amp; TECH CENTER</t>
        </is>
      </c>
      <c r="AE1654" t="inlineStr">
        <is>
          <t>WARREN CITY</t>
        </is>
      </c>
      <c r="AF1654" t="inlineStr">
        <is>
          <t>WARREN CITY SD</t>
        </is>
      </c>
      <c r="AH1654" t="n">
        <v>14</v>
      </c>
      <c r="AI1654" t="n">
        <v>11</v>
      </c>
      <c r="AN1654" t="inlineStr">
        <is>
          <t>WARREN</t>
        </is>
      </c>
      <c r="AO1654" t="inlineStr">
        <is>
          <t>WARREN CITY 4D</t>
        </is>
      </c>
      <c r="AP1654" t="inlineStr">
        <is>
          <t>78-P-ADL</t>
        </is>
      </c>
      <c r="AQ1654" t="n">
        <v>9</v>
      </c>
      <c r="AR1654" t="n">
        <v>64</v>
      </c>
      <c r="AS1654" t="n">
        <v>32</v>
      </c>
      <c r="AU1654">
        <f>COUNTA($BA$1654:$EH$1654)</f>
        <v/>
      </c>
      <c r="AV1654">
        <f>COUNTIF($BA$1654:$EH$1654,"D")</f>
        <v/>
      </c>
      <c r="AW1654">
        <f>COUNTIF($BA$1654:$EH$1654,"R")</f>
        <v/>
      </c>
      <c r="AX1654">
        <f>IF(BN1654="D",1,0)+IF(BO1654="D",1,0)+IF(BT1654="D",1,0)+IF(BU1654="D",1,0)+IF(BW1654="D",1,0)+IF(CC1654="D",1,0)+IF(CD1654="D",1,0)+IF(CE1654="D",1,0)+IF(CF1654="D",1,0)+IF(CL1654="D",1,0)+IF(CM1654="D",1,0)+IF(CQ1654="D",1,0)+IF(CR1654="D",1,0)+IF(CS1654="D",1,0)+IF(CW1654="D",1,0)+IF(CX1654="D",1,0)+IF(DD1654="D",1,0)+IF(DE1654="D",1,0)+IF(DJ1654="D",1,0)+IF(DK1654="D",1,0)+IF(DO1654="D",1,0)+IF(DP1654="D",1,0)+IF(DQ1654="D",1,0)+IF(DW1654="D",1,0)+IF(DZ1654="D",1,0)+IF(EH1654="D",1,0)</f>
        <v/>
      </c>
      <c r="AY1654">
        <f>IF(DJ1654&lt;&gt;"",1,0)+IF(DK1654&lt;&gt;"",1,0)+IF(DM1654&lt;&gt;"",1,0)+IF(DO1654&lt;&gt;"",1,0)+IF(DP1654&lt;&gt;"",1,0)+IF(DQ1654&lt;&gt;"",1,0)+IF(DS1654&lt;&gt;"",1,0)+IF(DT1654&lt;&gt;"",1,0)+IF(DV1654&lt;&gt;"",1,0)+IF(DW1654&lt;&gt;"",1,0)+IF(DX1654&lt;&gt;"",1,0)+IF(DY1654&lt;&gt;"",1,0)+IF(DZ1654&lt;&gt;"",1,0)+IF(EB1654&lt;&gt;"",1,0)+IF(EC1654&lt;&gt;"",1,0)+IF(ED1654&lt;&gt;"",1,0)+IF(EG1654&lt;&gt;"",1,0)+IF(EH1654&lt;&gt;"",1,0)</f>
        <v/>
      </c>
      <c r="AZ1654">
        <f>IF(EH1654&lt;&gt;"",1,0)</f>
        <v/>
      </c>
      <c r="BB1654" t="inlineStr">
        <is>
          <t>WARREN-WARD 4</t>
        </is>
      </c>
      <c r="BC1654" t="inlineStr">
        <is>
          <t>X</t>
        </is>
      </c>
      <c r="BD1654" t="inlineStr">
        <is>
          <t>X</t>
        </is>
      </c>
      <c r="BH1654" t="inlineStr">
        <is>
          <t>X</t>
        </is>
      </c>
      <c r="BJ1654" t="inlineStr">
        <is>
          <t>X</t>
        </is>
      </c>
      <c r="BK1654" t="inlineStr">
        <is>
          <t>X</t>
        </is>
      </c>
      <c r="BL1654" t="inlineStr">
        <is>
          <t>X</t>
        </is>
      </c>
      <c r="BS1654" t="inlineStr">
        <is>
          <t>X</t>
        </is>
      </c>
      <c r="BY1654" t="inlineStr">
        <is>
          <t>D</t>
        </is>
      </c>
      <c r="CA1654" t="inlineStr">
        <is>
          <t>X</t>
        </is>
      </c>
      <c r="CN1654" t="inlineStr">
        <is>
          <t>X</t>
        </is>
      </c>
      <c r="CP1654" t="inlineStr">
        <is>
          <t>X</t>
        </is>
      </c>
      <c r="DC1654" t="inlineStr">
        <is>
          <t>X</t>
        </is>
      </c>
      <c r="DI1654" t="inlineStr">
        <is>
          <t>X</t>
        </is>
      </c>
      <c r="DN1654" t="inlineStr">
        <is>
          <t>X</t>
        </is>
      </c>
      <c r="DS1654" t="inlineStr">
        <is>
          <t>D</t>
        </is>
      </c>
      <c r="DT1654" t="inlineStr">
        <is>
          <t>D</t>
        </is>
      </c>
      <c r="DU1654" t="inlineStr">
        <is>
          <t>X</t>
        </is>
      </c>
      <c r="DX1654" t="inlineStr">
        <is>
          <t>X</t>
        </is>
      </c>
      <c r="EA1654" t="inlineStr">
        <is>
          <t>X</t>
        </is>
      </c>
      <c r="EF1654" t="inlineStr">
        <is>
          <t>X</t>
        </is>
      </c>
    </row>
    <row r="1655">
      <c r="A1655" t="inlineStr">
        <is>
          <t>OH0027584335</t>
        </is>
      </c>
      <c r="B1655" t="n">
        <v>78</v>
      </c>
      <c r="C1655" t="n">
        <v>488825</v>
      </c>
      <c r="D1655" t="inlineStr">
        <is>
          <t>DELOACH</t>
        </is>
      </c>
      <c r="E1655" t="inlineStr">
        <is>
          <t>JEROME</t>
        </is>
      </c>
      <c r="F1655">
        <f>CONCATENATE(D1655," ",LEFT(H1655,4),"T=",AU1655,"D=",AV1655,"R=",AW1655,"M=",AX1655,"L=",AY1655,"B=",AZ1655)</f>
        <v/>
      </c>
      <c r="I1655" t="inlineStr">
        <is>
          <t>1961-06-23</t>
        </is>
      </c>
      <c r="J1655" t="inlineStr">
        <is>
          <t>2024-08-26</t>
        </is>
      </c>
      <c r="K1655" t="inlineStr">
        <is>
          <t>ACTIVE</t>
        </is>
      </c>
      <c r="M1655" t="inlineStr">
        <is>
          <t>437 LAIRD AVE NE</t>
        </is>
      </c>
      <c r="N1655">
        <f>RIGHT(M1655,LEN(M1655)-FIND(" ",M1655))</f>
        <v/>
      </c>
      <c r="P1655" t="inlineStr">
        <is>
          <t>WARREN</t>
        </is>
      </c>
      <c r="Q1655" t="inlineStr">
        <is>
          <t>OH</t>
        </is>
      </c>
      <c r="R1655" t="n">
        <v>44483</v>
      </c>
      <c r="AD1655" t="inlineStr">
        <is>
          <t>TRUMBULL CAREER &amp; TECH CENTER</t>
        </is>
      </c>
      <c r="AE1655" t="inlineStr">
        <is>
          <t>WARREN CITY</t>
        </is>
      </c>
      <c r="AF1655" t="inlineStr">
        <is>
          <t>WARREN CITY SD</t>
        </is>
      </c>
      <c r="AH1655" t="n">
        <v>14</v>
      </c>
      <c r="AI1655" t="n">
        <v>11</v>
      </c>
      <c r="AN1655" t="inlineStr">
        <is>
          <t>WARREN</t>
        </is>
      </c>
      <c r="AO1655" t="inlineStr">
        <is>
          <t>WARREN CITY 4D</t>
        </is>
      </c>
      <c r="AP1655" t="inlineStr">
        <is>
          <t>78-P-ADL</t>
        </is>
      </c>
      <c r="AQ1655" t="n">
        <v>9</v>
      </c>
      <c r="AR1655" t="n">
        <v>64</v>
      </c>
      <c r="AS1655" t="n">
        <v>32</v>
      </c>
      <c r="AU1655">
        <f>COUNTA($BA$1655:$EH$1655)</f>
        <v/>
      </c>
      <c r="AV1655">
        <f>COUNTIF($BA$1655:$EH$1655,"D")</f>
        <v/>
      </c>
      <c r="AW1655">
        <f>COUNTIF($BA$1655:$EH$1655,"R")</f>
        <v/>
      </c>
      <c r="AX1655">
        <f>IF(BN1655="D",1,0)+IF(BO1655="D",1,0)+IF(BT1655="D",1,0)+IF(BU1655="D",1,0)+IF(BW1655="D",1,0)+IF(CC1655="D",1,0)+IF(CD1655="D",1,0)+IF(CE1655="D",1,0)+IF(CF1655="D",1,0)+IF(CL1655="D",1,0)+IF(CM1655="D",1,0)+IF(CQ1655="D",1,0)+IF(CR1655="D",1,0)+IF(CS1655="D",1,0)+IF(CW1655="D",1,0)+IF(CX1655="D",1,0)+IF(DD1655="D",1,0)+IF(DE1655="D",1,0)+IF(DJ1655="D",1,0)+IF(DK1655="D",1,0)+IF(DO1655="D",1,0)+IF(DP1655="D",1,0)+IF(DQ1655="D",1,0)+IF(DW1655="D",1,0)+IF(DZ1655="D",1,0)+IF(EH1655="D",1,0)</f>
        <v/>
      </c>
      <c r="AY1655">
        <f>IF(DJ1655&lt;&gt;"",1,0)+IF(DK1655&lt;&gt;"",1,0)+IF(DM1655&lt;&gt;"",1,0)+IF(DO1655&lt;&gt;"",1,0)+IF(DP1655&lt;&gt;"",1,0)+IF(DQ1655&lt;&gt;"",1,0)+IF(DS1655&lt;&gt;"",1,0)+IF(DT1655&lt;&gt;"",1,0)+IF(DV1655&lt;&gt;"",1,0)+IF(DW1655&lt;&gt;"",1,0)+IF(DX1655&lt;&gt;"",1,0)+IF(DY1655&lt;&gt;"",1,0)+IF(DZ1655&lt;&gt;"",1,0)+IF(EB1655&lt;&gt;"",1,0)+IF(EC1655&lt;&gt;"",1,0)+IF(ED1655&lt;&gt;"",1,0)+IF(EG1655&lt;&gt;"",1,0)+IF(EH1655&lt;&gt;"",1,0)</f>
        <v/>
      </c>
      <c r="AZ1655">
        <f>IF(EH1655&lt;&gt;"",1,0)</f>
        <v/>
      </c>
      <c r="BB1655" t="inlineStr">
        <is>
          <t>WARREN-WARD 4</t>
        </is>
      </c>
      <c r="CA1655" t="inlineStr">
        <is>
          <t>X</t>
        </is>
      </c>
      <c r="EF1655" t="inlineStr">
        <is>
          <t>X</t>
        </is>
      </c>
    </row>
    <row r="1656">
      <c r="A1656" t="inlineStr">
        <is>
          <t>OH0027584432</t>
        </is>
      </c>
      <c r="B1656" t="n">
        <v>78</v>
      </c>
      <c r="C1656" t="n">
        <v>488827</v>
      </c>
      <c r="D1656" t="inlineStr">
        <is>
          <t>HUEY</t>
        </is>
      </c>
      <c r="E1656" t="inlineStr">
        <is>
          <t>JASON</t>
        </is>
      </c>
      <c r="F1656">
        <f>CONCATENATE(D1656," ",LEFT(H1656,4),"T=",AU1656,"D=",AV1656,"R=",AW1656,"M=",AX1656,"L=",AY1656,"B=",AZ1656)</f>
        <v/>
      </c>
      <c r="G1656" t="inlineStr">
        <is>
          <t>TAYLOR</t>
        </is>
      </c>
      <c r="I1656" t="inlineStr">
        <is>
          <t>1989-08-11</t>
        </is>
      </c>
      <c r="J1656" t="inlineStr">
        <is>
          <t>2024-09-04</t>
        </is>
      </c>
      <c r="K1656" t="inlineStr">
        <is>
          <t>ACTIVE</t>
        </is>
      </c>
      <c r="M1656" t="inlineStr">
        <is>
          <t>194 LINDEN AVE SE</t>
        </is>
      </c>
      <c r="N1656">
        <f>RIGHT(M1656,LEN(M1656)-FIND(" ",M1656))</f>
        <v/>
      </c>
      <c r="P1656" t="inlineStr">
        <is>
          <t>WARREN</t>
        </is>
      </c>
      <c r="Q1656" t="inlineStr">
        <is>
          <t>OH</t>
        </is>
      </c>
      <c r="R1656" t="n">
        <v>44483</v>
      </c>
      <c r="AD1656" t="inlineStr">
        <is>
          <t>TRUMBULL CAREER &amp; TECH CENTER</t>
        </is>
      </c>
      <c r="AE1656" t="inlineStr">
        <is>
          <t>WARREN CITY</t>
        </is>
      </c>
      <c r="AF1656" t="inlineStr">
        <is>
          <t>WARREN CITY SD</t>
        </is>
      </c>
      <c r="AH1656" t="n">
        <v>14</v>
      </c>
      <c r="AI1656" t="n">
        <v>11</v>
      </c>
      <c r="AN1656" t="inlineStr">
        <is>
          <t>WARREN</t>
        </is>
      </c>
      <c r="AO1656" t="inlineStr">
        <is>
          <t>WARREN CITY 4D</t>
        </is>
      </c>
      <c r="AP1656" t="inlineStr">
        <is>
          <t>78-P-ADL</t>
        </is>
      </c>
      <c r="AQ1656" t="n">
        <v>9</v>
      </c>
      <c r="AR1656" t="n">
        <v>64</v>
      </c>
      <c r="AS1656" t="n">
        <v>32</v>
      </c>
      <c r="AU1656">
        <f>COUNTA($BA$1656:$EH$1656)</f>
        <v/>
      </c>
      <c r="AV1656">
        <f>COUNTIF($BA$1656:$EH$1656,"D")</f>
        <v/>
      </c>
      <c r="AW1656">
        <f>COUNTIF($BA$1656:$EH$1656,"R")</f>
        <v/>
      </c>
      <c r="AX1656">
        <f>IF(BN1656="D",1,0)+IF(BO1656="D",1,0)+IF(BT1656="D",1,0)+IF(BU1656="D",1,0)+IF(BW1656="D",1,0)+IF(CC1656="D",1,0)+IF(CD1656="D",1,0)+IF(CE1656="D",1,0)+IF(CF1656="D",1,0)+IF(CL1656="D",1,0)+IF(CM1656="D",1,0)+IF(CQ1656="D",1,0)+IF(CR1656="D",1,0)+IF(CS1656="D",1,0)+IF(CW1656="D",1,0)+IF(CX1656="D",1,0)+IF(DD1656="D",1,0)+IF(DE1656="D",1,0)+IF(DJ1656="D",1,0)+IF(DK1656="D",1,0)+IF(DO1656="D",1,0)+IF(DP1656="D",1,0)+IF(DQ1656="D",1,0)+IF(DW1656="D",1,0)+IF(DZ1656="D",1,0)+IF(EH1656="D",1,0)</f>
        <v/>
      </c>
      <c r="AY1656">
        <f>IF(DJ1656&lt;&gt;"",1,0)+IF(DK1656&lt;&gt;"",1,0)+IF(DM1656&lt;&gt;"",1,0)+IF(DO1656&lt;&gt;"",1,0)+IF(DP1656&lt;&gt;"",1,0)+IF(DQ1656&lt;&gt;"",1,0)+IF(DS1656&lt;&gt;"",1,0)+IF(DT1656&lt;&gt;"",1,0)+IF(DV1656&lt;&gt;"",1,0)+IF(DW1656&lt;&gt;"",1,0)+IF(DX1656&lt;&gt;"",1,0)+IF(DY1656&lt;&gt;"",1,0)+IF(DZ1656&lt;&gt;"",1,0)+IF(EB1656&lt;&gt;"",1,0)+IF(EC1656&lt;&gt;"",1,0)+IF(ED1656&lt;&gt;"",1,0)+IF(EG1656&lt;&gt;"",1,0)+IF(EH1656&lt;&gt;"",1,0)</f>
        <v/>
      </c>
      <c r="AZ1656">
        <f>IF(EH1656&lt;&gt;"",1,0)</f>
        <v/>
      </c>
      <c r="BB1656" t="inlineStr">
        <is>
          <t>WARREN-WARD 4</t>
        </is>
      </c>
    </row>
    <row r="1657">
      <c r="A1657" t="inlineStr">
        <is>
          <t>OH0027415430</t>
        </is>
      </c>
      <c r="B1657" t="n">
        <v>78</v>
      </c>
      <c r="C1657" t="n">
        <v>485807</v>
      </c>
      <c r="D1657" t="inlineStr">
        <is>
          <t>BAEHR</t>
        </is>
      </c>
      <c r="E1657" t="inlineStr">
        <is>
          <t>ROY</t>
        </is>
      </c>
      <c r="F1657">
        <f>CONCATENATE(D1657," ",LEFT(H1657,4),"T=",AU1657,"D=",AV1657,"R=",AW1657,"M=",AX1657,"L=",AY1657,"B=",AZ1657)</f>
        <v/>
      </c>
      <c r="G1657" t="inlineStr">
        <is>
          <t>MALCOLM</t>
        </is>
      </c>
      <c r="I1657" t="inlineStr">
        <is>
          <t>1973-06-05</t>
        </is>
      </c>
      <c r="J1657" t="inlineStr">
        <is>
          <t>2024-09-12</t>
        </is>
      </c>
      <c r="K1657" t="inlineStr">
        <is>
          <t>ACTIVE</t>
        </is>
      </c>
      <c r="M1657" t="inlineStr">
        <is>
          <t>200 WASHINGTON ST NE</t>
        </is>
      </c>
      <c r="N1657">
        <f>RIGHT(M1657,LEN(M1657)-FIND(" ",M1657))</f>
        <v/>
      </c>
      <c r="O1657" t="inlineStr">
        <is>
          <t>APT 6</t>
        </is>
      </c>
      <c r="P1657" t="inlineStr">
        <is>
          <t>WARREN</t>
        </is>
      </c>
      <c r="Q1657" t="inlineStr">
        <is>
          <t>OH</t>
        </is>
      </c>
      <c r="R1657" t="n">
        <v>44483</v>
      </c>
      <c r="AD1657" t="inlineStr">
        <is>
          <t>TRUMBULL CAREER &amp; TECH CENTER</t>
        </is>
      </c>
      <c r="AE1657" t="inlineStr">
        <is>
          <t>WARREN CITY</t>
        </is>
      </c>
      <c r="AF1657" t="inlineStr">
        <is>
          <t>WARREN CITY SD</t>
        </is>
      </c>
      <c r="AH1657" t="n">
        <v>14</v>
      </c>
      <c r="AI1657" t="n">
        <v>11</v>
      </c>
      <c r="AN1657" t="inlineStr">
        <is>
          <t>WARREN</t>
        </is>
      </c>
      <c r="AO1657" t="inlineStr">
        <is>
          <t>WARREN CITY 4D</t>
        </is>
      </c>
      <c r="AP1657" t="inlineStr">
        <is>
          <t>78-P-ADL</t>
        </is>
      </c>
      <c r="AQ1657" t="n">
        <v>9</v>
      </c>
      <c r="AR1657" t="n">
        <v>64</v>
      </c>
      <c r="AS1657" t="n">
        <v>32</v>
      </c>
      <c r="AU1657">
        <f>COUNTA($BA$1657:$EH$1657)</f>
        <v/>
      </c>
      <c r="AV1657">
        <f>COUNTIF($BA$1657:$EH$1657,"D")</f>
        <v/>
      </c>
      <c r="AW1657">
        <f>COUNTIF($BA$1657:$EH$1657,"R")</f>
        <v/>
      </c>
      <c r="AX1657">
        <f>IF(BN1657="D",1,0)+IF(BO1657="D",1,0)+IF(BT1657="D",1,0)+IF(BU1657="D",1,0)+IF(BW1657="D",1,0)+IF(CC1657="D",1,0)+IF(CD1657="D",1,0)+IF(CE1657="D",1,0)+IF(CF1657="D",1,0)+IF(CL1657="D",1,0)+IF(CM1657="D",1,0)+IF(CQ1657="D",1,0)+IF(CR1657="D",1,0)+IF(CS1657="D",1,0)+IF(CW1657="D",1,0)+IF(CX1657="D",1,0)+IF(DD1657="D",1,0)+IF(DE1657="D",1,0)+IF(DJ1657="D",1,0)+IF(DK1657="D",1,0)+IF(DO1657="D",1,0)+IF(DP1657="D",1,0)+IF(DQ1657="D",1,0)+IF(DW1657="D",1,0)+IF(DZ1657="D",1,0)+IF(EH1657="D",1,0)</f>
        <v/>
      </c>
      <c r="AY1657">
        <f>IF(DJ1657&lt;&gt;"",1,0)+IF(DK1657&lt;&gt;"",1,0)+IF(DM1657&lt;&gt;"",1,0)+IF(DO1657&lt;&gt;"",1,0)+IF(DP1657&lt;&gt;"",1,0)+IF(DQ1657&lt;&gt;"",1,0)+IF(DS1657&lt;&gt;"",1,0)+IF(DT1657&lt;&gt;"",1,0)+IF(DV1657&lt;&gt;"",1,0)+IF(DW1657&lt;&gt;"",1,0)+IF(DX1657&lt;&gt;"",1,0)+IF(DY1657&lt;&gt;"",1,0)+IF(DZ1657&lt;&gt;"",1,0)+IF(EB1657&lt;&gt;"",1,0)+IF(EC1657&lt;&gt;"",1,0)+IF(ED1657&lt;&gt;"",1,0)+IF(EG1657&lt;&gt;"",1,0)+IF(EH1657&lt;&gt;"",1,0)</f>
        <v/>
      </c>
      <c r="AZ1657">
        <f>IF(EH1657&lt;&gt;"",1,0)</f>
        <v/>
      </c>
      <c r="BB1657" t="inlineStr">
        <is>
          <t>WARREN-WARD 4</t>
        </is>
      </c>
    </row>
    <row r="1658">
      <c r="A1658" t="inlineStr">
        <is>
          <t>OH0024444099</t>
        </is>
      </c>
      <c r="B1658" t="n">
        <v>78</v>
      </c>
      <c r="C1658" t="n">
        <v>423437</v>
      </c>
      <c r="D1658" t="inlineStr">
        <is>
          <t>WALLER HARRIS</t>
        </is>
      </c>
      <c r="E1658" t="inlineStr">
        <is>
          <t>ALECEHIA</t>
        </is>
      </c>
      <c r="F1658">
        <f>CONCATENATE(D1658," ",LEFT(H1658,4),"T=",AU1658,"D=",AV1658,"R=",AW1658,"M=",AX1658,"L=",AY1658,"B=",AZ1658)</f>
        <v/>
      </c>
      <c r="G1658" t="inlineStr">
        <is>
          <t>M</t>
        </is>
      </c>
      <c r="I1658" t="inlineStr">
        <is>
          <t>1991-10-30</t>
        </is>
      </c>
      <c r="J1658" t="inlineStr">
        <is>
          <t>2025-04-18</t>
        </is>
      </c>
      <c r="K1658" t="inlineStr">
        <is>
          <t>ACTIVE</t>
        </is>
      </c>
      <c r="M1658" t="inlineStr">
        <is>
          <t>223 LAIRD AVE NE</t>
        </is>
      </c>
      <c r="N1658">
        <f>RIGHT(M1658,LEN(M1658)-FIND(" ",M1658))</f>
        <v/>
      </c>
      <c r="P1658" t="inlineStr">
        <is>
          <t>WARREN</t>
        </is>
      </c>
      <c r="Q1658" t="inlineStr">
        <is>
          <t>OH</t>
        </is>
      </c>
      <c r="R1658" t="n">
        <v>44483</v>
      </c>
      <c r="AD1658" t="inlineStr">
        <is>
          <t>TRUMBULL CAREER &amp; TECH CENTER</t>
        </is>
      </c>
      <c r="AE1658" t="inlineStr">
        <is>
          <t>WARREN CITY</t>
        </is>
      </c>
      <c r="AF1658" t="inlineStr">
        <is>
          <t>WARREN CITY SD</t>
        </is>
      </c>
      <c r="AH1658" t="n">
        <v>14</v>
      </c>
      <c r="AI1658" t="n">
        <v>11</v>
      </c>
      <c r="AN1658" t="inlineStr">
        <is>
          <t>WARREN</t>
        </is>
      </c>
      <c r="AO1658" t="inlineStr">
        <is>
          <t>WARREN CITY 4D</t>
        </is>
      </c>
      <c r="AP1658" t="inlineStr">
        <is>
          <t>78-P-ADL</t>
        </is>
      </c>
      <c r="AQ1658" t="n">
        <v>9</v>
      </c>
      <c r="AR1658" t="n">
        <v>64</v>
      </c>
      <c r="AS1658" t="n">
        <v>32</v>
      </c>
      <c r="AU1658">
        <f>COUNTA($BA$1658:$EH$1658)</f>
        <v/>
      </c>
      <c r="AV1658">
        <f>COUNTIF($BA$1658:$EH$1658,"D")</f>
        <v/>
      </c>
      <c r="AW1658">
        <f>COUNTIF($BA$1658:$EH$1658,"R")</f>
        <v/>
      </c>
      <c r="AX1658">
        <f>IF(BN1658="D",1,0)+IF(BO1658="D",1,0)+IF(BT1658="D",1,0)+IF(BU1658="D",1,0)+IF(BW1658="D",1,0)+IF(CC1658="D",1,0)+IF(CD1658="D",1,0)+IF(CE1658="D",1,0)+IF(CF1658="D",1,0)+IF(CL1658="D",1,0)+IF(CM1658="D",1,0)+IF(CQ1658="D",1,0)+IF(CR1658="D",1,0)+IF(CS1658="D",1,0)+IF(CW1658="D",1,0)+IF(CX1658="D",1,0)+IF(DD1658="D",1,0)+IF(DE1658="D",1,0)+IF(DJ1658="D",1,0)+IF(DK1658="D",1,0)+IF(DO1658="D",1,0)+IF(DP1658="D",1,0)+IF(DQ1658="D",1,0)+IF(DW1658="D",1,0)+IF(DZ1658="D",1,0)+IF(EH1658="D",1,0)</f>
        <v/>
      </c>
      <c r="AY1658">
        <f>IF(DJ1658&lt;&gt;"",1,0)+IF(DK1658&lt;&gt;"",1,0)+IF(DM1658&lt;&gt;"",1,0)+IF(DO1658&lt;&gt;"",1,0)+IF(DP1658&lt;&gt;"",1,0)+IF(DQ1658&lt;&gt;"",1,0)+IF(DS1658&lt;&gt;"",1,0)+IF(DT1658&lt;&gt;"",1,0)+IF(DV1658&lt;&gt;"",1,0)+IF(DW1658&lt;&gt;"",1,0)+IF(DX1658&lt;&gt;"",1,0)+IF(DY1658&lt;&gt;"",1,0)+IF(DZ1658&lt;&gt;"",1,0)+IF(EB1658&lt;&gt;"",1,0)+IF(EC1658&lt;&gt;"",1,0)+IF(ED1658&lt;&gt;"",1,0)+IF(EG1658&lt;&gt;"",1,0)+IF(EH1658&lt;&gt;"",1,0)</f>
        <v/>
      </c>
      <c r="AZ1658">
        <f>IF(EH1658&lt;&gt;"",1,0)</f>
        <v/>
      </c>
      <c r="BB1658" t="inlineStr">
        <is>
          <t>WARREN-WARD 4</t>
        </is>
      </c>
      <c r="CP1658" t="inlineStr">
        <is>
          <t>X</t>
        </is>
      </c>
    </row>
    <row r="1659">
      <c r="A1659" t="inlineStr">
        <is>
          <t>OH0015769257</t>
        </is>
      </c>
      <c r="B1659" t="n">
        <v>78</v>
      </c>
      <c r="C1659" t="n">
        <v>289078</v>
      </c>
      <c r="D1659" t="inlineStr">
        <is>
          <t>DECESARE</t>
        </is>
      </c>
      <c r="E1659" t="inlineStr">
        <is>
          <t>AMANDA</t>
        </is>
      </c>
      <c r="F1659">
        <f>CONCATENATE(D1659," ",LEFT(H1659,4),"T=",AU1659,"D=",AV1659,"R=",AW1659,"M=",AX1659,"L=",AY1659,"B=",AZ1659)</f>
        <v/>
      </c>
      <c r="G1659" t="inlineStr">
        <is>
          <t>LEE</t>
        </is>
      </c>
      <c r="I1659" t="inlineStr">
        <is>
          <t>1981-05-01</t>
        </is>
      </c>
      <c r="J1659" t="inlineStr">
        <is>
          <t>2022-04-27</t>
        </is>
      </c>
      <c r="K1659" t="inlineStr">
        <is>
          <t>ACTIVE</t>
        </is>
      </c>
      <c r="M1659" t="inlineStr">
        <is>
          <t>367 HIGH ST NE</t>
        </is>
      </c>
      <c r="N1659">
        <f>RIGHT(M1659,LEN(M1659)-FIND(" ",M1659))</f>
        <v/>
      </c>
      <c r="O1659" t="inlineStr">
        <is>
          <t>APT 3</t>
        </is>
      </c>
      <c r="P1659" t="inlineStr">
        <is>
          <t>WARREN</t>
        </is>
      </c>
      <c r="Q1659" t="inlineStr">
        <is>
          <t>OH</t>
        </is>
      </c>
      <c r="R1659" t="n">
        <v>44481</v>
      </c>
      <c r="AD1659" t="inlineStr">
        <is>
          <t>TRUMBULL CAREER &amp; TECH CENTER</t>
        </is>
      </c>
      <c r="AE1659" t="inlineStr">
        <is>
          <t>WARREN CITY</t>
        </is>
      </c>
      <c r="AF1659" t="inlineStr">
        <is>
          <t>WARREN CITY SD</t>
        </is>
      </c>
      <c r="AH1659" t="n">
        <v>14</v>
      </c>
      <c r="AI1659" t="n">
        <v>11</v>
      </c>
      <c r="AN1659" t="inlineStr">
        <is>
          <t>WARREN</t>
        </is>
      </c>
      <c r="AO1659" t="inlineStr">
        <is>
          <t>WARREN CITY 4D</t>
        </is>
      </c>
      <c r="AP1659" t="inlineStr">
        <is>
          <t>78-P-ADL</t>
        </is>
      </c>
      <c r="AQ1659" t="n">
        <v>9</v>
      </c>
      <c r="AR1659" t="n">
        <v>64</v>
      </c>
      <c r="AS1659" t="n">
        <v>32</v>
      </c>
      <c r="AU1659">
        <f>COUNTA($BA$1659:$EH$1659)</f>
        <v/>
      </c>
      <c r="AV1659">
        <f>COUNTIF($BA$1659:$EH$1659,"D")</f>
        <v/>
      </c>
      <c r="AW1659">
        <f>COUNTIF($BA$1659:$EH$1659,"R")</f>
        <v/>
      </c>
      <c r="AX1659">
        <f>IF(BN1659="D",1,0)+IF(BO1659="D",1,0)+IF(BT1659="D",1,0)+IF(BU1659="D",1,0)+IF(BW1659="D",1,0)+IF(CC1659="D",1,0)+IF(CD1659="D",1,0)+IF(CE1659="D",1,0)+IF(CF1659="D",1,0)+IF(CL1659="D",1,0)+IF(CM1659="D",1,0)+IF(CQ1659="D",1,0)+IF(CR1659="D",1,0)+IF(CS1659="D",1,0)+IF(CW1659="D",1,0)+IF(CX1659="D",1,0)+IF(DD1659="D",1,0)+IF(DE1659="D",1,0)+IF(DJ1659="D",1,0)+IF(DK1659="D",1,0)+IF(DO1659="D",1,0)+IF(DP1659="D",1,0)+IF(DQ1659="D",1,0)+IF(DW1659="D",1,0)+IF(DZ1659="D",1,0)+IF(EH1659="D",1,0)</f>
        <v/>
      </c>
      <c r="AY1659">
        <f>IF(DJ1659&lt;&gt;"",1,0)+IF(DK1659&lt;&gt;"",1,0)+IF(DM1659&lt;&gt;"",1,0)+IF(DO1659&lt;&gt;"",1,0)+IF(DP1659&lt;&gt;"",1,0)+IF(DQ1659&lt;&gt;"",1,0)+IF(DS1659&lt;&gt;"",1,0)+IF(DT1659&lt;&gt;"",1,0)+IF(DV1659&lt;&gt;"",1,0)+IF(DW1659&lt;&gt;"",1,0)+IF(DX1659&lt;&gt;"",1,0)+IF(DY1659&lt;&gt;"",1,0)+IF(DZ1659&lt;&gt;"",1,0)+IF(EB1659&lt;&gt;"",1,0)+IF(EC1659&lt;&gt;"",1,0)+IF(ED1659&lt;&gt;"",1,0)+IF(EG1659&lt;&gt;"",1,0)+IF(EH1659&lt;&gt;"",1,0)</f>
        <v/>
      </c>
      <c r="AZ1659">
        <f>IF(EH1659&lt;&gt;"",1,0)</f>
        <v/>
      </c>
      <c r="BB1659" t="inlineStr">
        <is>
          <t>WARREN-WARD 4</t>
        </is>
      </c>
      <c r="BH1659" t="inlineStr">
        <is>
          <t>X</t>
        </is>
      </c>
      <c r="BL1659" t="inlineStr">
        <is>
          <t>X</t>
        </is>
      </c>
      <c r="CA1659" t="inlineStr">
        <is>
          <t>X</t>
        </is>
      </c>
      <c r="CN1659" t="inlineStr">
        <is>
          <t>X</t>
        </is>
      </c>
      <c r="DC1659" t="inlineStr">
        <is>
          <t>X</t>
        </is>
      </c>
      <c r="DD1659" t="inlineStr">
        <is>
          <t>D</t>
        </is>
      </c>
    </row>
    <row r="1660">
      <c r="A1660" t="inlineStr">
        <is>
          <t>OH0023533594</t>
        </is>
      </c>
      <c r="B1660" t="n">
        <v>78</v>
      </c>
      <c r="C1660" t="n">
        <v>414418</v>
      </c>
      <c r="D1660" t="inlineStr">
        <is>
          <t>STONE</t>
        </is>
      </c>
      <c r="E1660" t="inlineStr">
        <is>
          <t>HEATHER</t>
        </is>
      </c>
      <c r="F1660">
        <f>CONCATENATE(D1660," ",LEFT(H1660,4),"T=",AU1660,"D=",AV1660,"R=",AW1660,"M=",AX1660,"L=",AY1660,"B=",AZ1660)</f>
        <v/>
      </c>
      <c r="G1660" t="inlineStr">
        <is>
          <t>M</t>
        </is>
      </c>
      <c r="I1660" t="inlineStr">
        <is>
          <t>1986-05-23</t>
        </is>
      </c>
      <c r="J1660" t="inlineStr">
        <is>
          <t>2022-03-30</t>
        </is>
      </c>
      <c r="K1660" t="inlineStr">
        <is>
          <t>ACTIVE</t>
        </is>
      </c>
      <c r="M1660" t="inlineStr">
        <is>
          <t>201 HIGH ST NE</t>
        </is>
      </c>
      <c r="N1660">
        <f>RIGHT(M1660,LEN(M1660)-FIND(" ",M1660))</f>
        <v/>
      </c>
      <c r="P1660" t="inlineStr">
        <is>
          <t>WARREN</t>
        </is>
      </c>
      <c r="Q1660" t="inlineStr">
        <is>
          <t>OH</t>
        </is>
      </c>
      <c r="R1660" t="n">
        <v>44481</v>
      </c>
      <c r="AD1660" t="inlineStr">
        <is>
          <t>TRUMBULL CAREER &amp; TECH CENTER</t>
        </is>
      </c>
      <c r="AE1660" t="inlineStr">
        <is>
          <t>WARREN CITY</t>
        </is>
      </c>
      <c r="AF1660" t="inlineStr">
        <is>
          <t>WARREN CITY SD</t>
        </is>
      </c>
      <c r="AH1660" t="n">
        <v>14</v>
      </c>
      <c r="AI1660" t="n">
        <v>11</v>
      </c>
      <c r="AN1660" t="inlineStr">
        <is>
          <t>WARREN</t>
        </is>
      </c>
      <c r="AO1660" t="inlineStr">
        <is>
          <t>WARREN CITY 4D</t>
        </is>
      </c>
      <c r="AP1660" t="inlineStr">
        <is>
          <t>78-P-ADL</t>
        </is>
      </c>
      <c r="AQ1660" t="n">
        <v>9</v>
      </c>
      <c r="AR1660" t="n">
        <v>64</v>
      </c>
      <c r="AS1660" t="n">
        <v>32</v>
      </c>
      <c r="AU1660">
        <f>COUNTA($BA$1660:$EH$1660)</f>
        <v/>
      </c>
      <c r="AV1660">
        <f>COUNTIF($BA$1660:$EH$1660,"D")</f>
        <v/>
      </c>
      <c r="AW1660">
        <f>COUNTIF($BA$1660:$EH$1660,"R")</f>
        <v/>
      </c>
      <c r="AX1660">
        <f>IF(BN1660="D",1,0)+IF(BO1660="D",1,0)+IF(BT1660="D",1,0)+IF(BU1660="D",1,0)+IF(BW1660="D",1,0)+IF(CC1660="D",1,0)+IF(CD1660="D",1,0)+IF(CE1660="D",1,0)+IF(CF1660="D",1,0)+IF(CL1660="D",1,0)+IF(CM1660="D",1,0)+IF(CQ1660="D",1,0)+IF(CR1660="D",1,0)+IF(CS1660="D",1,0)+IF(CW1660="D",1,0)+IF(CX1660="D",1,0)+IF(DD1660="D",1,0)+IF(DE1660="D",1,0)+IF(DJ1660="D",1,0)+IF(DK1660="D",1,0)+IF(DO1660="D",1,0)+IF(DP1660="D",1,0)+IF(DQ1660="D",1,0)+IF(DW1660="D",1,0)+IF(DZ1660="D",1,0)+IF(EH1660="D",1,0)</f>
        <v/>
      </c>
      <c r="AY1660">
        <f>IF(DJ1660&lt;&gt;"",1,0)+IF(DK1660&lt;&gt;"",1,0)+IF(DM1660&lt;&gt;"",1,0)+IF(DO1660&lt;&gt;"",1,0)+IF(DP1660&lt;&gt;"",1,0)+IF(DQ1660&lt;&gt;"",1,0)+IF(DS1660&lt;&gt;"",1,0)+IF(DT1660&lt;&gt;"",1,0)+IF(DV1660&lt;&gt;"",1,0)+IF(DW1660&lt;&gt;"",1,0)+IF(DX1660&lt;&gt;"",1,0)+IF(DY1660&lt;&gt;"",1,0)+IF(DZ1660&lt;&gt;"",1,0)+IF(EB1660&lt;&gt;"",1,0)+IF(EC1660&lt;&gt;"",1,0)+IF(ED1660&lt;&gt;"",1,0)+IF(EG1660&lt;&gt;"",1,0)+IF(EH1660&lt;&gt;"",1,0)</f>
        <v/>
      </c>
      <c r="AZ1660">
        <f>IF(EH1660&lt;&gt;"",1,0)</f>
        <v/>
      </c>
      <c r="BB1660" t="inlineStr">
        <is>
          <t>WARREN-WARD 4</t>
        </is>
      </c>
    </row>
    <row r="1661">
      <c r="A1661" t="inlineStr">
        <is>
          <t>OH0026519675</t>
        </is>
      </c>
      <c r="B1661" t="n">
        <v>78</v>
      </c>
      <c r="C1661" t="n">
        <v>463553</v>
      </c>
      <c r="D1661" t="inlineStr">
        <is>
          <t>RANDALL</t>
        </is>
      </c>
      <c r="E1661" t="inlineStr">
        <is>
          <t>LISA</t>
        </is>
      </c>
      <c r="F1661">
        <f>CONCATENATE(D1661," ",LEFT(H1661,4),"T=",AU1661,"D=",AV1661,"R=",AW1661,"M=",AX1661,"L=",AY1661,"B=",AZ1661)</f>
        <v/>
      </c>
      <c r="G1661" t="inlineStr">
        <is>
          <t>M</t>
        </is>
      </c>
      <c r="I1661" t="inlineStr">
        <is>
          <t>1966-02-28</t>
        </is>
      </c>
      <c r="J1661" t="inlineStr">
        <is>
          <t>2023-10-02</t>
        </is>
      </c>
      <c r="K1661" t="inlineStr">
        <is>
          <t>ACTIVE</t>
        </is>
      </c>
      <c r="M1661" t="inlineStr">
        <is>
          <t>598 HIGH ST NE</t>
        </is>
      </c>
      <c r="N1661">
        <f>RIGHT(M1661,LEN(M1661)-FIND(" ",M1661))</f>
        <v/>
      </c>
      <c r="P1661" t="inlineStr">
        <is>
          <t>WARREN</t>
        </is>
      </c>
      <c r="Q1661" t="inlineStr">
        <is>
          <t>OH</t>
        </is>
      </c>
      <c r="R1661" t="n">
        <v>44483</v>
      </c>
      <c r="AD1661" t="inlineStr">
        <is>
          <t>TRUMBULL CAREER &amp; TECH CENTER</t>
        </is>
      </c>
      <c r="AE1661" t="inlineStr">
        <is>
          <t>WARREN CITY</t>
        </is>
      </c>
      <c r="AF1661" t="inlineStr">
        <is>
          <t>WARREN CITY SD</t>
        </is>
      </c>
      <c r="AH1661" t="n">
        <v>14</v>
      </c>
      <c r="AI1661" t="n">
        <v>11</v>
      </c>
      <c r="AN1661" t="inlineStr">
        <is>
          <t>WARREN</t>
        </is>
      </c>
      <c r="AO1661" t="inlineStr">
        <is>
          <t>WARREN CITY 4D</t>
        </is>
      </c>
      <c r="AP1661" t="inlineStr">
        <is>
          <t>78-P-ADL</t>
        </is>
      </c>
      <c r="AQ1661" t="n">
        <v>9</v>
      </c>
      <c r="AR1661" t="n">
        <v>64</v>
      </c>
      <c r="AS1661" t="n">
        <v>32</v>
      </c>
      <c r="AU1661">
        <f>COUNTA($BA$1661:$EH$1661)</f>
        <v/>
      </c>
      <c r="AV1661">
        <f>COUNTIF($BA$1661:$EH$1661,"D")</f>
        <v/>
      </c>
      <c r="AW1661">
        <f>COUNTIF($BA$1661:$EH$1661,"R")</f>
        <v/>
      </c>
      <c r="AX1661">
        <f>IF(BN1661="D",1,0)+IF(BO1661="D",1,0)+IF(BT1661="D",1,0)+IF(BU1661="D",1,0)+IF(BW1661="D",1,0)+IF(CC1661="D",1,0)+IF(CD1661="D",1,0)+IF(CE1661="D",1,0)+IF(CF1661="D",1,0)+IF(CL1661="D",1,0)+IF(CM1661="D",1,0)+IF(CQ1661="D",1,0)+IF(CR1661="D",1,0)+IF(CS1661="D",1,0)+IF(CW1661="D",1,0)+IF(CX1661="D",1,0)+IF(DD1661="D",1,0)+IF(DE1661="D",1,0)+IF(DJ1661="D",1,0)+IF(DK1661="D",1,0)+IF(DO1661="D",1,0)+IF(DP1661="D",1,0)+IF(DQ1661="D",1,0)+IF(DW1661="D",1,0)+IF(DZ1661="D",1,0)+IF(EH1661="D",1,0)</f>
        <v/>
      </c>
      <c r="AY1661">
        <f>IF(DJ1661&lt;&gt;"",1,0)+IF(DK1661&lt;&gt;"",1,0)+IF(DM1661&lt;&gt;"",1,0)+IF(DO1661&lt;&gt;"",1,0)+IF(DP1661&lt;&gt;"",1,0)+IF(DQ1661&lt;&gt;"",1,0)+IF(DS1661&lt;&gt;"",1,0)+IF(DT1661&lt;&gt;"",1,0)+IF(DV1661&lt;&gt;"",1,0)+IF(DW1661&lt;&gt;"",1,0)+IF(DX1661&lt;&gt;"",1,0)+IF(DY1661&lt;&gt;"",1,0)+IF(DZ1661&lt;&gt;"",1,0)+IF(EB1661&lt;&gt;"",1,0)+IF(EC1661&lt;&gt;"",1,0)+IF(ED1661&lt;&gt;"",1,0)+IF(EG1661&lt;&gt;"",1,0)+IF(EH1661&lt;&gt;"",1,0)</f>
        <v/>
      </c>
      <c r="AZ1661">
        <f>IF(EH1661&lt;&gt;"",1,0)</f>
        <v/>
      </c>
      <c r="BB1661" t="inlineStr">
        <is>
          <t>WARREN-WARD 4</t>
        </is>
      </c>
      <c r="DN1661" t="inlineStr">
        <is>
          <t>X</t>
        </is>
      </c>
      <c r="EF1661" t="inlineStr">
        <is>
          <t>X</t>
        </is>
      </c>
    </row>
    <row r="1662">
      <c r="A1662" t="inlineStr">
        <is>
          <t>OH0024289066</t>
        </is>
      </c>
      <c r="B1662" t="n">
        <v>78</v>
      </c>
      <c r="C1662" t="n">
        <v>426189</v>
      </c>
      <c r="D1662" t="inlineStr">
        <is>
          <t>RUSSELL</t>
        </is>
      </c>
      <c r="E1662" t="inlineStr">
        <is>
          <t>EDWARD</t>
        </is>
      </c>
      <c r="F1662">
        <f>CONCATENATE(D1662," ",LEFT(H1662,4),"T=",AU1662,"D=",AV1662,"R=",AW1662,"M=",AX1662,"L=",AY1662,"B=",AZ1662)</f>
        <v/>
      </c>
      <c r="G1662" t="inlineStr">
        <is>
          <t>J</t>
        </is>
      </c>
      <c r="I1662" t="inlineStr">
        <is>
          <t>1960-10-29</t>
        </is>
      </c>
      <c r="J1662" t="inlineStr">
        <is>
          <t>2019-09-19</t>
        </is>
      </c>
      <c r="K1662" t="inlineStr">
        <is>
          <t>ACTIVE</t>
        </is>
      </c>
      <c r="L1662" t="inlineStr">
        <is>
          <t>D</t>
        </is>
      </c>
      <c r="M1662" t="inlineStr">
        <is>
          <t>1172 HARRISON ST NE</t>
        </is>
      </c>
      <c r="N1662">
        <f>RIGHT(M1662,LEN(M1662)-FIND(" ",M1662))</f>
        <v/>
      </c>
      <c r="P1662" t="inlineStr">
        <is>
          <t>WARREN</t>
        </is>
      </c>
      <c r="Q1662" t="inlineStr">
        <is>
          <t>OH</t>
        </is>
      </c>
      <c r="R1662" t="n">
        <v>44483</v>
      </c>
      <c r="AD1662" t="inlineStr">
        <is>
          <t>TRUMBULL CAREER &amp; TECH CENTER</t>
        </is>
      </c>
      <c r="AE1662" t="inlineStr">
        <is>
          <t>WARREN CITY</t>
        </is>
      </c>
      <c r="AF1662" t="inlineStr">
        <is>
          <t>WARREN CITY SD</t>
        </is>
      </c>
      <c r="AH1662" t="n">
        <v>14</v>
      </c>
      <c r="AI1662" t="n">
        <v>11</v>
      </c>
      <c r="AN1662" t="inlineStr">
        <is>
          <t>WARREN</t>
        </is>
      </c>
      <c r="AO1662" t="inlineStr">
        <is>
          <t>WARREN CITY 4D</t>
        </is>
      </c>
      <c r="AP1662" t="inlineStr">
        <is>
          <t>78-P-ADL</t>
        </is>
      </c>
      <c r="AQ1662" t="n">
        <v>9</v>
      </c>
      <c r="AR1662" t="n">
        <v>64</v>
      </c>
      <c r="AS1662" t="n">
        <v>32</v>
      </c>
      <c r="AU1662">
        <f>COUNTA($BA$1662:$EH$1662)</f>
        <v/>
      </c>
      <c r="AV1662">
        <f>COUNTIF($BA$1662:$EH$1662,"D")</f>
        <v/>
      </c>
      <c r="AW1662">
        <f>COUNTIF($BA$1662:$EH$1662,"R")</f>
        <v/>
      </c>
      <c r="AX1662">
        <f>IF(BN1662="D",1,0)+IF(BO1662="D",1,0)+IF(BT1662="D",1,0)+IF(BU1662="D",1,0)+IF(BW1662="D",1,0)+IF(CC1662="D",1,0)+IF(CD1662="D",1,0)+IF(CE1662="D",1,0)+IF(CF1662="D",1,0)+IF(CL1662="D",1,0)+IF(CM1662="D",1,0)+IF(CQ1662="D",1,0)+IF(CR1662="D",1,0)+IF(CS1662="D",1,0)+IF(CW1662="D",1,0)+IF(CX1662="D",1,0)+IF(DD1662="D",1,0)+IF(DE1662="D",1,0)+IF(DJ1662="D",1,0)+IF(DK1662="D",1,0)+IF(DO1662="D",1,0)+IF(DP1662="D",1,0)+IF(DQ1662="D",1,0)+IF(DW1662="D",1,0)+IF(DZ1662="D",1,0)+IF(EH1662="D",1,0)</f>
        <v/>
      </c>
      <c r="AY1662">
        <f>IF(DJ1662&lt;&gt;"",1,0)+IF(DK1662&lt;&gt;"",1,0)+IF(DM1662&lt;&gt;"",1,0)+IF(DO1662&lt;&gt;"",1,0)+IF(DP1662&lt;&gt;"",1,0)+IF(DQ1662&lt;&gt;"",1,0)+IF(DS1662&lt;&gt;"",1,0)+IF(DT1662&lt;&gt;"",1,0)+IF(DV1662&lt;&gt;"",1,0)+IF(DW1662&lt;&gt;"",1,0)+IF(DX1662&lt;&gt;"",1,0)+IF(DY1662&lt;&gt;"",1,0)+IF(DZ1662&lt;&gt;"",1,0)+IF(EB1662&lt;&gt;"",1,0)+IF(EC1662&lt;&gt;"",1,0)+IF(ED1662&lt;&gt;"",1,0)+IF(EG1662&lt;&gt;"",1,0)+IF(EH1662&lt;&gt;"",1,0)</f>
        <v/>
      </c>
      <c r="AZ1662">
        <f>IF(EH1662&lt;&gt;"",1,0)</f>
        <v/>
      </c>
      <c r="BB1662" t="inlineStr">
        <is>
          <t>WARREN-WARD 4</t>
        </is>
      </c>
      <c r="BD1662" t="inlineStr">
        <is>
          <t>X</t>
        </is>
      </c>
      <c r="CZ1662" t="inlineStr">
        <is>
          <t>R</t>
        </is>
      </c>
      <c r="DC1662" t="inlineStr">
        <is>
          <t>X</t>
        </is>
      </c>
      <c r="DI1662" t="inlineStr">
        <is>
          <t>X</t>
        </is>
      </c>
      <c r="DM1662" t="inlineStr">
        <is>
          <t>R</t>
        </is>
      </c>
      <c r="DN1662" t="inlineStr">
        <is>
          <t>X</t>
        </is>
      </c>
      <c r="DU1662" t="inlineStr">
        <is>
          <t>X</t>
        </is>
      </c>
      <c r="DW1662" t="inlineStr">
        <is>
          <t>D</t>
        </is>
      </c>
      <c r="DX1662" t="inlineStr">
        <is>
          <t>X</t>
        </is>
      </c>
      <c r="EA1662" t="inlineStr">
        <is>
          <t>X</t>
        </is>
      </c>
      <c r="EF1662" t="inlineStr">
        <is>
          <t>X</t>
        </is>
      </c>
    </row>
    <row r="1663">
      <c r="A1663" t="inlineStr">
        <is>
          <t>OH0026531805</t>
        </is>
      </c>
      <c r="B1663" t="n">
        <v>78</v>
      </c>
      <c r="C1663" t="n">
        <v>463876</v>
      </c>
      <c r="D1663" t="inlineStr">
        <is>
          <t>PENWELL</t>
        </is>
      </c>
      <c r="E1663" t="inlineStr">
        <is>
          <t>JESSICA</t>
        </is>
      </c>
      <c r="F1663">
        <f>CONCATENATE(D1663," ",LEFT(H1663,4),"T=",AU1663,"D=",AV1663,"R=",AW1663,"M=",AX1663,"L=",AY1663,"B=",AZ1663)</f>
        <v/>
      </c>
      <c r="G1663" t="inlineStr">
        <is>
          <t>MARIE</t>
        </is>
      </c>
      <c r="I1663" t="inlineStr">
        <is>
          <t>1992-08-24</t>
        </is>
      </c>
      <c r="J1663" t="inlineStr">
        <is>
          <t>2022-05-11</t>
        </is>
      </c>
      <c r="K1663" t="inlineStr">
        <is>
          <t>ACTIVE</t>
        </is>
      </c>
      <c r="M1663" t="inlineStr">
        <is>
          <t>124 LOGAN AVE NE</t>
        </is>
      </c>
      <c r="N1663">
        <f>RIGHT(M1663,LEN(M1663)-FIND(" ",M1663))</f>
        <v/>
      </c>
      <c r="P1663" t="inlineStr">
        <is>
          <t>WARREN</t>
        </is>
      </c>
      <c r="Q1663" t="inlineStr">
        <is>
          <t>OH</t>
        </is>
      </c>
      <c r="R1663" t="n">
        <v>44483</v>
      </c>
      <c r="AD1663" t="inlineStr">
        <is>
          <t>TRUMBULL CAREER &amp; TECH CENTER</t>
        </is>
      </c>
      <c r="AE1663" t="inlineStr">
        <is>
          <t>WARREN CITY</t>
        </is>
      </c>
      <c r="AF1663" t="inlineStr">
        <is>
          <t>WARREN CITY SD</t>
        </is>
      </c>
      <c r="AH1663" t="n">
        <v>14</v>
      </c>
      <c r="AI1663" t="n">
        <v>11</v>
      </c>
      <c r="AN1663" t="inlineStr">
        <is>
          <t>WARREN</t>
        </is>
      </c>
      <c r="AO1663" t="inlineStr">
        <is>
          <t>WARREN CITY 4D</t>
        </is>
      </c>
      <c r="AP1663" t="inlineStr">
        <is>
          <t>78-P-ADL</t>
        </is>
      </c>
      <c r="AQ1663" t="n">
        <v>9</v>
      </c>
      <c r="AR1663" t="n">
        <v>64</v>
      </c>
      <c r="AS1663" t="n">
        <v>32</v>
      </c>
      <c r="AU1663">
        <f>COUNTA($BA$1663:$EH$1663)</f>
        <v/>
      </c>
      <c r="AV1663">
        <f>COUNTIF($BA$1663:$EH$1663,"D")</f>
        <v/>
      </c>
      <c r="AW1663">
        <f>COUNTIF($BA$1663:$EH$1663,"R")</f>
        <v/>
      </c>
      <c r="AX1663">
        <f>IF(BN1663="D",1,0)+IF(BO1663="D",1,0)+IF(BT1663="D",1,0)+IF(BU1663="D",1,0)+IF(BW1663="D",1,0)+IF(CC1663="D",1,0)+IF(CD1663="D",1,0)+IF(CE1663="D",1,0)+IF(CF1663="D",1,0)+IF(CL1663="D",1,0)+IF(CM1663="D",1,0)+IF(CQ1663="D",1,0)+IF(CR1663="D",1,0)+IF(CS1663="D",1,0)+IF(CW1663="D",1,0)+IF(CX1663="D",1,0)+IF(DD1663="D",1,0)+IF(DE1663="D",1,0)+IF(DJ1663="D",1,0)+IF(DK1663="D",1,0)+IF(DO1663="D",1,0)+IF(DP1663="D",1,0)+IF(DQ1663="D",1,0)+IF(DW1663="D",1,0)+IF(DZ1663="D",1,0)+IF(EH1663="D",1,0)</f>
        <v/>
      </c>
      <c r="AY1663">
        <f>IF(DJ1663&lt;&gt;"",1,0)+IF(DK1663&lt;&gt;"",1,0)+IF(DM1663&lt;&gt;"",1,0)+IF(DO1663&lt;&gt;"",1,0)+IF(DP1663&lt;&gt;"",1,0)+IF(DQ1663&lt;&gt;"",1,0)+IF(DS1663&lt;&gt;"",1,0)+IF(DT1663&lt;&gt;"",1,0)+IF(DV1663&lt;&gt;"",1,0)+IF(DW1663&lt;&gt;"",1,0)+IF(DX1663&lt;&gt;"",1,0)+IF(DY1663&lt;&gt;"",1,0)+IF(DZ1663&lt;&gt;"",1,0)+IF(EB1663&lt;&gt;"",1,0)+IF(EC1663&lt;&gt;"",1,0)+IF(ED1663&lt;&gt;"",1,0)+IF(EG1663&lt;&gt;"",1,0)+IF(EH1663&lt;&gt;"",1,0)</f>
        <v/>
      </c>
      <c r="AZ1663">
        <f>IF(EH1663&lt;&gt;"",1,0)</f>
        <v/>
      </c>
      <c r="BB1663" t="inlineStr">
        <is>
          <t>WARREN-WARD 4</t>
        </is>
      </c>
    </row>
    <row r="1664">
      <c r="A1664" t="inlineStr">
        <is>
          <t>OH0024306933</t>
        </is>
      </c>
      <c r="B1664" t="n">
        <v>78</v>
      </c>
      <c r="C1664" t="n">
        <v>426769</v>
      </c>
      <c r="D1664" t="inlineStr">
        <is>
          <t>LEE</t>
        </is>
      </c>
      <c r="E1664" t="inlineStr">
        <is>
          <t>MARY GRACE</t>
        </is>
      </c>
      <c r="F1664">
        <f>CONCATENATE(D1664," ",LEFT(H1664,4),"T=",AU1664,"D=",AV1664,"R=",AW1664,"M=",AX1664,"L=",AY1664,"B=",AZ1664)</f>
        <v/>
      </c>
      <c r="G1664" t="inlineStr">
        <is>
          <t>FASULO</t>
        </is>
      </c>
      <c r="I1664" t="inlineStr">
        <is>
          <t>1999-10-25</t>
        </is>
      </c>
      <c r="J1664" t="inlineStr">
        <is>
          <t>2024-10-02</t>
        </is>
      </c>
      <c r="K1664" t="inlineStr">
        <is>
          <t>ACTIVE</t>
        </is>
      </c>
      <c r="M1664" t="inlineStr">
        <is>
          <t>133 LINDEN AVE SE</t>
        </is>
      </c>
      <c r="N1664">
        <f>RIGHT(M1664,LEN(M1664)-FIND(" ",M1664))</f>
        <v/>
      </c>
      <c r="P1664" t="inlineStr">
        <is>
          <t>WARREN</t>
        </is>
      </c>
      <c r="Q1664" t="inlineStr">
        <is>
          <t>OH</t>
        </is>
      </c>
      <c r="R1664" t="n">
        <v>44483</v>
      </c>
      <c r="AD1664" t="inlineStr">
        <is>
          <t>TRUMBULL CAREER &amp; TECH CENTER</t>
        </is>
      </c>
      <c r="AE1664" t="inlineStr">
        <is>
          <t>WARREN CITY</t>
        </is>
      </c>
      <c r="AF1664" t="inlineStr">
        <is>
          <t>WARREN CITY SD</t>
        </is>
      </c>
      <c r="AH1664" t="n">
        <v>14</v>
      </c>
      <c r="AI1664" t="n">
        <v>11</v>
      </c>
      <c r="AN1664" t="inlineStr">
        <is>
          <t>WARREN</t>
        </is>
      </c>
      <c r="AO1664" t="inlineStr">
        <is>
          <t>WARREN CITY 4D</t>
        </is>
      </c>
      <c r="AP1664" t="inlineStr">
        <is>
          <t>78-P-ADL</t>
        </is>
      </c>
      <c r="AQ1664" t="n">
        <v>9</v>
      </c>
      <c r="AR1664" t="n">
        <v>64</v>
      </c>
      <c r="AS1664" t="n">
        <v>32</v>
      </c>
      <c r="AU1664">
        <f>COUNTA($BA$1664:$EH$1664)</f>
        <v/>
      </c>
      <c r="AV1664">
        <f>COUNTIF($BA$1664:$EH$1664,"D")</f>
        <v/>
      </c>
      <c r="AW1664">
        <f>COUNTIF($BA$1664:$EH$1664,"R")</f>
        <v/>
      </c>
      <c r="AX1664">
        <f>IF(BN1664="D",1,0)+IF(BO1664="D",1,0)+IF(BT1664="D",1,0)+IF(BU1664="D",1,0)+IF(BW1664="D",1,0)+IF(CC1664="D",1,0)+IF(CD1664="D",1,0)+IF(CE1664="D",1,0)+IF(CF1664="D",1,0)+IF(CL1664="D",1,0)+IF(CM1664="D",1,0)+IF(CQ1664="D",1,0)+IF(CR1664="D",1,0)+IF(CS1664="D",1,0)+IF(CW1664="D",1,0)+IF(CX1664="D",1,0)+IF(DD1664="D",1,0)+IF(DE1664="D",1,0)+IF(DJ1664="D",1,0)+IF(DK1664="D",1,0)+IF(DO1664="D",1,0)+IF(DP1664="D",1,0)+IF(DQ1664="D",1,0)+IF(DW1664="D",1,0)+IF(DZ1664="D",1,0)+IF(EH1664="D",1,0)</f>
        <v/>
      </c>
      <c r="AY1664">
        <f>IF(DJ1664&lt;&gt;"",1,0)+IF(DK1664&lt;&gt;"",1,0)+IF(DM1664&lt;&gt;"",1,0)+IF(DO1664&lt;&gt;"",1,0)+IF(DP1664&lt;&gt;"",1,0)+IF(DQ1664&lt;&gt;"",1,0)+IF(DS1664&lt;&gt;"",1,0)+IF(DT1664&lt;&gt;"",1,0)+IF(DV1664&lt;&gt;"",1,0)+IF(DW1664&lt;&gt;"",1,0)+IF(DX1664&lt;&gt;"",1,0)+IF(DY1664&lt;&gt;"",1,0)+IF(DZ1664&lt;&gt;"",1,0)+IF(EB1664&lt;&gt;"",1,0)+IF(EC1664&lt;&gt;"",1,0)+IF(ED1664&lt;&gt;"",1,0)+IF(EG1664&lt;&gt;"",1,0)+IF(EH1664&lt;&gt;"",1,0)</f>
        <v/>
      </c>
      <c r="AZ1664">
        <f>IF(EH1664&lt;&gt;"",1,0)</f>
        <v/>
      </c>
      <c r="BB1664" t="inlineStr">
        <is>
          <t>WARREN-WARD 4</t>
        </is>
      </c>
      <c r="DN1664" t="inlineStr">
        <is>
          <t>X</t>
        </is>
      </c>
      <c r="EF1664" t="inlineStr">
        <is>
          <t>X</t>
        </is>
      </c>
      <c r="EH1664" t="inlineStr">
        <is>
          <t>X</t>
        </is>
      </c>
    </row>
    <row r="1665">
      <c r="A1665" t="inlineStr">
        <is>
          <t>OH0024166277</t>
        </is>
      </c>
      <c r="B1665" t="n">
        <v>78</v>
      </c>
      <c r="C1665" t="n">
        <v>422743</v>
      </c>
      <c r="D1665" t="inlineStr">
        <is>
          <t>KROTZER</t>
        </is>
      </c>
      <c r="E1665" t="inlineStr">
        <is>
          <t>NICOLE</t>
        </is>
      </c>
      <c r="F1665">
        <f>CONCATENATE(D1665," ",LEFT(H1665,4),"T=",AU1665,"D=",AV1665,"R=",AW1665,"M=",AX1665,"L=",AY1665,"B=",AZ1665)</f>
        <v/>
      </c>
      <c r="G1665" t="inlineStr">
        <is>
          <t>L</t>
        </is>
      </c>
      <c r="I1665" t="inlineStr">
        <is>
          <t>1979-01-22</t>
        </is>
      </c>
      <c r="J1665" t="inlineStr">
        <is>
          <t>2024-06-11</t>
        </is>
      </c>
      <c r="K1665" t="inlineStr">
        <is>
          <t>ACTIVE</t>
        </is>
      </c>
      <c r="M1665" t="inlineStr">
        <is>
          <t>445 ELM RD NE</t>
        </is>
      </c>
      <c r="N1665">
        <f>RIGHT(M1665,LEN(M1665)-FIND(" ",M1665))</f>
        <v/>
      </c>
      <c r="O1665" t="inlineStr">
        <is>
          <t>APT SIDE</t>
        </is>
      </c>
      <c r="P1665" t="inlineStr">
        <is>
          <t>WARREN</t>
        </is>
      </c>
      <c r="Q1665" t="inlineStr">
        <is>
          <t>OH</t>
        </is>
      </c>
      <c r="R1665" t="n">
        <v>44483</v>
      </c>
      <c r="AD1665" t="inlineStr">
        <is>
          <t>TRUMBULL CAREER &amp; TECH CENTER</t>
        </is>
      </c>
      <c r="AE1665" t="inlineStr">
        <is>
          <t>WARREN CITY</t>
        </is>
      </c>
      <c r="AF1665" t="inlineStr">
        <is>
          <t>WARREN CITY SD</t>
        </is>
      </c>
      <c r="AH1665" t="n">
        <v>14</v>
      </c>
      <c r="AI1665" t="n">
        <v>11</v>
      </c>
      <c r="AN1665" t="inlineStr">
        <is>
          <t>WARREN</t>
        </is>
      </c>
      <c r="AO1665" t="inlineStr">
        <is>
          <t>WARREN CITY 4D</t>
        </is>
      </c>
      <c r="AP1665" t="inlineStr">
        <is>
          <t>78-P-ADL</t>
        </is>
      </c>
      <c r="AQ1665" t="n">
        <v>9</v>
      </c>
      <c r="AR1665" t="n">
        <v>64</v>
      </c>
      <c r="AS1665" t="n">
        <v>32</v>
      </c>
      <c r="AU1665">
        <f>COUNTA($BA$1665:$EH$1665)</f>
        <v/>
      </c>
      <c r="AV1665">
        <f>COUNTIF($BA$1665:$EH$1665,"D")</f>
        <v/>
      </c>
      <c r="AW1665">
        <f>COUNTIF($BA$1665:$EH$1665,"R")</f>
        <v/>
      </c>
      <c r="AX1665">
        <f>IF(BN1665="D",1,0)+IF(BO1665="D",1,0)+IF(BT1665="D",1,0)+IF(BU1665="D",1,0)+IF(BW1665="D",1,0)+IF(CC1665="D",1,0)+IF(CD1665="D",1,0)+IF(CE1665="D",1,0)+IF(CF1665="D",1,0)+IF(CL1665="D",1,0)+IF(CM1665="D",1,0)+IF(CQ1665="D",1,0)+IF(CR1665="D",1,0)+IF(CS1665="D",1,0)+IF(CW1665="D",1,0)+IF(CX1665="D",1,0)+IF(DD1665="D",1,0)+IF(DE1665="D",1,0)+IF(DJ1665="D",1,0)+IF(DK1665="D",1,0)+IF(DO1665="D",1,0)+IF(DP1665="D",1,0)+IF(DQ1665="D",1,0)+IF(DW1665="D",1,0)+IF(DZ1665="D",1,0)+IF(EH1665="D",1,0)</f>
        <v/>
      </c>
      <c r="AY1665">
        <f>IF(DJ1665&lt;&gt;"",1,0)+IF(DK1665&lt;&gt;"",1,0)+IF(DM1665&lt;&gt;"",1,0)+IF(DO1665&lt;&gt;"",1,0)+IF(DP1665&lt;&gt;"",1,0)+IF(DQ1665&lt;&gt;"",1,0)+IF(DS1665&lt;&gt;"",1,0)+IF(DT1665&lt;&gt;"",1,0)+IF(DV1665&lt;&gt;"",1,0)+IF(DW1665&lt;&gt;"",1,0)+IF(DX1665&lt;&gt;"",1,0)+IF(DY1665&lt;&gt;"",1,0)+IF(DZ1665&lt;&gt;"",1,0)+IF(EB1665&lt;&gt;"",1,0)+IF(EC1665&lt;&gt;"",1,0)+IF(ED1665&lt;&gt;"",1,0)+IF(EG1665&lt;&gt;"",1,0)+IF(EH1665&lt;&gt;"",1,0)</f>
        <v/>
      </c>
      <c r="AZ1665">
        <f>IF(EH1665&lt;&gt;"",1,0)</f>
        <v/>
      </c>
      <c r="BB1665" t="inlineStr">
        <is>
          <t>WARREN-WARD 4</t>
        </is>
      </c>
      <c r="CA1665" t="inlineStr">
        <is>
          <t>X</t>
        </is>
      </c>
      <c r="CY1665" t="inlineStr">
        <is>
          <t>X</t>
        </is>
      </c>
      <c r="DC1665" t="inlineStr">
        <is>
          <t>X</t>
        </is>
      </c>
      <c r="DI1665" t="inlineStr">
        <is>
          <t>X</t>
        </is>
      </c>
      <c r="DN1665" t="inlineStr">
        <is>
          <t>X</t>
        </is>
      </c>
    </row>
    <row r="1666">
      <c r="A1666" t="inlineStr">
        <is>
          <t>OH0026509354</t>
        </is>
      </c>
      <c r="B1666" t="n">
        <v>78</v>
      </c>
      <c r="C1666" t="n">
        <v>463236</v>
      </c>
      <c r="D1666" t="inlineStr">
        <is>
          <t>MURRAY</t>
        </is>
      </c>
      <c r="E1666" t="inlineStr">
        <is>
          <t>FRED</t>
        </is>
      </c>
      <c r="F1666">
        <f>CONCATENATE(D1666," ",LEFT(H1666,4),"T=",AU1666,"D=",AV1666,"R=",AW1666,"M=",AX1666,"L=",AY1666,"B=",AZ1666)</f>
        <v/>
      </c>
      <c r="G1666" t="inlineStr">
        <is>
          <t>R</t>
        </is>
      </c>
      <c r="I1666" t="inlineStr">
        <is>
          <t>1965-11-12</t>
        </is>
      </c>
      <c r="J1666" t="inlineStr">
        <is>
          <t>2023-11-08</t>
        </is>
      </c>
      <c r="K1666" t="inlineStr">
        <is>
          <t>ACTIVE</t>
        </is>
      </c>
      <c r="M1666" t="inlineStr">
        <is>
          <t>304 LOWELL AVE NE</t>
        </is>
      </c>
      <c r="N1666">
        <f>RIGHT(M1666,LEN(M1666)-FIND(" ",M1666))</f>
        <v/>
      </c>
      <c r="P1666" t="inlineStr">
        <is>
          <t>WARREN</t>
        </is>
      </c>
      <c r="Q1666" t="inlineStr">
        <is>
          <t>OH</t>
        </is>
      </c>
      <c r="R1666" t="n">
        <v>44483</v>
      </c>
      <c r="AD1666" t="inlineStr">
        <is>
          <t>TRUMBULL CAREER &amp; TECH CENTER</t>
        </is>
      </c>
      <c r="AE1666" t="inlineStr">
        <is>
          <t>WARREN CITY</t>
        </is>
      </c>
      <c r="AF1666" t="inlineStr">
        <is>
          <t>WARREN CITY SD</t>
        </is>
      </c>
      <c r="AH1666" t="n">
        <v>14</v>
      </c>
      <c r="AI1666" t="n">
        <v>11</v>
      </c>
      <c r="AN1666" t="inlineStr">
        <is>
          <t>WARREN</t>
        </is>
      </c>
      <c r="AO1666" t="inlineStr">
        <is>
          <t>WARREN CITY 4D</t>
        </is>
      </c>
      <c r="AP1666" t="inlineStr">
        <is>
          <t>78-P-ADL</t>
        </is>
      </c>
      <c r="AQ1666" t="n">
        <v>9</v>
      </c>
      <c r="AR1666" t="n">
        <v>64</v>
      </c>
      <c r="AS1666" t="n">
        <v>32</v>
      </c>
      <c r="AU1666">
        <f>COUNTA($BA$1666:$EH$1666)</f>
        <v/>
      </c>
      <c r="AV1666">
        <f>COUNTIF($BA$1666:$EH$1666,"D")</f>
        <v/>
      </c>
      <c r="AW1666">
        <f>COUNTIF($BA$1666:$EH$1666,"R")</f>
        <v/>
      </c>
      <c r="AX1666">
        <f>IF(BN1666="D",1,0)+IF(BO1666="D",1,0)+IF(BT1666="D",1,0)+IF(BU1666="D",1,0)+IF(BW1666="D",1,0)+IF(CC1666="D",1,0)+IF(CD1666="D",1,0)+IF(CE1666="D",1,0)+IF(CF1666="D",1,0)+IF(CL1666="D",1,0)+IF(CM1666="D",1,0)+IF(CQ1666="D",1,0)+IF(CR1666="D",1,0)+IF(CS1666="D",1,0)+IF(CW1666="D",1,0)+IF(CX1666="D",1,0)+IF(DD1666="D",1,0)+IF(DE1666="D",1,0)+IF(DJ1666="D",1,0)+IF(DK1666="D",1,0)+IF(DO1666="D",1,0)+IF(DP1666="D",1,0)+IF(DQ1666="D",1,0)+IF(DW1666="D",1,0)+IF(DZ1666="D",1,0)+IF(EH1666="D",1,0)</f>
        <v/>
      </c>
      <c r="AY1666">
        <f>IF(DJ1666&lt;&gt;"",1,0)+IF(DK1666&lt;&gt;"",1,0)+IF(DM1666&lt;&gt;"",1,0)+IF(DO1666&lt;&gt;"",1,0)+IF(DP1666&lt;&gt;"",1,0)+IF(DQ1666&lt;&gt;"",1,0)+IF(DS1666&lt;&gt;"",1,0)+IF(DT1666&lt;&gt;"",1,0)+IF(DV1666&lt;&gt;"",1,0)+IF(DW1666&lt;&gt;"",1,0)+IF(DX1666&lt;&gt;"",1,0)+IF(DY1666&lt;&gt;"",1,0)+IF(DZ1666&lt;&gt;"",1,0)+IF(EB1666&lt;&gt;"",1,0)+IF(EC1666&lt;&gt;"",1,0)+IF(ED1666&lt;&gt;"",1,0)+IF(EG1666&lt;&gt;"",1,0)+IF(EH1666&lt;&gt;"",1,0)</f>
        <v/>
      </c>
      <c r="AZ1666">
        <f>IF(EH1666&lt;&gt;"",1,0)</f>
        <v/>
      </c>
      <c r="BB1666" t="inlineStr">
        <is>
          <t>WARREN-WARD 4</t>
        </is>
      </c>
    </row>
    <row r="1667">
      <c r="A1667" t="inlineStr">
        <is>
          <t>OH0025885292</t>
        </is>
      </c>
      <c r="B1667" t="n">
        <v>78</v>
      </c>
      <c r="C1667" t="n">
        <v>452156</v>
      </c>
      <c r="D1667" t="inlineStr">
        <is>
          <t>HORNE</t>
        </is>
      </c>
      <c r="E1667" t="inlineStr">
        <is>
          <t>SHANNA</t>
        </is>
      </c>
      <c r="F1667">
        <f>CONCATENATE(D1667," ",LEFT(H1667,4),"T=",AU1667,"D=",AV1667,"R=",AW1667,"M=",AX1667,"L=",AY1667,"B=",AZ1667)</f>
        <v/>
      </c>
      <c r="G1667" t="inlineStr">
        <is>
          <t>RENEE</t>
        </is>
      </c>
      <c r="I1667" t="inlineStr">
        <is>
          <t>1986-10-16</t>
        </is>
      </c>
      <c r="J1667" t="inlineStr">
        <is>
          <t>2024-10-01</t>
        </is>
      </c>
      <c r="K1667" t="inlineStr">
        <is>
          <t>ACTIVE</t>
        </is>
      </c>
      <c r="M1667" t="inlineStr">
        <is>
          <t>700 PAIGE AVE NE</t>
        </is>
      </c>
      <c r="N1667">
        <f>RIGHT(M1667,LEN(M1667)-FIND(" ",M1667))</f>
        <v/>
      </c>
      <c r="P1667" t="inlineStr">
        <is>
          <t>WARREN</t>
        </is>
      </c>
      <c r="Q1667" t="inlineStr">
        <is>
          <t>OH</t>
        </is>
      </c>
      <c r="R1667" t="n">
        <v>44483</v>
      </c>
      <c r="AD1667" t="inlineStr">
        <is>
          <t>TRUMBULL CAREER &amp; TECH CENTER</t>
        </is>
      </c>
      <c r="AE1667" t="inlineStr">
        <is>
          <t>WARREN CITY</t>
        </is>
      </c>
      <c r="AF1667" t="inlineStr">
        <is>
          <t>WARREN CITY SD</t>
        </is>
      </c>
      <c r="AH1667" t="n">
        <v>14</v>
      </c>
      <c r="AI1667" t="n">
        <v>11</v>
      </c>
      <c r="AN1667" t="inlineStr">
        <is>
          <t>WARREN</t>
        </is>
      </c>
      <c r="AO1667" t="inlineStr">
        <is>
          <t>WARREN CITY 4D</t>
        </is>
      </c>
      <c r="AP1667" t="inlineStr">
        <is>
          <t>78-P-ADL</t>
        </is>
      </c>
      <c r="AQ1667" t="n">
        <v>9</v>
      </c>
      <c r="AR1667" t="n">
        <v>64</v>
      </c>
      <c r="AS1667" t="n">
        <v>32</v>
      </c>
      <c r="AU1667">
        <f>COUNTA($BA$1667:$EH$1667)</f>
        <v/>
      </c>
      <c r="AV1667">
        <f>COUNTIF($BA$1667:$EH$1667,"D")</f>
        <v/>
      </c>
      <c r="AW1667">
        <f>COUNTIF($BA$1667:$EH$1667,"R")</f>
        <v/>
      </c>
      <c r="AX1667">
        <f>IF(BN1667="D",1,0)+IF(BO1667="D",1,0)+IF(BT1667="D",1,0)+IF(BU1667="D",1,0)+IF(BW1667="D",1,0)+IF(CC1667="D",1,0)+IF(CD1667="D",1,0)+IF(CE1667="D",1,0)+IF(CF1667="D",1,0)+IF(CL1667="D",1,0)+IF(CM1667="D",1,0)+IF(CQ1667="D",1,0)+IF(CR1667="D",1,0)+IF(CS1667="D",1,0)+IF(CW1667="D",1,0)+IF(CX1667="D",1,0)+IF(DD1667="D",1,0)+IF(DE1667="D",1,0)+IF(DJ1667="D",1,0)+IF(DK1667="D",1,0)+IF(DO1667="D",1,0)+IF(DP1667="D",1,0)+IF(DQ1667="D",1,0)+IF(DW1667="D",1,0)+IF(DZ1667="D",1,0)+IF(EH1667="D",1,0)</f>
        <v/>
      </c>
      <c r="AY1667">
        <f>IF(DJ1667&lt;&gt;"",1,0)+IF(DK1667&lt;&gt;"",1,0)+IF(DM1667&lt;&gt;"",1,0)+IF(DO1667&lt;&gt;"",1,0)+IF(DP1667&lt;&gt;"",1,0)+IF(DQ1667&lt;&gt;"",1,0)+IF(DS1667&lt;&gt;"",1,0)+IF(DT1667&lt;&gt;"",1,0)+IF(DV1667&lt;&gt;"",1,0)+IF(DW1667&lt;&gt;"",1,0)+IF(DX1667&lt;&gt;"",1,0)+IF(DY1667&lt;&gt;"",1,0)+IF(DZ1667&lt;&gt;"",1,0)+IF(EB1667&lt;&gt;"",1,0)+IF(EC1667&lt;&gt;"",1,0)+IF(ED1667&lt;&gt;"",1,0)+IF(EG1667&lt;&gt;"",1,0)+IF(EH1667&lt;&gt;"",1,0)</f>
        <v/>
      </c>
      <c r="AZ1667">
        <f>IF(EH1667&lt;&gt;"",1,0)</f>
        <v/>
      </c>
      <c r="BB1667" t="inlineStr">
        <is>
          <t>WARREN-WARD 4</t>
        </is>
      </c>
      <c r="CA1667" t="inlineStr">
        <is>
          <t>X</t>
        </is>
      </c>
    </row>
    <row r="1668">
      <c r="A1668" t="inlineStr">
        <is>
          <t>OH0015726879</t>
        </is>
      </c>
      <c r="B1668" t="n">
        <v>78</v>
      </c>
      <c r="C1668" t="n">
        <v>212047</v>
      </c>
      <c r="D1668" t="inlineStr">
        <is>
          <t>ZIMMERMAN</t>
        </is>
      </c>
      <c r="E1668" t="inlineStr">
        <is>
          <t>NORA</t>
        </is>
      </c>
      <c r="F1668">
        <f>CONCATENATE(D1668," ",LEFT(H1668,4),"T=",AU1668,"D=",AV1668,"R=",AW1668,"M=",AX1668,"L=",AY1668,"B=",AZ1668)</f>
        <v/>
      </c>
      <c r="I1668" t="inlineStr">
        <is>
          <t>1960-11-11</t>
        </is>
      </c>
      <c r="J1668" t="inlineStr">
        <is>
          <t>1988-10-06</t>
        </is>
      </c>
      <c r="K1668" t="inlineStr">
        <is>
          <t>ACTIVE</t>
        </is>
      </c>
      <c r="M1668" t="inlineStr">
        <is>
          <t>312 LOGAN AVE NE</t>
        </is>
      </c>
      <c r="N1668">
        <f>RIGHT(M1668,LEN(M1668)-FIND(" ",M1668))</f>
        <v/>
      </c>
      <c r="P1668" t="inlineStr">
        <is>
          <t>WARREN</t>
        </is>
      </c>
      <c r="Q1668" t="inlineStr">
        <is>
          <t>OH</t>
        </is>
      </c>
      <c r="R1668" t="n">
        <v>44483</v>
      </c>
      <c r="AD1668" t="inlineStr">
        <is>
          <t>TRUMBULL CAREER &amp; TECH CENTER</t>
        </is>
      </c>
      <c r="AE1668" t="inlineStr">
        <is>
          <t>WARREN CITY</t>
        </is>
      </c>
      <c r="AF1668" t="inlineStr">
        <is>
          <t>WARREN CITY SD</t>
        </is>
      </c>
      <c r="AH1668" t="n">
        <v>14</v>
      </c>
      <c r="AI1668" t="n">
        <v>11</v>
      </c>
      <c r="AN1668" t="inlineStr">
        <is>
          <t>WARREN</t>
        </is>
      </c>
      <c r="AO1668" t="inlineStr">
        <is>
          <t>WARREN CITY 4D</t>
        </is>
      </c>
      <c r="AP1668" t="inlineStr">
        <is>
          <t>78-P-ADL</t>
        </is>
      </c>
      <c r="AQ1668" t="n">
        <v>9</v>
      </c>
      <c r="AR1668" t="n">
        <v>64</v>
      </c>
      <c r="AS1668" t="n">
        <v>32</v>
      </c>
      <c r="AU1668">
        <f>COUNTA($BA$1668:$EH$1668)</f>
        <v/>
      </c>
      <c r="AV1668">
        <f>COUNTIF($BA$1668:$EH$1668,"D")</f>
        <v/>
      </c>
      <c r="AW1668">
        <f>COUNTIF($BA$1668:$EH$1668,"R")</f>
        <v/>
      </c>
      <c r="AX1668">
        <f>IF(BN1668="D",1,0)+IF(BO1668="D",1,0)+IF(BT1668="D",1,0)+IF(BU1668="D",1,0)+IF(BW1668="D",1,0)+IF(CC1668="D",1,0)+IF(CD1668="D",1,0)+IF(CE1668="D",1,0)+IF(CF1668="D",1,0)+IF(CL1668="D",1,0)+IF(CM1668="D",1,0)+IF(CQ1668="D",1,0)+IF(CR1668="D",1,0)+IF(CS1668="D",1,0)+IF(CW1668="D",1,0)+IF(CX1668="D",1,0)+IF(DD1668="D",1,0)+IF(DE1668="D",1,0)+IF(DJ1668="D",1,0)+IF(DK1668="D",1,0)+IF(DO1668="D",1,0)+IF(DP1668="D",1,0)+IF(DQ1668="D",1,0)+IF(DW1668="D",1,0)+IF(DZ1668="D",1,0)+IF(EH1668="D",1,0)</f>
        <v/>
      </c>
      <c r="AY1668">
        <f>IF(DJ1668&lt;&gt;"",1,0)+IF(DK1668&lt;&gt;"",1,0)+IF(DM1668&lt;&gt;"",1,0)+IF(DO1668&lt;&gt;"",1,0)+IF(DP1668&lt;&gt;"",1,0)+IF(DQ1668&lt;&gt;"",1,0)+IF(DS1668&lt;&gt;"",1,0)+IF(DT1668&lt;&gt;"",1,0)+IF(DV1668&lt;&gt;"",1,0)+IF(DW1668&lt;&gt;"",1,0)+IF(DX1668&lt;&gt;"",1,0)+IF(DY1668&lt;&gt;"",1,0)+IF(DZ1668&lt;&gt;"",1,0)+IF(EB1668&lt;&gt;"",1,0)+IF(EC1668&lt;&gt;"",1,0)+IF(ED1668&lt;&gt;"",1,0)+IF(EG1668&lt;&gt;"",1,0)+IF(EH1668&lt;&gt;"",1,0)</f>
        <v/>
      </c>
      <c r="AZ1668">
        <f>IF(EH1668&lt;&gt;"",1,0)</f>
        <v/>
      </c>
      <c r="BB1668" t="inlineStr">
        <is>
          <t>WARREN-WARD 4</t>
        </is>
      </c>
      <c r="BD1668" t="inlineStr">
        <is>
          <t>X</t>
        </is>
      </c>
      <c r="BF1668" t="inlineStr">
        <is>
          <t>X</t>
        </is>
      </c>
      <c r="BH1668" t="inlineStr">
        <is>
          <t>X</t>
        </is>
      </c>
      <c r="BI1668" t="inlineStr">
        <is>
          <t>X</t>
        </is>
      </c>
      <c r="BL1668" t="inlineStr">
        <is>
          <t>X</t>
        </is>
      </c>
      <c r="BS1668" t="inlineStr">
        <is>
          <t>X</t>
        </is>
      </c>
      <c r="BY1668" t="inlineStr">
        <is>
          <t>D</t>
        </is>
      </c>
      <c r="CA1668" t="inlineStr">
        <is>
          <t>X</t>
        </is>
      </c>
      <c r="CG1668" t="inlineStr">
        <is>
          <t>X</t>
        </is>
      </c>
      <c r="CN1668" t="inlineStr">
        <is>
          <t>X</t>
        </is>
      </c>
      <c r="CP1668" t="inlineStr">
        <is>
          <t>X</t>
        </is>
      </c>
      <c r="CY1668" t="inlineStr">
        <is>
          <t>X</t>
        </is>
      </c>
      <c r="DC1668" t="inlineStr">
        <is>
          <t>X</t>
        </is>
      </c>
      <c r="DI1668" t="inlineStr">
        <is>
          <t>X</t>
        </is>
      </c>
      <c r="DN1668" t="inlineStr">
        <is>
          <t>X</t>
        </is>
      </c>
      <c r="EF1668" t="inlineStr">
        <is>
          <t>X</t>
        </is>
      </c>
    </row>
    <row r="1669">
      <c r="A1669" t="inlineStr">
        <is>
          <t>OH0026614977</t>
        </is>
      </c>
      <c r="B1669" t="n">
        <v>78</v>
      </c>
      <c r="C1669" t="n">
        <v>464925</v>
      </c>
      <c r="D1669" t="inlineStr">
        <is>
          <t>PATTERSON</t>
        </is>
      </c>
      <c r="E1669" t="inlineStr">
        <is>
          <t>JOSEPH</t>
        </is>
      </c>
      <c r="F1669">
        <f>CONCATENATE(D1669," ",LEFT(H1669,4),"T=",AU1669,"D=",AV1669,"R=",AW1669,"M=",AX1669,"L=",AY1669,"B=",AZ1669)</f>
        <v/>
      </c>
      <c r="G1669" t="inlineStr">
        <is>
          <t>L</t>
        </is>
      </c>
      <c r="I1669" t="inlineStr">
        <is>
          <t>1960-06-22</t>
        </is>
      </c>
      <c r="J1669" t="inlineStr">
        <is>
          <t>2022-08-05</t>
        </is>
      </c>
      <c r="K1669" t="inlineStr">
        <is>
          <t>ACTIVE</t>
        </is>
      </c>
      <c r="M1669" t="inlineStr">
        <is>
          <t>1202 WOODLAND AVE NE</t>
        </is>
      </c>
      <c r="N1669">
        <f>RIGHT(M1669,LEN(M1669)-FIND(" ",M1669))</f>
        <v/>
      </c>
      <c r="P1669" t="inlineStr">
        <is>
          <t>WARREN</t>
        </is>
      </c>
      <c r="Q1669" t="inlineStr">
        <is>
          <t>OH</t>
        </is>
      </c>
      <c r="R1669" t="n">
        <v>44483</v>
      </c>
      <c r="AD1669" t="inlineStr">
        <is>
          <t>TRUMBULL CAREER &amp; TECH CENTER</t>
        </is>
      </c>
      <c r="AE1669" t="inlineStr">
        <is>
          <t>WARREN CITY</t>
        </is>
      </c>
      <c r="AF1669" t="inlineStr">
        <is>
          <t>WARREN CITY SD</t>
        </is>
      </c>
      <c r="AH1669" t="n">
        <v>14</v>
      </c>
      <c r="AI1669" t="n">
        <v>11</v>
      </c>
      <c r="AN1669" t="inlineStr">
        <is>
          <t>WARREN</t>
        </is>
      </c>
      <c r="AO1669" t="inlineStr">
        <is>
          <t>WARREN CITY 4D</t>
        </is>
      </c>
      <c r="AP1669" t="inlineStr">
        <is>
          <t>78-P-ADL</t>
        </is>
      </c>
      <c r="AQ1669" t="n">
        <v>9</v>
      </c>
      <c r="AR1669" t="n">
        <v>64</v>
      </c>
      <c r="AS1669" t="n">
        <v>32</v>
      </c>
      <c r="AU1669">
        <f>COUNTA($BA$1669:$EH$1669)</f>
        <v/>
      </c>
      <c r="AV1669">
        <f>COUNTIF($BA$1669:$EH$1669,"D")</f>
        <v/>
      </c>
      <c r="AW1669">
        <f>COUNTIF($BA$1669:$EH$1669,"R")</f>
        <v/>
      </c>
      <c r="AX1669">
        <f>IF(BN1669="D",1,0)+IF(BO1669="D",1,0)+IF(BT1669="D",1,0)+IF(BU1669="D",1,0)+IF(BW1669="D",1,0)+IF(CC1669="D",1,0)+IF(CD1669="D",1,0)+IF(CE1669="D",1,0)+IF(CF1669="D",1,0)+IF(CL1669="D",1,0)+IF(CM1669="D",1,0)+IF(CQ1669="D",1,0)+IF(CR1669="D",1,0)+IF(CS1669="D",1,0)+IF(CW1669="D",1,0)+IF(CX1669="D",1,0)+IF(DD1669="D",1,0)+IF(DE1669="D",1,0)+IF(DJ1669="D",1,0)+IF(DK1669="D",1,0)+IF(DO1669="D",1,0)+IF(DP1669="D",1,0)+IF(DQ1669="D",1,0)+IF(DW1669="D",1,0)+IF(DZ1669="D",1,0)+IF(EH1669="D",1,0)</f>
        <v/>
      </c>
      <c r="AY1669">
        <f>IF(DJ1669&lt;&gt;"",1,0)+IF(DK1669&lt;&gt;"",1,0)+IF(DM1669&lt;&gt;"",1,0)+IF(DO1669&lt;&gt;"",1,0)+IF(DP1669&lt;&gt;"",1,0)+IF(DQ1669&lt;&gt;"",1,0)+IF(DS1669&lt;&gt;"",1,0)+IF(DT1669&lt;&gt;"",1,0)+IF(DV1669&lt;&gt;"",1,0)+IF(DW1669&lt;&gt;"",1,0)+IF(DX1669&lt;&gt;"",1,0)+IF(DY1669&lt;&gt;"",1,0)+IF(DZ1669&lt;&gt;"",1,0)+IF(EB1669&lt;&gt;"",1,0)+IF(EC1669&lt;&gt;"",1,0)+IF(ED1669&lt;&gt;"",1,0)+IF(EG1669&lt;&gt;"",1,0)+IF(EH1669&lt;&gt;"",1,0)</f>
        <v/>
      </c>
      <c r="AZ1669">
        <f>IF(EH1669&lt;&gt;"",1,0)</f>
        <v/>
      </c>
      <c r="BB1669" t="inlineStr">
        <is>
          <t>WARREN-WARD 4</t>
        </is>
      </c>
      <c r="BL1669" t="inlineStr">
        <is>
          <t>X</t>
        </is>
      </c>
      <c r="DU1669" t="inlineStr">
        <is>
          <t>X</t>
        </is>
      </c>
      <c r="EF1669" t="inlineStr">
        <is>
          <t>X</t>
        </is>
      </c>
    </row>
    <row r="1670">
      <c r="A1670" t="inlineStr">
        <is>
          <t>OH0015803806</t>
        </is>
      </c>
      <c r="B1670" t="n">
        <v>78</v>
      </c>
      <c r="C1670" t="n">
        <v>305515</v>
      </c>
      <c r="D1670" t="inlineStr">
        <is>
          <t>ASBURY</t>
        </is>
      </c>
      <c r="E1670" t="inlineStr">
        <is>
          <t>LOUISE</t>
        </is>
      </c>
      <c r="F1670">
        <f>CONCATENATE(D1670," ",LEFT(H1670,4),"T=",AU1670,"D=",AV1670,"R=",AW1670,"M=",AX1670,"L=",AY1670,"B=",AZ1670)</f>
        <v/>
      </c>
      <c r="G1670" t="inlineStr">
        <is>
          <t>LYDIA</t>
        </is>
      </c>
      <c r="I1670" t="inlineStr">
        <is>
          <t>1976-08-28</t>
        </is>
      </c>
      <c r="J1670" t="inlineStr">
        <is>
          <t>2011-05-27</t>
        </is>
      </c>
      <c r="K1670" t="inlineStr">
        <is>
          <t>ACTIVE</t>
        </is>
      </c>
      <c r="M1670" t="inlineStr">
        <is>
          <t>322 LOGAN AVE NE</t>
        </is>
      </c>
      <c r="N1670">
        <f>RIGHT(M1670,LEN(M1670)-FIND(" ",M1670))</f>
        <v/>
      </c>
      <c r="P1670" t="inlineStr">
        <is>
          <t>WARREN</t>
        </is>
      </c>
      <c r="Q1670" t="inlineStr">
        <is>
          <t>OH</t>
        </is>
      </c>
      <c r="R1670" t="n">
        <v>44483</v>
      </c>
      <c r="AD1670" t="inlineStr">
        <is>
          <t>TRUMBULL CAREER &amp; TECH CENTER</t>
        </is>
      </c>
      <c r="AE1670" t="inlineStr">
        <is>
          <t>WARREN CITY</t>
        </is>
      </c>
      <c r="AF1670" t="inlineStr">
        <is>
          <t>WARREN CITY SD</t>
        </is>
      </c>
      <c r="AH1670" t="n">
        <v>14</v>
      </c>
      <c r="AI1670" t="n">
        <v>11</v>
      </c>
      <c r="AN1670" t="inlineStr">
        <is>
          <t>WARREN</t>
        </is>
      </c>
      <c r="AO1670" t="inlineStr">
        <is>
          <t>WARREN CITY 4D</t>
        </is>
      </c>
      <c r="AP1670" t="inlineStr">
        <is>
          <t>78-P-ADL</t>
        </is>
      </c>
      <c r="AQ1670" t="n">
        <v>9</v>
      </c>
      <c r="AR1670" t="n">
        <v>64</v>
      </c>
      <c r="AS1670" t="n">
        <v>32</v>
      </c>
      <c r="AU1670">
        <f>COUNTA($BA$1670:$EH$1670)</f>
        <v/>
      </c>
      <c r="AV1670">
        <f>COUNTIF($BA$1670:$EH$1670,"D")</f>
        <v/>
      </c>
      <c r="AW1670">
        <f>COUNTIF($BA$1670:$EH$1670,"R")</f>
        <v/>
      </c>
      <c r="AX1670">
        <f>IF(BN1670="D",1,0)+IF(BO1670="D",1,0)+IF(BT1670="D",1,0)+IF(BU1670="D",1,0)+IF(BW1670="D",1,0)+IF(CC1670="D",1,0)+IF(CD1670="D",1,0)+IF(CE1670="D",1,0)+IF(CF1670="D",1,0)+IF(CL1670="D",1,0)+IF(CM1670="D",1,0)+IF(CQ1670="D",1,0)+IF(CR1670="D",1,0)+IF(CS1670="D",1,0)+IF(CW1670="D",1,0)+IF(CX1670="D",1,0)+IF(DD1670="D",1,0)+IF(DE1670="D",1,0)+IF(DJ1670="D",1,0)+IF(DK1670="D",1,0)+IF(DO1670="D",1,0)+IF(DP1670="D",1,0)+IF(DQ1670="D",1,0)+IF(DW1670="D",1,0)+IF(DZ1670="D",1,0)+IF(EH1670="D",1,0)</f>
        <v/>
      </c>
      <c r="AY1670">
        <f>IF(DJ1670&lt;&gt;"",1,0)+IF(DK1670&lt;&gt;"",1,0)+IF(DM1670&lt;&gt;"",1,0)+IF(DO1670&lt;&gt;"",1,0)+IF(DP1670&lt;&gt;"",1,0)+IF(DQ1670&lt;&gt;"",1,0)+IF(DS1670&lt;&gt;"",1,0)+IF(DT1670&lt;&gt;"",1,0)+IF(DV1670&lt;&gt;"",1,0)+IF(DW1670&lt;&gt;"",1,0)+IF(DX1670&lt;&gt;"",1,0)+IF(DY1670&lt;&gt;"",1,0)+IF(DZ1670&lt;&gt;"",1,0)+IF(EB1670&lt;&gt;"",1,0)+IF(EC1670&lt;&gt;"",1,0)+IF(ED1670&lt;&gt;"",1,0)+IF(EG1670&lt;&gt;"",1,0)+IF(EH1670&lt;&gt;"",1,0)</f>
        <v/>
      </c>
      <c r="AZ1670">
        <f>IF(EH1670&lt;&gt;"",1,0)</f>
        <v/>
      </c>
      <c r="BB1670" t="inlineStr">
        <is>
          <t>WARREN-WARD 4</t>
        </is>
      </c>
      <c r="BL1670" t="inlineStr">
        <is>
          <t>X</t>
        </is>
      </c>
      <c r="BY1670" t="inlineStr">
        <is>
          <t>D</t>
        </is>
      </c>
      <c r="CA1670" t="inlineStr">
        <is>
          <t>X</t>
        </is>
      </c>
      <c r="CP1670" t="inlineStr">
        <is>
          <t>X</t>
        </is>
      </c>
      <c r="CZ1670" t="inlineStr">
        <is>
          <t>D</t>
        </is>
      </c>
      <c r="DC1670" t="inlineStr">
        <is>
          <t>X</t>
        </is>
      </c>
      <c r="DN1670" t="inlineStr">
        <is>
          <t>X</t>
        </is>
      </c>
      <c r="EF1670" t="inlineStr">
        <is>
          <t>X</t>
        </is>
      </c>
    </row>
    <row r="1671">
      <c r="A1671" t="inlineStr">
        <is>
          <t>OH0026279650</t>
        </is>
      </c>
      <c r="B1671" t="n">
        <v>78</v>
      </c>
      <c r="C1671" t="n">
        <v>459557</v>
      </c>
      <c r="D1671" t="inlineStr">
        <is>
          <t>HAINES</t>
        </is>
      </c>
      <c r="E1671" t="inlineStr">
        <is>
          <t>RONALD</t>
        </is>
      </c>
      <c r="F1671">
        <f>CONCATENATE(D1671," ",LEFT(H1671,4),"T=",AU1671,"D=",AV1671,"R=",AW1671,"M=",AX1671,"L=",AY1671,"B=",AZ1671)</f>
        <v/>
      </c>
      <c r="G1671" t="inlineStr">
        <is>
          <t>MORGAN</t>
        </is>
      </c>
      <c r="H1671" t="inlineStr">
        <is>
          <t>JR</t>
        </is>
      </c>
      <c r="I1671" t="inlineStr">
        <is>
          <t>1953-07-03</t>
        </is>
      </c>
      <c r="J1671" t="inlineStr">
        <is>
          <t>2023-11-05</t>
        </is>
      </c>
      <c r="K1671" t="inlineStr">
        <is>
          <t>ACTIVE</t>
        </is>
      </c>
      <c r="M1671" t="inlineStr">
        <is>
          <t>1143 HARRISON ST NE</t>
        </is>
      </c>
      <c r="N1671">
        <f>RIGHT(M1671,LEN(M1671)-FIND(" ",M1671))</f>
        <v/>
      </c>
      <c r="P1671" t="inlineStr">
        <is>
          <t>WARREN</t>
        </is>
      </c>
      <c r="Q1671" t="inlineStr">
        <is>
          <t>OH</t>
        </is>
      </c>
      <c r="R1671" t="n">
        <v>44483</v>
      </c>
      <c r="AD1671" t="inlineStr">
        <is>
          <t>TRUMBULL CAREER &amp; TECH CENTER</t>
        </is>
      </c>
      <c r="AE1671" t="inlineStr">
        <is>
          <t>WARREN CITY</t>
        </is>
      </c>
      <c r="AF1671" t="inlineStr">
        <is>
          <t>WARREN CITY SD</t>
        </is>
      </c>
      <c r="AH1671" t="n">
        <v>14</v>
      </c>
      <c r="AI1671" t="n">
        <v>11</v>
      </c>
      <c r="AN1671" t="inlineStr">
        <is>
          <t>WARREN</t>
        </is>
      </c>
      <c r="AO1671" t="inlineStr">
        <is>
          <t>WARREN CITY 4D</t>
        </is>
      </c>
      <c r="AP1671" t="inlineStr">
        <is>
          <t>78-P-ADL</t>
        </is>
      </c>
      <c r="AQ1671" t="n">
        <v>9</v>
      </c>
      <c r="AR1671" t="n">
        <v>64</v>
      </c>
      <c r="AS1671" t="n">
        <v>32</v>
      </c>
      <c r="AU1671">
        <f>COUNTA($BA$1671:$EH$1671)</f>
        <v/>
      </c>
      <c r="AV1671">
        <f>COUNTIF($BA$1671:$EH$1671,"D")</f>
        <v/>
      </c>
      <c r="AW1671">
        <f>COUNTIF($BA$1671:$EH$1671,"R")</f>
        <v/>
      </c>
      <c r="AX1671">
        <f>IF(BN1671="D",1,0)+IF(BO1671="D",1,0)+IF(BT1671="D",1,0)+IF(BU1671="D",1,0)+IF(BW1671="D",1,0)+IF(CC1671="D",1,0)+IF(CD1671="D",1,0)+IF(CE1671="D",1,0)+IF(CF1671="D",1,0)+IF(CL1671="D",1,0)+IF(CM1671="D",1,0)+IF(CQ1671="D",1,0)+IF(CR1671="D",1,0)+IF(CS1671="D",1,0)+IF(CW1671="D",1,0)+IF(CX1671="D",1,0)+IF(DD1671="D",1,0)+IF(DE1671="D",1,0)+IF(DJ1671="D",1,0)+IF(DK1671="D",1,0)+IF(DO1671="D",1,0)+IF(DP1671="D",1,0)+IF(DQ1671="D",1,0)+IF(DW1671="D",1,0)+IF(DZ1671="D",1,0)+IF(EH1671="D",1,0)</f>
        <v/>
      </c>
      <c r="AY1671">
        <f>IF(DJ1671&lt;&gt;"",1,0)+IF(DK1671&lt;&gt;"",1,0)+IF(DM1671&lt;&gt;"",1,0)+IF(DO1671&lt;&gt;"",1,0)+IF(DP1671&lt;&gt;"",1,0)+IF(DQ1671&lt;&gt;"",1,0)+IF(DS1671&lt;&gt;"",1,0)+IF(DT1671&lt;&gt;"",1,0)+IF(DV1671&lt;&gt;"",1,0)+IF(DW1671&lt;&gt;"",1,0)+IF(DX1671&lt;&gt;"",1,0)+IF(DY1671&lt;&gt;"",1,0)+IF(DZ1671&lt;&gt;"",1,0)+IF(EB1671&lt;&gt;"",1,0)+IF(EC1671&lt;&gt;"",1,0)+IF(ED1671&lt;&gt;"",1,0)+IF(EG1671&lt;&gt;"",1,0)+IF(EH1671&lt;&gt;"",1,0)</f>
        <v/>
      </c>
      <c r="AZ1671">
        <f>IF(EH1671&lt;&gt;"",1,0)</f>
        <v/>
      </c>
      <c r="BB1671" t="inlineStr">
        <is>
          <t>WARREN-WARD 4</t>
        </is>
      </c>
      <c r="DU1671" t="inlineStr">
        <is>
          <t>X</t>
        </is>
      </c>
      <c r="EF1671" t="inlineStr">
        <is>
          <t>X</t>
        </is>
      </c>
    </row>
    <row r="1672">
      <c r="A1672" t="inlineStr">
        <is>
          <t>OH0021415253</t>
        </is>
      </c>
      <c r="B1672" t="n">
        <v>78</v>
      </c>
      <c r="C1672" t="n">
        <v>381166</v>
      </c>
      <c r="D1672" t="inlineStr">
        <is>
          <t>NIEMI</t>
        </is>
      </c>
      <c r="E1672" t="inlineStr">
        <is>
          <t>PAUL</t>
        </is>
      </c>
      <c r="F1672">
        <f>CONCATENATE(D1672," ",LEFT(H1672,4),"T=",AU1672,"D=",AV1672,"R=",AW1672,"M=",AX1672,"L=",AY1672,"B=",AZ1672)</f>
        <v/>
      </c>
      <c r="G1672" t="inlineStr">
        <is>
          <t>R</t>
        </is>
      </c>
      <c r="I1672" t="inlineStr">
        <is>
          <t>1950-06-04</t>
        </is>
      </c>
      <c r="J1672" t="inlineStr">
        <is>
          <t>2011-05-28</t>
        </is>
      </c>
      <c r="K1672" t="inlineStr">
        <is>
          <t>ACTIVE</t>
        </is>
      </c>
      <c r="M1672" t="inlineStr">
        <is>
          <t>146 LOGAN AVE NE</t>
        </is>
      </c>
      <c r="N1672">
        <f>RIGHT(M1672,LEN(M1672)-FIND(" ",M1672))</f>
        <v/>
      </c>
      <c r="P1672" t="inlineStr">
        <is>
          <t>WARREN</t>
        </is>
      </c>
      <c r="Q1672" t="inlineStr">
        <is>
          <t>OH</t>
        </is>
      </c>
      <c r="R1672" t="n">
        <v>44483</v>
      </c>
      <c r="AD1672" t="inlineStr">
        <is>
          <t>TRUMBULL CAREER &amp; TECH CENTER</t>
        </is>
      </c>
      <c r="AE1672" t="inlineStr">
        <is>
          <t>WARREN CITY</t>
        </is>
      </c>
      <c r="AF1672" t="inlineStr">
        <is>
          <t>WARREN CITY SD</t>
        </is>
      </c>
      <c r="AH1672" t="n">
        <v>14</v>
      </c>
      <c r="AI1672" t="n">
        <v>11</v>
      </c>
      <c r="AN1672" t="inlineStr">
        <is>
          <t>WARREN</t>
        </is>
      </c>
      <c r="AO1672" t="inlineStr">
        <is>
          <t>WARREN CITY 4D</t>
        </is>
      </c>
      <c r="AP1672" t="inlineStr">
        <is>
          <t>78-P-ADL</t>
        </is>
      </c>
      <c r="AQ1672" t="n">
        <v>9</v>
      </c>
      <c r="AR1672" t="n">
        <v>64</v>
      </c>
      <c r="AS1672" t="n">
        <v>32</v>
      </c>
      <c r="AU1672">
        <f>COUNTA($BA$1672:$EH$1672)</f>
        <v/>
      </c>
      <c r="AV1672">
        <f>COUNTIF($BA$1672:$EH$1672,"D")</f>
        <v/>
      </c>
      <c r="AW1672">
        <f>COUNTIF($BA$1672:$EH$1672,"R")</f>
        <v/>
      </c>
      <c r="AX1672">
        <f>IF(BN1672="D",1,0)+IF(BO1672="D",1,0)+IF(BT1672="D",1,0)+IF(BU1672="D",1,0)+IF(BW1672="D",1,0)+IF(CC1672="D",1,0)+IF(CD1672="D",1,0)+IF(CE1672="D",1,0)+IF(CF1672="D",1,0)+IF(CL1672="D",1,0)+IF(CM1672="D",1,0)+IF(CQ1672="D",1,0)+IF(CR1672="D",1,0)+IF(CS1672="D",1,0)+IF(CW1672="D",1,0)+IF(CX1672="D",1,0)+IF(DD1672="D",1,0)+IF(DE1672="D",1,0)+IF(DJ1672="D",1,0)+IF(DK1672="D",1,0)+IF(DO1672="D",1,0)+IF(DP1672="D",1,0)+IF(DQ1672="D",1,0)+IF(DW1672="D",1,0)+IF(DZ1672="D",1,0)+IF(EH1672="D",1,0)</f>
        <v/>
      </c>
      <c r="AY1672">
        <f>IF(DJ1672&lt;&gt;"",1,0)+IF(DK1672&lt;&gt;"",1,0)+IF(DM1672&lt;&gt;"",1,0)+IF(DO1672&lt;&gt;"",1,0)+IF(DP1672&lt;&gt;"",1,0)+IF(DQ1672&lt;&gt;"",1,0)+IF(DS1672&lt;&gt;"",1,0)+IF(DT1672&lt;&gt;"",1,0)+IF(DV1672&lt;&gt;"",1,0)+IF(DW1672&lt;&gt;"",1,0)+IF(DX1672&lt;&gt;"",1,0)+IF(DY1672&lt;&gt;"",1,0)+IF(DZ1672&lt;&gt;"",1,0)+IF(EB1672&lt;&gt;"",1,0)+IF(EC1672&lt;&gt;"",1,0)+IF(ED1672&lt;&gt;"",1,0)+IF(EG1672&lt;&gt;"",1,0)+IF(EH1672&lt;&gt;"",1,0)</f>
        <v/>
      </c>
      <c r="AZ1672">
        <f>IF(EH1672&lt;&gt;"",1,0)</f>
        <v/>
      </c>
      <c r="BB1672" t="inlineStr">
        <is>
          <t>WARREN-WARD 4</t>
        </is>
      </c>
      <c r="DI1672" t="inlineStr">
        <is>
          <t>X</t>
        </is>
      </c>
      <c r="DU1672" t="inlineStr">
        <is>
          <t>X</t>
        </is>
      </c>
      <c r="EF1672" t="inlineStr">
        <is>
          <t>X</t>
        </is>
      </c>
    </row>
    <row r="1673">
      <c r="A1673" t="inlineStr">
        <is>
          <t>OH0015722339</t>
        </is>
      </c>
      <c r="B1673" t="n">
        <v>78</v>
      </c>
      <c r="C1673" t="n">
        <v>203973</v>
      </c>
      <c r="D1673" t="inlineStr">
        <is>
          <t>NIEMI</t>
        </is>
      </c>
      <c r="E1673" t="inlineStr">
        <is>
          <t>CANDACE</t>
        </is>
      </c>
      <c r="F1673">
        <f>CONCATENATE(D1673," ",LEFT(H1673,4),"T=",AU1673,"D=",AV1673,"R=",AW1673,"M=",AX1673,"L=",AY1673,"B=",AZ1673)</f>
        <v/>
      </c>
      <c r="G1673" t="inlineStr">
        <is>
          <t>S</t>
        </is>
      </c>
      <c r="I1673" t="inlineStr">
        <is>
          <t>1950-11-29</t>
        </is>
      </c>
      <c r="J1673" t="inlineStr">
        <is>
          <t>1988-04-04</t>
        </is>
      </c>
      <c r="K1673" t="inlineStr">
        <is>
          <t>ACTIVE</t>
        </is>
      </c>
      <c r="L1673" t="inlineStr">
        <is>
          <t>D</t>
        </is>
      </c>
      <c r="M1673" t="inlineStr">
        <is>
          <t>146 LOGAN AVE NE</t>
        </is>
      </c>
      <c r="N1673">
        <f>RIGHT(M1673,LEN(M1673)-FIND(" ",M1673))</f>
        <v/>
      </c>
      <c r="P1673" t="inlineStr">
        <is>
          <t>WARREN</t>
        </is>
      </c>
      <c r="Q1673" t="inlineStr">
        <is>
          <t>OH</t>
        </is>
      </c>
      <c r="R1673" t="n">
        <v>44483</v>
      </c>
      <c r="AD1673" t="inlineStr">
        <is>
          <t>TRUMBULL CAREER &amp; TECH CENTER</t>
        </is>
      </c>
      <c r="AE1673" t="inlineStr">
        <is>
          <t>WARREN CITY</t>
        </is>
      </c>
      <c r="AF1673" t="inlineStr">
        <is>
          <t>WARREN CITY SD</t>
        </is>
      </c>
      <c r="AH1673" t="n">
        <v>14</v>
      </c>
      <c r="AI1673" t="n">
        <v>11</v>
      </c>
      <c r="AN1673" t="inlineStr">
        <is>
          <t>WARREN</t>
        </is>
      </c>
      <c r="AO1673" t="inlineStr">
        <is>
          <t>WARREN CITY 4D</t>
        </is>
      </c>
      <c r="AP1673" t="inlineStr">
        <is>
          <t>78-P-ADL</t>
        </is>
      </c>
      <c r="AQ1673" t="n">
        <v>9</v>
      </c>
      <c r="AR1673" t="n">
        <v>64</v>
      </c>
      <c r="AS1673" t="n">
        <v>32</v>
      </c>
      <c r="AU1673">
        <f>COUNTA($BA$1673:$EH$1673)</f>
        <v/>
      </c>
      <c r="AV1673">
        <f>COUNTIF($BA$1673:$EH$1673,"D")</f>
        <v/>
      </c>
      <c r="AW1673">
        <f>COUNTIF($BA$1673:$EH$1673,"R")</f>
        <v/>
      </c>
      <c r="AX1673">
        <f>IF(BN1673="D",1,0)+IF(BO1673="D",1,0)+IF(BT1673="D",1,0)+IF(BU1673="D",1,0)+IF(BW1673="D",1,0)+IF(CC1673="D",1,0)+IF(CD1673="D",1,0)+IF(CE1673="D",1,0)+IF(CF1673="D",1,0)+IF(CL1673="D",1,0)+IF(CM1673="D",1,0)+IF(CQ1673="D",1,0)+IF(CR1673="D",1,0)+IF(CS1673="D",1,0)+IF(CW1673="D",1,0)+IF(CX1673="D",1,0)+IF(DD1673="D",1,0)+IF(DE1673="D",1,0)+IF(DJ1673="D",1,0)+IF(DK1673="D",1,0)+IF(DO1673="D",1,0)+IF(DP1673="D",1,0)+IF(DQ1673="D",1,0)+IF(DW1673="D",1,0)+IF(DZ1673="D",1,0)+IF(EH1673="D",1,0)</f>
        <v/>
      </c>
      <c r="AY1673">
        <f>IF(DJ1673&lt;&gt;"",1,0)+IF(DK1673&lt;&gt;"",1,0)+IF(DM1673&lt;&gt;"",1,0)+IF(DO1673&lt;&gt;"",1,0)+IF(DP1673&lt;&gt;"",1,0)+IF(DQ1673&lt;&gt;"",1,0)+IF(DS1673&lt;&gt;"",1,0)+IF(DT1673&lt;&gt;"",1,0)+IF(DV1673&lt;&gt;"",1,0)+IF(DW1673&lt;&gt;"",1,0)+IF(DX1673&lt;&gt;"",1,0)+IF(DY1673&lt;&gt;"",1,0)+IF(DZ1673&lt;&gt;"",1,0)+IF(EB1673&lt;&gt;"",1,0)+IF(EC1673&lt;&gt;"",1,0)+IF(ED1673&lt;&gt;"",1,0)+IF(EG1673&lt;&gt;"",1,0)+IF(EH1673&lt;&gt;"",1,0)</f>
        <v/>
      </c>
      <c r="AZ1673">
        <f>IF(EH1673&lt;&gt;"",1,0)</f>
        <v/>
      </c>
      <c r="BB1673" t="inlineStr">
        <is>
          <t>WARREN-WARD 4</t>
        </is>
      </c>
      <c r="BD1673" t="inlineStr">
        <is>
          <t>X</t>
        </is>
      </c>
      <c r="BF1673" t="inlineStr">
        <is>
          <t>X</t>
        </is>
      </c>
      <c r="BG1673" t="inlineStr">
        <is>
          <t>X</t>
        </is>
      </c>
      <c r="BH1673" t="inlineStr">
        <is>
          <t>X</t>
        </is>
      </c>
      <c r="BI1673" t="inlineStr">
        <is>
          <t>X</t>
        </is>
      </c>
      <c r="BJ1673" t="inlineStr">
        <is>
          <t>X</t>
        </is>
      </c>
      <c r="BK1673" t="inlineStr">
        <is>
          <t>X</t>
        </is>
      </c>
      <c r="BL1673" t="inlineStr">
        <is>
          <t>X</t>
        </is>
      </c>
      <c r="BP1673" t="inlineStr">
        <is>
          <t>X</t>
        </is>
      </c>
      <c r="BR1673" t="inlineStr">
        <is>
          <t>X</t>
        </is>
      </c>
      <c r="BS1673" t="inlineStr">
        <is>
          <t>X</t>
        </is>
      </c>
      <c r="BV1673" t="inlineStr">
        <is>
          <t>X</t>
        </is>
      </c>
      <c r="BY1673" t="inlineStr">
        <is>
          <t>D</t>
        </is>
      </c>
      <c r="CA1673" t="inlineStr">
        <is>
          <t>X</t>
        </is>
      </c>
      <c r="CC1673" t="inlineStr">
        <is>
          <t>D</t>
        </is>
      </c>
      <c r="CG1673" t="inlineStr">
        <is>
          <t>X</t>
        </is>
      </c>
      <c r="CK1673" t="inlineStr">
        <is>
          <t>X</t>
        </is>
      </c>
      <c r="CN1673" t="inlineStr">
        <is>
          <t>X</t>
        </is>
      </c>
      <c r="CO1673" t="inlineStr">
        <is>
          <t>D</t>
        </is>
      </c>
      <c r="CP1673" t="inlineStr">
        <is>
          <t>X</t>
        </is>
      </c>
      <c r="CT1673" t="inlineStr">
        <is>
          <t>X</t>
        </is>
      </c>
      <c r="CY1673" t="inlineStr">
        <is>
          <t>X</t>
        </is>
      </c>
      <c r="CZ1673" t="inlineStr">
        <is>
          <t>D</t>
        </is>
      </c>
      <c r="DC1673" t="inlineStr">
        <is>
          <t>X</t>
        </is>
      </c>
      <c r="DF1673" t="inlineStr">
        <is>
          <t>X</t>
        </is>
      </c>
      <c r="DG1673" t="inlineStr">
        <is>
          <t>D</t>
        </is>
      </c>
      <c r="DI1673" t="inlineStr">
        <is>
          <t>X</t>
        </is>
      </c>
      <c r="DJ1673" t="inlineStr">
        <is>
          <t>D</t>
        </is>
      </c>
      <c r="DL1673" t="inlineStr">
        <is>
          <t>X</t>
        </is>
      </c>
      <c r="DN1673" t="inlineStr">
        <is>
          <t>X</t>
        </is>
      </c>
      <c r="DS1673" t="inlineStr">
        <is>
          <t>D</t>
        </is>
      </c>
      <c r="DU1673" t="inlineStr">
        <is>
          <t>X</t>
        </is>
      </c>
      <c r="DX1673" t="inlineStr">
        <is>
          <t>X</t>
        </is>
      </c>
      <c r="EA1673" t="inlineStr">
        <is>
          <t>X</t>
        </is>
      </c>
      <c r="ED1673" t="inlineStr">
        <is>
          <t>D</t>
        </is>
      </c>
      <c r="EF1673" t="inlineStr">
        <is>
          <t>X</t>
        </is>
      </c>
    </row>
    <row r="1674">
      <c r="A1674" t="inlineStr">
        <is>
          <t>OH0015796418</t>
        </is>
      </c>
      <c r="B1674" t="n">
        <v>78</v>
      </c>
      <c r="C1674" t="n">
        <v>265232</v>
      </c>
      <c r="D1674" t="inlineStr">
        <is>
          <t>CLENDENIN</t>
        </is>
      </c>
      <c r="E1674" t="inlineStr">
        <is>
          <t>KELLIE</t>
        </is>
      </c>
      <c r="F1674">
        <f>CONCATENATE(D1674," ",LEFT(H1674,4),"T=",AU1674,"D=",AV1674,"R=",AW1674,"M=",AX1674,"L=",AY1674,"B=",AZ1674)</f>
        <v/>
      </c>
      <c r="G1674" t="inlineStr">
        <is>
          <t>M</t>
        </is>
      </c>
      <c r="I1674" t="inlineStr">
        <is>
          <t>1976-09-23</t>
        </is>
      </c>
      <c r="J1674" t="inlineStr">
        <is>
          <t>2016-08-22</t>
        </is>
      </c>
      <c r="K1674" t="inlineStr">
        <is>
          <t>CONFIRMATION</t>
        </is>
      </c>
      <c r="M1674" t="inlineStr">
        <is>
          <t>474 VINE AVE NE</t>
        </is>
      </c>
      <c r="N1674">
        <f>RIGHT(M1674,LEN(M1674)-FIND(" ",M1674))</f>
        <v/>
      </c>
      <c r="P1674" t="inlineStr">
        <is>
          <t>WARREN</t>
        </is>
      </c>
      <c r="Q1674" t="inlineStr">
        <is>
          <t>OH</t>
        </is>
      </c>
      <c r="R1674" t="n">
        <v>44483</v>
      </c>
      <c r="AD1674" t="inlineStr">
        <is>
          <t>TRUMBULL CAREER &amp; TECH CENTER</t>
        </is>
      </c>
      <c r="AE1674" t="inlineStr">
        <is>
          <t>WARREN CITY</t>
        </is>
      </c>
      <c r="AF1674" t="inlineStr">
        <is>
          <t>WARREN CITY SD</t>
        </is>
      </c>
      <c r="AH1674" t="n">
        <v>14</v>
      </c>
      <c r="AI1674" t="n">
        <v>11</v>
      </c>
      <c r="AN1674" t="inlineStr">
        <is>
          <t>WARREN</t>
        </is>
      </c>
      <c r="AO1674" t="inlineStr">
        <is>
          <t>WARREN CITY 4D</t>
        </is>
      </c>
      <c r="AP1674" t="inlineStr">
        <is>
          <t>78-P-ADL</t>
        </is>
      </c>
      <c r="AQ1674" t="n">
        <v>9</v>
      </c>
      <c r="AR1674" t="n">
        <v>64</v>
      </c>
      <c r="AS1674" t="n">
        <v>32</v>
      </c>
      <c r="AU1674">
        <f>COUNTA($BA$1674:$EH$1674)</f>
        <v/>
      </c>
      <c r="AV1674">
        <f>COUNTIF($BA$1674:$EH$1674,"D")</f>
        <v/>
      </c>
      <c r="AW1674">
        <f>COUNTIF($BA$1674:$EH$1674,"R")</f>
        <v/>
      </c>
      <c r="AX1674">
        <f>IF(BN1674="D",1,0)+IF(BO1674="D",1,0)+IF(BT1674="D",1,0)+IF(BU1674="D",1,0)+IF(BW1674="D",1,0)+IF(CC1674="D",1,0)+IF(CD1674="D",1,0)+IF(CE1674="D",1,0)+IF(CF1674="D",1,0)+IF(CL1674="D",1,0)+IF(CM1674="D",1,0)+IF(CQ1674="D",1,0)+IF(CR1674="D",1,0)+IF(CS1674="D",1,0)+IF(CW1674="D",1,0)+IF(CX1674="D",1,0)+IF(DD1674="D",1,0)+IF(DE1674="D",1,0)+IF(DJ1674="D",1,0)+IF(DK1674="D",1,0)+IF(DO1674="D",1,0)+IF(DP1674="D",1,0)+IF(DQ1674="D",1,0)+IF(DW1674="D",1,0)+IF(DZ1674="D",1,0)+IF(EH1674="D",1,0)</f>
        <v/>
      </c>
      <c r="AY1674">
        <f>IF(DJ1674&lt;&gt;"",1,0)+IF(DK1674&lt;&gt;"",1,0)+IF(DM1674&lt;&gt;"",1,0)+IF(DO1674&lt;&gt;"",1,0)+IF(DP1674&lt;&gt;"",1,0)+IF(DQ1674&lt;&gt;"",1,0)+IF(DS1674&lt;&gt;"",1,0)+IF(DT1674&lt;&gt;"",1,0)+IF(DV1674&lt;&gt;"",1,0)+IF(DW1674&lt;&gt;"",1,0)+IF(DX1674&lt;&gt;"",1,0)+IF(DY1674&lt;&gt;"",1,0)+IF(DZ1674&lt;&gt;"",1,0)+IF(EB1674&lt;&gt;"",1,0)+IF(EC1674&lt;&gt;"",1,0)+IF(ED1674&lt;&gt;"",1,0)+IF(EG1674&lt;&gt;"",1,0)+IF(EH1674&lt;&gt;"",1,0)</f>
        <v/>
      </c>
      <c r="AZ1674">
        <f>IF(EH1674&lt;&gt;"",1,0)</f>
        <v/>
      </c>
      <c r="BB1674" t="inlineStr">
        <is>
          <t>WARREN-WARD 4</t>
        </is>
      </c>
      <c r="CY1674" t="inlineStr">
        <is>
          <t>X</t>
        </is>
      </c>
    </row>
    <row r="1675">
      <c r="A1675" t="inlineStr">
        <is>
          <t>OH0021187643</t>
        </is>
      </c>
      <c r="B1675" t="n">
        <v>78</v>
      </c>
      <c r="C1675" t="n">
        <v>376794</v>
      </c>
      <c r="D1675" t="inlineStr">
        <is>
          <t>WADE</t>
        </is>
      </c>
      <c r="E1675" t="inlineStr">
        <is>
          <t>CAPRINA</t>
        </is>
      </c>
      <c r="F1675">
        <f>CONCATENATE(D1675," ",LEFT(H1675,4),"T=",AU1675,"D=",AV1675,"R=",AW1675,"M=",AX1675,"L=",AY1675,"B=",AZ1675)</f>
        <v/>
      </c>
      <c r="G1675" t="inlineStr">
        <is>
          <t>P</t>
        </is>
      </c>
      <c r="I1675" t="inlineStr">
        <is>
          <t>1992-01-01</t>
        </is>
      </c>
      <c r="J1675" t="inlineStr">
        <is>
          <t>2024-08-08</t>
        </is>
      </c>
      <c r="K1675" t="inlineStr">
        <is>
          <t>ACTIVE</t>
        </is>
      </c>
      <c r="M1675" t="inlineStr">
        <is>
          <t>121 MONROE ST NW</t>
        </is>
      </c>
      <c r="N1675">
        <f>RIGHT(M1675,LEN(M1675)-FIND(" ",M1675))</f>
        <v/>
      </c>
      <c r="P1675" t="inlineStr">
        <is>
          <t>WARREN</t>
        </is>
      </c>
      <c r="Q1675" t="inlineStr">
        <is>
          <t>OH</t>
        </is>
      </c>
      <c r="R1675" t="n">
        <v>44483</v>
      </c>
      <c r="AD1675" t="inlineStr">
        <is>
          <t>TRUMBULL CAREER &amp; TECH CENTER</t>
        </is>
      </c>
      <c r="AE1675" t="inlineStr">
        <is>
          <t>WARREN CITY</t>
        </is>
      </c>
      <c r="AF1675" t="inlineStr">
        <is>
          <t>WARREN CITY SD</t>
        </is>
      </c>
      <c r="AH1675" t="n">
        <v>14</v>
      </c>
      <c r="AI1675" t="n">
        <v>11</v>
      </c>
      <c r="AN1675" t="inlineStr">
        <is>
          <t>WARREN</t>
        </is>
      </c>
      <c r="AO1675" t="inlineStr">
        <is>
          <t>WARREN CITY 4D</t>
        </is>
      </c>
      <c r="AP1675" t="inlineStr">
        <is>
          <t>78-P-ADL</t>
        </is>
      </c>
      <c r="AQ1675" t="n">
        <v>9</v>
      </c>
      <c r="AR1675" t="n">
        <v>64</v>
      </c>
      <c r="AS1675" t="n">
        <v>32</v>
      </c>
      <c r="AU1675">
        <f>COUNTA($BA$1675:$EH$1675)</f>
        <v/>
      </c>
      <c r="AV1675">
        <f>COUNTIF($BA$1675:$EH$1675,"D")</f>
        <v/>
      </c>
      <c r="AW1675">
        <f>COUNTIF($BA$1675:$EH$1675,"R")</f>
        <v/>
      </c>
      <c r="AX1675">
        <f>IF(BN1675="D",1,0)+IF(BO1675="D",1,0)+IF(BT1675="D",1,0)+IF(BU1675="D",1,0)+IF(BW1675="D",1,0)+IF(CC1675="D",1,0)+IF(CD1675="D",1,0)+IF(CE1675="D",1,0)+IF(CF1675="D",1,0)+IF(CL1675="D",1,0)+IF(CM1675="D",1,0)+IF(CQ1675="D",1,0)+IF(CR1675="D",1,0)+IF(CS1675="D",1,0)+IF(CW1675="D",1,0)+IF(CX1675="D",1,0)+IF(DD1675="D",1,0)+IF(DE1675="D",1,0)+IF(DJ1675="D",1,0)+IF(DK1675="D",1,0)+IF(DO1675="D",1,0)+IF(DP1675="D",1,0)+IF(DQ1675="D",1,0)+IF(DW1675="D",1,0)+IF(DZ1675="D",1,0)+IF(EH1675="D",1,0)</f>
        <v/>
      </c>
      <c r="AY1675">
        <f>IF(DJ1675&lt;&gt;"",1,0)+IF(DK1675&lt;&gt;"",1,0)+IF(DM1675&lt;&gt;"",1,0)+IF(DO1675&lt;&gt;"",1,0)+IF(DP1675&lt;&gt;"",1,0)+IF(DQ1675&lt;&gt;"",1,0)+IF(DS1675&lt;&gt;"",1,0)+IF(DT1675&lt;&gt;"",1,0)+IF(DV1675&lt;&gt;"",1,0)+IF(DW1675&lt;&gt;"",1,0)+IF(DX1675&lt;&gt;"",1,0)+IF(DY1675&lt;&gt;"",1,0)+IF(DZ1675&lt;&gt;"",1,0)+IF(EB1675&lt;&gt;"",1,0)+IF(EC1675&lt;&gt;"",1,0)+IF(ED1675&lt;&gt;"",1,0)+IF(EG1675&lt;&gt;"",1,0)+IF(EH1675&lt;&gt;"",1,0)</f>
        <v/>
      </c>
      <c r="AZ1675">
        <f>IF(EH1675&lt;&gt;"",1,0)</f>
        <v/>
      </c>
      <c r="BB1675" t="inlineStr">
        <is>
          <t>WARREN-WARD 4</t>
        </is>
      </c>
      <c r="CP1675" t="inlineStr">
        <is>
          <t>X</t>
        </is>
      </c>
      <c r="CV1675" t="inlineStr">
        <is>
          <t>X</t>
        </is>
      </c>
      <c r="DC1675" t="inlineStr">
        <is>
          <t>X</t>
        </is>
      </c>
      <c r="EF1675" t="inlineStr">
        <is>
          <t>X</t>
        </is>
      </c>
    </row>
    <row r="1676">
      <c r="A1676" t="inlineStr">
        <is>
          <t>OH0015748077</t>
        </is>
      </c>
      <c r="B1676" t="n">
        <v>78</v>
      </c>
      <c r="C1676" t="n">
        <v>295375</v>
      </c>
      <c r="D1676" t="inlineStr">
        <is>
          <t>FASULO</t>
        </is>
      </c>
      <c r="E1676" t="inlineStr">
        <is>
          <t>ANNETTE</t>
        </is>
      </c>
      <c r="F1676">
        <f>CONCATENATE(D1676," ",LEFT(H1676,4),"T=",AU1676,"D=",AV1676,"R=",AW1676,"M=",AX1676,"L=",AY1676,"B=",AZ1676)</f>
        <v/>
      </c>
      <c r="G1676" t="inlineStr">
        <is>
          <t>J</t>
        </is>
      </c>
      <c r="I1676" t="inlineStr">
        <is>
          <t>1959-10-18</t>
        </is>
      </c>
      <c r="J1676" t="inlineStr">
        <is>
          <t>2000-05-03</t>
        </is>
      </c>
      <c r="K1676" t="inlineStr">
        <is>
          <t>ACTIVE</t>
        </is>
      </c>
      <c r="L1676" t="inlineStr">
        <is>
          <t>D</t>
        </is>
      </c>
      <c r="M1676" t="inlineStr">
        <is>
          <t>133 LINDEN AVE SE</t>
        </is>
      </c>
      <c r="N1676">
        <f>RIGHT(M1676,LEN(M1676)-FIND(" ",M1676))</f>
        <v/>
      </c>
      <c r="P1676" t="inlineStr">
        <is>
          <t>WARREN</t>
        </is>
      </c>
      <c r="Q1676" t="inlineStr">
        <is>
          <t>OH</t>
        </is>
      </c>
      <c r="R1676" t="n">
        <v>44483</v>
      </c>
      <c r="AD1676" t="inlineStr">
        <is>
          <t>TRUMBULL CAREER &amp; TECH CENTER</t>
        </is>
      </c>
      <c r="AE1676" t="inlineStr">
        <is>
          <t>WARREN CITY</t>
        </is>
      </c>
      <c r="AF1676" t="inlineStr">
        <is>
          <t>WARREN CITY SD</t>
        </is>
      </c>
      <c r="AH1676" t="n">
        <v>14</v>
      </c>
      <c r="AI1676" t="n">
        <v>11</v>
      </c>
      <c r="AN1676" t="inlineStr">
        <is>
          <t>WARREN</t>
        </is>
      </c>
      <c r="AO1676" t="inlineStr">
        <is>
          <t>WARREN CITY 4D</t>
        </is>
      </c>
      <c r="AP1676" t="inlineStr">
        <is>
          <t>78-P-ADL</t>
        </is>
      </c>
      <c r="AQ1676" t="n">
        <v>9</v>
      </c>
      <c r="AR1676" t="n">
        <v>64</v>
      </c>
      <c r="AS1676" t="n">
        <v>32</v>
      </c>
      <c r="AU1676">
        <f>COUNTA($BA$1676:$EH$1676)</f>
        <v/>
      </c>
      <c r="AV1676">
        <f>COUNTIF($BA$1676:$EH$1676,"D")</f>
        <v/>
      </c>
      <c r="AW1676">
        <f>COUNTIF($BA$1676:$EH$1676,"R")</f>
        <v/>
      </c>
      <c r="AX1676">
        <f>IF(BN1676="D",1,0)+IF(BO1676="D",1,0)+IF(BT1676="D",1,0)+IF(BU1676="D",1,0)+IF(BW1676="D",1,0)+IF(CC1676="D",1,0)+IF(CD1676="D",1,0)+IF(CE1676="D",1,0)+IF(CF1676="D",1,0)+IF(CL1676="D",1,0)+IF(CM1676="D",1,0)+IF(CQ1676="D",1,0)+IF(CR1676="D",1,0)+IF(CS1676="D",1,0)+IF(CW1676="D",1,0)+IF(CX1676="D",1,0)+IF(DD1676="D",1,0)+IF(DE1676="D",1,0)+IF(DJ1676="D",1,0)+IF(DK1676="D",1,0)+IF(DO1676="D",1,0)+IF(DP1676="D",1,0)+IF(DQ1676="D",1,0)+IF(DW1676="D",1,0)+IF(DZ1676="D",1,0)+IF(EH1676="D",1,0)</f>
        <v/>
      </c>
      <c r="AY1676">
        <f>IF(DJ1676&lt;&gt;"",1,0)+IF(DK1676&lt;&gt;"",1,0)+IF(DM1676&lt;&gt;"",1,0)+IF(DO1676&lt;&gt;"",1,0)+IF(DP1676&lt;&gt;"",1,0)+IF(DQ1676&lt;&gt;"",1,0)+IF(DS1676&lt;&gt;"",1,0)+IF(DT1676&lt;&gt;"",1,0)+IF(DV1676&lt;&gt;"",1,0)+IF(DW1676&lt;&gt;"",1,0)+IF(DX1676&lt;&gt;"",1,0)+IF(DY1676&lt;&gt;"",1,0)+IF(DZ1676&lt;&gt;"",1,0)+IF(EB1676&lt;&gt;"",1,0)+IF(EC1676&lt;&gt;"",1,0)+IF(ED1676&lt;&gt;"",1,0)+IF(EG1676&lt;&gt;"",1,0)+IF(EH1676&lt;&gt;"",1,0)</f>
        <v/>
      </c>
      <c r="AZ1676">
        <f>IF(EH1676&lt;&gt;"",1,0)</f>
        <v/>
      </c>
      <c r="BB1676" t="inlineStr">
        <is>
          <t>WARREN-WARD 4</t>
        </is>
      </c>
      <c r="BD1676" t="inlineStr">
        <is>
          <t>X</t>
        </is>
      </c>
      <c r="BE1676" t="inlineStr">
        <is>
          <t>X</t>
        </is>
      </c>
      <c r="BH1676" t="inlineStr">
        <is>
          <t>X</t>
        </is>
      </c>
      <c r="BJ1676" t="inlineStr">
        <is>
          <t>X</t>
        </is>
      </c>
      <c r="BK1676" t="inlineStr">
        <is>
          <t>X</t>
        </is>
      </c>
      <c r="BL1676" t="inlineStr">
        <is>
          <t>X</t>
        </is>
      </c>
      <c r="BR1676" t="inlineStr">
        <is>
          <t>X</t>
        </is>
      </c>
      <c r="BS1676" t="inlineStr">
        <is>
          <t>X</t>
        </is>
      </c>
      <c r="BY1676" t="inlineStr">
        <is>
          <t>D</t>
        </is>
      </c>
      <c r="CA1676" t="inlineStr">
        <is>
          <t>X</t>
        </is>
      </c>
      <c r="CG1676" t="inlineStr">
        <is>
          <t>X</t>
        </is>
      </c>
      <c r="CH1676" t="inlineStr">
        <is>
          <t>D</t>
        </is>
      </c>
      <c r="CK1676" t="inlineStr">
        <is>
          <t>X</t>
        </is>
      </c>
      <c r="CN1676" t="inlineStr">
        <is>
          <t>X</t>
        </is>
      </c>
      <c r="CP1676" t="inlineStr">
        <is>
          <t>X</t>
        </is>
      </c>
      <c r="CU1676" t="inlineStr">
        <is>
          <t>D</t>
        </is>
      </c>
      <c r="CV1676" t="inlineStr">
        <is>
          <t>X</t>
        </is>
      </c>
      <c r="CY1676" t="inlineStr">
        <is>
          <t>X</t>
        </is>
      </c>
      <c r="CZ1676" t="inlineStr">
        <is>
          <t>D</t>
        </is>
      </c>
      <c r="DC1676" t="inlineStr">
        <is>
          <t>X</t>
        </is>
      </c>
      <c r="DI1676" t="inlineStr">
        <is>
          <t>X</t>
        </is>
      </c>
      <c r="DN1676" t="inlineStr">
        <is>
          <t>X</t>
        </is>
      </c>
      <c r="DS1676" t="inlineStr">
        <is>
          <t>D</t>
        </is>
      </c>
      <c r="DT1676" t="inlineStr">
        <is>
          <t>D</t>
        </is>
      </c>
      <c r="DU1676" t="inlineStr">
        <is>
          <t>X</t>
        </is>
      </c>
      <c r="DW1676" t="inlineStr">
        <is>
          <t>D</t>
        </is>
      </c>
      <c r="DX1676" t="inlineStr">
        <is>
          <t>X</t>
        </is>
      </c>
      <c r="EA1676" t="inlineStr">
        <is>
          <t>X</t>
        </is>
      </c>
      <c r="ED1676" t="inlineStr">
        <is>
          <t>D</t>
        </is>
      </c>
      <c r="EF1676" t="inlineStr">
        <is>
          <t>X</t>
        </is>
      </c>
      <c r="EH1676" t="inlineStr">
        <is>
          <t>D</t>
        </is>
      </c>
    </row>
    <row r="1677">
      <c r="A1677" t="inlineStr">
        <is>
          <t>OH0015796929</t>
        </is>
      </c>
      <c r="B1677" t="n">
        <v>78</v>
      </c>
      <c r="C1677" t="n">
        <v>80660</v>
      </c>
      <c r="D1677" t="inlineStr">
        <is>
          <t>SLOAN</t>
        </is>
      </c>
      <c r="E1677" t="inlineStr">
        <is>
          <t>JAMES</t>
        </is>
      </c>
      <c r="F1677">
        <f>CONCATENATE(D1677," ",LEFT(H1677,4),"T=",AU1677,"D=",AV1677,"R=",AW1677,"M=",AX1677,"L=",AY1677,"B=",AZ1677)</f>
        <v/>
      </c>
      <c r="G1677" t="inlineStr">
        <is>
          <t>L</t>
        </is>
      </c>
      <c r="I1677" t="inlineStr">
        <is>
          <t>1932-12-08</t>
        </is>
      </c>
      <c r="J1677" t="inlineStr">
        <is>
          <t>2020-11-23</t>
        </is>
      </c>
      <c r="K1677" t="inlineStr">
        <is>
          <t>ACTIVE</t>
        </is>
      </c>
      <c r="M1677" t="inlineStr">
        <is>
          <t>187 LINDEN AVE SE</t>
        </is>
      </c>
      <c r="N1677">
        <f>RIGHT(M1677,LEN(M1677)-FIND(" ",M1677))</f>
        <v/>
      </c>
      <c r="P1677" t="inlineStr">
        <is>
          <t>WARREN</t>
        </is>
      </c>
      <c r="Q1677" t="inlineStr">
        <is>
          <t>OH</t>
        </is>
      </c>
      <c r="R1677" t="n">
        <v>44483</v>
      </c>
      <c r="AD1677" t="inlineStr">
        <is>
          <t>TRUMBULL CAREER &amp; TECH CENTER</t>
        </is>
      </c>
      <c r="AE1677" t="inlineStr">
        <is>
          <t>WARREN CITY</t>
        </is>
      </c>
      <c r="AF1677" t="inlineStr">
        <is>
          <t>WARREN CITY SD</t>
        </is>
      </c>
      <c r="AH1677" t="n">
        <v>14</v>
      </c>
      <c r="AI1677" t="n">
        <v>11</v>
      </c>
      <c r="AN1677" t="inlineStr">
        <is>
          <t>WARREN</t>
        </is>
      </c>
      <c r="AO1677" t="inlineStr">
        <is>
          <t>WARREN CITY 4D</t>
        </is>
      </c>
      <c r="AP1677" t="inlineStr">
        <is>
          <t>78-P-ADL</t>
        </is>
      </c>
      <c r="AQ1677" t="n">
        <v>9</v>
      </c>
      <c r="AR1677" t="n">
        <v>64</v>
      </c>
      <c r="AS1677" t="n">
        <v>32</v>
      </c>
      <c r="AU1677">
        <f>COUNTA($BA$1677:$EH$1677)</f>
        <v/>
      </c>
      <c r="AV1677">
        <f>COUNTIF($BA$1677:$EH$1677,"D")</f>
        <v/>
      </c>
      <c r="AW1677">
        <f>COUNTIF($BA$1677:$EH$1677,"R")</f>
        <v/>
      </c>
      <c r="AX1677">
        <f>IF(BN1677="D",1,0)+IF(BO1677="D",1,0)+IF(BT1677="D",1,0)+IF(BU1677="D",1,0)+IF(BW1677="D",1,0)+IF(CC1677="D",1,0)+IF(CD1677="D",1,0)+IF(CE1677="D",1,0)+IF(CF1677="D",1,0)+IF(CL1677="D",1,0)+IF(CM1677="D",1,0)+IF(CQ1677="D",1,0)+IF(CR1677="D",1,0)+IF(CS1677="D",1,0)+IF(CW1677="D",1,0)+IF(CX1677="D",1,0)+IF(DD1677="D",1,0)+IF(DE1677="D",1,0)+IF(DJ1677="D",1,0)+IF(DK1677="D",1,0)+IF(DO1677="D",1,0)+IF(DP1677="D",1,0)+IF(DQ1677="D",1,0)+IF(DW1677="D",1,0)+IF(DZ1677="D",1,0)+IF(EH1677="D",1,0)</f>
        <v/>
      </c>
      <c r="AY1677">
        <f>IF(DJ1677&lt;&gt;"",1,0)+IF(DK1677&lt;&gt;"",1,0)+IF(DM1677&lt;&gt;"",1,0)+IF(DO1677&lt;&gt;"",1,0)+IF(DP1677&lt;&gt;"",1,0)+IF(DQ1677&lt;&gt;"",1,0)+IF(DS1677&lt;&gt;"",1,0)+IF(DT1677&lt;&gt;"",1,0)+IF(DV1677&lt;&gt;"",1,0)+IF(DW1677&lt;&gt;"",1,0)+IF(DX1677&lt;&gt;"",1,0)+IF(DY1677&lt;&gt;"",1,0)+IF(DZ1677&lt;&gt;"",1,0)+IF(EB1677&lt;&gt;"",1,0)+IF(EC1677&lt;&gt;"",1,0)+IF(ED1677&lt;&gt;"",1,0)+IF(EG1677&lt;&gt;"",1,0)+IF(EH1677&lt;&gt;"",1,0)</f>
        <v/>
      </c>
      <c r="AZ1677">
        <f>IF(EH1677&lt;&gt;"",1,0)</f>
        <v/>
      </c>
      <c r="BB1677" t="inlineStr">
        <is>
          <t>WARREN-WARD 4</t>
        </is>
      </c>
      <c r="BC1677" t="inlineStr">
        <is>
          <t>X</t>
        </is>
      </c>
      <c r="BD1677" t="inlineStr">
        <is>
          <t>X</t>
        </is>
      </c>
      <c r="BE1677" t="inlineStr">
        <is>
          <t>X</t>
        </is>
      </c>
      <c r="BG1677" t="inlineStr">
        <is>
          <t>X</t>
        </is>
      </c>
      <c r="BH1677" t="inlineStr">
        <is>
          <t>X</t>
        </is>
      </c>
      <c r="BI1677" t="inlineStr">
        <is>
          <t>X</t>
        </is>
      </c>
      <c r="BJ1677" t="inlineStr">
        <is>
          <t>X</t>
        </is>
      </c>
      <c r="BK1677" t="inlineStr">
        <is>
          <t>X</t>
        </is>
      </c>
      <c r="BL1677" t="inlineStr">
        <is>
          <t>X</t>
        </is>
      </c>
      <c r="BP1677" t="inlineStr">
        <is>
          <t>X</t>
        </is>
      </c>
      <c r="BR1677" t="inlineStr">
        <is>
          <t>X</t>
        </is>
      </c>
      <c r="BS1677" t="inlineStr">
        <is>
          <t>X</t>
        </is>
      </c>
      <c r="BY1677" t="inlineStr">
        <is>
          <t>D</t>
        </is>
      </c>
      <c r="CA1677" t="inlineStr">
        <is>
          <t>X</t>
        </is>
      </c>
      <c r="CG1677" t="inlineStr">
        <is>
          <t>X</t>
        </is>
      </c>
      <c r="CH1677" t="inlineStr">
        <is>
          <t>D</t>
        </is>
      </c>
      <c r="CK1677" t="inlineStr">
        <is>
          <t>X</t>
        </is>
      </c>
      <c r="CL1677" t="inlineStr">
        <is>
          <t>D</t>
        </is>
      </c>
      <c r="CN1677" t="inlineStr">
        <is>
          <t>X</t>
        </is>
      </c>
      <c r="CP1677" t="inlineStr">
        <is>
          <t>X</t>
        </is>
      </c>
      <c r="CV1677" t="inlineStr">
        <is>
          <t>X</t>
        </is>
      </c>
      <c r="CY1677" t="inlineStr">
        <is>
          <t>X</t>
        </is>
      </c>
      <c r="CZ1677" t="inlineStr">
        <is>
          <t>R</t>
        </is>
      </c>
      <c r="DC1677" t="inlineStr">
        <is>
          <t>X</t>
        </is>
      </c>
      <c r="DG1677" t="inlineStr">
        <is>
          <t>D</t>
        </is>
      </c>
      <c r="DI1677" t="inlineStr">
        <is>
          <t>X</t>
        </is>
      </c>
      <c r="DL1677" t="inlineStr">
        <is>
          <t>X</t>
        </is>
      </c>
      <c r="DN1677" t="inlineStr">
        <is>
          <t>X</t>
        </is>
      </c>
      <c r="DU1677" t="inlineStr">
        <is>
          <t>X</t>
        </is>
      </c>
      <c r="EA1677" t="inlineStr">
        <is>
          <t>X</t>
        </is>
      </c>
      <c r="EF1677" t="inlineStr">
        <is>
          <t>X</t>
        </is>
      </c>
    </row>
    <row r="1678">
      <c r="A1678" t="inlineStr">
        <is>
          <t>OH0025859218</t>
        </is>
      </c>
      <c r="B1678" t="n">
        <v>78</v>
      </c>
      <c r="C1678" t="n">
        <v>451296</v>
      </c>
      <c r="D1678" t="inlineStr">
        <is>
          <t>SCOFIELD</t>
        </is>
      </c>
      <c r="E1678" t="inlineStr">
        <is>
          <t>THOMAS</t>
        </is>
      </c>
      <c r="F1678">
        <f>CONCATENATE(D1678," ",LEFT(H1678,4),"T=",AU1678,"D=",AV1678,"R=",AW1678,"M=",AX1678,"L=",AY1678,"B=",AZ1678)</f>
        <v/>
      </c>
      <c r="G1678" t="inlineStr">
        <is>
          <t>JON</t>
        </is>
      </c>
      <c r="I1678" t="inlineStr">
        <is>
          <t>2001-11-05</t>
        </is>
      </c>
      <c r="J1678" t="inlineStr">
        <is>
          <t>2020-09-01</t>
        </is>
      </c>
      <c r="K1678" t="inlineStr">
        <is>
          <t>ACTIVE</t>
        </is>
      </c>
      <c r="M1678" t="inlineStr">
        <is>
          <t>149 CHARLES AVE NE</t>
        </is>
      </c>
      <c r="N1678">
        <f>RIGHT(M1678,LEN(M1678)-FIND(" ",M1678))</f>
        <v/>
      </c>
      <c r="P1678" t="inlineStr">
        <is>
          <t>WARREN</t>
        </is>
      </c>
      <c r="Q1678" t="inlineStr">
        <is>
          <t>OH</t>
        </is>
      </c>
      <c r="R1678" t="n">
        <v>44483</v>
      </c>
      <c r="AD1678" t="inlineStr">
        <is>
          <t>TRUMBULL CAREER &amp; TECH CENTER</t>
        </is>
      </c>
      <c r="AE1678" t="inlineStr">
        <is>
          <t>WARREN CITY</t>
        </is>
      </c>
      <c r="AF1678" t="inlineStr">
        <is>
          <t>WARREN CITY SD</t>
        </is>
      </c>
      <c r="AH1678" t="n">
        <v>14</v>
      </c>
      <c r="AI1678" t="n">
        <v>11</v>
      </c>
      <c r="AN1678" t="inlineStr">
        <is>
          <t>WARREN</t>
        </is>
      </c>
      <c r="AO1678" t="inlineStr">
        <is>
          <t>WARREN CITY 4D</t>
        </is>
      </c>
      <c r="AP1678" t="inlineStr">
        <is>
          <t>78-P-ADL</t>
        </is>
      </c>
      <c r="AQ1678" t="n">
        <v>9</v>
      </c>
      <c r="AR1678" t="n">
        <v>64</v>
      </c>
      <c r="AS1678" t="n">
        <v>32</v>
      </c>
      <c r="AU1678">
        <f>COUNTA($BA$1678:$EH$1678)</f>
        <v/>
      </c>
      <c r="AV1678">
        <f>COUNTIF($BA$1678:$EH$1678,"D")</f>
        <v/>
      </c>
      <c r="AW1678">
        <f>COUNTIF($BA$1678:$EH$1678,"R")</f>
        <v/>
      </c>
      <c r="AX1678">
        <f>IF(BN1678="D",1,0)+IF(BO1678="D",1,0)+IF(BT1678="D",1,0)+IF(BU1678="D",1,0)+IF(BW1678="D",1,0)+IF(CC1678="D",1,0)+IF(CD1678="D",1,0)+IF(CE1678="D",1,0)+IF(CF1678="D",1,0)+IF(CL1678="D",1,0)+IF(CM1678="D",1,0)+IF(CQ1678="D",1,0)+IF(CR1678="D",1,0)+IF(CS1678="D",1,0)+IF(CW1678="D",1,0)+IF(CX1678="D",1,0)+IF(DD1678="D",1,0)+IF(DE1678="D",1,0)+IF(DJ1678="D",1,0)+IF(DK1678="D",1,0)+IF(DO1678="D",1,0)+IF(DP1678="D",1,0)+IF(DQ1678="D",1,0)+IF(DW1678="D",1,0)+IF(DZ1678="D",1,0)+IF(EH1678="D",1,0)</f>
        <v/>
      </c>
      <c r="AY1678">
        <f>IF(DJ1678&lt;&gt;"",1,0)+IF(DK1678&lt;&gt;"",1,0)+IF(DM1678&lt;&gt;"",1,0)+IF(DO1678&lt;&gt;"",1,0)+IF(DP1678&lt;&gt;"",1,0)+IF(DQ1678&lt;&gt;"",1,0)+IF(DS1678&lt;&gt;"",1,0)+IF(DT1678&lt;&gt;"",1,0)+IF(DV1678&lt;&gt;"",1,0)+IF(DW1678&lt;&gt;"",1,0)+IF(DX1678&lt;&gt;"",1,0)+IF(DY1678&lt;&gt;"",1,0)+IF(DZ1678&lt;&gt;"",1,0)+IF(EB1678&lt;&gt;"",1,0)+IF(EC1678&lt;&gt;"",1,0)+IF(ED1678&lt;&gt;"",1,0)+IF(EG1678&lt;&gt;"",1,0)+IF(EH1678&lt;&gt;"",1,0)</f>
        <v/>
      </c>
      <c r="AZ1678">
        <f>IF(EH1678&lt;&gt;"",1,0)</f>
        <v/>
      </c>
      <c r="BB1678" t="inlineStr">
        <is>
          <t>WARREN-WARD 4</t>
        </is>
      </c>
      <c r="DN1678" t="inlineStr">
        <is>
          <t>X</t>
        </is>
      </c>
      <c r="EF1678" t="inlineStr">
        <is>
          <t>X</t>
        </is>
      </c>
    </row>
    <row r="1679">
      <c r="A1679" t="inlineStr">
        <is>
          <t>OH0020822098</t>
        </is>
      </c>
      <c r="B1679" t="n">
        <v>78</v>
      </c>
      <c r="C1679" t="n">
        <v>370534</v>
      </c>
      <c r="D1679" t="inlineStr">
        <is>
          <t>DAVIS</t>
        </is>
      </c>
      <c r="E1679" t="inlineStr">
        <is>
          <t>MICHELLE</t>
        </is>
      </c>
      <c r="F1679">
        <f>CONCATENATE(D1679," ",LEFT(H1679,4),"T=",AU1679,"D=",AV1679,"R=",AW1679,"M=",AX1679,"L=",AY1679,"B=",AZ1679)</f>
        <v/>
      </c>
      <c r="G1679" t="inlineStr">
        <is>
          <t>M</t>
        </is>
      </c>
      <c r="I1679" t="inlineStr">
        <is>
          <t>1971-07-28</t>
        </is>
      </c>
      <c r="J1679" t="inlineStr">
        <is>
          <t>2016-10-11</t>
        </is>
      </c>
      <c r="K1679" t="inlineStr">
        <is>
          <t>ACTIVE</t>
        </is>
      </c>
      <c r="M1679" t="inlineStr">
        <is>
          <t>1216 WOODLAND AVE NE</t>
        </is>
      </c>
      <c r="N1679">
        <f>RIGHT(M1679,LEN(M1679)-FIND(" ",M1679))</f>
        <v/>
      </c>
      <c r="P1679" t="inlineStr">
        <is>
          <t>WARREN</t>
        </is>
      </c>
      <c r="Q1679" t="inlineStr">
        <is>
          <t>OH</t>
        </is>
      </c>
      <c r="R1679" t="n">
        <v>44483</v>
      </c>
      <c r="AD1679" t="inlineStr">
        <is>
          <t>TRUMBULL CAREER &amp; TECH CENTER</t>
        </is>
      </c>
      <c r="AE1679" t="inlineStr">
        <is>
          <t>WARREN CITY</t>
        </is>
      </c>
      <c r="AF1679" t="inlineStr">
        <is>
          <t>WARREN CITY SD</t>
        </is>
      </c>
      <c r="AH1679" t="n">
        <v>14</v>
      </c>
      <c r="AI1679" t="n">
        <v>11</v>
      </c>
      <c r="AN1679" t="inlineStr">
        <is>
          <t>WARREN</t>
        </is>
      </c>
      <c r="AO1679" t="inlineStr">
        <is>
          <t>WARREN CITY 4D</t>
        </is>
      </c>
      <c r="AP1679" t="inlineStr">
        <is>
          <t>78-P-ADL</t>
        </is>
      </c>
      <c r="AQ1679" t="n">
        <v>9</v>
      </c>
      <c r="AR1679" t="n">
        <v>64</v>
      </c>
      <c r="AS1679" t="n">
        <v>32</v>
      </c>
      <c r="AU1679">
        <f>COUNTA($BA$1679:$EH$1679)</f>
        <v/>
      </c>
      <c r="AV1679">
        <f>COUNTIF($BA$1679:$EH$1679,"D")</f>
        <v/>
      </c>
      <c r="AW1679">
        <f>COUNTIF($BA$1679:$EH$1679,"R")</f>
        <v/>
      </c>
      <c r="AX1679">
        <f>IF(BN1679="D",1,0)+IF(BO1679="D",1,0)+IF(BT1679="D",1,0)+IF(BU1679="D",1,0)+IF(BW1679="D",1,0)+IF(CC1679="D",1,0)+IF(CD1679="D",1,0)+IF(CE1679="D",1,0)+IF(CF1679="D",1,0)+IF(CL1679="D",1,0)+IF(CM1679="D",1,0)+IF(CQ1679="D",1,0)+IF(CR1679="D",1,0)+IF(CS1679="D",1,0)+IF(CW1679="D",1,0)+IF(CX1679="D",1,0)+IF(DD1679="D",1,0)+IF(DE1679="D",1,0)+IF(DJ1679="D",1,0)+IF(DK1679="D",1,0)+IF(DO1679="D",1,0)+IF(DP1679="D",1,0)+IF(DQ1679="D",1,0)+IF(DW1679="D",1,0)+IF(DZ1679="D",1,0)+IF(EH1679="D",1,0)</f>
        <v/>
      </c>
      <c r="AY1679">
        <f>IF(DJ1679&lt;&gt;"",1,0)+IF(DK1679&lt;&gt;"",1,0)+IF(DM1679&lt;&gt;"",1,0)+IF(DO1679&lt;&gt;"",1,0)+IF(DP1679&lt;&gt;"",1,0)+IF(DQ1679&lt;&gt;"",1,0)+IF(DS1679&lt;&gt;"",1,0)+IF(DT1679&lt;&gt;"",1,0)+IF(DV1679&lt;&gt;"",1,0)+IF(DW1679&lt;&gt;"",1,0)+IF(DX1679&lt;&gt;"",1,0)+IF(DY1679&lt;&gt;"",1,0)+IF(DZ1679&lt;&gt;"",1,0)+IF(EB1679&lt;&gt;"",1,0)+IF(EC1679&lt;&gt;"",1,0)+IF(ED1679&lt;&gt;"",1,0)+IF(EG1679&lt;&gt;"",1,0)+IF(EH1679&lt;&gt;"",1,0)</f>
        <v/>
      </c>
      <c r="AZ1679">
        <f>IF(EH1679&lt;&gt;"",1,0)</f>
        <v/>
      </c>
      <c r="BB1679" t="inlineStr">
        <is>
          <t>WARREN-WARD 4</t>
        </is>
      </c>
      <c r="DC1679" t="inlineStr">
        <is>
          <t>X</t>
        </is>
      </c>
      <c r="DI1679" t="inlineStr">
        <is>
          <t>X</t>
        </is>
      </c>
      <c r="DN1679" t="inlineStr">
        <is>
          <t>X</t>
        </is>
      </c>
      <c r="EA1679" t="inlineStr">
        <is>
          <t>X</t>
        </is>
      </c>
      <c r="EF1679" t="inlineStr">
        <is>
          <t>X</t>
        </is>
      </c>
    </row>
    <row r="1680">
      <c r="A1680" t="inlineStr">
        <is>
          <t>OH0021320113</t>
        </is>
      </c>
      <c r="B1680" t="n">
        <v>78</v>
      </c>
      <c r="C1680" t="n">
        <v>379126</v>
      </c>
      <c r="D1680" t="inlineStr">
        <is>
          <t>BARE</t>
        </is>
      </c>
      <c r="E1680" t="inlineStr">
        <is>
          <t>PATRICK</t>
        </is>
      </c>
      <c r="F1680">
        <f>CONCATENATE(D1680," ",LEFT(H1680,4),"T=",AU1680,"D=",AV1680,"R=",AW1680,"M=",AX1680,"L=",AY1680,"B=",AZ1680)</f>
        <v/>
      </c>
      <c r="G1680" t="inlineStr">
        <is>
          <t>N</t>
        </is>
      </c>
      <c r="I1680" t="inlineStr">
        <is>
          <t>1978-02-10</t>
        </is>
      </c>
      <c r="J1680" t="inlineStr">
        <is>
          <t>2016-10-11</t>
        </is>
      </c>
      <c r="K1680" t="inlineStr">
        <is>
          <t>ACTIVE</t>
        </is>
      </c>
      <c r="M1680" t="inlineStr">
        <is>
          <t>1125 HIGH ST NE</t>
        </is>
      </c>
      <c r="N1680">
        <f>RIGHT(M1680,LEN(M1680)-FIND(" ",M1680))</f>
        <v/>
      </c>
      <c r="P1680" t="inlineStr">
        <is>
          <t>WARREN</t>
        </is>
      </c>
      <c r="Q1680" t="inlineStr">
        <is>
          <t>OH</t>
        </is>
      </c>
      <c r="R1680" t="n">
        <v>44483</v>
      </c>
      <c r="AD1680" t="inlineStr">
        <is>
          <t>TRUMBULL CAREER &amp; TECH CENTER</t>
        </is>
      </c>
      <c r="AE1680" t="inlineStr">
        <is>
          <t>WARREN CITY</t>
        </is>
      </c>
      <c r="AF1680" t="inlineStr">
        <is>
          <t>WARREN CITY SD</t>
        </is>
      </c>
      <c r="AH1680" t="n">
        <v>14</v>
      </c>
      <c r="AI1680" t="n">
        <v>11</v>
      </c>
      <c r="AN1680" t="inlineStr">
        <is>
          <t>WARREN</t>
        </is>
      </c>
      <c r="AO1680" t="inlineStr">
        <is>
          <t>WARREN CITY 4D</t>
        </is>
      </c>
      <c r="AP1680" t="inlineStr">
        <is>
          <t>78-P-ADL</t>
        </is>
      </c>
      <c r="AQ1680" t="n">
        <v>9</v>
      </c>
      <c r="AR1680" t="n">
        <v>64</v>
      </c>
      <c r="AS1680" t="n">
        <v>32</v>
      </c>
      <c r="AU1680">
        <f>COUNTA($BA$1680:$EH$1680)</f>
        <v/>
      </c>
      <c r="AV1680">
        <f>COUNTIF($BA$1680:$EH$1680,"D")</f>
        <v/>
      </c>
      <c r="AW1680">
        <f>COUNTIF($BA$1680:$EH$1680,"R")</f>
        <v/>
      </c>
      <c r="AX1680">
        <f>IF(BN1680="D",1,0)+IF(BO1680="D",1,0)+IF(BT1680="D",1,0)+IF(BU1680="D",1,0)+IF(BW1680="D",1,0)+IF(CC1680="D",1,0)+IF(CD1680="D",1,0)+IF(CE1680="D",1,0)+IF(CF1680="D",1,0)+IF(CL1680="D",1,0)+IF(CM1680="D",1,0)+IF(CQ1680="D",1,0)+IF(CR1680="D",1,0)+IF(CS1680="D",1,0)+IF(CW1680="D",1,0)+IF(CX1680="D",1,0)+IF(DD1680="D",1,0)+IF(DE1680="D",1,0)+IF(DJ1680="D",1,0)+IF(DK1680="D",1,0)+IF(DO1680="D",1,0)+IF(DP1680="D",1,0)+IF(DQ1680="D",1,0)+IF(DW1680="D",1,0)+IF(DZ1680="D",1,0)+IF(EH1680="D",1,0)</f>
        <v/>
      </c>
      <c r="AY1680">
        <f>IF(DJ1680&lt;&gt;"",1,0)+IF(DK1680&lt;&gt;"",1,0)+IF(DM1680&lt;&gt;"",1,0)+IF(DO1680&lt;&gt;"",1,0)+IF(DP1680&lt;&gt;"",1,0)+IF(DQ1680&lt;&gt;"",1,0)+IF(DS1680&lt;&gt;"",1,0)+IF(DT1680&lt;&gt;"",1,0)+IF(DV1680&lt;&gt;"",1,0)+IF(DW1680&lt;&gt;"",1,0)+IF(DX1680&lt;&gt;"",1,0)+IF(DY1680&lt;&gt;"",1,0)+IF(DZ1680&lt;&gt;"",1,0)+IF(EB1680&lt;&gt;"",1,0)+IF(EC1680&lt;&gt;"",1,0)+IF(ED1680&lt;&gt;"",1,0)+IF(EG1680&lt;&gt;"",1,0)+IF(EH1680&lt;&gt;"",1,0)</f>
        <v/>
      </c>
      <c r="AZ1680">
        <f>IF(EH1680&lt;&gt;"",1,0)</f>
        <v/>
      </c>
      <c r="BB1680" t="inlineStr">
        <is>
          <t>WARREN-WARD 4</t>
        </is>
      </c>
      <c r="CP1680" t="inlineStr">
        <is>
          <t>X</t>
        </is>
      </c>
      <c r="DC1680" t="inlineStr">
        <is>
          <t>X</t>
        </is>
      </c>
      <c r="DN1680" t="inlineStr">
        <is>
          <t>X</t>
        </is>
      </c>
      <c r="DU1680" t="inlineStr">
        <is>
          <t>X</t>
        </is>
      </c>
      <c r="EA1680" t="inlineStr">
        <is>
          <t>X</t>
        </is>
      </c>
      <c r="EF1680" t="inlineStr">
        <is>
          <t>X</t>
        </is>
      </c>
    </row>
    <row r="1681">
      <c r="A1681" t="inlineStr">
        <is>
          <t>OH0027357397</t>
        </is>
      </c>
      <c r="B1681" t="n">
        <v>78</v>
      </c>
      <c r="C1681" t="n">
        <v>485070</v>
      </c>
      <c r="D1681" t="inlineStr">
        <is>
          <t>OLIVER</t>
        </is>
      </c>
      <c r="E1681" t="inlineStr">
        <is>
          <t>CAMREN</t>
        </is>
      </c>
      <c r="F1681">
        <f>CONCATENATE(D1681," ",LEFT(H1681,4),"T=",AU1681,"D=",AV1681,"R=",AW1681,"M=",AX1681,"L=",AY1681,"B=",AZ1681)</f>
        <v/>
      </c>
      <c r="G1681" t="inlineStr">
        <is>
          <t>JAYCE</t>
        </is>
      </c>
      <c r="I1681" t="inlineStr">
        <is>
          <t>2006-05-03</t>
        </is>
      </c>
      <c r="J1681" t="inlineStr">
        <is>
          <t>2024-05-17</t>
        </is>
      </c>
      <c r="K1681" t="inlineStr">
        <is>
          <t>ACTIVE</t>
        </is>
      </c>
      <c r="M1681" t="inlineStr">
        <is>
          <t>340 VINE AVE NE</t>
        </is>
      </c>
      <c r="N1681">
        <f>RIGHT(M1681,LEN(M1681)-FIND(" ",M1681))</f>
        <v/>
      </c>
      <c r="P1681" t="inlineStr">
        <is>
          <t>WARREN</t>
        </is>
      </c>
      <c r="Q1681" t="inlineStr">
        <is>
          <t>OH</t>
        </is>
      </c>
      <c r="R1681" t="n">
        <v>44483</v>
      </c>
      <c r="AD1681" t="inlineStr">
        <is>
          <t>TRUMBULL CAREER &amp; TECH CENTER</t>
        </is>
      </c>
      <c r="AE1681" t="inlineStr">
        <is>
          <t>WARREN CITY</t>
        </is>
      </c>
      <c r="AF1681" t="inlineStr">
        <is>
          <t>WARREN CITY SD</t>
        </is>
      </c>
      <c r="AH1681" t="n">
        <v>14</v>
      </c>
      <c r="AI1681" t="n">
        <v>11</v>
      </c>
      <c r="AN1681" t="inlineStr">
        <is>
          <t>WARREN</t>
        </is>
      </c>
      <c r="AO1681" t="inlineStr">
        <is>
          <t>WARREN CITY 4D</t>
        </is>
      </c>
      <c r="AP1681" t="inlineStr">
        <is>
          <t>78-P-ADL</t>
        </is>
      </c>
      <c r="AQ1681" t="n">
        <v>9</v>
      </c>
      <c r="AR1681" t="n">
        <v>64</v>
      </c>
      <c r="AS1681" t="n">
        <v>32</v>
      </c>
      <c r="AU1681">
        <f>COUNTA($BA$1681:$EH$1681)</f>
        <v/>
      </c>
      <c r="AV1681">
        <f>COUNTIF($BA$1681:$EH$1681,"D")</f>
        <v/>
      </c>
      <c r="AW1681">
        <f>COUNTIF($BA$1681:$EH$1681,"R")</f>
        <v/>
      </c>
      <c r="AX1681">
        <f>IF(BN1681="D",1,0)+IF(BO1681="D",1,0)+IF(BT1681="D",1,0)+IF(BU1681="D",1,0)+IF(BW1681="D",1,0)+IF(CC1681="D",1,0)+IF(CD1681="D",1,0)+IF(CE1681="D",1,0)+IF(CF1681="D",1,0)+IF(CL1681="D",1,0)+IF(CM1681="D",1,0)+IF(CQ1681="D",1,0)+IF(CR1681="D",1,0)+IF(CS1681="D",1,0)+IF(CW1681="D",1,0)+IF(CX1681="D",1,0)+IF(DD1681="D",1,0)+IF(DE1681="D",1,0)+IF(DJ1681="D",1,0)+IF(DK1681="D",1,0)+IF(DO1681="D",1,0)+IF(DP1681="D",1,0)+IF(DQ1681="D",1,0)+IF(DW1681="D",1,0)+IF(DZ1681="D",1,0)+IF(EH1681="D",1,0)</f>
        <v/>
      </c>
      <c r="AY1681">
        <f>IF(DJ1681&lt;&gt;"",1,0)+IF(DK1681&lt;&gt;"",1,0)+IF(DM1681&lt;&gt;"",1,0)+IF(DO1681&lt;&gt;"",1,0)+IF(DP1681&lt;&gt;"",1,0)+IF(DQ1681&lt;&gt;"",1,0)+IF(DS1681&lt;&gt;"",1,0)+IF(DT1681&lt;&gt;"",1,0)+IF(DV1681&lt;&gt;"",1,0)+IF(DW1681&lt;&gt;"",1,0)+IF(DX1681&lt;&gt;"",1,0)+IF(DY1681&lt;&gt;"",1,0)+IF(DZ1681&lt;&gt;"",1,0)+IF(EB1681&lt;&gt;"",1,0)+IF(EC1681&lt;&gt;"",1,0)+IF(ED1681&lt;&gt;"",1,0)+IF(EG1681&lt;&gt;"",1,0)+IF(EH1681&lt;&gt;"",1,0)</f>
        <v/>
      </c>
      <c r="AZ1681">
        <f>IF(EH1681&lt;&gt;"",1,0)</f>
        <v/>
      </c>
      <c r="BB1681" t="inlineStr">
        <is>
          <t>WARREN-WARD 4</t>
        </is>
      </c>
    </row>
    <row r="1682">
      <c r="A1682" t="inlineStr">
        <is>
          <t>OH0026521867</t>
        </is>
      </c>
      <c r="B1682" t="n">
        <v>78</v>
      </c>
      <c r="C1682" t="n">
        <v>463611</v>
      </c>
      <c r="D1682" t="inlineStr">
        <is>
          <t>CHURCH</t>
        </is>
      </c>
      <c r="E1682" t="inlineStr">
        <is>
          <t>MICHAEL</t>
        </is>
      </c>
      <c r="F1682">
        <f>CONCATENATE(D1682," ",LEFT(H1682,4),"T=",AU1682,"D=",AV1682,"R=",AW1682,"M=",AX1682,"L=",AY1682,"B=",AZ1682)</f>
        <v/>
      </c>
      <c r="G1682" t="inlineStr">
        <is>
          <t>RYAN</t>
        </is>
      </c>
      <c r="I1682" t="inlineStr">
        <is>
          <t>1981-02-04</t>
        </is>
      </c>
      <c r="J1682" t="inlineStr">
        <is>
          <t>2022-06-03</t>
        </is>
      </c>
      <c r="K1682" t="inlineStr">
        <is>
          <t>ACTIVE</t>
        </is>
      </c>
      <c r="M1682" t="inlineStr">
        <is>
          <t>527 WASHINGTON ST NE</t>
        </is>
      </c>
      <c r="N1682">
        <f>RIGHT(M1682,LEN(M1682)-FIND(" ",M1682))</f>
        <v/>
      </c>
      <c r="P1682" t="inlineStr">
        <is>
          <t>WARREN</t>
        </is>
      </c>
      <c r="Q1682" t="inlineStr">
        <is>
          <t>OH</t>
        </is>
      </c>
      <c r="R1682" t="n">
        <v>44483</v>
      </c>
      <c r="AD1682" t="inlineStr">
        <is>
          <t>TRUMBULL CAREER &amp; TECH CENTER</t>
        </is>
      </c>
      <c r="AE1682" t="inlineStr">
        <is>
          <t>WARREN CITY</t>
        </is>
      </c>
      <c r="AF1682" t="inlineStr">
        <is>
          <t>WARREN CITY SD</t>
        </is>
      </c>
      <c r="AH1682" t="n">
        <v>14</v>
      </c>
      <c r="AI1682" t="n">
        <v>11</v>
      </c>
      <c r="AN1682" t="inlineStr">
        <is>
          <t>WARREN</t>
        </is>
      </c>
      <c r="AO1682" t="inlineStr">
        <is>
          <t>WARREN CITY 4D</t>
        </is>
      </c>
      <c r="AP1682" t="inlineStr">
        <is>
          <t>78-P-ADL</t>
        </is>
      </c>
      <c r="AQ1682" t="n">
        <v>9</v>
      </c>
      <c r="AR1682" t="n">
        <v>64</v>
      </c>
      <c r="AS1682" t="n">
        <v>32</v>
      </c>
      <c r="AU1682">
        <f>COUNTA($BA$1682:$EH$1682)</f>
        <v/>
      </c>
      <c r="AV1682">
        <f>COUNTIF($BA$1682:$EH$1682,"D")</f>
        <v/>
      </c>
      <c r="AW1682">
        <f>COUNTIF($BA$1682:$EH$1682,"R")</f>
        <v/>
      </c>
      <c r="AX1682">
        <f>IF(BN1682="D",1,0)+IF(BO1682="D",1,0)+IF(BT1682="D",1,0)+IF(BU1682="D",1,0)+IF(BW1682="D",1,0)+IF(CC1682="D",1,0)+IF(CD1682="D",1,0)+IF(CE1682="D",1,0)+IF(CF1682="D",1,0)+IF(CL1682="D",1,0)+IF(CM1682="D",1,0)+IF(CQ1682="D",1,0)+IF(CR1682="D",1,0)+IF(CS1682="D",1,0)+IF(CW1682="D",1,0)+IF(CX1682="D",1,0)+IF(DD1682="D",1,0)+IF(DE1682="D",1,0)+IF(DJ1682="D",1,0)+IF(DK1682="D",1,0)+IF(DO1682="D",1,0)+IF(DP1682="D",1,0)+IF(DQ1682="D",1,0)+IF(DW1682="D",1,0)+IF(DZ1682="D",1,0)+IF(EH1682="D",1,0)</f>
        <v/>
      </c>
      <c r="AY1682">
        <f>IF(DJ1682&lt;&gt;"",1,0)+IF(DK1682&lt;&gt;"",1,0)+IF(DM1682&lt;&gt;"",1,0)+IF(DO1682&lt;&gt;"",1,0)+IF(DP1682&lt;&gt;"",1,0)+IF(DQ1682&lt;&gt;"",1,0)+IF(DS1682&lt;&gt;"",1,0)+IF(DT1682&lt;&gt;"",1,0)+IF(DV1682&lt;&gt;"",1,0)+IF(DW1682&lt;&gt;"",1,0)+IF(DX1682&lt;&gt;"",1,0)+IF(DY1682&lt;&gt;"",1,0)+IF(DZ1682&lt;&gt;"",1,0)+IF(EB1682&lt;&gt;"",1,0)+IF(EC1682&lt;&gt;"",1,0)+IF(ED1682&lt;&gt;"",1,0)+IF(EG1682&lt;&gt;"",1,0)+IF(EH1682&lt;&gt;"",1,0)</f>
        <v/>
      </c>
      <c r="AZ1682">
        <f>IF(EH1682&lt;&gt;"",1,0)</f>
        <v/>
      </c>
      <c r="BB1682" t="inlineStr">
        <is>
          <t>WARREN-WARD 4</t>
        </is>
      </c>
    </row>
    <row r="1683">
      <c r="A1683" t="inlineStr">
        <is>
          <t>OH0021700268</t>
        </is>
      </c>
      <c r="B1683" t="n">
        <v>78</v>
      </c>
      <c r="C1683" t="n">
        <v>385318</v>
      </c>
      <c r="D1683" t="inlineStr">
        <is>
          <t>ENGLISH</t>
        </is>
      </c>
      <c r="E1683" t="inlineStr">
        <is>
          <t>ALEXA</t>
        </is>
      </c>
      <c r="F1683">
        <f>CONCATENATE(D1683," ",LEFT(H1683,4),"T=",AU1683,"D=",AV1683,"R=",AW1683,"M=",AX1683,"L=",AY1683,"B=",AZ1683)</f>
        <v/>
      </c>
      <c r="G1683" t="inlineStr">
        <is>
          <t>M</t>
        </is>
      </c>
      <c r="I1683" t="inlineStr">
        <is>
          <t>1993-06-25</t>
        </is>
      </c>
      <c r="J1683" t="inlineStr">
        <is>
          <t>2024-09-20</t>
        </is>
      </c>
      <c r="K1683" t="inlineStr">
        <is>
          <t>ACTIVE</t>
        </is>
      </c>
      <c r="M1683" t="inlineStr">
        <is>
          <t>216 LOGAN AVE SE</t>
        </is>
      </c>
      <c r="N1683">
        <f>RIGHT(M1683,LEN(M1683)-FIND(" ",M1683))</f>
        <v/>
      </c>
      <c r="P1683" t="inlineStr">
        <is>
          <t>WARREN</t>
        </is>
      </c>
      <c r="Q1683" t="inlineStr">
        <is>
          <t>OH</t>
        </is>
      </c>
      <c r="R1683" t="n">
        <v>44483</v>
      </c>
      <c r="AD1683" t="inlineStr">
        <is>
          <t>TRUMBULL CAREER &amp; TECH CENTER</t>
        </is>
      </c>
      <c r="AE1683" t="inlineStr">
        <is>
          <t>WARREN CITY</t>
        </is>
      </c>
      <c r="AF1683" t="inlineStr">
        <is>
          <t>WARREN CITY SD</t>
        </is>
      </c>
      <c r="AH1683" t="n">
        <v>14</v>
      </c>
      <c r="AI1683" t="n">
        <v>11</v>
      </c>
      <c r="AN1683" t="inlineStr">
        <is>
          <t>WARREN</t>
        </is>
      </c>
      <c r="AO1683" t="inlineStr">
        <is>
          <t>WARREN CITY 4D</t>
        </is>
      </c>
      <c r="AP1683" t="inlineStr">
        <is>
          <t>78-P-ADL</t>
        </is>
      </c>
      <c r="AQ1683" t="n">
        <v>9</v>
      </c>
      <c r="AR1683" t="n">
        <v>64</v>
      </c>
      <c r="AS1683" t="n">
        <v>32</v>
      </c>
      <c r="AU1683">
        <f>COUNTA($BA$1683:$EH$1683)</f>
        <v/>
      </c>
      <c r="AV1683">
        <f>COUNTIF($BA$1683:$EH$1683,"D")</f>
        <v/>
      </c>
      <c r="AW1683">
        <f>COUNTIF($BA$1683:$EH$1683,"R")</f>
        <v/>
      </c>
      <c r="AX1683">
        <f>IF(BN1683="D",1,0)+IF(BO1683="D",1,0)+IF(BT1683="D",1,0)+IF(BU1683="D",1,0)+IF(BW1683="D",1,0)+IF(CC1683="D",1,0)+IF(CD1683="D",1,0)+IF(CE1683="D",1,0)+IF(CF1683="D",1,0)+IF(CL1683="D",1,0)+IF(CM1683="D",1,0)+IF(CQ1683="D",1,0)+IF(CR1683="D",1,0)+IF(CS1683="D",1,0)+IF(CW1683="D",1,0)+IF(CX1683="D",1,0)+IF(DD1683="D",1,0)+IF(DE1683="D",1,0)+IF(DJ1683="D",1,0)+IF(DK1683="D",1,0)+IF(DO1683="D",1,0)+IF(DP1683="D",1,0)+IF(DQ1683="D",1,0)+IF(DW1683="D",1,0)+IF(DZ1683="D",1,0)+IF(EH1683="D",1,0)</f>
        <v/>
      </c>
      <c r="AY1683">
        <f>IF(DJ1683&lt;&gt;"",1,0)+IF(DK1683&lt;&gt;"",1,0)+IF(DM1683&lt;&gt;"",1,0)+IF(DO1683&lt;&gt;"",1,0)+IF(DP1683&lt;&gt;"",1,0)+IF(DQ1683&lt;&gt;"",1,0)+IF(DS1683&lt;&gt;"",1,0)+IF(DT1683&lt;&gt;"",1,0)+IF(DV1683&lt;&gt;"",1,0)+IF(DW1683&lt;&gt;"",1,0)+IF(DX1683&lt;&gt;"",1,0)+IF(DY1683&lt;&gt;"",1,0)+IF(DZ1683&lt;&gt;"",1,0)+IF(EB1683&lt;&gt;"",1,0)+IF(EC1683&lt;&gt;"",1,0)+IF(ED1683&lt;&gt;"",1,0)+IF(EG1683&lt;&gt;"",1,0)+IF(EH1683&lt;&gt;"",1,0)</f>
        <v/>
      </c>
      <c r="AZ1683">
        <f>IF(EH1683&lt;&gt;"",1,0)</f>
        <v/>
      </c>
      <c r="BB1683" t="inlineStr">
        <is>
          <t>WARREN-WARD 4</t>
        </is>
      </c>
    </row>
    <row r="1684">
      <c r="A1684" t="inlineStr">
        <is>
          <t>OH0015811626</t>
        </is>
      </c>
      <c r="B1684" t="n">
        <v>78</v>
      </c>
      <c r="C1684" t="n">
        <v>261659</v>
      </c>
      <c r="D1684" t="inlineStr">
        <is>
          <t>SLOAN</t>
        </is>
      </c>
      <c r="E1684" t="inlineStr">
        <is>
          <t>PATRICIA</t>
        </is>
      </c>
      <c r="F1684">
        <f>CONCATENATE(D1684," ",LEFT(H1684,4),"T=",AU1684,"D=",AV1684,"R=",AW1684,"M=",AX1684,"L=",AY1684,"B=",AZ1684)</f>
        <v/>
      </c>
      <c r="G1684" t="inlineStr">
        <is>
          <t>EILEEN</t>
        </is>
      </c>
      <c r="I1684" t="inlineStr">
        <is>
          <t>1962-09-09</t>
        </is>
      </c>
      <c r="J1684" t="inlineStr">
        <is>
          <t>2020-05-29</t>
        </is>
      </c>
      <c r="K1684" t="inlineStr">
        <is>
          <t>ACTIVE</t>
        </is>
      </c>
      <c r="L1684" t="inlineStr">
        <is>
          <t>D</t>
        </is>
      </c>
      <c r="M1684" t="inlineStr">
        <is>
          <t>187 LINDEN AVE SE</t>
        </is>
      </c>
      <c r="N1684">
        <f>RIGHT(M1684,LEN(M1684)-FIND(" ",M1684))</f>
        <v/>
      </c>
      <c r="P1684" t="inlineStr">
        <is>
          <t>WARREN</t>
        </is>
      </c>
      <c r="Q1684" t="inlineStr">
        <is>
          <t>OH</t>
        </is>
      </c>
      <c r="R1684" t="n">
        <v>44483</v>
      </c>
      <c r="AD1684" t="inlineStr">
        <is>
          <t>TRUMBULL CAREER &amp; TECH CENTER</t>
        </is>
      </c>
      <c r="AE1684" t="inlineStr">
        <is>
          <t>WARREN CITY</t>
        </is>
      </c>
      <c r="AF1684" t="inlineStr">
        <is>
          <t>WARREN CITY SD</t>
        </is>
      </c>
      <c r="AH1684" t="n">
        <v>14</v>
      </c>
      <c r="AI1684" t="n">
        <v>11</v>
      </c>
      <c r="AN1684" t="inlineStr">
        <is>
          <t>WARREN</t>
        </is>
      </c>
      <c r="AO1684" t="inlineStr">
        <is>
          <t>WARREN CITY 4D</t>
        </is>
      </c>
      <c r="AP1684" t="inlineStr">
        <is>
          <t>78-P-ADL</t>
        </is>
      </c>
      <c r="AQ1684" t="n">
        <v>9</v>
      </c>
      <c r="AR1684" t="n">
        <v>64</v>
      </c>
      <c r="AS1684" t="n">
        <v>32</v>
      </c>
      <c r="AU1684">
        <f>COUNTA($BA$1684:$EH$1684)</f>
        <v/>
      </c>
      <c r="AV1684">
        <f>COUNTIF($BA$1684:$EH$1684,"D")</f>
        <v/>
      </c>
      <c r="AW1684">
        <f>COUNTIF($BA$1684:$EH$1684,"R")</f>
        <v/>
      </c>
      <c r="AX1684">
        <f>IF(BN1684="D",1,0)+IF(BO1684="D",1,0)+IF(BT1684="D",1,0)+IF(BU1684="D",1,0)+IF(BW1684="D",1,0)+IF(CC1684="D",1,0)+IF(CD1684="D",1,0)+IF(CE1684="D",1,0)+IF(CF1684="D",1,0)+IF(CL1684="D",1,0)+IF(CM1684="D",1,0)+IF(CQ1684="D",1,0)+IF(CR1684="D",1,0)+IF(CS1684="D",1,0)+IF(CW1684="D",1,0)+IF(CX1684="D",1,0)+IF(DD1684="D",1,0)+IF(DE1684="D",1,0)+IF(DJ1684="D",1,0)+IF(DK1684="D",1,0)+IF(DO1684="D",1,0)+IF(DP1684="D",1,0)+IF(DQ1684="D",1,0)+IF(DW1684="D",1,0)+IF(DZ1684="D",1,0)+IF(EH1684="D",1,0)</f>
        <v/>
      </c>
      <c r="AY1684">
        <f>IF(DJ1684&lt;&gt;"",1,0)+IF(DK1684&lt;&gt;"",1,0)+IF(DM1684&lt;&gt;"",1,0)+IF(DO1684&lt;&gt;"",1,0)+IF(DP1684&lt;&gt;"",1,0)+IF(DQ1684&lt;&gt;"",1,0)+IF(DS1684&lt;&gt;"",1,0)+IF(DT1684&lt;&gt;"",1,0)+IF(DV1684&lt;&gt;"",1,0)+IF(DW1684&lt;&gt;"",1,0)+IF(DX1684&lt;&gt;"",1,0)+IF(DY1684&lt;&gt;"",1,0)+IF(DZ1684&lt;&gt;"",1,0)+IF(EB1684&lt;&gt;"",1,0)+IF(EC1684&lt;&gt;"",1,0)+IF(ED1684&lt;&gt;"",1,0)+IF(EG1684&lt;&gt;"",1,0)+IF(EH1684&lt;&gt;"",1,0)</f>
        <v/>
      </c>
      <c r="AZ1684">
        <f>IF(EH1684&lt;&gt;"",1,0)</f>
        <v/>
      </c>
      <c r="BB1684" t="inlineStr">
        <is>
          <t>WARREN-WARD 4</t>
        </is>
      </c>
      <c r="BC1684" t="inlineStr">
        <is>
          <t>X</t>
        </is>
      </c>
      <c r="BE1684" t="inlineStr">
        <is>
          <t>X</t>
        </is>
      </c>
      <c r="BF1684" t="inlineStr">
        <is>
          <t>X</t>
        </is>
      </c>
      <c r="BJ1684" t="inlineStr">
        <is>
          <t>X</t>
        </is>
      </c>
      <c r="BL1684" t="inlineStr">
        <is>
          <t>X</t>
        </is>
      </c>
      <c r="BP1684" t="inlineStr">
        <is>
          <t>X</t>
        </is>
      </c>
      <c r="BR1684" t="inlineStr">
        <is>
          <t>X</t>
        </is>
      </c>
      <c r="BS1684" t="inlineStr">
        <is>
          <t>X</t>
        </is>
      </c>
      <c r="BV1684" t="inlineStr">
        <is>
          <t>X</t>
        </is>
      </c>
      <c r="BY1684" t="inlineStr">
        <is>
          <t>D</t>
        </is>
      </c>
      <c r="CA1684" t="inlineStr">
        <is>
          <t>X</t>
        </is>
      </c>
      <c r="CG1684" t="inlineStr">
        <is>
          <t>X</t>
        </is>
      </c>
      <c r="CK1684" t="inlineStr">
        <is>
          <t>X</t>
        </is>
      </c>
      <c r="CL1684" t="inlineStr">
        <is>
          <t>D</t>
        </is>
      </c>
      <c r="CN1684" t="inlineStr">
        <is>
          <t>X</t>
        </is>
      </c>
      <c r="CO1684" t="inlineStr">
        <is>
          <t>D</t>
        </is>
      </c>
      <c r="CP1684" t="inlineStr">
        <is>
          <t>X</t>
        </is>
      </c>
      <c r="CV1684" t="inlineStr">
        <is>
          <t>X</t>
        </is>
      </c>
      <c r="CY1684" t="inlineStr">
        <is>
          <t>X</t>
        </is>
      </c>
      <c r="CZ1684" t="inlineStr">
        <is>
          <t>D</t>
        </is>
      </c>
      <c r="DC1684" t="inlineStr">
        <is>
          <t>X</t>
        </is>
      </c>
      <c r="DG1684" t="inlineStr">
        <is>
          <t>D</t>
        </is>
      </c>
      <c r="DI1684" t="inlineStr">
        <is>
          <t>X</t>
        </is>
      </c>
      <c r="DM1684" t="inlineStr">
        <is>
          <t>D</t>
        </is>
      </c>
      <c r="DN1684" t="inlineStr">
        <is>
          <t>X</t>
        </is>
      </c>
      <c r="DT1684" t="inlineStr">
        <is>
          <t>D</t>
        </is>
      </c>
      <c r="DU1684" t="inlineStr">
        <is>
          <t>X</t>
        </is>
      </c>
      <c r="DW1684" t="inlineStr">
        <is>
          <t>D</t>
        </is>
      </c>
      <c r="DX1684" t="inlineStr">
        <is>
          <t>X</t>
        </is>
      </c>
      <c r="EA1684" t="inlineStr">
        <is>
          <t>X</t>
        </is>
      </c>
      <c r="ED1684" t="inlineStr">
        <is>
          <t>D</t>
        </is>
      </c>
      <c r="EF1684" t="inlineStr">
        <is>
          <t>X</t>
        </is>
      </c>
      <c r="EH1684" t="inlineStr">
        <is>
          <t>D</t>
        </is>
      </c>
    </row>
    <row r="1685">
      <c r="A1685" t="inlineStr">
        <is>
          <t>OH0020891352</t>
        </is>
      </c>
      <c r="B1685" t="n">
        <v>78</v>
      </c>
      <c r="C1685" t="n">
        <v>371528</v>
      </c>
      <c r="D1685" t="inlineStr">
        <is>
          <t>DANKO</t>
        </is>
      </c>
      <c r="E1685" t="inlineStr">
        <is>
          <t>MEGAN</t>
        </is>
      </c>
      <c r="F1685">
        <f>CONCATENATE(D1685," ",LEFT(H1685,4),"T=",AU1685,"D=",AV1685,"R=",AW1685,"M=",AX1685,"L=",AY1685,"B=",AZ1685)</f>
        <v/>
      </c>
      <c r="G1685" t="inlineStr">
        <is>
          <t>RACHEL</t>
        </is>
      </c>
      <c r="I1685" t="inlineStr">
        <is>
          <t>1989-03-16</t>
        </is>
      </c>
      <c r="J1685" t="inlineStr">
        <is>
          <t>2013-04-12</t>
        </is>
      </c>
      <c r="K1685" t="inlineStr">
        <is>
          <t>CONFIRMATION</t>
        </is>
      </c>
      <c r="M1685" t="inlineStr">
        <is>
          <t>712 VINE AVE NE</t>
        </is>
      </c>
      <c r="N1685">
        <f>RIGHT(M1685,LEN(M1685)-FIND(" ",M1685))</f>
        <v/>
      </c>
      <c r="P1685" t="inlineStr">
        <is>
          <t>WARREN</t>
        </is>
      </c>
      <c r="Q1685" t="inlineStr">
        <is>
          <t>OH</t>
        </is>
      </c>
      <c r="R1685" t="n">
        <v>44483</v>
      </c>
      <c r="AD1685" t="inlineStr">
        <is>
          <t>TRUMBULL CAREER &amp; TECH CENTER</t>
        </is>
      </c>
      <c r="AE1685" t="inlineStr">
        <is>
          <t>WARREN CITY</t>
        </is>
      </c>
      <c r="AF1685" t="inlineStr">
        <is>
          <t>WARREN CITY SD</t>
        </is>
      </c>
      <c r="AH1685" t="n">
        <v>14</v>
      </c>
      <c r="AI1685" t="n">
        <v>11</v>
      </c>
      <c r="AN1685" t="inlineStr">
        <is>
          <t>WARREN</t>
        </is>
      </c>
      <c r="AO1685" t="inlineStr">
        <is>
          <t>WARREN CITY 4D</t>
        </is>
      </c>
      <c r="AP1685" t="inlineStr">
        <is>
          <t>78-P-ADL</t>
        </is>
      </c>
      <c r="AQ1685" t="n">
        <v>9</v>
      </c>
      <c r="AR1685" t="n">
        <v>64</v>
      </c>
      <c r="AS1685" t="n">
        <v>32</v>
      </c>
      <c r="AU1685">
        <f>COUNTA($BA$1685:$EH$1685)</f>
        <v/>
      </c>
      <c r="AV1685">
        <f>COUNTIF($BA$1685:$EH$1685,"D")</f>
        <v/>
      </c>
      <c r="AW1685">
        <f>COUNTIF($BA$1685:$EH$1685,"R")</f>
        <v/>
      </c>
      <c r="AX1685">
        <f>IF(BN1685="D",1,0)+IF(BO1685="D",1,0)+IF(BT1685="D",1,0)+IF(BU1685="D",1,0)+IF(BW1685="D",1,0)+IF(CC1685="D",1,0)+IF(CD1685="D",1,0)+IF(CE1685="D",1,0)+IF(CF1685="D",1,0)+IF(CL1685="D",1,0)+IF(CM1685="D",1,0)+IF(CQ1685="D",1,0)+IF(CR1685="D",1,0)+IF(CS1685="D",1,0)+IF(CW1685="D",1,0)+IF(CX1685="D",1,0)+IF(DD1685="D",1,0)+IF(DE1685="D",1,0)+IF(DJ1685="D",1,0)+IF(DK1685="D",1,0)+IF(DO1685="D",1,0)+IF(DP1685="D",1,0)+IF(DQ1685="D",1,0)+IF(DW1685="D",1,0)+IF(DZ1685="D",1,0)+IF(EH1685="D",1,0)</f>
        <v/>
      </c>
      <c r="AY1685">
        <f>IF(DJ1685&lt;&gt;"",1,0)+IF(DK1685&lt;&gt;"",1,0)+IF(DM1685&lt;&gt;"",1,0)+IF(DO1685&lt;&gt;"",1,0)+IF(DP1685&lt;&gt;"",1,0)+IF(DQ1685&lt;&gt;"",1,0)+IF(DS1685&lt;&gt;"",1,0)+IF(DT1685&lt;&gt;"",1,0)+IF(DV1685&lt;&gt;"",1,0)+IF(DW1685&lt;&gt;"",1,0)+IF(DX1685&lt;&gt;"",1,0)+IF(DY1685&lt;&gt;"",1,0)+IF(DZ1685&lt;&gt;"",1,0)+IF(EB1685&lt;&gt;"",1,0)+IF(EC1685&lt;&gt;"",1,0)+IF(ED1685&lt;&gt;"",1,0)+IF(EG1685&lt;&gt;"",1,0)+IF(EH1685&lt;&gt;"",1,0)</f>
        <v/>
      </c>
      <c r="AZ1685">
        <f>IF(EH1685&lt;&gt;"",1,0)</f>
        <v/>
      </c>
      <c r="BB1685" t="inlineStr">
        <is>
          <t>WARREN-WARD 4</t>
        </is>
      </c>
      <c r="BV1685" t="inlineStr">
        <is>
          <t>X</t>
        </is>
      </c>
      <c r="BY1685" t="inlineStr">
        <is>
          <t>D</t>
        </is>
      </c>
      <c r="CA1685" t="inlineStr">
        <is>
          <t>X</t>
        </is>
      </c>
      <c r="CG1685" t="inlineStr">
        <is>
          <t>X</t>
        </is>
      </c>
      <c r="CP1685" t="inlineStr">
        <is>
          <t>X</t>
        </is>
      </c>
      <c r="DC1685" t="inlineStr">
        <is>
          <t>X</t>
        </is>
      </c>
    </row>
    <row r="1686">
      <c r="A1686" t="inlineStr">
        <is>
          <t>OH0024645318</t>
        </is>
      </c>
      <c r="B1686" t="n">
        <v>78</v>
      </c>
      <c r="C1686" t="n">
        <v>431907</v>
      </c>
      <c r="D1686" t="inlineStr">
        <is>
          <t>WHITMORE</t>
        </is>
      </c>
      <c r="E1686" t="inlineStr">
        <is>
          <t>TAHNEE</t>
        </is>
      </c>
      <c r="F1686">
        <f>CONCATENATE(D1686," ",LEFT(H1686,4),"T=",AU1686,"D=",AV1686,"R=",AW1686,"M=",AX1686,"L=",AY1686,"B=",AZ1686)</f>
        <v/>
      </c>
      <c r="I1686" t="inlineStr">
        <is>
          <t>1999-10-22</t>
        </is>
      </c>
      <c r="J1686" t="inlineStr">
        <is>
          <t>2020-06-27</t>
        </is>
      </c>
      <c r="K1686" t="inlineStr">
        <is>
          <t>CONFIRMATION</t>
        </is>
      </c>
      <c r="M1686" t="inlineStr">
        <is>
          <t>1166 MCKINLEY ST NE</t>
        </is>
      </c>
      <c r="N1686">
        <f>RIGHT(M1686,LEN(M1686)-FIND(" ",M1686))</f>
        <v/>
      </c>
      <c r="P1686" t="inlineStr">
        <is>
          <t>WARREN</t>
        </is>
      </c>
      <c r="Q1686" t="inlineStr">
        <is>
          <t>OH</t>
        </is>
      </c>
      <c r="R1686" t="n">
        <v>44483</v>
      </c>
      <c r="AD1686" t="inlineStr">
        <is>
          <t>TRUMBULL CAREER &amp; TECH CENTER</t>
        </is>
      </c>
      <c r="AE1686" t="inlineStr">
        <is>
          <t>WARREN CITY</t>
        </is>
      </c>
      <c r="AF1686" t="inlineStr">
        <is>
          <t>WARREN CITY SD</t>
        </is>
      </c>
      <c r="AH1686" t="n">
        <v>14</v>
      </c>
      <c r="AI1686" t="n">
        <v>11</v>
      </c>
      <c r="AN1686" t="inlineStr">
        <is>
          <t>WARREN</t>
        </is>
      </c>
      <c r="AO1686" t="inlineStr">
        <is>
          <t>WARREN CITY 4D</t>
        </is>
      </c>
      <c r="AP1686" t="inlineStr">
        <is>
          <t>78-P-ADL</t>
        </is>
      </c>
      <c r="AQ1686" t="n">
        <v>9</v>
      </c>
      <c r="AR1686" t="n">
        <v>64</v>
      </c>
      <c r="AS1686" t="n">
        <v>32</v>
      </c>
      <c r="AU1686">
        <f>COUNTA($BA$1686:$EH$1686)</f>
        <v/>
      </c>
      <c r="AV1686">
        <f>COUNTIF($BA$1686:$EH$1686,"D")</f>
        <v/>
      </c>
      <c r="AW1686">
        <f>COUNTIF($BA$1686:$EH$1686,"R")</f>
        <v/>
      </c>
      <c r="AX1686">
        <f>IF(BN1686="D",1,0)+IF(BO1686="D",1,0)+IF(BT1686="D",1,0)+IF(BU1686="D",1,0)+IF(BW1686="D",1,0)+IF(CC1686="D",1,0)+IF(CD1686="D",1,0)+IF(CE1686="D",1,0)+IF(CF1686="D",1,0)+IF(CL1686="D",1,0)+IF(CM1686="D",1,0)+IF(CQ1686="D",1,0)+IF(CR1686="D",1,0)+IF(CS1686="D",1,0)+IF(CW1686="D",1,0)+IF(CX1686="D",1,0)+IF(DD1686="D",1,0)+IF(DE1686="D",1,0)+IF(DJ1686="D",1,0)+IF(DK1686="D",1,0)+IF(DO1686="D",1,0)+IF(DP1686="D",1,0)+IF(DQ1686="D",1,0)+IF(DW1686="D",1,0)+IF(DZ1686="D",1,0)+IF(EH1686="D",1,0)</f>
        <v/>
      </c>
      <c r="AY1686">
        <f>IF(DJ1686&lt;&gt;"",1,0)+IF(DK1686&lt;&gt;"",1,0)+IF(DM1686&lt;&gt;"",1,0)+IF(DO1686&lt;&gt;"",1,0)+IF(DP1686&lt;&gt;"",1,0)+IF(DQ1686&lt;&gt;"",1,0)+IF(DS1686&lt;&gt;"",1,0)+IF(DT1686&lt;&gt;"",1,0)+IF(DV1686&lt;&gt;"",1,0)+IF(DW1686&lt;&gt;"",1,0)+IF(DX1686&lt;&gt;"",1,0)+IF(DY1686&lt;&gt;"",1,0)+IF(DZ1686&lt;&gt;"",1,0)+IF(EB1686&lt;&gt;"",1,0)+IF(EC1686&lt;&gt;"",1,0)+IF(ED1686&lt;&gt;"",1,0)+IF(EG1686&lt;&gt;"",1,0)+IF(EH1686&lt;&gt;"",1,0)</f>
        <v/>
      </c>
      <c r="AZ1686">
        <f>IF(EH1686&lt;&gt;"",1,0)</f>
        <v/>
      </c>
      <c r="BB1686" t="inlineStr">
        <is>
          <t>WARREN-WARD 4</t>
        </is>
      </c>
    </row>
    <row r="1687">
      <c r="A1687" t="inlineStr">
        <is>
          <t>OH0026425730</t>
        </is>
      </c>
      <c r="B1687" t="n">
        <v>78</v>
      </c>
      <c r="C1687" t="n">
        <v>462018</v>
      </c>
      <c r="D1687" t="inlineStr">
        <is>
          <t>HILL</t>
        </is>
      </c>
      <c r="E1687" t="inlineStr">
        <is>
          <t>BETHANY</t>
        </is>
      </c>
      <c r="F1687">
        <f>CONCATENATE(D1687," ",LEFT(H1687,4),"T=",AU1687,"D=",AV1687,"R=",AW1687,"M=",AX1687,"L=",AY1687,"B=",AZ1687)</f>
        <v/>
      </c>
      <c r="G1687" t="inlineStr">
        <is>
          <t>DAWN</t>
        </is>
      </c>
      <c r="I1687" t="inlineStr">
        <is>
          <t>1985-03-25</t>
        </is>
      </c>
      <c r="J1687" t="inlineStr">
        <is>
          <t>2022-02-27</t>
        </is>
      </c>
      <c r="K1687" t="inlineStr">
        <is>
          <t>CONFIRMATION</t>
        </is>
      </c>
      <c r="M1687" t="inlineStr">
        <is>
          <t>1132 MCKINLEY ST NE</t>
        </is>
      </c>
      <c r="N1687">
        <f>RIGHT(M1687,LEN(M1687)-FIND(" ",M1687))</f>
        <v/>
      </c>
      <c r="P1687" t="inlineStr">
        <is>
          <t>WARREN</t>
        </is>
      </c>
      <c r="Q1687" t="inlineStr">
        <is>
          <t>OH</t>
        </is>
      </c>
      <c r="R1687" t="n">
        <v>44483</v>
      </c>
      <c r="AD1687" t="inlineStr">
        <is>
          <t>TRUMBULL CAREER &amp; TECH CENTER</t>
        </is>
      </c>
      <c r="AE1687" t="inlineStr">
        <is>
          <t>WARREN CITY</t>
        </is>
      </c>
      <c r="AF1687" t="inlineStr">
        <is>
          <t>WARREN CITY SD</t>
        </is>
      </c>
      <c r="AH1687" t="n">
        <v>14</v>
      </c>
      <c r="AI1687" t="n">
        <v>11</v>
      </c>
      <c r="AN1687" t="inlineStr">
        <is>
          <t>WARREN</t>
        </is>
      </c>
      <c r="AO1687" t="inlineStr">
        <is>
          <t>WARREN CITY 4D</t>
        </is>
      </c>
      <c r="AP1687" t="inlineStr">
        <is>
          <t>78-P-ADL</t>
        </is>
      </c>
      <c r="AQ1687" t="n">
        <v>9</v>
      </c>
      <c r="AR1687" t="n">
        <v>64</v>
      </c>
      <c r="AS1687" t="n">
        <v>32</v>
      </c>
      <c r="AU1687">
        <f>COUNTA($BA$1687:$EH$1687)</f>
        <v/>
      </c>
      <c r="AV1687">
        <f>COUNTIF($BA$1687:$EH$1687,"D")</f>
        <v/>
      </c>
      <c r="AW1687">
        <f>COUNTIF($BA$1687:$EH$1687,"R")</f>
        <v/>
      </c>
      <c r="AX1687">
        <f>IF(BN1687="D",1,0)+IF(BO1687="D",1,0)+IF(BT1687="D",1,0)+IF(BU1687="D",1,0)+IF(BW1687="D",1,0)+IF(CC1687="D",1,0)+IF(CD1687="D",1,0)+IF(CE1687="D",1,0)+IF(CF1687="D",1,0)+IF(CL1687="D",1,0)+IF(CM1687="D",1,0)+IF(CQ1687="D",1,0)+IF(CR1687="D",1,0)+IF(CS1687="D",1,0)+IF(CW1687="D",1,0)+IF(CX1687="D",1,0)+IF(DD1687="D",1,0)+IF(DE1687="D",1,0)+IF(DJ1687="D",1,0)+IF(DK1687="D",1,0)+IF(DO1687="D",1,0)+IF(DP1687="D",1,0)+IF(DQ1687="D",1,0)+IF(DW1687="D",1,0)+IF(DZ1687="D",1,0)+IF(EH1687="D",1,0)</f>
        <v/>
      </c>
      <c r="AY1687">
        <f>IF(DJ1687&lt;&gt;"",1,0)+IF(DK1687&lt;&gt;"",1,0)+IF(DM1687&lt;&gt;"",1,0)+IF(DO1687&lt;&gt;"",1,0)+IF(DP1687&lt;&gt;"",1,0)+IF(DQ1687&lt;&gt;"",1,0)+IF(DS1687&lt;&gt;"",1,0)+IF(DT1687&lt;&gt;"",1,0)+IF(DV1687&lt;&gt;"",1,0)+IF(DW1687&lt;&gt;"",1,0)+IF(DX1687&lt;&gt;"",1,0)+IF(DY1687&lt;&gt;"",1,0)+IF(DZ1687&lt;&gt;"",1,0)+IF(EB1687&lt;&gt;"",1,0)+IF(EC1687&lt;&gt;"",1,0)+IF(ED1687&lt;&gt;"",1,0)+IF(EG1687&lt;&gt;"",1,0)+IF(EH1687&lt;&gt;"",1,0)</f>
        <v/>
      </c>
      <c r="AZ1687">
        <f>IF(EH1687&lt;&gt;"",1,0)</f>
        <v/>
      </c>
      <c r="BB1687" t="inlineStr">
        <is>
          <t>WARREN-WARD 4</t>
        </is>
      </c>
    </row>
    <row r="1688">
      <c r="A1688" t="inlineStr">
        <is>
          <t>OH0020932926</t>
        </is>
      </c>
      <c r="B1688" t="n">
        <v>78</v>
      </c>
      <c r="C1688" t="n">
        <v>372105</v>
      </c>
      <c r="D1688" t="inlineStr">
        <is>
          <t>PEHANICH</t>
        </is>
      </c>
      <c r="E1688" t="inlineStr">
        <is>
          <t>LAUREN</t>
        </is>
      </c>
      <c r="F1688">
        <f>CONCATENATE(D1688," ",LEFT(H1688,4),"T=",AU1688,"D=",AV1688,"R=",AW1688,"M=",AX1688,"L=",AY1688,"B=",AZ1688)</f>
        <v/>
      </c>
      <c r="G1688" t="inlineStr">
        <is>
          <t>ALEXANDRA</t>
        </is>
      </c>
      <c r="I1688" t="inlineStr">
        <is>
          <t>1991-11-08</t>
        </is>
      </c>
      <c r="J1688" t="inlineStr">
        <is>
          <t>2016-07-06</t>
        </is>
      </c>
      <c r="K1688" t="inlineStr">
        <is>
          <t>ACTIVE</t>
        </is>
      </c>
      <c r="M1688" t="inlineStr">
        <is>
          <t>158 IDDINGS AVE NE</t>
        </is>
      </c>
      <c r="N1688">
        <f>RIGHT(M1688,LEN(M1688)-FIND(" ",M1688))</f>
        <v/>
      </c>
      <c r="P1688" t="inlineStr">
        <is>
          <t>WARREN</t>
        </is>
      </c>
      <c r="Q1688" t="inlineStr">
        <is>
          <t>OH</t>
        </is>
      </c>
      <c r="R1688" t="n">
        <v>44483</v>
      </c>
      <c r="AD1688" t="inlineStr">
        <is>
          <t>TRUMBULL CAREER &amp; TECH CENTER</t>
        </is>
      </c>
      <c r="AE1688" t="inlineStr">
        <is>
          <t>WARREN CITY</t>
        </is>
      </c>
      <c r="AF1688" t="inlineStr">
        <is>
          <t>WARREN CITY SD</t>
        </is>
      </c>
      <c r="AH1688" t="n">
        <v>14</v>
      </c>
      <c r="AI1688" t="n">
        <v>11</v>
      </c>
      <c r="AN1688" t="inlineStr">
        <is>
          <t>WARREN</t>
        </is>
      </c>
      <c r="AO1688" t="inlineStr">
        <is>
          <t>WARREN CITY 4D</t>
        </is>
      </c>
      <c r="AP1688" t="inlineStr">
        <is>
          <t>78-P-ADL</t>
        </is>
      </c>
      <c r="AQ1688" t="n">
        <v>9</v>
      </c>
      <c r="AR1688" t="n">
        <v>64</v>
      </c>
      <c r="AS1688" t="n">
        <v>32</v>
      </c>
      <c r="AU1688">
        <f>COUNTA($BA$1688:$EH$1688)</f>
        <v/>
      </c>
      <c r="AV1688">
        <f>COUNTIF($BA$1688:$EH$1688,"D")</f>
        <v/>
      </c>
      <c r="AW1688">
        <f>COUNTIF($BA$1688:$EH$1688,"R")</f>
        <v/>
      </c>
      <c r="AX1688">
        <f>IF(BN1688="D",1,0)+IF(BO1688="D",1,0)+IF(BT1688="D",1,0)+IF(BU1688="D",1,0)+IF(BW1688="D",1,0)+IF(CC1688="D",1,0)+IF(CD1688="D",1,0)+IF(CE1688="D",1,0)+IF(CF1688="D",1,0)+IF(CL1688="D",1,0)+IF(CM1688="D",1,0)+IF(CQ1688="D",1,0)+IF(CR1688="D",1,0)+IF(CS1688="D",1,0)+IF(CW1688="D",1,0)+IF(CX1688="D",1,0)+IF(DD1688="D",1,0)+IF(DE1688="D",1,0)+IF(DJ1688="D",1,0)+IF(DK1688="D",1,0)+IF(DO1688="D",1,0)+IF(DP1688="D",1,0)+IF(DQ1688="D",1,0)+IF(DW1688="D",1,0)+IF(DZ1688="D",1,0)+IF(EH1688="D",1,0)</f>
        <v/>
      </c>
      <c r="AY1688">
        <f>IF(DJ1688&lt;&gt;"",1,0)+IF(DK1688&lt;&gt;"",1,0)+IF(DM1688&lt;&gt;"",1,0)+IF(DO1688&lt;&gt;"",1,0)+IF(DP1688&lt;&gt;"",1,0)+IF(DQ1688&lt;&gt;"",1,0)+IF(DS1688&lt;&gt;"",1,0)+IF(DT1688&lt;&gt;"",1,0)+IF(DV1688&lt;&gt;"",1,0)+IF(DW1688&lt;&gt;"",1,0)+IF(DX1688&lt;&gt;"",1,0)+IF(DY1688&lt;&gt;"",1,0)+IF(DZ1688&lt;&gt;"",1,0)+IF(EB1688&lt;&gt;"",1,0)+IF(EC1688&lt;&gt;"",1,0)+IF(ED1688&lt;&gt;"",1,0)+IF(EG1688&lt;&gt;"",1,0)+IF(EH1688&lt;&gt;"",1,0)</f>
        <v/>
      </c>
      <c r="AZ1688">
        <f>IF(EH1688&lt;&gt;"",1,0)</f>
        <v/>
      </c>
      <c r="BB1688" t="inlineStr">
        <is>
          <t>WARREN-WARD 4</t>
        </is>
      </c>
      <c r="CP1688" t="inlineStr">
        <is>
          <t>X</t>
        </is>
      </c>
      <c r="CY1688" t="inlineStr">
        <is>
          <t>X</t>
        </is>
      </c>
      <c r="CZ1688" t="inlineStr">
        <is>
          <t>D</t>
        </is>
      </c>
      <c r="DC1688" t="inlineStr">
        <is>
          <t>X</t>
        </is>
      </c>
      <c r="DI1688" t="inlineStr">
        <is>
          <t>X</t>
        </is>
      </c>
      <c r="DN1688" t="inlineStr">
        <is>
          <t>X</t>
        </is>
      </c>
      <c r="DU1688" t="inlineStr">
        <is>
          <t>X</t>
        </is>
      </c>
      <c r="DX1688" t="inlineStr">
        <is>
          <t>X</t>
        </is>
      </c>
      <c r="EF1688" t="inlineStr">
        <is>
          <t>X</t>
        </is>
      </c>
    </row>
    <row r="1689">
      <c r="A1689" t="inlineStr">
        <is>
          <t>OH0027355739</t>
        </is>
      </c>
      <c r="B1689" t="n">
        <v>78</v>
      </c>
      <c r="C1689" t="n">
        <v>485061</v>
      </c>
      <c r="D1689" t="inlineStr">
        <is>
          <t>YINGLING</t>
        </is>
      </c>
      <c r="E1689" t="inlineStr">
        <is>
          <t>CHARLES</t>
        </is>
      </c>
      <c r="F1689">
        <f>CONCATENATE(D1689," ",LEFT(H1689,4),"T=",AU1689,"D=",AV1689,"R=",AW1689,"M=",AX1689,"L=",AY1689,"B=",AZ1689)</f>
        <v/>
      </c>
      <c r="G1689" t="inlineStr">
        <is>
          <t>PAYTON</t>
        </is>
      </c>
      <c r="H1689" t="inlineStr">
        <is>
          <t>JR</t>
        </is>
      </c>
      <c r="I1689" t="inlineStr">
        <is>
          <t>1996-04-13</t>
        </is>
      </c>
      <c r="J1689" t="inlineStr">
        <is>
          <t>2024-05-25</t>
        </is>
      </c>
      <c r="K1689" t="inlineStr">
        <is>
          <t>ACTIVE</t>
        </is>
      </c>
      <c r="M1689" t="inlineStr">
        <is>
          <t>168 LOGAN AVE NE</t>
        </is>
      </c>
      <c r="N1689">
        <f>RIGHT(M1689,LEN(M1689)-FIND(" ",M1689))</f>
        <v/>
      </c>
      <c r="P1689" t="inlineStr">
        <is>
          <t>WARREN</t>
        </is>
      </c>
      <c r="Q1689" t="inlineStr">
        <is>
          <t>OH</t>
        </is>
      </c>
      <c r="R1689" t="n">
        <v>44483</v>
      </c>
      <c r="AD1689" t="inlineStr">
        <is>
          <t>TRUMBULL CAREER &amp; TECH CENTER</t>
        </is>
      </c>
      <c r="AE1689" t="inlineStr">
        <is>
          <t>WARREN CITY</t>
        </is>
      </c>
      <c r="AF1689" t="inlineStr">
        <is>
          <t>WARREN CITY SD</t>
        </is>
      </c>
      <c r="AH1689" t="n">
        <v>14</v>
      </c>
      <c r="AI1689" t="n">
        <v>11</v>
      </c>
      <c r="AN1689" t="inlineStr">
        <is>
          <t>WARREN</t>
        </is>
      </c>
      <c r="AO1689" t="inlineStr">
        <is>
          <t>WARREN CITY 4D</t>
        </is>
      </c>
      <c r="AP1689" t="inlineStr">
        <is>
          <t>78-P-ADL</t>
        </is>
      </c>
      <c r="AQ1689" t="n">
        <v>9</v>
      </c>
      <c r="AR1689" t="n">
        <v>64</v>
      </c>
      <c r="AS1689" t="n">
        <v>32</v>
      </c>
      <c r="AU1689">
        <f>COUNTA($BA$1689:$EH$1689)</f>
        <v/>
      </c>
      <c r="AV1689">
        <f>COUNTIF($BA$1689:$EH$1689,"D")</f>
        <v/>
      </c>
      <c r="AW1689">
        <f>COUNTIF($BA$1689:$EH$1689,"R")</f>
        <v/>
      </c>
      <c r="AX1689">
        <f>IF(BN1689="D",1,0)+IF(BO1689="D",1,0)+IF(BT1689="D",1,0)+IF(BU1689="D",1,0)+IF(BW1689="D",1,0)+IF(CC1689="D",1,0)+IF(CD1689="D",1,0)+IF(CE1689="D",1,0)+IF(CF1689="D",1,0)+IF(CL1689="D",1,0)+IF(CM1689="D",1,0)+IF(CQ1689="D",1,0)+IF(CR1689="D",1,0)+IF(CS1689="D",1,0)+IF(CW1689="D",1,0)+IF(CX1689="D",1,0)+IF(DD1689="D",1,0)+IF(DE1689="D",1,0)+IF(DJ1689="D",1,0)+IF(DK1689="D",1,0)+IF(DO1689="D",1,0)+IF(DP1689="D",1,0)+IF(DQ1689="D",1,0)+IF(DW1689="D",1,0)+IF(DZ1689="D",1,0)+IF(EH1689="D",1,0)</f>
        <v/>
      </c>
      <c r="AY1689">
        <f>IF(DJ1689&lt;&gt;"",1,0)+IF(DK1689&lt;&gt;"",1,0)+IF(DM1689&lt;&gt;"",1,0)+IF(DO1689&lt;&gt;"",1,0)+IF(DP1689&lt;&gt;"",1,0)+IF(DQ1689&lt;&gt;"",1,0)+IF(DS1689&lt;&gt;"",1,0)+IF(DT1689&lt;&gt;"",1,0)+IF(DV1689&lt;&gt;"",1,0)+IF(DW1689&lt;&gt;"",1,0)+IF(DX1689&lt;&gt;"",1,0)+IF(DY1689&lt;&gt;"",1,0)+IF(DZ1689&lt;&gt;"",1,0)+IF(EB1689&lt;&gt;"",1,0)+IF(EC1689&lt;&gt;"",1,0)+IF(ED1689&lt;&gt;"",1,0)+IF(EG1689&lt;&gt;"",1,0)+IF(EH1689&lt;&gt;"",1,0)</f>
        <v/>
      </c>
      <c r="AZ1689">
        <f>IF(EH1689&lt;&gt;"",1,0)</f>
        <v/>
      </c>
      <c r="BB1689" t="inlineStr">
        <is>
          <t>WARREN-WARD 4</t>
        </is>
      </c>
    </row>
    <row r="1690">
      <c r="A1690" t="inlineStr">
        <is>
          <t>OH0025649895</t>
        </is>
      </c>
      <c r="B1690" t="n">
        <v>78</v>
      </c>
      <c r="C1690" t="n">
        <v>447852</v>
      </c>
      <c r="D1690" t="inlineStr">
        <is>
          <t>DAVENPORT</t>
        </is>
      </c>
      <c r="E1690" t="inlineStr">
        <is>
          <t>JONATHAN</t>
        </is>
      </c>
      <c r="F1690">
        <f>CONCATENATE(D1690," ",LEFT(H1690,4),"T=",AU1690,"D=",AV1690,"R=",AW1690,"M=",AX1690,"L=",AY1690,"B=",AZ1690)</f>
        <v/>
      </c>
      <c r="G1690" t="inlineStr">
        <is>
          <t>M</t>
        </is>
      </c>
      <c r="I1690" t="inlineStr">
        <is>
          <t>1989-06-25</t>
        </is>
      </c>
      <c r="J1690" t="inlineStr">
        <is>
          <t>2020-07-21</t>
        </is>
      </c>
      <c r="K1690" t="inlineStr">
        <is>
          <t>CONFIRMATION</t>
        </is>
      </c>
      <c r="M1690" t="inlineStr">
        <is>
          <t>240 MONROE ST NW</t>
        </is>
      </c>
      <c r="N1690">
        <f>RIGHT(M1690,LEN(M1690)-FIND(" ",M1690))</f>
        <v/>
      </c>
      <c r="O1690" t="inlineStr">
        <is>
          <t>APT 4</t>
        </is>
      </c>
      <c r="P1690" t="inlineStr">
        <is>
          <t>WARREN</t>
        </is>
      </c>
      <c r="Q1690" t="inlineStr">
        <is>
          <t>OH</t>
        </is>
      </c>
      <c r="R1690" t="n">
        <v>44483</v>
      </c>
      <c r="AD1690" t="inlineStr">
        <is>
          <t>TRUMBULL CAREER &amp; TECH CENTER</t>
        </is>
      </c>
      <c r="AE1690" t="inlineStr">
        <is>
          <t>WARREN CITY</t>
        </is>
      </c>
      <c r="AF1690" t="inlineStr">
        <is>
          <t>WARREN CITY SD</t>
        </is>
      </c>
      <c r="AH1690" t="n">
        <v>14</v>
      </c>
      <c r="AI1690" t="n">
        <v>11</v>
      </c>
      <c r="AN1690" t="inlineStr">
        <is>
          <t>WARREN</t>
        </is>
      </c>
      <c r="AO1690" t="inlineStr">
        <is>
          <t>WARREN CITY 4D</t>
        </is>
      </c>
      <c r="AP1690" t="inlineStr">
        <is>
          <t>78-P-ADL</t>
        </is>
      </c>
      <c r="AQ1690" t="n">
        <v>9</v>
      </c>
      <c r="AR1690" t="n">
        <v>64</v>
      </c>
      <c r="AS1690" t="n">
        <v>32</v>
      </c>
      <c r="AU1690">
        <f>COUNTA($BA$1690:$EH$1690)</f>
        <v/>
      </c>
      <c r="AV1690">
        <f>COUNTIF($BA$1690:$EH$1690,"D")</f>
        <v/>
      </c>
      <c r="AW1690">
        <f>COUNTIF($BA$1690:$EH$1690,"R")</f>
        <v/>
      </c>
      <c r="AX1690">
        <f>IF(BN1690="D",1,0)+IF(BO1690="D",1,0)+IF(BT1690="D",1,0)+IF(BU1690="D",1,0)+IF(BW1690="D",1,0)+IF(CC1690="D",1,0)+IF(CD1690="D",1,0)+IF(CE1690="D",1,0)+IF(CF1690="D",1,0)+IF(CL1690="D",1,0)+IF(CM1690="D",1,0)+IF(CQ1690="D",1,0)+IF(CR1690="D",1,0)+IF(CS1690="D",1,0)+IF(CW1690="D",1,0)+IF(CX1690="D",1,0)+IF(DD1690="D",1,0)+IF(DE1690="D",1,0)+IF(DJ1690="D",1,0)+IF(DK1690="D",1,0)+IF(DO1690="D",1,0)+IF(DP1690="D",1,0)+IF(DQ1690="D",1,0)+IF(DW1690="D",1,0)+IF(DZ1690="D",1,0)+IF(EH1690="D",1,0)</f>
        <v/>
      </c>
      <c r="AY1690">
        <f>IF(DJ1690&lt;&gt;"",1,0)+IF(DK1690&lt;&gt;"",1,0)+IF(DM1690&lt;&gt;"",1,0)+IF(DO1690&lt;&gt;"",1,0)+IF(DP1690&lt;&gt;"",1,0)+IF(DQ1690&lt;&gt;"",1,0)+IF(DS1690&lt;&gt;"",1,0)+IF(DT1690&lt;&gt;"",1,0)+IF(DV1690&lt;&gt;"",1,0)+IF(DW1690&lt;&gt;"",1,0)+IF(DX1690&lt;&gt;"",1,0)+IF(DY1690&lt;&gt;"",1,0)+IF(DZ1690&lt;&gt;"",1,0)+IF(EB1690&lt;&gt;"",1,0)+IF(EC1690&lt;&gt;"",1,0)+IF(ED1690&lt;&gt;"",1,0)+IF(EG1690&lt;&gt;"",1,0)+IF(EH1690&lt;&gt;"",1,0)</f>
        <v/>
      </c>
      <c r="AZ1690">
        <f>IF(EH1690&lt;&gt;"",1,0)</f>
        <v/>
      </c>
      <c r="BB1690" t="inlineStr">
        <is>
          <t>WARREN-WARD 4</t>
        </is>
      </c>
    </row>
    <row r="1691">
      <c r="A1691" t="inlineStr">
        <is>
          <t>OH0027375894</t>
        </is>
      </c>
      <c r="B1691" t="n">
        <v>78</v>
      </c>
      <c r="C1691" t="n">
        <v>485281</v>
      </c>
      <c r="D1691" t="inlineStr">
        <is>
          <t>COLE</t>
        </is>
      </c>
      <c r="E1691" t="inlineStr">
        <is>
          <t>SAMARYA</t>
        </is>
      </c>
      <c r="F1691">
        <f>CONCATENATE(D1691," ",LEFT(H1691,4),"T=",AU1691,"D=",AV1691,"R=",AW1691,"M=",AX1691,"L=",AY1691,"B=",AZ1691)</f>
        <v/>
      </c>
      <c r="G1691" t="inlineStr">
        <is>
          <t>CYMONE</t>
        </is>
      </c>
      <c r="I1691" t="inlineStr">
        <is>
          <t>2005-12-03</t>
        </is>
      </c>
      <c r="J1691" t="inlineStr">
        <is>
          <t>2024-05-31</t>
        </is>
      </c>
      <c r="K1691" t="inlineStr">
        <is>
          <t>ACTIVE</t>
        </is>
      </c>
      <c r="M1691" t="inlineStr">
        <is>
          <t>514 WASHINGTON ST NE</t>
        </is>
      </c>
      <c r="N1691">
        <f>RIGHT(M1691,LEN(M1691)-FIND(" ",M1691))</f>
        <v/>
      </c>
      <c r="P1691" t="inlineStr">
        <is>
          <t>WARREN</t>
        </is>
      </c>
      <c r="Q1691" t="inlineStr">
        <is>
          <t>OH</t>
        </is>
      </c>
      <c r="R1691" t="n">
        <v>44483</v>
      </c>
      <c r="S1691" t="n">
        <v>4933</v>
      </c>
      <c r="AD1691" t="inlineStr">
        <is>
          <t>TRUMBULL CAREER &amp; TECH CENTER</t>
        </is>
      </c>
      <c r="AE1691" t="inlineStr">
        <is>
          <t>WARREN CITY</t>
        </is>
      </c>
      <c r="AF1691" t="inlineStr">
        <is>
          <t>WARREN CITY SD</t>
        </is>
      </c>
      <c r="AH1691" t="n">
        <v>14</v>
      </c>
      <c r="AI1691" t="n">
        <v>11</v>
      </c>
      <c r="AN1691" t="inlineStr">
        <is>
          <t>WARREN</t>
        </is>
      </c>
      <c r="AO1691" t="inlineStr">
        <is>
          <t>WARREN CITY 4D</t>
        </is>
      </c>
      <c r="AP1691" t="inlineStr">
        <is>
          <t>78-P-ADL</t>
        </is>
      </c>
      <c r="AQ1691" t="n">
        <v>9</v>
      </c>
      <c r="AR1691" t="n">
        <v>64</v>
      </c>
      <c r="AS1691" t="n">
        <v>32</v>
      </c>
      <c r="AU1691">
        <f>COUNTA($BA$1691:$EH$1691)</f>
        <v/>
      </c>
      <c r="AV1691">
        <f>COUNTIF($BA$1691:$EH$1691,"D")</f>
        <v/>
      </c>
      <c r="AW1691">
        <f>COUNTIF($BA$1691:$EH$1691,"R")</f>
        <v/>
      </c>
      <c r="AX1691">
        <f>IF(BN1691="D",1,0)+IF(BO1691="D",1,0)+IF(BT1691="D",1,0)+IF(BU1691="D",1,0)+IF(BW1691="D",1,0)+IF(CC1691="D",1,0)+IF(CD1691="D",1,0)+IF(CE1691="D",1,0)+IF(CF1691="D",1,0)+IF(CL1691="D",1,0)+IF(CM1691="D",1,0)+IF(CQ1691="D",1,0)+IF(CR1691="D",1,0)+IF(CS1691="D",1,0)+IF(CW1691="D",1,0)+IF(CX1691="D",1,0)+IF(DD1691="D",1,0)+IF(DE1691="D",1,0)+IF(DJ1691="D",1,0)+IF(DK1691="D",1,0)+IF(DO1691="D",1,0)+IF(DP1691="D",1,0)+IF(DQ1691="D",1,0)+IF(DW1691="D",1,0)+IF(DZ1691="D",1,0)+IF(EH1691="D",1,0)</f>
        <v/>
      </c>
      <c r="AY1691">
        <f>IF(DJ1691&lt;&gt;"",1,0)+IF(DK1691&lt;&gt;"",1,0)+IF(DM1691&lt;&gt;"",1,0)+IF(DO1691&lt;&gt;"",1,0)+IF(DP1691&lt;&gt;"",1,0)+IF(DQ1691&lt;&gt;"",1,0)+IF(DS1691&lt;&gt;"",1,0)+IF(DT1691&lt;&gt;"",1,0)+IF(DV1691&lt;&gt;"",1,0)+IF(DW1691&lt;&gt;"",1,0)+IF(DX1691&lt;&gt;"",1,0)+IF(DY1691&lt;&gt;"",1,0)+IF(DZ1691&lt;&gt;"",1,0)+IF(EB1691&lt;&gt;"",1,0)+IF(EC1691&lt;&gt;"",1,0)+IF(ED1691&lt;&gt;"",1,0)+IF(EG1691&lt;&gt;"",1,0)+IF(EH1691&lt;&gt;"",1,0)</f>
        <v/>
      </c>
      <c r="AZ1691">
        <f>IF(EH1691&lt;&gt;"",1,0)</f>
        <v/>
      </c>
      <c r="BB1691" t="inlineStr">
        <is>
          <t>WARREN-WARD 4</t>
        </is>
      </c>
    </row>
    <row r="1692">
      <c r="A1692" t="inlineStr">
        <is>
          <t>OH0027224886</t>
        </is>
      </c>
      <c r="B1692" t="n">
        <v>78</v>
      </c>
      <c r="C1692" t="n">
        <v>480959</v>
      </c>
      <c r="D1692" t="inlineStr">
        <is>
          <t>RAMSEY</t>
        </is>
      </c>
      <c r="E1692" t="inlineStr">
        <is>
          <t>ABRAM</t>
        </is>
      </c>
      <c r="F1692">
        <f>CONCATENATE(D1692," ",LEFT(H1692,4),"T=",AU1692,"D=",AV1692,"R=",AW1692,"M=",AX1692,"L=",AY1692,"B=",AZ1692)</f>
        <v/>
      </c>
      <c r="G1692" t="inlineStr">
        <is>
          <t>DOUGLAS</t>
        </is>
      </c>
      <c r="I1692" t="inlineStr">
        <is>
          <t>2006-05-26</t>
        </is>
      </c>
      <c r="J1692" t="inlineStr">
        <is>
          <t>2024-01-27</t>
        </is>
      </c>
      <c r="K1692" t="inlineStr">
        <is>
          <t>ACTIVE</t>
        </is>
      </c>
      <c r="M1692" t="inlineStr">
        <is>
          <t>631 WASHINGTON ST NE</t>
        </is>
      </c>
      <c r="N1692">
        <f>RIGHT(M1692,LEN(M1692)-FIND(" ",M1692))</f>
        <v/>
      </c>
      <c r="P1692" t="inlineStr">
        <is>
          <t>WARREN</t>
        </is>
      </c>
      <c r="Q1692" t="inlineStr">
        <is>
          <t>OH</t>
        </is>
      </c>
      <c r="R1692" t="n">
        <v>44483</v>
      </c>
      <c r="AD1692" t="inlineStr">
        <is>
          <t>TRUMBULL CAREER &amp; TECH CENTER</t>
        </is>
      </c>
      <c r="AE1692" t="inlineStr">
        <is>
          <t>WARREN CITY</t>
        </is>
      </c>
      <c r="AF1692" t="inlineStr">
        <is>
          <t>WARREN CITY SD</t>
        </is>
      </c>
      <c r="AH1692" t="n">
        <v>14</v>
      </c>
      <c r="AI1692" t="n">
        <v>11</v>
      </c>
      <c r="AN1692" t="inlineStr">
        <is>
          <t>WARREN</t>
        </is>
      </c>
      <c r="AO1692" t="inlineStr">
        <is>
          <t>WARREN CITY 4D</t>
        </is>
      </c>
      <c r="AP1692" t="inlineStr">
        <is>
          <t>78-P-ADL</t>
        </is>
      </c>
      <c r="AQ1692" t="n">
        <v>9</v>
      </c>
      <c r="AR1692" t="n">
        <v>64</v>
      </c>
      <c r="AS1692" t="n">
        <v>32</v>
      </c>
      <c r="AU1692">
        <f>COUNTA($BA$1692:$EH$1692)</f>
        <v/>
      </c>
      <c r="AV1692">
        <f>COUNTIF($BA$1692:$EH$1692,"D")</f>
        <v/>
      </c>
      <c r="AW1692">
        <f>COUNTIF($BA$1692:$EH$1692,"R")</f>
        <v/>
      </c>
      <c r="AX1692">
        <f>IF(BN1692="D",1,0)+IF(BO1692="D",1,0)+IF(BT1692="D",1,0)+IF(BU1692="D",1,0)+IF(BW1692="D",1,0)+IF(CC1692="D",1,0)+IF(CD1692="D",1,0)+IF(CE1692="D",1,0)+IF(CF1692="D",1,0)+IF(CL1692="D",1,0)+IF(CM1692="D",1,0)+IF(CQ1692="D",1,0)+IF(CR1692="D",1,0)+IF(CS1692="D",1,0)+IF(CW1692="D",1,0)+IF(CX1692="D",1,0)+IF(DD1692="D",1,0)+IF(DE1692="D",1,0)+IF(DJ1692="D",1,0)+IF(DK1692="D",1,0)+IF(DO1692="D",1,0)+IF(DP1692="D",1,0)+IF(DQ1692="D",1,0)+IF(DW1692="D",1,0)+IF(DZ1692="D",1,0)+IF(EH1692="D",1,0)</f>
        <v/>
      </c>
      <c r="AY1692">
        <f>IF(DJ1692&lt;&gt;"",1,0)+IF(DK1692&lt;&gt;"",1,0)+IF(DM1692&lt;&gt;"",1,0)+IF(DO1692&lt;&gt;"",1,0)+IF(DP1692&lt;&gt;"",1,0)+IF(DQ1692&lt;&gt;"",1,0)+IF(DS1692&lt;&gt;"",1,0)+IF(DT1692&lt;&gt;"",1,0)+IF(DV1692&lt;&gt;"",1,0)+IF(DW1692&lt;&gt;"",1,0)+IF(DX1692&lt;&gt;"",1,0)+IF(DY1692&lt;&gt;"",1,0)+IF(DZ1692&lt;&gt;"",1,0)+IF(EB1692&lt;&gt;"",1,0)+IF(EC1692&lt;&gt;"",1,0)+IF(ED1692&lt;&gt;"",1,0)+IF(EG1692&lt;&gt;"",1,0)+IF(EH1692&lt;&gt;"",1,0)</f>
        <v/>
      </c>
      <c r="AZ1692">
        <f>IF(EH1692&lt;&gt;"",1,0)</f>
        <v/>
      </c>
      <c r="BB1692" t="inlineStr">
        <is>
          <t>WARREN-WARD 4</t>
        </is>
      </c>
      <c r="EF1692" t="inlineStr">
        <is>
          <t>X</t>
        </is>
      </c>
    </row>
    <row r="1693">
      <c r="A1693" t="inlineStr">
        <is>
          <t>OH0015703092</t>
        </is>
      </c>
      <c r="B1693" t="n">
        <v>78</v>
      </c>
      <c r="C1693" t="n">
        <v>163415</v>
      </c>
      <c r="D1693" t="inlineStr">
        <is>
          <t>MCCLELLAN</t>
        </is>
      </c>
      <c r="E1693" t="inlineStr">
        <is>
          <t>GLENN</t>
        </is>
      </c>
      <c r="F1693">
        <f>CONCATENATE(D1693," ",LEFT(H1693,4),"T=",AU1693,"D=",AV1693,"R=",AW1693,"M=",AX1693,"L=",AY1693,"B=",AZ1693)</f>
        <v/>
      </c>
      <c r="G1693" t="inlineStr">
        <is>
          <t>O</t>
        </is>
      </c>
      <c r="H1693" t="inlineStr">
        <is>
          <t>II</t>
        </is>
      </c>
      <c r="I1693" t="inlineStr">
        <is>
          <t>1966-01-22</t>
        </is>
      </c>
      <c r="J1693" t="inlineStr">
        <is>
          <t>1984-02-16</t>
        </is>
      </c>
      <c r="K1693" t="inlineStr">
        <is>
          <t>ACTIVE</t>
        </is>
      </c>
      <c r="M1693" t="inlineStr">
        <is>
          <t>685 PORTER ST NE</t>
        </is>
      </c>
      <c r="N1693">
        <f>RIGHT(M1693,LEN(M1693)-FIND(" ",M1693))</f>
        <v/>
      </c>
      <c r="P1693" t="inlineStr">
        <is>
          <t>WARREN</t>
        </is>
      </c>
      <c r="Q1693" t="inlineStr">
        <is>
          <t>OH</t>
        </is>
      </c>
      <c r="R1693" t="n">
        <v>44483</v>
      </c>
      <c r="AD1693" t="inlineStr">
        <is>
          <t>TRUMBULL CAREER &amp; TECH CENTER</t>
        </is>
      </c>
      <c r="AE1693" t="inlineStr">
        <is>
          <t>WARREN CITY</t>
        </is>
      </c>
      <c r="AF1693" t="inlineStr">
        <is>
          <t>WARREN CITY SD</t>
        </is>
      </c>
      <c r="AH1693" t="n">
        <v>14</v>
      </c>
      <c r="AI1693" t="n">
        <v>11</v>
      </c>
      <c r="AN1693" t="inlineStr">
        <is>
          <t>WARREN</t>
        </is>
      </c>
      <c r="AO1693" t="inlineStr">
        <is>
          <t>WARREN CITY 4D</t>
        </is>
      </c>
      <c r="AP1693" t="inlineStr">
        <is>
          <t>78-P-ADL</t>
        </is>
      </c>
      <c r="AQ1693" t="n">
        <v>9</v>
      </c>
      <c r="AR1693" t="n">
        <v>64</v>
      </c>
      <c r="AS1693" t="n">
        <v>32</v>
      </c>
      <c r="AU1693">
        <f>COUNTA($BA$1693:$EH$1693)</f>
        <v/>
      </c>
      <c r="AV1693">
        <f>COUNTIF($BA$1693:$EH$1693,"D")</f>
        <v/>
      </c>
      <c r="AW1693">
        <f>COUNTIF($BA$1693:$EH$1693,"R")</f>
        <v/>
      </c>
      <c r="AX1693">
        <f>IF(BN1693="D",1,0)+IF(BO1693="D",1,0)+IF(BT1693="D",1,0)+IF(BU1693="D",1,0)+IF(BW1693="D",1,0)+IF(CC1693="D",1,0)+IF(CD1693="D",1,0)+IF(CE1693="D",1,0)+IF(CF1693="D",1,0)+IF(CL1693="D",1,0)+IF(CM1693="D",1,0)+IF(CQ1693="D",1,0)+IF(CR1693="D",1,0)+IF(CS1693="D",1,0)+IF(CW1693="D",1,0)+IF(CX1693="D",1,0)+IF(DD1693="D",1,0)+IF(DE1693="D",1,0)+IF(DJ1693="D",1,0)+IF(DK1693="D",1,0)+IF(DO1693="D",1,0)+IF(DP1693="D",1,0)+IF(DQ1693="D",1,0)+IF(DW1693="D",1,0)+IF(DZ1693="D",1,0)+IF(EH1693="D",1,0)</f>
        <v/>
      </c>
      <c r="AY1693">
        <f>IF(DJ1693&lt;&gt;"",1,0)+IF(DK1693&lt;&gt;"",1,0)+IF(DM1693&lt;&gt;"",1,0)+IF(DO1693&lt;&gt;"",1,0)+IF(DP1693&lt;&gt;"",1,0)+IF(DQ1693&lt;&gt;"",1,0)+IF(DS1693&lt;&gt;"",1,0)+IF(DT1693&lt;&gt;"",1,0)+IF(DV1693&lt;&gt;"",1,0)+IF(DW1693&lt;&gt;"",1,0)+IF(DX1693&lt;&gt;"",1,0)+IF(DY1693&lt;&gt;"",1,0)+IF(DZ1693&lt;&gt;"",1,0)+IF(EB1693&lt;&gt;"",1,0)+IF(EC1693&lt;&gt;"",1,0)+IF(ED1693&lt;&gt;"",1,0)+IF(EG1693&lt;&gt;"",1,0)+IF(EH1693&lt;&gt;"",1,0)</f>
        <v/>
      </c>
      <c r="AZ1693">
        <f>IF(EH1693&lt;&gt;"",1,0)</f>
        <v/>
      </c>
      <c r="BB1693" t="inlineStr">
        <is>
          <t>WARREN-WARD 4</t>
        </is>
      </c>
      <c r="BD1693" t="inlineStr">
        <is>
          <t>X</t>
        </is>
      </c>
      <c r="BI1693" t="inlineStr">
        <is>
          <t>X</t>
        </is>
      </c>
      <c r="BJ1693" t="inlineStr">
        <is>
          <t>X</t>
        </is>
      </c>
      <c r="BL1693" t="inlineStr">
        <is>
          <t>X</t>
        </is>
      </c>
      <c r="BP1693" t="inlineStr">
        <is>
          <t>X</t>
        </is>
      </c>
      <c r="BY1693" t="inlineStr">
        <is>
          <t>D</t>
        </is>
      </c>
      <c r="CA1693" t="inlineStr">
        <is>
          <t>X</t>
        </is>
      </c>
      <c r="CN1693" t="inlineStr">
        <is>
          <t>X</t>
        </is>
      </c>
      <c r="CO1693" t="inlineStr">
        <is>
          <t>D</t>
        </is>
      </c>
      <c r="CP1693" t="inlineStr">
        <is>
          <t>X</t>
        </is>
      </c>
      <c r="CZ1693" t="inlineStr">
        <is>
          <t>D</t>
        </is>
      </c>
      <c r="DC1693" t="inlineStr">
        <is>
          <t>X</t>
        </is>
      </c>
      <c r="DF1693" t="inlineStr">
        <is>
          <t>X</t>
        </is>
      </c>
      <c r="DI1693" t="inlineStr">
        <is>
          <t>X</t>
        </is>
      </c>
      <c r="DL1693" t="inlineStr">
        <is>
          <t>X</t>
        </is>
      </c>
      <c r="DM1693" t="inlineStr">
        <is>
          <t>D</t>
        </is>
      </c>
      <c r="DN1693" t="inlineStr">
        <is>
          <t>X</t>
        </is>
      </c>
      <c r="EF1693" t="inlineStr">
        <is>
          <t>X</t>
        </is>
      </c>
    </row>
    <row r="1694">
      <c r="A1694" t="inlineStr">
        <is>
          <t>OH0020377805</t>
        </is>
      </c>
      <c r="B1694" t="n">
        <v>78</v>
      </c>
      <c r="C1694" t="n">
        <v>367356</v>
      </c>
      <c r="D1694" t="inlineStr">
        <is>
          <t>DYSON</t>
        </is>
      </c>
      <c r="E1694" t="inlineStr">
        <is>
          <t>RENEE</t>
        </is>
      </c>
      <c r="F1694">
        <f>CONCATENATE(D1694," ",LEFT(H1694,4),"T=",AU1694,"D=",AV1694,"R=",AW1694,"M=",AX1694,"L=",AY1694,"B=",AZ1694)</f>
        <v/>
      </c>
      <c r="G1694" t="inlineStr">
        <is>
          <t>S</t>
        </is>
      </c>
      <c r="I1694" t="inlineStr">
        <is>
          <t>1957-06-01</t>
        </is>
      </c>
      <c r="J1694" t="inlineStr">
        <is>
          <t>2018-09-28</t>
        </is>
      </c>
      <c r="K1694" t="inlineStr">
        <is>
          <t>ACTIVE</t>
        </is>
      </c>
      <c r="L1694" t="inlineStr">
        <is>
          <t>R</t>
        </is>
      </c>
      <c r="M1694" t="inlineStr">
        <is>
          <t>208 CHESTNUT AVE SE</t>
        </is>
      </c>
      <c r="N1694">
        <f>RIGHT(M1694,LEN(M1694)-FIND(" ",M1694))</f>
        <v/>
      </c>
      <c r="P1694" t="inlineStr">
        <is>
          <t>WARREN</t>
        </is>
      </c>
      <c r="Q1694" t="inlineStr">
        <is>
          <t>OH</t>
        </is>
      </c>
      <c r="R1694" t="n">
        <v>44483</v>
      </c>
      <c r="AD1694" t="inlineStr">
        <is>
          <t>TRUMBULL CAREER &amp; TECH CENTER</t>
        </is>
      </c>
      <c r="AE1694" t="inlineStr">
        <is>
          <t>WARREN CITY</t>
        </is>
      </c>
      <c r="AF1694" t="inlineStr">
        <is>
          <t>WARREN CITY SD</t>
        </is>
      </c>
      <c r="AH1694" t="n">
        <v>14</v>
      </c>
      <c r="AI1694" t="n">
        <v>11</v>
      </c>
      <c r="AN1694" t="inlineStr">
        <is>
          <t>WARREN</t>
        </is>
      </c>
      <c r="AO1694" t="inlineStr">
        <is>
          <t>WARREN CITY 4D</t>
        </is>
      </c>
      <c r="AP1694" t="inlineStr">
        <is>
          <t>78-P-ADL</t>
        </is>
      </c>
      <c r="AQ1694" t="n">
        <v>9</v>
      </c>
      <c r="AR1694" t="n">
        <v>64</v>
      </c>
      <c r="AS1694" t="n">
        <v>32</v>
      </c>
      <c r="AU1694">
        <f>COUNTA($BA$1694:$EH$1694)</f>
        <v/>
      </c>
      <c r="AV1694">
        <f>COUNTIF($BA$1694:$EH$1694,"D")</f>
        <v/>
      </c>
      <c r="AW1694">
        <f>COUNTIF($BA$1694:$EH$1694,"R")</f>
        <v/>
      </c>
      <c r="AX1694">
        <f>IF(BN1694="D",1,0)+IF(BO1694="D",1,0)+IF(BT1694="D",1,0)+IF(BU1694="D",1,0)+IF(BW1694="D",1,0)+IF(CC1694="D",1,0)+IF(CD1694="D",1,0)+IF(CE1694="D",1,0)+IF(CF1694="D",1,0)+IF(CL1694="D",1,0)+IF(CM1694="D",1,0)+IF(CQ1694="D",1,0)+IF(CR1694="D",1,0)+IF(CS1694="D",1,0)+IF(CW1694="D",1,0)+IF(CX1694="D",1,0)+IF(DD1694="D",1,0)+IF(DE1694="D",1,0)+IF(DJ1694="D",1,0)+IF(DK1694="D",1,0)+IF(DO1694="D",1,0)+IF(DP1694="D",1,0)+IF(DQ1694="D",1,0)+IF(DW1694="D",1,0)+IF(DZ1694="D",1,0)+IF(EH1694="D",1,0)</f>
        <v/>
      </c>
      <c r="AY1694">
        <f>IF(DJ1694&lt;&gt;"",1,0)+IF(DK1694&lt;&gt;"",1,0)+IF(DM1694&lt;&gt;"",1,0)+IF(DO1694&lt;&gt;"",1,0)+IF(DP1694&lt;&gt;"",1,0)+IF(DQ1694&lt;&gt;"",1,0)+IF(DS1694&lt;&gt;"",1,0)+IF(DT1694&lt;&gt;"",1,0)+IF(DV1694&lt;&gt;"",1,0)+IF(DW1694&lt;&gt;"",1,0)+IF(DX1694&lt;&gt;"",1,0)+IF(DY1694&lt;&gt;"",1,0)+IF(DZ1694&lt;&gt;"",1,0)+IF(EB1694&lt;&gt;"",1,0)+IF(EC1694&lt;&gt;"",1,0)+IF(ED1694&lt;&gt;"",1,0)+IF(EG1694&lt;&gt;"",1,0)+IF(EH1694&lt;&gt;"",1,0)</f>
        <v/>
      </c>
      <c r="AZ1694">
        <f>IF(EH1694&lt;&gt;"",1,0)</f>
        <v/>
      </c>
      <c r="BB1694" t="inlineStr">
        <is>
          <t>WARREN-WARD 4</t>
        </is>
      </c>
      <c r="CP1694" t="inlineStr">
        <is>
          <t>X</t>
        </is>
      </c>
      <c r="DI1694" t="inlineStr">
        <is>
          <t>X</t>
        </is>
      </c>
      <c r="DM1694" t="inlineStr">
        <is>
          <t>R</t>
        </is>
      </c>
      <c r="DN1694" t="inlineStr">
        <is>
          <t>X</t>
        </is>
      </c>
      <c r="DS1694" t="inlineStr">
        <is>
          <t>R</t>
        </is>
      </c>
      <c r="DU1694" t="inlineStr">
        <is>
          <t>X</t>
        </is>
      </c>
      <c r="DX1694" t="inlineStr">
        <is>
          <t>X</t>
        </is>
      </c>
      <c r="EA1694" t="inlineStr">
        <is>
          <t>X</t>
        </is>
      </c>
      <c r="ED1694" t="inlineStr">
        <is>
          <t>R</t>
        </is>
      </c>
      <c r="EF1694" t="inlineStr">
        <is>
          <t>X</t>
        </is>
      </c>
    </row>
    <row r="1695">
      <c r="A1695" t="inlineStr">
        <is>
          <t>OH0015704864</t>
        </is>
      </c>
      <c r="B1695" t="n">
        <v>78</v>
      </c>
      <c r="C1695" t="n">
        <v>166749</v>
      </c>
      <c r="D1695" t="inlineStr">
        <is>
          <t>CUNNINGHAM</t>
        </is>
      </c>
      <c r="E1695" t="inlineStr">
        <is>
          <t>ROY</t>
        </is>
      </c>
      <c r="F1695">
        <f>CONCATENATE(D1695," ",LEFT(H1695,4),"T=",AU1695,"D=",AV1695,"R=",AW1695,"M=",AX1695,"L=",AY1695,"B=",AZ1695)</f>
        <v/>
      </c>
      <c r="H1695" t="inlineStr">
        <is>
          <t>JR</t>
        </is>
      </c>
      <c r="I1695" t="inlineStr">
        <is>
          <t>1941-08-29</t>
        </is>
      </c>
      <c r="J1695" t="inlineStr">
        <is>
          <t>1984-04-03</t>
        </is>
      </c>
      <c r="K1695" t="inlineStr">
        <is>
          <t>ACTIVE</t>
        </is>
      </c>
      <c r="L1695" t="inlineStr">
        <is>
          <t>D</t>
        </is>
      </c>
      <c r="M1695" t="inlineStr">
        <is>
          <t>674 PORTER ST NE</t>
        </is>
      </c>
      <c r="N1695">
        <f>RIGHT(M1695,LEN(M1695)-FIND(" ",M1695))</f>
        <v/>
      </c>
      <c r="P1695" t="inlineStr">
        <is>
          <t>WARREN</t>
        </is>
      </c>
      <c r="Q1695" t="inlineStr">
        <is>
          <t>OH</t>
        </is>
      </c>
      <c r="R1695" t="n">
        <v>44483</v>
      </c>
      <c r="AD1695" t="inlineStr">
        <is>
          <t>TRUMBULL CAREER &amp; TECH CENTER</t>
        </is>
      </c>
      <c r="AE1695" t="inlineStr">
        <is>
          <t>WARREN CITY</t>
        </is>
      </c>
      <c r="AF1695" t="inlineStr">
        <is>
          <t>WARREN CITY SD</t>
        </is>
      </c>
      <c r="AH1695" t="n">
        <v>14</v>
      </c>
      <c r="AI1695" t="n">
        <v>11</v>
      </c>
      <c r="AN1695" t="inlineStr">
        <is>
          <t>WARREN</t>
        </is>
      </c>
      <c r="AO1695" t="inlineStr">
        <is>
          <t>WARREN CITY 4D</t>
        </is>
      </c>
      <c r="AP1695" t="inlineStr">
        <is>
          <t>78-P-ADL</t>
        </is>
      </c>
      <c r="AQ1695" t="n">
        <v>9</v>
      </c>
      <c r="AR1695" t="n">
        <v>64</v>
      </c>
      <c r="AS1695" t="n">
        <v>32</v>
      </c>
      <c r="AU1695">
        <f>COUNTA($BA$1695:$EH$1695)</f>
        <v/>
      </c>
      <c r="AV1695">
        <f>COUNTIF($BA$1695:$EH$1695,"D")</f>
        <v/>
      </c>
      <c r="AW1695">
        <f>COUNTIF($BA$1695:$EH$1695,"R")</f>
        <v/>
      </c>
      <c r="AX1695">
        <f>IF(BN1695="D",1,0)+IF(BO1695="D",1,0)+IF(BT1695="D",1,0)+IF(BU1695="D",1,0)+IF(BW1695="D",1,0)+IF(CC1695="D",1,0)+IF(CD1695="D",1,0)+IF(CE1695="D",1,0)+IF(CF1695="D",1,0)+IF(CL1695="D",1,0)+IF(CM1695="D",1,0)+IF(CQ1695="D",1,0)+IF(CR1695="D",1,0)+IF(CS1695="D",1,0)+IF(CW1695="D",1,0)+IF(CX1695="D",1,0)+IF(DD1695="D",1,0)+IF(DE1695="D",1,0)+IF(DJ1695="D",1,0)+IF(DK1695="D",1,0)+IF(DO1695="D",1,0)+IF(DP1695="D",1,0)+IF(DQ1695="D",1,0)+IF(DW1695="D",1,0)+IF(DZ1695="D",1,0)+IF(EH1695="D",1,0)</f>
        <v/>
      </c>
      <c r="AY1695">
        <f>IF(DJ1695&lt;&gt;"",1,0)+IF(DK1695&lt;&gt;"",1,0)+IF(DM1695&lt;&gt;"",1,0)+IF(DO1695&lt;&gt;"",1,0)+IF(DP1695&lt;&gt;"",1,0)+IF(DQ1695&lt;&gt;"",1,0)+IF(DS1695&lt;&gt;"",1,0)+IF(DT1695&lt;&gt;"",1,0)+IF(DV1695&lt;&gt;"",1,0)+IF(DW1695&lt;&gt;"",1,0)+IF(DX1695&lt;&gt;"",1,0)+IF(DY1695&lt;&gt;"",1,0)+IF(DZ1695&lt;&gt;"",1,0)+IF(EB1695&lt;&gt;"",1,0)+IF(EC1695&lt;&gt;"",1,0)+IF(ED1695&lt;&gt;"",1,0)+IF(EG1695&lt;&gt;"",1,0)+IF(EH1695&lt;&gt;"",1,0)</f>
        <v/>
      </c>
      <c r="AZ1695">
        <f>IF(EH1695&lt;&gt;"",1,0)</f>
        <v/>
      </c>
      <c r="BB1695" t="inlineStr">
        <is>
          <t>WARREN-WARD 4</t>
        </is>
      </c>
      <c r="BC1695" t="inlineStr">
        <is>
          <t>X</t>
        </is>
      </c>
      <c r="BD1695" t="inlineStr">
        <is>
          <t>X</t>
        </is>
      </c>
      <c r="BE1695" t="inlineStr">
        <is>
          <t>X</t>
        </is>
      </c>
      <c r="BF1695" t="inlineStr">
        <is>
          <t>X</t>
        </is>
      </c>
      <c r="BG1695" t="inlineStr">
        <is>
          <t>X</t>
        </is>
      </c>
      <c r="BH1695" t="inlineStr">
        <is>
          <t>X</t>
        </is>
      </c>
      <c r="BI1695" t="inlineStr">
        <is>
          <t>X</t>
        </is>
      </c>
      <c r="BJ1695" t="inlineStr">
        <is>
          <t>X</t>
        </is>
      </c>
      <c r="BK1695" t="inlineStr">
        <is>
          <t>X</t>
        </is>
      </c>
      <c r="BL1695" t="inlineStr">
        <is>
          <t>X</t>
        </is>
      </c>
      <c r="BP1695" t="inlineStr">
        <is>
          <t>X</t>
        </is>
      </c>
      <c r="BR1695" t="inlineStr">
        <is>
          <t>X</t>
        </is>
      </c>
      <c r="BS1695" t="inlineStr">
        <is>
          <t>X</t>
        </is>
      </c>
      <c r="BT1695" t="inlineStr">
        <is>
          <t>X</t>
        </is>
      </c>
      <c r="BV1695" t="inlineStr">
        <is>
          <t>X</t>
        </is>
      </c>
      <c r="BY1695" t="inlineStr">
        <is>
          <t>D</t>
        </is>
      </c>
      <c r="CA1695" t="inlineStr">
        <is>
          <t>X</t>
        </is>
      </c>
      <c r="CG1695" t="inlineStr">
        <is>
          <t>X</t>
        </is>
      </c>
      <c r="CH1695" t="inlineStr">
        <is>
          <t>D</t>
        </is>
      </c>
      <c r="CK1695" t="inlineStr">
        <is>
          <t>X</t>
        </is>
      </c>
      <c r="CL1695" t="inlineStr">
        <is>
          <t>D</t>
        </is>
      </c>
      <c r="CN1695" t="inlineStr">
        <is>
          <t>X</t>
        </is>
      </c>
      <c r="CO1695" t="inlineStr">
        <is>
          <t>D</t>
        </is>
      </c>
      <c r="CP1695" t="inlineStr">
        <is>
          <t>X</t>
        </is>
      </c>
      <c r="CT1695" t="inlineStr">
        <is>
          <t>X</t>
        </is>
      </c>
      <c r="CV1695" t="inlineStr">
        <is>
          <t>X</t>
        </is>
      </c>
      <c r="CW1695" t="inlineStr">
        <is>
          <t>D</t>
        </is>
      </c>
      <c r="CY1695" t="inlineStr">
        <is>
          <t>X</t>
        </is>
      </c>
      <c r="CZ1695" t="inlineStr">
        <is>
          <t>D</t>
        </is>
      </c>
      <c r="DC1695" t="inlineStr">
        <is>
          <t>X</t>
        </is>
      </c>
      <c r="DD1695" t="inlineStr">
        <is>
          <t>D</t>
        </is>
      </c>
      <c r="DF1695" t="inlineStr">
        <is>
          <t>X</t>
        </is>
      </c>
      <c r="DG1695" t="inlineStr">
        <is>
          <t>D</t>
        </is>
      </c>
      <c r="DI1695" t="inlineStr">
        <is>
          <t>X</t>
        </is>
      </c>
      <c r="DJ1695" t="inlineStr">
        <is>
          <t>D</t>
        </is>
      </c>
      <c r="DL1695" t="inlineStr">
        <is>
          <t>X</t>
        </is>
      </c>
      <c r="DM1695" t="inlineStr">
        <is>
          <t>D</t>
        </is>
      </c>
      <c r="DN1695" t="inlineStr">
        <is>
          <t>X</t>
        </is>
      </c>
      <c r="DR1695" t="inlineStr">
        <is>
          <t>X</t>
        </is>
      </c>
      <c r="DT1695" t="inlineStr">
        <is>
          <t>D</t>
        </is>
      </c>
      <c r="DU1695" t="inlineStr">
        <is>
          <t>X</t>
        </is>
      </c>
      <c r="DW1695" t="inlineStr">
        <is>
          <t>D</t>
        </is>
      </c>
      <c r="DX1695" t="inlineStr">
        <is>
          <t>X</t>
        </is>
      </c>
      <c r="EA1695" t="inlineStr">
        <is>
          <t>X</t>
        </is>
      </c>
      <c r="ED1695" t="inlineStr">
        <is>
          <t>D</t>
        </is>
      </c>
      <c r="EF1695" t="inlineStr">
        <is>
          <t>X</t>
        </is>
      </c>
      <c r="EH1695" t="inlineStr">
        <is>
          <t>D</t>
        </is>
      </c>
    </row>
    <row r="1696">
      <c r="A1696" t="inlineStr">
        <is>
          <t>OH0015746851</t>
        </is>
      </c>
      <c r="B1696" t="n">
        <v>78</v>
      </c>
      <c r="C1696" t="n">
        <v>233324</v>
      </c>
      <c r="D1696" t="inlineStr">
        <is>
          <t>FURLONG</t>
        </is>
      </c>
      <c r="E1696" t="inlineStr">
        <is>
          <t>DEVON</t>
        </is>
      </c>
      <c r="F1696">
        <f>CONCATENATE(D1696," ",LEFT(H1696,4),"T=",AU1696,"D=",AV1696,"R=",AW1696,"M=",AX1696,"L=",AY1696,"B=",AZ1696)</f>
        <v/>
      </c>
      <c r="G1696" t="inlineStr">
        <is>
          <t>EVERETT</t>
        </is>
      </c>
      <c r="I1696" t="inlineStr">
        <is>
          <t>1974-06-13</t>
        </is>
      </c>
      <c r="J1696" t="inlineStr">
        <is>
          <t>2022-10-26</t>
        </is>
      </c>
      <c r="K1696" t="inlineStr">
        <is>
          <t>ACTIVE</t>
        </is>
      </c>
      <c r="M1696" t="inlineStr">
        <is>
          <t>737 PORTER ST NE</t>
        </is>
      </c>
      <c r="N1696">
        <f>RIGHT(M1696,LEN(M1696)-FIND(" ",M1696))</f>
        <v/>
      </c>
      <c r="P1696" t="inlineStr">
        <is>
          <t>WARREN</t>
        </is>
      </c>
      <c r="Q1696" t="inlineStr">
        <is>
          <t>OH</t>
        </is>
      </c>
      <c r="R1696" t="n">
        <v>44483</v>
      </c>
      <c r="AD1696" t="inlineStr">
        <is>
          <t>TRUMBULL CAREER &amp; TECH CENTER</t>
        </is>
      </c>
      <c r="AE1696" t="inlineStr">
        <is>
          <t>WARREN CITY</t>
        </is>
      </c>
      <c r="AF1696" t="inlineStr">
        <is>
          <t>WARREN CITY SD</t>
        </is>
      </c>
      <c r="AH1696" t="n">
        <v>14</v>
      </c>
      <c r="AI1696" t="n">
        <v>11</v>
      </c>
      <c r="AN1696" t="inlineStr">
        <is>
          <t>WARREN</t>
        </is>
      </c>
      <c r="AO1696" t="inlineStr">
        <is>
          <t>WARREN CITY 4D</t>
        </is>
      </c>
      <c r="AP1696" t="inlineStr">
        <is>
          <t>78-P-ADL</t>
        </is>
      </c>
      <c r="AQ1696" t="n">
        <v>9</v>
      </c>
      <c r="AR1696" t="n">
        <v>64</v>
      </c>
      <c r="AS1696" t="n">
        <v>32</v>
      </c>
      <c r="AU1696">
        <f>COUNTA($BA$1696:$EH$1696)</f>
        <v/>
      </c>
      <c r="AV1696">
        <f>COUNTIF($BA$1696:$EH$1696,"D")</f>
        <v/>
      </c>
      <c r="AW1696">
        <f>COUNTIF($BA$1696:$EH$1696,"R")</f>
        <v/>
      </c>
      <c r="AX1696">
        <f>IF(BN1696="D",1,0)+IF(BO1696="D",1,0)+IF(BT1696="D",1,0)+IF(BU1696="D",1,0)+IF(BW1696="D",1,0)+IF(CC1696="D",1,0)+IF(CD1696="D",1,0)+IF(CE1696="D",1,0)+IF(CF1696="D",1,0)+IF(CL1696="D",1,0)+IF(CM1696="D",1,0)+IF(CQ1696="D",1,0)+IF(CR1696="D",1,0)+IF(CS1696="D",1,0)+IF(CW1696="D",1,0)+IF(CX1696="D",1,0)+IF(DD1696="D",1,0)+IF(DE1696="D",1,0)+IF(DJ1696="D",1,0)+IF(DK1696="D",1,0)+IF(DO1696="D",1,0)+IF(DP1696="D",1,0)+IF(DQ1696="D",1,0)+IF(DW1696="D",1,0)+IF(DZ1696="D",1,0)+IF(EH1696="D",1,0)</f>
        <v/>
      </c>
      <c r="AY1696">
        <f>IF(DJ1696&lt;&gt;"",1,0)+IF(DK1696&lt;&gt;"",1,0)+IF(DM1696&lt;&gt;"",1,0)+IF(DO1696&lt;&gt;"",1,0)+IF(DP1696&lt;&gt;"",1,0)+IF(DQ1696&lt;&gt;"",1,0)+IF(DS1696&lt;&gt;"",1,0)+IF(DT1696&lt;&gt;"",1,0)+IF(DV1696&lt;&gt;"",1,0)+IF(DW1696&lt;&gt;"",1,0)+IF(DX1696&lt;&gt;"",1,0)+IF(DY1696&lt;&gt;"",1,0)+IF(DZ1696&lt;&gt;"",1,0)+IF(EB1696&lt;&gt;"",1,0)+IF(EC1696&lt;&gt;"",1,0)+IF(ED1696&lt;&gt;"",1,0)+IF(EG1696&lt;&gt;"",1,0)+IF(EH1696&lt;&gt;"",1,0)</f>
        <v/>
      </c>
      <c r="AZ1696">
        <f>IF(EH1696&lt;&gt;"",1,0)</f>
        <v/>
      </c>
      <c r="BB1696" t="inlineStr">
        <is>
          <t>WARREN-WARD 4</t>
        </is>
      </c>
      <c r="BC1696" t="inlineStr">
        <is>
          <t>X</t>
        </is>
      </c>
      <c r="DU1696" t="inlineStr">
        <is>
          <t>X</t>
        </is>
      </c>
    </row>
    <row r="1697">
      <c r="A1697" t="inlineStr">
        <is>
          <t>OH0026518504</t>
        </is>
      </c>
      <c r="B1697" t="n">
        <v>78</v>
      </c>
      <c r="C1697" t="n">
        <v>463513</v>
      </c>
      <c r="D1697" t="inlineStr">
        <is>
          <t>COLE</t>
        </is>
      </c>
      <c r="E1697" t="inlineStr">
        <is>
          <t>AMELIA</t>
        </is>
      </c>
      <c r="F1697">
        <f>CONCATENATE(D1697," ",LEFT(H1697,4),"T=",AU1697,"D=",AV1697,"R=",AW1697,"M=",AX1697,"L=",AY1697,"B=",AZ1697)</f>
        <v/>
      </c>
      <c r="G1697" t="inlineStr">
        <is>
          <t>ANNE</t>
        </is>
      </c>
      <c r="I1697" t="inlineStr">
        <is>
          <t>1990-03-21</t>
        </is>
      </c>
      <c r="J1697" t="inlineStr">
        <is>
          <t>2022-05-03</t>
        </is>
      </c>
      <c r="K1697" t="inlineStr">
        <is>
          <t>ACTIVE</t>
        </is>
      </c>
      <c r="M1697" t="inlineStr">
        <is>
          <t>200 WASHINGTON ST NE</t>
        </is>
      </c>
      <c r="N1697">
        <f>RIGHT(M1697,LEN(M1697)-FIND(" ",M1697))</f>
        <v/>
      </c>
      <c r="O1697" t="inlineStr">
        <is>
          <t>APT 10</t>
        </is>
      </c>
      <c r="P1697" t="inlineStr">
        <is>
          <t>WARREN</t>
        </is>
      </c>
      <c r="Q1697" t="inlineStr">
        <is>
          <t>OH</t>
        </is>
      </c>
      <c r="R1697" t="n">
        <v>44483</v>
      </c>
      <c r="AD1697" t="inlineStr">
        <is>
          <t>TRUMBULL CAREER &amp; TECH CENTER</t>
        </is>
      </c>
      <c r="AE1697" t="inlineStr">
        <is>
          <t>WARREN CITY</t>
        </is>
      </c>
      <c r="AF1697" t="inlineStr">
        <is>
          <t>WARREN CITY SD</t>
        </is>
      </c>
      <c r="AH1697" t="n">
        <v>14</v>
      </c>
      <c r="AI1697" t="n">
        <v>11</v>
      </c>
      <c r="AN1697" t="inlineStr">
        <is>
          <t>WARREN</t>
        </is>
      </c>
      <c r="AO1697" t="inlineStr">
        <is>
          <t>WARREN CITY 4D</t>
        </is>
      </c>
      <c r="AP1697" t="inlineStr">
        <is>
          <t>78-P-ADL</t>
        </is>
      </c>
      <c r="AQ1697" t="n">
        <v>9</v>
      </c>
      <c r="AR1697" t="n">
        <v>64</v>
      </c>
      <c r="AS1697" t="n">
        <v>32</v>
      </c>
      <c r="AU1697">
        <f>COUNTA($BA$1697:$EH$1697)</f>
        <v/>
      </c>
      <c r="AV1697">
        <f>COUNTIF($BA$1697:$EH$1697,"D")</f>
        <v/>
      </c>
      <c r="AW1697">
        <f>COUNTIF($BA$1697:$EH$1697,"R")</f>
        <v/>
      </c>
      <c r="AX1697">
        <f>IF(BN1697="D",1,0)+IF(BO1697="D",1,0)+IF(BT1697="D",1,0)+IF(BU1697="D",1,0)+IF(BW1697="D",1,0)+IF(CC1697="D",1,0)+IF(CD1697="D",1,0)+IF(CE1697="D",1,0)+IF(CF1697="D",1,0)+IF(CL1697="D",1,0)+IF(CM1697="D",1,0)+IF(CQ1697="D",1,0)+IF(CR1697="D",1,0)+IF(CS1697="D",1,0)+IF(CW1697="D",1,0)+IF(CX1697="D",1,0)+IF(DD1697="D",1,0)+IF(DE1697="D",1,0)+IF(DJ1697="D",1,0)+IF(DK1697="D",1,0)+IF(DO1697="D",1,0)+IF(DP1697="D",1,0)+IF(DQ1697="D",1,0)+IF(DW1697="D",1,0)+IF(DZ1697="D",1,0)+IF(EH1697="D",1,0)</f>
        <v/>
      </c>
      <c r="AY1697">
        <f>IF(DJ1697&lt;&gt;"",1,0)+IF(DK1697&lt;&gt;"",1,0)+IF(DM1697&lt;&gt;"",1,0)+IF(DO1697&lt;&gt;"",1,0)+IF(DP1697&lt;&gt;"",1,0)+IF(DQ1697&lt;&gt;"",1,0)+IF(DS1697&lt;&gt;"",1,0)+IF(DT1697&lt;&gt;"",1,0)+IF(DV1697&lt;&gt;"",1,0)+IF(DW1697&lt;&gt;"",1,0)+IF(DX1697&lt;&gt;"",1,0)+IF(DY1697&lt;&gt;"",1,0)+IF(DZ1697&lt;&gt;"",1,0)+IF(EB1697&lt;&gt;"",1,0)+IF(EC1697&lt;&gt;"",1,0)+IF(ED1697&lt;&gt;"",1,0)+IF(EG1697&lt;&gt;"",1,0)+IF(EH1697&lt;&gt;"",1,0)</f>
        <v/>
      </c>
      <c r="AZ1697">
        <f>IF(EH1697&lt;&gt;"",1,0)</f>
        <v/>
      </c>
      <c r="BB1697" t="inlineStr">
        <is>
          <t>WARREN-WARD 4</t>
        </is>
      </c>
    </row>
    <row r="1698">
      <c r="A1698" t="inlineStr">
        <is>
          <t>OH0015718532</t>
        </is>
      </c>
      <c r="B1698" t="n">
        <v>78</v>
      </c>
      <c r="C1698" t="n">
        <v>296625</v>
      </c>
      <c r="D1698" t="inlineStr">
        <is>
          <t>MATTHEWS</t>
        </is>
      </c>
      <c r="E1698" t="inlineStr">
        <is>
          <t>PAPETTE</t>
        </is>
      </c>
      <c r="F1698">
        <f>CONCATENATE(D1698," ",LEFT(H1698,4),"T=",AU1698,"D=",AV1698,"R=",AW1698,"M=",AX1698,"L=",AY1698,"B=",AZ1698)</f>
        <v/>
      </c>
      <c r="G1698" t="inlineStr">
        <is>
          <t>C</t>
        </is>
      </c>
      <c r="I1698" t="inlineStr">
        <is>
          <t>1979-11-15</t>
        </is>
      </c>
      <c r="J1698" t="inlineStr">
        <is>
          <t>2016-09-02</t>
        </is>
      </c>
      <c r="K1698" t="inlineStr">
        <is>
          <t>ACTIVE</t>
        </is>
      </c>
      <c r="M1698" t="inlineStr">
        <is>
          <t>224 PORTER ST NE</t>
        </is>
      </c>
      <c r="N1698">
        <f>RIGHT(M1698,LEN(M1698)-FIND(" ",M1698))</f>
        <v/>
      </c>
      <c r="P1698" t="inlineStr">
        <is>
          <t>WARREN</t>
        </is>
      </c>
      <c r="Q1698" t="inlineStr">
        <is>
          <t>OH</t>
        </is>
      </c>
      <c r="R1698" t="n">
        <v>44483</v>
      </c>
      <c r="AD1698" t="inlineStr">
        <is>
          <t>TRUMBULL CAREER &amp; TECH CENTER</t>
        </is>
      </c>
      <c r="AE1698" t="inlineStr">
        <is>
          <t>WARREN CITY</t>
        </is>
      </c>
      <c r="AF1698" t="inlineStr">
        <is>
          <t>WARREN CITY SD</t>
        </is>
      </c>
      <c r="AH1698" t="n">
        <v>14</v>
      </c>
      <c r="AI1698" t="n">
        <v>11</v>
      </c>
      <c r="AN1698" t="inlineStr">
        <is>
          <t>WARREN</t>
        </is>
      </c>
      <c r="AO1698" t="inlineStr">
        <is>
          <t>WARREN CITY 4D</t>
        </is>
      </c>
      <c r="AP1698" t="inlineStr">
        <is>
          <t>78-P-ADL</t>
        </is>
      </c>
      <c r="AQ1698" t="n">
        <v>9</v>
      </c>
      <c r="AR1698" t="n">
        <v>64</v>
      </c>
      <c r="AS1698" t="n">
        <v>32</v>
      </c>
      <c r="AU1698">
        <f>COUNTA($BA$1698:$EH$1698)</f>
        <v/>
      </c>
      <c r="AV1698">
        <f>COUNTIF($BA$1698:$EH$1698,"D")</f>
        <v/>
      </c>
      <c r="AW1698">
        <f>COUNTIF($BA$1698:$EH$1698,"R")</f>
        <v/>
      </c>
      <c r="AX1698">
        <f>IF(BN1698="D",1,0)+IF(BO1698="D",1,0)+IF(BT1698="D",1,0)+IF(BU1698="D",1,0)+IF(BW1698="D",1,0)+IF(CC1698="D",1,0)+IF(CD1698="D",1,0)+IF(CE1698="D",1,0)+IF(CF1698="D",1,0)+IF(CL1698="D",1,0)+IF(CM1698="D",1,0)+IF(CQ1698="D",1,0)+IF(CR1698="D",1,0)+IF(CS1698="D",1,0)+IF(CW1698="D",1,0)+IF(CX1698="D",1,0)+IF(DD1698="D",1,0)+IF(DE1698="D",1,0)+IF(DJ1698="D",1,0)+IF(DK1698="D",1,0)+IF(DO1698="D",1,0)+IF(DP1698="D",1,0)+IF(DQ1698="D",1,0)+IF(DW1698="D",1,0)+IF(DZ1698="D",1,0)+IF(EH1698="D",1,0)</f>
        <v/>
      </c>
      <c r="AY1698">
        <f>IF(DJ1698&lt;&gt;"",1,0)+IF(DK1698&lt;&gt;"",1,0)+IF(DM1698&lt;&gt;"",1,0)+IF(DO1698&lt;&gt;"",1,0)+IF(DP1698&lt;&gt;"",1,0)+IF(DQ1698&lt;&gt;"",1,0)+IF(DS1698&lt;&gt;"",1,0)+IF(DT1698&lt;&gt;"",1,0)+IF(DV1698&lt;&gt;"",1,0)+IF(DW1698&lt;&gt;"",1,0)+IF(DX1698&lt;&gt;"",1,0)+IF(DY1698&lt;&gt;"",1,0)+IF(DZ1698&lt;&gt;"",1,0)+IF(EB1698&lt;&gt;"",1,0)+IF(EC1698&lt;&gt;"",1,0)+IF(ED1698&lt;&gt;"",1,0)+IF(EG1698&lt;&gt;"",1,0)+IF(EH1698&lt;&gt;"",1,0)</f>
        <v/>
      </c>
      <c r="AZ1698">
        <f>IF(EH1698&lt;&gt;"",1,0)</f>
        <v/>
      </c>
      <c r="BB1698" t="inlineStr">
        <is>
          <t>WARREN-WARD 4</t>
        </is>
      </c>
      <c r="BD1698" t="inlineStr">
        <is>
          <t>X</t>
        </is>
      </c>
      <c r="BL1698" t="inlineStr">
        <is>
          <t>X</t>
        </is>
      </c>
      <c r="CA1698" t="inlineStr">
        <is>
          <t>X</t>
        </is>
      </c>
      <c r="CP1698" t="inlineStr">
        <is>
          <t>X</t>
        </is>
      </c>
      <c r="CY1698" t="inlineStr">
        <is>
          <t>X</t>
        </is>
      </c>
      <c r="CZ1698" t="inlineStr">
        <is>
          <t>D</t>
        </is>
      </c>
      <c r="DC1698" t="inlineStr">
        <is>
          <t>X</t>
        </is>
      </c>
      <c r="DI1698" t="inlineStr">
        <is>
          <t>X</t>
        </is>
      </c>
      <c r="DL1698" t="inlineStr">
        <is>
          <t>X</t>
        </is>
      </c>
      <c r="DN1698" t="inlineStr">
        <is>
          <t>X</t>
        </is>
      </c>
      <c r="DU1698" t="inlineStr">
        <is>
          <t>X</t>
        </is>
      </c>
      <c r="EA1698" t="inlineStr">
        <is>
          <t>X</t>
        </is>
      </c>
      <c r="EF1698" t="inlineStr">
        <is>
          <t>X</t>
        </is>
      </c>
    </row>
    <row r="1699">
      <c r="A1699" t="inlineStr">
        <is>
          <t>OH0019557782</t>
        </is>
      </c>
      <c r="B1699" t="n">
        <v>78</v>
      </c>
      <c r="C1699" t="n">
        <v>356511</v>
      </c>
      <c r="D1699" t="inlineStr">
        <is>
          <t>WASHINGTON</t>
        </is>
      </c>
      <c r="E1699" t="inlineStr">
        <is>
          <t>BLAINE</t>
        </is>
      </c>
      <c r="F1699">
        <f>CONCATENATE(D1699," ",LEFT(H1699,4),"T=",AU1699,"D=",AV1699,"R=",AW1699,"M=",AX1699,"L=",AY1699,"B=",AZ1699)</f>
        <v/>
      </c>
      <c r="G1699" t="inlineStr">
        <is>
          <t>ALAN</t>
        </is>
      </c>
      <c r="I1699" t="inlineStr">
        <is>
          <t>1990-02-08</t>
        </is>
      </c>
      <c r="J1699" t="inlineStr">
        <is>
          <t>2023-12-22</t>
        </is>
      </c>
      <c r="K1699" t="inlineStr">
        <is>
          <t>ACTIVE</t>
        </is>
      </c>
      <c r="M1699" t="inlineStr">
        <is>
          <t>156 WASHINGTON ST NE</t>
        </is>
      </c>
      <c r="N1699">
        <f>RIGHT(M1699,LEN(M1699)-FIND(" ",M1699))</f>
        <v/>
      </c>
      <c r="P1699" t="inlineStr">
        <is>
          <t>WARREN</t>
        </is>
      </c>
      <c r="Q1699" t="inlineStr">
        <is>
          <t>OH</t>
        </is>
      </c>
      <c r="R1699" t="n">
        <v>44483</v>
      </c>
      <c r="AD1699" t="inlineStr">
        <is>
          <t>TRUMBULL CAREER &amp; TECH CENTER</t>
        </is>
      </c>
      <c r="AE1699" t="inlineStr">
        <is>
          <t>WARREN CITY</t>
        </is>
      </c>
      <c r="AF1699" t="inlineStr">
        <is>
          <t>WARREN CITY SD</t>
        </is>
      </c>
      <c r="AH1699" t="n">
        <v>14</v>
      </c>
      <c r="AI1699" t="n">
        <v>11</v>
      </c>
      <c r="AN1699" t="inlineStr">
        <is>
          <t>WARREN</t>
        </is>
      </c>
      <c r="AO1699" t="inlineStr">
        <is>
          <t>WARREN CITY 4D</t>
        </is>
      </c>
      <c r="AP1699" t="inlineStr">
        <is>
          <t>78-P-ADL</t>
        </is>
      </c>
      <c r="AQ1699" t="n">
        <v>9</v>
      </c>
      <c r="AR1699" t="n">
        <v>64</v>
      </c>
      <c r="AS1699" t="n">
        <v>32</v>
      </c>
      <c r="AU1699">
        <f>COUNTA($BA$1699:$EH$1699)</f>
        <v/>
      </c>
      <c r="AV1699">
        <f>COUNTIF($BA$1699:$EH$1699,"D")</f>
        <v/>
      </c>
      <c r="AW1699">
        <f>COUNTIF($BA$1699:$EH$1699,"R")</f>
        <v/>
      </c>
      <c r="AX1699">
        <f>IF(BN1699="D",1,0)+IF(BO1699="D",1,0)+IF(BT1699="D",1,0)+IF(BU1699="D",1,0)+IF(BW1699="D",1,0)+IF(CC1699="D",1,0)+IF(CD1699="D",1,0)+IF(CE1699="D",1,0)+IF(CF1699="D",1,0)+IF(CL1699="D",1,0)+IF(CM1699="D",1,0)+IF(CQ1699="D",1,0)+IF(CR1699="D",1,0)+IF(CS1699="D",1,0)+IF(CW1699="D",1,0)+IF(CX1699="D",1,0)+IF(DD1699="D",1,0)+IF(DE1699="D",1,0)+IF(DJ1699="D",1,0)+IF(DK1699="D",1,0)+IF(DO1699="D",1,0)+IF(DP1699="D",1,0)+IF(DQ1699="D",1,0)+IF(DW1699="D",1,0)+IF(DZ1699="D",1,0)+IF(EH1699="D",1,0)</f>
        <v/>
      </c>
      <c r="AY1699">
        <f>IF(DJ1699&lt;&gt;"",1,0)+IF(DK1699&lt;&gt;"",1,0)+IF(DM1699&lt;&gt;"",1,0)+IF(DO1699&lt;&gt;"",1,0)+IF(DP1699&lt;&gt;"",1,0)+IF(DQ1699&lt;&gt;"",1,0)+IF(DS1699&lt;&gt;"",1,0)+IF(DT1699&lt;&gt;"",1,0)+IF(DV1699&lt;&gt;"",1,0)+IF(DW1699&lt;&gt;"",1,0)+IF(DX1699&lt;&gt;"",1,0)+IF(DY1699&lt;&gt;"",1,0)+IF(DZ1699&lt;&gt;"",1,0)+IF(EB1699&lt;&gt;"",1,0)+IF(EC1699&lt;&gt;"",1,0)+IF(ED1699&lt;&gt;"",1,0)+IF(EG1699&lt;&gt;"",1,0)+IF(EH1699&lt;&gt;"",1,0)</f>
        <v/>
      </c>
      <c r="AZ1699">
        <f>IF(EH1699&lt;&gt;"",1,0)</f>
        <v/>
      </c>
      <c r="BB1699" t="inlineStr">
        <is>
          <t>WARREN-WARD 4</t>
        </is>
      </c>
      <c r="BY1699" t="inlineStr">
        <is>
          <t>X</t>
        </is>
      </c>
      <c r="CA1699" t="inlineStr">
        <is>
          <t>X</t>
        </is>
      </c>
      <c r="CG1699" t="inlineStr">
        <is>
          <t>X</t>
        </is>
      </c>
      <c r="CY1699" t="inlineStr">
        <is>
          <t>X</t>
        </is>
      </c>
      <c r="DN1699" t="inlineStr">
        <is>
          <t>X</t>
        </is>
      </c>
      <c r="DX1699" t="inlineStr">
        <is>
          <t>X</t>
        </is>
      </c>
    </row>
    <row r="1700">
      <c r="A1700" t="inlineStr">
        <is>
          <t>OH0015716398</t>
        </is>
      </c>
      <c r="B1700" t="n">
        <v>78</v>
      </c>
      <c r="C1700" t="n">
        <v>192194</v>
      </c>
      <c r="D1700" t="inlineStr">
        <is>
          <t>FLAVIANO</t>
        </is>
      </c>
      <c r="E1700" t="inlineStr">
        <is>
          <t>RON</t>
        </is>
      </c>
      <c r="F1700">
        <f>CONCATENATE(D1700," ",LEFT(H1700,4),"T=",AU1700,"D=",AV1700,"R=",AW1700,"M=",AX1700,"L=",AY1700,"B=",AZ1700)</f>
        <v/>
      </c>
      <c r="I1700" t="inlineStr">
        <is>
          <t>1968-08-01</t>
        </is>
      </c>
      <c r="J1700" t="inlineStr">
        <is>
          <t>1986-10-06</t>
        </is>
      </c>
      <c r="K1700" t="inlineStr">
        <is>
          <t>ACTIVE</t>
        </is>
      </c>
      <c r="L1700" t="inlineStr">
        <is>
          <t>D</t>
        </is>
      </c>
      <c r="M1700" t="inlineStr">
        <is>
          <t>407 PORTER ST NE</t>
        </is>
      </c>
      <c r="N1700">
        <f>RIGHT(M1700,LEN(M1700)-FIND(" ",M1700))</f>
        <v/>
      </c>
      <c r="P1700" t="inlineStr">
        <is>
          <t>WARREN</t>
        </is>
      </c>
      <c r="Q1700" t="inlineStr">
        <is>
          <t>OH</t>
        </is>
      </c>
      <c r="R1700" t="n">
        <v>44483</v>
      </c>
      <c r="AD1700" t="inlineStr">
        <is>
          <t>TRUMBULL CAREER &amp; TECH CENTER</t>
        </is>
      </c>
      <c r="AE1700" t="inlineStr">
        <is>
          <t>WARREN CITY</t>
        </is>
      </c>
      <c r="AF1700" t="inlineStr">
        <is>
          <t>WARREN CITY SD</t>
        </is>
      </c>
      <c r="AH1700" t="n">
        <v>14</v>
      </c>
      <c r="AI1700" t="n">
        <v>11</v>
      </c>
      <c r="AN1700" t="inlineStr">
        <is>
          <t>WARREN</t>
        </is>
      </c>
      <c r="AO1700" t="inlineStr">
        <is>
          <t>WARREN CITY 4D</t>
        </is>
      </c>
      <c r="AP1700" t="inlineStr">
        <is>
          <t>78-P-ADL</t>
        </is>
      </c>
      <c r="AQ1700" t="n">
        <v>9</v>
      </c>
      <c r="AR1700" t="n">
        <v>64</v>
      </c>
      <c r="AS1700" t="n">
        <v>32</v>
      </c>
      <c r="AU1700">
        <f>COUNTA($BA$1700:$EH$1700)</f>
        <v/>
      </c>
      <c r="AV1700">
        <f>COUNTIF($BA$1700:$EH$1700,"D")</f>
        <v/>
      </c>
      <c r="AW1700">
        <f>COUNTIF($BA$1700:$EH$1700,"R")</f>
        <v/>
      </c>
      <c r="AX1700">
        <f>IF(BN1700="D",1,0)+IF(BO1700="D",1,0)+IF(BT1700="D",1,0)+IF(BU1700="D",1,0)+IF(BW1700="D",1,0)+IF(CC1700="D",1,0)+IF(CD1700="D",1,0)+IF(CE1700="D",1,0)+IF(CF1700="D",1,0)+IF(CL1700="D",1,0)+IF(CM1700="D",1,0)+IF(CQ1700="D",1,0)+IF(CR1700="D",1,0)+IF(CS1700="D",1,0)+IF(CW1700="D",1,0)+IF(CX1700="D",1,0)+IF(DD1700="D",1,0)+IF(DE1700="D",1,0)+IF(DJ1700="D",1,0)+IF(DK1700="D",1,0)+IF(DO1700="D",1,0)+IF(DP1700="D",1,0)+IF(DQ1700="D",1,0)+IF(DW1700="D",1,0)+IF(DZ1700="D",1,0)+IF(EH1700="D",1,0)</f>
        <v/>
      </c>
      <c r="AY1700">
        <f>IF(DJ1700&lt;&gt;"",1,0)+IF(DK1700&lt;&gt;"",1,0)+IF(DM1700&lt;&gt;"",1,0)+IF(DO1700&lt;&gt;"",1,0)+IF(DP1700&lt;&gt;"",1,0)+IF(DQ1700&lt;&gt;"",1,0)+IF(DS1700&lt;&gt;"",1,0)+IF(DT1700&lt;&gt;"",1,0)+IF(DV1700&lt;&gt;"",1,0)+IF(DW1700&lt;&gt;"",1,0)+IF(DX1700&lt;&gt;"",1,0)+IF(DY1700&lt;&gt;"",1,0)+IF(DZ1700&lt;&gt;"",1,0)+IF(EB1700&lt;&gt;"",1,0)+IF(EC1700&lt;&gt;"",1,0)+IF(ED1700&lt;&gt;"",1,0)+IF(EG1700&lt;&gt;"",1,0)+IF(EH1700&lt;&gt;"",1,0)</f>
        <v/>
      </c>
      <c r="AZ1700">
        <f>IF(EH1700&lt;&gt;"",1,0)</f>
        <v/>
      </c>
      <c r="BB1700" t="inlineStr">
        <is>
          <t>WARREN-WARD 4</t>
        </is>
      </c>
      <c r="BC1700" t="inlineStr">
        <is>
          <t>X</t>
        </is>
      </c>
      <c r="BD1700" t="inlineStr">
        <is>
          <t>X</t>
        </is>
      </c>
      <c r="BE1700" t="inlineStr">
        <is>
          <t>X</t>
        </is>
      </c>
      <c r="BF1700" t="inlineStr">
        <is>
          <t>X</t>
        </is>
      </c>
      <c r="BG1700" t="inlineStr">
        <is>
          <t>X</t>
        </is>
      </c>
      <c r="BH1700" t="inlineStr">
        <is>
          <t>X</t>
        </is>
      </c>
      <c r="BI1700" t="inlineStr">
        <is>
          <t>X</t>
        </is>
      </c>
      <c r="BJ1700" t="inlineStr">
        <is>
          <t>X</t>
        </is>
      </c>
      <c r="BK1700" t="inlineStr">
        <is>
          <t>X</t>
        </is>
      </c>
      <c r="BL1700" t="inlineStr">
        <is>
          <t>X</t>
        </is>
      </c>
      <c r="BP1700" t="inlineStr">
        <is>
          <t>X</t>
        </is>
      </c>
      <c r="BR1700" t="inlineStr">
        <is>
          <t>X</t>
        </is>
      </c>
      <c r="BS1700" t="inlineStr">
        <is>
          <t>X</t>
        </is>
      </c>
      <c r="BV1700" t="inlineStr">
        <is>
          <t>X</t>
        </is>
      </c>
      <c r="BY1700" t="inlineStr">
        <is>
          <t>D</t>
        </is>
      </c>
      <c r="CA1700" t="inlineStr">
        <is>
          <t>X</t>
        </is>
      </c>
      <c r="CG1700" t="inlineStr">
        <is>
          <t>X</t>
        </is>
      </c>
      <c r="CK1700" t="inlineStr">
        <is>
          <t>X</t>
        </is>
      </c>
      <c r="CN1700" t="inlineStr">
        <is>
          <t>X</t>
        </is>
      </c>
      <c r="CO1700" t="inlineStr">
        <is>
          <t>D</t>
        </is>
      </c>
      <c r="CP1700" t="inlineStr">
        <is>
          <t>X</t>
        </is>
      </c>
      <c r="CT1700" t="inlineStr">
        <is>
          <t>X</t>
        </is>
      </c>
      <c r="CV1700" t="inlineStr">
        <is>
          <t>X</t>
        </is>
      </c>
      <c r="CY1700" t="inlineStr">
        <is>
          <t>X</t>
        </is>
      </c>
      <c r="CZ1700" t="inlineStr">
        <is>
          <t>D</t>
        </is>
      </c>
      <c r="DC1700" t="inlineStr">
        <is>
          <t>X</t>
        </is>
      </c>
      <c r="DF1700" t="inlineStr">
        <is>
          <t>X</t>
        </is>
      </c>
      <c r="DG1700" t="inlineStr">
        <is>
          <t>D</t>
        </is>
      </c>
      <c r="DI1700" t="inlineStr">
        <is>
          <t>X</t>
        </is>
      </c>
      <c r="DJ1700" t="inlineStr">
        <is>
          <t>D</t>
        </is>
      </c>
      <c r="DL1700" t="inlineStr">
        <is>
          <t>X</t>
        </is>
      </c>
      <c r="DM1700" t="inlineStr">
        <is>
          <t>D</t>
        </is>
      </c>
      <c r="DN1700" t="inlineStr">
        <is>
          <t>X</t>
        </is>
      </c>
      <c r="DR1700" t="inlineStr">
        <is>
          <t>X</t>
        </is>
      </c>
      <c r="DS1700" t="inlineStr">
        <is>
          <t>D</t>
        </is>
      </c>
      <c r="DT1700" t="inlineStr">
        <is>
          <t>D</t>
        </is>
      </c>
      <c r="DU1700" t="inlineStr">
        <is>
          <t>X</t>
        </is>
      </c>
      <c r="DW1700" t="inlineStr">
        <is>
          <t>D</t>
        </is>
      </c>
      <c r="DX1700" t="inlineStr">
        <is>
          <t>X</t>
        </is>
      </c>
      <c r="EA1700" t="inlineStr">
        <is>
          <t>X</t>
        </is>
      </c>
      <c r="ED1700" t="inlineStr">
        <is>
          <t>D</t>
        </is>
      </c>
      <c r="EF1700" t="inlineStr">
        <is>
          <t>X</t>
        </is>
      </c>
      <c r="EH1700" t="inlineStr">
        <is>
          <t>D</t>
        </is>
      </c>
    </row>
    <row r="1701">
      <c r="A1701" t="inlineStr">
        <is>
          <t>OH0021027972</t>
        </is>
      </c>
      <c r="B1701" t="n">
        <v>78</v>
      </c>
      <c r="C1701" t="n">
        <v>374047</v>
      </c>
      <c r="D1701" t="inlineStr">
        <is>
          <t>BOONE</t>
        </is>
      </c>
      <c r="E1701" t="inlineStr">
        <is>
          <t>GREGORY</t>
        </is>
      </c>
      <c r="F1701">
        <f>CONCATENATE(D1701," ",LEFT(H1701,4),"T=",AU1701,"D=",AV1701,"R=",AW1701,"M=",AX1701,"L=",AY1701,"B=",AZ1701)</f>
        <v/>
      </c>
      <c r="G1701" t="inlineStr">
        <is>
          <t>D</t>
        </is>
      </c>
      <c r="I1701" t="inlineStr">
        <is>
          <t>1991-12-08</t>
        </is>
      </c>
      <c r="J1701" t="inlineStr">
        <is>
          <t>2024-10-05</t>
        </is>
      </c>
      <c r="K1701" t="inlineStr">
        <is>
          <t>ACTIVE</t>
        </is>
      </c>
      <c r="M1701" t="inlineStr">
        <is>
          <t>753 ELM RD NE</t>
        </is>
      </c>
      <c r="N1701">
        <f>RIGHT(M1701,LEN(M1701)-FIND(" ",M1701))</f>
        <v/>
      </c>
      <c r="P1701" t="inlineStr">
        <is>
          <t>WARREN</t>
        </is>
      </c>
      <c r="Q1701" t="inlineStr">
        <is>
          <t>OH</t>
        </is>
      </c>
      <c r="R1701" t="n">
        <v>44483</v>
      </c>
      <c r="AD1701" t="inlineStr">
        <is>
          <t>TRUMBULL CAREER &amp; TECH CENTER</t>
        </is>
      </c>
      <c r="AE1701" t="inlineStr">
        <is>
          <t>WARREN CITY</t>
        </is>
      </c>
      <c r="AF1701" t="inlineStr">
        <is>
          <t>WARREN CITY SD</t>
        </is>
      </c>
      <c r="AH1701" t="n">
        <v>14</v>
      </c>
      <c r="AI1701" t="n">
        <v>11</v>
      </c>
      <c r="AN1701" t="inlineStr">
        <is>
          <t>WARREN</t>
        </is>
      </c>
      <c r="AO1701" t="inlineStr">
        <is>
          <t>WARREN CITY 4D</t>
        </is>
      </c>
      <c r="AP1701" t="inlineStr">
        <is>
          <t>78-P-ADL</t>
        </is>
      </c>
      <c r="AQ1701" t="n">
        <v>9</v>
      </c>
      <c r="AR1701" t="n">
        <v>64</v>
      </c>
      <c r="AS1701" t="n">
        <v>32</v>
      </c>
      <c r="AU1701">
        <f>COUNTA($BA$1701:$EH$1701)</f>
        <v/>
      </c>
      <c r="AV1701">
        <f>COUNTIF($BA$1701:$EH$1701,"D")</f>
        <v/>
      </c>
      <c r="AW1701">
        <f>COUNTIF($BA$1701:$EH$1701,"R")</f>
        <v/>
      </c>
      <c r="AX1701">
        <f>IF(BN1701="D",1,0)+IF(BO1701="D",1,0)+IF(BT1701="D",1,0)+IF(BU1701="D",1,0)+IF(BW1701="D",1,0)+IF(CC1701="D",1,0)+IF(CD1701="D",1,0)+IF(CE1701="D",1,0)+IF(CF1701="D",1,0)+IF(CL1701="D",1,0)+IF(CM1701="D",1,0)+IF(CQ1701="D",1,0)+IF(CR1701="D",1,0)+IF(CS1701="D",1,0)+IF(CW1701="D",1,0)+IF(CX1701="D",1,0)+IF(DD1701="D",1,0)+IF(DE1701="D",1,0)+IF(DJ1701="D",1,0)+IF(DK1701="D",1,0)+IF(DO1701="D",1,0)+IF(DP1701="D",1,0)+IF(DQ1701="D",1,0)+IF(DW1701="D",1,0)+IF(DZ1701="D",1,0)+IF(EH1701="D",1,0)</f>
        <v/>
      </c>
      <c r="AY1701">
        <f>IF(DJ1701&lt;&gt;"",1,0)+IF(DK1701&lt;&gt;"",1,0)+IF(DM1701&lt;&gt;"",1,0)+IF(DO1701&lt;&gt;"",1,0)+IF(DP1701&lt;&gt;"",1,0)+IF(DQ1701&lt;&gt;"",1,0)+IF(DS1701&lt;&gt;"",1,0)+IF(DT1701&lt;&gt;"",1,0)+IF(DV1701&lt;&gt;"",1,0)+IF(DW1701&lt;&gt;"",1,0)+IF(DX1701&lt;&gt;"",1,0)+IF(DY1701&lt;&gt;"",1,0)+IF(DZ1701&lt;&gt;"",1,0)+IF(EB1701&lt;&gt;"",1,0)+IF(EC1701&lt;&gt;"",1,0)+IF(ED1701&lt;&gt;"",1,0)+IF(EG1701&lt;&gt;"",1,0)+IF(EH1701&lt;&gt;"",1,0)</f>
        <v/>
      </c>
      <c r="AZ1701">
        <f>IF(EH1701&lt;&gt;"",1,0)</f>
        <v/>
      </c>
      <c r="BB1701" t="inlineStr">
        <is>
          <t>WARREN-WARD 4</t>
        </is>
      </c>
    </row>
    <row r="1702">
      <c r="A1702" t="inlineStr">
        <is>
          <t>OH0024591117</t>
        </is>
      </c>
      <c r="B1702" t="n">
        <v>78</v>
      </c>
      <c r="C1702" t="n">
        <v>431103</v>
      </c>
      <c r="D1702" t="inlineStr">
        <is>
          <t>JONES</t>
        </is>
      </c>
      <c r="E1702" t="inlineStr">
        <is>
          <t>DWAYNE</t>
        </is>
      </c>
      <c r="F1702">
        <f>CONCATENATE(D1702," ",LEFT(H1702,4),"T=",AU1702,"D=",AV1702,"R=",AW1702,"M=",AX1702,"L=",AY1702,"B=",AZ1702)</f>
        <v/>
      </c>
      <c r="G1702" t="inlineStr">
        <is>
          <t>L</t>
        </is>
      </c>
      <c r="H1702" t="inlineStr">
        <is>
          <t>SR</t>
        </is>
      </c>
      <c r="I1702" t="inlineStr">
        <is>
          <t>1967-11-16</t>
        </is>
      </c>
      <c r="J1702" t="inlineStr">
        <is>
          <t>2021-10-08</t>
        </is>
      </c>
      <c r="K1702" t="inlineStr">
        <is>
          <t>ACTIVE</t>
        </is>
      </c>
      <c r="M1702" t="inlineStr">
        <is>
          <t>182 HIGH ST NW</t>
        </is>
      </c>
      <c r="N1702">
        <f>RIGHT(M1702,LEN(M1702)-FIND(" ",M1702))</f>
        <v/>
      </c>
      <c r="O1702" t="inlineStr">
        <is>
          <t>APT 102</t>
        </is>
      </c>
      <c r="P1702" t="inlineStr">
        <is>
          <t>WARREN</t>
        </is>
      </c>
      <c r="Q1702" t="inlineStr">
        <is>
          <t>OH</t>
        </is>
      </c>
      <c r="R1702" t="n">
        <v>44481</v>
      </c>
      <c r="AD1702" t="inlineStr">
        <is>
          <t>TRUMBULL CAREER &amp; TECH CENTER</t>
        </is>
      </c>
      <c r="AE1702" t="inlineStr">
        <is>
          <t>WARREN CITY</t>
        </is>
      </c>
      <c r="AF1702" t="inlineStr">
        <is>
          <t>WARREN CITY SD</t>
        </is>
      </c>
      <c r="AH1702" t="n">
        <v>14</v>
      </c>
      <c r="AI1702" t="n">
        <v>11</v>
      </c>
      <c r="AN1702" t="inlineStr">
        <is>
          <t>WARREN</t>
        </is>
      </c>
      <c r="AO1702" t="inlineStr">
        <is>
          <t>WARREN CITY 4D</t>
        </is>
      </c>
      <c r="AP1702" t="inlineStr">
        <is>
          <t>78-P-ADL</t>
        </is>
      </c>
      <c r="AQ1702" t="n">
        <v>9</v>
      </c>
      <c r="AR1702" t="n">
        <v>64</v>
      </c>
      <c r="AS1702" t="n">
        <v>32</v>
      </c>
      <c r="AU1702">
        <f>COUNTA($BA$1702:$EH$1702)</f>
        <v/>
      </c>
      <c r="AV1702">
        <f>COUNTIF($BA$1702:$EH$1702,"D")</f>
        <v/>
      </c>
      <c r="AW1702">
        <f>COUNTIF($BA$1702:$EH$1702,"R")</f>
        <v/>
      </c>
      <c r="AX1702">
        <f>IF(BN1702="D",1,0)+IF(BO1702="D",1,0)+IF(BT1702="D",1,0)+IF(BU1702="D",1,0)+IF(BW1702="D",1,0)+IF(CC1702="D",1,0)+IF(CD1702="D",1,0)+IF(CE1702="D",1,0)+IF(CF1702="D",1,0)+IF(CL1702="D",1,0)+IF(CM1702="D",1,0)+IF(CQ1702="D",1,0)+IF(CR1702="D",1,0)+IF(CS1702="D",1,0)+IF(CW1702="D",1,0)+IF(CX1702="D",1,0)+IF(DD1702="D",1,0)+IF(DE1702="D",1,0)+IF(DJ1702="D",1,0)+IF(DK1702="D",1,0)+IF(DO1702="D",1,0)+IF(DP1702="D",1,0)+IF(DQ1702="D",1,0)+IF(DW1702="D",1,0)+IF(DZ1702="D",1,0)+IF(EH1702="D",1,0)</f>
        <v/>
      </c>
      <c r="AY1702">
        <f>IF(DJ1702&lt;&gt;"",1,0)+IF(DK1702&lt;&gt;"",1,0)+IF(DM1702&lt;&gt;"",1,0)+IF(DO1702&lt;&gt;"",1,0)+IF(DP1702&lt;&gt;"",1,0)+IF(DQ1702&lt;&gt;"",1,0)+IF(DS1702&lt;&gt;"",1,0)+IF(DT1702&lt;&gt;"",1,0)+IF(DV1702&lt;&gt;"",1,0)+IF(DW1702&lt;&gt;"",1,0)+IF(DX1702&lt;&gt;"",1,0)+IF(DY1702&lt;&gt;"",1,0)+IF(DZ1702&lt;&gt;"",1,0)+IF(EB1702&lt;&gt;"",1,0)+IF(EC1702&lt;&gt;"",1,0)+IF(ED1702&lt;&gt;"",1,0)+IF(EG1702&lt;&gt;"",1,0)+IF(EH1702&lt;&gt;"",1,0)</f>
        <v/>
      </c>
      <c r="AZ1702">
        <f>IF(EH1702&lt;&gt;"",1,0)</f>
        <v/>
      </c>
      <c r="BB1702" t="inlineStr">
        <is>
          <t>WARREN-WARD 4</t>
        </is>
      </c>
      <c r="DU1702" t="inlineStr">
        <is>
          <t>X</t>
        </is>
      </c>
    </row>
    <row r="1703">
      <c r="A1703" t="inlineStr">
        <is>
          <t>OH0022302265</t>
        </is>
      </c>
      <c r="B1703" t="n">
        <v>78</v>
      </c>
      <c r="C1703" t="n">
        <v>393726</v>
      </c>
      <c r="D1703" t="inlineStr">
        <is>
          <t>MCKINNEY</t>
        </is>
      </c>
      <c r="E1703" t="inlineStr">
        <is>
          <t>JENNIFER</t>
        </is>
      </c>
      <c r="F1703">
        <f>CONCATENATE(D1703," ",LEFT(H1703,4),"T=",AU1703,"D=",AV1703,"R=",AW1703,"M=",AX1703,"L=",AY1703,"B=",AZ1703)</f>
        <v/>
      </c>
      <c r="G1703" t="inlineStr">
        <is>
          <t>ANNE</t>
        </is>
      </c>
      <c r="I1703" t="inlineStr">
        <is>
          <t>1978-01-10</t>
        </is>
      </c>
      <c r="J1703" t="inlineStr">
        <is>
          <t>2024-09-19</t>
        </is>
      </c>
      <c r="K1703" t="inlineStr">
        <is>
          <t>ACTIVE</t>
        </is>
      </c>
      <c r="M1703" t="inlineStr">
        <is>
          <t>243 LOWELL AVE NE</t>
        </is>
      </c>
      <c r="N1703">
        <f>RIGHT(M1703,LEN(M1703)-FIND(" ",M1703))</f>
        <v/>
      </c>
      <c r="P1703" t="inlineStr">
        <is>
          <t>WARREN</t>
        </is>
      </c>
      <c r="Q1703" t="inlineStr">
        <is>
          <t>OH</t>
        </is>
      </c>
      <c r="R1703" t="n">
        <v>44483</v>
      </c>
      <c r="AD1703" t="inlineStr">
        <is>
          <t>TRUMBULL CAREER &amp; TECH CENTER</t>
        </is>
      </c>
      <c r="AE1703" t="inlineStr">
        <is>
          <t>WARREN CITY</t>
        </is>
      </c>
      <c r="AF1703" t="inlineStr">
        <is>
          <t>WARREN CITY SD</t>
        </is>
      </c>
      <c r="AH1703" t="n">
        <v>14</v>
      </c>
      <c r="AI1703" t="n">
        <v>11</v>
      </c>
      <c r="AN1703" t="inlineStr">
        <is>
          <t>WARREN</t>
        </is>
      </c>
      <c r="AO1703" t="inlineStr">
        <is>
          <t>WARREN CITY 4D</t>
        </is>
      </c>
      <c r="AP1703" t="inlineStr">
        <is>
          <t>78-P-ADL</t>
        </is>
      </c>
      <c r="AQ1703" t="n">
        <v>9</v>
      </c>
      <c r="AR1703" t="n">
        <v>64</v>
      </c>
      <c r="AS1703" t="n">
        <v>32</v>
      </c>
      <c r="AU1703">
        <f>COUNTA($BA$1703:$EH$1703)</f>
        <v/>
      </c>
      <c r="AV1703">
        <f>COUNTIF($BA$1703:$EH$1703,"D")</f>
        <v/>
      </c>
      <c r="AW1703">
        <f>COUNTIF($BA$1703:$EH$1703,"R")</f>
        <v/>
      </c>
      <c r="AX1703">
        <f>IF(BN1703="D",1,0)+IF(BO1703="D",1,0)+IF(BT1703="D",1,0)+IF(BU1703="D",1,0)+IF(BW1703="D",1,0)+IF(CC1703="D",1,0)+IF(CD1703="D",1,0)+IF(CE1703="D",1,0)+IF(CF1703="D",1,0)+IF(CL1703="D",1,0)+IF(CM1703="D",1,0)+IF(CQ1703="D",1,0)+IF(CR1703="D",1,0)+IF(CS1703="D",1,0)+IF(CW1703="D",1,0)+IF(CX1703="D",1,0)+IF(DD1703="D",1,0)+IF(DE1703="D",1,0)+IF(DJ1703="D",1,0)+IF(DK1703="D",1,0)+IF(DO1703="D",1,0)+IF(DP1703="D",1,0)+IF(DQ1703="D",1,0)+IF(DW1703="D",1,0)+IF(DZ1703="D",1,0)+IF(EH1703="D",1,0)</f>
        <v/>
      </c>
      <c r="AY1703">
        <f>IF(DJ1703&lt;&gt;"",1,0)+IF(DK1703&lt;&gt;"",1,0)+IF(DM1703&lt;&gt;"",1,0)+IF(DO1703&lt;&gt;"",1,0)+IF(DP1703&lt;&gt;"",1,0)+IF(DQ1703&lt;&gt;"",1,0)+IF(DS1703&lt;&gt;"",1,0)+IF(DT1703&lt;&gt;"",1,0)+IF(DV1703&lt;&gt;"",1,0)+IF(DW1703&lt;&gt;"",1,0)+IF(DX1703&lt;&gt;"",1,0)+IF(DY1703&lt;&gt;"",1,0)+IF(DZ1703&lt;&gt;"",1,0)+IF(EB1703&lt;&gt;"",1,0)+IF(EC1703&lt;&gt;"",1,0)+IF(ED1703&lt;&gt;"",1,0)+IF(EG1703&lt;&gt;"",1,0)+IF(EH1703&lt;&gt;"",1,0)</f>
        <v/>
      </c>
      <c r="AZ1703">
        <f>IF(EH1703&lt;&gt;"",1,0)</f>
        <v/>
      </c>
      <c r="BB1703" t="inlineStr">
        <is>
          <t>WARREN-WARD 4</t>
        </is>
      </c>
      <c r="BL1703" t="inlineStr">
        <is>
          <t>X</t>
        </is>
      </c>
      <c r="CA1703" t="inlineStr">
        <is>
          <t>X</t>
        </is>
      </c>
      <c r="DC1703" t="inlineStr">
        <is>
          <t>X</t>
        </is>
      </c>
      <c r="DN1703" t="inlineStr">
        <is>
          <t>X</t>
        </is>
      </c>
      <c r="EF1703" t="inlineStr">
        <is>
          <t>X</t>
        </is>
      </c>
    </row>
    <row r="1704">
      <c r="A1704" t="inlineStr">
        <is>
          <t>OH0024193605</t>
        </is>
      </c>
      <c r="B1704" t="n">
        <v>78</v>
      </c>
      <c r="C1704" t="n">
        <v>423662</v>
      </c>
      <c r="D1704" t="inlineStr">
        <is>
          <t>KINZEY</t>
        </is>
      </c>
      <c r="E1704" t="inlineStr">
        <is>
          <t>ROBERT</t>
        </is>
      </c>
      <c r="F1704">
        <f>CONCATENATE(D1704," ",LEFT(H1704,4),"T=",AU1704,"D=",AV1704,"R=",AW1704,"M=",AX1704,"L=",AY1704,"B=",AZ1704)</f>
        <v/>
      </c>
      <c r="G1704" t="inlineStr">
        <is>
          <t>SCOTT</t>
        </is>
      </c>
      <c r="I1704" t="inlineStr">
        <is>
          <t>1971-10-14</t>
        </is>
      </c>
      <c r="J1704" t="inlineStr">
        <is>
          <t>2016-11-30</t>
        </is>
      </c>
      <c r="K1704" t="inlineStr">
        <is>
          <t>CONFIRMATION</t>
        </is>
      </c>
      <c r="M1704" t="inlineStr">
        <is>
          <t>474 VINE AVE NE</t>
        </is>
      </c>
      <c r="N1704">
        <f>RIGHT(M1704,LEN(M1704)-FIND(" ",M1704))</f>
        <v/>
      </c>
      <c r="P1704" t="inlineStr">
        <is>
          <t>WARREN</t>
        </is>
      </c>
      <c r="Q1704" t="inlineStr">
        <is>
          <t>OH</t>
        </is>
      </c>
      <c r="R1704" t="n">
        <v>44483</v>
      </c>
      <c r="AD1704" t="inlineStr">
        <is>
          <t>TRUMBULL CAREER &amp; TECH CENTER</t>
        </is>
      </c>
      <c r="AE1704" t="inlineStr">
        <is>
          <t>WARREN CITY</t>
        </is>
      </c>
      <c r="AF1704" t="inlineStr">
        <is>
          <t>WARREN CITY SD</t>
        </is>
      </c>
      <c r="AH1704" t="n">
        <v>14</v>
      </c>
      <c r="AI1704" t="n">
        <v>11</v>
      </c>
      <c r="AN1704" t="inlineStr">
        <is>
          <t>WARREN</t>
        </is>
      </c>
      <c r="AO1704" t="inlineStr">
        <is>
          <t>WARREN CITY 4D</t>
        </is>
      </c>
      <c r="AP1704" t="inlineStr">
        <is>
          <t>78-P-ADL</t>
        </is>
      </c>
      <c r="AQ1704" t="n">
        <v>9</v>
      </c>
      <c r="AR1704" t="n">
        <v>64</v>
      </c>
      <c r="AS1704" t="n">
        <v>32</v>
      </c>
      <c r="AU1704">
        <f>COUNTA($BA$1704:$EH$1704)</f>
        <v/>
      </c>
      <c r="AV1704">
        <f>COUNTIF($BA$1704:$EH$1704,"D")</f>
        <v/>
      </c>
      <c r="AW1704">
        <f>COUNTIF($BA$1704:$EH$1704,"R")</f>
        <v/>
      </c>
      <c r="AX1704">
        <f>IF(BN1704="D",1,0)+IF(BO1704="D",1,0)+IF(BT1704="D",1,0)+IF(BU1704="D",1,0)+IF(BW1704="D",1,0)+IF(CC1704="D",1,0)+IF(CD1704="D",1,0)+IF(CE1704="D",1,0)+IF(CF1704="D",1,0)+IF(CL1704="D",1,0)+IF(CM1704="D",1,0)+IF(CQ1704="D",1,0)+IF(CR1704="D",1,0)+IF(CS1704="D",1,0)+IF(CW1704="D",1,0)+IF(CX1704="D",1,0)+IF(DD1704="D",1,0)+IF(DE1704="D",1,0)+IF(DJ1704="D",1,0)+IF(DK1704="D",1,0)+IF(DO1704="D",1,0)+IF(DP1704="D",1,0)+IF(DQ1704="D",1,0)+IF(DW1704="D",1,0)+IF(DZ1704="D",1,0)+IF(EH1704="D",1,0)</f>
        <v/>
      </c>
      <c r="AY1704">
        <f>IF(DJ1704&lt;&gt;"",1,0)+IF(DK1704&lt;&gt;"",1,0)+IF(DM1704&lt;&gt;"",1,0)+IF(DO1704&lt;&gt;"",1,0)+IF(DP1704&lt;&gt;"",1,0)+IF(DQ1704&lt;&gt;"",1,0)+IF(DS1704&lt;&gt;"",1,0)+IF(DT1704&lt;&gt;"",1,0)+IF(DV1704&lt;&gt;"",1,0)+IF(DW1704&lt;&gt;"",1,0)+IF(DX1704&lt;&gt;"",1,0)+IF(DY1704&lt;&gt;"",1,0)+IF(DZ1704&lt;&gt;"",1,0)+IF(EB1704&lt;&gt;"",1,0)+IF(EC1704&lt;&gt;"",1,0)+IF(ED1704&lt;&gt;"",1,0)+IF(EG1704&lt;&gt;"",1,0)+IF(EH1704&lt;&gt;"",1,0)</f>
        <v/>
      </c>
      <c r="AZ1704">
        <f>IF(EH1704&lt;&gt;"",1,0)</f>
        <v/>
      </c>
      <c r="BB1704" t="inlineStr">
        <is>
          <t>WARREN-WARD 4</t>
        </is>
      </c>
    </row>
    <row r="1705">
      <c r="A1705" t="inlineStr">
        <is>
          <t>OH0025536665</t>
        </is>
      </c>
      <c r="B1705" t="n">
        <v>78</v>
      </c>
      <c r="C1705" t="n">
        <v>445802</v>
      </c>
      <c r="D1705" t="inlineStr">
        <is>
          <t>BENTON</t>
        </is>
      </c>
      <c r="E1705" t="inlineStr">
        <is>
          <t>LAURA</t>
        </is>
      </c>
      <c r="F1705">
        <f>CONCATENATE(D1705," ",LEFT(H1705,4),"T=",AU1705,"D=",AV1705,"R=",AW1705,"M=",AX1705,"L=",AY1705,"B=",AZ1705)</f>
        <v/>
      </c>
      <c r="G1705" t="inlineStr">
        <is>
          <t>L</t>
        </is>
      </c>
      <c r="I1705" t="inlineStr">
        <is>
          <t>1980-03-10</t>
        </is>
      </c>
      <c r="J1705" t="inlineStr">
        <is>
          <t>2024-09-25</t>
        </is>
      </c>
      <c r="K1705" t="inlineStr">
        <is>
          <t>ACTIVE</t>
        </is>
      </c>
      <c r="M1705" t="inlineStr">
        <is>
          <t>182 HIGH ST NE</t>
        </is>
      </c>
      <c r="N1705">
        <f>RIGHT(M1705,LEN(M1705)-FIND(" ",M1705))</f>
        <v/>
      </c>
      <c r="O1705" t="inlineStr">
        <is>
          <t>APT 601</t>
        </is>
      </c>
      <c r="P1705" t="inlineStr">
        <is>
          <t>WARREN</t>
        </is>
      </c>
      <c r="Q1705" t="inlineStr">
        <is>
          <t>OH</t>
        </is>
      </c>
      <c r="R1705" t="n">
        <v>44481</v>
      </c>
      <c r="AD1705" t="inlineStr">
        <is>
          <t>TRUMBULL CAREER &amp; TECH CENTER</t>
        </is>
      </c>
      <c r="AE1705" t="inlineStr">
        <is>
          <t>WARREN CITY</t>
        </is>
      </c>
      <c r="AF1705" t="inlineStr">
        <is>
          <t>WARREN CITY SD</t>
        </is>
      </c>
      <c r="AH1705" t="n">
        <v>14</v>
      </c>
      <c r="AI1705" t="n">
        <v>11</v>
      </c>
      <c r="AN1705" t="inlineStr">
        <is>
          <t>WARREN</t>
        </is>
      </c>
      <c r="AO1705" t="inlineStr">
        <is>
          <t>WARREN CITY 4D</t>
        </is>
      </c>
      <c r="AP1705" t="inlineStr">
        <is>
          <t>78-P-ADL</t>
        </is>
      </c>
      <c r="AQ1705" t="n">
        <v>9</v>
      </c>
      <c r="AR1705" t="n">
        <v>64</v>
      </c>
      <c r="AS1705" t="n">
        <v>32</v>
      </c>
      <c r="AU1705">
        <f>COUNTA($BA$1705:$EH$1705)</f>
        <v/>
      </c>
      <c r="AV1705">
        <f>COUNTIF($BA$1705:$EH$1705,"D")</f>
        <v/>
      </c>
      <c r="AW1705">
        <f>COUNTIF($BA$1705:$EH$1705,"R")</f>
        <v/>
      </c>
      <c r="AX1705">
        <f>IF(BN1705="D",1,0)+IF(BO1705="D",1,0)+IF(BT1705="D",1,0)+IF(BU1705="D",1,0)+IF(BW1705="D",1,0)+IF(CC1705="D",1,0)+IF(CD1705="D",1,0)+IF(CE1705="D",1,0)+IF(CF1705="D",1,0)+IF(CL1705="D",1,0)+IF(CM1705="D",1,0)+IF(CQ1705="D",1,0)+IF(CR1705="D",1,0)+IF(CS1705="D",1,0)+IF(CW1705="D",1,0)+IF(CX1705="D",1,0)+IF(DD1705="D",1,0)+IF(DE1705="D",1,0)+IF(DJ1705="D",1,0)+IF(DK1705="D",1,0)+IF(DO1705="D",1,0)+IF(DP1705="D",1,0)+IF(DQ1705="D",1,0)+IF(DW1705="D",1,0)+IF(DZ1705="D",1,0)+IF(EH1705="D",1,0)</f>
        <v/>
      </c>
      <c r="AY1705">
        <f>IF(DJ1705&lt;&gt;"",1,0)+IF(DK1705&lt;&gt;"",1,0)+IF(DM1705&lt;&gt;"",1,0)+IF(DO1705&lt;&gt;"",1,0)+IF(DP1705&lt;&gt;"",1,0)+IF(DQ1705&lt;&gt;"",1,0)+IF(DS1705&lt;&gt;"",1,0)+IF(DT1705&lt;&gt;"",1,0)+IF(DV1705&lt;&gt;"",1,0)+IF(DW1705&lt;&gt;"",1,0)+IF(DX1705&lt;&gt;"",1,0)+IF(DY1705&lt;&gt;"",1,0)+IF(DZ1705&lt;&gt;"",1,0)+IF(EB1705&lt;&gt;"",1,0)+IF(EC1705&lt;&gt;"",1,0)+IF(ED1705&lt;&gt;"",1,0)+IF(EG1705&lt;&gt;"",1,0)+IF(EH1705&lt;&gt;"",1,0)</f>
        <v/>
      </c>
      <c r="AZ1705">
        <f>IF(EH1705&lt;&gt;"",1,0)</f>
        <v/>
      </c>
      <c r="BB1705" t="inlineStr">
        <is>
          <t>WARREN-WARD 4</t>
        </is>
      </c>
      <c r="CA1705" t="inlineStr">
        <is>
          <t>X</t>
        </is>
      </c>
      <c r="DN1705" t="inlineStr">
        <is>
          <t>X</t>
        </is>
      </c>
      <c r="DU1705" t="inlineStr">
        <is>
          <t>X</t>
        </is>
      </c>
      <c r="DX1705" t="inlineStr">
        <is>
          <t>X</t>
        </is>
      </c>
      <c r="EF1705" t="inlineStr">
        <is>
          <t>X</t>
        </is>
      </c>
    </row>
    <row r="1706">
      <c r="A1706" t="inlineStr">
        <is>
          <t>OH0025781714</t>
        </is>
      </c>
      <c r="B1706" t="n">
        <v>78</v>
      </c>
      <c r="C1706" t="n">
        <v>450340</v>
      </c>
      <c r="D1706" t="inlineStr">
        <is>
          <t>ZIEGLER</t>
        </is>
      </c>
      <c r="E1706" t="inlineStr">
        <is>
          <t>DEBRA</t>
        </is>
      </c>
      <c r="F1706">
        <f>CONCATENATE(D1706," ",LEFT(H1706,4),"T=",AU1706,"D=",AV1706,"R=",AW1706,"M=",AX1706,"L=",AY1706,"B=",AZ1706)</f>
        <v/>
      </c>
      <c r="G1706" t="inlineStr">
        <is>
          <t>JEAN</t>
        </is>
      </c>
      <c r="I1706" t="inlineStr">
        <is>
          <t>1974-08-20</t>
        </is>
      </c>
      <c r="J1706" t="inlineStr">
        <is>
          <t>2020-08-27</t>
        </is>
      </c>
      <c r="K1706" t="inlineStr">
        <is>
          <t>ACTIVE</t>
        </is>
      </c>
      <c r="M1706" t="inlineStr">
        <is>
          <t>307 SCOTT ST NE</t>
        </is>
      </c>
      <c r="N1706">
        <f>RIGHT(M1706,LEN(M1706)-FIND(" ",M1706))</f>
        <v/>
      </c>
      <c r="P1706" t="inlineStr">
        <is>
          <t>WARREN</t>
        </is>
      </c>
      <c r="Q1706" t="inlineStr">
        <is>
          <t>OH</t>
        </is>
      </c>
      <c r="R1706" t="n">
        <v>44483</v>
      </c>
      <c r="AD1706" t="inlineStr">
        <is>
          <t>TRUMBULL CAREER &amp; TECH CENTER</t>
        </is>
      </c>
      <c r="AE1706" t="inlineStr">
        <is>
          <t>WARREN CITY</t>
        </is>
      </c>
      <c r="AF1706" t="inlineStr">
        <is>
          <t>WARREN CITY SD</t>
        </is>
      </c>
      <c r="AH1706" t="n">
        <v>14</v>
      </c>
      <c r="AI1706" t="n">
        <v>11</v>
      </c>
      <c r="AN1706" t="inlineStr">
        <is>
          <t>WARREN</t>
        </is>
      </c>
      <c r="AO1706" t="inlineStr">
        <is>
          <t>WARREN CITY 4D</t>
        </is>
      </c>
      <c r="AP1706" t="inlineStr">
        <is>
          <t>78-P-ADL</t>
        </is>
      </c>
      <c r="AQ1706" t="n">
        <v>9</v>
      </c>
      <c r="AR1706" t="n">
        <v>64</v>
      </c>
      <c r="AS1706" t="n">
        <v>32</v>
      </c>
      <c r="AU1706">
        <f>COUNTA($BA$1706:$EH$1706)</f>
        <v/>
      </c>
      <c r="AV1706">
        <f>COUNTIF($BA$1706:$EH$1706,"D")</f>
        <v/>
      </c>
      <c r="AW1706">
        <f>COUNTIF($BA$1706:$EH$1706,"R")</f>
        <v/>
      </c>
      <c r="AX1706">
        <f>IF(BN1706="D",1,0)+IF(BO1706="D",1,0)+IF(BT1706="D",1,0)+IF(BU1706="D",1,0)+IF(BW1706="D",1,0)+IF(CC1706="D",1,0)+IF(CD1706="D",1,0)+IF(CE1706="D",1,0)+IF(CF1706="D",1,0)+IF(CL1706="D",1,0)+IF(CM1706="D",1,0)+IF(CQ1706="D",1,0)+IF(CR1706="D",1,0)+IF(CS1706="D",1,0)+IF(CW1706="D",1,0)+IF(CX1706="D",1,0)+IF(DD1706="D",1,0)+IF(DE1706="D",1,0)+IF(DJ1706="D",1,0)+IF(DK1706="D",1,0)+IF(DO1706="D",1,0)+IF(DP1706="D",1,0)+IF(DQ1706="D",1,0)+IF(DW1706="D",1,0)+IF(DZ1706="D",1,0)+IF(EH1706="D",1,0)</f>
        <v/>
      </c>
      <c r="AY1706">
        <f>IF(DJ1706&lt;&gt;"",1,0)+IF(DK1706&lt;&gt;"",1,0)+IF(DM1706&lt;&gt;"",1,0)+IF(DO1706&lt;&gt;"",1,0)+IF(DP1706&lt;&gt;"",1,0)+IF(DQ1706&lt;&gt;"",1,0)+IF(DS1706&lt;&gt;"",1,0)+IF(DT1706&lt;&gt;"",1,0)+IF(DV1706&lt;&gt;"",1,0)+IF(DW1706&lt;&gt;"",1,0)+IF(DX1706&lt;&gt;"",1,0)+IF(DY1706&lt;&gt;"",1,0)+IF(DZ1706&lt;&gt;"",1,0)+IF(EB1706&lt;&gt;"",1,0)+IF(EC1706&lt;&gt;"",1,0)+IF(ED1706&lt;&gt;"",1,0)+IF(EG1706&lt;&gt;"",1,0)+IF(EH1706&lt;&gt;"",1,0)</f>
        <v/>
      </c>
      <c r="AZ1706">
        <f>IF(EH1706&lt;&gt;"",1,0)</f>
        <v/>
      </c>
      <c r="BB1706" t="inlineStr">
        <is>
          <t>WARREN-WARD 4</t>
        </is>
      </c>
      <c r="DN1706" t="inlineStr">
        <is>
          <t>X</t>
        </is>
      </c>
    </row>
    <row r="1707">
      <c r="A1707" t="inlineStr">
        <is>
          <t>OH0027430457</t>
        </is>
      </c>
      <c r="B1707" t="n">
        <v>78</v>
      </c>
      <c r="C1707" t="n">
        <v>486010</v>
      </c>
      <c r="D1707" t="inlineStr">
        <is>
          <t>PAXMAN</t>
        </is>
      </c>
      <c r="E1707" t="inlineStr">
        <is>
          <t>LORRIE ANN</t>
        </is>
      </c>
      <c r="F1707">
        <f>CONCATENATE(D1707," ",LEFT(H1707,4),"T=",AU1707,"D=",AV1707,"R=",AW1707,"M=",AX1707,"L=",AY1707,"B=",AZ1707)</f>
        <v/>
      </c>
      <c r="I1707" t="inlineStr">
        <is>
          <t>1976-12-23</t>
        </is>
      </c>
      <c r="J1707" t="inlineStr">
        <is>
          <t>2024-07-09</t>
        </is>
      </c>
      <c r="K1707" t="inlineStr">
        <is>
          <t>ACTIVE</t>
        </is>
      </c>
      <c r="M1707" t="inlineStr">
        <is>
          <t>171 SCOTT ST NE</t>
        </is>
      </c>
      <c r="N1707">
        <f>RIGHT(M1707,LEN(M1707)-FIND(" ",M1707))</f>
        <v/>
      </c>
      <c r="P1707" t="inlineStr">
        <is>
          <t>WARREN</t>
        </is>
      </c>
      <c r="Q1707" t="inlineStr">
        <is>
          <t>OH</t>
        </is>
      </c>
      <c r="R1707" t="n">
        <v>44483</v>
      </c>
      <c r="AD1707" t="inlineStr">
        <is>
          <t>TRUMBULL CAREER &amp; TECH CENTER</t>
        </is>
      </c>
      <c r="AE1707" t="inlineStr">
        <is>
          <t>WARREN CITY</t>
        </is>
      </c>
      <c r="AF1707" t="inlineStr">
        <is>
          <t>WARREN CITY SD</t>
        </is>
      </c>
      <c r="AH1707" t="n">
        <v>14</v>
      </c>
      <c r="AI1707" t="n">
        <v>11</v>
      </c>
      <c r="AN1707" t="inlineStr">
        <is>
          <t>WARREN</t>
        </is>
      </c>
      <c r="AO1707" t="inlineStr">
        <is>
          <t>WARREN CITY 4D</t>
        </is>
      </c>
      <c r="AP1707" t="inlineStr">
        <is>
          <t>78-P-ADL</t>
        </is>
      </c>
      <c r="AQ1707" t="n">
        <v>9</v>
      </c>
      <c r="AR1707" t="n">
        <v>64</v>
      </c>
      <c r="AS1707" t="n">
        <v>32</v>
      </c>
      <c r="AU1707">
        <f>COUNTA($BA$1707:$EH$1707)</f>
        <v/>
      </c>
      <c r="AV1707">
        <f>COUNTIF($BA$1707:$EH$1707,"D")</f>
        <v/>
      </c>
      <c r="AW1707">
        <f>COUNTIF($BA$1707:$EH$1707,"R")</f>
        <v/>
      </c>
      <c r="AX1707">
        <f>IF(BN1707="D",1,0)+IF(BO1707="D",1,0)+IF(BT1707="D",1,0)+IF(BU1707="D",1,0)+IF(BW1707="D",1,0)+IF(CC1707="D",1,0)+IF(CD1707="D",1,0)+IF(CE1707="D",1,0)+IF(CF1707="D",1,0)+IF(CL1707="D",1,0)+IF(CM1707="D",1,0)+IF(CQ1707="D",1,0)+IF(CR1707="D",1,0)+IF(CS1707="D",1,0)+IF(CW1707="D",1,0)+IF(CX1707="D",1,0)+IF(DD1707="D",1,0)+IF(DE1707="D",1,0)+IF(DJ1707="D",1,0)+IF(DK1707="D",1,0)+IF(DO1707="D",1,0)+IF(DP1707="D",1,0)+IF(DQ1707="D",1,0)+IF(DW1707="D",1,0)+IF(DZ1707="D",1,0)+IF(EH1707="D",1,0)</f>
        <v/>
      </c>
      <c r="AY1707">
        <f>IF(DJ1707&lt;&gt;"",1,0)+IF(DK1707&lt;&gt;"",1,0)+IF(DM1707&lt;&gt;"",1,0)+IF(DO1707&lt;&gt;"",1,0)+IF(DP1707&lt;&gt;"",1,0)+IF(DQ1707&lt;&gt;"",1,0)+IF(DS1707&lt;&gt;"",1,0)+IF(DT1707&lt;&gt;"",1,0)+IF(DV1707&lt;&gt;"",1,0)+IF(DW1707&lt;&gt;"",1,0)+IF(DX1707&lt;&gt;"",1,0)+IF(DY1707&lt;&gt;"",1,0)+IF(DZ1707&lt;&gt;"",1,0)+IF(EB1707&lt;&gt;"",1,0)+IF(EC1707&lt;&gt;"",1,0)+IF(ED1707&lt;&gt;"",1,0)+IF(EG1707&lt;&gt;"",1,0)+IF(EH1707&lt;&gt;"",1,0)</f>
        <v/>
      </c>
      <c r="AZ1707">
        <f>IF(EH1707&lt;&gt;"",1,0)</f>
        <v/>
      </c>
      <c r="BB1707" t="inlineStr">
        <is>
          <t>WARREN-WARD 4</t>
        </is>
      </c>
      <c r="EF1707" t="inlineStr">
        <is>
          <t>X</t>
        </is>
      </c>
    </row>
    <row r="1708">
      <c r="A1708" t="inlineStr">
        <is>
          <t>OH0023912498</t>
        </is>
      </c>
      <c r="B1708" t="n">
        <v>78</v>
      </c>
      <c r="C1708" t="n">
        <v>419820</v>
      </c>
      <c r="D1708" t="inlineStr">
        <is>
          <t>SPELICH</t>
        </is>
      </c>
      <c r="E1708" t="inlineStr">
        <is>
          <t>ROBIN</t>
        </is>
      </c>
      <c r="F1708">
        <f>CONCATENATE(D1708," ",LEFT(H1708,4),"T=",AU1708,"D=",AV1708,"R=",AW1708,"M=",AX1708,"L=",AY1708,"B=",AZ1708)</f>
        <v/>
      </c>
      <c r="G1708" t="inlineStr">
        <is>
          <t>E</t>
        </is>
      </c>
      <c r="I1708" t="inlineStr">
        <is>
          <t>1954-04-28</t>
        </is>
      </c>
      <c r="J1708" t="inlineStr">
        <is>
          <t>2016-09-06</t>
        </is>
      </c>
      <c r="K1708" t="inlineStr">
        <is>
          <t>ACTIVE</t>
        </is>
      </c>
      <c r="L1708" t="inlineStr">
        <is>
          <t>D</t>
        </is>
      </c>
      <c r="M1708" t="inlineStr">
        <is>
          <t>641 PAIGE AVE NE</t>
        </is>
      </c>
      <c r="N1708">
        <f>RIGHT(M1708,LEN(M1708)-FIND(" ",M1708))</f>
        <v/>
      </c>
      <c r="P1708" t="inlineStr">
        <is>
          <t>WARREN</t>
        </is>
      </c>
      <c r="Q1708" t="inlineStr">
        <is>
          <t>OH</t>
        </is>
      </c>
      <c r="R1708" t="n">
        <v>44483</v>
      </c>
      <c r="AD1708" t="inlineStr">
        <is>
          <t>TRUMBULL CAREER &amp; TECH CENTER</t>
        </is>
      </c>
      <c r="AE1708" t="inlineStr">
        <is>
          <t>WARREN CITY</t>
        </is>
      </c>
      <c r="AF1708" t="inlineStr">
        <is>
          <t>WARREN CITY SD</t>
        </is>
      </c>
      <c r="AH1708" t="n">
        <v>14</v>
      </c>
      <c r="AI1708" t="n">
        <v>11</v>
      </c>
      <c r="AN1708" t="inlineStr">
        <is>
          <t>WARREN</t>
        </is>
      </c>
      <c r="AO1708" t="inlineStr">
        <is>
          <t>WARREN CITY 4D</t>
        </is>
      </c>
      <c r="AP1708" t="inlineStr">
        <is>
          <t>78-P-ADL</t>
        </is>
      </c>
      <c r="AQ1708" t="n">
        <v>9</v>
      </c>
      <c r="AR1708" t="n">
        <v>64</v>
      </c>
      <c r="AS1708" t="n">
        <v>32</v>
      </c>
      <c r="AU1708">
        <f>COUNTA($BA$1708:$EH$1708)</f>
        <v/>
      </c>
      <c r="AV1708">
        <f>COUNTIF($BA$1708:$EH$1708,"D")</f>
        <v/>
      </c>
      <c r="AW1708">
        <f>COUNTIF($BA$1708:$EH$1708,"R")</f>
        <v/>
      </c>
      <c r="AX1708">
        <f>IF(BN1708="D",1,0)+IF(BO1708="D",1,0)+IF(BT1708="D",1,0)+IF(BU1708="D",1,0)+IF(BW1708="D",1,0)+IF(CC1708="D",1,0)+IF(CD1708="D",1,0)+IF(CE1708="D",1,0)+IF(CF1708="D",1,0)+IF(CL1708="D",1,0)+IF(CM1708="D",1,0)+IF(CQ1708="D",1,0)+IF(CR1708="D",1,0)+IF(CS1708="D",1,0)+IF(CW1708="D",1,0)+IF(CX1708="D",1,0)+IF(DD1708="D",1,0)+IF(DE1708="D",1,0)+IF(DJ1708="D",1,0)+IF(DK1708="D",1,0)+IF(DO1708="D",1,0)+IF(DP1708="D",1,0)+IF(DQ1708="D",1,0)+IF(DW1708="D",1,0)+IF(DZ1708="D",1,0)+IF(EH1708="D",1,0)</f>
        <v/>
      </c>
      <c r="AY1708">
        <f>IF(DJ1708&lt;&gt;"",1,0)+IF(DK1708&lt;&gt;"",1,0)+IF(DM1708&lt;&gt;"",1,0)+IF(DO1708&lt;&gt;"",1,0)+IF(DP1708&lt;&gt;"",1,0)+IF(DQ1708&lt;&gt;"",1,0)+IF(DS1708&lt;&gt;"",1,0)+IF(DT1708&lt;&gt;"",1,0)+IF(DV1708&lt;&gt;"",1,0)+IF(DW1708&lt;&gt;"",1,0)+IF(DX1708&lt;&gt;"",1,0)+IF(DY1708&lt;&gt;"",1,0)+IF(DZ1708&lt;&gt;"",1,0)+IF(EB1708&lt;&gt;"",1,0)+IF(EC1708&lt;&gt;"",1,0)+IF(ED1708&lt;&gt;"",1,0)+IF(EG1708&lt;&gt;"",1,0)+IF(EH1708&lt;&gt;"",1,0)</f>
        <v/>
      </c>
      <c r="AZ1708">
        <f>IF(EH1708&lt;&gt;"",1,0)</f>
        <v/>
      </c>
      <c r="BB1708" t="inlineStr">
        <is>
          <t>WARREN-WARD 4</t>
        </is>
      </c>
      <c r="DC1708" t="inlineStr">
        <is>
          <t>X</t>
        </is>
      </c>
      <c r="DI1708" t="inlineStr">
        <is>
          <t>X</t>
        </is>
      </c>
      <c r="DM1708" t="inlineStr">
        <is>
          <t>D</t>
        </is>
      </c>
      <c r="DN1708" t="inlineStr">
        <is>
          <t>X</t>
        </is>
      </c>
      <c r="DU1708" t="inlineStr">
        <is>
          <t>X</t>
        </is>
      </c>
      <c r="DW1708" t="inlineStr">
        <is>
          <t>D</t>
        </is>
      </c>
      <c r="DX1708" t="inlineStr">
        <is>
          <t>X</t>
        </is>
      </c>
      <c r="EA1708" t="inlineStr">
        <is>
          <t>X</t>
        </is>
      </c>
      <c r="ED1708" t="inlineStr">
        <is>
          <t>D</t>
        </is>
      </c>
      <c r="EF1708" t="inlineStr">
        <is>
          <t>X</t>
        </is>
      </c>
    </row>
    <row r="1709">
      <c r="A1709" t="inlineStr">
        <is>
          <t>OH0023358267</t>
        </is>
      </c>
      <c r="B1709" t="n">
        <v>78</v>
      </c>
      <c r="C1709" t="n">
        <v>372109</v>
      </c>
      <c r="D1709" t="inlineStr">
        <is>
          <t>MCGHEE</t>
        </is>
      </c>
      <c r="E1709" t="inlineStr">
        <is>
          <t>CAMILLE</t>
        </is>
      </c>
      <c r="F1709">
        <f>CONCATENATE(D1709," ",LEFT(H1709,4),"T=",AU1709,"D=",AV1709,"R=",AW1709,"M=",AX1709,"L=",AY1709,"B=",AZ1709)</f>
        <v/>
      </c>
      <c r="G1709" t="inlineStr">
        <is>
          <t>D</t>
        </is>
      </c>
      <c r="I1709" t="inlineStr">
        <is>
          <t>1992-04-21</t>
        </is>
      </c>
      <c r="J1709" t="inlineStr">
        <is>
          <t>2020-08-24</t>
        </is>
      </c>
      <c r="K1709" t="inlineStr">
        <is>
          <t>CONFIRMATION</t>
        </is>
      </c>
      <c r="M1709" t="inlineStr">
        <is>
          <t>728 OLIVE AVE NE</t>
        </is>
      </c>
      <c r="N1709">
        <f>RIGHT(M1709,LEN(M1709)-FIND(" ",M1709))</f>
        <v/>
      </c>
      <c r="P1709" t="inlineStr">
        <is>
          <t>WARREN</t>
        </is>
      </c>
      <c r="Q1709" t="inlineStr">
        <is>
          <t>OH</t>
        </is>
      </c>
      <c r="R1709" t="n">
        <v>44483</v>
      </c>
      <c r="AD1709" t="inlineStr">
        <is>
          <t>TRUMBULL CAREER &amp; TECH CENTER</t>
        </is>
      </c>
      <c r="AE1709" t="inlineStr">
        <is>
          <t>WARREN CITY</t>
        </is>
      </c>
      <c r="AF1709" t="inlineStr">
        <is>
          <t>WARREN CITY SD</t>
        </is>
      </c>
      <c r="AH1709" t="n">
        <v>14</v>
      </c>
      <c r="AI1709" t="n">
        <v>11</v>
      </c>
      <c r="AN1709" t="inlineStr">
        <is>
          <t>WARREN</t>
        </is>
      </c>
      <c r="AO1709" t="inlineStr">
        <is>
          <t>WARREN CITY 4D</t>
        </is>
      </c>
      <c r="AP1709" t="inlineStr">
        <is>
          <t>78-P-ADL</t>
        </is>
      </c>
      <c r="AQ1709" t="n">
        <v>9</v>
      </c>
      <c r="AR1709" t="n">
        <v>64</v>
      </c>
      <c r="AS1709" t="n">
        <v>32</v>
      </c>
      <c r="AU1709">
        <f>COUNTA($BA$1709:$EH$1709)</f>
        <v/>
      </c>
      <c r="AV1709">
        <f>COUNTIF($BA$1709:$EH$1709,"D")</f>
        <v/>
      </c>
      <c r="AW1709">
        <f>COUNTIF($BA$1709:$EH$1709,"R")</f>
        <v/>
      </c>
      <c r="AX1709">
        <f>IF(BN1709="D",1,0)+IF(BO1709="D",1,0)+IF(BT1709="D",1,0)+IF(BU1709="D",1,0)+IF(BW1709="D",1,0)+IF(CC1709="D",1,0)+IF(CD1709="D",1,0)+IF(CE1709="D",1,0)+IF(CF1709="D",1,0)+IF(CL1709="D",1,0)+IF(CM1709="D",1,0)+IF(CQ1709="D",1,0)+IF(CR1709="D",1,0)+IF(CS1709="D",1,0)+IF(CW1709="D",1,0)+IF(CX1709="D",1,0)+IF(DD1709="D",1,0)+IF(DE1709="D",1,0)+IF(DJ1709="D",1,0)+IF(DK1709="D",1,0)+IF(DO1709="D",1,0)+IF(DP1709="D",1,0)+IF(DQ1709="D",1,0)+IF(DW1709="D",1,0)+IF(DZ1709="D",1,0)+IF(EH1709="D",1,0)</f>
        <v/>
      </c>
      <c r="AY1709">
        <f>IF(DJ1709&lt;&gt;"",1,0)+IF(DK1709&lt;&gt;"",1,0)+IF(DM1709&lt;&gt;"",1,0)+IF(DO1709&lt;&gt;"",1,0)+IF(DP1709&lt;&gt;"",1,0)+IF(DQ1709&lt;&gt;"",1,0)+IF(DS1709&lt;&gt;"",1,0)+IF(DT1709&lt;&gt;"",1,0)+IF(DV1709&lt;&gt;"",1,0)+IF(DW1709&lt;&gt;"",1,0)+IF(DX1709&lt;&gt;"",1,0)+IF(DY1709&lt;&gt;"",1,0)+IF(DZ1709&lt;&gt;"",1,0)+IF(EB1709&lt;&gt;"",1,0)+IF(EC1709&lt;&gt;"",1,0)+IF(ED1709&lt;&gt;"",1,0)+IF(EG1709&lt;&gt;"",1,0)+IF(EH1709&lt;&gt;"",1,0)</f>
        <v/>
      </c>
      <c r="AZ1709">
        <f>IF(EH1709&lt;&gt;"",1,0)</f>
        <v/>
      </c>
      <c r="BB1709" t="inlineStr">
        <is>
          <t>WARREN-WARD 4</t>
        </is>
      </c>
      <c r="CZ1709" t="inlineStr">
        <is>
          <t>D</t>
        </is>
      </c>
      <c r="DC1709" t="inlineStr">
        <is>
          <t>X</t>
        </is>
      </c>
      <c r="DN1709" t="inlineStr">
        <is>
          <t>X</t>
        </is>
      </c>
    </row>
    <row r="1710">
      <c r="A1710" t="inlineStr">
        <is>
          <t>OH0024617429</t>
        </is>
      </c>
      <c r="B1710" t="n">
        <v>78</v>
      </c>
      <c r="C1710" t="n">
        <v>431417</v>
      </c>
      <c r="D1710" t="inlineStr">
        <is>
          <t>WALLER</t>
        </is>
      </c>
      <c r="E1710" t="inlineStr">
        <is>
          <t>HEAVEN</t>
        </is>
      </c>
      <c r="F1710">
        <f>CONCATENATE(D1710," ",LEFT(H1710,4),"T=",AU1710,"D=",AV1710,"R=",AW1710,"M=",AX1710,"L=",AY1710,"B=",AZ1710)</f>
        <v/>
      </c>
      <c r="I1710" t="inlineStr">
        <is>
          <t>1997-12-31</t>
        </is>
      </c>
      <c r="J1710" t="inlineStr">
        <is>
          <t>2018-05-17</t>
        </is>
      </c>
      <c r="K1710" t="inlineStr">
        <is>
          <t>CONFIRMATION</t>
        </is>
      </c>
      <c r="M1710" t="inlineStr">
        <is>
          <t>1165 HIGH ST NE</t>
        </is>
      </c>
      <c r="N1710">
        <f>RIGHT(M1710,LEN(M1710)-FIND(" ",M1710))</f>
        <v/>
      </c>
      <c r="P1710" t="inlineStr">
        <is>
          <t>WARREN</t>
        </is>
      </c>
      <c r="Q1710" t="inlineStr">
        <is>
          <t>OH</t>
        </is>
      </c>
      <c r="R1710" t="n">
        <v>44483</v>
      </c>
      <c r="AD1710" t="inlineStr">
        <is>
          <t>TRUMBULL CAREER &amp; TECH CENTER</t>
        </is>
      </c>
      <c r="AE1710" t="inlineStr">
        <is>
          <t>WARREN CITY</t>
        </is>
      </c>
      <c r="AF1710" t="inlineStr">
        <is>
          <t>WARREN CITY SD</t>
        </is>
      </c>
      <c r="AH1710" t="n">
        <v>14</v>
      </c>
      <c r="AI1710" t="n">
        <v>11</v>
      </c>
      <c r="AN1710" t="inlineStr">
        <is>
          <t>WARREN</t>
        </is>
      </c>
      <c r="AO1710" t="inlineStr">
        <is>
          <t>WARREN CITY 4D</t>
        </is>
      </c>
      <c r="AP1710" t="inlineStr">
        <is>
          <t>78-P-ADL</t>
        </is>
      </c>
      <c r="AQ1710" t="n">
        <v>9</v>
      </c>
      <c r="AR1710" t="n">
        <v>64</v>
      </c>
      <c r="AS1710" t="n">
        <v>32</v>
      </c>
      <c r="AU1710">
        <f>COUNTA($BA$1710:$EH$1710)</f>
        <v/>
      </c>
      <c r="AV1710">
        <f>COUNTIF($BA$1710:$EH$1710,"D")</f>
        <v/>
      </c>
      <c r="AW1710">
        <f>COUNTIF($BA$1710:$EH$1710,"R")</f>
        <v/>
      </c>
      <c r="AX1710">
        <f>IF(BN1710="D",1,0)+IF(BO1710="D",1,0)+IF(BT1710="D",1,0)+IF(BU1710="D",1,0)+IF(BW1710="D",1,0)+IF(CC1710="D",1,0)+IF(CD1710="D",1,0)+IF(CE1710="D",1,0)+IF(CF1710="D",1,0)+IF(CL1710="D",1,0)+IF(CM1710="D",1,0)+IF(CQ1710="D",1,0)+IF(CR1710="D",1,0)+IF(CS1710="D",1,0)+IF(CW1710="D",1,0)+IF(CX1710="D",1,0)+IF(DD1710="D",1,0)+IF(DE1710="D",1,0)+IF(DJ1710="D",1,0)+IF(DK1710="D",1,0)+IF(DO1710="D",1,0)+IF(DP1710="D",1,0)+IF(DQ1710="D",1,0)+IF(DW1710="D",1,0)+IF(DZ1710="D",1,0)+IF(EH1710="D",1,0)</f>
        <v/>
      </c>
      <c r="AY1710">
        <f>IF(DJ1710&lt;&gt;"",1,0)+IF(DK1710&lt;&gt;"",1,0)+IF(DM1710&lt;&gt;"",1,0)+IF(DO1710&lt;&gt;"",1,0)+IF(DP1710&lt;&gt;"",1,0)+IF(DQ1710&lt;&gt;"",1,0)+IF(DS1710&lt;&gt;"",1,0)+IF(DT1710&lt;&gt;"",1,0)+IF(DV1710&lt;&gt;"",1,0)+IF(DW1710&lt;&gt;"",1,0)+IF(DX1710&lt;&gt;"",1,0)+IF(DY1710&lt;&gt;"",1,0)+IF(DZ1710&lt;&gt;"",1,0)+IF(EB1710&lt;&gt;"",1,0)+IF(EC1710&lt;&gt;"",1,0)+IF(ED1710&lt;&gt;"",1,0)+IF(EG1710&lt;&gt;"",1,0)+IF(EH1710&lt;&gt;"",1,0)</f>
        <v/>
      </c>
      <c r="AZ1710">
        <f>IF(EH1710&lt;&gt;"",1,0)</f>
        <v/>
      </c>
      <c r="BB1710" t="inlineStr">
        <is>
          <t>WARREN-WARD 4</t>
        </is>
      </c>
    </row>
    <row r="1711">
      <c r="A1711" t="inlineStr">
        <is>
          <t>OH0024616799</t>
        </is>
      </c>
      <c r="B1711" t="n">
        <v>78</v>
      </c>
      <c r="C1711" t="n">
        <v>431387</v>
      </c>
      <c r="D1711" t="inlineStr">
        <is>
          <t>ADAMS</t>
        </is>
      </c>
      <c r="E1711" t="inlineStr">
        <is>
          <t>DANIEL</t>
        </is>
      </c>
      <c r="F1711">
        <f>CONCATENATE(D1711," ",LEFT(H1711,4),"T=",AU1711,"D=",AV1711,"R=",AW1711,"M=",AX1711,"L=",AY1711,"B=",AZ1711)</f>
        <v/>
      </c>
      <c r="G1711" t="inlineStr">
        <is>
          <t>L</t>
        </is>
      </c>
      <c r="I1711" t="inlineStr">
        <is>
          <t>1970-01-25</t>
        </is>
      </c>
      <c r="J1711" t="inlineStr">
        <is>
          <t>2018-04-20</t>
        </is>
      </c>
      <c r="K1711" t="inlineStr">
        <is>
          <t>CONFIRMATION</t>
        </is>
      </c>
      <c r="M1711" t="inlineStr">
        <is>
          <t>259 N PARK AVE</t>
        </is>
      </c>
      <c r="N1711">
        <f>RIGHT(M1711,LEN(M1711)-FIND(" ",M1711))</f>
        <v/>
      </c>
      <c r="O1711" t="inlineStr">
        <is>
          <t>APT A</t>
        </is>
      </c>
      <c r="P1711" t="inlineStr">
        <is>
          <t>WARREN</t>
        </is>
      </c>
      <c r="Q1711" t="inlineStr">
        <is>
          <t>OH</t>
        </is>
      </c>
      <c r="R1711" t="n">
        <v>44481</v>
      </c>
      <c r="AD1711" t="inlineStr">
        <is>
          <t>TRUMBULL CAREER &amp; TECH CENTER</t>
        </is>
      </c>
      <c r="AE1711" t="inlineStr">
        <is>
          <t>WARREN CITY</t>
        </is>
      </c>
      <c r="AF1711" t="inlineStr">
        <is>
          <t>WARREN CITY SD</t>
        </is>
      </c>
      <c r="AH1711" t="n">
        <v>14</v>
      </c>
      <c r="AI1711" t="n">
        <v>11</v>
      </c>
      <c r="AN1711" t="inlineStr">
        <is>
          <t>WARREN</t>
        </is>
      </c>
      <c r="AO1711" t="inlineStr">
        <is>
          <t>WARREN CITY 4D</t>
        </is>
      </c>
      <c r="AP1711" t="inlineStr">
        <is>
          <t>78-P-ADL</t>
        </is>
      </c>
      <c r="AQ1711" t="n">
        <v>9</v>
      </c>
      <c r="AR1711" t="n">
        <v>64</v>
      </c>
      <c r="AS1711" t="n">
        <v>32</v>
      </c>
      <c r="AU1711">
        <f>COUNTA($BA$1711:$EH$1711)</f>
        <v/>
      </c>
      <c r="AV1711">
        <f>COUNTIF($BA$1711:$EH$1711,"D")</f>
        <v/>
      </c>
      <c r="AW1711">
        <f>COUNTIF($BA$1711:$EH$1711,"R")</f>
        <v/>
      </c>
      <c r="AX1711">
        <f>IF(BN1711="D",1,0)+IF(BO1711="D",1,0)+IF(BT1711="D",1,0)+IF(BU1711="D",1,0)+IF(BW1711="D",1,0)+IF(CC1711="D",1,0)+IF(CD1711="D",1,0)+IF(CE1711="D",1,0)+IF(CF1711="D",1,0)+IF(CL1711="D",1,0)+IF(CM1711="D",1,0)+IF(CQ1711="D",1,0)+IF(CR1711="D",1,0)+IF(CS1711="D",1,0)+IF(CW1711="D",1,0)+IF(CX1711="D",1,0)+IF(DD1711="D",1,0)+IF(DE1711="D",1,0)+IF(DJ1711="D",1,0)+IF(DK1711="D",1,0)+IF(DO1711="D",1,0)+IF(DP1711="D",1,0)+IF(DQ1711="D",1,0)+IF(DW1711="D",1,0)+IF(DZ1711="D",1,0)+IF(EH1711="D",1,0)</f>
        <v/>
      </c>
      <c r="AY1711">
        <f>IF(DJ1711&lt;&gt;"",1,0)+IF(DK1711&lt;&gt;"",1,0)+IF(DM1711&lt;&gt;"",1,0)+IF(DO1711&lt;&gt;"",1,0)+IF(DP1711&lt;&gt;"",1,0)+IF(DQ1711&lt;&gt;"",1,0)+IF(DS1711&lt;&gt;"",1,0)+IF(DT1711&lt;&gt;"",1,0)+IF(DV1711&lt;&gt;"",1,0)+IF(DW1711&lt;&gt;"",1,0)+IF(DX1711&lt;&gt;"",1,0)+IF(DY1711&lt;&gt;"",1,0)+IF(DZ1711&lt;&gt;"",1,0)+IF(EB1711&lt;&gt;"",1,0)+IF(EC1711&lt;&gt;"",1,0)+IF(ED1711&lt;&gt;"",1,0)+IF(EG1711&lt;&gt;"",1,0)+IF(EH1711&lt;&gt;"",1,0)</f>
        <v/>
      </c>
      <c r="AZ1711">
        <f>IF(EH1711&lt;&gt;"",1,0)</f>
        <v/>
      </c>
      <c r="BB1711" t="inlineStr">
        <is>
          <t>WARREN-WARD 4</t>
        </is>
      </c>
    </row>
    <row r="1712">
      <c r="A1712" t="inlineStr">
        <is>
          <t>OH0024166418</t>
        </is>
      </c>
      <c r="B1712" t="n">
        <v>78</v>
      </c>
      <c r="C1712" t="n">
        <v>422884</v>
      </c>
      <c r="D1712" t="inlineStr">
        <is>
          <t>MORRIS</t>
        </is>
      </c>
      <c r="E1712" t="inlineStr">
        <is>
          <t>EVA</t>
        </is>
      </c>
      <c r="F1712">
        <f>CONCATENATE(D1712," ",LEFT(H1712,4),"T=",AU1712,"D=",AV1712,"R=",AW1712,"M=",AX1712,"L=",AY1712,"B=",AZ1712)</f>
        <v/>
      </c>
      <c r="G1712" t="inlineStr">
        <is>
          <t>MARIE</t>
        </is>
      </c>
      <c r="I1712" t="inlineStr">
        <is>
          <t>1956-05-17</t>
        </is>
      </c>
      <c r="J1712" t="inlineStr">
        <is>
          <t>2016-11-01</t>
        </is>
      </c>
      <c r="K1712" t="inlineStr">
        <is>
          <t>ACTIVE</t>
        </is>
      </c>
      <c r="M1712" t="inlineStr">
        <is>
          <t>150 LINDEN AVE SE</t>
        </is>
      </c>
      <c r="N1712">
        <f>RIGHT(M1712,LEN(M1712)-FIND(" ",M1712))</f>
        <v/>
      </c>
      <c r="P1712" t="inlineStr">
        <is>
          <t>WARREN</t>
        </is>
      </c>
      <c r="Q1712" t="inlineStr">
        <is>
          <t>OH</t>
        </is>
      </c>
      <c r="R1712" t="n">
        <v>44483</v>
      </c>
      <c r="AD1712" t="inlineStr">
        <is>
          <t>TRUMBULL CAREER &amp; TECH CENTER</t>
        </is>
      </c>
      <c r="AE1712" t="inlineStr">
        <is>
          <t>WARREN CITY</t>
        </is>
      </c>
      <c r="AF1712" t="inlineStr">
        <is>
          <t>WARREN CITY SD</t>
        </is>
      </c>
      <c r="AH1712" t="n">
        <v>14</v>
      </c>
      <c r="AI1712" t="n">
        <v>11</v>
      </c>
      <c r="AN1712" t="inlineStr">
        <is>
          <t>WARREN</t>
        </is>
      </c>
      <c r="AO1712" t="inlineStr">
        <is>
          <t>WARREN CITY 4D</t>
        </is>
      </c>
      <c r="AP1712" t="inlineStr">
        <is>
          <t>78-P-ADL</t>
        </is>
      </c>
      <c r="AQ1712" t="n">
        <v>9</v>
      </c>
      <c r="AR1712" t="n">
        <v>64</v>
      </c>
      <c r="AS1712" t="n">
        <v>32</v>
      </c>
      <c r="AU1712">
        <f>COUNTA($BA$1712:$EH$1712)</f>
        <v/>
      </c>
      <c r="AV1712">
        <f>COUNTIF($BA$1712:$EH$1712,"D")</f>
        <v/>
      </c>
      <c r="AW1712">
        <f>COUNTIF($BA$1712:$EH$1712,"R")</f>
        <v/>
      </c>
      <c r="AX1712">
        <f>IF(BN1712="D",1,0)+IF(BO1712="D",1,0)+IF(BT1712="D",1,0)+IF(BU1712="D",1,0)+IF(BW1712="D",1,0)+IF(CC1712="D",1,0)+IF(CD1712="D",1,0)+IF(CE1712="D",1,0)+IF(CF1712="D",1,0)+IF(CL1712="D",1,0)+IF(CM1712="D",1,0)+IF(CQ1712="D",1,0)+IF(CR1712="D",1,0)+IF(CS1712="D",1,0)+IF(CW1712="D",1,0)+IF(CX1712="D",1,0)+IF(DD1712="D",1,0)+IF(DE1712="D",1,0)+IF(DJ1712="D",1,0)+IF(DK1712="D",1,0)+IF(DO1712="D",1,0)+IF(DP1712="D",1,0)+IF(DQ1712="D",1,0)+IF(DW1712="D",1,0)+IF(DZ1712="D",1,0)+IF(EH1712="D",1,0)</f>
        <v/>
      </c>
      <c r="AY1712">
        <f>IF(DJ1712&lt;&gt;"",1,0)+IF(DK1712&lt;&gt;"",1,0)+IF(DM1712&lt;&gt;"",1,0)+IF(DO1712&lt;&gt;"",1,0)+IF(DP1712&lt;&gt;"",1,0)+IF(DQ1712&lt;&gt;"",1,0)+IF(DS1712&lt;&gt;"",1,0)+IF(DT1712&lt;&gt;"",1,0)+IF(DV1712&lt;&gt;"",1,0)+IF(DW1712&lt;&gt;"",1,0)+IF(DX1712&lt;&gt;"",1,0)+IF(DY1712&lt;&gt;"",1,0)+IF(DZ1712&lt;&gt;"",1,0)+IF(EB1712&lt;&gt;"",1,0)+IF(EC1712&lt;&gt;"",1,0)+IF(ED1712&lt;&gt;"",1,0)+IF(EG1712&lt;&gt;"",1,0)+IF(EH1712&lt;&gt;"",1,0)</f>
        <v/>
      </c>
      <c r="AZ1712">
        <f>IF(EH1712&lt;&gt;"",1,0)</f>
        <v/>
      </c>
      <c r="BB1712" t="inlineStr">
        <is>
          <t>WARREN-WARD 4</t>
        </is>
      </c>
      <c r="BL1712" t="inlineStr">
        <is>
          <t>X</t>
        </is>
      </c>
      <c r="BY1712" t="inlineStr">
        <is>
          <t>D</t>
        </is>
      </c>
      <c r="CA1712" t="inlineStr">
        <is>
          <t>X</t>
        </is>
      </c>
      <c r="CG1712" t="inlineStr">
        <is>
          <t>X</t>
        </is>
      </c>
      <c r="CK1712" t="inlineStr">
        <is>
          <t>X</t>
        </is>
      </c>
      <c r="CP1712" t="inlineStr">
        <is>
          <t>X</t>
        </is>
      </c>
      <c r="CV1712" t="inlineStr">
        <is>
          <t>X</t>
        </is>
      </c>
      <c r="CY1712" t="inlineStr">
        <is>
          <t>X</t>
        </is>
      </c>
      <c r="CZ1712" t="inlineStr">
        <is>
          <t>D</t>
        </is>
      </c>
      <c r="DC1712" t="inlineStr">
        <is>
          <t>X</t>
        </is>
      </c>
      <c r="DL1712" t="inlineStr">
        <is>
          <t>X</t>
        </is>
      </c>
      <c r="DN1712" t="inlineStr">
        <is>
          <t>X</t>
        </is>
      </c>
      <c r="DX1712" t="inlineStr">
        <is>
          <t>X</t>
        </is>
      </c>
    </row>
    <row r="1713">
      <c r="A1713" t="inlineStr">
        <is>
          <t>OH0026145701</t>
        </is>
      </c>
      <c r="B1713" t="n">
        <v>78</v>
      </c>
      <c r="C1713" t="n">
        <v>457116</v>
      </c>
      <c r="D1713" t="inlineStr">
        <is>
          <t>LEHMAN</t>
        </is>
      </c>
      <c r="E1713" t="inlineStr">
        <is>
          <t>MICHAEL</t>
        </is>
      </c>
      <c r="F1713">
        <f>CONCATENATE(D1713," ",LEFT(H1713,4),"T=",AU1713,"D=",AV1713,"R=",AW1713,"M=",AX1713,"L=",AY1713,"B=",AZ1713)</f>
        <v/>
      </c>
      <c r="G1713" t="inlineStr">
        <is>
          <t>MORRIGAN</t>
        </is>
      </c>
      <c r="I1713" t="inlineStr">
        <is>
          <t>1997-10-10</t>
        </is>
      </c>
      <c r="J1713" t="inlineStr">
        <is>
          <t>2021-02-13</t>
        </is>
      </c>
      <c r="K1713" t="inlineStr">
        <is>
          <t>CONFIRMATION</t>
        </is>
      </c>
      <c r="M1713" t="inlineStr">
        <is>
          <t>258 SENECA AVE NE</t>
        </is>
      </c>
      <c r="N1713">
        <f>RIGHT(M1713,LEN(M1713)-FIND(" ",M1713))</f>
        <v/>
      </c>
      <c r="P1713" t="inlineStr">
        <is>
          <t>WARREN</t>
        </is>
      </c>
      <c r="Q1713" t="inlineStr">
        <is>
          <t>OH</t>
        </is>
      </c>
      <c r="R1713" t="n">
        <v>44481</v>
      </c>
      <c r="AD1713" t="inlineStr">
        <is>
          <t>TRUMBULL CAREER &amp; TECH CENTER</t>
        </is>
      </c>
      <c r="AE1713" t="inlineStr">
        <is>
          <t>WARREN CITY</t>
        </is>
      </c>
      <c r="AF1713" t="inlineStr">
        <is>
          <t>WARREN CITY SD</t>
        </is>
      </c>
      <c r="AH1713" t="n">
        <v>14</v>
      </c>
      <c r="AI1713" t="n">
        <v>11</v>
      </c>
      <c r="AN1713" t="inlineStr">
        <is>
          <t>WARREN</t>
        </is>
      </c>
      <c r="AO1713" t="inlineStr">
        <is>
          <t>WARREN CITY 4D</t>
        </is>
      </c>
      <c r="AP1713" t="inlineStr">
        <is>
          <t>78-P-ADL</t>
        </is>
      </c>
      <c r="AQ1713" t="n">
        <v>9</v>
      </c>
      <c r="AR1713" t="n">
        <v>64</v>
      </c>
      <c r="AS1713" t="n">
        <v>32</v>
      </c>
      <c r="AU1713">
        <f>COUNTA($BA$1713:$EH$1713)</f>
        <v/>
      </c>
      <c r="AV1713">
        <f>COUNTIF($BA$1713:$EH$1713,"D")</f>
        <v/>
      </c>
      <c r="AW1713">
        <f>COUNTIF($BA$1713:$EH$1713,"R")</f>
        <v/>
      </c>
      <c r="AX1713">
        <f>IF(BN1713="D",1,0)+IF(BO1713="D",1,0)+IF(BT1713="D",1,0)+IF(BU1713="D",1,0)+IF(BW1713="D",1,0)+IF(CC1713="D",1,0)+IF(CD1713="D",1,0)+IF(CE1713="D",1,0)+IF(CF1713="D",1,0)+IF(CL1713="D",1,0)+IF(CM1713="D",1,0)+IF(CQ1713="D",1,0)+IF(CR1713="D",1,0)+IF(CS1713="D",1,0)+IF(CW1713="D",1,0)+IF(CX1713="D",1,0)+IF(DD1713="D",1,0)+IF(DE1713="D",1,0)+IF(DJ1713="D",1,0)+IF(DK1713="D",1,0)+IF(DO1713="D",1,0)+IF(DP1713="D",1,0)+IF(DQ1713="D",1,0)+IF(DW1713="D",1,0)+IF(DZ1713="D",1,0)+IF(EH1713="D",1,0)</f>
        <v/>
      </c>
      <c r="AY1713">
        <f>IF(DJ1713&lt;&gt;"",1,0)+IF(DK1713&lt;&gt;"",1,0)+IF(DM1713&lt;&gt;"",1,0)+IF(DO1713&lt;&gt;"",1,0)+IF(DP1713&lt;&gt;"",1,0)+IF(DQ1713&lt;&gt;"",1,0)+IF(DS1713&lt;&gt;"",1,0)+IF(DT1713&lt;&gt;"",1,0)+IF(DV1713&lt;&gt;"",1,0)+IF(DW1713&lt;&gt;"",1,0)+IF(DX1713&lt;&gt;"",1,0)+IF(DY1713&lt;&gt;"",1,0)+IF(DZ1713&lt;&gt;"",1,0)+IF(EB1713&lt;&gt;"",1,0)+IF(EC1713&lt;&gt;"",1,0)+IF(ED1713&lt;&gt;"",1,0)+IF(EG1713&lt;&gt;"",1,0)+IF(EH1713&lt;&gt;"",1,0)</f>
        <v/>
      </c>
      <c r="AZ1713">
        <f>IF(EH1713&lt;&gt;"",1,0)</f>
        <v/>
      </c>
      <c r="BB1713" t="inlineStr">
        <is>
          <t>WARREN-WARD 4</t>
        </is>
      </c>
    </row>
    <row r="1714">
      <c r="A1714" t="inlineStr">
        <is>
          <t>OH0025116667</t>
        </is>
      </c>
      <c r="B1714" t="n">
        <v>78</v>
      </c>
      <c r="C1714" t="n">
        <v>439781</v>
      </c>
      <c r="D1714" t="inlineStr">
        <is>
          <t>ALBANI</t>
        </is>
      </c>
      <c r="E1714" t="inlineStr">
        <is>
          <t>JASON</t>
        </is>
      </c>
      <c r="F1714">
        <f>CONCATENATE(D1714," ",LEFT(H1714,4),"T=",AU1714,"D=",AV1714,"R=",AW1714,"M=",AX1714,"L=",AY1714,"B=",AZ1714)</f>
        <v/>
      </c>
      <c r="G1714" t="inlineStr">
        <is>
          <t>M</t>
        </is>
      </c>
      <c r="I1714" t="inlineStr">
        <is>
          <t>1986-05-17</t>
        </is>
      </c>
      <c r="J1714" t="inlineStr">
        <is>
          <t>2019-05-14</t>
        </is>
      </c>
      <c r="K1714" t="inlineStr">
        <is>
          <t>CONFIRMATION</t>
        </is>
      </c>
      <c r="M1714" t="inlineStr">
        <is>
          <t>409 LOGAN AVE NE</t>
        </is>
      </c>
      <c r="N1714">
        <f>RIGHT(M1714,LEN(M1714)-FIND(" ",M1714))</f>
        <v/>
      </c>
      <c r="P1714" t="inlineStr">
        <is>
          <t>WARREN</t>
        </is>
      </c>
      <c r="Q1714" t="inlineStr">
        <is>
          <t>OH</t>
        </is>
      </c>
      <c r="R1714" t="n">
        <v>44483</v>
      </c>
      <c r="AD1714" t="inlineStr">
        <is>
          <t>TRUMBULL CAREER &amp; TECH CENTER</t>
        </is>
      </c>
      <c r="AE1714" t="inlineStr">
        <is>
          <t>WARREN CITY</t>
        </is>
      </c>
      <c r="AF1714" t="inlineStr">
        <is>
          <t>WARREN CITY SD</t>
        </is>
      </c>
      <c r="AH1714" t="n">
        <v>14</v>
      </c>
      <c r="AI1714" t="n">
        <v>11</v>
      </c>
      <c r="AN1714" t="inlineStr">
        <is>
          <t>WARREN</t>
        </is>
      </c>
      <c r="AO1714" t="inlineStr">
        <is>
          <t>WARREN CITY 4D</t>
        </is>
      </c>
      <c r="AP1714" t="inlineStr">
        <is>
          <t>78-P-ADL</t>
        </is>
      </c>
      <c r="AQ1714" t="n">
        <v>9</v>
      </c>
      <c r="AR1714" t="n">
        <v>64</v>
      </c>
      <c r="AS1714" t="n">
        <v>32</v>
      </c>
      <c r="AU1714">
        <f>COUNTA($BA$1714:$EH$1714)</f>
        <v/>
      </c>
      <c r="AV1714">
        <f>COUNTIF($BA$1714:$EH$1714,"D")</f>
        <v/>
      </c>
      <c r="AW1714">
        <f>COUNTIF($BA$1714:$EH$1714,"R")</f>
        <v/>
      </c>
      <c r="AX1714">
        <f>IF(BN1714="D",1,0)+IF(BO1714="D",1,0)+IF(BT1714="D",1,0)+IF(BU1714="D",1,0)+IF(BW1714="D",1,0)+IF(CC1714="D",1,0)+IF(CD1714="D",1,0)+IF(CE1714="D",1,0)+IF(CF1714="D",1,0)+IF(CL1714="D",1,0)+IF(CM1714="D",1,0)+IF(CQ1714="D",1,0)+IF(CR1714="D",1,0)+IF(CS1714="D",1,0)+IF(CW1714="D",1,0)+IF(CX1714="D",1,0)+IF(DD1714="D",1,0)+IF(DE1714="D",1,0)+IF(DJ1714="D",1,0)+IF(DK1714="D",1,0)+IF(DO1714="D",1,0)+IF(DP1714="D",1,0)+IF(DQ1714="D",1,0)+IF(DW1714="D",1,0)+IF(DZ1714="D",1,0)+IF(EH1714="D",1,0)</f>
        <v/>
      </c>
      <c r="AY1714">
        <f>IF(DJ1714&lt;&gt;"",1,0)+IF(DK1714&lt;&gt;"",1,0)+IF(DM1714&lt;&gt;"",1,0)+IF(DO1714&lt;&gt;"",1,0)+IF(DP1714&lt;&gt;"",1,0)+IF(DQ1714&lt;&gt;"",1,0)+IF(DS1714&lt;&gt;"",1,0)+IF(DT1714&lt;&gt;"",1,0)+IF(DV1714&lt;&gt;"",1,0)+IF(DW1714&lt;&gt;"",1,0)+IF(DX1714&lt;&gt;"",1,0)+IF(DY1714&lt;&gt;"",1,0)+IF(DZ1714&lt;&gt;"",1,0)+IF(EB1714&lt;&gt;"",1,0)+IF(EC1714&lt;&gt;"",1,0)+IF(ED1714&lt;&gt;"",1,0)+IF(EG1714&lt;&gt;"",1,0)+IF(EH1714&lt;&gt;"",1,0)</f>
        <v/>
      </c>
      <c r="AZ1714">
        <f>IF(EH1714&lt;&gt;"",1,0)</f>
        <v/>
      </c>
      <c r="BB1714" t="inlineStr">
        <is>
          <t>WARREN-WARD 4</t>
        </is>
      </c>
      <c r="BL1714" t="inlineStr">
        <is>
          <t>X</t>
        </is>
      </c>
    </row>
    <row r="1715">
      <c r="A1715" t="inlineStr">
        <is>
          <t>OH0019196170</t>
        </is>
      </c>
      <c r="B1715" t="n">
        <v>78</v>
      </c>
      <c r="C1715" t="n">
        <v>350695</v>
      </c>
      <c r="D1715" t="inlineStr">
        <is>
          <t>MARTIN</t>
        </is>
      </c>
      <c r="E1715" t="inlineStr">
        <is>
          <t>MARIE</t>
        </is>
      </c>
      <c r="F1715">
        <f>CONCATENATE(D1715," ",LEFT(H1715,4),"T=",AU1715,"D=",AV1715,"R=",AW1715,"M=",AX1715,"L=",AY1715,"B=",AZ1715)</f>
        <v/>
      </c>
      <c r="G1715" t="inlineStr">
        <is>
          <t>E</t>
        </is>
      </c>
      <c r="I1715" t="inlineStr">
        <is>
          <t>1967-07-28</t>
        </is>
      </c>
      <c r="J1715" t="inlineStr">
        <is>
          <t>2024-10-03</t>
        </is>
      </c>
      <c r="K1715" t="inlineStr">
        <is>
          <t>ACTIVE</t>
        </is>
      </c>
      <c r="L1715" t="inlineStr">
        <is>
          <t>D</t>
        </is>
      </c>
      <c r="M1715" t="inlineStr">
        <is>
          <t>123 LINDEN AVE SE</t>
        </is>
      </c>
      <c r="N1715">
        <f>RIGHT(M1715,LEN(M1715)-FIND(" ",M1715))</f>
        <v/>
      </c>
      <c r="P1715" t="inlineStr">
        <is>
          <t>WARREN</t>
        </is>
      </c>
      <c r="Q1715" t="inlineStr">
        <is>
          <t>OH</t>
        </is>
      </c>
      <c r="R1715" t="n">
        <v>44483</v>
      </c>
      <c r="AD1715" t="inlineStr">
        <is>
          <t>TRUMBULL CAREER &amp; TECH CENTER</t>
        </is>
      </c>
      <c r="AE1715" t="inlineStr">
        <is>
          <t>WARREN CITY</t>
        </is>
      </c>
      <c r="AF1715" t="inlineStr">
        <is>
          <t>WARREN CITY SD</t>
        </is>
      </c>
      <c r="AH1715" t="n">
        <v>14</v>
      </c>
      <c r="AI1715" t="n">
        <v>11</v>
      </c>
      <c r="AN1715" t="inlineStr">
        <is>
          <t>WARREN</t>
        </is>
      </c>
      <c r="AO1715" t="inlineStr">
        <is>
          <t>WARREN CITY 4D</t>
        </is>
      </c>
      <c r="AP1715" t="inlineStr">
        <is>
          <t>78-P-ADL</t>
        </is>
      </c>
      <c r="AQ1715" t="n">
        <v>9</v>
      </c>
      <c r="AR1715" t="n">
        <v>64</v>
      </c>
      <c r="AS1715" t="n">
        <v>32</v>
      </c>
      <c r="AU1715">
        <f>COUNTA($BA$1715:$EH$1715)</f>
        <v/>
      </c>
      <c r="AV1715">
        <f>COUNTIF($BA$1715:$EH$1715,"D")</f>
        <v/>
      </c>
      <c r="AW1715">
        <f>COUNTIF($BA$1715:$EH$1715,"R")</f>
        <v/>
      </c>
      <c r="AX1715">
        <f>IF(BN1715="D",1,0)+IF(BO1715="D",1,0)+IF(BT1715="D",1,0)+IF(BU1715="D",1,0)+IF(BW1715="D",1,0)+IF(CC1715="D",1,0)+IF(CD1715="D",1,0)+IF(CE1715="D",1,0)+IF(CF1715="D",1,0)+IF(CL1715="D",1,0)+IF(CM1715="D",1,0)+IF(CQ1715="D",1,0)+IF(CR1715="D",1,0)+IF(CS1715="D",1,0)+IF(CW1715="D",1,0)+IF(CX1715="D",1,0)+IF(DD1715="D",1,0)+IF(DE1715="D",1,0)+IF(DJ1715="D",1,0)+IF(DK1715="D",1,0)+IF(DO1715="D",1,0)+IF(DP1715="D",1,0)+IF(DQ1715="D",1,0)+IF(DW1715="D",1,0)+IF(DZ1715="D",1,0)+IF(EH1715="D",1,0)</f>
        <v/>
      </c>
      <c r="AY1715">
        <f>IF(DJ1715&lt;&gt;"",1,0)+IF(DK1715&lt;&gt;"",1,0)+IF(DM1715&lt;&gt;"",1,0)+IF(DO1715&lt;&gt;"",1,0)+IF(DP1715&lt;&gt;"",1,0)+IF(DQ1715&lt;&gt;"",1,0)+IF(DS1715&lt;&gt;"",1,0)+IF(DT1715&lt;&gt;"",1,0)+IF(DV1715&lt;&gt;"",1,0)+IF(DW1715&lt;&gt;"",1,0)+IF(DX1715&lt;&gt;"",1,0)+IF(DY1715&lt;&gt;"",1,0)+IF(DZ1715&lt;&gt;"",1,0)+IF(EB1715&lt;&gt;"",1,0)+IF(EC1715&lt;&gt;"",1,0)+IF(ED1715&lt;&gt;"",1,0)+IF(EG1715&lt;&gt;"",1,0)+IF(EH1715&lt;&gt;"",1,0)</f>
        <v/>
      </c>
      <c r="AZ1715">
        <f>IF(EH1715&lt;&gt;"",1,0)</f>
        <v/>
      </c>
      <c r="BB1715" t="inlineStr">
        <is>
          <t>WARREN-WARD 4</t>
        </is>
      </c>
      <c r="CU1715" t="inlineStr">
        <is>
          <t>D</t>
        </is>
      </c>
      <c r="CY1715" t="inlineStr">
        <is>
          <t>X</t>
        </is>
      </c>
      <c r="CZ1715" t="inlineStr">
        <is>
          <t>D</t>
        </is>
      </c>
      <c r="DC1715" t="inlineStr">
        <is>
          <t>X</t>
        </is>
      </c>
      <c r="DN1715" t="inlineStr">
        <is>
          <t>X</t>
        </is>
      </c>
      <c r="DU1715" t="inlineStr">
        <is>
          <t>X</t>
        </is>
      </c>
      <c r="DW1715" t="inlineStr">
        <is>
          <t>D</t>
        </is>
      </c>
      <c r="DX1715" t="inlineStr">
        <is>
          <t>X</t>
        </is>
      </c>
      <c r="EA1715" t="inlineStr">
        <is>
          <t>X</t>
        </is>
      </c>
      <c r="ED1715" t="inlineStr">
        <is>
          <t>D</t>
        </is>
      </c>
      <c r="EF1715" t="inlineStr">
        <is>
          <t>X</t>
        </is>
      </c>
    </row>
    <row r="1716">
      <c r="A1716" t="inlineStr">
        <is>
          <t>OH0023632556</t>
        </is>
      </c>
      <c r="B1716" t="n">
        <v>78</v>
      </c>
      <c r="C1716" t="n">
        <v>415273</v>
      </c>
      <c r="D1716" t="inlineStr">
        <is>
          <t>MILYAK</t>
        </is>
      </c>
      <c r="E1716" t="inlineStr">
        <is>
          <t>KEVIN</t>
        </is>
      </c>
      <c r="F1716">
        <f>CONCATENATE(D1716," ",LEFT(H1716,4),"T=",AU1716,"D=",AV1716,"R=",AW1716,"M=",AX1716,"L=",AY1716,"B=",AZ1716)</f>
        <v/>
      </c>
      <c r="G1716" t="inlineStr">
        <is>
          <t>LEE</t>
        </is>
      </c>
      <c r="I1716" t="inlineStr">
        <is>
          <t>1975-05-09</t>
        </is>
      </c>
      <c r="J1716" t="inlineStr">
        <is>
          <t>2016-03-14</t>
        </is>
      </c>
      <c r="K1716" t="inlineStr">
        <is>
          <t>ACTIVE</t>
        </is>
      </c>
      <c r="M1716" t="inlineStr">
        <is>
          <t>338 WASHINGTON ST NE</t>
        </is>
      </c>
      <c r="N1716">
        <f>RIGHT(M1716,LEN(M1716)-FIND(" ",M1716))</f>
        <v/>
      </c>
      <c r="P1716" t="inlineStr">
        <is>
          <t>WARREN</t>
        </is>
      </c>
      <c r="Q1716" t="inlineStr">
        <is>
          <t>OH</t>
        </is>
      </c>
      <c r="R1716" t="n">
        <v>44483</v>
      </c>
      <c r="AD1716" t="inlineStr">
        <is>
          <t>TRUMBULL CAREER &amp; TECH CENTER</t>
        </is>
      </c>
      <c r="AE1716" t="inlineStr">
        <is>
          <t>WARREN CITY</t>
        </is>
      </c>
      <c r="AF1716" t="inlineStr">
        <is>
          <t>WARREN CITY SD</t>
        </is>
      </c>
      <c r="AH1716" t="n">
        <v>14</v>
      </c>
      <c r="AI1716" t="n">
        <v>11</v>
      </c>
      <c r="AN1716" t="inlineStr">
        <is>
          <t>WARREN</t>
        </is>
      </c>
      <c r="AO1716" t="inlineStr">
        <is>
          <t>WARREN CITY 4D</t>
        </is>
      </c>
      <c r="AP1716" t="inlineStr">
        <is>
          <t>78-P-ADL</t>
        </is>
      </c>
      <c r="AQ1716" t="n">
        <v>9</v>
      </c>
      <c r="AR1716" t="n">
        <v>64</v>
      </c>
      <c r="AS1716" t="n">
        <v>32</v>
      </c>
      <c r="AU1716">
        <f>COUNTA($BA$1716:$EH$1716)</f>
        <v/>
      </c>
      <c r="AV1716">
        <f>COUNTIF($BA$1716:$EH$1716,"D")</f>
        <v/>
      </c>
      <c r="AW1716">
        <f>COUNTIF($BA$1716:$EH$1716,"R")</f>
        <v/>
      </c>
      <c r="AX1716">
        <f>IF(BN1716="D",1,0)+IF(BO1716="D",1,0)+IF(BT1716="D",1,0)+IF(BU1716="D",1,0)+IF(BW1716="D",1,0)+IF(CC1716="D",1,0)+IF(CD1716="D",1,0)+IF(CE1716="D",1,0)+IF(CF1716="D",1,0)+IF(CL1716="D",1,0)+IF(CM1716="D",1,0)+IF(CQ1716="D",1,0)+IF(CR1716="D",1,0)+IF(CS1716="D",1,0)+IF(CW1716="D",1,0)+IF(CX1716="D",1,0)+IF(DD1716="D",1,0)+IF(DE1716="D",1,0)+IF(DJ1716="D",1,0)+IF(DK1716="D",1,0)+IF(DO1716="D",1,0)+IF(DP1716="D",1,0)+IF(DQ1716="D",1,0)+IF(DW1716="D",1,0)+IF(DZ1716="D",1,0)+IF(EH1716="D",1,0)</f>
        <v/>
      </c>
      <c r="AY1716">
        <f>IF(DJ1716&lt;&gt;"",1,0)+IF(DK1716&lt;&gt;"",1,0)+IF(DM1716&lt;&gt;"",1,0)+IF(DO1716&lt;&gt;"",1,0)+IF(DP1716&lt;&gt;"",1,0)+IF(DQ1716&lt;&gt;"",1,0)+IF(DS1716&lt;&gt;"",1,0)+IF(DT1716&lt;&gt;"",1,0)+IF(DV1716&lt;&gt;"",1,0)+IF(DW1716&lt;&gt;"",1,0)+IF(DX1716&lt;&gt;"",1,0)+IF(DY1716&lt;&gt;"",1,0)+IF(DZ1716&lt;&gt;"",1,0)+IF(EB1716&lt;&gt;"",1,0)+IF(EC1716&lt;&gt;"",1,0)+IF(ED1716&lt;&gt;"",1,0)+IF(EG1716&lt;&gt;"",1,0)+IF(EH1716&lt;&gt;"",1,0)</f>
        <v/>
      </c>
      <c r="AZ1716">
        <f>IF(EH1716&lt;&gt;"",1,0)</f>
        <v/>
      </c>
      <c r="BB1716" t="inlineStr">
        <is>
          <t>WARREN-WARD 4</t>
        </is>
      </c>
      <c r="DC1716" t="inlineStr">
        <is>
          <t>X</t>
        </is>
      </c>
      <c r="DD1716" t="inlineStr">
        <is>
          <t>D</t>
        </is>
      </c>
      <c r="DL1716" t="inlineStr">
        <is>
          <t>X</t>
        </is>
      </c>
      <c r="DN1716" t="inlineStr">
        <is>
          <t>X</t>
        </is>
      </c>
      <c r="DU1716" t="inlineStr">
        <is>
          <t>X</t>
        </is>
      </c>
      <c r="DX1716" t="inlineStr">
        <is>
          <t>X</t>
        </is>
      </c>
      <c r="EA1716" t="inlineStr">
        <is>
          <t>X</t>
        </is>
      </c>
      <c r="EF1716" t="inlineStr">
        <is>
          <t>X</t>
        </is>
      </c>
    </row>
    <row r="1717">
      <c r="A1717" t="inlineStr">
        <is>
          <t>OH0022213734</t>
        </is>
      </c>
      <c r="B1717" t="n">
        <v>78</v>
      </c>
      <c r="C1717" t="n">
        <v>392945</v>
      </c>
      <c r="D1717" t="inlineStr">
        <is>
          <t>SMITH</t>
        </is>
      </c>
      <c r="E1717" t="inlineStr">
        <is>
          <t>CHARLOTTE</t>
        </is>
      </c>
      <c r="F1717">
        <f>CONCATENATE(D1717," ",LEFT(H1717,4),"T=",AU1717,"D=",AV1717,"R=",AW1717,"M=",AX1717,"L=",AY1717,"B=",AZ1717)</f>
        <v/>
      </c>
      <c r="I1717" t="inlineStr">
        <is>
          <t>1960-12-09</t>
        </is>
      </c>
      <c r="J1717" t="inlineStr">
        <is>
          <t>2017-10-25</t>
        </is>
      </c>
      <c r="K1717" t="inlineStr">
        <is>
          <t>CONFIRMATION</t>
        </is>
      </c>
      <c r="M1717" t="inlineStr">
        <is>
          <t>277 LAIRD AVE NE</t>
        </is>
      </c>
      <c r="N1717">
        <f>RIGHT(M1717,LEN(M1717)-FIND(" ",M1717))</f>
        <v/>
      </c>
      <c r="P1717" t="inlineStr">
        <is>
          <t>WARREN</t>
        </is>
      </c>
      <c r="Q1717" t="inlineStr">
        <is>
          <t>OH</t>
        </is>
      </c>
      <c r="R1717" t="n">
        <v>44483</v>
      </c>
      <c r="AD1717" t="inlineStr">
        <is>
          <t>TRUMBULL CAREER &amp; TECH CENTER</t>
        </is>
      </c>
      <c r="AE1717" t="inlineStr">
        <is>
          <t>WARREN CITY</t>
        </is>
      </c>
      <c r="AF1717" t="inlineStr">
        <is>
          <t>WARREN CITY SD</t>
        </is>
      </c>
      <c r="AH1717" t="n">
        <v>14</v>
      </c>
      <c r="AI1717" t="n">
        <v>11</v>
      </c>
      <c r="AN1717" t="inlineStr">
        <is>
          <t>WARREN</t>
        </is>
      </c>
      <c r="AO1717" t="inlineStr">
        <is>
          <t>WARREN CITY 4D</t>
        </is>
      </c>
      <c r="AP1717" t="inlineStr">
        <is>
          <t>78-P-ADL</t>
        </is>
      </c>
      <c r="AQ1717" t="n">
        <v>9</v>
      </c>
      <c r="AR1717" t="n">
        <v>64</v>
      </c>
      <c r="AS1717" t="n">
        <v>32</v>
      </c>
      <c r="AU1717">
        <f>COUNTA($BA$1717:$EH$1717)</f>
        <v/>
      </c>
      <c r="AV1717">
        <f>COUNTIF($BA$1717:$EH$1717,"D")</f>
        <v/>
      </c>
      <c r="AW1717">
        <f>COUNTIF($BA$1717:$EH$1717,"R")</f>
        <v/>
      </c>
      <c r="AX1717">
        <f>IF(BN1717="D",1,0)+IF(BO1717="D",1,0)+IF(BT1717="D",1,0)+IF(BU1717="D",1,0)+IF(BW1717="D",1,0)+IF(CC1717="D",1,0)+IF(CD1717="D",1,0)+IF(CE1717="D",1,0)+IF(CF1717="D",1,0)+IF(CL1717="D",1,0)+IF(CM1717="D",1,0)+IF(CQ1717="D",1,0)+IF(CR1717="D",1,0)+IF(CS1717="D",1,0)+IF(CW1717="D",1,0)+IF(CX1717="D",1,0)+IF(DD1717="D",1,0)+IF(DE1717="D",1,0)+IF(DJ1717="D",1,0)+IF(DK1717="D",1,0)+IF(DO1717="D",1,0)+IF(DP1717="D",1,0)+IF(DQ1717="D",1,0)+IF(DW1717="D",1,0)+IF(DZ1717="D",1,0)+IF(EH1717="D",1,0)</f>
        <v/>
      </c>
      <c r="AY1717">
        <f>IF(DJ1717&lt;&gt;"",1,0)+IF(DK1717&lt;&gt;"",1,0)+IF(DM1717&lt;&gt;"",1,0)+IF(DO1717&lt;&gt;"",1,0)+IF(DP1717&lt;&gt;"",1,0)+IF(DQ1717&lt;&gt;"",1,0)+IF(DS1717&lt;&gt;"",1,0)+IF(DT1717&lt;&gt;"",1,0)+IF(DV1717&lt;&gt;"",1,0)+IF(DW1717&lt;&gt;"",1,0)+IF(DX1717&lt;&gt;"",1,0)+IF(DY1717&lt;&gt;"",1,0)+IF(DZ1717&lt;&gt;"",1,0)+IF(EB1717&lt;&gt;"",1,0)+IF(EC1717&lt;&gt;"",1,0)+IF(ED1717&lt;&gt;"",1,0)+IF(EG1717&lt;&gt;"",1,0)+IF(EH1717&lt;&gt;"",1,0)</f>
        <v/>
      </c>
      <c r="AZ1717">
        <f>IF(EH1717&lt;&gt;"",1,0)</f>
        <v/>
      </c>
      <c r="BB1717" t="inlineStr">
        <is>
          <t>WARREN-WARD 4</t>
        </is>
      </c>
      <c r="CP1717" t="inlineStr">
        <is>
          <t>X</t>
        </is>
      </c>
    </row>
    <row r="1718">
      <c r="A1718" t="inlineStr">
        <is>
          <t>OH0025439357</t>
        </is>
      </c>
      <c r="B1718" t="n">
        <v>78</v>
      </c>
      <c r="C1718" t="n">
        <v>444819</v>
      </c>
      <c r="D1718" t="inlineStr">
        <is>
          <t>WEST</t>
        </is>
      </c>
      <c r="E1718" t="inlineStr">
        <is>
          <t>TRAYQUAN</t>
        </is>
      </c>
      <c r="F1718">
        <f>CONCATENATE(D1718," ",LEFT(H1718,4),"T=",AU1718,"D=",AV1718,"R=",AW1718,"M=",AX1718,"L=",AY1718,"B=",AZ1718)</f>
        <v/>
      </c>
      <c r="G1718" t="inlineStr">
        <is>
          <t>LAMAR</t>
        </is>
      </c>
      <c r="I1718" t="inlineStr">
        <is>
          <t>2002-03-04</t>
        </is>
      </c>
      <c r="J1718" t="inlineStr">
        <is>
          <t>2020-02-14</t>
        </is>
      </c>
      <c r="K1718" t="inlineStr">
        <is>
          <t>CONFIRMATION</t>
        </is>
      </c>
      <c r="M1718" t="inlineStr">
        <is>
          <t>328 SCOTT ST NE</t>
        </is>
      </c>
      <c r="N1718">
        <f>RIGHT(M1718,LEN(M1718)-FIND(" ",M1718))</f>
        <v/>
      </c>
      <c r="P1718" t="inlineStr">
        <is>
          <t>WARREN</t>
        </is>
      </c>
      <c r="Q1718" t="inlineStr">
        <is>
          <t>OH</t>
        </is>
      </c>
      <c r="R1718" t="n">
        <v>44483</v>
      </c>
      <c r="AD1718" t="inlineStr">
        <is>
          <t>TRUMBULL CAREER &amp; TECH CENTER</t>
        </is>
      </c>
      <c r="AE1718" t="inlineStr">
        <is>
          <t>WARREN CITY</t>
        </is>
      </c>
      <c r="AF1718" t="inlineStr">
        <is>
          <t>WARREN CITY SD</t>
        </is>
      </c>
      <c r="AH1718" t="n">
        <v>14</v>
      </c>
      <c r="AI1718" t="n">
        <v>11</v>
      </c>
      <c r="AN1718" t="inlineStr">
        <is>
          <t>WARREN</t>
        </is>
      </c>
      <c r="AO1718" t="inlineStr">
        <is>
          <t>WARREN CITY 4D</t>
        </is>
      </c>
      <c r="AP1718" t="inlineStr">
        <is>
          <t>78-P-ADL</t>
        </is>
      </c>
      <c r="AQ1718" t="n">
        <v>9</v>
      </c>
      <c r="AR1718" t="n">
        <v>64</v>
      </c>
      <c r="AS1718" t="n">
        <v>32</v>
      </c>
      <c r="AU1718">
        <f>COUNTA($BA$1718:$EH$1718)</f>
        <v/>
      </c>
      <c r="AV1718">
        <f>COUNTIF($BA$1718:$EH$1718,"D")</f>
        <v/>
      </c>
      <c r="AW1718">
        <f>COUNTIF($BA$1718:$EH$1718,"R")</f>
        <v/>
      </c>
      <c r="AX1718">
        <f>IF(BN1718="D",1,0)+IF(BO1718="D",1,0)+IF(BT1718="D",1,0)+IF(BU1718="D",1,0)+IF(BW1718="D",1,0)+IF(CC1718="D",1,0)+IF(CD1718="D",1,0)+IF(CE1718="D",1,0)+IF(CF1718="D",1,0)+IF(CL1718="D",1,0)+IF(CM1718="D",1,0)+IF(CQ1718="D",1,0)+IF(CR1718="D",1,0)+IF(CS1718="D",1,0)+IF(CW1718="D",1,0)+IF(CX1718="D",1,0)+IF(DD1718="D",1,0)+IF(DE1718="D",1,0)+IF(DJ1718="D",1,0)+IF(DK1718="D",1,0)+IF(DO1718="D",1,0)+IF(DP1718="D",1,0)+IF(DQ1718="D",1,0)+IF(DW1718="D",1,0)+IF(DZ1718="D",1,0)+IF(EH1718="D",1,0)</f>
        <v/>
      </c>
      <c r="AY1718">
        <f>IF(DJ1718&lt;&gt;"",1,0)+IF(DK1718&lt;&gt;"",1,0)+IF(DM1718&lt;&gt;"",1,0)+IF(DO1718&lt;&gt;"",1,0)+IF(DP1718&lt;&gt;"",1,0)+IF(DQ1718&lt;&gt;"",1,0)+IF(DS1718&lt;&gt;"",1,0)+IF(DT1718&lt;&gt;"",1,0)+IF(DV1718&lt;&gt;"",1,0)+IF(DW1718&lt;&gt;"",1,0)+IF(DX1718&lt;&gt;"",1,0)+IF(DY1718&lt;&gt;"",1,0)+IF(DZ1718&lt;&gt;"",1,0)+IF(EB1718&lt;&gt;"",1,0)+IF(EC1718&lt;&gt;"",1,0)+IF(ED1718&lt;&gt;"",1,0)+IF(EG1718&lt;&gt;"",1,0)+IF(EH1718&lt;&gt;"",1,0)</f>
        <v/>
      </c>
      <c r="AZ1718">
        <f>IF(EH1718&lt;&gt;"",1,0)</f>
        <v/>
      </c>
      <c r="BB1718" t="inlineStr">
        <is>
          <t>WARREN-WARD 4</t>
        </is>
      </c>
    </row>
    <row r="1719">
      <c r="A1719" t="inlineStr">
        <is>
          <t>OH0021648313</t>
        </is>
      </c>
      <c r="B1719" t="n">
        <v>78</v>
      </c>
      <c r="C1719" t="n">
        <v>383941</v>
      </c>
      <c r="D1719" t="inlineStr">
        <is>
          <t>THOMPSON</t>
        </is>
      </c>
      <c r="E1719" t="inlineStr">
        <is>
          <t>LEESHA</t>
        </is>
      </c>
      <c r="F1719">
        <f>CONCATENATE(D1719," ",LEFT(H1719,4),"T=",AU1719,"D=",AV1719,"R=",AW1719,"M=",AX1719,"L=",AY1719,"B=",AZ1719)</f>
        <v/>
      </c>
      <c r="G1719" t="inlineStr">
        <is>
          <t>ELAINE</t>
        </is>
      </c>
      <c r="I1719" t="inlineStr">
        <is>
          <t>1991-12-24</t>
        </is>
      </c>
      <c r="J1719" t="inlineStr">
        <is>
          <t>2019-05-11</t>
        </is>
      </c>
      <c r="K1719" t="inlineStr">
        <is>
          <t>ACTIVE</t>
        </is>
      </c>
      <c r="M1719" t="inlineStr">
        <is>
          <t>124 N PARK AVE</t>
        </is>
      </c>
      <c r="N1719">
        <f>RIGHT(M1719,LEN(M1719)-FIND(" ",M1719))</f>
        <v/>
      </c>
      <c r="O1719" t="inlineStr">
        <is>
          <t>STE 302</t>
        </is>
      </c>
      <c r="P1719" t="inlineStr">
        <is>
          <t>WARREN</t>
        </is>
      </c>
      <c r="Q1719" t="inlineStr">
        <is>
          <t>OH</t>
        </is>
      </c>
      <c r="R1719" t="n">
        <v>44481</v>
      </c>
      <c r="AD1719" t="inlineStr">
        <is>
          <t>TRUMBULL CAREER &amp; TECH CENTER</t>
        </is>
      </c>
      <c r="AE1719" t="inlineStr">
        <is>
          <t>WARREN CITY</t>
        </is>
      </c>
      <c r="AF1719" t="inlineStr">
        <is>
          <t>WARREN CITY SD</t>
        </is>
      </c>
      <c r="AH1719" t="n">
        <v>14</v>
      </c>
      <c r="AI1719" t="n">
        <v>11</v>
      </c>
      <c r="AN1719" t="inlineStr">
        <is>
          <t>WARREN</t>
        </is>
      </c>
      <c r="AO1719" t="inlineStr">
        <is>
          <t>WARREN CITY 4D</t>
        </is>
      </c>
      <c r="AP1719" t="inlineStr">
        <is>
          <t>78-P-ADL</t>
        </is>
      </c>
      <c r="AQ1719" t="n">
        <v>9</v>
      </c>
      <c r="AR1719" t="n">
        <v>64</v>
      </c>
      <c r="AS1719" t="n">
        <v>32</v>
      </c>
      <c r="AU1719">
        <f>COUNTA($BA$1719:$EH$1719)</f>
        <v/>
      </c>
      <c r="AV1719">
        <f>COUNTIF($BA$1719:$EH$1719,"D")</f>
        <v/>
      </c>
      <c r="AW1719">
        <f>COUNTIF($BA$1719:$EH$1719,"R")</f>
        <v/>
      </c>
      <c r="AX1719">
        <f>IF(BN1719="D",1,0)+IF(BO1719="D",1,0)+IF(BT1719="D",1,0)+IF(BU1719="D",1,0)+IF(BW1719="D",1,0)+IF(CC1719="D",1,0)+IF(CD1719="D",1,0)+IF(CE1719="D",1,0)+IF(CF1719="D",1,0)+IF(CL1719="D",1,0)+IF(CM1719="D",1,0)+IF(CQ1719="D",1,0)+IF(CR1719="D",1,0)+IF(CS1719="D",1,0)+IF(CW1719="D",1,0)+IF(CX1719="D",1,0)+IF(DD1719="D",1,0)+IF(DE1719="D",1,0)+IF(DJ1719="D",1,0)+IF(DK1719="D",1,0)+IF(DO1719="D",1,0)+IF(DP1719="D",1,0)+IF(DQ1719="D",1,0)+IF(DW1719="D",1,0)+IF(DZ1719="D",1,0)+IF(EH1719="D",1,0)</f>
        <v/>
      </c>
      <c r="AY1719">
        <f>IF(DJ1719&lt;&gt;"",1,0)+IF(DK1719&lt;&gt;"",1,0)+IF(DM1719&lt;&gt;"",1,0)+IF(DO1719&lt;&gt;"",1,0)+IF(DP1719&lt;&gt;"",1,0)+IF(DQ1719&lt;&gt;"",1,0)+IF(DS1719&lt;&gt;"",1,0)+IF(DT1719&lt;&gt;"",1,0)+IF(DV1719&lt;&gt;"",1,0)+IF(DW1719&lt;&gt;"",1,0)+IF(DX1719&lt;&gt;"",1,0)+IF(DY1719&lt;&gt;"",1,0)+IF(DZ1719&lt;&gt;"",1,0)+IF(EB1719&lt;&gt;"",1,0)+IF(EC1719&lt;&gt;"",1,0)+IF(ED1719&lt;&gt;"",1,0)+IF(EG1719&lt;&gt;"",1,0)+IF(EH1719&lt;&gt;"",1,0)</f>
        <v/>
      </c>
      <c r="AZ1719">
        <f>IF(EH1719&lt;&gt;"",1,0)</f>
        <v/>
      </c>
      <c r="BB1719" t="inlineStr">
        <is>
          <t>WARREN-WARD 4</t>
        </is>
      </c>
      <c r="CP1719" t="inlineStr">
        <is>
          <t>X</t>
        </is>
      </c>
      <c r="DC1719" t="inlineStr">
        <is>
          <t>X</t>
        </is>
      </c>
      <c r="DI1719" t="inlineStr">
        <is>
          <t>X</t>
        </is>
      </c>
      <c r="DN1719" t="inlineStr">
        <is>
          <t>X</t>
        </is>
      </c>
      <c r="EA1719" t="inlineStr">
        <is>
          <t>X</t>
        </is>
      </c>
    </row>
    <row r="1720">
      <c r="A1720" t="inlineStr">
        <is>
          <t>OH0015756695</t>
        </is>
      </c>
      <c r="B1720" t="n">
        <v>78</v>
      </c>
      <c r="C1720" t="n">
        <v>270524</v>
      </c>
      <c r="D1720" t="inlineStr">
        <is>
          <t>GILBERT</t>
        </is>
      </c>
      <c r="E1720" t="inlineStr">
        <is>
          <t>SUE</t>
        </is>
      </c>
      <c r="F1720">
        <f>CONCATENATE(D1720," ",LEFT(H1720,4),"T=",AU1720,"D=",AV1720,"R=",AW1720,"M=",AX1720,"L=",AY1720,"B=",AZ1720)</f>
        <v/>
      </c>
      <c r="G1720" t="inlineStr">
        <is>
          <t>L</t>
        </is>
      </c>
      <c r="I1720" t="inlineStr">
        <is>
          <t>1974-07-10</t>
        </is>
      </c>
      <c r="J1720" t="inlineStr">
        <is>
          <t>2015-12-21</t>
        </is>
      </c>
      <c r="K1720" t="inlineStr">
        <is>
          <t>CONFIRMATION</t>
        </is>
      </c>
      <c r="M1720" t="inlineStr">
        <is>
          <t>307 CHESTNUT AVE NE</t>
        </is>
      </c>
      <c r="N1720">
        <f>RIGHT(M1720,LEN(M1720)-FIND(" ",M1720))</f>
        <v/>
      </c>
      <c r="P1720" t="inlineStr">
        <is>
          <t>WARREN</t>
        </is>
      </c>
      <c r="Q1720" t="inlineStr">
        <is>
          <t>OH</t>
        </is>
      </c>
      <c r="R1720" t="n">
        <v>44483</v>
      </c>
      <c r="AD1720" t="inlineStr">
        <is>
          <t>TRUMBULL CAREER &amp; TECH CENTER</t>
        </is>
      </c>
      <c r="AE1720" t="inlineStr">
        <is>
          <t>WARREN CITY</t>
        </is>
      </c>
      <c r="AF1720" t="inlineStr">
        <is>
          <t>WARREN CITY SD</t>
        </is>
      </c>
      <c r="AH1720" t="n">
        <v>14</v>
      </c>
      <c r="AI1720" t="n">
        <v>11</v>
      </c>
      <c r="AN1720" t="inlineStr">
        <is>
          <t>WARREN</t>
        </is>
      </c>
      <c r="AO1720" t="inlineStr">
        <is>
          <t>WARREN CITY 4D</t>
        </is>
      </c>
      <c r="AP1720" t="inlineStr">
        <is>
          <t>78-P-ADL</t>
        </is>
      </c>
      <c r="AQ1720" t="n">
        <v>9</v>
      </c>
      <c r="AR1720" t="n">
        <v>64</v>
      </c>
      <c r="AS1720" t="n">
        <v>32</v>
      </c>
      <c r="AU1720">
        <f>COUNTA($BA$1720:$EH$1720)</f>
        <v/>
      </c>
      <c r="AV1720">
        <f>COUNTIF($BA$1720:$EH$1720,"D")</f>
        <v/>
      </c>
      <c r="AW1720">
        <f>COUNTIF($BA$1720:$EH$1720,"R")</f>
        <v/>
      </c>
      <c r="AX1720">
        <f>IF(BN1720="D",1,0)+IF(BO1720="D",1,0)+IF(BT1720="D",1,0)+IF(BU1720="D",1,0)+IF(BW1720="D",1,0)+IF(CC1720="D",1,0)+IF(CD1720="D",1,0)+IF(CE1720="D",1,0)+IF(CF1720="D",1,0)+IF(CL1720="D",1,0)+IF(CM1720="D",1,0)+IF(CQ1720="D",1,0)+IF(CR1720="D",1,0)+IF(CS1720="D",1,0)+IF(CW1720="D",1,0)+IF(CX1720="D",1,0)+IF(DD1720="D",1,0)+IF(DE1720="D",1,0)+IF(DJ1720="D",1,0)+IF(DK1720="D",1,0)+IF(DO1720="D",1,0)+IF(DP1720="D",1,0)+IF(DQ1720="D",1,0)+IF(DW1720="D",1,0)+IF(DZ1720="D",1,0)+IF(EH1720="D",1,0)</f>
        <v/>
      </c>
      <c r="AY1720">
        <f>IF(DJ1720&lt;&gt;"",1,0)+IF(DK1720&lt;&gt;"",1,0)+IF(DM1720&lt;&gt;"",1,0)+IF(DO1720&lt;&gt;"",1,0)+IF(DP1720&lt;&gt;"",1,0)+IF(DQ1720&lt;&gt;"",1,0)+IF(DS1720&lt;&gt;"",1,0)+IF(DT1720&lt;&gt;"",1,0)+IF(DV1720&lt;&gt;"",1,0)+IF(DW1720&lt;&gt;"",1,0)+IF(DX1720&lt;&gt;"",1,0)+IF(DY1720&lt;&gt;"",1,0)+IF(DZ1720&lt;&gt;"",1,0)+IF(EB1720&lt;&gt;"",1,0)+IF(EC1720&lt;&gt;"",1,0)+IF(ED1720&lt;&gt;"",1,0)+IF(EG1720&lt;&gt;"",1,0)+IF(EH1720&lt;&gt;"",1,0)</f>
        <v/>
      </c>
      <c r="AZ1720">
        <f>IF(EH1720&lt;&gt;"",1,0)</f>
        <v/>
      </c>
      <c r="BB1720" t="inlineStr">
        <is>
          <t>WARREN-WARD 4</t>
        </is>
      </c>
      <c r="BC1720" t="inlineStr">
        <is>
          <t>X</t>
        </is>
      </c>
      <c r="BL1720" t="inlineStr">
        <is>
          <t>X</t>
        </is>
      </c>
      <c r="BP1720" t="inlineStr">
        <is>
          <t>X</t>
        </is>
      </c>
      <c r="BS1720" t="inlineStr">
        <is>
          <t>X</t>
        </is>
      </c>
      <c r="BY1720" t="inlineStr">
        <is>
          <t>D</t>
        </is>
      </c>
      <c r="CA1720" t="inlineStr">
        <is>
          <t>X</t>
        </is>
      </c>
    </row>
    <row r="1721">
      <c r="A1721" t="inlineStr">
        <is>
          <t>OH0027246972</t>
        </is>
      </c>
      <c r="B1721" t="n">
        <v>78</v>
      </c>
      <c r="C1721" t="n">
        <v>483389</v>
      </c>
      <c r="D1721" t="inlineStr">
        <is>
          <t>HOLBROOK</t>
        </is>
      </c>
      <c r="E1721" t="inlineStr">
        <is>
          <t>XAVIER</t>
        </is>
      </c>
      <c r="F1721">
        <f>CONCATENATE(D1721," ",LEFT(H1721,4),"T=",AU1721,"D=",AV1721,"R=",AW1721,"M=",AX1721,"L=",AY1721,"B=",AZ1721)</f>
        <v/>
      </c>
      <c r="G1721" t="inlineStr">
        <is>
          <t>A</t>
        </is>
      </c>
      <c r="I1721" t="inlineStr">
        <is>
          <t>2005-10-21</t>
        </is>
      </c>
      <c r="J1721" t="inlineStr">
        <is>
          <t>2024-02-05</t>
        </is>
      </c>
      <c r="K1721" t="inlineStr">
        <is>
          <t>ACTIVE</t>
        </is>
      </c>
      <c r="M1721" t="inlineStr">
        <is>
          <t>1202 WOODLAND AVE NE</t>
        </is>
      </c>
      <c r="N1721">
        <f>RIGHT(M1721,LEN(M1721)-FIND(" ",M1721))</f>
        <v/>
      </c>
      <c r="P1721" t="inlineStr">
        <is>
          <t>WARREN</t>
        </is>
      </c>
      <c r="Q1721" t="inlineStr">
        <is>
          <t>OH</t>
        </is>
      </c>
      <c r="R1721" t="n">
        <v>44483</v>
      </c>
      <c r="AD1721" t="inlineStr">
        <is>
          <t>TRUMBULL CAREER &amp; TECH CENTER</t>
        </is>
      </c>
      <c r="AE1721" t="inlineStr">
        <is>
          <t>WARREN CITY</t>
        </is>
      </c>
      <c r="AF1721" t="inlineStr">
        <is>
          <t>WARREN CITY SD</t>
        </is>
      </c>
      <c r="AH1721" t="n">
        <v>14</v>
      </c>
      <c r="AI1721" t="n">
        <v>11</v>
      </c>
      <c r="AN1721" t="inlineStr">
        <is>
          <t>WARREN</t>
        </is>
      </c>
      <c r="AO1721" t="inlineStr">
        <is>
          <t>WARREN CITY 4D</t>
        </is>
      </c>
      <c r="AP1721" t="inlineStr">
        <is>
          <t>78-P-ADL</t>
        </is>
      </c>
      <c r="AQ1721" t="n">
        <v>9</v>
      </c>
      <c r="AR1721" t="n">
        <v>64</v>
      </c>
      <c r="AS1721" t="n">
        <v>32</v>
      </c>
      <c r="AU1721">
        <f>COUNTA($BA$1721:$EH$1721)</f>
        <v/>
      </c>
      <c r="AV1721">
        <f>COUNTIF($BA$1721:$EH$1721,"D")</f>
        <v/>
      </c>
      <c r="AW1721">
        <f>COUNTIF($BA$1721:$EH$1721,"R")</f>
        <v/>
      </c>
      <c r="AX1721">
        <f>IF(BN1721="D",1,0)+IF(BO1721="D",1,0)+IF(BT1721="D",1,0)+IF(BU1721="D",1,0)+IF(BW1721="D",1,0)+IF(CC1721="D",1,0)+IF(CD1721="D",1,0)+IF(CE1721="D",1,0)+IF(CF1721="D",1,0)+IF(CL1721="D",1,0)+IF(CM1721="D",1,0)+IF(CQ1721="D",1,0)+IF(CR1721="D",1,0)+IF(CS1721="D",1,0)+IF(CW1721="D",1,0)+IF(CX1721="D",1,0)+IF(DD1721="D",1,0)+IF(DE1721="D",1,0)+IF(DJ1721="D",1,0)+IF(DK1721="D",1,0)+IF(DO1721="D",1,0)+IF(DP1721="D",1,0)+IF(DQ1721="D",1,0)+IF(DW1721="D",1,0)+IF(DZ1721="D",1,0)+IF(EH1721="D",1,0)</f>
        <v/>
      </c>
      <c r="AY1721">
        <f>IF(DJ1721&lt;&gt;"",1,0)+IF(DK1721&lt;&gt;"",1,0)+IF(DM1721&lt;&gt;"",1,0)+IF(DO1721&lt;&gt;"",1,0)+IF(DP1721&lt;&gt;"",1,0)+IF(DQ1721&lt;&gt;"",1,0)+IF(DS1721&lt;&gt;"",1,0)+IF(DT1721&lt;&gt;"",1,0)+IF(DV1721&lt;&gt;"",1,0)+IF(DW1721&lt;&gt;"",1,0)+IF(DX1721&lt;&gt;"",1,0)+IF(DY1721&lt;&gt;"",1,0)+IF(DZ1721&lt;&gt;"",1,0)+IF(EB1721&lt;&gt;"",1,0)+IF(EC1721&lt;&gt;"",1,0)+IF(ED1721&lt;&gt;"",1,0)+IF(EG1721&lt;&gt;"",1,0)+IF(EH1721&lt;&gt;"",1,0)</f>
        <v/>
      </c>
      <c r="AZ1721">
        <f>IF(EH1721&lt;&gt;"",1,0)</f>
        <v/>
      </c>
      <c r="BB1721" t="inlineStr">
        <is>
          <t>WARREN-WARD 4</t>
        </is>
      </c>
      <c r="EF1721" t="inlineStr">
        <is>
          <t>X</t>
        </is>
      </c>
    </row>
    <row r="1722">
      <c r="A1722" t="inlineStr">
        <is>
          <t>OH0019537827</t>
        </is>
      </c>
      <c r="B1722" t="n">
        <v>78</v>
      </c>
      <c r="C1722" t="n">
        <v>355993</v>
      </c>
      <c r="D1722" t="inlineStr">
        <is>
          <t>WHEELER</t>
        </is>
      </c>
      <c r="E1722" t="inlineStr">
        <is>
          <t>JESSE</t>
        </is>
      </c>
      <c r="F1722">
        <f>CONCATENATE(D1722," ",LEFT(H1722,4),"T=",AU1722,"D=",AV1722,"R=",AW1722,"M=",AX1722,"L=",AY1722,"B=",AZ1722)</f>
        <v/>
      </c>
      <c r="G1722" t="inlineStr">
        <is>
          <t>ROBERT</t>
        </is>
      </c>
      <c r="I1722" t="inlineStr">
        <is>
          <t>1990-01-20</t>
        </is>
      </c>
      <c r="J1722" t="inlineStr">
        <is>
          <t>2024-07-23</t>
        </is>
      </c>
      <c r="K1722" t="inlineStr">
        <is>
          <t>ACTIVE</t>
        </is>
      </c>
      <c r="M1722" t="inlineStr">
        <is>
          <t>141 W MARKET ST</t>
        </is>
      </c>
      <c r="N1722">
        <f>RIGHT(M1722,LEN(M1722)-FIND(" ",M1722))</f>
        <v/>
      </c>
      <c r="O1722" t="inlineStr">
        <is>
          <t>UNIT B</t>
        </is>
      </c>
      <c r="P1722" t="inlineStr">
        <is>
          <t>WARREN</t>
        </is>
      </c>
      <c r="Q1722" t="inlineStr">
        <is>
          <t>OH</t>
        </is>
      </c>
      <c r="R1722" t="n">
        <v>44481</v>
      </c>
      <c r="AD1722" t="inlineStr">
        <is>
          <t>TRUMBULL CAREER &amp; TECH CENTER</t>
        </is>
      </c>
      <c r="AE1722" t="inlineStr">
        <is>
          <t>WARREN CITY</t>
        </is>
      </c>
      <c r="AF1722" t="inlineStr">
        <is>
          <t>WARREN CITY SD</t>
        </is>
      </c>
      <c r="AH1722" t="n">
        <v>14</v>
      </c>
      <c r="AI1722" t="n">
        <v>11</v>
      </c>
      <c r="AN1722" t="inlineStr">
        <is>
          <t>WARREN</t>
        </is>
      </c>
      <c r="AO1722" t="inlineStr">
        <is>
          <t>WARREN CITY 4D</t>
        </is>
      </c>
      <c r="AP1722" t="inlineStr">
        <is>
          <t>78-P-ADL</t>
        </is>
      </c>
      <c r="AQ1722" t="n">
        <v>9</v>
      </c>
      <c r="AR1722" t="n">
        <v>64</v>
      </c>
      <c r="AS1722" t="n">
        <v>32</v>
      </c>
      <c r="AU1722">
        <f>COUNTA($BA$1722:$EH$1722)</f>
        <v/>
      </c>
      <c r="AV1722">
        <f>COUNTIF($BA$1722:$EH$1722,"D")</f>
        <v/>
      </c>
      <c r="AW1722">
        <f>COUNTIF($BA$1722:$EH$1722,"R")</f>
        <v/>
      </c>
      <c r="AX1722">
        <f>IF(BN1722="D",1,0)+IF(BO1722="D",1,0)+IF(BT1722="D",1,0)+IF(BU1722="D",1,0)+IF(BW1722="D",1,0)+IF(CC1722="D",1,0)+IF(CD1722="D",1,0)+IF(CE1722="D",1,0)+IF(CF1722="D",1,0)+IF(CL1722="D",1,0)+IF(CM1722="D",1,0)+IF(CQ1722="D",1,0)+IF(CR1722="D",1,0)+IF(CS1722="D",1,0)+IF(CW1722="D",1,0)+IF(CX1722="D",1,0)+IF(DD1722="D",1,0)+IF(DE1722="D",1,0)+IF(DJ1722="D",1,0)+IF(DK1722="D",1,0)+IF(DO1722="D",1,0)+IF(DP1722="D",1,0)+IF(DQ1722="D",1,0)+IF(DW1722="D",1,0)+IF(DZ1722="D",1,0)+IF(EH1722="D",1,0)</f>
        <v/>
      </c>
      <c r="AY1722">
        <f>IF(DJ1722&lt;&gt;"",1,0)+IF(DK1722&lt;&gt;"",1,0)+IF(DM1722&lt;&gt;"",1,0)+IF(DO1722&lt;&gt;"",1,0)+IF(DP1722&lt;&gt;"",1,0)+IF(DQ1722&lt;&gt;"",1,0)+IF(DS1722&lt;&gt;"",1,0)+IF(DT1722&lt;&gt;"",1,0)+IF(DV1722&lt;&gt;"",1,0)+IF(DW1722&lt;&gt;"",1,0)+IF(DX1722&lt;&gt;"",1,0)+IF(DY1722&lt;&gt;"",1,0)+IF(DZ1722&lt;&gt;"",1,0)+IF(EB1722&lt;&gt;"",1,0)+IF(EC1722&lt;&gt;"",1,0)+IF(ED1722&lt;&gt;"",1,0)+IF(EG1722&lt;&gt;"",1,0)+IF(EH1722&lt;&gt;"",1,0)</f>
        <v/>
      </c>
      <c r="AZ1722">
        <f>IF(EH1722&lt;&gt;"",1,0)</f>
        <v/>
      </c>
      <c r="BB1722" t="inlineStr">
        <is>
          <t>WARREN-WARD 4</t>
        </is>
      </c>
      <c r="CA1722" t="inlineStr">
        <is>
          <t>X</t>
        </is>
      </c>
      <c r="EF1722" t="inlineStr">
        <is>
          <t>X</t>
        </is>
      </c>
    </row>
    <row r="1723">
      <c r="A1723" t="inlineStr">
        <is>
          <t>OH0024446726</t>
        </is>
      </c>
      <c r="B1723" t="n">
        <v>78</v>
      </c>
      <c r="C1723" t="n">
        <v>428578</v>
      </c>
      <c r="D1723" t="inlineStr">
        <is>
          <t>MAHAN</t>
        </is>
      </c>
      <c r="E1723" t="inlineStr">
        <is>
          <t>ALEXANDER</t>
        </is>
      </c>
      <c r="F1723">
        <f>CONCATENATE(D1723," ",LEFT(H1723,4),"T=",AU1723,"D=",AV1723,"R=",AW1723,"M=",AX1723,"L=",AY1723,"B=",AZ1723)</f>
        <v/>
      </c>
      <c r="G1723" t="inlineStr">
        <is>
          <t>JAMES</t>
        </is>
      </c>
      <c r="I1723" t="inlineStr">
        <is>
          <t>1995-07-04</t>
        </is>
      </c>
      <c r="J1723" t="inlineStr">
        <is>
          <t>2017-10-31</t>
        </is>
      </c>
      <c r="K1723" t="inlineStr">
        <is>
          <t>ACTIVE</t>
        </is>
      </c>
      <c r="M1723" t="inlineStr">
        <is>
          <t>468 HIGH ST NE</t>
        </is>
      </c>
      <c r="N1723">
        <f>RIGHT(M1723,LEN(M1723)-FIND(" ",M1723))</f>
        <v/>
      </c>
      <c r="P1723" t="inlineStr">
        <is>
          <t>WARREN</t>
        </is>
      </c>
      <c r="Q1723" t="inlineStr">
        <is>
          <t>OH</t>
        </is>
      </c>
      <c r="R1723" t="n">
        <v>44481</v>
      </c>
      <c r="AD1723" t="inlineStr">
        <is>
          <t>TRUMBULL CAREER &amp; TECH CENTER</t>
        </is>
      </c>
      <c r="AE1723" t="inlineStr">
        <is>
          <t>WARREN CITY</t>
        </is>
      </c>
      <c r="AF1723" t="inlineStr">
        <is>
          <t>WARREN CITY SD</t>
        </is>
      </c>
      <c r="AH1723" t="n">
        <v>14</v>
      </c>
      <c r="AI1723" t="n">
        <v>11</v>
      </c>
      <c r="AN1723" t="inlineStr">
        <is>
          <t>WARREN</t>
        </is>
      </c>
      <c r="AO1723" t="inlineStr">
        <is>
          <t>WARREN CITY 4D</t>
        </is>
      </c>
      <c r="AP1723" t="inlineStr">
        <is>
          <t>78-P-ADL</t>
        </is>
      </c>
      <c r="AQ1723" t="n">
        <v>9</v>
      </c>
      <c r="AR1723" t="n">
        <v>64</v>
      </c>
      <c r="AS1723" t="n">
        <v>32</v>
      </c>
      <c r="AU1723">
        <f>COUNTA($BA$1723:$EH$1723)</f>
        <v/>
      </c>
      <c r="AV1723">
        <f>COUNTIF($BA$1723:$EH$1723,"D")</f>
        <v/>
      </c>
      <c r="AW1723">
        <f>COUNTIF($BA$1723:$EH$1723,"R")</f>
        <v/>
      </c>
      <c r="AX1723">
        <f>IF(BN1723="D",1,0)+IF(BO1723="D",1,0)+IF(BT1723="D",1,0)+IF(BU1723="D",1,0)+IF(BW1723="D",1,0)+IF(CC1723="D",1,0)+IF(CD1723="D",1,0)+IF(CE1723="D",1,0)+IF(CF1723="D",1,0)+IF(CL1723="D",1,0)+IF(CM1723="D",1,0)+IF(CQ1723="D",1,0)+IF(CR1723="D",1,0)+IF(CS1723="D",1,0)+IF(CW1723="D",1,0)+IF(CX1723="D",1,0)+IF(DD1723="D",1,0)+IF(DE1723="D",1,0)+IF(DJ1723="D",1,0)+IF(DK1723="D",1,0)+IF(DO1723="D",1,0)+IF(DP1723="D",1,0)+IF(DQ1723="D",1,0)+IF(DW1723="D",1,0)+IF(DZ1723="D",1,0)+IF(EH1723="D",1,0)</f>
        <v/>
      </c>
      <c r="AY1723">
        <f>IF(DJ1723&lt;&gt;"",1,0)+IF(DK1723&lt;&gt;"",1,0)+IF(DM1723&lt;&gt;"",1,0)+IF(DO1723&lt;&gt;"",1,0)+IF(DP1723&lt;&gt;"",1,0)+IF(DQ1723&lt;&gt;"",1,0)+IF(DS1723&lt;&gt;"",1,0)+IF(DT1723&lt;&gt;"",1,0)+IF(DV1723&lt;&gt;"",1,0)+IF(DW1723&lt;&gt;"",1,0)+IF(DX1723&lt;&gt;"",1,0)+IF(DY1723&lt;&gt;"",1,0)+IF(DZ1723&lt;&gt;"",1,0)+IF(EB1723&lt;&gt;"",1,0)+IF(EC1723&lt;&gt;"",1,0)+IF(ED1723&lt;&gt;"",1,0)+IF(EG1723&lt;&gt;"",1,0)+IF(EH1723&lt;&gt;"",1,0)</f>
        <v/>
      </c>
      <c r="AZ1723">
        <f>IF(EH1723&lt;&gt;"",1,0)</f>
        <v/>
      </c>
      <c r="BB1723" t="inlineStr">
        <is>
          <t>WARREN-WARD 4</t>
        </is>
      </c>
      <c r="DI1723" t="inlineStr">
        <is>
          <t>X</t>
        </is>
      </c>
      <c r="DN1723" t="inlineStr">
        <is>
          <t>X</t>
        </is>
      </c>
      <c r="DU1723" t="inlineStr">
        <is>
          <t>X</t>
        </is>
      </c>
    </row>
    <row r="1724">
      <c r="A1724" t="inlineStr">
        <is>
          <t>OH0023264130</t>
        </is>
      </c>
      <c r="B1724" t="n">
        <v>78</v>
      </c>
      <c r="C1724" t="n">
        <v>409347</v>
      </c>
      <c r="D1724" t="inlineStr">
        <is>
          <t>RODGERS</t>
        </is>
      </c>
      <c r="E1724" t="inlineStr">
        <is>
          <t>DERRICK</t>
        </is>
      </c>
      <c r="F1724">
        <f>CONCATENATE(D1724," ",LEFT(H1724,4),"T=",AU1724,"D=",AV1724,"R=",AW1724,"M=",AX1724,"L=",AY1724,"B=",AZ1724)</f>
        <v/>
      </c>
      <c r="G1724" t="inlineStr">
        <is>
          <t>D</t>
        </is>
      </c>
      <c r="I1724" t="inlineStr">
        <is>
          <t>1991-09-13</t>
        </is>
      </c>
      <c r="J1724" t="inlineStr">
        <is>
          <t>2018-05-07</t>
        </is>
      </c>
      <c r="K1724" t="inlineStr">
        <is>
          <t>ACTIVE</t>
        </is>
      </c>
      <c r="M1724" t="inlineStr">
        <is>
          <t>434 OLIVE AVE NE</t>
        </is>
      </c>
      <c r="N1724">
        <f>RIGHT(M1724,LEN(M1724)-FIND(" ",M1724))</f>
        <v/>
      </c>
      <c r="P1724" t="inlineStr">
        <is>
          <t>WARREN</t>
        </is>
      </c>
      <c r="Q1724" t="inlineStr">
        <is>
          <t>OH</t>
        </is>
      </c>
      <c r="R1724" t="n">
        <v>44483</v>
      </c>
      <c r="AD1724" t="inlineStr">
        <is>
          <t>TRUMBULL CAREER &amp; TECH CENTER</t>
        </is>
      </c>
      <c r="AE1724" t="inlineStr">
        <is>
          <t>WARREN CITY</t>
        </is>
      </c>
      <c r="AF1724" t="inlineStr">
        <is>
          <t>WARREN CITY SD</t>
        </is>
      </c>
      <c r="AH1724" t="n">
        <v>14</v>
      </c>
      <c r="AI1724" t="n">
        <v>11</v>
      </c>
      <c r="AN1724" t="inlineStr">
        <is>
          <t>WARREN</t>
        </is>
      </c>
      <c r="AO1724" t="inlineStr">
        <is>
          <t>WARREN CITY 4D</t>
        </is>
      </c>
      <c r="AP1724" t="inlineStr">
        <is>
          <t>78-P-ADL</t>
        </is>
      </c>
      <c r="AQ1724" t="n">
        <v>9</v>
      </c>
      <c r="AR1724" t="n">
        <v>64</v>
      </c>
      <c r="AS1724" t="n">
        <v>32</v>
      </c>
      <c r="AU1724">
        <f>COUNTA($BA$1724:$EH$1724)</f>
        <v/>
      </c>
      <c r="AV1724">
        <f>COUNTIF($BA$1724:$EH$1724,"D")</f>
        <v/>
      </c>
      <c r="AW1724">
        <f>COUNTIF($BA$1724:$EH$1724,"R")</f>
        <v/>
      </c>
      <c r="AX1724">
        <f>IF(BN1724="D",1,0)+IF(BO1724="D",1,0)+IF(BT1724="D",1,0)+IF(BU1724="D",1,0)+IF(BW1724="D",1,0)+IF(CC1724="D",1,0)+IF(CD1724="D",1,0)+IF(CE1724="D",1,0)+IF(CF1724="D",1,0)+IF(CL1724="D",1,0)+IF(CM1724="D",1,0)+IF(CQ1724="D",1,0)+IF(CR1724="D",1,0)+IF(CS1724="D",1,0)+IF(CW1724="D",1,0)+IF(CX1724="D",1,0)+IF(DD1724="D",1,0)+IF(DE1724="D",1,0)+IF(DJ1724="D",1,0)+IF(DK1724="D",1,0)+IF(DO1724="D",1,0)+IF(DP1724="D",1,0)+IF(DQ1724="D",1,0)+IF(DW1724="D",1,0)+IF(DZ1724="D",1,0)+IF(EH1724="D",1,0)</f>
        <v/>
      </c>
      <c r="AY1724">
        <f>IF(DJ1724&lt;&gt;"",1,0)+IF(DK1724&lt;&gt;"",1,0)+IF(DM1724&lt;&gt;"",1,0)+IF(DO1724&lt;&gt;"",1,0)+IF(DP1724&lt;&gt;"",1,0)+IF(DQ1724&lt;&gt;"",1,0)+IF(DS1724&lt;&gt;"",1,0)+IF(DT1724&lt;&gt;"",1,0)+IF(DV1724&lt;&gt;"",1,0)+IF(DW1724&lt;&gt;"",1,0)+IF(DX1724&lt;&gt;"",1,0)+IF(DY1724&lt;&gt;"",1,0)+IF(DZ1724&lt;&gt;"",1,0)+IF(EB1724&lt;&gt;"",1,0)+IF(EC1724&lt;&gt;"",1,0)+IF(ED1724&lt;&gt;"",1,0)+IF(EG1724&lt;&gt;"",1,0)+IF(EH1724&lt;&gt;"",1,0)</f>
        <v/>
      </c>
      <c r="AZ1724">
        <f>IF(EH1724&lt;&gt;"",1,0)</f>
        <v/>
      </c>
      <c r="BB1724" t="inlineStr">
        <is>
          <t>WARREN-WARD 4</t>
        </is>
      </c>
    </row>
    <row r="1725">
      <c r="A1725" t="inlineStr">
        <is>
          <t>OH0019772658</t>
        </is>
      </c>
      <c r="B1725" t="n">
        <v>78</v>
      </c>
      <c r="C1725" t="n">
        <v>359006</v>
      </c>
      <c r="D1725" t="inlineStr">
        <is>
          <t>REEVES</t>
        </is>
      </c>
      <c r="E1725" t="inlineStr">
        <is>
          <t>ASHLEY</t>
        </is>
      </c>
      <c r="F1725">
        <f>CONCATENATE(D1725," ",LEFT(H1725,4),"T=",AU1725,"D=",AV1725,"R=",AW1725,"M=",AX1725,"L=",AY1725,"B=",AZ1725)</f>
        <v/>
      </c>
      <c r="G1725" t="inlineStr">
        <is>
          <t>B</t>
        </is>
      </c>
      <c r="I1725" t="inlineStr">
        <is>
          <t>1990-02-19</t>
        </is>
      </c>
      <c r="J1725" t="inlineStr">
        <is>
          <t>2024-11-05</t>
        </is>
      </c>
      <c r="K1725" t="inlineStr">
        <is>
          <t>ACTIVE</t>
        </is>
      </c>
      <c r="M1725" t="inlineStr">
        <is>
          <t>631 PAIGE AVE NE</t>
        </is>
      </c>
      <c r="N1725">
        <f>RIGHT(M1725,LEN(M1725)-FIND(" ",M1725))</f>
        <v/>
      </c>
      <c r="P1725" t="inlineStr">
        <is>
          <t>WARREN</t>
        </is>
      </c>
      <c r="Q1725" t="inlineStr">
        <is>
          <t>OH</t>
        </is>
      </c>
      <c r="R1725" t="n">
        <v>44483</v>
      </c>
      <c r="AD1725" t="inlineStr">
        <is>
          <t>TRUMBULL CAREER &amp; TECH CENTER</t>
        </is>
      </c>
      <c r="AE1725" t="inlineStr">
        <is>
          <t>WARREN CITY</t>
        </is>
      </c>
      <c r="AF1725" t="inlineStr">
        <is>
          <t>WARREN CITY SD</t>
        </is>
      </c>
      <c r="AH1725" t="n">
        <v>14</v>
      </c>
      <c r="AI1725" t="n">
        <v>11</v>
      </c>
      <c r="AN1725" t="inlineStr">
        <is>
          <t>WARREN</t>
        </is>
      </c>
      <c r="AO1725" t="inlineStr">
        <is>
          <t>WARREN CITY 4D</t>
        </is>
      </c>
      <c r="AP1725" t="inlineStr">
        <is>
          <t>78-P-ADL</t>
        </is>
      </c>
      <c r="AQ1725" t="n">
        <v>9</v>
      </c>
      <c r="AR1725" t="n">
        <v>64</v>
      </c>
      <c r="AS1725" t="n">
        <v>32</v>
      </c>
      <c r="AU1725">
        <f>COUNTA($BA$1725:$EH$1725)</f>
        <v/>
      </c>
      <c r="AV1725">
        <f>COUNTIF($BA$1725:$EH$1725,"D")</f>
        <v/>
      </c>
      <c r="AW1725">
        <f>COUNTIF($BA$1725:$EH$1725,"R")</f>
        <v/>
      </c>
      <c r="AX1725">
        <f>IF(BN1725="D",1,0)+IF(BO1725="D",1,0)+IF(BT1725="D",1,0)+IF(BU1725="D",1,0)+IF(BW1725="D",1,0)+IF(CC1725="D",1,0)+IF(CD1725="D",1,0)+IF(CE1725="D",1,0)+IF(CF1725="D",1,0)+IF(CL1725="D",1,0)+IF(CM1725="D",1,0)+IF(CQ1725="D",1,0)+IF(CR1725="D",1,0)+IF(CS1725="D",1,0)+IF(CW1725="D",1,0)+IF(CX1725="D",1,0)+IF(DD1725="D",1,0)+IF(DE1725="D",1,0)+IF(DJ1725="D",1,0)+IF(DK1725="D",1,0)+IF(DO1725="D",1,0)+IF(DP1725="D",1,0)+IF(DQ1725="D",1,0)+IF(DW1725="D",1,0)+IF(DZ1725="D",1,0)+IF(EH1725="D",1,0)</f>
        <v/>
      </c>
      <c r="AY1725">
        <f>IF(DJ1725&lt;&gt;"",1,0)+IF(DK1725&lt;&gt;"",1,0)+IF(DM1725&lt;&gt;"",1,0)+IF(DO1725&lt;&gt;"",1,0)+IF(DP1725&lt;&gt;"",1,0)+IF(DQ1725&lt;&gt;"",1,0)+IF(DS1725&lt;&gt;"",1,0)+IF(DT1725&lt;&gt;"",1,0)+IF(DV1725&lt;&gt;"",1,0)+IF(DW1725&lt;&gt;"",1,0)+IF(DX1725&lt;&gt;"",1,0)+IF(DY1725&lt;&gt;"",1,0)+IF(DZ1725&lt;&gt;"",1,0)+IF(EB1725&lt;&gt;"",1,0)+IF(EC1725&lt;&gt;"",1,0)+IF(ED1725&lt;&gt;"",1,0)+IF(EG1725&lt;&gt;"",1,0)+IF(EH1725&lt;&gt;"",1,0)</f>
        <v/>
      </c>
      <c r="AZ1725">
        <f>IF(EH1725&lt;&gt;"",1,0)</f>
        <v/>
      </c>
      <c r="BB1725" t="inlineStr">
        <is>
          <t>WARREN-WARD 4</t>
        </is>
      </c>
      <c r="CA1725" t="inlineStr">
        <is>
          <t>X</t>
        </is>
      </c>
      <c r="CP1725" t="inlineStr">
        <is>
          <t>X</t>
        </is>
      </c>
      <c r="DC1725" t="inlineStr">
        <is>
          <t>X</t>
        </is>
      </c>
      <c r="EF1725" t="inlineStr">
        <is>
          <t>X</t>
        </is>
      </c>
    </row>
    <row r="1726">
      <c r="A1726" t="inlineStr">
        <is>
          <t>OH0024700841</t>
        </is>
      </c>
      <c r="B1726" t="n">
        <v>78</v>
      </c>
      <c r="C1726" t="n">
        <v>433932</v>
      </c>
      <c r="D1726" t="inlineStr">
        <is>
          <t>COPELAND</t>
        </is>
      </c>
      <c r="E1726" t="inlineStr">
        <is>
          <t>SHIANNE</t>
        </is>
      </c>
      <c r="F1726">
        <f>CONCATENATE(D1726," ",LEFT(H1726,4),"T=",AU1726,"D=",AV1726,"R=",AW1726,"M=",AX1726,"L=",AY1726,"B=",AZ1726)</f>
        <v/>
      </c>
      <c r="G1726" t="inlineStr">
        <is>
          <t>LYNN</t>
        </is>
      </c>
      <c r="I1726" t="inlineStr">
        <is>
          <t>2000-07-12</t>
        </is>
      </c>
      <c r="J1726" t="inlineStr">
        <is>
          <t>2018-07-25</t>
        </is>
      </c>
      <c r="K1726" t="inlineStr">
        <is>
          <t>CONFIRMATION</t>
        </is>
      </c>
      <c r="M1726" t="inlineStr">
        <is>
          <t>442 SCOTT ST NE</t>
        </is>
      </c>
      <c r="N1726">
        <f>RIGHT(M1726,LEN(M1726)-FIND(" ",M1726))</f>
        <v/>
      </c>
      <c r="P1726" t="inlineStr">
        <is>
          <t>WARREN</t>
        </is>
      </c>
      <c r="Q1726" t="inlineStr">
        <is>
          <t>OH</t>
        </is>
      </c>
      <c r="R1726" t="n">
        <v>44483</v>
      </c>
      <c r="AD1726" t="inlineStr">
        <is>
          <t>TRUMBULL CAREER &amp; TECH CENTER</t>
        </is>
      </c>
      <c r="AE1726" t="inlineStr">
        <is>
          <t>WARREN CITY</t>
        </is>
      </c>
      <c r="AF1726" t="inlineStr">
        <is>
          <t>WARREN CITY SD</t>
        </is>
      </c>
      <c r="AH1726" t="n">
        <v>14</v>
      </c>
      <c r="AI1726" t="n">
        <v>11</v>
      </c>
      <c r="AN1726" t="inlineStr">
        <is>
          <t>WARREN</t>
        </is>
      </c>
      <c r="AO1726" t="inlineStr">
        <is>
          <t>WARREN CITY 4D</t>
        </is>
      </c>
      <c r="AP1726" t="inlineStr">
        <is>
          <t>78-P-ADL</t>
        </is>
      </c>
      <c r="AQ1726" t="n">
        <v>9</v>
      </c>
      <c r="AR1726" t="n">
        <v>64</v>
      </c>
      <c r="AS1726" t="n">
        <v>32</v>
      </c>
      <c r="AU1726">
        <f>COUNTA($BA$1726:$EH$1726)</f>
        <v/>
      </c>
      <c r="AV1726">
        <f>COUNTIF($BA$1726:$EH$1726,"D")</f>
        <v/>
      </c>
      <c r="AW1726">
        <f>COUNTIF($BA$1726:$EH$1726,"R")</f>
        <v/>
      </c>
      <c r="AX1726">
        <f>IF(BN1726="D",1,0)+IF(BO1726="D",1,0)+IF(BT1726="D",1,0)+IF(BU1726="D",1,0)+IF(BW1726="D",1,0)+IF(CC1726="D",1,0)+IF(CD1726="D",1,0)+IF(CE1726="D",1,0)+IF(CF1726="D",1,0)+IF(CL1726="D",1,0)+IF(CM1726="D",1,0)+IF(CQ1726="D",1,0)+IF(CR1726="D",1,0)+IF(CS1726="D",1,0)+IF(CW1726="D",1,0)+IF(CX1726="D",1,0)+IF(DD1726="D",1,0)+IF(DE1726="D",1,0)+IF(DJ1726="D",1,0)+IF(DK1726="D",1,0)+IF(DO1726="D",1,0)+IF(DP1726="D",1,0)+IF(DQ1726="D",1,0)+IF(DW1726="D",1,0)+IF(DZ1726="D",1,0)+IF(EH1726="D",1,0)</f>
        <v/>
      </c>
      <c r="AY1726">
        <f>IF(DJ1726&lt;&gt;"",1,0)+IF(DK1726&lt;&gt;"",1,0)+IF(DM1726&lt;&gt;"",1,0)+IF(DO1726&lt;&gt;"",1,0)+IF(DP1726&lt;&gt;"",1,0)+IF(DQ1726&lt;&gt;"",1,0)+IF(DS1726&lt;&gt;"",1,0)+IF(DT1726&lt;&gt;"",1,0)+IF(DV1726&lt;&gt;"",1,0)+IF(DW1726&lt;&gt;"",1,0)+IF(DX1726&lt;&gt;"",1,0)+IF(DY1726&lt;&gt;"",1,0)+IF(DZ1726&lt;&gt;"",1,0)+IF(EB1726&lt;&gt;"",1,0)+IF(EC1726&lt;&gt;"",1,0)+IF(ED1726&lt;&gt;"",1,0)+IF(EG1726&lt;&gt;"",1,0)+IF(EH1726&lt;&gt;"",1,0)</f>
        <v/>
      </c>
      <c r="AZ1726">
        <f>IF(EH1726&lt;&gt;"",1,0)</f>
        <v/>
      </c>
      <c r="BB1726" t="inlineStr">
        <is>
          <t>WARREN-WARD 4</t>
        </is>
      </c>
    </row>
    <row r="1727">
      <c r="A1727" t="inlineStr">
        <is>
          <t>OH0022631568</t>
        </is>
      </c>
      <c r="B1727" t="n">
        <v>78</v>
      </c>
      <c r="C1727" t="n">
        <v>399060</v>
      </c>
      <c r="D1727" t="inlineStr">
        <is>
          <t>ZACKERY</t>
        </is>
      </c>
      <c r="E1727" t="inlineStr">
        <is>
          <t>MICHELLE</t>
        </is>
      </c>
      <c r="F1727">
        <f>CONCATENATE(D1727," ",LEFT(H1727,4),"T=",AU1727,"D=",AV1727,"R=",AW1727,"M=",AX1727,"L=",AY1727,"B=",AZ1727)</f>
        <v/>
      </c>
      <c r="G1727" t="inlineStr">
        <is>
          <t>MARIE</t>
        </is>
      </c>
      <c r="I1727" t="inlineStr">
        <is>
          <t>1967-11-15</t>
        </is>
      </c>
      <c r="J1727" t="inlineStr">
        <is>
          <t>2021-05-04</t>
        </is>
      </c>
      <c r="K1727" t="inlineStr">
        <is>
          <t>CONFIRMATION</t>
        </is>
      </c>
      <c r="M1727" t="inlineStr">
        <is>
          <t>1195 MCKINLEY ST NE</t>
        </is>
      </c>
      <c r="N1727">
        <f>RIGHT(M1727,LEN(M1727)-FIND(" ",M1727))</f>
        <v/>
      </c>
      <c r="P1727" t="inlineStr">
        <is>
          <t>WARREN</t>
        </is>
      </c>
      <c r="Q1727" t="inlineStr">
        <is>
          <t>OH</t>
        </is>
      </c>
      <c r="R1727" t="n">
        <v>44483</v>
      </c>
      <c r="AD1727" t="inlineStr">
        <is>
          <t>TRUMBULL CAREER &amp; TECH CENTER</t>
        </is>
      </c>
      <c r="AE1727" t="inlineStr">
        <is>
          <t>WARREN CITY</t>
        </is>
      </c>
      <c r="AF1727" t="inlineStr">
        <is>
          <t>WARREN CITY SD</t>
        </is>
      </c>
      <c r="AH1727" t="n">
        <v>14</v>
      </c>
      <c r="AI1727" t="n">
        <v>11</v>
      </c>
      <c r="AN1727" t="inlineStr">
        <is>
          <t>WARREN</t>
        </is>
      </c>
      <c r="AO1727" t="inlineStr">
        <is>
          <t>WARREN CITY 4D</t>
        </is>
      </c>
      <c r="AP1727" t="inlineStr">
        <is>
          <t>78-P-ADL</t>
        </is>
      </c>
      <c r="AQ1727" t="n">
        <v>9</v>
      </c>
      <c r="AR1727" t="n">
        <v>64</v>
      </c>
      <c r="AS1727" t="n">
        <v>32</v>
      </c>
      <c r="AU1727">
        <f>COUNTA($BA$1727:$EH$1727)</f>
        <v/>
      </c>
      <c r="AV1727">
        <f>COUNTIF($BA$1727:$EH$1727,"D")</f>
        <v/>
      </c>
      <c r="AW1727">
        <f>COUNTIF($BA$1727:$EH$1727,"R")</f>
        <v/>
      </c>
      <c r="AX1727">
        <f>IF(BN1727="D",1,0)+IF(BO1727="D",1,0)+IF(BT1727="D",1,0)+IF(BU1727="D",1,0)+IF(BW1727="D",1,0)+IF(CC1727="D",1,0)+IF(CD1727="D",1,0)+IF(CE1727="D",1,0)+IF(CF1727="D",1,0)+IF(CL1727="D",1,0)+IF(CM1727="D",1,0)+IF(CQ1727="D",1,0)+IF(CR1727="D",1,0)+IF(CS1727="D",1,0)+IF(CW1727="D",1,0)+IF(CX1727="D",1,0)+IF(DD1727="D",1,0)+IF(DE1727="D",1,0)+IF(DJ1727="D",1,0)+IF(DK1727="D",1,0)+IF(DO1727="D",1,0)+IF(DP1727="D",1,0)+IF(DQ1727="D",1,0)+IF(DW1727="D",1,0)+IF(DZ1727="D",1,0)+IF(EH1727="D",1,0)</f>
        <v/>
      </c>
      <c r="AY1727">
        <f>IF(DJ1727&lt;&gt;"",1,0)+IF(DK1727&lt;&gt;"",1,0)+IF(DM1727&lt;&gt;"",1,0)+IF(DO1727&lt;&gt;"",1,0)+IF(DP1727&lt;&gt;"",1,0)+IF(DQ1727&lt;&gt;"",1,0)+IF(DS1727&lt;&gt;"",1,0)+IF(DT1727&lt;&gt;"",1,0)+IF(DV1727&lt;&gt;"",1,0)+IF(DW1727&lt;&gt;"",1,0)+IF(DX1727&lt;&gt;"",1,0)+IF(DY1727&lt;&gt;"",1,0)+IF(DZ1727&lt;&gt;"",1,0)+IF(EB1727&lt;&gt;"",1,0)+IF(EC1727&lt;&gt;"",1,0)+IF(ED1727&lt;&gt;"",1,0)+IF(EG1727&lt;&gt;"",1,0)+IF(EH1727&lt;&gt;"",1,0)</f>
        <v/>
      </c>
      <c r="AZ1727">
        <f>IF(EH1727&lt;&gt;"",1,0)</f>
        <v/>
      </c>
      <c r="BB1727" t="inlineStr">
        <is>
          <t>WARREN-WARD 4</t>
        </is>
      </c>
      <c r="BL1727" t="inlineStr">
        <is>
          <t>X</t>
        </is>
      </c>
      <c r="CA1727" t="inlineStr">
        <is>
          <t>X</t>
        </is>
      </c>
      <c r="CK1727" t="inlineStr">
        <is>
          <t>X</t>
        </is>
      </c>
      <c r="CP1727" t="inlineStr">
        <is>
          <t>X</t>
        </is>
      </c>
    </row>
    <row r="1728">
      <c r="A1728" t="inlineStr">
        <is>
          <t>OH0021759215</t>
        </is>
      </c>
      <c r="B1728" t="n">
        <v>78</v>
      </c>
      <c r="C1728" t="n">
        <v>386377</v>
      </c>
      <c r="D1728" t="inlineStr">
        <is>
          <t>BANKS</t>
        </is>
      </c>
      <c r="E1728" t="inlineStr">
        <is>
          <t>ISABELLA</t>
        </is>
      </c>
      <c r="F1728">
        <f>CONCATENATE(D1728," ",LEFT(H1728,4),"T=",AU1728,"D=",AV1728,"R=",AW1728,"M=",AX1728,"L=",AY1728,"B=",AZ1728)</f>
        <v/>
      </c>
      <c r="G1728" t="inlineStr">
        <is>
          <t>ANN</t>
        </is>
      </c>
      <c r="I1728" t="inlineStr">
        <is>
          <t>1993-02-27</t>
        </is>
      </c>
      <c r="J1728" t="inlineStr">
        <is>
          <t>2018-05-10</t>
        </is>
      </c>
      <c r="K1728" t="inlineStr">
        <is>
          <t>CONFIRMATION</t>
        </is>
      </c>
      <c r="M1728" t="inlineStr">
        <is>
          <t>318 LOGAN AVE NE</t>
        </is>
      </c>
      <c r="N1728">
        <f>RIGHT(M1728,LEN(M1728)-FIND(" ",M1728))</f>
        <v/>
      </c>
      <c r="P1728" t="inlineStr">
        <is>
          <t>WARREN</t>
        </is>
      </c>
      <c r="Q1728" t="inlineStr">
        <is>
          <t>OH</t>
        </is>
      </c>
      <c r="R1728" t="n">
        <v>44483</v>
      </c>
      <c r="AD1728" t="inlineStr">
        <is>
          <t>TRUMBULL CAREER &amp; TECH CENTER</t>
        </is>
      </c>
      <c r="AE1728" t="inlineStr">
        <is>
          <t>WARREN CITY</t>
        </is>
      </c>
      <c r="AF1728" t="inlineStr">
        <is>
          <t>WARREN CITY SD</t>
        </is>
      </c>
      <c r="AH1728" t="n">
        <v>14</v>
      </c>
      <c r="AI1728" t="n">
        <v>11</v>
      </c>
      <c r="AN1728" t="inlineStr">
        <is>
          <t>WARREN</t>
        </is>
      </c>
      <c r="AO1728" t="inlineStr">
        <is>
          <t>WARREN CITY 4D</t>
        </is>
      </c>
      <c r="AP1728" t="inlineStr">
        <is>
          <t>78-P-ADL</t>
        </is>
      </c>
      <c r="AQ1728" t="n">
        <v>9</v>
      </c>
      <c r="AR1728" t="n">
        <v>64</v>
      </c>
      <c r="AS1728" t="n">
        <v>32</v>
      </c>
      <c r="AU1728">
        <f>COUNTA($BA$1728:$EH$1728)</f>
        <v/>
      </c>
      <c r="AV1728">
        <f>COUNTIF($BA$1728:$EH$1728,"D")</f>
        <v/>
      </c>
      <c r="AW1728">
        <f>COUNTIF($BA$1728:$EH$1728,"R")</f>
        <v/>
      </c>
      <c r="AX1728">
        <f>IF(BN1728="D",1,0)+IF(BO1728="D",1,0)+IF(BT1728="D",1,0)+IF(BU1728="D",1,0)+IF(BW1728="D",1,0)+IF(CC1728="D",1,0)+IF(CD1728="D",1,0)+IF(CE1728="D",1,0)+IF(CF1728="D",1,0)+IF(CL1728="D",1,0)+IF(CM1728="D",1,0)+IF(CQ1728="D",1,0)+IF(CR1728="D",1,0)+IF(CS1728="D",1,0)+IF(CW1728="D",1,0)+IF(CX1728="D",1,0)+IF(DD1728="D",1,0)+IF(DE1728="D",1,0)+IF(DJ1728="D",1,0)+IF(DK1728="D",1,0)+IF(DO1728="D",1,0)+IF(DP1728="D",1,0)+IF(DQ1728="D",1,0)+IF(DW1728="D",1,0)+IF(DZ1728="D",1,0)+IF(EH1728="D",1,0)</f>
        <v/>
      </c>
      <c r="AY1728">
        <f>IF(DJ1728&lt;&gt;"",1,0)+IF(DK1728&lt;&gt;"",1,0)+IF(DM1728&lt;&gt;"",1,0)+IF(DO1728&lt;&gt;"",1,0)+IF(DP1728&lt;&gt;"",1,0)+IF(DQ1728&lt;&gt;"",1,0)+IF(DS1728&lt;&gt;"",1,0)+IF(DT1728&lt;&gt;"",1,0)+IF(DV1728&lt;&gt;"",1,0)+IF(DW1728&lt;&gt;"",1,0)+IF(DX1728&lt;&gt;"",1,0)+IF(DY1728&lt;&gt;"",1,0)+IF(DZ1728&lt;&gt;"",1,0)+IF(EB1728&lt;&gt;"",1,0)+IF(EC1728&lt;&gt;"",1,0)+IF(ED1728&lt;&gt;"",1,0)+IF(EG1728&lt;&gt;"",1,0)+IF(EH1728&lt;&gt;"",1,0)</f>
        <v/>
      </c>
      <c r="AZ1728">
        <f>IF(EH1728&lt;&gt;"",1,0)</f>
        <v/>
      </c>
      <c r="BB1728" t="inlineStr">
        <is>
          <t>WARREN-WARD 4</t>
        </is>
      </c>
    </row>
    <row r="1729">
      <c r="A1729" t="inlineStr">
        <is>
          <t>OH0024173097</t>
        </is>
      </c>
      <c r="B1729" t="n">
        <v>78</v>
      </c>
      <c r="C1729" t="n">
        <v>423220</v>
      </c>
      <c r="D1729" t="inlineStr">
        <is>
          <t>PETERS</t>
        </is>
      </c>
      <c r="E1729" t="inlineStr">
        <is>
          <t>MEGGEIN</t>
        </is>
      </c>
      <c r="F1729">
        <f>CONCATENATE(D1729," ",LEFT(H1729,4),"T=",AU1729,"D=",AV1729,"R=",AW1729,"M=",AX1729,"L=",AY1729,"B=",AZ1729)</f>
        <v/>
      </c>
      <c r="G1729" t="inlineStr">
        <is>
          <t>LEIGH</t>
        </is>
      </c>
      <c r="I1729" t="inlineStr">
        <is>
          <t>1987-08-24</t>
        </is>
      </c>
      <c r="J1729" t="inlineStr">
        <is>
          <t>2016-10-28</t>
        </is>
      </c>
      <c r="K1729" t="inlineStr">
        <is>
          <t>ACTIVE</t>
        </is>
      </c>
      <c r="M1729" t="inlineStr">
        <is>
          <t>121 MONROE ST NW</t>
        </is>
      </c>
      <c r="N1729">
        <f>RIGHT(M1729,LEN(M1729)-FIND(" ",M1729))</f>
        <v/>
      </c>
      <c r="O1729" t="inlineStr">
        <is>
          <t>APT 7</t>
        </is>
      </c>
      <c r="P1729" t="inlineStr">
        <is>
          <t>WARREN</t>
        </is>
      </c>
      <c r="Q1729" t="inlineStr">
        <is>
          <t>OH</t>
        </is>
      </c>
      <c r="R1729" t="n">
        <v>44483</v>
      </c>
      <c r="AD1729" t="inlineStr">
        <is>
          <t>TRUMBULL CAREER &amp; TECH CENTER</t>
        </is>
      </c>
      <c r="AE1729" t="inlineStr">
        <is>
          <t>WARREN CITY</t>
        </is>
      </c>
      <c r="AF1729" t="inlineStr">
        <is>
          <t>WARREN CITY SD</t>
        </is>
      </c>
      <c r="AH1729" t="n">
        <v>14</v>
      </c>
      <c r="AI1729" t="n">
        <v>11</v>
      </c>
      <c r="AN1729" t="inlineStr">
        <is>
          <t>WARREN</t>
        </is>
      </c>
      <c r="AO1729" t="inlineStr">
        <is>
          <t>WARREN CITY 4D</t>
        </is>
      </c>
      <c r="AP1729" t="inlineStr">
        <is>
          <t>78-P-ADL</t>
        </is>
      </c>
      <c r="AQ1729" t="n">
        <v>9</v>
      </c>
      <c r="AR1729" t="n">
        <v>64</v>
      </c>
      <c r="AS1729" t="n">
        <v>32</v>
      </c>
      <c r="AU1729">
        <f>COUNTA($BA$1729:$EH$1729)</f>
        <v/>
      </c>
      <c r="AV1729">
        <f>COUNTIF($BA$1729:$EH$1729,"D")</f>
        <v/>
      </c>
      <c r="AW1729">
        <f>COUNTIF($BA$1729:$EH$1729,"R")</f>
        <v/>
      </c>
      <c r="AX1729">
        <f>IF(BN1729="D",1,0)+IF(BO1729="D",1,0)+IF(BT1729="D",1,0)+IF(BU1729="D",1,0)+IF(BW1729="D",1,0)+IF(CC1729="D",1,0)+IF(CD1729="D",1,0)+IF(CE1729="D",1,0)+IF(CF1729="D",1,0)+IF(CL1729="D",1,0)+IF(CM1729="D",1,0)+IF(CQ1729="D",1,0)+IF(CR1729="D",1,0)+IF(CS1729="D",1,0)+IF(CW1729="D",1,0)+IF(CX1729="D",1,0)+IF(DD1729="D",1,0)+IF(DE1729="D",1,0)+IF(DJ1729="D",1,0)+IF(DK1729="D",1,0)+IF(DO1729="D",1,0)+IF(DP1729="D",1,0)+IF(DQ1729="D",1,0)+IF(DW1729="D",1,0)+IF(DZ1729="D",1,0)+IF(EH1729="D",1,0)</f>
        <v/>
      </c>
      <c r="AY1729">
        <f>IF(DJ1729&lt;&gt;"",1,0)+IF(DK1729&lt;&gt;"",1,0)+IF(DM1729&lt;&gt;"",1,0)+IF(DO1729&lt;&gt;"",1,0)+IF(DP1729&lt;&gt;"",1,0)+IF(DQ1729&lt;&gt;"",1,0)+IF(DS1729&lt;&gt;"",1,0)+IF(DT1729&lt;&gt;"",1,0)+IF(DV1729&lt;&gt;"",1,0)+IF(DW1729&lt;&gt;"",1,0)+IF(DX1729&lt;&gt;"",1,0)+IF(DY1729&lt;&gt;"",1,0)+IF(DZ1729&lt;&gt;"",1,0)+IF(EB1729&lt;&gt;"",1,0)+IF(EC1729&lt;&gt;"",1,0)+IF(ED1729&lt;&gt;"",1,0)+IF(EG1729&lt;&gt;"",1,0)+IF(EH1729&lt;&gt;"",1,0)</f>
        <v/>
      </c>
      <c r="AZ1729">
        <f>IF(EH1729&lt;&gt;"",1,0)</f>
        <v/>
      </c>
      <c r="BB1729" t="inlineStr">
        <is>
          <t>WARREN-WARD 4</t>
        </is>
      </c>
      <c r="CA1729" t="inlineStr">
        <is>
          <t>X</t>
        </is>
      </c>
    </row>
    <row r="1730">
      <c r="A1730" t="inlineStr">
        <is>
          <t>OH0026373137</t>
        </is>
      </c>
      <c r="B1730" t="n">
        <v>78</v>
      </c>
      <c r="C1730" t="n">
        <v>461073</v>
      </c>
      <c r="D1730" t="inlineStr">
        <is>
          <t>PARKER</t>
        </is>
      </c>
      <c r="E1730" t="inlineStr">
        <is>
          <t>KAREN</t>
        </is>
      </c>
      <c r="F1730">
        <f>CONCATENATE(D1730," ",LEFT(H1730,4),"T=",AU1730,"D=",AV1730,"R=",AW1730,"M=",AX1730,"L=",AY1730,"B=",AZ1730)</f>
        <v/>
      </c>
      <c r="G1730" t="inlineStr">
        <is>
          <t>MICHELLE</t>
        </is>
      </c>
      <c r="I1730" t="inlineStr">
        <is>
          <t>1956-10-03</t>
        </is>
      </c>
      <c r="J1730" t="inlineStr">
        <is>
          <t>2024-09-25</t>
        </is>
      </c>
      <c r="K1730" t="inlineStr">
        <is>
          <t>ACTIVE</t>
        </is>
      </c>
      <c r="M1730" t="inlineStr">
        <is>
          <t>442 WASHINGTON ST NE</t>
        </is>
      </c>
      <c r="N1730">
        <f>RIGHT(M1730,LEN(M1730)-FIND(" ",M1730))</f>
        <v/>
      </c>
      <c r="P1730" t="inlineStr">
        <is>
          <t>WARREN</t>
        </is>
      </c>
      <c r="Q1730" t="inlineStr">
        <is>
          <t>OH</t>
        </is>
      </c>
      <c r="R1730" t="n">
        <v>44483</v>
      </c>
      <c r="AD1730" t="inlineStr">
        <is>
          <t>TRUMBULL CAREER &amp; TECH CENTER</t>
        </is>
      </c>
      <c r="AE1730" t="inlineStr">
        <is>
          <t>WARREN CITY</t>
        </is>
      </c>
      <c r="AF1730" t="inlineStr">
        <is>
          <t>WARREN CITY SD</t>
        </is>
      </c>
      <c r="AH1730" t="n">
        <v>14</v>
      </c>
      <c r="AI1730" t="n">
        <v>11</v>
      </c>
      <c r="AN1730" t="inlineStr">
        <is>
          <t>WARREN</t>
        </is>
      </c>
      <c r="AO1730" t="inlineStr">
        <is>
          <t>WARREN CITY 4D</t>
        </is>
      </c>
      <c r="AP1730" t="inlineStr">
        <is>
          <t>78-P-ADL</t>
        </is>
      </c>
      <c r="AQ1730" t="n">
        <v>9</v>
      </c>
      <c r="AR1730" t="n">
        <v>64</v>
      </c>
      <c r="AS1730" t="n">
        <v>32</v>
      </c>
      <c r="AU1730">
        <f>COUNTA($BA$1730:$EH$1730)</f>
        <v/>
      </c>
      <c r="AV1730">
        <f>COUNTIF($BA$1730:$EH$1730,"D")</f>
        <v/>
      </c>
      <c r="AW1730">
        <f>COUNTIF($BA$1730:$EH$1730,"R")</f>
        <v/>
      </c>
      <c r="AX1730">
        <f>IF(BN1730="D",1,0)+IF(BO1730="D",1,0)+IF(BT1730="D",1,0)+IF(BU1730="D",1,0)+IF(BW1730="D",1,0)+IF(CC1730="D",1,0)+IF(CD1730="D",1,0)+IF(CE1730="D",1,0)+IF(CF1730="D",1,0)+IF(CL1730="D",1,0)+IF(CM1730="D",1,0)+IF(CQ1730="D",1,0)+IF(CR1730="D",1,0)+IF(CS1730="D",1,0)+IF(CW1730="D",1,0)+IF(CX1730="D",1,0)+IF(DD1730="D",1,0)+IF(DE1730="D",1,0)+IF(DJ1730="D",1,0)+IF(DK1730="D",1,0)+IF(DO1730="D",1,0)+IF(DP1730="D",1,0)+IF(DQ1730="D",1,0)+IF(DW1730="D",1,0)+IF(DZ1730="D",1,0)+IF(EH1730="D",1,0)</f>
        <v/>
      </c>
      <c r="AY1730">
        <f>IF(DJ1730&lt;&gt;"",1,0)+IF(DK1730&lt;&gt;"",1,0)+IF(DM1730&lt;&gt;"",1,0)+IF(DO1730&lt;&gt;"",1,0)+IF(DP1730&lt;&gt;"",1,0)+IF(DQ1730&lt;&gt;"",1,0)+IF(DS1730&lt;&gt;"",1,0)+IF(DT1730&lt;&gt;"",1,0)+IF(DV1730&lt;&gt;"",1,0)+IF(DW1730&lt;&gt;"",1,0)+IF(DX1730&lt;&gt;"",1,0)+IF(DY1730&lt;&gt;"",1,0)+IF(DZ1730&lt;&gt;"",1,0)+IF(EB1730&lt;&gt;"",1,0)+IF(EC1730&lt;&gt;"",1,0)+IF(ED1730&lt;&gt;"",1,0)+IF(EG1730&lt;&gt;"",1,0)+IF(EH1730&lt;&gt;"",1,0)</f>
        <v/>
      </c>
      <c r="AZ1730">
        <f>IF(EH1730&lt;&gt;"",1,0)</f>
        <v/>
      </c>
      <c r="BB1730" t="inlineStr">
        <is>
          <t>WARREN-WARD 4</t>
        </is>
      </c>
      <c r="DU1730" t="inlineStr">
        <is>
          <t>X</t>
        </is>
      </c>
      <c r="EF1730" t="inlineStr">
        <is>
          <t>X</t>
        </is>
      </c>
    </row>
    <row r="1731">
      <c r="A1731" t="inlineStr">
        <is>
          <t>OH0020972643</t>
        </is>
      </c>
      <c r="B1731" t="n">
        <v>78</v>
      </c>
      <c r="C1731" t="n">
        <v>373238</v>
      </c>
      <c r="D1731" t="inlineStr">
        <is>
          <t>WILSON</t>
        </is>
      </c>
      <c r="E1731" t="inlineStr">
        <is>
          <t>STEPHANIE</t>
        </is>
      </c>
      <c r="F1731">
        <f>CONCATENATE(D1731," ",LEFT(H1731,4),"T=",AU1731,"D=",AV1731,"R=",AW1731,"M=",AX1731,"L=",AY1731,"B=",AZ1731)</f>
        <v/>
      </c>
      <c r="G1731" t="inlineStr">
        <is>
          <t>R</t>
        </is>
      </c>
      <c r="I1731" t="inlineStr">
        <is>
          <t>1986-11-09</t>
        </is>
      </c>
      <c r="J1731" t="inlineStr">
        <is>
          <t>2018-05-10</t>
        </is>
      </c>
      <c r="K1731" t="inlineStr">
        <is>
          <t>CONFIRMATION</t>
        </is>
      </c>
      <c r="M1731" t="inlineStr">
        <is>
          <t>169 LOGAN AVE NE</t>
        </is>
      </c>
      <c r="N1731">
        <f>RIGHT(M1731,LEN(M1731)-FIND(" ",M1731))</f>
        <v/>
      </c>
      <c r="P1731" t="inlineStr">
        <is>
          <t>WARREN</t>
        </is>
      </c>
      <c r="Q1731" t="inlineStr">
        <is>
          <t>OH</t>
        </is>
      </c>
      <c r="R1731" t="n">
        <v>44483</v>
      </c>
      <c r="AD1731" t="inlineStr">
        <is>
          <t>TRUMBULL CAREER &amp; TECH CENTER</t>
        </is>
      </c>
      <c r="AE1731" t="inlineStr">
        <is>
          <t>WARREN CITY</t>
        </is>
      </c>
      <c r="AF1731" t="inlineStr">
        <is>
          <t>WARREN CITY SD</t>
        </is>
      </c>
      <c r="AH1731" t="n">
        <v>14</v>
      </c>
      <c r="AI1731" t="n">
        <v>11</v>
      </c>
      <c r="AN1731" t="inlineStr">
        <is>
          <t>WARREN</t>
        </is>
      </c>
      <c r="AO1731" t="inlineStr">
        <is>
          <t>WARREN CITY 4D</t>
        </is>
      </c>
      <c r="AP1731" t="inlineStr">
        <is>
          <t>78-P-ADL</t>
        </is>
      </c>
      <c r="AQ1731" t="n">
        <v>9</v>
      </c>
      <c r="AR1731" t="n">
        <v>64</v>
      </c>
      <c r="AS1731" t="n">
        <v>32</v>
      </c>
      <c r="AU1731">
        <f>COUNTA($BA$1731:$EH$1731)</f>
        <v/>
      </c>
      <c r="AV1731">
        <f>COUNTIF($BA$1731:$EH$1731,"D")</f>
        <v/>
      </c>
      <c r="AW1731">
        <f>COUNTIF($BA$1731:$EH$1731,"R")</f>
        <v/>
      </c>
      <c r="AX1731">
        <f>IF(BN1731="D",1,0)+IF(BO1731="D",1,0)+IF(BT1731="D",1,0)+IF(BU1731="D",1,0)+IF(BW1731="D",1,0)+IF(CC1731="D",1,0)+IF(CD1731="D",1,0)+IF(CE1731="D",1,0)+IF(CF1731="D",1,0)+IF(CL1731="D",1,0)+IF(CM1731="D",1,0)+IF(CQ1731="D",1,0)+IF(CR1731="D",1,0)+IF(CS1731="D",1,0)+IF(CW1731="D",1,0)+IF(CX1731="D",1,0)+IF(DD1731="D",1,0)+IF(DE1731="D",1,0)+IF(DJ1731="D",1,0)+IF(DK1731="D",1,0)+IF(DO1731="D",1,0)+IF(DP1731="D",1,0)+IF(DQ1731="D",1,0)+IF(DW1731="D",1,0)+IF(DZ1731="D",1,0)+IF(EH1731="D",1,0)</f>
        <v/>
      </c>
      <c r="AY1731">
        <f>IF(DJ1731&lt;&gt;"",1,0)+IF(DK1731&lt;&gt;"",1,0)+IF(DM1731&lt;&gt;"",1,0)+IF(DO1731&lt;&gt;"",1,0)+IF(DP1731&lt;&gt;"",1,0)+IF(DQ1731&lt;&gt;"",1,0)+IF(DS1731&lt;&gt;"",1,0)+IF(DT1731&lt;&gt;"",1,0)+IF(DV1731&lt;&gt;"",1,0)+IF(DW1731&lt;&gt;"",1,0)+IF(DX1731&lt;&gt;"",1,0)+IF(DY1731&lt;&gt;"",1,0)+IF(DZ1731&lt;&gt;"",1,0)+IF(EB1731&lt;&gt;"",1,0)+IF(EC1731&lt;&gt;"",1,0)+IF(ED1731&lt;&gt;"",1,0)+IF(EG1731&lt;&gt;"",1,0)+IF(EH1731&lt;&gt;"",1,0)</f>
        <v/>
      </c>
      <c r="AZ1731">
        <f>IF(EH1731&lt;&gt;"",1,0)</f>
        <v/>
      </c>
      <c r="BB1731" t="inlineStr">
        <is>
          <t>WARREN-WARD 4</t>
        </is>
      </c>
      <c r="BS1731" t="inlineStr">
        <is>
          <t>X</t>
        </is>
      </c>
    </row>
    <row r="1732">
      <c r="A1732" t="inlineStr">
        <is>
          <t>OH0015746262</t>
        </is>
      </c>
      <c r="B1732" t="n">
        <v>78</v>
      </c>
      <c r="C1732" t="n">
        <v>264621</v>
      </c>
      <c r="D1732" t="inlineStr">
        <is>
          <t>ALLGOOD</t>
        </is>
      </c>
      <c r="E1732" t="inlineStr">
        <is>
          <t>TAMIKA</t>
        </is>
      </c>
      <c r="F1732">
        <f>CONCATENATE(D1732," ",LEFT(H1732,4),"T=",AU1732,"D=",AV1732,"R=",AW1732,"M=",AX1732,"L=",AY1732,"B=",AZ1732)</f>
        <v/>
      </c>
      <c r="G1732" t="inlineStr">
        <is>
          <t>C</t>
        </is>
      </c>
      <c r="I1732" t="inlineStr">
        <is>
          <t>1978-02-19</t>
        </is>
      </c>
      <c r="J1732" t="inlineStr">
        <is>
          <t>2021-07-29</t>
        </is>
      </c>
      <c r="K1732" t="inlineStr">
        <is>
          <t>ACTIVE</t>
        </is>
      </c>
      <c r="M1732" t="inlineStr">
        <is>
          <t>182 HIGH ST NE</t>
        </is>
      </c>
      <c r="N1732">
        <f>RIGHT(M1732,LEN(M1732)-FIND(" ",M1732))</f>
        <v/>
      </c>
      <c r="O1732" t="inlineStr">
        <is>
          <t>APT 607</t>
        </is>
      </c>
      <c r="P1732" t="inlineStr">
        <is>
          <t>WARREN</t>
        </is>
      </c>
      <c r="Q1732" t="inlineStr">
        <is>
          <t>OH</t>
        </is>
      </c>
      <c r="R1732" t="n">
        <v>44481</v>
      </c>
      <c r="AD1732" t="inlineStr">
        <is>
          <t>TRUMBULL CAREER &amp; TECH CENTER</t>
        </is>
      </c>
      <c r="AE1732" t="inlineStr">
        <is>
          <t>WARREN CITY</t>
        </is>
      </c>
      <c r="AF1732" t="inlineStr">
        <is>
          <t>WARREN CITY SD</t>
        </is>
      </c>
      <c r="AH1732" t="n">
        <v>14</v>
      </c>
      <c r="AI1732" t="n">
        <v>11</v>
      </c>
      <c r="AN1732" t="inlineStr">
        <is>
          <t>WARREN</t>
        </is>
      </c>
      <c r="AO1732" t="inlineStr">
        <is>
          <t>WARREN CITY 4D</t>
        </is>
      </c>
      <c r="AP1732" t="inlineStr">
        <is>
          <t>78-P-ADL</t>
        </is>
      </c>
      <c r="AQ1732" t="n">
        <v>9</v>
      </c>
      <c r="AR1732" t="n">
        <v>64</v>
      </c>
      <c r="AS1732" t="n">
        <v>32</v>
      </c>
      <c r="AU1732">
        <f>COUNTA($BA$1732:$EH$1732)</f>
        <v/>
      </c>
      <c r="AV1732">
        <f>COUNTIF($BA$1732:$EH$1732,"D")</f>
        <v/>
      </c>
      <c r="AW1732">
        <f>COUNTIF($BA$1732:$EH$1732,"R")</f>
        <v/>
      </c>
      <c r="AX1732">
        <f>IF(BN1732="D",1,0)+IF(BO1732="D",1,0)+IF(BT1732="D",1,0)+IF(BU1732="D",1,0)+IF(BW1732="D",1,0)+IF(CC1732="D",1,0)+IF(CD1732="D",1,0)+IF(CE1732="D",1,0)+IF(CF1732="D",1,0)+IF(CL1732="D",1,0)+IF(CM1732="D",1,0)+IF(CQ1732="D",1,0)+IF(CR1732="D",1,0)+IF(CS1732="D",1,0)+IF(CW1732="D",1,0)+IF(CX1732="D",1,0)+IF(DD1732="D",1,0)+IF(DE1732="D",1,0)+IF(DJ1732="D",1,0)+IF(DK1732="D",1,0)+IF(DO1732="D",1,0)+IF(DP1732="D",1,0)+IF(DQ1732="D",1,0)+IF(DW1732="D",1,0)+IF(DZ1732="D",1,0)+IF(EH1732="D",1,0)</f>
        <v/>
      </c>
      <c r="AY1732">
        <f>IF(DJ1732&lt;&gt;"",1,0)+IF(DK1732&lt;&gt;"",1,0)+IF(DM1732&lt;&gt;"",1,0)+IF(DO1732&lt;&gt;"",1,0)+IF(DP1732&lt;&gt;"",1,0)+IF(DQ1732&lt;&gt;"",1,0)+IF(DS1732&lt;&gt;"",1,0)+IF(DT1732&lt;&gt;"",1,0)+IF(DV1732&lt;&gt;"",1,0)+IF(DW1732&lt;&gt;"",1,0)+IF(DX1732&lt;&gt;"",1,0)+IF(DY1732&lt;&gt;"",1,0)+IF(DZ1732&lt;&gt;"",1,0)+IF(EB1732&lt;&gt;"",1,0)+IF(EC1732&lt;&gt;"",1,0)+IF(ED1732&lt;&gt;"",1,0)+IF(EG1732&lt;&gt;"",1,0)+IF(EH1732&lt;&gt;"",1,0)</f>
        <v/>
      </c>
      <c r="AZ1732">
        <f>IF(EH1732&lt;&gt;"",1,0)</f>
        <v/>
      </c>
      <c r="BB1732" t="inlineStr">
        <is>
          <t>WARREN-WARD 4</t>
        </is>
      </c>
      <c r="BC1732" t="inlineStr">
        <is>
          <t>X</t>
        </is>
      </c>
      <c r="BH1732" t="inlineStr">
        <is>
          <t>X</t>
        </is>
      </c>
      <c r="BR1732" t="inlineStr">
        <is>
          <t>X</t>
        </is>
      </c>
      <c r="BS1732" t="inlineStr">
        <is>
          <t>X</t>
        </is>
      </c>
      <c r="BV1732" t="inlineStr">
        <is>
          <t>X</t>
        </is>
      </c>
      <c r="BY1732" t="inlineStr">
        <is>
          <t>D</t>
        </is>
      </c>
      <c r="CA1732" t="inlineStr">
        <is>
          <t>X</t>
        </is>
      </c>
      <c r="DC1732" t="inlineStr">
        <is>
          <t>X</t>
        </is>
      </c>
      <c r="DI1732" t="inlineStr">
        <is>
          <t>X</t>
        </is>
      </c>
    </row>
    <row r="1733">
      <c r="A1733" t="inlineStr">
        <is>
          <t>OH0024502858</t>
        </is>
      </c>
      <c r="B1733" t="n">
        <v>78</v>
      </c>
      <c r="C1733" t="n">
        <v>429400</v>
      </c>
      <c r="D1733" t="inlineStr">
        <is>
          <t>BAKER</t>
        </is>
      </c>
      <c r="E1733" t="inlineStr">
        <is>
          <t>MARQUEL</t>
        </is>
      </c>
      <c r="F1733">
        <f>CONCATENATE(D1733," ",LEFT(H1733,4),"T=",AU1733,"D=",AV1733,"R=",AW1733,"M=",AX1733,"L=",AY1733,"B=",AZ1733)</f>
        <v/>
      </c>
      <c r="G1733" t="inlineStr">
        <is>
          <t>D</t>
        </is>
      </c>
      <c r="I1733" t="inlineStr">
        <is>
          <t>1991-06-25</t>
        </is>
      </c>
      <c r="J1733" t="inlineStr">
        <is>
          <t>2018-02-07</t>
        </is>
      </c>
      <c r="K1733" t="inlineStr">
        <is>
          <t>ACTIVE</t>
        </is>
      </c>
      <c r="M1733" t="inlineStr">
        <is>
          <t>425 SCOTT ST NE</t>
        </is>
      </c>
      <c r="N1733">
        <f>RIGHT(M1733,LEN(M1733)-FIND(" ",M1733))</f>
        <v/>
      </c>
      <c r="P1733" t="inlineStr">
        <is>
          <t>WARREN</t>
        </is>
      </c>
      <c r="Q1733" t="inlineStr">
        <is>
          <t>OH</t>
        </is>
      </c>
      <c r="R1733" t="n">
        <v>44483</v>
      </c>
      <c r="AD1733" t="inlineStr">
        <is>
          <t>TRUMBULL CAREER &amp; TECH CENTER</t>
        </is>
      </c>
      <c r="AE1733" t="inlineStr">
        <is>
          <t>WARREN CITY</t>
        </is>
      </c>
      <c r="AF1733" t="inlineStr">
        <is>
          <t>WARREN CITY SD</t>
        </is>
      </c>
      <c r="AH1733" t="n">
        <v>14</v>
      </c>
      <c r="AI1733" t="n">
        <v>11</v>
      </c>
      <c r="AN1733" t="inlineStr">
        <is>
          <t>WARREN</t>
        </is>
      </c>
      <c r="AO1733" t="inlineStr">
        <is>
          <t>WARREN CITY 4D</t>
        </is>
      </c>
      <c r="AP1733" t="inlineStr">
        <is>
          <t>78-P-ADL</t>
        </is>
      </c>
      <c r="AQ1733" t="n">
        <v>9</v>
      </c>
      <c r="AR1733" t="n">
        <v>64</v>
      </c>
      <c r="AS1733" t="n">
        <v>32</v>
      </c>
      <c r="AU1733">
        <f>COUNTA($BA$1733:$EH$1733)</f>
        <v/>
      </c>
      <c r="AV1733">
        <f>COUNTIF($BA$1733:$EH$1733,"D")</f>
        <v/>
      </c>
      <c r="AW1733">
        <f>COUNTIF($BA$1733:$EH$1733,"R")</f>
        <v/>
      </c>
      <c r="AX1733">
        <f>IF(BN1733="D",1,0)+IF(BO1733="D",1,0)+IF(BT1733="D",1,0)+IF(BU1733="D",1,0)+IF(BW1733="D",1,0)+IF(CC1733="D",1,0)+IF(CD1733="D",1,0)+IF(CE1733="D",1,0)+IF(CF1733="D",1,0)+IF(CL1733="D",1,0)+IF(CM1733="D",1,0)+IF(CQ1733="D",1,0)+IF(CR1733="D",1,0)+IF(CS1733="D",1,0)+IF(CW1733="D",1,0)+IF(CX1733="D",1,0)+IF(DD1733="D",1,0)+IF(DE1733="D",1,0)+IF(DJ1733="D",1,0)+IF(DK1733="D",1,0)+IF(DO1733="D",1,0)+IF(DP1733="D",1,0)+IF(DQ1733="D",1,0)+IF(DW1733="D",1,0)+IF(DZ1733="D",1,0)+IF(EH1733="D",1,0)</f>
        <v/>
      </c>
      <c r="AY1733">
        <f>IF(DJ1733&lt;&gt;"",1,0)+IF(DK1733&lt;&gt;"",1,0)+IF(DM1733&lt;&gt;"",1,0)+IF(DO1733&lt;&gt;"",1,0)+IF(DP1733&lt;&gt;"",1,0)+IF(DQ1733&lt;&gt;"",1,0)+IF(DS1733&lt;&gt;"",1,0)+IF(DT1733&lt;&gt;"",1,0)+IF(DV1733&lt;&gt;"",1,0)+IF(DW1733&lt;&gt;"",1,0)+IF(DX1733&lt;&gt;"",1,0)+IF(DY1733&lt;&gt;"",1,0)+IF(DZ1733&lt;&gt;"",1,0)+IF(EB1733&lt;&gt;"",1,0)+IF(EC1733&lt;&gt;"",1,0)+IF(ED1733&lt;&gt;"",1,0)+IF(EG1733&lt;&gt;"",1,0)+IF(EH1733&lt;&gt;"",1,0)</f>
        <v/>
      </c>
      <c r="AZ1733">
        <f>IF(EH1733&lt;&gt;"",1,0)</f>
        <v/>
      </c>
      <c r="BB1733" t="inlineStr">
        <is>
          <t>WARREN-WARD 4</t>
        </is>
      </c>
    </row>
    <row r="1734">
      <c r="A1734" t="inlineStr">
        <is>
          <t>OH0026142666</t>
        </is>
      </c>
      <c r="B1734" t="n">
        <v>78</v>
      </c>
      <c r="C1734" t="n">
        <v>457004</v>
      </c>
      <c r="D1734" t="inlineStr">
        <is>
          <t>FAY</t>
        </is>
      </c>
      <c r="E1734" t="inlineStr">
        <is>
          <t>TIMOTHY</t>
        </is>
      </c>
      <c r="F1734">
        <f>CONCATENATE(D1734," ",LEFT(H1734,4),"T=",AU1734,"D=",AV1734,"R=",AW1734,"M=",AX1734,"L=",AY1734,"B=",AZ1734)</f>
        <v/>
      </c>
      <c r="G1734" t="inlineStr">
        <is>
          <t>PATRICK</t>
        </is>
      </c>
      <c r="I1734" t="inlineStr">
        <is>
          <t>1953-04-28</t>
        </is>
      </c>
      <c r="J1734" t="inlineStr">
        <is>
          <t>2022-05-12</t>
        </is>
      </c>
      <c r="K1734" t="inlineStr">
        <is>
          <t>ACTIVE</t>
        </is>
      </c>
      <c r="M1734" t="inlineStr">
        <is>
          <t>296 MONROE ST NW</t>
        </is>
      </c>
      <c r="N1734">
        <f>RIGHT(M1734,LEN(M1734)-FIND(" ",M1734))</f>
        <v/>
      </c>
      <c r="P1734" t="inlineStr">
        <is>
          <t>WARREN</t>
        </is>
      </c>
      <c r="Q1734" t="inlineStr">
        <is>
          <t>OH</t>
        </is>
      </c>
      <c r="R1734" t="n">
        <v>44483</v>
      </c>
      <c r="AD1734" t="inlineStr">
        <is>
          <t>TRUMBULL CAREER &amp; TECH CENTER</t>
        </is>
      </c>
      <c r="AE1734" t="inlineStr">
        <is>
          <t>WARREN CITY</t>
        </is>
      </c>
      <c r="AF1734" t="inlineStr">
        <is>
          <t>WARREN CITY SD</t>
        </is>
      </c>
      <c r="AH1734" t="n">
        <v>14</v>
      </c>
      <c r="AI1734" t="n">
        <v>11</v>
      </c>
      <c r="AN1734" t="inlineStr">
        <is>
          <t>WARREN</t>
        </is>
      </c>
      <c r="AO1734" t="inlineStr">
        <is>
          <t>WARREN CITY 4D</t>
        </is>
      </c>
      <c r="AP1734" t="inlineStr">
        <is>
          <t>78-P-ADL</t>
        </is>
      </c>
      <c r="AQ1734" t="n">
        <v>9</v>
      </c>
      <c r="AR1734" t="n">
        <v>64</v>
      </c>
      <c r="AS1734" t="n">
        <v>32</v>
      </c>
      <c r="AU1734">
        <f>COUNTA($BA$1734:$EH$1734)</f>
        <v/>
      </c>
      <c r="AV1734">
        <f>COUNTIF($BA$1734:$EH$1734,"D")</f>
        <v/>
      </c>
      <c r="AW1734">
        <f>COUNTIF($BA$1734:$EH$1734,"R")</f>
        <v/>
      </c>
      <c r="AX1734">
        <f>IF(BN1734="D",1,0)+IF(BO1734="D",1,0)+IF(BT1734="D",1,0)+IF(BU1734="D",1,0)+IF(BW1734="D",1,0)+IF(CC1734="D",1,0)+IF(CD1734="D",1,0)+IF(CE1734="D",1,0)+IF(CF1734="D",1,0)+IF(CL1734="D",1,0)+IF(CM1734="D",1,0)+IF(CQ1734="D",1,0)+IF(CR1734="D",1,0)+IF(CS1734="D",1,0)+IF(CW1734="D",1,0)+IF(CX1734="D",1,0)+IF(DD1734="D",1,0)+IF(DE1734="D",1,0)+IF(DJ1734="D",1,0)+IF(DK1734="D",1,0)+IF(DO1734="D",1,0)+IF(DP1734="D",1,0)+IF(DQ1734="D",1,0)+IF(DW1734="D",1,0)+IF(DZ1734="D",1,0)+IF(EH1734="D",1,0)</f>
        <v/>
      </c>
      <c r="AY1734">
        <f>IF(DJ1734&lt;&gt;"",1,0)+IF(DK1734&lt;&gt;"",1,0)+IF(DM1734&lt;&gt;"",1,0)+IF(DO1734&lt;&gt;"",1,0)+IF(DP1734&lt;&gt;"",1,0)+IF(DQ1734&lt;&gt;"",1,0)+IF(DS1734&lt;&gt;"",1,0)+IF(DT1734&lt;&gt;"",1,0)+IF(DV1734&lt;&gt;"",1,0)+IF(DW1734&lt;&gt;"",1,0)+IF(DX1734&lt;&gt;"",1,0)+IF(DY1734&lt;&gt;"",1,0)+IF(DZ1734&lt;&gt;"",1,0)+IF(EB1734&lt;&gt;"",1,0)+IF(EC1734&lt;&gt;"",1,0)+IF(ED1734&lt;&gt;"",1,0)+IF(EG1734&lt;&gt;"",1,0)+IF(EH1734&lt;&gt;"",1,0)</f>
        <v/>
      </c>
      <c r="AZ1734">
        <f>IF(EH1734&lt;&gt;"",1,0)</f>
        <v/>
      </c>
      <c r="BB1734" t="inlineStr">
        <is>
          <t>WARREN-WARD 4</t>
        </is>
      </c>
      <c r="DU1734" t="inlineStr">
        <is>
          <t>X</t>
        </is>
      </c>
      <c r="EF1734" t="inlineStr">
        <is>
          <t>X</t>
        </is>
      </c>
    </row>
    <row r="1735">
      <c r="A1735" t="inlineStr">
        <is>
          <t>OH0027518582</t>
        </is>
      </c>
      <c r="B1735" t="n">
        <v>78</v>
      </c>
      <c r="C1735" t="n">
        <v>487698</v>
      </c>
      <c r="D1735" t="inlineStr">
        <is>
          <t>MOORE</t>
        </is>
      </c>
      <c r="E1735" t="inlineStr">
        <is>
          <t>GABRIELLE</t>
        </is>
      </c>
      <c r="F1735">
        <f>CONCATENATE(D1735," ",LEFT(H1735,4),"T=",AU1735,"D=",AV1735,"R=",AW1735,"M=",AX1735,"L=",AY1735,"B=",AZ1735)</f>
        <v/>
      </c>
      <c r="G1735" t="inlineStr">
        <is>
          <t>LEE</t>
        </is>
      </c>
      <c r="I1735" t="inlineStr">
        <is>
          <t>2005-12-14</t>
        </is>
      </c>
      <c r="J1735" t="inlineStr">
        <is>
          <t>2024-08-20</t>
        </is>
      </c>
      <c r="K1735" t="inlineStr">
        <is>
          <t>ACTIVE</t>
        </is>
      </c>
      <c r="M1735" t="inlineStr">
        <is>
          <t>1153 HARRISON ST NE</t>
        </is>
      </c>
      <c r="N1735">
        <f>RIGHT(M1735,LEN(M1735)-FIND(" ",M1735))</f>
        <v/>
      </c>
      <c r="P1735" t="inlineStr">
        <is>
          <t>WARREN</t>
        </is>
      </c>
      <c r="Q1735" t="inlineStr">
        <is>
          <t>OH</t>
        </is>
      </c>
      <c r="R1735" t="n">
        <v>44483</v>
      </c>
      <c r="AD1735" t="inlineStr">
        <is>
          <t>TRUMBULL CAREER &amp; TECH CENTER</t>
        </is>
      </c>
      <c r="AE1735" t="inlineStr">
        <is>
          <t>WARREN CITY</t>
        </is>
      </c>
      <c r="AF1735" t="inlineStr">
        <is>
          <t>WARREN CITY SD</t>
        </is>
      </c>
      <c r="AH1735" t="n">
        <v>14</v>
      </c>
      <c r="AI1735" t="n">
        <v>11</v>
      </c>
      <c r="AN1735" t="inlineStr">
        <is>
          <t>WARREN</t>
        </is>
      </c>
      <c r="AO1735" t="inlineStr">
        <is>
          <t>WARREN CITY 4D</t>
        </is>
      </c>
      <c r="AP1735" t="inlineStr">
        <is>
          <t>78-P-ADL</t>
        </is>
      </c>
      <c r="AQ1735" t="n">
        <v>9</v>
      </c>
      <c r="AR1735" t="n">
        <v>64</v>
      </c>
      <c r="AS1735" t="n">
        <v>32</v>
      </c>
      <c r="AU1735">
        <f>COUNTA($BA$1735:$EH$1735)</f>
        <v/>
      </c>
      <c r="AV1735">
        <f>COUNTIF($BA$1735:$EH$1735,"D")</f>
        <v/>
      </c>
      <c r="AW1735">
        <f>COUNTIF($BA$1735:$EH$1735,"R")</f>
        <v/>
      </c>
      <c r="AX1735">
        <f>IF(BN1735="D",1,0)+IF(BO1735="D",1,0)+IF(BT1735="D",1,0)+IF(BU1735="D",1,0)+IF(BW1735="D",1,0)+IF(CC1735="D",1,0)+IF(CD1735="D",1,0)+IF(CE1735="D",1,0)+IF(CF1735="D",1,0)+IF(CL1735="D",1,0)+IF(CM1735="D",1,0)+IF(CQ1735="D",1,0)+IF(CR1735="D",1,0)+IF(CS1735="D",1,0)+IF(CW1735="D",1,0)+IF(CX1735="D",1,0)+IF(DD1735="D",1,0)+IF(DE1735="D",1,0)+IF(DJ1735="D",1,0)+IF(DK1735="D",1,0)+IF(DO1735="D",1,0)+IF(DP1735="D",1,0)+IF(DQ1735="D",1,0)+IF(DW1735="D",1,0)+IF(DZ1735="D",1,0)+IF(EH1735="D",1,0)</f>
        <v/>
      </c>
      <c r="AY1735">
        <f>IF(DJ1735&lt;&gt;"",1,0)+IF(DK1735&lt;&gt;"",1,0)+IF(DM1735&lt;&gt;"",1,0)+IF(DO1735&lt;&gt;"",1,0)+IF(DP1735&lt;&gt;"",1,0)+IF(DQ1735&lt;&gt;"",1,0)+IF(DS1735&lt;&gt;"",1,0)+IF(DT1735&lt;&gt;"",1,0)+IF(DV1735&lt;&gt;"",1,0)+IF(DW1735&lt;&gt;"",1,0)+IF(DX1735&lt;&gt;"",1,0)+IF(DY1735&lt;&gt;"",1,0)+IF(DZ1735&lt;&gt;"",1,0)+IF(EB1735&lt;&gt;"",1,0)+IF(EC1735&lt;&gt;"",1,0)+IF(ED1735&lt;&gt;"",1,0)+IF(EG1735&lt;&gt;"",1,0)+IF(EH1735&lt;&gt;"",1,0)</f>
        <v/>
      </c>
      <c r="AZ1735">
        <f>IF(EH1735&lt;&gt;"",1,0)</f>
        <v/>
      </c>
      <c r="BB1735" t="inlineStr">
        <is>
          <t>WARREN-WARD 4</t>
        </is>
      </c>
      <c r="EF1735" t="inlineStr">
        <is>
          <t>X</t>
        </is>
      </c>
    </row>
    <row r="1736">
      <c r="A1736" t="inlineStr">
        <is>
          <t>OH0024821850</t>
        </is>
      </c>
      <c r="B1736" t="n">
        <v>78</v>
      </c>
      <c r="C1736" t="n">
        <v>435392</v>
      </c>
      <c r="D1736" t="inlineStr">
        <is>
          <t>POST</t>
        </is>
      </c>
      <c r="E1736" t="inlineStr">
        <is>
          <t>APRIL</t>
        </is>
      </c>
      <c r="F1736">
        <f>CONCATENATE(D1736," ",LEFT(H1736,4),"T=",AU1736,"D=",AV1736,"R=",AW1736,"M=",AX1736,"L=",AY1736,"B=",AZ1736)</f>
        <v/>
      </c>
      <c r="G1736" t="inlineStr">
        <is>
          <t>L</t>
        </is>
      </c>
      <c r="I1736" t="inlineStr">
        <is>
          <t>1975-09-25</t>
        </is>
      </c>
      <c r="J1736" t="inlineStr">
        <is>
          <t>2018-09-25</t>
        </is>
      </c>
      <c r="K1736" t="inlineStr">
        <is>
          <t>ACTIVE</t>
        </is>
      </c>
      <c r="M1736" t="inlineStr">
        <is>
          <t>408 CHESTNUT AVE NE</t>
        </is>
      </c>
      <c r="N1736">
        <f>RIGHT(M1736,LEN(M1736)-FIND(" ",M1736))</f>
        <v/>
      </c>
      <c r="P1736" t="inlineStr">
        <is>
          <t>WARREN</t>
        </is>
      </c>
      <c r="Q1736" t="inlineStr">
        <is>
          <t>OH</t>
        </is>
      </c>
      <c r="R1736" t="n">
        <v>44483</v>
      </c>
      <c r="AD1736" t="inlineStr">
        <is>
          <t>TRUMBULL CAREER &amp; TECH CENTER</t>
        </is>
      </c>
      <c r="AE1736" t="inlineStr">
        <is>
          <t>WARREN CITY</t>
        </is>
      </c>
      <c r="AF1736" t="inlineStr">
        <is>
          <t>WARREN CITY SD</t>
        </is>
      </c>
      <c r="AH1736" t="n">
        <v>14</v>
      </c>
      <c r="AI1736" t="n">
        <v>11</v>
      </c>
      <c r="AN1736" t="inlineStr">
        <is>
          <t>WARREN</t>
        </is>
      </c>
      <c r="AO1736" t="inlineStr">
        <is>
          <t>WARREN CITY 4D</t>
        </is>
      </c>
      <c r="AP1736" t="inlineStr">
        <is>
          <t>78-P-ADL</t>
        </is>
      </c>
      <c r="AQ1736" t="n">
        <v>9</v>
      </c>
      <c r="AR1736" t="n">
        <v>64</v>
      </c>
      <c r="AS1736" t="n">
        <v>32</v>
      </c>
      <c r="AU1736">
        <f>COUNTA($BA$1736:$EH$1736)</f>
        <v/>
      </c>
      <c r="AV1736">
        <f>COUNTIF($BA$1736:$EH$1736,"D")</f>
        <v/>
      </c>
      <c r="AW1736">
        <f>COUNTIF($BA$1736:$EH$1736,"R")</f>
        <v/>
      </c>
      <c r="AX1736">
        <f>IF(BN1736="D",1,0)+IF(BO1736="D",1,0)+IF(BT1736="D",1,0)+IF(BU1736="D",1,0)+IF(BW1736="D",1,0)+IF(CC1736="D",1,0)+IF(CD1736="D",1,0)+IF(CE1736="D",1,0)+IF(CF1736="D",1,0)+IF(CL1736="D",1,0)+IF(CM1736="D",1,0)+IF(CQ1736="D",1,0)+IF(CR1736="D",1,0)+IF(CS1736="D",1,0)+IF(CW1736="D",1,0)+IF(CX1736="D",1,0)+IF(DD1736="D",1,0)+IF(DE1736="D",1,0)+IF(DJ1736="D",1,0)+IF(DK1736="D",1,0)+IF(DO1736="D",1,0)+IF(DP1736="D",1,0)+IF(DQ1736="D",1,0)+IF(DW1736="D",1,0)+IF(DZ1736="D",1,0)+IF(EH1736="D",1,0)</f>
        <v/>
      </c>
      <c r="AY1736">
        <f>IF(DJ1736&lt;&gt;"",1,0)+IF(DK1736&lt;&gt;"",1,0)+IF(DM1736&lt;&gt;"",1,0)+IF(DO1736&lt;&gt;"",1,0)+IF(DP1736&lt;&gt;"",1,0)+IF(DQ1736&lt;&gt;"",1,0)+IF(DS1736&lt;&gt;"",1,0)+IF(DT1736&lt;&gt;"",1,0)+IF(DV1736&lt;&gt;"",1,0)+IF(DW1736&lt;&gt;"",1,0)+IF(DX1736&lt;&gt;"",1,0)+IF(DY1736&lt;&gt;"",1,0)+IF(DZ1736&lt;&gt;"",1,0)+IF(EB1736&lt;&gt;"",1,0)+IF(EC1736&lt;&gt;"",1,0)+IF(ED1736&lt;&gt;"",1,0)+IF(EG1736&lt;&gt;"",1,0)+IF(EH1736&lt;&gt;"",1,0)</f>
        <v/>
      </c>
      <c r="AZ1736">
        <f>IF(EH1736&lt;&gt;"",1,0)</f>
        <v/>
      </c>
      <c r="BB1736" t="inlineStr">
        <is>
          <t>WARREN-WARD 4</t>
        </is>
      </c>
    </row>
    <row r="1737">
      <c r="A1737" t="inlineStr">
        <is>
          <t>OH0020963387</t>
        </is>
      </c>
      <c r="B1737" t="n">
        <v>78</v>
      </c>
      <c r="C1737" t="n">
        <v>372980</v>
      </c>
      <c r="D1737" t="inlineStr">
        <is>
          <t>BOKONE</t>
        </is>
      </c>
      <c r="E1737" t="inlineStr">
        <is>
          <t>SARAH</t>
        </is>
      </c>
      <c r="F1737">
        <f>CONCATENATE(D1737," ",LEFT(H1737,4),"T=",AU1737,"D=",AV1737,"R=",AW1737,"M=",AX1737,"L=",AY1737,"B=",AZ1737)</f>
        <v/>
      </c>
      <c r="G1737" t="inlineStr">
        <is>
          <t>ELIZABETH</t>
        </is>
      </c>
      <c r="I1737" t="inlineStr">
        <is>
          <t>1986-12-01</t>
        </is>
      </c>
      <c r="J1737" t="inlineStr">
        <is>
          <t>2014-02-04</t>
        </is>
      </c>
      <c r="K1737" t="inlineStr">
        <is>
          <t>ACTIVE</t>
        </is>
      </c>
      <c r="M1737" t="inlineStr">
        <is>
          <t>161 W MARKET ST</t>
        </is>
      </c>
      <c r="N1737">
        <f>RIGHT(M1737,LEN(M1737)-FIND(" ",M1737))</f>
        <v/>
      </c>
      <c r="P1737" t="inlineStr">
        <is>
          <t>WARREN</t>
        </is>
      </c>
      <c r="Q1737" t="inlineStr">
        <is>
          <t>OH</t>
        </is>
      </c>
      <c r="R1737" t="n">
        <v>44481</v>
      </c>
      <c r="AD1737" t="inlineStr">
        <is>
          <t>TRUMBULL CAREER &amp; TECH CENTER</t>
        </is>
      </c>
      <c r="AE1737" t="inlineStr">
        <is>
          <t>WARREN CITY</t>
        </is>
      </c>
      <c r="AF1737" t="inlineStr">
        <is>
          <t>WARREN CITY SD</t>
        </is>
      </c>
      <c r="AH1737" t="n">
        <v>14</v>
      </c>
      <c r="AI1737" t="n">
        <v>11</v>
      </c>
      <c r="AN1737" t="inlineStr">
        <is>
          <t>WARREN</t>
        </is>
      </c>
      <c r="AO1737" t="inlineStr">
        <is>
          <t>WARREN CITY 4D</t>
        </is>
      </c>
      <c r="AP1737" t="inlineStr">
        <is>
          <t>78-P-ADL</t>
        </is>
      </c>
      <c r="AQ1737" t="n">
        <v>9</v>
      </c>
      <c r="AR1737" t="n">
        <v>64</v>
      </c>
      <c r="AS1737" t="n">
        <v>32</v>
      </c>
      <c r="AU1737">
        <f>COUNTA($BA$1737:$EH$1737)</f>
        <v/>
      </c>
      <c r="AV1737">
        <f>COUNTIF($BA$1737:$EH$1737,"D")</f>
        <v/>
      </c>
      <c r="AW1737">
        <f>COUNTIF($BA$1737:$EH$1737,"R")</f>
        <v/>
      </c>
      <c r="AX1737">
        <f>IF(BN1737="D",1,0)+IF(BO1737="D",1,0)+IF(BT1737="D",1,0)+IF(BU1737="D",1,0)+IF(BW1737="D",1,0)+IF(CC1737="D",1,0)+IF(CD1737="D",1,0)+IF(CE1737="D",1,0)+IF(CF1737="D",1,0)+IF(CL1737="D",1,0)+IF(CM1737="D",1,0)+IF(CQ1737="D",1,0)+IF(CR1737="D",1,0)+IF(CS1737="D",1,0)+IF(CW1737="D",1,0)+IF(CX1737="D",1,0)+IF(DD1737="D",1,0)+IF(DE1737="D",1,0)+IF(DJ1737="D",1,0)+IF(DK1737="D",1,0)+IF(DO1737="D",1,0)+IF(DP1737="D",1,0)+IF(DQ1737="D",1,0)+IF(DW1737="D",1,0)+IF(DZ1737="D",1,0)+IF(EH1737="D",1,0)</f>
        <v/>
      </c>
      <c r="AY1737">
        <f>IF(DJ1737&lt;&gt;"",1,0)+IF(DK1737&lt;&gt;"",1,0)+IF(DM1737&lt;&gt;"",1,0)+IF(DO1737&lt;&gt;"",1,0)+IF(DP1737&lt;&gt;"",1,0)+IF(DQ1737&lt;&gt;"",1,0)+IF(DS1737&lt;&gt;"",1,0)+IF(DT1737&lt;&gt;"",1,0)+IF(DV1737&lt;&gt;"",1,0)+IF(DW1737&lt;&gt;"",1,0)+IF(DX1737&lt;&gt;"",1,0)+IF(DY1737&lt;&gt;"",1,0)+IF(DZ1737&lt;&gt;"",1,0)+IF(EB1737&lt;&gt;"",1,0)+IF(EC1737&lt;&gt;"",1,0)+IF(ED1737&lt;&gt;"",1,0)+IF(EG1737&lt;&gt;"",1,0)+IF(EH1737&lt;&gt;"",1,0)</f>
        <v/>
      </c>
      <c r="AZ1737">
        <f>IF(EH1737&lt;&gt;"",1,0)</f>
        <v/>
      </c>
      <c r="BB1737" t="inlineStr">
        <is>
          <t>WARREN-WARD 4</t>
        </is>
      </c>
      <c r="CY1737" t="inlineStr">
        <is>
          <t>X</t>
        </is>
      </c>
      <c r="DC1737" t="inlineStr">
        <is>
          <t>X</t>
        </is>
      </c>
      <c r="DI1737" t="inlineStr">
        <is>
          <t>X</t>
        </is>
      </c>
      <c r="DN1737" t="inlineStr">
        <is>
          <t>X</t>
        </is>
      </c>
      <c r="EA1737" t="inlineStr">
        <is>
          <t>X</t>
        </is>
      </c>
      <c r="EF1737" t="inlineStr">
        <is>
          <t>X</t>
        </is>
      </c>
    </row>
    <row r="1738">
      <c r="A1738" t="inlineStr">
        <is>
          <t>OH0015800066</t>
        </is>
      </c>
      <c r="B1738" t="n">
        <v>78</v>
      </c>
      <c r="C1738" t="n">
        <v>316737</v>
      </c>
      <c r="D1738" t="inlineStr">
        <is>
          <t>GIBBS</t>
        </is>
      </c>
      <c r="E1738" t="inlineStr">
        <is>
          <t>WILLIAM</t>
        </is>
      </c>
      <c r="F1738">
        <f>CONCATENATE(D1738," ",LEFT(H1738,4),"T=",AU1738,"D=",AV1738,"R=",AW1738,"M=",AX1738,"L=",AY1738,"B=",AZ1738)</f>
        <v/>
      </c>
      <c r="G1738" t="inlineStr">
        <is>
          <t>E</t>
        </is>
      </c>
      <c r="H1738" t="inlineStr">
        <is>
          <t>SR</t>
        </is>
      </c>
      <c r="I1738" t="inlineStr">
        <is>
          <t>1959-09-19</t>
        </is>
      </c>
      <c r="J1738" t="inlineStr">
        <is>
          <t>2024-09-26</t>
        </is>
      </c>
      <c r="K1738" t="inlineStr">
        <is>
          <t>ACTIVE</t>
        </is>
      </c>
      <c r="M1738" t="inlineStr">
        <is>
          <t>449 ORANGE CT NE</t>
        </is>
      </c>
      <c r="N1738">
        <f>RIGHT(M1738,LEN(M1738)-FIND(" ",M1738))</f>
        <v/>
      </c>
      <c r="P1738" t="inlineStr">
        <is>
          <t>WARREN</t>
        </is>
      </c>
      <c r="Q1738" t="inlineStr">
        <is>
          <t>OH</t>
        </is>
      </c>
      <c r="R1738" t="n">
        <v>44483</v>
      </c>
      <c r="AD1738" t="inlineStr">
        <is>
          <t>TRUMBULL CAREER &amp; TECH CENTER</t>
        </is>
      </c>
      <c r="AE1738" t="inlineStr">
        <is>
          <t>WARREN CITY</t>
        </is>
      </c>
      <c r="AF1738" t="inlineStr">
        <is>
          <t>WARREN CITY SD</t>
        </is>
      </c>
      <c r="AH1738" t="n">
        <v>14</v>
      </c>
      <c r="AI1738" t="n">
        <v>11</v>
      </c>
      <c r="AN1738" t="inlineStr">
        <is>
          <t>WARREN</t>
        </is>
      </c>
      <c r="AO1738" t="inlineStr">
        <is>
          <t>WARREN CITY 4D</t>
        </is>
      </c>
      <c r="AP1738" t="inlineStr">
        <is>
          <t>78-P-ADL</t>
        </is>
      </c>
      <c r="AQ1738" t="n">
        <v>9</v>
      </c>
      <c r="AR1738" t="n">
        <v>64</v>
      </c>
      <c r="AS1738" t="n">
        <v>32</v>
      </c>
      <c r="AU1738">
        <f>COUNTA($BA$1738:$EH$1738)</f>
        <v/>
      </c>
      <c r="AV1738">
        <f>COUNTIF($BA$1738:$EH$1738,"D")</f>
        <v/>
      </c>
      <c r="AW1738">
        <f>COUNTIF($BA$1738:$EH$1738,"R")</f>
        <v/>
      </c>
      <c r="AX1738">
        <f>IF(BN1738="D",1,0)+IF(BO1738="D",1,0)+IF(BT1738="D",1,0)+IF(BU1738="D",1,0)+IF(BW1738="D",1,0)+IF(CC1738="D",1,0)+IF(CD1738="D",1,0)+IF(CE1738="D",1,0)+IF(CF1738="D",1,0)+IF(CL1738="D",1,0)+IF(CM1738="D",1,0)+IF(CQ1738="D",1,0)+IF(CR1738="D",1,0)+IF(CS1738="D",1,0)+IF(CW1738="D",1,0)+IF(CX1738="D",1,0)+IF(DD1738="D",1,0)+IF(DE1738="D",1,0)+IF(DJ1738="D",1,0)+IF(DK1738="D",1,0)+IF(DO1738="D",1,0)+IF(DP1738="D",1,0)+IF(DQ1738="D",1,0)+IF(DW1738="D",1,0)+IF(DZ1738="D",1,0)+IF(EH1738="D",1,0)</f>
        <v/>
      </c>
      <c r="AY1738">
        <f>IF(DJ1738&lt;&gt;"",1,0)+IF(DK1738&lt;&gt;"",1,0)+IF(DM1738&lt;&gt;"",1,0)+IF(DO1738&lt;&gt;"",1,0)+IF(DP1738&lt;&gt;"",1,0)+IF(DQ1738&lt;&gt;"",1,0)+IF(DS1738&lt;&gt;"",1,0)+IF(DT1738&lt;&gt;"",1,0)+IF(DV1738&lt;&gt;"",1,0)+IF(DW1738&lt;&gt;"",1,0)+IF(DX1738&lt;&gt;"",1,0)+IF(DY1738&lt;&gt;"",1,0)+IF(DZ1738&lt;&gt;"",1,0)+IF(EB1738&lt;&gt;"",1,0)+IF(EC1738&lt;&gt;"",1,0)+IF(ED1738&lt;&gt;"",1,0)+IF(EG1738&lt;&gt;"",1,0)+IF(EH1738&lt;&gt;"",1,0)</f>
        <v/>
      </c>
      <c r="AZ1738">
        <f>IF(EH1738&lt;&gt;"",1,0)</f>
        <v/>
      </c>
      <c r="BB1738" t="inlineStr">
        <is>
          <t>WARREN-WARD 4</t>
        </is>
      </c>
      <c r="BJ1738" t="inlineStr">
        <is>
          <t>X</t>
        </is>
      </c>
      <c r="BK1738" t="inlineStr">
        <is>
          <t>X</t>
        </is>
      </c>
      <c r="BL1738" t="inlineStr">
        <is>
          <t>X</t>
        </is>
      </c>
      <c r="BS1738" t="inlineStr">
        <is>
          <t>X</t>
        </is>
      </c>
      <c r="CA1738" t="inlineStr">
        <is>
          <t>X</t>
        </is>
      </c>
      <c r="CY1738" t="inlineStr">
        <is>
          <t>X</t>
        </is>
      </c>
      <c r="DC1738" t="inlineStr">
        <is>
          <t>X</t>
        </is>
      </c>
    </row>
    <row r="1739">
      <c r="A1739" t="inlineStr">
        <is>
          <t>OH0015718207</t>
        </is>
      </c>
      <c r="B1739" t="n">
        <v>78</v>
      </c>
      <c r="C1739" t="n">
        <v>196139</v>
      </c>
      <c r="D1739" t="inlineStr">
        <is>
          <t>SWINDLER</t>
        </is>
      </c>
      <c r="E1739" t="inlineStr">
        <is>
          <t>CHARLES</t>
        </is>
      </c>
      <c r="F1739">
        <f>CONCATENATE(D1739," ",LEFT(H1739,4),"T=",AU1739,"D=",AV1739,"R=",AW1739,"M=",AX1739,"L=",AY1739,"B=",AZ1739)</f>
        <v/>
      </c>
      <c r="G1739" t="inlineStr">
        <is>
          <t>S</t>
        </is>
      </c>
      <c r="I1739" t="inlineStr">
        <is>
          <t>1956-08-02</t>
        </is>
      </c>
      <c r="J1739" t="inlineStr">
        <is>
          <t>2019-08-24</t>
        </is>
      </c>
      <c r="K1739" t="inlineStr">
        <is>
          <t>CONFIRMATION</t>
        </is>
      </c>
      <c r="M1739" t="inlineStr">
        <is>
          <t>464 VINE AVE NE</t>
        </is>
      </c>
      <c r="N1739">
        <f>RIGHT(M1739,LEN(M1739)-FIND(" ",M1739))</f>
        <v/>
      </c>
      <c r="O1739" t="inlineStr">
        <is>
          <t>APT 1</t>
        </is>
      </c>
      <c r="P1739" t="inlineStr">
        <is>
          <t>WARREN</t>
        </is>
      </c>
      <c r="Q1739" t="inlineStr">
        <is>
          <t>OH</t>
        </is>
      </c>
      <c r="R1739" t="n">
        <v>44483</v>
      </c>
      <c r="AD1739" t="inlineStr">
        <is>
          <t>TRUMBULL CAREER &amp; TECH CENTER</t>
        </is>
      </c>
      <c r="AE1739" t="inlineStr">
        <is>
          <t>WARREN CITY</t>
        </is>
      </c>
      <c r="AF1739" t="inlineStr">
        <is>
          <t>WARREN CITY SD</t>
        </is>
      </c>
      <c r="AH1739" t="n">
        <v>14</v>
      </c>
      <c r="AI1739" t="n">
        <v>11</v>
      </c>
      <c r="AN1739" t="inlineStr">
        <is>
          <t>WARREN</t>
        </is>
      </c>
      <c r="AO1739" t="inlineStr">
        <is>
          <t>WARREN CITY 4D</t>
        </is>
      </c>
      <c r="AP1739" t="inlineStr">
        <is>
          <t>78-P-ADL</t>
        </is>
      </c>
      <c r="AQ1739" t="n">
        <v>9</v>
      </c>
      <c r="AR1739" t="n">
        <v>64</v>
      </c>
      <c r="AS1739" t="n">
        <v>32</v>
      </c>
      <c r="AU1739">
        <f>COUNTA($BA$1739:$EH$1739)</f>
        <v/>
      </c>
      <c r="AV1739">
        <f>COUNTIF($BA$1739:$EH$1739,"D")</f>
        <v/>
      </c>
      <c r="AW1739">
        <f>COUNTIF($BA$1739:$EH$1739,"R")</f>
        <v/>
      </c>
      <c r="AX1739">
        <f>IF(BN1739="D",1,0)+IF(BO1739="D",1,0)+IF(BT1739="D",1,0)+IF(BU1739="D",1,0)+IF(BW1739="D",1,0)+IF(CC1739="D",1,0)+IF(CD1739="D",1,0)+IF(CE1739="D",1,0)+IF(CF1739="D",1,0)+IF(CL1739="D",1,0)+IF(CM1739="D",1,0)+IF(CQ1739="D",1,0)+IF(CR1739="D",1,0)+IF(CS1739="D",1,0)+IF(CW1739="D",1,0)+IF(CX1739="D",1,0)+IF(DD1739="D",1,0)+IF(DE1739="D",1,0)+IF(DJ1739="D",1,0)+IF(DK1739="D",1,0)+IF(DO1739="D",1,0)+IF(DP1739="D",1,0)+IF(DQ1739="D",1,0)+IF(DW1739="D",1,0)+IF(DZ1739="D",1,0)+IF(EH1739="D",1,0)</f>
        <v/>
      </c>
      <c r="AY1739">
        <f>IF(DJ1739&lt;&gt;"",1,0)+IF(DK1739&lt;&gt;"",1,0)+IF(DM1739&lt;&gt;"",1,0)+IF(DO1739&lt;&gt;"",1,0)+IF(DP1739&lt;&gt;"",1,0)+IF(DQ1739&lt;&gt;"",1,0)+IF(DS1739&lt;&gt;"",1,0)+IF(DT1739&lt;&gt;"",1,0)+IF(DV1739&lt;&gt;"",1,0)+IF(DW1739&lt;&gt;"",1,0)+IF(DX1739&lt;&gt;"",1,0)+IF(DY1739&lt;&gt;"",1,0)+IF(DZ1739&lt;&gt;"",1,0)+IF(EB1739&lt;&gt;"",1,0)+IF(EC1739&lt;&gt;"",1,0)+IF(ED1739&lt;&gt;"",1,0)+IF(EG1739&lt;&gt;"",1,0)+IF(EH1739&lt;&gt;"",1,0)</f>
        <v/>
      </c>
      <c r="AZ1739">
        <f>IF(EH1739&lt;&gt;"",1,0)</f>
        <v/>
      </c>
      <c r="BB1739" t="inlineStr">
        <is>
          <t>WARREN-WARD 4</t>
        </is>
      </c>
      <c r="BD1739" t="inlineStr">
        <is>
          <t>X</t>
        </is>
      </c>
      <c r="BG1739" t="inlineStr">
        <is>
          <t>X</t>
        </is>
      </c>
      <c r="BH1739" t="inlineStr">
        <is>
          <t>X</t>
        </is>
      </c>
      <c r="BK1739" t="inlineStr">
        <is>
          <t>X</t>
        </is>
      </c>
      <c r="BL1739" t="inlineStr">
        <is>
          <t>X</t>
        </is>
      </c>
      <c r="BP1739" t="inlineStr">
        <is>
          <t>X</t>
        </is>
      </c>
      <c r="BR1739" t="inlineStr">
        <is>
          <t>X</t>
        </is>
      </c>
      <c r="BS1739" t="inlineStr">
        <is>
          <t>X</t>
        </is>
      </c>
      <c r="CA1739" t="inlineStr">
        <is>
          <t>X</t>
        </is>
      </c>
      <c r="CH1739" t="inlineStr">
        <is>
          <t>D</t>
        </is>
      </c>
      <c r="CK1739" t="inlineStr">
        <is>
          <t>X</t>
        </is>
      </c>
      <c r="CN1739" t="inlineStr">
        <is>
          <t>X</t>
        </is>
      </c>
      <c r="DL1739" t="inlineStr">
        <is>
          <t>X</t>
        </is>
      </c>
      <c r="DM1739" t="inlineStr">
        <is>
          <t>D</t>
        </is>
      </c>
      <c r="DN1739" t="inlineStr">
        <is>
          <t>X</t>
        </is>
      </c>
    </row>
    <row r="1740">
      <c r="A1740" t="inlineStr">
        <is>
          <t>OH0024094703</t>
        </is>
      </c>
      <c r="B1740" t="n">
        <v>78</v>
      </c>
      <c r="C1740" t="n">
        <v>421943</v>
      </c>
      <c r="D1740" t="inlineStr">
        <is>
          <t>WARD</t>
        </is>
      </c>
      <c r="E1740" t="inlineStr">
        <is>
          <t>TARA</t>
        </is>
      </c>
      <c r="F1740">
        <f>CONCATENATE(D1740," ",LEFT(H1740,4),"T=",AU1740,"D=",AV1740,"R=",AW1740,"M=",AX1740,"L=",AY1740,"B=",AZ1740)</f>
        <v/>
      </c>
      <c r="G1740" t="inlineStr">
        <is>
          <t>S</t>
        </is>
      </c>
      <c r="I1740" t="inlineStr">
        <is>
          <t>1985-10-11</t>
        </is>
      </c>
      <c r="J1740" t="inlineStr">
        <is>
          <t>2016-10-03</t>
        </is>
      </c>
      <c r="K1740" t="inlineStr">
        <is>
          <t>CONFIRMATION</t>
        </is>
      </c>
      <c r="M1740" t="inlineStr">
        <is>
          <t>1156 WOODLAND AVE NE</t>
        </is>
      </c>
      <c r="N1740">
        <f>RIGHT(M1740,LEN(M1740)-FIND(" ",M1740))</f>
        <v/>
      </c>
      <c r="P1740" t="inlineStr">
        <is>
          <t>WARREN</t>
        </is>
      </c>
      <c r="Q1740" t="inlineStr">
        <is>
          <t>OH</t>
        </is>
      </c>
      <c r="R1740" t="n">
        <v>44483</v>
      </c>
      <c r="AD1740" t="inlineStr">
        <is>
          <t>TRUMBULL CAREER &amp; TECH CENTER</t>
        </is>
      </c>
      <c r="AE1740" t="inlineStr">
        <is>
          <t>WARREN CITY</t>
        </is>
      </c>
      <c r="AF1740" t="inlineStr">
        <is>
          <t>WARREN CITY SD</t>
        </is>
      </c>
      <c r="AH1740" t="n">
        <v>14</v>
      </c>
      <c r="AI1740" t="n">
        <v>11</v>
      </c>
      <c r="AN1740" t="inlineStr">
        <is>
          <t>WARREN</t>
        </is>
      </c>
      <c r="AO1740" t="inlineStr">
        <is>
          <t>WARREN CITY 4D</t>
        </is>
      </c>
      <c r="AP1740" t="inlineStr">
        <is>
          <t>78-P-ADL</t>
        </is>
      </c>
      <c r="AQ1740" t="n">
        <v>9</v>
      </c>
      <c r="AR1740" t="n">
        <v>64</v>
      </c>
      <c r="AS1740" t="n">
        <v>32</v>
      </c>
      <c r="AU1740">
        <f>COUNTA($BA$1740:$EH$1740)</f>
        <v/>
      </c>
      <c r="AV1740">
        <f>COUNTIF($BA$1740:$EH$1740,"D")</f>
        <v/>
      </c>
      <c r="AW1740">
        <f>COUNTIF($BA$1740:$EH$1740,"R")</f>
        <v/>
      </c>
      <c r="AX1740">
        <f>IF(BN1740="D",1,0)+IF(BO1740="D",1,0)+IF(BT1740="D",1,0)+IF(BU1740="D",1,0)+IF(BW1740="D",1,0)+IF(CC1740="D",1,0)+IF(CD1740="D",1,0)+IF(CE1740="D",1,0)+IF(CF1740="D",1,0)+IF(CL1740="D",1,0)+IF(CM1740="D",1,0)+IF(CQ1740="D",1,0)+IF(CR1740="D",1,0)+IF(CS1740="D",1,0)+IF(CW1740="D",1,0)+IF(CX1740="D",1,0)+IF(DD1740="D",1,0)+IF(DE1740="D",1,0)+IF(DJ1740="D",1,0)+IF(DK1740="D",1,0)+IF(DO1740="D",1,0)+IF(DP1740="D",1,0)+IF(DQ1740="D",1,0)+IF(DW1740="D",1,0)+IF(DZ1740="D",1,0)+IF(EH1740="D",1,0)</f>
        <v/>
      </c>
      <c r="AY1740">
        <f>IF(DJ1740&lt;&gt;"",1,0)+IF(DK1740&lt;&gt;"",1,0)+IF(DM1740&lt;&gt;"",1,0)+IF(DO1740&lt;&gt;"",1,0)+IF(DP1740&lt;&gt;"",1,0)+IF(DQ1740&lt;&gt;"",1,0)+IF(DS1740&lt;&gt;"",1,0)+IF(DT1740&lt;&gt;"",1,0)+IF(DV1740&lt;&gt;"",1,0)+IF(DW1740&lt;&gt;"",1,0)+IF(DX1740&lt;&gt;"",1,0)+IF(DY1740&lt;&gt;"",1,0)+IF(DZ1740&lt;&gt;"",1,0)+IF(EB1740&lt;&gt;"",1,0)+IF(EC1740&lt;&gt;"",1,0)+IF(ED1740&lt;&gt;"",1,0)+IF(EG1740&lt;&gt;"",1,0)+IF(EH1740&lt;&gt;"",1,0)</f>
        <v/>
      </c>
      <c r="AZ1740">
        <f>IF(EH1740&lt;&gt;"",1,0)</f>
        <v/>
      </c>
      <c r="BB1740" t="inlineStr">
        <is>
          <t>WARREN-WARD 4</t>
        </is>
      </c>
    </row>
    <row r="1741">
      <c r="A1741" t="inlineStr">
        <is>
          <t>OH0026769292</t>
        </is>
      </c>
      <c r="B1741" t="n">
        <v>78</v>
      </c>
      <c r="C1741" t="n">
        <v>468233</v>
      </c>
      <c r="D1741" t="inlineStr">
        <is>
          <t>PALMER MILLER</t>
        </is>
      </c>
      <c r="E1741" t="inlineStr">
        <is>
          <t>AMIYAH</t>
        </is>
      </c>
      <c r="F1741">
        <f>CONCATENATE(D1741," ",LEFT(H1741,4),"T=",AU1741,"D=",AV1741,"R=",AW1741,"M=",AX1741,"L=",AY1741,"B=",AZ1741)</f>
        <v/>
      </c>
      <c r="G1741" t="inlineStr">
        <is>
          <t>RAIN</t>
        </is>
      </c>
      <c r="I1741" t="inlineStr">
        <is>
          <t>2003-10-13</t>
        </is>
      </c>
      <c r="J1741" t="inlineStr">
        <is>
          <t>2022-11-21</t>
        </is>
      </c>
      <c r="K1741" t="inlineStr">
        <is>
          <t>ACTIVE</t>
        </is>
      </c>
      <c r="M1741" t="inlineStr">
        <is>
          <t>200 WASHINGTON ST NE</t>
        </is>
      </c>
      <c r="N1741">
        <f>RIGHT(M1741,LEN(M1741)-FIND(" ",M1741))</f>
        <v/>
      </c>
      <c r="O1741" t="inlineStr">
        <is>
          <t>APT 22</t>
        </is>
      </c>
      <c r="P1741" t="inlineStr">
        <is>
          <t>WARREN</t>
        </is>
      </c>
      <c r="Q1741" t="inlineStr">
        <is>
          <t>OH</t>
        </is>
      </c>
      <c r="R1741" t="n">
        <v>44483</v>
      </c>
      <c r="AD1741" t="inlineStr">
        <is>
          <t>TRUMBULL CAREER &amp; TECH CENTER</t>
        </is>
      </c>
      <c r="AE1741" t="inlineStr">
        <is>
          <t>WARREN CITY</t>
        </is>
      </c>
      <c r="AF1741" t="inlineStr">
        <is>
          <t>WARREN CITY SD</t>
        </is>
      </c>
      <c r="AH1741" t="n">
        <v>14</v>
      </c>
      <c r="AI1741" t="n">
        <v>11</v>
      </c>
      <c r="AN1741" t="inlineStr">
        <is>
          <t>WARREN</t>
        </is>
      </c>
      <c r="AO1741" t="inlineStr">
        <is>
          <t>WARREN CITY 4D</t>
        </is>
      </c>
      <c r="AP1741" t="inlineStr">
        <is>
          <t>78-P-ADL</t>
        </is>
      </c>
      <c r="AQ1741" t="n">
        <v>9</v>
      </c>
      <c r="AR1741" t="n">
        <v>64</v>
      </c>
      <c r="AS1741" t="n">
        <v>32</v>
      </c>
      <c r="AU1741">
        <f>COUNTA($BA$1741:$EH$1741)</f>
        <v/>
      </c>
      <c r="AV1741">
        <f>COUNTIF($BA$1741:$EH$1741,"D")</f>
        <v/>
      </c>
      <c r="AW1741">
        <f>COUNTIF($BA$1741:$EH$1741,"R")</f>
        <v/>
      </c>
      <c r="AX1741">
        <f>IF(BN1741="D",1,0)+IF(BO1741="D",1,0)+IF(BT1741="D",1,0)+IF(BU1741="D",1,0)+IF(BW1741="D",1,0)+IF(CC1741="D",1,0)+IF(CD1741="D",1,0)+IF(CE1741="D",1,0)+IF(CF1741="D",1,0)+IF(CL1741="D",1,0)+IF(CM1741="D",1,0)+IF(CQ1741="D",1,0)+IF(CR1741="D",1,0)+IF(CS1741="D",1,0)+IF(CW1741="D",1,0)+IF(CX1741="D",1,0)+IF(DD1741="D",1,0)+IF(DE1741="D",1,0)+IF(DJ1741="D",1,0)+IF(DK1741="D",1,0)+IF(DO1741="D",1,0)+IF(DP1741="D",1,0)+IF(DQ1741="D",1,0)+IF(DW1741="D",1,0)+IF(DZ1741="D",1,0)+IF(EH1741="D",1,0)</f>
        <v/>
      </c>
      <c r="AY1741">
        <f>IF(DJ1741&lt;&gt;"",1,0)+IF(DK1741&lt;&gt;"",1,0)+IF(DM1741&lt;&gt;"",1,0)+IF(DO1741&lt;&gt;"",1,0)+IF(DP1741&lt;&gt;"",1,0)+IF(DQ1741&lt;&gt;"",1,0)+IF(DS1741&lt;&gt;"",1,0)+IF(DT1741&lt;&gt;"",1,0)+IF(DV1741&lt;&gt;"",1,0)+IF(DW1741&lt;&gt;"",1,0)+IF(DX1741&lt;&gt;"",1,0)+IF(DY1741&lt;&gt;"",1,0)+IF(DZ1741&lt;&gt;"",1,0)+IF(EB1741&lt;&gt;"",1,0)+IF(EC1741&lt;&gt;"",1,0)+IF(ED1741&lt;&gt;"",1,0)+IF(EG1741&lt;&gt;"",1,0)+IF(EH1741&lt;&gt;"",1,0)</f>
        <v/>
      </c>
      <c r="AZ1741">
        <f>IF(EH1741&lt;&gt;"",1,0)</f>
        <v/>
      </c>
      <c r="BB1741" t="inlineStr">
        <is>
          <t>WARREN-WARD 4</t>
        </is>
      </c>
    </row>
    <row r="1742">
      <c r="A1742" t="inlineStr">
        <is>
          <t>OH0026769274</t>
        </is>
      </c>
      <c r="B1742" t="n">
        <v>78</v>
      </c>
      <c r="C1742" t="n">
        <v>468232</v>
      </c>
      <c r="D1742" t="inlineStr">
        <is>
          <t>COPELAND</t>
        </is>
      </c>
      <c r="E1742" t="inlineStr">
        <is>
          <t>KENNETH</t>
        </is>
      </c>
      <c r="F1742">
        <f>CONCATENATE(D1742," ",LEFT(H1742,4),"T=",AU1742,"D=",AV1742,"R=",AW1742,"M=",AX1742,"L=",AY1742,"B=",AZ1742)</f>
        <v/>
      </c>
      <c r="G1742" t="inlineStr">
        <is>
          <t>L</t>
        </is>
      </c>
      <c r="H1742" t="inlineStr">
        <is>
          <t>JR</t>
        </is>
      </c>
      <c r="I1742" t="inlineStr">
        <is>
          <t>1978-11-16</t>
        </is>
      </c>
      <c r="J1742" t="inlineStr">
        <is>
          <t>2022-11-21</t>
        </is>
      </c>
      <c r="K1742" t="inlineStr">
        <is>
          <t>ACTIVE</t>
        </is>
      </c>
      <c r="M1742" t="inlineStr">
        <is>
          <t>591 HIGH ST NE</t>
        </is>
      </c>
      <c r="N1742">
        <f>RIGHT(M1742,LEN(M1742)-FIND(" ",M1742))</f>
        <v/>
      </c>
      <c r="P1742" t="inlineStr">
        <is>
          <t>WARREN</t>
        </is>
      </c>
      <c r="Q1742" t="inlineStr">
        <is>
          <t>OH</t>
        </is>
      </c>
      <c r="R1742" t="n">
        <v>44483</v>
      </c>
      <c r="AD1742" t="inlineStr">
        <is>
          <t>TRUMBULL CAREER &amp; TECH CENTER</t>
        </is>
      </c>
      <c r="AE1742" t="inlineStr">
        <is>
          <t>WARREN CITY</t>
        </is>
      </c>
      <c r="AF1742" t="inlineStr">
        <is>
          <t>WARREN CITY SD</t>
        </is>
      </c>
      <c r="AH1742" t="n">
        <v>14</v>
      </c>
      <c r="AI1742" t="n">
        <v>11</v>
      </c>
      <c r="AN1742" t="inlineStr">
        <is>
          <t>WARREN</t>
        </is>
      </c>
      <c r="AO1742" t="inlineStr">
        <is>
          <t>WARREN CITY 4D</t>
        </is>
      </c>
      <c r="AP1742" t="inlineStr">
        <is>
          <t>78-P-ADL</t>
        </is>
      </c>
      <c r="AQ1742" t="n">
        <v>9</v>
      </c>
      <c r="AR1742" t="n">
        <v>64</v>
      </c>
      <c r="AS1742" t="n">
        <v>32</v>
      </c>
      <c r="AU1742">
        <f>COUNTA($BA$1742:$EH$1742)</f>
        <v/>
      </c>
      <c r="AV1742">
        <f>COUNTIF($BA$1742:$EH$1742,"D")</f>
        <v/>
      </c>
      <c r="AW1742">
        <f>COUNTIF($BA$1742:$EH$1742,"R")</f>
        <v/>
      </c>
      <c r="AX1742">
        <f>IF(BN1742="D",1,0)+IF(BO1742="D",1,0)+IF(BT1742="D",1,0)+IF(BU1742="D",1,0)+IF(BW1742="D",1,0)+IF(CC1742="D",1,0)+IF(CD1742="D",1,0)+IF(CE1742="D",1,0)+IF(CF1742="D",1,0)+IF(CL1742="D",1,0)+IF(CM1742="D",1,0)+IF(CQ1742="D",1,0)+IF(CR1742="D",1,0)+IF(CS1742="D",1,0)+IF(CW1742="D",1,0)+IF(CX1742="D",1,0)+IF(DD1742="D",1,0)+IF(DE1742="D",1,0)+IF(DJ1742="D",1,0)+IF(DK1742="D",1,0)+IF(DO1742="D",1,0)+IF(DP1742="D",1,0)+IF(DQ1742="D",1,0)+IF(DW1742="D",1,0)+IF(DZ1742="D",1,0)+IF(EH1742="D",1,0)</f>
        <v/>
      </c>
      <c r="AY1742">
        <f>IF(DJ1742&lt;&gt;"",1,0)+IF(DK1742&lt;&gt;"",1,0)+IF(DM1742&lt;&gt;"",1,0)+IF(DO1742&lt;&gt;"",1,0)+IF(DP1742&lt;&gt;"",1,0)+IF(DQ1742&lt;&gt;"",1,0)+IF(DS1742&lt;&gt;"",1,0)+IF(DT1742&lt;&gt;"",1,0)+IF(DV1742&lt;&gt;"",1,0)+IF(DW1742&lt;&gt;"",1,0)+IF(DX1742&lt;&gt;"",1,0)+IF(DY1742&lt;&gt;"",1,0)+IF(DZ1742&lt;&gt;"",1,0)+IF(EB1742&lt;&gt;"",1,0)+IF(EC1742&lt;&gt;"",1,0)+IF(ED1742&lt;&gt;"",1,0)+IF(EG1742&lt;&gt;"",1,0)+IF(EH1742&lt;&gt;"",1,0)</f>
        <v/>
      </c>
      <c r="AZ1742">
        <f>IF(EH1742&lt;&gt;"",1,0)</f>
        <v/>
      </c>
      <c r="BB1742" t="inlineStr">
        <is>
          <t>WARREN-WARD 4</t>
        </is>
      </c>
      <c r="CA1742" t="inlineStr">
        <is>
          <t>X</t>
        </is>
      </c>
      <c r="CP1742" t="inlineStr">
        <is>
          <t>X</t>
        </is>
      </c>
      <c r="EF1742" t="inlineStr">
        <is>
          <t>X</t>
        </is>
      </c>
    </row>
    <row r="1743">
      <c r="A1743" t="inlineStr">
        <is>
          <t>OH0021288114</t>
        </is>
      </c>
      <c r="B1743" t="n">
        <v>78</v>
      </c>
      <c r="C1743" t="n">
        <v>378126</v>
      </c>
      <c r="D1743" t="inlineStr">
        <is>
          <t>MOORE</t>
        </is>
      </c>
      <c r="E1743" t="inlineStr">
        <is>
          <t>MICHAEL</t>
        </is>
      </c>
      <c r="F1743">
        <f>CONCATENATE(D1743," ",LEFT(H1743,4),"T=",AU1743,"D=",AV1743,"R=",AW1743,"M=",AX1743,"L=",AY1743,"B=",AZ1743)</f>
        <v/>
      </c>
      <c r="G1743" t="inlineStr">
        <is>
          <t>R</t>
        </is>
      </c>
      <c r="I1743" t="inlineStr">
        <is>
          <t>1989-04-16</t>
        </is>
      </c>
      <c r="J1743" t="inlineStr">
        <is>
          <t>2017-02-21</t>
        </is>
      </c>
      <c r="K1743" t="inlineStr">
        <is>
          <t>CONFIRMATION</t>
        </is>
      </c>
      <c r="M1743" t="inlineStr">
        <is>
          <t>183 CHARLES AVE NE</t>
        </is>
      </c>
      <c r="N1743">
        <f>RIGHT(M1743,LEN(M1743)-FIND(" ",M1743))</f>
        <v/>
      </c>
      <c r="P1743" t="inlineStr">
        <is>
          <t>WARREN</t>
        </is>
      </c>
      <c r="Q1743" t="inlineStr">
        <is>
          <t>OH</t>
        </is>
      </c>
      <c r="R1743" t="n">
        <v>44483</v>
      </c>
      <c r="AD1743" t="inlineStr">
        <is>
          <t>TRUMBULL CAREER &amp; TECH CENTER</t>
        </is>
      </c>
      <c r="AE1743" t="inlineStr">
        <is>
          <t>WARREN CITY</t>
        </is>
      </c>
      <c r="AF1743" t="inlineStr">
        <is>
          <t>WARREN CITY SD</t>
        </is>
      </c>
      <c r="AH1743" t="n">
        <v>14</v>
      </c>
      <c r="AI1743" t="n">
        <v>11</v>
      </c>
      <c r="AN1743" t="inlineStr">
        <is>
          <t>WARREN</t>
        </is>
      </c>
      <c r="AO1743" t="inlineStr">
        <is>
          <t>WARREN CITY 4D</t>
        </is>
      </c>
      <c r="AP1743" t="inlineStr">
        <is>
          <t>78-P-ADL</t>
        </is>
      </c>
      <c r="AQ1743" t="n">
        <v>9</v>
      </c>
      <c r="AR1743" t="n">
        <v>64</v>
      </c>
      <c r="AS1743" t="n">
        <v>32</v>
      </c>
      <c r="AU1743">
        <f>COUNTA($BA$1743:$EH$1743)</f>
        <v/>
      </c>
      <c r="AV1743">
        <f>COUNTIF($BA$1743:$EH$1743,"D")</f>
        <v/>
      </c>
      <c r="AW1743">
        <f>COUNTIF($BA$1743:$EH$1743,"R")</f>
        <v/>
      </c>
      <c r="AX1743">
        <f>IF(BN1743="D",1,0)+IF(BO1743="D",1,0)+IF(BT1743="D",1,0)+IF(BU1743="D",1,0)+IF(BW1743="D",1,0)+IF(CC1743="D",1,0)+IF(CD1743="D",1,0)+IF(CE1743="D",1,0)+IF(CF1743="D",1,0)+IF(CL1743="D",1,0)+IF(CM1743="D",1,0)+IF(CQ1743="D",1,0)+IF(CR1743="D",1,0)+IF(CS1743="D",1,0)+IF(CW1743="D",1,0)+IF(CX1743="D",1,0)+IF(DD1743="D",1,0)+IF(DE1743="D",1,0)+IF(DJ1743="D",1,0)+IF(DK1743="D",1,0)+IF(DO1743="D",1,0)+IF(DP1743="D",1,0)+IF(DQ1743="D",1,0)+IF(DW1743="D",1,0)+IF(DZ1743="D",1,0)+IF(EH1743="D",1,0)</f>
        <v/>
      </c>
      <c r="AY1743">
        <f>IF(DJ1743&lt;&gt;"",1,0)+IF(DK1743&lt;&gt;"",1,0)+IF(DM1743&lt;&gt;"",1,0)+IF(DO1743&lt;&gt;"",1,0)+IF(DP1743&lt;&gt;"",1,0)+IF(DQ1743&lt;&gt;"",1,0)+IF(DS1743&lt;&gt;"",1,0)+IF(DT1743&lt;&gt;"",1,0)+IF(DV1743&lt;&gt;"",1,0)+IF(DW1743&lt;&gt;"",1,0)+IF(DX1743&lt;&gt;"",1,0)+IF(DY1743&lt;&gt;"",1,0)+IF(DZ1743&lt;&gt;"",1,0)+IF(EB1743&lt;&gt;"",1,0)+IF(EC1743&lt;&gt;"",1,0)+IF(ED1743&lt;&gt;"",1,0)+IF(EG1743&lt;&gt;"",1,0)+IF(EH1743&lt;&gt;"",1,0)</f>
        <v/>
      </c>
      <c r="AZ1743">
        <f>IF(EH1743&lt;&gt;"",1,0)</f>
        <v/>
      </c>
      <c r="BB1743" t="inlineStr">
        <is>
          <t>WARREN-WARD 4</t>
        </is>
      </c>
    </row>
    <row r="1744">
      <c r="A1744" t="inlineStr">
        <is>
          <t>OH0015744407</t>
        </is>
      </c>
      <c r="B1744" t="n">
        <v>78</v>
      </c>
      <c r="C1744" t="n">
        <v>322244</v>
      </c>
      <c r="D1744" t="inlineStr">
        <is>
          <t>DIXON</t>
        </is>
      </c>
      <c r="E1744" t="inlineStr">
        <is>
          <t>BRUCE</t>
        </is>
      </c>
      <c r="F1744">
        <f>CONCATENATE(D1744," ",LEFT(H1744,4),"T=",AU1744,"D=",AV1744,"R=",AW1744,"M=",AX1744,"L=",AY1744,"B=",AZ1744)</f>
        <v/>
      </c>
      <c r="G1744" t="inlineStr">
        <is>
          <t>R</t>
        </is>
      </c>
      <c r="H1744" t="inlineStr">
        <is>
          <t>JR</t>
        </is>
      </c>
      <c r="I1744" t="inlineStr">
        <is>
          <t>1986-02-02</t>
        </is>
      </c>
      <c r="J1744" t="inlineStr">
        <is>
          <t>2017-02-21</t>
        </is>
      </c>
      <c r="K1744" t="inlineStr">
        <is>
          <t>CONFIRMATION</t>
        </is>
      </c>
      <c r="M1744" t="inlineStr">
        <is>
          <t>318 LOGAN AVE SE</t>
        </is>
      </c>
      <c r="N1744">
        <f>RIGHT(M1744,LEN(M1744)-FIND(" ",M1744))</f>
        <v/>
      </c>
      <c r="P1744" t="inlineStr">
        <is>
          <t>WARREN</t>
        </is>
      </c>
      <c r="Q1744" t="inlineStr">
        <is>
          <t>OH</t>
        </is>
      </c>
      <c r="R1744" t="n">
        <v>44483</v>
      </c>
      <c r="AD1744" t="inlineStr">
        <is>
          <t>TRUMBULL CAREER &amp; TECH CENTER</t>
        </is>
      </c>
      <c r="AE1744" t="inlineStr">
        <is>
          <t>WARREN CITY</t>
        </is>
      </c>
      <c r="AF1744" t="inlineStr">
        <is>
          <t>WARREN CITY SD</t>
        </is>
      </c>
      <c r="AH1744" t="n">
        <v>14</v>
      </c>
      <c r="AI1744" t="n">
        <v>11</v>
      </c>
      <c r="AN1744" t="inlineStr">
        <is>
          <t>WARREN</t>
        </is>
      </c>
      <c r="AO1744" t="inlineStr">
        <is>
          <t>WARREN CITY 4D</t>
        </is>
      </c>
      <c r="AP1744" t="inlineStr">
        <is>
          <t>78-P-ADL</t>
        </is>
      </c>
      <c r="AQ1744" t="n">
        <v>9</v>
      </c>
      <c r="AR1744" t="n">
        <v>64</v>
      </c>
      <c r="AS1744" t="n">
        <v>32</v>
      </c>
      <c r="AU1744">
        <f>COUNTA($BA$1744:$EH$1744)</f>
        <v/>
      </c>
      <c r="AV1744">
        <f>COUNTIF($BA$1744:$EH$1744,"D")</f>
        <v/>
      </c>
      <c r="AW1744">
        <f>COUNTIF($BA$1744:$EH$1744,"R")</f>
        <v/>
      </c>
      <c r="AX1744">
        <f>IF(BN1744="D",1,0)+IF(BO1744="D",1,0)+IF(BT1744="D",1,0)+IF(BU1744="D",1,0)+IF(BW1744="D",1,0)+IF(CC1744="D",1,0)+IF(CD1744="D",1,0)+IF(CE1744="D",1,0)+IF(CF1744="D",1,0)+IF(CL1744="D",1,0)+IF(CM1744="D",1,0)+IF(CQ1744="D",1,0)+IF(CR1744="D",1,0)+IF(CS1744="D",1,0)+IF(CW1744="D",1,0)+IF(CX1744="D",1,0)+IF(DD1744="D",1,0)+IF(DE1744="D",1,0)+IF(DJ1744="D",1,0)+IF(DK1744="D",1,0)+IF(DO1744="D",1,0)+IF(DP1744="D",1,0)+IF(DQ1744="D",1,0)+IF(DW1744="D",1,0)+IF(DZ1744="D",1,0)+IF(EH1744="D",1,0)</f>
        <v/>
      </c>
      <c r="AY1744">
        <f>IF(DJ1744&lt;&gt;"",1,0)+IF(DK1744&lt;&gt;"",1,0)+IF(DM1744&lt;&gt;"",1,0)+IF(DO1744&lt;&gt;"",1,0)+IF(DP1744&lt;&gt;"",1,0)+IF(DQ1744&lt;&gt;"",1,0)+IF(DS1744&lt;&gt;"",1,0)+IF(DT1744&lt;&gt;"",1,0)+IF(DV1744&lt;&gt;"",1,0)+IF(DW1744&lt;&gt;"",1,0)+IF(DX1744&lt;&gt;"",1,0)+IF(DY1744&lt;&gt;"",1,0)+IF(DZ1744&lt;&gt;"",1,0)+IF(EB1744&lt;&gt;"",1,0)+IF(EC1744&lt;&gt;"",1,0)+IF(ED1744&lt;&gt;"",1,0)+IF(EG1744&lt;&gt;"",1,0)+IF(EH1744&lt;&gt;"",1,0)</f>
        <v/>
      </c>
      <c r="AZ1744">
        <f>IF(EH1744&lt;&gt;"",1,0)</f>
        <v/>
      </c>
      <c r="BB1744" t="inlineStr">
        <is>
          <t>WARREN-WARD 4</t>
        </is>
      </c>
      <c r="BL1744" t="inlineStr">
        <is>
          <t>X</t>
        </is>
      </c>
      <c r="BY1744" t="inlineStr">
        <is>
          <t>D</t>
        </is>
      </c>
    </row>
    <row r="1745">
      <c r="A1745" t="inlineStr">
        <is>
          <t>OH0021107296</t>
        </is>
      </c>
      <c r="B1745" t="n">
        <v>78</v>
      </c>
      <c r="C1745" t="n">
        <v>375526</v>
      </c>
      <c r="D1745" t="inlineStr">
        <is>
          <t>LORRISON</t>
        </is>
      </c>
      <c r="E1745" t="inlineStr">
        <is>
          <t>NEVA</t>
        </is>
      </c>
      <c r="F1745">
        <f>CONCATENATE(D1745," ",LEFT(H1745,4),"T=",AU1745,"D=",AV1745,"R=",AW1745,"M=",AX1745,"L=",AY1745,"B=",AZ1745)</f>
        <v/>
      </c>
      <c r="G1745" t="inlineStr">
        <is>
          <t>ANN</t>
        </is>
      </c>
      <c r="I1745" t="inlineStr">
        <is>
          <t>1969-06-25</t>
        </is>
      </c>
      <c r="J1745" t="inlineStr">
        <is>
          <t>2024-08-21</t>
        </is>
      </c>
      <c r="K1745" t="inlineStr">
        <is>
          <t>ACTIVE</t>
        </is>
      </c>
      <c r="M1745" t="inlineStr">
        <is>
          <t>151 PEW CT NE</t>
        </is>
      </c>
      <c r="N1745">
        <f>RIGHT(M1745,LEN(M1745)-FIND(" ",M1745))</f>
        <v/>
      </c>
      <c r="P1745" t="inlineStr">
        <is>
          <t>WARREN</t>
        </is>
      </c>
      <c r="Q1745" t="inlineStr">
        <is>
          <t>OH</t>
        </is>
      </c>
      <c r="R1745" t="n">
        <v>44481</v>
      </c>
      <c r="AD1745" t="inlineStr">
        <is>
          <t>TRUMBULL CAREER &amp; TECH CENTER</t>
        </is>
      </c>
      <c r="AE1745" t="inlineStr">
        <is>
          <t>WARREN CITY</t>
        </is>
      </c>
      <c r="AF1745" t="inlineStr">
        <is>
          <t>WARREN CITY SD</t>
        </is>
      </c>
      <c r="AH1745" t="n">
        <v>14</v>
      </c>
      <c r="AI1745" t="n">
        <v>11</v>
      </c>
      <c r="AN1745" t="inlineStr">
        <is>
          <t>WARREN</t>
        </is>
      </c>
      <c r="AO1745" t="inlineStr">
        <is>
          <t>WARREN CITY 4D</t>
        </is>
      </c>
      <c r="AP1745" t="inlineStr">
        <is>
          <t>78-P-ADL</t>
        </is>
      </c>
      <c r="AQ1745" t="n">
        <v>9</v>
      </c>
      <c r="AR1745" t="n">
        <v>64</v>
      </c>
      <c r="AS1745" t="n">
        <v>32</v>
      </c>
      <c r="AU1745">
        <f>COUNTA($BA$1745:$EH$1745)</f>
        <v/>
      </c>
      <c r="AV1745">
        <f>COUNTIF($BA$1745:$EH$1745,"D")</f>
        <v/>
      </c>
      <c r="AW1745">
        <f>COUNTIF($BA$1745:$EH$1745,"R")</f>
        <v/>
      </c>
      <c r="AX1745">
        <f>IF(BN1745="D",1,0)+IF(BO1745="D",1,0)+IF(BT1745="D",1,0)+IF(BU1745="D",1,0)+IF(BW1745="D",1,0)+IF(CC1745="D",1,0)+IF(CD1745="D",1,0)+IF(CE1745="D",1,0)+IF(CF1745="D",1,0)+IF(CL1745="D",1,0)+IF(CM1745="D",1,0)+IF(CQ1745="D",1,0)+IF(CR1745="D",1,0)+IF(CS1745="D",1,0)+IF(CW1745="D",1,0)+IF(CX1745="D",1,0)+IF(DD1745="D",1,0)+IF(DE1745="D",1,0)+IF(DJ1745="D",1,0)+IF(DK1745="D",1,0)+IF(DO1745="D",1,0)+IF(DP1745="D",1,0)+IF(DQ1745="D",1,0)+IF(DW1745="D",1,0)+IF(DZ1745="D",1,0)+IF(EH1745="D",1,0)</f>
        <v/>
      </c>
      <c r="AY1745">
        <f>IF(DJ1745&lt;&gt;"",1,0)+IF(DK1745&lt;&gt;"",1,0)+IF(DM1745&lt;&gt;"",1,0)+IF(DO1745&lt;&gt;"",1,0)+IF(DP1745&lt;&gt;"",1,0)+IF(DQ1745&lt;&gt;"",1,0)+IF(DS1745&lt;&gt;"",1,0)+IF(DT1745&lt;&gt;"",1,0)+IF(DV1745&lt;&gt;"",1,0)+IF(DW1745&lt;&gt;"",1,0)+IF(DX1745&lt;&gt;"",1,0)+IF(DY1745&lt;&gt;"",1,0)+IF(DZ1745&lt;&gt;"",1,0)+IF(EB1745&lt;&gt;"",1,0)+IF(EC1745&lt;&gt;"",1,0)+IF(ED1745&lt;&gt;"",1,0)+IF(EG1745&lt;&gt;"",1,0)+IF(EH1745&lt;&gt;"",1,0)</f>
        <v/>
      </c>
      <c r="AZ1745">
        <f>IF(EH1745&lt;&gt;"",1,0)</f>
        <v/>
      </c>
      <c r="BB1745" t="inlineStr">
        <is>
          <t>WARREN-WARD 4</t>
        </is>
      </c>
      <c r="DC1745" t="inlineStr">
        <is>
          <t>X</t>
        </is>
      </c>
      <c r="EF1745" t="inlineStr">
        <is>
          <t>X</t>
        </is>
      </c>
    </row>
    <row r="1746">
      <c r="A1746" t="inlineStr">
        <is>
          <t>OH0018896021</t>
        </is>
      </c>
      <c r="B1746" t="n">
        <v>78</v>
      </c>
      <c r="C1746" t="n">
        <v>345905</v>
      </c>
      <c r="D1746" t="inlineStr">
        <is>
          <t>PETERMAN</t>
        </is>
      </c>
      <c r="E1746" t="inlineStr">
        <is>
          <t>JOANNA</t>
        </is>
      </c>
      <c r="F1746">
        <f>CONCATENATE(D1746," ",LEFT(H1746,4),"T=",AU1746,"D=",AV1746,"R=",AW1746,"M=",AX1746,"L=",AY1746,"B=",AZ1746)</f>
        <v/>
      </c>
      <c r="G1746" t="inlineStr">
        <is>
          <t>LOUISE</t>
        </is>
      </c>
      <c r="I1746" t="inlineStr">
        <is>
          <t>1944-06-09</t>
        </is>
      </c>
      <c r="J1746" t="inlineStr">
        <is>
          <t>2024-09-17</t>
        </is>
      </c>
      <c r="K1746" t="inlineStr">
        <is>
          <t>ACTIVE</t>
        </is>
      </c>
      <c r="M1746" t="inlineStr">
        <is>
          <t>406 PORTER ST NE</t>
        </is>
      </c>
      <c r="N1746">
        <f>RIGHT(M1746,LEN(M1746)-FIND(" ",M1746))</f>
        <v/>
      </c>
      <c r="P1746" t="inlineStr">
        <is>
          <t>WARREN</t>
        </is>
      </c>
      <c r="Q1746" t="inlineStr">
        <is>
          <t>OH</t>
        </is>
      </c>
      <c r="R1746" t="n">
        <v>44483</v>
      </c>
      <c r="AD1746" t="inlineStr">
        <is>
          <t>TRUMBULL CAREER &amp; TECH CENTER</t>
        </is>
      </c>
      <c r="AE1746" t="inlineStr">
        <is>
          <t>WARREN CITY</t>
        </is>
      </c>
      <c r="AF1746" t="inlineStr">
        <is>
          <t>WARREN CITY SD</t>
        </is>
      </c>
      <c r="AH1746" t="n">
        <v>14</v>
      </c>
      <c r="AI1746" t="n">
        <v>11</v>
      </c>
      <c r="AN1746" t="inlineStr">
        <is>
          <t>WARREN</t>
        </is>
      </c>
      <c r="AO1746" t="inlineStr">
        <is>
          <t>WARREN CITY 4D</t>
        </is>
      </c>
      <c r="AP1746" t="inlineStr">
        <is>
          <t>78-P-ADL</t>
        </is>
      </c>
      <c r="AQ1746" t="n">
        <v>9</v>
      </c>
      <c r="AR1746" t="n">
        <v>64</v>
      </c>
      <c r="AS1746" t="n">
        <v>32</v>
      </c>
      <c r="AU1746">
        <f>COUNTA($BA$1746:$EH$1746)</f>
        <v/>
      </c>
      <c r="AV1746">
        <f>COUNTIF($BA$1746:$EH$1746,"D")</f>
        <v/>
      </c>
      <c r="AW1746">
        <f>COUNTIF($BA$1746:$EH$1746,"R")</f>
        <v/>
      </c>
      <c r="AX1746">
        <f>IF(BN1746="D",1,0)+IF(BO1746="D",1,0)+IF(BT1746="D",1,0)+IF(BU1746="D",1,0)+IF(BW1746="D",1,0)+IF(CC1746="D",1,0)+IF(CD1746="D",1,0)+IF(CE1746="D",1,0)+IF(CF1746="D",1,0)+IF(CL1746="D",1,0)+IF(CM1746="D",1,0)+IF(CQ1746="D",1,0)+IF(CR1746="D",1,0)+IF(CS1746="D",1,0)+IF(CW1746="D",1,0)+IF(CX1746="D",1,0)+IF(DD1746="D",1,0)+IF(DE1746="D",1,0)+IF(DJ1746="D",1,0)+IF(DK1746="D",1,0)+IF(DO1746="D",1,0)+IF(DP1746="D",1,0)+IF(DQ1746="D",1,0)+IF(DW1746="D",1,0)+IF(DZ1746="D",1,0)+IF(EH1746="D",1,0)</f>
        <v/>
      </c>
      <c r="AY1746">
        <f>IF(DJ1746&lt;&gt;"",1,0)+IF(DK1746&lt;&gt;"",1,0)+IF(DM1746&lt;&gt;"",1,0)+IF(DO1746&lt;&gt;"",1,0)+IF(DP1746&lt;&gt;"",1,0)+IF(DQ1746&lt;&gt;"",1,0)+IF(DS1746&lt;&gt;"",1,0)+IF(DT1746&lt;&gt;"",1,0)+IF(DV1746&lt;&gt;"",1,0)+IF(DW1746&lt;&gt;"",1,0)+IF(DX1746&lt;&gt;"",1,0)+IF(DY1746&lt;&gt;"",1,0)+IF(DZ1746&lt;&gt;"",1,0)+IF(EB1746&lt;&gt;"",1,0)+IF(EC1746&lt;&gt;"",1,0)+IF(ED1746&lt;&gt;"",1,0)+IF(EG1746&lt;&gt;"",1,0)+IF(EH1746&lt;&gt;"",1,0)</f>
        <v/>
      </c>
      <c r="AZ1746">
        <f>IF(EH1746&lt;&gt;"",1,0)</f>
        <v/>
      </c>
      <c r="BB1746" t="inlineStr">
        <is>
          <t>WARREN-WARD 4</t>
        </is>
      </c>
      <c r="BY1746" t="inlineStr">
        <is>
          <t>D</t>
        </is>
      </c>
      <c r="CP1746" t="inlineStr">
        <is>
          <t>X</t>
        </is>
      </c>
      <c r="CY1746" t="inlineStr">
        <is>
          <t>X</t>
        </is>
      </c>
      <c r="DC1746" t="inlineStr">
        <is>
          <t>X</t>
        </is>
      </c>
      <c r="DI1746" t="inlineStr">
        <is>
          <t>X</t>
        </is>
      </c>
      <c r="DM1746" t="inlineStr">
        <is>
          <t>D</t>
        </is>
      </c>
      <c r="DN1746" t="inlineStr">
        <is>
          <t>X</t>
        </is>
      </c>
      <c r="DU1746" t="inlineStr">
        <is>
          <t>X</t>
        </is>
      </c>
      <c r="EF1746" t="inlineStr">
        <is>
          <t>X</t>
        </is>
      </c>
    </row>
    <row r="1747">
      <c r="A1747" t="inlineStr">
        <is>
          <t>OH0023016243</t>
        </is>
      </c>
      <c r="B1747" t="n">
        <v>78</v>
      </c>
      <c r="C1747" t="n">
        <v>405230</v>
      </c>
      <c r="D1747" t="inlineStr">
        <is>
          <t>BRAINARD</t>
        </is>
      </c>
      <c r="E1747" t="inlineStr">
        <is>
          <t>DANIEL</t>
        </is>
      </c>
      <c r="F1747">
        <f>CONCATENATE(D1747," ",LEFT(H1747,4),"T=",AU1747,"D=",AV1747,"R=",AW1747,"M=",AX1747,"L=",AY1747,"B=",AZ1747)</f>
        <v/>
      </c>
      <c r="G1747" t="inlineStr">
        <is>
          <t>LESLIE</t>
        </is>
      </c>
      <c r="H1747" t="inlineStr">
        <is>
          <t>III</t>
        </is>
      </c>
      <c r="I1747" t="inlineStr">
        <is>
          <t>1987-11-10</t>
        </is>
      </c>
      <c r="J1747" t="inlineStr">
        <is>
          <t>2022-11-12</t>
        </is>
      </c>
      <c r="K1747" t="inlineStr">
        <is>
          <t>ACTIVE</t>
        </is>
      </c>
      <c r="M1747" t="inlineStr">
        <is>
          <t>733 ELM RD NE</t>
        </is>
      </c>
      <c r="N1747">
        <f>RIGHT(M1747,LEN(M1747)-FIND(" ",M1747))</f>
        <v/>
      </c>
      <c r="P1747" t="inlineStr">
        <is>
          <t>WARREN</t>
        </is>
      </c>
      <c r="Q1747" t="inlineStr">
        <is>
          <t>OH</t>
        </is>
      </c>
      <c r="R1747" t="n">
        <v>44483</v>
      </c>
      <c r="AD1747" t="inlineStr">
        <is>
          <t>TRUMBULL CAREER &amp; TECH CENTER</t>
        </is>
      </c>
      <c r="AE1747" t="inlineStr">
        <is>
          <t>WARREN CITY</t>
        </is>
      </c>
      <c r="AF1747" t="inlineStr">
        <is>
          <t>WARREN CITY SD</t>
        </is>
      </c>
      <c r="AH1747" t="n">
        <v>14</v>
      </c>
      <c r="AI1747" t="n">
        <v>11</v>
      </c>
      <c r="AN1747" t="inlineStr">
        <is>
          <t>WARREN</t>
        </is>
      </c>
      <c r="AO1747" t="inlineStr">
        <is>
          <t>WARREN CITY 4D</t>
        </is>
      </c>
      <c r="AP1747" t="inlineStr">
        <is>
          <t>78-P-ADL</t>
        </is>
      </c>
      <c r="AQ1747" t="n">
        <v>9</v>
      </c>
      <c r="AR1747" t="n">
        <v>64</v>
      </c>
      <c r="AS1747" t="n">
        <v>32</v>
      </c>
      <c r="AU1747">
        <f>COUNTA($BA$1747:$EH$1747)</f>
        <v/>
      </c>
      <c r="AV1747">
        <f>COUNTIF($BA$1747:$EH$1747,"D")</f>
        <v/>
      </c>
      <c r="AW1747">
        <f>COUNTIF($BA$1747:$EH$1747,"R")</f>
        <v/>
      </c>
      <c r="AX1747">
        <f>IF(BN1747="D",1,0)+IF(BO1747="D",1,0)+IF(BT1747="D",1,0)+IF(BU1747="D",1,0)+IF(BW1747="D",1,0)+IF(CC1747="D",1,0)+IF(CD1747="D",1,0)+IF(CE1747="D",1,0)+IF(CF1747="D",1,0)+IF(CL1747="D",1,0)+IF(CM1747="D",1,0)+IF(CQ1747="D",1,0)+IF(CR1747="D",1,0)+IF(CS1747="D",1,0)+IF(CW1747="D",1,0)+IF(CX1747="D",1,0)+IF(DD1747="D",1,0)+IF(DE1747="D",1,0)+IF(DJ1747="D",1,0)+IF(DK1747="D",1,0)+IF(DO1747="D",1,0)+IF(DP1747="D",1,0)+IF(DQ1747="D",1,0)+IF(DW1747="D",1,0)+IF(DZ1747="D",1,0)+IF(EH1747="D",1,0)</f>
        <v/>
      </c>
      <c r="AY1747">
        <f>IF(DJ1747&lt;&gt;"",1,0)+IF(DK1747&lt;&gt;"",1,0)+IF(DM1747&lt;&gt;"",1,0)+IF(DO1747&lt;&gt;"",1,0)+IF(DP1747&lt;&gt;"",1,0)+IF(DQ1747&lt;&gt;"",1,0)+IF(DS1747&lt;&gt;"",1,0)+IF(DT1747&lt;&gt;"",1,0)+IF(DV1747&lt;&gt;"",1,0)+IF(DW1747&lt;&gt;"",1,0)+IF(DX1747&lt;&gt;"",1,0)+IF(DY1747&lt;&gt;"",1,0)+IF(DZ1747&lt;&gt;"",1,0)+IF(EB1747&lt;&gt;"",1,0)+IF(EC1747&lt;&gt;"",1,0)+IF(ED1747&lt;&gt;"",1,0)+IF(EG1747&lt;&gt;"",1,0)+IF(EH1747&lt;&gt;"",1,0)</f>
        <v/>
      </c>
      <c r="AZ1747">
        <f>IF(EH1747&lt;&gt;"",1,0)</f>
        <v/>
      </c>
      <c r="BB1747" t="inlineStr">
        <is>
          <t>WARREN-WARD 4</t>
        </is>
      </c>
    </row>
    <row r="1748">
      <c r="A1748" t="inlineStr">
        <is>
          <t>OH0015806482</t>
        </is>
      </c>
      <c r="B1748" t="n">
        <v>78</v>
      </c>
      <c r="C1748" t="n">
        <v>98906</v>
      </c>
      <c r="D1748" t="inlineStr">
        <is>
          <t>DONLIN</t>
        </is>
      </c>
      <c r="E1748" t="inlineStr">
        <is>
          <t>PATRICK</t>
        </is>
      </c>
      <c r="F1748">
        <f>CONCATENATE(D1748," ",LEFT(H1748,4),"T=",AU1748,"D=",AV1748,"R=",AW1748,"M=",AX1748,"L=",AY1748,"B=",AZ1748)</f>
        <v/>
      </c>
      <c r="G1748" t="inlineStr">
        <is>
          <t>J</t>
        </is>
      </c>
      <c r="H1748" t="inlineStr">
        <is>
          <t>SR</t>
        </is>
      </c>
      <c r="I1748" t="inlineStr">
        <is>
          <t>1944-08-10</t>
        </is>
      </c>
      <c r="J1748" t="inlineStr">
        <is>
          <t>1971-09-20</t>
        </is>
      </c>
      <c r="K1748" t="inlineStr">
        <is>
          <t>ACTIVE</t>
        </is>
      </c>
      <c r="L1748" t="inlineStr">
        <is>
          <t>D</t>
        </is>
      </c>
      <c r="M1748" t="inlineStr">
        <is>
          <t>308 PORTER ST NE</t>
        </is>
      </c>
      <c r="N1748">
        <f>RIGHT(M1748,LEN(M1748)-FIND(" ",M1748))</f>
        <v/>
      </c>
      <c r="P1748" t="inlineStr">
        <is>
          <t>WARREN</t>
        </is>
      </c>
      <c r="Q1748" t="inlineStr">
        <is>
          <t>OH</t>
        </is>
      </c>
      <c r="R1748" t="n">
        <v>44483</v>
      </c>
      <c r="AD1748" t="inlineStr">
        <is>
          <t>TRUMBULL CAREER &amp; TECH CENTER</t>
        </is>
      </c>
      <c r="AE1748" t="inlineStr">
        <is>
          <t>WARREN CITY</t>
        </is>
      </c>
      <c r="AF1748" t="inlineStr">
        <is>
          <t>WARREN CITY SD</t>
        </is>
      </c>
      <c r="AH1748" t="n">
        <v>14</v>
      </c>
      <c r="AI1748" t="n">
        <v>11</v>
      </c>
      <c r="AN1748" t="inlineStr">
        <is>
          <t>WARREN</t>
        </is>
      </c>
      <c r="AO1748" t="inlineStr">
        <is>
          <t>WARREN CITY 4D</t>
        </is>
      </c>
      <c r="AP1748" t="inlineStr">
        <is>
          <t>78-P-ADL</t>
        </is>
      </c>
      <c r="AQ1748" t="n">
        <v>9</v>
      </c>
      <c r="AR1748" t="n">
        <v>64</v>
      </c>
      <c r="AS1748" t="n">
        <v>32</v>
      </c>
      <c r="AU1748">
        <f>COUNTA($BA$1748:$EH$1748)</f>
        <v/>
      </c>
      <c r="AV1748">
        <f>COUNTIF($BA$1748:$EH$1748,"D")</f>
        <v/>
      </c>
      <c r="AW1748">
        <f>COUNTIF($BA$1748:$EH$1748,"R")</f>
        <v/>
      </c>
      <c r="AX1748">
        <f>IF(BN1748="D",1,0)+IF(BO1748="D",1,0)+IF(BT1748="D",1,0)+IF(BU1748="D",1,0)+IF(BW1748="D",1,0)+IF(CC1748="D",1,0)+IF(CD1748="D",1,0)+IF(CE1748="D",1,0)+IF(CF1748="D",1,0)+IF(CL1748="D",1,0)+IF(CM1748="D",1,0)+IF(CQ1748="D",1,0)+IF(CR1748="D",1,0)+IF(CS1748="D",1,0)+IF(CW1748="D",1,0)+IF(CX1748="D",1,0)+IF(DD1748="D",1,0)+IF(DE1748="D",1,0)+IF(DJ1748="D",1,0)+IF(DK1748="D",1,0)+IF(DO1748="D",1,0)+IF(DP1748="D",1,0)+IF(DQ1748="D",1,0)+IF(DW1748="D",1,0)+IF(DZ1748="D",1,0)+IF(EH1748="D",1,0)</f>
        <v/>
      </c>
      <c r="AY1748">
        <f>IF(DJ1748&lt;&gt;"",1,0)+IF(DK1748&lt;&gt;"",1,0)+IF(DM1748&lt;&gt;"",1,0)+IF(DO1748&lt;&gt;"",1,0)+IF(DP1748&lt;&gt;"",1,0)+IF(DQ1748&lt;&gt;"",1,0)+IF(DS1748&lt;&gt;"",1,0)+IF(DT1748&lt;&gt;"",1,0)+IF(DV1748&lt;&gt;"",1,0)+IF(DW1748&lt;&gt;"",1,0)+IF(DX1748&lt;&gt;"",1,0)+IF(DY1748&lt;&gt;"",1,0)+IF(DZ1748&lt;&gt;"",1,0)+IF(EB1748&lt;&gt;"",1,0)+IF(EC1748&lt;&gt;"",1,0)+IF(ED1748&lt;&gt;"",1,0)+IF(EG1748&lt;&gt;"",1,0)+IF(EH1748&lt;&gt;"",1,0)</f>
        <v/>
      </c>
      <c r="AZ1748">
        <f>IF(EH1748&lt;&gt;"",1,0)</f>
        <v/>
      </c>
      <c r="BB1748" t="inlineStr">
        <is>
          <t>WARREN-WARD 4</t>
        </is>
      </c>
      <c r="BC1748" t="inlineStr">
        <is>
          <t>X</t>
        </is>
      </c>
      <c r="BD1748" t="inlineStr">
        <is>
          <t>X</t>
        </is>
      </c>
      <c r="BG1748" t="inlineStr">
        <is>
          <t>X</t>
        </is>
      </c>
      <c r="BH1748" t="inlineStr">
        <is>
          <t>X</t>
        </is>
      </c>
      <c r="BJ1748" t="inlineStr">
        <is>
          <t>X</t>
        </is>
      </c>
      <c r="BK1748" t="inlineStr">
        <is>
          <t>X</t>
        </is>
      </c>
      <c r="BL1748" t="inlineStr">
        <is>
          <t>X</t>
        </is>
      </c>
      <c r="BP1748" t="inlineStr">
        <is>
          <t>X</t>
        </is>
      </c>
      <c r="BR1748" t="inlineStr">
        <is>
          <t>X</t>
        </is>
      </c>
      <c r="BS1748" t="inlineStr">
        <is>
          <t>X</t>
        </is>
      </c>
      <c r="BV1748" t="inlineStr">
        <is>
          <t>X</t>
        </is>
      </c>
      <c r="BY1748" t="inlineStr">
        <is>
          <t>D</t>
        </is>
      </c>
      <c r="CA1748" t="inlineStr">
        <is>
          <t>X</t>
        </is>
      </c>
      <c r="CG1748" t="inlineStr">
        <is>
          <t>X</t>
        </is>
      </c>
      <c r="CH1748" t="inlineStr">
        <is>
          <t>D</t>
        </is>
      </c>
      <c r="CK1748" t="inlineStr">
        <is>
          <t>X</t>
        </is>
      </c>
      <c r="CL1748" t="inlineStr">
        <is>
          <t>D</t>
        </is>
      </c>
      <c r="CN1748" t="inlineStr">
        <is>
          <t>X</t>
        </is>
      </c>
      <c r="CO1748" t="inlineStr">
        <is>
          <t>D</t>
        </is>
      </c>
      <c r="CP1748" t="inlineStr">
        <is>
          <t>X</t>
        </is>
      </c>
      <c r="CU1748" t="inlineStr">
        <is>
          <t>D</t>
        </is>
      </c>
      <c r="CV1748" t="inlineStr">
        <is>
          <t>X</t>
        </is>
      </c>
      <c r="CW1748" t="inlineStr">
        <is>
          <t>D</t>
        </is>
      </c>
      <c r="CY1748" t="inlineStr">
        <is>
          <t>X</t>
        </is>
      </c>
      <c r="CZ1748" t="inlineStr">
        <is>
          <t>D</t>
        </is>
      </c>
      <c r="DC1748" t="inlineStr">
        <is>
          <t>X</t>
        </is>
      </c>
      <c r="DD1748" t="inlineStr">
        <is>
          <t>D</t>
        </is>
      </c>
      <c r="DF1748" t="inlineStr">
        <is>
          <t>X</t>
        </is>
      </c>
      <c r="DG1748" t="inlineStr">
        <is>
          <t>D</t>
        </is>
      </c>
      <c r="DI1748" t="inlineStr">
        <is>
          <t>X</t>
        </is>
      </c>
      <c r="DJ1748" t="inlineStr">
        <is>
          <t>D</t>
        </is>
      </c>
      <c r="DL1748" t="inlineStr">
        <is>
          <t>X</t>
        </is>
      </c>
      <c r="DM1748" t="inlineStr">
        <is>
          <t>D</t>
        </is>
      </c>
      <c r="DN1748" t="inlineStr">
        <is>
          <t>X</t>
        </is>
      </c>
      <c r="DR1748" t="inlineStr">
        <is>
          <t>X</t>
        </is>
      </c>
      <c r="DS1748" t="inlineStr">
        <is>
          <t>D</t>
        </is>
      </c>
      <c r="DT1748" t="inlineStr">
        <is>
          <t>D</t>
        </is>
      </c>
      <c r="DU1748" t="inlineStr">
        <is>
          <t>X</t>
        </is>
      </c>
      <c r="DX1748" t="inlineStr">
        <is>
          <t>X</t>
        </is>
      </c>
      <c r="EA1748" t="inlineStr">
        <is>
          <t>X</t>
        </is>
      </c>
      <c r="ED1748" t="inlineStr">
        <is>
          <t>D</t>
        </is>
      </c>
      <c r="EF1748" t="inlineStr">
        <is>
          <t>X</t>
        </is>
      </c>
    </row>
    <row r="1749">
      <c r="A1749" t="inlineStr">
        <is>
          <t>OH0015813484</t>
        </is>
      </c>
      <c r="B1749" t="n">
        <v>78</v>
      </c>
      <c r="C1749" t="n">
        <v>315775</v>
      </c>
      <c r="D1749" t="inlineStr">
        <is>
          <t>MAY</t>
        </is>
      </c>
      <c r="E1749" t="inlineStr">
        <is>
          <t>EUGENIA</t>
        </is>
      </c>
      <c r="F1749">
        <f>CONCATENATE(D1749," ",LEFT(H1749,4),"T=",AU1749,"D=",AV1749,"R=",AW1749,"M=",AX1749,"L=",AY1749,"B=",AZ1749)</f>
        <v/>
      </c>
      <c r="G1749" t="inlineStr">
        <is>
          <t>G</t>
        </is>
      </c>
      <c r="I1749" t="inlineStr">
        <is>
          <t>1955-09-16</t>
        </is>
      </c>
      <c r="J1749" t="inlineStr">
        <is>
          <t>2016-07-28</t>
        </is>
      </c>
      <c r="K1749" t="inlineStr">
        <is>
          <t>CONFIRMATION</t>
        </is>
      </c>
      <c r="M1749" t="inlineStr">
        <is>
          <t>326 CHESTNUT AVE NE</t>
        </is>
      </c>
      <c r="N1749">
        <f>RIGHT(M1749,LEN(M1749)-FIND(" ",M1749))</f>
        <v/>
      </c>
      <c r="O1749" t="inlineStr">
        <is>
          <t>APT B</t>
        </is>
      </c>
      <c r="P1749" t="inlineStr">
        <is>
          <t>WARREN</t>
        </is>
      </c>
      <c r="Q1749" t="inlineStr">
        <is>
          <t>OH</t>
        </is>
      </c>
      <c r="R1749" t="n">
        <v>44483</v>
      </c>
      <c r="AD1749" t="inlineStr">
        <is>
          <t>TRUMBULL CAREER &amp; TECH CENTER</t>
        </is>
      </c>
      <c r="AE1749" t="inlineStr">
        <is>
          <t>WARREN CITY</t>
        </is>
      </c>
      <c r="AF1749" t="inlineStr">
        <is>
          <t>WARREN CITY SD</t>
        </is>
      </c>
      <c r="AH1749" t="n">
        <v>14</v>
      </c>
      <c r="AI1749" t="n">
        <v>11</v>
      </c>
      <c r="AN1749" t="inlineStr">
        <is>
          <t>WARREN</t>
        </is>
      </c>
      <c r="AO1749" t="inlineStr">
        <is>
          <t>WARREN CITY 4D</t>
        </is>
      </c>
      <c r="AP1749" t="inlineStr">
        <is>
          <t>78-P-ADL</t>
        </is>
      </c>
      <c r="AQ1749" t="n">
        <v>9</v>
      </c>
      <c r="AR1749" t="n">
        <v>64</v>
      </c>
      <c r="AS1749" t="n">
        <v>32</v>
      </c>
      <c r="AU1749">
        <f>COUNTA($BA$1749:$EH$1749)</f>
        <v/>
      </c>
      <c r="AV1749">
        <f>COUNTIF($BA$1749:$EH$1749,"D")</f>
        <v/>
      </c>
      <c r="AW1749">
        <f>COUNTIF($BA$1749:$EH$1749,"R")</f>
        <v/>
      </c>
      <c r="AX1749">
        <f>IF(BN1749="D",1,0)+IF(BO1749="D",1,0)+IF(BT1749="D",1,0)+IF(BU1749="D",1,0)+IF(BW1749="D",1,0)+IF(CC1749="D",1,0)+IF(CD1749="D",1,0)+IF(CE1749="D",1,0)+IF(CF1749="D",1,0)+IF(CL1749="D",1,0)+IF(CM1749="D",1,0)+IF(CQ1749="D",1,0)+IF(CR1749="D",1,0)+IF(CS1749="D",1,0)+IF(CW1749="D",1,0)+IF(CX1749="D",1,0)+IF(DD1749="D",1,0)+IF(DE1749="D",1,0)+IF(DJ1749="D",1,0)+IF(DK1749="D",1,0)+IF(DO1749="D",1,0)+IF(DP1749="D",1,0)+IF(DQ1749="D",1,0)+IF(DW1749="D",1,0)+IF(DZ1749="D",1,0)+IF(EH1749="D",1,0)</f>
        <v/>
      </c>
      <c r="AY1749">
        <f>IF(DJ1749&lt;&gt;"",1,0)+IF(DK1749&lt;&gt;"",1,0)+IF(DM1749&lt;&gt;"",1,0)+IF(DO1749&lt;&gt;"",1,0)+IF(DP1749&lt;&gt;"",1,0)+IF(DQ1749&lt;&gt;"",1,0)+IF(DS1749&lt;&gt;"",1,0)+IF(DT1749&lt;&gt;"",1,0)+IF(DV1749&lt;&gt;"",1,0)+IF(DW1749&lt;&gt;"",1,0)+IF(DX1749&lt;&gt;"",1,0)+IF(DY1749&lt;&gt;"",1,0)+IF(DZ1749&lt;&gt;"",1,0)+IF(EB1749&lt;&gt;"",1,0)+IF(EC1749&lt;&gt;"",1,0)+IF(ED1749&lt;&gt;"",1,0)+IF(EG1749&lt;&gt;"",1,0)+IF(EH1749&lt;&gt;"",1,0)</f>
        <v/>
      </c>
      <c r="AZ1749">
        <f>IF(EH1749&lt;&gt;"",1,0)</f>
        <v/>
      </c>
      <c r="BB1749" t="inlineStr">
        <is>
          <t>WARREN-WARD 4</t>
        </is>
      </c>
      <c r="BL1749" t="inlineStr">
        <is>
          <t>X</t>
        </is>
      </c>
    </row>
    <row r="1750">
      <c r="A1750" t="inlineStr">
        <is>
          <t>OH0015795840</t>
        </is>
      </c>
      <c r="B1750" t="n">
        <v>78</v>
      </c>
      <c r="C1750" t="n">
        <v>270664</v>
      </c>
      <c r="D1750" t="inlineStr">
        <is>
          <t>WEED</t>
        </is>
      </c>
      <c r="E1750" t="inlineStr">
        <is>
          <t>LAURI</t>
        </is>
      </c>
      <c r="F1750">
        <f>CONCATENATE(D1750," ",LEFT(H1750,4),"T=",AU1750,"D=",AV1750,"R=",AW1750,"M=",AX1750,"L=",AY1750,"B=",AZ1750)</f>
        <v/>
      </c>
      <c r="G1750" t="inlineStr">
        <is>
          <t>L</t>
        </is>
      </c>
      <c r="I1750" t="inlineStr">
        <is>
          <t>1959-06-26</t>
        </is>
      </c>
      <c r="J1750" t="inlineStr">
        <is>
          <t>2018-07-16</t>
        </is>
      </c>
      <c r="K1750" t="inlineStr">
        <is>
          <t>ACTIVE</t>
        </is>
      </c>
      <c r="L1750" t="inlineStr">
        <is>
          <t>R</t>
        </is>
      </c>
      <c r="M1750" t="inlineStr">
        <is>
          <t>371 PORTER ST NE</t>
        </is>
      </c>
      <c r="N1750">
        <f>RIGHT(M1750,LEN(M1750)-FIND(" ",M1750))</f>
        <v/>
      </c>
      <c r="P1750" t="inlineStr">
        <is>
          <t>WARREN</t>
        </is>
      </c>
      <c r="Q1750" t="inlineStr">
        <is>
          <t>OH</t>
        </is>
      </c>
      <c r="R1750" t="n">
        <v>44483</v>
      </c>
      <c r="AD1750" t="inlineStr">
        <is>
          <t>TRUMBULL CAREER &amp; TECH CENTER</t>
        </is>
      </c>
      <c r="AE1750" t="inlineStr">
        <is>
          <t>WARREN CITY</t>
        </is>
      </c>
      <c r="AF1750" t="inlineStr">
        <is>
          <t>WARREN CITY SD</t>
        </is>
      </c>
      <c r="AH1750" t="n">
        <v>14</v>
      </c>
      <c r="AI1750" t="n">
        <v>11</v>
      </c>
      <c r="AN1750" t="inlineStr">
        <is>
          <t>WARREN</t>
        </is>
      </c>
      <c r="AO1750" t="inlineStr">
        <is>
          <t>WARREN CITY 4D</t>
        </is>
      </c>
      <c r="AP1750" t="inlineStr">
        <is>
          <t>78-P-ADL</t>
        </is>
      </c>
      <c r="AQ1750" t="n">
        <v>9</v>
      </c>
      <c r="AR1750" t="n">
        <v>64</v>
      </c>
      <c r="AS1750" t="n">
        <v>32</v>
      </c>
      <c r="AU1750">
        <f>COUNTA($BA$1750:$EH$1750)</f>
        <v/>
      </c>
      <c r="AV1750">
        <f>COUNTIF($BA$1750:$EH$1750,"D")</f>
        <v/>
      </c>
      <c r="AW1750">
        <f>COUNTIF($BA$1750:$EH$1750,"R")</f>
        <v/>
      </c>
      <c r="AX1750">
        <f>IF(BN1750="D",1,0)+IF(BO1750="D",1,0)+IF(BT1750="D",1,0)+IF(BU1750="D",1,0)+IF(BW1750="D",1,0)+IF(CC1750="D",1,0)+IF(CD1750="D",1,0)+IF(CE1750="D",1,0)+IF(CF1750="D",1,0)+IF(CL1750="D",1,0)+IF(CM1750="D",1,0)+IF(CQ1750="D",1,0)+IF(CR1750="D",1,0)+IF(CS1750="D",1,0)+IF(CW1750="D",1,0)+IF(CX1750="D",1,0)+IF(DD1750="D",1,0)+IF(DE1750="D",1,0)+IF(DJ1750="D",1,0)+IF(DK1750="D",1,0)+IF(DO1750="D",1,0)+IF(DP1750="D",1,0)+IF(DQ1750="D",1,0)+IF(DW1750="D",1,0)+IF(DZ1750="D",1,0)+IF(EH1750="D",1,0)</f>
        <v/>
      </c>
      <c r="AY1750">
        <f>IF(DJ1750&lt;&gt;"",1,0)+IF(DK1750&lt;&gt;"",1,0)+IF(DM1750&lt;&gt;"",1,0)+IF(DO1750&lt;&gt;"",1,0)+IF(DP1750&lt;&gt;"",1,0)+IF(DQ1750&lt;&gt;"",1,0)+IF(DS1750&lt;&gt;"",1,0)+IF(DT1750&lt;&gt;"",1,0)+IF(DV1750&lt;&gt;"",1,0)+IF(DW1750&lt;&gt;"",1,0)+IF(DX1750&lt;&gt;"",1,0)+IF(DY1750&lt;&gt;"",1,0)+IF(DZ1750&lt;&gt;"",1,0)+IF(EB1750&lt;&gt;"",1,0)+IF(EC1750&lt;&gt;"",1,0)+IF(ED1750&lt;&gt;"",1,0)+IF(EG1750&lt;&gt;"",1,0)+IF(EH1750&lt;&gt;"",1,0)</f>
        <v/>
      </c>
      <c r="AZ1750">
        <f>IF(EH1750&lt;&gt;"",1,0)</f>
        <v/>
      </c>
      <c r="BB1750" t="inlineStr">
        <is>
          <t>WARREN-WARD 4</t>
        </is>
      </c>
      <c r="BC1750" t="inlineStr">
        <is>
          <t>X</t>
        </is>
      </c>
      <c r="BD1750" t="inlineStr">
        <is>
          <t>X</t>
        </is>
      </c>
      <c r="BF1750" t="inlineStr">
        <is>
          <t>X</t>
        </is>
      </c>
      <c r="BH1750" t="inlineStr">
        <is>
          <t>X</t>
        </is>
      </c>
      <c r="BL1750" t="inlineStr">
        <is>
          <t>X</t>
        </is>
      </c>
      <c r="BP1750" t="inlineStr">
        <is>
          <t>X</t>
        </is>
      </c>
      <c r="BR1750" t="inlineStr">
        <is>
          <t>X</t>
        </is>
      </c>
      <c r="BS1750" t="inlineStr">
        <is>
          <t>X</t>
        </is>
      </c>
      <c r="BY1750" t="inlineStr">
        <is>
          <t>R</t>
        </is>
      </c>
      <c r="CA1750" t="inlineStr">
        <is>
          <t>X</t>
        </is>
      </c>
      <c r="CG1750" t="inlineStr">
        <is>
          <t>X</t>
        </is>
      </c>
      <c r="CH1750" t="inlineStr">
        <is>
          <t>R</t>
        </is>
      </c>
      <c r="CK1750" t="inlineStr">
        <is>
          <t>X</t>
        </is>
      </c>
      <c r="CN1750" t="inlineStr">
        <is>
          <t>X</t>
        </is>
      </c>
      <c r="CO1750" t="inlineStr">
        <is>
          <t>R</t>
        </is>
      </c>
      <c r="CP1750" t="inlineStr">
        <is>
          <t>X</t>
        </is>
      </c>
      <c r="CV1750" t="inlineStr">
        <is>
          <t>X</t>
        </is>
      </c>
      <c r="CY1750" t="inlineStr">
        <is>
          <t>X</t>
        </is>
      </c>
      <c r="CZ1750" t="inlineStr">
        <is>
          <t>R</t>
        </is>
      </c>
      <c r="DC1750" t="inlineStr">
        <is>
          <t>X</t>
        </is>
      </c>
      <c r="DF1750" t="inlineStr">
        <is>
          <t>X</t>
        </is>
      </c>
      <c r="DG1750" t="inlineStr">
        <is>
          <t>R</t>
        </is>
      </c>
      <c r="DI1750" t="inlineStr">
        <is>
          <t>X</t>
        </is>
      </c>
      <c r="DL1750" t="inlineStr">
        <is>
          <t>X</t>
        </is>
      </c>
      <c r="DM1750" t="inlineStr">
        <is>
          <t>R</t>
        </is>
      </c>
      <c r="DN1750" t="inlineStr">
        <is>
          <t>X</t>
        </is>
      </c>
      <c r="DS1750" t="inlineStr">
        <is>
          <t>R</t>
        </is>
      </c>
      <c r="DU1750" t="inlineStr">
        <is>
          <t>X</t>
        </is>
      </c>
      <c r="DX1750" t="inlineStr">
        <is>
          <t>X</t>
        </is>
      </c>
      <c r="EA1750" t="inlineStr">
        <is>
          <t>X</t>
        </is>
      </c>
      <c r="ED1750" t="inlineStr">
        <is>
          <t>R</t>
        </is>
      </c>
      <c r="EF1750" t="inlineStr">
        <is>
          <t>X</t>
        </is>
      </c>
    </row>
    <row r="1751">
      <c r="A1751" t="inlineStr">
        <is>
          <t>OH0015757447</t>
        </is>
      </c>
      <c r="B1751" t="n">
        <v>78</v>
      </c>
      <c r="C1751" t="n">
        <v>244342</v>
      </c>
      <c r="D1751" t="inlineStr">
        <is>
          <t>MOORE</t>
        </is>
      </c>
      <c r="E1751" t="inlineStr">
        <is>
          <t>KRISTINE</t>
        </is>
      </c>
      <c r="F1751">
        <f>CONCATENATE(D1751," ",LEFT(H1751,4),"T=",AU1751,"D=",AV1751,"R=",AW1751,"M=",AX1751,"L=",AY1751,"B=",AZ1751)</f>
        <v/>
      </c>
      <c r="G1751" t="inlineStr">
        <is>
          <t>LEE</t>
        </is>
      </c>
      <c r="I1751" t="inlineStr">
        <is>
          <t>1973-03-14</t>
        </is>
      </c>
      <c r="J1751" t="inlineStr">
        <is>
          <t>2020-10-03</t>
        </is>
      </c>
      <c r="K1751" t="inlineStr">
        <is>
          <t>ACTIVE</t>
        </is>
      </c>
      <c r="M1751" t="inlineStr">
        <is>
          <t>1153 HARRISON ST NE</t>
        </is>
      </c>
      <c r="N1751">
        <f>RIGHT(M1751,LEN(M1751)-FIND(" ",M1751))</f>
        <v/>
      </c>
      <c r="P1751" t="inlineStr">
        <is>
          <t>WARREN</t>
        </is>
      </c>
      <c r="Q1751" t="inlineStr">
        <is>
          <t>OH</t>
        </is>
      </c>
      <c r="R1751" t="n">
        <v>44483</v>
      </c>
      <c r="AD1751" t="inlineStr">
        <is>
          <t>TRUMBULL CAREER &amp; TECH CENTER</t>
        </is>
      </c>
      <c r="AE1751" t="inlineStr">
        <is>
          <t>WARREN CITY</t>
        </is>
      </c>
      <c r="AF1751" t="inlineStr">
        <is>
          <t>WARREN CITY SD</t>
        </is>
      </c>
      <c r="AH1751" t="n">
        <v>14</v>
      </c>
      <c r="AI1751" t="n">
        <v>11</v>
      </c>
      <c r="AN1751" t="inlineStr">
        <is>
          <t>WARREN</t>
        </is>
      </c>
      <c r="AO1751" t="inlineStr">
        <is>
          <t>WARREN CITY 4D</t>
        </is>
      </c>
      <c r="AP1751" t="inlineStr">
        <is>
          <t>78-P-ADL</t>
        </is>
      </c>
      <c r="AQ1751" t="n">
        <v>9</v>
      </c>
      <c r="AR1751" t="n">
        <v>64</v>
      </c>
      <c r="AS1751" t="n">
        <v>32</v>
      </c>
      <c r="AU1751">
        <f>COUNTA($BA$1751:$EH$1751)</f>
        <v/>
      </c>
      <c r="AV1751">
        <f>COUNTIF($BA$1751:$EH$1751,"D")</f>
        <v/>
      </c>
      <c r="AW1751">
        <f>COUNTIF($BA$1751:$EH$1751,"R")</f>
        <v/>
      </c>
      <c r="AX1751">
        <f>IF(BN1751="D",1,0)+IF(BO1751="D",1,0)+IF(BT1751="D",1,0)+IF(BU1751="D",1,0)+IF(BW1751="D",1,0)+IF(CC1751="D",1,0)+IF(CD1751="D",1,0)+IF(CE1751="D",1,0)+IF(CF1751="D",1,0)+IF(CL1751="D",1,0)+IF(CM1751="D",1,0)+IF(CQ1751="D",1,0)+IF(CR1751="D",1,0)+IF(CS1751="D",1,0)+IF(CW1751="D",1,0)+IF(CX1751="D",1,0)+IF(DD1751="D",1,0)+IF(DE1751="D",1,0)+IF(DJ1751="D",1,0)+IF(DK1751="D",1,0)+IF(DO1751="D",1,0)+IF(DP1751="D",1,0)+IF(DQ1751="D",1,0)+IF(DW1751="D",1,0)+IF(DZ1751="D",1,0)+IF(EH1751="D",1,0)</f>
        <v/>
      </c>
      <c r="AY1751">
        <f>IF(DJ1751&lt;&gt;"",1,0)+IF(DK1751&lt;&gt;"",1,0)+IF(DM1751&lt;&gt;"",1,0)+IF(DO1751&lt;&gt;"",1,0)+IF(DP1751&lt;&gt;"",1,0)+IF(DQ1751&lt;&gt;"",1,0)+IF(DS1751&lt;&gt;"",1,0)+IF(DT1751&lt;&gt;"",1,0)+IF(DV1751&lt;&gt;"",1,0)+IF(DW1751&lt;&gt;"",1,0)+IF(DX1751&lt;&gt;"",1,0)+IF(DY1751&lt;&gt;"",1,0)+IF(DZ1751&lt;&gt;"",1,0)+IF(EB1751&lt;&gt;"",1,0)+IF(EC1751&lt;&gt;"",1,0)+IF(ED1751&lt;&gt;"",1,0)+IF(EG1751&lt;&gt;"",1,0)+IF(EH1751&lt;&gt;"",1,0)</f>
        <v/>
      </c>
      <c r="AZ1751">
        <f>IF(EH1751&lt;&gt;"",1,0)</f>
        <v/>
      </c>
      <c r="BB1751" t="inlineStr">
        <is>
          <t>WARREN-WARD 4</t>
        </is>
      </c>
      <c r="BD1751" t="inlineStr">
        <is>
          <t>X</t>
        </is>
      </c>
      <c r="DN1751" t="inlineStr">
        <is>
          <t>X</t>
        </is>
      </c>
      <c r="EF1751" t="inlineStr">
        <is>
          <t>X</t>
        </is>
      </c>
    </row>
    <row r="1752">
      <c r="A1752" t="inlineStr">
        <is>
          <t>OH0024194642</t>
        </is>
      </c>
      <c r="B1752" t="n">
        <v>78</v>
      </c>
      <c r="C1752" t="n">
        <v>423721</v>
      </c>
      <c r="D1752" t="inlineStr">
        <is>
          <t>CARTER</t>
        </is>
      </c>
      <c r="E1752" t="inlineStr">
        <is>
          <t>ANTHONY</t>
        </is>
      </c>
      <c r="F1752">
        <f>CONCATENATE(D1752," ",LEFT(H1752,4),"T=",AU1752,"D=",AV1752,"R=",AW1752,"M=",AX1752,"L=",AY1752,"B=",AZ1752)</f>
        <v/>
      </c>
      <c r="G1752" t="inlineStr">
        <is>
          <t>JM</t>
        </is>
      </c>
      <c r="I1752" t="inlineStr">
        <is>
          <t>1995-01-12</t>
        </is>
      </c>
      <c r="J1752" t="inlineStr">
        <is>
          <t>2016-12-16</t>
        </is>
      </c>
      <c r="K1752" t="inlineStr">
        <is>
          <t>CONFIRMATION</t>
        </is>
      </c>
      <c r="M1752" t="inlineStr">
        <is>
          <t>169 IDDINGS AVE NE</t>
        </is>
      </c>
      <c r="N1752">
        <f>RIGHT(M1752,LEN(M1752)-FIND(" ",M1752))</f>
        <v/>
      </c>
      <c r="P1752" t="inlineStr">
        <is>
          <t>WARREN</t>
        </is>
      </c>
      <c r="Q1752" t="inlineStr">
        <is>
          <t>OH</t>
        </is>
      </c>
      <c r="R1752" t="n">
        <v>44483</v>
      </c>
      <c r="AD1752" t="inlineStr">
        <is>
          <t>TRUMBULL CAREER &amp; TECH CENTER</t>
        </is>
      </c>
      <c r="AE1752" t="inlineStr">
        <is>
          <t>WARREN CITY</t>
        </is>
      </c>
      <c r="AF1752" t="inlineStr">
        <is>
          <t>WARREN CITY SD</t>
        </is>
      </c>
      <c r="AH1752" t="n">
        <v>14</v>
      </c>
      <c r="AI1752" t="n">
        <v>11</v>
      </c>
      <c r="AN1752" t="inlineStr">
        <is>
          <t>WARREN</t>
        </is>
      </c>
      <c r="AO1752" t="inlineStr">
        <is>
          <t>WARREN CITY 4D</t>
        </is>
      </c>
      <c r="AP1752" t="inlineStr">
        <is>
          <t>78-P-ADL</t>
        </is>
      </c>
      <c r="AQ1752" t="n">
        <v>9</v>
      </c>
      <c r="AR1752" t="n">
        <v>64</v>
      </c>
      <c r="AS1752" t="n">
        <v>32</v>
      </c>
      <c r="AU1752">
        <f>COUNTA($BA$1752:$EH$1752)</f>
        <v/>
      </c>
      <c r="AV1752">
        <f>COUNTIF($BA$1752:$EH$1752,"D")</f>
        <v/>
      </c>
      <c r="AW1752">
        <f>COUNTIF($BA$1752:$EH$1752,"R")</f>
        <v/>
      </c>
      <c r="AX1752">
        <f>IF(BN1752="D",1,0)+IF(BO1752="D",1,0)+IF(BT1752="D",1,0)+IF(BU1752="D",1,0)+IF(BW1752="D",1,0)+IF(CC1752="D",1,0)+IF(CD1752="D",1,0)+IF(CE1752="D",1,0)+IF(CF1752="D",1,0)+IF(CL1752="D",1,0)+IF(CM1752="D",1,0)+IF(CQ1752="D",1,0)+IF(CR1752="D",1,0)+IF(CS1752="D",1,0)+IF(CW1752="D",1,0)+IF(CX1752="D",1,0)+IF(DD1752="D",1,0)+IF(DE1752="D",1,0)+IF(DJ1752="D",1,0)+IF(DK1752="D",1,0)+IF(DO1752="D",1,0)+IF(DP1752="D",1,0)+IF(DQ1752="D",1,0)+IF(DW1752="D",1,0)+IF(DZ1752="D",1,0)+IF(EH1752="D",1,0)</f>
        <v/>
      </c>
      <c r="AY1752">
        <f>IF(DJ1752&lt;&gt;"",1,0)+IF(DK1752&lt;&gt;"",1,0)+IF(DM1752&lt;&gt;"",1,0)+IF(DO1752&lt;&gt;"",1,0)+IF(DP1752&lt;&gt;"",1,0)+IF(DQ1752&lt;&gt;"",1,0)+IF(DS1752&lt;&gt;"",1,0)+IF(DT1752&lt;&gt;"",1,0)+IF(DV1752&lt;&gt;"",1,0)+IF(DW1752&lt;&gt;"",1,0)+IF(DX1752&lt;&gt;"",1,0)+IF(DY1752&lt;&gt;"",1,0)+IF(DZ1752&lt;&gt;"",1,0)+IF(EB1752&lt;&gt;"",1,0)+IF(EC1752&lt;&gt;"",1,0)+IF(ED1752&lt;&gt;"",1,0)+IF(EG1752&lt;&gt;"",1,0)+IF(EH1752&lt;&gt;"",1,0)</f>
        <v/>
      </c>
      <c r="AZ1752">
        <f>IF(EH1752&lt;&gt;"",1,0)</f>
        <v/>
      </c>
      <c r="BB1752" t="inlineStr">
        <is>
          <t>WARREN-WARD 4</t>
        </is>
      </c>
    </row>
    <row r="1753">
      <c r="A1753" t="inlineStr">
        <is>
          <t>OH0015795844</t>
        </is>
      </c>
      <c r="B1753" t="n">
        <v>78</v>
      </c>
      <c r="C1753" t="n">
        <v>270668</v>
      </c>
      <c r="D1753" t="inlineStr">
        <is>
          <t>WEED</t>
        </is>
      </c>
      <c r="E1753" t="inlineStr">
        <is>
          <t>JIMMY</t>
        </is>
      </c>
      <c r="F1753">
        <f>CONCATENATE(D1753," ",LEFT(H1753,4),"T=",AU1753,"D=",AV1753,"R=",AW1753,"M=",AX1753,"L=",AY1753,"B=",AZ1753)</f>
        <v/>
      </c>
      <c r="G1753" t="inlineStr">
        <is>
          <t>D</t>
        </is>
      </c>
      <c r="I1753" t="inlineStr">
        <is>
          <t>1958-05-29</t>
        </is>
      </c>
      <c r="J1753" t="inlineStr">
        <is>
          <t>1996-06-20</t>
        </is>
      </c>
      <c r="K1753" t="inlineStr">
        <is>
          <t>ACTIVE</t>
        </is>
      </c>
      <c r="L1753" t="inlineStr">
        <is>
          <t>R</t>
        </is>
      </c>
      <c r="M1753" t="inlineStr">
        <is>
          <t>371 PORTER ST NE</t>
        </is>
      </c>
      <c r="N1753">
        <f>RIGHT(M1753,LEN(M1753)-FIND(" ",M1753))</f>
        <v/>
      </c>
      <c r="P1753" t="inlineStr">
        <is>
          <t>WARREN</t>
        </is>
      </c>
      <c r="Q1753" t="inlineStr">
        <is>
          <t>OH</t>
        </is>
      </c>
      <c r="R1753" t="n">
        <v>44483</v>
      </c>
      <c r="AD1753" t="inlineStr">
        <is>
          <t>TRUMBULL CAREER &amp; TECH CENTER</t>
        </is>
      </c>
      <c r="AE1753" t="inlineStr">
        <is>
          <t>WARREN CITY</t>
        </is>
      </c>
      <c r="AF1753" t="inlineStr">
        <is>
          <t>WARREN CITY SD</t>
        </is>
      </c>
      <c r="AH1753" t="n">
        <v>14</v>
      </c>
      <c r="AI1753" t="n">
        <v>11</v>
      </c>
      <c r="AN1753" t="inlineStr">
        <is>
          <t>WARREN</t>
        </is>
      </c>
      <c r="AO1753" t="inlineStr">
        <is>
          <t>WARREN CITY 4D</t>
        </is>
      </c>
      <c r="AP1753" t="inlineStr">
        <is>
          <t>78-P-ADL</t>
        </is>
      </c>
      <c r="AQ1753" t="n">
        <v>9</v>
      </c>
      <c r="AR1753" t="n">
        <v>64</v>
      </c>
      <c r="AS1753" t="n">
        <v>32</v>
      </c>
      <c r="AU1753">
        <f>COUNTA($BA$1753:$EH$1753)</f>
        <v/>
      </c>
      <c r="AV1753">
        <f>COUNTIF($BA$1753:$EH$1753,"D")</f>
        <v/>
      </c>
      <c r="AW1753">
        <f>COUNTIF($BA$1753:$EH$1753,"R")</f>
        <v/>
      </c>
      <c r="AX1753">
        <f>IF(BN1753="D",1,0)+IF(BO1753="D",1,0)+IF(BT1753="D",1,0)+IF(BU1753="D",1,0)+IF(BW1753="D",1,0)+IF(CC1753="D",1,0)+IF(CD1753="D",1,0)+IF(CE1753="D",1,0)+IF(CF1753="D",1,0)+IF(CL1753="D",1,0)+IF(CM1753="D",1,0)+IF(CQ1753="D",1,0)+IF(CR1753="D",1,0)+IF(CS1753="D",1,0)+IF(CW1753="D",1,0)+IF(CX1753="D",1,0)+IF(DD1753="D",1,0)+IF(DE1753="D",1,0)+IF(DJ1753="D",1,0)+IF(DK1753="D",1,0)+IF(DO1753="D",1,0)+IF(DP1753="D",1,0)+IF(DQ1753="D",1,0)+IF(DW1753="D",1,0)+IF(DZ1753="D",1,0)+IF(EH1753="D",1,0)</f>
        <v/>
      </c>
      <c r="AY1753">
        <f>IF(DJ1753&lt;&gt;"",1,0)+IF(DK1753&lt;&gt;"",1,0)+IF(DM1753&lt;&gt;"",1,0)+IF(DO1753&lt;&gt;"",1,0)+IF(DP1753&lt;&gt;"",1,0)+IF(DQ1753&lt;&gt;"",1,0)+IF(DS1753&lt;&gt;"",1,0)+IF(DT1753&lt;&gt;"",1,0)+IF(DV1753&lt;&gt;"",1,0)+IF(DW1753&lt;&gt;"",1,0)+IF(DX1753&lt;&gt;"",1,0)+IF(DY1753&lt;&gt;"",1,0)+IF(DZ1753&lt;&gt;"",1,0)+IF(EB1753&lt;&gt;"",1,0)+IF(EC1753&lt;&gt;"",1,0)+IF(ED1753&lt;&gt;"",1,0)+IF(EG1753&lt;&gt;"",1,0)+IF(EH1753&lt;&gt;"",1,0)</f>
        <v/>
      </c>
      <c r="AZ1753">
        <f>IF(EH1753&lt;&gt;"",1,0)</f>
        <v/>
      </c>
      <c r="BB1753" t="inlineStr">
        <is>
          <t>WARREN-WARD 4</t>
        </is>
      </c>
      <c r="BD1753" t="inlineStr">
        <is>
          <t>X</t>
        </is>
      </c>
      <c r="BL1753" t="inlineStr">
        <is>
          <t>X</t>
        </is>
      </c>
      <c r="BP1753" t="inlineStr">
        <is>
          <t>X</t>
        </is>
      </c>
      <c r="BS1753" t="inlineStr">
        <is>
          <t>X</t>
        </is>
      </c>
      <c r="BV1753" t="inlineStr">
        <is>
          <t>X</t>
        </is>
      </c>
      <c r="BY1753" t="inlineStr">
        <is>
          <t>R</t>
        </is>
      </c>
      <c r="CA1753" t="inlineStr">
        <is>
          <t>X</t>
        </is>
      </c>
      <c r="CG1753" t="inlineStr">
        <is>
          <t>X</t>
        </is>
      </c>
      <c r="CK1753" t="inlineStr">
        <is>
          <t>X</t>
        </is>
      </c>
      <c r="CN1753" t="inlineStr">
        <is>
          <t>X</t>
        </is>
      </c>
      <c r="CO1753" t="inlineStr">
        <is>
          <t>R</t>
        </is>
      </c>
      <c r="CP1753" t="inlineStr">
        <is>
          <t>X</t>
        </is>
      </c>
      <c r="CY1753" t="inlineStr">
        <is>
          <t>X</t>
        </is>
      </c>
      <c r="CZ1753" t="inlineStr">
        <is>
          <t>R</t>
        </is>
      </c>
      <c r="DC1753" t="inlineStr">
        <is>
          <t>X</t>
        </is>
      </c>
      <c r="DF1753" t="inlineStr">
        <is>
          <t>X</t>
        </is>
      </c>
      <c r="DG1753" t="inlineStr">
        <is>
          <t>R</t>
        </is>
      </c>
      <c r="DI1753" t="inlineStr">
        <is>
          <t>X</t>
        </is>
      </c>
      <c r="DL1753" t="inlineStr">
        <is>
          <t>X</t>
        </is>
      </c>
      <c r="DM1753" t="inlineStr">
        <is>
          <t>R</t>
        </is>
      </c>
      <c r="DN1753" t="inlineStr">
        <is>
          <t>X</t>
        </is>
      </c>
      <c r="DS1753" t="inlineStr">
        <is>
          <t>R</t>
        </is>
      </c>
      <c r="DU1753" t="inlineStr">
        <is>
          <t>X</t>
        </is>
      </c>
      <c r="DX1753" t="inlineStr">
        <is>
          <t>X</t>
        </is>
      </c>
      <c r="EA1753" t="inlineStr">
        <is>
          <t>X</t>
        </is>
      </c>
      <c r="ED1753" t="inlineStr">
        <is>
          <t>R</t>
        </is>
      </c>
      <c r="EF1753" t="inlineStr">
        <is>
          <t>X</t>
        </is>
      </c>
    </row>
    <row r="1754">
      <c r="A1754" t="inlineStr">
        <is>
          <t>OH0015730489</t>
        </is>
      </c>
      <c r="B1754" t="n">
        <v>78</v>
      </c>
      <c r="C1754" t="n">
        <v>21805</v>
      </c>
      <c r="D1754" t="inlineStr">
        <is>
          <t>MCGHEE</t>
        </is>
      </c>
      <c r="E1754" t="inlineStr">
        <is>
          <t>MICHAEL</t>
        </is>
      </c>
      <c r="F1754">
        <f>CONCATENATE(D1754," ",LEFT(H1754,4),"T=",AU1754,"D=",AV1754,"R=",AW1754,"M=",AX1754,"L=",AY1754,"B=",AZ1754)</f>
        <v/>
      </c>
      <c r="G1754" t="inlineStr">
        <is>
          <t>A</t>
        </is>
      </c>
      <c r="I1754" t="inlineStr">
        <is>
          <t>1953-06-11</t>
        </is>
      </c>
      <c r="J1754" t="inlineStr">
        <is>
          <t>2025-03-20</t>
        </is>
      </c>
      <c r="K1754" t="inlineStr">
        <is>
          <t>ACTIVE</t>
        </is>
      </c>
      <c r="L1754" t="inlineStr">
        <is>
          <t>D</t>
        </is>
      </c>
      <c r="M1754" t="inlineStr">
        <is>
          <t>108 N PARK AVE</t>
        </is>
      </c>
      <c r="N1754">
        <f>RIGHT(M1754,LEN(M1754)-FIND(" ",M1754))</f>
        <v/>
      </c>
      <c r="O1754" t="inlineStr">
        <is>
          <t>APT 2</t>
        </is>
      </c>
      <c r="P1754" t="inlineStr">
        <is>
          <t>WARREN</t>
        </is>
      </c>
      <c r="Q1754" t="inlineStr">
        <is>
          <t>OH</t>
        </is>
      </c>
      <c r="R1754" t="n">
        <v>44481</v>
      </c>
      <c r="AD1754" t="inlineStr">
        <is>
          <t>TRUMBULL CAREER &amp; TECH CENTER</t>
        </is>
      </c>
      <c r="AE1754" t="inlineStr">
        <is>
          <t>WARREN CITY</t>
        </is>
      </c>
      <c r="AF1754" t="inlineStr">
        <is>
          <t>WARREN CITY SD</t>
        </is>
      </c>
      <c r="AH1754" t="n">
        <v>14</v>
      </c>
      <c r="AI1754" t="n">
        <v>11</v>
      </c>
      <c r="AN1754" t="inlineStr">
        <is>
          <t>WARREN</t>
        </is>
      </c>
      <c r="AO1754" t="inlineStr">
        <is>
          <t>WARREN CITY 4D</t>
        </is>
      </c>
      <c r="AP1754" t="inlineStr">
        <is>
          <t>78-P-ADL</t>
        </is>
      </c>
      <c r="AQ1754" t="n">
        <v>9</v>
      </c>
      <c r="AR1754" t="n">
        <v>64</v>
      </c>
      <c r="AS1754" t="n">
        <v>32</v>
      </c>
      <c r="AU1754">
        <f>COUNTA($BA$1754:$EH$1754)</f>
        <v/>
      </c>
      <c r="AV1754">
        <f>COUNTIF($BA$1754:$EH$1754,"D")</f>
        <v/>
      </c>
      <c r="AW1754">
        <f>COUNTIF($BA$1754:$EH$1754,"R")</f>
        <v/>
      </c>
      <c r="AX1754">
        <f>IF(BN1754="D",1,0)+IF(BO1754="D",1,0)+IF(BT1754="D",1,0)+IF(BU1754="D",1,0)+IF(BW1754="D",1,0)+IF(CC1754="D",1,0)+IF(CD1754="D",1,0)+IF(CE1754="D",1,0)+IF(CF1754="D",1,0)+IF(CL1754="D",1,0)+IF(CM1754="D",1,0)+IF(CQ1754="D",1,0)+IF(CR1754="D",1,0)+IF(CS1754="D",1,0)+IF(CW1754="D",1,0)+IF(CX1754="D",1,0)+IF(DD1754="D",1,0)+IF(DE1754="D",1,0)+IF(DJ1754="D",1,0)+IF(DK1754="D",1,0)+IF(DO1754="D",1,0)+IF(DP1754="D",1,0)+IF(DQ1754="D",1,0)+IF(DW1754="D",1,0)+IF(DZ1754="D",1,0)+IF(EH1754="D",1,0)</f>
        <v/>
      </c>
      <c r="AY1754">
        <f>IF(DJ1754&lt;&gt;"",1,0)+IF(DK1754&lt;&gt;"",1,0)+IF(DM1754&lt;&gt;"",1,0)+IF(DO1754&lt;&gt;"",1,0)+IF(DP1754&lt;&gt;"",1,0)+IF(DQ1754&lt;&gt;"",1,0)+IF(DS1754&lt;&gt;"",1,0)+IF(DT1754&lt;&gt;"",1,0)+IF(DV1754&lt;&gt;"",1,0)+IF(DW1754&lt;&gt;"",1,0)+IF(DX1754&lt;&gt;"",1,0)+IF(DY1754&lt;&gt;"",1,0)+IF(DZ1754&lt;&gt;"",1,0)+IF(EB1754&lt;&gt;"",1,0)+IF(EC1754&lt;&gt;"",1,0)+IF(ED1754&lt;&gt;"",1,0)+IF(EG1754&lt;&gt;"",1,0)+IF(EH1754&lt;&gt;"",1,0)</f>
        <v/>
      </c>
      <c r="AZ1754">
        <f>IF(EH1754&lt;&gt;"",1,0)</f>
        <v/>
      </c>
      <c r="BB1754" t="inlineStr">
        <is>
          <t>WARREN-WARD 4</t>
        </is>
      </c>
      <c r="BD1754" t="inlineStr">
        <is>
          <t>X</t>
        </is>
      </c>
      <c r="BS1754" t="inlineStr">
        <is>
          <t>X</t>
        </is>
      </c>
      <c r="BY1754" t="inlineStr">
        <is>
          <t>D</t>
        </is>
      </c>
      <c r="CA1754" t="inlineStr">
        <is>
          <t>X</t>
        </is>
      </c>
      <c r="CC1754" t="inlineStr">
        <is>
          <t>D</t>
        </is>
      </c>
      <c r="CG1754" t="inlineStr">
        <is>
          <t>X</t>
        </is>
      </c>
      <c r="CH1754" t="inlineStr">
        <is>
          <t>D</t>
        </is>
      </c>
      <c r="CK1754" t="inlineStr">
        <is>
          <t>X</t>
        </is>
      </c>
      <c r="CL1754" t="inlineStr">
        <is>
          <t>D</t>
        </is>
      </c>
      <c r="CN1754" t="inlineStr">
        <is>
          <t>X</t>
        </is>
      </c>
      <c r="CO1754" t="inlineStr">
        <is>
          <t>D</t>
        </is>
      </c>
      <c r="CP1754" t="inlineStr">
        <is>
          <t>X</t>
        </is>
      </c>
      <c r="CQ1754" t="inlineStr">
        <is>
          <t>D</t>
        </is>
      </c>
      <c r="CT1754" t="inlineStr">
        <is>
          <t>X</t>
        </is>
      </c>
      <c r="CU1754" t="inlineStr">
        <is>
          <t>D</t>
        </is>
      </c>
      <c r="CV1754" t="inlineStr">
        <is>
          <t>X</t>
        </is>
      </c>
      <c r="CW1754" t="inlineStr">
        <is>
          <t>D</t>
        </is>
      </c>
      <c r="CY1754" t="inlineStr">
        <is>
          <t>X</t>
        </is>
      </c>
      <c r="CZ1754" t="inlineStr">
        <is>
          <t>D</t>
        </is>
      </c>
      <c r="DC1754" t="inlineStr">
        <is>
          <t>X</t>
        </is>
      </c>
      <c r="DD1754" t="inlineStr">
        <is>
          <t>D</t>
        </is>
      </c>
      <c r="DF1754" t="inlineStr">
        <is>
          <t>X</t>
        </is>
      </c>
      <c r="DG1754" t="inlineStr">
        <is>
          <t>D</t>
        </is>
      </c>
      <c r="DI1754" t="inlineStr">
        <is>
          <t>X</t>
        </is>
      </c>
      <c r="DJ1754" t="inlineStr">
        <is>
          <t>D</t>
        </is>
      </c>
      <c r="DL1754" t="inlineStr">
        <is>
          <t>X</t>
        </is>
      </c>
      <c r="DN1754" t="inlineStr">
        <is>
          <t>X</t>
        </is>
      </c>
      <c r="DR1754" t="inlineStr">
        <is>
          <t>X</t>
        </is>
      </c>
      <c r="DS1754" t="inlineStr">
        <is>
          <t>D</t>
        </is>
      </c>
      <c r="DU1754" t="inlineStr">
        <is>
          <t>X</t>
        </is>
      </c>
      <c r="DW1754" t="inlineStr">
        <is>
          <t>D</t>
        </is>
      </c>
      <c r="DX1754" t="inlineStr">
        <is>
          <t>X</t>
        </is>
      </c>
      <c r="EA1754" t="inlineStr">
        <is>
          <t>X</t>
        </is>
      </c>
      <c r="EF1754" t="inlineStr">
        <is>
          <t>X</t>
        </is>
      </c>
      <c r="EH1754" t="inlineStr">
        <is>
          <t>X</t>
        </is>
      </c>
    </row>
    <row r="1755">
      <c r="A1755" t="inlineStr">
        <is>
          <t>OH0023225230</t>
        </is>
      </c>
      <c r="B1755" t="n">
        <v>78</v>
      </c>
      <c r="C1755" t="n">
        <v>408767</v>
      </c>
      <c r="D1755" t="inlineStr">
        <is>
          <t>FUSSELMAN</t>
        </is>
      </c>
      <c r="E1755" t="inlineStr">
        <is>
          <t>MAKAYLA</t>
        </is>
      </c>
      <c r="F1755">
        <f>CONCATENATE(D1755," ",LEFT(H1755,4),"T=",AU1755,"D=",AV1755,"R=",AW1755,"M=",AX1755,"L=",AY1755,"B=",AZ1755)</f>
        <v/>
      </c>
      <c r="G1755" t="inlineStr">
        <is>
          <t>C</t>
        </is>
      </c>
      <c r="I1755" t="inlineStr">
        <is>
          <t>1994-07-29</t>
        </is>
      </c>
      <c r="J1755" t="inlineStr">
        <is>
          <t>2016-07-19</t>
        </is>
      </c>
      <c r="K1755" t="inlineStr">
        <is>
          <t>CONFIRMATION</t>
        </is>
      </c>
      <c r="M1755" t="inlineStr">
        <is>
          <t>734 PORTER ST NE</t>
        </is>
      </c>
      <c r="N1755">
        <f>RIGHT(M1755,LEN(M1755)-FIND(" ",M1755))</f>
        <v/>
      </c>
      <c r="P1755" t="inlineStr">
        <is>
          <t>WARREN</t>
        </is>
      </c>
      <c r="Q1755" t="inlineStr">
        <is>
          <t>OH</t>
        </is>
      </c>
      <c r="R1755" t="n">
        <v>44483</v>
      </c>
      <c r="AD1755" t="inlineStr">
        <is>
          <t>TRUMBULL CAREER &amp; TECH CENTER</t>
        </is>
      </c>
      <c r="AE1755" t="inlineStr">
        <is>
          <t>WARREN CITY</t>
        </is>
      </c>
      <c r="AF1755" t="inlineStr">
        <is>
          <t>WARREN CITY SD</t>
        </is>
      </c>
      <c r="AH1755" t="n">
        <v>14</v>
      </c>
      <c r="AI1755" t="n">
        <v>11</v>
      </c>
      <c r="AN1755" t="inlineStr">
        <is>
          <t>WARREN</t>
        </is>
      </c>
      <c r="AO1755" t="inlineStr">
        <is>
          <t>WARREN CITY 4D</t>
        </is>
      </c>
      <c r="AP1755" t="inlineStr">
        <is>
          <t>78-P-ADL</t>
        </is>
      </c>
      <c r="AQ1755" t="n">
        <v>9</v>
      </c>
      <c r="AR1755" t="n">
        <v>64</v>
      </c>
      <c r="AS1755" t="n">
        <v>32</v>
      </c>
      <c r="AU1755">
        <f>COUNTA($BA$1755:$EH$1755)</f>
        <v/>
      </c>
      <c r="AV1755">
        <f>COUNTIF($BA$1755:$EH$1755,"D")</f>
        <v/>
      </c>
      <c r="AW1755">
        <f>COUNTIF($BA$1755:$EH$1755,"R")</f>
        <v/>
      </c>
      <c r="AX1755">
        <f>IF(BN1755="D",1,0)+IF(BO1755="D",1,0)+IF(BT1755="D",1,0)+IF(BU1755="D",1,0)+IF(BW1755="D",1,0)+IF(CC1755="D",1,0)+IF(CD1755="D",1,0)+IF(CE1755="D",1,0)+IF(CF1755="D",1,0)+IF(CL1755="D",1,0)+IF(CM1755="D",1,0)+IF(CQ1755="D",1,0)+IF(CR1755="D",1,0)+IF(CS1755="D",1,0)+IF(CW1755="D",1,0)+IF(CX1755="D",1,0)+IF(DD1755="D",1,0)+IF(DE1755="D",1,0)+IF(DJ1755="D",1,0)+IF(DK1755="D",1,0)+IF(DO1755="D",1,0)+IF(DP1755="D",1,0)+IF(DQ1755="D",1,0)+IF(DW1755="D",1,0)+IF(DZ1755="D",1,0)+IF(EH1755="D",1,0)</f>
        <v/>
      </c>
      <c r="AY1755">
        <f>IF(DJ1755&lt;&gt;"",1,0)+IF(DK1755&lt;&gt;"",1,0)+IF(DM1755&lt;&gt;"",1,0)+IF(DO1755&lt;&gt;"",1,0)+IF(DP1755&lt;&gt;"",1,0)+IF(DQ1755&lt;&gt;"",1,0)+IF(DS1755&lt;&gt;"",1,0)+IF(DT1755&lt;&gt;"",1,0)+IF(DV1755&lt;&gt;"",1,0)+IF(DW1755&lt;&gt;"",1,0)+IF(DX1755&lt;&gt;"",1,0)+IF(DY1755&lt;&gt;"",1,0)+IF(DZ1755&lt;&gt;"",1,0)+IF(EB1755&lt;&gt;"",1,0)+IF(EC1755&lt;&gt;"",1,0)+IF(ED1755&lt;&gt;"",1,0)+IF(EG1755&lt;&gt;"",1,0)+IF(EH1755&lt;&gt;"",1,0)</f>
        <v/>
      </c>
      <c r="AZ1755">
        <f>IF(EH1755&lt;&gt;"",1,0)</f>
        <v/>
      </c>
      <c r="BB1755" t="inlineStr">
        <is>
          <t>WARREN-WARD 4</t>
        </is>
      </c>
    </row>
    <row r="1756">
      <c r="A1756" t="inlineStr">
        <is>
          <t>OH0026624267</t>
        </is>
      </c>
      <c r="B1756" t="n">
        <v>78</v>
      </c>
      <c r="C1756" t="n">
        <v>465192</v>
      </c>
      <c r="D1756" t="inlineStr">
        <is>
          <t>HUSK</t>
        </is>
      </c>
      <c r="E1756" t="inlineStr">
        <is>
          <t>JEFFREY</t>
        </is>
      </c>
      <c r="F1756">
        <f>CONCATENATE(D1756," ",LEFT(H1756,4),"T=",AU1756,"D=",AV1756,"R=",AW1756,"M=",AX1756,"L=",AY1756,"B=",AZ1756)</f>
        <v/>
      </c>
      <c r="G1756" t="inlineStr">
        <is>
          <t>A</t>
        </is>
      </c>
      <c r="I1756" t="inlineStr">
        <is>
          <t>1974-09-13</t>
        </is>
      </c>
      <c r="J1756" t="inlineStr">
        <is>
          <t>2023-09-11</t>
        </is>
      </c>
      <c r="K1756" t="inlineStr">
        <is>
          <t>ACTIVE</t>
        </is>
      </c>
      <c r="M1756" t="inlineStr">
        <is>
          <t>626 PORTER ST NE</t>
        </is>
      </c>
      <c r="N1756">
        <f>RIGHT(M1756,LEN(M1756)-FIND(" ",M1756))</f>
        <v/>
      </c>
      <c r="O1756" t="inlineStr">
        <is>
          <t>APT 1</t>
        </is>
      </c>
      <c r="P1756" t="inlineStr">
        <is>
          <t>WARREN</t>
        </is>
      </c>
      <c r="Q1756" t="inlineStr">
        <is>
          <t>OH</t>
        </is>
      </c>
      <c r="R1756" t="n">
        <v>44483</v>
      </c>
      <c r="AD1756" t="inlineStr">
        <is>
          <t>TRUMBULL CAREER &amp; TECH CENTER</t>
        </is>
      </c>
      <c r="AE1756" t="inlineStr">
        <is>
          <t>WARREN CITY</t>
        </is>
      </c>
      <c r="AF1756" t="inlineStr">
        <is>
          <t>WARREN CITY SD</t>
        </is>
      </c>
      <c r="AH1756" t="n">
        <v>14</v>
      </c>
      <c r="AI1756" t="n">
        <v>11</v>
      </c>
      <c r="AN1756" t="inlineStr">
        <is>
          <t>WARREN</t>
        </is>
      </c>
      <c r="AO1756" t="inlineStr">
        <is>
          <t>WARREN CITY 4D</t>
        </is>
      </c>
      <c r="AP1756" t="inlineStr">
        <is>
          <t>78-P-ADL</t>
        </is>
      </c>
      <c r="AQ1756" t="n">
        <v>9</v>
      </c>
      <c r="AR1756" t="n">
        <v>64</v>
      </c>
      <c r="AS1756" t="n">
        <v>32</v>
      </c>
      <c r="AU1756">
        <f>COUNTA($BA$1756:$EH$1756)</f>
        <v/>
      </c>
      <c r="AV1756">
        <f>COUNTIF($BA$1756:$EH$1756,"D")</f>
        <v/>
      </c>
      <c r="AW1756">
        <f>COUNTIF($BA$1756:$EH$1756,"R")</f>
        <v/>
      </c>
      <c r="AX1756">
        <f>IF(BN1756="D",1,0)+IF(BO1756="D",1,0)+IF(BT1756="D",1,0)+IF(BU1756="D",1,0)+IF(BW1756="D",1,0)+IF(CC1756="D",1,0)+IF(CD1756="D",1,0)+IF(CE1756="D",1,0)+IF(CF1756="D",1,0)+IF(CL1756="D",1,0)+IF(CM1756="D",1,0)+IF(CQ1756="D",1,0)+IF(CR1756="D",1,0)+IF(CS1756="D",1,0)+IF(CW1756="D",1,0)+IF(CX1756="D",1,0)+IF(DD1756="D",1,0)+IF(DE1756="D",1,0)+IF(DJ1756="D",1,0)+IF(DK1756="D",1,0)+IF(DO1756="D",1,0)+IF(DP1756="D",1,0)+IF(DQ1756="D",1,0)+IF(DW1756="D",1,0)+IF(DZ1756="D",1,0)+IF(EH1756="D",1,0)</f>
        <v/>
      </c>
      <c r="AY1756">
        <f>IF(DJ1756&lt;&gt;"",1,0)+IF(DK1756&lt;&gt;"",1,0)+IF(DM1756&lt;&gt;"",1,0)+IF(DO1756&lt;&gt;"",1,0)+IF(DP1756&lt;&gt;"",1,0)+IF(DQ1756&lt;&gt;"",1,0)+IF(DS1756&lt;&gt;"",1,0)+IF(DT1756&lt;&gt;"",1,0)+IF(DV1756&lt;&gt;"",1,0)+IF(DW1756&lt;&gt;"",1,0)+IF(DX1756&lt;&gt;"",1,0)+IF(DY1756&lt;&gt;"",1,0)+IF(DZ1756&lt;&gt;"",1,0)+IF(EB1756&lt;&gt;"",1,0)+IF(EC1756&lt;&gt;"",1,0)+IF(ED1756&lt;&gt;"",1,0)+IF(EG1756&lt;&gt;"",1,0)+IF(EH1756&lt;&gt;"",1,0)</f>
        <v/>
      </c>
      <c r="AZ1756">
        <f>IF(EH1756&lt;&gt;"",1,0)</f>
        <v/>
      </c>
      <c r="BB1756" t="inlineStr">
        <is>
          <t>WARREN-WARD 4</t>
        </is>
      </c>
      <c r="BL1756" t="inlineStr">
        <is>
          <t>X</t>
        </is>
      </c>
      <c r="CP1756" t="inlineStr">
        <is>
          <t>X</t>
        </is>
      </c>
      <c r="CV1756" t="inlineStr">
        <is>
          <t>X</t>
        </is>
      </c>
      <c r="CY1756" t="inlineStr">
        <is>
          <t>X</t>
        </is>
      </c>
      <c r="DC1756" t="inlineStr">
        <is>
          <t>X</t>
        </is>
      </c>
      <c r="DN1756" t="inlineStr">
        <is>
          <t>X</t>
        </is>
      </c>
    </row>
    <row r="1757">
      <c r="A1757" t="inlineStr">
        <is>
          <t>OH0021652522</t>
        </is>
      </c>
      <c r="B1757" t="n">
        <v>78</v>
      </c>
      <c r="C1757" t="n">
        <v>384270</v>
      </c>
      <c r="D1757" t="inlineStr">
        <is>
          <t>LOWERY</t>
        </is>
      </c>
      <c r="E1757" t="inlineStr">
        <is>
          <t>VINZENT</t>
        </is>
      </c>
      <c r="F1757">
        <f>CONCATENATE(D1757," ",LEFT(H1757,4),"T=",AU1757,"D=",AV1757,"R=",AW1757,"M=",AX1757,"L=",AY1757,"B=",AZ1757)</f>
        <v/>
      </c>
      <c r="G1757" t="inlineStr">
        <is>
          <t>E</t>
        </is>
      </c>
      <c r="I1757" t="inlineStr">
        <is>
          <t>1970-12-17</t>
        </is>
      </c>
      <c r="J1757" t="inlineStr">
        <is>
          <t>2018-02-22</t>
        </is>
      </c>
      <c r="K1757" t="inlineStr">
        <is>
          <t>ACTIVE</t>
        </is>
      </c>
      <c r="M1757" t="inlineStr">
        <is>
          <t>182 HIGH ST NE</t>
        </is>
      </c>
      <c r="N1757">
        <f>RIGHT(M1757,LEN(M1757)-FIND(" ",M1757))</f>
        <v/>
      </c>
      <c r="O1757" t="inlineStr">
        <is>
          <t>APT 603</t>
        </is>
      </c>
      <c r="P1757" t="inlineStr">
        <is>
          <t>WARREN</t>
        </is>
      </c>
      <c r="Q1757" t="inlineStr">
        <is>
          <t>OH</t>
        </is>
      </c>
      <c r="R1757" t="n">
        <v>44481</v>
      </c>
      <c r="AD1757" t="inlineStr">
        <is>
          <t>TRUMBULL CAREER &amp; TECH CENTER</t>
        </is>
      </c>
      <c r="AE1757" t="inlineStr">
        <is>
          <t>WARREN CITY</t>
        </is>
      </c>
      <c r="AF1757" t="inlineStr">
        <is>
          <t>WARREN CITY SD</t>
        </is>
      </c>
      <c r="AH1757" t="n">
        <v>14</v>
      </c>
      <c r="AI1757" t="n">
        <v>11</v>
      </c>
      <c r="AN1757" t="inlineStr">
        <is>
          <t>WARREN</t>
        </is>
      </c>
      <c r="AO1757" t="inlineStr">
        <is>
          <t>WARREN CITY 4D</t>
        </is>
      </c>
      <c r="AP1757" t="inlineStr">
        <is>
          <t>78-P-ADL</t>
        </is>
      </c>
      <c r="AQ1757" t="n">
        <v>9</v>
      </c>
      <c r="AR1757" t="n">
        <v>64</v>
      </c>
      <c r="AS1757" t="n">
        <v>32</v>
      </c>
      <c r="AU1757">
        <f>COUNTA($BA$1757:$EH$1757)</f>
        <v/>
      </c>
      <c r="AV1757">
        <f>COUNTIF($BA$1757:$EH$1757,"D")</f>
        <v/>
      </c>
      <c r="AW1757">
        <f>COUNTIF($BA$1757:$EH$1757,"R")</f>
        <v/>
      </c>
      <c r="AX1757">
        <f>IF(BN1757="D",1,0)+IF(BO1757="D",1,0)+IF(BT1757="D",1,0)+IF(BU1757="D",1,0)+IF(BW1757="D",1,0)+IF(CC1757="D",1,0)+IF(CD1757="D",1,0)+IF(CE1757="D",1,0)+IF(CF1757="D",1,0)+IF(CL1757="D",1,0)+IF(CM1757="D",1,0)+IF(CQ1757="D",1,0)+IF(CR1757="D",1,0)+IF(CS1757="D",1,0)+IF(CW1757="D",1,0)+IF(CX1757="D",1,0)+IF(DD1757="D",1,0)+IF(DE1757="D",1,0)+IF(DJ1757="D",1,0)+IF(DK1757="D",1,0)+IF(DO1757="D",1,0)+IF(DP1757="D",1,0)+IF(DQ1757="D",1,0)+IF(DW1757="D",1,0)+IF(DZ1757="D",1,0)+IF(EH1757="D",1,0)</f>
        <v/>
      </c>
      <c r="AY1757">
        <f>IF(DJ1757&lt;&gt;"",1,0)+IF(DK1757&lt;&gt;"",1,0)+IF(DM1757&lt;&gt;"",1,0)+IF(DO1757&lt;&gt;"",1,0)+IF(DP1757&lt;&gt;"",1,0)+IF(DQ1757&lt;&gt;"",1,0)+IF(DS1757&lt;&gt;"",1,0)+IF(DT1757&lt;&gt;"",1,0)+IF(DV1757&lt;&gt;"",1,0)+IF(DW1757&lt;&gt;"",1,0)+IF(DX1757&lt;&gt;"",1,0)+IF(DY1757&lt;&gt;"",1,0)+IF(DZ1757&lt;&gt;"",1,0)+IF(EB1757&lt;&gt;"",1,0)+IF(EC1757&lt;&gt;"",1,0)+IF(ED1757&lt;&gt;"",1,0)+IF(EG1757&lt;&gt;"",1,0)+IF(EH1757&lt;&gt;"",1,0)</f>
        <v/>
      </c>
      <c r="AZ1757">
        <f>IF(EH1757&lt;&gt;"",1,0)</f>
        <v/>
      </c>
      <c r="BB1757" t="inlineStr">
        <is>
          <t>WARREN-WARD 4</t>
        </is>
      </c>
      <c r="CA1757" t="inlineStr">
        <is>
          <t>X</t>
        </is>
      </c>
      <c r="CP1757" t="inlineStr">
        <is>
          <t>X</t>
        </is>
      </c>
      <c r="CY1757" t="inlineStr">
        <is>
          <t>X</t>
        </is>
      </c>
    </row>
    <row r="1758">
      <c r="A1758" t="inlineStr">
        <is>
          <t>OH0027039353</t>
        </is>
      </c>
      <c r="B1758" t="n">
        <v>78</v>
      </c>
      <c r="C1758" t="n">
        <v>476043</v>
      </c>
      <c r="D1758" t="inlineStr">
        <is>
          <t>FLETCHER</t>
        </is>
      </c>
      <c r="E1758" t="inlineStr">
        <is>
          <t>KEMMANI</t>
        </is>
      </c>
      <c r="F1758">
        <f>CONCATENATE(D1758," ",LEFT(H1758,4),"T=",AU1758,"D=",AV1758,"R=",AW1758,"M=",AX1758,"L=",AY1758,"B=",AZ1758)</f>
        <v/>
      </c>
      <c r="G1758" t="inlineStr">
        <is>
          <t>NICOLE</t>
        </is>
      </c>
      <c r="I1758" t="inlineStr">
        <is>
          <t>2005-06-08</t>
        </is>
      </c>
      <c r="J1758" t="inlineStr">
        <is>
          <t>2023-08-09</t>
        </is>
      </c>
      <c r="K1758" t="inlineStr">
        <is>
          <t>ACTIVE</t>
        </is>
      </c>
      <c r="M1758" t="inlineStr">
        <is>
          <t>224 PORTER ST NE</t>
        </is>
      </c>
      <c r="N1758">
        <f>RIGHT(M1758,LEN(M1758)-FIND(" ",M1758))</f>
        <v/>
      </c>
      <c r="P1758" t="inlineStr">
        <is>
          <t>WARREN</t>
        </is>
      </c>
      <c r="Q1758" t="inlineStr">
        <is>
          <t>OH</t>
        </is>
      </c>
      <c r="R1758" t="n">
        <v>44483</v>
      </c>
      <c r="AD1758" t="inlineStr">
        <is>
          <t>TRUMBULL CAREER &amp; TECH CENTER</t>
        </is>
      </c>
      <c r="AE1758" t="inlineStr">
        <is>
          <t>WARREN CITY</t>
        </is>
      </c>
      <c r="AF1758" t="inlineStr">
        <is>
          <t>WARREN CITY SD</t>
        </is>
      </c>
      <c r="AH1758" t="n">
        <v>14</v>
      </c>
      <c r="AI1758" t="n">
        <v>11</v>
      </c>
      <c r="AN1758" t="inlineStr">
        <is>
          <t>WARREN</t>
        </is>
      </c>
      <c r="AO1758" t="inlineStr">
        <is>
          <t>WARREN CITY 4D</t>
        </is>
      </c>
      <c r="AP1758" t="inlineStr">
        <is>
          <t>78-P-ADL</t>
        </is>
      </c>
      <c r="AQ1758" t="n">
        <v>9</v>
      </c>
      <c r="AR1758" t="n">
        <v>64</v>
      </c>
      <c r="AS1758" t="n">
        <v>32</v>
      </c>
      <c r="AU1758">
        <f>COUNTA($BA$1758:$EH$1758)</f>
        <v/>
      </c>
      <c r="AV1758">
        <f>COUNTIF($BA$1758:$EH$1758,"D")</f>
        <v/>
      </c>
      <c r="AW1758">
        <f>COUNTIF($BA$1758:$EH$1758,"R")</f>
        <v/>
      </c>
      <c r="AX1758">
        <f>IF(BN1758="D",1,0)+IF(BO1758="D",1,0)+IF(BT1758="D",1,0)+IF(BU1758="D",1,0)+IF(BW1758="D",1,0)+IF(CC1758="D",1,0)+IF(CD1758="D",1,0)+IF(CE1758="D",1,0)+IF(CF1758="D",1,0)+IF(CL1758="D",1,0)+IF(CM1758="D",1,0)+IF(CQ1758="D",1,0)+IF(CR1758="D",1,0)+IF(CS1758="D",1,0)+IF(CW1758="D",1,0)+IF(CX1758="D",1,0)+IF(DD1758="D",1,0)+IF(DE1758="D",1,0)+IF(DJ1758="D",1,0)+IF(DK1758="D",1,0)+IF(DO1758="D",1,0)+IF(DP1758="D",1,0)+IF(DQ1758="D",1,0)+IF(DW1758="D",1,0)+IF(DZ1758="D",1,0)+IF(EH1758="D",1,0)</f>
        <v/>
      </c>
      <c r="AY1758">
        <f>IF(DJ1758&lt;&gt;"",1,0)+IF(DK1758&lt;&gt;"",1,0)+IF(DM1758&lt;&gt;"",1,0)+IF(DO1758&lt;&gt;"",1,0)+IF(DP1758&lt;&gt;"",1,0)+IF(DQ1758&lt;&gt;"",1,0)+IF(DS1758&lt;&gt;"",1,0)+IF(DT1758&lt;&gt;"",1,0)+IF(DV1758&lt;&gt;"",1,0)+IF(DW1758&lt;&gt;"",1,0)+IF(DX1758&lt;&gt;"",1,0)+IF(DY1758&lt;&gt;"",1,0)+IF(DZ1758&lt;&gt;"",1,0)+IF(EB1758&lt;&gt;"",1,0)+IF(EC1758&lt;&gt;"",1,0)+IF(ED1758&lt;&gt;"",1,0)+IF(EG1758&lt;&gt;"",1,0)+IF(EH1758&lt;&gt;"",1,0)</f>
        <v/>
      </c>
      <c r="AZ1758">
        <f>IF(EH1758&lt;&gt;"",1,0)</f>
        <v/>
      </c>
      <c r="BB1758" t="inlineStr">
        <is>
          <t>WARREN-WARD 4</t>
        </is>
      </c>
      <c r="EF1758" t="inlineStr">
        <is>
          <t>X</t>
        </is>
      </c>
    </row>
    <row r="1759">
      <c r="A1759" t="inlineStr">
        <is>
          <t>OH0026739264</t>
        </is>
      </c>
      <c r="B1759" t="n">
        <v>78</v>
      </c>
      <c r="C1759" t="n">
        <v>466899</v>
      </c>
      <c r="D1759" t="inlineStr">
        <is>
          <t>PALMER</t>
        </is>
      </c>
      <c r="E1759" t="inlineStr">
        <is>
          <t>CAROLYN</t>
        </is>
      </c>
      <c r="F1759">
        <f>CONCATENATE(D1759," ",LEFT(H1759,4),"T=",AU1759,"D=",AV1759,"R=",AW1759,"M=",AX1759,"L=",AY1759,"B=",AZ1759)</f>
        <v/>
      </c>
      <c r="G1759" t="inlineStr">
        <is>
          <t>JANE</t>
        </is>
      </c>
      <c r="I1759" t="inlineStr">
        <is>
          <t>1980-12-21</t>
        </is>
      </c>
      <c r="J1759" t="inlineStr">
        <is>
          <t>2022-11-02</t>
        </is>
      </c>
      <c r="K1759" t="inlineStr">
        <is>
          <t>ACTIVE</t>
        </is>
      </c>
      <c r="M1759" t="inlineStr">
        <is>
          <t>300 SCOTT ST NE</t>
        </is>
      </c>
      <c r="N1759">
        <f>RIGHT(M1759,LEN(M1759)-FIND(" ",M1759))</f>
        <v/>
      </c>
      <c r="O1759" t="inlineStr">
        <is>
          <t>6</t>
        </is>
      </c>
      <c r="P1759" t="inlineStr">
        <is>
          <t>WARREN</t>
        </is>
      </c>
      <c r="Q1759" t="inlineStr">
        <is>
          <t>OH</t>
        </is>
      </c>
      <c r="R1759" t="n">
        <v>44483</v>
      </c>
      <c r="AD1759" t="inlineStr">
        <is>
          <t>TRUMBULL CAREER &amp; TECH CENTER</t>
        </is>
      </c>
      <c r="AE1759" t="inlineStr">
        <is>
          <t>WARREN CITY</t>
        </is>
      </c>
      <c r="AF1759" t="inlineStr">
        <is>
          <t>WARREN CITY SD</t>
        </is>
      </c>
      <c r="AH1759" t="n">
        <v>14</v>
      </c>
      <c r="AI1759" t="n">
        <v>11</v>
      </c>
      <c r="AN1759" t="inlineStr">
        <is>
          <t>WARREN</t>
        </is>
      </c>
      <c r="AO1759" t="inlineStr">
        <is>
          <t>WARREN CITY 4D</t>
        </is>
      </c>
      <c r="AP1759" t="inlineStr">
        <is>
          <t>78-P-ADL</t>
        </is>
      </c>
      <c r="AQ1759" t="n">
        <v>9</v>
      </c>
      <c r="AR1759" t="n">
        <v>64</v>
      </c>
      <c r="AS1759" t="n">
        <v>32</v>
      </c>
      <c r="AU1759">
        <f>COUNTA($BA$1759:$EH$1759)</f>
        <v/>
      </c>
      <c r="AV1759">
        <f>COUNTIF($BA$1759:$EH$1759,"D")</f>
        <v/>
      </c>
      <c r="AW1759">
        <f>COUNTIF($BA$1759:$EH$1759,"R")</f>
        <v/>
      </c>
      <c r="AX1759">
        <f>IF(BN1759="D",1,0)+IF(BO1759="D",1,0)+IF(BT1759="D",1,0)+IF(BU1759="D",1,0)+IF(BW1759="D",1,0)+IF(CC1759="D",1,0)+IF(CD1759="D",1,0)+IF(CE1759="D",1,0)+IF(CF1759="D",1,0)+IF(CL1759="D",1,0)+IF(CM1759="D",1,0)+IF(CQ1759="D",1,0)+IF(CR1759="D",1,0)+IF(CS1759="D",1,0)+IF(CW1759="D",1,0)+IF(CX1759="D",1,0)+IF(DD1759="D",1,0)+IF(DE1759="D",1,0)+IF(DJ1759="D",1,0)+IF(DK1759="D",1,0)+IF(DO1759="D",1,0)+IF(DP1759="D",1,0)+IF(DQ1759="D",1,0)+IF(DW1759="D",1,0)+IF(DZ1759="D",1,0)+IF(EH1759="D",1,0)</f>
        <v/>
      </c>
      <c r="AY1759">
        <f>IF(DJ1759&lt;&gt;"",1,0)+IF(DK1759&lt;&gt;"",1,0)+IF(DM1759&lt;&gt;"",1,0)+IF(DO1759&lt;&gt;"",1,0)+IF(DP1759&lt;&gt;"",1,0)+IF(DQ1759&lt;&gt;"",1,0)+IF(DS1759&lt;&gt;"",1,0)+IF(DT1759&lt;&gt;"",1,0)+IF(DV1759&lt;&gt;"",1,0)+IF(DW1759&lt;&gt;"",1,0)+IF(DX1759&lt;&gt;"",1,0)+IF(DY1759&lt;&gt;"",1,0)+IF(DZ1759&lt;&gt;"",1,0)+IF(EB1759&lt;&gt;"",1,0)+IF(EC1759&lt;&gt;"",1,0)+IF(ED1759&lt;&gt;"",1,0)+IF(EG1759&lt;&gt;"",1,0)+IF(EH1759&lt;&gt;"",1,0)</f>
        <v/>
      </c>
      <c r="AZ1759">
        <f>IF(EH1759&lt;&gt;"",1,0)</f>
        <v/>
      </c>
      <c r="BB1759" t="inlineStr">
        <is>
          <t>WARREN-WARD 4</t>
        </is>
      </c>
    </row>
    <row r="1760">
      <c r="A1760" t="inlineStr">
        <is>
          <t>OH0023717457</t>
        </is>
      </c>
      <c r="B1760" t="n">
        <v>78</v>
      </c>
      <c r="C1760" t="n">
        <v>417160</v>
      </c>
      <c r="D1760" t="inlineStr">
        <is>
          <t>WARGO</t>
        </is>
      </c>
      <c r="E1760" t="inlineStr">
        <is>
          <t>CAROLYN</t>
        </is>
      </c>
      <c r="F1760">
        <f>CONCATENATE(D1760," ",LEFT(H1760,4),"T=",AU1760,"D=",AV1760,"R=",AW1760,"M=",AX1760,"L=",AY1760,"B=",AZ1760)</f>
        <v/>
      </c>
      <c r="G1760" t="inlineStr">
        <is>
          <t>M</t>
        </is>
      </c>
      <c r="I1760" t="inlineStr">
        <is>
          <t>1989-05-30</t>
        </is>
      </c>
      <c r="J1760" t="inlineStr">
        <is>
          <t>2016-05-24</t>
        </is>
      </c>
      <c r="K1760" t="inlineStr">
        <is>
          <t>CONFIRMATION</t>
        </is>
      </c>
      <c r="M1760" t="inlineStr">
        <is>
          <t>229 PORTER ST NE</t>
        </is>
      </c>
      <c r="N1760">
        <f>RIGHT(M1760,LEN(M1760)-FIND(" ",M1760))</f>
        <v/>
      </c>
      <c r="O1760" t="inlineStr">
        <is>
          <t>APT 2B</t>
        </is>
      </c>
      <c r="P1760" t="inlineStr">
        <is>
          <t>WARREN</t>
        </is>
      </c>
      <c r="Q1760" t="inlineStr">
        <is>
          <t>OH</t>
        </is>
      </c>
      <c r="R1760" t="n">
        <v>44483</v>
      </c>
      <c r="AD1760" t="inlineStr">
        <is>
          <t>TRUMBULL CAREER &amp; TECH CENTER</t>
        </is>
      </c>
      <c r="AE1760" t="inlineStr">
        <is>
          <t>WARREN CITY</t>
        </is>
      </c>
      <c r="AF1760" t="inlineStr">
        <is>
          <t>WARREN CITY SD</t>
        </is>
      </c>
      <c r="AH1760" t="n">
        <v>14</v>
      </c>
      <c r="AI1760" t="n">
        <v>11</v>
      </c>
      <c r="AN1760" t="inlineStr">
        <is>
          <t>WARREN</t>
        </is>
      </c>
      <c r="AO1760" t="inlineStr">
        <is>
          <t>WARREN CITY 4D</t>
        </is>
      </c>
      <c r="AP1760" t="inlineStr">
        <is>
          <t>78-P-ADL</t>
        </is>
      </c>
      <c r="AQ1760" t="n">
        <v>9</v>
      </c>
      <c r="AR1760" t="n">
        <v>64</v>
      </c>
      <c r="AS1760" t="n">
        <v>32</v>
      </c>
      <c r="AU1760">
        <f>COUNTA($BA$1760:$EH$1760)</f>
        <v/>
      </c>
      <c r="AV1760">
        <f>COUNTIF($BA$1760:$EH$1760,"D")</f>
        <v/>
      </c>
      <c r="AW1760">
        <f>COUNTIF($BA$1760:$EH$1760,"R")</f>
        <v/>
      </c>
      <c r="AX1760">
        <f>IF(BN1760="D",1,0)+IF(BO1760="D",1,0)+IF(BT1760="D",1,0)+IF(BU1760="D",1,0)+IF(BW1760="D",1,0)+IF(CC1760="D",1,0)+IF(CD1760="D",1,0)+IF(CE1760="D",1,0)+IF(CF1760="D",1,0)+IF(CL1760="D",1,0)+IF(CM1760="D",1,0)+IF(CQ1760="D",1,0)+IF(CR1760="D",1,0)+IF(CS1760="D",1,0)+IF(CW1760="D",1,0)+IF(CX1760="D",1,0)+IF(DD1760="D",1,0)+IF(DE1760="D",1,0)+IF(DJ1760="D",1,0)+IF(DK1760="D",1,0)+IF(DO1760="D",1,0)+IF(DP1760="D",1,0)+IF(DQ1760="D",1,0)+IF(DW1760="D",1,0)+IF(DZ1760="D",1,0)+IF(EH1760="D",1,0)</f>
        <v/>
      </c>
      <c r="AY1760">
        <f>IF(DJ1760&lt;&gt;"",1,0)+IF(DK1760&lt;&gt;"",1,0)+IF(DM1760&lt;&gt;"",1,0)+IF(DO1760&lt;&gt;"",1,0)+IF(DP1760&lt;&gt;"",1,0)+IF(DQ1760&lt;&gt;"",1,0)+IF(DS1760&lt;&gt;"",1,0)+IF(DT1760&lt;&gt;"",1,0)+IF(DV1760&lt;&gt;"",1,0)+IF(DW1760&lt;&gt;"",1,0)+IF(DX1760&lt;&gt;"",1,0)+IF(DY1760&lt;&gt;"",1,0)+IF(DZ1760&lt;&gt;"",1,0)+IF(EB1760&lt;&gt;"",1,0)+IF(EC1760&lt;&gt;"",1,0)+IF(ED1760&lt;&gt;"",1,0)+IF(EG1760&lt;&gt;"",1,0)+IF(EH1760&lt;&gt;"",1,0)</f>
        <v/>
      </c>
      <c r="AZ1760">
        <f>IF(EH1760&lt;&gt;"",1,0)</f>
        <v/>
      </c>
      <c r="BB1760" t="inlineStr">
        <is>
          <t>WARREN-WARD 4</t>
        </is>
      </c>
    </row>
    <row r="1761">
      <c r="A1761" t="inlineStr">
        <is>
          <t>OH0022208449</t>
        </is>
      </c>
      <c r="B1761" t="n">
        <v>78</v>
      </c>
      <c r="C1761" t="n">
        <v>392773</v>
      </c>
      <c r="D1761" t="inlineStr">
        <is>
          <t>BUCCI</t>
        </is>
      </c>
      <c r="E1761" t="inlineStr">
        <is>
          <t>ANTHONY</t>
        </is>
      </c>
      <c r="F1761">
        <f>CONCATENATE(D1761," ",LEFT(H1761,4),"T=",AU1761,"D=",AV1761,"R=",AW1761,"M=",AX1761,"L=",AY1761,"B=",AZ1761)</f>
        <v/>
      </c>
      <c r="I1761" t="inlineStr">
        <is>
          <t>1987-03-21</t>
        </is>
      </c>
      <c r="J1761" t="inlineStr">
        <is>
          <t>2025-03-19</t>
        </is>
      </c>
      <c r="K1761" t="inlineStr">
        <is>
          <t>ACTIVE</t>
        </is>
      </c>
      <c r="M1761" t="inlineStr">
        <is>
          <t>178 LOGAN AVE NE</t>
        </is>
      </c>
      <c r="N1761">
        <f>RIGHT(M1761,LEN(M1761)-FIND(" ",M1761))</f>
        <v/>
      </c>
      <c r="P1761" t="inlineStr">
        <is>
          <t>WARREN</t>
        </is>
      </c>
      <c r="Q1761" t="inlineStr">
        <is>
          <t>OH</t>
        </is>
      </c>
      <c r="R1761" t="n">
        <v>44483</v>
      </c>
      <c r="AD1761" t="inlineStr">
        <is>
          <t>TRUMBULL CAREER &amp; TECH CENTER</t>
        </is>
      </c>
      <c r="AE1761" t="inlineStr">
        <is>
          <t>WARREN CITY</t>
        </is>
      </c>
      <c r="AF1761" t="inlineStr">
        <is>
          <t>WARREN CITY SD</t>
        </is>
      </c>
      <c r="AH1761" t="n">
        <v>14</v>
      </c>
      <c r="AI1761" t="n">
        <v>11</v>
      </c>
      <c r="AN1761" t="inlineStr">
        <is>
          <t>WARREN</t>
        </is>
      </c>
      <c r="AO1761" t="inlineStr">
        <is>
          <t>WARREN CITY 4D</t>
        </is>
      </c>
      <c r="AP1761" t="inlineStr">
        <is>
          <t>78-P-ADL</t>
        </is>
      </c>
      <c r="AQ1761" t="n">
        <v>9</v>
      </c>
      <c r="AR1761" t="n">
        <v>64</v>
      </c>
      <c r="AS1761" t="n">
        <v>32</v>
      </c>
      <c r="AU1761">
        <f>COUNTA($BA$1761:$EH$1761)</f>
        <v/>
      </c>
      <c r="AV1761">
        <f>COUNTIF($BA$1761:$EH$1761,"D")</f>
        <v/>
      </c>
      <c r="AW1761">
        <f>COUNTIF($BA$1761:$EH$1761,"R")</f>
        <v/>
      </c>
      <c r="AX1761">
        <f>IF(BN1761="D",1,0)+IF(BO1761="D",1,0)+IF(BT1761="D",1,0)+IF(BU1761="D",1,0)+IF(BW1761="D",1,0)+IF(CC1761="D",1,0)+IF(CD1761="D",1,0)+IF(CE1761="D",1,0)+IF(CF1761="D",1,0)+IF(CL1761="D",1,0)+IF(CM1761="D",1,0)+IF(CQ1761="D",1,0)+IF(CR1761="D",1,0)+IF(CS1761="D",1,0)+IF(CW1761="D",1,0)+IF(CX1761="D",1,0)+IF(DD1761="D",1,0)+IF(DE1761="D",1,0)+IF(DJ1761="D",1,0)+IF(DK1761="D",1,0)+IF(DO1761="D",1,0)+IF(DP1761="D",1,0)+IF(DQ1761="D",1,0)+IF(DW1761="D",1,0)+IF(DZ1761="D",1,0)+IF(EH1761="D",1,0)</f>
        <v/>
      </c>
      <c r="AY1761">
        <f>IF(DJ1761&lt;&gt;"",1,0)+IF(DK1761&lt;&gt;"",1,0)+IF(DM1761&lt;&gt;"",1,0)+IF(DO1761&lt;&gt;"",1,0)+IF(DP1761&lt;&gt;"",1,0)+IF(DQ1761&lt;&gt;"",1,0)+IF(DS1761&lt;&gt;"",1,0)+IF(DT1761&lt;&gt;"",1,0)+IF(DV1761&lt;&gt;"",1,0)+IF(DW1761&lt;&gt;"",1,0)+IF(DX1761&lt;&gt;"",1,0)+IF(DY1761&lt;&gt;"",1,0)+IF(DZ1761&lt;&gt;"",1,0)+IF(EB1761&lt;&gt;"",1,0)+IF(EC1761&lt;&gt;"",1,0)+IF(ED1761&lt;&gt;"",1,0)+IF(EG1761&lt;&gt;"",1,0)+IF(EH1761&lt;&gt;"",1,0)</f>
        <v/>
      </c>
      <c r="AZ1761">
        <f>IF(EH1761&lt;&gt;"",1,0)</f>
        <v/>
      </c>
      <c r="BB1761" t="inlineStr">
        <is>
          <t>WARREN-WARD 4</t>
        </is>
      </c>
      <c r="CP1761" t="inlineStr">
        <is>
          <t>X</t>
        </is>
      </c>
      <c r="DX1761" t="inlineStr">
        <is>
          <t>X</t>
        </is>
      </c>
      <c r="EF1761" t="inlineStr">
        <is>
          <t>X</t>
        </is>
      </c>
    </row>
    <row r="1762">
      <c r="A1762" t="inlineStr">
        <is>
          <t>OH0015722918</t>
        </is>
      </c>
      <c r="B1762" t="n">
        <v>78</v>
      </c>
      <c r="C1762" t="n">
        <v>204978</v>
      </c>
      <c r="D1762" t="inlineStr">
        <is>
          <t>SOLES</t>
        </is>
      </c>
      <c r="E1762" t="inlineStr">
        <is>
          <t>BARBARA</t>
        </is>
      </c>
      <c r="F1762">
        <f>CONCATENATE(D1762," ",LEFT(H1762,4),"T=",AU1762,"D=",AV1762,"R=",AW1762,"M=",AX1762,"L=",AY1762,"B=",AZ1762)</f>
        <v/>
      </c>
      <c r="G1762" t="inlineStr">
        <is>
          <t>E</t>
        </is>
      </c>
      <c r="I1762" t="inlineStr">
        <is>
          <t>1961-03-30</t>
        </is>
      </c>
      <c r="J1762" t="inlineStr">
        <is>
          <t>2024-03-05</t>
        </is>
      </c>
      <c r="K1762" t="inlineStr">
        <is>
          <t>ACTIVE</t>
        </is>
      </c>
      <c r="M1762" t="inlineStr">
        <is>
          <t>124 LOGAN AVE NE</t>
        </is>
      </c>
      <c r="N1762">
        <f>RIGHT(M1762,LEN(M1762)-FIND(" ",M1762))</f>
        <v/>
      </c>
      <c r="O1762" t="inlineStr">
        <is>
          <t>APT A</t>
        </is>
      </c>
      <c r="P1762" t="inlineStr">
        <is>
          <t>WARREN</t>
        </is>
      </c>
      <c r="Q1762" t="inlineStr">
        <is>
          <t>OH</t>
        </is>
      </c>
      <c r="R1762" t="n">
        <v>44483</v>
      </c>
      <c r="AD1762" t="inlineStr">
        <is>
          <t>TRUMBULL CAREER &amp; TECH CENTER</t>
        </is>
      </c>
      <c r="AE1762" t="inlineStr">
        <is>
          <t>WARREN CITY</t>
        </is>
      </c>
      <c r="AF1762" t="inlineStr">
        <is>
          <t>WARREN CITY SD</t>
        </is>
      </c>
      <c r="AH1762" t="n">
        <v>14</v>
      </c>
      <c r="AI1762" t="n">
        <v>11</v>
      </c>
      <c r="AN1762" t="inlineStr">
        <is>
          <t>WARREN</t>
        </is>
      </c>
      <c r="AO1762" t="inlineStr">
        <is>
          <t>WARREN CITY 4D</t>
        </is>
      </c>
      <c r="AP1762" t="inlineStr">
        <is>
          <t>78-P-ADL</t>
        </is>
      </c>
      <c r="AQ1762" t="n">
        <v>9</v>
      </c>
      <c r="AR1762" t="n">
        <v>64</v>
      </c>
      <c r="AS1762" t="n">
        <v>32</v>
      </c>
      <c r="AU1762">
        <f>COUNTA($BA$1762:$EH$1762)</f>
        <v/>
      </c>
      <c r="AV1762">
        <f>COUNTIF($BA$1762:$EH$1762,"D")</f>
        <v/>
      </c>
      <c r="AW1762">
        <f>COUNTIF($BA$1762:$EH$1762,"R")</f>
        <v/>
      </c>
      <c r="AX1762">
        <f>IF(BN1762="D",1,0)+IF(BO1762="D",1,0)+IF(BT1762="D",1,0)+IF(BU1762="D",1,0)+IF(BW1762="D",1,0)+IF(CC1762="D",1,0)+IF(CD1762="D",1,0)+IF(CE1762="D",1,0)+IF(CF1762="D",1,0)+IF(CL1762="D",1,0)+IF(CM1762="D",1,0)+IF(CQ1762="D",1,0)+IF(CR1762="D",1,0)+IF(CS1762="D",1,0)+IF(CW1762="D",1,0)+IF(CX1762="D",1,0)+IF(DD1762="D",1,0)+IF(DE1762="D",1,0)+IF(DJ1762="D",1,0)+IF(DK1762="D",1,0)+IF(DO1762="D",1,0)+IF(DP1762="D",1,0)+IF(DQ1762="D",1,0)+IF(DW1762="D",1,0)+IF(DZ1762="D",1,0)+IF(EH1762="D",1,0)</f>
        <v/>
      </c>
      <c r="AY1762">
        <f>IF(DJ1762&lt;&gt;"",1,0)+IF(DK1762&lt;&gt;"",1,0)+IF(DM1762&lt;&gt;"",1,0)+IF(DO1762&lt;&gt;"",1,0)+IF(DP1762&lt;&gt;"",1,0)+IF(DQ1762&lt;&gt;"",1,0)+IF(DS1762&lt;&gt;"",1,0)+IF(DT1762&lt;&gt;"",1,0)+IF(DV1762&lt;&gt;"",1,0)+IF(DW1762&lt;&gt;"",1,0)+IF(DX1762&lt;&gt;"",1,0)+IF(DY1762&lt;&gt;"",1,0)+IF(DZ1762&lt;&gt;"",1,0)+IF(EB1762&lt;&gt;"",1,0)+IF(EC1762&lt;&gt;"",1,0)+IF(ED1762&lt;&gt;"",1,0)+IF(EG1762&lt;&gt;"",1,0)+IF(EH1762&lt;&gt;"",1,0)</f>
        <v/>
      </c>
      <c r="AZ1762">
        <f>IF(EH1762&lt;&gt;"",1,0)</f>
        <v/>
      </c>
      <c r="BB1762" t="inlineStr">
        <is>
          <t>WARREN-WARD 4</t>
        </is>
      </c>
      <c r="BC1762" t="inlineStr">
        <is>
          <t>X</t>
        </is>
      </c>
      <c r="BD1762" t="inlineStr">
        <is>
          <t>X</t>
        </is>
      </c>
      <c r="BF1762" t="inlineStr">
        <is>
          <t>X</t>
        </is>
      </c>
      <c r="BG1762" t="inlineStr">
        <is>
          <t>X</t>
        </is>
      </c>
      <c r="BH1762" t="inlineStr">
        <is>
          <t>X</t>
        </is>
      </c>
      <c r="BK1762" t="inlineStr">
        <is>
          <t>X</t>
        </is>
      </c>
      <c r="BL1762" t="inlineStr">
        <is>
          <t>X</t>
        </is>
      </c>
      <c r="BP1762" t="inlineStr">
        <is>
          <t>X</t>
        </is>
      </c>
      <c r="BV1762" t="inlineStr">
        <is>
          <t>X</t>
        </is>
      </c>
      <c r="BY1762" t="inlineStr">
        <is>
          <t>D</t>
        </is>
      </c>
      <c r="CA1762" t="inlineStr">
        <is>
          <t>X</t>
        </is>
      </c>
      <c r="CH1762" t="inlineStr">
        <is>
          <t>D</t>
        </is>
      </c>
      <c r="CK1762" t="inlineStr">
        <is>
          <t>X</t>
        </is>
      </c>
      <c r="DC1762" t="inlineStr">
        <is>
          <t>X</t>
        </is>
      </c>
      <c r="EF1762" t="inlineStr">
        <is>
          <t>X</t>
        </is>
      </c>
    </row>
    <row r="1763">
      <c r="A1763" t="inlineStr">
        <is>
          <t>OH0025387296</t>
        </is>
      </c>
      <c r="B1763" t="n">
        <v>78</v>
      </c>
      <c r="C1763" t="n">
        <v>443061</v>
      </c>
      <c r="D1763" t="inlineStr">
        <is>
          <t>HAUN</t>
        </is>
      </c>
      <c r="E1763" t="inlineStr">
        <is>
          <t>CHEYANNE</t>
        </is>
      </c>
      <c r="F1763">
        <f>CONCATENATE(D1763," ",LEFT(H1763,4),"T=",AU1763,"D=",AV1763,"R=",AW1763,"M=",AX1763,"L=",AY1763,"B=",AZ1763)</f>
        <v/>
      </c>
      <c r="G1763" t="inlineStr">
        <is>
          <t>NICOLE</t>
        </is>
      </c>
      <c r="I1763" t="inlineStr">
        <is>
          <t>2002-01-09</t>
        </is>
      </c>
      <c r="J1763" t="inlineStr">
        <is>
          <t>2020-01-10</t>
        </is>
      </c>
      <c r="K1763" t="inlineStr">
        <is>
          <t>CONFIRMATION</t>
        </is>
      </c>
      <c r="M1763" t="inlineStr">
        <is>
          <t>179 LOGAN AVE NE</t>
        </is>
      </c>
      <c r="N1763">
        <f>RIGHT(M1763,LEN(M1763)-FIND(" ",M1763))</f>
        <v/>
      </c>
      <c r="P1763" t="inlineStr">
        <is>
          <t>WARREN</t>
        </is>
      </c>
      <c r="Q1763" t="inlineStr">
        <is>
          <t>OH</t>
        </is>
      </c>
      <c r="R1763" t="n">
        <v>44483</v>
      </c>
      <c r="AD1763" t="inlineStr">
        <is>
          <t>TRUMBULL CAREER &amp; TECH CENTER</t>
        </is>
      </c>
      <c r="AE1763" t="inlineStr">
        <is>
          <t>WARREN CITY</t>
        </is>
      </c>
      <c r="AF1763" t="inlineStr">
        <is>
          <t>WARREN CITY SD</t>
        </is>
      </c>
      <c r="AH1763" t="n">
        <v>14</v>
      </c>
      <c r="AI1763" t="n">
        <v>11</v>
      </c>
      <c r="AN1763" t="inlineStr">
        <is>
          <t>WARREN</t>
        </is>
      </c>
      <c r="AO1763" t="inlineStr">
        <is>
          <t>WARREN CITY 4D</t>
        </is>
      </c>
      <c r="AP1763" t="inlineStr">
        <is>
          <t>78-P-ADL</t>
        </is>
      </c>
      <c r="AQ1763" t="n">
        <v>9</v>
      </c>
      <c r="AR1763" t="n">
        <v>64</v>
      </c>
      <c r="AS1763" t="n">
        <v>32</v>
      </c>
      <c r="AU1763">
        <f>COUNTA($BA$1763:$EH$1763)</f>
        <v/>
      </c>
      <c r="AV1763">
        <f>COUNTIF($BA$1763:$EH$1763,"D")</f>
        <v/>
      </c>
      <c r="AW1763">
        <f>COUNTIF($BA$1763:$EH$1763,"R")</f>
        <v/>
      </c>
      <c r="AX1763">
        <f>IF(BN1763="D",1,0)+IF(BO1763="D",1,0)+IF(BT1763="D",1,0)+IF(BU1763="D",1,0)+IF(BW1763="D",1,0)+IF(CC1763="D",1,0)+IF(CD1763="D",1,0)+IF(CE1763="D",1,0)+IF(CF1763="D",1,0)+IF(CL1763="D",1,0)+IF(CM1763="D",1,0)+IF(CQ1763="D",1,0)+IF(CR1763="D",1,0)+IF(CS1763="D",1,0)+IF(CW1763="D",1,0)+IF(CX1763="D",1,0)+IF(DD1763="D",1,0)+IF(DE1763="D",1,0)+IF(DJ1763="D",1,0)+IF(DK1763="D",1,0)+IF(DO1763="D",1,0)+IF(DP1763="D",1,0)+IF(DQ1763="D",1,0)+IF(DW1763="D",1,0)+IF(DZ1763="D",1,0)+IF(EH1763="D",1,0)</f>
        <v/>
      </c>
      <c r="AY1763">
        <f>IF(DJ1763&lt;&gt;"",1,0)+IF(DK1763&lt;&gt;"",1,0)+IF(DM1763&lt;&gt;"",1,0)+IF(DO1763&lt;&gt;"",1,0)+IF(DP1763&lt;&gt;"",1,0)+IF(DQ1763&lt;&gt;"",1,0)+IF(DS1763&lt;&gt;"",1,0)+IF(DT1763&lt;&gt;"",1,0)+IF(DV1763&lt;&gt;"",1,0)+IF(DW1763&lt;&gt;"",1,0)+IF(DX1763&lt;&gt;"",1,0)+IF(DY1763&lt;&gt;"",1,0)+IF(DZ1763&lt;&gt;"",1,0)+IF(EB1763&lt;&gt;"",1,0)+IF(EC1763&lt;&gt;"",1,0)+IF(ED1763&lt;&gt;"",1,0)+IF(EG1763&lt;&gt;"",1,0)+IF(EH1763&lt;&gt;"",1,0)</f>
        <v/>
      </c>
      <c r="AZ1763">
        <f>IF(EH1763&lt;&gt;"",1,0)</f>
        <v/>
      </c>
      <c r="BB1763" t="inlineStr">
        <is>
          <t>WARREN-WARD 4</t>
        </is>
      </c>
    </row>
    <row r="1764">
      <c r="A1764" t="inlineStr">
        <is>
          <t>OH0018757394</t>
        </is>
      </c>
      <c r="B1764" t="n">
        <v>78</v>
      </c>
      <c r="C1764" t="n">
        <v>344118</v>
      </c>
      <c r="D1764" t="inlineStr">
        <is>
          <t>BARE</t>
        </is>
      </c>
      <c r="E1764" t="inlineStr">
        <is>
          <t>CHRISTINE</t>
        </is>
      </c>
      <c r="F1764">
        <f>CONCATENATE(D1764," ",LEFT(H1764,4),"T=",AU1764,"D=",AV1764,"R=",AW1764,"M=",AX1764,"L=",AY1764,"B=",AZ1764)</f>
        <v/>
      </c>
      <c r="G1764" t="inlineStr">
        <is>
          <t>N</t>
        </is>
      </c>
      <c r="I1764" t="inlineStr">
        <is>
          <t>1982-12-07</t>
        </is>
      </c>
      <c r="J1764" t="inlineStr">
        <is>
          <t>2016-10-06</t>
        </is>
      </c>
      <c r="K1764" t="inlineStr">
        <is>
          <t>ACTIVE</t>
        </is>
      </c>
      <c r="M1764" t="inlineStr">
        <is>
          <t>1125 HIGH ST NE</t>
        </is>
      </c>
      <c r="N1764">
        <f>RIGHT(M1764,LEN(M1764)-FIND(" ",M1764))</f>
        <v/>
      </c>
      <c r="P1764" t="inlineStr">
        <is>
          <t>WARREN</t>
        </is>
      </c>
      <c r="Q1764" t="inlineStr">
        <is>
          <t>OH</t>
        </is>
      </c>
      <c r="R1764" t="n">
        <v>44483</v>
      </c>
      <c r="AD1764" t="inlineStr">
        <is>
          <t>TRUMBULL CAREER &amp; TECH CENTER</t>
        </is>
      </c>
      <c r="AE1764" t="inlineStr">
        <is>
          <t>WARREN CITY</t>
        </is>
      </c>
      <c r="AF1764" t="inlineStr">
        <is>
          <t>WARREN CITY SD</t>
        </is>
      </c>
      <c r="AH1764" t="n">
        <v>14</v>
      </c>
      <c r="AI1764" t="n">
        <v>11</v>
      </c>
      <c r="AN1764" t="inlineStr">
        <is>
          <t>WARREN</t>
        </is>
      </c>
      <c r="AO1764" t="inlineStr">
        <is>
          <t>WARREN CITY 4D</t>
        </is>
      </c>
      <c r="AP1764" t="inlineStr">
        <is>
          <t>78-P-ADL</t>
        </is>
      </c>
      <c r="AQ1764" t="n">
        <v>9</v>
      </c>
      <c r="AR1764" t="n">
        <v>64</v>
      </c>
      <c r="AS1764" t="n">
        <v>32</v>
      </c>
      <c r="AU1764">
        <f>COUNTA($BA$1764:$EH$1764)</f>
        <v/>
      </c>
      <c r="AV1764">
        <f>COUNTIF($BA$1764:$EH$1764,"D")</f>
        <v/>
      </c>
      <c r="AW1764">
        <f>COUNTIF($BA$1764:$EH$1764,"R")</f>
        <v/>
      </c>
      <c r="AX1764">
        <f>IF(BN1764="D",1,0)+IF(BO1764="D",1,0)+IF(BT1764="D",1,0)+IF(BU1764="D",1,0)+IF(BW1764="D",1,0)+IF(CC1764="D",1,0)+IF(CD1764="D",1,0)+IF(CE1764="D",1,0)+IF(CF1764="D",1,0)+IF(CL1764="D",1,0)+IF(CM1764="D",1,0)+IF(CQ1764="D",1,0)+IF(CR1764="D",1,0)+IF(CS1764="D",1,0)+IF(CW1764="D",1,0)+IF(CX1764="D",1,0)+IF(DD1764="D",1,0)+IF(DE1764="D",1,0)+IF(DJ1764="D",1,0)+IF(DK1764="D",1,0)+IF(DO1764="D",1,0)+IF(DP1764="D",1,0)+IF(DQ1764="D",1,0)+IF(DW1764="D",1,0)+IF(DZ1764="D",1,0)+IF(EH1764="D",1,0)</f>
        <v/>
      </c>
      <c r="AY1764">
        <f>IF(DJ1764&lt;&gt;"",1,0)+IF(DK1764&lt;&gt;"",1,0)+IF(DM1764&lt;&gt;"",1,0)+IF(DO1764&lt;&gt;"",1,0)+IF(DP1764&lt;&gt;"",1,0)+IF(DQ1764&lt;&gt;"",1,0)+IF(DS1764&lt;&gt;"",1,0)+IF(DT1764&lt;&gt;"",1,0)+IF(DV1764&lt;&gt;"",1,0)+IF(DW1764&lt;&gt;"",1,0)+IF(DX1764&lt;&gt;"",1,0)+IF(DY1764&lt;&gt;"",1,0)+IF(DZ1764&lt;&gt;"",1,0)+IF(EB1764&lt;&gt;"",1,0)+IF(EC1764&lt;&gt;"",1,0)+IF(ED1764&lt;&gt;"",1,0)+IF(EG1764&lt;&gt;"",1,0)+IF(EH1764&lt;&gt;"",1,0)</f>
        <v/>
      </c>
      <c r="AZ1764">
        <f>IF(EH1764&lt;&gt;"",1,0)</f>
        <v/>
      </c>
      <c r="BB1764" t="inlineStr">
        <is>
          <t>WARREN-WARD 4</t>
        </is>
      </c>
      <c r="BY1764" t="inlineStr">
        <is>
          <t>D</t>
        </is>
      </c>
      <c r="CA1764" t="inlineStr">
        <is>
          <t>X</t>
        </is>
      </c>
      <c r="CK1764" t="inlineStr">
        <is>
          <t>X</t>
        </is>
      </c>
      <c r="CN1764" t="inlineStr">
        <is>
          <t>X</t>
        </is>
      </c>
      <c r="CP1764" t="inlineStr">
        <is>
          <t>X</t>
        </is>
      </c>
      <c r="DC1764" t="inlineStr">
        <is>
          <t>X</t>
        </is>
      </c>
      <c r="DN1764" t="inlineStr">
        <is>
          <t>X</t>
        </is>
      </c>
      <c r="DU1764" t="inlineStr">
        <is>
          <t>X</t>
        </is>
      </c>
      <c r="EA1764" t="inlineStr">
        <is>
          <t>X</t>
        </is>
      </c>
      <c r="EF1764" t="inlineStr">
        <is>
          <t>X</t>
        </is>
      </c>
    </row>
    <row r="1765">
      <c r="A1765" t="inlineStr">
        <is>
          <t>OH0024936447</t>
        </is>
      </c>
      <c r="B1765" t="n">
        <v>78</v>
      </c>
      <c r="C1765" t="n">
        <v>436511</v>
      </c>
      <c r="D1765" t="inlineStr">
        <is>
          <t>KUTHY</t>
        </is>
      </c>
      <c r="E1765" t="inlineStr">
        <is>
          <t>NEAL</t>
        </is>
      </c>
      <c r="F1765">
        <f>CONCATENATE(D1765," ",LEFT(H1765,4),"T=",AU1765,"D=",AV1765,"R=",AW1765,"M=",AX1765,"L=",AY1765,"B=",AZ1765)</f>
        <v/>
      </c>
      <c r="G1765" t="inlineStr">
        <is>
          <t>DONNELLY</t>
        </is>
      </c>
      <c r="I1765" t="inlineStr">
        <is>
          <t>1982-03-25</t>
        </is>
      </c>
      <c r="J1765" t="inlineStr">
        <is>
          <t>2018-11-06</t>
        </is>
      </c>
      <c r="K1765" t="inlineStr">
        <is>
          <t>ACTIVE</t>
        </is>
      </c>
      <c r="M1765" t="inlineStr">
        <is>
          <t>303 WASHINGTON ST NW</t>
        </is>
      </c>
      <c r="N1765">
        <f>RIGHT(M1765,LEN(M1765)-FIND(" ",M1765))</f>
        <v/>
      </c>
      <c r="P1765" t="inlineStr">
        <is>
          <t>WARREN</t>
        </is>
      </c>
      <c r="Q1765" t="inlineStr">
        <is>
          <t>OH</t>
        </is>
      </c>
      <c r="R1765" t="n">
        <v>44483</v>
      </c>
      <c r="AD1765" t="inlineStr">
        <is>
          <t>TRUMBULL CAREER &amp; TECH CENTER</t>
        </is>
      </c>
      <c r="AE1765" t="inlineStr">
        <is>
          <t>WARREN CITY</t>
        </is>
      </c>
      <c r="AF1765" t="inlineStr">
        <is>
          <t>WARREN CITY SD</t>
        </is>
      </c>
      <c r="AH1765" t="n">
        <v>14</v>
      </c>
      <c r="AI1765" t="n">
        <v>11</v>
      </c>
      <c r="AN1765" t="inlineStr">
        <is>
          <t>WARREN</t>
        </is>
      </c>
      <c r="AO1765" t="inlineStr">
        <is>
          <t>WARREN CITY 4D</t>
        </is>
      </c>
      <c r="AP1765" t="inlineStr">
        <is>
          <t>78-P-ADL</t>
        </is>
      </c>
      <c r="AQ1765" t="n">
        <v>9</v>
      </c>
      <c r="AR1765" t="n">
        <v>64</v>
      </c>
      <c r="AS1765" t="n">
        <v>32</v>
      </c>
      <c r="AU1765">
        <f>COUNTA($BA$1765:$EH$1765)</f>
        <v/>
      </c>
      <c r="AV1765">
        <f>COUNTIF($BA$1765:$EH$1765,"D")</f>
        <v/>
      </c>
      <c r="AW1765">
        <f>COUNTIF($BA$1765:$EH$1765,"R")</f>
        <v/>
      </c>
      <c r="AX1765">
        <f>IF(BN1765="D",1,0)+IF(BO1765="D",1,0)+IF(BT1765="D",1,0)+IF(BU1765="D",1,0)+IF(BW1765="D",1,0)+IF(CC1765="D",1,0)+IF(CD1765="D",1,0)+IF(CE1765="D",1,0)+IF(CF1765="D",1,0)+IF(CL1765="D",1,0)+IF(CM1765="D",1,0)+IF(CQ1765="D",1,0)+IF(CR1765="D",1,0)+IF(CS1765="D",1,0)+IF(CW1765="D",1,0)+IF(CX1765="D",1,0)+IF(DD1765="D",1,0)+IF(DE1765="D",1,0)+IF(DJ1765="D",1,0)+IF(DK1765="D",1,0)+IF(DO1765="D",1,0)+IF(DP1765="D",1,0)+IF(DQ1765="D",1,0)+IF(DW1765="D",1,0)+IF(DZ1765="D",1,0)+IF(EH1765="D",1,0)</f>
        <v/>
      </c>
      <c r="AY1765">
        <f>IF(DJ1765&lt;&gt;"",1,0)+IF(DK1765&lt;&gt;"",1,0)+IF(DM1765&lt;&gt;"",1,0)+IF(DO1765&lt;&gt;"",1,0)+IF(DP1765&lt;&gt;"",1,0)+IF(DQ1765&lt;&gt;"",1,0)+IF(DS1765&lt;&gt;"",1,0)+IF(DT1765&lt;&gt;"",1,0)+IF(DV1765&lt;&gt;"",1,0)+IF(DW1765&lt;&gt;"",1,0)+IF(DX1765&lt;&gt;"",1,0)+IF(DY1765&lt;&gt;"",1,0)+IF(DZ1765&lt;&gt;"",1,0)+IF(EB1765&lt;&gt;"",1,0)+IF(EC1765&lt;&gt;"",1,0)+IF(ED1765&lt;&gt;"",1,0)+IF(EG1765&lt;&gt;"",1,0)+IF(EH1765&lt;&gt;"",1,0)</f>
        <v/>
      </c>
      <c r="AZ1765">
        <f>IF(EH1765&lt;&gt;"",1,0)</f>
        <v/>
      </c>
      <c r="BB1765" t="inlineStr">
        <is>
          <t>WARREN-WARD 4</t>
        </is>
      </c>
      <c r="BF1765" t="inlineStr">
        <is>
          <t>X</t>
        </is>
      </c>
      <c r="BG1765" t="inlineStr">
        <is>
          <t>X</t>
        </is>
      </c>
      <c r="BH1765" t="inlineStr">
        <is>
          <t>X</t>
        </is>
      </c>
      <c r="BL1765" t="inlineStr">
        <is>
          <t>X</t>
        </is>
      </c>
      <c r="CA1765" t="inlineStr">
        <is>
          <t>X</t>
        </is>
      </c>
      <c r="CP1765" t="inlineStr">
        <is>
          <t>X</t>
        </is>
      </c>
      <c r="DI1765" t="inlineStr">
        <is>
          <t>X</t>
        </is>
      </c>
      <c r="DJ1765" t="inlineStr">
        <is>
          <t>D</t>
        </is>
      </c>
      <c r="DL1765" t="inlineStr">
        <is>
          <t>X</t>
        </is>
      </c>
      <c r="DN1765" t="inlineStr">
        <is>
          <t>X</t>
        </is>
      </c>
      <c r="DR1765" t="inlineStr">
        <is>
          <t>X</t>
        </is>
      </c>
      <c r="DU1765" t="inlineStr">
        <is>
          <t>X</t>
        </is>
      </c>
      <c r="DX1765" t="inlineStr">
        <is>
          <t>X</t>
        </is>
      </c>
    </row>
    <row r="1766">
      <c r="A1766" t="inlineStr">
        <is>
          <t>OH0022687682</t>
        </is>
      </c>
      <c r="B1766" t="n">
        <v>78</v>
      </c>
      <c r="C1766" t="n">
        <v>400455</v>
      </c>
      <c r="D1766" t="inlineStr">
        <is>
          <t>LANE</t>
        </is>
      </c>
      <c r="E1766" t="inlineStr">
        <is>
          <t>SCOTT</t>
        </is>
      </c>
      <c r="F1766">
        <f>CONCATENATE(D1766," ",LEFT(H1766,4),"T=",AU1766,"D=",AV1766,"R=",AW1766,"M=",AX1766,"L=",AY1766,"B=",AZ1766)</f>
        <v/>
      </c>
      <c r="G1766" t="inlineStr">
        <is>
          <t>ANTHONY ORTIZ</t>
        </is>
      </c>
      <c r="I1766" t="inlineStr">
        <is>
          <t>1984-01-08</t>
        </is>
      </c>
      <c r="J1766" t="inlineStr">
        <is>
          <t>2017-03-13</t>
        </is>
      </c>
      <c r="K1766" t="inlineStr">
        <is>
          <t>ACTIVE</t>
        </is>
      </c>
      <c r="M1766" t="inlineStr">
        <is>
          <t>182 HIGH ST NE</t>
        </is>
      </c>
      <c r="N1766">
        <f>RIGHT(M1766,LEN(M1766)-FIND(" ",M1766))</f>
        <v/>
      </c>
      <c r="O1766" t="inlineStr">
        <is>
          <t>APT 103</t>
        </is>
      </c>
      <c r="P1766" t="inlineStr">
        <is>
          <t>WARREN</t>
        </is>
      </c>
      <c r="Q1766" t="inlineStr">
        <is>
          <t>OH</t>
        </is>
      </c>
      <c r="R1766" t="n">
        <v>44481</v>
      </c>
      <c r="AD1766" t="inlineStr">
        <is>
          <t>TRUMBULL CAREER &amp; TECH CENTER</t>
        </is>
      </c>
      <c r="AE1766" t="inlineStr">
        <is>
          <t>WARREN CITY</t>
        </is>
      </c>
      <c r="AF1766" t="inlineStr">
        <is>
          <t>WARREN CITY SD</t>
        </is>
      </c>
      <c r="AH1766" t="n">
        <v>14</v>
      </c>
      <c r="AI1766" t="n">
        <v>11</v>
      </c>
      <c r="AN1766" t="inlineStr">
        <is>
          <t>WARREN</t>
        </is>
      </c>
      <c r="AO1766" t="inlineStr">
        <is>
          <t>WARREN CITY 4D</t>
        </is>
      </c>
      <c r="AP1766" t="inlineStr">
        <is>
          <t>78-P-ADL</t>
        </is>
      </c>
      <c r="AQ1766" t="n">
        <v>9</v>
      </c>
      <c r="AR1766" t="n">
        <v>64</v>
      </c>
      <c r="AS1766" t="n">
        <v>32</v>
      </c>
      <c r="AU1766">
        <f>COUNTA($BA$1766:$EH$1766)</f>
        <v/>
      </c>
      <c r="AV1766">
        <f>COUNTIF($BA$1766:$EH$1766,"D")</f>
        <v/>
      </c>
      <c r="AW1766">
        <f>COUNTIF($BA$1766:$EH$1766,"R")</f>
        <v/>
      </c>
      <c r="AX1766">
        <f>IF(BN1766="D",1,0)+IF(BO1766="D",1,0)+IF(BT1766="D",1,0)+IF(BU1766="D",1,0)+IF(BW1766="D",1,0)+IF(CC1766="D",1,0)+IF(CD1766="D",1,0)+IF(CE1766="D",1,0)+IF(CF1766="D",1,0)+IF(CL1766="D",1,0)+IF(CM1766="D",1,0)+IF(CQ1766="D",1,0)+IF(CR1766="D",1,0)+IF(CS1766="D",1,0)+IF(CW1766="D",1,0)+IF(CX1766="D",1,0)+IF(DD1766="D",1,0)+IF(DE1766="D",1,0)+IF(DJ1766="D",1,0)+IF(DK1766="D",1,0)+IF(DO1766="D",1,0)+IF(DP1766="D",1,0)+IF(DQ1766="D",1,0)+IF(DW1766="D",1,0)+IF(DZ1766="D",1,0)+IF(EH1766="D",1,0)</f>
        <v/>
      </c>
      <c r="AY1766">
        <f>IF(DJ1766&lt;&gt;"",1,0)+IF(DK1766&lt;&gt;"",1,0)+IF(DM1766&lt;&gt;"",1,0)+IF(DO1766&lt;&gt;"",1,0)+IF(DP1766&lt;&gt;"",1,0)+IF(DQ1766&lt;&gt;"",1,0)+IF(DS1766&lt;&gt;"",1,0)+IF(DT1766&lt;&gt;"",1,0)+IF(DV1766&lt;&gt;"",1,0)+IF(DW1766&lt;&gt;"",1,0)+IF(DX1766&lt;&gt;"",1,0)+IF(DY1766&lt;&gt;"",1,0)+IF(DZ1766&lt;&gt;"",1,0)+IF(EB1766&lt;&gt;"",1,0)+IF(EC1766&lt;&gt;"",1,0)+IF(ED1766&lt;&gt;"",1,0)+IF(EG1766&lt;&gt;"",1,0)+IF(EH1766&lt;&gt;"",1,0)</f>
        <v/>
      </c>
      <c r="AZ1766">
        <f>IF(EH1766&lt;&gt;"",1,0)</f>
        <v/>
      </c>
      <c r="BB1766" t="inlineStr">
        <is>
          <t>WARREN-WARD 4</t>
        </is>
      </c>
      <c r="CU1766" t="inlineStr">
        <is>
          <t>X</t>
        </is>
      </c>
      <c r="CY1766" t="inlineStr">
        <is>
          <t>X</t>
        </is>
      </c>
    </row>
    <row r="1767">
      <c r="A1767" t="inlineStr">
        <is>
          <t>OH0025387273</t>
        </is>
      </c>
      <c r="B1767" t="n">
        <v>78</v>
      </c>
      <c r="C1767" t="n">
        <v>443917</v>
      </c>
      <c r="D1767" t="inlineStr">
        <is>
          <t>FANNIN</t>
        </is>
      </c>
      <c r="E1767" t="inlineStr">
        <is>
          <t>CHRISTOPHER</t>
        </is>
      </c>
      <c r="F1767">
        <f>CONCATENATE(D1767," ",LEFT(H1767,4),"T=",AU1767,"D=",AV1767,"R=",AW1767,"M=",AX1767,"L=",AY1767,"B=",AZ1767)</f>
        <v/>
      </c>
      <c r="G1767" t="inlineStr">
        <is>
          <t>LEE</t>
        </is>
      </c>
      <c r="I1767" t="inlineStr">
        <is>
          <t>1982-12-20</t>
        </is>
      </c>
      <c r="J1767" t="inlineStr">
        <is>
          <t>2020-01-10</t>
        </is>
      </c>
      <c r="K1767" t="inlineStr">
        <is>
          <t>ACTIVE</t>
        </is>
      </c>
      <c r="M1767" t="inlineStr">
        <is>
          <t>512 HIGH ST NE</t>
        </is>
      </c>
      <c r="N1767">
        <f>RIGHT(M1767,LEN(M1767)-FIND(" ",M1767))</f>
        <v/>
      </c>
      <c r="P1767" t="inlineStr">
        <is>
          <t>WARREN</t>
        </is>
      </c>
      <c r="Q1767" t="inlineStr">
        <is>
          <t>OH</t>
        </is>
      </c>
      <c r="R1767" t="n">
        <v>44483</v>
      </c>
      <c r="AD1767" t="inlineStr">
        <is>
          <t>TRUMBULL CAREER &amp; TECH CENTER</t>
        </is>
      </c>
      <c r="AE1767" t="inlineStr">
        <is>
          <t>WARREN CITY</t>
        </is>
      </c>
      <c r="AF1767" t="inlineStr">
        <is>
          <t>WARREN CITY SD</t>
        </is>
      </c>
      <c r="AH1767" t="n">
        <v>14</v>
      </c>
      <c r="AI1767" t="n">
        <v>11</v>
      </c>
      <c r="AN1767" t="inlineStr">
        <is>
          <t>WARREN</t>
        </is>
      </c>
      <c r="AO1767" t="inlineStr">
        <is>
          <t>WARREN CITY 4D</t>
        </is>
      </c>
      <c r="AP1767" t="inlineStr">
        <is>
          <t>78-P-ADL</t>
        </is>
      </c>
      <c r="AQ1767" t="n">
        <v>9</v>
      </c>
      <c r="AR1767" t="n">
        <v>64</v>
      </c>
      <c r="AS1767" t="n">
        <v>32</v>
      </c>
      <c r="AU1767">
        <f>COUNTA($BA$1767:$EH$1767)</f>
        <v/>
      </c>
      <c r="AV1767">
        <f>COUNTIF($BA$1767:$EH$1767,"D")</f>
        <v/>
      </c>
      <c r="AW1767">
        <f>COUNTIF($BA$1767:$EH$1767,"R")</f>
        <v/>
      </c>
      <c r="AX1767">
        <f>IF(BN1767="D",1,0)+IF(BO1767="D",1,0)+IF(BT1767="D",1,0)+IF(BU1767="D",1,0)+IF(BW1767="D",1,0)+IF(CC1767="D",1,0)+IF(CD1767="D",1,0)+IF(CE1767="D",1,0)+IF(CF1767="D",1,0)+IF(CL1767="D",1,0)+IF(CM1767="D",1,0)+IF(CQ1767="D",1,0)+IF(CR1767="D",1,0)+IF(CS1767="D",1,0)+IF(CW1767="D",1,0)+IF(CX1767="D",1,0)+IF(DD1767="D",1,0)+IF(DE1767="D",1,0)+IF(DJ1767="D",1,0)+IF(DK1767="D",1,0)+IF(DO1767="D",1,0)+IF(DP1767="D",1,0)+IF(DQ1767="D",1,0)+IF(DW1767="D",1,0)+IF(DZ1767="D",1,0)+IF(EH1767="D",1,0)</f>
        <v/>
      </c>
      <c r="AY1767">
        <f>IF(DJ1767&lt;&gt;"",1,0)+IF(DK1767&lt;&gt;"",1,0)+IF(DM1767&lt;&gt;"",1,0)+IF(DO1767&lt;&gt;"",1,0)+IF(DP1767&lt;&gt;"",1,0)+IF(DQ1767&lt;&gt;"",1,0)+IF(DS1767&lt;&gt;"",1,0)+IF(DT1767&lt;&gt;"",1,0)+IF(DV1767&lt;&gt;"",1,0)+IF(DW1767&lt;&gt;"",1,0)+IF(DX1767&lt;&gt;"",1,0)+IF(DY1767&lt;&gt;"",1,0)+IF(DZ1767&lt;&gt;"",1,0)+IF(EB1767&lt;&gt;"",1,0)+IF(EC1767&lt;&gt;"",1,0)+IF(ED1767&lt;&gt;"",1,0)+IF(EG1767&lt;&gt;"",1,0)+IF(EH1767&lt;&gt;"",1,0)</f>
        <v/>
      </c>
      <c r="AZ1767">
        <f>IF(EH1767&lt;&gt;"",1,0)</f>
        <v/>
      </c>
      <c r="BB1767" t="inlineStr">
        <is>
          <t>WARREN-WARD 4</t>
        </is>
      </c>
      <c r="DN1767" t="inlineStr">
        <is>
          <t>X</t>
        </is>
      </c>
      <c r="EA1767" t="inlineStr">
        <is>
          <t>X</t>
        </is>
      </c>
      <c r="EF1767" t="inlineStr">
        <is>
          <t>X</t>
        </is>
      </c>
    </row>
    <row r="1768">
      <c r="A1768" t="inlineStr">
        <is>
          <t>OH0015743088</t>
        </is>
      </c>
      <c r="B1768" t="n">
        <v>78</v>
      </c>
      <c r="C1768" t="n">
        <v>229446</v>
      </c>
      <c r="D1768" t="inlineStr">
        <is>
          <t>PANTELOUKAS</t>
        </is>
      </c>
      <c r="E1768" t="inlineStr">
        <is>
          <t>EUGENIA</t>
        </is>
      </c>
      <c r="F1768">
        <f>CONCATENATE(D1768," ",LEFT(H1768,4),"T=",AU1768,"D=",AV1768,"R=",AW1768,"M=",AX1768,"L=",AY1768,"B=",AZ1768)</f>
        <v/>
      </c>
      <c r="I1768" t="inlineStr">
        <is>
          <t>1967-04-23</t>
        </is>
      </c>
      <c r="J1768" t="inlineStr">
        <is>
          <t>1991-09-29</t>
        </is>
      </c>
      <c r="K1768" t="inlineStr">
        <is>
          <t>ACTIVE</t>
        </is>
      </c>
      <c r="M1768" t="inlineStr">
        <is>
          <t>287 LAIRD AVE NE</t>
        </is>
      </c>
      <c r="N1768">
        <f>RIGHT(M1768,LEN(M1768)-FIND(" ",M1768))</f>
        <v/>
      </c>
      <c r="P1768" t="inlineStr">
        <is>
          <t>WARREN</t>
        </is>
      </c>
      <c r="Q1768" t="inlineStr">
        <is>
          <t>OH</t>
        </is>
      </c>
      <c r="R1768" t="n">
        <v>44483</v>
      </c>
      <c r="AD1768" t="inlineStr">
        <is>
          <t>TRUMBULL CAREER &amp; TECH CENTER</t>
        </is>
      </c>
      <c r="AE1768" t="inlineStr">
        <is>
          <t>WARREN CITY</t>
        </is>
      </c>
      <c r="AF1768" t="inlineStr">
        <is>
          <t>WARREN CITY SD</t>
        </is>
      </c>
      <c r="AH1768" t="n">
        <v>14</v>
      </c>
      <c r="AI1768" t="n">
        <v>11</v>
      </c>
      <c r="AN1768" t="inlineStr">
        <is>
          <t>WARREN</t>
        </is>
      </c>
      <c r="AO1768" t="inlineStr">
        <is>
          <t>WARREN CITY 4D</t>
        </is>
      </c>
      <c r="AP1768" t="inlineStr">
        <is>
          <t>78-P-ADL</t>
        </is>
      </c>
      <c r="AQ1768" t="n">
        <v>9</v>
      </c>
      <c r="AR1768" t="n">
        <v>64</v>
      </c>
      <c r="AS1768" t="n">
        <v>32</v>
      </c>
      <c r="AU1768">
        <f>COUNTA($BA$1768:$EH$1768)</f>
        <v/>
      </c>
      <c r="AV1768">
        <f>COUNTIF($BA$1768:$EH$1768,"D")</f>
        <v/>
      </c>
      <c r="AW1768">
        <f>COUNTIF($BA$1768:$EH$1768,"R")</f>
        <v/>
      </c>
      <c r="AX1768">
        <f>IF(BN1768="D",1,0)+IF(BO1768="D",1,0)+IF(BT1768="D",1,0)+IF(BU1768="D",1,0)+IF(BW1768="D",1,0)+IF(CC1768="D",1,0)+IF(CD1768="D",1,0)+IF(CE1768="D",1,0)+IF(CF1768="D",1,0)+IF(CL1768="D",1,0)+IF(CM1768="D",1,0)+IF(CQ1768="D",1,0)+IF(CR1768="D",1,0)+IF(CS1768="D",1,0)+IF(CW1768="D",1,0)+IF(CX1768="D",1,0)+IF(DD1768="D",1,0)+IF(DE1768="D",1,0)+IF(DJ1768="D",1,0)+IF(DK1768="D",1,0)+IF(DO1768="D",1,0)+IF(DP1768="D",1,0)+IF(DQ1768="D",1,0)+IF(DW1768="D",1,0)+IF(DZ1768="D",1,0)+IF(EH1768="D",1,0)</f>
        <v/>
      </c>
      <c r="AY1768">
        <f>IF(DJ1768&lt;&gt;"",1,0)+IF(DK1768&lt;&gt;"",1,0)+IF(DM1768&lt;&gt;"",1,0)+IF(DO1768&lt;&gt;"",1,0)+IF(DP1768&lt;&gt;"",1,0)+IF(DQ1768&lt;&gt;"",1,0)+IF(DS1768&lt;&gt;"",1,0)+IF(DT1768&lt;&gt;"",1,0)+IF(DV1768&lt;&gt;"",1,0)+IF(DW1768&lt;&gt;"",1,0)+IF(DX1768&lt;&gt;"",1,0)+IF(DY1768&lt;&gt;"",1,0)+IF(DZ1768&lt;&gt;"",1,0)+IF(EB1768&lt;&gt;"",1,0)+IF(EC1768&lt;&gt;"",1,0)+IF(ED1768&lt;&gt;"",1,0)+IF(EG1768&lt;&gt;"",1,0)+IF(EH1768&lt;&gt;"",1,0)</f>
        <v/>
      </c>
      <c r="AZ1768">
        <f>IF(EH1768&lt;&gt;"",1,0)</f>
        <v/>
      </c>
      <c r="BB1768" t="inlineStr">
        <is>
          <t>WARREN-WARD 4</t>
        </is>
      </c>
      <c r="BC1768" t="inlineStr">
        <is>
          <t>X</t>
        </is>
      </c>
      <c r="BD1768" t="inlineStr">
        <is>
          <t>X</t>
        </is>
      </c>
      <c r="BH1768" t="inlineStr">
        <is>
          <t>X</t>
        </is>
      </c>
      <c r="BI1768" t="inlineStr">
        <is>
          <t>X</t>
        </is>
      </c>
      <c r="BJ1768" t="inlineStr">
        <is>
          <t>X</t>
        </is>
      </c>
      <c r="BL1768" t="inlineStr">
        <is>
          <t>X</t>
        </is>
      </c>
      <c r="BS1768" t="inlineStr">
        <is>
          <t>X</t>
        </is>
      </c>
      <c r="BY1768" t="inlineStr">
        <is>
          <t>D</t>
        </is>
      </c>
      <c r="CA1768" t="inlineStr">
        <is>
          <t>X</t>
        </is>
      </c>
      <c r="CK1768" t="inlineStr">
        <is>
          <t>X</t>
        </is>
      </c>
      <c r="CL1768" t="inlineStr">
        <is>
          <t>D</t>
        </is>
      </c>
      <c r="CO1768" t="inlineStr">
        <is>
          <t>D</t>
        </is>
      </c>
      <c r="CP1768" t="inlineStr">
        <is>
          <t>X</t>
        </is>
      </c>
      <c r="CV1768" t="inlineStr">
        <is>
          <t>X</t>
        </is>
      </c>
      <c r="CY1768" t="inlineStr">
        <is>
          <t>X</t>
        </is>
      </c>
      <c r="CZ1768" t="inlineStr">
        <is>
          <t>D</t>
        </is>
      </c>
      <c r="DC1768" t="inlineStr">
        <is>
          <t>X</t>
        </is>
      </c>
      <c r="DI1768" t="inlineStr">
        <is>
          <t>X</t>
        </is>
      </c>
      <c r="DN1768" t="inlineStr">
        <is>
          <t>X</t>
        </is>
      </c>
      <c r="DU1768" t="inlineStr">
        <is>
          <t>X</t>
        </is>
      </c>
      <c r="EF1768" t="inlineStr">
        <is>
          <t>X</t>
        </is>
      </c>
    </row>
    <row r="1769">
      <c r="A1769" t="inlineStr">
        <is>
          <t>OH0019995318</t>
        </is>
      </c>
      <c r="B1769" t="n">
        <v>78</v>
      </c>
      <c r="C1769" t="n">
        <v>361367</v>
      </c>
      <c r="D1769" t="inlineStr">
        <is>
          <t>MEEHAN</t>
        </is>
      </c>
      <c r="E1769" t="inlineStr">
        <is>
          <t>ALAN</t>
        </is>
      </c>
      <c r="F1769">
        <f>CONCATENATE(D1769," ",LEFT(H1769,4),"T=",AU1769,"D=",AV1769,"R=",AW1769,"M=",AX1769,"L=",AY1769,"B=",AZ1769)</f>
        <v/>
      </c>
      <c r="G1769" t="inlineStr">
        <is>
          <t>M</t>
        </is>
      </c>
      <c r="I1769" t="inlineStr">
        <is>
          <t>1989-07-25</t>
        </is>
      </c>
      <c r="J1769" t="inlineStr">
        <is>
          <t>2018-11-28</t>
        </is>
      </c>
      <c r="K1769" t="inlineStr">
        <is>
          <t>ACTIVE</t>
        </is>
      </c>
      <c r="M1769" t="inlineStr">
        <is>
          <t>108 N PARK AVE</t>
        </is>
      </c>
      <c r="N1769">
        <f>RIGHT(M1769,LEN(M1769)-FIND(" ",M1769))</f>
        <v/>
      </c>
      <c r="O1769" t="inlineStr">
        <is>
          <t>APT 14</t>
        </is>
      </c>
      <c r="P1769" t="inlineStr">
        <is>
          <t>WARREN</t>
        </is>
      </c>
      <c r="Q1769" t="inlineStr">
        <is>
          <t>OH</t>
        </is>
      </c>
      <c r="R1769" t="n">
        <v>44481</v>
      </c>
      <c r="AD1769" t="inlineStr">
        <is>
          <t>TRUMBULL CAREER &amp; TECH CENTER</t>
        </is>
      </c>
      <c r="AE1769" t="inlineStr">
        <is>
          <t>WARREN CITY</t>
        </is>
      </c>
      <c r="AF1769" t="inlineStr">
        <is>
          <t>WARREN CITY SD</t>
        </is>
      </c>
      <c r="AH1769" t="n">
        <v>14</v>
      </c>
      <c r="AI1769" t="n">
        <v>11</v>
      </c>
      <c r="AN1769" t="inlineStr">
        <is>
          <t>WARREN</t>
        </is>
      </c>
      <c r="AO1769" t="inlineStr">
        <is>
          <t>WARREN CITY 4D</t>
        </is>
      </c>
      <c r="AP1769" t="inlineStr">
        <is>
          <t>78-P-ADL</t>
        </is>
      </c>
      <c r="AQ1769" t="n">
        <v>9</v>
      </c>
      <c r="AR1769" t="n">
        <v>64</v>
      </c>
      <c r="AS1769" t="n">
        <v>32</v>
      </c>
      <c r="AU1769">
        <f>COUNTA($BA$1769:$EH$1769)</f>
        <v/>
      </c>
      <c r="AV1769">
        <f>COUNTIF($BA$1769:$EH$1769,"D")</f>
        <v/>
      </c>
      <c r="AW1769">
        <f>COUNTIF($BA$1769:$EH$1769,"R")</f>
        <v/>
      </c>
      <c r="AX1769">
        <f>IF(BN1769="D",1,0)+IF(BO1769="D",1,0)+IF(BT1769="D",1,0)+IF(BU1769="D",1,0)+IF(BW1769="D",1,0)+IF(CC1769="D",1,0)+IF(CD1769="D",1,0)+IF(CE1769="D",1,0)+IF(CF1769="D",1,0)+IF(CL1769="D",1,0)+IF(CM1769="D",1,0)+IF(CQ1769="D",1,0)+IF(CR1769="D",1,0)+IF(CS1769="D",1,0)+IF(CW1769="D",1,0)+IF(CX1769="D",1,0)+IF(DD1769="D",1,0)+IF(DE1769="D",1,0)+IF(DJ1769="D",1,0)+IF(DK1769="D",1,0)+IF(DO1769="D",1,0)+IF(DP1769="D",1,0)+IF(DQ1769="D",1,0)+IF(DW1769="D",1,0)+IF(DZ1769="D",1,0)+IF(EH1769="D",1,0)</f>
        <v/>
      </c>
      <c r="AY1769">
        <f>IF(DJ1769&lt;&gt;"",1,0)+IF(DK1769&lt;&gt;"",1,0)+IF(DM1769&lt;&gt;"",1,0)+IF(DO1769&lt;&gt;"",1,0)+IF(DP1769&lt;&gt;"",1,0)+IF(DQ1769&lt;&gt;"",1,0)+IF(DS1769&lt;&gt;"",1,0)+IF(DT1769&lt;&gt;"",1,0)+IF(DV1769&lt;&gt;"",1,0)+IF(DW1769&lt;&gt;"",1,0)+IF(DX1769&lt;&gt;"",1,0)+IF(DY1769&lt;&gt;"",1,0)+IF(DZ1769&lt;&gt;"",1,0)+IF(EB1769&lt;&gt;"",1,0)+IF(EC1769&lt;&gt;"",1,0)+IF(ED1769&lt;&gt;"",1,0)+IF(EG1769&lt;&gt;"",1,0)+IF(EH1769&lt;&gt;"",1,0)</f>
        <v/>
      </c>
      <c r="AZ1769">
        <f>IF(EH1769&lt;&gt;"",1,0)</f>
        <v/>
      </c>
      <c r="BB1769" t="inlineStr">
        <is>
          <t>WARREN-WARD 4</t>
        </is>
      </c>
      <c r="CA1769" t="inlineStr">
        <is>
          <t>X</t>
        </is>
      </c>
      <c r="DC1769" t="inlineStr">
        <is>
          <t>X</t>
        </is>
      </c>
      <c r="DI1769" t="inlineStr">
        <is>
          <t>X</t>
        </is>
      </c>
      <c r="DN1769" t="inlineStr">
        <is>
          <t>X</t>
        </is>
      </c>
    </row>
    <row r="1770">
      <c r="A1770" t="inlineStr">
        <is>
          <t>OH0027494572</t>
        </is>
      </c>
      <c r="B1770" t="n">
        <v>78</v>
      </c>
      <c r="C1770" t="n">
        <v>486996</v>
      </c>
      <c r="D1770" t="inlineStr">
        <is>
          <t>PARKER</t>
        </is>
      </c>
      <c r="E1770" t="inlineStr">
        <is>
          <t>BRANDERRA</t>
        </is>
      </c>
      <c r="F1770">
        <f>CONCATENATE(D1770," ",LEFT(H1770,4),"T=",AU1770,"D=",AV1770,"R=",AW1770,"M=",AX1770,"L=",AY1770,"B=",AZ1770)</f>
        <v/>
      </c>
      <c r="G1770" t="inlineStr">
        <is>
          <t>Y</t>
        </is>
      </c>
      <c r="I1770" t="inlineStr">
        <is>
          <t>1992-12-04</t>
        </is>
      </c>
      <c r="J1770" t="inlineStr">
        <is>
          <t>2024-08-11</t>
        </is>
      </c>
      <c r="K1770" t="inlineStr">
        <is>
          <t>ACTIVE</t>
        </is>
      </c>
      <c r="M1770" t="inlineStr">
        <is>
          <t>184 PORTER ST NE</t>
        </is>
      </c>
      <c r="N1770">
        <f>RIGHT(M1770,LEN(M1770)-FIND(" ",M1770))</f>
        <v/>
      </c>
      <c r="O1770" t="inlineStr">
        <is>
          <t>UNIT 2W</t>
        </is>
      </c>
      <c r="P1770" t="inlineStr">
        <is>
          <t>WARREN</t>
        </is>
      </c>
      <c r="Q1770" t="inlineStr">
        <is>
          <t>OH</t>
        </is>
      </c>
      <c r="R1770" t="n">
        <v>44483</v>
      </c>
      <c r="AD1770" t="inlineStr">
        <is>
          <t>TRUMBULL CAREER &amp; TECH CENTER</t>
        </is>
      </c>
      <c r="AE1770" t="inlineStr">
        <is>
          <t>WARREN CITY</t>
        </is>
      </c>
      <c r="AF1770" t="inlineStr">
        <is>
          <t>WARREN CITY SD</t>
        </is>
      </c>
      <c r="AH1770" t="n">
        <v>14</v>
      </c>
      <c r="AI1770" t="n">
        <v>11</v>
      </c>
      <c r="AN1770" t="inlineStr">
        <is>
          <t>WARREN</t>
        </is>
      </c>
      <c r="AO1770" t="inlineStr">
        <is>
          <t>WARREN CITY 4D</t>
        </is>
      </c>
      <c r="AP1770" t="inlineStr">
        <is>
          <t>78-P-ADL</t>
        </is>
      </c>
      <c r="AQ1770" t="n">
        <v>9</v>
      </c>
      <c r="AR1770" t="n">
        <v>64</v>
      </c>
      <c r="AS1770" t="n">
        <v>32</v>
      </c>
      <c r="AU1770">
        <f>COUNTA($BA$1770:$EH$1770)</f>
        <v/>
      </c>
      <c r="AV1770">
        <f>COUNTIF($BA$1770:$EH$1770,"D")</f>
        <v/>
      </c>
      <c r="AW1770">
        <f>COUNTIF($BA$1770:$EH$1770,"R")</f>
        <v/>
      </c>
      <c r="AX1770">
        <f>IF(BN1770="D",1,0)+IF(BO1770="D",1,0)+IF(BT1770="D",1,0)+IF(BU1770="D",1,0)+IF(BW1770="D",1,0)+IF(CC1770="D",1,0)+IF(CD1770="D",1,0)+IF(CE1770="D",1,0)+IF(CF1770="D",1,0)+IF(CL1770="D",1,0)+IF(CM1770="D",1,0)+IF(CQ1770="D",1,0)+IF(CR1770="D",1,0)+IF(CS1770="D",1,0)+IF(CW1770="D",1,0)+IF(CX1770="D",1,0)+IF(DD1770="D",1,0)+IF(DE1770="D",1,0)+IF(DJ1770="D",1,0)+IF(DK1770="D",1,0)+IF(DO1770="D",1,0)+IF(DP1770="D",1,0)+IF(DQ1770="D",1,0)+IF(DW1770="D",1,0)+IF(DZ1770="D",1,0)+IF(EH1770="D",1,0)</f>
        <v/>
      </c>
      <c r="AY1770">
        <f>IF(DJ1770&lt;&gt;"",1,0)+IF(DK1770&lt;&gt;"",1,0)+IF(DM1770&lt;&gt;"",1,0)+IF(DO1770&lt;&gt;"",1,0)+IF(DP1770&lt;&gt;"",1,0)+IF(DQ1770&lt;&gt;"",1,0)+IF(DS1770&lt;&gt;"",1,0)+IF(DT1770&lt;&gt;"",1,0)+IF(DV1770&lt;&gt;"",1,0)+IF(DW1770&lt;&gt;"",1,0)+IF(DX1770&lt;&gt;"",1,0)+IF(DY1770&lt;&gt;"",1,0)+IF(DZ1770&lt;&gt;"",1,0)+IF(EB1770&lt;&gt;"",1,0)+IF(EC1770&lt;&gt;"",1,0)+IF(ED1770&lt;&gt;"",1,0)+IF(EG1770&lt;&gt;"",1,0)+IF(EH1770&lt;&gt;"",1,0)</f>
        <v/>
      </c>
      <c r="AZ1770">
        <f>IF(EH1770&lt;&gt;"",1,0)</f>
        <v/>
      </c>
      <c r="BB1770" t="inlineStr">
        <is>
          <t>WARREN-WARD 4</t>
        </is>
      </c>
      <c r="CP1770" t="inlineStr">
        <is>
          <t>X</t>
        </is>
      </c>
      <c r="DC1770" t="inlineStr">
        <is>
          <t>X</t>
        </is>
      </c>
      <c r="EF1770" t="inlineStr">
        <is>
          <t>X</t>
        </is>
      </c>
    </row>
    <row r="1771">
      <c r="A1771" t="inlineStr">
        <is>
          <t>OH0024697892</t>
        </is>
      </c>
      <c r="B1771" t="n">
        <v>78</v>
      </c>
      <c r="C1771" t="n">
        <v>433865</v>
      </c>
      <c r="D1771" t="inlineStr">
        <is>
          <t>YAUGER</t>
        </is>
      </c>
      <c r="E1771" t="inlineStr">
        <is>
          <t>NATHAN</t>
        </is>
      </c>
      <c r="F1771">
        <f>CONCATENATE(D1771," ",LEFT(H1771,4),"T=",AU1771,"D=",AV1771,"R=",AW1771,"M=",AX1771,"L=",AY1771,"B=",AZ1771)</f>
        <v/>
      </c>
      <c r="G1771" t="inlineStr">
        <is>
          <t>THOMAS</t>
        </is>
      </c>
      <c r="I1771" t="inlineStr">
        <is>
          <t>1998-12-10</t>
        </is>
      </c>
      <c r="J1771" t="inlineStr">
        <is>
          <t>2018-07-29</t>
        </is>
      </c>
      <c r="K1771" t="inlineStr">
        <is>
          <t>ACTIVE</t>
        </is>
      </c>
      <c r="L1771" t="inlineStr">
        <is>
          <t>D</t>
        </is>
      </c>
      <c r="M1771" t="inlineStr">
        <is>
          <t>460 BELMONT AVE NE</t>
        </is>
      </c>
      <c r="N1771">
        <f>RIGHT(M1771,LEN(M1771)-FIND(" ",M1771))</f>
        <v/>
      </c>
      <c r="P1771" t="inlineStr">
        <is>
          <t>WARREN</t>
        </is>
      </c>
      <c r="Q1771" t="inlineStr">
        <is>
          <t>OH</t>
        </is>
      </c>
      <c r="R1771" t="n">
        <v>44483</v>
      </c>
      <c r="AD1771" t="inlineStr">
        <is>
          <t>TRUMBULL CAREER &amp; TECH CENTER</t>
        </is>
      </c>
      <c r="AE1771" t="inlineStr">
        <is>
          <t>WARREN CITY</t>
        </is>
      </c>
      <c r="AF1771" t="inlineStr">
        <is>
          <t>WARREN CITY SD</t>
        </is>
      </c>
      <c r="AH1771" t="n">
        <v>14</v>
      </c>
      <c r="AI1771" t="n">
        <v>11</v>
      </c>
      <c r="AN1771" t="inlineStr">
        <is>
          <t>WARREN</t>
        </is>
      </c>
      <c r="AO1771" t="inlineStr">
        <is>
          <t>WARREN CITY 4D</t>
        </is>
      </c>
      <c r="AP1771" t="inlineStr">
        <is>
          <t>78-P-ADL</t>
        </is>
      </c>
      <c r="AQ1771" t="n">
        <v>9</v>
      </c>
      <c r="AR1771" t="n">
        <v>64</v>
      </c>
      <c r="AS1771" t="n">
        <v>32</v>
      </c>
      <c r="AU1771">
        <f>COUNTA($BA$1771:$EH$1771)</f>
        <v/>
      </c>
      <c r="AV1771">
        <f>COUNTIF($BA$1771:$EH$1771,"D")</f>
        <v/>
      </c>
      <c r="AW1771">
        <f>COUNTIF($BA$1771:$EH$1771,"R")</f>
        <v/>
      </c>
      <c r="AX1771">
        <f>IF(BN1771="D",1,0)+IF(BO1771="D",1,0)+IF(BT1771="D",1,0)+IF(BU1771="D",1,0)+IF(BW1771="D",1,0)+IF(CC1771="D",1,0)+IF(CD1771="D",1,0)+IF(CE1771="D",1,0)+IF(CF1771="D",1,0)+IF(CL1771="D",1,0)+IF(CM1771="D",1,0)+IF(CQ1771="D",1,0)+IF(CR1771="D",1,0)+IF(CS1771="D",1,0)+IF(CW1771="D",1,0)+IF(CX1771="D",1,0)+IF(DD1771="D",1,0)+IF(DE1771="D",1,0)+IF(DJ1771="D",1,0)+IF(DK1771="D",1,0)+IF(DO1771="D",1,0)+IF(DP1771="D",1,0)+IF(DQ1771="D",1,0)+IF(DW1771="D",1,0)+IF(DZ1771="D",1,0)+IF(EH1771="D",1,0)</f>
        <v/>
      </c>
      <c r="AY1771">
        <f>IF(DJ1771&lt;&gt;"",1,0)+IF(DK1771&lt;&gt;"",1,0)+IF(DM1771&lt;&gt;"",1,0)+IF(DO1771&lt;&gt;"",1,0)+IF(DP1771&lt;&gt;"",1,0)+IF(DQ1771&lt;&gt;"",1,0)+IF(DS1771&lt;&gt;"",1,0)+IF(DT1771&lt;&gt;"",1,0)+IF(DV1771&lt;&gt;"",1,0)+IF(DW1771&lt;&gt;"",1,0)+IF(DX1771&lt;&gt;"",1,0)+IF(DY1771&lt;&gt;"",1,0)+IF(DZ1771&lt;&gt;"",1,0)+IF(EB1771&lt;&gt;"",1,0)+IF(EC1771&lt;&gt;"",1,0)+IF(ED1771&lt;&gt;"",1,0)+IF(EG1771&lt;&gt;"",1,0)+IF(EH1771&lt;&gt;"",1,0)</f>
        <v/>
      </c>
      <c r="AZ1771">
        <f>IF(EH1771&lt;&gt;"",1,0)</f>
        <v/>
      </c>
      <c r="BB1771" t="inlineStr">
        <is>
          <t>WARREN-WARD 4</t>
        </is>
      </c>
      <c r="DI1771" t="inlineStr">
        <is>
          <t>X</t>
        </is>
      </c>
      <c r="DJ1771" t="inlineStr">
        <is>
          <t>D</t>
        </is>
      </c>
      <c r="DL1771" t="inlineStr">
        <is>
          <t>X</t>
        </is>
      </c>
      <c r="DM1771" t="inlineStr">
        <is>
          <t>D</t>
        </is>
      </c>
      <c r="DN1771" t="inlineStr">
        <is>
          <t>X</t>
        </is>
      </c>
      <c r="DS1771" t="inlineStr">
        <is>
          <t>D</t>
        </is>
      </c>
      <c r="DU1771" t="inlineStr">
        <is>
          <t>X</t>
        </is>
      </c>
      <c r="DW1771" t="inlineStr">
        <is>
          <t>D</t>
        </is>
      </c>
      <c r="DX1771" t="inlineStr">
        <is>
          <t>X</t>
        </is>
      </c>
      <c r="EA1771" t="inlineStr">
        <is>
          <t>X</t>
        </is>
      </c>
      <c r="ED1771" t="inlineStr">
        <is>
          <t>D</t>
        </is>
      </c>
      <c r="EF1771" t="inlineStr">
        <is>
          <t>X</t>
        </is>
      </c>
      <c r="EH1771" t="inlineStr">
        <is>
          <t>D</t>
        </is>
      </c>
    </row>
    <row r="1772">
      <c r="A1772" t="inlineStr">
        <is>
          <t>OH0022239892</t>
        </is>
      </c>
      <c r="B1772" t="n">
        <v>78</v>
      </c>
      <c r="C1772" t="n">
        <v>393591</v>
      </c>
      <c r="D1772" t="inlineStr">
        <is>
          <t>MARTIN</t>
        </is>
      </c>
      <c r="E1772" t="inlineStr">
        <is>
          <t>AARON</t>
        </is>
      </c>
      <c r="F1772">
        <f>CONCATENATE(D1772," ",LEFT(H1772,4),"T=",AU1772,"D=",AV1772,"R=",AW1772,"M=",AX1772,"L=",AY1772,"B=",AZ1772)</f>
        <v/>
      </c>
      <c r="G1772" t="inlineStr">
        <is>
          <t>D</t>
        </is>
      </c>
      <c r="I1772" t="inlineStr">
        <is>
          <t>1993-07-04</t>
        </is>
      </c>
      <c r="J1772" t="inlineStr">
        <is>
          <t>2015-11-29</t>
        </is>
      </c>
      <c r="K1772" t="inlineStr">
        <is>
          <t>ACTIVE</t>
        </is>
      </c>
      <c r="M1772" t="inlineStr">
        <is>
          <t>200 WASHINGTON ST NE</t>
        </is>
      </c>
      <c r="N1772">
        <f>RIGHT(M1772,LEN(M1772)-FIND(" ",M1772))</f>
        <v/>
      </c>
      <c r="O1772" t="inlineStr">
        <is>
          <t>APT 21</t>
        </is>
      </c>
      <c r="P1772" t="inlineStr">
        <is>
          <t>WARREN</t>
        </is>
      </c>
      <c r="Q1772" t="inlineStr">
        <is>
          <t>OH</t>
        </is>
      </c>
      <c r="R1772" t="n">
        <v>44483</v>
      </c>
      <c r="AD1772" t="inlineStr">
        <is>
          <t>TRUMBULL CAREER &amp; TECH CENTER</t>
        </is>
      </c>
      <c r="AE1772" t="inlineStr">
        <is>
          <t>WARREN CITY</t>
        </is>
      </c>
      <c r="AF1772" t="inlineStr">
        <is>
          <t>WARREN CITY SD</t>
        </is>
      </c>
      <c r="AH1772" t="n">
        <v>14</v>
      </c>
      <c r="AI1772" t="n">
        <v>11</v>
      </c>
      <c r="AN1772" t="inlineStr">
        <is>
          <t>WARREN</t>
        </is>
      </c>
      <c r="AO1772" t="inlineStr">
        <is>
          <t>WARREN CITY 4D</t>
        </is>
      </c>
      <c r="AP1772" t="inlineStr">
        <is>
          <t>78-P-ADL</t>
        </is>
      </c>
      <c r="AQ1772" t="n">
        <v>9</v>
      </c>
      <c r="AR1772" t="n">
        <v>64</v>
      </c>
      <c r="AS1772" t="n">
        <v>32</v>
      </c>
      <c r="AU1772">
        <f>COUNTA($BA$1772:$EH$1772)</f>
        <v/>
      </c>
      <c r="AV1772">
        <f>COUNTIF($BA$1772:$EH$1772,"D")</f>
        <v/>
      </c>
      <c r="AW1772">
        <f>COUNTIF($BA$1772:$EH$1772,"R")</f>
        <v/>
      </c>
      <c r="AX1772">
        <f>IF(BN1772="D",1,0)+IF(BO1772="D",1,0)+IF(BT1772="D",1,0)+IF(BU1772="D",1,0)+IF(BW1772="D",1,0)+IF(CC1772="D",1,0)+IF(CD1772="D",1,0)+IF(CE1772="D",1,0)+IF(CF1772="D",1,0)+IF(CL1772="D",1,0)+IF(CM1772="D",1,0)+IF(CQ1772="D",1,0)+IF(CR1772="D",1,0)+IF(CS1772="D",1,0)+IF(CW1772="D",1,0)+IF(CX1772="D",1,0)+IF(DD1772="D",1,0)+IF(DE1772="D",1,0)+IF(DJ1772="D",1,0)+IF(DK1772="D",1,0)+IF(DO1772="D",1,0)+IF(DP1772="D",1,0)+IF(DQ1772="D",1,0)+IF(DW1772="D",1,0)+IF(DZ1772="D",1,0)+IF(EH1772="D",1,0)</f>
        <v/>
      </c>
      <c r="AY1772">
        <f>IF(DJ1772&lt;&gt;"",1,0)+IF(DK1772&lt;&gt;"",1,0)+IF(DM1772&lt;&gt;"",1,0)+IF(DO1772&lt;&gt;"",1,0)+IF(DP1772&lt;&gt;"",1,0)+IF(DQ1772&lt;&gt;"",1,0)+IF(DS1772&lt;&gt;"",1,0)+IF(DT1772&lt;&gt;"",1,0)+IF(DV1772&lt;&gt;"",1,0)+IF(DW1772&lt;&gt;"",1,0)+IF(DX1772&lt;&gt;"",1,0)+IF(DY1772&lt;&gt;"",1,0)+IF(DZ1772&lt;&gt;"",1,0)+IF(EB1772&lt;&gt;"",1,0)+IF(EC1772&lt;&gt;"",1,0)+IF(ED1772&lt;&gt;"",1,0)+IF(EG1772&lt;&gt;"",1,0)+IF(EH1772&lt;&gt;"",1,0)</f>
        <v/>
      </c>
      <c r="AZ1772">
        <f>IF(EH1772&lt;&gt;"",1,0)</f>
        <v/>
      </c>
      <c r="BB1772" t="inlineStr">
        <is>
          <t>WARREN-WARD 4</t>
        </is>
      </c>
      <c r="CP1772" t="inlineStr">
        <is>
          <t>X</t>
        </is>
      </c>
      <c r="CY1772" t="inlineStr">
        <is>
          <t>X</t>
        </is>
      </c>
      <c r="DC1772" t="inlineStr">
        <is>
          <t>X</t>
        </is>
      </c>
    </row>
    <row r="1773">
      <c r="A1773" t="inlineStr">
        <is>
          <t>OH0022344241</t>
        </is>
      </c>
      <c r="B1773" t="n">
        <v>78</v>
      </c>
      <c r="C1773" t="n">
        <v>388851</v>
      </c>
      <c r="D1773" t="inlineStr">
        <is>
          <t>SOLINGER</t>
        </is>
      </c>
      <c r="E1773" t="inlineStr">
        <is>
          <t>NATASHA</t>
        </is>
      </c>
      <c r="F1773">
        <f>CONCATENATE(D1773," ",LEFT(H1773,4),"T=",AU1773,"D=",AV1773,"R=",AW1773,"M=",AX1773,"L=",AY1773,"B=",AZ1773)</f>
        <v/>
      </c>
      <c r="G1773" t="inlineStr">
        <is>
          <t>ANNE</t>
        </is>
      </c>
      <c r="I1773" t="inlineStr">
        <is>
          <t>1994-04-18</t>
        </is>
      </c>
      <c r="J1773" t="inlineStr">
        <is>
          <t>2023-08-20</t>
        </is>
      </c>
      <c r="K1773" t="inlineStr">
        <is>
          <t>ACTIVE</t>
        </is>
      </c>
      <c r="M1773" t="inlineStr">
        <is>
          <t>159 SCOTT ST NE</t>
        </is>
      </c>
      <c r="N1773">
        <f>RIGHT(M1773,LEN(M1773)-FIND(" ",M1773))</f>
        <v/>
      </c>
      <c r="P1773" t="inlineStr">
        <is>
          <t>WARREN</t>
        </is>
      </c>
      <c r="Q1773" t="inlineStr">
        <is>
          <t>OH</t>
        </is>
      </c>
      <c r="R1773" t="n">
        <v>44483</v>
      </c>
      <c r="AD1773" t="inlineStr">
        <is>
          <t>TRUMBULL CAREER &amp; TECH CENTER</t>
        </is>
      </c>
      <c r="AE1773" t="inlineStr">
        <is>
          <t>WARREN CITY</t>
        </is>
      </c>
      <c r="AF1773" t="inlineStr">
        <is>
          <t>WARREN CITY SD</t>
        </is>
      </c>
      <c r="AH1773" t="n">
        <v>14</v>
      </c>
      <c r="AI1773" t="n">
        <v>11</v>
      </c>
      <c r="AN1773" t="inlineStr">
        <is>
          <t>WARREN</t>
        </is>
      </c>
      <c r="AO1773" t="inlineStr">
        <is>
          <t>WARREN CITY 4D</t>
        </is>
      </c>
      <c r="AP1773" t="inlineStr">
        <is>
          <t>78-P-ADL</t>
        </is>
      </c>
      <c r="AQ1773" t="n">
        <v>9</v>
      </c>
      <c r="AR1773" t="n">
        <v>64</v>
      </c>
      <c r="AS1773" t="n">
        <v>32</v>
      </c>
      <c r="AU1773">
        <f>COUNTA($BA$1773:$EH$1773)</f>
        <v/>
      </c>
      <c r="AV1773">
        <f>COUNTIF($BA$1773:$EH$1773,"D")</f>
        <v/>
      </c>
      <c r="AW1773">
        <f>COUNTIF($BA$1773:$EH$1773,"R")</f>
        <v/>
      </c>
      <c r="AX1773">
        <f>IF(BN1773="D",1,0)+IF(BO1773="D",1,0)+IF(BT1773="D",1,0)+IF(BU1773="D",1,0)+IF(BW1773="D",1,0)+IF(CC1773="D",1,0)+IF(CD1773="D",1,0)+IF(CE1773="D",1,0)+IF(CF1773="D",1,0)+IF(CL1773="D",1,0)+IF(CM1773="D",1,0)+IF(CQ1773="D",1,0)+IF(CR1773="D",1,0)+IF(CS1773="D",1,0)+IF(CW1773="D",1,0)+IF(CX1773="D",1,0)+IF(DD1773="D",1,0)+IF(DE1773="D",1,0)+IF(DJ1773="D",1,0)+IF(DK1773="D",1,0)+IF(DO1773="D",1,0)+IF(DP1773="D",1,0)+IF(DQ1773="D",1,0)+IF(DW1773="D",1,0)+IF(DZ1773="D",1,0)+IF(EH1773="D",1,0)</f>
        <v/>
      </c>
      <c r="AY1773">
        <f>IF(DJ1773&lt;&gt;"",1,0)+IF(DK1773&lt;&gt;"",1,0)+IF(DM1773&lt;&gt;"",1,0)+IF(DO1773&lt;&gt;"",1,0)+IF(DP1773&lt;&gt;"",1,0)+IF(DQ1773&lt;&gt;"",1,0)+IF(DS1773&lt;&gt;"",1,0)+IF(DT1773&lt;&gt;"",1,0)+IF(DV1773&lt;&gt;"",1,0)+IF(DW1773&lt;&gt;"",1,0)+IF(DX1773&lt;&gt;"",1,0)+IF(DY1773&lt;&gt;"",1,0)+IF(DZ1773&lt;&gt;"",1,0)+IF(EB1773&lt;&gt;"",1,0)+IF(EC1773&lt;&gt;"",1,0)+IF(ED1773&lt;&gt;"",1,0)+IF(EG1773&lt;&gt;"",1,0)+IF(EH1773&lt;&gt;"",1,0)</f>
        <v/>
      </c>
      <c r="AZ1773">
        <f>IF(EH1773&lt;&gt;"",1,0)</f>
        <v/>
      </c>
      <c r="BB1773" t="inlineStr">
        <is>
          <t>WARREN-WARD 4</t>
        </is>
      </c>
      <c r="DN1773" t="inlineStr">
        <is>
          <t>X</t>
        </is>
      </c>
      <c r="EF1773" t="inlineStr">
        <is>
          <t>X</t>
        </is>
      </c>
    </row>
    <row r="1774">
      <c r="A1774" t="inlineStr">
        <is>
          <t>OH0026841739</t>
        </is>
      </c>
      <c r="B1774" t="n">
        <v>78</v>
      </c>
      <c r="C1774" t="n">
        <v>472277</v>
      </c>
      <c r="D1774" t="inlineStr">
        <is>
          <t>LITTRELL</t>
        </is>
      </c>
      <c r="E1774" t="inlineStr">
        <is>
          <t>NICOLE</t>
        </is>
      </c>
      <c r="F1774">
        <f>CONCATENATE(D1774," ",LEFT(H1774,4),"T=",AU1774,"D=",AV1774,"R=",AW1774,"M=",AX1774,"L=",AY1774,"B=",AZ1774)</f>
        <v/>
      </c>
      <c r="G1774" t="inlineStr">
        <is>
          <t>LYNN</t>
        </is>
      </c>
      <c r="I1774" t="inlineStr">
        <is>
          <t>1995-10-28</t>
        </is>
      </c>
      <c r="J1774" t="inlineStr">
        <is>
          <t>2023-03-03</t>
        </is>
      </c>
      <c r="K1774" t="inlineStr">
        <is>
          <t>ACTIVE</t>
        </is>
      </c>
      <c r="M1774" t="inlineStr">
        <is>
          <t>305 SCOTT ST NE</t>
        </is>
      </c>
      <c r="N1774">
        <f>RIGHT(M1774,LEN(M1774)-FIND(" ",M1774))</f>
        <v/>
      </c>
      <c r="P1774" t="inlineStr">
        <is>
          <t>WARREN</t>
        </is>
      </c>
      <c r="Q1774" t="inlineStr">
        <is>
          <t>OH</t>
        </is>
      </c>
      <c r="R1774" t="n">
        <v>44483</v>
      </c>
      <c r="AD1774" t="inlineStr">
        <is>
          <t>TRUMBULL CAREER &amp; TECH CENTER</t>
        </is>
      </c>
      <c r="AE1774" t="inlineStr">
        <is>
          <t>WARREN CITY</t>
        </is>
      </c>
      <c r="AF1774" t="inlineStr">
        <is>
          <t>WARREN CITY SD</t>
        </is>
      </c>
      <c r="AH1774" t="n">
        <v>14</v>
      </c>
      <c r="AI1774" t="n">
        <v>11</v>
      </c>
      <c r="AN1774" t="inlineStr">
        <is>
          <t>WARREN</t>
        </is>
      </c>
      <c r="AO1774" t="inlineStr">
        <is>
          <t>WARREN CITY 4D</t>
        </is>
      </c>
      <c r="AP1774" t="inlineStr">
        <is>
          <t>78-P-ADL</t>
        </is>
      </c>
      <c r="AQ1774" t="n">
        <v>9</v>
      </c>
      <c r="AR1774" t="n">
        <v>64</v>
      </c>
      <c r="AS1774" t="n">
        <v>32</v>
      </c>
      <c r="AU1774">
        <f>COUNTA($BA$1774:$EH$1774)</f>
        <v/>
      </c>
      <c r="AV1774">
        <f>COUNTIF($BA$1774:$EH$1774,"D")</f>
        <v/>
      </c>
      <c r="AW1774">
        <f>COUNTIF($BA$1774:$EH$1774,"R")</f>
        <v/>
      </c>
      <c r="AX1774">
        <f>IF(BN1774="D",1,0)+IF(BO1774="D",1,0)+IF(BT1774="D",1,0)+IF(BU1774="D",1,0)+IF(BW1774="D",1,0)+IF(CC1774="D",1,0)+IF(CD1774="D",1,0)+IF(CE1774="D",1,0)+IF(CF1774="D",1,0)+IF(CL1774="D",1,0)+IF(CM1774="D",1,0)+IF(CQ1774="D",1,0)+IF(CR1774="D",1,0)+IF(CS1774="D",1,0)+IF(CW1774="D",1,0)+IF(CX1774="D",1,0)+IF(DD1774="D",1,0)+IF(DE1774="D",1,0)+IF(DJ1774="D",1,0)+IF(DK1774="D",1,0)+IF(DO1774="D",1,0)+IF(DP1774="D",1,0)+IF(DQ1774="D",1,0)+IF(DW1774="D",1,0)+IF(DZ1774="D",1,0)+IF(EH1774="D",1,0)</f>
        <v/>
      </c>
      <c r="AY1774">
        <f>IF(DJ1774&lt;&gt;"",1,0)+IF(DK1774&lt;&gt;"",1,0)+IF(DM1774&lt;&gt;"",1,0)+IF(DO1774&lt;&gt;"",1,0)+IF(DP1774&lt;&gt;"",1,0)+IF(DQ1774&lt;&gt;"",1,0)+IF(DS1774&lt;&gt;"",1,0)+IF(DT1774&lt;&gt;"",1,0)+IF(DV1774&lt;&gt;"",1,0)+IF(DW1774&lt;&gt;"",1,0)+IF(DX1774&lt;&gt;"",1,0)+IF(DY1774&lt;&gt;"",1,0)+IF(DZ1774&lt;&gt;"",1,0)+IF(EB1774&lt;&gt;"",1,0)+IF(EC1774&lt;&gt;"",1,0)+IF(ED1774&lt;&gt;"",1,0)+IF(EG1774&lt;&gt;"",1,0)+IF(EH1774&lt;&gt;"",1,0)</f>
        <v/>
      </c>
      <c r="AZ1774">
        <f>IF(EH1774&lt;&gt;"",1,0)</f>
        <v/>
      </c>
      <c r="BB1774" t="inlineStr">
        <is>
          <t>WARREN-WARD 4</t>
        </is>
      </c>
      <c r="EF1774" t="inlineStr">
        <is>
          <t>X</t>
        </is>
      </c>
    </row>
    <row r="1775">
      <c r="A1775" t="inlineStr">
        <is>
          <t>OH0024020862</t>
        </is>
      </c>
      <c r="B1775" t="n">
        <v>78</v>
      </c>
      <c r="C1775" t="n">
        <v>421173</v>
      </c>
      <c r="D1775" t="inlineStr">
        <is>
          <t>FITZGERALD</t>
        </is>
      </c>
      <c r="E1775" t="inlineStr">
        <is>
          <t>KATHRYNNE</t>
        </is>
      </c>
      <c r="F1775">
        <f>CONCATENATE(D1775," ",LEFT(H1775,4),"T=",AU1775,"D=",AV1775,"R=",AW1775,"M=",AX1775,"L=",AY1775,"B=",AZ1775)</f>
        <v/>
      </c>
      <c r="G1775" t="inlineStr">
        <is>
          <t>JUNE</t>
        </is>
      </c>
      <c r="I1775" t="inlineStr">
        <is>
          <t>1991-09-06</t>
        </is>
      </c>
      <c r="J1775" t="inlineStr">
        <is>
          <t>2024-10-07</t>
        </is>
      </c>
      <c r="K1775" t="inlineStr">
        <is>
          <t>ACTIVE</t>
        </is>
      </c>
      <c r="M1775" t="inlineStr">
        <is>
          <t>116 LINDEN AVE NE</t>
        </is>
      </c>
      <c r="N1775">
        <f>RIGHT(M1775,LEN(M1775)-FIND(" ",M1775))</f>
        <v/>
      </c>
      <c r="O1775" t="inlineStr">
        <is>
          <t>APT 2</t>
        </is>
      </c>
      <c r="P1775" t="inlineStr">
        <is>
          <t>WARREN</t>
        </is>
      </c>
      <c r="Q1775" t="inlineStr">
        <is>
          <t>OH</t>
        </is>
      </c>
      <c r="R1775" t="n">
        <v>44483</v>
      </c>
      <c r="AD1775" t="inlineStr">
        <is>
          <t>TRUMBULL CAREER &amp; TECH CENTER</t>
        </is>
      </c>
      <c r="AE1775" t="inlineStr">
        <is>
          <t>WARREN CITY</t>
        </is>
      </c>
      <c r="AF1775" t="inlineStr">
        <is>
          <t>WARREN CITY SD</t>
        </is>
      </c>
      <c r="AH1775" t="n">
        <v>14</v>
      </c>
      <c r="AI1775" t="n">
        <v>11</v>
      </c>
      <c r="AN1775" t="inlineStr">
        <is>
          <t>WARREN</t>
        </is>
      </c>
      <c r="AO1775" t="inlineStr">
        <is>
          <t>WARREN CITY 4D</t>
        </is>
      </c>
      <c r="AP1775" t="inlineStr">
        <is>
          <t>78-P-ADL</t>
        </is>
      </c>
      <c r="AQ1775" t="n">
        <v>9</v>
      </c>
      <c r="AR1775" t="n">
        <v>64</v>
      </c>
      <c r="AS1775" t="n">
        <v>32</v>
      </c>
      <c r="AU1775">
        <f>COUNTA($BA$1775:$EH$1775)</f>
        <v/>
      </c>
      <c r="AV1775">
        <f>COUNTIF($BA$1775:$EH$1775,"D")</f>
        <v/>
      </c>
      <c r="AW1775">
        <f>COUNTIF($BA$1775:$EH$1775,"R")</f>
        <v/>
      </c>
      <c r="AX1775">
        <f>IF(BN1775="D",1,0)+IF(BO1775="D",1,0)+IF(BT1775="D",1,0)+IF(BU1775="D",1,0)+IF(BW1775="D",1,0)+IF(CC1775="D",1,0)+IF(CD1775="D",1,0)+IF(CE1775="D",1,0)+IF(CF1775="D",1,0)+IF(CL1775="D",1,0)+IF(CM1775="D",1,0)+IF(CQ1775="D",1,0)+IF(CR1775="D",1,0)+IF(CS1775="D",1,0)+IF(CW1775="D",1,0)+IF(CX1775="D",1,0)+IF(DD1775="D",1,0)+IF(DE1775="D",1,0)+IF(DJ1775="D",1,0)+IF(DK1775="D",1,0)+IF(DO1775="D",1,0)+IF(DP1775="D",1,0)+IF(DQ1775="D",1,0)+IF(DW1775="D",1,0)+IF(DZ1775="D",1,0)+IF(EH1775="D",1,0)</f>
        <v/>
      </c>
      <c r="AY1775">
        <f>IF(DJ1775&lt;&gt;"",1,0)+IF(DK1775&lt;&gt;"",1,0)+IF(DM1775&lt;&gt;"",1,0)+IF(DO1775&lt;&gt;"",1,0)+IF(DP1775&lt;&gt;"",1,0)+IF(DQ1775&lt;&gt;"",1,0)+IF(DS1775&lt;&gt;"",1,0)+IF(DT1775&lt;&gt;"",1,0)+IF(DV1775&lt;&gt;"",1,0)+IF(DW1775&lt;&gt;"",1,0)+IF(DX1775&lt;&gt;"",1,0)+IF(DY1775&lt;&gt;"",1,0)+IF(DZ1775&lt;&gt;"",1,0)+IF(EB1775&lt;&gt;"",1,0)+IF(EC1775&lt;&gt;"",1,0)+IF(ED1775&lt;&gt;"",1,0)+IF(EG1775&lt;&gt;"",1,0)+IF(EH1775&lt;&gt;"",1,0)</f>
        <v/>
      </c>
      <c r="AZ1775">
        <f>IF(EH1775&lt;&gt;"",1,0)</f>
        <v/>
      </c>
      <c r="BB1775" t="inlineStr">
        <is>
          <t>WARREN-WARD 4</t>
        </is>
      </c>
      <c r="CG1775" t="inlineStr">
        <is>
          <t>X</t>
        </is>
      </c>
      <c r="CK1775" t="inlineStr">
        <is>
          <t>X</t>
        </is>
      </c>
      <c r="CN1775" t="inlineStr">
        <is>
          <t>X</t>
        </is>
      </c>
      <c r="CP1775" t="inlineStr">
        <is>
          <t>X</t>
        </is>
      </c>
      <c r="CY1775" t="inlineStr">
        <is>
          <t>X</t>
        </is>
      </c>
      <c r="CZ1775" t="inlineStr">
        <is>
          <t>D</t>
        </is>
      </c>
      <c r="DC1775" t="inlineStr">
        <is>
          <t>X</t>
        </is>
      </c>
      <c r="DU1775" t="inlineStr">
        <is>
          <t>X</t>
        </is>
      </c>
      <c r="DX1775" t="inlineStr">
        <is>
          <t>X</t>
        </is>
      </c>
      <c r="EA1775" t="inlineStr">
        <is>
          <t>X</t>
        </is>
      </c>
      <c r="EF1775" t="inlineStr">
        <is>
          <t>X</t>
        </is>
      </c>
    </row>
    <row r="1776">
      <c r="A1776" t="inlineStr">
        <is>
          <t>OH0015688778</t>
        </is>
      </c>
      <c r="B1776" t="n">
        <v>78</v>
      </c>
      <c r="C1776" t="n">
        <v>13063</v>
      </c>
      <c r="D1776" t="inlineStr">
        <is>
          <t>REIBOLD</t>
        </is>
      </c>
      <c r="E1776" t="inlineStr">
        <is>
          <t>HARRY</t>
        </is>
      </c>
      <c r="F1776">
        <f>CONCATENATE(D1776," ",LEFT(H1776,4),"T=",AU1776,"D=",AV1776,"R=",AW1776,"M=",AX1776,"L=",AY1776,"B=",AZ1776)</f>
        <v/>
      </c>
      <c r="G1776" t="inlineStr">
        <is>
          <t>B</t>
        </is>
      </c>
      <c r="I1776" t="inlineStr">
        <is>
          <t>1949-06-27</t>
        </is>
      </c>
      <c r="J1776" t="inlineStr">
        <is>
          <t>1972-10-10</t>
        </is>
      </c>
      <c r="K1776" t="inlineStr">
        <is>
          <t>ACTIVE</t>
        </is>
      </c>
      <c r="L1776" t="inlineStr">
        <is>
          <t>D</t>
        </is>
      </c>
      <c r="M1776" t="inlineStr">
        <is>
          <t>243 LAWRENCE AVE NE</t>
        </is>
      </c>
      <c r="N1776">
        <f>RIGHT(M1776,LEN(M1776)-FIND(" ",M1776))</f>
        <v/>
      </c>
      <c r="P1776" t="inlineStr">
        <is>
          <t>WARREN</t>
        </is>
      </c>
      <c r="Q1776" t="inlineStr">
        <is>
          <t>OH</t>
        </is>
      </c>
      <c r="R1776" t="n">
        <v>44483</v>
      </c>
      <c r="AD1776" t="inlineStr">
        <is>
          <t>TRUMBULL CAREER &amp; TECH CENTER</t>
        </is>
      </c>
      <c r="AE1776" t="inlineStr">
        <is>
          <t>WARREN CITY</t>
        </is>
      </c>
      <c r="AF1776" t="inlineStr">
        <is>
          <t>WARREN CITY SD</t>
        </is>
      </c>
      <c r="AH1776" t="n">
        <v>14</v>
      </c>
      <c r="AI1776" t="n">
        <v>11</v>
      </c>
      <c r="AN1776" t="inlineStr">
        <is>
          <t>WARREN</t>
        </is>
      </c>
      <c r="AO1776" t="inlineStr">
        <is>
          <t>WARREN CITY 4D</t>
        </is>
      </c>
      <c r="AP1776" t="inlineStr">
        <is>
          <t>78-P-ADL</t>
        </is>
      </c>
      <c r="AQ1776" t="n">
        <v>9</v>
      </c>
      <c r="AR1776" t="n">
        <v>64</v>
      </c>
      <c r="AS1776" t="n">
        <v>32</v>
      </c>
      <c r="AU1776">
        <f>COUNTA($BA$1776:$EH$1776)</f>
        <v/>
      </c>
      <c r="AV1776">
        <f>COUNTIF($BA$1776:$EH$1776,"D")</f>
        <v/>
      </c>
      <c r="AW1776">
        <f>COUNTIF($BA$1776:$EH$1776,"R")</f>
        <v/>
      </c>
      <c r="AX1776">
        <f>IF(BN1776="D",1,0)+IF(BO1776="D",1,0)+IF(BT1776="D",1,0)+IF(BU1776="D",1,0)+IF(BW1776="D",1,0)+IF(CC1776="D",1,0)+IF(CD1776="D",1,0)+IF(CE1776="D",1,0)+IF(CF1776="D",1,0)+IF(CL1776="D",1,0)+IF(CM1776="D",1,0)+IF(CQ1776="D",1,0)+IF(CR1776="D",1,0)+IF(CS1776="D",1,0)+IF(CW1776="D",1,0)+IF(CX1776="D",1,0)+IF(DD1776="D",1,0)+IF(DE1776="D",1,0)+IF(DJ1776="D",1,0)+IF(DK1776="D",1,0)+IF(DO1776="D",1,0)+IF(DP1776="D",1,0)+IF(DQ1776="D",1,0)+IF(DW1776="D",1,0)+IF(DZ1776="D",1,0)+IF(EH1776="D",1,0)</f>
        <v/>
      </c>
      <c r="AY1776">
        <f>IF(DJ1776&lt;&gt;"",1,0)+IF(DK1776&lt;&gt;"",1,0)+IF(DM1776&lt;&gt;"",1,0)+IF(DO1776&lt;&gt;"",1,0)+IF(DP1776&lt;&gt;"",1,0)+IF(DQ1776&lt;&gt;"",1,0)+IF(DS1776&lt;&gt;"",1,0)+IF(DT1776&lt;&gt;"",1,0)+IF(DV1776&lt;&gt;"",1,0)+IF(DW1776&lt;&gt;"",1,0)+IF(DX1776&lt;&gt;"",1,0)+IF(DY1776&lt;&gt;"",1,0)+IF(DZ1776&lt;&gt;"",1,0)+IF(EB1776&lt;&gt;"",1,0)+IF(EC1776&lt;&gt;"",1,0)+IF(ED1776&lt;&gt;"",1,0)+IF(EG1776&lt;&gt;"",1,0)+IF(EH1776&lt;&gt;"",1,0)</f>
        <v/>
      </c>
      <c r="AZ1776">
        <f>IF(EH1776&lt;&gt;"",1,0)</f>
        <v/>
      </c>
      <c r="BB1776" t="inlineStr">
        <is>
          <t>WARREN-WARD 4</t>
        </is>
      </c>
      <c r="BC1776" t="inlineStr">
        <is>
          <t>X</t>
        </is>
      </c>
      <c r="BD1776" t="inlineStr">
        <is>
          <t>X</t>
        </is>
      </c>
      <c r="BE1776" t="inlineStr">
        <is>
          <t>X</t>
        </is>
      </c>
      <c r="BF1776" t="inlineStr">
        <is>
          <t>X</t>
        </is>
      </c>
      <c r="BG1776" t="inlineStr">
        <is>
          <t>X</t>
        </is>
      </c>
      <c r="BH1776" t="inlineStr">
        <is>
          <t>X</t>
        </is>
      </c>
      <c r="BI1776" t="inlineStr">
        <is>
          <t>X</t>
        </is>
      </c>
      <c r="BJ1776" t="inlineStr">
        <is>
          <t>X</t>
        </is>
      </c>
      <c r="BL1776" t="inlineStr">
        <is>
          <t>X</t>
        </is>
      </c>
      <c r="BP1776" t="inlineStr">
        <is>
          <t>X</t>
        </is>
      </c>
      <c r="BR1776" t="inlineStr">
        <is>
          <t>X</t>
        </is>
      </c>
      <c r="BS1776" t="inlineStr">
        <is>
          <t>X</t>
        </is>
      </c>
      <c r="BT1776" t="inlineStr">
        <is>
          <t>X</t>
        </is>
      </c>
      <c r="BV1776" t="inlineStr">
        <is>
          <t>X</t>
        </is>
      </c>
      <c r="BY1776" t="inlineStr">
        <is>
          <t>D</t>
        </is>
      </c>
      <c r="CA1776" t="inlineStr">
        <is>
          <t>X</t>
        </is>
      </c>
      <c r="CC1776" t="inlineStr">
        <is>
          <t>D</t>
        </is>
      </c>
      <c r="CG1776" t="inlineStr">
        <is>
          <t>X</t>
        </is>
      </c>
      <c r="CH1776" t="inlineStr">
        <is>
          <t>D</t>
        </is>
      </c>
      <c r="CK1776" t="inlineStr">
        <is>
          <t>X</t>
        </is>
      </c>
      <c r="CL1776" t="inlineStr">
        <is>
          <t>D</t>
        </is>
      </c>
      <c r="CN1776" t="inlineStr">
        <is>
          <t>X</t>
        </is>
      </c>
      <c r="CO1776" t="inlineStr">
        <is>
          <t>D</t>
        </is>
      </c>
      <c r="CP1776" t="inlineStr">
        <is>
          <t>X</t>
        </is>
      </c>
      <c r="CQ1776" t="inlineStr">
        <is>
          <t>D</t>
        </is>
      </c>
      <c r="CT1776" t="inlineStr">
        <is>
          <t>X</t>
        </is>
      </c>
      <c r="CU1776" t="inlineStr">
        <is>
          <t>D</t>
        </is>
      </c>
      <c r="CV1776" t="inlineStr">
        <is>
          <t>X</t>
        </is>
      </c>
      <c r="CW1776" t="inlineStr">
        <is>
          <t>D</t>
        </is>
      </c>
      <c r="CY1776" t="inlineStr">
        <is>
          <t>X</t>
        </is>
      </c>
      <c r="CZ1776" t="inlineStr">
        <is>
          <t>R</t>
        </is>
      </c>
      <c r="DC1776" t="inlineStr">
        <is>
          <t>X</t>
        </is>
      </c>
      <c r="DF1776" t="inlineStr">
        <is>
          <t>X</t>
        </is>
      </c>
      <c r="DG1776" t="inlineStr">
        <is>
          <t>R</t>
        </is>
      </c>
      <c r="DI1776" t="inlineStr">
        <is>
          <t>X</t>
        </is>
      </c>
      <c r="DJ1776" t="inlineStr">
        <is>
          <t>D</t>
        </is>
      </c>
      <c r="DL1776" t="inlineStr">
        <is>
          <t>X</t>
        </is>
      </c>
      <c r="DM1776" t="inlineStr">
        <is>
          <t>D</t>
        </is>
      </c>
      <c r="DN1776" t="inlineStr">
        <is>
          <t>X</t>
        </is>
      </c>
      <c r="DS1776" t="inlineStr">
        <is>
          <t>D</t>
        </is>
      </c>
      <c r="DT1776" t="inlineStr">
        <is>
          <t>D</t>
        </is>
      </c>
      <c r="DU1776" t="inlineStr">
        <is>
          <t>X</t>
        </is>
      </c>
      <c r="DW1776" t="inlineStr">
        <is>
          <t>D</t>
        </is>
      </c>
      <c r="DX1776" t="inlineStr">
        <is>
          <t>X</t>
        </is>
      </c>
      <c r="EA1776" t="inlineStr">
        <is>
          <t>X</t>
        </is>
      </c>
      <c r="ED1776" t="inlineStr">
        <is>
          <t>D</t>
        </is>
      </c>
      <c r="EF1776" t="inlineStr">
        <is>
          <t>X</t>
        </is>
      </c>
    </row>
    <row r="1777">
      <c r="A1777" t="inlineStr">
        <is>
          <t>OH0025186111</t>
        </is>
      </c>
      <c r="B1777" t="n">
        <v>78</v>
      </c>
      <c r="C1777" t="n">
        <v>441048</v>
      </c>
      <c r="D1777" t="inlineStr">
        <is>
          <t>CREGIER</t>
        </is>
      </c>
      <c r="E1777" t="inlineStr">
        <is>
          <t>JOSEPH</t>
        </is>
      </c>
      <c r="F1777">
        <f>CONCATENATE(D1777," ",LEFT(H1777,4),"T=",AU1777,"D=",AV1777,"R=",AW1777,"M=",AX1777,"L=",AY1777,"B=",AZ1777)</f>
        <v/>
      </c>
      <c r="G1777" t="inlineStr">
        <is>
          <t>JOHN</t>
        </is>
      </c>
      <c r="I1777" t="inlineStr">
        <is>
          <t>1997-01-09</t>
        </is>
      </c>
      <c r="J1777" t="inlineStr">
        <is>
          <t>2019-08-22</t>
        </is>
      </c>
      <c r="K1777" t="inlineStr">
        <is>
          <t>CONFIRMATION</t>
        </is>
      </c>
      <c r="M1777" t="inlineStr">
        <is>
          <t>386 CHESTNUT AVE NE</t>
        </is>
      </c>
      <c r="N1777">
        <f>RIGHT(M1777,LEN(M1777)-FIND(" ",M1777))</f>
        <v/>
      </c>
      <c r="O1777" t="inlineStr">
        <is>
          <t>APT 2</t>
        </is>
      </c>
      <c r="P1777" t="inlineStr">
        <is>
          <t>WARREN</t>
        </is>
      </c>
      <c r="Q1777" t="inlineStr">
        <is>
          <t>OH</t>
        </is>
      </c>
      <c r="R1777" t="n">
        <v>44483</v>
      </c>
      <c r="AD1777" t="inlineStr">
        <is>
          <t>TRUMBULL CAREER &amp; TECH CENTER</t>
        </is>
      </c>
      <c r="AE1777" t="inlineStr">
        <is>
          <t>WARREN CITY</t>
        </is>
      </c>
      <c r="AF1777" t="inlineStr">
        <is>
          <t>WARREN CITY SD</t>
        </is>
      </c>
      <c r="AH1777" t="n">
        <v>14</v>
      </c>
      <c r="AI1777" t="n">
        <v>11</v>
      </c>
      <c r="AN1777" t="inlineStr">
        <is>
          <t>WARREN</t>
        </is>
      </c>
      <c r="AO1777" t="inlineStr">
        <is>
          <t>WARREN CITY 4D</t>
        </is>
      </c>
      <c r="AP1777" t="inlineStr">
        <is>
          <t>78-P-ADL</t>
        </is>
      </c>
      <c r="AQ1777" t="n">
        <v>9</v>
      </c>
      <c r="AR1777" t="n">
        <v>64</v>
      </c>
      <c r="AS1777" t="n">
        <v>32</v>
      </c>
      <c r="AU1777">
        <f>COUNTA($BA$1777:$EH$1777)</f>
        <v/>
      </c>
      <c r="AV1777">
        <f>COUNTIF($BA$1777:$EH$1777,"D")</f>
        <v/>
      </c>
      <c r="AW1777">
        <f>COUNTIF($BA$1777:$EH$1777,"R")</f>
        <v/>
      </c>
      <c r="AX1777">
        <f>IF(BN1777="D",1,0)+IF(BO1777="D",1,0)+IF(BT1777="D",1,0)+IF(BU1777="D",1,0)+IF(BW1777="D",1,0)+IF(CC1777="D",1,0)+IF(CD1777="D",1,0)+IF(CE1777="D",1,0)+IF(CF1777="D",1,0)+IF(CL1777="D",1,0)+IF(CM1777="D",1,0)+IF(CQ1777="D",1,0)+IF(CR1777="D",1,0)+IF(CS1777="D",1,0)+IF(CW1777="D",1,0)+IF(CX1777="D",1,0)+IF(DD1777="D",1,0)+IF(DE1777="D",1,0)+IF(DJ1777="D",1,0)+IF(DK1777="D",1,0)+IF(DO1777="D",1,0)+IF(DP1777="D",1,0)+IF(DQ1777="D",1,0)+IF(DW1777="D",1,0)+IF(DZ1777="D",1,0)+IF(EH1777="D",1,0)</f>
        <v/>
      </c>
      <c r="AY1777">
        <f>IF(DJ1777&lt;&gt;"",1,0)+IF(DK1777&lt;&gt;"",1,0)+IF(DM1777&lt;&gt;"",1,0)+IF(DO1777&lt;&gt;"",1,0)+IF(DP1777&lt;&gt;"",1,0)+IF(DQ1777&lt;&gt;"",1,0)+IF(DS1777&lt;&gt;"",1,0)+IF(DT1777&lt;&gt;"",1,0)+IF(DV1777&lt;&gt;"",1,0)+IF(DW1777&lt;&gt;"",1,0)+IF(DX1777&lt;&gt;"",1,0)+IF(DY1777&lt;&gt;"",1,0)+IF(DZ1777&lt;&gt;"",1,0)+IF(EB1777&lt;&gt;"",1,0)+IF(EC1777&lt;&gt;"",1,0)+IF(ED1777&lt;&gt;"",1,0)+IF(EG1777&lt;&gt;"",1,0)+IF(EH1777&lt;&gt;"",1,0)</f>
        <v/>
      </c>
      <c r="AZ1777">
        <f>IF(EH1777&lt;&gt;"",1,0)</f>
        <v/>
      </c>
      <c r="BB1777" t="inlineStr">
        <is>
          <t>WARREN-WARD 4</t>
        </is>
      </c>
    </row>
    <row r="1778">
      <c r="A1778" t="inlineStr">
        <is>
          <t>OH0025781618</t>
        </is>
      </c>
      <c r="B1778" t="n">
        <v>78</v>
      </c>
      <c r="C1778" t="n">
        <v>450320</v>
      </c>
      <c r="D1778" t="inlineStr">
        <is>
          <t>BOOTH</t>
        </is>
      </c>
      <c r="E1778" t="inlineStr">
        <is>
          <t>ILONA</t>
        </is>
      </c>
      <c r="F1778">
        <f>CONCATENATE(D1778," ",LEFT(H1778,4),"T=",AU1778,"D=",AV1778,"R=",AW1778,"M=",AX1778,"L=",AY1778,"B=",AZ1778)</f>
        <v/>
      </c>
      <c r="G1778" t="inlineStr">
        <is>
          <t>C</t>
        </is>
      </c>
      <c r="I1778" t="inlineStr">
        <is>
          <t>1951-01-04</t>
        </is>
      </c>
      <c r="J1778" t="inlineStr">
        <is>
          <t>2020-08-27</t>
        </is>
      </c>
      <c r="K1778" t="inlineStr">
        <is>
          <t>ACTIVE</t>
        </is>
      </c>
      <c r="M1778" t="inlineStr">
        <is>
          <t>160 E MARKET ST</t>
        </is>
      </c>
      <c r="N1778">
        <f>RIGHT(M1778,LEN(M1778)-FIND(" ",M1778))</f>
        <v/>
      </c>
      <c r="O1778" t="inlineStr">
        <is>
          <t>STE 250</t>
        </is>
      </c>
      <c r="P1778" t="inlineStr">
        <is>
          <t>WARREN</t>
        </is>
      </c>
      <c r="Q1778" t="inlineStr">
        <is>
          <t>OH</t>
        </is>
      </c>
      <c r="R1778" t="n">
        <v>44481</v>
      </c>
      <c r="AD1778" t="inlineStr">
        <is>
          <t>TRUMBULL CAREER &amp; TECH CENTER</t>
        </is>
      </c>
      <c r="AE1778" t="inlineStr">
        <is>
          <t>WARREN CITY</t>
        </is>
      </c>
      <c r="AF1778" t="inlineStr">
        <is>
          <t>WARREN CITY SD</t>
        </is>
      </c>
      <c r="AH1778" t="n">
        <v>14</v>
      </c>
      <c r="AI1778" t="n">
        <v>11</v>
      </c>
      <c r="AN1778" t="inlineStr">
        <is>
          <t>WARREN</t>
        </is>
      </c>
      <c r="AO1778" t="inlineStr">
        <is>
          <t>WARREN CITY 4D</t>
        </is>
      </c>
      <c r="AP1778" t="inlineStr">
        <is>
          <t>78-P-ADL</t>
        </is>
      </c>
      <c r="AQ1778" t="n">
        <v>9</v>
      </c>
      <c r="AR1778" t="n">
        <v>64</v>
      </c>
      <c r="AS1778" t="n">
        <v>32</v>
      </c>
      <c r="AU1778">
        <f>COUNTA($BA$1778:$EH$1778)</f>
        <v/>
      </c>
      <c r="AV1778">
        <f>COUNTIF($BA$1778:$EH$1778,"D")</f>
        <v/>
      </c>
      <c r="AW1778">
        <f>COUNTIF($BA$1778:$EH$1778,"R")</f>
        <v/>
      </c>
      <c r="AX1778">
        <f>IF(BN1778="D",1,0)+IF(BO1778="D",1,0)+IF(BT1778="D",1,0)+IF(BU1778="D",1,0)+IF(BW1778="D",1,0)+IF(CC1778="D",1,0)+IF(CD1778="D",1,0)+IF(CE1778="D",1,0)+IF(CF1778="D",1,0)+IF(CL1778="D",1,0)+IF(CM1778="D",1,0)+IF(CQ1778="D",1,0)+IF(CR1778="D",1,0)+IF(CS1778="D",1,0)+IF(CW1778="D",1,0)+IF(CX1778="D",1,0)+IF(DD1778="D",1,0)+IF(DE1778="D",1,0)+IF(DJ1778="D",1,0)+IF(DK1778="D",1,0)+IF(DO1778="D",1,0)+IF(DP1778="D",1,0)+IF(DQ1778="D",1,0)+IF(DW1778="D",1,0)+IF(DZ1778="D",1,0)+IF(EH1778="D",1,0)</f>
        <v/>
      </c>
      <c r="AY1778">
        <f>IF(DJ1778&lt;&gt;"",1,0)+IF(DK1778&lt;&gt;"",1,0)+IF(DM1778&lt;&gt;"",1,0)+IF(DO1778&lt;&gt;"",1,0)+IF(DP1778&lt;&gt;"",1,0)+IF(DQ1778&lt;&gt;"",1,0)+IF(DS1778&lt;&gt;"",1,0)+IF(DT1778&lt;&gt;"",1,0)+IF(DV1778&lt;&gt;"",1,0)+IF(DW1778&lt;&gt;"",1,0)+IF(DX1778&lt;&gt;"",1,0)+IF(DY1778&lt;&gt;"",1,0)+IF(DZ1778&lt;&gt;"",1,0)+IF(EB1778&lt;&gt;"",1,0)+IF(EC1778&lt;&gt;"",1,0)+IF(ED1778&lt;&gt;"",1,0)+IF(EG1778&lt;&gt;"",1,0)+IF(EH1778&lt;&gt;"",1,0)</f>
        <v/>
      </c>
      <c r="AZ1778">
        <f>IF(EH1778&lt;&gt;"",1,0)</f>
        <v/>
      </c>
      <c r="BB1778" t="inlineStr">
        <is>
          <t>WARREN-WARD 4</t>
        </is>
      </c>
      <c r="DN1778" t="inlineStr">
        <is>
          <t>X</t>
        </is>
      </c>
    </row>
    <row r="1779">
      <c r="A1779" t="inlineStr">
        <is>
          <t>OH0024210605</t>
        </is>
      </c>
      <c r="B1779" t="n">
        <v>78</v>
      </c>
      <c r="C1779" t="n">
        <v>423979</v>
      </c>
      <c r="D1779" t="inlineStr">
        <is>
          <t>MITTELSTADT</t>
        </is>
      </c>
      <c r="E1779" t="inlineStr">
        <is>
          <t>CHRISTIAN</t>
        </is>
      </c>
      <c r="F1779">
        <f>CONCATENATE(D1779," ",LEFT(H1779,4),"T=",AU1779,"D=",AV1779,"R=",AW1779,"M=",AX1779,"L=",AY1779,"B=",AZ1779)</f>
        <v/>
      </c>
      <c r="G1779" t="inlineStr">
        <is>
          <t>GREGORY</t>
        </is>
      </c>
      <c r="I1779" t="inlineStr">
        <is>
          <t>1997-11-03</t>
        </is>
      </c>
      <c r="J1779" t="inlineStr">
        <is>
          <t>2017-01-19</t>
        </is>
      </c>
      <c r="K1779" t="inlineStr">
        <is>
          <t>CONFIRMATION</t>
        </is>
      </c>
      <c r="M1779" t="inlineStr">
        <is>
          <t>234 LOGAN AVE SE</t>
        </is>
      </c>
      <c r="N1779">
        <f>RIGHT(M1779,LEN(M1779)-FIND(" ",M1779))</f>
        <v/>
      </c>
      <c r="P1779" t="inlineStr">
        <is>
          <t>WARREN</t>
        </is>
      </c>
      <c r="Q1779" t="inlineStr">
        <is>
          <t>OH</t>
        </is>
      </c>
      <c r="R1779" t="n">
        <v>44483</v>
      </c>
      <c r="AD1779" t="inlineStr">
        <is>
          <t>TRUMBULL CAREER &amp; TECH CENTER</t>
        </is>
      </c>
      <c r="AE1779" t="inlineStr">
        <is>
          <t>WARREN CITY</t>
        </is>
      </c>
      <c r="AF1779" t="inlineStr">
        <is>
          <t>WARREN CITY SD</t>
        </is>
      </c>
      <c r="AH1779" t="n">
        <v>14</v>
      </c>
      <c r="AI1779" t="n">
        <v>11</v>
      </c>
      <c r="AN1779" t="inlineStr">
        <is>
          <t>WARREN</t>
        </is>
      </c>
      <c r="AO1779" t="inlineStr">
        <is>
          <t>WARREN CITY 4D</t>
        </is>
      </c>
      <c r="AP1779" t="inlineStr">
        <is>
          <t>78-P-ADL</t>
        </is>
      </c>
      <c r="AQ1779" t="n">
        <v>9</v>
      </c>
      <c r="AR1779" t="n">
        <v>64</v>
      </c>
      <c r="AS1779" t="n">
        <v>32</v>
      </c>
      <c r="AU1779">
        <f>COUNTA($BA$1779:$EH$1779)</f>
        <v/>
      </c>
      <c r="AV1779">
        <f>COUNTIF($BA$1779:$EH$1779,"D")</f>
        <v/>
      </c>
      <c r="AW1779">
        <f>COUNTIF($BA$1779:$EH$1779,"R")</f>
        <v/>
      </c>
      <c r="AX1779">
        <f>IF(BN1779="D",1,0)+IF(BO1779="D",1,0)+IF(BT1779="D",1,0)+IF(BU1779="D",1,0)+IF(BW1779="D",1,0)+IF(CC1779="D",1,0)+IF(CD1779="D",1,0)+IF(CE1779="D",1,0)+IF(CF1779="D",1,0)+IF(CL1779="D",1,0)+IF(CM1779="D",1,0)+IF(CQ1779="D",1,0)+IF(CR1779="D",1,0)+IF(CS1779="D",1,0)+IF(CW1779="D",1,0)+IF(CX1779="D",1,0)+IF(DD1779="D",1,0)+IF(DE1779="D",1,0)+IF(DJ1779="D",1,0)+IF(DK1779="D",1,0)+IF(DO1779="D",1,0)+IF(DP1779="D",1,0)+IF(DQ1779="D",1,0)+IF(DW1779="D",1,0)+IF(DZ1779="D",1,0)+IF(EH1779="D",1,0)</f>
        <v/>
      </c>
      <c r="AY1779">
        <f>IF(DJ1779&lt;&gt;"",1,0)+IF(DK1779&lt;&gt;"",1,0)+IF(DM1779&lt;&gt;"",1,0)+IF(DO1779&lt;&gt;"",1,0)+IF(DP1779&lt;&gt;"",1,0)+IF(DQ1779&lt;&gt;"",1,0)+IF(DS1779&lt;&gt;"",1,0)+IF(DT1779&lt;&gt;"",1,0)+IF(DV1779&lt;&gt;"",1,0)+IF(DW1779&lt;&gt;"",1,0)+IF(DX1779&lt;&gt;"",1,0)+IF(DY1779&lt;&gt;"",1,0)+IF(DZ1779&lt;&gt;"",1,0)+IF(EB1779&lt;&gt;"",1,0)+IF(EC1779&lt;&gt;"",1,0)+IF(ED1779&lt;&gt;"",1,0)+IF(EG1779&lt;&gt;"",1,0)+IF(EH1779&lt;&gt;"",1,0)</f>
        <v/>
      </c>
      <c r="AZ1779">
        <f>IF(EH1779&lt;&gt;"",1,0)</f>
        <v/>
      </c>
      <c r="BB1779" t="inlineStr">
        <is>
          <t>WARREN-WARD 4</t>
        </is>
      </c>
    </row>
    <row r="1780">
      <c r="A1780" t="inlineStr">
        <is>
          <t>OH0015716386</t>
        </is>
      </c>
      <c r="B1780" t="n">
        <v>78</v>
      </c>
      <c r="C1780" t="n">
        <v>192173</v>
      </c>
      <c r="D1780" t="inlineStr">
        <is>
          <t>NELL</t>
        </is>
      </c>
      <c r="E1780" t="inlineStr">
        <is>
          <t>LAWRENCE</t>
        </is>
      </c>
      <c r="F1780">
        <f>CONCATENATE(D1780," ",LEFT(H1780,4),"T=",AU1780,"D=",AV1780,"R=",AW1780,"M=",AX1780,"L=",AY1780,"B=",AZ1780)</f>
        <v/>
      </c>
      <c r="G1780" t="inlineStr">
        <is>
          <t>K</t>
        </is>
      </c>
      <c r="I1780" t="inlineStr">
        <is>
          <t>1954-11-23</t>
        </is>
      </c>
      <c r="J1780" t="inlineStr">
        <is>
          <t>1986-10-06</t>
        </is>
      </c>
      <c r="K1780" t="inlineStr">
        <is>
          <t>ACTIVE</t>
        </is>
      </c>
      <c r="L1780" t="inlineStr">
        <is>
          <t>D</t>
        </is>
      </c>
      <c r="M1780" t="inlineStr">
        <is>
          <t>307 LAIRD AVE NE</t>
        </is>
      </c>
      <c r="N1780">
        <f>RIGHT(M1780,LEN(M1780)-FIND(" ",M1780))</f>
        <v/>
      </c>
      <c r="P1780" t="inlineStr">
        <is>
          <t>WARREN</t>
        </is>
      </c>
      <c r="Q1780" t="inlineStr">
        <is>
          <t>OH</t>
        </is>
      </c>
      <c r="R1780" t="n">
        <v>44483</v>
      </c>
      <c r="AD1780" t="inlineStr">
        <is>
          <t>TRUMBULL CAREER &amp; TECH CENTER</t>
        </is>
      </c>
      <c r="AE1780" t="inlineStr">
        <is>
          <t>WARREN CITY</t>
        </is>
      </c>
      <c r="AF1780" t="inlineStr">
        <is>
          <t>WARREN CITY SD</t>
        </is>
      </c>
      <c r="AH1780" t="n">
        <v>14</v>
      </c>
      <c r="AI1780" t="n">
        <v>11</v>
      </c>
      <c r="AN1780" t="inlineStr">
        <is>
          <t>WARREN</t>
        </is>
      </c>
      <c r="AO1780" t="inlineStr">
        <is>
          <t>WARREN CITY 4D</t>
        </is>
      </c>
      <c r="AP1780" t="inlineStr">
        <is>
          <t>78-P-ADL</t>
        </is>
      </c>
      <c r="AQ1780" t="n">
        <v>9</v>
      </c>
      <c r="AR1780" t="n">
        <v>64</v>
      </c>
      <c r="AS1780" t="n">
        <v>32</v>
      </c>
      <c r="AU1780">
        <f>COUNTA($BA$1780:$EH$1780)</f>
        <v/>
      </c>
      <c r="AV1780">
        <f>COUNTIF($BA$1780:$EH$1780,"D")</f>
        <v/>
      </c>
      <c r="AW1780">
        <f>COUNTIF($BA$1780:$EH$1780,"R")</f>
        <v/>
      </c>
      <c r="AX1780">
        <f>IF(BN1780="D",1,0)+IF(BO1780="D",1,0)+IF(BT1780="D",1,0)+IF(BU1780="D",1,0)+IF(BW1780="D",1,0)+IF(CC1780="D",1,0)+IF(CD1780="D",1,0)+IF(CE1780="D",1,0)+IF(CF1780="D",1,0)+IF(CL1780="D",1,0)+IF(CM1780="D",1,0)+IF(CQ1780="D",1,0)+IF(CR1780="D",1,0)+IF(CS1780="D",1,0)+IF(CW1780="D",1,0)+IF(CX1780="D",1,0)+IF(DD1780="D",1,0)+IF(DE1780="D",1,0)+IF(DJ1780="D",1,0)+IF(DK1780="D",1,0)+IF(DO1780="D",1,0)+IF(DP1780="D",1,0)+IF(DQ1780="D",1,0)+IF(DW1780="D",1,0)+IF(DZ1780="D",1,0)+IF(EH1780="D",1,0)</f>
        <v/>
      </c>
      <c r="AY1780">
        <f>IF(DJ1780&lt;&gt;"",1,0)+IF(DK1780&lt;&gt;"",1,0)+IF(DM1780&lt;&gt;"",1,0)+IF(DO1780&lt;&gt;"",1,0)+IF(DP1780&lt;&gt;"",1,0)+IF(DQ1780&lt;&gt;"",1,0)+IF(DS1780&lt;&gt;"",1,0)+IF(DT1780&lt;&gt;"",1,0)+IF(DV1780&lt;&gt;"",1,0)+IF(DW1780&lt;&gt;"",1,0)+IF(DX1780&lt;&gt;"",1,0)+IF(DY1780&lt;&gt;"",1,0)+IF(DZ1780&lt;&gt;"",1,0)+IF(EB1780&lt;&gt;"",1,0)+IF(EC1780&lt;&gt;"",1,0)+IF(ED1780&lt;&gt;"",1,0)+IF(EG1780&lt;&gt;"",1,0)+IF(EH1780&lt;&gt;"",1,0)</f>
        <v/>
      </c>
      <c r="AZ1780">
        <f>IF(EH1780&lt;&gt;"",1,0)</f>
        <v/>
      </c>
      <c r="BB1780" t="inlineStr">
        <is>
          <t>WARREN-WARD 4</t>
        </is>
      </c>
      <c r="BC1780" t="inlineStr">
        <is>
          <t>X</t>
        </is>
      </c>
      <c r="BD1780" t="inlineStr">
        <is>
          <t>X</t>
        </is>
      </c>
      <c r="BE1780" t="inlineStr">
        <is>
          <t>X</t>
        </is>
      </c>
      <c r="BF1780" t="inlineStr">
        <is>
          <t>X</t>
        </is>
      </c>
      <c r="BG1780" t="inlineStr">
        <is>
          <t>X</t>
        </is>
      </c>
      <c r="BH1780" t="inlineStr">
        <is>
          <t>X</t>
        </is>
      </c>
      <c r="BI1780" t="inlineStr">
        <is>
          <t>X</t>
        </is>
      </c>
      <c r="BJ1780" t="inlineStr">
        <is>
          <t>X</t>
        </is>
      </c>
      <c r="BK1780" t="inlineStr">
        <is>
          <t>X</t>
        </is>
      </c>
      <c r="BL1780" t="inlineStr">
        <is>
          <t>X</t>
        </is>
      </c>
      <c r="BP1780" t="inlineStr">
        <is>
          <t>X</t>
        </is>
      </c>
      <c r="BR1780" t="inlineStr">
        <is>
          <t>X</t>
        </is>
      </c>
      <c r="BS1780" t="inlineStr">
        <is>
          <t>X</t>
        </is>
      </c>
      <c r="BT1780" t="inlineStr">
        <is>
          <t>X</t>
        </is>
      </c>
      <c r="BV1780" t="inlineStr">
        <is>
          <t>X</t>
        </is>
      </c>
      <c r="BY1780" t="inlineStr">
        <is>
          <t>D</t>
        </is>
      </c>
      <c r="CA1780" t="inlineStr">
        <is>
          <t>X</t>
        </is>
      </c>
      <c r="CG1780" t="inlineStr">
        <is>
          <t>X</t>
        </is>
      </c>
      <c r="CH1780" t="inlineStr">
        <is>
          <t>D</t>
        </is>
      </c>
      <c r="CK1780" t="inlineStr">
        <is>
          <t>X</t>
        </is>
      </c>
      <c r="CL1780" t="inlineStr">
        <is>
          <t>D</t>
        </is>
      </c>
      <c r="CN1780" t="inlineStr">
        <is>
          <t>X</t>
        </is>
      </c>
      <c r="CO1780" t="inlineStr">
        <is>
          <t>D</t>
        </is>
      </c>
      <c r="CP1780" t="inlineStr">
        <is>
          <t>X</t>
        </is>
      </c>
      <c r="CU1780" t="inlineStr">
        <is>
          <t>D</t>
        </is>
      </c>
      <c r="CV1780" t="inlineStr">
        <is>
          <t>X</t>
        </is>
      </c>
      <c r="CY1780" t="inlineStr">
        <is>
          <t>X</t>
        </is>
      </c>
      <c r="CZ1780" t="inlineStr">
        <is>
          <t>D</t>
        </is>
      </c>
      <c r="DC1780" t="inlineStr">
        <is>
          <t>X</t>
        </is>
      </c>
      <c r="DF1780" t="inlineStr">
        <is>
          <t>X</t>
        </is>
      </c>
      <c r="DG1780" t="inlineStr">
        <is>
          <t>D</t>
        </is>
      </c>
      <c r="DI1780" t="inlineStr">
        <is>
          <t>X</t>
        </is>
      </c>
      <c r="DJ1780" t="inlineStr">
        <is>
          <t>D</t>
        </is>
      </c>
      <c r="DL1780" t="inlineStr">
        <is>
          <t>X</t>
        </is>
      </c>
      <c r="DN1780" t="inlineStr">
        <is>
          <t>X</t>
        </is>
      </c>
      <c r="DU1780" t="inlineStr">
        <is>
          <t>X</t>
        </is>
      </c>
      <c r="DW1780" t="inlineStr">
        <is>
          <t>D</t>
        </is>
      </c>
      <c r="DX1780" t="inlineStr">
        <is>
          <t>X</t>
        </is>
      </c>
      <c r="EA1780" t="inlineStr">
        <is>
          <t>X</t>
        </is>
      </c>
      <c r="ED1780" t="inlineStr">
        <is>
          <t>D</t>
        </is>
      </c>
      <c r="EF1780" t="inlineStr">
        <is>
          <t>X</t>
        </is>
      </c>
      <c r="EH1780" t="inlineStr">
        <is>
          <t>D</t>
        </is>
      </c>
    </row>
    <row r="1781">
      <c r="A1781" t="inlineStr">
        <is>
          <t>OH0023149319</t>
        </is>
      </c>
      <c r="B1781" t="n">
        <v>78</v>
      </c>
      <c r="C1781" t="n">
        <v>407478</v>
      </c>
      <c r="D1781" t="inlineStr">
        <is>
          <t>SIMS</t>
        </is>
      </c>
      <c r="E1781" t="inlineStr">
        <is>
          <t>SHAANIQA</t>
        </is>
      </c>
      <c r="F1781">
        <f>CONCATENATE(D1781," ",LEFT(H1781,4),"T=",AU1781,"D=",AV1781,"R=",AW1781,"M=",AX1781,"L=",AY1781,"B=",AZ1781)</f>
        <v/>
      </c>
      <c r="G1781" t="inlineStr">
        <is>
          <t>P</t>
        </is>
      </c>
      <c r="I1781" t="inlineStr">
        <is>
          <t>1996-11-09</t>
        </is>
      </c>
      <c r="J1781" t="inlineStr">
        <is>
          <t>2015-06-15</t>
        </is>
      </c>
      <c r="K1781" t="inlineStr">
        <is>
          <t>CONFIRMATION</t>
        </is>
      </c>
      <c r="M1781" t="inlineStr">
        <is>
          <t>243 LOWELL AVE NE</t>
        </is>
      </c>
      <c r="N1781">
        <f>RIGHT(M1781,LEN(M1781)-FIND(" ",M1781))</f>
        <v/>
      </c>
      <c r="P1781" t="inlineStr">
        <is>
          <t>WARREN</t>
        </is>
      </c>
      <c r="Q1781" t="inlineStr">
        <is>
          <t>OH</t>
        </is>
      </c>
      <c r="R1781" t="n">
        <v>44483</v>
      </c>
      <c r="AD1781" t="inlineStr">
        <is>
          <t>TRUMBULL CAREER &amp; TECH CENTER</t>
        </is>
      </c>
      <c r="AE1781" t="inlineStr">
        <is>
          <t>WARREN CITY</t>
        </is>
      </c>
      <c r="AF1781" t="inlineStr">
        <is>
          <t>WARREN CITY SD</t>
        </is>
      </c>
      <c r="AH1781" t="n">
        <v>14</v>
      </c>
      <c r="AI1781" t="n">
        <v>11</v>
      </c>
      <c r="AN1781" t="inlineStr">
        <is>
          <t>WARREN</t>
        </is>
      </c>
      <c r="AO1781" t="inlineStr">
        <is>
          <t>WARREN CITY 4D</t>
        </is>
      </c>
      <c r="AP1781" t="inlineStr">
        <is>
          <t>78-P-ADL</t>
        </is>
      </c>
      <c r="AQ1781" t="n">
        <v>9</v>
      </c>
      <c r="AR1781" t="n">
        <v>64</v>
      </c>
      <c r="AS1781" t="n">
        <v>32</v>
      </c>
      <c r="AU1781">
        <f>COUNTA($BA$1781:$EH$1781)</f>
        <v/>
      </c>
      <c r="AV1781">
        <f>COUNTIF($BA$1781:$EH$1781,"D")</f>
        <v/>
      </c>
      <c r="AW1781">
        <f>COUNTIF($BA$1781:$EH$1781,"R")</f>
        <v/>
      </c>
      <c r="AX1781">
        <f>IF(BN1781="D",1,0)+IF(BO1781="D",1,0)+IF(BT1781="D",1,0)+IF(BU1781="D",1,0)+IF(BW1781="D",1,0)+IF(CC1781="D",1,0)+IF(CD1781="D",1,0)+IF(CE1781="D",1,0)+IF(CF1781="D",1,0)+IF(CL1781="D",1,0)+IF(CM1781="D",1,0)+IF(CQ1781="D",1,0)+IF(CR1781="D",1,0)+IF(CS1781="D",1,0)+IF(CW1781="D",1,0)+IF(CX1781="D",1,0)+IF(DD1781="D",1,0)+IF(DE1781="D",1,0)+IF(DJ1781="D",1,0)+IF(DK1781="D",1,0)+IF(DO1781="D",1,0)+IF(DP1781="D",1,0)+IF(DQ1781="D",1,0)+IF(DW1781="D",1,0)+IF(DZ1781="D",1,0)+IF(EH1781="D",1,0)</f>
        <v/>
      </c>
      <c r="AY1781">
        <f>IF(DJ1781&lt;&gt;"",1,0)+IF(DK1781&lt;&gt;"",1,0)+IF(DM1781&lt;&gt;"",1,0)+IF(DO1781&lt;&gt;"",1,0)+IF(DP1781&lt;&gt;"",1,0)+IF(DQ1781&lt;&gt;"",1,0)+IF(DS1781&lt;&gt;"",1,0)+IF(DT1781&lt;&gt;"",1,0)+IF(DV1781&lt;&gt;"",1,0)+IF(DW1781&lt;&gt;"",1,0)+IF(DX1781&lt;&gt;"",1,0)+IF(DY1781&lt;&gt;"",1,0)+IF(DZ1781&lt;&gt;"",1,0)+IF(EB1781&lt;&gt;"",1,0)+IF(EC1781&lt;&gt;"",1,0)+IF(ED1781&lt;&gt;"",1,0)+IF(EG1781&lt;&gt;"",1,0)+IF(EH1781&lt;&gt;"",1,0)</f>
        <v/>
      </c>
      <c r="AZ1781">
        <f>IF(EH1781&lt;&gt;"",1,0)</f>
        <v/>
      </c>
      <c r="BB1781" t="inlineStr">
        <is>
          <t>WARREN-WARD 4</t>
        </is>
      </c>
      <c r="DC1781" t="inlineStr">
        <is>
          <t>X</t>
        </is>
      </c>
    </row>
    <row r="1782">
      <c r="A1782" t="inlineStr">
        <is>
          <t>OH0023642829</t>
        </is>
      </c>
      <c r="B1782" t="n">
        <v>78</v>
      </c>
      <c r="C1782" t="n">
        <v>415758</v>
      </c>
      <c r="D1782" t="inlineStr">
        <is>
          <t>COLAPIETRO</t>
        </is>
      </c>
      <c r="E1782" t="inlineStr">
        <is>
          <t>BRITTANY</t>
        </is>
      </c>
      <c r="F1782">
        <f>CONCATENATE(D1782," ",LEFT(H1782,4),"T=",AU1782,"D=",AV1782,"R=",AW1782,"M=",AX1782,"L=",AY1782,"B=",AZ1782)</f>
        <v/>
      </c>
      <c r="G1782" t="inlineStr">
        <is>
          <t>NOEL</t>
        </is>
      </c>
      <c r="I1782" t="inlineStr">
        <is>
          <t>1998-04-29</t>
        </is>
      </c>
      <c r="J1782" t="inlineStr">
        <is>
          <t>2016-07-29</t>
        </is>
      </c>
      <c r="K1782" t="inlineStr">
        <is>
          <t>ACTIVE</t>
        </is>
      </c>
      <c r="M1782" t="inlineStr">
        <is>
          <t>591 HIGH ST NE</t>
        </is>
      </c>
      <c r="N1782">
        <f>RIGHT(M1782,LEN(M1782)-FIND(" ",M1782))</f>
        <v/>
      </c>
      <c r="P1782" t="inlineStr">
        <is>
          <t>WARREN</t>
        </is>
      </c>
      <c r="Q1782" t="inlineStr">
        <is>
          <t>OH</t>
        </is>
      </c>
      <c r="R1782" t="n">
        <v>44483</v>
      </c>
      <c r="AD1782" t="inlineStr">
        <is>
          <t>TRUMBULL CAREER &amp; TECH CENTER</t>
        </is>
      </c>
      <c r="AE1782" t="inlineStr">
        <is>
          <t>WARREN CITY</t>
        </is>
      </c>
      <c r="AF1782" t="inlineStr">
        <is>
          <t>WARREN CITY SD</t>
        </is>
      </c>
      <c r="AH1782" t="n">
        <v>14</v>
      </c>
      <c r="AI1782" t="n">
        <v>11</v>
      </c>
      <c r="AN1782" t="inlineStr">
        <is>
          <t>WARREN</t>
        </is>
      </c>
      <c r="AO1782" t="inlineStr">
        <is>
          <t>WARREN CITY 4D</t>
        </is>
      </c>
      <c r="AP1782" t="inlineStr">
        <is>
          <t>78-P-ADL</t>
        </is>
      </c>
      <c r="AQ1782" t="n">
        <v>9</v>
      </c>
      <c r="AR1782" t="n">
        <v>64</v>
      </c>
      <c r="AS1782" t="n">
        <v>32</v>
      </c>
      <c r="AU1782">
        <f>COUNTA($BA$1782:$EH$1782)</f>
        <v/>
      </c>
      <c r="AV1782">
        <f>COUNTIF($BA$1782:$EH$1782,"D")</f>
        <v/>
      </c>
      <c r="AW1782">
        <f>COUNTIF($BA$1782:$EH$1782,"R")</f>
        <v/>
      </c>
      <c r="AX1782">
        <f>IF(BN1782="D",1,0)+IF(BO1782="D",1,0)+IF(BT1782="D",1,0)+IF(BU1782="D",1,0)+IF(BW1782="D",1,0)+IF(CC1782="D",1,0)+IF(CD1782="D",1,0)+IF(CE1782="D",1,0)+IF(CF1782="D",1,0)+IF(CL1782="D",1,0)+IF(CM1782="D",1,0)+IF(CQ1782="D",1,0)+IF(CR1782="D",1,0)+IF(CS1782="D",1,0)+IF(CW1782="D",1,0)+IF(CX1782="D",1,0)+IF(DD1782="D",1,0)+IF(DE1782="D",1,0)+IF(DJ1782="D",1,0)+IF(DK1782="D",1,0)+IF(DO1782="D",1,0)+IF(DP1782="D",1,0)+IF(DQ1782="D",1,0)+IF(DW1782="D",1,0)+IF(DZ1782="D",1,0)+IF(EH1782="D",1,0)</f>
        <v/>
      </c>
      <c r="AY1782">
        <f>IF(DJ1782&lt;&gt;"",1,0)+IF(DK1782&lt;&gt;"",1,0)+IF(DM1782&lt;&gt;"",1,0)+IF(DO1782&lt;&gt;"",1,0)+IF(DP1782&lt;&gt;"",1,0)+IF(DQ1782&lt;&gt;"",1,0)+IF(DS1782&lt;&gt;"",1,0)+IF(DT1782&lt;&gt;"",1,0)+IF(DV1782&lt;&gt;"",1,0)+IF(DW1782&lt;&gt;"",1,0)+IF(DX1782&lt;&gt;"",1,0)+IF(DY1782&lt;&gt;"",1,0)+IF(DZ1782&lt;&gt;"",1,0)+IF(EB1782&lt;&gt;"",1,0)+IF(EC1782&lt;&gt;"",1,0)+IF(ED1782&lt;&gt;"",1,0)+IF(EG1782&lt;&gt;"",1,0)+IF(EH1782&lt;&gt;"",1,0)</f>
        <v/>
      </c>
      <c r="AZ1782">
        <f>IF(EH1782&lt;&gt;"",1,0)</f>
        <v/>
      </c>
      <c r="BB1782" t="inlineStr">
        <is>
          <t>WARREN-WARD 4</t>
        </is>
      </c>
      <c r="DC1782" t="inlineStr">
        <is>
          <t>X</t>
        </is>
      </c>
      <c r="DU1782" t="inlineStr">
        <is>
          <t>X</t>
        </is>
      </c>
      <c r="EF1782" t="inlineStr">
        <is>
          <t>X</t>
        </is>
      </c>
    </row>
    <row r="1783">
      <c r="A1783" t="inlineStr">
        <is>
          <t>OH0022331750</t>
        </is>
      </c>
      <c r="B1783" t="n">
        <v>78</v>
      </c>
      <c r="C1783" t="n">
        <v>394597</v>
      </c>
      <c r="D1783" t="inlineStr">
        <is>
          <t>HERALD</t>
        </is>
      </c>
      <c r="E1783" t="inlineStr">
        <is>
          <t>STACEY</t>
        </is>
      </c>
      <c r="F1783">
        <f>CONCATENATE(D1783," ",LEFT(H1783,4),"T=",AU1783,"D=",AV1783,"R=",AW1783,"M=",AX1783,"L=",AY1783,"B=",AZ1783)</f>
        <v/>
      </c>
      <c r="G1783" t="inlineStr">
        <is>
          <t>E</t>
        </is>
      </c>
      <c r="I1783" t="inlineStr">
        <is>
          <t>1978-03-24</t>
        </is>
      </c>
      <c r="J1783" t="inlineStr">
        <is>
          <t>2018-10-02</t>
        </is>
      </c>
      <c r="K1783" t="inlineStr">
        <is>
          <t>CONFIRMATION</t>
        </is>
      </c>
      <c r="M1783" t="inlineStr">
        <is>
          <t>240 MONROE ST NW</t>
        </is>
      </c>
      <c r="N1783">
        <f>RIGHT(M1783,LEN(M1783)-FIND(" ",M1783))</f>
        <v/>
      </c>
      <c r="O1783" t="inlineStr">
        <is>
          <t>APT 1</t>
        </is>
      </c>
      <c r="P1783" t="inlineStr">
        <is>
          <t>WARREN</t>
        </is>
      </c>
      <c r="Q1783" t="inlineStr">
        <is>
          <t>OH</t>
        </is>
      </c>
      <c r="R1783" t="n">
        <v>44483</v>
      </c>
      <c r="AD1783" t="inlineStr">
        <is>
          <t>TRUMBULL CAREER &amp; TECH CENTER</t>
        </is>
      </c>
      <c r="AE1783" t="inlineStr">
        <is>
          <t>WARREN CITY</t>
        </is>
      </c>
      <c r="AF1783" t="inlineStr">
        <is>
          <t>WARREN CITY SD</t>
        </is>
      </c>
      <c r="AH1783" t="n">
        <v>14</v>
      </c>
      <c r="AI1783" t="n">
        <v>11</v>
      </c>
      <c r="AN1783" t="inlineStr">
        <is>
          <t>WARREN</t>
        </is>
      </c>
      <c r="AO1783" t="inlineStr">
        <is>
          <t>WARREN CITY 4D</t>
        </is>
      </c>
      <c r="AP1783" t="inlineStr">
        <is>
          <t>78-P-ADL</t>
        </is>
      </c>
      <c r="AQ1783" t="n">
        <v>9</v>
      </c>
      <c r="AR1783" t="n">
        <v>64</v>
      </c>
      <c r="AS1783" t="n">
        <v>32</v>
      </c>
      <c r="AU1783">
        <f>COUNTA($BA$1783:$EH$1783)</f>
        <v/>
      </c>
      <c r="AV1783">
        <f>COUNTIF($BA$1783:$EH$1783,"D")</f>
        <v/>
      </c>
      <c r="AW1783">
        <f>COUNTIF($BA$1783:$EH$1783,"R")</f>
        <v/>
      </c>
      <c r="AX1783">
        <f>IF(BN1783="D",1,0)+IF(BO1783="D",1,0)+IF(BT1783="D",1,0)+IF(BU1783="D",1,0)+IF(BW1783="D",1,0)+IF(CC1783="D",1,0)+IF(CD1783="D",1,0)+IF(CE1783="D",1,0)+IF(CF1783="D",1,0)+IF(CL1783="D",1,0)+IF(CM1783="D",1,0)+IF(CQ1783="D",1,0)+IF(CR1783="D",1,0)+IF(CS1783="D",1,0)+IF(CW1783="D",1,0)+IF(CX1783="D",1,0)+IF(DD1783="D",1,0)+IF(DE1783="D",1,0)+IF(DJ1783="D",1,0)+IF(DK1783="D",1,0)+IF(DO1783="D",1,0)+IF(DP1783="D",1,0)+IF(DQ1783="D",1,0)+IF(DW1783="D",1,0)+IF(DZ1783="D",1,0)+IF(EH1783="D",1,0)</f>
        <v/>
      </c>
      <c r="AY1783">
        <f>IF(DJ1783&lt;&gt;"",1,0)+IF(DK1783&lt;&gt;"",1,0)+IF(DM1783&lt;&gt;"",1,0)+IF(DO1783&lt;&gt;"",1,0)+IF(DP1783&lt;&gt;"",1,0)+IF(DQ1783&lt;&gt;"",1,0)+IF(DS1783&lt;&gt;"",1,0)+IF(DT1783&lt;&gt;"",1,0)+IF(DV1783&lt;&gt;"",1,0)+IF(DW1783&lt;&gt;"",1,0)+IF(DX1783&lt;&gt;"",1,0)+IF(DY1783&lt;&gt;"",1,0)+IF(DZ1783&lt;&gt;"",1,0)+IF(EB1783&lt;&gt;"",1,0)+IF(EC1783&lt;&gt;"",1,0)+IF(ED1783&lt;&gt;"",1,0)+IF(EG1783&lt;&gt;"",1,0)+IF(EH1783&lt;&gt;"",1,0)</f>
        <v/>
      </c>
      <c r="AZ1783">
        <f>IF(EH1783&lt;&gt;"",1,0)</f>
        <v/>
      </c>
      <c r="BB1783" t="inlineStr">
        <is>
          <t>WARREN-WARD 4</t>
        </is>
      </c>
      <c r="BL1783" t="inlineStr">
        <is>
          <t>X</t>
        </is>
      </c>
      <c r="BP1783" t="inlineStr">
        <is>
          <t>X</t>
        </is>
      </c>
      <c r="BS1783" t="inlineStr">
        <is>
          <t>X</t>
        </is>
      </c>
      <c r="CA1783" t="inlineStr">
        <is>
          <t>X</t>
        </is>
      </c>
    </row>
    <row r="1784">
      <c r="A1784" t="inlineStr">
        <is>
          <t>OH0015743363</t>
        </is>
      </c>
      <c r="B1784" t="n">
        <v>78</v>
      </c>
      <c r="C1784" t="n">
        <v>322304</v>
      </c>
      <c r="D1784" t="inlineStr">
        <is>
          <t>COMANESCU</t>
        </is>
      </c>
      <c r="E1784" t="inlineStr">
        <is>
          <t>IRENE</t>
        </is>
      </c>
      <c r="F1784">
        <f>CONCATENATE(D1784," ",LEFT(H1784,4),"T=",AU1784,"D=",AV1784,"R=",AW1784,"M=",AX1784,"L=",AY1784,"B=",AZ1784)</f>
        <v/>
      </c>
      <c r="G1784" t="inlineStr">
        <is>
          <t>N</t>
        </is>
      </c>
      <c r="I1784" t="inlineStr">
        <is>
          <t>1962-06-08</t>
        </is>
      </c>
      <c r="J1784" t="inlineStr">
        <is>
          <t>2023-06-06</t>
        </is>
      </c>
      <c r="K1784" t="inlineStr">
        <is>
          <t>ACTIVE</t>
        </is>
      </c>
      <c r="M1784" t="inlineStr">
        <is>
          <t>261 HARMON AVE NW</t>
        </is>
      </c>
      <c r="N1784">
        <f>RIGHT(M1784,LEN(M1784)-FIND(" ",M1784))</f>
        <v/>
      </c>
      <c r="P1784" t="inlineStr">
        <is>
          <t>WARREN</t>
        </is>
      </c>
      <c r="Q1784" t="inlineStr">
        <is>
          <t>OH</t>
        </is>
      </c>
      <c r="R1784" t="n">
        <v>44483</v>
      </c>
      <c r="AD1784" t="inlineStr">
        <is>
          <t>TRUMBULL CAREER &amp; TECH CENTER</t>
        </is>
      </c>
      <c r="AE1784" t="inlineStr">
        <is>
          <t>WARREN CITY</t>
        </is>
      </c>
      <c r="AF1784" t="inlineStr">
        <is>
          <t>WARREN CITY SD</t>
        </is>
      </c>
      <c r="AH1784" t="n">
        <v>14</v>
      </c>
      <c r="AI1784" t="n">
        <v>11</v>
      </c>
      <c r="AN1784" t="inlineStr">
        <is>
          <t>WARREN</t>
        </is>
      </c>
      <c r="AO1784" t="inlineStr">
        <is>
          <t>WARREN CITY 4D</t>
        </is>
      </c>
      <c r="AP1784" t="inlineStr">
        <is>
          <t>78-P-ADL</t>
        </is>
      </c>
      <c r="AQ1784" t="n">
        <v>9</v>
      </c>
      <c r="AR1784" t="n">
        <v>64</v>
      </c>
      <c r="AS1784" t="n">
        <v>32</v>
      </c>
      <c r="AU1784">
        <f>COUNTA($BA$1784:$EH$1784)</f>
        <v/>
      </c>
      <c r="AV1784">
        <f>COUNTIF($BA$1784:$EH$1784,"D")</f>
        <v/>
      </c>
      <c r="AW1784">
        <f>COUNTIF($BA$1784:$EH$1784,"R")</f>
        <v/>
      </c>
      <c r="AX1784">
        <f>IF(BN1784="D",1,0)+IF(BO1784="D",1,0)+IF(BT1784="D",1,0)+IF(BU1784="D",1,0)+IF(BW1784="D",1,0)+IF(CC1784="D",1,0)+IF(CD1784="D",1,0)+IF(CE1784="D",1,0)+IF(CF1784="D",1,0)+IF(CL1784="D",1,0)+IF(CM1784="D",1,0)+IF(CQ1784="D",1,0)+IF(CR1784="D",1,0)+IF(CS1784="D",1,0)+IF(CW1784="D",1,0)+IF(CX1784="D",1,0)+IF(DD1784="D",1,0)+IF(DE1784="D",1,0)+IF(DJ1784="D",1,0)+IF(DK1784="D",1,0)+IF(DO1784="D",1,0)+IF(DP1784="D",1,0)+IF(DQ1784="D",1,0)+IF(DW1784="D",1,0)+IF(DZ1784="D",1,0)+IF(EH1784="D",1,0)</f>
        <v/>
      </c>
      <c r="AY1784">
        <f>IF(DJ1784&lt;&gt;"",1,0)+IF(DK1784&lt;&gt;"",1,0)+IF(DM1784&lt;&gt;"",1,0)+IF(DO1784&lt;&gt;"",1,0)+IF(DP1784&lt;&gt;"",1,0)+IF(DQ1784&lt;&gt;"",1,0)+IF(DS1784&lt;&gt;"",1,0)+IF(DT1784&lt;&gt;"",1,0)+IF(DV1784&lt;&gt;"",1,0)+IF(DW1784&lt;&gt;"",1,0)+IF(DX1784&lt;&gt;"",1,0)+IF(DY1784&lt;&gt;"",1,0)+IF(DZ1784&lt;&gt;"",1,0)+IF(EB1784&lt;&gt;"",1,0)+IF(EC1784&lt;&gt;"",1,0)+IF(ED1784&lt;&gt;"",1,0)+IF(EG1784&lt;&gt;"",1,0)+IF(EH1784&lt;&gt;"",1,0)</f>
        <v/>
      </c>
      <c r="AZ1784">
        <f>IF(EH1784&lt;&gt;"",1,0)</f>
        <v/>
      </c>
      <c r="BB1784" t="inlineStr">
        <is>
          <t>WARREN-WARD 4</t>
        </is>
      </c>
      <c r="BL1784" t="inlineStr">
        <is>
          <t>X</t>
        </is>
      </c>
      <c r="CA1784" t="inlineStr">
        <is>
          <t>X</t>
        </is>
      </c>
      <c r="CK1784" t="inlineStr">
        <is>
          <t>X</t>
        </is>
      </c>
      <c r="CP1784" t="inlineStr">
        <is>
          <t>X</t>
        </is>
      </c>
      <c r="CV1784" t="inlineStr">
        <is>
          <t>X</t>
        </is>
      </c>
      <c r="CW1784" t="inlineStr">
        <is>
          <t>D</t>
        </is>
      </c>
      <c r="CY1784" t="inlineStr">
        <is>
          <t>X</t>
        </is>
      </c>
      <c r="CZ1784" t="inlineStr">
        <is>
          <t>D</t>
        </is>
      </c>
      <c r="DC1784" t="inlineStr">
        <is>
          <t>X</t>
        </is>
      </c>
      <c r="DF1784" t="inlineStr">
        <is>
          <t>X</t>
        </is>
      </c>
      <c r="DG1784" t="inlineStr">
        <is>
          <t>D</t>
        </is>
      </c>
      <c r="DI1784" t="inlineStr">
        <is>
          <t>X</t>
        </is>
      </c>
      <c r="DN1784" t="inlineStr">
        <is>
          <t>X</t>
        </is>
      </c>
      <c r="DU1784" t="inlineStr">
        <is>
          <t>X</t>
        </is>
      </c>
      <c r="EF1784" t="inlineStr">
        <is>
          <t>X</t>
        </is>
      </c>
    </row>
    <row r="1785">
      <c r="A1785" t="inlineStr">
        <is>
          <t>OH0025580572</t>
        </is>
      </c>
      <c r="B1785" t="n">
        <v>78</v>
      </c>
      <c r="C1785" t="n">
        <v>446677</v>
      </c>
      <c r="D1785" t="inlineStr">
        <is>
          <t>LOHR</t>
        </is>
      </c>
      <c r="E1785" t="inlineStr">
        <is>
          <t>MISTY DAWN</t>
        </is>
      </c>
      <c r="F1785">
        <f>CONCATENATE(D1785," ",LEFT(H1785,4),"T=",AU1785,"D=",AV1785,"R=",AW1785,"M=",AX1785,"L=",AY1785,"B=",AZ1785)</f>
        <v/>
      </c>
      <c r="G1785" t="inlineStr">
        <is>
          <t>M</t>
        </is>
      </c>
      <c r="I1785" t="inlineStr">
        <is>
          <t>1985-06-26</t>
        </is>
      </c>
      <c r="J1785" t="inlineStr">
        <is>
          <t>2020-03-23</t>
        </is>
      </c>
      <c r="K1785" t="inlineStr">
        <is>
          <t>CONFIRMATION</t>
        </is>
      </c>
      <c r="M1785" t="inlineStr">
        <is>
          <t>157 CHARLES AVE NE</t>
        </is>
      </c>
      <c r="N1785">
        <f>RIGHT(M1785,LEN(M1785)-FIND(" ",M1785))</f>
        <v/>
      </c>
      <c r="P1785" t="inlineStr">
        <is>
          <t>WARREN</t>
        </is>
      </c>
      <c r="Q1785" t="inlineStr">
        <is>
          <t>OH</t>
        </is>
      </c>
      <c r="R1785" t="n">
        <v>44483</v>
      </c>
      <c r="AD1785" t="inlineStr">
        <is>
          <t>TRUMBULL CAREER &amp; TECH CENTER</t>
        </is>
      </c>
      <c r="AE1785" t="inlineStr">
        <is>
          <t>WARREN CITY</t>
        </is>
      </c>
      <c r="AF1785" t="inlineStr">
        <is>
          <t>WARREN CITY SD</t>
        </is>
      </c>
      <c r="AH1785" t="n">
        <v>14</v>
      </c>
      <c r="AI1785" t="n">
        <v>11</v>
      </c>
      <c r="AN1785" t="inlineStr">
        <is>
          <t>WARREN</t>
        </is>
      </c>
      <c r="AO1785" t="inlineStr">
        <is>
          <t>WARREN CITY 4D</t>
        </is>
      </c>
      <c r="AP1785" t="inlineStr">
        <is>
          <t>78-P-ADL</t>
        </is>
      </c>
      <c r="AQ1785" t="n">
        <v>9</v>
      </c>
      <c r="AR1785" t="n">
        <v>64</v>
      </c>
      <c r="AS1785" t="n">
        <v>32</v>
      </c>
      <c r="AU1785">
        <f>COUNTA($BA$1785:$EH$1785)</f>
        <v/>
      </c>
      <c r="AV1785">
        <f>COUNTIF($BA$1785:$EH$1785,"D")</f>
        <v/>
      </c>
      <c r="AW1785">
        <f>COUNTIF($BA$1785:$EH$1785,"R")</f>
        <v/>
      </c>
      <c r="AX1785">
        <f>IF(BN1785="D",1,0)+IF(BO1785="D",1,0)+IF(BT1785="D",1,0)+IF(BU1785="D",1,0)+IF(BW1785="D",1,0)+IF(CC1785="D",1,0)+IF(CD1785="D",1,0)+IF(CE1785="D",1,0)+IF(CF1785="D",1,0)+IF(CL1785="D",1,0)+IF(CM1785="D",1,0)+IF(CQ1785="D",1,0)+IF(CR1785="D",1,0)+IF(CS1785="D",1,0)+IF(CW1785="D",1,0)+IF(CX1785="D",1,0)+IF(DD1785="D",1,0)+IF(DE1785="D",1,0)+IF(DJ1785="D",1,0)+IF(DK1785="D",1,0)+IF(DO1785="D",1,0)+IF(DP1785="D",1,0)+IF(DQ1785="D",1,0)+IF(DW1785="D",1,0)+IF(DZ1785="D",1,0)+IF(EH1785="D",1,0)</f>
        <v/>
      </c>
      <c r="AY1785">
        <f>IF(DJ1785&lt;&gt;"",1,0)+IF(DK1785&lt;&gt;"",1,0)+IF(DM1785&lt;&gt;"",1,0)+IF(DO1785&lt;&gt;"",1,0)+IF(DP1785&lt;&gt;"",1,0)+IF(DQ1785&lt;&gt;"",1,0)+IF(DS1785&lt;&gt;"",1,0)+IF(DT1785&lt;&gt;"",1,0)+IF(DV1785&lt;&gt;"",1,0)+IF(DW1785&lt;&gt;"",1,0)+IF(DX1785&lt;&gt;"",1,0)+IF(DY1785&lt;&gt;"",1,0)+IF(DZ1785&lt;&gt;"",1,0)+IF(EB1785&lt;&gt;"",1,0)+IF(EC1785&lt;&gt;"",1,0)+IF(ED1785&lt;&gt;"",1,0)+IF(EG1785&lt;&gt;"",1,0)+IF(EH1785&lt;&gt;"",1,0)</f>
        <v/>
      </c>
      <c r="AZ1785">
        <f>IF(EH1785&lt;&gt;"",1,0)</f>
        <v/>
      </c>
      <c r="BB1785" t="inlineStr">
        <is>
          <t>WARREN-WARD 4</t>
        </is>
      </c>
    </row>
    <row r="1786">
      <c r="A1786" t="inlineStr">
        <is>
          <t>OH0026654398</t>
        </is>
      </c>
      <c r="B1786" t="n">
        <v>78</v>
      </c>
      <c r="C1786" t="n">
        <v>465597</v>
      </c>
      <c r="D1786" t="inlineStr">
        <is>
          <t>NEWBERRY</t>
        </is>
      </c>
      <c r="E1786" t="inlineStr">
        <is>
          <t>NATHANIEL</t>
        </is>
      </c>
      <c r="F1786">
        <f>CONCATENATE(D1786," ",LEFT(H1786,4),"T=",AU1786,"D=",AV1786,"R=",AW1786,"M=",AX1786,"L=",AY1786,"B=",AZ1786)</f>
        <v/>
      </c>
      <c r="G1786" t="inlineStr">
        <is>
          <t>COLE</t>
        </is>
      </c>
      <c r="I1786" t="inlineStr">
        <is>
          <t>2004-04-21</t>
        </is>
      </c>
      <c r="J1786" t="inlineStr">
        <is>
          <t>2022-09-21</t>
        </is>
      </c>
      <c r="K1786" t="inlineStr">
        <is>
          <t>ACTIVE</t>
        </is>
      </c>
      <c r="M1786" t="inlineStr">
        <is>
          <t>1098 WOODLAND AVE NE</t>
        </is>
      </c>
      <c r="N1786">
        <f>RIGHT(M1786,LEN(M1786)-FIND(" ",M1786))</f>
        <v/>
      </c>
      <c r="P1786" t="inlineStr">
        <is>
          <t>WARREN</t>
        </is>
      </c>
      <c r="Q1786" t="inlineStr">
        <is>
          <t>OH</t>
        </is>
      </c>
      <c r="R1786" t="n">
        <v>44483</v>
      </c>
      <c r="AD1786" t="inlineStr">
        <is>
          <t>TRUMBULL CAREER &amp; TECH CENTER</t>
        </is>
      </c>
      <c r="AE1786" t="inlineStr">
        <is>
          <t>WARREN CITY</t>
        </is>
      </c>
      <c r="AF1786" t="inlineStr">
        <is>
          <t>WARREN CITY SD</t>
        </is>
      </c>
      <c r="AH1786" t="n">
        <v>14</v>
      </c>
      <c r="AI1786" t="n">
        <v>11</v>
      </c>
      <c r="AN1786" t="inlineStr">
        <is>
          <t>WARREN</t>
        </is>
      </c>
      <c r="AO1786" t="inlineStr">
        <is>
          <t>WARREN CITY 4D</t>
        </is>
      </c>
      <c r="AP1786" t="inlineStr">
        <is>
          <t>78-P-ADL</t>
        </is>
      </c>
      <c r="AQ1786" t="n">
        <v>9</v>
      </c>
      <c r="AR1786" t="n">
        <v>64</v>
      </c>
      <c r="AS1786" t="n">
        <v>32</v>
      </c>
      <c r="AU1786">
        <f>COUNTA($BA$1786:$EH$1786)</f>
        <v/>
      </c>
      <c r="AV1786">
        <f>COUNTIF($BA$1786:$EH$1786,"D")</f>
        <v/>
      </c>
      <c r="AW1786">
        <f>COUNTIF($BA$1786:$EH$1786,"R")</f>
        <v/>
      </c>
      <c r="AX1786">
        <f>IF(BN1786="D",1,0)+IF(BO1786="D",1,0)+IF(BT1786="D",1,0)+IF(BU1786="D",1,0)+IF(BW1786="D",1,0)+IF(CC1786="D",1,0)+IF(CD1786="D",1,0)+IF(CE1786="D",1,0)+IF(CF1786="D",1,0)+IF(CL1786="D",1,0)+IF(CM1786="D",1,0)+IF(CQ1786="D",1,0)+IF(CR1786="D",1,0)+IF(CS1786="D",1,0)+IF(CW1786="D",1,0)+IF(CX1786="D",1,0)+IF(DD1786="D",1,0)+IF(DE1786="D",1,0)+IF(DJ1786="D",1,0)+IF(DK1786="D",1,0)+IF(DO1786="D",1,0)+IF(DP1786="D",1,0)+IF(DQ1786="D",1,0)+IF(DW1786="D",1,0)+IF(DZ1786="D",1,0)+IF(EH1786="D",1,0)</f>
        <v/>
      </c>
      <c r="AY1786">
        <f>IF(DJ1786&lt;&gt;"",1,0)+IF(DK1786&lt;&gt;"",1,0)+IF(DM1786&lt;&gt;"",1,0)+IF(DO1786&lt;&gt;"",1,0)+IF(DP1786&lt;&gt;"",1,0)+IF(DQ1786&lt;&gt;"",1,0)+IF(DS1786&lt;&gt;"",1,0)+IF(DT1786&lt;&gt;"",1,0)+IF(DV1786&lt;&gt;"",1,0)+IF(DW1786&lt;&gt;"",1,0)+IF(DX1786&lt;&gt;"",1,0)+IF(DY1786&lt;&gt;"",1,0)+IF(DZ1786&lt;&gt;"",1,0)+IF(EB1786&lt;&gt;"",1,0)+IF(EC1786&lt;&gt;"",1,0)+IF(ED1786&lt;&gt;"",1,0)+IF(EG1786&lt;&gt;"",1,0)+IF(EH1786&lt;&gt;"",1,0)</f>
        <v/>
      </c>
      <c r="AZ1786">
        <f>IF(EH1786&lt;&gt;"",1,0)</f>
        <v/>
      </c>
      <c r="BB1786" t="inlineStr">
        <is>
          <t>WARREN-WARD 4</t>
        </is>
      </c>
    </row>
    <row r="1787">
      <c r="A1787" t="inlineStr">
        <is>
          <t>OH0019479515</t>
        </is>
      </c>
      <c r="B1787" t="n">
        <v>78</v>
      </c>
      <c r="C1787" t="n">
        <v>353833</v>
      </c>
      <c r="D1787" t="inlineStr">
        <is>
          <t>GUIDO</t>
        </is>
      </c>
      <c r="E1787" t="inlineStr">
        <is>
          <t>JACKIE</t>
        </is>
      </c>
      <c r="F1787">
        <f>CONCATENATE(D1787," ",LEFT(H1787,4),"T=",AU1787,"D=",AV1787,"R=",AW1787,"M=",AX1787,"L=",AY1787,"B=",AZ1787)</f>
        <v/>
      </c>
      <c r="G1787" t="inlineStr">
        <is>
          <t>ROSE</t>
        </is>
      </c>
      <c r="I1787" t="inlineStr">
        <is>
          <t>1985-09-10</t>
        </is>
      </c>
      <c r="J1787" t="inlineStr">
        <is>
          <t>2020-08-05</t>
        </is>
      </c>
      <c r="K1787" t="inlineStr">
        <is>
          <t>ACTIVE</t>
        </is>
      </c>
      <c r="M1787" t="inlineStr">
        <is>
          <t>286 LAWRENCE AVE NE</t>
        </is>
      </c>
      <c r="N1787">
        <f>RIGHT(M1787,LEN(M1787)-FIND(" ",M1787))</f>
        <v/>
      </c>
      <c r="P1787" t="inlineStr">
        <is>
          <t>WARREN</t>
        </is>
      </c>
      <c r="Q1787" t="inlineStr">
        <is>
          <t>OH</t>
        </is>
      </c>
      <c r="R1787" t="n">
        <v>44483</v>
      </c>
      <c r="AD1787" t="inlineStr">
        <is>
          <t>TRUMBULL CAREER &amp; TECH CENTER</t>
        </is>
      </c>
      <c r="AE1787" t="inlineStr">
        <is>
          <t>WARREN CITY</t>
        </is>
      </c>
      <c r="AF1787" t="inlineStr">
        <is>
          <t>WARREN CITY SD</t>
        </is>
      </c>
      <c r="AH1787" t="n">
        <v>14</v>
      </c>
      <c r="AI1787" t="n">
        <v>11</v>
      </c>
      <c r="AN1787" t="inlineStr">
        <is>
          <t>WARREN</t>
        </is>
      </c>
      <c r="AO1787" t="inlineStr">
        <is>
          <t>WARREN CITY 4D</t>
        </is>
      </c>
      <c r="AP1787" t="inlineStr">
        <is>
          <t>78-P-ADL</t>
        </is>
      </c>
      <c r="AQ1787" t="n">
        <v>9</v>
      </c>
      <c r="AR1787" t="n">
        <v>64</v>
      </c>
      <c r="AS1787" t="n">
        <v>32</v>
      </c>
      <c r="AU1787">
        <f>COUNTA($BA$1787:$EH$1787)</f>
        <v/>
      </c>
      <c r="AV1787">
        <f>COUNTIF($BA$1787:$EH$1787,"D")</f>
        <v/>
      </c>
      <c r="AW1787">
        <f>COUNTIF($BA$1787:$EH$1787,"R")</f>
        <v/>
      </c>
      <c r="AX1787">
        <f>IF(BN1787="D",1,0)+IF(BO1787="D",1,0)+IF(BT1787="D",1,0)+IF(BU1787="D",1,0)+IF(BW1787="D",1,0)+IF(CC1787="D",1,0)+IF(CD1787="D",1,0)+IF(CE1787="D",1,0)+IF(CF1787="D",1,0)+IF(CL1787="D",1,0)+IF(CM1787="D",1,0)+IF(CQ1787="D",1,0)+IF(CR1787="D",1,0)+IF(CS1787="D",1,0)+IF(CW1787="D",1,0)+IF(CX1787="D",1,0)+IF(DD1787="D",1,0)+IF(DE1787="D",1,0)+IF(DJ1787="D",1,0)+IF(DK1787="D",1,0)+IF(DO1787="D",1,0)+IF(DP1787="D",1,0)+IF(DQ1787="D",1,0)+IF(DW1787="D",1,0)+IF(DZ1787="D",1,0)+IF(EH1787="D",1,0)</f>
        <v/>
      </c>
      <c r="AY1787">
        <f>IF(DJ1787&lt;&gt;"",1,0)+IF(DK1787&lt;&gt;"",1,0)+IF(DM1787&lt;&gt;"",1,0)+IF(DO1787&lt;&gt;"",1,0)+IF(DP1787&lt;&gt;"",1,0)+IF(DQ1787&lt;&gt;"",1,0)+IF(DS1787&lt;&gt;"",1,0)+IF(DT1787&lt;&gt;"",1,0)+IF(DV1787&lt;&gt;"",1,0)+IF(DW1787&lt;&gt;"",1,0)+IF(DX1787&lt;&gt;"",1,0)+IF(DY1787&lt;&gt;"",1,0)+IF(DZ1787&lt;&gt;"",1,0)+IF(EB1787&lt;&gt;"",1,0)+IF(EC1787&lt;&gt;"",1,0)+IF(ED1787&lt;&gt;"",1,0)+IF(EG1787&lt;&gt;"",1,0)+IF(EH1787&lt;&gt;"",1,0)</f>
        <v/>
      </c>
      <c r="AZ1787">
        <f>IF(EH1787&lt;&gt;"",1,0)</f>
        <v/>
      </c>
      <c r="BB1787" t="inlineStr">
        <is>
          <t>WARREN-WARD 4</t>
        </is>
      </c>
      <c r="CA1787" t="inlineStr">
        <is>
          <t>X</t>
        </is>
      </c>
      <c r="CP1787" t="inlineStr">
        <is>
          <t>X</t>
        </is>
      </c>
      <c r="CY1787" t="inlineStr">
        <is>
          <t>X</t>
        </is>
      </c>
      <c r="CZ1787" t="inlineStr">
        <is>
          <t>D</t>
        </is>
      </c>
      <c r="DI1787" t="inlineStr">
        <is>
          <t>X</t>
        </is>
      </c>
      <c r="DN1787" t="inlineStr">
        <is>
          <t>X</t>
        </is>
      </c>
      <c r="DU1787" t="inlineStr">
        <is>
          <t>X</t>
        </is>
      </c>
      <c r="EA1787" t="inlineStr">
        <is>
          <t>X</t>
        </is>
      </c>
      <c r="EF1787" t="inlineStr">
        <is>
          <t>X</t>
        </is>
      </c>
    </row>
    <row r="1788">
      <c r="A1788" t="inlineStr">
        <is>
          <t>OH0026824014</t>
        </is>
      </c>
      <c r="B1788" t="n">
        <v>78</v>
      </c>
      <c r="C1788" t="n">
        <v>471007</v>
      </c>
      <c r="D1788" t="inlineStr">
        <is>
          <t>FAIRCHILD</t>
        </is>
      </c>
      <c r="E1788" t="inlineStr">
        <is>
          <t>GAUGE</t>
        </is>
      </c>
      <c r="F1788">
        <f>CONCATENATE(D1788," ",LEFT(H1788,4),"T=",AU1788,"D=",AV1788,"R=",AW1788,"M=",AX1788,"L=",AY1788,"B=",AZ1788)</f>
        <v/>
      </c>
      <c r="G1788" t="inlineStr">
        <is>
          <t>MATTHEW</t>
        </is>
      </c>
      <c r="I1788" t="inlineStr">
        <is>
          <t>2003-11-27</t>
        </is>
      </c>
      <c r="J1788" t="inlineStr">
        <is>
          <t>2023-02-14</t>
        </is>
      </c>
      <c r="K1788" t="inlineStr">
        <is>
          <t>ACTIVE</t>
        </is>
      </c>
      <c r="M1788" t="inlineStr">
        <is>
          <t>473 PORTER ST NE</t>
        </is>
      </c>
      <c r="N1788">
        <f>RIGHT(M1788,LEN(M1788)-FIND(" ",M1788))</f>
        <v/>
      </c>
      <c r="P1788" t="inlineStr">
        <is>
          <t>WARREN</t>
        </is>
      </c>
      <c r="Q1788" t="inlineStr">
        <is>
          <t>OH</t>
        </is>
      </c>
      <c r="R1788" t="n">
        <v>44483</v>
      </c>
      <c r="AD1788" t="inlineStr">
        <is>
          <t>TRUMBULL CAREER &amp; TECH CENTER</t>
        </is>
      </c>
      <c r="AE1788" t="inlineStr">
        <is>
          <t>WARREN CITY</t>
        </is>
      </c>
      <c r="AF1788" t="inlineStr">
        <is>
          <t>WARREN CITY SD</t>
        </is>
      </c>
      <c r="AH1788" t="n">
        <v>14</v>
      </c>
      <c r="AI1788" t="n">
        <v>11</v>
      </c>
      <c r="AN1788" t="inlineStr">
        <is>
          <t>WARREN</t>
        </is>
      </c>
      <c r="AO1788" t="inlineStr">
        <is>
          <t>WARREN CITY 4D</t>
        </is>
      </c>
      <c r="AP1788" t="inlineStr">
        <is>
          <t>78-P-ADL</t>
        </is>
      </c>
      <c r="AQ1788" t="n">
        <v>9</v>
      </c>
      <c r="AR1788" t="n">
        <v>64</v>
      </c>
      <c r="AS1788" t="n">
        <v>32</v>
      </c>
      <c r="AU1788">
        <f>COUNTA($BA$1788:$EH$1788)</f>
        <v/>
      </c>
      <c r="AV1788">
        <f>COUNTIF($BA$1788:$EH$1788,"D")</f>
        <v/>
      </c>
      <c r="AW1788">
        <f>COUNTIF($BA$1788:$EH$1788,"R")</f>
        <v/>
      </c>
      <c r="AX1788">
        <f>IF(BN1788="D",1,0)+IF(BO1788="D",1,0)+IF(BT1788="D",1,0)+IF(BU1788="D",1,0)+IF(BW1788="D",1,0)+IF(CC1788="D",1,0)+IF(CD1788="D",1,0)+IF(CE1788="D",1,0)+IF(CF1788="D",1,0)+IF(CL1788="D",1,0)+IF(CM1788="D",1,0)+IF(CQ1788="D",1,0)+IF(CR1788="D",1,0)+IF(CS1788="D",1,0)+IF(CW1788="D",1,0)+IF(CX1788="D",1,0)+IF(DD1788="D",1,0)+IF(DE1788="D",1,0)+IF(DJ1788="D",1,0)+IF(DK1788="D",1,0)+IF(DO1788="D",1,0)+IF(DP1788="D",1,0)+IF(DQ1788="D",1,0)+IF(DW1788="D",1,0)+IF(DZ1788="D",1,0)+IF(EH1788="D",1,0)</f>
        <v/>
      </c>
      <c r="AY1788">
        <f>IF(DJ1788&lt;&gt;"",1,0)+IF(DK1788&lt;&gt;"",1,0)+IF(DM1788&lt;&gt;"",1,0)+IF(DO1788&lt;&gt;"",1,0)+IF(DP1788&lt;&gt;"",1,0)+IF(DQ1788&lt;&gt;"",1,0)+IF(DS1788&lt;&gt;"",1,0)+IF(DT1788&lt;&gt;"",1,0)+IF(DV1788&lt;&gt;"",1,0)+IF(DW1788&lt;&gt;"",1,0)+IF(DX1788&lt;&gt;"",1,0)+IF(DY1788&lt;&gt;"",1,0)+IF(DZ1788&lt;&gt;"",1,0)+IF(EB1788&lt;&gt;"",1,0)+IF(EC1788&lt;&gt;"",1,0)+IF(ED1788&lt;&gt;"",1,0)+IF(EG1788&lt;&gt;"",1,0)+IF(EH1788&lt;&gt;"",1,0)</f>
        <v/>
      </c>
      <c r="AZ1788">
        <f>IF(EH1788&lt;&gt;"",1,0)</f>
        <v/>
      </c>
      <c r="BB1788" t="inlineStr">
        <is>
          <t>WARREN-WARD 4</t>
        </is>
      </c>
    </row>
    <row r="1789">
      <c r="A1789" t="inlineStr">
        <is>
          <t>OH0022648736</t>
        </is>
      </c>
      <c r="B1789" t="n">
        <v>78</v>
      </c>
      <c r="C1789" t="n">
        <v>399636</v>
      </c>
      <c r="D1789" t="inlineStr">
        <is>
          <t>DAMIANO</t>
        </is>
      </c>
      <c r="E1789" t="inlineStr">
        <is>
          <t>SAMUEL</t>
        </is>
      </c>
      <c r="F1789">
        <f>CONCATENATE(D1789," ",LEFT(H1789,4),"T=",AU1789,"D=",AV1789,"R=",AW1789,"M=",AX1789,"L=",AY1789,"B=",AZ1789)</f>
        <v/>
      </c>
      <c r="G1789" t="inlineStr">
        <is>
          <t>JOSEPH</t>
        </is>
      </c>
      <c r="H1789" t="inlineStr">
        <is>
          <t>JR</t>
        </is>
      </c>
      <c r="I1789" t="inlineStr">
        <is>
          <t>1947-06-27</t>
        </is>
      </c>
      <c r="J1789" t="inlineStr">
        <is>
          <t>2020-05-29</t>
        </is>
      </c>
      <c r="K1789" t="inlineStr">
        <is>
          <t>ACTIVE</t>
        </is>
      </c>
      <c r="M1789" t="inlineStr">
        <is>
          <t>218 CHESTNUT AVE SE</t>
        </is>
      </c>
      <c r="N1789">
        <f>RIGHT(M1789,LEN(M1789)-FIND(" ",M1789))</f>
        <v/>
      </c>
      <c r="P1789" t="inlineStr">
        <is>
          <t>WARREN</t>
        </is>
      </c>
      <c r="Q1789" t="inlineStr">
        <is>
          <t>OH</t>
        </is>
      </c>
      <c r="R1789" t="n">
        <v>44483</v>
      </c>
      <c r="AD1789" t="inlineStr">
        <is>
          <t>TRUMBULL CAREER &amp; TECH CENTER</t>
        </is>
      </c>
      <c r="AE1789" t="inlineStr">
        <is>
          <t>WARREN CITY</t>
        </is>
      </c>
      <c r="AF1789" t="inlineStr">
        <is>
          <t>WARREN CITY SD</t>
        </is>
      </c>
      <c r="AH1789" t="n">
        <v>14</v>
      </c>
      <c r="AI1789" t="n">
        <v>11</v>
      </c>
      <c r="AN1789" t="inlineStr">
        <is>
          <t>WARREN</t>
        </is>
      </c>
      <c r="AO1789" t="inlineStr">
        <is>
          <t>WARREN CITY 4D</t>
        </is>
      </c>
      <c r="AP1789" t="inlineStr">
        <is>
          <t>78-P-ADL</t>
        </is>
      </c>
      <c r="AQ1789" t="n">
        <v>9</v>
      </c>
      <c r="AR1789" t="n">
        <v>64</v>
      </c>
      <c r="AS1789" t="n">
        <v>32</v>
      </c>
      <c r="AU1789">
        <f>COUNTA($BA$1789:$EH$1789)</f>
        <v/>
      </c>
      <c r="AV1789">
        <f>COUNTIF($BA$1789:$EH$1789,"D")</f>
        <v/>
      </c>
      <c r="AW1789">
        <f>COUNTIF($BA$1789:$EH$1789,"R")</f>
        <v/>
      </c>
      <c r="AX1789">
        <f>IF(BN1789="D",1,0)+IF(BO1789="D",1,0)+IF(BT1789="D",1,0)+IF(BU1789="D",1,0)+IF(BW1789="D",1,0)+IF(CC1789="D",1,0)+IF(CD1789="D",1,0)+IF(CE1789="D",1,0)+IF(CF1789="D",1,0)+IF(CL1789="D",1,0)+IF(CM1789="D",1,0)+IF(CQ1789="D",1,0)+IF(CR1789="D",1,0)+IF(CS1789="D",1,0)+IF(CW1789="D",1,0)+IF(CX1789="D",1,0)+IF(DD1789="D",1,0)+IF(DE1789="D",1,0)+IF(DJ1789="D",1,0)+IF(DK1789="D",1,0)+IF(DO1789="D",1,0)+IF(DP1789="D",1,0)+IF(DQ1789="D",1,0)+IF(DW1789="D",1,0)+IF(DZ1789="D",1,0)+IF(EH1789="D",1,0)</f>
        <v/>
      </c>
      <c r="AY1789">
        <f>IF(DJ1789&lt;&gt;"",1,0)+IF(DK1789&lt;&gt;"",1,0)+IF(DM1789&lt;&gt;"",1,0)+IF(DO1789&lt;&gt;"",1,0)+IF(DP1789&lt;&gt;"",1,0)+IF(DQ1789&lt;&gt;"",1,0)+IF(DS1789&lt;&gt;"",1,0)+IF(DT1789&lt;&gt;"",1,0)+IF(DV1789&lt;&gt;"",1,0)+IF(DW1789&lt;&gt;"",1,0)+IF(DX1789&lt;&gt;"",1,0)+IF(DY1789&lt;&gt;"",1,0)+IF(DZ1789&lt;&gt;"",1,0)+IF(EB1789&lt;&gt;"",1,0)+IF(EC1789&lt;&gt;"",1,0)+IF(ED1789&lt;&gt;"",1,0)+IF(EG1789&lt;&gt;"",1,0)+IF(EH1789&lt;&gt;"",1,0)</f>
        <v/>
      </c>
      <c r="AZ1789">
        <f>IF(EH1789&lt;&gt;"",1,0)</f>
        <v/>
      </c>
      <c r="BB1789" t="inlineStr">
        <is>
          <t>WARREN-WARD 4</t>
        </is>
      </c>
      <c r="CV1789" t="inlineStr">
        <is>
          <t>X</t>
        </is>
      </c>
      <c r="CY1789" t="inlineStr">
        <is>
          <t>X</t>
        </is>
      </c>
      <c r="CZ1789" t="inlineStr">
        <is>
          <t>D</t>
        </is>
      </c>
      <c r="DC1789" t="inlineStr">
        <is>
          <t>X</t>
        </is>
      </c>
      <c r="DI1789" t="inlineStr">
        <is>
          <t>X</t>
        </is>
      </c>
      <c r="DM1789" t="inlineStr">
        <is>
          <t>D</t>
        </is>
      </c>
      <c r="DN1789" t="inlineStr">
        <is>
          <t>X</t>
        </is>
      </c>
      <c r="DU1789" t="inlineStr">
        <is>
          <t>X</t>
        </is>
      </c>
      <c r="EA1789" t="inlineStr">
        <is>
          <t>X</t>
        </is>
      </c>
      <c r="EF1789" t="inlineStr">
        <is>
          <t>X</t>
        </is>
      </c>
    </row>
    <row r="1790">
      <c r="A1790" t="inlineStr">
        <is>
          <t>OH0026722382</t>
        </is>
      </c>
      <c r="B1790" t="n">
        <v>78</v>
      </c>
      <c r="C1790" t="n">
        <v>466387</v>
      </c>
      <c r="D1790" t="inlineStr">
        <is>
          <t>RUPLE</t>
        </is>
      </c>
      <c r="E1790" t="inlineStr">
        <is>
          <t>STEVEN</t>
        </is>
      </c>
      <c r="F1790">
        <f>CONCATENATE(D1790," ",LEFT(H1790,4),"T=",AU1790,"D=",AV1790,"R=",AW1790,"M=",AX1790,"L=",AY1790,"B=",AZ1790)</f>
        <v/>
      </c>
      <c r="I1790" t="inlineStr">
        <is>
          <t>1988-08-03</t>
        </is>
      </c>
      <c r="J1790" t="inlineStr">
        <is>
          <t>2022-11-08</t>
        </is>
      </c>
      <c r="K1790" t="inlineStr">
        <is>
          <t>ACTIVE</t>
        </is>
      </c>
      <c r="M1790" t="inlineStr">
        <is>
          <t>137 CHARLES AVE NE</t>
        </is>
      </c>
      <c r="N1790">
        <f>RIGHT(M1790,LEN(M1790)-FIND(" ",M1790))</f>
        <v/>
      </c>
      <c r="P1790" t="inlineStr">
        <is>
          <t>WARREN</t>
        </is>
      </c>
      <c r="Q1790" t="inlineStr">
        <is>
          <t>OH</t>
        </is>
      </c>
      <c r="R1790" t="n">
        <v>44483</v>
      </c>
      <c r="AD1790" t="inlineStr">
        <is>
          <t>TRUMBULL CAREER &amp; TECH CENTER</t>
        </is>
      </c>
      <c r="AE1790" t="inlineStr">
        <is>
          <t>WARREN CITY</t>
        </is>
      </c>
      <c r="AF1790" t="inlineStr">
        <is>
          <t>WARREN CITY SD</t>
        </is>
      </c>
      <c r="AH1790" t="n">
        <v>14</v>
      </c>
      <c r="AI1790" t="n">
        <v>11</v>
      </c>
      <c r="AN1790" t="inlineStr">
        <is>
          <t>WARREN</t>
        </is>
      </c>
      <c r="AO1790" t="inlineStr">
        <is>
          <t>WARREN CITY 4D</t>
        </is>
      </c>
      <c r="AP1790" t="inlineStr">
        <is>
          <t>78-P-ADL</t>
        </is>
      </c>
      <c r="AQ1790" t="n">
        <v>9</v>
      </c>
      <c r="AR1790" t="n">
        <v>64</v>
      </c>
      <c r="AS1790" t="n">
        <v>32</v>
      </c>
      <c r="AU1790">
        <f>COUNTA($BA$1790:$EH$1790)</f>
        <v/>
      </c>
      <c r="AV1790">
        <f>COUNTIF($BA$1790:$EH$1790,"D")</f>
        <v/>
      </c>
      <c r="AW1790">
        <f>COUNTIF($BA$1790:$EH$1790,"R")</f>
        <v/>
      </c>
      <c r="AX1790">
        <f>IF(BN1790="D",1,0)+IF(BO1790="D",1,0)+IF(BT1790="D",1,0)+IF(BU1790="D",1,0)+IF(BW1790="D",1,0)+IF(CC1790="D",1,0)+IF(CD1790="D",1,0)+IF(CE1790="D",1,0)+IF(CF1790="D",1,0)+IF(CL1790="D",1,0)+IF(CM1790="D",1,0)+IF(CQ1790="D",1,0)+IF(CR1790="D",1,0)+IF(CS1790="D",1,0)+IF(CW1790="D",1,0)+IF(CX1790="D",1,0)+IF(DD1790="D",1,0)+IF(DE1790="D",1,0)+IF(DJ1790="D",1,0)+IF(DK1790="D",1,0)+IF(DO1790="D",1,0)+IF(DP1790="D",1,0)+IF(DQ1790="D",1,0)+IF(DW1790="D",1,0)+IF(DZ1790="D",1,0)+IF(EH1790="D",1,0)</f>
        <v/>
      </c>
      <c r="AY1790">
        <f>IF(DJ1790&lt;&gt;"",1,0)+IF(DK1790&lt;&gt;"",1,0)+IF(DM1790&lt;&gt;"",1,0)+IF(DO1790&lt;&gt;"",1,0)+IF(DP1790&lt;&gt;"",1,0)+IF(DQ1790&lt;&gt;"",1,0)+IF(DS1790&lt;&gt;"",1,0)+IF(DT1790&lt;&gt;"",1,0)+IF(DV1790&lt;&gt;"",1,0)+IF(DW1790&lt;&gt;"",1,0)+IF(DX1790&lt;&gt;"",1,0)+IF(DY1790&lt;&gt;"",1,0)+IF(DZ1790&lt;&gt;"",1,0)+IF(EB1790&lt;&gt;"",1,0)+IF(EC1790&lt;&gt;"",1,0)+IF(ED1790&lt;&gt;"",1,0)+IF(EG1790&lt;&gt;"",1,0)+IF(EH1790&lt;&gt;"",1,0)</f>
        <v/>
      </c>
      <c r="AZ1790">
        <f>IF(EH1790&lt;&gt;"",1,0)</f>
        <v/>
      </c>
      <c r="BB1790" t="inlineStr">
        <is>
          <t>WARREN-WARD 4</t>
        </is>
      </c>
      <c r="DU1790" t="inlineStr">
        <is>
          <t>X</t>
        </is>
      </c>
    </row>
    <row r="1791">
      <c r="A1791" t="inlineStr">
        <is>
          <t>OH0022131593</t>
        </is>
      </c>
      <c r="B1791" t="n">
        <v>78</v>
      </c>
      <c r="C1791" t="n">
        <v>391558</v>
      </c>
      <c r="D1791" t="inlineStr">
        <is>
          <t>BOGGS</t>
        </is>
      </c>
      <c r="E1791" t="inlineStr">
        <is>
          <t>DUSTIN</t>
        </is>
      </c>
      <c r="F1791">
        <f>CONCATENATE(D1791," ",LEFT(H1791,4),"T=",AU1791,"D=",AV1791,"R=",AW1791,"M=",AX1791,"L=",AY1791,"B=",AZ1791)</f>
        <v/>
      </c>
      <c r="G1791" t="inlineStr">
        <is>
          <t>R</t>
        </is>
      </c>
      <c r="I1791" t="inlineStr">
        <is>
          <t>1991-01-27</t>
        </is>
      </c>
      <c r="J1791" t="inlineStr">
        <is>
          <t>2012-10-09</t>
        </is>
      </c>
      <c r="K1791" t="inlineStr">
        <is>
          <t>ACTIVE</t>
        </is>
      </c>
      <c r="L1791" t="inlineStr">
        <is>
          <t>D</t>
        </is>
      </c>
      <c r="M1791" t="inlineStr">
        <is>
          <t>437 VINE AVE NE</t>
        </is>
      </c>
      <c r="N1791">
        <f>RIGHT(M1791,LEN(M1791)-FIND(" ",M1791))</f>
        <v/>
      </c>
      <c r="P1791" t="inlineStr">
        <is>
          <t>WARREN</t>
        </is>
      </c>
      <c r="Q1791" t="inlineStr">
        <is>
          <t>OH</t>
        </is>
      </c>
      <c r="R1791" t="n">
        <v>44483</v>
      </c>
      <c r="AD1791" t="inlineStr">
        <is>
          <t>TRUMBULL CAREER &amp; TECH CENTER</t>
        </is>
      </c>
      <c r="AE1791" t="inlineStr">
        <is>
          <t>WARREN CITY</t>
        </is>
      </c>
      <c r="AF1791" t="inlineStr">
        <is>
          <t>WARREN CITY SD</t>
        </is>
      </c>
      <c r="AH1791" t="n">
        <v>14</v>
      </c>
      <c r="AI1791" t="n">
        <v>11</v>
      </c>
      <c r="AN1791" t="inlineStr">
        <is>
          <t>WARREN</t>
        </is>
      </c>
      <c r="AO1791" t="inlineStr">
        <is>
          <t>WARREN CITY 4D</t>
        </is>
      </c>
      <c r="AP1791" t="inlineStr">
        <is>
          <t>78-P-ADL</t>
        </is>
      </c>
      <c r="AQ1791" t="n">
        <v>9</v>
      </c>
      <c r="AR1791" t="n">
        <v>64</v>
      </c>
      <c r="AS1791" t="n">
        <v>32</v>
      </c>
      <c r="AU1791">
        <f>COUNTA($BA$1791:$EH$1791)</f>
        <v/>
      </c>
      <c r="AV1791">
        <f>COUNTIF($BA$1791:$EH$1791,"D")</f>
        <v/>
      </c>
      <c r="AW1791">
        <f>COUNTIF($BA$1791:$EH$1791,"R")</f>
        <v/>
      </c>
      <c r="AX1791">
        <f>IF(BN1791="D",1,0)+IF(BO1791="D",1,0)+IF(BT1791="D",1,0)+IF(BU1791="D",1,0)+IF(BW1791="D",1,0)+IF(CC1791="D",1,0)+IF(CD1791="D",1,0)+IF(CE1791="D",1,0)+IF(CF1791="D",1,0)+IF(CL1791="D",1,0)+IF(CM1791="D",1,0)+IF(CQ1791="D",1,0)+IF(CR1791="D",1,0)+IF(CS1791="D",1,0)+IF(CW1791="D",1,0)+IF(CX1791="D",1,0)+IF(DD1791="D",1,0)+IF(DE1791="D",1,0)+IF(DJ1791="D",1,0)+IF(DK1791="D",1,0)+IF(DO1791="D",1,0)+IF(DP1791="D",1,0)+IF(DQ1791="D",1,0)+IF(DW1791="D",1,0)+IF(DZ1791="D",1,0)+IF(EH1791="D",1,0)</f>
        <v/>
      </c>
      <c r="AY1791">
        <f>IF(DJ1791&lt;&gt;"",1,0)+IF(DK1791&lt;&gt;"",1,0)+IF(DM1791&lt;&gt;"",1,0)+IF(DO1791&lt;&gt;"",1,0)+IF(DP1791&lt;&gt;"",1,0)+IF(DQ1791&lt;&gt;"",1,0)+IF(DS1791&lt;&gt;"",1,0)+IF(DT1791&lt;&gt;"",1,0)+IF(DV1791&lt;&gt;"",1,0)+IF(DW1791&lt;&gt;"",1,0)+IF(DX1791&lt;&gt;"",1,0)+IF(DY1791&lt;&gt;"",1,0)+IF(DZ1791&lt;&gt;"",1,0)+IF(EB1791&lt;&gt;"",1,0)+IF(EC1791&lt;&gt;"",1,0)+IF(ED1791&lt;&gt;"",1,0)+IF(EG1791&lt;&gt;"",1,0)+IF(EH1791&lt;&gt;"",1,0)</f>
        <v/>
      </c>
      <c r="AZ1791">
        <f>IF(EH1791&lt;&gt;"",1,0)</f>
        <v/>
      </c>
      <c r="BB1791" t="inlineStr">
        <is>
          <t>WARREN-WARD 4</t>
        </is>
      </c>
      <c r="CP1791" t="inlineStr">
        <is>
          <t>X</t>
        </is>
      </c>
      <c r="DC1791" t="inlineStr">
        <is>
          <t>X</t>
        </is>
      </c>
      <c r="DI1791" t="inlineStr">
        <is>
          <t>X</t>
        </is>
      </c>
      <c r="DN1791" t="inlineStr">
        <is>
          <t>X</t>
        </is>
      </c>
      <c r="DS1791" t="inlineStr">
        <is>
          <t>D</t>
        </is>
      </c>
      <c r="DU1791" t="inlineStr">
        <is>
          <t>X</t>
        </is>
      </c>
      <c r="DW1791" t="inlineStr">
        <is>
          <t>D</t>
        </is>
      </c>
      <c r="EA1791" t="inlineStr">
        <is>
          <t>X</t>
        </is>
      </c>
      <c r="EF1791" t="inlineStr">
        <is>
          <t>X</t>
        </is>
      </c>
    </row>
    <row r="1792">
      <c r="A1792" t="inlineStr">
        <is>
          <t>OH0026262791</t>
        </is>
      </c>
      <c r="B1792" t="n">
        <v>78</v>
      </c>
      <c r="C1792" t="n">
        <v>459258</v>
      </c>
      <c r="D1792" t="inlineStr">
        <is>
          <t>BECKSTINE</t>
        </is>
      </c>
      <c r="E1792" t="inlineStr">
        <is>
          <t>LUCAS</t>
        </is>
      </c>
      <c r="F1792">
        <f>CONCATENATE(D1792," ",LEFT(H1792,4),"T=",AU1792,"D=",AV1792,"R=",AW1792,"M=",AX1792,"L=",AY1792,"B=",AZ1792)</f>
        <v/>
      </c>
      <c r="G1792" t="inlineStr">
        <is>
          <t>DERRICK</t>
        </is>
      </c>
      <c r="I1792" t="inlineStr">
        <is>
          <t>2003-08-09</t>
        </is>
      </c>
      <c r="J1792" t="inlineStr">
        <is>
          <t>2024-08-31</t>
        </is>
      </c>
      <c r="K1792" t="inlineStr">
        <is>
          <t>ACTIVE</t>
        </is>
      </c>
      <c r="M1792" t="inlineStr">
        <is>
          <t>124 LOGAN AVE NE</t>
        </is>
      </c>
      <c r="N1792">
        <f>RIGHT(M1792,LEN(M1792)-FIND(" ",M1792))</f>
        <v/>
      </c>
      <c r="O1792" t="inlineStr">
        <is>
          <t>APT A</t>
        </is>
      </c>
      <c r="P1792" t="inlineStr">
        <is>
          <t>WARREN</t>
        </is>
      </c>
      <c r="Q1792" t="inlineStr">
        <is>
          <t>OH</t>
        </is>
      </c>
      <c r="R1792" t="n">
        <v>44483</v>
      </c>
      <c r="AD1792" t="inlineStr">
        <is>
          <t>TRUMBULL CAREER &amp; TECH CENTER</t>
        </is>
      </c>
      <c r="AE1792" t="inlineStr">
        <is>
          <t>WARREN CITY</t>
        </is>
      </c>
      <c r="AF1792" t="inlineStr">
        <is>
          <t>WARREN CITY SD</t>
        </is>
      </c>
      <c r="AH1792" t="n">
        <v>14</v>
      </c>
      <c r="AI1792" t="n">
        <v>11</v>
      </c>
      <c r="AN1792" t="inlineStr">
        <is>
          <t>WARREN</t>
        </is>
      </c>
      <c r="AO1792" t="inlineStr">
        <is>
          <t>WARREN CITY 4D</t>
        </is>
      </c>
      <c r="AP1792" t="inlineStr">
        <is>
          <t>78-P-ADL</t>
        </is>
      </c>
      <c r="AQ1792" t="n">
        <v>9</v>
      </c>
      <c r="AR1792" t="n">
        <v>64</v>
      </c>
      <c r="AS1792" t="n">
        <v>32</v>
      </c>
      <c r="AU1792">
        <f>COUNTA($BA$1792:$EH$1792)</f>
        <v/>
      </c>
      <c r="AV1792">
        <f>COUNTIF($BA$1792:$EH$1792,"D")</f>
        <v/>
      </c>
      <c r="AW1792">
        <f>COUNTIF($BA$1792:$EH$1792,"R")</f>
        <v/>
      </c>
      <c r="AX1792">
        <f>IF(BN1792="D",1,0)+IF(BO1792="D",1,0)+IF(BT1792="D",1,0)+IF(BU1792="D",1,0)+IF(BW1792="D",1,0)+IF(CC1792="D",1,0)+IF(CD1792="D",1,0)+IF(CE1792="D",1,0)+IF(CF1792="D",1,0)+IF(CL1792="D",1,0)+IF(CM1792="D",1,0)+IF(CQ1792="D",1,0)+IF(CR1792="D",1,0)+IF(CS1792="D",1,0)+IF(CW1792="D",1,0)+IF(CX1792="D",1,0)+IF(DD1792="D",1,0)+IF(DE1792="D",1,0)+IF(DJ1792="D",1,0)+IF(DK1792="D",1,0)+IF(DO1792="D",1,0)+IF(DP1792="D",1,0)+IF(DQ1792="D",1,0)+IF(DW1792="D",1,0)+IF(DZ1792="D",1,0)+IF(EH1792="D",1,0)</f>
        <v/>
      </c>
      <c r="AY1792">
        <f>IF(DJ1792&lt;&gt;"",1,0)+IF(DK1792&lt;&gt;"",1,0)+IF(DM1792&lt;&gt;"",1,0)+IF(DO1792&lt;&gt;"",1,0)+IF(DP1792&lt;&gt;"",1,0)+IF(DQ1792&lt;&gt;"",1,0)+IF(DS1792&lt;&gt;"",1,0)+IF(DT1792&lt;&gt;"",1,0)+IF(DV1792&lt;&gt;"",1,0)+IF(DW1792&lt;&gt;"",1,0)+IF(DX1792&lt;&gt;"",1,0)+IF(DY1792&lt;&gt;"",1,0)+IF(DZ1792&lt;&gt;"",1,0)+IF(EB1792&lt;&gt;"",1,0)+IF(EC1792&lt;&gt;"",1,0)+IF(ED1792&lt;&gt;"",1,0)+IF(EG1792&lt;&gt;"",1,0)+IF(EH1792&lt;&gt;"",1,0)</f>
        <v/>
      </c>
      <c r="AZ1792">
        <f>IF(EH1792&lt;&gt;"",1,0)</f>
        <v/>
      </c>
      <c r="BB1792" t="inlineStr">
        <is>
          <t>WARREN-WARD 4</t>
        </is>
      </c>
      <c r="EF1792" t="inlineStr">
        <is>
          <t>X</t>
        </is>
      </c>
    </row>
    <row r="1793">
      <c r="A1793" t="inlineStr">
        <is>
          <t>OH0026789209</t>
        </is>
      </c>
      <c r="B1793" t="n">
        <v>78</v>
      </c>
      <c r="C1793" t="n">
        <v>469467</v>
      </c>
      <c r="D1793" t="inlineStr">
        <is>
          <t>PRISCILLA</t>
        </is>
      </c>
      <c r="E1793" t="inlineStr">
        <is>
          <t>DARREN</t>
        </is>
      </c>
      <c r="F1793">
        <f>CONCATENATE(D1793," ",LEFT(H1793,4),"T=",AU1793,"D=",AV1793,"R=",AW1793,"M=",AX1793,"L=",AY1793,"B=",AZ1793)</f>
        <v/>
      </c>
      <c r="G1793" t="inlineStr">
        <is>
          <t>J</t>
        </is>
      </c>
      <c r="I1793" t="inlineStr">
        <is>
          <t>1965-09-08</t>
        </is>
      </c>
      <c r="J1793" t="inlineStr">
        <is>
          <t>2023-01-09</t>
        </is>
      </c>
      <c r="K1793" t="inlineStr">
        <is>
          <t>ACTIVE</t>
        </is>
      </c>
      <c r="M1793" t="inlineStr">
        <is>
          <t>644 FAIRFIELD AVE NE</t>
        </is>
      </c>
      <c r="N1793">
        <f>RIGHT(M1793,LEN(M1793)-FIND(" ",M1793))</f>
        <v/>
      </c>
      <c r="P1793" t="inlineStr">
        <is>
          <t>WARREN</t>
        </is>
      </c>
      <c r="Q1793" t="inlineStr">
        <is>
          <t>OH</t>
        </is>
      </c>
      <c r="R1793" t="n">
        <v>44483</v>
      </c>
      <c r="AD1793" t="inlineStr">
        <is>
          <t>TRUMBULL CAREER &amp; TECH CENTER</t>
        </is>
      </c>
      <c r="AE1793" t="inlineStr">
        <is>
          <t>WARREN CITY</t>
        </is>
      </c>
      <c r="AF1793" t="inlineStr">
        <is>
          <t>WARREN CITY SD</t>
        </is>
      </c>
      <c r="AH1793" t="n">
        <v>14</v>
      </c>
      <c r="AI1793" t="n">
        <v>11</v>
      </c>
      <c r="AN1793" t="inlineStr">
        <is>
          <t>WARREN</t>
        </is>
      </c>
      <c r="AO1793" t="inlineStr">
        <is>
          <t>WARREN CITY 4D</t>
        </is>
      </c>
      <c r="AP1793" t="inlineStr">
        <is>
          <t>78-P-ADL</t>
        </is>
      </c>
      <c r="AQ1793" t="n">
        <v>9</v>
      </c>
      <c r="AR1793" t="n">
        <v>64</v>
      </c>
      <c r="AS1793" t="n">
        <v>32</v>
      </c>
      <c r="AU1793">
        <f>COUNTA($BA$1793:$EH$1793)</f>
        <v/>
      </c>
      <c r="AV1793">
        <f>COUNTIF($BA$1793:$EH$1793,"D")</f>
        <v/>
      </c>
      <c r="AW1793">
        <f>COUNTIF($BA$1793:$EH$1793,"R")</f>
        <v/>
      </c>
      <c r="AX1793">
        <f>IF(BN1793="D",1,0)+IF(BO1793="D",1,0)+IF(BT1793="D",1,0)+IF(BU1793="D",1,0)+IF(BW1793="D",1,0)+IF(CC1793="D",1,0)+IF(CD1793="D",1,0)+IF(CE1793="D",1,0)+IF(CF1793="D",1,0)+IF(CL1793="D",1,0)+IF(CM1793="D",1,0)+IF(CQ1793="D",1,0)+IF(CR1793="D",1,0)+IF(CS1793="D",1,0)+IF(CW1793="D",1,0)+IF(CX1793="D",1,0)+IF(DD1793="D",1,0)+IF(DE1793="D",1,0)+IF(DJ1793="D",1,0)+IF(DK1793="D",1,0)+IF(DO1793="D",1,0)+IF(DP1793="D",1,0)+IF(DQ1793="D",1,0)+IF(DW1793="D",1,0)+IF(DZ1793="D",1,0)+IF(EH1793="D",1,0)</f>
        <v/>
      </c>
      <c r="AY1793">
        <f>IF(DJ1793&lt;&gt;"",1,0)+IF(DK1793&lt;&gt;"",1,0)+IF(DM1793&lt;&gt;"",1,0)+IF(DO1793&lt;&gt;"",1,0)+IF(DP1793&lt;&gt;"",1,0)+IF(DQ1793&lt;&gt;"",1,0)+IF(DS1793&lt;&gt;"",1,0)+IF(DT1793&lt;&gt;"",1,0)+IF(DV1793&lt;&gt;"",1,0)+IF(DW1793&lt;&gt;"",1,0)+IF(DX1793&lt;&gt;"",1,0)+IF(DY1793&lt;&gt;"",1,0)+IF(DZ1793&lt;&gt;"",1,0)+IF(EB1793&lt;&gt;"",1,0)+IF(EC1793&lt;&gt;"",1,0)+IF(ED1793&lt;&gt;"",1,0)+IF(EG1793&lt;&gt;"",1,0)+IF(EH1793&lt;&gt;"",1,0)</f>
        <v/>
      </c>
      <c r="AZ1793">
        <f>IF(EH1793&lt;&gt;"",1,0)</f>
        <v/>
      </c>
      <c r="BB1793" t="inlineStr">
        <is>
          <t>WARREN-WARD 4</t>
        </is>
      </c>
    </row>
    <row r="1794">
      <c r="A1794" t="inlineStr">
        <is>
          <t>OH0015755592</t>
        </is>
      </c>
      <c r="B1794" t="n">
        <v>78</v>
      </c>
      <c r="C1794" t="n">
        <v>242417</v>
      </c>
      <c r="D1794" t="inlineStr">
        <is>
          <t>ANSMAN</t>
        </is>
      </c>
      <c r="E1794" t="inlineStr">
        <is>
          <t>RUBY</t>
        </is>
      </c>
      <c r="F1794">
        <f>CONCATENATE(D1794," ",LEFT(H1794,4),"T=",AU1794,"D=",AV1794,"R=",AW1794,"M=",AX1794,"L=",AY1794,"B=",AZ1794)</f>
        <v/>
      </c>
      <c r="G1794" t="inlineStr">
        <is>
          <t>A</t>
        </is>
      </c>
      <c r="I1794" t="inlineStr">
        <is>
          <t>1955-06-26</t>
        </is>
      </c>
      <c r="J1794" t="inlineStr">
        <is>
          <t>2011-06-23</t>
        </is>
      </c>
      <c r="K1794" t="inlineStr">
        <is>
          <t>ACTIVE</t>
        </is>
      </c>
      <c r="L1794" t="inlineStr">
        <is>
          <t>D</t>
        </is>
      </c>
      <c r="M1794" t="inlineStr">
        <is>
          <t>329 SCOTT ST NE</t>
        </is>
      </c>
      <c r="N1794">
        <f>RIGHT(M1794,LEN(M1794)-FIND(" ",M1794))</f>
        <v/>
      </c>
      <c r="O1794" t="inlineStr">
        <is>
          <t>APT 1</t>
        </is>
      </c>
      <c r="P1794" t="inlineStr">
        <is>
          <t>WARREN</t>
        </is>
      </c>
      <c r="Q1794" t="inlineStr">
        <is>
          <t>OH</t>
        </is>
      </c>
      <c r="R1794" t="n">
        <v>44483</v>
      </c>
      <c r="AD1794" t="inlineStr">
        <is>
          <t>TRUMBULL CAREER &amp; TECH CENTER</t>
        </is>
      </c>
      <c r="AE1794" t="inlineStr">
        <is>
          <t>WARREN CITY</t>
        </is>
      </c>
      <c r="AF1794" t="inlineStr">
        <is>
          <t>WARREN CITY SD</t>
        </is>
      </c>
      <c r="AH1794" t="n">
        <v>14</v>
      </c>
      <c r="AI1794" t="n">
        <v>11</v>
      </c>
      <c r="AN1794" t="inlineStr">
        <is>
          <t>WARREN</t>
        </is>
      </c>
      <c r="AO1794" t="inlineStr">
        <is>
          <t>WARREN CITY 4D</t>
        </is>
      </c>
      <c r="AP1794" t="inlineStr">
        <is>
          <t>78-P-ADL</t>
        </is>
      </c>
      <c r="AQ1794" t="n">
        <v>9</v>
      </c>
      <c r="AR1794" t="n">
        <v>64</v>
      </c>
      <c r="AS1794" t="n">
        <v>32</v>
      </c>
      <c r="AU1794">
        <f>COUNTA($BA$1794:$EH$1794)</f>
        <v/>
      </c>
      <c r="AV1794">
        <f>COUNTIF($BA$1794:$EH$1794,"D")</f>
        <v/>
      </c>
      <c r="AW1794">
        <f>COUNTIF($BA$1794:$EH$1794,"R")</f>
        <v/>
      </c>
      <c r="AX1794">
        <f>IF(BN1794="D",1,0)+IF(BO1794="D",1,0)+IF(BT1794="D",1,0)+IF(BU1794="D",1,0)+IF(BW1794="D",1,0)+IF(CC1794="D",1,0)+IF(CD1794="D",1,0)+IF(CE1794="D",1,0)+IF(CF1794="D",1,0)+IF(CL1794="D",1,0)+IF(CM1794="D",1,0)+IF(CQ1794="D",1,0)+IF(CR1794="D",1,0)+IF(CS1794="D",1,0)+IF(CW1794="D",1,0)+IF(CX1794="D",1,0)+IF(DD1794="D",1,0)+IF(DE1794="D",1,0)+IF(DJ1794="D",1,0)+IF(DK1794="D",1,0)+IF(DO1794="D",1,0)+IF(DP1794="D",1,0)+IF(DQ1794="D",1,0)+IF(DW1794="D",1,0)+IF(DZ1794="D",1,0)+IF(EH1794="D",1,0)</f>
        <v/>
      </c>
      <c r="AY1794">
        <f>IF(DJ1794&lt;&gt;"",1,0)+IF(DK1794&lt;&gt;"",1,0)+IF(DM1794&lt;&gt;"",1,0)+IF(DO1794&lt;&gt;"",1,0)+IF(DP1794&lt;&gt;"",1,0)+IF(DQ1794&lt;&gt;"",1,0)+IF(DS1794&lt;&gt;"",1,0)+IF(DT1794&lt;&gt;"",1,0)+IF(DV1794&lt;&gt;"",1,0)+IF(DW1794&lt;&gt;"",1,0)+IF(DX1794&lt;&gt;"",1,0)+IF(DY1794&lt;&gt;"",1,0)+IF(DZ1794&lt;&gt;"",1,0)+IF(EB1794&lt;&gt;"",1,0)+IF(EC1794&lt;&gt;"",1,0)+IF(ED1794&lt;&gt;"",1,0)+IF(EG1794&lt;&gt;"",1,0)+IF(EH1794&lt;&gt;"",1,0)</f>
        <v/>
      </c>
      <c r="AZ1794">
        <f>IF(EH1794&lt;&gt;"",1,0)</f>
        <v/>
      </c>
      <c r="BB1794" t="inlineStr">
        <is>
          <t>WARREN-WARD 4</t>
        </is>
      </c>
      <c r="BD1794" t="inlineStr">
        <is>
          <t>X</t>
        </is>
      </c>
      <c r="BF1794" t="inlineStr">
        <is>
          <t>X</t>
        </is>
      </c>
      <c r="BG1794" t="inlineStr">
        <is>
          <t>X</t>
        </is>
      </c>
      <c r="BH1794" t="inlineStr">
        <is>
          <t>X</t>
        </is>
      </c>
      <c r="BI1794" t="inlineStr">
        <is>
          <t>X</t>
        </is>
      </c>
      <c r="BJ1794" t="inlineStr">
        <is>
          <t>X</t>
        </is>
      </c>
      <c r="BK1794" t="inlineStr">
        <is>
          <t>X</t>
        </is>
      </c>
      <c r="BL1794" t="inlineStr">
        <is>
          <t>X</t>
        </is>
      </c>
      <c r="BP1794" t="inlineStr">
        <is>
          <t>X</t>
        </is>
      </c>
      <c r="BV1794" t="inlineStr">
        <is>
          <t>X</t>
        </is>
      </c>
      <c r="BY1794" t="inlineStr">
        <is>
          <t>D</t>
        </is>
      </c>
      <c r="CA1794" t="inlineStr">
        <is>
          <t>X</t>
        </is>
      </c>
      <c r="CG1794" t="inlineStr">
        <is>
          <t>X</t>
        </is>
      </c>
      <c r="CH1794" t="inlineStr">
        <is>
          <t>D</t>
        </is>
      </c>
      <c r="CK1794" t="inlineStr">
        <is>
          <t>X</t>
        </is>
      </c>
      <c r="CL1794" t="inlineStr">
        <is>
          <t>D</t>
        </is>
      </c>
      <c r="CN1794" t="inlineStr">
        <is>
          <t>X</t>
        </is>
      </c>
      <c r="CO1794" t="inlineStr">
        <is>
          <t>D</t>
        </is>
      </c>
      <c r="CP1794" t="inlineStr">
        <is>
          <t>X</t>
        </is>
      </c>
      <c r="CV1794" t="inlineStr">
        <is>
          <t>X</t>
        </is>
      </c>
      <c r="CY1794" t="inlineStr">
        <is>
          <t>X</t>
        </is>
      </c>
      <c r="CZ1794" t="inlineStr">
        <is>
          <t>R</t>
        </is>
      </c>
      <c r="DC1794" t="inlineStr">
        <is>
          <t>X</t>
        </is>
      </c>
      <c r="DN1794" t="inlineStr">
        <is>
          <t>X</t>
        </is>
      </c>
      <c r="DS1794" t="inlineStr">
        <is>
          <t>R</t>
        </is>
      </c>
      <c r="DT1794" t="inlineStr">
        <is>
          <t>R</t>
        </is>
      </c>
      <c r="DU1794" t="inlineStr">
        <is>
          <t>X</t>
        </is>
      </c>
      <c r="DW1794" t="inlineStr">
        <is>
          <t>D</t>
        </is>
      </c>
      <c r="DX1794" t="inlineStr">
        <is>
          <t>X</t>
        </is>
      </c>
      <c r="EA1794" t="inlineStr">
        <is>
          <t>X</t>
        </is>
      </c>
      <c r="EF1794" t="inlineStr">
        <is>
          <t>X</t>
        </is>
      </c>
      <c r="EH1794" t="inlineStr">
        <is>
          <t>X</t>
        </is>
      </c>
    </row>
    <row r="1795">
      <c r="A1795" t="inlineStr">
        <is>
          <t>OH0026746442</t>
        </is>
      </c>
      <c r="B1795" t="n">
        <v>78</v>
      </c>
      <c r="C1795" t="n">
        <v>467968</v>
      </c>
      <c r="D1795" t="inlineStr">
        <is>
          <t>ROGERS</t>
        </is>
      </c>
      <c r="E1795" t="inlineStr">
        <is>
          <t>KENDRICKS</t>
        </is>
      </c>
      <c r="F1795">
        <f>CONCATENATE(D1795," ",LEFT(H1795,4),"T=",AU1795,"D=",AV1795,"R=",AW1795,"M=",AX1795,"L=",AY1795,"B=",AZ1795)</f>
        <v/>
      </c>
      <c r="G1795" t="inlineStr">
        <is>
          <t>XAVIER</t>
        </is>
      </c>
      <c r="I1795" t="inlineStr">
        <is>
          <t>2000-03-27</t>
        </is>
      </c>
      <c r="J1795" t="inlineStr">
        <is>
          <t>2022-10-31</t>
        </is>
      </c>
      <c r="K1795" t="inlineStr">
        <is>
          <t>ACTIVE</t>
        </is>
      </c>
      <c r="M1795" t="inlineStr">
        <is>
          <t>191 LINDEN AVE NE</t>
        </is>
      </c>
      <c r="N1795">
        <f>RIGHT(M1795,LEN(M1795)-FIND(" ",M1795))</f>
        <v/>
      </c>
      <c r="P1795" t="inlineStr">
        <is>
          <t>WARREN</t>
        </is>
      </c>
      <c r="Q1795" t="inlineStr">
        <is>
          <t>OH</t>
        </is>
      </c>
      <c r="R1795" t="n">
        <v>44483</v>
      </c>
      <c r="AD1795" t="inlineStr">
        <is>
          <t>TRUMBULL CAREER &amp; TECH CENTER</t>
        </is>
      </c>
      <c r="AE1795" t="inlineStr">
        <is>
          <t>WARREN CITY</t>
        </is>
      </c>
      <c r="AF1795" t="inlineStr">
        <is>
          <t>WARREN CITY SD</t>
        </is>
      </c>
      <c r="AH1795" t="n">
        <v>14</v>
      </c>
      <c r="AI1795" t="n">
        <v>11</v>
      </c>
      <c r="AN1795" t="inlineStr">
        <is>
          <t>WARREN</t>
        </is>
      </c>
      <c r="AO1795" t="inlineStr">
        <is>
          <t>WARREN CITY 4D</t>
        </is>
      </c>
      <c r="AP1795" t="inlineStr">
        <is>
          <t>78-P-ADL</t>
        </is>
      </c>
      <c r="AQ1795" t="n">
        <v>9</v>
      </c>
      <c r="AR1795" t="n">
        <v>64</v>
      </c>
      <c r="AS1795" t="n">
        <v>32</v>
      </c>
      <c r="AU1795">
        <f>COUNTA($BA$1795:$EH$1795)</f>
        <v/>
      </c>
      <c r="AV1795">
        <f>COUNTIF($BA$1795:$EH$1795,"D")</f>
        <v/>
      </c>
      <c r="AW1795">
        <f>COUNTIF($BA$1795:$EH$1795,"R")</f>
        <v/>
      </c>
      <c r="AX1795">
        <f>IF(BN1795="D",1,0)+IF(BO1795="D",1,0)+IF(BT1795="D",1,0)+IF(BU1795="D",1,0)+IF(BW1795="D",1,0)+IF(CC1795="D",1,0)+IF(CD1795="D",1,0)+IF(CE1795="D",1,0)+IF(CF1795="D",1,0)+IF(CL1795="D",1,0)+IF(CM1795="D",1,0)+IF(CQ1795="D",1,0)+IF(CR1795="D",1,0)+IF(CS1795="D",1,0)+IF(CW1795="D",1,0)+IF(CX1795="D",1,0)+IF(DD1795="D",1,0)+IF(DE1795="D",1,0)+IF(DJ1795="D",1,0)+IF(DK1795="D",1,0)+IF(DO1795="D",1,0)+IF(DP1795="D",1,0)+IF(DQ1795="D",1,0)+IF(DW1795="D",1,0)+IF(DZ1795="D",1,0)+IF(EH1795="D",1,0)</f>
        <v/>
      </c>
      <c r="AY1795">
        <f>IF(DJ1795&lt;&gt;"",1,0)+IF(DK1795&lt;&gt;"",1,0)+IF(DM1795&lt;&gt;"",1,0)+IF(DO1795&lt;&gt;"",1,0)+IF(DP1795&lt;&gt;"",1,0)+IF(DQ1795&lt;&gt;"",1,0)+IF(DS1795&lt;&gt;"",1,0)+IF(DT1795&lt;&gt;"",1,0)+IF(DV1795&lt;&gt;"",1,0)+IF(DW1795&lt;&gt;"",1,0)+IF(DX1795&lt;&gt;"",1,0)+IF(DY1795&lt;&gt;"",1,0)+IF(DZ1795&lt;&gt;"",1,0)+IF(EB1795&lt;&gt;"",1,0)+IF(EC1795&lt;&gt;"",1,0)+IF(ED1795&lt;&gt;"",1,0)+IF(EG1795&lt;&gt;"",1,0)+IF(EH1795&lt;&gt;"",1,0)</f>
        <v/>
      </c>
      <c r="AZ1795">
        <f>IF(EH1795&lt;&gt;"",1,0)</f>
        <v/>
      </c>
      <c r="BB1795" t="inlineStr">
        <is>
          <t>WARREN-WARD 4</t>
        </is>
      </c>
    </row>
    <row r="1796">
      <c r="A1796" t="inlineStr">
        <is>
          <t>OH0019295717</t>
        </is>
      </c>
      <c r="B1796" t="n">
        <v>78</v>
      </c>
      <c r="C1796" t="n">
        <v>352312</v>
      </c>
      <c r="D1796" t="inlineStr">
        <is>
          <t>JORDAN</t>
        </is>
      </c>
      <c r="E1796" t="inlineStr">
        <is>
          <t>JONTAE</t>
        </is>
      </c>
      <c r="F1796">
        <f>CONCATENATE(D1796," ",LEFT(H1796,4),"T=",AU1796,"D=",AV1796,"R=",AW1796,"M=",AX1796,"L=",AY1796,"B=",AZ1796)</f>
        <v/>
      </c>
      <c r="G1796" t="inlineStr">
        <is>
          <t>T</t>
        </is>
      </c>
      <c r="I1796" t="inlineStr">
        <is>
          <t>1987-09-02</t>
        </is>
      </c>
      <c r="J1796" t="inlineStr">
        <is>
          <t>2018-05-25</t>
        </is>
      </c>
      <c r="K1796" t="inlineStr">
        <is>
          <t>CONFIRMATION</t>
        </is>
      </c>
      <c r="M1796" t="inlineStr">
        <is>
          <t>424 OLIVE AVE NE</t>
        </is>
      </c>
      <c r="N1796">
        <f>RIGHT(M1796,LEN(M1796)-FIND(" ",M1796))</f>
        <v/>
      </c>
      <c r="P1796" t="inlineStr">
        <is>
          <t>WARREN</t>
        </is>
      </c>
      <c r="Q1796" t="inlineStr">
        <is>
          <t>OH</t>
        </is>
      </c>
      <c r="R1796" t="n">
        <v>44483</v>
      </c>
      <c r="AD1796" t="inlineStr">
        <is>
          <t>TRUMBULL CAREER &amp; TECH CENTER</t>
        </is>
      </c>
      <c r="AE1796" t="inlineStr">
        <is>
          <t>WARREN CITY</t>
        </is>
      </c>
      <c r="AF1796" t="inlineStr">
        <is>
          <t>WARREN CITY SD</t>
        </is>
      </c>
      <c r="AH1796" t="n">
        <v>14</v>
      </c>
      <c r="AI1796" t="n">
        <v>11</v>
      </c>
      <c r="AN1796" t="inlineStr">
        <is>
          <t>WARREN</t>
        </is>
      </c>
      <c r="AO1796" t="inlineStr">
        <is>
          <t>WARREN CITY 4D</t>
        </is>
      </c>
      <c r="AP1796" t="inlineStr">
        <is>
          <t>78-P-ADL</t>
        </is>
      </c>
      <c r="AQ1796" t="n">
        <v>9</v>
      </c>
      <c r="AR1796" t="n">
        <v>64</v>
      </c>
      <c r="AS1796" t="n">
        <v>32</v>
      </c>
      <c r="AU1796">
        <f>COUNTA($BA$1796:$EH$1796)</f>
        <v/>
      </c>
      <c r="AV1796">
        <f>COUNTIF($BA$1796:$EH$1796,"D")</f>
        <v/>
      </c>
      <c r="AW1796">
        <f>COUNTIF($BA$1796:$EH$1796,"R")</f>
        <v/>
      </c>
      <c r="AX1796">
        <f>IF(BN1796="D",1,0)+IF(BO1796="D",1,0)+IF(BT1796="D",1,0)+IF(BU1796="D",1,0)+IF(BW1796="D",1,0)+IF(CC1796="D",1,0)+IF(CD1796="D",1,0)+IF(CE1796="D",1,0)+IF(CF1796="D",1,0)+IF(CL1796="D",1,0)+IF(CM1796="D",1,0)+IF(CQ1796="D",1,0)+IF(CR1796="D",1,0)+IF(CS1796="D",1,0)+IF(CW1796="D",1,0)+IF(CX1796="D",1,0)+IF(DD1796="D",1,0)+IF(DE1796="D",1,0)+IF(DJ1796="D",1,0)+IF(DK1796="D",1,0)+IF(DO1796="D",1,0)+IF(DP1796="D",1,0)+IF(DQ1796="D",1,0)+IF(DW1796="D",1,0)+IF(DZ1796="D",1,0)+IF(EH1796="D",1,0)</f>
        <v/>
      </c>
      <c r="AY1796">
        <f>IF(DJ1796&lt;&gt;"",1,0)+IF(DK1796&lt;&gt;"",1,0)+IF(DM1796&lt;&gt;"",1,0)+IF(DO1796&lt;&gt;"",1,0)+IF(DP1796&lt;&gt;"",1,0)+IF(DQ1796&lt;&gt;"",1,0)+IF(DS1796&lt;&gt;"",1,0)+IF(DT1796&lt;&gt;"",1,0)+IF(DV1796&lt;&gt;"",1,0)+IF(DW1796&lt;&gt;"",1,0)+IF(DX1796&lt;&gt;"",1,0)+IF(DY1796&lt;&gt;"",1,0)+IF(DZ1796&lt;&gt;"",1,0)+IF(EB1796&lt;&gt;"",1,0)+IF(EC1796&lt;&gt;"",1,0)+IF(ED1796&lt;&gt;"",1,0)+IF(EG1796&lt;&gt;"",1,0)+IF(EH1796&lt;&gt;"",1,0)</f>
        <v/>
      </c>
      <c r="AZ1796">
        <f>IF(EH1796&lt;&gt;"",1,0)</f>
        <v/>
      </c>
      <c r="BB1796" t="inlineStr">
        <is>
          <t>WARREN-WARD 4</t>
        </is>
      </c>
      <c r="BY1796" t="inlineStr">
        <is>
          <t>D</t>
        </is>
      </c>
      <c r="CA1796" t="inlineStr">
        <is>
          <t>X</t>
        </is>
      </c>
      <c r="CH1796" t="inlineStr">
        <is>
          <t>D</t>
        </is>
      </c>
      <c r="CP1796" t="inlineStr">
        <is>
          <t>X</t>
        </is>
      </c>
      <c r="CU1796" t="inlineStr">
        <is>
          <t>D</t>
        </is>
      </c>
      <c r="CV1796" t="inlineStr">
        <is>
          <t>X</t>
        </is>
      </c>
      <c r="DC1796" t="inlineStr">
        <is>
          <t>X</t>
        </is>
      </c>
      <c r="DL1796" t="inlineStr">
        <is>
          <t>X</t>
        </is>
      </c>
      <c r="DN1796" t="inlineStr">
        <is>
          <t>X</t>
        </is>
      </c>
    </row>
    <row r="1797">
      <c r="A1797" t="inlineStr">
        <is>
          <t>OH0023525490</t>
        </is>
      </c>
      <c r="B1797" t="n">
        <v>78</v>
      </c>
      <c r="C1797" t="n">
        <v>412078</v>
      </c>
      <c r="D1797" t="inlineStr">
        <is>
          <t>MCLEAN</t>
        </is>
      </c>
      <c r="E1797" t="inlineStr">
        <is>
          <t>JAMES</t>
        </is>
      </c>
      <c r="F1797">
        <f>CONCATENATE(D1797," ",LEFT(H1797,4),"T=",AU1797,"D=",AV1797,"R=",AW1797,"M=",AX1797,"L=",AY1797,"B=",AZ1797)</f>
        <v/>
      </c>
      <c r="G1797" t="inlineStr">
        <is>
          <t>S</t>
        </is>
      </c>
      <c r="I1797" t="inlineStr">
        <is>
          <t>1964-08-20</t>
        </is>
      </c>
      <c r="J1797" t="inlineStr">
        <is>
          <t>2024-08-06</t>
        </is>
      </c>
      <c r="K1797" t="inlineStr">
        <is>
          <t>ACTIVE</t>
        </is>
      </c>
      <c r="M1797" t="inlineStr">
        <is>
          <t>182 HIGH ST NE</t>
        </is>
      </c>
      <c r="N1797">
        <f>RIGHT(M1797,LEN(M1797)-FIND(" ",M1797))</f>
        <v/>
      </c>
      <c r="O1797" t="inlineStr">
        <is>
          <t>APT 409</t>
        </is>
      </c>
      <c r="P1797" t="inlineStr">
        <is>
          <t>WARREN</t>
        </is>
      </c>
      <c r="Q1797" t="inlineStr">
        <is>
          <t>OH</t>
        </is>
      </c>
      <c r="R1797" t="n">
        <v>44481</v>
      </c>
      <c r="AD1797" t="inlineStr">
        <is>
          <t>TRUMBULL CAREER &amp; TECH CENTER</t>
        </is>
      </c>
      <c r="AE1797" t="inlineStr">
        <is>
          <t>WARREN CITY</t>
        </is>
      </c>
      <c r="AF1797" t="inlineStr">
        <is>
          <t>WARREN CITY SD</t>
        </is>
      </c>
      <c r="AH1797" t="n">
        <v>14</v>
      </c>
      <c r="AI1797" t="n">
        <v>11</v>
      </c>
      <c r="AN1797" t="inlineStr">
        <is>
          <t>WARREN</t>
        </is>
      </c>
      <c r="AO1797" t="inlineStr">
        <is>
          <t>WARREN CITY 4D</t>
        </is>
      </c>
      <c r="AP1797" t="inlineStr">
        <is>
          <t>78-P-ADL</t>
        </is>
      </c>
      <c r="AQ1797" t="n">
        <v>9</v>
      </c>
      <c r="AR1797" t="n">
        <v>64</v>
      </c>
      <c r="AS1797" t="n">
        <v>32</v>
      </c>
      <c r="AU1797">
        <f>COUNTA($BA$1797:$EH$1797)</f>
        <v/>
      </c>
      <c r="AV1797">
        <f>COUNTIF($BA$1797:$EH$1797,"D")</f>
        <v/>
      </c>
      <c r="AW1797">
        <f>COUNTIF($BA$1797:$EH$1797,"R")</f>
        <v/>
      </c>
      <c r="AX1797">
        <f>IF(BN1797="D",1,0)+IF(BO1797="D",1,0)+IF(BT1797="D",1,0)+IF(BU1797="D",1,0)+IF(BW1797="D",1,0)+IF(CC1797="D",1,0)+IF(CD1797="D",1,0)+IF(CE1797="D",1,0)+IF(CF1797="D",1,0)+IF(CL1797="D",1,0)+IF(CM1797="D",1,0)+IF(CQ1797="D",1,0)+IF(CR1797="D",1,0)+IF(CS1797="D",1,0)+IF(CW1797="D",1,0)+IF(CX1797="D",1,0)+IF(DD1797="D",1,0)+IF(DE1797="D",1,0)+IF(DJ1797="D",1,0)+IF(DK1797="D",1,0)+IF(DO1797="D",1,0)+IF(DP1797="D",1,0)+IF(DQ1797="D",1,0)+IF(DW1797="D",1,0)+IF(DZ1797="D",1,0)+IF(EH1797="D",1,0)</f>
        <v/>
      </c>
      <c r="AY1797">
        <f>IF(DJ1797&lt;&gt;"",1,0)+IF(DK1797&lt;&gt;"",1,0)+IF(DM1797&lt;&gt;"",1,0)+IF(DO1797&lt;&gt;"",1,0)+IF(DP1797&lt;&gt;"",1,0)+IF(DQ1797&lt;&gt;"",1,0)+IF(DS1797&lt;&gt;"",1,0)+IF(DT1797&lt;&gt;"",1,0)+IF(DV1797&lt;&gt;"",1,0)+IF(DW1797&lt;&gt;"",1,0)+IF(DX1797&lt;&gt;"",1,0)+IF(DY1797&lt;&gt;"",1,0)+IF(DZ1797&lt;&gt;"",1,0)+IF(EB1797&lt;&gt;"",1,0)+IF(EC1797&lt;&gt;"",1,0)+IF(ED1797&lt;&gt;"",1,0)+IF(EG1797&lt;&gt;"",1,0)+IF(EH1797&lt;&gt;"",1,0)</f>
        <v/>
      </c>
      <c r="AZ1797">
        <f>IF(EH1797&lt;&gt;"",1,0)</f>
        <v/>
      </c>
      <c r="BB1797" t="inlineStr">
        <is>
          <t>WARREN-WARD 4</t>
        </is>
      </c>
      <c r="DC1797" t="inlineStr">
        <is>
          <t>X</t>
        </is>
      </c>
      <c r="DI1797" t="inlineStr">
        <is>
          <t>X</t>
        </is>
      </c>
      <c r="DN1797" t="inlineStr">
        <is>
          <t>X</t>
        </is>
      </c>
      <c r="EA1797" t="inlineStr">
        <is>
          <t>X</t>
        </is>
      </c>
      <c r="EF1797" t="inlineStr">
        <is>
          <t>X</t>
        </is>
      </c>
    </row>
    <row r="1798">
      <c r="A1798" t="inlineStr">
        <is>
          <t>OH0019557798</t>
        </is>
      </c>
      <c r="B1798" t="n">
        <v>78</v>
      </c>
      <c r="C1798" t="n">
        <v>355524</v>
      </c>
      <c r="D1798" t="inlineStr">
        <is>
          <t>KEEN</t>
        </is>
      </c>
      <c r="E1798" t="inlineStr">
        <is>
          <t>STEVEN</t>
        </is>
      </c>
      <c r="F1798">
        <f>CONCATENATE(D1798," ",LEFT(H1798,4),"T=",AU1798,"D=",AV1798,"R=",AW1798,"M=",AX1798,"L=",AY1798,"B=",AZ1798)</f>
        <v/>
      </c>
      <c r="G1798" t="inlineStr">
        <is>
          <t>R</t>
        </is>
      </c>
      <c r="I1798" t="inlineStr">
        <is>
          <t>1967-04-12</t>
        </is>
      </c>
      <c r="J1798" t="inlineStr">
        <is>
          <t>2012-10-29</t>
        </is>
      </c>
      <c r="K1798" t="inlineStr">
        <is>
          <t>CONFIRMATION</t>
        </is>
      </c>
      <c r="M1798" t="inlineStr">
        <is>
          <t>189 LOGAN AVE NE</t>
        </is>
      </c>
      <c r="N1798">
        <f>RIGHT(M1798,LEN(M1798)-FIND(" ",M1798))</f>
        <v/>
      </c>
      <c r="P1798" t="inlineStr">
        <is>
          <t>WARREN</t>
        </is>
      </c>
      <c r="Q1798" t="inlineStr">
        <is>
          <t>OH</t>
        </is>
      </c>
      <c r="R1798" t="n">
        <v>44483</v>
      </c>
      <c r="AD1798" t="inlineStr">
        <is>
          <t>TRUMBULL CAREER &amp; TECH CENTER</t>
        </is>
      </c>
      <c r="AE1798" t="inlineStr">
        <is>
          <t>WARREN CITY</t>
        </is>
      </c>
      <c r="AF1798" t="inlineStr">
        <is>
          <t>WARREN CITY SD</t>
        </is>
      </c>
      <c r="AH1798" t="n">
        <v>14</v>
      </c>
      <c r="AI1798" t="n">
        <v>11</v>
      </c>
      <c r="AN1798" t="inlineStr">
        <is>
          <t>WARREN</t>
        </is>
      </c>
      <c r="AO1798" t="inlineStr">
        <is>
          <t>WARREN CITY 4D</t>
        </is>
      </c>
      <c r="AP1798" t="inlineStr">
        <is>
          <t>78-P-ADL</t>
        </is>
      </c>
      <c r="AQ1798" t="n">
        <v>9</v>
      </c>
      <c r="AR1798" t="n">
        <v>64</v>
      </c>
      <c r="AS1798" t="n">
        <v>32</v>
      </c>
      <c r="AU1798">
        <f>COUNTA($BA$1798:$EH$1798)</f>
        <v/>
      </c>
      <c r="AV1798">
        <f>COUNTIF($BA$1798:$EH$1798,"D")</f>
        <v/>
      </c>
      <c r="AW1798">
        <f>COUNTIF($BA$1798:$EH$1798,"R")</f>
        <v/>
      </c>
      <c r="AX1798">
        <f>IF(BN1798="D",1,0)+IF(BO1798="D",1,0)+IF(BT1798="D",1,0)+IF(BU1798="D",1,0)+IF(BW1798="D",1,0)+IF(CC1798="D",1,0)+IF(CD1798="D",1,0)+IF(CE1798="D",1,0)+IF(CF1798="D",1,0)+IF(CL1798="D",1,0)+IF(CM1798="D",1,0)+IF(CQ1798="D",1,0)+IF(CR1798="D",1,0)+IF(CS1798="D",1,0)+IF(CW1798="D",1,0)+IF(CX1798="D",1,0)+IF(DD1798="D",1,0)+IF(DE1798="D",1,0)+IF(DJ1798="D",1,0)+IF(DK1798="D",1,0)+IF(DO1798="D",1,0)+IF(DP1798="D",1,0)+IF(DQ1798="D",1,0)+IF(DW1798="D",1,0)+IF(DZ1798="D",1,0)+IF(EH1798="D",1,0)</f>
        <v/>
      </c>
      <c r="AY1798">
        <f>IF(DJ1798&lt;&gt;"",1,0)+IF(DK1798&lt;&gt;"",1,0)+IF(DM1798&lt;&gt;"",1,0)+IF(DO1798&lt;&gt;"",1,0)+IF(DP1798&lt;&gt;"",1,0)+IF(DQ1798&lt;&gt;"",1,0)+IF(DS1798&lt;&gt;"",1,0)+IF(DT1798&lt;&gt;"",1,0)+IF(DV1798&lt;&gt;"",1,0)+IF(DW1798&lt;&gt;"",1,0)+IF(DX1798&lt;&gt;"",1,0)+IF(DY1798&lt;&gt;"",1,0)+IF(DZ1798&lt;&gt;"",1,0)+IF(EB1798&lt;&gt;"",1,0)+IF(EC1798&lt;&gt;"",1,0)+IF(ED1798&lt;&gt;"",1,0)+IF(EG1798&lt;&gt;"",1,0)+IF(EH1798&lt;&gt;"",1,0)</f>
        <v/>
      </c>
      <c r="AZ1798">
        <f>IF(EH1798&lt;&gt;"",1,0)</f>
        <v/>
      </c>
      <c r="BB1798" t="inlineStr">
        <is>
          <t>WARREN-WARD 4</t>
        </is>
      </c>
    </row>
    <row r="1799">
      <c r="A1799" t="inlineStr">
        <is>
          <t>OH0024630371</t>
        </is>
      </c>
      <c r="B1799" t="n">
        <v>78</v>
      </c>
      <c r="C1799" t="n">
        <v>431692</v>
      </c>
      <c r="D1799" t="inlineStr">
        <is>
          <t>MAYFIELD</t>
        </is>
      </c>
      <c r="E1799" t="inlineStr">
        <is>
          <t>JUSTIN</t>
        </is>
      </c>
      <c r="F1799">
        <f>CONCATENATE(D1799," ",LEFT(H1799,4),"T=",AU1799,"D=",AV1799,"R=",AW1799,"M=",AX1799,"L=",AY1799,"B=",AZ1799)</f>
        <v/>
      </c>
      <c r="G1799" t="inlineStr">
        <is>
          <t>R</t>
        </is>
      </c>
      <c r="I1799" t="inlineStr">
        <is>
          <t>1988-01-28</t>
        </is>
      </c>
      <c r="J1799" t="inlineStr">
        <is>
          <t>2018-05-14</t>
        </is>
      </c>
      <c r="K1799" t="inlineStr">
        <is>
          <t>CONFIRMATION</t>
        </is>
      </c>
      <c r="M1799" t="inlineStr">
        <is>
          <t>478 WAVERLY AVE NE</t>
        </is>
      </c>
      <c r="N1799">
        <f>RIGHT(M1799,LEN(M1799)-FIND(" ",M1799))</f>
        <v/>
      </c>
      <c r="P1799" t="inlineStr">
        <is>
          <t>WARREN</t>
        </is>
      </c>
      <c r="Q1799" t="inlineStr">
        <is>
          <t>OH</t>
        </is>
      </c>
      <c r="R1799" t="n">
        <v>44483</v>
      </c>
      <c r="AD1799" t="inlineStr">
        <is>
          <t>TRUMBULL CAREER &amp; TECH CENTER</t>
        </is>
      </c>
      <c r="AE1799" t="inlineStr">
        <is>
          <t>WARREN CITY</t>
        </is>
      </c>
      <c r="AF1799" t="inlineStr">
        <is>
          <t>WARREN CITY SD</t>
        </is>
      </c>
      <c r="AH1799" t="n">
        <v>14</v>
      </c>
      <c r="AI1799" t="n">
        <v>11</v>
      </c>
      <c r="AN1799" t="inlineStr">
        <is>
          <t>WARREN</t>
        </is>
      </c>
      <c r="AO1799" t="inlineStr">
        <is>
          <t>WARREN CITY 4D</t>
        </is>
      </c>
      <c r="AP1799" t="inlineStr">
        <is>
          <t>78-P-ADL</t>
        </is>
      </c>
      <c r="AQ1799" t="n">
        <v>9</v>
      </c>
      <c r="AR1799" t="n">
        <v>64</v>
      </c>
      <c r="AS1799" t="n">
        <v>32</v>
      </c>
      <c r="AU1799">
        <f>COUNTA($BA$1799:$EH$1799)</f>
        <v/>
      </c>
      <c r="AV1799">
        <f>COUNTIF($BA$1799:$EH$1799,"D")</f>
        <v/>
      </c>
      <c r="AW1799">
        <f>COUNTIF($BA$1799:$EH$1799,"R")</f>
        <v/>
      </c>
      <c r="AX1799">
        <f>IF(BN1799="D",1,0)+IF(BO1799="D",1,0)+IF(BT1799="D",1,0)+IF(BU1799="D",1,0)+IF(BW1799="D",1,0)+IF(CC1799="D",1,0)+IF(CD1799="D",1,0)+IF(CE1799="D",1,0)+IF(CF1799="D",1,0)+IF(CL1799="D",1,0)+IF(CM1799="D",1,0)+IF(CQ1799="D",1,0)+IF(CR1799="D",1,0)+IF(CS1799="D",1,0)+IF(CW1799="D",1,0)+IF(CX1799="D",1,0)+IF(DD1799="D",1,0)+IF(DE1799="D",1,0)+IF(DJ1799="D",1,0)+IF(DK1799="D",1,0)+IF(DO1799="D",1,0)+IF(DP1799="D",1,0)+IF(DQ1799="D",1,0)+IF(DW1799="D",1,0)+IF(DZ1799="D",1,0)+IF(EH1799="D",1,0)</f>
        <v/>
      </c>
      <c r="AY1799">
        <f>IF(DJ1799&lt;&gt;"",1,0)+IF(DK1799&lt;&gt;"",1,0)+IF(DM1799&lt;&gt;"",1,0)+IF(DO1799&lt;&gt;"",1,0)+IF(DP1799&lt;&gt;"",1,0)+IF(DQ1799&lt;&gt;"",1,0)+IF(DS1799&lt;&gt;"",1,0)+IF(DT1799&lt;&gt;"",1,0)+IF(DV1799&lt;&gt;"",1,0)+IF(DW1799&lt;&gt;"",1,0)+IF(DX1799&lt;&gt;"",1,0)+IF(DY1799&lt;&gt;"",1,0)+IF(DZ1799&lt;&gt;"",1,0)+IF(EB1799&lt;&gt;"",1,0)+IF(EC1799&lt;&gt;"",1,0)+IF(ED1799&lt;&gt;"",1,0)+IF(EG1799&lt;&gt;"",1,0)+IF(EH1799&lt;&gt;"",1,0)</f>
        <v/>
      </c>
      <c r="AZ1799">
        <f>IF(EH1799&lt;&gt;"",1,0)</f>
        <v/>
      </c>
      <c r="BB1799" t="inlineStr">
        <is>
          <t>WARREN-WARD 4</t>
        </is>
      </c>
    </row>
    <row r="1800">
      <c r="A1800" t="inlineStr">
        <is>
          <t>OH0026180570</t>
        </is>
      </c>
      <c r="B1800" t="n">
        <v>78</v>
      </c>
      <c r="C1800" t="n">
        <v>457822</v>
      </c>
      <c r="D1800" t="inlineStr">
        <is>
          <t>SMITH</t>
        </is>
      </c>
      <c r="E1800" t="inlineStr">
        <is>
          <t>JASON</t>
        </is>
      </c>
      <c r="F1800">
        <f>CONCATENATE(D1800," ",LEFT(H1800,4),"T=",AU1800,"D=",AV1800,"R=",AW1800,"M=",AX1800,"L=",AY1800,"B=",AZ1800)</f>
        <v/>
      </c>
      <c r="G1800" t="inlineStr">
        <is>
          <t>L</t>
        </is>
      </c>
      <c r="I1800" t="inlineStr">
        <is>
          <t>1975-06-22</t>
        </is>
      </c>
      <c r="J1800" t="inlineStr">
        <is>
          <t>2021-03-12</t>
        </is>
      </c>
      <c r="K1800" t="inlineStr">
        <is>
          <t>ACTIVE</t>
        </is>
      </c>
      <c r="M1800" t="inlineStr">
        <is>
          <t>464 VINE AVE NE</t>
        </is>
      </c>
      <c r="N1800">
        <f>RIGHT(M1800,LEN(M1800)-FIND(" ",M1800))</f>
        <v/>
      </c>
      <c r="O1800" t="inlineStr">
        <is>
          <t>APT 3</t>
        </is>
      </c>
      <c r="P1800" t="inlineStr">
        <is>
          <t>WARREN</t>
        </is>
      </c>
      <c r="Q1800" t="inlineStr">
        <is>
          <t>OH</t>
        </is>
      </c>
      <c r="R1800" t="n">
        <v>44483</v>
      </c>
      <c r="AD1800" t="inlineStr">
        <is>
          <t>TRUMBULL CAREER &amp; TECH CENTER</t>
        </is>
      </c>
      <c r="AE1800" t="inlineStr">
        <is>
          <t>WARREN CITY</t>
        </is>
      </c>
      <c r="AF1800" t="inlineStr">
        <is>
          <t>WARREN CITY SD</t>
        </is>
      </c>
      <c r="AH1800" t="n">
        <v>14</v>
      </c>
      <c r="AI1800" t="n">
        <v>11</v>
      </c>
      <c r="AN1800" t="inlineStr">
        <is>
          <t>WARREN</t>
        </is>
      </c>
      <c r="AO1800" t="inlineStr">
        <is>
          <t>WARREN CITY 4D</t>
        </is>
      </c>
      <c r="AP1800" t="inlineStr">
        <is>
          <t>78-P-ADL</t>
        </is>
      </c>
      <c r="AQ1800" t="n">
        <v>9</v>
      </c>
      <c r="AR1800" t="n">
        <v>64</v>
      </c>
      <c r="AS1800" t="n">
        <v>32</v>
      </c>
      <c r="AU1800">
        <f>COUNTA($BA$1800:$EH$1800)</f>
        <v/>
      </c>
      <c r="AV1800">
        <f>COUNTIF($BA$1800:$EH$1800,"D")</f>
        <v/>
      </c>
      <c r="AW1800">
        <f>COUNTIF($BA$1800:$EH$1800,"R")</f>
        <v/>
      </c>
      <c r="AX1800">
        <f>IF(BN1800="D",1,0)+IF(BO1800="D",1,0)+IF(BT1800="D",1,0)+IF(BU1800="D",1,0)+IF(BW1800="D",1,0)+IF(CC1800="D",1,0)+IF(CD1800="D",1,0)+IF(CE1800="D",1,0)+IF(CF1800="D",1,0)+IF(CL1800="D",1,0)+IF(CM1800="D",1,0)+IF(CQ1800="D",1,0)+IF(CR1800="D",1,0)+IF(CS1800="D",1,0)+IF(CW1800="D",1,0)+IF(CX1800="D",1,0)+IF(DD1800="D",1,0)+IF(DE1800="D",1,0)+IF(DJ1800="D",1,0)+IF(DK1800="D",1,0)+IF(DO1800="D",1,0)+IF(DP1800="D",1,0)+IF(DQ1800="D",1,0)+IF(DW1800="D",1,0)+IF(DZ1800="D",1,0)+IF(EH1800="D",1,0)</f>
        <v/>
      </c>
      <c r="AY1800">
        <f>IF(DJ1800&lt;&gt;"",1,0)+IF(DK1800&lt;&gt;"",1,0)+IF(DM1800&lt;&gt;"",1,0)+IF(DO1800&lt;&gt;"",1,0)+IF(DP1800&lt;&gt;"",1,0)+IF(DQ1800&lt;&gt;"",1,0)+IF(DS1800&lt;&gt;"",1,0)+IF(DT1800&lt;&gt;"",1,0)+IF(DV1800&lt;&gt;"",1,0)+IF(DW1800&lt;&gt;"",1,0)+IF(DX1800&lt;&gt;"",1,0)+IF(DY1800&lt;&gt;"",1,0)+IF(DZ1800&lt;&gt;"",1,0)+IF(EB1800&lt;&gt;"",1,0)+IF(EC1800&lt;&gt;"",1,0)+IF(ED1800&lt;&gt;"",1,0)+IF(EG1800&lt;&gt;"",1,0)+IF(EH1800&lt;&gt;"",1,0)</f>
        <v/>
      </c>
      <c r="AZ1800">
        <f>IF(EH1800&lt;&gt;"",1,0)</f>
        <v/>
      </c>
      <c r="BB1800" t="inlineStr">
        <is>
          <t>WARREN-WARD 4</t>
        </is>
      </c>
      <c r="BL1800" t="inlineStr">
        <is>
          <t>X</t>
        </is>
      </c>
      <c r="EF1800" t="inlineStr">
        <is>
          <t>X</t>
        </is>
      </c>
    </row>
    <row r="1801">
      <c r="A1801" t="inlineStr">
        <is>
          <t>OH0026995288</t>
        </is>
      </c>
      <c r="B1801" t="n">
        <v>78</v>
      </c>
      <c r="C1801" t="n">
        <v>475146</v>
      </c>
      <c r="D1801" t="inlineStr">
        <is>
          <t>SCOTT</t>
        </is>
      </c>
      <c r="E1801" t="inlineStr">
        <is>
          <t>DENNIS</t>
        </is>
      </c>
      <c r="F1801">
        <f>CONCATENATE(D1801," ",LEFT(H1801,4),"T=",AU1801,"D=",AV1801,"R=",AW1801,"M=",AX1801,"L=",AY1801,"B=",AZ1801)</f>
        <v/>
      </c>
      <c r="G1801" t="inlineStr">
        <is>
          <t>ELMER</t>
        </is>
      </c>
      <c r="I1801" t="inlineStr">
        <is>
          <t>1960-08-17</t>
        </is>
      </c>
      <c r="J1801" t="inlineStr">
        <is>
          <t>2022-12-21</t>
        </is>
      </c>
      <c r="K1801" t="inlineStr">
        <is>
          <t>ACTIVE</t>
        </is>
      </c>
      <c r="M1801" t="inlineStr">
        <is>
          <t>509 PORTER ST NE</t>
        </is>
      </c>
      <c r="N1801">
        <f>RIGHT(M1801,LEN(M1801)-FIND(" ",M1801))</f>
        <v/>
      </c>
      <c r="P1801" t="inlineStr">
        <is>
          <t>WARREN</t>
        </is>
      </c>
      <c r="Q1801" t="inlineStr">
        <is>
          <t>OH</t>
        </is>
      </c>
      <c r="R1801" t="n">
        <v>44483</v>
      </c>
      <c r="AD1801" t="inlineStr">
        <is>
          <t>TRUMBULL CAREER &amp; TECH CENTER</t>
        </is>
      </c>
      <c r="AE1801" t="inlineStr">
        <is>
          <t>WARREN CITY</t>
        </is>
      </c>
      <c r="AF1801" t="inlineStr">
        <is>
          <t>WARREN CITY SD</t>
        </is>
      </c>
      <c r="AH1801" t="n">
        <v>14</v>
      </c>
      <c r="AI1801" t="n">
        <v>11</v>
      </c>
      <c r="AN1801" t="inlineStr">
        <is>
          <t>WARREN</t>
        </is>
      </c>
      <c r="AO1801" t="inlineStr">
        <is>
          <t>WARREN CITY 4D</t>
        </is>
      </c>
      <c r="AP1801" t="inlineStr">
        <is>
          <t>78-P-ADL</t>
        </is>
      </c>
      <c r="AQ1801" t="n">
        <v>9</v>
      </c>
      <c r="AR1801" t="n">
        <v>64</v>
      </c>
      <c r="AS1801" t="n">
        <v>32</v>
      </c>
      <c r="AU1801">
        <f>COUNTA($BA$1801:$EH$1801)</f>
        <v/>
      </c>
      <c r="AV1801">
        <f>COUNTIF($BA$1801:$EH$1801,"D")</f>
        <v/>
      </c>
      <c r="AW1801">
        <f>COUNTIF($BA$1801:$EH$1801,"R")</f>
        <v/>
      </c>
      <c r="AX1801">
        <f>IF(BN1801="D",1,0)+IF(BO1801="D",1,0)+IF(BT1801="D",1,0)+IF(BU1801="D",1,0)+IF(BW1801="D",1,0)+IF(CC1801="D",1,0)+IF(CD1801="D",1,0)+IF(CE1801="D",1,0)+IF(CF1801="D",1,0)+IF(CL1801="D",1,0)+IF(CM1801="D",1,0)+IF(CQ1801="D",1,0)+IF(CR1801="D",1,0)+IF(CS1801="D",1,0)+IF(CW1801="D",1,0)+IF(CX1801="D",1,0)+IF(DD1801="D",1,0)+IF(DE1801="D",1,0)+IF(DJ1801="D",1,0)+IF(DK1801="D",1,0)+IF(DO1801="D",1,0)+IF(DP1801="D",1,0)+IF(DQ1801="D",1,0)+IF(DW1801="D",1,0)+IF(DZ1801="D",1,0)+IF(EH1801="D",1,0)</f>
        <v/>
      </c>
      <c r="AY1801">
        <f>IF(DJ1801&lt;&gt;"",1,0)+IF(DK1801&lt;&gt;"",1,0)+IF(DM1801&lt;&gt;"",1,0)+IF(DO1801&lt;&gt;"",1,0)+IF(DP1801&lt;&gt;"",1,0)+IF(DQ1801&lt;&gt;"",1,0)+IF(DS1801&lt;&gt;"",1,0)+IF(DT1801&lt;&gt;"",1,0)+IF(DV1801&lt;&gt;"",1,0)+IF(DW1801&lt;&gt;"",1,0)+IF(DX1801&lt;&gt;"",1,0)+IF(DY1801&lt;&gt;"",1,0)+IF(DZ1801&lt;&gt;"",1,0)+IF(EB1801&lt;&gt;"",1,0)+IF(EC1801&lt;&gt;"",1,0)+IF(ED1801&lt;&gt;"",1,0)+IF(EG1801&lt;&gt;"",1,0)+IF(EH1801&lt;&gt;"",1,0)</f>
        <v/>
      </c>
      <c r="AZ1801">
        <f>IF(EH1801&lt;&gt;"",1,0)</f>
        <v/>
      </c>
      <c r="BB1801" t="inlineStr">
        <is>
          <t>WARREN-WARD 4</t>
        </is>
      </c>
      <c r="BL1801" t="inlineStr">
        <is>
          <t>X</t>
        </is>
      </c>
      <c r="BS1801" t="inlineStr">
        <is>
          <t>X</t>
        </is>
      </c>
      <c r="BV1801" t="inlineStr">
        <is>
          <t>X</t>
        </is>
      </c>
      <c r="BY1801" t="inlineStr">
        <is>
          <t>D</t>
        </is>
      </c>
      <c r="CA1801" t="inlineStr">
        <is>
          <t>X</t>
        </is>
      </c>
      <c r="CN1801" t="inlineStr">
        <is>
          <t>X</t>
        </is>
      </c>
      <c r="CP1801" t="inlineStr">
        <is>
          <t>X</t>
        </is>
      </c>
      <c r="CY1801" t="inlineStr">
        <is>
          <t>X</t>
        </is>
      </c>
      <c r="DN1801" t="inlineStr">
        <is>
          <t>X</t>
        </is>
      </c>
      <c r="DU1801" t="inlineStr">
        <is>
          <t>X</t>
        </is>
      </c>
    </row>
    <row r="1802">
      <c r="A1802" t="inlineStr">
        <is>
          <t>OH0027271131</t>
        </is>
      </c>
      <c r="B1802" t="n">
        <v>78</v>
      </c>
      <c r="C1802" t="n">
        <v>484087</v>
      </c>
      <c r="D1802" t="inlineStr">
        <is>
          <t>STOCKETT</t>
        </is>
      </c>
      <c r="E1802" t="inlineStr">
        <is>
          <t>ASHLEY</t>
        </is>
      </c>
      <c r="F1802">
        <f>CONCATENATE(D1802," ",LEFT(H1802,4),"T=",AU1802,"D=",AV1802,"R=",AW1802,"M=",AX1802,"L=",AY1802,"B=",AZ1802)</f>
        <v/>
      </c>
      <c r="G1802" t="inlineStr">
        <is>
          <t>BRANDON</t>
        </is>
      </c>
      <c r="I1802" t="inlineStr">
        <is>
          <t>1982-08-27</t>
        </is>
      </c>
      <c r="J1802" t="inlineStr">
        <is>
          <t>2024-02-22</t>
        </is>
      </c>
      <c r="K1802" t="inlineStr">
        <is>
          <t>CONFIRMATION</t>
        </is>
      </c>
      <c r="M1802" t="inlineStr">
        <is>
          <t>246 LOWELL AVE NE</t>
        </is>
      </c>
      <c r="N1802">
        <f>RIGHT(M1802,LEN(M1802)-FIND(" ",M1802))</f>
        <v/>
      </c>
      <c r="P1802" t="inlineStr">
        <is>
          <t>WARREN</t>
        </is>
      </c>
      <c r="Q1802" t="inlineStr">
        <is>
          <t>OH</t>
        </is>
      </c>
      <c r="R1802" t="n">
        <v>44483</v>
      </c>
      <c r="AD1802" t="inlineStr">
        <is>
          <t>TRUMBULL CAREER &amp; TECH CENTER</t>
        </is>
      </c>
      <c r="AE1802" t="inlineStr">
        <is>
          <t>WARREN CITY</t>
        </is>
      </c>
      <c r="AF1802" t="inlineStr">
        <is>
          <t>WARREN CITY SD</t>
        </is>
      </c>
      <c r="AH1802" t="n">
        <v>14</v>
      </c>
      <c r="AI1802" t="n">
        <v>11</v>
      </c>
      <c r="AN1802" t="inlineStr">
        <is>
          <t>WARREN</t>
        </is>
      </c>
      <c r="AO1802" t="inlineStr">
        <is>
          <t>WARREN CITY 4D</t>
        </is>
      </c>
      <c r="AP1802" t="inlineStr">
        <is>
          <t>78-P-ADL</t>
        </is>
      </c>
      <c r="AQ1802" t="n">
        <v>9</v>
      </c>
      <c r="AR1802" t="n">
        <v>64</v>
      </c>
      <c r="AS1802" t="n">
        <v>32</v>
      </c>
      <c r="AU1802">
        <f>COUNTA($BA$1802:$EH$1802)</f>
        <v/>
      </c>
      <c r="AV1802">
        <f>COUNTIF($BA$1802:$EH$1802,"D")</f>
        <v/>
      </c>
      <c r="AW1802">
        <f>COUNTIF($BA$1802:$EH$1802,"R")</f>
        <v/>
      </c>
      <c r="AX1802">
        <f>IF(BN1802="D",1,0)+IF(BO1802="D",1,0)+IF(BT1802="D",1,0)+IF(BU1802="D",1,0)+IF(BW1802="D",1,0)+IF(CC1802="D",1,0)+IF(CD1802="D",1,0)+IF(CE1802="D",1,0)+IF(CF1802="D",1,0)+IF(CL1802="D",1,0)+IF(CM1802="D",1,0)+IF(CQ1802="D",1,0)+IF(CR1802="D",1,0)+IF(CS1802="D",1,0)+IF(CW1802="D",1,0)+IF(CX1802="D",1,0)+IF(DD1802="D",1,0)+IF(DE1802="D",1,0)+IF(DJ1802="D",1,0)+IF(DK1802="D",1,0)+IF(DO1802="D",1,0)+IF(DP1802="D",1,0)+IF(DQ1802="D",1,0)+IF(DW1802="D",1,0)+IF(DZ1802="D",1,0)+IF(EH1802="D",1,0)</f>
        <v/>
      </c>
      <c r="AY1802">
        <f>IF(DJ1802&lt;&gt;"",1,0)+IF(DK1802&lt;&gt;"",1,0)+IF(DM1802&lt;&gt;"",1,0)+IF(DO1802&lt;&gt;"",1,0)+IF(DP1802&lt;&gt;"",1,0)+IF(DQ1802&lt;&gt;"",1,0)+IF(DS1802&lt;&gt;"",1,0)+IF(DT1802&lt;&gt;"",1,0)+IF(DV1802&lt;&gt;"",1,0)+IF(DW1802&lt;&gt;"",1,0)+IF(DX1802&lt;&gt;"",1,0)+IF(DY1802&lt;&gt;"",1,0)+IF(DZ1802&lt;&gt;"",1,0)+IF(EB1802&lt;&gt;"",1,0)+IF(EC1802&lt;&gt;"",1,0)+IF(ED1802&lt;&gt;"",1,0)+IF(EG1802&lt;&gt;"",1,0)+IF(EH1802&lt;&gt;"",1,0)</f>
        <v/>
      </c>
      <c r="AZ1802">
        <f>IF(EH1802&lt;&gt;"",1,0)</f>
        <v/>
      </c>
      <c r="BB1802" t="inlineStr">
        <is>
          <t>WARREN-WARD 4</t>
        </is>
      </c>
    </row>
    <row r="1803">
      <c r="A1803" t="inlineStr">
        <is>
          <t>OH0022308728</t>
        </is>
      </c>
      <c r="B1803" t="n">
        <v>78</v>
      </c>
      <c r="C1803" t="n">
        <v>393930</v>
      </c>
      <c r="D1803" t="inlineStr">
        <is>
          <t>PEHANICH</t>
        </is>
      </c>
      <c r="E1803" t="inlineStr">
        <is>
          <t>JOSEPH</t>
        </is>
      </c>
      <c r="F1803">
        <f>CONCATENATE(D1803," ",LEFT(H1803,4),"T=",AU1803,"D=",AV1803,"R=",AW1803,"M=",AX1803,"L=",AY1803,"B=",AZ1803)</f>
        <v/>
      </c>
      <c r="G1803" t="inlineStr">
        <is>
          <t>EDWARD</t>
        </is>
      </c>
      <c r="I1803" t="inlineStr">
        <is>
          <t>1991-10-12</t>
        </is>
      </c>
      <c r="J1803" t="inlineStr">
        <is>
          <t>2016-04-04</t>
        </is>
      </c>
      <c r="K1803" t="inlineStr">
        <is>
          <t>ACTIVE</t>
        </is>
      </c>
      <c r="M1803" t="inlineStr">
        <is>
          <t>158 IDDINGS AVE NE</t>
        </is>
      </c>
      <c r="N1803">
        <f>RIGHT(M1803,LEN(M1803)-FIND(" ",M1803))</f>
        <v/>
      </c>
      <c r="P1803" t="inlineStr">
        <is>
          <t>WARREN</t>
        </is>
      </c>
      <c r="Q1803" t="inlineStr">
        <is>
          <t>OH</t>
        </is>
      </c>
      <c r="R1803" t="n">
        <v>44483</v>
      </c>
      <c r="AD1803" t="inlineStr">
        <is>
          <t>TRUMBULL CAREER &amp; TECH CENTER</t>
        </is>
      </c>
      <c r="AE1803" t="inlineStr">
        <is>
          <t>WARREN CITY</t>
        </is>
      </c>
      <c r="AF1803" t="inlineStr">
        <is>
          <t>WARREN CITY SD</t>
        </is>
      </c>
      <c r="AH1803" t="n">
        <v>14</v>
      </c>
      <c r="AI1803" t="n">
        <v>11</v>
      </c>
      <c r="AN1803" t="inlineStr">
        <is>
          <t>WARREN</t>
        </is>
      </c>
      <c r="AO1803" t="inlineStr">
        <is>
          <t>WARREN CITY 4D</t>
        </is>
      </c>
      <c r="AP1803" t="inlineStr">
        <is>
          <t>78-P-ADL</t>
        </is>
      </c>
      <c r="AQ1803" t="n">
        <v>9</v>
      </c>
      <c r="AR1803" t="n">
        <v>64</v>
      </c>
      <c r="AS1803" t="n">
        <v>32</v>
      </c>
      <c r="AU1803">
        <f>COUNTA($BA$1803:$EH$1803)</f>
        <v/>
      </c>
      <c r="AV1803">
        <f>COUNTIF($BA$1803:$EH$1803,"D")</f>
        <v/>
      </c>
      <c r="AW1803">
        <f>COUNTIF($BA$1803:$EH$1803,"R")</f>
        <v/>
      </c>
      <c r="AX1803">
        <f>IF(BN1803="D",1,0)+IF(BO1803="D",1,0)+IF(BT1803="D",1,0)+IF(BU1803="D",1,0)+IF(BW1803="D",1,0)+IF(CC1803="D",1,0)+IF(CD1803="D",1,0)+IF(CE1803="D",1,0)+IF(CF1803="D",1,0)+IF(CL1803="D",1,0)+IF(CM1803="D",1,0)+IF(CQ1803="D",1,0)+IF(CR1803="D",1,0)+IF(CS1803="D",1,0)+IF(CW1803="D",1,0)+IF(CX1803="D",1,0)+IF(DD1803="D",1,0)+IF(DE1803="D",1,0)+IF(DJ1803="D",1,0)+IF(DK1803="D",1,0)+IF(DO1803="D",1,0)+IF(DP1803="D",1,0)+IF(DQ1803="D",1,0)+IF(DW1803="D",1,0)+IF(DZ1803="D",1,0)+IF(EH1803="D",1,0)</f>
        <v/>
      </c>
      <c r="AY1803">
        <f>IF(DJ1803&lt;&gt;"",1,0)+IF(DK1803&lt;&gt;"",1,0)+IF(DM1803&lt;&gt;"",1,0)+IF(DO1803&lt;&gt;"",1,0)+IF(DP1803&lt;&gt;"",1,0)+IF(DQ1803&lt;&gt;"",1,0)+IF(DS1803&lt;&gt;"",1,0)+IF(DT1803&lt;&gt;"",1,0)+IF(DV1803&lt;&gt;"",1,0)+IF(DW1803&lt;&gt;"",1,0)+IF(DX1803&lt;&gt;"",1,0)+IF(DY1803&lt;&gt;"",1,0)+IF(DZ1803&lt;&gt;"",1,0)+IF(EB1803&lt;&gt;"",1,0)+IF(EC1803&lt;&gt;"",1,0)+IF(ED1803&lt;&gt;"",1,0)+IF(EG1803&lt;&gt;"",1,0)+IF(EH1803&lt;&gt;"",1,0)</f>
        <v/>
      </c>
      <c r="AZ1803">
        <f>IF(EH1803&lt;&gt;"",1,0)</f>
        <v/>
      </c>
      <c r="BB1803" t="inlineStr">
        <is>
          <t>WARREN-WARD 4</t>
        </is>
      </c>
      <c r="CZ1803" t="inlineStr">
        <is>
          <t>R</t>
        </is>
      </c>
      <c r="DC1803" t="inlineStr">
        <is>
          <t>X</t>
        </is>
      </c>
      <c r="DI1803" t="inlineStr">
        <is>
          <t>X</t>
        </is>
      </c>
      <c r="DN1803" t="inlineStr">
        <is>
          <t>X</t>
        </is>
      </c>
      <c r="DU1803" t="inlineStr">
        <is>
          <t>X</t>
        </is>
      </c>
      <c r="DX1803" t="inlineStr">
        <is>
          <t>X</t>
        </is>
      </c>
      <c r="EF1803" t="inlineStr">
        <is>
          <t>X</t>
        </is>
      </c>
    </row>
    <row r="1804">
      <c r="A1804" t="inlineStr">
        <is>
          <t>OH0025798145</t>
        </is>
      </c>
      <c r="B1804" t="n">
        <v>78</v>
      </c>
      <c r="C1804" t="n">
        <v>450635</v>
      </c>
      <c r="D1804" t="inlineStr">
        <is>
          <t>LATRONICA</t>
        </is>
      </c>
      <c r="E1804" t="inlineStr">
        <is>
          <t>GREG</t>
        </is>
      </c>
      <c r="F1804">
        <f>CONCATENATE(D1804," ",LEFT(H1804,4),"T=",AU1804,"D=",AV1804,"R=",AW1804,"M=",AX1804,"L=",AY1804,"B=",AZ1804)</f>
        <v/>
      </c>
      <c r="G1804" t="inlineStr">
        <is>
          <t>SCOTT</t>
        </is>
      </c>
      <c r="I1804" t="inlineStr">
        <is>
          <t>1988-11-13</t>
        </is>
      </c>
      <c r="J1804" t="inlineStr">
        <is>
          <t>2020-09-09</t>
        </is>
      </c>
      <c r="K1804" t="inlineStr">
        <is>
          <t>CONFIRMATION</t>
        </is>
      </c>
      <c r="M1804" t="inlineStr">
        <is>
          <t>445 ELM RD NE</t>
        </is>
      </c>
      <c r="N1804">
        <f>RIGHT(M1804,LEN(M1804)-FIND(" ",M1804))</f>
        <v/>
      </c>
      <c r="P1804" t="inlineStr">
        <is>
          <t>WARREN</t>
        </is>
      </c>
      <c r="Q1804" t="inlineStr">
        <is>
          <t>OH</t>
        </is>
      </c>
      <c r="R1804" t="n">
        <v>44483</v>
      </c>
      <c r="AD1804" t="inlineStr">
        <is>
          <t>TRUMBULL CAREER &amp; TECH CENTER</t>
        </is>
      </c>
      <c r="AE1804" t="inlineStr">
        <is>
          <t>WARREN CITY</t>
        </is>
      </c>
      <c r="AF1804" t="inlineStr">
        <is>
          <t>WARREN CITY SD</t>
        </is>
      </c>
      <c r="AH1804" t="n">
        <v>14</v>
      </c>
      <c r="AI1804" t="n">
        <v>11</v>
      </c>
      <c r="AN1804" t="inlineStr">
        <is>
          <t>WARREN</t>
        </is>
      </c>
      <c r="AO1804" t="inlineStr">
        <is>
          <t>WARREN CITY 4D</t>
        </is>
      </c>
      <c r="AP1804" t="inlineStr">
        <is>
          <t>78-P-ADL</t>
        </is>
      </c>
      <c r="AQ1804" t="n">
        <v>9</v>
      </c>
      <c r="AR1804" t="n">
        <v>64</v>
      </c>
      <c r="AS1804" t="n">
        <v>32</v>
      </c>
      <c r="AU1804">
        <f>COUNTA($BA$1804:$EH$1804)</f>
        <v/>
      </c>
      <c r="AV1804">
        <f>COUNTIF($BA$1804:$EH$1804,"D")</f>
        <v/>
      </c>
      <c r="AW1804">
        <f>COUNTIF($BA$1804:$EH$1804,"R")</f>
        <v/>
      </c>
      <c r="AX1804">
        <f>IF(BN1804="D",1,0)+IF(BO1804="D",1,0)+IF(BT1804="D",1,0)+IF(BU1804="D",1,0)+IF(BW1804="D",1,0)+IF(CC1804="D",1,0)+IF(CD1804="D",1,0)+IF(CE1804="D",1,0)+IF(CF1804="D",1,0)+IF(CL1804="D",1,0)+IF(CM1804="D",1,0)+IF(CQ1804="D",1,0)+IF(CR1804="D",1,0)+IF(CS1804="D",1,0)+IF(CW1804="D",1,0)+IF(CX1804="D",1,0)+IF(DD1804="D",1,0)+IF(DE1804="D",1,0)+IF(DJ1804="D",1,0)+IF(DK1804="D",1,0)+IF(DO1804="D",1,0)+IF(DP1804="D",1,0)+IF(DQ1804="D",1,0)+IF(DW1804="D",1,0)+IF(DZ1804="D",1,0)+IF(EH1804="D",1,0)</f>
        <v/>
      </c>
      <c r="AY1804">
        <f>IF(DJ1804&lt;&gt;"",1,0)+IF(DK1804&lt;&gt;"",1,0)+IF(DM1804&lt;&gt;"",1,0)+IF(DO1804&lt;&gt;"",1,0)+IF(DP1804&lt;&gt;"",1,0)+IF(DQ1804&lt;&gt;"",1,0)+IF(DS1804&lt;&gt;"",1,0)+IF(DT1804&lt;&gt;"",1,0)+IF(DV1804&lt;&gt;"",1,0)+IF(DW1804&lt;&gt;"",1,0)+IF(DX1804&lt;&gt;"",1,0)+IF(DY1804&lt;&gt;"",1,0)+IF(DZ1804&lt;&gt;"",1,0)+IF(EB1804&lt;&gt;"",1,0)+IF(EC1804&lt;&gt;"",1,0)+IF(ED1804&lt;&gt;"",1,0)+IF(EG1804&lt;&gt;"",1,0)+IF(EH1804&lt;&gt;"",1,0)</f>
        <v/>
      </c>
      <c r="AZ1804">
        <f>IF(EH1804&lt;&gt;"",1,0)</f>
        <v/>
      </c>
      <c r="BB1804" t="inlineStr">
        <is>
          <t>WARREN-WARD 4</t>
        </is>
      </c>
      <c r="DN1804" t="inlineStr">
        <is>
          <t>X</t>
        </is>
      </c>
    </row>
    <row r="1805">
      <c r="A1805" t="inlineStr">
        <is>
          <t>OH0027517951</t>
        </is>
      </c>
      <c r="B1805" t="n">
        <v>78</v>
      </c>
      <c r="C1805" t="n">
        <v>487677</v>
      </c>
      <c r="D1805" t="inlineStr">
        <is>
          <t>JENKINS</t>
        </is>
      </c>
      <c r="E1805" t="inlineStr">
        <is>
          <t>LEROY</t>
        </is>
      </c>
      <c r="F1805">
        <f>CONCATENATE(D1805," ",LEFT(H1805,4),"T=",AU1805,"D=",AV1805,"R=",AW1805,"M=",AX1805,"L=",AY1805,"B=",AZ1805)</f>
        <v/>
      </c>
      <c r="G1805" t="inlineStr">
        <is>
          <t>T</t>
        </is>
      </c>
      <c r="I1805" t="inlineStr">
        <is>
          <t>2001-07-15</t>
        </is>
      </c>
      <c r="J1805" t="inlineStr">
        <is>
          <t>2024-08-06</t>
        </is>
      </c>
      <c r="K1805" t="inlineStr">
        <is>
          <t>ACTIVE</t>
        </is>
      </c>
      <c r="M1805" t="inlineStr">
        <is>
          <t>872 WOODLAND AVE NE</t>
        </is>
      </c>
      <c r="N1805">
        <f>RIGHT(M1805,LEN(M1805)-FIND(" ",M1805))</f>
        <v/>
      </c>
      <c r="P1805" t="inlineStr">
        <is>
          <t>WARREN</t>
        </is>
      </c>
      <c r="Q1805" t="inlineStr">
        <is>
          <t>OH</t>
        </is>
      </c>
      <c r="R1805" t="n">
        <v>44483</v>
      </c>
      <c r="AD1805" t="inlineStr">
        <is>
          <t>TRUMBULL CAREER &amp; TECH CENTER</t>
        </is>
      </c>
      <c r="AE1805" t="inlineStr">
        <is>
          <t>WARREN CITY</t>
        </is>
      </c>
      <c r="AF1805" t="inlineStr">
        <is>
          <t>WARREN CITY SD</t>
        </is>
      </c>
      <c r="AH1805" t="n">
        <v>14</v>
      </c>
      <c r="AI1805" t="n">
        <v>11</v>
      </c>
      <c r="AN1805" t="inlineStr">
        <is>
          <t>WARREN</t>
        </is>
      </c>
      <c r="AO1805" t="inlineStr">
        <is>
          <t>WARREN CITY 4D</t>
        </is>
      </c>
      <c r="AP1805" t="inlineStr">
        <is>
          <t>78-P-ADL</t>
        </is>
      </c>
      <c r="AQ1805" t="n">
        <v>9</v>
      </c>
      <c r="AR1805" t="n">
        <v>64</v>
      </c>
      <c r="AS1805" t="n">
        <v>32</v>
      </c>
      <c r="AU1805">
        <f>COUNTA($BA$1805:$EH$1805)</f>
        <v/>
      </c>
      <c r="AV1805">
        <f>COUNTIF($BA$1805:$EH$1805,"D")</f>
        <v/>
      </c>
      <c r="AW1805">
        <f>COUNTIF($BA$1805:$EH$1805,"R")</f>
        <v/>
      </c>
      <c r="AX1805">
        <f>IF(BN1805="D",1,0)+IF(BO1805="D",1,0)+IF(BT1805="D",1,0)+IF(BU1805="D",1,0)+IF(BW1805="D",1,0)+IF(CC1805="D",1,0)+IF(CD1805="D",1,0)+IF(CE1805="D",1,0)+IF(CF1805="D",1,0)+IF(CL1805="D",1,0)+IF(CM1805="D",1,0)+IF(CQ1805="D",1,0)+IF(CR1805="D",1,0)+IF(CS1805="D",1,0)+IF(CW1805="D",1,0)+IF(CX1805="D",1,0)+IF(DD1805="D",1,0)+IF(DE1805="D",1,0)+IF(DJ1805="D",1,0)+IF(DK1805="D",1,0)+IF(DO1805="D",1,0)+IF(DP1805="D",1,0)+IF(DQ1805="D",1,0)+IF(DW1805="D",1,0)+IF(DZ1805="D",1,0)+IF(EH1805="D",1,0)</f>
        <v/>
      </c>
      <c r="AY1805">
        <f>IF(DJ1805&lt;&gt;"",1,0)+IF(DK1805&lt;&gt;"",1,0)+IF(DM1805&lt;&gt;"",1,0)+IF(DO1805&lt;&gt;"",1,0)+IF(DP1805&lt;&gt;"",1,0)+IF(DQ1805&lt;&gt;"",1,0)+IF(DS1805&lt;&gt;"",1,0)+IF(DT1805&lt;&gt;"",1,0)+IF(DV1805&lt;&gt;"",1,0)+IF(DW1805&lt;&gt;"",1,0)+IF(DX1805&lt;&gt;"",1,0)+IF(DY1805&lt;&gt;"",1,0)+IF(DZ1805&lt;&gt;"",1,0)+IF(EB1805&lt;&gt;"",1,0)+IF(EC1805&lt;&gt;"",1,0)+IF(ED1805&lt;&gt;"",1,0)+IF(EG1805&lt;&gt;"",1,0)+IF(EH1805&lt;&gt;"",1,0)</f>
        <v/>
      </c>
      <c r="AZ1805">
        <f>IF(EH1805&lt;&gt;"",1,0)</f>
        <v/>
      </c>
      <c r="BB1805" t="inlineStr">
        <is>
          <t>WARREN-WARD 4</t>
        </is>
      </c>
    </row>
    <row r="1806">
      <c r="A1806" t="inlineStr">
        <is>
          <t>OH0015694625</t>
        </is>
      </c>
      <c r="B1806" t="n">
        <v>78</v>
      </c>
      <c r="C1806" t="n">
        <v>14683</v>
      </c>
      <c r="D1806" t="inlineStr">
        <is>
          <t>PIPPENGER</t>
        </is>
      </c>
      <c r="E1806" t="inlineStr">
        <is>
          <t>JOHN</t>
        </is>
      </c>
      <c r="F1806">
        <f>CONCATENATE(D1806," ",LEFT(H1806,4),"T=",AU1806,"D=",AV1806,"R=",AW1806,"M=",AX1806,"L=",AY1806,"B=",AZ1806)</f>
        <v/>
      </c>
      <c r="G1806" t="inlineStr">
        <is>
          <t>TODD</t>
        </is>
      </c>
      <c r="I1806" t="inlineStr">
        <is>
          <t>1958-02-16</t>
        </is>
      </c>
      <c r="J1806" t="inlineStr">
        <is>
          <t>2014-05-20</t>
        </is>
      </c>
      <c r="K1806" t="inlineStr">
        <is>
          <t>ACTIVE</t>
        </is>
      </c>
      <c r="L1806" t="inlineStr">
        <is>
          <t>R</t>
        </is>
      </c>
      <c r="M1806" t="inlineStr">
        <is>
          <t>1228 MCKINLEY ST NE</t>
        </is>
      </c>
      <c r="N1806">
        <f>RIGHT(M1806,LEN(M1806)-FIND(" ",M1806))</f>
        <v/>
      </c>
      <c r="P1806" t="inlineStr">
        <is>
          <t>WARREN</t>
        </is>
      </c>
      <c r="Q1806" t="inlineStr">
        <is>
          <t>OH</t>
        </is>
      </c>
      <c r="R1806" t="n">
        <v>44483</v>
      </c>
      <c r="S1806" t="n">
        <v>5140</v>
      </c>
      <c r="V1806" t="inlineStr">
        <is>
          <t>PO BOX 1289</t>
        </is>
      </c>
      <c r="X1806" t="inlineStr">
        <is>
          <t>WARREN</t>
        </is>
      </c>
      <c r="Y1806" t="inlineStr">
        <is>
          <t>OH</t>
        </is>
      </c>
      <c r="Z1806" t="n">
        <v>44482</v>
      </c>
      <c r="AD1806" t="inlineStr">
        <is>
          <t>TRUMBULL CAREER &amp; TECH CENTER</t>
        </is>
      </c>
      <c r="AE1806" t="inlineStr">
        <is>
          <t>WARREN CITY</t>
        </is>
      </c>
      <c r="AF1806" t="inlineStr">
        <is>
          <t>WARREN CITY SD</t>
        </is>
      </c>
      <c r="AH1806" t="n">
        <v>14</v>
      </c>
      <c r="AI1806" t="n">
        <v>11</v>
      </c>
      <c r="AN1806" t="inlineStr">
        <is>
          <t>WARREN</t>
        </is>
      </c>
      <c r="AO1806" t="inlineStr">
        <is>
          <t>WARREN CITY 4D</t>
        </is>
      </c>
      <c r="AP1806" t="inlineStr">
        <is>
          <t>78-P-ADL</t>
        </is>
      </c>
      <c r="AQ1806" t="n">
        <v>9</v>
      </c>
      <c r="AR1806" t="n">
        <v>64</v>
      </c>
      <c r="AS1806" t="n">
        <v>32</v>
      </c>
      <c r="AU1806">
        <f>COUNTA($BA$1806:$EH$1806)</f>
        <v/>
      </c>
      <c r="AV1806">
        <f>COUNTIF($BA$1806:$EH$1806,"D")</f>
        <v/>
      </c>
      <c r="AW1806">
        <f>COUNTIF($BA$1806:$EH$1806,"R")</f>
        <v/>
      </c>
      <c r="AX1806">
        <f>IF(BN1806="D",1,0)+IF(BO1806="D",1,0)+IF(BT1806="D",1,0)+IF(BU1806="D",1,0)+IF(BW1806="D",1,0)+IF(CC1806="D",1,0)+IF(CD1806="D",1,0)+IF(CE1806="D",1,0)+IF(CF1806="D",1,0)+IF(CL1806="D",1,0)+IF(CM1806="D",1,0)+IF(CQ1806="D",1,0)+IF(CR1806="D",1,0)+IF(CS1806="D",1,0)+IF(CW1806="D",1,0)+IF(CX1806="D",1,0)+IF(DD1806="D",1,0)+IF(DE1806="D",1,0)+IF(DJ1806="D",1,0)+IF(DK1806="D",1,0)+IF(DO1806="D",1,0)+IF(DP1806="D",1,0)+IF(DQ1806="D",1,0)+IF(DW1806="D",1,0)+IF(DZ1806="D",1,0)+IF(EH1806="D",1,0)</f>
        <v/>
      </c>
      <c r="AY1806">
        <f>IF(DJ1806&lt;&gt;"",1,0)+IF(DK1806&lt;&gt;"",1,0)+IF(DM1806&lt;&gt;"",1,0)+IF(DO1806&lt;&gt;"",1,0)+IF(DP1806&lt;&gt;"",1,0)+IF(DQ1806&lt;&gt;"",1,0)+IF(DS1806&lt;&gt;"",1,0)+IF(DT1806&lt;&gt;"",1,0)+IF(DV1806&lt;&gt;"",1,0)+IF(DW1806&lt;&gt;"",1,0)+IF(DX1806&lt;&gt;"",1,0)+IF(DY1806&lt;&gt;"",1,0)+IF(DZ1806&lt;&gt;"",1,0)+IF(EB1806&lt;&gt;"",1,0)+IF(EC1806&lt;&gt;"",1,0)+IF(ED1806&lt;&gt;"",1,0)+IF(EG1806&lt;&gt;"",1,0)+IF(EH1806&lt;&gt;"",1,0)</f>
        <v/>
      </c>
      <c r="AZ1806">
        <f>IF(EH1806&lt;&gt;"",1,0)</f>
        <v/>
      </c>
      <c r="BB1806" t="inlineStr">
        <is>
          <t>WARREN-WARD 4</t>
        </is>
      </c>
      <c r="BC1806" t="inlineStr">
        <is>
          <t>X</t>
        </is>
      </c>
      <c r="BD1806" t="inlineStr">
        <is>
          <t>X</t>
        </is>
      </c>
      <c r="BE1806" t="inlineStr">
        <is>
          <t>X</t>
        </is>
      </c>
      <c r="BF1806" t="inlineStr">
        <is>
          <t>X</t>
        </is>
      </c>
      <c r="BG1806" t="inlineStr">
        <is>
          <t>X</t>
        </is>
      </c>
      <c r="BH1806" t="inlineStr">
        <is>
          <t>X</t>
        </is>
      </c>
      <c r="BI1806" t="inlineStr">
        <is>
          <t>X</t>
        </is>
      </c>
      <c r="BJ1806" t="inlineStr">
        <is>
          <t>X</t>
        </is>
      </c>
      <c r="BK1806" t="inlineStr">
        <is>
          <t>X</t>
        </is>
      </c>
      <c r="BL1806" t="inlineStr">
        <is>
          <t>X</t>
        </is>
      </c>
      <c r="BP1806" t="inlineStr">
        <is>
          <t>X</t>
        </is>
      </c>
      <c r="BR1806" t="inlineStr">
        <is>
          <t>X</t>
        </is>
      </c>
      <c r="BS1806" t="inlineStr">
        <is>
          <t>X</t>
        </is>
      </c>
      <c r="BT1806" t="inlineStr">
        <is>
          <t>X</t>
        </is>
      </c>
      <c r="BY1806" t="inlineStr">
        <is>
          <t>R</t>
        </is>
      </c>
      <c r="CA1806" t="inlineStr">
        <is>
          <t>X</t>
        </is>
      </c>
      <c r="CG1806" t="inlineStr">
        <is>
          <t>X</t>
        </is>
      </c>
      <c r="CH1806" t="inlineStr">
        <is>
          <t>R</t>
        </is>
      </c>
      <c r="CK1806" t="inlineStr">
        <is>
          <t>X</t>
        </is>
      </c>
      <c r="CN1806" t="inlineStr">
        <is>
          <t>X</t>
        </is>
      </c>
      <c r="CO1806" t="inlineStr">
        <is>
          <t>R</t>
        </is>
      </c>
      <c r="CP1806" t="inlineStr">
        <is>
          <t>X</t>
        </is>
      </c>
      <c r="CQ1806" t="inlineStr">
        <is>
          <t>X</t>
        </is>
      </c>
      <c r="CU1806" t="inlineStr">
        <is>
          <t>D</t>
        </is>
      </c>
      <c r="CV1806" t="inlineStr">
        <is>
          <t>X</t>
        </is>
      </c>
      <c r="CW1806" t="inlineStr">
        <is>
          <t>D</t>
        </is>
      </c>
      <c r="CY1806" t="inlineStr">
        <is>
          <t>X</t>
        </is>
      </c>
      <c r="CZ1806" t="inlineStr">
        <is>
          <t>R</t>
        </is>
      </c>
      <c r="DF1806" t="inlineStr">
        <is>
          <t>X</t>
        </is>
      </c>
      <c r="DG1806" t="inlineStr">
        <is>
          <t>D</t>
        </is>
      </c>
      <c r="DI1806" t="inlineStr">
        <is>
          <t>X</t>
        </is>
      </c>
      <c r="DJ1806" t="inlineStr">
        <is>
          <t>D</t>
        </is>
      </c>
      <c r="DN1806" t="inlineStr">
        <is>
          <t>X</t>
        </is>
      </c>
      <c r="DR1806" t="inlineStr">
        <is>
          <t>X</t>
        </is>
      </c>
      <c r="DS1806" t="inlineStr">
        <is>
          <t>R</t>
        </is>
      </c>
      <c r="DU1806" t="inlineStr">
        <is>
          <t>X</t>
        </is>
      </c>
      <c r="DW1806" t="inlineStr">
        <is>
          <t>D</t>
        </is>
      </c>
      <c r="DX1806" t="inlineStr">
        <is>
          <t>X</t>
        </is>
      </c>
      <c r="EA1806" t="inlineStr">
        <is>
          <t>X</t>
        </is>
      </c>
      <c r="ED1806" t="inlineStr">
        <is>
          <t>R</t>
        </is>
      </c>
      <c r="EF1806" t="inlineStr">
        <is>
          <t>X</t>
        </is>
      </c>
    </row>
    <row r="1807">
      <c r="A1807" t="inlineStr">
        <is>
          <t>OH0021495887</t>
        </is>
      </c>
      <c r="B1807" t="n">
        <v>78</v>
      </c>
      <c r="C1807" t="n">
        <v>382144</v>
      </c>
      <c r="D1807" t="inlineStr">
        <is>
          <t>BRAUN</t>
        </is>
      </c>
      <c r="E1807" t="inlineStr">
        <is>
          <t>SARAH</t>
        </is>
      </c>
      <c r="F1807">
        <f>CONCATENATE(D1807," ",LEFT(H1807,4),"T=",AU1807,"D=",AV1807,"R=",AW1807,"M=",AX1807,"L=",AY1807,"B=",AZ1807)</f>
        <v/>
      </c>
      <c r="G1807" t="inlineStr">
        <is>
          <t>ELIZABETH</t>
        </is>
      </c>
      <c r="I1807" t="inlineStr">
        <is>
          <t>1987-04-03</t>
        </is>
      </c>
      <c r="J1807" t="inlineStr">
        <is>
          <t>2015-09-18</t>
        </is>
      </c>
      <c r="K1807" t="inlineStr">
        <is>
          <t>ACTIVE</t>
        </is>
      </c>
      <c r="L1807" t="inlineStr">
        <is>
          <t>D</t>
        </is>
      </c>
      <c r="M1807" t="inlineStr">
        <is>
          <t>197 WASHINGTON ST NW</t>
        </is>
      </c>
      <c r="N1807">
        <f>RIGHT(M1807,LEN(M1807)-FIND(" ",M1807))</f>
        <v/>
      </c>
      <c r="P1807" t="inlineStr">
        <is>
          <t>WARREN</t>
        </is>
      </c>
      <c r="Q1807" t="inlineStr">
        <is>
          <t>OH</t>
        </is>
      </c>
      <c r="R1807" t="n">
        <v>44483</v>
      </c>
      <c r="AD1807" t="inlineStr">
        <is>
          <t>TRUMBULL CAREER &amp; TECH CENTER</t>
        </is>
      </c>
      <c r="AE1807" t="inlineStr">
        <is>
          <t>WARREN CITY</t>
        </is>
      </c>
      <c r="AF1807" t="inlineStr">
        <is>
          <t>WARREN CITY SD</t>
        </is>
      </c>
      <c r="AH1807" t="n">
        <v>14</v>
      </c>
      <c r="AI1807" t="n">
        <v>11</v>
      </c>
      <c r="AN1807" t="inlineStr">
        <is>
          <t>WARREN</t>
        </is>
      </c>
      <c r="AO1807" t="inlineStr">
        <is>
          <t>WARREN CITY 4D</t>
        </is>
      </c>
      <c r="AP1807" t="inlineStr">
        <is>
          <t>78-P-ADL</t>
        </is>
      </c>
      <c r="AQ1807" t="n">
        <v>9</v>
      </c>
      <c r="AR1807" t="n">
        <v>64</v>
      </c>
      <c r="AS1807" t="n">
        <v>32</v>
      </c>
      <c r="AU1807">
        <f>COUNTA($BA$1807:$EH$1807)</f>
        <v/>
      </c>
      <c r="AV1807">
        <f>COUNTIF($BA$1807:$EH$1807,"D")</f>
        <v/>
      </c>
      <c r="AW1807">
        <f>COUNTIF($BA$1807:$EH$1807,"R")</f>
        <v/>
      </c>
      <c r="AX1807">
        <f>IF(BN1807="D",1,0)+IF(BO1807="D",1,0)+IF(BT1807="D",1,0)+IF(BU1807="D",1,0)+IF(BW1807="D",1,0)+IF(CC1807="D",1,0)+IF(CD1807="D",1,0)+IF(CE1807="D",1,0)+IF(CF1807="D",1,0)+IF(CL1807="D",1,0)+IF(CM1807="D",1,0)+IF(CQ1807="D",1,0)+IF(CR1807="D",1,0)+IF(CS1807="D",1,0)+IF(CW1807="D",1,0)+IF(CX1807="D",1,0)+IF(DD1807="D",1,0)+IF(DE1807="D",1,0)+IF(DJ1807="D",1,0)+IF(DK1807="D",1,0)+IF(DO1807="D",1,0)+IF(DP1807="D",1,0)+IF(DQ1807="D",1,0)+IF(DW1807="D",1,0)+IF(DZ1807="D",1,0)+IF(EH1807="D",1,0)</f>
        <v/>
      </c>
      <c r="AY1807">
        <f>IF(DJ1807&lt;&gt;"",1,0)+IF(DK1807&lt;&gt;"",1,0)+IF(DM1807&lt;&gt;"",1,0)+IF(DO1807&lt;&gt;"",1,0)+IF(DP1807&lt;&gt;"",1,0)+IF(DQ1807&lt;&gt;"",1,0)+IF(DS1807&lt;&gt;"",1,0)+IF(DT1807&lt;&gt;"",1,0)+IF(DV1807&lt;&gt;"",1,0)+IF(DW1807&lt;&gt;"",1,0)+IF(DX1807&lt;&gt;"",1,0)+IF(DY1807&lt;&gt;"",1,0)+IF(DZ1807&lt;&gt;"",1,0)+IF(EB1807&lt;&gt;"",1,0)+IF(EC1807&lt;&gt;"",1,0)+IF(ED1807&lt;&gt;"",1,0)+IF(EG1807&lt;&gt;"",1,0)+IF(EH1807&lt;&gt;"",1,0)</f>
        <v/>
      </c>
      <c r="AZ1807">
        <f>IF(EH1807&lt;&gt;"",1,0)</f>
        <v/>
      </c>
      <c r="BB1807" t="inlineStr">
        <is>
          <t>WARREN-WARD 4</t>
        </is>
      </c>
      <c r="CN1807" t="inlineStr">
        <is>
          <t>X</t>
        </is>
      </c>
      <c r="CP1807" t="inlineStr">
        <is>
          <t>X</t>
        </is>
      </c>
      <c r="CU1807" t="inlineStr">
        <is>
          <t>R</t>
        </is>
      </c>
      <c r="CV1807" t="inlineStr">
        <is>
          <t>X</t>
        </is>
      </c>
      <c r="CW1807" t="inlineStr">
        <is>
          <t>D</t>
        </is>
      </c>
      <c r="CY1807" t="inlineStr">
        <is>
          <t>X</t>
        </is>
      </c>
      <c r="CZ1807" t="inlineStr">
        <is>
          <t>D</t>
        </is>
      </c>
      <c r="DC1807" t="inlineStr">
        <is>
          <t>X</t>
        </is>
      </c>
      <c r="DF1807" t="inlineStr">
        <is>
          <t>X</t>
        </is>
      </c>
      <c r="DG1807" t="inlineStr">
        <is>
          <t>D</t>
        </is>
      </c>
      <c r="DI1807" t="inlineStr">
        <is>
          <t>X</t>
        </is>
      </c>
      <c r="DL1807" t="inlineStr">
        <is>
          <t>X</t>
        </is>
      </c>
      <c r="DN1807" t="inlineStr">
        <is>
          <t>X</t>
        </is>
      </c>
      <c r="DR1807" t="inlineStr">
        <is>
          <t>X</t>
        </is>
      </c>
      <c r="DS1807" t="inlineStr">
        <is>
          <t>D</t>
        </is>
      </c>
      <c r="DT1807" t="inlineStr">
        <is>
          <t>D</t>
        </is>
      </c>
      <c r="DU1807" t="inlineStr">
        <is>
          <t>X</t>
        </is>
      </c>
      <c r="DW1807" t="inlineStr">
        <is>
          <t>D</t>
        </is>
      </c>
      <c r="DX1807" t="inlineStr">
        <is>
          <t>X</t>
        </is>
      </c>
      <c r="EA1807" t="inlineStr">
        <is>
          <t>X</t>
        </is>
      </c>
      <c r="ED1807" t="inlineStr">
        <is>
          <t>D</t>
        </is>
      </c>
      <c r="EF1807" t="inlineStr">
        <is>
          <t>X</t>
        </is>
      </c>
      <c r="EH1807" t="inlineStr">
        <is>
          <t>D</t>
        </is>
      </c>
    </row>
    <row r="1808">
      <c r="A1808" t="inlineStr">
        <is>
          <t>OH0022405207</t>
        </is>
      </c>
      <c r="B1808" t="n">
        <v>78</v>
      </c>
      <c r="C1808" t="n">
        <v>396233</v>
      </c>
      <c r="D1808" t="inlineStr">
        <is>
          <t>KECK</t>
        </is>
      </c>
      <c r="E1808" t="inlineStr">
        <is>
          <t>ADAM</t>
        </is>
      </c>
      <c r="F1808">
        <f>CONCATENATE(D1808," ",LEFT(H1808,4),"T=",AU1808,"D=",AV1808,"R=",AW1808,"M=",AX1808,"L=",AY1808,"B=",AZ1808)</f>
        <v/>
      </c>
      <c r="G1808" t="inlineStr">
        <is>
          <t>M</t>
        </is>
      </c>
      <c r="I1808" t="inlineStr">
        <is>
          <t>1986-08-14</t>
        </is>
      </c>
      <c r="J1808" t="inlineStr">
        <is>
          <t>2015-09-18</t>
        </is>
      </c>
      <c r="K1808" t="inlineStr">
        <is>
          <t>ACTIVE</t>
        </is>
      </c>
      <c r="L1808" t="inlineStr">
        <is>
          <t>D</t>
        </is>
      </c>
      <c r="M1808" t="inlineStr">
        <is>
          <t>197 WASHINGTON ST NW</t>
        </is>
      </c>
      <c r="N1808">
        <f>RIGHT(M1808,LEN(M1808)-FIND(" ",M1808))</f>
        <v/>
      </c>
      <c r="P1808" t="inlineStr">
        <is>
          <t>WARREN</t>
        </is>
      </c>
      <c r="Q1808" t="inlineStr">
        <is>
          <t>OH</t>
        </is>
      </c>
      <c r="R1808" t="n">
        <v>44483</v>
      </c>
      <c r="AD1808" t="inlineStr">
        <is>
          <t>TRUMBULL CAREER &amp; TECH CENTER</t>
        </is>
      </c>
      <c r="AE1808" t="inlineStr">
        <is>
          <t>WARREN CITY</t>
        </is>
      </c>
      <c r="AF1808" t="inlineStr">
        <is>
          <t>WARREN CITY SD</t>
        </is>
      </c>
      <c r="AH1808" t="n">
        <v>14</v>
      </c>
      <c r="AI1808" t="n">
        <v>11</v>
      </c>
      <c r="AN1808" t="inlineStr">
        <is>
          <t>WARREN</t>
        </is>
      </c>
      <c r="AO1808" t="inlineStr">
        <is>
          <t>WARREN CITY 4D</t>
        </is>
      </c>
      <c r="AP1808" t="inlineStr">
        <is>
          <t>78-P-ADL</t>
        </is>
      </c>
      <c r="AQ1808" t="n">
        <v>9</v>
      </c>
      <c r="AR1808" t="n">
        <v>64</v>
      </c>
      <c r="AS1808" t="n">
        <v>32</v>
      </c>
      <c r="AU1808">
        <f>COUNTA($BA$1808:$EH$1808)</f>
        <v/>
      </c>
      <c r="AV1808">
        <f>COUNTIF($BA$1808:$EH$1808,"D")</f>
        <v/>
      </c>
      <c r="AW1808">
        <f>COUNTIF($BA$1808:$EH$1808,"R")</f>
        <v/>
      </c>
      <c r="AX1808">
        <f>IF(BN1808="D",1,0)+IF(BO1808="D",1,0)+IF(BT1808="D",1,0)+IF(BU1808="D",1,0)+IF(BW1808="D",1,0)+IF(CC1808="D",1,0)+IF(CD1808="D",1,0)+IF(CE1808="D",1,0)+IF(CF1808="D",1,0)+IF(CL1808="D",1,0)+IF(CM1808="D",1,0)+IF(CQ1808="D",1,0)+IF(CR1808="D",1,0)+IF(CS1808="D",1,0)+IF(CW1808="D",1,0)+IF(CX1808="D",1,0)+IF(DD1808="D",1,0)+IF(DE1808="D",1,0)+IF(DJ1808="D",1,0)+IF(DK1808="D",1,0)+IF(DO1808="D",1,0)+IF(DP1808="D",1,0)+IF(DQ1808="D",1,0)+IF(DW1808="D",1,0)+IF(DZ1808="D",1,0)+IF(EH1808="D",1,0)</f>
        <v/>
      </c>
      <c r="AY1808">
        <f>IF(DJ1808&lt;&gt;"",1,0)+IF(DK1808&lt;&gt;"",1,0)+IF(DM1808&lt;&gt;"",1,0)+IF(DO1808&lt;&gt;"",1,0)+IF(DP1808&lt;&gt;"",1,0)+IF(DQ1808&lt;&gt;"",1,0)+IF(DS1808&lt;&gt;"",1,0)+IF(DT1808&lt;&gt;"",1,0)+IF(DV1808&lt;&gt;"",1,0)+IF(DW1808&lt;&gt;"",1,0)+IF(DX1808&lt;&gt;"",1,0)+IF(DY1808&lt;&gt;"",1,0)+IF(DZ1808&lt;&gt;"",1,0)+IF(EB1808&lt;&gt;"",1,0)+IF(EC1808&lt;&gt;"",1,0)+IF(ED1808&lt;&gt;"",1,0)+IF(EG1808&lt;&gt;"",1,0)+IF(EH1808&lt;&gt;"",1,0)</f>
        <v/>
      </c>
      <c r="AZ1808">
        <f>IF(EH1808&lt;&gt;"",1,0)</f>
        <v/>
      </c>
      <c r="BB1808" t="inlineStr">
        <is>
          <t>WARREN-WARD 4</t>
        </is>
      </c>
      <c r="BL1808" t="inlineStr">
        <is>
          <t>X</t>
        </is>
      </c>
      <c r="BN1808" t="inlineStr">
        <is>
          <t>X</t>
        </is>
      </c>
      <c r="BP1808" t="inlineStr">
        <is>
          <t>X</t>
        </is>
      </c>
      <c r="BS1808" t="inlineStr">
        <is>
          <t>X</t>
        </is>
      </c>
      <c r="BY1808" t="inlineStr">
        <is>
          <t>D</t>
        </is>
      </c>
      <c r="CA1808" t="inlineStr">
        <is>
          <t>X</t>
        </is>
      </c>
      <c r="CH1808" t="inlineStr">
        <is>
          <t>D</t>
        </is>
      </c>
      <c r="CK1808" t="inlineStr">
        <is>
          <t>X</t>
        </is>
      </c>
      <c r="CN1808" t="inlineStr">
        <is>
          <t>X</t>
        </is>
      </c>
      <c r="CP1808" t="inlineStr">
        <is>
          <t>X</t>
        </is>
      </c>
      <c r="CQ1808" t="inlineStr">
        <is>
          <t>D</t>
        </is>
      </c>
      <c r="CV1808" t="inlineStr">
        <is>
          <t>X</t>
        </is>
      </c>
      <c r="CW1808" t="inlineStr">
        <is>
          <t>D</t>
        </is>
      </c>
      <c r="CY1808" t="inlineStr">
        <is>
          <t>X</t>
        </is>
      </c>
      <c r="CZ1808" t="inlineStr">
        <is>
          <t>D</t>
        </is>
      </c>
      <c r="DC1808" t="inlineStr">
        <is>
          <t>X</t>
        </is>
      </c>
      <c r="DG1808" t="inlineStr">
        <is>
          <t>D</t>
        </is>
      </c>
      <c r="DI1808" t="inlineStr">
        <is>
          <t>X</t>
        </is>
      </c>
      <c r="DL1808" t="inlineStr">
        <is>
          <t>X</t>
        </is>
      </c>
      <c r="DN1808" t="inlineStr">
        <is>
          <t>X</t>
        </is>
      </c>
      <c r="DT1808" t="inlineStr">
        <is>
          <t>D</t>
        </is>
      </c>
      <c r="DU1808" t="inlineStr">
        <is>
          <t>X</t>
        </is>
      </c>
      <c r="DW1808" t="inlineStr">
        <is>
          <t>D</t>
        </is>
      </c>
      <c r="DX1808" t="inlineStr">
        <is>
          <t>X</t>
        </is>
      </c>
      <c r="EA1808" t="inlineStr">
        <is>
          <t>X</t>
        </is>
      </c>
      <c r="EF1808" t="inlineStr">
        <is>
          <t>X</t>
        </is>
      </c>
    </row>
    <row r="1809">
      <c r="A1809" t="inlineStr">
        <is>
          <t>OH0023297192</t>
        </is>
      </c>
      <c r="B1809" t="n">
        <v>78</v>
      </c>
      <c r="C1809" t="n">
        <v>409797</v>
      </c>
      <c r="D1809" t="inlineStr">
        <is>
          <t>BAKER</t>
        </is>
      </c>
      <c r="E1809" t="inlineStr">
        <is>
          <t>DEVEON</t>
        </is>
      </c>
      <c r="F1809">
        <f>CONCATENATE(D1809," ",LEFT(H1809,4),"T=",AU1809,"D=",AV1809,"R=",AW1809,"M=",AX1809,"L=",AY1809,"B=",AZ1809)</f>
        <v/>
      </c>
      <c r="G1809" t="inlineStr">
        <is>
          <t>F</t>
        </is>
      </c>
      <c r="I1809" t="inlineStr">
        <is>
          <t>1988-03-14</t>
        </is>
      </c>
      <c r="J1809" t="inlineStr">
        <is>
          <t>2015-09-17</t>
        </is>
      </c>
      <c r="K1809" t="inlineStr">
        <is>
          <t>CONFIRMATION</t>
        </is>
      </c>
      <c r="M1809" t="inlineStr">
        <is>
          <t>240 MONROE ST NW</t>
        </is>
      </c>
      <c r="N1809">
        <f>RIGHT(M1809,LEN(M1809)-FIND(" ",M1809))</f>
        <v/>
      </c>
      <c r="O1809" t="inlineStr">
        <is>
          <t>APT 6</t>
        </is>
      </c>
      <c r="P1809" t="inlineStr">
        <is>
          <t>WARREN</t>
        </is>
      </c>
      <c r="Q1809" t="inlineStr">
        <is>
          <t>OH</t>
        </is>
      </c>
      <c r="R1809" t="n">
        <v>44483</v>
      </c>
      <c r="AD1809" t="inlineStr">
        <is>
          <t>TRUMBULL CAREER &amp; TECH CENTER</t>
        </is>
      </c>
      <c r="AE1809" t="inlineStr">
        <is>
          <t>WARREN CITY</t>
        </is>
      </c>
      <c r="AF1809" t="inlineStr">
        <is>
          <t>WARREN CITY SD</t>
        </is>
      </c>
      <c r="AH1809" t="n">
        <v>14</v>
      </c>
      <c r="AI1809" t="n">
        <v>11</v>
      </c>
      <c r="AN1809" t="inlineStr">
        <is>
          <t>WARREN</t>
        </is>
      </c>
      <c r="AO1809" t="inlineStr">
        <is>
          <t>WARREN CITY 4D</t>
        </is>
      </c>
      <c r="AP1809" t="inlineStr">
        <is>
          <t>78-P-ADL</t>
        </is>
      </c>
      <c r="AQ1809" t="n">
        <v>9</v>
      </c>
      <c r="AR1809" t="n">
        <v>64</v>
      </c>
      <c r="AS1809" t="n">
        <v>32</v>
      </c>
      <c r="AU1809">
        <f>COUNTA($BA$1809:$EH$1809)</f>
        <v/>
      </c>
      <c r="AV1809">
        <f>COUNTIF($BA$1809:$EH$1809,"D")</f>
        <v/>
      </c>
      <c r="AW1809">
        <f>COUNTIF($BA$1809:$EH$1809,"R")</f>
        <v/>
      </c>
      <c r="AX1809">
        <f>IF(BN1809="D",1,0)+IF(BO1809="D",1,0)+IF(BT1809="D",1,0)+IF(BU1809="D",1,0)+IF(BW1809="D",1,0)+IF(CC1809="D",1,0)+IF(CD1809="D",1,0)+IF(CE1809="D",1,0)+IF(CF1809="D",1,0)+IF(CL1809="D",1,0)+IF(CM1809="D",1,0)+IF(CQ1809="D",1,0)+IF(CR1809="D",1,0)+IF(CS1809="D",1,0)+IF(CW1809="D",1,0)+IF(CX1809="D",1,0)+IF(DD1809="D",1,0)+IF(DE1809="D",1,0)+IF(DJ1809="D",1,0)+IF(DK1809="D",1,0)+IF(DO1809="D",1,0)+IF(DP1809="D",1,0)+IF(DQ1809="D",1,0)+IF(DW1809="D",1,0)+IF(DZ1809="D",1,0)+IF(EH1809="D",1,0)</f>
        <v/>
      </c>
      <c r="AY1809">
        <f>IF(DJ1809&lt;&gt;"",1,0)+IF(DK1809&lt;&gt;"",1,0)+IF(DM1809&lt;&gt;"",1,0)+IF(DO1809&lt;&gt;"",1,0)+IF(DP1809&lt;&gt;"",1,0)+IF(DQ1809&lt;&gt;"",1,0)+IF(DS1809&lt;&gt;"",1,0)+IF(DT1809&lt;&gt;"",1,0)+IF(DV1809&lt;&gt;"",1,0)+IF(DW1809&lt;&gt;"",1,0)+IF(DX1809&lt;&gt;"",1,0)+IF(DY1809&lt;&gt;"",1,0)+IF(DZ1809&lt;&gt;"",1,0)+IF(EB1809&lt;&gt;"",1,0)+IF(EC1809&lt;&gt;"",1,0)+IF(ED1809&lt;&gt;"",1,0)+IF(EG1809&lt;&gt;"",1,0)+IF(EH1809&lt;&gt;"",1,0)</f>
        <v/>
      </c>
      <c r="AZ1809">
        <f>IF(EH1809&lt;&gt;"",1,0)</f>
        <v/>
      </c>
      <c r="BB1809" t="inlineStr">
        <is>
          <t>WARREN-WARD 4</t>
        </is>
      </c>
    </row>
    <row r="1810">
      <c r="A1810" t="inlineStr">
        <is>
          <t>OH0022357651</t>
        </is>
      </c>
      <c r="B1810" t="n">
        <v>78</v>
      </c>
      <c r="C1810" t="n">
        <v>395296</v>
      </c>
      <c r="D1810" t="inlineStr">
        <is>
          <t>MUHAMMAD</t>
        </is>
      </c>
      <c r="E1810" t="inlineStr">
        <is>
          <t>AQUIL</t>
        </is>
      </c>
      <c r="F1810">
        <f>CONCATENATE(D1810," ",LEFT(H1810,4),"T=",AU1810,"D=",AV1810,"R=",AW1810,"M=",AX1810,"L=",AY1810,"B=",AZ1810)</f>
        <v/>
      </c>
      <c r="G1810" t="inlineStr">
        <is>
          <t>J</t>
        </is>
      </c>
      <c r="I1810" t="inlineStr">
        <is>
          <t>1995-06-04</t>
        </is>
      </c>
      <c r="J1810" t="inlineStr">
        <is>
          <t>2022-06-10</t>
        </is>
      </c>
      <c r="K1810" t="inlineStr">
        <is>
          <t>ACTIVE</t>
        </is>
      </c>
      <c r="M1810" t="inlineStr">
        <is>
          <t>339 VINE AVE NE</t>
        </is>
      </c>
      <c r="N1810">
        <f>RIGHT(M1810,LEN(M1810)-FIND(" ",M1810))</f>
        <v/>
      </c>
      <c r="P1810" t="inlineStr">
        <is>
          <t>WARREN</t>
        </is>
      </c>
      <c r="Q1810" t="inlineStr">
        <is>
          <t>OH</t>
        </is>
      </c>
      <c r="R1810" t="n">
        <v>44483</v>
      </c>
      <c r="AD1810" t="inlineStr">
        <is>
          <t>TRUMBULL CAREER &amp; TECH CENTER</t>
        </is>
      </c>
      <c r="AE1810" t="inlineStr">
        <is>
          <t>WARREN CITY</t>
        </is>
      </c>
      <c r="AF1810" t="inlineStr">
        <is>
          <t>WARREN CITY SD</t>
        </is>
      </c>
      <c r="AH1810" t="n">
        <v>14</v>
      </c>
      <c r="AI1810" t="n">
        <v>11</v>
      </c>
      <c r="AN1810" t="inlineStr">
        <is>
          <t>WARREN</t>
        </is>
      </c>
      <c r="AO1810" t="inlineStr">
        <is>
          <t>WARREN CITY 4D</t>
        </is>
      </c>
      <c r="AP1810" t="inlineStr">
        <is>
          <t>78-P-ADL</t>
        </is>
      </c>
      <c r="AQ1810" t="n">
        <v>9</v>
      </c>
      <c r="AR1810" t="n">
        <v>64</v>
      </c>
      <c r="AS1810" t="n">
        <v>32</v>
      </c>
      <c r="AU1810">
        <f>COUNTA($BA$1810:$EH$1810)</f>
        <v/>
      </c>
      <c r="AV1810">
        <f>COUNTIF($BA$1810:$EH$1810,"D")</f>
        <v/>
      </c>
      <c r="AW1810">
        <f>COUNTIF($BA$1810:$EH$1810,"R")</f>
        <v/>
      </c>
      <c r="AX1810">
        <f>IF(BN1810="D",1,0)+IF(BO1810="D",1,0)+IF(BT1810="D",1,0)+IF(BU1810="D",1,0)+IF(BW1810="D",1,0)+IF(CC1810="D",1,0)+IF(CD1810="D",1,0)+IF(CE1810="D",1,0)+IF(CF1810="D",1,0)+IF(CL1810="D",1,0)+IF(CM1810="D",1,0)+IF(CQ1810="D",1,0)+IF(CR1810="D",1,0)+IF(CS1810="D",1,0)+IF(CW1810="D",1,0)+IF(CX1810="D",1,0)+IF(DD1810="D",1,0)+IF(DE1810="D",1,0)+IF(DJ1810="D",1,0)+IF(DK1810="D",1,0)+IF(DO1810="D",1,0)+IF(DP1810="D",1,0)+IF(DQ1810="D",1,0)+IF(DW1810="D",1,0)+IF(DZ1810="D",1,0)+IF(EH1810="D",1,0)</f>
        <v/>
      </c>
      <c r="AY1810">
        <f>IF(DJ1810&lt;&gt;"",1,0)+IF(DK1810&lt;&gt;"",1,0)+IF(DM1810&lt;&gt;"",1,0)+IF(DO1810&lt;&gt;"",1,0)+IF(DP1810&lt;&gt;"",1,0)+IF(DQ1810&lt;&gt;"",1,0)+IF(DS1810&lt;&gt;"",1,0)+IF(DT1810&lt;&gt;"",1,0)+IF(DV1810&lt;&gt;"",1,0)+IF(DW1810&lt;&gt;"",1,0)+IF(DX1810&lt;&gt;"",1,0)+IF(DY1810&lt;&gt;"",1,0)+IF(DZ1810&lt;&gt;"",1,0)+IF(EB1810&lt;&gt;"",1,0)+IF(EC1810&lt;&gt;"",1,0)+IF(ED1810&lt;&gt;"",1,0)+IF(EG1810&lt;&gt;"",1,0)+IF(EH1810&lt;&gt;"",1,0)</f>
        <v/>
      </c>
      <c r="AZ1810">
        <f>IF(EH1810&lt;&gt;"",1,0)</f>
        <v/>
      </c>
      <c r="BB1810" t="inlineStr">
        <is>
          <t>WARREN-WARD 4</t>
        </is>
      </c>
    </row>
    <row r="1811">
      <c r="A1811" t="inlineStr">
        <is>
          <t>OH0027595817</t>
        </is>
      </c>
      <c r="B1811" t="n">
        <v>78</v>
      </c>
      <c r="C1811" t="n">
        <v>489043</v>
      </c>
      <c r="D1811" t="inlineStr">
        <is>
          <t>HORN</t>
        </is>
      </c>
      <c r="E1811" t="inlineStr">
        <is>
          <t>KYLE</t>
        </is>
      </c>
      <c r="F1811">
        <f>CONCATENATE(D1811," ",LEFT(H1811,4),"T=",AU1811,"D=",AV1811,"R=",AW1811,"M=",AX1811,"L=",AY1811,"B=",AZ1811)</f>
        <v/>
      </c>
      <c r="G1811" t="inlineStr">
        <is>
          <t>JAMES</t>
        </is>
      </c>
      <c r="I1811" t="inlineStr">
        <is>
          <t>1994-05-07</t>
        </is>
      </c>
      <c r="J1811" t="inlineStr">
        <is>
          <t>2024-09-12</t>
        </is>
      </c>
      <c r="K1811" t="inlineStr">
        <is>
          <t>ACTIVE</t>
        </is>
      </c>
      <c r="M1811" t="inlineStr">
        <is>
          <t>243 PORTER ST NE</t>
        </is>
      </c>
      <c r="N1811">
        <f>RIGHT(M1811,LEN(M1811)-FIND(" ",M1811))</f>
        <v/>
      </c>
      <c r="P1811" t="inlineStr">
        <is>
          <t>WARREN</t>
        </is>
      </c>
      <c r="Q1811" t="inlineStr">
        <is>
          <t>OH</t>
        </is>
      </c>
      <c r="R1811" t="n">
        <v>44483</v>
      </c>
      <c r="AD1811" t="inlineStr">
        <is>
          <t>TRUMBULL CAREER &amp; TECH CENTER</t>
        </is>
      </c>
      <c r="AE1811" t="inlineStr">
        <is>
          <t>WARREN CITY</t>
        </is>
      </c>
      <c r="AF1811" t="inlineStr">
        <is>
          <t>WARREN CITY SD</t>
        </is>
      </c>
      <c r="AH1811" t="n">
        <v>14</v>
      </c>
      <c r="AI1811" t="n">
        <v>11</v>
      </c>
      <c r="AN1811" t="inlineStr">
        <is>
          <t>WARREN</t>
        </is>
      </c>
      <c r="AO1811" t="inlineStr">
        <is>
          <t>WARREN CITY 4D</t>
        </is>
      </c>
      <c r="AP1811" t="inlineStr">
        <is>
          <t>78-P-ADL</t>
        </is>
      </c>
      <c r="AQ1811" t="n">
        <v>9</v>
      </c>
      <c r="AR1811" t="n">
        <v>64</v>
      </c>
      <c r="AS1811" t="n">
        <v>32</v>
      </c>
      <c r="AU1811">
        <f>COUNTA($BA$1811:$EH$1811)</f>
        <v/>
      </c>
      <c r="AV1811">
        <f>COUNTIF($BA$1811:$EH$1811,"D")</f>
        <v/>
      </c>
      <c r="AW1811">
        <f>COUNTIF($BA$1811:$EH$1811,"R")</f>
        <v/>
      </c>
      <c r="AX1811">
        <f>IF(BN1811="D",1,0)+IF(BO1811="D",1,0)+IF(BT1811="D",1,0)+IF(BU1811="D",1,0)+IF(BW1811="D",1,0)+IF(CC1811="D",1,0)+IF(CD1811="D",1,0)+IF(CE1811="D",1,0)+IF(CF1811="D",1,0)+IF(CL1811="D",1,0)+IF(CM1811="D",1,0)+IF(CQ1811="D",1,0)+IF(CR1811="D",1,0)+IF(CS1811="D",1,0)+IF(CW1811="D",1,0)+IF(CX1811="D",1,0)+IF(DD1811="D",1,0)+IF(DE1811="D",1,0)+IF(DJ1811="D",1,0)+IF(DK1811="D",1,0)+IF(DO1811="D",1,0)+IF(DP1811="D",1,0)+IF(DQ1811="D",1,0)+IF(DW1811="D",1,0)+IF(DZ1811="D",1,0)+IF(EH1811="D",1,0)</f>
        <v/>
      </c>
      <c r="AY1811">
        <f>IF(DJ1811&lt;&gt;"",1,0)+IF(DK1811&lt;&gt;"",1,0)+IF(DM1811&lt;&gt;"",1,0)+IF(DO1811&lt;&gt;"",1,0)+IF(DP1811&lt;&gt;"",1,0)+IF(DQ1811&lt;&gt;"",1,0)+IF(DS1811&lt;&gt;"",1,0)+IF(DT1811&lt;&gt;"",1,0)+IF(DV1811&lt;&gt;"",1,0)+IF(DW1811&lt;&gt;"",1,0)+IF(DX1811&lt;&gt;"",1,0)+IF(DY1811&lt;&gt;"",1,0)+IF(DZ1811&lt;&gt;"",1,0)+IF(EB1811&lt;&gt;"",1,0)+IF(EC1811&lt;&gt;"",1,0)+IF(ED1811&lt;&gt;"",1,0)+IF(EG1811&lt;&gt;"",1,0)+IF(EH1811&lt;&gt;"",1,0)</f>
        <v/>
      </c>
      <c r="AZ1811">
        <f>IF(EH1811&lt;&gt;"",1,0)</f>
        <v/>
      </c>
      <c r="BB1811" t="inlineStr">
        <is>
          <t>WARREN-WARD 4</t>
        </is>
      </c>
      <c r="CY1811" t="inlineStr">
        <is>
          <t>X</t>
        </is>
      </c>
      <c r="EF1811" t="inlineStr">
        <is>
          <t>X</t>
        </is>
      </c>
    </row>
    <row r="1812">
      <c r="A1812" t="inlineStr">
        <is>
          <t>OH0018709891</t>
        </is>
      </c>
      <c r="B1812" t="n">
        <v>78</v>
      </c>
      <c r="C1812" t="n">
        <v>343161</v>
      </c>
      <c r="D1812" t="inlineStr">
        <is>
          <t>BOOKER</t>
        </is>
      </c>
      <c r="E1812" t="inlineStr">
        <is>
          <t>JASON</t>
        </is>
      </c>
      <c r="F1812">
        <f>CONCATENATE(D1812," ",LEFT(H1812,4),"T=",AU1812,"D=",AV1812,"R=",AW1812,"M=",AX1812,"L=",AY1812,"B=",AZ1812)</f>
        <v/>
      </c>
      <c r="G1812" t="inlineStr">
        <is>
          <t>C</t>
        </is>
      </c>
      <c r="I1812" t="inlineStr">
        <is>
          <t>1988-03-24</t>
        </is>
      </c>
      <c r="J1812" t="inlineStr">
        <is>
          <t>2024-08-21</t>
        </is>
      </c>
      <c r="K1812" t="inlineStr">
        <is>
          <t>ACTIVE</t>
        </is>
      </c>
      <c r="M1812" t="inlineStr">
        <is>
          <t>1156 WOODLAND AVE NE</t>
        </is>
      </c>
      <c r="N1812">
        <f>RIGHT(M1812,LEN(M1812)-FIND(" ",M1812))</f>
        <v/>
      </c>
      <c r="O1812" t="inlineStr">
        <is>
          <t>APT B</t>
        </is>
      </c>
      <c r="P1812" t="inlineStr">
        <is>
          <t>WARREN</t>
        </is>
      </c>
      <c r="Q1812" t="inlineStr">
        <is>
          <t>OH</t>
        </is>
      </c>
      <c r="R1812" t="n">
        <v>44483</v>
      </c>
      <c r="AD1812" t="inlineStr">
        <is>
          <t>TRUMBULL CAREER &amp; TECH CENTER</t>
        </is>
      </c>
      <c r="AE1812" t="inlineStr">
        <is>
          <t>WARREN CITY</t>
        </is>
      </c>
      <c r="AF1812" t="inlineStr">
        <is>
          <t>WARREN CITY SD</t>
        </is>
      </c>
      <c r="AH1812" t="n">
        <v>14</v>
      </c>
      <c r="AI1812" t="n">
        <v>11</v>
      </c>
      <c r="AN1812" t="inlineStr">
        <is>
          <t>WARREN</t>
        </is>
      </c>
      <c r="AO1812" t="inlineStr">
        <is>
          <t>WARREN CITY 4D</t>
        </is>
      </c>
      <c r="AP1812" t="inlineStr">
        <is>
          <t>78-P-ADL</t>
        </is>
      </c>
      <c r="AQ1812" t="n">
        <v>9</v>
      </c>
      <c r="AR1812" t="n">
        <v>64</v>
      </c>
      <c r="AS1812" t="n">
        <v>32</v>
      </c>
      <c r="AU1812">
        <f>COUNTA($BA$1812:$EH$1812)</f>
        <v/>
      </c>
      <c r="AV1812">
        <f>COUNTIF($BA$1812:$EH$1812,"D")</f>
        <v/>
      </c>
      <c r="AW1812">
        <f>COUNTIF($BA$1812:$EH$1812,"R")</f>
        <v/>
      </c>
      <c r="AX1812">
        <f>IF(BN1812="D",1,0)+IF(BO1812="D",1,0)+IF(BT1812="D",1,0)+IF(BU1812="D",1,0)+IF(BW1812="D",1,0)+IF(CC1812="D",1,0)+IF(CD1812="D",1,0)+IF(CE1812="D",1,0)+IF(CF1812="D",1,0)+IF(CL1812="D",1,0)+IF(CM1812="D",1,0)+IF(CQ1812="D",1,0)+IF(CR1812="D",1,0)+IF(CS1812="D",1,0)+IF(CW1812="D",1,0)+IF(CX1812="D",1,0)+IF(DD1812="D",1,0)+IF(DE1812="D",1,0)+IF(DJ1812="D",1,0)+IF(DK1812="D",1,0)+IF(DO1812="D",1,0)+IF(DP1812="D",1,0)+IF(DQ1812="D",1,0)+IF(DW1812="D",1,0)+IF(DZ1812="D",1,0)+IF(EH1812="D",1,0)</f>
        <v/>
      </c>
      <c r="AY1812">
        <f>IF(DJ1812&lt;&gt;"",1,0)+IF(DK1812&lt;&gt;"",1,0)+IF(DM1812&lt;&gt;"",1,0)+IF(DO1812&lt;&gt;"",1,0)+IF(DP1812&lt;&gt;"",1,0)+IF(DQ1812&lt;&gt;"",1,0)+IF(DS1812&lt;&gt;"",1,0)+IF(DT1812&lt;&gt;"",1,0)+IF(DV1812&lt;&gt;"",1,0)+IF(DW1812&lt;&gt;"",1,0)+IF(DX1812&lt;&gt;"",1,0)+IF(DY1812&lt;&gt;"",1,0)+IF(DZ1812&lt;&gt;"",1,0)+IF(EB1812&lt;&gt;"",1,0)+IF(EC1812&lt;&gt;"",1,0)+IF(ED1812&lt;&gt;"",1,0)+IF(EG1812&lt;&gt;"",1,0)+IF(EH1812&lt;&gt;"",1,0)</f>
        <v/>
      </c>
      <c r="AZ1812">
        <f>IF(EH1812&lt;&gt;"",1,0)</f>
        <v/>
      </c>
      <c r="BB1812" t="inlineStr">
        <is>
          <t>WARREN-WARD 4</t>
        </is>
      </c>
      <c r="CA1812" t="inlineStr">
        <is>
          <t>X</t>
        </is>
      </c>
      <c r="DC1812" t="inlineStr">
        <is>
          <t>X</t>
        </is>
      </c>
      <c r="DI1812" t="inlineStr">
        <is>
          <t>X</t>
        </is>
      </c>
    </row>
    <row r="1813">
      <c r="A1813" t="inlineStr">
        <is>
          <t>OH0027342405</t>
        </is>
      </c>
      <c r="B1813" t="n">
        <v>78</v>
      </c>
      <c r="C1813" t="n">
        <v>484886</v>
      </c>
      <c r="D1813" t="inlineStr">
        <is>
          <t>RIEDMAN</t>
        </is>
      </c>
      <c r="E1813" t="inlineStr">
        <is>
          <t>KYLEE</t>
        </is>
      </c>
      <c r="F1813">
        <f>CONCATENATE(D1813," ",LEFT(H1813,4),"T=",AU1813,"D=",AV1813,"R=",AW1813,"M=",AX1813,"L=",AY1813,"B=",AZ1813)</f>
        <v/>
      </c>
      <c r="G1813" t="inlineStr">
        <is>
          <t>FAE</t>
        </is>
      </c>
      <c r="I1813" t="inlineStr">
        <is>
          <t>2003-03-11</t>
        </is>
      </c>
      <c r="J1813" t="inlineStr">
        <is>
          <t>2024-05-07</t>
        </is>
      </c>
      <c r="K1813" t="inlineStr">
        <is>
          <t>ACTIVE</t>
        </is>
      </c>
      <c r="M1813" t="inlineStr">
        <is>
          <t>370 WASHINGTON ST NE</t>
        </is>
      </c>
      <c r="N1813">
        <f>RIGHT(M1813,LEN(M1813)-FIND(" ",M1813))</f>
        <v/>
      </c>
      <c r="P1813" t="inlineStr">
        <is>
          <t>WARREN</t>
        </is>
      </c>
      <c r="Q1813" t="inlineStr">
        <is>
          <t>OH</t>
        </is>
      </c>
      <c r="R1813" t="n">
        <v>44483</v>
      </c>
      <c r="AD1813" t="inlineStr">
        <is>
          <t>TRUMBULL CAREER &amp; TECH CENTER</t>
        </is>
      </c>
      <c r="AE1813" t="inlineStr">
        <is>
          <t>WARREN CITY</t>
        </is>
      </c>
      <c r="AF1813" t="inlineStr">
        <is>
          <t>WARREN CITY SD</t>
        </is>
      </c>
      <c r="AH1813" t="n">
        <v>14</v>
      </c>
      <c r="AI1813" t="n">
        <v>11</v>
      </c>
      <c r="AN1813" t="inlineStr">
        <is>
          <t>WARREN</t>
        </is>
      </c>
      <c r="AO1813" t="inlineStr">
        <is>
          <t>WARREN CITY 4D</t>
        </is>
      </c>
      <c r="AP1813" t="inlineStr">
        <is>
          <t>78-P-ADL</t>
        </is>
      </c>
      <c r="AQ1813" t="n">
        <v>9</v>
      </c>
      <c r="AR1813" t="n">
        <v>64</v>
      </c>
      <c r="AS1813" t="n">
        <v>32</v>
      </c>
      <c r="AU1813">
        <f>COUNTA($BA$1813:$EH$1813)</f>
        <v/>
      </c>
      <c r="AV1813">
        <f>COUNTIF($BA$1813:$EH$1813,"D")</f>
        <v/>
      </c>
      <c r="AW1813">
        <f>COUNTIF($BA$1813:$EH$1813,"R")</f>
        <v/>
      </c>
      <c r="AX1813">
        <f>IF(BN1813="D",1,0)+IF(BO1813="D",1,0)+IF(BT1813="D",1,0)+IF(BU1813="D",1,0)+IF(BW1813="D",1,0)+IF(CC1813="D",1,0)+IF(CD1813="D",1,0)+IF(CE1813="D",1,0)+IF(CF1813="D",1,0)+IF(CL1813="D",1,0)+IF(CM1813="D",1,0)+IF(CQ1813="D",1,0)+IF(CR1813="D",1,0)+IF(CS1813="D",1,0)+IF(CW1813="D",1,0)+IF(CX1813="D",1,0)+IF(DD1813="D",1,0)+IF(DE1813="D",1,0)+IF(DJ1813="D",1,0)+IF(DK1813="D",1,0)+IF(DO1813="D",1,0)+IF(DP1813="D",1,0)+IF(DQ1813="D",1,0)+IF(DW1813="D",1,0)+IF(DZ1813="D",1,0)+IF(EH1813="D",1,0)</f>
        <v/>
      </c>
      <c r="AY1813">
        <f>IF(DJ1813&lt;&gt;"",1,0)+IF(DK1813&lt;&gt;"",1,0)+IF(DM1813&lt;&gt;"",1,0)+IF(DO1813&lt;&gt;"",1,0)+IF(DP1813&lt;&gt;"",1,0)+IF(DQ1813&lt;&gt;"",1,0)+IF(DS1813&lt;&gt;"",1,0)+IF(DT1813&lt;&gt;"",1,0)+IF(DV1813&lt;&gt;"",1,0)+IF(DW1813&lt;&gt;"",1,0)+IF(DX1813&lt;&gt;"",1,0)+IF(DY1813&lt;&gt;"",1,0)+IF(DZ1813&lt;&gt;"",1,0)+IF(EB1813&lt;&gt;"",1,0)+IF(EC1813&lt;&gt;"",1,0)+IF(ED1813&lt;&gt;"",1,0)+IF(EG1813&lt;&gt;"",1,0)+IF(EH1813&lt;&gt;"",1,0)</f>
        <v/>
      </c>
      <c r="AZ1813">
        <f>IF(EH1813&lt;&gt;"",1,0)</f>
        <v/>
      </c>
      <c r="BB1813" t="inlineStr">
        <is>
          <t>WARREN-WARD 4</t>
        </is>
      </c>
      <c r="EF1813" t="inlineStr">
        <is>
          <t>X</t>
        </is>
      </c>
    </row>
    <row r="1814">
      <c r="A1814" t="inlineStr">
        <is>
          <t>OH0026272456</t>
        </is>
      </c>
      <c r="B1814" t="n">
        <v>78</v>
      </c>
      <c r="C1814" t="n">
        <v>459435</v>
      </c>
      <c r="D1814" t="inlineStr">
        <is>
          <t>MCCAIN</t>
        </is>
      </c>
      <c r="E1814" t="inlineStr">
        <is>
          <t>LEWIS</t>
        </is>
      </c>
      <c r="F1814">
        <f>CONCATENATE(D1814," ",LEFT(H1814,4),"T=",AU1814,"D=",AV1814,"R=",AW1814,"M=",AX1814,"L=",AY1814,"B=",AZ1814)</f>
        <v/>
      </c>
      <c r="G1814" t="inlineStr">
        <is>
          <t>M</t>
        </is>
      </c>
      <c r="I1814" t="inlineStr">
        <is>
          <t>1954-08-22</t>
        </is>
      </c>
      <c r="J1814" t="inlineStr">
        <is>
          <t>2021-08-30</t>
        </is>
      </c>
      <c r="K1814" t="inlineStr">
        <is>
          <t>ACTIVE</t>
        </is>
      </c>
      <c r="M1814" t="inlineStr">
        <is>
          <t>182 HIGH ST NE</t>
        </is>
      </c>
      <c r="N1814">
        <f>RIGHT(M1814,LEN(M1814)-FIND(" ",M1814))</f>
        <v/>
      </c>
      <c r="O1814" t="inlineStr">
        <is>
          <t>APT 308</t>
        </is>
      </c>
      <c r="P1814" t="inlineStr">
        <is>
          <t>WARREN</t>
        </is>
      </c>
      <c r="Q1814" t="inlineStr">
        <is>
          <t>OH</t>
        </is>
      </c>
      <c r="R1814" t="n">
        <v>44481</v>
      </c>
      <c r="AD1814" t="inlineStr">
        <is>
          <t>TRUMBULL CAREER &amp; TECH CENTER</t>
        </is>
      </c>
      <c r="AE1814" t="inlineStr">
        <is>
          <t>WARREN CITY</t>
        </is>
      </c>
      <c r="AF1814" t="inlineStr">
        <is>
          <t>WARREN CITY SD</t>
        </is>
      </c>
      <c r="AH1814" t="n">
        <v>14</v>
      </c>
      <c r="AI1814" t="n">
        <v>11</v>
      </c>
      <c r="AN1814" t="inlineStr">
        <is>
          <t>WARREN</t>
        </is>
      </c>
      <c r="AO1814" t="inlineStr">
        <is>
          <t>WARREN CITY 4D</t>
        </is>
      </c>
      <c r="AP1814" t="inlineStr">
        <is>
          <t>78-P-ADL</t>
        </is>
      </c>
      <c r="AQ1814" t="n">
        <v>9</v>
      </c>
      <c r="AR1814" t="n">
        <v>64</v>
      </c>
      <c r="AS1814" t="n">
        <v>32</v>
      </c>
      <c r="AU1814">
        <f>COUNTA($BA$1814:$EH$1814)</f>
        <v/>
      </c>
      <c r="AV1814">
        <f>COUNTIF($BA$1814:$EH$1814,"D")</f>
        <v/>
      </c>
      <c r="AW1814">
        <f>COUNTIF($BA$1814:$EH$1814,"R")</f>
        <v/>
      </c>
      <c r="AX1814">
        <f>IF(BN1814="D",1,0)+IF(BO1814="D",1,0)+IF(BT1814="D",1,0)+IF(BU1814="D",1,0)+IF(BW1814="D",1,0)+IF(CC1814="D",1,0)+IF(CD1814="D",1,0)+IF(CE1814="D",1,0)+IF(CF1814="D",1,0)+IF(CL1814="D",1,0)+IF(CM1814="D",1,0)+IF(CQ1814="D",1,0)+IF(CR1814="D",1,0)+IF(CS1814="D",1,0)+IF(CW1814="D",1,0)+IF(CX1814="D",1,0)+IF(DD1814="D",1,0)+IF(DE1814="D",1,0)+IF(DJ1814="D",1,0)+IF(DK1814="D",1,0)+IF(DO1814="D",1,0)+IF(DP1814="D",1,0)+IF(DQ1814="D",1,0)+IF(DW1814="D",1,0)+IF(DZ1814="D",1,0)+IF(EH1814="D",1,0)</f>
        <v/>
      </c>
      <c r="AY1814">
        <f>IF(DJ1814&lt;&gt;"",1,0)+IF(DK1814&lt;&gt;"",1,0)+IF(DM1814&lt;&gt;"",1,0)+IF(DO1814&lt;&gt;"",1,0)+IF(DP1814&lt;&gt;"",1,0)+IF(DQ1814&lt;&gt;"",1,0)+IF(DS1814&lt;&gt;"",1,0)+IF(DT1814&lt;&gt;"",1,0)+IF(DV1814&lt;&gt;"",1,0)+IF(DW1814&lt;&gt;"",1,0)+IF(DX1814&lt;&gt;"",1,0)+IF(DY1814&lt;&gt;"",1,0)+IF(DZ1814&lt;&gt;"",1,0)+IF(EB1814&lt;&gt;"",1,0)+IF(EC1814&lt;&gt;"",1,0)+IF(ED1814&lt;&gt;"",1,0)+IF(EG1814&lt;&gt;"",1,0)+IF(EH1814&lt;&gt;"",1,0)</f>
        <v/>
      </c>
      <c r="AZ1814">
        <f>IF(EH1814&lt;&gt;"",1,0)</f>
        <v/>
      </c>
      <c r="BB1814" t="inlineStr">
        <is>
          <t>WARREN-WARD 4</t>
        </is>
      </c>
      <c r="BY1814" t="inlineStr">
        <is>
          <t>D</t>
        </is>
      </c>
      <c r="CA1814" t="inlineStr">
        <is>
          <t>X</t>
        </is>
      </c>
      <c r="CP1814" t="inlineStr">
        <is>
          <t>X</t>
        </is>
      </c>
    </row>
    <row r="1815">
      <c r="A1815" t="inlineStr">
        <is>
          <t>OH0023078664</t>
        </is>
      </c>
      <c r="B1815" t="n">
        <v>78</v>
      </c>
      <c r="C1815" t="n">
        <v>406455</v>
      </c>
      <c r="D1815" t="inlineStr">
        <is>
          <t>YAUGER</t>
        </is>
      </c>
      <c r="E1815" t="inlineStr">
        <is>
          <t>BRIAN</t>
        </is>
      </c>
      <c r="F1815">
        <f>CONCATENATE(D1815," ",LEFT(H1815,4),"T=",AU1815,"D=",AV1815,"R=",AW1815,"M=",AX1815,"L=",AY1815,"B=",AZ1815)</f>
        <v/>
      </c>
      <c r="G1815" t="inlineStr">
        <is>
          <t>P</t>
        </is>
      </c>
      <c r="I1815" t="inlineStr">
        <is>
          <t>1996-01-09</t>
        </is>
      </c>
      <c r="J1815" t="inlineStr">
        <is>
          <t>2015-03-20</t>
        </is>
      </c>
      <c r="K1815" t="inlineStr">
        <is>
          <t>ACTIVE</t>
        </is>
      </c>
      <c r="L1815" t="inlineStr">
        <is>
          <t>D</t>
        </is>
      </c>
      <c r="M1815" t="inlineStr">
        <is>
          <t>460 BELMONT AVE NE</t>
        </is>
      </c>
      <c r="N1815">
        <f>RIGHT(M1815,LEN(M1815)-FIND(" ",M1815))</f>
        <v/>
      </c>
      <c r="P1815" t="inlineStr">
        <is>
          <t>WARREN</t>
        </is>
      </c>
      <c r="Q1815" t="inlineStr">
        <is>
          <t>OH</t>
        </is>
      </c>
      <c r="R1815" t="n">
        <v>44483</v>
      </c>
      <c r="AD1815" t="inlineStr">
        <is>
          <t>TRUMBULL CAREER &amp; TECH CENTER</t>
        </is>
      </c>
      <c r="AE1815" t="inlineStr">
        <is>
          <t>WARREN CITY</t>
        </is>
      </c>
      <c r="AF1815" t="inlineStr">
        <is>
          <t>WARREN CITY SD</t>
        </is>
      </c>
      <c r="AH1815" t="n">
        <v>14</v>
      </c>
      <c r="AI1815" t="n">
        <v>11</v>
      </c>
      <c r="AN1815" t="inlineStr">
        <is>
          <t>WARREN</t>
        </is>
      </c>
      <c r="AO1815" t="inlineStr">
        <is>
          <t>WARREN CITY 4D</t>
        </is>
      </c>
      <c r="AP1815" t="inlineStr">
        <is>
          <t>78-P-ADL</t>
        </is>
      </c>
      <c r="AQ1815" t="n">
        <v>9</v>
      </c>
      <c r="AR1815" t="n">
        <v>64</v>
      </c>
      <c r="AS1815" t="n">
        <v>32</v>
      </c>
      <c r="AU1815">
        <f>COUNTA($BA$1815:$EH$1815)</f>
        <v/>
      </c>
      <c r="AV1815">
        <f>COUNTIF($BA$1815:$EH$1815,"D")</f>
        <v/>
      </c>
      <c r="AW1815">
        <f>COUNTIF($BA$1815:$EH$1815,"R")</f>
        <v/>
      </c>
      <c r="AX1815">
        <f>IF(BN1815="D",1,0)+IF(BO1815="D",1,0)+IF(BT1815="D",1,0)+IF(BU1815="D",1,0)+IF(BW1815="D",1,0)+IF(CC1815="D",1,0)+IF(CD1815="D",1,0)+IF(CE1815="D",1,0)+IF(CF1815="D",1,0)+IF(CL1815="D",1,0)+IF(CM1815="D",1,0)+IF(CQ1815="D",1,0)+IF(CR1815="D",1,0)+IF(CS1815="D",1,0)+IF(CW1815="D",1,0)+IF(CX1815="D",1,0)+IF(DD1815="D",1,0)+IF(DE1815="D",1,0)+IF(DJ1815="D",1,0)+IF(DK1815="D",1,0)+IF(DO1815="D",1,0)+IF(DP1815="D",1,0)+IF(DQ1815="D",1,0)+IF(DW1815="D",1,0)+IF(DZ1815="D",1,0)+IF(EH1815="D",1,0)</f>
        <v/>
      </c>
      <c r="AY1815">
        <f>IF(DJ1815&lt;&gt;"",1,0)+IF(DK1815&lt;&gt;"",1,0)+IF(DM1815&lt;&gt;"",1,0)+IF(DO1815&lt;&gt;"",1,0)+IF(DP1815&lt;&gt;"",1,0)+IF(DQ1815&lt;&gt;"",1,0)+IF(DS1815&lt;&gt;"",1,0)+IF(DT1815&lt;&gt;"",1,0)+IF(DV1815&lt;&gt;"",1,0)+IF(DW1815&lt;&gt;"",1,0)+IF(DX1815&lt;&gt;"",1,0)+IF(DY1815&lt;&gt;"",1,0)+IF(DZ1815&lt;&gt;"",1,0)+IF(EB1815&lt;&gt;"",1,0)+IF(EC1815&lt;&gt;"",1,0)+IF(ED1815&lt;&gt;"",1,0)+IF(EG1815&lt;&gt;"",1,0)+IF(EH1815&lt;&gt;"",1,0)</f>
        <v/>
      </c>
      <c r="AZ1815">
        <f>IF(EH1815&lt;&gt;"",1,0)</f>
        <v/>
      </c>
      <c r="BB1815" t="inlineStr">
        <is>
          <t>WARREN-WARD 4</t>
        </is>
      </c>
      <c r="CW1815" t="inlineStr">
        <is>
          <t>D</t>
        </is>
      </c>
      <c r="CY1815" t="inlineStr">
        <is>
          <t>X</t>
        </is>
      </c>
      <c r="CZ1815" t="inlineStr">
        <is>
          <t>D</t>
        </is>
      </c>
      <c r="DC1815" t="inlineStr">
        <is>
          <t>X</t>
        </is>
      </c>
      <c r="DF1815" t="inlineStr">
        <is>
          <t>X</t>
        </is>
      </c>
      <c r="DG1815" t="inlineStr">
        <is>
          <t>D</t>
        </is>
      </c>
      <c r="DI1815" t="inlineStr">
        <is>
          <t>X</t>
        </is>
      </c>
      <c r="DL1815" t="inlineStr">
        <is>
          <t>X</t>
        </is>
      </c>
      <c r="DM1815" t="inlineStr">
        <is>
          <t>D</t>
        </is>
      </c>
      <c r="DR1815" t="inlineStr">
        <is>
          <t>X</t>
        </is>
      </c>
      <c r="DS1815" t="inlineStr">
        <is>
          <t>D</t>
        </is>
      </c>
      <c r="DU1815" t="inlineStr">
        <is>
          <t>X</t>
        </is>
      </c>
      <c r="DX1815" t="inlineStr">
        <is>
          <t>X</t>
        </is>
      </c>
      <c r="EA1815" t="inlineStr">
        <is>
          <t>X</t>
        </is>
      </c>
      <c r="EF1815" t="inlineStr">
        <is>
          <t>X</t>
        </is>
      </c>
    </row>
    <row r="1816">
      <c r="A1816" t="inlineStr">
        <is>
          <t>OH0024621547</t>
        </is>
      </c>
      <c r="B1816" t="n">
        <v>78</v>
      </c>
      <c r="C1816" t="n">
        <v>431515</v>
      </c>
      <c r="D1816" t="inlineStr">
        <is>
          <t>STEWART</t>
        </is>
      </c>
      <c r="E1816" t="inlineStr">
        <is>
          <t>ELIZABETH</t>
        </is>
      </c>
      <c r="F1816">
        <f>CONCATENATE(D1816," ",LEFT(H1816,4),"T=",AU1816,"D=",AV1816,"R=",AW1816,"M=",AX1816,"L=",AY1816,"B=",AZ1816)</f>
        <v/>
      </c>
      <c r="G1816" t="inlineStr">
        <is>
          <t>M</t>
        </is>
      </c>
      <c r="I1816" t="inlineStr">
        <is>
          <t>1993-12-13</t>
        </is>
      </c>
      <c r="J1816" t="inlineStr">
        <is>
          <t>2018-05-22</t>
        </is>
      </c>
      <c r="K1816" t="inlineStr">
        <is>
          <t>CONFIRMATION</t>
        </is>
      </c>
      <c r="M1816" t="inlineStr">
        <is>
          <t>723 OLIVE AVE NE</t>
        </is>
      </c>
      <c r="N1816">
        <f>RIGHT(M1816,LEN(M1816)-FIND(" ",M1816))</f>
        <v/>
      </c>
      <c r="P1816" t="inlineStr">
        <is>
          <t>WARREN</t>
        </is>
      </c>
      <c r="Q1816" t="inlineStr">
        <is>
          <t>OH</t>
        </is>
      </c>
      <c r="R1816" t="n">
        <v>44483</v>
      </c>
      <c r="AD1816" t="inlineStr">
        <is>
          <t>TRUMBULL CAREER &amp; TECH CENTER</t>
        </is>
      </c>
      <c r="AE1816" t="inlineStr">
        <is>
          <t>WARREN CITY</t>
        </is>
      </c>
      <c r="AF1816" t="inlineStr">
        <is>
          <t>WARREN CITY SD</t>
        </is>
      </c>
      <c r="AH1816" t="n">
        <v>14</v>
      </c>
      <c r="AI1816" t="n">
        <v>11</v>
      </c>
      <c r="AN1816" t="inlineStr">
        <is>
          <t>WARREN</t>
        </is>
      </c>
      <c r="AO1816" t="inlineStr">
        <is>
          <t>WARREN CITY 4D</t>
        </is>
      </c>
      <c r="AP1816" t="inlineStr">
        <is>
          <t>78-P-ADL</t>
        </is>
      </c>
      <c r="AQ1816" t="n">
        <v>9</v>
      </c>
      <c r="AR1816" t="n">
        <v>64</v>
      </c>
      <c r="AS1816" t="n">
        <v>32</v>
      </c>
      <c r="AU1816">
        <f>COUNTA($BA$1816:$EH$1816)</f>
        <v/>
      </c>
      <c r="AV1816">
        <f>COUNTIF($BA$1816:$EH$1816,"D")</f>
        <v/>
      </c>
      <c r="AW1816">
        <f>COUNTIF($BA$1816:$EH$1816,"R")</f>
        <v/>
      </c>
      <c r="AX1816">
        <f>IF(BN1816="D",1,0)+IF(BO1816="D",1,0)+IF(BT1816="D",1,0)+IF(BU1816="D",1,0)+IF(BW1816="D",1,0)+IF(CC1816="D",1,0)+IF(CD1816="D",1,0)+IF(CE1816="D",1,0)+IF(CF1816="D",1,0)+IF(CL1816="D",1,0)+IF(CM1816="D",1,0)+IF(CQ1816="D",1,0)+IF(CR1816="D",1,0)+IF(CS1816="D",1,0)+IF(CW1816="D",1,0)+IF(CX1816="D",1,0)+IF(DD1816="D",1,0)+IF(DE1816="D",1,0)+IF(DJ1816="D",1,0)+IF(DK1816="D",1,0)+IF(DO1816="D",1,0)+IF(DP1816="D",1,0)+IF(DQ1816="D",1,0)+IF(DW1816="D",1,0)+IF(DZ1816="D",1,0)+IF(EH1816="D",1,0)</f>
        <v/>
      </c>
      <c r="AY1816">
        <f>IF(DJ1816&lt;&gt;"",1,0)+IF(DK1816&lt;&gt;"",1,0)+IF(DM1816&lt;&gt;"",1,0)+IF(DO1816&lt;&gt;"",1,0)+IF(DP1816&lt;&gt;"",1,0)+IF(DQ1816&lt;&gt;"",1,0)+IF(DS1816&lt;&gt;"",1,0)+IF(DT1816&lt;&gt;"",1,0)+IF(DV1816&lt;&gt;"",1,0)+IF(DW1816&lt;&gt;"",1,0)+IF(DX1816&lt;&gt;"",1,0)+IF(DY1816&lt;&gt;"",1,0)+IF(DZ1816&lt;&gt;"",1,0)+IF(EB1816&lt;&gt;"",1,0)+IF(EC1816&lt;&gt;"",1,0)+IF(ED1816&lt;&gt;"",1,0)+IF(EG1816&lt;&gt;"",1,0)+IF(EH1816&lt;&gt;"",1,0)</f>
        <v/>
      </c>
      <c r="AZ1816">
        <f>IF(EH1816&lt;&gt;"",1,0)</f>
        <v/>
      </c>
      <c r="BB1816" t="inlineStr">
        <is>
          <t>WARREN-WARD 4</t>
        </is>
      </c>
    </row>
    <row r="1817">
      <c r="A1817" t="inlineStr">
        <is>
          <t>OH0023665472</t>
        </is>
      </c>
      <c r="B1817" t="n">
        <v>78</v>
      </c>
      <c r="C1817" t="n">
        <v>416389</v>
      </c>
      <c r="D1817" t="inlineStr">
        <is>
          <t>COX</t>
        </is>
      </c>
      <c r="E1817" t="inlineStr">
        <is>
          <t>MICHAEL</t>
        </is>
      </c>
      <c r="F1817">
        <f>CONCATENATE(D1817," ",LEFT(H1817,4),"T=",AU1817,"D=",AV1817,"R=",AW1817,"M=",AX1817,"L=",AY1817,"B=",AZ1817)</f>
        <v/>
      </c>
      <c r="G1817" t="inlineStr">
        <is>
          <t>JOHN</t>
        </is>
      </c>
      <c r="I1817" t="inlineStr">
        <is>
          <t>1998-04-24</t>
        </is>
      </c>
      <c r="J1817" t="inlineStr">
        <is>
          <t>2024-07-25</t>
        </is>
      </c>
      <c r="K1817" t="inlineStr">
        <is>
          <t>ACTIVE</t>
        </is>
      </c>
      <c r="M1817" t="inlineStr">
        <is>
          <t>199 PORTER ST NE</t>
        </is>
      </c>
      <c r="N1817">
        <f>RIGHT(M1817,LEN(M1817)-FIND(" ",M1817))</f>
        <v/>
      </c>
      <c r="P1817" t="inlineStr">
        <is>
          <t>WARREN</t>
        </is>
      </c>
      <c r="Q1817" t="inlineStr">
        <is>
          <t>OH</t>
        </is>
      </c>
      <c r="R1817" t="n">
        <v>44483</v>
      </c>
      <c r="AD1817" t="inlineStr">
        <is>
          <t>TRUMBULL CAREER &amp; TECH CENTER</t>
        </is>
      </c>
      <c r="AE1817" t="inlineStr">
        <is>
          <t>WARREN CITY</t>
        </is>
      </c>
      <c r="AF1817" t="inlineStr">
        <is>
          <t>WARREN CITY SD</t>
        </is>
      </c>
      <c r="AH1817" t="n">
        <v>14</v>
      </c>
      <c r="AI1817" t="n">
        <v>11</v>
      </c>
      <c r="AN1817" t="inlineStr">
        <is>
          <t>WARREN</t>
        </is>
      </c>
      <c r="AO1817" t="inlineStr">
        <is>
          <t>WARREN CITY 4D</t>
        </is>
      </c>
      <c r="AP1817" t="inlineStr">
        <is>
          <t>78-P-ADL</t>
        </is>
      </c>
      <c r="AQ1817" t="n">
        <v>9</v>
      </c>
      <c r="AR1817" t="n">
        <v>64</v>
      </c>
      <c r="AS1817" t="n">
        <v>32</v>
      </c>
      <c r="AU1817">
        <f>COUNTA($BA$1817:$EH$1817)</f>
        <v/>
      </c>
      <c r="AV1817">
        <f>COUNTIF($BA$1817:$EH$1817,"D")</f>
        <v/>
      </c>
      <c r="AW1817">
        <f>COUNTIF($BA$1817:$EH$1817,"R")</f>
        <v/>
      </c>
      <c r="AX1817">
        <f>IF(BN1817="D",1,0)+IF(BO1817="D",1,0)+IF(BT1817="D",1,0)+IF(BU1817="D",1,0)+IF(BW1817="D",1,0)+IF(CC1817="D",1,0)+IF(CD1817="D",1,0)+IF(CE1817="D",1,0)+IF(CF1817="D",1,0)+IF(CL1817="D",1,0)+IF(CM1817="D",1,0)+IF(CQ1817="D",1,0)+IF(CR1817="D",1,0)+IF(CS1817="D",1,0)+IF(CW1817="D",1,0)+IF(CX1817="D",1,0)+IF(DD1817="D",1,0)+IF(DE1817="D",1,0)+IF(DJ1817="D",1,0)+IF(DK1817="D",1,0)+IF(DO1817="D",1,0)+IF(DP1817="D",1,0)+IF(DQ1817="D",1,0)+IF(DW1817="D",1,0)+IF(DZ1817="D",1,0)+IF(EH1817="D",1,0)</f>
        <v/>
      </c>
      <c r="AY1817">
        <f>IF(DJ1817&lt;&gt;"",1,0)+IF(DK1817&lt;&gt;"",1,0)+IF(DM1817&lt;&gt;"",1,0)+IF(DO1817&lt;&gt;"",1,0)+IF(DP1817&lt;&gt;"",1,0)+IF(DQ1817&lt;&gt;"",1,0)+IF(DS1817&lt;&gt;"",1,0)+IF(DT1817&lt;&gt;"",1,0)+IF(DV1817&lt;&gt;"",1,0)+IF(DW1817&lt;&gt;"",1,0)+IF(DX1817&lt;&gt;"",1,0)+IF(DY1817&lt;&gt;"",1,0)+IF(DZ1817&lt;&gt;"",1,0)+IF(EB1817&lt;&gt;"",1,0)+IF(EC1817&lt;&gt;"",1,0)+IF(ED1817&lt;&gt;"",1,0)+IF(EG1817&lt;&gt;"",1,0)+IF(EH1817&lt;&gt;"",1,0)</f>
        <v/>
      </c>
      <c r="AZ1817">
        <f>IF(EH1817&lt;&gt;"",1,0)</f>
        <v/>
      </c>
      <c r="BB1817" t="inlineStr">
        <is>
          <t>WARREN-WARD 4</t>
        </is>
      </c>
      <c r="DN1817" t="inlineStr">
        <is>
          <t>X</t>
        </is>
      </c>
      <c r="EF1817" t="inlineStr">
        <is>
          <t>X</t>
        </is>
      </c>
    </row>
    <row r="1818">
      <c r="A1818" t="inlineStr">
        <is>
          <t>OH0023457183</t>
        </is>
      </c>
      <c r="B1818" t="n">
        <v>78</v>
      </c>
      <c r="C1818" t="n">
        <v>412278</v>
      </c>
      <c r="D1818" t="inlineStr">
        <is>
          <t>DELLIMUTI</t>
        </is>
      </c>
      <c r="E1818" t="inlineStr">
        <is>
          <t>PETER</t>
        </is>
      </c>
      <c r="F1818">
        <f>CONCATENATE(D1818," ",LEFT(H1818,4),"T=",AU1818,"D=",AV1818,"R=",AW1818,"M=",AX1818,"L=",AY1818,"B=",AZ1818)</f>
        <v/>
      </c>
      <c r="G1818" t="inlineStr">
        <is>
          <t>N</t>
        </is>
      </c>
      <c r="I1818" t="inlineStr">
        <is>
          <t>1960-08-15</t>
        </is>
      </c>
      <c r="J1818" t="inlineStr">
        <is>
          <t>2016-08-17</t>
        </is>
      </c>
      <c r="K1818" t="inlineStr">
        <is>
          <t>CONFIRMATION</t>
        </is>
      </c>
      <c r="M1818" t="inlineStr">
        <is>
          <t>604 HIGH ST NE</t>
        </is>
      </c>
      <c r="N1818">
        <f>RIGHT(M1818,LEN(M1818)-FIND(" ",M1818))</f>
        <v/>
      </c>
      <c r="P1818" t="inlineStr">
        <is>
          <t>WARREN</t>
        </is>
      </c>
      <c r="Q1818" t="inlineStr">
        <is>
          <t>OH</t>
        </is>
      </c>
      <c r="R1818" t="n">
        <v>44483</v>
      </c>
      <c r="V1818" t="inlineStr">
        <is>
          <t>4840 CARLTON RD</t>
        </is>
      </c>
      <c r="X1818" t="inlineStr">
        <is>
          <t>STIRLING HTS</t>
        </is>
      </c>
      <c r="Y1818" t="inlineStr">
        <is>
          <t>MI</t>
        </is>
      </c>
      <c r="Z1818" t="n">
        <v>48310</v>
      </c>
      <c r="AD1818" t="inlineStr">
        <is>
          <t>TRUMBULL CAREER &amp; TECH CENTER</t>
        </is>
      </c>
      <c r="AE1818" t="inlineStr">
        <is>
          <t>WARREN CITY</t>
        </is>
      </c>
      <c r="AF1818" t="inlineStr">
        <is>
          <t>WARREN CITY SD</t>
        </is>
      </c>
      <c r="AH1818" t="n">
        <v>14</v>
      </c>
      <c r="AI1818" t="n">
        <v>11</v>
      </c>
      <c r="AN1818" t="inlineStr">
        <is>
          <t>WARREN</t>
        </is>
      </c>
      <c r="AO1818" t="inlineStr">
        <is>
          <t>WARREN CITY 4D</t>
        </is>
      </c>
      <c r="AP1818" t="inlineStr">
        <is>
          <t>78-P-ADL</t>
        </is>
      </c>
      <c r="AQ1818" t="n">
        <v>9</v>
      </c>
      <c r="AR1818" t="n">
        <v>64</v>
      </c>
      <c r="AS1818" t="n">
        <v>32</v>
      </c>
      <c r="AU1818">
        <f>COUNTA($BA$1818:$EH$1818)</f>
        <v/>
      </c>
      <c r="AV1818">
        <f>COUNTIF($BA$1818:$EH$1818,"D")</f>
        <v/>
      </c>
      <c r="AW1818">
        <f>COUNTIF($BA$1818:$EH$1818,"R")</f>
        <v/>
      </c>
      <c r="AX1818">
        <f>IF(BN1818="D",1,0)+IF(BO1818="D",1,0)+IF(BT1818="D",1,0)+IF(BU1818="D",1,0)+IF(BW1818="D",1,0)+IF(CC1818="D",1,0)+IF(CD1818="D",1,0)+IF(CE1818="D",1,0)+IF(CF1818="D",1,0)+IF(CL1818="D",1,0)+IF(CM1818="D",1,0)+IF(CQ1818="D",1,0)+IF(CR1818="D",1,0)+IF(CS1818="D",1,0)+IF(CW1818="D",1,0)+IF(CX1818="D",1,0)+IF(DD1818="D",1,0)+IF(DE1818="D",1,0)+IF(DJ1818="D",1,0)+IF(DK1818="D",1,0)+IF(DO1818="D",1,0)+IF(DP1818="D",1,0)+IF(DQ1818="D",1,0)+IF(DW1818="D",1,0)+IF(DZ1818="D",1,0)+IF(EH1818="D",1,0)</f>
        <v/>
      </c>
      <c r="AY1818">
        <f>IF(DJ1818&lt;&gt;"",1,0)+IF(DK1818&lt;&gt;"",1,0)+IF(DM1818&lt;&gt;"",1,0)+IF(DO1818&lt;&gt;"",1,0)+IF(DP1818&lt;&gt;"",1,0)+IF(DQ1818&lt;&gt;"",1,0)+IF(DS1818&lt;&gt;"",1,0)+IF(DT1818&lt;&gt;"",1,0)+IF(DV1818&lt;&gt;"",1,0)+IF(DW1818&lt;&gt;"",1,0)+IF(DX1818&lt;&gt;"",1,0)+IF(DY1818&lt;&gt;"",1,0)+IF(DZ1818&lt;&gt;"",1,0)+IF(EB1818&lt;&gt;"",1,0)+IF(EC1818&lt;&gt;"",1,0)+IF(ED1818&lt;&gt;"",1,0)+IF(EG1818&lt;&gt;"",1,0)+IF(EH1818&lt;&gt;"",1,0)</f>
        <v/>
      </c>
      <c r="AZ1818">
        <f>IF(EH1818&lt;&gt;"",1,0)</f>
        <v/>
      </c>
      <c r="BB1818" t="inlineStr">
        <is>
          <t>WARREN-WARD 4</t>
        </is>
      </c>
    </row>
    <row r="1819">
      <c r="A1819" t="inlineStr">
        <is>
          <t>OH0026772653</t>
        </is>
      </c>
      <c r="B1819" t="n">
        <v>78</v>
      </c>
      <c r="C1819" t="n">
        <v>468253</v>
      </c>
      <c r="D1819" t="inlineStr">
        <is>
          <t>GUNTER</t>
        </is>
      </c>
      <c r="E1819" t="inlineStr">
        <is>
          <t>KASSEY</t>
        </is>
      </c>
      <c r="F1819">
        <f>CONCATENATE(D1819," ",LEFT(H1819,4),"T=",AU1819,"D=",AV1819,"R=",AW1819,"M=",AX1819,"L=",AY1819,"B=",AZ1819)</f>
        <v/>
      </c>
      <c r="G1819" t="inlineStr">
        <is>
          <t>M</t>
        </is>
      </c>
      <c r="I1819" t="inlineStr">
        <is>
          <t>1994-09-27</t>
        </is>
      </c>
      <c r="J1819" t="inlineStr">
        <is>
          <t>2022-09-10</t>
        </is>
      </c>
      <c r="K1819" t="inlineStr">
        <is>
          <t>CONFIRMATION</t>
        </is>
      </c>
      <c r="M1819" t="inlineStr">
        <is>
          <t>415 WASHINGTON ST NE</t>
        </is>
      </c>
      <c r="N1819">
        <f>RIGHT(M1819,LEN(M1819)-FIND(" ",M1819))</f>
        <v/>
      </c>
      <c r="P1819" t="inlineStr">
        <is>
          <t>WARREN</t>
        </is>
      </c>
      <c r="Q1819" t="inlineStr">
        <is>
          <t>OH</t>
        </is>
      </c>
      <c r="R1819" t="n">
        <v>44483</v>
      </c>
      <c r="AD1819" t="inlineStr">
        <is>
          <t>TRUMBULL CAREER &amp; TECH CENTER</t>
        </is>
      </c>
      <c r="AE1819" t="inlineStr">
        <is>
          <t>WARREN CITY</t>
        </is>
      </c>
      <c r="AF1819" t="inlineStr">
        <is>
          <t>WARREN CITY SD</t>
        </is>
      </c>
      <c r="AH1819" t="n">
        <v>14</v>
      </c>
      <c r="AI1819" t="n">
        <v>11</v>
      </c>
      <c r="AN1819" t="inlineStr">
        <is>
          <t>WARREN</t>
        </is>
      </c>
      <c r="AO1819" t="inlineStr">
        <is>
          <t>WARREN CITY 4D</t>
        </is>
      </c>
      <c r="AP1819" t="inlineStr">
        <is>
          <t>78-P-ADL</t>
        </is>
      </c>
      <c r="AQ1819" t="n">
        <v>9</v>
      </c>
      <c r="AR1819" t="n">
        <v>64</v>
      </c>
      <c r="AS1819" t="n">
        <v>32</v>
      </c>
      <c r="AU1819">
        <f>COUNTA($BA$1819:$EH$1819)</f>
        <v/>
      </c>
      <c r="AV1819">
        <f>COUNTIF($BA$1819:$EH$1819,"D")</f>
        <v/>
      </c>
      <c r="AW1819">
        <f>COUNTIF($BA$1819:$EH$1819,"R")</f>
        <v/>
      </c>
      <c r="AX1819">
        <f>IF(BN1819="D",1,0)+IF(BO1819="D",1,0)+IF(BT1819="D",1,0)+IF(BU1819="D",1,0)+IF(BW1819="D",1,0)+IF(CC1819="D",1,0)+IF(CD1819="D",1,0)+IF(CE1819="D",1,0)+IF(CF1819="D",1,0)+IF(CL1819="D",1,0)+IF(CM1819="D",1,0)+IF(CQ1819="D",1,0)+IF(CR1819="D",1,0)+IF(CS1819="D",1,0)+IF(CW1819="D",1,0)+IF(CX1819="D",1,0)+IF(DD1819="D",1,0)+IF(DE1819="D",1,0)+IF(DJ1819="D",1,0)+IF(DK1819="D",1,0)+IF(DO1819="D",1,0)+IF(DP1819="D",1,0)+IF(DQ1819="D",1,0)+IF(DW1819="D",1,0)+IF(DZ1819="D",1,0)+IF(EH1819="D",1,0)</f>
        <v/>
      </c>
      <c r="AY1819">
        <f>IF(DJ1819&lt;&gt;"",1,0)+IF(DK1819&lt;&gt;"",1,0)+IF(DM1819&lt;&gt;"",1,0)+IF(DO1819&lt;&gt;"",1,0)+IF(DP1819&lt;&gt;"",1,0)+IF(DQ1819&lt;&gt;"",1,0)+IF(DS1819&lt;&gt;"",1,0)+IF(DT1819&lt;&gt;"",1,0)+IF(DV1819&lt;&gt;"",1,0)+IF(DW1819&lt;&gt;"",1,0)+IF(DX1819&lt;&gt;"",1,0)+IF(DY1819&lt;&gt;"",1,0)+IF(DZ1819&lt;&gt;"",1,0)+IF(EB1819&lt;&gt;"",1,0)+IF(EC1819&lt;&gt;"",1,0)+IF(ED1819&lt;&gt;"",1,0)+IF(EG1819&lt;&gt;"",1,0)+IF(EH1819&lt;&gt;"",1,0)</f>
        <v/>
      </c>
      <c r="AZ1819">
        <f>IF(EH1819&lt;&gt;"",1,0)</f>
        <v/>
      </c>
      <c r="BB1819" t="inlineStr">
        <is>
          <t>WARREN-WARD 4</t>
        </is>
      </c>
    </row>
    <row r="1820">
      <c r="A1820" t="inlineStr">
        <is>
          <t>OH0022523241</t>
        </is>
      </c>
      <c r="B1820" t="n">
        <v>78</v>
      </c>
      <c r="C1820" t="n">
        <v>397835</v>
      </c>
      <c r="D1820" t="inlineStr">
        <is>
          <t>KENNEDY</t>
        </is>
      </c>
      <c r="E1820" t="inlineStr">
        <is>
          <t>DALE</t>
        </is>
      </c>
      <c r="F1820">
        <f>CONCATENATE(D1820," ",LEFT(H1820,4),"T=",AU1820,"D=",AV1820,"R=",AW1820,"M=",AX1820,"L=",AY1820,"B=",AZ1820)</f>
        <v/>
      </c>
      <c r="G1820" t="inlineStr">
        <is>
          <t>A</t>
        </is>
      </c>
      <c r="I1820" t="inlineStr">
        <is>
          <t>1956-01-20</t>
        </is>
      </c>
      <c r="J1820" t="inlineStr">
        <is>
          <t>2016-09-20</t>
        </is>
      </c>
      <c r="K1820" t="inlineStr">
        <is>
          <t>ACTIVE</t>
        </is>
      </c>
      <c r="L1820" t="inlineStr">
        <is>
          <t>D</t>
        </is>
      </c>
      <c r="M1820" t="inlineStr">
        <is>
          <t>528 BELMONT AVE NE</t>
        </is>
      </c>
      <c r="N1820">
        <f>RIGHT(M1820,LEN(M1820)-FIND(" ",M1820))</f>
        <v/>
      </c>
      <c r="P1820" t="inlineStr">
        <is>
          <t>WARREN</t>
        </is>
      </c>
      <c r="Q1820" t="inlineStr">
        <is>
          <t>OH</t>
        </is>
      </c>
      <c r="R1820" t="n">
        <v>44483</v>
      </c>
      <c r="AD1820" t="inlineStr">
        <is>
          <t>TRUMBULL CAREER &amp; TECH CENTER</t>
        </is>
      </c>
      <c r="AE1820" t="inlineStr">
        <is>
          <t>WARREN CITY</t>
        </is>
      </c>
      <c r="AF1820" t="inlineStr">
        <is>
          <t>WARREN CITY SD</t>
        </is>
      </c>
      <c r="AH1820" t="n">
        <v>14</v>
      </c>
      <c r="AI1820" t="n">
        <v>11</v>
      </c>
      <c r="AN1820" t="inlineStr">
        <is>
          <t>WARREN</t>
        </is>
      </c>
      <c r="AO1820" t="inlineStr">
        <is>
          <t>WARREN CITY 4D</t>
        </is>
      </c>
      <c r="AP1820" t="inlineStr">
        <is>
          <t>78-P-ADL</t>
        </is>
      </c>
      <c r="AQ1820" t="n">
        <v>9</v>
      </c>
      <c r="AR1820" t="n">
        <v>64</v>
      </c>
      <c r="AS1820" t="n">
        <v>32</v>
      </c>
      <c r="AU1820">
        <f>COUNTA($BA$1820:$EH$1820)</f>
        <v/>
      </c>
      <c r="AV1820">
        <f>COUNTIF($BA$1820:$EH$1820,"D")</f>
        <v/>
      </c>
      <c r="AW1820">
        <f>COUNTIF($BA$1820:$EH$1820,"R")</f>
        <v/>
      </c>
      <c r="AX1820">
        <f>IF(BN1820="D",1,0)+IF(BO1820="D",1,0)+IF(BT1820="D",1,0)+IF(BU1820="D",1,0)+IF(BW1820="D",1,0)+IF(CC1820="D",1,0)+IF(CD1820="D",1,0)+IF(CE1820="D",1,0)+IF(CF1820="D",1,0)+IF(CL1820="D",1,0)+IF(CM1820="D",1,0)+IF(CQ1820="D",1,0)+IF(CR1820="D",1,0)+IF(CS1820="D",1,0)+IF(CW1820="D",1,0)+IF(CX1820="D",1,0)+IF(DD1820="D",1,0)+IF(DE1820="D",1,0)+IF(DJ1820="D",1,0)+IF(DK1820="D",1,0)+IF(DO1820="D",1,0)+IF(DP1820="D",1,0)+IF(DQ1820="D",1,0)+IF(DW1820="D",1,0)+IF(DZ1820="D",1,0)+IF(EH1820="D",1,0)</f>
        <v/>
      </c>
      <c r="AY1820">
        <f>IF(DJ1820&lt;&gt;"",1,0)+IF(DK1820&lt;&gt;"",1,0)+IF(DM1820&lt;&gt;"",1,0)+IF(DO1820&lt;&gt;"",1,0)+IF(DP1820&lt;&gt;"",1,0)+IF(DQ1820&lt;&gt;"",1,0)+IF(DS1820&lt;&gt;"",1,0)+IF(DT1820&lt;&gt;"",1,0)+IF(DV1820&lt;&gt;"",1,0)+IF(DW1820&lt;&gt;"",1,0)+IF(DX1820&lt;&gt;"",1,0)+IF(DY1820&lt;&gt;"",1,0)+IF(DZ1820&lt;&gt;"",1,0)+IF(EB1820&lt;&gt;"",1,0)+IF(EC1820&lt;&gt;"",1,0)+IF(ED1820&lt;&gt;"",1,0)+IF(EG1820&lt;&gt;"",1,0)+IF(EH1820&lt;&gt;"",1,0)</f>
        <v/>
      </c>
      <c r="AZ1820">
        <f>IF(EH1820&lt;&gt;"",1,0)</f>
        <v/>
      </c>
      <c r="BB1820" t="inlineStr">
        <is>
          <t>WARREN-WARD 4</t>
        </is>
      </c>
      <c r="BC1820" t="inlineStr">
        <is>
          <t>X</t>
        </is>
      </c>
      <c r="BD1820" t="inlineStr">
        <is>
          <t>X</t>
        </is>
      </c>
      <c r="BE1820" t="inlineStr">
        <is>
          <t>X</t>
        </is>
      </c>
      <c r="BH1820" t="inlineStr">
        <is>
          <t>X</t>
        </is>
      </c>
      <c r="BJ1820" t="inlineStr">
        <is>
          <t>X</t>
        </is>
      </c>
      <c r="BK1820" t="inlineStr">
        <is>
          <t>X</t>
        </is>
      </c>
      <c r="BL1820" t="inlineStr">
        <is>
          <t>X</t>
        </is>
      </c>
      <c r="BP1820" t="inlineStr">
        <is>
          <t>X</t>
        </is>
      </c>
      <c r="BR1820" t="inlineStr">
        <is>
          <t>X</t>
        </is>
      </c>
      <c r="BS1820" t="inlineStr">
        <is>
          <t>X</t>
        </is>
      </c>
      <c r="CK1820" t="inlineStr">
        <is>
          <t>X</t>
        </is>
      </c>
      <c r="CL1820" t="inlineStr">
        <is>
          <t>D</t>
        </is>
      </c>
      <c r="CN1820" t="inlineStr">
        <is>
          <t>X</t>
        </is>
      </c>
      <c r="CO1820" t="inlineStr">
        <is>
          <t>D</t>
        </is>
      </c>
      <c r="CP1820" t="inlineStr">
        <is>
          <t>X</t>
        </is>
      </c>
      <c r="CT1820" t="inlineStr">
        <is>
          <t>X</t>
        </is>
      </c>
      <c r="CU1820" t="inlineStr">
        <is>
          <t>D</t>
        </is>
      </c>
      <c r="CV1820" t="inlineStr">
        <is>
          <t>X</t>
        </is>
      </c>
      <c r="CY1820" t="inlineStr">
        <is>
          <t>X</t>
        </is>
      </c>
      <c r="CZ1820" t="inlineStr">
        <is>
          <t>D</t>
        </is>
      </c>
      <c r="DC1820" t="inlineStr">
        <is>
          <t>X</t>
        </is>
      </c>
      <c r="DF1820" t="inlineStr">
        <is>
          <t>X</t>
        </is>
      </c>
      <c r="DG1820" t="inlineStr">
        <is>
          <t>D</t>
        </is>
      </c>
      <c r="DI1820" t="inlineStr">
        <is>
          <t>X</t>
        </is>
      </c>
      <c r="DL1820" t="inlineStr">
        <is>
          <t>X</t>
        </is>
      </c>
      <c r="DM1820" t="inlineStr">
        <is>
          <t>D</t>
        </is>
      </c>
      <c r="DN1820" t="inlineStr">
        <is>
          <t>X</t>
        </is>
      </c>
      <c r="DR1820" t="inlineStr">
        <is>
          <t>X</t>
        </is>
      </c>
      <c r="DS1820" t="inlineStr">
        <is>
          <t>D</t>
        </is>
      </c>
      <c r="DT1820" t="inlineStr">
        <is>
          <t>D</t>
        </is>
      </c>
      <c r="DU1820" t="inlineStr">
        <is>
          <t>X</t>
        </is>
      </c>
      <c r="DW1820" t="inlineStr">
        <is>
          <t>D</t>
        </is>
      </c>
      <c r="DX1820" t="inlineStr">
        <is>
          <t>X</t>
        </is>
      </c>
      <c r="EA1820" t="inlineStr">
        <is>
          <t>X</t>
        </is>
      </c>
      <c r="ED1820" t="inlineStr">
        <is>
          <t>D</t>
        </is>
      </c>
      <c r="EF1820" t="inlineStr">
        <is>
          <t>X</t>
        </is>
      </c>
    </row>
    <row r="1821">
      <c r="A1821" t="inlineStr">
        <is>
          <t>OH0015750906</t>
        </is>
      </c>
      <c r="B1821" t="n">
        <v>78</v>
      </c>
      <c r="C1821" t="n">
        <v>237529</v>
      </c>
      <c r="D1821" t="inlineStr">
        <is>
          <t>PROVITT</t>
        </is>
      </c>
      <c r="E1821" t="inlineStr">
        <is>
          <t>THOMAS</t>
        </is>
      </c>
      <c r="F1821">
        <f>CONCATENATE(D1821," ",LEFT(H1821,4),"T=",AU1821,"D=",AV1821,"R=",AW1821,"M=",AX1821,"L=",AY1821,"B=",AZ1821)</f>
        <v/>
      </c>
      <c r="G1821" t="inlineStr">
        <is>
          <t>L</t>
        </is>
      </c>
      <c r="I1821" t="inlineStr">
        <is>
          <t>1957-11-14</t>
        </is>
      </c>
      <c r="J1821" t="inlineStr">
        <is>
          <t>2018-11-28</t>
        </is>
      </c>
      <c r="K1821" t="inlineStr">
        <is>
          <t>ACTIVE</t>
        </is>
      </c>
      <c r="L1821" t="inlineStr">
        <is>
          <t>R</t>
        </is>
      </c>
      <c r="M1821" t="inlineStr">
        <is>
          <t>464 SCOTT ST NE</t>
        </is>
      </c>
      <c r="N1821">
        <f>RIGHT(M1821,LEN(M1821)-FIND(" ",M1821))</f>
        <v/>
      </c>
      <c r="P1821" t="inlineStr">
        <is>
          <t>WARREN</t>
        </is>
      </c>
      <c r="Q1821" t="inlineStr">
        <is>
          <t>OH</t>
        </is>
      </c>
      <c r="R1821" t="n">
        <v>44483</v>
      </c>
      <c r="AD1821" t="inlineStr">
        <is>
          <t>TRUMBULL CAREER &amp; TECH CENTER</t>
        </is>
      </c>
      <c r="AE1821" t="inlineStr">
        <is>
          <t>WARREN CITY</t>
        </is>
      </c>
      <c r="AF1821" t="inlineStr">
        <is>
          <t>WARREN CITY SD</t>
        </is>
      </c>
      <c r="AH1821" t="n">
        <v>14</v>
      </c>
      <c r="AI1821" t="n">
        <v>11</v>
      </c>
      <c r="AN1821" t="inlineStr">
        <is>
          <t>WARREN</t>
        </is>
      </c>
      <c r="AO1821" t="inlineStr">
        <is>
          <t>WARREN CITY 4D</t>
        </is>
      </c>
      <c r="AP1821" t="inlineStr">
        <is>
          <t>78-P-ADL</t>
        </is>
      </c>
      <c r="AQ1821" t="n">
        <v>9</v>
      </c>
      <c r="AR1821" t="n">
        <v>64</v>
      </c>
      <c r="AS1821" t="n">
        <v>32</v>
      </c>
      <c r="AU1821">
        <f>COUNTA($BA$1821:$EH$1821)</f>
        <v/>
      </c>
      <c r="AV1821">
        <f>COUNTIF($BA$1821:$EH$1821,"D")</f>
        <v/>
      </c>
      <c r="AW1821">
        <f>COUNTIF($BA$1821:$EH$1821,"R")</f>
        <v/>
      </c>
      <c r="AX1821">
        <f>IF(BN1821="D",1,0)+IF(BO1821="D",1,0)+IF(BT1821="D",1,0)+IF(BU1821="D",1,0)+IF(BW1821="D",1,0)+IF(CC1821="D",1,0)+IF(CD1821="D",1,0)+IF(CE1821="D",1,0)+IF(CF1821="D",1,0)+IF(CL1821="D",1,0)+IF(CM1821="D",1,0)+IF(CQ1821="D",1,0)+IF(CR1821="D",1,0)+IF(CS1821="D",1,0)+IF(CW1821="D",1,0)+IF(CX1821="D",1,0)+IF(DD1821="D",1,0)+IF(DE1821="D",1,0)+IF(DJ1821="D",1,0)+IF(DK1821="D",1,0)+IF(DO1821="D",1,0)+IF(DP1821="D",1,0)+IF(DQ1821="D",1,0)+IF(DW1821="D",1,0)+IF(DZ1821="D",1,0)+IF(EH1821="D",1,0)</f>
        <v/>
      </c>
      <c r="AY1821">
        <f>IF(DJ1821&lt;&gt;"",1,0)+IF(DK1821&lt;&gt;"",1,0)+IF(DM1821&lt;&gt;"",1,0)+IF(DO1821&lt;&gt;"",1,0)+IF(DP1821&lt;&gt;"",1,0)+IF(DQ1821&lt;&gt;"",1,0)+IF(DS1821&lt;&gt;"",1,0)+IF(DT1821&lt;&gt;"",1,0)+IF(DV1821&lt;&gt;"",1,0)+IF(DW1821&lt;&gt;"",1,0)+IF(DX1821&lt;&gt;"",1,0)+IF(DY1821&lt;&gt;"",1,0)+IF(DZ1821&lt;&gt;"",1,0)+IF(EB1821&lt;&gt;"",1,0)+IF(EC1821&lt;&gt;"",1,0)+IF(ED1821&lt;&gt;"",1,0)+IF(EG1821&lt;&gt;"",1,0)+IF(EH1821&lt;&gt;"",1,0)</f>
        <v/>
      </c>
      <c r="AZ1821">
        <f>IF(EH1821&lt;&gt;"",1,0)</f>
        <v/>
      </c>
      <c r="BB1821" t="inlineStr">
        <is>
          <t>WARREN-WARD 4</t>
        </is>
      </c>
      <c r="BC1821" t="inlineStr">
        <is>
          <t>X</t>
        </is>
      </c>
      <c r="BD1821" t="inlineStr">
        <is>
          <t>X</t>
        </is>
      </c>
      <c r="BE1821" t="inlineStr">
        <is>
          <t>X</t>
        </is>
      </c>
      <c r="BH1821" t="inlineStr">
        <is>
          <t>X</t>
        </is>
      </c>
      <c r="BI1821" t="inlineStr">
        <is>
          <t>X</t>
        </is>
      </c>
      <c r="BK1821" t="inlineStr">
        <is>
          <t>X</t>
        </is>
      </c>
      <c r="BL1821" t="inlineStr">
        <is>
          <t>X</t>
        </is>
      </c>
      <c r="BP1821" t="inlineStr">
        <is>
          <t>X</t>
        </is>
      </c>
      <c r="BS1821" t="inlineStr">
        <is>
          <t>X</t>
        </is>
      </c>
      <c r="BY1821" t="inlineStr">
        <is>
          <t>D</t>
        </is>
      </c>
      <c r="CA1821" t="inlineStr">
        <is>
          <t>X</t>
        </is>
      </c>
      <c r="CL1821" t="inlineStr">
        <is>
          <t>D</t>
        </is>
      </c>
      <c r="CN1821" t="inlineStr">
        <is>
          <t>X</t>
        </is>
      </c>
      <c r="CP1821" t="inlineStr">
        <is>
          <t>X</t>
        </is>
      </c>
      <c r="DC1821" t="inlineStr">
        <is>
          <t>X</t>
        </is>
      </c>
      <c r="DI1821" t="inlineStr">
        <is>
          <t>X</t>
        </is>
      </c>
      <c r="DN1821" t="inlineStr">
        <is>
          <t>X</t>
        </is>
      </c>
      <c r="DU1821" t="inlineStr">
        <is>
          <t>X</t>
        </is>
      </c>
      <c r="EA1821" t="inlineStr">
        <is>
          <t>X</t>
        </is>
      </c>
      <c r="ED1821" t="inlineStr">
        <is>
          <t>R</t>
        </is>
      </c>
      <c r="EF1821" t="inlineStr">
        <is>
          <t>X</t>
        </is>
      </c>
    </row>
    <row r="1822">
      <c r="A1822" t="inlineStr">
        <is>
          <t>OH0026995693</t>
        </is>
      </c>
      <c r="B1822" t="n">
        <v>78</v>
      </c>
      <c r="C1822" t="n">
        <v>475457</v>
      </c>
      <c r="D1822" t="inlineStr">
        <is>
          <t>SMITH</t>
        </is>
      </c>
      <c r="E1822" t="inlineStr">
        <is>
          <t>CASSIDY</t>
        </is>
      </c>
      <c r="F1822">
        <f>CONCATENATE(D1822," ",LEFT(H1822,4),"T=",AU1822,"D=",AV1822,"R=",AW1822,"M=",AX1822,"L=",AY1822,"B=",AZ1822)</f>
        <v/>
      </c>
      <c r="G1822" t="inlineStr">
        <is>
          <t>MARIE</t>
        </is>
      </c>
      <c r="I1822" t="inlineStr">
        <is>
          <t>1998-02-10</t>
        </is>
      </c>
      <c r="J1822" t="inlineStr">
        <is>
          <t>2023-08-08</t>
        </is>
      </c>
      <c r="K1822" t="inlineStr">
        <is>
          <t>ACTIVE</t>
        </is>
      </c>
      <c r="M1822" t="inlineStr">
        <is>
          <t>464 VINE AVE NE</t>
        </is>
      </c>
      <c r="N1822">
        <f>RIGHT(M1822,LEN(M1822)-FIND(" ",M1822))</f>
        <v/>
      </c>
      <c r="O1822" t="inlineStr">
        <is>
          <t>APT 3</t>
        </is>
      </c>
      <c r="P1822" t="inlineStr">
        <is>
          <t>WARREN</t>
        </is>
      </c>
      <c r="Q1822" t="inlineStr">
        <is>
          <t>OH</t>
        </is>
      </c>
      <c r="R1822" t="n">
        <v>44483</v>
      </c>
      <c r="AD1822" t="inlineStr">
        <is>
          <t>TRUMBULL CAREER &amp; TECH CENTER</t>
        </is>
      </c>
      <c r="AE1822" t="inlineStr">
        <is>
          <t>WARREN CITY</t>
        </is>
      </c>
      <c r="AF1822" t="inlineStr">
        <is>
          <t>WARREN CITY SD</t>
        </is>
      </c>
      <c r="AH1822" t="n">
        <v>14</v>
      </c>
      <c r="AI1822" t="n">
        <v>11</v>
      </c>
      <c r="AN1822" t="inlineStr">
        <is>
          <t>WARREN</t>
        </is>
      </c>
      <c r="AO1822" t="inlineStr">
        <is>
          <t>WARREN CITY 4D</t>
        </is>
      </c>
      <c r="AP1822" t="inlineStr">
        <is>
          <t>78-P-ADL</t>
        </is>
      </c>
      <c r="AQ1822" t="n">
        <v>9</v>
      </c>
      <c r="AR1822" t="n">
        <v>64</v>
      </c>
      <c r="AS1822" t="n">
        <v>32</v>
      </c>
      <c r="AU1822">
        <f>COUNTA($BA$1822:$EH$1822)</f>
        <v/>
      </c>
      <c r="AV1822">
        <f>COUNTIF($BA$1822:$EH$1822,"D")</f>
        <v/>
      </c>
      <c r="AW1822">
        <f>COUNTIF($BA$1822:$EH$1822,"R")</f>
        <v/>
      </c>
      <c r="AX1822">
        <f>IF(BN1822="D",1,0)+IF(BO1822="D",1,0)+IF(BT1822="D",1,0)+IF(BU1822="D",1,0)+IF(BW1822="D",1,0)+IF(CC1822="D",1,0)+IF(CD1822="D",1,0)+IF(CE1822="D",1,0)+IF(CF1822="D",1,0)+IF(CL1822="D",1,0)+IF(CM1822="D",1,0)+IF(CQ1822="D",1,0)+IF(CR1822="D",1,0)+IF(CS1822="D",1,0)+IF(CW1822="D",1,0)+IF(CX1822="D",1,0)+IF(DD1822="D",1,0)+IF(DE1822="D",1,0)+IF(DJ1822="D",1,0)+IF(DK1822="D",1,0)+IF(DO1822="D",1,0)+IF(DP1822="D",1,0)+IF(DQ1822="D",1,0)+IF(DW1822="D",1,0)+IF(DZ1822="D",1,0)+IF(EH1822="D",1,0)</f>
        <v/>
      </c>
      <c r="AY1822">
        <f>IF(DJ1822&lt;&gt;"",1,0)+IF(DK1822&lt;&gt;"",1,0)+IF(DM1822&lt;&gt;"",1,0)+IF(DO1822&lt;&gt;"",1,0)+IF(DP1822&lt;&gt;"",1,0)+IF(DQ1822&lt;&gt;"",1,0)+IF(DS1822&lt;&gt;"",1,0)+IF(DT1822&lt;&gt;"",1,0)+IF(DV1822&lt;&gt;"",1,0)+IF(DW1822&lt;&gt;"",1,0)+IF(DX1822&lt;&gt;"",1,0)+IF(DY1822&lt;&gt;"",1,0)+IF(DZ1822&lt;&gt;"",1,0)+IF(EB1822&lt;&gt;"",1,0)+IF(EC1822&lt;&gt;"",1,0)+IF(ED1822&lt;&gt;"",1,0)+IF(EG1822&lt;&gt;"",1,0)+IF(EH1822&lt;&gt;"",1,0)</f>
        <v/>
      </c>
      <c r="AZ1822">
        <f>IF(EH1822&lt;&gt;"",1,0)</f>
        <v/>
      </c>
      <c r="BB1822" t="inlineStr">
        <is>
          <t>WARREN-WARD 4</t>
        </is>
      </c>
    </row>
    <row r="1823">
      <c r="A1823" t="inlineStr">
        <is>
          <t>OH0024655309</t>
        </is>
      </c>
      <c r="B1823" t="n">
        <v>78</v>
      </c>
      <c r="C1823" t="n">
        <v>432244</v>
      </c>
      <c r="D1823" t="inlineStr">
        <is>
          <t>MARCHESE</t>
        </is>
      </c>
      <c r="E1823" t="inlineStr">
        <is>
          <t>CHERYL</t>
        </is>
      </c>
      <c r="F1823">
        <f>CONCATENATE(D1823," ",LEFT(H1823,4),"T=",AU1823,"D=",AV1823,"R=",AW1823,"M=",AX1823,"L=",AY1823,"B=",AZ1823)</f>
        <v/>
      </c>
      <c r="G1823" t="inlineStr">
        <is>
          <t>IRENE</t>
        </is>
      </c>
      <c r="I1823" t="inlineStr">
        <is>
          <t>1962-07-15</t>
        </is>
      </c>
      <c r="J1823" t="inlineStr">
        <is>
          <t>2018-06-04</t>
        </is>
      </c>
      <c r="K1823" t="inlineStr">
        <is>
          <t>ACTIVE</t>
        </is>
      </c>
      <c r="L1823" t="inlineStr">
        <is>
          <t>D</t>
        </is>
      </c>
      <c r="M1823" t="inlineStr">
        <is>
          <t>243 CHARLES AVE NE</t>
        </is>
      </c>
      <c r="N1823">
        <f>RIGHT(M1823,LEN(M1823)-FIND(" ",M1823))</f>
        <v/>
      </c>
      <c r="P1823" t="inlineStr">
        <is>
          <t>WARREN</t>
        </is>
      </c>
      <c r="Q1823" t="inlineStr">
        <is>
          <t>OH</t>
        </is>
      </c>
      <c r="R1823" t="n">
        <v>44483</v>
      </c>
      <c r="AD1823" t="inlineStr">
        <is>
          <t>TRUMBULL CAREER &amp; TECH CENTER</t>
        </is>
      </c>
      <c r="AE1823" t="inlineStr">
        <is>
          <t>WARREN CITY</t>
        </is>
      </c>
      <c r="AF1823" t="inlineStr">
        <is>
          <t>WARREN CITY SD</t>
        </is>
      </c>
      <c r="AH1823" t="n">
        <v>14</v>
      </c>
      <c r="AI1823" t="n">
        <v>11</v>
      </c>
      <c r="AN1823" t="inlineStr">
        <is>
          <t>WARREN</t>
        </is>
      </c>
      <c r="AO1823" t="inlineStr">
        <is>
          <t>WARREN CITY 4D</t>
        </is>
      </c>
      <c r="AP1823" t="inlineStr">
        <is>
          <t>78-P-ADL</t>
        </is>
      </c>
      <c r="AQ1823" t="n">
        <v>9</v>
      </c>
      <c r="AR1823" t="n">
        <v>64</v>
      </c>
      <c r="AS1823" t="n">
        <v>32</v>
      </c>
      <c r="AU1823">
        <f>COUNTA($BA$1823:$EH$1823)</f>
        <v/>
      </c>
      <c r="AV1823">
        <f>COUNTIF($BA$1823:$EH$1823,"D")</f>
        <v/>
      </c>
      <c r="AW1823">
        <f>COUNTIF($BA$1823:$EH$1823,"R")</f>
        <v/>
      </c>
      <c r="AX1823">
        <f>IF(BN1823="D",1,0)+IF(BO1823="D",1,0)+IF(BT1823="D",1,0)+IF(BU1823="D",1,0)+IF(BW1823="D",1,0)+IF(CC1823="D",1,0)+IF(CD1823="D",1,0)+IF(CE1823="D",1,0)+IF(CF1823="D",1,0)+IF(CL1823="D",1,0)+IF(CM1823="D",1,0)+IF(CQ1823="D",1,0)+IF(CR1823="D",1,0)+IF(CS1823="D",1,0)+IF(CW1823="D",1,0)+IF(CX1823="D",1,0)+IF(DD1823="D",1,0)+IF(DE1823="D",1,0)+IF(DJ1823="D",1,0)+IF(DK1823="D",1,0)+IF(DO1823="D",1,0)+IF(DP1823="D",1,0)+IF(DQ1823="D",1,0)+IF(DW1823="D",1,0)+IF(DZ1823="D",1,0)+IF(EH1823="D",1,0)</f>
        <v/>
      </c>
      <c r="AY1823">
        <f>IF(DJ1823&lt;&gt;"",1,0)+IF(DK1823&lt;&gt;"",1,0)+IF(DM1823&lt;&gt;"",1,0)+IF(DO1823&lt;&gt;"",1,0)+IF(DP1823&lt;&gt;"",1,0)+IF(DQ1823&lt;&gt;"",1,0)+IF(DS1823&lt;&gt;"",1,0)+IF(DT1823&lt;&gt;"",1,0)+IF(DV1823&lt;&gt;"",1,0)+IF(DW1823&lt;&gt;"",1,0)+IF(DX1823&lt;&gt;"",1,0)+IF(DY1823&lt;&gt;"",1,0)+IF(DZ1823&lt;&gt;"",1,0)+IF(EB1823&lt;&gt;"",1,0)+IF(EC1823&lt;&gt;"",1,0)+IF(ED1823&lt;&gt;"",1,0)+IF(EG1823&lt;&gt;"",1,0)+IF(EH1823&lt;&gt;"",1,0)</f>
        <v/>
      </c>
      <c r="AZ1823">
        <f>IF(EH1823&lt;&gt;"",1,0)</f>
        <v/>
      </c>
      <c r="BB1823" t="inlineStr">
        <is>
          <t>WARREN-WARD 4</t>
        </is>
      </c>
      <c r="DI1823" t="inlineStr">
        <is>
          <t>X</t>
        </is>
      </c>
      <c r="DM1823" t="inlineStr">
        <is>
          <t>D</t>
        </is>
      </c>
      <c r="DN1823" t="inlineStr">
        <is>
          <t>X</t>
        </is>
      </c>
      <c r="DU1823" t="inlineStr">
        <is>
          <t>X</t>
        </is>
      </c>
      <c r="DW1823" t="inlineStr">
        <is>
          <t>D</t>
        </is>
      </c>
      <c r="DX1823" t="inlineStr">
        <is>
          <t>X</t>
        </is>
      </c>
      <c r="EA1823" t="inlineStr">
        <is>
          <t>X</t>
        </is>
      </c>
      <c r="ED1823" t="inlineStr">
        <is>
          <t>D</t>
        </is>
      </c>
      <c r="EF1823" t="inlineStr">
        <is>
          <t>X</t>
        </is>
      </c>
    </row>
    <row r="1824">
      <c r="A1824" t="inlineStr">
        <is>
          <t>OH0015719821</t>
        </is>
      </c>
      <c r="B1824" t="n">
        <v>78</v>
      </c>
      <c r="C1824" t="n">
        <v>199516</v>
      </c>
      <c r="D1824" t="inlineStr">
        <is>
          <t>ESAU</t>
        </is>
      </c>
      <c r="E1824" t="inlineStr">
        <is>
          <t>MICHAEL</t>
        </is>
      </c>
      <c r="F1824">
        <f>CONCATENATE(D1824," ",LEFT(H1824,4),"T=",AU1824,"D=",AV1824,"R=",AW1824,"M=",AX1824,"L=",AY1824,"B=",AZ1824)</f>
        <v/>
      </c>
      <c r="G1824" t="inlineStr">
        <is>
          <t>F</t>
        </is>
      </c>
      <c r="I1824" t="inlineStr">
        <is>
          <t>1963-12-03</t>
        </is>
      </c>
      <c r="J1824" t="inlineStr">
        <is>
          <t>2019-05-10</t>
        </is>
      </c>
      <c r="K1824" t="inlineStr">
        <is>
          <t>ACTIVE</t>
        </is>
      </c>
      <c r="L1824" t="inlineStr">
        <is>
          <t>R</t>
        </is>
      </c>
      <c r="M1824" t="inlineStr">
        <is>
          <t>330 LOGAN AVE NE</t>
        </is>
      </c>
      <c r="N1824">
        <f>RIGHT(M1824,LEN(M1824)-FIND(" ",M1824))</f>
        <v/>
      </c>
      <c r="P1824" t="inlineStr">
        <is>
          <t>WARREN</t>
        </is>
      </c>
      <c r="Q1824" t="inlineStr">
        <is>
          <t>OH</t>
        </is>
      </c>
      <c r="R1824" t="n">
        <v>44483</v>
      </c>
      <c r="AD1824" t="inlineStr">
        <is>
          <t>TRUMBULL CAREER &amp; TECH CENTER</t>
        </is>
      </c>
      <c r="AE1824" t="inlineStr">
        <is>
          <t>WARREN CITY</t>
        </is>
      </c>
      <c r="AF1824" t="inlineStr">
        <is>
          <t>WARREN CITY SD</t>
        </is>
      </c>
      <c r="AH1824" t="n">
        <v>14</v>
      </c>
      <c r="AI1824" t="n">
        <v>11</v>
      </c>
      <c r="AN1824" t="inlineStr">
        <is>
          <t>WARREN</t>
        </is>
      </c>
      <c r="AO1824" t="inlineStr">
        <is>
          <t>WARREN CITY 4D</t>
        </is>
      </c>
      <c r="AP1824" t="inlineStr">
        <is>
          <t>78-P-ADL</t>
        </is>
      </c>
      <c r="AQ1824" t="n">
        <v>9</v>
      </c>
      <c r="AR1824" t="n">
        <v>64</v>
      </c>
      <c r="AS1824" t="n">
        <v>32</v>
      </c>
      <c r="AU1824">
        <f>COUNTA($BA$1824:$EH$1824)</f>
        <v/>
      </c>
      <c r="AV1824">
        <f>COUNTIF($BA$1824:$EH$1824,"D")</f>
        <v/>
      </c>
      <c r="AW1824">
        <f>COUNTIF($BA$1824:$EH$1824,"R")</f>
        <v/>
      </c>
      <c r="AX1824">
        <f>IF(BN1824="D",1,0)+IF(BO1824="D",1,0)+IF(BT1824="D",1,0)+IF(BU1824="D",1,0)+IF(BW1824="D",1,0)+IF(CC1824="D",1,0)+IF(CD1824="D",1,0)+IF(CE1824="D",1,0)+IF(CF1824="D",1,0)+IF(CL1824="D",1,0)+IF(CM1824="D",1,0)+IF(CQ1824="D",1,0)+IF(CR1824="D",1,0)+IF(CS1824="D",1,0)+IF(CW1824="D",1,0)+IF(CX1824="D",1,0)+IF(DD1824="D",1,0)+IF(DE1824="D",1,0)+IF(DJ1824="D",1,0)+IF(DK1824="D",1,0)+IF(DO1824="D",1,0)+IF(DP1824="D",1,0)+IF(DQ1824="D",1,0)+IF(DW1824="D",1,0)+IF(DZ1824="D",1,0)+IF(EH1824="D",1,0)</f>
        <v/>
      </c>
      <c r="AY1824">
        <f>IF(DJ1824&lt;&gt;"",1,0)+IF(DK1824&lt;&gt;"",1,0)+IF(DM1824&lt;&gt;"",1,0)+IF(DO1824&lt;&gt;"",1,0)+IF(DP1824&lt;&gt;"",1,0)+IF(DQ1824&lt;&gt;"",1,0)+IF(DS1824&lt;&gt;"",1,0)+IF(DT1824&lt;&gt;"",1,0)+IF(DV1824&lt;&gt;"",1,0)+IF(DW1824&lt;&gt;"",1,0)+IF(DX1824&lt;&gt;"",1,0)+IF(DY1824&lt;&gt;"",1,0)+IF(DZ1824&lt;&gt;"",1,0)+IF(EB1824&lt;&gt;"",1,0)+IF(EC1824&lt;&gt;"",1,0)+IF(ED1824&lt;&gt;"",1,0)+IF(EG1824&lt;&gt;"",1,0)+IF(EH1824&lt;&gt;"",1,0)</f>
        <v/>
      </c>
      <c r="AZ1824">
        <f>IF(EH1824&lt;&gt;"",1,0)</f>
        <v/>
      </c>
      <c r="BB1824" t="inlineStr">
        <is>
          <t>WARREN-WARD 4</t>
        </is>
      </c>
      <c r="BC1824" t="inlineStr">
        <is>
          <t>X</t>
        </is>
      </c>
      <c r="BD1824" t="inlineStr">
        <is>
          <t>X</t>
        </is>
      </c>
      <c r="BE1824" t="inlineStr">
        <is>
          <t>X</t>
        </is>
      </c>
      <c r="BF1824" t="inlineStr">
        <is>
          <t>X</t>
        </is>
      </c>
      <c r="BH1824" t="inlineStr">
        <is>
          <t>X</t>
        </is>
      </c>
      <c r="BI1824" t="inlineStr">
        <is>
          <t>X</t>
        </is>
      </c>
      <c r="BK1824" t="inlineStr">
        <is>
          <t>X</t>
        </is>
      </c>
      <c r="BL1824" t="inlineStr">
        <is>
          <t>X</t>
        </is>
      </c>
      <c r="BS1824" t="inlineStr">
        <is>
          <t>X</t>
        </is>
      </c>
      <c r="BY1824" t="inlineStr">
        <is>
          <t>D</t>
        </is>
      </c>
      <c r="CA1824" t="inlineStr">
        <is>
          <t>X</t>
        </is>
      </c>
      <c r="CN1824" t="inlineStr">
        <is>
          <t>X</t>
        </is>
      </c>
      <c r="CO1824" t="inlineStr">
        <is>
          <t>D</t>
        </is>
      </c>
      <c r="CP1824" t="inlineStr">
        <is>
          <t>X</t>
        </is>
      </c>
      <c r="CY1824" t="inlineStr">
        <is>
          <t>X</t>
        </is>
      </c>
      <c r="DC1824" t="inlineStr">
        <is>
          <t>X</t>
        </is>
      </c>
      <c r="DI1824" t="inlineStr">
        <is>
          <t>X</t>
        </is>
      </c>
      <c r="DL1824" t="inlineStr">
        <is>
          <t>X</t>
        </is>
      </c>
      <c r="DM1824" t="inlineStr">
        <is>
          <t>R</t>
        </is>
      </c>
      <c r="DN1824" t="inlineStr">
        <is>
          <t>X</t>
        </is>
      </c>
      <c r="DS1824" t="inlineStr">
        <is>
          <t>R</t>
        </is>
      </c>
      <c r="DU1824" t="inlineStr">
        <is>
          <t>X</t>
        </is>
      </c>
      <c r="EA1824" t="inlineStr">
        <is>
          <t>X</t>
        </is>
      </c>
      <c r="ED1824" t="inlineStr">
        <is>
          <t>R</t>
        </is>
      </c>
      <c r="EF1824" t="inlineStr">
        <is>
          <t>X</t>
        </is>
      </c>
    </row>
    <row r="1825">
      <c r="A1825" t="inlineStr">
        <is>
          <t>OH0015763206</t>
        </is>
      </c>
      <c r="B1825" t="n">
        <v>78</v>
      </c>
      <c r="C1825" t="n">
        <v>250554</v>
      </c>
      <c r="D1825" t="inlineStr">
        <is>
          <t>CARTER</t>
        </is>
      </c>
      <c r="E1825" t="inlineStr">
        <is>
          <t>KENNETH</t>
        </is>
      </c>
      <c r="F1825">
        <f>CONCATENATE(D1825," ",LEFT(H1825,4),"T=",AU1825,"D=",AV1825,"R=",AW1825,"M=",AX1825,"L=",AY1825,"B=",AZ1825)</f>
        <v/>
      </c>
      <c r="G1825" t="inlineStr">
        <is>
          <t>S</t>
        </is>
      </c>
      <c r="I1825" t="inlineStr">
        <is>
          <t>1950-09-29</t>
        </is>
      </c>
      <c r="J1825" t="inlineStr">
        <is>
          <t>2022-10-11</t>
        </is>
      </c>
      <c r="K1825" t="inlineStr">
        <is>
          <t>ACTIVE</t>
        </is>
      </c>
      <c r="M1825" t="inlineStr">
        <is>
          <t>280 N PARK AVE</t>
        </is>
      </c>
      <c r="N1825">
        <f>RIGHT(M1825,LEN(M1825)-FIND(" ",M1825))</f>
        <v/>
      </c>
      <c r="P1825" t="inlineStr">
        <is>
          <t>WARREN</t>
        </is>
      </c>
      <c r="Q1825" t="inlineStr">
        <is>
          <t>OH</t>
        </is>
      </c>
      <c r="R1825" t="n">
        <v>44481</v>
      </c>
      <c r="AD1825" t="inlineStr">
        <is>
          <t>TRUMBULL CAREER &amp; TECH CENTER</t>
        </is>
      </c>
      <c r="AE1825" t="inlineStr">
        <is>
          <t>WARREN CITY</t>
        </is>
      </c>
      <c r="AF1825" t="inlineStr">
        <is>
          <t>WARREN CITY SD</t>
        </is>
      </c>
      <c r="AH1825" t="n">
        <v>14</v>
      </c>
      <c r="AI1825" t="n">
        <v>11</v>
      </c>
      <c r="AN1825" t="inlineStr">
        <is>
          <t>WARREN</t>
        </is>
      </c>
      <c r="AO1825" t="inlineStr">
        <is>
          <t>WARREN CITY 4D</t>
        </is>
      </c>
      <c r="AP1825" t="inlineStr">
        <is>
          <t>78-P-ADL</t>
        </is>
      </c>
      <c r="AQ1825" t="n">
        <v>9</v>
      </c>
      <c r="AR1825" t="n">
        <v>64</v>
      </c>
      <c r="AS1825" t="n">
        <v>32</v>
      </c>
      <c r="AU1825">
        <f>COUNTA($BA$1825:$EH$1825)</f>
        <v/>
      </c>
      <c r="AV1825">
        <f>COUNTIF($BA$1825:$EH$1825,"D")</f>
        <v/>
      </c>
      <c r="AW1825">
        <f>COUNTIF($BA$1825:$EH$1825,"R")</f>
        <v/>
      </c>
      <c r="AX1825">
        <f>IF(BN1825="D",1,0)+IF(BO1825="D",1,0)+IF(BT1825="D",1,0)+IF(BU1825="D",1,0)+IF(BW1825="D",1,0)+IF(CC1825="D",1,0)+IF(CD1825="D",1,0)+IF(CE1825="D",1,0)+IF(CF1825="D",1,0)+IF(CL1825="D",1,0)+IF(CM1825="D",1,0)+IF(CQ1825="D",1,0)+IF(CR1825="D",1,0)+IF(CS1825="D",1,0)+IF(CW1825="D",1,0)+IF(CX1825="D",1,0)+IF(DD1825="D",1,0)+IF(DE1825="D",1,0)+IF(DJ1825="D",1,0)+IF(DK1825="D",1,0)+IF(DO1825="D",1,0)+IF(DP1825="D",1,0)+IF(DQ1825="D",1,0)+IF(DW1825="D",1,0)+IF(DZ1825="D",1,0)+IF(EH1825="D",1,0)</f>
        <v/>
      </c>
      <c r="AY1825">
        <f>IF(DJ1825&lt;&gt;"",1,0)+IF(DK1825&lt;&gt;"",1,0)+IF(DM1825&lt;&gt;"",1,0)+IF(DO1825&lt;&gt;"",1,0)+IF(DP1825&lt;&gt;"",1,0)+IF(DQ1825&lt;&gt;"",1,0)+IF(DS1825&lt;&gt;"",1,0)+IF(DT1825&lt;&gt;"",1,0)+IF(DV1825&lt;&gt;"",1,0)+IF(DW1825&lt;&gt;"",1,0)+IF(DX1825&lt;&gt;"",1,0)+IF(DY1825&lt;&gt;"",1,0)+IF(DZ1825&lt;&gt;"",1,0)+IF(EB1825&lt;&gt;"",1,0)+IF(EC1825&lt;&gt;"",1,0)+IF(ED1825&lt;&gt;"",1,0)+IF(EG1825&lt;&gt;"",1,0)+IF(EH1825&lt;&gt;"",1,0)</f>
        <v/>
      </c>
      <c r="AZ1825">
        <f>IF(EH1825&lt;&gt;"",1,0)</f>
        <v/>
      </c>
      <c r="BB1825" t="inlineStr">
        <is>
          <t>WARREN-WARD 4</t>
        </is>
      </c>
      <c r="BD1825" t="inlineStr">
        <is>
          <t>X</t>
        </is>
      </c>
      <c r="BF1825" t="inlineStr">
        <is>
          <t>X</t>
        </is>
      </c>
      <c r="BH1825" t="inlineStr">
        <is>
          <t>X</t>
        </is>
      </c>
      <c r="BJ1825" t="inlineStr">
        <is>
          <t>X</t>
        </is>
      </c>
      <c r="BL1825" t="inlineStr">
        <is>
          <t>X</t>
        </is>
      </c>
      <c r="BP1825" t="inlineStr">
        <is>
          <t>X</t>
        </is>
      </c>
      <c r="BR1825" t="inlineStr">
        <is>
          <t>X</t>
        </is>
      </c>
      <c r="BS1825" t="inlineStr">
        <is>
          <t>X</t>
        </is>
      </c>
      <c r="CA1825" t="inlineStr">
        <is>
          <t>X</t>
        </is>
      </c>
      <c r="CG1825" t="inlineStr">
        <is>
          <t>X</t>
        </is>
      </c>
      <c r="CH1825" t="inlineStr">
        <is>
          <t>X</t>
        </is>
      </c>
      <c r="CK1825" t="inlineStr">
        <is>
          <t>X</t>
        </is>
      </c>
      <c r="CN1825" t="inlineStr">
        <is>
          <t>X</t>
        </is>
      </c>
      <c r="CP1825" t="inlineStr">
        <is>
          <t>X</t>
        </is>
      </c>
      <c r="CT1825" t="inlineStr">
        <is>
          <t>X</t>
        </is>
      </c>
      <c r="CU1825" t="inlineStr">
        <is>
          <t>X</t>
        </is>
      </c>
      <c r="CV1825" t="inlineStr">
        <is>
          <t>X</t>
        </is>
      </c>
      <c r="CY1825" t="inlineStr">
        <is>
          <t>X</t>
        </is>
      </c>
      <c r="DI1825" t="inlineStr">
        <is>
          <t>X</t>
        </is>
      </c>
    </row>
    <row r="1826">
      <c r="A1826" t="inlineStr">
        <is>
          <t>OH0022554423</t>
        </is>
      </c>
      <c r="B1826" t="n">
        <v>78</v>
      </c>
      <c r="C1826" t="n">
        <v>398290</v>
      </c>
      <c r="D1826" t="inlineStr">
        <is>
          <t>KNIGHT</t>
        </is>
      </c>
      <c r="E1826" t="inlineStr">
        <is>
          <t>DARRELL</t>
        </is>
      </c>
      <c r="F1826">
        <f>CONCATENATE(D1826," ",LEFT(H1826,4),"T=",AU1826,"D=",AV1826,"R=",AW1826,"M=",AX1826,"L=",AY1826,"B=",AZ1826)</f>
        <v/>
      </c>
      <c r="G1826" t="inlineStr">
        <is>
          <t>G</t>
        </is>
      </c>
      <c r="I1826" t="inlineStr">
        <is>
          <t>1951-10-30</t>
        </is>
      </c>
      <c r="J1826" t="inlineStr">
        <is>
          <t>2017-02-23</t>
        </is>
      </c>
      <c r="K1826" t="inlineStr">
        <is>
          <t>ACTIVE</t>
        </is>
      </c>
      <c r="L1826" t="inlineStr">
        <is>
          <t>R</t>
        </is>
      </c>
      <c r="M1826" t="inlineStr">
        <is>
          <t>1124 MCKINLEY ST NE</t>
        </is>
      </c>
      <c r="N1826">
        <f>RIGHT(M1826,LEN(M1826)-FIND(" ",M1826))</f>
        <v/>
      </c>
      <c r="P1826" t="inlineStr">
        <is>
          <t>WARREN</t>
        </is>
      </c>
      <c r="Q1826" t="inlineStr">
        <is>
          <t>OH</t>
        </is>
      </c>
      <c r="R1826" t="n">
        <v>44483</v>
      </c>
      <c r="AD1826" t="inlineStr">
        <is>
          <t>TRUMBULL CAREER &amp; TECH CENTER</t>
        </is>
      </c>
      <c r="AE1826" t="inlineStr">
        <is>
          <t>WARREN CITY</t>
        </is>
      </c>
      <c r="AF1826" t="inlineStr">
        <is>
          <t>WARREN CITY SD</t>
        </is>
      </c>
      <c r="AH1826" t="n">
        <v>14</v>
      </c>
      <c r="AI1826" t="n">
        <v>11</v>
      </c>
      <c r="AN1826" t="inlineStr">
        <is>
          <t>WARREN</t>
        </is>
      </c>
      <c r="AO1826" t="inlineStr">
        <is>
          <t>WARREN CITY 4D</t>
        </is>
      </c>
      <c r="AP1826" t="inlineStr">
        <is>
          <t>78-P-ADL</t>
        </is>
      </c>
      <c r="AQ1826" t="n">
        <v>9</v>
      </c>
      <c r="AR1826" t="n">
        <v>64</v>
      </c>
      <c r="AS1826" t="n">
        <v>32</v>
      </c>
      <c r="AU1826">
        <f>COUNTA($BA$1826:$EH$1826)</f>
        <v/>
      </c>
      <c r="AV1826">
        <f>COUNTIF($BA$1826:$EH$1826,"D")</f>
        <v/>
      </c>
      <c r="AW1826">
        <f>COUNTIF($BA$1826:$EH$1826,"R")</f>
        <v/>
      </c>
      <c r="AX1826">
        <f>IF(BN1826="D",1,0)+IF(BO1826="D",1,0)+IF(BT1826="D",1,0)+IF(BU1826="D",1,0)+IF(BW1826="D",1,0)+IF(CC1826="D",1,0)+IF(CD1826="D",1,0)+IF(CE1826="D",1,0)+IF(CF1826="D",1,0)+IF(CL1826="D",1,0)+IF(CM1826="D",1,0)+IF(CQ1826="D",1,0)+IF(CR1826="D",1,0)+IF(CS1826="D",1,0)+IF(CW1826="D",1,0)+IF(CX1826="D",1,0)+IF(DD1826="D",1,0)+IF(DE1826="D",1,0)+IF(DJ1826="D",1,0)+IF(DK1826="D",1,0)+IF(DO1826="D",1,0)+IF(DP1826="D",1,0)+IF(DQ1826="D",1,0)+IF(DW1826="D",1,0)+IF(DZ1826="D",1,0)+IF(EH1826="D",1,0)</f>
        <v/>
      </c>
      <c r="AY1826">
        <f>IF(DJ1826&lt;&gt;"",1,0)+IF(DK1826&lt;&gt;"",1,0)+IF(DM1826&lt;&gt;"",1,0)+IF(DO1826&lt;&gt;"",1,0)+IF(DP1826&lt;&gt;"",1,0)+IF(DQ1826&lt;&gt;"",1,0)+IF(DS1826&lt;&gt;"",1,0)+IF(DT1826&lt;&gt;"",1,0)+IF(DV1826&lt;&gt;"",1,0)+IF(DW1826&lt;&gt;"",1,0)+IF(DX1826&lt;&gt;"",1,0)+IF(DY1826&lt;&gt;"",1,0)+IF(DZ1826&lt;&gt;"",1,0)+IF(EB1826&lt;&gt;"",1,0)+IF(EC1826&lt;&gt;"",1,0)+IF(ED1826&lt;&gt;"",1,0)+IF(EG1826&lt;&gt;"",1,0)+IF(EH1826&lt;&gt;"",1,0)</f>
        <v/>
      </c>
      <c r="AZ1826">
        <f>IF(EH1826&lt;&gt;"",1,0)</f>
        <v/>
      </c>
      <c r="BB1826" t="inlineStr">
        <is>
          <t>WARREN-WARD 4</t>
        </is>
      </c>
      <c r="CT1826" t="inlineStr">
        <is>
          <t>X</t>
        </is>
      </c>
      <c r="CU1826" t="inlineStr">
        <is>
          <t>D</t>
        </is>
      </c>
      <c r="CV1826" t="inlineStr">
        <is>
          <t>X</t>
        </is>
      </c>
      <c r="CY1826" t="inlineStr">
        <is>
          <t>X</t>
        </is>
      </c>
      <c r="CZ1826" t="inlineStr">
        <is>
          <t>D</t>
        </is>
      </c>
      <c r="DC1826" t="inlineStr">
        <is>
          <t>X</t>
        </is>
      </c>
      <c r="DD1826" t="inlineStr">
        <is>
          <t>D</t>
        </is>
      </c>
      <c r="DF1826" t="inlineStr">
        <is>
          <t>X</t>
        </is>
      </c>
      <c r="DG1826" t="inlineStr">
        <is>
          <t>D</t>
        </is>
      </c>
      <c r="DI1826" t="inlineStr">
        <is>
          <t>X</t>
        </is>
      </c>
      <c r="DL1826" t="inlineStr">
        <is>
          <t>X</t>
        </is>
      </c>
      <c r="DM1826" t="inlineStr">
        <is>
          <t>D</t>
        </is>
      </c>
      <c r="DN1826" t="inlineStr">
        <is>
          <t>X</t>
        </is>
      </c>
      <c r="DS1826" t="inlineStr">
        <is>
          <t>R</t>
        </is>
      </c>
      <c r="DU1826" t="inlineStr">
        <is>
          <t>X</t>
        </is>
      </c>
      <c r="DW1826" t="inlineStr">
        <is>
          <t>D</t>
        </is>
      </c>
      <c r="DX1826" t="inlineStr">
        <is>
          <t>X</t>
        </is>
      </c>
      <c r="EA1826" t="inlineStr">
        <is>
          <t>X</t>
        </is>
      </c>
      <c r="ED1826" t="inlineStr">
        <is>
          <t>R</t>
        </is>
      </c>
      <c r="EF1826" t="inlineStr">
        <is>
          <t>X</t>
        </is>
      </c>
    </row>
    <row r="1827">
      <c r="A1827" t="inlineStr">
        <is>
          <t>OH0022367380</t>
        </is>
      </c>
      <c r="B1827" t="n">
        <v>78</v>
      </c>
      <c r="C1827" t="n">
        <v>395778</v>
      </c>
      <c r="D1827" t="inlineStr">
        <is>
          <t>LEHMAN</t>
        </is>
      </c>
      <c r="E1827" t="inlineStr">
        <is>
          <t>RICHARD</t>
        </is>
      </c>
      <c r="F1827">
        <f>CONCATENATE(D1827," ",LEFT(H1827,4),"T=",AU1827,"D=",AV1827,"R=",AW1827,"M=",AX1827,"L=",AY1827,"B=",AZ1827)</f>
        <v/>
      </c>
      <c r="G1827" t="inlineStr">
        <is>
          <t>ALLEN</t>
        </is>
      </c>
      <c r="H1827" t="inlineStr">
        <is>
          <t>JR</t>
        </is>
      </c>
      <c r="I1827" t="inlineStr">
        <is>
          <t>1985-01-26</t>
        </is>
      </c>
      <c r="J1827" t="inlineStr">
        <is>
          <t>2018-04-10</t>
        </is>
      </c>
      <c r="K1827" t="inlineStr">
        <is>
          <t>CONFIRMATION</t>
        </is>
      </c>
      <c r="M1827" t="inlineStr">
        <is>
          <t>306 CHESTNUT AVE NE</t>
        </is>
      </c>
      <c r="N1827">
        <f>RIGHT(M1827,LEN(M1827)-FIND(" ",M1827))</f>
        <v/>
      </c>
      <c r="P1827" t="inlineStr">
        <is>
          <t>WARREN</t>
        </is>
      </c>
      <c r="Q1827" t="inlineStr">
        <is>
          <t>OH</t>
        </is>
      </c>
      <c r="R1827" t="n">
        <v>44483</v>
      </c>
      <c r="AD1827" t="inlineStr">
        <is>
          <t>TRUMBULL CAREER &amp; TECH CENTER</t>
        </is>
      </c>
      <c r="AE1827" t="inlineStr">
        <is>
          <t>WARREN CITY</t>
        </is>
      </c>
      <c r="AF1827" t="inlineStr">
        <is>
          <t>WARREN CITY SD</t>
        </is>
      </c>
      <c r="AH1827" t="n">
        <v>14</v>
      </c>
      <c r="AI1827" t="n">
        <v>11</v>
      </c>
      <c r="AN1827" t="inlineStr">
        <is>
          <t>WARREN</t>
        </is>
      </c>
      <c r="AO1827" t="inlineStr">
        <is>
          <t>WARREN CITY 4D</t>
        </is>
      </c>
      <c r="AP1827" t="inlineStr">
        <is>
          <t>78-P-ADL</t>
        </is>
      </c>
      <c r="AQ1827" t="n">
        <v>9</v>
      </c>
      <c r="AR1827" t="n">
        <v>64</v>
      </c>
      <c r="AS1827" t="n">
        <v>32</v>
      </c>
      <c r="AU1827">
        <f>COUNTA($BA$1827:$EH$1827)</f>
        <v/>
      </c>
      <c r="AV1827">
        <f>COUNTIF($BA$1827:$EH$1827,"D")</f>
        <v/>
      </c>
      <c r="AW1827">
        <f>COUNTIF($BA$1827:$EH$1827,"R")</f>
        <v/>
      </c>
      <c r="AX1827">
        <f>IF(BN1827="D",1,0)+IF(BO1827="D",1,0)+IF(BT1827="D",1,0)+IF(BU1827="D",1,0)+IF(BW1827="D",1,0)+IF(CC1827="D",1,0)+IF(CD1827="D",1,0)+IF(CE1827="D",1,0)+IF(CF1827="D",1,0)+IF(CL1827="D",1,0)+IF(CM1827="D",1,0)+IF(CQ1827="D",1,0)+IF(CR1827="D",1,0)+IF(CS1827="D",1,0)+IF(CW1827="D",1,0)+IF(CX1827="D",1,0)+IF(DD1827="D",1,0)+IF(DE1827="D",1,0)+IF(DJ1827="D",1,0)+IF(DK1827="D",1,0)+IF(DO1827="D",1,0)+IF(DP1827="D",1,0)+IF(DQ1827="D",1,0)+IF(DW1827="D",1,0)+IF(DZ1827="D",1,0)+IF(EH1827="D",1,0)</f>
        <v/>
      </c>
      <c r="AY1827">
        <f>IF(DJ1827&lt;&gt;"",1,0)+IF(DK1827&lt;&gt;"",1,0)+IF(DM1827&lt;&gt;"",1,0)+IF(DO1827&lt;&gt;"",1,0)+IF(DP1827&lt;&gt;"",1,0)+IF(DQ1827&lt;&gt;"",1,0)+IF(DS1827&lt;&gt;"",1,0)+IF(DT1827&lt;&gt;"",1,0)+IF(DV1827&lt;&gt;"",1,0)+IF(DW1827&lt;&gt;"",1,0)+IF(DX1827&lt;&gt;"",1,0)+IF(DY1827&lt;&gt;"",1,0)+IF(DZ1827&lt;&gt;"",1,0)+IF(EB1827&lt;&gt;"",1,0)+IF(EC1827&lt;&gt;"",1,0)+IF(ED1827&lt;&gt;"",1,0)+IF(EG1827&lt;&gt;"",1,0)+IF(EH1827&lt;&gt;"",1,0)</f>
        <v/>
      </c>
      <c r="AZ1827">
        <f>IF(EH1827&lt;&gt;"",1,0)</f>
        <v/>
      </c>
      <c r="BB1827" t="inlineStr">
        <is>
          <t>WARREN-WARD 4</t>
        </is>
      </c>
      <c r="BL1827" t="inlineStr">
        <is>
          <t>X</t>
        </is>
      </c>
    </row>
    <row r="1828">
      <c r="A1828" t="inlineStr">
        <is>
          <t>OH0027076996</t>
        </is>
      </c>
      <c r="B1828" t="n">
        <v>78</v>
      </c>
      <c r="C1828" t="n">
        <v>476622</v>
      </c>
      <c r="D1828" t="inlineStr">
        <is>
          <t>CAMPBELL</t>
        </is>
      </c>
      <c r="E1828" t="inlineStr">
        <is>
          <t>ARROW</t>
        </is>
      </c>
      <c r="F1828">
        <f>CONCATENATE(D1828," ",LEFT(H1828,4),"T=",AU1828,"D=",AV1828,"R=",AW1828,"M=",AX1828,"L=",AY1828,"B=",AZ1828)</f>
        <v/>
      </c>
      <c r="G1828" t="inlineStr">
        <is>
          <t>RAYNE HOPE</t>
        </is>
      </c>
      <c r="I1828" t="inlineStr">
        <is>
          <t>2000-11-14</t>
        </is>
      </c>
      <c r="J1828" t="inlineStr">
        <is>
          <t>2023-09-29</t>
        </is>
      </c>
      <c r="K1828" t="inlineStr">
        <is>
          <t>ACTIVE</t>
        </is>
      </c>
      <c r="M1828" t="inlineStr">
        <is>
          <t>370 WASHINGTON ST NE</t>
        </is>
      </c>
      <c r="N1828">
        <f>RIGHT(M1828,LEN(M1828)-FIND(" ",M1828))</f>
        <v/>
      </c>
      <c r="P1828" t="inlineStr">
        <is>
          <t>WARREN</t>
        </is>
      </c>
      <c r="Q1828" t="inlineStr">
        <is>
          <t>OH</t>
        </is>
      </c>
      <c r="R1828" t="n">
        <v>44483</v>
      </c>
      <c r="AD1828" t="inlineStr">
        <is>
          <t>TRUMBULL CAREER &amp; TECH CENTER</t>
        </is>
      </c>
      <c r="AE1828" t="inlineStr">
        <is>
          <t>WARREN CITY</t>
        </is>
      </c>
      <c r="AF1828" t="inlineStr">
        <is>
          <t>WARREN CITY SD</t>
        </is>
      </c>
      <c r="AH1828" t="n">
        <v>14</v>
      </c>
      <c r="AI1828" t="n">
        <v>11</v>
      </c>
      <c r="AN1828" t="inlineStr">
        <is>
          <t>WARREN</t>
        </is>
      </c>
      <c r="AO1828" t="inlineStr">
        <is>
          <t>WARREN CITY 4D</t>
        </is>
      </c>
      <c r="AP1828" t="inlineStr">
        <is>
          <t>78-P-ADL</t>
        </is>
      </c>
      <c r="AQ1828" t="n">
        <v>9</v>
      </c>
      <c r="AR1828" t="n">
        <v>64</v>
      </c>
      <c r="AS1828" t="n">
        <v>32</v>
      </c>
      <c r="AU1828">
        <f>COUNTA($BA$1828:$EH$1828)</f>
        <v/>
      </c>
      <c r="AV1828">
        <f>COUNTIF($BA$1828:$EH$1828,"D")</f>
        <v/>
      </c>
      <c r="AW1828">
        <f>COUNTIF($BA$1828:$EH$1828,"R")</f>
        <v/>
      </c>
      <c r="AX1828">
        <f>IF(BN1828="D",1,0)+IF(BO1828="D",1,0)+IF(BT1828="D",1,0)+IF(BU1828="D",1,0)+IF(BW1828="D",1,0)+IF(CC1828="D",1,0)+IF(CD1828="D",1,0)+IF(CE1828="D",1,0)+IF(CF1828="D",1,0)+IF(CL1828="D",1,0)+IF(CM1828="D",1,0)+IF(CQ1828="D",1,0)+IF(CR1828="D",1,0)+IF(CS1828="D",1,0)+IF(CW1828="D",1,0)+IF(CX1828="D",1,0)+IF(DD1828="D",1,0)+IF(DE1828="D",1,0)+IF(DJ1828="D",1,0)+IF(DK1828="D",1,0)+IF(DO1828="D",1,0)+IF(DP1828="D",1,0)+IF(DQ1828="D",1,0)+IF(DW1828="D",1,0)+IF(DZ1828="D",1,0)+IF(EH1828="D",1,0)</f>
        <v/>
      </c>
      <c r="AY1828">
        <f>IF(DJ1828&lt;&gt;"",1,0)+IF(DK1828&lt;&gt;"",1,0)+IF(DM1828&lt;&gt;"",1,0)+IF(DO1828&lt;&gt;"",1,0)+IF(DP1828&lt;&gt;"",1,0)+IF(DQ1828&lt;&gt;"",1,0)+IF(DS1828&lt;&gt;"",1,0)+IF(DT1828&lt;&gt;"",1,0)+IF(DV1828&lt;&gt;"",1,0)+IF(DW1828&lt;&gt;"",1,0)+IF(DX1828&lt;&gt;"",1,0)+IF(DY1828&lt;&gt;"",1,0)+IF(DZ1828&lt;&gt;"",1,0)+IF(EB1828&lt;&gt;"",1,0)+IF(EC1828&lt;&gt;"",1,0)+IF(ED1828&lt;&gt;"",1,0)+IF(EG1828&lt;&gt;"",1,0)+IF(EH1828&lt;&gt;"",1,0)</f>
        <v/>
      </c>
      <c r="AZ1828">
        <f>IF(EH1828&lt;&gt;"",1,0)</f>
        <v/>
      </c>
      <c r="BB1828" t="inlineStr">
        <is>
          <t>WARREN-WARD 4</t>
        </is>
      </c>
      <c r="EF1828" t="inlineStr">
        <is>
          <t>X</t>
        </is>
      </c>
    </row>
    <row r="1829">
      <c r="A1829" t="inlineStr">
        <is>
          <t>OH0015763702</t>
        </is>
      </c>
      <c r="B1829" t="n">
        <v>78</v>
      </c>
      <c r="C1829" t="n">
        <v>251048</v>
      </c>
      <c r="D1829" t="inlineStr">
        <is>
          <t>FISHEL</t>
        </is>
      </c>
      <c r="E1829" t="inlineStr">
        <is>
          <t>JANET</t>
        </is>
      </c>
      <c r="F1829">
        <f>CONCATENATE(D1829," ",LEFT(H1829,4),"T=",AU1829,"D=",AV1829,"R=",AW1829,"M=",AX1829,"L=",AY1829,"B=",AZ1829)</f>
        <v/>
      </c>
      <c r="G1829" t="inlineStr">
        <is>
          <t>M</t>
        </is>
      </c>
      <c r="I1829" t="inlineStr">
        <is>
          <t>1962-08-27</t>
        </is>
      </c>
      <c r="J1829" t="inlineStr">
        <is>
          <t>2017-08-30</t>
        </is>
      </c>
      <c r="K1829" t="inlineStr">
        <is>
          <t>ACTIVE</t>
        </is>
      </c>
      <c r="L1829" t="inlineStr">
        <is>
          <t>D</t>
        </is>
      </c>
      <c r="M1829" t="inlineStr">
        <is>
          <t>673 PORTER ST NE</t>
        </is>
      </c>
      <c r="N1829">
        <f>RIGHT(M1829,LEN(M1829)-FIND(" ",M1829))</f>
        <v/>
      </c>
      <c r="P1829" t="inlineStr">
        <is>
          <t>WARREN</t>
        </is>
      </c>
      <c r="Q1829" t="inlineStr">
        <is>
          <t>OH</t>
        </is>
      </c>
      <c r="R1829" t="n">
        <v>44483</v>
      </c>
      <c r="AD1829" t="inlineStr">
        <is>
          <t>TRUMBULL CAREER &amp; TECH CENTER</t>
        </is>
      </c>
      <c r="AE1829" t="inlineStr">
        <is>
          <t>WARREN CITY</t>
        </is>
      </c>
      <c r="AF1829" t="inlineStr">
        <is>
          <t>WARREN CITY SD</t>
        </is>
      </c>
      <c r="AH1829" t="n">
        <v>14</v>
      </c>
      <c r="AI1829" t="n">
        <v>11</v>
      </c>
      <c r="AN1829" t="inlineStr">
        <is>
          <t>WARREN</t>
        </is>
      </c>
      <c r="AO1829" t="inlineStr">
        <is>
          <t>WARREN CITY 4D</t>
        </is>
      </c>
      <c r="AP1829" t="inlineStr">
        <is>
          <t>78-P-ADL</t>
        </is>
      </c>
      <c r="AQ1829" t="n">
        <v>9</v>
      </c>
      <c r="AR1829" t="n">
        <v>64</v>
      </c>
      <c r="AS1829" t="n">
        <v>32</v>
      </c>
      <c r="AU1829">
        <f>COUNTA($BA$1829:$EH$1829)</f>
        <v/>
      </c>
      <c r="AV1829">
        <f>COUNTIF($BA$1829:$EH$1829,"D")</f>
        <v/>
      </c>
      <c r="AW1829">
        <f>COUNTIF($BA$1829:$EH$1829,"R")</f>
        <v/>
      </c>
      <c r="AX1829">
        <f>IF(BN1829="D",1,0)+IF(BO1829="D",1,0)+IF(BT1829="D",1,0)+IF(BU1829="D",1,0)+IF(BW1829="D",1,0)+IF(CC1829="D",1,0)+IF(CD1829="D",1,0)+IF(CE1829="D",1,0)+IF(CF1829="D",1,0)+IF(CL1829="D",1,0)+IF(CM1829="D",1,0)+IF(CQ1829="D",1,0)+IF(CR1829="D",1,0)+IF(CS1829="D",1,0)+IF(CW1829="D",1,0)+IF(CX1829="D",1,0)+IF(DD1829="D",1,0)+IF(DE1829="D",1,0)+IF(DJ1829="D",1,0)+IF(DK1829="D",1,0)+IF(DO1829="D",1,0)+IF(DP1829="D",1,0)+IF(DQ1829="D",1,0)+IF(DW1829="D",1,0)+IF(DZ1829="D",1,0)+IF(EH1829="D",1,0)</f>
        <v/>
      </c>
      <c r="AY1829">
        <f>IF(DJ1829&lt;&gt;"",1,0)+IF(DK1829&lt;&gt;"",1,0)+IF(DM1829&lt;&gt;"",1,0)+IF(DO1829&lt;&gt;"",1,0)+IF(DP1829&lt;&gt;"",1,0)+IF(DQ1829&lt;&gt;"",1,0)+IF(DS1829&lt;&gt;"",1,0)+IF(DT1829&lt;&gt;"",1,0)+IF(DV1829&lt;&gt;"",1,0)+IF(DW1829&lt;&gt;"",1,0)+IF(DX1829&lt;&gt;"",1,0)+IF(DY1829&lt;&gt;"",1,0)+IF(DZ1829&lt;&gt;"",1,0)+IF(EB1829&lt;&gt;"",1,0)+IF(EC1829&lt;&gt;"",1,0)+IF(ED1829&lt;&gt;"",1,0)+IF(EG1829&lt;&gt;"",1,0)+IF(EH1829&lt;&gt;"",1,0)</f>
        <v/>
      </c>
      <c r="AZ1829">
        <f>IF(EH1829&lt;&gt;"",1,0)</f>
        <v/>
      </c>
      <c r="BB1829" t="inlineStr">
        <is>
          <t>WARREN-WARD 4</t>
        </is>
      </c>
      <c r="BC1829" t="inlineStr">
        <is>
          <t>X</t>
        </is>
      </c>
      <c r="BD1829" t="inlineStr">
        <is>
          <t>X</t>
        </is>
      </c>
      <c r="BE1829" t="inlineStr">
        <is>
          <t>X</t>
        </is>
      </c>
      <c r="BF1829" t="inlineStr">
        <is>
          <t>X</t>
        </is>
      </c>
      <c r="BG1829" t="inlineStr">
        <is>
          <t>X</t>
        </is>
      </c>
      <c r="BH1829" t="inlineStr">
        <is>
          <t>X</t>
        </is>
      </c>
      <c r="BI1829" t="inlineStr">
        <is>
          <t>X</t>
        </is>
      </c>
      <c r="BJ1829" t="inlineStr">
        <is>
          <t>X</t>
        </is>
      </c>
      <c r="BK1829" t="inlineStr">
        <is>
          <t>X</t>
        </is>
      </c>
      <c r="BL1829" t="inlineStr">
        <is>
          <t>X</t>
        </is>
      </c>
      <c r="BP1829" t="inlineStr">
        <is>
          <t>X</t>
        </is>
      </c>
      <c r="BR1829" t="inlineStr">
        <is>
          <t>X</t>
        </is>
      </c>
      <c r="BS1829" t="inlineStr">
        <is>
          <t>X</t>
        </is>
      </c>
      <c r="BV1829" t="inlineStr">
        <is>
          <t>X</t>
        </is>
      </c>
      <c r="BY1829" t="inlineStr">
        <is>
          <t>D</t>
        </is>
      </c>
      <c r="CA1829" t="inlineStr">
        <is>
          <t>X</t>
        </is>
      </c>
      <c r="CK1829" t="inlineStr">
        <is>
          <t>X</t>
        </is>
      </c>
      <c r="CN1829" t="inlineStr">
        <is>
          <t>X</t>
        </is>
      </c>
      <c r="CP1829" t="inlineStr">
        <is>
          <t>X</t>
        </is>
      </c>
      <c r="CV1829" t="inlineStr">
        <is>
          <t>X</t>
        </is>
      </c>
      <c r="CY1829" t="inlineStr">
        <is>
          <t>X</t>
        </is>
      </c>
      <c r="CZ1829" t="inlineStr">
        <is>
          <t>R</t>
        </is>
      </c>
      <c r="DC1829" t="inlineStr">
        <is>
          <t>X</t>
        </is>
      </c>
      <c r="DF1829" t="inlineStr">
        <is>
          <t>X</t>
        </is>
      </c>
      <c r="DI1829" t="inlineStr">
        <is>
          <t>X</t>
        </is>
      </c>
      <c r="DM1829" t="inlineStr">
        <is>
          <t>D</t>
        </is>
      </c>
      <c r="DN1829" t="inlineStr">
        <is>
          <t>X</t>
        </is>
      </c>
      <c r="DR1829" t="inlineStr">
        <is>
          <t>X</t>
        </is>
      </c>
      <c r="DS1829" t="inlineStr">
        <is>
          <t>D</t>
        </is>
      </c>
      <c r="DU1829" t="inlineStr">
        <is>
          <t>X</t>
        </is>
      </c>
      <c r="EA1829" t="inlineStr">
        <is>
          <t>X</t>
        </is>
      </c>
      <c r="EF1829" t="inlineStr">
        <is>
          <t>X</t>
        </is>
      </c>
    </row>
    <row r="1830">
      <c r="A1830" t="inlineStr">
        <is>
          <t>OH0027668683</t>
        </is>
      </c>
      <c r="B1830" t="n">
        <v>78</v>
      </c>
      <c r="C1830" t="n">
        <v>490178</v>
      </c>
      <c r="D1830" t="inlineStr">
        <is>
          <t>BURGER</t>
        </is>
      </c>
      <c r="E1830" t="inlineStr">
        <is>
          <t>MARK</t>
        </is>
      </c>
      <c r="F1830">
        <f>CONCATENATE(D1830," ",LEFT(H1830,4),"T=",AU1830,"D=",AV1830,"R=",AW1830,"M=",AX1830,"L=",AY1830,"B=",AZ1830)</f>
        <v/>
      </c>
      <c r="G1830" t="inlineStr">
        <is>
          <t>VON</t>
        </is>
      </c>
      <c r="I1830" t="inlineStr">
        <is>
          <t>1966-09-26</t>
        </is>
      </c>
      <c r="J1830" t="inlineStr">
        <is>
          <t>2024-09-24</t>
        </is>
      </c>
      <c r="K1830" t="inlineStr">
        <is>
          <t>ACTIVE</t>
        </is>
      </c>
      <c r="M1830" t="inlineStr">
        <is>
          <t>156 LOGAN AVE NE</t>
        </is>
      </c>
      <c r="N1830">
        <f>RIGHT(M1830,LEN(M1830)-FIND(" ",M1830))</f>
        <v/>
      </c>
      <c r="P1830" t="inlineStr">
        <is>
          <t>WARREN</t>
        </is>
      </c>
      <c r="Q1830" t="inlineStr">
        <is>
          <t>OH</t>
        </is>
      </c>
      <c r="R1830" t="n">
        <v>44483</v>
      </c>
      <c r="AD1830" t="inlineStr">
        <is>
          <t>TRUMBULL CAREER &amp; TECH CENTER</t>
        </is>
      </c>
      <c r="AE1830" t="inlineStr">
        <is>
          <t>WARREN CITY</t>
        </is>
      </c>
      <c r="AF1830" t="inlineStr">
        <is>
          <t>WARREN CITY SD</t>
        </is>
      </c>
      <c r="AH1830" t="n">
        <v>14</v>
      </c>
      <c r="AI1830" t="n">
        <v>11</v>
      </c>
      <c r="AN1830" t="inlineStr">
        <is>
          <t>WARREN</t>
        </is>
      </c>
      <c r="AO1830" t="inlineStr">
        <is>
          <t>WARREN CITY 4D</t>
        </is>
      </c>
      <c r="AP1830" t="inlineStr">
        <is>
          <t>78-P-ADL</t>
        </is>
      </c>
      <c r="AQ1830" t="n">
        <v>9</v>
      </c>
      <c r="AR1830" t="n">
        <v>64</v>
      </c>
      <c r="AS1830" t="n">
        <v>32</v>
      </c>
      <c r="AU1830">
        <f>COUNTA($BA$1830:$EH$1830)</f>
        <v/>
      </c>
      <c r="AV1830">
        <f>COUNTIF($BA$1830:$EH$1830,"D")</f>
        <v/>
      </c>
      <c r="AW1830">
        <f>COUNTIF($BA$1830:$EH$1830,"R")</f>
        <v/>
      </c>
      <c r="AX1830">
        <f>IF(BN1830="D",1,0)+IF(BO1830="D",1,0)+IF(BT1830="D",1,0)+IF(BU1830="D",1,0)+IF(BW1830="D",1,0)+IF(CC1830="D",1,0)+IF(CD1830="D",1,0)+IF(CE1830="D",1,0)+IF(CF1830="D",1,0)+IF(CL1830="D",1,0)+IF(CM1830="D",1,0)+IF(CQ1830="D",1,0)+IF(CR1830="D",1,0)+IF(CS1830="D",1,0)+IF(CW1830="D",1,0)+IF(CX1830="D",1,0)+IF(DD1830="D",1,0)+IF(DE1830="D",1,0)+IF(DJ1830="D",1,0)+IF(DK1830="D",1,0)+IF(DO1830="D",1,0)+IF(DP1830="D",1,0)+IF(DQ1830="D",1,0)+IF(DW1830="D",1,0)+IF(DZ1830="D",1,0)+IF(EH1830="D",1,0)</f>
        <v/>
      </c>
      <c r="AY1830">
        <f>IF(DJ1830&lt;&gt;"",1,0)+IF(DK1830&lt;&gt;"",1,0)+IF(DM1830&lt;&gt;"",1,0)+IF(DO1830&lt;&gt;"",1,0)+IF(DP1830&lt;&gt;"",1,0)+IF(DQ1830&lt;&gt;"",1,0)+IF(DS1830&lt;&gt;"",1,0)+IF(DT1830&lt;&gt;"",1,0)+IF(DV1830&lt;&gt;"",1,0)+IF(DW1830&lt;&gt;"",1,0)+IF(DX1830&lt;&gt;"",1,0)+IF(DY1830&lt;&gt;"",1,0)+IF(DZ1830&lt;&gt;"",1,0)+IF(EB1830&lt;&gt;"",1,0)+IF(EC1830&lt;&gt;"",1,0)+IF(ED1830&lt;&gt;"",1,0)+IF(EG1830&lt;&gt;"",1,0)+IF(EH1830&lt;&gt;"",1,0)</f>
        <v/>
      </c>
      <c r="AZ1830">
        <f>IF(EH1830&lt;&gt;"",1,0)</f>
        <v/>
      </c>
      <c r="BB1830" t="inlineStr">
        <is>
          <t>WARREN-WARD 4</t>
        </is>
      </c>
      <c r="BD1830" t="inlineStr">
        <is>
          <t>X</t>
        </is>
      </c>
      <c r="BL1830" t="inlineStr">
        <is>
          <t>X</t>
        </is>
      </c>
      <c r="EF1830" t="inlineStr">
        <is>
          <t>X</t>
        </is>
      </c>
    </row>
    <row r="1831">
      <c r="A1831" t="inlineStr">
        <is>
          <t>OH0015756185</t>
        </is>
      </c>
      <c r="B1831" t="n">
        <v>78</v>
      </c>
      <c r="C1831" t="n">
        <v>321121</v>
      </c>
      <c r="D1831" t="inlineStr">
        <is>
          <t>HESS</t>
        </is>
      </c>
      <c r="E1831" t="inlineStr">
        <is>
          <t>LINDA</t>
        </is>
      </c>
      <c r="F1831">
        <f>CONCATENATE(D1831," ",LEFT(H1831,4),"T=",AU1831,"D=",AV1831,"R=",AW1831,"M=",AX1831,"L=",AY1831,"B=",AZ1831)</f>
        <v/>
      </c>
      <c r="G1831" t="inlineStr">
        <is>
          <t>L</t>
        </is>
      </c>
      <c r="I1831" t="inlineStr">
        <is>
          <t>1973-07-06</t>
        </is>
      </c>
      <c r="J1831" t="inlineStr">
        <is>
          <t>2011-04-30</t>
        </is>
      </c>
      <c r="K1831" t="inlineStr">
        <is>
          <t>ACTIVE</t>
        </is>
      </c>
      <c r="M1831" t="inlineStr">
        <is>
          <t>648 SAINT CLAIR DR NE</t>
        </is>
      </c>
      <c r="N1831">
        <f>RIGHT(M1831,LEN(M1831)-FIND(" ",M1831))</f>
        <v/>
      </c>
      <c r="P1831" t="inlineStr">
        <is>
          <t>WARREN</t>
        </is>
      </c>
      <c r="Q1831" t="inlineStr">
        <is>
          <t>OH</t>
        </is>
      </c>
      <c r="R1831" t="n">
        <v>44483</v>
      </c>
      <c r="AD1831" t="inlineStr">
        <is>
          <t>TRUMBULL CAREER &amp; TECH CENTER</t>
        </is>
      </c>
      <c r="AE1831" t="inlineStr">
        <is>
          <t>WARREN CITY</t>
        </is>
      </c>
      <c r="AF1831" t="inlineStr">
        <is>
          <t>WARREN CITY SD</t>
        </is>
      </c>
      <c r="AH1831" t="n">
        <v>14</v>
      </c>
      <c r="AI1831" t="n">
        <v>11</v>
      </c>
      <c r="AN1831" t="inlineStr">
        <is>
          <t>WARREN</t>
        </is>
      </c>
      <c r="AO1831" t="inlineStr">
        <is>
          <t>WARREN CITY 4D</t>
        </is>
      </c>
      <c r="AP1831" t="inlineStr">
        <is>
          <t>78-P-ADL</t>
        </is>
      </c>
      <c r="AQ1831" t="n">
        <v>9</v>
      </c>
      <c r="AR1831" t="n">
        <v>64</v>
      </c>
      <c r="AS1831" t="n">
        <v>32</v>
      </c>
      <c r="AU1831">
        <f>COUNTA($BA$1831:$EH$1831)</f>
        <v/>
      </c>
      <c r="AV1831">
        <f>COUNTIF($BA$1831:$EH$1831,"D")</f>
        <v/>
      </c>
      <c r="AW1831">
        <f>COUNTIF($BA$1831:$EH$1831,"R")</f>
        <v/>
      </c>
      <c r="AX1831">
        <f>IF(BN1831="D",1,0)+IF(BO1831="D",1,0)+IF(BT1831="D",1,0)+IF(BU1831="D",1,0)+IF(BW1831="D",1,0)+IF(CC1831="D",1,0)+IF(CD1831="D",1,0)+IF(CE1831="D",1,0)+IF(CF1831="D",1,0)+IF(CL1831="D",1,0)+IF(CM1831="D",1,0)+IF(CQ1831="D",1,0)+IF(CR1831="D",1,0)+IF(CS1831="D",1,0)+IF(CW1831="D",1,0)+IF(CX1831="D",1,0)+IF(DD1831="D",1,0)+IF(DE1831="D",1,0)+IF(DJ1831="D",1,0)+IF(DK1831="D",1,0)+IF(DO1831="D",1,0)+IF(DP1831="D",1,0)+IF(DQ1831="D",1,0)+IF(DW1831="D",1,0)+IF(DZ1831="D",1,0)+IF(EH1831="D",1,0)</f>
        <v/>
      </c>
      <c r="AY1831">
        <f>IF(DJ1831&lt;&gt;"",1,0)+IF(DK1831&lt;&gt;"",1,0)+IF(DM1831&lt;&gt;"",1,0)+IF(DO1831&lt;&gt;"",1,0)+IF(DP1831&lt;&gt;"",1,0)+IF(DQ1831&lt;&gt;"",1,0)+IF(DS1831&lt;&gt;"",1,0)+IF(DT1831&lt;&gt;"",1,0)+IF(DV1831&lt;&gt;"",1,0)+IF(DW1831&lt;&gt;"",1,0)+IF(DX1831&lt;&gt;"",1,0)+IF(DY1831&lt;&gt;"",1,0)+IF(DZ1831&lt;&gt;"",1,0)+IF(EB1831&lt;&gt;"",1,0)+IF(EC1831&lt;&gt;"",1,0)+IF(ED1831&lt;&gt;"",1,0)+IF(EG1831&lt;&gt;"",1,0)+IF(EH1831&lt;&gt;"",1,0)</f>
        <v/>
      </c>
      <c r="AZ1831">
        <f>IF(EH1831&lt;&gt;"",1,0)</f>
        <v/>
      </c>
      <c r="BB1831" t="inlineStr">
        <is>
          <t>WARREN-WARD 4</t>
        </is>
      </c>
      <c r="BL1831" t="inlineStr">
        <is>
          <t>X</t>
        </is>
      </c>
      <c r="BV1831" t="inlineStr">
        <is>
          <t>X</t>
        </is>
      </c>
      <c r="BY1831" t="inlineStr">
        <is>
          <t>D</t>
        </is>
      </c>
      <c r="DC1831" t="inlineStr">
        <is>
          <t>X</t>
        </is>
      </c>
    </row>
    <row r="1832">
      <c r="A1832" t="inlineStr">
        <is>
          <t>OH0027236336</t>
        </is>
      </c>
      <c r="B1832" t="n">
        <v>78</v>
      </c>
      <c r="C1832" t="n">
        <v>481177</v>
      </c>
      <c r="D1832" t="inlineStr">
        <is>
          <t>CARMEN</t>
        </is>
      </c>
      <c r="E1832" t="inlineStr">
        <is>
          <t>JUSTINE</t>
        </is>
      </c>
      <c r="F1832">
        <f>CONCATENATE(D1832," ",LEFT(H1832,4),"T=",AU1832,"D=",AV1832,"R=",AW1832,"M=",AX1832,"L=",AY1832,"B=",AZ1832)</f>
        <v/>
      </c>
      <c r="G1832" t="inlineStr">
        <is>
          <t>D</t>
        </is>
      </c>
      <c r="I1832" t="inlineStr">
        <is>
          <t>2001-11-19</t>
        </is>
      </c>
      <c r="J1832" t="inlineStr">
        <is>
          <t>2024-01-08</t>
        </is>
      </c>
      <c r="K1832" t="inlineStr">
        <is>
          <t>CONFIRMATION</t>
        </is>
      </c>
      <c r="M1832" t="inlineStr">
        <is>
          <t>1240 WOODLAND AVE NE</t>
        </is>
      </c>
      <c r="N1832">
        <f>RIGHT(M1832,LEN(M1832)-FIND(" ",M1832))</f>
        <v/>
      </c>
      <c r="P1832" t="inlineStr">
        <is>
          <t>WARREN</t>
        </is>
      </c>
      <c r="Q1832" t="inlineStr">
        <is>
          <t>OH</t>
        </is>
      </c>
      <c r="R1832" t="n">
        <v>44483</v>
      </c>
      <c r="AD1832" t="inlineStr">
        <is>
          <t>TRUMBULL CAREER &amp; TECH CENTER</t>
        </is>
      </c>
      <c r="AE1832" t="inlineStr">
        <is>
          <t>WARREN CITY</t>
        </is>
      </c>
      <c r="AF1832" t="inlineStr">
        <is>
          <t>WARREN CITY SD</t>
        </is>
      </c>
      <c r="AH1832" t="n">
        <v>14</v>
      </c>
      <c r="AI1832" t="n">
        <v>11</v>
      </c>
      <c r="AN1832" t="inlineStr">
        <is>
          <t>WARREN</t>
        </is>
      </c>
      <c r="AO1832" t="inlineStr">
        <is>
          <t>WARREN CITY 4D</t>
        </is>
      </c>
      <c r="AP1832" t="inlineStr">
        <is>
          <t>78-P-ADL</t>
        </is>
      </c>
      <c r="AQ1832" t="n">
        <v>9</v>
      </c>
      <c r="AR1832" t="n">
        <v>64</v>
      </c>
      <c r="AS1832" t="n">
        <v>32</v>
      </c>
      <c r="AU1832">
        <f>COUNTA($BA$1832:$EH$1832)</f>
        <v/>
      </c>
      <c r="AV1832">
        <f>COUNTIF($BA$1832:$EH$1832,"D")</f>
        <v/>
      </c>
      <c r="AW1832">
        <f>COUNTIF($BA$1832:$EH$1832,"R")</f>
        <v/>
      </c>
      <c r="AX1832">
        <f>IF(BN1832="D",1,0)+IF(BO1832="D",1,0)+IF(BT1832="D",1,0)+IF(BU1832="D",1,0)+IF(BW1832="D",1,0)+IF(CC1832="D",1,0)+IF(CD1832="D",1,0)+IF(CE1832="D",1,0)+IF(CF1832="D",1,0)+IF(CL1832="D",1,0)+IF(CM1832="D",1,0)+IF(CQ1832="D",1,0)+IF(CR1832="D",1,0)+IF(CS1832="D",1,0)+IF(CW1832="D",1,0)+IF(CX1832="D",1,0)+IF(DD1832="D",1,0)+IF(DE1832="D",1,0)+IF(DJ1832="D",1,0)+IF(DK1832="D",1,0)+IF(DO1832="D",1,0)+IF(DP1832="D",1,0)+IF(DQ1832="D",1,0)+IF(DW1832="D",1,0)+IF(DZ1832="D",1,0)+IF(EH1832="D",1,0)</f>
        <v/>
      </c>
      <c r="AY1832">
        <f>IF(DJ1832&lt;&gt;"",1,0)+IF(DK1832&lt;&gt;"",1,0)+IF(DM1832&lt;&gt;"",1,0)+IF(DO1832&lt;&gt;"",1,0)+IF(DP1832&lt;&gt;"",1,0)+IF(DQ1832&lt;&gt;"",1,0)+IF(DS1832&lt;&gt;"",1,0)+IF(DT1832&lt;&gt;"",1,0)+IF(DV1832&lt;&gt;"",1,0)+IF(DW1832&lt;&gt;"",1,0)+IF(DX1832&lt;&gt;"",1,0)+IF(DY1832&lt;&gt;"",1,0)+IF(DZ1832&lt;&gt;"",1,0)+IF(EB1832&lt;&gt;"",1,0)+IF(EC1832&lt;&gt;"",1,0)+IF(ED1832&lt;&gt;"",1,0)+IF(EG1832&lt;&gt;"",1,0)+IF(EH1832&lt;&gt;"",1,0)</f>
        <v/>
      </c>
      <c r="AZ1832">
        <f>IF(EH1832&lt;&gt;"",1,0)</f>
        <v/>
      </c>
      <c r="BB1832" t="inlineStr">
        <is>
          <t>WARREN-WARD 4</t>
        </is>
      </c>
    </row>
    <row r="1833">
      <c r="A1833" t="inlineStr">
        <is>
          <t>OH0027214372</t>
        </is>
      </c>
      <c r="B1833" t="n">
        <v>78</v>
      </c>
      <c r="C1833" t="n">
        <v>464470</v>
      </c>
      <c r="D1833" t="inlineStr">
        <is>
          <t>CARTER TOTTER</t>
        </is>
      </c>
      <c r="E1833" t="inlineStr">
        <is>
          <t>JAMIE</t>
        </is>
      </c>
      <c r="F1833">
        <f>CONCATENATE(D1833," ",LEFT(H1833,4),"T=",AU1833,"D=",AV1833,"R=",AW1833,"M=",AX1833,"L=",AY1833,"B=",AZ1833)</f>
        <v/>
      </c>
      <c r="G1833" t="inlineStr">
        <is>
          <t>LEANN</t>
        </is>
      </c>
      <c r="I1833" t="inlineStr">
        <is>
          <t>1992-05-04</t>
        </is>
      </c>
      <c r="J1833" t="inlineStr">
        <is>
          <t>2024-01-05</t>
        </is>
      </c>
      <c r="K1833" t="inlineStr">
        <is>
          <t>CONFIRMATION</t>
        </is>
      </c>
      <c r="M1833" t="inlineStr">
        <is>
          <t>1028 WOODLAND AVE NE</t>
        </is>
      </c>
      <c r="N1833">
        <f>RIGHT(M1833,LEN(M1833)-FIND(" ",M1833))</f>
        <v/>
      </c>
      <c r="P1833" t="inlineStr">
        <is>
          <t>WARREN</t>
        </is>
      </c>
      <c r="Q1833" t="inlineStr">
        <is>
          <t>OH</t>
        </is>
      </c>
      <c r="R1833" t="n">
        <v>44483</v>
      </c>
      <c r="AD1833" t="inlineStr">
        <is>
          <t>TRUMBULL CAREER &amp; TECH CENTER</t>
        </is>
      </c>
      <c r="AE1833" t="inlineStr">
        <is>
          <t>WARREN CITY</t>
        </is>
      </c>
      <c r="AF1833" t="inlineStr">
        <is>
          <t>WARREN CITY SD</t>
        </is>
      </c>
      <c r="AH1833" t="n">
        <v>14</v>
      </c>
      <c r="AI1833" t="n">
        <v>11</v>
      </c>
      <c r="AN1833" t="inlineStr">
        <is>
          <t>WARREN</t>
        </is>
      </c>
      <c r="AO1833" t="inlineStr">
        <is>
          <t>WARREN CITY 4D</t>
        </is>
      </c>
      <c r="AP1833" t="inlineStr">
        <is>
          <t>78-P-ADL</t>
        </is>
      </c>
      <c r="AQ1833" t="n">
        <v>9</v>
      </c>
      <c r="AR1833" t="n">
        <v>64</v>
      </c>
      <c r="AS1833" t="n">
        <v>32</v>
      </c>
      <c r="AU1833">
        <f>COUNTA($BA$1833:$EH$1833)</f>
        <v/>
      </c>
      <c r="AV1833">
        <f>COUNTIF($BA$1833:$EH$1833,"D")</f>
        <v/>
      </c>
      <c r="AW1833">
        <f>COUNTIF($BA$1833:$EH$1833,"R")</f>
        <v/>
      </c>
      <c r="AX1833">
        <f>IF(BN1833="D",1,0)+IF(BO1833="D",1,0)+IF(BT1833="D",1,0)+IF(BU1833="D",1,0)+IF(BW1833="D",1,0)+IF(CC1833="D",1,0)+IF(CD1833="D",1,0)+IF(CE1833="D",1,0)+IF(CF1833="D",1,0)+IF(CL1833="D",1,0)+IF(CM1833="D",1,0)+IF(CQ1833="D",1,0)+IF(CR1833="D",1,0)+IF(CS1833="D",1,0)+IF(CW1833="D",1,0)+IF(CX1833="D",1,0)+IF(DD1833="D",1,0)+IF(DE1833="D",1,0)+IF(DJ1833="D",1,0)+IF(DK1833="D",1,0)+IF(DO1833="D",1,0)+IF(DP1833="D",1,0)+IF(DQ1833="D",1,0)+IF(DW1833="D",1,0)+IF(DZ1833="D",1,0)+IF(EH1833="D",1,0)</f>
        <v/>
      </c>
      <c r="AY1833">
        <f>IF(DJ1833&lt;&gt;"",1,0)+IF(DK1833&lt;&gt;"",1,0)+IF(DM1833&lt;&gt;"",1,0)+IF(DO1833&lt;&gt;"",1,0)+IF(DP1833&lt;&gt;"",1,0)+IF(DQ1833&lt;&gt;"",1,0)+IF(DS1833&lt;&gt;"",1,0)+IF(DT1833&lt;&gt;"",1,0)+IF(DV1833&lt;&gt;"",1,0)+IF(DW1833&lt;&gt;"",1,0)+IF(DX1833&lt;&gt;"",1,0)+IF(DY1833&lt;&gt;"",1,0)+IF(DZ1833&lt;&gt;"",1,0)+IF(EB1833&lt;&gt;"",1,0)+IF(EC1833&lt;&gt;"",1,0)+IF(ED1833&lt;&gt;"",1,0)+IF(EG1833&lt;&gt;"",1,0)+IF(EH1833&lt;&gt;"",1,0)</f>
        <v/>
      </c>
      <c r="AZ1833">
        <f>IF(EH1833&lt;&gt;"",1,0)</f>
        <v/>
      </c>
      <c r="BB1833" t="inlineStr">
        <is>
          <t>WARREN-WARD 4</t>
        </is>
      </c>
    </row>
    <row r="1834">
      <c r="A1834" t="inlineStr">
        <is>
          <t>OH0020963854</t>
        </is>
      </c>
      <c r="B1834" t="n">
        <v>78</v>
      </c>
      <c r="C1834" t="n">
        <v>373029</v>
      </c>
      <c r="D1834" t="inlineStr">
        <is>
          <t>JORDAN</t>
        </is>
      </c>
      <c r="E1834" t="inlineStr">
        <is>
          <t>GINGER</t>
        </is>
      </c>
      <c r="F1834">
        <f>CONCATENATE(D1834," ",LEFT(H1834,4),"T=",AU1834,"D=",AV1834,"R=",AW1834,"M=",AX1834,"L=",AY1834,"B=",AZ1834)</f>
        <v/>
      </c>
      <c r="G1834" t="inlineStr">
        <is>
          <t>Y</t>
        </is>
      </c>
      <c r="I1834" t="inlineStr">
        <is>
          <t>1966-01-23</t>
        </is>
      </c>
      <c r="J1834" t="inlineStr">
        <is>
          <t>2017-01-26</t>
        </is>
      </c>
      <c r="K1834" t="inlineStr">
        <is>
          <t>ACTIVE</t>
        </is>
      </c>
      <c r="M1834" t="inlineStr">
        <is>
          <t>786 ATLANTIC ST NE</t>
        </is>
      </c>
      <c r="N1834">
        <f>RIGHT(M1834,LEN(M1834)-FIND(" ",M1834))</f>
        <v/>
      </c>
      <c r="P1834" t="inlineStr">
        <is>
          <t>WARREN</t>
        </is>
      </c>
      <c r="Q1834" t="inlineStr">
        <is>
          <t>OH</t>
        </is>
      </c>
      <c r="R1834" t="n">
        <v>44483</v>
      </c>
      <c r="AD1834" t="inlineStr">
        <is>
          <t>TRUMBULL CAREER &amp; TECH CENTER</t>
        </is>
      </c>
      <c r="AE1834" t="inlineStr">
        <is>
          <t>WARREN CITY</t>
        </is>
      </c>
      <c r="AF1834" t="inlineStr">
        <is>
          <t>WARREN CITY SD</t>
        </is>
      </c>
      <c r="AH1834" t="n">
        <v>14</v>
      </c>
      <c r="AI1834" t="n">
        <v>11</v>
      </c>
      <c r="AN1834" t="inlineStr">
        <is>
          <t>WARREN</t>
        </is>
      </c>
      <c r="AO1834" t="inlineStr">
        <is>
          <t>WARREN CITY 4D</t>
        </is>
      </c>
      <c r="AP1834" t="inlineStr">
        <is>
          <t>78-P-ADL</t>
        </is>
      </c>
      <c r="AQ1834" t="n">
        <v>9</v>
      </c>
      <c r="AR1834" t="n">
        <v>64</v>
      </c>
      <c r="AS1834" t="n">
        <v>32</v>
      </c>
      <c r="AU1834">
        <f>COUNTA($BA$1834:$EH$1834)</f>
        <v/>
      </c>
      <c r="AV1834">
        <f>COUNTIF($BA$1834:$EH$1834,"D")</f>
        <v/>
      </c>
      <c r="AW1834">
        <f>COUNTIF($BA$1834:$EH$1834,"R")</f>
        <v/>
      </c>
      <c r="AX1834">
        <f>IF(BN1834="D",1,0)+IF(BO1834="D",1,0)+IF(BT1834="D",1,0)+IF(BU1834="D",1,0)+IF(BW1834="D",1,0)+IF(CC1834="D",1,0)+IF(CD1834="D",1,0)+IF(CE1834="D",1,0)+IF(CF1834="D",1,0)+IF(CL1834="D",1,0)+IF(CM1834="D",1,0)+IF(CQ1834="D",1,0)+IF(CR1834="D",1,0)+IF(CS1834="D",1,0)+IF(CW1834="D",1,0)+IF(CX1834="D",1,0)+IF(DD1834="D",1,0)+IF(DE1834="D",1,0)+IF(DJ1834="D",1,0)+IF(DK1834="D",1,0)+IF(DO1834="D",1,0)+IF(DP1834="D",1,0)+IF(DQ1834="D",1,0)+IF(DW1834="D",1,0)+IF(DZ1834="D",1,0)+IF(EH1834="D",1,0)</f>
        <v/>
      </c>
      <c r="AY1834">
        <f>IF(DJ1834&lt;&gt;"",1,0)+IF(DK1834&lt;&gt;"",1,0)+IF(DM1834&lt;&gt;"",1,0)+IF(DO1834&lt;&gt;"",1,0)+IF(DP1834&lt;&gt;"",1,0)+IF(DQ1834&lt;&gt;"",1,0)+IF(DS1834&lt;&gt;"",1,0)+IF(DT1834&lt;&gt;"",1,0)+IF(DV1834&lt;&gt;"",1,0)+IF(DW1834&lt;&gt;"",1,0)+IF(DX1834&lt;&gt;"",1,0)+IF(DY1834&lt;&gt;"",1,0)+IF(DZ1834&lt;&gt;"",1,0)+IF(EB1834&lt;&gt;"",1,0)+IF(EC1834&lt;&gt;"",1,0)+IF(ED1834&lt;&gt;"",1,0)+IF(EG1834&lt;&gt;"",1,0)+IF(EH1834&lt;&gt;"",1,0)</f>
        <v/>
      </c>
      <c r="AZ1834">
        <f>IF(EH1834&lt;&gt;"",1,0)</f>
        <v/>
      </c>
      <c r="BB1834" t="inlineStr">
        <is>
          <t>WARREN-WARD 4</t>
        </is>
      </c>
      <c r="DN1834" t="inlineStr">
        <is>
          <t>X</t>
        </is>
      </c>
      <c r="EF1834" t="inlineStr">
        <is>
          <t>X</t>
        </is>
      </c>
    </row>
    <row r="1835">
      <c r="A1835" t="inlineStr">
        <is>
          <t>OH0020608141</t>
        </is>
      </c>
      <c r="B1835" t="n">
        <v>78</v>
      </c>
      <c r="C1835" t="n">
        <v>368935</v>
      </c>
      <c r="D1835" t="inlineStr">
        <is>
          <t>HALL</t>
        </is>
      </c>
      <c r="E1835" t="inlineStr">
        <is>
          <t>GARY</t>
        </is>
      </c>
      <c r="F1835">
        <f>CONCATENATE(D1835," ",LEFT(H1835,4),"T=",AU1835,"D=",AV1835,"R=",AW1835,"M=",AX1835,"L=",AY1835,"B=",AZ1835)</f>
        <v/>
      </c>
      <c r="G1835" t="inlineStr">
        <is>
          <t>M</t>
        </is>
      </c>
      <c r="I1835" t="inlineStr">
        <is>
          <t>1954-03-07</t>
        </is>
      </c>
      <c r="J1835" t="inlineStr">
        <is>
          <t>2012-10-01</t>
        </is>
      </c>
      <c r="K1835" t="inlineStr">
        <is>
          <t>ACTIVE</t>
        </is>
      </c>
      <c r="L1835" t="inlineStr">
        <is>
          <t>D</t>
        </is>
      </c>
      <c r="M1835" t="inlineStr">
        <is>
          <t>1189 MCKINLEY ST NE</t>
        </is>
      </c>
      <c r="N1835">
        <f>RIGHT(M1835,LEN(M1835)-FIND(" ",M1835))</f>
        <v/>
      </c>
      <c r="P1835" t="inlineStr">
        <is>
          <t>WARREN</t>
        </is>
      </c>
      <c r="Q1835" t="inlineStr">
        <is>
          <t>OH</t>
        </is>
      </c>
      <c r="R1835" t="n">
        <v>44483</v>
      </c>
      <c r="AD1835" t="inlineStr">
        <is>
          <t>TRUMBULL CAREER &amp; TECH CENTER</t>
        </is>
      </c>
      <c r="AE1835" t="inlineStr">
        <is>
          <t>WARREN CITY</t>
        </is>
      </c>
      <c r="AF1835" t="inlineStr">
        <is>
          <t>WARREN CITY SD</t>
        </is>
      </c>
      <c r="AH1835" t="n">
        <v>14</v>
      </c>
      <c r="AI1835" t="n">
        <v>11</v>
      </c>
      <c r="AN1835" t="inlineStr">
        <is>
          <t>WARREN</t>
        </is>
      </c>
      <c r="AO1835" t="inlineStr">
        <is>
          <t>WARREN CITY 4D</t>
        </is>
      </c>
      <c r="AP1835" t="inlineStr">
        <is>
          <t>78-P-ADL</t>
        </is>
      </c>
      <c r="AQ1835" t="n">
        <v>9</v>
      </c>
      <c r="AR1835" t="n">
        <v>64</v>
      </c>
      <c r="AS1835" t="n">
        <v>32</v>
      </c>
      <c r="AU1835">
        <f>COUNTA($BA$1835:$EH$1835)</f>
        <v/>
      </c>
      <c r="AV1835">
        <f>COUNTIF($BA$1835:$EH$1835,"D")</f>
        <v/>
      </c>
      <c r="AW1835">
        <f>COUNTIF($BA$1835:$EH$1835,"R")</f>
        <v/>
      </c>
      <c r="AX1835">
        <f>IF(BN1835="D",1,0)+IF(BO1835="D",1,0)+IF(BT1835="D",1,0)+IF(BU1835="D",1,0)+IF(BW1835="D",1,0)+IF(CC1835="D",1,0)+IF(CD1835="D",1,0)+IF(CE1835="D",1,0)+IF(CF1835="D",1,0)+IF(CL1835="D",1,0)+IF(CM1835="D",1,0)+IF(CQ1835="D",1,0)+IF(CR1835="D",1,0)+IF(CS1835="D",1,0)+IF(CW1835="D",1,0)+IF(CX1835="D",1,0)+IF(DD1835="D",1,0)+IF(DE1835="D",1,0)+IF(DJ1835="D",1,0)+IF(DK1835="D",1,0)+IF(DO1835="D",1,0)+IF(DP1835="D",1,0)+IF(DQ1835="D",1,0)+IF(DW1835="D",1,0)+IF(DZ1835="D",1,0)+IF(EH1835="D",1,0)</f>
        <v/>
      </c>
      <c r="AY1835">
        <f>IF(DJ1835&lt;&gt;"",1,0)+IF(DK1835&lt;&gt;"",1,0)+IF(DM1835&lt;&gt;"",1,0)+IF(DO1835&lt;&gt;"",1,0)+IF(DP1835&lt;&gt;"",1,0)+IF(DQ1835&lt;&gt;"",1,0)+IF(DS1835&lt;&gt;"",1,0)+IF(DT1835&lt;&gt;"",1,0)+IF(DV1835&lt;&gt;"",1,0)+IF(DW1835&lt;&gt;"",1,0)+IF(DX1835&lt;&gt;"",1,0)+IF(DY1835&lt;&gt;"",1,0)+IF(DZ1835&lt;&gt;"",1,0)+IF(EB1835&lt;&gt;"",1,0)+IF(EC1835&lt;&gt;"",1,0)+IF(ED1835&lt;&gt;"",1,0)+IF(EG1835&lt;&gt;"",1,0)+IF(EH1835&lt;&gt;"",1,0)</f>
        <v/>
      </c>
      <c r="AZ1835">
        <f>IF(EH1835&lt;&gt;"",1,0)</f>
        <v/>
      </c>
      <c r="BB1835" t="inlineStr">
        <is>
          <t>WARREN-WARD 4</t>
        </is>
      </c>
      <c r="CP1835" t="inlineStr">
        <is>
          <t>X</t>
        </is>
      </c>
      <c r="CY1835" t="inlineStr">
        <is>
          <t>X</t>
        </is>
      </c>
      <c r="DC1835" t="inlineStr">
        <is>
          <t>X</t>
        </is>
      </c>
      <c r="DI1835" t="inlineStr">
        <is>
          <t>X</t>
        </is>
      </c>
      <c r="DN1835" t="inlineStr">
        <is>
          <t>X</t>
        </is>
      </c>
      <c r="DU1835" t="inlineStr">
        <is>
          <t>X</t>
        </is>
      </c>
      <c r="DW1835" t="inlineStr">
        <is>
          <t>D</t>
        </is>
      </c>
      <c r="EF1835" t="inlineStr">
        <is>
          <t>X</t>
        </is>
      </c>
    </row>
    <row r="1836">
      <c r="A1836" t="inlineStr">
        <is>
          <t>OH0015711727</t>
        </is>
      </c>
      <c r="B1836" t="n">
        <v>78</v>
      </c>
      <c r="C1836" t="n">
        <v>181141</v>
      </c>
      <c r="D1836" t="inlineStr">
        <is>
          <t>BISKER</t>
        </is>
      </c>
      <c r="E1836" t="inlineStr">
        <is>
          <t>ROSEMARY</t>
        </is>
      </c>
      <c r="F1836">
        <f>CONCATENATE(D1836," ",LEFT(H1836,4),"T=",AU1836,"D=",AV1836,"R=",AW1836,"M=",AX1836,"L=",AY1836,"B=",AZ1836)</f>
        <v/>
      </c>
      <c r="G1836" t="inlineStr">
        <is>
          <t>R</t>
        </is>
      </c>
      <c r="I1836" t="inlineStr">
        <is>
          <t>1957-10-16</t>
        </is>
      </c>
      <c r="J1836" t="inlineStr">
        <is>
          <t>2012-10-02</t>
        </is>
      </c>
      <c r="K1836" t="inlineStr">
        <is>
          <t>CONFIRMATION</t>
        </is>
      </c>
      <c r="M1836" t="inlineStr">
        <is>
          <t>182 HIGH ST NE</t>
        </is>
      </c>
      <c r="N1836">
        <f>RIGHT(M1836,LEN(M1836)-FIND(" ",M1836))</f>
        <v/>
      </c>
      <c r="O1836" t="inlineStr">
        <is>
          <t>APT 404</t>
        </is>
      </c>
      <c r="P1836" t="inlineStr">
        <is>
          <t>WARREN</t>
        </is>
      </c>
      <c r="Q1836" t="inlineStr">
        <is>
          <t>OH</t>
        </is>
      </c>
      <c r="R1836" t="n">
        <v>44481</v>
      </c>
      <c r="AD1836" t="inlineStr">
        <is>
          <t>TRUMBULL CAREER &amp; TECH CENTER</t>
        </is>
      </c>
      <c r="AE1836" t="inlineStr">
        <is>
          <t>WARREN CITY</t>
        </is>
      </c>
      <c r="AF1836" t="inlineStr">
        <is>
          <t>WARREN CITY SD</t>
        </is>
      </c>
      <c r="AH1836" t="n">
        <v>14</v>
      </c>
      <c r="AI1836" t="n">
        <v>11</v>
      </c>
      <c r="AN1836" t="inlineStr">
        <is>
          <t>WARREN</t>
        </is>
      </c>
      <c r="AO1836" t="inlineStr">
        <is>
          <t>WARREN CITY 4D</t>
        </is>
      </c>
      <c r="AP1836" t="inlineStr">
        <is>
          <t>78-P-ADL</t>
        </is>
      </c>
      <c r="AQ1836" t="n">
        <v>9</v>
      </c>
      <c r="AR1836" t="n">
        <v>64</v>
      </c>
      <c r="AS1836" t="n">
        <v>32</v>
      </c>
      <c r="AU1836">
        <f>COUNTA($BA$1836:$EH$1836)</f>
        <v/>
      </c>
      <c r="AV1836">
        <f>COUNTIF($BA$1836:$EH$1836,"D")</f>
        <v/>
      </c>
      <c r="AW1836">
        <f>COUNTIF($BA$1836:$EH$1836,"R")</f>
        <v/>
      </c>
      <c r="AX1836">
        <f>IF(BN1836="D",1,0)+IF(BO1836="D",1,0)+IF(BT1836="D",1,0)+IF(BU1836="D",1,0)+IF(BW1836="D",1,0)+IF(CC1836="D",1,0)+IF(CD1836="D",1,0)+IF(CE1836="D",1,0)+IF(CF1836="D",1,0)+IF(CL1836="D",1,0)+IF(CM1836="D",1,0)+IF(CQ1836="D",1,0)+IF(CR1836="D",1,0)+IF(CS1836="D",1,0)+IF(CW1836="D",1,0)+IF(CX1836="D",1,0)+IF(DD1836="D",1,0)+IF(DE1836="D",1,0)+IF(DJ1836="D",1,0)+IF(DK1836="D",1,0)+IF(DO1836="D",1,0)+IF(DP1836="D",1,0)+IF(DQ1836="D",1,0)+IF(DW1836="D",1,0)+IF(DZ1836="D",1,0)+IF(EH1836="D",1,0)</f>
        <v/>
      </c>
      <c r="AY1836">
        <f>IF(DJ1836&lt;&gt;"",1,0)+IF(DK1836&lt;&gt;"",1,0)+IF(DM1836&lt;&gt;"",1,0)+IF(DO1836&lt;&gt;"",1,0)+IF(DP1836&lt;&gt;"",1,0)+IF(DQ1836&lt;&gt;"",1,0)+IF(DS1836&lt;&gt;"",1,0)+IF(DT1836&lt;&gt;"",1,0)+IF(DV1836&lt;&gt;"",1,0)+IF(DW1836&lt;&gt;"",1,0)+IF(DX1836&lt;&gt;"",1,0)+IF(DY1836&lt;&gt;"",1,0)+IF(DZ1836&lt;&gt;"",1,0)+IF(EB1836&lt;&gt;"",1,0)+IF(EC1836&lt;&gt;"",1,0)+IF(ED1836&lt;&gt;"",1,0)+IF(EG1836&lt;&gt;"",1,0)+IF(EH1836&lt;&gt;"",1,0)</f>
        <v/>
      </c>
      <c r="AZ1836">
        <f>IF(EH1836&lt;&gt;"",1,0)</f>
        <v/>
      </c>
      <c r="BB1836" t="inlineStr">
        <is>
          <t>WARREN-WARD 4</t>
        </is>
      </c>
      <c r="BG1836" t="inlineStr">
        <is>
          <t>X</t>
        </is>
      </c>
      <c r="BH1836" t="inlineStr">
        <is>
          <t>X</t>
        </is>
      </c>
      <c r="BS1836" t="inlineStr">
        <is>
          <t>X</t>
        </is>
      </c>
      <c r="BY1836" t="inlineStr">
        <is>
          <t>D</t>
        </is>
      </c>
      <c r="CA1836" t="inlineStr">
        <is>
          <t>X</t>
        </is>
      </c>
      <c r="CG1836" t="inlineStr">
        <is>
          <t>X</t>
        </is>
      </c>
      <c r="CH1836" t="inlineStr">
        <is>
          <t>D</t>
        </is>
      </c>
      <c r="CK1836" t="inlineStr">
        <is>
          <t>X</t>
        </is>
      </c>
      <c r="CN1836" t="inlineStr">
        <is>
          <t>X</t>
        </is>
      </c>
      <c r="CP1836" t="inlineStr">
        <is>
          <t>X</t>
        </is>
      </c>
      <c r="CQ1836" t="inlineStr">
        <is>
          <t>D</t>
        </is>
      </c>
      <c r="CT1836" t="inlineStr">
        <is>
          <t>X</t>
        </is>
      </c>
      <c r="CV1836" t="inlineStr">
        <is>
          <t>X</t>
        </is>
      </c>
      <c r="CW1836" t="inlineStr">
        <is>
          <t>D</t>
        </is>
      </c>
      <c r="CY1836" t="inlineStr">
        <is>
          <t>X</t>
        </is>
      </c>
      <c r="CZ1836" t="inlineStr">
        <is>
          <t>R</t>
        </is>
      </c>
      <c r="DC1836" t="inlineStr">
        <is>
          <t>X</t>
        </is>
      </c>
    </row>
    <row r="1837">
      <c r="A1837" t="inlineStr">
        <is>
          <t>OH0015880095</t>
        </is>
      </c>
      <c r="B1837" t="n">
        <v>78</v>
      </c>
      <c r="C1837" t="n">
        <v>332857</v>
      </c>
      <c r="D1837" t="inlineStr">
        <is>
          <t>TORO</t>
        </is>
      </c>
      <c r="E1837" t="inlineStr">
        <is>
          <t>DANA</t>
        </is>
      </c>
      <c r="F1837">
        <f>CONCATENATE(D1837," ",LEFT(H1837,4),"T=",AU1837,"D=",AV1837,"R=",AW1837,"M=",AX1837,"L=",AY1837,"B=",AZ1837)</f>
        <v/>
      </c>
      <c r="G1837" t="inlineStr">
        <is>
          <t>RAYMOND</t>
        </is>
      </c>
      <c r="H1837" t="inlineStr">
        <is>
          <t>SR</t>
        </is>
      </c>
      <c r="I1837" t="inlineStr">
        <is>
          <t>1961-05-22</t>
        </is>
      </c>
      <c r="J1837" t="inlineStr">
        <is>
          <t>2015-10-09</t>
        </is>
      </c>
      <c r="K1837" t="inlineStr">
        <is>
          <t>CONFIRMATION</t>
        </is>
      </c>
      <c r="M1837" t="inlineStr">
        <is>
          <t>330 VINE AVE NE</t>
        </is>
      </c>
      <c r="N1837">
        <f>RIGHT(M1837,LEN(M1837)-FIND(" ",M1837))</f>
        <v/>
      </c>
      <c r="P1837" t="inlineStr">
        <is>
          <t>WARREN</t>
        </is>
      </c>
      <c r="Q1837" t="inlineStr">
        <is>
          <t>OH</t>
        </is>
      </c>
      <c r="R1837" t="n">
        <v>44483</v>
      </c>
      <c r="AD1837" t="inlineStr">
        <is>
          <t>TRUMBULL CAREER &amp; TECH CENTER</t>
        </is>
      </c>
      <c r="AE1837" t="inlineStr">
        <is>
          <t>WARREN CITY</t>
        </is>
      </c>
      <c r="AF1837" t="inlineStr">
        <is>
          <t>WARREN CITY SD</t>
        </is>
      </c>
      <c r="AH1837" t="n">
        <v>14</v>
      </c>
      <c r="AI1837" t="n">
        <v>11</v>
      </c>
      <c r="AN1837" t="inlineStr">
        <is>
          <t>WARREN</t>
        </is>
      </c>
      <c r="AO1837" t="inlineStr">
        <is>
          <t>WARREN CITY 4D</t>
        </is>
      </c>
      <c r="AP1837" t="inlineStr">
        <is>
          <t>78-P-ADL</t>
        </is>
      </c>
      <c r="AQ1837" t="n">
        <v>9</v>
      </c>
      <c r="AR1837" t="n">
        <v>64</v>
      </c>
      <c r="AS1837" t="n">
        <v>32</v>
      </c>
      <c r="AU1837">
        <f>COUNTA($BA$1837:$EH$1837)</f>
        <v/>
      </c>
      <c r="AV1837">
        <f>COUNTIF($BA$1837:$EH$1837,"D")</f>
        <v/>
      </c>
      <c r="AW1837">
        <f>COUNTIF($BA$1837:$EH$1837,"R")</f>
        <v/>
      </c>
      <c r="AX1837">
        <f>IF(BN1837="D",1,0)+IF(BO1837="D",1,0)+IF(BT1837="D",1,0)+IF(BU1837="D",1,0)+IF(BW1837="D",1,0)+IF(CC1837="D",1,0)+IF(CD1837="D",1,0)+IF(CE1837="D",1,0)+IF(CF1837="D",1,0)+IF(CL1837="D",1,0)+IF(CM1837="D",1,0)+IF(CQ1837="D",1,0)+IF(CR1837="D",1,0)+IF(CS1837="D",1,0)+IF(CW1837="D",1,0)+IF(CX1837="D",1,0)+IF(DD1837="D",1,0)+IF(DE1837="D",1,0)+IF(DJ1837="D",1,0)+IF(DK1837="D",1,0)+IF(DO1837="D",1,0)+IF(DP1837="D",1,0)+IF(DQ1837="D",1,0)+IF(DW1837="D",1,0)+IF(DZ1837="D",1,0)+IF(EH1837="D",1,0)</f>
        <v/>
      </c>
      <c r="AY1837">
        <f>IF(DJ1837&lt;&gt;"",1,0)+IF(DK1837&lt;&gt;"",1,0)+IF(DM1837&lt;&gt;"",1,0)+IF(DO1837&lt;&gt;"",1,0)+IF(DP1837&lt;&gt;"",1,0)+IF(DQ1837&lt;&gt;"",1,0)+IF(DS1837&lt;&gt;"",1,0)+IF(DT1837&lt;&gt;"",1,0)+IF(DV1837&lt;&gt;"",1,0)+IF(DW1837&lt;&gt;"",1,0)+IF(DX1837&lt;&gt;"",1,0)+IF(DY1837&lt;&gt;"",1,0)+IF(DZ1837&lt;&gt;"",1,0)+IF(EB1837&lt;&gt;"",1,0)+IF(EC1837&lt;&gt;"",1,0)+IF(ED1837&lt;&gt;"",1,0)+IF(EG1837&lt;&gt;"",1,0)+IF(EH1837&lt;&gt;"",1,0)</f>
        <v/>
      </c>
      <c r="AZ1837">
        <f>IF(EH1837&lt;&gt;"",1,0)</f>
        <v/>
      </c>
      <c r="BB1837" t="inlineStr">
        <is>
          <t>WARREN-WARD 4</t>
        </is>
      </c>
      <c r="CP1837" t="inlineStr">
        <is>
          <t>X</t>
        </is>
      </c>
    </row>
    <row r="1838">
      <c r="A1838" t="inlineStr">
        <is>
          <t>OH0023195085</t>
        </is>
      </c>
      <c r="B1838" t="n">
        <v>78</v>
      </c>
      <c r="C1838" t="n">
        <v>408356</v>
      </c>
      <c r="D1838" t="inlineStr">
        <is>
          <t>MILLER</t>
        </is>
      </c>
      <c r="E1838" t="inlineStr">
        <is>
          <t>RITCHIE</t>
        </is>
      </c>
      <c r="F1838">
        <f>CONCATENATE(D1838," ",LEFT(H1838,4),"T=",AU1838,"D=",AV1838,"R=",AW1838,"M=",AX1838,"L=",AY1838,"B=",AZ1838)</f>
        <v/>
      </c>
      <c r="G1838" t="inlineStr">
        <is>
          <t>SCOTT</t>
        </is>
      </c>
      <c r="I1838" t="inlineStr">
        <is>
          <t>1990-05-22</t>
        </is>
      </c>
      <c r="J1838" t="inlineStr">
        <is>
          <t>2021-02-02</t>
        </is>
      </c>
      <c r="K1838" t="inlineStr">
        <is>
          <t>CONFIRMATION</t>
        </is>
      </c>
      <c r="L1838" t="inlineStr">
        <is>
          <t>D</t>
        </is>
      </c>
      <c r="M1838" t="inlineStr">
        <is>
          <t>151 PEW CT NE</t>
        </is>
      </c>
      <c r="N1838">
        <f>RIGHT(M1838,LEN(M1838)-FIND(" ",M1838))</f>
        <v/>
      </c>
      <c r="P1838" t="inlineStr">
        <is>
          <t>WARREN</t>
        </is>
      </c>
      <c r="Q1838" t="inlineStr">
        <is>
          <t>OH</t>
        </is>
      </c>
      <c r="R1838" t="n">
        <v>44481</v>
      </c>
      <c r="AD1838" t="inlineStr">
        <is>
          <t>TRUMBULL CAREER &amp; TECH CENTER</t>
        </is>
      </c>
      <c r="AE1838" t="inlineStr">
        <is>
          <t>WARREN CITY</t>
        </is>
      </c>
      <c r="AF1838" t="inlineStr">
        <is>
          <t>WARREN CITY SD</t>
        </is>
      </c>
      <c r="AH1838" t="n">
        <v>14</v>
      </c>
      <c r="AI1838" t="n">
        <v>11</v>
      </c>
      <c r="AN1838" t="inlineStr">
        <is>
          <t>WARREN</t>
        </is>
      </c>
      <c r="AO1838" t="inlineStr">
        <is>
          <t>WARREN CITY 4D</t>
        </is>
      </c>
      <c r="AP1838" t="inlineStr">
        <is>
          <t>78-P-ADL</t>
        </is>
      </c>
      <c r="AQ1838" t="n">
        <v>9</v>
      </c>
      <c r="AR1838" t="n">
        <v>64</v>
      </c>
      <c r="AS1838" t="n">
        <v>32</v>
      </c>
      <c r="AU1838">
        <f>COUNTA($BA$1838:$EH$1838)</f>
        <v/>
      </c>
      <c r="AV1838">
        <f>COUNTIF($BA$1838:$EH$1838,"D")</f>
        <v/>
      </c>
      <c r="AW1838">
        <f>COUNTIF($BA$1838:$EH$1838,"R")</f>
        <v/>
      </c>
      <c r="AX1838">
        <f>IF(BN1838="D",1,0)+IF(BO1838="D",1,0)+IF(BT1838="D",1,0)+IF(BU1838="D",1,0)+IF(BW1838="D",1,0)+IF(CC1838="D",1,0)+IF(CD1838="D",1,0)+IF(CE1838="D",1,0)+IF(CF1838="D",1,0)+IF(CL1838="D",1,0)+IF(CM1838="D",1,0)+IF(CQ1838="D",1,0)+IF(CR1838="D",1,0)+IF(CS1838="D",1,0)+IF(CW1838="D",1,0)+IF(CX1838="D",1,0)+IF(DD1838="D",1,0)+IF(DE1838="D",1,0)+IF(DJ1838="D",1,0)+IF(DK1838="D",1,0)+IF(DO1838="D",1,0)+IF(DP1838="D",1,0)+IF(DQ1838="D",1,0)+IF(DW1838="D",1,0)+IF(DZ1838="D",1,0)+IF(EH1838="D",1,0)</f>
        <v/>
      </c>
      <c r="AY1838">
        <f>IF(DJ1838&lt;&gt;"",1,0)+IF(DK1838&lt;&gt;"",1,0)+IF(DM1838&lt;&gt;"",1,0)+IF(DO1838&lt;&gt;"",1,0)+IF(DP1838&lt;&gt;"",1,0)+IF(DQ1838&lt;&gt;"",1,0)+IF(DS1838&lt;&gt;"",1,0)+IF(DT1838&lt;&gt;"",1,0)+IF(DV1838&lt;&gt;"",1,0)+IF(DW1838&lt;&gt;"",1,0)+IF(DX1838&lt;&gt;"",1,0)+IF(DY1838&lt;&gt;"",1,0)+IF(DZ1838&lt;&gt;"",1,0)+IF(EB1838&lt;&gt;"",1,0)+IF(EC1838&lt;&gt;"",1,0)+IF(ED1838&lt;&gt;"",1,0)+IF(EG1838&lt;&gt;"",1,0)+IF(EH1838&lt;&gt;"",1,0)</f>
        <v/>
      </c>
      <c r="AZ1838">
        <f>IF(EH1838&lt;&gt;"",1,0)</f>
        <v/>
      </c>
      <c r="BB1838" t="inlineStr">
        <is>
          <t>WARREN-WARD 4</t>
        </is>
      </c>
      <c r="DT1838" t="inlineStr">
        <is>
          <t>D</t>
        </is>
      </c>
    </row>
    <row r="1839">
      <c r="A1839" t="inlineStr">
        <is>
          <t>OH0015702972</t>
        </is>
      </c>
      <c r="B1839" t="n">
        <v>78</v>
      </c>
      <c r="C1839" t="n">
        <v>296707</v>
      </c>
      <c r="D1839" t="inlineStr">
        <is>
          <t>TAYLOR</t>
        </is>
      </c>
      <c r="E1839" t="inlineStr">
        <is>
          <t>DEBRA</t>
        </is>
      </c>
      <c r="F1839">
        <f>CONCATENATE(D1839," ",LEFT(H1839,4),"T=",AU1839,"D=",AV1839,"R=",AW1839,"M=",AX1839,"L=",AY1839,"B=",AZ1839)</f>
        <v/>
      </c>
      <c r="G1839" t="inlineStr">
        <is>
          <t>M</t>
        </is>
      </c>
      <c r="I1839" t="inlineStr">
        <is>
          <t>1956-08-09</t>
        </is>
      </c>
      <c r="J1839" t="inlineStr">
        <is>
          <t>2020-05-29</t>
        </is>
      </c>
      <c r="K1839" t="inlineStr">
        <is>
          <t>ACTIVE</t>
        </is>
      </c>
      <c r="M1839" t="inlineStr">
        <is>
          <t>218 CHESTNUT AVE SE</t>
        </is>
      </c>
      <c r="N1839">
        <f>RIGHT(M1839,LEN(M1839)-FIND(" ",M1839))</f>
        <v/>
      </c>
      <c r="P1839" t="inlineStr">
        <is>
          <t>WARREN</t>
        </is>
      </c>
      <c r="Q1839" t="inlineStr">
        <is>
          <t>OH</t>
        </is>
      </c>
      <c r="R1839" t="n">
        <v>44483</v>
      </c>
      <c r="AD1839" t="inlineStr">
        <is>
          <t>TRUMBULL CAREER &amp; TECH CENTER</t>
        </is>
      </c>
      <c r="AE1839" t="inlineStr">
        <is>
          <t>WARREN CITY</t>
        </is>
      </c>
      <c r="AF1839" t="inlineStr">
        <is>
          <t>WARREN CITY SD</t>
        </is>
      </c>
      <c r="AH1839" t="n">
        <v>14</v>
      </c>
      <c r="AI1839" t="n">
        <v>11</v>
      </c>
      <c r="AN1839" t="inlineStr">
        <is>
          <t>WARREN</t>
        </is>
      </c>
      <c r="AO1839" t="inlineStr">
        <is>
          <t>WARREN CITY 4D</t>
        </is>
      </c>
      <c r="AP1839" t="inlineStr">
        <is>
          <t>78-P-ADL</t>
        </is>
      </c>
      <c r="AQ1839" t="n">
        <v>9</v>
      </c>
      <c r="AR1839" t="n">
        <v>64</v>
      </c>
      <c r="AS1839" t="n">
        <v>32</v>
      </c>
      <c r="AU1839">
        <f>COUNTA($BA$1839:$EH$1839)</f>
        <v/>
      </c>
      <c r="AV1839">
        <f>COUNTIF($BA$1839:$EH$1839,"D")</f>
        <v/>
      </c>
      <c r="AW1839">
        <f>COUNTIF($BA$1839:$EH$1839,"R")</f>
        <v/>
      </c>
      <c r="AX1839">
        <f>IF(BN1839="D",1,0)+IF(BO1839="D",1,0)+IF(BT1839="D",1,0)+IF(BU1839="D",1,0)+IF(BW1839="D",1,0)+IF(CC1839="D",1,0)+IF(CD1839="D",1,0)+IF(CE1839="D",1,0)+IF(CF1839="D",1,0)+IF(CL1839="D",1,0)+IF(CM1839="D",1,0)+IF(CQ1839="D",1,0)+IF(CR1839="D",1,0)+IF(CS1839="D",1,0)+IF(CW1839="D",1,0)+IF(CX1839="D",1,0)+IF(DD1839="D",1,0)+IF(DE1839="D",1,0)+IF(DJ1839="D",1,0)+IF(DK1839="D",1,0)+IF(DO1839="D",1,0)+IF(DP1839="D",1,0)+IF(DQ1839="D",1,0)+IF(DW1839="D",1,0)+IF(DZ1839="D",1,0)+IF(EH1839="D",1,0)</f>
        <v/>
      </c>
      <c r="AY1839">
        <f>IF(DJ1839&lt;&gt;"",1,0)+IF(DK1839&lt;&gt;"",1,0)+IF(DM1839&lt;&gt;"",1,0)+IF(DO1839&lt;&gt;"",1,0)+IF(DP1839&lt;&gt;"",1,0)+IF(DQ1839&lt;&gt;"",1,0)+IF(DS1839&lt;&gt;"",1,0)+IF(DT1839&lt;&gt;"",1,0)+IF(DV1839&lt;&gt;"",1,0)+IF(DW1839&lt;&gt;"",1,0)+IF(DX1839&lt;&gt;"",1,0)+IF(DY1839&lt;&gt;"",1,0)+IF(DZ1839&lt;&gt;"",1,0)+IF(EB1839&lt;&gt;"",1,0)+IF(EC1839&lt;&gt;"",1,0)+IF(ED1839&lt;&gt;"",1,0)+IF(EG1839&lt;&gt;"",1,0)+IF(EH1839&lt;&gt;"",1,0)</f>
        <v/>
      </c>
      <c r="AZ1839">
        <f>IF(EH1839&lt;&gt;"",1,0)</f>
        <v/>
      </c>
      <c r="BB1839" t="inlineStr">
        <is>
          <t>WARREN-WARD 4</t>
        </is>
      </c>
      <c r="BS1839" t="inlineStr">
        <is>
          <t>X</t>
        </is>
      </c>
      <c r="CA1839" t="inlineStr">
        <is>
          <t>X</t>
        </is>
      </c>
      <c r="CP1839" t="inlineStr">
        <is>
          <t>X</t>
        </is>
      </c>
      <c r="CV1839" t="inlineStr">
        <is>
          <t>X</t>
        </is>
      </c>
      <c r="CY1839" t="inlineStr">
        <is>
          <t>X</t>
        </is>
      </c>
      <c r="DC1839" t="inlineStr">
        <is>
          <t>X</t>
        </is>
      </c>
      <c r="DM1839" t="inlineStr">
        <is>
          <t>D</t>
        </is>
      </c>
      <c r="DN1839" t="inlineStr">
        <is>
          <t>X</t>
        </is>
      </c>
      <c r="DU1839" t="inlineStr">
        <is>
          <t>X</t>
        </is>
      </c>
      <c r="EA1839" t="inlineStr">
        <is>
          <t>X</t>
        </is>
      </c>
      <c r="EF1839" t="inlineStr">
        <is>
          <t>X</t>
        </is>
      </c>
    </row>
    <row r="1840">
      <c r="A1840" t="inlineStr">
        <is>
          <t>OH0026844313</t>
        </is>
      </c>
      <c r="B1840" t="n">
        <v>78</v>
      </c>
      <c r="C1840" t="n">
        <v>472311</v>
      </c>
      <c r="D1840" t="inlineStr">
        <is>
          <t>WILLIAMS</t>
        </is>
      </c>
      <c r="E1840" t="inlineStr">
        <is>
          <t>MORGAN</t>
        </is>
      </c>
      <c r="F1840">
        <f>CONCATENATE(D1840," ",LEFT(H1840,4),"T=",AU1840,"D=",AV1840,"R=",AW1840,"M=",AX1840,"L=",AY1840,"B=",AZ1840)</f>
        <v/>
      </c>
      <c r="G1840" t="inlineStr">
        <is>
          <t>LEE</t>
        </is>
      </c>
      <c r="I1840" t="inlineStr">
        <is>
          <t>2002-02-04</t>
        </is>
      </c>
      <c r="J1840" t="inlineStr">
        <is>
          <t>2023-03-08</t>
        </is>
      </c>
      <c r="K1840" t="inlineStr">
        <is>
          <t>ACTIVE</t>
        </is>
      </c>
      <c r="M1840" t="inlineStr">
        <is>
          <t>300 SCOTT ST NE</t>
        </is>
      </c>
      <c r="N1840">
        <f>RIGHT(M1840,LEN(M1840)-FIND(" ",M1840))</f>
        <v/>
      </c>
      <c r="O1840" t="inlineStr">
        <is>
          <t>APT 1</t>
        </is>
      </c>
      <c r="P1840" t="inlineStr">
        <is>
          <t>WARREN</t>
        </is>
      </c>
      <c r="Q1840" t="inlineStr">
        <is>
          <t>OH</t>
        </is>
      </c>
      <c r="R1840" t="n">
        <v>44483</v>
      </c>
      <c r="AD1840" t="inlineStr">
        <is>
          <t>TRUMBULL CAREER &amp; TECH CENTER</t>
        </is>
      </c>
      <c r="AE1840" t="inlineStr">
        <is>
          <t>WARREN CITY</t>
        </is>
      </c>
      <c r="AF1840" t="inlineStr">
        <is>
          <t>WARREN CITY SD</t>
        </is>
      </c>
      <c r="AH1840" t="n">
        <v>14</v>
      </c>
      <c r="AI1840" t="n">
        <v>11</v>
      </c>
      <c r="AN1840" t="inlineStr">
        <is>
          <t>WARREN</t>
        </is>
      </c>
      <c r="AO1840" t="inlineStr">
        <is>
          <t>WARREN CITY 4D</t>
        </is>
      </c>
      <c r="AP1840" t="inlineStr">
        <is>
          <t>78-P-ADL</t>
        </is>
      </c>
      <c r="AQ1840" t="n">
        <v>9</v>
      </c>
      <c r="AR1840" t="n">
        <v>64</v>
      </c>
      <c r="AS1840" t="n">
        <v>32</v>
      </c>
      <c r="AU1840">
        <f>COUNTA($BA$1840:$EH$1840)</f>
        <v/>
      </c>
      <c r="AV1840">
        <f>COUNTIF($BA$1840:$EH$1840,"D")</f>
        <v/>
      </c>
      <c r="AW1840">
        <f>COUNTIF($BA$1840:$EH$1840,"R")</f>
        <v/>
      </c>
      <c r="AX1840">
        <f>IF(BN1840="D",1,0)+IF(BO1840="D",1,0)+IF(BT1840="D",1,0)+IF(BU1840="D",1,0)+IF(BW1840="D",1,0)+IF(CC1840="D",1,0)+IF(CD1840="D",1,0)+IF(CE1840="D",1,0)+IF(CF1840="D",1,0)+IF(CL1840="D",1,0)+IF(CM1840="D",1,0)+IF(CQ1840="D",1,0)+IF(CR1840="D",1,0)+IF(CS1840="D",1,0)+IF(CW1840="D",1,0)+IF(CX1840="D",1,0)+IF(DD1840="D",1,0)+IF(DE1840="D",1,0)+IF(DJ1840="D",1,0)+IF(DK1840="D",1,0)+IF(DO1840="D",1,0)+IF(DP1840="D",1,0)+IF(DQ1840="D",1,0)+IF(DW1840="D",1,0)+IF(DZ1840="D",1,0)+IF(EH1840="D",1,0)</f>
        <v/>
      </c>
      <c r="AY1840">
        <f>IF(DJ1840&lt;&gt;"",1,0)+IF(DK1840&lt;&gt;"",1,0)+IF(DM1840&lt;&gt;"",1,0)+IF(DO1840&lt;&gt;"",1,0)+IF(DP1840&lt;&gt;"",1,0)+IF(DQ1840&lt;&gt;"",1,0)+IF(DS1840&lt;&gt;"",1,0)+IF(DT1840&lt;&gt;"",1,0)+IF(DV1840&lt;&gt;"",1,0)+IF(DW1840&lt;&gt;"",1,0)+IF(DX1840&lt;&gt;"",1,0)+IF(DY1840&lt;&gt;"",1,0)+IF(DZ1840&lt;&gt;"",1,0)+IF(EB1840&lt;&gt;"",1,0)+IF(EC1840&lt;&gt;"",1,0)+IF(ED1840&lt;&gt;"",1,0)+IF(EG1840&lt;&gt;"",1,0)+IF(EH1840&lt;&gt;"",1,0)</f>
        <v/>
      </c>
      <c r="AZ1840">
        <f>IF(EH1840&lt;&gt;"",1,0)</f>
        <v/>
      </c>
      <c r="BB1840" t="inlineStr">
        <is>
          <t>WARREN-WARD 4</t>
        </is>
      </c>
    </row>
    <row r="1841">
      <c r="A1841" t="inlineStr">
        <is>
          <t>OH0025543916</t>
        </is>
      </c>
      <c r="B1841" t="n">
        <v>78</v>
      </c>
      <c r="C1841" t="n">
        <v>446176</v>
      </c>
      <c r="D1841" t="inlineStr">
        <is>
          <t>PAYNE</t>
        </is>
      </c>
      <c r="E1841" t="inlineStr">
        <is>
          <t>SYLVIA</t>
        </is>
      </c>
      <c r="F1841">
        <f>CONCATENATE(D1841," ",LEFT(H1841,4),"T=",AU1841,"D=",AV1841,"R=",AW1841,"M=",AX1841,"L=",AY1841,"B=",AZ1841)</f>
        <v/>
      </c>
      <c r="G1841" t="inlineStr">
        <is>
          <t>D</t>
        </is>
      </c>
      <c r="I1841" t="inlineStr">
        <is>
          <t>1983-09-21</t>
        </is>
      </c>
      <c r="J1841" t="inlineStr">
        <is>
          <t>2020-09-14</t>
        </is>
      </c>
      <c r="K1841" t="inlineStr">
        <is>
          <t>ACTIVE</t>
        </is>
      </c>
      <c r="L1841" t="inlineStr">
        <is>
          <t>D</t>
        </is>
      </c>
      <c r="M1841" t="inlineStr">
        <is>
          <t>307 CHESTNUT AVE NE</t>
        </is>
      </c>
      <c r="N1841">
        <f>RIGHT(M1841,LEN(M1841)-FIND(" ",M1841))</f>
        <v/>
      </c>
      <c r="P1841" t="inlineStr">
        <is>
          <t>WARREN</t>
        </is>
      </c>
      <c r="Q1841" t="inlineStr">
        <is>
          <t>OH</t>
        </is>
      </c>
      <c r="R1841" t="n">
        <v>44483</v>
      </c>
      <c r="AD1841" t="inlineStr">
        <is>
          <t>TRUMBULL CAREER &amp; TECH CENTER</t>
        </is>
      </c>
      <c r="AE1841" t="inlineStr">
        <is>
          <t>WARREN CITY</t>
        </is>
      </c>
      <c r="AF1841" t="inlineStr">
        <is>
          <t>WARREN CITY SD</t>
        </is>
      </c>
      <c r="AH1841" t="n">
        <v>14</v>
      </c>
      <c r="AI1841" t="n">
        <v>11</v>
      </c>
      <c r="AN1841" t="inlineStr">
        <is>
          <t>WARREN</t>
        </is>
      </c>
      <c r="AO1841" t="inlineStr">
        <is>
          <t>WARREN CITY 4D</t>
        </is>
      </c>
      <c r="AP1841" t="inlineStr">
        <is>
          <t>78-P-ADL</t>
        </is>
      </c>
      <c r="AQ1841" t="n">
        <v>9</v>
      </c>
      <c r="AR1841" t="n">
        <v>64</v>
      </c>
      <c r="AS1841" t="n">
        <v>32</v>
      </c>
      <c r="AU1841">
        <f>COUNTA($BA$1841:$EH$1841)</f>
        <v/>
      </c>
      <c r="AV1841">
        <f>COUNTIF($BA$1841:$EH$1841,"D")</f>
        <v/>
      </c>
      <c r="AW1841">
        <f>COUNTIF($BA$1841:$EH$1841,"R")</f>
        <v/>
      </c>
      <c r="AX1841">
        <f>IF(BN1841="D",1,0)+IF(BO1841="D",1,0)+IF(BT1841="D",1,0)+IF(BU1841="D",1,0)+IF(BW1841="D",1,0)+IF(CC1841="D",1,0)+IF(CD1841="D",1,0)+IF(CE1841="D",1,0)+IF(CF1841="D",1,0)+IF(CL1841="D",1,0)+IF(CM1841="D",1,0)+IF(CQ1841="D",1,0)+IF(CR1841="D",1,0)+IF(CS1841="D",1,0)+IF(CW1841="D",1,0)+IF(CX1841="D",1,0)+IF(DD1841="D",1,0)+IF(DE1841="D",1,0)+IF(DJ1841="D",1,0)+IF(DK1841="D",1,0)+IF(DO1841="D",1,0)+IF(DP1841="D",1,0)+IF(DQ1841="D",1,0)+IF(DW1841="D",1,0)+IF(DZ1841="D",1,0)+IF(EH1841="D",1,0)</f>
        <v/>
      </c>
      <c r="AY1841">
        <f>IF(DJ1841&lt;&gt;"",1,0)+IF(DK1841&lt;&gt;"",1,0)+IF(DM1841&lt;&gt;"",1,0)+IF(DO1841&lt;&gt;"",1,0)+IF(DP1841&lt;&gt;"",1,0)+IF(DQ1841&lt;&gt;"",1,0)+IF(DS1841&lt;&gt;"",1,0)+IF(DT1841&lt;&gt;"",1,0)+IF(DV1841&lt;&gt;"",1,0)+IF(DW1841&lt;&gt;"",1,0)+IF(DX1841&lt;&gt;"",1,0)+IF(DY1841&lt;&gt;"",1,0)+IF(DZ1841&lt;&gt;"",1,0)+IF(EB1841&lt;&gt;"",1,0)+IF(EC1841&lt;&gt;"",1,0)+IF(ED1841&lt;&gt;"",1,0)+IF(EG1841&lt;&gt;"",1,0)+IF(EH1841&lt;&gt;"",1,0)</f>
        <v/>
      </c>
      <c r="AZ1841">
        <f>IF(EH1841&lt;&gt;"",1,0)</f>
        <v/>
      </c>
      <c r="BB1841" t="inlineStr">
        <is>
          <t>WARREN-WARD 4</t>
        </is>
      </c>
      <c r="BY1841" t="inlineStr">
        <is>
          <t>D</t>
        </is>
      </c>
      <c r="CA1841" t="inlineStr">
        <is>
          <t>X</t>
        </is>
      </c>
      <c r="CZ1841" t="inlineStr">
        <is>
          <t>D</t>
        </is>
      </c>
      <c r="DW1841" t="inlineStr">
        <is>
          <t>D</t>
        </is>
      </c>
      <c r="DX1841" t="inlineStr">
        <is>
          <t>X</t>
        </is>
      </c>
      <c r="EF1841" t="inlineStr">
        <is>
          <t>X</t>
        </is>
      </c>
    </row>
    <row r="1842">
      <c r="A1842" t="inlineStr">
        <is>
          <t>OH0015757092</t>
        </is>
      </c>
      <c r="B1842" t="n">
        <v>78</v>
      </c>
      <c r="C1842" t="n">
        <v>290966</v>
      </c>
      <c r="D1842" t="inlineStr">
        <is>
          <t>COOK</t>
        </is>
      </c>
      <c r="E1842" t="inlineStr">
        <is>
          <t>DARRIN</t>
        </is>
      </c>
      <c r="F1842">
        <f>CONCATENATE(D1842," ",LEFT(H1842,4),"T=",AU1842,"D=",AV1842,"R=",AW1842,"M=",AX1842,"L=",AY1842,"B=",AZ1842)</f>
        <v/>
      </c>
      <c r="G1842" t="inlineStr">
        <is>
          <t>J</t>
        </is>
      </c>
      <c r="I1842" t="inlineStr">
        <is>
          <t>1972-09-23</t>
        </is>
      </c>
      <c r="J1842" t="inlineStr">
        <is>
          <t>2018-11-24</t>
        </is>
      </c>
      <c r="K1842" t="inlineStr">
        <is>
          <t>ACTIVE</t>
        </is>
      </c>
      <c r="M1842" t="inlineStr">
        <is>
          <t>252 LAWRENCE AVE NE</t>
        </is>
      </c>
      <c r="N1842">
        <f>RIGHT(M1842,LEN(M1842)-FIND(" ",M1842))</f>
        <v/>
      </c>
      <c r="P1842" t="inlineStr">
        <is>
          <t>WARREN</t>
        </is>
      </c>
      <c r="Q1842" t="inlineStr">
        <is>
          <t>OH</t>
        </is>
      </c>
      <c r="R1842" t="n">
        <v>44483</v>
      </c>
      <c r="AD1842" t="inlineStr">
        <is>
          <t>TRUMBULL CAREER &amp; TECH CENTER</t>
        </is>
      </c>
      <c r="AE1842" t="inlineStr">
        <is>
          <t>WARREN CITY</t>
        </is>
      </c>
      <c r="AF1842" t="inlineStr">
        <is>
          <t>WARREN CITY SD</t>
        </is>
      </c>
      <c r="AH1842" t="n">
        <v>14</v>
      </c>
      <c r="AI1842" t="n">
        <v>11</v>
      </c>
      <c r="AN1842" t="inlineStr">
        <is>
          <t>WARREN</t>
        </is>
      </c>
      <c r="AO1842" t="inlineStr">
        <is>
          <t>WARREN CITY 4D</t>
        </is>
      </c>
      <c r="AP1842" t="inlineStr">
        <is>
          <t>78-P-ADL</t>
        </is>
      </c>
      <c r="AQ1842" t="n">
        <v>9</v>
      </c>
      <c r="AR1842" t="n">
        <v>64</v>
      </c>
      <c r="AS1842" t="n">
        <v>32</v>
      </c>
      <c r="AU1842">
        <f>COUNTA($BA$1842:$EH$1842)</f>
        <v/>
      </c>
      <c r="AV1842">
        <f>COUNTIF($BA$1842:$EH$1842,"D")</f>
        <v/>
      </c>
      <c r="AW1842">
        <f>COUNTIF($BA$1842:$EH$1842,"R")</f>
        <v/>
      </c>
      <c r="AX1842">
        <f>IF(BN1842="D",1,0)+IF(BO1842="D",1,0)+IF(BT1842="D",1,0)+IF(BU1842="D",1,0)+IF(BW1842="D",1,0)+IF(CC1842="D",1,0)+IF(CD1842="D",1,0)+IF(CE1842="D",1,0)+IF(CF1842="D",1,0)+IF(CL1842="D",1,0)+IF(CM1842="D",1,0)+IF(CQ1842="D",1,0)+IF(CR1842="D",1,0)+IF(CS1842="D",1,0)+IF(CW1842="D",1,0)+IF(CX1842="D",1,0)+IF(DD1842="D",1,0)+IF(DE1842="D",1,0)+IF(DJ1842="D",1,0)+IF(DK1842="D",1,0)+IF(DO1842="D",1,0)+IF(DP1842="D",1,0)+IF(DQ1842="D",1,0)+IF(DW1842="D",1,0)+IF(DZ1842="D",1,0)+IF(EH1842="D",1,0)</f>
        <v/>
      </c>
      <c r="AY1842">
        <f>IF(DJ1842&lt;&gt;"",1,0)+IF(DK1842&lt;&gt;"",1,0)+IF(DM1842&lt;&gt;"",1,0)+IF(DO1842&lt;&gt;"",1,0)+IF(DP1842&lt;&gt;"",1,0)+IF(DQ1842&lt;&gt;"",1,0)+IF(DS1842&lt;&gt;"",1,0)+IF(DT1842&lt;&gt;"",1,0)+IF(DV1842&lt;&gt;"",1,0)+IF(DW1842&lt;&gt;"",1,0)+IF(DX1842&lt;&gt;"",1,0)+IF(DY1842&lt;&gt;"",1,0)+IF(DZ1842&lt;&gt;"",1,0)+IF(EB1842&lt;&gt;"",1,0)+IF(EC1842&lt;&gt;"",1,0)+IF(ED1842&lt;&gt;"",1,0)+IF(EG1842&lt;&gt;"",1,0)+IF(EH1842&lt;&gt;"",1,0)</f>
        <v/>
      </c>
      <c r="AZ1842">
        <f>IF(EH1842&lt;&gt;"",1,0)</f>
        <v/>
      </c>
      <c r="BB1842" t="inlineStr">
        <is>
          <t>WARREN-WARD 4</t>
        </is>
      </c>
      <c r="BD1842" t="inlineStr">
        <is>
          <t>X</t>
        </is>
      </c>
      <c r="BK1842" t="inlineStr">
        <is>
          <t>X</t>
        </is>
      </c>
      <c r="BL1842" t="inlineStr">
        <is>
          <t>X</t>
        </is>
      </c>
      <c r="BP1842" t="inlineStr">
        <is>
          <t>X</t>
        </is>
      </c>
      <c r="BS1842" t="inlineStr">
        <is>
          <t>X</t>
        </is>
      </c>
      <c r="BV1842" t="inlineStr">
        <is>
          <t>X</t>
        </is>
      </c>
      <c r="BY1842" t="inlineStr">
        <is>
          <t>D</t>
        </is>
      </c>
      <c r="CA1842" t="inlineStr">
        <is>
          <t>X</t>
        </is>
      </c>
      <c r="CG1842" t="inlineStr">
        <is>
          <t>X</t>
        </is>
      </c>
      <c r="CP1842" t="inlineStr">
        <is>
          <t>X</t>
        </is>
      </c>
      <c r="CT1842" t="inlineStr">
        <is>
          <t>X</t>
        </is>
      </c>
      <c r="CZ1842" t="inlineStr">
        <is>
          <t>D</t>
        </is>
      </c>
      <c r="DC1842" t="inlineStr">
        <is>
          <t>X</t>
        </is>
      </c>
      <c r="DG1842" t="inlineStr">
        <is>
          <t>R</t>
        </is>
      </c>
      <c r="DI1842" t="inlineStr">
        <is>
          <t>X</t>
        </is>
      </c>
      <c r="DN1842" t="inlineStr">
        <is>
          <t>X</t>
        </is>
      </c>
      <c r="EF1842" t="inlineStr">
        <is>
          <t>X</t>
        </is>
      </c>
    </row>
    <row r="1843">
      <c r="A1843" t="inlineStr">
        <is>
          <t>OH0024837966</t>
        </is>
      </c>
      <c r="B1843" t="n">
        <v>78</v>
      </c>
      <c r="C1843" t="n">
        <v>435611</v>
      </c>
      <c r="D1843" t="inlineStr">
        <is>
          <t>FRAZIER</t>
        </is>
      </c>
      <c r="E1843" t="inlineStr">
        <is>
          <t>LINWOOD</t>
        </is>
      </c>
      <c r="F1843">
        <f>CONCATENATE(D1843," ",LEFT(H1843,4),"T=",AU1843,"D=",AV1843,"R=",AW1843,"M=",AX1843,"L=",AY1843,"B=",AZ1843)</f>
        <v/>
      </c>
      <c r="I1843" t="inlineStr">
        <is>
          <t>1948-01-30</t>
        </is>
      </c>
      <c r="J1843" t="inlineStr">
        <is>
          <t>2018-10-03</t>
        </is>
      </c>
      <c r="K1843" t="inlineStr">
        <is>
          <t>ACTIVE</t>
        </is>
      </c>
      <c r="M1843" t="inlineStr">
        <is>
          <t>182 HIGH ST NW</t>
        </is>
      </c>
      <c r="N1843">
        <f>RIGHT(M1843,LEN(M1843)-FIND(" ",M1843))</f>
        <v/>
      </c>
      <c r="O1843" t="inlineStr">
        <is>
          <t>APT 204</t>
        </is>
      </c>
      <c r="P1843" t="inlineStr">
        <is>
          <t>WARREN</t>
        </is>
      </c>
      <c r="Q1843" t="inlineStr">
        <is>
          <t>OH</t>
        </is>
      </c>
      <c r="R1843" t="n">
        <v>44481</v>
      </c>
      <c r="AD1843" t="inlineStr">
        <is>
          <t>TRUMBULL CAREER &amp; TECH CENTER</t>
        </is>
      </c>
      <c r="AE1843" t="inlineStr">
        <is>
          <t>WARREN CITY</t>
        </is>
      </c>
      <c r="AF1843" t="inlineStr">
        <is>
          <t>WARREN CITY SD</t>
        </is>
      </c>
      <c r="AH1843" t="n">
        <v>14</v>
      </c>
      <c r="AI1843" t="n">
        <v>11</v>
      </c>
      <c r="AN1843" t="inlineStr">
        <is>
          <t>WARREN</t>
        </is>
      </c>
      <c r="AO1843" t="inlineStr">
        <is>
          <t>WARREN CITY 4D</t>
        </is>
      </c>
      <c r="AP1843" t="inlineStr">
        <is>
          <t>78-P-ADL</t>
        </is>
      </c>
      <c r="AQ1843" t="n">
        <v>9</v>
      </c>
      <c r="AR1843" t="n">
        <v>64</v>
      </c>
      <c r="AS1843" t="n">
        <v>32</v>
      </c>
      <c r="AU1843">
        <f>COUNTA($BA$1843:$EH$1843)</f>
        <v/>
      </c>
      <c r="AV1843">
        <f>COUNTIF($BA$1843:$EH$1843,"D")</f>
        <v/>
      </c>
      <c r="AW1843">
        <f>COUNTIF($BA$1843:$EH$1843,"R")</f>
        <v/>
      </c>
      <c r="AX1843">
        <f>IF(BN1843="D",1,0)+IF(BO1843="D",1,0)+IF(BT1843="D",1,0)+IF(BU1843="D",1,0)+IF(BW1843="D",1,0)+IF(CC1843="D",1,0)+IF(CD1843="D",1,0)+IF(CE1843="D",1,0)+IF(CF1843="D",1,0)+IF(CL1843="D",1,0)+IF(CM1843="D",1,0)+IF(CQ1843="D",1,0)+IF(CR1843="D",1,0)+IF(CS1843="D",1,0)+IF(CW1843="D",1,0)+IF(CX1843="D",1,0)+IF(DD1843="D",1,0)+IF(DE1843="D",1,0)+IF(DJ1843="D",1,0)+IF(DK1843="D",1,0)+IF(DO1843="D",1,0)+IF(DP1843="D",1,0)+IF(DQ1843="D",1,0)+IF(DW1843="D",1,0)+IF(DZ1843="D",1,0)+IF(EH1843="D",1,0)</f>
        <v/>
      </c>
      <c r="AY1843">
        <f>IF(DJ1843&lt;&gt;"",1,0)+IF(DK1843&lt;&gt;"",1,0)+IF(DM1843&lt;&gt;"",1,0)+IF(DO1843&lt;&gt;"",1,0)+IF(DP1843&lt;&gt;"",1,0)+IF(DQ1843&lt;&gt;"",1,0)+IF(DS1843&lt;&gt;"",1,0)+IF(DT1843&lt;&gt;"",1,0)+IF(DV1843&lt;&gt;"",1,0)+IF(DW1843&lt;&gt;"",1,0)+IF(DX1843&lt;&gt;"",1,0)+IF(DY1843&lt;&gt;"",1,0)+IF(DZ1843&lt;&gt;"",1,0)+IF(EB1843&lt;&gt;"",1,0)+IF(EC1843&lt;&gt;"",1,0)+IF(ED1843&lt;&gt;"",1,0)+IF(EG1843&lt;&gt;"",1,0)+IF(EH1843&lt;&gt;"",1,0)</f>
        <v/>
      </c>
      <c r="AZ1843">
        <f>IF(EH1843&lt;&gt;"",1,0)</f>
        <v/>
      </c>
      <c r="BB1843" t="inlineStr">
        <is>
          <t>WARREN-WARD 4</t>
        </is>
      </c>
      <c r="CA1843" t="inlineStr">
        <is>
          <t>X</t>
        </is>
      </c>
      <c r="DI1843" t="inlineStr">
        <is>
          <t>X</t>
        </is>
      </c>
      <c r="DN1843" t="inlineStr">
        <is>
          <t>X</t>
        </is>
      </c>
      <c r="DU1843" t="inlineStr">
        <is>
          <t>X</t>
        </is>
      </c>
      <c r="EF1843" t="inlineStr">
        <is>
          <t>X</t>
        </is>
      </c>
    </row>
    <row r="1844">
      <c r="A1844" t="inlineStr">
        <is>
          <t>OH0018597253</t>
        </is>
      </c>
      <c r="B1844" t="n">
        <v>78</v>
      </c>
      <c r="C1844" t="n">
        <v>336458</v>
      </c>
      <c r="D1844" t="inlineStr">
        <is>
          <t>MAY</t>
        </is>
      </c>
      <c r="E1844" t="inlineStr">
        <is>
          <t>JESSICA</t>
        </is>
      </c>
      <c r="F1844">
        <f>CONCATENATE(D1844," ",LEFT(H1844,4),"T=",AU1844,"D=",AV1844,"R=",AW1844,"M=",AX1844,"L=",AY1844,"B=",AZ1844)</f>
        <v/>
      </c>
      <c r="G1844" t="inlineStr">
        <is>
          <t>L</t>
        </is>
      </c>
      <c r="I1844" t="inlineStr">
        <is>
          <t>1982-12-27</t>
        </is>
      </c>
      <c r="J1844" t="inlineStr">
        <is>
          <t>2016-07-19</t>
        </is>
      </c>
      <c r="K1844" t="inlineStr">
        <is>
          <t>CONFIRMATION</t>
        </is>
      </c>
      <c r="M1844" t="inlineStr">
        <is>
          <t>326 CHESTNUT AVE NE</t>
        </is>
      </c>
      <c r="N1844">
        <f>RIGHT(M1844,LEN(M1844)-FIND(" ",M1844))</f>
        <v/>
      </c>
      <c r="O1844" t="inlineStr">
        <is>
          <t>APT B</t>
        </is>
      </c>
      <c r="P1844" t="inlineStr">
        <is>
          <t>WARREN</t>
        </is>
      </c>
      <c r="Q1844" t="inlineStr">
        <is>
          <t>OH</t>
        </is>
      </c>
      <c r="R1844" t="n">
        <v>44483</v>
      </c>
      <c r="AD1844" t="inlineStr">
        <is>
          <t>TRUMBULL CAREER &amp; TECH CENTER</t>
        </is>
      </c>
      <c r="AE1844" t="inlineStr">
        <is>
          <t>WARREN CITY</t>
        </is>
      </c>
      <c r="AF1844" t="inlineStr">
        <is>
          <t>WARREN CITY SD</t>
        </is>
      </c>
      <c r="AH1844" t="n">
        <v>14</v>
      </c>
      <c r="AI1844" t="n">
        <v>11</v>
      </c>
      <c r="AN1844" t="inlineStr">
        <is>
          <t>WARREN</t>
        </is>
      </c>
      <c r="AO1844" t="inlineStr">
        <is>
          <t>WARREN CITY 4D</t>
        </is>
      </c>
      <c r="AP1844" t="inlineStr">
        <is>
          <t>78-P-ADL</t>
        </is>
      </c>
      <c r="AQ1844" t="n">
        <v>9</v>
      </c>
      <c r="AR1844" t="n">
        <v>64</v>
      </c>
      <c r="AS1844" t="n">
        <v>32</v>
      </c>
      <c r="AU1844">
        <f>COUNTA($BA$1844:$EH$1844)</f>
        <v/>
      </c>
      <c r="AV1844">
        <f>COUNTIF($BA$1844:$EH$1844,"D")</f>
        <v/>
      </c>
      <c r="AW1844">
        <f>COUNTIF($BA$1844:$EH$1844,"R")</f>
        <v/>
      </c>
      <c r="AX1844">
        <f>IF(BN1844="D",1,0)+IF(BO1844="D",1,0)+IF(BT1844="D",1,0)+IF(BU1844="D",1,0)+IF(BW1844="D",1,0)+IF(CC1844="D",1,0)+IF(CD1844="D",1,0)+IF(CE1844="D",1,0)+IF(CF1844="D",1,0)+IF(CL1844="D",1,0)+IF(CM1844="D",1,0)+IF(CQ1844="D",1,0)+IF(CR1844="D",1,0)+IF(CS1844="D",1,0)+IF(CW1844="D",1,0)+IF(CX1844="D",1,0)+IF(DD1844="D",1,0)+IF(DE1844="D",1,0)+IF(DJ1844="D",1,0)+IF(DK1844="D",1,0)+IF(DO1844="D",1,0)+IF(DP1844="D",1,0)+IF(DQ1844="D",1,0)+IF(DW1844="D",1,0)+IF(DZ1844="D",1,0)+IF(EH1844="D",1,0)</f>
        <v/>
      </c>
      <c r="AY1844">
        <f>IF(DJ1844&lt;&gt;"",1,0)+IF(DK1844&lt;&gt;"",1,0)+IF(DM1844&lt;&gt;"",1,0)+IF(DO1844&lt;&gt;"",1,0)+IF(DP1844&lt;&gt;"",1,0)+IF(DQ1844&lt;&gt;"",1,0)+IF(DS1844&lt;&gt;"",1,0)+IF(DT1844&lt;&gt;"",1,0)+IF(DV1844&lt;&gt;"",1,0)+IF(DW1844&lt;&gt;"",1,0)+IF(DX1844&lt;&gt;"",1,0)+IF(DY1844&lt;&gt;"",1,0)+IF(DZ1844&lt;&gt;"",1,0)+IF(EB1844&lt;&gt;"",1,0)+IF(EC1844&lt;&gt;"",1,0)+IF(ED1844&lt;&gt;"",1,0)+IF(EG1844&lt;&gt;"",1,0)+IF(EH1844&lt;&gt;"",1,0)</f>
        <v/>
      </c>
      <c r="AZ1844">
        <f>IF(EH1844&lt;&gt;"",1,0)</f>
        <v/>
      </c>
      <c r="BB1844" t="inlineStr">
        <is>
          <t>WARREN-WARD 4</t>
        </is>
      </c>
    </row>
    <row r="1845">
      <c r="A1845" t="inlineStr">
        <is>
          <t>OH0023473094</t>
        </is>
      </c>
      <c r="B1845" t="n">
        <v>78</v>
      </c>
      <c r="C1845" t="n">
        <v>412954</v>
      </c>
      <c r="D1845" t="inlineStr">
        <is>
          <t>MORTARO</t>
        </is>
      </c>
      <c r="E1845" t="inlineStr">
        <is>
          <t>ANTHONY</t>
        </is>
      </c>
      <c r="F1845">
        <f>CONCATENATE(D1845," ",LEFT(H1845,4),"T=",AU1845,"D=",AV1845,"R=",AW1845,"M=",AX1845,"L=",AY1845,"B=",AZ1845)</f>
        <v/>
      </c>
      <c r="G1845" t="inlineStr">
        <is>
          <t>JOSEPH</t>
        </is>
      </c>
      <c r="H1845" t="inlineStr">
        <is>
          <t>III</t>
        </is>
      </c>
      <c r="I1845" t="inlineStr">
        <is>
          <t>1972-02-25</t>
        </is>
      </c>
      <c r="J1845" t="inlineStr">
        <is>
          <t>2016-07-19</t>
        </is>
      </c>
      <c r="K1845" t="inlineStr">
        <is>
          <t>CONFIRMATION</t>
        </is>
      </c>
      <c r="M1845" t="inlineStr">
        <is>
          <t>837 ELM RD NE</t>
        </is>
      </c>
      <c r="N1845">
        <f>RIGHT(M1845,LEN(M1845)-FIND(" ",M1845))</f>
        <v/>
      </c>
      <c r="P1845" t="inlineStr">
        <is>
          <t>WARREN</t>
        </is>
      </c>
      <c r="Q1845" t="inlineStr">
        <is>
          <t>OH</t>
        </is>
      </c>
      <c r="R1845" t="n">
        <v>44483</v>
      </c>
      <c r="AD1845" t="inlineStr">
        <is>
          <t>TRUMBULL CAREER &amp; TECH CENTER</t>
        </is>
      </c>
      <c r="AE1845" t="inlineStr">
        <is>
          <t>WARREN CITY</t>
        </is>
      </c>
      <c r="AF1845" t="inlineStr">
        <is>
          <t>WARREN CITY SD</t>
        </is>
      </c>
      <c r="AH1845" t="n">
        <v>14</v>
      </c>
      <c r="AI1845" t="n">
        <v>11</v>
      </c>
      <c r="AN1845" t="inlineStr">
        <is>
          <t>WARREN</t>
        </is>
      </c>
      <c r="AO1845" t="inlineStr">
        <is>
          <t>WARREN CITY 4D</t>
        </is>
      </c>
      <c r="AP1845" t="inlineStr">
        <is>
          <t>78-P-ADL</t>
        </is>
      </c>
      <c r="AQ1845" t="n">
        <v>9</v>
      </c>
      <c r="AR1845" t="n">
        <v>64</v>
      </c>
      <c r="AS1845" t="n">
        <v>32</v>
      </c>
      <c r="AU1845">
        <f>COUNTA($BA$1845:$EH$1845)</f>
        <v/>
      </c>
      <c r="AV1845">
        <f>COUNTIF($BA$1845:$EH$1845,"D")</f>
        <v/>
      </c>
      <c r="AW1845">
        <f>COUNTIF($BA$1845:$EH$1845,"R")</f>
        <v/>
      </c>
      <c r="AX1845">
        <f>IF(BN1845="D",1,0)+IF(BO1845="D",1,0)+IF(BT1845="D",1,0)+IF(BU1845="D",1,0)+IF(BW1845="D",1,0)+IF(CC1845="D",1,0)+IF(CD1845="D",1,0)+IF(CE1845="D",1,0)+IF(CF1845="D",1,0)+IF(CL1845="D",1,0)+IF(CM1845="D",1,0)+IF(CQ1845="D",1,0)+IF(CR1845="D",1,0)+IF(CS1845="D",1,0)+IF(CW1845="D",1,0)+IF(CX1845="D",1,0)+IF(DD1845="D",1,0)+IF(DE1845="D",1,0)+IF(DJ1845="D",1,0)+IF(DK1845="D",1,0)+IF(DO1845="D",1,0)+IF(DP1845="D",1,0)+IF(DQ1845="D",1,0)+IF(DW1845="D",1,0)+IF(DZ1845="D",1,0)+IF(EH1845="D",1,0)</f>
        <v/>
      </c>
      <c r="AY1845">
        <f>IF(DJ1845&lt;&gt;"",1,0)+IF(DK1845&lt;&gt;"",1,0)+IF(DM1845&lt;&gt;"",1,0)+IF(DO1845&lt;&gt;"",1,0)+IF(DP1845&lt;&gt;"",1,0)+IF(DQ1845&lt;&gt;"",1,0)+IF(DS1845&lt;&gt;"",1,0)+IF(DT1845&lt;&gt;"",1,0)+IF(DV1845&lt;&gt;"",1,0)+IF(DW1845&lt;&gt;"",1,0)+IF(DX1845&lt;&gt;"",1,0)+IF(DY1845&lt;&gt;"",1,0)+IF(DZ1845&lt;&gt;"",1,0)+IF(EB1845&lt;&gt;"",1,0)+IF(EC1845&lt;&gt;"",1,0)+IF(ED1845&lt;&gt;"",1,0)+IF(EG1845&lt;&gt;"",1,0)+IF(EH1845&lt;&gt;"",1,0)</f>
        <v/>
      </c>
      <c r="AZ1845">
        <f>IF(EH1845&lt;&gt;"",1,0)</f>
        <v/>
      </c>
      <c r="BB1845" t="inlineStr">
        <is>
          <t>WARREN-WARD 4</t>
        </is>
      </c>
      <c r="BD1845" t="inlineStr">
        <is>
          <t>X</t>
        </is>
      </c>
      <c r="BK1845" t="inlineStr">
        <is>
          <t>D</t>
        </is>
      </c>
      <c r="BL1845" t="inlineStr">
        <is>
          <t>X</t>
        </is>
      </c>
      <c r="CA1845" t="inlineStr">
        <is>
          <t>X</t>
        </is>
      </c>
      <c r="CU1845" t="inlineStr">
        <is>
          <t>D</t>
        </is>
      </c>
    </row>
    <row r="1846">
      <c r="A1846" t="inlineStr">
        <is>
          <t>OH0023861524</t>
        </is>
      </c>
      <c r="B1846" t="n">
        <v>78</v>
      </c>
      <c r="C1846" t="n">
        <v>419204</v>
      </c>
      <c r="D1846" t="inlineStr">
        <is>
          <t>NICOSIA</t>
        </is>
      </c>
      <c r="E1846" t="inlineStr">
        <is>
          <t>ANDREA</t>
        </is>
      </c>
      <c r="F1846">
        <f>CONCATENATE(D1846," ",LEFT(H1846,4),"T=",AU1846,"D=",AV1846,"R=",AW1846,"M=",AX1846,"L=",AY1846,"B=",AZ1846)</f>
        <v/>
      </c>
      <c r="G1846" t="inlineStr">
        <is>
          <t>MARIE</t>
        </is>
      </c>
      <c r="I1846" t="inlineStr">
        <is>
          <t>1972-11-16</t>
        </is>
      </c>
      <c r="J1846" t="inlineStr">
        <is>
          <t>2016-08-18</t>
        </is>
      </c>
      <c r="K1846" t="inlineStr">
        <is>
          <t>CONFIRMATION</t>
        </is>
      </c>
      <c r="M1846" t="inlineStr">
        <is>
          <t>156 ELM RD NE</t>
        </is>
      </c>
      <c r="N1846">
        <f>RIGHT(M1846,LEN(M1846)-FIND(" ",M1846))</f>
        <v/>
      </c>
      <c r="P1846" t="inlineStr">
        <is>
          <t>WARREN</t>
        </is>
      </c>
      <c r="Q1846" t="inlineStr">
        <is>
          <t>OH</t>
        </is>
      </c>
      <c r="R1846" t="n">
        <v>44483</v>
      </c>
      <c r="AD1846" t="inlineStr">
        <is>
          <t>TRUMBULL CAREER &amp; TECH CENTER</t>
        </is>
      </c>
      <c r="AE1846" t="inlineStr">
        <is>
          <t>WARREN CITY</t>
        </is>
      </c>
      <c r="AF1846" t="inlineStr">
        <is>
          <t>WARREN CITY SD</t>
        </is>
      </c>
      <c r="AH1846" t="n">
        <v>14</v>
      </c>
      <c r="AI1846" t="n">
        <v>11</v>
      </c>
      <c r="AN1846" t="inlineStr">
        <is>
          <t>WARREN</t>
        </is>
      </c>
      <c r="AO1846" t="inlineStr">
        <is>
          <t>WARREN CITY 4D</t>
        </is>
      </c>
      <c r="AP1846" t="inlineStr">
        <is>
          <t>78-P-ADL</t>
        </is>
      </c>
      <c r="AQ1846" t="n">
        <v>9</v>
      </c>
      <c r="AR1846" t="n">
        <v>64</v>
      </c>
      <c r="AS1846" t="n">
        <v>32</v>
      </c>
      <c r="AU1846">
        <f>COUNTA($BA$1846:$EH$1846)</f>
        <v/>
      </c>
      <c r="AV1846">
        <f>COUNTIF($BA$1846:$EH$1846,"D")</f>
        <v/>
      </c>
      <c r="AW1846">
        <f>COUNTIF($BA$1846:$EH$1846,"R")</f>
        <v/>
      </c>
      <c r="AX1846">
        <f>IF(BN1846="D",1,0)+IF(BO1846="D",1,0)+IF(BT1846="D",1,0)+IF(BU1846="D",1,0)+IF(BW1846="D",1,0)+IF(CC1846="D",1,0)+IF(CD1846="D",1,0)+IF(CE1846="D",1,0)+IF(CF1846="D",1,0)+IF(CL1846="D",1,0)+IF(CM1846="D",1,0)+IF(CQ1846="D",1,0)+IF(CR1846="D",1,0)+IF(CS1846="D",1,0)+IF(CW1846="D",1,0)+IF(CX1846="D",1,0)+IF(DD1846="D",1,0)+IF(DE1846="D",1,0)+IF(DJ1846="D",1,0)+IF(DK1846="D",1,0)+IF(DO1846="D",1,0)+IF(DP1846="D",1,0)+IF(DQ1846="D",1,0)+IF(DW1846="D",1,0)+IF(DZ1846="D",1,0)+IF(EH1846="D",1,0)</f>
        <v/>
      </c>
      <c r="AY1846">
        <f>IF(DJ1846&lt;&gt;"",1,0)+IF(DK1846&lt;&gt;"",1,0)+IF(DM1846&lt;&gt;"",1,0)+IF(DO1846&lt;&gt;"",1,0)+IF(DP1846&lt;&gt;"",1,0)+IF(DQ1846&lt;&gt;"",1,0)+IF(DS1846&lt;&gt;"",1,0)+IF(DT1846&lt;&gt;"",1,0)+IF(DV1846&lt;&gt;"",1,0)+IF(DW1846&lt;&gt;"",1,0)+IF(DX1846&lt;&gt;"",1,0)+IF(DY1846&lt;&gt;"",1,0)+IF(DZ1846&lt;&gt;"",1,0)+IF(EB1846&lt;&gt;"",1,0)+IF(EC1846&lt;&gt;"",1,0)+IF(ED1846&lt;&gt;"",1,0)+IF(EG1846&lt;&gt;"",1,0)+IF(EH1846&lt;&gt;"",1,0)</f>
        <v/>
      </c>
      <c r="AZ1846">
        <f>IF(EH1846&lt;&gt;"",1,0)</f>
        <v/>
      </c>
      <c r="BB1846" t="inlineStr">
        <is>
          <t>WARREN-WARD 4</t>
        </is>
      </c>
    </row>
    <row r="1847">
      <c r="A1847" t="inlineStr">
        <is>
          <t>OH0027672425</t>
        </is>
      </c>
      <c r="B1847" t="n">
        <v>78</v>
      </c>
      <c r="C1847" t="n">
        <v>490268</v>
      </c>
      <c r="D1847" t="inlineStr">
        <is>
          <t>ANDERSON</t>
        </is>
      </c>
      <c r="E1847" t="inlineStr">
        <is>
          <t>ALEX</t>
        </is>
      </c>
      <c r="F1847">
        <f>CONCATENATE(D1847," ",LEFT(H1847,4),"T=",AU1847,"D=",AV1847,"R=",AW1847,"M=",AX1847,"L=",AY1847,"B=",AZ1847)</f>
        <v/>
      </c>
      <c r="G1847" t="inlineStr">
        <is>
          <t>MICHAEL</t>
        </is>
      </c>
      <c r="I1847" t="inlineStr">
        <is>
          <t>1995-04-08</t>
        </is>
      </c>
      <c r="J1847" t="inlineStr">
        <is>
          <t>2024-09-21</t>
        </is>
      </c>
      <c r="K1847" t="inlineStr">
        <is>
          <t>ACTIVE</t>
        </is>
      </c>
      <c r="M1847" t="inlineStr">
        <is>
          <t>200 WASHINGTON ST NE</t>
        </is>
      </c>
      <c r="N1847">
        <f>RIGHT(M1847,LEN(M1847)-FIND(" ",M1847))</f>
        <v/>
      </c>
      <c r="O1847" t="inlineStr">
        <is>
          <t>APT 11</t>
        </is>
      </c>
      <c r="P1847" t="inlineStr">
        <is>
          <t>WARREN</t>
        </is>
      </c>
      <c r="Q1847" t="inlineStr">
        <is>
          <t>OH</t>
        </is>
      </c>
      <c r="R1847" t="n">
        <v>44483</v>
      </c>
      <c r="AD1847" t="inlineStr">
        <is>
          <t>TRUMBULL CAREER &amp; TECH CENTER</t>
        </is>
      </c>
      <c r="AE1847" t="inlineStr">
        <is>
          <t>WARREN CITY</t>
        </is>
      </c>
      <c r="AF1847" t="inlineStr">
        <is>
          <t>WARREN CITY SD</t>
        </is>
      </c>
      <c r="AH1847" t="n">
        <v>14</v>
      </c>
      <c r="AI1847" t="n">
        <v>11</v>
      </c>
      <c r="AN1847" t="inlineStr">
        <is>
          <t>WARREN</t>
        </is>
      </c>
      <c r="AO1847" t="inlineStr">
        <is>
          <t>WARREN CITY 4D</t>
        </is>
      </c>
      <c r="AP1847" t="inlineStr">
        <is>
          <t>78-P-ADL</t>
        </is>
      </c>
      <c r="AQ1847" t="n">
        <v>9</v>
      </c>
      <c r="AR1847" t="n">
        <v>64</v>
      </c>
      <c r="AS1847" t="n">
        <v>32</v>
      </c>
      <c r="AU1847">
        <f>COUNTA($BA$1847:$EH$1847)</f>
        <v/>
      </c>
      <c r="AV1847">
        <f>COUNTIF($BA$1847:$EH$1847,"D")</f>
        <v/>
      </c>
      <c r="AW1847">
        <f>COUNTIF($BA$1847:$EH$1847,"R")</f>
        <v/>
      </c>
      <c r="AX1847">
        <f>IF(BN1847="D",1,0)+IF(BO1847="D",1,0)+IF(BT1847="D",1,0)+IF(BU1847="D",1,0)+IF(BW1847="D",1,0)+IF(CC1847="D",1,0)+IF(CD1847="D",1,0)+IF(CE1847="D",1,0)+IF(CF1847="D",1,0)+IF(CL1847="D",1,0)+IF(CM1847="D",1,0)+IF(CQ1847="D",1,0)+IF(CR1847="D",1,0)+IF(CS1847="D",1,0)+IF(CW1847="D",1,0)+IF(CX1847="D",1,0)+IF(DD1847="D",1,0)+IF(DE1847="D",1,0)+IF(DJ1847="D",1,0)+IF(DK1847="D",1,0)+IF(DO1847="D",1,0)+IF(DP1847="D",1,0)+IF(DQ1847="D",1,0)+IF(DW1847="D",1,0)+IF(DZ1847="D",1,0)+IF(EH1847="D",1,0)</f>
        <v/>
      </c>
      <c r="AY1847">
        <f>IF(DJ1847&lt;&gt;"",1,0)+IF(DK1847&lt;&gt;"",1,0)+IF(DM1847&lt;&gt;"",1,0)+IF(DO1847&lt;&gt;"",1,0)+IF(DP1847&lt;&gt;"",1,0)+IF(DQ1847&lt;&gt;"",1,0)+IF(DS1847&lt;&gt;"",1,0)+IF(DT1847&lt;&gt;"",1,0)+IF(DV1847&lt;&gt;"",1,0)+IF(DW1847&lt;&gt;"",1,0)+IF(DX1847&lt;&gt;"",1,0)+IF(DY1847&lt;&gt;"",1,0)+IF(DZ1847&lt;&gt;"",1,0)+IF(EB1847&lt;&gt;"",1,0)+IF(EC1847&lt;&gt;"",1,0)+IF(ED1847&lt;&gt;"",1,0)+IF(EG1847&lt;&gt;"",1,0)+IF(EH1847&lt;&gt;"",1,0)</f>
        <v/>
      </c>
      <c r="AZ1847">
        <f>IF(EH1847&lt;&gt;"",1,0)</f>
        <v/>
      </c>
      <c r="BB1847" t="inlineStr">
        <is>
          <t>WARREN-WARD 4</t>
        </is>
      </c>
      <c r="EF1847" t="inlineStr">
        <is>
          <t>X</t>
        </is>
      </c>
    </row>
    <row r="1848">
      <c r="A1848" t="inlineStr">
        <is>
          <t>OH0026504681</t>
        </is>
      </c>
      <c r="B1848" t="n">
        <v>78</v>
      </c>
      <c r="C1848" t="n">
        <v>463168</v>
      </c>
      <c r="D1848" t="inlineStr">
        <is>
          <t>MEDINA CRUZ</t>
        </is>
      </c>
      <c r="E1848" t="inlineStr">
        <is>
          <t>YARILIS</t>
        </is>
      </c>
      <c r="F1848">
        <f>CONCATENATE(D1848," ",LEFT(H1848,4),"T=",AU1848,"D=",AV1848,"R=",AW1848,"M=",AX1848,"L=",AY1848,"B=",AZ1848)</f>
        <v/>
      </c>
      <c r="I1848" t="inlineStr">
        <is>
          <t>1981-02-27</t>
        </is>
      </c>
      <c r="J1848" t="inlineStr">
        <is>
          <t>2022-04-16</t>
        </is>
      </c>
      <c r="K1848" t="inlineStr">
        <is>
          <t>ACTIVE</t>
        </is>
      </c>
      <c r="M1848" t="inlineStr">
        <is>
          <t>620 HIGH ST NE</t>
        </is>
      </c>
      <c r="N1848">
        <f>RIGHT(M1848,LEN(M1848)-FIND(" ",M1848))</f>
        <v/>
      </c>
      <c r="P1848" t="inlineStr">
        <is>
          <t>WARREN</t>
        </is>
      </c>
      <c r="Q1848" t="inlineStr">
        <is>
          <t>OH</t>
        </is>
      </c>
      <c r="R1848" t="n">
        <v>44483</v>
      </c>
      <c r="AD1848" t="inlineStr">
        <is>
          <t>TRUMBULL CAREER &amp; TECH CENTER</t>
        </is>
      </c>
      <c r="AE1848" t="inlineStr">
        <is>
          <t>WARREN CITY</t>
        </is>
      </c>
      <c r="AF1848" t="inlineStr">
        <is>
          <t>WARREN CITY SD</t>
        </is>
      </c>
      <c r="AH1848" t="n">
        <v>14</v>
      </c>
      <c r="AI1848" t="n">
        <v>11</v>
      </c>
      <c r="AN1848" t="inlineStr">
        <is>
          <t>WARREN</t>
        </is>
      </c>
      <c r="AO1848" t="inlineStr">
        <is>
          <t>WARREN CITY 4D</t>
        </is>
      </c>
      <c r="AP1848" t="inlineStr">
        <is>
          <t>78-P-ADL</t>
        </is>
      </c>
      <c r="AQ1848" t="n">
        <v>9</v>
      </c>
      <c r="AR1848" t="n">
        <v>64</v>
      </c>
      <c r="AS1848" t="n">
        <v>32</v>
      </c>
      <c r="AU1848">
        <f>COUNTA($BA$1848:$EH$1848)</f>
        <v/>
      </c>
      <c r="AV1848">
        <f>COUNTIF($BA$1848:$EH$1848,"D")</f>
        <v/>
      </c>
      <c r="AW1848">
        <f>COUNTIF($BA$1848:$EH$1848,"R")</f>
        <v/>
      </c>
      <c r="AX1848">
        <f>IF(BN1848="D",1,0)+IF(BO1848="D",1,0)+IF(BT1848="D",1,0)+IF(BU1848="D",1,0)+IF(BW1848="D",1,0)+IF(CC1848="D",1,0)+IF(CD1848="D",1,0)+IF(CE1848="D",1,0)+IF(CF1848="D",1,0)+IF(CL1848="D",1,0)+IF(CM1848="D",1,0)+IF(CQ1848="D",1,0)+IF(CR1848="D",1,0)+IF(CS1848="D",1,0)+IF(CW1848="D",1,0)+IF(CX1848="D",1,0)+IF(DD1848="D",1,0)+IF(DE1848="D",1,0)+IF(DJ1848="D",1,0)+IF(DK1848="D",1,0)+IF(DO1848="D",1,0)+IF(DP1848="D",1,0)+IF(DQ1848="D",1,0)+IF(DW1848="D",1,0)+IF(DZ1848="D",1,0)+IF(EH1848="D",1,0)</f>
        <v/>
      </c>
      <c r="AY1848">
        <f>IF(DJ1848&lt;&gt;"",1,0)+IF(DK1848&lt;&gt;"",1,0)+IF(DM1848&lt;&gt;"",1,0)+IF(DO1848&lt;&gt;"",1,0)+IF(DP1848&lt;&gt;"",1,0)+IF(DQ1848&lt;&gt;"",1,0)+IF(DS1848&lt;&gt;"",1,0)+IF(DT1848&lt;&gt;"",1,0)+IF(DV1848&lt;&gt;"",1,0)+IF(DW1848&lt;&gt;"",1,0)+IF(DX1848&lt;&gt;"",1,0)+IF(DY1848&lt;&gt;"",1,0)+IF(DZ1848&lt;&gt;"",1,0)+IF(EB1848&lt;&gt;"",1,0)+IF(EC1848&lt;&gt;"",1,0)+IF(ED1848&lt;&gt;"",1,0)+IF(EG1848&lt;&gt;"",1,0)+IF(EH1848&lt;&gt;"",1,0)</f>
        <v/>
      </c>
      <c r="AZ1848">
        <f>IF(EH1848&lt;&gt;"",1,0)</f>
        <v/>
      </c>
      <c r="BB1848" t="inlineStr">
        <is>
          <t>WARREN-WARD 4</t>
        </is>
      </c>
    </row>
    <row r="1849">
      <c r="A1849" t="inlineStr">
        <is>
          <t>OH0015800760</t>
        </is>
      </c>
      <c r="B1849" t="n">
        <v>78</v>
      </c>
      <c r="C1849" t="n">
        <v>87860</v>
      </c>
      <c r="D1849" t="inlineStr">
        <is>
          <t>SPEICHER</t>
        </is>
      </c>
      <c r="E1849" t="inlineStr">
        <is>
          <t>DOROTHY</t>
        </is>
      </c>
      <c r="F1849">
        <f>CONCATENATE(D1849," ",LEFT(H1849,4),"T=",AU1849,"D=",AV1849,"R=",AW1849,"M=",AX1849,"L=",AY1849,"B=",AZ1849)</f>
        <v/>
      </c>
      <c r="G1849" t="inlineStr">
        <is>
          <t>J</t>
        </is>
      </c>
      <c r="I1849" t="inlineStr">
        <is>
          <t>1931-08-07</t>
        </is>
      </c>
      <c r="J1849" t="inlineStr">
        <is>
          <t>1960-09-28</t>
        </is>
      </c>
      <c r="K1849" t="inlineStr">
        <is>
          <t>ACTIVE</t>
        </is>
      </c>
      <c r="M1849" t="inlineStr">
        <is>
          <t>160 E MARKET ST</t>
        </is>
      </c>
      <c r="N1849">
        <f>RIGHT(M1849,LEN(M1849)-FIND(" ",M1849))</f>
        <v/>
      </c>
      <c r="O1849" t="inlineStr">
        <is>
          <t>STE 250</t>
        </is>
      </c>
      <c r="P1849" t="inlineStr">
        <is>
          <t>WARREN</t>
        </is>
      </c>
      <c r="Q1849" t="inlineStr">
        <is>
          <t>OH</t>
        </is>
      </c>
      <c r="R1849" t="n">
        <v>44481</v>
      </c>
      <c r="AD1849" t="inlineStr">
        <is>
          <t>TRUMBULL CAREER &amp; TECH CENTER</t>
        </is>
      </c>
      <c r="AE1849" t="inlineStr">
        <is>
          <t>WARREN CITY</t>
        </is>
      </c>
      <c r="AF1849" t="inlineStr">
        <is>
          <t>WARREN CITY SD</t>
        </is>
      </c>
      <c r="AH1849" t="n">
        <v>14</v>
      </c>
      <c r="AI1849" t="n">
        <v>11</v>
      </c>
      <c r="AN1849" t="inlineStr">
        <is>
          <t>WARREN</t>
        </is>
      </c>
      <c r="AO1849" t="inlineStr">
        <is>
          <t>WARREN CITY 4D</t>
        </is>
      </c>
      <c r="AP1849" t="inlineStr">
        <is>
          <t>78-P-ADL</t>
        </is>
      </c>
      <c r="AQ1849" t="n">
        <v>9</v>
      </c>
      <c r="AR1849" t="n">
        <v>64</v>
      </c>
      <c r="AS1849" t="n">
        <v>32</v>
      </c>
      <c r="AU1849">
        <f>COUNTA($BA$1849:$EH$1849)</f>
        <v/>
      </c>
      <c r="AV1849">
        <f>COUNTIF($BA$1849:$EH$1849,"D")</f>
        <v/>
      </c>
      <c r="AW1849">
        <f>COUNTIF($BA$1849:$EH$1849,"R")</f>
        <v/>
      </c>
      <c r="AX1849">
        <f>IF(BN1849="D",1,0)+IF(BO1849="D",1,0)+IF(BT1849="D",1,0)+IF(BU1849="D",1,0)+IF(BW1849="D",1,0)+IF(CC1849="D",1,0)+IF(CD1849="D",1,0)+IF(CE1849="D",1,0)+IF(CF1849="D",1,0)+IF(CL1849="D",1,0)+IF(CM1849="D",1,0)+IF(CQ1849="D",1,0)+IF(CR1849="D",1,0)+IF(CS1849="D",1,0)+IF(CW1849="D",1,0)+IF(CX1849="D",1,0)+IF(DD1849="D",1,0)+IF(DE1849="D",1,0)+IF(DJ1849="D",1,0)+IF(DK1849="D",1,0)+IF(DO1849="D",1,0)+IF(DP1849="D",1,0)+IF(DQ1849="D",1,0)+IF(DW1849="D",1,0)+IF(DZ1849="D",1,0)+IF(EH1849="D",1,0)</f>
        <v/>
      </c>
      <c r="AY1849">
        <f>IF(DJ1849&lt;&gt;"",1,0)+IF(DK1849&lt;&gt;"",1,0)+IF(DM1849&lt;&gt;"",1,0)+IF(DO1849&lt;&gt;"",1,0)+IF(DP1849&lt;&gt;"",1,0)+IF(DQ1849&lt;&gt;"",1,0)+IF(DS1849&lt;&gt;"",1,0)+IF(DT1849&lt;&gt;"",1,0)+IF(DV1849&lt;&gt;"",1,0)+IF(DW1849&lt;&gt;"",1,0)+IF(DX1849&lt;&gt;"",1,0)+IF(DY1849&lt;&gt;"",1,0)+IF(DZ1849&lt;&gt;"",1,0)+IF(EB1849&lt;&gt;"",1,0)+IF(EC1849&lt;&gt;"",1,0)+IF(ED1849&lt;&gt;"",1,0)+IF(EG1849&lt;&gt;"",1,0)+IF(EH1849&lt;&gt;"",1,0)</f>
        <v/>
      </c>
      <c r="AZ1849">
        <f>IF(EH1849&lt;&gt;"",1,0)</f>
        <v/>
      </c>
      <c r="BB1849" t="inlineStr">
        <is>
          <t>WARREN-WARD 4</t>
        </is>
      </c>
      <c r="BC1849" t="inlineStr">
        <is>
          <t>X</t>
        </is>
      </c>
      <c r="BD1849" t="inlineStr">
        <is>
          <t>X</t>
        </is>
      </c>
      <c r="BF1849" t="inlineStr">
        <is>
          <t>X</t>
        </is>
      </c>
      <c r="BG1849" t="inlineStr">
        <is>
          <t>X</t>
        </is>
      </c>
      <c r="BH1849" t="inlineStr">
        <is>
          <t>X</t>
        </is>
      </c>
      <c r="BK1849" t="inlineStr">
        <is>
          <t>X</t>
        </is>
      </c>
      <c r="BL1849" t="inlineStr">
        <is>
          <t>X</t>
        </is>
      </c>
      <c r="BS1849" t="inlineStr">
        <is>
          <t>X</t>
        </is>
      </c>
      <c r="BY1849" t="inlineStr">
        <is>
          <t>R</t>
        </is>
      </c>
      <c r="CA1849" t="inlineStr">
        <is>
          <t>X</t>
        </is>
      </c>
      <c r="CG1849" t="inlineStr">
        <is>
          <t>X</t>
        </is>
      </c>
      <c r="CH1849" t="inlineStr">
        <is>
          <t>R</t>
        </is>
      </c>
      <c r="CK1849" t="inlineStr">
        <is>
          <t>X</t>
        </is>
      </c>
      <c r="CN1849" t="inlineStr">
        <is>
          <t>X</t>
        </is>
      </c>
      <c r="CO1849" t="inlineStr">
        <is>
          <t>R</t>
        </is>
      </c>
      <c r="CP1849" t="inlineStr">
        <is>
          <t>X</t>
        </is>
      </c>
      <c r="CU1849" t="inlineStr">
        <is>
          <t>R</t>
        </is>
      </c>
      <c r="CV1849" t="inlineStr">
        <is>
          <t>X</t>
        </is>
      </c>
      <c r="CY1849" t="inlineStr">
        <is>
          <t>X</t>
        </is>
      </c>
      <c r="CZ1849" t="inlineStr">
        <is>
          <t>R</t>
        </is>
      </c>
      <c r="DC1849" t="inlineStr">
        <is>
          <t>X</t>
        </is>
      </c>
      <c r="DF1849" t="inlineStr">
        <is>
          <t>X</t>
        </is>
      </c>
      <c r="DI1849" t="inlineStr">
        <is>
          <t>X</t>
        </is>
      </c>
      <c r="DN1849" t="inlineStr">
        <is>
          <t>X</t>
        </is>
      </c>
    </row>
    <row r="1850">
      <c r="A1850" t="inlineStr">
        <is>
          <t>OH0015766313</t>
        </is>
      </c>
      <c r="B1850" t="n">
        <v>78</v>
      </c>
      <c r="C1850" t="n">
        <v>325917</v>
      </c>
      <c r="D1850" t="inlineStr">
        <is>
          <t>RUSH</t>
        </is>
      </c>
      <c r="E1850" t="inlineStr">
        <is>
          <t>RAYMOND</t>
        </is>
      </c>
      <c r="F1850">
        <f>CONCATENATE(D1850," ",LEFT(H1850,4),"T=",AU1850,"D=",AV1850,"R=",AW1850,"M=",AX1850,"L=",AY1850,"B=",AZ1850)</f>
        <v/>
      </c>
      <c r="G1850" t="inlineStr">
        <is>
          <t>DALE</t>
        </is>
      </c>
      <c r="I1850" t="inlineStr">
        <is>
          <t>1956-08-14</t>
        </is>
      </c>
      <c r="J1850" t="inlineStr">
        <is>
          <t>2022-04-07</t>
        </is>
      </c>
      <c r="K1850" t="inlineStr">
        <is>
          <t>ACTIVE</t>
        </is>
      </c>
      <c r="M1850" t="inlineStr">
        <is>
          <t>630 PAIGE AVE NE</t>
        </is>
      </c>
      <c r="N1850">
        <f>RIGHT(M1850,LEN(M1850)-FIND(" ",M1850))</f>
        <v/>
      </c>
      <c r="P1850" t="inlineStr">
        <is>
          <t>WARREN</t>
        </is>
      </c>
      <c r="Q1850" t="inlineStr">
        <is>
          <t>OH</t>
        </is>
      </c>
      <c r="R1850" t="n">
        <v>44483</v>
      </c>
      <c r="AD1850" t="inlineStr">
        <is>
          <t>TRUMBULL CAREER &amp; TECH CENTER</t>
        </is>
      </c>
      <c r="AE1850" t="inlineStr">
        <is>
          <t>WARREN CITY</t>
        </is>
      </c>
      <c r="AF1850" t="inlineStr">
        <is>
          <t>WARREN CITY SD</t>
        </is>
      </c>
      <c r="AH1850" t="n">
        <v>14</v>
      </c>
      <c r="AI1850" t="n">
        <v>11</v>
      </c>
      <c r="AN1850" t="inlineStr">
        <is>
          <t>WARREN</t>
        </is>
      </c>
      <c r="AO1850" t="inlineStr">
        <is>
          <t>WARREN CITY 4D</t>
        </is>
      </c>
      <c r="AP1850" t="inlineStr">
        <is>
          <t>78-P-ADL</t>
        </is>
      </c>
      <c r="AQ1850" t="n">
        <v>9</v>
      </c>
      <c r="AR1850" t="n">
        <v>64</v>
      </c>
      <c r="AS1850" t="n">
        <v>32</v>
      </c>
      <c r="AU1850">
        <f>COUNTA($BA$1850:$EH$1850)</f>
        <v/>
      </c>
      <c r="AV1850">
        <f>COUNTIF($BA$1850:$EH$1850,"D")</f>
        <v/>
      </c>
      <c r="AW1850">
        <f>COUNTIF($BA$1850:$EH$1850,"R")</f>
        <v/>
      </c>
      <c r="AX1850">
        <f>IF(BN1850="D",1,0)+IF(BO1850="D",1,0)+IF(BT1850="D",1,0)+IF(BU1850="D",1,0)+IF(BW1850="D",1,0)+IF(CC1850="D",1,0)+IF(CD1850="D",1,0)+IF(CE1850="D",1,0)+IF(CF1850="D",1,0)+IF(CL1850="D",1,0)+IF(CM1850="D",1,0)+IF(CQ1850="D",1,0)+IF(CR1850="D",1,0)+IF(CS1850="D",1,0)+IF(CW1850="D",1,0)+IF(CX1850="D",1,0)+IF(DD1850="D",1,0)+IF(DE1850="D",1,0)+IF(DJ1850="D",1,0)+IF(DK1850="D",1,0)+IF(DO1850="D",1,0)+IF(DP1850="D",1,0)+IF(DQ1850="D",1,0)+IF(DW1850="D",1,0)+IF(DZ1850="D",1,0)+IF(EH1850="D",1,0)</f>
        <v/>
      </c>
      <c r="AY1850">
        <f>IF(DJ1850&lt;&gt;"",1,0)+IF(DK1850&lt;&gt;"",1,0)+IF(DM1850&lt;&gt;"",1,0)+IF(DO1850&lt;&gt;"",1,0)+IF(DP1850&lt;&gt;"",1,0)+IF(DQ1850&lt;&gt;"",1,0)+IF(DS1850&lt;&gt;"",1,0)+IF(DT1850&lt;&gt;"",1,0)+IF(DV1850&lt;&gt;"",1,0)+IF(DW1850&lt;&gt;"",1,0)+IF(DX1850&lt;&gt;"",1,0)+IF(DY1850&lt;&gt;"",1,0)+IF(DZ1850&lt;&gt;"",1,0)+IF(EB1850&lt;&gt;"",1,0)+IF(EC1850&lt;&gt;"",1,0)+IF(ED1850&lt;&gt;"",1,0)+IF(EG1850&lt;&gt;"",1,0)+IF(EH1850&lt;&gt;"",1,0)</f>
        <v/>
      </c>
      <c r="AZ1850">
        <f>IF(EH1850&lt;&gt;"",1,0)</f>
        <v/>
      </c>
      <c r="BB1850" t="inlineStr">
        <is>
          <t>WARREN-WARD 4</t>
        </is>
      </c>
      <c r="BL1850" t="inlineStr">
        <is>
          <t>X</t>
        </is>
      </c>
      <c r="BP1850" t="inlineStr">
        <is>
          <t>X</t>
        </is>
      </c>
      <c r="BR1850" t="inlineStr">
        <is>
          <t>X</t>
        </is>
      </c>
      <c r="BS1850" t="inlineStr">
        <is>
          <t>X</t>
        </is>
      </c>
      <c r="BT1850" t="inlineStr">
        <is>
          <t>X</t>
        </is>
      </c>
      <c r="BV1850" t="inlineStr">
        <is>
          <t>X</t>
        </is>
      </c>
      <c r="BY1850" t="inlineStr">
        <is>
          <t>D</t>
        </is>
      </c>
      <c r="CA1850" t="inlineStr">
        <is>
          <t>X</t>
        </is>
      </c>
      <c r="CP1850" t="inlineStr">
        <is>
          <t>X</t>
        </is>
      </c>
      <c r="DC1850" t="inlineStr">
        <is>
          <t>X</t>
        </is>
      </c>
    </row>
    <row r="1851">
      <c r="A1851" t="inlineStr">
        <is>
          <t>OH0022273767</t>
        </is>
      </c>
      <c r="B1851" t="n">
        <v>78</v>
      </c>
      <c r="C1851" t="n">
        <v>387495</v>
      </c>
      <c r="D1851" t="inlineStr">
        <is>
          <t>GIBSON</t>
        </is>
      </c>
      <c r="E1851" t="inlineStr">
        <is>
          <t>LEON</t>
        </is>
      </c>
      <c r="F1851">
        <f>CONCATENATE(D1851," ",LEFT(H1851,4),"T=",AU1851,"D=",AV1851,"R=",AW1851,"M=",AX1851,"L=",AY1851,"B=",AZ1851)</f>
        <v/>
      </c>
      <c r="G1851" t="inlineStr">
        <is>
          <t>M</t>
        </is>
      </c>
      <c r="H1851" t="inlineStr">
        <is>
          <t>SR</t>
        </is>
      </c>
      <c r="I1851" t="inlineStr">
        <is>
          <t>1981-12-18</t>
        </is>
      </c>
      <c r="J1851" t="inlineStr">
        <is>
          <t>2015-04-13</t>
        </is>
      </c>
      <c r="K1851" t="inlineStr">
        <is>
          <t>CONFIRMATION</t>
        </is>
      </c>
      <c r="M1851" t="inlineStr">
        <is>
          <t>275 LAIRD AVE NE</t>
        </is>
      </c>
      <c r="N1851">
        <f>RIGHT(M1851,LEN(M1851)-FIND(" ",M1851))</f>
        <v/>
      </c>
      <c r="P1851" t="inlineStr">
        <is>
          <t>WARREN</t>
        </is>
      </c>
      <c r="Q1851" t="inlineStr">
        <is>
          <t>OH</t>
        </is>
      </c>
      <c r="R1851" t="n">
        <v>44483</v>
      </c>
      <c r="AD1851" t="inlineStr">
        <is>
          <t>TRUMBULL CAREER &amp; TECH CENTER</t>
        </is>
      </c>
      <c r="AE1851" t="inlineStr">
        <is>
          <t>WARREN CITY</t>
        </is>
      </c>
      <c r="AF1851" t="inlineStr">
        <is>
          <t>WARREN CITY SD</t>
        </is>
      </c>
      <c r="AH1851" t="n">
        <v>14</v>
      </c>
      <c r="AI1851" t="n">
        <v>11</v>
      </c>
      <c r="AN1851" t="inlineStr">
        <is>
          <t>WARREN</t>
        </is>
      </c>
      <c r="AO1851" t="inlineStr">
        <is>
          <t>WARREN CITY 4D</t>
        </is>
      </c>
      <c r="AP1851" t="inlineStr">
        <is>
          <t>78-P-ADL</t>
        </is>
      </c>
      <c r="AQ1851" t="n">
        <v>9</v>
      </c>
      <c r="AR1851" t="n">
        <v>64</v>
      </c>
      <c r="AS1851" t="n">
        <v>32</v>
      </c>
      <c r="AU1851">
        <f>COUNTA($BA$1851:$EH$1851)</f>
        <v/>
      </c>
      <c r="AV1851">
        <f>COUNTIF($BA$1851:$EH$1851,"D")</f>
        <v/>
      </c>
      <c r="AW1851">
        <f>COUNTIF($BA$1851:$EH$1851,"R")</f>
        <v/>
      </c>
      <c r="AX1851">
        <f>IF(BN1851="D",1,0)+IF(BO1851="D",1,0)+IF(BT1851="D",1,0)+IF(BU1851="D",1,0)+IF(BW1851="D",1,0)+IF(CC1851="D",1,0)+IF(CD1851="D",1,0)+IF(CE1851="D",1,0)+IF(CF1851="D",1,0)+IF(CL1851="D",1,0)+IF(CM1851="D",1,0)+IF(CQ1851="D",1,0)+IF(CR1851="D",1,0)+IF(CS1851="D",1,0)+IF(CW1851="D",1,0)+IF(CX1851="D",1,0)+IF(DD1851="D",1,0)+IF(DE1851="D",1,0)+IF(DJ1851="D",1,0)+IF(DK1851="D",1,0)+IF(DO1851="D",1,0)+IF(DP1851="D",1,0)+IF(DQ1851="D",1,0)+IF(DW1851="D",1,0)+IF(DZ1851="D",1,0)+IF(EH1851="D",1,0)</f>
        <v/>
      </c>
      <c r="AY1851">
        <f>IF(DJ1851&lt;&gt;"",1,0)+IF(DK1851&lt;&gt;"",1,0)+IF(DM1851&lt;&gt;"",1,0)+IF(DO1851&lt;&gt;"",1,0)+IF(DP1851&lt;&gt;"",1,0)+IF(DQ1851&lt;&gt;"",1,0)+IF(DS1851&lt;&gt;"",1,0)+IF(DT1851&lt;&gt;"",1,0)+IF(DV1851&lt;&gt;"",1,0)+IF(DW1851&lt;&gt;"",1,0)+IF(DX1851&lt;&gt;"",1,0)+IF(DY1851&lt;&gt;"",1,0)+IF(DZ1851&lt;&gt;"",1,0)+IF(EB1851&lt;&gt;"",1,0)+IF(EC1851&lt;&gt;"",1,0)+IF(ED1851&lt;&gt;"",1,0)+IF(EG1851&lt;&gt;"",1,0)+IF(EH1851&lt;&gt;"",1,0)</f>
        <v/>
      </c>
      <c r="AZ1851">
        <f>IF(EH1851&lt;&gt;"",1,0)</f>
        <v/>
      </c>
      <c r="BB1851" t="inlineStr">
        <is>
          <t>WARREN-WARD 4</t>
        </is>
      </c>
    </row>
    <row r="1852">
      <c r="A1852" t="inlineStr">
        <is>
          <t>OH0022810566</t>
        </is>
      </c>
      <c r="B1852" t="n">
        <v>78</v>
      </c>
      <c r="C1852" t="n">
        <v>402672</v>
      </c>
      <c r="D1852" t="inlineStr">
        <is>
          <t>BEACHUM</t>
        </is>
      </c>
      <c r="E1852" t="inlineStr">
        <is>
          <t>TYARA</t>
        </is>
      </c>
      <c r="F1852">
        <f>CONCATENATE(D1852," ",LEFT(H1852,4),"T=",AU1852,"D=",AV1852,"R=",AW1852,"M=",AX1852,"L=",AY1852,"B=",AZ1852)</f>
        <v/>
      </c>
      <c r="G1852" t="inlineStr">
        <is>
          <t>A</t>
        </is>
      </c>
      <c r="I1852" t="inlineStr">
        <is>
          <t>1995-06-13</t>
        </is>
      </c>
      <c r="J1852" t="inlineStr">
        <is>
          <t>2023-12-12</t>
        </is>
      </c>
      <c r="K1852" t="inlineStr">
        <is>
          <t>ACTIVE</t>
        </is>
      </c>
      <c r="M1852" t="inlineStr">
        <is>
          <t>129 ELM RD NE</t>
        </is>
      </c>
      <c r="N1852">
        <f>RIGHT(M1852,LEN(M1852)-FIND(" ",M1852))</f>
        <v/>
      </c>
      <c r="P1852" t="inlineStr">
        <is>
          <t>WARREN</t>
        </is>
      </c>
      <c r="Q1852" t="inlineStr">
        <is>
          <t>OH</t>
        </is>
      </c>
      <c r="R1852" t="n">
        <v>44483</v>
      </c>
      <c r="AD1852" t="inlineStr">
        <is>
          <t>TRUMBULL CAREER &amp; TECH CENTER</t>
        </is>
      </c>
      <c r="AE1852" t="inlineStr">
        <is>
          <t>WARREN CITY</t>
        </is>
      </c>
      <c r="AF1852" t="inlineStr">
        <is>
          <t>WARREN CITY SD</t>
        </is>
      </c>
      <c r="AH1852" t="n">
        <v>14</v>
      </c>
      <c r="AI1852" t="n">
        <v>11</v>
      </c>
      <c r="AN1852" t="inlineStr">
        <is>
          <t>WARREN</t>
        </is>
      </c>
      <c r="AO1852" t="inlineStr">
        <is>
          <t>WARREN CITY 4D</t>
        </is>
      </c>
      <c r="AP1852" t="inlineStr">
        <is>
          <t>78-P-ADL</t>
        </is>
      </c>
      <c r="AQ1852" t="n">
        <v>9</v>
      </c>
      <c r="AR1852" t="n">
        <v>64</v>
      </c>
      <c r="AS1852" t="n">
        <v>32</v>
      </c>
      <c r="AU1852">
        <f>COUNTA($BA$1852:$EH$1852)</f>
        <v/>
      </c>
      <c r="AV1852">
        <f>COUNTIF($BA$1852:$EH$1852,"D")</f>
        <v/>
      </c>
      <c r="AW1852">
        <f>COUNTIF($BA$1852:$EH$1852,"R")</f>
        <v/>
      </c>
      <c r="AX1852">
        <f>IF(BN1852="D",1,0)+IF(BO1852="D",1,0)+IF(BT1852="D",1,0)+IF(BU1852="D",1,0)+IF(BW1852="D",1,0)+IF(CC1852="D",1,0)+IF(CD1852="D",1,0)+IF(CE1852="D",1,0)+IF(CF1852="D",1,0)+IF(CL1852="D",1,0)+IF(CM1852="D",1,0)+IF(CQ1852="D",1,0)+IF(CR1852="D",1,0)+IF(CS1852="D",1,0)+IF(CW1852="D",1,0)+IF(CX1852="D",1,0)+IF(DD1852="D",1,0)+IF(DE1852="D",1,0)+IF(DJ1852="D",1,0)+IF(DK1852="D",1,0)+IF(DO1852="D",1,0)+IF(DP1852="D",1,0)+IF(DQ1852="D",1,0)+IF(DW1852="D",1,0)+IF(DZ1852="D",1,0)+IF(EH1852="D",1,0)</f>
        <v/>
      </c>
      <c r="AY1852">
        <f>IF(DJ1852&lt;&gt;"",1,0)+IF(DK1852&lt;&gt;"",1,0)+IF(DM1852&lt;&gt;"",1,0)+IF(DO1852&lt;&gt;"",1,0)+IF(DP1852&lt;&gt;"",1,0)+IF(DQ1852&lt;&gt;"",1,0)+IF(DS1852&lt;&gt;"",1,0)+IF(DT1852&lt;&gt;"",1,0)+IF(DV1852&lt;&gt;"",1,0)+IF(DW1852&lt;&gt;"",1,0)+IF(DX1852&lt;&gt;"",1,0)+IF(DY1852&lt;&gt;"",1,0)+IF(DZ1852&lt;&gt;"",1,0)+IF(EB1852&lt;&gt;"",1,0)+IF(EC1852&lt;&gt;"",1,0)+IF(ED1852&lt;&gt;"",1,0)+IF(EG1852&lt;&gt;"",1,0)+IF(EH1852&lt;&gt;"",1,0)</f>
        <v/>
      </c>
      <c r="AZ1852">
        <f>IF(EH1852&lt;&gt;"",1,0)</f>
        <v/>
      </c>
      <c r="BB1852" t="inlineStr">
        <is>
          <t>WARREN-WARD 4</t>
        </is>
      </c>
      <c r="DN1852" t="inlineStr">
        <is>
          <t>X</t>
        </is>
      </c>
      <c r="EA1852" t="inlineStr">
        <is>
          <t>X</t>
        </is>
      </c>
    </row>
    <row r="1853">
      <c r="A1853" t="inlineStr">
        <is>
          <t>OH0022776945</t>
        </is>
      </c>
      <c r="B1853" t="n">
        <v>78</v>
      </c>
      <c r="C1853" t="n">
        <v>402011</v>
      </c>
      <c r="D1853" t="inlineStr">
        <is>
          <t>SEARLES</t>
        </is>
      </c>
      <c r="E1853" t="inlineStr">
        <is>
          <t>KATHY</t>
        </is>
      </c>
      <c r="F1853">
        <f>CONCATENATE(D1853," ",LEFT(H1853,4),"T=",AU1853,"D=",AV1853,"R=",AW1853,"M=",AX1853,"L=",AY1853,"B=",AZ1853)</f>
        <v/>
      </c>
      <c r="G1853" t="inlineStr">
        <is>
          <t>LYNN</t>
        </is>
      </c>
      <c r="I1853" t="inlineStr">
        <is>
          <t>1963-06-18</t>
        </is>
      </c>
      <c r="J1853" t="inlineStr">
        <is>
          <t>2018-08-08</t>
        </is>
      </c>
      <c r="K1853" t="inlineStr">
        <is>
          <t>ACTIVE</t>
        </is>
      </c>
      <c r="M1853" t="inlineStr">
        <is>
          <t>302 MAHONING CT NW</t>
        </is>
      </c>
      <c r="N1853">
        <f>RIGHT(M1853,LEN(M1853)-FIND(" ",M1853))</f>
        <v/>
      </c>
      <c r="P1853" t="inlineStr">
        <is>
          <t>WARREN</t>
        </is>
      </c>
      <c r="Q1853" t="inlineStr">
        <is>
          <t>OH</t>
        </is>
      </c>
      <c r="R1853" t="n">
        <v>44483</v>
      </c>
      <c r="AD1853" t="inlineStr">
        <is>
          <t>TRUMBULL CAREER &amp; TECH CENTER</t>
        </is>
      </c>
      <c r="AE1853" t="inlineStr">
        <is>
          <t>WARREN CITY</t>
        </is>
      </c>
      <c r="AF1853" t="inlineStr">
        <is>
          <t>WARREN CITY SD</t>
        </is>
      </c>
      <c r="AH1853" t="n">
        <v>14</v>
      </c>
      <c r="AI1853" t="n">
        <v>11</v>
      </c>
      <c r="AN1853" t="inlineStr">
        <is>
          <t>WARREN</t>
        </is>
      </c>
      <c r="AO1853" t="inlineStr">
        <is>
          <t>WARREN CITY 4D</t>
        </is>
      </c>
      <c r="AP1853" t="inlineStr">
        <is>
          <t>78-P-ADL</t>
        </is>
      </c>
      <c r="AQ1853" t="n">
        <v>9</v>
      </c>
      <c r="AR1853" t="n">
        <v>64</v>
      </c>
      <c r="AS1853" t="n">
        <v>32</v>
      </c>
      <c r="AU1853">
        <f>COUNTA($BA$1853:$EH$1853)</f>
        <v/>
      </c>
      <c r="AV1853">
        <f>COUNTIF($BA$1853:$EH$1853,"D")</f>
        <v/>
      </c>
      <c r="AW1853">
        <f>COUNTIF($BA$1853:$EH$1853,"R")</f>
        <v/>
      </c>
      <c r="AX1853">
        <f>IF(BN1853="D",1,0)+IF(BO1853="D",1,0)+IF(BT1853="D",1,0)+IF(BU1853="D",1,0)+IF(BW1853="D",1,0)+IF(CC1853="D",1,0)+IF(CD1853="D",1,0)+IF(CE1853="D",1,0)+IF(CF1853="D",1,0)+IF(CL1853="D",1,0)+IF(CM1853="D",1,0)+IF(CQ1853="D",1,0)+IF(CR1853="D",1,0)+IF(CS1853="D",1,0)+IF(CW1853="D",1,0)+IF(CX1853="D",1,0)+IF(DD1853="D",1,0)+IF(DE1853="D",1,0)+IF(DJ1853="D",1,0)+IF(DK1853="D",1,0)+IF(DO1853="D",1,0)+IF(DP1853="D",1,0)+IF(DQ1853="D",1,0)+IF(DW1853="D",1,0)+IF(DZ1853="D",1,0)+IF(EH1853="D",1,0)</f>
        <v/>
      </c>
      <c r="AY1853">
        <f>IF(DJ1853&lt;&gt;"",1,0)+IF(DK1853&lt;&gt;"",1,0)+IF(DM1853&lt;&gt;"",1,0)+IF(DO1853&lt;&gt;"",1,0)+IF(DP1853&lt;&gt;"",1,0)+IF(DQ1853&lt;&gt;"",1,0)+IF(DS1853&lt;&gt;"",1,0)+IF(DT1853&lt;&gt;"",1,0)+IF(DV1853&lt;&gt;"",1,0)+IF(DW1853&lt;&gt;"",1,0)+IF(DX1853&lt;&gt;"",1,0)+IF(DY1853&lt;&gt;"",1,0)+IF(DZ1853&lt;&gt;"",1,0)+IF(EB1853&lt;&gt;"",1,0)+IF(EC1853&lt;&gt;"",1,0)+IF(ED1853&lt;&gt;"",1,0)+IF(EG1853&lt;&gt;"",1,0)+IF(EH1853&lt;&gt;"",1,0)</f>
        <v/>
      </c>
      <c r="AZ1853">
        <f>IF(EH1853&lt;&gt;"",1,0)</f>
        <v/>
      </c>
      <c r="BB1853" t="inlineStr">
        <is>
          <t>WARREN-WARD 4</t>
        </is>
      </c>
      <c r="DN1853" t="inlineStr">
        <is>
          <t>X</t>
        </is>
      </c>
      <c r="EF1853" t="inlineStr">
        <is>
          <t>X</t>
        </is>
      </c>
    </row>
    <row r="1854">
      <c r="A1854" t="inlineStr">
        <is>
          <t>OH0027143371</t>
        </is>
      </c>
      <c r="B1854" t="n">
        <v>78</v>
      </c>
      <c r="C1854" t="n">
        <v>477880</v>
      </c>
      <c r="D1854" t="inlineStr">
        <is>
          <t>ABDUL AZIZ</t>
        </is>
      </c>
      <c r="E1854" t="inlineStr">
        <is>
          <t>YAZMEEN</t>
        </is>
      </c>
      <c r="F1854">
        <f>CONCATENATE(D1854," ",LEFT(H1854,4),"T=",AU1854,"D=",AV1854,"R=",AW1854,"M=",AX1854,"L=",AY1854,"B=",AZ1854)</f>
        <v/>
      </c>
      <c r="G1854" t="inlineStr">
        <is>
          <t>N</t>
        </is>
      </c>
      <c r="I1854" t="inlineStr">
        <is>
          <t>2004-07-05</t>
        </is>
      </c>
      <c r="J1854" t="inlineStr">
        <is>
          <t>2023-11-03</t>
        </is>
      </c>
      <c r="K1854" t="inlineStr">
        <is>
          <t>ACTIVE</t>
        </is>
      </c>
      <c r="M1854" t="inlineStr">
        <is>
          <t>280 N PARK AVE</t>
        </is>
      </c>
      <c r="N1854">
        <f>RIGHT(M1854,LEN(M1854)-FIND(" ",M1854))</f>
        <v/>
      </c>
      <c r="P1854" t="inlineStr">
        <is>
          <t>WARREN</t>
        </is>
      </c>
      <c r="Q1854" t="inlineStr">
        <is>
          <t>OH</t>
        </is>
      </c>
      <c r="R1854" t="n">
        <v>44481</v>
      </c>
      <c r="AD1854" t="inlineStr">
        <is>
          <t>TRUMBULL CAREER &amp; TECH CENTER</t>
        </is>
      </c>
      <c r="AE1854" t="inlineStr">
        <is>
          <t>WARREN CITY</t>
        </is>
      </c>
      <c r="AF1854" t="inlineStr">
        <is>
          <t>WARREN CITY SD</t>
        </is>
      </c>
      <c r="AH1854" t="n">
        <v>14</v>
      </c>
      <c r="AI1854" t="n">
        <v>11</v>
      </c>
      <c r="AN1854" t="inlineStr">
        <is>
          <t>WARREN</t>
        </is>
      </c>
      <c r="AO1854" t="inlineStr">
        <is>
          <t>WARREN CITY 4D</t>
        </is>
      </c>
      <c r="AP1854" t="inlineStr">
        <is>
          <t>78-P-ADL</t>
        </is>
      </c>
      <c r="AQ1854" t="n">
        <v>9</v>
      </c>
      <c r="AR1854" t="n">
        <v>64</v>
      </c>
      <c r="AS1854" t="n">
        <v>32</v>
      </c>
      <c r="AU1854">
        <f>COUNTA($BA$1854:$EH$1854)</f>
        <v/>
      </c>
      <c r="AV1854">
        <f>COUNTIF($BA$1854:$EH$1854,"D")</f>
        <v/>
      </c>
      <c r="AW1854">
        <f>COUNTIF($BA$1854:$EH$1854,"R")</f>
        <v/>
      </c>
      <c r="AX1854">
        <f>IF(BN1854="D",1,0)+IF(BO1854="D",1,0)+IF(BT1854="D",1,0)+IF(BU1854="D",1,0)+IF(BW1854="D",1,0)+IF(CC1854="D",1,0)+IF(CD1854="D",1,0)+IF(CE1854="D",1,0)+IF(CF1854="D",1,0)+IF(CL1854="D",1,0)+IF(CM1854="D",1,0)+IF(CQ1854="D",1,0)+IF(CR1854="D",1,0)+IF(CS1854="D",1,0)+IF(CW1854="D",1,0)+IF(CX1854="D",1,0)+IF(DD1854="D",1,0)+IF(DE1854="D",1,0)+IF(DJ1854="D",1,0)+IF(DK1854="D",1,0)+IF(DO1854="D",1,0)+IF(DP1854="D",1,0)+IF(DQ1854="D",1,0)+IF(DW1854="D",1,0)+IF(DZ1854="D",1,0)+IF(EH1854="D",1,0)</f>
        <v/>
      </c>
      <c r="AY1854">
        <f>IF(DJ1854&lt;&gt;"",1,0)+IF(DK1854&lt;&gt;"",1,0)+IF(DM1854&lt;&gt;"",1,0)+IF(DO1854&lt;&gt;"",1,0)+IF(DP1854&lt;&gt;"",1,0)+IF(DQ1854&lt;&gt;"",1,0)+IF(DS1854&lt;&gt;"",1,0)+IF(DT1854&lt;&gt;"",1,0)+IF(DV1854&lt;&gt;"",1,0)+IF(DW1854&lt;&gt;"",1,0)+IF(DX1854&lt;&gt;"",1,0)+IF(DY1854&lt;&gt;"",1,0)+IF(DZ1854&lt;&gt;"",1,0)+IF(EB1854&lt;&gt;"",1,0)+IF(EC1854&lt;&gt;"",1,0)+IF(ED1854&lt;&gt;"",1,0)+IF(EG1854&lt;&gt;"",1,0)+IF(EH1854&lt;&gt;"",1,0)</f>
        <v/>
      </c>
      <c r="AZ1854">
        <f>IF(EH1854&lt;&gt;"",1,0)</f>
        <v/>
      </c>
      <c r="BB1854" t="inlineStr">
        <is>
          <t>WARREN-WARD 4</t>
        </is>
      </c>
    </row>
    <row r="1855">
      <c r="A1855" t="inlineStr">
        <is>
          <t>OH0023543230</t>
        </is>
      </c>
      <c r="B1855" t="n">
        <v>78</v>
      </c>
      <c r="C1855" t="n">
        <v>414537</v>
      </c>
      <c r="D1855" t="inlineStr">
        <is>
          <t>MCPHERSON</t>
        </is>
      </c>
      <c r="E1855" t="inlineStr">
        <is>
          <t>MONIKA</t>
        </is>
      </c>
      <c r="F1855">
        <f>CONCATENATE(D1855," ",LEFT(H1855,4),"T=",AU1855,"D=",AV1855,"R=",AW1855,"M=",AX1855,"L=",AY1855,"B=",AZ1855)</f>
        <v/>
      </c>
      <c r="G1855" t="inlineStr">
        <is>
          <t>E</t>
        </is>
      </c>
      <c r="I1855" t="inlineStr">
        <is>
          <t>1998-04-09</t>
        </is>
      </c>
      <c r="J1855" t="inlineStr">
        <is>
          <t>2024-09-19</t>
        </is>
      </c>
      <c r="K1855" t="inlineStr">
        <is>
          <t>ACTIVE</t>
        </is>
      </c>
      <c r="M1855" t="inlineStr">
        <is>
          <t>339 VINE AVE NE</t>
        </is>
      </c>
      <c r="N1855">
        <f>RIGHT(M1855,LEN(M1855)-FIND(" ",M1855))</f>
        <v/>
      </c>
      <c r="O1855" t="inlineStr">
        <is>
          <t>APT B</t>
        </is>
      </c>
      <c r="P1855" t="inlineStr">
        <is>
          <t>WARREN</t>
        </is>
      </c>
      <c r="Q1855" t="inlineStr">
        <is>
          <t>OH</t>
        </is>
      </c>
      <c r="R1855" t="n">
        <v>44483</v>
      </c>
      <c r="AD1855" t="inlineStr">
        <is>
          <t>TRUMBULL CAREER &amp; TECH CENTER</t>
        </is>
      </c>
      <c r="AE1855" t="inlineStr">
        <is>
          <t>WARREN CITY</t>
        </is>
      </c>
      <c r="AF1855" t="inlineStr">
        <is>
          <t>WARREN CITY SD</t>
        </is>
      </c>
      <c r="AH1855" t="n">
        <v>14</v>
      </c>
      <c r="AI1855" t="n">
        <v>11</v>
      </c>
      <c r="AN1855" t="inlineStr">
        <is>
          <t>WARREN</t>
        </is>
      </c>
      <c r="AO1855" t="inlineStr">
        <is>
          <t>WARREN CITY 4D</t>
        </is>
      </c>
      <c r="AP1855" t="inlineStr">
        <is>
          <t>78-P-ADL</t>
        </is>
      </c>
      <c r="AQ1855" t="n">
        <v>9</v>
      </c>
      <c r="AR1855" t="n">
        <v>64</v>
      </c>
      <c r="AS1855" t="n">
        <v>32</v>
      </c>
      <c r="AU1855">
        <f>COUNTA($BA$1855:$EH$1855)</f>
        <v/>
      </c>
      <c r="AV1855">
        <f>COUNTIF($BA$1855:$EH$1855,"D")</f>
        <v/>
      </c>
      <c r="AW1855">
        <f>COUNTIF($BA$1855:$EH$1855,"R")</f>
        <v/>
      </c>
      <c r="AX1855">
        <f>IF(BN1855="D",1,0)+IF(BO1855="D",1,0)+IF(BT1855="D",1,0)+IF(BU1855="D",1,0)+IF(BW1855="D",1,0)+IF(CC1855="D",1,0)+IF(CD1855="D",1,0)+IF(CE1855="D",1,0)+IF(CF1855="D",1,0)+IF(CL1855="D",1,0)+IF(CM1855="D",1,0)+IF(CQ1855="D",1,0)+IF(CR1855="D",1,0)+IF(CS1855="D",1,0)+IF(CW1855="D",1,0)+IF(CX1855="D",1,0)+IF(DD1855="D",1,0)+IF(DE1855="D",1,0)+IF(DJ1855="D",1,0)+IF(DK1855="D",1,0)+IF(DO1855="D",1,0)+IF(DP1855="D",1,0)+IF(DQ1855="D",1,0)+IF(DW1855="D",1,0)+IF(DZ1855="D",1,0)+IF(EH1855="D",1,0)</f>
        <v/>
      </c>
      <c r="AY1855">
        <f>IF(DJ1855&lt;&gt;"",1,0)+IF(DK1855&lt;&gt;"",1,0)+IF(DM1855&lt;&gt;"",1,0)+IF(DO1855&lt;&gt;"",1,0)+IF(DP1855&lt;&gt;"",1,0)+IF(DQ1855&lt;&gt;"",1,0)+IF(DS1855&lt;&gt;"",1,0)+IF(DT1855&lt;&gt;"",1,0)+IF(DV1855&lt;&gt;"",1,0)+IF(DW1855&lt;&gt;"",1,0)+IF(DX1855&lt;&gt;"",1,0)+IF(DY1855&lt;&gt;"",1,0)+IF(DZ1855&lt;&gt;"",1,0)+IF(EB1855&lt;&gt;"",1,0)+IF(EC1855&lt;&gt;"",1,0)+IF(ED1855&lt;&gt;"",1,0)+IF(EG1855&lt;&gt;"",1,0)+IF(EH1855&lt;&gt;"",1,0)</f>
        <v/>
      </c>
      <c r="AZ1855">
        <f>IF(EH1855&lt;&gt;"",1,0)</f>
        <v/>
      </c>
      <c r="BB1855" t="inlineStr">
        <is>
          <t>WARREN-WARD 4</t>
        </is>
      </c>
      <c r="DC1855" t="inlineStr">
        <is>
          <t>X</t>
        </is>
      </c>
      <c r="DN1855" t="inlineStr">
        <is>
          <t>X</t>
        </is>
      </c>
      <c r="EF1855" t="inlineStr">
        <is>
          <t>X</t>
        </is>
      </c>
    </row>
    <row r="1856">
      <c r="A1856" t="inlineStr">
        <is>
          <t>OH0026573796</t>
        </is>
      </c>
      <c r="B1856" t="n">
        <v>78</v>
      </c>
      <c r="C1856" t="n">
        <v>464459</v>
      </c>
      <c r="D1856" t="inlineStr">
        <is>
          <t>KAFANTARIS</t>
        </is>
      </c>
      <c r="E1856" t="inlineStr">
        <is>
          <t>THEOLOGOS</t>
        </is>
      </c>
      <c r="F1856">
        <f>CONCATENATE(D1856," ",LEFT(H1856,4),"T=",AU1856,"D=",AV1856,"R=",AW1856,"M=",AX1856,"L=",AY1856,"B=",AZ1856)</f>
        <v/>
      </c>
      <c r="I1856" t="inlineStr">
        <is>
          <t>1981-01-15</t>
        </is>
      </c>
      <c r="J1856" t="inlineStr">
        <is>
          <t>2022-07-27</t>
        </is>
      </c>
      <c r="K1856" t="inlineStr">
        <is>
          <t>ACTIVE</t>
        </is>
      </c>
      <c r="L1856" t="inlineStr">
        <is>
          <t>D</t>
        </is>
      </c>
      <c r="M1856" t="inlineStr">
        <is>
          <t>183 W MARKET ST</t>
        </is>
      </c>
      <c r="N1856">
        <f>RIGHT(M1856,LEN(M1856)-FIND(" ",M1856))</f>
        <v/>
      </c>
      <c r="O1856" t="inlineStr">
        <is>
          <t>APT UPPER</t>
        </is>
      </c>
      <c r="P1856" t="inlineStr">
        <is>
          <t>WARREN</t>
        </is>
      </c>
      <c r="Q1856" t="inlineStr">
        <is>
          <t>OH</t>
        </is>
      </c>
      <c r="R1856" t="n">
        <v>44481</v>
      </c>
      <c r="AD1856" t="inlineStr">
        <is>
          <t>TRUMBULL CAREER &amp; TECH CENTER</t>
        </is>
      </c>
      <c r="AE1856" t="inlineStr">
        <is>
          <t>WARREN CITY</t>
        </is>
      </c>
      <c r="AF1856" t="inlineStr">
        <is>
          <t>WARREN CITY SD</t>
        </is>
      </c>
      <c r="AH1856" t="n">
        <v>14</v>
      </c>
      <c r="AI1856" t="n">
        <v>11</v>
      </c>
      <c r="AN1856" t="inlineStr">
        <is>
          <t>WARREN</t>
        </is>
      </c>
      <c r="AO1856" t="inlineStr">
        <is>
          <t>WARREN CITY 4D</t>
        </is>
      </c>
      <c r="AP1856" t="inlineStr">
        <is>
          <t>78-P-ADL</t>
        </is>
      </c>
      <c r="AQ1856" t="n">
        <v>9</v>
      </c>
      <c r="AR1856" t="n">
        <v>64</v>
      </c>
      <c r="AS1856" t="n">
        <v>32</v>
      </c>
      <c r="AU1856">
        <f>COUNTA($BA$1856:$EH$1856)</f>
        <v/>
      </c>
      <c r="AV1856">
        <f>COUNTIF($BA$1856:$EH$1856,"D")</f>
        <v/>
      </c>
      <c r="AW1856">
        <f>COUNTIF($BA$1856:$EH$1856,"R")</f>
        <v/>
      </c>
      <c r="AX1856">
        <f>IF(BN1856="D",1,0)+IF(BO1856="D",1,0)+IF(BT1856="D",1,0)+IF(BU1856="D",1,0)+IF(BW1856="D",1,0)+IF(CC1856="D",1,0)+IF(CD1856="D",1,0)+IF(CE1856="D",1,0)+IF(CF1856="D",1,0)+IF(CL1856="D",1,0)+IF(CM1856="D",1,0)+IF(CQ1856="D",1,0)+IF(CR1856="D",1,0)+IF(CS1856="D",1,0)+IF(CW1856="D",1,0)+IF(CX1856="D",1,0)+IF(DD1856="D",1,0)+IF(DE1856="D",1,0)+IF(DJ1856="D",1,0)+IF(DK1856="D",1,0)+IF(DO1856="D",1,0)+IF(DP1856="D",1,0)+IF(DQ1856="D",1,0)+IF(DW1856="D",1,0)+IF(DZ1856="D",1,0)+IF(EH1856="D",1,0)</f>
        <v/>
      </c>
      <c r="AY1856">
        <f>IF(DJ1856&lt;&gt;"",1,0)+IF(DK1856&lt;&gt;"",1,0)+IF(DM1856&lt;&gt;"",1,0)+IF(DO1856&lt;&gt;"",1,0)+IF(DP1856&lt;&gt;"",1,0)+IF(DQ1856&lt;&gt;"",1,0)+IF(DS1856&lt;&gt;"",1,0)+IF(DT1856&lt;&gt;"",1,0)+IF(DV1856&lt;&gt;"",1,0)+IF(DW1856&lt;&gt;"",1,0)+IF(DX1856&lt;&gt;"",1,0)+IF(DY1856&lt;&gt;"",1,0)+IF(DZ1856&lt;&gt;"",1,0)+IF(EB1856&lt;&gt;"",1,0)+IF(EC1856&lt;&gt;"",1,0)+IF(ED1856&lt;&gt;"",1,0)+IF(EG1856&lt;&gt;"",1,0)+IF(EH1856&lt;&gt;"",1,0)</f>
        <v/>
      </c>
      <c r="AZ1856">
        <f>IF(EH1856&lt;&gt;"",1,0)</f>
        <v/>
      </c>
      <c r="BB1856" t="inlineStr">
        <is>
          <t>WARREN-WARD 4</t>
        </is>
      </c>
      <c r="DU1856" t="inlineStr">
        <is>
          <t>X</t>
        </is>
      </c>
      <c r="ED1856" t="inlineStr">
        <is>
          <t>D</t>
        </is>
      </c>
      <c r="EF1856" t="inlineStr">
        <is>
          <t>X</t>
        </is>
      </c>
    </row>
    <row r="1857">
      <c r="A1857" t="inlineStr">
        <is>
          <t>OH0015744569</t>
        </is>
      </c>
      <c r="B1857" t="n">
        <v>78</v>
      </c>
      <c r="C1857" t="n">
        <v>331022</v>
      </c>
      <c r="D1857" t="inlineStr">
        <is>
          <t>PENNOCK</t>
        </is>
      </c>
      <c r="E1857" t="inlineStr">
        <is>
          <t>KENYALE</t>
        </is>
      </c>
      <c r="F1857">
        <f>CONCATENATE(D1857," ",LEFT(H1857,4),"T=",AU1857,"D=",AV1857,"R=",AW1857,"M=",AX1857,"L=",AY1857,"B=",AZ1857)</f>
        <v/>
      </c>
      <c r="G1857" t="inlineStr">
        <is>
          <t>RANDALL</t>
        </is>
      </c>
      <c r="I1857" t="inlineStr">
        <is>
          <t>1986-08-27</t>
        </is>
      </c>
      <c r="J1857" t="inlineStr">
        <is>
          <t>2023-05-30</t>
        </is>
      </c>
      <c r="K1857" t="inlineStr">
        <is>
          <t>ACTIVE</t>
        </is>
      </c>
      <c r="M1857" t="inlineStr">
        <is>
          <t>1106 HARRISON ST NE</t>
        </is>
      </c>
      <c r="N1857">
        <f>RIGHT(M1857,LEN(M1857)-FIND(" ",M1857))</f>
        <v/>
      </c>
      <c r="P1857" t="inlineStr">
        <is>
          <t>WARREN</t>
        </is>
      </c>
      <c r="Q1857" t="inlineStr">
        <is>
          <t>OH</t>
        </is>
      </c>
      <c r="R1857" t="n">
        <v>44483</v>
      </c>
      <c r="AD1857" t="inlineStr">
        <is>
          <t>TRUMBULL CAREER &amp; TECH CENTER</t>
        </is>
      </c>
      <c r="AE1857" t="inlineStr">
        <is>
          <t>WARREN CITY</t>
        </is>
      </c>
      <c r="AF1857" t="inlineStr">
        <is>
          <t>WARREN CITY SD</t>
        </is>
      </c>
      <c r="AH1857" t="n">
        <v>14</v>
      </c>
      <c r="AI1857" t="n">
        <v>11</v>
      </c>
      <c r="AN1857" t="inlineStr">
        <is>
          <t>WARREN</t>
        </is>
      </c>
      <c r="AO1857" t="inlineStr">
        <is>
          <t>WARREN CITY 4D</t>
        </is>
      </c>
      <c r="AP1857" t="inlineStr">
        <is>
          <t>78-P-ADL</t>
        </is>
      </c>
      <c r="AQ1857" t="n">
        <v>9</v>
      </c>
      <c r="AR1857" t="n">
        <v>64</v>
      </c>
      <c r="AS1857" t="n">
        <v>32</v>
      </c>
      <c r="AU1857">
        <f>COUNTA($BA$1857:$EH$1857)</f>
        <v/>
      </c>
      <c r="AV1857">
        <f>COUNTIF($BA$1857:$EH$1857,"D")</f>
        <v/>
      </c>
      <c r="AW1857">
        <f>COUNTIF($BA$1857:$EH$1857,"R")</f>
        <v/>
      </c>
      <c r="AX1857">
        <f>IF(BN1857="D",1,0)+IF(BO1857="D",1,0)+IF(BT1857="D",1,0)+IF(BU1857="D",1,0)+IF(BW1857="D",1,0)+IF(CC1857="D",1,0)+IF(CD1857="D",1,0)+IF(CE1857="D",1,0)+IF(CF1857="D",1,0)+IF(CL1857="D",1,0)+IF(CM1857="D",1,0)+IF(CQ1857="D",1,0)+IF(CR1857="D",1,0)+IF(CS1857="D",1,0)+IF(CW1857="D",1,0)+IF(CX1857="D",1,0)+IF(DD1857="D",1,0)+IF(DE1857="D",1,0)+IF(DJ1857="D",1,0)+IF(DK1857="D",1,0)+IF(DO1857="D",1,0)+IF(DP1857="D",1,0)+IF(DQ1857="D",1,0)+IF(DW1857="D",1,0)+IF(DZ1857="D",1,0)+IF(EH1857="D",1,0)</f>
        <v/>
      </c>
      <c r="AY1857">
        <f>IF(DJ1857&lt;&gt;"",1,0)+IF(DK1857&lt;&gt;"",1,0)+IF(DM1857&lt;&gt;"",1,0)+IF(DO1857&lt;&gt;"",1,0)+IF(DP1857&lt;&gt;"",1,0)+IF(DQ1857&lt;&gt;"",1,0)+IF(DS1857&lt;&gt;"",1,0)+IF(DT1857&lt;&gt;"",1,0)+IF(DV1857&lt;&gt;"",1,0)+IF(DW1857&lt;&gt;"",1,0)+IF(DX1857&lt;&gt;"",1,0)+IF(DY1857&lt;&gt;"",1,0)+IF(DZ1857&lt;&gt;"",1,0)+IF(EB1857&lt;&gt;"",1,0)+IF(EC1857&lt;&gt;"",1,0)+IF(ED1857&lt;&gt;"",1,0)+IF(EG1857&lt;&gt;"",1,0)+IF(EH1857&lt;&gt;"",1,0)</f>
        <v/>
      </c>
      <c r="AZ1857">
        <f>IF(EH1857&lt;&gt;"",1,0)</f>
        <v/>
      </c>
      <c r="BB1857" t="inlineStr">
        <is>
          <t>WARREN-WARD 4</t>
        </is>
      </c>
      <c r="BL1857" t="inlineStr">
        <is>
          <t>X</t>
        </is>
      </c>
      <c r="BS1857" t="inlineStr">
        <is>
          <t>X</t>
        </is>
      </c>
      <c r="CA1857" t="inlineStr">
        <is>
          <t>X</t>
        </is>
      </c>
      <c r="DC1857" t="inlineStr">
        <is>
          <t>X</t>
        </is>
      </c>
      <c r="EF1857" t="inlineStr">
        <is>
          <t>X</t>
        </is>
      </c>
    </row>
    <row r="1858">
      <c r="A1858" t="inlineStr">
        <is>
          <t>OH0023457173</t>
        </is>
      </c>
      <c r="B1858" t="n">
        <v>78</v>
      </c>
      <c r="C1858" t="n">
        <v>411784</v>
      </c>
      <c r="D1858" t="inlineStr">
        <is>
          <t>VINTSON</t>
        </is>
      </c>
      <c r="E1858" t="inlineStr">
        <is>
          <t>ANTONIO</t>
        </is>
      </c>
      <c r="F1858">
        <f>CONCATENATE(D1858," ",LEFT(H1858,4),"T=",AU1858,"D=",AV1858,"R=",AW1858,"M=",AX1858,"L=",AY1858,"B=",AZ1858)</f>
        <v/>
      </c>
      <c r="G1858" t="inlineStr">
        <is>
          <t>RODREQUS</t>
        </is>
      </c>
      <c r="H1858" t="inlineStr">
        <is>
          <t>SR</t>
        </is>
      </c>
      <c r="I1858" t="inlineStr">
        <is>
          <t>1976-05-27</t>
        </is>
      </c>
      <c r="J1858" t="inlineStr">
        <is>
          <t>2016-06-03</t>
        </is>
      </c>
      <c r="K1858" t="inlineStr">
        <is>
          <t>CONFIRMATION</t>
        </is>
      </c>
      <c r="M1858" t="inlineStr">
        <is>
          <t>438 N PARK AVE</t>
        </is>
      </c>
      <c r="N1858">
        <f>RIGHT(M1858,LEN(M1858)-FIND(" ",M1858))</f>
        <v/>
      </c>
      <c r="O1858" t="inlineStr">
        <is>
          <t>APT 6</t>
        </is>
      </c>
      <c r="P1858" t="inlineStr">
        <is>
          <t>WARREN</t>
        </is>
      </c>
      <c r="Q1858" t="inlineStr">
        <is>
          <t>OH</t>
        </is>
      </c>
      <c r="R1858" t="n">
        <v>44481</v>
      </c>
      <c r="AD1858" t="inlineStr">
        <is>
          <t>TRUMBULL CAREER &amp; TECH CENTER</t>
        </is>
      </c>
      <c r="AE1858" t="inlineStr">
        <is>
          <t>WARREN CITY</t>
        </is>
      </c>
      <c r="AF1858" t="inlineStr">
        <is>
          <t>WARREN CITY SD</t>
        </is>
      </c>
      <c r="AH1858" t="n">
        <v>14</v>
      </c>
      <c r="AI1858" t="n">
        <v>11</v>
      </c>
      <c r="AN1858" t="inlineStr">
        <is>
          <t>WARREN</t>
        </is>
      </c>
      <c r="AO1858" t="inlineStr">
        <is>
          <t>WARREN CITY 4D</t>
        </is>
      </c>
      <c r="AP1858" t="inlineStr">
        <is>
          <t>78-P-ADL</t>
        </is>
      </c>
      <c r="AQ1858" t="n">
        <v>9</v>
      </c>
      <c r="AR1858" t="n">
        <v>64</v>
      </c>
      <c r="AS1858" t="n">
        <v>32</v>
      </c>
      <c r="AU1858">
        <f>COUNTA($BA$1858:$EH$1858)</f>
        <v/>
      </c>
      <c r="AV1858">
        <f>COUNTIF($BA$1858:$EH$1858,"D")</f>
        <v/>
      </c>
      <c r="AW1858">
        <f>COUNTIF($BA$1858:$EH$1858,"R")</f>
        <v/>
      </c>
      <c r="AX1858">
        <f>IF(BN1858="D",1,0)+IF(BO1858="D",1,0)+IF(BT1858="D",1,0)+IF(BU1858="D",1,0)+IF(BW1858="D",1,0)+IF(CC1858="D",1,0)+IF(CD1858="D",1,0)+IF(CE1858="D",1,0)+IF(CF1858="D",1,0)+IF(CL1858="D",1,0)+IF(CM1858="D",1,0)+IF(CQ1858="D",1,0)+IF(CR1858="D",1,0)+IF(CS1858="D",1,0)+IF(CW1858="D",1,0)+IF(CX1858="D",1,0)+IF(DD1858="D",1,0)+IF(DE1858="D",1,0)+IF(DJ1858="D",1,0)+IF(DK1858="D",1,0)+IF(DO1858="D",1,0)+IF(DP1858="D",1,0)+IF(DQ1858="D",1,0)+IF(DW1858="D",1,0)+IF(DZ1858="D",1,0)+IF(EH1858="D",1,0)</f>
        <v/>
      </c>
      <c r="AY1858">
        <f>IF(DJ1858&lt;&gt;"",1,0)+IF(DK1858&lt;&gt;"",1,0)+IF(DM1858&lt;&gt;"",1,0)+IF(DO1858&lt;&gt;"",1,0)+IF(DP1858&lt;&gt;"",1,0)+IF(DQ1858&lt;&gt;"",1,0)+IF(DS1858&lt;&gt;"",1,0)+IF(DT1858&lt;&gt;"",1,0)+IF(DV1858&lt;&gt;"",1,0)+IF(DW1858&lt;&gt;"",1,0)+IF(DX1858&lt;&gt;"",1,0)+IF(DY1858&lt;&gt;"",1,0)+IF(DZ1858&lt;&gt;"",1,0)+IF(EB1858&lt;&gt;"",1,0)+IF(EC1858&lt;&gt;"",1,0)+IF(ED1858&lt;&gt;"",1,0)+IF(EG1858&lt;&gt;"",1,0)+IF(EH1858&lt;&gt;"",1,0)</f>
        <v/>
      </c>
      <c r="AZ1858">
        <f>IF(EH1858&lt;&gt;"",1,0)</f>
        <v/>
      </c>
      <c r="BB1858" t="inlineStr">
        <is>
          <t>WARREN-WARD 4</t>
        </is>
      </c>
    </row>
    <row r="1859">
      <c r="A1859" t="inlineStr">
        <is>
          <t>OH0021296787</t>
        </is>
      </c>
      <c r="B1859" t="n">
        <v>78</v>
      </c>
      <c r="C1859" t="n">
        <v>378480</v>
      </c>
      <c r="D1859" t="inlineStr">
        <is>
          <t>MILLESON</t>
        </is>
      </c>
      <c r="E1859" t="inlineStr">
        <is>
          <t>KEVIN</t>
        </is>
      </c>
      <c r="F1859">
        <f>CONCATENATE(D1859," ",LEFT(H1859,4),"T=",AU1859,"D=",AV1859,"R=",AW1859,"M=",AX1859,"L=",AY1859,"B=",AZ1859)</f>
        <v/>
      </c>
      <c r="G1859" t="inlineStr">
        <is>
          <t>A</t>
        </is>
      </c>
      <c r="H1859" t="inlineStr">
        <is>
          <t>SR</t>
        </is>
      </c>
      <c r="I1859" t="inlineStr">
        <is>
          <t>1981-12-08</t>
        </is>
      </c>
      <c r="J1859" t="inlineStr">
        <is>
          <t>2016-01-16</t>
        </is>
      </c>
      <c r="K1859" t="inlineStr">
        <is>
          <t>CONFIRMATION</t>
        </is>
      </c>
      <c r="M1859" t="inlineStr">
        <is>
          <t>1045 HARRISON ST NE</t>
        </is>
      </c>
      <c r="N1859">
        <f>RIGHT(M1859,LEN(M1859)-FIND(" ",M1859))</f>
        <v/>
      </c>
      <c r="P1859" t="inlineStr">
        <is>
          <t>WARREN</t>
        </is>
      </c>
      <c r="Q1859" t="inlineStr">
        <is>
          <t>OH</t>
        </is>
      </c>
      <c r="R1859" t="n">
        <v>44483</v>
      </c>
      <c r="AD1859" t="inlineStr">
        <is>
          <t>TRUMBULL CAREER &amp; TECH CENTER</t>
        </is>
      </c>
      <c r="AE1859" t="inlineStr">
        <is>
          <t>WARREN CITY</t>
        </is>
      </c>
      <c r="AF1859" t="inlineStr">
        <is>
          <t>WARREN CITY SD</t>
        </is>
      </c>
      <c r="AH1859" t="n">
        <v>14</v>
      </c>
      <c r="AI1859" t="n">
        <v>11</v>
      </c>
      <c r="AN1859" t="inlineStr">
        <is>
          <t>WARREN</t>
        </is>
      </c>
      <c r="AO1859" t="inlineStr">
        <is>
          <t>WARREN CITY 4D</t>
        </is>
      </c>
      <c r="AP1859" t="inlineStr">
        <is>
          <t>78-P-ADL</t>
        </is>
      </c>
      <c r="AQ1859" t="n">
        <v>9</v>
      </c>
      <c r="AR1859" t="n">
        <v>64</v>
      </c>
      <c r="AS1859" t="n">
        <v>32</v>
      </c>
      <c r="AU1859">
        <f>COUNTA($BA$1859:$EH$1859)</f>
        <v/>
      </c>
      <c r="AV1859">
        <f>COUNTIF($BA$1859:$EH$1859,"D")</f>
        <v/>
      </c>
      <c r="AW1859">
        <f>COUNTIF($BA$1859:$EH$1859,"R")</f>
        <v/>
      </c>
      <c r="AX1859">
        <f>IF(BN1859="D",1,0)+IF(BO1859="D",1,0)+IF(BT1859="D",1,0)+IF(BU1859="D",1,0)+IF(BW1859="D",1,0)+IF(CC1859="D",1,0)+IF(CD1859="D",1,0)+IF(CE1859="D",1,0)+IF(CF1859="D",1,0)+IF(CL1859="D",1,0)+IF(CM1859="D",1,0)+IF(CQ1859="D",1,0)+IF(CR1859="D",1,0)+IF(CS1859="D",1,0)+IF(CW1859="D",1,0)+IF(CX1859="D",1,0)+IF(DD1859="D",1,0)+IF(DE1859="D",1,0)+IF(DJ1859="D",1,0)+IF(DK1859="D",1,0)+IF(DO1859="D",1,0)+IF(DP1859="D",1,0)+IF(DQ1859="D",1,0)+IF(DW1859="D",1,0)+IF(DZ1859="D",1,0)+IF(EH1859="D",1,0)</f>
        <v/>
      </c>
      <c r="AY1859">
        <f>IF(DJ1859&lt;&gt;"",1,0)+IF(DK1859&lt;&gt;"",1,0)+IF(DM1859&lt;&gt;"",1,0)+IF(DO1859&lt;&gt;"",1,0)+IF(DP1859&lt;&gt;"",1,0)+IF(DQ1859&lt;&gt;"",1,0)+IF(DS1859&lt;&gt;"",1,0)+IF(DT1859&lt;&gt;"",1,0)+IF(DV1859&lt;&gt;"",1,0)+IF(DW1859&lt;&gt;"",1,0)+IF(DX1859&lt;&gt;"",1,0)+IF(DY1859&lt;&gt;"",1,0)+IF(DZ1859&lt;&gt;"",1,0)+IF(EB1859&lt;&gt;"",1,0)+IF(EC1859&lt;&gt;"",1,0)+IF(ED1859&lt;&gt;"",1,0)+IF(EG1859&lt;&gt;"",1,0)+IF(EH1859&lt;&gt;"",1,0)</f>
        <v/>
      </c>
      <c r="AZ1859">
        <f>IF(EH1859&lt;&gt;"",1,0)</f>
        <v/>
      </c>
      <c r="BB1859" t="inlineStr">
        <is>
          <t>WARREN-WARD 4</t>
        </is>
      </c>
    </row>
    <row r="1860">
      <c r="A1860" t="inlineStr">
        <is>
          <t>OH0026384352</t>
        </is>
      </c>
      <c r="B1860" t="n">
        <v>78</v>
      </c>
      <c r="C1860" t="n">
        <v>461247</v>
      </c>
      <c r="D1860" t="inlineStr">
        <is>
          <t>BAUM</t>
        </is>
      </c>
      <c r="E1860" t="inlineStr">
        <is>
          <t>JOSEPH</t>
        </is>
      </c>
      <c r="F1860">
        <f>CONCATENATE(D1860," ",LEFT(H1860,4),"T=",AU1860,"D=",AV1860,"R=",AW1860,"M=",AX1860,"L=",AY1860,"B=",AZ1860)</f>
        <v/>
      </c>
      <c r="G1860" t="inlineStr">
        <is>
          <t>JOHN</t>
        </is>
      </c>
      <c r="H1860" t="inlineStr">
        <is>
          <t>III</t>
        </is>
      </c>
      <c r="I1860" t="inlineStr">
        <is>
          <t>1969-05-13</t>
        </is>
      </c>
      <c r="J1860" t="inlineStr">
        <is>
          <t>2022-01-03</t>
        </is>
      </c>
      <c r="K1860" t="inlineStr">
        <is>
          <t>ACTIVE</t>
        </is>
      </c>
      <c r="M1860" t="inlineStr">
        <is>
          <t>1032 MCKINLEY ST NE</t>
        </is>
      </c>
      <c r="N1860">
        <f>RIGHT(M1860,LEN(M1860)-FIND(" ",M1860))</f>
        <v/>
      </c>
      <c r="P1860" t="inlineStr">
        <is>
          <t>WARREN</t>
        </is>
      </c>
      <c r="Q1860" t="inlineStr">
        <is>
          <t>OH</t>
        </is>
      </c>
      <c r="R1860" t="n">
        <v>44483</v>
      </c>
      <c r="AD1860" t="inlineStr">
        <is>
          <t>TRUMBULL CAREER &amp; TECH CENTER</t>
        </is>
      </c>
      <c r="AE1860" t="inlineStr">
        <is>
          <t>WARREN CITY</t>
        </is>
      </c>
      <c r="AF1860" t="inlineStr">
        <is>
          <t>WARREN CITY SD</t>
        </is>
      </c>
      <c r="AH1860" t="n">
        <v>14</v>
      </c>
      <c r="AI1860" t="n">
        <v>11</v>
      </c>
      <c r="AN1860" t="inlineStr">
        <is>
          <t>WARREN</t>
        </is>
      </c>
      <c r="AO1860" t="inlineStr">
        <is>
          <t>WARREN CITY 4D</t>
        </is>
      </c>
      <c r="AP1860" t="inlineStr">
        <is>
          <t>78-P-ADL</t>
        </is>
      </c>
      <c r="AQ1860" t="n">
        <v>9</v>
      </c>
      <c r="AR1860" t="n">
        <v>64</v>
      </c>
      <c r="AS1860" t="n">
        <v>32</v>
      </c>
      <c r="AU1860">
        <f>COUNTA($BA$1860:$EH$1860)</f>
        <v/>
      </c>
      <c r="AV1860">
        <f>COUNTIF($BA$1860:$EH$1860,"D")</f>
        <v/>
      </c>
      <c r="AW1860">
        <f>COUNTIF($BA$1860:$EH$1860,"R")</f>
        <v/>
      </c>
      <c r="AX1860">
        <f>IF(BN1860="D",1,0)+IF(BO1860="D",1,0)+IF(BT1860="D",1,0)+IF(BU1860="D",1,0)+IF(BW1860="D",1,0)+IF(CC1860="D",1,0)+IF(CD1860="D",1,0)+IF(CE1860="D",1,0)+IF(CF1860="D",1,0)+IF(CL1860="D",1,0)+IF(CM1860="D",1,0)+IF(CQ1860="D",1,0)+IF(CR1860="D",1,0)+IF(CS1860="D",1,0)+IF(CW1860="D",1,0)+IF(CX1860="D",1,0)+IF(DD1860="D",1,0)+IF(DE1860="D",1,0)+IF(DJ1860="D",1,0)+IF(DK1860="D",1,0)+IF(DO1860="D",1,0)+IF(DP1860="D",1,0)+IF(DQ1860="D",1,0)+IF(DW1860="D",1,0)+IF(DZ1860="D",1,0)+IF(EH1860="D",1,0)</f>
        <v/>
      </c>
      <c r="AY1860">
        <f>IF(DJ1860&lt;&gt;"",1,0)+IF(DK1860&lt;&gt;"",1,0)+IF(DM1860&lt;&gt;"",1,0)+IF(DO1860&lt;&gt;"",1,0)+IF(DP1860&lt;&gt;"",1,0)+IF(DQ1860&lt;&gt;"",1,0)+IF(DS1860&lt;&gt;"",1,0)+IF(DT1860&lt;&gt;"",1,0)+IF(DV1860&lt;&gt;"",1,0)+IF(DW1860&lt;&gt;"",1,0)+IF(DX1860&lt;&gt;"",1,0)+IF(DY1860&lt;&gt;"",1,0)+IF(DZ1860&lt;&gt;"",1,0)+IF(EB1860&lt;&gt;"",1,0)+IF(EC1860&lt;&gt;"",1,0)+IF(ED1860&lt;&gt;"",1,0)+IF(EG1860&lt;&gt;"",1,0)+IF(EH1860&lt;&gt;"",1,0)</f>
        <v/>
      </c>
      <c r="AZ1860">
        <f>IF(EH1860&lt;&gt;"",1,0)</f>
        <v/>
      </c>
      <c r="BB1860" t="inlineStr">
        <is>
          <t>WARREN-WARD 4</t>
        </is>
      </c>
      <c r="BD1860" t="inlineStr">
        <is>
          <t>X</t>
        </is>
      </c>
      <c r="CG1860" t="inlineStr">
        <is>
          <t>X</t>
        </is>
      </c>
      <c r="DN1860" t="inlineStr">
        <is>
          <t>X</t>
        </is>
      </c>
      <c r="DU1860" t="inlineStr">
        <is>
          <t>X</t>
        </is>
      </c>
    </row>
    <row r="1861">
      <c r="A1861" t="inlineStr">
        <is>
          <t>OH0019813437</t>
        </is>
      </c>
      <c r="B1861" t="n">
        <v>78</v>
      </c>
      <c r="C1861" t="n">
        <v>359543</v>
      </c>
      <c r="D1861" t="inlineStr">
        <is>
          <t>WILLIAMS</t>
        </is>
      </c>
      <c r="E1861" t="inlineStr">
        <is>
          <t>KENNETH</t>
        </is>
      </c>
      <c r="F1861">
        <f>CONCATENATE(D1861," ",LEFT(H1861,4),"T=",AU1861,"D=",AV1861,"R=",AW1861,"M=",AX1861,"L=",AY1861,"B=",AZ1861)</f>
        <v/>
      </c>
      <c r="G1861" t="inlineStr">
        <is>
          <t>E</t>
        </is>
      </c>
      <c r="I1861" t="inlineStr">
        <is>
          <t>1953-03-03</t>
        </is>
      </c>
      <c r="J1861" t="inlineStr">
        <is>
          <t>2023-07-07</t>
        </is>
      </c>
      <c r="K1861" t="inlineStr">
        <is>
          <t>ACTIVE</t>
        </is>
      </c>
      <c r="M1861" t="inlineStr">
        <is>
          <t>721 ELM RD NE</t>
        </is>
      </c>
      <c r="N1861">
        <f>RIGHT(M1861,LEN(M1861)-FIND(" ",M1861))</f>
        <v/>
      </c>
      <c r="P1861" t="inlineStr">
        <is>
          <t>WARREN</t>
        </is>
      </c>
      <c r="Q1861" t="inlineStr">
        <is>
          <t>OH</t>
        </is>
      </c>
      <c r="R1861" t="n">
        <v>44483</v>
      </c>
      <c r="AD1861" t="inlineStr">
        <is>
          <t>TRUMBULL CAREER &amp; TECH CENTER</t>
        </is>
      </c>
      <c r="AE1861" t="inlineStr">
        <is>
          <t>WARREN CITY</t>
        </is>
      </c>
      <c r="AF1861" t="inlineStr">
        <is>
          <t>WARREN CITY SD</t>
        </is>
      </c>
      <c r="AH1861" t="n">
        <v>14</v>
      </c>
      <c r="AI1861" t="n">
        <v>11</v>
      </c>
      <c r="AN1861" t="inlineStr">
        <is>
          <t>WARREN</t>
        </is>
      </c>
      <c r="AO1861" t="inlineStr">
        <is>
          <t>WARREN CITY 4D</t>
        </is>
      </c>
      <c r="AP1861" t="inlineStr">
        <is>
          <t>78-P-ADL</t>
        </is>
      </c>
      <c r="AQ1861" t="n">
        <v>9</v>
      </c>
      <c r="AR1861" t="n">
        <v>64</v>
      </c>
      <c r="AS1861" t="n">
        <v>32</v>
      </c>
      <c r="AU1861">
        <f>COUNTA($BA$1861:$EH$1861)</f>
        <v/>
      </c>
      <c r="AV1861">
        <f>COUNTIF($BA$1861:$EH$1861,"D")</f>
        <v/>
      </c>
      <c r="AW1861">
        <f>COUNTIF($BA$1861:$EH$1861,"R")</f>
        <v/>
      </c>
      <c r="AX1861">
        <f>IF(BN1861="D",1,0)+IF(BO1861="D",1,0)+IF(BT1861="D",1,0)+IF(BU1861="D",1,0)+IF(BW1861="D",1,0)+IF(CC1861="D",1,0)+IF(CD1861="D",1,0)+IF(CE1861="D",1,0)+IF(CF1861="D",1,0)+IF(CL1861="D",1,0)+IF(CM1861="D",1,0)+IF(CQ1861="D",1,0)+IF(CR1861="D",1,0)+IF(CS1861="D",1,0)+IF(CW1861="D",1,0)+IF(CX1861="D",1,0)+IF(DD1861="D",1,0)+IF(DE1861="D",1,0)+IF(DJ1861="D",1,0)+IF(DK1861="D",1,0)+IF(DO1861="D",1,0)+IF(DP1861="D",1,0)+IF(DQ1861="D",1,0)+IF(DW1861="D",1,0)+IF(DZ1861="D",1,0)+IF(EH1861="D",1,0)</f>
        <v/>
      </c>
      <c r="AY1861">
        <f>IF(DJ1861&lt;&gt;"",1,0)+IF(DK1861&lt;&gt;"",1,0)+IF(DM1861&lt;&gt;"",1,0)+IF(DO1861&lt;&gt;"",1,0)+IF(DP1861&lt;&gt;"",1,0)+IF(DQ1861&lt;&gt;"",1,0)+IF(DS1861&lt;&gt;"",1,0)+IF(DT1861&lt;&gt;"",1,0)+IF(DV1861&lt;&gt;"",1,0)+IF(DW1861&lt;&gt;"",1,0)+IF(DX1861&lt;&gt;"",1,0)+IF(DY1861&lt;&gt;"",1,0)+IF(DZ1861&lt;&gt;"",1,0)+IF(EB1861&lt;&gt;"",1,0)+IF(EC1861&lt;&gt;"",1,0)+IF(ED1861&lt;&gt;"",1,0)+IF(EG1861&lt;&gt;"",1,0)+IF(EH1861&lt;&gt;"",1,0)</f>
        <v/>
      </c>
      <c r="AZ1861">
        <f>IF(EH1861&lt;&gt;"",1,0)</f>
        <v/>
      </c>
      <c r="BB1861" t="inlineStr">
        <is>
          <t>WARREN-WARD 4</t>
        </is>
      </c>
      <c r="CA1861" t="inlineStr">
        <is>
          <t>X</t>
        </is>
      </c>
      <c r="CK1861" t="inlineStr">
        <is>
          <t>X</t>
        </is>
      </c>
      <c r="CP1861" t="inlineStr">
        <is>
          <t>X</t>
        </is>
      </c>
      <c r="CW1861" t="inlineStr">
        <is>
          <t>D</t>
        </is>
      </c>
      <c r="CY1861" t="inlineStr">
        <is>
          <t>X</t>
        </is>
      </c>
    </row>
    <row r="1862">
      <c r="A1862" t="inlineStr">
        <is>
          <t>OH0022965872</t>
        </is>
      </c>
      <c r="B1862" t="n">
        <v>78</v>
      </c>
      <c r="C1862" t="n">
        <v>404730</v>
      </c>
      <c r="D1862" t="inlineStr">
        <is>
          <t>OWENS</t>
        </is>
      </c>
      <c r="E1862" t="inlineStr">
        <is>
          <t>ASHLEY</t>
        </is>
      </c>
      <c r="F1862">
        <f>CONCATENATE(D1862," ",LEFT(H1862,4),"T=",AU1862,"D=",AV1862,"R=",AW1862,"M=",AX1862,"L=",AY1862,"B=",AZ1862)</f>
        <v/>
      </c>
      <c r="I1862" t="inlineStr">
        <is>
          <t>1991-06-27</t>
        </is>
      </c>
      <c r="J1862" t="inlineStr">
        <is>
          <t>2017-02-21</t>
        </is>
      </c>
      <c r="K1862" t="inlineStr">
        <is>
          <t>ACTIVE</t>
        </is>
      </c>
      <c r="M1862" t="inlineStr">
        <is>
          <t>541 FAIRFIELD AVE NE</t>
        </is>
      </c>
      <c r="N1862">
        <f>RIGHT(M1862,LEN(M1862)-FIND(" ",M1862))</f>
        <v/>
      </c>
      <c r="P1862" t="inlineStr">
        <is>
          <t>WARREN</t>
        </is>
      </c>
      <c r="Q1862" t="inlineStr">
        <is>
          <t>OH</t>
        </is>
      </c>
      <c r="R1862" t="n">
        <v>44483</v>
      </c>
      <c r="AD1862" t="inlineStr">
        <is>
          <t>TRUMBULL CAREER &amp; TECH CENTER</t>
        </is>
      </c>
      <c r="AE1862" t="inlineStr">
        <is>
          <t>WARREN CITY</t>
        </is>
      </c>
      <c r="AF1862" t="inlineStr">
        <is>
          <t>WARREN CITY SD</t>
        </is>
      </c>
      <c r="AH1862" t="n">
        <v>14</v>
      </c>
      <c r="AI1862" t="n">
        <v>11</v>
      </c>
      <c r="AN1862" t="inlineStr">
        <is>
          <t>WARREN</t>
        </is>
      </c>
      <c r="AO1862" t="inlineStr">
        <is>
          <t>WARREN CITY 4D</t>
        </is>
      </c>
      <c r="AP1862" t="inlineStr">
        <is>
          <t>78-P-ADL</t>
        </is>
      </c>
      <c r="AQ1862" t="n">
        <v>9</v>
      </c>
      <c r="AR1862" t="n">
        <v>64</v>
      </c>
      <c r="AS1862" t="n">
        <v>32</v>
      </c>
      <c r="AU1862">
        <f>COUNTA($BA$1862:$EH$1862)</f>
        <v/>
      </c>
      <c r="AV1862">
        <f>COUNTIF($BA$1862:$EH$1862,"D")</f>
        <v/>
      </c>
      <c r="AW1862">
        <f>COUNTIF($BA$1862:$EH$1862,"R")</f>
        <v/>
      </c>
      <c r="AX1862">
        <f>IF(BN1862="D",1,0)+IF(BO1862="D",1,0)+IF(BT1862="D",1,0)+IF(BU1862="D",1,0)+IF(BW1862="D",1,0)+IF(CC1862="D",1,0)+IF(CD1862="D",1,0)+IF(CE1862="D",1,0)+IF(CF1862="D",1,0)+IF(CL1862="D",1,0)+IF(CM1862="D",1,0)+IF(CQ1862="D",1,0)+IF(CR1862="D",1,0)+IF(CS1862="D",1,0)+IF(CW1862="D",1,0)+IF(CX1862="D",1,0)+IF(DD1862="D",1,0)+IF(DE1862="D",1,0)+IF(DJ1862="D",1,0)+IF(DK1862="D",1,0)+IF(DO1862="D",1,0)+IF(DP1862="D",1,0)+IF(DQ1862="D",1,0)+IF(DW1862="D",1,0)+IF(DZ1862="D",1,0)+IF(EH1862="D",1,0)</f>
        <v/>
      </c>
      <c r="AY1862">
        <f>IF(DJ1862&lt;&gt;"",1,0)+IF(DK1862&lt;&gt;"",1,0)+IF(DM1862&lt;&gt;"",1,0)+IF(DO1862&lt;&gt;"",1,0)+IF(DP1862&lt;&gt;"",1,0)+IF(DQ1862&lt;&gt;"",1,0)+IF(DS1862&lt;&gt;"",1,0)+IF(DT1862&lt;&gt;"",1,0)+IF(DV1862&lt;&gt;"",1,0)+IF(DW1862&lt;&gt;"",1,0)+IF(DX1862&lt;&gt;"",1,0)+IF(DY1862&lt;&gt;"",1,0)+IF(DZ1862&lt;&gt;"",1,0)+IF(EB1862&lt;&gt;"",1,0)+IF(EC1862&lt;&gt;"",1,0)+IF(ED1862&lt;&gt;"",1,0)+IF(EG1862&lt;&gt;"",1,0)+IF(EH1862&lt;&gt;"",1,0)</f>
        <v/>
      </c>
      <c r="AZ1862">
        <f>IF(EH1862&lt;&gt;"",1,0)</f>
        <v/>
      </c>
      <c r="BB1862" t="inlineStr">
        <is>
          <t>WARREN-WARD 4</t>
        </is>
      </c>
      <c r="CH1862" t="inlineStr">
        <is>
          <t>D</t>
        </is>
      </c>
      <c r="CP1862" t="inlineStr">
        <is>
          <t>X</t>
        </is>
      </c>
      <c r="CT1862" t="inlineStr">
        <is>
          <t>X</t>
        </is>
      </c>
      <c r="CV1862" t="inlineStr">
        <is>
          <t>X</t>
        </is>
      </c>
      <c r="EF1862" t="inlineStr">
        <is>
          <t>X</t>
        </is>
      </c>
    </row>
    <row r="1863">
      <c r="A1863" t="inlineStr">
        <is>
          <t>OH0015747990</t>
        </is>
      </c>
      <c r="B1863" t="n">
        <v>78</v>
      </c>
      <c r="C1863" t="n">
        <v>322008</v>
      </c>
      <c r="D1863" t="inlineStr">
        <is>
          <t>CALBERT</t>
        </is>
      </c>
      <c r="E1863" t="inlineStr">
        <is>
          <t>KASSIA</t>
        </is>
      </c>
      <c r="F1863">
        <f>CONCATENATE(D1863," ",LEFT(H1863,4),"T=",AU1863,"D=",AV1863,"R=",AW1863,"M=",AX1863,"L=",AY1863,"B=",AZ1863)</f>
        <v/>
      </c>
      <c r="G1863" t="inlineStr">
        <is>
          <t>MICHELLE</t>
        </is>
      </c>
      <c r="I1863" t="inlineStr">
        <is>
          <t>1971-11-26</t>
        </is>
      </c>
      <c r="J1863" t="inlineStr">
        <is>
          <t>2008-08-11</t>
        </is>
      </c>
      <c r="K1863" t="inlineStr">
        <is>
          <t>ACTIVE</t>
        </is>
      </c>
      <c r="M1863" t="inlineStr">
        <is>
          <t>277 LAIRD AVE NE</t>
        </is>
      </c>
      <c r="N1863">
        <f>RIGHT(M1863,LEN(M1863)-FIND(" ",M1863))</f>
        <v/>
      </c>
      <c r="P1863" t="inlineStr">
        <is>
          <t>WARREN</t>
        </is>
      </c>
      <c r="Q1863" t="inlineStr">
        <is>
          <t>OH</t>
        </is>
      </c>
      <c r="R1863" t="n">
        <v>44483</v>
      </c>
      <c r="AD1863" t="inlineStr">
        <is>
          <t>TRUMBULL CAREER &amp; TECH CENTER</t>
        </is>
      </c>
      <c r="AE1863" t="inlineStr">
        <is>
          <t>WARREN CITY</t>
        </is>
      </c>
      <c r="AF1863" t="inlineStr">
        <is>
          <t>WARREN CITY SD</t>
        </is>
      </c>
      <c r="AH1863" t="n">
        <v>14</v>
      </c>
      <c r="AI1863" t="n">
        <v>11</v>
      </c>
      <c r="AN1863" t="inlineStr">
        <is>
          <t>WARREN</t>
        </is>
      </c>
      <c r="AO1863" t="inlineStr">
        <is>
          <t>WARREN CITY 4D</t>
        </is>
      </c>
      <c r="AP1863" t="inlineStr">
        <is>
          <t>78-P-ADL</t>
        </is>
      </c>
      <c r="AQ1863" t="n">
        <v>9</v>
      </c>
      <c r="AR1863" t="n">
        <v>64</v>
      </c>
      <c r="AS1863" t="n">
        <v>32</v>
      </c>
      <c r="AU1863">
        <f>COUNTA($BA$1863:$EH$1863)</f>
        <v/>
      </c>
      <c r="AV1863">
        <f>COUNTIF($BA$1863:$EH$1863,"D")</f>
        <v/>
      </c>
      <c r="AW1863">
        <f>COUNTIF($BA$1863:$EH$1863,"R")</f>
        <v/>
      </c>
      <c r="AX1863">
        <f>IF(BN1863="D",1,0)+IF(BO1863="D",1,0)+IF(BT1863="D",1,0)+IF(BU1863="D",1,0)+IF(BW1863="D",1,0)+IF(CC1863="D",1,0)+IF(CD1863="D",1,0)+IF(CE1863="D",1,0)+IF(CF1863="D",1,0)+IF(CL1863="D",1,0)+IF(CM1863="D",1,0)+IF(CQ1863="D",1,0)+IF(CR1863="D",1,0)+IF(CS1863="D",1,0)+IF(CW1863="D",1,0)+IF(CX1863="D",1,0)+IF(DD1863="D",1,0)+IF(DE1863="D",1,0)+IF(DJ1863="D",1,0)+IF(DK1863="D",1,0)+IF(DO1863="D",1,0)+IF(DP1863="D",1,0)+IF(DQ1863="D",1,0)+IF(DW1863="D",1,0)+IF(DZ1863="D",1,0)+IF(EH1863="D",1,0)</f>
        <v/>
      </c>
      <c r="AY1863">
        <f>IF(DJ1863&lt;&gt;"",1,0)+IF(DK1863&lt;&gt;"",1,0)+IF(DM1863&lt;&gt;"",1,0)+IF(DO1863&lt;&gt;"",1,0)+IF(DP1863&lt;&gt;"",1,0)+IF(DQ1863&lt;&gt;"",1,0)+IF(DS1863&lt;&gt;"",1,0)+IF(DT1863&lt;&gt;"",1,0)+IF(DV1863&lt;&gt;"",1,0)+IF(DW1863&lt;&gt;"",1,0)+IF(DX1863&lt;&gt;"",1,0)+IF(DY1863&lt;&gt;"",1,0)+IF(DZ1863&lt;&gt;"",1,0)+IF(EB1863&lt;&gt;"",1,0)+IF(EC1863&lt;&gt;"",1,0)+IF(ED1863&lt;&gt;"",1,0)+IF(EG1863&lt;&gt;"",1,0)+IF(EH1863&lt;&gt;"",1,0)</f>
        <v/>
      </c>
      <c r="AZ1863">
        <f>IF(EH1863&lt;&gt;"",1,0)</f>
        <v/>
      </c>
      <c r="BB1863" t="inlineStr">
        <is>
          <t>WARREN-WARD 4</t>
        </is>
      </c>
      <c r="CA1863" t="inlineStr">
        <is>
          <t>X</t>
        </is>
      </c>
      <c r="CN1863" t="inlineStr">
        <is>
          <t>X</t>
        </is>
      </c>
      <c r="CP1863" t="inlineStr">
        <is>
          <t>X</t>
        </is>
      </c>
      <c r="CY1863" t="inlineStr">
        <is>
          <t>X</t>
        </is>
      </c>
      <c r="CZ1863" t="inlineStr">
        <is>
          <t>G</t>
        </is>
      </c>
      <c r="DC1863" t="inlineStr">
        <is>
          <t>X</t>
        </is>
      </c>
      <c r="DN1863" t="inlineStr">
        <is>
          <t>X</t>
        </is>
      </c>
      <c r="EA1863" t="inlineStr">
        <is>
          <t>X</t>
        </is>
      </c>
      <c r="EF1863" t="inlineStr">
        <is>
          <t>X</t>
        </is>
      </c>
    </row>
    <row r="1864">
      <c r="A1864" t="inlineStr">
        <is>
          <t>OH0015701552</t>
        </is>
      </c>
      <c r="B1864" t="n">
        <v>78</v>
      </c>
      <c r="C1864" t="n">
        <v>308766</v>
      </c>
      <c r="D1864" t="inlineStr">
        <is>
          <t>MITCHELL</t>
        </is>
      </c>
      <c r="E1864" t="inlineStr">
        <is>
          <t>LATRICE</t>
        </is>
      </c>
      <c r="F1864">
        <f>CONCATENATE(D1864," ",LEFT(H1864,4),"T=",AU1864,"D=",AV1864,"R=",AW1864,"M=",AX1864,"L=",AY1864,"B=",AZ1864)</f>
        <v/>
      </c>
      <c r="G1864" t="inlineStr">
        <is>
          <t>SHANELLE</t>
        </is>
      </c>
      <c r="I1864" t="inlineStr">
        <is>
          <t>1984-07-22</t>
        </is>
      </c>
      <c r="J1864" t="inlineStr">
        <is>
          <t>2020-07-06</t>
        </is>
      </c>
      <c r="K1864" t="inlineStr">
        <is>
          <t>ACTIVE</t>
        </is>
      </c>
      <c r="M1864" t="inlineStr">
        <is>
          <t>233 LAIRD AVE NE</t>
        </is>
      </c>
      <c r="N1864">
        <f>RIGHT(M1864,LEN(M1864)-FIND(" ",M1864))</f>
        <v/>
      </c>
      <c r="P1864" t="inlineStr">
        <is>
          <t>WARREN</t>
        </is>
      </c>
      <c r="Q1864" t="inlineStr">
        <is>
          <t>OH</t>
        </is>
      </c>
      <c r="R1864" t="n">
        <v>44483</v>
      </c>
      <c r="AD1864" t="inlineStr">
        <is>
          <t>TRUMBULL CAREER &amp; TECH CENTER</t>
        </is>
      </c>
      <c r="AE1864" t="inlineStr">
        <is>
          <t>WARREN CITY</t>
        </is>
      </c>
      <c r="AF1864" t="inlineStr">
        <is>
          <t>WARREN CITY SD</t>
        </is>
      </c>
      <c r="AH1864" t="n">
        <v>14</v>
      </c>
      <c r="AI1864" t="n">
        <v>11</v>
      </c>
      <c r="AN1864" t="inlineStr">
        <is>
          <t>WARREN</t>
        </is>
      </c>
      <c r="AO1864" t="inlineStr">
        <is>
          <t>WARREN CITY 4D</t>
        </is>
      </c>
      <c r="AP1864" t="inlineStr">
        <is>
          <t>78-P-ADL</t>
        </is>
      </c>
      <c r="AQ1864" t="n">
        <v>9</v>
      </c>
      <c r="AR1864" t="n">
        <v>64</v>
      </c>
      <c r="AS1864" t="n">
        <v>32</v>
      </c>
      <c r="AU1864">
        <f>COUNTA($BA$1864:$EH$1864)</f>
        <v/>
      </c>
      <c r="AV1864">
        <f>COUNTIF($BA$1864:$EH$1864,"D")</f>
        <v/>
      </c>
      <c r="AW1864">
        <f>COUNTIF($BA$1864:$EH$1864,"R")</f>
        <v/>
      </c>
      <c r="AX1864">
        <f>IF(BN1864="D",1,0)+IF(BO1864="D",1,0)+IF(BT1864="D",1,0)+IF(BU1864="D",1,0)+IF(BW1864="D",1,0)+IF(CC1864="D",1,0)+IF(CD1864="D",1,0)+IF(CE1864="D",1,0)+IF(CF1864="D",1,0)+IF(CL1864="D",1,0)+IF(CM1864="D",1,0)+IF(CQ1864="D",1,0)+IF(CR1864="D",1,0)+IF(CS1864="D",1,0)+IF(CW1864="D",1,0)+IF(CX1864="D",1,0)+IF(DD1864="D",1,0)+IF(DE1864="D",1,0)+IF(DJ1864="D",1,0)+IF(DK1864="D",1,0)+IF(DO1864="D",1,0)+IF(DP1864="D",1,0)+IF(DQ1864="D",1,0)+IF(DW1864="D",1,0)+IF(DZ1864="D",1,0)+IF(EH1864="D",1,0)</f>
        <v/>
      </c>
      <c r="AY1864">
        <f>IF(DJ1864&lt;&gt;"",1,0)+IF(DK1864&lt;&gt;"",1,0)+IF(DM1864&lt;&gt;"",1,0)+IF(DO1864&lt;&gt;"",1,0)+IF(DP1864&lt;&gt;"",1,0)+IF(DQ1864&lt;&gt;"",1,0)+IF(DS1864&lt;&gt;"",1,0)+IF(DT1864&lt;&gt;"",1,0)+IF(DV1864&lt;&gt;"",1,0)+IF(DW1864&lt;&gt;"",1,0)+IF(DX1864&lt;&gt;"",1,0)+IF(DY1864&lt;&gt;"",1,0)+IF(DZ1864&lt;&gt;"",1,0)+IF(EB1864&lt;&gt;"",1,0)+IF(EC1864&lt;&gt;"",1,0)+IF(ED1864&lt;&gt;"",1,0)+IF(EG1864&lt;&gt;"",1,0)+IF(EH1864&lt;&gt;"",1,0)</f>
        <v/>
      </c>
      <c r="AZ1864">
        <f>IF(EH1864&lt;&gt;"",1,0)</f>
        <v/>
      </c>
      <c r="BB1864" t="inlineStr">
        <is>
          <t>WARREN-WARD 4</t>
        </is>
      </c>
      <c r="BL1864" t="inlineStr">
        <is>
          <t>X</t>
        </is>
      </c>
      <c r="CA1864" t="inlineStr">
        <is>
          <t>X</t>
        </is>
      </c>
      <c r="CP1864" t="inlineStr">
        <is>
          <t>X</t>
        </is>
      </c>
      <c r="DC1864" t="inlineStr">
        <is>
          <t>X</t>
        </is>
      </c>
      <c r="DI1864" t="inlineStr">
        <is>
          <t>X</t>
        </is>
      </c>
      <c r="DN1864" t="inlineStr">
        <is>
          <t>X</t>
        </is>
      </c>
    </row>
    <row r="1865">
      <c r="A1865" t="inlineStr">
        <is>
          <t>OH0023947491</t>
        </is>
      </c>
      <c r="B1865" t="n">
        <v>78</v>
      </c>
      <c r="C1865" t="n">
        <v>420261</v>
      </c>
      <c r="D1865" t="inlineStr">
        <is>
          <t>MANZO</t>
        </is>
      </c>
      <c r="E1865" t="inlineStr">
        <is>
          <t>JEFFRY</t>
        </is>
      </c>
      <c r="F1865">
        <f>CONCATENATE(D1865," ",LEFT(H1865,4),"T=",AU1865,"D=",AV1865,"R=",AW1865,"M=",AX1865,"L=",AY1865,"B=",AZ1865)</f>
        <v/>
      </c>
      <c r="G1865" t="inlineStr">
        <is>
          <t>VINCENT</t>
        </is>
      </c>
      <c r="I1865" t="inlineStr">
        <is>
          <t>1963-10-10</t>
        </is>
      </c>
      <c r="J1865" t="inlineStr">
        <is>
          <t>2020-09-08</t>
        </is>
      </c>
      <c r="K1865" t="inlineStr">
        <is>
          <t>ACTIVE</t>
        </is>
      </c>
      <c r="M1865" t="inlineStr">
        <is>
          <t>413 PORTER ST NE</t>
        </is>
      </c>
      <c r="N1865">
        <f>RIGHT(M1865,LEN(M1865)-FIND(" ",M1865))</f>
        <v/>
      </c>
      <c r="P1865" t="inlineStr">
        <is>
          <t>WARREN</t>
        </is>
      </c>
      <c r="Q1865" t="inlineStr">
        <is>
          <t>OH</t>
        </is>
      </c>
      <c r="R1865" t="n">
        <v>44483</v>
      </c>
      <c r="V1865" t="inlineStr">
        <is>
          <t>P.O. BOX 1616</t>
        </is>
      </c>
      <c r="X1865" t="inlineStr">
        <is>
          <t>WARREN</t>
        </is>
      </c>
      <c r="Y1865" t="inlineStr">
        <is>
          <t>OH</t>
        </is>
      </c>
      <c r="Z1865" t="n">
        <v>44482</v>
      </c>
      <c r="AD1865" t="inlineStr">
        <is>
          <t>TRUMBULL CAREER &amp; TECH CENTER</t>
        </is>
      </c>
      <c r="AE1865" t="inlineStr">
        <is>
          <t>WARREN CITY</t>
        </is>
      </c>
      <c r="AF1865" t="inlineStr">
        <is>
          <t>WARREN CITY SD</t>
        </is>
      </c>
      <c r="AH1865" t="n">
        <v>14</v>
      </c>
      <c r="AI1865" t="n">
        <v>11</v>
      </c>
      <c r="AN1865" t="inlineStr">
        <is>
          <t>WARREN</t>
        </is>
      </c>
      <c r="AO1865" t="inlineStr">
        <is>
          <t>WARREN CITY 4D</t>
        </is>
      </c>
      <c r="AP1865" t="inlineStr">
        <is>
          <t>78-P-ADL</t>
        </is>
      </c>
      <c r="AQ1865" t="n">
        <v>9</v>
      </c>
      <c r="AR1865" t="n">
        <v>64</v>
      </c>
      <c r="AS1865" t="n">
        <v>32</v>
      </c>
      <c r="AU1865">
        <f>COUNTA($BA$1865:$EH$1865)</f>
        <v/>
      </c>
      <c r="AV1865">
        <f>COUNTIF($BA$1865:$EH$1865,"D")</f>
        <v/>
      </c>
      <c r="AW1865">
        <f>COUNTIF($BA$1865:$EH$1865,"R")</f>
        <v/>
      </c>
      <c r="AX1865">
        <f>IF(BN1865="D",1,0)+IF(BO1865="D",1,0)+IF(BT1865="D",1,0)+IF(BU1865="D",1,0)+IF(BW1865="D",1,0)+IF(CC1865="D",1,0)+IF(CD1865="D",1,0)+IF(CE1865="D",1,0)+IF(CF1865="D",1,0)+IF(CL1865="D",1,0)+IF(CM1865="D",1,0)+IF(CQ1865="D",1,0)+IF(CR1865="D",1,0)+IF(CS1865="D",1,0)+IF(CW1865="D",1,0)+IF(CX1865="D",1,0)+IF(DD1865="D",1,0)+IF(DE1865="D",1,0)+IF(DJ1865="D",1,0)+IF(DK1865="D",1,0)+IF(DO1865="D",1,0)+IF(DP1865="D",1,0)+IF(DQ1865="D",1,0)+IF(DW1865="D",1,0)+IF(DZ1865="D",1,0)+IF(EH1865="D",1,0)</f>
        <v/>
      </c>
      <c r="AY1865">
        <f>IF(DJ1865&lt;&gt;"",1,0)+IF(DK1865&lt;&gt;"",1,0)+IF(DM1865&lt;&gt;"",1,0)+IF(DO1865&lt;&gt;"",1,0)+IF(DP1865&lt;&gt;"",1,0)+IF(DQ1865&lt;&gt;"",1,0)+IF(DS1865&lt;&gt;"",1,0)+IF(DT1865&lt;&gt;"",1,0)+IF(DV1865&lt;&gt;"",1,0)+IF(DW1865&lt;&gt;"",1,0)+IF(DX1865&lt;&gt;"",1,0)+IF(DY1865&lt;&gt;"",1,0)+IF(DZ1865&lt;&gt;"",1,0)+IF(EB1865&lt;&gt;"",1,0)+IF(EC1865&lt;&gt;"",1,0)+IF(ED1865&lt;&gt;"",1,0)+IF(EG1865&lt;&gt;"",1,0)+IF(EH1865&lt;&gt;"",1,0)</f>
        <v/>
      </c>
      <c r="AZ1865">
        <f>IF(EH1865&lt;&gt;"",1,0)</f>
        <v/>
      </c>
      <c r="BB1865" t="inlineStr">
        <is>
          <t>WARREN-WARD 4</t>
        </is>
      </c>
      <c r="DC1865" t="inlineStr">
        <is>
          <t>X</t>
        </is>
      </c>
      <c r="DI1865" t="inlineStr">
        <is>
          <t>X</t>
        </is>
      </c>
      <c r="DN1865" t="inlineStr">
        <is>
          <t>X</t>
        </is>
      </c>
      <c r="EF1865" t="inlineStr">
        <is>
          <t>X</t>
        </is>
      </c>
    </row>
    <row r="1866">
      <c r="A1866" t="inlineStr">
        <is>
          <t>OH0023719132</t>
        </is>
      </c>
      <c r="B1866" t="n">
        <v>78</v>
      </c>
      <c r="C1866" t="n">
        <v>417210</v>
      </c>
      <c r="D1866" t="inlineStr">
        <is>
          <t>LAMB</t>
        </is>
      </c>
      <c r="E1866" t="inlineStr">
        <is>
          <t>DEVON</t>
        </is>
      </c>
      <c r="F1866">
        <f>CONCATENATE(D1866," ",LEFT(H1866,4),"T=",AU1866,"D=",AV1866,"R=",AW1866,"M=",AX1866,"L=",AY1866,"B=",AZ1866)</f>
        <v/>
      </c>
      <c r="G1866" t="inlineStr">
        <is>
          <t>K</t>
        </is>
      </c>
      <c r="I1866" t="inlineStr">
        <is>
          <t>1997-11-10</t>
        </is>
      </c>
      <c r="J1866" t="inlineStr">
        <is>
          <t>2016-05-31</t>
        </is>
      </c>
      <c r="K1866" t="inlineStr">
        <is>
          <t>CONFIRMATION</t>
        </is>
      </c>
      <c r="M1866" t="inlineStr">
        <is>
          <t>194 LINDEN AVE SE</t>
        </is>
      </c>
      <c r="N1866">
        <f>RIGHT(M1866,LEN(M1866)-FIND(" ",M1866))</f>
        <v/>
      </c>
      <c r="P1866" t="inlineStr">
        <is>
          <t>WARREN</t>
        </is>
      </c>
      <c r="Q1866" t="inlineStr">
        <is>
          <t>OH</t>
        </is>
      </c>
      <c r="R1866" t="n">
        <v>44483</v>
      </c>
      <c r="AD1866" t="inlineStr">
        <is>
          <t>TRUMBULL CAREER &amp; TECH CENTER</t>
        </is>
      </c>
      <c r="AE1866" t="inlineStr">
        <is>
          <t>WARREN CITY</t>
        </is>
      </c>
      <c r="AF1866" t="inlineStr">
        <is>
          <t>WARREN CITY SD</t>
        </is>
      </c>
      <c r="AH1866" t="n">
        <v>14</v>
      </c>
      <c r="AI1866" t="n">
        <v>11</v>
      </c>
      <c r="AN1866" t="inlineStr">
        <is>
          <t>WARREN</t>
        </is>
      </c>
      <c r="AO1866" t="inlineStr">
        <is>
          <t>WARREN CITY 4D</t>
        </is>
      </c>
      <c r="AP1866" t="inlineStr">
        <is>
          <t>78-P-ADL</t>
        </is>
      </c>
      <c r="AQ1866" t="n">
        <v>9</v>
      </c>
      <c r="AR1866" t="n">
        <v>64</v>
      </c>
      <c r="AS1866" t="n">
        <v>32</v>
      </c>
      <c r="AU1866">
        <f>COUNTA($BA$1866:$EH$1866)</f>
        <v/>
      </c>
      <c r="AV1866">
        <f>COUNTIF($BA$1866:$EH$1866,"D")</f>
        <v/>
      </c>
      <c r="AW1866">
        <f>COUNTIF($BA$1866:$EH$1866,"R")</f>
        <v/>
      </c>
      <c r="AX1866">
        <f>IF(BN1866="D",1,0)+IF(BO1866="D",1,0)+IF(BT1866="D",1,0)+IF(BU1866="D",1,0)+IF(BW1866="D",1,0)+IF(CC1866="D",1,0)+IF(CD1866="D",1,0)+IF(CE1866="D",1,0)+IF(CF1866="D",1,0)+IF(CL1866="D",1,0)+IF(CM1866="D",1,0)+IF(CQ1866="D",1,0)+IF(CR1866="D",1,0)+IF(CS1866="D",1,0)+IF(CW1866="D",1,0)+IF(CX1866="D",1,0)+IF(DD1866="D",1,0)+IF(DE1866="D",1,0)+IF(DJ1866="D",1,0)+IF(DK1866="D",1,0)+IF(DO1866="D",1,0)+IF(DP1866="D",1,0)+IF(DQ1866="D",1,0)+IF(DW1866="D",1,0)+IF(DZ1866="D",1,0)+IF(EH1866="D",1,0)</f>
        <v/>
      </c>
      <c r="AY1866">
        <f>IF(DJ1866&lt;&gt;"",1,0)+IF(DK1866&lt;&gt;"",1,0)+IF(DM1866&lt;&gt;"",1,0)+IF(DO1866&lt;&gt;"",1,0)+IF(DP1866&lt;&gt;"",1,0)+IF(DQ1866&lt;&gt;"",1,0)+IF(DS1866&lt;&gt;"",1,0)+IF(DT1866&lt;&gt;"",1,0)+IF(DV1866&lt;&gt;"",1,0)+IF(DW1866&lt;&gt;"",1,0)+IF(DX1866&lt;&gt;"",1,0)+IF(DY1866&lt;&gt;"",1,0)+IF(DZ1866&lt;&gt;"",1,0)+IF(EB1866&lt;&gt;"",1,0)+IF(EC1866&lt;&gt;"",1,0)+IF(ED1866&lt;&gt;"",1,0)+IF(EG1866&lt;&gt;"",1,0)+IF(EH1866&lt;&gt;"",1,0)</f>
        <v/>
      </c>
      <c r="AZ1866">
        <f>IF(EH1866&lt;&gt;"",1,0)</f>
        <v/>
      </c>
      <c r="BB1866" t="inlineStr">
        <is>
          <t>WARREN-WARD 4</t>
        </is>
      </c>
    </row>
    <row r="1867">
      <c r="A1867" t="inlineStr">
        <is>
          <t>OH0018714931</t>
        </is>
      </c>
      <c r="B1867" t="n">
        <v>78</v>
      </c>
      <c r="C1867" t="n">
        <v>343489</v>
      </c>
      <c r="D1867" t="inlineStr">
        <is>
          <t>DAVIS</t>
        </is>
      </c>
      <c r="E1867" t="inlineStr">
        <is>
          <t>ALECIA</t>
        </is>
      </c>
      <c r="F1867">
        <f>CONCATENATE(D1867," ",LEFT(H1867,4),"T=",AU1867,"D=",AV1867,"R=",AW1867,"M=",AX1867,"L=",AY1867,"B=",AZ1867)</f>
        <v/>
      </c>
      <c r="I1867" t="inlineStr">
        <is>
          <t>1988-02-04</t>
        </is>
      </c>
      <c r="J1867" t="inlineStr">
        <is>
          <t>2013-04-12</t>
        </is>
      </c>
      <c r="K1867" t="inlineStr">
        <is>
          <t>CONFIRMATION</t>
        </is>
      </c>
      <c r="M1867" t="inlineStr">
        <is>
          <t>1216 WOODLAND AVE NE</t>
        </is>
      </c>
      <c r="N1867">
        <f>RIGHT(M1867,LEN(M1867)-FIND(" ",M1867))</f>
        <v/>
      </c>
      <c r="P1867" t="inlineStr">
        <is>
          <t>WARREN</t>
        </is>
      </c>
      <c r="Q1867" t="inlineStr">
        <is>
          <t>OH</t>
        </is>
      </c>
      <c r="R1867" t="n">
        <v>44483</v>
      </c>
      <c r="AD1867" t="inlineStr">
        <is>
          <t>TRUMBULL CAREER &amp; TECH CENTER</t>
        </is>
      </c>
      <c r="AE1867" t="inlineStr">
        <is>
          <t>WARREN CITY</t>
        </is>
      </c>
      <c r="AF1867" t="inlineStr">
        <is>
          <t>WARREN CITY SD</t>
        </is>
      </c>
      <c r="AH1867" t="n">
        <v>14</v>
      </c>
      <c r="AI1867" t="n">
        <v>11</v>
      </c>
      <c r="AN1867" t="inlineStr">
        <is>
          <t>WARREN</t>
        </is>
      </c>
      <c r="AO1867" t="inlineStr">
        <is>
          <t>WARREN CITY 4D</t>
        </is>
      </c>
      <c r="AP1867" t="inlineStr">
        <is>
          <t>78-P-ADL</t>
        </is>
      </c>
      <c r="AQ1867" t="n">
        <v>9</v>
      </c>
      <c r="AR1867" t="n">
        <v>64</v>
      </c>
      <c r="AS1867" t="n">
        <v>32</v>
      </c>
      <c r="AU1867">
        <f>COUNTA($BA$1867:$EH$1867)</f>
        <v/>
      </c>
      <c r="AV1867">
        <f>COUNTIF($BA$1867:$EH$1867,"D")</f>
        <v/>
      </c>
      <c r="AW1867">
        <f>COUNTIF($BA$1867:$EH$1867,"R")</f>
        <v/>
      </c>
      <c r="AX1867">
        <f>IF(BN1867="D",1,0)+IF(BO1867="D",1,0)+IF(BT1867="D",1,0)+IF(BU1867="D",1,0)+IF(BW1867="D",1,0)+IF(CC1867="D",1,0)+IF(CD1867="D",1,0)+IF(CE1867="D",1,0)+IF(CF1867="D",1,0)+IF(CL1867="D",1,0)+IF(CM1867="D",1,0)+IF(CQ1867="D",1,0)+IF(CR1867="D",1,0)+IF(CS1867="D",1,0)+IF(CW1867="D",1,0)+IF(CX1867="D",1,0)+IF(DD1867="D",1,0)+IF(DE1867="D",1,0)+IF(DJ1867="D",1,0)+IF(DK1867="D",1,0)+IF(DO1867="D",1,0)+IF(DP1867="D",1,0)+IF(DQ1867="D",1,0)+IF(DW1867="D",1,0)+IF(DZ1867="D",1,0)+IF(EH1867="D",1,0)</f>
        <v/>
      </c>
      <c r="AY1867">
        <f>IF(DJ1867&lt;&gt;"",1,0)+IF(DK1867&lt;&gt;"",1,0)+IF(DM1867&lt;&gt;"",1,0)+IF(DO1867&lt;&gt;"",1,0)+IF(DP1867&lt;&gt;"",1,0)+IF(DQ1867&lt;&gt;"",1,0)+IF(DS1867&lt;&gt;"",1,0)+IF(DT1867&lt;&gt;"",1,0)+IF(DV1867&lt;&gt;"",1,0)+IF(DW1867&lt;&gt;"",1,0)+IF(DX1867&lt;&gt;"",1,0)+IF(DY1867&lt;&gt;"",1,0)+IF(DZ1867&lt;&gt;"",1,0)+IF(EB1867&lt;&gt;"",1,0)+IF(EC1867&lt;&gt;"",1,0)+IF(ED1867&lt;&gt;"",1,0)+IF(EG1867&lt;&gt;"",1,0)+IF(EH1867&lt;&gt;"",1,0)</f>
        <v/>
      </c>
      <c r="AZ1867">
        <f>IF(EH1867&lt;&gt;"",1,0)</f>
        <v/>
      </c>
      <c r="BB1867" t="inlineStr">
        <is>
          <t>WARREN-WARD 4</t>
        </is>
      </c>
      <c r="CZ1867" t="inlineStr">
        <is>
          <t>D</t>
        </is>
      </c>
      <c r="DC1867" t="inlineStr">
        <is>
          <t>X</t>
        </is>
      </c>
      <c r="DI1867" t="inlineStr">
        <is>
          <t>X</t>
        </is>
      </c>
    </row>
    <row r="1868">
      <c r="A1868" t="inlineStr">
        <is>
          <t>OH0023077846</t>
        </is>
      </c>
      <c r="B1868" t="n">
        <v>78</v>
      </c>
      <c r="C1868" t="n">
        <v>406423</v>
      </c>
      <c r="D1868" t="inlineStr">
        <is>
          <t>TESORIERO</t>
        </is>
      </c>
      <c r="E1868" t="inlineStr">
        <is>
          <t>STEVEN</t>
        </is>
      </c>
      <c r="F1868">
        <f>CONCATENATE(D1868," ",LEFT(H1868,4),"T=",AU1868,"D=",AV1868,"R=",AW1868,"M=",AX1868,"L=",AY1868,"B=",AZ1868)</f>
        <v/>
      </c>
      <c r="G1868" t="inlineStr">
        <is>
          <t>M</t>
        </is>
      </c>
      <c r="I1868" t="inlineStr">
        <is>
          <t>1979-03-09</t>
        </is>
      </c>
      <c r="J1868" t="inlineStr">
        <is>
          <t>2024-11-05</t>
        </is>
      </c>
      <c r="K1868" t="inlineStr">
        <is>
          <t>ACTIVE</t>
        </is>
      </c>
      <c r="L1868" t="inlineStr">
        <is>
          <t>D</t>
        </is>
      </c>
      <c r="M1868" t="inlineStr">
        <is>
          <t>1124 HARRISON ST NE</t>
        </is>
      </c>
      <c r="N1868">
        <f>RIGHT(M1868,LEN(M1868)-FIND(" ",M1868))</f>
        <v/>
      </c>
      <c r="P1868" t="inlineStr">
        <is>
          <t>WARREN</t>
        </is>
      </c>
      <c r="Q1868" t="inlineStr">
        <is>
          <t>OH</t>
        </is>
      </c>
      <c r="R1868" t="n">
        <v>44483</v>
      </c>
      <c r="AD1868" t="inlineStr">
        <is>
          <t>TRUMBULL CAREER &amp; TECH CENTER</t>
        </is>
      </c>
      <c r="AE1868" t="inlineStr">
        <is>
          <t>WARREN CITY</t>
        </is>
      </c>
      <c r="AF1868" t="inlineStr">
        <is>
          <t>WARREN CITY SD</t>
        </is>
      </c>
      <c r="AH1868" t="n">
        <v>14</v>
      </c>
      <c r="AI1868" t="n">
        <v>11</v>
      </c>
      <c r="AN1868" t="inlineStr">
        <is>
          <t>WARREN</t>
        </is>
      </c>
      <c r="AO1868" t="inlineStr">
        <is>
          <t>WARREN CITY 4D</t>
        </is>
      </c>
      <c r="AP1868" t="inlineStr">
        <is>
          <t>78-P-ADL</t>
        </is>
      </c>
      <c r="AQ1868" t="n">
        <v>9</v>
      </c>
      <c r="AR1868" t="n">
        <v>64</v>
      </c>
      <c r="AS1868" t="n">
        <v>32</v>
      </c>
      <c r="AU1868">
        <f>COUNTA($BA$1868:$EH$1868)</f>
        <v/>
      </c>
      <c r="AV1868">
        <f>COUNTIF($BA$1868:$EH$1868,"D")</f>
        <v/>
      </c>
      <c r="AW1868">
        <f>COUNTIF($BA$1868:$EH$1868,"R")</f>
        <v/>
      </c>
      <c r="AX1868">
        <f>IF(BN1868="D",1,0)+IF(BO1868="D",1,0)+IF(BT1868="D",1,0)+IF(BU1868="D",1,0)+IF(BW1868="D",1,0)+IF(CC1868="D",1,0)+IF(CD1868="D",1,0)+IF(CE1868="D",1,0)+IF(CF1868="D",1,0)+IF(CL1868="D",1,0)+IF(CM1868="D",1,0)+IF(CQ1868="D",1,0)+IF(CR1868="D",1,0)+IF(CS1868="D",1,0)+IF(CW1868="D",1,0)+IF(CX1868="D",1,0)+IF(DD1868="D",1,0)+IF(DE1868="D",1,0)+IF(DJ1868="D",1,0)+IF(DK1868="D",1,0)+IF(DO1868="D",1,0)+IF(DP1868="D",1,0)+IF(DQ1868="D",1,0)+IF(DW1868="D",1,0)+IF(DZ1868="D",1,0)+IF(EH1868="D",1,0)</f>
        <v/>
      </c>
      <c r="AY1868">
        <f>IF(DJ1868&lt;&gt;"",1,0)+IF(DK1868&lt;&gt;"",1,0)+IF(DM1868&lt;&gt;"",1,0)+IF(DO1868&lt;&gt;"",1,0)+IF(DP1868&lt;&gt;"",1,0)+IF(DQ1868&lt;&gt;"",1,0)+IF(DS1868&lt;&gt;"",1,0)+IF(DT1868&lt;&gt;"",1,0)+IF(DV1868&lt;&gt;"",1,0)+IF(DW1868&lt;&gt;"",1,0)+IF(DX1868&lt;&gt;"",1,0)+IF(DY1868&lt;&gt;"",1,0)+IF(DZ1868&lt;&gt;"",1,0)+IF(EB1868&lt;&gt;"",1,0)+IF(EC1868&lt;&gt;"",1,0)+IF(ED1868&lt;&gt;"",1,0)+IF(EG1868&lt;&gt;"",1,0)+IF(EH1868&lt;&gt;"",1,0)</f>
        <v/>
      </c>
      <c r="AZ1868">
        <f>IF(EH1868&lt;&gt;"",1,0)</f>
        <v/>
      </c>
      <c r="BB1868" t="inlineStr">
        <is>
          <t>WARREN-WARD 4</t>
        </is>
      </c>
      <c r="CY1868" t="inlineStr">
        <is>
          <t>X</t>
        </is>
      </c>
      <c r="DC1868" t="inlineStr">
        <is>
          <t>X</t>
        </is>
      </c>
      <c r="DN1868" t="inlineStr">
        <is>
          <t>X</t>
        </is>
      </c>
      <c r="DU1868" t="inlineStr">
        <is>
          <t>X</t>
        </is>
      </c>
      <c r="DW1868" t="inlineStr">
        <is>
          <t>D</t>
        </is>
      </c>
      <c r="EA1868" t="inlineStr">
        <is>
          <t>X</t>
        </is>
      </c>
      <c r="EF1868" t="inlineStr">
        <is>
          <t>X</t>
        </is>
      </c>
      <c r="EH1868" t="inlineStr">
        <is>
          <t>D</t>
        </is>
      </c>
    </row>
    <row r="1869">
      <c r="A1869" t="inlineStr">
        <is>
          <t>OH0015748667</t>
        </is>
      </c>
      <c r="B1869" t="n">
        <v>78</v>
      </c>
      <c r="C1869" t="n">
        <v>330343</v>
      </c>
      <c r="D1869" t="inlineStr">
        <is>
          <t>HALL</t>
        </is>
      </c>
      <c r="E1869" t="inlineStr">
        <is>
          <t>RONALD</t>
        </is>
      </c>
      <c r="F1869">
        <f>CONCATENATE(D1869," ",LEFT(H1869,4),"T=",AU1869,"D=",AV1869,"R=",AW1869,"M=",AX1869,"L=",AY1869,"B=",AZ1869)</f>
        <v/>
      </c>
      <c r="G1869" t="inlineStr">
        <is>
          <t>L</t>
        </is>
      </c>
      <c r="I1869" t="inlineStr">
        <is>
          <t>1962-12-30</t>
        </is>
      </c>
      <c r="J1869" t="inlineStr">
        <is>
          <t>2016-07-14</t>
        </is>
      </c>
      <c r="K1869" t="inlineStr">
        <is>
          <t>ACTIVE</t>
        </is>
      </c>
      <c r="M1869" t="inlineStr">
        <is>
          <t>552 N PARK AVE</t>
        </is>
      </c>
      <c r="N1869">
        <f>RIGHT(M1869,LEN(M1869)-FIND(" ",M1869))</f>
        <v/>
      </c>
      <c r="P1869" t="inlineStr">
        <is>
          <t>WARREN</t>
        </is>
      </c>
      <c r="Q1869" t="inlineStr">
        <is>
          <t>OH</t>
        </is>
      </c>
      <c r="R1869" t="n">
        <v>44481</v>
      </c>
      <c r="AD1869" t="inlineStr">
        <is>
          <t>TRUMBULL CAREER &amp; TECH CENTER</t>
        </is>
      </c>
      <c r="AE1869" t="inlineStr">
        <is>
          <t>WARREN CITY</t>
        </is>
      </c>
      <c r="AF1869" t="inlineStr">
        <is>
          <t>WARREN CITY SD</t>
        </is>
      </c>
      <c r="AH1869" t="n">
        <v>14</v>
      </c>
      <c r="AI1869" t="n">
        <v>11</v>
      </c>
      <c r="AN1869" t="inlineStr">
        <is>
          <t>WARREN</t>
        </is>
      </c>
      <c r="AO1869" t="inlineStr">
        <is>
          <t>WARREN CITY 4D</t>
        </is>
      </c>
      <c r="AP1869" t="inlineStr">
        <is>
          <t>78-P-ADL</t>
        </is>
      </c>
      <c r="AQ1869" t="n">
        <v>9</v>
      </c>
      <c r="AR1869" t="n">
        <v>64</v>
      </c>
      <c r="AS1869" t="n">
        <v>32</v>
      </c>
      <c r="AU1869">
        <f>COUNTA($BA$1869:$EH$1869)</f>
        <v/>
      </c>
      <c r="AV1869">
        <f>COUNTIF($BA$1869:$EH$1869,"D")</f>
        <v/>
      </c>
      <c r="AW1869">
        <f>COUNTIF($BA$1869:$EH$1869,"R")</f>
        <v/>
      </c>
      <c r="AX1869">
        <f>IF(BN1869="D",1,0)+IF(BO1869="D",1,0)+IF(BT1869="D",1,0)+IF(BU1869="D",1,0)+IF(BW1869="D",1,0)+IF(CC1869="D",1,0)+IF(CD1869="D",1,0)+IF(CE1869="D",1,0)+IF(CF1869="D",1,0)+IF(CL1869="D",1,0)+IF(CM1869="D",1,0)+IF(CQ1869="D",1,0)+IF(CR1869="D",1,0)+IF(CS1869="D",1,0)+IF(CW1869="D",1,0)+IF(CX1869="D",1,0)+IF(DD1869="D",1,0)+IF(DE1869="D",1,0)+IF(DJ1869="D",1,0)+IF(DK1869="D",1,0)+IF(DO1869="D",1,0)+IF(DP1869="D",1,0)+IF(DQ1869="D",1,0)+IF(DW1869="D",1,0)+IF(DZ1869="D",1,0)+IF(EH1869="D",1,0)</f>
        <v/>
      </c>
      <c r="AY1869">
        <f>IF(DJ1869&lt;&gt;"",1,0)+IF(DK1869&lt;&gt;"",1,0)+IF(DM1869&lt;&gt;"",1,0)+IF(DO1869&lt;&gt;"",1,0)+IF(DP1869&lt;&gt;"",1,0)+IF(DQ1869&lt;&gt;"",1,0)+IF(DS1869&lt;&gt;"",1,0)+IF(DT1869&lt;&gt;"",1,0)+IF(DV1869&lt;&gt;"",1,0)+IF(DW1869&lt;&gt;"",1,0)+IF(DX1869&lt;&gt;"",1,0)+IF(DY1869&lt;&gt;"",1,0)+IF(DZ1869&lt;&gt;"",1,0)+IF(EB1869&lt;&gt;"",1,0)+IF(EC1869&lt;&gt;"",1,0)+IF(ED1869&lt;&gt;"",1,0)+IF(EG1869&lt;&gt;"",1,0)+IF(EH1869&lt;&gt;"",1,0)</f>
        <v/>
      </c>
      <c r="AZ1869">
        <f>IF(EH1869&lt;&gt;"",1,0)</f>
        <v/>
      </c>
      <c r="BB1869" t="inlineStr">
        <is>
          <t>WARREN-WARD 4</t>
        </is>
      </c>
    </row>
    <row r="1870">
      <c r="A1870" t="inlineStr">
        <is>
          <t>OH0022497994</t>
        </is>
      </c>
      <c r="B1870" t="n">
        <v>78</v>
      </c>
      <c r="C1870" t="n">
        <v>397537</v>
      </c>
      <c r="D1870" t="inlineStr">
        <is>
          <t>CUMMINGS</t>
        </is>
      </c>
      <c r="E1870" t="inlineStr">
        <is>
          <t>WILLIE</t>
        </is>
      </c>
      <c r="F1870">
        <f>CONCATENATE(D1870," ",LEFT(H1870,4),"T=",AU1870,"D=",AV1870,"R=",AW1870,"M=",AX1870,"L=",AY1870,"B=",AZ1870)</f>
        <v/>
      </c>
      <c r="G1870" t="inlineStr">
        <is>
          <t>L</t>
        </is>
      </c>
      <c r="I1870" t="inlineStr">
        <is>
          <t>1959-07-18</t>
        </is>
      </c>
      <c r="J1870" t="inlineStr">
        <is>
          <t>2016-07-19</t>
        </is>
      </c>
      <c r="K1870" t="inlineStr">
        <is>
          <t>ACTIVE</t>
        </is>
      </c>
      <c r="M1870" t="inlineStr">
        <is>
          <t>329 SCOTT ST NE</t>
        </is>
      </c>
      <c r="N1870">
        <f>RIGHT(M1870,LEN(M1870)-FIND(" ",M1870))</f>
        <v/>
      </c>
      <c r="O1870" t="inlineStr">
        <is>
          <t>APT 2</t>
        </is>
      </c>
      <c r="P1870" t="inlineStr">
        <is>
          <t>WARREN</t>
        </is>
      </c>
      <c r="Q1870" t="inlineStr">
        <is>
          <t>OH</t>
        </is>
      </c>
      <c r="R1870" t="n">
        <v>44483</v>
      </c>
      <c r="AD1870" t="inlineStr">
        <is>
          <t>TRUMBULL CAREER &amp; TECH CENTER</t>
        </is>
      </c>
      <c r="AE1870" t="inlineStr">
        <is>
          <t>WARREN CITY</t>
        </is>
      </c>
      <c r="AF1870" t="inlineStr">
        <is>
          <t>WARREN CITY SD</t>
        </is>
      </c>
      <c r="AH1870" t="n">
        <v>14</v>
      </c>
      <c r="AI1870" t="n">
        <v>11</v>
      </c>
      <c r="AN1870" t="inlineStr">
        <is>
          <t>WARREN</t>
        </is>
      </c>
      <c r="AO1870" t="inlineStr">
        <is>
          <t>WARREN CITY 4D</t>
        </is>
      </c>
      <c r="AP1870" t="inlineStr">
        <is>
          <t>78-P-ADL</t>
        </is>
      </c>
      <c r="AQ1870" t="n">
        <v>9</v>
      </c>
      <c r="AR1870" t="n">
        <v>64</v>
      </c>
      <c r="AS1870" t="n">
        <v>32</v>
      </c>
      <c r="AU1870">
        <f>COUNTA($BA$1870:$EH$1870)</f>
        <v/>
      </c>
      <c r="AV1870">
        <f>COUNTIF($BA$1870:$EH$1870,"D")</f>
        <v/>
      </c>
      <c r="AW1870">
        <f>COUNTIF($BA$1870:$EH$1870,"R")</f>
        <v/>
      </c>
      <c r="AX1870">
        <f>IF(BN1870="D",1,0)+IF(BO1870="D",1,0)+IF(BT1870="D",1,0)+IF(BU1870="D",1,0)+IF(BW1870="D",1,0)+IF(CC1870="D",1,0)+IF(CD1870="D",1,0)+IF(CE1870="D",1,0)+IF(CF1870="D",1,0)+IF(CL1870="D",1,0)+IF(CM1870="D",1,0)+IF(CQ1870="D",1,0)+IF(CR1870="D",1,0)+IF(CS1870="D",1,0)+IF(CW1870="D",1,0)+IF(CX1870="D",1,0)+IF(DD1870="D",1,0)+IF(DE1870="D",1,0)+IF(DJ1870="D",1,0)+IF(DK1870="D",1,0)+IF(DO1870="D",1,0)+IF(DP1870="D",1,0)+IF(DQ1870="D",1,0)+IF(DW1870="D",1,0)+IF(DZ1870="D",1,0)+IF(EH1870="D",1,0)</f>
        <v/>
      </c>
      <c r="AY1870">
        <f>IF(DJ1870&lt;&gt;"",1,0)+IF(DK1870&lt;&gt;"",1,0)+IF(DM1870&lt;&gt;"",1,0)+IF(DO1870&lt;&gt;"",1,0)+IF(DP1870&lt;&gt;"",1,0)+IF(DQ1870&lt;&gt;"",1,0)+IF(DS1870&lt;&gt;"",1,0)+IF(DT1870&lt;&gt;"",1,0)+IF(DV1870&lt;&gt;"",1,0)+IF(DW1870&lt;&gt;"",1,0)+IF(DX1870&lt;&gt;"",1,0)+IF(DY1870&lt;&gt;"",1,0)+IF(DZ1870&lt;&gt;"",1,0)+IF(EB1870&lt;&gt;"",1,0)+IF(EC1870&lt;&gt;"",1,0)+IF(ED1870&lt;&gt;"",1,0)+IF(EG1870&lt;&gt;"",1,0)+IF(EH1870&lt;&gt;"",1,0)</f>
        <v/>
      </c>
      <c r="AZ1870">
        <f>IF(EH1870&lt;&gt;"",1,0)</f>
        <v/>
      </c>
      <c r="BB1870" t="inlineStr">
        <is>
          <t>WARREN-WARD 4</t>
        </is>
      </c>
    </row>
    <row r="1871">
      <c r="A1871" t="inlineStr">
        <is>
          <t>OH0015788642</t>
        </is>
      </c>
      <c r="B1871" t="n">
        <v>78</v>
      </c>
      <c r="C1871" t="n">
        <v>65120</v>
      </c>
      <c r="D1871" t="inlineStr">
        <is>
          <t>REEL</t>
        </is>
      </c>
      <c r="E1871" t="inlineStr">
        <is>
          <t>RANDY</t>
        </is>
      </c>
      <c r="F1871">
        <f>CONCATENATE(D1871," ",LEFT(H1871,4),"T=",AU1871,"D=",AV1871,"R=",AW1871,"M=",AX1871,"L=",AY1871,"B=",AZ1871)</f>
        <v/>
      </c>
      <c r="G1871" t="inlineStr">
        <is>
          <t>K</t>
        </is>
      </c>
      <c r="I1871" t="inlineStr">
        <is>
          <t>1961-06-22</t>
        </is>
      </c>
      <c r="J1871" t="inlineStr">
        <is>
          <t>2016-07-05</t>
        </is>
      </c>
      <c r="K1871" t="inlineStr">
        <is>
          <t>ACTIVE</t>
        </is>
      </c>
      <c r="L1871" t="inlineStr">
        <is>
          <t>D</t>
        </is>
      </c>
      <c r="M1871" t="inlineStr">
        <is>
          <t>810 ATLANTIC ST NE</t>
        </is>
      </c>
      <c r="N1871">
        <f>RIGHT(M1871,LEN(M1871)-FIND(" ",M1871))</f>
        <v/>
      </c>
      <c r="P1871" t="inlineStr">
        <is>
          <t>WARREN</t>
        </is>
      </c>
      <c r="Q1871" t="inlineStr">
        <is>
          <t>OH</t>
        </is>
      </c>
      <c r="R1871" t="n">
        <v>44483</v>
      </c>
      <c r="AD1871" t="inlineStr">
        <is>
          <t>TRUMBULL CAREER &amp; TECH CENTER</t>
        </is>
      </c>
      <c r="AE1871" t="inlineStr">
        <is>
          <t>WARREN CITY</t>
        </is>
      </c>
      <c r="AF1871" t="inlineStr">
        <is>
          <t>WARREN CITY SD</t>
        </is>
      </c>
      <c r="AH1871" t="n">
        <v>14</v>
      </c>
      <c r="AI1871" t="n">
        <v>11</v>
      </c>
      <c r="AN1871" t="inlineStr">
        <is>
          <t>WARREN</t>
        </is>
      </c>
      <c r="AO1871" t="inlineStr">
        <is>
          <t>WARREN CITY 4D</t>
        </is>
      </c>
      <c r="AP1871" t="inlineStr">
        <is>
          <t>78-P-ADL</t>
        </is>
      </c>
      <c r="AQ1871" t="n">
        <v>9</v>
      </c>
      <c r="AR1871" t="n">
        <v>64</v>
      </c>
      <c r="AS1871" t="n">
        <v>32</v>
      </c>
      <c r="AU1871">
        <f>COUNTA($BA$1871:$EH$1871)</f>
        <v/>
      </c>
      <c r="AV1871">
        <f>COUNTIF($BA$1871:$EH$1871,"D")</f>
        <v/>
      </c>
      <c r="AW1871">
        <f>COUNTIF($BA$1871:$EH$1871,"R")</f>
        <v/>
      </c>
      <c r="AX1871">
        <f>IF(BN1871="D",1,0)+IF(BO1871="D",1,0)+IF(BT1871="D",1,0)+IF(BU1871="D",1,0)+IF(BW1871="D",1,0)+IF(CC1871="D",1,0)+IF(CD1871="D",1,0)+IF(CE1871="D",1,0)+IF(CF1871="D",1,0)+IF(CL1871="D",1,0)+IF(CM1871="D",1,0)+IF(CQ1871="D",1,0)+IF(CR1871="D",1,0)+IF(CS1871="D",1,0)+IF(CW1871="D",1,0)+IF(CX1871="D",1,0)+IF(DD1871="D",1,0)+IF(DE1871="D",1,0)+IF(DJ1871="D",1,0)+IF(DK1871="D",1,0)+IF(DO1871="D",1,0)+IF(DP1871="D",1,0)+IF(DQ1871="D",1,0)+IF(DW1871="D",1,0)+IF(DZ1871="D",1,0)+IF(EH1871="D",1,0)</f>
        <v/>
      </c>
      <c r="AY1871">
        <f>IF(DJ1871&lt;&gt;"",1,0)+IF(DK1871&lt;&gt;"",1,0)+IF(DM1871&lt;&gt;"",1,0)+IF(DO1871&lt;&gt;"",1,0)+IF(DP1871&lt;&gt;"",1,0)+IF(DQ1871&lt;&gt;"",1,0)+IF(DS1871&lt;&gt;"",1,0)+IF(DT1871&lt;&gt;"",1,0)+IF(DV1871&lt;&gt;"",1,0)+IF(DW1871&lt;&gt;"",1,0)+IF(DX1871&lt;&gt;"",1,0)+IF(DY1871&lt;&gt;"",1,0)+IF(DZ1871&lt;&gt;"",1,0)+IF(EB1871&lt;&gt;"",1,0)+IF(EC1871&lt;&gt;"",1,0)+IF(ED1871&lt;&gt;"",1,0)+IF(EG1871&lt;&gt;"",1,0)+IF(EH1871&lt;&gt;"",1,0)</f>
        <v/>
      </c>
      <c r="AZ1871">
        <f>IF(EH1871&lt;&gt;"",1,0)</f>
        <v/>
      </c>
      <c r="BB1871" t="inlineStr">
        <is>
          <t>WARREN-WARD 4</t>
        </is>
      </c>
      <c r="BC1871" t="inlineStr">
        <is>
          <t>X</t>
        </is>
      </c>
      <c r="BD1871" t="inlineStr">
        <is>
          <t>X</t>
        </is>
      </c>
      <c r="BF1871" t="inlineStr">
        <is>
          <t>X</t>
        </is>
      </c>
      <c r="BG1871" t="inlineStr">
        <is>
          <t>X</t>
        </is>
      </c>
      <c r="BH1871" t="inlineStr">
        <is>
          <t>X</t>
        </is>
      </c>
      <c r="BJ1871" t="inlineStr">
        <is>
          <t>X</t>
        </is>
      </c>
      <c r="BK1871" t="inlineStr">
        <is>
          <t>X</t>
        </is>
      </c>
      <c r="BL1871" t="inlineStr">
        <is>
          <t>X</t>
        </is>
      </c>
      <c r="BP1871" t="inlineStr">
        <is>
          <t>X</t>
        </is>
      </c>
      <c r="BR1871" t="inlineStr">
        <is>
          <t>X</t>
        </is>
      </c>
      <c r="BS1871" t="inlineStr">
        <is>
          <t>X</t>
        </is>
      </c>
      <c r="BY1871" t="inlineStr">
        <is>
          <t>D</t>
        </is>
      </c>
      <c r="CA1871" t="inlineStr">
        <is>
          <t>X</t>
        </is>
      </c>
      <c r="CG1871" t="inlineStr">
        <is>
          <t>X</t>
        </is>
      </c>
      <c r="CH1871" t="inlineStr">
        <is>
          <t>D</t>
        </is>
      </c>
      <c r="CK1871" t="inlineStr">
        <is>
          <t>X</t>
        </is>
      </c>
      <c r="CN1871" t="inlineStr">
        <is>
          <t>X</t>
        </is>
      </c>
      <c r="CP1871" t="inlineStr">
        <is>
          <t>X</t>
        </is>
      </c>
      <c r="CQ1871" t="inlineStr">
        <is>
          <t>X</t>
        </is>
      </c>
      <c r="CT1871" t="inlineStr">
        <is>
          <t>X</t>
        </is>
      </c>
      <c r="CU1871" t="inlineStr">
        <is>
          <t>D</t>
        </is>
      </c>
      <c r="CV1871" t="inlineStr">
        <is>
          <t>X</t>
        </is>
      </c>
      <c r="CW1871" t="inlineStr">
        <is>
          <t>X</t>
        </is>
      </c>
      <c r="CY1871" t="inlineStr">
        <is>
          <t>X</t>
        </is>
      </c>
      <c r="CZ1871" t="inlineStr">
        <is>
          <t>R</t>
        </is>
      </c>
      <c r="DC1871" t="inlineStr">
        <is>
          <t>X</t>
        </is>
      </c>
      <c r="DD1871" t="inlineStr">
        <is>
          <t>D</t>
        </is>
      </c>
      <c r="DF1871" t="inlineStr">
        <is>
          <t>X</t>
        </is>
      </c>
      <c r="DG1871" t="inlineStr">
        <is>
          <t>D</t>
        </is>
      </c>
      <c r="DI1871" t="inlineStr">
        <is>
          <t>X</t>
        </is>
      </c>
      <c r="DJ1871" t="inlineStr">
        <is>
          <t>D</t>
        </is>
      </c>
      <c r="DL1871" t="inlineStr">
        <is>
          <t>X</t>
        </is>
      </c>
      <c r="DM1871" t="inlineStr">
        <is>
          <t>D</t>
        </is>
      </c>
      <c r="DN1871" t="inlineStr">
        <is>
          <t>X</t>
        </is>
      </c>
      <c r="DS1871" t="inlineStr">
        <is>
          <t>D</t>
        </is>
      </c>
      <c r="DU1871" t="inlineStr">
        <is>
          <t>X</t>
        </is>
      </c>
      <c r="DW1871" t="inlineStr">
        <is>
          <t>D</t>
        </is>
      </c>
      <c r="DX1871" t="inlineStr">
        <is>
          <t>X</t>
        </is>
      </c>
      <c r="EA1871" t="inlineStr">
        <is>
          <t>X</t>
        </is>
      </c>
      <c r="ED1871" t="inlineStr">
        <is>
          <t>D</t>
        </is>
      </c>
      <c r="EF1871" t="inlineStr">
        <is>
          <t>X</t>
        </is>
      </c>
    </row>
    <row r="1872">
      <c r="A1872" t="inlineStr">
        <is>
          <t>OH0015707748</t>
        </is>
      </c>
      <c r="B1872" t="n">
        <v>78</v>
      </c>
      <c r="C1872" t="n">
        <v>172182</v>
      </c>
      <c r="D1872" t="inlineStr">
        <is>
          <t>REEL</t>
        </is>
      </c>
      <c r="E1872" t="inlineStr">
        <is>
          <t>DEBRA</t>
        </is>
      </c>
      <c r="F1872">
        <f>CONCATENATE(D1872," ",LEFT(H1872,4),"T=",AU1872,"D=",AV1872,"R=",AW1872,"M=",AX1872,"L=",AY1872,"B=",AZ1872)</f>
        <v/>
      </c>
      <c r="G1872" t="inlineStr">
        <is>
          <t>M</t>
        </is>
      </c>
      <c r="I1872" t="inlineStr">
        <is>
          <t>1965-11-26</t>
        </is>
      </c>
      <c r="J1872" t="inlineStr">
        <is>
          <t>2016-07-05</t>
        </is>
      </c>
      <c r="K1872" t="inlineStr">
        <is>
          <t>ACTIVE</t>
        </is>
      </c>
      <c r="L1872" t="inlineStr">
        <is>
          <t>D</t>
        </is>
      </c>
      <c r="M1872" t="inlineStr">
        <is>
          <t>810 ATLANTIC ST NE</t>
        </is>
      </c>
      <c r="N1872">
        <f>RIGHT(M1872,LEN(M1872)-FIND(" ",M1872))</f>
        <v/>
      </c>
      <c r="P1872" t="inlineStr">
        <is>
          <t>WARREN</t>
        </is>
      </c>
      <c r="Q1872" t="inlineStr">
        <is>
          <t>OH</t>
        </is>
      </c>
      <c r="R1872" t="n">
        <v>44483</v>
      </c>
      <c r="AD1872" t="inlineStr">
        <is>
          <t>TRUMBULL CAREER &amp; TECH CENTER</t>
        </is>
      </c>
      <c r="AE1872" t="inlineStr">
        <is>
          <t>WARREN CITY</t>
        </is>
      </c>
      <c r="AF1872" t="inlineStr">
        <is>
          <t>WARREN CITY SD</t>
        </is>
      </c>
      <c r="AH1872" t="n">
        <v>14</v>
      </c>
      <c r="AI1872" t="n">
        <v>11</v>
      </c>
      <c r="AN1872" t="inlineStr">
        <is>
          <t>WARREN</t>
        </is>
      </c>
      <c r="AO1872" t="inlineStr">
        <is>
          <t>WARREN CITY 4D</t>
        </is>
      </c>
      <c r="AP1872" t="inlineStr">
        <is>
          <t>78-P-ADL</t>
        </is>
      </c>
      <c r="AQ1872" t="n">
        <v>9</v>
      </c>
      <c r="AR1872" t="n">
        <v>64</v>
      </c>
      <c r="AS1872" t="n">
        <v>32</v>
      </c>
      <c r="AU1872">
        <f>COUNTA($BA$1872:$EH$1872)</f>
        <v/>
      </c>
      <c r="AV1872">
        <f>COUNTIF($BA$1872:$EH$1872,"D")</f>
        <v/>
      </c>
      <c r="AW1872">
        <f>COUNTIF($BA$1872:$EH$1872,"R")</f>
        <v/>
      </c>
      <c r="AX1872">
        <f>IF(BN1872="D",1,0)+IF(BO1872="D",1,0)+IF(BT1872="D",1,0)+IF(BU1872="D",1,0)+IF(BW1872="D",1,0)+IF(CC1872="D",1,0)+IF(CD1872="D",1,0)+IF(CE1872="D",1,0)+IF(CF1872="D",1,0)+IF(CL1872="D",1,0)+IF(CM1872="D",1,0)+IF(CQ1872="D",1,0)+IF(CR1872="D",1,0)+IF(CS1872="D",1,0)+IF(CW1872="D",1,0)+IF(CX1872="D",1,0)+IF(DD1872="D",1,0)+IF(DE1872="D",1,0)+IF(DJ1872="D",1,0)+IF(DK1872="D",1,0)+IF(DO1872="D",1,0)+IF(DP1872="D",1,0)+IF(DQ1872="D",1,0)+IF(DW1872="D",1,0)+IF(DZ1872="D",1,0)+IF(EH1872="D",1,0)</f>
        <v/>
      </c>
      <c r="AY1872">
        <f>IF(DJ1872&lt;&gt;"",1,0)+IF(DK1872&lt;&gt;"",1,0)+IF(DM1872&lt;&gt;"",1,0)+IF(DO1872&lt;&gt;"",1,0)+IF(DP1872&lt;&gt;"",1,0)+IF(DQ1872&lt;&gt;"",1,0)+IF(DS1872&lt;&gt;"",1,0)+IF(DT1872&lt;&gt;"",1,0)+IF(DV1872&lt;&gt;"",1,0)+IF(DW1872&lt;&gt;"",1,0)+IF(DX1872&lt;&gt;"",1,0)+IF(DY1872&lt;&gt;"",1,0)+IF(DZ1872&lt;&gt;"",1,0)+IF(EB1872&lt;&gt;"",1,0)+IF(EC1872&lt;&gt;"",1,0)+IF(ED1872&lt;&gt;"",1,0)+IF(EG1872&lt;&gt;"",1,0)+IF(EH1872&lt;&gt;"",1,0)</f>
        <v/>
      </c>
      <c r="AZ1872">
        <f>IF(EH1872&lt;&gt;"",1,0)</f>
        <v/>
      </c>
      <c r="BB1872" t="inlineStr">
        <is>
          <t>WARREN-WARD 4</t>
        </is>
      </c>
      <c r="BC1872" t="inlineStr">
        <is>
          <t>X</t>
        </is>
      </c>
      <c r="BD1872" t="inlineStr">
        <is>
          <t>X</t>
        </is>
      </c>
      <c r="BF1872" t="inlineStr">
        <is>
          <t>X</t>
        </is>
      </c>
      <c r="BG1872" t="inlineStr">
        <is>
          <t>X</t>
        </is>
      </c>
      <c r="BH1872" t="inlineStr">
        <is>
          <t>X</t>
        </is>
      </c>
      <c r="BJ1872" t="inlineStr">
        <is>
          <t>X</t>
        </is>
      </c>
      <c r="BK1872" t="inlineStr">
        <is>
          <t>X</t>
        </is>
      </c>
      <c r="BL1872" t="inlineStr">
        <is>
          <t>X</t>
        </is>
      </c>
      <c r="BP1872" t="inlineStr">
        <is>
          <t>X</t>
        </is>
      </c>
      <c r="BS1872" t="inlineStr">
        <is>
          <t>X</t>
        </is>
      </c>
      <c r="BY1872" t="inlineStr">
        <is>
          <t>D</t>
        </is>
      </c>
      <c r="CA1872" t="inlineStr">
        <is>
          <t>X</t>
        </is>
      </c>
      <c r="CG1872" t="inlineStr">
        <is>
          <t>X</t>
        </is>
      </c>
      <c r="CH1872" t="inlineStr">
        <is>
          <t>D</t>
        </is>
      </c>
      <c r="CK1872" t="inlineStr">
        <is>
          <t>X</t>
        </is>
      </c>
      <c r="CN1872" t="inlineStr">
        <is>
          <t>X</t>
        </is>
      </c>
      <c r="CO1872" t="inlineStr">
        <is>
          <t>D</t>
        </is>
      </c>
      <c r="CP1872" t="inlineStr">
        <is>
          <t>X</t>
        </is>
      </c>
      <c r="CQ1872" t="inlineStr">
        <is>
          <t>X</t>
        </is>
      </c>
      <c r="CT1872" t="inlineStr">
        <is>
          <t>X</t>
        </is>
      </c>
      <c r="CU1872" t="inlineStr">
        <is>
          <t>D</t>
        </is>
      </c>
      <c r="CV1872" t="inlineStr">
        <is>
          <t>X</t>
        </is>
      </c>
      <c r="CW1872" t="inlineStr">
        <is>
          <t>X</t>
        </is>
      </c>
      <c r="CY1872" t="inlineStr">
        <is>
          <t>X</t>
        </is>
      </c>
      <c r="CZ1872" t="inlineStr">
        <is>
          <t>D</t>
        </is>
      </c>
      <c r="DC1872" t="inlineStr">
        <is>
          <t>X</t>
        </is>
      </c>
      <c r="DD1872" t="inlineStr">
        <is>
          <t>D</t>
        </is>
      </c>
      <c r="DF1872" t="inlineStr">
        <is>
          <t>X</t>
        </is>
      </c>
      <c r="DG1872" t="inlineStr">
        <is>
          <t>D</t>
        </is>
      </c>
      <c r="DI1872" t="inlineStr">
        <is>
          <t>X</t>
        </is>
      </c>
      <c r="DJ1872" t="inlineStr">
        <is>
          <t>D</t>
        </is>
      </c>
      <c r="DL1872" t="inlineStr">
        <is>
          <t>X</t>
        </is>
      </c>
      <c r="DM1872" t="inlineStr">
        <is>
          <t>D</t>
        </is>
      </c>
      <c r="DN1872" t="inlineStr">
        <is>
          <t>X</t>
        </is>
      </c>
      <c r="DS1872" t="inlineStr">
        <is>
          <t>D</t>
        </is>
      </c>
      <c r="DU1872" t="inlineStr">
        <is>
          <t>X</t>
        </is>
      </c>
      <c r="DW1872" t="inlineStr">
        <is>
          <t>D</t>
        </is>
      </c>
      <c r="DX1872" t="inlineStr">
        <is>
          <t>X</t>
        </is>
      </c>
      <c r="EA1872" t="inlineStr">
        <is>
          <t>X</t>
        </is>
      </c>
      <c r="ED1872" t="inlineStr">
        <is>
          <t>D</t>
        </is>
      </c>
      <c r="EF1872" t="inlineStr">
        <is>
          <t>X</t>
        </is>
      </c>
    </row>
    <row r="1873">
      <c r="A1873" t="inlineStr">
        <is>
          <t>OH0023187337</t>
        </is>
      </c>
      <c r="B1873" t="n">
        <v>78</v>
      </c>
      <c r="C1873" t="n">
        <v>408056</v>
      </c>
      <c r="D1873" t="inlineStr">
        <is>
          <t>MORRISON</t>
        </is>
      </c>
      <c r="E1873" t="inlineStr">
        <is>
          <t>NATASHA</t>
        </is>
      </c>
      <c r="F1873">
        <f>CONCATENATE(D1873," ",LEFT(H1873,4),"T=",AU1873,"D=",AV1873,"R=",AW1873,"M=",AX1873,"L=",AY1873,"B=",AZ1873)</f>
        <v/>
      </c>
      <c r="G1873" t="inlineStr">
        <is>
          <t>A</t>
        </is>
      </c>
      <c r="I1873" t="inlineStr">
        <is>
          <t>1997-05-18</t>
        </is>
      </c>
      <c r="J1873" t="inlineStr">
        <is>
          <t>2016-05-16</t>
        </is>
      </c>
      <c r="K1873" t="inlineStr">
        <is>
          <t>ACTIVE</t>
        </is>
      </c>
      <c r="M1873" t="inlineStr">
        <is>
          <t>482 OLIVE AVE NE</t>
        </is>
      </c>
      <c r="N1873">
        <f>RIGHT(M1873,LEN(M1873)-FIND(" ",M1873))</f>
        <v/>
      </c>
      <c r="P1873" t="inlineStr">
        <is>
          <t>WARREN</t>
        </is>
      </c>
      <c r="Q1873" t="inlineStr">
        <is>
          <t>OH</t>
        </is>
      </c>
      <c r="R1873" t="n">
        <v>44483</v>
      </c>
      <c r="AD1873" t="inlineStr">
        <is>
          <t>TRUMBULL CAREER &amp; TECH CENTER</t>
        </is>
      </c>
      <c r="AE1873" t="inlineStr">
        <is>
          <t>WARREN CITY</t>
        </is>
      </c>
      <c r="AF1873" t="inlineStr">
        <is>
          <t>WARREN CITY SD</t>
        </is>
      </c>
      <c r="AH1873" t="n">
        <v>14</v>
      </c>
      <c r="AI1873" t="n">
        <v>11</v>
      </c>
      <c r="AN1873" t="inlineStr">
        <is>
          <t>WARREN</t>
        </is>
      </c>
      <c r="AO1873" t="inlineStr">
        <is>
          <t>WARREN CITY 4D</t>
        </is>
      </c>
      <c r="AP1873" t="inlineStr">
        <is>
          <t>78-P-ADL</t>
        </is>
      </c>
      <c r="AQ1873" t="n">
        <v>9</v>
      </c>
      <c r="AR1873" t="n">
        <v>64</v>
      </c>
      <c r="AS1873" t="n">
        <v>32</v>
      </c>
      <c r="AU1873">
        <f>COUNTA($BA$1873:$EH$1873)</f>
        <v/>
      </c>
      <c r="AV1873">
        <f>COUNTIF($BA$1873:$EH$1873,"D")</f>
        <v/>
      </c>
      <c r="AW1873">
        <f>COUNTIF($BA$1873:$EH$1873,"R")</f>
        <v/>
      </c>
      <c r="AX1873">
        <f>IF(BN1873="D",1,0)+IF(BO1873="D",1,0)+IF(BT1873="D",1,0)+IF(BU1873="D",1,0)+IF(BW1873="D",1,0)+IF(CC1873="D",1,0)+IF(CD1873="D",1,0)+IF(CE1873="D",1,0)+IF(CF1873="D",1,0)+IF(CL1873="D",1,0)+IF(CM1873="D",1,0)+IF(CQ1873="D",1,0)+IF(CR1873="D",1,0)+IF(CS1873="D",1,0)+IF(CW1873="D",1,0)+IF(CX1873="D",1,0)+IF(DD1873="D",1,0)+IF(DE1873="D",1,0)+IF(DJ1873="D",1,0)+IF(DK1873="D",1,0)+IF(DO1873="D",1,0)+IF(DP1873="D",1,0)+IF(DQ1873="D",1,0)+IF(DW1873="D",1,0)+IF(DZ1873="D",1,0)+IF(EH1873="D",1,0)</f>
        <v/>
      </c>
      <c r="AY1873">
        <f>IF(DJ1873&lt;&gt;"",1,0)+IF(DK1873&lt;&gt;"",1,0)+IF(DM1873&lt;&gt;"",1,0)+IF(DO1873&lt;&gt;"",1,0)+IF(DP1873&lt;&gt;"",1,0)+IF(DQ1873&lt;&gt;"",1,0)+IF(DS1873&lt;&gt;"",1,0)+IF(DT1873&lt;&gt;"",1,0)+IF(DV1873&lt;&gt;"",1,0)+IF(DW1873&lt;&gt;"",1,0)+IF(DX1873&lt;&gt;"",1,0)+IF(DY1873&lt;&gt;"",1,0)+IF(DZ1873&lt;&gt;"",1,0)+IF(EB1873&lt;&gt;"",1,0)+IF(EC1873&lt;&gt;"",1,0)+IF(ED1873&lt;&gt;"",1,0)+IF(EG1873&lt;&gt;"",1,0)+IF(EH1873&lt;&gt;"",1,0)</f>
        <v/>
      </c>
      <c r="AZ1873">
        <f>IF(EH1873&lt;&gt;"",1,0)</f>
        <v/>
      </c>
      <c r="BB1873" t="inlineStr">
        <is>
          <t>WARREN-WARD 4</t>
        </is>
      </c>
    </row>
    <row r="1874">
      <c r="A1874" t="inlineStr">
        <is>
          <t>OH0015694826</t>
        </is>
      </c>
      <c r="B1874" t="n">
        <v>78</v>
      </c>
      <c r="C1874" t="n">
        <v>14747</v>
      </c>
      <c r="D1874" t="inlineStr">
        <is>
          <t>THOMAS</t>
        </is>
      </c>
      <c r="E1874" t="inlineStr">
        <is>
          <t>TIM</t>
        </is>
      </c>
      <c r="F1874">
        <f>CONCATENATE(D1874," ",LEFT(H1874,4),"T=",AU1874,"D=",AV1874,"R=",AW1874,"M=",AX1874,"L=",AY1874,"B=",AZ1874)</f>
        <v/>
      </c>
      <c r="G1874" t="inlineStr">
        <is>
          <t>THEMISTOCLES</t>
        </is>
      </c>
      <c r="I1874" t="inlineStr">
        <is>
          <t>1953-05-31</t>
        </is>
      </c>
      <c r="J1874" t="inlineStr">
        <is>
          <t>2024-05-20</t>
        </is>
      </c>
      <c r="K1874" t="inlineStr">
        <is>
          <t>ACTIVE</t>
        </is>
      </c>
      <c r="L1874" t="inlineStr">
        <is>
          <t>D</t>
        </is>
      </c>
      <c r="M1874" t="inlineStr">
        <is>
          <t>263 LOWELL AVE NE</t>
        </is>
      </c>
      <c r="N1874">
        <f>RIGHT(M1874,LEN(M1874)-FIND(" ",M1874))</f>
        <v/>
      </c>
      <c r="P1874" t="inlineStr">
        <is>
          <t>WARREN</t>
        </is>
      </c>
      <c r="Q1874" t="inlineStr">
        <is>
          <t>OH</t>
        </is>
      </c>
      <c r="R1874" t="n">
        <v>44483</v>
      </c>
      <c r="AD1874" t="inlineStr">
        <is>
          <t>TRUMBULL CAREER &amp; TECH CENTER</t>
        </is>
      </c>
      <c r="AE1874" t="inlineStr">
        <is>
          <t>WARREN CITY</t>
        </is>
      </c>
      <c r="AF1874" t="inlineStr">
        <is>
          <t>WARREN CITY SD</t>
        </is>
      </c>
      <c r="AH1874" t="n">
        <v>14</v>
      </c>
      <c r="AI1874" t="n">
        <v>11</v>
      </c>
      <c r="AN1874" t="inlineStr">
        <is>
          <t>WARREN</t>
        </is>
      </c>
      <c r="AO1874" t="inlineStr">
        <is>
          <t>WARREN CITY 4D</t>
        </is>
      </c>
      <c r="AP1874" t="inlineStr">
        <is>
          <t>78-P-ADL</t>
        </is>
      </c>
      <c r="AQ1874" t="n">
        <v>9</v>
      </c>
      <c r="AR1874" t="n">
        <v>64</v>
      </c>
      <c r="AS1874" t="n">
        <v>32</v>
      </c>
      <c r="AU1874">
        <f>COUNTA($BA$1874:$EH$1874)</f>
        <v/>
      </c>
      <c r="AV1874">
        <f>COUNTIF($BA$1874:$EH$1874,"D")</f>
        <v/>
      </c>
      <c r="AW1874">
        <f>COUNTIF($BA$1874:$EH$1874,"R")</f>
        <v/>
      </c>
      <c r="AX1874">
        <f>IF(BN1874="D",1,0)+IF(BO1874="D",1,0)+IF(BT1874="D",1,0)+IF(BU1874="D",1,0)+IF(BW1874="D",1,0)+IF(CC1874="D",1,0)+IF(CD1874="D",1,0)+IF(CE1874="D",1,0)+IF(CF1874="D",1,0)+IF(CL1874="D",1,0)+IF(CM1874="D",1,0)+IF(CQ1874="D",1,0)+IF(CR1874="D",1,0)+IF(CS1874="D",1,0)+IF(CW1874="D",1,0)+IF(CX1874="D",1,0)+IF(DD1874="D",1,0)+IF(DE1874="D",1,0)+IF(DJ1874="D",1,0)+IF(DK1874="D",1,0)+IF(DO1874="D",1,0)+IF(DP1874="D",1,0)+IF(DQ1874="D",1,0)+IF(DW1874="D",1,0)+IF(DZ1874="D",1,0)+IF(EH1874="D",1,0)</f>
        <v/>
      </c>
      <c r="AY1874">
        <f>IF(DJ1874&lt;&gt;"",1,0)+IF(DK1874&lt;&gt;"",1,0)+IF(DM1874&lt;&gt;"",1,0)+IF(DO1874&lt;&gt;"",1,0)+IF(DP1874&lt;&gt;"",1,0)+IF(DQ1874&lt;&gt;"",1,0)+IF(DS1874&lt;&gt;"",1,0)+IF(DT1874&lt;&gt;"",1,0)+IF(DV1874&lt;&gt;"",1,0)+IF(DW1874&lt;&gt;"",1,0)+IF(DX1874&lt;&gt;"",1,0)+IF(DY1874&lt;&gt;"",1,0)+IF(DZ1874&lt;&gt;"",1,0)+IF(EB1874&lt;&gt;"",1,0)+IF(EC1874&lt;&gt;"",1,0)+IF(ED1874&lt;&gt;"",1,0)+IF(EG1874&lt;&gt;"",1,0)+IF(EH1874&lt;&gt;"",1,0)</f>
        <v/>
      </c>
      <c r="AZ1874">
        <f>IF(EH1874&lt;&gt;"",1,0)</f>
        <v/>
      </c>
      <c r="BB1874" t="inlineStr">
        <is>
          <t>WARREN-WARD 4</t>
        </is>
      </c>
      <c r="BC1874" t="inlineStr">
        <is>
          <t>X</t>
        </is>
      </c>
      <c r="BD1874" t="inlineStr">
        <is>
          <t>X</t>
        </is>
      </c>
      <c r="BE1874" t="inlineStr">
        <is>
          <t>X</t>
        </is>
      </c>
      <c r="BF1874" t="inlineStr">
        <is>
          <t>X</t>
        </is>
      </c>
      <c r="BG1874" t="inlineStr">
        <is>
          <t>X</t>
        </is>
      </c>
      <c r="BH1874" t="inlineStr">
        <is>
          <t>X</t>
        </is>
      </c>
      <c r="BI1874" t="inlineStr">
        <is>
          <t>X</t>
        </is>
      </c>
      <c r="BJ1874" t="inlineStr">
        <is>
          <t>X</t>
        </is>
      </c>
      <c r="BK1874" t="inlineStr">
        <is>
          <t>X</t>
        </is>
      </c>
      <c r="BL1874" t="inlineStr">
        <is>
          <t>X</t>
        </is>
      </c>
      <c r="BP1874" t="inlineStr">
        <is>
          <t>X</t>
        </is>
      </c>
      <c r="BR1874" t="inlineStr">
        <is>
          <t>X</t>
        </is>
      </c>
      <c r="BS1874" t="inlineStr">
        <is>
          <t>X</t>
        </is>
      </c>
      <c r="BT1874" t="inlineStr">
        <is>
          <t>X</t>
        </is>
      </c>
      <c r="BV1874" t="inlineStr">
        <is>
          <t>X</t>
        </is>
      </c>
      <c r="BY1874" t="inlineStr">
        <is>
          <t>D</t>
        </is>
      </c>
      <c r="CA1874" t="inlineStr">
        <is>
          <t>X</t>
        </is>
      </c>
      <c r="CG1874" t="inlineStr">
        <is>
          <t>X</t>
        </is>
      </c>
      <c r="CH1874" t="inlineStr">
        <is>
          <t>D</t>
        </is>
      </c>
      <c r="CK1874" t="inlineStr">
        <is>
          <t>X</t>
        </is>
      </c>
      <c r="CL1874" t="inlineStr">
        <is>
          <t>D</t>
        </is>
      </c>
      <c r="CN1874" t="inlineStr">
        <is>
          <t>X</t>
        </is>
      </c>
      <c r="CO1874" t="inlineStr">
        <is>
          <t>D</t>
        </is>
      </c>
      <c r="CP1874" t="inlineStr">
        <is>
          <t>X</t>
        </is>
      </c>
      <c r="CQ1874" t="inlineStr">
        <is>
          <t>D</t>
        </is>
      </c>
      <c r="CT1874" t="inlineStr">
        <is>
          <t>X</t>
        </is>
      </c>
      <c r="CV1874" t="inlineStr">
        <is>
          <t>X</t>
        </is>
      </c>
      <c r="CY1874" t="inlineStr">
        <is>
          <t>X</t>
        </is>
      </c>
      <c r="CZ1874" t="inlineStr">
        <is>
          <t>D</t>
        </is>
      </c>
      <c r="DC1874" t="inlineStr">
        <is>
          <t>X</t>
        </is>
      </c>
      <c r="DF1874" t="inlineStr">
        <is>
          <t>X</t>
        </is>
      </c>
      <c r="DI1874" t="inlineStr">
        <is>
          <t>X</t>
        </is>
      </c>
      <c r="DJ1874" t="inlineStr">
        <is>
          <t>D</t>
        </is>
      </c>
      <c r="DL1874" t="inlineStr">
        <is>
          <t>X</t>
        </is>
      </c>
      <c r="DM1874" t="inlineStr">
        <is>
          <t>D</t>
        </is>
      </c>
      <c r="DN1874" t="inlineStr">
        <is>
          <t>X</t>
        </is>
      </c>
      <c r="DS1874" t="inlineStr">
        <is>
          <t>R</t>
        </is>
      </c>
      <c r="DU1874" t="inlineStr">
        <is>
          <t>X</t>
        </is>
      </c>
      <c r="DW1874" t="inlineStr">
        <is>
          <t>X</t>
        </is>
      </c>
      <c r="DX1874" t="inlineStr">
        <is>
          <t>X</t>
        </is>
      </c>
      <c r="EA1874" t="inlineStr">
        <is>
          <t>X</t>
        </is>
      </c>
      <c r="ED1874" t="inlineStr">
        <is>
          <t>R</t>
        </is>
      </c>
      <c r="EF1874" t="inlineStr">
        <is>
          <t>X</t>
        </is>
      </c>
      <c r="EH1874" t="inlineStr">
        <is>
          <t>D</t>
        </is>
      </c>
    </row>
    <row r="1875">
      <c r="A1875" t="inlineStr">
        <is>
          <t>OH0020342014</t>
        </is>
      </c>
      <c r="B1875" t="n">
        <v>78</v>
      </c>
      <c r="C1875" t="n">
        <v>366868</v>
      </c>
      <c r="D1875" t="inlineStr">
        <is>
          <t>ROEBUCK</t>
        </is>
      </c>
      <c r="E1875" t="inlineStr">
        <is>
          <t>SAKEEA</t>
        </is>
      </c>
      <c r="F1875">
        <f>CONCATENATE(D1875," ",LEFT(H1875,4),"T=",AU1875,"D=",AV1875,"R=",AW1875,"M=",AX1875,"L=",AY1875,"B=",AZ1875)</f>
        <v/>
      </c>
      <c r="G1875" t="inlineStr">
        <is>
          <t>M</t>
        </is>
      </c>
      <c r="I1875" t="inlineStr">
        <is>
          <t>1989-02-23</t>
        </is>
      </c>
      <c r="J1875" t="inlineStr">
        <is>
          <t>2016-10-11</t>
        </is>
      </c>
      <c r="K1875" t="inlineStr">
        <is>
          <t>ACTIVE</t>
        </is>
      </c>
      <c r="M1875" t="inlineStr">
        <is>
          <t>158 LINDEN AVE SE</t>
        </is>
      </c>
      <c r="N1875">
        <f>RIGHT(M1875,LEN(M1875)-FIND(" ",M1875))</f>
        <v/>
      </c>
      <c r="P1875" t="inlineStr">
        <is>
          <t>WARREN</t>
        </is>
      </c>
      <c r="Q1875" t="inlineStr">
        <is>
          <t>OH</t>
        </is>
      </c>
      <c r="R1875" t="n">
        <v>44483</v>
      </c>
      <c r="AD1875" t="inlineStr">
        <is>
          <t>TRUMBULL CAREER &amp; TECH CENTER</t>
        </is>
      </c>
      <c r="AE1875" t="inlineStr">
        <is>
          <t>WARREN CITY</t>
        </is>
      </c>
      <c r="AF1875" t="inlineStr">
        <is>
          <t>WARREN CITY SD</t>
        </is>
      </c>
      <c r="AH1875" t="n">
        <v>14</v>
      </c>
      <c r="AI1875" t="n">
        <v>11</v>
      </c>
      <c r="AN1875" t="inlineStr">
        <is>
          <t>WARREN</t>
        </is>
      </c>
      <c r="AO1875" t="inlineStr">
        <is>
          <t>WARREN CITY 4D</t>
        </is>
      </c>
      <c r="AP1875" t="inlineStr">
        <is>
          <t>78-P-ADL</t>
        </is>
      </c>
      <c r="AQ1875" t="n">
        <v>9</v>
      </c>
      <c r="AR1875" t="n">
        <v>64</v>
      </c>
      <c r="AS1875" t="n">
        <v>32</v>
      </c>
      <c r="AU1875">
        <f>COUNTA($BA$1875:$EH$1875)</f>
        <v/>
      </c>
      <c r="AV1875">
        <f>COUNTIF($BA$1875:$EH$1875,"D")</f>
        <v/>
      </c>
      <c r="AW1875">
        <f>COUNTIF($BA$1875:$EH$1875,"R")</f>
        <v/>
      </c>
      <c r="AX1875">
        <f>IF(BN1875="D",1,0)+IF(BO1875="D",1,0)+IF(BT1875="D",1,0)+IF(BU1875="D",1,0)+IF(BW1875="D",1,0)+IF(CC1875="D",1,0)+IF(CD1875="D",1,0)+IF(CE1875="D",1,0)+IF(CF1875="D",1,0)+IF(CL1875="D",1,0)+IF(CM1875="D",1,0)+IF(CQ1875="D",1,0)+IF(CR1875="D",1,0)+IF(CS1875="D",1,0)+IF(CW1875="D",1,0)+IF(CX1875="D",1,0)+IF(DD1875="D",1,0)+IF(DE1875="D",1,0)+IF(DJ1875="D",1,0)+IF(DK1875="D",1,0)+IF(DO1875="D",1,0)+IF(DP1875="D",1,0)+IF(DQ1875="D",1,0)+IF(DW1875="D",1,0)+IF(DZ1875="D",1,0)+IF(EH1875="D",1,0)</f>
        <v/>
      </c>
      <c r="AY1875">
        <f>IF(DJ1875&lt;&gt;"",1,0)+IF(DK1875&lt;&gt;"",1,0)+IF(DM1875&lt;&gt;"",1,0)+IF(DO1875&lt;&gt;"",1,0)+IF(DP1875&lt;&gt;"",1,0)+IF(DQ1875&lt;&gt;"",1,0)+IF(DS1875&lt;&gt;"",1,0)+IF(DT1875&lt;&gt;"",1,0)+IF(DV1875&lt;&gt;"",1,0)+IF(DW1875&lt;&gt;"",1,0)+IF(DX1875&lt;&gt;"",1,0)+IF(DY1875&lt;&gt;"",1,0)+IF(DZ1875&lt;&gt;"",1,0)+IF(EB1875&lt;&gt;"",1,0)+IF(EC1875&lt;&gt;"",1,0)+IF(ED1875&lt;&gt;"",1,0)+IF(EG1875&lt;&gt;"",1,0)+IF(EH1875&lt;&gt;"",1,0)</f>
        <v/>
      </c>
      <c r="AZ1875">
        <f>IF(EH1875&lt;&gt;"",1,0)</f>
        <v/>
      </c>
      <c r="BB1875" t="inlineStr">
        <is>
          <t>WARREN-WARD 4</t>
        </is>
      </c>
      <c r="CW1875" t="inlineStr">
        <is>
          <t>D</t>
        </is>
      </c>
    </row>
    <row r="1876">
      <c r="A1876" t="inlineStr">
        <is>
          <t>OH0015809726</t>
        </is>
      </c>
      <c r="B1876" t="n">
        <v>78</v>
      </c>
      <c r="C1876" t="n">
        <v>259603</v>
      </c>
      <c r="D1876" t="inlineStr">
        <is>
          <t>MEADE</t>
        </is>
      </c>
      <c r="E1876" t="inlineStr">
        <is>
          <t>MICHELLE</t>
        </is>
      </c>
      <c r="F1876">
        <f>CONCATENATE(D1876," ",LEFT(H1876,4),"T=",AU1876,"D=",AV1876,"R=",AW1876,"M=",AX1876,"L=",AY1876,"B=",AZ1876)</f>
        <v/>
      </c>
      <c r="I1876" t="inlineStr">
        <is>
          <t>1968-03-10</t>
        </is>
      </c>
      <c r="J1876" t="inlineStr">
        <is>
          <t>1995-03-29</t>
        </is>
      </c>
      <c r="K1876" t="inlineStr">
        <is>
          <t>ACTIVE</t>
        </is>
      </c>
      <c r="M1876" t="inlineStr">
        <is>
          <t>334 LOWELL AVE NE</t>
        </is>
      </c>
      <c r="N1876">
        <f>RIGHT(M1876,LEN(M1876)-FIND(" ",M1876))</f>
        <v/>
      </c>
      <c r="P1876" t="inlineStr">
        <is>
          <t>WARREN</t>
        </is>
      </c>
      <c r="Q1876" t="inlineStr">
        <is>
          <t>OH</t>
        </is>
      </c>
      <c r="R1876" t="n">
        <v>44483</v>
      </c>
      <c r="AD1876" t="inlineStr">
        <is>
          <t>TRUMBULL CAREER &amp; TECH CENTER</t>
        </is>
      </c>
      <c r="AE1876" t="inlineStr">
        <is>
          <t>WARREN CITY</t>
        </is>
      </c>
      <c r="AF1876" t="inlineStr">
        <is>
          <t>WARREN CITY SD</t>
        </is>
      </c>
      <c r="AH1876" t="n">
        <v>14</v>
      </c>
      <c r="AI1876" t="n">
        <v>11</v>
      </c>
      <c r="AN1876" t="inlineStr">
        <is>
          <t>WARREN</t>
        </is>
      </c>
      <c r="AO1876" t="inlineStr">
        <is>
          <t>WARREN CITY 4D</t>
        </is>
      </c>
      <c r="AP1876" t="inlineStr">
        <is>
          <t>78-P-ADL</t>
        </is>
      </c>
      <c r="AQ1876" t="n">
        <v>9</v>
      </c>
      <c r="AR1876" t="n">
        <v>64</v>
      </c>
      <c r="AS1876" t="n">
        <v>32</v>
      </c>
      <c r="AU1876">
        <f>COUNTA($BA$1876:$EH$1876)</f>
        <v/>
      </c>
      <c r="AV1876">
        <f>COUNTIF($BA$1876:$EH$1876,"D")</f>
        <v/>
      </c>
      <c r="AW1876">
        <f>COUNTIF($BA$1876:$EH$1876,"R")</f>
        <v/>
      </c>
      <c r="AX1876">
        <f>IF(BN1876="D",1,0)+IF(BO1876="D",1,0)+IF(BT1876="D",1,0)+IF(BU1876="D",1,0)+IF(BW1876="D",1,0)+IF(CC1876="D",1,0)+IF(CD1876="D",1,0)+IF(CE1876="D",1,0)+IF(CF1876="D",1,0)+IF(CL1876="D",1,0)+IF(CM1876="D",1,0)+IF(CQ1876="D",1,0)+IF(CR1876="D",1,0)+IF(CS1876="D",1,0)+IF(CW1876="D",1,0)+IF(CX1876="D",1,0)+IF(DD1876="D",1,0)+IF(DE1876="D",1,0)+IF(DJ1876="D",1,0)+IF(DK1876="D",1,0)+IF(DO1876="D",1,0)+IF(DP1876="D",1,0)+IF(DQ1876="D",1,0)+IF(DW1876="D",1,0)+IF(DZ1876="D",1,0)+IF(EH1876="D",1,0)</f>
        <v/>
      </c>
      <c r="AY1876">
        <f>IF(DJ1876&lt;&gt;"",1,0)+IF(DK1876&lt;&gt;"",1,0)+IF(DM1876&lt;&gt;"",1,0)+IF(DO1876&lt;&gt;"",1,0)+IF(DP1876&lt;&gt;"",1,0)+IF(DQ1876&lt;&gt;"",1,0)+IF(DS1876&lt;&gt;"",1,0)+IF(DT1876&lt;&gt;"",1,0)+IF(DV1876&lt;&gt;"",1,0)+IF(DW1876&lt;&gt;"",1,0)+IF(DX1876&lt;&gt;"",1,0)+IF(DY1876&lt;&gt;"",1,0)+IF(DZ1876&lt;&gt;"",1,0)+IF(EB1876&lt;&gt;"",1,0)+IF(EC1876&lt;&gt;"",1,0)+IF(ED1876&lt;&gt;"",1,0)+IF(EG1876&lt;&gt;"",1,0)+IF(EH1876&lt;&gt;"",1,0)</f>
        <v/>
      </c>
      <c r="AZ1876">
        <f>IF(EH1876&lt;&gt;"",1,0)</f>
        <v/>
      </c>
      <c r="BB1876" t="inlineStr">
        <is>
          <t>WARREN-WARD 4</t>
        </is>
      </c>
      <c r="BC1876" t="inlineStr">
        <is>
          <t>X</t>
        </is>
      </c>
      <c r="BD1876" t="inlineStr">
        <is>
          <t>X</t>
        </is>
      </c>
      <c r="BG1876" t="inlineStr">
        <is>
          <t>X</t>
        </is>
      </c>
      <c r="BH1876" t="inlineStr">
        <is>
          <t>X</t>
        </is>
      </c>
      <c r="BJ1876" t="inlineStr">
        <is>
          <t>X</t>
        </is>
      </c>
      <c r="BL1876" t="inlineStr">
        <is>
          <t>X</t>
        </is>
      </c>
      <c r="BP1876" t="inlineStr">
        <is>
          <t>X</t>
        </is>
      </c>
      <c r="BS1876" t="inlineStr">
        <is>
          <t>X</t>
        </is>
      </c>
      <c r="BV1876" t="inlineStr">
        <is>
          <t>X</t>
        </is>
      </c>
      <c r="CA1876" t="inlineStr">
        <is>
          <t>X</t>
        </is>
      </c>
      <c r="CG1876" t="inlineStr">
        <is>
          <t>X</t>
        </is>
      </c>
      <c r="CH1876" t="inlineStr">
        <is>
          <t>R</t>
        </is>
      </c>
      <c r="CK1876" t="inlineStr">
        <is>
          <t>X</t>
        </is>
      </c>
      <c r="CN1876" t="inlineStr">
        <is>
          <t>X</t>
        </is>
      </c>
      <c r="CO1876" t="inlineStr">
        <is>
          <t>R</t>
        </is>
      </c>
      <c r="CP1876" t="inlineStr">
        <is>
          <t>X</t>
        </is>
      </c>
      <c r="CV1876" t="inlineStr">
        <is>
          <t>X</t>
        </is>
      </c>
      <c r="CY1876" t="inlineStr">
        <is>
          <t>X</t>
        </is>
      </c>
      <c r="CZ1876" t="inlineStr">
        <is>
          <t>R</t>
        </is>
      </c>
      <c r="DC1876" t="inlineStr">
        <is>
          <t>X</t>
        </is>
      </c>
      <c r="DI1876" t="inlineStr">
        <is>
          <t>X</t>
        </is>
      </c>
      <c r="DN1876" t="inlineStr">
        <is>
          <t>X</t>
        </is>
      </c>
      <c r="DU1876" t="inlineStr">
        <is>
          <t>X</t>
        </is>
      </c>
      <c r="EF1876" t="inlineStr">
        <is>
          <t>X</t>
        </is>
      </c>
    </row>
    <row r="1877">
      <c r="A1877" t="inlineStr">
        <is>
          <t>OH0018755437</t>
        </is>
      </c>
      <c r="B1877" t="n">
        <v>78</v>
      </c>
      <c r="C1877" t="n">
        <v>343991</v>
      </c>
      <c r="D1877" t="inlineStr">
        <is>
          <t>FOOS MERWIN</t>
        </is>
      </c>
      <c r="E1877" t="inlineStr">
        <is>
          <t>KATHLEEN</t>
        </is>
      </c>
      <c r="F1877">
        <f>CONCATENATE(D1877," ",LEFT(H1877,4),"T=",AU1877,"D=",AV1877,"R=",AW1877,"M=",AX1877,"L=",AY1877,"B=",AZ1877)</f>
        <v/>
      </c>
      <c r="I1877" t="inlineStr">
        <is>
          <t>1952-12-26</t>
        </is>
      </c>
      <c r="J1877" t="inlineStr">
        <is>
          <t>2006-05-04</t>
        </is>
      </c>
      <c r="K1877" t="inlineStr">
        <is>
          <t>ACTIVE</t>
        </is>
      </c>
      <c r="M1877" t="inlineStr">
        <is>
          <t>236 LOWELL AVE NE</t>
        </is>
      </c>
      <c r="N1877">
        <f>RIGHT(M1877,LEN(M1877)-FIND(" ",M1877))</f>
        <v/>
      </c>
      <c r="P1877" t="inlineStr">
        <is>
          <t>WARREN</t>
        </is>
      </c>
      <c r="Q1877" t="inlineStr">
        <is>
          <t>OH</t>
        </is>
      </c>
      <c r="R1877" t="n">
        <v>44483</v>
      </c>
      <c r="AD1877" t="inlineStr">
        <is>
          <t>TRUMBULL CAREER &amp; TECH CENTER</t>
        </is>
      </c>
      <c r="AE1877" t="inlineStr">
        <is>
          <t>WARREN CITY</t>
        </is>
      </c>
      <c r="AF1877" t="inlineStr">
        <is>
          <t>WARREN CITY SD</t>
        </is>
      </c>
      <c r="AH1877" t="n">
        <v>14</v>
      </c>
      <c r="AI1877" t="n">
        <v>11</v>
      </c>
      <c r="AN1877" t="inlineStr">
        <is>
          <t>WARREN</t>
        </is>
      </c>
      <c r="AO1877" t="inlineStr">
        <is>
          <t>WARREN CITY 4D</t>
        </is>
      </c>
      <c r="AP1877" t="inlineStr">
        <is>
          <t>78-P-ADL</t>
        </is>
      </c>
      <c r="AQ1877" t="n">
        <v>9</v>
      </c>
      <c r="AR1877" t="n">
        <v>64</v>
      </c>
      <c r="AS1877" t="n">
        <v>32</v>
      </c>
      <c r="AU1877">
        <f>COUNTA($BA$1877:$EH$1877)</f>
        <v/>
      </c>
      <c r="AV1877">
        <f>COUNTIF($BA$1877:$EH$1877,"D")</f>
        <v/>
      </c>
      <c r="AW1877">
        <f>COUNTIF($BA$1877:$EH$1877,"R")</f>
        <v/>
      </c>
      <c r="AX1877">
        <f>IF(BN1877="D",1,0)+IF(BO1877="D",1,0)+IF(BT1877="D",1,0)+IF(BU1877="D",1,0)+IF(BW1877="D",1,0)+IF(CC1877="D",1,0)+IF(CD1877="D",1,0)+IF(CE1877="D",1,0)+IF(CF1877="D",1,0)+IF(CL1877="D",1,0)+IF(CM1877="D",1,0)+IF(CQ1877="D",1,0)+IF(CR1877="D",1,0)+IF(CS1877="D",1,0)+IF(CW1877="D",1,0)+IF(CX1877="D",1,0)+IF(DD1877="D",1,0)+IF(DE1877="D",1,0)+IF(DJ1877="D",1,0)+IF(DK1877="D",1,0)+IF(DO1877="D",1,0)+IF(DP1877="D",1,0)+IF(DQ1877="D",1,0)+IF(DW1877="D",1,0)+IF(DZ1877="D",1,0)+IF(EH1877="D",1,0)</f>
        <v/>
      </c>
      <c r="AY1877">
        <f>IF(DJ1877&lt;&gt;"",1,0)+IF(DK1877&lt;&gt;"",1,0)+IF(DM1877&lt;&gt;"",1,0)+IF(DO1877&lt;&gt;"",1,0)+IF(DP1877&lt;&gt;"",1,0)+IF(DQ1877&lt;&gt;"",1,0)+IF(DS1877&lt;&gt;"",1,0)+IF(DT1877&lt;&gt;"",1,0)+IF(DV1877&lt;&gt;"",1,0)+IF(DW1877&lt;&gt;"",1,0)+IF(DX1877&lt;&gt;"",1,0)+IF(DY1877&lt;&gt;"",1,0)+IF(DZ1877&lt;&gt;"",1,0)+IF(EB1877&lt;&gt;"",1,0)+IF(EC1877&lt;&gt;"",1,0)+IF(ED1877&lt;&gt;"",1,0)+IF(EG1877&lt;&gt;"",1,0)+IF(EH1877&lt;&gt;"",1,0)</f>
        <v/>
      </c>
      <c r="AZ1877">
        <f>IF(EH1877&lt;&gt;"",1,0)</f>
        <v/>
      </c>
      <c r="BB1877" t="inlineStr">
        <is>
          <t>WARREN-WARD 4</t>
        </is>
      </c>
    </row>
    <row r="1878">
      <c r="A1878" t="inlineStr">
        <is>
          <t>OH0015727319</t>
        </is>
      </c>
      <c r="B1878" t="n">
        <v>78</v>
      </c>
      <c r="C1878" t="n">
        <v>212783</v>
      </c>
      <c r="D1878" t="inlineStr">
        <is>
          <t>HILL</t>
        </is>
      </c>
      <c r="E1878" t="inlineStr">
        <is>
          <t>TINA</t>
        </is>
      </c>
      <c r="F1878">
        <f>CONCATENATE(D1878," ",LEFT(H1878,4),"T=",AU1878,"D=",AV1878,"R=",AW1878,"M=",AX1878,"L=",AY1878,"B=",AZ1878)</f>
        <v/>
      </c>
      <c r="G1878" t="inlineStr">
        <is>
          <t>MARIE</t>
        </is>
      </c>
      <c r="I1878" t="inlineStr">
        <is>
          <t>1968-02-10</t>
        </is>
      </c>
      <c r="J1878" t="inlineStr">
        <is>
          <t>1988-10-01</t>
        </is>
      </c>
      <c r="K1878" t="inlineStr">
        <is>
          <t>ACTIVE</t>
        </is>
      </c>
      <c r="L1878" t="inlineStr">
        <is>
          <t>D</t>
        </is>
      </c>
      <c r="M1878" t="inlineStr">
        <is>
          <t>156 SCOTT ST NE</t>
        </is>
      </c>
      <c r="N1878">
        <f>RIGHT(M1878,LEN(M1878)-FIND(" ",M1878))</f>
        <v/>
      </c>
      <c r="O1878" t="inlineStr">
        <is>
          <t>APT 3</t>
        </is>
      </c>
      <c r="P1878" t="inlineStr">
        <is>
          <t>WARREN</t>
        </is>
      </c>
      <c r="Q1878" t="inlineStr">
        <is>
          <t>OH</t>
        </is>
      </c>
      <c r="R1878" t="n">
        <v>44483</v>
      </c>
      <c r="AD1878" t="inlineStr">
        <is>
          <t>TRUMBULL CAREER &amp; TECH CENTER</t>
        </is>
      </c>
      <c r="AE1878" t="inlineStr">
        <is>
          <t>WARREN CITY</t>
        </is>
      </c>
      <c r="AF1878" t="inlineStr">
        <is>
          <t>WARREN CITY SD</t>
        </is>
      </c>
      <c r="AH1878" t="n">
        <v>14</v>
      </c>
      <c r="AI1878" t="n">
        <v>11</v>
      </c>
      <c r="AN1878" t="inlineStr">
        <is>
          <t>WARREN</t>
        </is>
      </c>
      <c r="AO1878" t="inlineStr">
        <is>
          <t>WARREN CITY 4D</t>
        </is>
      </c>
      <c r="AP1878" t="inlineStr">
        <is>
          <t>78-P-ADL</t>
        </is>
      </c>
      <c r="AQ1878" t="n">
        <v>9</v>
      </c>
      <c r="AR1878" t="n">
        <v>64</v>
      </c>
      <c r="AS1878" t="n">
        <v>32</v>
      </c>
      <c r="AU1878">
        <f>COUNTA($BA$1878:$EH$1878)</f>
        <v/>
      </c>
      <c r="AV1878">
        <f>COUNTIF($BA$1878:$EH$1878,"D")</f>
        <v/>
      </c>
      <c r="AW1878">
        <f>COUNTIF($BA$1878:$EH$1878,"R")</f>
        <v/>
      </c>
      <c r="AX1878">
        <f>IF(BN1878="D",1,0)+IF(BO1878="D",1,0)+IF(BT1878="D",1,0)+IF(BU1878="D",1,0)+IF(BW1878="D",1,0)+IF(CC1878="D",1,0)+IF(CD1878="D",1,0)+IF(CE1878="D",1,0)+IF(CF1878="D",1,0)+IF(CL1878="D",1,0)+IF(CM1878="D",1,0)+IF(CQ1878="D",1,0)+IF(CR1878="D",1,0)+IF(CS1878="D",1,0)+IF(CW1878="D",1,0)+IF(CX1878="D",1,0)+IF(DD1878="D",1,0)+IF(DE1878="D",1,0)+IF(DJ1878="D",1,0)+IF(DK1878="D",1,0)+IF(DO1878="D",1,0)+IF(DP1878="D",1,0)+IF(DQ1878="D",1,0)+IF(DW1878="D",1,0)+IF(DZ1878="D",1,0)+IF(EH1878="D",1,0)</f>
        <v/>
      </c>
      <c r="AY1878">
        <f>IF(DJ1878&lt;&gt;"",1,0)+IF(DK1878&lt;&gt;"",1,0)+IF(DM1878&lt;&gt;"",1,0)+IF(DO1878&lt;&gt;"",1,0)+IF(DP1878&lt;&gt;"",1,0)+IF(DQ1878&lt;&gt;"",1,0)+IF(DS1878&lt;&gt;"",1,0)+IF(DT1878&lt;&gt;"",1,0)+IF(DV1878&lt;&gt;"",1,0)+IF(DW1878&lt;&gt;"",1,0)+IF(DX1878&lt;&gt;"",1,0)+IF(DY1878&lt;&gt;"",1,0)+IF(DZ1878&lt;&gt;"",1,0)+IF(EB1878&lt;&gt;"",1,0)+IF(EC1878&lt;&gt;"",1,0)+IF(ED1878&lt;&gt;"",1,0)+IF(EG1878&lt;&gt;"",1,0)+IF(EH1878&lt;&gt;"",1,0)</f>
        <v/>
      </c>
      <c r="AZ1878">
        <f>IF(EH1878&lt;&gt;"",1,0)</f>
        <v/>
      </c>
      <c r="BB1878" t="inlineStr">
        <is>
          <t>WARREN-WARD 4</t>
        </is>
      </c>
      <c r="BL1878" t="inlineStr">
        <is>
          <t>X</t>
        </is>
      </c>
      <c r="CA1878" t="inlineStr">
        <is>
          <t>X</t>
        </is>
      </c>
      <c r="CK1878" t="inlineStr">
        <is>
          <t>X</t>
        </is>
      </c>
      <c r="CN1878" t="inlineStr">
        <is>
          <t>X</t>
        </is>
      </c>
      <c r="CP1878" t="inlineStr">
        <is>
          <t>X</t>
        </is>
      </c>
      <c r="CT1878" t="inlineStr">
        <is>
          <t>X</t>
        </is>
      </c>
      <c r="CU1878" t="inlineStr">
        <is>
          <t>D</t>
        </is>
      </c>
      <c r="CV1878" t="inlineStr">
        <is>
          <t>X</t>
        </is>
      </c>
      <c r="CW1878" t="inlineStr">
        <is>
          <t>D</t>
        </is>
      </c>
      <c r="CY1878" t="inlineStr">
        <is>
          <t>X</t>
        </is>
      </c>
      <c r="DC1878" t="inlineStr">
        <is>
          <t>X</t>
        </is>
      </c>
      <c r="DG1878" t="inlineStr">
        <is>
          <t>D</t>
        </is>
      </c>
      <c r="DI1878" t="inlineStr">
        <is>
          <t>X</t>
        </is>
      </c>
      <c r="DJ1878" t="inlineStr">
        <is>
          <t>D</t>
        </is>
      </c>
      <c r="DL1878" t="inlineStr">
        <is>
          <t>X</t>
        </is>
      </c>
      <c r="DM1878" t="inlineStr">
        <is>
          <t>D</t>
        </is>
      </c>
      <c r="DN1878" t="inlineStr">
        <is>
          <t>X</t>
        </is>
      </c>
      <c r="DS1878" t="inlineStr">
        <is>
          <t>D</t>
        </is>
      </c>
      <c r="DT1878" t="inlineStr">
        <is>
          <t>D</t>
        </is>
      </c>
      <c r="DU1878" t="inlineStr">
        <is>
          <t>X</t>
        </is>
      </c>
      <c r="DW1878" t="inlineStr">
        <is>
          <t>D</t>
        </is>
      </c>
    </row>
    <row r="1879">
      <c r="A1879" t="inlineStr">
        <is>
          <t>OH0015817907</t>
        </is>
      </c>
      <c r="B1879" t="n">
        <v>78</v>
      </c>
      <c r="C1879" t="n">
        <v>273470</v>
      </c>
      <c r="D1879" t="inlineStr">
        <is>
          <t>WEST</t>
        </is>
      </c>
      <c r="E1879" t="inlineStr">
        <is>
          <t>ROY</t>
        </is>
      </c>
      <c r="F1879">
        <f>CONCATENATE(D1879," ",LEFT(H1879,4),"T=",AU1879,"D=",AV1879,"R=",AW1879,"M=",AX1879,"L=",AY1879,"B=",AZ1879)</f>
        <v/>
      </c>
      <c r="G1879" t="inlineStr">
        <is>
          <t>A</t>
        </is>
      </c>
      <c r="I1879" t="inlineStr">
        <is>
          <t>1957-09-14</t>
        </is>
      </c>
      <c r="J1879" t="inlineStr">
        <is>
          <t>2025-01-02</t>
        </is>
      </c>
      <c r="K1879" t="inlineStr">
        <is>
          <t>ACTIVE</t>
        </is>
      </c>
      <c r="L1879" t="inlineStr">
        <is>
          <t>D</t>
        </is>
      </c>
      <c r="M1879" t="inlineStr">
        <is>
          <t>182 HIGH ST NE</t>
        </is>
      </c>
      <c r="N1879">
        <f>RIGHT(M1879,LEN(M1879)-FIND(" ",M1879))</f>
        <v/>
      </c>
      <c r="O1879" t="inlineStr">
        <is>
          <t>APT 606</t>
        </is>
      </c>
      <c r="P1879" t="inlineStr">
        <is>
          <t>WARREN</t>
        </is>
      </c>
      <c r="Q1879" t="inlineStr">
        <is>
          <t>OH</t>
        </is>
      </c>
      <c r="R1879" t="n">
        <v>44481</v>
      </c>
      <c r="AD1879" t="inlineStr">
        <is>
          <t>TRUMBULL CAREER &amp; TECH CENTER</t>
        </is>
      </c>
      <c r="AE1879" t="inlineStr">
        <is>
          <t>WARREN CITY</t>
        </is>
      </c>
      <c r="AF1879" t="inlineStr">
        <is>
          <t>WARREN CITY SD</t>
        </is>
      </c>
      <c r="AH1879" t="n">
        <v>14</v>
      </c>
      <c r="AI1879" t="n">
        <v>11</v>
      </c>
      <c r="AN1879" t="inlineStr">
        <is>
          <t>WARREN</t>
        </is>
      </c>
      <c r="AO1879" t="inlineStr">
        <is>
          <t>WARREN CITY 4D</t>
        </is>
      </c>
      <c r="AP1879" t="inlineStr">
        <is>
          <t>78-P-ADL</t>
        </is>
      </c>
      <c r="AQ1879" t="n">
        <v>9</v>
      </c>
      <c r="AR1879" t="n">
        <v>64</v>
      </c>
      <c r="AS1879" t="n">
        <v>32</v>
      </c>
      <c r="AU1879">
        <f>COUNTA($BA$1879:$EH$1879)</f>
        <v/>
      </c>
      <c r="AV1879">
        <f>COUNTIF($BA$1879:$EH$1879,"D")</f>
        <v/>
      </c>
      <c r="AW1879">
        <f>COUNTIF($BA$1879:$EH$1879,"R")</f>
        <v/>
      </c>
      <c r="AX1879">
        <f>IF(BN1879="D",1,0)+IF(BO1879="D",1,0)+IF(BT1879="D",1,0)+IF(BU1879="D",1,0)+IF(BW1879="D",1,0)+IF(CC1879="D",1,0)+IF(CD1879="D",1,0)+IF(CE1879="D",1,0)+IF(CF1879="D",1,0)+IF(CL1879="D",1,0)+IF(CM1879="D",1,0)+IF(CQ1879="D",1,0)+IF(CR1879="D",1,0)+IF(CS1879="D",1,0)+IF(CW1879="D",1,0)+IF(CX1879="D",1,0)+IF(DD1879="D",1,0)+IF(DE1879="D",1,0)+IF(DJ1879="D",1,0)+IF(DK1879="D",1,0)+IF(DO1879="D",1,0)+IF(DP1879="D",1,0)+IF(DQ1879="D",1,0)+IF(DW1879="D",1,0)+IF(DZ1879="D",1,0)+IF(EH1879="D",1,0)</f>
        <v/>
      </c>
      <c r="AY1879">
        <f>IF(DJ1879&lt;&gt;"",1,0)+IF(DK1879&lt;&gt;"",1,0)+IF(DM1879&lt;&gt;"",1,0)+IF(DO1879&lt;&gt;"",1,0)+IF(DP1879&lt;&gt;"",1,0)+IF(DQ1879&lt;&gt;"",1,0)+IF(DS1879&lt;&gt;"",1,0)+IF(DT1879&lt;&gt;"",1,0)+IF(DV1879&lt;&gt;"",1,0)+IF(DW1879&lt;&gt;"",1,0)+IF(DX1879&lt;&gt;"",1,0)+IF(DY1879&lt;&gt;"",1,0)+IF(DZ1879&lt;&gt;"",1,0)+IF(EB1879&lt;&gt;"",1,0)+IF(EC1879&lt;&gt;"",1,0)+IF(ED1879&lt;&gt;"",1,0)+IF(EG1879&lt;&gt;"",1,0)+IF(EH1879&lt;&gt;"",1,0)</f>
        <v/>
      </c>
      <c r="AZ1879">
        <f>IF(EH1879&lt;&gt;"",1,0)</f>
        <v/>
      </c>
      <c r="BB1879" t="inlineStr">
        <is>
          <t>WARREN-WARD 4</t>
        </is>
      </c>
      <c r="BC1879" t="inlineStr">
        <is>
          <t>X</t>
        </is>
      </c>
      <c r="BD1879" t="inlineStr">
        <is>
          <t>X</t>
        </is>
      </c>
      <c r="BE1879" t="inlineStr">
        <is>
          <t>X</t>
        </is>
      </c>
      <c r="BF1879" t="inlineStr">
        <is>
          <t>X</t>
        </is>
      </c>
      <c r="BG1879" t="inlineStr">
        <is>
          <t>X</t>
        </is>
      </c>
      <c r="BH1879" t="inlineStr">
        <is>
          <t>X</t>
        </is>
      </c>
      <c r="BJ1879" t="inlineStr">
        <is>
          <t>X</t>
        </is>
      </c>
      <c r="BK1879" t="inlineStr">
        <is>
          <t>X</t>
        </is>
      </c>
      <c r="BL1879" t="inlineStr">
        <is>
          <t>X</t>
        </is>
      </c>
      <c r="BP1879" t="inlineStr">
        <is>
          <t>X</t>
        </is>
      </c>
      <c r="BS1879" t="inlineStr">
        <is>
          <t>X</t>
        </is>
      </c>
      <c r="BY1879" t="inlineStr">
        <is>
          <t>D</t>
        </is>
      </c>
      <c r="CA1879" t="inlineStr">
        <is>
          <t>X</t>
        </is>
      </c>
      <c r="CN1879" t="inlineStr">
        <is>
          <t>X</t>
        </is>
      </c>
      <c r="CP1879" t="inlineStr">
        <is>
          <t>X</t>
        </is>
      </c>
      <c r="CV1879" t="inlineStr">
        <is>
          <t>X</t>
        </is>
      </c>
      <c r="CY1879" t="inlineStr">
        <is>
          <t>X</t>
        </is>
      </c>
      <c r="CZ1879" t="inlineStr">
        <is>
          <t>D</t>
        </is>
      </c>
      <c r="DC1879" t="inlineStr">
        <is>
          <t>X</t>
        </is>
      </c>
      <c r="DI1879" t="inlineStr">
        <is>
          <t>X</t>
        </is>
      </c>
      <c r="DL1879" t="inlineStr">
        <is>
          <t>X</t>
        </is>
      </c>
      <c r="DN1879" t="inlineStr">
        <is>
          <t>X</t>
        </is>
      </c>
      <c r="DT1879" t="inlineStr">
        <is>
          <t>D</t>
        </is>
      </c>
      <c r="DU1879" t="inlineStr">
        <is>
          <t>X</t>
        </is>
      </c>
      <c r="DW1879" t="inlineStr">
        <is>
          <t>D</t>
        </is>
      </c>
      <c r="DX1879" t="inlineStr">
        <is>
          <t>X</t>
        </is>
      </c>
      <c r="EA1879" t="inlineStr">
        <is>
          <t>X</t>
        </is>
      </c>
      <c r="ED1879" t="inlineStr">
        <is>
          <t>D</t>
        </is>
      </c>
      <c r="EF1879" t="inlineStr">
        <is>
          <t>X</t>
        </is>
      </c>
    </row>
    <row r="1880">
      <c r="A1880" t="inlineStr">
        <is>
          <t>OH0015701081</t>
        </is>
      </c>
      <c r="B1880" t="n">
        <v>78</v>
      </c>
      <c r="C1880" t="n">
        <v>296719</v>
      </c>
      <c r="D1880" t="inlineStr">
        <is>
          <t>LOUIS</t>
        </is>
      </c>
      <c r="E1880" t="inlineStr">
        <is>
          <t>ARTRALE</t>
        </is>
      </c>
      <c r="F1880">
        <f>CONCATENATE(D1880," ",LEFT(H1880,4),"T=",AU1880,"D=",AV1880,"R=",AW1880,"M=",AX1880,"L=",AY1880,"B=",AZ1880)</f>
        <v/>
      </c>
      <c r="G1880" t="inlineStr">
        <is>
          <t>D</t>
        </is>
      </c>
      <c r="I1880" t="inlineStr">
        <is>
          <t>1982-07-12</t>
        </is>
      </c>
      <c r="J1880" t="inlineStr">
        <is>
          <t>2018-01-09</t>
        </is>
      </c>
      <c r="K1880" t="inlineStr">
        <is>
          <t>CONFIRMATION</t>
        </is>
      </c>
      <c r="M1880" t="inlineStr">
        <is>
          <t>1259 HIGH ST NE</t>
        </is>
      </c>
      <c r="N1880">
        <f>RIGHT(M1880,LEN(M1880)-FIND(" ",M1880))</f>
        <v/>
      </c>
      <c r="P1880" t="inlineStr">
        <is>
          <t>WARREN</t>
        </is>
      </c>
      <c r="Q1880" t="inlineStr">
        <is>
          <t>OH</t>
        </is>
      </c>
      <c r="R1880" t="n">
        <v>44483</v>
      </c>
      <c r="AD1880" t="inlineStr">
        <is>
          <t>TRUMBULL CAREER &amp; TECH CENTER</t>
        </is>
      </c>
      <c r="AE1880" t="inlineStr">
        <is>
          <t>WARREN CITY</t>
        </is>
      </c>
      <c r="AF1880" t="inlineStr">
        <is>
          <t>WARREN CITY SD</t>
        </is>
      </c>
      <c r="AH1880" t="n">
        <v>14</v>
      </c>
      <c r="AI1880" t="n">
        <v>11</v>
      </c>
      <c r="AN1880" t="inlineStr">
        <is>
          <t>WARREN</t>
        </is>
      </c>
      <c r="AO1880" t="inlineStr">
        <is>
          <t>WARREN CITY 4D</t>
        </is>
      </c>
      <c r="AP1880" t="inlineStr">
        <is>
          <t>78-P-ADL</t>
        </is>
      </c>
      <c r="AQ1880" t="n">
        <v>9</v>
      </c>
      <c r="AR1880" t="n">
        <v>64</v>
      </c>
      <c r="AS1880" t="n">
        <v>32</v>
      </c>
      <c r="AU1880">
        <f>COUNTA($BA$1880:$EH$1880)</f>
        <v/>
      </c>
      <c r="AV1880">
        <f>COUNTIF($BA$1880:$EH$1880,"D")</f>
        <v/>
      </c>
      <c r="AW1880">
        <f>COUNTIF($BA$1880:$EH$1880,"R")</f>
        <v/>
      </c>
      <c r="AX1880">
        <f>IF(BN1880="D",1,0)+IF(BO1880="D",1,0)+IF(BT1880="D",1,0)+IF(BU1880="D",1,0)+IF(BW1880="D",1,0)+IF(CC1880="D",1,0)+IF(CD1880="D",1,0)+IF(CE1880="D",1,0)+IF(CF1880="D",1,0)+IF(CL1880="D",1,0)+IF(CM1880="D",1,0)+IF(CQ1880="D",1,0)+IF(CR1880="D",1,0)+IF(CS1880="D",1,0)+IF(CW1880="D",1,0)+IF(CX1880="D",1,0)+IF(DD1880="D",1,0)+IF(DE1880="D",1,0)+IF(DJ1880="D",1,0)+IF(DK1880="D",1,0)+IF(DO1880="D",1,0)+IF(DP1880="D",1,0)+IF(DQ1880="D",1,0)+IF(DW1880="D",1,0)+IF(DZ1880="D",1,0)+IF(EH1880="D",1,0)</f>
        <v/>
      </c>
      <c r="AY1880">
        <f>IF(DJ1880&lt;&gt;"",1,0)+IF(DK1880&lt;&gt;"",1,0)+IF(DM1880&lt;&gt;"",1,0)+IF(DO1880&lt;&gt;"",1,0)+IF(DP1880&lt;&gt;"",1,0)+IF(DQ1880&lt;&gt;"",1,0)+IF(DS1880&lt;&gt;"",1,0)+IF(DT1880&lt;&gt;"",1,0)+IF(DV1880&lt;&gt;"",1,0)+IF(DW1880&lt;&gt;"",1,0)+IF(DX1880&lt;&gt;"",1,0)+IF(DY1880&lt;&gt;"",1,0)+IF(DZ1880&lt;&gt;"",1,0)+IF(EB1880&lt;&gt;"",1,0)+IF(EC1880&lt;&gt;"",1,0)+IF(ED1880&lt;&gt;"",1,0)+IF(EG1880&lt;&gt;"",1,0)+IF(EH1880&lt;&gt;"",1,0)</f>
        <v/>
      </c>
      <c r="AZ1880">
        <f>IF(EH1880&lt;&gt;"",1,0)</f>
        <v/>
      </c>
      <c r="BB1880" t="inlineStr">
        <is>
          <t>WARREN-WARD 4</t>
        </is>
      </c>
      <c r="BD1880" t="inlineStr">
        <is>
          <t>X</t>
        </is>
      </c>
      <c r="BR1880" t="inlineStr">
        <is>
          <t>X</t>
        </is>
      </c>
    </row>
    <row r="1881">
      <c r="A1881" t="inlineStr">
        <is>
          <t>OH0023443959</t>
        </is>
      </c>
      <c r="B1881" t="n">
        <v>78</v>
      </c>
      <c r="C1881" t="n">
        <v>411823</v>
      </c>
      <c r="D1881" t="inlineStr">
        <is>
          <t>ADAMSON</t>
        </is>
      </c>
      <c r="E1881" t="inlineStr">
        <is>
          <t>RAESHELL</t>
        </is>
      </c>
      <c r="F1881">
        <f>CONCATENATE(D1881," ",LEFT(H1881,4),"T=",AU1881,"D=",AV1881,"R=",AW1881,"M=",AX1881,"L=",AY1881,"B=",AZ1881)</f>
        <v/>
      </c>
      <c r="G1881" t="inlineStr">
        <is>
          <t>LYNETTE</t>
        </is>
      </c>
      <c r="I1881" t="inlineStr">
        <is>
          <t>1995-05-01</t>
        </is>
      </c>
      <c r="J1881" t="inlineStr">
        <is>
          <t>2016-05-27</t>
        </is>
      </c>
      <c r="K1881" t="inlineStr">
        <is>
          <t>ACTIVE</t>
        </is>
      </c>
      <c r="M1881" t="inlineStr">
        <is>
          <t>417 WASHINGTON ST NE</t>
        </is>
      </c>
      <c r="N1881">
        <f>RIGHT(M1881,LEN(M1881)-FIND(" ",M1881))</f>
        <v/>
      </c>
      <c r="P1881" t="inlineStr">
        <is>
          <t>WARREN</t>
        </is>
      </c>
      <c r="Q1881" t="inlineStr">
        <is>
          <t>OH</t>
        </is>
      </c>
      <c r="R1881" t="n">
        <v>44483</v>
      </c>
      <c r="AD1881" t="inlineStr">
        <is>
          <t>TRUMBULL CAREER &amp; TECH CENTER</t>
        </is>
      </c>
      <c r="AE1881" t="inlineStr">
        <is>
          <t>WARREN CITY</t>
        </is>
      </c>
      <c r="AF1881" t="inlineStr">
        <is>
          <t>WARREN CITY SD</t>
        </is>
      </c>
      <c r="AH1881" t="n">
        <v>14</v>
      </c>
      <c r="AI1881" t="n">
        <v>11</v>
      </c>
      <c r="AN1881" t="inlineStr">
        <is>
          <t>WARREN</t>
        </is>
      </c>
      <c r="AO1881" t="inlineStr">
        <is>
          <t>WARREN CITY 4D</t>
        </is>
      </c>
      <c r="AP1881" t="inlineStr">
        <is>
          <t>78-P-ADL</t>
        </is>
      </c>
      <c r="AQ1881" t="n">
        <v>9</v>
      </c>
      <c r="AR1881" t="n">
        <v>64</v>
      </c>
      <c r="AS1881" t="n">
        <v>32</v>
      </c>
      <c r="AU1881">
        <f>COUNTA($BA$1881:$EH$1881)</f>
        <v/>
      </c>
      <c r="AV1881">
        <f>COUNTIF($BA$1881:$EH$1881,"D")</f>
        <v/>
      </c>
      <c r="AW1881">
        <f>COUNTIF($BA$1881:$EH$1881,"R")</f>
        <v/>
      </c>
      <c r="AX1881">
        <f>IF(BN1881="D",1,0)+IF(BO1881="D",1,0)+IF(BT1881="D",1,0)+IF(BU1881="D",1,0)+IF(BW1881="D",1,0)+IF(CC1881="D",1,0)+IF(CD1881="D",1,0)+IF(CE1881="D",1,0)+IF(CF1881="D",1,0)+IF(CL1881="D",1,0)+IF(CM1881="D",1,0)+IF(CQ1881="D",1,0)+IF(CR1881="D",1,0)+IF(CS1881="D",1,0)+IF(CW1881="D",1,0)+IF(CX1881="D",1,0)+IF(DD1881="D",1,0)+IF(DE1881="D",1,0)+IF(DJ1881="D",1,0)+IF(DK1881="D",1,0)+IF(DO1881="D",1,0)+IF(DP1881="D",1,0)+IF(DQ1881="D",1,0)+IF(DW1881="D",1,0)+IF(DZ1881="D",1,0)+IF(EH1881="D",1,0)</f>
        <v/>
      </c>
      <c r="AY1881">
        <f>IF(DJ1881&lt;&gt;"",1,0)+IF(DK1881&lt;&gt;"",1,0)+IF(DM1881&lt;&gt;"",1,0)+IF(DO1881&lt;&gt;"",1,0)+IF(DP1881&lt;&gt;"",1,0)+IF(DQ1881&lt;&gt;"",1,0)+IF(DS1881&lt;&gt;"",1,0)+IF(DT1881&lt;&gt;"",1,0)+IF(DV1881&lt;&gt;"",1,0)+IF(DW1881&lt;&gt;"",1,0)+IF(DX1881&lt;&gt;"",1,0)+IF(DY1881&lt;&gt;"",1,0)+IF(DZ1881&lt;&gt;"",1,0)+IF(EB1881&lt;&gt;"",1,0)+IF(EC1881&lt;&gt;"",1,0)+IF(ED1881&lt;&gt;"",1,0)+IF(EG1881&lt;&gt;"",1,0)+IF(EH1881&lt;&gt;"",1,0)</f>
        <v/>
      </c>
      <c r="AZ1881">
        <f>IF(EH1881&lt;&gt;"",1,0)</f>
        <v/>
      </c>
      <c r="BB1881" t="inlineStr">
        <is>
          <t>WARREN-WARD 4</t>
        </is>
      </c>
      <c r="DC1881" t="inlineStr">
        <is>
          <t>X</t>
        </is>
      </c>
    </row>
    <row r="1882">
      <c r="A1882" t="inlineStr">
        <is>
          <t>OH0021649625</t>
        </is>
      </c>
      <c r="B1882" t="n">
        <v>78</v>
      </c>
      <c r="C1882" t="n">
        <v>384093</v>
      </c>
      <c r="D1882" t="inlineStr">
        <is>
          <t>DAFFRON</t>
        </is>
      </c>
      <c r="E1882" t="inlineStr">
        <is>
          <t>JOSHUA</t>
        </is>
      </c>
      <c r="F1882">
        <f>CONCATENATE(D1882," ",LEFT(H1882,4),"T=",AU1882,"D=",AV1882,"R=",AW1882,"M=",AX1882,"L=",AY1882,"B=",AZ1882)</f>
        <v/>
      </c>
      <c r="G1882" t="inlineStr">
        <is>
          <t>R</t>
        </is>
      </c>
      <c r="I1882" t="inlineStr">
        <is>
          <t>1985-02-28</t>
        </is>
      </c>
      <c r="J1882" t="inlineStr">
        <is>
          <t>2020-11-23</t>
        </is>
      </c>
      <c r="K1882" t="inlineStr">
        <is>
          <t>CONFIRMATION</t>
        </is>
      </c>
      <c r="M1882" t="inlineStr">
        <is>
          <t>252 LAWRENCE AVE NE</t>
        </is>
      </c>
      <c r="N1882">
        <f>RIGHT(M1882,LEN(M1882)-FIND(" ",M1882))</f>
        <v/>
      </c>
      <c r="P1882" t="inlineStr">
        <is>
          <t>WARREN</t>
        </is>
      </c>
      <c r="Q1882" t="inlineStr">
        <is>
          <t>OH</t>
        </is>
      </c>
      <c r="R1882" t="n">
        <v>44483</v>
      </c>
      <c r="AD1882" t="inlineStr">
        <is>
          <t>TRUMBULL CAREER &amp; TECH CENTER</t>
        </is>
      </c>
      <c r="AE1882" t="inlineStr">
        <is>
          <t>WARREN CITY</t>
        </is>
      </c>
      <c r="AF1882" t="inlineStr">
        <is>
          <t>WARREN CITY SD</t>
        </is>
      </c>
      <c r="AH1882" t="n">
        <v>14</v>
      </c>
      <c r="AI1882" t="n">
        <v>11</v>
      </c>
      <c r="AN1882" t="inlineStr">
        <is>
          <t>WARREN</t>
        </is>
      </c>
      <c r="AO1882" t="inlineStr">
        <is>
          <t>WARREN CITY 4D</t>
        </is>
      </c>
      <c r="AP1882" t="inlineStr">
        <is>
          <t>78-P-ADL</t>
        </is>
      </c>
      <c r="AQ1882" t="n">
        <v>9</v>
      </c>
      <c r="AR1882" t="n">
        <v>64</v>
      </c>
      <c r="AS1882" t="n">
        <v>32</v>
      </c>
      <c r="AU1882">
        <f>COUNTA($BA$1882:$EH$1882)</f>
        <v/>
      </c>
      <c r="AV1882">
        <f>COUNTIF($BA$1882:$EH$1882,"D")</f>
        <v/>
      </c>
      <c r="AW1882">
        <f>COUNTIF($BA$1882:$EH$1882,"R")</f>
        <v/>
      </c>
      <c r="AX1882">
        <f>IF(BN1882="D",1,0)+IF(BO1882="D",1,0)+IF(BT1882="D",1,0)+IF(BU1882="D",1,0)+IF(BW1882="D",1,0)+IF(CC1882="D",1,0)+IF(CD1882="D",1,0)+IF(CE1882="D",1,0)+IF(CF1882="D",1,0)+IF(CL1882="D",1,0)+IF(CM1882="D",1,0)+IF(CQ1882="D",1,0)+IF(CR1882="D",1,0)+IF(CS1882="D",1,0)+IF(CW1882="D",1,0)+IF(CX1882="D",1,0)+IF(DD1882="D",1,0)+IF(DE1882="D",1,0)+IF(DJ1882="D",1,0)+IF(DK1882="D",1,0)+IF(DO1882="D",1,0)+IF(DP1882="D",1,0)+IF(DQ1882="D",1,0)+IF(DW1882="D",1,0)+IF(DZ1882="D",1,0)+IF(EH1882="D",1,0)</f>
        <v/>
      </c>
      <c r="AY1882">
        <f>IF(DJ1882&lt;&gt;"",1,0)+IF(DK1882&lt;&gt;"",1,0)+IF(DM1882&lt;&gt;"",1,0)+IF(DO1882&lt;&gt;"",1,0)+IF(DP1882&lt;&gt;"",1,0)+IF(DQ1882&lt;&gt;"",1,0)+IF(DS1882&lt;&gt;"",1,0)+IF(DT1882&lt;&gt;"",1,0)+IF(DV1882&lt;&gt;"",1,0)+IF(DW1882&lt;&gt;"",1,0)+IF(DX1882&lt;&gt;"",1,0)+IF(DY1882&lt;&gt;"",1,0)+IF(DZ1882&lt;&gt;"",1,0)+IF(EB1882&lt;&gt;"",1,0)+IF(EC1882&lt;&gt;"",1,0)+IF(ED1882&lt;&gt;"",1,0)+IF(EG1882&lt;&gt;"",1,0)+IF(EH1882&lt;&gt;"",1,0)</f>
        <v/>
      </c>
      <c r="AZ1882">
        <f>IF(EH1882&lt;&gt;"",1,0)</f>
        <v/>
      </c>
      <c r="BB1882" t="inlineStr">
        <is>
          <t>WARREN-WARD 4</t>
        </is>
      </c>
      <c r="CP1882" t="inlineStr">
        <is>
          <t>X</t>
        </is>
      </c>
      <c r="DN1882" t="inlineStr">
        <is>
          <t>X</t>
        </is>
      </c>
    </row>
    <row r="1883">
      <c r="A1883" t="inlineStr">
        <is>
          <t>OH0026905729</t>
        </is>
      </c>
      <c r="B1883" t="n">
        <v>78</v>
      </c>
      <c r="C1883" t="n">
        <v>473984</v>
      </c>
      <c r="D1883" t="inlineStr">
        <is>
          <t>EDWARDS</t>
        </is>
      </c>
      <c r="E1883" t="inlineStr">
        <is>
          <t>DEVIN</t>
        </is>
      </c>
      <c r="F1883">
        <f>CONCATENATE(D1883," ",LEFT(H1883,4),"T=",AU1883,"D=",AV1883,"R=",AW1883,"M=",AX1883,"L=",AY1883,"B=",AZ1883)</f>
        <v/>
      </c>
      <c r="G1883" t="inlineStr">
        <is>
          <t>M</t>
        </is>
      </c>
      <c r="I1883" t="inlineStr">
        <is>
          <t>2004-08-30</t>
        </is>
      </c>
      <c r="J1883" t="inlineStr">
        <is>
          <t>2023-05-02</t>
        </is>
      </c>
      <c r="K1883" t="inlineStr">
        <is>
          <t>ACTIVE</t>
        </is>
      </c>
      <c r="L1883" t="inlineStr">
        <is>
          <t>R</t>
        </is>
      </c>
      <c r="M1883" t="inlineStr">
        <is>
          <t>1004 HARRISON ST NE</t>
        </is>
      </c>
      <c r="N1883">
        <f>RIGHT(M1883,LEN(M1883)-FIND(" ",M1883))</f>
        <v/>
      </c>
      <c r="P1883" t="inlineStr">
        <is>
          <t>WARREN</t>
        </is>
      </c>
      <c r="Q1883" t="inlineStr">
        <is>
          <t>OH</t>
        </is>
      </c>
      <c r="R1883" t="n">
        <v>44483</v>
      </c>
      <c r="AD1883" t="inlineStr">
        <is>
          <t>TRUMBULL CAREER &amp; TECH CENTER</t>
        </is>
      </c>
      <c r="AE1883" t="inlineStr">
        <is>
          <t>WARREN CITY</t>
        </is>
      </c>
      <c r="AF1883" t="inlineStr">
        <is>
          <t>WARREN CITY SD</t>
        </is>
      </c>
      <c r="AH1883" t="n">
        <v>14</v>
      </c>
      <c r="AI1883" t="n">
        <v>11</v>
      </c>
      <c r="AN1883" t="inlineStr">
        <is>
          <t>WARREN</t>
        </is>
      </c>
      <c r="AO1883" t="inlineStr">
        <is>
          <t>WARREN CITY 4D</t>
        </is>
      </c>
      <c r="AP1883" t="inlineStr">
        <is>
          <t>78-P-ADL</t>
        </is>
      </c>
      <c r="AQ1883" t="n">
        <v>9</v>
      </c>
      <c r="AR1883" t="n">
        <v>64</v>
      </c>
      <c r="AS1883" t="n">
        <v>32</v>
      </c>
      <c r="AU1883">
        <f>COUNTA($BA$1883:$EH$1883)</f>
        <v/>
      </c>
      <c r="AV1883">
        <f>COUNTIF($BA$1883:$EH$1883,"D")</f>
        <v/>
      </c>
      <c r="AW1883">
        <f>COUNTIF($BA$1883:$EH$1883,"R")</f>
        <v/>
      </c>
      <c r="AX1883">
        <f>IF(BN1883="D",1,0)+IF(BO1883="D",1,0)+IF(BT1883="D",1,0)+IF(BU1883="D",1,0)+IF(BW1883="D",1,0)+IF(CC1883="D",1,0)+IF(CD1883="D",1,0)+IF(CE1883="D",1,0)+IF(CF1883="D",1,0)+IF(CL1883="D",1,0)+IF(CM1883="D",1,0)+IF(CQ1883="D",1,0)+IF(CR1883="D",1,0)+IF(CS1883="D",1,0)+IF(CW1883="D",1,0)+IF(CX1883="D",1,0)+IF(DD1883="D",1,0)+IF(DE1883="D",1,0)+IF(DJ1883="D",1,0)+IF(DK1883="D",1,0)+IF(DO1883="D",1,0)+IF(DP1883="D",1,0)+IF(DQ1883="D",1,0)+IF(DW1883="D",1,0)+IF(DZ1883="D",1,0)+IF(EH1883="D",1,0)</f>
        <v/>
      </c>
      <c r="AY1883">
        <f>IF(DJ1883&lt;&gt;"",1,0)+IF(DK1883&lt;&gt;"",1,0)+IF(DM1883&lt;&gt;"",1,0)+IF(DO1883&lt;&gt;"",1,0)+IF(DP1883&lt;&gt;"",1,0)+IF(DQ1883&lt;&gt;"",1,0)+IF(DS1883&lt;&gt;"",1,0)+IF(DT1883&lt;&gt;"",1,0)+IF(DV1883&lt;&gt;"",1,0)+IF(DW1883&lt;&gt;"",1,0)+IF(DX1883&lt;&gt;"",1,0)+IF(DY1883&lt;&gt;"",1,0)+IF(DZ1883&lt;&gt;"",1,0)+IF(EB1883&lt;&gt;"",1,0)+IF(EC1883&lt;&gt;"",1,0)+IF(ED1883&lt;&gt;"",1,0)+IF(EG1883&lt;&gt;"",1,0)+IF(EH1883&lt;&gt;"",1,0)</f>
        <v/>
      </c>
      <c r="AZ1883">
        <f>IF(EH1883&lt;&gt;"",1,0)</f>
        <v/>
      </c>
      <c r="BB1883" t="inlineStr">
        <is>
          <t>WARREN-WARD 4</t>
        </is>
      </c>
      <c r="ED1883" t="inlineStr">
        <is>
          <t>R</t>
        </is>
      </c>
      <c r="EF1883" t="inlineStr">
        <is>
          <t>X</t>
        </is>
      </c>
    </row>
    <row r="1884">
      <c r="A1884" t="inlineStr">
        <is>
          <t>OH0015702785</t>
        </is>
      </c>
      <c r="B1884" t="n">
        <v>78</v>
      </c>
      <c r="C1884" t="n">
        <v>162888</v>
      </c>
      <c r="D1884" t="inlineStr">
        <is>
          <t>NEAL</t>
        </is>
      </c>
      <c r="E1884" t="inlineStr">
        <is>
          <t>BONITA</t>
        </is>
      </c>
      <c r="F1884">
        <f>CONCATENATE(D1884," ",LEFT(H1884,4),"T=",AU1884,"D=",AV1884,"R=",AW1884,"M=",AX1884,"L=",AY1884,"B=",AZ1884)</f>
        <v/>
      </c>
      <c r="I1884" t="inlineStr">
        <is>
          <t>1965-11-30</t>
        </is>
      </c>
      <c r="J1884" t="inlineStr">
        <is>
          <t>2015-06-30</t>
        </is>
      </c>
      <c r="K1884" t="inlineStr">
        <is>
          <t>ACTIVE</t>
        </is>
      </c>
      <c r="M1884" t="inlineStr">
        <is>
          <t>168 IDDINGS AVE NE</t>
        </is>
      </c>
      <c r="N1884">
        <f>RIGHT(M1884,LEN(M1884)-FIND(" ",M1884))</f>
        <v/>
      </c>
      <c r="P1884" t="inlineStr">
        <is>
          <t>WARREN</t>
        </is>
      </c>
      <c r="Q1884" t="inlineStr">
        <is>
          <t>OH</t>
        </is>
      </c>
      <c r="R1884" t="n">
        <v>44483</v>
      </c>
      <c r="AD1884" t="inlineStr">
        <is>
          <t>TRUMBULL CAREER &amp; TECH CENTER</t>
        </is>
      </c>
      <c r="AE1884" t="inlineStr">
        <is>
          <t>WARREN CITY</t>
        </is>
      </c>
      <c r="AF1884" t="inlineStr">
        <is>
          <t>WARREN CITY SD</t>
        </is>
      </c>
      <c r="AH1884" t="n">
        <v>14</v>
      </c>
      <c r="AI1884" t="n">
        <v>11</v>
      </c>
      <c r="AN1884" t="inlineStr">
        <is>
          <t>WARREN</t>
        </is>
      </c>
      <c r="AO1884" t="inlineStr">
        <is>
          <t>WARREN CITY 4D</t>
        </is>
      </c>
      <c r="AP1884" t="inlineStr">
        <is>
          <t>78-P-ADL</t>
        </is>
      </c>
      <c r="AQ1884" t="n">
        <v>9</v>
      </c>
      <c r="AR1884" t="n">
        <v>64</v>
      </c>
      <c r="AS1884" t="n">
        <v>32</v>
      </c>
      <c r="AU1884">
        <f>COUNTA($BA$1884:$EH$1884)</f>
        <v/>
      </c>
      <c r="AV1884">
        <f>COUNTIF($BA$1884:$EH$1884,"D")</f>
        <v/>
      </c>
      <c r="AW1884">
        <f>COUNTIF($BA$1884:$EH$1884,"R")</f>
        <v/>
      </c>
      <c r="AX1884">
        <f>IF(BN1884="D",1,0)+IF(BO1884="D",1,0)+IF(BT1884="D",1,0)+IF(BU1884="D",1,0)+IF(BW1884="D",1,0)+IF(CC1884="D",1,0)+IF(CD1884="D",1,0)+IF(CE1884="D",1,0)+IF(CF1884="D",1,0)+IF(CL1884="D",1,0)+IF(CM1884="D",1,0)+IF(CQ1884="D",1,0)+IF(CR1884="D",1,0)+IF(CS1884="D",1,0)+IF(CW1884="D",1,0)+IF(CX1884="D",1,0)+IF(DD1884="D",1,0)+IF(DE1884="D",1,0)+IF(DJ1884="D",1,0)+IF(DK1884="D",1,0)+IF(DO1884="D",1,0)+IF(DP1884="D",1,0)+IF(DQ1884="D",1,0)+IF(DW1884="D",1,0)+IF(DZ1884="D",1,0)+IF(EH1884="D",1,0)</f>
        <v/>
      </c>
      <c r="AY1884">
        <f>IF(DJ1884&lt;&gt;"",1,0)+IF(DK1884&lt;&gt;"",1,0)+IF(DM1884&lt;&gt;"",1,0)+IF(DO1884&lt;&gt;"",1,0)+IF(DP1884&lt;&gt;"",1,0)+IF(DQ1884&lt;&gt;"",1,0)+IF(DS1884&lt;&gt;"",1,0)+IF(DT1884&lt;&gt;"",1,0)+IF(DV1884&lt;&gt;"",1,0)+IF(DW1884&lt;&gt;"",1,0)+IF(DX1884&lt;&gt;"",1,0)+IF(DY1884&lt;&gt;"",1,0)+IF(DZ1884&lt;&gt;"",1,0)+IF(EB1884&lt;&gt;"",1,0)+IF(EC1884&lt;&gt;"",1,0)+IF(ED1884&lt;&gt;"",1,0)+IF(EG1884&lt;&gt;"",1,0)+IF(EH1884&lt;&gt;"",1,0)</f>
        <v/>
      </c>
      <c r="AZ1884">
        <f>IF(EH1884&lt;&gt;"",1,0)</f>
        <v/>
      </c>
      <c r="BB1884" t="inlineStr">
        <is>
          <t>WARREN-WARD 4</t>
        </is>
      </c>
      <c r="BC1884" t="inlineStr">
        <is>
          <t>X</t>
        </is>
      </c>
      <c r="BD1884" t="inlineStr">
        <is>
          <t>X</t>
        </is>
      </c>
      <c r="BG1884" t="inlineStr">
        <is>
          <t>X</t>
        </is>
      </c>
      <c r="BH1884" t="inlineStr">
        <is>
          <t>X</t>
        </is>
      </c>
      <c r="BL1884" t="inlineStr">
        <is>
          <t>X</t>
        </is>
      </c>
      <c r="BY1884" t="inlineStr">
        <is>
          <t>D</t>
        </is>
      </c>
      <c r="CA1884" t="inlineStr">
        <is>
          <t>X</t>
        </is>
      </c>
      <c r="CK1884" t="inlineStr">
        <is>
          <t>X</t>
        </is>
      </c>
      <c r="CP1884" t="inlineStr">
        <is>
          <t>X</t>
        </is>
      </c>
      <c r="CY1884" t="inlineStr">
        <is>
          <t>X</t>
        </is>
      </c>
      <c r="DC1884" t="inlineStr">
        <is>
          <t>X</t>
        </is>
      </c>
      <c r="DI1884" t="inlineStr">
        <is>
          <t>X</t>
        </is>
      </c>
      <c r="DN1884" t="inlineStr">
        <is>
          <t>X</t>
        </is>
      </c>
      <c r="DU1884" t="inlineStr">
        <is>
          <t>X</t>
        </is>
      </c>
      <c r="DX1884" t="inlineStr">
        <is>
          <t>X</t>
        </is>
      </c>
      <c r="EA1884" t="inlineStr">
        <is>
          <t>X</t>
        </is>
      </c>
      <c r="EF1884" t="inlineStr">
        <is>
          <t>X</t>
        </is>
      </c>
    </row>
    <row r="1885">
      <c r="A1885" t="inlineStr">
        <is>
          <t>OH0022698058</t>
        </is>
      </c>
      <c r="B1885" t="n">
        <v>78</v>
      </c>
      <c r="C1885" t="n">
        <v>400589</v>
      </c>
      <c r="D1885" t="inlineStr">
        <is>
          <t>KING</t>
        </is>
      </c>
      <c r="E1885" t="inlineStr">
        <is>
          <t>TAMMY</t>
        </is>
      </c>
      <c r="F1885">
        <f>CONCATENATE(D1885," ",LEFT(H1885,4),"T=",AU1885,"D=",AV1885,"R=",AW1885,"M=",AX1885,"L=",AY1885,"B=",AZ1885)</f>
        <v/>
      </c>
      <c r="G1885" t="inlineStr">
        <is>
          <t>KAY</t>
        </is>
      </c>
      <c r="I1885" t="inlineStr">
        <is>
          <t>1964-10-02</t>
        </is>
      </c>
      <c r="J1885" t="inlineStr">
        <is>
          <t>2017-04-08</t>
        </is>
      </c>
      <c r="K1885" t="inlineStr">
        <is>
          <t>CONFIRMATION</t>
        </is>
      </c>
      <c r="M1885" t="inlineStr">
        <is>
          <t>524 FAIRFIELD AVE NE</t>
        </is>
      </c>
      <c r="N1885">
        <f>RIGHT(M1885,LEN(M1885)-FIND(" ",M1885))</f>
        <v/>
      </c>
      <c r="P1885" t="inlineStr">
        <is>
          <t>WARREN</t>
        </is>
      </c>
      <c r="Q1885" t="inlineStr">
        <is>
          <t>OH</t>
        </is>
      </c>
      <c r="R1885" t="n">
        <v>44483</v>
      </c>
      <c r="AD1885" t="inlineStr">
        <is>
          <t>TRUMBULL CAREER &amp; TECH CENTER</t>
        </is>
      </c>
      <c r="AE1885" t="inlineStr">
        <is>
          <t>WARREN CITY</t>
        </is>
      </c>
      <c r="AF1885" t="inlineStr">
        <is>
          <t>WARREN CITY SD</t>
        </is>
      </c>
      <c r="AH1885" t="n">
        <v>14</v>
      </c>
      <c r="AI1885" t="n">
        <v>11</v>
      </c>
      <c r="AN1885" t="inlineStr">
        <is>
          <t>WARREN</t>
        </is>
      </c>
      <c r="AO1885" t="inlineStr">
        <is>
          <t>WARREN CITY 4D</t>
        </is>
      </c>
      <c r="AP1885" t="inlineStr">
        <is>
          <t>78-P-ADL</t>
        </is>
      </c>
      <c r="AQ1885" t="n">
        <v>9</v>
      </c>
      <c r="AR1885" t="n">
        <v>64</v>
      </c>
      <c r="AS1885" t="n">
        <v>32</v>
      </c>
      <c r="AU1885">
        <f>COUNTA($BA$1885:$EH$1885)</f>
        <v/>
      </c>
      <c r="AV1885">
        <f>COUNTIF($BA$1885:$EH$1885,"D")</f>
        <v/>
      </c>
      <c r="AW1885">
        <f>COUNTIF($BA$1885:$EH$1885,"R")</f>
        <v/>
      </c>
      <c r="AX1885">
        <f>IF(BN1885="D",1,0)+IF(BO1885="D",1,0)+IF(BT1885="D",1,0)+IF(BU1885="D",1,0)+IF(BW1885="D",1,0)+IF(CC1885="D",1,0)+IF(CD1885="D",1,0)+IF(CE1885="D",1,0)+IF(CF1885="D",1,0)+IF(CL1885="D",1,0)+IF(CM1885="D",1,0)+IF(CQ1885="D",1,0)+IF(CR1885="D",1,0)+IF(CS1885="D",1,0)+IF(CW1885="D",1,0)+IF(CX1885="D",1,0)+IF(DD1885="D",1,0)+IF(DE1885="D",1,0)+IF(DJ1885="D",1,0)+IF(DK1885="D",1,0)+IF(DO1885="D",1,0)+IF(DP1885="D",1,0)+IF(DQ1885="D",1,0)+IF(DW1885="D",1,0)+IF(DZ1885="D",1,0)+IF(EH1885="D",1,0)</f>
        <v/>
      </c>
      <c r="AY1885">
        <f>IF(DJ1885&lt;&gt;"",1,0)+IF(DK1885&lt;&gt;"",1,0)+IF(DM1885&lt;&gt;"",1,0)+IF(DO1885&lt;&gt;"",1,0)+IF(DP1885&lt;&gt;"",1,0)+IF(DQ1885&lt;&gt;"",1,0)+IF(DS1885&lt;&gt;"",1,0)+IF(DT1885&lt;&gt;"",1,0)+IF(DV1885&lt;&gt;"",1,0)+IF(DW1885&lt;&gt;"",1,0)+IF(DX1885&lt;&gt;"",1,0)+IF(DY1885&lt;&gt;"",1,0)+IF(DZ1885&lt;&gt;"",1,0)+IF(EB1885&lt;&gt;"",1,0)+IF(EC1885&lt;&gt;"",1,0)+IF(ED1885&lt;&gt;"",1,0)+IF(EG1885&lt;&gt;"",1,0)+IF(EH1885&lt;&gt;"",1,0)</f>
        <v/>
      </c>
      <c r="AZ1885">
        <f>IF(EH1885&lt;&gt;"",1,0)</f>
        <v/>
      </c>
      <c r="BB1885" t="inlineStr">
        <is>
          <t>WARREN-WARD 4</t>
        </is>
      </c>
    </row>
    <row r="1886">
      <c r="A1886" t="inlineStr">
        <is>
          <t>OH0015705816</t>
        </is>
      </c>
      <c r="B1886" t="n">
        <v>78</v>
      </c>
      <c r="C1886" t="n">
        <v>168142</v>
      </c>
      <c r="D1886" t="inlineStr">
        <is>
          <t>NEAL</t>
        </is>
      </c>
      <c r="E1886" t="inlineStr">
        <is>
          <t>BRIAN</t>
        </is>
      </c>
      <c r="F1886">
        <f>CONCATENATE(D1886," ",LEFT(H1886,4),"T=",AU1886,"D=",AV1886,"R=",AW1886,"M=",AX1886,"L=",AY1886,"B=",AZ1886)</f>
        <v/>
      </c>
      <c r="G1886" t="inlineStr">
        <is>
          <t>O</t>
        </is>
      </c>
      <c r="I1886" t="inlineStr">
        <is>
          <t>1960-11-06</t>
        </is>
      </c>
      <c r="J1886" t="inlineStr">
        <is>
          <t>1984-04-06</t>
        </is>
      </c>
      <c r="K1886" t="inlineStr">
        <is>
          <t>ACTIVE</t>
        </is>
      </c>
      <c r="L1886" t="inlineStr">
        <is>
          <t>D</t>
        </is>
      </c>
      <c r="M1886" t="inlineStr">
        <is>
          <t>168 IDDINGS AVE NE</t>
        </is>
      </c>
      <c r="N1886">
        <f>RIGHT(M1886,LEN(M1886)-FIND(" ",M1886))</f>
        <v/>
      </c>
      <c r="P1886" t="inlineStr">
        <is>
          <t>WARREN</t>
        </is>
      </c>
      <c r="Q1886" t="inlineStr">
        <is>
          <t>OH</t>
        </is>
      </c>
      <c r="R1886" t="n">
        <v>44483</v>
      </c>
      <c r="AD1886" t="inlineStr">
        <is>
          <t>TRUMBULL CAREER &amp; TECH CENTER</t>
        </is>
      </c>
      <c r="AE1886" t="inlineStr">
        <is>
          <t>WARREN CITY</t>
        </is>
      </c>
      <c r="AF1886" t="inlineStr">
        <is>
          <t>WARREN CITY SD</t>
        </is>
      </c>
      <c r="AH1886" t="n">
        <v>14</v>
      </c>
      <c r="AI1886" t="n">
        <v>11</v>
      </c>
      <c r="AN1886" t="inlineStr">
        <is>
          <t>WARREN</t>
        </is>
      </c>
      <c r="AO1886" t="inlineStr">
        <is>
          <t>WARREN CITY 4D</t>
        </is>
      </c>
      <c r="AP1886" t="inlineStr">
        <is>
          <t>78-P-ADL</t>
        </is>
      </c>
      <c r="AQ1886" t="n">
        <v>9</v>
      </c>
      <c r="AR1886" t="n">
        <v>64</v>
      </c>
      <c r="AS1886" t="n">
        <v>32</v>
      </c>
      <c r="AU1886">
        <f>COUNTA($BA$1886:$EH$1886)</f>
        <v/>
      </c>
      <c r="AV1886">
        <f>COUNTIF($BA$1886:$EH$1886,"D")</f>
        <v/>
      </c>
      <c r="AW1886">
        <f>COUNTIF($BA$1886:$EH$1886,"R")</f>
        <v/>
      </c>
      <c r="AX1886">
        <f>IF(BN1886="D",1,0)+IF(BO1886="D",1,0)+IF(BT1886="D",1,0)+IF(BU1886="D",1,0)+IF(BW1886="D",1,0)+IF(CC1886="D",1,0)+IF(CD1886="D",1,0)+IF(CE1886="D",1,0)+IF(CF1886="D",1,0)+IF(CL1886="D",1,0)+IF(CM1886="D",1,0)+IF(CQ1886="D",1,0)+IF(CR1886="D",1,0)+IF(CS1886="D",1,0)+IF(CW1886="D",1,0)+IF(CX1886="D",1,0)+IF(DD1886="D",1,0)+IF(DE1886="D",1,0)+IF(DJ1886="D",1,0)+IF(DK1886="D",1,0)+IF(DO1886="D",1,0)+IF(DP1886="D",1,0)+IF(DQ1886="D",1,0)+IF(DW1886="D",1,0)+IF(DZ1886="D",1,0)+IF(EH1886="D",1,0)</f>
        <v/>
      </c>
      <c r="AY1886">
        <f>IF(DJ1886&lt;&gt;"",1,0)+IF(DK1886&lt;&gt;"",1,0)+IF(DM1886&lt;&gt;"",1,0)+IF(DO1886&lt;&gt;"",1,0)+IF(DP1886&lt;&gt;"",1,0)+IF(DQ1886&lt;&gt;"",1,0)+IF(DS1886&lt;&gt;"",1,0)+IF(DT1886&lt;&gt;"",1,0)+IF(DV1886&lt;&gt;"",1,0)+IF(DW1886&lt;&gt;"",1,0)+IF(DX1886&lt;&gt;"",1,0)+IF(DY1886&lt;&gt;"",1,0)+IF(DZ1886&lt;&gt;"",1,0)+IF(EB1886&lt;&gt;"",1,0)+IF(EC1886&lt;&gt;"",1,0)+IF(ED1886&lt;&gt;"",1,0)+IF(EG1886&lt;&gt;"",1,0)+IF(EH1886&lt;&gt;"",1,0)</f>
        <v/>
      </c>
      <c r="AZ1886">
        <f>IF(EH1886&lt;&gt;"",1,0)</f>
        <v/>
      </c>
      <c r="BB1886" t="inlineStr">
        <is>
          <t>WARREN-WARD 4</t>
        </is>
      </c>
      <c r="BC1886" t="inlineStr">
        <is>
          <t>X</t>
        </is>
      </c>
      <c r="BD1886" t="inlineStr">
        <is>
          <t>X</t>
        </is>
      </c>
      <c r="BG1886" t="inlineStr">
        <is>
          <t>X</t>
        </is>
      </c>
      <c r="BH1886" t="inlineStr">
        <is>
          <t>X</t>
        </is>
      </c>
      <c r="BI1886" t="inlineStr">
        <is>
          <t>X</t>
        </is>
      </c>
      <c r="BJ1886" t="inlineStr">
        <is>
          <t>X</t>
        </is>
      </c>
      <c r="BK1886" t="inlineStr">
        <is>
          <t>X</t>
        </is>
      </c>
      <c r="BL1886" t="inlineStr">
        <is>
          <t>X</t>
        </is>
      </c>
      <c r="BP1886" t="inlineStr">
        <is>
          <t>X</t>
        </is>
      </c>
      <c r="BR1886" t="inlineStr">
        <is>
          <t>X</t>
        </is>
      </c>
      <c r="BS1886" t="inlineStr">
        <is>
          <t>X</t>
        </is>
      </c>
      <c r="BT1886" t="inlineStr">
        <is>
          <t>X</t>
        </is>
      </c>
      <c r="BY1886" t="inlineStr">
        <is>
          <t>D</t>
        </is>
      </c>
      <c r="CA1886" t="inlineStr">
        <is>
          <t>X</t>
        </is>
      </c>
      <c r="CG1886" t="inlineStr">
        <is>
          <t>X</t>
        </is>
      </c>
      <c r="CH1886" t="inlineStr">
        <is>
          <t>D</t>
        </is>
      </c>
      <c r="CK1886" t="inlineStr">
        <is>
          <t>X</t>
        </is>
      </c>
      <c r="CN1886" t="inlineStr">
        <is>
          <t>X</t>
        </is>
      </c>
      <c r="CO1886" t="inlineStr">
        <is>
          <t>D</t>
        </is>
      </c>
      <c r="CP1886" t="inlineStr">
        <is>
          <t>X</t>
        </is>
      </c>
      <c r="CQ1886" t="inlineStr">
        <is>
          <t>D</t>
        </is>
      </c>
      <c r="CT1886" t="inlineStr">
        <is>
          <t>X</t>
        </is>
      </c>
      <c r="CU1886" t="inlineStr">
        <is>
          <t>D</t>
        </is>
      </c>
      <c r="CV1886" t="inlineStr">
        <is>
          <t>X</t>
        </is>
      </c>
      <c r="CY1886" t="inlineStr">
        <is>
          <t>X</t>
        </is>
      </c>
      <c r="CZ1886" t="inlineStr">
        <is>
          <t>D</t>
        </is>
      </c>
      <c r="DC1886" t="inlineStr">
        <is>
          <t>X</t>
        </is>
      </c>
      <c r="DD1886" t="inlineStr">
        <is>
          <t>D</t>
        </is>
      </c>
      <c r="DF1886" t="inlineStr">
        <is>
          <t>X</t>
        </is>
      </c>
      <c r="DG1886" t="inlineStr">
        <is>
          <t>D</t>
        </is>
      </c>
      <c r="DI1886" t="inlineStr">
        <is>
          <t>X</t>
        </is>
      </c>
      <c r="DL1886" t="inlineStr">
        <is>
          <t>X</t>
        </is>
      </c>
      <c r="DN1886" t="inlineStr">
        <is>
          <t>X</t>
        </is>
      </c>
      <c r="DR1886" t="inlineStr">
        <is>
          <t>X</t>
        </is>
      </c>
      <c r="DS1886" t="inlineStr">
        <is>
          <t>D</t>
        </is>
      </c>
      <c r="DT1886" t="inlineStr">
        <is>
          <t>D</t>
        </is>
      </c>
      <c r="DU1886" t="inlineStr">
        <is>
          <t>X</t>
        </is>
      </c>
      <c r="DW1886" t="inlineStr">
        <is>
          <t>D</t>
        </is>
      </c>
      <c r="DX1886" t="inlineStr">
        <is>
          <t>X</t>
        </is>
      </c>
      <c r="EA1886" t="inlineStr">
        <is>
          <t>X</t>
        </is>
      </c>
      <c r="ED1886" t="inlineStr">
        <is>
          <t>D</t>
        </is>
      </c>
      <c r="EF1886" t="inlineStr">
        <is>
          <t>X</t>
        </is>
      </c>
    </row>
    <row r="1887">
      <c r="A1887" t="inlineStr">
        <is>
          <t>OH0024095323</t>
        </is>
      </c>
      <c r="B1887" t="n">
        <v>78</v>
      </c>
      <c r="C1887" t="n">
        <v>422011</v>
      </c>
      <c r="D1887" t="inlineStr">
        <is>
          <t>ROUNDS</t>
        </is>
      </c>
      <c r="E1887" t="inlineStr">
        <is>
          <t>KEITH</t>
        </is>
      </c>
      <c r="F1887">
        <f>CONCATENATE(D1887," ",LEFT(H1887,4),"T=",AU1887,"D=",AV1887,"R=",AW1887,"M=",AX1887,"L=",AY1887,"B=",AZ1887)</f>
        <v/>
      </c>
      <c r="G1887" t="inlineStr">
        <is>
          <t>ELLIS</t>
        </is>
      </c>
      <c r="I1887" t="inlineStr">
        <is>
          <t>1998-09-05</t>
        </is>
      </c>
      <c r="J1887" t="inlineStr">
        <is>
          <t>2025-03-05</t>
        </is>
      </c>
      <c r="K1887" t="inlineStr">
        <is>
          <t>ACTIVE</t>
        </is>
      </c>
      <c r="M1887" t="inlineStr">
        <is>
          <t>1032 MCKINLEY ST NE</t>
        </is>
      </c>
      <c r="N1887">
        <f>RIGHT(M1887,LEN(M1887)-FIND(" ",M1887))</f>
        <v/>
      </c>
      <c r="P1887" t="inlineStr">
        <is>
          <t>WARREN</t>
        </is>
      </c>
      <c r="Q1887" t="inlineStr">
        <is>
          <t>OH</t>
        </is>
      </c>
      <c r="R1887" t="n">
        <v>44483</v>
      </c>
      <c r="AD1887" t="inlineStr">
        <is>
          <t>TRUMBULL CAREER &amp; TECH CENTER</t>
        </is>
      </c>
      <c r="AE1887" t="inlineStr">
        <is>
          <t>WARREN CITY</t>
        </is>
      </c>
      <c r="AF1887" t="inlineStr">
        <is>
          <t>WARREN CITY SD</t>
        </is>
      </c>
      <c r="AH1887" t="n">
        <v>14</v>
      </c>
      <c r="AI1887" t="n">
        <v>11</v>
      </c>
      <c r="AN1887" t="inlineStr">
        <is>
          <t>WARREN</t>
        </is>
      </c>
      <c r="AO1887" t="inlineStr">
        <is>
          <t>WARREN CITY 4D</t>
        </is>
      </c>
      <c r="AP1887" t="inlineStr">
        <is>
          <t>78-P-ADL</t>
        </is>
      </c>
      <c r="AQ1887" t="n">
        <v>9</v>
      </c>
      <c r="AR1887" t="n">
        <v>64</v>
      </c>
      <c r="AS1887" t="n">
        <v>32</v>
      </c>
      <c r="AU1887">
        <f>COUNTA($BA$1887:$EH$1887)</f>
        <v/>
      </c>
      <c r="AV1887">
        <f>COUNTIF($BA$1887:$EH$1887,"D")</f>
        <v/>
      </c>
      <c r="AW1887">
        <f>COUNTIF($BA$1887:$EH$1887,"R")</f>
        <v/>
      </c>
      <c r="AX1887">
        <f>IF(BN1887="D",1,0)+IF(BO1887="D",1,0)+IF(BT1887="D",1,0)+IF(BU1887="D",1,0)+IF(BW1887="D",1,0)+IF(CC1887="D",1,0)+IF(CD1887="D",1,0)+IF(CE1887="D",1,0)+IF(CF1887="D",1,0)+IF(CL1887="D",1,0)+IF(CM1887="D",1,0)+IF(CQ1887="D",1,0)+IF(CR1887="D",1,0)+IF(CS1887="D",1,0)+IF(CW1887="D",1,0)+IF(CX1887="D",1,0)+IF(DD1887="D",1,0)+IF(DE1887="D",1,0)+IF(DJ1887="D",1,0)+IF(DK1887="D",1,0)+IF(DO1887="D",1,0)+IF(DP1887="D",1,0)+IF(DQ1887="D",1,0)+IF(DW1887="D",1,0)+IF(DZ1887="D",1,0)+IF(EH1887="D",1,0)</f>
        <v/>
      </c>
      <c r="AY1887">
        <f>IF(DJ1887&lt;&gt;"",1,0)+IF(DK1887&lt;&gt;"",1,0)+IF(DM1887&lt;&gt;"",1,0)+IF(DO1887&lt;&gt;"",1,0)+IF(DP1887&lt;&gt;"",1,0)+IF(DQ1887&lt;&gt;"",1,0)+IF(DS1887&lt;&gt;"",1,0)+IF(DT1887&lt;&gt;"",1,0)+IF(DV1887&lt;&gt;"",1,0)+IF(DW1887&lt;&gt;"",1,0)+IF(DX1887&lt;&gt;"",1,0)+IF(DY1887&lt;&gt;"",1,0)+IF(DZ1887&lt;&gt;"",1,0)+IF(EB1887&lt;&gt;"",1,0)+IF(EC1887&lt;&gt;"",1,0)+IF(ED1887&lt;&gt;"",1,0)+IF(EG1887&lt;&gt;"",1,0)+IF(EH1887&lt;&gt;"",1,0)</f>
        <v/>
      </c>
      <c r="AZ1887">
        <f>IF(EH1887&lt;&gt;"",1,0)</f>
        <v/>
      </c>
      <c r="BB1887" t="inlineStr">
        <is>
          <t>WARREN-WARD 4</t>
        </is>
      </c>
      <c r="DC1887" t="inlineStr">
        <is>
          <t>X</t>
        </is>
      </c>
      <c r="EF1887" t="inlineStr">
        <is>
          <t>X</t>
        </is>
      </c>
    </row>
    <row r="1888">
      <c r="A1888" t="inlineStr">
        <is>
          <t>OH0015692784</t>
        </is>
      </c>
      <c r="B1888" t="n">
        <v>78</v>
      </c>
      <c r="C1888" t="n">
        <v>325136</v>
      </c>
      <c r="D1888" t="inlineStr">
        <is>
          <t>MILYAK</t>
        </is>
      </c>
      <c r="E1888" t="inlineStr">
        <is>
          <t>SARAH</t>
        </is>
      </c>
      <c r="F1888">
        <f>CONCATENATE(D1888," ",LEFT(H1888,4),"T=",AU1888,"D=",AV1888,"R=",AW1888,"M=",AX1888,"L=",AY1888,"B=",AZ1888)</f>
        <v/>
      </c>
      <c r="G1888" t="inlineStr">
        <is>
          <t>B</t>
        </is>
      </c>
      <c r="I1888" t="inlineStr">
        <is>
          <t>1981-08-28</t>
        </is>
      </c>
      <c r="J1888" t="inlineStr">
        <is>
          <t>2016-07-02</t>
        </is>
      </c>
      <c r="K1888" t="inlineStr">
        <is>
          <t>ACTIVE</t>
        </is>
      </c>
      <c r="L1888" t="inlineStr">
        <is>
          <t>D</t>
        </is>
      </c>
      <c r="M1888" t="inlineStr">
        <is>
          <t>338 WASHINGTON ST NE</t>
        </is>
      </c>
      <c r="N1888">
        <f>RIGHT(M1888,LEN(M1888)-FIND(" ",M1888))</f>
        <v/>
      </c>
      <c r="P1888" t="inlineStr">
        <is>
          <t>WARREN</t>
        </is>
      </c>
      <c r="Q1888" t="inlineStr">
        <is>
          <t>OH</t>
        </is>
      </c>
      <c r="R1888" t="n">
        <v>44483</v>
      </c>
      <c r="AD1888" t="inlineStr">
        <is>
          <t>TRUMBULL CAREER &amp; TECH CENTER</t>
        </is>
      </c>
      <c r="AE1888" t="inlineStr">
        <is>
          <t>WARREN CITY</t>
        </is>
      </c>
      <c r="AF1888" t="inlineStr">
        <is>
          <t>WARREN CITY SD</t>
        </is>
      </c>
      <c r="AH1888" t="n">
        <v>14</v>
      </c>
      <c r="AI1888" t="n">
        <v>11</v>
      </c>
      <c r="AN1888" t="inlineStr">
        <is>
          <t>WARREN</t>
        </is>
      </c>
      <c r="AO1888" t="inlineStr">
        <is>
          <t>WARREN CITY 4D</t>
        </is>
      </c>
      <c r="AP1888" t="inlineStr">
        <is>
          <t>78-P-ADL</t>
        </is>
      </c>
      <c r="AQ1888" t="n">
        <v>9</v>
      </c>
      <c r="AR1888" t="n">
        <v>64</v>
      </c>
      <c r="AS1888" t="n">
        <v>32</v>
      </c>
      <c r="AU1888">
        <f>COUNTA($BA$1888:$EH$1888)</f>
        <v/>
      </c>
      <c r="AV1888">
        <f>COUNTIF($BA$1888:$EH$1888,"D")</f>
        <v/>
      </c>
      <c r="AW1888">
        <f>COUNTIF($BA$1888:$EH$1888,"R")</f>
        <v/>
      </c>
      <c r="AX1888">
        <f>IF(BN1888="D",1,0)+IF(BO1888="D",1,0)+IF(BT1888="D",1,0)+IF(BU1888="D",1,0)+IF(BW1888="D",1,0)+IF(CC1888="D",1,0)+IF(CD1888="D",1,0)+IF(CE1888="D",1,0)+IF(CF1888="D",1,0)+IF(CL1888="D",1,0)+IF(CM1888="D",1,0)+IF(CQ1888="D",1,0)+IF(CR1888="D",1,0)+IF(CS1888="D",1,0)+IF(CW1888="D",1,0)+IF(CX1888="D",1,0)+IF(DD1888="D",1,0)+IF(DE1888="D",1,0)+IF(DJ1888="D",1,0)+IF(DK1888="D",1,0)+IF(DO1888="D",1,0)+IF(DP1888="D",1,0)+IF(DQ1888="D",1,0)+IF(DW1888="D",1,0)+IF(DZ1888="D",1,0)+IF(EH1888="D",1,0)</f>
        <v/>
      </c>
      <c r="AY1888">
        <f>IF(DJ1888&lt;&gt;"",1,0)+IF(DK1888&lt;&gt;"",1,0)+IF(DM1888&lt;&gt;"",1,0)+IF(DO1888&lt;&gt;"",1,0)+IF(DP1888&lt;&gt;"",1,0)+IF(DQ1888&lt;&gt;"",1,0)+IF(DS1888&lt;&gt;"",1,0)+IF(DT1888&lt;&gt;"",1,0)+IF(DV1888&lt;&gt;"",1,0)+IF(DW1888&lt;&gt;"",1,0)+IF(DX1888&lt;&gt;"",1,0)+IF(DY1888&lt;&gt;"",1,0)+IF(DZ1888&lt;&gt;"",1,0)+IF(EB1888&lt;&gt;"",1,0)+IF(EC1888&lt;&gt;"",1,0)+IF(ED1888&lt;&gt;"",1,0)+IF(EG1888&lt;&gt;"",1,0)+IF(EH1888&lt;&gt;"",1,0)</f>
        <v/>
      </c>
      <c r="AZ1888">
        <f>IF(EH1888&lt;&gt;"",1,0)</f>
        <v/>
      </c>
      <c r="BB1888" t="inlineStr">
        <is>
          <t>WARREN-WARD 4</t>
        </is>
      </c>
      <c r="BL1888" t="inlineStr">
        <is>
          <t>X</t>
        </is>
      </c>
      <c r="BP1888" t="inlineStr">
        <is>
          <t>X</t>
        </is>
      </c>
      <c r="BR1888" t="inlineStr">
        <is>
          <t>X</t>
        </is>
      </c>
      <c r="BS1888" t="inlineStr">
        <is>
          <t>X</t>
        </is>
      </c>
      <c r="BV1888" t="inlineStr">
        <is>
          <t>X</t>
        </is>
      </c>
      <c r="BY1888" t="inlineStr">
        <is>
          <t>D</t>
        </is>
      </c>
      <c r="CA1888" t="inlineStr">
        <is>
          <t>X</t>
        </is>
      </c>
      <c r="CG1888" t="inlineStr">
        <is>
          <t>X</t>
        </is>
      </c>
      <c r="CH1888" t="inlineStr">
        <is>
          <t>D</t>
        </is>
      </c>
      <c r="CK1888" t="inlineStr">
        <is>
          <t>X</t>
        </is>
      </c>
      <c r="CL1888" t="inlineStr">
        <is>
          <t>D</t>
        </is>
      </c>
      <c r="CN1888" t="inlineStr">
        <is>
          <t>X</t>
        </is>
      </c>
      <c r="CO1888" t="inlineStr">
        <is>
          <t>D</t>
        </is>
      </c>
      <c r="CP1888" t="inlineStr">
        <is>
          <t>X</t>
        </is>
      </c>
      <c r="CQ1888" t="inlineStr">
        <is>
          <t>D</t>
        </is>
      </c>
      <c r="CT1888" t="inlineStr">
        <is>
          <t>X</t>
        </is>
      </c>
      <c r="CV1888" t="inlineStr">
        <is>
          <t>X</t>
        </is>
      </c>
      <c r="CW1888" t="inlineStr">
        <is>
          <t>D</t>
        </is>
      </c>
      <c r="CZ1888" t="inlineStr">
        <is>
          <t>D</t>
        </is>
      </c>
      <c r="DC1888" t="inlineStr">
        <is>
          <t>X</t>
        </is>
      </c>
      <c r="DD1888" t="inlineStr">
        <is>
          <t>D</t>
        </is>
      </c>
      <c r="DF1888" t="inlineStr">
        <is>
          <t>X</t>
        </is>
      </c>
      <c r="DG1888" t="inlineStr">
        <is>
          <t>D</t>
        </is>
      </c>
      <c r="DI1888" t="inlineStr">
        <is>
          <t>X</t>
        </is>
      </c>
      <c r="DJ1888" t="inlineStr">
        <is>
          <t>D</t>
        </is>
      </c>
      <c r="DL1888" t="inlineStr">
        <is>
          <t>X</t>
        </is>
      </c>
      <c r="DN1888" t="inlineStr">
        <is>
          <t>X</t>
        </is>
      </c>
      <c r="DR1888" t="inlineStr">
        <is>
          <t>X</t>
        </is>
      </c>
      <c r="DS1888" t="inlineStr">
        <is>
          <t>D</t>
        </is>
      </c>
      <c r="DT1888" t="inlineStr">
        <is>
          <t>D</t>
        </is>
      </c>
      <c r="DU1888" t="inlineStr">
        <is>
          <t>X</t>
        </is>
      </c>
      <c r="DW1888" t="inlineStr">
        <is>
          <t>D</t>
        </is>
      </c>
      <c r="DX1888" t="inlineStr">
        <is>
          <t>X</t>
        </is>
      </c>
      <c r="EA1888" t="inlineStr">
        <is>
          <t>X</t>
        </is>
      </c>
      <c r="ED1888" t="inlineStr">
        <is>
          <t>D</t>
        </is>
      </c>
      <c r="EF1888" t="inlineStr">
        <is>
          <t>X</t>
        </is>
      </c>
      <c r="EH1888" t="inlineStr">
        <is>
          <t>D</t>
        </is>
      </c>
    </row>
    <row r="1889">
      <c r="A1889" t="inlineStr">
        <is>
          <t>OH0015812136</t>
        </is>
      </c>
      <c r="B1889" t="n">
        <v>78</v>
      </c>
      <c r="C1889" t="n">
        <v>303763</v>
      </c>
      <c r="D1889" t="inlineStr">
        <is>
          <t>SPENCER</t>
        </is>
      </c>
      <c r="E1889" t="inlineStr">
        <is>
          <t>STEPHANIE</t>
        </is>
      </c>
      <c r="F1889">
        <f>CONCATENATE(D1889," ",LEFT(H1889,4),"T=",AU1889,"D=",AV1889,"R=",AW1889,"M=",AX1889,"L=",AY1889,"B=",AZ1889)</f>
        <v/>
      </c>
      <c r="G1889" t="inlineStr">
        <is>
          <t>SUE</t>
        </is>
      </c>
      <c r="I1889" t="inlineStr">
        <is>
          <t>1956-05-18</t>
        </is>
      </c>
      <c r="J1889" t="inlineStr">
        <is>
          <t>2020-06-25</t>
        </is>
      </c>
      <c r="K1889" t="inlineStr">
        <is>
          <t>ACTIVE</t>
        </is>
      </c>
      <c r="M1889" t="inlineStr">
        <is>
          <t>182 HIGH ST NE</t>
        </is>
      </c>
      <c r="N1889">
        <f>RIGHT(M1889,LEN(M1889)-FIND(" ",M1889))</f>
        <v/>
      </c>
      <c r="O1889" t="inlineStr">
        <is>
          <t>APT 107</t>
        </is>
      </c>
      <c r="P1889" t="inlineStr">
        <is>
          <t>WARREN</t>
        </is>
      </c>
      <c r="Q1889" t="inlineStr">
        <is>
          <t>OH</t>
        </is>
      </c>
      <c r="R1889" t="n">
        <v>44481</v>
      </c>
      <c r="AD1889" t="inlineStr">
        <is>
          <t>TRUMBULL CAREER &amp; TECH CENTER</t>
        </is>
      </c>
      <c r="AE1889" t="inlineStr">
        <is>
          <t>WARREN CITY</t>
        </is>
      </c>
      <c r="AF1889" t="inlineStr">
        <is>
          <t>WARREN CITY SD</t>
        </is>
      </c>
      <c r="AH1889" t="n">
        <v>14</v>
      </c>
      <c r="AI1889" t="n">
        <v>11</v>
      </c>
      <c r="AN1889" t="inlineStr">
        <is>
          <t>WARREN</t>
        </is>
      </c>
      <c r="AO1889" t="inlineStr">
        <is>
          <t>WARREN CITY 4D</t>
        </is>
      </c>
      <c r="AP1889" t="inlineStr">
        <is>
          <t>78-P-ADL</t>
        </is>
      </c>
      <c r="AQ1889" t="n">
        <v>9</v>
      </c>
      <c r="AR1889" t="n">
        <v>64</v>
      </c>
      <c r="AS1889" t="n">
        <v>32</v>
      </c>
      <c r="AU1889">
        <f>COUNTA($BA$1889:$EH$1889)</f>
        <v/>
      </c>
      <c r="AV1889">
        <f>COUNTIF($BA$1889:$EH$1889,"D")</f>
        <v/>
      </c>
      <c r="AW1889">
        <f>COUNTIF($BA$1889:$EH$1889,"R")</f>
        <v/>
      </c>
      <c r="AX1889">
        <f>IF(BN1889="D",1,0)+IF(BO1889="D",1,0)+IF(BT1889="D",1,0)+IF(BU1889="D",1,0)+IF(BW1889="D",1,0)+IF(CC1889="D",1,0)+IF(CD1889="D",1,0)+IF(CE1889="D",1,0)+IF(CF1889="D",1,0)+IF(CL1889="D",1,0)+IF(CM1889="D",1,0)+IF(CQ1889="D",1,0)+IF(CR1889="D",1,0)+IF(CS1889="D",1,0)+IF(CW1889="D",1,0)+IF(CX1889="D",1,0)+IF(DD1889="D",1,0)+IF(DE1889="D",1,0)+IF(DJ1889="D",1,0)+IF(DK1889="D",1,0)+IF(DO1889="D",1,0)+IF(DP1889="D",1,0)+IF(DQ1889="D",1,0)+IF(DW1889="D",1,0)+IF(DZ1889="D",1,0)+IF(EH1889="D",1,0)</f>
        <v/>
      </c>
      <c r="AY1889">
        <f>IF(DJ1889&lt;&gt;"",1,0)+IF(DK1889&lt;&gt;"",1,0)+IF(DM1889&lt;&gt;"",1,0)+IF(DO1889&lt;&gt;"",1,0)+IF(DP1889&lt;&gt;"",1,0)+IF(DQ1889&lt;&gt;"",1,0)+IF(DS1889&lt;&gt;"",1,0)+IF(DT1889&lt;&gt;"",1,0)+IF(DV1889&lt;&gt;"",1,0)+IF(DW1889&lt;&gt;"",1,0)+IF(DX1889&lt;&gt;"",1,0)+IF(DY1889&lt;&gt;"",1,0)+IF(DZ1889&lt;&gt;"",1,0)+IF(EB1889&lt;&gt;"",1,0)+IF(EC1889&lt;&gt;"",1,0)+IF(ED1889&lt;&gt;"",1,0)+IF(EG1889&lt;&gt;"",1,0)+IF(EH1889&lt;&gt;"",1,0)</f>
        <v/>
      </c>
      <c r="AZ1889">
        <f>IF(EH1889&lt;&gt;"",1,0)</f>
        <v/>
      </c>
      <c r="BB1889" t="inlineStr">
        <is>
          <t>WARREN-WARD 4</t>
        </is>
      </c>
      <c r="BK1889" t="inlineStr">
        <is>
          <t>X</t>
        </is>
      </c>
      <c r="BL1889" t="inlineStr">
        <is>
          <t>X</t>
        </is>
      </c>
      <c r="CN1889" t="inlineStr">
        <is>
          <t>X</t>
        </is>
      </c>
      <c r="CP1889" t="inlineStr">
        <is>
          <t>X</t>
        </is>
      </c>
      <c r="CY1889" t="inlineStr">
        <is>
          <t>X</t>
        </is>
      </c>
      <c r="CZ1889" t="inlineStr">
        <is>
          <t>R</t>
        </is>
      </c>
      <c r="DC1889" t="inlineStr">
        <is>
          <t>X</t>
        </is>
      </c>
    </row>
    <row r="1890">
      <c r="A1890" t="inlineStr">
        <is>
          <t>OH0023016161</t>
        </is>
      </c>
      <c r="B1890" t="n">
        <v>78</v>
      </c>
      <c r="C1890" t="n">
        <v>405221</v>
      </c>
      <c r="D1890" t="inlineStr">
        <is>
          <t>PARONISH MCNABB</t>
        </is>
      </c>
      <c r="E1890" t="inlineStr">
        <is>
          <t>JENNIE</t>
        </is>
      </c>
      <c r="F1890">
        <f>CONCATENATE(D1890," ",LEFT(H1890,4),"T=",AU1890,"D=",AV1890,"R=",AW1890,"M=",AX1890,"L=",AY1890,"B=",AZ1890)</f>
        <v/>
      </c>
      <c r="G1890" t="inlineStr">
        <is>
          <t>JUANITA</t>
        </is>
      </c>
      <c r="I1890" t="inlineStr">
        <is>
          <t>1982-06-04</t>
        </is>
      </c>
      <c r="J1890" t="inlineStr">
        <is>
          <t>2019-06-22</t>
        </is>
      </c>
      <c r="K1890" t="inlineStr">
        <is>
          <t>ACTIVE</t>
        </is>
      </c>
      <c r="M1890" t="inlineStr">
        <is>
          <t>830 ATLANTIC ST NE</t>
        </is>
      </c>
      <c r="N1890">
        <f>RIGHT(M1890,LEN(M1890)-FIND(" ",M1890))</f>
        <v/>
      </c>
      <c r="P1890" t="inlineStr">
        <is>
          <t>WARREN</t>
        </is>
      </c>
      <c r="Q1890" t="inlineStr">
        <is>
          <t>OH</t>
        </is>
      </c>
      <c r="R1890" t="n">
        <v>44483</v>
      </c>
      <c r="AD1890" t="inlineStr">
        <is>
          <t>TRUMBULL CAREER &amp; TECH CENTER</t>
        </is>
      </c>
      <c r="AE1890" t="inlineStr">
        <is>
          <t>WARREN CITY</t>
        </is>
      </c>
      <c r="AF1890" t="inlineStr">
        <is>
          <t>WARREN CITY SD</t>
        </is>
      </c>
      <c r="AH1890" t="n">
        <v>14</v>
      </c>
      <c r="AI1890" t="n">
        <v>11</v>
      </c>
      <c r="AN1890" t="inlineStr">
        <is>
          <t>WARREN</t>
        </is>
      </c>
      <c r="AO1890" t="inlineStr">
        <is>
          <t>WARREN CITY 4D</t>
        </is>
      </c>
      <c r="AP1890" t="inlineStr">
        <is>
          <t>78-P-ADL</t>
        </is>
      </c>
      <c r="AQ1890" t="n">
        <v>9</v>
      </c>
      <c r="AR1890" t="n">
        <v>64</v>
      </c>
      <c r="AS1890" t="n">
        <v>32</v>
      </c>
      <c r="AU1890">
        <f>COUNTA($BA$1890:$EH$1890)</f>
        <v/>
      </c>
      <c r="AV1890">
        <f>COUNTIF($BA$1890:$EH$1890,"D")</f>
        <v/>
      </c>
      <c r="AW1890">
        <f>COUNTIF($BA$1890:$EH$1890,"R")</f>
        <v/>
      </c>
      <c r="AX1890">
        <f>IF(BN1890="D",1,0)+IF(BO1890="D",1,0)+IF(BT1890="D",1,0)+IF(BU1890="D",1,0)+IF(BW1890="D",1,0)+IF(CC1890="D",1,0)+IF(CD1890="D",1,0)+IF(CE1890="D",1,0)+IF(CF1890="D",1,0)+IF(CL1890="D",1,0)+IF(CM1890="D",1,0)+IF(CQ1890="D",1,0)+IF(CR1890="D",1,0)+IF(CS1890="D",1,0)+IF(CW1890="D",1,0)+IF(CX1890="D",1,0)+IF(DD1890="D",1,0)+IF(DE1890="D",1,0)+IF(DJ1890="D",1,0)+IF(DK1890="D",1,0)+IF(DO1890="D",1,0)+IF(DP1890="D",1,0)+IF(DQ1890="D",1,0)+IF(DW1890="D",1,0)+IF(DZ1890="D",1,0)+IF(EH1890="D",1,0)</f>
        <v/>
      </c>
      <c r="AY1890">
        <f>IF(DJ1890&lt;&gt;"",1,0)+IF(DK1890&lt;&gt;"",1,0)+IF(DM1890&lt;&gt;"",1,0)+IF(DO1890&lt;&gt;"",1,0)+IF(DP1890&lt;&gt;"",1,0)+IF(DQ1890&lt;&gt;"",1,0)+IF(DS1890&lt;&gt;"",1,0)+IF(DT1890&lt;&gt;"",1,0)+IF(DV1890&lt;&gt;"",1,0)+IF(DW1890&lt;&gt;"",1,0)+IF(DX1890&lt;&gt;"",1,0)+IF(DY1890&lt;&gt;"",1,0)+IF(DZ1890&lt;&gt;"",1,0)+IF(EB1890&lt;&gt;"",1,0)+IF(EC1890&lt;&gt;"",1,0)+IF(ED1890&lt;&gt;"",1,0)+IF(EG1890&lt;&gt;"",1,0)+IF(EH1890&lt;&gt;"",1,0)</f>
        <v/>
      </c>
      <c r="AZ1890">
        <f>IF(EH1890&lt;&gt;"",1,0)</f>
        <v/>
      </c>
      <c r="BB1890" t="inlineStr">
        <is>
          <t>WARREN-WARD 4</t>
        </is>
      </c>
      <c r="BK1890" t="inlineStr">
        <is>
          <t>X</t>
        </is>
      </c>
      <c r="BL1890" t="inlineStr">
        <is>
          <t>X</t>
        </is>
      </c>
      <c r="BP1890" t="inlineStr">
        <is>
          <t>X</t>
        </is>
      </c>
      <c r="CA1890" t="inlineStr">
        <is>
          <t>X</t>
        </is>
      </c>
      <c r="CK1890" t="inlineStr">
        <is>
          <t>X</t>
        </is>
      </c>
      <c r="CY1890" t="inlineStr">
        <is>
          <t>X</t>
        </is>
      </c>
      <c r="DC1890" t="inlineStr">
        <is>
          <t>X</t>
        </is>
      </c>
      <c r="DN1890" t="inlineStr">
        <is>
          <t>X</t>
        </is>
      </c>
      <c r="EF1890" t="inlineStr">
        <is>
          <t>X</t>
        </is>
      </c>
    </row>
    <row r="1891">
      <c r="A1891" t="inlineStr">
        <is>
          <t>OH0023246355</t>
        </is>
      </c>
      <c r="B1891" t="n">
        <v>78</v>
      </c>
      <c r="C1891" t="n">
        <v>409003</v>
      </c>
      <c r="D1891" t="inlineStr">
        <is>
          <t>KING</t>
        </is>
      </c>
      <c r="E1891" t="inlineStr">
        <is>
          <t>JEREMIAH</t>
        </is>
      </c>
      <c r="F1891">
        <f>CONCATENATE(D1891," ",LEFT(H1891,4),"T=",AU1891,"D=",AV1891,"R=",AW1891,"M=",AX1891,"L=",AY1891,"B=",AZ1891)</f>
        <v/>
      </c>
      <c r="G1891" t="inlineStr">
        <is>
          <t>JOSEPH</t>
        </is>
      </c>
      <c r="I1891" t="inlineStr">
        <is>
          <t>1990-02-13</t>
        </is>
      </c>
      <c r="J1891" t="inlineStr">
        <is>
          <t>2023-06-07</t>
        </is>
      </c>
      <c r="K1891" t="inlineStr">
        <is>
          <t>ACTIVE</t>
        </is>
      </c>
      <c r="M1891" t="inlineStr">
        <is>
          <t>524 FAIRFIELD AVE NE</t>
        </is>
      </c>
      <c r="N1891">
        <f>RIGHT(M1891,LEN(M1891)-FIND(" ",M1891))</f>
        <v/>
      </c>
      <c r="P1891" t="inlineStr">
        <is>
          <t>WARREN</t>
        </is>
      </c>
      <c r="Q1891" t="inlineStr">
        <is>
          <t>OH</t>
        </is>
      </c>
      <c r="R1891" t="n">
        <v>44483</v>
      </c>
      <c r="AD1891" t="inlineStr">
        <is>
          <t>TRUMBULL CAREER &amp; TECH CENTER</t>
        </is>
      </c>
      <c r="AE1891" t="inlineStr">
        <is>
          <t>WARREN CITY</t>
        </is>
      </c>
      <c r="AF1891" t="inlineStr">
        <is>
          <t>WARREN CITY SD</t>
        </is>
      </c>
      <c r="AH1891" t="n">
        <v>14</v>
      </c>
      <c r="AI1891" t="n">
        <v>11</v>
      </c>
      <c r="AN1891" t="inlineStr">
        <is>
          <t>WARREN</t>
        </is>
      </c>
      <c r="AO1891" t="inlineStr">
        <is>
          <t>WARREN CITY 4D</t>
        </is>
      </c>
      <c r="AP1891" t="inlineStr">
        <is>
          <t>78-P-ADL</t>
        </is>
      </c>
      <c r="AQ1891" t="n">
        <v>9</v>
      </c>
      <c r="AR1891" t="n">
        <v>64</v>
      </c>
      <c r="AS1891" t="n">
        <v>32</v>
      </c>
      <c r="AU1891">
        <f>COUNTA($BA$1891:$EH$1891)</f>
        <v/>
      </c>
      <c r="AV1891">
        <f>COUNTIF($BA$1891:$EH$1891,"D")</f>
        <v/>
      </c>
      <c r="AW1891">
        <f>COUNTIF($BA$1891:$EH$1891,"R")</f>
        <v/>
      </c>
      <c r="AX1891">
        <f>IF(BN1891="D",1,0)+IF(BO1891="D",1,0)+IF(BT1891="D",1,0)+IF(BU1891="D",1,0)+IF(BW1891="D",1,0)+IF(CC1891="D",1,0)+IF(CD1891="D",1,0)+IF(CE1891="D",1,0)+IF(CF1891="D",1,0)+IF(CL1891="D",1,0)+IF(CM1891="D",1,0)+IF(CQ1891="D",1,0)+IF(CR1891="D",1,0)+IF(CS1891="D",1,0)+IF(CW1891="D",1,0)+IF(CX1891="D",1,0)+IF(DD1891="D",1,0)+IF(DE1891="D",1,0)+IF(DJ1891="D",1,0)+IF(DK1891="D",1,0)+IF(DO1891="D",1,0)+IF(DP1891="D",1,0)+IF(DQ1891="D",1,0)+IF(DW1891="D",1,0)+IF(DZ1891="D",1,0)+IF(EH1891="D",1,0)</f>
        <v/>
      </c>
      <c r="AY1891">
        <f>IF(DJ1891&lt;&gt;"",1,0)+IF(DK1891&lt;&gt;"",1,0)+IF(DM1891&lt;&gt;"",1,0)+IF(DO1891&lt;&gt;"",1,0)+IF(DP1891&lt;&gt;"",1,0)+IF(DQ1891&lt;&gt;"",1,0)+IF(DS1891&lt;&gt;"",1,0)+IF(DT1891&lt;&gt;"",1,0)+IF(DV1891&lt;&gt;"",1,0)+IF(DW1891&lt;&gt;"",1,0)+IF(DX1891&lt;&gt;"",1,0)+IF(DY1891&lt;&gt;"",1,0)+IF(DZ1891&lt;&gt;"",1,0)+IF(EB1891&lt;&gt;"",1,0)+IF(EC1891&lt;&gt;"",1,0)+IF(ED1891&lt;&gt;"",1,0)+IF(EG1891&lt;&gt;"",1,0)+IF(EH1891&lt;&gt;"",1,0)</f>
        <v/>
      </c>
      <c r="AZ1891">
        <f>IF(EH1891&lt;&gt;"",1,0)</f>
        <v/>
      </c>
      <c r="BB1891" t="inlineStr">
        <is>
          <t>WARREN-WARD 4</t>
        </is>
      </c>
    </row>
    <row r="1892">
      <c r="A1892" t="inlineStr">
        <is>
          <t>OH0025451133</t>
        </is>
      </c>
      <c r="B1892" t="n">
        <v>78</v>
      </c>
      <c r="C1892" t="n">
        <v>444908</v>
      </c>
      <c r="D1892" t="inlineStr">
        <is>
          <t>DAY</t>
        </is>
      </c>
      <c r="E1892" t="inlineStr">
        <is>
          <t>KYLIE</t>
        </is>
      </c>
      <c r="F1892">
        <f>CONCATENATE(D1892," ",LEFT(H1892,4),"T=",AU1892,"D=",AV1892,"R=",AW1892,"M=",AX1892,"L=",AY1892,"B=",AZ1892)</f>
        <v/>
      </c>
      <c r="G1892" t="inlineStr">
        <is>
          <t>M</t>
        </is>
      </c>
      <c r="I1892" t="inlineStr">
        <is>
          <t>2002-10-25</t>
        </is>
      </c>
      <c r="J1892" t="inlineStr">
        <is>
          <t>2020-02-14</t>
        </is>
      </c>
      <c r="K1892" t="inlineStr">
        <is>
          <t>CONFIRMATION</t>
        </is>
      </c>
      <c r="M1892" t="inlineStr">
        <is>
          <t>483 WASHINGTON ST NE</t>
        </is>
      </c>
      <c r="N1892">
        <f>RIGHT(M1892,LEN(M1892)-FIND(" ",M1892))</f>
        <v/>
      </c>
      <c r="P1892" t="inlineStr">
        <is>
          <t>WARREN</t>
        </is>
      </c>
      <c r="Q1892" t="inlineStr">
        <is>
          <t>OH</t>
        </is>
      </c>
      <c r="R1892" t="n">
        <v>44483</v>
      </c>
      <c r="AD1892" t="inlineStr">
        <is>
          <t>TRUMBULL CAREER &amp; TECH CENTER</t>
        </is>
      </c>
      <c r="AE1892" t="inlineStr">
        <is>
          <t>WARREN CITY</t>
        </is>
      </c>
      <c r="AF1892" t="inlineStr">
        <is>
          <t>WARREN CITY SD</t>
        </is>
      </c>
      <c r="AH1892" t="n">
        <v>14</v>
      </c>
      <c r="AI1892" t="n">
        <v>11</v>
      </c>
      <c r="AN1892" t="inlineStr">
        <is>
          <t>WARREN</t>
        </is>
      </c>
      <c r="AO1892" t="inlineStr">
        <is>
          <t>WARREN CITY 4D</t>
        </is>
      </c>
      <c r="AP1892" t="inlineStr">
        <is>
          <t>78-P-ADL</t>
        </is>
      </c>
      <c r="AQ1892" t="n">
        <v>9</v>
      </c>
      <c r="AR1892" t="n">
        <v>64</v>
      </c>
      <c r="AS1892" t="n">
        <v>32</v>
      </c>
      <c r="AU1892">
        <f>COUNTA($BA$1892:$EH$1892)</f>
        <v/>
      </c>
      <c r="AV1892">
        <f>COUNTIF($BA$1892:$EH$1892,"D")</f>
        <v/>
      </c>
      <c r="AW1892">
        <f>COUNTIF($BA$1892:$EH$1892,"R")</f>
        <v/>
      </c>
      <c r="AX1892">
        <f>IF(BN1892="D",1,0)+IF(BO1892="D",1,0)+IF(BT1892="D",1,0)+IF(BU1892="D",1,0)+IF(BW1892="D",1,0)+IF(CC1892="D",1,0)+IF(CD1892="D",1,0)+IF(CE1892="D",1,0)+IF(CF1892="D",1,0)+IF(CL1892="D",1,0)+IF(CM1892="D",1,0)+IF(CQ1892="D",1,0)+IF(CR1892="D",1,0)+IF(CS1892="D",1,0)+IF(CW1892="D",1,0)+IF(CX1892="D",1,0)+IF(DD1892="D",1,0)+IF(DE1892="D",1,0)+IF(DJ1892="D",1,0)+IF(DK1892="D",1,0)+IF(DO1892="D",1,0)+IF(DP1892="D",1,0)+IF(DQ1892="D",1,0)+IF(DW1892="D",1,0)+IF(DZ1892="D",1,0)+IF(EH1892="D",1,0)</f>
        <v/>
      </c>
      <c r="AY1892">
        <f>IF(DJ1892&lt;&gt;"",1,0)+IF(DK1892&lt;&gt;"",1,0)+IF(DM1892&lt;&gt;"",1,0)+IF(DO1892&lt;&gt;"",1,0)+IF(DP1892&lt;&gt;"",1,0)+IF(DQ1892&lt;&gt;"",1,0)+IF(DS1892&lt;&gt;"",1,0)+IF(DT1892&lt;&gt;"",1,0)+IF(DV1892&lt;&gt;"",1,0)+IF(DW1892&lt;&gt;"",1,0)+IF(DX1892&lt;&gt;"",1,0)+IF(DY1892&lt;&gt;"",1,0)+IF(DZ1892&lt;&gt;"",1,0)+IF(EB1892&lt;&gt;"",1,0)+IF(EC1892&lt;&gt;"",1,0)+IF(ED1892&lt;&gt;"",1,0)+IF(EG1892&lt;&gt;"",1,0)+IF(EH1892&lt;&gt;"",1,0)</f>
        <v/>
      </c>
      <c r="AZ1892">
        <f>IF(EH1892&lt;&gt;"",1,0)</f>
        <v/>
      </c>
      <c r="BB1892" t="inlineStr">
        <is>
          <t>WARREN-WARD 4</t>
        </is>
      </c>
    </row>
    <row r="1893">
      <c r="A1893" t="inlineStr">
        <is>
          <t>OH0026522019</t>
        </is>
      </c>
      <c r="B1893" t="n">
        <v>78</v>
      </c>
      <c r="C1893" t="n">
        <v>463619</v>
      </c>
      <c r="D1893" t="inlineStr">
        <is>
          <t>MARTIN</t>
        </is>
      </c>
      <c r="E1893" t="inlineStr">
        <is>
          <t>THOMAS</t>
        </is>
      </c>
      <c r="F1893">
        <f>CONCATENATE(D1893," ",LEFT(H1893,4),"T=",AU1893,"D=",AV1893,"R=",AW1893,"M=",AX1893,"L=",AY1893,"B=",AZ1893)</f>
        <v/>
      </c>
      <c r="G1893" t="inlineStr">
        <is>
          <t>EUGENE</t>
        </is>
      </c>
      <c r="I1893" t="inlineStr">
        <is>
          <t>1981-07-24</t>
        </is>
      </c>
      <c r="J1893" t="inlineStr">
        <is>
          <t>2022-06-08</t>
        </is>
      </c>
      <c r="K1893" t="inlineStr">
        <is>
          <t>ACTIVE</t>
        </is>
      </c>
      <c r="M1893" t="inlineStr">
        <is>
          <t>458 HIGH ST NE</t>
        </is>
      </c>
      <c r="N1893">
        <f>RIGHT(M1893,LEN(M1893)-FIND(" ",M1893))</f>
        <v/>
      </c>
      <c r="O1893" t="inlineStr">
        <is>
          <t>APT 3</t>
        </is>
      </c>
      <c r="P1893" t="inlineStr">
        <is>
          <t>WARREN</t>
        </is>
      </c>
      <c r="Q1893" t="inlineStr">
        <is>
          <t>OH</t>
        </is>
      </c>
      <c r="R1893" t="n">
        <v>44481</v>
      </c>
      <c r="AD1893" t="inlineStr">
        <is>
          <t>TRUMBULL CAREER &amp; TECH CENTER</t>
        </is>
      </c>
      <c r="AE1893" t="inlineStr">
        <is>
          <t>WARREN CITY</t>
        </is>
      </c>
      <c r="AF1893" t="inlineStr">
        <is>
          <t>WARREN CITY SD</t>
        </is>
      </c>
      <c r="AH1893" t="n">
        <v>14</v>
      </c>
      <c r="AI1893" t="n">
        <v>11</v>
      </c>
      <c r="AN1893" t="inlineStr">
        <is>
          <t>WARREN</t>
        </is>
      </c>
      <c r="AO1893" t="inlineStr">
        <is>
          <t>WARREN CITY 4D</t>
        </is>
      </c>
      <c r="AP1893" t="inlineStr">
        <is>
          <t>78-P-ADL</t>
        </is>
      </c>
      <c r="AQ1893" t="n">
        <v>9</v>
      </c>
      <c r="AR1893" t="n">
        <v>64</v>
      </c>
      <c r="AS1893" t="n">
        <v>32</v>
      </c>
      <c r="AU1893">
        <f>COUNTA($BA$1893:$EH$1893)</f>
        <v/>
      </c>
      <c r="AV1893">
        <f>COUNTIF($BA$1893:$EH$1893,"D")</f>
        <v/>
      </c>
      <c r="AW1893">
        <f>COUNTIF($BA$1893:$EH$1893,"R")</f>
        <v/>
      </c>
      <c r="AX1893">
        <f>IF(BN1893="D",1,0)+IF(BO1893="D",1,0)+IF(BT1893="D",1,0)+IF(BU1893="D",1,0)+IF(BW1893="D",1,0)+IF(CC1893="D",1,0)+IF(CD1893="D",1,0)+IF(CE1893="D",1,0)+IF(CF1893="D",1,0)+IF(CL1893="D",1,0)+IF(CM1893="D",1,0)+IF(CQ1893="D",1,0)+IF(CR1893="D",1,0)+IF(CS1893="D",1,0)+IF(CW1893="D",1,0)+IF(CX1893="D",1,0)+IF(DD1893="D",1,0)+IF(DE1893="D",1,0)+IF(DJ1893="D",1,0)+IF(DK1893="D",1,0)+IF(DO1893="D",1,0)+IF(DP1893="D",1,0)+IF(DQ1893="D",1,0)+IF(DW1893="D",1,0)+IF(DZ1893="D",1,0)+IF(EH1893="D",1,0)</f>
        <v/>
      </c>
      <c r="AY1893">
        <f>IF(DJ1893&lt;&gt;"",1,0)+IF(DK1893&lt;&gt;"",1,0)+IF(DM1893&lt;&gt;"",1,0)+IF(DO1893&lt;&gt;"",1,0)+IF(DP1893&lt;&gt;"",1,0)+IF(DQ1893&lt;&gt;"",1,0)+IF(DS1893&lt;&gt;"",1,0)+IF(DT1893&lt;&gt;"",1,0)+IF(DV1893&lt;&gt;"",1,0)+IF(DW1893&lt;&gt;"",1,0)+IF(DX1893&lt;&gt;"",1,0)+IF(DY1893&lt;&gt;"",1,0)+IF(DZ1893&lt;&gt;"",1,0)+IF(EB1893&lt;&gt;"",1,0)+IF(EC1893&lt;&gt;"",1,0)+IF(ED1893&lt;&gt;"",1,0)+IF(EG1893&lt;&gt;"",1,0)+IF(EH1893&lt;&gt;"",1,0)</f>
        <v/>
      </c>
      <c r="AZ1893">
        <f>IF(EH1893&lt;&gt;"",1,0)</f>
        <v/>
      </c>
      <c r="BB1893" t="inlineStr">
        <is>
          <t>WARREN-WARD 4</t>
        </is>
      </c>
    </row>
    <row r="1894">
      <c r="A1894" t="inlineStr">
        <is>
          <t>OH0026905119</t>
        </is>
      </c>
      <c r="B1894" t="n">
        <v>78</v>
      </c>
      <c r="C1894" t="n">
        <v>473802</v>
      </c>
      <c r="D1894" t="inlineStr">
        <is>
          <t>POWELL</t>
        </is>
      </c>
      <c r="E1894" t="inlineStr">
        <is>
          <t>THOMAS</t>
        </is>
      </c>
      <c r="F1894">
        <f>CONCATENATE(D1894," ",LEFT(H1894,4),"T=",AU1894,"D=",AV1894,"R=",AW1894,"M=",AX1894,"L=",AY1894,"B=",AZ1894)</f>
        <v/>
      </c>
      <c r="G1894" t="inlineStr">
        <is>
          <t>EDWARD</t>
        </is>
      </c>
      <c r="I1894" t="inlineStr">
        <is>
          <t>2002-06-05</t>
        </is>
      </c>
      <c r="J1894" t="inlineStr">
        <is>
          <t>2023-04-29</t>
        </is>
      </c>
      <c r="K1894" t="inlineStr">
        <is>
          <t>ACTIVE</t>
        </is>
      </c>
      <c r="M1894" t="inlineStr">
        <is>
          <t>1189 HARRISON ST NE</t>
        </is>
      </c>
      <c r="N1894">
        <f>RIGHT(M1894,LEN(M1894)-FIND(" ",M1894))</f>
        <v/>
      </c>
      <c r="P1894" t="inlineStr">
        <is>
          <t>WARREN</t>
        </is>
      </c>
      <c r="Q1894" t="inlineStr">
        <is>
          <t>OH</t>
        </is>
      </c>
      <c r="R1894" t="n">
        <v>44483</v>
      </c>
      <c r="AD1894" t="inlineStr">
        <is>
          <t>TRUMBULL CAREER &amp; TECH CENTER</t>
        </is>
      </c>
      <c r="AE1894" t="inlineStr">
        <is>
          <t>WARREN CITY</t>
        </is>
      </c>
      <c r="AF1894" t="inlineStr">
        <is>
          <t>WARREN CITY SD</t>
        </is>
      </c>
      <c r="AH1894" t="n">
        <v>14</v>
      </c>
      <c r="AI1894" t="n">
        <v>11</v>
      </c>
      <c r="AN1894" t="inlineStr">
        <is>
          <t>WARREN</t>
        </is>
      </c>
      <c r="AO1894" t="inlineStr">
        <is>
          <t>WARREN CITY 4D</t>
        </is>
      </c>
      <c r="AP1894" t="inlineStr">
        <is>
          <t>78-P-ADL</t>
        </is>
      </c>
      <c r="AQ1894" t="n">
        <v>9</v>
      </c>
      <c r="AR1894" t="n">
        <v>64</v>
      </c>
      <c r="AS1894" t="n">
        <v>32</v>
      </c>
      <c r="AU1894">
        <f>COUNTA($BA$1894:$EH$1894)</f>
        <v/>
      </c>
      <c r="AV1894">
        <f>COUNTIF($BA$1894:$EH$1894,"D")</f>
        <v/>
      </c>
      <c r="AW1894">
        <f>COUNTIF($BA$1894:$EH$1894,"R")</f>
        <v/>
      </c>
      <c r="AX1894">
        <f>IF(BN1894="D",1,0)+IF(BO1894="D",1,0)+IF(BT1894="D",1,0)+IF(BU1894="D",1,0)+IF(BW1894="D",1,0)+IF(CC1894="D",1,0)+IF(CD1894="D",1,0)+IF(CE1894="D",1,0)+IF(CF1894="D",1,0)+IF(CL1894="D",1,0)+IF(CM1894="D",1,0)+IF(CQ1894="D",1,0)+IF(CR1894="D",1,0)+IF(CS1894="D",1,0)+IF(CW1894="D",1,0)+IF(CX1894="D",1,0)+IF(DD1894="D",1,0)+IF(DE1894="D",1,0)+IF(DJ1894="D",1,0)+IF(DK1894="D",1,0)+IF(DO1894="D",1,0)+IF(DP1894="D",1,0)+IF(DQ1894="D",1,0)+IF(DW1894="D",1,0)+IF(DZ1894="D",1,0)+IF(EH1894="D",1,0)</f>
        <v/>
      </c>
      <c r="AY1894">
        <f>IF(DJ1894&lt;&gt;"",1,0)+IF(DK1894&lt;&gt;"",1,0)+IF(DM1894&lt;&gt;"",1,0)+IF(DO1894&lt;&gt;"",1,0)+IF(DP1894&lt;&gt;"",1,0)+IF(DQ1894&lt;&gt;"",1,0)+IF(DS1894&lt;&gt;"",1,0)+IF(DT1894&lt;&gt;"",1,0)+IF(DV1894&lt;&gt;"",1,0)+IF(DW1894&lt;&gt;"",1,0)+IF(DX1894&lt;&gt;"",1,0)+IF(DY1894&lt;&gt;"",1,0)+IF(DZ1894&lt;&gt;"",1,0)+IF(EB1894&lt;&gt;"",1,0)+IF(EC1894&lt;&gt;"",1,0)+IF(ED1894&lt;&gt;"",1,0)+IF(EG1894&lt;&gt;"",1,0)+IF(EH1894&lt;&gt;"",1,0)</f>
        <v/>
      </c>
      <c r="AZ1894">
        <f>IF(EH1894&lt;&gt;"",1,0)</f>
        <v/>
      </c>
      <c r="BB1894" t="inlineStr">
        <is>
          <t>WARREN-WARD 4</t>
        </is>
      </c>
    </row>
    <row r="1895">
      <c r="A1895" t="inlineStr">
        <is>
          <t>OH0015732636</t>
        </is>
      </c>
      <c r="B1895" t="n">
        <v>78</v>
      </c>
      <c r="C1895" t="n">
        <v>220755</v>
      </c>
      <c r="D1895" t="inlineStr">
        <is>
          <t>KYSER</t>
        </is>
      </c>
      <c r="E1895" t="inlineStr">
        <is>
          <t>THERESA</t>
        </is>
      </c>
      <c r="F1895">
        <f>CONCATENATE(D1895," ",LEFT(H1895,4),"T=",AU1895,"D=",AV1895,"R=",AW1895,"M=",AX1895,"L=",AY1895,"B=",AZ1895)</f>
        <v/>
      </c>
      <c r="G1895" t="inlineStr">
        <is>
          <t>LEE</t>
        </is>
      </c>
      <c r="I1895" t="inlineStr">
        <is>
          <t>1964-04-22</t>
        </is>
      </c>
      <c r="J1895" t="inlineStr">
        <is>
          <t>2015-07-09</t>
        </is>
      </c>
      <c r="K1895" t="inlineStr">
        <is>
          <t>ACTIVE</t>
        </is>
      </c>
      <c r="M1895" t="inlineStr">
        <is>
          <t>700 PAIGE AVE NE</t>
        </is>
      </c>
      <c r="N1895">
        <f>RIGHT(M1895,LEN(M1895)-FIND(" ",M1895))</f>
        <v/>
      </c>
      <c r="P1895" t="inlineStr">
        <is>
          <t>WARREN</t>
        </is>
      </c>
      <c r="Q1895" t="inlineStr">
        <is>
          <t>OH</t>
        </is>
      </c>
      <c r="R1895" t="n">
        <v>44483</v>
      </c>
      <c r="AD1895" t="inlineStr">
        <is>
          <t>TRUMBULL CAREER &amp; TECH CENTER</t>
        </is>
      </c>
      <c r="AE1895" t="inlineStr">
        <is>
          <t>WARREN CITY</t>
        </is>
      </c>
      <c r="AF1895" t="inlineStr">
        <is>
          <t>WARREN CITY SD</t>
        </is>
      </c>
      <c r="AH1895" t="n">
        <v>14</v>
      </c>
      <c r="AI1895" t="n">
        <v>11</v>
      </c>
      <c r="AN1895" t="inlineStr">
        <is>
          <t>WARREN</t>
        </is>
      </c>
      <c r="AO1895" t="inlineStr">
        <is>
          <t>WARREN CITY 4D</t>
        </is>
      </c>
      <c r="AP1895" t="inlineStr">
        <is>
          <t>78-P-ADL</t>
        </is>
      </c>
      <c r="AQ1895" t="n">
        <v>9</v>
      </c>
      <c r="AR1895" t="n">
        <v>64</v>
      </c>
      <c r="AS1895" t="n">
        <v>32</v>
      </c>
      <c r="AU1895">
        <f>COUNTA($BA$1895:$EH$1895)</f>
        <v/>
      </c>
      <c r="AV1895">
        <f>COUNTIF($BA$1895:$EH$1895,"D")</f>
        <v/>
      </c>
      <c r="AW1895">
        <f>COUNTIF($BA$1895:$EH$1895,"R")</f>
        <v/>
      </c>
      <c r="AX1895">
        <f>IF(BN1895="D",1,0)+IF(BO1895="D",1,0)+IF(BT1895="D",1,0)+IF(BU1895="D",1,0)+IF(BW1895="D",1,0)+IF(CC1895="D",1,0)+IF(CD1895="D",1,0)+IF(CE1895="D",1,0)+IF(CF1895="D",1,0)+IF(CL1895="D",1,0)+IF(CM1895="D",1,0)+IF(CQ1895="D",1,0)+IF(CR1895="D",1,0)+IF(CS1895="D",1,0)+IF(CW1895="D",1,0)+IF(CX1895="D",1,0)+IF(DD1895="D",1,0)+IF(DE1895="D",1,0)+IF(DJ1895="D",1,0)+IF(DK1895="D",1,0)+IF(DO1895="D",1,0)+IF(DP1895="D",1,0)+IF(DQ1895="D",1,0)+IF(DW1895="D",1,0)+IF(DZ1895="D",1,0)+IF(EH1895="D",1,0)</f>
        <v/>
      </c>
      <c r="AY1895">
        <f>IF(DJ1895&lt;&gt;"",1,0)+IF(DK1895&lt;&gt;"",1,0)+IF(DM1895&lt;&gt;"",1,0)+IF(DO1895&lt;&gt;"",1,0)+IF(DP1895&lt;&gt;"",1,0)+IF(DQ1895&lt;&gt;"",1,0)+IF(DS1895&lt;&gt;"",1,0)+IF(DT1895&lt;&gt;"",1,0)+IF(DV1895&lt;&gt;"",1,0)+IF(DW1895&lt;&gt;"",1,0)+IF(DX1895&lt;&gt;"",1,0)+IF(DY1895&lt;&gt;"",1,0)+IF(DZ1895&lt;&gt;"",1,0)+IF(EB1895&lt;&gt;"",1,0)+IF(EC1895&lt;&gt;"",1,0)+IF(ED1895&lt;&gt;"",1,0)+IF(EG1895&lt;&gt;"",1,0)+IF(EH1895&lt;&gt;"",1,0)</f>
        <v/>
      </c>
      <c r="AZ1895">
        <f>IF(EH1895&lt;&gt;"",1,0)</f>
        <v/>
      </c>
      <c r="BB1895" t="inlineStr">
        <is>
          <t>WARREN-WARD 4</t>
        </is>
      </c>
      <c r="BD1895" t="inlineStr">
        <is>
          <t>X</t>
        </is>
      </c>
      <c r="BG1895" t="inlineStr">
        <is>
          <t>X</t>
        </is>
      </c>
      <c r="BH1895" t="inlineStr">
        <is>
          <t>X</t>
        </is>
      </c>
      <c r="BL1895" t="inlineStr">
        <is>
          <t>X</t>
        </is>
      </c>
      <c r="BS1895" t="inlineStr">
        <is>
          <t>X</t>
        </is>
      </c>
      <c r="BY1895" t="inlineStr">
        <is>
          <t>D</t>
        </is>
      </c>
      <c r="CA1895" t="inlineStr">
        <is>
          <t>X</t>
        </is>
      </c>
      <c r="CP1895" t="inlineStr">
        <is>
          <t>X</t>
        </is>
      </c>
      <c r="CZ1895" t="inlineStr">
        <is>
          <t>D</t>
        </is>
      </c>
      <c r="DM1895" t="inlineStr">
        <is>
          <t>D</t>
        </is>
      </c>
      <c r="DN1895" t="inlineStr">
        <is>
          <t>X</t>
        </is>
      </c>
      <c r="DU1895" t="inlineStr">
        <is>
          <t>X</t>
        </is>
      </c>
      <c r="DX1895" t="inlineStr">
        <is>
          <t>X</t>
        </is>
      </c>
      <c r="EA1895" t="inlineStr">
        <is>
          <t>X</t>
        </is>
      </c>
      <c r="EF1895" t="inlineStr">
        <is>
          <t>X</t>
        </is>
      </c>
    </row>
    <row r="1896">
      <c r="A1896" t="inlineStr">
        <is>
          <t>OH0023760274</t>
        </is>
      </c>
      <c r="B1896" t="n">
        <v>78</v>
      </c>
      <c r="C1896" t="n">
        <v>417842</v>
      </c>
      <c r="D1896" t="inlineStr">
        <is>
          <t>SMITH</t>
        </is>
      </c>
      <c r="E1896" t="inlineStr">
        <is>
          <t>KENDRA</t>
        </is>
      </c>
      <c r="F1896">
        <f>CONCATENATE(D1896," ",LEFT(H1896,4),"T=",AU1896,"D=",AV1896,"R=",AW1896,"M=",AX1896,"L=",AY1896,"B=",AZ1896)</f>
        <v/>
      </c>
      <c r="G1896" t="inlineStr">
        <is>
          <t>JEAN</t>
        </is>
      </c>
      <c r="I1896" t="inlineStr">
        <is>
          <t>1962-08-27</t>
        </is>
      </c>
      <c r="J1896" t="inlineStr">
        <is>
          <t>2021-10-09</t>
        </is>
      </c>
      <c r="K1896" t="inlineStr">
        <is>
          <t>ACTIVE</t>
        </is>
      </c>
      <c r="M1896" t="inlineStr">
        <is>
          <t>314 CHESTNUT AVE NE</t>
        </is>
      </c>
      <c r="N1896">
        <f>RIGHT(M1896,LEN(M1896)-FIND(" ",M1896))</f>
        <v/>
      </c>
      <c r="P1896" t="inlineStr">
        <is>
          <t>WARREN</t>
        </is>
      </c>
      <c r="Q1896" t="inlineStr">
        <is>
          <t>OH</t>
        </is>
      </c>
      <c r="R1896" t="n">
        <v>44483</v>
      </c>
      <c r="AD1896" t="inlineStr">
        <is>
          <t>TRUMBULL CAREER &amp; TECH CENTER</t>
        </is>
      </c>
      <c r="AE1896" t="inlineStr">
        <is>
          <t>WARREN CITY</t>
        </is>
      </c>
      <c r="AF1896" t="inlineStr">
        <is>
          <t>WARREN CITY SD</t>
        </is>
      </c>
      <c r="AH1896" t="n">
        <v>14</v>
      </c>
      <c r="AI1896" t="n">
        <v>11</v>
      </c>
      <c r="AN1896" t="inlineStr">
        <is>
          <t>WARREN</t>
        </is>
      </c>
      <c r="AO1896" t="inlineStr">
        <is>
          <t>WARREN CITY 4D</t>
        </is>
      </c>
      <c r="AP1896" t="inlineStr">
        <is>
          <t>78-P-ADL</t>
        </is>
      </c>
      <c r="AQ1896" t="n">
        <v>9</v>
      </c>
      <c r="AR1896" t="n">
        <v>64</v>
      </c>
      <c r="AS1896" t="n">
        <v>32</v>
      </c>
      <c r="AU1896">
        <f>COUNTA($BA$1896:$EH$1896)</f>
        <v/>
      </c>
      <c r="AV1896">
        <f>COUNTIF($BA$1896:$EH$1896,"D")</f>
        <v/>
      </c>
      <c r="AW1896">
        <f>COUNTIF($BA$1896:$EH$1896,"R")</f>
        <v/>
      </c>
      <c r="AX1896">
        <f>IF(BN1896="D",1,0)+IF(BO1896="D",1,0)+IF(BT1896="D",1,0)+IF(BU1896="D",1,0)+IF(BW1896="D",1,0)+IF(CC1896="D",1,0)+IF(CD1896="D",1,0)+IF(CE1896="D",1,0)+IF(CF1896="D",1,0)+IF(CL1896="D",1,0)+IF(CM1896="D",1,0)+IF(CQ1896="D",1,0)+IF(CR1896="D",1,0)+IF(CS1896="D",1,0)+IF(CW1896="D",1,0)+IF(CX1896="D",1,0)+IF(DD1896="D",1,0)+IF(DE1896="D",1,0)+IF(DJ1896="D",1,0)+IF(DK1896="D",1,0)+IF(DO1896="D",1,0)+IF(DP1896="D",1,0)+IF(DQ1896="D",1,0)+IF(DW1896="D",1,0)+IF(DZ1896="D",1,0)+IF(EH1896="D",1,0)</f>
        <v/>
      </c>
      <c r="AY1896">
        <f>IF(DJ1896&lt;&gt;"",1,0)+IF(DK1896&lt;&gt;"",1,0)+IF(DM1896&lt;&gt;"",1,0)+IF(DO1896&lt;&gt;"",1,0)+IF(DP1896&lt;&gt;"",1,0)+IF(DQ1896&lt;&gt;"",1,0)+IF(DS1896&lt;&gt;"",1,0)+IF(DT1896&lt;&gt;"",1,0)+IF(DV1896&lt;&gt;"",1,0)+IF(DW1896&lt;&gt;"",1,0)+IF(DX1896&lt;&gt;"",1,0)+IF(DY1896&lt;&gt;"",1,0)+IF(DZ1896&lt;&gt;"",1,0)+IF(EB1896&lt;&gt;"",1,0)+IF(EC1896&lt;&gt;"",1,0)+IF(ED1896&lt;&gt;"",1,0)+IF(EG1896&lt;&gt;"",1,0)+IF(EH1896&lt;&gt;"",1,0)</f>
        <v/>
      </c>
      <c r="AZ1896">
        <f>IF(EH1896&lt;&gt;"",1,0)</f>
        <v/>
      </c>
      <c r="BB1896" t="inlineStr">
        <is>
          <t>WARREN-WARD 4</t>
        </is>
      </c>
      <c r="DC1896" t="inlineStr">
        <is>
          <t>X</t>
        </is>
      </c>
      <c r="EA1896" t="inlineStr">
        <is>
          <t>X</t>
        </is>
      </c>
      <c r="EF1896" t="inlineStr">
        <is>
          <t>X</t>
        </is>
      </c>
    </row>
    <row r="1897">
      <c r="A1897" t="inlineStr">
        <is>
          <t>OH0019025967</t>
        </is>
      </c>
      <c r="B1897" t="n">
        <v>78</v>
      </c>
      <c r="C1897" t="n">
        <v>348079</v>
      </c>
      <c r="D1897" t="inlineStr">
        <is>
          <t>PAGAN</t>
        </is>
      </c>
      <c r="E1897" t="inlineStr">
        <is>
          <t>EDELMIRO</t>
        </is>
      </c>
      <c r="F1897">
        <f>CONCATENATE(D1897," ",LEFT(H1897,4),"T=",AU1897,"D=",AV1897,"R=",AW1897,"M=",AX1897,"L=",AY1897,"B=",AZ1897)</f>
        <v/>
      </c>
      <c r="I1897" t="inlineStr">
        <is>
          <t>1940-08-08</t>
        </is>
      </c>
      <c r="J1897" t="inlineStr">
        <is>
          <t>2016-04-04</t>
        </is>
      </c>
      <c r="K1897" t="inlineStr">
        <is>
          <t>ACTIVE</t>
        </is>
      </c>
      <c r="L1897" t="inlineStr">
        <is>
          <t>D</t>
        </is>
      </c>
      <c r="M1897" t="inlineStr">
        <is>
          <t>352 CHESTNUT AVE NE</t>
        </is>
      </c>
      <c r="N1897">
        <f>RIGHT(M1897,LEN(M1897)-FIND(" ",M1897))</f>
        <v/>
      </c>
      <c r="P1897" t="inlineStr">
        <is>
          <t>WARREN</t>
        </is>
      </c>
      <c r="Q1897" t="inlineStr">
        <is>
          <t>OH</t>
        </is>
      </c>
      <c r="R1897" t="n">
        <v>44483</v>
      </c>
      <c r="AD1897" t="inlineStr">
        <is>
          <t>TRUMBULL CAREER &amp; TECH CENTER</t>
        </is>
      </c>
      <c r="AE1897" t="inlineStr">
        <is>
          <t>WARREN CITY</t>
        </is>
      </c>
      <c r="AF1897" t="inlineStr">
        <is>
          <t>WARREN CITY SD</t>
        </is>
      </c>
      <c r="AH1897" t="n">
        <v>14</v>
      </c>
      <c r="AI1897" t="n">
        <v>11</v>
      </c>
      <c r="AN1897" t="inlineStr">
        <is>
          <t>WARREN</t>
        </is>
      </c>
      <c r="AO1897" t="inlineStr">
        <is>
          <t>WARREN CITY 4D</t>
        </is>
      </c>
      <c r="AP1897" t="inlineStr">
        <is>
          <t>78-P-ADL</t>
        </is>
      </c>
      <c r="AQ1897" t="n">
        <v>9</v>
      </c>
      <c r="AR1897" t="n">
        <v>64</v>
      </c>
      <c r="AS1897" t="n">
        <v>32</v>
      </c>
      <c r="AU1897">
        <f>COUNTA($BA$1897:$EH$1897)</f>
        <v/>
      </c>
      <c r="AV1897">
        <f>COUNTIF($BA$1897:$EH$1897,"D")</f>
        <v/>
      </c>
      <c r="AW1897">
        <f>COUNTIF($BA$1897:$EH$1897,"R")</f>
        <v/>
      </c>
      <c r="AX1897">
        <f>IF(BN1897="D",1,0)+IF(BO1897="D",1,0)+IF(BT1897="D",1,0)+IF(BU1897="D",1,0)+IF(BW1897="D",1,0)+IF(CC1897="D",1,0)+IF(CD1897="D",1,0)+IF(CE1897="D",1,0)+IF(CF1897="D",1,0)+IF(CL1897="D",1,0)+IF(CM1897="D",1,0)+IF(CQ1897="D",1,0)+IF(CR1897="D",1,0)+IF(CS1897="D",1,0)+IF(CW1897="D",1,0)+IF(CX1897="D",1,0)+IF(DD1897="D",1,0)+IF(DE1897="D",1,0)+IF(DJ1897="D",1,0)+IF(DK1897="D",1,0)+IF(DO1897="D",1,0)+IF(DP1897="D",1,0)+IF(DQ1897="D",1,0)+IF(DW1897="D",1,0)+IF(DZ1897="D",1,0)+IF(EH1897="D",1,0)</f>
        <v/>
      </c>
      <c r="AY1897">
        <f>IF(DJ1897&lt;&gt;"",1,0)+IF(DK1897&lt;&gt;"",1,0)+IF(DM1897&lt;&gt;"",1,0)+IF(DO1897&lt;&gt;"",1,0)+IF(DP1897&lt;&gt;"",1,0)+IF(DQ1897&lt;&gt;"",1,0)+IF(DS1897&lt;&gt;"",1,0)+IF(DT1897&lt;&gt;"",1,0)+IF(DV1897&lt;&gt;"",1,0)+IF(DW1897&lt;&gt;"",1,0)+IF(DX1897&lt;&gt;"",1,0)+IF(DY1897&lt;&gt;"",1,0)+IF(DZ1897&lt;&gt;"",1,0)+IF(EB1897&lt;&gt;"",1,0)+IF(EC1897&lt;&gt;"",1,0)+IF(ED1897&lt;&gt;"",1,0)+IF(EG1897&lt;&gt;"",1,0)+IF(EH1897&lt;&gt;"",1,0)</f>
        <v/>
      </c>
      <c r="AZ1897">
        <f>IF(EH1897&lt;&gt;"",1,0)</f>
        <v/>
      </c>
      <c r="BB1897" t="inlineStr">
        <is>
          <t>WARREN-WARD 4</t>
        </is>
      </c>
      <c r="BV1897" t="inlineStr">
        <is>
          <t>X</t>
        </is>
      </c>
      <c r="BY1897" t="inlineStr">
        <is>
          <t>D</t>
        </is>
      </c>
      <c r="CA1897" t="inlineStr">
        <is>
          <t>X</t>
        </is>
      </c>
      <c r="CK1897" t="inlineStr">
        <is>
          <t>X</t>
        </is>
      </c>
      <c r="CL1897" t="inlineStr">
        <is>
          <t>D</t>
        </is>
      </c>
      <c r="CP1897" t="inlineStr">
        <is>
          <t>X</t>
        </is>
      </c>
      <c r="CY1897" t="inlineStr">
        <is>
          <t>X</t>
        </is>
      </c>
      <c r="CZ1897" t="inlineStr">
        <is>
          <t>D</t>
        </is>
      </c>
      <c r="DC1897" t="inlineStr">
        <is>
          <t>X</t>
        </is>
      </c>
      <c r="DF1897" t="inlineStr">
        <is>
          <t>X</t>
        </is>
      </c>
      <c r="DI1897" t="inlineStr">
        <is>
          <t>X</t>
        </is>
      </c>
      <c r="DL1897" t="inlineStr">
        <is>
          <t>X</t>
        </is>
      </c>
      <c r="DN1897" t="inlineStr">
        <is>
          <t>X</t>
        </is>
      </c>
      <c r="DU1897" t="inlineStr">
        <is>
          <t>X</t>
        </is>
      </c>
      <c r="DW1897" t="inlineStr">
        <is>
          <t>D</t>
        </is>
      </c>
      <c r="EF1897" t="inlineStr">
        <is>
          <t>X</t>
        </is>
      </c>
    </row>
    <row r="1898">
      <c r="A1898" t="inlineStr">
        <is>
          <t>OH0027379019</t>
        </is>
      </c>
      <c r="B1898" t="n">
        <v>78</v>
      </c>
      <c r="C1898" t="n">
        <v>485351</v>
      </c>
      <c r="D1898" t="inlineStr">
        <is>
          <t>LYONS</t>
        </is>
      </c>
      <c r="E1898" t="inlineStr">
        <is>
          <t>DAVID</t>
        </is>
      </c>
      <c r="F1898">
        <f>CONCATENATE(D1898," ",LEFT(H1898,4),"T=",AU1898,"D=",AV1898,"R=",AW1898,"M=",AX1898,"L=",AY1898,"B=",AZ1898)</f>
        <v/>
      </c>
      <c r="G1898" t="inlineStr">
        <is>
          <t>BRUCE</t>
        </is>
      </c>
      <c r="I1898" t="inlineStr">
        <is>
          <t>1964-03-22</t>
        </is>
      </c>
      <c r="J1898" t="inlineStr">
        <is>
          <t>2024-06-06</t>
        </is>
      </c>
      <c r="K1898" t="inlineStr">
        <is>
          <t>ACTIVE</t>
        </is>
      </c>
      <c r="M1898" t="inlineStr">
        <is>
          <t>1216 MCKINLEY ST NE</t>
        </is>
      </c>
      <c r="N1898">
        <f>RIGHT(M1898,LEN(M1898)-FIND(" ",M1898))</f>
        <v/>
      </c>
      <c r="P1898" t="inlineStr">
        <is>
          <t>WARREN</t>
        </is>
      </c>
      <c r="Q1898" t="inlineStr">
        <is>
          <t>OH</t>
        </is>
      </c>
      <c r="R1898" t="n">
        <v>44483</v>
      </c>
      <c r="AD1898" t="inlineStr">
        <is>
          <t>TRUMBULL CAREER &amp; TECH CENTER</t>
        </is>
      </c>
      <c r="AE1898" t="inlineStr">
        <is>
          <t>WARREN CITY</t>
        </is>
      </c>
      <c r="AF1898" t="inlineStr">
        <is>
          <t>WARREN CITY SD</t>
        </is>
      </c>
      <c r="AH1898" t="n">
        <v>14</v>
      </c>
      <c r="AI1898" t="n">
        <v>11</v>
      </c>
      <c r="AN1898" t="inlineStr">
        <is>
          <t>WARREN</t>
        </is>
      </c>
      <c r="AO1898" t="inlineStr">
        <is>
          <t>WARREN CITY 4D</t>
        </is>
      </c>
      <c r="AP1898" t="inlineStr">
        <is>
          <t>78-P-ADL</t>
        </is>
      </c>
      <c r="AQ1898" t="n">
        <v>9</v>
      </c>
      <c r="AR1898" t="n">
        <v>64</v>
      </c>
      <c r="AS1898" t="n">
        <v>32</v>
      </c>
      <c r="AU1898">
        <f>COUNTA($BA$1898:$EH$1898)</f>
        <v/>
      </c>
      <c r="AV1898">
        <f>COUNTIF($BA$1898:$EH$1898,"D")</f>
        <v/>
      </c>
      <c r="AW1898">
        <f>COUNTIF($BA$1898:$EH$1898,"R")</f>
        <v/>
      </c>
      <c r="AX1898">
        <f>IF(BN1898="D",1,0)+IF(BO1898="D",1,0)+IF(BT1898="D",1,0)+IF(BU1898="D",1,0)+IF(BW1898="D",1,0)+IF(CC1898="D",1,0)+IF(CD1898="D",1,0)+IF(CE1898="D",1,0)+IF(CF1898="D",1,0)+IF(CL1898="D",1,0)+IF(CM1898="D",1,0)+IF(CQ1898="D",1,0)+IF(CR1898="D",1,0)+IF(CS1898="D",1,0)+IF(CW1898="D",1,0)+IF(CX1898="D",1,0)+IF(DD1898="D",1,0)+IF(DE1898="D",1,0)+IF(DJ1898="D",1,0)+IF(DK1898="D",1,0)+IF(DO1898="D",1,0)+IF(DP1898="D",1,0)+IF(DQ1898="D",1,0)+IF(DW1898="D",1,0)+IF(DZ1898="D",1,0)+IF(EH1898="D",1,0)</f>
        <v/>
      </c>
      <c r="AY1898">
        <f>IF(DJ1898&lt;&gt;"",1,0)+IF(DK1898&lt;&gt;"",1,0)+IF(DM1898&lt;&gt;"",1,0)+IF(DO1898&lt;&gt;"",1,0)+IF(DP1898&lt;&gt;"",1,0)+IF(DQ1898&lt;&gt;"",1,0)+IF(DS1898&lt;&gt;"",1,0)+IF(DT1898&lt;&gt;"",1,0)+IF(DV1898&lt;&gt;"",1,0)+IF(DW1898&lt;&gt;"",1,0)+IF(DX1898&lt;&gt;"",1,0)+IF(DY1898&lt;&gt;"",1,0)+IF(DZ1898&lt;&gt;"",1,0)+IF(EB1898&lt;&gt;"",1,0)+IF(EC1898&lt;&gt;"",1,0)+IF(ED1898&lt;&gt;"",1,0)+IF(EG1898&lt;&gt;"",1,0)+IF(EH1898&lt;&gt;"",1,0)</f>
        <v/>
      </c>
      <c r="AZ1898">
        <f>IF(EH1898&lt;&gt;"",1,0)</f>
        <v/>
      </c>
      <c r="BB1898" t="inlineStr">
        <is>
          <t>WARREN-WARD 4</t>
        </is>
      </c>
      <c r="EF1898" t="inlineStr">
        <is>
          <t>X</t>
        </is>
      </c>
    </row>
    <row r="1899">
      <c r="A1899" t="inlineStr">
        <is>
          <t>OH0019196234</t>
        </is>
      </c>
      <c r="B1899" t="n">
        <v>78</v>
      </c>
      <c r="C1899" t="n">
        <v>350773</v>
      </c>
      <c r="D1899" t="inlineStr">
        <is>
          <t>MYRES</t>
        </is>
      </c>
      <c r="E1899" t="inlineStr">
        <is>
          <t>MONICA</t>
        </is>
      </c>
      <c r="F1899">
        <f>CONCATENATE(D1899," ",LEFT(H1899,4),"T=",AU1899,"D=",AV1899,"R=",AW1899,"M=",AX1899,"L=",AY1899,"B=",AZ1899)</f>
        <v/>
      </c>
      <c r="G1899" t="inlineStr">
        <is>
          <t>L</t>
        </is>
      </c>
      <c r="I1899" t="inlineStr">
        <is>
          <t>1975-06-13</t>
        </is>
      </c>
      <c r="J1899" t="inlineStr">
        <is>
          <t>2023-10-05</t>
        </is>
      </c>
      <c r="K1899" t="inlineStr">
        <is>
          <t>ACTIVE</t>
        </is>
      </c>
      <c r="M1899" t="inlineStr">
        <is>
          <t>169 IDDINGS AVE NE</t>
        </is>
      </c>
      <c r="N1899">
        <f>RIGHT(M1899,LEN(M1899)-FIND(" ",M1899))</f>
        <v/>
      </c>
      <c r="P1899" t="inlineStr">
        <is>
          <t>WARREN</t>
        </is>
      </c>
      <c r="Q1899" t="inlineStr">
        <is>
          <t>OH</t>
        </is>
      </c>
      <c r="R1899" t="n">
        <v>44483</v>
      </c>
      <c r="AD1899" t="inlineStr">
        <is>
          <t>TRUMBULL CAREER &amp; TECH CENTER</t>
        </is>
      </c>
      <c r="AE1899" t="inlineStr">
        <is>
          <t>WARREN CITY</t>
        </is>
      </c>
      <c r="AF1899" t="inlineStr">
        <is>
          <t>WARREN CITY SD</t>
        </is>
      </c>
      <c r="AH1899" t="n">
        <v>14</v>
      </c>
      <c r="AI1899" t="n">
        <v>11</v>
      </c>
      <c r="AN1899" t="inlineStr">
        <is>
          <t>WARREN</t>
        </is>
      </c>
      <c r="AO1899" t="inlineStr">
        <is>
          <t>WARREN CITY 4D</t>
        </is>
      </c>
      <c r="AP1899" t="inlineStr">
        <is>
          <t>78-P-ADL</t>
        </is>
      </c>
      <c r="AQ1899" t="n">
        <v>9</v>
      </c>
      <c r="AR1899" t="n">
        <v>64</v>
      </c>
      <c r="AS1899" t="n">
        <v>32</v>
      </c>
      <c r="AU1899">
        <f>COUNTA($BA$1899:$EH$1899)</f>
        <v/>
      </c>
      <c r="AV1899">
        <f>COUNTIF($BA$1899:$EH$1899,"D")</f>
        <v/>
      </c>
      <c r="AW1899">
        <f>COUNTIF($BA$1899:$EH$1899,"R")</f>
        <v/>
      </c>
      <c r="AX1899">
        <f>IF(BN1899="D",1,0)+IF(BO1899="D",1,0)+IF(BT1899="D",1,0)+IF(BU1899="D",1,0)+IF(BW1899="D",1,0)+IF(CC1899="D",1,0)+IF(CD1899="D",1,0)+IF(CE1899="D",1,0)+IF(CF1899="D",1,0)+IF(CL1899="D",1,0)+IF(CM1899="D",1,0)+IF(CQ1899="D",1,0)+IF(CR1899="D",1,0)+IF(CS1899="D",1,0)+IF(CW1899="D",1,0)+IF(CX1899="D",1,0)+IF(DD1899="D",1,0)+IF(DE1899="D",1,0)+IF(DJ1899="D",1,0)+IF(DK1899="D",1,0)+IF(DO1899="D",1,0)+IF(DP1899="D",1,0)+IF(DQ1899="D",1,0)+IF(DW1899="D",1,0)+IF(DZ1899="D",1,0)+IF(EH1899="D",1,0)</f>
        <v/>
      </c>
      <c r="AY1899">
        <f>IF(DJ1899&lt;&gt;"",1,0)+IF(DK1899&lt;&gt;"",1,0)+IF(DM1899&lt;&gt;"",1,0)+IF(DO1899&lt;&gt;"",1,0)+IF(DP1899&lt;&gt;"",1,0)+IF(DQ1899&lt;&gt;"",1,0)+IF(DS1899&lt;&gt;"",1,0)+IF(DT1899&lt;&gt;"",1,0)+IF(DV1899&lt;&gt;"",1,0)+IF(DW1899&lt;&gt;"",1,0)+IF(DX1899&lt;&gt;"",1,0)+IF(DY1899&lt;&gt;"",1,0)+IF(DZ1899&lt;&gt;"",1,0)+IF(EB1899&lt;&gt;"",1,0)+IF(EC1899&lt;&gt;"",1,0)+IF(ED1899&lt;&gt;"",1,0)+IF(EG1899&lt;&gt;"",1,0)+IF(EH1899&lt;&gt;"",1,0)</f>
        <v/>
      </c>
      <c r="AZ1899">
        <f>IF(EH1899&lt;&gt;"",1,0)</f>
        <v/>
      </c>
      <c r="BB1899" t="inlineStr">
        <is>
          <t>WARREN-WARD 4</t>
        </is>
      </c>
      <c r="EA1899" t="inlineStr">
        <is>
          <t>X</t>
        </is>
      </c>
      <c r="EF1899" t="inlineStr">
        <is>
          <t>X</t>
        </is>
      </c>
    </row>
    <row r="1900">
      <c r="A1900" t="inlineStr">
        <is>
          <t>OH0024252014</t>
        </is>
      </c>
      <c r="B1900" t="n">
        <v>78</v>
      </c>
      <c r="C1900" t="n">
        <v>425715</v>
      </c>
      <c r="D1900" t="inlineStr">
        <is>
          <t>COBBINS</t>
        </is>
      </c>
      <c r="E1900" t="inlineStr">
        <is>
          <t>TYLER</t>
        </is>
      </c>
      <c r="F1900">
        <f>CONCATENATE(D1900," ",LEFT(H1900,4),"T=",AU1900,"D=",AV1900,"R=",AW1900,"M=",AX1900,"L=",AY1900,"B=",AZ1900)</f>
        <v/>
      </c>
      <c r="G1900" t="inlineStr">
        <is>
          <t>JAMES</t>
        </is>
      </c>
      <c r="I1900" t="inlineStr">
        <is>
          <t>1999-06-29</t>
        </is>
      </c>
      <c r="J1900" t="inlineStr">
        <is>
          <t>2018-05-01</t>
        </is>
      </c>
      <c r="K1900" t="inlineStr">
        <is>
          <t>CONFIRMATION</t>
        </is>
      </c>
      <c r="M1900" t="inlineStr">
        <is>
          <t>840 ATLANTIC ST NE</t>
        </is>
      </c>
      <c r="N1900">
        <f>RIGHT(M1900,LEN(M1900)-FIND(" ",M1900))</f>
        <v/>
      </c>
      <c r="P1900" t="inlineStr">
        <is>
          <t>WARREN</t>
        </is>
      </c>
      <c r="Q1900" t="inlineStr">
        <is>
          <t>OH</t>
        </is>
      </c>
      <c r="R1900" t="n">
        <v>44483</v>
      </c>
      <c r="AD1900" t="inlineStr">
        <is>
          <t>TRUMBULL CAREER &amp; TECH CENTER</t>
        </is>
      </c>
      <c r="AE1900" t="inlineStr">
        <is>
          <t>WARREN CITY</t>
        </is>
      </c>
      <c r="AF1900" t="inlineStr">
        <is>
          <t>WARREN CITY SD</t>
        </is>
      </c>
      <c r="AH1900" t="n">
        <v>14</v>
      </c>
      <c r="AI1900" t="n">
        <v>11</v>
      </c>
      <c r="AN1900" t="inlineStr">
        <is>
          <t>WARREN</t>
        </is>
      </c>
      <c r="AO1900" t="inlineStr">
        <is>
          <t>WARREN CITY 4D</t>
        </is>
      </c>
      <c r="AP1900" t="inlineStr">
        <is>
          <t>78-P-ADL</t>
        </is>
      </c>
      <c r="AQ1900" t="n">
        <v>9</v>
      </c>
      <c r="AR1900" t="n">
        <v>64</v>
      </c>
      <c r="AS1900" t="n">
        <v>32</v>
      </c>
      <c r="AU1900">
        <f>COUNTA($BA$1900:$EH$1900)</f>
        <v/>
      </c>
      <c r="AV1900">
        <f>COUNTIF($BA$1900:$EH$1900,"D")</f>
        <v/>
      </c>
      <c r="AW1900">
        <f>COUNTIF($BA$1900:$EH$1900,"R")</f>
        <v/>
      </c>
      <c r="AX1900">
        <f>IF(BN1900="D",1,0)+IF(BO1900="D",1,0)+IF(BT1900="D",1,0)+IF(BU1900="D",1,0)+IF(BW1900="D",1,0)+IF(CC1900="D",1,0)+IF(CD1900="D",1,0)+IF(CE1900="D",1,0)+IF(CF1900="D",1,0)+IF(CL1900="D",1,0)+IF(CM1900="D",1,0)+IF(CQ1900="D",1,0)+IF(CR1900="D",1,0)+IF(CS1900="D",1,0)+IF(CW1900="D",1,0)+IF(CX1900="D",1,0)+IF(DD1900="D",1,0)+IF(DE1900="D",1,0)+IF(DJ1900="D",1,0)+IF(DK1900="D",1,0)+IF(DO1900="D",1,0)+IF(DP1900="D",1,0)+IF(DQ1900="D",1,0)+IF(DW1900="D",1,0)+IF(DZ1900="D",1,0)+IF(EH1900="D",1,0)</f>
        <v/>
      </c>
      <c r="AY1900">
        <f>IF(DJ1900&lt;&gt;"",1,0)+IF(DK1900&lt;&gt;"",1,0)+IF(DM1900&lt;&gt;"",1,0)+IF(DO1900&lt;&gt;"",1,0)+IF(DP1900&lt;&gt;"",1,0)+IF(DQ1900&lt;&gt;"",1,0)+IF(DS1900&lt;&gt;"",1,0)+IF(DT1900&lt;&gt;"",1,0)+IF(DV1900&lt;&gt;"",1,0)+IF(DW1900&lt;&gt;"",1,0)+IF(DX1900&lt;&gt;"",1,0)+IF(DY1900&lt;&gt;"",1,0)+IF(DZ1900&lt;&gt;"",1,0)+IF(EB1900&lt;&gt;"",1,0)+IF(EC1900&lt;&gt;"",1,0)+IF(ED1900&lt;&gt;"",1,0)+IF(EG1900&lt;&gt;"",1,0)+IF(EH1900&lt;&gt;"",1,0)</f>
        <v/>
      </c>
      <c r="AZ1900">
        <f>IF(EH1900&lt;&gt;"",1,0)</f>
        <v/>
      </c>
      <c r="BB1900" t="inlineStr">
        <is>
          <t>WARREN-WARD 4</t>
        </is>
      </c>
    </row>
    <row r="1901">
      <c r="A1901" t="inlineStr">
        <is>
          <t>OH0020061900</t>
        </is>
      </c>
      <c r="B1901" t="n">
        <v>78</v>
      </c>
      <c r="C1901" t="n">
        <v>362375</v>
      </c>
      <c r="D1901" t="inlineStr">
        <is>
          <t>SHILLING</t>
        </is>
      </c>
      <c r="E1901" t="inlineStr">
        <is>
          <t>JENNIFER</t>
        </is>
      </c>
      <c r="F1901">
        <f>CONCATENATE(D1901," ",LEFT(H1901,4),"T=",AU1901,"D=",AV1901,"R=",AW1901,"M=",AX1901,"L=",AY1901,"B=",AZ1901)</f>
        <v/>
      </c>
      <c r="G1901" t="inlineStr">
        <is>
          <t>L</t>
        </is>
      </c>
      <c r="I1901" t="inlineStr">
        <is>
          <t>1971-12-23</t>
        </is>
      </c>
      <c r="J1901" t="inlineStr">
        <is>
          <t>2017-02-21</t>
        </is>
      </c>
      <c r="K1901" t="inlineStr">
        <is>
          <t>CONFIRMATION</t>
        </is>
      </c>
      <c r="M1901" t="inlineStr">
        <is>
          <t>340 PORTER ST NE</t>
        </is>
      </c>
      <c r="N1901">
        <f>RIGHT(M1901,LEN(M1901)-FIND(" ",M1901))</f>
        <v/>
      </c>
      <c r="P1901" t="inlineStr">
        <is>
          <t>WARREN</t>
        </is>
      </c>
      <c r="Q1901" t="inlineStr">
        <is>
          <t>OH</t>
        </is>
      </c>
      <c r="R1901" t="n">
        <v>44483</v>
      </c>
      <c r="AD1901" t="inlineStr">
        <is>
          <t>TRUMBULL CAREER &amp; TECH CENTER</t>
        </is>
      </c>
      <c r="AE1901" t="inlineStr">
        <is>
          <t>WARREN CITY</t>
        </is>
      </c>
      <c r="AF1901" t="inlineStr">
        <is>
          <t>WARREN CITY SD</t>
        </is>
      </c>
      <c r="AH1901" t="n">
        <v>14</v>
      </c>
      <c r="AI1901" t="n">
        <v>11</v>
      </c>
      <c r="AN1901" t="inlineStr">
        <is>
          <t>WARREN</t>
        </is>
      </c>
      <c r="AO1901" t="inlineStr">
        <is>
          <t>WARREN CITY 4D</t>
        </is>
      </c>
      <c r="AP1901" t="inlineStr">
        <is>
          <t>78-P-ADL</t>
        </is>
      </c>
      <c r="AQ1901" t="n">
        <v>9</v>
      </c>
      <c r="AR1901" t="n">
        <v>64</v>
      </c>
      <c r="AS1901" t="n">
        <v>32</v>
      </c>
      <c r="AU1901">
        <f>COUNTA($BA$1901:$EH$1901)</f>
        <v/>
      </c>
      <c r="AV1901">
        <f>COUNTIF($BA$1901:$EH$1901,"D")</f>
        <v/>
      </c>
      <c r="AW1901">
        <f>COUNTIF($BA$1901:$EH$1901,"R")</f>
        <v/>
      </c>
      <c r="AX1901">
        <f>IF(BN1901="D",1,0)+IF(BO1901="D",1,0)+IF(BT1901="D",1,0)+IF(BU1901="D",1,0)+IF(BW1901="D",1,0)+IF(CC1901="D",1,0)+IF(CD1901="D",1,0)+IF(CE1901="D",1,0)+IF(CF1901="D",1,0)+IF(CL1901="D",1,0)+IF(CM1901="D",1,0)+IF(CQ1901="D",1,0)+IF(CR1901="D",1,0)+IF(CS1901="D",1,0)+IF(CW1901="D",1,0)+IF(CX1901="D",1,0)+IF(DD1901="D",1,0)+IF(DE1901="D",1,0)+IF(DJ1901="D",1,0)+IF(DK1901="D",1,0)+IF(DO1901="D",1,0)+IF(DP1901="D",1,0)+IF(DQ1901="D",1,0)+IF(DW1901="D",1,0)+IF(DZ1901="D",1,0)+IF(EH1901="D",1,0)</f>
        <v/>
      </c>
      <c r="AY1901">
        <f>IF(DJ1901&lt;&gt;"",1,0)+IF(DK1901&lt;&gt;"",1,0)+IF(DM1901&lt;&gt;"",1,0)+IF(DO1901&lt;&gt;"",1,0)+IF(DP1901&lt;&gt;"",1,0)+IF(DQ1901&lt;&gt;"",1,0)+IF(DS1901&lt;&gt;"",1,0)+IF(DT1901&lt;&gt;"",1,0)+IF(DV1901&lt;&gt;"",1,0)+IF(DW1901&lt;&gt;"",1,0)+IF(DX1901&lt;&gt;"",1,0)+IF(DY1901&lt;&gt;"",1,0)+IF(DZ1901&lt;&gt;"",1,0)+IF(EB1901&lt;&gt;"",1,0)+IF(EC1901&lt;&gt;"",1,0)+IF(ED1901&lt;&gt;"",1,0)+IF(EG1901&lt;&gt;"",1,0)+IF(EH1901&lt;&gt;"",1,0)</f>
        <v/>
      </c>
      <c r="AZ1901">
        <f>IF(EH1901&lt;&gt;"",1,0)</f>
        <v/>
      </c>
      <c r="BB1901" t="inlineStr">
        <is>
          <t>WARREN-WARD 4</t>
        </is>
      </c>
      <c r="CY1901" t="inlineStr">
        <is>
          <t>X</t>
        </is>
      </c>
    </row>
    <row r="1902">
      <c r="A1902" t="inlineStr">
        <is>
          <t>OH0025600351</t>
        </is>
      </c>
      <c r="B1902" t="n">
        <v>78</v>
      </c>
      <c r="C1902" t="n">
        <v>447105</v>
      </c>
      <c r="D1902" t="inlineStr">
        <is>
          <t>CUCKOVICH</t>
        </is>
      </c>
      <c r="E1902" t="inlineStr">
        <is>
          <t>AMELIA</t>
        </is>
      </c>
      <c r="F1902">
        <f>CONCATENATE(D1902," ",LEFT(H1902,4),"T=",AU1902,"D=",AV1902,"R=",AW1902,"M=",AX1902,"L=",AY1902,"B=",AZ1902)</f>
        <v/>
      </c>
      <c r="G1902" t="inlineStr">
        <is>
          <t>BROCKTON</t>
        </is>
      </c>
      <c r="I1902" t="inlineStr">
        <is>
          <t>2001-09-13</t>
        </is>
      </c>
      <c r="J1902" t="inlineStr">
        <is>
          <t>2023-11-28</t>
        </is>
      </c>
      <c r="K1902" t="inlineStr">
        <is>
          <t>ACTIVE</t>
        </is>
      </c>
      <c r="M1902" t="inlineStr">
        <is>
          <t>174 N PARK AVE</t>
        </is>
      </c>
      <c r="N1902">
        <f>RIGHT(M1902,LEN(M1902)-FIND(" ",M1902))</f>
        <v/>
      </c>
      <c r="O1902" t="inlineStr">
        <is>
          <t>APT 30</t>
        </is>
      </c>
      <c r="P1902" t="inlineStr">
        <is>
          <t>WARREN</t>
        </is>
      </c>
      <c r="Q1902" t="inlineStr">
        <is>
          <t>OH</t>
        </is>
      </c>
      <c r="R1902" t="n">
        <v>44481</v>
      </c>
      <c r="AD1902" t="inlineStr">
        <is>
          <t>TRUMBULL CAREER &amp; TECH CENTER</t>
        </is>
      </c>
      <c r="AE1902" t="inlineStr">
        <is>
          <t>WARREN CITY</t>
        </is>
      </c>
      <c r="AF1902" t="inlineStr">
        <is>
          <t>WARREN CITY SD</t>
        </is>
      </c>
      <c r="AH1902" t="n">
        <v>14</v>
      </c>
      <c r="AI1902" t="n">
        <v>11</v>
      </c>
      <c r="AN1902" t="inlineStr">
        <is>
          <t>WARREN</t>
        </is>
      </c>
      <c r="AO1902" t="inlineStr">
        <is>
          <t>WARREN CITY 4D</t>
        </is>
      </c>
      <c r="AP1902" t="inlineStr">
        <is>
          <t>78-P-ADL</t>
        </is>
      </c>
      <c r="AQ1902" t="n">
        <v>9</v>
      </c>
      <c r="AR1902" t="n">
        <v>64</v>
      </c>
      <c r="AS1902" t="n">
        <v>32</v>
      </c>
      <c r="AU1902">
        <f>COUNTA($BA$1902:$EH$1902)</f>
        <v/>
      </c>
      <c r="AV1902">
        <f>COUNTIF($BA$1902:$EH$1902,"D")</f>
        <v/>
      </c>
      <c r="AW1902">
        <f>COUNTIF($BA$1902:$EH$1902,"R")</f>
        <v/>
      </c>
      <c r="AX1902">
        <f>IF(BN1902="D",1,0)+IF(BO1902="D",1,0)+IF(BT1902="D",1,0)+IF(BU1902="D",1,0)+IF(BW1902="D",1,0)+IF(CC1902="D",1,0)+IF(CD1902="D",1,0)+IF(CE1902="D",1,0)+IF(CF1902="D",1,0)+IF(CL1902="D",1,0)+IF(CM1902="D",1,0)+IF(CQ1902="D",1,0)+IF(CR1902="D",1,0)+IF(CS1902="D",1,0)+IF(CW1902="D",1,0)+IF(CX1902="D",1,0)+IF(DD1902="D",1,0)+IF(DE1902="D",1,0)+IF(DJ1902="D",1,0)+IF(DK1902="D",1,0)+IF(DO1902="D",1,0)+IF(DP1902="D",1,0)+IF(DQ1902="D",1,0)+IF(DW1902="D",1,0)+IF(DZ1902="D",1,0)+IF(EH1902="D",1,0)</f>
        <v/>
      </c>
      <c r="AY1902">
        <f>IF(DJ1902&lt;&gt;"",1,0)+IF(DK1902&lt;&gt;"",1,0)+IF(DM1902&lt;&gt;"",1,0)+IF(DO1902&lt;&gt;"",1,0)+IF(DP1902&lt;&gt;"",1,0)+IF(DQ1902&lt;&gt;"",1,0)+IF(DS1902&lt;&gt;"",1,0)+IF(DT1902&lt;&gt;"",1,0)+IF(DV1902&lt;&gt;"",1,0)+IF(DW1902&lt;&gt;"",1,0)+IF(DX1902&lt;&gt;"",1,0)+IF(DY1902&lt;&gt;"",1,0)+IF(DZ1902&lt;&gt;"",1,0)+IF(EB1902&lt;&gt;"",1,0)+IF(EC1902&lt;&gt;"",1,0)+IF(ED1902&lt;&gt;"",1,0)+IF(EG1902&lt;&gt;"",1,0)+IF(EH1902&lt;&gt;"",1,0)</f>
        <v/>
      </c>
      <c r="AZ1902">
        <f>IF(EH1902&lt;&gt;"",1,0)</f>
        <v/>
      </c>
      <c r="BB1902" t="inlineStr">
        <is>
          <t>WARREN-WARD 4</t>
        </is>
      </c>
      <c r="DN1902" t="inlineStr">
        <is>
          <t>X</t>
        </is>
      </c>
      <c r="EA1902" t="inlineStr">
        <is>
          <t>X</t>
        </is>
      </c>
    </row>
    <row r="1903">
      <c r="A1903" t="inlineStr">
        <is>
          <t>OH0023323535</t>
        </is>
      </c>
      <c r="B1903" t="n">
        <v>78</v>
      </c>
      <c r="C1903" t="n">
        <v>410114</v>
      </c>
      <c r="D1903" t="inlineStr">
        <is>
          <t>COMANESCU</t>
        </is>
      </c>
      <c r="E1903" t="inlineStr">
        <is>
          <t>WILLIAM</t>
        </is>
      </c>
      <c r="F1903">
        <f>CONCATENATE(D1903," ",LEFT(H1903,4),"T=",AU1903,"D=",AV1903,"R=",AW1903,"M=",AX1903,"L=",AY1903,"B=",AZ1903)</f>
        <v/>
      </c>
      <c r="G1903" t="inlineStr">
        <is>
          <t>M</t>
        </is>
      </c>
      <c r="I1903" t="inlineStr">
        <is>
          <t>1968-09-12</t>
        </is>
      </c>
      <c r="J1903" t="inlineStr">
        <is>
          <t>2015-09-14</t>
        </is>
      </c>
      <c r="K1903" t="inlineStr">
        <is>
          <t>ACTIVE</t>
        </is>
      </c>
      <c r="M1903" t="inlineStr">
        <is>
          <t>178 IDDINGS AVE NE</t>
        </is>
      </c>
      <c r="N1903">
        <f>RIGHT(M1903,LEN(M1903)-FIND(" ",M1903))</f>
        <v/>
      </c>
      <c r="P1903" t="inlineStr">
        <is>
          <t>WARREN</t>
        </is>
      </c>
      <c r="Q1903" t="inlineStr">
        <is>
          <t>OH</t>
        </is>
      </c>
      <c r="R1903" t="n">
        <v>44483</v>
      </c>
      <c r="AD1903" t="inlineStr">
        <is>
          <t>TRUMBULL CAREER &amp; TECH CENTER</t>
        </is>
      </c>
      <c r="AE1903" t="inlineStr">
        <is>
          <t>WARREN CITY</t>
        </is>
      </c>
      <c r="AF1903" t="inlineStr">
        <is>
          <t>WARREN CITY SD</t>
        </is>
      </c>
      <c r="AH1903" t="n">
        <v>14</v>
      </c>
      <c r="AI1903" t="n">
        <v>11</v>
      </c>
      <c r="AN1903" t="inlineStr">
        <is>
          <t>WARREN</t>
        </is>
      </c>
      <c r="AO1903" t="inlineStr">
        <is>
          <t>WARREN CITY 4D</t>
        </is>
      </c>
      <c r="AP1903" t="inlineStr">
        <is>
          <t>78-P-ADL</t>
        </is>
      </c>
      <c r="AQ1903" t="n">
        <v>9</v>
      </c>
      <c r="AR1903" t="n">
        <v>64</v>
      </c>
      <c r="AS1903" t="n">
        <v>32</v>
      </c>
      <c r="AU1903">
        <f>COUNTA($BA$1903:$EH$1903)</f>
        <v/>
      </c>
      <c r="AV1903">
        <f>COUNTIF($BA$1903:$EH$1903,"D")</f>
        <v/>
      </c>
      <c r="AW1903">
        <f>COUNTIF($BA$1903:$EH$1903,"R")</f>
        <v/>
      </c>
      <c r="AX1903">
        <f>IF(BN1903="D",1,0)+IF(BO1903="D",1,0)+IF(BT1903="D",1,0)+IF(BU1903="D",1,0)+IF(BW1903="D",1,0)+IF(CC1903="D",1,0)+IF(CD1903="D",1,0)+IF(CE1903="D",1,0)+IF(CF1903="D",1,0)+IF(CL1903="D",1,0)+IF(CM1903="D",1,0)+IF(CQ1903="D",1,0)+IF(CR1903="D",1,0)+IF(CS1903="D",1,0)+IF(CW1903="D",1,0)+IF(CX1903="D",1,0)+IF(DD1903="D",1,0)+IF(DE1903="D",1,0)+IF(DJ1903="D",1,0)+IF(DK1903="D",1,0)+IF(DO1903="D",1,0)+IF(DP1903="D",1,0)+IF(DQ1903="D",1,0)+IF(DW1903="D",1,0)+IF(DZ1903="D",1,0)+IF(EH1903="D",1,0)</f>
        <v/>
      </c>
      <c r="AY1903">
        <f>IF(DJ1903&lt;&gt;"",1,0)+IF(DK1903&lt;&gt;"",1,0)+IF(DM1903&lt;&gt;"",1,0)+IF(DO1903&lt;&gt;"",1,0)+IF(DP1903&lt;&gt;"",1,0)+IF(DQ1903&lt;&gt;"",1,0)+IF(DS1903&lt;&gt;"",1,0)+IF(DT1903&lt;&gt;"",1,0)+IF(DV1903&lt;&gt;"",1,0)+IF(DW1903&lt;&gt;"",1,0)+IF(DX1903&lt;&gt;"",1,0)+IF(DY1903&lt;&gt;"",1,0)+IF(DZ1903&lt;&gt;"",1,0)+IF(EB1903&lt;&gt;"",1,0)+IF(EC1903&lt;&gt;"",1,0)+IF(ED1903&lt;&gt;"",1,0)+IF(EG1903&lt;&gt;"",1,0)+IF(EH1903&lt;&gt;"",1,0)</f>
        <v/>
      </c>
      <c r="AZ1903">
        <f>IF(EH1903&lt;&gt;"",1,0)</f>
        <v/>
      </c>
      <c r="BB1903" t="inlineStr">
        <is>
          <t>WARREN-WARD 4</t>
        </is>
      </c>
      <c r="DC1903" t="inlineStr">
        <is>
          <t>X</t>
        </is>
      </c>
      <c r="DN1903" t="inlineStr">
        <is>
          <t>X</t>
        </is>
      </c>
      <c r="EF1903" t="inlineStr">
        <is>
          <t>X</t>
        </is>
      </c>
    </row>
    <row r="1904">
      <c r="A1904" t="inlineStr">
        <is>
          <t>OH0023263667</t>
        </is>
      </c>
      <c r="B1904" t="n">
        <v>78</v>
      </c>
      <c r="C1904" t="n">
        <v>409318</v>
      </c>
      <c r="D1904" t="inlineStr">
        <is>
          <t>BRETT</t>
        </is>
      </c>
      <c r="E1904" t="inlineStr">
        <is>
          <t>TONIEL</t>
        </is>
      </c>
      <c r="F1904">
        <f>CONCATENATE(D1904," ",LEFT(H1904,4),"T=",AU1904,"D=",AV1904,"R=",AW1904,"M=",AX1904,"L=",AY1904,"B=",AZ1904)</f>
        <v/>
      </c>
      <c r="G1904" t="inlineStr">
        <is>
          <t>JEAN</t>
        </is>
      </c>
      <c r="I1904" t="inlineStr">
        <is>
          <t>1989-04-20</t>
        </is>
      </c>
      <c r="J1904" t="inlineStr">
        <is>
          <t>2018-08-01</t>
        </is>
      </c>
      <c r="K1904" t="inlineStr">
        <is>
          <t>ACTIVE</t>
        </is>
      </c>
      <c r="M1904" t="inlineStr">
        <is>
          <t>408 CHESTNUT AVE NE</t>
        </is>
      </c>
      <c r="N1904">
        <f>RIGHT(M1904,LEN(M1904)-FIND(" ",M1904))</f>
        <v/>
      </c>
      <c r="P1904" t="inlineStr">
        <is>
          <t>WARREN</t>
        </is>
      </c>
      <c r="Q1904" t="inlineStr">
        <is>
          <t>OH</t>
        </is>
      </c>
      <c r="R1904" t="n">
        <v>44483</v>
      </c>
      <c r="AD1904" t="inlineStr">
        <is>
          <t>TRUMBULL CAREER &amp; TECH CENTER</t>
        </is>
      </c>
      <c r="AE1904" t="inlineStr">
        <is>
          <t>WARREN CITY</t>
        </is>
      </c>
      <c r="AF1904" t="inlineStr">
        <is>
          <t>WARREN CITY SD</t>
        </is>
      </c>
      <c r="AH1904" t="n">
        <v>14</v>
      </c>
      <c r="AI1904" t="n">
        <v>11</v>
      </c>
      <c r="AN1904" t="inlineStr">
        <is>
          <t>WARREN</t>
        </is>
      </c>
      <c r="AO1904" t="inlineStr">
        <is>
          <t>WARREN CITY 4D</t>
        </is>
      </c>
      <c r="AP1904" t="inlineStr">
        <is>
          <t>78-P-ADL</t>
        </is>
      </c>
      <c r="AQ1904" t="n">
        <v>9</v>
      </c>
      <c r="AR1904" t="n">
        <v>64</v>
      </c>
      <c r="AS1904" t="n">
        <v>32</v>
      </c>
      <c r="AU1904">
        <f>COUNTA($BA$1904:$EH$1904)</f>
        <v/>
      </c>
      <c r="AV1904">
        <f>COUNTIF($BA$1904:$EH$1904,"D")</f>
        <v/>
      </c>
      <c r="AW1904">
        <f>COUNTIF($BA$1904:$EH$1904,"R")</f>
        <v/>
      </c>
      <c r="AX1904">
        <f>IF(BN1904="D",1,0)+IF(BO1904="D",1,0)+IF(BT1904="D",1,0)+IF(BU1904="D",1,0)+IF(BW1904="D",1,0)+IF(CC1904="D",1,0)+IF(CD1904="D",1,0)+IF(CE1904="D",1,0)+IF(CF1904="D",1,0)+IF(CL1904="D",1,0)+IF(CM1904="D",1,0)+IF(CQ1904="D",1,0)+IF(CR1904="D",1,0)+IF(CS1904="D",1,0)+IF(CW1904="D",1,0)+IF(CX1904="D",1,0)+IF(DD1904="D",1,0)+IF(DE1904="D",1,0)+IF(DJ1904="D",1,0)+IF(DK1904="D",1,0)+IF(DO1904="D",1,0)+IF(DP1904="D",1,0)+IF(DQ1904="D",1,0)+IF(DW1904="D",1,0)+IF(DZ1904="D",1,0)+IF(EH1904="D",1,0)</f>
        <v/>
      </c>
      <c r="AY1904">
        <f>IF(DJ1904&lt;&gt;"",1,0)+IF(DK1904&lt;&gt;"",1,0)+IF(DM1904&lt;&gt;"",1,0)+IF(DO1904&lt;&gt;"",1,0)+IF(DP1904&lt;&gt;"",1,0)+IF(DQ1904&lt;&gt;"",1,0)+IF(DS1904&lt;&gt;"",1,0)+IF(DT1904&lt;&gt;"",1,0)+IF(DV1904&lt;&gt;"",1,0)+IF(DW1904&lt;&gt;"",1,0)+IF(DX1904&lt;&gt;"",1,0)+IF(DY1904&lt;&gt;"",1,0)+IF(DZ1904&lt;&gt;"",1,0)+IF(EB1904&lt;&gt;"",1,0)+IF(EC1904&lt;&gt;"",1,0)+IF(ED1904&lt;&gt;"",1,0)+IF(EG1904&lt;&gt;"",1,0)+IF(EH1904&lt;&gt;"",1,0)</f>
        <v/>
      </c>
      <c r="AZ1904">
        <f>IF(EH1904&lt;&gt;"",1,0)</f>
        <v/>
      </c>
      <c r="BB1904" t="inlineStr">
        <is>
          <t>WARREN-WARD 4</t>
        </is>
      </c>
    </row>
    <row r="1905">
      <c r="A1905" t="inlineStr">
        <is>
          <t>OH0022307887</t>
        </is>
      </c>
      <c r="B1905" t="n">
        <v>78</v>
      </c>
      <c r="C1905" t="n">
        <v>393901</v>
      </c>
      <c r="D1905" t="inlineStr">
        <is>
          <t>HOSEY</t>
        </is>
      </c>
      <c r="E1905" t="inlineStr">
        <is>
          <t>FRANK</t>
        </is>
      </c>
      <c r="F1905">
        <f>CONCATENATE(D1905," ",LEFT(H1905,4),"T=",AU1905,"D=",AV1905,"R=",AW1905,"M=",AX1905,"L=",AY1905,"B=",AZ1905)</f>
        <v/>
      </c>
      <c r="G1905" t="inlineStr">
        <is>
          <t>P</t>
        </is>
      </c>
      <c r="I1905" t="inlineStr">
        <is>
          <t>1975-08-02</t>
        </is>
      </c>
      <c r="J1905" t="inlineStr">
        <is>
          <t>2012-11-20</t>
        </is>
      </c>
      <c r="K1905" t="inlineStr">
        <is>
          <t>CONFIRMATION</t>
        </is>
      </c>
      <c r="M1905" t="inlineStr">
        <is>
          <t>169 IDDINGS AVE NE</t>
        </is>
      </c>
      <c r="N1905">
        <f>RIGHT(M1905,LEN(M1905)-FIND(" ",M1905))</f>
        <v/>
      </c>
      <c r="P1905" t="inlineStr">
        <is>
          <t>WARREN</t>
        </is>
      </c>
      <c r="Q1905" t="inlineStr">
        <is>
          <t>OH</t>
        </is>
      </c>
      <c r="R1905" t="n">
        <v>44483</v>
      </c>
      <c r="AD1905" t="inlineStr">
        <is>
          <t>TRUMBULL CAREER &amp; TECH CENTER</t>
        </is>
      </c>
      <c r="AE1905" t="inlineStr">
        <is>
          <t>WARREN CITY</t>
        </is>
      </c>
      <c r="AF1905" t="inlineStr">
        <is>
          <t>WARREN CITY SD</t>
        </is>
      </c>
      <c r="AH1905" t="n">
        <v>14</v>
      </c>
      <c r="AI1905" t="n">
        <v>11</v>
      </c>
      <c r="AN1905" t="inlineStr">
        <is>
          <t>WARREN</t>
        </is>
      </c>
      <c r="AO1905" t="inlineStr">
        <is>
          <t>WARREN CITY 4D</t>
        </is>
      </c>
      <c r="AP1905" t="inlineStr">
        <is>
          <t>78-P-ADL</t>
        </is>
      </c>
      <c r="AQ1905" t="n">
        <v>9</v>
      </c>
      <c r="AR1905" t="n">
        <v>64</v>
      </c>
      <c r="AS1905" t="n">
        <v>32</v>
      </c>
      <c r="AU1905">
        <f>COUNTA($BA$1905:$EH$1905)</f>
        <v/>
      </c>
      <c r="AV1905">
        <f>COUNTIF($BA$1905:$EH$1905,"D")</f>
        <v/>
      </c>
      <c r="AW1905">
        <f>COUNTIF($BA$1905:$EH$1905,"R")</f>
        <v/>
      </c>
      <c r="AX1905">
        <f>IF(BN1905="D",1,0)+IF(BO1905="D",1,0)+IF(BT1905="D",1,0)+IF(BU1905="D",1,0)+IF(BW1905="D",1,0)+IF(CC1905="D",1,0)+IF(CD1905="D",1,0)+IF(CE1905="D",1,0)+IF(CF1905="D",1,0)+IF(CL1905="D",1,0)+IF(CM1905="D",1,0)+IF(CQ1905="D",1,0)+IF(CR1905="D",1,0)+IF(CS1905="D",1,0)+IF(CW1905="D",1,0)+IF(CX1905="D",1,0)+IF(DD1905="D",1,0)+IF(DE1905="D",1,0)+IF(DJ1905="D",1,0)+IF(DK1905="D",1,0)+IF(DO1905="D",1,0)+IF(DP1905="D",1,0)+IF(DQ1905="D",1,0)+IF(DW1905="D",1,0)+IF(DZ1905="D",1,0)+IF(EH1905="D",1,0)</f>
        <v/>
      </c>
      <c r="AY1905">
        <f>IF(DJ1905&lt;&gt;"",1,0)+IF(DK1905&lt;&gt;"",1,0)+IF(DM1905&lt;&gt;"",1,0)+IF(DO1905&lt;&gt;"",1,0)+IF(DP1905&lt;&gt;"",1,0)+IF(DQ1905&lt;&gt;"",1,0)+IF(DS1905&lt;&gt;"",1,0)+IF(DT1905&lt;&gt;"",1,0)+IF(DV1905&lt;&gt;"",1,0)+IF(DW1905&lt;&gt;"",1,0)+IF(DX1905&lt;&gt;"",1,0)+IF(DY1905&lt;&gt;"",1,0)+IF(DZ1905&lt;&gt;"",1,0)+IF(EB1905&lt;&gt;"",1,0)+IF(EC1905&lt;&gt;"",1,0)+IF(ED1905&lt;&gt;"",1,0)+IF(EG1905&lt;&gt;"",1,0)+IF(EH1905&lt;&gt;"",1,0)</f>
        <v/>
      </c>
      <c r="AZ1905">
        <f>IF(EH1905&lt;&gt;"",1,0)</f>
        <v/>
      </c>
      <c r="BB1905" t="inlineStr">
        <is>
          <t>WARREN-WARD 4</t>
        </is>
      </c>
    </row>
    <row r="1906">
      <c r="A1906" t="inlineStr">
        <is>
          <t>OH0024645999</t>
        </is>
      </c>
      <c r="B1906" t="n">
        <v>78</v>
      </c>
      <c r="C1906" t="n">
        <v>431934</v>
      </c>
      <c r="D1906" t="inlineStr">
        <is>
          <t>ROBERTS</t>
        </is>
      </c>
      <c r="E1906" t="inlineStr">
        <is>
          <t>SARAH</t>
        </is>
      </c>
      <c r="F1906">
        <f>CONCATENATE(D1906," ",LEFT(H1906,4),"T=",AU1906,"D=",AV1906,"R=",AW1906,"M=",AX1906,"L=",AY1906,"B=",AZ1906)</f>
        <v/>
      </c>
      <c r="G1906" t="inlineStr">
        <is>
          <t>B</t>
        </is>
      </c>
      <c r="I1906" t="inlineStr">
        <is>
          <t>1991-01-08</t>
        </is>
      </c>
      <c r="J1906" t="inlineStr">
        <is>
          <t>2018-05-14</t>
        </is>
      </c>
      <c r="K1906" t="inlineStr">
        <is>
          <t>CONFIRMATION</t>
        </is>
      </c>
      <c r="M1906" t="inlineStr">
        <is>
          <t>491 PORTER ST NE</t>
        </is>
      </c>
      <c r="N1906">
        <f>RIGHT(M1906,LEN(M1906)-FIND(" ",M1906))</f>
        <v/>
      </c>
      <c r="P1906" t="inlineStr">
        <is>
          <t>WARREN</t>
        </is>
      </c>
      <c r="Q1906" t="inlineStr">
        <is>
          <t>OH</t>
        </is>
      </c>
      <c r="R1906" t="n">
        <v>44483</v>
      </c>
      <c r="AD1906" t="inlineStr">
        <is>
          <t>TRUMBULL CAREER &amp; TECH CENTER</t>
        </is>
      </c>
      <c r="AE1906" t="inlineStr">
        <is>
          <t>WARREN CITY</t>
        </is>
      </c>
      <c r="AF1906" t="inlineStr">
        <is>
          <t>WARREN CITY SD</t>
        </is>
      </c>
      <c r="AH1906" t="n">
        <v>14</v>
      </c>
      <c r="AI1906" t="n">
        <v>11</v>
      </c>
      <c r="AN1906" t="inlineStr">
        <is>
          <t>WARREN</t>
        </is>
      </c>
      <c r="AO1906" t="inlineStr">
        <is>
          <t>WARREN CITY 4D</t>
        </is>
      </c>
      <c r="AP1906" t="inlineStr">
        <is>
          <t>78-P-ADL</t>
        </is>
      </c>
      <c r="AQ1906" t="n">
        <v>9</v>
      </c>
      <c r="AR1906" t="n">
        <v>64</v>
      </c>
      <c r="AS1906" t="n">
        <v>32</v>
      </c>
      <c r="AU1906">
        <f>COUNTA($BA$1906:$EH$1906)</f>
        <v/>
      </c>
      <c r="AV1906">
        <f>COUNTIF($BA$1906:$EH$1906,"D")</f>
        <v/>
      </c>
      <c r="AW1906">
        <f>COUNTIF($BA$1906:$EH$1906,"R")</f>
        <v/>
      </c>
      <c r="AX1906">
        <f>IF(BN1906="D",1,0)+IF(BO1906="D",1,0)+IF(BT1906="D",1,0)+IF(BU1906="D",1,0)+IF(BW1906="D",1,0)+IF(CC1906="D",1,0)+IF(CD1906="D",1,0)+IF(CE1906="D",1,0)+IF(CF1906="D",1,0)+IF(CL1906="D",1,0)+IF(CM1906="D",1,0)+IF(CQ1906="D",1,0)+IF(CR1906="D",1,0)+IF(CS1906="D",1,0)+IF(CW1906="D",1,0)+IF(CX1906="D",1,0)+IF(DD1906="D",1,0)+IF(DE1906="D",1,0)+IF(DJ1906="D",1,0)+IF(DK1906="D",1,0)+IF(DO1906="D",1,0)+IF(DP1906="D",1,0)+IF(DQ1906="D",1,0)+IF(DW1906="D",1,0)+IF(DZ1906="D",1,0)+IF(EH1906="D",1,0)</f>
        <v/>
      </c>
      <c r="AY1906">
        <f>IF(DJ1906&lt;&gt;"",1,0)+IF(DK1906&lt;&gt;"",1,0)+IF(DM1906&lt;&gt;"",1,0)+IF(DO1906&lt;&gt;"",1,0)+IF(DP1906&lt;&gt;"",1,0)+IF(DQ1906&lt;&gt;"",1,0)+IF(DS1906&lt;&gt;"",1,0)+IF(DT1906&lt;&gt;"",1,0)+IF(DV1906&lt;&gt;"",1,0)+IF(DW1906&lt;&gt;"",1,0)+IF(DX1906&lt;&gt;"",1,0)+IF(DY1906&lt;&gt;"",1,0)+IF(DZ1906&lt;&gt;"",1,0)+IF(EB1906&lt;&gt;"",1,0)+IF(EC1906&lt;&gt;"",1,0)+IF(ED1906&lt;&gt;"",1,0)+IF(EG1906&lt;&gt;"",1,0)+IF(EH1906&lt;&gt;"",1,0)</f>
        <v/>
      </c>
      <c r="AZ1906">
        <f>IF(EH1906&lt;&gt;"",1,0)</f>
        <v/>
      </c>
      <c r="BB1906" t="inlineStr">
        <is>
          <t>WARREN-WARD 4</t>
        </is>
      </c>
    </row>
    <row r="1907">
      <c r="A1907" t="inlineStr">
        <is>
          <t>OH0019248998</t>
        </is>
      </c>
      <c r="B1907" t="n">
        <v>78</v>
      </c>
      <c r="C1907" t="n">
        <v>351783</v>
      </c>
      <c r="D1907" t="inlineStr">
        <is>
          <t>HONZU</t>
        </is>
      </c>
      <c r="E1907" t="inlineStr">
        <is>
          <t>MICHAEL</t>
        </is>
      </c>
      <c r="F1907">
        <f>CONCATENATE(D1907," ",LEFT(H1907,4),"T=",AU1907,"D=",AV1907,"R=",AW1907,"M=",AX1907,"L=",AY1907,"B=",AZ1907)</f>
        <v/>
      </c>
      <c r="G1907" t="inlineStr">
        <is>
          <t>L</t>
        </is>
      </c>
      <c r="I1907" t="inlineStr">
        <is>
          <t>1952-11-12</t>
        </is>
      </c>
      <c r="J1907" t="inlineStr">
        <is>
          <t>2017-07-23</t>
        </is>
      </c>
      <c r="K1907" t="inlineStr">
        <is>
          <t>CONFIRMATION</t>
        </is>
      </c>
      <c r="M1907" t="inlineStr">
        <is>
          <t>200 WASHINGTON ST NE</t>
        </is>
      </c>
      <c r="N1907">
        <f>RIGHT(M1907,LEN(M1907)-FIND(" ",M1907))</f>
        <v/>
      </c>
      <c r="O1907" t="inlineStr">
        <is>
          <t>APT 7</t>
        </is>
      </c>
      <c r="P1907" t="inlineStr">
        <is>
          <t>WARREN</t>
        </is>
      </c>
      <c r="Q1907" t="inlineStr">
        <is>
          <t>OH</t>
        </is>
      </c>
      <c r="R1907" t="n">
        <v>44483</v>
      </c>
      <c r="AD1907" t="inlineStr">
        <is>
          <t>TRUMBULL CAREER &amp; TECH CENTER</t>
        </is>
      </c>
      <c r="AE1907" t="inlineStr">
        <is>
          <t>WARREN CITY</t>
        </is>
      </c>
      <c r="AF1907" t="inlineStr">
        <is>
          <t>WARREN CITY SD</t>
        </is>
      </c>
      <c r="AH1907" t="n">
        <v>14</v>
      </c>
      <c r="AI1907" t="n">
        <v>11</v>
      </c>
      <c r="AN1907" t="inlineStr">
        <is>
          <t>WARREN</t>
        </is>
      </c>
      <c r="AO1907" t="inlineStr">
        <is>
          <t>WARREN CITY 4D</t>
        </is>
      </c>
      <c r="AP1907" t="inlineStr">
        <is>
          <t>78-P-ADL</t>
        </is>
      </c>
      <c r="AQ1907" t="n">
        <v>9</v>
      </c>
      <c r="AR1907" t="n">
        <v>64</v>
      </c>
      <c r="AS1907" t="n">
        <v>32</v>
      </c>
      <c r="AU1907">
        <f>COUNTA($BA$1907:$EH$1907)</f>
        <v/>
      </c>
      <c r="AV1907">
        <f>COUNTIF($BA$1907:$EH$1907,"D")</f>
        <v/>
      </c>
      <c r="AW1907">
        <f>COUNTIF($BA$1907:$EH$1907,"R")</f>
        <v/>
      </c>
      <c r="AX1907">
        <f>IF(BN1907="D",1,0)+IF(BO1907="D",1,0)+IF(BT1907="D",1,0)+IF(BU1907="D",1,0)+IF(BW1907="D",1,0)+IF(CC1907="D",1,0)+IF(CD1907="D",1,0)+IF(CE1907="D",1,0)+IF(CF1907="D",1,0)+IF(CL1907="D",1,0)+IF(CM1907="D",1,0)+IF(CQ1907="D",1,0)+IF(CR1907="D",1,0)+IF(CS1907="D",1,0)+IF(CW1907="D",1,0)+IF(CX1907="D",1,0)+IF(DD1907="D",1,0)+IF(DE1907="D",1,0)+IF(DJ1907="D",1,0)+IF(DK1907="D",1,0)+IF(DO1907="D",1,0)+IF(DP1907="D",1,0)+IF(DQ1907="D",1,0)+IF(DW1907="D",1,0)+IF(DZ1907="D",1,0)+IF(EH1907="D",1,0)</f>
        <v/>
      </c>
      <c r="AY1907">
        <f>IF(DJ1907&lt;&gt;"",1,0)+IF(DK1907&lt;&gt;"",1,0)+IF(DM1907&lt;&gt;"",1,0)+IF(DO1907&lt;&gt;"",1,0)+IF(DP1907&lt;&gt;"",1,0)+IF(DQ1907&lt;&gt;"",1,0)+IF(DS1907&lt;&gt;"",1,0)+IF(DT1907&lt;&gt;"",1,0)+IF(DV1907&lt;&gt;"",1,0)+IF(DW1907&lt;&gt;"",1,0)+IF(DX1907&lt;&gt;"",1,0)+IF(DY1907&lt;&gt;"",1,0)+IF(DZ1907&lt;&gt;"",1,0)+IF(EB1907&lt;&gt;"",1,0)+IF(EC1907&lt;&gt;"",1,0)+IF(ED1907&lt;&gt;"",1,0)+IF(EG1907&lt;&gt;"",1,0)+IF(EH1907&lt;&gt;"",1,0)</f>
        <v/>
      </c>
      <c r="AZ1907">
        <f>IF(EH1907&lt;&gt;"",1,0)</f>
        <v/>
      </c>
      <c r="BB1907" t="inlineStr">
        <is>
          <t>WARREN-WARD 4</t>
        </is>
      </c>
    </row>
    <row r="1908">
      <c r="A1908" t="inlineStr">
        <is>
          <t>OH0023451582</t>
        </is>
      </c>
      <c r="B1908" t="n">
        <v>78</v>
      </c>
      <c r="C1908" t="n">
        <v>412135</v>
      </c>
      <c r="D1908" t="inlineStr">
        <is>
          <t>FINEGAN</t>
        </is>
      </c>
      <c r="E1908" t="inlineStr">
        <is>
          <t>SEBASTIAN</t>
        </is>
      </c>
      <c r="F1908">
        <f>CONCATENATE(D1908," ",LEFT(H1908,4),"T=",AU1908,"D=",AV1908,"R=",AW1908,"M=",AX1908,"L=",AY1908,"B=",AZ1908)</f>
        <v/>
      </c>
      <c r="G1908" t="inlineStr">
        <is>
          <t>KLEMENS</t>
        </is>
      </c>
      <c r="I1908" t="inlineStr">
        <is>
          <t>1995-11-10</t>
        </is>
      </c>
      <c r="J1908" t="inlineStr">
        <is>
          <t>2018-05-11</t>
        </is>
      </c>
      <c r="K1908" t="inlineStr">
        <is>
          <t>CONFIRMATION</t>
        </is>
      </c>
      <c r="M1908" t="inlineStr">
        <is>
          <t>342 MAHONING AVE NW</t>
        </is>
      </c>
      <c r="N1908">
        <f>RIGHT(M1908,LEN(M1908)-FIND(" ",M1908))</f>
        <v/>
      </c>
      <c r="O1908" t="inlineStr">
        <is>
          <t>APT D</t>
        </is>
      </c>
      <c r="P1908" t="inlineStr">
        <is>
          <t>WARREN</t>
        </is>
      </c>
      <c r="Q1908" t="inlineStr">
        <is>
          <t>OH</t>
        </is>
      </c>
      <c r="R1908" t="n">
        <v>44483</v>
      </c>
      <c r="AD1908" t="inlineStr">
        <is>
          <t>TRUMBULL CAREER &amp; TECH CENTER</t>
        </is>
      </c>
      <c r="AE1908" t="inlineStr">
        <is>
          <t>WARREN CITY</t>
        </is>
      </c>
      <c r="AF1908" t="inlineStr">
        <is>
          <t>WARREN CITY SD</t>
        </is>
      </c>
      <c r="AH1908" t="n">
        <v>14</v>
      </c>
      <c r="AI1908" t="n">
        <v>11</v>
      </c>
      <c r="AN1908" t="inlineStr">
        <is>
          <t>WARREN</t>
        </is>
      </c>
      <c r="AO1908" t="inlineStr">
        <is>
          <t>WARREN CITY 4D</t>
        </is>
      </c>
      <c r="AP1908" t="inlineStr">
        <is>
          <t>78-P-ADL</t>
        </is>
      </c>
      <c r="AQ1908" t="n">
        <v>9</v>
      </c>
      <c r="AR1908" t="n">
        <v>64</v>
      </c>
      <c r="AS1908" t="n">
        <v>32</v>
      </c>
      <c r="AU1908">
        <f>COUNTA($BA$1908:$EH$1908)</f>
        <v/>
      </c>
      <c r="AV1908">
        <f>COUNTIF($BA$1908:$EH$1908,"D")</f>
        <v/>
      </c>
      <c r="AW1908">
        <f>COUNTIF($BA$1908:$EH$1908,"R")</f>
        <v/>
      </c>
      <c r="AX1908">
        <f>IF(BN1908="D",1,0)+IF(BO1908="D",1,0)+IF(BT1908="D",1,0)+IF(BU1908="D",1,0)+IF(BW1908="D",1,0)+IF(CC1908="D",1,0)+IF(CD1908="D",1,0)+IF(CE1908="D",1,0)+IF(CF1908="D",1,0)+IF(CL1908="D",1,0)+IF(CM1908="D",1,0)+IF(CQ1908="D",1,0)+IF(CR1908="D",1,0)+IF(CS1908="D",1,0)+IF(CW1908="D",1,0)+IF(CX1908="D",1,0)+IF(DD1908="D",1,0)+IF(DE1908="D",1,0)+IF(DJ1908="D",1,0)+IF(DK1908="D",1,0)+IF(DO1908="D",1,0)+IF(DP1908="D",1,0)+IF(DQ1908="D",1,0)+IF(DW1908="D",1,0)+IF(DZ1908="D",1,0)+IF(EH1908="D",1,0)</f>
        <v/>
      </c>
      <c r="AY1908">
        <f>IF(DJ1908&lt;&gt;"",1,0)+IF(DK1908&lt;&gt;"",1,0)+IF(DM1908&lt;&gt;"",1,0)+IF(DO1908&lt;&gt;"",1,0)+IF(DP1908&lt;&gt;"",1,0)+IF(DQ1908&lt;&gt;"",1,0)+IF(DS1908&lt;&gt;"",1,0)+IF(DT1908&lt;&gt;"",1,0)+IF(DV1908&lt;&gt;"",1,0)+IF(DW1908&lt;&gt;"",1,0)+IF(DX1908&lt;&gt;"",1,0)+IF(DY1908&lt;&gt;"",1,0)+IF(DZ1908&lt;&gt;"",1,0)+IF(EB1908&lt;&gt;"",1,0)+IF(EC1908&lt;&gt;"",1,0)+IF(ED1908&lt;&gt;"",1,0)+IF(EG1908&lt;&gt;"",1,0)+IF(EH1908&lt;&gt;"",1,0)</f>
        <v/>
      </c>
      <c r="AZ1908">
        <f>IF(EH1908&lt;&gt;"",1,0)</f>
        <v/>
      </c>
      <c r="BB1908" t="inlineStr">
        <is>
          <t>WARREN-WARD 4</t>
        </is>
      </c>
    </row>
    <row r="1909">
      <c r="A1909" t="inlineStr">
        <is>
          <t>OH0024099882</t>
        </is>
      </c>
      <c r="B1909" t="n">
        <v>78</v>
      </c>
      <c r="C1909" t="n">
        <v>422271</v>
      </c>
      <c r="D1909" t="inlineStr">
        <is>
          <t>SMITH</t>
        </is>
      </c>
      <c r="E1909" t="inlineStr">
        <is>
          <t>ERIC</t>
        </is>
      </c>
      <c r="F1909">
        <f>CONCATENATE(D1909," ",LEFT(H1909,4),"T=",AU1909,"D=",AV1909,"R=",AW1909,"M=",AX1909,"L=",AY1909,"B=",AZ1909)</f>
        <v/>
      </c>
      <c r="G1909" t="inlineStr">
        <is>
          <t>JAMES</t>
        </is>
      </c>
      <c r="I1909" t="inlineStr">
        <is>
          <t>1973-09-28</t>
        </is>
      </c>
      <c r="J1909" t="inlineStr">
        <is>
          <t>2016-09-28</t>
        </is>
      </c>
      <c r="K1909" t="inlineStr">
        <is>
          <t>ACTIVE</t>
        </is>
      </c>
      <c r="M1909" t="inlineStr">
        <is>
          <t>454 SCOTT ST NE</t>
        </is>
      </c>
      <c r="N1909">
        <f>RIGHT(M1909,LEN(M1909)-FIND(" ",M1909))</f>
        <v/>
      </c>
      <c r="P1909" t="inlineStr">
        <is>
          <t>WARREN</t>
        </is>
      </c>
      <c r="Q1909" t="inlineStr">
        <is>
          <t>OH</t>
        </is>
      </c>
      <c r="R1909" t="n">
        <v>44483</v>
      </c>
      <c r="AD1909" t="inlineStr">
        <is>
          <t>TRUMBULL CAREER &amp; TECH CENTER</t>
        </is>
      </c>
      <c r="AE1909" t="inlineStr">
        <is>
          <t>WARREN CITY</t>
        </is>
      </c>
      <c r="AF1909" t="inlineStr">
        <is>
          <t>WARREN CITY SD</t>
        </is>
      </c>
      <c r="AH1909" t="n">
        <v>14</v>
      </c>
      <c r="AI1909" t="n">
        <v>11</v>
      </c>
      <c r="AN1909" t="inlineStr">
        <is>
          <t>WARREN</t>
        </is>
      </c>
      <c r="AO1909" t="inlineStr">
        <is>
          <t>WARREN CITY 4D</t>
        </is>
      </c>
      <c r="AP1909" t="inlineStr">
        <is>
          <t>78-P-ADL</t>
        </is>
      </c>
      <c r="AQ1909" t="n">
        <v>9</v>
      </c>
      <c r="AR1909" t="n">
        <v>64</v>
      </c>
      <c r="AS1909" t="n">
        <v>32</v>
      </c>
      <c r="AU1909">
        <f>COUNTA($BA$1909:$EH$1909)</f>
        <v/>
      </c>
      <c r="AV1909">
        <f>COUNTIF($BA$1909:$EH$1909,"D")</f>
        <v/>
      </c>
      <c r="AW1909">
        <f>COUNTIF($BA$1909:$EH$1909,"R")</f>
        <v/>
      </c>
      <c r="AX1909">
        <f>IF(BN1909="D",1,0)+IF(BO1909="D",1,0)+IF(BT1909="D",1,0)+IF(BU1909="D",1,0)+IF(BW1909="D",1,0)+IF(CC1909="D",1,0)+IF(CD1909="D",1,0)+IF(CE1909="D",1,0)+IF(CF1909="D",1,0)+IF(CL1909="D",1,0)+IF(CM1909="D",1,0)+IF(CQ1909="D",1,0)+IF(CR1909="D",1,0)+IF(CS1909="D",1,0)+IF(CW1909="D",1,0)+IF(CX1909="D",1,0)+IF(DD1909="D",1,0)+IF(DE1909="D",1,0)+IF(DJ1909="D",1,0)+IF(DK1909="D",1,0)+IF(DO1909="D",1,0)+IF(DP1909="D",1,0)+IF(DQ1909="D",1,0)+IF(DW1909="D",1,0)+IF(DZ1909="D",1,0)+IF(EH1909="D",1,0)</f>
        <v/>
      </c>
      <c r="AY1909">
        <f>IF(DJ1909&lt;&gt;"",1,0)+IF(DK1909&lt;&gt;"",1,0)+IF(DM1909&lt;&gt;"",1,0)+IF(DO1909&lt;&gt;"",1,0)+IF(DP1909&lt;&gt;"",1,0)+IF(DQ1909&lt;&gt;"",1,0)+IF(DS1909&lt;&gt;"",1,0)+IF(DT1909&lt;&gt;"",1,0)+IF(DV1909&lt;&gt;"",1,0)+IF(DW1909&lt;&gt;"",1,0)+IF(DX1909&lt;&gt;"",1,0)+IF(DY1909&lt;&gt;"",1,0)+IF(DZ1909&lt;&gt;"",1,0)+IF(EB1909&lt;&gt;"",1,0)+IF(EC1909&lt;&gt;"",1,0)+IF(ED1909&lt;&gt;"",1,0)+IF(EG1909&lt;&gt;"",1,0)+IF(EH1909&lt;&gt;"",1,0)</f>
        <v/>
      </c>
      <c r="AZ1909">
        <f>IF(EH1909&lt;&gt;"",1,0)</f>
        <v/>
      </c>
      <c r="BB1909" t="inlineStr">
        <is>
          <t>WARREN-WARD 4</t>
        </is>
      </c>
      <c r="DC1909" t="inlineStr">
        <is>
          <t>X</t>
        </is>
      </c>
      <c r="DI1909" t="inlineStr">
        <is>
          <t>X</t>
        </is>
      </c>
      <c r="DN1909" t="inlineStr">
        <is>
          <t>X</t>
        </is>
      </c>
      <c r="DU1909" t="inlineStr">
        <is>
          <t>X</t>
        </is>
      </c>
      <c r="EF1909" t="inlineStr">
        <is>
          <t>X</t>
        </is>
      </c>
    </row>
    <row r="1910">
      <c r="A1910" t="inlineStr">
        <is>
          <t>OH0015694073</t>
        </is>
      </c>
      <c r="B1910" t="n">
        <v>78</v>
      </c>
      <c r="C1910" t="n">
        <v>145104</v>
      </c>
      <c r="D1910" t="inlineStr">
        <is>
          <t>PEHANICH</t>
        </is>
      </c>
      <c r="E1910" t="inlineStr">
        <is>
          <t>EDWARD</t>
        </is>
      </c>
      <c r="F1910">
        <f>CONCATENATE(D1910," ",LEFT(H1910,4),"T=",AU1910,"D=",AV1910,"R=",AW1910,"M=",AX1910,"L=",AY1910,"B=",AZ1910)</f>
        <v/>
      </c>
      <c r="I1910" t="inlineStr">
        <is>
          <t>1964-01-26</t>
        </is>
      </c>
      <c r="J1910" t="inlineStr">
        <is>
          <t>1982-04-21</t>
        </is>
      </c>
      <c r="K1910" t="inlineStr">
        <is>
          <t>ACTIVE</t>
        </is>
      </c>
      <c r="L1910" t="inlineStr">
        <is>
          <t>D</t>
        </is>
      </c>
      <c r="M1910" t="inlineStr">
        <is>
          <t>146 IDDINGS AVE NE</t>
        </is>
      </c>
      <c r="N1910">
        <f>RIGHT(M1910,LEN(M1910)-FIND(" ",M1910))</f>
        <v/>
      </c>
      <c r="P1910" t="inlineStr">
        <is>
          <t>WARREN</t>
        </is>
      </c>
      <c r="Q1910" t="inlineStr">
        <is>
          <t>OH</t>
        </is>
      </c>
      <c r="R1910" t="n">
        <v>44483</v>
      </c>
      <c r="AD1910" t="inlineStr">
        <is>
          <t>TRUMBULL CAREER &amp; TECH CENTER</t>
        </is>
      </c>
      <c r="AE1910" t="inlineStr">
        <is>
          <t>WARREN CITY</t>
        </is>
      </c>
      <c r="AF1910" t="inlineStr">
        <is>
          <t>WARREN CITY SD</t>
        </is>
      </c>
      <c r="AH1910" t="n">
        <v>14</v>
      </c>
      <c r="AI1910" t="n">
        <v>11</v>
      </c>
      <c r="AN1910" t="inlineStr">
        <is>
          <t>WARREN</t>
        </is>
      </c>
      <c r="AO1910" t="inlineStr">
        <is>
          <t>WARREN CITY 4D</t>
        </is>
      </c>
      <c r="AP1910" t="inlineStr">
        <is>
          <t>78-P-ADL</t>
        </is>
      </c>
      <c r="AQ1910" t="n">
        <v>9</v>
      </c>
      <c r="AR1910" t="n">
        <v>64</v>
      </c>
      <c r="AS1910" t="n">
        <v>32</v>
      </c>
      <c r="AU1910">
        <f>COUNTA($BA$1910:$EH$1910)</f>
        <v/>
      </c>
      <c r="AV1910">
        <f>COUNTIF($BA$1910:$EH$1910,"D")</f>
        <v/>
      </c>
      <c r="AW1910">
        <f>COUNTIF($BA$1910:$EH$1910,"R")</f>
        <v/>
      </c>
      <c r="AX1910">
        <f>IF(BN1910="D",1,0)+IF(BO1910="D",1,0)+IF(BT1910="D",1,0)+IF(BU1910="D",1,0)+IF(BW1910="D",1,0)+IF(CC1910="D",1,0)+IF(CD1910="D",1,0)+IF(CE1910="D",1,0)+IF(CF1910="D",1,0)+IF(CL1910="D",1,0)+IF(CM1910="D",1,0)+IF(CQ1910="D",1,0)+IF(CR1910="D",1,0)+IF(CS1910="D",1,0)+IF(CW1910="D",1,0)+IF(CX1910="D",1,0)+IF(DD1910="D",1,0)+IF(DE1910="D",1,0)+IF(DJ1910="D",1,0)+IF(DK1910="D",1,0)+IF(DO1910="D",1,0)+IF(DP1910="D",1,0)+IF(DQ1910="D",1,0)+IF(DW1910="D",1,0)+IF(DZ1910="D",1,0)+IF(EH1910="D",1,0)</f>
        <v/>
      </c>
      <c r="AY1910">
        <f>IF(DJ1910&lt;&gt;"",1,0)+IF(DK1910&lt;&gt;"",1,0)+IF(DM1910&lt;&gt;"",1,0)+IF(DO1910&lt;&gt;"",1,0)+IF(DP1910&lt;&gt;"",1,0)+IF(DQ1910&lt;&gt;"",1,0)+IF(DS1910&lt;&gt;"",1,0)+IF(DT1910&lt;&gt;"",1,0)+IF(DV1910&lt;&gt;"",1,0)+IF(DW1910&lt;&gt;"",1,0)+IF(DX1910&lt;&gt;"",1,0)+IF(DY1910&lt;&gt;"",1,0)+IF(DZ1910&lt;&gt;"",1,0)+IF(EB1910&lt;&gt;"",1,0)+IF(EC1910&lt;&gt;"",1,0)+IF(ED1910&lt;&gt;"",1,0)+IF(EG1910&lt;&gt;"",1,0)+IF(EH1910&lt;&gt;"",1,0)</f>
        <v/>
      </c>
      <c r="AZ1910">
        <f>IF(EH1910&lt;&gt;"",1,0)</f>
        <v/>
      </c>
      <c r="BB1910" t="inlineStr">
        <is>
          <t>WARREN-WARD 4</t>
        </is>
      </c>
      <c r="BD1910" t="inlineStr">
        <is>
          <t>X</t>
        </is>
      </c>
      <c r="BE1910" t="inlineStr">
        <is>
          <t>X</t>
        </is>
      </c>
      <c r="BL1910" t="inlineStr">
        <is>
          <t>X</t>
        </is>
      </c>
      <c r="BY1910" t="inlineStr">
        <is>
          <t>D</t>
        </is>
      </c>
      <c r="CA1910" t="inlineStr">
        <is>
          <t>X</t>
        </is>
      </c>
      <c r="CP1910" t="inlineStr">
        <is>
          <t>X</t>
        </is>
      </c>
      <c r="CZ1910" t="inlineStr">
        <is>
          <t>D</t>
        </is>
      </c>
      <c r="DC1910" t="inlineStr">
        <is>
          <t>X</t>
        </is>
      </c>
      <c r="DD1910" t="inlineStr">
        <is>
          <t>D</t>
        </is>
      </c>
      <c r="DF1910" t="inlineStr">
        <is>
          <t>X</t>
        </is>
      </c>
      <c r="DI1910" t="inlineStr">
        <is>
          <t>X</t>
        </is>
      </c>
      <c r="DL1910" t="inlineStr">
        <is>
          <t>X</t>
        </is>
      </c>
      <c r="DM1910" t="inlineStr">
        <is>
          <t>D</t>
        </is>
      </c>
      <c r="DN1910" t="inlineStr">
        <is>
          <t>X</t>
        </is>
      </c>
      <c r="DR1910" t="inlineStr">
        <is>
          <t>X</t>
        </is>
      </c>
      <c r="DS1910" t="inlineStr">
        <is>
          <t>D</t>
        </is>
      </c>
      <c r="DT1910" t="inlineStr">
        <is>
          <t>D</t>
        </is>
      </c>
      <c r="DU1910" t="inlineStr">
        <is>
          <t>X</t>
        </is>
      </c>
      <c r="DW1910" t="inlineStr">
        <is>
          <t>D</t>
        </is>
      </c>
      <c r="DX1910" t="inlineStr">
        <is>
          <t>X</t>
        </is>
      </c>
      <c r="EA1910" t="inlineStr">
        <is>
          <t>X</t>
        </is>
      </c>
      <c r="ED1910" t="inlineStr">
        <is>
          <t>D</t>
        </is>
      </c>
      <c r="EF1910" t="inlineStr">
        <is>
          <t>X</t>
        </is>
      </c>
      <c r="EH1910" t="inlineStr">
        <is>
          <t>D</t>
        </is>
      </c>
    </row>
    <row r="1911">
      <c r="A1911" t="inlineStr">
        <is>
          <t>OH0015681906</t>
        </is>
      </c>
      <c r="B1911" t="n">
        <v>78</v>
      </c>
      <c r="C1911" t="n">
        <v>319120</v>
      </c>
      <c r="D1911" t="inlineStr">
        <is>
          <t>DAWKINS</t>
        </is>
      </c>
      <c r="E1911" t="inlineStr">
        <is>
          <t>OLIVER</t>
        </is>
      </c>
      <c r="F1911">
        <f>CONCATENATE(D1911," ",LEFT(H1911,4),"T=",AU1911,"D=",AV1911,"R=",AW1911,"M=",AX1911,"L=",AY1911,"B=",AZ1911)</f>
        <v/>
      </c>
      <c r="G1911" t="inlineStr">
        <is>
          <t>LORENZO</t>
        </is>
      </c>
      <c r="I1911" t="inlineStr">
        <is>
          <t>1941-08-06</t>
        </is>
      </c>
      <c r="J1911" t="inlineStr">
        <is>
          <t>2024-09-10</t>
        </is>
      </c>
      <c r="K1911" t="inlineStr">
        <is>
          <t>ACTIVE</t>
        </is>
      </c>
      <c r="M1911" t="inlineStr">
        <is>
          <t>182 HIGH ST NW</t>
        </is>
      </c>
      <c r="N1911">
        <f>RIGHT(M1911,LEN(M1911)-FIND(" ",M1911))</f>
        <v/>
      </c>
      <c r="O1911" t="inlineStr">
        <is>
          <t>APT 203</t>
        </is>
      </c>
      <c r="P1911" t="inlineStr">
        <is>
          <t>WARREN</t>
        </is>
      </c>
      <c r="Q1911" t="inlineStr">
        <is>
          <t>OH</t>
        </is>
      </c>
      <c r="R1911" t="n">
        <v>44481</v>
      </c>
      <c r="AD1911" t="inlineStr">
        <is>
          <t>TRUMBULL CAREER &amp; TECH CENTER</t>
        </is>
      </c>
      <c r="AE1911" t="inlineStr">
        <is>
          <t>WARREN CITY</t>
        </is>
      </c>
      <c r="AF1911" t="inlineStr">
        <is>
          <t>WARREN CITY SD</t>
        </is>
      </c>
      <c r="AH1911" t="n">
        <v>14</v>
      </c>
      <c r="AI1911" t="n">
        <v>11</v>
      </c>
      <c r="AN1911" t="inlineStr">
        <is>
          <t>WARREN</t>
        </is>
      </c>
      <c r="AO1911" t="inlineStr">
        <is>
          <t>WARREN CITY 4D</t>
        </is>
      </c>
      <c r="AP1911" t="inlineStr">
        <is>
          <t>78-P-ADL</t>
        </is>
      </c>
      <c r="AQ1911" t="n">
        <v>9</v>
      </c>
      <c r="AR1911" t="n">
        <v>64</v>
      </c>
      <c r="AS1911" t="n">
        <v>32</v>
      </c>
      <c r="AU1911">
        <f>COUNTA($BA$1911:$EH$1911)</f>
        <v/>
      </c>
      <c r="AV1911">
        <f>COUNTIF($BA$1911:$EH$1911,"D")</f>
        <v/>
      </c>
      <c r="AW1911">
        <f>COUNTIF($BA$1911:$EH$1911,"R")</f>
        <v/>
      </c>
      <c r="AX1911">
        <f>IF(BN1911="D",1,0)+IF(BO1911="D",1,0)+IF(BT1911="D",1,0)+IF(BU1911="D",1,0)+IF(BW1911="D",1,0)+IF(CC1911="D",1,0)+IF(CD1911="D",1,0)+IF(CE1911="D",1,0)+IF(CF1911="D",1,0)+IF(CL1911="D",1,0)+IF(CM1911="D",1,0)+IF(CQ1911="D",1,0)+IF(CR1911="D",1,0)+IF(CS1911="D",1,0)+IF(CW1911="D",1,0)+IF(CX1911="D",1,0)+IF(DD1911="D",1,0)+IF(DE1911="D",1,0)+IF(DJ1911="D",1,0)+IF(DK1911="D",1,0)+IF(DO1911="D",1,0)+IF(DP1911="D",1,0)+IF(DQ1911="D",1,0)+IF(DW1911="D",1,0)+IF(DZ1911="D",1,0)+IF(EH1911="D",1,0)</f>
        <v/>
      </c>
      <c r="AY1911">
        <f>IF(DJ1911&lt;&gt;"",1,0)+IF(DK1911&lt;&gt;"",1,0)+IF(DM1911&lt;&gt;"",1,0)+IF(DO1911&lt;&gt;"",1,0)+IF(DP1911&lt;&gt;"",1,0)+IF(DQ1911&lt;&gt;"",1,0)+IF(DS1911&lt;&gt;"",1,0)+IF(DT1911&lt;&gt;"",1,0)+IF(DV1911&lt;&gt;"",1,0)+IF(DW1911&lt;&gt;"",1,0)+IF(DX1911&lt;&gt;"",1,0)+IF(DY1911&lt;&gt;"",1,0)+IF(DZ1911&lt;&gt;"",1,0)+IF(EB1911&lt;&gt;"",1,0)+IF(EC1911&lt;&gt;"",1,0)+IF(ED1911&lt;&gt;"",1,0)+IF(EG1911&lt;&gt;"",1,0)+IF(EH1911&lt;&gt;"",1,0)</f>
        <v/>
      </c>
      <c r="AZ1911">
        <f>IF(EH1911&lt;&gt;"",1,0)</f>
        <v/>
      </c>
      <c r="BB1911" t="inlineStr">
        <is>
          <t>WARREN-WARD 4</t>
        </is>
      </c>
    </row>
    <row r="1912">
      <c r="A1912" t="inlineStr">
        <is>
          <t>OH0027853887</t>
        </is>
      </c>
      <c r="B1912" t="n">
        <v>78</v>
      </c>
      <c r="C1912" t="n">
        <v>494402</v>
      </c>
      <c r="D1912" t="inlineStr">
        <is>
          <t>WOODALL</t>
        </is>
      </c>
      <c r="E1912" t="inlineStr">
        <is>
          <t>JEROME</t>
        </is>
      </c>
      <c r="F1912">
        <f>CONCATENATE(D1912," ",LEFT(H1912,4),"T=",AU1912,"D=",AV1912,"R=",AW1912,"M=",AX1912,"L=",AY1912,"B=",AZ1912)</f>
        <v/>
      </c>
      <c r="G1912" t="inlineStr">
        <is>
          <t>EDWARD</t>
        </is>
      </c>
      <c r="H1912" t="inlineStr">
        <is>
          <t>II</t>
        </is>
      </c>
      <c r="I1912" t="inlineStr">
        <is>
          <t>2004-11-10</t>
        </is>
      </c>
      <c r="J1912" t="inlineStr">
        <is>
          <t>2024-12-03</t>
        </is>
      </c>
      <c r="K1912" t="inlineStr">
        <is>
          <t>ACTIVE</t>
        </is>
      </c>
      <c r="M1912" t="inlineStr">
        <is>
          <t>646 PAIGE AVE NE</t>
        </is>
      </c>
      <c r="N1912">
        <f>RIGHT(M1912,LEN(M1912)-FIND(" ",M1912))</f>
        <v/>
      </c>
      <c r="P1912" t="inlineStr">
        <is>
          <t>WARREN</t>
        </is>
      </c>
      <c r="Q1912" t="inlineStr">
        <is>
          <t>OH</t>
        </is>
      </c>
      <c r="R1912" t="n">
        <v>44483</v>
      </c>
      <c r="AD1912" t="inlineStr">
        <is>
          <t>TRUMBULL CAREER &amp; TECH CENTER</t>
        </is>
      </c>
      <c r="AE1912" t="inlineStr">
        <is>
          <t>WARREN CITY</t>
        </is>
      </c>
      <c r="AF1912" t="inlineStr">
        <is>
          <t>WARREN CITY SD</t>
        </is>
      </c>
      <c r="AH1912" t="n">
        <v>14</v>
      </c>
      <c r="AI1912" t="n">
        <v>11</v>
      </c>
      <c r="AN1912" t="inlineStr">
        <is>
          <t>WARREN</t>
        </is>
      </c>
      <c r="AO1912" t="inlineStr">
        <is>
          <t>WARREN CITY 4D</t>
        </is>
      </c>
      <c r="AP1912" t="inlineStr">
        <is>
          <t>78-P-ADL</t>
        </is>
      </c>
      <c r="AQ1912" t="n">
        <v>9</v>
      </c>
      <c r="AR1912" t="n">
        <v>64</v>
      </c>
      <c r="AS1912" t="n">
        <v>32</v>
      </c>
      <c r="AU1912">
        <f>COUNTA($BA$1912:$EH$1912)</f>
        <v/>
      </c>
      <c r="AV1912">
        <f>COUNTIF($BA$1912:$EH$1912,"D")</f>
        <v/>
      </c>
      <c r="AW1912">
        <f>COUNTIF($BA$1912:$EH$1912,"R")</f>
        <v/>
      </c>
      <c r="AX1912">
        <f>IF(BN1912="D",1,0)+IF(BO1912="D",1,0)+IF(BT1912="D",1,0)+IF(BU1912="D",1,0)+IF(BW1912="D",1,0)+IF(CC1912="D",1,0)+IF(CD1912="D",1,0)+IF(CE1912="D",1,0)+IF(CF1912="D",1,0)+IF(CL1912="D",1,0)+IF(CM1912="D",1,0)+IF(CQ1912="D",1,0)+IF(CR1912="D",1,0)+IF(CS1912="D",1,0)+IF(CW1912="D",1,0)+IF(CX1912="D",1,0)+IF(DD1912="D",1,0)+IF(DE1912="D",1,0)+IF(DJ1912="D",1,0)+IF(DK1912="D",1,0)+IF(DO1912="D",1,0)+IF(DP1912="D",1,0)+IF(DQ1912="D",1,0)+IF(DW1912="D",1,0)+IF(DZ1912="D",1,0)+IF(EH1912="D",1,0)</f>
        <v/>
      </c>
      <c r="AY1912">
        <f>IF(DJ1912&lt;&gt;"",1,0)+IF(DK1912&lt;&gt;"",1,0)+IF(DM1912&lt;&gt;"",1,0)+IF(DO1912&lt;&gt;"",1,0)+IF(DP1912&lt;&gt;"",1,0)+IF(DQ1912&lt;&gt;"",1,0)+IF(DS1912&lt;&gt;"",1,0)+IF(DT1912&lt;&gt;"",1,0)+IF(DV1912&lt;&gt;"",1,0)+IF(DW1912&lt;&gt;"",1,0)+IF(DX1912&lt;&gt;"",1,0)+IF(DY1912&lt;&gt;"",1,0)+IF(DZ1912&lt;&gt;"",1,0)+IF(EB1912&lt;&gt;"",1,0)+IF(EC1912&lt;&gt;"",1,0)+IF(ED1912&lt;&gt;"",1,0)+IF(EG1912&lt;&gt;"",1,0)+IF(EH1912&lt;&gt;"",1,0)</f>
        <v/>
      </c>
      <c r="AZ1912">
        <f>IF(EH1912&lt;&gt;"",1,0)</f>
        <v/>
      </c>
      <c r="BB1912" t="inlineStr">
        <is>
          <t>WARREN-WARD 4</t>
        </is>
      </c>
    </row>
    <row r="1913">
      <c r="A1913" t="inlineStr">
        <is>
          <t>OH0025536185</t>
        </is>
      </c>
      <c r="B1913" t="n">
        <v>78</v>
      </c>
      <c r="C1913" t="n">
        <v>445497</v>
      </c>
      <c r="D1913" t="inlineStr">
        <is>
          <t>SHANNON</t>
        </is>
      </c>
      <c r="E1913" t="inlineStr">
        <is>
          <t>PAYTON</t>
        </is>
      </c>
      <c r="F1913">
        <f>CONCATENATE(D1913," ",LEFT(H1913,4),"T=",AU1913,"D=",AV1913,"R=",AW1913,"M=",AX1913,"L=",AY1913,"B=",AZ1913)</f>
        <v/>
      </c>
      <c r="G1913" t="inlineStr">
        <is>
          <t>A</t>
        </is>
      </c>
      <c r="I1913" t="inlineStr">
        <is>
          <t>1997-05-17</t>
        </is>
      </c>
      <c r="J1913" t="inlineStr">
        <is>
          <t>2024-05-28</t>
        </is>
      </c>
      <c r="K1913" t="inlineStr">
        <is>
          <t>ACTIVE</t>
        </is>
      </c>
      <c r="M1913" t="inlineStr">
        <is>
          <t>407 WASHINGTON ST NE</t>
        </is>
      </c>
      <c r="N1913">
        <f>RIGHT(M1913,LEN(M1913)-FIND(" ",M1913))</f>
        <v/>
      </c>
      <c r="P1913" t="inlineStr">
        <is>
          <t>WARREN</t>
        </is>
      </c>
      <c r="Q1913" t="inlineStr">
        <is>
          <t>OH</t>
        </is>
      </c>
      <c r="R1913" t="n">
        <v>44483</v>
      </c>
      <c r="AD1913" t="inlineStr">
        <is>
          <t>TRUMBULL CAREER &amp; TECH CENTER</t>
        </is>
      </c>
      <c r="AE1913" t="inlineStr">
        <is>
          <t>WARREN CITY</t>
        </is>
      </c>
      <c r="AF1913" t="inlineStr">
        <is>
          <t>WARREN CITY SD</t>
        </is>
      </c>
      <c r="AH1913" t="n">
        <v>14</v>
      </c>
      <c r="AI1913" t="n">
        <v>11</v>
      </c>
      <c r="AN1913" t="inlineStr">
        <is>
          <t>WARREN</t>
        </is>
      </c>
      <c r="AO1913" t="inlineStr">
        <is>
          <t>WARREN CITY 4D</t>
        </is>
      </c>
      <c r="AP1913" t="inlineStr">
        <is>
          <t>78-P-ADL</t>
        </is>
      </c>
      <c r="AQ1913" t="n">
        <v>9</v>
      </c>
      <c r="AR1913" t="n">
        <v>64</v>
      </c>
      <c r="AS1913" t="n">
        <v>32</v>
      </c>
      <c r="AU1913">
        <f>COUNTA($BA$1913:$EH$1913)</f>
        <v/>
      </c>
      <c r="AV1913">
        <f>COUNTIF($BA$1913:$EH$1913,"D")</f>
        <v/>
      </c>
      <c r="AW1913">
        <f>COUNTIF($BA$1913:$EH$1913,"R")</f>
        <v/>
      </c>
      <c r="AX1913">
        <f>IF(BN1913="D",1,0)+IF(BO1913="D",1,0)+IF(BT1913="D",1,0)+IF(BU1913="D",1,0)+IF(BW1913="D",1,0)+IF(CC1913="D",1,0)+IF(CD1913="D",1,0)+IF(CE1913="D",1,0)+IF(CF1913="D",1,0)+IF(CL1913="D",1,0)+IF(CM1913="D",1,0)+IF(CQ1913="D",1,0)+IF(CR1913="D",1,0)+IF(CS1913="D",1,0)+IF(CW1913="D",1,0)+IF(CX1913="D",1,0)+IF(DD1913="D",1,0)+IF(DE1913="D",1,0)+IF(DJ1913="D",1,0)+IF(DK1913="D",1,0)+IF(DO1913="D",1,0)+IF(DP1913="D",1,0)+IF(DQ1913="D",1,0)+IF(DW1913="D",1,0)+IF(DZ1913="D",1,0)+IF(EH1913="D",1,0)</f>
        <v/>
      </c>
      <c r="AY1913">
        <f>IF(DJ1913&lt;&gt;"",1,0)+IF(DK1913&lt;&gt;"",1,0)+IF(DM1913&lt;&gt;"",1,0)+IF(DO1913&lt;&gt;"",1,0)+IF(DP1913&lt;&gt;"",1,0)+IF(DQ1913&lt;&gt;"",1,0)+IF(DS1913&lt;&gt;"",1,0)+IF(DT1913&lt;&gt;"",1,0)+IF(DV1913&lt;&gt;"",1,0)+IF(DW1913&lt;&gt;"",1,0)+IF(DX1913&lt;&gt;"",1,0)+IF(DY1913&lt;&gt;"",1,0)+IF(DZ1913&lt;&gt;"",1,0)+IF(EB1913&lt;&gt;"",1,0)+IF(EC1913&lt;&gt;"",1,0)+IF(ED1913&lt;&gt;"",1,0)+IF(EG1913&lt;&gt;"",1,0)+IF(EH1913&lt;&gt;"",1,0)</f>
        <v/>
      </c>
      <c r="AZ1913">
        <f>IF(EH1913&lt;&gt;"",1,0)</f>
        <v/>
      </c>
      <c r="BB1913" t="inlineStr">
        <is>
          <t>WARREN-WARD 4</t>
        </is>
      </c>
      <c r="DC1913" t="inlineStr">
        <is>
          <t>X</t>
        </is>
      </c>
      <c r="DN1913" t="inlineStr">
        <is>
          <t>X</t>
        </is>
      </c>
      <c r="EA1913" t="inlineStr">
        <is>
          <t>X</t>
        </is>
      </c>
      <c r="EF1913" t="inlineStr">
        <is>
          <t>X</t>
        </is>
      </c>
    </row>
    <row r="1914">
      <c r="A1914" t="inlineStr">
        <is>
          <t>OH0024800363</t>
        </is>
      </c>
      <c r="B1914" t="n">
        <v>78</v>
      </c>
      <c r="C1914" t="n">
        <v>435167</v>
      </c>
      <c r="D1914" t="inlineStr">
        <is>
          <t>MEADE</t>
        </is>
      </c>
      <c r="E1914" t="inlineStr">
        <is>
          <t>ALEXANDRIA</t>
        </is>
      </c>
      <c r="F1914">
        <f>CONCATENATE(D1914," ",LEFT(H1914,4),"T=",AU1914,"D=",AV1914,"R=",AW1914,"M=",AX1914,"L=",AY1914,"B=",AZ1914)</f>
        <v/>
      </c>
      <c r="G1914" t="inlineStr">
        <is>
          <t>RAE</t>
        </is>
      </c>
      <c r="I1914" t="inlineStr">
        <is>
          <t>1998-04-13</t>
        </is>
      </c>
      <c r="J1914" t="inlineStr">
        <is>
          <t>2020-02-07</t>
        </is>
      </c>
      <c r="K1914" t="inlineStr">
        <is>
          <t>CONFIRMATION</t>
        </is>
      </c>
      <c r="M1914" t="inlineStr">
        <is>
          <t>334 LOWELL AVE NE</t>
        </is>
      </c>
      <c r="N1914">
        <f>RIGHT(M1914,LEN(M1914)-FIND(" ",M1914))</f>
        <v/>
      </c>
      <c r="P1914" t="inlineStr">
        <is>
          <t>WARREN</t>
        </is>
      </c>
      <c r="Q1914" t="inlineStr">
        <is>
          <t>OH</t>
        </is>
      </c>
      <c r="R1914" t="n">
        <v>44483</v>
      </c>
      <c r="AD1914" t="inlineStr">
        <is>
          <t>TRUMBULL CAREER &amp; TECH CENTER</t>
        </is>
      </c>
      <c r="AE1914" t="inlineStr">
        <is>
          <t>WARREN CITY</t>
        </is>
      </c>
      <c r="AF1914" t="inlineStr">
        <is>
          <t>WARREN CITY SD</t>
        </is>
      </c>
      <c r="AH1914" t="n">
        <v>14</v>
      </c>
      <c r="AI1914" t="n">
        <v>11</v>
      </c>
      <c r="AN1914" t="inlineStr">
        <is>
          <t>WARREN</t>
        </is>
      </c>
      <c r="AO1914" t="inlineStr">
        <is>
          <t>WARREN CITY 4D</t>
        </is>
      </c>
      <c r="AP1914" t="inlineStr">
        <is>
          <t>78-P-ADL</t>
        </is>
      </c>
      <c r="AQ1914" t="n">
        <v>9</v>
      </c>
      <c r="AR1914" t="n">
        <v>64</v>
      </c>
      <c r="AS1914" t="n">
        <v>32</v>
      </c>
      <c r="AU1914">
        <f>COUNTA($BA$1914:$EH$1914)</f>
        <v/>
      </c>
      <c r="AV1914">
        <f>COUNTIF($BA$1914:$EH$1914,"D")</f>
        <v/>
      </c>
      <c r="AW1914">
        <f>COUNTIF($BA$1914:$EH$1914,"R")</f>
        <v/>
      </c>
      <c r="AX1914">
        <f>IF(BN1914="D",1,0)+IF(BO1914="D",1,0)+IF(BT1914="D",1,0)+IF(BU1914="D",1,0)+IF(BW1914="D",1,0)+IF(CC1914="D",1,0)+IF(CD1914="D",1,0)+IF(CE1914="D",1,0)+IF(CF1914="D",1,0)+IF(CL1914="D",1,0)+IF(CM1914="D",1,0)+IF(CQ1914="D",1,0)+IF(CR1914="D",1,0)+IF(CS1914="D",1,0)+IF(CW1914="D",1,0)+IF(CX1914="D",1,0)+IF(DD1914="D",1,0)+IF(DE1914="D",1,0)+IF(DJ1914="D",1,0)+IF(DK1914="D",1,0)+IF(DO1914="D",1,0)+IF(DP1914="D",1,0)+IF(DQ1914="D",1,0)+IF(DW1914="D",1,0)+IF(DZ1914="D",1,0)+IF(EH1914="D",1,0)</f>
        <v/>
      </c>
      <c r="AY1914">
        <f>IF(DJ1914&lt;&gt;"",1,0)+IF(DK1914&lt;&gt;"",1,0)+IF(DM1914&lt;&gt;"",1,0)+IF(DO1914&lt;&gt;"",1,0)+IF(DP1914&lt;&gt;"",1,0)+IF(DQ1914&lt;&gt;"",1,0)+IF(DS1914&lt;&gt;"",1,0)+IF(DT1914&lt;&gt;"",1,0)+IF(DV1914&lt;&gt;"",1,0)+IF(DW1914&lt;&gt;"",1,0)+IF(DX1914&lt;&gt;"",1,0)+IF(DY1914&lt;&gt;"",1,0)+IF(DZ1914&lt;&gt;"",1,0)+IF(EB1914&lt;&gt;"",1,0)+IF(EC1914&lt;&gt;"",1,0)+IF(ED1914&lt;&gt;"",1,0)+IF(EG1914&lt;&gt;"",1,0)+IF(EH1914&lt;&gt;"",1,0)</f>
        <v/>
      </c>
      <c r="AZ1914">
        <f>IF(EH1914&lt;&gt;"",1,0)</f>
        <v/>
      </c>
      <c r="BB1914" t="inlineStr">
        <is>
          <t>WARREN-WARD 4</t>
        </is>
      </c>
    </row>
    <row r="1915">
      <c r="A1915" t="inlineStr">
        <is>
          <t>OH0019986141</t>
        </is>
      </c>
      <c r="B1915" t="n">
        <v>78</v>
      </c>
      <c r="C1915" t="n">
        <v>361226</v>
      </c>
      <c r="D1915" t="inlineStr">
        <is>
          <t>PEHANICH</t>
        </is>
      </c>
      <c r="E1915" t="inlineStr">
        <is>
          <t>SABRINA</t>
        </is>
      </c>
      <c r="F1915">
        <f>CONCATENATE(D1915," ",LEFT(H1915,4),"T=",AU1915,"D=",AV1915,"R=",AW1915,"M=",AX1915,"L=",AY1915,"B=",AZ1915)</f>
        <v/>
      </c>
      <c r="G1915" t="inlineStr">
        <is>
          <t>LYNN</t>
        </is>
      </c>
      <c r="I1915" t="inlineStr">
        <is>
          <t>1967-08-08</t>
        </is>
      </c>
      <c r="J1915" t="inlineStr">
        <is>
          <t>2008-09-03</t>
        </is>
      </c>
      <c r="K1915" t="inlineStr">
        <is>
          <t>ACTIVE</t>
        </is>
      </c>
      <c r="L1915" t="inlineStr">
        <is>
          <t>D</t>
        </is>
      </c>
      <c r="M1915" t="inlineStr">
        <is>
          <t>146 IDDINGS AVE NE</t>
        </is>
      </c>
      <c r="N1915">
        <f>RIGHT(M1915,LEN(M1915)-FIND(" ",M1915))</f>
        <v/>
      </c>
      <c r="P1915" t="inlineStr">
        <is>
          <t>WARREN</t>
        </is>
      </c>
      <c r="Q1915" t="inlineStr">
        <is>
          <t>OH</t>
        </is>
      </c>
      <c r="R1915" t="n">
        <v>44483</v>
      </c>
      <c r="AD1915" t="inlineStr">
        <is>
          <t>TRUMBULL CAREER &amp; TECH CENTER</t>
        </is>
      </c>
      <c r="AE1915" t="inlineStr">
        <is>
          <t>WARREN CITY</t>
        </is>
      </c>
      <c r="AF1915" t="inlineStr">
        <is>
          <t>WARREN CITY SD</t>
        </is>
      </c>
      <c r="AH1915" t="n">
        <v>14</v>
      </c>
      <c r="AI1915" t="n">
        <v>11</v>
      </c>
      <c r="AN1915" t="inlineStr">
        <is>
          <t>WARREN</t>
        </is>
      </c>
      <c r="AO1915" t="inlineStr">
        <is>
          <t>WARREN CITY 4D</t>
        </is>
      </c>
      <c r="AP1915" t="inlineStr">
        <is>
          <t>78-P-ADL</t>
        </is>
      </c>
      <c r="AQ1915" t="n">
        <v>9</v>
      </c>
      <c r="AR1915" t="n">
        <v>64</v>
      </c>
      <c r="AS1915" t="n">
        <v>32</v>
      </c>
      <c r="AU1915">
        <f>COUNTA($BA$1915:$EH$1915)</f>
        <v/>
      </c>
      <c r="AV1915">
        <f>COUNTIF($BA$1915:$EH$1915,"D")</f>
        <v/>
      </c>
      <c r="AW1915">
        <f>COUNTIF($BA$1915:$EH$1915,"R")</f>
        <v/>
      </c>
      <c r="AX1915">
        <f>IF(BN1915="D",1,0)+IF(BO1915="D",1,0)+IF(BT1915="D",1,0)+IF(BU1915="D",1,0)+IF(BW1915="D",1,0)+IF(CC1915="D",1,0)+IF(CD1915="D",1,0)+IF(CE1915="D",1,0)+IF(CF1915="D",1,0)+IF(CL1915="D",1,0)+IF(CM1915="D",1,0)+IF(CQ1915="D",1,0)+IF(CR1915="D",1,0)+IF(CS1915="D",1,0)+IF(CW1915="D",1,0)+IF(CX1915="D",1,0)+IF(DD1915="D",1,0)+IF(DE1915="D",1,0)+IF(DJ1915="D",1,0)+IF(DK1915="D",1,0)+IF(DO1915="D",1,0)+IF(DP1915="D",1,0)+IF(DQ1915="D",1,0)+IF(DW1915="D",1,0)+IF(DZ1915="D",1,0)+IF(EH1915="D",1,0)</f>
        <v/>
      </c>
      <c r="AY1915">
        <f>IF(DJ1915&lt;&gt;"",1,0)+IF(DK1915&lt;&gt;"",1,0)+IF(DM1915&lt;&gt;"",1,0)+IF(DO1915&lt;&gt;"",1,0)+IF(DP1915&lt;&gt;"",1,0)+IF(DQ1915&lt;&gt;"",1,0)+IF(DS1915&lt;&gt;"",1,0)+IF(DT1915&lt;&gt;"",1,0)+IF(DV1915&lt;&gt;"",1,0)+IF(DW1915&lt;&gt;"",1,0)+IF(DX1915&lt;&gt;"",1,0)+IF(DY1915&lt;&gt;"",1,0)+IF(DZ1915&lt;&gt;"",1,0)+IF(EB1915&lt;&gt;"",1,0)+IF(EC1915&lt;&gt;"",1,0)+IF(ED1915&lt;&gt;"",1,0)+IF(EG1915&lt;&gt;"",1,0)+IF(EH1915&lt;&gt;"",1,0)</f>
        <v/>
      </c>
      <c r="AZ1915">
        <f>IF(EH1915&lt;&gt;"",1,0)</f>
        <v/>
      </c>
      <c r="BB1915" t="inlineStr">
        <is>
          <t>WARREN-WARD 4</t>
        </is>
      </c>
      <c r="CA1915" t="inlineStr">
        <is>
          <t>X</t>
        </is>
      </c>
      <c r="CP1915" t="inlineStr">
        <is>
          <t>X</t>
        </is>
      </c>
      <c r="CZ1915" t="inlineStr">
        <is>
          <t>D</t>
        </is>
      </c>
      <c r="DC1915" t="inlineStr">
        <is>
          <t>X</t>
        </is>
      </c>
      <c r="DD1915" t="inlineStr">
        <is>
          <t>D</t>
        </is>
      </c>
      <c r="DF1915" t="inlineStr">
        <is>
          <t>X</t>
        </is>
      </c>
      <c r="DI1915" t="inlineStr">
        <is>
          <t>X</t>
        </is>
      </c>
      <c r="DL1915" t="inlineStr">
        <is>
          <t>X</t>
        </is>
      </c>
      <c r="DM1915" t="inlineStr">
        <is>
          <t>D</t>
        </is>
      </c>
      <c r="DN1915" t="inlineStr">
        <is>
          <t>X</t>
        </is>
      </c>
      <c r="DR1915" t="inlineStr">
        <is>
          <t>X</t>
        </is>
      </c>
      <c r="DS1915" t="inlineStr">
        <is>
          <t>D</t>
        </is>
      </c>
      <c r="DT1915" t="inlineStr">
        <is>
          <t>D</t>
        </is>
      </c>
      <c r="DU1915" t="inlineStr">
        <is>
          <t>X</t>
        </is>
      </c>
      <c r="DW1915" t="inlineStr">
        <is>
          <t>D</t>
        </is>
      </c>
      <c r="DX1915" t="inlineStr">
        <is>
          <t>X</t>
        </is>
      </c>
      <c r="EA1915" t="inlineStr">
        <is>
          <t>X</t>
        </is>
      </c>
      <c r="ED1915" t="inlineStr">
        <is>
          <t>D</t>
        </is>
      </c>
      <c r="EF1915" t="inlineStr">
        <is>
          <t>X</t>
        </is>
      </c>
      <c r="EH1915" t="inlineStr">
        <is>
          <t>D</t>
        </is>
      </c>
    </row>
    <row r="1916">
      <c r="A1916" t="inlineStr">
        <is>
          <t>OH0023443225</t>
        </is>
      </c>
      <c r="B1916" t="n">
        <v>78</v>
      </c>
      <c r="C1916" t="n">
        <v>411738</v>
      </c>
      <c r="D1916" t="inlineStr">
        <is>
          <t>SHAFFER</t>
        </is>
      </c>
      <c r="E1916" t="inlineStr">
        <is>
          <t>KIMBERLY</t>
        </is>
      </c>
      <c r="F1916">
        <f>CONCATENATE(D1916," ",LEFT(H1916,4),"T=",AU1916,"D=",AV1916,"R=",AW1916,"M=",AX1916,"L=",AY1916,"B=",AZ1916)</f>
        <v/>
      </c>
      <c r="G1916" t="inlineStr">
        <is>
          <t>ANNE</t>
        </is>
      </c>
      <c r="I1916" t="inlineStr">
        <is>
          <t>1977-10-15</t>
        </is>
      </c>
      <c r="J1916" t="inlineStr">
        <is>
          <t>2015-11-03</t>
        </is>
      </c>
      <c r="K1916" t="inlineStr">
        <is>
          <t>ACTIVE</t>
        </is>
      </c>
      <c r="M1916" t="inlineStr">
        <is>
          <t>438 N PARK AVE</t>
        </is>
      </c>
      <c r="N1916">
        <f>RIGHT(M1916,LEN(M1916)-FIND(" ",M1916))</f>
        <v/>
      </c>
      <c r="O1916" t="inlineStr">
        <is>
          <t>APT 9A</t>
        </is>
      </c>
      <c r="P1916" t="inlineStr">
        <is>
          <t>WARREN</t>
        </is>
      </c>
      <c r="Q1916" t="inlineStr">
        <is>
          <t>OH</t>
        </is>
      </c>
      <c r="R1916" t="n">
        <v>44481</v>
      </c>
      <c r="AD1916" t="inlineStr">
        <is>
          <t>TRUMBULL CAREER &amp; TECH CENTER</t>
        </is>
      </c>
      <c r="AE1916" t="inlineStr">
        <is>
          <t>WARREN CITY</t>
        </is>
      </c>
      <c r="AF1916" t="inlineStr">
        <is>
          <t>WARREN CITY SD</t>
        </is>
      </c>
      <c r="AH1916" t="n">
        <v>14</v>
      </c>
      <c r="AI1916" t="n">
        <v>11</v>
      </c>
      <c r="AN1916" t="inlineStr">
        <is>
          <t>WARREN</t>
        </is>
      </c>
      <c r="AO1916" t="inlineStr">
        <is>
          <t>WARREN CITY 4D</t>
        </is>
      </c>
      <c r="AP1916" t="inlineStr">
        <is>
          <t>78-P-ADL</t>
        </is>
      </c>
      <c r="AQ1916" t="n">
        <v>9</v>
      </c>
      <c r="AR1916" t="n">
        <v>64</v>
      </c>
      <c r="AS1916" t="n">
        <v>32</v>
      </c>
      <c r="AU1916">
        <f>COUNTA($BA$1916:$EH$1916)</f>
        <v/>
      </c>
      <c r="AV1916">
        <f>COUNTIF($BA$1916:$EH$1916,"D")</f>
        <v/>
      </c>
      <c r="AW1916">
        <f>COUNTIF($BA$1916:$EH$1916,"R")</f>
        <v/>
      </c>
      <c r="AX1916">
        <f>IF(BN1916="D",1,0)+IF(BO1916="D",1,0)+IF(BT1916="D",1,0)+IF(BU1916="D",1,0)+IF(BW1916="D",1,0)+IF(CC1916="D",1,0)+IF(CD1916="D",1,0)+IF(CE1916="D",1,0)+IF(CF1916="D",1,0)+IF(CL1916="D",1,0)+IF(CM1916="D",1,0)+IF(CQ1916="D",1,0)+IF(CR1916="D",1,0)+IF(CS1916="D",1,0)+IF(CW1916="D",1,0)+IF(CX1916="D",1,0)+IF(DD1916="D",1,0)+IF(DE1916="D",1,0)+IF(DJ1916="D",1,0)+IF(DK1916="D",1,0)+IF(DO1916="D",1,0)+IF(DP1916="D",1,0)+IF(DQ1916="D",1,0)+IF(DW1916="D",1,0)+IF(DZ1916="D",1,0)+IF(EH1916="D",1,0)</f>
        <v/>
      </c>
      <c r="AY1916">
        <f>IF(DJ1916&lt;&gt;"",1,0)+IF(DK1916&lt;&gt;"",1,0)+IF(DM1916&lt;&gt;"",1,0)+IF(DO1916&lt;&gt;"",1,0)+IF(DP1916&lt;&gt;"",1,0)+IF(DQ1916&lt;&gt;"",1,0)+IF(DS1916&lt;&gt;"",1,0)+IF(DT1916&lt;&gt;"",1,0)+IF(DV1916&lt;&gt;"",1,0)+IF(DW1916&lt;&gt;"",1,0)+IF(DX1916&lt;&gt;"",1,0)+IF(DY1916&lt;&gt;"",1,0)+IF(DZ1916&lt;&gt;"",1,0)+IF(EB1916&lt;&gt;"",1,0)+IF(EC1916&lt;&gt;"",1,0)+IF(ED1916&lt;&gt;"",1,0)+IF(EG1916&lt;&gt;"",1,0)+IF(EH1916&lt;&gt;"",1,0)</f>
        <v/>
      </c>
      <c r="AZ1916">
        <f>IF(EH1916&lt;&gt;"",1,0)</f>
        <v/>
      </c>
      <c r="BB1916" t="inlineStr">
        <is>
          <t>WARREN-WARD 4</t>
        </is>
      </c>
      <c r="CA1916" t="inlineStr">
        <is>
          <t>X</t>
        </is>
      </c>
      <c r="DC1916" t="inlineStr">
        <is>
          <t>X</t>
        </is>
      </c>
    </row>
    <row r="1917">
      <c r="A1917" t="inlineStr">
        <is>
          <t>OH0024776746</t>
        </is>
      </c>
      <c r="B1917" t="n">
        <v>78</v>
      </c>
      <c r="C1917" t="n">
        <v>434866</v>
      </c>
      <c r="D1917" t="inlineStr">
        <is>
          <t>SIEMERS</t>
        </is>
      </c>
      <c r="E1917" t="inlineStr">
        <is>
          <t>THOMAS</t>
        </is>
      </c>
      <c r="F1917">
        <f>CONCATENATE(D1917," ",LEFT(H1917,4),"T=",AU1917,"D=",AV1917,"R=",AW1917,"M=",AX1917,"L=",AY1917,"B=",AZ1917)</f>
        <v/>
      </c>
      <c r="G1917" t="inlineStr">
        <is>
          <t>WILSON</t>
        </is>
      </c>
      <c r="I1917" t="inlineStr">
        <is>
          <t>1964-05-15</t>
        </is>
      </c>
      <c r="J1917" t="inlineStr">
        <is>
          <t>2018-09-18</t>
        </is>
      </c>
      <c r="K1917" t="inlineStr">
        <is>
          <t>CONFIRMATION</t>
        </is>
      </c>
      <c r="M1917" t="inlineStr">
        <is>
          <t>197 W MARKET ST</t>
        </is>
      </c>
      <c r="N1917">
        <f>RIGHT(M1917,LEN(M1917)-FIND(" ",M1917))</f>
        <v/>
      </c>
      <c r="O1917" t="inlineStr">
        <is>
          <t>STE 500</t>
        </is>
      </c>
      <c r="P1917" t="inlineStr">
        <is>
          <t>WARREN</t>
        </is>
      </c>
      <c r="Q1917" t="inlineStr">
        <is>
          <t>OH</t>
        </is>
      </c>
      <c r="R1917" t="n">
        <v>44481</v>
      </c>
      <c r="AD1917" t="inlineStr">
        <is>
          <t>TRUMBULL CAREER &amp; TECH CENTER</t>
        </is>
      </c>
      <c r="AE1917" t="inlineStr">
        <is>
          <t>WARREN CITY</t>
        </is>
      </c>
      <c r="AF1917" t="inlineStr">
        <is>
          <t>WARREN CITY SD</t>
        </is>
      </c>
      <c r="AH1917" t="n">
        <v>14</v>
      </c>
      <c r="AI1917" t="n">
        <v>11</v>
      </c>
      <c r="AN1917" t="inlineStr">
        <is>
          <t>WARREN</t>
        </is>
      </c>
      <c r="AO1917" t="inlineStr">
        <is>
          <t>WARREN CITY 4D</t>
        </is>
      </c>
      <c r="AP1917" t="inlineStr">
        <is>
          <t>78-P-ADL</t>
        </is>
      </c>
      <c r="AQ1917" t="n">
        <v>9</v>
      </c>
      <c r="AR1917" t="n">
        <v>64</v>
      </c>
      <c r="AS1917" t="n">
        <v>32</v>
      </c>
      <c r="AU1917">
        <f>COUNTA($BA$1917:$EH$1917)</f>
        <v/>
      </c>
      <c r="AV1917">
        <f>COUNTIF($BA$1917:$EH$1917,"D")</f>
        <v/>
      </c>
      <c r="AW1917">
        <f>COUNTIF($BA$1917:$EH$1917,"R")</f>
        <v/>
      </c>
      <c r="AX1917">
        <f>IF(BN1917="D",1,0)+IF(BO1917="D",1,0)+IF(BT1917="D",1,0)+IF(BU1917="D",1,0)+IF(BW1917="D",1,0)+IF(CC1917="D",1,0)+IF(CD1917="D",1,0)+IF(CE1917="D",1,0)+IF(CF1917="D",1,0)+IF(CL1917="D",1,0)+IF(CM1917="D",1,0)+IF(CQ1917="D",1,0)+IF(CR1917="D",1,0)+IF(CS1917="D",1,0)+IF(CW1917="D",1,0)+IF(CX1917="D",1,0)+IF(DD1917="D",1,0)+IF(DE1917="D",1,0)+IF(DJ1917="D",1,0)+IF(DK1917="D",1,0)+IF(DO1917="D",1,0)+IF(DP1917="D",1,0)+IF(DQ1917="D",1,0)+IF(DW1917="D",1,0)+IF(DZ1917="D",1,0)+IF(EH1917="D",1,0)</f>
        <v/>
      </c>
      <c r="AY1917">
        <f>IF(DJ1917&lt;&gt;"",1,0)+IF(DK1917&lt;&gt;"",1,0)+IF(DM1917&lt;&gt;"",1,0)+IF(DO1917&lt;&gt;"",1,0)+IF(DP1917&lt;&gt;"",1,0)+IF(DQ1917&lt;&gt;"",1,0)+IF(DS1917&lt;&gt;"",1,0)+IF(DT1917&lt;&gt;"",1,0)+IF(DV1917&lt;&gt;"",1,0)+IF(DW1917&lt;&gt;"",1,0)+IF(DX1917&lt;&gt;"",1,0)+IF(DY1917&lt;&gt;"",1,0)+IF(DZ1917&lt;&gt;"",1,0)+IF(EB1917&lt;&gt;"",1,0)+IF(EC1917&lt;&gt;"",1,0)+IF(ED1917&lt;&gt;"",1,0)+IF(EG1917&lt;&gt;"",1,0)+IF(EH1917&lt;&gt;"",1,0)</f>
        <v/>
      </c>
      <c r="AZ1917">
        <f>IF(EH1917&lt;&gt;"",1,0)</f>
        <v/>
      </c>
      <c r="BB1917" t="inlineStr">
        <is>
          <t>WARREN-WARD 4</t>
        </is>
      </c>
    </row>
    <row r="1918">
      <c r="A1918" t="inlineStr">
        <is>
          <t>OH0024034572</t>
        </is>
      </c>
      <c r="B1918" t="n">
        <v>78</v>
      </c>
      <c r="C1918" t="n">
        <v>421314</v>
      </c>
      <c r="D1918" t="inlineStr">
        <is>
          <t>LEVELLE</t>
        </is>
      </c>
      <c r="E1918" t="inlineStr">
        <is>
          <t>SANDRA</t>
        </is>
      </c>
      <c r="F1918">
        <f>CONCATENATE(D1918," ",LEFT(H1918,4),"T=",AU1918,"D=",AV1918,"R=",AW1918,"M=",AX1918,"L=",AY1918,"B=",AZ1918)</f>
        <v/>
      </c>
      <c r="G1918" t="inlineStr">
        <is>
          <t>R</t>
        </is>
      </c>
      <c r="I1918" t="inlineStr">
        <is>
          <t>1948-09-07</t>
        </is>
      </c>
      <c r="J1918" t="inlineStr">
        <is>
          <t>2016-10-05</t>
        </is>
      </c>
      <c r="K1918" t="inlineStr">
        <is>
          <t>CONFIRMATION</t>
        </is>
      </c>
      <c r="M1918" t="inlineStr">
        <is>
          <t>802 ATLANTIC ST NE</t>
        </is>
      </c>
      <c r="N1918">
        <f>RIGHT(M1918,LEN(M1918)-FIND(" ",M1918))</f>
        <v/>
      </c>
      <c r="P1918" t="inlineStr">
        <is>
          <t>WARREN</t>
        </is>
      </c>
      <c r="Q1918" t="inlineStr">
        <is>
          <t>OH</t>
        </is>
      </c>
      <c r="R1918" t="n">
        <v>44483</v>
      </c>
      <c r="AD1918" t="inlineStr">
        <is>
          <t>TRUMBULL CAREER &amp; TECH CENTER</t>
        </is>
      </c>
      <c r="AE1918" t="inlineStr">
        <is>
          <t>WARREN CITY</t>
        </is>
      </c>
      <c r="AF1918" t="inlineStr">
        <is>
          <t>WARREN CITY SD</t>
        </is>
      </c>
      <c r="AH1918" t="n">
        <v>14</v>
      </c>
      <c r="AI1918" t="n">
        <v>11</v>
      </c>
      <c r="AN1918" t="inlineStr">
        <is>
          <t>WARREN</t>
        </is>
      </c>
      <c r="AO1918" t="inlineStr">
        <is>
          <t>WARREN CITY 4D</t>
        </is>
      </c>
      <c r="AP1918" t="inlineStr">
        <is>
          <t>78-P-ADL</t>
        </is>
      </c>
      <c r="AQ1918" t="n">
        <v>9</v>
      </c>
      <c r="AR1918" t="n">
        <v>64</v>
      </c>
      <c r="AS1918" t="n">
        <v>32</v>
      </c>
      <c r="AU1918">
        <f>COUNTA($BA$1918:$EH$1918)</f>
        <v/>
      </c>
      <c r="AV1918">
        <f>COUNTIF($BA$1918:$EH$1918,"D")</f>
        <v/>
      </c>
      <c r="AW1918">
        <f>COUNTIF($BA$1918:$EH$1918,"R")</f>
        <v/>
      </c>
      <c r="AX1918">
        <f>IF(BN1918="D",1,0)+IF(BO1918="D",1,0)+IF(BT1918="D",1,0)+IF(BU1918="D",1,0)+IF(BW1918="D",1,0)+IF(CC1918="D",1,0)+IF(CD1918="D",1,0)+IF(CE1918="D",1,0)+IF(CF1918="D",1,0)+IF(CL1918="D",1,0)+IF(CM1918="D",1,0)+IF(CQ1918="D",1,0)+IF(CR1918="D",1,0)+IF(CS1918="D",1,0)+IF(CW1918="D",1,0)+IF(CX1918="D",1,0)+IF(DD1918="D",1,0)+IF(DE1918="D",1,0)+IF(DJ1918="D",1,0)+IF(DK1918="D",1,0)+IF(DO1918="D",1,0)+IF(DP1918="D",1,0)+IF(DQ1918="D",1,0)+IF(DW1918="D",1,0)+IF(DZ1918="D",1,0)+IF(EH1918="D",1,0)</f>
        <v/>
      </c>
      <c r="AY1918">
        <f>IF(DJ1918&lt;&gt;"",1,0)+IF(DK1918&lt;&gt;"",1,0)+IF(DM1918&lt;&gt;"",1,0)+IF(DO1918&lt;&gt;"",1,0)+IF(DP1918&lt;&gt;"",1,0)+IF(DQ1918&lt;&gt;"",1,0)+IF(DS1918&lt;&gt;"",1,0)+IF(DT1918&lt;&gt;"",1,0)+IF(DV1918&lt;&gt;"",1,0)+IF(DW1918&lt;&gt;"",1,0)+IF(DX1918&lt;&gt;"",1,0)+IF(DY1918&lt;&gt;"",1,0)+IF(DZ1918&lt;&gt;"",1,0)+IF(EB1918&lt;&gt;"",1,0)+IF(EC1918&lt;&gt;"",1,0)+IF(ED1918&lt;&gt;"",1,0)+IF(EG1918&lt;&gt;"",1,0)+IF(EH1918&lt;&gt;"",1,0)</f>
        <v/>
      </c>
      <c r="AZ1918">
        <f>IF(EH1918&lt;&gt;"",1,0)</f>
        <v/>
      </c>
      <c r="BB1918" t="inlineStr">
        <is>
          <t>WARREN-WARD 4</t>
        </is>
      </c>
      <c r="DC1918" t="inlineStr">
        <is>
          <t>X</t>
        </is>
      </c>
    </row>
    <row r="1919">
      <c r="A1919" t="inlineStr">
        <is>
          <t>OH0020180828</t>
        </is>
      </c>
      <c r="B1919" t="n">
        <v>78</v>
      </c>
      <c r="C1919" t="n">
        <v>363801</v>
      </c>
      <c r="D1919" t="inlineStr">
        <is>
          <t>POOLE</t>
        </is>
      </c>
      <c r="E1919" t="inlineStr">
        <is>
          <t>JERMAINE</t>
        </is>
      </c>
      <c r="F1919">
        <f>CONCATENATE(D1919," ",LEFT(H1919,4),"T=",AU1919,"D=",AV1919,"R=",AW1919,"M=",AX1919,"L=",AY1919,"B=",AZ1919)</f>
        <v/>
      </c>
      <c r="G1919" t="inlineStr">
        <is>
          <t>D</t>
        </is>
      </c>
      <c r="I1919" t="inlineStr">
        <is>
          <t>1977-01-04</t>
        </is>
      </c>
      <c r="J1919" t="inlineStr">
        <is>
          <t>2018-09-21</t>
        </is>
      </c>
      <c r="K1919" t="inlineStr">
        <is>
          <t>ACTIVE</t>
        </is>
      </c>
      <c r="M1919" t="inlineStr">
        <is>
          <t>828 PAIGE AVE NE</t>
        </is>
      </c>
      <c r="N1919">
        <f>RIGHT(M1919,LEN(M1919)-FIND(" ",M1919))</f>
        <v/>
      </c>
      <c r="P1919" t="inlineStr">
        <is>
          <t>WARREN</t>
        </is>
      </c>
      <c r="Q1919" t="inlineStr">
        <is>
          <t>OH</t>
        </is>
      </c>
      <c r="R1919" t="n">
        <v>44483</v>
      </c>
      <c r="AD1919" t="inlineStr">
        <is>
          <t>TRUMBULL CAREER &amp; TECH CENTER</t>
        </is>
      </c>
      <c r="AE1919" t="inlineStr">
        <is>
          <t>WARREN CITY</t>
        </is>
      </c>
      <c r="AF1919" t="inlineStr">
        <is>
          <t>WARREN CITY SD</t>
        </is>
      </c>
      <c r="AH1919" t="n">
        <v>14</v>
      </c>
      <c r="AI1919" t="n">
        <v>11</v>
      </c>
      <c r="AN1919" t="inlineStr">
        <is>
          <t>WARREN</t>
        </is>
      </c>
      <c r="AO1919" t="inlineStr">
        <is>
          <t>WARREN CITY 4D</t>
        </is>
      </c>
      <c r="AP1919" t="inlineStr">
        <is>
          <t>78-P-ADL</t>
        </is>
      </c>
      <c r="AQ1919" t="n">
        <v>9</v>
      </c>
      <c r="AR1919" t="n">
        <v>64</v>
      </c>
      <c r="AS1919" t="n">
        <v>32</v>
      </c>
      <c r="AU1919">
        <f>COUNTA($BA$1919:$EH$1919)</f>
        <v/>
      </c>
      <c r="AV1919">
        <f>COUNTIF($BA$1919:$EH$1919,"D")</f>
        <v/>
      </c>
      <c r="AW1919">
        <f>COUNTIF($BA$1919:$EH$1919,"R")</f>
        <v/>
      </c>
      <c r="AX1919">
        <f>IF(BN1919="D",1,0)+IF(BO1919="D",1,0)+IF(BT1919="D",1,0)+IF(BU1919="D",1,0)+IF(BW1919="D",1,0)+IF(CC1919="D",1,0)+IF(CD1919="D",1,0)+IF(CE1919="D",1,0)+IF(CF1919="D",1,0)+IF(CL1919="D",1,0)+IF(CM1919="D",1,0)+IF(CQ1919="D",1,0)+IF(CR1919="D",1,0)+IF(CS1919="D",1,0)+IF(CW1919="D",1,0)+IF(CX1919="D",1,0)+IF(DD1919="D",1,0)+IF(DE1919="D",1,0)+IF(DJ1919="D",1,0)+IF(DK1919="D",1,0)+IF(DO1919="D",1,0)+IF(DP1919="D",1,0)+IF(DQ1919="D",1,0)+IF(DW1919="D",1,0)+IF(DZ1919="D",1,0)+IF(EH1919="D",1,0)</f>
        <v/>
      </c>
      <c r="AY1919">
        <f>IF(DJ1919&lt;&gt;"",1,0)+IF(DK1919&lt;&gt;"",1,0)+IF(DM1919&lt;&gt;"",1,0)+IF(DO1919&lt;&gt;"",1,0)+IF(DP1919&lt;&gt;"",1,0)+IF(DQ1919&lt;&gt;"",1,0)+IF(DS1919&lt;&gt;"",1,0)+IF(DT1919&lt;&gt;"",1,0)+IF(DV1919&lt;&gt;"",1,0)+IF(DW1919&lt;&gt;"",1,0)+IF(DX1919&lt;&gt;"",1,0)+IF(DY1919&lt;&gt;"",1,0)+IF(DZ1919&lt;&gt;"",1,0)+IF(EB1919&lt;&gt;"",1,0)+IF(EC1919&lt;&gt;"",1,0)+IF(ED1919&lt;&gt;"",1,0)+IF(EG1919&lt;&gt;"",1,0)+IF(EH1919&lt;&gt;"",1,0)</f>
        <v/>
      </c>
      <c r="AZ1919">
        <f>IF(EH1919&lt;&gt;"",1,0)</f>
        <v/>
      </c>
      <c r="BB1919" t="inlineStr">
        <is>
          <t>WARREN-WARD 4</t>
        </is>
      </c>
      <c r="CA1919" t="inlineStr">
        <is>
          <t>X</t>
        </is>
      </c>
    </row>
    <row r="1920">
      <c r="A1920" t="inlineStr">
        <is>
          <t>OH0020639570</t>
        </is>
      </c>
      <c r="B1920" t="n">
        <v>78</v>
      </c>
      <c r="C1920" t="n">
        <v>369487</v>
      </c>
      <c r="D1920" t="inlineStr">
        <is>
          <t>HUFFMAN</t>
        </is>
      </c>
      <c r="E1920" t="inlineStr">
        <is>
          <t>LAURA</t>
        </is>
      </c>
      <c r="F1920">
        <f>CONCATENATE(D1920," ",LEFT(H1920,4),"T=",AU1920,"D=",AV1920,"R=",AW1920,"M=",AX1920,"L=",AY1920,"B=",AZ1920)</f>
        <v/>
      </c>
      <c r="G1920" t="inlineStr">
        <is>
          <t>A</t>
        </is>
      </c>
      <c r="I1920" t="inlineStr">
        <is>
          <t>1982-08-25</t>
        </is>
      </c>
      <c r="J1920" t="inlineStr">
        <is>
          <t>2009-05-03</t>
        </is>
      </c>
      <c r="K1920" t="inlineStr">
        <is>
          <t>ACTIVE</t>
        </is>
      </c>
      <c r="M1920" t="inlineStr">
        <is>
          <t>283 LOWELL AVE NE</t>
        </is>
      </c>
      <c r="N1920">
        <f>RIGHT(M1920,LEN(M1920)-FIND(" ",M1920))</f>
        <v/>
      </c>
      <c r="P1920" t="inlineStr">
        <is>
          <t>WARREN</t>
        </is>
      </c>
      <c r="Q1920" t="inlineStr">
        <is>
          <t>OH</t>
        </is>
      </c>
      <c r="R1920" t="n">
        <v>44483</v>
      </c>
      <c r="AD1920" t="inlineStr">
        <is>
          <t>TRUMBULL CAREER &amp; TECH CENTER</t>
        </is>
      </c>
      <c r="AE1920" t="inlineStr">
        <is>
          <t>WARREN CITY</t>
        </is>
      </c>
      <c r="AF1920" t="inlineStr">
        <is>
          <t>WARREN CITY SD</t>
        </is>
      </c>
      <c r="AH1920" t="n">
        <v>14</v>
      </c>
      <c r="AI1920" t="n">
        <v>11</v>
      </c>
      <c r="AN1920" t="inlineStr">
        <is>
          <t>WARREN</t>
        </is>
      </c>
      <c r="AO1920" t="inlineStr">
        <is>
          <t>WARREN CITY 4D</t>
        </is>
      </c>
      <c r="AP1920" t="inlineStr">
        <is>
          <t>78-P-ADL</t>
        </is>
      </c>
      <c r="AQ1920" t="n">
        <v>9</v>
      </c>
      <c r="AR1920" t="n">
        <v>64</v>
      </c>
      <c r="AS1920" t="n">
        <v>32</v>
      </c>
      <c r="AU1920">
        <f>COUNTA($BA$1920:$EH$1920)</f>
        <v/>
      </c>
      <c r="AV1920">
        <f>COUNTIF($BA$1920:$EH$1920,"D")</f>
        <v/>
      </c>
      <c r="AW1920">
        <f>COUNTIF($BA$1920:$EH$1920,"R")</f>
        <v/>
      </c>
      <c r="AX1920">
        <f>IF(BN1920="D",1,0)+IF(BO1920="D",1,0)+IF(BT1920="D",1,0)+IF(BU1920="D",1,0)+IF(BW1920="D",1,0)+IF(CC1920="D",1,0)+IF(CD1920="D",1,0)+IF(CE1920="D",1,0)+IF(CF1920="D",1,0)+IF(CL1920="D",1,0)+IF(CM1920="D",1,0)+IF(CQ1920="D",1,0)+IF(CR1920="D",1,0)+IF(CS1920="D",1,0)+IF(CW1920="D",1,0)+IF(CX1920="D",1,0)+IF(DD1920="D",1,0)+IF(DE1920="D",1,0)+IF(DJ1920="D",1,0)+IF(DK1920="D",1,0)+IF(DO1920="D",1,0)+IF(DP1920="D",1,0)+IF(DQ1920="D",1,0)+IF(DW1920="D",1,0)+IF(DZ1920="D",1,0)+IF(EH1920="D",1,0)</f>
        <v/>
      </c>
      <c r="AY1920">
        <f>IF(DJ1920&lt;&gt;"",1,0)+IF(DK1920&lt;&gt;"",1,0)+IF(DM1920&lt;&gt;"",1,0)+IF(DO1920&lt;&gt;"",1,0)+IF(DP1920&lt;&gt;"",1,0)+IF(DQ1920&lt;&gt;"",1,0)+IF(DS1920&lt;&gt;"",1,0)+IF(DT1920&lt;&gt;"",1,0)+IF(DV1920&lt;&gt;"",1,0)+IF(DW1920&lt;&gt;"",1,0)+IF(DX1920&lt;&gt;"",1,0)+IF(DY1920&lt;&gt;"",1,0)+IF(DZ1920&lt;&gt;"",1,0)+IF(EB1920&lt;&gt;"",1,0)+IF(EC1920&lt;&gt;"",1,0)+IF(ED1920&lt;&gt;"",1,0)+IF(EG1920&lt;&gt;"",1,0)+IF(EH1920&lt;&gt;"",1,0)</f>
        <v/>
      </c>
      <c r="AZ1920">
        <f>IF(EH1920&lt;&gt;"",1,0)</f>
        <v/>
      </c>
      <c r="BB1920" t="inlineStr">
        <is>
          <t>WARREN-WARD 4</t>
        </is>
      </c>
      <c r="BS1920" t="inlineStr">
        <is>
          <t>X</t>
        </is>
      </c>
      <c r="CP1920" t="inlineStr">
        <is>
          <t>X</t>
        </is>
      </c>
      <c r="CT1920" t="inlineStr">
        <is>
          <t>X</t>
        </is>
      </c>
      <c r="DC1920" t="inlineStr">
        <is>
          <t>X</t>
        </is>
      </c>
      <c r="DN1920" t="inlineStr">
        <is>
          <t>X</t>
        </is>
      </c>
      <c r="EF1920" t="inlineStr">
        <is>
          <t>X</t>
        </is>
      </c>
    </row>
    <row r="1921">
      <c r="A1921" t="inlineStr">
        <is>
          <t>OH0023152246</t>
        </is>
      </c>
      <c r="B1921" t="n">
        <v>78</v>
      </c>
      <c r="C1921" t="n">
        <v>407681</v>
      </c>
      <c r="D1921" t="inlineStr">
        <is>
          <t>PETERMAN</t>
        </is>
      </c>
      <c r="E1921" t="inlineStr">
        <is>
          <t>ESTILL</t>
        </is>
      </c>
      <c r="F1921">
        <f>CONCATENATE(D1921," ",LEFT(H1921,4),"T=",AU1921,"D=",AV1921,"R=",AW1921,"M=",AX1921,"L=",AY1921,"B=",AZ1921)</f>
        <v/>
      </c>
      <c r="G1921" t="inlineStr">
        <is>
          <t>LEE</t>
        </is>
      </c>
      <c r="I1921" t="inlineStr">
        <is>
          <t>1967-01-15</t>
        </is>
      </c>
      <c r="J1921" t="inlineStr">
        <is>
          <t>2015-07-14</t>
        </is>
      </c>
      <c r="K1921" t="inlineStr">
        <is>
          <t>ACTIVE</t>
        </is>
      </c>
      <c r="M1921" t="inlineStr">
        <is>
          <t>406 PORTER ST NE</t>
        </is>
      </c>
      <c r="N1921">
        <f>RIGHT(M1921,LEN(M1921)-FIND(" ",M1921))</f>
        <v/>
      </c>
      <c r="P1921" t="inlineStr">
        <is>
          <t>WARREN</t>
        </is>
      </c>
      <c r="Q1921" t="inlineStr">
        <is>
          <t>OH</t>
        </is>
      </c>
      <c r="R1921" t="n">
        <v>44483</v>
      </c>
      <c r="AD1921" t="inlineStr">
        <is>
          <t>TRUMBULL CAREER &amp; TECH CENTER</t>
        </is>
      </c>
      <c r="AE1921" t="inlineStr">
        <is>
          <t>WARREN CITY</t>
        </is>
      </c>
      <c r="AF1921" t="inlineStr">
        <is>
          <t>WARREN CITY SD</t>
        </is>
      </c>
      <c r="AH1921" t="n">
        <v>14</v>
      </c>
      <c r="AI1921" t="n">
        <v>11</v>
      </c>
      <c r="AN1921" t="inlineStr">
        <is>
          <t>WARREN</t>
        </is>
      </c>
      <c r="AO1921" t="inlineStr">
        <is>
          <t>WARREN CITY 4D</t>
        </is>
      </c>
      <c r="AP1921" t="inlineStr">
        <is>
          <t>78-P-ADL</t>
        </is>
      </c>
      <c r="AQ1921" t="n">
        <v>9</v>
      </c>
      <c r="AR1921" t="n">
        <v>64</v>
      </c>
      <c r="AS1921" t="n">
        <v>32</v>
      </c>
      <c r="AU1921">
        <f>COUNTA($BA$1921:$EH$1921)</f>
        <v/>
      </c>
      <c r="AV1921">
        <f>COUNTIF($BA$1921:$EH$1921,"D")</f>
        <v/>
      </c>
      <c r="AW1921">
        <f>COUNTIF($BA$1921:$EH$1921,"R")</f>
        <v/>
      </c>
      <c r="AX1921">
        <f>IF(BN1921="D",1,0)+IF(BO1921="D",1,0)+IF(BT1921="D",1,0)+IF(BU1921="D",1,0)+IF(BW1921="D",1,0)+IF(CC1921="D",1,0)+IF(CD1921="D",1,0)+IF(CE1921="D",1,0)+IF(CF1921="D",1,0)+IF(CL1921="D",1,0)+IF(CM1921="D",1,0)+IF(CQ1921="D",1,0)+IF(CR1921="D",1,0)+IF(CS1921="D",1,0)+IF(CW1921="D",1,0)+IF(CX1921="D",1,0)+IF(DD1921="D",1,0)+IF(DE1921="D",1,0)+IF(DJ1921="D",1,0)+IF(DK1921="D",1,0)+IF(DO1921="D",1,0)+IF(DP1921="D",1,0)+IF(DQ1921="D",1,0)+IF(DW1921="D",1,0)+IF(DZ1921="D",1,0)+IF(EH1921="D",1,0)</f>
        <v/>
      </c>
      <c r="AY1921">
        <f>IF(DJ1921&lt;&gt;"",1,0)+IF(DK1921&lt;&gt;"",1,0)+IF(DM1921&lt;&gt;"",1,0)+IF(DO1921&lt;&gt;"",1,0)+IF(DP1921&lt;&gt;"",1,0)+IF(DQ1921&lt;&gt;"",1,0)+IF(DS1921&lt;&gt;"",1,0)+IF(DT1921&lt;&gt;"",1,0)+IF(DV1921&lt;&gt;"",1,0)+IF(DW1921&lt;&gt;"",1,0)+IF(DX1921&lt;&gt;"",1,0)+IF(DY1921&lt;&gt;"",1,0)+IF(DZ1921&lt;&gt;"",1,0)+IF(EB1921&lt;&gt;"",1,0)+IF(EC1921&lt;&gt;"",1,0)+IF(ED1921&lt;&gt;"",1,0)+IF(EG1921&lt;&gt;"",1,0)+IF(EH1921&lt;&gt;"",1,0)</f>
        <v/>
      </c>
      <c r="AZ1921">
        <f>IF(EH1921&lt;&gt;"",1,0)</f>
        <v/>
      </c>
      <c r="BB1921" t="inlineStr">
        <is>
          <t>WARREN-WARD 4</t>
        </is>
      </c>
    </row>
    <row r="1922">
      <c r="A1922" t="inlineStr">
        <is>
          <t>OH0025717013</t>
        </is>
      </c>
      <c r="B1922" t="n">
        <v>78</v>
      </c>
      <c r="C1922" t="n">
        <v>449124</v>
      </c>
      <c r="D1922" t="inlineStr">
        <is>
          <t>WILLIAMSON</t>
        </is>
      </c>
      <c r="E1922" t="inlineStr">
        <is>
          <t>MARQUIS</t>
        </is>
      </c>
      <c r="F1922">
        <f>CONCATENATE(D1922," ",LEFT(H1922,4),"T=",AU1922,"D=",AV1922,"R=",AW1922,"M=",AX1922,"L=",AY1922,"B=",AZ1922)</f>
        <v/>
      </c>
      <c r="G1922" t="inlineStr">
        <is>
          <t>T</t>
        </is>
      </c>
      <c r="I1922" t="inlineStr">
        <is>
          <t>1993-10-15</t>
        </is>
      </c>
      <c r="J1922" t="inlineStr">
        <is>
          <t>2020-08-12</t>
        </is>
      </c>
      <c r="K1922" t="inlineStr">
        <is>
          <t>ACTIVE</t>
        </is>
      </c>
      <c r="M1922" t="inlineStr">
        <is>
          <t>532 N PARK AVE</t>
        </is>
      </c>
      <c r="N1922">
        <f>RIGHT(M1922,LEN(M1922)-FIND(" ",M1922))</f>
        <v/>
      </c>
      <c r="O1922" t="inlineStr">
        <is>
          <t>APT B</t>
        </is>
      </c>
      <c r="P1922" t="inlineStr">
        <is>
          <t>WARREN</t>
        </is>
      </c>
      <c r="Q1922" t="inlineStr">
        <is>
          <t>OH</t>
        </is>
      </c>
      <c r="R1922" t="n">
        <v>44481</v>
      </c>
      <c r="AD1922" t="inlineStr">
        <is>
          <t>TRUMBULL CAREER &amp; TECH CENTER</t>
        </is>
      </c>
      <c r="AE1922" t="inlineStr">
        <is>
          <t>WARREN CITY</t>
        </is>
      </c>
      <c r="AF1922" t="inlineStr">
        <is>
          <t>WARREN CITY SD</t>
        </is>
      </c>
      <c r="AH1922" t="n">
        <v>14</v>
      </c>
      <c r="AI1922" t="n">
        <v>11</v>
      </c>
      <c r="AN1922" t="inlineStr">
        <is>
          <t>WARREN</t>
        </is>
      </c>
      <c r="AO1922" t="inlineStr">
        <is>
          <t>WARREN CITY 4D</t>
        </is>
      </c>
      <c r="AP1922" t="inlineStr">
        <is>
          <t>78-P-ADL</t>
        </is>
      </c>
      <c r="AQ1922" t="n">
        <v>9</v>
      </c>
      <c r="AR1922" t="n">
        <v>64</v>
      </c>
      <c r="AS1922" t="n">
        <v>32</v>
      </c>
      <c r="AU1922">
        <f>COUNTA($BA$1922:$EH$1922)</f>
        <v/>
      </c>
      <c r="AV1922">
        <f>COUNTIF($BA$1922:$EH$1922,"D")</f>
        <v/>
      </c>
      <c r="AW1922">
        <f>COUNTIF($BA$1922:$EH$1922,"R")</f>
        <v/>
      </c>
      <c r="AX1922">
        <f>IF(BN1922="D",1,0)+IF(BO1922="D",1,0)+IF(BT1922="D",1,0)+IF(BU1922="D",1,0)+IF(BW1922="D",1,0)+IF(CC1922="D",1,0)+IF(CD1922="D",1,0)+IF(CE1922="D",1,0)+IF(CF1922="D",1,0)+IF(CL1922="D",1,0)+IF(CM1922="D",1,0)+IF(CQ1922="D",1,0)+IF(CR1922="D",1,0)+IF(CS1922="D",1,0)+IF(CW1922="D",1,0)+IF(CX1922="D",1,0)+IF(DD1922="D",1,0)+IF(DE1922="D",1,0)+IF(DJ1922="D",1,0)+IF(DK1922="D",1,0)+IF(DO1922="D",1,0)+IF(DP1922="D",1,0)+IF(DQ1922="D",1,0)+IF(DW1922="D",1,0)+IF(DZ1922="D",1,0)+IF(EH1922="D",1,0)</f>
        <v/>
      </c>
      <c r="AY1922">
        <f>IF(DJ1922&lt;&gt;"",1,0)+IF(DK1922&lt;&gt;"",1,0)+IF(DM1922&lt;&gt;"",1,0)+IF(DO1922&lt;&gt;"",1,0)+IF(DP1922&lt;&gt;"",1,0)+IF(DQ1922&lt;&gt;"",1,0)+IF(DS1922&lt;&gt;"",1,0)+IF(DT1922&lt;&gt;"",1,0)+IF(DV1922&lt;&gt;"",1,0)+IF(DW1922&lt;&gt;"",1,0)+IF(DX1922&lt;&gt;"",1,0)+IF(DY1922&lt;&gt;"",1,0)+IF(DZ1922&lt;&gt;"",1,0)+IF(EB1922&lt;&gt;"",1,0)+IF(EC1922&lt;&gt;"",1,0)+IF(ED1922&lt;&gt;"",1,0)+IF(EG1922&lt;&gt;"",1,0)+IF(EH1922&lt;&gt;"",1,0)</f>
        <v/>
      </c>
      <c r="AZ1922">
        <f>IF(EH1922&lt;&gt;"",1,0)</f>
        <v/>
      </c>
      <c r="BB1922" t="inlineStr">
        <is>
          <t>WARREN-WARD 4</t>
        </is>
      </c>
      <c r="CO1922" t="inlineStr">
        <is>
          <t>D</t>
        </is>
      </c>
      <c r="CP1922" t="inlineStr">
        <is>
          <t>X</t>
        </is>
      </c>
    </row>
    <row r="1923">
      <c r="A1923" t="inlineStr">
        <is>
          <t>OH0023640089</t>
        </is>
      </c>
      <c r="B1923" t="n">
        <v>78</v>
      </c>
      <c r="C1923" t="n">
        <v>415621</v>
      </c>
      <c r="D1923" t="inlineStr">
        <is>
          <t>ZIMMERMAN</t>
        </is>
      </c>
      <c r="E1923" t="inlineStr">
        <is>
          <t>CODY</t>
        </is>
      </c>
      <c r="F1923">
        <f>CONCATENATE(D1923," ",LEFT(H1923,4),"T=",AU1923,"D=",AV1923,"R=",AW1923,"M=",AX1923,"L=",AY1923,"B=",AZ1923)</f>
        <v/>
      </c>
      <c r="G1923" t="inlineStr">
        <is>
          <t>RAY</t>
        </is>
      </c>
      <c r="I1923" t="inlineStr">
        <is>
          <t>1997-05-13</t>
        </is>
      </c>
      <c r="J1923" t="inlineStr">
        <is>
          <t>2024-09-11</t>
        </is>
      </c>
      <c r="K1923" t="inlineStr">
        <is>
          <t>ACTIVE</t>
        </is>
      </c>
      <c r="M1923" t="inlineStr">
        <is>
          <t>312 LOGAN AVE NE</t>
        </is>
      </c>
      <c r="N1923">
        <f>RIGHT(M1923,LEN(M1923)-FIND(" ",M1923))</f>
        <v/>
      </c>
      <c r="P1923" t="inlineStr">
        <is>
          <t>WARREN</t>
        </is>
      </c>
      <c r="Q1923" t="inlineStr">
        <is>
          <t>OH</t>
        </is>
      </c>
      <c r="R1923" t="n">
        <v>44483</v>
      </c>
      <c r="AD1923" t="inlineStr">
        <is>
          <t>TRUMBULL CAREER &amp; TECH CENTER</t>
        </is>
      </c>
      <c r="AE1923" t="inlineStr">
        <is>
          <t>WARREN CITY</t>
        </is>
      </c>
      <c r="AF1923" t="inlineStr">
        <is>
          <t>WARREN CITY SD</t>
        </is>
      </c>
      <c r="AH1923" t="n">
        <v>14</v>
      </c>
      <c r="AI1923" t="n">
        <v>11</v>
      </c>
      <c r="AN1923" t="inlineStr">
        <is>
          <t>WARREN</t>
        </is>
      </c>
      <c r="AO1923" t="inlineStr">
        <is>
          <t>WARREN CITY 4D</t>
        </is>
      </c>
      <c r="AP1923" t="inlineStr">
        <is>
          <t>78-P-ADL</t>
        </is>
      </c>
      <c r="AQ1923" t="n">
        <v>9</v>
      </c>
      <c r="AR1923" t="n">
        <v>64</v>
      </c>
      <c r="AS1923" t="n">
        <v>32</v>
      </c>
      <c r="AU1923">
        <f>COUNTA($BA$1923:$EH$1923)</f>
        <v/>
      </c>
      <c r="AV1923">
        <f>COUNTIF($BA$1923:$EH$1923,"D")</f>
        <v/>
      </c>
      <c r="AW1923">
        <f>COUNTIF($BA$1923:$EH$1923,"R")</f>
        <v/>
      </c>
      <c r="AX1923">
        <f>IF(BN1923="D",1,0)+IF(BO1923="D",1,0)+IF(BT1923="D",1,0)+IF(BU1923="D",1,0)+IF(BW1923="D",1,0)+IF(CC1923="D",1,0)+IF(CD1923="D",1,0)+IF(CE1923="D",1,0)+IF(CF1923="D",1,0)+IF(CL1923="D",1,0)+IF(CM1923="D",1,0)+IF(CQ1923="D",1,0)+IF(CR1923="D",1,0)+IF(CS1923="D",1,0)+IF(CW1923="D",1,0)+IF(CX1923="D",1,0)+IF(DD1923="D",1,0)+IF(DE1923="D",1,0)+IF(DJ1923="D",1,0)+IF(DK1923="D",1,0)+IF(DO1923="D",1,0)+IF(DP1923="D",1,0)+IF(DQ1923="D",1,0)+IF(DW1923="D",1,0)+IF(DZ1923="D",1,0)+IF(EH1923="D",1,0)</f>
        <v/>
      </c>
      <c r="AY1923">
        <f>IF(DJ1923&lt;&gt;"",1,0)+IF(DK1923&lt;&gt;"",1,0)+IF(DM1923&lt;&gt;"",1,0)+IF(DO1923&lt;&gt;"",1,0)+IF(DP1923&lt;&gt;"",1,0)+IF(DQ1923&lt;&gt;"",1,0)+IF(DS1923&lt;&gt;"",1,0)+IF(DT1923&lt;&gt;"",1,0)+IF(DV1923&lt;&gt;"",1,0)+IF(DW1923&lt;&gt;"",1,0)+IF(DX1923&lt;&gt;"",1,0)+IF(DY1923&lt;&gt;"",1,0)+IF(DZ1923&lt;&gt;"",1,0)+IF(EB1923&lt;&gt;"",1,0)+IF(EC1923&lt;&gt;"",1,0)+IF(ED1923&lt;&gt;"",1,0)+IF(EG1923&lt;&gt;"",1,0)+IF(EH1923&lt;&gt;"",1,0)</f>
        <v/>
      </c>
      <c r="AZ1923">
        <f>IF(EH1923&lt;&gt;"",1,0)</f>
        <v/>
      </c>
      <c r="BB1923" t="inlineStr">
        <is>
          <t>WARREN-WARD 4</t>
        </is>
      </c>
      <c r="DN1923" t="inlineStr">
        <is>
          <t>X</t>
        </is>
      </c>
      <c r="EF1923" t="inlineStr">
        <is>
          <t>X</t>
        </is>
      </c>
    </row>
    <row r="1924">
      <c r="A1924" t="inlineStr">
        <is>
          <t>OH0024990298</t>
        </is>
      </c>
      <c r="B1924" t="n">
        <v>78</v>
      </c>
      <c r="C1924" t="n">
        <v>437355</v>
      </c>
      <c r="D1924" t="inlineStr">
        <is>
          <t>JORDAN</t>
        </is>
      </c>
      <c r="E1924" t="inlineStr">
        <is>
          <t>ROBINETTE</t>
        </is>
      </c>
      <c r="F1924">
        <f>CONCATENATE(D1924," ",LEFT(H1924,4),"T=",AU1924,"D=",AV1924,"R=",AW1924,"M=",AX1924,"L=",AY1924,"B=",AZ1924)</f>
        <v/>
      </c>
      <c r="G1924" t="inlineStr">
        <is>
          <t>L</t>
        </is>
      </c>
      <c r="I1924" t="inlineStr">
        <is>
          <t>1988-06-04</t>
        </is>
      </c>
      <c r="J1924" t="inlineStr">
        <is>
          <t>2024-11-04</t>
        </is>
      </c>
      <c r="K1924" t="inlineStr">
        <is>
          <t>ACTIVE</t>
        </is>
      </c>
      <c r="M1924" t="inlineStr">
        <is>
          <t>424 OLIVE AVE NE</t>
        </is>
      </c>
      <c r="N1924">
        <f>RIGHT(M1924,LEN(M1924)-FIND(" ",M1924))</f>
        <v/>
      </c>
      <c r="P1924" t="inlineStr">
        <is>
          <t>WARREN</t>
        </is>
      </c>
      <c r="Q1924" t="inlineStr">
        <is>
          <t>OH</t>
        </is>
      </c>
      <c r="R1924" t="n">
        <v>44483</v>
      </c>
      <c r="AD1924" t="inlineStr">
        <is>
          <t>TRUMBULL CAREER &amp; TECH CENTER</t>
        </is>
      </c>
      <c r="AE1924" t="inlineStr">
        <is>
          <t>WARREN CITY</t>
        </is>
      </c>
      <c r="AF1924" t="inlineStr">
        <is>
          <t>WARREN CITY SD</t>
        </is>
      </c>
      <c r="AH1924" t="n">
        <v>14</v>
      </c>
      <c r="AI1924" t="n">
        <v>11</v>
      </c>
      <c r="AN1924" t="inlineStr">
        <is>
          <t>WARREN</t>
        </is>
      </c>
      <c r="AO1924" t="inlineStr">
        <is>
          <t>WARREN CITY 4D</t>
        </is>
      </c>
      <c r="AP1924" t="inlineStr">
        <is>
          <t>78-P-ADL</t>
        </is>
      </c>
      <c r="AQ1924" t="n">
        <v>9</v>
      </c>
      <c r="AR1924" t="n">
        <v>64</v>
      </c>
      <c r="AS1924" t="n">
        <v>32</v>
      </c>
      <c r="AU1924">
        <f>COUNTA($BA$1924:$EH$1924)</f>
        <v/>
      </c>
      <c r="AV1924">
        <f>COUNTIF($BA$1924:$EH$1924,"D")</f>
        <v/>
      </c>
      <c r="AW1924">
        <f>COUNTIF($BA$1924:$EH$1924,"R")</f>
        <v/>
      </c>
      <c r="AX1924">
        <f>IF(BN1924="D",1,0)+IF(BO1924="D",1,0)+IF(BT1924="D",1,0)+IF(BU1924="D",1,0)+IF(BW1924="D",1,0)+IF(CC1924="D",1,0)+IF(CD1924="D",1,0)+IF(CE1924="D",1,0)+IF(CF1924="D",1,0)+IF(CL1924="D",1,0)+IF(CM1924="D",1,0)+IF(CQ1924="D",1,0)+IF(CR1924="D",1,0)+IF(CS1924="D",1,0)+IF(CW1924="D",1,0)+IF(CX1924="D",1,0)+IF(DD1924="D",1,0)+IF(DE1924="D",1,0)+IF(DJ1924="D",1,0)+IF(DK1924="D",1,0)+IF(DO1924="D",1,0)+IF(DP1924="D",1,0)+IF(DQ1924="D",1,0)+IF(DW1924="D",1,0)+IF(DZ1924="D",1,0)+IF(EH1924="D",1,0)</f>
        <v/>
      </c>
      <c r="AY1924">
        <f>IF(DJ1924&lt;&gt;"",1,0)+IF(DK1924&lt;&gt;"",1,0)+IF(DM1924&lt;&gt;"",1,0)+IF(DO1924&lt;&gt;"",1,0)+IF(DP1924&lt;&gt;"",1,0)+IF(DQ1924&lt;&gt;"",1,0)+IF(DS1924&lt;&gt;"",1,0)+IF(DT1924&lt;&gt;"",1,0)+IF(DV1924&lt;&gt;"",1,0)+IF(DW1924&lt;&gt;"",1,0)+IF(DX1924&lt;&gt;"",1,0)+IF(DY1924&lt;&gt;"",1,0)+IF(DZ1924&lt;&gt;"",1,0)+IF(EB1924&lt;&gt;"",1,0)+IF(EC1924&lt;&gt;"",1,0)+IF(ED1924&lt;&gt;"",1,0)+IF(EG1924&lt;&gt;"",1,0)+IF(EH1924&lt;&gt;"",1,0)</f>
        <v/>
      </c>
      <c r="AZ1924">
        <f>IF(EH1924&lt;&gt;"",1,0)</f>
        <v/>
      </c>
      <c r="BB1924" t="inlineStr">
        <is>
          <t>WARREN-WARD 4</t>
        </is>
      </c>
      <c r="DN1924" t="inlineStr">
        <is>
          <t>X</t>
        </is>
      </c>
    </row>
    <row r="1925">
      <c r="A1925" t="inlineStr">
        <is>
          <t>OH0023201083</t>
        </is>
      </c>
      <c r="B1925" t="n">
        <v>78</v>
      </c>
      <c r="C1925" t="n">
        <v>408437</v>
      </c>
      <c r="D1925" t="inlineStr">
        <is>
          <t>SUGAR</t>
        </is>
      </c>
      <c r="E1925" t="inlineStr">
        <is>
          <t>NIKKI</t>
        </is>
      </c>
      <c r="F1925">
        <f>CONCATENATE(D1925," ",LEFT(H1925,4),"T=",AU1925,"D=",AV1925,"R=",AW1925,"M=",AX1925,"L=",AY1925,"B=",AZ1925)</f>
        <v/>
      </c>
      <c r="G1925" t="inlineStr">
        <is>
          <t>LOUISE</t>
        </is>
      </c>
      <c r="I1925" t="inlineStr">
        <is>
          <t>1973-04-08</t>
        </is>
      </c>
      <c r="J1925" t="inlineStr">
        <is>
          <t>2021-05-30</t>
        </is>
      </c>
      <c r="K1925" t="inlineStr">
        <is>
          <t>ACTIVE</t>
        </is>
      </c>
      <c r="M1925" t="inlineStr">
        <is>
          <t>146 LINDEN AVE NE</t>
        </is>
      </c>
      <c r="N1925">
        <f>RIGHT(M1925,LEN(M1925)-FIND(" ",M1925))</f>
        <v/>
      </c>
      <c r="P1925" t="inlineStr">
        <is>
          <t>WARREN</t>
        </is>
      </c>
      <c r="Q1925" t="inlineStr">
        <is>
          <t>OH</t>
        </is>
      </c>
      <c r="R1925" t="n">
        <v>44483</v>
      </c>
      <c r="AD1925" t="inlineStr">
        <is>
          <t>TRUMBULL CAREER &amp; TECH CENTER</t>
        </is>
      </c>
      <c r="AE1925" t="inlineStr">
        <is>
          <t>WARREN CITY</t>
        </is>
      </c>
      <c r="AF1925" t="inlineStr">
        <is>
          <t>WARREN CITY SD</t>
        </is>
      </c>
      <c r="AH1925" t="n">
        <v>14</v>
      </c>
      <c r="AI1925" t="n">
        <v>11</v>
      </c>
      <c r="AN1925" t="inlineStr">
        <is>
          <t>WARREN</t>
        </is>
      </c>
      <c r="AO1925" t="inlineStr">
        <is>
          <t>WARREN CITY 4D</t>
        </is>
      </c>
      <c r="AP1925" t="inlineStr">
        <is>
          <t>78-P-ADL</t>
        </is>
      </c>
      <c r="AQ1925" t="n">
        <v>9</v>
      </c>
      <c r="AR1925" t="n">
        <v>64</v>
      </c>
      <c r="AS1925" t="n">
        <v>32</v>
      </c>
      <c r="AU1925">
        <f>COUNTA($BA$1925:$EH$1925)</f>
        <v/>
      </c>
      <c r="AV1925">
        <f>COUNTIF($BA$1925:$EH$1925,"D")</f>
        <v/>
      </c>
      <c r="AW1925">
        <f>COUNTIF($BA$1925:$EH$1925,"R")</f>
        <v/>
      </c>
      <c r="AX1925">
        <f>IF(BN1925="D",1,0)+IF(BO1925="D",1,0)+IF(BT1925="D",1,0)+IF(BU1925="D",1,0)+IF(BW1925="D",1,0)+IF(CC1925="D",1,0)+IF(CD1925="D",1,0)+IF(CE1925="D",1,0)+IF(CF1925="D",1,0)+IF(CL1925="D",1,0)+IF(CM1925="D",1,0)+IF(CQ1925="D",1,0)+IF(CR1925="D",1,0)+IF(CS1925="D",1,0)+IF(CW1925="D",1,0)+IF(CX1925="D",1,0)+IF(DD1925="D",1,0)+IF(DE1925="D",1,0)+IF(DJ1925="D",1,0)+IF(DK1925="D",1,0)+IF(DO1925="D",1,0)+IF(DP1925="D",1,0)+IF(DQ1925="D",1,0)+IF(DW1925="D",1,0)+IF(DZ1925="D",1,0)+IF(EH1925="D",1,0)</f>
        <v/>
      </c>
      <c r="AY1925">
        <f>IF(DJ1925&lt;&gt;"",1,0)+IF(DK1925&lt;&gt;"",1,0)+IF(DM1925&lt;&gt;"",1,0)+IF(DO1925&lt;&gt;"",1,0)+IF(DP1925&lt;&gt;"",1,0)+IF(DQ1925&lt;&gt;"",1,0)+IF(DS1925&lt;&gt;"",1,0)+IF(DT1925&lt;&gt;"",1,0)+IF(DV1925&lt;&gt;"",1,0)+IF(DW1925&lt;&gt;"",1,0)+IF(DX1925&lt;&gt;"",1,0)+IF(DY1925&lt;&gt;"",1,0)+IF(DZ1925&lt;&gt;"",1,0)+IF(EB1925&lt;&gt;"",1,0)+IF(EC1925&lt;&gt;"",1,0)+IF(ED1925&lt;&gt;"",1,0)+IF(EG1925&lt;&gt;"",1,0)+IF(EH1925&lt;&gt;"",1,0)</f>
        <v/>
      </c>
      <c r="AZ1925">
        <f>IF(EH1925&lt;&gt;"",1,0)</f>
        <v/>
      </c>
      <c r="BB1925" t="inlineStr">
        <is>
          <t>WARREN-WARD 4</t>
        </is>
      </c>
    </row>
    <row r="1926">
      <c r="A1926" t="inlineStr">
        <is>
          <t>OH0021486320</t>
        </is>
      </c>
      <c r="B1926" t="n">
        <v>78</v>
      </c>
      <c r="C1926" t="n">
        <v>381780</v>
      </c>
      <c r="D1926" t="inlineStr">
        <is>
          <t>BRENT</t>
        </is>
      </c>
      <c r="E1926" t="inlineStr">
        <is>
          <t>JOY</t>
        </is>
      </c>
      <c r="F1926">
        <f>CONCATENATE(D1926," ",LEFT(H1926,4),"T=",AU1926,"D=",AV1926,"R=",AW1926,"M=",AX1926,"L=",AY1926,"B=",AZ1926)</f>
        <v/>
      </c>
      <c r="G1926" t="inlineStr">
        <is>
          <t>M</t>
        </is>
      </c>
      <c r="I1926" t="inlineStr">
        <is>
          <t>1973-11-20</t>
        </is>
      </c>
      <c r="J1926" t="inlineStr">
        <is>
          <t>2016-07-19</t>
        </is>
      </c>
      <c r="K1926" t="inlineStr">
        <is>
          <t>ACTIVE</t>
        </is>
      </c>
      <c r="L1926" t="inlineStr">
        <is>
          <t>D</t>
        </is>
      </c>
      <c r="M1926" t="inlineStr">
        <is>
          <t>454 WASHINGTON ST NE</t>
        </is>
      </c>
      <c r="N1926">
        <f>RIGHT(M1926,LEN(M1926)-FIND(" ",M1926))</f>
        <v/>
      </c>
      <c r="P1926" t="inlineStr">
        <is>
          <t>WARREN</t>
        </is>
      </c>
      <c r="Q1926" t="inlineStr">
        <is>
          <t>OH</t>
        </is>
      </c>
      <c r="R1926" t="n">
        <v>44483</v>
      </c>
      <c r="AD1926" t="inlineStr">
        <is>
          <t>TRUMBULL CAREER &amp; TECH CENTER</t>
        </is>
      </c>
      <c r="AE1926" t="inlineStr">
        <is>
          <t>WARREN CITY</t>
        </is>
      </c>
      <c r="AF1926" t="inlineStr">
        <is>
          <t>WARREN CITY SD</t>
        </is>
      </c>
      <c r="AH1926" t="n">
        <v>14</v>
      </c>
      <c r="AI1926" t="n">
        <v>11</v>
      </c>
      <c r="AN1926" t="inlineStr">
        <is>
          <t>WARREN</t>
        </is>
      </c>
      <c r="AO1926" t="inlineStr">
        <is>
          <t>WARREN CITY 4D</t>
        </is>
      </c>
      <c r="AP1926" t="inlineStr">
        <is>
          <t>78-P-ADL</t>
        </is>
      </c>
      <c r="AQ1926" t="n">
        <v>9</v>
      </c>
      <c r="AR1926" t="n">
        <v>64</v>
      </c>
      <c r="AS1926" t="n">
        <v>32</v>
      </c>
      <c r="AU1926">
        <f>COUNTA($BA$1926:$EH$1926)</f>
        <v/>
      </c>
      <c r="AV1926">
        <f>COUNTIF($BA$1926:$EH$1926,"D")</f>
        <v/>
      </c>
      <c r="AW1926">
        <f>COUNTIF($BA$1926:$EH$1926,"R")</f>
        <v/>
      </c>
      <c r="AX1926">
        <f>IF(BN1926="D",1,0)+IF(BO1926="D",1,0)+IF(BT1926="D",1,0)+IF(BU1926="D",1,0)+IF(BW1926="D",1,0)+IF(CC1926="D",1,0)+IF(CD1926="D",1,0)+IF(CE1926="D",1,0)+IF(CF1926="D",1,0)+IF(CL1926="D",1,0)+IF(CM1926="D",1,0)+IF(CQ1926="D",1,0)+IF(CR1926="D",1,0)+IF(CS1926="D",1,0)+IF(CW1926="D",1,0)+IF(CX1926="D",1,0)+IF(DD1926="D",1,0)+IF(DE1926="D",1,0)+IF(DJ1926="D",1,0)+IF(DK1926="D",1,0)+IF(DO1926="D",1,0)+IF(DP1926="D",1,0)+IF(DQ1926="D",1,0)+IF(DW1926="D",1,0)+IF(DZ1926="D",1,0)+IF(EH1926="D",1,0)</f>
        <v/>
      </c>
      <c r="AY1926">
        <f>IF(DJ1926&lt;&gt;"",1,0)+IF(DK1926&lt;&gt;"",1,0)+IF(DM1926&lt;&gt;"",1,0)+IF(DO1926&lt;&gt;"",1,0)+IF(DP1926&lt;&gt;"",1,0)+IF(DQ1926&lt;&gt;"",1,0)+IF(DS1926&lt;&gt;"",1,0)+IF(DT1926&lt;&gt;"",1,0)+IF(DV1926&lt;&gt;"",1,0)+IF(DW1926&lt;&gt;"",1,0)+IF(DX1926&lt;&gt;"",1,0)+IF(DY1926&lt;&gt;"",1,0)+IF(DZ1926&lt;&gt;"",1,0)+IF(EB1926&lt;&gt;"",1,0)+IF(EC1926&lt;&gt;"",1,0)+IF(ED1926&lt;&gt;"",1,0)+IF(EG1926&lt;&gt;"",1,0)+IF(EH1926&lt;&gt;"",1,0)</f>
        <v/>
      </c>
      <c r="AZ1926">
        <f>IF(EH1926&lt;&gt;"",1,0)</f>
        <v/>
      </c>
      <c r="BB1926" t="inlineStr">
        <is>
          <t>WARREN-WARD 4</t>
        </is>
      </c>
      <c r="CN1926" t="inlineStr">
        <is>
          <t>X</t>
        </is>
      </c>
      <c r="CP1926" t="inlineStr">
        <is>
          <t>X</t>
        </is>
      </c>
      <c r="CY1926" t="inlineStr">
        <is>
          <t>X</t>
        </is>
      </c>
      <c r="CZ1926" t="inlineStr">
        <is>
          <t>D</t>
        </is>
      </c>
      <c r="DL1926" t="inlineStr">
        <is>
          <t>X</t>
        </is>
      </c>
      <c r="DN1926" t="inlineStr">
        <is>
          <t>X</t>
        </is>
      </c>
      <c r="DR1926" t="inlineStr">
        <is>
          <t>X</t>
        </is>
      </c>
      <c r="DU1926" t="inlineStr">
        <is>
          <t>X</t>
        </is>
      </c>
      <c r="DW1926" t="inlineStr">
        <is>
          <t>D</t>
        </is>
      </c>
      <c r="DX1926" t="inlineStr">
        <is>
          <t>X</t>
        </is>
      </c>
      <c r="EA1926" t="inlineStr">
        <is>
          <t>X</t>
        </is>
      </c>
      <c r="EF1926" t="inlineStr">
        <is>
          <t>X</t>
        </is>
      </c>
    </row>
    <row r="1927">
      <c r="A1927" t="inlineStr">
        <is>
          <t>OH0022573906</t>
        </is>
      </c>
      <c r="B1927" t="n">
        <v>78</v>
      </c>
      <c r="C1927" t="n">
        <v>398555</v>
      </c>
      <c r="D1927" t="inlineStr">
        <is>
          <t>RIVERA</t>
        </is>
      </c>
      <c r="E1927" t="inlineStr">
        <is>
          <t>SARAFINA</t>
        </is>
      </c>
      <c r="F1927">
        <f>CONCATENATE(D1927," ",LEFT(H1927,4),"T=",AU1927,"D=",AV1927,"R=",AW1927,"M=",AX1927,"L=",AY1927,"B=",AZ1927)</f>
        <v/>
      </c>
      <c r="G1927" t="inlineStr">
        <is>
          <t>SAMONA</t>
        </is>
      </c>
      <c r="I1927" t="inlineStr">
        <is>
          <t>1995-01-24</t>
        </is>
      </c>
      <c r="J1927" t="inlineStr">
        <is>
          <t>2023-08-21</t>
        </is>
      </c>
      <c r="K1927" t="inlineStr">
        <is>
          <t>ACTIVE</t>
        </is>
      </c>
      <c r="M1927" t="inlineStr">
        <is>
          <t>322 LOGAN AVE NE</t>
        </is>
      </c>
      <c r="N1927">
        <f>RIGHT(M1927,LEN(M1927)-FIND(" ",M1927))</f>
        <v/>
      </c>
      <c r="P1927" t="inlineStr">
        <is>
          <t>WARREN</t>
        </is>
      </c>
      <c r="Q1927" t="inlineStr">
        <is>
          <t>OH</t>
        </is>
      </c>
      <c r="R1927" t="n">
        <v>44483</v>
      </c>
      <c r="AD1927" t="inlineStr">
        <is>
          <t>TRUMBULL CAREER &amp; TECH CENTER</t>
        </is>
      </c>
      <c r="AE1927" t="inlineStr">
        <is>
          <t>WARREN CITY</t>
        </is>
      </c>
      <c r="AF1927" t="inlineStr">
        <is>
          <t>WARREN CITY SD</t>
        </is>
      </c>
      <c r="AH1927" t="n">
        <v>14</v>
      </c>
      <c r="AI1927" t="n">
        <v>11</v>
      </c>
      <c r="AN1927" t="inlineStr">
        <is>
          <t>WARREN</t>
        </is>
      </c>
      <c r="AO1927" t="inlineStr">
        <is>
          <t>WARREN CITY 4D</t>
        </is>
      </c>
      <c r="AP1927" t="inlineStr">
        <is>
          <t>78-P-ADL</t>
        </is>
      </c>
      <c r="AQ1927" t="n">
        <v>9</v>
      </c>
      <c r="AR1927" t="n">
        <v>64</v>
      </c>
      <c r="AS1927" t="n">
        <v>32</v>
      </c>
      <c r="AU1927">
        <f>COUNTA($BA$1927:$EH$1927)</f>
        <v/>
      </c>
      <c r="AV1927">
        <f>COUNTIF($BA$1927:$EH$1927,"D")</f>
        <v/>
      </c>
      <c r="AW1927">
        <f>COUNTIF($BA$1927:$EH$1927,"R")</f>
        <v/>
      </c>
      <c r="AX1927">
        <f>IF(BN1927="D",1,0)+IF(BO1927="D",1,0)+IF(BT1927="D",1,0)+IF(BU1927="D",1,0)+IF(BW1927="D",1,0)+IF(CC1927="D",1,0)+IF(CD1927="D",1,0)+IF(CE1927="D",1,0)+IF(CF1927="D",1,0)+IF(CL1927="D",1,0)+IF(CM1927="D",1,0)+IF(CQ1927="D",1,0)+IF(CR1927="D",1,0)+IF(CS1927="D",1,0)+IF(CW1927="D",1,0)+IF(CX1927="D",1,0)+IF(DD1927="D",1,0)+IF(DE1927="D",1,0)+IF(DJ1927="D",1,0)+IF(DK1927="D",1,0)+IF(DO1927="D",1,0)+IF(DP1927="D",1,0)+IF(DQ1927="D",1,0)+IF(DW1927="D",1,0)+IF(DZ1927="D",1,0)+IF(EH1927="D",1,0)</f>
        <v/>
      </c>
      <c r="AY1927">
        <f>IF(DJ1927&lt;&gt;"",1,0)+IF(DK1927&lt;&gt;"",1,0)+IF(DM1927&lt;&gt;"",1,0)+IF(DO1927&lt;&gt;"",1,0)+IF(DP1927&lt;&gt;"",1,0)+IF(DQ1927&lt;&gt;"",1,0)+IF(DS1927&lt;&gt;"",1,0)+IF(DT1927&lt;&gt;"",1,0)+IF(DV1927&lt;&gt;"",1,0)+IF(DW1927&lt;&gt;"",1,0)+IF(DX1927&lt;&gt;"",1,0)+IF(DY1927&lt;&gt;"",1,0)+IF(DZ1927&lt;&gt;"",1,0)+IF(EB1927&lt;&gt;"",1,0)+IF(EC1927&lt;&gt;"",1,0)+IF(ED1927&lt;&gt;"",1,0)+IF(EG1927&lt;&gt;"",1,0)+IF(EH1927&lt;&gt;"",1,0)</f>
        <v/>
      </c>
      <c r="AZ1927">
        <f>IF(EH1927&lt;&gt;"",1,0)</f>
        <v/>
      </c>
      <c r="BB1927" t="inlineStr">
        <is>
          <t>WARREN-WARD 4</t>
        </is>
      </c>
    </row>
    <row r="1928">
      <c r="A1928" t="inlineStr">
        <is>
          <t>OH0023321298</t>
        </is>
      </c>
      <c r="B1928" t="n">
        <v>78</v>
      </c>
      <c r="C1928" t="n">
        <v>410075</v>
      </c>
      <c r="D1928" t="inlineStr">
        <is>
          <t>MAZZOLA</t>
        </is>
      </c>
      <c r="E1928" t="inlineStr">
        <is>
          <t>RUSSELL</t>
        </is>
      </c>
      <c r="F1928">
        <f>CONCATENATE(D1928," ",LEFT(H1928,4),"T=",AU1928,"D=",AV1928,"R=",AW1928,"M=",AX1928,"L=",AY1928,"B=",AZ1928)</f>
        <v/>
      </c>
      <c r="G1928" t="inlineStr">
        <is>
          <t>D</t>
        </is>
      </c>
      <c r="H1928" t="inlineStr">
        <is>
          <t>JR</t>
        </is>
      </c>
      <c r="I1928" t="inlineStr">
        <is>
          <t>1991-11-23</t>
        </is>
      </c>
      <c r="J1928" t="inlineStr">
        <is>
          <t>2015-09-29</t>
        </is>
      </c>
      <c r="K1928" t="inlineStr">
        <is>
          <t>CONFIRMATION</t>
        </is>
      </c>
      <c r="M1928" t="inlineStr">
        <is>
          <t>481 WAVERLY AVE NE</t>
        </is>
      </c>
      <c r="N1928">
        <f>RIGHT(M1928,LEN(M1928)-FIND(" ",M1928))</f>
        <v/>
      </c>
      <c r="P1928" t="inlineStr">
        <is>
          <t>WARREN</t>
        </is>
      </c>
      <c r="Q1928" t="inlineStr">
        <is>
          <t>OH</t>
        </is>
      </c>
      <c r="R1928" t="n">
        <v>44483</v>
      </c>
      <c r="AD1928" t="inlineStr">
        <is>
          <t>TRUMBULL CAREER &amp; TECH CENTER</t>
        </is>
      </c>
      <c r="AE1928" t="inlineStr">
        <is>
          <t>WARREN CITY</t>
        </is>
      </c>
      <c r="AF1928" t="inlineStr">
        <is>
          <t>WARREN CITY SD</t>
        </is>
      </c>
      <c r="AH1928" t="n">
        <v>14</v>
      </c>
      <c r="AI1928" t="n">
        <v>11</v>
      </c>
      <c r="AN1928" t="inlineStr">
        <is>
          <t>WARREN</t>
        </is>
      </c>
      <c r="AO1928" t="inlineStr">
        <is>
          <t>WARREN CITY 4D</t>
        </is>
      </c>
      <c r="AP1928" t="inlineStr">
        <is>
          <t>78-P-ADL</t>
        </is>
      </c>
      <c r="AQ1928" t="n">
        <v>9</v>
      </c>
      <c r="AR1928" t="n">
        <v>64</v>
      </c>
      <c r="AS1928" t="n">
        <v>32</v>
      </c>
      <c r="AU1928">
        <f>COUNTA($BA$1928:$EH$1928)</f>
        <v/>
      </c>
      <c r="AV1928">
        <f>COUNTIF($BA$1928:$EH$1928,"D")</f>
        <v/>
      </c>
      <c r="AW1928">
        <f>COUNTIF($BA$1928:$EH$1928,"R")</f>
        <v/>
      </c>
      <c r="AX1928">
        <f>IF(BN1928="D",1,0)+IF(BO1928="D",1,0)+IF(BT1928="D",1,0)+IF(BU1928="D",1,0)+IF(BW1928="D",1,0)+IF(CC1928="D",1,0)+IF(CD1928="D",1,0)+IF(CE1928="D",1,0)+IF(CF1928="D",1,0)+IF(CL1928="D",1,0)+IF(CM1928="D",1,0)+IF(CQ1928="D",1,0)+IF(CR1928="D",1,0)+IF(CS1928="D",1,0)+IF(CW1928="D",1,0)+IF(CX1928="D",1,0)+IF(DD1928="D",1,0)+IF(DE1928="D",1,0)+IF(DJ1928="D",1,0)+IF(DK1928="D",1,0)+IF(DO1928="D",1,0)+IF(DP1928="D",1,0)+IF(DQ1928="D",1,0)+IF(DW1928="D",1,0)+IF(DZ1928="D",1,0)+IF(EH1928="D",1,0)</f>
        <v/>
      </c>
      <c r="AY1928">
        <f>IF(DJ1928&lt;&gt;"",1,0)+IF(DK1928&lt;&gt;"",1,0)+IF(DM1928&lt;&gt;"",1,0)+IF(DO1928&lt;&gt;"",1,0)+IF(DP1928&lt;&gt;"",1,0)+IF(DQ1928&lt;&gt;"",1,0)+IF(DS1928&lt;&gt;"",1,0)+IF(DT1928&lt;&gt;"",1,0)+IF(DV1928&lt;&gt;"",1,0)+IF(DW1928&lt;&gt;"",1,0)+IF(DX1928&lt;&gt;"",1,0)+IF(DY1928&lt;&gt;"",1,0)+IF(DZ1928&lt;&gt;"",1,0)+IF(EB1928&lt;&gt;"",1,0)+IF(EC1928&lt;&gt;"",1,0)+IF(ED1928&lt;&gt;"",1,0)+IF(EG1928&lt;&gt;"",1,0)+IF(EH1928&lt;&gt;"",1,0)</f>
        <v/>
      </c>
      <c r="AZ1928">
        <f>IF(EH1928&lt;&gt;"",1,0)</f>
        <v/>
      </c>
      <c r="BB1928" t="inlineStr">
        <is>
          <t>WARREN-WARD 4</t>
        </is>
      </c>
    </row>
    <row r="1929">
      <c r="A1929" t="inlineStr">
        <is>
          <t>OH0025598799</t>
        </is>
      </c>
      <c r="B1929" t="n">
        <v>78</v>
      </c>
      <c r="C1929" t="n">
        <v>447071</v>
      </c>
      <c r="D1929" t="inlineStr">
        <is>
          <t>WALTERS</t>
        </is>
      </c>
      <c r="E1929" t="inlineStr">
        <is>
          <t>PRESCOTT</t>
        </is>
      </c>
      <c r="F1929">
        <f>CONCATENATE(D1929," ",LEFT(H1929,4),"T=",AU1929,"D=",AV1929,"R=",AW1929,"M=",AX1929,"L=",AY1929,"B=",AZ1929)</f>
        <v/>
      </c>
      <c r="G1929" t="inlineStr">
        <is>
          <t>ENNIS</t>
        </is>
      </c>
      <c r="I1929" t="inlineStr">
        <is>
          <t>1963-05-24</t>
        </is>
      </c>
      <c r="J1929" t="inlineStr">
        <is>
          <t>2020-06-26</t>
        </is>
      </c>
      <c r="K1929" t="inlineStr">
        <is>
          <t>ACTIVE</t>
        </is>
      </c>
      <c r="M1929" t="inlineStr">
        <is>
          <t>224 PORTER ST NE</t>
        </is>
      </c>
      <c r="N1929">
        <f>RIGHT(M1929,LEN(M1929)-FIND(" ",M1929))</f>
        <v/>
      </c>
      <c r="P1929" t="inlineStr">
        <is>
          <t>WARREN</t>
        </is>
      </c>
      <c r="Q1929" t="inlineStr">
        <is>
          <t>OH</t>
        </is>
      </c>
      <c r="R1929" t="n">
        <v>44483</v>
      </c>
      <c r="AD1929" t="inlineStr">
        <is>
          <t>TRUMBULL CAREER &amp; TECH CENTER</t>
        </is>
      </c>
      <c r="AE1929" t="inlineStr">
        <is>
          <t>WARREN CITY</t>
        </is>
      </c>
      <c r="AF1929" t="inlineStr">
        <is>
          <t>WARREN CITY SD</t>
        </is>
      </c>
      <c r="AH1929" t="n">
        <v>14</v>
      </c>
      <c r="AI1929" t="n">
        <v>11</v>
      </c>
      <c r="AN1929" t="inlineStr">
        <is>
          <t>WARREN</t>
        </is>
      </c>
      <c r="AO1929" t="inlineStr">
        <is>
          <t>WARREN CITY 4D</t>
        </is>
      </c>
      <c r="AP1929" t="inlineStr">
        <is>
          <t>78-P-ADL</t>
        </is>
      </c>
      <c r="AQ1929" t="n">
        <v>9</v>
      </c>
      <c r="AR1929" t="n">
        <v>64</v>
      </c>
      <c r="AS1929" t="n">
        <v>32</v>
      </c>
      <c r="AU1929">
        <f>COUNTA($BA$1929:$EH$1929)</f>
        <v/>
      </c>
      <c r="AV1929">
        <f>COUNTIF($BA$1929:$EH$1929,"D")</f>
        <v/>
      </c>
      <c r="AW1929">
        <f>COUNTIF($BA$1929:$EH$1929,"R")</f>
        <v/>
      </c>
      <c r="AX1929">
        <f>IF(BN1929="D",1,0)+IF(BO1929="D",1,0)+IF(BT1929="D",1,0)+IF(BU1929="D",1,0)+IF(BW1929="D",1,0)+IF(CC1929="D",1,0)+IF(CD1929="D",1,0)+IF(CE1929="D",1,0)+IF(CF1929="D",1,0)+IF(CL1929="D",1,0)+IF(CM1929="D",1,0)+IF(CQ1929="D",1,0)+IF(CR1929="D",1,0)+IF(CS1929="D",1,0)+IF(CW1929="D",1,0)+IF(CX1929="D",1,0)+IF(DD1929="D",1,0)+IF(DE1929="D",1,0)+IF(DJ1929="D",1,0)+IF(DK1929="D",1,0)+IF(DO1929="D",1,0)+IF(DP1929="D",1,0)+IF(DQ1929="D",1,0)+IF(DW1929="D",1,0)+IF(DZ1929="D",1,0)+IF(EH1929="D",1,0)</f>
        <v/>
      </c>
      <c r="AY1929">
        <f>IF(DJ1929&lt;&gt;"",1,0)+IF(DK1929&lt;&gt;"",1,0)+IF(DM1929&lt;&gt;"",1,0)+IF(DO1929&lt;&gt;"",1,0)+IF(DP1929&lt;&gt;"",1,0)+IF(DQ1929&lt;&gt;"",1,0)+IF(DS1929&lt;&gt;"",1,0)+IF(DT1929&lt;&gt;"",1,0)+IF(DV1929&lt;&gt;"",1,0)+IF(DW1929&lt;&gt;"",1,0)+IF(DX1929&lt;&gt;"",1,0)+IF(DY1929&lt;&gt;"",1,0)+IF(DZ1929&lt;&gt;"",1,0)+IF(EB1929&lt;&gt;"",1,0)+IF(EC1929&lt;&gt;"",1,0)+IF(ED1929&lt;&gt;"",1,0)+IF(EG1929&lt;&gt;"",1,0)+IF(EH1929&lt;&gt;"",1,0)</f>
        <v/>
      </c>
      <c r="AZ1929">
        <f>IF(EH1929&lt;&gt;"",1,0)</f>
        <v/>
      </c>
      <c r="BB1929" t="inlineStr">
        <is>
          <t>WARREN-WARD 4</t>
        </is>
      </c>
      <c r="DN1929" t="inlineStr">
        <is>
          <t>X</t>
        </is>
      </c>
      <c r="EF1929" t="inlineStr">
        <is>
          <t>X</t>
        </is>
      </c>
    </row>
    <row r="1930">
      <c r="A1930" t="inlineStr">
        <is>
          <t>OH0025582326</t>
        </is>
      </c>
      <c r="B1930" t="n">
        <v>78</v>
      </c>
      <c r="C1930" t="n">
        <v>446703</v>
      </c>
      <c r="D1930" t="inlineStr">
        <is>
          <t>SCHULER</t>
        </is>
      </c>
      <c r="E1930" t="inlineStr">
        <is>
          <t>MIRANDA</t>
        </is>
      </c>
      <c r="F1930">
        <f>CONCATENATE(D1930," ",LEFT(H1930,4),"T=",AU1930,"D=",AV1930,"R=",AW1930,"M=",AX1930,"L=",AY1930,"B=",AZ1930)</f>
        <v/>
      </c>
      <c r="G1930" t="inlineStr">
        <is>
          <t>MAE</t>
        </is>
      </c>
      <c r="I1930" t="inlineStr">
        <is>
          <t>2001-12-06</t>
        </is>
      </c>
      <c r="J1930" t="inlineStr">
        <is>
          <t>2020-03-04</t>
        </is>
      </c>
      <c r="K1930" t="inlineStr">
        <is>
          <t>CONFIRMATION</t>
        </is>
      </c>
      <c r="M1930" t="inlineStr">
        <is>
          <t>352 ELM RD NE</t>
        </is>
      </c>
      <c r="N1930">
        <f>RIGHT(M1930,LEN(M1930)-FIND(" ",M1930))</f>
        <v/>
      </c>
      <c r="P1930" t="inlineStr">
        <is>
          <t>WARREN</t>
        </is>
      </c>
      <c r="Q1930" t="inlineStr">
        <is>
          <t>OH</t>
        </is>
      </c>
      <c r="R1930" t="n">
        <v>44483</v>
      </c>
      <c r="AD1930" t="inlineStr">
        <is>
          <t>TRUMBULL CAREER &amp; TECH CENTER</t>
        </is>
      </c>
      <c r="AE1930" t="inlineStr">
        <is>
          <t>WARREN CITY</t>
        </is>
      </c>
      <c r="AF1930" t="inlineStr">
        <is>
          <t>WARREN CITY SD</t>
        </is>
      </c>
      <c r="AH1930" t="n">
        <v>14</v>
      </c>
      <c r="AI1930" t="n">
        <v>11</v>
      </c>
      <c r="AN1930" t="inlineStr">
        <is>
          <t>WARREN</t>
        </is>
      </c>
      <c r="AO1930" t="inlineStr">
        <is>
          <t>WARREN CITY 4D</t>
        </is>
      </c>
      <c r="AP1930" t="inlineStr">
        <is>
          <t>78-P-ADL</t>
        </is>
      </c>
      <c r="AQ1930" t="n">
        <v>9</v>
      </c>
      <c r="AR1930" t="n">
        <v>64</v>
      </c>
      <c r="AS1930" t="n">
        <v>32</v>
      </c>
      <c r="AU1930">
        <f>COUNTA($BA$1930:$EH$1930)</f>
        <v/>
      </c>
      <c r="AV1930">
        <f>COUNTIF($BA$1930:$EH$1930,"D")</f>
        <v/>
      </c>
      <c r="AW1930">
        <f>COUNTIF($BA$1930:$EH$1930,"R")</f>
        <v/>
      </c>
      <c r="AX1930">
        <f>IF(BN1930="D",1,0)+IF(BO1930="D",1,0)+IF(BT1930="D",1,0)+IF(BU1930="D",1,0)+IF(BW1930="D",1,0)+IF(CC1930="D",1,0)+IF(CD1930="D",1,0)+IF(CE1930="D",1,0)+IF(CF1930="D",1,0)+IF(CL1930="D",1,0)+IF(CM1930="D",1,0)+IF(CQ1930="D",1,0)+IF(CR1930="D",1,0)+IF(CS1930="D",1,0)+IF(CW1930="D",1,0)+IF(CX1930="D",1,0)+IF(DD1930="D",1,0)+IF(DE1930="D",1,0)+IF(DJ1930="D",1,0)+IF(DK1930="D",1,0)+IF(DO1930="D",1,0)+IF(DP1930="D",1,0)+IF(DQ1930="D",1,0)+IF(DW1930="D",1,0)+IF(DZ1930="D",1,0)+IF(EH1930="D",1,0)</f>
        <v/>
      </c>
      <c r="AY1930">
        <f>IF(DJ1930&lt;&gt;"",1,0)+IF(DK1930&lt;&gt;"",1,0)+IF(DM1930&lt;&gt;"",1,0)+IF(DO1930&lt;&gt;"",1,0)+IF(DP1930&lt;&gt;"",1,0)+IF(DQ1930&lt;&gt;"",1,0)+IF(DS1930&lt;&gt;"",1,0)+IF(DT1930&lt;&gt;"",1,0)+IF(DV1930&lt;&gt;"",1,0)+IF(DW1930&lt;&gt;"",1,0)+IF(DX1930&lt;&gt;"",1,0)+IF(DY1930&lt;&gt;"",1,0)+IF(DZ1930&lt;&gt;"",1,0)+IF(EB1930&lt;&gt;"",1,0)+IF(EC1930&lt;&gt;"",1,0)+IF(ED1930&lt;&gt;"",1,0)+IF(EG1930&lt;&gt;"",1,0)+IF(EH1930&lt;&gt;"",1,0)</f>
        <v/>
      </c>
      <c r="AZ1930">
        <f>IF(EH1930&lt;&gt;"",1,0)</f>
        <v/>
      </c>
      <c r="BB1930" t="inlineStr">
        <is>
          <t>WARREN-WARD 4</t>
        </is>
      </c>
    </row>
    <row r="1931">
      <c r="A1931" t="inlineStr">
        <is>
          <t>OH0015749262</t>
        </is>
      </c>
      <c r="B1931" t="n">
        <v>78</v>
      </c>
      <c r="C1931" t="n">
        <v>235807</v>
      </c>
      <c r="D1931" t="inlineStr">
        <is>
          <t>GATES</t>
        </is>
      </c>
      <c r="E1931" t="inlineStr">
        <is>
          <t>GREG</t>
        </is>
      </c>
      <c r="F1931">
        <f>CONCATENATE(D1931," ",LEFT(H1931,4),"T=",AU1931,"D=",AV1931,"R=",AW1931,"M=",AX1931,"L=",AY1931,"B=",AZ1931)</f>
        <v/>
      </c>
      <c r="G1931" t="inlineStr">
        <is>
          <t>A</t>
        </is>
      </c>
      <c r="I1931" t="inlineStr">
        <is>
          <t>1966-04-17</t>
        </is>
      </c>
      <c r="J1931" t="inlineStr">
        <is>
          <t>2013-04-12</t>
        </is>
      </c>
      <c r="K1931" t="inlineStr">
        <is>
          <t>CONFIRMATION</t>
        </is>
      </c>
      <c r="M1931" t="inlineStr">
        <is>
          <t>235 PORTER ST NE</t>
        </is>
      </c>
      <c r="N1931">
        <f>RIGHT(M1931,LEN(M1931)-FIND(" ",M1931))</f>
        <v/>
      </c>
      <c r="P1931" t="inlineStr">
        <is>
          <t>WARREN</t>
        </is>
      </c>
      <c r="Q1931" t="inlineStr">
        <is>
          <t>OH</t>
        </is>
      </c>
      <c r="R1931" t="n">
        <v>44483</v>
      </c>
      <c r="AD1931" t="inlineStr">
        <is>
          <t>TRUMBULL CAREER &amp; TECH CENTER</t>
        </is>
      </c>
      <c r="AE1931" t="inlineStr">
        <is>
          <t>WARREN CITY</t>
        </is>
      </c>
      <c r="AF1931" t="inlineStr">
        <is>
          <t>WARREN CITY SD</t>
        </is>
      </c>
      <c r="AH1931" t="n">
        <v>14</v>
      </c>
      <c r="AI1931" t="n">
        <v>11</v>
      </c>
      <c r="AN1931" t="inlineStr">
        <is>
          <t>WARREN</t>
        </is>
      </c>
      <c r="AO1931" t="inlineStr">
        <is>
          <t>WARREN CITY 4D</t>
        </is>
      </c>
      <c r="AP1931" t="inlineStr">
        <is>
          <t>78-P-ADL</t>
        </is>
      </c>
      <c r="AQ1931" t="n">
        <v>9</v>
      </c>
      <c r="AR1931" t="n">
        <v>64</v>
      </c>
      <c r="AS1931" t="n">
        <v>32</v>
      </c>
      <c r="AU1931">
        <f>COUNTA($BA$1931:$EH$1931)</f>
        <v/>
      </c>
      <c r="AV1931">
        <f>COUNTIF($BA$1931:$EH$1931,"D")</f>
        <v/>
      </c>
      <c r="AW1931">
        <f>COUNTIF($BA$1931:$EH$1931,"R")</f>
        <v/>
      </c>
      <c r="AX1931">
        <f>IF(BN1931="D",1,0)+IF(BO1931="D",1,0)+IF(BT1931="D",1,0)+IF(BU1931="D",1,0)+IF(BW1931="D",1,0)+IF(CC1931="D",1,0)+IF(CD1931="D",1,0)+IF(CE1931="D",1,0)+IF(CF1931="D",1,0)+IF(CL1931="D",1,0)+IF(CM1931="D",1,0)+IF(CQ1931="D",1,0)+IF(CR1931="D",1,0)+IF(CS1931="D",1,0)+IF(CW1931="D",1,0)+IF(CX1931="D",1,0)+IF(DD1931="D",1,0)+IF(DE1931="D",1,0)+IF(DJ1931="D",1,0)+IF(DK1931="D",1,0)+IF(DO1931="D",1,0)+IF(DP1931="D",1,0)+IF(DQ1931="D",1,0)+IF(DW1931="D",1,0)+IF(DZ1931="D",1,0)+IF(EH1931="D",1,0)</f>
        <v/>
      </c>
      <c r="AY1931">
        <f>IF(DJ1931&lt;&gt;"",1,0)+IF(DK1931&lt;&gt;"",1,0)+IF(DM1931&lt;&gt;"",1,0)+IF(DO1931&lt;&gt;"",1,0)+IF(DP1931&lt;&gt;"",1,0)+IF(DQ1931&lt;&gt;"",1,0)+IF(DS1931&lt;&gt;"",1,0)+IF(DT1931&lt;&gt;"",1,0)+IF(DV1931&lt;&gt;"",1,0)+IF(DW1931&lt;&gt;"",1,0)+IF(DX1931&lt;&gt;"",1,0)+IF(DY1931&lt;&gt;"",1,0)+IF(DZ1931&lt;&gt;"",1,0)+IF(EB1931&lt;&gt;"",1,0)+IF(EC1931&lt;&gt;"",1,0)+IF(ED1931&lt;&gt;"",1,0)+IF(EG1931&lt;&gt;"",1,0)+IF(EH1931&lt;&gt;"",1,0)</f>
        <v/>
      </c>
      <c r="AZ1931">
        <f>IF(EH1931&lt;&gt;"",1,0)</f>
        <v/>
      </c>
      <c r="BB1931" t="inlineStr">
        <is>
          <t>WARREN-WARD 4</t>
        </is>
      </c>
      <c r="BC1931" t="inlineStr">
        <is>
          <t>X</t>
        </is>
      </c>
      <c r="BD1931" t="inlineStr">
        <is>
          <t>X</t>
        </is>
      </c>
      <c r="BF1931" t="inlineStr">
        <is>
          <t>X</t>
        </is>
      </c>
      <c r="BG1931" t="inlineStr">
        <is>
          <t>X</t>
        </is>
      </c>
      <c r="BH1931" t="inlineStr">
        <is>
          <t>X</t>
        </is>
      </c>
      <c r="BJ1931" t="inlineStr">
        <is>
          <t>X</t>
        </is>
      </c>
      <c r="BK1931" t="inlineStr">
        <is>
          <t>X</t>
        </is>
      </c>
      <c r="BL1931" t="inlineStr">
        <is>
          <t>X</t>
        </is>
      </c>
      <c r="BP1931" t="inlineStr">
        <is>
          <t>X</t>
        </is>
      </c>
      <c r="BR1931" t="inlineStr">
        <is>
          <t>X</t>
        </is>
      </c>
      <c r="BS1931" t="inlineStr">
        <is>
          <t>X</t>
        </is>
      </c>
      <c r="BV1931" t="inlineStr">
        <is>
          <t>X</t>
        </is>
      </c>
      <c r="BY1931" t="inlineStr">
        <is>
          <t>D</t>
        </is>
      </c>
      <c r="CA1931" t="inlineStr">
        <is>
          <t>X</t>
        </is>
      </c>
      <c r="CG1931" t="inlineStr">
        <is>
          <t>X</t>
        </is>
      </c>
      <c r="CK1931" t="inlineStr">
        <is>
          <t>X</t>
        </is>
      </c>
      <c r="CL1931" t="inlineStr">
        <is>
          <t>D</t>
        </is>
      </c>
      <c r="CP1931" t="inlineStr">
        <is>
          <t>X</t>
        </is>
      </c>
    </row>
    <row r="1932">
      <c r="A1932" t="inlineStr">
        <is>
          <t>OH0019196121</t>
        </is>
      </c>
      <c r="B1932" t="n">
        <v>78</v>
      </c>
      <c r="C1932" t="n">
        <v>350643</v>
      </c>
      <c r="D1932" t="inlineStr">
        <is>
          <t>CASTLE</t>
        </is>
      </c>
      <c r="E1932" t="inlineStr">
        <is>
          <t>DANIEL</t>
        </is>
      </c>
      <c r="F1932">
        <f>CONCATENATE(D1932," ",LEFT(H1932,4),"T=",AU1932,"D=",AV1932,"R=",AW1932,"M=",AX1932,"L=",AY1932,"B=",AZ1932)</f>
        <v/>
      </c>
      <c r="G1932" t="inlineStr">
        <is>
          <t>JAMES</t>
        </is>
      </c>
      <c r="I1932" t="inlineStr">
        <is>
          <t>1988-12-24</t>
        </is>
      </c>
      <c r="J1932" t="inlineStr">
        <is>
          <t>2014-06-27</t>
        </is>
      </c>
      <c r="K1932" t="inlineStr">
        <is>
          <t>ACTIVE</t>
        </is>
      </c>
      <c r="M1932" t="inlineStr">
        <is>
          <t>429 LAIRD AVE NE</t>
        </is>
      </c>
      <c r="N1932">
        <f>RIGHT(M1932,LEN(M1932)-FIND(" ",M1932))</f>
        <v/>
      </c>
      <c r="P1932" t="inlineStr">
        <is>
          <t>WARREN</t>
        </is>
      </c>
      <c r="Q1932" t="inlineStr">
        <is>
          <t>OH</t>
        </is>
      </c>
      <c r="R1932" t="n">
        <v>44483</v>
      </c>
      <c r="AD1932" t="inlineStr">
        <is>
          <t>TRUMBULL CAREER &amp; TECH CENTER</t>
        </is>
      </c>
      <c r="AE1932" t="inlineStr">
        <is>
          <t>WARREN CITY</t>
        </is>
      </c>
      <c r="AF1932" t="inlineStr">
        <is>
          <t>WARREN CITY SD</t>
        </is>
      </c>
      <c r="AH1932" t="n">
        <v>14</v>
      </c>
      <c r="AI1932" t="n">
        <v>11</v>
      </c>
      <c r="AN1932" t="inlineStr">
        <is>
          <t>WARREN</t>
        </is>
      </c>
      <c r="AO1932" t="inlineStr">
        <is>
          <t>WARREN CITY 4D</t>
        </is>
      </c>
      <c r="AP1932" t="inlineStr">
        <is>
          <t>78-P-ADL</t>
        </is>
      </c>
      <c r="AQ1932" t="n">
        <v>9</v>
      </c>
      <c r="AR1932" t="n">
        <v>64</v>
      </c>
      <c r="AS1932" t="n">
        <v>32</v>
      </c>
      <c r="AU1932">
        <f>COUNTA($BA$1932:$EH$1932)</f>
        <v/>
      </c>
      <c r="AV1932">
        <f>COUNTIF($BA$1932:$EH$1932,"D")</f>
        <v/>
      </c>
      <c r="AW1932">
        <f>COUNTIF($BA$1932:$EH$1932,"R")</f>
        <v/>
      </c>
      <c r="AX1932">
        <f>IF(BN1932="D",1,0)+IF(BO1932="D",1,0)+IF(BT1932="D",1,0)+IF(BU1932="D",1,0)+IF(BW1932="D",1,0)+IF(CC1932="D",1,0)+IF(CD1932="D",1,0)+IF(CE1932="D",1,0)+IF(CF1932="D",1,0)+IF(CL1932="D",1,0)+IF(CM1932="D",1,0)+IF(CQ1932="D",1,0)+IF(CR1932="D",1,0)+IF(CS1932="D",1,0)+IF(CW1932="D",1,0)+IF(CX1932="D",1,0)+IF(DD1932="D",1,0)+IF(DE1932="D",1,0)+IF(DJ1932="D",1,0)+IF(DK1932="D",1,0)+IF(DO1932="D",1,0)+IF(DP1932="D",1,0)+IF(DQ1932="D",1,0)+IF(DW1932="D",1,0)+IF(DZ1932="D",1,0)+IF(EH1932="D",1,0)</f>
        <v/>
      </c>
      <c r="AY1932">
        <f>IF(DJ1932&lt;&gt;"",1,0)+IF(DK1932&lt;&gt;"",1,0)+IF(DM1932&lt;&gt;"",1,0)+IF(DO1932&lt;&gt;"",1,0)+IF(DP1932&lt;&gt;"",1,0)+IF(DQ1932&lt;&gt;"",1,0)+IF(DS1932&lt;&gt;"",1,0)+IF(DT1932&lt;&gt;"",1,0)+IF(DV1932&lt;&gt;"",1,0)+IF(DW1932&lt;&gt;"",1,0)+IF(DX1932&lt;&gt;"",1,0)+IF(DY1932&lt;&gt;"",1,0)+IF(DZ1932&lt;&gt;"",1,0)+IF(EB1932&lt;&gt;"",1,0)+IF(EC1932&lt;&gt;"",1,0)+IF(ED1932&lt;&gt;"",1,0)+IF(EG1932&lt;&gt;"",1,0)+IF(EH1932&lt;&gt;"",1,0)</f>
        <v/>
      </c>
      <c r="AZ1932">
        <f>IF(EH1932&lt;&gt;"",1,0)</f>
        <v/>
      </c>
      <c r="BB1932" t="inlineStr">
        <is>
          <t>WARREN-WARD 4</t>
        </is>
      </c>
      <c r="DN1932" t="inlineStr">
        <is>
          <t>X</t>
        </is>
      </c>
      <c r="EF1932" t="inlineStr">
        <is>
          <t>X</t>
        </is>
      </c>
    </row>
    <row r="1933">
      <c r="A1933" t="inlineStr">
        <is>
          <t>OH0026844947</t>
        </is>
      </c>
      <c r="B1933" t="n">
        <v>78</v>
      </c>
      <c r="C1933" t="n">
        <v>472344</v>
      </c>
      <c r="D1933" t="inlineStr">
        <is>
          <t>OBERBECK</t>
        </is>
      </c>
      <c r="E1933" t="inlineStr">
        <is>
          <t>JENNIFER</t>
        </is>
      </c>
      <c r="F1933">
        <f>CONCATENATE(D1933," ",LEFT(H1933,4),"T=",AU1933,"D=",AV1933,"R=",AW1933,"M=",AX1933,"L=",AY1933,"B=",AZ1933)</f>
        <v/>
      </c>
      <c r="G1933" t="inlineStr">
        <is>
          <t>LYNN</t>
        </is>
      </c>
      <c r="I1933" t="inlineStr">
        <is>
          <t>1988-04-05</t>
        </is>
      </c>
      <c r="J1933" t="inlineStr">
        <is>
          <t>2023-03-16</t>
        </is>
      </c>
      <c r="K1933" t="inlineStr">
        <is>
          <t>ACTIVE</t>
        </is>
      </c>
      <c r="M1933" t="inlineStr">
        <is>
          <t>527 WASHINGTON ST NE</t>
        </is>
      </c>
      <c r="N1933">
        <f>RIGHT(M1933,LEN(M1933)-FIND(" ",M1933))</f>
        <v/>
      </c>
      <c r="P1933" t="inlineStr">
        <is>
          <t>WARREN</t>
        </is>
      </c>
      <c r="Q1933" t="inlineStr">
        <is>
          <t>OH</t>
        </is>
      </c>
      <c r="R1933" t="n">
        <v>44483</v>
      </c>
      <c r="AD1933" t="inlineStr">
        <is>
          <t>TRUMBULL CAREER &amp; TECH CENTER</t>
        </is>
      </c>
      <c r="AE1933" t="inlineStr">
        <is>
          <t>WARREN CITY</t>
        </is>
      </c>
      <c r="AF1933" t="inlineStr">
        <is>
          <t>WARREN CITY SD</t>
        </is>
      </c>
      <c r="AH1933" t="n">
        <v>14</v>
      </c>
      <c r="AI1933" t="n">
        <v>11</v>
      </c>
      <c r="AN1933" t="inlineStr">
        <is>
          <t>WARREN</t>
        </is>
      </c>
      <c r="AO1933" t="inlineStr">
        <is>
          <t>WARREN CITY 4D</t>
        </is>
      </c>
      <c r="AP1933" t="inlineStr">
        <is>
          <t>78-P-ADL</t>
        </is>
      </c>
      <c r="AQ1933" t="n">
        <v>9</v>
      </c>
      <c r="AR1933" t="n">
        <v>64</v>
      </c>
      <c r="AS1933" t="n">
        <v>32</v>
      </c>
      <c r="AU1933">
        <f>COUNTA($BA$1933:$EH$1933)</f>
        <v/>
      </c>
      <c r="AV1933">
        <f>COUNTIF($BA$1933:$EH$1933,"D")</f>
        <v/>
      </c>
      <c r="AW1933">
        <f>COUNTIF($BA$1933:$EH$1933,"R")</f>
        <v/>
      </c>
      <c r="AX1933">
        <f>IF(BN1933="D",1,0)+IF(BO1933="D",1,0)+IF(BT1933="D",1,0)+IF(BU1933="D",1,0)+IF(BW1933="D",1,0)+IF(CC1933="D",1,0)+IF(CD1933="D",1,0)+IF(CE1933="D",1,0)+IF(CF1933="D",1,0)+IF(CL1933="D",1,0)+IF(CM1933="D",1,0)+IF(CQ1933="D",1,0)+IF(CR1933="D",1,0)+IF(CS1933="D",1,0)+IF(CW1933="D",1,0)+IF(CX1933="D",1,0)+IF(DD1933="D",1,0)+IF(DE1933="D",1,0)+IF(DJ1933="D",1,0)+IF(DK1933="D",1,0)+IF(DO1933="D",1,0)+IF(DP1933="D",1,0)+IF(DQ1933="D",1,0)+IF(DW1933="D",1,0)+IF(DZ1933="D",1,0)+IF(EH1933="D",1,0)</f>
        <v/>
      </c>
      <c r="AY1933">
        <f>IF(DJ1933&lt;&gt;"",1,0)+IF(DK1933&lt;&gt;"",1,0)+IF(DM1933&lt;&gt;"",1,0)+IF(DO1933&lt;&gt;"",1,0)+IF(DP1933&lt;&gt;"",1,0)+IF(DQ1933&lt;&gt;"",1,0)+IF(DS1933&lt;&gt;"",1,0)+IF(DT1933&lt;&gt;"",1,0)+IF(DV1933&lt;&gt;"",1,0)+IF(DW1933&lt;&gt;"",1,0)+IF(DX1933&lt;&gt;"",1,0)+IF(DY1933&lt;&gt;"",1,0)+IF(DZ1933&lt;&gt;"",1,0)+IF(EB1933&lt;&gt;"",1,0)+IF(EC1933&lt;&gt;"",1,0)+IF(ED1933&lt;&gt;"",1,0)+IF(EG1933&lt;&gt;"",1,0)+IF(EH1933&lt;&gt;"",1,0)</f>
        <v/>
      </c>
      <c r="AZ1933">
        <f>IF(EH1933&lt;&gt;"",1,0)</f>
        <v/>
      </c>
      <c r="BB1933" t="inlineStr">
        <is>
          <t>WARREN-WARD 4</t>
        </is>
      </c>
    </row>
    <row r="1934">
      <c r="A1934" t="inlineStr">
        <is>
          <t>OH0015763562</t>
        </is>
      </c>
      <c r="B1934" t="n">
        <v>78</v>
      </c>
      <c r="C1934" t="n">
        <v>320194</v>
      </c>
      <c r="D1934" t="inlineStr">
        <is>
          <t>LEEWORTHY</t>
        </is>
      </c>
      <c r="E1934" t="inlineStr">
        <is>
          <t>NATASHA</t>
        </is>
      </c>
      <c r="F1934">
        <f>CONCATENATE(D1934," ",LEFT(H1934,4),"T=",AU1934,"D=",AV1934,"R=",AW1934,"M=",AX1934,"L=",AY1934,"B=",AZ1934)</f>
        <v/>
      </c>
      <c r="G1934" t="inlineStr">
        <is>
          <t>MARIE</t>
        </is>
      </c>
      <c r="I1934" t="inlineStr">
        <is>
          <t>1986-08-08</t>
        </is>
      </c>
      <c r="J1934" t="inlineStr">
        <is>
          <t>2020-02-18</t>
        </is>
      </c>
      <c r="K1934" t="inlineStr">
        <is>
          <t>ACTIVE</t>
        </is>
      </c>
      <c r="M1934" t="inlineStr">
        <is>
          <t>1228 WOODLAND AVE NE</t>
        </is>
      </c>
      <c r="N1934">
        <f>RIGHT(M1934,LEN(M1934)-FIND(" ",M1934))</f>
        <v/>
      </c>
      <c r="P1934" t="inlineStr">
        <is>
          <t>WARREN</t>
        </is>
      </c>
      <c r="Q1934" t="inlineStr">
        <is>
          <t>OH</t>
        </is>
      </c>
      <c r="R1934" t="n">
        <v>44483</v>
      </c>
      <c r="AD1934" t="inlineStr">
        <is>
          <t>TRUMBULL CAREER &amp; TECH CENTER</t>
        </is>
      </c>
      <c r="AE1934" t="inlineStr">
        <is>
          <t>WARREN CITY</t>
        </is>
      </c>
      <c r="AF1934" t="inlineStr">
        <is>
          <t>WARREN CITY SD</t>
        </is>
      </c>
      <c r="AH1934" t="n">
        <v>14</v>
      </c>
      <c r="AI1934" t="n">
        <v>11</v>
      </c>
      <c r="AN1934" t="inlineStr">
        <is>
          <t>WARREN</t>
        </is>
      </c>
      <c r="AO1934" t="inlineStr">
        <is>
          <t>WARREN CITY 4D</t>
        </is>
      </c>
      <c r="AP1934" t="inlineStr">
        <is>
          <t>78-P-ADL</t>
        </is>
      </c>
      <c r="AQ1934" t="n">
        <v>9</v>
      </c>
      <c r="AR1934" t="n">
        <v>64</v>
      </c>
      <c r="AS1934" t="n">
        <v>32</v>
      </c>
      <c r="AU1934">
        <f>COUNTA($BA$1934:$EH$1934)</f>
        <v/>
      </c>
      <c r="AV1934">
        <f>COUNTIF($BA$1934:$EH$1934,"D")</f>
        <v/>
      </c>
      <c r="AW1934">
        <f>COUNTIF($BA$1934:$EH$1934,"R")</f>
        <v/>
      </c>
      <c r="AX1934">
        <f>IF(BN1934="D",1,0)+IF(BO1934="D",1,0)+IF(BT1934="D",1,0)+IF(BU1934="D",1,0)+IF(BW1934="D",1,0)+IF(CC1934="D",1,0)+IF(CD1934="D",1,0)+IF(CE1934="D",1,0)+IF(CF1934="D",1,0)+IF(CL1934="D",1,0)+IF(CM1934="D",1,0)+IF(CQ1934="D",1,0)+IF(CR1934="D",1,0)+IF(CS1934="D",1,0)+IF(CW1934="D",1,0)+IF(CX1934="D",1,0)+IF(DD1934="D",1,0)+IF(DE1934="D",1,0)+IF(DJ1934="D",1,0)+IF(DK1934="D",1,0)+IF(DO1934="D",1,0)+IF(DP1934="D",1,0)+IF(DQ1934="D",1,0)+IF(DW1934="D",1,0)+IF(DZ1934="D",1,0)+IF(EH1934="D",1,0)</f>
        <v/>
      </c>
      <c r="AY1934">
        <f>IF(DJ1934&lt;&gt;"",1,0)+IF(DK1934&lt;&gt;"",1,0)+IF(DM1934&lt;&gt;"",1,0)+IF(DO1934&lt;&gt;"",1,0)+IF(DP1934&lt;&gt;"",1,0)+IF(DQ1934&lt;&gt;"",1,0)+IF(DS1934&lt;&gt;"",1,0)+IF(DT1934&lt;&gt;"",1,0)+IF(DV1934&lt;&gt;"",1,0)+IF(DW1934&lt;&gt;"",1,0)+IF(DX1934&lt;&gt;"",1,0)+IF(DY1934&lt;&gt;"",1,0)+IF(DZ1934&lt;&gt;"",1,0)+IF(EB1934&lt;&gt;"",1,0)+IF(EC1934&lt;&gt;"",1,0)+IF(ED1934&lt;&gt;"",1,0)+IF(EG1934&lt;&gt;"",1,0)+IF(EH1934&lt;&gt;"",1,0)</f>
        <v/>
      </c>
      <c r="AZ1934">
        <f>IF(EH1934&lt;&gt;"",1,0)</f>
        <v/>
      </c>
      <c r="BB1934" t="inlineStr">
        <is>
          <t>WARREN-WARD 4</t>
        </is>
      </c>
      <c r="BL1934" t="inlineStr">
        <is>
          <t>X</t>
        </is>
      </c>
      <c r="CA1934" t="inlineStr">
        <is>
          <t>X</t>
        </is>
      </c>
      <c r="CP1934" t="inlineStr">
        <is>
          <t>X</t>
        </is>
      </c>
      <c r="DC1934" t="inlineStr">
        <is>
          <t>X</t>
        </is>
      </c>
      <c r="DI1934" t="inlineStr">
        <is>
          <t>X</t>
        </is>
      </c>
      <c r="DN1934" t="inlineStr">
        <is>
          <t>X</t>
        </is>
      </c>
      <c r="EA1934" t="inlineStr">
        <is>
          <t>X</t>
        </is>
      </c>
      <c r="EF1934" t="inlineStr">
        <is>
          <t>X</t>
        </is>
      </c>
    </row>
    <row r="1935">
      <c r="A1935" t="inlineStr">
        <is>
          <t>OH0015676190</t>
        </is>
      </c>
      <c r="B1935" t="n">
        <v>78</v>
      </c>
      <c r="C1935" t="n">
        <v>325721</v>
      </c>
      <c r="D1935" t="inlineStr">
        <is>
          <t>LEEWORTHY</t>
        </is>
      </c>
      <c r="E1935" t="inlineStr">
        <is>
          <t>FREDERICK</t>
        </is>
      </c>
      <c r="F1935">
        <f>CONCATENATE(D1935," ",LEFT(H1935,4),"T=",AU1935,"D=",AV1935,"R=",AW1935,"M=",AX1935,"L=",AY1935,"B=",AZ1935)</f>
        <v/>
      </c>
      <c r="G1935" t="inlineStr">
        <is>
          <t>I</t>
        </is>
      </c>
      <c r="H1935" t="inlineStr">
        <is>
          <t>II</t>
        </is>
      </c>
      <c r="I1935" t="inlineStr">
        <is>
          <t>1981-04-29</t>
        </is>
      </c>
      <c r="J1935" t="inlineStr">
        <is>
          <t>2020-02-18</t>
        </is>
      </c>
      <c r="K1935" t="inlineStr">
        <is>
          <t>ACTIVE</t>
        </is>
      </c>
      <c r="M1935" t="inlineStr">
        <is>
          <t>1228 WOODLAND AVE NE</t>
        </is>
      </c>
      <c r="N1935">
        <f>RIGHT(M1935,LEN(M1935)-FIND(" ",M1935))</f>
        <v/>
      </c>
      <c r="P1935" t="inlineStr">
        <is>
          <t>WARREN</t>
        </is>
      </c>
      <c r="Q1935" t="inlineStr">
        <is>
          <t>OH</t>
        </is>
      </c>
      <c r="R1935" t="n">
        <v>44483</v>
      </c>
      <c r="AD1935" t="inlineStr">
        <is>
          <t>TRUMBULL CAREER &amp; TECH CENTER</t>
        </is>
      </c>
      <c r="AE1935" t="inlineStr">
        <is>
          <t>WARREN CITY</t>
        </is>
      </c>
      <c r="AF1935" t="inlineStr">
        <is>
          <t>WARREN CITY SD</t>
        </is>
      </c>
      <c r="AH1935" t="n">
        <v>14</v>
      </c>
      <c r="AI1935" t="n">
        <v>11</v>
      </c>
      <c r="AN1935" t="inlineStr">
        <is>
          <t>WARREN</t>
        </is>
      </c>
      <c r="AO1935" t="inlineStr">
        <is>
          <t>WARREN CITY 4D</t>
        </is>
      </c>
      <c r="AP1935" t="inlineStr">
        <is>
          <t>78-P-ADL</t>
        </is>
      </c>
      <c r="AQ1935" t="n">
        <v>9</v>
      </c>
      <c r="AR1935" t="n">
        <v>64</v>
      </c>
      <c r="AS1935" t="n">
        <v>32</v>
      </c>
      <c r="AU1935">
        <f>COUNTA($BA$1935:$EH$1935)</f>
        <v/>
      </c>
      <c r="AV1935">
        <f>COUNTIF($BA$1935:$EH$1935,"D")</f>
        <v/>
      </c>
      <c r="AW1935">
        <f>COUNTIF($BA$1935:$EH$1935,"R")</f>
        <v/>
      </c>
      <c r="AX1935">
        <f>IF(BN1935="D",1,0)+IF(BO1935="D",1,0)+IF(BT1935="D",1,0)+IF(BU1935="D",1,0)+IF(BW1935="D",1,0)+IF(CC1935="D",1,0)+IF(CD1935="D",1,0)+IF(CE1935="D",1,0)+IF(CF1935="D",1,0)+IF(CL1935="D",1,0)+IF(CM1935="D",1,0)+IF(CQ1935="D",1,0)+IF(CR1935="D",1,0)+IF(CS1935="D",1,0)+IF(CW1935="D",1,0)+IF(CX1935="D",1,0)+IF(DD1935="D",1,0)+IF(DE1935="D",1,0)+IF(DJ1935="D",1,0)+IF(DK1935="D",1,0)+IF(DO1935="D",1,0)+IF(DP1935="D",1,0)+IF(DQ1935="D",1,0)+IF(DW1935="D",1,0)+IF(DZ1935="D",1,0)+IF(EH1935="D",1,0)</f>
        <v/>
      </c>
      <c r="AY1935">
        <f>IF(DJ1935&lt;&gt;"",1,0)+IF(DK1935&lt;&gt;"",1,0)+IF(DM1935&lt;&gt;"",1,0)+IF(DO1935&lt;&gt;"",1,0)+IF(DP1935&lt;&gt;"",1,0)+IF(DQ1935&lt;&gt;"",1,0)+IF(DS1935&lt;&gt;"",1,0)+IF(DT1935&lt;&gt;"",1,0)+IF(DV1935&lt;&gt;"",1,0)+IF(DW1935&lt;&gt;"",1,0)+IF(DX1935&lt;&gt;"",1,0)+IF(DY1935&lt;&gt;"",1,0)+IF(DZ1935&lt;&gt;"",1,0)+IF(EB1935&lt;&gt;"",1,0)+IF(EC1935&lt;&gt;"",1,0)+IF(ED1935&lt;&gt;"",1,0)+IF(EG1935&lt;&gt;"",1,0)+IF(EH1935&lt;&gt;"",1,0)</f>
        <v/>
      </c>
      <c r="AZ1935">
        <f>IF(EH1935&lt;&gt;"",1,0)</f>
        <v/>
      </c>
      <c r="BB1935" t="inlineStr">
        <is>
          <t>WARREN-WARD 4</t>
        </is>
      </c>
      <c r="BL1935" t="inlineStr">
        <is>
          <t>X</t>
        </is>
      </c>
      <c r="BR1935" t="inlineStr">
        <is>
          <t>X</t>
        </is>
      </c>
      <c r="CA1935" t="inlineStr">
        <is>
          <t>X</t>
        </is>
      </c>
      <c r="CP1935" t="inlineStr">
        <is>
          <t>X</t>
        </is>
      </c>
      <c r="DC1935" t="inlineStr">
        <is>
          <t>X</t>
        </is>
      </c>
      <c r="DI1935" t="inlineStr">
        <is>
          <t>X</t>
        </is>
      </c>
      <c r="DN1935" t="inlineStr">
        <is>
          <t>X</t>
        </is>
      </c>
      <c r="EA1935" t="inlineStr">
        <is>
          <t>X</t>
        </is>
      </c>
      <c r="EF1935" t="inlineStr">
        <is>
          <t>X</t>
        </is>
      </c>
    </row>
    <row r="1936">
      <c r="A1936" t="inlineStr">
        <is>
          <t>OH0023266870</t>
        </is>
      </c>
      <c r="B1936" t="n">
        <v>78</v>
      </c>
      <c r="C1936" t="n">
        <v>409436</v>
      </c>
      <c r="D1936" t="inlineStr">
        <is>
          <t>RILEY</t>
        </is>
      </c>
      <c r="E1936" t="inlineStr">
        <is>
          <t>KRISTIN</t>
        </is>
      </c>
      <c r="F1936">
        <f>CONCATENATE(D1936," ",LEFT(H1936,4),"T=",AU1936,"D=",AV1936,"R=",AW1936,"M=",AX1936,"L=",AY1936,"B=",AZ1936)</f>
        <v/>
      </c>
      <c r="G1936" t="inlineStr">
        <is>
          <t>JOY</t>
        </is>
      </c>
      <c r="I1936" t="inlineStr">
        <is>
          <t>1971-01-08</t>
        </is>
      </c>
      <c r="J1936" t="inlineStr">
        <is>
          <t>2015-08-04</t>
        </is>
      </c>
      <c r="K1936" t="inlineStr">
        <is>
          <t>ACTIVE</t>
        </is>
      </c>
      <c r="L1936" t="inlineStr">
        <is>
          <t>R</t>
        </is>
      </c>
      <c r="M1936" t="inlineStr">
        <is>
          <t>461 WASHINGTON ST NE</t>
        </is>
      </c>
      <c r="N1936">
        <f>RIGHT(M1936,LEN(M1936)-FIND(" ",M1936))</f>
        <v/>
      </c>
      <c r="P1936" t="inlineStr">
        <is>
          <t>WARREN</t>
        </is>
      </c>
      <c r="Q1936" t="inlineStr">
        <is>
          <t>OH</t>
        </is>
      </c>
      <c r="R1936" t="n">
        <v>44483</v>
      </c>
      <c r="AD1936" t="inlineStr">
        <is>
          <t>TRUMBULL CAREER &amp; TECH CENTER</t>
        </is>
      </c>
      <c r="AE1936" t="inlineStr">
        <is>
          <t>WARREN CITY</t>
        </is>
      </c>
      <c r="AF1936" t="inlineStr">
        <is>
          <t>WARREN CITY SD</t>
        </is>
      </c>
      <c r="AH1936" t="n">
        <v>14</v>
      </c>
      <c r="AI1936" t="n">
        <v>11</v>
      </c>
      <c r="AN1936" t="inlineStr">
        <is>
          <t>WARREN</t>
        </is>
      </c>
      <c r="AO1936" t="inlineStr">
        <is>
          <t>WARREN CITY 4D</t>
        </is>
      </c>
      <c r="AP1936" t="inlineStr">
        <is>
          <t>78-P-ADL</t>
        </is>
      </c>
      <c r="AQ1936" t="n">
        <v>9</v>
      </c>
      <c r="AR1936" t="n">
        <v>64</v>
      </c>
      <c r="AS1936" t="n">
        <v>32</v>
      </c>
      <c r="AU1936">
        <f>COUNTA($BA$1936:$EH$1936)</f>
        <v/>
      </c>
      <c r="AV1936">
        <f>COUNTIF($BA$1936:$EH$1936,"D")</f>
        <v/>
      </c>
      <c r="AW1936">
        <f>COUNTIF($BA$1936:$EH$1936,"R")</f>
        <v/>
      </c>
      <c r="AX1936">
        <f>IF(BN1936="D",1,0)+IF(BO1936="D",1,0)+IF(BT1936="D",1,0)+IF(BU1936="D",1,0)+IF(BW1936="D",1,0)+IF(CC1936="D",1,0)+IF(CD1936="D",1,0)+IF(CE1936="D",1,0)+IF(CF1936="D",1,0)+IF(CL1936="D",1,0)+IF(CM1936="D",1,0)+IF(CQ1936="D",1,0)+IF(CR1936="D",1,0)+IF(CS1936="D",1,0)+IF(CW1936="D",1,0)+IF(CX1936="D",1,0)+IF(DD1936="D",1,0)+IF(DE1936="D",1,0)+IF(DJ1936="D",1,0)+IF(DK1936="D",1,0)+IF(DO1936="D",1,0)+IF(DP1936="D",1,0)+IF(DQ1936="D",1,0)+IF(DW1936="D",1,0)+IF(DZ1936="D",1,0)+IF(EH1936="D",1,0)</f>
        <v/>
      </c>
      <c r="AY1936">
        <f>IF(DJ1936&lt;&gt;"",1,0)+IF(DK1936&lt;&gt;"",1,0)+IF(DM1936&lt;&gt;"",1,0)+IF(DO1936&lt;&gt;"",1,0)+IF(DP1936&lt;&gt;"",1,0)+IF(DQ1936&lt;&gt;"",1,0)+IF(DS1936&lt;&gt;"",1,0)+IF(DT1936&lt;&gt;"",1,0)+IF(DV1936&lt;&gt;"",1,0)+IF(DW1936&lt;&gt;"",1,0)+IF(DX1936&lt;&gt;"",1,0)+IF(DY1936&lt;&gt;"",1,0)+IF(DZ1936&lt;&gt;"",1,0)+IF(EB1936&lt;&gt;"",1,0)+IF(EC1936&lt;&gt;"",1,0)+IF(ED1936&lt;&gt;"",1,0)+IF(EG1936&lt;&gt;"",1,0)+IF(EH1936&lt;&gt;"",1,0)</f>
        <v/>
      </c>
      <c r="AZ1936">
        <f>IF(EH1936&lt;&gt;"",1,0)</f>
        <v/>
      </c>
      <c r="BB1936" t="inlineStr">
        <is>
          <t>WARREN-WARD 4</t>
        </is>
      </c>
      <c r="CY1936" t="inlineStr">
        <is>
          <t>X</t>
        </is>
      </c>
      <c r="DC1936" t="inlineStr">
        <is>
          <t>X</t>
        </is>
      </c>
      <c r="DD1936" t="inlineStr">
        <is>
          <t>D</t>
        </is>
      </c>
      <c r="DI1936" t="inlineStr">
        <is>
          <t>X</t>
        </is>
      </c>
      <c r="DL1936" t="inlineStr">
        <is>
          <t>X</t>
        </is>
      </c>
      <c r="DM1936" t="inlineStr">
        <is>
          <t>R</t>
        </is>
      </c>
      <c r="DN1936" t="inlineStr">
        <is>
          <t>X</t>
        </is>
      </c>
      <c r="DR1936" t="inlineStr">
        <is>
          <t>X</t>
        </is>
      </c>
      <c r="DS1936" t="inlineStr">
        <is>
          <t>R</t>
        </is>
      </c>
      <c r="DT1936" t="inlineStr">
        <is>
          <t>R</t>
        </is>
      </c>
      <c r="DU1936" t="inlineStr">
        <is>
          <t>X</t>
        </is>
      </c>
      <c r="DW1936" t="inlineStr">
        <is>
          <t>X</t>
        </is>
      </c>
      <c r="DX1936" t="inlineStr">
        <is>
          <t>X</t>
        </is>
      </c>
      <c r="EA1936" t="inlineStr">
        <is>
          <t>X</t>
        </is>
      </c>
      <c r="EF1936" t="inlineStr">
        <is>
          <t>X</t>
        </is>
      </c>
    </row>
    <row r="1937">
      <c r="A1937" t="inlineStr">
        <is>
          <t>OH0021853847</t>
        </is>
      </c>
      <c r="B1937" t="n">
        <v>78</v>
      </c>
      <c r="C1937" t="n">
        <v>388363</v>
      </c>
      <c r="D1937" t="inlineStr">
        <is>
          <t>ECHOLS</t>
        </is>
      </c>
      <c r="E1937" t="inlineStr">
        <is>
          <t>ERIC</t>
        </is>
      </c>
      <c r="F1937">
        <f>CONCATENATE(D1937," ",LEFT(H1937,4),"T=",AU1937,"D=",AV1937,"R=",AW1937,"M=",AX1937,"L=",AY1937,"B=",AZ1937)</f>
        <v/>
      </c>
      <c r="G1937" t="inlineStr">
        <is>
          <t>L</t>
        </is>
      </c>
      <c r="H1937" t="inlineStr">
        <is>
          <t>JR</t>
        </is>
      </c>
      <c r="I1937" t="inlineStr">
        <is>
          <t>1994-11-01</t>
        </is>
      </c>
      <c r="J1937" t="inlineStr">
        <is>
          <t>2016-09-26</t>
        </is>
      </c>
      <c r="K1937" t="inlineStr">
        <is>
          <t>ACTIVE</t>
        </is>
      </c>
      <c r="M1937" t="inlineStr">
        <is>
          <t>532 N PARK AVE</t>
        </is>
      </c>
      <c r="N1937">
        <f>RIGHT(M1937,LEN(M1937)-FIND(" ",M1937))</f>
        <v/>
      </c>
      <c r="O1937" t="inlineStr">
        <is>
          <t>APT H</t>
        </is>
      </c>
      <c r="P1937" t="inlineStr">
        <is>
          <t>WARREN</t>
        </is>
      </c>
      <c r="Q1937" t="inlineStr">
        <is>
          <t>OH</t>
        </is>
      </c>
      <c r="R1937" t="n">
        <v>44481</v>
      </c>
      <c r="AD1937" t="inlineStr">
        <is>
          <t>TRUMBULL CAREER &amp; TECH CENTER</t>
        </is>
      </c>
      <c r="AE1937" t="inlineStr">
        <is>
          <t>WARREN CITY</t>
        </is>
      </c>
      <c r="AF1937" t="inlineStr">
        <is>
          <t>WARREN CITY SD</t>
        </is>
      </c>
      <c r="AH1937" t="n">
        <v>14</v>
      </c>
      <c r="AI1937" t="n">
        <v>11</v>
      </c>
      <c r="AN1937" t="inlineStr">
        <is>
          <t>WARREN</t>
        </is>
      </c>
      <c r="AO1937" t="inlineStr">
        <is>
          <t>WARREN CITY 4D</t>
        </is>
      </c>
      <c r="AP1937" t="inlineStr">
        <is>
          <t>78-P-ADL</t>
        </is>
      </c>
      <c r="AQ1937" t="n">
        <v>9</v>
      </c>
      <c r="AR1937" t="n">
        <v>64</v>
      </c>
      <c r="AS1937" t="n">
        <v>32</v>
      </c>
      <c r="AU1937">
        <f>COUNTA($BA$1937:$EH$1937)</f>
        <v/>
      </c>
      <c r="AV1937">
        <f>COUNTIF($BA$1937:$EH$1937,"D")</f>
        <v/>
      </c>
      <c r="AW1937">
        <f>COUNTIF($BA$1937:$EH$1937,"R")</f>
        <v/>
      </c>
      <c r="AX1937">
        <f>IF(BN1937="D",1,0)+IF(BO1937="D",1,0)+IF(BT1937="D",1,0)+IF(BU1937="D",1,0)+IF(BW1937="D",1,0)+IF(CC1937="D",1,0)+IF(CD1937="D",1,0)+IF(CE1937="D",1,0)+IF(CF1937="D",1,0)+IF(CL1937="D",1,0)+IF(CM1937="D",1,0)+IF(CQ1937="D",1,0)+IF(CR1937="D",1,0)+IF(CS1937="D",1,0)+IF(CW1937="D",1,0)+IF(CX1937="D",1,0)+IF(DD1937="D",1,0)+IF(DE1937="D",1,0)+IF(DJ1937="D",1,0)+IF(DK1937="D",1,0)+IF(DO1937="D",1,0)+IF(DP1937="D",1,0)+IF(DQ1937="D",1,0)+IF(DW1937="D",1,0)+IF(DZ1937="D",1,0)+IF(EH1937="D",1,0)</f>
        <v/>
      </c>
      <c r="AY1937">
        <f>IF(DJ1937&lt;&gt;"",1,0)+IF(DK1937&lt;&gt;"",1,0)+IF(DM1937&lt;&gt;"",1,0)+IF(DO1937&lt;&gt;"",1,0)+IF(DP1937&lt;&gt;"",1,0)+IF(DQ1937&lt;&gt;"",1,0)+IF(DS1937&lt;&gt;"",1,0)+IF(DT1937&lt;&gt;"",1,0)+IF(DV1937&lt;&gt;"",1,0)+IF(DW1937&lt;&gt;"",1,0)+IF(DX1937&lt;&gt;"",1,0)+IF(DY1937&lt;&gt;"",1,0)+IF(DZ1937&lt;&gt;"",1,0)+IF(EB1937&lt;&gt;"",1,0)+IF(EC1937&lt;&gt;"",1,0)+IF(ED1937&lt;&gt;"",1,0)+IF(EG1937&lt;&gt;"",1,0)+IF(EH1937&lt;&gt;"",1,0)</f>
        <v/>
      </c>
      <c r="AZ1937">
        <f>IF(EH1937&lt;&gt;"",1,0)</f>
        <v/>
      </c>
      <c r="BB1937" t="inlineStr">
        <is>
          <t>WARREN-WARD 4</t>
        </is>
      </c>
      <c r="CP1937" t="inlineStr">
        <is>
          <t>X</t>
        </is>
      </c>
      <c r="CV1937" t="inlineStr">
        <is>
          <t>X</t>
        </is>
      </c>
      <c r="DC1937" t="inlineStr">
        <is>
          <t>X</t>
        </is>
      </c>
    </row>
    <row r="1938">
      <c r="A1938" t="inlineStr">
        <is>
          <t>OH0015731631</t>
        </is>
      </c>
      <c r="B1938" t="n">
        <v>78</v>
      </c>
      <c r="C1938" t="n">
        <v>298790</v>
      </c>
      <c r="D1938" t="inlineStr">
        <is>
          <t>HOLBROOK</t>
        </is>
      </c>
      <c r="E1938" t="inlineStr">
        <is>
          <t>JESSICA</t>
        </is>
      </c>
      <c r="F1938">
        <f>CONCATENATE(D1938," ",LEFT(H1938,4),"T=",AU1938,"D=",AV1938,"R=",AW1938,"M=",AX1938,"L=",AY1938,"B=",AZ1938)</f>
        <v/>
      </c>
      <c r="G1938" t="inlineStr">
        <is>
          <t>A</t>
        </is>
      </c>
      <c r="I1938" t="inlineStr">
        <is>
          <t>1982-06-11</t>
        </is>
      </c>
      <c r="J1938" t="inlineStr">
        <is>
          <t>2018-01-04</t>
        </is>
      </c>
      <c r="K1938" t="inlineStr">
        <is>
          <t>ACTIVE</t>
        </is>
      </c>
      <c r="M1938" t="inlineStr">
        <is>
          <t>1202 WOODLAND AVE NE</t>
        </is>
      </c>
      <c r="N1938">
        <f>RIGHT(M1938,LEN(M1938)-FIND(" ",M1938))</f>
        <v/>
      </c>
      <c r="P1938" t="inlineStr">
        <is>
          <t>WARREN</t>
        </is>
      </c>
      <c r="Q1938" t="inlineStr">
        <is>
          <t>OH</t>
        </is>
      </c>
      <c r="R1938" t="n">
        <v>44483</v>
      </c>
      <c r="AD1938" t="inlineStr">
        <is>
          <t>TRUMBULL CAREER &amp; TECH CENTER</t>
        </is>
      </c>
      <c r="AE1938" t="inlineStr">
        <is>
          <t>WARREN CITY</t>
        </is>
      </c>
      <c r="AF1938" t="inlineStr">
        <is>
          <t>WARREN CITY SD</t>
        </is>
      </c>
      <c r="AH1938" t="n">
        <v>14</v>
      </c>
      <c r="AI1938" t="n">
        <v>11</v>
      </c>
      <c r="AN1938" t="inlineStr">
        <is>
          <t>WARREN</t>
        </is>
      </c>
      <c r="AO1938" t="inlineStr">
        <is>
          <t>WARREN CITY 4D</t>
        </is>
      </c>
      <c r="AP1938" t="inlineStr">
        <is>
          <t>78-P-ADL</t>
        </is>
      </c>
      <c r="AQ1938" t="n">
        <v>9</v>
      </c>
      <c r="AR1938" t="n">
        <v>64</v>
      </c>
      <c r="AS1938" t="n">
        <v>32</v>
      </c>
      <c r="AU1938">
        <f>COUNTA($BA$1938:$EH$1938)</f>
        <v/>
      </c>
      <c r="AV1938">
        <f>COUNTIF($BA$1938:$EH$1938,"D")</f>
        <v/>
      </c>
      <c r="AW1938">
        <f>COUNTIF($BA$1938:$EH$1938,"R")</f>
        <v/>
      </c>
      <c r="AX1938">
        <f>IF(BN1938="D",1,0)+IF(BO1938="D",1,0)+IF(BT1938="D",1,0)+IF(BU1938="D",1,0)+IF(BW1938="D",1,0)+IF(CC1938="D",1,0)+IF(CD1938="D",1,0)+IF(CE1938="D",1,0)+IF(CF1938="D",1,0)+IF(CL1938="D",1,0)+IF(CM1938="D",1,0)+IF(CQ1938="D",1,0)+IF(CR1938="D",1,0)+IF(CS1938="D",1,0)+IF(CW1938="D",1,0)+IF(CX1938="D",1,0)+IF(DD1938="D",1,0)+IF(DE1938="D",1,0)+IF(DJ1938="D",1,0)+IF(DK1938="D",1,0)+IF(DO1938="D",1,0)+IF(DP1938="D",1,0)+IF(DQ1938="D",1,0)+IF(DW1938="D",1,0)+IF(DZ1938="D",1,0)+IF(EH1938="D",1,0)</f>
        <v/>
      </c>
      <c r="AY1938">
        <f>IF(DJ1938&lt;&gt;"",1,0)+IF(DK1938&lt;&gt;"",1,0)+IF(DM1938&lt;&gt;"",1,0)+IF(DO1938&lt;&gt;"",1,0)+IF(DP1938&lt;&gt;"",1,0)+IF(DQ1938&lt;&gt;"",1,0)+IF(DS1938&lt;&gt;"",1,0)+IF(DT1938&lt;&gt;"",1,0)+IF(DV1938&lt;&gt;"",1,0)+IF(DW1938&lt;&gt;"",1,0)+IF(DX1938&lt;&gt;"",1,0)+IF(DY1938&lt;&gt;"",1,0)+IF(DZ1938&lt;&gt;"",1,0)+IF(EB1938&lt;&gt;"",1,0)+IF(EC1938&lt;&gt;"",1,0)+IF(ED1938&lt;&gt;"",1,0)+IF(EG1938&lt;&gt;"",1,0)+IF(EH1938&lt;&gt;"",1,0)</f>
        <v/>
      </c>
      <c r="AZ1938">
        <f>IF(EH1938&lt;&gt;"",1,0)</f>
        <v/>
      </c>
      <c r="BB1938" t="inlineStr">
        <is>
          <t>WARREN-WARD 4</t>
        </is>
      </c>
      <c r="BD1938" t="inlineStr">
        <is>
          <t>X</t>
        </is>
      </c>
      <c r="BL1938" t="inlineStr">
        <is>
          <t>X</t>
        </is>
      </c>
      <c r="BS1938" t="inlineStr">
        <is>
          <t>X</t>
        </is>
      </c>
      <c r="CA1938" t="inlineStr">
        <is>
          <t>X</t>
        </is>
      </c>
      <c r="CP1938" t="inlineStr">
        <is>
          <t>X</t>
        </is>
      </c>
      <c r="DN1938" t="inlineStr">
        <is>
          <t>X</t>
        </is>
      </c>
      <c r="EF1938" t="inlineStr">
        <is>
          <t>X</t>
        </is>
      </c>
    </row>
    <row r="1939">
      <c r="A1939" t="inlineStr">
        <is>
          <t>OH0024766850</t>
        </is>
      </c>
      <c r="B1939" t="n">
        <v>78</v>
      </c>
      <c r="C1939" t="n">
        <v>434737</v>
      </c>
      <c r="D1939" t="inlineStr">
        <is>
          <t>PEPPARD</t>
        </is>
      </c>
      <c r="E1939" t="inlineStr">
        <is>
          <t>MICHAEL</t>
        </is>
      </c>
      <c r="F1939">
        <f>CONCATENATE(D1939," ",LEFT(H1939,4),"T=",AU1939,"D=",AV1939,"R=",AW1939,"M=",AX1939,"L=",AY1939,"B=",AZ1939)</f>
        <v/>
      </c>
      <c r="G1939" t="inlineStr">
        <is>
          <t>J</t>
        </is>
      </c>
      <c r="I1939" t="inlineStr">
        <is>
          <t>1961-06-24</t>
        </is>
      </c>
      <c r="J1939" t="inlineStr">
        <is>
          <t>2024-09-25</t>
        </is>
      </c>
      <c r="K1939" t="inlineStr">
        <is>
          <t>ACTIVE</t>
        </is>
      </c>
      <c r="M1939" t="inlineStr">
        <is>
          <t>785 ELM RD NE</t>
        </is>
      </c>
      <c r="N1939">
        <f>RIGHT(M1939,LEN(M1939)-FIND(" ",M1939))</f>
        <v/>
      </c>
      <c r="O1939" t="inlineStr">
        <is>
          <t>UPPR</t>
        </is>
      </c>
      <c r="P1939" t="inlineStr">
        <is>
          <t>WARREN</t>
        </is>
      </c>
      <c r="Q1939" t="inlineStr">
        <is>
          <t>OH</t>
        </is>
      </c>
      <c r="R1939" t="n">
        <v>44483</v>
      </c>
      <c r="AD1939" t="inlineStr">
        <is>
          <t>TRUMBULL CAREER &amp; TECH CENTER</t>
        </is>
      </c>
      <c r="AE1939" t="inlineStr">
        <is>
          <t>WARREN CITY</t>
        </is>
      </c>
      <c r="AF1939" t="inlineStr">
        <is>
          <t>WARREN CITY SD</t>
        </is>
      </c>
      <c r="AH1939" t="n">
        <v>14</v>
      </c>
      <c r="AI1939" t="n">
        <v>11</v>
      </c>
      <c r="AN1939" t="inlineStr">
        <is>
          <t>WARREN</t>
        </is>
      </c>
      <c r="AO1939" t="inlineStr">
        <is>
          <t>WARREN CITY 4D</t>
        </is>
      </c>
      <c r="AP1939" t="inlineStr">
        <is>
          <t>78-P-ADL</t>
        </is>
      </c>
      <c r="AQ1939" t="n">
        <v>9</v>
      </c>
      <c r="AR1939" t="n">
        <v>64</v>
      </c>
      <c r="AS1939" t="n">
        <v>32</v>
      </c>
      <c r="AU1939">
        <f>COUNTA($BA$1939:$EH$1939)</f>
        <v/>
      </c>
      <c r="AV1939">
        <f>COUNTIF($BA$1939:$EH$1939,"D")</f>
        <v/>
      </c>
      <c r="AW1939">
        <f>COUNTIF($BA$1939:$EH$1939,"R")</f>
        <v/>
      </c>
      <c r="AX1939">
        <f>IF(BN1939="D",1,0)+IF(BO1939="D",1,0)+IF(BT1939="D",1,0)+IF(BU1939="D",1,0)+IF(BW1939="D",1,0)+IF(CC1939="D",1,0)+IF(CD1939="D",1,0)+IF(CE1939="D",1,0)+IF(CF1939="D",1,0)+IF(CL1939="D",1,0)+IF(CM1939="D",1,0)+IF(CQ1939="D",1,0)+IF(CR1939="D",1,0)+IF(CS1939="D",1,0)+IF(CW1939="D",1,0)+IF(CX1939="D",1,0)+IF(DD1939="D",1,0)+IF(DE1939="D",1,0)+IF(DJ1939="D",1,0)+IF(DK1939="D",1,0)+IF(DO1939="D",1,0)+IF(DP1939="D",1,0)+IF(DQ1939="D",1,0)+IF(DW1939="D",1,0)+IF(DZ1939="D",1,0)+IF(EH1939="D",1,0)</f>
        <v/>
      </c>
      <c r="AY1939">
        <f>IF(DJ1939&lt;&gt;"",1,0)+IF(DK1939&lt;&gt;"",1,0)+IF(DM1939&lt;&gt;"",1,0)+IF(DO1939&lt;&gt;"",1,0)+IF(DP1939&lt;&gt;"",1,0)+IF(DQ1939&lt;&gt;"",1,0)+IF(DS1939&lt;&gt;"",1,0)+IF(DT1939&lt;&gt;"",1,0)+IF(DV1939&lt;&gt;"",1,0)+IF(DW1939&lt;&gt;"",1,0)+IF(DX1939&lt;&gt;"",1,0)+IF(DY1939&lt;&gt;"",1,0)+IF(DZ1939&lt;&gt;"",1,0)+IF(EB1939&lt;&gt;"",1,0)+IF(EC1939&lt;&gt;"",1,0)+IF(ED1939&lt;&gt;"",1,0)+IF(EG1939&lt;&gt;"",1,0)+IF(EH1939&lt;&gt;"",1,0)</f>
        <v/>
      </c>
      <c r="AZ1939">
        <f>IF(EH1939&lt;&gt;"",1,0)</f>
        <v/>
      </c>
      <c r="BB1939" t="inlineStr">
        <is>
          <t>WARREN-WARD 4</t>
        </is>
      </c>
    </row>
    <row r="1940">
      <c r="A1940" t="inlineStr">
        <is>
          <t>OH0019538432</t>
        </is>
      </c>
      <c r="B1940" t="n">
        <v>78</v>
      </c>
      <c r="C1940" t="n">
        <v>356382</v>
      </c>
      <c r="D1940" t="inlineStr">
        <is>
          <t>MULHALL</t>
        </is>
      </c>
      <c r="E1940" t="inlineStr">
        <is>
          <t>LINDSAY</t>
        </is>
      </c>
      <c r="F1940">
        <f>CONCATENATE(D1940," ",LEFT(H1940,4),"T=",AU1940,"D=",AV1940,"R=",AW1940,"M=",AX1940,"L=",AY1940,"B=",AZ1940)</f>
        <v/>
      </c>
      <c r="G1940" t="inlineStr">
        <is>
          <t>K</t>
        </is>
      </c>
      <c r="I1940" t="inlineStr">
        <is>
          <t>1989-11-09</t>
        </is>
      </c>
      <c r="J1940" t="inlineStr">
        <is>
          <t>2021-03-12</t>
        </is>
      </c>
      <c r="K1940" t="inlineStr">
        <is>
          <t>CONFIRMATION</t>
        </is>
      </c>
      <c r="M1940" t="inlineStr">
        <is>
          <t>1107 MCKINLEY ST NE</t>
        </is>
      </c>
      <c r="N1940">
        <f>RIGHT(M1940,LEN(M1940)-FIND(" ",M1940))</f>
        <v/>
      </c>
      <c r="P1940" t="inlineStr">
        <is>
          <t>WARREN</t>
        </is>
      </c>
      <c r="Q1940" t="inlineStr">
        <is>
          <t>OH</t>
        </is>
      </c>
      <c r="R1940" t="n">
        <v>44483</v>
      </c>
      <c r="AD1940" t="inlineStr">
        <is>
          <t>TRUMBULL CAREER &amp; TECH CENTER</t>
        </is>
      </c>
      <c r="AE1940" t="inlineStr">
        <is>
          <t>WARREN CITY</t>
        </is>
      </c>
      <c r="AF1940" t="inlineStr">
        <is>
          <t>WARREN CITY SD</t>
        </is>
      </c>
      <c r="AH1940" t="n">
        <v>14</v>
      </c>
      <c r="AI1940" t="n">
        <v>11</v>
      </c>
      <c r="AN1940" t="inlineStr">
        <is>
          <t>WARREN</t>
        </is>
      </c>
      <c r="AO1940" t="inlineStr">
        <is>
          <t>WARREN CITY 4D</t>
        </is>
      </c>
      <c r="AP1940" t="inlineStr">
        <is>
          <t>78-P-ADL</t>
        </is>
      </c>
      <c r="AQ1940" t="n">
        <v>9</v>
      </c>
      <c r="AR1940" t="n">
        <v>64</v>
      </c>
      <c r="AS1940" t="n">
        <v>32</v>
      </c>
      <c r="AU1940">
        <f>COUNTA($BA$1940:$EH$1940)</f>
        <v/>
      </c>
      <c r="AV1940">
        <f>COUNTIF($BA$1940:$EH$1940,"D")</f>
        <v/>
      </c>
      <c r="AW1940">
        <f>COUNTIF($BA$1940:$EH$1940,"R")</f>
        <v/>
      </c>
      <c r="AX1940">
        <f>IF(BN1940="D",1,0)+IF(BO1940="D",1,0)+IF(BT1940="D",1,0)+IF(BU1940="D",1,0)+IF(BW1940="D",1,0)+IF(CC1940="D",1,0)+IF(CD1940="D",1,0)+IF(CE1940="D",1,0)+IF(CF1940="D",1,0)+IF(CL1940="D",1,0)+IF(CM1940="D",1,0)+IF(CQ1940="D",1,0)+IF(CR1940="D",1,0)+IF(CS1940="D",1,0)+IF(CW1940="D",1,0)+IF(CX1940="D",1,0)+IF(DD1940="D",1,0)+IF(DE1940="D",1,0)+IF(DJ1940="D",1,0)+IF(DK1940="D",1,0)+IF(DO1940="D",1,0)+IF(DP1940="D",1,0)+IF(DQ1940="D",1,0)+IF(DW1940="D",1,0)+IF(DZ1940="D",1,0)+IF(EH1940="D",1,0)</f>
        <v/>
      </c>
      <c r="AY1940">
        <f>IF(DJ1940&lt;&gt;"",1,0)+IF(DK1940&lt;&gt;"",1,0)+IF(DM1940&lt;&gt;"",1,0)+IF(DO1940&lt;&gt;"",1,0)+IF(DP1940&lt;&gt;"",1,0)+IF(DQ1940&lt;&gt;"",1,0)+IF(DS1940&lt;&gt;"",1,0)+IF(DT1940&lt;&gt;"",1,0)+IF(DV1940&lt;&gt;"",1,0)+IF(DW1940&lt;&gt;"",1,0)+IF(DX1940&lt;&gt;"",1,0)+IF(DY1940&lt;&gt;"",1,0)+IF(DZ1940&lt;&gt;"",1,0)+IF(EB1940&lt;&gt;"",1,0)+IF(EC1940&lt;&gt;"",1,0)+IF(ED1940&lt;&gt;"",1,0)+IF(EG1940&lt;&gt;"",1,0)+IF(EH1940&lt;&gt;"",1,0)</f>
        <v/>
      </c>
      <c r="AZ1940">
        <f>IF(EH1940&lt;&gt;"",1,0)</f>
        <v/>
      </c>
      <c r="BB1940" t="inlineStr">
        <is>
          <t>WARREN-WARD 4</t>
        </is>
      </c>
      <c r="CK1940" t="inlineStr">
        <is>
          <t>X</t>
        </is>
      </c>
    </row>
    <row r="1941">
      <c r="A1941" t="inlineStr">
        <is>
          <t>OH0024088105</t>
        </is>
      </c>
      <c r="B1941" t="n">
        <v>78</v>
      </c>
      <c r="C1941" t="n">
        <v>421651</v>
      </c>
      <c r="D1941" t="inlineStr">
        <is>
          <t>FISHER</t>
        </is>
      </c>
      <c r="E1941" t="inlineStr">
        <is>
          <t>ANTONIO</t>
        </is>
      </c>
      <c r="F1941">
        <f>CONCATENATE(D1941," ",LEFT(H1941,4),"T=",AU1941,"D=",AV1941,"R=",AW1941,"M=",AX1941,"L=",AY1941,"B=",AZ1941)</f>
        <v/>
      </c>
      <c r="I1941" t="inlineStr">
        <is>
          <t>1973-03-31</t>
        </is>
      </c>
      <c r="J1941" t="inlineStr">
        <is>
          <t>2024-11-05</t>
        </is>
      </c>
      <c r="K1941" t="inlineStr">
        <is>
          <t>ACTIVE</t>
        </is>
      </c>
      <c r="M1941" t="inlineStr">
        <is>
          <t>1065 MCKINLEY ST NE</t>
        </is>
      </c>
      <c r="N1941">
        <f>RIGHT(M1941,LEN(M1941)-FIND(" ",M1941))</f>
        <v/>
      </c>
      <c r="P1941" t="inlineStr">
        <is>
          <t>WARREN</t>
        </is>
      </c>
      <c r="Q1941" t="inlineStr">
        <is>
          <t>OH</t>
        </is>
      </c>
      <c r="R1941" t="n">
        <v>44483</v>
      </c>
      <c r="AD1941" t="inlineStr">
        <is>
          <t>TRUMBULL CAREER &amp; TECH CENTER</t>
        </is>
      </c>
      <c r="AE1941" t="inlineStr">
        <is>
          <t>WARREN CITY</t>
        </is>
      </c>
      <c r="AF1941" t="inlineStr">
        <is>
          <t>WARREN CITY SD</t>
        </is>
      </c>
      <c r="AH1941" t="n">
        <v>14</v>
      </c>
      <c r="AI1941" t="n">
        <v>11</v>
      </c>
      <c r="AN1941" t="inlineStr">
        <is>
          <t>WARREN</t>
        </is>
      </c>
      <c r="AO1941" t="inlineStr">
        <is>
          <t>WARREN CITY 4D</t>
        </is>
      </c>
      <c r="AP1941" t="inlineStr">
        <is>
          <t>78-P-ADL</t>
        </is>
      </c>
      <c r="AQ1941" t="n">
        <v>9</v>
      </c>
      <c r="AR1941" t="n">
        <v>64</v>
      </c>
      <c r="AS1941" t="n">
        <v>32</v>
      </c>
      <c r="AU1941">
        <f>COUNTA($BA$1941:$EH$1941)</f>
        <v/>
      </c>
      <c r="AV1941">
        <f>COUNTIF($BA$1941:$EH$1941,"D")</f>
        <v/>
      </c>
      <c r="AW1941">
        <f>COUNTIF($BA$1941:$EH$1941,"R")</f>
        <v/>
      </c>
      <c r="AX1941">
        <f>IF(BN1941="D",1,0)+IF(BO1941="D",1,0)+IF(BT1941="D",1,0)+IF(BU1941="D",1,0)+IF(BW1941="D",1,0)+IF(CC1941="D",1,0)+IF(CD1941="D",1,0)+IF(CE1941="D",1,0)+IF(CF1941="D",1,0)+IF(CL1941="D",1,0)+IF(CM1941="D",1,0)+IF(CQ1941="D",1,0)+IF(CR1941="D",1,0)+IF(CS1941="D",1,0)+IF(CW1941="D",1,0)+IF(CX1941="D",1,0)+IF(DD1941="D",1,0)+IF(DE1941="D",1,0)+IF(DJ1941="D",1,0)+IF(DK1941="D",1,0)+IF(DO1941="D",1,0)+IF(DP1941="D",1,0)+IF(DQ1941="D",1,0)+IF(DW1941="D",1,0)+IF(DZ1941="D",1,0)+IF(EH1941="D",1,0)</f>
        <v/>
      </c>
      <c r="AY1941">
        <f>IF(DJ1941&lt;&gt;"",1,0)+IF(DK1941&lt;&gt;"",1,0)+IF(DM1941&lt;&gt;"",1,0)+IF(DO1941&lt;&gt;"",1,0)+IF(DP1941&lt;&gt;"",1,0)+IF(DQ1941&lt;&gt;"",1,0)+IF(DS1941&lt;&gt;"",1,0)+IF(DT1941&lt;&gt;"",1,0)+IF(DV1941&lt;&gt;"",1,0)+IF(DW1941&lt;&gt;"",1,0)+IF(DX1941&lt;&gt;"",1,0)+IF(DY1941&lt;&gt;"",1,0)+IF(DZ1941&lt;&gt;"",1,0)+IF(EB1941&lt;&gt;"",1,0)+IF(EC1941&lt;&gt;"",1,0)+IF(ED1941&lt;&gt;"",1,0)+IF(EG1941&lt;&gt;"",1,0)+IF(EH1941&lt;&gt;"",1,0)</f>
        <v/>
      </c>
      <c r="AZ1941">
        <f>IF(EH1941&lt;&gt;"",1,0)</f>
        <v/>
      </c>
      <c r="BB1941" t="inlineStr">
        <is>
          <t>WARREN-WARD 4</t>
        </is>
      </c>
      <c r="DC1941" t="inlineStr">
        <is>
          <t>X</t>
        </is>
      </c>
      <c r="DN1941" t="inlineStr">
        <is>
          <t>X</t>
        </is>
      </c>
    </row>
    <row r="1942">
      <c r="A1942" t="inlineStr">
        <is>
          <t>OH0022585324</t>
        </is>
      </c>
      <c r="B1942" t="n">
        <v>78</v>
      </c>
      <c r="C1942" t="n">
        <v>397317</v>
      </c>
      <c r="D1942" t="inlineStr">
        <is>
          <t>WOODALL</t>
        </is>
      </c>
      <c r="E1942" t="inlineStr">
        <is>
          <t>CLOUVESIS</t>
        </is>
      </c>
      <c r="F1942">
        <f>CONCATENATE(D1942," ",LEFT(H1942,4),"T=",AU1942,"D=",AV1942,"R=",AW1942,"M=",AX1942,"L=",AY1942,"B=",AZ1942)</f>
        <v/>
      </c>
      <c r="G1942" t="inlineStr">
        <is>
          <t>SMITH</t>
        </is>
      </c>
      <c r="I1942" t="inlineStr">
        <is>
          <t>1946-03-24</t>
        </is>
      </c>
      <c r="J1942" t="inlineStr">
        <is>
          <t>2020-03-24</t>
        </is>
      </c>
      <c r="K1942" t="inlineStr">
        <is>
          <t>ACTIVE</t>
        </is>
      </c>
      <c r="M1942" t="inlineStr">
        <is>
          <t>648 PAIGE AVE NE</t>
        </is>
      </c>
      <c r="N1942">
        <f>RIGHT(M1942,LEN(M1942)-FIND(" ",M1942))</f>
        <v/>
      </c>
      <c r="P1942" t="inlineStr">
        <is>
          <t>WARREN</t>
        </is>
      </c>
      <c r="Q1942" t="inlineStr">
        <is>
          <t>OH</t>
        </is>
      </c>
      <c r="R1942" t="n">
        <v>44483</v>
      </c>
      <c r="AD1942" t="inlineStr">
        <is>
          <t>TRUMBULL CAREER &amp; TECH CENTER</t>
        </is>
      </c>
      <c r="AE1942" t="inlineStr">
        <is>
          <t>WARREN CITY</t>
        </is>
      </c>
      <c r="AF1942" t="inlineStr">
        <is>
          <t>WARREN CITY SD</t>
        </is>
      </c>
      <c r="AH1942" t="n">
        <v>14</v>
      </c>
      <c r="AI1942" t="n">
        <v>11</v>
      </c>
      <c r="AN1942" t="inlineStr">
        <is>
          <t>WARREN</t>
        </is>
      </c>
      <c r="AO1942" t="inlineStr">
        <is>
          <t>WARREN CITY 4D</t>
        </is>
      </c>
      <c r="AP1942" t="inlineStr">
        <is>
          <t>78-P-ADL</t>
        </is>
      </c>
      <c r="AQ1942" t="n">
        <v>9</v>
      </c>
      <c r="AR1942" t="n">
        <v>64</v>
      </c>
      <c r="AS1942" t="n">
        <v>32</v>
      </c>
      <c r="AU1942">
        <f>COUNTA($BA$1942:$EH$1942)</f>
        <v/>
      </c>
      <c r="AV1942">
        <f>COUNTIF($BA$1942:$EH$1942,"D")</f>
        <v/>
      </c>
      <c r="AW1942">
        <f>COUNTIF($BA$1942:$EH$1942,"R")</f>
        <v/>
      </c>
      <c r="AX1942">
        <f>IF(BN1942="D",1,0)+IF(BO1942="D",1,0)+IF(BT1942="D",1,0)+IF(BU1942="D",1,0)+IF(BW1942="D",1,0)+IF(CC1942="D",1,0)+IF(CD1942="D",1,0)+IF(CE1942="D",1,0)+IF(CF1942="D",1,0)+IF(CL1942="D",1,0)+IF(CM1942="D",1,0)+IF(CQ1942="D",1,0)+IF(CR1942="D",1,0)+IF(CS1942="D",1,0)+IF(CW1942="D",1,0)+IF(CX1942="D",1,0)+IF(DD1942="D",1,0)+IF(DE1942="D",1,0)+IF(DJ1942="D",1,0)+IF(DK1942="D",1,0)+IF(DO1942="D",1,0)+IF(DP1942="D",1,0)+IF(DQ1942="D",1,0)+IF(DW1942="D",1,0)+IF(DZ1942="D",1,0)+IF(EH1942="D",1,0)</f>
        <v/>
      </c>
      <c r="AY1942">
        <f>IF(DJ1942&lt;&gt;"",1,0)+IF(DK1942&lt;&gt;"",1,0)+IF(DM1942&lt;&gt;"",1,0)+IF(DO1942&lt;&gt;"",1,0)+IF(DP1942&lt;&gt;"",1,0)+IF(DQ1942&lt;&gt;"",1,0)+IF(DS1942&lt;&gt;"",1,0)+IF(DT1942&lt;&gt;"",1,0)+IF(DV1942&lt;&gt;"",1,0)+IF(DW1942&lt;&gt;"",1,0)+IF(DX1942&lt;&gt;"",1,0)+IF(DY1942&lt;&gt;"",1,0)+IF(DZ1942&lt;&gt;"",1,0)+IF(EB1942&lt;&gt;"",1,0)+IF(EC1942&lt;&gt;"",1,0)+IF(ED1942&lt;&gt;"",1,0)+IF(EG1942&lt;&gt;"",1,0)+IF(EH1942&lt;&gt;"",1,0)</f>
        <v/>
      </c>
      <c r="AZ1942">
        <f>IF(EH1942&lt;&gt;"",1,0)</f>
        <v/>
      </c>
      <c r="BB1942" t="inlineStr">
        <is>
          <t>WARREN-WARD 4</t>
        </is>
      </c>
      <c r="DC1942" t="inlineStr">
        <is>
          <t>X</t>
        </is>
      </c>
      <c r="DI1942" t="inlineStr">
        <is>
          <t>X</t>
        </is>
      </c>
      <c r="DN1942" t="inlineStr">
        <is>
          <t>X</t>
        </is>
      </c>
      <c r="DU1942" t="inlineStr">
        <is>
          <t>X</t>
        </is>
      </c>
    </row>
    <row r="1943">
      <c r="A1943" t="inlineStr">
        <is>
          <t>OH0015684714</t>
        </is>
      </c>
      <c r="B1943" t="n">
        <v>78</v>
      </c>
      <c r="C1943" t="n">
        <v>321721</v>
      </c>
      <c r="D1943" t="inlineStr">
        <is>
          <t>PALYA</t>
        </is>
      </c>
      <c r="E1943" t="inlineStr">
        <is>
          <t>TIMOTHY</t>
        </is>
      </c>
      <c r="F1943">
        <f>CONCATENATE(D1943," ",LEFT(H1943,4),"T=",AU1943,"D=",AV1943,"R=",AW1943,"M=",AX1943,"L=",AY1943,"B=",AZ1943)</f>
        <v/>
      </c>
      <c r="G1943" t="inlineStr">
        <is>
          <t>A</t>
        </is>
      </c>
      <c r="I1943" t="inlineStr">
        <is>
          <t>1968-02-01</t>
        </is>
      </c>
      <c r="J1943" t="inlineStr">
        <is>
          <t>2019-03-21</t>
        </is>
      </c>
      <c r="K1943" t="inlineStr">
        <is>
          <t>ACTIVE</t>
        </is>
      </c>
      <c r="L1943" t="inlineStr">
        <is>
          <t>R</t>
        </is>
      </c>
      <c r="M1943" t="inlineStr">
        <is>
          <t>532 N PARK AVE</t>
        </is>
      </c>
      <c r="N1943">
        <f>RIGHT(M1943,LEN(M1943)-FIND(" ",M1943))</f>
        <v/>
      </c>
      <c r="O1943" t="inlineStr">
        <is>
          <t>APT D</t>
        </is>
      </c>
      <c r="P1943" t="inlineStr">
        <is>
          <t>WARREN</t>
        </is>
      </c>
      <c r="Q1943" t="inlineStr">
        <is>
          <t>OH</t>
        </is>
      </c>
      <c r="R1943" t="n">
        <v>44481</v>
      </c>
      <c r="AD1943" t="inlineStr">
        <is>
          <t>TRUMBULL CAREER &amp; TECH CENTER</t>
        </is>
      </c>
      <c r="AE1943" t="inlineStr">
        <is>
          <t>WARREN CITY</t>
        </is>
      </c>
      <c r="AF1943" t="inlineStr">
        <is>
          <t>WARREN CITY SD</t>
        </is>
      </c>
      <c r="AH1943" t="n">
        <v>14</v>
      </c>
      <c r="AI1943" t="n">
        <v>11</v>
      </c>
      <c r="AN1943" t="inlineStr">
        <is>
          <t>WARREN</t>
        </is>
      </c>
      <c r="AO1943" t="inlineStr">
        <is>
          <t>WARREN CITY 4D</t>
        </is>
      </c>
      <c r="AP1943" t="inlineStr">
        <is>
          <t>78-P-ADL</t>
        </is>
      </c>
      <c r="AQ1943" t="n">
        <v>9</v>
      </c>
      <c r="AR1943" t="n">
        <v>64</v>
      </c>
      <c r="AS1943" t="n">
        <v>32</v>
      </c>
      <c r="AU1943">
        <f>COUNTA($BA$1943:$EH$1943)</f>
        <v/>
      </c>
      <c r="AV1943">
        <f>COUNTIF($BA$1943:$EH$1943,"D")</f>
        <v/>
      </c>
      <c r="AW1943">
        <f>COUNTIF($BA$1943:$EH$1943,"R")</f>
        <v/>
      </c>
      <c r="AX1943">
        <f>IF(BN1943="D",1,0)+IF(BO1943="D",1,0)+IF(BT1943="D",1,0)+IF(BU1943="D",1,0)+IF(BW1943="D",1,0)+IF(CC1943="D",1,0)+IF(CD1943="D",1,0)+IF(CE1943="D",1,0)+IF(CF1943="D",1,0)+IF(CL1943="D",1,0)+IF(CM1943="D",1,0)+IF(CQ1943="D",1,0)+IF(CR1943="D",1,0)+IF(CS1943="D",1,0)+IF(CW1943="D",1,0)+IF(CX1943="D",1,0)+IF(DD1943="D",1,0)+IF(DE1943="D",1,0)+IF(DJ1943="D",1,0)+IF(DK1943="D",1,0)+IF(DO1943="D",1,0)+IF(DP1943="D",1,0)+IF(DQ1943="D",1,0)+IF(DW1943="D",1,0)+IF(DZ1943="D",1,0)+IF(EH1943="D",1,0)</f>
        <v/>
      </c>
      <c r="AY1943">
        <f>IF(DJ1943&lt;&gt;"",1,0)+IF(DK1943&lt;&gt;"",1,0)+IF(DM1943&lt;&gt;"",1,0)+IF(DO1943&lt;&gt;"",1,0)+IF(DP1943&lt;&gt;"",1,0)+IF(DQ1943&lt;&gt;"",1,0)+IF(DS1943&lt;&gt;"",1,0)+IF(DT1943&lt;&gt;"",1,0)+IF(DV1943&lt;&gt;"",1,0)+IF(DW1943&lt;&gt;"",1,0)+IF(DX1943&lt;&gt;"",1,0)+IF(DY1943&lt;&gt;"",1,0)+IF(DZ1943&lt;&gt;"",1,0)+IF(EB1943&lt;&gt;"",1,0)+IF(EC1943&lt;&gt;"",1,0)+IF(ED1943&lt;&gt;"",1,0)+IF(EG1943&lt;&gt;"",1,0)+IF(EH1943&lt;&gt;"",1,0)</f>
        <v/>
      </c>
      <c r="AZ1943">
        <f>IF(EH1943&lt;&gt;"",1,0)</f>
        <v/>
      </c>
      <c r="BB1943" t="inlineStr">
        <is>
          <t>WARREN-WARD 4</t>
        </is>
      </c>
      <c r="BL1943" t="inlineStr">
        <is>
          <t>X</t>
        </is>
      </c>
      <c r="CA1943" t="inlineStr">
        <is>
          <t>X</t>
        </is>
      </c>
      <c r="CK1943" t="inlineStr">
        <is>
          <t>X</t>
        </is>
      </c>
      <c r="CN1943" t="inlineStr">
        <is>
          <t>X</t>
        </is>
      </c>
      <c r="CP1943" t="inlineStr">
        <is>
          <t>X</t>
        </is>
      </c>
      <c r="DC1943" t="inlineStr">
        <is>
          <t>X</t>
        </is>
      </c>
      <c r="DN1943" t="inlineStr">
        <is>
          <t>X</t>
        </is>
      </c>
      <c r="DS1943" t="inlineStr">
        <is>
          <t>R</t>
        </is>
      </c>
      <c r="DT1943" t="inlineStr">
        <is>
          <t>R</t>
        </is>
      </c>
      <c r="DU1943" t="inlineStr">
        <is>
          <t>X</t>
        </is>
      </c>
      <c r="DX1943" t="inlineStr">
        <is>
          <t>X</t>
        </is>
      </c>
      <c r="EA1943" t="inlineStr">
        <is>
          <t>X</t>
        </is>
      </c>
      <c r="ED1943" t="inlineStr">
        <is>
          <t>R</t>
        </is>
      </c>
    </row>
    <row r="1944">
      <c r="A1944" t="inlineStr">
        <is>
          <t>OH0027518586</t>
        </is>
      </c>
      <c r="B1944" t="n">
        <v>78</v>
      </c>
      <c r="C1944" t="n">
        <v>487693</v>
      </c>
      <c r="D1944" t="inlineStr">
        <is>
          <t>CARTER</t>
        </is>
      </c>
      <c r="E1944" t="inlineStr">
        <is>
          <t>STEVEN</t>
        </is>
      </c>
      <c r="F1944">
        <f>CONCATENATE(D1944," ",LEFT(H1944,4),"T=",AU1944,"D=",AV1944,"R=",AW1944,"M=",AX1944,"L=",AY1944,"B=",AZ1944)</f>
        <v/>
      </c>
      <c r="G1944" t="inlineStr">
        <is>
          <t>TYLER</t>
        </is>
      </c>
      <c r="I1944" t="inlineStr">
        <is>
          <t>1996-05-13</t>
        </is>
      </c>
      <c r="J1944" t="inlineStr">
        <is>
          <t>2024-08-20</t>
        </is>
      </c>
      <c r="K1944" t="inlineStr">
        <is>
          <t>ACTIVE</t>
        </is>
      </c>
      <c r="M1944" t="inlineStr">
        <is>
          <t>169 IDDINGS AVE NE</t>
        </is>
      </c>
      <c r="N1944">
        <f>RIGHT(M1944,LEN(M1944)-FIND(" ",M1944))</f>
        <v/>
      </c>
      <c r="P1944" t="inlineStr">
        <is>
          <t>WARREN</t>
        </is>
      </c>
      <c r="Q1944" t="inlineStr">
        <is>
          <t>OH</t>
        </is>
      </c>
      <c r="R1944" t="n">
        <v>44483</v>
      </c>
      <c r="AD1944" t="inlineStr">
        <is>
          <t>TRUMBULL CAREER &amp; TECH CENTER</t>
        </is>
      </c>
      <c r="AE1944" t="inlineStr">
        <is>
          <t>WARREN CITY</t>
        </is>
      </c>
      <c r="AF1944" t="inlineStr">
        <is>
          <t>WARREN CITY SD</t>
        </is>
      </c>
      <c r="AH1944" t="n">
        <v>14</v>
      </c>
      <c r="AI1944" t="n">
        <v>11</v>
      </c>
      <c r="AN1944" t="inlineStr">
        <is>
          <t>WARREN</t>
        </is>
      </c>
      <c r="AO1944" t="inlineStr">
        <is>
          <t>WARREN CITY 4D</t>
        </is>
      </c>
      <c r="AP1944" t="inlineStr">
        <is>
          <t>78-P-ADL</t>
        </is>
      </c>
      <c r="AQ1944" t="n">
        <v>9</v>
      </c>
      <c r="AR1944" t="n">
        <v>64</v>
      </c>
      <c r="AS1944" t="n">
        <v>32</v>
      </c>
      <c r="AU1944">
        <f>COUNTA($BA$1944:$EH$1944)</f>
        <v/>
      </c>
      <c r="AV1944">
        <f>COUNTIF($BA$1944:$EH$1944,"D")</f>
        <v/>
      </c>
      <c r="AW1944">
        <f>COUNTIF($BA$1944:$EH$1944,"R")</f>
        <v/>
      </c>
      <c r="AX1944">
        <f>IF(BN1944="D",1,0)+IF(BO1944="D",1,0)+IF(BT1944="D",1,0)+IF(BU1944="D",1,0)+IF(BW1944="D",1,0)+IF(CC1944="D",1,0)+IF(CD1944="D",1,0)+IF(CE1944="D",1,0)+IF(CF1944="D",1,0)+IF(CL1944="D",1,0)+IF(CM1944="D",1,0)+IF(CQ1944="D",1,0)+IF(CR1944="D",1,0)+IF(CS1944="D",1,0)+IF(CW1944="D",1,0)+IF(CX1944="D",1,0)+IF(DD1944="D",1,0)+IF(DE1944="D",1,0)+IF(DJ1944="D",1,0)+IF(DK1944="D",1,0)+IF(DO1944="D",1,0)+IF(DP1944="D",1,0)+IF(DQ1944="D",1,0)+IF(DW1944="D",1,0)+IF(DZ1944="D",1,0)+IF(EH1944="D",1,0)</f>
        <v/>
      </c>
      <c r="AY1944">
        <f>IF(DJ1944&lt;&gt;"",1,0)+IF(DK1944&lt;&gt;"",1,0)+IF(DM1944&lt;&gt;"",1,0)+IF(DO1944&lt;&gt;"",1,0)+IF(DP1944&lt;&gt;"",1,0)+IF(DQ1944&lt;&gt;"",1,0)+IF(DS1944&lt;&gt;"",1,0)+IF(DT1944&lt;&gt;"",1,0)+IF(DV1944&lt;&gt;"",1,0)+IF(DW1944&lt;&gt;"",1,0)+IF(DX1944&lt;&gt;"",1,0)+IF(DY1944&lt;&gt;"",1,0)+IF(DZ1944&lt;&gt;"",1,0)+IF(EB1944&lt;&gt;"",1,0)+IF(EC1944&lt;&gt;"",1,0)+IF(ED1944&lt;&gt;"",1,0)+IF(EG1944&lt;&gt;"",1,0)+IF(EH1944&lt;&gt;"",1,0)</f>
        <v/>
      </c>
      <c r="AZ1944">
        <f>IF(EH1944&lt;&gt;"",1,0)</f>
        <v/>
      </c>
      <c r="BB1944" t="inlineStr">
        <is>
          <t>WARREN-WARD 4</t>
        </is>
      </c>
      <c r="EF1944" t="inlineStr">
        <is>
          <t>X</t>
        </is>
      </c>
    </row>
    <row r="1945">
      <c r="A1945" t="inlineStr">
        <is>
          <t>OH0015763688</t>
        </is>
      </c>
      <c r="B1945" t="n">
        <v>78</v>
      </c>
      <c r="C1945" t="n">
        <v>251035</v>
      </c>
      <c r="D1945" t="inlineStr">
        <is>
          <t>FISHEL</t>
        </is>
      </c>
      <c r="E1945" t="inlineStr">
        <is>
          <t>TIMOTHY</t>
        </is>
      </c>
      <c r="F1945">
        <f>CONCATENATE(D1945," ",LEFT(H1945,4),"T=",AU1945,"D=",AV1945,"R=",AW1945,"M=",AX1945,"L=",AY1945,"B=",AZ1945)</f>
        <v/>
      </c>
      <c r="G1945" t="inlineStr">
        <is>
          <t>G</t>
        </is>
      </c>
      <c r="I1945" t="inlineStr">
        <is>
          <t>1960-12-13</t>
        </is>
      </c>
      <c r="J1945" t="inlineStr">
        <is>
          <t>2016-09-03</t>
        </is>
      </c>
      <c r="K1945" t="inlineStr">
        <is>
          <t>ACTIVE</t>
        </is>
      </c>
      <c r="M1945" t="inlineStr">
        <is>
          <t>673 PORTER ST NE</t>
        </is>
      </c>
      <c r="N1945">
        <f>RIGHT(M1945,LEN(M1945)-FIND(" ",M1945))</f>
        <v/>
      </c>
      <c r="P1945" t="inlineStr">
        <is>
          <t>WARREN</t>
        </is>
      </c>
      <c r="Q1945" t="inlineStr">
        <is>
          <t>OH</t>
        </is>
      </c>
      <c r="R1945" t="n">
        <v>44483</v>
      </c>
      <c r="AD1945" t="inlineStr">
        <is>
          <t>TRUMBULL CAREER &amp; TECH CENTER</t>
        </is>
      </c>
      <c r="AE1945" t="inlineStr">
        <is>
          <t>WARREN CITY</t>
        </is>
      </c>
      <c r="AF1945" t="inlineStr">
        <is>
          <t>WARREN CITY SD</t>
        </is>
      </c>
      <c r="AH1945" t="n">
        <v>14</v>
      </c>
      <c r="AI1945" t="n">
        <v>11</v>
      </c>
      <c r="AN1945" t="inlineStr">
        <is>
          <t>WARREN</t>
        </is>
      </c>
      <c r="AO1945" t="inlineStr">
        <is>
          <t>WARREN CITY 4D</t>
        </is>
      </c>
      <c r="AP1945" t="inlineStr">
        <is>
          <t>78-P-ADL</t>
        </is>
      </c>
      <c r="AQ1945" t="n">
        <v>9</v>
      </c>
      <c r="AR1945" t="n">
        <v>64</v>
      </c>
      <c r="AS1945" t="n">
        <v>32</v>
      </c>
      <c r="AU1945">
        <f>COUNTA($BA$1945:$EH$1945)</f>
        <v/>
      </c>
      <c r="AV1945">
        <f>COUNTIF($BA$1945:$EH$1945,"D")</f>
        <v/>
      </c>
      <c r="AW1945">
        <f>COUNTIF($BA$1945:$EH$1945,"R")</f>
        <v/>
      </c>
      <c r="AX1945">
        <f>IF(BN1945="D",1,0)+IF(BO1945="D",1,0)+IF(BT1945="D",1,0)+IF(BU1945="D",1,0)+IF(BW1945="D",1,0)+IF(CC1945="D",1,0)+IF(CD1945="D",1,0)+IF(CE1945="D",1,0)+IF(CF1945="D",1,0)+IF(CL1945="D",1,0)+IF(CM1945="D",1,0)+IF(CQ1945="D",1,0)+IF(CR1945="D",1,0)+IF(CS1945="D",1,0)+IF(CW1945="D",1,0)+IF(CX1945="D",1,0)+IF(DD1945="D",1,0)+IF(DE1945="D",1,0)+IF(DJ1945="D",1,0)+IF(DK1945="D",1,0)+IF(DO1945="D",1,0)+IF(DP1945="D",1,0)+IF(DQ1945="D",1,0)+IF(DW1945="D",1,0)+IF(DZ1945="D",1,0)+IF(EH1945="D",1,0)</f>
        <v/>
      </c>
      <c r="AY1945">
        <f>IF(DJ1945&lt;&gt;"",1,0)+IF(DK1945&lt;&gt;"",1,0)+IF(DM1945&lt;&gt;"",1,0)+IF(DO1945&lt;&gt;"",1,0)+IF(DP1945&lt;&gt;"",1,0)+IF(DQ1945&lt;&gt;"",1,0)+IF(DS1945&lt;&gt;"",1,0)+IF(DT1945&lt;&gt;"",1,0)+IF(DV1945&lt;&gt;"",1,0)+IF(DW1945&lt;&gt;"",1,0)+IF(DX1945&lt;&gt;"",1,0)+IF(DY1945&lt;&gt;"",1,0)+IF(DZ1945&lt;&gt;"",1,0)+IF(EB1945&lt;&gt;"",1,0)+IF(EC1945&lt;&gt;"",1,0)+IF(ED1945&lt;&gt;"",1,0)+IF(EG1945&lt;&gt;"",1,0)+IF(EH1945&lt;&gt;"",1,0)</f>
        <v/>
      </c>
      <c r="AZ1945">
        <f>IF(EH1945&lt;&gt;"",1,0)</f>
        <v/>
      </c>
      <c r="BB1945" t="inlineStr">
        <is>
          <t>WARREN-WARD 4</t>
        </is>
      </c>
      <c r="BC1945" t="inlineStr">
        <is>
          <t>X</t>
        </is>
      </c>
      <c r="BD1945" t="inlineStr">
        <is>
          <t>X</t>
        </is>
      </c>
      <c r="BE1945" t="inlineStr">
        <is>
          <t>X</t>
        </is>
      </c>
      <c r="BF1945" t="inlineStr">
        <is>
          <t>X</t>
        </is>
      </c>
      <c r="BG1945" t="inlineStr">
        <is>
          <t>X</t>
        </is>
      </c>
      <c r="BH1945" t="inlineStr">
        <is>
          <t>X</t>
        </is>
      </c>
      <c r="BI1945" t="inlineStr">
        <is>
          <t>X</t>
        </is>
      </c>
      <c r="BK1945" t="inlineStr">
        <is>
          <t>X</t>
        </is>
      </c>
      <c r="BL1945" t="inlineStr">
        <is>
          <t>X</t>
        </is>
      </c>
      <c r="BP1945" t="inlineStr">
        <is>
          <t>X</t>
        </is>
      </c>
      <c r="BR1945" t="inlineStr">
        <is>
          <t>X</t>
        </is>
      </c>
      <c r="BS1945" t="inlineStr">
        <is>
          <t>X</t>
        </is>
      </c>
      <c r="BV1945" t="inlineStr">
        <is>
          <t>X</t>
        </is>
      </c>
      <c r="BY1945" t="inlineStr">
        <is>
          <t>D</t>
        </is>
      </c>
      <c r="CA1945" t="inlineStr">
        <is>
          <t>X</t>
        </is>
      </c>
      <c r="CP1945" t="inlineStr">
        <is>
          <t>X</t>
        </is>
      </c>
      <c r="CV1945" t="inlineStr">
        <is>
          <t>X</t>
        </is>
      </c>
      <c r="CY1945" t="inlineStr">
        <is>
          <t>X</t>
        </is>
      </c>
      <c r="CZ1945" t="inlineStr">
        <is>
          <t>R</t>
        </is>
      </c>
      <c r="DC1945" t="inlineStr">
        <is>
          <t>X</t>
        </is>
      </c>
      <c r="DI1945" t="inlineStr">
        <is>
          <t>X</t>
        </is>
      </c>
      <c r="DM1945" t="inlineStr">
        <is>
          <t>D</t>
        </is>
      </c>
      <c r="DN1945" t="inlineStr">
        <is>
          <t>X</t>
        </is>
      </c>
      <c r="DR1945" t="inlineStr">
        <is>
          <t>X</t>
        </is>
      </c>
      <c r="DU1945" t="inlineStr">
        <is>
          <t>X</t>
        </is>
      </c>
      <c r="DX1945" t="inlineStr">
        <is>
          <t>X</t>
        </is>
      </c>
      <c r="EA1945" t="inlineStr">
        <is>
          <t>X</t>
        </is>
      </c>
      <c r="EF1945" t="inlineStr">
        <is>
          <t>X</t>
        </is>
      </c>
    </row>
    <row r="1946">
      <c r="A1946" t="inlineStr">
        <is>
          <t>OH0015712277</t>
        </is>
      </c>
      <c r="B1946" t="n">
        <v>78</v>
      </c>
      <c r="C1946" t="n">
        <v>182828</v>
      </c>
      <c r="D1946" t="inlineStr">
        <is>
          <t>DZIEDZIC</t>
        </is>
      </c>
      <c r="E1946" t="inlineStr">
        <is>
          <t>LORI</t>
        </is>
      </c>
      <c r="F1946">
        <f>CONCATENATE(D1946," ",LEFT(H1946,4),"T=",AU1946,"D=",AV1946,"R=",AW1946,"M=",AX1946,"L=",AY1946,"B=",AZ1946)</f>
        <v/>
      </c>
      <c r="G1946" t="inlineStr">
        <is>
          <t>K</t>
        </is>
      </c>
      <c r="I1946" t="inlineStr">
        <is>
          <t>1951-12-04</t>
        </is>
      </c>
      <c r="J1946" t="inlineStr">
        <is>
          <t>1984-10-16</t>
        </is>
      </c>
      <c r="K1946" t="inlineStr">
        <is>
          <t>ACTIVE</t>
        </is>
      </c>
      <c r="L1946" t="inlineStr">
        <is>
          <t>R</t>
        </is>
      </c>
      <c r="M1946" t="inlineStr">
        <is>
          <t>456 LAMPHIER PL NE</t>
        </is>
      </c>
      <c r="N1946">
        <f>RIGHT(M1946,LEN(M1946)-FIND(" ",M1946))</f>
        <v/>
      </c>
      <c r="P1946" t="inlineStr">
        <is>
          <t>WARREN</t>
        </is>
      </c>
      <c r="Q1946" t="inlineStr">
        <is>
          <t>OH</t>
        </is>
      </c>
      <c r="R1946" t="n">
        <v>44483</v>
      </c>
      <c r="AD1946" t="inlineStr">
        <is>
          <t>TRUMBULL CAREER &amp; TECH CENTER</t>
        </is>
      </c>
      <c r="AE1946" t="inlineStr">
        <is>
          <t>WARREN CITY</t>
        </is>
      </c>
      <c r="AF1946" t="inlineStr">
        <is>
          <t>WARREN CITY SD</t>
        </is>
      </c>
      <c r="AH1946" t="n">
        <v>14</v>
      </c>
      <c r="AI1946" t="n">
        <v>11</v>
      </c>
      <c r="AN1946" t="inlineStr">
        <is>
          <t>WARREN</t>
        </is>
      </c>
      <c r="AO1946" t="inlineStr">
        <is>
          <t>WARREN CITY 4D</t>
        </is>
      </c>
      <c r="AP1946" t="inlineStr">
        <is>
          <t>78-P-ADL</t>
        </is>
      </c>
      <c r="AQ1946" t="n">
        <v>9</v>
      </c>
      <c r="AR1946" t="n">
        <v>64</v>
      </c>
      <c r="AS1946" t="n">
        <v>32</v>
      </c>
      <c r="AU1946">
        <f>COUNTA($BA$1946:$EH$1946)</f>
        <v/>
      </c>
      <c r="AV1946">
        <f>COUNTIF($BA$1946:$EH$1946,"D")</f>
        <v/>
      </c>
      <c r="AW1946">
        <f>COUNTIF($BA$1946:$EH$1946,"R")</f>
        <v/>
      </c>
      <c r="AX1946">
        <f>IF(BN1946="D",1,0)+IF(BO1946="D",1,0)+IF(BT1946="D",1,0)+IF(BU1946="D",1,0)+IF(BW1946="D",1,0)+IF(CC1946="D",1,0)+IF(CD1946="D",1,0)+IF(CE1946="D",1,0)+IF(CF1946="D",1,0)+IF(CL1946="D",1,0)+IF(CM1946="D",1,0)+IF(CQ1946="D",1,0)+IF(CR1946="D",1,0)+IF(CS1946="D",1,0)+IF(CW1946="D",1,0)+IF(CX1946="D",1,0)+IF(DD1946="D",1,0)+IF(DE1946="D",1,0)+IF(DJ1946="D",1,0)+IF(DK1946="D",1,0)+IF(DO1946="D",1,0)+IF(DP1946="D",1,0)+IF(DQ1946="D",1,0)+IF(DW1946="D",1,0)+IF(DZ1946="D",1,0)+IF(EH1946="D",1,0)</f>
        <v/>
      </c>
      <c r="AY1946">
        <f>IF(DJ1946&lt;&gt;"",1,0)+IF(DK1946&lt;&gt;"",1,0)+IF(DM1946&lt;&gt;"",1,0)+IF(DO1946&lt;&gt;"",1,0)+IF(DP1946&lt;&gt;"",1,0)+IF(DQ1946&lt;&gt;"",1,0)+IF(DS1946&lt;&gt;"",1,0)+IF(DT1946&lt;&gt;"",1,0)+IF(DV1946&lt;&gt;"",1,0)+IF(DW1946&lt;&gt;"",1,0)+IF(DX1946&lt;&gt;"",1,0)+IF(DY1946&lt;&gt;"",1,0)+IF(DZ1946&lt;&gt;"",1,0)+IF(EB1946&lt;&gt;"",1,0)+IF(EC1946&lt;&gt;"",1,0)+IF(ED1946&lt;&gt;"",1,0)+IF(EG1946&lt;&gt;"",1,0)+IF(EH1946&lt;&gt;"",1,0)</f>
        <v/>
      </c>
      <c r="AZ1946">
        <f>IF(EH1946&lt;&gt;"",1,0)</f>
        <v/>
      </c>
      <c r="BB1946" t="inlineStr">
        <is>
          <t>WARREN-WARD 4</t>
        </is>
      </c>
      <c r="BC1946" t="inlineStr">
        <is>
          <t>X</t>
        </is>
      </c>
      <c r="BD1946" t="inlineStr">
        <is>
          <t>X</t>
        </is>
      </c>
      <c r="BH1946" t="inlineStr">
        <is>
          <t>X</t>
        </is>
      </c>
      <c r="BL1946" t="inlineStr">
        <is>
          <t>X</t>
        </is>
      </c>
      <c r="CA1946" t="inlineStr">
        <is>
          <t>X</t>
        </is>
      </c>
      <c r="CG1946" t="inlineStr">
        <is>
          <t>X</t>
        </is>
      </c>
      <c r="DC1946" t="inlineStr">
        <is>
          <t>X</t>
        </is>
      </c>
      <c r="DI1946" t="inlineStr">
        <is>
          <t>X</t>
        </is>
      </c>
      <c r="DN1946" t="inlineStr">
        <is>
          <t>X</t>
        </is>
      </c>
      <c r="DS1946" t="inlineStr">
        <is>
          <t>R</t>
        </is>
      </c>
      <c r="DU1946" t="inlineStr">
        <is>
          <t>X</t>
        </is>
      </c>
      <c r="EA1946" t="inlineStr">
        <is>
          <t>X</t>
        </is>
      </c>
      <c r="EF1946" t="inlineStr">
        <is>
          <t>X</t>
        </is>
      </c>
    </row>
    <row r="1947">
      <c r="A1947" t="inlineStr">
        <is>
          <t>OH0015754905</t>
        </is>
      </c>
      <c r="B1947" t="n">
        <v>78</v>
      </c>
      <c r="C1947" t="n">
        <v>283445</v>
      </c>
      <c r="D1947" t="inlineStr">
        <is>
          <t>BLAND</t>
        </is>
      </c>
      <c r="E1947" t="inlineStr">
        <is>
          <t>KELLY</t>
        </is>
      </c>
      <c r="F1947">
        <f>CONCATENATE(D1947," ",LEFT(H1947,4),"T=",AU1947,"D=",AV1947,"R=",AW1947,"M=",AX1947,"L=",AY1947,"B=",AZ1947)</f>
        <v/>
      </c>
      <c r="I1947" t="inlineStr">
        <is>
          <t>1973-04-24</t>
        </is>
      </c>
      <c r="J1947" t="inlineStr">
        <is>
          <t>1998-05-15</t>
        </is>
      </c>
      <c r="K1947" t="inlineStr">
        <is>
          <t>ACTIVE</t>
        </is>
      </c>
      <c r="M1947" t="inlineStr">
        <is>
          <t>255 CHARLES AVE NE</t>
        </is>
      </c>
      <c r="N1947">
        <f>RIGHT(M1947,LEN(M1947)-FIND(" ",M1947))</f>
        <v/>
      </c>
      <c r="P1947" t="inlineStr">
        <is>
          <t>WARREN</t>
        </is>
      </c>
      <c r="Q1947" t="inlineStr">
        <is>
          <t>OH</t>
        </is>
      </c>
      <c r="R1947" t="n">
        <v>44483</v>
      </c>
      <c r="AD1947" t="inlineStr">
        <is>
          <t>TRUMBULL CAREER &amp; TECH CENTER</t>
        </is>
      </c>
      <c r="AE1947" t="inlineStr">
        <is>
          <t>WARREN CITY</t>
        </is>
      </c>
      <c r="AF1947" t="inlineStr">
        <is>
          <t>WARREN CITY SD</t>
        </is>
      </c>
      <c r="AH1947" t="n">
        <v>14</v>
      </c>
      <c r="AI1947" t="n">
        <v>11</v>
      </c>
      <c r="AN1947" t="inlineStr">
        <is>
          <t>WARREN</t>
        </is>
      </c>
      <c r="AO1947" t="inlineStr">
        <is>
          <t>WARREN CITY 4D</t>
        </is>
      </c>
      <c r="AP1947" t="inlineStr">
        <is>
          <t>78-P-ADL</t>
        </is>
      </c>
      <c r="AQ1947" t="n">
        <v>9</v>
      </c>
      <c r="AR1947" t="n">
        <v>64</v>
      </c>
      <c r="AS1947" t="n">
        <v>32</v>
      </c>
      <c r="AU1947">
        <f>COUNTA($BA$1947:$EH$1947)</f>
        <v/>
      </c>
      <c r="AV1947">
        <f>COUNTIF($BA$1947:$EH$1947,"D")</f>
        <v/>
      </c>
      <c r="AW1947">
        <f>COUNTIF($BA$1947:$EH$1947,"R")</f>
        <v/>
      </c>
      <c r="AX1947">
        <f>IF(BN1947="D",1,0)+IF(BO1947="D",1,0)+IF(BT1947="D",1,0)+IF(BU1947="D",1,0)+IF(BW1947="D",1,0)+IF(CC1947="D",1,0)+IF(CD1947="D",1,0)+IF(CE1947="D",1,0)+IF(CF1947="D",1,0)+IF(CL1947="D",1,0)+IF(CM1947="D",1,0)+IF(CQ1947="D",1,0)+IF(CR1947="D",1,0)+IF(CS1947="D",1,0)+IF(CW1947="D",1,0)+IF(CX1947="D",1,0)+IF(DD1947="D",1,0)+IF(DE1947="D",1,0)+IF(DJ1947="D",1,0)+IF(DK1947="D",1,0)+IF(DO1947="D",1,0)+IF(DP1947="D",1,0)+IF(DQ1947="D",1,0)+IF(DW1947="D",1,0)+IF(DZ1947="D",1,0)+IF(EH1947="D",1,0)</f>
        <v/>
      </c>
      <c r="AY1947">
        <f>IF(DJ1947&lt;&gt;"",1,0)+IF(DK1947&lt;&gt;"",1,0)+IF(DM1947&lt;&gt;"",1,0)+IF(DO1947&lt;&gt;"",1,0)+IF(DP1947&lt;&gt;"",1,0)+IF(DQ1947&lt;&gt;"",1,0)+IF(DS1947&lt;&gt;"",1,0)+IF(DT1947&lt;&gt;"",1,0)+IF(DV1947&lt;&gt;"",1,0)+IF(DW1947&lt;&gt;"",1,0)+IF(DX1947&lt;&gt;"",1,0)+IF(DY1947&lt;&gt;"",1,0)+IF(DZ1947&lt;&gt;"",1,0)+IF(EB1947&lt;&gt;"",1,0)+IF(EC1947&lt;&gt;"",1,0)+IF(ED1947&lt;&gt;"",1,0)+IF(EG1947&lt;&gt;"",1,0)+IF(EH1947&lt;&gt;"",1,0)</f>
        <v/>
      </c>
      <c r="AZ1947">
        <f>IF(EH1947&lt;&gt;"",1,0)</f>
        <v/>
      </c>
      <c r="BB1947" t="inlineStr">
        <is>
          <t>WARREN-WARD 4</t>
        </is>
      </c>
      <c r="BC1947" t="inlineStr">
        <is>
          <t>X</t>
        </is>
      </c>
      <c r="BD1947" t="inlineStr">
        <is>
          <t>X</t>
        </is>
      </c>
      <c r="BE1947" t="inlineStr">
        <is>
          <t>X</t>
        </is>
      </c>
      <c r="BG1947" t="inlineStr">
        <is>
          <t>X</t>
        </is>
      </c>
      <c r="BH1947" t="inlineStr">
        <is>
          <t>X</t>
        </is>
      </c>
      <c r="BI1947" t="inlineStr">
        <is>
          <t>X</t>
        </is>
      </c>
      <c r="BJ1947" t="inlineStr">
        <is>
          <t>X</t>
        </is>
      </c>
      <c r="BK1947" t="inlineStr">
        <is>
          <t>X</t>
        </is>
      </c>
      <c r="BL1947" t="inlineStr">
        <is>
          <t>X</t>
        </is>
      </c>
      <c r="BP1947" t="inlineStr">
        <is>
          <t>X</t>
        </is>
      </c>
      <c r="BR1947" t="inlineStr">
        <is>
          <t>X</t>
        </is>
      </c>
      <c r="BS1947" t="inlineStr">
        <is>
          <t>X</t>
        </is>
      </c>
      <c r="BT1947" t="inlineStr">
        <is>
          <t>X</t>
        </is>
      </c>
      <c r="CA1947" t="inlineStr">
        <is>
          <t>X</t>
        </is>
      </c>
      <c r="CG1947" t="inlineStr">
        <is>
          <t>X</t>
        </is>
      </c>
      <c r="CH1947" t="inlineStr">
        <is>
          <t>D</t>
        </is>
      </c>
      <c r="CK1947" t="inlineStr">
        <is>
          <t>X</t>
        </is>
      </c>
      <c r="CN1947" t="inlineStr">
        <is>
          <t>X</t>
        </is>
      </c>
      <c r="CP1947" t="inlineStr">
        <is>
          <t>X</t>
        </is>
      </c>
      <c r="CU1947" t="inlineStr">
        <is>
          <t>D</t>
        </is>
      </c>
      <c r="CW1947" t="inlineStr">
        <is>
          <t>D</t>
        </is>
      </c>
      <c r="CY1947" t="inlineStr">
        <is>
          <t>X</t>
        </is>
      </c>
      <c r="CZ1947" t="inlineStr">
        <is>
          <t>R</t>
        </is>
      </c>
      <c r="DC1947" t="inlineStr">
        <is>
          <t>X</t>
        </is>
      </c>
      <c r="DF1947" t="inlineStr">
        <is>
          <t>X</t>
        </is>
      </c>
      <c r="DG1947" t="inlineStr">
        <is>
          <t>R</t>
        </is>
      </c>
      <c r="DI1947" t="inlineStr">
        <is>
          <t>X</t>
        </is>
      </c>
      <c r="DL1947" t="inlineStr">
        <is>
          <t>X</t>
        </is>
      </c>
      <c r="DM1947" t="inlineStr">
        <is>
          <t>R</t>
        </is>
      </c>
      <c r="DN1947" t="inlineStr">
        <is>
          <t>X</t>
        </is>
      </c>
      <c r="EF1947" t="inlineStr">
        <is>
          <t>X</t>
        </is>
      </c>
    </row>
    <row r="1948">
      <c r="A1948" t="inlineStr">
        <is>
          <t>OH0015793571</t>
        </is>
      </c>
      <c r="B1948" t="n">
        <v>78</v>
      </c>
      <c r="C1948" t="n">
        <v>74635</v>
      </c>
      <c r="D1948" t="inlineStr">
        <is>
          <t>BLANAR</t>
        </is>
      </c>
      <c r="E1948" t="inlineStr">
        <is>
          <t>EVELINE</t>
        </is>
      </c>
      <c r="F1948">
        <f>CONCATENATE(D1948," ",LEFT(H1948,4),"T=",AU1948,"D=",AV1948,"R=",AW1948,"M=",AX1948,"L=",AY1948,"B=",AZ1948)</f>
        <v/>
      </c>
      <c r="G1948" t="inlineStr">
        <is>
          <t>M</t>
        </is>
      </c>
      <c r="I1948" t="inlineStr">
        <is>
          <t>1938-01-07</t>
        </is>
      </c>
      <c r="J1948" t="inlineStr">
        <is>
          <t>1960-03-03</t>
        </is>
      </c>
      <c r="K1948" t="inlineStr">
        <is>
          <t>ACTIVE</t>
        </is>
      </c>
      <c r="L1948" t="inlineStr">
        <is>
          <t>R</t>
        </is>
      </c>
      <c r="M1948" t="inlineStr">
        <is>
          <t>234 CHARLES AVE NE</t>
        </is>
      </c>
      <c r="N1948">
        <f>RIGHT(M1948,LEN(M1948)-FIND(" ",M1948))</f>
        <v/>
      </c>
      <c r="P1948" t="inlineStr">
        <is>
          <t>WARREN</t>
        </is>
      </c>
      <c r="Q1948" t="inlineStr">
        <is>
          <t>OH</t>
        </is>
      </c>
      <c r="R1948" t="n">
        <v>44483</v>
      </c>
      <c r="AD1948" t="inlineStr">
        <is>
          <t>TRUMBULL CAREER &amp; TECH CENTER</t>
        </is>
      </c>
      <c r="AE1948" t="inlineStr">
        <is>
          <t>WARREN CITY</t>
        </is>
      </c>
      <c r="AF1948" t="inlineStr">
        <is>
          <t>WARREN CITY SD</t>
        </is>
      </c>
      <c r="AH1948" t="n">
        <v>14</v>
      </c>
      <c r="AI1948" t="n">
        <v>11</v>
      </c>
      <c r="AN1948" t="inlineStr">
        <is>
          <t>WARREN</t>
        </is>
      </c>
      <c r="AO1948" t="inlineStr">
        <is>
          <t>WARREN CITY 4D</t>
        </is>
      </c>
      <c r="AP1948" t="inlineStr">
        <is>
          <t>78-P-ADL</t>
        </is>
      </c>
      <c r="AQ1948" t="n">
        <v>9</v>
      </c>
      <c r="AR1948" t="n">
        <v>64</v>
      </c>
      <c r="AS1948" t="n">
        <v>32</v>
      </c>
      <c r="AU1948">
        <f>COUNTA($BA$1948:$EH$1948)</f>
        <v/>
      </c>
      <c r="AV1948">
        <f>COUNTIF($BA$1948:$EH$1948,"D")</f>
        <v/>
      </c>
      <c r="AW1948">
        <f>COUNTIF($BA$1948:$EH$1948,"R")</f>
        <v/>
      </c>
      <c r="AX1948">
        <f>IF(BN1948="D",1,0)+IF(BO1948="D",1,0)+IF(BT1948="D",1,0)+IF(BU1948="D",1,0)+IF(BW1948="D",1,0)+IF(CC1948="D",1,0)+IF(CD1948="D",1,0)+IF(CE1948="D",1,0)+IF(CF1948="D",1,0)+IF(CL1948="D",1,0)+IF(CM1948="D",1,0)+IF(CQ1948="D",1,0)+IF(CR1948="D",1,0)+IF(CS1948="D",1,0)+IF(CW1948="D",1,0)+IF(CX1948="D",1,0)+IF(DD1948="D",1,0)+IF(DE1948="D",1,0)+IF(DJ1948="D",1,0)+IF(DK1948="D",1,0)+IF(DO1948="D",1,0)+IF(DP1948="D",1,0)+IF(DQ1948="D",1,0)+IF(DW1948="D",1,0)+IF(DZ1948="D",1,0)+IF(EH1948="D",1,0)</f>
        <v/>
      </c>
      <c r="AY1948">
        <f>IF(DJ1948&lt;&gt;"",1,0)+IF(DK1948&lt;&gt;"",1,0)+IF(DM1948&lt;&gt;"",1,0)+IF(DO1948&lt;&gt;"",1,0)+IF(DP1948&lt;&gt;"",1,0)+IF(DQ1948&lt;&gt;"",1,0)+IF(DS1948&lt;&gt;"",1,0)+IF(DT1948&lt;&gt;"",1,0)+IF(DV1948&lt;&gt;"",1,0)+IF(DW1948&lt;&gt;"",1,0)+IF(DX1948&lt;&gt;"",1,0)+IF(DY1948&lt;&gt;"",1,0)+IF(DZ1948&lt;&gt;"",1,0)+IF(EB1948&lt;&gt;"",1,0)+IF(EC1948&lt;&gt;"",1,0)+IF(ED1948&lt;&gt;"",1,0)+IF(EG1948&lt;&gt;"",1,0)+IF(EH1948&lt;&gt;"",1,0)</f>
        <v/>
      </c>
      <c r="AZ1948">
        <f>IF(EH1948&lt;&gt;"",1,0)</f>
        <v/>
      </c>
      <c r="BB1948" t="inlineStr">
        <is>
          <t>WARREN-WARD 4</t>
        </is>
      </c>
      <c r="BC1948" t="inlineStr">
        <is>
          <t>X</t>
        </is>
      </c>
      <c r="BD1948" t="inlineStr">
        <is>
          <t>X</t>
        </is>
      </c>
      <c r="BE1948" t="inlineStr">
        <is>
          <t>X</t>
        </is>
      </c>
      <c r="BF1948" t="inlineStr">
        <is>
          <t>X</t>
        </is>
      </c>
      <c r="BH1948" t="inlineStr">
        <is>
          <t>X</t>
        </is>
      </c>
      <c r="BJ1948" t="inlineStr">
        <is>
          <t>X</t>
        </is>
      </c>
      <c r="BK1948" t="inlineStr">
        <is>
          <t>X</t>
        </is>
      </c>
      <c r="BL1948" t="inlineStr">
        <is>
          <t>X</t>
        </is>
      </c>
      <c r="BP1948" t="inlineStr">
        <is>
          <t>X</t>
        </is>
      </c>
      <c r="BR1948" t="inlineStr">
        <is>
          <t>X</t>
        </is>
      </c>
      <c r="BS1948" t="inlineStr">
        <is>
          <t>X</t>
        </is>
      </c>
      <c r="BT1948" t="inlineStr">
        <is>
          <t>X</t>
        </is>
      </c>
      <c r="BV1948" t="inlineStr">
        <is>
          <t>X</t>
        </is>
      </c>
      <c r="BY1948" t="inlineStr">
        <is>
          <t>D</t>
        </is>
      </c>
      <c r="CA1948" t="inlineStr">
        <is>
          <t>X</t>
        </is>
      </c>
      <c r="CC1948" t="inlineStr">
        <is>
          <t>D</t>
        </is>
      </c>
      <c r="CG1948" t="inlineStr">
        <is>
          <t>X</t>
        </is>
      </c>
      <c r="CK1948" t="inlineStr">
        <is>
          <t>X</t>
        </is>
      </c>
      <c r="CL1948" t="inlineStr">
        <is>
          <t>D</t>
        </is>
      </c>
      <c r="CN1948" t="inlineStr">
        <is>
          <t>X</t>
        </is>
      </c>
      <c r="CP1948" t="inlineStr">
        <is>
          <t>X</t>
        </is>
      </c>
      <c r="CQ1948" t="inlineStr">
        <is>
          <t>D</t>
        </is>
      </c>
      <c r="CT1948" t="inlineStr">
        <is>
          <t>X</t>
        </is>
      </c>
      <c r="CV1948" t="inlineStr">
        <is>
          <t>X</t>
        </is>
      </c>
      <c r="CW1948" t="inlineStr">
        <is>
          <t>D</t>
        </is>
      </c>
      <c r="CY1948" t="inlineStr">
        <is>
          <t>X</t>
        </is>
      </c>
      <c r="CZ1948" t="inlineStr">
        <is>
          <t>R</t>
        </is>
      </c>
      <c r="DC1948" t="inlineStr">
        <is>
          <t>X</t>
        </is>
      </c>
      <c r="DG1948" t="inlineStr">
        <is>
          <t>R</t>
        </is>
      </c>
      <c r="DL1948" t="inlineStr">
        <is>
          <t>X</t>
        </is>
      </c>
      <c r="DN1948" t="inlineStr">
        <is>
          <t>X</t>
        </is>
      </c>
      <c r="DR1948" t="inlineStr">
        <is>
          <t>X</t>
        </is>
      </c>
      <c r="DS1948" t="inlineStr">
        <is>
          <t>R</t>
        </is>
      </c>
      <c r="DU1948" t="inlineStr">
        <is>
          <t>X</t>
        </is>
      </c>
      <c r="DW1948" t="inlineStr">
        <is>
          <t>X</t>
        </is>
      </c>
      <c r="EA1948" t="inlineStr">
        <is>
          <t>X</t>
        </is>
      </c>
      <c r="EF1948" t="inlineStr">
        <is>
          <t>X</t>
        </is>
      </c>
    </row>
    <row r="1949">
      <c r="A1949" t="inlineStr">
        <is>
          <t>OH0023350607</t>
        </is>
      </c>
      <c r="B1949" t="n">
        <v>78</v>
      </c>
      <c r="C1949" t="n">
        <v>411061</v>
      </c>
      <c r="D1949" t="inlineStr">
        <is>
          <t>BRENT</t>
        </is>
      </c>
      <c r="E1949" t="inlineStr">
        <is>
          <t>TRAVIS</t>
        </is>
      </c>
      <c r="F1949">
        <f>CONCATENATE(D1949," ",LEFT(H1949,4),"T=",AU1949,"D=",AV1949,"R=",AW1949,"M=",AX1949,"L=",AY1949,"B=",AZ1949)</f>
        <v/>
      </c>
      <c r="G1949" t="inlineStr">
        <is>
          <t>P</t>
        </is>
      </c>
      <c r="I1949" t="inlineStr">
        <is>
          <t>1997-07-07</t>
        </is>
      </c>
      <c r="J1949" t="inlineStr">
        <is>
          <t>2016-05-07</t>
        </is>
      </c>
      <c r="K1949" t="inlineStr">
        <is>
          <t>CONFIRMATION</t>
        </is>
      </c>
      <c r="M1949" t="inlineStr">
        <is>
          <t>531 WASHINGTON ST NE</t>
        </is>
      </c>
      <c r="N1949">
        <f>RIGHT(M1949,LEN(M1949)-FIND(" ",M1949))</f>
        <v/>
      </c>
      <c r="P1949" t="inlineStr">
        <is>
          <t>WARREN</t>
        </is>
      </c>
      <c r="Q1949" t="inlineStr">
        <is>
          <t>OH</t>
        </is>
      </c>
      <c r="R1949" t="n">
        <v>44483</v>
      </c>
      <c r="AD1949" t="inlineStr">
        <is>
          <t>TRUMBULL CAREER &amp; TECH CENTER</t>
        </is>
      </c>
      <c r="AE1949" t="inlineStr">
        <is>
          <t>WARREN CITY</t>
        </is>
      </c>
      <c r="AF1949" t="inlineStr">
        <is>
          <t>WARREN CITY SD</t>
        </is>
      </c>
      <c r="AH1949" t="n">
        <v>14</v>
      </c>
      <c r="AI1949" t="n">
        <v>11</v>
      </c>
      <c r="AN1949" t="inlineStr">
        <is>
          <t>WARREN</t>
        </is>
      </c>
      <c r="AO1949" t="inlineStr">
        <is>
          <t>WARREN CITY 4D</t>
        </is>
      </c>
      <c r="AP1949" t="inlineStr">
        <is>
          <t>78-P-ADL</t>
        </is>
      </c>
      <c r="AQ1949" t="n">
        <v>9</v>
      </c>
      <c r="AR1949" t="n">
        <v>64</v>
      </c>
      <c r="AS1949" t="n">
        <v>32</v>
      </c>
      <c r="AU1949">
        <f>COUNTA($BA$1949:$EH$1949)</f>
        <v/>
      </c>
      <c r="AV1949">
        <f>COUNTIF($BA$1949:$EH$1949,"D")</f>
        <v/>
      </c>
      <c r="AW1949">
        <f>COUNTIF($BA$1949:$EH$1949,"R")</f>
        <v/>
      </c>
      <c r="AX1949">
        <f>IF(BN1949="D",1,0)+IF(BO1949="D",1,0)+IF(BT1949="D",1,0)+IF(BU1949="D",1,0)+IF(BW1949="D",1,0)+IF(CC1949="D",1,0)+IF(CD1949="D",1,0)+IF(CE1949="D",1,0)+IF(CF1949="D",1,0)+IF(CL1949="D",1,0)+IF(CM1949="D",1,0)+IF(CQ1949="D",1,0)+IF(CR1949="D",1,0)+IF(CS1949="D",1,0)+IF(CW1949="D",1,0)+IF(CX1949="D",1,0)+IF(DD1949="D",1,0)+IF(DE1949="D",1,0)+IF(DJ1949="D",1,0)+IF(DK1949="D",1,0)+IF(DO1949="D",1,0)+IF(DP1949="D",1,0)+IF(DQ1949="D",1,0)+IF(DW1949="D",1,0)+IF(DZ1949="D",1,0)+IF(EH1949="D",1,0)</f>
        <v/>
      </c>
      <c r="AY1949">
        <f>IF(DJ1949&lt;&gt;"",1,0)+IF(DK1949&lt;&gt;"",1,0)+IF(DM1949&lt;&gt;"",1,0)+IF(DO1949&lt;&gt;"",1,0)+IF(DP1949&lt;&gt;"",1,0)+IF(DQ1949&lt;&gt;"",1,0)+IF(DS1949&lt;&gt;"",1,0)+IF(DT1949&lt;&gt;"",1,0)+IF(DV1949&lt;&gt;"",1,0)+IF(DW1949&lt;&gt;"",1,0)+IF(DX1949&lt;&gt;"",1,0)+IF(DY1949&lt;&gt;"",1,0)+IF(DZ1949&lt;&gt;"",1,0)+IF(EB1949&lt;&gt;"",1,0)+IF(EC1949&lt;&gt;"",1,0)+IF(ED1949&lt;&gt;"",1,0)+IF(EG1949&lt;&gt;"",1,0)+IF(EH1949&lt;&gt;"",1,0)</f>
        <v/>
      </c>
      <c r="AZ1949">
        <f>IF(EH1949&lt;&gt;"",1,0)</f>
        <v/>
      </c>
      <c r="BB1949" t="inlineStr">
        <is>
          <t>WARREN-WARD 4</t>
        </is>
      </c>
    </row>
    <row r="1950">
      <c r="A1950" t="inlineStr">
        <is>
          <t>OH0021702166</t>
        </is>
      </c>
      <c r="B1950" t="n">
        <v>78</v>
      </c>
      <c r="C1950" t="n">
        <v>385664</v>
      </c>
      <c r="D1950" t="inlineStr">
        <is>
          <t>WIANT</t>
        </is>
      </c>
      <c r="E1950" t="inlineStr">
        <is>
          <t>DELORES</t>
        </is>
      </c>
      <c r="F1950">
        <f>CONCATENATE(D1950," ",LEFT(H1950,4),"T=",AU1950,"D=",AV1950,"R=",AW1950,"M=",AX1950,"L=",AY1950,"B=",AZ1950)</f>
        <v/>
      </c>
      <c r="G1950" t="inlineStr">
        <is>
          <t>J</t>
        </is>
      </c>
      <c r="I1950" t="inlineStr">
        <is>
          <t>1972-01-23</t>
        </is>
      </c>
      <c r="J1950" t="inlineStr">
        <is>
          <t>2012-02-06</t>
        </is>
      </c>
      <c r="K1950" t="inlineStr">
        <is>
          <t>ACTIVE</t>
        </is>
      </c>
      <c r="M1950" t="inlineStr">
        <is>
          <t>129 CHARLES AVE NE</t>
        </is>
      </c>
      <c r="N1950">
        <f>RIGHT(M1950,LEN(M1950)-FIND(" ",M1950))</f>
        <v/>
      </c>
      <c r="P1950" t="inlineStr">
        <is>
          <t>WARREN</t>
        </is>
      </c>
      <c r="Q1950" t="inlineStr">
        <is>
          <t>OH</t>
        </is>
      </c>
      <c r="R1950" t="n">
        <v>44483</v>
      </c>
      <c r="AD1950" t="inlineStr">
        <is>
          <t>TRUMBULL CAREER &amp; TECH CENTER</t>
        </is>
      </c>
      <c r="AE1950" t="inlineStr">
        <is>
          <t>WARREN CITY</t>
        </is>
      </c>
      <c r="AF1950" t="inlineStr">
        <is>
          <t>WARREN CITY SD</t>
        </is>
      </c>
      <c r="AH1950" t="n">
        <v>14</v>
      </c>
      <c r="AI1950" t="n">
        <v>11</v>
      </c>
      <c r="AN1950" t="inlineStr">
        <is>
          <t>WARREN</t>
        </is>
      </c>
      <c r="AO1950" t="inlineStr">
        <is>
          <t>WARREN CITY 4D</t>
        </is>
      </c>
      <c r="AP1950" t="inlineStr">
        <is>
          <t>78-P-ADL</t>
        </is>
      </c>
      <c r="AQ1950" t="n">
        <v>9</v>
      </c>
      <c r="AR1950" t="n">
        <v>64</v>
      </c>
      <c r="AS1950" t="n">
        <v>32</v>
      </c>
      <c r="AU1950">
        <f>COUNTA($BA$1950:$EH$1950)</f>
        <v/>
      </c>
      <c r="AV1950">
        <f>COUNTIF($BA$1950:$EH$1950,"D")</f>
        <v/>
      </c>
      <c r="AW1950">
        <f>COUNTIF($BA$1950:$EH$1950,"R")</f>
        <v/>
      </c>
      <c r="AX1950">
        <f>IF(BN1950="D",1,0)+IF(BO1950="D",1,0)+IF(BT1950="D",1,0)+IF(BU1950="D",1,0)+IF(BW1950="D",1,0)+IF(CC1950="D",1,0)+IF(CD1950="D",1,0)+IF(CE1950="D",1,0)+IF(CF1950="D",1,0)+IF(CL1950="D",1,0)+IF(CM1950="D",1,0)+IF(CQ1950="D",1,0)+IF(CR1950="D",1,0)+IF(CS1950="D",1,0)+IF(CW1950="D",1,0)+IF(CX1950="D",1,0)+IF(DD1950="D",1,0)+IF(DE1950="D",1,0)+IF(DJ1950="D",1,0)+IF(DK1950="D",1,0)+IF(DO1950="D",1,0)+IF(DP1950="D",1,0)+IF(DQ1950="D",1,0)+IF(DW1950="D",1,0)+IF(DZ1950="D",1,0)+IF(EH1950="D",1,0)</f>
        <v/>
      </c>
      <c r="AY1950">
        <f>IF(DJ1950&lt;&gt;"",1,0)+IF(DK1950&lt;&gt;"",1,0)+IF(DM1950&lt;&gt;"",1,0)+IF(DO1950&lt;&gt;"",1,0)+IF(DP1950&lt;&gt;"",1,0)+IF(DQ1950&lt;&gt;"",1,0)+IF(DS1950&lt;&gt;"",1,0)+IF(DT1950&lt;&gt;"",1,0)+IF(DV1950&lt;&gt;"",1,0)+IF(DW1950&lt;&gt;"",1,0)+IF(DX1950&lt;&gt;"",1,0)+IF(DY1950&lt;&gt;"",1,0)+IF(DZ1950&lt;&gt;"",1,0)+IF(EB1950&lt;&gt;"",1,0)+IF(EC1950&lt;&gt;"",1,0)+IF(ED1950&lt;&gt;"",1,0)+IF(EG1950&lt;&gt;"",1,0)+IF(EH1950&lt;&gt;"",1,0)</f>
        <v/>
      </c>
      <c r="AZ1950">
        <f>IF(EH1950&lt;&gt;"",1,0)</f>
        <v/>
      </c>
      <c r="BB1950" t="inlineStr">
        <is>
          <t>WARREN-WARD 4</t>
        </is>
      </c>
      <c r="CO1950" t="inlineStr">
        <is>
          <t>D</t>
        </is>
      </c>
      <c r="CP1950" t="inlineStr">
        <is>
          <t>X</t>
        </is>
      </c>
      <c r="CV1950" t="inlineStr">
        <is>
          <t>X</t>
        </is>
      </c>
      <c r="CW1950" t="inlineStr">
        <is>
          <t>D</t>
        </is>
      </c>
      <c r="CY1950" t="inlineStr">
        <is>
          <t>X</t>
        </is>
      </c>
      <c r="CZ1950" t="inlineStr">
        <is>
          <t>D</t>
        </is>
      </c>
      <c r="DC1950" t="inlineStr">
        <is>
          <t>X</t>
        </is>
      </c>
      <c r="DI1950" t="inlineStr">
        <is>
          <t>X</t>
        </is>
      </c>
      <c r="DN1950" t="inlineStr">
        <is>
          <t>X</t>
        </is>
      </c>
      <c r="DR1950" t="inlineStr">
        <is>
          <t>X</t>
        </is>
      </c>
      <c r="DU1950" t="inlineStr">
        <is>
          <t>X</t>
        </is>
      </c>
      <c r="EA1950" t="inlineStr">
        <is>
          <t>X</t>
        </is>
      </c>
    </row>
    <row r="1951">
      <c r="A1951" t="inlineStr">
        <is>
          <t>OH0015755008</t>
        </is>
      </c>
      <c r="B1951" t="n">
        <v>78</v>
      </c>
      <c r="C1951" t="n">
        <v>241813</v>
      </c>
      <c r="D1951" t="inlineStr">
        <is>
          <t>STEPHENS</t>
        </is>
      </c>
      <c r="E1951" t="inlineStr">
        <is>
          <t>BETTY</t>
        </is>
      </c>
      <c r="F1951">
        <f>CONCATENATE(D1951," ",LEFT(H1951,4),"T=",AU1951,"D=",AV1951,"R=",AW1951,"M=",AX1951,"L=",AY1951,"B=",AZ1951)</f>
        <v/>
      </c>
      <c r="G1951" t="inlineStr">
        <is>
          <t>L</t>
        </is>
      </c>
      <c r="I1951" t="inlineStr">
        <is>
          <t>1953-07-26</t>
        </is>
      </c>
      <c r="J1951" t="inlineStr">
        <is>
          <t>1992-10-05</t>
        </is>
      </c>
      <c r="K1951" t="inlineStr">
        <is>
          <t>ACTIVE</t>
        </is>
      </c>
      <c r="M1951" t="inlineStr">
        <is>
          <t>461 LAMPHIER PL NE</t>
        </is>
      </c>
      <c r="N1951">
        <f>RIGHT(M1951,LEN(M1951)-FIND(" ",M1951))</f>
        <v/>
      </c>
      <c r="P1951" t="inlineStr">
        <is>
          <t>WARREN</t>
        </is>
      </c>
      <c r="Q1951" t="inlineStr">
        <is>
          <t>OH</t>
        </is>
      </c>
      <c r="R1951" t="n">
        <v>44483</v>
      </c>
      <c r="AD1951" t="inlineStr">
        <is>
          <t>TRUMBULL CAREER &amp; TECH CENTER</t>
        </is>
      </c>
      <c r="AE1951" t="inlineStr">
        <is>
          <t>WARREN CITY</t>
        </is>
      </c>
      <c r="AF1951" t="inlineStr">
        <is>
          <t>WARREN CITY SD</t>
        </is>
      </c>
      <c r="AH1951" t="n">
        <v>14</v>
      </c>
      <c r="AI1951" t="n">
        <v>11</v>
      </c>
      <c r="AN1951" t="inlineStr">
        <is>
          <t>WARREN</t>
        </is>
      </c>
      <c r="AO1951" t="inlineStr">
        <is>
          <t>WARREN CITY 4D</t>
        </is>
      </c>
      <c r="AP1951" t="inlineStr">
        <is>
          <t>78-P-ADL</t>
        </is>
      </c>
      <c r="AQ1951" t="n">
        <v>9</v>
      </c>
      <c r="AR1951" t="n">
        <v>64</v>
      </c>
      <c r="AS1951" t="n">
        <v>32</v>
      </c>
      <c r="AU1951">
        <f>COUNTA($BA$1951:$EH$1951)</f>
        <v/>
      </c>
      <c r="AV1951">
        <f>COUNTIF($BA$1951:$EH$1951,"D")</f>
        <v/>
      </c>
      <c r="AW1951">
        <f>COUNTIF($BA$1951:$EH$1951,"R")</f>
        <v/>
      </c>
      <c r="AX1951">
        <f>IF(BN1951="D",1,0)+IF(BO1951="D",1,0)+IF(BT1951="D",1,0)+IF(BU1951="D",1,0)+IF(BW1951="D",1,0)+IF(CC1951="D",1,0)+IF(CD1951="D",1,0)+IF(CE1951="D",1,0)+IF(CF1951="D",1,0)+IF(CL1951="D",1,0)+IF(CM1951="D",1,0)+IF(CQ1951="D",1,0)+IF(CR1951="D",1,0)+IF(CS1951="D",1,0)+IF(CW1951="D",1,0)+IF(CX1951="D",1,0)+IF(DD1951="D",1,0)+IF(DE1951="D",1,0)+IF(DJ1951="D",1,0)+IF(DK1951="D",1,0)+IF(DO1951="D",1,0)+IF(DP1951="D",1,0)+IF(DQ1951="D",1,0)+IF(DW1951="D",1,0)+IF(DZ1951="D",1,0)+IF(EH1951="D",1,0)</f>
        <v/>
      </c>
      <c r="AY1951">
        <f>IF(DJ1951&lt;&gt;"",1,0)+IF(DK1951&lt;&gt;"",1,0)+IF(DM1951&lt;&gt;"",1,0)+IF(DO1951&lt;&gt;"",1,0)+IF(DP1951&lt;&gt;"",1,0)+IF(DQ1951&lt;&gt;"",1,0)+IF(DS1951&lt;&gt;"",1,0)+IF(DT1951&lt;&gt;"",1,0)+IF(DV1951&lt;&gt;"",1,0)+IF(DW1951&lt;&gt;"",1,0)+IF(DX1951&lt;&gt;"",1,0)+IF(DY1951&lt;&gt;"",1,0)+IF(DZ1951&lt;&gt;"",1,0)+IF(EB1951&lt;&gt;"",1,0)+IF(EC1951&lt;&gt;"",1,0)+IF(ED1951&lt;&gt;"",1,0)+IF(EG1951&lt;&gt;"",1,0)+IF(EH1951&lt;&gt;"",1,0)</f>
        <v/>
      </c>
      <c r="AZ1951">
        <f>IF(EH1951&lt;&gt;"",1,0)</f>
        <v/>
      </c>
      <c r="BB1951" t="inlineStr">
        <is>
          <t>WARREN-WARD 4</t>
        </is>
      </c>
      <c r="BD1951" t="inlineStr">
        <is>
          <t>X</t>
        </is>
      </c>
      <c r="BH1951" t="inlineStr">
        <is>
          <t>X</t>
        </is>
      </c>
      <c r="BI1951" t="inlineStr">
        <is>
          <t>X</t>
        </is>
      </c>
      <c r="BL1951" t="inlineStr">
        <is>
          <t>X</t>
        </is>
      </c>
      <c r="BR1951" t="inlineStr">
        <is>
          <t>X</t>
        </is>
      </c>
      <c r="BS1951" t="inlineStr">
        <is>
          <t>X</t>
        </is>
      </c>
      <c r="CA1951" t="inlineStr">
        <is>
          <t>X</t>
        </is>
      </c>
      <c r="CL1951" t="inlineStr">
        <is>
          <t>D</t>
        </is>
      </c>
      <c r="CO1951" t="inlineStr">
        <is>
          <t>R</t>
        </is>
      </c>
      <c r="CP1951" t="inlineStr">
        <is>
          <t>X</t>
        </is>
      </c>
      <c r="CV1951" t="inlineStr">
        <is>
          <t>X</t>
        </is>
      </c>
      <c r="CY1951" t="inlineStr">
        <is>
          <t>X</t>
        </is>
      </c>
      <c r="CZ1951" t="inlineStr">
        <is>
          <t>R</t>
        </is>
      </c>
      <c r="DC1951" t="inlineStr">
        <is>
          <t>X</t>
        </is>
      </c>
      <c r="DI1951" t="inlineStr">
        <is>
          <t>X</t>
        </is>
      </c>
      <c r="DL1951" t="inlineStr">
        <is>
          <t>X</t>
        </is>
      </c>
      <c r="DN1951" t="inlineStr">
        <is>
          <t>X</t>
        </is>
      </c>
      <c r="DU1951" t="inlineStr">
        <is>
          <t>X</t>
        </is>
      </c>
      <c r="EA1951" t="inlineStr">
        <is>
          <t>X</t>
        </is>
      </c>
    </row>
    <row r="1952">
      <c r="A1952" t="inlineStr">
        <is>
          <t>OH0019900713</t>
        </is>
      </c>
      <c r="B1952" t="n">
        <v>78</v>
      </c>
      <c r="C1952" t="n">
        <v>360597</v>
      </c>
      <c r="D1952" t="inlineStr">
        <is>
          <t>HOCKMAN</t>
        </is>
      </c>
      <c r="E1952" t="inlineStr">
        <is>
          <t>JENNIFER</t>
        </is>
      </c>
      <c r="F1952">
        <f>CONCATENATE(D1952," ",LEFT(H1952,4),"T=",AU1952,"D=",AV1952,"R=",AW1952,"M=",AX1952,"L=",AY1952,"B=",AZ1952)</f>
        <v/>
      </c>
      <c r="G1952" t="inlineStr">
        <is>
          <t>ANN</t>
        </is>
      </c>
      <c r="I1952" t="inlineStr">
        <is>
          <t>1977-01-09</t>
        </is>
      </c>
      <c r="J1952" t="inlineStr">
        <is>
          <t>2008-08-02</t>
        </is>
      </c>
      <c r="K1952" t="inlineStr">
        <is>
          <t>ACTIVE</t>
        </is>
      </c>
      <c r="M1952" t="inlineStr">
        <is>
          <t>432 LAMPHIER PL NE</t>
        </is>
      </c>
      <c r="N1952">
        <f>RIGHT(M1952,LEN(M1952)-FIND(" ",M1952))</f>
        <v/>
      </c>
      <c r="P1952" t="inlineStr">
        <is>
          <t>WARREN</t>
        </is>
      </c>
      <c r="Q1952" t="inlineStr">
        <is>
          <t>OH</t>
        </is>
      </c>
      <c r="R1952" t="n">
        <v>44483</v>
      </c>
      <c r="AD1952" t="inlineStr">
        <is>
          <t>TRUMBULL CAREER &amp; TECH CENTER</t>
        </is>
      </c>
      <c r="AE1952" t="inlineStr">
        <is>
          <t>WARREN CITY</t>
        </is>
      </c>
      <c r="AF1952" t="inlineStr">
        <is>
          <t>WARREN CITY SD</t>
        </is>
      </c>
      <c r="AH1952" t="n">
        <v>14</v>
      </c>
      <c r="AI1952" t="n">
        <v>11</v>
      </c>
      <c r="AN1952" t="inlineStr">
        <is>
          <t>WARREN</t>
        </is>
      </c>
      <c r="AO1952" t="inlineStr">
        <is>
          <t>WARREN CITY 4D</t>
        </is>
      </c>
      <c r="AP1952" t="inlineStr">
        <is>
          <t>78-P-ADL</t>
        </is>
      </c>
      <c r="AQ1952" t="n">
        <v>9</v>
      </c>
      <c r="AR1952" t="n">
        <v>64</v>
      </c>
      <c r="AS1952" t="n">
        <v>32</v>
      </c>
      <c r="AU1952">
        <f>COUNTA($BA$1952:$EH$1952)</f>
        <v/>
      </c>
      <c r="AV1952">
        <f>COUNTIF($BA$1952:$EH$1952,"D")</f>
        <v/>
      </c>
      <c r="AW1952">
        <f>COUNTIF($BA$1952:$EH$1952,"R")</f>
        <v/>
      </c>
      <c r="AX1952">
        <f>IF(BN1952="D",1,0)+IF(BO1952="D",1,0)+IF(BT1952="D",1,0)+IF(BU1952="D",1,0)+IF(BW1952="D",1,0)+IF(CC1952="D",1,0)+IF(CD1952="D",1,0)+IF(CE1952="D",1,0)+IF(CF1952="D",1,0)+IF(CL1952="D",1,0)+IF(CM1952="D",1,0)+IF(CQ1952="D",1,0)+IF(CR1952="D",1,0)+IF(CS1952="D",1,0)+IF(CW1952="D",1,0)+IF(CX1952="D",1,0)+IF(DD1952="D",1,0)+IF(DE1952="D",1,0)+IF(DJ1952="D",1,0)+IF(DK1952="D",1,0)+IF(DO1952="D",1,0)+IF(DP1952="D",1,0)+IF(DQ1952="D",1,0)+IF(DW1952="D",1,0)+IF(DZ1952="D",1,0)+IF(EH1952="D",1,0)</f>
        <v/>
      </c>
      <c r="AY1952">
        <f>IF(DJ1952&lt;&gt;"",1,0)+IF(DK1952&lt;&gt;"",1,0)+IF(DM1952&lt;&gt;"",1,0)+IF(DO1952&lt;&gt;"",1,0)+IF(DP1952&lt;&gt;"",1,0)+IF(DQ1952&lt;&gt;"",1,0)+IF(DS1952&lt;&gt;"",1,0)+IF(DT1952&lt;&gt;"",1,0)+IF(DV1952&lt;&gt;"",1,0)+IF(DW1952&lt;&gt;"",1,0)+IF(DX1952&lt;&gt;"",1,0)+IF(DY1952&lt;&gt;"",1,0)+IF(DZ1952&lt;&gt;"",1,0)+IF(EB1952&lt;&gt;"",1,0)+IF(EC1952&lt;&gt;"",1,0)+IF(ED1952&lt;&gt;"",1,0)+IF(EG1952&lt;&gt;"",1,0)+IF(EH1952&lt;&gt;"",1,0)</f>
        <v/>
      </c>
      <c r="AZ1952">
        <f>IF(EH1952&lt;&gt;"",1,0)</f>
        <v/>
      </c>
      <c r="BB1952" t="inlineStr">
        <is>
          <t>WARREN-WARD 4</t>
        </is>
      </c>
      <c r="CA1952" t="inlineStr">
        <is>
          <t>X</t>
        </is>
      </c>
      <c r="CP1952" t="inlineStr">
        <is>
          <t>X</t>
        </is>
      </c>
      <c r="CY1952" t="inlineStr">
        <is>
          <t>X</t>
        </is>
      </c>
      <c r="DC1952" t="inlineStr">
        <is>
          <t>X</t>
        </is>
      </c>
    </row>
    <row r="1953">
      <c r="A1953" t="inlineStr">
        <is>
          <t>OH0019998840</t>
        </is>
      </c>
      <c r="B1953" t="n">
        <v>78</v>
      </c>
      <c r="C1953" t="n">
        <v>361430</v>
      </c>
      <c r="D1953" t="inlineStr">
        <is>
          <t>ANDERSON</t>
        </is>
      </c>
      <c r="E1953" t="inlineStr">
        <is>
          <t>CHARLES</t>
        </is>
      </c>
      <c r="F1953">
        <f>CONCATENATE(D1953," ",LEFT(H1953,4),"T=",AU1953,"D=",AV1953,"R=",AW1953,"M=",AX1953,"L=",AY1953,"B=",AZ1953)</f>
        <v/>
      </c>
      <c r="G1953" t="inlineStr">
        <is>
          <t>E</t>
        </is>
      </c>
      <c r="H1953" t="inlineStr">
        <is>
          <t>JR</t>
        </is>
      </c>
      <c r="I1953" t="inlineStr">
        <is>
          <t>1980-08-27</t>
        </is>
      </c>
      <c r="J1953" t="inlineStr">
        <is>
          <t>2017-09-01</t>
        </is>
      </c>
      <c r="K1953" t="inlineStr">
        <is>
          <t>ACTIVE</t>
        </is>
      </c>
      <c r="M1953" t="inlineStr">
        <is>
          <t>574 BELMONT AVE NE</t>
        </is>
      </c>
      <c r="N1953">
        <f>RIGHT(M1953,LEN(M1953)-FIND(" ",M1953))</f>
        <v/>
      </c>
      <c r="P1953" t="inlineStr">
        <is>
          <t>WARREN</t>
        </is>
      </c>
      <c r="Q1953" t="inlineStr">
        <is>
          <t>OH</t>
        </is>
      </c>
      <c r="R1953" t="n">
        <v>44483</v>
      </c>
      <c r="AD1953" t="inlineStr">
        <is>
          <t>TRUMBULL CAREER &amp; TECH CENTER</t>
        </is>
      </c>
      <c r="AE1953" t="inlineStr">
        <is>
          <t>WARREN CITY</t>
        </is>
      </c>
      <c r="AF1953" t="inlineStr">
        <is>
          <t>WARREN CITY SD</t>
        </is>
      </c>
      <c r="AH1953" t="n">
        <v>14</v>
      </c>
      <c r="AI1953" t="n">
        <v>11</v>
      </c>
      <c r="AN1953" t="inlineStr">
        <is>
          <t>WARREN</t>
        </is>
      </c>
      <c r="AO1953" t="inlineStr">
        <is>
          <t>WARREN CITY 4D</t>
        </is>
      </c>
      <c r="AP1953" t="inlineStr">
        <is>
          <t>78-P-ADL</t>
        </is>
      </c>
      <c r="AQ1953" t="n">
        <v>9</v>
      </c>
      <c r="AR1953" t="n">
        <v>64</v>
      </c>
      <c r="AS1953" t="n">
        <v>32</v>
      </c>
      <c r="AU1953">
        <f>COUNTA($BA$1953:$EH$1953)</f>
        <v/>
      </c>
      <c r="AV1953">
        <f>COUNTIF($BA$1953:$EH$1953,"D")</f>
        <v/>
      </c>
      <c r="AW1953">
        <f>COUNTIF($BA$1953:$EH$1953,"R")</f>
        <v/>
      </c>
      <c r="AX1953">
        <f>IF(BN1953="D",1,0)+IF(BO1953="D",1,0)+IF(BT1953="D",1,0)+IF(BU1953="D",1,0)+IF(BW1953="D",1,0)+IF(CC1953="D",1,0)+IF(CD1953="D",1,0)+IF(CE1953="D",1,0)+IF(CF1953="D",1,0)+IF(CL1953="D",1,0)+IF(CM1953="D",1,0)+IF(CQ1953="D",1,0)+IF(CR1953="D",1,0)+IF(CS1953="D",1,0)+IF(CW1953="D",1,0)+IF(CX1953="D",1,0)+IF(DD1953="D",1,0)+IF(DE1953="D",1,0)+IF(DJ1953="D",1,0)+IF(DK1953="D",1,0)+IF(DO1953="D",1,0)+IF(DP1953="D",1,0)+IF(DQ1953="D",1,0)+IF(DW1953="D",1,0)+IF(DZ1953="D",1,0)+IF(EH1953="D",1,0)</f>
        <v/>
      </c>
      <c r="AY1953">
        <f>IF(DJ1953&lt;&gt;"",1,0)+IF(DK1953&lt;&gt;"",1,0)+IF(DM1953&lt;&gt;"",1,0)+IF(DO1953&lt;&gt;"",1,0)+IF(DP1953&lt;&gt;"",1,0)+IF(DQ1953&lt;&gt;"",1,0)+IF(DS1953&lt;&gt;"",1,0)+IF(DT1953&lt;&gt;"",1,0)+IF(DV1953&lt;&gt;"",1,0)+IF(DW1953&lt;&gt;"",1,0)+IF(DX1953&lt;&gt;"",1,0)+IF(DY1953&lt;&gt;"",1,0)+IF(DZ1953&lt;&gt;"",1,0)+IF(EB1953&lt;&gt;"",1,0)+IF(EC1953&lt;&gt;"",1,0)+IF(ED1953&lt;&gt;"",1,0)+IF(EG1953&lt;&gt;"",1,0)+IF(EH1953&lt;&gt;"",1,0)</f>
        <v/>
      </c>
      <c r="AZ1953">
        <f>IF(EH1953&lt;&gt;"",1,0)</f>
        <v/>
      </c>
      <c r="BB1953" t="inlineStr">
        <is>
          <t>WARREN-WARD 4</t>
        </is>
      </c>
      <c r="CA1953" t="inlineStr">
        <is>
          <t>X</t>
        </is>
      </c>
      <c r="CP1953" t="inlineStr">
        <is>
          <t>X</t>
        </is>
      </c>
    </row>
    <row r="1954">
      <c r="A1954" t="inlineStr">
        <is>
          <t>OH0025965321</t>
        </is>
      </c>
      <c r="B1954" t="n">
        <v>78</v>
      </c>
      <c r="C1954" t="n">
        <v>454002</v>
      </c>
      <c r="D1954" t="inlineStr">
        <is>
          <t>PALMER</t>
        </is>
      </c>
      <c r="E1954" t="inlineStr">
        <is>
          <t>CRYSTAL</t>
        </is>
      </c>
      <c r="F1954">
        <f>CONCATENATE(D1954," ",LEFT(H1954,4),"T=",AU1954,"D=",AV1954,"R=",AW1954,"M=",AX1954,"L=",AY1954,"B=",AZ1954)</f>
        <v/>
      </c>
      <c r="G1954" t="inlineStr">
        <is>
          <t>DEE</t>
        </is>
      </c>
      <c r="I1954" t="inlineStr">
        <is>
          <t>1980-11-29</t>
        </is>
      </c>
      <c r="J1954" t="inlineStr">
        <is>
          <t>2020-09-30</t>
        </is>
      </c>
      <c r="K1954" t="inlineStr">
        <is>
          <t>CONFIRMATION</t>
        </is>
      </c>
      <c r="M1954" t="inlineStr">
        <is>
          <t>527 WASHINGTON ST NE</t>
        </is>
      </c>
      <c r="N1954">
        <f>RIGHT(M1954,LEN(M1954)-FIND(" ",M1954))</f>
        <v/>
      </c>
      <c r="P1954" t="inlineStr">
        <is>
          <t>WARREN</t>
        </is>
      </c>
      <c r="Q1954" t="inlineStr">
        <is>
          <t>OH</t>
        </is>
      </c>
      <c r="R1954" t="n">
        <v>44483</v>
      </c>
      <c r="AD1954" t="inlineStr">
        <is>
          <t>TRUMBULL CAREER &amp; TECH CENTER</t>
        </is>
      </c>
      <c r="AE1954" t="inlineStr">
        <is>
          <t>WARREN CITY</t>
        </is>
      </c>
      <c r="AF1954" t="inlineStr">
        <is>
          <t>WARREN CITY SD</t>
        </is>
      </c>
      <c r="AH1954" t="n">
        <v>14</v>
      </c>
      <c r="AI1954" t="n">
        <v>11</v>
      </c>
      <c r="AN1954" t="inlineStr">
        <is>
          <t>WARREN</t>
        </is>
      </c>
      <c r="AO1954" t="inlineStr">
        <is>
          <t>WARREN CITY 4D</t>
        </is>
      </c>
      <c r="AP1954" t="inlineStr">
        <is>
          <t>78-P-ADL</t>
        </is>
      </c>
      <c r="AQ1954" t="n">
        <v>9</v>
      </c>
      <c r="AR1954" t="n">
        <v>64</v>
      </c>
      <c r="AS1954" t="n">
        <v>32</v>
      </c>
      <c r="AU1954">
        <f>COUNTA($BA$1954:$EH$1954)</f>
        <v/>
      </c>
      <c r="AV1954">
        <f>COUNTIF($BA$1954:$EH$1954,"D")</f>
        <v/>
      </c>
      <c r="AW1954">
        <f>COUNTIF($BA$1954:$EH$1954,"R")</f>
        <v/>
      </c>
      <c r="AX1954">
        <f>IF(BN1954="D",1,0)+IF(BO1954="D",1,0)+IF(BT1954="D",1,0)+IF(BU1954="D",1,0)+IF(BW1954="D",1,0)+IF(CC1954="D",1,0)+IF(CD1954="D",1,0)+IF(CE1954="D",1,0)+IF(CF1954="D",1,0)+IF(CL1954="D",1,0)+IF(CM1954="D",1,0)+IF(CQ1954="D",1,0)+IF(CR1954="D",1,0)+IF(CS1954="D",1,0)+IF(CW1954="D",1,0)+IF(CX1954="D",1,0)+IF(DD1954="D",1,0)+IF(DE1954="D",1,0)+IF(DJ1954="D",1,0)+IF(DK1954="D",1,0)+IF(DO1954="D",1,0)+IF(DP1954="D",1,0)+IF(DQ1954="D",1,0)+IF(DW1954="D",1,0)+IF(DZ1954="D",1,0)+IF(EH1954="D",1,0)</f>
        <v/>
      </c>
      <c r="AY1954">
        <f>IF(DJ1954&lt;&gt;"",1,0)+IF(DK1954&lt;&gt;"",1,0)+IF(DM1954&lt;&gt;"",1,0)+IF(DO1954&lt;&gt;"",1,0)+IF(DP1954&lt;&gt;"",1,0)+IF(DQ1954&lt;&gt;"",1,0)+IF(DS1954&lt;&gt;"",1,0)+IF(DT1954&lt;&gt;"",1,0)+IF(DV1954&lt;&gt;"",1,0)+IF(DW1954&lt;&gt;"",1,0)+IF(DX1954&lt;&gt;"",1,0)+IF(DY1954&lt;&gt;"",1,0)+IF(DZ1954&lt;&gt;"",1,0)+IF(EB1954&lt;&gt;"",1,0)+IF(EC1954&lt;&gt;"",1,0)+IF(ED1954&lt;&gt;"",1,0)+IF(EG1954&lt;&gt;"",1,0)+IF(EH1954&lt;&gt;"",1,0)</f>
        <v/>
      </c>
      <c r="AZ1954">
        <f>IF(EH1954&lt;&gt;"",1,0)</f>
        <v/>
      </c>
      <c r="BB1954" t="inlineStr">
        <is>
          <t>WARREN-WARD 4</t>
        </is>
      </c>
      <c r="DN1954" t="inlineStr">
        <is>
          <t>X</t>
        </is>
      </c>
    </row>
    <row r="1955">
      <c r="A1955" t="inlineStr">
        <is>
          <t>OH0027344820</t>
        </is>
      </c>
      <c r="B1955" t="n">
        <v>78</v>
      </c>
      <c r="C1955" t="n">
        <v>484921</v>
      </c>
      <c r="D1955" t="inlineStr">
        <is>
          <t>LAZAR</t>
        </is>
      </c>
      <c r="E1955" t="inlineStr">
        <is>
          <t>EZRA</t>
        </is>
      </c>
      <c r="F1955">
        <f>CONCATENATE(D1955," ",LEFT(H1955,4),"T=",AU1955,"D=",AV1955,"R=",AW1955,"M=",AX1955,"L=",AY1955,"B=",AZ1955)</f>
        <v/>
      </c>
      <c r="G1955" t="inlineStr">
        <is>
          <t>STONE</t>
        </is>
      </c>
      <c r="I1955" t="inlineStr">
        <is>
          <t>1999-05-14</t>
        </is>
      </c>
      <c r="J1955" t="inlineStr">
        <is>
          <t>2024-05-06</t>
        </is>
      </c>
      <c r="K1955" t="inlineStr">
        <is>
          <t>ACTIVE</t>
        </is>
      </c>
      <c r="M1955" t="inlineStr">
        <is>
          <t>1190 WOODLAND AVE NE</t>
        </is>
      </c>
      <c r="N1955">
        <f>RIGHT(M1955,LEN(M1955)-FIND(" ",M1955))</f>
        <v/>
      </c>
      <c r="P1955" t="inlineStr">
        <is>
          <t>WARREN</t>
        </is>
      </c>
      <c r="Q1955" t="inlineStr">
        <is>
          <t>OH</t>
        </is>
      </c>
      <c r="R1955" t="n">
        <v>44483</v>
      </c>
      <c r="AD1955" t="inlineStr">
        <is>
          <t>TRUMBULL CAREER &amp; TECH CENTER</t>
        </is>
      </c>
      <c r="AE1955" t="inlineStr">
        <is>
          <t>WARREN CITY</t>
        </is>
      </c>
      <c r="AF1955" t="inlineStr">
        <is>
          <t>WARREN CITY SD</t>
        </is>
      </c>
      <c r="AH1955" t="n">
        <v>14</v>
      </c>
      <c r="AI1955" t="n">
        <v>11</v>
      </c>
      <c r="AN1955" t="inlineStr">
        <is>
          <t>WARREN</t>
        </is>
      </c>
      <c r="AO1955" t="inlineStr">
        <is>
          <t>WARREN CITY 4D</t>
        </is>
      </c>
      <c r="AP1955" t="inlineStr">
        <is>
          <t>78-P-ADL</t>
        </is>
      </c>
      <c r="AQ1955" t="n">
        <v>9</v>
      </c>
      <c r="AR1955" t="n">
        <v>64</v>
      </c>
      <c r="AS1955" t="n">
        <v>32</v>
      </c>
      <c r="AU1955">
        <f>COUNTA($BA$1955:$EH$1955)</f>
        <v/>
      </c>
      <c r="AV1955">
        <f>COUNTIF($BA$1955:$EH$1955,"D")</f>
        <v/>
      </c>
      <c r="AW1955">
        <f>COUNTIF($BA$1955:$EH$1955,"R")</f>
        <v/>
      </c>
      <c r="AX1955">
        <f>IF(BN1955="D",1,0)+IF(BO1955="D",1,0)+IF(BT1955="D",1,0)+IF(BU1955="D",1,0)+IF(BW1955="D",1,0)+IF(CC1955="D",1,0)+IF(CD1955="D",1,0)+IF(CE1955="D",1,0)+IF(CF1955="D",1,0)+IF(CL1955="D",1,0)+IF(CM1955="D",1,0)+IF(CQ1955="D",1,0)+IF(CR1955="D",1,0)+IF(CS1955="D",1,0)+IF(CW1955="D",1,0)+IF(CX1955="D",1,0)+IF(DD1955="D",1,0)+IF(DE1955="D",1,0)+IF(DJ1955="D",1,0)+IF(DK1955="D",1,0)+IF(DO1955="D",1,0)+IF(DP1955="D",1,0)+IF(DQ1955="D",1,0)+IF(DW1955="D",1,0)+IF(DZ1955="D",1,0)+IF(EH1955="D",1,0)</f>
        <v/>
      </c>
      <c r="AY1955">
        <f>IF(DJ1955&lt;&gt;"",1,0)+IF(DK1955&lt;&gt;"",1,0)+IF(DM1955&lt;&gt;"",1,0)+IF(DO1955&lt;&gt;"",1,0)+IF(DP1955&lt;&gt;"",1,0)+IF(DQ1955&lt;&gt;"",1,0)+IF(DS1955&lt;&gt;"",1,0)+IF(DT1955&lt;&gt;"",1,0)+IF(DV1955&lt;&gt;"",1,0)+IF(DW1955&lt;&gt;"",1,0)+IF(DX1955&lt;&gt;"",1,0)+IF(DY1955&lt;&gt;"",1,0)+IF(DZ1955&lt;&gt;"",1,0)+IF(EB1955&lt;&gt;"",1,0)+IF(EC1955&lt;&gt;"",1,0)+IF(ED1955&lt;&gt;"",1,0)+IF(EG1955&lt;&gt;"",1,0)+IF(EH1955&lt;&gt;"",1,0)</f>
        <v/>
      </c>
      <c r="AZ1955">
        <f>IF(EH1955&lt;&gt;"",1,0)</f>
        <v/>
      </c>
      <c r="BB1955" t="inlineStr">
        <is>
          <t>WARREN-WARD 4</t>
        </is>
      </c>
      <c r="DX1955" t="inlineStr">
        <is>
          <t>X</t>
        </is>
      </c>
      <c r="EF1955" t="inlineStr">
        <is>
          <t>X</t>
        </is>
      </c>
    </row>
    <row r="1956">
      <c r="A1956" t="inlineStr">
        <is>
          <t>OH0015821509</t>
        </is>
      </c>
      <c r="B1956" t="n">
        <v>78</v>
      </c>
      <c r="C1956" t="n">
        <v>279527</v>
      </c>
      <c r="D1956" t="inlineStr">
        <is>
          <t>MEADE</t>
        </is>
      </c>
      <c r="E1956" t="inlineStr">
        <is>
          <t>BRIAN</t>
        </is>
      </c>
      <c r="F1956">
        <f>CONCATENATE(D1956," ",LEFT(H1956,4),"T=",AU1956,"D=",AV1956,"R=",AW1956,"M=",AX1956,"L=",AY1956,"B=",AZ1956)</f>
        <v/>
      </c>
      <c r="I1956" t="inlineStr">
        <is>
          <t>1966-12-01</t>
        </is>
      </c>
      <c r="J1956" t="inlineStr">
        <is>
          <t>1997-10-03</t>
        </is>
      </c>
      <c r="K1956" t="inlineStr">
        <is>
          <t>ACTIVE</t>
        </is>
      </c>
      <c r="M1956" t="inlineStr">
        <is>
          <t>334 LOWELL AVE NE</t>
        </is>
      </c>
      <c r="N1956">
        <f>RIGHT(M1956,LEN(M1956)-FIND(" ",M1956))</f>
        <v/>
      </c>
      <c r="P1956" t="inlineStr">
        <is>
          <t>WARREN</t>
        </is>
      </c>
      <c r="Q1956" t="inlineStr">
        <is>
          <t>OH</t>
        </is>
      </c>
      <c r="R1956" t="n">
        <v>44483</v>
      </c>
      <c r="AD1956" t="inlineStr">
        <is>
          <t>TRUMBULL CAREER &amp; TECH CENTER</t>
        </is>
      </c>
      <c r="AE1956" t="inlineStr">
        <is>
          <t>WARREN CITY</t>
        </is>
      </c>
      <c r="AF1956" t="inlineStr">
        <is>
          <t>WARREN CITY SD</t>
        </is>
      </c>
      <c r="AH1956" t="n">
        <v>14</v>
      </c>
      <c r="AI1956" t="n">
        <v>11</v>
      </c>
      <c r="AN1956" t="inlineStr">
        <is>
          <t>WARREN</t>
        </is>
      </c>
      <c r="AO1956" t="inlineStr">
        <is>
          <t>WARREN CITY 4D</t>
        </is>
      </c>
      <c r="AP1956" t="inlineStr">
        <is>
          <t>78-P-ADL</t>
        </is>
      </c>
      <c r="AQ1956" t="n">
        <v>9</v>
      </c>
      <c r="AR1956" t="n">
        <v>64</v>
      </c>
      <c r="AS1956" t="n">
        <v>32</v>
      </c>
      <c r="AU1956">
        <f>COUNTA($BA$1956:$EH$1956)</f>
        <v/>
      </c>
      <c r="AV1956">
        <f>COUNTIF($BA$1956:$EH$1956,"D")</f>
        <v/>
      </c>
      <c r="AW1956">
        <f>COUNTIF($BA$1956:$EH$1956,"R")</f>
        <v/>
      </c>
      <c r="AX1956">
        <f>IF(BN1956="D",1,0)+IF(BO1956="D",1,0)+IF(BT1956="D",1,0)+IF(BU1956="D",1,0)+IF(BW1956="D",1,0)+IF(CC1956="D",1,0)+IF(CD1956="D",1,0)+IF(CE1956="D",1,0)+IF(CF1956="D",1,0)+IF(CL1956="D",1,0)+IF(CM1956="D",1,0)+IF(CQ1956="D",1,0)+IF(CR1956="D",1,0)+IF(CS1956="D",1,0)+IF(CW1956="D",1,0)+IF(CX1956="D",1,0)+IF(DD1956="D",1,0)+IF(DE1956="D",1,0)+IF(DJ1956="D",1,0)+IF(DK1956="D",1,0)+IF(DO1956="D",1,0)+IF(DP1956="D",1,0)+IF(DQ1956="D",1,0)+IF(DW1956="D",1,0)+IF(DZ1956="D",1,0)+IF(EH1956="D",1,0)</f>
        <v/>
      </c>
      <c r="AY1956">
        <f>IF(DJ1956&lt;&gt;"",1,0)+IF(DK1956&lt;&gt;"",1,0)+IF(DM1956&lt;&gt;"",1,0)+IF(DO1956&lt;&gt;"",1,0)+IF(DP1956&lt;&gt;"",1,0)+IF(DQ1956&lt;&gt;"",1,0)+IF(DS1956&lt;&gt;"",1,0)+IF(DT1956&lt;&gt;"",1,0)+IF(DV1956&lt;&gt;"",1,0)+IF(DW1956&lt;&gt;"",1,0)+IF(DX1956&lt;&gt;"",1,0)+IF(DY1956&lt;&gt;"",1,0)+IF(DZ1956&lt;&gt;"",1,0)+IF(EB1956&lt;&gt;"",1,0)+IF(EC1956&lt;&gt;"",1,0)+IF(ED1956&lt;&gt;"",1,0)+IF(EG1956&lt;&gt;"",1,0)+IF(EH1956&lt;&gt;"",1,0)</f>
        <v/>
      </c>
      <c r="AZ1956">
        <f>IF(EH1956&lt;&gt;"",1,0)</f>
        <v/>
      </c>
      <c r="BB1956" t="inlineStr">
        <is>
          <t>WARREN-WARD 4</t>
        </is>
      </c>
      <c r="BC1956" t="inlineStr">
        <is>
          <t>X</t>
        </is>
      </c>
      <c r="BD1956" t="inlineStr">
        <is>
          <t>X</t>
        </is>
      </c>
      <c r="BL1956" t="inlineStr">
        <is>
          <t>X</t>
        </is>
      </c>
      <c r="BS1956" t="inlineStr">
        <is>
          <t>X</t>
        </is>
      </c>
      <c r="BV1956" t="inlineStr">
        <is>
          <t>X</t>
        </is>
      </c>
      <c r="CA1956" t="inlineStr">
        <is>
          <t>X</t>
        </is>
      </c>
      <c r="CG1956" t="inlineStr">
        <is>
          <t>X</t>
        </is>
      </c>
      <c r="CH1956" t="inlineStr">
        <is>
          <t>R</t>
        </is>
      </c>
      <c r="CK1956" t="inlineStr">
        <is>
          <t>X</t>
        </is>
      </c>
      <c r="CN1956" t="inlineStr">
        <is>
          <t>X</t>
        </is>
      </c>
      <c r="CO1956" t="inlineStr">
        <is>
          <t>R</t>
        </is>
      </c>
      <c r="CP1956" t="inlineStr">
        <is>
          <t>X</t>
        </is>
      </c>
      <c r="CV1956" t="inlineStr">
        <is>
          <t>X</t>
        </is>
      </c>
      <c r="CY1956" t="inlineStr">
        <is>
          <t>X</t>
        </is>
      </c>
      <c r="CZ1956" t="inlineStr">
        <is>
          <t>R</t>
        </is>
      </c>
      <c r="DC1956" t="inlineStr">
        <is>
          <t>X</t>
        </is>
      </c>
      <c r="DI1956" t="inlineStr">
        <is>
          <t>X</t>
        </is>
      </c>
      <c r="DN1956" t="inlineStr">
        <is>
          <t>X</t>
        </is>
      </c>
      <c r="DU1956" t="inlineStr">
        <is>
          <t>X</t>
        </is>
      </c>
      <c r="EF1956" t="inlineStr">
        <is>
          <t>X</t>
        </is>
      </c>
    </row>
    <row r="1957">
      <c r="A1957" t="inlineStr">
        <is>
          <t>OH0015694714</t>
        </is>
      </c>
      <c r="B1957" t="n">
        <v>78</v>
      </c>
      <c r="C1957" t="n">
        <v>14709</v>
      </c>
      <c r="D1957" t="inlineStr">
        <is>
          <t>ROSENTHAL</t>
        </is>
      </c>
      <c r="E1957" t="inlineStr">
        <is>
          <t>JACON</t>
        </is>
      </c>
      <c r="F1957">
        <f>CONCATENATE(D1957," ",LEFT(H1957,4),"T=",AU1957,"D=",AV1957,"R=",AW1957,"M=",AX1957,"L=",AY1957,"B=",AZ1957)</f>
        <v/>
      </c>
      <c r="G1957" t="inlineStr">
        <is>
          <t>A</t>
        </is>
      </c>
      <c r="I1957" t="inlineStr">
        <is>
          <t>1944-02-16</t>
        </is>
      </c>
      <c r="J1957" t="inlineStr">
        <is>
          <t>1965-05-25</t>
        </is>
      </c>
      <c r="K1957" t="inlineStr">
        <is>
          <t>ACTIVE</t>
        </is>
      </c>
      <c r="L1957" t="inlineStr">
        <is>
          <t>D</t>
        </is>
      </c>
      <c r="M1957" t="inlineStr">
        <is>
          <t>253 LOWELL AVE NE</t>
        </is>
      </c>
      <c r="N1957">
        <f>RIGHT(M1957,LEN(M1957)-FIND(" ",M1957))</f>
        <v/>
      </c>
      <c r="P1957" t="inlineStr">
        <is>
          <t>WARREN</t>
        </is>
      </c>
      <c r="Q1957" t="inlineStr">
        <is>
          <t>OH</t>
        </is>
      </c>
      <c r="R1957" t="n">
        <v>44483</v>
      </c>
      <c r="AD1957" t="inlineStr">
        <is>
          <t>TRUMBULL CAREER &amp; TECH CENTER</t>
        </is>
      </c>
      <c r="AE1957" t="inlineStr">
        <is>
          <t>WARREN CITY</t>
        </is>
      </c>
      <c r="AF1957" t="inlineStr">
        <is>
          <t>WARREN CITY SD</t>
        </is>
      </c>
      <c r="AH1957" t="n">
        <v>14</v>
      </c>
      <c r="AI1957" t="n">
        <v>11</v>
      </c>
      <c r="AN1957" t="inlineStr">
        <is>
          <t>WARREN</t>
        </is>
      </c>
      <c r="AO1957" t="inlineStr">
        <is>
          <t>WARREN CITY 4D</t>
        </is>
      </c>
      <c r="AP1957" t="inlineStr">
        <is>
          <t>78-P-ADL</t>
        </is>
      </c>
      <c r="AQ1957" t="n">
        <v>9</v>
      </c>
      <c r="AR1957" t="n">
        <v>64</v>
      </c>
      <c r="AS1957" t="n">
        <v>32</v>
      </c>
      <c r="AU1957">
        <f>COUNTA($BA$1957:$EH$1957)</f>
        <v/>
      </c>
      <c r="AV1957">
        <f>COUNTIF($BA$1957:$EH$1957,"D")</f>
        <v/>
      </c>
      <c r="AW1957">
        <f>COUNTIF($BA$1957:$EH$1957,"R")</f>
        <v/>
      </c>
      <c r="AX1957">
        <f>IF(BN1957="D",1,0)+IF(BO1957="D",1,0)+IF(BT1957="D",1,0)+IF(BU1957="D",1,0)+IF(BW1957="D",1,0)+IF(CC1957="D",1,0)+IF(CD1957="D",1,0)+IF(CE1957="D",1,0)+IF(CF1957="D",1,0)+IF(CL1957="D",1,0)+IF(CM1957="D",1,0)+IF(CQ1957="D",1,0)+IF(CR1957="D",1,0)+IF(CS1957="D",1,0)+IF(CW1957="D",1,0)+IF(CX1957="D",1,0)+IF(DD1957="D",1,0)+IF(DE1957="D",1,0)+IF(DJ1957="D",1,0)+IF(DK1957="D",1,0)+IF(DO1957="D",1,0)+IF(DP1957="D",1,0)+IF(DQ1957="D",1,0)+IF(DW1957="D",1,0)+IF(DZ1957="D",1,0)+IF(EH1957="D",1,0)</f>
        <v/>
      </c>
      <c r="AY1957">
        <f>IF(DJ1957&lt;&gt;"",1,0)+IF(DK1957&lt;&gt;"",1,0)+IF(DM1957&lt;&gt;"",1,0)+IF(DO1957&lt;&gt;"",1,0)+IF(DP1957&lt;&gt;"",1,0)+IF(DQ1957&lt;&gt;"",1,0)+IF(DS1957&lt;&gt;"",1,0)+IF(DT1957&lt;&gt;"",1,0)+IF(DV1957&lt;&gt;"",1,0)+IF(DW1957&lt;&gt;"",1,0)+IF(DX1957&lt;&gt;"",1,0)+IF(DY1957&lt;&gt;"",1,0)+IF(DZ1957&lt;&gt;"",1,0)+IF(EB1957&lt;&gt;"",1,0)+IF(EC1957&lt;&gt;"",1,0)+IF(ED1957&lt;&gt;"",1,0)+IF(EG1957&lt;&gt;"",1,0)+IF(EH1957&lt;&gt;"",1,0)</f>
        <v/>
      </c>
      <c r="AZ1957">
        <f>IF(EH1957&lt;&gt;"",1,0)</f>
        <v/>
      </c>
      <c r="BB1957" t="inlineStr">
        <is>
          <t>WARREN-WARD 4</t>
        </is>
      </c>
      <c r="BJ1957" t="inlineStr">
        <is>
          <t>X</t>
        </is>
      </c>
      <c r="BL1957" t="inlineStr">
        <is>
          <t>X</t>
        </is>
      </c>
      <c r="BP1957" t="inlineStr">
        <is>
          <t>X</t>
        </is>
      </c>
      <c r="BR1957" t="inlineStr">
        <is>
          <t>X</t>
        </is>
      </c>
      <c r="BS1957" t="inlineStr">
        <is>
          <t>X</t>
        </is>
      </c>
      <c r="BT1957" t="inlineStr">
        <is>
          <t>X</t>
        </is>
      </c>
      <c r="BV1957" t="inlineStr">
        <is>
          <t>X</t>
        </is>
      </c>
      <c r="BY1957" t="inlineStr">
        <is>
          <t>D</t>
        </is>
      </c>
      <c r="CA1957" t="inlineStr">
        <is>
          <t>X</t>
        </is>
      </c>
      <c r="CG1957" t="inlineStr">
        <is>
          <t>X</t>
        </is>
      </c>
      <c r="CK1957" t="inlineStr">
        <is>
          <t>X</t>
        </is>
      </c>
      <c r="CN1957" t="inlineStr">
        <is>
          <t>X</t>
        </is>
      </c>
      <c r="CO1957" t="inlineStr">
        <is>
          <t>D</t>
        </is>
      </c>
      <c r="CP1957" t="inlineStr">
        <is>
          <t>X</t>
        </is>
      </c>
      <c r="CT1957" t="inlineStr">
        <is>
          <t>X</t>
        </is>
      </c>
      <c r="CU1957" t="inlineStr">
        <is>
          <t>D</t>
        </is>
      </c>
      <c r="CV1957" t="inlineStr">
        <is>
          <t>X</t>
        </is>
      </c>
      <c r="CY1957" t="inlineStr">
        <is>
          <t>X</t>
        </is>
      </c>
      <c r="CZ1957" t="inlineStr">
        <is>
          <t>D</t>
        </is>
      </c>
      <c r="DC1957" t="inlineStr">
        <is>
          <t>X</t>
        </is>
      </c>
      <c r="DD1957" t="inlineStr">
        <is>
          <t>D</t>
        </is>
      </c>
      <c r="DF1957" t="inlineStr">
        <is>
          <t>X</t>
        </is>
      </c>
      <c r="DG1957" t="inlineStr">
        <is>
          <t>D</t>
        </is>
      </c>
      <c r="DI1957" t="inlineStr">
        <is>
          <t>X</t>
        </is>
      </c>
      <c r="DJ1957" t="inlineStr">
        <is>
          <t>D</t>
        </is>
      </c>
      <c r="DL1957" t="inlineStr">
        <is>
          <t>X</t>
        </is>
      </c>
      <c r="DM1957" t="inlineStr">
        <is>
          <t>D</t>
        </is>
      </c>
      <c r="DN1957" t="inlineStr">
        <is>
          <t>X</t>
        </is>
      </c>
      <c r="DR1957" t="inlineStr">
        <is>
          <t>X</t>
        </is>
      </c>
      <c r="DS1957" t="inlineStr">
        <is>
          <t>D</t>
        </is>
      </c>
      <c r="DU1957" t="inlineStr">
        <is>
          <t>X</t>
        </is>
      </c>
      <c r="DX1957" t="inlineStr">
        <is>
          <t>X</t>
        </is>
      </c>
      <c r="EA1957" t="inlineStr">
        <is>
          <t>X</t>
        </is>
      </c>
      <c r="ED1957" t="inlineStr">
        <is>
          <t>D</t>
        </is>
      </c>
      <c r="EF1957" t="inlineStr">
        <is>
          <t>X</t>
        </is>
      </c>
    </row>
    <row r="1958">
      <c r="A1958" t="inlineStr">
        <is>
          <t>OH0018755670</t>
        </is>
      </c>
      <c r="B1958" t="n">
        <v>78</v>
      </c>
      <c r="C1958" t="n">
        <v>344005</v>
      </c>
      <c r="D1958" t="inlineStr">
        <is>
          <t>BURKET</t>
        </is>
      </c>
      <c r="E1958" t="inlineStr">
        <is>
          <t>SHERRY</t>
        </is>
      </c>
      <c r="F1958">
        <f>CONCATENATE(D1958," ",LEFT(H1958,4),"T=",AU1958,"D=",AV1958,"R=",AW1958,"M=",AX1958,"L=",AY1958,"B=",AZ1958)</f>
        <v/>
      </c>
      <c r="G1958" t="inlineStr">
        <is>
          <t>LYNN</t>
        </is>
      </c>
      <c r="I1958" t="inlineStr">
        <is>
          <t>1952-10-11</t>
        </is>
      </c>
      <c r="J1958" t="inlineStr">
        <is>
          <t>2021-07-07</t>
        </is>
      </c>
      <c r="K1958" t="inlineStr">
        <is>
          <t>ACTIVE</t>
        </is>
      </c>
      <c r="M1958" t="inlineStr">
        <is>
          <t>1132 WOODLAND AVE NE</t>
        </is>
      </c>
      <c r="N1958">
        <f>RIGHT(M1958,LEN(M1958)-FIND(" ",M1958))</f>
        <v/>
      </c>
      <c r="O1958" t="inlineStr">
        <is>
          <t>APT B</t>
        </is>
      </c>
      <c r="P1958" t="inlineStr">
        <is>
          <t>WARREN</t>
        </is>
      </c>
      <c r="Q1958" t="inlineStr">
        <is>
          <t>OH</t>
        </is>
      </c>
      <c r="R1958" t="n">
        <v>44483</v>
      </c>
      <c r="AD1958" t="inlineStr">
        <is>
          <t>TRUMBULL CAREER &amp; TECH CENTER</t>
        </is>
      </c>
      <c r="AE1958" t="inlineStr">
        <is>
          <t>WARREN CITY</t>
        </is>
      </c>
      <c r="AF1958" t="inlineStr">
        <is>
          <t>WARREN CITY SD</t>
        </is>
      </c>
      <c r="AH1958" t="n">
        <v>14</v>
      </c>
      <c r="AI1958" t="n">
        <v>11</v>
      </c>
      <c r="AN1958" t="inlineStr">
        <is>
          <t>WARREN</t>
        </is>
      </c>
      <c r="AO1958" t="inlineStr">
        <is>
          <t>WARREN CITY 4D</t>
        </is>
      </c>
      <c r="AP1958" t="inlineStr">
        <is>
          <t>78-P-ADL</t>
        </is>
      </c>
      <c r="AQ1958" t="n">
        <v>9</v>
      </c>
      <c r="AR1958" t="n">
        <v>64</v>
      </c>
      <c r="AS1958" t="n">
        <v>32</v>
      </c>
      <c r="AU1958">
        <f>COUNTA($BA$1958:$EH$1958)</f>
        <v/>
      </c>
      <c r="AV1958">
        <f>COUNTIF($BA$1958:$EH$1958,"D")</f>
        <v/>
      </c>
      <c r="AW1958">
        <f>COUNTIF($BA$1958:$EH$1958,"R")</f>
        <v/>
      </c>
      <c r="AX1958">
        <f>IF(BN1958="D",1,0)+IF(BO1958="D",1,0)+IF(BT1958="D",1,0)+IF(BU1958="D",1,0)+IF(BW1958="D",1,0)+IF(CC1958="D",1,0)+IF(CD1958="D",1,0)+IF(CE1958="D",1,0)+IF(CF1958="D",1,0)+IF(CL1958="D",1,0)+IF(CM1958="D",1,0)+IF(CQ1958="D",1,0)+IF(CR1958="D",1,0)+IF(CS1958="D",1,0)+IF(CW1958="D",1,0)+IF(CX1958="D",1,0)+IF(DD1958="D",1,0)+IF(DE1958="D",1,0)+IF(DJ1958="D",1,0)+IF(DK1958="D",1,0)+IF(DO1958="D",1,0)+IF(DP1958="D",1,0)+IF(DQ1958="D",1,0)+IF(DW1958="D",1,0)+IF(DZ1958="D",1,0)+IF(EH1958="D",1,0)</f>
        <v/>
      </c>
      <c r="AY1958">
        <f>IF(DJ1958&lt;&gt;"",1,0)+IF(DK1958&lt;&gt;"",1,0)+IF(DM1958&lt;&gt;"",1,0)+IF(DO1958&lt;&gt;"",1,0)+IF(DP1958&lt;&gt;"",1,0)+IF(DQ1958&lt;&gt;"",1,0)+IF(DS1958&lt;&gt;"",1,0)+IF(DT1958&lt;&gt;"",1,0)+IF(DV1958&lt;&gt;"",1,0)+IF(DW1958&lt;&gt;"",1,0)+IF(DX1958&lt;&gt;"",1,0)+IF(DY1958&lt;&gt;"",1,0)+IF(DZ1958&lt;&gt;"",1,0)+IF(EB1958&lt;&gt;"",1,0)+IF(EC1958&lt;&gt;"",1,0)+IF(ED1958&lt;&gt;"",1,0)+IF(EG1958&lt;&gt;"",1,0)+IF(EH1958&lt;&gt;"",1,0)</f>
        <v/>
      </c>
      <c r="AZ1958">
        <f>IF(EH1958&lt;&gt;"",1,0)</f>
        <v/>
      </c>
      <c r="BB1958" t="inlineStr">
        <is>
          <t>WARREN-WARD 4</t>
        </is>
      </c>
      <c r="BJ1958" t="inlineStr">
        <is>
          <t>X</t>
        </is>
      </c>
      <c r="BK1958" t="inlineStr">
        <is>
          <t>D</t>
        </is>
      </c>
      <c r="BL1958" t="inlineStr">
        <is>
          <t>X</t>
        </is>
      </c>
      <c r="BS1958" t="inlineStr">
        <is>
          <t>X</t>
        </is>
      </c>
      <c r="BV1958" t="inlineStr">
        <is>
          <t>X</t>
        </is>
      </c>
      <c r="BY1958" t="inlineStr">
        <is>
          <t>D</t>
        </is>
      </c>
      <c r="CA1958" t="inlineStr">
        <is>
          <t>X</t>
        </is>
      </c>
      <c r="CN1958" t="inlineStr">
        <is>
          <t>X</t>
        </is>
      </c>
      <c r="CP1958" t="inlineStr">
        <is>
          <t>X</t>
        </is>
      </c>
      <c r="CV1958" t="inlineStr">
        <is>
          <t>X</t>
        </is>
      </c>
      <c r="CZ1958" t="inlineStr">
        <is>
          <t>D</t>
        </is>
      </c>
      <c r="DC1958" t="inlineStr">
        <is>
          <t>X</t>
        </is>
      </c>
      <c r="DG1958" t="inlineStr">
        <is>
          <t>D</t>
        </is>
      </c>
      <c r="DI1958" t="inlineStr">
        <is>
          <t>X</t>
        </is>
      </c>
      <c r="DJ1958" t="inlineStr">
        <is>
          <t>D</t>
        </is>
      </c>
      <c r="DL1958" t="inlineStr">
        <is>
          <t>X</t>
        </is>
      </c>
      <c r="DM1958" t="inlineStr">
        <is>
          <t>D</t>
        </is>
      </c>
      <c r="DN1958" t="inlineStr">
        <is>
          <t>X</t>
        </is>
      </c>
      <c r="DU1958" t="inlineStr">
        <is>
          <t>X</t>
        </is>
      </c>
      <c r="DX1958" t="inlineStr">
        <is>
          <t>X</t>
        </is>
      </c>
      <c r="EA1958" t="inlineStr">
        <is>
          <t>X</t>
        </is>
      </c>
      <c r="EF1958" t="inlineStr">
        <is>
          <t>X</t>
        </is>
      </c>
    </row>
    <row r="1959">
      <c r="A1959" t="inlineStr">
        <is>
          <t>OH0024713856</t>
        </is>
      </c>
      <c r="B1959" t="n">
        <v>78</v>
      </c>
      <c r="C1959" t="n">
        <v>434153</v>
      </c>
      <c r="D1959" t="inlineStr">
        <is>
          <t>LOWE</t>
        </is>
      </c>
      <c r="E1959" t="inlineStr">
        <is>
          <t>NICOLE</t>
        </is>
      </c>
      <c r="F1959">
        <f>CONCATENATE(D1959," ",LEFT(H1959,4),"T=",AU1959,"D=",AV1959,"R=",AW1959,"M=",AX1959,"L=",AY1959,"B=",AZ1959)</f>
        <v/>
      </c>
      <c r="G1959" t="inlineStr">
        <is>
          <t>A</t>
        </is>
      </c>
      <c r="I1959" t="inlineStr">
        <is>
          <t>1983-03-05</t>
        </is>
      </c>
      <c r="J1959" t="inlineStr">
        <is>
          <t>2024-05-07</t>
        </is>
      </c>
      <c r="K1959" t="inlineStr">
        <is>
          <t>ACTIVE</t>
        </is>
      </c>
      <c r="M1959" t="inlineStr">
        <is>
          <t>121 MONROE ST NW</t>
        </is>
      </c>
      <c r="N1959">
        <f>RIGHT(M1959,LEN(M1959)-FIND(" ",M1959))</f>
        <v/>
      </c>
      <c r="O1959" t="inlineStr">
        <is>
          <t>APT 10</t>
        </is>
      </c>
      <c r="P1959" t="inlineStr">
        <is>
          <t>WARREN</t>
        </is>
      </c>
      <c r="Q1959" t="inlineStr">
        <is>
          <t>OH</t>
        </is>
      </c>
      <c r="R1959" t="n">
        <v>44483</v>
      </c>
      <c r="AD1959" t="inlineStr">
        <is>
          <t>TRUMBULL CAREER &amp; TECH CENTER</t>
        </is>
      </c>
      <c r="AE1959" t="inlineStr">
        <is>
          <t>WARREN CITY</t>
        </is>
      </c>
      <c r="AF1959" t="inlineStr">
        <is>
          <t>WARREN CITY SD</t>
        </is>
      </c>
      <c r="AH1959" t="n">
        <v>14</v>
      </c>
      <c r="AI1959" t="n">
        <v>11</v>
      </c>
      <c r="AN1959" t="inlineStr">
        <is>
          <t>WARREN</t>
        </is>
      </c>
      <c r="AO1959" t="inlineStr">
        <is>
          <t>WARREN CITY 4D</t>
        </is>
      </c>
      <c r="AP1959" t="inlineStr">
        <is>
          <t>78-P-ADL</t>
        </is>
      </c>
      <c r="AQ1959" t="n">
        <v>9</v>
      </c>
      <c r="AR1959" t="n">
        <v>64</v>
      </c>
      <c r="AS1959" t="n">
        <v>32</v>
      </c>
      <c r="AU1959">
        <f>COUNTA($BA$1959:$EH$1959)</f>
        <v/>
      </c>
      <c r="AV1959">
        <f>COUNTIF($BA$1959:$EH$1959,"D")</f>
        <v/>
      </c>
      <c r="AW1959">
        <f>COUNTIF($BA$1959:$EH$1959,"R")</f>
        <v/>
      </c>
      <c r="AX1959">
        <f>IF(BN1959="D",1,0)+IF(BO1959="D",1,0)+IF(BT1959="D",1,0)+IF(BU1959="D",1,0)+IF(BW1959="D",1,0)+IF(CC1959="D",1,0)+IF(CD1959="D",1,0)+IF(CE1959="D",1,0)+IF(CF1959="D",1,0)+IF(CL1959="D",1,0)+IF(CM1959="D",1,0)+IF(CQ1959="D",1,0)+IF(CR1959="D",1,0)+IF(CS1959="D",1,0)+IF(CW1959="D",1,0)+IF(CX1959="D",1,0)+IF(DD1959="D",1,0)+IF(DE1959="D",1,0)+IF(DJ1959="D",1,0)+IF(DK1959="D",1,0)+IF(DO1959="D",1,0)+IF(DP1959="D",1,0)+IF(DQ1959="D",1,0)+IF(DW1959="D",1,0)+IF(DZ1959="D",1,0)+IF(EH1959="D",1,0)</f>
        <v/>
      </c>
      <c r="AY1959">
        <f>IF(DJ1959&lt;&gt;"",1,0)+IF(DK1959&lt;&gt;"",1,0)+IF(DM1959&lt;&gt;"",1,0)+IF(DO1959&lt;&gt;"",1,0)+IF(DP1959&lt;&gt;"",1,0)+IF(DQ1959&lt;&gt;"",1,0)+IF(DS1959&lt;&gt;"",1,0)+IF(DT1959&lt;&gt;"",1,0)+IF(DV1959&lt;&gt;"",1,0)+IF(DW1959&lt;&gt;"",1,0)+IF(DX1959&lt;&gt;"",1,0)+IF(DY1959&lt;&gt;"",1,0)+IF(DZ1959&lt;&gt;"",1,0)+IF(EB1959&lt;&gt;"",1,0)+IF(EC1959&lt;&gt;"",1,0)+IF(ED1959&lt;&gt;"",1,0)+IF(EG1959&lt;&gt;"",1,0)+IF(EH1959&lt;&gt;"",1,0)</f>
        <v/>
      </c>
      <c r="AZ1959">
        <f>IF(EH1959&lt;&gt;"",1,0)</f>
        <v/>
      </c>
      <c r="BB1959" t="inlineStr">
        <is>
          <t>WARREN-WARD 4</t>
        </is>
      </c>
      <c r="BL1959" t="inlineStr">
        <is>
          <t>X</t>
        </is>
      </c>
      <c r="BS1959" t="inlineStr">
        <is>
          <t>X</t>
        </is>
      </c>
      <c r="BV1959" t="inlineStr">
        <is>
          <t>X</t>
        </is>
      </c>
      <c r="BY1959" t="inlineStr">
        <is>
          <t>D</t>
        </is>
      </c>
      <c r="CA1959" t="inlineStr">
        <is>
          <t>X</t>
        </is>
      </c>
      <c r="DI1959" t="inlineStr">
        <is>
          <t>X</t>
        </is>
      </c>
      <c r="DU1959" t="inlineStr">
        <is>
          <t>X</t>
        </is>
      </c>
    </row>
    <row r="1960">
      <c r="A1960" t="inlineStr">
        <is>
          <t>OH0019159496</t>
        </is>
      </c>
      <c r="B1960" t="n">
        <v>78</v>
      </c>
      <c r="C1960" t="n">
        <v>350466</v>
      </c>
      <c r="D1960" t="inlineStr">
        <is>
          <t>KARLSON</t>
        </is>
      </c>
      <c r="E1960" t="inlineStr">
        <is>
          <t>JOSEPH</t>
        </is>
      </c>
      <c r="F1960">
        <f>CONCATENATE(D1960," ",LEFT(H1960,4),"T=",AU1960,"D=",AV1960,"R=",AW1960,"M=",AX1960,"L=",AY1960,"B=",AZ1960)</f>
        <v/>
      </c>
      <c r="G1960" t="inlineStr">
        <is>
          <t>M</t>
        </is>
      </c>
      <c r="I1960" t="inlineStr">
        <is>
          <t>1988-05-27</t>
        </is>
      </c>
      <c r="J1960" t="inlineStr">
        <is>
          <t>2016-07-20</t>
        </is>
      </c>
      <c r="K1960" t="inlineStr">
        <is>
          <t>CONFIRMATION</t>
        </is>
      </c>
      <c r="M1960" t="inlineStr">
        <is>
          <t>715 OLIVE AVE NE</t>
        </is>
      </c>
      <c r="N1960">
        <f>RIGHT(M1960,LEN(M1960)-FIND(" ",M1960))</f>
        <v/>
      </c>
      <c r="P1960" t="inlineStr">
        <is>
          <t>WARREN</t>
        </is>
      </c>
      <c r="Q1960" t="inlineStr">
        <is>
          <t>OH</t>
        </is>
      </c>
      <c r="R1960" t="n">
        <v>44483</v>
      </c>
      <c r="AD1960" t="inlineStr">
        <is>
          <t>TRUMBULL CAREER &amp; TECH CENTER</t>
        </is>
      </c>
      <c r="AE1960" t="inlineStr">
        <is>
          <t>WARREN CITY</t>
        </is>
      </c>
      <c r="AF1960" t="inlineStr">
        <is>
          <t>WARREN CITY SD</t>
        </is>
      </c>
      <c r="AH1960" t="n">
        <v>14</v>
      </c>
      <c r="AI1960" t="n">
        <v>11</v>
      </c>
      <c r="AN1960" t="inlineStr">
        <is>
          <t>WARREN</t>
        </is>
      </c>
      <c r="AO1960" t="inlineStr">
        <is>
          <t>WARREN CITY 4D</t>
        </is>
      </c>
      <c r="AP1960" t="inlineStr">
        <is>
          <t>78-P-ADL</t>
        </is>
      </c>
      <c r="AQ1960" t="n">
        <v>9</v>
      </c>
      <c r="AR1960" t="n">
        <v>64</v>
      </c>
      <c r="AS1960" t="n">
        <v>32</v>
      </c>
      <c r="AU1960">
        <f>COUNTA($BA$1960:$EH$1960)</f>
        <v/>
      </c>
      <c r="AV1960">
        <f>COUNTIF($BA$1960:$EH$1960,"D")</f>
        <v/>
      </c>
      <c r="AW1960">
        <f>COUNTIF($BA$1960:$EH$1960,"R")</f>
        <v/>
      </c>
      <c r="AX1960">
        <f>IF(BN1960="D",1,0)+IF(BO1960="D",1,0)+IF(BT1960="D",1,0)+IF(BU1960="D",1,0)+IF(BW1960="D",1,0)+IF(CC1960="D",1,0)+IF(CD1960="D",1,0)+IF(CE1960="D",1,0)+IF(CF1960="D",1,0)+IF(CL1960="D",1,0)+IF(CM1960="D",1,0)+IF(CQ1960="D",1,0)+IF(CR1960="D",1,0)+IF(CS1960="D",1,0)+IF(CW1960="D",1,0)+IF(CX1960="D",1,0)+IF(DD1960="D",1,0)+IF(DE1960="D",1,0)+IF(DJ1960="D",1,0)+IF(DK1960="D",1,0)+IF(DO1960="D",1,0)+IF(DP1960="D",1,0)+IF(DQ1960="D",1,0)+IF(DW1960="D",1,0)+IF(DZ1960="D",1,0)+IF(EH1960="D",1,0)</f>
        <v/>
      </c>
      <c r="AY1960">
        <f>IF(DJ1960&lt;&gt;"",1,0)+IF(DK1960&lt;&gt;"",1,0)+IF(DM1960&lt;&gt;"",1,0)+IF(DO1960&lt;&gt;"",1,0)+IF(DP1960&lt;&gt;"",1,0)+IF(DQ1960&lt;&gt;"",1,0)+IF(DS1960&lt;&gt;"",1,0)+IF(DT1960&lt;&gt;"",1,0)+IF(DV1960&lt;&gt;"",1,0)+IF(DW1960&lt;&gt;"",1,0)+IF(DX1960&lt;&gt;"",1,0)+IF(DY1960&lt;&gt;"",1,0)+IF(DZ1960&lt;&gt;"",1,0)+IF(EB1960&lt;&gt;"",1,0)+IF(EC1960&lt;&gt;"",1,0)+IF(ED1960&lt;&gt;"",1,0)+IF(EG1960&lt;&gt;"",1,0)+IF(EH1960&lt;&gt;"",1,0)</f>
        <v/>
      </c>
      <c r="AZ1960">
        <f>IF(EH1960&lt;&gt;"",1,0)</f>
        <v/>
      </c>
      <c r="BB1960" t="inlineStr">
        <is>
          <t>WARREN-WARD 4</t>
        </is>
      </c>
    </row>
    <row r="1961">
      <c r="A1961" t="inlineStr">
        <is>
          <t>OH0025797754</t>
        </is>
      </c>
      <c r="B1961" t="n">
        <v>78</v>
      </c>
      <c r="C1961" t="n">
        <v>450584</v>
      </c>
      <c r="D1961" t="inlineStr">
        <is>
          <t>FIGUEROA</t>
        </is>
      </c>
      <c r="E1961" t="inlineStr">
        <is>
          <t>YULLY</t>
        </is>
      </c>
      <c r="F1961">
        <f>CONCATENATE(D1961," ",LEFT(H1961,4),"T=",AU1961,"D=",AV1961,"R=",AW1961,"M=",AX1961,"L=",AY1961,"B=",AZ1961)</f>
        <v/>
      </c>
      <c r="I1961" t="inlineStr">
        <is>
          <t>1991-07-06</t>
        </is>
      </c>
      <c r="J1961" t="inlineStr">
        <is>
          <t>2020-08-20</t>
        </is>
      </c>
      <c r="K1961" t="inlineStr">
        <is>
          <t>ACTIVE</t>
        </is>
      </c>
      <c r="M1961" t="inlineStr">
        <is>
          <t>425 OLIVE AVE NE</t>
        </is>
      </c>
      <c r="N1961">
        <f>RIGHT(M1961,LEN(M1961)-FIND(" ",M1961))</f>
        <v/>
      </c>
      <c r="P1961" t="inlineStr">
        <is>
          <t>WARREN</t>
        </is>
      </c>
      <c r="Q1961" t="inlineStr">
        <is>
          <t>OH</t>
        </is>
      </c>
      <c r="R1961" t="n">
        <v>44483</v>
      </c>
      <c r="AD1961" t="inlineStr">
        <is>
          <t>TRUMBULL CAREER &amp; TECH CENTER</t>
        </is>
      </c>
      <c r="AE1961" t="inlineStr">
        <is>
          <t>WARREN CITY</t>
        </is>
      </c>
      <c r="AF1961" t="inlineStr">
        <is>
          <t>WARREN CITY SD</t>
        </is>
      </c>
      <c r="AH1961" t="n">
        <v>14</v>
      </c>
      <c r="AI1961" t="n">
        <v>11</v>
      </c>
      <c r="AN1961" t="inlineStr">
        <is>
          <t>WARREN</t>
        </is>
      </c>
      <c r="AO1961" t="inlineStr">
        <is>
          <t>WARREN CITY 4D</t>
        </is>
      </c>
      <c r="AP1961" t="inlineStr">
        <is>
          <t>78-P-ADL</t>
        </is>
      </c>
      <c r="AQ1961" t="n">
        <v>9</v>
      </c>
      <c r="AR1961" t="n">
        <v>64</v>
      </c>
      <c r="AS1961" t="n">
        <v>32</v>
      </c>
      <c r="AU1961">
        <f>COUNTA($BA$1961:$EH$1961)</f>
        <v/>
      </c>
      <c r="AV1961">
        <f>COUNTIF($BA$1961:$EH$1961,"D")</f>
        <v/>
      </c>
      <c r="AW1961">
        <f>COUNTIF($BA$1961:$EH$1961,"R")</f>
        <v/>
      </c>
      <c r="AX1961">
        <f>IF(BN1961="D",1,0)+IF(BO1961="D",1,0)+IF(BT1961="D",1,0)+IF(BU1961="D",1,0)+IF(BW1961="D",1,0)+IF(CC1961="D",1,0)+IF(CD1961="D",1,0)+IF(CE1961="D",1,0)+IF(CF1961="D",1,0)+IF(CL1961="D",1,0)+IF(CM1961="D",1,0)+IF(CQ1961="D",1,0)+IF(CR1961="D",1,0)+IF(CS1961="D",1,0)+IF(CW1961="D",1,0)+IF(CX1961="D",1,0)+IF(DD1961="D",1,0)+IF(DE1961="D",1,0)+IF(DJ1961="D",1,0)+IF(DK1961="D",1,0)+IF(DO1961="D",1,0)+IF(DP1961="D",1,0)+IF(DQ1961="D",1,0)+IF(DW1961="D",1,0)+IF(DZ1961="D",1,0)+IF(EH1961="D",1,0)</f>
        <v/>
      </c>
      <c r="AY1961">
        <f>IF(DJ1961&lt;&gt;"",1,0)+IF(DK1961&lt;&gt;"",1,0)+IF(DM1961&lt;&gt;"",1,0)+IF(DO1961&lt;&gt;"",1,0)+IF(DP1961&lt;&gt;"",1,0)+IF(DQ1961&lt;&gt;"",1,0)+IF(DS1961&lt;&gt;"",1,0)+IF(DT1961&lt;&gt;"",1,0)+IF(DV1961&lt;&gt;"",1,0)+IF(DW1961&lt;&gt;"",1,0)+IF(DX1961&lt;&gt;"",1,0)+IF(DY1961&lt;&gt;"",1,0)+IF(DZ1961&lt;&gt;"",1,0)+IF(EB1961&lt;&gt;"",1,0)+IF(EC1961&lt;&gt;"",1,0)+IF(ED1961&lt;&gt;"",1,0)+IF(EG1961&lt;&gt;"",1,0)+IF(EH1961&lt;&gt;"",1,0)</f>
        <v/>
      </c>
      <c r="AZ1961">
        <f>IF(EH1961&lt;&gt;"",1,0)</f>
        <v/>
      </c>
      <c r="BB1961" t="inlineStr">
        <is>
          <t>WARREN-WARD 4</t>
        </is>
      </c>
      <c r="DN1961" t="inlineStr">
        <is>
          <t>X</t>
        </is>
      </c>
      <c r="EA1961" t="inlineStr">
        <is>
          <t>X</t>
        </is>
      </c>
      <c r="EF1961" t="inlineStr">
        <is>
          <t>X</t>
        </is>
      </c>
    </row>
    <row r="1962">
      <c r="A1962" t="inlineStr">
        <is>
          <t>OH0015724906</t>
        </is>
      </c>
      <c r="B1962" t="n">
        <v>78</v>
      </c>
      <c r="C1962" t="n">
        <v>208629</v>
      </c>
      <c r="D1962" t="inlineStr">
        <is>
          <t>LONDON</t>
        </is>
      </c>
      <c r="E1962" t="inlineStr">
        <is>
          <t>GAIL</t>
        </is>
      </c>
      <c r="F1962">
        <f>CONCATENATE(D1962," ",LEFT(H1962,4),"T=",AU1962,"D=",AV1962,"R=",AW1962,"M=",AX1962,"L=",AY1962,"B=",AZ1962)</f>
        <v/>
      </c>
      <c r="G1962" t="inlineStr">
        <is>
          <t>D</t>
        </is>
      </c>
      <c r="I1962" t="inlineStr">
        <is>
          <t>1959-04-03</t>
        </is>
      </c>
      <c r="J1962" t="inlineStr">
        <is>
          <t>2011-11-08</t>
        </is>
      </c>
      <c r="K1962" t="inlineStr">
        <is>
          <t>ACTIVE</t>
        </is>
      </c>
      <c r="M1962" t="inlineStr">
        <is>
          <t>221 WASHINGTON ST NW</t>
        </is>
      </c>
      <c r="N1962">
        <f>RIGHT(M1962,LEN(M1962)-FIND(" ",M1962))</f>
        <v/>
      </c>
      <c r="P1962" t="inlineStr">
        <is>
          <t>WARREN</t>
        </is>
      </c>
      <c r="Q1962" t="inlineStr">
        <is>
          <t>OH</t>
        </is>
      </c>
      <c r="R1962" t="n">
        <v>44483</v>
      </c>
      <c r="AD1962" t="inlineStr">
        <is>
          <t>TRUMBULL CAREER &amp; TECH CENTER</t>
        </is>
      </c>
      <c r="AE1962" t="inlineStr">
        <is>
          <t>WARREN CITY</t>
        </is>
      </c>
      <c r="AF1962" t="inlineStr">
        <is>
          <t>WARREN CITY SD</t>
        </is>
      </c>
      <c r="AH1962" t="n">
        <v>14</v>
      </c>
      <c r="AI1962" t="n">
        <v>11</v>
      </c>
      <c r="AN1962" t="inlineStr">
        <is>
          <t>WARREN</t>
        </is>
      </c>
      <c r="AO1962" t="inlineStr">
        <is>
          <t>WARREN CITY 4D</t>
        </is>
      </c>
      <c r="AP1962" t="inlineStr">
        <is>
          <t>78-P-ADL</t>
        </is>
      </c>
      <c r="AQ1962" t="n">
        <v>9</v>
      </c>
      <c r="AR1962" t="n">
        <v>64</v>
      </c>
      <c r="AS1962" t="n">
        <v>32</v>
      </c>
      <c r="AU1962">
        <f>COUNTA($BA$1962:$EH$1962)</f>
        <v/>
      </c>
      <c r="AV1962">
        <f>COUNTIF($BA$1962:$EH$1962,"D")</f>
        <v/>
      </c>
      <c r="AW1962">
        <f>COUNTIF($BA$1962:$EH$1962,"R")</f>
        <v/>
      </c>
      <c r="AX1962">
        <f>IF(BN1962="D",1,0)+IF(BO1962="D",1,0)+IF(BT1962="D",1,0)+IF(BU1962="D",1,0)+IF(BW1962="D",1,0)+IF(CC1962="D",1,0)+IF(CD1962="D",1,0)+IF(CE1962="D",1,0)+IF(CF1962="D",1,0)+IF(CL1962="D",1,0)+IF(CM1962="D",1,0)+IF(CQ1962="D",1,0)+IF(CR1962="D",1,0)+IF(CS1962="D",1,0)+IF(CW1962="D",1,0)+IF(CX1962="D",1,0)+IF(DD1962="D",1,0)+IF(DE1962="D",1,0)+IF(DJ1962="D",1,0)+IF(DK1962="D",1,0)+IF(DO1962="D",1,0)+IF(DP1962="D",1,0)+IF(DQ1962="D",1,0)+IF(DW1962="D",1,0)+IF(DZ1962="D",1,0)+IF(EH1962="D",1,0)</f>
        <v/>
      </c>
      <c r="AY1962">
        <f>IF(DJ1962&lt;&gt;"",1,0)+IF(DK1962&lt;&gt;"",1,0)+IF(DM1962&lt;&gt;"",1,0)+IF(DO1962&lt;&gt;"",1,0)+IF(DP1962&lt;&gt;"",1,0)+IF(DQ1962&lt;&gt;"",1,0)+IF(DS1962&lt;&gt;"",1,0)+IF(DT1962&lt;&gt;"",1,0)+IF(DV1962&lt;&gt;"",1,0)+IF(DW1962&lt;&gt;"",1,0)+IF(DX1962&lt;&gt;"",1,0)+IF(DY1962&lt;&gt;"",1,0)+IF(DZ1962&lt;&gt;"",1,0)+IF(EB1962&lt;&gt;"",1,0)+IF(EC1962&lt;&gt;"",1,0)+IF(ED1962&lt;&gt;"",1,0)+IF(EG1962&lt;&gt;"",1,0)+IF(EH1962&lt;&gt;"",1,0)</f>
        <v/>
      </c>
      <c r="AZ1962">
        <f>IF(EH1962&lt;&gt;"",1,0)</f>
        <v/>
      </c>
      <c r="BB1962" t="inlineStr">
        <is>
          <t>WARREN-WARD 4</t>
        </is>
      </c>
      <c r="BC1962" t="inlineStr">
        <is>
          <t>X</t>
        </is>
      </c>
      <c r="BD1962" t="inlineStr">
        <is>
          <t>X</t>
        </is>
      </c>
      <c r="BH1962" t="inlineStr">
        <is>
          <t>X</t>
        </is>
      </c>
      <c r="BL1962" t="inlineStr">
        <is>
          <t>X</t>
        </is>
      </c>
      <c r="BP1962" t="inlineStr">
        <is>
          <t>X</t>
        </is>
      </c>
      <c r="BS1962" t="inlineStr">
        <is>
          <t>X</t>
        </is>
      </c>
      <c r="BY1962" t="inlineStr">
        <is>
          <t>D</t>
        </is>
      </c>
      <c r="CA1962" t="inlineStr">
        <is>
          <t>X</t>
        </is>
      </c>
      <c r="CG1962" t="inlineStr">
        <is>
          <t>X</t>
        </is>
      </c>
      <c r="CH1962" t="inlineStr">
        <is>
          <t>D</t>
        </is>
      </c>
      <c r="CN1962" t="inlineStr">
        <is>
          <t>X</t>
        </is>
      </c>
      <c r="CO1962" t="inlineStr">
        <is>
          <t>D</t>
        </is>
      </c>
      <c r="CP1962" t="inlineStr">
        <is>
          <t>X</t>
        </is>
      </c>
      <c r="CV1962" t="inlineStr">
        <is>
          <t>X</t>
        </is>
      </c>
      <c r="CY1962" t="inlineStr">
        <is>
          <t>X</t>
        </is>
      </c>
      <c r="DC1962" t="inlineStr">
        <is>
          <t>X</t>
        </is>
      </c>
      <c r="DN1962" t="inlineStr">
        <is>
          <t>X</t>
        </is>
      </c>
      <c r="DU1962" t="inlineStr">
        <is>
          <t>X</t>
        </is>
      </c>
      <c r="EF1962" t="inlineStr">
        <is>
          <t>X</t>
        </is>
      </c>
    </row>
    <row r="1963">
      <c r="A1963" t="inlineStr">
        <is>
          <t>OH0015701150</t>
        </is>
      </c>
      <c r="B1963" t="n">
        <v>78</v>
      </c>
      <c r="C1963" t="n">
        <v>16012</v>
      </c>
      <c r="D1963" t="inlineStr">
        <is>
          <t>LAVELLE</t>
        </is>
      </c>
      <c r="E1963" t="inlineStr">
        <is>
          <t>EDWARD</t>
        </is>
      </c>
      <c r="F1963">
        <f>CONCATENATE(D1963," ",LEFT(H1963,4),"T=",AU1963,"D=",AV1963,"R=",AW1963,"M=",AX1963,"L=",AY1963,"B=",AZ1963)</f>
        <v/>
      </c>
      <c r="G1963" t="inlineStr">
        <is>
          <t>L</t>
        </is>
      </c>
      <c r="I1963" t="inlineStr">
        <is>
          <t>1947-08-22</t>
        </is>
      </c>
      <c r="J1963" t="inlineStr">
        <is>
          <t>1972-09-07</t>
        </is>
      </c>
      <c r="K1963" t="inlineStr">
        <is>
          <t>ACTIVE</t>
        </is>
      </c>
      <c r="L1963" t="inlineStr">
        <is>
          <t>D</t>
        </is>
      </c>
      <c r="M1963" t="inlineStr">
        <is>
          <t>325 MONROE ST NW</t>
        </is>
      </c>
      <c r="N1963">
        <f>RIGHT(M1963,LEN(M1963)-FIND(" ",M1963))</f>
        <v/>
      </c>
      <c r="P1963" t="inlineStr">
        <is>
          <t>WARREN</t>
        </is>
      </c>
      <c r="Q1963" t="inlineStr">
        <is>
          <t>OH</t>
        </is>
      </c>
      <c r="R1963" t="n">
        <v>44483</v>
      </c>
      <c r="AD1963" t="inlineStr">
        <is>
          <t>TRUMBULL CAREER &amp; TECH CENTER</t>
        </is>
      </c>
      <c r="AE1963" t="inlineStr">
        <is>
          <t>WARREN CITY</t>
        </is>
      </c>
      <c r="AF1963" t="inlineStr">
        <is>
          <t>WARREN CITY SD</t>
        </is>
      </c>
      <c r="AH1963" t="n">
        <v>14</v>
      </c>
      <c r="AI1963" t="n">
        <v>11</v>
      </c>
      <c r="AN1963" t="inlineStr">
        <is>
          <t>WARREN</t>
        </is>
      </c>
      <c r="AO1963" t="inlineStr">
        <is>
          <t>WARREN CITY 4D</t>
        </is>
      </c>
      <c r="AP1963" t="inlineStr">
        <is>
          <t>78-P-ADL</t>
        </is>
      </c>
      <c r="AQ1963" t="n">
        <v>9</v>
      </c>
      <c r="AR1963" t="n">
        <v>64</v>
      </c>
      <c r="AS1963" t="n">
        <v>32</v>
      </c>
      <c r="AU1963">
        <f>COUNTA($BA$1963:$EH$1963)</f>
        <v/>
      </c>
      <c r="AV1963">
        <f>COUNTIF($BA$1963:$EH$1963,"D")</f>
        <v/>
      </c>
      <c r="AW1963">
        <f>COUNTIF($BA$1963:$EH$1963,"R")</f>
        <v/>
      </c>
      <c r="AX1963">
        <f>IF(BN1963="D",1,0)+IF(BO1963="D",1,0)+IF(BT1963="D",1,0)+IF(BU1963="D",1,0)+IF(BW1963="D",1,0)+IF(CC1963="D",1,0)+IF(CD1963="D",1,0)+IF(CE1963="D",1,0)+IF(CF1963="D",1,0)+IF(CL1963="D",1,0)+IF(CM1963="D",1,0)+IF(CQ1963="D",1,0)+IF(CR1963="D",1,0)+IF(CS1963="D",1,0)+IF(CW1963="D",1,0)+IF(CX1963="D",1,0)+IF(DD1963="D",1,0)+IF(DE1963="D",1,0)+IF(DJ1963="D",1,0)+IF(DK1963="D",1,0)+IF(DO1963="D",1,0)+IF(DP1963="D",1,0)+IF(DQ1963="D",1,0)+IF(DW1963="D",1,0)+IF(DZ1963="D",1,0)+IF(EH1963="D",1,0)</f>
        <v/>
      </c>
      <c r="AY1963">
        <f>IF(DJ1963&lt;&gt;"",1,0)+IF(DK1963&lt;&gt;"",1,0)+IF(DM1963&lt;&gt;"",1,0)+IF(DO1963&lt;&gt;"",1,0)+IF(DP1963&lt;&gt;"",1,0)+IF(DQ1963&lt;&gt;"",1,0)+IF(DS1963&lt;&gt;"",1,0)+IF(DT1963&lt;&gt;"",1,0)+IF(DV1963&lt;&gt;"",1,0)+IF(DW1963&lt;&gt;"",1,0)+IF(DX1963&lt;&gt;"",1,0)+IF(DY1963&lt;&gt;"",1,0)+IF(DZ1963&lt;&gt;"",1,0)+IF(EB1963&lt;&gt;"",1,0)+IF(EC1963&lt;&gt;"",1,0)+IF(ED1963&lt;&gt;"",1,0)+IF(EG1963&lt;&gt;"",1,0)+IF(EH1963&lt;&gt;"",1,0)</f>
        <v/>
      </c>
      <c r="AZ1963">
        <f>IF(EH1963&lt;&gt;"",1,0)</f>
        <v/>
      </c>
      <c r="BB1963" t="inlineStr">
        <is>
          <t>WARREN-WARD 4</t>
        </is>
      </c>
      <c r="BC1963" t="inlineStr">
        <is>
          <t>X</t>
        </is>
      </c>
      <c r="BD1963" t="inlineStr">
        <is>
          <t>X</t>
        </is>
      </c>
      <c r="BE1963" t="inlineStr">
        <is>
          <t>X</t>
        </is>
      </c>
      <c r="BF1963" t="inlineStr">
        <is>
          <t>X</t>
        </is>
      </c>
      <c r="BG1963" t="inlineStr">
        <is>
          <t>X</t>
        </is>
      </c>
      <c r="BH1963" t="inlineStr">
        <is>
          <t>X</t>
        </is>
      </c>
      <c r="BI1963" t="inlineStr">
        <is>
          <t>X</t>
        </is>
      </c>
      <c r="BJ1963" t="inlineStr">
        <is>
          <t>X</t>
        </is>
      </c>
      <c r="BK1963" t="inlineStr">
        <is>
          <t>X</t>
        </is>
      </c>
      <c r="BL1963" t="inlineStr">
        <is>
          <t>X</t>
        </is>
      </c>
      <c r="BP1963" t="inlineStr">
        <is>
          <t>X</t>
        </is>
      </c>
      <c r="BR1963" t="inlineStr">
        <is>
          <t>X</t>
        </is>
      </c>
      <c r="BS1963" t="inlineStr">
        <is>
          <t>X</t>
        </is>
      </c>
      <c r="BV1963" t="inlineStr">
        <is>
          <t>X</t>
        </is>
      </c>
      <c r="BY1963" t="inlineStr">
        <is>
          <t>D</t>
        </is>
      </c>
      <c r="CA1963" t="inlineStr">
        <is>
          <t>X</t>
        </is>
      </c>
      <c r="CG1963" t="inlineStr">
        <is>
          <t>X</t>
        </is>
      </c>
      <c r="CH1963" t="inlineStr">
        <is>
          <t>D</t>
        </is>
      </c>
      <c r="CK1963" t="inlineStr">
        <is>
          <t>X</t>
        </is>
      </c>
      <c r="CL1963" t="inlineStr">
        <is>
          <t>D</t>
        </is>
      </c>
      <c r="CN1963" t="inlineStr">
        <is>
          <t>X</t>
        </is>
      </c>
      <c r="CO1963" t="inlineStr">
        <is>
          <t>D</t>
        </is>
      </c>
      <c r="CP1963" t="inlineStr">
        <is>
          <t>X</t>
        </is>
      </c>
      <c r="CQ1963" t="inlineStr">
        <is>
          <t>D</t>
        </is>
      </c>
      <c r="CU1963" t="inlineStr">
        <is>
          <t>D</t>
        </is>
      </c>
      <c r="CV1963" t="inlineStr">
        <is>
          <t>X</t>
        </is>
      </c>
      <c r="CW1963" t="inlineStr">
        <is>
          <t>D</t>
        </is>
      </c>
      <c r="CY1963" t="inlineStr">
        <is>
          <t>X</t>
        </is>
      </c>
      <c r="CZ1963" t="inlineStr">
        <is>
          <t>D</t>
        </is>
      </c>
      <c r="DC1963" t="inlineStr">
        <is>
          <t>X</t>
        </is>
      </c>
      <c r="DG1963" t="inlineStr">
        <is>
          <t>D</t>
        </is>
      </c>
      <c r="DI1963" t="inlineStr">
        <is>
          <t>X</t>
        </is>
      </c>
      <c r="DJ1963" t="inlineStr">
        <is>
          <t>D</t>
        </is>
      </c>
      <c r="DL1963" t="inlineStr">
        <is>
          <t>X</t>
        </is>
      </c>
      <c r="DM1963" t="inlineStr">
        <is>
          <t>D</t>
        </is>
      </c>
      <c r="DN1963" t="inlineStr">
        <is>
          <t>X</t>
        </is>
      </c>
      <c r="DR1963" t="inlineStr">
        <is>
          <t>X</t>
        </is>
      </c>
      <c r="DS1963" t="inlineStr">
        <is>
          <t>D</t>
        </is>
      </c>
      <c r="DT1963" t="inlineStr">
        <is>
          <t>D</t>
        </is>
      </c>
      <c r="DU1963" t="inlineStr">
        <is>
          <t>X</t>
        </is>
      </c>
      <c r="DW1963" t="inlineStr">
        <is>
          <t>D</t>
        </is>
      </c>
      <c r="DX1963" t="inlineStr">
        <is>
          <t>X</t>
        </is>
      </c>
      <c r="EA1963" t="inlineStr">
        <is>
          <t>X</t>
        </is>
      </c>
      <c r="ED1963" t="inlineStr">
        <is>
          <t>R</t>
        </is>
      </c>
      <c r="EF1963" t="inlineStr">
        <is>
          <t>X</t>
        </is>
      </c>
      <c r="EH1963" t="inlineStr">
        <is>
          <t>D</t>
        </is>
      </c>
    </row>
    <row r="1964">
      <c r="A1964" t="inlineStr">
        <is>
          <t>OH0015749548</t>
        </is>
      </c>
      <c r="B1964" t="n">
        <v>78</v>
      </c>
      <c r="C1964" t="n">
        <v>314621</v>
      </c>
      <c r="D1964" t="inlineStr">
        <is>
          <t>ESTRIGHT</t>
        </is>
      </c>
      <c r="E1964" t="inlineStr">
        <is>
          <t>WILLIAM</t>
        </is>
      </c>
      <c r="F1964">
        <f>CONCATENATE(D1964," ",LEFT(H1964,4),"T=",AU1964,"D=",AV1964,"R=",AW1964,"M=",AX1964,"L=",AY1964,"B=",AZ1964)</f>
        <v/>
      </c>
      <c r="G1964" t="inlineStr">
        <is>
          <t>C</t>
        </is>
      </c>
      <c r="I1964" t="inlineStr">
        <is>
          <t>1955-04-25</t>
        </is>
      </c>
      <c r="J1964" t="inlineStr">
        <is>
          <t>2017-03-30</t>
        </is>
      </c>
      <c r="K1964" t="inlineStr">
        <is>
          <t>ACTIVE</t>
        </is>
      </c>
      <c r="L1964" t="inlineStr">
        <is>
          <t>D</t>
        </is>
      </c>
      <c r="M1964" t="inlineStr">
        <is>
          <t>305 HARMON AVE NW</t>
        </is>
      </c>
      <c r="N1964">
        <f>RIGHT(M1964,LEN(M1964)-FIND(" ",M1964))</f>
        <v/>
      </c>
      <c r="O1964" t="inlineStr">
        <is>
          <t>APT 203</t>
        </is>
      </c>
      <c r="P1964" t="inlineStr">
        <is>
          <t>WARREN</t>
        </is>
      </c>
      <c r="Q1964" t="inlineStr">
        <is>
          <t>OH</t>
        </is>
      </c>
      <c r="R1964" t="n">
        <v>44483</v>
      </c>
      <c r="AD1964" t="inlineStr">
        <is>
          <t>TRUMBULL CAREER &amp; TECH CENTER</t>
        </is>
      </c>
      <c r="AE1964" t="inlineStr">
        <is>
          <t>WARREN CITY</t>
        </is>
      </c>
      <c r="AF1964" t="inlineStr">
        <is>
          <t>WARREN CITY SD</t>
        </is>
      </c>
      <c r="AH1964" t="n">
        <v>14</v>
      </c>
      <c r="AI1964" t="n">
        <v>11</v>
      </c>
      <c r="AN1964" t="inlineStr">
        <is>
          <t>WARREN</t>
        </is>
      </c>
      <c r="AO1964" t="inlineStr">
        <is>
          <t>WARREN CITY 4D</t>
        </is>
      </c>
      <c r="AP1964" t="inlineStr">
        <is>
          <t>78-P-ADL</t>
        </is>
      </c>
      <c r="AQ1964" t="n">
        <v>9</v>
      </c>
      <c r="AR1964" t="n">
        <v>64</v>
      </c>
      <c r="AS1964" t="n">
        <v>32</v>
      </c>
      <c r="AU1964">
        <f>COUNTA($BA$1964:$EH$1964)</f>
        <v/>
      </c>
      <c r="AV1964">
        <f>COUNTIF($BA$1964:$EH$1964,"D")</f>
        <v/>
      </c>
      <c r="AW1964">
        <f>COUNTIF($BA$1964:$EH$1964,"R")</f>
        <v/>
      </c>
      <c r="AX1964">
        <f>IF(BN1964="D",1,0)+IF(BO1964="D",1,0)+IF(BT1964="D",1,0)+IF(BU1964="D",1,0)+IF(BW1964="D",1,0)+IF(CC1964="D",1,0)+IF(CD1964="D",1,0)+IF(CE1964="D",1,0)+IF(CF1964="D",1,0)+IF(CL1964="D",1,0)+IF(CM1964="D",1,0)+IF(CQ1964="D",1,0)+IF(CR1964="D",1,0)+IF(CS1964="D",1,0)+IF(CW1964="D",1,0)+IF(CX1964="D",1,0)+IF(DD1964="D",1,0)+IF(DE1964="D",1,0)+IF(DJ1964="D",1,0)+IF(DK1964="D",1,0)+IF(DO1964="D",1,0)+IF(DP1964="D",1,0)+IF(DQ1964="D",1,0)+IF(DW1964="D",1,0)+IF(DZ1964="D",1,0)+IF(EH1964="D",1,0)</f>
        <v/>
      </c>
      <c r="AY1964">
        <f>IF(DJ1964&lt;&gt;"",1,0)+IF(DK1964&lt;&gt;"",1,0)+IF(DM1964&lt;&gt;"",1,0)+IF(DO1964&lt;&gt;"",1,0)+IF(DP1964&lt;&gt;"",1,0)+IF(DQ1964&lt;&gt;"",1,0)+IF(DS1964&lt;&gt;"",1,0)+IF(DT1964&lt;&gt;"",1,0)+IF(DV1964&lt;&gt;"",1,0)+IF(DW1964&lt;&gt;"",1,0)+IF(DX1964&lt;&gt;"",1,0)+IF(DY1964&lt;&gt;"",1,0)+IF(DZ1964&lt;&gt;"",1,0)+IF(EB1964&lt;&gt;"",1,0)+IF(EC1964&lt;&gt;"",1,0)+IF(ED1964&lt;&gt;"",1,0)+IF(EG1964&lt;&gt;"",1,0)+IF(EH1964&lt;&gt;"",1,0)</f>
        <v/>
      </c>
      <c r="AZ1964">
        <f>IF(EH1964&lt;&gt;"",1,0)</f>
        <v/>
      </c>
      <c r="BB1964" t="inlineStr">
        <is>
          <t>WARREN-WARD 4</t>
        </is>
      </c>
      <c r="BK1964" t="inlineStr">
        <is>
          <t>X</t>
        </is>
      </c>
      <c r="BL1964" t="inlineStr">
        <is>
          <t>X</t>
        </is>
      </c>
      <c r="BP1964" t="inlineStr">
        <is>
          <t>X</t>
        </is>
      </c>
      <c r="BS1964" t="inlineStr">
        <is>
          <t>X</t>
        </is>
      </c>
      <c r="BV1964" t="inlineStr">
        <is>
          <t>X</t>
        </is>
      </c>
      <c r="BY1964" t="inlineStr">
        <is>
          <t>D</t>
        </is>
      </c>
      <c r="CA1964" t="inlineStr">
        <is>
          <t>X</t>
        </is>
      </c>
      <c r="CN1964" t="inlineStr">
        <is>
          <t>X</t>
        </is>
      </c>
      <c r="CO1964" t="inlineStr">
        <is>
          <t>R</t>
        </is>
      </c>
      <c r="CP1964" t="inlineStr">
        <is>
          <t>X</t>
        </is>
      </c>
      <c r="CQ1964" t="inlineStr">
        <is>
          <t>D</t>
        </is>
      </c>
      <c r="CT1964" t="inlineStr">
        <is>
          <t>X</t>
        </is>
      </c>
      <c r="CU1964" t="inlineStr">
        <is>
          <t>D</t>
        </is>
      </c>
      <c r="CV1964" t="inlineStr">
        <is>
          <t>X</t>
        </is>
      </c>
      <c r="CW1964" t="inlineStr">
        <is>
          <t>D</t>
        </is>
      </c>
      <c r="CY1964" t="inlineStr">
        <is>
          <t>X</t>
        </is>
      </c>
      <c r="CZ1964" t="inlineStr">
        <is>
          <t>D</t>
        </is>
      </c>
      <c r="DC1964" t="inlineStr">
        <is>
          <t>X</t>
        </is>
      </c>
      <c r="DD1964" t="inlineStr">
        <is>
          <t>D</t>
        </is>
      </c>
      <c r="DF1964" t="inlineStr">
        <is>
          <t>X</t>
        </is>
      </c>
      <c r="DG1964" t="inlineStr">
        <is>
          <t>D</t>
        </is>
      </c>
      <c r="DI1964" t="inlineStr">
        <is>
          <t>X</t>
        </is>
      </c>
      <c r="DJ1964" t="inlineStr">
        <is>
          <t>D</t>
        </is>
      </c>
      <c r="DL1964" t="inlineStr">
        <is>
          <t>X</t>
        </is>
      </c>
      <c r="DM1964" t="inlineStr">
        <is>
          <t>D</t>
        </is>
      </c>
      <c r="DN1964" t="inlineStr">
        <is>
          <t>X</t>
        </is>
      </c>
      <c r="DR1964" t="inlineStr">
        <is>
          <t>X</t>
        </is>
      </c>
      <c r="DS1964" t="inlineStr">
        <is>
          <t>D</t>
        </is>
      </c>
      <c r="DT1964" t="inlineStr">
        <is>
          <t>D</t>
        </is>
      </c>
      <c r="DU1964" t="inlineStr">
        <is>
          <t>X</t>
        </is>
      </c>
      <c r="DW1964" t="inlineStr">
        <is>
          <t>D</t>
        </is>
      </c>
      <c r="DX1964" t="inlineStr">
        <is>
          <t>X</t>
        </is>
      </c>
      <c r="EA1964" t="inlineStr">
        <is>
          <t>X</t>
        </is>
      </c>
      <c r="ED1964" t="inlineStr">
        <is>
          <t>D</t>
        </is>
      </c>
      <c r="EF1964" t="inlineStr">
        <is>
          <t>X</t>
        </is>
      </c>
      <c r="EH1964" t="inlineStr">
        <is>
          <t>D</t>
        </is>
      </c>
    </row>
    <row r="1965">
      <c r="A1965" t="inlineStr">
        <is>
          <t>OH0021853110</t>
        </is>
      </c>
      <c r="B1965" t="n">
        <v>78</v>
      </c>
      <c r="C1965" t="n">
        <v>388316</v>
      </c>
      <c r="D1965" t="inlineStr">
        <is>
          <t>BARNETT</t>
        </is>
      </c>
      <c r="E1965" t="inlineStr">
        <is>
          <t>AMY</t>
        </is>
      </c>
      <c r="F1965">
        <f>CONCATENATE(D1965," ",LEFT(H1965,4),"T=",AU1965,"D=",AV1965,"R=",AW1965,"M=",AX1965,"L=",AY1965,"B=",AZ1965)</f>
        <v/>
      </c>
      <c r="G1965" t="inlineStr">
        <is>
          <t>JO</t>
        </is>
      </c>
      <c r="I1965" t="inlineStr">
        <is>
          <t>1988-03-01</t>
        </is>
      </c>
      <c r="J1965" t="inlineStr">
        <is>
          <t>2018-05-10</t>
        </is>
      </c>
      <c r="K1965" t="inlineStr">
        <is>
          <t>ACTIVE</t>
        </is>
      </c>
      <c r="M1965" t="inlineStr">
        <is>
          <t>1150 MCKINLEY ST NE</t>
        </is>
      </c>
      <c r="N1965">
        <f>RIGHT(M1965,LEN(M1965)-FIND(" ",M1965))</f>
        <v/>
      </c>
      <c r="P1965" t="inlineStr">
        <is>
          <t>WARREN</t>
        </is>
      </c>
      <c r="Q1965" t="inlineStr">
        <is>
          <t>OH</t>
        </is>
      </c>
      <c r="R1965" t="n">
        <v>44483</v>
      </c>
      <c r="AD1965" t="inlineStr">
        <is>
          <t>TRUMBULL CAREER &amp; TECH CENTER</t>
        </is>
      </c>
      <c r="AE1965" t="inlineStr">
        <is>
          <t>WARREN CITY</t>
        </is>
      </c>
      <c r="AF1965" t="inlineStr">
        <is>
          <t>WARREN CITY SD</t>
        </is>
      </c>
      <c r="AH1965" t="n">
        <v>14</v>
      </c>
      <c r="AI1965" t="n">
        <v>11</v>
      </c>
      <c r="AN1965" t="inlineStr">
        <is>
          <t>WARREN</t>
        </is>
      </c>
      <c r="AO1965" t="inlineStr">
        <is>
          <t>WARREN CITY 4D</t>
        </is>
      </c>
      <c r="AP1965" t="inlineStr">
        <is>
          <t>78-P-ADL</t>
        </is>
      </c>
      <c r="AQ1965" t="n">
        <v>9</v>
      </c>
      <c r="AR1965" t="n">
        <v>64</v>
      </c>
      <c r="AS1965" t="n">
        <v>32</v>
      </c>
      <c r="AU1965">
        <f>COUNTA($BA$1965:$EH$1965)</f>
        <v/>
      </c>
      <c r="AV1965">
        <f>COUNTIF($BA$1965:$EH$1965,"D")</f>
        <v/>
      </c>
      <c r="AW1965">
        <f>COUNTIF($BA$1965:$EH$1965,"R")</f>
        <v/>
      </c>
      <c r="AX1965">
        <f>IF(BN1965="D",1,0)+IF(BO1965="D",1,0)+IF(BT1965="D",1,0)+IF(BU1965="D",1,0)+IF(BW1965="D",1,0)+IF(CC1965="D",1,0)+IF(CD1965="D",1,0)+IF(CE1965="D",1,0)+IF(CF1965="D",1,0)+IF(CL1965="D",1,0)+IF(CM1965="D",1,0)+IF(CQ1965="D",1,0)+IF(CR1965="D",1,0)+IF(CS1965="D",1,0)+IF(CW1965="D",1,0)+IF(CX1965="D",1,0)+IF(DD1965="D",1,0)+IF(DE1965="D",1,0)+IF(DJ1965="D",1,0)+IF(DK1965="D",1,0)+IF(DO1965="D",1,0)+IF(DP1965="D",1,0)+IF(DQ1965="D",1,0)+IF(DW1965="D",1,0)+IF(DZ1965="D",1,0)+IF(EH1965="D",1,0)</f>
        <v/>
      </c>
      <c r="AY1965">
        <f>IF(DJ1965&lt;&gt;"",1,0)+IF(DK1965&lt;&gt;"",1,0)+IF(DM1965&lt;&gt;"",1,0)+IF(DO1965&lt;&gt;"",1,0)+IF(DP1965&lt;&gt;"",1,0)+IF(DQ1965&lt;&gt;"",1,0)+IF(DS1965&lt;&gt;"",1,0)+IF(DT1965&lt;&gt;"",1,0)+IF(DV1965&lt;&gt;"",1,0)+IF(DW1965&lt;&gt;"",1,0)+IF(DX1965&lt;&gt;"",1,0)+IF(DY1965&lt;&gt;"",1,0)+IF(DZ1965&lt;&gt;"",1,0)+IF(EB1965&lt;&gt;"",1,0)+IF(EC1965&lt;&gt;"",1,0)+IF(ED1965&lt;&gt;"",1,0)+IF(EG1965&lt;&gt;"",1,0)+IF(EH1965&lt;&gt;"",1,0)</f>
        <v/>
      </c>
      <c r="AZ1965">
        <f>IF(EH1965&lt;&gt;"",1,0)</f>
        <v/>
      </c>
      <c r="BB1965" t="inlineStr">
        <is>
          <t>WARREN-WARD 4</t>
        </is>
      </c>
    </row>
    <row r="1966">
      <c r="A1966" t="inlineStr">
        <is>
          <t>OH0015730749</t>
        </is>
      </c>
      <c r="B1966" t="n">
        <v>78</v>
      </c>
      <c r="C1966" t="n">
        <v>298938</v>
      </c>
      <c r="D1966" t="inlineStr">
        <is>
          <t>LAMBEA</t>
        </is>
      </c>
      <c r="E1966" t="inlineStr">
        <is>
          <t>DENNIS</t>
        </is>
      </c>
      <c r="F1966">
        <f>CONCATENATE(D1966," ",LEFT(H1966,4),"T=",AU1966,"D=",AV1966,"R=",AW1966,"M=",AX1966,"L=",AY1966,"B=",AZ1966)</f>
        <v/>
      </c>
      <c r="G1966" t="inlineStr">
        <is>
          <t>R</t>
        </is>
      </c>
      <c r="I1966" t="inlineStr">
        <is>
          <t>1956-08-01</t>
        </is>
      </c>
      <c r="J1966" t="inlineStr">
        <is>
          <t>2016-10-11</t>
        </is>
      </c>
      <c r="K1966" t="inlineStr">
        <is>
          <t>CONFIRMATION</t>
        </is>
      </c>
      <c r="M1966" t="inlineStr">
        <is>
          <t>182 HIGH ST NE</t>
        </is>
      </c>
      <c r="N1966">
        <f>RIGHT(M1966,LEN(M1966)-FIND(" ",M1966))</f>
        <v/>
      </c>
      <c r="O1966" t="inlineStr">
        <is>
          <t>APT 306</t>
        </is>
      </c>
      <c r="P1966" t="inlineStr">
        <is>
          <t>WARREN</t>
        </is>
      </c>
      <c r="Q1966" t="inlineStr">
        <is>
          <t>OH</t>
        </is>
      </c>
      <c r="R1966" t="n">
        <v>44481</v>
      </c>
      <c r="AD1966" t="inlineStr">
        <is>
          <t>TRUMBULL CAREER &amp; TECH CENTER</t>
        </is>
      </c>
      <c r="AE1966" t="inlineStr">
        <is>
          <t>WARREN CITY</t>
        </is>
      </c>
      <c r="AF1966" t="inlineStr">
        <is>
          <t>WARREN CITY SD</t>
        </is>
      </c>
      <c r="AH1966" t="n">
        <v>14</v>
      </c>
      <c r="AI1966" t="n">
        <v>11</v>
      </c>
      <c r="AN1966" t="inlineStr">
        <is>
          <t>WARREN</t>
        </is>
      </c>
      <c r="AO1966" t="inlineStr">
        <is>
          <t>WARREN CITY 4D</t>
        </is>
      </c>
      <c r="AP1966" t="inlineStr">
        <is>
          <t>78-P-ADL</t>
        </is>
      </c>
      <c r="AQ1966" t="n">
        <v>9</v>
      </c>
      <c r="AR1966" t="n">
        <v>64</v>
      </c>
      <c r="AS1966" t="n">
        <v>32</v>
      </c>
      <c r="AU1966">
        <f>COUNTA($BA$1966:$EH$1966)</f>
        <v/>
      </c>
      <c r="AV1966">
        <f>COUNTIF($BA$1966:$EH$1966,"D")</f>
        <v/>
      </c>
      <c r="AW1966">
        <f>COUNTIF($BA$1966:$EH$1966,"R")</f>
        <v/>
      </c>
      <c r="AX1966">
        <f>IF(BN1966="D",1,0)+IF(BO1966="D",1,0)+IF(BT1966="D",1,0)+IF(BU1966="D",1,0)+IF(BW1966="D",1,0)+IF(CC1966="D",1,0)+IF(CD1966="D",1,0)+IF(CE1966="D",1,0)+IF(CF1966="D",1,0)+IF(CL1966="D",1,0)+IF(CM1966="D",1,0)+IF(CQ1966="D",1,0)+IF(CR1966="D",1,0)+IF(CS1966="D",1,0)+IF(CW1966="D",1,0)+IF(CX1966="D",1,0)+IF(DD1966="D",1,0)+IF(DE1966="D",1,0)+IF(DJ1966="D",1,0)+IF(DK1966="D",1,0)+IF(DO1966="D",1,0)+IF(DP1966="D",1,0)+IF(DQ1966="D",1,0)+IF(DW1966="D",1,0)+IF(DZ1966="D",1,0)+IF(EH1966="D",1,0)</f>
        <v/>
      </c>
      <c r="AY1966">
        <f>IF(DJ1966&lt;&gt;"",1,0)+IF(DK1966&lt;&gt;"",1,0)+IF(DM1966&lt;&gt;"",1,0)+IF(DO1966&lt;&gt;"",1,0)+IF(DP1966&lt;&gt;"",1,0)+IF(DQ1966&lt;&gt;"",1,0)+IF(DS1966&lt;&gt;"",1,0)+IF(DT1966&lt;&gt;"",1,0)+IF(DV1966&lt;&gt;"",1,0)+IF(DW1966&lt;&gt;"",1,0)+IF(DX1966&lt;&gt;"",1,0)+IF(DY1966&lt;&gt;"",1,0)+IF(DZ1966&lt;&gt;"",1,0)+IF(EB1966&lt;&gt;"",1,0)+IF(EC1966&lt;&gt;"",1,0)+IF(ED1966&lt;&gt;"",1,0)+IF(EG1966&lt;&gt;"",1,0)+IF(EH1966&lt;&gt;"",1,0)</f>
        <v/>
      </c>
      <c r="AZ1966">
        <f>IF(EH1966&lt;&gt;"",1,0)</f>
        <v/>
      </c>
      <c r="BB1966" t="inlineStr">
        <is>
          <t>WARREN-WARD 4</t>
        </is>
      </c>
      <c r="BD1966" t="inlineStr">
        <is>
          <t>X</t>
        </is>
      </c>
      <c r="BL1966" t="inlineStr">
        <is>
          <t>X</t>
        </is>
      </c>
      <c r="BS1966" t="inlineStr">
        <is>
          <t>X</t>
        </is>
      </c>
      <c r="CA1966" t="inlineStr">
        <is>
          <t>X</t>
        </is>
      </c>
    </row>
    <row r="1967">
      <c r="A1967" t="inlineStr">
        <is>
          <t>OH0024993506</t>
        </is>
      </c>
      <c r="B1967" t="n">
        <v>78</v>
      </c>
      <c r="C1967" t="n">
        <v>437406</v>
      </c>
      <c r="D1967" t="inlineStr">
        <is>
          <t>ROBINSON</t>
        </is>
      </c>
      <c r="E1967" t="inlineStr">
        <is>
          <t>RANDY</t>
        </is>
      </c>
      <c r="F1967">
        <f>CONCATENATE(D1967," ",LEFT(H1967,4),"T=",AU1967,"D=",AV1967,"R=",AW1967,"M=",AX1967,"L=",AY1967,"B=",AZ1967)</f>
        <v/>
      </c>
      <c r="G1967" t="inlineStr">
        <is>
          <t>LOWELL</t>
        </is>
      </c>
      <c r="I1967" t="inlineStr">
        <is>
          <t>1954-12-03</t>
        </is>
      </c>
      <c r="J1967" t="inlineStr">
        <is>
          <t>2022-11-07</t>
        </is>
      </c>
      <c r="K1967" t="inlineStr">
        <is>
          <t>ACTIVE</t>
        </is>
      </c>
      <c r="M1967" t="inlineStr">
        <is>
          <t>640 PAIGE AVE NE</t>
        </is>
      </c>
      <c r="N1967">
        <f>RIGHT(M1967,LEN(M1967)-FIND(" ",M1967))</f>
        <v/>
      </c>
      <c r="P1967" t="inlineStr">
        <is>
          <t>WARREN</t>
        </is>
      </c>
      <c r="Q1967" t="inlineStr">
        <is>
          <t>OH</t>
        </is>
      </c>
      <c r="R1967" t="n">
        <v>44483</v>
      </c>
      <c r="AD1967" t="inlineStr">
        <is>
          <t>TRUMBULL CAREER &amp; TECH CENTER</t>
        </is>
      </c>
      <c r="AE1967" t="inlineStr">
        <is>
          <t>WARREN CITY</t>
        </is>
      </c>
      <c r="AF1967" t="inlineStr">
        <is>
          <t>WARREN CITY SD</t>
        </is>
      </c>
      <c r="AH1967" t="n">
        <v>14</v>
      </c>
      <c r="AI1967" t="n">
        <v>11</v>
      </c>
      <c r="AN1967" t="inlineStr">
        <is>
          <t>WARREN</t>
        </is>
      </c>
      <c r="AO1967" t="inlineStr">
        <is>
          <t>WARREN CITY 4D</t>
        </is>
      </c>
      <c r="AP1967" t="inlineStr">
        <is>
          <t>78-P-ADL</t>
        </is>
      </c>
      <c r="AQ1967" t="n">
        <v>9</v>
      </c>
      <c r="AR1967" t="n">
        <v>64</v>
      </c>
      <c r="AS1967" t="n">
        <v>32</v>
      </c>
      <c r="AU1967">
        <f>COUNTA($BA$1967:$EH$1967)</f>
        <v/>
      </c>
      <c r="AV1967">
        <f>COUNTIF($BA$1967:$EH$1967,"D")</f>
        <v/>
      </c>
      <c r="AW1967">
        <f>COUNTIF($BA$1967:$EH$1967,"R")</f>
        <v/>
      </c>
      <c r="AX1967">
        <f>IF(BN1967="D",1,0)+IF(BO1967="D",1,0)+IF(BT1967="D",1,0)+IF(BU1967="D",1,0)+IF(BW1967="D",1,0)+IF(CC1967="D",1,0)+IF(CD1967="D",1,0)+IF(CE1967="D",1,0)+IF(CF1967="D",1,0)+IF(CL1967="D",1,0)+IF(CM1967="D",1,0)+IF(CQ1967="D",1,0)+IF(CR1967="D",1,0)+IF(CS1967="D",1,0)+IF(CW1967="D",1,0)+IF(CX1967="D",1,0)+IF(DD1967="D",1,0)+IF(DE1967="D",1,0)+IF(DJ1967="D",1,0)+IF(DK1967="D",1,0)+IF(DO1967="D",1,0)+IF(DP1967="D",1,0)+IF(DQ1967="D",1,0)+IF(DW1967="D",1,0)+IF(DZ1967="D",1,0)+IF(EH1967="D",1,0)</f>
        <v/>
      </c>
      <c r="AY1967">
        <f>IF(DJ1967&lt;&gt;"",1,0)+IF(DK1967&lt;&gt;"",1,0)+IF(DM1967&lt;&gt;"",1,0)+IF(DO1967&lt;&gt;"",1,0)+IF(DP1967&lt;&gt;"",1,0)+IF(DQ1967&lt;&gt;"",1,0)+IF(DS1967&lt;&gt;"",1,0)+IF(DT1967&lt;&gt;"",1,0)+IF(DV1967&lt;&gt;"",1,0)+IF(DW1967&lt;&gt;"",1,0)+IF(DX1967&lt;&gt;"",1,0)+IF(DY1967&lt;&gt;"",1,0)+IF(DZ1967&lt;&gt;"",1,0)+IF(EB1967&lt;&gt;"",1,0)+IF(EC1967&lt;&gt;"",1,0)+IF(ED1967&lt;&gt;"",1,0)+IF(EG1967&lt;&gt;"",1,0)+IF(EH1967&lt;&gt;"",1,0)</f>
        <v/>
      </c>
      <c r="AZ1967">
        <f>IF(EH1967&lt;&gt;"",1,0)</f>
        <v/>
      </c>
      <c r="BB1967" t="inlineStr">
        <is>
          <t>WARREN-WARD 4</t>
        </is>
      </c>
    </row>
    <row r="1968">
      <c r="A1968" t="inlineStr">
        <is>
          <t>OH0023638506</t>
        </is>
      </c>
      <c r="B1968" t="n">
        <v>78</v>
      </c>
      <c r="C1968" t="n">
        <v>415591</v>
      </c>
      <c r="D1968" t="inlineStr">
        <is>
          <t>GREENWOOD</t>
        </is>
      </c>
      <c r="E1968" t="inlineStr">
        <is>
          <t>RAPHEAL</t>
        </is>
      </c>
      <c r="F1968">
        <f>CONCATENATE(D1968," ",LEFT(H1968,4),"T=",AU1968,"D=",AV1968,"R=",AW1968,"M=",AX1968,"L=",AY1968,"B=",AZ1968)</f>
        <v/>
      </c>
      <c r="G1968" t="inlineStr">
        <is>
          <t>A</t>
        </is>
      </c>
      <c r="I1968" t="inlineStr">
        <is>
          <t>1989-11-06</t>
        </is>
      </c>
      <c r="J1968" t="inlineStr">
        <is>
          <t>2016-03-22</t>
        </is>
      </c>
      <c r="K1968" t="inlineStr">
        <is>
          <t>CONFIRMATION</t>
        </is>
      </c>
      <c r="M1968" t="inlineStr">
        <is>
          <t>458 WAVERLY AVE NE</t>
        </is>
      </c>
      <c r="N1968">
        <f>RIGHT(M1968,LEN(M1968)-FIND(" ",M1968))</f>
        <v/>
      </c>
      <c r="P1968" t="inlineStr">
        <is>
          <t>WARREN</t>
        </is>
      </c>
      <c r="Q1968" t="inlineStr">
        <is>
          <t>OH</t>
        </is>
      </c>
      <c r="R1968" t="n">
        <v>44483</v>
      </c>
      <c r="AD1968" t="inlineStr">
        <is>
          <t>TRUMBULL CAREER &amp; TECH CENTER</t>
        </is>
      </c>
      <c r="AE1968" t="inlineStr">
        <is>
          <t>WARREN CITY</t>
        </is>
      </c>
      <c r="AF1968" t="inlineStr">
        <is>
          <t>WARREN CITY SD</t>
        </is>
      </c>
      <c r="AH1968" t="n">
        <v>14</v>
      </c>
      <c r="AI1968" t="n">
        <v>11</v>
      </c>
      <c r="AN1968" t="inlineStr">
        <is>
          <t>WARREN</t>
        </is>
      </c>
      <c r="AO1968" t="inlineStr">
        <is>
          <t>WARREN CITY 4D</t>
        </is>
      </c>
      <c r="AP1968" t="inlineStr">
        <is>
          <t>78-P-ADL</t>
        </is>
      </c>
      <c r="AQ1968" t="n">
        <v>9</v>
      </c>
      <c r="AR1968" t="n">
        <v>64</v>
      </c>
      <c r="AS1968" t="n">
        <v>32</v>
      </c>
      <c r="AU1968">
        <f>COUNTA($BA$1968:$EH$1968)</f>
        <v/>
      </c>
      <c r="AV1968">
        <f>COUNTIF($BA$1968:$EH$1968,"D")</f>
        <v/>
      </c>
      <c r="AW1968">
        <f>COUNTIF($BA$1968:$EH$1968,"R")</f>
        <v/>
      </c>
      <c r="AX1968">
        <f>IF(BN1968="D",1,0)+IF(BO1968="D",1,0)+IF(BT1968="D",1,0)+IF(BU1968="D",1,0)+IF(BW1968="D",1,0)+IF(CC1968="D",1,0)+IF(CD1968="D",1,0)+IF(CE1968="D",1,0)+IF(CF1968="D",1,0)+IF(CL1968="D",1,0)+IF(CM1968="D",1,0)+IF(CQ1968="D",1,0)+IF(CR1968="D",1,0)+IF(CS1968="D",1,0)+IF(CW1968="D",1,0)+IF(CX1968="D",1,0)+IF(DD1968="D",1,0)+IF(DE1968="D",1,0)+IF(DJ1968="D",1,0)+IF(DK1968="D",1,0)+IF(DO1968="D",1,0)+IF(DP1968="D",1,0)+IF(DQ1968="D",1,0)+IF(DW1968="D",1,0)+IF(DZ1968="D",1,0)+IF(EH1968="D",1,0)</f>
        <v/>
      </c>
      <c r="AY1968">
        <f>IF(DJ1968&lt;&gt;"",1,0)+IF(DK1968&lt;&gt;"",1,0)+IF(DM1968&lt;&gt;"",1,0)+IF(DO1968&lt;&gt;"",1,0)+IF(DP1968&lt;&gt;"",1,0)+IF(DQ1968&lt;&gt;"",1,0)+IF(DS1968&lt;&gt;"",1,0)+IF(DT1968&lt;&gt;"",1,0)+IF(DV1968&lt;&gt;"",1,0)+IF(DW1968&lt;&gt;"",1,0)+IF(DX1968&lt;&gt;"",1,0)+IF(DY1968&lt;&gt;"",1,0)+IF(DZ1968&lt;&gt;"",1,0)+IF(EB1968&lt;&gt;"",1,0)+IF(EC1968&lt;&gt;"",1,0)+IF(ED1968&lt;&gt;"",1,0)+IF(EG1968&lt;&gt;"",1,0)+IF(EH1968&lt;&gt;"",1,0)</f>
        <v/>
      </c>
      <c r="AZ1968">
        <f>IF(EH1968&lt;&gt;"",1,0)</f>
        <v/>
      </c>
      <c r="BB1968" t="inlineStr">
        <is>
          <t>WARREN-WARD 4</t>
        </is>
      </c>
    </row>
    <row r="1969">
      <c r="A1969" t="inlineStr">
        <is>
          <t>OH0015787129</t>
        </is>
      </c>
      <c r="B1969" t="n">
        <v>78</v>
      </c>
      <c r="C1969" t="n">
        <v>289831</v>
      </c>
      <c r="D1969" t="inlineStr">
        <is>
          <t>STAGGERS</t>
        </is>
      </c>
      <c r="E1969" t="inlineStr">
        <is>
          <t>FELECIA</t>
        </is>
      </c>
      <c r="F1969">
        <f>CONCATENATE(D1969," ",LEFT(H1969,4),"T=",AU1969,"D=",AV1969,"R=",AW1969,"M=",AX1969,"L=",AY1969,"B=",AZ1969)</f>
        <v/>
      </c>
      <c r="I1969" t="inlineStr">
        <is>
          <t>1977-06-07</t>
        </is>
      </c>
      <c r="J1969" t="inlineStr">
        <is>
          <t>2010-11-24</t>
        </is>
      </c>
      <c r="K1969" t="inlineStr">
        <is>
          <t>ACTIVE</t>
        </is>
      </c>
      <c r="M1969" t="inlineStr">
        <is>
          <t>306 SCOTT ST NE</t>
        </is>
      </c>
      <c r="N1969">
        <f>RIGHT(M1969,LEN(M1969)-FIND(" ",M1969))</f>
        <v/>
      </c>
      <c r="P1969" t="inlineStr">
        <is>
          <t>WARREN</t>
        </is>
      </c>
      <c r="Q1969" t="inlineStr">
        <is>
          <t>OH</t>
        </is>
      </c>
      <c r="R1969" t="n">
        <v>44483</v>
      </c>
      <c r="AD1969" t="inlineStr">
        <is>
          <t>TRUMBULL CAREER &amp; TECH CENTER</t>
        </is>
      </c>
      <c r="AE1969" t="inlineStr">
        <is>
          <t>WARREN CITY</t>
        </is>
      </c>
      <c r="AF1969" t="inlineStr">
        <is>
          <t>WARREN CITY SD</t>
        </is>
      </c>
      <c r="AH1969" t="n">
        <v>14</v>
      </c>
      <c r="AI1969" t="n">
        <v>11</v>
      </c>
      <c r="AN1969" t="inlineStr">
        <is>
          <t>WARREN</t>
        </is>
      </c>
      <c r="AO1969" t="inlineStr">
        <is>
          <t>WARREN CITY 4D</t>
        </is>
      </c>
      <c r="AP1969" t="inlineStr">
        <is>
          <t>78-P-ADL</t>
        </is>
      </c>
      <c r="AQ1969" t="n">
        <v>9</v>
      </c>
      <c r="AR1969" t="n">
        <v>64</v>
      </c>
      <c r="AS1969" t="n">
        <v>32</v>
      </c>
      <c r="AU1969">
        <f>COUNTA($BA$1969:$EH$1969)</f>
        <v/>
      </c>
      <c r="AV1969">
        <f>COUNTIF($BA$1969:$EH$1969,"D")</f>
        <v/>
      </c>
      <c r="AW1969">
        <f>COUNTIF($BA$1969:$EH$1969,"R")</f>
        <v/>
      </c>
      <c r="AX1969">
        <f>IF(BN1969="D",1,0)+IF(BO1969="D",1,0)+IF(BT1969="D",1,0)+IF(BU1969="D",1,0)+IF(BW1969="D",1,0)+IF(CC1969="D",1,0)+IF(CD1969="D",1,0)+IF(CE1969="D",1,0)+IF(CF1969="D",1,0)+IF(CL1969="D",1,0)+IF(CM1969="D",1,0)+IF(CQ1969="D",1,0)+IF(CR1969="D",1,0)+IF(CS1969="D",1,0)+IF(CW1969="D",1,0)+IF(CX1969="D",1,0)+IF(DD1969="D",1,0)+IF(DE1969="D",1,0)+IF(DJ1969="D",1,0)+IF(DK1969="D",1,0)+IF(DO1969="D",1,0)+IF(DP1969="D",1,0)+IF(DQ1969="D",1,0)+IF(DW1969="D",1,0)+IF(DZ1969="D",1,0)+IF(EH1969="D",1,0)</f>
        <v/>
      </c>
      <c r="AY1969">
        <f>IF(DJ1969&lt;&gt;"",1,0)+IF(DK1969&lt;&gt;"",1,0)+IF(DM1969&lt;&gt;"",1,0)+IF(DO1969&lt;&gt;"",1,0)+IF(DP1969&lt;&gt;"",1,0)+IF(DQ1969&lt;&gt;"",1,0)+IF(DS1969&lt;&gt;"",1,0)+IF(DT1969&lt;&gt;"",1,0)+IF(DV1969&lt;&gt;"",1,0)+IF(DW1969&lt;&gt;"",1,0)+IF(DX1969&lt;&gt;"",1,0)+IF(DY1969&lt;&gt;"",1,0)+IF(DZ1969&lt;&gt;"",1,0)+IF(EB1969&lt;&gt;"",1,0)+IF(EC1969&lt;&gt;"",1,0)+IF(ED1969&lt;&gt;"",1,0)+IF(EG1969&lt;&gt;"",1,0)+IF(EH1969&lt;&gt;"",1,0)</f>
        <v/>
      </c>
      <c r="AZ1969">
        <f>IF(EH1969&lt;&gt;"",1,0)</f>
        <v/>
      </c>
      <c r="BB1969" t="inlineStr">
        <is>
          <t>WARREN-WARD 4</t>
        </is>
      </c>
      <c r="BC1969" t="inlineStr">
        <is>
          <t>X</t>
        </is>
      </c>
      <c r="BD1969" t="inlineStr">
        <is>
          <t>X</t>
        </is>
      </c>
      <c r="BL1969" t="inlineStr">
        <is>
          <t>X</t>
        </is>
      </c>
      <c r="CK1969" t="inlineStr">
        <is>
          <t>X</t>
        </is>
      </c>
      <c r="CP1969" t="inlineStr">
        <is>
          <t>X</t>
        </is>
      </c>
      <c r="CY1969" t="inlineStr">
        <is>
          <t>X</t>
        </is>
      </c>
      <c r="DC1969" t="inlineStr">
        <is>
          <t>X</t>
        </is>
      </c>
    </row>
    <row r="1970">
      <c r="A1970" t="inlineStr">
        <is>
          <t>OH0022044096</t>
        </is>
      </c>
      <c r="B1970" t="n">
        <v>78</v>
      </c>
      <c r="C1970" t="n">
        <v>390890</v>
      </c>
      <c r="D1970" t="inlineStr">
        <is>
          <t>TAYLOR</t>
        </is>
      </c>
      <c r="E1970" t="inlineStr">
        <is>
          <t>JAZZMIN</t>
        </is>
      </c>
      <c r="F1970">
        <f>CONCATENATE(D1970," ",LEFT(H1970,4),"T=",AU1970,"D=",AV1970,"R=",AW1970,"M=",AX1970,"L=",AY1970,"B=",AZ1970)</f>
        <v/>
      </c>
      <c r="G1970" t="inlineStr">
        <is>
          <t>ERICA</t>
        </is>
      </c>
      <c r="I1970" t="inlineStr">
        <is>
          <t>1994-05-31</t>
        </is>
      </c>
      <c r="J1970" t="inlineStr">
        <is>
          <t>2021-06-05</t>
        </is>
      </c>
      <c r="K1970" t="inlineStr">
        <is>
          <t>CONFIRMATION</t>
        </is>
      </c>
      <c r="M1970" t="inlineStr">
        <is>
          <t>938 SOUTH ST SE</t>
        </is>
      </c>
      <c r="N1970">
        <f>RIGHT(M1970,LEN(M1970)-FIND(" ",M1970))</f>
        <v/>
      </c>
      <c r="P1970" t="inlineStr">
        <is>
          <t>WARREN</t>
        </is>
      </c>
      <c r="Q1970" t="inlineStr">
        <is>
          <t>OH</t>
        </is>
      </c>
      <c r="R1970" t="n">
        <v>44483</v>
      </c>
      <c r="AD1970" t="inlineStr">
        <is>
          <t>TRUMBULL CAREER &amp; TECH CENTER</t>
        </is>
      </c>
      <c r="AE1970" t="inlineStr">
        <is>
          <t>WARREN CITY</t>
        </is>
      </c>
      <c r="AF1970" t="inlineStr">
        <is>
          <t>WARREN CITY SD</t>
        </is>
      </c>
      <c r="AH1970" t="n">
        <v>14</v>
      </c>
      <c r="AI1970" t="n">
        <v>11</v>
      </c>
      <c r="AN1970" t="inlineStr">
        <is>
          <t>WARREN</t>
        </is>
      </c>
      <c r="AO1970" t="inlineStr">
        <is>
          <t>WARREN CITY 4D</t>
        </is>
      </c>
      <c r="AP1970" t="inlineStr">
        <is>
          <t>78-P-ADL</t>
        </is>
      </c>
      <c r="AQ1970" t="n">
        <v>9</v>
      </c>
      <c r="AR1970" t="n">
        <v>64</v>
      </c>
      <c r="AS1970" t="n">
        <v>32</v>
      </c>
      <c r="AU1970">
        <f>COUNTA($BA$1970:$EH$1970)</f>
        <v/>
      </c>
      <c r="AV1970">
        <f>COUNTIF($BA$1970:$EH$1970,"D")</f>
        <v/>
      </c>
      <c r="AW1970">
        <f>COUNTIF($BA$1970:$EH$1970,"R")</f>
        <v/>
      </c>
      <c r="AX1970">
        <f>IF(BN1970="D",1,0)+IF(BO1970="D",1,0)+IF(BT1970="D",1,0)+IF(BU1970="D",1,0)+IF(BW1970="D",1,0)+IF(CC1970="D",1,0)+IF(CD1970="D",1,0)+IF(CE1970="D",1,0)+IF(CF1970="D",1,0)+IF(CL1970="D",1,0)+IF(CM1970="D",1,0)+IF(CQ1970="D",1,0)+IF(CR1970="D",1,0)+IF(CS1970="D",1,0)+IF(CW1970="D",1,0)+IF(CX1970="D",1,0)+IF(DD1970="D",1,0)+IF(DE1970="D",1,0)+IF(DJ1970="D",1,0)+IF(DK1970="D",1,0)+IF(DO1970="D",1,0)+IF(DP1970="D",1,0)+IF(DQ1970="D",1,0)+IF(DW1970="D",1,0)+IF(DZ1970="D",1,0)+IF(EH1970="D",1,0)</f>
        <v/>
      </c>
      <c r="AY1970">
        <f>IF(DJ1970&lt;&gt;"",1,0)+IF(DK1970&lt;&gt;"",1,0)+IF(DM1970&lt;&gt;"",1,0)+IF(DO1970&lt;&gt;"",1,0)+IF(DP1970&lt;&gt;"",1,0)+IF(DQ1970&lt;&gt;"",1,0)+IF(DS1970&lt;&gt;"",1,0)+IF(DT1970&lt;&gt;"",1,0)+IF(DV1970&lt;&gt;"",1,0)+IF(DW1970&lt;&gt;"",1,0)+IF(DX1970&lt;&gt;"",1,0)+IF(DY1970&lt;&gt;"",1,0)+IF(DZ1970&lt;&gt;"",1,0)+IF(EB1970&lt;&gt;"",1,0)+IF(EC1970&lt;&gt;"",1,0)+IF(ED1970&lt;&gt;"",1,0)+IF(EG1970&lt;&gt;"",1,0)+IF(EH1970&lt;&gt;"",1,0)</f>
        <v/>
      </c>
      <c r="AZ1970">
        <f>IF(EH1970&lt;&gt;"",1,0)</f>
        <v/>
      </c>
      <c r="BB1970" t="inlineStr">
        <is>
          <t>WARREN-WARD 4</t>
        </is>
      </c>
      <c r="CP1970" t="inlineStr">
        <is>
          <t>X</t>
        </is>
      </c>
      <c r="CZ1970" t="inlineStr">
        <is>
          <t>D</t>
        </is>
      </c>
      <c r="DC1970" t="inlineStr">
        <is>
          <t>X</t>
        </is>
      </c>
    </row>
    <row r="1971">
      <c r="A1971" t="inlineStr">
        <is>
          <t>OH0027497798</t>
        </is>
      </c>
      <c r="B1971" t="n">
        <v>78</v>
      </c>
      <c r="C1971" t="n">
        <v>487140</v>
      </c>
      <c r="D1971" t="inlineStr">
        <is>
          <t>MOLDEN</t>
        </is>
      </c>
      <c r="E1971" t="inlineStr">
        <is>
          <t>ERIC</t>
        </is>
      </c>
      <c r="F1971">
        <f>CONCATENATE(D1971," ",LEFT(H1971,4),"T=",AU1971,"D=",AV1971,"R=",AW1971,"M=",AX1971,"L=",AY1971,"B=",AZ1971)</f>
        <v/>
      </c>
      <c r="G1971" t="inlineStr">
        <is>
          <t>B</t>
        </is>
      </c>
      <c r="I1971" t="inlineStr">
        <is>
          <t>1959-03-28</t>
        </is>
      </c>
      <c r="J1971" t="inlineStr">
        <is>
          <t>2024-08-01</t>
        </is>
      </c>
      <c r="K1971" t="inlineStr">
        <is>
          <t>ACTIVE</t>
        </is>
      </c>
      <c r="M1971" t="inlineStr">
        <is>
          <t>540 BELMONT AVE NE</t>
        </is>
      </c>
      <c r="N1971">
        <f>RIGHT(M1971,LEN(M1971)-FIND(" ",M1971))</f>
        <v/>
      </c>
      <c r="P1971" t="inlineStr">
        <is>
          <t>WARREN</t>
        </is>
      </c>
      <c r="Q1971" t="inlineStr">
        <is>
          <t>OH</t>
        </is>
      </c>
      <c r="R1971" t="n">
        <v>44483</v>
      </c>
      <c r="AD1971" t="inlineStr">
        <is>
          <t>TRUMBULL CAREER &amp; TECH CENTER</t>
        </is>
      </c>
      <c r="AE1971" t="inlineStr">
        <is>
          <t>WARREN CITY</t>
        </is>
      </c>
      <c r="AF1971" t="inlineStr">
        <is>
          <t>WARREN CITY SD</t>
        </is>
      </c>
      <c r="AH1971" t="n">
        <v>14</v>
      </c>
      <c r="AI1971" t="n">
        <v>11</v>
      </c>
      <c r="AN1971" t="inlineStr">
        <is>
          <t>WARREN</t>
        </is>
      </c>
      <c r="AO1971" t="inlineStr">
        <is>
          <t>WARREN CITY 4D</t>
        </is>
      </c>
      <c r="AP1971" t="inlineStr">
        <is>
          <t>78-P-ADL</t>
        </is>
      </c>
      <c r="AQ1971" t="n">
        <v>9</v>
      </c>
      <c r="AR1971" t="n">
        <v>64</v>
      </c>
      <c r="AS1971" t="n">
        <v>32</v>
      </c>
      <c r="AU1971">
        <f>COUNTA($BA$1971:$EH$1971)</f>
        <v/>
      </c>
      <c r="AV1971">
        <f>COUNTIF($BA$1971:$EH$1971,"D")</f>
        <v/>
      </c>
      <c r="AW1971">
        <f>COUNTIF($BA$1971:$EH$1971,"R")</f>
        <v/>
      </c>
      <c r="AX1971">
        <f>IF(BN1971="D",1,0)+IF(BO1971="D",1,0)+IF(BT1971="D",1,0)+IF(BU1971="D",1,0)+IF(BW1971="D",1,0)+IF(CC1971="D",1,0)+IF(CD1971="D",1,0)+IF(CE1971="D",1,0)+IF(CF1971="D",1,0)+IF(CL1971="D",1,0)+IF(CM1971="D",1,0)+IF(CQ1971="D",1,0)+IF(CR1971="D",1,0)+IF(CS1971="D",1,0)+IF(CW1971="D",1,0)+IF(CX1971="D",1,0)+IF(DD1971="D",1,0)+IF(DE1971="D",1,0)+IF(DJ1971="D",1,0)+IF(DK1971="D",1,0)+IF(DO1971="D",1,0)+IF(DP1971="D",1,0)+IF(DQ1971="D",1,0)+IF(DW1971="D",1,0)+IF(DZ1971="D",1,0)+IF(EH1971="D",1,0)</f>
        <v/>
      </c>
      <c r="AY1971">
        <f>IF(DJ1971&lt;&gt;"",1,0)+IF(DK1971&lt;&gt;"",1,0)+IF(DM1971&lt;&gt;"",1,0)+IF(DO1971&lt;&gt;"",1,0)+IF(DP1971&lt;&gt;"",1,0)+IF(DQ1971&lt;&gt;"",1,0)+IF(DS1971&lt;&gt;"",1,0)+IF(DT1971&lt;&gt;"",1,0)+IF(DV1971&lt;&gt;"",1,0)+IF(DW1971&lt;&gt;"",1,0)+IF(DX1971&lt;&gt;"",1,0)+IF(DY1971&lt;&gt;"",1,0)+IF(DZ1971&lt;&gt;"",1,0)+IF(EB1971&lt;&gt;"",1,0)+IF(EC1971&lt;&gt;"",1,0)+IF(ED1971&lt;&gt;"",1,0)+IF(EG1971&lt;&gt;"",1,0)+IF(EH1971&lt;&gt;"",1,0)</f>
        <v/>
      </c>
      <c r="AZ1971">
        <f>IF(EH1971&lt;&gt;"",1,0)</f>
        <v/>
      </c>
      <c r="BB1971" t="inlineStr">
        <is>
          <t>WARREN-WARD 4</t>
        </is>
      </c>
      <c r="BD1971" t="inlineStr">
        <is>
          <t>X</t>
        </is>
      </c>
      <c r="BL1971" t="inlineStr">
        <is>
          <t>X</t>
        </is>
      </c>
      <c r="CA1971" t="inlineStr">
        <is>
          <t>X</t>
        </is>
      </c>
      <c r="CK1971" t="inlineStr">
        <is>
          <t>X</t>
        </is>
      </c>
      <c r="CL1971" t="inlineStr">
        <is>
          <t>D</t>
        </is>
      </c>
      <c r="CP1971" t="inlineStr">
        <is>
          <t>X</t>
        </is>
      </c>
    </row>
    <row r="1972">
      <c r="A1972" t="inlineStr">
        <is>
          <t>OH0025863915</t>
        </is>
      </c>
      <c r="B1972" t="n">
        <v>78</v>
      </c>
      <c r="C1972" t="n">
        <v>451852</v>
      </c>
      <c r="D1972" t="inlineStr">
        <is>
          <t>SEARLES</t>
        </is>
      </c>
      <c r="E1972" t="inlineStr">
        <is>
          <t>TERRY</t>
        </is>
      </c>
      <c r="F1972">
        <f>CONCATENATE(D1972," ",LEFT(H1972,4),"T=",AU1972,"D=",AV1972,"R=",AW1972,"M=",AX1972,"L=",AY1972,"B=",AZ1972)</f>
        <v/>
      </c>
      <c r="G1972" t="inlineStr">
        <is>
          <t>ALLAN</t>
        </is>
      </c>
      <c r="I1972" t="inlineStr">
        <is>
          <t>1969-12-13</t>
        </is>
      </c>
      <c r="J1972" t="inlineStr">
        <is>
          <t>2020-09-22</t>
        </is>
      </c>
      <c r="K1972" t="inlineStr">
        <is>
          <t>ACTIVE</t>
        </is>
      </c>
      <c r="M1972" t="inlineStr">
        <is>
          <t>302 MAHONING CT NW</t>
        </is>
      </c>
      <c r="N1972">
        <f>RIGHT(M1972,LEN(M1972)-FIND(" ",M1972))</f>
        <v/>
      </c>
      <c r="P1972" t="inlineStr">
        <is>
          <t>WARREN</t>
        </is>
      </c>
      <c r="Q1972" t="inlineStr">
        <is>
          <t>OH</t>
        </is>
      </c>
      <c r="R1972" t="n">
        <v>44483</v>
      </c>
      <c r="AD1972" t="inlineStr">
        <is>
          <t>TRUMBULL CAREER &amp; TECH CENTER</t>
        </is>
      </c>
      <c r="AE1972" t="inlineStr">
        <is>
          <t>WARREN CITY</t>
        </is>
      </c>
      <c r="AF1972" t="inlineStr">
        <is>
          <t>WARREN CITY SD</t>
        </is>
      </c>
      <c r="AH1972" t="n">
        <v>14</v>
      </c>
      <c r="AI1972" t="n">
        <v>11</v>
      </c>
      <c r="AN1972" t="inlineStr">
        <is>
          <t>WARREN</t>
        </is>
      </c>
      <c r="AO1972" t="inlineStr">
        <is>
          <t>WARREN CITY 4D</t>
        </is>
      </c>
      <c r="AP1972" t="inlineStr">
        <is>
          <t>78-P-ADL</t>
        </is>
      </c>
      <c r="AQ1972" t="n">
        <v>9</v>
      </c>
      <c r="AR1972" t="n">
        <v>64</v>
      </c>
      <c r="AS1972" t="n">
        <v>32</v>
      </c>
      <c r="AU1972">
        <f>COUNTA($BA$1972:$EH$1972)</f>
        <v/>
      </c>
      <c r="AV1972">
        <f>COUNTIF($BA$1972:$EH$1972,"D")</f>
        <v/>
      </c>
      <c r="AW1972">
        <f>COUNTIF($BA$1972:$EH$1972,"R")</f>
        <v/>
      </c>
      <c r="AX1972">
        <f>IF(BN1972="D",1,0)+IF(BO1972="D",1,0)+IF(BT1972="D",1,0)+IF(BU1972="D",1,0)+IF(BW1972="D",1,0)+IF(CC1972="D",1,0)+IF(CD1972="D",1,0)+IF(CE1972="D",1,0)+IF(CF1972="D",1,0)+IF(CL1972="D",1,0)+IF(CM1972="D",1,0)+IF(CQ1972="D",1,0)+IF(CR1972="D",1,0)+IF(CS1972="D",1,0)+IF(CW1972="D",1,0)+IF(CX1972="D",1,0)+IF(DD1972="D",1,0)+IF(DE1972="D",1,0)+IF(DJ1972="D",1,0)+IF(DK1972="D",1,0)+IF(DO1972="D",1,0)+IF(DP1972="D",1,0)+IF(DQ1972="D",1,0)+IF(DW1972="D",1,0)+IF(DZ1972="D",1,0)+IF(EH1972="D",1,0)</f>
        <v/>
      </c>
      <c r="AY1972">
        <f>IF(DJ1972&lt;&gt;"",1,0)+IF(DK1972&lt;&gt;"",1,0)+IF(DM1972&lt;&gt;"",1,0)+IF(DO1972&lt;&gt;"",1,0)+IF(DP1972&lt;&gt;"",1,0)+IF(DQ1972&lt;&gt;"",1,0)+IF(DS1972&lt;&gt;"",1,0)+IF(DT1972&lt;&gt;"",1,0)+IF(DV1972&lt;&gt;"",1,0)+IF(DW1972&lt;&gt;"",1,0)+IF(DX1972&lt;&gt;"",1,0)+IF(DY1972&lt;&gt;"",1,0)+IF(DZ1972&lt;&gt;"",1,0)+IF(EB1972&lt;&gt;"",1,0)+IF(EC1972&lt;&gt;"",1,0)+IF(ED1972&lt;&gt;"",1,0)+IF(EG1972&lt;&gt;"",1,0)+IF(EH1972&lt;&gt;"",1,0)</f>
        <v/>
      </c>
      <c r="AZ1972">
        <f>IF(EH1972&lt;&gt;"",1,0)</f>
        <v/>
      </c>
      <c r="BB1972" t="inlineStr">
        <is>
          <t>WARREN-WARD 4</t>
        </is>
      </c>
      <c r="DN1972" t="inlineStr">
        <is>
          <t>X</t>
        </is>
      </c>
      <c r="DU1972" t="inlineStr">
        <is>
          <t>X</t>
        </is>
      </c>
      <c r="EF1972" t="inlineStr">
        <is>
          <t>X</t>
        </is>
      </c>
    </row>
    <row r="1973">
      <c r="A1973" t="inlineStr">
        <is>
          <t>OH0025409941</t>
        </is>
      </c>
      <c r="B1973" t="n">
        <v>78</v>
      </c>
      <c r="C1973" t="n">
        <v>444286</v>
      </c>
      <c r="D1973" t="inlineStr">
        <is>
          <t>MEALY</t>
        </is>
      </c>
      <c r="E1973" t="inlineStr">
        <is>
          <t>ROBERT</t>
        </is>
      </c>
      <c r="F1973">
        <f>CONCATENATE(D1973," ",LEFT(H1973,4),"T=",AU1973,"D=",AV1973,"R=",AW1973,"M=",AX1973,"L=",AY1973,"B=",AZ1973)</f>
        <v/>
      </c>
      <c r="G1973" t="inlineStr">
        <is>
          <t>A</t>
        </is>
      </c>
      <c r="I1973" t="inlineStr">
        <is>
          <t>1961-02-22</t>
        </is>
      </c>
      <c r="J1973" t="inlineStr">
        <is>
          <t>2023-11-07</t>
        </is>
      </c>
      <c r="K1973" t="inlineStr">
        <is>
          <t>ACTIVE</t>
        </is>
      </c>
      <c r="M1973" t="inlineStr">
        <is>
          <t>169 LOGAN AVE NE</t>
        </is>
      </c>
      <c r="N1973">
        <f>RIGHT(M1973,LEN(M1973)-FIND(" ",M1973))</f>
        <v/>
      </c>
      <c r="P1973" t="inlineStr">
        <is>
          <t>WARREN</t>
        </is>
      </c>
      <c r="Q1973" t="inlineStr">
        <is>
          <t>OH</t>
        </is>
      </c>
      <c r="R1973" t="n">
        <v>44483</v>
      </c>
      <c r="AD1973" t="inlineStr">
        <is>
          <t>TRUMBULL CAREER &amp; TECH CENTER</t>
        </is>
      </c>
      <c r="AE1973" t="inlineStr">
        <is>
          <t>WARREN CITY</t>
        </is>
      </c>
      <c r="AF1973" t="inlineStr">
        <is>
          <t>WARREN CITY SD</t>
        </is>
      </c>
      <c r="AH1973" t="n">
        <v>14</v>
      </c>
      <c r="AI1973" t="n">
        <v>11</v>
      </c>
      <c r="AN1973" t="inlineStr">
        <is>
          <t>WARREN</t>
        </is>
      </c>
      <c r="AO1973" t="inlineStr">
        <is>
          <t>WARREN CITY 4D</t>
        </is>
      </c>
      <c r="AP1973" t="inlineStr">
        <is>
          <t>78-P-ADL</t>
        </is>
      </c>
      <c r="AQ1973" t="n">
        <v>9</v>
      </c>
      <c r="AR1973" t="n">
        <v>64</v>
      </c>
      <c r="AS1973" t="n">
        <v>32</v>
      </c>
      <c r="AU1973">
        <f>COUNTA($BA$1973:$EH$1973)</f>
        <v/>
      </c>
      <c r="AV1973">
        <f>COUNTIF($BA$1973:$EH$1973,"D")</f>
        <v/>
      </c>
      <c r="AW1973">
        <f>COUNTIF($BA$1973:$EH$1973,"R")</f>
        <v/>
      </c>
      <c r="AX1973">
        <f>IF(BN1973="D",1,0)+IF(BO1973="D",1,0)+IF(BT1973="D",1,0)+IF(BU1973="D",1,0)+IF(BW1973="D",1,0)+IF(CC1973="D",1,0)+IF(CD1973="D",1,0)+IF(CE1973="D",1,0)+IF(CF1973="D",1,0)+IF(CL1973="D",1,0)+IF(CM1973="D",1,0)+IF(CQ1973="D",1,0)+IF(CR1973="D",1,0)+IF(CS1973="D",1,0)+IF(CW1973="D",1,0)+IF(CX1973="D",1,0)+IF(DD1973="D",1,0)+IF(DE1973="D",1,0)+IF(DJ1973="D",1,0)+IF(DK1973="D",1,0)+IF(DO1973="D",1,0)+IF(DP1973="D",1,0)+IF(DQ1973="D",1,0)+IF(DW1973="D",1,0)+IF(DZ1973="D",1,0)+IF(EH1973="D",1,0)</f>
        <v/>
      </c>
      <c r="AY1973">
        <f>IF(DJ1973&lt;&gt;"",1,0)+IF(DK1973&lt;&gt;"",1,0)+IF(DM1973&lt;&gt;"",1,0)+IF(DO1973&lt;&gt;"",1,0)+IF(DP1973&lt;&gt;"",1,0)+IF(DQ1973&lt;&gt;"",1,0)+IF(DS1973&lt;&gt;"",1,0)+IF(DT1973&lt;&gt;"",1,0)+IF(DV1973&lt;&gt;"",1,0)+IF(DW1973&lt;&gt;"",1,0)+IF(DX1973&lt;&gt;"",1,0)+IF(DY1973&lt;&gt;"",1,0)+IF(DZ1973&lt;&gt;"",1,0)+IF(EB1973&lt;&gt;"",1,0)+IF(EC1973&lt;&gt;"",1,0)+IF(ED1973&lt;&gt;"",1,0)+IF(EG1973&lt;&gt;"",1,0)+IF(EH1973&lt;&gt;"",1,0)</f>
        <v/>
      </c>
      <c r="AZ1973">
        <f>IF(EH1973&lt;&gt;"",1,0)</f>
        <v/>
      </c>
      <c r="BB1973" t="inlineStr">
        <is>
          <t>WARREN-WARD 4</t>
        </is>
      </c>
      <c r="DN1973" t="inlineStr">
        <is>
          <t>X</t>
        </is>
      </c>
      <c r="EF1973" t="inlineStr">
        <is>
          <t>X</t>
        </is>
      </c>
    </row>
    <row r="1974">
      <c r="A1974" t="inlineStr">
        <is>
          <t>OH0023147908</t>
        </is>
      </c>
      <c r="B1974" t="n">
        <v>78</v>
      </c>
      <c r="C1974" t="n">
        <v>407358</v>
      </c>
      <c r="D1974" t="inlineStr">
        <is>
          <t>LYNCH</t>
        </is>
      </c>
      <c r="E1974" t="inlineStr">
        <is>
          <t>JAMES</t>
        </is>
      </c>
      <c r="F1974">
        <f>CONCATENATE(D1974," ",LEFT(H1974,4),"T=",AU1974,"D=",AV1974,"R=",AW1974,"M=",AX1974,"L=",AY1974,"B=",AZ1974)</f>
        <v/>
      </c>
      <c r="G1974" t="inlineStr">
        <is>
          <t>MICHAEL</t>
        </is>
      </c>
      <c r="I1974" t="inlineStr">
        <is>
          <t>1967-05-04</t>
        </is>
      </c>
      <c r="J1974" t="inlineStr">
        <is>
          <t>2016-06-06</t>
        </is>
      </c>
      <c r="K1974" t="inlineStr">
        <is>
          <t>ACTIVE</t>
        </is>
      </c>
      <c r="M1974" t="inlineStr">
        <is>
          <t>182 HIGH ST NE</t>
        </is>
      </c>
      <c r="N1974">
        <f>RIGHT(M1974,LEN(M1974)-FIND(" ",M1974))</f>
        <v/>
      </c>
      <c r="O1974" t="inlineStr">
        <is>
          <t>APT 310</t>
        </is>
      </c>
      <c r="P1974" t="inlineStr">
        <is>
          <t>WARREN</t>
        </is>
      </c>
      <c r="Q1974" t="inlineStr">
        <is>
          <t>OH</t>
        </is>
      </c>
      <c r="R1974" t="n">
        <v>44481</v>
      </c>
      <c r="AD1974" t="inlineStr">
        <is>
          <t>TRUMBULL CAREER &amp; TECH CENTER</t>
        </is>
      </c>
      <c r="AE1974" t="inlineStr">
        <is>
          <t>WARREN CITY</t>
        </is>
      </c>
      <c r="AF1974" t="inlineStr">
        <is>
          <t>WARREN CITY SD</t>
        </is>
      </c>
      <c r="AH1974" t="n">
        <v>14</v>
      </c>
      <c r="AI1974" t="n">
        <v>11</v>
      </c>
      <c r="AN1974" t="inlineStr">
        <is>
          <t>WARREN</t>
        </is>
      </c>
      <c r="AO1974" t="inlineStr">
        <is>
          <t>WARREN CITY 4D</t>
        </is>
      </c>
      <c r="AP1974" t="inlineStr">
        <is>
          <t>78-P-ADL</t>
        </is>
      </c>
      <c r="AQ1974" t="n">
        <v>9</v>
      </c>
      <c r="AR1974" t="n">
        <v>64</v>
      </c>
      <c r="AS1974" t="n">
        <v>32</v>
      </c>
      <c r="AU1974">
        <f>COUNTA($BA$1974:$EH$1974)</f>
        <v/>
      </c>
      <c r="AV1974">
        <f>COUNTIF($BA$1974:$EH$1974,"D")</f>
        <v/>
      </c>
      <c r="AW1974">
        <f>COUNTIF($BA$1974:$EH$1974,"R")</f>
        <v/>
      </c>
      <c r="AX1974">
        <f>IF(BN1974="D",1,0)+IF(BO1974="D",1,0)+IF(BT1974="D",1,0)+IF(BU1974="D",1,0)+IF(BW1974="D",1,0)+IF(CC1974="D",1,0)+IF(CD1974="D",1,0)+IF(CE1974="D",1,0)+IF(CF1974="D",1,0)+IF(CL1974="D",1,0)+IF(CM1974="D",1,0)+IF(CQ1974="D",1,0)+IF(CR1974="D",1,0)+IF(CS1974="D",1,0)+IF(CW1974="D",1,0)+IF(CX1974="D",1,0)+IF(DD1974="D",1,0)+IF(DE1974="D",1,0)+IF(DJ1974="D",1,0)+IF(DK1974="D",1,0)+IF(DO1974="D",1,0)+IF(DP1974="D",1,0)+IF(DQ1974="D",1,0)+IF(DW1974="D",1,0)+IF(DZ1974="D",1,0)+IF(EH1974="D",1,0)</f>
        <v/>
      </c>
      <c r="AY1974">
        <f>IF(DJ1974&lt;&gt;"",1,0)+IF(DK1974&lt;&gt;"",1,0)+IF(DM1974&lt;&gt;"",1,0)+IF(DO1974&lt;&gt;"",1,0)+IF(DP1974&lt;&gt;"",1,0)+IF(DQ1974&lt;&gt;"",1,0)+IF(DS1974&lt;&gt;"",1,0)+IF(DT1974&lt;&gt;"",1,0)+IF(DV1974&lt;&gt;"",1,0)+IF(DW1974&lt;&gt;"",1,0)+IF(DX1974&lt;&gt;"",1,0)+IF(DY1974&lt;&gt;"",1,0)+IF(DZ1974&lt;&gt;"",1,0)+IF(EB1974&lt;&gt;"",1,0)+IF(EC1974&lt;&gt;"",1,0)+IF(ED1974&lt;&gt;"",1,0)+IF(EG1974&lt;&gt;"",1,0)+IF(EH1974&lt;&gt;"",1,0)</f>
        <v/>
      </c>
      <c r="AZ1974">
        <f>IF(EH1974&lt;&gt;"",1,0)</f>
        <v/>
      </c>
      <c r="BB1974" t="inlineStr">
        <is>
          <t>WARREN-WARD 4</t>
        </is>
      </c>
      <c r="DC1974" t="inlineStr">
        <is>
          <t>X</t>
        </is>
      </c>
      <c r="DF1974" t="inlineStr">
        <is>
          <t>X</t>
        </is>
      </c>
      <c r="DI1974" t="inlineStr">
        <is>
          <t>X</t>
        </is>
      </c>
      <c r="DL1974" t="inlineStr">
        <is>
          <t>X</t>
        </is>
      </c>
      <c r="DN1974" t="inlineStr">
        <is>
          <t>X</t>
        </is>
      </c>
      <c r="DU1974" t="inlineStr">
        <is>
          <t>X</t>
        </is>
      </c>
    </row>
    <row r="1975">
      <c r="A1975" t="inlineStr">
        <is>
          <t>OH0025678333</t>
        </is>
      </c>
      <c r="B1975" t="n">
        <v>78</v>
      </c>
      <c r="C1975" t="n">
        <v>448313</v>
      </c>
      <c r="D1975" t="inlineStr">
        <is>
          <t>PATIERNO</t>
        </is>
      </c>
      <c r="E1975" t="inlineStr">
        <is>
          <t>VITO</t>
        </is>
      </c>
      <c r="F1975">
        <f>CONCATENATE(D1975," ",LEFT(H1975,4),"T=",AU1975,"D=",AV1975,"R=",AW1975,"M=",AX1975,"L=",AY1975,"B=",AZ1975)</f>
        <v/>
      </c>
      <c r="H1975" t="inlineStr">
        <is>
          <t>III</t>
        </is>
      </c>
      <c r="I1975" t="inlineStr">
        <is>
          <t>1972-07-13</t>
        </is>
      </c>
      <c r="J1975" t="inlineStr">
        <is>
          <t>2020-08-06</t>
        </is>
      </c>
      <c r="K1975" t="inlineStr">
        <is>
          <t>CONFIRMATION</t>
        </is>
      </c>
      <c r="M1975" t="inlineStr">
        <is>
          <t>200 WASHINGTON ST NE</t>
        </is>
      </c>
      <c r="N1975">
        <f>RIGHT(M1975,LEN(M1975)-FIND(" ",M1975))</f>
        <v/>
      </c>
      <c r="O1975" t="inlineStr">
        <is>
          <t>APT 12</t>
        </is>
      </c>
      <c r="P1975" t="inlineStr">
        <is>
          <t>WARREN</t>
        </is>
      </c>
      <c r="Q1975" t="inlineStr">
        <is>
          <t>OH</t>
        </is>
      </c>
      <c r="R1975" t="n">
        <v>44483</v>
      </c>
      <c r="AD1975" t="inlineStr">
        <is>
          <t>TRUMBULL CAREER &amp; TECH CENTER</t>
        </is>
      </c>
      <c r="AE1975" t="inlineStr">
        <is>
          <t>WARREN CITY</t>
        </is>
      </c>
      <c r="AF1975" t="inlineStr">
        <is>
          <t>WARREN CITY SD</t>
        </is>
      </c>
      <c r="AH1975" t="n">
        <v>14</v>
      </c>
      <c r="AI1975" t="n">
        <v>11</v>
      </c>
      <c r="AN1975" t="inlineStr">
        <is>
          <t>WARREN</t>
        </is>
      </c>
      <c r="AO1975" t="inlineStr">
        <is>
          <t>WARREN CITY 4D</t>
        </is>
      </c>
      <c r="AP1975" t="inlineStr">
        <is>
          <t>78-P-ADL</t>
        </is>
      </c>
      <c r="AQ1975" t="n">
        <v>9</v>
      </c>
      <c r="AR1975" t="n">
        <v>64</v>
      </c>
      <c r="AS1975" t="n">
        <v>32</v>
      </c>
      <c r="AU1975">
        <f>COUNTA($BA$1975:$EH$1975)</f>
        <v/>
      </c>
      <c r="AV1975">
        <f>COUNTIF($BA$1975:$EH$1975,"D")</f>
        <v/>
      </c>
      <c r="AW1975">
        <f>COUNTIF($BA$1975:$EH$1975,"R")</f>
        <v/>
      </c>
      <c r="AX1975">
        <f>IF(BN1975="D",1,0)+IF(BO1975="D",1,0)+IF(BT1975="D",1,0)+IF(BU1975="D",1,0)+IF(BW1975="D",1,0)+IF(CC1975="D",1,0)+IF(CD1975="D",1,0)+IF(CE1975="D",1,0)+IF(CF1975="D",1,0)+IF(CL1975="D",1,0)+IF(CM1975="D",1,0)+IF(CQ1975="D",1,0)+IF(CR1975="D",1,0)+IF(CS1975="D",1,0)+IF(CW1975="D",1,0)+IF(CX1975="D",1,0)+IF(DD1975="D",1,0)+IF(DE1975="D",1,0)+IF(DJ1975="D",1,0)+IF(DK1975="D",1,0)+IF(DO1975="D",1,0)+IF(DP1975="D",1,0)+IF(DQ1975="D",1,0)+IF(DW1975="D",1,0)+IF(DZ1975="D",1,0)+IF(EH1975="D",1,0)</f>
        <v/>
      </c>
      <c r="AY1975">
        <f>IF(DJ1975&lt;&gt;"",1,0)+IF(DK1975&lt;&gt;"",1,0)+IF(DM1975&lt;&gt;"",1,0)+IF(DO1975&lt;&gt;"",1,0)+IF(DP1975&lt;&gt;"",1,0)+IF(DQ1975&lt;&gt;"",1,0)+IF(DS1975&lt;&gt;"",1,0)+IF(DT1975&lt;&gt;"",1,0)+IF(DV1975&lt;&gt;"",1,0)+IF(DW1975&lt;&gt;"",1,0)+IF(DX1975&lt;&gt;"",1,0)+IF(DY1975&lt;&gt;"",1,0)+IF(DZ1975&lt;&gt;"",1,0)+IF(EB1975&lt;&gt;"",1,0)+IF(EC1975&lt;&gt;"",1,0)+IF(ED1975&lt;&gt;"",1,0)+IF(EG1975&lt;&gt;"",1,0)+IF(EH1975&lt;&gt;"",1,0)</f>
        <v/>
      </c>
      <c r="AZ1975">
        <f>IF(EH1975&lt;&gt;"",1,0)</f>
        <v/>
      </c>
      <c r="BB1975" t="inlineStr">
        <is>
          <t>WARREN-WARD 4</t>
        </is>
      </c>
      <c r="BC1975" t="inlineStr">
        <is>
          <t>D</t>
        </is>
      </c>
      <c r="BD1975" t="inlineStr">
        <is>
          <t>X</t>
        </is>
      </c>
      <c r="BE1975" t="inlineStr">
        <is>
          <t>D</t>
        </is>
      </c>
      <c r="BF1975" t="inlineStr">
        <is>
          <t>X</t>
        </is>
      </c>
      <c r="BH1975" t="inlineStr">
        <is>
          <t>X</t>
        </is>
      </c>
      <c r="BJ1975" t="inlineStr">
        <is>
          <t>X</t>
        </is>
      </c>
      <c r="BK1975" t="inlineStr">
        <is>
          <t>R</t>
        </is>
      </c>
      <c r="BL1975" t="inlineStr">
        <is>
          <t>X</t>
        </is>
      </c>
      <c r="BN1975" t="inlineStr">
        <is>
          <t>D</t>
        </is>
      </c>
      <c r="BP1975" t="inlineStr">
        <is>
          <t>X</t>
        </is>
      </c>
      <c r="BR1975" t="inlineStr">
        <is>
          <t>D</t>
        </is>
      </c>
      <c r="DN1975" t="inlineStr">
        <is>
          <t>X</t>
        </is>
      </c>
    </row>
    <row r="1976">
      <c r="A1976" t="inlineStr">
        <is>
          <t>OH0019080927</t>
        </is>
      </c>
      <c r="B1976" t="n">
        <v>78</v>
      </c>
      <c r="C1976" t="n">
        <v>348599</v>
      </c>
      <c r="D1976" t="inlineStr">
        <is>
          <t>WILLIAMS</t>
        </is>
      </c>
      <c r="E1976" t="inlineStr">
        <is>
          <t>KEITH</t>
        </is>
      </c>
      <c r="F1976">
        <f>CONCATENATE(D1976," ",LEFT(H1976,4),"T=",AU1976,"D=",AV1976,"R=",AW1976,"M=",AX1976,"L=",AY1976,"B=",AZ1976)</f>
        <v/>
      </c>
      <c r="G1976" t="inlineStr">
        <is>
          <t>AARON</t>
        </is>
      </c>
      <c r="I1976" t="inlineStr">
        <is>
          <t>1988-12-15</t>
        </is>
      </c>
      <c r="J1976" t="inlineStr">
        <is>
          <t>2017-12-15</t>
        </is>
      </c>
      <c r="K1976" t="inlineStr">
        <is>
          <t>ACTIVE</t>
        </is>
      </c>
      <c r="L1976" t="inlineStr">
        <is>
          <t>R</t>
        </is>
      </c>
      <c r="M1976" t="inlineStr">
        <is>
          <t>702 VINE AVE NE</t>
        </is>
      </c>
      <c r="N1976">
        <f>RIGHT(M1976,LEN(M1976)-FIND(" ",M1976))</f>
        <v/>
      </c>
      <c r="P1976" t="inlineStr">
        <is>
          <t>WARREN</t>
        </is>
      </c>
      <c r="Q1976" t="inlineStr">
        <is>
          <t>OH</t>
        </is>
      </c>
      <c r="R1976" t="n">
        <v>44483</v>
      </c>
      <c r="AD1976" t="inlineStr">
        <is>
          <t>TRUMBULL CAREER &amp; TECH CENTER</t>
        </is>
      </c>
      <c r="AE1976" t="inlineStr">
        <is>
          <t>WARREN CITY</t>
        </is>
      </c>
      <c r="AF1976" t="inlineStr">
        <is>
          <t>WARREN CITY SD</t>
        </is>
      </c>
      <c r="AH1976" t="n">
        <v>14</v>
      </c>
      <c r="AI1976" t="n">
        <v>11</v>
      </c>
      <c r="AN1976" t="inlineStr">
        <is>
          <t>WARREN</t>
        </is>
      </c>
      <c r="AO1976" t="inlineStr">
        <is>
          <t>WARREN CITY 4D</t>
        </is>
      </c>
      <c r="AP1976" t="inlineStr">
        <is>
          <t>78-P-ADL</t>
        </is>
      </c>
      <c r="AQ1976" t="n">
        <v>9</v>
      </c>
      <c r="AR1976" t="n">
        <v>64</v>
      </c>
      <c r="AS1976" t="n">
        <v>32</v>
      </c>
      <c r="AU1976">
        <f>COUNTA($BA$1976:$EH$1976)</f>
        <v/>
      </c>
      <c r="AV1976">
        <f>COUNTIF($BA$1976:$EH$1976,"D")</f>
        <v/>
      </c>
      <c r="AW1976">
        <f>COUNTIF($BA$1976:$EH$1976,"R")</f>
        <v/>
      </c>
      <c r="AX1976">
        <f>IF(BN1976="D",1,0)+IF(BO1976="D",1,0)+IF(BT1976="D",1,0)+IF(BU1976="D",1,0)+IF(BW1976="D",1,0)+IF(CC1976="D",1,0)+IF(CD1976="D",1,0)+IF(CE1976="D",1,0)+IF(CF1976="D",1,0)+IF(CL1976="D",1,0)+IF(CM1976="D",1,0)+IF(CQ1976="D",1,0)+IF(CR1976="D",1,0)+IF(CS1976="D",1,0)+IF(CW1976="D",1,0)+IF(CX1976="D",1,0)+IF(DD1976="D",1,0)+IF(DE1976="D",1,0)+IF(DJ1976="D",1,0)+IF(DK1976="D",1,0)+IF(DO1976="D",1,0)+IF(DP1976="D",1,0)+IF(DQ1976="D",1,0)+IF(DW1976="D",1,0)+IF(DZ1976="D",1,0)+IF(EH1976="D",1,0)</f>
        <v/>
      </c>
      <c r="AY1976">
        <f>IF(DJ1976&lt;&gt;"",1,0)+IF(DK1976&lt;&gt;"",1,0)+IF(DM1976&lt;&gt;"",1,0)+IF(DO1976&lt;&gt;"",1,0)+IF(DP1976&lt;&gt;"",1,0)+IF(DQ1976&lt;&gt;"",1,0)+IF(DS1976&lt;&gt;"",1,0)+IF(DT1976&lt;&gt;"",1,0)+IF(DV1976&lt;&gt;"",1,0)+IF(DW1976&lt;&gt;"",1,0)+IF(DX1976&lt;&gt;"",1,0)+IF(DY1976&lt;&gt;"",1,0)+IF(DZ1976&lt;&gt;"",1,0)+IF(EB1976&lt;&gt;"",1,0)+IF(EC1976&lt;&gt;"",1,0)+IF(ED1976&lt;&gt;"",1,0)+IF(EG1976&lt;&gt;"",1,0)+IF(EH1976&lt;&gt;"",1,0)</f>
        <v/>
      </c>
      <c r="AZ1976">
        <f>IF(EH1976&lt;&gt;"",1,0)</f>
        <v/>
      </c>
      <c r="BB1976" t="inlineStr">
        <is>
          <t>WARREN-WARD 4</t>
        </is>
      </c>
      <c r="BY1976" t="inlineStr">
        <is>
          <t>R</t>
        </is>
      </c>
      <c r="CA1976" t="inlineStr">
        <is>
          <t>X</t>
        </is>
      </c>
      <c r="CK1976" t="inlineStr">
        <is>
          <t>X</t>
        </is>
      </c>
      <c r="CN1976" t="inlineStr">
        <is>
          <t>X</t>
        </is>
      </c>
      <c r="CO1976" t="inlineStr">
        <is>
          <t>R</t>
        </is>
      </c>
      <c r="CP1976" t="inlineStr">
        <is>
          <t>X</t>
        </is>
      </c>
      <c r="CV1976" t="inlineStr">
        <is>
          <t>X</t>
        </is>
      </c>
      <c r="CZ1976" t="inlineStr">
        <is>
          <t>R</t>
        </is>
      </c>
      <c r="DC1976" t="inlineStr">
        <is>
          <t>X</t>
        </is>
      </c>
      <c r="DI1976" t="inlineStr">
        <is>
          <t>X</t>
        </is>
      </c>
      <c r="DN1976" t="inlineStr">
        <is>
          <t>X</t>
        </is>
      </c>
      <c r="DS1976" t="inlineStr">
        <is>
          <t>R</t>
        </is>
      </c>
      <c r="DU1976" t="inlineStr">
        <is>
          <t>X</t>
        </is>
      </c>
      <c r="DX1976" t="inlineStr">
        <is>
          <t>X</t>
        </is>
      </c>
      <c r="EA1976" t="inlineStr">
        <is>
          <t>X</t>
        </is>
      </c>
      <c r="EF1976" t="inlineStr">
        <is>
          <t>X</t>
        </is>
      </c>
    </row>
    <row r="1977">
      <c r="A1977" t="inlineStr">
        <is>
          <t>OH0023448589</t>
        </is>
      </c>
      <c r="B1977" t="n">
        <v>78</v>
      </c>
      <c r="C1977" t="n">
        <v>412040</v>
      </c>
      <c r="D1977" t="inlineStr">
        <is>
          <t>NOLAN</t>
        </is>
      </c>
      <c r="E1977" t="inlineStr">
        <is>
          <t>HEATHER</t>
        </is>
      </c>
      <c r="F1977">
        <f>CONCATENATE(D1977," ",LEFT(H1977,4),"T=",AU1977,"D=",AV1977,"R=",AW1977,"M=",AX1977,"L=",AY1977,"B=",AZ1977)</f>
        <v/>
      </c>
      <c r="G1977" t="inlineStr">
        <is>
          <t>LYNN</t>
        </is>
      </c>
      <c r="I1977" t="inlineStr">
        <is>
          <t>1989-06-02</t>
        </is>
      </c>
      <c r="J1977" t="inlineStr">
        <is>
          <t>2023-07-15</t>
        </is>
      </c>
      <c r="K1977" t="inlineStr">
        <is>
          <t>ACTIVE</t>
        </is>
      </c>
      <c r="M1977" t="inlineStr">
        <is>
          <t>352 ELM RD NE</t>
        </is>
      </c>
      <c r="N1977">
        <f>RIGHT(M1977,LEN(M1977)-FIND(" ",M1977))</f>
        <v/>
      </c>
      <c r="P1977" t="inlineStr">
        <is>
          <t>WARREN</t>
        </is>
      </c>
      <c r="Q1977" t="inlineStr">
        <is>
          <t>OH</t>
        </is>
      </c>
      <c r="R1977" t="n">
        <v>44483</v>
      </c>
      <c r="AD1977" t="inlineStr">
        <is>
          <t>TRUMBULL CAREER &amp; TECH CENTER</t>
        </is>
      </c>
      <c r="AE1977" t="inlineStr">
        <is>
          <t>WARREN CITY</t>
        </is>
      </c>
      <c r="AF1977" t="inlineStr">
        <is>
          <t>WARREN CITY SD</t>
        </is>
      </c>
      <c r="AH1977" t="n">
        <v>14</v>
      </c>
      <c r="AI1977" t="n">
        <v>11</v>
      </c>
      <c r="AN1977" t="inlineStr">
        <is>
          <t>WARREN</t>
        </is>
      </c>
      <c r="AO1977" t="inlineStr">
        <is>
          <t>WARREN CITY 4D</t>
        </is>
      </c>
      <c r="AP1977" t="inlineStr">
        <is>
          <t>78-P-ADL</t>
        </is>
      </c>
      <c r="AQ1977" t="n">
        <v>9</v>
      </c>
      <c r="AR1977" t="n">
        <v>64</v>
      </c>
      <c r="AS1977" t="n">
        <v>32</v>
      </c>
      <c r="AU1977">
        <f>COUNTA($BA$1977:$EH$1977)</f>
        <v/>
      </c>
      <c r="AV1977">
        <f>COUNTIF($BA$1977:$EH$1977,"D")</f>
        <v/>
      </c>
      <c r="AW1977">
        <f>COUNTIF($BA$1977:$EH$1977,"R")</f>
        <v/>
      </c>
      <c r="AX1977">
        <f>IF(BN1977="D",1,0)+IF(BO1977="D",1,0)+IF(BT1977="D",1,0)+IF(BU1977="D",1,0)+IF(BW1977="D",1,0)+IF(CC1977="D",1,0)+IF(CD1977="D",1,0)+IF(CE1977="D",1,0)+IF(CF1977="D",1,0)+IF(CL1977="D",1,0)+IF(CM1977="D",1,0)+IF(CQ1977="D",1,0)+IF(CR1977="D",1,0)+IF(CS1977="D",1,0)+IF(CW1977="D",1,0)+IF(CX1977="D",1,0)+IF(DD1977="D",1,0)+IF(DE1977="D",1,0)+IF(DJ1977="D",1,0)+IF(DK1977="D",1,0)+IF(DO1977="D",1,0)+IF(DP1977="D",1,0)+IF(DQ1977="D",1,0)+IF(DW1977="D",1,0)+IF(DZ1977="D",1,0)+IF(EH1977="D",1,0)</f>
        <v/>
      </c>
      <c r="AY1977">
        <f>IF(DJ1977&lt;&gt;"",1,0)+IF(DK1977&lt;&gt;"",1,0)+IF(DM1977&lt;&gt;"",1,0)+IF(DO1977&lt;&gt;"",1,0)+IF(DP1977&lt;&gt;"",1,0)+IF(DQ1977&lt;&gt;"",1,0)+IF(DS1977&lt;&gt;"",1,0)+IF(DT1977&lt;&gt;"",1,0)+IF(DV1977&lt;&gt;"",1,0)+IF(DW1977&lt;&gt;"",1,0)+IF(DX1977&lt;&gt;"",1,0)+IF(DY1977&lt;&gt;"",1,0)+IF(DZ1977&lt;&gt;"",1,0)+IF(EB1977&lt;&gt;"",1,0)+IF(EC1977&lt;&gt;"",1,0)+IF(ED1977&lt;&gt;"",1,0)+IF(EG1977&lt;&gt;"",1,0)+IF(EH1977&lt;&gt;"",1,0)</f>
        <v/>
      </c>
      <c r="AZ1977">
        <f>IF(EH1977&lt;&gt;"",1,0)</f>
        <v/>
      </c>
      <c r="BB1977" t="inlineStr">
        <is>
          <t>WARREN-WARD 4</t>
        </is>
      </c>
    </row>
    <row r="1978">
      <c r="A1978" t="inlineStr">
        <is>
          <t>OH0015812036</t>
        </is>
      </c>
      <c r="B1978" t="n">
        <v>78</v>
      </c>
      <c r="C1978" t="n">
        <v>262064</v>
      </c>
      <c r="D1978" t="inlineStr">
        <is>
          <t>THIGPEN</t>
        </is>
      </c>
      <c r="E1978" t="inlineStr">
        <is>
          <t>RONALD</t>
        </is>
      </c>
      <c r="F1978">
        <f>CONCATENATE(D1978," ",LEFT(H1978,4),"T=",AU1978,"D=",AV1978,"R=",AW1978,"M=",AX1978,"L=",AY1978,"B=",AZ1978)</f>
        <v/>
      </c>
      <c r="G1978" t="inlineStr">
        <is>
          <t>G</t>
        </is>
      </c>
      <c r="I1978" t="inlineStr">
        <is>
          <t>1968-09-21</t>
        </is>
      </c>
      <c r="J1978" t="inlineStr">
        <is>
          <t>2020-05-29</t>
        </is>
      </c>
      <c r="K1978" t="inlineStr">
        <is>
          <t>ACTIVE</t>
        </is>
      </c>
      <c r="L1978" t="inlineStr">
        <is>
          <t>D</t>
        </is>
      </c>
      <c r="M1978" t="inlineStr">
        <is>
          <t>239 WASHINGTON ST NW</t>
        </is>
      </c>
      <c r="N1978">
        <f>RIGHT(M1978,LEN(M1978)-FIND(" ",M1978))</f>
        <v/>
      </c>
      <c r="P1978" t="inlineStr">
        <is>
          <t>WARREN</t>
        </is>
      </c>
      <c r="Q1978" t="inlineStr">
        <is>
          <t>OH</t>
        </is>
      </c>
      <c r="R1978" t="n">
        <v>44483</v>
      </c>
      <c r="AD1978" t="inlineStr">
        <is>
          <t>TRUMBULL CAREER &amp; TECH CENTER</t>
        </is>
      </c>
      <c r="AE1978" t="inlineStr">
        <is>
          <t>WARREN CITY</t>
        </is>
      </c>
      <c r="AF1978" t="inlineStr">
        <is>
          <t>WARREN CITY SD</t>
        </is>
      </c>
      <c r="AH1978" t="n">
        <v>14</v>
      </c>
      <c r="AI1978" t="n">
        <v>11</v>
      </c>
      <c r="AN1978" t="inlineStr">
        <is>
          <t>WARREN</t>
        </is>
      </c>
      <c r="AO1978" t="inlineStr">
        <is>
          <t>WARREN CITY 4D</t>
        </is>
      </c>
      <c r="AP1978" t="inlineStr">
        <is>
          <t>78-P-ADL</t>
        </is>
      </c>
      <c r="AQ1978" t="n">
        <v>9</v>
      </c>
      <c r="AR1978" t="n">
        <v>64</v>
      </c>
      <c r="AS1978" t="n">
        <v>32</v>
      </c>
      <c r="AU1978">
        <f>COUNTA($BA$1978:$EH$1978)</f>
        <v/>
      </c>
      <c r="AV1978">
        <f>COUNTIF($BA$1978:$EH$1978,"D")</f>
        <v/>
      </c>
      <c r="AW1978">
        <f>COUNTIF($BA$1978:$EH$1978,"R")</f>
        <v/>
      </c>
      <c r="AX1978">
        <f>IF(BN1978="D",1,0)+IF(BO1978="D",1,0)+IF(BT1978="D",1,0)+IF(BU1978="D",1,0)+IF(BW1978="D",1,0)+IF(CC1978="D",1,0)+IF(CD1978="D",1,0)+IF(CE1978="D",1,0)+IF(CF1978="D",1,0)+IF(CL1978="D",1,0)+IF(CM1978="D",1,0)+IF(CQ1978="D",1,0)+IF(CR1978="D",1,0)+IF(CS1978="D",1,0)+IF(CW1978="D",1,0)+IF(CX1978="D",1,0)+IF(DD1978="D",1,0)+IF(DE1978="D",1,0)+IF(DJ1978="D",1,0)+IF(DK1978="D",1,0)+IF(DO1978="D",1,0)+IF(DP1978="D",1,0)+IF(DQ1978="D",1,0)+IF(DW1978="D",1,0)+IF(DZ1978="D",1,0)+IF(EH1978="D",1,0)</f>
        <v/>
      </c>
      <c r="AY1978">
        <f>IF(DJ1978&lt;&gt;"",1,0)+IF(DK1978&lt;&gt;"",1,0)+IF(DM1978&lt;&gt;"",1,0)+IF(DO1978&lt;&gt;"",1,0)+IF(DP1978&lt;&gt;"",1,0)+IF(DQ1978&lt;&gt;"",1,0)+IF(DS1978&lt;&gt;"",1,0)+IF(DT1978&lt;&gt;"",1,0)+IF(DV1978&lt;&gt;"",1,0)+IF(DW1978&lt;&gt;"",1,0)+IF(DX1978&lt;&gt;"",1,0)+IF(DY1978&lt;&gt;"",1,0)+IF(DZ1978&lt;&gt;"",1,0)+IF(EB1978&lt;&gt;"",1,0)+IF(EC1978&lt;&gt;"",1,0)+IF(ED1978&lt;&gt;"",1,0)+IF(EG1978&lt;&gt;"",1,0)+IF(EH1978&lt;&gt;"",1,0)</f>
        <v/>
      </c>
      <c r="AZ1978">
        <f>IF(EH1978&lt;&gt;"",1,0)</f>
        <v/>
      </c>
      <c r="BB1978" t="inlineStr">
        <is>
          <t>WARREN-WARD 4</t>
        </is>
      </c>
      <c r="BC1978" t="inlineStr">
        <is>
          <t>X</t>
        </is>
      </c>
      <c r="BD1978" t="inlineStr">
        <is>
          <t>X</t>
        </is>
      </c>
      <c r="BE1978" t="inlineStr">
        <is>
          <t>X</t>
        </is>
      </c>
      <c r="BG1978" t="inlineStr">
        <is>
          <t>X</t>
        </is>
      </c>
      <c r="BH1978" t="inlineStr">
        <is>
          <t>X</t>
        </is>
      </c>
      <c r="BI1978" t="inlineStr">
        <is>
          <t>X</t>
        </is>
      </c>
      <c r="BJ1978" t="inlineStr">
        <is>
          <t>X</t>
        </is>
      </c>
      <c r="BK1978" t="inlineStr">
        <is>
          <t>X</t>
        </is>
      </c>
      <c r="BL1978" t="inlineStr">
        <is>
          <t>X</t>
        </is>
      </c>
      <c r="BR1978" t="inlineStr">
        <is>
          <t>X</t>
        </is>
      </c>
      <c r="BS1978" t="inlineStr">
        <is>
          <t>X</t>
        </is>
      </c>
      <c r="BY1978" t="inlineStr">
        <is>
          <t>D</t>
        </is>
      </c>
      <c r="CA1978" t="inlineStr">
        <is>
          <t>X</t>
        </is>
      </c>
      <c r="CG1978" t="inlineStr">
        <is>
          <t>X</t>
        </is>
      </c>
      <c r="CH1978" t="inlineStr">
        <is>
          <t>D</t>
        </is>
      </c>
      <c r="CK1978" t="inlineStr">
        <is>
          <t>X</t>
        </is>
      </c>
      <c r="CL1978" t="inlineStr">
        <is>
          <t>D</t>
        </is>
      </c>
      <c r="CN1978" t="inlineStr">
        <is>
          <t>X</t>
        </is>
      </c>
      <c r="CO1978" t="inlineStr">
        <is>
          <t>D</t>
        </is>
      </c>
      <c r="CP1978" t="inlineStr">
        <is>
          <t>X</t>
        </is>
      </c>
      <c r="CT1978" t="inlineStr">
        <is>
          <t>X</t>
        </is>
      </c>
      <c r="CU1978" t="inlineStr">
        <is>
          <t>D</t>
        </is>
      </c>
      <c r="CV1978" t="inlineStr">
        <is>
          <t>X</t>
        </is>
      </c>
      <c r="CY1978" t="inlineStr">
        <is>
          <t>X</t>
        </is>
      </c>
      <c r="CZ1978" t="inlineStr">
        <is>
          <t>D</t>
        </is>
      </c>
      <c r="DC1978" t="inlineStr">
        <is>
          <t>X</t>
        </is>
      </c>
      <c r="DF1978" t="inlineStr">
        <is>
          <t>X</t>
        </is>
      </c>
      <c r="DG1978" t="inlineStr">
        <is>
          <t>D</t>
        </is>
      </c>
      <c r="DI1978" t="inlineStr">
        <is>
          <t>X</t>
        </is>
      </c>
      <c r="DJ1978" t="inlineStr">
        <is>
          <t>D</t>
        </is>
      </c>
      <c r="DL1978" t="inlineStr">
        <is>
          <t>X</t>
        </is>
      </c>
      <c r="DM1978" t="inlineStr">
        <is>
          <t>D</t>
        </is>
      </c>
      <c r="DN1978" t="inlineStr">
        <is>
          <t>X</t>
        </is>
      </c>
      <c r="DS1978" t="inlineStr">
        <is>
          <t>D</t>
        </is>
      </c>
      <c r="DT1978" t="inlineStr">
        <is>
          <t>D</t>
        </is>
      </c>
      <c r="DU1978" t="inlineStr">
        <is>
          <t>X</t>
        </is>
      </c>
      <c r="DX1978" t="inlineStr">
        <is>
          <t>X</t>
        </is>
      </c>
      <c r="EA1978" t="inlineStr">
        <is>
          <t>X</t>
        </is>
      </c>
      <c r="ED1978" t="inlineStr">
        <is>
          <t>D</t>
        </is>
      </c>
      <c r="EF1978" t="inlineStr">
        <is>
          <t>X</t>
        </is>
      </c>
      <c r="EH1978" t="inlineStr">
        <is>
          <t>D</t>
        </is>
      </c>
    </row>
    <row r="1979">
      <c r="A1979" t="inlineStr">
        <is>
          <t>OH0026164547</t>
        </is>
      </c>
      <c r="B1979" t="n">
        <v>78</v>
      </c>
      <c r="C1979" t="n">
        <v>457500</v>
      </c>
      <c r="D1979" t="inlineStr">
        <is>
          <t>ROWLAND</t>
        </is>
      </c>
      <c r="E1979" t="inlineStr">
        <is>
          <t>MALISSA</t>
        </is>
      </c>
      <c r="F1979">
        <f>CONCATENATE(D1979," ",LEFT(H1979,4),"T=",AU1979,"D=",AV1979,"R=",AW1979,"M=",AX1979,"L=",AY1979,"B=",AZ1979)</f>
        <v/>
      </c>
      <c r="G1979" t="inlineStr">
        <is>
          <t>NICHOLE</t>
        </is>
      </c>
      <c r="I1979" t="inlineStr">
        <is>
          <t>1989-12-25</t>
        </is>
      </c>
      <c r="J1979" t="inlineStr">
        <is>
          <t>2024-11-05</t>
        </is>
      </c>
      <c r="K1979" t="inlineStr">
        <is>
          <t>ACTIVE</t>
        </is>
      </c>
      <c r="M1979" t="inlineStr">
        <is>
          <t>149 SMITH PL NE</t>
        </is>
      </c>
      <c r="N1979">
        <f>RIGHT(M1979,LEN(M1979)-FIND(" ",M1979))</f>
        <v/>
      </c>
      <c r="P1979" t="inlineStr">
        <is>
          <t>WARREN</t>
        </is>
      </c>
      <c r="Q1979" t="inlineStr">
        <is>
          <t>OH</t>
        </is>
      </c>
      <c r="R1979" t="n">
        <v>44483</v>
      </c>
      <c r="AD1979" t="inlineStr">
        <is>
          <t>TRUMBULL CAREER &amp; TECH CENTER</t>
        </is>
      </c>
      <c r="AE1979" t="inlineStr">
        <is>
          <t>WARREN CITY</t>
        </is>
      </c>
      <c r="AF1979" t="inlineStr">
        <is>
          <t>WARREN CITY SD</t>
        </is>
      </c>
      <c r="AH1979" t="n">
        <v>14</v>
      </c>
      <c r="AI1979" t="n">
        <v>11</v>
      </c>
      <c r="AN1979" t="inlineStr">
        <is>
          <t>WARREN</t>
        </is>
      </c>
      <c r="AO1979" t="inlineStr">
        <is>
          <t>WARREN CITY 4D</t>
        </is>
      </c>
      <c r="AP1979" t="inlineStr">
        <is>
          <t>78-P-ADL</t>
        </is>
      </c>
      <c r="AQ1979" t="n">
        <v>9</v>
      </c>
      <c r="AR1979" t="n">
        <v>64</v>
      </c>
      <c r="AS1979" t="n">
        <v>32</v>
      </c>
      <c r="AU1979">
        <f>COUNTA($BA$1979:$EH$1979)</f>
        <v/>
      </c>
      <c r="AV1979">
        <f>COUNTIF($BA$1979:$EH$1979,"D")</f>
        <v/>
      </c>
      <c r="AW1979">
        <f>COUNTIF($BA$1979:$EH$1979,"R")</f>
        <v/>
      </c>
      <c r="AX1979">
        <f>IF(BN1979="D",1,0)+IF(BO1979="D",1,0)+IF(BT1979="D",1,0)+IF(BU1979="D",1,0)+IF(BW1979="D",1,0)+IF(CC1979="D",1,0)+IF(CD1979="D",1,0)+IF(CE1979="D",1,0)+IF(CF1979="D",1,0)+IF(CL1979="D",1,0)+IF(CM1979="D",1,0)+IF(CQ1979="D",1,0)+IF(CR1979="D",1,0)+IF(CS1979="D",1,0)+IF(CW1979="D",1,0)+IF(CX1979="D",1,0)+IF(DD1979="D",1,0)+IF(DE1979="D",1,0)+IF(DJ1979="D",1,0)+IF(DK1979="D",1,0)+IF(DO1979="D",1,0)+IF(DP1979="D",1,0)+IF(DQ1979="D",1,0)+IF(DW1979="D",1,0)+IF(DZ1979="D",1,0)+IF(EH1979="D",1,0)</f>
        <v/>
      </c>
      <c r="AY1979">
        <f>IF(DJ1979&lt;&gt;"",1,0)+IF(DK1979&lt;&gt;"",1,0)+IF(DM1979&lt;&gt;"",1,0)+IF(DO1979&lt;&gt;"",1,0)+IF(DP1979&lt;&gt;"",1,0)+IF(DQ1979&lt;&gt;"",1,0)+IF(DS1979&lt;&gt;"",1,0)+IF(DT1979&lt;&gt;"",1,0)+IF(DV1979&lt;&gt;"",1,0)+IF(DW1979&lt;&gt;"",1,0)+IF(DX1979&lt;&gt;"",1,0)+IF(DY1979&lt;&gt;"",1,0)+IF(DZ1979&lt;&gt;"",1,0)+IF(EB1979&lt;&gt;"",1,0)+IF(EC1979&lt;&gt;"",1,0)+IF(ED1979&lt;&gt;"",1,0)+IF(EG1979&lt;&gt;"",1,0)+IF(EH1979&lt;&gt;"",1,0)</f>
        <v/>
      </c>
      <c r="AZ1979">
        <f>IF(EH1979&lt;&gt;"",1,0)</f>
        <v/>
      </c>
      <c r="BB1979" t="inlineStr">
        <is>
          <t>WARREN-WARD 4</t>
        </is>
      </c>
      <c r="CP1979" t="inlineStr">
        <is>
          <t>X</t>
        </is>
      </c>
    </row>
    <row r="1980">
      <c r="A1980" t="inlineStr">
        <is>
          <t>OH0025928175</t>
        </is>
      </c>
      <c r="B1980" t="n">
        <v>78</v>
      </c>
      <c r="C1980" t="n">
        <v>452871</v>
      </c>
      <c r="D1980" t="inlineStr">
        <is>
          <t>MALONEY</t>
        </is>
      </c>
      <c r="E1980" t="inlineStr">
        <is>
          <t>MEGAN</t>
        </is>
      </c>
      <c r="F1980">
        <f>CONCATENATE(D1980," ",LEFT(H1980,4),"T=",AU1980,"D=",AV1980,"R=",AW1980,"M=",AX1980,"L=",AY1980,"B=",AZ1980)</f>
        <v/>
      </c>
      <c r="G1980" t="inlineStr">
        <is>
          <t>JOANNE</t>
        </is>
      </c>
      <c r="I1980" t="inlineStr">
        <is>
          <t>1990-06-20</t>
        </is>
      </c>
      <c r="J1980" t="inlineStr">
        <is>
          <t>2020-09-30</t>
        </is>
      </c>
      <c r="K1980" t="inlineStr">
        <is>
          <t>CONFIRMATION</t>
        </is>
      </c>
      <c r="M1980" t="inlineStr">
        <is>
          <t>325 PORTER ST NE</t>
        </is>
      </c>
      <c r="N1980">
        <f>RIGHT(M1980,LEN(M1980)-FIND(" ",M1980))</f>
        <v/>
      </c>
      <c r="P1980" t="inlineStr">
        <is>
          <t>WARREN</t>
        </is>
      </c>
      <c r="Q1980" t="inlineStr">
        <is>
          <t>OH</t>
        </is>
      </c>
      <c r="R1980" t="n">
        <v>44483</v>
      </c>
      <c r="AD1980" t="inlineStr">
        <is>
          <t>TRUMBULL CAREER &amp; TECH CENTER</t>
        </is>
      </c>
      <c r="AE1980" t="inlineStr">
        <is>
          <t>WARREN CITY</t>
        </is>
      </c>
      <c r="AF1980" t="inlineStr">
        <is>
          <t>WARREN CITY SD</t>
        </is>
      </c>
      <c r="AH1980" t="n">
        <v>14</v>
      </c>
      <c r="AI1980" t="n">
        <v>11</v>
      </c>
      <c r="AN1980" t="inlineStr">
        <is>
          <t>WARREN</t>
        </is>
      </c>
      <c r="AO1980" t="inlineStr">
        <is>
          <t>WARREN CITY 4D</t>
        </is>
      </c>
      <c r="AP1980" t="inlineStr">
        <is>
          <t>78-P-ADL</t>
        </is>
      </c>
      <c r="AQ1980" t="n">
        <v>9</v>
      </c>
      <c r="AR1980" t="n">
        <v>64</v>
      </c>
      <c r="AS1980" t="n">
        <v>32</v>
      </c>
      <c r="AU1980">
        <f>COUNTA($BA$1980:$EH$1980)</f>
        <v/>
      </c>
      <c r="AV1980">
        <f>COUNTIF($BA$1980:$EH$1980,"D")</f>
        <v/>
      </c>
      <c r="AW1980">
        <f>COUNTIF($BA$1980:$EH$1980,"R")</f>
        <v/>
      </c>
      <c r="AX1980">
        <f>IF(BN1980="D",1,0)+IF(BO1980="D",1,0)+IF(BT1980="D",1,0)+IF(BU1980="D",1,0)+IF(BW1980="D",1,0)+IF(CC1980="D",1,0)+IF(CD1980="D",1,0)+IF(CE1980="D",1,0)+IF(CF1980="D",1,0)+IF(CL1980="D",1,0)+IF(CM1980="D",1,0)+IF(CQ1980="D",1,0)+IF(CR1980="D",1,0)+IF(CS1980="D",1,0)+IF(CW1980="D",1,0)+IF(CX1980="D",1,0)+IF(DD1980="D",1,0)+IF(DE1980="D",1,0)+IF(DJ1980="D",1,0)+IF(DK1980="D",1,0)+IF(DO1980="D",1,0)+IF(DP1980="D",1,0)+IF(DQ1980="D",1,0)+IF(DW1980="D",1,0)+IF(DZ1980="D",1,0)+IF(EH1980="D",1,0)</f>
        <v/>
      </c>
      <c r="AY1980">
        <f>IF(DJ1980&lt;&gt;"",1,0)+IF(DK1980&lt;&gt;"",1,0)+IF(DM1980&lt;&gt;"",1,0)+IF(DO1980&lt;&gt;"",1,0)+IF(DP1980&lt;&gt;"",1,0)+IF(DQ1980&lt;&gt;"",1,0)+IF(DS1980&lt;&gt;"",1,0)+IF(DT1980&lt;&gt;"",1,0)+IF(DV1980&lt;&gt;"",1,0)+IF(DW1980&lt;&gt;"",1,0)+IF(DX1980&lt;&gt;"",1,0)+IF(DY1980&lt;&gt;"",1,0)+IF(DZ1980&lt;&gt;"",1,0)+IF(EB1980&lt;&gt;"",1,0)+IF(EC1980&lt;&gt;"",1,0)+IF(ED1980&lt;&gt;"",1,0)+IF(EG1980&lt;&gt;"",1,0)+IF(EH1980&lt;&gt;"",1,0)</f>
        <v/>
      </c>
      <c r="AZ1980">
        <f>IF(EH1980&lt;&gt;"",1,0)</f>
        <v/>
      </c>
      <c r="BB1980" t="inlineStr">
        <is>
          <t>WARREN-WARD 4</t>
        </is>
      </c>
      <c r="CA1980" t="inlineStr">
        <is>
          <t>X</t>
        </is>
      </c>
      <c r="CP1980" t="inlineStr">
        <is>
          <t>X</t>
        </is>
      </c>
    </row>
    <row r="1981">
      <c r="A1981" t="inlineStr">
        <is>
          <t>OH0022776537</t>
        </is>
      </c>
      <c r="B1981" t="n">
        <v>78</v>
      </c>
      <c r="C1981" t="n">
        <v>401810</v>
      </c>
      <c r="D1981" t="inlineStr">
        <is>
          <t>BENTON</t>
        </is>
      </c>
      <c r="E1981" t="inlineStr">
        <is>
          <t>TINA</t>
        </is>
      </c>
      <c r="F1981">
        <f>CONCATENATE(D1981," ",LEFT(H1981,4),"T=",AU1981,"D=",AV1981,"R=",AW1981,"M=",AX1981,"L=",AY1981,"B=",AZ1981)</f>
        <v/>
      </c>
      <c r="G1981" t="inlineStr">
        <is>
          <t>M</t>
        </is>
      </c>
      <c r="I1981" t="inlineStr">
        <is>
          <t>1970-04-21</t>
        </is>
      </c>
      <c r="J1981" t="inlineStr">
        <is>
          <t>2016-07-19</t>
        </is>
      </c>
      <c r="K1981" t="inlineStr">
        <is>
          <t>ACTIVE</t>
        </is>
      </c>
      <c r="L1981" t="inlineStr">
        <is>
          <t>D</t>
        </is>
      </c>
      <c r="M1981" t="inlineStr">
        <is>
          <t>434 BELMONT AVE NE</t>
        </is>
      </c>
      <c r="N1981">
        <f>RIGHT(M1981,LEN(M1981)-FIND(" ",M1981))</f>
        <v/>
      </c>
      <c r="P1981" t="inlineStr">
        <is>
          <t>WARREN</t>
        </is>
      </c>
      <c r="Q1981" t="inlineStr">
        <is>
          <t>OH</t>
        </is>
      </c>
      <c r="R1981" t="n">
        <v>44483</v>
      </c>
      <c r="AD1981" t="inlineStr">
        <is>
          <t>TRUMBULL CAREER &amp; TECH CENTER</t>
        </is>
      </c>
      <c r="AE1981" t="inlineStr">
        <is>
          <t>WARREN CITY</t>
        </is>
      </c>
      <c r="AF1981" t="inlineStr">
        <is>
          <t>WARREN CITY SD</t>
        </is>
      </c>
      <c r="AH1981" t="n">
        <v>14</v>
      </c>
      <c r="AI1981" t="n">
        <v>11</v>
      </c>
      <c r="AN1981" t="inlineStr">
        <is>
          <t>WARREN</t>
        </is>
      </c>
      <c r="AO1981" t="inlineStr">
        <is>
          <t>WARREN CITY 4D</t>
        </is>
      </c>
      <c r="AP1981" t="inlineStr">
        <is>
          <t>78-P-ADL</t>
        </is>
      </c>
      <c r="AQ1981" t="n">
        <v>9</v>
      </c>
      <c r="AR1981" t="n">
        <v>64</v>
      </c>
      <c r="AS1981" t="n">
        <v>32</v>
      </c>
      <c r="AU1981">
        <f>COUNTA($BA$1981:$EH$1981)</f>
        <v/>
      </c>
      <c r="AV1981">
        <f>COUNTIF($BA$1981:$EH$1981,"D")</f>
        <v/>
      </c>
      <c r="AW1981">
        <f>COUNTIF($BA$1981:$EH$1981,"R")</f>
        <v/>
      </c>
      <c r="AX1981">
        <f>IF(BN1981="D",1,0)+IF(BO1981="D",1,0)+IF(BT1981="D",1,0)+IF(BU1981="D",1,0)+IF(BW1981="D",1,0)+IF(CC1981="D",1,0)+IF(CD1981="D",1,0)+IF(CE1981="D",1,0)+IF(CF1981="D",1,0)+IF(CL1981="D",1,0)+IF(CM1981="D",1,0)+IF(CQ1981="D",1,0)+IF(CR1981="D",1,0)+IF(CS1981="D",1,0)+IF(CW1981="D",1,0)+IF(CX1981="D",1,0)+IF(DD1981="D",1,0)+IF(DE1981="D",1,0)+IF(DJ1981="D",1,0)+IF(DK1981="D",1,0)+IF(DO1981="D",1,0)+IF(DP1981="D",1,0)+IF(DQ1981="D",1,0)+IF(DW1981="D",1,0)+IF(DZ1981="D",1,0)+IF(EH1981="D",1,0)</f>
        <v/>
      </c>
      <c r="AY1981">
        <f>IF(DJ1981&lt;&gt;"",1,0)+IF(DK1981&lt;&gt;"",1,0)+IF(DM1981&lt;&gt;"",1,0)+IF(DO1981&lt;&gt;"",1,0)+IF(DP1981&lt;&gt;"",1,0)+IF(DQ1981&lt;&gt;"",1,0)+IF(DS1981&lt;&gt;"",1,0)+IF(DT1981&lt;&gt;"",1,0)+IF(DV1981&lt;&gt;"",1,0)+IF(DW1981&lt;&gt;"",1,0)+IF(DX1981&lt;&gt;"",1,0)+IF(DY1981&lt;&gt;"",1,0)+IF(DZ1981&lt;&gt;"",1,0)+IF(EB1981&lt;&gt;"",1,0)+IF(EC1981&lt;&gt;"",1,0)+IF(ED1981&lt;&gt;"",1,0)+IF(EG1981&lt;&gt;"",1,0)+IF(EH1981&lt;&gt;"",1,0)</f>
        <v/>
      </c>
      <c r="AZ1981">
        <f>IF(EH1981&lt;&gt;"",1,0)</f>
        <v/>
      </c>
      <c r="BB1981" t="inlineStr">
        <is>
          <t>WARREN-WARD 4</t>
        </is>
      </c>
      <c r="DC1981" t="inlineStr">
        <is>
          <t>X</t>
        </is>
      </c>
      <c r="DI1981" t="inlineStr">
        <is>
          <t>X</t>
        </is>
      </c>
      <c r="DN1981" t="inlineStr">
        <is>
          <t>X</t>
        </is>
      </c>
      <c r="DU1981" t="inlineStr">
        <is>
          <t>X</t>
        </is>
      </c>
      <c r="DW1981" t="inlineStr">
        <is>
          <t>D</t>
        </is>
      </c>
      <c r="DX1981" t="inlineStr">
        <is>
          <t>X</t>
        </is>
      </c>
      <c r="EA1981" t="inlineStr">
        <is>
          <t>X</t>
        </is>
      </c>
      <c r="EF1981" t="inlineStr">
        <is>
          <t>X</t>
        </is>
      </c>
    </row>
    <row r="1982">
      <c r="A1982" t="inlineStr">
        <is>
          <t>OH0024844781</t>
        </is>
      </c>
      <c r="B1982" t="n">
        <v>78</v>
      </c>
      <c r="C1982" t="n">
        <v>435711</v>
      </c>
      <c r="D1982" t="inlineStr">
        <is>
          <t>MORGAN</t>
        </is>
      </c>
      <c r="E1982" t="inlineStr">
        <is>
          <t>BREAJA</t>
        </is>
      </c>
      <c r="F1982">
        <f>CONCATENATE(D1982," ",LEFT(H1982,4),"T=",AU1982,"D=",AV1982,"R=",AW1982,"M=",AX1982,"L=",AY1982,"B=",AZ1982)</f>
        <v/>
      </c>
      <c r="G1982" t="inlineStr">
        <is>
          <t>SHAURAY</t>
        </is>
      </c>
      <c r="I1982" t="inlineStr">
        <is>
          <t>2000-01-13</t>
        </is>
      </c>
      <c r="J1982" t="inlineStr">
        <is>
          <t>2020-03-04</t>
        </is>
      </c>
      <c r="K1982" t="inlineStr">
        <is>
          <t>ACTIVE</t>
        </is>
      </c>
      <c r="M1982" t="inlineStr">
        <is>
          <t>700 PAIGE AVE NE</t>
        </is>
      </c>
      <c r="N1982">
        <f>RIGHT(M1982,LEN(M1982)-FIND(" ",M1982))</f>
        <v/>
      </c>
      <c r="P1982" t="inlineStr">
        <is>
          <t>WARREN</t>
        </is>
      </c>
      <c r="Q1982" t="inlineStr">
        <is>
          <t>OH</t>
        </is>
      </c>
      <c r="R1982" t="n">
        <v>44483</v>
      </c>
      <c r="AD1982" t="inlineStr">
        <is>
          <t>TRUMBULL CAREER &amp; TECH CENTER</t>
        </is>
      </c>
      <c r="AE1982" t="inlineStr">
        <is>
          <t>WARREN CITY</t>
        </is>
      </c>
      <c r="AF1982" t="inlineStr">
        <is>
          <t>WARREN CITY SD</t>
        </is>
      </c>
      <c r="AH1982" t="n">
        <v>14</v>
      </c>
      <c r="AI1982" t="n">
        <v>11</v>
      </c>
      <c r="AN1982" t="inlineStr">
        <is>
          <t>WARREN</t>
        </is>
      </c>
      <c r="AO1982" t="inlineStr">
        <is>
          <t>WARREN CITY 4D</t>
        </is>
      </c>
      <c r="AP1982" t="inlineStr">
        <is>
          <t>78-P-ADL</t>
        </is>
      </c>
      <c r="AQ1982" t="n">
        <v>9</v>
      </c>
      <c r="AR1982" t="n">
        <v>64</v>
      </c>
      <c r="AS1982" t="n">
        <v>32</v>
      </c>
      <c r="AU1982">
        <f>COUNTA($BA$1982:$EH$1982)</f>
        <v/>
      </c>
      <c r="AV1982">
        <f>COUNTIF($BA$1982:$EH$1982,"D")</f>
        <v/>
      </c>
      <c r="AW1982">
        <f>COUNTIF($BA$1982:$EH$1982,"R")</f>
        <v/>
      </c>
      <c r="AX1982">
        <f>IF(BN1982="D",1,0)+IF(BO1982="D",1,0)+IF(BT1982="D",1,0)+IF(BU1982="D",1,0)+IF(BW1982="D",1,0)+IF(CC1982="D",1,0)+IF(CD1982="D",1,0)+IF(CE1982="D",1,0)+IF(CF1982="D",1,0)+IF(CL1982="D",1,0)+IF(CM1982="D",1,0)+IF(CQ1982="D",1,0)+IF(CR1982="D",1,0)+IF(CS1982="D",1,0)+IF(CW1982="D",1,0)+IF(CX1982="D",1,0)+IF(DD1982="D",1,0)+IF(DE1982="D",1,0)+IF(DJ1982="D",1,0)+IF(DK1982="D",1,0)+IF(DO1982="D",1,0)+IF(DP1982="D",1,0)+IF(DQ1982="D",1,0)+IF(DW1982="D",1,0)+IF(DZ1982="D",1,0)+IF(EH1982="D",1,0)</f>
        <v/>
      </c>
      <c r="AY1982">
        <f>IF(DJ1982&lt;&gt;"",1,0)+IF(DK1982&lt;&gt;"",1,0)+IF(DM1982&lt;&gt;"",1,0)+IF(DO1982&lt;&gt;"",1,0)+IF(DP1982&lt;&gt;"",1,0)+IF(DQ1982&lt;&gt;"",1,0)+IF(DS1982&lt;&gt;"",1,0)+IF(DT1982&lt;&gt;"",1,0)+IF(DV1982&lt;&gt;"",1,0)+IF(DW1982&lt;&gt;"",1,0)+IF(DX1982&lt;&gt;"",1,0)+IF(DY1982&lt;&gt;"",1,0)+IF(DZ1982&lt;&gt;"",1,0)+IF(EB1982&lt;&gt;"",1,0)+IF(EC1982&lt;&gt;"",1,0)+IF(ED1982&lt;&gt;"",1,0)+IF(EG1982&lt;&gt;"",1,0)+IF(EH1982&lt;&gt;"",1,0)</f>
        <v/>
      </c>
      <c r="AZ1982">
        <f>IF(EH1982&lt;&gt;"",1,0)</f>
        <v/>
      </c>
      <c r="BB1982" t="inlineStr">
        <is>
          <t>WARREN-WARD 4</t>
        </is>
      </c>
      <c r="DN1982" t="inlineStr">
        <is>
          <t>X</t>
        </is>
      </c>
      <c r="EF1982" t="inlineStr">
        <is>
          <t>X</t>
        </is>
      </c>
    </row>
    <row r="1983">
      <c r="A1983" t="inlineStr">
        <is>
          <t>OH0015700799</t>
        </is>
      </c>
      <c r="B1983" t="n">
        <v>78</v>
      </c>
      <c r="C1983" t="n">
        <v>287087</v>
      </c>
      <c r="D1983" t="inlineStr">
        <is>
          <t>BUBE</t>
        </is>
      </c>
      <c r="E1983" t="inlineStr">
        <is>
          <t>LISA</t>
        </is>
      </c>
      <c r="F1983">
        <f>CONCATENATE(D1983," ",LEFT(H1983,4),"T=",AU1983,"D=",AV1983,"R=",AW1983,"M=",AX1983,"L=",AY1983,"B=",AZ1983)</f>
        <v/>
      </c>
      <c r="G1983" t="inlineStr">
        <is>
          <t>R</t>
        </is>
      </c>
      <c r="I1983" t="inlineStr">
        <is>
          <t>1979-09-16</t>
        </is>
      </c>
      <c r="J1983" t="inlineStr">
        <is>
          <t>2021-05-20</t>
        </is>
      </c>
      <c r="K1983" t="inlineStr">
        <is>
          <t>ACTIVE</t>
        </is>
      </c>
      <c r="M1983" t="inlineStr">
        <is>
          <t>461 WAVERLY AVE NE</t>
        </is>
      </c>
      <c r="N1983">
        <f>RIGHT(M1983,LEN(M1983)-FIND(" ",M1983))</f>
        <v/>
      </c>
      <c r="P1983" t="inlineStr">
        <is>
          <t>WARREN</t>
        </is>
      </c>
      <c r="Q1983" t="inlineStr">
        <is>
          <t>OH</t>
        </is>
      </c>
      <c r="R1983" t="n">
        <v>44483</v>
      </c>
      <c r="AD1983" t="inlineStr">
        <is>
          <t>TRUMBULL CAREER &amp; TECH CENTER</t>
        </is>
      </c>
      <c r="AE1983" t="inlineStr">
        <is>
          <t>WARREN CITY</t>
        </is>
      </c>
      <c r="AF1983" t="inlineStr">
        <is>
          <t>WARREN CITY SD</t>
        </is>
      </c>
      <c r="AH1983" t="n">
        <v>14</v>
      </c>
      <c r="AI1983" t="n">
        <v>11</v>
      </c>
      <c r="AN1983" t="inlineStr">
        <is>
          <t>WARREN</t>
        </is>
      </c>
      <c r="AO1983" t="inlineStr">
        <is>
          <t>WARREN CITY 4D</t>
        </is>
      </c>
      <c r="AP1983" t="inlineStr">
        <is>
          <t>78-P-ADL</t>
        </is>
      </c>
      <c r="AQ1983" t="n">
        <v>9</v>
      </c>
      <c r="AR1983" t="n">
        <v>64</v>
      </c>
      <c r="AS1983" t="n">
        <v>32</v>
      </c>
      <c r="AU1983">
        <f>COUNTA($BA$1983:$EH$1983)</f>
        <v/>
      </c>
      <c r="AV1983">
        <f>COUNTIF($BA$1983:$EH$1983,"D")</f>
        <v/>
      </c>
      <c r="AW1983">
        <f>COUNTIF($BA$1983:$EH$1983,"R")</f>
        <v/>
      </c>
      <c r="AX1983">
        <f>IF(BN1983="D",1,0)+IF(BO1983="D",1,0)+IF(BT1983="D",1,0)+IF(BU1983="D",1,0)+IF(BW1983="D",1,0)+IF(CC1983="D",1,0)+IF(CD1983="D",1,0)+IF(CE1983="D",1,0)+IF(CF1983="D",1,0)+IF(CL1983="D",1,0)+IF(CM1983="D",1,0)+IF(CQ1983="D",1,0)+IF(CR1983="D",1,0)+IF(CS1983="D",1,0)+IF(CW1983="D",1,0)+IF(CX1983="D",1,0)+IF(DD1983="D",1,0)+IF(DE1983="D",1,0)+IF(DJ1983="D",1,0)+IF(DK1983="D",1,0)+IF(DO1983="D",1,0)+IF(DP1983="D",1,0)+IF(DQ1983="D",1,0)+IF(DW1983="D",1,0)+IF(DZ1983="D",1,0)+IF(EH1983="D",1,0)</f>
        <v/>
      </c>
      <c r="AY1983">
        <f>IF(DJ1983&lt;&gt;"",1,0)+IF(DK1983&lt;&gt;"",1,0)+IF(DM1983&lt;&gt;"",1,0)+IF(DO1983&lt;&gt;"",1,0)+IF(DP1983&lt;&gt;"",1,0)+IF(DQ1983&lt;&gt;"",1,0)+IF(DS1983&lt;&gt;"",1,0)+IF(DT1983&lt;&gt;"",1,0)+IF(DV1983&lt;&gt;"",1,0)+IF(DW1983&lt;&gt;"",1,0)+IF(DX1983&lt;&gt;"",1,0)+IF(DY1983&lt;&gt;"",1,0)+IF(DZ1983&lt;&gt;"",1,0)+IF(EB1983&lt;&gt;"",1,0)+IF(EC1983&lt;&gt;"",1,0)+IF(ED1983&lt;&gt;"",1,0)+IF(EG1983&lt;&gt;"",1,0)+IF(EH1983&lt;&gt;"",1,0)</f>
        <v/>
      </c>
      <c r="AZ1983">
        <f>IF(EH1983&lt;&gt;"",1,0)</f>
        <v/>
      </c>
      <c r="BB1983" t="inlineStr">
        <is>
          <t>WARREN-WARD 4</t>
        </is>
      </c>
      <c r="BC1983" t="inlineStr">
        <is>
          <t>X</t>
        </is>
      </c>
      <c r="BD1983" t="inlineStr">
        <is>
          <t>X</t>
        </is>
      </c>
      <c r="BL1983" t="inlineStr">
        <is>
          <t>X</t>
        </is>
      </c>
      <c r="BS1983" t="inlineStr">
        <is>
          <t>X</t>
        </is>
      </c>
      <c r="BY1983" t="inlineStr">
        <is>
          <t>D</t>
        </is>
      </c>
      <c r="CA1983" t="inlineStr">
        <is>
          <t>X</t>
        </is>
      </c>
      <c r="CN1983" t="inlineStr">
        <is>
          <t>X</t>
        </is>
      </c>
      <c r="CP1983" t="inlineStr">
        <is>
          <t>X</t>
        </is>
      </c>
      <c r="CY1983" t="inlineStr">
        <is>
          <t>X</t>
        </is>
      </c>
      <c r="CZ1983" t="inlineStr">
        <is>
          <t>R</t>
        </is>
      </c>
      <c r="DC1983" t="inlineStr">
        <is>
          <t>X</t>
        </is>
      </c>
      <c r="DN1983" t="inlineStr">
        <is>
          <t>X</t>
        </is>
      </c>
      <c r="DU1983" t="inlineStr">
        <is>
          <t>X</t>
        </is>
      </c>
      <c r="EA1983" t="inlineStr">
        <is>
          <t>X</t>
        </is>
      </c>
      <c r="EF1983" t="inlineStr">
        <is>
          <t>X</t>
        </is>
      </c>
    </row>
    <row r="1984">
      <c r="A1984" t="inlineStr">
        <is>
          <t>OH0015762836</t>
        </is>
      </c>
      <c r="B1984" t="n">
        <v>78</v>
      </c>
      <c r="C1984" t="n">
        <v>290481</v>
      </c>
      <c r="D1984" t="inlineStr">
        <is>
          <t>ADAMS</t>
        </is>
      </c>
      <c r="E1984" t="inlineStr">
        <is>
          <t>KRISTINA</t>
        </is>
      </c>
      <c r="F1984">
        <f>CONCATENATE(D1984," ",LEFT(H1984,4),"T=",AU1984,"D=",AV1984,"R=",AW1984,"M=",AX1984,"L=",AY1984,"B=",AZ1984)</f>
        <v/>
      </c>
      <c r="I1984" t="inlineStr">
        <is>
          <t>1981-09-13</t>
        </is>
      </c>
      <c r="J1984" t="inlineStr">
        <is>
          <t>2020-10-05</t>
        </is>
      </c>
      <c r="K1984" t="inlineStr">
        <is>
          <t>CONFIRMATION</t>
        </is>
      </c>
      <c r="M1984" t="inlineStr">
        <is>
          <t>577 FAIRFIELD AVE NE</t>
        </is>
      </c>
      <c r="N1984">
        <f>RIGHT(M1984,LEN(M1984)-FIND(" ",M1984))</f>
        <v/>
      </c>
      <c r="P1984" t="inlineStr">
        <is>
          <t>WARREN</t>
        </is>
      </c>
      <c r="Q1984" t="inlineStr">
        <is>
          <t>OH</t>
        </is>
      </c>
      <c r="R1984" t="n">
        <v>44483</v>
      </c>
      <c r="AD1984" t="inlineStr">
        <is>
          <t>TRUMBULL CAREER &amp; TECH CENTER</t>
        </is>
      </c>
      <c r="AE1984" t="inlineStr">
        <is>
          <t>WARREN CITY</t>
        </is>
      </c>
      <c r="AF1984" t="inlineStr">
        <is>
          <t>WARREN CITY SD</t>
        </is>
      </c>
      <c r="AH1984" t="n">
        <v>14</v>
      </c>
      <c r="AI1984" t="n">
        <v>11</v>
      </c>
      <c r="AN1984" t="inlineStr">
        <is>
          <t>WARREN</t>
        </is>
      </c>
      <c r="AO1984" t="inlineStr">
        <is>
          <t>WARREN CITY 4D</t>
        </is>
      </c>
      <c r="AP1984" t="inlineStr">
        <is>
          <t>78-P-ADL</t>
        </is>
      </c>
      <c r="AQ1984" t="n">
        <v>9</v>
      </c>
      <c r="AR1984" t="n">
        <v>64</v>
      </c>
      <c r="AS1984" t="n">
        <v>32</v>
      </c>
      <c r="AU1984">
        <f>COUNTA($BA$1984:$EH$1984)</f>
        <v/>
      </c>
      <c r="AV1984">
        <f>COUNTIF($BA$1984:$EH$1984,"D")</f>
        <v/>
      </c>
      <c r="AW1984">
        <f>COUNTIF($BA$1984:$EH$1984,"R")</f>
        <v/>
      </c>
      <c r="AX1984">
        <f>IF(BN1984="D",1,0)+IF(BO1984="D",1,0)+IF(BT1984="D",1,0)+IF(BU1984="D",1,0)+IF(BW1984="D",1,0)+IF(CC1984="D",1,0)+IF(CD1984="D",1,0)+IF(CE1984="D",1,0)+IF(CF1984="D",1,0)+IF(CL1984="D",1,0)+IF(CM1984="D",1,0)+IF(CQ1984="D",1,0)+IF(CR1984="D",1,0)+IF(CS1984="D",1,0)+IF(CW1984="D",1,0)+IF(CX1984="D",1,0)+IF(DD1984="D",1,0)+IF(DE1984="D",1,0)+IF(DJ1984="D",1,0)+IF(DK1984="D",1,0)+IF(DO1984="D",1,0)+IF(DP1984="D",1,0)+IF(DQ1984="D",1,0)+IF(DW1984="D",1,0)+IF(DZ1984="D",1,0)+IF(EH1984="D",1,0)</f>
        <v/>
      </c>
      <c r="AY1984">
        <f>IF(DJ1984&lt;&gt;"",1,0)+IF(DK1984&lt;&gt;"",1,0)+IF(DM1984&lt;&gt;"",1,0)+IF(DO1984&lt;&gt;"",1,0)+IF(DP1984&lt;&gt;"",1,0)+IF(DQ1984&lt;&gt;"",1,0)+IF(DS1984&lt;&gt;"",1,0)+IF(DT1984&lt;&gt;"",1,0)+IF(DV1984&lt;&gt;"",1,0)+IF(DW1984&lt;&gt;"",1,0)+IF(DX1984&lt;&gt;"",1,0)+IF(DY1984&lt;&gt;"",1,0)+IF(DZ1984&lt;&gt;"",1,0)+IF(EB1984&lt;&gt;"",1,0)+IF(EC1984&lt;&gt;"",1,0)+IF(ED1984&lt;&gt;"",1,0)+IF(EG1984&lt;&gt;"",1,0)+IF(EH1984&lt;&gt;"",1,0)</f>
        <v/>
      </c>
      <c r="AZ1984">
        <f>IF(EH1984&lt;&gt;"",1,0)</f>
        <v/>
      </c>
      <c r="BB1984" t="inlineStr">
        <is>
          <t>WARREN-WARD 4</t>
        </is>
      </c>
      <c r="BL1984" t="inlineStr">
        <is>
          <t>X</t>
        </is>
      </c>
    </row>
    <row r="1985">
      <c r="A1985" t="inlineStr">
        <is>
          <t>OH0023634638</t>
        </is>
      </c>
      <c r="B1985" t="n">
        <v>78</v>
      </c>
      <c r="C1985" t="n">
        <v>415396</v>
      </c>
      <c r="D1985" t="inlineStr">
        <is>
          <t>FARMER</t>
        </is>
      </c>
      <c r="E1985" t="inlineStr">
        <is>
          <t>AMANDA</t>
        </is>
      </c>
      <c r="F1985">
        <f>CONCATENATE(D1985," ",LEFT(H1985,4),"T=",AU1985,"D=",AV1985,"R=",AW1985,"M=",AX1985,"L=",AY1985,"B=",AZ1985)</f>
        <v/>
      </c>
      <c r="G1985" t="inlineStr">
        <is>
          <t>N</t>
        </is>
      </c>
      <c r="I1985" t="inlineStr">
        <is>
          <t>1986-04-02</t>
        </is>
      </c>
      <c r="J1985" t="inlineStr">
        <is>
          <t>2016-05-09</t>
        </is>
      </c>
      <c r="K1985" t="inlineStr">
        <is>
          <t>CONFIRMATION</t>
        </is>
      </c>
      <c r="M1985" t="inlineStr">
        <is>
          <t>719 PAIGE AVE NE</t>
        </is>
      </c>
      <c r="N1985">
        <f>RIGHT(M1985,LEN(M1985)-FIND(" ",M1985))</f>
        <v/>
      </c>
      <c r="P1985" t="inlineStr">
        <is>
          <t>WARREN</t>
        </is>
      </c>
      <c r="Q1985" t="inlineStr">
        <is>
          <t>OH</t>
        </is>
      </c>
      <c r="R1985" t="n">
        <v>44483</v>
      </c>
      <c r="AD1985" t="inlineStr">
        <is>
          <t>TRUMBULL CAREER &amp; TECH CENTER</t>
        </is>
      </c>
      <c r="AE1985" t="inlineStr">
        <is>
          <t>WARREN CITY</t>
        </is>
      </c>
      <c r="AF1985" t="inlineStr">
        <is>
          <t>WARREN CITY SD</t>
        </is>
      </c>
      <c r="AH1985" t="n">
        <v>14</v>
      </c>
      <c r="AI1985" t="n">
        <v>11</v>
      </c>
      <c r="AN1985" t="inlineStr">
        <is>
          <t>WARREN</t>
        </is>
      </c>
      <c r="AO1985" t="inlineStr">
        <is>
          <t>WARREN CITY 4D</t>
        </is>
      </c>
      <c r="AP1985" t="inlineStr">
        <is>
          <t>78-P-ADL</t>
        </is>
      </c>
      <c r="AQ1985" t="n">
        <v>9</v>
      </c>
      <c r="AR1985" t="n">
        <v>64</v>
      </c>
      <c r="AS1985" t="n">
        <v>32</v>
      </c>
      <c r="AU1985">
        <f>COUNTA($BA$1985:$EH$1985)</f>
        <v/>
      </c>
      <c r="AV1985">
        <f>COUNTIF($BA$1985:$EH$1985,"D")</f>
        <v/>
      </c>
      <c r="AW1985">
        <f>COUNTIF($BA$1985:$EH$1985,"R")</f>
        <v/>
      </c>
      <c r="AX1985">
        <f>IF(BN1985="D",1,0)+IF(BO1985="D",1,0)+IF(BT1985="D",1,0)+IF(BU1985="D",1,0)+IF(BW1985="D",1,0)+IF(CC1985="D",1,0)+IF(CD1985="D",1,0)+IF(CE1985="D",1,0)+IF(CF1985="D",1,0)+IF(CL1985="D",1,0)+IF(CM1985="D",1,0)+IF(CQ1985="D",1,0)+IF(CR1985="D",1,0)+IF(CS1985="D",1,0)+IF(CW1985="D",1,0)+IF(CX1985="D",1,0)+IF(DD1985="D",1,0)+IF(DE1985="D",1,0)+IF(DJ1985="D",1,0)+IF(DK1985="D",1,0)+IF(DO1985="D",1,0)+IF(DP1985="D",1,0)+IF(DQ1985="D",1,0)+IF(DW1985="D",1,0)+IF(DZ1985="D",1,0)+IF(EH1985="D",1,0)</f>
        <v/>
      </c>
      <c r="AY1985">
        <f>IF(DJ1985&lt;&gt;"",1,0)+IF(DK1985&lt;&gt;"",1,0)+IF(DM1985&lt;&gt;"",1,0)+IF(DO1985&lt;&gt;"",1,0)+IF(DP1985&lt;&gt;"",1,0)+IF(DQ1985&lt;&gt;"",1,0)+IF(DS1985&lt;&gt;"",1,0)+IF(DT1985&lt;&gt;"",1,0)+IF(DV1985&lt;&gt;"",1,0)+IF(DW1985&lt;&gt;"",1,0)+IF(DX1985&lt;&gt;"",1,0)+IF(DY1985&lt;&gt;"",1,0)+IF(DZ1985&lt;&gt;"",1,0)+IF(EB1985&lt;&gt;"",1,0)+IF(EC1985&lt;&gt;"",1,0)+IF(ED1985&lt;&gt;"",1,0)+IF(EG1985&lt;&gt;"",1,0)+IF(EH1985&lt;&gt;"",1,0)</f>
        <v/>
      </c>
      <c r="AZ1985">
        <f>IF(EH1985&lt;&gt;"",1,0)</f>
        <v/>
      </c>
      <c r="BB1985" t="inlineStr">
        <is>
          <t>WARREN-WARD 4</t>
        </is>
      </c>
    </row>
    <row r="1986">
      <c r="A1986" t="inlineStr">
        <is>
          <t>OH0026411555</t>
        </is>
      </c>
      <c r="B1986" t="n">
        <v>78</v>
      </c>
      <c r="C1986" t="n">
        <v>461749</v>
      </c>
      <c r="D1986" t="inlineStr">
        <is>
          <t>HANSEN</t>
        </is>
      </c>
      <c r="E1986" t="inlineStr">
        <is>
          <t>LEAILA</t>
        </is>
      </c>
      <c r="F1986">
        <f>CONCATENATE(D1986," ",LEFT(H1986,4),"T=",AU1986,"D=",AV1986,"R=",AW1986,"M=",AX1986,"L=",AY1986,"B=",AZ1986)</f>
        <v/>
      </c>
      <c r="G1986" t="inlineStr">
        <is>
          <t>ROSE</t>
        </is>
      </c>
      <c r="I1986" t="inlineStr">
        <is>
          <t>1997-09-04</t>
        </is>
      </c>
      <c r="J1986" t="inlineStr">
        <is>
          <t>2022-02-15</t>
        </is>
      </c>
      <c r="K1986" t="inlineStr">
        <is>
          <t>CONFIRMATION</t>
        </is>
      </c>
      <c r="M1986" t="inlineStr">
        <is>
          <t>630 PAIGE AVE NE</t>
        </is>
      </c>
      <c r="N1986">
        <f>RIGHT(M1986,LEN(M1986)-FIND(" ",M1986))</f>
        <v/>
      </c>
      <c r="P1986" t="inlineStr">
        <is>
          <t>WARREN</t>
        </is>
      </c>
      <c r="Q1986" t="inlineStr">
        <is>
          <t>OH</t>
        </is>
      </c>
      <c r="R1986" t="n">
        <v>44483</v>
      </c>
      <c r="AD1986" t="inlineStr">
        <is>
          <t>TRUMBULL CAREER &amp; TECH CENTER</t>
        </is>
      </c>
      <c r="AE1986" t="inlineStr">
        <is>
          <t>WARREN CITY</t>
        </is>
      </c>
      <c r="AF1986" t="inlineStr">
        <is>
          <t>WARREN CITY SD</t>
        </is>
      </c>
      <c r="AH1986" t="n">
        <v>14</v>
      </c>
      <c r="AI1986" t="n">
        <v>11</v>
      </c>
      <c r="AN1986" t="inlineStr">
        <is>
          <t>WARREN</t>
        </is>
      </c>
      <c r="AO1986" t="inlineStr">
        <is>
          <t>WARREN CITY 4D</t>
        </is>
      </c>
      <c r="AP1986" t="inlineStr">
        <is>
          <t>78-P-ADL</t>
        </is>
      </c>
      <c r="AQ1986" t="n">
        <v>9</v>
      </c>
      <c r="AR1986" t="n">
        <v>64</v>
      </c>
      <c r="AS1986" t="n">
        <v>32</v>
      </c>
      <c r="AU1986">
        <f>COUNTA($BA$1986:$EH$1986)</f>
        <v/>
      </c>
      <c r="AV1986">
        <f>COUNTIF($BA$1986:$EH$1986,"D")</f>
        <v/>
      </c>
      <c r="AW1986">
        <f>COUNTIF($BA$1986:$EH$1986,"R")</f>
        <v/>
      </c>
      <c r="AX1986">
        <f>IF(BN1986="D",1,0)+IF(BO1986="D",1,0)+IF(BT1986="D",1,0)+IF(BU1986="D",1,0)+IF(BW1986="D",1,0)+IF(CC1986="D",1,0)+IF(CD1986="D",1,0)+IF(CE1986="D",1,0)+IF(CF1986="D",1,0)+IF(CL1986="D",1,0)+IF(CM1986="D",1,0)+IF(CQ1986="D",1,0)+IF(CR1986="D",1,0)+IF(CS1986="D",1,0)+IF(CW1986="D",1,0)+IF(CX1986="D",1,0)+IF(DD1986="D",1,0)+IF(DE1986="D",1,0)+IF(DJ1986="D",1,0)+IF(DK1986="D",1,0)+IF(DO1986="D",1,0)+IF(DP1986="D",1,0)+IF(DQ1986="D",1,0)+IF(DW1986="D",1,0)+IF(DZ1986="D",1,0)+IF(EH1986="D",1,0)</f>
        <v/>
      </c>
      <c r="AY1986">
        <f>IF(DJ1986&lt;&gt;"",1,0)+IF(DK1986&lt;&gt;"",1,0)+IF(DM1986&lt;&gt;"",1,0)+IF(DO1986&lt;&gt;"",1,0)+IF(DP1986&lt;&gt;"",1,0)+IF(DQ1986&lt;&gt;"",1,0)+IF(DS1986&lt;&gt;"",1,0)+IF(DT1986&lt;&gt;"",1,0)+IF(DV1986&lt;&gt;"",1,0)+IF(DW1986&lt;&gt;"",1,0)+IF(DX1986&lt;&gt;"",1,0)+IF(DY1986&lt;&gt;"",1,0)+IF(DZ1986&lt;&gt;"",1,0)+IF(EB1986&lt;&gt;"",1,0)+IF(EC1986&lt;&gt;"",1,0)+IF(ED1986&lt;&gt;"",1,0)+IF(EG1986&lt;&gt;"",1,0)+IF(EH1986&lt;&gt;"",1,0)</f>
        <v/>
      </c>
      <c r="AZ1986">
        <f>IF(EH1986&lt;&gt;"",1,0)</f>
        <v/>
      </c>
      <c r="BB1986" t="inlineStr">
        <is>
          <t>WARREN-WARD 4</t>
        </is>
      </c>
    </row>
    <row r="1987">
      <c r="A1987" t="inlineStr">
        <is>
          <t>OH0027017006</t>
        </is>
      </c>
      <c r="B1987" t="n">
        <v>78</v>
      </c>
      <c r="C1987" t="n">
        <v>475766</v>
      </c>
      <c r="D1987" t="inlineStr">
        <is>
          <t>OGLETREE</t>
        </is>
      </c>
      <c r="E1987" t="inlineStr">
        <is>
          <t>MYAH</t>
        </is>
      </c>
      <c r="F1987">
        <f>CONCATENATE(D1987," ",LEFT(H1987,4),"T=",AU1987,"D=",AV1987,"R=",AW1987,"M=",AX1987,"L=",AY1987,"B=",AZ1987)</f>
        <v/>
      </c>
      <c r="G1987" t="inlineStr">
        <is>
          <t>M</t>
        </is>
      </c>
      <c r="I1987" t="inlineStr">
        <is>
          <t>2004-05-20</t>
        </is>
      </c>
      <c r="J1987" t="inlineStr">
        <is>
          <t>2023-08-08</t>
        </is>
      </c>
      <c r="K1987" t="inlineStr">
        <is>
          <t>ACTIVE</t>
        </is>
      </c>
      <c r="M1987" t="inlineStr">
        <is>
          <t>307 CHESTNUT AVE NE</t>
        </is>
      </c>
      <c r="N1987">
        <f>RIGHT(M1987,LEN(M1987)-FIND(" ",M1987))</f>
        <v/>
      </c>
      <c r="P1987" t="inlineStr">
        <is>
          <t>WARREN</t>
        </is>
      </c>
      <c r="Q1987" t="inlineStr">
        <is>
          <t>OH</t>
        </is>
      </c>
      <c r="R1987" t="n">
        <v>44483</v>
      </c>
      <c r="AD1987" t="inlineStr">
        <is>
          <t>TRUMBULL CAREER &amp; TECH CENTER</t>
        </is>
      </c>
      <c r="AE1987" t="inlineStr">
        <is>
          <t>WARREN CITY</t>
        </is>
      </c>
      <c r="AF1987" t="inlineStr">
        <is>
          <t>WARREN CITY SD</t>
        </is>
      </c>
      <c r="AH1987" t="n">
        <v>14</v>
      </c>
      <c r="AI1987" t="n">
        <v>11</v>
      </c>
      <c r="AN1987" t="inlineStr">
        <is>
          <t>WARREN</t>
        </is>
      </c>
      <c r="AO1987" t="inlineStr">
        <is>
          <t>WARREN CITY 4D</t>
        </is>
      </c>
      <c r="AP1987" t="inlineStr">
        <is>
          <t>78-P-ADL</t>
        </is>
      </c>
      <c r="AQ1987" t="n">
        <v>9</v>
      </c>
      <c r="AR1987" t="n">
        <v>64</v>
      </c>
      <c r="AS1987" t="n">
        <v>32</v>
      </c>
      <c r="AU1987">
        <f>COUNTA($BA$1987:$EH$1987)</f>
        <v/>
      </c>
      <c r="AV1987">
        <f>COUNTIF($BA$1987:$EH$1987,"D")</f>
        <v/>
      </c>
      <c r="AW1987">
        <f>COUNTIF($BA$1987:$EH$1987,"R")</f>
        <v/>
      </c>
      <c r="AX1987">
        <f>IF(BN1987="D",1,0)+IF(BO1987="D",1,0)+IF(BT1987="D",1,0)+IF(BU1987="D",1,0)+IF(BW1987="D",1,0)+IF(CC1987="D",1,0)+IF(CD1987="D",1,0)+IF(CE1987="D",1,0)+IF(CF1987="D",1,0)+IF(CL1987="D",1,0)+IF(CM1987="D",1,0)+IF(CQ1987="D",1,0)+IF(CR1987="D",1,0)+IF(CS1987="D",1,0)+IF(CW1987="D",1,0)+IF(CX1987="D",1,0)+IF(DD1987="D",1,0)+IF(DE1987="D",1,0)+IF(DJ1987="D",1,0)+IF(DK1987="D",1,0)+IF(DO1987="D",1,0)+IF(DP1987="D",1,0)+IF(DQ1987="D",1,0)+IF(DW1987="D",1,0)+IF(DZ1987="D",1,0)+IF(EH1987="D",1,0)</f>
        <v/>
      </c>
      <c r="AY1987">
        <f>IF(DJ1987&lt;&gt;"",1,0)+IF(DK1987&lt;&gt;"",1,0)+IF(DM1987&lt;&gt;"",1,0)+IF(DO1987&lt;&gt;"",1,0)+IF(DP1987&lt;&gt;"",1,0)+IF(DQ1987&lt;&gt;"",1,0)+IF(DS1987&lt;&gt;"",1,0)+IF(DT1987&lt;&gt;"",1,0)+IF(DV1987&lt;&gt;"",1,0)+IF(DW1987&lt;&gt;"",1,0)+IF(DX1987&lt;&gt;"",1,0)+IF(DY1987&lt;&gt;"",1,0)+IF(DZ1987&lt;&gt;"",1,0)+IF(EB1987&lt;&gt;"",1,0)+IF(EC1987&lt;&gt;"",1,0)+IF(ED1987&lt;&gt;"",1,0)+IF(EG1987&lt;&gt;"",1,0)+IF(EH1987&lt;&gt;"",1,0)</f>
        <v/>
      </c>
      <c r="AZ1987">
        <f>IF(EH1987&lt;&gt;"",1,0)</f>
        <v/>
      </c>
      <c r="BB1987" t="inlineStr">
        <is>
          <t>WARREN-WARD 4</t>
        </is>
      </c>
      <c r="EF1987" t="inlineStr">
        <is>
          <t>X</t>
        </is>
      </c>
    </row>
    <row r="1988">
      <c r="A1988" t="inlineStr">
        <is>
          <t>OH0015696442</t>
        </is>
      </c>
      <c r="B1988" t="n">
        <v>78</v>
      </c>
      <c r="C1988" t="n">
        <v>151237</v>
      </c>
      <c r="D1988" t="inlineStr">
        <is>
          <t>LABBE</t>
        </is>
      </c>
      <c r="E1988" t="inlineStr">
        <is>
          <t>CHERYL</t>
        </is>
      </c>
      <c r="F1988">
        <f>CONCATENATE(D1988," ",LEFT(H1988,4),"T=",AU1988,"D=",AV1988,"R=",AW1988,"M=",AX1988,"L=",AY1988,"B=",AZ1988)</f>
        <v/>
      </c>
      <c r="G1988" t="inlineStr">
        <is>
          <t>LYNN</t>
        </is>
      </c>
      <c r="I1988" t="inlineStr">
        <is>
          <t>1959-08-05</t>
        </is>
      </c>
      <c r="J1988" t="inlineStr">
        <is>
          <t>2015-11-29</t>
        </is>
      </c>
      <c r="K1988" t="inlineStr">
        <is>
          <t>ACTIVE</t>
        </is>
      </c>
      <c r="M1988" t="inlineStr">
        <is>
          <t>1086 WOODLAND AVE NE</t>
        </is>
      </c>
      <c r="N1988">
        <f>RIGHT(M1988,LEN(M1988)-FIND(" ",M1988))</f>
        <v/>
      </c>
      <c r="P1988" t="inlineStr">
        <is>
          <t>WARREN</t>
        </is>
      </c>
      <c r="Q1988" t="inlineStr">
        <is>
          <t>OH</t>
        </is>
      </c>
      <c r="R1988" t="n">
        <v>44483</v>
      </c>
      <c r="AD1988" t="inlineStr">
        <is>
          <t>TRUMBULL CAREER &amp; TECH CENTER</t>
        </is>
      </c>
      <c r="AE1988" t="inlineStr">
        <is>
          <t>WARREN CITY</t>
        </is>
      </c>
      <c r="AF1988" t="inlineStr">
        <is>
          <t>WARREN CITY SD</t>
        </is>
      </c>
      <c r="AH1988" t="n">
        <v>14</v>
      </c>
      <c r="AI1988" t="n">
        <v>11</v>
      </c>
      <c r="AN1988" t="inlineStr">
        <is>
          <t>WARREN</t>
        </is>
      </c>
      <c r="AO1988" t="inlineStr">
        <is>
          <t>WARREN CITY 4D</t>
        </is>
      </c>
      <c r="AP1988" t="inlineStr">
        <is>
          <t>78-P-ADL</t>
        </is>
      </c>
      <c r="AQ1988" t="n">
        <v>9</v>
      </c>
      <c r="AR1988" t="n">
        <v>64</v>
      </c>
      <c r="AS1988" t="n">
        <v>32</v>
      </c>
      <c r="AU1988">
        <f>COUNTA($BA$1988:$EH$1988)</f>
        <v/>
      </c>
      <c r="AV1988">
        <f>COUNTIF($BA$1988:$EH$1988,"D")</f>
        <v/>
      </c>
      <c r="AW1988">
        <f>COUNTIF($BA$1988:$EH$1988,"R")</f>
        <v/>
      </c>
      <c r="AX1988">
        <f>IF(BN1988="D",1,0)+IF(BO1988="D",1,0)+IF(BT1988="D",1,0)+IF(BU1988="D",1,0)+IF(BW1988="D",1,0)+IF(CC1988="D",1,0)+IF(CD1988="D",1,0)+IF(CE1988="D",1,0)+IF(CF1988="D",1,0)+IF(CL1988="D",1,0)+IF(CM1988="D",1,0)+IF(CQ1988="D",1,0)+IF(CR1988="D",1,0)+IF(CS1988="D",1,0)+IF(CW1988="D",1,0)+IF(CX1988="D",1,0)+IF(DD1988="D",1,0)+IF(DE1988="D",1,0)+IF(DJ1988="D",1,0)+IF(DK1988="D",1,0)+IF(DO1988="D",1,0)+IF(DP1988="D",1,0)+IF(DQ1988="D",1,0)+IF(DW1988="D",1,0)+IF(DZ1988="D",1,0)+IF(EH1988="D",1,0)</f>
        <v/>
      </c>
      <c r="AY1988">
        <f>IF(DJ1988&lt;&gt;"",1,0)+IF(DK1988&lt;&gt;"",1,0)+IF(DM1988&lt;&gt;"",1,0)+IF(DO1988&lt;&gt;"",1,0)+IF(DP1988&lt;&gt;"",1,0)+IF(DQ1988&lt;&gt;"",1,0)+IF(DS1988&lt;&gt;"",1,0)+IF(DT1988&lt;&gt;"",1,0)+IF(DV1988&lt;&gt;"",1,0)+IF(DW1988&lt;&gt;"",1,0)+IF(DX1988&lt;&gt;"",1,0)+IF(DY1988&lt;&gt;"",1,0)+IF(DZ1988&lt;&gt;"",1,0)+IF(EB1988&lt;&gt;"",1,0)+IF(EC1988&lt;&gt;"",1,0)+IF(ED1988&lt;&gt;"",1,0)+IF(EG1988&lt;&gt;"",1,0)+IF(EH1988&lt;&gt;"",1,0)</f>
        <v/>
      </c>
      <c r="AZ1988">
        <f>IF(EH1988&lt;&gt;"",1,0)</f>
        <v/>
      </c>
      <c r="BB1988" t="inlineStr">
        <is>
          <t>WARREN-WARD 4</t>
        </is>
      </c>
      <c r="BC1988" t="inlineStr">
        <is>
          <t>X</t>
        </is>
      </c>
      <c r="BD1988" t="inlineStr">
        <is>
          <t>X</t>
        </is>
      </c>
      <c r="BG1988" t="inlineStr">
        <is>
          <t>X</t>
        </is>
      </c>
      <c r="BH1988" t="inlineStr">
        <is>
          <t>X</t>
        </is>
      </c>
      <c r="BL1988" t="inlineStr">
        <is>
          <t>X</t>
        </is>
      </c>
      <c r="CK1988" t="inlineStr">
        <is>
          <t>X</t>
        </is>
      </c>
      <c r="CL1988" t="inlineStr">
        <is>
          <t>D</t>
        </is>
      </c>
      <c r="CY1988" t="inlineStr">
        <is>
          <t>X</t>
        </is>
      </c>
      <c r="CZ1988" t="inlineStr">
        <is>
          <t>D</t>
        </is>
      </c>
      <c r="DC1988" t="inlineStr">
        <is>
          <t>X</t>
        </is>
      </c>
      <c r="DN1988" t="inlineStr">
        <is>
          <t>X</t>
        </is>
      </c>
      <c r="EF1988" t="inlineStr">
        <is>
          <t>X</t>
        </is>
      </c>
    </row>
    <row r="1989">
      <c r="A1989" t="inlineStr">
        <is>
          <t>OH0015819761</t>
        </is>
      </c>
      <c r="B1989" t="n">
        <v>78</v>
      </c>
      <c r="C1989" t="n">
        <v>276178</v>
      </c>
      <c r="D1989" t="inlineStr">
        <is>
          <t>FUTEY</t>
        </is>
      </c>
      <c r="E1989" t="inlineStr">
        <is>
          <t>NATHAN</t>
        </is>
      </c>
      <c r="F1989">
        <f>CONCATENATE(D1989," ",LEFT(H1989,4),"T=",AU1989,"D=",AV1989,"R=",AW1989,"M=",AX1989,"L=",AY1989,"B=",AZ1989)</f>
        <v/>
      </c>
      <c r="G1989" t="inlineStr">
        <is>
          <t>ADAM</t>
        </is>
      </c>
      <c r="I1989" t="inlineStr">
        <is>
          <t>1979-02-23</t>
        </is>
      </c>
      <c r="J1989" t="inlineStr">
        <is>
          <t>2023-09-29</t>
        </is>
      </c>
      <c r="K1989" t="inlineStr">
        <is>
          <t>ACTIVE</t>
        </is>
      </c>
      <c r="M1989" t="inlineStr">
        <is>
          <t>182 HIGH ST NE</t>
        </is>
      </c>
      <c r="N1989">
        <f>RIGHT(M1989,LEN(M1989)-FIND(" ",M1989))</f>
        <v/>
      </c>
      <c r="O1989" t="inlineStr">
        <is>
          <t>APT 505</t>
        </is>
      </c>
      <c r="P1989" t="inlineStr">
        <is>
          <t>WARREN</t>
        </is>
      </c>
      <c r="Q1989" t="inlineStr">
        <is>
          <t>OH</t>
        </is>
      </c>
      <c r="R1989" t="n">
        <v>44481</v>
      </c>
      <c r="AD1989" t="inlineStr">
        <is>
          <t>TRUMBULL CAREER &amp; TECH CENTER</t>
        </is>
      </c>
      <c r="AE1989" t="inlineStr">
        <is>
          <t>WARREN CITY</t>
        </is>
      </c>
      <c r="AF1989" t="inlineStr">
        <is>
          <t>WARREN CITY SD</t>
        </is>
      </c>
      <c r="AH1989" t="n">
        <v>14</v>
      </c>
      <c r="AI1989" t="n">
        <v>11</v>
      </c>
      <c r="AN1989" t="inlineStr">
        <is>
          <t>WARREN</t>
        </is>
      </c>
      <c r="AO1989" t="inlineStr">
        <is>
          <t>WARREN CITY 4D</t>
        </is>
      </c>
      <c r="AP1989" t="inlineStr">
        <is>
          <t>78-P-ADL</t>
        </is>
      </c>
      <c r="AQ1989" t="n">
        <v>9</v>
      </c>
      <c r="AR1989" t="n">
        <v>64</v>
      </c>
      <c r="AS1989" t="n">
        <v>32</v>
      </c>
      <c r="AU1989">
        <f>COUNTA($BA$1989:$EH$1989)</f>
        <v/>
      </c>
      <c r="AV1989">
        <f>COUNTIF($BA$1989:$EH$1989,"D")</f>
        <v/>
      </c>
      <c r="AW1989">
        <f>COUNTIF($BA$1989:$EH$1989,"R")</f>
        <v/>
      </c>
      <c r="AX1989">
        <f>IF(BN1989="D",1,0)+IF(BO1989="D",1,0)+IF(BT1989="D",1,0)+IF(BU1989="D",1,0)+IF(BW1989="D",1,0)+IF(CC1989="D",1,0)+IF(CD1989="D",1,0)+IF(CE1989="D",1,0)+IF(CF1989="D",1,0)+IF(CL1989="D",1,0)+IF(CM1989="D",1,0)+IF(CQ1989="D",1,0)+IF(CR1989="D",1,0)+IF(CS1989="D",1,0)+IF(CW1989="D",1,0)+IF(CX1989="D",1,0)+IF(DD1989="D",1,0)+IF(DE1989="D",1,0)+IF(DJ1989="D",1,0)+IF(DK1989="D",1,0)+IF(DO1989="D",1,0)+IF(DP1989="D",1,0)+IF(DQ1989="D",1,0)+IF(DW1989="D",1,0)+IF(DZ1989="D",1,0)+IF(EH1989="D",1,0)</f>
        <v/>
      </c>
      <c r="AY1989">
        <f>IF(DJ1989&lt;&gt;"",1,0)+IF(DK1989&lt;&gt;"",1,0)+IF(DM1989&lt;&gt;"",1,0)+IF(DO1989&lt;&gt;"",1,0)+IF(DP1989&lt;&gt;"",1,0)+IF(DQ1989&lt;&gt;"",1,0)+IF(DS1989&lt;&gt;"",1,0)+IF(DT1989&lt;&gt;"",1,0)+IF(DV1989&lt;&gt;"",1,0)+IF(DW1989&lt;&gt;"",1,0)+IF(DX1989&lt;&gt;"",1,0)+IF(DY1989&lt;&gt;"",1,0)+IF(DZ1989&lt;&gt;"",1,0)+IF(EB1989&lt;&gt;"",1,0)+IF(EC1989&lt;&gt;"",1,0)+IF(ED1989&lt;&gt;"",1,0)+IF(EG1989&lt;&gt;"",1,0)+IF(EH1989&lt;&gt;"",1,0)</f>
        <v/>
      </c>
      <c r="AZ1989">
        <f>IF(EH1989&lt;&gt;"",1,0)</f>
        <v/>
      </c>
      <c r="BB1989" t="inlineStr">
        <is>
          <t>WARREN-WARD 4</t>
        </is>
      </c>
      <c r="BD1989" t="inlineStr">
        <is>
          <t>X</t>
        </is>
      </c>
      <c r="BL1989" t="inlineStr">
        <is>
          <t>X</t>
        </is>
      </c>
      <c r="BP1989" t="inlineStr">
        <is>
          <t>X</t>
        </is>
      </c>
      <c r="BR1989" t="inlineStr">
        <is>
          <t>X</t>
        </is>
      </c>
      <c r="BS1989" t="inlineStr">
        <is>
          <t>X</t>
        </is>
      </c>
      <c r="BY1989" t="inlineStr">
        <is>
          <t>D</t>
        </is>
      </c>
      <c r="CA1989" t="inlineStr">
        <is>
          <t>X</t>
        </is>
      </c>
      <c r="CG1989" t="inlineStr">
        <is>
          <t>X</t>
        </is>
      </c>
      <c r="CP1989" t="inlineStr">
        <is>
          <t>X</t>
        </is>
      </c>
      <c r="DC1989" t="inlineStr">
        <is>
          <t>X</t>
        </is>
      </c>
      <c r="DN1989" t="inlineStr">
        <is>
          <t>X</t>
        </is>
      </c>
    </row>
    <row r="1990">
      <c r="A1990" t="inlineStr">
        <is>
          <t>OH0027040230</t>
        </is>
      </c>
      <c r="B1990" t="n">
        <v>78</v>
      </c>
      <c r="C1990" t="n">
        <v>476071</v>
      </c>
      <c r="D1990" t="inlineStr">
        <is>
          <t>WHITE</t>
        </is>
      </c>
      <c r="E1990" t="inlineStr">
        <is>
          <t>MELVIN</t>
        </is>
      </c>
      <c r="F1990">
        <f>CONCATENATE(D1990," ",LEFT(H1990,4),"T=",AU1990,"D=",AV1990,"R=",AW1990,"M=",AX1990,"L=",AY1990,"B=",AZ1990)</f>
        <v/>
      </c>
      <c r="G1990" t="inlineStr">
        <is>
          <t>VINCENT</t>
        </is>
      </c>
      <c r="I1990" t="inlineStr">
        <is>
          <t>1962-01-21</t>
        </is>
      </c>
      <c r="J1990" t="inlineStr">
        <is>
          <t>2023-08-30</t>
        </is>
      </c>
      <c r="K1990" t="inlineStr">
        <is>
          <t>ACTIVE</t>
        </is>
      </c>
      <c r="M1990" t="inlineStr">
        <is>
          <t>280 N PARK AVE</t>
        </is>
      </c>
      <c r="N1990">
        <f>RIGHT(M1990,LEN(M1990)-FIND(" ",M1990))</f>
        <v/>
      </c>
      <c r="P1990" t="inlineStr">
        <is>
          <t>WARREN</t>
        </is>
      </c>
      <c r="Q1990" t="inlineStr">
        <is>
          <t>OH</t>
        </is>
      </c>
      <c r="R1990" t="n">
        <v>44481</v>
      </c>
      <c r="AD1990" t="inlineStr">
        <is>
          <t>TRUMBULL CAREER &amp; TECH CENTER</t>
        </is>
      </c>
      <c r="AE1990" t="inlineStr">
        <is>
          <t>WARREN CITY</t>
        </is>
      </c>
      <c r="AF1990" t="inlineStr">
        <is>
          <t>WARREN CITY SD</t>
        </is>
      </c>
      <c r="AH1990" t="n">
        <v>14</v>
      </c>
      <c r="AI1990" t="n">
        <v>11</v>
      </c>
      <c r="AN1990" t="inlineStr">
        <is>
          <t>WARREN</t>
        </is>
      </c>
      <c r="AO1990" t="inlineStr">
        <is>
          <t>WARREN CITY 4D</t>
        </is>
      </c>
      <c r="AP1990" t="inlineStr">
        <is>
          <t>78-P-ADL</t>
        </is>
      </c>
      <c r="AQ1990" t="n">
        <v>9</v>
      </c>
      <c r="AR1990" t="n">
        <v>64</v>
      </c>
      <c r="AS1990" t="n">
        <v>32</v>
      </c>
      <c r="AU1990">
        <f>COUNTA($BA$1990:$EH$1990)</f>
        <v/>
      </c>
      <c r="AV1990">
        <f>COUNTIF($BA$1990:$EH$1990,"D")</f>
        <v/>
      </c>
      <c r="AW1990">
        <f>COUNTIF($BA$1990:$EH$1990,"R")</f>
        <v/>
      </c>
      <c r="AX1990">
        <f>IF(BN1990="D",1,0)+IF(BO1990="D",1,0)+IF(BT1990="D",1,0)+IF(BU1990="D",1,0)+IF(BW1990="D",1,0)+IF(CC1990="D",1,0)+IF(CD1990="D",1,0)+IF(CE1990="D",1,0)+IF(CF1990="D",1,0)+IF(CL1990="D",1,0)+IF(CM1990="D",1,0)+IF(CQ1990="D",1,0)+IF(CR1990="D",1,0)+IF(CS1990="D",1,0)+IF(CW1990="D",1,0)+IF(CX1990="D",1,0)+IF(DD1990="D",1,0)+IF(DE1990="D",1,0)+IF(DJ1990="D",1,0)+IF(DK1990="D",1,0)+IF(DO1990="D",1,0)+IF(DP1990="D",1,0)+IF(DQ1990="D",1,0)+IF(DW1990="D",1,0)+IF(DZ1990="D",1,0)+IF(EH1990="D",1,0)</f>
        <v/>
      </c>
      <c r="AY1990">
        <f>IF(DJ1990&lt;&gt;"",1,0)+IF(DK1990&lt;&gt;"",1,0)+IF(DM1990&lt;&gt;"",1,0)+IF(DO1990&lt;&gt;"",1,0)+IF(DP1990&lt;&gt;"",1,0)+IF(DQ1990&lt;&gt;"",1,0)+IF(DS1990&lt;&gt;"",1,0)+IF(DT1990&lt;&gt;"",1,0)+IF(DV1990&lt;&gt;"",1,0)+IF(DW1990&lt;&gt;"",1,0)+IF(DX1990&lt;&gt;"",1,0)+IF(DY1990&lt;&gt;"",1,0)+IF(DZ1990&lt;&gt;"",1,0)+IF(EB1990&lt;&gt;"",1,0)+IF(EC1990&lt;&gt;"",1,0)+IF(ED1990&lt;&gt;"",1,0)+IF(EG1990&lt;&gt;"",1,0)+IF(EH1990&lt;&gt;"",1,0)</f>
        <v/>
      </c>
      <c r="AZ1990">
        <f>IF(EH1990&lt;&gt;"",1,0)</f>
        <v/>
      </c>
      <c r="BB1990" t="inlineStr">
        <is>
          <t>WARREN-WARD 4</t>
        </is>
      </c>
      <c r="BL1990" t="inlineStr">
        <is>
          <t>X</t>
        </is>
      </c>
    </row>
    <row r="1991">
      <c r="A1991" t="inlineStr">
        <is>
          <t>OH0019242278</t>
        </is>
      </c>
      <c r="B1991" t="n">
        <v>78</v>
      </c>
      <c r="C1991" t="n">
        <v>351626</v>
      </c>
      <c r="D1991" t="inlineStr">
        <is>
          <t>TREMSYN</t>
        </is>
      </c>
      <c r="E1991" t="inlineStr">
        <is>
          <t>JOHN</t>
        </is>
      </c>
      <c r="F1991">
        <f>CONCATENATE(D1991," ",LEFT(H1991,4),"T=",AU1991,"D=",AV1991,"R=",AW1991,"M=",AX1991,"L=",AY1991,"B=",AZ1991)</f>
        <v/>
      </c>
      <c r="G1991" t="inlineStr">
        <is>
          <t>P</t>
        </is>
      </c>
      <c r="I1991" t="inlineStr">
        <is>
          <t>1951-08-30</t>
        </is>
      </c>
      <c r="J1991" t="inlineStr">
        <is>
          <t>2009-08-19</t>
        </is>
      </c>
      <c r="K1991" t="inlineStr">
        <is>
          <t>ACTIVE</t>
        </is>
      </c>
      <c r="L1991" t="inlineStr">
        <is>
          <t>R</t>
        </is>
      </c>
      <c r="M1991" t="inlineStr">
        <is>
          <t>366 MAHONING AVE NW</t>
        </is>
      </c>
      <c r="N1991">
        <f>RIGHT(M1991,LEN(M1991)-FIND(" ",M1991))</f>
        <v/>
      </c>
      <c r="P1991" t="inlineStr">
        <is>
          <t>WARREN</t>
        </is>
      </c>
      <c r="Q1991" t="inlineStr">
        <is>
          <t>OH</t>
        </is>
      </c>
      <c r="R1991" t="n">
        <v>44483</v>
      </c>
      <c r="AD1991" t="inlineStr">
        <is>
          <t>TRUMBULL CAREER &amp; TECH CENTER</t>
        </is>
      </c>
      <c r="AE1991" t="inlineStr">
        <is>
          <t>WARREN CITY</t>
        </is>
      </c>
      <c r="AF1991" t="inlineStr">
        <is>
          <t>WARREN CITY SD</t>
        </is>
      </c>
      <c r="AH1991" t="n">
        <v>14</v>
      </c>
      <c r="AI1991" t="n">
        <v>11</v>
      </c>
      <c r="AN1991" t="inlineStr">
        <is>
          <t>WARREN</t>
        </is>
      </c>
      <c r="AO1991" t="inlineStr">
        <is>
          <t>WARREN CITY 4D</t>
        </is>
      </c>
      <c r="AP1991" t="inlineStr">
        <is>
          <t>78-P-ADL</t>
        </is>
      </c>
      <c r="AQ1991" t="n">
        <v>9</v>
      </c>
      <c r="AR1991" t="n">
        <v>64</v>
      </c>
      <c r="AS1991" t="n">
        <v>32</v>
      </c>
      <c r="AU1991">
        <f>COUNTA($BA$1991:$EH$1991)</f>
        <v/>
      </c>
      <c r="AV1991">
        <f>COUNTIF($BA$1991:$EH$1991,"D")</f>
        <v/>
      </c>
      <c r="AW1991">
        <f>COUNTIF($BA$1991:$EH$1991,"R")</f>
        <v/>
      </c>
      <c r="AX1991">
        <f>IF(BN1991="D",1,0)+IF(BO1991="D",1,0)+IF(BT1991="D",1,0)+IF(BU1991="D",1,0)+IF(BW1991="D",1,0)+IF(CC1991="D",1,0)+IF(CD1991="D",1,0)+IF(CE1991="D",1,0)+IF(CF1991="D",1,0)+IF(CL1991="D",1,0)+IF(CM1991="D",1,0)+IF(CQ1991="D",1,0)+IF(CR1991="D",1,0)+IF(CS1991="D",1,0)+IF(CW1991="D",1,0)+IF(CX1991="D",1,0)+IF(DD1991="D",1,0)+IF(DE1991="D",1,0)+IF(DJ1991="D",1,0)+IF(DK1991="D",1,0)+IF(DO1991="D",1,0)+IF(DP1991="D",1,0)+IF(DQ1991="D",1,0)+IF(DW1991="D",1,0)+IF(DZ1991="D",1,0)+IF(EH1991="D",1,0)</f>
        <v/>
      </c>
      <c r="AY1991">
        <f>IF(DJ1991&lt;&gt;"",1,0)+IF(DK1991&lt;&gt;"",1,0)+IF(DM1991&lt;&gt;"",1,0)+IF(DO1991&lt;&gt;"",1,0)+IF(DP1991&lt;&gt;"",1,0)+IF(DQ1991&lt;&gt;"",1,0)+IF(DS1991&lt;&gt;"",1,0)+IF(DT1991&lt;&gt;"",1,0)+IF(DV1991&lt;&gt;"",1,0)+IF(DW1991&lt;&gt;"",1,0)+IF(DX1991&lt;&gt;"",1,0)+IF(DY1991&lt;&gt;"",1,0)+IF(DZ1991&lt;&gt;"",1,0)+IF(EB1991&lt;&gt;"",1,0)+IF(EC1991&lt;&gt;"",1,0)+IF(ED1991&lt;&gt;"",1,0)+IF(EG1991&lt;&gt;"",1,0)+IF(EH1991&lt;&gt;"",1,0)</f>
        <v/>
      </c>
      <c r="AZ1991">
        <f>IF(EH1991&lt;&gt;"",1,0)</f>
        <v/>
      </c>
      <c r="BB1991" t="inlineStr">
        <is>
          <t>WARREN-WARD 4</t>
        </is>
      </c>
      <c r="BF1991" t="inlineStr">
        <is>
          <t>X</t>
        </is>
      </c>
      <c r="BH1991" t="inlineStr">
        <is>
          <t>X</t>
        </is>
      </c>
      <c r="BL1991" t="inlineStr">
        <is>
          <t>X</t>
        </is>
      </c>
      <c r="BR1991" t="inlineStr">
        <is>
          <t>R</t>
        </is>
      </c>
      <c r="BS1991" t="inlineStr">
        <is>
          <t>X</t>
        </is>
      </c>
      <c r="BY1991" t="inlineStr">
        <is>
          <t>D</t>
        </is>
      </c>
      <c r="CA1991" t="inlineStr">
        <is>
          <t>X</t>
        </is>
      </c>
      <c r="CG1991" t="inlineStr">
        <is>
          <t>X</t>
        </is>
      </c>
      <c r="CH1991" t="inlineStr">
        <is>
          <t>R</t>
        </is>
      </c>
      <c r="CK1991" t="inlineStr">
        <is>
          <t>X</t>
        </is>
      </c>
      <c r="CN1991" t="inlineStr">
        <is>
          <t>X</t>
        </is>
      </c>
      <c r="CO1991" t="inlineStr">
        <is>
          <t>R</t>
        </is>
      </c>
      <c r="CP1991" t="inlineStr">
        <is>
          <t>X</t>
        </is>
      </c>
      <c r="CU1991" t="inlineStr">
        <is>
          <t>D</t>
        </is>
      </c>
      <c r="CV1991" t="inlineStr">
        <is>
          <t>X</t>
        </is>
      </c>
      <c r="CY1991" t="inlineStr">
        <is>
          <t>X</t>
        </is>
      </c>
      <c r="CZ1991" t="inlineStr">
        <is>
          <t>R</t>
        </is>
      </c>
      <c r="DC1991" t="inlineStr">
        <is>
          <t>X</t>
        </is>
      </c>
      <c r="DF1991" t="inlineStr">
        <is>
          <t>X</t>
        </is>
      </c>
      <c r="DG1991" t="inlineStr">
        <is>
          <t>R</t>
        </is>
      </c>
      <c r="DI1991" t="inlineStr">
        <is>
          <t>X</t>
        </is>
      </c>
      <c r="DL1991" t="inlineStr">
        <is>
          <t>X</t>
        </is>
      </c>
      <c r="DN1991" t="inlineStr">
        <is>
          <t>X</t>
        </is>
      </c>
      <c r="DS1991" t="inlineStr">
        <is>
          <t>R</t>
        </is>
      </c>
      <c r="DT1991" t="inlineStr">
        <is>
          <t>R</t>
        </is>
      </c>
      <c r="DU1991" t="inlineStr">
        <is>
          <t>X</t>
        </is>
      </c>
      <c r="DX1991" t="inlineStr">
        <is>
          <t>X</t>
        </is>
      </c>
      <c r="EA1991" t="inlineStr">
        <is>
          <t>X</t>
        </is>
      </c>
      <c r="ED1991" t="inlineStr">
        <is>
          <t>R</t>
        </is>
      </c>
      <c r="EF1991" t="inlineStr">
        <is>
          <t>X</t>
        </is>
      </c>
    </row>
    <row r="1992">
      <c r="A1992" t="inlineStr">
        <is>
          <t>OH0023049921</t>
        </is>
      </c>
      <c r="B1992" t="n">
        <v>78</v>
      </c>
      <c r="C1992" t="n">
        <v>405945</v>
      </c>
      <c r="D1992" t="inlineStr">
        <is>
          <t>CHINE</t>
        </is>
      </c>
      <c r="E1992" t="inlineStr">
        <is>
          <t>AARON</t>
        </is>
      </c>
      <c r="F1992">
        <f>CONCATENATE(D1992," ",LEFT(H1992,4),"T=",AU1992,"D=",AV1992,"R=",AW1992,"M=",AX1992,"L=",AY1992,"B=",AZ1992)</f>
        <v/>
      </c>
      <c r="G1992" t="inlineStr">
        <is>
          <t>M</t>
        </is>
      </c>
      <c r="I1992" t="inlineStr">
        <is>
          <t>1980-04-18</t>
        </is>
      </c>
      <c r="J1992" t="inlineStr">
        <is>
          <t>2015-11-29</t>
        </is>
      </c>
      <c r="K1992" t="inlineStr">
        <is>
          <t>ACTIVE</t>
        </is>
      </c>
      <c r="M1992" t="inlineStr">
        <is>
          <t>167 W MARKET ST</t>
        </is>
      </c>
      <c r="N1992">
        <f>RIGHT(M1992,LEN(M1992)-FIND(" ",M1992))</f>
        <v/>
      </c>
      <c r="P1992" t="inlineStr">
        <is>
          <t>WARREN</t>
        </is>
      </c>
      <c r="Q1992" t="inlineStr">
        <is>
          <t>OH</t>
        </is>
      </c>
      <c r="R1992" t="n">
        <v>44481</v>
      </c>
      <c r="AD1992" t="inlineStr">
        <is>
          <t>TRUMBULL CAREER &amp; TECH CENTER</t>
        </is>
      </c>
      <c r="AE1992" t="inlineStr">
        <is>
          <t>WARREN CITY</t>
        </is>
      </c>
      <c r="AF1992" t="inlineStr">
        <is>
          <t>WARREN CITY SD</t>
        </is>
      </c>
      <c r="AH1992" t="n">
        <v>14</v>
      </c>
      <c r="AI1992" t="n">
        <v>11</v>
      </c>
      <c r="AN1992" t="inlineStr">
        <is>
          <t>WARREN</t>
        </is>
      </c>
      <c r="AO1992" t="inlineStr">
        <is>
          <t>WARREN CITY 4D</t>
        </is>
      </c>
      <c r="AP1992" t="inlineStr">
        <is>
          <t>78-P-ADL</t>
        </is>
      </c>
      <c r="AQ1992" t="n">
        <v>9</v>
      </c>
      <c r="AR1992" t="n">
        <v>64</v>
      </c>
      <c r="AS1992" t="n">
        <v>32</v>
      </c>
      <c r="AU1992">
        <f>COUNTA($BA$1992:$EH$1992)</f>
        <v/>
      </c>
      <c r="AV1992">
        <f>COUNTIF($BA$1992:$EH$1992,"D")</f>
        <v/>
      </c>
      <c r="AW1992">
        <f>COUNTIF($BA$1992:$EH$1992,"R")</f>
        <v/>
      </c>
      <c r="AX1992">
        <f>IF(BN1992="D",1,0)+IF(BO1992="D",1,0)+IF(BT1992="D",1,0)+IF(BU1992="D",1,0)+IF(BW1992="D",1,0)+IF(CC1992="D",1,0)+IF(CD1992="D",1,0)+IF(CE1992="D",1,0)+IF(CF1992="D",1,0)+IF(CL1992="D",1,0)+IF(CM1992="D",1,0)+IF(CQ1992="D",1,0)+IF(CR1992="D",1,0)+IF(CS1992="D",1,0)+IF(CW1992="D",1,0)+IF(CX1992="D",1,0)+IF(DD1992="D",1,0)+IF(DE1992="D",1,0)+IF(DJ1992="D",1,0)+IF(DK1992="D",1,0)+IF(DO1992="D",1,0)+IF(DP1992="D",1,0)+IF(DQ1992="D",1,0)+IF(DW1992="D",1,0)+IF(DZ1992="D",1,0)+IF(EH1992="D",1,0)</f>
        <v/>
      </c>
      <c r="AY1992">
        <f>IF(DJ1992&lt;&gt;"",1,0)+IF(DK1992&lt;&gt;"",1,0)+IF(DM1992&lt;&gt;"",1,0)+IF(DO1992&lt;&gt;"",1,0)+IF(DP1992&lt;&gt;"",1,0)+IF(DQ1992&lt;&gt;"",1,0)+IF(DS1992&lt;&gt;"",1,0)+IF(DT1992&lt;&gt;"",1,0)+IF(DV1992&lt;&gt;"",1,0)+IF(DW1992&lt;&gt;"",1,0)+IF(DX1992&lt;&gt;"",1,0)+IF(DY1992&lt;&gt;"",1,0)+IF(DZ1992&lt;&gt;"",1,0)+IF(EB1992&lt;&gt;"",1,0)+IF(EC1992&lt;&gt;"",1,0)+IF(ED1992&lt;&gt;"",1,0)+IF(EG1992&lt;&gt;"",1,0)+IF(EH1992&lt;&gt;"",1,0)</f>
        <v/>
      </c>
      <c r="AZ1992">
        <f>IF(EH1992&lt;&gt;"",1,0)</f>
        <v/>
      </c>
      <c r="BB1992" t="inlineStr">
        <is>
          <t>WARREN-WARD 4</t>
        </is>
      </c>
      <c r="BL1992" t="inlineStr">
        <is>
          <t>X</t>
        </is>
      </c>
      <c r="BV1992" t="inlineStr">
        <is>
          <t>X</t>
        </is>
      </c>
      <c r="CA1992" t="inlineStr">
        <is>
          <t>X</t>
        </is>
      </c>
      <c r="CK1992" t="inlineStr">
        <is>
          <t>X</t>
        </is>
      </c>
      <c r="CP1992" t="inlineStr">
        <is>
          <t>X</t>
        </is>
      </c>
      <c r="CT1992" t="inlineStr">
        <is>
          <t>X</t>
        </is>
      </c>
      <c r="CY1992" t="inlineStr">
        <is>
          <t>X</t>
        </is>
      </c>
      <c r="EF1992" t="inlineStr">
        <is>
          <t>X</t>
        </is>
      </c>
    </row>
    <row r="1993">
      <c r="A1993" t="inlineStr">
        <is>
          <t>OH0026366258</t>
        </is>
      </c>
      <c r="B1993" t="n">
        <v>78</v>
      </c>
      <c r="C1993" t="n">
        <v>460967</v>
      </c>
      <c r="D1993" t="inlineStr">
        <is>
          <t>HALL</t>
        </is>
      </c>
      <c r="E1993" t="inlineStr">
        <is>
          <t>ALONZO</t>
        </is>
      </c>
      <c r="F1993">
        <f>CONCATENATE(D1993," ",LEFT(H1993,4),"T=",AU1993,"D=",AV1993,"R=",AW1993,"M=",AX1993,"L=",AY1993,"B=",AZ1993)</f>
        <v/>
      </c>
      <c r="G1993" t="inlineStr">
        <is>
          <t>BILL</t>
        </is>
      </c>
      <c r="I1993" t="inlineStr">
        <is>
          <t>2002-06-04</t>
        </is>
      </c>
      <c r="J1993" t="inlineStr">
        <is>
          <t>2021-11-27</t>
        </is>
      </c>
      <c r="K1993" t="inlineStr">
        <is>
          <t>CONFIRMATION</t>
        </is>
      </c>
      <c r="M1993" t="inlineStr">
        <is>
          <t>357 SCOTT ST NE</t>
        </is>
      </c>
      <c r="N1993">
        <f>RIGHT(M1993,LEN(M1993)-FIND(" ",M1993))</f>
        <v/>
      </c>
      <c r="P1993" t="inlineStr">
        <is>
          <t>WARREN</t>
        </is>
      </c>
      <c r="Q1993" t="inlineStr">
        <is>
          <t>OH</t>
        </is>
      </c>
      <c r="R1993" t="n">
        <v>44483</v>
      </c>
      <c r="AD1993" t="inlineStr">
        <is>
          <t>TRUMBULL CAREER &amp; TECH CENTER</t>
        </is>
      </c>
      <c r="AE1993" t="inlineStr">
        <is>
          <t>WARREN CITY</t>
        </is>
      </c>
      <c r="AF1993" t="inlineStr">
        <is>
          <t>WARREN CITY SD</t>
        </is>
      </c>
      <c r="AH1993" t="n">
        <v>14</v>
      </c>
      <c r="AI1993" t="n">
        <v>11</v>
      </c>
      <c r="AN1993" t="inlineStr">
        <is>
          <t>WARREN</t>
        </is>
      </c>
      <c r="AO1993" t="inlineStr">
        <is>
          <t>WARREN CITY 4D</t>
        </is>
      </c>
      <c r="AP1993" t="inlineStr">
        <is>
          <t>78-P-ADL</t>
        </is>
      </c>
      <c r="AQ1993" t="n">
        <v>9</v>
      </c>
      <c r="AR1993" t="n">
        <v>64</v>
      </c>
      <c r="AS1993" t="n">
        <v>32</v>
      </c>
      <c r="AU1993">
        <f>COUNTA($BA$1993:$EH$1993)</f>
        <v/>
      </c>
      <c r="AV1993">
        <f>COUNTIF($BA$1993:$EH$1993,"D")</f>
        <v/>
      </c>
      <c r="AW1993">
        <f>COUNTIF($BA$1993:$EH$1993,"R")</f>
        <v/>
      </c>
      <c r="AX1993">
        <f>IF(BN1993="D",1,0)+IF(BO1993="D",1,0)+IF(BT1993="D",1,0)+IF(BU1993="D",1,0)+IF(BW1993="D",1,0)+IF(CC1993="D",1,0)+IF(CD1993="D",1,0)+IF(CE1993="D",1,0)+IF(CF1993="D",1,0)+IF(CL1993="D",1,0)+IF(CM1993="D",1,0)+IF(CQ1993="D",1,0)+IF(CR1993="D",1,0)+IF(CS1993="D",1,0)+IF(CW1993="D",1,0)+IF(CX1993="D",1,0)+IF(DD1993="D",1,0)+IF(DE1993="D",1,0)+IF(DJ1993="D",1,0)+IF(DK1993="D",1,0)+IF(DO1993="D",1,0)+IF(DP1993="D",1,0)+IF(DQ1993="D",1,0)+IF(DW1993="D",1,0)+IF(DZ1993="D",1,0)+IF(EH1993="D",1,0)</f>
        <v/>
      </c>
      <c r="AY1993">
        <f>IF(DJ1993&lt;&gt;"",1,0)+IF(DK1993&lt;&gt;"",1,0)+IF(DM1993&lt;&gt;"",1,0)+IF(DO1993&lt;&gt;"",1,0)+IF(DP1993&lt;&gt;"",1,0)+IF(DQ1993&lt;&gt;"",1,0)+IF(DS1993&lt;&gt;"",1,0)+IF(DT1993&lt;&gt;"",1,0)+IF(DV1993&lt;&gt;"",1,0)+IF(DW1993&lt;&gt;"",1,0)+IF(DX1993&lt;&gt;"",1,0)+IF(DY1993&lt;&gt;"",1,0)+IF(DZ1993&lt;&gt;"",1,0)+IF(EB1993&lt;&gt;"",1,0)+IF(EC1993&lt;&gt;"",1,0)+IF(ED1993&lt;&gt;"",1,0)+IF(EG1993&lt;&gt;"",1,0)+IF(EH1993&lt;&gt;"",1,0)</f>
        <v/>
      </c>
      <c r="AZ1993">
        <f>IF(EH1993&lt;&gt;"",1,0)</f>
        <v/>
      </c>
      <c r="BB1993" t="inlineStr">
        <is>
          <t>WARREN-WARD 4</t>
        </is>
      </c>
    </row>
    <row r="1994">
      <c r="A1994" t="inlineStr">
        <is>
          <t>OH0015675187</t>
        </is>
      </c>
      <c r="B1994" t="n">
        <v>78</v>
      </c>
      <c r="C1994" t="n">
        <v>1006</v>
      </c>
      <c r="D1994" t="inlineStr">
        <is>
          <t>FREDERICK</t>
        </is>
      </c>
      <c r="E1994" t="inlineStr">
        <is>
          <t>SUZANNE</t>
        </is>
      </c>
      <c r="F1994">
        <f>CONCATENATE(D1994," ",LEFT(H1994,4),"T=",AU1994,"D=",AV1994,"R=",AW1994,"M=",AX1994,"L=",AY1994,"B=",AZ1994)</f>
        <v/>
      </c>
      <c r="G1994" t="inlineStr">
        <is>
          <t>L</t>
        </is>
      </c>
      <c r="I1994" t="inlineStr">
        <is>
          <t>1951-01-27</t>
        </is>
      </c>
      <c r="J1994" t="inlineStr">
        <is>
          <t>2013-08-09</t>
        </is>
      </c>
      <c r="K1994" t="inlineStr">
        <is>
          <t>ACTIVE</t>
        </is>
      </c>
      <c r="L1994" t="inlineStr">
        <is>
          <t>D</t>
        </is>
      </c>
      <c r="M1994" t="inlineStr">
        <is>
          <t>352 MAHONING AVE NW</t>
        </is>
      </c>
      <c r="N1994">
        <f>RIGHT(M1994,LEN(M1994)-FIND(" ",M1994))</f>
        <v/>
      </c>
      <c r="P1994" t="inlineStr">
        <is>
          <t>WARREN</t>
        </is>
      </c>
      <c r="Q1994" t="inlineStr">
        <is>
          <t>OH</t>
        </is>
      </c>
      <c r="R1994" t="n">
        <v>44483</v>
      </c>
      <c r="AD1994" t="inlineStr">
        <is>
          <t>TRUMBULL CAREER &amp; TECH CENTER</t>
        </is>
      </c>
      <c r="AE1994" t="inlineStr">
        <is>
          <t>WARREN CITY</t>
        </is>
      </c>
      <c r="AF1994" t="inlineStr">
        <is>
          <t>WARREN CITY SD</t>
        </is>
      </c>
      <c r="AH1994" t="n">
        <v>14</v>
      </c>
      <c r="AI1994" t="n">
        <v>11</v>
      </c>
      <c r="AN1994" t="inlineStr">
        <is>
          <t>WARREN</t>
        </is>
      </c>
      <c r="AO1994" t="inlineStr">
        <is>
          <t>WARREN CITY 4D</t>
        </is>
      </c>
      <c r="AP1994" t="inlineStr">
        <is>
          <t>78-P-ADL</t>
        </is>
      </c>
      <c r="AQ1994" t="n">
        <v>9</v>
      </c>
      <c r="AR1994" t="n">
        <v>64</v>
      </c>
      <c r="AS1994" t="n">
        <v>32</v>
      </c>
      <c r="AU1994">
        <f>COUNTA($BA$1994:$EH$1994)</f>
        <v/>
      </c>
      <c r="AV1994">
        <f>COUNTIF($BA$1994:$EH$1994,"D")</f>
        <v/>
      </c>
      <c r="AW1994">
        <f>COUNTIF($BA$1994:$EH$1994,"R")</f>
        <v/>
      </c>
      <c r="AX1994">
        <f>IF(BN1994="D",1,0)+IF(BO1994="D",1,0)+IF(BT1994="D",1,0)+IF(BU1994="D",1,0)+IF(BW1994="D",1,0)+IF(CC1994="D",1,0)+IF(CD1994="D",1,0)+IF(CE1994="D",1,0)+IF(CF1994="D",1,0)+IF(CL1994="D",1,0)+IF(CM1994="D",1,0)+IF(CQ1994="D",1,0)+IF(CR1994="D",1,0)+IF(CS1994="D",1,0)+IF(CW1994="D",1,0)+IF(CX1994="D",1,0)+IF(DD1994="D",1,0)+IF(DE1994="D",1,0)+IF(DJ1994="D",1,0)+IF(DK1994="D",1,0)+IF(DO1994="D",1,0)+IF(DP1994="D",1,0)+IF(DQ1994="D",1,0)+IF(DW1994="D",1,0)+IF(DZ1994="D",1,0)+IF(EH1994="D",1,0)</f>
        <v/>
      </c>
      <c r="AY1994">
        <f>IF(DJ1994&lt;&gt;"",1,0)+IF(DK1994&lt;&gt;"",1,0)+IF(DM1994&lt;&gt;"",1,0)+IF(DO1994&lt;&gt;"",1,0)+IF(DP1994&lt;&gt;"",1,0)+IF(DQ1994&lt;&gt;"",1,0)+IF(DS1994&lt;&gt;"",1,0)+IF(DT1994&lt;&gt;"",1,0)+IF(DV1994&lt;&gt;"",1,0)+IF(DW1994&lt;&gt;"",1,0)+IF(DX1994&lt;&gt;"",1,0)+IF(DY1994&lt;&gt;"",1,0)+IF(DZ1994&lt;&gt;"",1,0)+IF(EB1994&lt;&gt;"",1,0)+IF(EC1994&lt;&gt;"",1,0)+IF(ED1994&lt;&gt;"",1,0)+IF(EG1994&lt;&gt;"",1,0)+IF(EH1994&lt;&gt;"",1,0)</f>
        <v/>
      </c>
      <c r="AZ1994">
        <f>IF(EH1994&lt;&gt;"",1,0)</f>
        <v/>
      </c>
      <c r="BB1994" t="inlineStr">
        <is>
          <t>WARREN-WARD 4</t>
        </is>
      </c>
      <c r="BC1994" t="inlineStr">
        <is>
          <t>X</t>
        </is>
      </c>
      <c r="BD1994" t="inlineStr">
        <is>
          <t>X</t>
        </is>
      </c>
      <c r="BE1994" t="inlineStr">
        <is>
          <t>X</t>
        </is>
      </c>
      <c r="BF1994" t="inlineStr">
        <is>
          <t>X</t>
        </is>
      </c>
      <c r="BG1994" t="inlineStr">
        <is>
          <t>X</t>
        </is>
      </c>
      <c r="BH1994" t="inlineStr">
        <is>
          <t>X</t>
        </is>
      </c>
      <c r="BI1994" t="inlineStr">
        <is>
          <t>X</t>
        </is>
      </c>
      <c r="BJ1994" t="inlineStr">
        <is>
          <t>X</t>
        </is>
      </c>
      <c r="BK1994" t="inlineStr">
        <is>
          <t>X</t>
        </is>
      </c>
      <c r="BL1994" t="inlineStr">
        <is>
          <t>X</t>
        </is>
      </c>
      <c r="BP1994" t="inlineStr">
        <is>
          <t>X</t>
        </is>
      </c>
      <c r="BR1994" t="inlineStr">
        <is>
          <t>X</t>
        </is>
      </c>
      <c r="BS1994" t="inlineStr">
        <is>
          <t>X</t>
        </is>
      </c>
      <c r="BT1994" t="inlineStr">
        <is>
          <t>X</t>
        </is>
      </c>
      <c r="BV1994" t="inlineStr">
        <is>
          <t>X</t>
        </is>
      </c>
      <c r="BY1994" t="inlineStr">
        <is>
          <t>D</t>
        </is>
      </c>
      <c r="CA1994" t="inlineStr">
        <is>
          <t>X</t>
        </is>
      </c>
      <c r="CG1994" t="inlineStr">
        <is>
          <t>X</t>
        </is>
      </c>
      <c r="CH1994" t="inlineStr">
        <is>
          <t>D</t>
        </is>
      </c>
      <c r="CK1994" t="inlineStr">
        <is>
          <t>X</t>
        </is>
      </c>
      <c r="CL1994" t="inlineStr">
        <is>
          <t>D</t>
        </is>
      </c>
      <c r="CN1994" t="inlineStr">
        <is>
          <t>X</t>
        </is>
      </c>
      <c r="CO1994" t="inlineStr">
        <is>
          <t>D</t>
        </is>
      </c>
      <c r="CP1994" t="inlineStr">
        <is>
          <t>X</t>
        </is>
      </c>
      <c r="CT1994" t="inlineStr">
        <is>
          <t>X</t>
        </is>
      </c>
      <c r="CU1994" t="inlineStr">
        <is>
          <t>D</t>
        </is>
      </c>
      <c r="CV1994" t="inlineStr">
        <is>
          <t>X</t>
        </is>
      </c>
      <c r="CW1994" t="inlineStr">
        <is>
          <t>D</t>
        </is>
      </c>
      <c r="CY1994" t="inlineStr">
        <is>
          <t>X</t>
        </is>
      </c>
      <c r="CZ1994" t="inlineStr">
        <is>
          <t>D</t>
        </is>
      </c>
      <c r="DC1994" t="inlineStr">
        <is>
          <t>X</t>
        </is>
      </c>
      <c r="DD1994" t="inlineStr">
        <is>
          <t>D</t>
        </is>
      </c>
      <c r="DF1994" t="inlineStr">
        <is>
          <t>X</t>
        </is>
      </c>
      <c r="DG1994" t="inlineStr">
        <is>
          <t>D</t>
        </is>
      </c>
      <c r="DI1994" t="inlineStr">
        <is>
          <t>X</t>
        </is>
      </c>
      <c r="DJ1994" t="inlineStr">
        <is>
          <t>D</t>
        </is>
      </c>
      <c r="DL1994" t="inlineStr">
        <is>
          <t>X</t>
        </is>
      </c>
      <c r="DM1994" t="inlineStr">
        <is>
          <t>D</t>
        </is>
      </c>
      <c r="DN1994" t="inlineStr">
        <is>
          <t>X</t>
        </is>
      </c>
      <c r="DR1994" t="inlineStr">
        <is>
          <t>X</t>
        </is>
      </c>
      <c r="DS1994" t="inlineStr">
        <is>
          <t>D</t>
        </is>
      </c>
      <c r="DU1994" t="inlineStr">
        <is>
          <t>X</t>
        </is>
      </c>
      <c r="DX1994" t="inlineStr">
        <is>
          <t>X</t>
        </is>
      </c>
      <c r="EA1994" t="inlineStr">
        <is>
          <t>X</t>
        </is>
      </c>
      <c r="EF1994" t="inlineStr">
        <is>
          <t>X</t>
        </is>
      </c>
      <c r="EH1994" t="inlineStr">
        <is>
          <t>D</t>
        </is>
      </c>
    </row>
    <row r="1995">
      <c r="A1995" t="inlineStr">
        <is>
          <t>OH0022489553</t>
        </is>
      </c>
      <c r="B1995" t="n">
        <v>78</v>
      </c>
      <c r="C1995" t="n">
        <v>397399</v>
      </c>
      <c r="D1995" t="inlineStr">
        <is>
          <t>BRENT</t>
        </is>
      </c>
      <c r="E1995" t="inlineStr">
        <is>
          <t>WILLIAM</t>
        </is>
      </c>
      <c r="F1995">
        <f>CONCATENATE(D1995," ",LEFT(H1995,4),"T=",AU1995,"D=",AV1995,"R=",AW1995,"M=",AX1995,"L=",AY1995,"B=",AZ1995)</f>
        <v/>
      </c>
      <c r="G1995" t="inlineStr">
        <is>
          <t>HENRY</t>
        </is>
      </c>
      <c r="I1995" t="inlineStr">
        <is>
          <t>1967-08-04</t>
        </is>
      </c>
      <c r="J1995" t="inlineStr">
        <is>
          <t>2016-08-19</t>
        </is>
      </c>
      <c r="K1995" t="inlineStr">
        <is>
          <t>ACTIVE</t>
        </is>
      </c>
      <c r="L1995" t="inlineStr">
        <is>
          <t>D</t>
        </is>
      </c>
      <c r="M1995" t="inlineStr">
        <is>
          <t>454 WASHINGTON ST NE</t>
        </is>
      </c>
      <c r="N1995">
        <f>RIGHT(M1995,LEN(M1995)-FIND(" ",M1995))</f>
        <v/>
      </c>
      <c r="P1995" t="inlineStr">
        <is>
          <t>WARREN</t>
        </is>
      </c>
      <c r="Q1995" t="inlineStr">
        <is>
          <t>OH</t>
        </is>
      </c>
      <c r="R1995" t="n">
        <v>44483</v>
      </c>
      <c r="AD1995" t="inlineStr">
        <is>
          <t>TRUMBULL CAREER &amp; TECH CENTER</t>
        </is>
      </c>
      <c r="AE1995" t="inlineStr">
        <is>
          <t>WARREN CITY</t>
        </is>
      </c>
      <c r="AF1995" t="inlineStr">
        <is>
          <t>WARREN CITY SD</t>
        </is>
      </c>
      <c r="AH1995" t="n">
        <v>14</v>
      </c>
      <c r="AI1995" t="n">
        <v>11</v>
      </c>
      <c r="AN1995" t="inlineStr">
        <is>
          <t>WARREN</t>
        </is>
      </c>
      <c r="AO1995" t="inlineStr">
        <is>
          <t>WARREN CITY 4D</t>
        </is>
      </c>
      <c r="AP1995" t="inlineStr">
        <is>
          <t>78-P-ADL</t>
        </is>
      </c>
      <c r="AQ1995" t="n">
        <v>9</v>
      </c>
      <c r="AR1995" t="n">
        <v>64</v>
      </c>
      <c r="AS1995" t="n">
        <v>32</v>
      </c>
      <c r="AU1995">
        <f>COUNTA($BA$1995:$EH$1995)</f>
        <v/>
      </c>
      <c r="AV1995">
        <f>COUNTIF($BA$1995:$EH$1995,"D")</f>
        <v/>
      </c>
      <c r="AW1995">
        <f>COUNTIF($BA$1995:$EH$1995,"R")</f>
        <v/>
      </c>
      <c r="AX1995">
        <f>IF(BN1995="D",1,0)+IF(BO1995="D",1,0)+IF(BT1995="D",1,0)+IF(BU1995="D",1,0)+IF(BW1995="D",1,0)+IF(CC1995="D",1,0)+IF(CD1995="D",1,0)+IF(CE1995="D",1,0)+IF(CF1995="D",1,0)+IF(CL1995="D",1,0)+IF(CM1995="D",1,0)+IF(CQ1995="D",1,0)+IF(CR1995="D",1,0)+IF(CS1995="D",1,0)+IF(CW1995="D",1,0)+IF(CX1995="D",1,0)+IF(DD1995="D",1,0)+IF(DE1995="D",1,0)+IF(DJ1995="D",1,0)+IF(DK1995="D",1,0)+IF(DO1995="D",1,0)+IF(DP1995="D",1,0)+IF(DQ1995="D",1,0)+IF(DW1995="D",1,0)+IF(DZ1995="D",1,0)+IF(EH1995="D",1,0)</f>
        <v/>
      </c>
      <c r="AY1995">
        <f>IF(DJ1995&lt;&gt;"",1,0)+IF(DK1995&lt;&gt;"",1,0)+IF(DM1995&lt;&gt;"",1,0)+IF(DO1995&lt;&gt;"",1,0)+IF(DP1995&lt;&gt;"",1,0)+IF(DQ1995&lt;&gt;"",1,0)+IF(DS1995&lt;&gt;"",1,0)+IF(DT1995&lt;&gt;"",1,0)+IF(DV1995&lt;&gt;"",1,0)+IF(DW1995&lt;&gt;"",1,0)+IF(DX1995&lt;&gt;"",1,0)+IF(DY1995&lt;&gt;"",1,0)+IF(DZ1995&lt;&gt;"",1,0)+IF(EB1995&lt;&gt;"",1,0)+IF(EC1995&lt;&gt;"",1,0)+IF(ED1995&lt;&gt;"",1,0)+IF(EG1995&lt;&gt;"",1,0)+IF(EH1995&lt;&gt;"",1,0)</f>
        <v/>
      </c>
      <c r="AZ1995">
        <f>IF(EH1995&lt;&gt;"",1,0)</f>
        <v/>
      </c>
      <c r="BB1995" t="inlineStr">
        <is>
          <t>WARREN-WARD 4</t>
        </is>
      </c>
      <c r="DL1995" t="inlineStr">
        <is>
          <t>X</t>
        </is>
      </c>
      <c r="DN1995" t="inlineStr">
        <is>
          <t>X</t>
        </is>
      </c>
      <c r="DR1995" t="inlineStr">
        <is>
          <t>X</t>
        </is>
      </c>
      <c r="DU1995" t="inlineStr">
        <is>
          <t>X</t>
        </is>
      </c>
      <c r="DW1995" t="inlineStr">
        <is>
          <t>D</t>
        </is>
      </c>
      <c r="DX1995" t="inlineStr">
        <is>
          <t>X</t>
        </is>
      </c>
      <c r="EA1995" t="inlineStr">
        <is>
          <t>X</t>
        </is>
      </c>
      <c r="EF1995" t="inlineStr">
        <is>
          <t>X</t>
        </is>
      </c>
    </row>
    <row r="1996">
      <c r="A1996" t="inlineStr">
        <is>
          <t>OH0027866539</t>
        </is>
      </c>
      <c r="B1996" t="n">
        <v>78</v>
      </c>
      <c r="C1996" t="n">
        <v>494635</v>
      </c>
      <c r="D1996" t="inlineStr">
        <is>
          <t>CLENDENIN MUSSER</t>
        </is>
      </c>
      <c r="E1996" t="inlineStr">
        <is>
          <t>JOHNATHAN</t>
        </is>
      </c>
      <c r="F1996">
        <f>CONCATENATE(D1996," ",LEFT(H1996,4),"T=",AU1996,"D=",AV1996,"R=",AW1996,"M=",AX1996,"L=",AY1996,"B=",AZ1996)</f>
        <v/>
      </c>
      <c r="G1996" t="inlineStr">
        <is>
          <t>ROBERT</t>
        </is>
      </c>
      <c r="I1996" t="inlineStr">
        <is>
          <t>2004-11-04</t>
        </is>
      </c>
      <c r="J1996" t="inlineStr">
        <is>
          <t>2024-11-30</t>
        </is>
      </c>
      <c r="K1996" t="inlineStr">
        <is>
          <t>ACTIVE</t>
        </is>
      </c>
      <c r="M1996" t="inlineStr">
        <is>
          <t>233 LAWRENCE AVE NE</t>
        </is>
      </c>
      <c r="N1996">
        <f>RIGHT(M1996,LEN(M1996)-FIND(" ",M1996))</f>
        <v/>
      </c>
      <c r="P1996" t="inlineStr">
        <is>
          <t>WARREN</t>
        </is>
      </c>
      <c r="Q1996" t="inlineStr">
        <is>
          <t>OH</t>
        </is>
      </c>
      <c r="R1996" t="n">
        <v>44483</v>
      </c>
      <c r="AD1996" t="inlineStr">
        <is>
          <t>TRUMBULL CAREER &amp; TECH CENTER</t>
        </is>
      </c>
      <c r="AE1996" t="inlineStr">
        <is>
          <t>WARREN CITY</t>
        </is>
      </c>
      <c r="AF1996" t="inlineStr">
        <is>
          <t>WARREN CITY SD</t>
        </is>
      </c>
      <c r="AH1996" t="n">
        <v>14</v>
      </c>
      <c r="AI1996" t="n">
        <v>11</v>
      </c>
      <c r="AN1996" t="inlineStr">
        <is>
          <t>WARREN</t>
        </is>
      </c>
      <c r="AO1996" t="inlineStr">
        <is>
          <t>WARREN CITY 4D</t>
        </is>
      </c>
      <c r="AP1996" t="inlineStr">
        <is>
          <t>78-P-ADL</t>
        </is>
      </c>
      <c r="AQ1996" t="n">
        <v>9</v>
      </c>
      <c r="AR1996" t="n">
        <v>64</v>
      </c>
      <c r="AS1996" t="n">
        <v>32</v>
      </c>
      <c r="AU1996">
        <f>COUNTA($BA$1996:$EH$1996)</f>
        <v/>
      </c>
      <c r="AV1996">
        <f>COUNTIF($BA$1996:$EH$1996,"D")</f>
        <v/>
      </c>
      <c r="AW1996">
        <f>COUNTIF($BA$1996:$EH$1996,"R")</f>
        <v/>
      </c>
      <c r="AX1996">
        <f>IF(BN1996="D",1,0)+IF(BO1996="D",1,0)+IF(BT1996="D",1,0)+IF(BU1996="D",1,0)+IF(BW1996="D",1,0)+IF(CC1996="D",1,0)+IF(CD1996="D",1,0)+IF(CE1996="D",1,0)+IF(CF1996="D",1,0)+IF(CL1996="D",1,0)+IF(CM1996="D",1,0)+IF(CQ1996="D",1,0)+IF(CR1996="D",1,0)+IF(CS1996="D",1,0)+IF(CW1996="D",1,0)+IF(CX1996="D",1,0)+IF(DD1996="D",1,0)+IF(DE1996="D",1,0)+IF(DJ1996="D",1,0)+IF(DK1996="D",1,0)+IF(DO1996="D",1,0)+IF(DP1996="D",1,0)+IF(DQ1996="D",1,0)+IF(DW1996="D",1,0)+IF(DZ1996="D",1,0)+IF(EH1996="D",1,0)</f>
        <v/>
      </c>
      <c r="AY1996">
        <f>IF(DJ1996&lt;&gt;"",1,0)+IF(DK1996&lt;&gt;"",1,0)+IF(DM1996&lt;&gt;"",1,0)+IF(DO1996&lt;&gt;"",1,0)+IF(DP1996&lt;&gt;"",1,0)+IF(DQ1996&lt;&gt;"",1,0)+IF(DS1996&lt;&gt;"",1,0)+IF(DT1996&lt;&gt;"",1,0)+IF(DV1996&lt;&gt;"",1,0)+IF(DW1996&lt;&gt;"",1,0)+IF(DX1996&lt;&gt;"",1,0)+IF(DY1996&lt;&gt;"",1,0)+IF(DZ1996&lt;&gt;"",1,0)+IF(EB1996&lt;&gt;"",1,0)+IF(EC1996&lt;&gt;"",1,0)+IF(ED1996&lt;&gt;"",1,0)+IF(EG1996&lt;&gt;"",1,0)+IF(EH1996&lt;&gt;"",1,0)</f>
        <v/>
      </c>
      <c r="AZ1996">
        <f>IF(EH1996&lt;&gt;"",1,0)</f>
        <v/>
      </c>
      <c r="BB1996" t="inlineStr">
        <is>
          <t>WARREN-WARD 4</t>
        </is>
      </c>
    </row>
    <row r="1997">
      <c r="A1997" t="inlineStr">
        <is>
          <t>OH0024194659</t>
        </is>
      </c>
      <c r="B1997" t="n">
        <v>78</v>
      </c>
      <c r="C1997" t="n">
        <v>423724</v>
      </c>
      <c r="D1997" t="inlineStr">
        <is>
          <t>SMITH</t>
        </is>
      </c>
      <c r="E1997" t="inlineStr">
        <is>
          <t>KELLY</t>
        </is>
      </c>
      <c r="F1997">
        <f>CONCATENATE(D1997," ",LEFT(H1997,4),"T=",AU1997,"D=",AV1997,"R=",AW1997,"M=",AX1997,"L=",AY1997,"B=",AZ1997)</f>
        <v/>
      </c>
      <c r="G1997" t="inlineStr">
        <is>
          <t>SHAE</t>
        </is>
      </c>
      <c r="I1997" t="inlineStr">
        <is>
          <t>1976-09-23</t>
        </is>
      </c>
      <c r="J1997" t="inlineStr">
        <is>
          <t>2024-08-06</t>
        </is>
      </c>
      <c r="K1997" t="inlineStr">
        <is>
          <t>ACTIVE</t>
        </is>
      </c>
      <c r="M1997" t="inlineStr">
        <is>
          <t>454 SCOTT ST NE</t>
        </is>
      </c>
      <c r="N1997">
        <f>RIGHT(M1997,LEN(M1997)-FIND(" ",M1997))</f>
        <v/>
      </c>
      <c r="P1997" t="inlineStr">
        <is>
          <t>WARREN</t>
        </is>
      </c>
      <c r="Q1997" t="inlineStr">
        <is>
          <t>OH</t>
        </is>
      </c>
      <c r="R1997" t="n">
        <v>44483</v>
      </c>
      <c r="AD1997" t="inlineStr">
        <is>
          <t>TRUMBULL CAREER &amp; TECH CENTER</t>
        </is>
      </c>
      <c r="AE1997" t="inlineStr">
        <is>
          <t>WARREN CITY</t>
        </is>
      </c>
      <c r="AF1997" t="inlineStr">
        <is>
          <t>WARREN CITY SD</t>
        </is>
      </c>
      <c r="AH1997" t="n">
        <v>14</v>
      </c>
      <c r="AI1997" t="n">
        <v>11</v>
      </c>
      <c r="AN1997" t="inlineStr">
        <is>
          <t>WARREN</t>
        </is>
      </c>
      <c r="AO1997" t="inlineStr">
        <is>
          <t>WARREN CITY 4D</t>
        </is>
      </c>
      <c r="AP1997" t="inlineStr">
        <is>
          <t>78-P-ADL</t>
        </is>
      </c>
      <c r="AQ1997" t="n">
        <v>9</v>
      </c>
      <c r="AR1997" t="n">
        <v>64</v>
      </c>
      <c r="AS1997" t="n">
        <v>32</v>
      </c>
      <c r="AU1997">
        <f>COUNTA($BA$1997:$EH$1997)</f>
        <v/>
      </c>
      <c r="AV1997">
        <f>COUNTIF($BA$1997:$EH$1997,"D")</f>
        <v/>
      </c>
      <c r="AW1997">
        <f>COUNTIF($BA$1997:$EH$1997,"R")</f>
        <v/>
      </c>
      <c r="AX1997">
        <f>IF(BN1997="D",1,0)+IF(BO1997="D",1,0)+IF(BT1997="D",1,0)+IF(BU1997="D",1,0)+IF(BW1997="D",1,0)+IF(CC1997="D",1,0)+IF(CD1997="D",1,0)+IF(CE1997="D",1,0)+IF(CF1997="D",1,0)+IF(CL1997="D",1,0)+IF(CM1997="D",1,0)+IF(CQ1997="D",1,0)+IF(CR1997="D",1,0)+IF(CS1997="D",1,0)+IF(CW1997="D",1,0)+IF(CX1997="D",1,0)+IF(DD1997="D",1,0)+IF(DE1997="D",1,0)+IF(DJ1997="D",1,0)+IF(DK1997="D",1,0)+IF(DO1997="D",1,0)+IF(DP1997="D",1,0)+IF(DQ1997="D",1,0)+IF(DW1997="D",1,0)+IF(DZ1997="D",1,0)+IF(EH1997="D",1,0)</f>
        <v/>
      </c>
      <c r="AY1997">
        <f>IF(DJ1997&lt;&gt;"",1,0)+IF(DK1997&lt;&gt;"",1,0)+IF(DM1997&lt;&gt;"",1,0)+IF(DO1997&lt;&gt;"",1,0)+IF(DP1997&lt;&gt;"",1,0)+IF(DQ1997&lt;&gt;"",1,0)+IF(DS1997&lt;&gt;"",1,0)+IF(DT1997&lt;&gt;"",1,0)+IF(DV1997&lt;&gt;"",1,0)+IF(DW1997&lt;&gt;"",1,0)+IF(DX1997&lt;&gt;"",1,0)+IF(DY1997&lt;&gt;"",1,0)+IF(DZ1997&lt;&gt;"",1,0)+IF(EB1997&lt;&gt;"",1,0)+IF(EC1997&lt;&gt;"",1,0)+IF(ED1997&lt;&gt;"",1,0)+IF(EG1997&lt;&gt;"",1,0)+IF(EH1997&lt;&gt;"",1,0)</f>
        <v/>
      </c>
      <c r="AZ1997">
        <f>IF(EH1997&lt;&gt;"",1,0)</f>
        <v/>
      </c>
      <c r="BB1997" t="inlineStr">
        <is>
          <t>WARREN-WARD 4</t>
        </is>
      </c>
      <c r="DI1997" t="inlineStr">
        <is>
          <t>X</t>
        </is>
      </c>
      <c r="DN1997" t="inlineStr">
        <is>
          <t>X</t>
        </is>
      </c>
      <c r="EF1997" t="inlineStr">
        <is>
          <t>X</t>
        </is>
      </c>
    </row>
    <row r="1998">
      <c r="A1998" t="inlineStr">
        <is>
          <t>OH0015762580</t>
        </is>
      </c>
      <c r="B1998" t="n">
        <v>78</v>
      </c>
      <c r="C1998" t="n">
        <v>320279</v>
      </c>
      <c r="D1998" t="inlineStr">
        <is>
          <t>DAVIS</t>
        </is>
      </c>
      <c r="E1998" t="inlineStr">
        <is>
          <t>LARECIA</t>
        </is>
      </c>
      <c r="F1998">
        <f>CONCATENATE(D1998," ",LEFT(H1998,4),"T=",AU1998,"D=",AV1998,"R=",AW1998,"M=",AX1998,"L=",AY1998,"B=",AZ1998)</f>
        <v/>
      </c>
      <c r="G1998" t="inlineStr">
        <is>
          <t>M</t>
        </is>
      </c>
      <c r="I1998" t="inlineStr">
        <is>
          <t>1984-10-28</t>
        </is>
      </c>
      <c r="J1998" t="inlineStr">
        <is>
          <t>2022-11-16</t>
        </is>
      </c>
      <c r="K1998" t="inlineStr">
        <is>
          <t>ACTIVE</t>
        </is>
      </c>
      <c r="M1998" t="inlineStr">
        <is>
          <t>1209 MCKINLEY ST NE</t>
        </is>
      </c>
      <c r="N1998">
        <f>RIGHT(M1998,LEN(M1998)-FIND(" ",M1998))</f>
        <v/>
      </c>
      <c r="P1998" t="inlineStr">
        <is>
          <t>WARREN</t>
        </is>
      </c>
      <c r="Q1998" t="inlineStr">
        <is>
          <t>OH</t>
        </is>
      </c>
      <c r="R1998" t="n">
        <v>44483</v>
      </c>
      <c r="AD1998" t="inlineStr">
        <is>
          <t>TRUMBULL CAREER &amp; TECH CENTER</t>
        </is>
      </c>
      <c r="AE1998" t="inlineStr">
        <is>
          <t>WARREN CITY</t>
        </is>
      </c>
      <c r="AF1998" t="inlineStr">
        <is>
          <t>WARREN CITY SD</t>
        </is>
      </c>
      <c r="AH1998" t="n">
        <v>14</v>
      </c>
      <c r="AI1998" t="n">
        <v>11</v>
      </c>
      <c r="AN1998" t="inlineStr">
        <is>
          <t>WARREN</t>
        </is>
      </c>
      <c r="AO1998" t="inlineStr">
        <is>
          <t>WARREN CITY 4D</t>
        </is>
      </c>
      <c r="AP1998" t="inlineStr">
        <is>
          <t>78-P-ADL</t>
        </is>
      </c>
      <c r="AQ1998" t="n">
        <v>9</v>
      </c>
      <c r="AR1998" t="n">
        <v>64</v>
      </c>
      <c r="AS1998" t="n">
        <v>32</v>
      </c>
      <c r="AU1998">
        <f>COUNTA($BA$1998:$EH$1998)</f>
        <v/>
      </c>
      <c r="AV1998">
        <f>COUNTIF($BA$1998:$EH$1998,"D")</f>
        <v/>
      </c>
      <c r="AW1998">
        <f>COUNTIF($BA$1998:$EH$1998,"R")</f>
        <v/>
      </c>
      <c r="AX1998">
        <f>IF(BN1998="D",1,0)+IF(BO1998="D",1,0)+IF(BT1998="D",1,0)+IF(BU1998="D",1,0)+IF(BW1998="D",1,0)+IF(CC1998="D",1,0)+IF(CD1998="D",1,0)+IF(CE1998="D",1,0)+IF(CF1998="D",1,0)+IF(CL1998="D",1,0)+IF(CM1998="D",1,0)+IF(CQ1998="D",1,0)+IF(CR1998="D",1,0)+IF(CS1998="D",1,0)+IF(CW1998="D",1,0)+IF(CX1998="D",1,0)+IF(DD1998="D",1,0)+IF(DE1998="D",1,0)+IF(DJ1998="D",1,0)+IF(DK1998="D",1,0)+IF(DO1998="D",1,0)+IF(DP1998="D",1,0)+IF(DQ1998="D",1,0)+IF(DW1998="D",1,0)+IF(DZ1998="D",1,0)+IF(EH1998="D",1,0)</f>
        <v/>
      </c>
      <c r="AY1998">
        <f>IF(DJ1998&lt;&gt;"",1,0)+IF(DK1998&lt;&gt;"",1,0)+IF(DM1998&lt;&gt;"",1,0)+IF(DO1998&lt;&gt;"",1,0)+IF(DP1998&lt;&gt;"",1,0)+IF(DQ1998&lt;&gt;"",1,0)+IF(DS1998&lt;&gt;"",1,0)+IF(DT1998&lt;&gt;"",1,0)+IF(DV1998&lt;&gt;"",1,0)+IF(DW1998&lt;&gt;"",1,0)+IF(DX1998&lt;&gt;"",1,0)+IF(DY1998&lt;&gt;"",1,0)+IF(DZ1998&lt;&gt;"",1,0)+IF(EB1998&lt;&gt;"",1,0)+IF(EC1998&lt;&gt;"",1,0)+IF(ED1998&lt;&gt;"",1,0)+IF(EG1998&lt;&gt;"",1,0)+IF(EH1998&lt;&gt;"",1,0)</f>
        <v/>
      </c>
      <c r="AZ1998">
        <f>IF(EH1998&lt;&gt;"",1,0)</f>
        <v/>
      </c>
      <c r="BB1998" t="inlineStr">
        <is>
          <t>WARREN-WARD 4</t>
        </is>
      </c>
    </row>
    <row r="1999">
      <c r="A1999" t="inlineStr">
        <is>
          <t>OH0023249284</t>
        </is>
      </c>
      <c r="B1999" t="n">
        <v>78</v>
      </c>
      <c r="C1999" t="n">
        <v>409091</v>
      </c>
      <c r="D1999" t="inlineStr">
        <is>
          <t>GOODMAN</t>
        </is>
      </c>
      <c r="E1999" t="inlineStr">
        <is>
          <t>OLIVIA</t>
        </is>
      </c>
      <c r="F1999">
        <f>CONCATENATE(D1999," ",LEFT(H1999,4),"T=",AU1999,"D=",AV1999,"R=",AW1999,"M=",AX1999,"L=",AY1999,"B=",AZ1999)</f>
        <v/>
      </c>
      <c r="G1999" t="inlineStr">
        <is>
          <t>LEE</t>
        </is>
      </c>
      <c r="I1999" t="inlineStr">
        <is>
          <t>1996-09-06</t>
        </is>
      </c>
      <c r="J1999" t="inlineStr">
        <is>
          <t>2015-08-18</t>
        </is>
      </c>
      <c r="K1999" t="inlineStr">
        <is>
          <t>CONFIRMATION</t>
        </is>
      </c>
      <c r="M1999" t="inlineStr">
        <is>
          <t>174 N PARK AVE</t>
        </is>
      </c>
      <c r="N1999">
        <f>RIGHT(M1999,LEN(M1999)-FIND(" ",M1999))</f>
        <v/>
      </c>
      <c r="P1999" t="inlineStr">
        <is>
          <t>WARREN</t>
        </is>
      </c>
      <c r="Q1999" t="inlineStr">
        <is>
          <t>OH</t>
        </is>
      </c>
      <c r="R1999" t="n">
        <v>44481</v>
      </c>
      <c r="AD1999" t="inlineStr">
        <is>
          <t>TRUMBULL CAREER &amp; TECH CENTER</t>
        </is>
      </c>
      <c r="AE1999" t="inlineStr">
        <is>
          <t>WARREN CITY</t>
        </is>
      </c>
      <c r="AF1999" t="inlineStr">
        <is>
          <t>WARREN CITY SD</t>
        </is>
      </c>
      <c r="AH1999" t="n">
        <v>14</v>
      </c>
      <c r="AI1999" t="n">
        <v>11</v>
      </c>
      <c r="AN1999" t="inlineStr">
        <is>
          <t>WARREN</t>
        </is>
      </c>
      <c r="AO1999" t="inlineStr">
        <is>
          <t>WARREN CITY 4D</t>
        </is>
      </c>
      <c r="AP1999" t="inlineStr">
        <is>
          <t>78-P-ADL</t>
        </is>
      </c>
      <c r="AQ1999" t="n">
        <v>9</v>
      </c>
      <c r="AR1999" t="n">
        <v>64</v>
      </c>
      <c r="AS1999" t="n">
        <v>32</v>
      </c>
      <c r="AU1999">
        <f>COUNTA($BA$1999:$EH$1999)</f>
        <v/>
      </c>
      <c r="AV1999">
        <f>COUNTIF($BA$1999:$EH$1999,"D")</f>
        <v/>
      </c>
      <c r="AW1999">
        <f>COUNTIF($BA$1999:$EH$1999,"R")</f>
        <v/>
      </c>
      <c r="AX1999">
        <f>IF(BN1999="D",1,0)+IF(BO1999="D",1,0)+IF(BT1999="D",1,0)+IF(BU1999="D",1,0)+IF(BW1999="D",1,0)+IF(CC1999="D",1,0)+IF(CD1999="D",1,0)+IF(CE1999="D",1,0)+IF(CF1999="D",1,0)+IF(CL1999="D",1,0)+IF(CM1999="D",1,0)+IF(CQ1999="D",1,0)+IF(CR1999="D",1,0)+IF(CS1999="D",1,0)+IF(CW1999="D",1,0)+IF(CX1999="D",1,0)+IF(DD1999="D",1,0)+IF(DE1999="D",1,0)+IF(DJ1999="D",1,0)+IF(DK1999="D",1,0)+IF(DO1999="D",1,0)+IF(DP1999="D",1,0)+IF(DQ1999="D",1,0)+IF(DW1999="D",1,0)+IF(DZ1999="D",1,0)+IF(EH1999="D",1,0)</f>
        <v/>
      </c>
      <c r="AY1999">
        <f>IF(DJ1999&lt;&gt;"",1,0)+IF(DK1999&lt;&gt;"",1,0)+IF(DM1999&lt;&gt;"",1,0)+IF(DO1999&lt;&gt;"",1,0)+IF(DP1999&lt;&gt;"",1,0)+IF(DQ1999&lt;&gt;"",1,0)+IF(DS1999&lt;&gt;"",1,0)+IF(DT1999&lt;&gt;"",1,0)+IF(DV1999&lt;&gt;"",1,0)+IF(DW1999&lt;&gt;"",1,0)+IF(DX1999&lt;&gt;"",1,0)+IF(DY1999&lt;&gt;"",1,0)+IF(DZ1999&lt;&gt;"",1,0)+IF(EB1999&lt;&gt;"",1,0)+IF(EC1999&lt;&gt;"",1,0)+IF(ED1999&lt;&gt;"",1,0)+IF(EG1999&lt;&gt;"",1,0)+IF(EH1999&lt;&gt;"",1,0)</f>
        <v/>
      </c>
      <c r="AZ1999">
        <f>IF(EH1999&lt;&gt;"",1,0)</f>
        <v/>
      </c>
      <c r="BB1999" t="inlineStr">
        <is>
          <t>WARREN-WARD 4</t>
        </is>
      </c>
      <c r="CY1999" t="inlineStr">
        <is>
          <t>X</t>
        </is>
      </c>
    </row>
    <row r="2000">
      <c r="A2000" t="inlineStr">
        <is>
          <t>OH0025092532</t>
        </is>
      </c>
      <c r="B2000" t="n">
        <v>78</v>
      </c>
      <c r="C2000" t="n">
        <v>439283</v>
      </c>
      <c r="D2000" t="inlineStr">
        <is>
          <t>JONES</t>
        </is>
      </c>
      <c r="E2000" t="inlineStr">
        <is>
          <t>NICOLE</t>
        </is>
      </c>
      <c r="F2000">
        <f>CONCATENATE(D2000," ",LEFT(H2000,4),"T=",AU2000,"D=",AV2000,"R=",AW2000,"M=",AX2000,"L=",AY2000,"B=",AZ2000)</f>
        <v/>
      </c>
      <c r="G2000" t="inlineStr">
        <is>
          <t>J</t>
        </is>
      </c>
      <c r="I2000" t="inlineStr">
        <is>
          <t>1992-11-09</t>
        </is>
      </c>
      <c r="J2000" t="inlineStr">
        <is>
          <t>2019-04-28</t>
        </is>
      </c>
      <c r="K2000" t="inlineStr">
        <is>
          <t>CONFIRMATION</t>
        </is>
      </c>
      <c r="M2000" t="inlineStr">
        <is>
          <t>253 CHESTNUT AVE NE</t>
        </is>
      </c>
      <c r="N2000">
        <f>RIGHT(M2000,LEN(M2000)-FIND(" ",M2000))</f>
        <v/>
      </c>
      <c r="P2000" t="inlineStr">
        <is>
          <t>WARREN</t>
        </is>
      </c>
      <c r="Q2000" t="inlineStr">
        <is>
          <t>OH</t>
        </is>
      </c>
      <c r="R2000" t="n">
        <v>44483</v>
      </c>
      <c r="AD2000" t="inlineStr">
        <is>
          <t>TRUMBULL CAREER &amp; TECH CENTER</t>
        </is>
      </c>
      <c r="AE2000" t="inlineStr">
        <is>
          <t>WARREN CITY</t>
        </is>
      </c>
      <c r="AF2000" t="inlineStr">
        <is>
          <t>WARREN CITY SD</t>
        </is>
      </c>
      <c r="AH2000" t="n">
        <v>14</v>
      </c>
      <c r="AI2000" t="n">
        <v>11</v>
      </c>
      <c r="AN2000" t="inlineStr">
        <is>
          <t>WARREN</t>
        </is>
      </c>
      <c r="AO2000" t="inlineStr">
        <is>
          <t>WARREN CITY 4D</t>
        </is>
      </c>
      <c r="AP2000" t="inlineStr">
        <is>
          <t>78-P-ADL</t>
        </is>
      </c>
      <c r="AQ2000" t="n">
        <v>9</v>
      </c>
      <c r="AR2000" t="n">
        <v>64</v>
      </c>
      <c r="AS2000" t="n">
        <v>32</v>
      </c>
      <c r="AU2000">
        <f>COUNTA($BA$2000:$EH$2000)</f>
        <v/>
      </c>
      <c r="AV2000">
        <f>COUNTIF($BA$2000:$EH$2000,"D")</f>
        <v/>
      </c>
      <c r="AW2000">
        <f>COUNTIF($BA$2000:$EH$2000,"R")</f>
        <v/>
      </c>
      <c r="AX2000">
        <f>IF(BN2000="D",1,0)+IF(BO2000="D",1,0)+IF(BT2000="D",1,0)+IF(BU2000="D",1,0)+IF(BW2000="D",1,0)+IF(CC2000="D",1,0)+IF(CD2000="D",1,0)+IF(CE2000="D",1,0)+IF(CF2000="D",1,0)+IF(CL2000="D",1,0)+IF(CM2000="D",1,0)+IF(CQ2000="D",1,0)+IF(CR2000="D",1,0)+IF(CS2000="D",1,0)+IF(CW2000="D",1,0)+IF(CX2000="D",1,0)+IF(DD2000="D",1,0)+IF(DE2000="D",1,0)+IF(DJ2000="D",1,0)+IF(DK2000="D",1,0)+IF(DO2000="D",1,0)+IF(DP2000="D",1,0)+IF(DQ2000="D",1,0)+IF(DW2000="D",1,0)+IF(DZ2000="D",1,0)+IF(EH2000="D",1,0)</f>
        <v/>
      </c>
      <c r="AY2000">
        <f>IF(DJ2000&lt;&gt;"",1,0)+IF(DK2000&lt;&gt;"",1,0)+IF(DM2000&lt;&gt;"",1,0)+IF(DO2000&lt;&gt;"",1,0)+IF(DP2000&lt;&gt;"",1,0)+IF(DQ2000&lt;&gt;"",1,0)+IF(DS2000&lt;&gt;"",1,0)+IF(DT2000&lt;&gt;"",1,0)+IF(DV2000&lt;&gt;"",1,0)+IF(DW2000&lt;&gt;"",1,0)+IF(DX2000&lt;&gt;"",1,0)+IF(DY2000&lt;&gt;"",1,0)+IF(DZ2000&lt;&gt;"",1,0)+IF(EB2000&lt;&gt;"",1,0)+IF(EC2000&lt;&gt;"",1,0)+IF(ED2000&lt;&gt;"",1,0)+IF(EG2000&lt;&gt;"",1,0)+IF(EH2000&lt;&gt;"",1,0)</f>
        <v/>
      </c>
      <c r="AZ2000">
        <f>IF(EH2000&lt;&gt;"",1,0)</f>
        <v/>
      </c>
      <c r="BB2000" t="inlineStr">
        <is>
          <t>WARREN-WARD 4</t>
        </is>
      </c>
    </row>
    <row r="2001">
      <c r="A2001" t="inlineStr">
        <is>
          <t>OH0015681329</t>
        </is>
      </c>
      <c r="B2001" t="n">
        <v>78</v>
      </c>
      <c r="C2001" t="n">
        <v>319126</v>
      </c>
      <c r="D2001" t="inlineStr">
        <is>
          <t>PAFF</t>
        </is>
      </c>
      <c r="E2001" t="inlineStr">
        <is>
          <t>JENNIFER</t>
        </is>
      </c>
      <c r="F2001">
        <f>CONCATENATE(D2001," ",LEFT(H2001,4),"T=",AU2001,"D=",AV2001,"R=",AW2001,"M=",AX2001,"L=",AY2001,"B=",AZ2001)</f>
        <v/>
      </c>
      <c r="G2001" t="inlineStr">
        <is>
          <t>LYNN</t>
        </is>
      </c>
      <c r="I2001" t="inlineStr">
        <is>
          <t>1985-12-15</t>
        </is>
      </c>
      <c r="J2001" t="inlineStr">
        <is>
          <t>2018-10-09</t>
        </is>
      </c>
      <c r="K2001" t="inlineStr">
        <is>
          <t>CONFIRMATION</t>
        </is>
      </c>
      <c r="M2001" t="inlineStr">
        <is>
          <t>438 WAVERLY AVE NE</t>
        </is>
      </c>
      <c r="N2001">
        <f>RIGHT(M2001,LEN(M2001)-FIND(" ",M2001))</f>
        <v/>
      </c>
      <c r="P2001" t="inlineStr">
        <is>
          <t>WARREN</t>
        </is>
      </c>
      <c r="Q2001" t="inlineStr">
        <is>
          <t>OH</t>
        </is>
      </c>
      <c r="R2001" t="n">
        <v>44483</v>
      </c>
      <c r="AD2001" t="inlineStr">
        <is>
          <t>TRUMBULL CAREER &amp; TECH CENTER</t>
        </is>
      </c>
      <c r="AE2001" t="inlineStr">
        <is>
          <t>WARREN CITY</t>
        </is>
      </c>
      <c r="AF2001" t="inlineStr">
        <is>
          <t>WARREN CITY SD</t>
        </is>
      </c>
      <c r="AH2001" t="n">
        <v>14</v>
      </c>
      <c r="AI2001" t="n">
        <v>11</v>
      </c>
      <c r="AN2001" t="inlineStr">
        <is>
          <t>WARREN</t>
        </is>
      </c>
      <c r="AO2001" t="inlineStr">
        <is>
          <t>WARREN CITY 4D</t>
        </is>
      </c>
      <c r="AP2001" t="inlineStr">
        <is>
          <t>78-P-ADL</t>
        </is>
      </c>
      <c r="AQ2001" t="n">
        <v>9</v>
      </c>
      <c r="AR2001" t="n">
        <v>64</v>
      </c>
      <c r="AS2001" t="n">
        <v>32</v>
      </c>
      <c r="AU2001">
        <f>COUNTA($BA$2001:$EH$2001)</f>
        <v/>
      </c>
      <c r="AV2001">
        <f>COUNTIF($BA$2001:$EH$2001,"D")</f>
        <v/>
      </c>
      <c r="AW2001">
        <f>COUNTIF($BA$2001:$EH$2001,"R")</f>
        <v/>
      </c>
      <c r="AX2001">
        <f>IF(BN2001="D",1,0)+IF(BO2001="D",1,0)+IF(BT2001="D",1,0)+IF(BU2001="D",1,0)+IF(BW2001="D",1,0)+IF(CC2001="D",1,0)+IF(CD2001="D",1,0)+IF(CE2001="D",1,0)+IF(CF2001="D",1,0)+IF(CL2001="D",1,0)+IF(CM2001="D",1,0)+IF(CQ2001="D",1,0)+IF(CR2001="D",1,0)+IF(CS2001="D",1,0)+IF(CW2001="D",1,0)+IF(CX2001="D",1,0)+IF(DD2001="D",1,0)+IF(DE2001="D",1,0)+IF(DJ2001="D",1,0)+IF(DK2001="D",1,0)+IF(DO2001="D",1,0)+IF(DP2001="D",1,0)+IF(DQ2001="D",1,0)+IF(DW2001="D",1,0)+IF(DZ2001="D",1,0)+IF(EH2001="D",1,0)</f>
        <v/>
      </c>
      <c r="AY2001">
        <f>IF(DJ2001&lt;&gt;"",1,0)+IF(DK2001&lt;&gt;"",1,0)+IF(DM2001&lt;&gt;"",1,0)+IF(DO2001&lt;&gt;"",1,0)+IF(DP2001&lt;&gt;"",1,0)+IF(DQ2001&lt;&gt;"",1,0)+IF(DS2001&lt;&gt;"",1,0)+IF(DT2001&lt;&gt;"",1,0)+IF(DV2001&lt;&gt;"",1,0)+IF(DW2001&lt;&gt;"",1,0)+IF(DX2001&lt;&gt;"",1,0)+IF(DY2001&lt;&gt;"",1,0)+IF(DZ2001&lt;&gt;"",1,0)+IF(EB2001&lt;&gt;"",1,0)+IF(EC2001&lt;&gt;"",1,0)+IF(ED2001&lt;&gt;"",1,0)+IF(EG2001&lt;&gt;"",1,0)+IF(EH2001&lt;&gt;"",1,0)</f>
        <v/>
      </c>
      <c r="AZ2001">
        <f>IF(EH2001&lt;&gt;"",1,0)</f>
        <v/>
      </c>
      <c r="BB2001" t="inlineStr">
        <is>
          <t>WARREN-WARD 4</t>
        </is>
      </c>
      <c r="BL2001" t="inlineStr">
        <is>
          <t>X</t>
        </is>
      </c>
    </row>
    <row r="2002">
      <c r="A2002" t="inlineStr">
        <is>
          <t>OH0023266347</t>
        </is>
      </c>
      <c r="B2002" t="n">
        <v>78</v>
      </c>
      <c r="C2002" t="n">
        <v>409421</v>
      </c>
      <c r="D2002" t="inlineStr">
        <is>
          <t>RILEY</t>
        </is>
      </c>
      <c r="E2002" t="inlineStr">
        <is>
          <t>DAVID</t>
        </is>
      </c>
      <c r="F2002">
        <f>CONCATENATE(D2002," ",LEFT(H2002,4),"T=",AU2002,"D=",AV2002,"R=",AW2002,"M=",AX2002,"L=",AY2002,"B=",AZ2002)</f>
        <v/>
      </c>
      <c r="G2002" t="inlineStr">
        <is>
          <t>E</t>
        </is>
      </c>
      <c r="I2002" t="inlineStr">
        <is>
          <t>1956-02-27</t>
        </is>
      </c>
      <c r="J2002" t="inlineStr">
        <is>
          <t>2015-08-11</t>
        </is>
      </c>
      <c r="K2002" t="inlineStr">
        <is>
          <t>ACTIVE</t>
        </is>
      </c>
      <c r="M2002" t="inlineStr">
        <is>
          <t>461 WASHINGTON ST NE</t>
        </is>
      </c>
      <c r="N2002">
        <f>RIGHT(M2002,LEN(M2002)-FIND(" ",M2002))</f>
        <v/>
      </c>
      <c r="P2002" t="inlineStr">
        <is>
          <t>WARREN</t>
        </is>
      </c>
      <c r="Q2002" t="inlineStr">
        <is>
          <t>OH</t>
        </is>
      </c>
      <c r="R2002" t="n">
        <v>44483</v>
      </c>
      <c r="AD2002" t="inlineStr">
        <is>
          <t>TRUMBULL CAREER &amp; TECH CENTER</t>
        </is>
      </c>
      <c r="AE2002" t="inlineStr">
        <is>
          <t>WARREN CITY</t>
        </is>
      </c>
      <c r="AF2002" t="inlineStr">
        <is>
          <t>WARREN CITY SD</t>
        </is>
      </c>
      <c r="AH2002" t="n">
        <v>14</v>
      </c>
      <c r="AI2002" t="n">
        <v>11</v>
      </c>
      <c r="AN2002" t="inlineStr">
        <is>
          <t>WARREN</t>
        </is>
      </c>
      <c r="AO2002" t="inlineStr">
        <is>
          <t>WARREN CITY 4D</t>
        </is>
      </c>
      <c r="AP2002" t="inlineStr">
        <is>
          <t>78-P-ADL</t>
        </is>
      </c>
      <c r="AQ2002" t="n">
        <v>9</v>
      </c>
      <c r="AR2002" t="n">
        <v>64</v>
      </c>
      <c r="AS2002" t="n">
        <v>32</v>
      </c>
      <c r="AU2002">
        <f>COUNTA($BA$2002:$EH$2002)</f>
        <v/>
      </c>
      <c r="AV2002">
        <f>COUNTIF($BA$2002:$EH$2002,"D")</f>
        <v/>
      </c>
      <c r="AW2002">
        <f>COUNTIF($BA$2002:$EH$2002,"R")</f>
        <v/>
      </c>
      <c r="AX2002">
        <f>IF(BN2002="D",1,0)+IF(BO2002="D",1,0)+IF(BT2002="D",1,0)+IF(BU2002="D",1,0)+IF(BW2002="D",1,0)+IF(CC2002="D",1,0)+IF(CD2002="D",1,0)+IF(CE2002="D",1,0)+IF(CF2002="D",1,0)+IF(CL2002="D",1,0)+IF(CM2002="D",1,0)+IF(CQ2002="D",1,0)+IF(CR2002="D",1,0)+IF(CS2002="D",1,0)+IF(CW2002="D",1,0)+IF(CX2002="D",1,0)+IF(DD2002="D",1,0)+IF(DE2002="D",1,0)+IF(DJ2002="D",1,0)+IF(DK2002="D",1,0)+IF(DO2002="D",1,0)+IF(DP2002="D",1,0)+IF(DQ2002="D",1,0)+IF(DW2002="D",1,0)+IF(DZ2002="D",1,0)+IF(EH2002="D",1,0)</f>
        <v/>
      </c>
      <c r="AY2002">
        <f>IF(DJ2002&lt;&gt;"",1,0)+IF(DK2002&lt;&gt;"",1,0)+IF(DM2002&lt;&gt;"",1,0)+IF(DO2002&lt;&gt;"",1,0)+IF(DP2002&lt;&gt;"",1,0)+IF(DQ2002&lt;&gt;"",1,0)+IF(DS2002&lt;&gt;"",1,0)+IF(DT2002&lt;&gt;"",1,0)+IF(DV2002&lt;&gt;"",1,0)+IF(DW2002&lt;&gt;"",1,0)+IF(DX2002&lt;&gt;"",1,0)+IF(DY2002&lt;&gt;"",1,0)+IF(DZ2002&lt;&gt;"",1,0)+IF(EB2002&lt;&gt;"",1,0)+IF(EC2002&lt;&gt;"",1,0)+IF(ED2002&lt;&gt;"",1,0)+IF(EG2002&lt;&gt;"",1,0)+IF(EH2002&lt;&gt;"",1,0)</f>
        <v/>
      </c>
      <c r="AZ2002">
        <f>IF(EH2002&lt;&gt;"",1,0)</f>
        <v/>
      </c>
      <c r="BB2002" t="inlineStr">
        <is>
          <t>WARREN-WARD 4</t>
        </is>
      </c>
      <c r="DC2002" t="inlineStr">
        <is>
          <t>X</t>
        </is>
      </c>
      <c r="DI2002" t="inlineStr">
        <is>
          <t>X</t>
        </is>
      </c>
      <c r="DL2002" t="inlineStr">
        <is>
          <t>X</t>
        </is>
      </c>
      <c r="DM2002" t="inlineStr">
        <is>
          <t>R</t>
        </is>
      </c>
      <c r="DN2002" t="inlineStr">
        <is>
          <t>X</t>
        </is>
      </c>
      <c r="DR2002" t="inlineStr">
        <is>
          <t>X</t>
        </is>
      </c>
      <c r="DU2002" t="inlineStr">
        <is>
          <t>X</t>
        </is>
      </c>
      <c r="DW2002" t="inlineStr">
        <is>
          <t>X</t>
        </is>
      </c>
      <c r="EA2002" t="inlineStr">
        <is>
          <t>X</t>
        </is>
      </c>
      <c r="EF2002" t="inlineStr">
        <is>
          <t>X</t>
        </is>
      </c>
    </row>
    <row r="2003">
      <c r="A2003" t="inlineStr">
        <is>
          <t>OH0024936472</t>
        </is>
      </c>
      <c r="B2003" t="n">
        <v>78</v>
      </c>
      <c r="C2003" t="n">
        <v>436538</v>
      </c>
      <c r="D2003" t="inlineStr">
        <is>
          <t>MACCARTNEY</t>
        </is>
      </c>
      <c r="E2003" t="inlineStr">
        <is>
          <t>TONITA</t>
        </is>
      </c>
      <c r="F2003">
        <f>CONCATENATE(D2003," ",LEFT(H2003,4),"T=",AU2003,"D=",AV2003,"R=",AW2003,"M=",AX2003,"L=",AY2003,"B=",AZ2003)</f>
        <v/>
      </c>
      <c r="G2003" t="inlineStr">
        <is>
          <t>L</t>
        </is>
      </c>
      <c r="I2003" t="inlineStr">
        <is>
          <t>1960-02-14</t>
        </is>
      </c>
      <c r="J2003" t="inlineStr">
        <is>
          <t>2018-11-06</t>
        </is>
      </c>
      <c r="K2003" t="inlineStr">
        <is>
          <t>ACTIVE</t>
        </is>
      </c>
      <c r="M2003" t="inlineStr">
        <is>
          <t>1104 HARRISON ST NE</t>
        </is>
      </c>
      <c r="N2003">
        <f>RIGHT(M2003,LEN(M2003)-FIND(" ",M2003))</f>
        <v/>
      </c>
      <c r="P2003" t="inlineStr">
        <is>
          <t>WARREN</t>
        </is>
      </c>
      <c r="Q2003" t="inlineStr">
        <is>
          <t>OH</t>
        </is>
      </c>
      <c r="R2003" t="n">
        <v>44483</v>
      </c>
      <c r="AD2003" t="inlineStr">
        <is>
          <t>TRUMBULL CAREER &amp; TECH CENTER</t>
        </is>
      </c>
      <c r="AE2003" t="inlineStr">
        <is>
          <t>WARREN CITY</t>
        </is>
      </c>
      <c r="AF2003" t="inlineStr">
        <is>
          <t>WARREN CITY SD</t>
        </is>
      </c>
      <c r="AH2003" t="n">
        <v>14</v>
      </c>
      <c r="AI2003" t="n">
        <v>11</v>
      </c>
      <c r="AN2003" t="inlineStr">
        <is>
          <t>WARREN</t>
        </is>
      </c>
      <c r="AO2003" t="inlineStr">
        <is>
          <t>WARREN CITY 4D</t>
        </is>
      </c>
      <c r="AP2003" t="inlineStr">
        <is>
          <t>78-P-ADL</t>
        </is>
      </c>
      <c r="AQ2003" t="n">
        <v>9</v>
      </c>
      <c r="AR2003" t="n">
        <v>64</v>
      </c>
      <c r="AS2003" t="n">
        <v>32</v>
      </c>
      <c r="AU2003">
        <f>COUNTA($BA$2003:$EH$2003)</f>
        <v/>
      </c>
      <c r="AV2003">
        <f>COUNTIF($BA$2003:$EH$2003,"D")</f>
        <v/>
      </c>
      <c r="AW2003">
        <f>COUNTIF($BA$2003:$EH$2003,"R")</f>
        <v/>
      </c>
      <c r="AX2003">
        <f>IF(BN2003="D",1,0)+IF(BO2003="D",1,0)+IF(BT2003="D",1,0)+IF(BU2003="D",1,0)+IF(BW2003="D",1,0)+IF(CC2003="D",1,0)+IF(CD2003="D",1,0)+IF(CE2003="D",1,0)+IF(CF2003="D",1,0)+IF(CL2003="D",1,0)+IF(CM2003="D",1,0)+IF(CQ2003="D",1,0)+IF(CR2003="D",1,0)+IF(CS2003="D",1,0)+IF(CW2003="D",1,0)+IF(CX2003="D",1,0)+IF(DD2003="D",1,0)+IF(DE2003="D",1,0)+IF(DJ2003="D",1,0)+IF(DK2003="D",1,0)+IF(DO2003="D",1,0)+IF(DP2003="D",1,0)+IF(DQ2003="D",1,0)+IF(DW2003="D",1,0)+IF(DZ2003="D",1,0)+IF(EH2003="D",1,0)</f>
        <v/>
      </c>
      <c r="AY2003">
        <f>IF(DJ2003&lt;&gt;"",1,0)+IF(DK2003&lt;&gt;"",1,0)+IF(DM2003&lt;&gt;"",1,0)+IF(DO2003&lt;&gt;"",1,0)+IF(DP2003&lt;&gt;"",1,0)+IF(DQ2003&lt;&gt;"",1,0)+IF(DS2003&lt;&gt;"",1,0)+IF(DT2003&lt;&gt;"",1,0)+IF(DV2003&lt;&gt;"",1,0)+IF(DW2003&lt;&gt;"",1,0)+IF(DX2003&lt;&gt;"",1,0)+IF(DY2003&lt;&gt;"",1,0)+IF(DZ2003&lt;&gt;"",1,0)+IF(EB2003&lt;&gt;"",1,0)+IF(EC2003&lt;&gt;"",1,0)+IF(ED2003&lt;&gt;"",1,0)+IF(EG2003&lt;&gt;"",1,0)+IF(EH2003&lt;&gt;"",1,0)</f>
        <v/>
      </c>
      <c r="AZ2003">
        <f>IF(EH2003&lt;&gt;"",1,0)</f>
        <v/>
      </c>
      <c r="BB2003" t="inlineStr">
        <is>
          <t>WARREN-WARD 4</t>
        </is>
      </c>
      <c r="BL2003" t="inlineStr">
        <is>
          <t>X</t>
        </is>
      </c>
      <c r="BY2003" t="inlineStr">
        <is>
          <t>D</t>
        </is>
      </c>
      <c r="CA2003" t="inlineStr">
        <is>
          <t>X</t>
        </is>
      </c>
      <c r="CG2003" t="inlineStr">
        <is>
          <t>X</t>
        </is>
      </c>
      <c r="CO2003" t="inlineStr">
        <is>
          <t>D</t>
        </is>
      </c>
      <c r="CP2003" t="inlineStr">
        <is>
          <t>X</t>
        </is>
      </c>
      <c r="CQ2003" t="inlineStr">
        <is>
          <t>X</t>
        </is>
      </c>
      <c r="CY2003" t="inlineStr">
        <is>
          <t>X</t>
        </is>
      </c>
      <c r="CZ2003" t="inlineStr">
        <is>
          <t>D</t>
        </is>
      </c>
      <c r="DC2003" t="inlineStr">
        <is>
          <t>X</t>
        </is>
      </c>
      <c r="DI2003" t="inlineStr">
        <is>
          <t>X</t>
        </is>
      </c>
      <c r="DN2003" t="inlineStr">
        <is>
          <t>X</t>
        </is>
      </c>
    </row>
    <row r="2004">
      <c r="A2004" t="inlineStr">
        <is>
          <t>OH0020900571</t>
        </is>
      </c>
      <c r="B2004" t="n">
        <v>78</v>
      </c>
      <c r="C2004" t="n">
        <v>371678</v>
      </c>
      <c r="D2004" t="inlineStr">
        <is>
          <t>WHEELER</t>
        </is>
      </c>
      <c r="E2004" t="inlineStr">
        <is>
          <t>BENJAMIN</t>
        </is>
      </c>
      <c r="F2004">
        <f>CONCATENATE(D2004," ",LEFT(H2004,4),"T=",AU2004,"D=",AV2004,"R=",AW2004,"M=",AX2004,"L=",AY2004,"B=",AZ2004)</f>
        <v/>
      </c>
      <c r="G2004" t="inlineStr">
        <is>
          <t>JOSEPH</t>
        </is>
      </c>
      <c r="I2004" t="inlineStr">
        <is>
          <t>1979-11-02</t>
        </is>
      </c>
      <c r="J2004" t="inlineStr">
        <is>
          <t>2015-11-14</t>
        </is>
      </c>
      <c r="K2004" t="inlineStr">
        <is>
          <t>ACTIVE</t>
        </is>
      </c>
      <c r="M2004" t="inlineStr">
        <is>
          <t>916 E MARKET ST</t>
        </is>
      </c>
      <c r="N2004">
        <f>RIGHT(M2004,LEN(M2004)-FIND(" ",M2004))</f>
        <v/>
      </c>
      <c r="P2004" t="inlineStr">
        <is>
          <t>WARREN</t>
        </is>
      </c>
      <c r="Q2004" t="inlineStr">
        <is>
          <t>OH</t>
        </is>
      </c>
      <c r="R2004" t="n">
        <v>44483</v>
      </c>
      <c r="AD2004" t="inlineStr">
        <is>
          <t>TRUMBULL CAREER &amp; TECH CENTER</t>
        </is>
      </c>
      <c r="AE2004" t="inlineStr">
        <is>
          <t>WARREN CITY</t>
        </is>
      </c>
      <c r="AF2004" t="inlineStr">
        <is>
          <t>WARREN CITY SD</t>
        </is>
      </c>
      <c r="AH2004" t="n">
        <v>14</v>
      </c>
      <c r="AI2004" t="n">
        <v>11</v>
      </c>
      <c r="AN2004" t="inlineStr">
        <is>
          <t>WARREN</t>
        </is>
      </c>
      <c r="AO2004" t="inlineStr">
        <is>
          <t>WARREN CITY 4D</t>
        </is>
      </c>
      <c r="AP2004" t="inlineStr">
        <is>
          <t>78-P-ADL</t>
        </is>
      </c>
      <c r="AQ2004" t="n">
        <v>9</v>
      </c>
      <c r="AR2004" t="n">
        <v>64</v>
      </c>
      <c r="AS2004" t="n">
        <v>32</v>
      </c>
      <c r="AU2004">
        <f>COUNTA($BA$2004:$EH$2004)</f>
        <v/>
      </c>
      <c r="AV2004">
        <f>COUNTIF($BA$2004:$EH$2004,"D")</f>
        <v/>
      </c>
      <c r="AW2004">
        <f>COUNTIF($BA$2004:$EH$2004,"R")</f>
        <v/>
      </c>
      <c r="AX2004">
        <f>IF(BN2004="D",1,0)+IF(BO2004="D",1,0)+IF(BT2004="D",1,0)+IF(BU2004="D",1,0)+IF(BW2004="D",1,0)+IF(CC2004="D",1,0)+IF(CD2004="D",1,0)+IF(CE2004="D",1,0)+IF(CF2004="D",1,0)+IF(CL2004="D",1,0)+IF(CM2004="D",1,0)+IF(CQ2004="D",1,0)+IF(CR2004="D",1,0)+IF(CS2004="D",1,0)+IF(CW2004="D",1,0)+IF(CX2004="D",1,0)+IF(DD2004="D",1,0)+IF(DE2004="D",1,0)+IF(DJ2004="D",1,0)+IF(DK2004="D",1,0)+IF(DO2004="D",1,0)+IF(DP2004="D",1,0)+IF(DQ2004="D",1,0)+IF(DW2004="D",1,0)+IF(DZ2004="D",1,0)+IF(EH2004="D",1,0)</f>
        <v/>
      </c>
      <c r="AY2004">
        <f>IF(DJ2004&lt;&gt;"",1,0)+IF(DK2004&lt;&gt;"",1,0)+IF(DM2004&lt;&gt;"",1,0)+IF(DO2004&lt;&gt;"",1,0)+IF(DP2004&lt;&gt;"",1,0)+IF(DQ2004&lt;&gt;"",1,0)+IF(DS2004&lt;&gt;"",1,0)+IF(DT2004&lt;&gt;"",1,0)+IF(DV2004&lt;&gt;"",1,0)+IF(DW2004&lt;&gt;"",1,0)+IF(DX2004&lt;&gt;"",1,0)+IF(DY2004&lt;&gt;"",1,0)+IF(DZ2004&lt;&gt;"",1,0)+IF(EB2004&lt;&gt;"",1,0)+IF(EC2004&lt;&gt;"",1,0)+IF(ED2004&lt;&gt;"",1,0)+IF(EG2004&lt;&gt;"",1,0)+IF(EH2004&lt;&gt;"",1,0)</f>
        <v/>
      </c>
      <c r="AZ2004">
        <f>IF(EH2004&lt;&gt;"",1,0)</f>
        <v/>
      </c>
      <c r="BB2004" t="inlineStr">
        <is>
          <t>WARREN-WARD 4</t>
        </is>
      </c>
    </row>
    <row r="2005">
      <c r="A2005" t="inlineStr">
        <is>
          <t>OH0024896756</t>
        </is>
      </c>
      <c r="B2005" t="n">
        <v>78</v>
      </c>
      <c r="C2005" t="n">
        <v>436370</v>
      </c>
      <c r="D2005" t="inlineStr">
        <is>
          <t>MARCHESE</t>
        </is>
      </c>
      <c r="E2005" t="inlineStr">
        <is>
          <t>FRANK</t>
        </is>
      </c>
      <c r="F2005">
        <f>CONCATENATE(D2005," ",LEFT(H2005,4),"T=",AU2005,"D=",AV2005,"R=",AW2005,"M=",AX2005,"L=",AY2005,"B=",AZ2005)</f>
        <v/>
      </c>
      <c r="G2005" t="inlineStr">
        <is>
          <t>EDWARD</t>
        </is>
      </c>
      <c r="H2005" t="inlineStr">
        <is>
          <t>JR</t>
        </is>
      </c>
      <c r="I2005" t="inlineStr">
        <is>
          <t>1967-07-10</t>
        </is>
      </c>
      <c r="J2005" t="inlineStr">
        <is>
          <t>2018-10-03</t>
        </is>
      </c>
      <c r="K2005" t="inlineStr">
        <is>
          <t>ACTIVE</t>
        </is>
      </c>
      <c r="L2005" t="inlineStr">
        <is>
          <t>D</t>
        </is>
      </c>
      <c r="M2005" t="inlineStr">
        <is>
          <t>243 CHARLES AVE NE</t>
        </is>
      </c>
      <c r="N2005">
        <f>RIGHT(M2005,LEN(M2005)-FIND(" ",M2005))</f>
        <v/>
      </c>
      <c r="P2005" t="inlineStr">
        <is>
          <t>WARREN</t>
        </is>
      </c>
      <c r="Q2005" t="inlineStr">
        <is>
          <t>OH</t>
        </is>
      </c>
      <c r="R2005" t="n">
        <v>44483</v>
      </c>
      <c r="AD2005" t="inlineStr">
        <is>
          <t>TRUMBULL CAREER &amp; TECH CENTER</t>
        </is>
      </c>
      <c r="AE2005" t="inlineStr">
        <is>
          <t>WARREN CITY</t>
        </is>
      </c>
      <c r="AF2005" t="inlineStr">
        <is>
          <t>WARREN CITY SD</t>
        </is>
      </c>
      <c r="AH2005" t="n">
        <v>14</v>
      </c>
      <c r="AI2005" t="n">
        <v>11</v>
      </c>
      <c r="AN2005" t="inlineStr">
        <is>
          <t>WARREN</t>
        </is>
      </c>
      <c r="AO2005" t="inlineStr">
        <is>
          <t>WARREN CITY 4D</t>
        </is>
      </c>
      <c r="AP2005" t="inlineStr">
        <is>
          <t>78-P-ADL</t>
        </is>
      </c>
      <c r="AQ2005" t="n">
        <v>9</v>
      </c>
      <c r="AR2005" t="n">
        <v>64</v>
      </c>
      <c r="AS2005" t="n">
        <v>32</v>
      </c>
      <c r="AU2005">
        <f>COUNTA($BA$2005:$EH$2005)</f>
        <v/>
      </c>
      <c r="AV2005">
        <f>COUNTIF($BA$2005:$EH$2005,"D")</f>
        <v/>
      </c>
      <c r="AW2005">
        <f>COUNTIF($BA$2005:$EH$2005,"R")</f>
        <v/>
      </c>
      <c r="AX2005">
        <f>IF(BN2005="D",1,0)+IF(BO2005="D",1,0)+IF(BT2005="D",1,0)+IF(BU2005="D",1,0)+IF(BW2005="D",1,0)+IF(CC2005="D",1,0)+IF(CD2005="D",1,0)+IF(CE2005="D",1,0)+IF(CF2005="D",1,0)+IF(CL2005="D",1,0)+IF(CM2005="D",1,0)+IF(CQ2005="D",1,0)+IF(CR2005="D",1,0)+IF(CS2005="D",1,0)+IF(CW2005="D",1,0)+IF(CX2005="D",1,0)+IF(DD2005="D",1,0)+IF(DE2005="D",1,0)+IF(DJ2005="D",1,0)+IF(DK2005="D",1,0)+IF(DO2005="D",1,0)+IF(DP2005="D",1,0)+IF(DQ2005="D",1,0)+IF(DW2005="D",1,0)+IF(DZ2005="D",1,0)+IF(EH2005="D",1,0)</f>
        <v/>
      </c>
      <c r="AY2005">
        <f>IF(DJ2005&lt;&gt;"",1,0)+IF(DK2005&lt;&gt;"",1,0)+IF(DM2005&lt;&gt;"",1,0)+IF(DO2005&lt;&gt;"",1,0)+IF(DP2005&lt;&gt;"",1,0)+IF(DQ2005&lt;&gt;"",1,0)+IF(DS2005&lt;&gt;"",1,0)+IF(DT2005&lt;&gt;"",1,0)+IF(DV2005&lt;&gt;"",1,0)+IF(DW2005&lt;&gt;"",1,0)+IF(DX2005&lt;&gt;"",1,0)+IF(DY2005&lt;&gt;"",1,0)+IF(DZ2005&lt;&gt;"",1,0)+IF(EB2005&lt;&gt;"",1,0)+IF(EC2005&lt;&gt;"",1,0)+IF(ED2005&lt;&gt;"",1,0)+IF(EG2005&lt;&gt;"",1,0)+IF(EH2005&lt;&gt;"",1,0)</f>
        <v/>
      </c>
      <c r="AZ2005">
        <f>IF(EH2005&lt;&gt;"",1,0)</f>
        <v/>
      </c>
      <c r="BB2005" t="inlineStr">
        <is>
          <t>WARREN-WARD 4</t>
        </is>
      </c>
      <c r="DI2005" t="inlineStr">
        <is>
          <t>X</t>
        </is>
      </c>
      <c r="DM2005" t="inlineStr">
        <is>
          <t>D</t>
        </is>
      </c>
      <c r="DN2005" t="inlineStr">
        <is>
          <t>X</t>
        </is>
      </c>
      <c r="DU2005" t="inlineStr">
        <is>
          <t>X</t>
        </is>
      </c>
      <c r="DW2005" t="inlineStr">
        <is>
          <t>D</t>
        </is>
      </c>
      <c r="DX2005" t="inlineStr">
        <is>
          <t>X</t>
        </is>
      </c>
      <c r="EA2005" t="inlineStr">
        <is>
          <t>X</t>
        </is>
      </c>
      <c r="ED2005" t="inlineStr">
        <is>
          <t>D</t>
        </is>
      </c>
      <c r="EF2005" t="inlineStr">
        <is>
          <t>X</t>
        </is>
      </c>
    </row>
    <row r="2006">
      <c r="A2006" t="inlineStr">
        <is>
          <t>OH0024903221</t>
        </is>
      </c>
      <c r="B2006" t="n">
        <v>78</v>
      </c>
      <c r="C2006" t="n">
        <v>436439</v>
      </c>
      <c r="D2006" t="inlineStr">
        <is>
          <t>BRENT</t>
        </is>
      </c>
      <c r="E2006" t="inlineStr">
        <is>
          <t>AUSTIN</t>
        </is>
      </c>
      <c r="F2006">
        <f>CONCATENATE(D2006," ",LEFT(H2006,4),"T=",AU2006,"D=",AV2006,"R=",AW2006,"M=",AX2006,"L=",AY2006,"B=",AZ2006)</f>
        <v/>
      </c>
      <c r="G2006" t="inlineStr">
        <is>
          <t>JAMES</t>
        </is>
      </c>
      <c r="I2006" t="inlineStr">
        <is>
          <t>2000-10-03</t>
        </is>
      </c>
      <c r="J2006" t="inlineStr">
        <is>
          <t>2018-10-09</t>
        </is>
      </c>
      <c r="K2006" t="inlineStr">
        <is>
          <t>ACTIVE</t>
        </is>
      </c>
      <c r="M2006" t="inlineStr">
        <is>
          <t>454 WASHINGTON ST NE</t>
        </is>
      </c>
      <c r="N2006">
        <f>RIGHT(M2006,LEN(M2006)-FIND(" ",M2006))</f>
        <v/>
      </c>
      <c r="P2006" t="inlineStr">
        <is>
          <t>WARREN</t>
        </is>
      </c>
      <c r="Q2006" t="inlineStr">
        <is>
          <t>OH</t>
        </is>
      </c>
      <c r="R2006" t="n">
        <v>44483</v>
      </c>
      <c r="AD2006" t="inlineStr">
        <is>
          <t>TRUMBULL CAREER &amp; TECH CENTER</t>
        </is>
      </c>
      <c r="AE2006" t="inlineStr">
        <is>
          <t>WARREN CITY</t>
        </is>
      </c>
      <c r="AF2006" t="inlineStr">
        <is>
          <t>WARREN CITY SD</t>
        </is>
      </c>
      <c r="AH2006" t="n">
        <v>14</v>
      </c>
      <c r="AI2006" t="n">
        <v>11</v>
      </c>
      <c r="AN2006" t="inlineStr">
        <is>
          <t>WARREN</t>
        </is>
      </c>
      <c r="AO2006" t="inlineStr">
        <is>
          <t>WARREN CITY 4D</t>
        </is>
      </c>
      <c r="AP2006" t="inlineStr">
        <is>
          <t>78-P-ADL</t>
        </is>
      </c>
      <c r="AQ2006" t="n">
        <v>9</v>
      </c>
      <c r="AR2006" t="n">
        <v>64</v>
      </c>
      <c r="AS2006" t="n">
        <v>32</v>
      </c>
      <c r="AU2006">
        <f>COUNTA($BA$2006:$EH$2006)</f>
        <v/>
      </c>
      <c r="AV2006">
        <f>COUNTIF($BA$2006:$EH$2006,"D")</f>
        <v/>
      </c>
      <c r="AW2006">
        <f>COUNTIF($BA$2006:$EH$2006,"R")</f>
        <v/>
      </c>
      <c r="AX2006">
        <f>IF(BN2006="D",1,0)+IF(BO2006="D",1,0)+IF(BT2006="D",1,0)+IF(BU2006="D",1,0)+IF(BW2006="D",1,0)+IF(CC2006="D",1,0)+IF(CD2006="D",1,0)+IF(CE2006="D",1,0)+IF(CF2006="D",1,0)+IF(CL2006="D",1,0)+IF(CM2006="D",1,0)+IF(CQ2006="D",1,0)+IF(CR2006="D",1,0)+IF(CS2006="D",1,0)+IF(CW2006="D",1,0)+IF(CX2006="D",1,0)+IF(DD2006="D",1,0)+IF(DE2006="D",1,0)+IF(DJ2006="D",1,0)+IF(DK2006="D",1,0)+IF(DO2006="D",1,0)+IF(DP2006="D",1,0)+IF(DQ2006="D",1,0)+IF(DW2006="D",1,0)+IF(DZ2006="D",1,0)+IF(EH2006="D",1,0)</f>
        <v/>
      </c>
      <c r="AY2006">
        <f>IF(DJ2006&lt;&gt;"",1,0)+IF(DK2006&lt;&gt;"",1,0)+IF(DM2006&lt;&gt;"",1,0)+IF(DO2006&lt;&gt;"",1,0)+IF(DP2006&lt;&gt;"",1,0)+IF(DQ2006&lt;&gt;"",1,0)+IF(DS2006&lt;&gt;"",1,0)+IF(DT2006&lt;&gt;"",1,0)+IF(DV2006&lt;&gt;"",1,0)+IF(DW2006&lt;&gt;"",1,0)+IF(DX2006&lt;&gt;"",1,0)+IF(DY2006&lt;&gt;"",1,0)+IF(DZ2006&lt;&gt;"",1,0)+IF(EB2006&lt;&gt;"",1,0)+IF(EC2006&lt;&gt;"",1,0)+IF(ED2006&lt;&gt;"",1,0)+IF(EG2006&lt;&gt;"",1,0)+IF(EH2006&lt;&gt;"",1,0)</f>
        <v/>
      </c>
      <c r="AZ2006">
        <f>IF(EH2006&lt;&gt;"",1,0)</f>
        <v/>
      </c>
      <c r="BB2006" t="inlineStr">
        <is>
          <t>WARREN-WARD 4</t>
        </is>
      </c>
      <c r="EA2006" t="inlineStr">
        <is>
          <t>X</t>
        </is>
      </c>
      <c r="EF2006" t="inlineStr">
        <is>
          <t>X</t>
        </is>
      </c>
    </row>
    <row r="2007">
      <c r="A2007" t="inlineStr">
        <is>
          <t>OH0015704470</t>
        </is>
      </c>
      <c r="B2007" t="n">
        <v>78</v>
      </c>
      <c r="C2007" t="n">
        <v>166092</v>
      </c>
      <c r="D2007" t="inlineStr">
        <is>
          <t>HALL</t>
        </is>
      </c>
      <c r="E2007" t="inlineStr">
        <is>
          <t>GLORIA</t>
        </is>
      </c>
      <c r="F2007">
        <f>CONCATENATE(D2007," ",LEFT(H2007,4),"T=",AU2007,"D=",AV2007,"R=",AW2007,"M=",AX2007,"L=",AY2007,"B=",AZ2007)</f>
        <v/>
      </c>
      <c r="I2007" t="inlineStr">
        <is>
          <t>1952-03-16</t>
        </is>
      </c>
      <c r="J2007" t="inlineStr">
        <is>
          <t>2012-10-01</t>
        </is>
      </c>
      <c r="K2007" t="inlineStr">
        <is>
          <t>ACTIVE</t>
        </is>
      </c>
      <c r="L2007" t="inlineStr">
        <is>
          <t>D</t>
        </is>
      </c>
      <c r="M2007" t="inlineStr">
        <is>
          <t>1189 MCKINLEY ST NE</t>
        </is>
      </c>
      <c r="N2007">
        <f>RIGHT(M2007,LEN(M2007)-FIND(" ",M2007))</f>
        <v/>
      </c>
      <c r="P2007" t="inlineStr">
        <is>
          <t>WARREN</t>
        </is>
      </c>
      <c r="Q2007" t="inlineStr">
        <is>
          <t>OH</t>
        </is>
      </c>
      <c r="R2007" t="n">
        <v>44483</v>
      </c>
      <c r="AD2007" t="inlineStr">
        <is>
          <t>TRUMBULL CAREER &amp; TECH CENTER</t>
        </is>
      </c>
      <c r="AE2007" t="inlineStr">
        <is>
          <t>WARREN CITY</t>
        </is>
      </c>
      <c r="AF2007" t="inlineStr">
        <is>
          <t>WARREN CITY SD</t>
        </is>
      </c>
      <c r="AH2007" t="n">
        <v>14</v>
      </c>
      <c r="AI2007" t="n">
        <v>11</v>
      </c>
      <c r="AN2007" t="inlineStr">
        <is>
          <t>WARREN</t>
        </is>
      </c>
      <c r="AO2007" t="inlineStr">
        <is>
          <t>WARREN CITY 4D</t>
        </is>
      </c>
      <c r="AP2007" t="inlineStr">
        <is>
          <t>78-P-ADL</t>
        </is>
      </c>
      <c r="AQ2007" t="n">
        <v>9</v>
      </c>
      <c r="AR2007" t="n">
        <v>64</v>
      </c>
      <c r="AS2007" t="n">
        <v>32</v>
      </c>
      <c r="AU2007">
        <f>COUNTA($BA$2007:$EH$2007)</f>
        <v/>
      </c>
      <c r="AV2007">
        <f>COUNTIF($BA$2007:$EH$2007,"D")</f>
        <v/>
      </c>
      <c r="AW2007">
        <f>COUNTIF($BA$2007:$EH$2007,"R")</f>
        <v/>
      </c>
      <c r="AX2007">
        <f>IF(BN2007="D",1,0)+IF(BO2007="D",1,0)+IF(BT2007="D",1,0)+IF(BU2007="D",1,0)+IF(BW2007="D",1,0)+IF(CC2007="D",1,0)+IF(CD2007="D",1,0)+IF(CE2007="D",1,0)+IF(CF2007="D",1,0)+IF(CL2007="D",1,0)+IF(CM2007="D",1,0)+IF(CQ2007="D",1,0)+IF(CR2007="D",1,0)+IF(CS2007="D",1,0)+IF(CW2007="D",1,0)+IF(CX2007="D",1,0)+IF(DD2007="D",1,0)+IF(DE2007="D",1,0)+IF(DJ2007="D",1,0)+IF(DK2007="D",1,0)+IF(DO2007="D",1,0)+IF(DP2007="D",1,0)+IF(DQ2007="D",1,0)+IF(DW2007="D",1,0)+IF(DZ2007="D",1,0)+IF(EH2007="D",1,0)</f>
        <v/>
      </c>
      <c r="AY2007">
        <f>IF(DJ2007&lt;&gt;"",1,0)+IF(DK2007&lt;&gt;"",1,0)+IF(DM2007&lt;&gt;"",1,0)+IF(DO2007&lt;&gt;"",1,0)+IF(DP2007&lt;&gt;"",1,0)+IF(DQ2007&lt;&gt;"",1,0)+IF(DS2007&lt;&gt;"",1,0)+IF(DT2007&lt;&gt;"",1,0)+IF(DV2007&lt;&gt;"",1,0)+IF(DW2007&lt;&gt;"",1,0)+IF(DX2007&lt;&gt;"",1,0)+IF(DY2007&lt;&gt;"",1,0)+IF(DZ2007&lt;&gt;"",1,0)+IF(EB2007&lt;&gt;"",1,0)+IF(EC2007&lt;&gt;"",1,0)+IF(ED2007&lt;&gt;"",1,0)+IF(EG2007&lt;&gt;"",1,0)+IF(EH2007&lt;&gt;"",1,0)</f>
        <v/>
      </c>
      <c r="AZ2007">
        <f>IF(EH2007&lt;&gt;"",1,0)</f>
        <v/>
      </c>
      <c r="BB2007" t="inlineStr">
        <is>
          <t>WARREN-WARD 4</t>
        </is>
      </c>
      <c r="BD2007" t="inlineStr">
        <is>
          <t>X</t>
        </is>
      </c>
      <c r="BL2007" t="inlineStr">
        <is>
          <t>X</t>
        </is>
      </c>
      <c r="CA2007" t="inlineStr">
        <is>
          <t>X</t>
        </is>
      </c>
      <c r="CP2007" t="inlineStr">
        <is>
          <t>X</t>
        </is>
      </c>
      <c r="CV2007" t="inlineStr">
        <is>
          <t>X</t>
        </is>
      </c>
      <c r="CY2007" t="inlineStr">
        <is>
          <t>X</t>
        </is>
      </c>
      <c r="CZ2007" t="inlineStr">
        <is>
          <t>D</t>
        </is>
      </c>
      <c r="DC2007" t="inlineStr">
        <is>
          <t>X</t>
        </is>
      </c>
      <c r="DI2007" t="inlineStr">
        <is>
          <t>X</t>
        </is>
      </c>
      <c r="DN2007" t="inlineStr">
        <is>
          <t>X</t>
        </is>
      </c>
      <c r="DU2007" t="inlineStr">
        <is>
          <t>X</t>
        </is>
      </c>
      <c r="DW2007" t="inlineStr">
        <is>
          <t>D</t>
        </is>
      </c>
      <c r="EF2007" t="inlineStr">
        <is>
          <t>X</t>
        </is>
      </c>
    </row>
    <row r="2008">
      <c r="A2008" t="inlineStr">
        <is>
          <t>OH0021122648</t>
        </is>
      </c>
      <c r="B2008" t="n">
        <v>78</v>
      </c>
      <c r="C2008" t="n">
        <v>375913</v>
      </c>
      <c r="D2008" t="inlineStr">
        <is>
          <t>CASTLE</t>
        </is>
      </c>
      <c r="E2008" t="inlineStr">
        <is>
          <t>WENDY</t>
        </is>
      </c>
      <c r="F2008">
        <f>CONCATENATE(D2008," ",LEFT(H2008,4),"T=",AU2008,"D=",AV2008,"R=",AW2008,"M=",AX2008,"L=",AY2008,"B=",AZ2008)</f>
        <v/>
      </c>
      <c r="G2008" t="inlineStr">
        <is>
          <t>ELAINE</t>
        </is>
      </c>
      <c r="I2008" t="inlineStr">
        <is>
          <t>1991-04-09</t>
        </is>
      </c>
      <c r="J2008" t="inlineStr">
        <is>
          <t>2020-09-03</t>
        </is>
      </c>
      <c r="K2008" t="inlineStr">
        <is>
          <t>ACTIVE</t>
        </is>
      </c>
      <c r="M2008" t="inlineStr">
        <is>
          <t>429 LAIRD AVE NE</t>
        </is>
      </c>
      <c r="N2008">
        <f>RIGHT(M2008,LEN(M2008)-FIND(" ",M2008))</f>
        <v/>
      </c>
      <c r="P2008" t="inlineStr">
        <is>
          <t>WARREN</t>
        </is>
      </c>
      <c r="Q2008" t="inlineStr">
        <is>
          <t>OH</t>
        </is>
      </c>
      <c r="R2008" t="n">
        <v>44483</v>
      </c>
      <c r="AD2008" t="inlineStr">
        <is>
          <t>TRUMBULL CAREER &amp; TECH CENTER</t>
        </is>
      </c>
      <c r="AE2008" t="inlineStr">
        <is>
          <t>WARREN CITY</t>
        </is>
      </c>
      <c r="AF2008" t="inlineStr">
        <is>
          <t>WARREN CITY SD</t>
        </is>
      </c>
      <c r="AH2008" t="n">
        <v>14</v>
      </c>
      <c r="AI2008" t="n">
        <v>11</v>
      </c>
      <c r="AN2008" t="inlineStr">
        <is>
          <t>WARREN</t>
        </is>
      </c>
      <c r="AO2008" t="inlineStr">
        <is>
          <t>WARREN CITY 4D</t>
        </is>
      </c>
      <c r="AP2008" t="inlineStr">
        <is>
          <t>78-P-ADL</t>
        </is>
      </c>
      <c r="AQ2008" t="n">
        <v>9</v>
      </c>
      <c r="AR2008" t="n">
        <v>64</v>
      </c>
      <c r="AS2008" t="n">
        <v>32</v>
      </c>
      <c r="AU2008">
        <f>COUNTA($BA$2008:$EH$2008)</f>
        <v/>
      </c>
      <c r="AV2008">
        <f>COUNTIF($BA$2008:$EH$2008,"D")</f>
        <v/>
      </c>
      <c r="AW2008">
        <f>COUNTIF($BA$2008:$EH$2008,"R")</f>
        <v/>
      </c>
      <c r="AX2008">
        <f>IF(BN2008="D",1,0)+IF(BO2008="D",1,0)+IF(BT2008="D",1,0)+IF(BU2008="D",1,0)+IF(BW2008="D",1,0)+IF(CC2008="D",1,0)+IF(CD2008="D",1,0)+IF(CE2008="D",1,0)+IF(CF2008="D",1,0)+IF(CL2008="D",1,0)+IF(CM2008="D",1,0)+IF(CQ2008="D",1,0)+IF(CR2008="D",1,0)+IF(CS2008="D",1,0)+IF(CW2008="D",1,0)+IF(CX2008="D",1,0)+IF(DD2008="D",1,0)+IF(DE2008="D",1,0)+IF(DJ2008="D",1,0)+IF(DK2008="D",1,0)+IF(DO2008="D",1,0)+IF(DP2008="D",1,0)+IF(DQ2008="D",1,0)+IF(DW2008="D",1,0)+IF(DZ2008="D",1,0)+IF(EH2008="D",1,0)</f>
        <v/>
      </c>
      <c r="AY2008">
        <f>IF(DJ2008&lt;&gt;"",1,0)+IF(DK2008&lt;&gt;"",1,0)+IF(DM2008&lt;&gt;"",1,0)+IF(DO2008&lt;&gt;"",1,0)+IF(DP2008&lt;&gt;"",1,0)+IF(DQ2008&lt;&gt;"",1,0)+IF(DS2008&lt;&gt;"",1,0)+IF(DT2008&lt;&gt;"",1,0)+IF(DV2008&lt;&gt;"",1,0)+IF(DW2008&lt;&gt;"",1,0)+IF(DX2008&lt;&gt;"",1,0)+IF(DY2008&lt;&gt;"",1,0)+IF(DZ2008&lt;&gt;"",1,0)+IF(EB2008&lt;&gt;"",1,0)+IF(EC2008&lt;&gt;"",1,0)+IF(ED2008&lt;&gt;"",1,0)+IF(EG2008&lt;&gt;"",1,0)+IF(EH2008&lt;&gt;"",1,0)</f>
        <v/>
      </c>
      <c r="AZ2008">
        <f>IF(EH2008&lt;&gt;"",1,0)</f>
        <v/>
      </c>
      <c r="BB2008" t="inlineStr">
        <is>
          <t>WARREN-WARD 4</t>
        </is>
      </c>
      <c r="CN2008" t="inlineStr">
        <is>
          <t>X</t>
        </is>
      </c>
      <c r="CP2008" t="inlineStr">
        <is>
          <t>X</t>
        </is>
      </c>
      <c r="DC2008" t="inlineStr">
        <is>
          <t>X</t>
        </is>
      </c>
      <c r="DI2008" t="inlineStr">
        <is>
          <t>X</t>
        </is>
      </c>
      <c r="DL2008" t="inlineStr">
        <is>
          <t>X</t>
        </is>
      </c>
      <c r="DN2008" t="inlineStr">
        <is>
          <t>X</t>
        </is>
      </c>
      <c r="EF2008" t="inlineStr">
        <is>
          <t>X</t>
        </is>
      </c>
    </row>
    <row r="2009">
      <c r="A2009" t="inlineStr">
        <is>
          <t>OH0015755039</t>
        </is>
      </c>
      <c r="B2009" t="n">
        <v>78</v>
      </c>
      <c r="C2009" t="n">
        <v>329208</v>
      </c>
      <c r="D2009" t="inlineStr">
        <is>
          <t>RAMSEY</t>
        </is>
      </c>
      <c r="E2009" t="inlineStr">
        <is>
          <t>JOHN</t>
        </is>
      </c>
      <c r="F2009">
        <f>CONCATENATE(D2009," ",LEFT(H2009,4),"T=",AU2009,"D=",AV2009,"R=",AW2009,"M=",AX2009,"L=",AY2009,"B=",AZ2009)</f>
        <v/>
      </c>
      <c r="G2009" t="inlineStr">
        <is>
          <t>E</t>
        </is>
      </c>
      <c r="H2009" t="inlineStr">
        <is>
          <t>IV</t>
        </is>
      </c>
      <c r="I2009" t="inlineStr">
        <is>
          <t>1977-12-13</t>
        </is>
      </c>
      <c r="J2009" t="inlineStr">
        <is>
          <t>2015-10-09</t>
        </is>
      </c>
      <c r="K2009" t="inlineStr">
        <is>
          <t>ACTIVE</t>
        </is>
      </c>
      <c r="L2009" t="inlineStr">
        <is>
          <t>D</t>
        </is>
      </c>
      <c r="M2009" t="inlineStr">
        <is>
          <t>631 WASHINGTON ST NE</t>
        </is>
      </c>
      <c r="N2009">
        <f>RIGHT(M2009,LEN(M2009)-FIND(" ",M2009))</f>
        <v/>
      </c>
      <c r="P2009" t="inlineStr">
        <is>
          <t>WARREN</t>
        </is>
      </c>
      <c r="Q2009" t="inlineStr">
        <is>
          <t>OH</t>
        </is>
      </c>
      <c r="R2009" t="n">
        <v>44483</v>
      </c>
      <c r="AD2009" t="inlineStr">
        <is>
          <t>TRUMBULL CAREER &amp; TECH CENTER</t>
        </is>
      </c>
      <c r="AE2009" t="inlineStr">
        <is>
          <t>WARREN CITY</t>
        </is>
      </c>
      <c r="AF2009" t="inlineStr">
        <is>
          <t>WARREN CITY SD</t>
        </is>
      </c>
      <c r="AH2009" t="n">
        <v>14</v>
      </c>
      <c r="AI2009" t="n">
        <v>11</v>
      </c>
      <c r="AN2009" t="inlineStr">
        <is>
          <t>WARREN</t>
        </is>
      </c>
      <c r="AO2009" t="inlineStr">
        <is>
          <t>WARREN CITY 4D</t>
        </is>
      </c>
      <c r="AP2009" t="inlineStr">
        <is>
          <t>78-P-ADL</t>
        </is>
      </c>
      <c r="AQ2009" t="n">
        <v>9</v>
      </c>
      <c r="AR2009" t="n">
        <v>64</v>
      </c>
      <c r="AS2009" t="n">
        <v>32</v>
      </c>
      <c r="AU2009">
        <f>COUNTA($BA$2009:$EH$2009)</f>
        <v/>
      </c>
      <c r="AV2009">
        <f>COUNTIF($BA$2009:$EH$2009,"D")</f>
        <v/>
      </c>
      <c r="AW2009">
        <f>COUNTIF($BA$2009:$EH$2009,"R")</f>
        <v/>
      </c>
      <c r="AX2009">
        <f>IF(BN2009="D",1,0)+IF(BO2009="D",1,0)+IF(BT2009="D",1,0)+IF(BU2009="D",1,0)+IF(BW2009="D",1,0)+IF(CC2009="D",1,0)+IF(CD2009="D",1,0)+IF(CE2009="D",1,0)+IF(CF2009="D",1,0)+IF(CL2009="D",1,0)+IF(CM2009="D",1,0)+IF(CQ2009="D",1,0)+IF(CR2009="D",1,0)+IF(CS2009="D",1,0)+IF(CW2009="D",1,0)+IF(CX2009="D",1,0)+IF(DD2009="D",1,0)+IF(DE2009="D",1,0)+IF(DJ2009="D",1,0)+IF(DK2009="D",1,0)+IF(DO2009="D",1,0)+IF(DP2009="D",1,0)+IF(DQ2009="D",1,0)+IF(DW2009="D",1,0)+IF(DZ2009="D",1,0)+IF(EH2009="D",1,0)</f>
        <v/>
      </c>
      <c r="AY2009">
        <f>IF(DJ2009&lt;&gt;"",1,0)+IF(DK2009&lt;&gt;"",1,0)+IF(DM2009&lt;&gt;"",1,0)+IF(DO2009&lt;&gt;"",1,0)+IF(DP2009&lt;&gt;"",1,0)+IF(DQ2009&lt;&gt;"",1,0)+IF(DS2009&lt;&gt;"",1,0)+IF(DT2009&lt;&gt;"",1,0)+IF(DV2009&lt;&gt;"",1,0)+IF(DW2009&lt;&gt;"",1,0)+IF(DX2009&lt;&gt;"",1,0)+IF(DY2009&lt;&gt;"",1,0)+IF(DZ2009&lt;&gt;"",1,0)+IF(EB2009&lt;&gt;"",1,0)+IF(EC2009&lt;&gt;"",1,0)+IF(ED2009&lt;&gt;"",1,0)+IF(EG2009&lt;&gt;"",1,0)+IF(EH2009&lt;&gt;"",1,0)</f>
        <v/>
      </c>
      <c r="AZ2009">
        <f>IF(EH2009&lt;&gt;"",1,0)</f>
        <v/>
      </c>
      <c r="BB2009" t="inlineStr">
        <is>
          <t>WARREN-WARD 4</t>
        </is>
      </c>
      <c r="BL2009" t="inlineStr">
        <is>
          <t>X</t>
        </is>
      </c>
      <c r="BR2009" t="inlineStr">
        <is>
          <t>X</t>
        </is>
      </c>
      <c r="BS2009" t="inlineStr">
        <is>
          <t>X</t>
        </is>
      </c>
      <c r="BY2009" t="inlineStr">
        <is>
          <t>R</t>
        </is>
      </c>
      <c r="CA2009" t="inlineStr">
        <is>
          <t>X</t>
        </is>
      </c>
      <c r="CG2009" t="inlineStr">
        <is>
          <t>X</t>
        </is>
      </c>
      <c r="CK2009" t="inlineStr">
        <is>
          <t>X</t>
        </is>
      </c>
      <c r="CL2009" t="inlineStr">
        <is>
          <t>X</t>
        </is>
      </c>
      <c r="CP2009" t="inlineStr">
        <is>
          <t>X</t>
        </is>
      </c>
      <c r="CQ2009" t="inlineStr">
        <is>
          <t>X</t>
        </is>
      </c>
      <c r="DC2009" t="inlineStr">
        <is>
          <t>X</t>
        </is>
      </c>
      <c r="DI2009" t="inlineStr">
        <is>
          <t>X</t>
        </is>
      </c>
      <c r="DJ2009" t="inlineStr">
        <is>
          <t>D</t>
        </is>
      </c>
      <c r="DL2009" t="inlineStr">
        <is>
          <t>X</t>
        </is>
      </c>
      <c r="DN2009" t="inlineStr">
        <is>
          <t>X</t>
        </is>
      </c>
      <c r="DS2009" t="inlineStr">
        <is>
          <t>D</t>
        </is>
      </c>
      <c r="DU2009" t="inlineStr">
        <is>
          <t>X</t>
        </is>
      </c>
      <c r="ED2009" t="inlineStr">
        <is>
          <t>D</t>
        </is>
      </c>
      <c r="EF2009" t="inlineStr">
        <is>
          <t>X</t>
        </is>
      </c>
    </row>
    <row r="2010">
      <c r="A2010" t="inlineStr">
        <is>
          <t>OH0015800327</t>
        </is>
      </c>
      <c r="B2010" t="n">
        <v>78</v>
      </c>
      <c r="C2010" t="n">
        <v>307845</v>
      </c>
      <c r="D2010" t="inlineStr">
        <is>
          <t>DRUM</t>
        </is>
      </c>
      <c r="E2010" t="inlineStr">
        <is>
          <t>ASHLEY</t>
        </is>
      </c>
      <c r="F2010">
        <f>CONCATENATE(D2010," ",LEFT(H2010,4),"T=",AU2010,"D=",AV2010,"R=",AW2010,"M=",AX2010,"L=",AY2010,"B=",AZ2010)</f>
        <v/>
      </c>
      <c r="G2010" t="inlineStr">
        <is>
          <t>N</t>
        </is>
      </c>
      <c r="I2010" t="inlineStr">
        <is>
          <t>1984-08-26</t>
        </is>
      </c>
      <c r="J2010" t="inlineStr">
        <is>
          <t>2017-03-15</t>
        </is>
      </c>
      <c r="K2010" t="inlineStr">
        <is>
          <t>ACTIVE</t>
        </is>
      </c>
      <c r="L2010" t="inlineStr">
        <is>
          <t>D</t>
        </is>
      </c>
      <c r="M2010" t="inlineStr">
        <is>
          <t>1004 HARRISON ST NE</t>
        </is>
      </c>
      <c r="N2010">
        <f>RIGHT(M2010,LEN(M2010)-FIND(" ",M2010))</f>
        <v/>
      </c>
      <c r="P2010" t="inlineStr">
        <is>
          <t>WARREN</t>
        </is>
      </c>
      <c r="Q2010" t="inlineStr">
        <is>
          <t>OH</t>
        </is>
      </c>
      <c r="R2010" t="n">
        <v>44483</v>
      </c>
      <c r="AD2010" t="inlineStr">
        <is>
          <t>TRUMBULL CAREER &amp; TECH CENTER</t>
        </is>
      </c>
      <c r="AE2010" t="inlineStr">
        <is>
          <t>WARREN CITY</t>
        </is>
      </c>
      <c r="AF2010" t="inlineStr">
        <is>
          <t>WARREN CITY SD</t>
        </is>
      </c>
      <c r="AH2010" t="n">
        <v>14</v>
      </c>
      <c r="AI2010" t="n">
        <v>11</v>
      </c>
      <c r="AN2010" t="inlineStr">
        <is>
          <t>WARREN</t>
        </is>
      </c>
      <c r="AO2010" t="inlineStr">
        <is>
          <t>WARREN CITY 4D</t>
        </is>
      </c>
      <c r="AP2010" t="inlineStr">
        <is>
          <t>78-P-ADL</t>
        </is>
      </c>
      <c r="AQ2010" t="n">
        <v>9</v>
      </c>
      <c r="AR2010" t="n">
        <v>64</v>
      </c>
      <c r="AS2010" t="n">
        <v>32</v>
      </c>
      <c r="AU2010">
        <f>COUNTA($BA$2010:$EH$2010)</f>
        <v/>
      </c>
      <c r="AV2010">
        <f>COUNTIF($BA$2010:$EH$2010,"D")</f>
        <v/>
      </c>
      <c r="AW2010">
        <f>COUNTIF($BA$2010:$EH$2010,"R")</f>
        <v/>
      </c>
      <c r="AX2010">
        <f>IF(BN2010="D",1,0)+IF(BO2010="D",1,0)+IF(BT2010="D",1,0)+IF(BU2010="D",1,0)+IF(BW2010="D",1,0)+IF(CC2010="D",1,0)+IF(CD2010="D",1,0)+IF(CE2010="D",1,0)+IF(CF2010="D",1,0)+IF(CL2010="D",1,0)+IF(CM2010="D",1,0)+IF(CQ2010="D",1,0)+IF(CR2010="D",1,0)+IF(CS2010="D",1,0)+IF(CW2010="D",1,0)+IF(CX2010="D",1,0)+IF(DD2010="D",1,0)+IF(DE2010="D",1,0)+IF(DJ2010="D",1,0)+IF(DK2010="D",1,0)+IF(DO2010="D",1,0)+IF(DP2010="D",1,0)+IF(DQ2010="D",1,0)+IF(DW2010="D",1,0)+IF(DZ2010="D",1,0)+IF(EH2010="D",1,0)</f>
        <v/>
      </c>
      <c r="AY2010">
        <f>IF(DJ2010&lt;&gt;"",1,0)+IF(DK2010&lt;&gt;"",1,0)+IF(DM2010&lt;&gt;"",1,0)+IF(DO2010&lt;&gt;"",1,0)+IF(DP2010&lt;&gt;"",1,0)+IF(DQ2010&lt;&gt;"",1,0)+IF(DS2010&lt;&gt;"",1,0)+IF(DT2010&lt;&gt;"",1,0)+IF(DV2010&lt;&gt;"",1,0)+IF(DW2010&lt;&gt;"",1,0)+IF(DX2010&lt;&gt;"",1,0)+IF(DY2010&lt;&gt;"",1,0)+IF(DZ2010&lt;&gt;"",1,0)+IF(EB2010&lt;&gt;"",1,0)+IF(EC2010&lt;&gt;"",1,0)+IF(ED2010&lt;&gt;"",1,0)+IF(EG2010&lt;&gt;"",1,0)+IF(EH2010&lt;&gt;"",1,0)</f>
        <v/>
      </c>
      <c r="AZ2010">
        <f>IF(EH2010&lt;&gt;"",1,0)</f>
        <v/>
      </c>
      <c r="BB2010" t="inlineStr">
        <is>
          <t>WARREN-WARD 4</t>
        </is>
      </c>
      <c r="BG2010" t="inlineStr">
        <is>
          <t>X</t>
        </is>
      </c>
      <c r="CW2010" t="inlineStr">
        <is>
          <t>D</t>
        </is>
      </c>
      <c r="CY2010" t="inlineStr">
        <is>
          <t>X</t>
        </is>
      </c>
      <c r="CZ2010" t="inlineStr">
        <is>
          <t>D</t>
        </is>
      </c>
      <c r="DW2010" t="inlineStr">
        <is>
          <t>D</t>
        </is>
      </c>
      <c r="DX2010" t="inlineStr">
        <is>
          <t>X</t>
        </is>
      </c>
      <c r="EA2010" t="inlineStr">
        <is>
          <t>X</t>
        </is>
      </c>
      <c r="ED2010" t="inlineStr">
        <is>
          <t>D</t>
        </is>
      </c>
      <c r="EF2010" t="inlineStr">
        <is>
          <t>X</t>
        </is>
      </c>
      <c r="EH2010" t="inlineStr">
        <is>
          <t>D</t>
        </is>
      </c>
    </row>
    <row r="2011">
      <c r="A2011" t="inlineStr">
        <is>
          <t>OH0015726093</t>
        </is>
      </c>
      <c r="B2011" t="n">
        <v>78</v>
      </c>
      <c r="C2011" t="n">
        <v>323286</v>
      </c>
      <c r="D2011" t="inlineStr">
        <is>
          <t>HEASLEY</t>
        </is>
      </c>
      <c r="E2011" t="inlineStr">
        <is>
          <t>ROBERT</t>
        </is>
      </c>
      <c r="F2011">
        <f>CONCATENATE(D2011," ",LEFT(H2011,4),"T=",AU2011,"D=",AV2011,"R=",AW2011,"M=",AX2011,"L=",AY2011,"B=",AZ2011)</f>
        <v/>
      </c>
      <c r="G2011" t="inlineStr">
        <is>
          <t>H</t>
        </is>
      </c>
      <c r="H2011" t="inlineStr">
        <is>
          <t>JR</t>
        </is>
      </c>
      <c r="I2011" t="inlineStr">
        <is>
          <t>1977-02-05</t>
        </is>
      </c>
      <c r="J2011" t="inlineStr">
        <is>
          <t>2013-07-09</t>
        </is>
      </c>
      <c r="K2011" t="inlineStr">
        <is>
          <t>CONFIRMATION</t>
        </is>
      </c>
      <c r="M2011" t="inlineStr">
        <is>
          <t>635 CHINNOCK PL NE</t>
        </is>
      </c>
      <c r="N2011">
        <f>RIGHT(M2011,LEN(M2011)-FIND(" ",M2011))</f>
        <v/>
      </c>
      <c r="P2011" t="inlineStr">
        <is>
          <t>WARREN</t>
        </is>
      </c>
      <c r="Q2011" t="inlineStr">
        <is>
          <t>OH</t>
        </is>
      </c>
      <c r="R2011" t="n">
        <v>44483</v>
      </c>
      <c r="AD2011" t="inlineStr">
        <is>
          <t>TRUMBULL CAREER &amp; TECH CENTER</t>
        </is>
      </c>
      <c r="AE2011" t="inlineStr">
        <is>
          <t>WARREN CITY</t>
        </is>
      </c>
      <c r="AF2011" t="inlineStr">
        <is>
          <t>WARREN CITY SD</t>
        </is>
      </c>
      <c r="AH2011" t="n">
        <v>14</v>
      </c>
      <c r="AI2011" t="n">
        <v>11</v>
      </c>
      <c r="AN2011" t="inlineStr">
        <is>
          <t>WARREN</t>
        </is>
      </c>
      <c r="AO2011" t="inlineStr">
        <is>
          <t>WARREN CITY 4D</t>
        </is>
      </c>
      <c r="AP2011" t="inlineStr">
        <is>
          <t>78-P-ADL</t>
        </is>
      </c>
      <c r="AQ2011" t="n">
        <v>9</v>
      </c>
      <c r="AR2011" t="n">
        <v>64</v>
      </c>
      <c r="AS2011" t="n">
        <v>32</v>
      </c>
      <c r="AU2011">
        <f>COUNTA($BA$2011:$EH$2011)</f>
        <v/>
      </c>
      <c r="AV2011">
        <f>COUNTIF($BA$2011:$EH$2011,"D")</f>
        <v/>
      </c>
      <c r="AW2011">
        <f>COUNTIF($BA$2011:$EH$2011,"R")</f>
        <v/>
      </c>
      <c r="AX2011">
        <f>IF(BN2011="D",1,0)+IF(BO2011="D",1,0)+IF(BT2011="D",1,0)+IF(BU2011="D",1,0)+IF(BW2011="D",1,0)+IF(CC2011="D",1,0)+IF(CD2011="D",1,0)+IF(CE2011="D",1,0)+IF(CF2011="D",1,0)+IF(CL2011="D",1,0)+IF(CM2011="D",1,0)+IF(CQ2011="D",1,0)+IF(CR2011="D",1,0)+IF(CS2011="D",1,0)+IF(CW2011="D",1,0)+IF(CX2011="D",1,0)+IF(DD2011="D",1,0)+IF(DE2011="D",1,0)+IF(DJ2011="D",1,0)+IF(DK2011="D",1,0)+IF(DO2011="D",1,0)+IF(DP2011="D",1,0)+IF(DQ2011="D",1,0)+IF(DW2011="D",1,0)+IF(DZ2011="D",1,0)+IF(EH2011="D",1,0)</f>
        <v/>
      </c>
      <c r="AY2011">
        <f>IF(DJ2011&lt;&gt;"",1,0)+IF(DK2011&lt;&gt;"",1,0)+IF(DM2011&lt;&gt;"",1,0)+IF(DO2011&lt;&gt;"",1,0)+IF(DP2011&lt;&gt;"",1,0)+IF(DQ2011&lt;&gt;"",1,0)+IF(DS2011&lt;&gt;"",1,0)+IF(DT2011&lt;&gt;"",1,0)+IF(DV2011&lt;&gt;"",1,0)+IF(DW2011&lt;&gt;"",1,0)+IF(DX2011&lt;&gt;"",1,0)+IF(DY2011&lt;&gt;"",1,0)+IF(DZ2011&lt;&gt;"",1,0)+IF(EB2011&lt;&gt;"",1,0)+IF(EC2011&lt;&gt;"",1,0)+IF(ED2011&lt;&gt;"",1,0)+IF(EG2011&lt;&gt;"",1,0)+IF(EH2011&lt;&gt;"",1,0)</f>
        <v/>
      </c>
      <c r="AZ2011">
        <f>IF(EH2011&lt;&gt;"",1,0)</f>
        <v/>
      </c>
      <c r="BB2011" t="inlineStr">
        <is>
          <t>WARREN-WARD 4</t>
        </is>
      </c>
    </row>
    <row r="2012">
      <c r="A2012" t="inlineStr">
        <is>
          <t>OH0024641808</t>
        </is>
      </c>
      <c r="B2012" t="n">
        <v>78</v>
      </c>
      <c r="C2012" t="n">
        <v>431859</v>
      </c>
      <c r="D2012" t="inlineStr">
        <is>
          <t>YACOUB</t>
        </is>
      </c>
      <c r="E2012" t="inlineStr">
        <is>
          <t>MARAM</t>
        </is>
      </c>
      <c r="F2012">
        <f>CONCATENATE(D2012," ",LEFT(H2012,4),"T=",AU2012,"D=",AV2012,"R=",AW2012,"M=",AX2012,"L=",AY2012,"B=",AZ2012)</f>
        <v/>
      </c>
      <c r="G2012" t="inlineStr">
        <is>
          <t>OTHMAN MUSTAFA</t>
        </is>
      </c>
      <c r="I2012" t="inlineStr">
        <is>
          <t>1993-01-27</t>
        </is>
      </c>
      <c r="J2012" t="inlineStr">
        <is>
          <t>2018-05-03</t>
        </is>
      </c>
      <c r="K2012" t="inlineStr">
        <is>
          <t>ACTIVE</t>
        </is>
      </c>
      <c r="M2012" t="inlineStr">
        <is>
          <t>297 LAIRD AVE NE</t>
        </is>
      </c>
      <c r="N2012">
        <f>RIGHT(M2012,LEN(M2012)-FIND(" ",M2012))</f>
        <v/>
      </c>
      <c r="P2012" t="inlineStr">
        <is>
          <t>WARREN</t>
        </is>
      </c>
      <c r="Q2012" t="inlineStr">
        <is>
          <t>OH</t>
        </is>
      </c>
      <c r="R2012" t="n">
        <v>44483</v>
      </c>
      <c r="AD2012" t="inlineStr">
        <is>
          <t>TRUMBULL CAREER &amp; TECH CENTER</t>
        </is>
      </c>
      <c r="AE2012" t="inlineStr">
        <is>
          <t>WARREN CITY</t>
        </is>
      </c>
      <c r="AF2012" t="inlineStr">
        <is>
          <t>WARREN CITY SD</t>
        </is>
      </c>
      <c r="AH2012" t="n">
        <v>14</v>
      </c>
      <c r="AI2012" t="n">
        <v>11</v>
      </c>
      <c r="AN2012" t="inlineStr">
        <is>
          <t>WARREN</t>
        </is>
      </c>
      <c r="AO2012" t="inlineStr">
        <is>
          <t>WARREN CITY 4D</t>
        </is>
      </c>
      <c r="AP2012" t="inlineStr">
        <is>
          <t>78-P-ADL</t>
        </is>
      </c>
      <c r="AQ2012" t="n">
        <v>9</v>
      </c>
      <c r="AR2012" t="n">
        <v>64</v>
      </c>
      <c r="AS2012" t="n">
        <v>32</v>
      </c>
      <c r="AU2012">
        <f>COUNTA($BA$2012:$EH$2012)</f>
        <v/>
      </c>
      <c r="AV2012">
        <f>COUNTIF($BA$2012:$EH$2012,"D")</f>
        <v/>
      </c>
      <c r="AW2012">
        <f>COUNTIF($BA$2012:$EH$2012,"R")</f>
        <v/>
      </c>
      <c r="AX2012">
        <f>IF(BN2012="D",1,0)+IF(BO2012="D",1,0)+IF(BT2012="D",1,0)+IF(BU2012="D",1,0)+IF(BW2012="D",1,0)+IF(CC2012="D",1,0)+IF(CD2012="D",1,0)+IF(CE2012="D",1,0)+IF(CF2012="D",1,0)+IF(CL2012="D",1,0)+IF(CM2012="D",1,0)+IF(CQ2012="D",1,0)+IF(CR2012="D",1,0)+IF(CS2012="D",1,0)+IF(CW2012="D",1,0)+IF(CX2012="D",1,0)+IF(DD2012="D",1,0)+IF(DE2012="D",1,0)+IF(DJ2012="D",1,0)+IF(DK2012="D",1,0)+IF(DO2012="D",1,0)+IF(DP2012="D",1,0)+IF(DQ2012="D",1,0)+IF(DW2012="D",1,0)+IF(DZ2012="D",1,0)+IF(EH2012="D",1,0)</f>
        <v/>
      </c>
      <c r="AY2012">
        <f>IF(DJ2012&lt;&gt;"",1,0)+IF(DK2012&lt;&gt;"",1,0)+IF(DM2012&lt;&gt;"",1,0)+IF(DO2012&lt;&gt;"",1,0)+IF(DP2012&lt;&gt;"",1,0)+IF(DQ2012&lt;&gt;"",1,0)+IF(DS2012&lt;&gt;"",1,0)+IF(DT2012&lt;&gt;"",1,0)+IF(DV2012&lt;&gt;"",1,0)+IF(DW2012&lt;&gt;"",1,0)+IF(DX2012&lt;&gt;"",1,0)+IF(DY2012&lt;&gt;"",1,0)+IF(DZ2012&lt;&gt;"",1,0)+IF(EB2012&lt;&gt;"",1,0)+IF(EC2012&lt;&gt;"",1,0)+IF(ED2012&lt;&gt;"",1,0)+IF(EG2012&lt;&gt;"",1,0)+IF(EH2012&lt;&gt;"",1,0)</f>
        <v/>
      </c>
      <c r="AZ2012">
        <f>IF(EH2012&lt;&gt;"",1,0)</f>
        <v/>
      </c>
      <c r="BB2012" t="inlineStr">
        <is>
          <t>WARREN-WARD 4</t>
        </is>
      </c>
      <c r="EF2012" t="inlineStr">
        <is>
          <t>X</t>
        </is>
      </c>
    </row>
    <row r="2013">
      <c r="A2013" t="inlineStr">
        <is>
          <t>OH0023910398</t>
        </is>
      </c>
      <c r="B2013" t="n">
        <v>78</v>
      </c>
      <c r="C2013" t="n">
        <v>419758</v>
      </c>
      <c r="D2013" t="inlineStr">
        <is>
          <t>WILLIAMS</t>
        </is>
      </c>
      <c r="E2013" t="inlineStr">
        <is>
          <t>KRYSTAL</t>
        </is>
      </c>
      <c r="F2013">
        <f>CONCATENATE(D2013," ",LEFT(H2013,4),"T=",AU2013,"D=",AV2013,"R=",AW2013,"M=",AX2013,"L=",AY2013,"B=",AZ2013)</f>
        <v/>
      </c>
      <c r="G2013" t="inlineStr">
        <is>
          <t>T</t>
        </is>
      </c>
      <c r="I2013" t="inlineStr">
        <is>
          <t>1994-07-02</t>
        </is>
      </c>
      <c r="J2013" t="inlineStr">
        <is>
          <t>2016-09-03</t>
        </is>
      </c>
      <c r="K2013" t="inlineStr">
        <is>
          <t>CONFIRMATION</t>
        </is>
      </c>
      <c r="M2013" t="inlineStr">
        <is>
          <t>648 SAINT CLAIR DR NE</t>
        </is>
      </c>
      <c r="N2013">
        <f>RIGHT(M2013,LEN(M2013)-FIND(" ",M2013))</f>
        <v/>
      </c>
      <c r="P2013" t="inlineStr">
        <is>
          <t>WARREN</t>
        </is>
      </c>
      <c r="Q2013" t="inlineStr">
        <is>
          <t>OH</t>
        </is>
      </c>
      <c r="R2013" t="n">
        <v>44483</v>
      </c>
      <c r="AD2013" t="inlineStr">
        <is>
          <t>TRUMBULL CAREER &amp; TECH CENTER</t>
        </is>
      </c>
      <c r="AE2013" t="inlineStr">
        <is>
          <t>WARREN CITY</t>
        </is>
      </c>
      <c r="AF2013" t="inlineStr">
        <is>
          <t>WARREN CITY SD</t>
        </is>
      </c>
      <c r="AH2013" t="n">
        <v>14</v>
      </c>
      <c r="AI2013" t="n">
        <v>11</v>
      </c>
      <c r="AN2013" t="inlineStr">
        <is>
          <t>WARREN</t>
        </is>
      </c>
      <c r="AO2013" t="inlineStr">
        <is>
          <t>WARREN CITY 4D</t>
        </is>
      </c>
      <c r="AP2013" t="inlineStr">
        <is>
          <t>78-P-ADL</t>
        </is>
      </c>
      <c r="AQ2013" t="n">
        <v>9</v>
      </c>
      <c r="AR2013" t="n">
        <v>64</v>
      </c>
      <c r="AS2013" t="n">
        <v>32</v>
      </c>
      <c r="AU2013">
        <f>COUNTA($BA$2013:$EH$2013)</f>
        <v/>
      </c>
      <c r="AV2013">
        <f>COUNTIF($BA$2013:$EH$2013,"D")</f>
        <v/>
      </c>
      <c r="AW2013">
        <f>COUNTIF($BA$2013:$EH$2013,"R")</f>
        <v/>
      </c>
      <c r="AX2013">
        <f>IF(BN2013="D",1,0)+IF(BO2013="D",1,0)+IF(BT2013="D",1,0)+IF(BU2013="D",1,0)+IF(BW2013="D",1,0)+IF(CC2013="D",1,0)+IF(CD2013="D",1,0)+IF(CE2013="D",1,0)+IF(CF2013="D",1,0)+IF(CL2013="D",1,0)+IF(CM2013="D",1,0)+IF(CQ2013="D",1,0)+IF(CR2013="D",1,0)+IF(CS2013="D",1,0)+IF(CW2013="D",1,0)+IF(CX2013="D",1,0)+IF(DD2013="D",1,0)+IF(DE2013="D",1,0)+IF(DJ2013="D",1,0)+IF(DK2013="D",1,0)+IF(DO2013="D",1,0)+IF(DP2013="D",1,0)+IF(DQ2013="D",1,0)+IF(DW2013="D",1,0)+IF(DZ2013="D",1,0)+IF(EH2013="D",1,0)</f>
        <v/>
      </c>
      <c r="AY2013">
        <f>IF(DJ2013&lt;&gt;"",1,0)+IF(DK2013&lt;&gt;"",1,0)+IF(DM2013&lt;&gt;"",1,0)+IF(DO2013&lt;&gt;"",1,0)+IF(DP2013&lt;&gt;"",1,0)+IF(DQ2013&lt;&gt;"",1,0)+IF(DS2013&lt;&gt;"",1,0)+IF(DT2013&lt;&gt;"",1,0)+IF(DV2013&lt;&gt;"",1,0)+IF(DW2013&lt;&gt;"",1,0)+IF(DX2013&lt;&gt;"",1,0)+IF(DY2013&lt;&gt;"",1,0)+IF(DZ2013&lt;&gt;"",1,0)+IF(EB2013&lt;&gt;"",1,0)+IF(EC2013&lt;&gt;"",1,0)+IF(ED2013&lt;&gt;"",1,0)+IF(EG2013&lt;&gt;"",1,0)+IF(EH2013&lt;&gt;"",1,0)</f>
        <v/>
      </c>
      <c r="AZ2013">
        <f>IF(EH2013&lt;&gt;"",1,0)</f>
        <v/>
      </c>
      <c r="BB2013" t="inlineStr">
        <is>
          <t>WARREN-WARD 4</t>
        </is>
      </c>
      <c r="DC2013" t="inlineStr">
        <is>
          <t>X</t>
        </is>
      </c>
      <c r="DI2013" t="inlineStr">
        <is>
          <t>X</t>
        </is>
      </c>
    </row>
    <row r="2014">
      <c r="A2014" t="inlineStr">
        <is>
          <t>OH0015733828</t>
        </is>
      </c>
      <c r="B2014" t="n">
        <v>78</v>
      </c>
      <c r="C2014" t="n">
        <v>256609</v>
      </c>
      <c r="D2014" t="inlineStr">
        <is>
          <t>STARKEY</t>
        </is>
      </c>
      <c r="E2014" t="inlineStr">
        <is>
          <t>JACQUELINE</t>
        </is>
      </c>
      <c r="F2014">
        <f>CONCATENATE(D2014," ",LEFT(H2014,4),"T=",AU2014,"D=",AV2014,"R=",AW2014,"M=",AX2014,"L=",AY2014,"B=",AZ2014)</f>
        <v/>
      </c>
      <c r="G2014" t="inlineStr">
        <is>
          <t>J</t>
        </is>
      </c>
      <c r="I2014" t="inlineStr">
        <is>
          <t>1965-04-23</t>
        </is>
      </c>
      <c r="J2014" t="inlineStr">
        <is>
          <t>1995-02-01</t>
        </is>
      </c>
      <c r="K2014" t="inlineStr">
        <is>
          <t>ACTIVE</t>
        </is>
      </c>
      <c r="M2014" t="inlineStr">
        <is>
          <t>234 LOGAN AVE SE</t>
        </is>
      </c>
      <c r="N2014">
        <f>RIGHT(M2014,LEN(M2014)-FIND(" ",M2014))</f>
        <v/>
      </c>
      <c r="P2014" t="inlineStr">
        <is>
          <t>WARREN</t>
        </is>
      </c>
      <c r="Q2014" t="inlineStr">
        <is>
          <t>OH</t>
        </is>
      </c>
      <c r="R2014" t="n">
        <v>44483</v>
      </c>
      <c r="AD2014" t="inlineStr">
        <is>
          <t>TRUMBULL CAREER &amp; TECH CENTER</t>
        </is>
      </c>
      <c r="AE2014" t="inlineStr">
        <is>
          <t>WARREN CITY</t>
        </is>
      </c>
      <c r="AF2014" t="inlineStr">
        <is>
          <t>WARREN CITY SD</t>
        </is>
      </c>
      <c r="AH2014" t="n">
        <v>14</v>
      </c>
      <c r="AI2014" t="n">
        <v>11</v>
      </c>
      <c r="AN2014" t="inlineStr">
        <is>
          <t>WARREN</t>
        </is>
      </c>
      <c r="AO2014" t="inlineStr">
        <is>
          <t>WARREN CITY 4D</t>
        </is>
      </c>
      <c r="AP2014" t="inlineStr">
        <is>
          <t>78-P-ADL</t>
        </is>
      </c>
      <c r="AQ2014" t="n">
        <v>9</v>
      </c>
      <c r="AR2014" t="n">
        <v>64</v>
      </c>
      <c r="AS2014" t="n">
        <v>32</v>
      </c>
      <c r="AU2014">
        <f>COUNTA($BA$2014:$EH$2014)</f>
        <v/>
      </c>
      <c r="AV2014">
        <f>COUNTIF($BA$2014:$EH$2014,"D")</f>
        <v/>
      </c>
      <c r="AW2014">
        <f>COUNTIF($BA$2014:$EH$2014,"R")</f>
        <v/>
      </c>
      <c r="AX2014">
        <f>IF(BN2014="D",1,0)+IF(BO2014="D",1,0)+IF(BT2014="D",1,0)+IF(BU2014="D",1,0)+IF(BW2014="D",1,0)+IF(CC2014="D",1,0)+IF(CD2014="D",1,0)+IF(CE2014="D",1,0)+IF(CF2014="D",1,0)+IF(CL2014="D",1,0)+IF(CM2014="D",1,0)+IF(CQ2014="D",1,0)+IF(CR2014="D",1,0)+IF(CS2014="D",1,0)+IF(CW2014="D",1,0)+IF(CX2014="D",1,0)+IF(DD2014="D",1,0)+IF(DE2014="D",1,0)+IF(DJ2014="D",1,0)+IF(DK2014="D",1,0)+IF(DO2014="D",1,0)+IF(DP2014="D",1,0)+IF(DQ2014="D",1,0)+IF(DW2014="D",1,0)+IF(DZ2014="D",1,0)+IF(EH2014="D",1,0)</f>
        <v/>
      </c>
      <c r="AY2014">
        <f>IF(DJ2014&lt;&gt;"",1,0)+IF(DK2014&lt;&gt;"",1,0)+IF(DM2014&lt;&gt;"",1,0)+IF(DO2014&lt;&gt;"",1,0)+IF(DP2014&lt;&gt;"",1,0)+IF(DQ2014&lt;&gt;"",1,0)+IF(DS2014&lt;&gt;"",1,0)+IF(DT2014&lt;&gt;"",1,0)+IF(DV2014&lt;&gt;"",1,0)+IF(DW2014&lt;&gt;"",1,0)+IF(DX2014&lt;&gt;"",1,0)+IF(DY2014&lt;&gt;"",1,0)+IF(DZ2014&lt;&gt;"",1,0)+IF(EB2014&lt;&gt;"",1,0)+IF(EC2014&lt;&gt;"",1,0)+IF(ED2014&lt;&gt;"",1,0)+IF(EG2014&lt;&gt;"",1,0)+IF(EH2014&lt;&gt;"",1,0)</f>
        <v/>
      </c>
      <c r="AZ2014">
        <f>IF(EH2014&lt;&gt;"",1,0)</f>
        <v/>
      </c>
      <c r="BB2014" t="inlineStr">
        <is>
          <t>WARREN-WARD 4</t>
        </is>
      </c>
      <c r="BC2014" t="inlineStr">
        <is>
          <t>X</t>
        </is>
      </c>
      <c r="BD2014" t="inlineStr">
        <is>
          <t>X</t>
        </is>
      </c>
      <c r="BE2014" t="inlineStr">
        <is>
          <t>X</t>
        </is>
      </c>
      <c r="BH2014" t="inlineStr">
        <is>
          <t>X</t>
        </is>
      </c>
      <c r="BI2014" t="inlineStr">
        <is>
          <t>X</t>
        </is>
      </c>
      <c r="BJ2014" t="inlineStr">
        <is>
          <t>X</t>
        </is>
      </c>
      <c r="BK2014" t="inlineStr">
        <is>
          <t>X</t>
        </is>
      </c>
      <c r="BL2014" t="inlineStr">
        <is>
          <t>X</t>
        </is>
      </c>
      <c r="BP2014" t="inlineStr">
        <is>
          <t>X</t>
        </is>
      </c>
      <c r="BS2014" t="inlineStr">
        <is>
          <t>X</t>
        </is>
      </c>
      <c r="BV2014" t="inlineStr">
        <is>
          <t>X</t>
        </is>
      </c>
      <c r="BY2014" t="inlineStr">
        <is>
          <t>D</t>
        </is>
      </c>
      <c r="CA2014" t="inlineStr">
        <is>
          <t>X</t>
        </is>
      </c>
      <c r="CC2014" t="inlineStr">
        <is>
          <t>D</t>
        </is>
      </c>
      <c r="CG2014" t="inlineStr">
        <is>
          <t>X</t>
        </is>
      </c>
      <c r="CH2014" t="inlineStr">
        <is>
          <t>D</t>
        </is>
      </c>
      <c r="CK2014" t="inlineStr">
        <is>
          <t>X</t>
        </is>
      </c>
      <c r="CL2014" t="inlineStr">
        <is>
          <t>D</t>
        </is>
      </c>
      <c r="CN2014" t="inlineStr">
        <is>
          <t>X</t>
        </is>
      </c>
      <c r="CO2014" t="inlineStr">
        <is>
          <t>D</t>
        </is>
      </c>
      <c r="CP2014" t="inlineStr">
        <is>
          <t>X</t>
        </is>
      </c>
      <c r="CT2014" t="inlineStr">
        <is>
          <t>X</t>
        </is>
      </c>
      <c r="CU2014" t="inlineStr">
        <is>
          <t>D</t>
        </is>
      </c>
      <c r="CV2014" t="inlineStr">
        <is>
          <t>X</t>
        </is>
      </c>
      <c r="CY2014" t="inlineStr">
        <is>
          <t>X</t>
        </is>
      </c>
      <c r="CZ2014" t="inlineStr">
        <is>
          <t>D</t>
        </is>
      </c>
      <c r="DC2014" t="inlineStr">
        <is>
          <t>X</t>
        </is>
      </c>
      <c r="DF2014" t="inlineStr">
        <is>
          <t>X</t>
        </is>
      </c>
      <c r="DG2014" t="inlineStr">
        <is>
          <t>D</t>
        </is>
      </c>
      <c r="DI2014" t="inlineStr">
        <is>
          <t>X</t>
        </is>
      </c>
      <c r="DN2014" t="inlineStr">
        <is>
          <t>X</t>
        </is>
      </c>
      <c r="DU2014" t="inlineStr">
        <is>
          <t>X</t>
        </is>
      </c>
      <c r="DX2014" t="inlineStr">
        <is>
          <t>X</t>
        </is>
      </c>
      <c r="EA2014" t="inlineStr">
        <is>
          <t>X</t>
        </is>
      </c>
      <c r="EF2014" t="inlineStr">
        <is>
          <t>X</t>
        </is>
      </c>
    </row>
    <row r="2015">
      <c r="A2015" t="inlineStr">
        <is>
          <t>OH0023224849</t>
        </is>
      </c>
      <c r="B2015" t="n">
        <v>78</v>
      </c>
      <c r="C2015" t="n">
        <v>408743</v>
      </c>
      <c r="D2015" t="inlineStr">
        <is>
          <t>CLARK</t>
        </is>
      </c>
      <c r="E2015" t="inlineStr">
        <is>
          <t>FRANK</t>
        </is>
      </c>
      <c r="F2015">
        <f>CONCATENATE(D2015," ",LEFT(H2015,4),"T=",AU2015,"D=",AV2015,"R=",AW2015,"M=",AX2015,"L=",AY2015,"B=",AZ2015)</f>
        <v/>
      </c>
      <c r="G2015" t="inlineStr">
        <is>
          <t>B</t>
        </is>
      </c>
      <c r="H2015" t="inlineStr">
        <is>
          <t>JR</t>
        </is>
      </c>
      <c r="I2015" t="inlineStr">
        <is>
          <t>1981-08-23</t>
        </is>
      </c>
      <c r="J2015" t="inlineStr">
        <is>
          <t>2019-05-06</t>
        </is>
      </c>
      <c r="K2015" t="inlineStr">
        <is>
          <t>CONFIRMATION</t>
        </is>
      </c>
      <c r="M2015" t="inlineStr">
        <is>
          <t>200 WASHINGTON ST NE</t>
        </is>
      </c>
      <c r="N2015">
        <f>RIGHT(M2015,LEN(M2015)-FIND(" ",M2015))</f>
        <v/>
      </c>
      <c r="P2015" t="inlineStr">
        <is>
          <t>WARREN</t>
        </is>
      </c>
      <c r="Q2015" t="inlineStr">
        <is>
          <t>OH</t>
        </is>
      </c>
      <c r="R2015" t="n">
        <v>44483</v>
      </c>
      <c r="AD2015" t="inlineStr">
        <is>
          <t>TRUMBULL CAREER &amp; TECH CENTER</t>
        </is>
      </c>
      <c r="AE2015" t="inlineStr">
        <is>
          <t>WARREN CITY</t>
        </is>
      </c>
      <c r="AF2015" t="inlineStr">
        <is>
          <t>WARREN CITY SD</t>
        </is>
      </c>
      <c r="AH2015" t="n">
        <v>14</v>
      </c>
      <c r="AI2015" t="n">
        <v>11</v>
      </c>
      <c r="AN2015" t="inlineStr">
        <is>
          <t>WARREN</t>
        </is>
      </c>
      <c r="AO2015" t="inlineStr">
        <is>
          <t>WARREN CITY 4D</t>
        </is>
      </c>
      <c r="AP2015" t="inlineStr">
        <is>
          <t>78-P-ADL</t>
        </is>
      </c>
      <c r="AQ2015" t="n">
        <v>9</v>
      </c>
      <c r="AR2015" t="n">
        <v>64</v>
      </c>
      <c r="AS2015" t="n">
        <v>32</v>
      </c>
      <c r="AU2015">
        <f>COUNTA($BA$2015:$EH$2015)</f>
        <v/>
      </c>
      <c r="AV2015">
        <f>COUNTIF($BA$2015:$EH$2015,"D")</f>
        <v/>
      </c>
      <c r="AW2015">
        <f>COUNTIF($BA$2015:$EH$2015,"R")</f>
        <v/>
      </c>
      <c r="AX2015">
        <f>IF(BN2015="D",1,0)+IF(BO2015="D",1,0)+IF(BT2015="D",1,0)+IF(BU2015="D",1,0)+IF(BW2015="D",1,0)+IF(CC2015="D",1,0)+IF(CD2015="D",1,0)+IF(CE2015="D",1,0)+IF(CF2015="D",1,0)+IF(CL2015="D",1,0)+IF(CM2015="D",1,0)+IF(CQ2015="D",1,0)+IF(CR2015="D",1,0)+IF(CS2015="D",1,0)+IF(CW2015="D",1,0)+IF(CX2015="D",1,0)+IF(DD2015="D",1,0)+IF(DE2015="D",1,0)+IF(DJ2015="D",1,0)+IF(DK2015="D",1,0)+IF(DO2015="D",1,0)+IF(DP2015="D",1,0)+IF(DQ2015="D",1,0)+IF(DW2015="D",1,0)+IF(DZ2015="D",1,0)+IF(EH2015="D",1,0)</f>
        <v/>
      </c>
      <c r="AY2015">
        <f>IF(DJ2015&lt;&gt;"",1,0)+IF(DK2015&lt;&gt;"",1,0)+IF(DM2015&lt;&gt;"",1,0)+IF(DO2015&lt;&gt;"",1,0)+IF(DP2015&lt;&gt;"",1,0)+IF(DQ2015&lt;&gt;"",1,0)+IF(DS2015&lt;&gt;"",1,0)+IF(DT2015&lt;&gt;"",1,0)+IF(DV2015&lt;&gt;"",1,0)+IF(DW2015&lt;&gt;"",1,0)+IF(DX2015&lt;&gt;"",1,0)+IF(DY2015&lt;&gt;"",1,0)+IF(DZ2015&lt;&gt;"",1,0)+IF(EB2015&lt;&gt;"",1,0)+IF(EC2015&lt;&gt;"",1,0)+IF(ED2015&lt;&gt;"",1,0)+IF(EG2015&lt;&gt;"",1,0)+IF(EH2015&lt;&gt;"",1,0)</f>
        <v/>
      </c>
      <c r="AZ2015">
        <f>IF(EH2015&lt;&gt;"",1,0)</f>
        <v/>
      </c>
      <c r="BB2015" t="inlineStr">
        <is>
          <t>WARREN-WARD 4</t>
        </is>
      </c>
      <c r="CA2015" t="inlineStr">
        <is>
          <t>X</t>
        </is>
      </c>
    </row>
    <row r="2016">
      <c r="A2016" t="inlineStr">
        <is>
          <t>OH0023148790</t>
        </is>
      </c>
      <c r="B2016" t="n">
        <v>78</v>
      </c>
      <c r="C2016" t="n">
        <v>407415</v>
      </c>
      <c r="D2016" t="inlineStr">
        <is>
          <t>VAUGHN</t>
        </is>
      </c>
      <c r="E2016" t="inlineStr">
        <is>
          <t>RONDA</t>
        </is>
      </c>
      <c r="F2016">
        <f>CONCATENATE(D2016," ",LEFT(H2016,4),"T=",AU2016,"D=",AV2016,"R=",AW2016,"M=",AX2016,"L=",AY2016,"B=",AZ2016)</f>
        <v/>
      </c>
      <c r="G2016" t="inlineStr">
        <is>
          <t>D</t>
        </is>
      </c>
      <c r="I2016" t="inlineStr">
        <is>
          <t>1978-05-08</t>
        </is>
      </c>
      <c r="J2016" t="inlineStr">
        <is>
          <t>2015-05-08</t>
        </is>
      </c>
      <c r="K2016" t="inlineStr">
        <is>
          <t>ACTIVE</t>
        </is>
      </c>
      <c r="M2016" t="inlineStr">
        <is>
          <t>276 LOWELL AVE NE</t>
        </is>
      </c>
      <c r="N2016">
        <f>RIGHT(M2016,LEN(M2016)-FIND(" ",M2016))</f>
        <v/>
      </c>
      <c r="P2016" t="inlineStr">
        <is>
          <t>WARREN</t>
        </is>
      </c>
      <c r="Q2016" t="inlineStr">
        <is>
          <t>OH</t>
        </is>
      </c>
      <c r="R2016" t="n">
        <v>44483</v>
      </c>
      <c r="AD2016" t="inlineStr">
        <is>
          <t>TRUMBULL CAREER &amp; TECH CENTER</t>
        </is>
      </c>
      <c r="AE2016" t="inlineStr">
        <is>
          <t>WARREN CITY</t>
        </is>
      </c>
      <c r="AF2016" t="inlineStr">
        <is>
          <t>WARREN CITY SD</t>
        </is>
      </c>
      <c r="AH2016" t="n">
        <v>14</v>
      </c>
      <c r="AI2016" t="n">
        <v>11</v>
      </c>
      <c r="AN2016" t="inlineStr">
        <is>
          <t>WARREN</t>
        </is>
      </c>
      <c r="AO2016" t="inlineStr">
        <is>
          <t>WARREN CITY 4D</t>
        </is>
      </c>
      <c r="AP2016" t="inlineStr">
        <is>
          <t>78-P-ADL</t>
        </is>
      </c>
      <c r="AQ2016" t="n">
        <v>9</v>
      </c>
      <c r="AR2016" t="n">
        <v>64</v>
      </c>
      <c r="AS2016" t="n">
        <v>32</v>
      </c>
      <c r="AU2016">
        <f>COUNTA($BA$2016:$EH$2016)</f>
        <v/>
      </c>
      <c r="AV2016">
        <f>COUNTIF($BA$2016:$EH$2016,"D")</f>
        <v/>
      </c>
      <c r="AW2016">
        <f>COUNTIF($BA$2016:$EH$2016,"R")</f>
        <v/>
      </c>
      <c r="AX2016">
        <f>IF(BN2016="D",1,0)+IF(BO2016="D",1,0)+IF(BT2016="D",1,0)+IF(BU2016="D",1,0)+IF(BW2016="D",1,0)+IF(CC2016="D",1,0)+IF(CD2016="D",1,0)+IF(CE2016="D",1,0)+IF(CF2016="D",1,0)+IF(CL2016="D",1,0)+IF(CM2016="D",1,0)+IF(CQ2016="D",1,0)+IF(CR2016="D",1,0)+IF(CS2016="D",1,0)+IF(CW2016="D",1,0)+IF(CX2016="D",1,0)+IF(DD2016="D",1,0)+IF(DE2016="D",1,0)+IF(DJ2016="D",1,0)+IF(DK2016="D",1,0)+IF(DO2016="D",1,0)+IF(DP2016="D",1,0)+IF(DQ2016="D",1,0)+IF(DW2016="D",1,0)+IF(DZ2016="D",1,0)+IF(EH2016="D",1,0)</f>
        <v/>
      </c>
      <c r="AY2016">
        <f>IF(DJ2016&lt;&gt;"",1,0)+IF(DK2016&lt;&gt;"",1,0)+IF(DM2016&lt;&gt;"",1,0)+IF(DO2016&lt;&gt;"",1,0)+IF(DP2016&lt;&gt;"",1,0)+IF(DQ2016&lt;&gt;"",1,0)+IF(DS2016&lt;&gt;"",1,0)+IF(DT2016&lt;&gt;"",1,0)+IF(DV2016&lt;&gt;"",1,0)+IF(DW2016&lt;&gt;"",1,0)+IF(DX2016&lt;&gt;"",1,0)+IF(DY2016&lt;&gt;"",1,0)+IF(DZ2016&lt;&gt;"",1,0)+IF(EB2016&lt;&gt;"",1,0)+IF(EC2016&lt;&gt;"",1,0)+IF(ED2016&lt;&gt;"",1,0)+IF(EG2016&lt;&gt;"",1,0)+IF(EH2016&lt;&gt;"",1,0)</f>
        <v/>
      </c>
      <c r="AZ2016">
        <f>IF(EH2016&lt;&gt;"",1,0)</f>
        <v/>
      </c>
      <c r="BB2016" t="inlineStr">
        <is>
          <t>WARREN-WARD 4</t>
        </is>
      </c>
    </row>
    <row r="2017">
      <c r="A2017" t="inlineStr">
        <is>
          <t>OH0024241001</t>
        </is>
      </c>
      <c r="B2017" t="n">
        <v>78</v>
      </c>
      <c r="C2017" t="n">
        <v>424529</v>
      </c>
      <c r="D2017" t="inlineStr">
        <is>
          <t>MOORE</t>
        </is>
      </c>
      <c r="E2017" t="inlineStr">
        <is>
          <t>TONNIE</t>
        </is>
      </c>
      <c r="F2017">
        <f>CONCATENATE(D2017," ",LEFT(H2017,4),"T=",AU2017,"D=",AV2017,"R=",AW2017,"M=",AX2017,"L=",AY2017,"B=",AZ2017)</f>
        <v/>
      </c>
      <c r="G2017" t="inlineStr">
        <is>
          <t>L</t>
        </is>
      </c>
      <c r="I2017" t="inlineStr">
        <is>
          <t>1971-10-19</t>
        </is>
      </c>
      <c r="J2017" t="inlineStr">
        <is>
          <t>2017-03-06</t>
        </is>
      </c>
      <c r="K2017" t="inlineStr">
        <is>
          <t>ACTIVE</t>
        </is>
      </c>
      <c r="M2017" t="inlineStr">
        <is>
          <t>1153 HARRISON ST NE</t>
        </is>
      </c>
      <c r="N2017">
        <f>RIGHT(M2017,LEN(M2017)-FIND(" ",M2017))</f>
        <v/>
      </c>
      <c r="P2017" t="inlineStr">
        <is>
          <t>WARREN</t>
        </is>
      </c>
      <c r="Q2017" t="inlineStr">
        <is>
          <t>OH</t>
        </is>
      </c>
      <c r="R2017" t="n">
        <v>44483</v>
      </c>
      <c r="AD2017" t="inlineStr">
        <is>
          <t>TRUMBULL CAREER &amp; TECH CENTER</t>
        </is>
      </c>
      <c r="AE2017" t="inlineStr">
        <is>
          <t>WARREN CITY</t>
        </is>
      </c>
      <c r="AF2017" t="inlineStr">
        <is>
          <t>WARREN CITY SD</t>
        </is>
      </c>
      <c r="AH2017" t="n">
        <v>14</v>
      </c>
      <c r="AI2017" t="n">
        <v>11</v>
      </c>
      <c r="AN2017" t="inlineStr">
        <is>
          <t>WARREN</t>
        </is>
      </c>
      <c r="AO2017" t="inlineStr">
        <is>
          <t>WARREN CITY 4D</t>
        </is>
      </c>
      <c r="AP2017" t="inlineStr">
        <is>
          <t>78-P-ADL</t>
        </is>
      </c>
      <c r="AQ2017" t="n">
        <v>9</v>
      </c>
      <c r="AR2017" t="n">
        <v>64</v>
      </c>
      <c r="AS2017" t="n">
        <v>32</v>
      </c>
      <c r="AU2017">
        <f>COUNTA($BA$2017:$EH$2017)</f>
        <v/>
      </c>
      <c r="AV2017">
        <f>COUNTIF($BA$2017:$EH$2017,"D")</f>
        <v/>
      </c>
      <c r="AW2017">
        <f>COUNTIF($BA$2017:$EH$2017,"R")</f>
        <v/>
      </c>
      <c r="AX2017">
        <f>IF(BN2017="D",1,0)+IF(BO2017="D",1,0)+IF(BT2017="D",1,0)+IF(BU2017="D",1,0)+IF(BW2017="D",1,0)+IF(CC2017="D",1,0)+IF(CD2017="D",1,0)+IF(CE2017="D",1,0)+IF(CF2017="D",1,0)+IF(CL2017="D",1,0)+IF(CM2017="D",1,0)+IF(CQ2017="D",1,0)+IF(CR2017="D",1,0)+IF(CS2017="D",1,0)+IF(CW2017="D",1,0)+IF(CX2017="D",1,0)+IF(DD2017="D",1,0)+IF(DE2017="D",1,0)+IF(DJ2017="D",1,0)+IF(DK2017="D",1,0)+IF(DO2017="D",1,0)+IF(DP2017="D",1,0)+IF(DQ2017="D",1,0)+IF(DW2017="D",1,0)+IF(DZ2017="D",1,0)+IF(EH2017="D",1,0)</f>
        <v/>
      </c>
      <c r="AY2017">
        <f>IF(DJ2017&lt;&gt;"",1,0)+IF(DK2017&lt;&gt;"",1,0)+IF(DM2017&lt;&gt;"",1,0)+IF(DO2017&lt;&gt;"",1,0)+IF(DP2017&lt;&gt;"",1,0)+IF(DQ2017&lt;&gt;"",1,0)+IF(DS2017&lt;&gt;"",1,0)+IF(DT2017&lt;&gt;"",1,0)+IF(DV2017&lt;&gt;"",1,0)+IF(DW2017&lt;&gt;"",1,0)+IF(DX2017&lt;&gt;"",1,0)+IF(DY2017&lt;&gt;"",1,0)+IF(DZ2017&lt;&gt;"",1,0)+IF(EB2017&lt;&gt;"",1,0)+IF(EC2017&lt;&gt;"",1,0)+IF(ED2017&lt;&gt;"",1,0)+IF(EG2017&lt;&gt;"",1,0)+IF(EH2017&lt;&gt;"",1,0)</f>
        <v/>
      </c>
      <c r="AZ2017">
        <f>IF(EH2017&lt;&gt;"",1,0)</f>
        <v/>
      </c>
      <c r="BB2017" t="inlineStr">
        <is>
          <t>WARREN-WARD 4</t>
        </is>
      </c>
      <c r="DN2017" t="inlineStr">
        <is>
          <t>X</t>
        </is>
      </c>
      <c r="EF2017" t="inlineStr">
        <is>
          <t>X</t>
        </is>
      </c>
    </row>
    <row r="2018">
      <c r="A2018" t="inlineStr">
        <is>
          <t>OH0024516382</t>
        </is>
      </c>
      <c r="B2018" t="n">
        <v>78</v>
      </c>
      <c r="C2018" t="n">
        <v>429725</v>
      </c>
      <c r="D2018" t="inlineStr">
        <is>
          <t>WYNOT</t>
        </is>
      </c>
      <c r="E2018" t="inlineStr">
        <is>
          <t>LAURIE</t>
        </is>
      </c>
      <c r="F2018">
        <f>CONCATENATE(D2018," ",LEFT(H2018,4),"T=",AU2018,"D=",AV2018,"R=",AW2018,"M=",AX2018,"L=",AY2018,"B=",AZ2018)</f>
        <v/>
      </c>
      <c r="G2018" t="inlineStr">
        <is>
          <t>ANN</t>
        </is>
      </c>
      <c r="I2018" t="inlineStr">
        <is>
          <t>1966-02-27</t>
        </is>
      </c>
      <c r="J2018" t="inlineStr">
        <is>
          <t>2020-10-31</t>
        </is>
      </c>
      <c r="K2018" t="inlineStr">
        <is>
          <t>ACTIVE</t>
        </is>
      </c>
      <c r="M2018" t="inlineStr">
        <is>
          <t>136 IDDINGS AVE NE</t>
        </is>
      </c>
      <c r="N2018">
        <f>RIGHT(M2018,LEN(M2018)-FIND(" ",M2018))</f>
        <v/>
      </c>
      <c r="P2018" t="inlineStr">
        <is>
          <t>WARREN</t>
        </is>
      </c>
      <c r="Q2018" t="inlineStr">
        <is>
          <t>OH</t>
        </is>
      </c>
      <c r="R2018" t="n">
        <v>44483</v>
      </c>
      <c r="AD2018" t="inlineStr">
        <is>
          <t>TRUMBULL CAREER &amp; TECH CENTER</t>
        </is>
      </c>
      <c r="AE2018" t="inlineStr">
        <is>
          <t>WARREN CITY</t>
        </is>
      </c>
      <c r="AF2018" t="inlineStr">
        <is>
          <t>WARREN CITY SD</t>
        </is>
      </c>
      <c r="AH2018" t="n">
        <v>14</v>
      </c>
      <c r="AI2018" t="n">
        <v>11</v>
      </c>
      <c r="AN2018" t="inlineStr">
        <is>
          <t>WARREN</t>
        </is>
      </c>
      <c r="AO2018" t="inlineStr">
        <is>
          <t>WARREN CITY 4D</t>
        </is>
      </c>
      <c r="AP2018" t="inlineStr">
        <is>
          <t>78-P-ADL</t>
        </is>
      </c>
      <c r="AQ2018" t="n">
        <v>9</v>
      </c>
      <c r="AR2018" t="n">
        <v>64</v>
      </c>
      <c r="AS2018" t="n">
        <v>32</v>
      </c>
      <c r="AU2018">
        <f>COUNTA($BA$2018:$EH$2018)</f>
        <v/>
      </c>
      <c r="AV2018">
        <f>COUNTIF($BA$2018:$EH$2018,"D")</f>
        <v/>
      </c>
      <c r="AW2018">
        <f>COUNTIF($BA$2018:$EH$2018,"R")</f>
        <v/>
      </c>
      <c r="AX2018">
        <f>IF(BN2018="D",1,0)+IF(BO2018="D",1,0)+IF(BT2018="D",1,0)+IF(BU2018="D",1,0)+IF(BW2018="D",1,0)+IF(CC2018="D",1,0)+IF(CD2018="D",1,0)+IF(CE2018="D",1,0)+IF(CF2018="D",1,0)+IF(CL2018="D",1,0)+IF(CM2018="D",1,0)+IF(CQ2018="D",1,0)+IF(CR2018="D",1,0)+IF(CS2018="D",1,0)+IF(CW2018="D",1,0)+IF(CX2018="D",1,0)+IF(DD2018="D",1,0)+IF(DE2018="D",1,0)+IF(DJ2018="D",1,0)+IF(DK2018="D",1,0)+IF(DO2018="D",1,0)+IF(DP2018="D",1,0)+IF(DQ2018="D",1,0)+IF(DW2018="D",1,0)+IF(DZ2018="D",1,0)+IF(EH2018="D",1,0)</f>
        <v/>
      </c>
      <c r="AY2018">
        <f>IF(DJ2018&lt;&gt;"",1,0)+IF(DK2018&lt;&gt;"",1,0)+IF(DM2018&lt;&gt;"",1,0)+IF(DO2018&lt;&gt;"",1,0)+IF(DP2018&lt;&gt;"",1,0)+IF(DQ2018&lt;&gt;"",1,0)+IF(DS2018&lt;&gt;"",1,0)+IF(DT2018&lt;&gt;"",1,0)+IF(DV2018&lt;&gt;"",1,0)+IF(DW2018&lt;&gt;"",1,0)+IF(DX2018&lt;&gt;"",1,0)+IF(DY2018&lt;&gt;"",1,0)+IF(DZ2018&lt;&gt;"",1,0)+IF(EB2018&lt;&gt;"",1,0)+IF(EC2018&lt;&gt;"",1,0)+IF(ED2018&lt;&gt;"",1,0)+IF(EG2018&lt;&gt;"",1,0)+IF(EH2018&lt;&gt;"",1,0)</f>
        <v/>
      </c>
      <c r="AZ2018">
        <f>IF(EH2018&lt;&gt;"",1,0)</f>
        <v/>
      </c>
      <c r="BB2018" t="inlineStr">
        <is>
          <t>WARREN-WARD 4</t>
        </is>
      </c>
      <c r="DC2018" t="inlineStr">
        <is>
          <t>X</t>
        </is>
      </c>
      <c r="DN2018" t="inlineStr">
        <is>
          <t>X</t>
        </is>
      </c>
      <c r="DU2018" t="inlineStr">
        <is>
          <t>X</t>
        </is>
      </c>
      <c r="EF2018" t="inlineStr">
        <is>
          <t>X</t>
        </is>
      </c>
    </row>
    <row r="2019">
      <c r="A2019" t="inlineStr">
        <is>
          <t>OH0026062987</t>
        </is>
      </c>
      <c r="B2019" t="n">
        <v>78</v>
      </c>
      <c r="C2019" t="n">
        <v>415403</v>
      </c>
      <c r="D2019" t="inlineStr">
        <is>
          <t>BRIALS</t>
        </is>
      </c>
      <c r="E2019" t="inlineStr">
        <is>
          <t>LYNN</t>
        </is>
      </c>
      <c r="F2019">
        <f>CONCATENATE(D2019," ",LEFT(H2019,4),"T=",AU2019,"D=",AV2019,"R=",AW2019,"M=",AX2019,"L=",AY2019,"B=",AZ2019)</f>
        <v/>
      </c>
      <c r="H2019" t="inlineStr">
        <is>
          <t>JR</t>
        </is>
      </c>
      <c r="I2019" t="inlineStr">
        <is>
          <t>1968-01-09</t>
        </is>
      </c>
      <c r="J2019" t="inlineStr">
        <is>
          <t>2024-12-13</t>
        </is>
      </c>
      <c r="K2019" t="inlineStr">
        <is>
          <t>ACTIVE</t>
        </is>
      </c>
      <c r="M2019" t="inlineStr">
        <is>
          <t>182 SCOTT ST NE</t>
        </is>
      </c>
      <c r="N2019">
        <f>RIGHT(M2019,LEN(M2019)-FIND(" ",M2019))</f>
        <v/>
      </c>
      <c r="O2019" t="inlineStr">
        <is>
          <t>APT 1</t>
        </is>
      </c>
      <c r="P2019" t="inlineStr">
        <is>
          <t>WARREN</t>
        </is>
      </c>
      <c r="Q2019" t="inlineStr">
        <is>
          <t>OH</t>
        </is>
      </c>
      <c r="R2019" t="n">
        <v>44483</v>
      </c>
      <c r="AD2019" t="inlineStr">
        <is>
          <t>TRUMBULL CAREER &amp; TECH CENTER</t>
        </is>
      </c>
      <c r="AE2019" t="inlineStr">
        <is>
          <t>WARREN CITY</t>
        </is>
      </c>
      <c r="AF2019" t="inlineStr">
        <is>
          <t>WARREN CITY SD</t>
        </is>
      </c>
      <c r="AH2019" t="n">
        <v>14</v>
      </c>
      <c r="AI2019" t="n">
        <v>11</v>
      </c>
      <c r="AN2019" t="inlineStr">
        <is>
          <t>WARREN</t>
        </is>
      </c>
      <c r="AO2019" t="inlineStr">
        <is>
          <t>WARREN CITY 4D</t>
        </is>
      </c>
      <c r="AP2019" t="inlineStr">
        <is>
          <t>78-P-ADL</t>
        </is>
      </c>
      <c r="AQ2019" t="n">
        <v>9</v>
      </c>
      <c r="AR2019" t="n">
        <v>64</v>
      </c>
      <c r="AS2019" t="n">
        <v>32</v>
      </c>
      <c r="AU2019">
        <f>COUNTA($BA$2019:$EH$2019)</f>
        <v/>
      </c>
      <c r="AV2019">
        <f>COUNTIF($BA$2019:$EH$2019,"D")</f>
        <v/>
      </c>
      <c r="AW2019">
        <f>COUNTIF($BA$2019:$EH$2019,"R")</f>
        <v/>
      </c>
      <c r="AX2019">
        <f>IF(BN2019="D",1,0)+IF(BO2019="D",1,0)+IF(BT2019="D",1,0)+IF(BU2019="D",1,0)+IF(BW2019="D",1,0)+IF(CC2019="D",1,0)+IF(CD2019="D",1,0)+IF(CE2019="D",1,0)+IF(CF2019="D",1,0)+IF(CL2019="D",1,0)+IF(CM2019="D",1,0)+IF(CQ2019="D",1,0)+IF(CR2019="D",1,0)+IF(CS2019="D",1,0)+IF(CW2019="D",1,0)+IF(CX2019="D",1,0)+IF(DD2019="D",1,0)+IF(DE2019="D",1,0)+IF(DJ2019="D",1,0)+IF(DK2019="D",1,0)+IF(DO2019="D",1,0)+IF(DP2019="D",1,0)+IF(DQ2019="D",1,0)+IF(DW2019="D",1,0)+IF(DZ2019="D",1,0)+IF(EH2019="D",1,0)</f>
        <v/>
      </c>
      <c r="AY2019">
        <f>IF(DJ2019&lt;&gt;"",1,0)+IF(DK2019&lt;&gt;"",1,0)+IF(DM2019&lt;&gt;"",1,0)+IF(DO2019&lt;&gt;"",1,0)+IF(DP2019&lt;&gt;"",1,0)+IF(DQ2019&lt;&gt;"",1,0)+IF(DS2019&lt;&gt;"",1,0)+IF(DT2019&lt;&gt;"",1,0)+IF(DV2019&lt;&gt;"",1,0)+IF(DW2019&lt;&gt;"",1,0)+IF(DX2019&lt;&gt;"",1,0)+IF(DY2019&lt;&gt;"",1,0)+IF(DZ2019&lt;&gt;"",1,0)+IF(EB2019&lt;&gt;"",1,0)+IF(EC2019&lt;&gt;"",1,0)+IF(ED2019&lt;&gt;"",1,0)+IF(EG2019&lt;&gt;"",1,0)+IF(EH2019&lt;&gt;"",1,0)</f>
        <v/>
      </c>
      <c r="AZ2019">
        <f>IF(EH2019&lt;&gt;"",1,0)</f>
        <v/>
      </c>
      <c r="BB2019" t="inlineStr">
        <is>
          <t>WARREN-WARD 4</t>
        </is>
      </c>
      <c r="DN2019" t="inlineStr">
        <is>
          <t>X</t>
        </is>
      </c>
    </row>
    <row r="2020">
      <c r="A2020" t="inlineStr">
        <is>
          <t>OH0023011668</t>
        </is>
      </c>
      <c r="B2020" t="n">
        <v>78</v>
      </c>
      <c r="C2020" t="n">
        <v>405045</v>
      </c>
      <c r="D2020" t="inlineStr">
        <is>
          <t>SYLVESTER</t>
        </is>
      </c>
      <c r="E2020" t="inlineStr">
        <is>
          <t>DILLON</t>
        </is>
      </c>
      <c r="F2020">
        <f>CONCATENATE(D2020," ",LEFT(H2020,4),"T=",AU2020,"D=",AV2020,"R=",AW2020,"M=",AX2020,"L=",AY2020,"B=",AZ2020)</f>
        <v/>
      </c>
      <c r="G2020" t="inlineStr">
        <is>
          <t>RAY</t>
        </is>
      </c>
      <c r="I2020" t="inlineStr">
        <is>
          <t>1992-01-07</t>
        </is>
      </c>
      <c r="J2020" t="inlineStr">
        <is>
          <t>2016-05-05</t>
        </is>
      </c>
      <c r="K2020" t="inlineStr">
        <is>
          <t>CONFIRMATION</t>
        </is>
      </c>
      <c r="M2020" t="inlineStr">
        <is>
          <t>316 CHESTNUT AVE NE</t>
        </is>
      </c>
      <c r="N2020">
        <f>RIGHT(M2020,LEN(M2020)-FIND(" ",M2020))</f>
        <v/>
      </c>
      <c r="O2020" t="inlineStr">
        <is>
          <t>APT B</t>
        </is>
      </c>
      <c r="P2020" t="inlineStr">
        <is>
          <t>WARREN</t>
        </is>
      </c>
      <c r="Q2020" t="inlineStr">
        <is>
          <t>OH</t>
        </is>
      </c>
      <c r="R2020" t="n">
        <v>44483</v>
      </c>
      <c r="AD2020" t="inlineStr">
        <is>
          <t>TRUMBULL CAREER &amp; TECH CENTER</t>
        </is>
      </c>
      <c r="AE2020" t="inlineStr">
        <is>
          <t>WARREN CITY</t>
        </is>
      </c>
      <c r="AF2020" t="inlineStr">
        <is>
          <t>WARREN CITY SD</t>
        </is>
      </c>
      <c r="AH2020" t="n">
        <v>14</v>
      </c>
      <c r="AI2020" t="n">
        <v>11</v>
      </c>
      <c r="AN2020" t="inlineStr">
        <is>
          <t>WARREN</t>
        </is>
      </c>
      <c r="AO2020" t="inlineStr">
        <is>
          <t>WARREN CITY 4D</t>
        </is>
      </c>
      <c r="AP2020" t="inlineStr">
        <is>
          <t>78-P-ADL</t>
        </is>
      </c>
      <c r="AQ2020" t="n">
        <v>9</v>
      </c>
      <c r="AR2020" t="n">
        <v>64</v>
      </c>
      <c r="AS2020" t="n">
        <v>32</v>
      </c>
      <c r="AU2020">
        <f>COUNTA($BA$2020:$EH$2020)</f>
        <v/>
      </c>
      <c r="AV2020">
        <f>COUNTIF($BA$2020:$EH$2020,"D")</f>
        <v/>
      </c>
      <c r="AW2020">
        <f>COUNTIF($BA$2020:$EH$2020,"R")</f>
        <v/>
      </c>
      <c r="AX2020">
        <f>IF(BN2020="D",1,0)+IF(BO2020="D",1,0)+IF(BT2020="D",1,0)+IF(BU2020="D",1,0)+IF(BW2020="D",1,0)+IF(CC2020="D",1,0)+IF(CD2020="D",1,0)+IF(CE2020="D",1,0)+IF(CF2020="D",1,0)+IF(CL2020="D",1,0)+IF(CM2020="D",1,0)+IF(CQ2020="D",1,0)+IF(CR2020="D",1,0)+IF(CS2020="D",1,0)+IF(CW2020="D",1,0)+IF(CX2020="D",1,0)+IF(DD2020="D",1,0)+IF(DE2020="D",1,0)+IF(DJ2020="D",1,0)+IF(DK2020="D",1,0)+IF(DO2020="D",1,0)+IF(DP2020="D",1,0)+IF(DQ2020="D",1,0)+IF(DW2020="D",1,0)+IF(DZ2020="D",1,0)+IF(EH2020="D",1,0)</f>
        <v/>
      </c>
      <c r="AY2020">
        <f>IF(DJ2020&lt;&gt;"",1,0)+IF(DK2020&lt;&gt;"",1,0)+IF(DM2020&lt;&gt;"",1,0)+IF(DO2020&lt;&gt;"",1,0)+IF(DP2020&lt;&gt;"",1,0)+IF(DQ2020&lt;&gt;"",1,0)+IF(DS2020&lt;&gt;"",1,0)+IF(DT2020&lt;&gt;"",1,0)+IF(DV2020&lt;&gt;"",1,0)+IF(DW2020&lt;&gt;"",1,0)+IF(DX2020&lt;&gt;"",1,0)+IF(DY2020&lt;&gt;"",1,0)+IF(DZ2020&lt;&gt;"",1,0)+IF(EB2020&lt;&gt;"",1,0)+IF(EC2020&lt;&gt;"",1,0)+IF(ED2020&lt;&gt;"",1,0)+IF(EG2020&lt;&gt;"",1,0)+IF(EH2020&lt;&gt;"",1,0)</f>
        <v/>
      </c>
      <c r="AZ2020">
        <f>IF(EH2020&lt;&gt;"",1,0)</f>
        <v/>
      </c>
      <c r="BB2020" t="inlineStr">
        <is>
          <t>WARREN-WARD 4</t>
        </is>
      </c>
    </row>
    <row r="2021">
      <c r="A2021" t="inlineStr">
        <is>
          <t>OH0019914547</t>
        </is>
      </c>
      <c r="B2021" t="n">
        <v>78</v>
      </c>
      <c r="C2021" t="n">
        <v>360687</v>
      </c>
      <c r="D2021" t="inlineStr">
        <is>
          <t>RUPLE</t>
        </is>
      </c>
      <c r="E2021" t="inlineStr">
        <is>
          <t>CHARLES</t>
        </is>
      </c>
      <c r="F2021">
        <f>CONCATENATE(D2021," ",LEFT(H2021,4),"T=",AU2021,"D=",AV2021,"R=",AW2021,"M=",AX2021,"L=",AY2021,"B=",AZ2021)</f>
        <v/>
      </c>
      <c r="G2021" t="inlineStr">
        <is>
          <t>D</t>
        </is>
      </c>
      <c r="I2021" t="inlineStr">
        <is>
          <t>1963-03-27</t>
        </is>
      </c>
      <c r="J2021" t="inlineStr">
        <is>
          <t>2020-09-28</t>
        </is>
      </c>
      <c r="K2021" t="inlineStr">
        <is>
          <t>ACTIVE</t>
        </is>
      </c>
      <c r="M2021" t="inlineStr">
        <is>
          <t>137 CHARLES AVE NE</t>
        </is>
      </c>
      <c r="N2021">
        <f>RIGHT(M2021,LEN(M2021)-FIND(" ",M2021))</f>
        <v/>
      </c>
      <c r="P2021" t="inlineStr">
        <is>
          <t>WARREN</t>
        </is>
      </c>
      <c r="Q2021" t="inlineStr">
        <is>
          <t>OH</t>
        </is>
      </c>
      <c r="R2021" t="n">
        <v>44483</v>
      </c>
      <c r="AD2021" t="inlineStr">
        <is>
          <t>TRUMBULL CAREER &amp; TECH CENTER</t>
        </is>
      </c>
      <c r="AE2021" t="inlineStr">
        <is>
          <t>WARREN CITY</t>
        </is>
      </c>
      <c r="AF2021" t="inlineStr">
        <is>
          <t>WARREN CITY SD</t>
        </is>
      </c>
      <c r="AH2021" t="n">
        <v>14</v>
      </c>
      <c r="AI2021" t="n">
        <v>11</v>
      </c>
      <c r="AN2021" t="inlineStr">
        <is>
          <t>WARREN</t>
        </is>
      </c>
      <c r="AO2021" t="inlineStr">
        <is>
          <t>WARREN CITY 4D</t>
        </is>
      </c>
      <c r="AP2021" t="inlineStr">
        <is>
          <t>78-P-ADL</t>
        </is>
      </c>
      <c r="AQ2021" t="n">
        <v>9</v>
      </c>
      <c r="AR2021" t="n">
        <v>64</v>
      </c>
      <c r="AS2021" t="n">
        <v>32</v>
      </c>
      <c r="AU2021">
        <f>COUNTA($BA$2021:$EH$2021)</f>
        <v/>
      </c>
      <c r="AV2021">
        <f>COUNTIF($BA$2021:$EH$2021,"D")</f>
        <v/>
      </c>
      <c r="AW2021">
        <f>COUNTIF($BA$2021:$EH$2021,"R")</f>
        <v/>
      </c>
      <c r="AX2021">
        <f>IF(BN2021="D",1,0)+IF(BO2021="D",1,0)+IF(BT2021="D",1,0)+IF(BU2021="D",1,0)+IF(BW2021="D",1,0)+IF(CC2021="D",1,0)+IF(CD2021="D",1,0)+IF(CE2021="D",1,0)+IF(CF2021="D",1,0)+IF(CL2021="D",1,0)+IF(CM2021="D",1,0)+IF(CQ2021="D",1,0)+IF(CR2021="D",1,0)+IF(CS2021="D",1,0)+IF(CW2021="D",1,0)+IF(CX2021="D",1,0)+IF(DD2021="D",1,0)+IF(DE2021="D",1,0)+IF(DJ2021="D",1,0)+IF(DK2021="D",1,0)+IF(DO2021="D",1,0)+IF(DP2021="D",1,0)+IF(DQ2021="D",1,0)+IF(DW2021="D",1,0)+IF(DZ2021="D",1,0)+IF(EH2021="D",1,0)</f>
        <v/>
      </c>
      <c r="AY2021">
        <f>IF(DJ2021&lt;&gt;"",1,0)+IF(DK2021&lt;&gt;"",1,0)+IF(DM2021&lt;&gt;"",1,0)+IF(DO2021&lt;&gt;"",1,0)+IF(DP2021&lt;&gt;"",1,0)+IF(DQ2021&lt;&gt;"",1,0)+IF(DS2021&lt;&gt;"",1,0)+IF(DT2021&lt;&gt;"",1,0)+IF(DV2021&lt;&gt;"",1,0)+IF(DW2021&lt;&gt;"",1,0)+IF(DX2021&lt;&gt;"",1,0)+IF(DY2021&lt;&gt;"",1,0)+IF(DZ2021&lt;&gt;"",1,0)+IF(EB2021&lt;&gt;"",1,0)+IF(EC2021&lt;&gt;"",1,0)+IF(ED2021&lt;&gt;"",1,0)+IF(EG2021&lt;&gt;"",1,0)+IF(EH2021&lt;&gt;"",1,0)</f>
        <v/>
      </c>
      <c r="AZ2021">
        <f>IF(EH2021&lt;&gt;"",1,0)</f>
        <v/>
      </c>
      <c r="BB2021" t="inlineStr">
        <is>
          <t>WARREN-WARD 4</t>
        </is>
      </c>
      <c r="CA2021" t="inlineStr">
        <is>
          <t>X</t>
        </is>
      </c>
      <c r="CV2021" t="inlineStr">
        <is>
          <t>X</t>
        </is>
      </c>
      <c r="DI2021" t="inlineStr">
        <is>
          <t>X</t>
        </is>
      </c>
      <c r="DN2021" t="inlineStr">
        <is>
          <t>X</t>
        </is>
      </c>
      <c r="DU2021" t="inlineStr">
        <is>
          <t>X</t>
        </is>
      </c>
      <c r="DX2021" t="inlineStr">
        <is>
          <t>X</t>
        </is>
      </c>
    </row>
    <row r="2022">
      <c r="A2022" t="inlineStr">
        <is>
          <t>OH0024477524</t>
        </is>
      </c>
      <c r="B2022" t="n">
        <v>78</v>
      </c>
      <c r="C2022" t="n">
        <v>429048</v>
      </c>
      <c r="D2022" t="inlineStr">
        <is>
          <t>PETERSON</t>
        </is>
      </c>
      <c r="E2022" t="inlineStr">
        <is>
          <t>AMBER</t>
        </is>
      </c>
      <c r="F2022">
        <f>CONCATENATE(D2022," ",LEFT(H2022,4),"T=",AU2022,"D=",AV2022,"R=",AW2022,"M=",AX2022,"L=",AY2022,"B=",AZ2022)</f>
        <v/>
      </c>
      <c r="G2022" t="inlineStr">
        <is>
          <t>DANAMARIE</t>
        </is>
      </c>
      <c r="I2022" t="inlineStr">
        <is>
          <t>1994-09-30</t>
        </is>
      </c>
      <c r="J2022" t="inlineStr">
        <is>
          <t>2017-12-27</t>
        </is>
      </c>
      <c r="K2022" t="inlineStr">
        <is>
          <t>ACTIVE</t>
        </is>
      </c>
      <c r="M2022" t="inlineStr">
        <is>
          <t>468 HIGH ST NE</t>
        </is>
      </c>
      <c r="N2022">
        <f>RIGHT(M2022,LEN(M2022)-FIND(" ",M2022))</f>
        <v/>
      </c>
      <c r="O2022" t="inlineStr">
        <is>
          <t>UPPR</t>
        </is>
      </c>
      <c r="P2022" t="inlineStr">
        <is>
          <t>WARREN</t>
        </is>
      </c>
      <c r="Q2022" t="inlineStr">
        <is>
          <t>OH</t>
        </is>
      </c>
      <c r="R2022" t="n">
        <v>44481</v>
      </c>
      <c r="AD2022" t="inlineStr">
        <is>
          <t>TRUMBULL CAREER &amp; TECH CENTER</t>
        </is>
      </c>
      <c r="AE2022" t="inlineStr">
        <is>
          <t>WARREN CITY</t>
        </is>
      </c>
      <c r="AF2022" t="inlineStr">
        <is>
          <t>WARREN CITY SD</t>
        </is>
      </c>
      <c r="AH2022" t="n">
        <v>14</v>
      </c>
      <c r="AI2022" t="n">
        <v>11</v>
      </c>
      <c r="AN2022" t="inlineStr">
        <is>
          <t>WARREN</t>
        </is>
      </c>
      <c r="AO2022" t="inlineStr">
        <is>
          <t>WARREN CITY 4D</t>
        </is>
      </c>
      <c r="AP2022" t="inlineStr">
        <is>
          <t>78-P-ADL</t>
        </is>
      </c>
      <c r="AQ2022" t="n">
        <v>9</v>
      </c>
      <c r="AR2022" t="n">
        <v>64</v>
      </c>
      <c r="AS2022" t="n">
        <v>32</v>
      </c>
      <c r="AU2022">
        <f>COUNTA($BA$2022:$EH$2022)</f>
        <v/>
      </c>
      <c r="AV2022">
        <f>COUNTIF($BA$2022:$EH$2022,"D")</f>
        <v/>
      </c>
      <c r="AW2022">
        <f>COUNTIF($BA$2022:$EH$2022,"R")</f>
        <v/>
      </c>
      <c r="AX2022">
        <f>IF(BN2022="D",1,0)+IF(BO2022="D",1,0)+IF(BT2022="D",1,0)+IF(BU2022="D",1,0)+IF(BW2022="D",1,0)+IF(CC2022="D",1,0)+IF(CD2022="D",1,0)+IF(CE2022="D",1,0)+IF(CF2022="D",1,0)+IF(CL2022="D",1,0)+IF(CM2022="D",1,0)+IF(CQ2022="D",1,0)+IF(CR2022="D",1,0)+IF(CS2022="D",1,0)+IF(CW2022="D",1,0)+IF(CX2022="D",1,0)+IF(DD2022="D",1,0)+IF(DE2022="D",1,0)+IF(DJ2022="D",1,0)+IF(DK2022="D",1,0)+IF(DO2022="D",1,0)+IF(DP2022="D",1,0)+IF(DQ2022="D",1,0)+IF(DW2022="D",1,0)+IF(DZ2022="D",1,0)+IF(EH2022="D",1,0)</f>
        <v/>
      </c>
      <c r="AY2022">
        <f>IF(DJ2022&lt;&gt;"",1,0)+IF(DK2022&lt;&gt;"",1,0)+IF(DM2022&lt;&gt;"",1,0)+IF(DO2022&lt;&gt;"",1,0)+IF(DP2022&lt;&gt;"",1,0)+IF(DQ2022&lt;&gt;"",1,0)+IF(DS2022&lt;&gt;"",1,0)+IF(DT2022&lt;&gt;"",1,0)+IF(DV2022&lt;&gt;"",1,0)+IF(DW2022&lt;&gt;"",1,0)+IF(DX2022&lt;&gt;"",1,0)+IF(DY2022&lt;&gt;"",1,0)+IF(DZ2022&lt;&gt;"",1,0)+IF(EB2022&lt;&gt;"",1,0)+IF(EC2022&lt;&gt;"",1,0)+IF(ED2022&lt;&gt;"",1,0)+IF(EG2022&lt;&gt;"",1,0)+IF(EH2022&lt;&gt;"",1,0)</f>
        <v/>
      </c>
      <c r="AZ2022">
        <f>IF(EH2022&lt;&gt;"",1,0)</f>
        <v/>
      </c>
      <c r="BB2022" t="inlineStr">
        <is>
          <t>WARREN-WARD 4</t>
        </is>
      </c>
      <c r="DI2022" t="inlineStr">
        <is>
          <t>X</t>
        </is>
      </c>
    </row>
    <row r="2023">
      <c r="A2023" t="inlineStr">
        <is>
          <t>OH0025778211</t>
        </is>
      </c>
      <c r="B2023" t="n">
        <v>78</v>
      </c>
      <c r="C2023" t="n">
        <v>450249</v>
      </c>
      <c r="D2023" t="inlineStr">
        <is>
          <t>SARVEY</t>
        </is>
      </c>
      <c r="E2023" t="inlineStr">
        <is>
          <t>CARL</t>
        </is>
      </c>
      <c r="F2023">
        <f>CONCATENATE(D2023," ",LEFT(H2023,4),"T=",AU2023,"D=",AV2023,"R=",AW2023,"M=",AX2023,"L=",AY2023,"B=",AZ2023)</f>
        <v/>
      </c>
      <c r="G2023" t="inlineStr">
        <is>
          <t>DEAN</t>
        </is>
      </c>
      <c r="I2023" t="inlineStr">
        <is>
          <t>1969-06-03</t>
        </is>
      </c>
      <c r="J2023" t="inlineStr">
        <is>
          <t>2020-09-03</t>
        </is>
      </c>
      <c r="K2023" t="inlineStr">
        <is>
          <t>ACTIVE</t>
        </is>
      </c>
      <c r="M2023" t="inlineStr">
        <is>
          <t>464 SCOTT ST NE</t>
        </is>
      </c>
      <c r="N2023">
        <f>RIGHT(M2023,LEN(M2023)-FIND(" ",M2023))</f>
        <v/>
      </c>
      <c r="P2023" t="inlineStr">
        <is>
          <t>WARREN</t>
        </is>
      </c>
      <c r="Q2023" t="inlineStr">
        <is>
          <t>OH</t>
        </is>
      </c>
      <c r="R2023" t="n">
        <v>44483</v>
      </c>
      <c r="AD2023" t="inlineStr">
        <is>
          <t>TRUMBULL CAREER &amp; TECH CENTER</t>
        </is>
      </c>
      <c r="AE2023" t="inlineStr">
        <is>
          <t>WARREN CITY</t>
        </is>
      </c>
      <c r="AF2023" t="inlineStr">
        <is>
          <t>WARREN CITY SD</t>
        </is>
      </c>
      <c r="AH2023" t="n">
        <v>14</v>
      </c>
      <c r="AI2023" t="n">
        <v>11</v>
      </c>
      <c r="AN2023" t="inlineStr">
        <is>
          <t>WARREN</t>
        </is>
      </c>
      <c r="AO2023" t="inlineStr">
        <is>
          <t>WARREN CITY 4D</t>
        </is>
      </c>
      <c r="AP2023" t="inlineStr">
        <is>
          <t>78-P-ADL</t>
        </is>
      </c>
      <c r="AQ2023" t="n">
        <v>9</v>
      </c>
      <c r="AR2023" t="n">
        <v>64</v>
      </c>
      <c r="AS2023" t="n">
        <v>32</v>
      </c>
      <c r="AU2023">
        <f>COUNTA($BA$2023:$EH$2023)</f>
        <v/>
      </c>
      <c r="AV2023">
        <f>COUNTIF($BA$2023:$EH$2023,"D")</f>
        <v/>
      </c>
      <c r="AW2023">
        <f>COUNTIF($BA$2023:$EH$2023,"R")</f>
        <v/>
      </c>
      <c r="AX2023">
        <f>IF(BN2023="D",1,0)+IF(BO2023="D",1,0)+IF(BT2023="D",1,0)+IF(BU2023="D",1,0)+IF(BW2023="D",1,0)+IF(CC2023="D",1,0)+IF(CD2023="D",1,0)+IF(CE2023="D",1,0)+IF(CF2023="D",1,0)+IF(CL2023="D",1,0)+IF(CM2023="D",1,0)+IF(CQ2023="D",1,0)+IF(CR2023="D",1,0)+IF(CS2023="D",1,0)+IF(CW2023="D",1,0)+IF(CX2023="D",1,0)+IF(DD2023="D",1,0)+IF(DE2023="D",1,0)+IF(DJ2023="D",1,0)+IF(DK2023="D",1,0)+IF(DO2023="D",1,0)+IF(DP2023="D",1,0)+IF(DQ2023="D",1,0)+IF(DW2023="D",1,0)+IF(DZ2023="D",1,0)+IF(EH2023="D",1,0)</f>
        <v/>
      </c>
      <c r="AY2023">
        <f>IF(DJ2023&lt;&gt;"",1,0)+IF(DK2023&lt;&gt;"",1,0)+IF(DM2023&lt;&gt;"",1,0)+IF(DO2023&lt;&gt;"",1,0)+IF(DP2023&lt;&gt;"",1,0)+IF(DQ2023&lt;&gt;"",1,0)+IF(DS2023&lt;&gt;"",1,0)+IF(DT2023&lt;&gt;"",1,0)+IF(DV2023&lt;&gt;"",1,0)+IF(DW2023&lt;&gt;"",1,0)+IF(DX2023&lt;&gt;"",1,0)+IF(DY2023&lt;&gt;"",1,0)+IF(DZ2023&lt;&gt;"",1,0)+IF(EB2023&lt;&gt;"",1,0)+IF(EC2023&lt;&gt;"",1,0)+IF(ED2023&lt;&gt;"",1,0)+IF(EG2023&lt;&gt;"",1,0)+IF(EH2023&lt;&gt;"",1,0)</f>
        <v/>
      </c>
      <c r="AZ2023">
        <f>IF(EH2023&lt;&gt;"",1,0)</f>
        <v/>
      </c>
      <c r="BB2023" t="inlineStr">
        <is>
          <t>WARREN-WARD 4</t>
        </is>
      </c>
      <c r="BC2023" t="inlineStr">
        <is>
          <t>X</t>
        </is>
      </c>
      <c r="BH2023" t="inlineStr">
        <is>
          <t>X</t>
        </is>
      </c>
      <c r="EF2023" t="inlineStr">
        <is>
          <t>X</t>
        </is>
      </c>
    </row>
    <row r="2024">
      <c r="A2024" t="inlineStr">
        <is>
          <t>OH0015747384</t>
        </is>
      </c>
      <c r="B2024" t="n">
        <v>78</v>
      </c>
      <c r="C2024" t="n">
        <v>308559</v>
      </c>
      <c r="D2024" t="inlineStr">
        <is>
          <t>BROWN</t>
        </is>
      </c>
      <c r="E2024" t="inlineStr">
        <is>
          <t>JOEL</t>
        </is>
      </c>
      <c r="F2024">
        <f>CONCATENATE(D2024," ",LEFT(H2024,4),"T=",AU2024,"D=",AV2024,"R=",AW2024,"M=",AX2024,"L=",AY2024,"B=",AZ2024)</f>
        <v/>
      </c>
      <c r="G2024" t="inlineStr">
        <is>
          <t>LUKE</t>
        </is>
      </c>
      <c r="I2024" t="inlineStr">
        <is>
          <t>1959-04-13</t>
        </is>
      </c>
      <c r="J2024" t="inlineStr">
        <is>
          <t>2019-08-06</t>
        </is>
      </c>
      <c r="K2024" t="inlineStr">
        <is>
          <t>ACTIVE</t>
        </is>
      </c>
      <c r="M2024" t="inlineStr">
        <is>
          <t>438 N PARK AVE</t>
        </is>
      </c>
      <c r="N2024">
        <f>RIGHT(M2024,LEN(M2024)-FIND(" ",M2024))</f>
        <v/>
      </c>
      <c r="O2024" t="inlineStr">
        <is>
          <t>APT 9A</t>
        </is>
      </c>
      <c r="P2024" t="inlineStr">
        <is>
          <t>WARREN</t>
        </is>
      </c>
      <c r="Q2024" t="inlineStr">
        <is>
          <t>OH</t>
        </is>
      </c>
      <c r="R2024" t="n">
        <v>44481</v>
      </c>
      <c r="AD2024" t="inlineStr">
        <is>
          <t>TRUMBULL CAREER &amp; TECH CENTER</t>
        </is>
      </c>
      <c r="AE2024" t="inlineStr">
        <is>
          <t>WARREN CITY</t>
        </is>
      </c>
      <c r="AF2024" t="inlineStr">
        <is>
          <t>WARREN CITY SD</t>
        </is>
      </c>
      <c r="AH2024" t="n">
        <v>14</v>
      </c>
      <c r="AI2024" t="n">
        <v>11</v>
      </c>
      <c r="AN2024" t="inlineStr">
        <is>
          <t>WARREN</t>
        </is>
      </c>
      <c r="AO2024" t="inlineStr">
        <is>
          <t>WARREN CITY 4D</t>
        </is>
      </c>
      <c r="AP2024" t="inlineStr">
        <is>
          <t>78-P-ADL</t>
        </is>
      </c>
      <c r="AQ2024" t="n">
        <v>9</v>
      </c>
      <c r="AR2024" t="n">
        <v>64</v>
      </c>
      <c r="AS2024" t="n">
        <v>32</v>
      </c>
      <c r="AU2024">
        <f>COUNTA($BA$2024:$EH$2024)</f>
        <v/>
      </c>
      <c r="AV2024">
        <f>COUNTIF($BA$2024:$EH$2024,"D")</f>
        <v/>
      </c>
      <c r="AW2024">
        <f>COUNTIF($BA$2024:$EH$2024,"R")</f>
        <v/>
      </c>
      <c r="AX2024">
        <f>IF(BN2024="D",1,0)+IF(BO2024="D",1,0)+IF(BT2024="D",1,0)+IF(BU2024="D",1,0)+IF(BW2024="D",1,0)+IF(CC2024="D",1,0)+IF(CD2024="D",1,0)+IF(CE2024="D",1,0)+IF(CF2024="D",1,0)+IF(CL2024="D",1,0)+IF(CM2024="D",1,0)+IF(CQ2024="D",1,0)+IF(CR2024="D",1,0)+IF(CS2024="D",1,0)+IF(CW2024="D",1,0)+IF(CX2024="D",1,0)+IF(DD2024="D",1,0)+IF(DE2024="D",1,0)+IF(DJ2024="D",1,0)+IF(DK2024="D",1,0)+IF(DO2024="D",1,0)+IF(DP2024="D",1,0)+IF(DQ2024="D",1,0)+IF(DW2024="D",1,0)+IF(DZ2024="D",1,0)+IF(EH2024="D",1,0)</f>
        <v/>
      </c>
      <c r="AY2024">
        <f>IF(DJ2024&lt;&gt;"",1,0)+IF(DK2024&lt;&gt;"",1,0)+IF(DM2024&lt;&gt;"",1,0)+IF(DO2024&lt;&gt;"",1,0)+IF(DP2024&lt;&gt;"",1,0)+IF(DQ2024&lt;&gt;"",1,0)+IF(DS2024&lt;&gt;"",1,0)+IF(DT2024&lt;&gt;"",1,0)+IF(DV2024&lt;&gt;"",1,0)+IF(DW2024&lt;&gt;"",1,0)+IF(DX2024&lt;&gt;"",1,0)+IF(DY2024&lt;&gt;"",1,0)+IF(DZ2024&lt;&gt;"",1,0)+IF(EB2024&lt;&gt;"",1,0)+IF(EC2024&lt;&gt;"",1,0)+IF(ED2024&lt;&gt;"",1,0)+IF(EG2024&lt;&gt;"",1,0)+IF(EH2024&lt;&gt;"",1,0)</f>
        <v/>
      </c>
      <c r="AZ2024">
        <f>IF(EH2024&lt;&gt;"",1,0)</f>
        <v/>
      </c>
      <c r="BB2024" t="inlineStr">
        <is>
          <t>WARREN-WARD 4</t>
        </is>
      </c>
      <c r="CP2024" t="inlineStr">
        <is>
          <t>X</t>
        </is>
      </c>
      <c r="CY2024" t="inlineStr">
        <is>
          <t>X</t>
        </is>
      </c>
      <c r="CZ2024" t="inlineStr">
        <is>
          <t>D</t>
        </is>
      </c>
      <c r="DC2024" t="inlineStr">
        <is>
          <t>X</t>
        </is>
      </c>
      <c r="DN2024" t="inlineStr">
        <is>
          <t>X</t>
        </is>
      </c>
      <c r="DR2024" t="inlineStr">
        <is>
          <t>X</t>
        </is>
      </c>
    </row>
    <row r="2025">
      <c r="A2025" t="inlineStr">
        <is>
          <t>OH0021406235</t>
        </is>
      </c>
      <c r="B2025" t="n">
        <v>78</v>
      </c>
      <c r="C2025" t="n">
        <v>381001</v>
      </c>
      <c r="D2025" t="inlineStr">
        <is>
          <t>GARDNER</t>
        </is>
      </c>
      <c r="E2025" t="inlineStr">
        <is>
          <t>NADINE</t>
        </is>
      </c>
      <c r="F2025">
        <f>CONCATENATE(D2025," ",LEFT(H2025,4),"T=",AU2025,"D=",AV2025,"R=",AW2025,"M=",AX2025,"L=",AY2025,"B=",AZ2025)</f>
        <v/>
      </c>
      <c r="G2025" t="inlineStr">
        <is>
          <t>M</t>
        </is>
      </c>
      <c r="I2025" t="inlineStr">
        <is>
          <t>1963-03-31</t>
        </is>
      </c>
      <c r="J2025" t="inlineStr">
        <is>
          <t>2017-06-24</t>
        </is>
      </c>
      <c r="K2025" t="inlineStr">
        <is>
          <t>ACTIVE</t>
        </is>
      </c>
      <c r="L2025" t="inlineStr">
        <is>
          <t>D</t>
        </is>
      </c>
      <c r="M2025" t="inlineStr">
        <is>
          <t>656 PORTER ST NE</t>
        </is>
      </c>
      <c r="N2025">
        <f>RIGHT(M2025,LEN(M2025)-FIND(" ",M2025))</f>
        <v/>
      </c>
      <c r="P2025" t="inlineStr">
        <is>
          <t>WARREN</t>
        </is>
      </c>
      <c r="Q2025" t="inlineStr">
        <is>
          <t>OH</t>
        </is>
      </c>
      <c r="R2025" t="n">
        <v>44483</v>
      </c>
      <c r="AD2025" t="inlineStr">
        <is>
          <t>TRUMBULL CAREER &amp; TECH CENTER</t>
        </is>
      </c>
      <c r="AE2025" t="inlineStr">
        <is>
          <t>WARREN CITY</t>
        </is>
      </c>
      <c r="AF2025" t="inlineStr">
        <is>
          <t>WARREN CITY SD</t>
        </is>
      </c>
      <c r="AH2025" t="n">
        <v>14</v>
      </c>
      <c r="AI2025" t="n">
        <v>11</v>
      </c>
      <c r="AN2025" t="inlineStr">
        <is>
          <t>WARREN</t>
        </is>
      </c>
      <c r="AO2025" t="inlineStr">
        <is>
          <t>WARREN CITY 4D</t>
        </is>
      </c>
      <c r="AP2025" t="inlineStr">
        <is>
          <t>78-P-ADL</t>
        </is>
      </c>
      <c r="AQ2025" t="n">
        <v>9</v>
      </c>
      <c r="AR2025" t="n">
        <v>64</v>
      </c>
      <c r="AS2025" t="n">
        <v>32</v>
      </c>
      <c r="AU2025">
        <f>COUNTA($BA$2025:$EH$2025)</f>
        <v/>
      </c>
      <c r="AV2025">
        <f>COUNTIF($BA$2025:$EH$2025,"D")</f>
        <v/>
      </c>
      <c r="AW2025">
        <f>COUNTIF($BA$2025:$EH$2025,"R")</f>
        <v/>
      </c>
      <c r="AX2025">
        <f>IF(BN2025="D",1,0)+IF(BO2025="D",1,0)+IF(BT2025="D",1,0)+IF(BU2025="D",1,0)+IF(BW2025="D",1,0)+IF(CC2025="D",1,0)+IF(CD2025="D",1,0)+IF(CE2025="D",1,0)+IF(CF2025="D",1,0)+IF(CL2025="D",1,0)+IF(CM2025="D",1,0)+IF(CQ2025="D",1,0)+IF(CR2025="D",1,0)+IF(CS2025="D",1,0)+IF(CW2025="D",1,0)+IF(CX2025="D",1,0)+IF(DD2025="D",1,0)+IF(DE2025="D",1,0)+IF(DJ2025="D",1,0)+IF(DK2025="D",1,0)+IF(DO2025="D",1,0)+IF(DP2025="D",1,0)+IF(DQ2025="D",1,0)+IF(DW2025="D",1,0)+IF(DZ2025="D",1,0)+IF(EH2025="D",1,0)</f>
        <v/>
      </c>
      <c r="AY2025">
        <f>IF(DJ2025&lt;&gt;"",1,0)+IF(DK2025&lt;&gt;"",1,0)+IF(DM2025&lt;&gt;"",1,0)+IF(DO2025&lt;&gt;"",1,0)+IF(DP2025&lt;&gt;"",1,0)+IF(DQ2025&lt;&gt;"",1,0)+IF(DS2025&lt;&gt;"",1,0)+IF(DT2025&lt;&gt;"",1,0)+IF(DV2025&lt;&gt;"",1,0)+IF(DW2025&lt;&gt;"",1,0)+IF(DX2025&lt;&gt;"",1,0)+IF(DY2025&lt;&gt;"",1,0)+IF(DZ2025&lt;&gt;"",1,0)+IF(EB2025&lt;&gt;"",1,0)+IF(EC2025&lt;&gt;"",1,0)+IF(ED2025&lt;&gt;"",1,0)+IF(EG2025&lt;&gt;"",1,0)+IF(EH2025&lt;&gt;"",1,0)</f>
        <v/>
      </c>
      <c r="AZ2025">
        <f>IF(EH2025&lt;&gt;"",1,0)</f>
        <v/>
      </c>
      <c r="BB2025" t="inlineStr">
        <is>
          <t>WARREN-WARD 4</t>
        </is>
      </c>
      <c r="CN2025" t="inlineStr">
        <is>
          <t>X</t>
        </is>
      </c>
      <c r="CO2025" t="inlineStr">
        <is>
          <t>D</t>
        </is>
      </c>
      <c r="CP2025" t="inlineStr">
        <is>
          <t>X</t>
        </is>
      </c>
      <c r="CY2025" t="inlineStr">
        <is>
          <t>X</t>
        </is>
      </c>
      <c r="DC2025" t="inlineStr">
        <is>
          <t>X</t>
        </is>
      </c>
      <c r="DF2025" t="inlineStr">
        <is>
          <t>X</t>
        </is>
      </c>
      <c r="DI2025" t="inlineStr">
        <is>
          <t>X</t>
        </is>
      </c>
      <c r="DL2025" t="inlineStr">
        <is>
          <t>X</t>
        </is>
      </c>
      <c r="DN2025" t="inlineStr">
        <is>
          <t>X</t>
        </is>
      </c>
      <c r="DR2025" t="inlineStr">
        <is>
          <t>X</t>
        </is>
      </c>
      <c r="DS2025" t="inlineStr">
        <is>
          <t>D</t>
        </is>
      </c>
      <c r="DU2025" t="inlineStr">
        <is>
          <t>X</t>
        </is>
      </c>
      <c r="DW2025" t="inlineStr">
        <is>
          <t>D</t>
        </is>
      </c>
      <c r="DX2025" t="inlineStr">
        <is>
          <t>X</t>
        </is>
      </c>
      <c r="EA2025" t="inlineStr">
        <is>
          <t>X</t>
        </is>
      </c>
      <c r="ED2025" t="inlineStr">
        <is>
          <t>D</t>
        </is>
      </c>
      <c r="EF2025" t="inlineStr">
        <is>
          <t>X</t>
        </is>
      </c>
    </row>
    <row r="2026">
      <c r="A2026" t="inlineStr">
        <is>
          <t>OH0022018740</t>
        </is>
      </c>
      <c r="B2026" t="n">
        <v>78</v>
      </c>
      <c r="C2026" t="n">
        <v>390355</v>
      </c>
      <c r="D2026" t="inlineStr">
        <is>
          <t>SULLIVAN</t>
        </is>
      </c>
      <c r="E2026" t="inlineStr">
        <is>
          <t>MARCUS</t>
        </is>
      </c>
      <c r="F2026">
        <f>CONCATENATE(D2026," ",LEFT(H2026,4),"T=",AU2026,"D=",AV2026,"R=",AW2026,"M=",AX2026,"L=",AY2026,"B=",AZ2026)</f>
        <v/>
      </c>
      <c r="G2026" t="inlineStr">
        <is>
          <t>S</t>
        </is>
      </c>
      <c r="I2026" t="inlineStr">
        <is>
          <t>1994-10-31</t>
        </is>
      </c>
      <c r="J2026" t="inlineStr">
        <is>
          <t>2016-05-13</t>
        </is>
      </c>
      <c r="K2026" t="inlineStr">
        <is>
          <t>ACTIVE</t>
        </is>
      </c>
      <c r="M2026" t="inlineStr">
        <is>
          <t>339 CHESTNUT AVE NE</t>
        </is>
      </c>
      <c r="N2026">
        <f>RIGHT(M2026,LEN(M2026)-FIND(" ",M2026))</f>
        <v/>
      </c>
      <c r="O2026" t="inlineStr">
        <is>
          <t>APT B</t>
        </is>
      </c>
      <c r="P2026" t="inlineStr">
        <is>
          <t>WARREN</t>
        </is>
      </c>
      <c r="Q2026" t="inlineStr">
        <is>
          <t>OH</t>
        </is>
      </c>
      <c r="R2026" t="n">
        <v>44483</v>
      </c>
      <c r="AD2026" t="inlineStr">
        <is>
          <t>TRUMBULL CAREER &amp; TECH CENTER</t>
        </is>
      </c>
      <c r="AE2026" t="inlineStr">
        <is>
          <t>WARREN CITY</t>
        </is>
      </c>
      <c r="AF2026" t="inlineStr">
        <is>
          <t>WARREN CITY SD</t>
        </is>
      </c>
      <c r="AH2026" t="n">
        <v>14</v>
      </c>
      <c r="AI2026" t="n">
        <v>11</v>
      </c>
      <c r="AN2026" t="inlineStr">
        <is>
          <t>WARREN</t>
        </is>
      </c>
      <c r="AO2026" t="inlineStr">
        <is>
          <t>WARREN CITY 4D</t>
        </is>
      </c>
      <c r="AP2026" t="inlineStr">
        <is>
          <t>78-P-ADL</t>
        </is>
      </c>
      <c r="AQ2026" t="n">
        <v>9</v>
      </c>
      <c r="AR2026" t="n">
        <v>64</v>
      </c>
      <c r="AS2026" t="n">
        <v>32</v>
      </c>
      <c r="AU2026">
        <f>COUNTA($BA$2026:$EH$2026)</f>
        <v/>
      </c>
      <c r="AV2026">
        <f>COUNTIF($BA$2026:$EH$2026,"D")</f>
        <v/>
      </c>
      <c r="AW2026">
        <f>COUNTIF($BA$2026:$EH$2026,"R")</f>
        <v/>
      </c>
      <c r="AX2026">
        <f>IF(BN2026="D",1,0)+IF(BO2026="D",1,0)+IF(BT2026="D",1,0)+IF(BU2026="D",1,0)+IF(BW2026="D",1,0)+IF(CC2026="D",1,0)+IF(CD2026="D",1,0)+IF(CE2026="D",1,0)+IF(CF2026="D",1,0)+IF(CL2026="D",1,0)+IF(CM2026="D",1,0)+IF(CQ2026="D",1,0)+IF(CR2026="D",1,0)+IF(CS2026="D",1,0)+IF(CW2026="D",1,0)+IF(CX2026="D",1,0)+IF(DD2026="D",1,0)+IF(DE2026="D",1,0)+IF(DJ2026="D",1,0)+IF(DK2026="D",1,0)+IF(DO2026="D",1,0)+IF(DP2026="D",1,0)+IF(DQ2026="D",1,0)+IF(DW2026="D",1,0)+IF(DZ2026="D",1,0)+IF(EH2026="D",1,0)</f>
        <v/>
      </c>
      <c r="AY2026">
        <f>IF(DJ2026&lt;&gt;"",1,0)+IF(DK2026&lt;&gt;"",1,0)+IF(DM2026&lt;&gt;"",1,0)+IF(DO2026&lt;&gt;"",1,0)+IF(DP2026&lt;&gt;"",1,0)+IF(DQ2026&lt;&gt;"",1,0)+IF(DS2026&lt;&gt;"",1,0)+IF(DT2026&lt;&gt;"",1,0)+IF(DV2026&lt;&gt;"",1,0)+IF(DW2026&lt;&gt;"",1,0)+IF(DX2026&lt;&gt;"",1,0)+IF(DY2026&lt;&gt;"",1,0)+IF(DZ2026&lt;&gt;"",1,0)+IF(EB2026&lt;&gt;"",1,0)+IF(EC2026&lt;&gt;"",1,0)+IF(ED2026&lt;&gt;"",1,0)+IF(EG2026&lt;&gt;"",1,0)+IF(EH2026&lt;&gt;"",1,0)</f>
        <v/>
      </c>
      <c r="AZ2026">
        <f>IF(EH2026&lt;&gt;"",1,0)</f>
        <v/>
      </c>
      <c r="BB2026" t="inlineStr">
        <is>
          <t>WARREN-WARD 4</t>
        </is>
      </c>
    </row>
    <row r="2027">
      <c r="A2027" t="inlineStr">
        <is>
          <t>OH0021405179</t>
        </is>
      </c>
      <c r="B2027" t="n">
        <v>78</v>
      </c>
      <c r="C2027" t="n">
        <v>380949</v>
      </c>
      <c r="D2027" t="inlineStr">
        <is>
          <t>KROMER</t>
        </is>
      </c>
      <c r="E2027" t="inlineStr">
        <is>
          <t>TAMARA</t>
        </is>
      </c>
      <c r="F2027">
        <f>CONCATENATE(D2027," ",LEFT(H2027,4),"T=",AU2027,"D=",AV2027,"R=",AW2027,"M=",AX2027,"L=",AY2027,"B=",AZ2027)</f>
        <v/>
      </c>
      <c r="G2027" t="inlineStr">
        <is>
          <t>J</t>
        </is>
      </c>
      <c r="I2027" t="inlineStr">
        <is>
          <t>1972-01-21</t>
        </is>
      </c>
      <c r="J2027" t="inlineStr">
        <is>
          <t>2015-10-23</t>
        </is>
      </c>
      <c r="K2027" t="inlineStr">
        <is>
          <t>ACTIVE</t>
        </is>
      </c>
      <c r="M2027" t="inlineStr">
        <is>
          <t>323 HARMON AVE NW</t>
        </is>
      </c>
      <c r="N2027">
        <f>RIGHT(M2027,LEN(M2027)-FIND(" ",M2027))</f>
        <v/>
      </c>
      <c r="P2027" t="inlineStr">
        <is>
          <t>WARREN</t>
        </is>
      </c>
      <c r="Q2027" t="inlineStr">
        <is>
          <t>OH</t>
        </is>
      </c>
      <c r="R2027" t="n">
        <v>44483</v>
      </c>
      <c r="AD2027" t="inlineStr">
        <is>
          <t>TRUMBULL CAREER &amp; TECH CENTER</t>
        </is>
      </c>
      <c r="AE2027" t="inlineStr">
        <is>
          <t>WARREN CITY</t>
        </is>
      </c>
      <c r="AF2027" t="inlineStr">
        <is>
          <t>WARREN CITY SD</t>
        </is>
      </c>
      <c r="AH2027" t="n">
        <v>14</v>
      </c>
      <c r="AI2027" t="n">
        <v>11</v>
      </c>
      <c r="AN2027" t="inlineStr">
        <is>
          <t>WARREN</t>
        </is>
      </c>
      <c r="AO2027" t="inlineStr">
        <is>
          <t>WARREN CITY 4D</t>
        </is>
      </c>
      <c r="AP2027" t="inlineStr">
        <is>
          <t>78-P-ADL</t>
        </is>
      </c>
      <c r="AQ2027" t="n">
        <v>9</v>
      </c>
      <c r="AR2027" t="n">
        <v>64</v>
      </c>
      <c r="AS2027" t="n">
        <v>32</v>
      </c>
      <c r="AU2027">
        <f>COUNTA($BA$2027:$EH$2027)</f>
        <v/>
      </c>
      <c r="AV2027">
        <f>COUNTIF($BA$2027:$EH$2027,"D")</f>
        <v/>
      </c>
      <c r="AW2027">
        <f>COUNTIF($BA$2027:$EH$2027,"R")</f>
        <v/>
      </c>
      <c r="AX2027">
        <f>IF(BN2027="D",1,0)+IF(BO2027="D",1,0)+IF(BT2027="D",1,0)+IF(BU2027="D",1,0)+IF(BW2027="D",1,0)+IF(CC2027="D",1,0)+IF(CD2027="D",1,0)+IF(CE2027="D",1,0)+IF(CF2027="D",1,0)+IF(CL2027="D",1,0)+IF(CM2027="D",1,0)+IF(CQ2027="D",1,0)+IF(CR2027="D",1,0)+IF(CS2027="D",1,0)+IF(CW2027="D",1,0)+IF(CX2027="D",1,0)+IF(DD2027="D",1,0)+IF(DE2027="D",1,0)+IF(DJ2027="D",1,0)+IF(DK2027="D",1,0)+IF(DO2027="D",1,0)+IF(DP2027="D",1,0)+IF(DQ2027="D",1,0)+IF(DW2027="D",1,0)+IF(DZ2027="D",1,0)+IF(EH2027="D",1,0)</f>
        <v/>
      </c>
      <c r="AY2027">
        <f>IF(DJ2027&lt;&gt;"",1,0)+IF(DK2027&lt;&gt;"",1,0)+IF(DM2027&lt;&gt;"",1,0)+IF(DO2027&lt;&gt;"",1,0)+IF(DP2027&lt;&gt;"",1,0)+IF(DQ2027&lt;&gt;"",1,0)+IF(DS2027&lt;&gt;"",1,0)+IF(DT2027&lt;&gt;"",1,0)+IF(DV2027&lt;&gt;"",1,0)+IF(DW2027&lt;&gt;"",1,0)+IF(DX2027&lt;&gt;"",1,0)+IF(DY2027&lt;&gt;"",1,0)+IF(DZ2027&lt;&gt;"",1,0)+IF(EB2027&lt;&gt;"",1,0)+IF(EC2027&lt;&gt;"",1,0)+IF(ED2027&lt;&gt;"",1,0)+IF(EG2027&lt;&gt;"",1,0)+IF(EH2027&lt;&gt;"",1,0)</f>
        <v/>
      </c>
      <c r="AZ2027">
        <f>IF(EH2027&lt;&gt;"",1,0)</f>
        <v/>
      </c>
      <c r="BB2027" t="inlineStr">
        <is>
          <t>WARREN-WARD 4</t>
        </is>
      </c>
      <c r="CZ2027" t="inlineStr">
        <is>
          <t>R</t>
        </is>
      </c>
      <c r="DC2027" t="inlineStr">
        <is>
          <t>X</t>
        </is>
      </c>
      <c r="DN2027" t="inlineStr">
        <is>
          <t>X</t>
        </is>
      </c>
      <c r="EF2027" t="inlineStr">
        <is>
          <t>X</t>
        </is>
      </c>
    </row>
    <row r="2028">
      <c r="A2028" t="inlineStr">
        <is>
          <t>OH0021379751</t>
        </is>
      </c>
      <c r="B2028" t="n">
        <v>78</v>
      </c>
      <c r="C2028" t="n">
        <v>380737</v>
      </c>
      <c r="D2028" t="inlineStr">
        <is>
          <t>DYSON</t>
        </is>
      </c>
      <c r="E2028" t="inlineStr">
        <is>
          <t>NICOLE</t>
        </is>
      </c>
      <c r="F2028">
        <f>CONCATENATE(D2028," ",LEFT(H2028,4),"T=",AU2028,"D=",AV2028,"R=",AW2028,"M=",AX2028,"L=",AY2028,"B=",AZ2028)</f>
        <v/>
      </c>
      <c r="G2028" t="inlineStr">
        <is>
          <t>MARIE</t>
        </is>
      </c>
      <c r="I2028" t="inlineStr">
        <is>
          <t>1993-02-24</t>
        </is>
      </c>
      <c r="J2028" t="inlineStr">
        <is>
          <t>2019-03-23</t>
        </is>
      </c>
      <c r="K2028" t="inlineStr">
        <is>
          <t>CONFIRMATION</t>
        </is>
      </c>
      <c r="M2028" t="inlineStr">
        <is>
          <t>145 PEW CT NE</t>
        </is>
      </c>
      <c r="N2028">
        <f>RIGHT(M2028,LEN(M2028)-FIND(" ",M2028))</f>
        <v/>
      </c>
      <c r="P2028" t="inlineStr">
        <is>
          <t>WARREN</t>
        </is>
      </c>
      <c r="Q2028" t="inlineStr">
        <is>
          <t>OH</t>
        </is>
      </c>
      <c r="R2028" t="n">
        <v>44481</v>
      </c>
      <c r="AD2028" t="inlineStr">
        <is>
          <t>TRUMBULL CAREER &amp; TECH CENTER</t>
        </is>
      </c>
      <c r="AE2028" t="inlineStr">
        <is>
          <t>WARREN CITY</t>
        </is>
      </c>
      <c r="AF2028" t="inlineStr">
        <is>
          <t>WARREN CITY SD</t>
        </is>
      </c>
      <c r="AH2028" t="n">
        <v>14</v>
      </c>
      <c r="AI2028" t="n">
        <v>11</v>
      </c>
      <c r="AN2028" t="inlineStr">
        <is>
          <t>WARREN</t>
        </is>
      </c>
      <c r="AO2028" t="inlineStr">
        <is>
          <t>WARREN CITY 4D</t>
        </is>
      </c>
      <c r="AP2028" t="inlineStr">
        <is>
          <t>78-P-ADL</t>
        </is>
      </c>
      <c r="AQ2028" t="n">
        <v>9</v>
      </c>
      <c r="AR2028" t="n">
        <v>64</v>
      </c>
      <c r="AS2028" t="n">
        <v>32</v>
      </c>
      <c r="AU2028">
        <f>COUNTA($BA$2028:$EH$2028)</f>
        <v/>
      </c>
      <c r="AV2028">
        <f>COUNTIF($BA$2028:$EH$2028,"D")</f>
        <v/>
      </c>
      <c r="AW2028">
        <f>COUNTIF($BA$2028:$EH$2028,"R")</f>
        <v/>
      </c>
      <c r="AX2028">
        <f>IF(BN2028="D",1,0)+IF(BO2028="D",1,0)+IF(BT2028="D",1,0)+IF(BU2028="D",1,0)+IF(BW2028="D",1,0)+IF(CC2028="D",1,0)+IF(CD2028="D",1,0)+IF(CE2028="D",1,0)+IF(CF2028="D",1,0)+IF(CL2028="D",1,0)+IF(CM2028="D",1,0)+IF(CQ2028="D",1,0)+IF(CR2028="D",1,0)+IF(CS2028="D",1,0)+IF(CW2028="D",1,0)+IF(CX2028="D",1,0)+IF(DD2028="D",1,0)+IF(DE2028="D",1,0)+IF(DJ2028="D",1,0)+IF(DK2028="D",1,0)+IF(DO2028="D",1,0)+IF(DP2028="D",1,0)+IF(DQ2028="D",1,0)+IF(DW2028="D",1,0)+IF(DZ2028="D",1,0)+IF(EH2028="D",1,0)</f>
        <v/>
      </c>
      <c r="AY2028">
        <f>IF(DJ2028&lt;&gt;"",1,0)+IF(DK2028&lt;&gt;"",1,0)+IF(DM2028&lt;&gt;"",1,0)+IF(DO2028&lt;&gt;"",1,0)+IF(DP2028&lt;&gt;"",1,0)+IF(DQ2028&lt;&gt;"",1,0)+IF(DS2028&lt;&gt;"",1,0)+IF(DT2028&lt;&gt;"",1,0)+IF(DV2028&lt;&gt;"",1,0)+IF(DW2028&lt;&gt;"",1,0)+IF(DX2028&lt;&gt;"",1,0)+IF(DY2028&lt;&gt;"",1,0)+IF(DZ2028&lt;&gt;"",1,0)+IF(EB2028&lt;&gt;"",1,0)+IF(EC2028&lt;&gt;"",1,0)+IF(ED2028&lt;&gt;"",1,0)+IF(EG2028&lt;&gt;"",1,0)+IF(EH2028&lt;&gt;"",1,0)</f>
        <v/>
      </c>
      <c r="AZ2028">
        <f>IF(EH2028&lt;&gt;"",1,0)</f>
        <v/>
      </c>
      <c r="BB2028" t="inlineStr">
        <is>
          <t>WARREN-WARD 4</t>
        </is>
      </c>
    </row>
    <row r="2029">
      <c r="A2029" t="inlineStr">
        <is>
          <t>OH0026168354</t>
        </is>
      </c>
      <c r="B2029" t="n">
        <v>78</v>
      </c>
      <c r="C2029" t="n">
        <v>457570</v>
      </c>
      <c r="D2029" t="inlineStr">
        <is>
          <t>HALL</t>
        </is>
      </c>
      <c r="E2029" t="inlineStr">
        <is>
          <t>ANTHONY</t>
        </is>
      </c>
      <c r="F2029">
        <f>CONCATENATE(D2029," ",LEFT(H2029,4),"T=",AU2029,"D=",AV2029,"R=",AW2029,"M=",AX2029,"L=",AY2029,"B=",AZ2029)</f>
        <v/>
      </c>
      <c r="G2029" t="inlineStr">
        <is>
          <t>L</t>
        </is>
      </c>
      <c r="I2029" t="inlineStr">
        <is>
          <t>1971-05-05</t>
        </is>
      </c>
      <c r="J2029" t="inlineStr">
        <is>
          <t>2021-03-27</t>
        </is>
      </c>
      <c r="K2029" t="inlineStr">
        <is>
          <t>CONFIRMATION</t>
        </is>
      </c>
      <c r="M2029" t="inlineStr">
        <is>
          <t>786 ATLANTIC ST NE</t>
        </is>
      </c>
      <c r="N2029">
        <f>RIGHT(M2029,LEN(M2029)-FIND(" ",M2029))</f>
        <v/>
      </c>
      <c r="P2029" t="inlineStr">
        <is>
          <t>WARREN</t>
        </is>
      </c>
      <c r="Q2029" t="inlineStr">
        <is>
          <t>OH</t>
        </is>
      </c>
      <c r="R2029" t="n">
        <v>44483</v>
      </c>
      <c r="AD2029" t="inlineStr">
        <is>
          <t>TRUMBULL CAREER &amp; TECH CENTER</t>
        </is>
      </c>
      <c r="AE2029" t="inlineStr">
        <is>
          <t>WARREN CITY</t>
        </is>
      </c>
      <c r="AF2029" t="inlineStr">
        <is>
          <t>WARREN CITY SD</t>
        </is>
      </c>
      <c r="AH2029" t="n">
        <v>14</v>
      </c>
      <c r="AI2029" t="n">
        <v>11</v>
      </c>
      <c r="AN2029" t="inlineStr">
        <is>
          <t>WARREN</t>
        </is>
      </c>
      <c r="AO2029" t="inlineStr">
        <is>
          <t>WARREN CITY 4D</t>
        </is>
      </c>
      <c r="AP2029" t="inlineStr">
        <is>
          <t>78-P-ADL</t>
        </is>
      </c>
      <c r="AQ2029" t="n">
        <v>9</v>
      </c>
      <c r="AR2029" t="n">
        <v>64</v>
      </c>
      <c r="AS2029" t="n">
        <v>32</v>
      </c>
      <c r="AU2029">
        <f>COUNTA($BA$2029:$EH$2029)</f>
        <v/>
      </c>
      <c r="AV2029">
        <f>COUNTIF($BA$2029:$EH$2029,"D")</f>
        <v/>
      </c>
      <c r="AW2029">
        <f>COUNTIF($BA$2029:$EH$2029,"R")</f>
        <v/>
      </c>
      <c r="AX2029">
        <f>IF(BN2029="D",1,0)+IF(BO2029="D",1,0)+IF(BT2029="D",1,0)+IF(BU2029="D",1,0)+IF(BW2029="D",1,0)+IF(CC2029="D",1,0)+IF(CD2029="D",1,0)+IF(CE2029="D",1,0)+IF(CF2029="D",1,0)+IF(CL2029="D",1,0)+IF(CM2029="D",1,0)+IF(CQ2029="D",1,0)+IF(CR2029="D",1,0)+IF(CS2029="D",1,0)+IF(CW2029="D",1,0)+IF(CX2029="D",1,0)+IF(DD2029="D",1,0)+IF(DE2029="D",1,0)+IF(DJ2029="D",1,0)+IF(DK2029="D",1,0)+IF(DO2029="D",1,0)+IF(DP2029="D",1,0)+IF(DQ2029="D",1,0)+IF(DW2029="D",1,0)+IF(DZ2029="D",1,0)+IF(EH2029="D",1,0)</f>
        <v/>
      </c>
      <c r="AY2029">
        <f>IF(DJ2029&lt;&gt;"",1,0)+IF(DK2029&lt;&gt;"",1,0)+IF(DM2029&lt;&gt;"",1,0)+IF(DO2029&lt;&gt;"",1,0)+IF(DP2029&lt;&gt;"",1,0)+IF(DQ2029&lt;&gt;"",1,0)+IF(DS2029&lt;&gt;"",1,0)+IF(DT2029&lt;&gt;"",1,0)+IF(DV2029&lt;&gt;"",1,0)+IF(DW2029&lt;&gt;"",1,0)+IF(DX2029&lt;&gt;"",1,0)+IF(DY2029&lt;&gt;"",1,0)+IF(DZ2029&lt;&gt;"",1,0)+IF(EB2029&lt;&gt;"",1,0)+IF(EC2029&lt;&gt;"",1,0)+IF(ED2029&lt;&gt;"",1,0)+IF(EG2029&lt;&gt;"",1,0)+IF(EH2029&lt;&gt;"",1,0)</f>
        <v/>
      </c>
      <c r="AZ2029">
        <f>IF(EH2029&lt;&gt;"",1,0)</f>
        <v/>
      </c>
      <c r="BB2029" t="inlineStr">
        <is>
          <t>WARREN-WARD 4</t>
        </is>
      </c>
      <c r="BY2029" t="inlineStr">
        <is>
          <t>D</t>
        </is>
      </c>
    </row>
    <row r="2030">
      <c r="A2030" t="inlineStr">
        <is>
          <t>OH0025928081</t>
        </is>
      </c>
      <c r="B2030" t="n">
        <v>78</v>
      </c>
      <c r="C2030" t="n">
        <v>452799</v>
      </c>
      <c r="D2030" t="inlineStr">
        <is>
          <t>CARTER</t>
        </is>
      </c>
      <c r="E2030" t="inlineStr">
        <is>
          <t>EUGENE</t>
        </is>
      </c>
      <c r="F2030">
        <f>CONCATENATE(D2030," ",LEFT(H2030,4),"T=",AU2030,"D=",AV2030,"R=",AW2030,"M=",AX2030,"L=",AY2030,"B=",AZ2030)</f>
        <v/>
      </c>
      <c r="G2030" t="inlineStr">
        <is>
          <t>A</t>
        </is>
      </c>
      <c r="I2030" t="inlineStr">
        <is>
          <t>1979-12-14</t>
        </is>
      </c>
      <c r="J2030" t="inlineStr">
        <is>
          <t>2020-09-30</t>
        </is>
      </c>
      <c r="K2030" t="inlineStr">
        <is>
          <t>ACTIVE</t>
        </is>
      </c>
      <c r="M2030" t="inlineStr">
        <is>
          <t>651 PORTER ST NE</t>
        </is>
      </c>
      <c r="N2030">
        <f>RIGHT(M2030,LEN(M2030)-FIND(" ",M2030))</f>
        <v/>
      </c>
      <c r="P2030" t="inlineStr">
        <is>
          <t>WARREN</t>
        </is>
      </c>
      <c r="Q2030" t="inlineStr">
        <is>
          <t>OH</t>
        </is>
      </c>
      <c r="R2030" t="n">
        <v>44483</v>
      </c>
      <c r="AD2030" t="inlineStr">
        <is>
          <t>TRUMBULL CAREER &amp; TECH CENTER</t>
        </is>
      </c>
      <c r="AE2030" t="inlineStr">
        <is>
          <t>WARREN CITY</t>
        </is>
      </c>
      <c r="AF2030" t="inlineStr">
        <is>
          <t>WARREN CITY SD</t>
        </is>
      </c>
      <c r="AH2030" t="n">
        <v>14</v>
      </c>
      <c r="AI2030" t="n">
        <v>11</v>
      </c>
      <c r="AN2030" t="inlineStr">
        <is>
          <t>WARREN</t>
        </is>
      </c>
      <c r="AO2030" t="inlineStr">
        <is>
          <t>WARREN CITY 4D</t>
        </is>
      </c>
      <c r="AP2030" t="inlineStr">
        <is>
          <t>78-P-ADL</t>
        </is>
      </c>
      <c r="AQ2030" t="n">
        <v>9</v>
      </c>
      <c r="AR2030" t="n">
        <v>64</v>
      </c>
      <c r="AS2030" t="n">
        <v>32</v>
      </c>
      <c r="AU2030">
        <f>COUNTA($BA$2030:$EH$2030)</f>
        <v/>
      </c>
      <c r="AV2030">
        <f>COUNTIF($BA$2030:$EH$2030,"D")</f>
        <v/>
      </c>
      <c r="AW2030">
        <f>COUNTIF($BA$2030:$EH$2030,"R")</f>
        <v/>
      </c>
      <c r="AX2030">
        <f>IF(BN2030="D",1,0)+IF(BO2030="D",1,0)+IF(BT2030="D",1,0)+IF(BU2030="D",1,0)+IF(BW2030="D",1,0)+IF(CC2030="D",1,0)+IF(CD2030="D",1,0)+IF(CE2030="D",1,0)+IF(CF2030="D",1,0)+IF(CL2030="D",1,0)+IF(CM2030="D",1,0)+IF(CQ2030="D",1,0)+IF(CR2030="D",1,0)+IF(CS2030="D",1,0)+IF(CW2030="D",1,0)+IF(CX2030="D",1,0)+IF(DD2030="D",1,0)+IF(DE2030="D",1,0)+IF(DJ2030="D",1,0)+IF(DK2030="D",1,0)+IF(DO2030="D",1,0)+IF(DP2030="D",1,0)+IF(DQ2030="D",1,0)+IF(DW2030="D",1,0)+IF(DZ2030="D",1,0)+IF(EH2030="D",1,0)</f>
        <v/>
      </c>
      <c r="AY2030">
        <f>IF(DJ2030&lt;&gt;"",1,0)+IF(DK2030&lt;&gt;"",1,0)+IF(DM2030&lt;&gt;"",1,0)+IF(DO2030&lt;&gt;"",1,0)+IF(DP2030&lt;&gt;"",1,0)+IF(DQ2030&lt;&gt;"",1,0)+IF(DS2030&lt;&gt;"",1,0)+IF(DT2030&lt;&gt;"",1,0)+IF(DV2030&lt;&gt;"",1,0)+IF(DW2030&lt;&gt;"",1,0)+IF(DX2030&lt;&gt;"",1,0)+IF(DY2030&lt;&gt;"",1,0)+IF(DZ2030&lt;&gt;"",1,0)+IF(EB2030&lt;&gt;"",1,0)+IF(EC2030&lt;&gt;"",1,0)+IF(ED2030&lt;&gt;"",1,0)+IF(EG2030&lt;&gt;"",1,0)+IF(EH2030&lt;&gt;"",1,0)</f>
        <v/>
      </c>
      <c r="AZ2030">
        <f>IF(EH2030&lt;&gt;"",1,0)</f>
        <v/>
      </c>
      <c r="BB2030" t="inlineStr">
        <is>
          <t>WARREN-WARD 4</t>
        </is>
      </c>
      <c r="DN2030" t="inlineStr">
        <is>
          <t>X</t>
        </is>
      </c>
      <c r="EF2030" t="inlineStr">
        <is>
          <t>X</t>
        </is>
      </c>
    </row>
    <row r="2031">
      <c r="A2031" t="inlineStr">
        <is>
          <t>OH0021211807</t>
        </is>
      </c>
      <c r="B2031" t="n">
        <v>78</v>
      </c>
      <c r="C2031" t="n">
        <v>377271</v>
      </c>
      <c r="D2031" t="inlineStr">
        <is>
          <t>SHERMAN</t>
        </is>
      </c>
      <c r="E2031" t="inlineStr">
        <is>
          <t>DEIDRA</t>
        </is>
      </c>
      <c r="F2031">
        <f>CONCATENATE(D2031," ",LEFT(H2031,4),"T=",AU2031,"D=",AV2031,"R=",AW2031,"M=",AX2031,"L=",AY2031,"B=",AZ2031)</f>
        <v/>
      </c>
      <c r="G2031" t="inlineStr">
        <is>
          <t>LYNN</t>
        </is>
      </c>
      <c r="I2031" t="inlineStr">
        <is>
          <t>1992-08-14</t>
        </is>
      </c>
      <c r="J2031" t="inlineStr">
        <is>
          <t>2016-09-12</t>
        </is>
      </c>
      <c r="K2031" t="inlineStr">
        <is>
          <t>CONFIRMATION</t>
        </is>
      </c>
      <c r="M2031" t="inlineStr">
        <is>
          <t>225 LAWRENCE AVE NE</t>
        </is>
      </c>
      <c r="N2031">
        <f>RIGHT(M2031,LEN(M2031)-FIND(" ",M2031))</f>
        <v/>
      </c>
      <c r="P2031" t="inlineStr">
        <is>
          <t>WARREN</t>
        </is>
      </c>
      <c r="Q2031" t="inlineStr">
        <is>
          <t>OH</t>
        </is>
      </c>
      <c r="R2031" t="n">
        <v>44483</v>
      </c>
      <c r="AD2031" t="inlineStr">
        <is>
          <t>TRUMBULL CAREER &amp; TECH CENTER</t>
        </is>
      </c>
      <c r="AE2031" t="inlineStr">
        <is>
          <t>WARREN CITY</t>
        </is>
      </c>
      <c r="AF2031" t="inlineStr">
        <is>
          <t>WARREN CITY SD</t>
        </is>
      </c>
      <c r="AH2031" t="n">
        <v>14</v>
      </c>
      <c r="AI2031" t="n">
        <v>11</v>
      </c>
      <c r="AN2031" t="inlineStr">
        <is>
          <t>WARREN</t>
        </is>
      </c>
      <c r="AO2031" t="inlineStr">
        <is>
          <t>WARREN CITY 4D</t>
        </is>
      </c>
      <c r="AP2031" t="inlineStr">
        <is>
          <t>78-P-ADL</t>
        </is>
      </c>
      <c r="AQ2031" t="n">
        <v>9</v>
      </c>
      <c r="AR2031" t="n">
        <v>64</v>
      </c>
      <c r="AS2031" t="n">
        <v>32</v>
      </c>
      <c r="AU2031">
        <f>COUNTA($BA$2031:$EH$2031)</f>
        <v/>
      </c>
      <c r="AV2031">
        <f>COUNTIF($BA$2031:$EH$2031,"D")</f>
        <v/>
      </c>
      <c r="AW2031">
        <f>COUNTIF($BA$2031:$EH$2031,"R")</f>
        <v/>
      </c>
      <c r="AX2031">
        <f>IF(BN2031="D",1,0)+IF(BO2031="D",1,0)+IF(BT2031="D",1,0)+IF(BU2031="D",1,0)+IF(BW2031="D",1,0)+IF(CC2031="D",1,0)+IF(CD2031="D",1,0)+IF(CE2031="D",1,0)+IF(CF2031="D",1,0)+IF(CL2031="D",1,0)+IF(CM2031="D",1,0)+IF(CQ2031="D",1,0)+IF(CR2031="D",1,0)+IF(CS2031="D",1,0)+IF(CW2031="D",1,0)+IF(CX2031="D",1,0)+IF(DD2031="D",1,0)+IF(DE2031="D",1,0)+IF(DJ2031="D",1,0)+IF(DK2031="D",1,0)+IF(DO2031="D",1,0)+IF(DP2031="D",1,0)+IF(DQ2031="D",1,0)+IF(DW2031="D",1,0)+IF(DZ2031="D",1,0)+IF(EH2031="D",1,0)</f>
        <v/>
      </c>
      <c r="AY2031">
        <f>IF(DJ2031&lt;&gt;"",1,0)+IF(DK2031&lt;&gt;"",1,0)+IF(DM2031&lt;&gt;"",1,0)+IF(DO2031&lt;&gt;"",1,0)+IF(DP2031&lt;&gt;"",1,0)+IF(DQ2031&lt;&gt;"",1,0)+IF(DS2031&lt;&gt;"",1,0)+IF(DT2031&lt;&gt;"",1,0)+IF(DV2031&lt;&gt;"",1,0)+IF(DW2031&lt;&gt;"",1,0)+IF(DX2031&lt;&gt;"",1,0)+IF(DY2031&lt;&gt;"",1,0)+IF(DZ2031&lt;&gt;"",1,0)+IF(EB2031&lt;&gt;"",1,0)+IF(EC2031&lt;&gt;"",1,0)+IF(ED2031&lt;&gt;"",1,0)+IF(EG2031&lt;&gt;"",1,0)+IF(EH2031&lt;&gt;"",1,0)</f>
        <v/>
      </c>
      <c r="AZ2031">
        <f>IF(EH2031&lt;&gt;"",1,0)</f>
        <v/>
      </c>
      <c r="BB2031" t="inlineStr">
        <is>
          <t>WARREN-WARD 4</t>
        </is>
      </c>
    </row>
    <row r="2032">
      <c r="A2032" t="inlineStr">
        <is>
          <t>OH0023671472</t>
        </is>
      </c>
      <c r="B2032" t="n">
        <v>78</v>
      </c>
      <c r="C2032" t="n">
        <v>416595</v>
      </c>
      <c r="D2032" t="inlineStr">
        <is>
          <t>PETERMAN</t>
        </is>
      </c>
      <c r="E2032" t="inlineStr">
        <is>
          <t>KEVIS</t>
        </is>
      </c>
      <c r="F2032">
        <f>CONCATENATE(D2032," ",LEFT(H2032,4),"T=",AU2032,"D=",AV2032,"R=",AW2032,"M=",AX2032,"L=",AY2032,"B=",AZ2032)</f>
        <v/>
      </c>
      <c r="G2032" t="inlineStr">
        <is>
          <t>M</t>
        </is>
      </c>
      <c r="I2032" t="inlineStr">
        <is>
          <t>1968-03-10</t>
        </is>
      </c>
      <c r="J2032" t="inlineStr">
        <is>
          <t>2020-09-26</t>
        </is>
      </c>
      <c r="K2032" t="inlineStr">
        <is>
          <t>ACTIVE</t>
        </is>
      </c>
      <c r="M2032" t="inlineStr">
        <is>
          <t>406 PORTER ST NE</t>
        </is>
      </c>
      <c r="N2032">
        <f>RIGHT(M2032,LEN(M2032)-FIND(" ",M2032))</f>
        <v/>
      </c>
      <c r="P2032" t="inlineStr">
        <is>
          <t>WARREN</t>
        </is>
      </c>
      <c r="Q2032" t="inlineStr">
        <is>
          <t>OH</t>
        </is>
      </c>
      <c r="R2032" t="n">
        <v>44483</v>
      </c>
      <c r="AD2032" t="inlineStr">
        <is>
          <t>TRUMBULL CAREER &amp; TECH CENTER</t>
        </is>
      </c>
      <c r="AE2032" t="inlineStr">
        <is>
          <t>WARREN CITY</t>
        </is>
      </c>
      <c r="AF2032" t="inlineStr">
        <is>
          <t>WARREN CITY SD</t>
        </is>
      </c>
      <c r="AH2032" t="n">
        <v>14</v>
      </c>
      <c r="AI2032" t="n">
        <v>11</v>
      </c>
      <c r="AN2032" t="inlineStr">
        <is>
          <t>WARREN</t>
        </is>
      </c>
      <c r="AO2032" t="inlineStr">
        <is>
          <t>WARREN CITY 4D</t>
        </is>
      </c>
      <c r="AP2032" t="inlineStr">
        <is>
          <t>78-P-ADL</t>
        </is>
      </c>
      <c r="AQ2032" t="n">
        <v>9</v>
      </c>
      <c r="AR2032" t="n">
        <v>64</v>
      </c>
      <c r="AS2032" t="n">
        <v>32</v>
      </c>
      <c r="AU2032">
        <f>COUNTA($BA$2032:$EH$2032)</f>
        <v/>
      </c>
      <c r="AV2032">
        <f>COUNTIF($BA$2032:$EH$2032,"D")</f>
        <v/>
      </c>
      <c r="AW2032">
        <f>COUNTIF($BA$2032:$EH$2032,"R")</f>
        <v/>
      </c>
      <c r="AX2032">
        <f>IF(BN2032="D",1,0)+IF(BO2032="D",1,0)+IF(BT2032="D",1,0)+IF(BU2032="D",1,0)+IF(BW2032="D",1,0)+IF(CC2032="D",1,0)+IF(CD2032="D",1,0)+IF(CE2032="D",1,0)+IF(CF2032="D",1,0)+IF(CL2032="D",1,0)+IF(CM2032="D",1,0)+IF(CQ2032="D",1,0)+IF(CR2032="D",1,0)+IF(CS2032="D",1,0)+IF(CW2032="D",1,0)+IF(CX2032="D",1,0)+IF(DD2032="D",1,0)+IF(DE2032="D",1,0)+IF(DJ2032="D",1,0)+IF(DK2032="D",1,0)+IF(DO2032="D",1,0)+IF(DP2032="D",1,0)+IF(DQ2032="D",1,0)+IF(DW2032="D",1,0)+IF(DZ2032="D",1,0)+IF(EH2032="D",1,0)</f>
        <v/>
      </c>
      <c r="AY2032">
        <f>IF(DJ2032&lt;&gt;"",1,0)+IF(DK2032&lt;&gt;"",1,0)+IF(DM2032&lt;&gt;"",1,0)+IF(DO2032&lt;&gt;"",1,0)+IF(DP2032&lt;&gt;"",1,0)+IF(DQ2032&lt;&gt;"",1,0)+IF(DS2032&lt;&gt;"",1,0)+IF(DT2032&lt;&gt;"",1,0)+IF(DV2032&lt;&gt;"",1,0)+IF(DW2032&lt;&gt;"",1,0)+IF(DX2032&lt;&gt;"",1,0)+IF(DY2032&lt;&gt;"",1,0)+IF(DZ2032&lt;&gt;"",1,0)+IF(EB2032&lt;&gt;"",1,0)+IF(EC2032&lt;&gt;"",1,0)+IF(ED2032&lt;&gt;"",1,0)+IF(EG2032&lt;&gt;"",1,0)+IF(EH2032&lt;&gt;"",1,0)</f>
        <v/>
      </c>
      <c r="AZ2032">
        <f>IF(EH2032&lt;&gt;"",1,0)</f>
        <v/>
      </c>
      <c r="BB2032" t="inlineStr">
        <is>
          <t>WARREN-WARD 4</t>
        </is>
      </c>
      <c r="DN2032" t="inlineStr">
        <is>
          <t>X</t>
        </is>
      </c>
      <c r="EF2032" t="inlineStr">
        <is>
          <t>X</t>
        </is>
      </c>
    </row>
    <row r="2033">
      <c r="A2033" t="inlineStr">
        <is>
          <t>OH0023442301</t>
        </is>
      </c>
      <c r="B2033" t="n">
        <v>78</v>
      </c>
      <c r="C2033" t="n">
        <v>411643</v>
      </c>
      <c r="D2033" t="inlineStr">
        <is>
          <t>BOWER</t>
        </is>
      </c>
      <c r="E2033" t="inlineStr">
        <is>
          <t>VICTORIA</t>
        </is>
      </c>
      <c r="F2033">
        <f>CONCATENATE(D2033," ",LEFT(H2033,4),"T=",AU2033,"D=",AV2033,"R=",AW2033,"M=",AX2033,"L=",AY2033,"B=",AZ2033)</f>
        <v/>
      </c>
      <c r="G2033" t="inlineStr">
        <is>
          <t>MARIE</t>
        </is>
      </c>
      <c r="I2033" t="inlineStr">
        <is>
          <t>1996-01-03</t>
        </is>
      </c>
      <c r="J2033" t="inlineStr">
        <is>
          <t>2024-11-08</t>
        </is>
      </c>
      <c r="K2033" t="inlineStr">
        <is>
          <t>ACTIVE</t>
        </is>
      </c>
      <c r="M2033" t="inlineStr">
        <is>
          <t>334 LOWELL AVE NE</t>
        </is>
      </c>
      <c r="N2033">
        <f>RIGHT(M2033,LEN(M2033)-FIND(" ",M2033))</f>
        <v/>
      </c>
      <c r="P2033" t="inlineStr">
        <is>
          <t>WARREN</t>
        </is>
      </c>
      <c r="Q2033" t="inlineStr">
        <is>
          <t>OH</t>
        </is>
      </c>
      <c r="R2033" t="n">
        <v>44483</v>
      </c>
      <c r="AD2033" t="inlineStr">
        <is>
          <t>TRUMBULL CAREER &amp; TECH CENTER</t>
        </is>
      </c>
      <c r="AE2033" t="inlineStr">
        <is>
          <t>WARREN CITY</t>
        </is>
      </c>
      <c r="AF2033" t="inlineStr">
        <is>
          <t>WARREN CITY SD</t>
        </is>
      </c>
      <c r="AH2033" t="n">
        <v>14</v>
      </c>
      <c r="AI2033" t="n">
        <v>11</v>
      </c>
      <c r="AN2033" t="inlineStr">
        <is>
          <t>WARREN</t>
        </is>
      </c>
      <c r="AO2033" t="inlineStr">
        <is>
          <t>WARREN CITY 4D</t>
        </is>
      </c>
      <c r="AP2033" t="inlineStr">
        <is>
          <t>78-P-ADL</t>
        </is>
      </c>
      <c r="AQ2033" t="n">
        <v>9</v>
      </c>
      <c r="AR2033" t="n">
        <v>64</v>
      </c>
      <c r="AS2033" t="n">
        <v>32</v>
      </c>
      <c r="AU2033">
        <f>COUNTA($BA$2033:$EH$2033)</f>
        <v/>
      </c>
      <c r="AV2033">
        <f>COUNTIF($BA$2033:$EH$2033,"D")</f>
        <v/>
      </c>
      <c r="AW2033">
        <f>COUNTIF($BA$2033:$EH$2033,"R")</f>
        <v/>
      </c>
      <c r="AX2033">
        <f>IF(BN2033="D",1,0)+IF(BO2033="D",1,0)+IF(BT2033="D",1,0)+IF(BU2033="D",1,0)+IF(BW2033="D",1,0)+IF(CC2033="D",1,0)+IF(CD2033="D",1,0)+IF(CE2033="D",1,0)+IF(CF2033="D",1,0)+IF(CL2033="D",1,0)+IF(CM2033="D",1,0)+IF(CQ2033="D",1,0)+IF(CR2033="D",1,0)+IF(CS2033="D",1,0)+IF(CW2033="D",1,0)+IF(CX2033="D",1,0)+IF(DD2033="D",1,0)+IF(DE2033="D",1,0)+IF(DJ2033="D",1,0)+IF(DK2033="D",1,0)+IF(DO2033="D",1,0)+IF(DP2033="D",1,0)+IF(DQ2033="D",1,0)+IF(DW2033="D",1,0)+IF(DZ2033="D",1,0)+IF(EH2033="D",1,0)</f>
        <v/>
      </c>
      <c r="AY2033">
        <f>IF(DJ2033&lt;&gt;"",1,0)+IF(DK2033&lt;&gt;"",1,0)+IF(DM2033&lt;&gt;"",1,0)+IF(DO2033&lt;&gt;"",1,0)+IF(DP2033&lt;&gt;"",1,0)+IF(DQ2033&lt;&gt;"",1,0)+IF(DS2033&lt;&gt;"",1,0)+IF(DT2033&lt;&gt;"",1,0)+IF(DV2033&lt;&gt;"",1,0)+IF(DW2033&lt;&gt;"",1,0)+IF(DX2033&lt;&gt;"",1,0)+IF(DY2033&lt;&gt;"",1,0)+IF(DZ2033&lt;&gt;"",1,0)+IF(EB2033&lt;&gt;"",1,0)+IF(EC2033&lt;&gt;"",1,0)+IF(ED2033&lt;&gt;"",1,0)+IF(EG2033&lt;&gt;"",1,0)+IF(EH2033&lt;&gt;"",1,0)</f>
        <v/>
      </c>
      <c r="AZ2033">
        <f>IF(EH2033&lt;&gt;"",1,0)</f>
        <v/>
      </c>
      <c r="BB2033" t="inlineStr">
        <is>
          <t>WARREN-WARD 4</t>
        </is>
      </c>
      <c r="DC2033" t="inlineStr">
        <is>
          <t>X</t>
        </is>
      </c>
    </row>
    <row r="2034">
      <c r="A2034" t="inlineStr">
        <is>
          <t>OH0015779070</t>
        </is>
      </c>
      <c r="B2034" t="n">
        <v>78</v>
      </c>
      <c r="C2034" t="n">
        <v>291795</v>
      </c>
      <c r="D2034" t="inlineStr">
        <is>
          <t>WILLIAMS</t>
        </is>
      </c>
      <c r="E2034" t="inlineStr">
        <is>
          <t>BRIAN</t>
        </is>
      </c>
      <c r="F2034">
        <f>CONCATENATE(D2034," ",LEFT(H2034,4),"T=",AU2034,"D=",AV2034,"R=",AW2034,"M=",AX2034,"L=",AY2034,"B=",AZ2034)</f>
        <v/>
      </c>
      <c r="G2034" t="inlineStr">
        <is>
          <t>A</t>
        </is>
      </c>
      <c r="I2034" t="inlineStr">
        <is>
          <t>1981-12-02</t>
        </is>
      </c>
      <c r="J2034" t="inlineStr">
        <is>
          <t>2016-08-27</t>
        </is>
      </c>
      <c r="K2034" t="inlineStr">
        <is>
          <t>ACTIVE</t>
        </is>
      </c>
      <c r="M2034" t="inlineStr">
        <is>
          <t>1201 MCKINLEY ST NE</t>
        </is>
      </c>
      <c r="N2034">
        <f>RIGHT(M2034,LEN(M2034)-FIND(" ",M2034))</f>
        <v/>
      </c>
      <c r="P2034" t="inlineStr">
        <is>
          <t>WARREN</t>
        </is>
      </c>
      <c r="Q2034" t="inlineStr">
        <is>
          <t>OH</t>
        </is>
      </c>
      <c r="R2034" t="n">
        <v>44483</v>
      </c>
      <c r="AD2034" t="inlineStr">
        <is>
          <t>TRUMBULL CAREER &amp; TECH CENTER</t>
        </is>
      </c>
      <c r="AE2034" t="inlineStr">
        <is>
          <t>WARREN CITY</t>
        </is>
      </c>
      <c r="AF2034" t="inlineStr">
        <is>
          <t>WARREN CITY SD</t>
        </is>
      </c>
      <c r="AH2034" t="n">
        <v>14</v>
      </c>
      <c r="AI2034" t="n">
        <v>11</v>
      </c>
      <c r="AN2034" t="inlineStr">
        <is>
          <t>WARREN</t>
        </is>
      </c>
      <c r="AO2034" t="inlineStr">
        <is>
          <t>WARREN CITY 4D</t>
        </is>
      </c>
      <c r="AP2034" t="inlineStr">
        <is>
          <t>78-P-ADL</t>
        </is>
      </c>
      <c r="AQ2034" t="n">
        <v>9</v>
      </c>
      <c r="AR2034" t="n">
        <v>64</v>
      </c>
      <c r="AS2034" t="n">
        <v>32</v>
      </c>
      <c r="AU2034">
        <f>COUNTA($BA$2034:$EH$2034)</f>
        <v/>
      </c>
      <c r="AV2034">
        <f>COUNTIF($BA$2034:$EH$2034,"D")</f>
        <v/>
      </c>
      <c r="AW2034">
        <f>COUNTIF($BA$2034:$EH$2034,"R")</f>
        <v/>
      </c>
      <c r="AX2034">
        <f>IF(BN2034="D",1,0)+IF(BO2034="D",1,0)+IF(BT2034="D",1,0)+IF(BU2034="D",1,0)+IF(BW2034="D",1,0)+IF(CC2034="D",1,0)+IF(CD2034="D",1,0)+IF(CE2034="D",1,0)+IF(CF2034="D",1,0)+IF(CL2034="D",1,0)+IF(CM2034="D",1,0)+IF(CQ2034="D",1,0)+IF(CR2034="D",1,0)+IF(CS2034="D",1,0)+IF(CW2034="D",1,0)+IF(CX2034="D",1,0)+IF(DD2034="D",1,0)+IF(DE2034="D",1,0)+IF(DJ2034="D",1,0)+IF(DK2034="D",1,0)+IF(DO2034="D",1,0)+IF(DP2034="D",1,0)+IF(DQ2034="D",1,0)+IF(DW2034="D",1,0)+IF(DZ2034="D",1,0)+IF(EH2034="D",1,0)</f>
        <v/>
      </c>
      <c r="AY2034">
        <f>IF(DJ2034&lt;&gt;"",1,0)+IF(DK2034&lt;&gt;"",1,0)+IF(DM2034&lt;&gt;"",1,0)+IF(DO2034&lt;&gt;"",1,0)+IF(DP2034&lt;&gt;"",1,0)+IF(DQ2034&lt;&gt;"",1,0)+IF(DS2034&lt;&gt;"",1,0)+IF(DT2034&lt;&gt;"",1,0)+IF(DV2034&lt;&gt;"",1,0)+IF(DW2034&lt;&gt;"",1,0)+IF(DX2034&lt;&gt;"",1,0)+IF(DY2034&lt;&gt;"",1,0)+IF(DZ2034&lt;&gt;"",1,0)+IF(EB2034&lt;&gt;"",1,0)+IF(EC2034&lt;&gt;"",1,0)+IF(ED2034&lt;&gt;"",1,0)+IF(EG2034&lt;&gt;"",1,0)+IF(EH2034&lt;&gt;"",1,0)</f>
        <v/>
      </c>
      <c r="AZ2034">
        <f>IF(EH2034&lt;&gt;"",1,0)</f>
        <v/>
      </c>
      <c r="BB2034" t="inlineStr">
        <is>
          <t>WARREN-WARD 4</t>
        </is>
      </c>
      <c r="BD2034" t="inlineStr">
        <is>
          <t>X</t>
        </is>
      </c>
      <c r="BL2034" t="inlineStr">
        <is>
          <t>X</t>
        </is>
      </c>
      <c r="BY2034" t="inlineStr">
        <is>
          <t>D</t>
        </is>
      </c>
      <c r="CA2034" t="inlineStr">
        <is>
          <t>X</t>
        </is>
      </c>
    </row>
    <row r="2035">
      <c r="A2035" t="inlineStr">
        <is>
          <t>OH0027437557</t>
        </is>
      </c>
      <c r="B2035" t="n">
        <v>78</v>
      </c>
      <c r="C2035" t="n">
        <v>486157</v>
      </c>
      <c r="D2035" t="inlineStr">
        <is>
          <t>WYNYARD</t>
        </is>
      </c>
      <c r="E2035" t="inlineStr">
        <is>
          <t>VICTORIA</t>
        </is>
      </c>
      <c r="F2035">
        <f>CONCATENATE(D2035," ",LEFT(H2035,4),"T=",AU2035,"D=",AV2035,"R=",AW2035,"M=",AX2035,"L=",AY2035,"B=",AZ2035)</f>
        <v/>
      </c>
      <c r="G2035" t="inlineStr">
        <is>
          <t>GRACE</t>
        </is>
      </c>
      <c r="I2035" t="inlineStr">
        <is>
          <t>2001-12-19</t>
        </is>
      </c>
      <c r="J2035" t="inlineStr">
        <is>
          <t>2024-07-21</t>
        </is>
      </c>
      <c r="K2035" t="inlineStr">
        <is>
          <t>ACTIVE</t>
        </is>
      </c>
      <c r="M2035" t="inlineStr">
        <is>
          <t>338 CHESTNUT AVE NE</t>
        </is>
      </c>
      <c r="N2035">
        <f>RIGHT(M2035,LEN(M2035)-FIND(" ",M2035))</f>
        <v/>
      </c>
      <c r="P2035" t="inlineStr">
        <is>
          <t>WARREN</t>
        </is>
      </c>
      <c r="Q2035" t="inlineStr">
        <is>
          <t>OH</t>
        </is>
      </c>
      <c r="R2035" t="n">
        <v>44483</v>
      </c>
      <c r="AD2035" t="inlineStr">
        <is>
          <t>TRUMBULL CAREER &amp; TECH CENTER</t>
        </is>
      </c>
      <c r="AE2035" t="inlineStr">
        <is>
          <t>WARREN CITY</t>
        </is>
      </c>
      <c r="AF2035" t="inlineStr">
        <is>
          <t>WARREN CITY SD</t>
        </is>
      </c>
      <c r="AH2035" t="n">
        <v>14</v>
      </c>
      <c r="AI2035" t="n">
        <v>11</v>
      </c>
      <c r="AN2035" t="inlineStr">
        <is>
          <t>WARREN</t>
        </is>
      </c>
      <c r="AO2035" t="inlineStr">
        <is>
          <t>WARREN CITY 4D</t>
        </is>
      </c>
      <c r="AP2035" t="inlineStr">
        <is>
          <t>78-P-ADL</t>
        </is>
      </c>
      <c r="AQ2035" t="n">
        <v>9</v>
      </c>
      <c r="AR2035" t="n">
        <v>64</v>
      </c>
      <c r="AS2035" t="n">
        <v>32</v>
      </c>
      <c r="AU2035">
        <f>COUNTA($BA$2035:$EH$2035)</f>
        <v/>
      </c>
      <c r="AV2035">
        <f>COUNTIF($BA$2035:$EH$2035,"D")</f>
        <v/>
      </c>
      <c r="AW2035">
        <f>COUNTIF($BA$2035:$EH$2035,"R")</f>
        <v/>
      </c>
      <c r="AX2035">
        <f>IF(BN2035="D",1,0)+IF(BO2035="D",1,0)+IF(BT2035="D",1,0)+IF(BU2035="D",1,0)+IF(BW2035="D",1,0)+IF(CC2035="D",1,0)+IF(CD2035="D",1,0)+IF(CE2035="D",1,0)+IF(CF2035="D",1,0)+IF(CL2035="D",1,0)+IF(CM2035="D",1,0)+IF(CQ2035="D",1,0)+IF(CR2035="D",1,0)+IF(CS2035="D",1,0)+IF(CW2035="D",1,0)+IF(CX2035="D",1,0)+IF(DD2035="D",1,0)+IF(DE2035="D",1,0)+IF(DJ2035="D",1,0)+IF(DK2035="D",1,0)+IF(DO2035="D",1,0)+IF(DP2035="D",1,0)+IF(DQ2035="D",1,0)+IF(DW2035="D",1,0)+IF(DZ2035="D",1,0)+IF(EH2035="D",1,0)</f>
        <v/>
      </c>
      <c r="AY2035">
        <f>IF(DJ2035&lt;&gt;"",1,0)+IF(DK2035&lt;&gt;"",1,0)+IF(DM2035&lt;&gt;"",1,0)+IF(DO2035&lt;&gt;"",1,0)+IF(DP2035&lt;&gt;"",1,0)+IF(DQ2035&lt;&gt;"",1,0)+IF(DS2035&lt;&gt;"",1,0)+IF(DT2035&lt;&gt;"",1,0)+IF(DV2035&lt;&gt;"",1,0)+IF(DW2035&lt;&gt;"",1,0)+IF(DX2035&lt;&gt;"",1,0)+IF(DY2035&lt;&gt;"",1,0)+IF(DZ2035&lt;&gt;"",1,0)+IF(EB2035&lt;&gt;"",1,0)+IF(EC2035&lt;&gt;"",1,0)+IF(ED2035&lt;&gt;"",1,0)+IF(EG2035&lt;&gt;"",1,0)+IF(EH2035&lt;&gt;"",1,0)</f>
        <v/>
      </c>
      <c r="AZ2035">
        <f>IF(EH2035&lt;&gt;"",1,0)</f>
        <v/>
      </c>
      <c r="BB2035" t="inlineStr">
        <is>
          <t>WARREN-WARD 4</t>
        </is>
      </c>
      <c r="EF2035" t="inlineStr">
        <is>
          <t>X</t>
        </is>
      </c>
    </row>
    <row r="2036">
      <c r="A2036" t="inlineStr">
        <is>
          <t>OH0015823230</t>
        </is>
      </c>
      <c r="B2036" t="n">
        <v>78</v>
      </c>
      <c r="C2036" t="n">
        <v>294144</v>
      </c>
      <c r="D2036" t="inlineStr">
        <is>
          <t>BARTOLOMUCCI</t>
        </is>
      </c>
      <c r="E2036" t="inlineStr">
        <is>
          <t>CHRISTOPHER</t>
        </is>
      </c>
      <c r="F2036">
        <f>CONCATENATE(D2036," ",LEFT(H2036,4),"T=",AU2036,"D=",AV2036,"R=",AW2036,"M=",AX2036,"L=",AY2036,"B=",AZ2036)</f>
        <v/>
      </c>
      <c r="G2036" t="inlineStr">
        <is>
          <t>ADAM</t>
        </is>
      </c>
      <c r="I2036" t="inlineStr">
        <is>
          <t>1981-01-08</t>
        </is>
      </c>
      <c r="J2036" t="inlineStr">
        <is>
          <t>2014-01-08</t>
        </is>
      </c>
      <c r="K2036" t="inlineStr">
        <is>
          <t>ACTIVE</t>
        </is>
      </c>
      <c r="M2036" t="inlineStr">
        <is>
          <t>720 PAIGE AVE NE</t>
        </is>
      </c>
      <c r="N2036">
        <f>RIGHT(M2036,LEN(M2036)-FIND(" ",M2036))</f>
        <v/>
      </c>
      <c r="P2036" t="inlineStr">
        <is>
          <t>WARREN</t>
        </is>
      </c>
      <c r="Q2036" t="inlineStr">
        <is>
          <t>OH</t>
        </is>
      </c>
      <c r="R2036" t="n">
        <v>44483</v>
      </c>
      <c r="AD2036" t="inlineStr">
        <is>
          <t>TRUMBULL CAREER &amp; TECH CENTER</t>
        </is>
      </c>
      <c r="AE2036" t="inlineStr">
        <is>
          <t>WARREN CITY</t>
        </is>
      </c>
      <c r="AF2036" t="inlineStr">
        <is>
          <t>WARREN CITY SD</t>
        </is>
      </c>
      <c r="AH2036" t="n">
        <v>14</v>
      </c>
      <c r="AI2036" t="n">
        <v>11</v>
      </c>
      <c r="AN2036" t="inlineStr">
        <is>
          <t>WARREN</t>
        </is>
      </c>
      <c r="AO2036" t="inlineStr">
        <is>
          <t>WARREN CITY 4D</t>
        </is>
      </c>
      <c r="AP2036" t="inlineStr">
        <is>
          <t>78-P-ADL</t>
        </is>
      </c>
      <c r="AQ2036" t="n">
        <v>9</v>
      </c>
      <c r="AR2036" t="n">
        <v>64</v>
      </c>
      <c r="AS2036" t="n">
        <v>32</v>
      </c>
      <c r="AU2036">
        <f>COUNTA($BA$2036:$EH$2036)</f>
        <v/>
      </c>
      <c r="AV2036">
        <f>COUNTIF($BA$2036:$EH$2036,"D")</f>
        <v/>
      </c>
      <c r="AW2036">
        <f>COUNTIF($BA$2036:$EH$2036,"R")</f>
        <v/>
      </c>
      <c r="AX2036">
        <f>IF(BN2036="D",1,0)+IF(BO2036="D",1,0)+IF(BT2036="D",1,0)+IF(BU2036="D",1,0)+IF(BW2036="D",1,0)+IF(CC2036="D",1,0)+IF(CD2036="D",1,0)+IF(CE2036="D",1,0)+IF(CF2036="D",1,0)+IF(CL2036="D",1,0)+IF(CM2036="D",1,0)+IF(CQ2036="D",1,0)+IF(CR2036="D",1,0)+IF(CS2036="D",1,0)+IF(CW2036="D",1,0)+IF(CX2036="D",1,0)+IF(DD2036="D",1,0)+IF(DE2036="D",1,0)+IF(DJ2036="D",1,0)+IF(DK2036="D",1,0)+IF(DO2036="D",1,0)+IF(DP2036="D",1,0)+IF(DQ2036="D",1,0)+IF(DW2036="D",1,0)+IF(DZ2036="D",1,0)+IF(EH2036="D",1,0)</f>
        <v/>
      </c>
      <c r="AY2036">
        <f>IF(DJ2036&lt;&gt;"",1,0)+IF(DK2036&lt;&gt;"",1,0)+IF(DM2036&lt;&gt;"",1,0)+IF(DO2036&lt;&gt;"",1,0)+IF(DP2036&lt;&gt;"",1,0)+IF(DQ2036&lt;&gt;"",1,0)+IF(DS2036&lt;&gt;"",1,0)+IF(DT2036&lt;&gt;"",1,0)+IF(DV2036&lt;&gt;"",1,0)+IF(DW2036&lt;&gt;"",1,0)+IF(DX2036&lt;&gt;"",1,0)+IF(DY2036&lt;&gt;"",1,0)+IF(DZ2036&lt;&gt;"",1,0)+IF(EB2036&lt;&gt;"",1,0)+IF(EC2036&lt;&gt;"",1,0)+IF(ED2036&lt;&gt;"",1,0)+IF(EG2036&lt;&gt;"",1,0)+IF(EH2036&lt;&gt;"",1,0)</f>
        <v/>
      </c>
      <c r="AZ2036">
        <f>IF(EH2036&lt;&gt;"",1,0)</f>
        <v/>
      </c>
      <c r="BB2036" t="inlineStr">
        <is>
          <t>WARREN-WARD 4</t>
        </is>
      </c>
      <c r="BC2036" t="inlineStr">
        <is>
          <t>X</t>
        </is>
      </c>
      <c r="BD2036" t="inlineStr">
        <is>
          <t>X</t>
        </is>
      </c>
      <c r="BF2036" t="inlineStr">
        <is>
          <t>X</t>
        </is>
      </c>
      <c r="BI2036" t="inlineStr">
        <is>
          <t>X</t>
        </is>
      </c>
      <c r="BJ2036" t="inlineStr">
        <is>
          <t>X</t>
        </is>
      </c>
      <c r="BL2036" t="inlineStr">
        <is>
          <t>X</t>
        </is>
      </c>
      <c r="BR2036" t="inlineStr">
        <is>
          <t>X</t>
        </is>
      </c>
      <c r="BS2036" t="inlineStr">
        <is>
          <t>X</t>
        </is>
      </c>
      <c r="BV2036" t="inlineStr">
        <is>
          <t>X</t>
        </is>
      </c>
      <c r="BY2036" t="inlineStr">
        <is>
          <t>R</t>
        </is>
      </c>
      <c r="CA2036" t="inlineStr">
        <is>
          <t>X</t>
        </is>
      </c>
      <c r="DC2036" t="inlineStr">
        <is>
          <t>X</t>
        </is>
      </c>
      <c r="DI2036" t="inlineStr">
        <is>
          <t>X</t>
        </is>
      </c>
      <c r="DL2036" t="inlineStr">
        <is>
          <t>X</t>
        </is>
      </c>
      <c r="DN2036" t="inlineStr">
        <is>
          <t>X</t>
        </is>
      </c>
      <c r="DU2036" t="inlineStr">
        <is>
          <t>X</t>
        </is>
      </c>
      <c r="EA2036" t="inlineStr">
        <is>
          <t>X</t>
        </is>
      </c>
      <c r="EF2036" t="inlineStr">
        <is>
          <t>X</t>
        </is>
      </c>
    </row>
    <row r="2037">
      <c r="A2037" t="inlineStr">
        <is>
          <t>OH0020630276</t>
        </is>
      </c>
      <c r="B2037" t="n">
        <v>78</v>
      </c>
      <c r="C2037" t="n">
        <v>369401</v>
      </c>
      <c r="D2037" t="inlineStr">
        <is>
          <t>PENEZICH</t>
        </is>
      </c>
      <c r="E2037" t="inlineStr">
        <is>
          <t>ELIZABETH</t>
        </is>
      </c>
      <c r="F2037">
        <f>CONCATENATE(D2037," ",LEFT(H2037,4),"T=",AU2037,"D=",AV2037,"R=",AW2037,"M=",AX2037,"L=",AY2037,"B=",AZ2037)</f>
        <v/>
      </c>
      <c r="G2037" t="inlineStr">
        <is>
          <t>ANN</t>
        </is>
      </c>
      <c r="I2037" t="inlineStr">
        <is>
          <t>1990-06-02</t>
        </is>
      </c>
      <c r="J2037" t="inlineStr">
        <is>
          <t>2023-08-06</t>
        </is>
      </c>
      <c r="K2037" t="inlineStr">
        <is>
          <t>ACTIVE</t>
        </is>
      </c>
      <c r="M2037" t="inlineStr">
        <is>
          <t>465 VINE AVE NE</t>
        </is>
      </c>
      <c r="N2037">
        <f>RIGHT(M2037,LEN(M2037)-FIND(" ",M2037))</f>
        <v/>
      </c>
      <c r="P2037" t="inlineStr">
        <is>
          <t>WARREN</t>
        </is>
      </c>
      <c r="Q2037" t="inlineStr">
        <is>
          <t>OH</t>
        </is>
      </c>
      <c r="R2037" t="n">
        <v>44483</v>
      </c>
      <c r="AD2037" t="inlineStr">
        <is>
          <t>TRUMBULL CAREER &amp; TECH CENTER</t>
        </is>
      </c>
      <c r="AE2037" t="inlineStr">
        <is>
          <t>WARREN CITY</t>
        </is>
      </c>
      <c r="AF2037" t="inlineStr">
        <is>
          <t>WARREN CITY SD</t>
        </is>
      </c>
      <c r="AH2037" t="n">
        <v>14</v>
      </c>
      <c r="AI2037" t="n">
        <v>11</v>
      </c>
      <c r="AN2037" t="inlineStr">
        <is>
          <t>WARREN</t>
        </is>
      </c>
      <c r="AO2037" t="inlineStr">
        <is>
          <t>WARREN CITY 4D</t>
        </is>
      </c>
      <c r="AP2037" t="inlineStr">
        <is>
          <t>78-P-ADL</t>
        </is>
      </c>
      <c r="AQ2037" t="n">
        <v>9</v>
      </c>
      <c r="AR2037" t="n">
        <v>64</v>
      </c>
      <c r="AS2037" t="n">
        <v>32</v>
      </c>
      <c r="AU2037">
        <f>COUNTA($BA$2037:$EH$2037)</f>
        <v/>
      </c>
      <c r="AV2037">
        <f>COUNTIF($BA$2037:$EH$2037,"D")</f>
        <v/>
      </c>
      <c r="AW2037">
        <f>COUNTIF($BA$2037:$EH$2037,"R")</f>
        <v/>
      </c>
      <c r="AX2037">
        <f>IF(BN2037="D",1,0)+IF(BO2037="D",1,0)+IF(BT2037="D",1,0)+IF(BU2037="D",1,0)+IF(BW2037="D",1,0)+IF(CC2037="D",1,0)+IF(CD2037="D",1,0)+IF(CE2037="D",1,0)+IF(CF2037="D",1,0)+IF(CL2037="D",1,0)+IF(CM2037="D",1,0)+IF(CQ2037="D",1,0)+IF(CR2037="D",1,0)+IF(CS2037="D",1,0)+IF(CW2037="D",1,0)+IF(CX2037="D",1,0)+IF(DD2037="D",1,0)+IF(DE2037="D",1,0)+IF(DJ2037="D",1,0)+IF(DK2037="D",1,0)+IF(DO2037="D",1,0)+IF(DP2037="D",1,0)+IF(DQ2037="D",1,0)+IF(DW2037="D",1,0)+IF(DZ2037="D",1,0)+IF(EH2037="D",1,0)</f>
        <v/>
      </c>
      <c r="AY2037">
        <f>IF(DJ2037&lt;&gt;"",1,0)+IF(DK2037&lt;&gt;"",1,0)+IF(DM2037&lt;&gt;"",1,0)+IF(DO2037&lt;&gt;"",1,0)+IF(DP2037&lt;&gt;"",1,0)+IF(DQ2037&lt;&gt;"",1,0)+IF(DS2037&lt;&gt;"",1,0)+IF(DT2037&lt;&gt;"",1,0)+IF(DV2037&lt;&gt;"",1,0)+IF(DW2037&lt;&gt;"",1,0)+IF(DX2037&lt;&gt;"",1,0)+IF(DY2037&lt;&gt;"",1,0)+IF(DZ2037&lt;&gt;"",1,0)+IF(EB2037&lt;&gt;"",1,0)+IF(EC2037&lt;&gt;"",1,0)+IF(ED2037&lt;&gt;"",1,0)+IF(EG2037&lt;&gt;"",1,0)+IF(EH2037&lt;&gt;"",1,0)</f>
        <v/>
      </c>
      <c r="AZ2037">
        <f>IF(EH2037&lt;&gt;"",1,0)</f>
        <v/>
      </c>
      <c r="BB2037" t="inlineStr">
        <is>
          <t>WARREN-WARD 4</t>
        </is>
      </c>
    </row>
    <row r="2038">
      <c r="A2038" t="inlineStr">
        <is>
          <t>OH0015758228</t>
        </is>
      </c>
      <c r="B2038" t="n">
        <v>78</v>
      </c>
      <c r="C2038" t="n">
        <v>320973</v>
      </c>
      <c r="D2038" t="inlineStr">
        <is>
          <t>JONES</t>
        </is>
      </c>
      <c r="E2038" t="inlineStr">
        <is>
          <t>ROXANNE</t>
        </is>
      </c>
      <c r="F2038">
        <f>CONCATENATE(D2038," ",LEFT(H2038,4),"T=",AU2038,"D=",AV2038,"R=",AW2038,"M=",AX2038,"L=",AY2038,"B=",AZ2038)</f>
        <v/>
      </c>
      <c r="G2038" t="inlineStr">
        <is>
          <t>A</t>
        </is>
      </c>
      <c r="I2038" t="inlineStr">
        <is>
          <t>1985-01-24</t>
        </is>
      </c>
      <c r="J2038" t="inlineStr">
        <is>
          <t>2018-04-12</t>
        </is>
      </c>
      <c r="K2038" t="inlineStr">
        <is>
          <t>ACTIVE</t>
        </is>
      </c>
      <c r="M2038" t="inlineStr">
        <is>
          <t>136 WASHINGTON ST NE</t>
        </is>
      </c>
      <c r="N2038">
        <f>RIGHT(M2038,LEN(M2038)-FIND(" ",M2038))</f>
        <v/>
      </c>
      <c r="P2038" t="inlineStr">
        <is>
          <t>WARREN</t>
        </is>
      </c>
      <c r="Q2038" t="inlineStr">
        <is>
          <t>OH</t>
        </is>
      </c>
      <c r="R2038" t="n">
        <v>44483</v>
      </c>
      <c r="AD2038" t="inlineStr">
        <is>
          <t>TRUMBULL CAREER &amp; TECH CENTER</t>
        </is>
      </c>
      <c r="AE2038" t="inlineStr">
        <is>
          <t>WARREN CITY</t>
        </is>
      </c>
      <c r="AF2038" t="inlineStr">
        <is>
          <t>WARREN CITY SD</t>
        </is>
      </c>
      <c r="AH2038" t="n">
        <v>14</v>
      </c>
      <c r="AI2038" t="n">
        <v>11</v>
      </c>
      <c r="AN2038" t="inlineStr">
        <is>
          <t>WARREN</t>
        </is>
      </c>
      <c r="AO2038" t="inlineStr">
        <is>
          <t>WARREN CITY 4D</t>
        </is>
      </c>
      <c r="AP2038" t="inlineStr">
        <is>
          <t>78-P-ADL</t>
        </is>
      </c>
      <c r="AQ2038" t="n">
        <v>9</v>
      </c>
      <c r="AR2038" t="n">
        <v>64</v>
      </c>
      <c r="AS2038" t="n">
        <v>32</v>
      </c>
      <c r="AU2038">
        <f>COUNTA($BA$2038:$EH$2038)</f>
        <v/>
      </c>
      <c r="AV2038">
        <f>COUNTIF($BA$2038:$EH$2038,"D")</f>
        <v/>
      </c>
      <c r="AW2038">
        <f>COUNTIF($BA$2038:$EH$2038,"R")</f>
        <v/>
      </c>
      <c r="AX2038">
        <f>IF(BN2038="D",1,0)+IF(BO2038="D",1,0)+IF(BT2038="D",1,0)+IF(BU2038="D",1,0)+IF(BW2038="D",1,0)+IF(CC2038="D",1,0)+IF(CD2038="D",1,0)+IF(CE2038="D",1,0)+IF(CF2038="D",1,0)+IF(CL2038="D",1,0)+IF(CM2038="D",1,0)+IF(CQ2038="D",1,0)+IF(CR2038="D",1,0)+IF(CS2038="D",1,0)+IF(CW2038="D",1,0)+IF(CX2038="D",1,0)+IF(DD2038="D",1,0)+IF(DE2038="D",1,0)+IF(DJ2038="D",1,0)+IF(DK2038="D",1,0)+IF(DO2038="D",1,0)+IF(DP2038="D",1,0)+IF(DQ2038="D",1,0)+IF(DW2038="D",1,0)+IF(DZ2038="D",1,0)+IF(EH2038="D",1,0)</f>
        <v/>
      </c>
      <c r="AY2038">
        <f>IF(DJ2038&lt;&gt;"",1,0)+IF(DK2038&lt;&gt;"",1,0)+IF(DM2038&lt;&gt;"",1,0)+IF(DO2038&lt;&gt;"",1,0)+IF(DP2038&lt;&gt;"",1,0)+IF(DQ2038&lt;&gt;"",1,0)+IF(DS2038&lt;&gt;"",1,0)+IF(DT2038&lt;&gt;"",1,0)+IF(DV2038&lt;&gt;"",1,0)+IF(DW2038&lt;&gt;"",1,0)+IF(DX2038&lt;&gt;"",1,0)+IF(DY2038&lt;&gt;"",1,0)+IF(DZ2038&lt;&gt;"",1,0)+IF(EB2038&lt;&gt;"",1,0)+IF(EC2038&lt;&gt;"",1,0)+IF(ED2038&lt;&gt;"",1,0)+IF(EG2038&lt;&gt;"",1,0)+IF(EH2038&lt;&gt;"",1,0)</f>
        <v/>
      </c>
      <c r="AZ2038">
        <f>IF(EH2038&lt;&gt;"",1,0)</f>
        <v/>
      </c>
      <c r="BB2038" t="inlineStr">
        <is>
          <t>WARREN-WARD 4</t>
        </is>
      </c>
      <c r="BL2038" t="inlineStr">
        <is>
          <t>X</t>
        </is>
      </c>
      <c r="CA2038" t="inlineStr">
        <is>
          <t>X</t>
        </is>
      </c>
      <c r="CP2038" t="inlineStr">
        <is>
          <t>X</t>
        </is>
      </c>
      <c r="DC2038" t="inlineStr">
        <is>
          <t>X</t>
        </is>
      </c>
      <c r="DN2038" t="inlineStr">
        <is>
          <t>X</t>
        </is>
      </c>
    </row>
    <row r="2039">
      <c r="A2039" t="inlineStr">
        <is>
          <t>OH0023354893</t>
        </is>
      </c>
      <c r="B2039" t="n">
        <v>78</v>
      </c>
      <c r="C2039" t="n">
        <v>411168</v>
      </c>
      <c r="D2039" t="inlineStr">
        <is>
          <t>DECKERHOFF</t>
        </is>
      </c>
      <c r="E2039" t="inlineStr">
        <is>
          <t>CYNTHIA</t>
        </is>
      </c>
      <c r="F2039">
        <f>CONCATENATE(D2039," ",LEFT(H2039,4),"T=",AU2039,"D=",AV2039,"R=",AW2039,"M=",AX2039,"L=",AY2039,"B=",AZ2039)</f>
        <v/>
      </c>
      <c r="G2039" t="inlineStr">
        <is>
          <t>ANN</t>
        </is>
      </c>
      <c r="I2039" t="inlineStr">
        <is>
          <t>1962-03-06</t>
        </is>
      </c>
      <c r="J2039" t="inlineStr">
        <is>
          <t>2020-08-12</t>
        </is>
      </c>
      <c r="K2039" t="inlineStr">
        <is>
          <t>ACTIVE</t>
        </is>
      </c>
      <c r="L2039" t="inlineStr">
        <is>
          <t>R</t>
        </is>
      </c>
      <c r="M2039" t="inlineStr">
        <is>
          <t>182 HIGH ST NE</t>
        </is>
      </c>
      <c r="N2039">
        <f>RIGHT(M2039,LEN(M2039)-FIND(" ",M2039))</f>
        <v/>
      </c>
      <c r="O2039" t="inlineStr">
        <is>
          <t>APT 106</t>
        </is>
      </c>
      <c r="P2039" t="inlineStr">
        <is>
          <t>WARREN</t>
        </is>
      </c>
      <c r="Q2039" t="inlineStr">
        <is>
          <t>OH</t>
        </is>
      </c>
      <c r="R2039" t="n">
        <v>44481</v>
      </c>
      <c r="AD2039" t="inlineStr">
        <is>
          <t>TRUMBULL CAREER &amp; TECH CENTER</t>
        </is>
      </c>
      <c r="AE2039" t="inlineStr">
        <is>
          <t>WARREN CITY</t>
        </is>
      </c>
      <c r="AF2039" t="inlineStr">
        <is>
          <t>WARREN CITY SD</t>
        </is>
      </c>
      <c r="AH2039" t="n">
        <v>14</v>
      </c>
      <c r="AI2039" t="n">
        <v>11</v>
      </c>
      <c r="AN2039" t="inlineStr">
        <is>
          <t>WARREN</t>
        </is>
      </c>
      <c r="AO2039" t="inlineStr">
        <is>
          <t>WARREN CITY 4D</t>
        </is>
      </c>
      <c r="AP2039" t="inlineStr">
        <is>
          <t>78-P-ADL</t>
        </is>
      </c>
      <c r="AQ2039" t="n">
        <v>9</v>
      </c>
      <c r="AR2039" t="n">
        <v>64</v>
      </c>
      <c r="AS2039" t="n">
        <v>32</v>
      </c>
      <c r="AU2039">
        <f>COUNTA($BA$2039:$EH$2039)</f>
        <v/>
      </c>
      <c r="AV2039">
        <f>COUNTIF($BA$2039:$EH$2039,"D")</f>
        <v/>
      </c>
      <c r="AW2039">
        <f>COUNTIF($BA$2039:$EH$2039,"R")</f>
        <v/>
      </c>
      <c r="AX2039">
        <f>IF(BN2039="D",1,0)+IF(BO2039="D",1,0)+IF(BT2039="D",1,0)+IF(BU2039="D",1,0)+IF(BW2039="D",1,0)+IF(CC2039="D",1,0)+IF(CD2039="D",1,0)+IF(CE2039="D",1,0)+IF(CF2039="D",1,0)+IF(CL2039="D",1,0)+IF(CM2039="D",1,0)+IF(CQ2039="D",1,0)+IF(CR2039="D",1,0)+IF(CS2039="D",1,0)+IF(CW2039="D",1,0)+IF(CX2039="D",1,0)+IF(DD2039="D",1,0)+IF(DE2039="D",1,0)+IF(DJ2039="D",1,0)+IF(DK2039="D",1,0)+IF(DO2039="D",1,0)+IF(DP2039="D",1,0)+IF(DQ2039="D",1,0)+IF(DW2039="D",1,0)+IF(DZ2039="D",1,0)+IF(EH2039="D",1,0)</f>
        <v/>
      </c>
      <c r="AY2039">
        <f>IF(DJ2039&lt;&gt;"",1,0)+IF(DK2039&lt;&gt;"",1,0)+IF(DM2039&lt;&gt;"",1,0)+IF(DO2039&lt;&gt;"",1,0)+IF(DP2039&lt;&gt;"",1,0)+IF(DQ2039&lt;&gt;"",1,0)+IF(DS2039&lt;&gt;"",1,0)+IF(DT2039&lt;&gt;"",1,0)+IF(DV2039&lt;&gt;"",1,0)+IF(DW2039&lt;&gt;"",1,0)+IF(DX2039&lt;&gt;"",1,0)+IF(DY2039&lt;&gt;"",1,0)+IF(DZ2039&lt;&gt;"",1,0)+IF(EB2039&lt;&gt;"",1,0)+IF(EC2039&lt;&gt;"",1,0)+IF(ED2039&lt;&gt;"",1,0)+IF(EG2039&lt;&gt;"",1,0)+IF(EH2039&lt;&gt;"",1,0)</f>
        <v/>
      </c>
      <c r="AZ2039">
        <f>IF(EH2039&lt;&gt;"",1,0)</f>
        <v/>
      </c>
      <c r="BB2039" t="inlineStr">
        <is>
          <t>WARREN-WARD 4</t>
        </is>
      </c>
      <c r="CZ2039" t="inlineStr">
        <is>
          <t>R</t>
        </is>
      </c>
      <c r="DC2039" t="inlineStr">
        <is>
          <t>X</t>
        </is>
      </c>
      <c r="DF2039" t="inlineStr">
        <is>
          <t>X</t>
        </is>
      </c>
      <c r="DG2039" t="inlineStr">
        <is>
          <t>R</t>
        </is>
      </c>
      <c r="DI2039" t="inlineStr">
        <is>
          <t>X</t>
        </is>
      </c>
      <c r="DL2039" t="inlineStr">
        <is>
          <t>X</t>
        </is>
      </c>
      <c r="DM2039" t="inlineStr">
        <is>
          <t>R</t>
        </is>
      </c>
      <c r="DN2039" t="inlineStr">
        <is>
          <t>X</t>
        </is>
      </c>
      <c r="DS2039" t="inlineStr">
        <is>
          <t>R</t>
        </is>
      </c>
      <c r="DT2039" t="inlineStr">
        <is>
          <t>R</t>
        </is>
      </c>
      <c r="DU2039" t="inlineStr">
        <is>
          <t>X</t>
        </is>
      </c>
      <c r="DW2039" t="inlineStr">
        <is>
          <t>D</t>
        </is>
      </c>
      <c r="DX2039" t="inlineStr">
        <is>
          <t>X</t>
        </is>
      </c>
      <c r="EA2039" t="inlineStr">
        <is>
          <t>X</t>
        </is>
      </c>
      <c r="ED2039" t="inlineStr">
        <is>
          <t>R</t>
        </is>
      </c>
      <c r="EF2039" t="inlineStr">
        <is>
          <t>X</t>
        </is>
      </c>
    </row>
    <row r="2040">
      <c r="A2040" t="inlineStr">
        <is>
          <t>OH0023697883</t>
        </is>
      </c>
      <c r="B2040" t="n">
        <v>78</v>
      </c>
      <c r="C2040" t="n">
        <v>416821</v>
      </c>
      <c r="D2040" t="inlineStr">
        <is>
          <t>RODRIGUEZ</t>
        </is>
      </c>
      <c r="E2040" t="inlineStr">
        <is>
          <t>JOSE</t>
        </is>
      </c>
      <c r="F2040">
        <f>CONCATENATE(D2040," ",LEFT(H2040,4),"T=",AU2040,"D=",AV2040,"R=",AW2040,"M=",AX2040,"L=",AY2040,"B=",AZ2040)</f>
        <v/>
      </c>
      <c r="G2040" t="inlineStr">
        <is>
          <t>A</t>
        </is>
      </c>
      <c r="I2040" t="inlineStr">
        <is>
          <t>1980-01-09</t>
        </is>
      </c>
      <c r="J2040" t="inlineStr">
        <is>
          <t>2016-05-13</t>
        </is>
      </c>
      <c r="K2040" t="inlineStr">
        <is>
          <t>ACTIVE</t>
        </is>
      </c>
      <c r="M2040" t="inlineStr">
        <is>
          <t>339 CHESTNUT AVE SE</t>
        </is>
      </c>
      <c r="N2040">
        <f>RIGHT(M2040,LEN(M2040)-FIND(" ",M2040))</f>
        <v/>
      </c>
      <c r="P2040" t="inlineStr">
        <is>
          <t>WARREN</t>
        </is>
      </c>
      <c r="Q2040" t="inlineStr">
        <is>
          <t>OH</t>
        </is>
      </c>
      <c r="R2040" t="n">
        <v>44483</v>
      </c>
      <c r="AD2040" t="inlineStr">
        <is>
          <t>TRUMBULL CAREER &amp; TECH CENTER</t>
        </is>
      </c>
      <c r="AE2040" t="inlineStr">
        <is>
          <t>WARREN CITY</t>
        </is>
      </c>
      <c r="AF2040" t="inlineStr">
        <is>
          <t>WARREN CITY SD</t>
        </is>
      </c>
      <c r="AH2040" t="n">
        <v>14</v>
      </c>
      <c r="AI2040" t="n">
        <v>11</v>
      </c>
      <c r="AN2040" t="inlineStr">
        <is>
          <t>WARREN</t>
        </is>
      </c>
      <c r="AO2040" t="inlineStr">
        <is>
          <t>WARREN CITY 4D</t>
        </is>
      </c>
      <c r="AP2040" t="inlineStr">
        <is>
          <t>78-P-ADL</t>
        </is>
      </c>
      <c r="AQ2040" t="n">
        <v>9</v>
      </c>
      <c r="AR2040" t="n">
        <v>64</v>
      </c>
      <c r="AS2040" t="n">
        <v>32</v>
      </c>
      <c r="AU2040">
        <f>COUNTA($BA$2040:$EH$2040)</f>
        <v/>
      </c>
      <c r="AV2040">
        <f>COUNTIF($BA$2040:$EH$2040,"D")</f>
        <v/>
      </c>
      <c r="AW2040">
        <f>COUNTIF($BA$2040:$EH$2040,"R")</f>
        <v/>
      </c>
      <c r="AX2040">
        <f>IF(BN2040="D",1,0)+IF(BO2040="D",1,0)+IF(BT2040="D",1,0)+IF(BU2040="D",1,0)+IF(BW2040="D",1,0)+IF(CC2040="D",1,0)+IF(CD2040="D",1,0)+IF(CE2040="D",1,0)+IF(CF2040="D",1,0)+IF(CL2040="D",1,0)+IF(CM2040="D",1,0)+IF(CQ2040="D",1,0)+IF(CR2040="D",1,0)+IF(CS2040="D",1,0)+IF(CW2040="D",1,0)+IF(CX2040="D",1,0)+IF(DD2040="D",1,0)+IF(DE2040="D",1,0)+IF(DJ2040="D",1,0)+IF(DK2040="D",1,0)+IF(DO2040="D",1,0)+IF(DP2040="D",1,0)+IF(DQ2040="D",1,0)+IF(DW2040="D",1,0)+IF(DZ2040="D",1,0)+IF(EH2040="D",1,0)</f>
        <v/>
      </c>
      <c r="AY2040">
        <f>IF(DJ2040&lt;&gt;"",1,0)+IF(DK2040&lt;&gt;"",1,0)+IF(DM2040&lt;&gt;"",1,0)+IF(DO2040&lt;&gt;"",1,0)+IF(DP2040&lt;&gt;"",1,0)+IF(DQ2040&lt;&gt;"",1,0)+IF(DS2040&lt;&gt;"",1,0)+IF(DT2040&lt;&gt;"",1,0)+IF(DV2040&lt;&gt;"",1,0)+IF(DW2040&lt;&gt;"",1,0)+IF(DX2040&lt;&gt;"",1,0)+IF(DY2040&lt;&gt;"",1,0)+IF(DZ2040&lt;&gt;"",1,0)+IF(EB2040&lt;&gt;"",1,0)+IF(EC2040&lt;&gt;"",1,0)+IF(ED2040&lt;&gt;"",1,0)+IF(EG2040&lt;&gt;"",1,0)+IF(EH2040&lt;&gt;"",1,0)</f>
        <v/>
      </c>
      <c r="AZ2040">
        <f>IF(EH2040&lt;&gt;"",1,0)</f>
        <v/>
      </c>
      <c r="BB2040" t="inlineStr">
        <is>
          <t>WARREN-WARD 4</t>
        </is>
      </c>
    </row>
    <row r="2041">
      <c r="A2041" t="inlineStr">
        <is>
          <t>OH0023092373</t>
        </is>
      </c>
      <c r="B2041" t="n">
        <v>78</v>
      </c>
      <c r="C2041" t="n">
        <v>406992</v>
      </c>
      <c r="D2041" t="inlineStr">
        <is>
          <t>LIPTAK</t>
        </is>
      </c>
      <c r="E2041" t="inlineStr">
        <is>
          <t>CARLY</t>
        </is>
      </c>
      <c r="F2041">
        <f>CONCATENATE(D2041," ",LEFT(H2041,4),"T=",AU2041,"D=",AV2041,"R=",AW2041,"M=",AX2041,"L=",AY2041,"B=",AZ2041)</f>
        <v/>
      </c>
      <c r="G2041" t="inlineStr">
        <is>
          <t>RAE</t>
        </is>
      </c>
      <c r="I2041" t="inlineStr">
        <is>
          <t>1997-03-21</t>
        </is>
      </c>
      <c r="J2041" t="inlineStr">
        <is>
          <t>2025-05-06</t>
        </is>
      </c>
      <c r="K2041" t="inlineStr">
        <is>
          <t>ACTIVE</t>
        </is>
      </c>
      <c r="L2041" t="inlineStr">
        <is>
          <t>D</t>
        </is>
      </c>
      <c r="M2041" t="inlineStr">
        <is>
          <t>741 PAIGE AVE NE</t>
        </is>
      </c>
      <c r="N2041">
        <f>RIGHT(M2041,LEN(M2041)-FIND(" ",M2041))</f>
        <v/>
      </c>
      <c r="P2041" t="inlineStr">
        <is>
          <t>WARREN</t>
        </is>
      </c>
      <c r="Q2041" t="inlineStr">
        <is>
          <t>OH</t>
        </is>
      </c>
      <c r="R2041" t="n">
        <v>44483</v>
      </c>
      <c r="AD2041" t="inlineStr">
        <is>
          <t>TRUMBULL CAREER &amp; TECH CENTER</t>
        </is>
      </c>
      <c r="AE2041" t="inlineStr">
        <is>
          <t>WARREN CITY</t>
        </is>
      </c>
      <c r="AF2041" t="inlineStr">
        <is>
          <t>WARREN CITY SD</t>
        </is>
      </c>
      <c r="AH2041" t="n">
        <v>14</v>
      </c>
      <c r="AI2041" t="n">
        <v>11</v>
      </c>
      <c r="AN2041" t="inlineStr">
        <is>
          <t>WARREN</t>
        </is>
      </c>
      <c r="AO2041" t="inlineStr">
        <is>
          <t>WARREN CITY 4D</t>
        </is>
      </c>
      <c r="AP2041" t="inlineStr">
        <is>
          <t>78-P-ADL</t>
        </is>
      </c>
      <c r="AQ2041" t="n">
        <v>9</v>
      </c>
      <c r="AR2041" t="n">
        <v>64</v>
      </c>
      <c r="AS2041" t="n">
        <v>32</v>
      </c>
      <c r="AU2041">
        <f>COUNTA($BA$2041:$EH$2041)</f>
        <v/>
      </c>
      <c r="AV2041">
        <f>COUNTIF($BA$2041:$EH$2041,"D")</f>
        <v/>
      </c>
      <c r="AW2041">
        <f>COUNTIF($BA$2041:$EH$2041,"R")</f>
        <v/>
      </c>
      <c r="AX2041">
        <f>IF(BN2041="D",1,0)+IF(BO2041="D",1,0)+IF(BT2041="D",1,0)+IF(BU2041="D",1,0)+IF(BW2041="D",1,0)+IF(CC2041="D",1,0)+IF(CD2041="D",1,0)+IF(CE2041="D",1,0)+IF(CF2041="D",1,0)+IF(CL2041="D",1,0)+IF(CM2041="D",1,0)+IF(CQ2041="D",1,0)+IF(CR2041="D",1,0)+IF(CS2041="D",1,0)+IF(CW2041="D",1,0)+IF(CX2041="D",1,0)+IF(DD2041="D",1,0)+IF(DE2041="D",1,0)+IF(DJ2041="D",1,0)+IF(DK2041="D",1,0)+IF(DO2041="D",1,0)+IF(DP2041="D",1,0)+IF(DQ2041="D",1,0)+IF(DW2041="D",1,0)+IF(DZ2041="D",1,0)+IF(EH2041="D",1,0)</f>
        <v/>
      </c>
      <c r="AY2041">
        <f>IF(DJ2041&lt;&gt;"",1,0)+IF(DK2041&lt;&gt;"",1,0)+IF(DM2041&lt;&gt;"",1,0)+IF(DO2041&lt;&gt;"",1,0)+IF(DP2041&lt;&gt;"",1,0)+IF(DQ2041&lt;&gt;"",1,0)+IF(DS2041&lt;&gt;"",1,0)+IF(DT2041&lt;&gt;"",1,0)+IF(DV2041&lt;&gt;"",1,0)+IF(DW2041&lt;&gt;"",1,0)+IF(DX2041&lt;&gt;"",1,0)+IF(DY2041&lt;&gt;"",1,0)+IF(DZ2041&lt;&gt;"",1,0)+IF(EB2041&lt;&gt;"",1,0)+IF(EC2041&lt;&gt;"",1,0)+IF(ED2041&lt;&gt;"",1,0)+IF(EG2041&lt;&gt;"",1,0)+IF(EH2041&lt;&gt;"",1,0)</f>
        <v/>
      </c>
      <c r="AZ2041">
        <f>IF(EH2041&lt;&gt;"",1,0)</f>
        <v/>
      </c>
      <c r="BB2041" t="inlineStr">
        <is>
          <t>WARREN-WARD 4</t>
        </is>
      </c>
      <c r="CW2041" t="inlineStr">
        <is>
          <t>D</t>
        </is>
      </c>
      <c r="CY2041" t="inlineStr">
        <is>
          <t>X</t>
        </is>
      </c>
      <c r="CZ2041" t="inlineStr">
        <is>
          <t>D</t>
        </is>
      </c>
      <c r="DC2041" t="inlineStr">
        <is>
          <t>X</t>
        </is>
      </c>
      <c r="DF2041" t="inlineStr">
        <is>
          <t>X</t>
        </is>
      </c>
      <c r="DG2041" t="inlineStr">
        <is>
          <t>D</t>
        </is>
      </c>
      <c r="DI2041" t="inlineStr">
        <is>
          <t>X</t>
        </is>
      </c>
      <c r="DL2041" t="inlineStr">
        <is>
          <t>X</t>
        </is>
      </c>
      <c r="DM2041" t="inlineStr">
        <is>
          <t>D</t>
        </is>
      </c>
      <c r="DN2041" t="inlineStr">
        <is>
          <t>X</t>
        </is>
      </c>
      <c r="DR2041" t="inlineStr">
        <is>
          <t>X</t>
        </is>
      </c>
      <c r="DS2041" t="inlineStr">
        <is>
          <t>D</t>
        </is>
      </c>
      <c r="DT2041" t="inlineStr">
        <is>
          <t>D</t>
        </is>
      </c>
      <c r="DU2041" t="inlineStr">
        <is>
          <t>X</t>
        </is>
      </c>
      <c r="DW2041" t="inlineStr">
        <is>
          <t>D</t>
        </is>
      </c>
      <c r="DX2041" t="inlineStr">
        <is>
          <t>X</t>
        </is>
      </c>
      <c r="EA2041" t="inlineStr">
        <is>
          <t>X</t>
        </is>
      </c>
      <c r="ED2041" t="inlineStr">
        <is>
          <t>D</t>
        </is>
      </c>
      <c r="EF2041" t="inlineStr">
        <is>
          <t>X</t>
        </is>
      </c>
      <c r="EH2041" t="inlineStr">
        <is>
          <t>D</t>
        </is>
      </c>
    </row>
    <row r="2042">
      <c r="A2042" t="inlineStr">
        <is>
          <t>OH0026637155</t>
        </is>
      </c>
      <c r="B2042" t="n">
        <v>78</v>
      </c>
      <c r="C2042" t="n">
        <v>465352</v>
      </c>
      <c r="D2042" t="inlineStr">
        <is>
          <t>BLOOD</t>
        </is>
      </c>
      <c r="E2042" t="inlineStr">
        <is>
          <t>STEPHEN</t>
        </is>
      </c>
      <c r="F2042">
        <f>CONCATENATE(D2042," ",LEFT(H2042,4),"T=",AU2042,"D=",AV2042,"R=",AW2042,"M=",AX2042,"L=",AY2042,"B=",AZ2042)</f>
        <v/>
      </c>
      <c r="G2042" t="inlineStr">
        <is>
          <t>PAUL</t>
        </is>
      </c>
      <c r="I2042" t="inlineStr">
        <is>
          <t>1968-05-17</t>
        </is>
      </c>
      <c r="J2042" t="inlineStr">
        <is>
          <t>2022-09-07</t>
        </is>
      </c>
      <c r="K2042" t="inlineStr">
        <is>
          <t>ACTIVE</t>
        </is>
      </c>
      <c r="M2042" t="inlineStr">
        <is>
          <t>182 SCOTT ST NE</t>
        </is>
      </c>
      <c r="N2042">
        <f>RIGHT(M2042,LEN(M2042)-FIND(" ",M2042))</f>
        <v/>
      </c>
      <c r="P2042" t="inlineStr">
        <is>
          <t>WARREN</t>
        </is>
      </c>
      <c r="Q2042" t="inlineStr">
        <is>
          <t>OH</t>
        </is>
      </c>
      <c r="R2042" t="n">
        <v>44483</v>
      </c>
      <c r="AD2042" t="inlineStr">
        <is>
          <t>TRUMBULL CAREER &amp; TECH CENTER</t>
        </is>
      </c>
      <c r="AE2042" t="inlineStr">
        <is>
          <t>WARREN CITY</t>
        </is>
      </c>
      <c r="AF2042" t="inlineStr">
        <is>
          <t>WARREN CITY SD</t>
        </is>
      </c>
      <c r="AH2042" t="n">
        <v>14</v>
      </c>
      <c r="AI2042" t="n">
        <v>11</v>
      </c>
      <c r="AN2042" t="inlineStr">
        <is>
          <t>WARREN</t>
        </is>
      </c>
      <c r="AO2042" t="inlineStr">
        <is>
          <t>WARREN CITY 4D</t>
        </is>
      </c>
      <c r="AP2042" t="inlineStr">
        <is>
          <t>78-P-ADL</t>
        </is>
      </c>
      <c r="AQ2042" t="n">
        <v>9</v>
      </c>
      <c r="AR2042" t="n">
        <v>64</v>
      </c>
      <c r="AS2042" t="n">
        <v>32</v>
      </c>
      <c r="AU2042">
        <f>COUNTA($BA$2042:$EH$2042)</f>
        <v/>
      </c>
      <c r="AV2042">
        <f>COUNTIF($BA$2042:$EH$2042,"D")</f>
        <v/>
      </c>
      <c r="AW2042">
        <f>COUNTIF($BA$2042:$EH$2042,"R")</f>
        <v/>
      </c>
      <c r="AX2042">
        <f>IF(BN2042="D",1,0)+IF(BO2042="D",1,0)+IF(BT2042="D",1,0)+IF(BU2042="D",1,0)+IF(BW2042="D",1,0)+IF(CC2042="D",1,0)+IF(CD2042="D",1,0)+IF(CE2042="D",1,0)+IF(CF2042="D",1,0)+IF(CL2042="D",1,0)+IF(CM2042="D",1,0)+IF(CQ2042="D",1,0)+IF(CR2042="D",1,0)+IF(CS2042="D",1,0)+IF(CW2042="D",1,0)+IF(CX2042="D",1,0)+IF(DD2042="D",1,0)+IF(DE2042="D",1,0)+IF(DJ2042="D",1,0)+IF(DK2042="D",1,0)+IF(DO2042="D",1,0)+IF(DP2042="D",1,0)+IF(DQ2042="D",1,0)+IF(DW2042="D",1,0)+IF(DZ2042="D",1,0)+IF(EH2042="D",1,0)</f>
        <v/>
      </c>
      <c r="AY2042">
        <f>IF(DJ2042&lt;&gt;"",1,0)+IF(DK2042&lt;&gt;"",1,0)+IF(DM2042&lt;&gt;"",1,0)+IF(DO2042&lt;&gt;"",1,0)+IF(DP2042&lt;&gt;"",1,0)+IF(DQ2042&lt;&gt;"",1,0)+IF(DS2042&lt;&gt;"",1,0)+IF(DT2042&lt;&gt;"",1,0)+IF(DV2042&lt;&gt;"",1,0)+IF(DW2042&lt;&gt;"",1,0)+IF(DX2042&lt;&gt;"",1,0)+IF(DY2042&lt;&gt;"",1,0)+IF(DZ2042&lt;&gt;"",1,0)+IF(EB2042&lt;&gt;"",1,0)+IF(EC2042&lt;&gt;"",1,0)+IF(ED2042&lt;&gt;"",1,0)+IF(EG2042&lt;&gt;"",1,0)+IF(EH2042&lt;&gt;"",1,0)</f>
        <v/>
      </c>
      <c r="AZ2042">
        <f>IF(EH2042&lt;&gt;"",1,0)</f>
        <v/>
      </c>
      <c r="BB2042" t="inlineStr">
        <is>
          <t>WARREN-WARD 4</t>
        </is>
      </c>
    </row>
    <row r="2043">
      <c r="A2043" t="inlineStr">
        <is>
          <t>OH0015786035</t>
        </is>
      </c>
      <c r="B2043" t="n">
        <v>78</v>
      </c>
      <c r="C2043" t="n">
        <v>305767</v>
      </c>
      <c r="D2043" t="inlineStr">
        <is>
          <t>FOREBACK</t>
        </is>
      </c>
      <c r="E2043" t="inlineStr">
        <is>
          <t>ANNA</t>
        </is>
      </c>
      <c r="F2043">
        <f>CONCATENATE(D2043," ",LEFT(H2043,4),"T=",AU2043,"D=",AV2043,"R=",AW2043,"M=",AX2043,"L=",AY2043,"B=",AZ2043)</f>
        <v/>
      </c>
      <c r="G2043" t="inlineStr">
        <is>
          <t>K</t>
        </is>
      </c>
      <c r="I2043" t="inlineStr">
        <is>
          <t>1965-05-22</t>
        </is>
      </c>
      <c r="J2043" t="inlineStr">
        <is>
          <t>2018-08-10</t>
        </is>
      </c>
      <c r="K2043" t="inlineStr">
        <is>
          <t>ACTIVE</t>
        </is>
      </c>
      <c r="M2043" t="inlineStr">
        <is>
          <t>351 LAIRD AVE NE</t>
        </is>
      </c>
      <c r="N2043">
        <f>RIGHT(M2043,LEN(M2043)-FIND(" ",M2043))</f>
        <v/>
      </c>
      <c r="P2043" t="inlineStr">
        <is>
          <t>WARREN</t>
        </is>
      </c>
      <c r="Q2043" t="inlineStr">
        <is>
          <t>OH</t>
        </is>
      </c>
      <c r="R2043" t="n">
        <v>44483</v>
      </c>
      <c r="AD2043" t="inlineStr">
        <is>
          <t>TRUMBULL CAREER &amp; TECH CENTER</t>
        </is>
      </c>
      <c r="AE2043" t="inlineStr">
        <is>
          <t>WARREN CITY</t>
        </is>
      </c>
      <c r="AF2043" t="inlineStr">
        <is>
          <t>WARREN CITY SD</t>
        </is>
      </c>
      <c r="AH2043" t="n">
        <v>14</v>
      </c>
      <c r="AI2043" t="n">
        <v>11</v>
      </c>
      <c r="AN2043" t="inlineStr">
        <is>
          <t>WARREN</t>
        </is>
      </c>
      <c r="AO2043" t="inlineStr">
        <is>
          <t>WARREN CITY 4D</t>
        </is>
      </c>
      <c r="AP2043" t="inlineStr">
        <is>
          <t>78-P-ADL</t>
        </is>
      </c>
      <c r="AQ2043" t="n">
        <v>9</v>
      </c>
      <c r="AR2043" t="n">
        <v>64</v>
      </c>
      <c r="AS2043" t="n">
        <v>32</v>
      </c>
      <c r="AU2043">
        <f>COUNTA($BA$2043:$EH$2043)</f>
        <v/>
      </c>
      <c r="AV2043">
        <f>COUNTIF($BA$2043:$EH$2043,"D")</f>
        <v/>
      </c>
      <c r="AW2043">
        <f>COUNTIF($BA$2043:$EH$2043,"R")</f>
        <v/>
      </c>
      <c r="AX2043">
        <f>IF(BN2043="D",1,0)+IF(BO2043="D",1,0)+IF(BT2043="D",1,0)+IF(BU2043="D",1,0)+IF(BW2043="D",1,0)+IF(CC2043="D",1,0)+IF(CD2043="D",1,0)+IF(CE2043="D",1,0)+IF(CF2043="D",1,0)+IF(CL2043="D",1,0)+IF(CM2043="D",1,0)+IF(CQ2043="D",1,0)+IF(CR2043="D",1,0)+IF(CS2043="D",1,0)+IF(CW2043="D",1,0)+IF(CX2043="D",1,0)+IF(DD2043="D",1,0)+IF(DE2043="D",1,0)+IF(DJ2043="D",1,0)+IF(DK2043="D",1,0)+IF(DO2043="D",1,0)+IF(DP2043="D",1,0)+IF(DQ2043="D",1,0)+IF(DW2043="D",1,0)+IF(DZ2043="D",1,0)+IF(EH2043="D",1,0)</f>
        <v/>
      </c>
      <c r="AY2043">
        <f>IF(DJ2043&lt;&gt;"",1,0)+IF(DK2043&lt;&gt;"",1,0)+IF(DM2043&lt;&gt;"",1,0)+IF(DO2043&lt;&gt;"",1,0)+IF(DP2043&lt;&gt;"",1,0)+IF(DQ2043&lt;&gt;"",1,0)+IF(DS2043&lt;&gt;"",1,0)+IF(DT2043&lt;&gt;"",1,0)+IF(DV2043&lt;&gt;"",1,0)+IF(DW2043&lt;&gt;"",1,0)+IF(DX2043&lt;&gt;"",1,0)+IF(DY2043&lt;&gt;"",1,0)+IF(DZ2043&lt;&gt;"",1,0)+IF(EB2043&lt;&gt;"",1,0)+IF(EC2043&lt;&gt;"",1,0)+IF(ED2043&lt;&gt;"",1,0)+IF(EG2043&lt;&gt;"",1,0)+IF(EH2043&lt;&gt;"",1,0)</f>
        <v/>
      </c>
      <c r="AZ2043">
        <f>IF(EH2043&lt;&gt;"",1,0)</f>
        <v/>
      </c>
      <c r="BB2043" t="inlineStr">
        <is>
          <t>WARREN-WARD 4</t>
        </is>
      </c>
      <c r="BL2043" t="inlineStr">
        <is>
          <t>X</t>
        </is>
      </c>
      <c r="BR2043" t="inlineStr">
        <is>
          <t>X</t>
        </is>
      </c>
      <c r="BV2043" t="inlineStr">
        <is>
          <t>X</t>
        </is>
      </c>
      <c r="CA2043" t="inlineStr">
        <is>
          <t>X</t>
        </is>
      </c>
      <c r="CP2043" t="inlineStr">
        <is>
          <t>X</t>
        </is>
      </c>
      <c r="DI2043" t="inlineStr">
        <is>
          <t>X</t>
        </is>
      </c>
      <c r="DL2043" t="inlineStr">
        <is>
          <t>X</t>
        </is>
      </c>
      <c r="DN2043" t="inlineStr">
        <is>
          <t>X</t>
        </is>
      </c>
    </row>
    <row r="2044">
      <c r="A2044" t="inlineStr">
        <is>
          <t>OH0024647298</t>
        </is>
      </c>
      <c r="B2044" t="n">
        <v>78</v>
      </c>
      <c r="C2044" t="n">
        <v>432003</v>
      </c>
      <c r="D2044" t="inlineStr">
        <is>
          <t>BRUCE</t>
        </is>
      </c>
      <c r="E2044" t="inlineStr">
        <is>
          <t>DAKOTA</t>
        </is>
      </c>
      <c r="F2044">
        <f>CONCATENATE(D2044," ",LEFT(H2044,4),"T=",AU2044,"D=",AV2044,"R=",AW2044,"M=",AX2044,"L=",AY2044,"B=",AZ2044)</f>
        <v/>
      </c>
      <c r="G2044" t="inlineStr">
        <is>
          <t>C</t>
        </is>
      </c>
      <c r="I2044" t="inlineStr">
        <is>
          <t>1996-07-18</t>
        </is>
      </c>
      <c r="J2044" t="inlineStr">
        <is>
          <t>2018-05-12</t>
        </is>
      </c>
      <c r="K2044" t="inlineStr">
        <is>
          <t>CONFIRMATION</t>
        </is>
      </c>
      <c r="M2044" t="inlineStr">
        <is>
          <t>199 PORTER ST NE</t>
        </is>
      </c>
      <c r="N2044">
        <f>RIGHT(M2044,LEN(M2044)-FIND(" ",M2044))</f>
        <v/>
      </c>
      <c r="P2044" t="inlineStr">
        <is>
          <t>WARREN</t>
        </is>
      </c>
      <c r="Q2044" t="inlineStr">
        <is>
          <t>OH</t>
        </is>
      </c>
      <c r="R2044" t="n">
        <v>44483</v>
      </c>
      <c r="AD2044" t="inlineStr">
        <is>
          <t>TRUMBULL CAREER &amp; TECH CENTER</t>
        </is>
      </c>
      <c r="AE2044" t="inlineStr">
        <is>
          <t>WARREN CITY</t>
        </is>
      </c>
      <c r="AF2044" t="inlineStr">
        <is>
          <t>WARREN CITY SD</t>
        </is>
      </c>
      <c r="AH2044" t="n">
        <v>14</v>
      </c>
      <c r="AI2044" t="n">
        <v>11</v>
      </c>
      <c r="AN2044" t="inlineStr">
        <is>
          <t>WARREN</t>
        </is>
      </c>
      <c r="AO2044" t="inlineStr">
        <is>
          <t>WARREN CITY 4D</t>
        </is>
      </c>
      <c r="AP2044" t="inlineStr">
        <is>
          <t>78-P-ADL</t>
        </is>
      </c>
      <c r="AQ2044" t="n">
        <v>9</v>
      </c>
      <c r="AR2044" t="n">
        <v>64</v>
      </c>
      <c r="AS2044" t="n">
        <v>32</v>
      </c>
      <c r="AU2044">
        <f>COUNTA($BA$2044:$EH$2044)</f>
        <v/>
      </c>
      <c r="AV2044">
        <f>COUNTIF($BA$2044:$EH$2044,"D")</f>
        <v/>
      </c>
      <c r="AW2044">
        <f>COUNTIF($BA$2044:$EH$2044,"R")</f>
        <v/>
      </c>
      <c r="AX2044">
        <f>IF(BN2044="D",1,0)+IF(BO2044="D",1,0)+IF(BT2044="D",1,0)+IF(BU2044="D",1,0)+IF(BW2044="D",1,0)+IF(CC2044="D",1,0)+IF(CD2044="D",1,0)+IF(CE2044="D",1,0)+IF(CF2044="D",1,0)+IF(CL2044="D",1,0)+IF(CM2044="D",1,0)+IF(CQ2044="D",1,0)+IF(CR2044="D",1,0)+IF(CS2044="D",1,0)+IF(CW2044="D",1,0)+IF(CX2044="D",1,0)+IF(DD2044="D",1,0)+IF(DE2044="D",1,0)+IF(DJ2044="D",1,0)+IF(DK2044="D",1,0)+IF(DO2044="D",1,0)+IF(DP2044="D",1,0)+IF(DQ2044="D",1,0)+IF(DW2044="D",1,0)+IF(DZ2044="D",1,0)+IF(EH2044="D",1,0)</f>
        <v/>
      </c>
      <c r="AY2044">
        <f>IF(DJ2044&lt;&gt;"",1,0)+IF(DK2044&lt;&gt;"",1,0)+IF(DM2044&lt;&gt;"",1,0)+IF(DO2044&lt;&gt;"",1,0)+IF(DP2044&lt;&gt;"",1,0)+IF(DQ2044&lt;&gt;"",1,0)+IF(DS2044&lt;&gt;"",1,0)+IF(DT2044&lt;&gt;"",1,0)+IF(DV2044&lt;&gt;"",1,0)+IF(DW2044&lt;&gt;"",1,0)+IF(DX2044&lt;&gt;"",1,0)+IF(DY2044&lt;&gt;"",1,0)+IF(DZ2044&lt;&gt;"",1,0)+IF(EB2044&lt;&gt;"",1,0)+IF(EC2044&lt;&gt;"",1,0)+IF(ED2044&lt;&gt;"",1,0)+IF(EG2044&lt;&gt;"",1,0)+IF(EH2044&lt;&gt;"",1,0)</f>
        <v/>
      </c>
      <c r="AZ2044">
        <f>IF(EH2044&lt;&gt;"",1,0)</f>
        <v/>
      </c>
      <c r="BB2044" t="inlineStr">
        <is>
          <t>WARREN-WARD 4</t>
        </is>
      </c>
      <c r="CV2044" t="inlineStr">
        <is>
          <t>X</t>
        </is>
      </c>
    </row>
    <row r="2045">
      <c r="A2045" t="inlineStr">
        <is>
          <t>OH0015811114</t>
        </is>
      </c>
      <c r="B2045" t="n">
        <v>78</v>
      </c>
      <c r="C2045" t="n">
        <v>261125</v>
      </c>
      <c r="D2045" t="inlineStr">
        <is>
          <t>HALE</t>
        </is>
      </c>
      <c r="E2045" t="inlineStr">
        <is>
          <t>YVONNE</t>
        </is>
      </c>
      <c r="F2045">
        <f>CONCATENATE(D2045," ",LEFT(H2045,4),"T=",AU2045,"D=",AV2045,"R=",AW2045,"M=",AX2045,"L=",AY2045,"B=",AZ2045)</f>
        <v/>
      </c>
      <c r="G2045" t="inlineStr">
        <is>
          <t>T</t>
        </is>
      </c>
      <c r="I2045" t="inlineStr">
        <is>
          <t>1965-05-23</t>
        </is>
      </c>
      <c r="J2045" t="inlineStr">
        <is>
          <t>2021-06-29</t>
        </is>
      </c>
      <c r="K2045" t="inlineStr">
        <is>
          <t>ACTIVE</t>
        </is>
      </c>
      <c r="M2045" t="inlineStr">
        <is>
          <t>436 PORTER ST NE</t>
        </is>
      </c>
      <c r="N2045">
        <f>RIGHT(M2045,LEN(M2045)-FIND(" ",M2045))</f>
        <v/>
      </c>
      <c r="P2045" t="inlineStr">
        <is>
          <t>WARREN</t>
        </is>
      </c>
      <c r="Q2045" t="inlineStr">
        <is>
          <t>OH</t>
        </is>
      </c>
      <c r="R2045" t="n">
        <v>44483</v>
      </c>
      <c r="AD2045" t="inlineStr">
        <is>
          <t>TRUMBULL CAREER &amp; TECH CENTER</t>
        </is>
      </c>
      <c r="AE2045" t="inlineStr">
        <is>
          <t>WARREN CITY</t>
        </is>
      </c>
      <c r="AF2045" t="inlineStr">
        <is>
          <t>WARREN CITY SD</t>
        </is>
      </c>
      <c r="AH2045" t="n">
        <v>14</v>
      </c>
      <c r="AI2045" t="n">
        <v>11</v>
      </c>
      <c r="AN2045" t="inlineStr">
        <is>
          <t>WARREN</t>
        </is>
      </c>
      <c r="AO2045" t="inlineStr">
        <is>
          <t>WARREN CITY 4D</t>
        </is>
      </c>
      <c r="AP2045" t="inlineStr">
        <is>
          <t>78-P-ADL</t>
        </is>
      </c>
      <c r="AQ2045" t="n">
        <v>9</v>
      </c>
      <c r="AR2045" t="n">
        <v>64</v>
      </c>
      <c r="AS2045" t="n">
        <v>32</v>
      </c>
      <c r="AU2045">
        <f>COUNTA($BA$2045:$EH$2045)</f>
        <v/>
      </c>
      <c r="AV2045">
        <f>COUNTIF($BA$2045:$EH$2045,"D")</f>
        <v/>
      </c>
      <c r="AW2045">
        <f>COUNTIF($BA$2045:$EH$2045,"R")</f>
        <v/>
      </c>
      <c r="AX2045">
        <f>IF(BN2045="D",1,0)+IF(BO2045="D",1,0)+IF(BT2045="D",1,0)+IF(BU2045="D",1,0)+IF(BW2045="D",1,0)+IF(CC2045="D",1,0)+IF(CD2045="D",1,0)+IF(CE2045="D",1,0)+IF(CF2045="D",1,0)+IF(CL2045="D",1,0)+IF(CM2045="D",1,0)+IF(CQ2045="D",1,0)+IF(CR2045="D",1,0)+IF(CS2045="D",1,0)+IF(CW2045="D",1,0)+IF(CX2045="D",1,0)+IF(DD2045="D",1,0)+IF(DE2045="D",1,0)+IF(DJ2045="D",1,0)+IF(DK2045="D",1,0)+IF(DO2045="D",1,0)+IF(DP2045="D",1,0)+IF(DQ2045="D",1,0)+IF(DW2045="D",1,0)+IF(DZ2045="D",1,0)+IF(EH2045="D",1,0)</f>
        <v/>
      </c>
      <c r="AY2045">
        <f>IF(DJ2045&lt;&gt;"",1,0)+IF(DK2045&lt;&gt;"",1,0)+IF(DM2045&lt;&gt;"",1,0)+IF(DO2045&lt;&gt;"",1,0)+IF(DP2045&lt;&gt;"",1,0)+IF(DQ2045&lt;&gt;"",1,0)+IF(DS2045&lt;&gt;"",1,0)+IF(DT2045&lt;&gt;"",1,0)+IF(DV2045&lt;&gt;"",1,0)+IF(DW2045&lt;&gt;"",1,0)+IF(DX2045&lt;&gt;"",1,0)+IF(DY2045&lt;&gt;"",1,0)+IF(DZ2045&lt;&gt;"",1,0)+IF(EB2045&lt;&gt;"",1,0)+IF(EC2045&lt;&gt;"",1,0)+IF(ED2045&lt;&gt;"",1,0)+IF(EG2045&lt;&gt;"",1,0)+IF(EH2045&lt;&gt;"",1,0)</f>
        <v/>
      </c>
      <c r="AZ2045">
        <f>IF(EH2045&lt;&gt;"",1,0)</f>
        <v/>
      </c>
      <c r="BB2045" t="inlineStr">
        <is>
          <t>WARREN-WARD 4</t>
        </is>
      </c>
      <c r="BL2045" t="inlineStr">
        <is>
          <t>X</t>
        </is>
      </c>
      <c r="CA2045" t="inlineStr">
        <is>
          <t>X</t>
        </is>
      </c>
      <c r="CK2045" t="inlineStr">
        <is>
          <t>X</t>
        </is>
      </c>
      <c r="CP2045" t="inlineStr">
        <is>
          <t>X</t>
        </is>
      </c>
      <c r="DC2045" t="inlineStr">
        <is>
          <t>X</t>
        </is>
      </c>
      <c r="DI2045" t="inlineStr">
        <is>
          <t>X</t>
        </is>
      </c>
      <c r="DL2045" t="inlineStr">
        <is>
          <t>X</t>
        </is>
      </c>
      <c r="DN2045" t="inlineStr">
        <is>
          <t>X</t>
        </is>
      </c>
      <c r="DU2045" t="inlineStr">
        <is>
          <t>X</t>
        </is>
      </c>
      <c r="DX2045" t="inlineStr">
        <is>
          <t>X</t>
        </is>
      </c>
      <c r="EA2045" t="inlineStr">
        <is>
          <t>X</t>
        </is>
      </c>
      <c r="EF2045" t="inlineStr">
        <is>
          <t>X</t>
        </is>
      </c>
    </row>
    <row r="2046">
      <c r="A2046" t="inlineStr">
        <is>
          <t>OH0018589407</t>
        </is>
      </c>
      <c r="B2046" t="n">
        <v>78</v>
      </c>
      <c r="C2046" t="n">
        <v>337239</v>
      </c>
      <c r="D2046" t="inlineStr">
        <is>
          <t>STEWART</t>
        </is>
      </c>
      <c r="E2046" t="inlineStr">
        <is>
          <t>SOPHIA</t>
        </is>
      </c>
      <c r="F2046">
        <f>CONCATENATE(D2046," ",LEFT(H2046,4),"T=",AU2046,"D=",AV2046,"R=",AW2046,"M=",AX2046,"L=",AY2046,"B=",AZ2046)</f>
        <v/>
      </c>
      <c r="I2046" t="inlineStr">
        <is>
          <t>1941-01-24</t>
        </is>
      </c>
      <c r="J2046" t="inlineStr">
        <is>
          <t>2016-12-08</t>
        </is>
      </c>
      <c r="K2046" t="inlineStr">
        <is>
          <t>ACTIVE</t>
        </is>
      </c>
      <c r="M2046" t="inlineStr">
        <is>
          <t>189 LOGAN AVE NE</t>
        </is>
      </c>
      <c r="N2046">
        <f>RIGHT(M2046,LEN(M2046)-FIND(" ",M2046))</f>
        <v/>
      </c>
      <c r="P2046" t="inlineStr">
        <is>
          <t>WARREN</t>
        </is>
      </c>
      <c r="Q2046" t="inlineStr">
        <is>
          <t>OH</t>
        </is>
      </c>
      <c r="R2046" t="n">
        <v>44483</v>
      </c>
      <c r="AD2046" t="inlineStr">
        <is>
          <t>TRUMBULL CAREER &amp; TECH CENTER</t>
        </is>
      </c>
      <c r="AE2046" t="inlineStr">
        <is>
          <t>WARREN CITY</t>
        </is>
      </c>
      <c r="AF2046" t="inlineStr">
        <is>
          <t>WARREN CITY SD</t>
        </is>
      </c>
      <c r="AH2046" t="n">
        <v>14</v>
      </c>
      <c r="AI2046" t="n">
        <v>11</v>
      </c>
      <c r="AN2046" t="inlineStr">
        <is>
          <t>WARREN</t>
        </is>
      </c>
      <c r="AO2046" t="inlineStr">
        <is>
          <t>WARREN CITY 4D</t>
        </is>
      </c>
      <c r="AP2046" t="inlineStr">
        <is>
          <t>78-P-ADL</t>
        </is>
      </c>
      <c r="AQ2046" t="n">
        <v>9</v>
      </c>
      <c r="AR2046" t="n">
        <v>64</v>
      </c>
      <c r="AS2046" t="n">
        <v>32</v>
      </c>
      <c r="AU2046">
        <f>COUNTA($BA$2046:$EH$2046)</f>
        <v/>
      </c>
      <c r="AV2046">
        <f>COUNTIF($BA$2046:$EH$2046,"D")</f>
        <v/>
      </c>
      <c r="AW2046">
        <f>COUNTIF($BA$2046:$EH$2046,"R")</f>
        <v/>
      </c>
      <c r="AX2046">
        <f>IF(BN2046="D",1,0)+IF(BO2046="D",1,0)+IF(BT2046="D",1,0)+IF(BU2046="D",1,0)+IF(BW2046="D",1,0)+IF(CC2046="D",1,0)+IF(CD2046="D",1,0)+IF(CE2046="D",1,0)+IF(CF2046="D",1,0)+IF(CL2046="D",1,0)+IF(CM2046="D",1,0)+IF(CQ2046="D",1,0)+IF(CR2046="D",1,0)+IF(CS2046="D",1,0)+IF(CW2046="D",1,0)+IF(CX2046="D",1,0)+IF(DD2046="D",1,0)+IF(DE2046="D",1,0)+IF(DJ2046="D",1,0)+IF(DK2046="D",1,0)+IF(DO2046="D",1,0)+IF(DP2046="D",1,0)+IF(DQ2046="D",1,0)+IF(DW2046="D",1,0)+IF(DZ2046="D",1,0)+IF(EH2046="D",1,0)</f>
        <v/>
      </c>
      <c r="AY2046">
        <f>IF(DJ2046&lt;&gt;"",1,0)+IF(DK2046&lt;&gt;"",1,0)+IF(DM2046&lt;&gt;"",1,0)+IF(DO2046&lt;&gt;"",1,0)+IF(DP2046&lt;&gt;"",1,0)+IF(DQ2046&lt;&gt;"",1,0)+IF(DS2046&lt;&gt;"",1,0)+IF(DT2046&lt;&gt;"",1,0)+IF(DV2046&lt;&gt;"",1,0)+IF(DW2046&lt;&gt;"",1,0)+IF(DX2046&lt;&gt;"",1,0)+IF(DY2046&lt;&gt;"",1,0)+IF(DZ2046&lt;&gt;"",1,0)+IF(EB2046&lt;&gt;"",1,0)+IF(EC2046&lt;&gt;"",1,0)+IF(ED2046&lt;&gt;"",1,0)+IF(EG2046&lt;&gt;"",1,0)+IF(EH2046&lt;&gt;"",1,0)</f>
        <v/>
      </c>
      <c r="AZ2046">
        <f>IF(EH2046&lt;&gt;"",1,0)</f>
        <v/>
      </c>
      <c r="BB2046" t="inlineStr">
        <is>
          <t>WARREN-WARD 4</t>
        </is>
      </c>
      <c r="BS2046" t="inlineStr">
        <is>
          <t>X</t>
        </is>
      </c>
      <c r="CA2046" t="inlineStr">
        <is>
          <t>X</t>
        </is>
      </c>
      <c r="CP2046" t="inlineStr">
        <is>
          <t>X</t>
        </is>
      </c>
      <c r="CV2046" t="inlineStr">
        <is>
          <t>X</t>
        </is>
      </c>
      <c r="DC2046" t="inlineStr">
        <is>
          <t>X</t>
        </is>
      </c>
      <c r="DN2046" t="inlineStr">
        <is>
          <t>X</t>
        </is>
      </c>
    </row>
    <row r="2047">
      <c r="A2047" t="inlineStr">
        <is>
          <t>OH0021884659</t>
        </is>
      </c>
      <c r="B2047" t="n">
        <v>78</v>
      </c>
      <c r="C2047" t="n">
        <v>388800</v>
      </c>
      <c r="D2047" t="inlineStr">
        <is>
          <t>MCKINNEY</t>
        </is>
      </c>
      <c r="E2047" t="inlineStr">
        <is>
          <t>KEVIN</t>
        </is>
      </c>
      <c r="F2047">
        <f>CONCATENATE(D2047," ",LEFT(H2047,4),"T=",AU2047,"D=",AV2047,"R=",AW2047,"M=",AX2047,"L=",AY2047,"B=",AZ2047)</f>
        <v/>
      </c>
      <c r="G2047" t="inlineStr">
        <is>
          <t>D</t>
        </is>
      </c>
      <c r="I2047" t="inlineStr">
        <is>
          <t>1978-05-08</t>
        </is>
      </c>
      <c r="J2047" t="inlineStr">
        <is>
          <t>2023-07-22</t>
        </is>
      </c>
      <c r="K2047" t="inlineStr">
        <is>
          <t>ACTIVE</t>
        </is>
      </c>
      <c r="M2047" t="inlineStr">
        <is>
          <t>243 LOWELL AVE NE</t>
        </is>
      </c>
      <c r="N2047">
        <f>RIGHT(M2047,LEN(M2047)-FIND(" ",M2047))</f>
        <v/>
      </c>
      <c r="P2047" t="inlineStr">
        <is>
          <t>WARREN</t>
        </is>
      </c>
      <c r="Q2047" t="inlineStr">
        <is>
          <t>OH</t>
        </is>
      </c>
      <c r="R2047" t="n">
        <v>44483</v>
      </c>
      <c r="AD2047" t="inlineStr">
        <is>
          <t>TRUMBULL CAREER &amp; TECH CENTER</t>
        </is>
      </c>
      <c r="AE2047" t="inlineStr">
        <is>
          <t>WARREN CITY</t>
        </is>
      </c>
      <c r="AF2047" t="inlineStr">
        <is>
          <t>WARREN CITY SD</t>
        </is>
      </c>
      <c r="AH2047" t="n">
        <v>14</v>
      </c>
      <c r="AI2047" t="n">
        <v>11</v>
      </c>
      <c r="AN2047" t="inlineStr">
        <is>
          <t>WARREN</t>
        </is>
      </c>
      <c r="AO2047" t="inlineStr">
        <is>
          <t>WARREN CITY 4D</t>
        </is>
      </c>
      <c r="AP2047" t="inlineStr">
        <is>
          <t>78-P-ADL</t>
        </is>
      </c>
      <c r="AQ2047" t="n">
        <v>9</v>
      </c>
      <c r="AR2047" t="n">
        <v>64</v>
      </c>
      <c r="AS2047" t="n">
        <v>32</v>
      </c>
      <c r="AU2047">
        <f>COUNTA($BA$2047:$EH$2047)</f>
        <v/>
      </c>
      <c r="AV2047">
        <f>COUNTIF($BA$2047:$EH$2047,"D")</f>
        <v/>
      </c>
      <c r="AW2047">
        <f>COUNTIF($BA$2047:$EH$2047,"R")</f>
        <v/>
      </c>
      <c r="AX2047">
        <f>IF(BN2047="D",1,0)+IF(BO2047="D",1,0)+IF(BT2047="D",1,0)+IF(BU2047="D",1,0)+IF(BW2047="D",1,0)+IF(CC2047="D",1,0)+IF(CD2047="D",1,0)+IF(CE2047="D",1,0)+IF(CF2047="D",1,0)+IF(CL2047="D",1,0)+IF(CM2047="D",1,0)+IF(CQ2047="D",1,0)+IF(CR2047="D",1,0)+IF(CS2047="D",1,0)+IF(CW2047="D",1,0)+IF(CX2047="D",1,0)+IF(DD2047="D",1,0)+IF(DE2047="D",1,0)+IF(DJ2047="D",1,0)+IF(DK2047="D",1,0)+IF(DO2047="D",1,0)+IF(DP2047="D",1,0)+IF(DQ2047="D",1,0)+IF(DW2047="D",1,0)+IF(DZ2047="D",1,0)+IF(EH2047="D",1,0)</f>
        <v/>
      </c>
      <c r="AY2047">
        <f>IF(DJ2047&lt;&gt;"",1,0)+IF(DK2047&lt;&gt;"",1,0)+IF(DM2047&lt;&gt;"",1,0)+IF(DO2047&lt;&gt;"",1,0)+IF(DP2047&lt;&gt;"",1,0)+IF(DQ2047&lt;&gt;"",1,0)+IF(DS2047&lt;&gt;"",1,0)+IF(DT2047&lt;&gt;"",1,0)+IF(DV2047&lt;&gt;"",1,0)+IF(DW2047&lt;&gt;"",1,0)+IF(DX2047&lt;&gt;"",1,0)+IF(DY2047&lt;&gt;"",1,0)+IF(DZ2047&lt;&gt;"",1,0)+IF(EB2047&lt;&gt;"",1,0)+IF(EC2047&lt;&gt;"",1,0)+IF(ED2047&lt;&gt;"",1,0)+IF(EG2047&lt;&gt;"",1,0)+IF(EH2047&lt;&gt;"",1,0)</f>
        <v/>
      </c>
      <c r="AZ2047">
        <f>IF(EH2047&lt;&gt;"",1,0)</f>
        <v/>
      </c>
      <c r="BB2047" t="inlineStr">
        <is>
          <t>WARREN-WARD 4</t>
        </is>
      </c>
      <c r="BH2047" t="inlineStr">
        <is>
          <t>X</t>
        </is>
      </c>
      <c r="CA2047" t="inlineStr">
        <is>
          <t>X</t>
        </is>
      </c>
      <c r="CP2047" t="inlineStr">
        <is>
          <t>X</t>
        </is>
      </c>
      <c r="DC2047" t="inlineStr">
        <is>
          <t>X</t>
        </is>
      </c>
      <c r="DN2047" t="inlineStr">
        <is>
          <t>X</t>
        </is>
      </c>
      <c r="EF2047" t="inlineStr">
        <is>
          <t>X</t>
        </is>
      </c>
    </row>
    <row r="2048">
      <c r="A2048" t="inlineStr">
        <is>
          <t>OH0022239724</t>
        </is>
      </c>
      <c r="B2048" t="n">
        <v>78</v>
      </c>
      <c r="C2048" t="n">
        <v>393374</v>
      </c>
      <c r="D2048" t="inlineStr">
        <is>
          <t>MACH</t>
        </is>
      </c>
      <c r="E2048" t="inlineStr">
        <is>
          <t>EUGENE</t>
        </is>
      </c>
      <c r="F2048">
        <f>CONCATENATE(D2048," ",LEFT(H2048,4),"T=",AU2048,"D=",AV2048,"R=",AW2048,"M=",AX2048,"L=",AY2048,"B=",AZ2048)</f>
        <v/>
      </c>
      <c r="G2048" t="inlineStr">
        <is>
          <t>T</t>
        </is>
      </c>
      <c r="I2048" t="inlineStr">
        <is>
          <t>1969-06-03</t>
        </is>
      </c>
      <c r="J2048" t="inlineStr">
        <is>
          <t>2020-11-23</t>
        </is>
      </c>
      <c r="K2048" t="inlineStr">
        <is>
          <t>ACTIVE</t>
        </is>
      </c>
      <c r="M2048" t="inlineStr">
        <is>
          <t>830 ATLANTIC ST NE</t>
        </is>
      </c>
      <c r="N2048">
        <f>RIGHT(M2048,LEN(M2048)-FIND(" ",M2048))</f>
        <v/>
      </c>
      <c r="P2048" t="inlineStr">
        <is>
          <t>WARREN</t>
        </is>
      </c>
      <c r="Q2048" t="inlineStr">
        <is>
          <t>OH</t>
        </is>
      </c>
      <c r="R2048" t="n">
        <v>44483</v>
      </c>
      <c r="AD2048" t="inlineStr">
        <is>
          <t>TRUMBULL CAREER &amp; TECH CENTER</t>
        </is>
      </c>
      <c r="AE2048" t="inlineStr">
        <is>
          <t>WARREN CITY</t>
        </is>
      </c>
      <c r="AF2048" t="inlineStr">
        <is>
          <t>WARREN CITY SD</t>
        </is>
      </c>
      <c r="AH2048" t="n">
        <v>14</v>
      </c>
      <c r="AI2048" t="n">
        <v>11</v>
      </c>
      <c r="AN2048" t="inlineStr">
        <is>
          <t>WARREN</t>
        </is>
      </c>
      <c r="AO2048" t="inlineStr">
        <is>
          <t>WARREN CITY 4D</t>
        </is>
      </c>
      <c r="AP2048" t="inlineStr">
        <is>
          <t>78-P-ADL</t>
        </is>
      </c>
      <c r="AQ2048" t="n">
        <v>9</v>
      </c>
      <c r="AR2048" t="n">
        <v>64</v>
      </c>
      <c r="AS2048" t="n">
        <v>32</v>
      </c>
      <c r="AU2048">
        <f>COUNTA($BA$2048:$EH$2048)</f>
        <v/>
      </c>
      <c r="AV2048">
        <f>COUNTIF($BA$2048:$EH$2048,"D")</f>
        <v/>
      </c>
      <c r="AW2048">
        <f>COUNTIF($BA$2048:$EH$2048,"R")</f>
        <v/>
      </c>
      <c r="AX2048">
        <f>IF(BN2048="D",1,0)+IF(BO2048="D",1,0)+IF(BT2048="D",1,0)+IF(BU2048="D",1,0)+IF(BW2048="D",1,0)+IF(CC2048="D",1,0)+IF(CD2048="D",1,0)+IF(CE2048="D",1,0)+IF(CF2048="D",1,0)+IF(CL2048="D",1,0)+IF(CM2048="D",1,0)+IF(CQ2048="D",1,0)+IF(CR2048="D",1,0)+IF(CS2048="D",1,0)+IF(CW2048="D",1,0)+IF(CX2048="D",1,0)+IF(DD2048="D",1,0)+IF(DE2048="D",1,0)+IF(DJ2048="D",1,0)+IF(DK2048="D",1,0)+IF(DO2048="D",1,0)+IF(DP2048="D",1,0)+IF(DQ2048="D",1,0)+IF(DW2048="D",1,0)+IF(DZ2048="D",1,0)+IF(EH2048="D",1,0)</f>
        <v/>
      </c>
      <c r="AY2048">
        <f>IF(DJ2048&lt;&gt;"",1,0)+IF(DK2048&lt;&gt;"",1,0)+IF(DM2048&lt;&gt;"",1,0)+IF(DO2048&lt;&gt;"",1,0)+IF(DP2048&lt;&gt;"",1,0)+IF(DQ2048&lt;&gt;"",1,0)+IF(DS2048&lt;&gt;"",1,0)+IF(DT2048&lt;&gt;"",1,0)+IF(DV2048&lt;&gt;"",1,0)+IF(DW2048&lt;&gt;"",1,0)+IF(DX2048&lt;&gt;"",1,0)+IF(DY2048&lt;&gt;"",1,0)+IF(DZ2048&lt;&gt;"",1,0)+IF(EB2048&lt;&gt;"",1,0)+IF(EC2048&lt;&gt;"",1,0)+IF(ED2048&lt;&gt;"",1,0)+IF(EG2048&lt;&gt;"",1,0)+IF(EH2048&lt;&gt;"",1,0)</f>
        <v/>
      </c>
      <c r="AZ2048">
        <f>IF(EH2048&lt;&gt;"",1,0)</f>
        <v/>
      </c>
      <c r="BB2048" t="inlineStr">
        <is>
          <t>WARREN-WARD 4</t>
        </is>
      </c>
      <c r="CN2048" t="inlineStr">
        <is>
          <t>X</t>
        </is>
      </c>
      <c r="CU2048" t="inlineStr">
        <is>
          <t>D</t>
        </is>
      </c>
      <c r="CV2048" t="inlineStr">
        <is>
          <t>X</t>
        </is>
      </c>
      <c r="CW2048" t="inlineStr">
        <is>
          <t>D</t>
        </is>
      </c>
      <c r="CZ2048" t="inlineStr">
        <is>
          <t>D</t>
        </is>
      </c>
      <c r="DC2048" t="inlineStr">
        <is>
          <t>X</t>
        </is>
      </c>
      <c r="DN2048" t="inlineStr">
        <is>
          <t>X</t>
        </is>
      </c>
      <c r="EF2048" t="inlineStr">
        <is>
          <t>X</t>
        </is>
      </c>
    </row>
    <row r="2049">
      <c r="A2049" t="inlineStr">
        <is>
          <t>OH0024705116</t>
        </is>
      </c>
      <c r="B2049" t="n">
        <v>78</v>
      </c>
      <c r="C2049" t="n">
        <v>434009</v>
      </c>
      <c r="D2049" t="inlineStr">
        <is>
          <t>BOBBITT</t>
        </is>
      </c>
      <c r="E2049" t="inlineStr">
        <is>
          <t>JAMES</t>
        </is>
      </c>
      <c r="F2049">
        <f>CONCATENATE(D2049," ",LEFT(H2049,4),"T=",AU2049,"D=",AV2049,"R=",AW2049,"M=",AX2049,"L=",AY2049,"B=",AZ2049)</f>
        <v/>
      </c>
      <c r="G2049" t="inlineStr">
        <is>
          <t>WILLIAM</t>
        </is>
      </c>
      <c r="H2049" t="inlineStr">
        <is>
          <t>JR</t>
        </is>
      </c>
      <c r="I2049" t="inlineStr">
        <is>
          <t>1979-09-16</t>
        </is>
      </c>
      <c r="J2049" t="inlineStr">
        <is>
          <t>2018-07-23</t>
        </is>
      </c>
      <c r="K2049" t="inlineStr">
        <is>
          <t>CONFIRMATION</t>
        </is>
      </c>
      <c r="M2049" t="inlineStr">
        <is>
          <t>280 N PARK AVE</t>
        </is>
      </c>
      <c r="N2049">
        <f>RIGHT(M2049,LEN(M2049)-FIND(" ",M2049))</f>
        <v/>
      </c>
      <c r="P2049" t="inlineStr">
        <is>
          <t>WARREN</t>
        </is>
      </c>
      <c r="Q2049" t="inlineStr">
        <is>
          <t>OH</t>
        </is>
      </c>
      <c r="R2049" t="n">
        <v>44481</v>
      </c>
      <c r="AD2049" t="inlineStr">
        <is>
          <t>TRUMBULL CAREER &amp; TECH CENTER</t>
        </is>
      </c>
      <c r="AE2049" t="inlineStr">
        <is>
          <t>WARREN CITY</t>
        </is>
      </c>
      <c r="AF2049" t="inlineStr">
        <is>
          <t>WARREN CITY SD</t>
        </is>
      </c>
      <c r="AH2049" t="n">
        <v>14</v>
      </c>
      <c r="AI2049" t="n">
        <v>11</v>
      </c>
      <c r="AN2049" t="inlineStr">
        <is>
          <t>WARREN</t>
        </is>
      </c>
      <c r="AO2049" t="inlineStr">
        <is>
          <t>WARREN CITY 4D</t>
        </is>
      </c>
      <c r="AP2049" t="inlineStr">
        <is>
          <t>78-P-ADL</t>
        </is>
      </c>
      <c r="AQ2049" t="n">
        <v>9</v>
      </c>
      <c r="AR2049" t="n">
        <v>64</v>
      </c>
      <c r="AS2049" t="n">
        <v>32</v>
      </c>
      <c r="AU2049">
        <f>COUNTA($BA$2049:$EH$2049)</f>
        <v/>
      </c>
      <c r="AV2049">
        <f>COUNTIF($BA$2049:$EH$2049,"D")</f>
        <v/>
      </c>
      <c r="AW2049">
        <f>COUNTIF($BA$2049:$EH$2049,"R")</f>
        <v/>
      </c>
      <c r="AX2049">
        <f>IF(BN2049="D",1,0)+IF(BO2049="D",1,0)+IF(BT2049="D",1,0)+IF(BU2049="D",1,0)+IF(BW2049="D",1,0)+IF(CC2049="D",1,0)+IF(CD2049="D",1,0)+IF(CE2049="D",1,0)+IF(CF2049="D",1,0)+IF(CL2049="D",1,0)+IF(CM2049="D",1,0)+IF(CQ2049="D",1,0)+IF(CR2049="D",1,0)+IF(CS2049="D",1,0)+IF(CW2049="D",1,0)+IF(CX2049="D",1,0)+IF(DD2049="D",1,0)+IF(DE2049="D",1,0)+IF(DJ2049="D",1,0)+IF(DK2049="D",1,0)+IF(DO2049="D",1,0)+IF(DP2049="D",1,0)+IF(DQ2049="D",1,0)+IF(DW2049="D",1,0)+IF(DZ2049="D",1,0)+IF(EH2049="D",1,0)</f>
        <v/>
      </c>
      <c r="AY2049">
        <f>IF(DJ2049&lt;&gt;"",1,0)+IF(DK2049&lt;&gt;"",1,0)+IF(DM2049&lt;&gt;"",1,0)+IF(DO2049&lt;&gt;"",1,0)+IF(DP2049&lt;&gt;"",1,0)+IF(DQ2049&lt;&gt;"",1,0)+IF(DS2049&lt;&gt;"",1,0)+IF(DT2049&lt;&gt;"",1,0)+IF(DV2049&lt;&gt;"",1,0)+IF(DW2049&lt;&gt;"",1,0)+IF(DX2049&lt;&gt;"",1,0)+IF(DY2049&lt;&gt;"",1,0)+IF(DZ2049&lt;&gt;"",1,0)+IF(EB2049&lt;&gt;"",1,0)+IF(EC2049&lt;&gt;"",1,0)+IF(ED2049&lt;&gt;"",1,0)+IF(EG2049&lt;&gt;"",1,0)+IF(EH2049&lt;&gt;"",1,0)</f>
        <v/>
      </c>
      <c r="AZ2049">
        <f>IF(EH2049&lt;&gt;"",1,0)</f>
        <v/>
      </c>
      <c r="BB2049" t="inlineStr">
        <is>
          <t>WARREN-WARD 4</t>
        </is>
      </c>
      <c r="BL2049" t="inlineStr">
        <is>
          <t>X</t>
        </is>
      </c>
      <c r="CP2049" t="inlineStr">
        <is>
          <t>X</t>
        </is>
      </c>
      <c r="CZ2049" t="inlineStr">
        <is>
          <t>R</t>
        </is>
      </c>
    </row>
    <row r="2050">
      <c r="A2050" t="inlineStr">
        <is>
          <t>OH0026503320</t>
        </is>
      </c>
      <c r="B2050" t="n">
        <v>78</v>
      </c>
      <c r="C2050" t="n">
        <v>463030</v>
      </c>
      <c r="D2050" t="inlineStr">
        <is>
          <t>FAY</t>
        </is>
      </c>
      <c r="E2050" t="inlineStr">
        <is>
          <t>MATTHEW</t>
        </is>
      </c>
      <c r="F2050">
        <f>CONCATENATE(D2050," ",LEFT(H2050,4),"T=",AU2050,"D=",AV2050,"R=",AW2050,"M=",AX2050,"L=",AY2050,"B=",AZ2050)</f>
        <v/>
      </c>
      <c r="G2050" t="inlineStr">
        <is>
          <t>PHILLIP</t>
        </is>
      </c>
      <c r="I2050" t="inlineStr">
        <is>
          <t>1999-11-12</t>
        </is>
      </c>
      <c r="J2050" t="inlineStr">
        <is>
          <t>2022-05-21</t>
        </is>
      </c>
      <c r="K2050" t="inlineStr">
        <is>
          <t>ACTIVE</t>
        </is>
      </c>
      <c r="M2050" t="inlineStr">
        <is>
          <t>296 MONROE ST NW</t>
        </is>
      </c>
      <c r="N2050">
        <f>RIGHT(M2050,LEN(M2050)-FIND(" ",M2050))</f>
        <v/>
      </c>
      <c r="P2050" t="inlineStr">
        <is>
          <t>WARREN</t>
        </is>
      </c>
      <c r="Q2050" t="inlineStr">
        <is>
          <t>OH</t>
        </is>
      </c>
      <c r="R2050" t="n">
        <v>44483</v>
      </c>
      <c r="AD2050" t="inlineStr">
        <is>
          <t>TRUMBULL CAREER &amp; TECH CENTER</t>
        </is>
      </c>
      <c r="AE2050" t="inlineStr">
        <is>
          <t>WARREN CITY</t>
        </is>
      </c>
      <c r="AF2050" t="inlineStr">
        <is>
          <t>WARREN CITY SD</t>
        </is>
      </c>
      <c r="AH2050" t="n">
        <v>14</v>
      </c>
      <c r="AI2050" t="n">
        <v>11</v>
      </c>
      <c r="AN2050" t="inlineStr">
        <is>
          <t>WARREN</t>
        </is>
      </c>
      <c r="AO2050" t="inlineStr">
        <is>
          <t>WARREN CITY 4D</t>
        </is>
      </c>
      <c r="AP2050" t="inlineStr">
        <is>
          <t>78-P-ADL</t>
        </is>
      </c>
      <c r="AQ2050" t="n">
        <v>9</v>
      </c>
      <c r="AR2050" t="n">
        <v>64</v>
      </c>
      <c r="AS2050" t="n">
        <v>32</v>
      </c>
      <c r="AU2050">
        <f>COUNTA($BA$2050:$EH$2050)</f>
        <v/>
      </c>
      <c r="AV2050">
        <f>COUNTIF($BA$2050:$EH$2050,"D")</f>
        <v/>
      </c>
      <c r="AW2050">
        <f>COUNTIF($BA$2050:$EH$2050,"R")</f>
        <v/>
      </c>
      <c r="AX2050">
        <f>IF(BN2050="D",1,0)+IF(BO2050="D",1,0)+IF(BT2050="D",1,0)+IF(BU2050="D",1,0)+IF(BW2050="D",1,0)+IF(CC2050="D",1,0)+IF(CD2050="D",1,0)+IF(CE2050="D",1,0)+IF(CF2050="D",1,0)+IF(CL2050="D",1,0)+IF(CM2050="D",1,0)+IF(CQ2050="D",1,0)+IF(CR2050="D",1,0)+IF(CS2050="D",1,0)+IF(CW2050="D",1,0)+IF(CX2050="D",1,0)+IF(DD2050="D",1,0)+IF(DE2050="D",1,0)+IF(DJ2050="D",1,0)+IF(DK2050="D",1,0)+IF(DO2050="D",1,0)+IF(DP2050="D",1,0)+IF(DQ2050="D",1,0)+IF(DW2050="D",1,0)+IF(DZ2050="D",1,0)+IF(EH2050="D",1,0)</f>
        <v/>
      </c>
      <c r="AY2050">
        <f>IF(DJ2050&lt;&gt;"",1,0)+IF(DK2050&lt;&gt;"",1,0)+IF(DM2050&lt;&gt;"",1,0)+IF(DO2050&lt;&gt;"",1,0)+IF(DP2050&lt;&gt;"",1,0)+IF(DQ2050&lt;&gt;"",1,0)+IF(DS2050&lt;&gt;"",1,0)+IF(DT2050&lt;&gt;"",1,0)+IF(DV2050&lt;&gt;"",1,0)+IF(DW2050&lt;&gt;"",1,0)+IF(DX2050&lt;&gt;"",1,0)+IF(DY2050&lt;&gt;"",1,0)+IF(DZ2050&lt;&gt;"",1,0)+IF(EB2050&lt;&gt;"",1,0)+IF(EC2050&lt;&gt;"",1,0)+IF(ED2050&lt;&gt;"",1,0)+IF(EG2050&lt;&gt;"",1,0)+IF(EH2050&lt;&gt;"",1,0)</f>
        <v/>
      </c>
      <c r="AZ2050">
        <f>IF(EH2050&lt;&gt;"",1,0)</f>
        <v/>
      </c>
      <c r="BB2050" t="inlineStr">
        <is>
          <t>WARREN-WARD 4</t>
        </is>
      </c>
      <c r="DU2050" t="inlineStr">
        <is>
          <t>X</t>
        </is>
      </c>
      <c r="EF2050" t="inlineStr">
        <is>
          <t>X</t>
        </is>
      </c>
    </row>
    <row r="2051">
      <c r="A2051" t="inlineStr">
        <is>
          <t>OH0025023596</t>
        </is>
      </c>
      <c r="B2051" t="n">
        <v>78</v>
      </c>
      <c r="C2051" t="n">
        <v>438023</v>
      </c>
      <c r="D2051" t="inlineStr">
        <is>
          <t>GOODMAN</t>
        </is>
      </c>
      <c r="E2051" t="inlineStr">
        <is>
          <t>SANDRA</t>
        </is>
      </c>
      <c r="F2051">
        <f>CONCATENATE(D2051," ",LEFT(H2051,4),"T=",AU2051,"D=",AV2051,"R=",AW2051,"M=",AX2051,"L=",AY2051,"B=",AZ2051)</f>
        <v/>
      </c>
      <c r="G2051" t="inlineStr">
        <is>
          <t>L</t>
        </is>
      </c>
      <c r="I2051" t="inlineStr">
        <is>
          <t>1941-02-26</t>
        </is>
      </c>
      <c r="J2051" t="inlineStr">
        <is>
          <t>2019-01-28</t>
        </is>
      </c>
      <c r="K2051" t="inlineStr">
        <is>
          <t>ACTIVE</t>
        </is>
      </c>
      <c r="L2051" t="inlineStr">
        <is>
          <t>D</t>
        </is>
      </c>
      <c r="M2051" t="inlineStr">
        <is>
          <t>197 W MARKET ST</t>
        </is>
      </c>
      <c r="N2051">
        <f>RIGHT(M2051,LEN(M2051)-FIND(" ",M2051))</f>
        <v/>
      </c>
      <c r="O2051" t="inlineStr">
        <is>
          <t>STE 601</t>
        </is>
      </c>
      <c r="P2051" t="inlineStr">
        <is>
          <t>WARREN</t>
        </is>
      </c>
      <c r="Q2051" t="inlineStr">
        <is>
          <t>OH</t>
        </is>
      </c>
      <c r="R2051" t="n">
        <v>44481</v>
      </c>
      <c r="AD2051" t="inlineStr">
        <is>
          <t>TRUMBULL CAREER &amp; TECH CENTER</t>
        </is>
      </c>
      <c r="AE2051" t="inlineStr">
        <is>
          <t>WARREN CITY</t>
        </is>
      </c>
      <c r="AF2051" t="inlineStr">
        <is>
          <t>WARREN CITY SD</t>
        </is>
      </c>
      <c r="AH2051" t="n">
        <v>14</v>
      </c>
      <c r="AI2051" t="n">
        <v>11</v>
      </c>
      <c r="AN2051" t="inlineStr">
        <is>
          <t>WARREN</t>
        </is>
      </c>
      <c r="AO2051" t="inlineStr">
        <is>
          <t>WARREN CITY 4D</t>
        </is>
      </c>
      <c r="AP2051" t="inlineStr">
        <is>
          <t>78-P-ADL</t>
        </is>
      </c>
      <c r="AQ2051" t="n">
        <v>9</v>
      </c>
      <c r="AR2051" t="n">
        <v>64</v>
      </c>
      <c r="AS2051" t="n">
        <v>32</v>
      </c>
      <c r="AU2051">
        <f>COUNTA($BA$2051:$EH$2051)</f>
        <v/>
      </c>
      <c r="AV2051">
        <f>COUNTIF($BA$2051:$EH$2051,"D")</f>
        <v/>
      </c>
      <c r="AW2051">
        <f>COUNTIF($BA$2051:$EH$2051,"R")</f>
        <v/>
      </c>
      <c r="AX2051">
        <f>IF(BN2051="D",1,0)+IF(BO2051="D",1,0)+IF(BT2051="D",1,0)+IF(BU2051="D",1,0)+IF(BW2051="D",1,0)+IF(CC2051="D",1,0)+IF(CD2051="D",1,0)+IF(CE2051="D",1,0)+IF(CF2051="D",1,0)+IF(CL2051="D",1,0)+IF(CM2051="D",1,0)+IF(CQ2051="D",1,0)+IF(CR2051="D",1,0)+IF(CS2051="D",1,0)+IF(CW2051="D",1,0)+IF(CX2051="D",1,0)+IF(DD2051="D",1,0)+IF(DE2051="D",1,0)+IF(DJ2051="D",1,0)+IF(DK2051="D",1,0)+IF(DO2051="D",1,0)+IF(DP2051="D",1,0)+IF(DQ2051="D",1,0)+IF(DW2051="D",1,0)+IF(DZ2051="D",1,0)+IF(EH2051="D",1,0)</f>
        <v/>
      </c>
      <c r="AY2051">
        <f>IF(DJ2051&lt;&gt;"",1,0)+IF(DK2051&lt;&gt;"",1,0)+IF(DM2051&lt;&gt;"",1,0)+IF(DO2051&lt;&gt;"",1,0)+IF(DP2051&lt;&gt;"",1,0)+IF(DQ2051&lt;&gt;"",1,0)+IF(DS2051&lt;&gt;"",1,0)+IF(DT2051&lt;&gt;"",1,0)+IF(DV2051&lt;&gt;"",1,0)+IF(DW2051&lt;&gt;"",1,0)+IF(DX2051&lt;&gt;"",1,0)+IF(DY2051&lt;&gt;"",1,0)+IF(DZ2051&lt;&gt;"",1,0)+IF(EB2051&lt;&gt;"",1,0)+IF(EC2051&lt;&gt;"",1,0)+IF(ED2051&lt;&gt;"",1,0)+IF(EG2051&lt;&gt;"",1,0)+IF(EH2051&lt;&gt;"",1,0)</f>
        <v/>
      </c>
      <c r="AZ2051">
        <f>IF(EH2051&lt;&gt;"",1,0)</f>
        <v/>
      </c>
      <c r="BB2051" t="inlineStr">
        <is>
          <t>WARREN-WARD 4</t>
        </is>
      </c>
      <c r="DL2051" t="inlineStr">
        <is>
          <t>X</t>
        </is>
      </c>
      <c r="DN2051" t="inlineStr">
        <is>
          <t>X</t>
        </is>
      </c>
      <c r="DS2051" t="inlineStr">
        <is>
          <t>D</t>
        </is>
      </c>
      <c r="DU2051" t="inlineStr">
        <is>
          <t>X</t>
        </is>
      </c>
      <c r="DW2051" t="inlineStr">
        <is>
          <t>D</t>
        </is>
      </c>
      <c r="DX2051" t="inlineStr">
        <is>
          <t>X</t>
        </is>
      </c>
      <c r="EA2051" t="inlineStr">
        <is>
          <t>X</t>
        </is>
      </c>
      <c r="ED2051" t="inlineStr">
        <is>
          <t>D</t>
        </is>
      </c>
      <c r="EF2051" t="inlineStr">
        <is>
          <t>X</t>
        </is>
      </c>
    </row>
    <row r="2052">
      <c r="A2052" t="inlineStr">
        <is>
          <t>OH0023228296</t>
        </is>
      </c>
      <c r="B2052" t="n">
        <v>78</v>
      </c>
      <c r="C2052" t="n">
        <v>408845</v>
      </c>
      <c r="D2052" t="inlineStr">
        <is>
          <t>JONES</t>
        </is>
      </c>
      <c r="E2052" t="inlineStr">
        <is>
          <t>JAKE</t>
        </is>
      </c>
      <c r="F2052">
        <f>CONCATENATE(D2052," ",LEFT(H2052,4),"T=",AU2052,"D=",AV2052,"R=",AW2052,"M=",AX2052,"L=",AY2052,"B=",AZ2052)</f>
        <v/>
      </c>
      <c r="G2052" t="inlineStr">
        <is>
          <t>EDWARD</t>
        </is>
      </c>
      <c r="I2052" t="inlineStr">
        <is>
          <t>1991-03-28</t>
        </is>
      </c>
      <c r="J2052" t="inlineStr">
        <is>
          <t>2019-06-15</t>
        </is>
      </c>
      <c r="K2052" t="inlineStr">
        <is>
          <t>CONFIRMATION</t>
        </is>
      </c>
      <c r="M2052" t="inlineStr">
        <is>
          <t>200 WASHINGTON ST NE</t>
        </is>
      </c>
      <c r="N2052">
        <f>RIGHT(M2052,LEN(M2052)-FIND(" ",M2052))</f>
        <v/>
      </c>
      <c r="O2052" t="inlineStr">
        <is>
          <t>APT 21</t>
        </is>
      </c>
      <c r="P2052" t="inlineStr">
        <is>
          <t>WARREN</t>
        </is>
      </c>
      <c r="Q2052" t="inlineStr">
        <is>
          <t>OH</t>
        </is>
      </c>
      <c r="R2052" t="n">
        <v>44483</v>
      </c>
      <c r="AD2052" t="inlineStr">
        <is>
          <t>TRUMBULL CAREER &amp; TECH CENTER</t>
        </is>
      </c>
      <c r="AE2052" t="inlineStr">
        <is>
          <t>WARREN CITY</t>
        </is>
      </c>
      <c r="AF2052" t="inlineStr">
        <is>
          <t>WARREN CITY SD</t>
        </is>
      </c>
      <c r="AH2052" t="n">
        <v>14</v>
      </c>
      <c r="AI2052" t="n">
        <v>11</v>
      </c>
      <c r="AN2052" t="inlineStr">
        <is>
          <t>WARREN</t>
        </is>
      </c>
      <c r="AO2052" t="inlineStr">
        <is>
          <t>WARREN CITY 4D</t>
        </is>
      </c>
      <c r="AP2052" t="inlineStr">
        <is>
          <t>78-P-ADL</t>
        </is>
      </c>
      <c r="AQ2052" t="n">
        <v>9</v>
      </c>
      <c r="AR2052" t="n">
        <v>64</v>
      </c>
      <c r="AS2052" t="n">
        <v>32</v>
      </c>
      <c r="AU2052">
        <f>COUNTA($BA$2052:$EH$2052)</f>
        <v/>
      </c>
      <c r="AV2052">
        <f>COUNTIF($BA$2052:$EH$2052,"D")</f>
        <v/>
      </c>
      <c r="AW2052">
        <f>COUNTIF($BA$2052:$EH$2052,"R")</f>
        <v/>
      </c>
      <c r="AX2052">
        <f>IF(BN2052="D",1,0)+IF(BO2052="D",1,0)+IF(BT2052="D",1,0)+IF(BU2052="D",1,0)+IF(BW2052="D",1,0)+IF(CC2052="D",1,0)+IF(CD2052="D",1,0)+IF(CE2052="D",1,0)+IF(CF2052="D",1,0)+IF(CL2052="D",1,0)+IF(CM2052="D",1,0)+IF(CQ2052="D",1,0)+IF(CR2052="D",1,0)+IF(CS2052="D",1,0)+IF(CW2052="D",1,0)+IF(CX2052="D",1,0)+IF(DD2052="D",1,0)+IF(DE2052="D",1,0)+IF(DJ2052="D",1,0)+IF(DK2052="D",1,0)+IF(DO2052="D",1,0)+IF(DP2052="D",1,0)+IF(DQ2052="D",1,0)+IF(DW2052="D",1,0)+IF(DZ2052="D",1,0)+IF(EH2052="D",1,0)</f>
        <v/>
      </c>
      <c r="AY2052">
        <f>IF(DJ2052&lt;&gt;"",1,0)+IF(DK2052&lt;&gt;"",1,0)+IF(DM2052&lt;&gt;"",1,0)+IF(DO2052&lt;&gt;"",1,0)+IF(DP2052&lt;&gt;"",1,0)+IF(DQ2052&lt;&gt;"",1,0)+IF(DS2052&lt;&gt;"",1,0)+IF(DT2052&lt;&gt;"",1,0)+IF(DV2052&lt;&gt;"",1,0)+IF(DW2052&lt;&gt;"",1,0)+IF(DX2052&lt;&gt;"",1,0)+IF(DY2052&lt;&gt;"",1,0)+IF(DZ2052&lt;&gt;"",1,0)+IF(EB2052&lt;&gt;"",1,0)+IF(EC2052&lt;&gt;"",1,0)+IF(ED2052&lt;&gt;"",1,0)+IF(EG2052&lt;&gt;"",1,0)+IF(EH2052&lt;&gt;"",1,0)</f>
        <v/>
      </c>
      <c r="AZ2052">
        <f>IF(EH2052&lt;&gt;"",1,0)</f>
        <v/>
      </c>
      <c r="BB2052" t="inlineStr">
        <is>
          <t>WARREN-WARD 4</t>
        </is>
      </c>
      <c r="DC2052" t="inlineStr">
        <is>
          <t>X</t>
        </is>
      </c>
    </row>
    <row r="2053">
      <c r="A2053" t="inlineStr">
        <is>
          <t>OH0026944731</t>
        </is>
      </c>
      <c r="B2053" t="n">
        <v>78</v>
      </c>
      <c r="C2053" t="n">
        <v>474802</v>
      </c>
      <c r="D2053" t="inlineStr">
        <is>
          <t>EAKER</t>
        </is>
      </c>
      <c r="E2053" t="inlineStr">
        <is>
          <t>GWEN</t>
        </is>
      </c>
      <c r="F2053">
        <f>CONCATENATE(D2053," ",LEFT(H2053,4),"T=",AU2053,"D=",AV2053,"R=",AW2053,"M=",AX2053,"L=",AY2053,"B=",AZ2053)</f>
        <v/>
      </c>
      <c r="G2053" t="inlineStr">
        <is>
          <t>COLLEEN</t>
        </is>
      </c>
      <c r="I2053" t="inlineStr">
        <is>
          <t>1960-12-02</t>
        </is>
      </c>
      <c r="J2053" t="inlineStr">
        <is>
          <t>2023-07-25</t>
        </is>
      </c>
      <c r="K2053" t="inlineStr">
        <is>
          <t>ACTIVE</t>
        </is>
      </c>
      <c r="M2053" t="inlineStr">
        <is>
          <t>124 N PARK AVE</t>
        </is>
      </c>
      <c r="N2053">
        <f>RIGHT(M2053,LEN(M2053)-FIND(" ",M2053))</f>
        <v/>
      </c>
      <c r="O2053" t="inlineStr">
        <is>
          <t>APT 201</t>
        </is>
      </c>
      <c r="P2053" t="inlineStr">
        <is>
          <t>WARREN</t>
        </is>
      </c>
      <c r="Q2053" t="inlineStr">
        <is>
          <t>OH</t>
        </is>
      </c>
      <c r="R2053" t="n">
        <v>44481</v>
      </c>
      <c r="AD2053" t="inlineStr">
        <is>
          <t>TRUMBULL CAREER &amp; TECH CENTER</t>
        </is>
      </c>
      <c r="AE2053" t="inlineStr">
        <is>
          <t>WARREN CITY</t>
        </is>
      </c>
      <c r="AF2053" t="inlineStr">
        <is>
          <t>WARREN CITY SD</t>
        </is>
      </c>
      <c r="AH2053" t="n">
        <v>14</v>
      </c>
      <c r="AI2053" t="n">
        <v>11</v>
      </c>
      <c r="AN2053" t="inlineStr">
        <is>
          <t>WARREN</t>
        </is>
      </c>
      <c r="AO2053" t="inlineStr">
        <is>
          <t>WARREN CITY 4D</t>
        </is>
      </c>
      <c r="AP2053" t="inlineStr">
        <is>
          <t>78-P-ADL</t>
        </is>
      </c>
      <c r="AQ2053" t="n">
        <v>9</v>
      </c>
      <c r="AR2053" t="n">
        <v>64</v>
      </c>
      <c r="AS2053" t="n">
        <v>32</v>
      </c>
      <c r="AU2053">
        <f>COUNTA($BA$2053:$EH$2053)</f>
        <v/>
      </c>
      <c r="AV2053">
        <f>COUNTIF($BA$2053:$EH$2053,"D")</f>
        <v/>
      </c>
      <c r="AW2053">
        <f>COUNTIF($BA$2053:$EH$2053,"R")</f>
        <v/>
      </c>
      <c r="AX2053">
        <f>IF(BN2053="D",1,0)+IF(BO2053="D",1,0)+IF(BT2053="D",1,0)+IF(BU2053="D",1,0)+IF(BW2053="D",1,0)+IF(CC2053="D",1,0)+IF(CD2053="D",1,0)+IF(CE2053="D",1,0)+IF(CF2053="D",1,0)+IF(CL2053="D",1,0)+IF(CM2053="D",1,0)+IF(CQ2053="D",1,0)+IF(CR2053="D",1,0)+IF(CS2053="D",1,0)+IF(CW2053="D",1,0)+IF(CX2053="D",1,0)+IF(DD2053="D",1,0)+IF(DE2053="D",1,0)+IF(DJ2053="D",1,0)+IF(DK2053="D",1,0)+IF(DO2053="D",1,0)+IF(DP2053="D",1,0)+IF(DQ2053="D",1,0)+IF(DW2053="D",1,0)+IF(DZ2053="D",1,0)+IF(EH2053="D",1,0)</f>
        <v/>
      </c>
      <c r="AY2053">
        <f>IF(DJ2053&lt;&gt;"",1,0)+IF(DK2053&lt;&gt;"",1,0)+IF(DM2053&lt;&gt;"",1,0)+IF(DO2053&lt;&gt;"",1,0)+IF(DP2053&lt;&gt;"",1,0)+IF(DQ2053&lt;&gt;"",1,0)+IF(DS2053&lt;&gt;"",1,0)+IF(DT2053&lt;&gt;"",1,0)+IF(DV2053&lt;&gt;"",1,0)+IF(DW2053&lt;&gt;"",1,0)+IF(DX2053&lt;&gt;"",1,0)+IF(DY2053&lt;&gt;"",1,0)+IF(DZ2053&lt;&gt;"",1,0)+IF(EB2053&lt;&gt;"",1,0)+IF(EC2053&lt;&gt;"",1,0)+IF(ED2053&lt;&gt;"",1,0)+IF(EG2053&lt;&gt;"",1,0)+IF(EH2053&lt;&gt;"",1,0)</f>
        <v/>
      </c>
      <c r="AZ2053">
        <f>IF(EH2053&lt;&gt;"",1,0)</f>
        <v/>
      </c>
      <c r="BB2053" t="inlineStr">
        <is>
          <t>WARREN-WARD 4</t>
        </is>
      </c>
      <c r="EA2053" t="inlineStr">
        <is>
          <t>X</t>
        </is>
      </c>
      <c r="EF2053" t="inlineStr">
        <is>
          <t>X</t>
        </is>
      </c>
    </row>
    <row r="2054">
      <c r="A2054" t="inlineStr">
        <is>
          <t>OH0021700629</t>
        </is>
      </c>
      <c r="B2054" t="n">
        <v>78</v>
      </c>
      <c r="C2054" t="n">
        <v>385492</v>
      </c>
      <c r="D2054" t="inlineStr">
        <is>
          <t>CONLEY</t>
        </is>
      </c>
      <c r="E2054" t="inlineStr">
        <is>
          <t>VINCENT</t>
        </is>
      </c>
      <c r="F2054">
        <f>CONCATENATE(D2054," ",LEFT(H2054,4),"T=",AU2054,"D=",AV2054,"R=",AW2054,"M=",AX2054,"L=",AY2054,"B=",AZ2054)</f>
        <v/>
      </c>
      <c r="G2054" t="inlineStr">
        <is>
          <t>S</t>
        </is>
      </c>
      <c r="I2054" t="inlineStr">
        <is>
          <t>1994-08-23</t>
        </is>
      </c>
      <c r="J2054" t="inlineStr">
        <is>
          <t>2012-01-27</t>
        </is>
      </c>
      <c r="K2054" t="inlineStr">
        <is>
          <t>ACTIVE</t>
        </is>
      </c>
      <c r="M2054" t="inlineStr">
        <is>
          <t>432 LAMPHIER PL NE</t>
        </is>
      </c>
      <c r="N2054">
        <f>RIGHT(M2054,LEN(M2054)-FIND(" ",M2054))</f>
        <v/>
      </c>
      <c r="P2054" t="inlineStr">
        <is>
          <t>WARREN</t>
        </is>
      </c>
      <c r="Q2054" t="inlineStr">
        <is>
          <t>OH</t>
        </is>
      </c>
      <c r="R2054" t="n">
        <v>44483</v>
      </c>
      <c r="AD2054" t="inlineStr">
        <is>
          <t>TRUMBULL CAREER &amp; TECH CENTER</t>
        </is>
      </c>
      <c r="AE2054" t="inlineStr">
        <is>
          <t>WARREN CITY</t>
        </is>
      </c>
      <c r="AF2054" t="inlineStr">
        <is>
          <t>WARREN CITY SD</t>
        </is>
      </c>
      <c r="AH2054" t="n">
        <v>14</v>
      </c>
      <c r="AI2054" t="n">
        <v>11</v>
      </c>
      <c r="AN2054" t="inlineStr">
        <is>
          <t>WARREN</t>
        </is>
      </c>
      <c r="AO2054" t="inlineStr">
        <is>
          <t>WARREN CITY 4D</t>
        </is>
      </c>
      <c r="AP2054" t="inlineStr">
        <is>
          <t>78-P-ADL</t>
        </is>
      </c>
      <c r="AQ2054" t="n">
        <v>9</v>
      </c>
      <c r="AR2054" t="n">
        <v>64</v>
      </c>
      <c r="AS2054" t="n">
        <v>32</v>
      </c>
      <c r="AU2054">
        <f>COUNTA($BA$2054:$EH$2054)</f>
        <v/>
      </c>
      <c r="AV2054">
        <f>COUNTIF($BA$2054:$EH$2054,"D")</f>
        <v/>
      </c>
      <c r="AW2054">
        <f>COUNTIF($BA$2054:$EH$2054,"R")</f>
        <v/>
      </c>
      <c r="AX2054">
        <f>IF(BN2054="D",1,0)+IF(BO2054="D",1,0)+IF(BT2054="D",1,0)+IF(BU2054="D",1,0)+IF(BW2054="D",1,0)+IF(CC2054="D",1,0)+IF(CD2054="D",1,0)+IF(CE2054="D",1,0)+IF(CF2054="D",1,0)+IF(CL2054="D",1,0)+IF(CM2054="D",1,0)+IF(CQ2054="D",1,0)+IF(CR2054="D",1,0)+IF(CS2054="D",1,0)+IF(CW2054="D",1,0)+IF(CX2054="D",1,0)+IF(DD2054="D",1,0)+IF(DE2054="D",1,0)+IF(DJ2054="D",1,0)+IF(DK2054="D",1,0)+IF(DO2054="D",1,0)+IF(DP2054="D",1,0)+IF(DQ2054="D",1,0)+IF(DW2054="D",1,0)+IF(DZ2054="D",1,0)+IF(EH2054="D",1,0)</f>
        <v/>
      </c>
      <c r="AY2054">
        <f>IF(DJ2054&lt;&gt;"",1,0)+IF(DK2054&lt;&gt;"",1,0)+IF(DM2054&lt;&gt;"",1,0)+IF(DO2054&lt;&gt;"",1,0)+IF(DP2054&lt;&gt;"",1,0)+IF(DQ2054&lt;&gt;"",1,0)+IF(DS2054&lt;&gt;"",1,0)+IF(DT2054&lt;&gt;"",1,0)+IF(DV2054&lt;&gt;"",1,0)+IF(DW2054&lt;&gt;"",1,0)+IF(DX2054&lt;&gt;"",1,0)+IF(DY2054&lt;&gt;"",1,0)+IF(DZ2054&lt;&gt;"",1,0)+IF(EB2054&lt;&gt;"",1,0)+IF(EC2054&lt;&gt;"",1,0)+IF(ED2054&lt;&gt;"",1,0)+IF(EG2054&lt;&gt;"",1,0)+IF(EH2054&lt;&gt;"",1,0)</f>
        <v/>
      </c>
      <c r="AZ2054">
        <f>IF(EH2054&lt;&gt;"",1,0)</f>
        <v/>
      </c>
      <c r="BB2054" t="inlineStr">
        <is>
          <t>WARREN-WARD 4</t>
        </is>
      </c>
      <c r="CP2054" t="inlineStr">
        <is>
          <t>X</t>
        </is>
      </c>
      <c r="DC2054" t="inlineStr">
        <is>
          <t>X</t>
        </is>
      </c>
      <c r="DI2054" t="inlineStr">
        <is>
          <t>X</t>
        </is>
      </c>
      <c r="DN2054" t="inlineStr">
        <is>
          <t>X</t>
        </is>
      </c>
      <c r="DX2054" t="inlineStr">
        <is>
          <t>X</t>
        </is>
      </c>
      <c r="EF2054" t="inlineStr">
        <is>
          <t>X</t>
        </is>
      </c>
    </row>
    <row r="2055">
      <c r="A2055" t="inlineStr">
        <is>
          <t>OH0018662879</t>
        </is>
      </c>
      <c r="B2055" t="n">
        <v>78</v>
      </c>
      <c r="C2055" t="n">
        <v>342096</v>
      </c>
      <c r="D2055" t="inlineStr">
        <is>
          <t>WATSON</t>
        </is>
      </c>
      <c r="E2055" t="inlineStr">
        <is>
          <t>LAURA</t>
        </is>
      </c>
      <c r="F2055">
        <f>CONCATENATE(D2055," ",LEFT(H2055,4),"T=",AU2055,"D=",AV2055,"R=",AW2055,"M=",AX2055,"L=",AY2055,"B=",AZ2055)</f>
        <v/>
      </c>
      <c r="G2055" t="inlineStr">
        <is>
          <t>M</t>
        </is>
      </c>
      <c r="I2055" t="inlineStr">
        <is>
          <t>1976-12-28</t>
        </is>
      </c>
      <c r="J2055" t="inlineStr">
        <is>
          <t>2010-08-14</t>
        </is>
      </c>
      <c r="K2055" t="inlineStr">
        <is>
          <t>CONFIRMATION</t>
        </is>
      </c>
      <c r="M2055" t="inlineStr">
        <is>
          <t>407 LAIRD AVE NE</t>
        </is>
      </c>
      <c r="N2055">
        <f>RIGHT(M2055,LEN(M2055)-FIND(" ",M2055))</f>
        <v/>
      </c>
      <c r="P2055" t="inlineStr">
        <is>
          <t>WARREN</t>
        </is>
      </c>
      <c r="Q2055" t="inlineStr">
        <is>
          <t>OH</t>
        </is>
      </c>
      <c r="R2055" t="n">
        <v>44483</v>
      </c>
      <c r="AD2055" t="inlineStr">
        <is>
          <t>TRUMBULL CAREER &amp; TECH CENTER</t>
        </is>
      </c>
      <c r="AE2055" t="inlineStr">
        <is>
          <t>WARREN CITY</t>
        </is>
      </c>
      <c r="AF2055" t="inlineStr">
        <is>
          <t>WARREN CITY SD</t>
        </is>
      </c>
      <c r="AH2055" t="n">
        <v>14</v>
      </c>
      <c r="AI2055" t="n">
        <v>11</v>
      </c>
      <c r="AN2055" t="inlineStr">
        <is>
          <t>WARREN</t>
        </is>
      </c>
      <c r="AO2055" t="inlineStr">
        <is>
          <t>WARREN CITY 4D</t>
        </is>
      </c>
      <c r="AP2055" t="inlineStr">
        <is>
          <t>78-P-ADL</t>
        </is>
      </c>
      <c r="AQ2055" t="n">
        <v>9</v>
      </c>
      <c r="AR2055" t="n">
        <v>64</v>
      </c>
      <c r="AS2055" t="n">
        <v>32</v>
      </c>
      <c r="AU2055">
        <f>COUNTA($BA$2055:$EH$2055)</f>
        <v/>
      </c>
      <c r="AV2055">
        <f>COUNTIF($BA$2055:$EH$2055,"D")</f>
        <v/>
      </c>
      <c r="AW2055">
        <f>COUNTIF($BA$2055:$EH$2055,"R")</f>
        <v/>
      </c>
      <c r="AX2055">
        <f>IF(BN2055="D",1,0)+IF(BO2055="D",1,0)+IF(BT2055="D",1,0)+IF(BU2055="D",1,0)+IF(BW2055="D",1,0)+IF(CC2055="D",1,0)+IF(CD2055="D",1,0)+IF(CE2055="D",1,0)+IF(CF2055="D",1,0)+IF(CL2055="D",1,0)+IF(CM2055="D",1,0)+IF(CQ2055="D",1,0)+IF(CR2055="D",1,0)+IF(CS2055="D",1,0)+IF(CW2055="D",1,0)+IF(CX2055="D",1,0)+IF(DD2055="D",1,0)+IF(DE2055="D",1,0)+IF(DJ2055="D",1,0)+IF(DK2055="D",1,0)+IF(DO2055="D",1,0)+IF(DP2055="D",1,0)+IF(DQ2055="D",1,0)+IF(DW2055="D",1,0)+IF(DZ2055="D",1,0)+IF(EH2055="D",1,0)</f>
        <v/>
      </c>
      <c r="AY2055">
        <f>IF(DJ2055&lt;&gt;"",1,0)+IF(DK2055&lt;&gt;"",1,0)+IF(DM2055&lt;&gt;"",1,0)+IF(DO2055&lt;&gt;"",1,0)+IF(DP2055&lt;&gt;"",1,0)+IF(DQ2055&lt;&gt;"",1,0)+IF(DS2055&lt;&gt;"",1,0)+IF(DT2055&lt;&gt;"",1,0)+IF(DV2055&lt;&gt;"",1,0)+IF(DW2055&lt;&gt;"",1,0)+IF(DX2055&lt;&gt;"",1,0)+IF(DY2055&lt;&gt;"",1,0)+IF(DZ2055&lt;&gt;"",1,0)+IF(EB2055&lt;&gt;"",1,0)+IF(EC2055&lt;&gt;"",1,0)+IF(ED2055&lt;&gt;"",1,0)+IF(EG2055&lt;&gt;"",1,0)+IF(EH2055&lt;&gt;"",1,0)</f>
        <v/>
      </c>
      <c r="AZ2055">
        <f>IF(EH2055&lt;&gt;"",1,0)</f>
        <v/>
      </c>
      <c r="BB2055" t="inlineStr">
        <is>
          <t>WARREN-WARD 4</t>
        </is>
      </c>
      <c r="CA2055" t="inlineStr">
        <is>
          <t>X</t>
        </is>
      </c>
      <c r="CK2055" t="inlineStr">
        <is>
          <t>X</t>
        </is>
      </c>
      <c r="CP2055" t="inlineStr">
        <is>
          <t>X</t>
        </is>
      </c>
    </row>
    <row r="2056">
      <c r="A2056" t="inlineStr">
        <is>
          <t>OH0015795753</t>
        </is>
      </c>
      <c r="B2056" t="n">
        <v>78</v>
      </c>
      <c r="C2056" t="n">
        <v>316885</v>
      </c>
      <c r="D2056" t="inlineStr">
        <is>
          <t>HAYNES</t>
        </is>
      </c>
      <c r="E2056" t="inlineStr">
        <is>
          <t>MARQUITTA</t>
        </is>
      </c>
      <c r="F2056">
        <f>CONCATENATE(D2056," ",LEFT(H2056,4),"T=",AU2056,"D=",AV2056,"R=",AW2056,"M=",AX2056,"L=",AY2056,"B=",AZ2056)</f>
        <v/>
      </c>
      <c r="G2056" t="inlineStr">
        <is>
          <t>M</t>
        </is>
      </c>
      <c r="I2056" t="inlineStr">
        <is>
          <t>1984-02-12</t>
        </is>
      </c>
      <c r="J2056" t="inlineStr">
        <is>
          <t>2016-05-27</t>
        </is>
      </c>
      <c r="K2056" t="inlineStr">
        <is>
          <t>CONFIRMATION</t>
        </is>
      </c>
      <c r="M2056" t="inlineStr">
        <is>
          <t>1105 HARRISON ST NE</t>
        </is>
      </c>
      <c r="N2056">
        <f>RIGHT(M2056,LEN(M2056)-FIND(" ",M2056))</f>
        <v/>
      </c>
      <c r="P2056" t="inlineStr">
        <is>
          <t>WARREN</t>
        </is>
      </c>
      <c r="Q2056" t="inlineStr">
        <is>
          <t>OH</t>
        </is>
      </c>
      <c r="R2056" t="n">
        <v>44483</v>
      </c>
      <c r="AD2056" t="inlineStr">
        <is>
          <t>TRUMBULL CAREER &amp; TECH CENTER</t>
        </is>
      </c>
      <c r="AE2056" t="inlineStr">
        <is>
          <t>WARREN CITY</t>
        </is>
      </c>
      <c r="AF2056" t="inlineStr">
        <is>
          <t>WARREN CITY SD</t>
        </is>
      </c>
      <c r="AH2056" t="n">
        <v>14</v>
      </c>
      <c r="AI2056" t="n">
        <v>11</v>
      </c>
      <c r="AN2056" t="inlineStr">
        <is>
          <t>WARREN</t>
        </is>
      </c>
      <c r="AO2056" t="inlineStr">
        <is>
          <t>WARREN CITY 4D</t>
        </is>
      </c>
      <c r="AP2056" t="inlineStr">
        <is>
          <t>78-P-ADL</t>
        </is>
      </c>
      <c r="AQ2056" t="n">
        <v>9</v>
      </c>
      <c r="AR2056" t="n">
        <v>64</v>
      </c>
      <c r="AS2056" t="n">
        <v>32</v>
      </c>
      <c r="AU2056">
        <f>COUNTA($BA$2056:$EH$2056)</f>
        <v/>
      </c>
      <c r="AV2056">
        <f>COUNTIF($BA$2056:$EH$2056,"D")</f>
        <v/>
      </c>
      <c r="AW2056">
        <f>COUNTIF($BA$2056:$EH$2056,"R")</f>
        <v/>
      </c>
      <c r="AX2056">
        <f>IF(BN2056="D",1,0)+IF(BO2056="D",1,0)+IF(BT2056="D",1,0)+IF(BU2056="D",1,0)+IF(BW2056="D",1,0)+IF(CC2056="D",1,0)+IF(CD2056="D",1,0)+IF(CE2056="D",1,0)+IF(CF2056="D",1,0)+IF(CL2056="D",1,0)+IF(CM2056="D",1,0)+IF(CQ2056="D",1,0)+IF(CR2056="D",1,0)+IF(CS2056="D",1,0)+IF(CW2056="D",1,0)+IF(CX2056="D",1,0)+IF(DD2056="D",1,0)+IF(DE2056="D",1,0)+IF(DJ2056="D",1,0)+IF(DK2056="D",1,0)+IF(DO2056="D",1,0)+IF(DP2056="D",1,0)+IF(DQ2056="D",1,0)+IF(DW2056="D",1,0)+IF(DZ2056="D",1,0)+IF(EH2056="D",1,0)</f>
        <v/>
      </c>
      <c r="AY2056">
        <f>IF(DJ2056&lt;&gt;"",1,0)+IF(DK2056&lt;&gt;"",1,0)+IF(DM2056&lt;&gt;"",1,0)+IF(DO2056&lt;&gt;"",1,0)+IF(DP2056&lt;&gt;"",1,0)+IF(DQ2056&lt;&gt;"",1,0)+IF(DS2056&lt;&gt;"",1,0)+IF(DT2056&lt;&gt;"",1,0)+IF(DV2056&lt;&gt;"",1,0)+IF(DW2056&lt;&gt;"",1,0)+IF(DX2056&lt;&gt;"",1,0)+IF(DY2056&lt;&gt;"",1,0)+IF(DZ2056&lt;&gt;"",1,0)+IF(EB2056&lt;&gt;"",1,0)+IF(EC2056&lt;&gt;"",1,0)+IF(ED2056&lt;&gt;"",1,0)+IF(EG2056&lt;&gt;"",1,0)+IF(EH2056&lt;&gt;"",1,0)</f>
        <v/>
      </c>
      <c r="AZ2056">
        <f>IF(EH2056&lt;&gt;"",1,0)</f>
        <v/>
      </c>
      <c r="BB2056" t="inlineStr">
        <is>
          <t>WARREN-WARD 4</t>
        </is>
      </c>
      <c r="BL2056" t="inlineStr">
        <is>
          <t>X</t>
        </is>
      </c>
      <c r="CA2056" t="inlineStr">
        <is>
          <t>X</t>
        </is>
      </c>
      <c r="DC2056" t="inlineStr">
        <is>
          <t>X</t>
        </is>
      </c>
    </row>
    <row r="2057">
      <c r="A2057" t="inlineStr">
        <is>
          <t>OH0022687793</t>
        </is>
      </c>
      <c r="B2057" t="n">
        <v>78</v>
      </c>
      <c r="C2057" t="n">
        <v>400460</v>
      </c>
      <c r="D2057" t="inlineStr">
        <is>
          <t>ADAMS</t>
        </is>
      </c>
      <c r="E2057" t="inlineStr">
        <is>
          <t>KYLE</t>
        </is>
      </c>
      <c r="F2057">
        <f>CONCATENATE(D2057," ",LEFT(H2057,4),"T=",AU2057,"D=",AV2057,"R=",AW2057,"M=",AX2057,"L=",AY2057,"B=",AZ2057)</f>
        <v/>
      </c>
      <c r="G2057" t="inlineStr">
        <is>
          <t>B</t>
        </is>
      </c>
      <c r="I2057" t="inlineStr">
        <is>
          <t>1989-02-05</t>
        </is>
      </c>
      <c r="J2057" t="inlineStr">
        <is>
          <t>2016-02-18</t>
        </is>
      </c>
      <c r="K2057" t="inlineStr">
        <is>
          <t>ACTIVE</t>
        </is>
      </c>
      <c r="M2057" t="inlineStr">
        <is>
          <t>577 FAIRFIELD AVE NE</t>
        </is>
      </c>
      <c r="N2057">
        <f>RIGHT(M2057,LEN(M2057)-FIND(" ",M2057))</f>
        <v/>
      </c>
      <c r="P2057" t="inlineStr">
        <is>
          <t>WARREN</t>
        </is>
      </c>
      <c r="Q2057" t="inlineStr">
        <is>
          <t>OH</t>
        </is>
      </c>
      <c r="R2057" t="n">
        <v>44483</v>
      </c>
      <c r="AD2057" t="inlineStr">
        <is>
          <t>TRUMBULL CAREER &amp; TECH CENTER</t>
        </is>
      </c>
      <c r="AE2057" t="inlineStr">
        <is>
          <t>WARREN CITY</t>
        </is>
      </c>
      <c r="AF2057" t="inlineStr">
        <is>
          <t>WARREN CITY SD</t>
        </is>
      </c>
      <c r="AH2057" t="n">
        <v>14</v>
      </c>
      <c r="AI2057" t="n">
        <v>11</v>
      </c>
      <c r="AN2057" t="inlineStr">
        <is>
          <t>WARREN</t>
        </is>
      </c>
      <c r="AO2057" t="inlineStr">
        <is>
          <t>WARREN CITY 4D</t>
        </is>
      </c>
      <c r="AP2057" t="inlineStr">
        <is>
          <t>78-P-ADL</t>
        </is>
      </c>
      <c r="AQ2057" t="n">
        <v>9</v>
      </c>
      <c r="AR2057" t="n">
        <v>64</v>
      </c>
      <c r="AS2057" t="n">
        <v>32</v>
      </c>
      <c r="AU2057">
        <f>COUNTA($BA$2057:$EH$2057)</f>
        <v/>
      </c>
      <c r="AV2057">
        <f>COUNTIF($BA$2057:$EH$2057,"D")</f>
        <v/>
      </c>
      <c r="AW2057">
        <f>COUNTIF($BA$2057:$EH$2057,"R")</f>
        <v/>
      </c>
      <c r="AX2057">
        <f>IF(BN2057="D",1,0)+IF(BO2057="D",1,0)+IF(BT2057="D",1,0)+IF(BU2057="D",1,0)+IF(BW2057="D",1,0)+IF(CC2057="D",1,0)+IF(CD2057="D",1,0)+IF(CE2057="D",1,0)+IF(CF2057="D",1,0)+IF(CL2057="D",1,0)+IF(CM2057="D",1,0)+IF(CQ2057="D",1,0)+IF(CR2057="D",1,0)+IF(CS2057="D",1,0)+IF(CW2057="D",1,0)+IF(CX2057="D",1,0)+IF(DD2057="D",1,0)+IF(DE2057="D",1,0)+IF(DJ2057="D",1,0)+IF(DK2057="D",1,0)+IF(DO2057="D",1,0)+IF(DP2057="D",1,0)+IF(DQ2057="D",1,0)+IF(DW2057="D",1,0)+IF(DZ2057="D",1,0)+IF(EH2057="D",1,0)</f>
        <v/>
      </c>
      <c r="AY2057">
        <f>IF(DJ2057&lt;&gt;"",1,0)+IF(DK2057&lt;&gt;"",1,0)+IF(DM2057&lt;&gt;"",1,0)+IF(DO2057&lt;&gt;"",1,0)+IF(DP2057&lt;&gt;"",1,0)+IF(DQ2057&lt;&gt;"",1,0)+IF(DS2057&lt;&gt;"",1,0)+IF(DT2057&lt;&gt;"",1,0)+IF(DV2057&lt;&gt;"",1,0)+IF(DW2057&lt;&gt;"",1,0)+IF(DX2057&lt;&gt;"",1,0)+IF(DY2057&lt;&gt;"",1,0)+IF(DZ2057&lt;&gt;"",1,0)+IF(EB2057&lt;&gt;"",1,0)+IF(EC2057&lt;&gt;"",1,0)+IF(ED2057&lt;&gt;"",1,0)+IF(EG2057&lt;&gt;"",1,0)+IF(EH2057&lt;&gt;"",1,0)</f>
        <v/>
      </c>
      <c r="AZ2057">
        <f>IF(EH2057&lt;&gt;"",1,0)</f>
        <v/>
      </c>
      <c r="BB2057" t="inlineStr">
        <is>
          <t>WARREN-WARD 4</t>
        </is>
      </c>
    </row>
    <row r="2058">
      <c r="A2058" t="inlineStr">
        <is>
          <t>OH0023519968</t>
        </is>
      </c>
      <c r="B2058" t="n">
        <v>78</v>
      </c>
      <c r="C2058" t="n">
        <v>414085</v>
      </c>
      <c r="D2058" t="inlineStr">
        <is>
          <t>PEHANICH</t>
        </is>
      </c>
      <c r="E2058" t="inlineStr">
        <is>
          <t>EMILY</t>
        </is>
      </c>
      <c r="F2058">
        <f>CONCATENATE(D2058," ",LEFT(H2058,4),"T=",AU2058,"D=",AV2058,"R=",AW2058,"M=",AX2058,"L=",AY2058,"B=",AZ2058)</f>
        <v/>
      </c>
      <c r="G2058" t="inlineStr">
        <is>
          <t>M</t>
        </is>
      </c>
      <c r="I2058" t="inlineStr">
        <is>
          <t>1993-04-22</t>
        </is>
      </c>
      <c r="J2058" t="inlineStr">
        <is>
          <t>2018-11-28</t>
        </is>
      </c>
      <c r="K2058" t="inlineStr">
        <is>
          <t>ACTIVE</t>
        </is>
      </c>
      <c r="L2058" t="inlineStr">
        <is>
          <t>D</t>
        </is>
      </c>
      <c r="M2058" t="inlineStr">
        <is>
          <t>146 IDDINGS AVE NE</t>
        </is>
      </c>
      <c r="N2058">
        <f>RIGHT(M2058,LEN(M2058)-FIND(" ",M2058))</f>
        <v/>
      </c>
      <c r="P2058" t="inlineStr">
        <is>
          <t>WARREN</t>
        </is>
      </c>
      <c r="Q2058" t="inlineStr">
        <is>
          <t>OH</t>
        </is>
      </c>
      <c r="R2058" t="n">
        <v>44483</v>
      </c>
      <c r="AD2058" t="inlineStr">
        <is>
          <t>TRUMBULL CAREER &amp; TECH CENTER</t>
        </is>
      </c>
      <c r="AE2058" t="inlineStr">
        <is>
          <t>WARREN CITY</t>
        </is>
      </c>
      <c r="AF2058" t="inlineStr">
        <is>
          <t>WARREN CITY SD</t>
        </is>
      </c>
      <c r="AH2058" t="n">
        <v>14</v>
      </c>
      <c r="AI2058" t="n">
        <v>11</v>
      </c>
      <c r="AN2058" t="inlineStr">
        <is>
          <t>WARREN</t>
        </is>
      </c>
      <c r="AO2058" t="inlineStr">
        <is>
          <t>WARREN CITY 4D</t>
        </is>
      </c>
      <c r="AP2058" t="inlineStr">
        <is>
          <t>78-P-ADL</t>
        </is>
      </c>
      <c r="AQ2058" t="n">
        <v>9</v>
      </c>
      <c r="AR2058" t="n">
        <v>64</v>
      </c>
      <c r="AS2058" t="n">
        <v>32</v>
      </c>
      <c r="AU2058">
        <f>COUNTA($BA$2058:$EH$2058)</f>
        <v/>
      </c>
      <c r="AV2058">
        <f>COUNTIF($BA$2058:$EH$2058,"D")</f>
        <v/>
      </c>
      <c r="AW2058">
        <f>COUNTIF($BA$2058:$EH$2058,"R")</f>
        <v/>
      </c>
      <c r="AX2058">
        <f>IF(BN2058="D",1,0)+IF(BO2058="D",1,0)+IF(BT2058="D",1,0)+IF(BU2058="D",1,0)+IF(BW2058="D",1,0)+IF(CC2058="D",1,0)+IF(CD2058="D",1,0)+IF(CE2058="D",1,0)+IF(CF2058="D",1,0)+IF(CL2058="D",1,0)+IF(CM2058="D",1,0)+IF(CQ2058="D",1,0)+IF(CR2058="D",1,0)+IF(CS2058="D",1,0)+IF(CW2058="D",1,0)+IF(CX2058="D",1,0)+IF(DD2058="D",1,0)+IF(DE2058="D",1,0)+IF(DJ2058="D",1,0)+IF(DK2058="D",1,0)+IF(DO2058="D",1,0)+IF(DP2058="D",1,0)+IF(DQ2058="D",1,0)+IF(DW2058="D",1,0)+IF(DZ2058="D",1,0)+IF(EH2058="D",1,0)</f>
        <v/>
      </c>
      <c r="AY2058">
        <f>IF(DJ2058&lt;&gt;"",1,0)+IF(DK2058&lt;&gt;"",1,0)+IF(DM2058&lt;&gt;"",1,0)+IF(DO2058&lt;&gt;"",1,0)+IF(DP2058&lt;&gt;"",1,0)+IF(DQ2058&lt;&gt;"",1,0)+IF(DS2058&lt;&gt;"",1,0)+IF(DT2058&lt;&gt;"",1,0)+IF(DV2058&lt;&gt;"",1,0)+IF(DW2058&lt;&gt;"",1,0)+IF(DX2058&lt;&gt;"",1,0)+IF(DY2058&lt;&gt;"",1,0)+IF(DZ2058&lt;&gt;"",1,0)+IF(EB2058&lt;&gt;"",1,0)+IF(EC2058&lt;&gt;"",1,0)+IF(ED2058&lt;&gt;"",1,0)+IF(EG2058&lt;&gt;"",1,0)+IF(EH2058&lt;&gt;"",1,0)</f>
        <v/>
      </c>
      <c r="AZ2058">
        <f>IF(EH2058&lt;&gt;"",1,0)</f>
        <v/>
      </c>
      <c r="BB2058" t="inlineStr">
        <is>
          <t>WARREN-WARD 4</t>
        </is>
      </c>
      <c r="CZ2058" t="inlineStr">
        <is>
          <t>D</t>
        </is>
      </c>
      <c r="DC2058" t="inlineStr">
        <is>
          <t>X</t>
        </is>
      </c>
      <c r="DI2058" t="inlineStr">
        <is>
          <t>X</t>
        </is>
      </c>
      <c r="DL2058" t="inlineStr">
        <is>
          <t>X</t>
        </is>
      </c>
      <c r="DM2058" t="inlineStr">
        <is>
          <t>D</t>
        </is>
      </c>
      <c r="DN2058" t="inlineStr">
        <is>
          <t>X</t>
        </is>
      </c>
      <c r="DS2058" t="inlineStr">
        <is>
          <t>D</t>
        </is>
      </c>
      <c r="DT2058" t="inlineStr">
        <is>
          <t>D</t>
        </is>
      </c>
      <c r="DU2058" t="inlineStr">
        <is>
          <t>X</t>
        </is>
      </c>
      <c r="DW2058" t="inlineStr">
        <is>
          <t>D</t>
        </is>
      </c>
      <c r="DX2058" t="inlineStr">
        <is>
          <t>X</t>
        </is>
      </c>
      <c r="EA2058" t="inlineStr">
        <is>
          <t>X</t>
        </is>
      </c>
      <c r="ED2058" t="inlineStr">
        <is>
          <t>D</t>
        </is>
      </c>
      <c r="EF2058" t="inlineStr">
        <is>
          <t>X</t>
        </is>
      </c>
      <c r="EH2058" t="inlineStr">
        <is>
          <t>D</t>
        </is>
      </c>
    </row>
    <row r="2059">
      <c r="A2059" t="inlineStr">
        <is>
          <t>OH0019538191</t>
        </is>
      </c>
      <c r="B2059" t="n">
        <v>78</v>
      </c>
      <c r="C2059" t="n">
        <v>356259</v>
      </c>
      <c r="D2059" t="inlineStr">
        <is>
          <t>BABCOCK</t>
        </is>
      </c>
      <c r="E2059" t="inlineStr">
        <is>
          <t>DAVID</t>
        </is>
      </c>
      <c r="F2059">
        <f>CONCATENATE(D2059," ",LEFT(H2059,4),"T=",AU2059,"D=",AV2059,"R=",AW2059,"M=",AX2059,"L=",AY2059,"B=",AZ2059)</f>
        <v/>
      </c>
      <c r="G2059" t="inlineStr">
        <is>
          <t>ADAM</t>
        </is>
      </c>
      <c r="I2059" t="inlineStr">
        <is>
          <t>1990-08-08</t>
        </is>
      </c>
      <c r="J2059" t="inlineStr">
        <is>
          <t>2017-02-21</t>
        </is>
      </c>
      <c r="K2059" t="inlineStr">
        <is>
          <t>CONFIRMATION</t>
        </is>
      </c>
      <c r="M2059" t="inlineStr">
        <is>
          <t>223 LAIRD AVE NE</t>
        </is>
      </c>
      <c r="N2059">
        <f>RIGHT(M2059,LEN(M2059)-FIND(" ",M2059))</f>
        <v/>
      </c>
      <c r="P2059" t="inlineStr">
        <is>
          <t>WARREN</t>
        </is>
      </c>
      <c r="Q2059" t="inlineStr">
        <is>
          <t>OH</t>
        </is>
      </c>
      <c r="R2059" t="n">
        <v>44483</v>
      </c>
      <c r="AD2059" t="inlineStr">
        <is>
          <t>TRUMBULL CAREER &amp; TECH CENTER</t>
        </is>
      </c>
      <c r="AE2059" t="inlineStr">
        <is>
          <t>WARREN CITY</t>
        </is>
      </c>
      <c r="AF2059" t="inlineStr">
        <is>
          <t>WARREN CITY SD</t>
        </is>
      </c>
      <c r="AH2059" t="n">
        <v>14</v>
      </c>
      <c r="AI2059" t="n">
        <v>11</v>
      </c>
      <c r="AN2059" t="inlineStr">
        <is>
          <t>WARREN</t>
        </is>
      </c>
      <c r="AO2059" t="inlineStr">
        <is>
          <t>WARREN CITY 4D</t>
        </is>
      </c>
      <c r="AP2059" t="inlineStr">
        <is>
          <t>78-P-ADL</t>
        </is>
      </c>
      <c r="AQ2059" t="n">
        <v>9</v>
      </c>
      <c r="AR2059" t="n">
        <v>64</v>
      </c>
      <c r="AS2059" t="n">
        <v>32</v>
      </c>
      <c r="AU2059">
        <f>COUNTA($BA$2059:$EH$2059)</f>
        <v/>
      </c>
      <c r="AV2059">
        <f>COUNTIF($BA$2059:$EH$2059,"D")</f>
        <v/>
      </c>
      <c r="AW2059">
        <f>COUNTIF($BA$2059:$EH$2059,"R")</f>
        <v/>
      </c>
      <c r="AX2059">
        <f>IF(BN2059="D",1,0)+IF(BO2059="D",1,0)+IF(BT2059="D",1,0)+IF(BU2059="D",1,0)+IF(BW2059="D",1,0)+IF(CC2059="D",1,0)+IF(CD2059="D",1,0)+IF(CE2059="D",1,0)+IF(CF2059="D",1,0)+IF(CL2059="D",1,0)+IF(CM2059="D",1,0)+IF(CQ2059="D",1,0)+IF(CR2059="D",1,0)+IF(CS2059="D",1,0)+IF(CW2059="D",1,0)+IF(CX2059="D",1,0)+IF(DD2059="D",1,0)+IF(DE2059="D",1,0)+IF(DJ2059="D",1,0)+IF(DK2059="D",1,0)+IF(DO2059="D",1,0)+IF(DP2059="D",1,0)+IF(DQ2059="D",1,0)+IF(DW2059="D",1,0)+IF(DZ2059="D",1,0)+IF(EH2059="D",1,0)</f>
        <v/>
      </c>
      <c r="AY2059">
        <f>IF(DJ2059&lt;&gt;"",1,0)+IF(DK2059&lt;&gt;"",1,0)+IF(DM2059&lt;&gt;"",1,0)+IF(DO2059&lt;&gt;"",1,0)+IF(DP2059&lt;&gt;"",1,0)+IF(DQ2059&lt;&gt;"",1,0)+IF(DS2059&lt;&gt;"",1,0)+IF(DT2059&lt;&gt;"",1,0)+IF(DV2059&lt;&gt;"",1,0)+IF(DW2059&lt;&gt;"",1,0)+IF(DX2059&lt;&gt;"",1,0)+IF(DY2059&lt;&gt;"",1,0)+IF(DZ2059&lt;&gt;"",1,0)+IF(EB2059&lt;&gt;"",1,0)+IF(EC2059&lt;&gt;"",1,0)+IF(ED2059&lt;&gt;"",1,0)+IF(EG2059&lt;&gt;"",1,0)+IF(EH2059&lt;&gt;"",1,0)</f>
        <v/>
      </c>
      <c r="AZ2059">
        <f>IF(EH2059&lt;&gt;"",1,0)</f>
        <v/>
      </c>
      <c r="BB2059" t="inlineStr">
        <is>
          <t>WARREN-WARD 4</t>
        </is>
      </c>
      <c r="CA2059" t="inlineStr">
        <is>
          <t>X</t>
        </is>
      </c>
      <c r="CP2059" t="inlineStr">
        <is>
          <t>X</t>
        </is>
      </c>
      <c r="CY2059" t="inlineStr">
        <is>
          <t>X</t>
        </is>
      </c>
    </row>
    <row r="2060">
      <c r="A2060" t="inlineStr">
        <is>
          <t>OH0024981412</t>
        </is>
      </c>
      <c r="B2060" t="n">
        <v>78</v>
      </c>
      <c r="C2060" t="n">
        <v>437263</v>
      </c>
      <c r="D2060" t="inlineStr">
        <is>
          <t>COATES</t>
        </is>
      </c>
      <c r="E2060" t="inlineStr">
        <is>
          <t>PAUL</t>
        </is>
      </c>
      <c r="F2060">
        <f>CONCATENATE(D2060," ",LEFT(H2060,4),"T=",AU2060,"D=",AV2060,"R=",AW2060,"M=",AX2060,"L=",AY2060,"B=",AZ2060)</f>
        <v/>
      </c>
      <c r="G2060" t="inlineStr">
        <is>
          <t>B</t>
        </is>
      </c>
      <c r="I2060" t="inlineStr">
        <is>
          <t>1979-02-28</t>
        </is>
      </c>
      <c r="J2060" t="inlineStr">
        <is>
          <t>2018-12-10</t>
        </is>
      </c>
      <c r="K2060" t="inlineStr">
        <is>
          <t>CONFIRMATION</t>
        </is>
      </c>
      <c r="M2060" t="inlineStr">
        <is>
          <t>325 PORTER ST NE</t>
        </is>
      </c>
      <c r="N2060">
        <f>RIGHT(M2060,LEN(M2060)-FIND(" ",M2060))</f>
        <v/>
      </c>
      <c r="P2060" t="inlineStr">
        <is>
          <t>WARREN</t>
        </is>
      </c>
      <c r="Q2060" t="inlineStr">
        <is>
          <t>OH</t>
        </is>
      </c>
      <c r="R2060" t="n">
        <v>44483</v>
      </c>
      <c r="AD2060" t="inlineStr">
        <is>
          <t>TRUMBULL CAREER &amp; TECH CENTER</t>
        </is>
      </c>
      <c r="AE2060" t="inlineStr">
        <is>
          <t>WARREN CITY</t>
        </is>
      </c>
      <c r="AF2060" t="inlineStr">
        <is>
          <t>WARREN CITY SD</t>
        </is>
      </c>
      <c r="AH2060" t="n">
        <v>14</v>
      </c>
      <c r="AI2060" t="n">
        <v>11</v>
      </c>
      <c r="AN2060" t="inlineStr">
        <is>
          <t>WARREN</t>
        </is>
      </c>
      <c r="AO2060" t="inlineStr">
        <is>
          <t>WARREN CITY 4D</t>
        </is>
      </c>
      <c r="AP2060" t="inlineStr">
        <is>
          <t>78-P-ADL</t>
        </is>
      </c>
      <c r="AQ2060" t="n">
        <v>9</v>
      </c>
      <c r="AR2060" t="n">
        <v>64</v>
      </c>
      <c r="AS2060" t="n">
        <v>32</v>
      </c>
      <c r="AU2060">
        <f>COUNTA($BA$2060:$EH$2060)</f>
        <v/>
      </c>
      <c r="AV2060">
        <f>COUNTIF($BA$2060:$EH$2060,"D")</f>
        <v/>
      </c>
      <c r="AW2060">
        <f>COUNTIF($BA$2060:$EH$2060,"R")</f>
        <v/>
      </c>
      <c r="AX2060">
        <f>IF(BN2060="D",1,0)+IF(BO2060="D",1,0)+IF(BT2060="D",1,0)+IF(BU2060="D",1,0)+IF(BW2060="D",1,0)+IF(CC2060="D",1,0)+IF(CD2060="D",1,0)+IF(CE2060="D",1,0)+IF(CF2060="D",1,0)+IF(CL2060="D",1,0)+IF(CM2060="D",1,0)+IF(CQ2060="D",1,0)+IF(CR2060="D",1,0)+IF(CS2060="D",1,0)+IF(CW2060="D",1,0)+IF(CX2060="D",1,0)+IF(DD2060="D",1,0)+IF(DE2060="D",1,0)+IF(DJ2060="D",1,0)+IF(DK2060="D",1,0)+IF(DO2060="D",1,0)+IF(DP2060="D",1,0)+IF(DQ2060="D",1,0)+IF(DW2060="D",1,0)+IF(DZ2060="D",1,0)+IF(EH2060="D",1,0)</f>
        <v/>
      </c>
      <c r="AY2060">
        <f>IF(DJ2060&lt;&gt;"",1,0)+IF(DK2060&lt;&gt;"",1,0)+IF(DM2060&lt;&gt;"",1,0)+IF(DO2060&lt;&gt;"",1,0)+IF(DP2060&lt;&gt;"",1,0)+IF(DQ2060&lt;&gt;"",1,0)+IF(DS2060&lt;&gt;"",1,0)+IF(DT2060&lt;&gt;"",1,0)+IF(DV2060&lt;&gt;"",1,0)+IF(DW2060&lt;&gt;"",1,0)+IF(DX2060&lt;&gt;"",1,0)+IF(DY2060&lt;&gt;"",1,0)+IF(DZ2060&lt;&gt;"",1,0)+IF(EB2060&lt;&gt;"",1,0)+IF(EC2060&lt;&gt;"",1,0)+IF(ED2060&lt;&gt;"",1,0)+IF(EG2060&lt;&gt;"",1,0)+IF(EH2060&lt;&gt;"",1,0)</f>
        <v/>
      </c>
      <c r="AZ2060">
        <f>IF(EH2060&lt;&gt;"",1,0)</f>
        <v/>
      </c>
      <c r="BB2060" t="inlineStr">
        <is>
          <t>WARREN-WARD 4</t>
        </is>
      </c>
      <c r="BL2060" t="inlineStr">
        <is>
          <t>X</t>
        </is>
      </c>
      <c r="CA2060" t="inlineStr">
        <is>
          <t>X</t>
        </is>
      </c>
    </row>
    <row r="2061">
      <c r="A2061" t="inlineStr">
        <is>
          <t>OH0022367593</t>
        </is>
      </c>
      <c r="B2061" t="n">
        <v>78</v>
      </c>
      <c r="C2061" t="n">
        <v>395973</v>
      </c>
      <c r="D2061" t="inlineStr">
        <is>
          <t>KREPP</t>
        </is>
      </c>
      <c r="E2061" t="inlineStr">
        <is>
          <t>BRUCE</t>
        </is>
      </c>
      <c r="F2061">
        <f>CONCATENATE(D2061," ",LEFT(H2061,4),"T=",AU2061,"D=",AV2061,"R=",AW2061,"M=",AX2061,"L=",AY2061,"B=",AZ2061)</f>
        <v/>
      </c>
      <c r="G2061" t="inlineStr">
        <is>
          <t>A</t>
        </is>
      </c>
      <c r="I2061" t="inlineStr">
        <is>
          <t>1981-11-10</t>
        </is>
      </c>
      <c r="J2061" t="inlineStr">
        <is>
          <t>2019-09-03</t>
        </is>
      </c>
      <c r="K2061" t="inlineStr">
        <is>
          <t>CONFIRMATION</t>
        </is>
      </c>
      <c r="M2061" t="inlineStr">
        <is>
          <t>156 WASHINGTON ST NE</t>
        </is>
      </c>
      <c r="N2061">
        <f>RIGHT(M2061,LEN(M2061)-FIND(" ",M2061))</f>
        <v/>
      </c>
      <c r="O2061" t="inlineStr">
        <is>
          <t>UNIT 5</t>
        </is>
      </c>
      <c r="P2061" t="inlineStr">
        <is>
          <t>WARREN</t>
        </is>
      </c>
      <c r="Q2061" t="inlineStr">
        <is>
          <t>OH</t>
        </is>
      </c>
      <c r="R2061" t="n">
        <v>44483</v>
      </c>
      <c r="AD2061" t="inlineStr">
        <is>
          <t>TRUMBULL CAREER &amp; TECH CENTER</t>
        </is>
      </c>
      <c r="AE2061" t="inlineStr">
        <is>
          <t>WARREN CITY</t>
        </is>
      </c>
      <c r="AF2061" t="inlineStr">
        <is>
          <t>WARREN CITY SD</t>
        </is>
      </c>
      <c r="AH2061" t="n">
        <v>14</v>
      </c>
      <c r="AI2061" t="n">
        <v>11</v>
      </c>
      <c r="AN2061" t="inlineStr">
        <is>
          <t>WARREN</t>
        </is>
      </c>
      <c r="AO2061" t="inlineStr">
        <is>
          <t>WARREN CITY 4D</t>
        </is>
      </c>
      <c r="AP2061" t="inlineStr">
        <is>
          <t>78-P-ADL</t>
        </is>
      </c>
      <c r="AQ2061" t="n">
        <v>9</v>
      </c>
      <c r="AR2061" t="n">
        <v>64</v>
      </c>
      <c r="AS2061" t="n">
        <v>32</v>
      </c>
      <c r="AU2061">
        <f>COUNTA($BA$2061:$EH$2061)</f>
        <v/>
      </c>
      <c r="AV2061">
        <f>COUNTIF($BA$2061:$EH$2061,"D")</f>
        <v/>
      </c>
      <c r="AW2061">
        <f>COUNTIF($BA$2061:$EH$2061,"R")</f>
        <v/>
      </c>
      <c r="AX2061">
        <f>IF(BN2061="D",1,0)+IF(BO2061="D",1,0)+IF(BT2061="D",1,0)+IF(BU2061="D",1,0)+IF(BW2061="D",1,0)+IF(CC2061="D",1,0)+IF(CD2061="D",1,0)+IF(CE2061="D",1,0)+IF(CF2061="D",1,0)+IF(CL2061="D",1,0)+IF(CM2061="D",1,0)+IF(CQ2061="D",1,0)+IF(CR2061="D",1,0)+IF(CS2061="D",1,0)+IF(CW2061="D",1,0)+IF(CX2061="D",1,0)+IF(DD2061="D",1,0)+IF(DE2061="D",1,0)+IF(DJ2061="D",1,0)+IF(DK2061="D",1,0)+IF(DO2061="D",1,0)+IF(DP2061="D",1,0)+IF(DQ2061="D",1,0)+IF(DW2061="D",1,0)+IF(DZ2061="D",1,0)+IF(EH2061="D",1,0)</f>
        <v/>
      </c>
      <c r="AY2061">
        <f>IF(DJ2061&lt;&gt;"",1,0)+IF(DK2061&lt;&gt;"",1,0)+IF(DM2061&lt;&gt;"",1,0)+IF(DO2061&lt;&gt;"",1,0)+IF(DP2061&lt;&gt;"",1,0)+IF(DQ2061&lt;&gt;"",1,0)+IF(DS2061&lt;&gt;"",1,0)+IF(DT2061&lt;&gt;"",1,0)+IF(DV2061&lt;&gt;"",1,0)+IF(DW2061&lt;&gt;"",1,0)+IF(DX2061&lt;&gt;"",1,0)+IF(DY2061&lt;&gt;"",1,0)+IF(DZ2061&lt;&gt;"",1,0)+IF(EB2061&lt;&gt;"",1,0)+IF(EC2061&lt;&gt;"",1,0)+IF(ED2061&lt;&gt;"",1,0)+IF(EG2061&lt;&gt;"",1,0)+IF(EH2061&lt;&gt;"",1,0)</f>
        <v/>
      </c>
      <c r="AZ2061">
        <f>IF(EH2061&lt;&gt;"",1,0)</f>
        <v/>
      </c>
      <c r="BB2061" t="inlineStr">
        <is>
          <t>WARREN-WARD 4</t>
        </is>
      </c>
      <c r="CQ2061" t="inlineStr">
        <is>
          <t>X</t>
        </is>
      </c>
      <c r="CY2061" t="inlineStr">
        <is>
          <t>X</t>
        </is>
      </c>
    </row>
    <row r="2062">
      <c r="A2062" t="inlineStr">
        <is>
          <t>OH0015787184</t>
        </is>
      </c>
      <c r="B2062" t="n">
        <v>78</v>
      </c>
      <c r="C2062" t="n">
        <v>305749</v>
      </c>
      <c r="D2062" t="inlineStr">
        <is>
          <t>CRAWFORD</t>
        </is>
      </c>
      <c r="E2062" t="inlineStr">
        <is>
          <t>MARCUS</t>
        </is>
      </c>
      <c r="F2062">
        <f>CONCATENATE(D2062," ",LEFT(H2062,4),"T=",AU2062,"D=",AV2062,"R=",AW2062,"M=",AX2062,"L=",AY2062,"B=",AZ2062)</f>
        <v/>
      </c>
      <c r="G2062" t="inlineStr">
        <is>
          <t>W</t>
        </is>
      </c>
      <c r="I2062" t="inlineStr">
        <is>
          <t>1983-06-12</t>
        </is>
      </c>
      <c r="J2062" t="inlineStr">
        <is>
          <t>2021-11-30</t>
        </is>
      </c>
      <c r="K2062" t="inlineStr">
        <is>
          <t>ACTIVE</t>
        </is>
      </c>
      <c r="M2062" t="inlineStr">
        <is>
          <t>437 LAIRD AVE NE</t>
        </is>
      </c>
      <c r="N2062">
        <f>RIGHT(M2062,LEN(M2062)-FIND(" ",M2062))</f>
        <v/>
      </c>
      <c r="P2062" t="inlineStr">
        <is>
          <t>WARREN</t>
        </is>
      </c>
      <c r="Q2062" t="inlineStr">
        <is>
          <t>OH</t>
        </is>
      </c>
      <c r="R2062" t="n">
        <v>44483</v>
      </c>
      <c r="AD2062" t="inlineStr">
        <is>
          <t>TRUMBULL CAREER &amp; TECH CENTER</t>
        </is>
      </c>
      <c r="AE2062" t="inlineStr">
        <is>
          <t>WARREN CITY</t>
        </is>
      </c>
      <c r="AF2062" t="inlineStr">
        <is>
          <t>WARREN CITY SD</t>
        </is>
      </c>
      <c r="AH2062" t="n">
        <v>14</v>
      </c>
      <c r="AI2062" t="n">
        <v>11</v>
      </c>
      <c r="AN2062" t="inlineStr">
        <is>
          <t>WARREN</t>
        </is>
      </c>
      <c r="AO2062" t="inlineStr">
        <is>
          <t>WARREN CITY 4D</t>
        </is>
      </c>
      <c r="AP2062" t="inlineStr">
        <is>
          <t>78-P-ADL</t>
        </is>
      </c>
      <c r="AQ2062" t="n">
        <v>9</v>
      </c>
      <c r="AR2062" t="n">
        <v>64</v>
      </c>
      <c r="AS2062" t="n">
        <v>32</v>
      </c>
      <c r="AU2062">
        <f>COUNTA($BA$2062:$EH$2062)</f>
        <v/>
      </c>
      <c r="AV2062">
        <f>COUNTIF($BA$2062:$EH$2062,"D")</f>
        <v/>
      </c>
      <c r="AW2062">
        <f>COUNTIF($BA$2062:$EH$2062,"R")</f>
        <v/>
      </c>
      <c r="AX2062">
        <f>IF(BN2062="D",1,0)+IF(BO2062="D",1,0)+IF(BT2062="D",1,0)+IF(BU2062="D",1,0)+IF(BW2062="D",1,0)+IF(CC2062="D",1,0)+IF(CD2062="D",1,0)+IF(CE2062="D",1,0)+IF(CF2062="D",1,0)+IF(CL2062="D",1,0)+IF(CM2062="D",1,0)+IF(CQ2062="D",1,0)+IF(CR2062="D",1,0)+IF(CS2062="D",1,0)+IF(CW2062="D",1,0)+IF(CX2062="D",1,0)+IF(DD2062="D",1,0)+IF(DE2062="D",1,0)+IF(DJ2062="D",1,0)+IF(DK2062="D",1,0)+IF(DO2062="D",1,0)+IF(DP2062="D",1,0)+IF(DQ2062="D",1,0)+IF(DW2062="D",1,0)+IF(DZ2062="D",1,0)+IF(EH2062="D",1,0)</f>
        <v/>
      </c>
      <c r="AY2062">
        <f>IF(DJ2062&lt;&gt;"",1,0)+IF(DK2062&lt;&gt;"",1,0)+IF(DM2062&lt;&gt;"",1,0)+IF(DO2062&lt;&gt;"",1,0)+IF(DP2062&lt;&gt;"",1,0)+IF(DQ2062&lt;&gt;"",1,0)+IF(DS2062&lt;&gt;"",1,0)+IF(DT2062&lt;&gt;"",1,0)+IF(DV2062&lt;&gt;"",1,0)+IF(DW2062&lt;&gt;"",1,0)+IF(DX2062&lt;&gt;"",1,0)+IF(DY2062&lt;&gt;"",1,0)+IF(DZ2062&lt;&gt;"",1,0)+IF(EB2062&lt;&gt;"",1,0)+IF(EC2062&lt;&gt;"",1,0)+IF(ED2062&lt;&gt;"",1,0)+IF(EG2062&lt;&gt;"",1,0)+IF(EH2062&lt;&gt;"",1,0)</f>
        <v/>
      </c>
      <c r="AZ2062">
        <f>IF(EH2062&lt;&gt;"",1,0)</f>
        <v/>
      </c>
      <c r="BB2062" t="inlineStr">
        <is>
          <t>WARREN-WARD 4</t>
        </is>
      </c>
      <c r="DC2062" t="inlineStr">
        <is>
          <t>X</t>
        </is>
      </c>
      <c r="EF2062" t="inlineStr">
        <is>
          <t>X</t>
        </is>
      </c>
    </row>
    <row r="2063">
      <c r="A2063" t="inlineStr">
        <is>
          <t>OH0022683016</t>
        </is>
      </c>
      <c r="B2063" t="n">
        <v>78</v>
      </c>
      <c r="C2063" t="n">
        <v>400309</v>
      </c>
      <c r="D2063" t="inlineStr">
        <is>
          <t>KURTZMAN</t>
        </is>
      </c>
      <c r="E2063" t="inlineStr">
        <is>
          <t>DAVY</t>
        </is>
      </c>
      <c r="F2063">
        <f>CONCATENATE(D2063," ",LEFT(H2063,4),"T=",AU2063,"D=",AV2063,"R=",AW2063,"M=",AX2063,"L=",AY2063,"B=",AZ2063)</f>
        <v/>
      </c>
      <c r="G2063" t="inlineStr">
        <is>
          <t>C</t>
        </is>
      </c>
      <c r="I2063" t="inlineStr">
        <is>
          <t>1995-03-10</t>
        </is>
      </c>
      <c r="J2063" t="inlineStr">
        <is>
          <t>2016-04-18</t>
        </is>
      </c>
      <c r="K2063" t="inlineStr">
        <is>
          <t>ACTIVE</t>
        </is>
      </c>
      <c r="M2063" t="inlineStr">
        <is>
          <t>480 WASHINGTON ST NE</t>
        </is>
      </c>
      <c r="N2063">
        <f>RIGHT(M2063,LEN(M2063)-FIND(" ",M2063))</f>
        <v/>
      </c>
      <c r="P2063" t="inlineStr">
        <is>
          <t>WARREN</t>
        </is>
      </c>
      <c r="Q2063" t="inlineStr">
        <is>
          <t>OH</t>
        </is>
      </c>
      <c r="R2063" t="n">
        <v>44483</v>
      </c>
      <c r="AD2063" t="inlineStr">
        <is>
          <t>TRUMBULL CAREER &amp; TECH CENTER</t>
        </is>
      </c>
      <c r="AE2063" t="inlineStr">
        <is>
          <t>WARREN CITY</t>
        </is>
      </c>
      <c r="AF2063" t="inlineStr">
        <is>
          <t>WARREN CITY SD</t>
        </is>
      </c>
      <c r="AH2063" t="n">
        <v>14</v>
      </c>
      <c r="AI2063" t="n">
        <v>11</v>
      </c>
      <c r="AN2063" t="inlineStr">
        <is>
          <t>WARREN</t>
        </is>
      </c>
      <c r="AO2063" t="inlineStr">
        <is>
          <t>WARREN CITY 4D</t>
        </is>
      </c>
      <c r="AP2063" t="inlineStr">
        <is>
          <t>78-P-ADL</t>
        </is>
      </c>
      <c r="AQ2063" t="n">
        <v>9</v>
      </c>
      <c r="AR2063" t="n">
        <v>64</v>
      </c>
      <c r="AS2063" t="n">
        <v>32</v>
      </c>
      <c r="AU2063">
        <f>COUNTA($BA$2063:$EH$2063)</f>
        <v/>
      </c>
      <c r="AV2063">
        <f>COUNTIF($BA$2063:$EH$2063,"D")</f>
        <v/>
      </c>
      <c r="AW2063">
        <f>COUNTIF($BA$2063:$EH$2063,"R")</f>
        <v/>
      </c>
      <c r="AX2063">
        <f>IF(BN2063="D",1,0)+IF(BO2063="D",1,0)+IF(BT2063="D",1,0)+IF(BU2063="D",1,0)+IF(BW2063="D",1,0)+IF(CC2063="D",1,0)+IF(CD2063="D",1,0)+IF(CE2063="D",1,0)+IF(CF2063="D",1,0)+IF(CL2063="D",1,0)+IF(CM2063="D",1,0)+IF(CQ2063="D",1,0)+IF(CR2063="D",1,0)+IF(CS2063="D",1,0)+IF(CW2063="D",1,0)+IF(CX2063="D",1,0)+IF(DD2063="D",1,0)+IF(DE2063="D",1,0)+IF(DJ2063="D",1,0)+IF(DK2063="D",1,0)+IF(DO2063="D",1,0)+IF(DP2063="D",1,0)+IF(DQ2063="D",1,0)+IF(DW2063="D",1,0)+IF(DZ2063="D",1,0)+IF(EH2063="D",1,0)</f>
        <v/>
      </c>
      <c r="AY2063">
        <f>IF(DJ2063&lt;&gt;"",1,0)+IF(DK2063&lt;&gt;"",1,0)+IF(DM2063&lt;&gt;"",1,0)+IF(DO2063&lt;&gt;"",1,0)+IF(DP2063&lt;&gt;"",1,0)+IF(DQ2063&lt;&gt;"",1,0)+IF(DS2063&lt;&gt;"",1,0)+IF(DT2063&lt;&gt;"",1,0)+IF(DV2063&lt;&gt;"",1,0)+IF(DW2063&lt;&gt;"",1,0)+IF(DX2063&lt;&gt;"",1,0)+IF(DY2063&lt;&gt;"",1,0)+IF(DZ2063&lt;&gt;"",1,0)+IF(EB2063&lt;&gt;"",1,0)+IF(EC2063&lt;&gt;"",1,0)+IF(ED2063&lt;&gt;"",1,0)+IF(EG2063&lt;&gt;"",1,0)+IF(EH2063&lt;&gt;"",1,0)</f>
        <v/>
      </c>
      <c r="AZ2063">
        <f>IF(EH2063&lt;&gt;"",1,0)</f>
        <v/>
      </c>
      <c r="BB2063" t="inlineStr">
        <is>
          <t>WARREN-WARD 4</t>
        </is>
      </c>
    </row>
    <row r="2064">
      <c r="A2064" t="inlineStr">
        <is>
          <t>OH0015740979</t>
        </is>
      </c>
      <c r="B2064" t="n">
        <v>78</v>
      </c>
      <c r="C2064" t="n">
        <v>322470</v>
      </c>
      <c r="D2064" t="inlineStr">
        <is>
          <t>DAY</t>
        </is>
      </c>
      <c r="E2064" t="inlineStr">
        <is>
          <t>JAMES</t>
        </is>
      </c>
      <c r="F2064">
        <f>CONCATENATE(D2064," ",LEFT(H2064,4),"T=",AU2064,"D=",AV2064,"R=",AW2064,"M=",AX2064,"L=",AY2064,"B=",AZ2064)</f>
        <v/>
      </c>
      <c r="G2064" t="inlineStr">
        <is>
          <t>L</t>
        </is>
      </c>
      <c r="I2064" t="inlineStr">
        <is>
          <t>1978-03-26</t>
        </is>
      </c>
      <c r="J2064" t="inlineStr">
        <is>
          <t>2020-11-23</t>
        </is>
      </c>
      <c r="K2064" t="inlineStr">
        <is>
          <t>ACTIVE</t>
        </is>
      </c>
      <c r="M2064" t="inlineStr">
        <is>
          <t>286 LAWRENCE AVE NE</t>
        </is>
      </c>
      <c r="N2064">
        <f>RIGHT(M2064,LEN(M2064)-FIND(" ",M2064))</f>
        <v/>
      </c>
      <c r="P2064" t="inlineStr">
        <is>
          <t>WARREN</t>
        </is>
      </c>
      <c r="Q2064" t="inlineStr">
        <is>
          <t>OH</t>
        </is>
      </c>
      <c r="R2064" t="n">
        <v>44483</v>
      </c>
      <c r="AD2064" t="inlineStr">
        <is>
          <t>TRUMBULL CAREER &amp; TECH CENTER</t>
        </is>
      </c>
      <c r="AE2064" t="inlineStr">
        <is>
          <t>WARREN CITY</t>
        </is>
      </c>
      <c r="AF2064" t="inlineStr">
        <is>
          <t>WARREN CITY SD</t>
        </is>
      </c>
      <c r="AH2064" t="n">
        <v>14</v>
      </c>
      <c r="AI2064" t="n">
        <v>11</v>
      </c>
      <c r="AN2064" t="inlineStr">
        <is>
          <t>WARREN</t>
        </is>
      </c>
      <c r="AO2064" t="inlineStr">
        <is>
          <t>WARREN CITY 4D</t>
        </is>
      </c>
      <c r="AP2064" t="inlineStr">
        <is>
          <t>78-P-ADL</t>
        </is>
      </c>
      <c r="AQ2064" t="n">
        <v>9</v>
      </c>
      <c r="AR2064" t="n">
        <v>64</v>
      </c>
      <c r="AS2064" t="n">
        <v>32</v>
      </c>
      <c r="AU2064">
        <f>COUNTA($BA$2064:$EH$2064)</f>
        <v/>
      </c>
      <c r="AV2064">
        <f>COUNTIF($BA$2064:$EH$2064,"D")</f>
        <v/>
      </c>
      <c r="AW2064">
        <f>COUNTIF($BA$2064:$EH$2064,"R")</f>
        <v/>
      </c>
      <c r="AX2064">
        <f>IF(BN2064="D",1,0)+IF(BO2064="D",1,0)+IF(BT2064="D",1,0)+IF(BU2064="D",1,0)+IF(BW2064="D",1,0)+IF(CC2064="D",1,0)+IF(CD2064="D",1,0)+IF(CE2064="D",1,0)+IF(CF2064="D",1,0)+IF(CL2064="D",1,0)+IF(CM2064="D",1,0)+IF(CQ2064="D",1,0)+IF(CR2064="D",1,0)+IF(CS2064="D",1,0)+IF(CW2064="D",1,0)+IF(CX2064="D",1,0)+IF(DD2064="D",1,0)+IF(DE2064="D",1,0)+IF(DJ2064="D",1,0)+IF(DK2064="D",1,0)+IF(DO2064="D",1,0)+IF(DP2064="D",1,0)+IF(DQ2064="D",1,0)+IF(DW2064="D",1,0)+IF(DZ2064="D",1,0)+IF(EH2064="D",1,0)</f>
        <v/>
      </c>
      <c r="AY2064">
        <f>IF(DJ2064&lt;&gt;"",1,0)+IF(DK2064&lt;&gt;"",1,0)+IF(DM2064&lt;&gt;"",1,0)+IF(DO2064&lt;&gt;"",1,0)+IF(DP2064&lt;&gt;"",1,0)+IF(DQ2064&lt;&gt;"",1,0)+IF(DS2064&lt;&gt;"",1,0)+IF(DT2064&lt;&gt;"",1,0)+IF(DV2064&lt;&gt;"",1,0)+IF(DW2064&lt;&gt;"",1,0)+IF(DX2064&lt;&gt;"",1,0)+IF(DY2064&lt;&gt;"",1,0)+IF(DZ2064&lt;&gt;"",1,0)+IF(EB2064&lt;&gt;"",1,0)+IF(EC2064&lt;&gt;"",1,0)+IF(ED2064&lt;&gt;"",1,0)+IF(EG2064&lt;&gt;"",1,0)+IF(EH2064&lt;&gt;"",1,0)</f>
        <v/>
      </c>
      <c r="AZ2064">
        <f>IF(EH2064&lt;&gt;"",1,0)</f>
        <v/>
      </c>
      <c r="BB2064" t="inlineStr">
        <is>
          <t>WARREN-WARD 4</t>
        </is>
      </c>
      <c r="BL2064" t="inlineStr">
        <is>
          <t>X</t>
        </is>
      </c>
      <c r="CA2064" t="inlineStr">
        <is>
          <t>X</t>
        </is>
      </c>
      <c r="CG2064" t="inlineStr">
        <is>
          <t>X</t>
        </is>
      </c>
      <c r="CP2064" t="inlineStr">
        <is>
          <t>X</t>
        </is>
      </c>
      <c r="CV2064" t="inlineStr">
        <is>
          <t>X</t>
        </is>
      </c>
      <c r="DC2064" t="inlineStr">
        <is>
          <t>X</t>
        </is>
      </c>
      <c r="DN2064" t="inlineStr">
        <is>
          <t>X</t>
        </is>
      </c>
      <c r="DU2064" t="inlineStr">
        <is>
          <t>X</t>
        </is>
      </c>
      <c r="EA2064" t="inlineStr">
        <is>
          <t>X</t>
        </is>
      </c>
      <c r="EF2064" t="inlineStr">
        <is>
          <t>X</t>
        </is>
      </c>
    </row>
    <row r="2065">
      <c r="A2065" t="inlineStr">
        <is>
          <t>OH0023187126</t>
        </is>
      </c>
      <c r="B2065" t="n">
        <v>78</v>
      </c>
      <c r="C2065" t="n">
        <v>408029</v>
      </c>
      <c r="D2065" t="inlineStr">
        <is>
          <t>LEE</t>
        </is>
      </c>
      <c r="E2065" t="inlineStr">
        <is>
          <t>ANITA</t>
        </is>
      </c>
      <c r="F2065">
        <f>CONCATENATE(D2065," ",LEFT(H2065,4),"T=",AU2065,"D=",AV2065,"R=",AW2065,"M=",AX2065,"L=",AY2065,"B=",AZ2065)</f>
        <v/>
      </c>
      <c r="G2065" t="inlineStr">
        <is>
          <t>DAWN</t>
        </is>
      </c>
      <c r="I2065" t="inlineStr">
        <is>
          <t>1997-08-27</t>
        </is>
      </c>
      <c r="J2065" t="inlineStr">
        <is>
          <t>2020-08-05</t>
        </is>
      </c>
      <c r="K2065" t="inlineStr">
        <is>
          <t>CONFIRMATION</t>
        </is>
      </c>
      <c r="M2065" t="inlineStr">
        <is>
          <t>477 PORTER ST NE</t>
        </is>
      </c>
      <c r="N2065">
        <f>RIGHT(M2065,LEN(M2065)-FIND(" ",M2065))</f>
        <v/>
      </c>
      <c r="P2065" t="inlineStr">
        <is>
          <t>WARREN</t>
        </is>
      </c>
      <c r="Q2065" t="inlineStr">
        <is>
          <t>OH</t>
        </is>
      </c>
      <c r="R2065" t="n">
        <v>44483</v>
      </c>
      <c r="AD2065" t="inlineStr">
        <is>
          <t>TRUMBULL CAREER &amp; TECH CENTER</t>
        </is>
      </c>
      <c r="AE2065" t="inlineStr">
        <is>
          <t>WARREN CITY</t>
        </is>
      </c>
      <c r="AF2065" t="inlineStr">
        <is>
          <t>WARREN CITY SD</t>
        </is>
      </c>
      <c r="AH2065" t="n">
        <v>14</v>
      </c>
      <c r="AI2065" t="n">
        <v>11</v>
      </c>
      <c r="AN2065" t="inlineStr">
        <is>
          <t>WARREN</t>
        </is>
      </c>
      <c r="AO2065" t="inlineStr">
        <is>
          <t>WARREN CITY 4D</t>
        </is>
      </c>
      <c r="AP2065" t="inlineStr">
        <is>
          <t>78-P-ADL</t>
        </is>
      </c>
      <c r="AQ2065" t="n">
        <v>9</v>
      </c>
      <c r="AR2065" t="n">
        <v>64</v>
      </c>
      <c r="AS2065" t="n">
        <v>32</v>
      </c>
      <c r="AU2065">
        <f>COUNTA($BA$2065:$EH$2065)</f>
        <v/>
      </c>
      <c r="AV2065">
        <f>COUNTIF($BA$2065:$EH$2065,"D")</f>
        <v/>
      </c>
      <c r="AW2065">
        <f>COUNTIF($BA$2065:$EH$2065,"R")</f>
        <v/>
      </c>
      <c r="AX2065">
        <f>IF(BN2065="D",1,0)+IF(BO2065="D",1,0)+IF(BT2065="D",1,0)+IF(BU2065="D",1,0)+IF(BW2065="D",1,0)+IF(CC2065="D",1,0)+IF(CD2065="D",1,0)+IF(CE2065="D",1,0)+IF(CF2065="D",1,0)+IF(CL2065="D",1,0)+IF(CM2065="D",1,0)+IF(CQ2065="D",1,0)+IF(CR2065="D",1,0)+IF(CS2065="D",1,0)+IF(CW2065="D",1,0)+IF(CX2065="D",1,0)+IF(DD2065="D",1,0)+IF(DE2065="D",1,0)+IF(DJ2065="D",1,0)+IF(DK2065="D",1,0)+IF(DO2065="D",1,0)+IF(DP2065="D",1,0)+IF(DQ2065="D",1,0)+IF(DW2065="D",1,0)+IF(DZ2065="D",1,0)+IF(EH2065="D",1,0)</f>
        <v/>
      </c>
      <c r="AY2065">
        <f>IF(DJ2065&lt;&gt;"",1,0)+IF(DK2065&lt;&gt;"",1,0)+IF(DM2065&lt;&gt;"",1,0)+IF(DO2065&lt;&gt;"",1,0)+IF(DP2065&lt;&gt;"",1,0)+IF(DQ2065&lt;&gt;"",1,0)+IF(DS2065&lt;&gt;"",1,0)+IF(DT2065&lt;&gt;"",1,0)+IF(DV2065&lt;&gt;"",1,0)+IF(DW2065&lt;&gt;"",1,0)+IF(DX2065&lt;&gt;"",1,0)+IF(DY2065&lt;&gt;"",1,0)+IF(DZ2065&lt;&gt;"",1,0)+IF(EB2065&lt;&gt;"",1,0)+IF(EC2065&lt;&gt;"",1,0)+IF(ED2065&lt;&gt;"",1,0)+IF(EG2065&lt;&gt;"",1,0)+IF(EH2065&lt;&gt;"",1,0)</f>
        <v/>
      </c>
      <c r="AZ2065">
        <f>IF(EH2065&lt;&gt;"",1,0)</f>
        <v/>
      </c>
      <c r="BB2065" t="inlineStr">
        <is>
          <t>WARREN-WARD 4</t>
        </is>
      </c>
    </row>
    <row r="2066">
      <c r="A2066" t="inlineStr">
        <is>
          <t>OH0025738692</t>
        </is>
      </c>
      <c r="B2066" t="n">
        <v>78</v>
      </c>
      <c r="C2066" t="n">
        <v>449682</v>
      </c>
      <c r="D2066" t="inlineStr">
        <is>
          <t>STONE</t>
        </is>
      </c>
      <c r="E2066" t="inlineStr">
        <is>
          <t>RICHARD</t>
        </is>
      </c>
      <c r="F2066">
        <f>CONCATENATE(D2066," ",LEFT(H2066,4),"T=",AU2066,"D=",AV2066,"R=",AW2066,"M=",AX2066,"L=",AY2066,"B=",AZ2066)</f>
        <v/>
      </c>
      <c r="G2066" t="inlineStr">
        <is>
          <t>J</t>
        </is>
      </c>
      <c r="I2066" t="inlineStr">
        <is>
          <t>1980-12-12</t>
        </is>
      </c>
      <c r="J2066" t="inlineStr">
        <is>
          <t>2020-09-21</t>
        </is>
      </c>
      <c r="K2066" t="inlineStr">
        <is>
          <t>CONFIRMATION</t>
        </is>
      </c>
      <c r="M2066" t="inlineStr">
        <is>
          <t>355 CHESTNUT AVE NE</t>
        </is>
      </c>
      <c r="N2066">
        <f>RIGHT(M2066,LEN(M2066)-FIND(" ",M2066))</f>
        <v/>
      </c>
      <c r="P2066" t="inlineStr">
        <is>
          <t>WARREN</t>
        </is>
      </c>
      <c r="Q2066" t="inlineStr">
        <is>
          <t>OH</t>
        </is>
      </c>
      <c r="R2066" t="n">
        <v>44483</v>
      </c>
      <c r="AD2066" t="inlineStr">
        <is>
          <t>TRUMBULL CAREER &amp; TECH CENTER</t>
        </is>
      </c>
      <c r="AE2066" t="inlineStr">
        <is>
          <t>WARREN CITY</t>
        </is>
      </c>
      <c r="AF2066" t="inlineStr">
        <is>
          <t>WARREN CITY SD</t>
        </is>
      </c>
      <c r="AH2066" t="n">
        <v>14</v>
      </c>
      <c r="AI2066" t="n">
        <v>11</v>
      </c>
      <c r="AN2066" t="inlineStr">
        <is>
          <t>WARREN</t>
        </is>
      </c>
      <c r="AO2066" t="inlineStr">
        <is>
          <t>WARREN CITY 4D</t>
        </is>
      </c>
      <c r="AP2066" t="inlineStr">
        <is>
          <t>78-P-ADL</t>
        </is>
      </c>
      <c r="AQ2066" t="n">
        <v>9</v>
      </c>
      <c r="AR2066" t="n">
        <v>64</v>
      </c>
      <c r="AS2066" t="n">
        <v>32</v>
      </c>
      <c r="AU2066">
        <f>COUNTA($BA$2066:$EH$2066)</f>
        <v/>
      </c>
      <c r="AV2066">
        <f>COUNTIF($BA$2066:$EH$2066,"D")</f>
        <v/>
      </c>
      <c r="AW2066">
        <f>COUNTIF($BA$2066:$EH$2066,"R")</f>
        <v/>
      </c>
      <c r="AX2066">
        <f>IF(BN2066="D",1,0)+IF(BO2066="D",1,0)+IF(BT2066="D",1,0)+IF(BU2066="D",1,0)+IF(BW2066="D",1,0)+IF(CC2066="D",1,0)+IF(CD2066="D",1,0)+IF(CE2066="D",1,0)+IF(CF2066="D",1,0)+IF(CL2066="D",1,0)+IF(CM2066="D",1,0)+IF(CQ2066="D",1,0)+IF(CR2066="D",1,0)+IF(CS2066="D",1,0)+IF(CW2066="D",1,0)+IF(CX2066="D",1,0)+IF(DD2066="D",1,0)+IF(DE2066="D",1,0)+IF(DJ2066="D",1,0)+IF(DK2066="D",1,0)+IF(DO2066="D",1,0)+IF(DP2066="D",1,0)+IF(DQ2066="D",1,0)+IF(DW2066="D",1,0)+IF(DZ2066="D",1,0)+IF(EH2066="D",1,0)</f>
        <v/>
      </c>
      <c r="AY2066">
        <f>IF(DJ2066&lt;&gt;"",1,0)+IF(DK2066&lt;&gt;"",1,0)+IF(DM2066&lt;&gt;"",1,0)+IF(DO2066&lt;&gt;"",1,0)+IF(DP2066&lt;&gt;"",1,0)+IF(DQ2066&lt;&gt;"",1,0)+IF(DS2066&lt;&gt;"",1,0)+IF(DT2066&lt;&gt;"",1,0)+IF(DV2066&lt;&gt;"",1,0)+IF(DW2066&lt;&gt;"",1,0)+IF(DX2066&lt;&gt;"",1,0)+IF(DY2066&lt;&gt;"",1,0)+IF(DZ2066&lt;&gt;"",1,0)+IF(EB2066&lt;&gt;"",1,0)+IF(EC2066&lt;&gt;"",1,0)+IF(ED2066&lt;&gt;"",1,0)+IF(EG2066&lt;&gt;"",1,0)+IF(EH2066&lt;&gt;"",1,0)</f>
        <v/>
      </c>
      <c r="AZ2066">
        <f>IF(EH2066&lt;&gt;"",1,0)</f>
        <v/>
      </c>
      <c r="BB2066" t="inlineStr">
        <is>
          <t>WARREN-WARD 4</t>
        </is>
      </c>
      <c r="BL2066" t="inlineStr">
        <is>
          <t>X</t>
        </is>
      </c>
      <c r="CA2066" t="inlineStr">
        <is>
          <t>X</t>
        </is>
      </c>
    </row>
    <row r="2067">
      <c r="A2067" t="inlineStr">
        <is>
          <t>OH0015726923</t>
        </is>
      </c>
      <c r="B2067" t="n">
        <v>78</v>
      </c>
      <c r="C2067" t="n">
        <v>212103</v>
      </c>
      <c r="D2067" t="inlineStr">
        <is>
          <t>FLOWERS</t>
        </is>
      </c>
      <c r="E2067" t="inlineStr">
        <is>
          <t>FREDERICK</t>
        </is>
      </c>
      <c r="F2067">
        <f>CONCATENATE(D2067," ",LEFT(H2067,4),"T=",AU2067,"D=",AV2067,"R=",AW2067,"M=",AX2067,"L=",AY2067,"B=",AZ2067)</f>
        <v/>
      </c>
      <c r="G2067" t="inlineStr">
        <is>
          <t>A</t>
        </is>
      </c>
      <c r="I2067" t="inlineStr">
        <is>
          <t>1957-10-23</t>
        </is>
      </c>
      <c r="J2067" t="inlineStr">
        <is>
          <t>1988-10-04</t>
        </is>
      </c>
      <c r="K2067" t="inlineStr">
        <is>
          <t>ACTIVE</t>
        </is>
      </c>
      <c r="L2067" t="inlineStr">
        <is>
          <t>D</t>
        </is>
      </c>
      <c r="M2067" t="inlineStr">
        <is>
          <t>707 PAIGE AVE NE</t>
        </is>
      </c>
      <c r="N2067">
        <f>RIGHT(M2067,LEN(M2067)-FIND(" ",M2067))</f>
        <v/>
      </c>
      <c r="P2067" t="inlineStr">
        <is>
          <t>WARREN</t>
        </is>
      </c>
      <c r="Q2067" t="inlineStr">
        <is>
          <t>OH</t>
        </is>
      </c>
      <c r="R2067" t="n">
        <v>44483</v>
      </c>
      <c r="AD2067" t="inlineStr">
        <is>
          <t>TRUMBULL CAREER &amp; TECH CENTER</t>
        </is>
      </c>
      <c r="AE2067" t="inlineStr">
        <is>
          <t>WARREN CITY</t>
        </is>
      </c>
      <c r="AF2067" t="inlineStr">
        <is>
          <t>WARREN CITY SD</t>
        </is>
      </c>
      <c r="AH2067" t="n">
        <v>14</v>
      </c>
      <c r="AI2067" t="n">
        <v>11</v>
      </c>
      <c r="AN2067" t="inlineStr">
        <is>
          <t>WARREN</t>
        </is>
      </c>
      <c r="AO2067" t="inlineStr">
        <is>
          <t>WARREN CITY 4D</t>
        </is>
      </c>
      <c r="AP2067" t="inlineStr">
        <is>
          <t>78-P-ADL</t>
        </is>
      </c>
      <c r="AQ2067" t="n">
        <v>9</v>
      </c>
      <c r="AR2067" t="n">
        <v>64</v>
      </c>
      <c r="AS2067" t="n">
        <v>32</v>
      </c>
      <c r="AU2067">
        <f>COUNTA($BA$2067:$EH$2067)</f>
        <v/>
      </c>
      <c r="AV2067">
        <f>COUNTIF($BA$2067:$EH$2067,"D")</f>
        <v/>
      </c>
      <c r="AW2067">
        <f>COUNTIF($BA$2067:$EH$2067,"R")</f>
        <v/>
      </c>
      <c r="AX2067">
        <f>IF(BN2067="D",1,0)+IF(BO2067="D",1,0)+IF(BT2067="D",1,0)+IF(BU2067="D",1,0)+IF(BW2067="D",1,0)+IF(CC2067="D",1,0)+IF(CD2067="D",1,0)+IF(CE2067="D",1,0)+IF(CF2067="D",1,0)+IF(CL2067="D",1,0)+IF(CM2067="D",1,0)+IF(CQ2067="D",1,0)+IF(CR2067="D",1,0)+IF(CS2067="D",1,0)+IF(CW2067="D",1,0)+IF(CX2067="D",1,0)+IF(DD2067="D",1,0)+IF(DE2067="D",1,0)+IF(DJ2067="D",1,0)+IF(DK2067="D",1,0)+IF(DO2067="D",1,0)+IF(DP2067="D",1,0)+IF(DQ2067="D",1,0)+IF(DW2067="D",1,0)+IF(DZ2067="D",1,0)+IF(EH2067="D",1,0)</f>
        <v/>
      </c>
      <c r="AY2067">
        <f>IF(DJ2067&lt;&gt;"",1,0)+IF(DK2067&lt;&gt;"",1,0)+IF(DM2067&lt;&gt;"",1,0)+IF(DO2067&lt;&gt;"",1,0)+IF(DP2067&lt;&gt;"",1,0)+IF(DQ2067&lt;&gt;"",1,0)+IF(DS2067&lt;&gt;"",1,0)+IF(DT2067&lt;&gt;"",1,0)+IF(DV2067&lt;&gt;"",1,0)+IF(DW2067&lt;&gt;"",1,0)+IF(DX2067&lt;&gt;"",1,0)+IF(DY2067&lt;&gt;"",1,0)+IF(DZ2067&lt;&gt;"",1,0)+IF(EB2067&lt;&gt;"",1,0)+IF(EC2067&lt;&gt;"",1,0)+IF(ED2067&lt;&gt;"",1,0)+IF(EG2067&lt;&gt;"",1,0)+IF(EH2067&lt;&gt;"",1,0)</f>
        <v/>
      </c>
      <c r="AZ2067">
        <f>IF(EH2067&lt;&gt;"",1,0)</f>
        <v/>
      </c>
      <c r="BB2067" t="inlineStr">
        <is>
          <t>WARREN-WARD 4</t>
        </is>
      </c>
      <c r="BC2067" t="inlineStr">
        <is>
          <t>X</t>
        </is>
      </c>
      <c r="BD2067" t="inlineStr">
        <is>
          <t>X</t>
        </is>
      </c>
      <c r="BE2067" t="inlineStr">
        <is>
          <t>X</t>
        </is>
      </c>
      <c r="BF2067" t="inlineStr">
        <is>
          <t>X</t>
        </is>
      </c>
      <c r="BG2067" t="inlineStr">
        <is>
          <t>X</t>
        </is>
      </c>
      <c r="BH2067" t="inlineStr">
        <is>
          <t>X</t>
        </is>
      </c>
      <c r="BI2067" t="inlineStr">
        <is>
          <t>X</t>
        </is>
      </c>
      <c r="BJ2067" t="inlineStr">
        <is>
          <t>X</t>
        </is>
      </c>
      <c r="BK2067" t="inlineStr">
        <is>
          <t>X</t>
        </is>
      </c>
      <c r="BL2067" t="inlineStr">
        <is>
          <t>X</t>
        </is>
      </c>
      <c r="BP2067" t="inlineStr">
        <is>
          <t>X</t>
        </is>
      </c>
      <c r="BR2067" t="inlineStr">
        <is>
          <t>X</t>
        </is>
      </c>
      <c r="BS2067" t="inlineStr">
        <is>
          <t>X</t>
        </is>
      </c>
      <c r="BV2067" t="inlineStr">
        <is>
          <t>X</t>
        </is>
      </c>
      <c r="BY2067" t="inlineStr">
        <is>
          <t>D</t>
        </is>
      </c>
      <c r="CA2067" t="inlineStr">
        <is>
          <t>X</t>
        </is>
      </c>
      <c r="CG2067" t="inlineStr">
        <is>
          <t>X</t>
        </is>
      </c>
      <c r="CH2067" t="inlineStr">
        <is>
          <t>D</t>
        </is>
      </c>
      <c r="CK2067" t="inlineStr">
        <is>
          <t>X</t>
        </is>
      </c>
      <c r="CN2067" t="inlineStr">
        <is>
          <t>X</t>
        </is>
      </c>
      <c r="CP2067" t="inlineStr">
        <is>
          <t>X</t>
        </is>
      </c>
      <c r="CT2067" t="inlineStr">
        <is>
          <t>X</t>
        </is>
      </c>
      <c r="CV2067" t="inlineStr">
        <is>
          <t>X</t>
        </is>
      </c>
      <c r="CY2067" t="inlineStr">
        <is>
          <t>X</t>
        </is>
      </c>
      <c r="CZ2067" t="inlineStr">
        <is>
          <t>D</t>
        </is>
      </c>
      <c r="DC2067" t="inlineStr">
        <is>
          <t>X</t>
        </is>
      </c>
      <c r="DF2067" t="inlineStr">
        <is>
          <t>X</t>
        </is>
      </c>
      <c r="DG2067" t="inlineStr">
        <is>
          <t>D</t>
        </is>
      </c>
      <c r="DI2067" t="inlineStr">
        <is>
          <t>X</t>
        </is>
      </c>
      <c r="DL2067" t="inlineStr">
        <is>
          <t>X</t>
        </is>
      </c>
      <c r="DM2067" t="inlineStr">
        <is>
          <t>D</t>
        </is>
      </c>
      <c r="DN2067" t="inlineStr">
        <is>
          <t>X</t>
        </is>
      </c>
      <c r="DR2067" t="inlineStr">
        <is>
          <t>X</t>
        </is>
      </c>
      <c r="DS2067" t="inlineStr">
        <is>
          <t>D</t>
        </is>
      </c>
      <c r="DU2067" t="inlineStr">
        <is>
          <t>X</t>
        </is>
      </c>
      <c r="DX2067" t="inlineStr">
        <is>
          <t>X</t>
        </is>
      </c>
      <c r="EA2067" t="inlineStr">
        <is>
          <t>X</t>
        </is>
      </c>
      <c r="EF2067" t="inlineStr">
        <is>
          <t>X</t>
        </is>
      </c>
      <c r="EH2067" t="inlineStr">
        <is>
          <t>D</t>
        </is>
      </c>
    </row>
    <row r="2068">
      <c r="A2068" t="inlineStr">
        <is>
          <t>OH0023793852</t>
        </is>
      </c>
      <c r="B2068" t="n">
        <v>78</v>
      </c>
      <c r="C2068" t="n">
        <v>418127</v>
      </c>
      <c r="D2068" t="inlineStr">
        <is>
          <t>COMANESCU</t>
        </is>
      </c>
      <c r="E2068" t="inlineStr">
        <is>
          <t>SHELLY</t>
        </is>
      </c>
      <c r="F2068">
        <f>CONCATENATE(D2068," ",LEFT(H2068,4),"T=",AU2068,"D=",AV2068,"R=",AW2068,"M=",AX2068,"L=",AY2068,"B=",AZ2068)</f>
        <v/>
      </c>
      <c r="G2068" t="inlineStr">
        <is>
          <t>A</t>
        </is>
      </c>
      <c r="I2068" t="inlineStr">
        <is>
          <t>1968-07-10</t>
        </is>
      </c>
      <c r="J2068" t="inlineStr">
        <is>
          <t>2016-07-18</t>
        </is>
      </c>
      <c r="K2068" t="inlineStr">
        <is>
          <t>ACTIVE</t>
        </is>
      </c>
      <c r="M2068" t="inlineStr">
        <is>
          <t>178 IDDINGS AVE NE</t>
        </is>
      </c>
      <c r="N2068">
        <f>RIGHT(M2068,LEN(M2068)-FIND(" ",M2068))</f>
        <v/>
      </c>
      <c r="P2068" t="inlineStr">
        <is>
          <t>WARREN</t>
        </is>
      </c>
      <c r="Q2068" t="inlineStr">
        <is>
          <t>OH</t>
        </is>
      </c>
      <c r="R2068" t="n">
        <v>44483</v>
      </c>
      <c r="AD2068" t="inlineStr">
        <is>
          <t>TRUMBULL CAREER &amp; TECH CENTER</t>
        </is>
      </c>
      <c r="AE2068" t="inlineStr">
        <is>
          <t>WARREN CITY</t>
        </is>
      </c>
      <c r="AF2068" t="inlineStr">
        <is>
          <t>WARREN CITY SD</t>
        </is>
      </c>
      <c r="AH2068" t="n">
        <v>14</v>
      </c>
      <c r="AI2068" t="n">
        <v>11</v>
      </c>
      <c r="AN2068" t="inlineStr">
        <is>
          <t>WARREN</t>
        </is>
      </c>
      <c r="AO2068" t="inlineStr">
        <is>
          <t>WARREN CITY 4D</t>
        </is>
      </c>
      <c r="AP2068" t="inlineStr">
        <is>
          <t>78-P-ADL</t>
        </is>
      </c>
      <c r="AQ2068" t="n">
        <v>9</v>
      </c>
      <c r="AR2068" t="n">
        <v>64</v>
      </c>
      <c r="AS2068" t="n">
        <v>32</v>
      </c>
      <c r="AU2068">
        <f>COUNTA($BA$2068:$EH$2068)</f>
        <v/>
      </c>
      <c r="AV2068">
        <f>COUNTIF($BA$2068:$EH$2068,"D")</f>
        <v/>
      </c>
      <c r="AW2068">
        <f>COUNTIF($BA$2068:$EH$2068,"R")</f>
        <v/>
      </c>
      <c r="AX2068">
        <f>IF(BN2068="D",1,0)+IF(BO2068="D",1,0)+IF(BT2068="D",1,0)+IF(BU2068="D",1,0)+IF(BW2068="D",1,0)+IF(CC2068="D",1,0)+IF(CD2068="D",1,0)+IF(CE2068="D",1,0)+IF(CF2068="D",1,0)+IF(CL2068="D",1,0)+IF(CM2068="D",1,0)+IF(CQ2068="D",1,0)+IF(CR2068="D",1,0)+IF(CS2068="D",1,0)+IF(CW2068="D",1,0)+IF(CX2068="D",1,0)+IF(DD2068="D",1,0)+IF(DE2068="D",1,0)+IF(DJ2068="D",1,0)+IF(DK2068="D",1,0)+IF(DO2068="D",1,0)+IF(DP2068="D",1,0)+IF(DQ2068="D",1,0)+IF(DW2068="D",1,0)+IF(DZ2068="D",1,0)+IF(EH2068="D",1,0)</f>
        <v/>
      </c>
      <c r="AY2068">
        <f>IF(DJ2068&lt;&gt;"",1,0)+IF(DK2068&lt;&gt;"",1,0)+IF(DM2068&lt;&gt;"",1,0)+IF(DO2068&lt;&gt;"",1,0)+IF(DP2068&lt;&gt;"",1,0)+IF(DQ2068&lt;&gt;"",1,0)+IF(DS2068&lt;&gt;"",1,0)+IF(DT2068&lt;&gt;"",1,0)+IF(DV2068&lt;&gt;"",1,0)+IF(DW2068&lt;&gt;"",1,0)+IF(DX2068&lt;&gt;"",1,0)+IF(DY2068&lt;&gt;"",1,0)+IF(DZ2068&lt;&gt;"",1,0)+IF(EB2068&lt;&gt;"",1,0)+IF(EC2068&lt;&gt;"",1,0)+IF(ED2068&lt;&gt;"",1,0)+IF(EG2068&lt;&gt;"",1,0)+IF(EH2068&lt;&gt;"",1,0)</f>
        <v/>
      </c>
      <c r="AZ2068">
        <f>IF(EH2068&lt;&gt;"",1,0)</f>
        <v/>
      </c>
      <c r="BB2068" t="inlineStr">
        <is>
          <t>WARREN-WARD 4</t>
        </is>
      </c>
      <c r="BD2068" t="inlineStr">
        <is>
          <t>X</t>
        </is>
      </c>
      <c r="CA2068" t="inlineStr">
        <is>
          <t>X</t>
        </is>
      </c>
      <c r="DC2068" t="inlineStr">
        <is>
          <t>X</t>
        </is>
      </c>
      <c r="DN2068" t="inlineStr">
        <is>
          <t>X</t>
        </is>
      </c>
      <c r="EF2068" t="inlineStr">
        <is>
          <t>X</t>
        </is>
      </c>
    </row>
    <row r="2069">
      <c r="A2069" t="inlineStr">
        <is>
          <t>OH0020288104</t>
        </is>
      </c>
      <c r="B2069" t="n">
        <v>78</v>
      </c>
      <c r="C2069" t="n">
        <v>365101</v>
      </c>
      <c r="D2069" t="inlineStr">
        <is>
          <t>MITCHELL</t>
        </is>
      </c>
      <c r="E2069" t="inlineStr">
        <is>
          <t>JOHNNIE</t>
        </is>
      </c>
      <c r="F2069">
        <f>CONCATENATE(D2069," ",LEFT(H2069,4),"T=",AU2069,"D=",AV2069,"R=",AW2069,"M=",AX2069,"L=",AY2069,"B=",AZ2069)</f>
        <v/>
      </c>
      <c r="G2069" t="inlineStr">
        <is>
          <t>R</t>
        </is>
      </c>
      <c r="I2069" t="inlineStr">
        <is>
          <t>1959-05-24</t>
        </is>
      </c>
      <c r="J2069" t="inlineStr">
        <is>
          <t>2016-08-01</t>
        </is>
      </c>
      <c r="K2069" t="inlineStr">
        <is>
          <t>CONFIRMATION</t>
        </is>
      </c>
      <c r="M2069" t="inlineStr">
        <is>
          <t>300 SCOTT ST NE</t>
        </is>
      </c>
      <c r="N2069">
        <f>RIGHT(M2069,LEN(M2069)-FIND(" ",M2069))</f>
        <v/>
      </c>
      <c r="O2069" t="inlineStr">
        <is>
          <t>APT 5</t>
        </is>
      </c>
      <c r="P2069" t="inlineStr">
        <is>
          <t>WARREN</t>
        </is>
      </c>
      <c r="Q2069" t="inlineStr">
        <is>
          <t>OH</t>
        </is>
      </c>
      <c r="R2069" t="n">
        <v>44483</v>
      </c>
      <c r="AD2069" t="inlineStr">
        <is>
          <t>TRUMBULL CAREER &amp; TECH CENTER</t>
        </is>
      </c>
      <c r="AE2069" t="inlineStr">
        <is>
          <t>WARREN CITY</t>
        </is>
      </c>
      <c r="AF2069" t="inlineStr">
        <is>
          <t>WARREN CITY SD</t>
        </is>
      </c>
      <c r="AH2069" t="n">
        <v>14</v>
      </c>
      <c r="AI2069" t="n">
        <v>11</v>
      </c>
      <c r="AN2069" t="inlineStr">
        <is>
          <t>WARREN</t>
        </is>
      </c>
      <c r="AO2069" t="inlineStr">
        <is>
          <t>WARREN CITY 4D</t>
        </is>
      </c>
      <c r="AP2069" t="inlineStr">
        <is>
          <t>78-P-ADL</t>
        </is>
      </c>
      <c r="AQ2069" t="n">
        <v>9</v>
      </c>
      <c r="AR2069" t="n">
        <v>64</v>
      </c>
      <c r="AS2069" t="n">
        <v>32</v>
      </c>
      <c r="AU2069">
        <f>COUNTA($BA$2069:$EH$2069)</f>
        <v/>
      </c>
      <c r="AV2069">
        <f>COUNTIF($BA$2069:$EH$2069,"D")</f>
        <v/>
      </c>
      <c r="AW2069">
        <f>COUNTIF($BA$2069:$EH$2069,"R")</f>
        <v/>
      </c>
      <c r="AX2069">
        <f>IF(BN2069="D",1,0)+IF(BO2069="D",1,0)+IF(BT2069="D",1,0)+IF(BU2069="D",1,0)+IF(BW2069="D",1,0)+IF(CC2069="D",1,0)+IF(CD2069="D",1,0)+IF(CE2069="D",1,0)+IF(CF2069="D",1,0)+IF(CL2069="D",1,0)+IF(CM2069="D",1,0)+IF(CQ2069="D",1,0)+IF(CR2069="D",1,0)+IF(CS2069="D",1,0)+IF(CW2069="D",1,0)+IF(CX2069="D",1,0)+IF(DD2069="D",1,0)+IF(DE2069="D",1,0)+IF(DJ2069="D",1,0)+IF(DK2069="D",1,0)+IF(DO2069="D",1,0)+IF(DP2069="D",1,0)+IF(DQ2069="D",1,0)+IF(DW2069="D",1,0)+IF(DZ2069="D",1,0)+IF(EH2069="D",1,0)</f>
        <v/>
      </c>
      <c r="AY2069">
        <f>IF(DJ2069&lt;&gt;"",1,0)+IF(DK2069&lt;&gt;"",1,0)+IF(DM2069&lt;&gt;"",1,0)+IF(DO2069&lt;&gt;"",1,0)+IF(DP2069&lt;&gt;"",1,0)+IF(DQ2069&lt;&gt;"",1,0)+IF(DS2069&lt;&gt;"",1,0)+IF(DT2069&lt;&gt;"",1,0)+IF(DV2069&lt;&gt;"",1,0)+IF(DW2069&lt;&gt;"",1,0)+IF(DX2069&lt;&gt;"",1,0)+IF(DY2069&lt;&gt;"",1,0)+IF(DZ2069&lt;&gt;"",1,0)+IF(EB2069&lt;&gt;"",1,0)+IF(EC2069&lt;&gt;"",1,0)+IF(ED2069&lt;&gt;"",1,0)+IF(EG2069&lt;&gt;"",1,0)+IF(EH2069&lt;&gt;"",1,0)</f>
        <v/>
      </c>
      <c r="AZ2069">
        <f>IF(EH2069&lt;&gt;"",1,0)</f>
        <v/>
      </c>
      <c r="BB2069" t="inlineStr">
        <is>
          <t>WARREN-WARD 4</t>
        </is>
      </c>
    </row>
    <row r="2070">
      <c r="A2070" t="inlineStr">
        <is>
          <t>OH0025204091</t>
        </is>
      </c>
      <c r="B2070" t="n">
        <v>78</v>
      </c>
      <c r="C2070" t="n">
        <v>441252</v>
      </c>
      <c r="D2070" t="inlineStr">
        <is>
          <t>WEBER</t>
        </is>
      </c>
      <c r="E2070" t="inlineStr">
        <is>
          <t>JARALEE</t>
        </is>
      </c>
      <c r="F2070">
        <f>CONCATENATE(D2070," ",LEFT(H2070,4),"T=",AU2070,"D=",AV2070,"R=",AW2070,"M=",AX2070,"L=",AY2070,"B=",AZ2070)</f>
        <v/>
      </c>
      <c r="G2070" t="inlineStr">
        <is>
          <t>LUCILLE</t>
        </is>
      </c>
      <c r="I2070" t="inlineStr">
        <is>
          <t>1981-06-03</t>
        </is>
      </c>
      <c r="J2070" t="inlineStr">
        <is>
          <t>2019-09-09</t>
        </is>
      </c>
      <c r="K2070" t="inlineStr">
        <is>
          <t>CONFIRMATION</t>
        </is>
      </c>
      <c r="M2070" t="inlineStr">
        <is>
          <t>916 E MARKET ST</t>
        </is>
      </c>
      <c r="N2070">
        <f>RIGHT(M2070,LEN(M2070)-FIND(" ",M2070))</f>
        <v/>
      </c>
      <c r="P2070" t="inlineStr">
        <is>
          <t>WARREN</t>
        </is>
      </c>
      <c r="Q2070" t="inlineStr">
        <is>
          <t>OH</t>
        </is>
      </c>
      <c r="R2070" t="n">
        <v>44483</v>
      </c>
      <c r="AD2070" t="inlineStr">
        <is>
          <t>TRUMBULL CAREER &amp; TECH CENTER</t>
        </is>
      </c>
      <c r="AE2070" t="inlineStr">
        <is>
          <t>WARREN CITY</t>
        </is>
      </c>
      <c r="AF2070" t="inlineStr">
        <is>
          <t>WARREN CITY SD</t>
        </is>
      </c>
      <c r="AH2070" t="n">
        <v>14</v>
      </c>
      <c r="AI2070" t="n">
        <v>11</v>
      </c>
      <c r="AN2070" t="inlineStr">
        <is>
          <t>WARREN</t>
        </is>
      </c>
      <c r="AO2070" t="inlineStr">
        <is>
          <t>WARREN CITY 4D</t>
        </is>
      </c>
      <c r="AP2070" t="inlineStr">
        <is>
          <t>78-P-ADL</t>
        </is>
      </c>
      <c r="AQ2070" t="n">
        <v>9</v>
      </c>
      <c r="AR2070" t="n">
        <v>64</v>
      </c>
      <c r="AS2070" t="n">
        <v>32</v>
      </c>
      <c r="AU2070">
        <f>COUNTA($BA$2070:$EH$2070)</f>
        <v/>
      </c>
      <c r="AV2070">
        <f>COUNTIF($BA$2070:$EH$2070,"D")</f>
        <v/>
      </c>
      <c r="AW2070">
        <f>COUNTIF($BA$2070:$EH$2070,"R")</f>
        <v/>
      </c>
      <c r="AX2070">
        <f>IF(BN2070="D",1,0)+IF(BO2070="D",1,0)+IF(BT2070="D",1,0)+IF(BU2070="D",1,0)+IF(BW2070="D",1,0)+IF(CC2070="D",1,0)+IF(CD2070="D",1,0)+IF(CE2070="D",1,0)+IF(CF2070="D",1,0)+IF(CL2070="D",1,0)+IF(CM2070="D",1,0)+IF(CQ2070="D",1,0)+IF(CR2070="D",1,0)+IF(CS2070="D",1,0)+IF(CW2070="D",1,0)+IF(CX2070="D",1,0)+IF(DD2070="D",1,0)+IF(DE2070="D",1,0)+IF(DJ2070="D",1,0)+IF(DK2070="D",1,0)+IF(DO2070="D",1,0)+IF(DP2070="D",1,0)+IF(DQ2070="D",1,0)+IF(DW2070="D",1,0)+IF(DZ2070="D",1,0)+IF(EH2070="D",1,0)</f>
        <v/>
      </c>
      <c r="AY2070">
        <f>IF(DJ2070&lt;&gt;"",1,0)+IF(DK2070&lt;&gt;"",1,0)+IF(DM2070&lt;&gt;"",1,0)+IF(DO2070&lt;&gt;"",1,0)+IF(DP2070&lt;&gt;"",1,0)+IF(DQ2070&lt;&gt;"",1,0)+IF(DS2070&lt;&gt;"",1,0)+IF(DT2070&lt;&gt;"",1,0)+IF(DV2070&lt;&gt;"",1,0)+IF(DW2070&lt;&gt;"",1,0)+IF(DX2070&lt;&gt;"",1,0)+IF(DY2070&lt;&gt;"",1,0)+IF(DZ2070&lt;&gt;"",1,0)+IF(EB2070&lt;&gt;"",1,0)+IF(EC2070&lt;&gt;"",1,0)+IF(ED2070&lt;&gt;"",1,0)+IF(EG2070&lt;&gt;"",1,0)+IF(EH2070&lt;&gt;"",1,0)</f>
        <v/>
      </c>
      <c r="AZ2070">
        <f>IF(EH2070&lt;&gt;"",1,0)</f>
        <v/>
      </c>
      <c r="BB2070" t="inlineStr">
        <is>
          <t>WARREN-WARD 4</t>
        </is>
      </c>
      <c r="DN2070" t="inlineStr">
        <is>
          <t>X</t>
        </is>
      </c>
    </row>
    <row r="2071">
      <c r="A2071" t="inlineStr">
        <is>
          <t>OH0015745835</t>
        </is>
      </c>
      <c r="B2071" t="n">
        <v>78</v>
      </c>
      <c r="C2071" t="n">
        <v>322153</v>
      </c>
      <c r="D2071" t="inlineStr">
        <is>
          <t>THOMAS</t>
        </is>
      </c>
      <c r="E2071" t="inlineStr">
        <is>
          <t>LAWRENCE</t>
        </is>
      </c>
      <c r="F2071">
        <f>CONCATENATE(D2071," ",LEFT(H2071,4),"T=",AU2071,"D=",AV2071,"R=",AW2071,"M=",AX2071,"L=",AY2071,"B=",AZ2071)</f>
        <v/>
      </c>
      <c r="G2071" t="inlineStr">
        <is>
          <t>B</t>
        </is>
      </c>
      <c r="I2071" t="inlineStr">
        <is>
          <t>1972-10-17</t>
        </is>
      </c>
      <c r="J2071" t="inlineStr">
        <is>
          <t>2018-08-07</t>
        </is>
      </c>
      <c r="K2071" t="inlineStr">
        <is>
          <t>CONFIRMATION</t>
        </is>
      </c>
      <c r="M2071" t="inlineStr">
        <is>
          <t>124 LOGAN AVE NE</t>
        </is>
      </c>
      <c r="N2071">
        <f>RIGHT(M2071,LEN(M2071)-FIND(" ",M2071))</f>
        <v/>
      </c>
      <c r="O2071" t="inlineStr">
        <is>
          <t>APT B</t>
        </is>
      </c>
      <c r="P2071" t="inlineStr">
        <is>
          <t>WARREN</t>
        </is>
      </c>
      <c r="Q2071" t="inlineStr">
        <is>
          <t>OH</t>
        </is>
      </c>
      <c r="R2071" t="n">
        <v>44483</v>
      </c>
      <c r="AD2071" t="inlineStr">
        <is>
          <t>TRUMBULL CAREER &amp; TECH CENTER</t>
        </is>
      </c>
      <c r="AE2071" t="inlineStr">
        <is>
          <t>WARREN CITY</t>
        </is>
      </c>
      <c r="AF2071" t="inlineStr">
        <is>
          <t>WARREN CITY SD</t>
        </is>
      </c>
      <c r="AH2071" t="n">
        <v>14</v>
      </c>
      <c r="AI2071" t="n">
        <v>11</v>
      </c>
      <c r="AN2071" t="inlineStr">
        <is>
          <t>WARREN</t>
        </is>
      </c>
      <c r="AO2071" t="inlineStr">
        <is>
          <t>WARREN CITY 4D</t>
        </is>
      </c>
      <c r="AP2071" t="inlineStr">
        <is>
          <t>78-P-ADL</t>
        </is>
      </c>
      <c r="AQ2071" t="n">
        <v>9</v>
      </c>
      <c r="AR2071" t="n">
        <v>64</v>
      </c>
      <c r="AS2071" t="n">
        <v>32</v>
      </c>
      <c r="AU2071">
        <f>COUNTA($BA$2071:$EH$2071)</f>
        <v/>
      </c>
      <c r="AV2071">
        <f>COUNTIF($BA$2071:$EH$2071,"D")</f>
        <v/>
      </c>
      <c r="AW2071">
        <f>COUNTIF($BA$2071:$EH$2071,"R")</f>
        <v/>
      </c>
      <c r="AX2071">
        <f>IF(BN2071="D",1,0)+IF(BO2071="D",1,0)+IF(BT2071="D",1,0)+IF(BU2071="D",1,0)+IF(BW2071="D",1,0)+IF(CC2071="D",1,0)+IF(CD2071="D",1,0)+IF(CE2071="D",1,0)+IF(CF2071="D",1,0)+IF(CL2071="D",1,0)+IF(CM2071="D",1,0)+IF(CQ2071="D",1,0)+IF(CR2071="D",1,0)+IF(CS2071="D",1,0)+IF(CW2071="D",1,0)+IF(CX2071="D",1,0)+IF(DD2071="D",1,0)+IF(DE2071="D",1,0)+IF(DJ2071="D",1,0)+IF(DK2071="D",1,0)+IF(DO2071="D",1,0)+IF(DP2071="D",1,0)+IF(DQ2071="D",1,0)+IF(DW2071="D",1,0)+IF(DZ2071="D",1,0)+IF(EH2071="D",1,0)</f>
        <v/>
      </c>
      <c r="AY2071">
        <f>IF(DJ2071&lt;&gt;"",1,0)+IF(DK2071&lt;&gt;"",1,0)+IF(DM2071&lt;&gt;"",1,0)+IF(DO2071&lt;&gt;"",1,0)+IF(DP2071&lt;&gt;"",1,0)+IF(DQ2071&lt;&gt;"",1,0)+IF(DS2071&lt;&gt;"",1,0)+IF(DT2071&lt;&gt;"",1,0)+IF(DV2071&lt;&gt;"",1,0)+IF(DW2071&lt;&gt;"",1,0)+IF(DX2071&lt;&gt;"",1,0)+IF(DY2071&lt;&gt;"",1,0)+IF(DZ2071&lt;&gt;"",1,0)+IF(EB2071&lt;&gt;"",1,0)+IF(EC2071&lt;&gt;"",1,0)+IF(ED2071&lt;&gt;"",1,0)+IF(EG2071&lt;&gt;"",1,0)+IF(EH2071&lt;&gt;"",1,0)</f>
        <v/>
      </c>
      <c r="AZ2071">
        <f>IF(EH2071&lt;&gt;"",1,0)</f>
        <v/>
      </c>
      <c r="BB2071" t="inlineStr">
        <is>
          <t>WARREN-WARD 4</t>
        </is>
      </c>
      <c r="BL2071" t="inlineStr">
        <is>
          <t>X</t>
        </is>
      </c>
    </row>
    <row r="2072">
      <c r="A2072" t="inlineStr">
        <is>
          <t>OH0015823557</t>
        </is>
      </c>
      <c r="B2072" t="n">
        <v>78</v>
      </c>
      <c r="C2072" t="n">
        <v>288421</v>
      </c>
      <c r="D2072" t="inlineStr">
        <is>
          <t>RAMSEY</t>
        </is>
      </c>
      <c r="E2072" t="inlineStr">
        <is>
          <t>LISA</t>
        </is>
      </c>
      <c r="F2072">
        <f>CONCATENATE(D2072," ",LEFT(H2072,4),"T=",AU2072,"D=",AV2072,"R=",AW2072,"M=",AX2072,"L=",AY2072,"B=",AZ2072)</f>
        <v/>
      </c>
      <c r="G2072" t="inlineStr">
        <is>
          <t>M</t>
        </is>
      </c>
      <c r="I2072" t="inlineStr">
        <is>
          <t>1980-12-15</t>
        </is>
      </c>
      <c r="J2072" t="inlineStr">
        <is>
          <t>2013-12-23</t>
        </is>
      </c>
      <c r="K2072" t="inlineStr">
        <is>
          <t>ACTIVE</t>
        </is>
      </c>
      <c r="L2072" t="inlineStr">
        <is>
          <t>D</t>
        </is>
      </c>
      <c r="M2072" t="inlineStr">
        <is>
          <t>631 WASHINGTON ST NE</t>
        </is>
      </c>
      <c r="N2072">
        <f>RIGHT(M2072,LEN(M2072)-FIND(" ",M2072))</f>
        <v/>
      </c>
      <c r="P2072" t="inlineStr">
        <is>
          <t>WARREN</t>
        </is>
      </c>
      <c r="Q2072" t="inlineStr">
        <is>
          <t>OH</t>
        </is>
      </c>
      <c r="R2072" t="n">
        <v>44483</v>
      </c>
      <c r="S2072" t="n">
        <v>4934</v>
      </c>
      <c r="AD2072" t="inlineStr">
        <is>
          <t>TRUMBULL CAREER &amp; TECH CENTER</t>
        </is>
      </c>
      <c r="AE2072" t="inlineStr">
        <is>
          <t>WARREN CITY</t>
        </is>
      </c>
      <c r="AF2072" t="inlineStr">
        <is>
          <t>WARREN CITY SD</t>
        </is>
      </c>
      <c r="AH2072" t="n">
        <v>14</v>
      </c>
      <c r="AI2072" t="n">
        <v>11</v>
      </c>
      <c r="AN2072" t="inlineStr">
        <is>
          <t>WARREN</t>
        </is>
      </c>
      <c r="AO2072" t="inlineStr">
        <is>
          <t>WARREN CITY 4D</t>
        </is>
      </c>
      <c r="AP2072" t="inlineStr">
        <is>
          <t>78-P-ADL</t>
        </is>
      </c>
      <c r="AQ2072" t="n">
        <v>9</v>
      </c>
      <c r="AR2072" t="n">
        <v>64</v>
      </c>
      <c r="AS2072" t="n">
        <v>32</v>
      </c>
      <c r="AU2072">
        <f>COUNTA($BA$2072:$EH$2072)</f>
        <v/>
      </c>
      <c r="AV2072">
        <f>COUNTIF($BA$2072:$EH$2072,"D")</f>
        <v/>
      </c>
      <c r="AW2072">
        <f>COUNTIF($BA$2072:$EH$2072,"R")</f>
        <v/>
      </c>
      <c r="AX2072">
        <f>IF(BN2072="D",1,0)+IF(BO2072="D",1,0)+IF(BT2072="D",1,0)+IF(BU2072="D",1,0)+IF(BW2072="D",1,0)+IF(CC2072="D",1,0)+IF(CD2072="D",1,0)+IF(CE2072="D",1,0)+IF(CF2072="D",1,0)+IF(CL2072="D",1,0)+IF(CM2072="D",1,0)+IF(CQ2072="D",1,0)+IF(CR2072="D",1,0)+IF(CS2072="D",1,0)+IF(CW2072="D",1,0)+IF(CX2072="D",1,0)+IF(DD2072="D",1,0)+IF(DE2072="D",1,0)+IF(DJ2072="D",1,0)+IF(DK2072="D",1,0)+IF(DO2072="D",1,0)+IF(DP2072="D",1,0)+IF(DQ2072="D",1,0)+IF(DW2072="D",1,0)+IF(DZ2072="D",1,0)+IF(EH2072="D",1,0)</f>
        <v/>
      </c>
      <c r="AY2072">
        <f>IF(DJ2072&lt;&gt;"",1,0)+IF(DK2072&lt;&gt;"",1,0)+IF(DM2072&lt;&gt;"",1,0)+IF(DO2072&lt;&gt;"",1,0)+IF(DP2072&lt;&gt;"",1,0)+IF(DQ2072&lt;&gt;"",1,0)+IF(DS2072&lt;&gt;"",1,0)+IF(DT2072&lt;&gt;"",1,0)+IF(DV2072&lt;&gt;"",1,0)+IF(DW2072&lt;&gt;"",1,0)+IF(DX2072&lt;&gt;"",1,0)+IF(DY2072&lt;&gt;"",1,0)+IF(DZ2072&lt;&gt;"",1,0)+IF(EB2072&lt;&gt;"",1,0)+IF(EC2072&lt;&gt;"",1,0)+IF(ED2072&lt;&gt;"",1,0)+IF(EG2072&lt;&gt;"",1,0)+IF(EH2072&lt;&gt;"",1,0)</f>
        <v/>
      </c>
      <c r="AZ2072">
        <f>IF(EH2072&lt;&gt;"",1,0)</f>
        <v/>
      </c>
      <c r="BB2072" t="inlineStr">
        <is>
          <t>WARREN-WARD 4</t>
        </is>
      </c>
      <c r="BD2072" t="inlineStr">
        <is>
          <t>X</t>
        </is>
      </c>
      <c r="BK2072" t="inlineStr">
        <is>
          <t>X</t>
        </is>
      </c>
      <c r="BL2072" t="inlineStr">
        <is>
          <t>X</t>
        </is>
      </c>
      <c r="BR2072" t="inlineStr">
        <is>
          <t>X</t>
        </is>
      </c>
      <c r="BS2072" t="inlineStr">
        <is>
          <t>X</t>
        </is>
      </c>
      <c r="BY2072" t="inlineStr">
        <is>
          <t>R</t>
        </is>
      </c>
      <c r="CA2072" t="inlineStr">
        <is>
          <t>X</t>
        </is>
      </c>
      <c r="CG2072" t="inlineStr">
        <is>
          <t>X</t>
        </is>
      </c>
      <c r="CK2072" t="inlineStr">
        <is>
          <t>X</t>
        </is>
      </c>
      <c r="CL2072" t="inlineStr">
        <is>
          <t>X</t>
        </is>
      </c>
      <c r="CP2072" t="inlineStr">
        <is>
          <t>X</t>
        </is>
      </c>
      <c r="CQ2072" t="inlineStr">
        <is>
          <t>X</t>
        </is>
      </c>
      <c r="CW2072" t="inlineStr">
        <is>
          <t>D</t>
        </is>
      </c>
      <c r="CY2072" t="inlineStr">
        <is>
          <t>X</t>
        </is>
      </c>
      <c r="CZ2072" t="inlineStr">
        <is>
          <t>D</t>
        </is>
      </c>
      <c r="DC2072" t="inlineStr">
        <is>
          <t>X</t>
        </is>
      </c>
      <c r="DG2072" t="inlineStr">
        <is>
          <t>D</t>
        </is>
      </c>
      <c r="DI2072" t="inlineStr">
        <is>
          <t>X</t>
        </is>
      </c>
      <c r="DJ2072" t="inlineStr">
        <is>
          <t>D</t>
        </is>
      </c>
      <c r="DL2072" t="inlineStr">
        <is>
          <t>X</t>
        </is>
      </c>
      <c r="DN2072" t="inlineStr">
        <is>
          <t>X</t>
        </is>
      </c>
      <c r="DS2072" t="inlineStr">
        <is>
          <t>D</t>
        </is>
      </c>
      <c r="DU2072" t="inlineStr">
        <is>
          <t>X</t>
        </is>
      </c>
      <c r="DW2072" t="inlineStr">
        <is>
          <t>D</t>
        </is>
      </c>
      <c r="EA2072" t="inlineStr">
        <is>
          <t>X</t>
        </is>
      </c>
      <c r="ED2072" t="inlineStr">
        <is>
          <t>D</t>
        </is>
      </c>
      <c r="EF2072" t="inlineStr">
        <is>
          <t>X</t>
        </is>
      </c>
      <c r="EH2072" t="inlineStr">
        <is>
          <t>D</t>
        </is>
      </c>
    </row>
    <row r="2073">
      <c r="A2073" t="inlineStr">
        <is>
          <t>OH0024625593</t>
        </is>
      </c>
      <c r="B2073" t="n">
        <v>78</v>
      </c>
      <c r="C2073" t="n">
        <v>431590</v>
      </c>
      <c r="D2073" t="inlineStr">
        <is>
          <t>PARKER</t>
        </is>
      </c>
      <c r="E2073" t="inlineStr">
        <is>
          <t>JORDAN</t>
        </is>
      </c>
      <c r="F2073">
        <f>CONCATENATE(D2073," ",LEFT(H2073,4),"T=",AU2073,"D=",AV2073,"R=",AW2073,"M=",AX2073,"L=",AY2073,"B=",AZ2073)</f>
        <v/>
      </c>
      <c r="G2073" t="inlineStr">
        <is>
          <t>C</t>
        </is>
      </c>
      <c r="I2073" t="inlineStr">
        <is>
          <t>1989-02-17</t>
        </is>
      </c>
      <c r="J2073" t="inlineStr">
        <is>
          <t>2018-04-12</t>
        </is>
      </c>
      <c r="K2073" t="inlineStr">
        <is>
          <t>ACTIVE</t>
        </is>
      </c>
      <c r="M2073" t="inlineStr">
        <is>
          <t>276 N PARK AVE</t>
        </is>
      </c>
      <c r="N2073">
        <f>RIGHT(M2073,LEN(M2073)-FIND(" ",M2073))</f>
        <v/>
      </c>
      <c r="P2073" t="inlineStr">
        <is>
          <t>WARREN</t>
        </is>
      </c>
      <c r="Q2073" t="inlineStr">
        <is>
          <t>OH</t>
        </is>
      </c>
      <c r="R2073" t="n">
        <v>44481</v>
      </c>
      <c r="AD2073" t="inlineStr">
        <is>
          <t>TRUMBULL CAREER &amp; TECH CENTER</t>
        </is>
      </c>
      <c r="AE2073" t="inlineStr">
        <is>
          <t>WARREN CITY</t>
        </is>
      </c>
      <c r="AF2073" t="inlineStr">
        <is>
          <t>WARREN CITY SD</t>
        </is>
      </c>
      <c r="AH2073" t="n">
        <v>14</v>
      </c>
      <c r="AI2073" t="n">
        <v>11</v>
      </c>
      <c r="AN2073" t="inlineStr">
        <is>
          <t>WARREN</t>
        </is>
      </c>
      <c r="AO2073" t="inlineStr">
        <is>
          <t>WARREN CITY 4D</t>
        </is>
      </c>
      <c r="AP2073" t="inlineStr">
        <is>
          <t>78-P-ADL</t>
        </is>
      </c>
      <c r="AQ2073" t="n">
        <v>9</v>
      </c>
      <c r="AR2073" t="n">
        <v>64</v>
      </c>
      <c r="AS2073" t="n">
        <v>32</v>
      </c>
      <c r="AU2073">
        <f>COUNTA($BA$2073:$EH$2073)</f>
        <v/>
      </c>
      <c r="AV2073">
        <f>COUNTIF($BA$2073:$EH$2073,"D")</f>
        <v/>
      </c>
      <c r="AW2073">
        <f>COUNTIF($BA$2073:$EH$2073,"R")</f>
        <v/>
      </c>
      <c r="AX2073">
        <f>IF(BN2073="D",1,0)+IF(BO2073="D",1,0)+IF(BT2073="D",1,0)+IF(BU2073="D",1,0)+IF(BW2073="D",1,0)+IF(CC2073="D",1,0)+IF(CD2073="D",1,0)+IF(CE2073="D",1,0)+IF(CF2073="D",1,0)+IF(CL2073="D",1,0)+IF(CM2073="D",1,0)+IF(CQ2073="D",1,0)+IF(CR2073="D",1,0)+IF(CS2073="D",1,0)+IF(CW2073="D",1,0)+IF(CX2073="D",1,0)+IF(DD2073="D",1,0)+IF(DE2073="D",1,0)+IF(DJ2073="D",1,0)+IF(DK2073="D",1,0)+IF(DO2073="D",1,0)+IF(DP2073="D",1,0)+IF(DQ2073="D",1,0)+IF(DW2073="D",1,0)+IF(DZ2073="D",1,0)+IF(EH2073="D",1,0)</f>
        <v/>
      </c>
      <c r="AY2073">
        <f>IF(DJ2073&lt;&gt;"",1,0)+IF(DK2073&lt;&gt;"",1,0)+IF(DM2073&lt;&gt;"",1,0)+IF(DO2073&lt;&gt;"",1,0)+IF(DP2073&lt;&gt;"",1,0)+IF(DQ2073&lt;&gt;"",1,0)+IF(DS2073&lt;&gt;"",1,0)+IF(DT2073&lt;&gt;"",1,0)+IF(DV2073&lt;&gt;"",1,0)+IF(DW2073&lt;&gt;"",1,0)+IF(DX2073&lt;&gt;"",1,0)+IF(DY2073&lt;&gt;"",1,0)+IF(DZ2073&lt;&gt;"",1,0)+IF(EB2073&lt;&gt;"",1,0)+IF(EC2073&lt;&gt;"",1,0)+IF(ED2073&lt;&gt;"",1,0)+IF(EG2073&lt;&gt;"",1,0)+IF(EH2073&lt;&gt;"",1,0)</f>
        <v/>
      </c>
      <c r="AZ2073">
        <f>IF(EH2073&lt;&gt;"",1,0)</f>
        <v/>
      </c>
      <c r="BB2073" t="inlineStr">
        <is>
          <t>WARREN-WARD 4</t>
        </is>
      </c>
    </row>
    <row r="2074">
      <c r="A2074" t="inlineStr">
        <is>
          <t>OH0025781493</t>
        </is>
      </c>
      <c r="B2074" t="n">
        <v>78</v>
      </c>
      <c r="C2074" t="n">
        <v>450293</v>
      </c>
      <c r="D2074" t="inlineStr">
        <is>
          <t>TREHARN</t>
        </is>
      </c>
      <c r="E2074" t="inlineStr">
        <is>
          <t>MICHAEL</t>
        </is>
      </c>
      <c r="F2074">
        <f>CONCATENATE(D2074," ",LEFT(H2074,4),"T=",AU2074,"D=",AV2074,"R=",AW2074,"M=",AX2074,"L=",AY2074,"B=",AZ2074)</f>
        <v/>
      </c>
      <c r="G2074" t="inlineStr">
        <is>
          <t>LOUIS</t>
        </is>
      </c>
      <c r="I2074" t="inlineStr">
        <is>
          <t>1952-02-13</t>
        </is>
      </c>
      <c r="J2074" t="inlineStr">
        <is>
          <t>2020-09-04</t>
        </is>
      </c>
      <c r="K2074" t="inlineStr">
        <is>
          <t>ACTIVE</t>
        </is>
      </c>
      <c r="L2074" t="inlineStr">
        <is>
          <t>D</t>
        </is>
      </c>
      <c r="M2074" t="inlineStr">
        <is>
          <t>417 LOGAN AVE NE</t>
        </is>
      </c>
      <c r="N2074">
        <f>RIGHT(M2074,LEN(M2074)-FIND(" ",M2074))</f>
        <v/>
      </c>
      <c r="P2074" t="inlineStr">
        <is>
          <t>WARREN</t>
        </is>
      </c>
      <c r="Q2074" t="inlineStr">
        <is>
          <t>OH</t>
        </is>
      </c>
      <c r="R2074" t="n">
        <v>44483</v>
      </c>
      <c r="AD2074" t="inlineStr">
        <is>
          <t>TRUMBULL CAREER &amp; TECH CENTER</t>
        </is>
      </c>
      <c r="AE2074" t="inlineStr">
        <is>
          <t>WARREN CITY</t>
        </is>
      </c>
      <c r="AF2074" t="inlineStr">
        <is>
          <t>WARREN CITY SD</t>
        </is>
      </c>
      <c r="AH2074" t="n">
        <v>14</v>
      </c>
      <c r="AI2074" t="n">
        <v>11</v>
      </c>
      <c r="AN2074" t="inlineStr">
        <is>
          <t>WARREN</t>
        </is>
      </c>
      <c r="AO2074" t="inlineStr">
        <is>
          <t>WARREN CITY 4D</t>
        </is>
      </c>
      <c r="AP2074" t="inlineStr">
        <is>
          <t>78-P-ADL</t>
        </is>
      </c>
      <c r="AQ2074" t="n">
        <v>9</v>
      </c>
      <c r="AR2074" t="n">
        <v>64</v>
      </c>
      <c r="AS2074" t="n">
        <v>32</v>
      </c>
      <c r="AU2074">
        <f>COUNTA($BA$2074:$EH$2074)</f>
        <v/>
      </c>
      <c r="AV2074">
        <f>COUNTIF($BA$2074:$EH$2074,"D")</f>
        <v/>
      </c>
      <c r="AW2074">
        <f>COUNTIF($BA$2074:$EH$2074,"R")</f>
        <v/>
      </c>
      <c r="AX2074">
        <f>IF(BN2074="D",1,0)+IF(BO2074="D",1,0)+IF(BT2074="D",1,0)+IF(BU2074="D",1,0)+IF(BW2074="D",1,0)+IF(CC2074="D",1,0)+IF(CD2074="D",1,0)+IF(CE2074="D",1,0)+IF(CF2074="D",1,0)+IF(CL2074="D",1,0)+IF(CM2074="D",1,0)+IF(CQ2074="D",1,0)+IF(CR2074="D",1,0)+IF(CS2074="D",1,0)+IF(CW2074="D",1,0)+IF(CX2074="D",1,0)+IF(DD2074="D",1,0)+IF(DE2074="D",1,0)+IF(DJ2074="D",1,0)+IF(DK2074="D",1,0)+IF(DO2074="D",1,0)+IF(DP2074="D",1,0)+IF(DQ2074="D",1,0)+IF(DW2074="D",1,0)+IF(DZ2074="D",1,0)+IF(EH2074="D",1,0)</f>
        <v/>
      </c>
      <c r="AY2074">
        <f>IF(DJ2074&lt;&gt;"",1,0)+IF(DK2074&lt;&gt;"",1,0)+IF(DM2074&lt;&gt;"",1,0)+IF(DO2074&lt;&gt;"",1,0)+IF(DP2074&lt;&gt;"",1,0)+IF(DQ2074&lt;&gt;"",1,0)+IF(DS2074&lt;&gt;"",1,0)+IF(DT2074&lt;&gt;"",1,0)+IF(DV2074&lt;&gt;"",1,0)+IF(DW2074&lt;&gt;"",1,0)+IF(DX2074&lt;&gt;"",1,0)+IF(DY2074&lt;&gt;"",1,0)+IF(DZ2074&lt;&gt;"",1,0)+IF(EB2074&lt;&gt;"",1,0)+IF(EC2074&lt;&gt;"",1,0)+IF(ED2074&lt;&gt;"",1,0)+IF(EG2074&lt;&gt;"",1,0)+IF(EH2074&lt;&gt;"",1,0)</f>
        <v/>
      </c>
      <c r="AZ2074">
        <f>IF(EH2074&lt;&gt;"",1,0)</f>
        <v/>
      </c>
      <c r="BB2074" t="inlineStr">
        <is>
          <t>WARREN-WARD 4</t>
        </is>
      </c>
      <c r="DN2074" t="inlineStr">
        <is>
          <t>X</t>
        </is>
      </c>
      <c r="DU2074" t="inlineStr">
        <is>
          <t>X</t>
        </is>
      </c>
      <c r="DW2074" t="inlineStr">
        <is>
          <t>D</t>
        </is>
      </c>
      <c r="EF2074" t="inlineStr">
        <is>
          <t>X</t>
        </is>
      </c>
    </row>
    <row r="2075">
      <c r="A2075" t="inlineStr">
        <is>
          <t>OH0022882244</t>
        </is>
      </c>
      <c r="B2075" t="n">
        <v>78</v>
      </c>
      <c r="C2075" t="n">
        <v>403624</v>
      </c>
      <c r="D2075" t="inlineStr">
        <is>
          <t>COX</t>
        </is>
      </c>
      <c r="E2075" t="inlineStr">
        <is>
          <t>CHAD</t>
        </is>
      </c>
      <c r="F2075">
        <f>CONCATENATE(D2075," ",LEFT(H2075,4),"T=",AU2075,"D=",AV2075,"R=",AW2075,"M=",AX2075,"L=",AY2075,"B=",AZ2075)</f>
        <v/>
      </c>
      <c r="G2075" t="inlineStr">
        <is>
          <t>JOSEPH</t>
        </is>
      </c>
      <c r="I2075" t="inlineStr">
        <is>
          <t>1996-08-07</t>
        </is>
      </c>
      <c r="J2075" t="inlineStr">
        <is>
          <t>2019-04-23</t>
        </is>
      </c>
      <c r="K2075" t="inlineStr">
        <is>
          <t>CONFIRMATION</t>
        </is>
      </c>
      <c r="M2075" t="inlineStr">
        <is>
          <t>176 LOGAN AVE SE</t>
        </is>
      </c>
      <c r="N2075">
        <f>RIGHT(M2075,LEN(M2075)-FIND(" ",M2075))</f>
        <v/>
      </c>
      <c r="P2075" t="inlineStr">
        <is>
          <t>WARREN</t>
        </is>
      </c>
      <c r="Q2075" t="inlineStr">
        <is>
          <t>OH</t>
        </is>
      </c>
      <c r="R2075" t="n">
        <v>44483</v>
      </c>
      <c r="AD2075" t="inlineStr">
        <is>
          <t>TRUMBULL CAREER &amp; TECH CENTER</t>
        </is>
      </c>
      <c r="AE2075" t="inlineStr">
        <is>
          <t>WARREN CITY</t>
        </is>
      </c>
      <c r="AF2075" t="inlineStr">
        <is>
          <t>WARREN CITY SD</t>
        </is>
      </c>
      <c r="AH2075" t="n">
        <v>14</v>
      </c>
      <c r="AI2075" t="n">
        <v>11</v>
      </c>
      <c r="AN2075" t="inlineStr">
        <is>
          <t>WARREN</t>
        </is>
      </c>
      <c r="AO2075" t="inlineStr">
        <is>
          <t>WARREN CITY 4D</t>
        </is>
      </c>
      <c r="AP2075" t="inlineStr">
        <is>
          <t>78-P-ADL</t>
        </is>
      </c>
      <c r="AQ2075" t="n">
        <v>9</v>
      </c>
      <c r="AR2075" t="n">
        <v>64</v>
      </c>
      <c r="AS2075" t="n">
        <v>32</v>
      </c>
      <c r="AU2075">
        <f>COUNTA($BA$2075:$EH$2075)</f>
        <v/>
      </c>
      <c r="AV2075">
        <f>COUNTIF($BA$2075:$EH$2075,"D")</f>
        <v/>
      </c>
      <c r="AW2075">
        <f>COUNTIF($BA$2075:$EH$2075,"R")</f>
        <v/>
      </c>
      <c r="AX2075">
        <f>IF(BN2075="D",1,0)+IF(BO2075="D",1,0)+IF(BT2075="D",1,0)+IF(BU2075="D",1,0)+IF(BW2075="D",1,0)+IF(CC2075="D",1,0)+IF(CD2075="D",1,0)+IF(CE2075="D",1,0)+IF(CF2075="D",1,0)+IF(CL2075="D",1,0)+IF(CM2075="D",1,0)+IF(CQ2075="D",1,0)+IF(CR2075="D",1,0)+IF(CS2075="D",1,0)+IF(CW2075="D",1,0)+IF(CX2075="D",1,0)+IF(DD2075="D",1,0)+IF(DE2075="D",1,0)+IF(DJ2075="D",1,0)+IF(DK2075="D",1,0)+IF(DO2075="D",1,0)+IF(DP2075="D",1,0)+IF(DQ2075="D",1,0)+IF(DW2075="D",1,0)+IF(DZ2075="D",1,0)+IF(EH2075="D",1,0)</f>
        <v/>
      </c>
      <c r="AY2075">
        <f>IF(DJ2075&lt;&gt;"",1,0)+IF(DK2075&lt;&gt;"",1,0)+IF(DM2075&lt;&gt;"",1,0)+IF(DO2075&lt;&gt;"",1,0)+IF(DP2075&lt;&gt;"",1,0)+IF(DQ2075&lt;&gt;"",1,0)+IF(DS2075&lt;&gt;"",1,0)+IF(DT2075&lt;&gt;"",1,0)+IF(DV2075&lt;&gt;"",1,0)+IF(DW2075&lt;&gt;"",1,0)+IF(DX2075&lt;&gt;"",1,0)+IF(DY2075&lt;&gt;"",1,0)+IF(DZ2075&lt;&gt;"",1,0)+IF(EB2075&lt;&gt;"",1,0)+IF(EC2075&lt;&gt;"",1,0)+IF(ED2075&lt;&gt;"",1,0)+IF(EG2075&lt;&gt;"",1,0)+IF(EH2075&lt;&gt;"",1,0)</f>
        <v/>
      </c>
      <c r="AZ2075">
        <f>IF(EH2075&lt;&gt;"",1,0)</f>
        <v/>
      </c>
      <c r="BB2075" t="inlineStr">
        <is>
          <t>WARREN-WARD 4</t>
        </is>
      </c>
    </row>
    <row r="2076">
      <c r="A2076" t="inlineStr">
        <is>
          <t>OH0024078702</t>
        </is>
      </c>
      <c r="B2076" t="n">
        <v>78</v>
      </c>
      <c r="C2076" t="n">
        <v>421526</v>
      </c>
      <c r="D2076" t="inlineStr">
        <is>
          <t>MCFADDEN</t>
        </is>
      </c>
      <c r="E2076" t="inlineStr">
        <is>
          <t>LENA</t>
        </is>
      </c>
      <c r="F2076">
        <f>CONCATENATE(D2076," ",LEFT(H2076,4),"T=",AU2076,"D=",AV2076,"R=",AW2076,"M=",AX2076,"L=",AY2076,"B=",AZ2076)</f>
        <v/>
      </c>
      <c r="G2076" t="inlineStr">
        <is>
          <t>R</t>
        </is>
      </c>
      <c r="I2076" t="inlineStr">
        <is>
          <t>1973-07-04</t>
        </is>
      </c>
      <c r="J2076" t="inlineStr">
        <is>
          <t>2022-08-22</t>
        </is>
      </c>
      <c r="K2076" t="inlineStr">
        <is>
          <t>ACTIVE</t>
        </is>
      </c>
      <c r="M2076" t="inlineStr">
        <is>
          <t>433 WAVERLY AVE NE</t>
        </is>
      </c>
      <c r="N2076">
        <f>RIGHT(M2076,LEN(M2076)-FIND(" ",M2076))</f>
        <v/>
      </c>
      <c r="P2076" t="inlineStr">
        <is>
          <t>WARREN</t>
        </is>
      </c>
      <c r="Q2076" t="inlineStr">
        <is>
          <t>OH</t>
        </is>
      </c>
      <c r="R2076" t="n">
        <v>44483</v>
      </c>
      <c r="AD2076" t="inlineStr">
        <is>
          <t>TRUMBULL CAREER &amp; TECH CENTER</t>
        </is>
      </c>
      <c r="AE2076" t="inlineStr">
        <is>
          <t>WARREN CITY</t>
        </is>
      </c>
      <c r="AF2076" t="inlineStr">
        <is>
          <t>WARREN CITY SD</t>
        </is>
      </c>
      <c r="AH2076" t="n">
        <v>14</v>
      </c>
      <c r="AI2076" t="n">
        <v>11</v>
      </c>
      <c r="AN2076" t="inlineStr">
        <is>
          <t>WARREN</t>
        </is>
      </c>
      <c r="AO2076" t="inlineStr">
        <is>
          <t>WARREN CITY 4D</t>
        </is>
      </c>
      <c r="AP2076" t="inlineStr">
        <is>
          <t>78-P-ADL</t>
        </is>
      </c>
      <c r="AQ2076" t="n">
        <v>9</v>
      </c>
      <c r="AR2076" t="n">
        <v>64</v>
      </c>
      <c r="AS2076" t="n">
        <v>32</v>
      </c>
      <c r="AU2076">
        <f>COUNTA($BA$2076:$EH$2076)</f>
        <v/>
      </c>
      <c r="AV2076">
        <f>COUNTIF($BA$2076:$EH$2076,"D")</f>
        <v/>
      </c>
      <c r="AW2076">
        <f>COUNTIF($BA$2076:$EH$2076,"R")</f>
        <v/>
      </c>
      <c r="AX2076">
        <f>IF(BN2076="D",1,0)+IF(BO2076="D",1,0)+IF(BT2076="D",1,0)+IF(BU2076="D",1,0)+IF(BW2076="D",1,0)+IF(CC2076="D",1,0)+IF(CD2076="D",1,0)+IF(CE2076="D",1,0)+IF(CF2076="D",1,0)+IF(CL2076="D",1,0)+IF(CM2076="D",1,0)+IF(CQ2076="D",1,0)+IF(CR2076="D",1,0)+IF(CS2076="D",1,0)+IF(CW2076="D",1,0)+IF(CX2076="D",1,0)+IF(DD2076="D",1,0)+IF(DE2076="D",1,0)+IF(DJ2076="D",1,0)+IF(DK2076="D",1,0)+IF(DO2076="D",1,0)+IF(DP2076="D",1,0)+IF(DQ2076="D",1,0)+IF(DW2076="D",1,0)+IF(DZ2076="D",1,0)+IF(EH2076="D",1,0)</f>
        <v/>
      </c>
      <c r="AY2076">
        <f>IF(DJ2076&lt;&gt;"",1,0)+IF(DK2076&lt;&gt;"",1,0)+IF(DM2076&lt;&gt;"",1,0)+IF(DO2076&lt;&gt;"",1,0)+IF(DP2076&lt;&gt;"",1,0)+IF(DQ2076&lt;&gt;"",1,0)+IF(DS2076&lt;&gt;"",1,0)+IF(DT2076&lt;&gt;"",1,0)+IF(DV2076&lt;&gt;"",1,0)+IF(DW2076&lt;&gt;"",1,0)+IF(DX2076&lt;&gt;"",1,0)+IF(DY2076&lt;&gt;"",1,0)+IF(DZ2076&lt;&gt;"",1,0)+IF(EB2076&lt;&gt;"",1,0)+IF(EC2076&lt;&gt;"",1,0)+IF(ED2076&lt;&gt;"",1,0)+IF(EG2076&lt;&gt;"",1,0)+IF(EH2076&lt;&gt;"",1,0)</f>
        <v/>
      </c>
      <c r="AZ2076">
        <f>IF(EH2076&lt;&gt;"",1,0)</f>
        <v/>
      </c>
      <c r="BB2076" t="inlineStr">
        <is>
          <t>WARREN-WARD 4</t>
        </is>
      </c>
    </row>
    <row r="2077">
      <c r="A2077" t="inlineStr">
        <is>
          <t>OH0025097053</t>
        </is>
      </c>
      <c r="B2077" t="n">
        <v>78</v>
      </c>
      <c r="C2077" t="n">
        <v>439320</v>
      </c>
      <c r="D2077" t="inlineStr">
        <is>
          <t>WRIGHT</t>
        </is>
      </c>
      <c r="E2077" t="inlineStr">
        <is>
          <t>TIAWNA</t>
        </is>
      </c>
      <c r="F2077">
        <f>CONCATENATE(D2077," ",LEFT(H2077,4),"T=",AU2077,"D=",AV2077,"R=",AW2077,"M=",AX2077,"L=",AY2077,"B=",AZ2077)</f>
        <v/>
      </c>
      <c r="G2077" t="inlineStr">
        <is>
          <t>MARIE</t>
        </is>
      </c>
      <c r="I2077" t="inlineStr">
        <is>
          <t>1997-07-19</t>
        </is>
      </c>
      <c r="J2077" t="inlineStr">
        <is>
          <t>2019-08-08</t>
        </is>
      </c>
      <c r="K2077" t="inlineStr">
        <is>
          <t>ACTIVE</t>
        </is>
      </c>
      <c r="M2077" t="inlineStr">
        <is>
          <t>216 LOWELL AVE NE</t>
        </is>
      </c>
      <c r="N2077">
        <f>RIGHT(M2077,LEN(M2077)-FIND(" ",M2077))</f>
        <v/>
      </c>
      <c r="P2077" t="inlineStr">
        <is>
          <t>WARREN</t>
        </is>
      </c>
      <c r="Q2077" t="inlineStr">
        <is>
          <t>OH</t>
        </is>
      </c>
      <c r="R2077" t="n">
        <v>44483</v>
      </c>
      <c r="AD2077" t="inlineStr">
        <is>
          <t>TRUMBULL CAREER &amp; TECH CENTER</t>
        </is>
      </c>
      <c r="AE2077" t="inlineStr">
        <is>
          <t>WARREN CITY</t>
        </is>
      </c>
      <c r="AF2077" t="inlineStr">
        <is>
          <t>WARREN CITY SD</t>
        </is>
      </c>
      <c r="AH2077" t="n">
        <v>14</v>
      </c>
      <c r="AI2077" t="n">
        <v>11</v>
      </c>
      <c r="AN2077" t="inlineStr">
        <is>
          <t>WARREN</t>
        </is>
      </c>
      <c r="AO2077" t="inlineStr">
        <is>
          <t>WARREN CITY 4D</t>
        </is>
      </c>
      <c r="AP2077" t="inlineStr">
        <is>
          <t>78-P-ADL</t>
        </is>
      </c>
      <c r="AQ2077" t="n">
        <v>9</v>
      </c>
      <c r="AR2077" t="n">
        <v>64</v>
      </c>
      <c r="AS2077" t="n">
        <v>32</v>
      </c>
      <c r="AU2077">
        <f>COUNTA($BA$2077:$EH$2077)</f>
        <v/>
      </c>
      <c r="AV2077">
        <f>COUNTIF($BA$2077:$EH$2077,"D")</f>
        <v/>
      </c>
      <c r="AW2077">
        <f>COUNTIF($BA$2077:$EH$2077,"R")</f>
        <v/>
      </c>
      <c r="AX2077">
        <f>IF(BN2077="D",1,0)+IF(BO2077="D",1,0)+IF(BT2077="D",1,0)+IF(BU2077="D",1,0)+IF(BW2077="D",1,0)+IF(CC2077="D",1,0)+IF(CD2077="D",1,0)+IF(CE2077="D",1,0)+IF(CF2077="D",1,0)+IF(CL2077="D",1,0)+IF(CM2077="D",1,0)+IF(CQ2077="D",1,0)+IF(CR2077="D",1,0)+IF(CS2077="D",1,0)+IF(CW2077="D",1,0)+IF(CX2077="D",1,0)+IF(DD2077="D",1,0)+IF(DE2077="D",1,0)+IF(DJ2077="D",1,0)+IF(DK2077="D",1,0)+IF(DO2077="D",1,0)+IF(DP2077="D",1,0)+IF(DQ2077="D",1,0)+IF(DW2077="D",1,0)+IF(DZ2077="D",1,0)+IF(EH2077="D",1,0)</f>
        <v/>
      </c>
      <c r="AY2077">
        <f>IF(DJ2077&lt;&gt;"",1,0)+IF(DK2077&lt;&gt;"",1,0)+IF(DM2077&lt;&gt;"",1,0)+IF(DO2077&lt;&gt;"",1,0)+IF(DP2077&lt;&gt;"",1,0)+IF(DQ2077&lt;&gt;"",1,0)+IF(DS2077&lt;&gt;"",1,0)+IF(DT2077&lt;&gt;"",1,0)+IF(DV2077&lt;&gt;"",1,0)+IF(DW2077&lt;&gt;"",1,0)+IF(DX2077&lt;&gt;"",1,0)+IF(DY2077&lt;&gt;"",1,0)+IF(DZ2077&lt;&gt;"",1,0)+IF(EB2077&lt;&gt;"",1,0)+IF(EC2077&lt;&gt;"",1,0)+IF(ED2077&lt;&gt;"",1,0)+IF(EG2077&lt;&gt;"",1,0)+IF(EH2077&lt;&gt;"",1,0)</f>
        <v/>
      </c>
      <c r="AZ2077">
        <f>IF(EH2077&lt;&gt;"",1,0)</f>
        <v/>
      </c>
      <c r="BB2077" t="inlineStr">
        <is>
          <t>WARREN-WARD 4</t>
        </is>
      </c>
      <c r="DN2077" t="inlineStr">
        <is>
          <t>X</t>
        </is>
      </c>
    </row>
    <row r="2078">
      <c r="A2078" t="inlineStr">
        <is>
          <t>OH0025536627</t>
        </is>
      </c>
      <c r="B2078" t="n">
        <v>78</v>
      </c>
      <c r="C2078" t="n">
        <v>445767</v>
      </c>
      <c r="D2078" t="inlineStr">
        <is>
          <t>PATINO</t>
        </is>
      </c>
      <c r="E2078" t="inlineStr">
        <is>
          <t>LARISSA</t>
        </is>
      </c>
      <c r="F2078">
        <f>CONCATENATE(D2078," ",LEFT(H2078,4),"T=",AU2078,"D=",AV2078,"R=",AW2078,"M=",AX2078,"L=",AY2078,"B=",AZ2078)</f>
        <v/>
      </c>
      <c r="G2078" t="inlineStr">
        <is>
          <t>ANN</t>
        </is>
      </c>
      <c r="I2078" t="inlineStr">
        <is>
          <t>1971-03-19</t>
        </is>
      </c>
      <c r="J2078" t="inlineStr">
        <is>
          <t>2020-04-11</t>
        </is>
      </c>
      <c r="K2078" t="inlineStr">
        <is>
          <t>ACTIVE</t>
        </is>
      </c>
      <c r="M2078" t="inlineStr">
        <is>
          <t>532 N PARK AVE</t>
        </is>
      </c>
      <c r="N2078">
        <f>RIGHT(M2078,LEN(M2078)-FIND(" ",M2078))</f>
        <v/>
      </c>
      <c r="O2078" t="inlineStr">
        <is>
          <t>APT C</t>
        </is>
      </c>
      <c r="P2078" t="inlineStr">
        <is>
          <t>WARREN</t>
        </is>
      </c>
      <c r="Q2078" t="inlineStr">
        <is>
          <t>OH</t>
        </is>
      </c>
      <c r="R2078" t="n">
        <v>44481</v>
      </c>
      <c r="AD2078" t="inlineStr">
        <is>
          <t>TRUMBULL CAREER &amp; TECH CENTER</t>
        </is>
      </c>
      <c r="AE2078" t="inlineStr">
        <is>
          <t>WARREN CITY</t>
        </is>
      </c>
      <c r="AF2078" t="inlineStr">
        <is>
          <t>WARREN CITY SD</t>
        </is>
      </c>
      <c r="AH2078" t="n">
        <v>14</v>
      </c>
      <c r="AI2078" t="n">
        <v>11</v>
      </c>
      <c r="AN2078" t="inlineStr">
        <is>
          <t>WARREN</t>
        </is>
      </c>
      <c r="AO2078" t="inlineStr">
        <is>
          <t>WARREN CITY 4D</t>
        </is>
      </c>
      <c r="AP2078" t="inlineStr">
        <is>
          <t>78-P-ADL</t>
        </is>
      </c>
      <c r="AQ2078" t="n">
        <v>9</v>
      </c>
      <c r="AR2078" t="n">
        <v>64</v>
      </c>
      <c r="AS2078" t="n">
        <v>32</v>
      </c>
      <c r="AU2078">
        <f>COUNTA($BA$2078:$EH$2078)</f>
        <v/>
      </c>
      <c r="AV2078">
        <f>COUNTIF($BA$2078:$EH$2078,"D")</f>
        <v/>
      </c>
      <c r="AW2078">
        <f>COUNTIF($BA$2078:$EH$2078,"R")</f>
        <v/>
      </c>
      <c r="AX2078">
        <f>IF(BN2078="D",1,0)+IF(BO2078="D",1,0)+IF(BT2078="D",1,0)+IF(BU2078="D",1,0)+IF(BW2078="D",1,0)+IF(CC2078="D",1,0)+IF(CD2078="D",1,0)+IF(CE2078="D",1,0)+IF(CF2078="D",1,0)+IF(CL2078="D",1,0)+IF(CM2078="D",1,0)+IF(CQ2078="D",1,0)+IF(CR2078="D",1,0)+IF(CS2078="D",1,0)+IF(CW2078="D",1,0)+IF(CX2078="D",1,0)+IF(DD2078="D",1,0)+IF(DE2078="D",1,0)+IF(DJ2078="D",1,0)+IF(DK2078="D",1,0)+IF(DO2078="D",1,0)+IF(DP2078="D",1,0)+IF(DQ2078="D",1,0)+IF(DW2078="D",1,0)+IF(DZ2078="D",1,0)+IF(EH2078="D",1,0)</f>
        <v/>
      </c>
      <c r="AY2078">
        <f>IF(DJ2078&lt;&gt;"",1,0)+IF(DK2078&lt;&gt;"",1,0)+IF(DM2078&lt;&gt;"",1,0)+IF(DO2078&lt;&gt;"",1,0)+IF(DP2078&lt;&gt;"",1,0)+IF(DQ2078&lt;&gt;"",1,0)+IF(DS2078&lt;&gt;"",1,0)+IF(DT2078&lt;&gt;"",1,0)+IF(DV2078&lt;&gt;"",1,0)+IF(DW2078&lt;&gt;"",1,0)+IF(DX2078&lt;&gt;"",1,0)+IF(DY2078&lt;&gt;"",1,0)+IF(DZ2078&lt;&gt;"",1,0)+IF(EB2078&lt;&gt;"",1,0)+IF(EC2078&lt;&gt;"",1,0)+IF(ED2078&lt;&gt;"",1,0)+IF(EG2078&lt;&gt;"",1,0)+IF(EH2078&lt;&gt;"",1,0)</f>
        <v/>
      </c>
      <c r="AZ2078">
        <f>IF(EH2078&lt;&gt;"",1,0)</f>
        <v/>
      </c>
      <c r="BB2078" t="inlineStr">
        <is>
          <t>WARREN-WARD 4</t>
        </is>
      </c>
      <c r="DN2078" t="inlineStr">
        <is>
          <t>X</t>
        </is>
      </c>
      <c r="DU2078" t="inlineStr">
        <is>
          <t>X</t>
        </is>
      </c>
    </row>
    <row r="2079">
      <c r="A2079" t="inlineStr">
        <is>
          <t>OH0024647005</t>
        </is>
      </c>
      <c r="B2079" t="n">
        <v>78</v>
      </c>
      <c r="C2079" t="n">
        <v>431982</v>
      </c>
      <c r="D2079" t="inlineStr">
        <is>
          <t>YOUNG</t>
        </is>
      </c>
      <c r="E2079" t="inlineStr">
        <is>
          <t>JUSTIN</t>
        </is>
      </c>
      <c r="F2079">
        <f>CONCATENATE(D2079," ",LEFT(H2079,4),"T=",AU2079,"D=",AV2079,"R=",AW2079,"M=",AX2079,"L=",AY2079,"B=",AZ2079)</f>
        <v/>
      </c>
      <c r="G2079" t="inlineStr">
        <is>
          <t>D</t>
        </is>
      </c>
      <c r="I2079" t="inlineStr">
        <is>
          <t>1998-12-31</t>
        </is>
      </c>
      <c r="J2079" t="inlineStr">
        <is>
          <t>2018-05-15</t>
        </is>
      </c>
      <c r="K2079" t="inlineStr">
        <is>
          <t>CONFIRMATION</t>
        </is>
      </c>
      <c r="M2079" t="inlineStr">
        <is>
          <t>2917 DUKE AVE SE</t>
        </is>
      </c>
      <c r="N2079">
        <f>RIGHT(M2079,LEN(M2079)-FIND(" ",M2079))</f>
        <v/>
      </c>
      <c r="P2079" t="inlineStr">
        <is>
          <t>WARREN</t>
        </is>
      </c>
      <c r="Q2079" t="inlineStr">
        <is>
          <t>OH</t>
        </is>
      </c>
      <c r="R2079" t="n">
        <v>44484</v>
      </c>
      <c r="AD2079" t="inlineStr">
        <is>
          <t>TRUMBULL CAREER &amp; TECH CENTER</t>
        </is>
      </c>
      <c r="AE2079" t="inlineStr">
        <is>
          <t>WARREN CITY</t>
        </is>
      </c>
      <c r="AF2079" t="inlineStr">
        <is>
          <t>WARREN CITY SD</t>
        </is>
      </c>
      <c r="AH2079" t="n">
        <v>14</v>
      </c>
      <c r="AI2079" t="n">
        <v>11</v>
      </c>
      <c r="AN2079" t="inlineStr">
        <is>
          <t>WARREN</t>
        </is>
      </c>
      <c r="AO2079" t="inlineStr">
        <is>
          <t>WARREN CITY 4F</t>
        </is>
      </c>
      <c r="AP2079" t="inlineStr">
        <is>
          <t>78-P-ADN</t>
        </is>
      </c>
      <c r="AQ2079" t="n">
        <v>9</v>
      </c>
      <c r="AR2079" t="n">
        <v>64</v>
      </c>
      <c r="AS2079" t="n">
        <v>32</v>
      </c>
      <c r="AU2079">
        <f>COUNTA($BA$2079:$EH$2079)</f>
        <v/>
      </c>
      <c r="AV2079">
        <f>COUNTIF($BA$2079:$EH$2079,"D")</f>
        <v/>
      </c>
      <c r="AW2079">
        <f>COUNTIF($BA$2079:$EH$2079,"R")</f>
        <v/>
      </c>
      <c r="AX2079">
        <f>IF(BN2079="D",1,0)+IF(BO2079="D",1,0)+IF(BT2079="D",1,0)+IF(BU2079="D",1,0)+IF(BW2079="D",1,0)+IF(CC2079="D",1,0)+IF(CD2079="D",1,0)+IF(CE2079="D",1,0)+IF(CF2079="D",1,0)+IF(CL2079="D",1,0)+IF(CM2079="D",1,0)+IF(CQ2079="D",1,0)+IF(CR2079="D",1,0)+IF(CS2079="D",1,0)+IF(CW2079="D",1,0)+IF(CX2079="D",1,0)+IF(DD2079="D",1,0)+IF(DE2079="D",1,0)+IF(DJ2079="D",1,0)+IF(DK2079="D",1,0)+IF(DO2079="D",1,0)+IF(DP2079="D",1,0)+IF(DQ2079="D",1,0)+IF(DW2079="D",1,0)+IF(DZ2079="D",1,0)+IF(EH2079="D",1,0)</f>
        <v/>
      </c>
      <c r="AY2079">
        <f>IF(DJ2079&lt;&gt;"",1,0)+IF(DK2079&lt;&gt;"",1,0)+IF(DM2079&lt;&gt;"",1,0)+IF(DO2079&lt;&gt;"",1,0)+IF(DP2079&lt;&gt;"",1,0)+IF(DQ2079&lt;&gt;"",1,0)+IF(DS2079&lt;&gt;"",1,0)+IF(DT2079&lt;&gt;"",1,0)+IF(DV2079&lt;&gt;"",1,0)+IF(DW2079&lt;&gt;"",1,0)+IF(DX2079&lt;&gt;"",1,0)+IF(DY2079&lt;&gt;"",1,0)+IF(DZ2079&lt;&gt;"",1,0)+IF(EB2079&lt;&gt;"",1,0)+IF(EC2079&lt;&gt;"",1,0)+IF(ED2079&lt;&gt;"",1,0)+IF(EG2079&lt;&gt;"",1,0)+IF(EH2079&lt;&gt;"",1,0)</f>
        <v/>
      </c>
      <c r="AZ2079">
        <f>IF(EH2079&lt;&gt;"",1,0)</f>
        <v/>
      </c>
      <c r="BB2079" t="inlineStr">
        <is>
          <t>WARREN-WARD 4</t>
        </is>
      </c>
    </row>
    <row r="2080">
      <c r="A2080" t="inlineStr">
        <is>
          <t>OH0015717024</t>
        </is>
      </c>
      <c r="B2080" t="n">
        <v>78</v>
      </c>
      <c r="C2080" t="n">
        <v>193455</v>
      </c>
      <c r="D2080" t="inlineStr">
        <is>
          <t>SMITH</t>
        </is>
      </c>
      <c r="E2080" t="inlineStr">
        <is>
          <t>LEIGH</t>
        </is>
      </c>
      <c r="F2080">
        <f>CONCATENATE(D2080," ",LEFT(H2080,4),"T=",AU2080,"D=",AV2080,"R=",AW2080,"M=",AX2080,"L=",AY2080,"B=",AZ2080)</f>
        <v/>
      </c>
      <c r="G2080" t="inlineStr">
        <is>
          <t>ANITA</t>
        </is>
      </c>
      <c r="I2080" t="inlineStr">
        <is>
          <t>1957-02-14</t>
        </is>
      </c>
      <c r="J2080" t="inlineStr">
        <is>
          <t>2015-07-01</t>
        </is>
      </c>
      <c r="K2080" t="inlineStr">
        <is>
          <t>ACTIVE</t>
        </is>
      </c>
      <c r="M2080" t="inlineStr">
        <is>
          <t>1784 WICK ST SE</t>
        </is>
      </c>
      <c r="N2080">
        <f>RIGHT(M2080,LEN(M2080)-FIND(" ",M2080))</f>
        <v/>
      </c>
      <c r="P2080" t="inlineStr">
        <is>
          <t>WARREN</t>
        </is>
      </c>
      <c r="Q2080" t="inlineStr">
        <is>
          <t>OH</t>
        </is>
      </c>
      <c r="R2080" t="n">
        <v>44484</v>
      </c>
      <c r="AD2080" t="inlineStr">
        <is>
          <t>TRUMBULL CAREER &amp; TECH CENTER</t>
        </is>
      </c>
      <c r="AE2080" t="inlineStr">
        <is>
          <t>WARREN CITY</t>
        </is>
      </c>
      <c r="AF2080" t="inlineStr">
        <is>
          <t>WARREN CITY SD</t>
        </is>
      </c>
      <c r="AH2080" t="n">
        <v>14</v>
      </c>
      <c r="AI2080" t="n">
        <v>11</v>
      </c>
      <c r="AN2080" t="inlineStr">
        <is>
          <t>WARREN</t>
        </is>
      </c>
      <c r="AO2080" t="inlineStr">
        <is>
          <t>WARREN CITY 4F</t>
        </is>
      </c>
      <c r="AP2080" t="inlineStr">
        <is>
          <t>78-P-ADN</t>
        </is>
      </c>
      <c r="AQ2080" t="n">
        <v>9</v>
      </c>
      <c r="AR2080" t="n">
        <v>64</v>
      </c>
      <c r="AS2080" t="n">
        <v>32</v>
      </c>
      <c r="AU2080">
        <f>COUNTA($BA$2080:$EH$2080)</f>
        <v/>
      </c>
      <c r="AV2080">
        <f>COUNTIF($BA$2080:$EH$2080,"D")</f>
        <v/>
      </c>
      <c r="AW2080">
        <f>COUNTIF($BA$2080:$EH$2080,"R")</f>
        <v/>
      </c>
      <c r="AX2080">
        <f>IF(BN2080="D",1,0)+IF(BO2080="D",1,0)+IF(BT2080="D",1,0)+IF(BU2080="D",1,0)+IF(BW2080="D",1,0)+IF(CC2080="D",1,0)+IF(CD2080="D",1,0)+IF(CE2080="D",1,0)+IF(CF2080="D",1,0)+IF(CL2080="D",1,0)+IF(CM2080="D",1,0)+IF(CQ2080="D",1,0)+IF(CR2080="D",1,0)+IF(CS2080="D",1,0)+IF(CW2080="D",1,0)+IF(CX2080="D",1,0)+IF(DD2080="D",1,0)+IF(DE2080="D",1,0)+IF(DJ2080="D",1,0)+IF(DK2080="D",1,0)+IF(DO2080="D",1,0)+IF(DP2080="D",1,0)+IF(DQ2080="D",1,0)+IF(DW2080="D",1,0)+IF(DZ2080="D",1,0)+IF(EH2080="D",1,0)</f>
        <v/>
      </c>
      <c r="AY2080">
        <f>IF(DJ2080&lt;&gt;"",1,0)+IF(DK2080&lt;&gt;"",1,0)+IF(DM2080&lt;&gt;"",1,0)+IF(DO2080&lt;&gt;"",1,0)+IF(DP2080&lt;&gt;"",1,0)+IF(DQ2080&lt;&gt;"",1,0)+IF(DS2080&lt;&gt;"",1,0)+IF(DT2080&lt;&gt;"",1,0)+IF(DV2080&lt;&gt;"",1,0)+IF(DW2080&lt;&gt;"",1,0)+IF(DX2080&lt;&gt;"",1,0)+IF(DY2080&lt;&gt;"",1,0)+IF(DZ2080&lt;&gt;"",1,0)+IF(EB2080&lt;&gt;"",1,0)+IF(EC2080&lt;&gt;"",1,0)+IF(ED2080&lt;&gt;"",1,0)+IF(EG2080&lt;&gt;"",1,0)+IF(EH2080&lt;&gt;"",1,0)</f>
        <v/>
      </c>
      <c r="AZ2080">
        <f>IF(EH2080&lt;&gt;"",1,0)</f>
        <v/>
      </c>
      <c r="BB2080" t="inlineStr">
        <is>
          <t>WARREN-WARD 4</t>
        </is>
      </c>
      <c r="BD2080" t="inlineStr">
        <is>
          <t>X</t>
        </is>
      </c>
      <c r="BL2080" t="inlineStr">
        <is>
          <t>X</t>
        </is>
      </c>
      <c r="CA2080" t="inlineStr">
        <is>
          <t>X</t>
        </is>
      </c>
      <c r="CL2080" t="inlineStr">
        <is>
          <t>D</t>
        </is>
      </c>
      <c r="CN2080" t="inlineStr">
        <is>
          <t>X</t>
        </is>
      </c>
      <c r="CP2080" t="inlineStr">
        <is>
          <t>X</t>
        </is>
      </c>
      <c r="DG2080" t="inlineStr">
        <is>
          <t>D</t>
        </is>
      </c>
      <c r="DI2080" t="inlineStr">
        <is>
          <t>X</t>
        </is>
      </c>
      <c r="DN2080" t="inlineStr">
        <is>
          <t>X</t>
        </is>
      </c>
      <c r="DU2080" t="inlineStr">
        <is>
          <t>X</t>
        </is>
      </c>
      <c r="DX2080" t="inlineStr">
        <is>
          <t>X</t>
        </is>
      </c>
      <c r="EA2080" t="inlineStr">
        <is>
          <t>X</t>
        </is>
      </c>
      <c r="EF2080" t="inlineStr">
        <is>
          <t>X</t>
        </is>
      </c>
    </row>
    <row r="2081">
      <c r="A2081" t="inlineStr">
        <is>
          <t>OH0027291227</t>
        </is>
      </c>
      <c r="B2081" t="n">
        <v>78</v>
      </c>
      <c r="C2081" t="n">
        <v>484360</v>
      </c>
      <c r="D2081" t="inlineStr">
        <is>
          <t>BELLORE</t>
        </is>
      </c>
      <c r="E2081" t="inlineStr">
        <is>
          <t>CONO</t>
        </is>
      </c>
      <c r="F2081">
        <f>CONCATENATE(D2081," ",LEFT(H2081,4),"T=",AU2081,"D=",AV2081,"R=",AW2081,"M=",AX2081,"L=",AY2081,"B=",AZ2081)</f>
        <v/>
      </c>
      <c r="G2081" t="inlineStr">
        <is>
          <t>CHRIS</t>
        </is>
      </c>
      <c r="I2081" t="inlineStr">
        <is>
          <t>2001-09-28</t>
        </is>
      </c>
      <c r="J2081" t="inlineStr">
        <is>
          <t>2024-03-07</t>
        </is>
      </c>
      <c r="K2081" t="inlineStr">
        <is>
          <t>ACTIVE</t>
        </is>
      </c>
      <c r="M2081" t="inlineStr">
        <is>
          <t>1640 BURTON ST SE</t>
        </is>
      </c>
      <c r="N2081">
        <f>RIGHT(M2081,LEN(M2081)-FIND(" ",M2081))</f>
        <v/>
      </c>
      <c r="P2081" t="inlineStr">
        <is>
          <t>WARREN</t>
        </is>
      </c>
      <c r="Q2081" t="inlineStr">
        <is>
          <t>OH</t>
        </is>
      </c>
      <c r="R2081" t="n">
        <v>44484</v>
      </c>
      <c r="S2081" t="n">
        <v>5133</v>
      </c>
      <c r="AD2081" t="inlineStr">
        <is>
          <t>TRUMBULL CAREER &amp; TECH CENTER</t>
        </is>
      </c>
      <c r="AE2081" t="inlineStr">
        <is>
          <t>WARREN CITY</t>
        </is>
      </c>
      <c r="AF2081" t="inlineStr">
        <is>
          <t>WARREN CITY SD</t>
        </is>
      </c>
      <c r="AH2081" t="n">
        <v>14</v>
      </c>
      <c r="AI2081" t="n">
        <v>11</v>
      </c>
      <c r="AN2081" t="inlineStr">
        <is>
          <t>WARREN</t>
        </is>
      </c>
      <c r="AO2081" t="inlineStr">
        <is>
          <t>WARREN CITY 4F</t>
        </is>
      </c>
      <c r="AP2081" t="inlineStr">
        <is>
          <t>78-P-ADN</t>
        </is>
      </c>
      <c r="AQ2081" t="n">
        <v>9</v>
      </c>
      <c r="AR2081" t="n">
        <v>64</v>
      </c>
      <c r="AS2081" t="n">
        <v>32</v>
      </c>
      <c r="AU2081">
        <f>COUNTA($BA$2081:$EH$2081)</f>
        <v/>
      </c>
      <c r="AV2081">
        <f>COUNTIF($BA$2081:$EH$2081,"D")</f>
        <v/>
      </c>
      <c r="AW2081">
        <f>COUNTIF($BA$2081:$EH$2081,"R")</f>
        <v/>
      </c>
      <c r="AX2081">
        <f>IF(BN2081="D",1,0)+IF(BO2081="D",1,0)+IF(BT2081="D",1,0)+IF(BU2081="D",1,0)+IF(BW2081="D",1,0)+IF(CC2081="D",1,0)+IF(CD2081="D",1,0)+IF(CE2081="D",1,0)+IF(CF2081="D",1,0)+IF(CL2081="D",1,0)+IF(CM2081="D",1,0)+IF(CQ2081="D",1,0)+IF(CR2081="D",1,0)+IF(CS2081="D",1,0)+IF(CW2081="D",1,0)+IF(CX2081="D",1,0)+IF(DD2081="D",1,0)+IF(DE2081="D",1,0)+IF(DJ2081="D",1,0)+IF(DK2081="D",1,0)+IF(DO2081="D",1,0)+IF(DP2081="D",1,0)+IF(DQ2081="D",1,0)+IF(DW2081="D",1,0)+IF(DZ2081="D",1,0)+IF(EH2081="D",1,0)</f>
        <v/>
      </c>
      <c r="AY2081">
        <f>IF(DJ2081&lt;&gt;"",1,0)+IF(DK2081&lt;&gt;"",1,0)+IF(DM2081&lt;&gt;"",1,0)+IF(DO2081&lt;&gt;"",1,0)+IF(DP2081&lt;&gt;"",1,0)+IF(DQ2081&lt;&gt;"",1,0)+IF(DS2081&lt;&gt;"",1,0)+IF(DT2081&lt;&gt;"",1,0)+IF(DV2081&lt;&gt;"",1,0)+IF(DW2081&lt;&gt;"",1,0)+IF(DX2081&lt;&gt;"",1,0)+IF(DY2081&lt;&gt;"",1,0)+IF(DZ2081&lt;&gt;"",1,0)+IF(EB2081&lt;&gt;"",1,0)+IF(EC2081&lt;&gt;"",1,0)+IF(ED2081&lt;&gt;"",1,0)+IF(EG2081&lt;&gt;"",1,0)+IF(EH2081&lt;&gt;"",1,0)</f>
        <v/>
      </c>
      <c r="AZ2081">
        <f>IF(EH2081&lt;&gt;"",1,0)</f>
        <v/>
      </c>
      <c r="BB2081" t="inlineStr">
        <is>
          <t>WARREN-WARD 4</t>
        </is>
      </c>
    </row>
    <row r="2082">
      <c r="A2082" t="inlineStr">
        <is>
          <t>OH0027673887</t>
        </is>
      </c>
      <c r="B2082" t="n">
        <v>78</v>
      </c>
      <c r="C2082" t="n">
        <v>490308</v>
      </c>
      <c r="D2082" t="inlineStr">
        <is>
          <t>DIANA</t>
        </is>
      </c>
      <c r="E2082" t="inlineStr">
        <is>
          <t>NOAH</t>
        </is>
      </c>
      <c r="F2082">
        <f>CONCATENATE(D2082," ",LEFT(H2082,4),"T=",AU2082,"D=",AV2082,"R=",AW2082,"M=",AX2082,"L=",AY2082,"B=",AZ2082)</f>
        <v/>
      </c>
      <c r="G2082" t="inlineStr">
        <is>
          <t>D</t>
        </is>
      </c>
      <c r="I2082" t="inlineStr">
        <is>
          <t>1999-02-16</t>
        </is>
      </c>
      <c r="J2082" t="inlineStr">
        <is>
          <t>2024-09-26</t>
        </is>
      </c>
      <c r="K2082" t="inlineStr">
        <is>
          <t>ACTIVE</t>
        </is>
      </c>
      <c r="M2082" t="inlineStr">
        <is>
          <t>945 HOMEWOOD AVE SE</t>
        </is>
      </c>
      <c r="N2082">
        <f>RIGHT(M2082,LEN(M2082)-FIND(" ",M2082))</f>
        <v/>
      </c>
      <c r="P2082" t="inlineStr">
        <is>
          <t>WARREN</t>
        </is>
      </c>
      <c r="Q2082" t="inlineStr">
        <is>
          <t>OH</t>
        </is>
      </c>
      <c r="R2082" t="n">
        <v>44484</v>
      </c>
      <c r="AD2082" t="inlineStr">
        <is>
          <t>TRUMBULL CAREER &amp; TECH CENTER</t>
        </is>
      </c>
      <c r="AE2082" t="inlineStr">
        <is>
          <t>WARREN CITY</t>
        </is>
      </c>
      <c r="AF2082" t="inlineStr">
        <is>
          <t>WARREN CITY SD</t>
        </is>
      </c>
      <c r="AH2082" t="n">
        <v>14</v>
      </c>
      <c r="AI2082" t="n">
        <v>11</v>
      </c>
      <c r="AN2082" t="inlineStr">
        <is>
          <t>WARREN</t>
        </is>
      </c>
      <c r="AO2082" t="inlineStr">
        <is>
          <t>WARREN CITY 4F</t>
        </is>
      </c>
      <c r="AP2082" t="inlineStr">
        <is>
          <t>78-P-ADN</t>
        </is>
      </c>
      <c r="AQ2082" t="n">
        <v>9</v>
      </c>
      <c r="AR2082" t="n">
        <v>64</v>
      </c>
      <c r="AS2082" t="n">
        <v>32</v>
      </c>
      <c r="AU2082">
        <f>COUNTA($BA$2082:$EH$2082)</f>
        <v/>
      </c>
      <c r="AV2082">
        <f>COUNTIF($BA$2082:$EH$2082,"D")</f>
        <v/>
      </c>
      <c r="AW2082">
        <f>COUNTIF($BA$2082:$EH$2082,"R")</f>
        <v/>
      </c>
      <c r="AX2082">
        <f>IF(BN2082="D",1,0)+IF(BO2082="D",1,0)+IF(BT2082="D",1,0)+IF(BU2082="D",1,0)+IF(BW2082="D",1,0)+IF(CC2082="D",1,0)+IF(CD2082="D",1,0)+IF(CE2082="D",1,0)+IF(CF2082="D",1,0)+IF(CL2082="D",1,0)+IF(CM2082="D",1,0)+IF(CQ2082="D",1,0)+IF(CR2082="D",1,0)+IF(CS2082="D",1,0)+IF(CW2082="D",1,0)+IF(CX2082="D",1,0)+IF(DD2082="D",1,0)+IF(DE2082="D",1,0)+IF(DJ2082="D",1,0)+IF(DK2082="D",1,0)+IF(DO2082="D",1,0)+IF(DP2082="D",1,0)+IF(DQ2082="D",1,0)+IF(DW2082="D",1,0)+IF(DZ2082="D",1,0)+IF(EH2082="D",1,0)</f>
        <v/>
      </c>
      <c r="AY2082">
        <f>IF(DJ2082&lt;&gt;"",1,0)+IF(DK2082&lt;&gt;"",1,0)+IF(DM2082&lt;&gt;"",1,0)+IF(DO2082&lt;&gt;"",1,0)+IF(DP2082&lt;&gt;"",1,0)+IF(DQ2082&lt;&gt;"",1,0)+IF(DS2082&lt;&gt;"",1,0)+IF(DT2082&lt;&gt;"",1,0)+IF(DV2082&lt;&gt;"",1,0)+IF(DW2082&lt;&gt;"",1,0)+IF(DX2082&lt;&gt;"",1,0)+IF(DY2082&lt;&gt;"",1,0)+IF(DZ2082&lt;&gt;"",1,0)+IF(EB2082&lt;&gt;"",1,0)+IF(EC2082&lt;&gt;"",1,0)+IF(ED2082&lt;&gt;"",1,0)+IF(EG2082&lt;&gt;"",1,0)+IF(EH2082&lt;&gt;"",1,0)</f>
        <v/>
      </c>
      <c r="AZ2082">
        <f>IF(EH2082&lt;&gt;"",1,0)</f>
        <v/>
      </c>
      <c r="BB2082" t="inlineStr">
        <is>
          <t>WARREN-WARD 4</t>
        </is>
      </c>
    </row>
    <row r="2083">
      <c r="A2083" t="inlineStr">
        <is>
          <t>OH0027235863</t>
        </is>
      </c>
      <c r="B2083" t="n">
        <v>78</v>
      </c>
      <c r="C2083" t="n">
        <v>481163</v>
      </c>
      <c r="D2083" t="inlineStr">
        <is>
          <t>HOLMES JONES</t>
        </is>
      </c>
      <c r="E2083" t="inlineStr">
        <is>
          <t>AMBER</t>
        </is>
      </c>
      <c r="F2083">
        <f>CONCATENATE(D2083," ",LEFT(H2083,4),"T=",AU2083,"D=",AV2083,"R=",AW2083,"M=",AX2083,"L=",AY2083,"B=",AZ2083)</f>
        <v/>
      </c>
      <c r="G2083" t="inlineStr">
        <is>
          <t>M</t>
        </is>
      </c>
      <c r="I2083" t="inlineStr">
        <is>
          <t>1981-10-09</t>
        </is>
      </c>
      <c r="J2083" t="inlineStr">
        <is>
          <t>2024-02-05</t>
        </is>
      </c>
      <c r="K2083" t="inlineStr">
        <is>
          <t>ACTIVE</t>
        </is>
      </c>
      <c r="M2083" t="inlineStr">
        <is>
          <t>1296 YOUNGSTOWN RD SE</t>
        </is>
      </c>
      <c r="N2083">
        <f>RIGHT(M2083,LEN(M2083)-FIND(" ",M2083))</f>
        <v/>
      </c>
      <c r="O2083" t="inlineStr">
        <is>
          <t>UNIT 10</t>
        </is>
      </c>
      <c r="P2083" t="inlineStr">
        <is>
          <t>WARREN</t>
        </is>
      </c>
      <c r="Q2083" t="inlineStr">
        <is>
          <t>OH</t>
        </is>
      </c>
      <c r="R2083" t="n">
        <v>44484</v>
      </c>
      <c r="AD2083" t="inlineStr">
        <is>
          <t>TRUMBULL CAREER &amp; TECH CENTER</t>
        </is>
      </c>
      <c r="AE2083" t="inlineStr">
        <is>
          <t>WARREN CITY</t>
        </is>
      </c>
      <c r="AF2083" t="inlineStr">
        <is>
          <t>WARREN CITY SD</t>
        </is>
      </c>
      <c r="AH2083" t="n">
        <v>14</v>
      </c>
      <c r="AI2083" t="n">
        <v>11</v>
      </c>
      <c r="AN2083" t="inlineStr">
        <is>
          <t>WARREN</t>
        </is>
      </c>
      <c r="AO2083" t="inlineStr">
        <is>
          <t>WARREN CITY 4F</t>
        </is>
      </c>
      <c r="AP2083" t="inlineStr">
        <is>
          <t>78-P-ADN</t>
        </is>
      </c>
      <c r="AQ2083" t="n">
        <v>9</v>
      </c>
      <c r="AR2083" t="n">
        <v>64</v>
      </c>
      <c r="AS2083" t="n">
        <v>32</v>
      </c>
      <c r="AU2083">
        <f>COUNTA($BA$2083:$EH$2083)</f>
        <v/>
      </c>
      <c r="AV2083">
        <f>COUNTIF($BA$2083:$EH$2083,"D")</f>
        <v/>
      </c>
      <c r="AW2083">
        <f>COUNTIF($BA$2083:$EH$2083,"R")</f>
        <v/>
      </c>
      <c r="AX2083">
        <f>IF(BN2083="D",1,0)+IF(BO2083="D",1,0)+IF(BT2083="D",1,0)+IF(BU2083="D",1,0)+IF(BW2083="D",1,0)+IF(CC2083="D",1,0)+IF(CD2083="D",1,0)+IF(CE2083="D",1,0)+IF(CF2083="D",1,0)+IF(CL2083="D",1,0)+IF(CM2083="D",1,0)+IF(CQ2083="D",1,0)+IF(CR2083="D",1,0)+IF(CS2083="D",1,0)+IF(CW2083="D",1,0)+IF(CX2083="D",1,0)+IF(DD2083="D",1,0)+IF(DE2083="D",1,0)+IF(DJ2083="D",1,0)+IF(DK2083="D",1,0)+IF(DO2083="D",1,0)+IF(DP2083="D",1,0)+IF(DQ2083="D",1,0)+IF(DW2083="D",1,0)+IF(DZ2083="D",1,0)+IF(EH2083="D",1,0)</f>
        <v/>
      </c>
      <c r="AY2083">
        <f>IF(DJ2083&lt;&gt;"",1,0)+IF(DK2083&lt;&gt;"",1,0)+IF(DM2083&lt;&gt;"",1,0)+IF(DO2083&lt;&gt;"",1,0)+IF(DP2083&lt;&gt;"",1,0)+IF(DQ2083&lt;&gt;"",1,0)+IF(DS2083&lt;&gt;"",1,0)+IF(DT2083&lt;&gt;"",1,0)+IF(DV2083&lt;&gt;"",1,0)+IF(DW2083&lt;&gt;"",1,0)+IF(DX2083&lt;&gt;"",1,0)+IF(DY2083&lt;&gt;"",1,0)+IF(DZ2083&lt;&gt;"",1,0)+IF(EB2083&lt;&gt;"",1,0)+IF(EC2083&lt;&gt;"",1,0)+IF(ED2083&lt;&gt;"",1,0)+IF(EG2083&lt;&gt;"",1,0)+IF(EH2083&lt;&gt;"",1,0)</f>
        <v/>
      </c>
      <c r="AZ2083">
        <f>IF(EH2083&lt;&gt;"",1,0)</f>
        <v/>
      </c>
      <c r="BB2083" t="inlineStr">
        <is>
          <t>WARREN-WARD 4</t>
        </is>
      </c>
      <c r="BY2083" t="inlineStr">
        <is>
          <t>D</t>
        </is>
      </c>
      <c r="CA2083" t="inlineStr">
        <is>
          <t>X</t>
        </is>
      </c>
      <c r="CP2083" t="inlineStr">
        <is>
          <t>X</t>
        </is>
      </c>
      <c r="CY2083" t="inlineStr">
        <is>
          <t>X</t>
        </is>
      </c>
      <c r="DC2083" t="inlineStr">
        <is>
          <t>X</t>
        </is>
      </c>
      <c r="DF2083" t="inlineStr">
        <is>
          <t>X</t>
        </is>
      </c>
      <c r="DG2083" t="inlineStr">
        <is>
          <t>D</t>
        </is>
      </c>
      <c r="DI2083" t="inlineStr">
        <is>
          <t>X</t>
        </is>
      </c>
      <c r="DN2083" t="inlineStr">
        <is>
          <t>X</t>
        </is>
      </c>
      <c r="EF2083" t="inlineStr">
        <is>
          <t>X</t>
        </is>
      </c>
    </row>
    <row r="2084">
      <c r="A2084" t="inlineStr">
        <is>
          <t>OH0022688416</t>
        </is>
      </c>
      <c r="B2084" t="n">
        <v>78</v>
      </c>
      <c r="C2084" t="n">
        <v>400478</v>
      </c>
      <c r="D2084" t="inlineStr">
        <is>
          <t>KIRKLAND</t>
        </is>
      </c>
      <c r="E2084" t="inlineStr">
        <is>
          <t>CHARLES</t>
        </is>
      </c>
      <c r="F2084">
        <f>CONCATENATE(D2084," ",LEFT(H2084,4),"T=",AU2084,"D=",AV2084,"R=",AW2084,"M=",AX2084,"L=",AY2084,"B=",AZ2084)</f>
        <v/>
      </c>
      <c r="H2084" t="inlineStr">
        <is>
          <t>III</t>
        </is>
      </c>
      <c r="I2084" t="inlineStr">
        <is>
          <t>1995-09-09</t>
        </is>
      </c>
      <c r="J2084" t="inlineStr">
        <is>
          <t>2018-10-27</t>
        </is>
      </c>
      <c r="K2084" t="inlineStr">
        <is>
          <t>CONFIRMATION</t>
        </is>
      </c>
      <c r="M2084" t="inlineStr">
        <is>
          <t>1570 OAK KNOLL AVE SE</t>
        </is>
      </c>
      <c r="N2084">
        <f>RIGHT(M2084,LEN(M2084)-FIND(" ",M2084))</f>
        <v/>
      </c>
      <c r="P2084" t="inlineStr">
        <is>
          <t>WARREN</t>
        </is>
      </c>
      <c r="Q2084" t="inlineStr">
        <is>
          <t>OH</t>
        </is>
      </c>
      <c r="R2084" t="n">
        <v>44484</v>
      </c>
      <c r="AD2084" t="inlineStr">
        <is>
          <t>TRUMBULL CAREER &amp; TECH CENTER</t>
        </is>
      </c>
      <c r="AE2084" t="inlineStr">
        <is>
          <t>WARREN CITY</t>
        </is>
      </c>
      <c r="AF2084" t="inlineStr">
        <is>
          <t>WARREN CITY SD</t>
        </is>
      </c>
      <c r="AH2084" t="n">
        <v>14</v>
      </c>
      <c r="AI2084" t="n">
        <v>11</v>
      </c>
      <c r="AN2084" t="inlineStr">
        <is>
          <t>WARREN</t>
        </is>
      </c>
      <c r="AO2084" t="inlineStr">
        <is>
          <t>WARREN CITY 4F</t>
        </is>
      </c>
      <c r="AP2084" t="inlineStr">
        <is>
          <t>78-P-ADN</t>
        </is>
      </c>
      <c r="AQ2084" t="n">
        <v>9</v>
      </c>
      <c r="AR2084" t="n">
        <v>64</v>
      </c>
      <c r="AS2084" t="n">
        <v>32</v>
      </c>
      <c r="AU2084">
        <f>COUNTA($BA$2084:$EH$2084)</f>
        <v/>
      </c>
      <c r="AV2084">
        <f>COUNTIF($BA$2084:$EH$2084,"D")</f>
        <v/>
      </c>
      <c r="AW2084">
        <f>COUNTIF($BA$2084:$EH$2084,"R")</f>
        <v/>
      </c>
      <c r="AX2084">
        <f>IF(BN2084="D",1,0)+IF(BO2084="D",1,0)+IF(BT2084="D",1,0)+IF(BU2084="D",1,0)+IF(BW2084="D",1,0)+IF(CC2084="D",1,0)+IF(CD2084="D",1,0)+IF(CE2084="D",1,0)+IF(CF2084="D",1,0)+IF(CL2084="D",1,0)+IF(CM2084="D",1,0)+IF(CQ2084="D",1,0)+IF(CR2084="D",1,0)+IF(CS2084="D",1,0)+IF(CW2084="D",1,0)+IF(CX2084="D",1,0)+IF(DD2084="D",1,0)+IF(DE2084="D",1,0)+IF(DJ2084="D",1,0)+IF(DK2084="D",1,0)+IF(DO2084="D",1,0)+IF(DP2084="D",1,0)+IF(DQ2084="D",1,0)+IF(DW2084="D",1,0)+IF(DZ2084="D",1,0)+IF(EH2084="D",1,0)</f>
        <v/>
      </c>
      <c r="AY2084">
        <f>IF(DJ2084&lt;&gt;"",1,0)+IF(DK2084&lt;&gt;"",1,0)+IF(DM2084&lt;&gt;"",1,0)+IF(DO2084&lt;&gt;"",1,0)+IF(DP2084&lt;&gt;"",1,0)+IF(DQ2084&lt;&gt;"",1,0)+IF(DS2084&lt;&gt;"",1,0)+IF(DT2084&lt;&gt;"",1,0)+IF(DV2084&lt;&gt;"",1,0)+IF(DW2084&lt;&gt;"",1,0)+IF(DX2084&lt;&gt;"",1,0)+IF(DY2084&lt;&gt;"",1,0)+IF(DZ2084&lt;&gt;"",1,0)+IF(EB2084&lt;&gt;"",1,0)+IF(EC2084&lt;&gt;"",1,0)+IF(ED2084&lt;&gt;"",1,0)+IF(EG2084&lt;&gt;"",1,0)+IF(EH2084&lt;&gt;"",1,0)</f>
        <v/>
      </c>
      <c r="AZ2084">
        <f>IF(EH2084&lt;&gt;"",1,0)</f>
        <v/>
      </c>
      <c r="BB2084" t="inlineStr">
        <is>
          <t>WARREN-WARD 4</t>
        </is>
      </c>
      <c r="DC2084" t="inlineStr">
        <is>
          <t>X</t>
        </is>
      </c>
      <c r="DI2084" t="inlineStr">
        <is>
          <t>X</t>
        </is>
      </c>
    </row>
    <row r="2085">
      <c r="A2085" t="inlineStr">
        <is>
          <t>OH0021882726</t>
        </is>
      </c>
      <c r="B2085" t="n">
        <v>78</v>
      </c>
      <c r="C2085" t="n">
        <v>388741</v>
      </c>
      <c r="D2085" t="inlineStr">
        <is>
          <t>CARPENTER</t>
        </is>
      </c>
      <c r="E2085" t="inlineStr">
        <is>
          <t>PIERRE</t>
        </is>
      </c>
      <c r="F2085">
        <f>CONCATENATE(D2085," ",LEFT(H2085,4),"T=",AU2085,"D=",AV2085,"R=",AW2085,"M=",AX2085,"L=",AY2085,"B=",AZ2085)</f>
        <v/>
      </c>
      <c r="G2085" t="inlineStr">
        <is>
          <t>M</t>
        </is>
      </c>
      <c r="I2085" t="inlineStr">
        <is>
          <t>1993-11-12</t>
        </is>
      </c>
      <c r="J2085" t="inlineStr">
        <is>
          <t>2012-04-21</t>
        </is>
      </c>
      <c r="K2085" t="inlineStr">
        <is>
          <t>CONFIRMATION</t>
        </is>
      </c>
      <c r="M2085" t="inlineStr">
        <is>
          <t>1516 HOMEWOOD AVE SE</t>
        </is>
      </c>
      <c r="N2085">
        <f>RIGHT(M2085,LEN(M2085)-FIND(" ",M2085))</f>
        <v/>
      </c>
      <c r="P2085" t="inlineStr">
        <is>
          <t>WARREN</t>
        </is>
      </c>
      <c r="Q2085" t="inlineStr">
        <is>
          <t>OH</t>
        </is>
      </c>
      <c r="R2085" t="n">
        <v>44484</v>
      </c>
      <c r="AD2085" t="inlineStr">
        <is>
          <t>TRUMBULL CAREER &amp; TECH CENTER</t>
        </is>
      </c>
      <c r="AE2085" t="inlineStr">
        <is>
          <t>WARREN CITY</t>
        </is>
      </c>
      <c r="AF2085" t="inlineStr">
        <is>
          <t>WARREN CITY SD</t>
        </is>
      </c>
      <c r="AH2085" t="n">
        <v>14</v>
      </c>
      <c r="AI2085" t="n">
        <v>11</v>
      </c>
      <c r="AN2085" t="inlineStr">
        <is>
          <t>WARREN</t>
        </is>
      </c>
      <c r="AO2085" t="inlineStr">
        <is>
          <t>WARREN CITY 4F</t>
        </is>
      </c>
      <c r="AP2085" t="inlineStr">
        <is>
          <t>78-P-ADN</t>
        </is>
      </c>
      <c r="AQ2085" t="n">
        <v>9</v>
      </c>
      <c r="AR2085" t="n">
        <v>64</v>
      </c>
      <c r="AS2085" t="n">
        <v>32</v>
      </c>
      <c r="AU2085">
        <f>COUNTA($BA$2085:$EH$2085)</f>
        <v/>
      </c>
      <c r="AV2085">
        <f>COUNTIF($BA$2085:$EH$2085,"D")</f>
        <v/>
      </c>
      <c r="AW2085">
        <f>COUNTIF($BA$2085:$EH$2085,"R")</f>
        <v/>
      </c>
      <c r="AX2085">
        <f>IF(BN2085="D",1,0)+IF(BO2085="D",1,0)+IF(BT2085="D",1,0)+IF(BU2085="D",1,0)+IF(BW2085="D",1,0)+IF(CC2085="D",1,0)+IF(CD2085="D",1,0)+IF(CE2085="D",1,0)+IF(CF2085="D",1,0)+IF(CL2085="D",1,0)+IF(CM2085="D",1,0)+IF(CQ2085="D",1,0)+IF(CR2085="D",1,0)+IF(CS2085="D",1,0)+IF(CW2085="D",1,0)+IF(CX2085="D",1,0)+IF(DD2085="D",1,0)+IF(DE2085="D",1,0)+IF(DJ2085="D",1,0)+IF(DK2085="D",1,0)+IF(DO2085="D",1,0)+IF(DP2085="D",1,0)+IF(DQ2085="D",1,0)+IF(DW2085="D",1,0)+IF(DZ2085="D",1,0)+IF(EH2085="D",1,0)</f>
        <v/>
      </c>
      <c r="AY2085">
        <f>IF(DJ2085&lt;&gt;"",1,0)+IF(DK2085&lt;&gt;"",1,0)+IF(DM2085&lt;&gt;"",1,0)+IF(DO2085&lt;&gt;"",1,0)+IF(DP2085&lt;&gt;"",1,0)+IF(DQ2085&lt;&gt;"",1,0)+IF(DS2085&lt;&gt;"",1,0)+IF(DT2085&lt;&gt;"",1,0)+IF(DV2085&lt;&gt;"",1,0)+IF(DW2085&lt;&gt;"",1,0)+IF(DX2085&lt;&gt;"",1,0)+IF(DY2085&lt;&gt;"",1,0)+IF(DZ2085&lt;&gt;"",1,0)+IF(EB2085&lt;&gt;"",1,0)+IF(EC2085&lt;&gt;"",1,0)+IF(ED2085&lt;&gt;"",1,0)+IF(EG2085&lt;&gt;"",1,0)+IF(EH2085&lt;&gt;"",1,0)</f>
        <v/>
      </c>
      <c r="AZ2085">
        <f>IF(EH2085&lt;&gt;"",1,0)</f>
        <v/>
      </c>
      <c r="BB2085" t="inlineStr">
        <is>
          <t>WARREN-WARD 4</t>
        </is>
      </c>
      <c r="DC2085" t="inlineStr">
        <is>
          <t>X</t>
        </is>
      </c>
      <c r="DI2085" t="inlineStr">
        <is>
          <t>X</t>
        </is>
      </c>
    </row>
    <row r="2086">
      <c r="A2086" t="inlineStr">
        <is>
          <t>OH0023229514</t>
        </is>
      </c>
      <c r="B2086" t="n">
        <v>78</v>
      </c>
      <c r="C2086" t="n">
        <v>408871</v>
      </c>
      <c r="D2086" t="inlineStr">
        <is>
          <t>WARFIELD</t>
        </is>
      </c>
      <c r="E2086" t="inlineStr">
        <is>
          <t>DONDELL</t>
        </is>
      </c>
      <c r="F2086">
        <f>CONCATENATE(D2086," ",LEFT(H2086,4),"T=",AU2086,"D=",AV2086,"R=",AW2086,"M=",AX2086,"L=",AY2086,"B=",AZ2086)</f>
        <v/>
      </c>
      <c r="G2086" t="inlineStr">
        <is>
          <t>LAMONT</t>
        </is>
      </c>
      <c r="H2086" t="inlineStr">
        <is>
          <t>SR</t>
        </is>
      </c>
      <c r="I2086" t="inlineStr">
        <is>
          <t>1972-10-28</t>
        </is>
      </c>
      <c r="J2086" t="inlineStr">
        <is>
          <t>2021-03-01</t>
        </is>
      </c>
      <c r="K2086" t="inlineStr">
        <is>
          <t>CONFIRMATION</t>
        </is>
      </c>
      <c r="M2086" t="inlineStr">
        <is>
          <t>2739 DUKE AVE SE</t>
        </is>
      </c>
      <c r="N2086">
        <f>RIGHT(M2086,LEN(M2086)-FIND(" ",M2086))</f>
        <v/>
      </c>
      <c r="P2086" t="inlineStr">
        <is>
          <t>WARREN</t>
        </is>
      </c>
      <c r="Q2086" t="inlineStr">
        <is>
          <t>OH</t>
        </is>
      </c>
      <c r="R2086" t="n">
        <v>44484</v>
      </c>
      <c r="AD2086" t="inlineStr">
        <is>
          <t>TRUMBULL CAREER &amp; TECH CENTER</t>
        </is>
      </c>
      <c r="AE2086" t="inlineStr">
        <is>
          <t>WARREN CITY</t>
        </is>
      </c>
      <c r="AF2086" t="inlineStr">
        <is>
          <t>WARREN CITY SD</t>
        </is>
      </c>
      <c r="AH2086" t="n">
        <v>14</v>
      </c>
      <c r="AI2086" t="n">
        <v>11</v>
      </c>
      <c r="AN2086" t="inlineStr">
        <is>
          <t>WARREN</t>
        </is>
      </c>
      <c r="AO2086" t="inlineStr">
        <is>
          <t>WARREN CITY 4F</t>
        </is>
      </c>
      <c r="AP2086" t="inlineStr">
        <is>
          <t>78-P-ADN</t>
        </is>
      </c>
      <c r="AQ2086" t="n">
        <v>9</v>
      </c>
      <c r="AR2086" t="n">
        <v>64</v>
      </c>
      <c r="AS2086" t="n">
        <v>32</v>
      </c>
      <c r="AU2086">
        <f>COUNTA($BA$2086:$EH$2086)</f>
        <v/>
      </c>
      <c r="AV2086">
        <f>COUNTIF($BA$2086:$EH$2086,"D")</f>
        <v/>
      </c>
      <c r="AW2086">
        <f>COUNTIF($BA$2086:$EH$2086,"R")</f>
        <v/>
      </c>
      <c r="AX2086">
        <f>IF(BN2086="D",1,0)+IF(BO2086="D",1,0)+IF(BT2086="D",1,0)+IF(BU2086="D",1,0)+IF(BW2086="D",1,0)+IF(CC2086="D",1,0)+IF(CD2086="D",1,0)+IF(CE2086="D",1,0)+IF(CF2086="D",1,0)+IF(CL2086="D",1,0)+IF(CM2086="D",1,0)+IF(CQ2086="D",1,0)+IF(CR2086="D",1,0)+IF(CS2086="D",1,0)+IF(CW2086="D",1,0)+IF(CX2086="D",1,0)+IF(DD2086="D",1,0)+IF(DE2086="D",1,0)+IF(DJ2086="D",1,0)+IF(DK2086="D",1,0)+IF(DO2086="D",1,0)+IF(DP2086="D",1,0)+IF(DQ2086="D",1,0)+IF(DW2086="D",1,0)+IF(DZ2086="D",1,0)+IF(EH2086="D",1,0)</f>
        <v/>
      </c>
      <c r="AY2086">
        <f>IF(DJ2086&lt;&gt;"",1,0)+IF(DK2086&lt;&gt;"",1,0)+IF(DM2086&lt;&gt;"",1,0)+IF(DO2086&lt;&gt;"",1,0)+IF(DP2086&lt;&gt;"",1,0)+IF(DQ2086&lt;&gt;"",1,0)+IF(DS2086&lt;&gt;"",1,0)+IF(DT2086&lt;&gt;"",1,0)+IF(DV2086&lt;&gt;"",1,0)+IF(DW2086&lt;&gt;"",1,0)+IF(DX2086&lt;&gt;"",1,0)+IF(DY2086&lt;&gt;"",1,0)+IF(DZ2086&lt;&gt;"",1,0)+IF(EB2086&lt;&gt;"",1,0)+IF(EC2086&lt;&gt;"",1,0)+IF(ED2086&lt;&gt;"",1,0)+IF(EG2086&lt;&gt;"",1,0)+IF(EH2086&lt;&gt;"",1,0)</f>
        <v/>
      </c>
      <c r="AZ2086">
        <f>IF(EH2086&lt;&gt;"",1,0)</f>
        <v/>
      </c>
      <c r="BB2086" t="inlineStr">
        <is>
          <t>WARREN-WARD 4</t>
        </is>
      </c>
    </row>
    <row r="2087">
      <c r="A2087" t="inlineStr">
        <is>
          <t>OH0015790595</t>
        </is>
      </c>
      <c r="B2087" t="n">
        <v>78</v>
      </c>
      <c r="C2087" t="n">
        <v>6886</v>
      </c>
      <c r="D2087" t="inlineStr">
        <is>
          <t>JONES</t>
        </is>
      </c>
      <c r="E2087" t="inlineStr">
        <is>
          <t>MELANIE</t>
        </is>
      </c>
      <c r="F2087">
        <f>CONCATENATE(D2087," ",LEFT(H2087,4),"T=",AU2087,"D=",AV2087,"R=",AW2087,"M=",AX2087,"L=",AY2087,"B=",AZ2087)</f>
        <v/>
      </c>
      <c r="G2087" t="inlineStr">
        <is>
          <t>D</t>
        </is>
      </c>
      <c r="I2087" t="inlineStr">
        <is>
          <t>1954-05-31</t>
        </is>
      </c>
      <c r="J2087" t="inlineStr">
        <is>
          <t>1972-09-25</t>
        </is>
      </c>
      <c r="K2087" t="inlineStr">
        <is>
          <t>ACTIVE</t>
        </is>
      </c>
      <c r="L2087" t="inlineStr">
        <is>
          <t>D</t>
        </is>
      </c>
      <c r="M2087" t="inlineStr">
        <is>
          <t>1965 WICK ST SE</t>
        </is>
      </c>
      <c r="N2087">
        <f>RIGHT(M2087,LEN(M2087)-FIND(" ",M2087))</f>
        <v/>
      </c>
      <c r="P2087" t="inlineStr">
        <is>
          <t>WARREN</t>
        </is>
      </c>
      <c r="Q2087" t="inlineStr">
        <is>
          <t>OH</t>
        </is>
      </c>
      <c r="R2087" t="n">
        <v>44484</v>
      </c>
      <c r="AD2087" t="inlineStr">
        <is>
          <t>TRUMBULL CAREER &amp; TECH CENTER</t>
        </is>
      </c>
      <c r="AE2087" t="inlineStr">
        <is>
          <t>WARREN CITY</t>
        </is>
      </c>
      <c r="AF2087" t="inlineStr">
        <is>
          <t>WARREN CITY SD</t>
        </is>
      </c>
      <c r="AH2087" t="n">
        <v>14</v>
      </c>
      <c r="AI2087" t="n">
        <v>11</v>
      </c>
      <c r="AN2087" t="inlineStr">
        <is>
          <t>WARREN</t>
        </is>
      </c>
      <c r="AO2087" t="inlineStr">
        <is>
          <t>WARREN CITY 4F</t>
        </is>
      </c>
      <c r="AP2087" t="inlineStr">
        <is>
          <t>78-P-ADN</t>
        </is>
      </c>
      <c r="AQ2087" t="n">
        <v>9</v>
      </c>
      <c r="AR2087" t="n">
        <v>64</v>
      </c>
      <c r="AS2087" t="n">
        <v>32</v>
      </c>
      <c r="AU2087">
        <f>COUNTA($BA$2087:$EH$2087)</f>
        <v/>
      </c>
      <c r="AV2087">
        <f>COUNTIF($BA$2087:$EH$2087,"D")</f>
        <v/>
      </c>
      <c r="AW2087">
        <f>COUNTIF($BA$2087:$EH$2087,"R")</f>
        <v/>
      </c>
      <c r="AX2087">
        <f>IF(BN2087="D",1,0)+IF(BO2087="D",1,0)+IF(BT2087="D",1,0)+IF(BU2087="D",1,0)+IF(BW2087="D",1,0)+IF(CC2087="D",1,0)+IF(CD2087="D",1,0)+IF(CE2087="D",1,0)+IF(CF2087="D",1,0)+IF(CL2087="D",1,0)+IF(CM2087="D",1,0)+IF(CQ2087="D",1,0)+IF(CR2087="D",1,0)+IF(CS2087="D",1,0)+IF(CW2087="D",1,0)+IF(CX2087="D",1,0)+IF(DD2087="D",1,0)+IF(DE2087="D",1,0)+IF(DJ2087="D",1,0)+IF(DK2087="D",1,0)+IF(DO2087="D",1,0)+IF(DP2087="D",1,0)+IF(DQ2087="D",1,0)+IF(DW2087="D",1,0)+IF(DZ2087="D",1,0)+IF(EH2087="D",1,0)</f>
        <v/>
      </c>
      <c r="AY2087">
        <f>IF(DJ2087&lt;&gt;"",1,0)+IF(DK2087&lt;&gt;"",1,0)+IF(DM2087&lt;&gt;"",1,0)+IF(DO2087&lt;&gt;"",1,0)+IF(DP2087&lt;&gt;"",1,0)+IF(DQ2087&lt;&gt;"",1,0)+IF(DS2087&lt;&gt;"",1,0)+IF(DT2087&lt;&gt;"",1,0)+IF(DV2087&lt;&gt;"",1,0)+IF(DW2087&lt;&gt;"",1,0)+IF(DX2087&lt;&gt;"",1,0)+IF(DY2087&lt;&gt;"",1,0)+IF(DZ2087&lt;&gt;"",1,0)+IF(EB2087&lt;&gt;"",1,0)+IF(EC2087&lt;&gt;"",1,0)+IF(ED2087&lt;&gt;"",1,0)+IF(EG2087&lt;&gt;"",1,0)+IF(EH2087&lt;&gt;"",1,0)</f>
        <v/>
      </c>
      <c r="AZ2087">
        <f>IF(EH2087&lt;&gt;"",1,0)</f>
        <v/>
      </c>
      <c r="BB2087" t="inlineStr">
        <is>
          <t>WARREN-WARD 4</t>
        </is>
      </c>
      <c r="BC2087" t="inlineStr">
        <is>
          <t>X</t>
        </is>
      </c>
      <c r="BD2087" t="inlineStr">
        <is>
          <t>X</t>
        </is>
      </c>
      <c r="BE2087" t="inlineStr">
        <is>
          <t>X</t>
        </is>
      </c>
      <c r="BF2087" t="inlineStr">
        <is>
          <t>X</t>
        </is>
      </c>
      <c r="BG2087" t="inlineStr">
        <is>
          <t>X</t>
        </is>
      </c>
      <c r="BH2087" t="inlineStr">
        <is>
          <t>X</t>
        </is>
      </c>
      <c r="BI2087" t="inlineStr">
        <is>
          <t>X</t>
        </is>
      </c>
      <c r="BJ2087" t="inlineStr">
        <is>
          <t>X</t>
        </is>
      </c>
      <c r="BK2087" t="inlineStr">
        <is>
          <t>X</t>
        </is>
      </c>
      <c r="BL2087" t="inlineStr">
        <is>
          <t>X</t>
        </is>
      </c>
      <c r="BP2087" t="inlineStr">
        <is>
          <t>X</t>
        </is>
      </c>
      <c r="BR2087" t="inlineStr">
        <is>
          <t>X</t>
        </is>
      </c>
      <c r="BS2087" t="inlineStr">
        <is>
          <t>X</t>
        </is>
      </c>
      <c r="BT2087" t="inlineStr">
        <is>
          <t>X</t>
        </is>
      </c>
      <c r="BV2087" t="inlineStr">
        <is>
          <t>X</t>
        </is>
      </c>
      <c r="BY2087" t="inlineStr">
        <is>
          <t>D</t>
        </is>
      </c>
      <c r="CA2087" t="inlineStr">
        <is>
          <t>X</t>
        </is>
      </c>
      <c r="CC2087" t="inlineStr">
        <is>
          <t>D</t>
        </is>
      </c>
      <c r="CG2087" t="inlineStr">
        <is>
          <t>X</t>
        </is>
      </c>
      <c r="CH2087" t="inlineStr">
        <is>
          <t>D</t>
        </is>
      </c>
      <c r="CK2087" t="inlineStr">
        <is>
          <t>X</t>
        </is>
      </c>
      <c r="CL2087" t="inlineStr">
        <is>
          <t>D</t>
        </is>
      </c>
      <c r="CN2087" t="inlineStr">
        <is>
          <t>X</t>
        </is>
      </c>
      <c r="CO2087" t="inlineStr">
        <is>
          <t>D</t>
        </is>
      </c>
      <c r="CP2087" t="inlineStr">
        <is>
          <t>X</t>
        </is>
      </c>
      <c r="CQ2087" t="inlineStr">
        <is>
          <t>D</t>
        </is>
      </c>
      <c r="CT2087" t="inlineStr">
        <is>
          <t>X</t>
        </is>
      </c>
      <c r="CU2087" t="inlineStr">
        <is>
          <t>D</t>
        </is>
      </c>
      <c r="CV2087" t="inlineStr">
        <is>
          <t>X</t>
        </is>
      </c>
      <c r="CW2087" t="inlineStr">
        <is>
          <t>D</t>
        </is>
      </c>
      <c r="CY2087" t="inlineStr">
        <is>
          <t>X</t>
        </is>
      </c>
      <c r="CZ2087" t="inlineStr">
        <is>
          <t>D</t>
        </is>
      </c>
      <c r="DC2087" t="inlineStr">
        <is>
          <t>X</t>
        </is>
      </c>
      <c r="DD2087" t="inlineStr">
        <is>
          <t>D</t>
        </is>
      </c>
      <c r="DF2087" t="inlineStr">
        <is>
          <t>X</t>
        </is>
      </c>
      <c r="DG2087" t="inlineStr">
        <is>
          <t>D</t>
        </is>
      </c>
      <c r="DI2087" t="inlineStr">
        <is>
          <t>X</t>
        </is>
      </c>
      <c r="DJ2087" t="inlineStr">
        <is>
          <t>D</t>
        </is>
      </c>
      <c r="DL2087" t="inlineStr">
        <is>
          <t>X</t>
        </is>
      </c>
      <c r="DM2087" t="inlineStr">
        <is>
          <t>D</t>
        </is>
      </c>
      <c r="DN2087" t="inlineStr">
        <is>
          <t>X</t>
        </is>
      </c>
      <c r="DR2087" t="inlineStr">
        <is>
          <t>X</t>
        </is>
      </c>
      <c r="DS2087" t="inlineStr">
        <is>
          <t>D</t>
        </is>
      </c>
      <c r="DT2087" t="inlineStr">
        <is>
          <t>D</t>
        </is>
      </c>
      <c r="DU2087" t="inlineStr">
        <is>
          <t>X</t>
        </is>
      </c>
      <c r="DW2087" t="inlineStr">
        <is>
          <t>D</t>
        </is>
      </c>
      <c r="DX2087" t="inlineStr">
        <is>
          <t>X</t>
        </is>
      </c>
      <c r="EA2087" t="inlineStr">
        <is>
          <t>X</t>
        </is>
      </c>
      <c r="ED2087" t="inlineStr">
        <is>
          <t>D</t>
        </is>
      </c>
      <c r="EF2087" t="inlineStr">
        <is>
          <t>X</t>
        </is>
      </c>
      <c r="EH2087" t="inlineStr">
        <is>
          <t>D</t>
        </is>
      </c>
    </row>
    <row r="2088">
      <c r="A2088" t="inlineStr">
        <is>
          <t>OH0015744189</t>
        </is>
      </c>
      <c r="B2088" t="n">
        <v>78</v>
      </c>
      <c r="C2088" t="n">
        <v>322258</v>
      </c>
      <c r="D2088" t="inlineStr">
        <is>
          <t>WOODWORTH</t>
        </is>
      </c>
      <c r="E2088" t="inlineStr">
        <is>
          <t>SHELLY</t>
        </is>
      </c>
      <c r="F2088">
        <f>CONCATENATE(D2088," ",LEFT(H2088,4),"T=",AU2088,"D=",AV2088,"R=",AW2088,"M=",AX2088,"L=",AY2088,"B=",AZ2088)</f>
        <v/>
      </c>
      <c r="G2088" t="inlineStr">
        <is>
          <t>MARIE</t>
        </is>
      </c>
      <c r="I2088" t="inlineStr">
        <is>
          <t>1981-05-27</t>
        </is>
      </c>
      <c r="J2088" t="inlineStr">
        <is>
          <t>2015-08-31</t>
        </is>
      </c>
      <c r="K2088" t="inlineStr">
        <is>
          <t>CONFIRMATION</t>
        </is>
      </c>
      <c r="M2088" t="inlineStr">
        <is>
          <t>1586 ROMAN ST SE</t>
        </is>
      </c>
      <c r="N2088">
        <f>RIGHT(M2088,LEN(M2088)-FIND(" ",M2088))</f>
        <v/>
      </c>
      <c r="P2088" t="inlineStr">
        <is>
          <t>WARREN</t>
        </is>
      </c>
      <c r="Q2088" t="inlineStr">
        <is>
          <t>OH</t>
        </is>
      </c>
      <c r="R2088" t="n">
        <v>44484</v>
      </c>
      <c r="AD2088" t="inlineStr">
        <is>
          <t>TRUMBULL CAREER &amp; TECH CENTER</t>
        </is>
      </c>
      <c r="AE2088" t="inlineStr">
        <is>
          <t>WARREN CITY</t>
        </is>
      </c>
      <c r="AF2088" t="inlineStr">
        <is>
          <t>WARREN CITY SD</t>
        </is>
      </c>
      <c r="AH2088" t="n">
        <v>14</v>
      </c>
      <c r="AI2088" t="n">
        <v>11</v>
      </c>
      <c r="AN2088" t="inlineStr">
        <is>
          <t>WARREN</t>
        </is>
      </c>
      <c r="AO2088" t="inlineStr">
        <is>
          <t>WARREN CITY 4F</t>
        </is>
      </c>
      <c r="AP2088" t="inlineStr">
        <is>
          <t>78-P-ADN</t>
        </is>
      </c>
      <c r="AQ2088" t="n">
        <v>9</v>
      </c>
      <c r="AR2088" t="n">
        <v>64</v>
      </c>
      <c r="AS2088" t="n">
        <v>32</v>
      </c>
      <c r="AU2088">
        <f>COUNTA($BA$2088:$EH$2088)</f>
        <v/>
      </c>
      <c r="AV2088">
        <f>COUNTIF($BA$2088:$EH$2088,"D")</f>
        <v/>
      </c>
      <c r="AW2088">
        <f>COUNTIF($BA$2088:$EH$2088,"R")</f>
        <v/>
      </c>
      <c r="AX2088">
        <f>IF(BN2088="D",1,0)+IF(BO2088="D",1,0)+IF(BT2088="D",1,0)+IF(BU2088="D",1,0)+IF(BW2088="D",1,0)+IF(CC2088="D",1,0)+IF(CD2088="D",1,0)+IF(CE2088="D",1,0)+IF(CF2088="D",1,0)+IF(CL2088="D",1,0)+IF(CM2088="D",1,0)+IF(CQ2088="D",1,0)+IF(CR2088="D",1,0)+IF(CS2088="D",1,0)+IF(CW2088="D",1,0)+IF(CX2088="D",1,0)+IF(DD2088="D",1,0)+IF(DE2088="D",1,0)+IF(DJ2088="D",1,0)+IF(DK2088="D",1,0)+IF(DO2088="D",1,0)+IF(DP2088="D",1,0)+IF(DQ2088="D",1,0)+IF(DW2088="D",1,0)+IF(DZ2088="D",1,0)+IF(EH2088="D",1,0)</f>
        <v/>
      </c>
      <c r="AY2088">
        <f>IF(DJ2088&lt;&gt;"",1,0)+IF(DK2088&lt;&gt;"",1,0)+IF(DM2088&lt;&gt;"",1,0)+IF(DO2088&lt;&gt;"",1,0)+IF(DP2088&lt;&gt;"",1,0)+IF(DQ2088&lt;&gt;"",1,0)+IF(DS2088&lt;&gt;"",1,0)+IF(DT2088&lt;&gt;"",1,0)+IF(DV2088&lt;&gt;"",1,0)+IF(DW2088&lt;&gt;"",1,0)+IF(DX2088&lt;&gt;"",1,0)+IF(DY2088&lt;&gt;"",1,0)+IF(DZ2088&lt;&gt;"",1,0)+IF(EB2088&lt;&gt;"",1,0)+IF(EC2088&lt;&gt;"",1,0)+IF(ED2088&lt;&gt;"",1,0)+IF(EG2088&lt;&gt;"",1,0)+IF(EH2088&lt;&gt;"",1,0)</f>
        <v/>
      </c>
      <c r="AZ2088">
        <f>IF(EH2088&lt;&gt;"",1,0)</f>
        <v/>
      </c>
      <c r="BB2088" t="inlineStr">
        <is>
          <t>WARREN-WARD 4</t>
        </is>
      </c>
      <c r="BL2088" t="inlineStr">
        <is>
          <t>X</t>
        </is>
      </c>
      <c r="CA2088" t="inlineStr">
        <is>
          <t>X</t>
        </is>
      </c>
      <c r="CP2088" t="inlineStr">
        <is>
          <t>X</t>
        </is>
      </c>
      <c r="DC2088" t="inlineStr">
        <is>
          <t>X</t>
        </is>
      </c>
    </row>
    <row r="2089">
      <c r="A2089" t="inlineStr">
        <is>
          <t>OH0025809936</t>
        </is>
      </c>
      <c r="B2089" t="n">
        <v>78</v>
      </c>
      <c r="C2089" t="n">
        <v>450918</v>
      </c>
      <c r="D2089" t="inlineStr">
        <is>
          <t>MASIKA</t>
        </is>
      </c>
      <c r="E2089" t="inlineStr">
        <is>
          <t>KATHLEEN</t>
        </is>
      </c>
      <c r="F2089">
        <f>CONCATENATE(D2089," ",LEFT(H2089,4),"T=",AU2089,"D=",AV2089,"R=",AW2089,"M=",AX2089,"L=",AY2089,"B=",AZ2089)</f>
        <v/>
      </c>
      <c r="G2089" t="inlineStr">
        <is>
          <t>S</t>
        </is>
      </c>
      <c r="I2089" t="inlineStr">
        <is>
          <t>1952-11-19</t>
        </is>
      </c>
      <c r="J2089" t="inlineStr">
        <is>
          <t>2020-09-04</t>
        </is>
      </c>
      <c r="K2089" t="inlineStr">
        <is>
          <t>ACTIVE</t>
        </is>
      </c>
      <c r="L2089" t="inlineStr">
        <is>
          <t>R</t>
        </is>
      </c>
      <c r="M2089" t="inlineStr">
        <is>
          <t>1530 ADELAIDE AVE SE</t>
        </is>
      </c>
      <c r="N2089">
        <f>RIGHT(M2089,LEN(M2089)-FIND(" ",M2089))</f>
        <v/>
      </c>
      <c r="P2089" t="inlineStr">
        <is>
          <t>WARREN</t>
        </is>
      </c>
      <c r="Q2089" t="inlineStr">
        <is>
          <t>OH</t>
        </is>
      </c>
      <c r="R2089" t="n">
        <v>44484</v>
      </c>
      <c r="AD2089" t="inlineStr">
        <is>
          <t>TRUMBULL CAREER &amp; TECH CENTER</t>
        </is>
      </c>
      <c r="AE2089" t="inlineStr">
        <is>
          <t>WARREN CITY</t>
        </is>
      </c>
      <c r="AF2089" t="inlineStr">
        <is>
          <t>WARREN CITY SD</t>
        </is>
      </c>
      <c r="AH2089" t="n">
        <v>14</v>
      </c>
      <c r="AI2089" t="n">
        <v>11</v>
      </c>
      <c r="AN2089" t="inlineStr">
        <is>
          <t>WARREN</t>
        </is>
      </c>
      <c r="AO2089" t="inlineStr">
        <is>
          <t>WARREN CITY 4F</t>
        </is>
      </c>
      <c r="AP2089" t="inlineStr">
        <is>
          <t>78-P-ADN</t>
        </is>
      </c>
      <c r="AQ2089" t="n">
        <v>9</v>
      </c>
      <c r="AR2089" t="n">
        <v>64</v>
      </c>
      <c r="AS2089" t="n">
        <v>32</v>
      </c>
      <c r="AU2089">
        <f>COUNTA($BA$2089:$EH$2089)</f>
        <v/>
      </c>
      <c r="AV2089">
        <f>COUNTIF($BA$2089:$EH$2089,"D")</f>
        <v/>
      </c>
      <c r="AW2089">
        <f>COUNTIF($BA$2089:$EH$2089,"R")</f>
        <v/>
      </c>
      <c r="AX2089">
        <f>IF(BN2089="D",1,0)+IF(BO2089="D",1,0)+IF(BT2089="D",1,0)+IF(BU2089="D",1,0)+IF(BW2089="D",1,0)+IF(CC2089="D",1,0)+IF(CD2089="D",1,0)+IF(CE2089="D",1,0)+IF(CF2089="D",1,0)+IF(CL2089="D",1,0)+IF(CM2089="D",1,0)+IF(CQ2089="D",1,0)+IF(CR2089="D",1,0)+IF(CS2089="D",1,0)+IF(CW2089="D",1,0)+IF(CX2089="D",1,0)+IF(DD2089="D",1,0)+IF(DE2089="D",1,0)+IF(DJ2089="D",1,0)+IF(DK2089="D",1,0)+IF(DO2089="D",1,0)+IF(DP2089="D",1,0)+IF(DQ2089="D",1,0)+IF(DW2089="D",1,0)+IF(DZ2089="D",1,0)+IF(EH2089="D",1,0)</f>
        <v/>
      </c>
      <c r="AY2089">
        <f>IF(DJ2089&lt;&gt;"",1,0)+IF(DK2089&lt;&gt;"",1,0)+IF(DM2089&lt;&gt;"",1,0)+IF(DO2089&lt;&gt;"",1,0)+IF(DP2089&lt;&gt;"",1,0)+IF(DQ2089&lt;&gt;"",1,0)+IF(DS2089&lt;&gt;"",1,0)+IF(DT2089&lt;&gt;"",1,0)+IF(DV2089&lt;&gt;"",1,0)+IF(DW2089&lt;&gt;"",1,0)+IF(DX2089&lt;&gt;"",1,0)+IF(DY2089&lt;&gt;"",1,0)+IF(DZ2089&lt;&gt;"",1,0)+IF(EB2089&lt;&gt;"",1,0)+IF(EC2089&lt;&gt;"",1,0)+IF(ED2089&lt;&gt;"",1,0)+IF(EG2089&lt;&gt;"",1,0)+IF(EH2089&lt;&gt;"",1,0)</f>
        <v/>
      </c>
      <c r="AZ2089">
        <f>IF(EH2089&lt;&gt;"",1,0)</f>
        <v/>
      </c>
      <c r="BB2089" t="inlineStr">
        <is>
          <t>WARREN-WARD 4</t>
        </is>
      </c>
      <c r="DN2089" t="inlineStr">
        <is>
          <t>X</t>
        </is>
      </c>
      <c r="DU2089" t="inlineStr">
        <is>
          <t>X</t>
        </is>
      </c>
      <c r="DX2089" t="inlineStr">
        <is>
          <t>X</t>
        </is>
      </c>
      <c r="ED2089" t="inlineStr">
        <is>
          <t>R</t>
        </is>
      </c>
      <c r="EF2089" t="inlineStr">
        <is>
          <t>X</t>
        </is>
      </c>
    </row>
    <row r="2090">
      <c r="A2090" t="inlineStr">
        <is>
          <t>OH0021220599</t>
        </is>
      </c>
      <c r="B2090" t="n">
        <v>78</v>
      </c>
      <c r="C2090" t="n">
        <v>377483</v>
      </c>
      <c r="D2090" t="inlineStr">
        <is>
          <t>BROWN</t>
        </is>
      </c>
      <c r="E2090" t="inlineStr">
        <is>
          <t>DEANDRE</t>
        </is>
      </c>
      <c r="F2090">
        <f>CONCATENATE(D2090," ",LEFT(H2090,4),"T=",AU2090,"D=",AV2090,"R=",AW2090,"M=",AX2090,"L=",AY2090,"B=",AZ2090)</f>
        <v/>
      </c>
      <c r="G2090" t="inlineStr">
        <is>
          <t>EVON</t>
        </is>
      </c>
      <c r="I2090" t="inlineStr">
        <is>
          <t>1992-09-23</t>
        </is>
      </c>
      <c r="J2090" t="inlineStr">
        <is>
          <t>2010-09-29</t>
        </is>
      </c>
      <c r="K2090" t="inlineStr">
        <is>
          <t>CONFIRMATION</t>
        </is>
      </c>
      <c r="M2090" t="inlineStr">
        <is>
          <t>1816 MILTON ST SE</t>
        </is>
      </c>
      <c r="N2090">
        <f>RIGHT(M2090,LEN(M2090)-FIND(" ",M2090))</f>
        <v/>
      </c>
      <c r="P2090" t="inlineStr">
        <is>
          <t>WARREN</t>
        </is>
      </c>
      <c r="Q2090" t="inlineStr">
        <is>
          <t>OH</t>
        </is>
      </c>
      <c r="R2090" t="n">
        <v>44484</v>
      </c>
      <c r="AD2090" t="inlineStr">
        <is>
          <t>TRUMBULL CAREER &amp; TECH CENTER</t>
        </is>
      </c>
      <c r="AE2090" t="inlineStr">
        <is>
          <t>WARREN CITY</t>
        </is>
      </c>
      <c r="AF2090" t="inlineStr">
        <is>
          <t>WARREN CITY SD</t>
        </is>
      </c>
      <c r="AH2090" t="n">
        <v>14</v>
      </c>
      <c r="AI2090" t="n">
        <v>11</v>
      </c>
      <c r="AN2090" t="inlineStr">
        <is>
          <t>WARREN</t>
        </is>
      </c>
      <c r="AO2090" t="inlineStr">
        <is>
          <t>WARREN CITY 4F</t>
        </is>
      </c>
      <c r="AP2090" t="inlineStr">
        <is>
          <t>78-P-ADN</t>
        </is>
      </c>
      <c r="AQ2090" t="n">
        <v>9</v>
      </c>
      <c r="AR2090" t="n">
        <v>64</v>
      </c>
      <c r="AS2090" t="n">
        <v>32</v>
      </c>
      <c r="AU2090">
        <f>COUNTA($BA$2090:$EH$2090)</f>
        <v/>
      </c>
      <c r="AV2090">
        <f>COUNTIF($BA$2090:$EH$2090,"D")</f>
        <v/>
      </c>
      <c r="AW2090">
        <f>COUNTIF($BA$2090:$EH$2090,"R")</f>
        <v/>
      </c>
      <c r="AX2090">
        <f>IF(BN2090="D",1,0)+IF(BO2090="D",1,0)+IF(BT2090="D",1,0)+IF(BU2090="D",1,0)+IF(BW2090="D",1,0)+IF(CC2090="D",1,0)+IF(CD2090="D",1,0)+IF(CE2090="D",1,0)+IF(CF2090="D",1,0)+IF(CL2090="D",1,0)+IF(CM2090="D",1,0)+IF(CQ2090="D",1,0)+IF(CR2090="D",1,0)+IF(CS2090="D",1,0)+IF(CW2090="D",1,0)+IF(CX2090="D",1,0)+IF(DD2090="D",1,0)+IF(DE2090="D",1,0)+IF(DJ2090="D",1,0)+IF(DK2090="D",1,0)+IF(DO2090="D",1,0)+IF(DP2090="D",1,0)+IF(DQ2090="D",1,0)+IF(DW2090="D",1,0)+IF(DZ2090="D",1,0)+IF(EH2090="D",1,0)</f>
        <v/>
      </c>
      <c r="AY2090">
        <f>IF(DJ2090&lt;&gt;"",1,0)+IF(DK2090&lt;&gt;"",1,0)+IF(DM2090&lt;&gt;"",1,0)+IF(DO2090&lt;&gt;"",1,0)+IF(DP2090&lt;&gt;"",1,0)+IF(DQ2090&lt;&gt;"",1,0)+IF(DS2090&lt;&gt;"",1,0)+IF(DT2090&lt;&gt;"",1,0)+IF(DV2090&lt;&gt;"",1,0)+IF(DW2090&lt;&gt;"",1,0)+IF(DX2090&lt;&gt;"",1,0)+IF(DY2090&lt;&gt;"",1,0)+IF(DZ2090&lt;&gt;"",1,0)+IF(EB2090&lt;&gt;"",1,0)+IF(EC2090&lt;&gt;"",1,0)+IF(ED2090&lt;&gt;"",1,0)+IF(EG2090&lt;&gt;"",1,0)+IF(EH2090&lt;&gt;"",1,0)</f>
        <v/>
      </c>
      <c r="AZ2090">
        <f>IF(EH2090&lt;&gt;"",1,0)</f>
        <v/>
      </c>
      <c r="BB2090" t="inlineStr">
        <is>
          <t>WARREN-WARD 4</t>
        </is>
      </c>
      <c r="CK2090" t="inlineStr">
        <is>
          <t>X</t>
        </is>
      </c>
      <c r="CN2090" t="inlineStr">
        <is>
          <t>X</t>
        </is>
      </c>
      <c r="CP2090" t="inlineStr">
        <is>
          <t>X</t>
        </is>
      </c>
      <c r="CQ2090" t="inlineStr">
        <is>
          <t>D</t>
        </is>
      </c>
      <c r="CY2090" t="inlineStr">
        <is>
          <t>X</t>
        </is>
      </c>
      <c r="CZ2090" t="inlineStr">
        <is>
          <t>D</t>
        </is>
      </c>
      <c r="DI2090" t="inlineStr">
        <is>
          <t>X</t>
        </is>
      </c>
      <c r="DN2090" t="inlineStr">
        <is>
          <t>X</t>
        </is>
      </c>
    </row>
    <row r="2091">
      <c r="A2091" t="inlineStr">
        <is>
          <t>OH0026062996</t>
        </is>
      </c>
      <c r="B2091" t="n">
        <v>78</v>
      </c>
      <c r="C2091" t="n">
        <v>454872</v>
      </c>
      <c r="D2091" t="inlineStr">
        <is>
          <t>DAVIDSON</t>
        </is>
      </c>
      <c r="E2091" t="inlineStr">
        <is>
          <t>KHADEJAH</t>
        </is>
      </c>
      <c r="F2091">
        <f>CONCATENATE(D2091," ",LEFT(H2091,4),"T=",AU2091,"D=",AV2091,"R=",AW2091,"M=",AX2091,"L=",AY2091,"B=",AZ2091)</f>
        <v/>
      </c>
      <c r="G2091" t="inlineStr">
        <is>
          <t>L</t>
        </is>
      </c>
      <c r="I2091" t="inlineStr">
        <is>
          <t>1998-03-02</t>
        </is>
      </c>
      <c r="J2091" t="inlineStr">
        <is>
          <t>2024-07-25</t>
        </is>
      </c>
      <c r="K2091" t="inlineStr">
        <is>
          <t>ACTIVE</t>
        </is>
      </c>
      <c r="M2091" t="inlineStr">
        <is>
          <t>1956 DRAPER AVE SE</t>
        </is>
      </c>
      <c r="N2091">
        <f>RIGHT(M2091,LEN(M2091)-FIND(" ",M2091))</f>
        <v/>
      </c>
      <c r="P2091" t="inlineStr">
        <is>
          <t>WARREN</t>
        </is>
      </c>
      <c r="Q2091" t="inlineStr">
        <is>
          <t>OH</t>
        </is>
      </c>
      <c r="R2091" t="n">
        <v>44484</v>
      </c>
      <c r="AD2091" t="inlineStr">
        <is>
          <t>TRUMBULL CAREER &amp; TECH CENTER</t>
        </is>
      </c>
      <c r="AE2091" t="inlineStr">
        <is>
          <t>WARREN CITY</t>
        </is>
      </c>
      <c r="AF2091" t="inlineStr">
        <is>
          <t>WARREN CITY SD</t>
        </is>
      </c>
      <c r="AH2091" t="n">
        <v>14</v>
      </c>
      <c r="AI2091" t="n">
        <v>11</v>
      </c>
      <c r="AN2091" t="inlineStr">
        <is>
          <t>WARREN</t>
        </is>
      </c>
      <c r="AO2091" t="inlineStr">
        <is>
          <t>WARREN CITY 4F</t>
        </is>
      </c>
      <c r="AP2091" t="inlineStr">
        <is>
          <t>78-P-ADN</t>
        </is>
      </c>
      <c r="AQ2091" t="n">
        <v>9</v>
      </c>
      <c r="AR2091" t="n">
        <v>64</v>
      </c>
      <c r="AS2091" t="n">
        <v>32</v>
      </c>
      <c r="AU2091">
        <f>COUNTA($BA$2091:$EH$2091)</f>
        <v/>
      </c>
      <c r="AV2091">
        <f>COUNTIF($BA$2091:$EH$2091,"D")</f>
        <v/>
      </c>
      <c r="AW2091">
        <f>COUNTIF($BA$2091:$EH$2091,"R")</f>
        <v/>
      </c>
      <c r="AX2091">
        <f>IF(BN2091="D",1,0)+IF(BO2091="D",1,0)+IF(BT2091="D",1,0)+IF(BU2091="D",1,0)+IF(BW2091="D",1,0)+IF(CC2091="D",1,0)+IF(CD2091="D",1,0)+IF(CE2091="D",1,0)+IF(CF2091="D",1,0)+IF(CL2091="D",1,0)+IF(CM2091="D",1,0)+IF(CQ2091="D",1,0)+IF(CR2091="D",1,0)+IF(CS2091="D",1,0)+IF(CW2091="D",1,0)+IF(CX2091="D",1,0)+IF(DD2091="D",1,0)+IF(DE2091="D",1,0)+IF(DJ2091="D",1,0)+IF(DK2091="D",1,0)+IF(DO2091="D",1,0)+IF(DP2091="D",1,0)+IF(DQ2091="D",1,0)+IF(DW2091="D",1,0)+IF(DZ2091="D",1,0)+IF(EH2091="D",1,0)</f>
        <v/>
      </c>
      <c r="AY2091">
        <f>IF(DJ2091&lt;&gt;"",1,0)+IF(DK2091&lt;&gt;"",1,0)+IF(DM2091&lt;&gt;"",1,0)+IF(DO2091&lt;&gt;"",1,0)+IF(DP2091&lt;&gt;"",1,0)+IF(DQ2091&lt;&gt;"",1,0)+IF(DS2091&lt;&gt;"",1,0)+IF(DT2091&lt;&gt;"",1,0)+IF(DV2091&lt;&gt;"",1,0)+IF(DW2091&lt;&gt;"",1,0)+IF(DX2091&lt;&gt;"",1,0)+IF(DY2091&lt;&gt;"",1,0)+IF(DZ2091&lt;&gt;"",1,0)+IF(EB2091&lt;&gt;"",1,0)+IF(EC2091&lt;&gt;"",1,0)+IF(ED2091&lt;&gt;"",1,0)+IF(EG2091&lt;&gt;"",1,0)+IF(EH2091&lt;&gt;"",1,0)</f>
        <v/>
      </c>
      <c r="AZ2091">
        <f>IF(EH2091&lt;&gt;"",1,0)</f>
        <v/>
      </c>
      <c r="BB2091" t="inlineStr">
        <is>
          <t>WARREN-WARD 4</t>
        </is>
      </c>
      <c r="DN2091" t="inlineStr">
        <is>
          <t>X</t>
        </is>
      </c>
      <c r="EF2091" t="inlineStr">
        <is>
          <t>X</t>
        </is>
      </c>
    </row>
    <row r="2092">
      <c r="A2092" t="inlineStr">
        <is>
          <t>OH0015753093</t>
        </is>
      </c>
      <c r="B2092" t="n">
        <v>78</v>
      </c>
      <c r="C2092" t="n">
        <v>239774</v>
      </c>
      <c r="D2092" t="inlineStr">
        <is>
          <t>MORGAN</t>
        </is>
      </c>
      <c r="E2092" t="inlineStr">
        <is>
          <t>SONYA</t>
        </is>
      </c>
      <c r="F2092">
        <f>CONCATENATE(D2092," ",LEFT(H2092,4),"T=",AU2092,"D=",AV2092,"R=",AW2092,"M=",AX2092,"L=",AY2092,"B=",AZ2092)</f>
        <v/>
      </c>
      <c r="I2092" t="inlineStr">
        <is>
          <t>1974-02-02</t>
        </is>
      </c>
      <c r="J2092" t="inlineStr">
        <is>
          <t>2012-11-21</t>
        </is>
      </c>
      <c r="K2092" t="inlineStr">
        <is>
          <t>CONFIRMATION</t>
        </is>
      </c>
      <c r="M2092" t="inlineStr">
        <is>
          <t>2174 DRAPER AVE SE</t>
        </is>
      </c>
      <c r="N2092">
        <f>RIGHT(M2092,LEN(M2092)-FIND(" ",M2092))</f>
        <v/>
      </c>
      <c r="P2092" t="inlineStr">
        <is>
          <t>WARREN</t>
        </is>
      </c>
      <c r="Q2092" t="inlineStr">
        <is>
          <t>OH</t>
        </is>
      </c>
      <c r="R2092" t="n">
        <v>44484</v>
      </c>
      <c r="AD2092" t="inlineStr">
        <is>
          <t>TRUMBULL CAREER &amp; TECH CENTER</t>
        </is>
      </c>
      <c r="AE2092" t="inlineStr">
        <is>
          <t>WARREN CITY</t>
        </is>
      </c>
      <c r="AF2092" t="inlineStr">
        <is>
          <t>WARREN CITY SD</t>
        </is>
      </c>
      <c r="AH2092" t="n">
        <v>14</v>
      </c>
      <c r="AI2092" t="n">
        <v>11</v>
      </c>
      <c r="AN2092" t="inlineStr">
        <is>
          <t>WARREN</t>
        </is>
      </c>
      <c r="AO2092" t="inlineStr">
        <is>
          <t>WARREN CITY 4F</t>
        </is>
      </c>
      <c r="AP2092" t="inlineStr">
        <is>
          <t>78-P-ADN</t>
        </is>
      </c>
      <c r="AQ2092" t="n">
        <v>9</v>
      </c>
      <c r="AR2092" t="n">
        <v>64</v>
      </c>
      <c r="AS2092" t="n">
        <v>32</v>
      </c>
      <c r="AU2092">
        <f>COUNTA($BA$2092:$EH$2092)</f>
        <v/>
      </c>
      <c r="AV2092">
        <f>COUNTIF($BA$2092:$EH$2092,"D")</f>
        <v/>
      </c>
      <c r="AW2092">
        <f>COUNTIF($BA$2092:$EH$2092,"R")</f>
        <v/>
      </c>
      <c r="AX2092">
        <f>IF(BN2092="D",1,0)+IF(BO2092="D",1,0)+IF(BT2092="D",1,0)+IF(BU2092="D",1,0)+IF(BW2092="D",1,0)+IF(CC2092="D",1,0)+IF(CD2092="D",1,0)+IF(CE2092="D",1,0)+IF(CF2092="D",1,0)+IF(CL2092="D",1,0)+IF(CM2092="D",1,0)+IF(CQ2092="D",1,0)+IF(CR2092="D",1,0)+IF(CS2092="D",1,0)+IF(CW2092="D",1,0)+IF(CX2092="D",1,0)+IF(DD2092="D",1,0)+IF(DE2092="D",1,0)+IF(DJ2092="D",1,0)+IF(DK2092="D",1,0)+IF(DO2092="D",1,0)+IF(DP2092="D",1,0)+IF(DQ2092="D",1,0)+IF(DW2092="D",1,0)+IF(DZ2092="D",1,0)+IF(EH2092="D",1,0)</f>
        <v/>
      </c>
      <c r="AY2092">
        <f>IF(DJ2092&lt;&gt;"",1,0)+IF(DK2092&lt;&gt;"",1,0)+IF(DM2092&lt;&gt;"",1,0)+IF(DO2092&lt;&gt;"",1,0)+IF(DP2092&lt;&gt;"",1,0)+IF(DQ2092&lt;&gt;"",1,0)+IF(DS2092&lt;&gt;"",1,0)+IF(DT2092&lt;&gt;"",1,0)+IF(DV2092&lt;&gt;"",1,0)+IF(DW2092&lt;&gt;"",1,0)+IF(DX2092&lt;&gt;"",1,0)+IF(DY2092&lt;&gt;"",1,0)+IF(DZ2092&lt;&gt;"",1,0)+IF(EB2092&lt;&gt;"",1,0)+IF(EC2092&lt;&gt;"",1,0)+IF(ED2092&lt;&gt;"",1,0)+IF(EG2092&lt;&gt;"",1,0)+IF(EH2092&lt;&gt;"",1,0)</f>
        <v/>
      </c>
      <c r="AZ2092">
        <f>IF(EH2092&lt;&gt;"",1,0)</f>
        <v/>
      </c>
      <c r="BB2092" t="inlineStr">
        <is>
          <t>WARREN-WARD 4</t>
        </is>
      </c>
      <c r="BD2092" t="inlineStr">
        <is>
          <t>X</t>
        </is>
      </c>
      <c r="BL2092" t="inlineStr">
        <is>
          <t>X</t>
        </is>
      </c>
      <c r="BY2092" t="inlineStr">
        <is>
          <t>D</t>
        </is>
      </c>
      <c r="CA2092" t="inlineStr">
        <is>
          <t>X</t>
        </is>
      </c>
      <c r="CK2092" t="inlineStr">
        <is>
          <t>X</t>
        </is>
      </c>
      <c r="CP2092" t="inlineStr">
        <is>
          <t>X</t>
        </is>
      </c>
      <c r="DC2092" t="inlineStr">
        <is>
          <t>X</t>
        </is>
      </c>
      <c r="DI2092" t="inlineStr">
        <is>
          <t>X</t>
        </is>
      </c>
      <c r="DN2092" t="inlineStr">
        <is>
          <t>X</t>
        </is>
      </c>
    </row>
    <row r="2093">
      <c r="A2093" t="inlineStr">
        <is>
          <t>OH0025049556</t>
        </is>
      </c>
      <c r="B2093" t="n">
        <v>78</v>
      </c>
      <c r="C2093" t="n">
        <v>438527</v>
      </c>
      <c r="D2093" t="inlineStr">
        <is>
          <t>STREETER</t>
        </is>
      </c>
      <c r="E2093" t="inlineStr">
        <is>
          <t>ESTHER</t>
        </is>
      </c>
      <c r="F2093">
        <f>CONCATENATE(D2093," ",LEFT(H2093,4),"T=",AU2093,"D=",AV2093,"R=",AW2093,"M=",AX2093,"L=",AY2093,"B=",AZ2093)</f>
        <v/>
      </c>
      <c r="G2093" t="inlineStr">
        <is>
          <t>M</t>
        </is>
      </c>
      <c r="I2093" t="inlineStr">
        <is>
          <t>2001-01-13</t>
        </is>
      </c>
      <c r="J2093" t="inlineStr">
        <is>
          <t>2019-03-28</t>
        </is>
      </c>
      <c r="K2093" t="inlineStr">
        <is>
          <t>CONFIRMATION</t>
        </is>
      </c>
      <c r="M2093" t="inlineStr">
        <is>
          <t>1584 TRANSYLVANIA AVE SE</t>
        </is>
      </c>
      <c r="N2093">
        <f>RIGHT(M2093,LEN(M2093)-FIND(" ",M2093))</f>
        <v/>
      </c>
      <c r="P2093" t="inlineStr">
        <is>
          <t>WARREN</t>
        </is>
      </c>
      <c r="Q2093" t="inlineStr">
        <is>
          <t>OH</t>
        </is>
      </c>
      <c r="R2093" t="n">
        <v>44484</v>
      </c>
      <c r="AD2093" t="inlineStr">
        <is>
          <t>TRUMBULL CAREER &amp; TECH CENTER</t>
        </is>
      </c>
      <c r="AE2093" t="inlineStr">
        <is>
          <t>WARREN CITY</t>
        </is>
      </c>
      <c r="AF2093" t="inlineStr">
        <is>
          <t>WARREN CITY SD</t>
        </is>
      </c>
      <c r="AH2093" t="n">
        <v>14</v>
      </c>
      <c r="AI2093" t="n">
        <v>11</v>
      </c>
      <c r="AN2093" t="inlineStr">
        <is>
          <t>WARREN</t>
        </is>
      </c>
      <c r="AO2093" t="inlineStr">
        <is>
          <t>WARREN CITY 4F</t>
        </is>
      </c>
      <c r="AP2093" t="inlineStr">
        <is>
          <t>78-P-ADN</t>
        </is>
      </c>
      <c r="AQ2093" t="n">
        <v>9</v>
      </c>
      <c r="AR2093" t="n">
        <v>64</v>
      </c>
      <c r="AS2093" t="n">
        <v>32</v>
      </c>
      <c r="AU2093">
        <f>COUNTA($BA$2093:$EH$2093)</f>
        <v/>
      </c>
      <c r="AV2093">
        <f>COUNTIF($BA$2093:$EH$2093,"D")</f>
        <v/>
      </c>
      <c r="AW2093">
        <f>COUNTIF($BA$2093:$EH$2093,"R")</f>
        <v/>
      </c>
      <c r="AX2093">
        <f>IF(BN2093="D",1,0)+IF(BO2093="D",1,0)+IF(BT2093="D",1,0)+IF(BU2093="D",1,0)+IF(BW2093="D",1,0)+IF(CC2093="D",1,0)+IF(CD2093="D",1,0)+IF(CE2093="D",1,0)+IF(CF2093="D",1,0)+IF(CL2093="D",1,0)+IF(CM2093="D",1,0)+IF(CQ2093="D",1,0)+IF(CR2093="D",1,0)+IF(CS2093="D",1,0)+IF(CW2093="D",1,0)+IF(CX2093="D",1,0)+IF(DD2093="D",1,0)+IF(DE2093="D",1,0)+IF(DJ2093="D",1,0)+IF(DK2093="D",1,0)+IF(DO2093="D",1,0)+IF(DP2093="D",1,0)+IF(DQ2093="D",1,0)+IF(DW2093="D",1,0)+IF(DZ2093="D",1,0)+IF(EH2093="D",1,0)</f>
        <v/>
      </c>
      <c r="AY2093">
        <f>IF(DJ2093&lt;&gt;"",1,0)+IF(DK2093&lt;&gt;"",1,0)+IF(DM2093&lt;&gt;"",1,0)+IF(DO2093&lt;&gt;"",1,0)+IF(DP2093&lt;&gt;"",1,0)+IF(DQ2093&lt;&gt;"",1,0)+IF(DS2093&lt;&gt;"",1,0)+IF(DT2093&lt;&gt;"",1,0)+IF(DV2093&lt;&gt;"",1,0)+IF(DW2093&lt;&gt;"",1,0)+IF(DX2093&lt;&gt;"",1,0)+IF(DY2093&lt;&gt;"",1,0)+IF(DZ2093&lt;&gt;"",1,0)+IF(EB2093&lt;&gt;"",1,0)+IF(EC2093&lt;&gt;"",1,0)+IF(ED2093&lt;&gt;"",1,0)+IF(EG2093&lt;&gt;"",1,0)+IF(EH2093&lt;&gt;"",1,0)</f>
        <v/>
      </c>
      <c r="AZ2093">
        <f>IF(EH2093&lt;&gt;"",1,0)</f>
        <v/>
      </c>
      <c r="BB2093" t="inlineStr">
        <is>
          <t>WARREN-WARD 4</t>
        </is>
      </c>
    </row>
    <row r="2094">
      <c r="A2094" t="inlineStr">
        <is>
          <t>OH0015704862</t>
        </is>
      </c>
      <c r="B2094" t="n">
        <v>78</v>
      </c>
      <c r="C2094" t="n">
        <v>166746</v>
      </c>
      <c r="D2094" t="inlineStr">
        <is>
          <t>PICKETT</t>
        </is>
      </c>
      <c r="E2094" t="inlineStr">
        <is>
          <t>ALVETTA</t>
        </is>
      </c>
      <c r="F2094">
        <f>CONCATENATE(D2094," ",LEFT(H2094,4),"T=",AU2094,"D=",AV2094,"R=",AW2094,"M=",AX2094,"L=",AY2094,"B=",AZ2094)</f>
        <v/>
      </c>
      <c r="I2094" t="inlineStr">
        <is>
          <t>1962-02-06</t>
        </is>
      </c>
      <c r="J2094" t="inlineStr">
        <is>
          <t>2016-10-10</t>
        </is>
      </c>
      <c r="K2094" t="inlineStr">
        <is>
          <t>CONFIRMATION</t>
        </is>
      </c>
      <c r="M2094" t="inlineStr">
        <is>
          <t>1713 MILTON ST SE</t>
        </is>
      </c>
      <c r="N2094">
        <f>RIGHT(M2094,LEN(M2094)-FIND(" ",M2094))</f>
        <v/>
      </c>
      <c r="P2094" t="inlineStr">
        <is>
          <t>WARREN</t>
        </is>
      </c>
      <c r="Q2094" t="inlineStr">
        <is>
          <t>OH</t>
        </is>
      </c>
      <c r="R2094" t="n">
        <v>44484</v>
      </c>
      <c r="AD2094" t="inlineStr">
        <is>
          <t>TRUMBULL CAREER &amp; TECH CENTER</t>
        </is>
      </c>
      <c r="AE2094" t="inlineStr">
        <is>
          <t>WARREN CITY</t>
        </is>
      </c>
      <c r="AF2094" t="inlineStr">
        <is>
          <t>WARREN CITY SD</t>
        </is>
      </c>
      <c r="AH2094" t="n">
        <v>14</v>
      </c>
      <c r="AI2094" t="n">
        <v>11</v>
      </c>
      <c r="AN2094" t="inlineStr">
        <is>
          <t>WARREN</t>
        </is>
      </c>
      <c r="AO2094" t="inlineStr">
        <is>
          <t>WARREN CITY 4F</t>
        </is>
      </c>
      <c r="AP2094" t="inlineStr">
        <is>
          <t>78-P-ADN</t>
        </is>
      </c>
      <c r="AQ2094" t="n">
        <v>9</v>
      </c>
      <c r="AR2094" t="n">
        <v>64</v>
      </c>
      <c r="AS2094" t="n">
        <v>32</v>
      </c>
      <c r="AU2094">
        <f>COUNTA($BA$2094:$EH$2094)</f>
        <v/>
      </c>
      <c r="AV2094">
        <f>COUNTIF($BA$2094:$EH$2094,"D")</f>
        <v/>
      </c>
      <c r="AW2094">
        <f>COUNTIF($BA$2094:$EH$2094,"R")</f>
        <v/>
      </c>
      <c r="AX2094">
        <f>IF(BN2094="D",1,0)+IF(BO2094="D",1,0)+IF(BT2094="D",1,0)+IF(BU2094="D",1,0)+IF(BW2094="D",1,0)+IF(CC2094="D",1,0)+IF(CD2094="D",1,0)+IF(CE2094="D",1,0)+IF(CF2094="D",1,0)+IF(CL2094="D",1,0)+IF(CM2094="D",1,0)+IF(CQ2094="D",1,0)+IF(CR2094="D",1,0)+IF(CS2094="D",1,0)+IF(CW2094="D",1,0)+IF(CX2094="D",1,0)+IF(DD2094="D",1,0)+IF(DE2094="D",1,0)+IF(DJ2094="D",1,0)+IF(DK2094="D",1,0)+IF(DO2094="D",1,0)+IF(DP2094="D",1,0)+IF(DQ2094="D",1,0)+IF(DW2094="D",1,0)+IF(DZ2094="D",1,0)+IF(EH2094="D",1,0)</f>
        <v/>
      </c>
      <c r="AY2094">
        <f>IF(DJ2094&lt;&gt;"",1,0)+IF(DK2094&lt;&gt;"",1,0)+IF(DM2094&lt;&gt;"",1,0)+IF(DO2094&lt;&gt;"",1,0)+IF(DP2094&lt;&gt;"",1,0)+IF(DQ2094&lt;&gt;"",1,0)+IF(DS2094&lt;&gt;"",1,0)+IF(DT2094&lt;&gt;"",1,0)+IF(DV2094&lt;&gt;"",1,0)+IF(DW2094&lt;&gt;"",1,0)+IF(DX2094&lt;&gt;"",1,0)+IF(DY2094&lt;&gt;"",1,0)+IF(DZ2094&lt;&gt;"",1,0)+IF(EB2094&lt;&gt;"",1,0)+IF(EC2094&lt;&gt;"",1,0)+IF(ED2094&lt;&gt;"",1,0)+IF(EG2094&lt;&gt;"",1,0)+IF(EH2094&lt;&gt;"",1,0)</f>
        <v/>
      </c>
      <c r="AZ2094">
        <f>IF(EH2094&lt;&gt;"",1,0)</f>
        <v/>
      </c>
      <c r="BB2094" t="inlineStr">
        <is>
          <t>WARREN-WARD 4</t>
        </is>
      </c>
      <c r="BC2094" t="inlineStr">
        <is>
          <t>X</t>
        </is>
      </c>
      <c r="BD2094" t="inlineStr">
        <is>
          <t>X</t>
        </is>
      </c>
      <c r="BJ2094" t="inlineStr">
        <is>
          <t>X</t>
        </is>
      </c>
      <c r="BL2094" t="inlineStr">
        <is>
          <t>X</t>
        </is>
      </c>
      <c r="CA2094" t="inlineStr">
        <is>
          <t>X</t>
        </is>
      </c>
      <c r="CN2094" t="inlineStr">
        <is>
          <t>X</t>
        </is>
      </c>
      <c r="CP2094" t="inlineStr">
        <is>
          <t>X</t>
        </is>
      </c>
      <c r="DC2094" t="inlineStr">
        <is>
          <t>X</t>
        </is>
      </c>
      <c r="DI2094" t="inlineStr">
        <is>
          <t>X</t>
        </is>
      </c>
      <c r="DN2094" t="inlineStr">
        <is>
          <t>X</t>
        </is>
      </c>
    </row>
    <row r="2095">
      <c r="A2095" t="inlineStr">
        <is>
          <t>OH0015813787</t>
        </is>
      </c>
      <c r="B2095" t="n">
        <v>78</v>
      </c>
      <c r="C2095" t="n">
        <v>303278</v>
      </c>
      <c r="D2095" t="inlineStr">
        <is>
          <t>WILSON</t>
        </is>
      </c>
      <c r="E2095" t="inlineStr">
        <is>
          <t>ISAAC</t>
        </is>
      </c>
      <c r="F2095">
        <f>CONCATENATE(D2095," ",LEFT(H2095,4),"T=",AU2095,"D=",AV2095,"R=",AW2095,"M=",AX2095,"L=",AY2095,"B=",AZ2095)</f>
        <v/>
      </c>
      <c r="I2095" t="inlineStr">
        <is>
          <t>1980-05-29</t>
        </is>
      </c>
      <c r="J2095" t="inlineStr">
        <is>
          <t>2016-05-28</t>
        </is>
      </c>
      <c r="K2095" t="inlineStr">
        <is>
          <t>ACTIVE</t>
        </is>
      </c>
      <c r="L2095" t="inlineStr">
        <is>
          <t>D</t>
        </is>
      </c>
      <c r="M2095" t="inlineStr">
        <is>
          <t>1210 OAK KNOLL AVE SE</t>
        </is>
      </c>
      <c r="N2095">
        <f>RIGHT(M2095,LEN(M2095)-FIND(" ",M2095))</f>
        <v/>
      </c>
      <c r="P2095" t="inlineStr">
        <is>
          <t>WARREN</t>
        </is>
      </c>
      <c r="Q2095" t="inlineStr">
        <is>
          <t>OH</t>
        </is>
      </c>
      <c r="R2095" t="n">
        <v>44484</v>
      </c>
      <c r="AD2095" t="inlineStr">
        <is>
          <t>TRUMBULL CAREER &amp; TECH CENTER</t>
        </is>
      </c>
      <c r="AE2095" t="inlineStr">
        <is>
          <t>WARREN CITY</t>
        </is>
      </c>
      <c r="AF2095" t="inlineStr">
        <is>
          <t>WARREN CITY SD</t>
        </is>
      </c>
      <c r="AH2095" t="n">
        <v>14</v>
      </c>
      <c r="AI2095" t="n">
        <v>11</v>
      </c>
      <c r="AN2095" t="inlineStr">
        <is>
          <t>WARREN</t>
        </is>
      </c>
      <c r="AO2095" t="inlineStr">
        <is>
          <t>WARREN CITY 4F</t>
        </is>
      </c>
      <c r="AP2095" t="inlineStr">
        <is>
          <t>78-P-ADN</t>
        </is>
      </c>
      <c r="AQ2095" t="n">
        <v>9</v>
      </c>
      <c r="AR2095" t="n">
        <v>64</v>
      </c>
      <c r="AS2095" t="n">
        <v>32</v>
      </c>
      <c r="AU2095">
        <f>COUNTA($BA$2095:$EH$2095)</f>
        <v/>
      </c>
      <c r="AV2095">
        <f>COUNTIF($BA$2095:$EH$2095,"D")</f>
        <v/>
      </c>
      <c r="AW2095">
        <f>COUNTIF($BA$2095:$EH$2095,"R")</f>
        <v/>
      </c>
      <c r="AX2095">
        <f>IF(BN2095="D",1,0)+IF(BO2095="D",1,0)+IF(BT2095="D",1,0)+IF(BU2095="D",1,0)+IF(BW2095="D",1,0)+IF(CC2095="D",1,0)+IF(CD2095="D",1,0)+IF(CE2095="D",1,0)+IF(CF2095="D",1,0)+IF(CL2095="D",1,0)+IF(CM2095="D",1,0)+IF(CQ2095="D",1,0)+IF(CR2095="D",1,0)+IF(CS2095="D",1,0)+IF(CW2095="D",1,0)+IF(CX2095="D",1,0)+IF(DD2095="D",1,0)+IF(DE2095="D",1,0)+IF(DJ2095="D",1,0)+IF(DK2095="D",1,0)+IF(DO2095="D",1,0)+IF(DP2095="D",1,0)+IF(DQ2095="D",1,0)+IF(DW2095="D",1,0)+IF(DZ2095="D",1,0)+IF(EH2095="D",1,0)</f>
        <v/>
      </c>
      <c r="AY2095">
        <f>IF(DJ2095&lt;&gt;"",1,0)+IF(DK2095&lt;&gt;"",1,0)+IF(DM2095&lt;&gt;"",1,0)+IF(DO2095&lt;&gt;"",1,0)+IF(DP2095&lt;&gt;"",1,0)+IF(DQ2095&lt;&gt;"",1,0)+IF(DS2095&lt;&gt;"",1,0)+IF(DT2095&lt;&gt;"",1,0)+IF(DV2095&lt;&gt;"",1,0)+IF(DW2095&lt;&gt;"",1,0)+IF(DX2095&lt;&gt;"",1,0)+IF(DY2095&lt;&gt;"",1,0)+IF(DZ2095&lt;&gt;"",1,0)+IF(EB2095&lt;&gt;"",1,0)+IF(EC2095&lt;&gt;"",1,0)+IF(ED2095&lt;&gt;"",1,0)+IF(EG2095&lt;&gt;"",1,0)+IF(EH2095&lt;&gt;"",1,0)</f>
        <v/>
      </c>
      <c r="AZ2095">
        <f>IF(EH2095&lt;&gt;"",1,0)</f>
        <v/>
      </c>
      <c r="BB2095" t="inlineStr">
        <is>
          <t>WARREN-WARD 4</t>
        </is>
      </c>
      <c r="BJ2095" t="inlineStr">
        <is>
          <t>X</t>
        </is>
      </c>
      <c r="BL2095" t="inlineStr">
        <is>
          <t>X</t>
        </is>
      </c>
      <c r="BP2095" t="inlineStr">
        <is>
          <t>X</t>
        </is>
      </c>
      <c r="BS2095" t="inlineStr">
        <is>
          <t>X</t>
        </is>
      </c>
      <c r="BY2095" t="inlineStr">
        <is>
          <t>D</t>
        </is>
      </c>
      <c r="CA2095" t="inlineStr">
        <is>
          <t>X</t>
        </is>
      </c>
      <c r="CK2095" t="inlineStr">
        <is>
          <t>X</t>
        </is>
      </c>
      <c r="CL2095" t="inlineStr">
        <is>
          <t>D</t>
        </is>
      </c>
      <c r="CN2095" t="inlineStr">
        <is>
          <t>X</t>
        </is>
      </c>
      <c r="CP2095" t="inlineStr">
        <is>
          <t>X</t>
        </is>
      </c>
      <c r="CY2095" t="inlineStr">
        <is>
          <t>X</t>
        </is>
      </c>
      <c r="DC2095" t="inlineStr">
        <is>
          <t>X</t>
        </is>
      </c>
      <c r="DI2095" t="inlineStr">
        <is>
          <t>X</t>
        </is>
      </c>
      <c r="DL2095" t="inlineStr">
        <is>
          <t>X</t>
        </is>
      </c>
      <c r="DN2095" t="inlineStr">
        <is>
          <t>X</t>
        </is>
      </c>
      <c r="DU2095" t="inlineStr">
        <is>
          <t>X</t>
        </is>
      </c>
      <c r="DW2095" t="inlineStr">
        <is>
          <t>D</t>
        </is>
      </c>
      <c r="EF2095" t="inlineStr">
        <is>
          <t>X</t>
        </is>
      </c>
    </row>
    <row r="2096">
      <c r="A2096" t="inlineStr">
        <is>
          <t>OH0023227419</t>
        </is>
      </c>
      <c r="B2096" t="n">
        <v>78</v>
      </c>
      <c r="C2096" t="n">
        <v>408829</v>
      </c>
      <c r="D2096" t="inlineStr">
        <is>
          <t>EVANS</t>
        </is>
      </c>
      <c r="E2096" t="inlineStr">
        <is>
          <t>DESIREE</t>
        </is>
      </c>
      <c r="F2096">
        <f>CONCATENATE(D2096," ",LEFT(H2096,4),"T=",AU2096,"D=",AV2096,"R=",AW2096,"M=",AX2096,"L=",AY2096,"B=",AZ2096)</f>
        <v/>
      </c>
      <c r="G2096" t="inlineStr">
        <is>
          <t>M</t>
        </is>
      </c>
      <c r="I2096" t="inlineStr">
        <is>
          <t>1971-08-11</t>
        </is>
      </c>
      <c r="J2096" t="inlineStr">
        <is>
          <t>2015-10-03</t>
        </is>
      </c>
      <c r="K2096" t="inlineStr">
        <is>
          <t>CONFIRMATION</t>
        </is>
      </c>
      <c r="M2096" t="inlineStr">
        <is>
          <t>2820 DUKE AVE SE</t>
        </is>
      </c>
      <c r="N2096">
        <f>RIGHT(M2096,LEN(M2096)-FIND(" ",M2096))</f>
        <v/>
      </c>
      <c r="P2096" t="inlineStr">
        <is>
          <t>WARREN</t>
        </is>
      </c>
      <c r="Q2096" t="inlineStr">
        <is>
          <t>OH</t>
        </is>
      </c>
      <c r="R2096" t="n">
        <v>44484</v>
      </c>
      <c r="AD2096" t="inlineStr">
        <is>
          <t>TRUMBULL CAREER &amp; TECH CENTER</t>
        </is>
      </c>
      <c r="AE2096" t="inlineStr">
        <is>
          <t>WARREN CITY</t>
        </is>
      </c>
      <c r="AF2096" t="inlineStr">
        <is>
          <t>WARREN CITY SD</t>
        </is>
      </c>
      <c r="AH2096" t="n">
        <v>14</v>
      </c>
      <c r="AI2096" t="n">
        <v>11</v>
      </c>
      <c r="AN2096" t="inlineStr">
        <is>
          <t>WARREN</t>
        </is>
      </c>
      <c r="AO2096" t="inlineStr">
        <is>
          <t>WARREN CITY 4F</t>
        </is>
      </c>
      <c r="AP2096" t="inlineStr">
        <is>
          <t>78-P-ADN</t>
        </is>
      </c>
      <c r="AQ2096" t="n">
        <v>9</v>
      </c>
      <c r="AR2096" t="n">
        <v>64</v>
      </c>
      <c r="AS2096" t="n">
        <v>32</v>
      </c>
      <c r="AU2096">
        <f>COUNTA($BA$2096:$EH$2096)</f>
        <v/>
      </c>
      <c r="AV2096">
        <f>COUNTIF($BA$2096:$EH$2096,"D")</f>
        <v/>
      </c>
      <c r="AW2096">
        <f>COUNTIF($BA$2096:$EH$2096,"R")</f>
        <v/>
      </c>
      <c r="AX2096">
        <f>IF(BN2096="D",1,0)+IF(BO2096="D",1,0)+IF(BT2096="D",1,0)+IF(BU2096="D",1,0)+IF(BW2096="D",1,0)+IF(CC2096="D",1,0)+IF(CD2096="D",1,0)+IF(CE2096="D",1,0)+IF(CF2096="D",1,0)+IF(CL2096="D",1,0)+IF(CM2096="D",1,0)+IF(CQ2096="D",1,0)+IF(CR2096="D",1,0)+IF(CS2096="D",1,0)+IF(CW2096="D",1,0)+IF(CX2096="D",1,0)+IF(DD2096="D",1,0)+IF(DE2096="D",1,0)+IF(DJ2096="D",1,0)+IF(DK2096="D",1,0)+IF(DO2096="D",1,0)+IF(DP2096="D",1,0)+IF(DQ2096="D",1,0)+IF(DW2096="D",1,0)+IF(DZ2096="D",1,0)+IF(EH2096="D",1,0)</f>
        <v/>
      </c>
      <c r="AY2096">
        <f>IF(DJ2096&lt;&gt;"",1,0)+IF(DK2096&lt;&gt;"",1,0)+IF(DM2096&lt;&gt;"",1,0)+IF(DO2096&lt;&gt;"",1,0)+IF(DP2096&lt;&gt;"",1,0)+IF(DQ2096&lt;&gt;"",1,0)+IF(DS2096&lt;&gt;"",1,0)+IF(DT2096&lt;&gt;"",1,0)+IF(DV2096&lt;&gt;"",1,0)+IF(DW2096&lt;&gt;"",1,0)+IF(DX2096&lt;&gt;"",1,0)+IF(DY2096&lt;&gt;"",1,0)+IF(DZ2096&lt;&gt;"",1,0)+IF(EB2096&lt;&gt;"",1,0)+IF(EC2096&lt;&gt;"",1,0)+IF(ED2096&lt;&gt;"",1,0)+IF(EG2096&lt;&gt;"",1,0)+IF(EH2096&lt;&gt;"",1,0)</f>
        <v/>
      </c>
      <c r="AZ2096">
        <f>IF(EH2096&lt;&gt;"",1,0)</f>
        <v/>
      </c>
      <c r="BB2096" t="inlineStr">
        <is>
          <t>WARREN-WARD 4</t>
        </is>
      </c>
      <c r="DC2096" t="inlineStr">
        <is>
          <t>X</t>
        </is>
      </c>
      <c r="DN2096" t="inlineStr">
        <is>
          <t>X</t>
        </is>
      </c>
    </row>
    <row r="2097">
      <c r="A2097" t="inlineStr">
        <is>
          <t>OH0027567677</t>
        </is>
      </c>
      <c r="B2097" t="n">
        <v>78</v>
      </c>
      <c r="C2097" t="n">
        <v>488563</v>
      </c>
      <c r="D2097" t="inlineStr">
        <is>
          <t>MILLESON</t>
        </is>
      </c>
      <c r="E2097" t="inlineStr">
        <is>
          <t>STACY</t>
        </is>
      </c>
      <c r="F2097">
        <f>CONCATENATE(D2097," ",LEFT(H2097,4),"T=",AU2097,"D=",AV2097,"R=",AW2097,"M=",AX2097,"L=",AY2097,"B=",AZ2097)</f>
        <v/>
      </c>
      <c r="G2097" t="inlineStr">
        <is>
          <t>RENEE</t>
        </is>
      </c>
      <c r="I2097" t="inlineStr">
        <is>
          <t>1983-10-30</t>
        </is>
      </c>
      <c r="J2097" t="inlineStr">
        <is>
          <t>2024-11-12</t>
        </is>
      </c>
      <c r="K2097" t="inlineStr">
        <is>
          <t>ACTIVE</t>
        </is>
      </c>
      <c r="M2097" t="inlineStr">
        <is>
          <t>1736 TRANSYLVANIA AVE SE</t>
        </is>
      </c>
      <c r="N2097">
        <f>RIGHT(M2097,LEN(M2097)-FIND(" ",M2097))</f>
        <v/>
      </c>
      <c r="P2097" t="inlineStr">
        <is>
          <t>WARREN</t>
        </is>
      </c>
      <c r="Q2097" t="inlineStr">
        <is>
          <t>OH</t>
        </is>
      </c>
      <c r="R2097" t="n">
        <v>44484</v>
      </c>
      <c r="AD2097" t="inlineStr">
        <is>
          <t>TRUMBULL CAREER &amp; TECH CENTER</t>
        </is>
      </c>
      <c r="AE2097" t="inlineStr">
        <is>
          <t>WARREN CITY</t>
        </is>
      </c>
      <c r="AF2097" t="inlineStr">
        <is>
          <t>WARREN CITY SD</t>
        </is>
      </c>
      <c r="AH2097" t="n">
        <v>14</v>
      </c>
      <c r="AI2097" t="n">
        <v>11</v>
      </c>
      <c r="AN2097" t="inlineStr">
        <is>
          <t>WARREN</t>
        </is>
      </c>
      <c r="AO2097" t="inlineStr">
        <is>
          <t>WARREN CITY 4F</t>
        </is>
      </c>
      <c r="AP2097" t="inlineStr">
        <is>
          <t>78-P-ADN</t>
        </is>
      </c>
      <c r="AQ2097" t="n">
        <v>9</v>
      </c>
      <c r="AR2097" t="n">
        <v>64</v>
      </c>
      <c r="AS2097" t="n">
        <v>32</v>
      </c>
      <c r="AU2097">
        <f>COUNTA($BA$2097:$EH$2097)</f>
        <v/>
      </c>
      <c r="AV2097">
        <f>COUNTIF($BA$2097:$EH$2097,"D")</f>
        <v/>
      </c>
      <c r="AW2097">
        <f>COUNTIF($BA$2097:$EH$2097,"R")</f>
        <v/>
      </c>
      <c r="AX2097">
        <f>IF(BN2097="D",1,0)+IF(BO2097="D",1,0)+IF(BT2097="D",1,0)+IF(BU2097="D",1,0)+IF(BW2097="D",1,0)+IF(CC2097="D",1,0)+IF(CD2097="D",1,0)+IF(CE2097="D",1,0)+IF(CF2097="D",1,0)+IF(CL2097="D",1,0)+IF(CM2097="D",1,0)+IF(CQ2097="D",1,0)+IF(CR2097="D",1,0)+IF(CS2097="D",1,0)+IF(CW2097="D",1,0)+IF(CX2097="D",1,0)+IF(DD2097="D",1,0)+IF(DE2097="D",1,0)+IF(DJ2097="D",1,0)+IF(DK2097="D",1,0)+IF(DO2097="D",1,0)+IF(DP2097="D",1,0)+IF(DQ2097="D",1,0)+IF(DW2097="D",1,0)+IF(DZ2097="D",1,0)+IF(EH2097="D",1,0)</f>
        <v/>
      </c>
      <c r="AY2097">
        <f>IF(DJ2097&lt;&gt;"",1,0)+IF(DK2097&lt;&gt;"",1,0)+IF(DM2097&lt;&gt;"",1,0)+IF(DO2097&lt;&gt;"",1,0)+IF(DP2097&lt;&gt;"",1,0)+IF(DQ2097&lt;&gt;"",1,0)+IF(DS2097&lt;&gt;"",1,0)+IF(DT2097&lt;&gt;"",1,0)+IF(DV2097&lt;&gt;"",1,0)+IF(DW2097&lt;&gt;"",1,0)+IF(DX2097&lt;&gt;"",1,0)+IF(DY2097&lt;&gt;"",1,0)+IF(DZ2097&lt;&gt;"",1,0)+IF(EB2097&lt;&gt;"",1,0)+IF(EC2097&lt;&gt;"",1,0)+IF(ED2097&lt;&gt;"",1,0)+IF(EG2097&lt;&gt;"",1,0)+IF(EH2097&lt;&gt;"",1,0)</f>
        <v/>
      </c>
      <c r="AZ2097">
        <f>IF(EH2097&lt;&gt;"",1,0)</f>
        <v/>
      </c>
      <c r="BB2097" t="inlineStr">
        <is>
          <t>WARREN-WARD 4</t>
        </is>
      </c>
      <c r="BF2097" t="inlineStr">
        <is>
          <t>X</t>
        </is>
      </c>
      <c r="BL2097" t="inlineStr">
        <is>
          <t>X</t>
        </is>
      </c>
      <c r="CA2097" t="inlineStr">
        <is>
          <t>X</t>
        </is>
      </c>
      <c r="CP2097" t="inlineStr">
        <is>
          <t>X</t>
        </is>
      </c>
      <c r="CZ2097" t="inlineStr">
        <is>
          <t>D</t>
        </is>
      </c>
      <c r="DC2097" t="inlineStr">
        <is>
          <t>X</t>
        </is>
      </c>
      <c r="DN2097" t="inlineStr">
        <is>
          <t>X</t>
        </is>
      </c>
    </row>
    <row r="2098">
      <c r="A2098" t="inlineStr">
        <is>
          <t>OH0015745402</t>
        </is>
      </c>
      <c r="B2098" t="n">
        <v>78</v>
      </c>
      <c r="C2098" t="n">
        <v>322185</v>
      </c>
      <c r="D2098" t="inlineStr">
        <is>
          <t>MCCOLLOUGH</t>
        </is>
      </c>
      <c r="E2098" t="inlineStr">
        <is>
          <t>ANGELA</t>
        </is>
      </c>
      <c r="F2098">
        <f>CONCATENATE(D2098," ",LEFT(H2098,4),"T=",AU2098,"D=",AV2098,"R=",AW2098,"M=",AX2098,"L=",AY2098,"B=",AZ2098)</f>
        <v/>
      </c>
      <c r="I2098" t="inlineStr">
        <is>
          <t>1973-05-02</t>
        </is>
      </c>
      <c r="J2098" t="inlineStr">
        <is>
          <t>2011-11-30</t>
        </is>
      </c>
      <c r="K2098" t="inlineStr">
        <is>
          <t>ACTIVE</t>
        </is>
      </c>
      <c r="L2098" t="inlineStr">
        <is>
          <t>D</t>
        </is>
      </c>
      <c r="M2098" t="inlineStr">
        <is>
          <t>1935 WICK ST SE</t>
        </is>
      </c>
      <c r="N2098">
        <f>RIGHT(M2098,LEN(M2098)-FIND(" ",M2098))</f>
        <v/>
      </c>
      <c r="P2098" t="inlineStr">
        <is>
          <t>WARREN</t>
        </is>
      </c>
      <c r="Q2098" t="inlineStr">
        <is>
          <t>OH</t>
        </is>
      </c>
      <c r="R2098" t="n">
        <v>44484</v>
      </c>
      <c r="AD2098" t="inlineStr">
        <is>
          <t>TRUMBULL CAREER &amp; TECH CENTER</t>
        </is>
      </c>
      <c r="AE2098" t="inlineStr">
        <is>
          <t>WARREN CITY</t>
        </is>
      </c>
      <c r="AF2098" t="inlineStr">
        <is>
          <t>WARREN CITY SD</t>
        </is>
      </c>
      <c r="AH2098" t="n">
        <v>14</v>
      </c>
      <c r="AI2098" t="n">
        <v>11</v>
      </c>
      <c r="AN2098" t="inlineStr">
        <is>
          <t>WARREN</t>
        </is>
      </c>
      <c r="AO2098" t="inlineStr">
        <is>
          <t>WARREN CITY 4F</t>
        </is>
      </c>
      <c r="AP2098" t="inlineStr">
        <is>
          <t>78-P-ADN</t>
        </is>
      </c>
      <c r="AQ2098" t="n">
        <v>9</v>
      </c>
      <c r="AR2098" t="n">
        <v>64</v>
      </c>
      <c r="AS2098" t="n">
        <v>32</v>
      </c>
      <c r="AU2098">
        <f>COUNTA($BA$2098:$EH$2098)</f>
        <v/>
      </c>
      <c r="AV2098">
        <f>COUNTIF($BA$2098:$EH$2098,"D")</f>
        <v/>
      </c>
      <c r="AW2098">
        <f>COUNTIF($BA$2098:$EH$2098,"R")</f>
        <v/>
      </c>
      <c r="AX2098">
        <f>IF(BN2098="D",1,0)+IF(BO2098="D",1,0)+IF(BT2098="D",1,0)+IF(BU2098="D",1,0)+IF(BW2098="D",1,0)+IF(CC2098="D",1,0)+IF(CD2098="D",1,0)+IF(CE2098="D",1,0)+IF(CF2098="D",1,0)+IF(CL2098="D",1,0)+IF(CM2098="D",1,0)+IF(CQ2098="D",1,0)+IF(CR2098="D",1,0)+IF(CS2098="D",1,0)+IF(CW2098="D",1,0)+IF(CX2098="D",1,0)+IF(DD2098="D",1,0)+IF(DE2098="D",1,0)+IF(DJ2098="D",1,0)+IF(DK2098="D",1,0)+IF(DO2098="D",1,0)+IF(DP2098="D",1,0)+IF(DQ2098="D",1,0)+IF(DW2098="D",1,0)+IF(DZ2098="D",1,0)+IF(EH2098="D",1,0)</f>
        <v/>
      </c>
      <c r="AY2098">
        <f>IF(DJ2098&lt;&gt;"",1,0)+IF(DK2098&lt;&gt;"",1,0)+IF(DM2098&lt;&gt;"",1,0)+IF(DO2098&lt;&gt;"",1,0)+IF(DP2098&lt;&gt;"",1,0)+IF(DQ2098&lt;&gt;"",1,0)+IF(DS2098&lt;&gt;"",1,0)+IF(DT2098&lt;&gt;"",1,0)+IF(DV2098&lt;&gt;"",1,0)+IF(DW2098&lt;&gt;"",1,0)+IF(DX2098&lt;&gt;"",1,0)+IF(DY2098&lt;&gt;"",1,0)+IF(DZ2098&lt;&gt;"",1,0)+IF(EB2098&lt;&gt;"",1,0)+IF(EC2098&lt;&gt;"",1,0)+IF(ED2098&lt;&gt;"",1,0)+IF(EG2098&lt;&gt;"",1,0)+IF(EH2098&lt;&gt;"",1,0)</f>
        <v/>
      </c>
      <c r="AZ2098">
        <f>IF(EH2098&lt;&gt;"",1,0)</f>
        <v/>
      </c>
      <c r="BB2098" t="inlineStr">
        <is>
          <t>WARREN-WARD 4</t>
        </is>
      </c>
      <c r="BL2098" t="inlineStr">
        <is>
          <t>X</t>
        </is>
      </c>
      <c r="BY2098" t="inlineStr">
        <is>
          <t>D</t>
        </is>
      </c>
      <c r="CA2098" t="inlineStr">
        <is>
          <t>X</t>
        </is>
      </c>
      <c r="CK2098" t="inlineStr">
        <is>
          <t>X</t>
        </is>
      </c>
      <c r="CL2098" t="inlineStr">
        <is>
          <t>D</t>
        </is>
      </c>
      <c r="CN2098" t="inlineStr">
        <is>
          <t>X</t>
        </is>
      </c>
      <c r="CP2098" t="inlineStr">
        <is>
          <t>X</t>
        </is>
      </c>
      <c r="CT2098" t="inlineStr">
        <is>
          <t>X</t>
        </is>
      </c>
      <c r="CV2098" t="inlineStr">
        <is>
          <t>X</t>
        </is>
      </c>
      <c r="CY2098" t="inlineStr">
        <is>
          <t>X</t>
        </is>
      </c>
      <c r="CZ2098" t="inlineStr">
        <is>
          <t>D</t>
        </is>
      </c>
      <c r="DC2098" t="inlineStr">
        <is>
          <t>X</t>
        </is>
      </c>
      <c r="DF2098" t="inlineStr">
        <is>
          <t>X</t>
        </is>
      </c>
      <c r="DG2098" t="inlineStr">
        <is>
          <t>D</t>
        </is>
      </c>
      <c r="DI2098" t="inlineStr">
        <is>
          <t>X</t>
        </is>
      </c>
      <c r="DL2098" t="inlineStr">
        <is>
          <t>X</t>
        </is>
      </c>
      <c r="DN2098" t="inlineStr">
        <is>
          <t>X</t>
        </is>
      </c>
      <c r="DU2098" t="inlineStr">
        <is>
          <t>X</t>
        </is>
      </c>
      <c r="DW2098" t="inlineStr">
        <is>
          <t>D</t>
        </is>
      </c>
      <c r="DX2098" t="inlineStr">
        <is>
          <t>X</t>
        </is>
      </c>
      <c r="EF2098" t="inlineStr">
        <is>
          <t>X</t>
        </is>
      </c>
    </row>
    <row r="2099">
      <c r="A2099" t="inlineStr">
        <is>
          <t>OH0025752425</t>
        </is>
      </c>
      <c r="B2099" t="n">
        <v>78</v>
      </c>
      <c r="C2099" t="n">
        <v>400846</v>
      </c>
      <c r="D2099" t="inlineStr">
        <is>
          <t>DICKEY</t>
        </is>
      </c>
      <c r="E2099" t="inlineStr">
        <is>
          <t>JUSTIN</t>
        </is>
      </c>
      <c r="F2099">
        <f>CONCATENATE(D2099," ",LEFT(H2099,4),"T=",AU2099,"D=",AV2099,"R=",AW2099,"M=",AX2099,"L=",AY2099,"B=",AZ2099)</f>
        <v/>
      </c>
      <c r="G2099" t="inlineStr">
        <is>
          <t>M</t>
        </is>
      </c>
      <c r="I2099" t="inlineStr">
        <is>
          <t>1988-07-19</t>
        </is>
      </c>
      <c r="J2099" t="inlineStr">
        <is>
          <t>2025-03-12</t>
        </is>
      </c>
      <c r="K2099" t="inlineStr">
        <is>
          <t>ACTIVE</t>
        </is>
      </c>
      <c r="M2099" t="inlineStr">
        <is>
          <t>1577 KENILWORTH AVE SE</t>
        </is>
      </c>
      <c r="N2099">
        <f>RIGHT(M2099,LEN(M2099)-FIND(" ",M2099))</f>
        <v/>
      </c>
      <c r="P2099" t="inlineStr">
        <is>
          <t>WARREN</t>
        </is>
      </c>
      <c r="Q2099" t="inlineStr">
        <is>
          <t>OH</t>
        </is>
      </c>
      <c r="R2099" t="n">
        <v>44484</v>
      </c>
      <c r="AD2099" t="inlineStr">
        <is>
          <t>TRUMBULL CAREER &amp; TECH CENTER</t>
        </is>
      </c>
      <c r="AE2099" t="inlineStr">
        <is>
          <t>WARREN CITY</t>
        </is>
      </c>
      <c r="AF2099" t="inlineStr">
        <is>
          <t>WARREN CITY SD</t>
        </is>
      </c>
      <c r="AH2099" t="n">
        <v>14</v>
      </c>
      <c r="AI2099" t="n">
        <v>11</v>
      </c>
      <c r="AN2099" t="inlineStr">
        <is>
          <t>WARREN</t>
        </is>
      </c>
      <c r="AO2099" t="inlineStr">
        <is>
          <t>WARREN CITY 4F</t>
        </is>
      </c>
      <c r="AP2099" t="inlineStr">
        <is>
          <t>78-P-ADN</t>
        </is>
      </c>
      <c r="AQ2099" t="n">
        <v>9</v>
      </c>
      <c r="AR2099" t="n">
        <v>64</v>
      </c>
      <c r="AS2099" t="n">
        <v>32</v>
      </c>
      <c r="AU2099">
        <f>COUNTA($BA$2099:$EH$2099)</f>
        <v/>
      </c>
      <c r="AV2099">
        <f>COUNTIF($BA$2099:$EH$2099,"D")</f>
        <v/>
      </c>
      <c r="AW2099">
        <f>COUNTIF($BA$2099:$EH$2099,"R")</f>
        <v/>
      </c>
      <c r="AX2099">
        <f>IF(BN2099="D",1,0)+IF(BO2099="D",1,0)+IF(BT2099="D",1,0)+IF(BU2099="D",1,0)+IF(BW2099="D",1,0)+IF(CC2099="D",1,0)+IF(CD2099="D",1,0)+IF(CE2099="D",1,0)+IF(CF2099="D",1,0)+IF(CL2099="D",1,0)+IF(CM2099="D",1,0)+IF(CQ2099="D",1,0)+IF(CR2099="D",1,0)+IF(CS2099="D",1,0)+IF(CW2099="D",1,0)+IF(CX2099="D",1,0)+IF(DD2099="D",1,0)+IF(DE2099="D",1,0)+IF(DJ2099="D",1,0)+IF(DK2099="D",1,0)+IF(DO2099="D",1,0)+IF(DP2099="D",1,0)+IF(DQ2099="D",1,0)+IF(DW2099="D",1,0)+IF(DZ2099="D",1,0)+IF(EH2099="D",1,0)</f>
        <v/>
      </c>
      <c r="AY2099">
        <f>IF(DJ2099&lt;&gt;"",1,0)+IF(DK2099&lt;&gt;"",1,0)+IF(DM2099&lt;&gt;"",1,0)+IF(DO2099&lt;&gt;"",1,0)+IF(DP2099&lt;&gt;"",1,0)+IF(DQ2099&lt;&gt;"",1,0)+IF(DS2099&lt;&gt;"",1,0)+IF(DT2099&lt;&gt;"",1,0)+IF(DV2099&lt;&gt;"",1,0)+IF(DW2099&lt;&gt;"",1,0)+IF(DX2099&lt;&gt;"",1,0)+IF(DY2099&lt;&gt;"",1,0)+IF(DZ2099&lt;&gt;"",1,0)+IF(EB2099&lt;&gt;"",1,0)+IF(EC2099&lt;&gt;"",1,0)+IF(ED2099&lt;&gt;"",1,0)+IF(EG2099&lt;&gt;"",1,0)+IF(EH2099&lt;&gt;"",1,0)</f>
        <v/>
      </c>
      <c r="AZ2099">
        <f>IF(EH2099&lt;&gt;"",1,0)</f>
        <v/>
      </c>
      <c r="BB2099" t="inlineStr">
        <is>
          <t>WARREN-WARD 4</t>
        </is>
      </c>
    </row>
    <row r="2100">
      <c r="A2100" t="inlineStr">
        <is>
          <t>OH0026179212</t>
        </is>
      </c>
      <c r="B2100" t="n">
        <v>78</v>
      </c>
      <c r="C2100" t="n">
        <v>457712</v>
      </c>
      <c r="D2100" t="inlineStr">
        <is>
          <t>JARRETT</t>
        </is>
      </c>
      <c r="E2100" t="inlineStr">
        <is>
          <t>JENNIFER</t>
        </is>
      </c>
      <c r="F2100">
        <f>CONCATENATE(D2100," ",LEFT(H2100,4),"T=",AU2100,"D=",AV2100,"R=",AW2100,"M=",AX2100,"L=",AY2100,"B=",AZ2100)</f>
        <v/>
      </c>
      <c r="G2100" t="inlineStr">
        <is>
          <t>E</t>
        </is>
      </c>
      <c r="I2100" t="inlineStr">
        <is>
          <t>1976-04-27</t>
        </is>
      </c>
      <c r="J2100" t="inlineStr">
        <is>
          <t>2024-11-05</t>
        </is>
      </c>
      <c r="K2100" t="inlineStr">
        <is>
          <t>ACTIVE</t>
        </is>
      </c>
      <c r="L2100" t="inlineStr">
        <is>
          <t>D</t>
        </is>
      </c>
      <c r="M2100" t="inlineStr">
        <is>
          <t>984 HOMEWOOD AVE SE</t>
        </is>
      </c>
      <c r="N2100">
        <f>RIGHT(M2100,LEN(M2100)-FIND(" ",M2100))</f>
        <v/>
      </c>
      <c r="P2100" t="inlineStr">
        <is>
          <t>WARREN</t>
        </is>
      </c>
      <c r="Q2100" t="inlineStr">
        <is>
          <t>OH</t>
        </is>
      </c>
      <c r="R2100" t="n">
        <v>44484</v>
      </c>
      <c r="AD2100" t="inlineStr">
        <is>
          <t>TRUMBULL CAREER &amp; TECH CENTER</t>
        </is>
      </c>
      <c r="AE2100" t="inlineStr">
        <is>
          <t>WARREN CITY</t>
        </is>
      </c>
      <c r="AF2100" t="inlineStr">
        <is>
          <t>WARREN CITY SD</t>
        </is>
      </c>
      <c r="AH2100" t="n">
        <v>14</v>
      </c>
      <c r="AI2100" t="n">
        <v>11</v>
      </c>
      <c r="AN2100" t="inlineStr">
        <is>
          <t>WARREN</t>
        </is>
      </c>
      <c r="AO2100" t="inlineStr">
        <is>
          <t>WARREN CITY 4F</t>
        </is>
      </c>
      <c r="AP2100" t="inlineStr">
        <is>
          <t>78-P-ADN</t>
        </is>
      </c>
      <c r="AQ2100" t="n">
        <v>9</v>
      </c>
      <c r="AR2100" t="n">
        <v>64</v>
      </c>
      <c r="AS2100" t="n">
        <v>32</v>
      </c>
      <c r="AU2100">
        <f>COUNTA($BA$2100:$EH$2100)</f>
        <v/>
      </c>
      <c r="AV2100">
        <f>COUNTIF($BA$2100:$EH$2100,"D")</f>
        <v/>
      </c>
      <c r="AW2100">
        <f>COUNTIF($BA$2100:$EH$2100,"R")</f>
        <v/>
      </c>
      <c r="AX2100">
        <f>IF(BN2100="D",1,0)+IF(BO2100="D",1,0)+IF(BT2100="D",1,0)+IF(BU2100="D",1,0)+IF(BW2100="D",1,0)+IF(CC2100="D",1,0)+IF(CD2100="D",1,0)+IF(CE2100="D",1,0)+IF(CF2100="D",1,0)+IF(CL2100="D",1,0)+IF(CM2100="D",1,0)+IF(CQ2100="D",1,0)+IF(CR2100="D",1,0)+IF(CS2100="D",1,0)+IF(CW2100="D",1,0)+IF(CX2100="D",1,0)+IF(DD2100="D",1,0)+IF(DE2100="D",1,0)+IF(DJ2100="D",1,0)+IF(DK2100="D",1,0)+IF(DO2100="D",1,0)+IF(DP2100="D",1,0)+IF(DQ2100="D",1,0)+IF(DW2100="D",1,0)+IF(DZ2100="D",1,0)+IF(EH2100="D",1,0)</f>
        <v/>
      </c>
      <c r="AY2100">
        <f>IF(DJ2100&lt;&gt;"",1,0)+IF(DK2100&lt;&gt;"",1,0)+IF(DM2100&lt;&gt;"",1,0)+IF(DO2100&lt;&gt;"",1,0)+IF(DP2100&lt;&gt;"",1,0)+IF(DQ2100&lt;&gt;"",1,0)+IF(DS2100&lt;&gt;"",1,0)+IF(DT2100&lt;&gt;"",1,0)+IF(DV2100&lt;&gt;"",1,0)+IF(DW2100&lt;&gt;"",1,0)+IF(DX2100&lt;&gt;"",1,0)+IF(DY2100&lt;&gt;"",1,0)+IF(DZ2100&lt;&gt;"",1,0)+IF(EB2100&lt;&gt;"",1,0)+IF(EC2100&lt;&gt;"",1,0)+IF(ED2100&lt;&gt;"",1,0)+IF(EG2100&lt;&gt;"",1,0)+IF(EH2100&lt;&gt;"",1,0)</f>
        <v/>
      </c>
      <c r="AZ2100">
        <f>IF(EH2100&lt;&gt;"",1,0)</f>
        <v/>
      </c>
      <c r="BB2100" t="inlineStr">
        <is>
          <t>WARREN-WARD 4</t>
        </is>
      </c>
      <c r="BP2100" t="inlineStr">
        <is>
          <t>X</t>
        </is>
      </c>
      <c r="BY2100" t="inlineStr">
        <is>
          <t>D</t>
        </is>
      </c>
      <c r="CA2100" t="inlineStr">
        <is>
          <t>X</t>
        </is>
      </c>
      <c r="CG2100" t="inlineStr">
        <is>
          <t>X</t>
        </is>
      </c>
      <c r="CK2100" t="inlineStr">
        <is>
          <t>X</t>
        </is>
      </c>
      <c r="CL2100" t="inlineStr">
        <is>
          <t>D</t>
        </is>
      </c>
      <c r="CN2100" t="inlineStr">
        <is>
          <t>X</t>
        </is>
      </c>
      <c r="CP2100" t="inlineStr">
        <is>
          <t>X</t>
        </is>
      </c>
      <c r="CT2100" t="inlineStr">
        <is>
          <t>X</t>
        </is>
      </c>
      <c r="CV2100" t="inlineStr">
        <is>
          <t>X</t>
        </is>
      </c>
      <c r="DI2100" t="inlineStr">
        <is>
          <t>X</t>
        </is>
      </c>
      <c r="DU2100" t="inlineStr">
        <is>
          <t>X</t>
        </is>
      </c>
      <c r="DW2100" t="inlineStr">
        <is>
          <t>D</t>
        </is>
      </c>
      <c r="EF2100" t="inlineStr">
        <is>
          <t>X</t>
        </is>
      </c>
    </row>
    <row r="2101">
      <c r="A2101" t="inlineStr">
        <is>
          <t>OH0027567103</t>
        </is>
      </c>
      <c r="B2101" t="n">
        <v>78</v>
      </c>
      <c r="C2101" t="n">
        <v>488556</v>
      </c>
      <c r="D2101" t="inlineStr">
        <is>
          <t>IVERY</t>
        </is>
      </c>
      <c r="E2101" t="inlineStr">
        <is>
          <t>ELAINA</t>
        </is>
      </c>
      <c r="F2101">
        <f>CONCATENATE(D2101," ",LEFT(H2101,4),"T=",AU2101,"D=",AV2101,"R=",AW2101,"M=",AX2101,"L=",AY2101,"B=",AZ2101)</f>
        <v/>
      </c>
      <c r="G2101" t="inlineStr">
        <is>
          <t>L</t>
        </is>
      </c>
      <c r="I2101" t="inlineStr">
        <is>
          <t>1967-06-01</t>
        </is>
      </c>
      <c r="J2101" t="inlineStr">
        <is>
          <t>2024-08-06</t>
        </is>
      </c>
      <c r="K2101" t="inlineStr">
        <is>
          <t>ACTIVE</t>
        </is>
      </c>
      <c r="M2101" t="inlineStr">
        <is>
          <t>1554 ADELAIDE AVE SE</t>
        </is>
      </c>
      <c r="N2101">
        <f>RIGHT(M2101,LEN(M2101)-FIND(" ",M2101))</f>
        <v/>
      </c>
      <c r="P2101" t="inlineStr">
        <is>
          <t>WARREN</t>
        </is>
      </c>
      <c r="Q2101" t="inlineStr">
        <is>
          <t>OH</t>
        </is>
      </c>
      <c r="R2101" t="n">
        <v>44484</v>
      </c>
      <c r="AD2101" t="inlineStr">
        <is>
          <t>TRUMBULL CAREER &amp; TECH CENTER</t>
        </is>
      </c>
      <c r="AE2101" t="inlineStr">
        <is>
          <t>WARREN CITY</t>
        </is>
      </c>
      <c r="AF2101" t="inlineStr">
        <is>
          <t>WARREN CITY SD</t>
        </is>
      </c>
      <c r="AH2101" t="n">
        <v>14</v>
      </c>
      <c r="AI2101" t="n">
        <v>11</v>
      </c>
      <c r="AN2101" t="inlineStr">
        <is>
          <t>WARREN</t>
        </is>
      </c>
      <c r="AO2101" t="inlineStr">
        <is>
          <t>WARREN CITY 4F</t>
        </is>
      </c>
      <c r="AP2101" t="inlineStr">
        <is>
          <t>78-P-ADN</t>
        </is>
      </c>
      <c r="AQ2101" t="n">
        <v>9</v>
      </c>
      <c r="AR2101" t="n">
        <v>64</v>
      </c>
      <c r="AS2101" t="n">
        <v>32</v>
      </c>
      <c r="AU2101">
        <f>COUNTA($BA$2101:$EH$2101)</f>
        <v/>
      </c>
      <c r="AV2101">
        <f>COUNTIF($BA$2101:$EH$2101,"D")</f>
        <v/>
      </c>
      <c r="AW2101">
        <f>COUNTIF($BA$2101:$EH$2101,"R")</f>
        <v/>
      </c>
      <c r="AX2101">
        <f>IF(BN2101="D",1,0)+IF(BO2101="D",1,0)+IF(BT2101="D",1,0)+IF(BU2101="D",1,0)+IF(BW2101="D",1,0)+IF(CC2101="D",1,0)+IF(CD2101="D",1,0)+IF(CE2101="D",1,0)+IF(CF2101="D",1,0)+IF(CL2101="D",1,0)+IF(CM2101="D",1,0)+IF(CQ2101="D",1,0)+IF(CR2101="D",1,0)+IF(CS2101="D",1,0)+IF(CW2101="D",1,0)+IF(CX2101="D",1,0)+IF(DD2101="D",1,0)+IF(DE2101="D",1,0)+IF(DJ2101="D",1,0)+IF(DK2101="D",1,0)+IF(DO2101="D",1,0)+IF(DP2101="D",1,0)+IF(DQ2101="D",1,0)+IF(DW2101="D",1,0)+IF(DZ2101="D",1,0)+IF(EH2101="D",1,0)</f>
        <v/>
      </c>
      <c r="AY2101">
        <f>IF(DJ2101&lt;&gt;"",1,0)+IF(DK2101&lt;&gt;"",1,0)+IF(DM2101&lt;&gt;"",1,0)+IF(DO2101&lt;&gt;"",1,0)+IF(DP2101&lt;&gt;"",1,0)+IF(DQ2101&lt;&gt;"",1,0)+IF(DS2101&lt;&gt;"",1,0)+IF(DT2101&lt;&gt;"",1,0)+IF(DV2101&lt;&gt;"",1,0)+IF(DW2101&lt;&gt;"",1,0)+IF(DX2101&lt;&gt;"",1,0)+IF(DY2101&lt;&gt;"",1,0)+IF(DZ2101&lt;&gt;"",1,0)+IF(EB2101&lt;&gt;"",1,0)+IF(EC2101&lt;&gt;"",1,0)+IF(ED2101&lt;&gt;"",1,0)+IF(EG2101&lt;&gt;"",1,0)+IF(EH2101&lt;&gt;"",1,0)</f>
        <v/>
      </c>
      <c r="AZ2101">
        <f>IF(EH2101&lt;&gt;"",1,0)</f>
        <v/>
      </c>
      <c r="BB2101" t="inlineStr">
        <is>
          <t>WARREN-WARD 4</t>
        </is>
      </c>
      <c r="EF2101" t="inlineStr">
        <is>
          <t>X</t>
        </is>
      </c>
    </row>
    <row r="2102">
      <c r="A2102" t="inlineStr">
        <is>
          <t>OH0024522630</t>
        </is>
      </c>
      <c r="B2102" t="n">
        <v>78</v>
      </c>
      <c r="C2102" t="n">
        <v>429773</v>
      </c>
      <c r="D2102" t="inlineStr">
        <is>
          <t>FOZZARD</t>
        </is>
      </c>
      <c r="E2102" t="inlineStr">
        <is>
          <t>MICHAEL</t>
        </is>
      </c>
      <c r="F2102">
        <f>CONCATENATE(D2102," ",LEFT(H2102,4),"T=",AU2102,"D=",AV2102,"R=",AW2102,"M=",AX2102,"L=",AY2102,"B=",AZ2102)</f>
        <v/>
      </c>
      <c r="G2102" t="inlineStr">
        <is>
          <t>A</t>
        </is>
      </c>
      <c r="I2102" t="inlineStr">
        <is>
          <t>1968-12-07</t>
        </is>
      </c>
      <c r="J2102" t="inlineStr">
        <is>
          <t>2024-03-04</t>
        </is>
      </c>
      <c r="K2102" t="inlineStr">
        <is>
          <t>ACTIVE</t>
        </is>
      </c>
      <c r="M2102" t="inlineStr">
        <is>
          <t>1521 TRANSYLVANIA AVE SE</t>
        </is>
      </c>
      <c r="N2102">
        <f>RIGHT(M2102,LEN(M2102)-FIND(" ",M2102))</f>
        <v/>
      </c>
      <c r="P2102" t="inlineStr">
        <is>
          <t>WARREN</t>
        </is>
      </c>
      <c r="Q2102" t="inlineStr">
        <is>
          <t>OH</t>
        </is>
      </c>
      <c r="R2102" t="n">
        <v>44484</v>
      </c>
      <c r="AD2102" t="inlineStr">
        <is>
          <t>TRUMBULL CAREER &amp; TECH CENTER</t>
        </is>
      </c>
      <c r="AE2102" t="inlineStr">
        <is>
          <t>WARREN CITY</t>
        </is>
      </c>
      <c r="AF2102" t="inlineStr">
        <is>
          <t>WARREN CITY SD</t>
        </is>
      </c>
      <c r="AH2102" t="n">
        <v>14</v>
      </c>
      <c r="AI2102" t="n">
        <v>11</v>
      </c>
      <c r="AN2102" t="inlineStr">
        <is>
          <t>WARREN</t>
        </is>
      </c>
      <c r="AO2102" t="inlineStr">
        <is>
          <t>WARREN CITY 4F</t>
        </is>
      </c>
      <c r="AP2102" t="inlineStr">
        <is>
          <t>78-P-ADN</t>
        </is>
      </c>
      <c r="AQ2102" t="n">
        <v>9</v>
      </c>
      <c r="AR2102" t="n">
        <v>64</v>
      </c>
      <c r="AS2102" t="n">
        <v>32</v>
      </c>
      <c r="AU2102">
        <f>COUNTA($BA$2102:$EH$2102)</f>
        <v/>
      </c>
      <c r="AV2102">
        <f>COUNTIF($BA$2102:$EH$2102,"D")</f>
        <v/>
      </c>
      <c r="AW2102">
        <f>COUNTIF($BA$2102:$EH$2102,"R")</f>
        <v/>
      </c>
      <c r="AX2102">
        <f>IF(BN2102="D",1,0)+IF(BO2102="D",1,0)+IF(BT2102="D",1,0)+IF(BU2102="D",1,0)+IF(BW2102="D",1,0)+IF(CC2102="D",1,0)+IF(CD2102="D",1,0)+IF(CE2102="D",1,0)+IF(CF2102="D",1,0)+IF(CL2102="D",1,0)+IF(CM2102="D",1,0)+IF(CQ2102="D",1,0)+IF(CR2102="D",1,0)+IF(CS2102="D",1,0)+IF(CW2102="D",1,0)+IF(CX2102="D",1,0)+IF(DD2102="D",1,0)+IF(DE2102="D",1,0)+IF(DJ2102="D",1,0)+IF(DK2102="D",1,0)+IF(DO2102="D",1,0)+IF(DP2102="D",1,0)+IF(DQ2102="D",1,0)+IF(DW2102="D",1,0)+IF(DZ2102="D",1,0)+IF(EH2102="D",1,0)</f>
        <v/>
      </c>
      <c r="AY2102">
        <f>IF(DJ2102&lt;&gt;"",1,0)+IF(DK2102&lt;&gt;"",1,0)+IF(DM2102&lt;&gt;"",1,0)+IF(DO2102&lt;&gt;"",1,0)+IF(DP2102&lt;&gt;"",1,0)+IF(DQ2102&lt;&gt;"",1,0)+IF(DS2102&lt;&gt;"",1,0)+IF(DT2102&lt;&gt;"",1,0)+IF(DV2102&lt;&gt;"",1,0)+IF(DW2102&lt;&gt;"",1,0)+IF(DX2102&lt;&gt;"",1,0)+IF(DY2102&lt;&gt;"",1,0)+IF(DZ2102&lt;&gt;"",1,0)+IF(EB2102&lt;&gt;"",1,0)+IF(EC2102&lt;&gt;"",1,0)+IF(ED2102&lt;&gt;"",1,0)+IF(EG2102&lt;&gt;"",1,0)+IF(EH2102&lt;&gt;"",1,0)</f>
        <v/>
      </c>
      <c r="AZ2102">
        <f>IF(EH2102&lt;&gt;"",1,0)</f>
        <v/>
      </c>
      <c r="BB2102" t="inlineStr">
        <is>
          <t>WARREN-WARD 4</t>
        </is>
      </c>
      <c r="DC2102" t="inlineStr">
        <is>
          <t>X</t>
        </is>
      </c>
    </row>
    <row r="2103">
      <c r="A2103" t="inlineStr">
        <is>
          <t>OH0026180196</t>
        </is>
      </c>
      <c r="B2103" t="n">
        <v>78</v>
      </c>
      <c r="C2103" t="n">
        <v>457797</v>
      </c>
      <c r="D2103" t="inlineStr">
        <is>
          <t>ELLIS</t>
        </is>
      </c>
      <c r="E2103" t="inlineStr">
        <is>
          <t>CHRISTOPHER</t>
        </is>
      </c>
      <c r="F2103">
        <f>CONCATENATE(D2103," ",LEFT(H2103,4),"T=",AU2103,"D=",AV2103,"R=",AW2103,"M=",AX2103,"L=",AY2103,"B=",AZ2103)</f>
        <v/>
      </c>
      <c r="G2103" t="inlineStr">
        <is>
          <t>ALLEN</t>
        </is>
      </c>
      <c r="H2103" t="inlineStr">
        <is>
          <t>JR</t>
        </is>
      </c>
      <c r="I2103" t="inlineStr">
        <is>
          <t>2003-03-01</t>
        </is>
      </c>
      <c r="J2103" t="inlineStr">
        <is>
          <t>2025-04-17</t>
        </is>
      </c>
      <c r="K2103" t="inlineStr">
        <is>
          <t>ACTIVE</t>
        </is>
      </c>
      <c r="M2103" t="inlineStr">
        <is>
          <t>1938 CAROLINA AVE SE</t>
        </is>
      </c>
      <c r="N2103">
        <f>RIGHT(M2103,LEN(M2103)-FIND(" ",M2103))</f>
        <v/>
      </c>
      <c r="P2103" t="inlineStr">
        <is>
          <t>WARREN</t>
        </is>
      </c>
      <c r="Q2103" t="inlineStr">
        <is>
          <t>OH</t>
        </is>
      </c>
      <c r="R2103" t="n">
        <v>44484</v>
      </c>
      <c r="AD2103" t="inlineStr">
        <is>
          <t>TRUMBULL CAREER &amp; TECH CENTER</t>
        </is>
      </c>
      <c r="AE2103" t="inlineStr">
        <is>
          <t>WARREN CITY</t>
        </is>
      </c>
      <c r="AF2103" t="inlineStr">
        <is>
          <t>WARREN CITY SD</t>
        </is>
      </c>
      <c r="AH2103" t="n">
        <v>14</v>
      </c>
      <c r="AI2103" t="n">
        <v>11</v>
      </c>
      <c r="AN2103" t="inlineStr">
        <is>
          <t>WARREN</t>
        </is>
      </c>
      <c r="AO2103" t="inlineStr">
        <is>
          <t>WARREN CITY 4F</t>
        </is>
      </c>
      <c r="AP2103" t="inlineStr">
        <is>
          <t>78-P-ADN</t>
        </is>
      </c>
      <c r="AQ2103" t="n">
        <v>9</v>
      </c>
      <c r="AR2103" t="n">
        <v>64</v>
      </c>
      <c r="AS2103" t="n">
        <v>32</v>
      </c>
      <c r="AU2103">
        <f>COUNTA($BA$2103:$EH$2103)</f>
        <v/>
      </c>
      <c r="AV2103">
        <f>COUNTIF($BA$2103:$EH$2103,"D")</f>
        <v/>
      </c>
      <c r="AW2103">
        <f>COUNTIF($BA$2103:$EH$2103,"R")</f>
        <v/>
      </c>
      <c r="AX2103">
        <f>IF(BN2103="D",1,0)+IF(BO2103="D",1,0)+IF(BT2103="D",1,0)+IF(BU2103="D",1,0)+IF(BW2103="D",1,0)+IF(CC2103="D",1,0)+IF(CD2103="D",1,0)+IF(CE2103="D",1,0)+IF(CF2103="D",1,0)+IF(CL2103="D",1,0)+IF(CM2103="D",1,0)+IF(CQ2103="D",1,0)+IF(CR2103="D",1,0)+IF(CS2103="D",1,0)+IF(CW2103="D",1,0)+IF(CX2103="D",1,0)+IF(DD2103="D",1,0)+IF(DE2103="D",1,0)+IF(DJ2103="D",1,0)+IF(DK2103="D",1,0)+IF(DO2103="D",1,0)+IF(DP2103="D",1,0)+IF(DQ2103="D",1,0)+IF(DW2103="D",1,0)+IF(DZ2103="D",1,0)+IF(EH2103="D",1,0)</f>
        <v/>
      </c>
      <c r="AY2103">
        <f>IF(DJ2103&lt;&gt;"",1,0)+IF(DK2103&lt;&gt;"",1,0)+IF(DM2103&lt;&gt;"",1,0)+IF(DO2103&lt;&gt;"",1,0)+IF(DP2103&lt;&gt;"",1,0)+IF(DQ2103&lt;&gt;"",1,0)+IF(DS2103&lt;&gt;"",1,0)+IF(DT2103&lt;&gt;"",1,0)+IF(DV2103&lt;&gt;"",1,0)+IF(DW2103&lt;&gt;"",1,0)+IF(DX2103&lt;&gt;"",1,0)+IF(DY2103&lt;&gt;"",1,0)+IF(DZ2103&lt;&gt;"",1,0)+IF(EB2103&lt;&gt;"",1,0)+IF(EC2103&lt;&gt;"",1,0)+IF(ED2103&lt;&gt;"",1,0)+IF(EG2103&lt;&gt;"",1,0)+IF(EH2103&lt;&gt;"",1,0)</f>
        <v/>
      </c>
      <c r="AZ2103">
        <f>IF(EH2103&lt;&gt;"",1,0)</f>
        <v/>
      </c>
      <c r="BB2103" t="inlineStr">
        <is>
          <t>WARREN-WARD 4</t>
        </is>
      </c>
    </row>
    <row r="2104">
      <c r="A2104" t="inlineStr">
        <is>
          <t>OH0019088906</t>
        </is>
      </c>
      <c r="B2104" t="n">
        <v>78</v>
      </c>
      <c r="C2104" t="n">
        <v>348987</v>
      </c>
      <c r="D2104" t="inlineStr">
        <is>
          <t>HARDIA</t>
        </is>
      </c>
      <c r="E2104" t="inlineStr">
        <is>
          <t>LATOYA</t>
        </is>
      </c>
      <c r="F2104">
        <f>CONCATENATE(D2104," ",LEFT(H2104,4),"T=",AU2104,"D=",AV2104,"R=",AW2104,"M=",AX2104,"L=",AY2104,"B=",AZ2104)</f>
        <v/>
      </c>
      <c r="G2104" t="inlineStr">
        <is>
          <t>D</t>
        </is>
      </c>
      <c r="I2104" t="inlineStr">
        <is>
          <t>1985-10-15</t>
        </is>
      </c>
      <c r="J2104" t="inlineStr">
        <is>
          <t>2012-11-21</t>
        </is>
      </c>
      <c r="K2104" t="inlineStr">
        <is>
          <t>CONFIRMATION</t>
        </is>
      </c>
      <c r="M2104" t="inlineStr">
        <is>
          <t>1838 BRIER ST SE</t>
        </is>
      </c>
      <c r="N2104">
        <f>RIGHT(M2104,LEN(M2104)-FIND(" ",M2104))</f>
        <v/>
      </c>
      <c r="P2104" t="inlineStr">
        <is>
          <t>WARREN</t>
        </is>
      </c>
      <c r="Q2104" t="inlineStr">
        <is>
          <t>OH</t>
        </is>
      </c>
      <c r="R2104" t="n">
        <v>44484</v>
      </c>
      <c r="AD2104" t="inlineStr">
        <is>
          <t>TRUMBULL CAREER &amp; TECH CENTER</t>
        </is>
      </c>
      <c r="AE2104" t="inlineStr">
        <is>
          <t>WARREN CITY</t>
        </is>
      </c>
      <c r="AF2104" t="inlineStr">
        <is>
          <t>WARREN CITY SD</t>
        </is>
      </c>
      <c r="AH2104" t="n">
        <v>14</v>
      </c>
      <c r="AI2104" t="n">
        <v>11</v>
      </c>
      <c r="AN2104" t="inlineStr">
        <is>
          <t>WARREN</t>
        </is>
      </c>
      <c r="AO2104" t="inlineStr">
        <is>
          <t>WARREN CITY 4F</t>
        </is>
      </c>
      <c r="AP2104" t="inlineStr">
        <is>
          <t>78-P-ADN</t>
        </is>
      </c>
      <c r="AQ2104" t="n">
        <v>9</v>
      </c>
      <c r="AR2104" t="n">
        <v>64</v>
      </c>
      <c r="AS2104" t="n">
        <v>32</v>
      </c>
      <c r="AU2104">
        <f>COUNTA($BA$2104:$EH$2104)</f>
        <v/>
      </c>
      <c r="AV2104">
        <f>COUNTIF($BA$2104:$EH$2104,"D")</f>
        <v/>
      </c>
      <c r="AW2104">
        <f>COUNTIF($BA$2104:$EH$2104,"R")</f>
        <v/>
      </c>
      <c r="AX2104">
        <f>IF(BN2104="D",1,0)+IF(BO2104="D",1,0)+IF(BT2104="D",1,0)+IF(BU2104="D",1,0)+IF(BW2104="D",1,0)+IF(CC2104="D",1,0)+IF(CD2104="D",1,0)+IF(CE2104="D",1,0)+IF(CF2104="D",1,0)+IF(CL2104="D",1,0)+IF(CM2104="D",1,0)+IF(CQ2104="D",1,0)+IF(CR2104="D",1,0)+IF(CS2104="D",1,0)+IF(CW2104="D",1,0)+IF(CX2104="D",1,0)+IF(DD2104="D",1,0)+IF(DE2104="D",1,0)+IF(DJ2104="D",1,0)+IF(DK2104="D",1,0)+IF(DO2104="D",1,0)+IF(DP2104="D",1,0)+IF(DQ2104="D",1,0)+IF(DW2104="D",1,0)+IF(DZ2104="D",1,0)+IF(EH2104="D",1,0)</f>
        <v/>
      </c>
      <c r="AY2104">
        <f>IF(DJ2104&lt;&gt;"",1,0)+IF(DK2104&lt;&gt;"",1,0)+IF(DM2104&lt;&gt;"",1,0)+IF(DO2104&lt;&gt;"",1,0)+IF(DP2104&lt;&gt;"",1,0)+IF(DQ2104&lt;&gt;"",1,0)+IF(DS2104&lt;&gt;"",1,0)+IF(DT2104&lt;&gt;"",1,0)+IF(DV2104&lt;&gt;"",1,0)+IF(DW2104&lt;&gt;"",1,0)+IF(DX2104&lt;&gt;"",1,0)+IF(DY2104&lt;&gt;"",1,0)+IF(DZ2104&lt;&gt;"",1,0)+IF(EB2104&lt;&gt;"",1,0)+IF(EC2104&lt;&gt;"",1,0)+IF(ED2104&lt;&gt;"",1,0)+IF(EG2104&lt;&gt;"",1,0)+IF(EH2104&lt;&gt;"",1,0)</f>
        <v/>
      </c>
      <c r="AZ2104">
        <f>IF(EH2104&lt;&gt;"",1,0)</f>
        <v/>
      </c>
      <c r="BB2104" t="inlineStr">
        <is>
          <t>WARREN-WARD 4</t>
        </is>
      </c>
      <c r="BY2104" t="inlineStr">
        <is>
          <t>D</t>
        </is>
      </c>
      <c r="CA2104" t="inlineStr">
        <is>
          <t>X</t>
        </is>
      </c>
      <c r="CP2104" t="inlineStr">
        <is>
          <t>X</t>
        </is>
      </c>
      <c r="CZ2104" t="inlineStr">
        <is>
          <t>D</t>
        </is>
      </c>
    </row>
    <row r="2105">
      <c r="A2105" t="inlineStr">
        <is>
          <t>OH0019690185</t>
        </is>
      </c>
      <c r="B2105" t="n">
        <v>78</v>
      </c>
      <c r="C2105" t="n">
        <v>357418</v>
      </c>
      <c r="D2105" t="inlineStr">
        <is>
          <t>JONES</t>
        </is>
      </c>
      <c r="E2105" t="inlineStr">
        <is>
          <t>KENNETH</t>
        </is>
      </c>
      <c r="F2105">
        <f>CONCATENATE(D2105," ",LEFT(H2105,4),"T=",AU2105,"D=",AV2105,"R=",AW2105,"M=",AX2105,"L=",AY2105,"B=",AZ2105)</f>
        <v/>
      </c>
      <c r="G2105" t="inlineStr">
        <is>
          <t>L</t>
        </is>
      </c>
      <c r="H2105" t="inlineStr">
        <is>
          <t>SR</t>
        </is>
      </c>
      <c r="I2105" t="inlineStr">
        <is>
          <t>1957-06-11</t>
        </is>
      </c>
      <c r="J2105" t="inlineStr">
        <is>
          <t>2008-03-04</t>
        </is>
      </c>
      <c r="K2105" t="inlineStr">
        <is>
          <t>ACTIVE</t>
        </is>
      </c>
      <c r="M2105" t="inlineStr">
        <is>
          <t>1517 KENILWORTH AVE SE</t>
        </is>
      </c>
      <c r="N2105">
        <f>RIGHT(M2105,LEN(M2105)-FIND(" ",M2105))</f>
        <v/>
      </c>
      <c r="P2105" t="inlineStr">
        <is>
          <t>WARREN</t>
        </is>
      </c>
      <c r="Q2105" t="inlineStr">
        <is>
          <t>OH</t>
        </is>
      </c>
      <c r="R2105" t="n">
        <v>44484</v>
      </c>
      <c r="AD2105" t="inlineStr">
        <is>
          <t>TRUMBULL CAREER &amp; TECH CENTER</t>
        </is>
      </c>
      <c r="AE2105" t="inlineStr">
        <is>
          <t>WARREN CITY</t>
        </is>
      </c>
      <c r="AF2105" t="inlineStr">
        <is>
          <t>WARREN CITY SD</t>
        </is>
      </c>
      <c r="AH2105" t="n">
        <v>14</v>
      </c>
      <c r="AI2105" t="n">
        <v>11</v>
      </c>
      <c r="AN2105" t="inlineStr">
        <is>
          <t>WARREN</t>
        </is>
      </c>
      <c r="AO2105" t="inlineStr">
        <is>
          <t>WARREN CITY 4F</t>
        </is>
      </c>
      <c r="AP2105" t="inlineStr">
        <is>
          <t>78-P-ADN</t>
        </is>
      </c>
      <c r="AQ2105" t="n">
        <v>9</v>
      </c>
      <c r="AR2105" t="n">
        <v>64</v>
      </c>
      <c r="AS2105" t="n">
        <v>32</v>
      </c>
      <c r="AU2105">
        <f>COUNTA($BA$2105:$EH$2105)</f>
        <v/>
      </c>
      <c r="AV2105">
        <f>COUNTIF($BA$2105:$EH$2105,"D")</f>
        <v/>
      </c>
      <c r="AW2105">
        <f>COUNTIF($BA$2105:$EH$2105,"R")</f>
        <v/>
      </c>
      <c r="AX2105">
        <f>IF(BN2105="D",1,0)+IF(BO2105="D",1,0)+IF(BT2105="D",1,0)+IF(BU2105="D",1,0)+IF(BW2105="D",1,0)+IF(CC2105="D",1,0)+IF(CD2105="D",1,0)+IF(CE2105="D",1,0)+IF(CF2105="D",1,0)+IF(CL2105="D",1,0)+IF(CM2105="D",1,0)+IF(CQ2105="D",1,0)+IF(CR2105="D",1,0)+IF(CS2105="D",1,0)+IF(CW2105="D",1,0)+IF(CX2105="D",1,0)+IF(DD2105="D",1,0)+IF(DE2105="D",1,0)+IF(DJ2105="D",1,0)+IF(DK2105="D",1,0)+IF(DO2105="D",1,0)+IF(DP2105="D",1,0)+IF(DQ2105="D",1,0)+IF(DW2105="D",1,0)+IF(DZ2105="D",1,0)+IF(EH2105="D",1,0)</f>
        <v/>
      </c>
      <c r="AY2105">
        <f>IF(DJ2105&lt;&gt;"",1,0)+IF(DK2105&lt;&gt;"",1,0)+IF(DM2105&lt;&gt;"",1,0)+IF(DO2105&lt;&gt;"",1,0)+IF(DP2105&lt;&gt;"",1,0)+IF(DQ2105&lt;&gt;"",1,0)+IF(DS2105&lt;&gt;"",1,0)+IF(DT2105&lt;&gt;"",1,0)+IF(DV2105&lt;&gt;"",1,0)+IF(DW2105&lt;&gt;"",1,0)+IF(DX2105&lt;&gt;"",1,0)+IF(DY2105&lt;&gt;"",1,0)+IF(DZ2105&lt;&gt;"",1,0)+IF(EB2105&lt;&gt;"",1,0)+IF(EC2105&lt;&gt;"",1,0)+IF(ED2105&lt;&gt;"",1,0)+IF(EG2105&lt;&gt;"",1,0)+IF(EH2105&lt;&gt;"",1,0)</f>
        <v/>
      </c>
      <c r="AZ2105">
        <f>IF(EH2105&lt;&gt;"",1,0)</f>
        <v/>
      </c>
      <c r="BB2105" t="inlineStr">
        <is>
          <t>WARREN-WARD 4</t>
        </is>
      </c>
      <c r="CA2105" t="inlineStr">
        <is>
          <t>X</t>
        </is>
      </c>
      <c r="CK2105" t="inlineStr">
        <is>
          <t>X</t>
        </is>
      </c>
      <c r="CL2105" t="inlineStr">
        <is>
          <t>D</t>
        </is>
      </c>
      <c r="CP2105" t="inlineStr">
        <is>
          <t>X</t>
        </is>
      </c>
      <c r="CU2105" t="inlineStr">
        <is>
          <t>D</t>
        </is>
      </c>
      <c r="CY2105" t="inlineStr">
        <is>
          <t>X</t>
        </is>
      </c>
      <c r="CZ2105" t="inlineStr">
        <is>
          <t>D</t>
        </is>
      </c>
      <c r="DC2105" t="inlineStr">
        <is>
          <t>X</t>
        </is>
      </c>
      <c r="DI2105" t="inlineStr">
        <is>
          <t>X</t>
        </is>
      </c>
      <c r="DN2105" t="inlineStr">
        <is>
          <t>X</t>
        </is>
      </c>
      <c r="EF2105" t="inlineStr">
        <is>
          <t>X</t>
        </is>
      </c>
    </row>
    <row r="2106">
      <c r="A2106" t="inlineStr">
        <is>
          <t>OH0027130648</t>
        </is>
      </c>
      <c r="B2106" t="n">
        <v>78</v>
      </c>
      <c r="C2106" t="n">
        <v>477243</v>
      </c>
      <c r="D2106" t="inlineStr">
        <is>
          <t>CLAY</t>
        </is>
      </c>
      <c r="E2106" t="inlineStr">
        <is>
          <t>LARRENTHEA</t>
        </is>
      </c>
      <c r="F2106">
        <f>CONCATENATE(D2106," ",LEFT(H2106,4),"T=",AU2106,"D=",AV2106,"R=",AW2106,"M=",AX2106,"L=",AY2106,"B=",AZ2106)</f>
        <v/>
      </c>
      <c r="G2106" t="inlineStr">
        <is>
          <t>M</t>
        </is>
      </c>
      <c r="I2106" t="inlineStr">
        <is>
          <t>1985-03-20</t>
        </is>
      </c>
      <c r="J2106" t="inlineStr">
        <is>
          <t>2024-08-13</t>
        </is>
      </c>
      <c r="K2106" t="inlineStr">
        <is>
          <t>ACTIVE</t>
        </is>
      </c>
      <c r="M2106" t="inlineStr">
        <is>
          <t>1569 HOMEWOOD AVE SE</t>
        </is>
      </c>
      <c r="N2106">
        <f>RIGHT(M2106,LEN(M2106)-FIND(" ",M2106))</f>
        <v/>
      </c>
      <c r="P2106" t="inlineStr">
        <is>
          <t>WARREN</t>
        </is>
      </c>
      <c r="Q2106" t="inlineStr">
        <is>
          <t>OH</t>
        </is>
      </c>
      <c r="R2106" t="n">
        <v>44484</v>
      </c>
      <c r="AD2106" t="inlineStr">
        <is>
          <t>TRUMBULL CAREER &amp; TECH CENTER</t>
        </is>
      </c>
      <c r="AE2106" t="inlineStr">
        <is>
          <t>WARREN CITY</t>
        </is>
      </c>
      <c r="AF2106" t="inlineStr">
        <is>
          <t>WARREN CITY SD</t>
        </is>
      </c>
      <c r="AH2106" t="n">
        <v>14</v>
      </c>
      <c r="AI2106" t="n">
        <v>11</v>
      </c>
      <c r="AN2106" t="inlineStr">
        <is>
          <t>WARREN</t>
        </is>
      </c>
      <c r="AO2106" t="inlineStr">
        <is>
          <t>WARREN CITY 4F</t>
        </is>
      </c>
      <c r="AP2106" t="inlineStr">
        <is>
          <t>78-P-ADN</t>
        </is>
      </c>
      <c r="AQ2106" t="n">
        <v>9</v>
      </c>
      <c r="AR2106" t="n">
        <v>64</v>
      </c>
      <c r="AS2106" t="n">
        <v>32</v>
      </c>
      <c r="AU2106">
        <f>COUNTA($BA$2106:$EH$2106)</f>
        <v/>
      </c>
      <c r="AV2106">
        <f>COUNTIF($BA$2106:$EH$2106,"D")</f>
        <v/>
      </c>
      <c r="AW2106">
        <f>COUNTIF($BA$2106:$EH$2106,"R")</f>
        <v/>
      </c>
      <c r="AX2106">
        <f>IF(BN2106="D",1,0)+IF(BO2106="D",1,0)+IF(BT2106="D",1,0)+IF(BU2106="D",1,0)+IF(BW2106="D",1,0)+IF(CC2106="D",1,0)+IF(CD2106="D",1,0)+IF(CE2106="D",1,0)+IF(CF2106="D",1,0)+IF(CL2106="D",1,0)+IF(CM2106="D",1,0)+IF(CQ2106="D",1,0)+IF(CR2106="D",1,0)+IF(CS2106="D",1,0)+IF(CW2106="D",1,0)+IF(CX2106="D",1,0)+IF(DD2106="D",1,0)+IF(DE2106="D",1,0)+IF(DJ2106="D",1,0)+IF(DK2106="D",1,0)+IF(DO2106="D",1,0)+IF(DP2106="D",1,0)+IF(DQ2106="D",1,0)+IF(DW2106="D",1,0)+IF(DZ2106="D",1,0)+IF(EH2106="D",1,0)</f>
        <v/>
      </c>
      <c r="AY2106">
        <f>IF(DJ2106&lt;&gt;"",1,0)+IF(DK2106&lt;&gt;"",1,0)+IF(DM2106&lt;&gt;"",1,0)+IF(DO2106&lt;&gt;"",1,0)+IF(DP2106&lt;&gt;"",1,0)+IF(DQ2106&lt;&gt;"",1,0)+IF(DS2106&lt;&gt;"",1,0)+IF(DT2106&lt;&gt;"",1,0)+IF(DV2106&lt;&gt;"",1,0)+IF(DW2106&lt;&gt;"",1,0)+IF(DX2106&lt;&gt;"",1,0)+IF(DY2106&lt;&gt;"",1,0)+IF(DZ2106&lt;&gt;"",1,0)+IF(EB2106&lt;&gt;"",1,0)+IF(EC2106&lt;&gt;"",1,0)+IF(ED2106&lt;&gt;"",1,0)+IF(EG2106&lt;&gt;"",1,0)+IF(EH2106&lt;&gt;"",1,0)</f>
        <v/>
      </c>
      <c r="AZ2106">
        <f>IF(EH2106&lt;&gt;"",1,0)</f>
        <v/>
      </c>
      <c r="BB2106" t="inlineStr">
        <is>
          <t>WARREN-WARD 4</t>
        </is>
      </c>
      <c r="CA2106" t="inlineStr">
        <is>
          <t>X</t>
        </is>
      </c>
      <c r="CP2106" t="inlineStr">
        <is>
          <t>X</t>
        </is>
      </c>
      <c r="DC2106" t="inlineStr">
        <is>
          <t>X</t>
        </is>
      </c>
      <c r="DI2106" t="inlineStr">
        <is>
          <t>X</t>
        </is>
      </c>
      <c r="DN2106" t="inlineStr">
        <is>
          <t>X</t>
        </is>
      </c>
      <c r="EA2106" t="inlineStr">
        <is>
          <t>X</t>
        </is>
      </c>
      <c r="EF2106" t="inlineStr">
        <is>
          <t>X</t>
        </is>
      </c>
    </row>
    <row r="2107">
      <c r="A2107" t="inlineStr">
        <is>
          <t>OH0022708518</t>
        </is>
      </c>
      <c r="B2107" t="n">
        <v>78</v>
      </c>
      <c r="C2107" t="n">
        <v>400740</v>
      </c>
      <c r="D2107" t="inlineStr">
        <is>
          <t>BOSSARD</t>
        </is>
      </c>
      <c r="E2107" t="inlineStr">
        <is>
          <t>MIRACLE</t>
        </is>
      </c>
      <c r="F2107">
        <f>CONCATENATE(D2107," ",LEFT(H2107,4),"T=",AU2107,"D=",AV2107,"R=",AW2107,"M=",AX2107,"L=",AY2107,"B=",AZ2107)</f>
        <v/>
      </c>
      <c r="G2107" t="inlineStr">
        <is>
          <t>L</t>
        </is>
      </c>
      <c r="I2107" t="inlineStr">
        <is>
          <t>1996-08-17</t>
        </is>
      </c>
      <c r="J2107" t="inlineStr">
        <is>
          <t>2019-06-14</t>
        </is>
      </c>
      <c r="K2107" t="inlineStr">
        <is>
          <t>CONFIRMATION</t>
        </is>
      </c>
      <c r="M2107" t="inlineStr">
        <is>
          <t>1207 OAK KNOLL AVE SE</t>
        </is>
      </c>
      <c r="N2107">
        <f>RIGHT(M2107,LEN(M2107)-FIND(" ",M2107))</f>
        <v/>
      </c>
      <c r="P2107" t="inlineStr">
        <is>
          <t>WARREN</t>
        </is>
      </c>
      <c r="Q2107" t="inlineStr">
        <is>
          <t>OH</t>
        </is>
      </c>
      <c r="R2107" t="n">
        <v>44484</v>
      </c>
      <c r="AD2107" t="inlineStr">
        <is>
          <t>TRUMBULL CAREER &amp; TECH CENTER</t>
        </is>
      </c>
      <c r="AE2107" t="inlineStr">
        <is>
          <t>WARREN CITY</t>
        </is>
      </c>
      <c r="AF2107" t="inlineStr">
        <is>
          <t>WARREN CITY SD</t>
        </is>
      </c>
      <c r="AH2107" t="n">
        <v>14</v>
      </c>
      <c r="AI2107" t="n">
        <v>11</v>
      </c>
      <c r="AN2107" t="inlineStr">
        <is>
          <t>WARREN</t>
        </is>
      </c>
      <c r="AO2107" t="inlineStr">
        <is>
          <t>WARREN CITY 4F</t>
        </is>
      </c>
      <c r="AP2107" t="inlineStr">
        <is>
          <t>78-P-ADN</t>
        </is>
      </c>
      <c r="AQ2107" t="n">
        <v>9</v>
      </c>
      <c r="AR2107" t="n">
        <v>64</v>
      </c>
      <c r="AS2107" t="n">
        <v>32</v>
      </c>
      <c r="AU2107">
        <f>COUNTA($BA$2107:$EH$2107)</f>
        <v/>
      </c>
      <c r="AV2107">
        <f>COUNTIF($BA$2107:$EH$2107,"D")</f>
        <v/>
      </c>
      <c r="AW2107">
        <f>COUNTIF($BA$2107:$EH$2107,"R")</f>
        <v/>
      </c>
      <c r="AX2107">
        <f>IF(BN2107="D",1,0)+IF(BO2107="D",1,0)+IF(BT2107="D",1,0)+IF(BU2107="D",1,0)+IF(BW2107="D",1,0)+IF(CC2107="D",1,0)+IF(CD2107="D",1,0)+IF(CE2107="D",1,0)+IF(CF2107="D",1,0)+IF(CL2107="D",1,0)+IF(CM2107="D",1,0)+IF(CQ2107="D",1,0)+IF(CR2107="D",1,0)+IF(CS2107="D",1,0)+IF(CW2107="D",1,0)+IF(CX2107="D",1,0)+IF(DD2107="D",1,0)+IF(DE2107="D",1,0)+IF(DJ2107="D",1,0)+IF(DK2107="D",1,0)+IF(DO2107="D",1,0)+IF(DP2107="D",1,0)+IF(DQ2107="D",1,0)+IF(DW2107="D",1,0)+IF(DZ2107="D",1,0)+IF(EH2107="D",1,0)</f>
        <v/>
      </c>
      <c r="AY2107">
        <f>IF(DJ2107&lt;&gt;"",1,0)+IF(DK2107&lt;&gt;"",1,0)+IF(DM2107&lt;&gt;"",1,0)+IF(DO2107&lt;&gt;"",1,0)+IF(DP2107&lt;&gt;"",1,0)+IF(DQ2107&lt;&gt;"",1,0)+IF(DS2107&lt;&gt;"",1,0)+IF(DT2107&lt;&gt;"",1,0)+IF(DV2107&lt;&gt;"",1,0)+IF(DW2107&lt;&gt;"",1,0)+IF(DX2107&lt;&gt;"",1,0)+IF(DY2107&lt;&gt;"",1,0)+IF(DZ2107&lt;&gt;"",1,0)+IF(EB2107&lt;&gt;"",1,0)+IF(EC2107&lt;&gt;"",1,0)+IF(ED2107&lt;&gt;"",1,0)+IF(EG2107&lt;&gt;"",1,0)+IF(EH2107&lt;&gt;"",1,0)</f>
        <v/>
      </c>
      <c r="AZ2107">
        <f>IF(EH2107&lt;&gt;"",1,0)</f>
        <v/>
      </c>
      <c r="BB2107" t="inlineStr">
        <is>
          <t>WARREN-WARD 4</t>
        </is>
      </c>
    </row>
    <row r="2108">
      <c r="A2108" t="inlineStr">
        <is>
          <t>OH0026741687</t>
        </is>
      </c>
      <c r="B2108" t="n">
        <v>78</v>
      </c>
      <c r="C2108" t="n">
        <v>466953</v>
      </c>
      <c r="D2108" t="inlineStr">
        <is>
          <t>REPOTSKI</t>
        </is>
      </c>
      <c r="E2108" t="inlineStr">
        <is>
          <t>GERARD</t>
        </is>
      </c>
      <c r="F2108">
        <f>CONCATENATE(D2108," ",LEFT(H2108,4),"T=",AU2108,"D=",AV2108,"R=",AW2108,"M=",AX2108,"L=",AY2108,"B=",AZ2108)</f>
        <v/>
      </c>
      <c r="G2108" t="inlineStr">
        <is>
          <t>CHARLES</t>
        </is>
      </c>
      <c r="I2108" t="inlineStr">
        <is>
          <t>1985-02-19</t>
        </is>
      </c>
      <c r="J2108" t="inlineStr">
        <is>
          <t>2024-07-16</t>
        </is>
      </c>
      <c r="K2108" t="inlineStr">
        <is>
          <t>ACTIVE</t>
        </is>
      </c>
      <c r="M2108" t="inlineStr">
        <is>
          <t>1870 DRAPER AVE SE</t>
        </is>
      </c>
      <c r="N2108">
        <f>RIGHT(M2108,LEN(M2108)-FIND(" ",M2108))</f>
        <v/>
      </c>
      <c r="P2108" t="inlineStr">
        <is>
          <t>WARREN</t>
        </is>
      </c>
      <c r="Q2108" t="inlineStr">
        <is>
          <t>OH</t>
        </is>
      </c>
      <c r="R2108" t="n">
        <v>44484</v>
      </c>
      <c r="AD2108" t="inlineStr">
        <is>
          <t>TRUMBULL CAREER &amp; TECH CENTER</t>
        </is>
      </c>
      <c r="AE2108" t="inlineStr">
        <is>
          <t>WARREN CITY</t>
        </is>
      </c>
      <c r="AF2108" t="inlineStr">
        <is>
          <t>WARREN CITY SD</t>
        </is>
      </c>
      <c r="AH2108" t="n">
        <v>14</v>
      </c>
      <c r="AI2108" t="n">
        <v>11</v>
      </c>
      <c r="AN2108" t="inlineStr">
        <is>
          <t>WARREN</t>
        </is>
      </c>
      <c r="AO2108" t="inlineStr">
        <is>
          <t>WARREN CITY 4F</t>
        </is>
      </c>
      <c r="AP2108" t="inlineStr">
        <is>
          <t>78-P-ADN</t>
        </is>
      </c>
      <c r="AQ2108" t="n">
        <v>9</v>
      </c>
      <c r="AR2108" t="n">
        <v>64</v>
      </c>
      <c r="AS2108" t="n">
        <v>32</v>
      </c>
      <c r="AU2108">
        <f>COUNTA($BA$2108:$EH$2108)</f>
        <v/>
      </c>
      <c r="AV2108">
        <f>COUNTIF($BA$2108:$EH$2108,"D")</f>
        <v/>
      </c>
      <c r="AW2108">
        <f>COUNTIF($BA$2108:$EH$2108,"R")</f>
        <v/>
      </c>
      <c r="AX2108">
        <f>IF(BN2108="D",1,0)+IF(BO2108="D",1,0)+IF(BT2108="D",1,0)+IF(BU2108="D",1,0)+IF(BW2108="D",1,0)+IF(CC2108="D",1,0)+IF(CD2108="D",1,0)+IF(CE2108="D",1,0)+IF(CF2108="D",1,0)+IF(CL2108="D",1,0)+IF(CM2108="D",1,0)+IF(CQ2108="D",1,0)+IF(CR2108="D",1,0)+IF(CS2108="D",1,0)+IF(CW2108="D",1,0)+IF(CX2108="D",1,0)+IF(DD2108="D",1,0)+IF(DE2108="D",1,0)+IF(DJ2108="D",1,0)+IF(DK2108="D",1,0)+IF(DO2108="D",1,0)+IF(DP2108="D",1,0)+IF(DQ2108="D",1,0)+IF(DW2108="D",1,0)+IF(DZ2108="D",1,0)+IF(EH2108="D",1,0)</f>
        <v/>
      </c>
      <c r="AY2108">
        <f>IF(DJ2108&lt;&gt;"",1,0)+IF(DK2108&lt;&gt;"",1,0)+IF(DM2108&lt;&gt;"",1,0)+IF(DO2108&lt;&gt;"",1,0)+IF(DP2108&lt;&gt;"",1,0)+IF(DQ2108&lt;&gt;"",1,0)+IF(DS2108&lt;&gt;"",1,0)+IF(DT2108&lt;&gt;"",1,0)+IF(DV2108&lt;&gt;"",1,0)+IF(DW2108&lt;&gt;"",1,0)+IF(DX2108&lt;&gt;"",1,0)+IF(DY2108&lt;&gt;"",1,0)+IF(DZ2108&lt;&gt;"",1,0)+IF(EB2108&lt;&gt;"",1,0)+IF(EC2108&lt;&gt;"",1,0)+IF(ED2108&lt;&gt;"",1,0)+IF(EG2108&lt;&gt;"",1,0)+IF(EH2108&lt;&gt;"",1,0)</f>
        <v/>
      </c>
      <c r="AZ2108">
        <f>IF(EH2108&lt;&gt;"",1,0)</f>
        <v/>
      </c>
      <c r="BB2108" t="inlineStr">
        <is>
          <t>WARREN-WARD 4</t>
        </is>
      </c>
      <c r="EF2108" t="inlineStr">
        <is>
          <t>X</t>
        </is>
      </c>
    </row>
    <row r="2109">
      <c r="A2109" t="inlineStr">
        <is>
          <t>OH0020963898</t>
        </is>
      </c>
      <c r="B2109" t="n">
        <v>78</v>
      </c>
      <c r="C2109" t="n">
        <v>373034</v>
      </c>
      <c r="D2109" t="inlineStr">
        <is>
          <t>MOORE</t>
        </is>
      </c>
      <c r="E2109" t="inlineStr">
        <is>
          <t>JAMIE</t>
        </is>
      </c>
      <c r="F2109">
        <f>CONCATENATE(D2109," ",LEFT(H2109,4),"T=",AU2109,"D=",AV2109,"R=",AW2109,"M=",AX2109,"L=",AY2109,"B=",AZ2109)</f>
        <v/>
      </c>
      <c r="G2109" t="inlineStr">
        <is>
          <t>MARIE</t>
        </is>
      </c>
      <c r="I2109" t="inlineStr">
        <is>
          <t>1991-12-22</t>
        </is>
      </c>
      <c r="J2109" t="inlineStr">
        <is>
          <t>2023-09-16</t>
        </is>
      </c>
      <c r="K2109" t="inlineStr">
        <is>
          <t>ACTIVE</t>
        </is>
      </c>
      <c r="M2109" t="inlineStr">
        <is>
          <t>2766 DUKE AVE SE</t>
        </is>
      </c>
      <c r="N2109">
        <f>RIGHT(M2109,LEN(M2109)-FIND(" ",M2109))</f>
        <v/>
      </c>
      <c r="P2109" t="inlineStr">
        <is>
          <t>WARREN</t>
        </is>
      </c>
      <c r="Q2109" t="inlineStr">
        <is>
          <t>OH</t>
        </is>
      </c>
      <c r="R2109" t="n">
        <v>44484</v>
      </c>
      <c r="AD2109" t="inlineStr">
        <is>
          <t>TRUMBULL CAREER &amp; TECH CENTER</t>
        </is>
      </c>
      <c r="AE2109" t="inlineStr">
        <is>
          <t>WARREN CITY</t>
        </is>
      </c>
      <c r="AF2109" t="inlineStr">
        <is>
          <t>WARREN CITY SD</t>
        </is>
      </c>
      <c r="AH2109" t="n">
        <v>14</v>
      </c>
      <c r="AI2109" t="n">
        <v>11</v>
      </c>
      <c r="AN2109" t="inlineStr">
        <is>
          <t>WARREN</t>
        </is>
      </c>
      <c r="AO2109" t="inlineStr">
        <is>
          <t>WARREN CITY 4F</t>
        </is>
      </c>
      <c r="AP2109" t="inlineStr">
        <is>
          <t>78-P-ADN</t>
        </is>
      </c>
      <c r="AQ2109" t="n">
        <v>9</v>
      </c>
      <c r="AR2109" t="n">
        <v>64</v>
      </c>
      <c r="AS2109" t="n">
        <v>32</v>
      </c>
      <c r="AU2109">
        <f>COUNTA($BA$2109:$EH$2109)</f>
        <v/>
      </c>
      <c r="AV2109">
        <f>COUNTIF($BA$2109:$EH$2109,"D")</f>
        <v/>
      </c>
      <c r="AW2109">
        <f>COUNTIF($BA$2109:$EH$2109,"R")</f>
        <v/>
      </c>
      <c r="AX2109">
        <f>IF(BN2109="D",1,0)+IF(BO2109="D",1,0)+IF(BT2109="D",1,0)+IF(BU2109="D",1,0)+IF(BW2109="D",1,0)+IF(CC2109="D",1,0)+IF(CD2109="D",1,0)+IF(CE2109="D",1,0)+IF(CF2109="D",1,0)+IF(CL2109="D",1,0)+IF(CM2109="D",1,0)+IF(CQ2109="D",1,0)+IF(CR2109="D",1,0)+IF(CS2109="D",1,0)+IF(CW2109="D",1,0)+IF(CX2109="D",1,0)+IF(DD2109="D",1,0)+IF(DE2109="D",1,0)+IF(DJ2109="D",1,0)+IF(DK2109="D",1,0)+IF(DO2109="D",1,0)+IF(DP2109="D",1,0)+IF(DQ2109="D",1,0)+IF(DW2109="D",1,0)+IF(DZ2109="D",1,0)+IF(EH2109="D",1,0)</f>
        <v/>
      </c>
      <c r="AY2109">
        <f>IF(DJ2109&lt;&gt;"",1,0)+IF(DK2109&lt;&gt;"",1,0)+IF(DM2109&lt;&gt;"",1,0)+IF(DO2109&lt;&gt;"",1,0)+IF(DP2109&lt;&gt;"",1,0)+IF(DQ2109&lt;&gt;"",1,0)+IF(DS2109&lt;&gt;"",1,0)+IF(DT2109&lt;&gt;"",1,0)+IF(DV2109&lt;&gt;"",1,0)+IF(DW2109&lt;&gt;"",1,0)+IF(DX2109&lt;&gt;"",1,0)+IF(DY2109&lt;&gt;"",1,0)+IF(DZ2109&lt;&gt;"",1,0)+IF(EB2109&lt;&gt;"",1,0)+IF(EC2109&lt;&gt;"",1,0)+IF(ED2109&lt;&gt;"",1,0)+IF(EG2109&lt;&gt;"",1,0)+IF(EH2109&lt;&gt;"",1,0)</f>
        <v/>
      </c>
      <c r="AZ2109">
        <f>IF(EH2109&lt;&gt;"",1,0)</f>
        <v/>
      </c>
      <c r="BB2109" t="inlineStr">
        <is>
          <t>WARREN-WARD 4</t>
        </is>
      </c>
      <c r="CP2109" t="inlineStr">
        <is>
          <t>X</t>
        </is>
      </c>
      <c r="DN2109" t="inlineStr">
        <is>
          <t>X</t>
        </is>
      </c>
      <c r="EA2109" t="inlineStr">
        <is>
          <t>X</t>
        </is>
      </c>
    </row>
    <row r="2110">
      <c r="A2110" t="inlineStr">
        <is>
          <t>OH0015760244</t>
        </is>
      </c>
      <c r="B2110" t="n">
        <v>78</v>
      </c>
      <c r="C2110" t="n">
        <v>247419</v>
      </c>
      <c r="D2110" t="inlineStr">
        <is>
          <t>RONDINI</t>
        </is>
      </c>
      <c r="E2110" t="inlineStr">
        <is>
          <t>HARRY</t>
        </is>
      </c>
      <c r="F2110">
        <f>CONCATENATE(D2110," ",LEFT(H2110,4),"T=",AU2110,"D=",AV2110,"R=",AW2110,"M=",AX2110,"L=",AY2110,"B=",AZ2110)</f>
        <v/>
      </c>
      <c r="G2110" t="inlineStr">
        <is>
          <t>DAVIS</t>
        </is>
      </c>
      <c r="I2110" t="inlineStr">
        <is>
          <t>1974-12-03</t>
        </is>
      </c>
      <c r="J2110" t="inlineStr">
        <is>
          <t>2024-07-24</t>
        </is>
      </c>
      <c r="K2110" t="inlineStr">
        <is>
          <t>ACTIVE</t>
        </is>
      </c>
      <c r="M2110" t="inlineStr">
        <is>
          <t>1504 KENILWORTH AVE SE</t>
        </is>
      </c>
      <c r="N2110">
        <f>RIGHT(M2110,LEN(M2110)-FIND(" ",M2110))</f>
        <v/>
      </c>
      <c r="P2110" t="inlineStr">
        <is>
          <t>WARREN</t>
        </is>
      </c>
      <c r="Q2110" t="inlineStr">
        <is>
          <t>OH</t>
        </is>
      </c>
      <c r="R2110" t="n">
        <v>44484</v>
      </c>
      <c r="AD2110" t="inlineStr">
        <is>
          <t>TRUMBULL CAREER &amp; TECH CENTER</t>
        </is>
      </c>
      <c r="AE2110" t="inlineStr">
        <is>
          <t>WARREN CITY</t>
        </is>
      </c>
      <c r="AF2110" t="inlineStr">
        <is>
          <t>WARREN CITY SD</t>
        </is>
      </c>
      <c r="AH2110" t="n">
        <v>14</v>
      </c>
      <c r="AI2110" t="n">
        <v>11</v>
      </c>
      <c r="AN2110" t="inlineStr">
        <is>
          <t>WARREN</t>
        </is>
      </c>
      <c r="AO2110" t="inlineStr">
        <is>
          <t>WARREN CITY 4F</t>
        </is>
      </c>
      <c r="AP2110" t="inlineStr">
        <is>
          <t>78-P-ADN</t>
        </is>
      </c>
      <c r="AQ2110" t="n">
        <v>9</v>
      </c>
      <c r="AR2110" t="n">
        <v>64</v>
      </c>
      <c r="AS2110" t="n">
        <v>32</v>
      </c>
      <c r="AU2110">
        <f>COUNTA($BA$2110:$EH$2110)</f>
        <v/>
      </c>
      <c r="AV2110">
        <f>COUNTIF($BA$2110:$EH$2110,"D")</f>
        <v/>
      </c>
      <c r="AW2110">
        <f>COUNTIF($BA$2110:$EH$2110,"R")</f>
        <v/>
      </c>
      <c r="AX2110">
        <f>IF(BN2110="D",1,0)+IF(BO2110="D",1,0)+IF(BT2110="D",1,0)+IF(BU2110="D",1,0)+IF(BW2110="D",1,0)+IF(CC2110="D",1,0)+IF(CD2110="D",1,0)+IF(CE2110="D",1,0)+IF(CF2110="D",1,0)+IF(CL2110="D",1,0)+IF(CM2110="D",1,0)+IF(CQ2110="D",1,0)+IF(CR2110="D",1,0)+IF(CS2110="D",1,0)+IF(CW2110="D",1,0)+IF(CX2110="D",1,0)+IF(DD2110="D",1,0)+IF(DE2110="D",1,0)+IF(DJ2110="D",1,0)+IF(DK2110="D",1,0)+IF(DO2110="D",1,0)+IF(DP2110="D",1,0)+IF(DQ2110="D",1,0)+IF(DW2110="D",1,0)+IF(DZ2110="D",1,0)+IF(EH2110="D",1,0)</f>
        <v/>
      </c>
      <c r="AY2110">
        <f>IF(DJ2110&lt;&gt;"",1,0)+IF(DK2110&lt;&gt;"",1,0)+IF(DM2110&lt;&gt;"",1,0)+IF(DO2110&lt;&gt;"",1,0)+IF(DP2110&lt;&gt;"",1,0)+IF(DQ2110&lt;&gt;"",1,0)+IF(DS2110&lt;&gt;"",1,0)+IF(DT2110&lt;&gt;"",1,0)+IF(DV2110&lt;&gt;"",1,0)+IF(DW2110&lt;&gt;"",1,0)+IF(DX2110&lt;&gt;"",1,0)+IF(DY2110&lt;&gt;"",1,0)+IF(DZ2110&lt;&gt;"",1,0)+IF(EB2110&lt;&gt;"",1,0)+IF(EC2110&lt;&gt;"",1,0)+IF(ED2110&lt;&gt;"",1,0)+IF(EG2110&lt;&gt;"",1,0)+IF(EH2110&lt;&gt;"",1,0)</f>
        <v/>
      </c>
      <c r="AZ2110">
        <f>IF(EH2110&lt;&gt;"",1,0)</f>
        <v/>
      </c>
      <c r="BB2110" t="inlineStr">
        <is>
          <t>WARREN-WARD 4</t>
        </is>
      </c>
      <c r="BC2110" t="inlineStr">
        <is>
          <t>X</t>
        </is>
      </c>
      <c r="BD2110" t="inlineStr">
        <is>
          <t>X</t>
        </is>
      </c>
      <c r="BK2110" t="inlineStr">
        <is>
          <t>X</t>
        </is>
      </c>
      <c r="BL2110" t="inlineStr">
        <is>
          <t>X</t>
        </is>
      </c>
      <c r="BP2110" t="inlineStr">
        <is>
          <t>X</t>
        </is>
      </c>
      <c r="BS2110" t="inlineStr">
        <is>
          <t>X</t>
        </is>
      </c>
      <c r="BT2110" t="inlineStr">
        <is>
          <t>X</t>
        </is>
      </c>
      <c r="BY2110" t="inlineStr">
        <is>
          <t>D</t>
        </is>
      </c>
      <c r="CA2110" t="inlineStr">
        <is>
          <t>X</t>
        </is>
      </c>
      <c r="CG2110" t="inlineStr">
        <is>
          <t>X</t>
        </is>
      </c>
      <c r="CH2110" t="inlineStr">
        <is>
          <t>D</t>
        </is>
      </c>
      <c r="CK2110" t="inlineStr">
        <is>
          <t>X</t>
        </is>
      </c>
      <c r="CN2110" t="inlineStr">
        <is>
          <t>X</t>
        </is>
      </c>
      <c r="CO2110" t="inlineStr">
        <is>
          <t>D</t>
        </is>
      </c>
      <c r="CP2110" t="inlineStr">
        <is>
          <t>X</t>
        </is>
      </c>
      <c r="CV2110" t="inlineStr">
        <is>
          <t>X</t>
        </is>
      </c>
      <c r="CY2110" t="inlineStr">
        <is>
          <t>X</t>
        </is>
      </c>
      <c r="CZ2110" t="inlineStr">
        <is>
          <t>D</t>
        </is>
      </c>
      <c r="DC2110" t="inlineStr">
        <is>
          <t>X</t>
        </is>
      </c>
      <c r="DF2110" t="inlineStr">
        <is>
          <t>X</t>
        </is>
      </c>
      <c r="DI2110" t="inlineStr">
        <is>
          <t>X</t>
        </is>
      </c>
      <c r="DN2110" t="inlineStr">
        <is>
          <t>X</t>
        </is>
      </c>
      <c r="EA2110" t="inlineStr">
        <is>
          <t>X</t>
        </is>
      </c>
      <c r="EF2110" t="inlineStr">
        <is>
          <t>X</t>
        </is>
      </c>
    </row>
    <row r="2111">
      <c r="A2111" t="inlineStr">
        <is>
          <t>OH0019827409</t>
        </is>
      </c>
      <c r="B2111" t="n">
        <v>78</v>
      </c>
      <c r="C2111" t="n">
        <v>359740</v>
      </c>
      <c r="D2111" t="inlineStr">
        <is>
          <t>DUBOS</t>
        </is>
      </c>
      <c r="E2111" t="inlineStr">
        <is>
          <t>TIYAUNA</t>
        </is>
      </c>
      <c r="F2111">
        <f>CONCATENATE(D2111," ",LEFT(H2111,4),"T=",AU2111,"D=",AV2111,"R=",AW2111,"M=",AX2111,"L=",AY2111,"B=",AZ2111)</f>
        <v/>
      </c>
      <c r="G2111" t="inlineStr">
        <is>
          <t>MARTHIA</t>
        </is>
      </c>
      <c r="I2111" t="inlineStr">
        <is>
          <t>1990-01-31</t>
        </is>
      </c>
      <c r="J2111" t="inlineStr">
        <is>
          <t>2022-05-31</t>
        </is>
      </c>
      <c r="K2111" t="inlineStr">
        <is>
          <t>ACTIVE</t>
        </is>
      </c>
      <c r="M2111" t="inlineStr">
        <is>
          <t>1110 YOUNGSTOWN RD SE</t>
        </is>
      </c>
      <c r="N2111">
        <f>RIGHT(M2111,LEN(M2111)-FIND(" ",M2111))</f>
        <v/>
      </c>
      <c r="P2111" t="inlineStr">
        <is>
          <t>WARREN</t>
        </is>
      </c>
      <c r="Q2111" t="inlineStr">
        <is>
          <t>OH</t>
        </is>
      </c>
      <c r="R2111" t="n">
        <v>44484</v>
      </c>
      <c r="AD2111" t="inlineStr">
        <is>
          <t>TRUMBULL CAREER &amp; TECH CENTER</t>
        </is>
      </c>
      <c r="AE2111" t="inlineStr">
        <is>
          <t>WARREN CITY</t>
        </is>
      </c>
      <c r="AF2111" t="inlineStr">
        <is>
          <t>WARREN CITY SD</t>
        </is>
      </c>
      <c r="AH2111" t="n">
        <v>14</v>
      </c>
      <c r="AI2111" t="n">
        <v>11</v>
      </c>
      <c r="AN2111" t="inlineStr">
        <is>
          <t>WARREN</t>
        </is>
      </c>
      <c r="AO2111" t="inlineStr">
        <is>
          <t>WARREN CITY 4F</t>
        </is>
      </c>
      <c r="AP2111" t="inlineStr">
        <is>
          <t>78-P-ADN</t>
        </is>
      </c>
      <c r="AQ2111" t="n">
        <v>9</v>
      </c>
      <c r="AR2111" t="n">
        <v>64</v>
      </c>
      <c r="AS2111" t="n">
        <v>32</v>
      </c>
      <c r="AU2111">
        <f>COUNTA($BA$2111:$EH$2111)</f>
        <v/>
      </c>
      <c r="AV2111">
        <f>COUNTIF($BA$2111:$EH$2111,"D")</f>
        <v/>
      </c>
      <c r="AW2111">
        <f>COUNTIF($BA$2111:$EH$2111,"R")</f>
        <v/>
      </c>
      <c r="AX2111">
        <f>IF(BN2111="D",1,0)+IF(BO2111="D",1,0)+IF(BT2111="D",1,0)+IF(BU2111="D",1,0)+IF(BW2111="D",1,0)+IF(CC2111="D",1,0)+IF(CD2111="D",1,0)+IF(CE2111="D",1,0)+IF(CF2111="D",1,0)+IF(CL2111="D",1,0)+IF(CM2111="D",1,0)+IF(CQ2111="D",1,0)+IF(CR2111="D",1,0)+IF(CS2111="D",1,0)+IF(CW2111="D",1,0)+IF(CX2111="D",1,0)+IF(DD2111="D",1,0)+IF(DE2111="D",1,0)+IF(DJ2111="D",1,0)+IF(DK2111="D",1,0)+IF(DO2111="D",1,0)+IF(DP2111="D",1,0)+IF(DQ2111="D",1,0)+IF(DW2111="D",1,0)+IF(DZ2111="D",1,0)+IF(EH2111="D",1,0)</f>
        <v/>
      </c>
      <c r="AY2111">
        <f>IF(DJ2111&lt;&gt;"",1,0)+IF(DK2111&lt;&gt;"",1,0)+IF(DM2111&lt;&gt;"",1,0)+IF(DO2111&lt;&gt;"",1,0)+IF(DP2111&lt;&gt;"",1,0)+IF(DQ2111&lt;&gt;"",1,0)+IF(DS2111&lt;&gt;"",1,0)+IF(DT2111&lt;&gt;"",1,0)+IF(DV2111&lt;&gt;"",1,0)+IF(DW2111&lt;&gt;"",1,0)+IF(DX2111&lt;&gt;"",1,0)+IF(DY2111&lt;&gt;"",1,0)+IF(DZ2111&lt;&gt;"",1,0)+IF(EB2111&lt;&gt;"",1,0)+IF(EC2111&lt;&gt;"",1,0)+IF(ED2111&lt;&gt;"",1,0)+IF(EG2111&lt;&gt;"",1,0)+IF(EH2111&lt;&gt;"",1,0)</f>
        <v/>
      </c>
      <c r="AZ2111">
        <f>IF(EH2111&lt;&gt;"",1,0)</f>
        <v/>
      </c>
      <c r="BB2111" t="inlineStr">
        <is>
          <t>WARREN-WARD 4</t>
        </is>
      </c>
      <c r="DN2111" t="inlineStr">
        <is>
          <t>X</t>
        </is>
      </c>
      <c r="EF2111" t="inlineStr">
        <is>
          <t>X</t>
        </is>
      </c>
    </row>
    <row r="2112">
      <c r="A2112" t="inlineStr">
        <is>
          <t>OH0015783774</t>
        </is>
      </c>
      <c r="B2112" t="n">
        <v>78</v>
      </c>
      <c r="C2112" t="n">
        <v>309299</v>
      </c>
      <c r="D2112" t="inlineStr">
        <is>
          <t>OWENS</t>
        </is>
      </c>
      <c r="E2112" t="inlineStr">
        <is>
          <t>RITA</t>
        </is>
      </c>
      <c r="F2112">
        <f>CONCATENATE(D2112," ",LEFT(H2112,4),"T=",AU2112,"D=",AV2112,"R=",AW2112,"M=",AX2112,"L=",AY2112,"B=",AZ2112)</f>
        <v/>
      </c>
      <c r="G2112" t="inlineStr">
        <is>
          <t>LYNN</t>
        </is>
      </c>
      <c r="I2112" t="inlineStr">
        <is>
          <t>1972-01-05</t>
        </is>
      </c>
      <c r="J2112" t="inlineStr">
        <is>
          <t>2015-11-29</t>
        </is>
      </c>
      <c r="K2112" t="inlineStr">
        <is>
          <t>ACTIVE</t>
        </is>
      </c>
      <c r="M2112" t="inlineStr">
        <is>
          <t>1714 TRANSYLVANIA AVE SE</t>
        </is>
      </c>
      <c r="N2112">
        <f>RIGHT(M2112,LEN(M2112)-FIND(" ",M2112))</f>
        <v/>
      </c>
      <c r="P2112" t="inlineStr">
        <is>
          <t>WARREN</t>
        </is>
      </c>
      <c r="Q2112" t="inlineStr">
        <is>
          <t>OH</t>
        </is>
      </c>
      <c r="R2112" t="n">
        <v>44484</v>
      </c>
      <c r="AD2112" t="inlineStr">
        <is>
          <t>TRUMBULL CAREER &amp; TECH CENTER</t>
        </is>
      </c>
      <c r="AE2112" t="inlineStr">
        <is>
          <t>WARREN CITY</t>
        </is>
      </c>
      <c r="AF2112" t="inlineStr">
        <is>
          <t>WARREN CITY SD</t>
        </is>
      </c>
      <c r="AH2112" t="n">
        <v>14</v>
      </c>
      <c r="AI2112" t="n">
        <v>11</v>
      </c>
      <c r="AN2112" t="inlineStr">
        <is>
          <t>WARREN</t>
        </is>
      </c>
      <c r="AO2112" t="inlineStr">
        <is>
          <t>WARREN CITY 4F</t>
        </is>
      </c>
      <c r="AP2112" t="inlineStr">
        <is>
          <t>78-P-ADN</t>
        </is>
      </c>
      <c r="AQ2112" t="n">
        <v>9</v>
      </c>
      <c r="AR2112" t="n">
        <v>64</v>
      </c>
      <c r="AS2112" t="n">
        <v>32</v>
      </c>
      <c r="AU2112">
        <f>COUNTA($BA$2112:$EH$2112)</f>
        <v/>
      </c>
      <c r="AV2112">
        <f>COUNTIF($BA$2112:$EH$2112,"D")</f>
        <v/>
      </c>
      <c r="AW2112">
        <f>COUNTIF($BA$2112:$EH$2112,"R")</f>
        <v/>
      </c>
      <c r="AX2112">
        <f>IF(BN2112="D",1,0)+IF(BO2112="D",1,0)+IF(BT2112="D",1,0)+IF(BU2112="D",1,0)+IF(BW2112="D",1,0)+IF(CC2112="D",1,0)+IF(CD2112="D",1,0)+IF(CE2112="D",1,0)+IF(CF2112="D",1,0)+IF(CL2112="D",1,0)+IF(CM2112="D",1,0)+IF(CQ2112="D",1,0)+IF(CR2112="D",1,0)+IF(CS2112="D",1,0)+IF(CW2112="D",1,0)+IF(CX2112="D",1,0)+IF(DD2112="D",1,0)+IF(DE2112="D",1,0)+IF(DJ2112="D",1,0)+IF(DK2112="D",1,0)+IF(DO2112="D",1,0)+IF(DP2112="D",1,0)+IF(DQ2112="D",1,0)+IF(DW2112="D",1,0)+IF(DZ2112="D",1,0)+IF(EH2112="D",1,0)</f>
        <v/>
      </c>
      <c r="AY2112">
        <f>IF(DJ2112&lt;&gt;"",1,0)+IF(DK2112&lt;&gt;"",1,0)+IF(DM2112&lt;&gt;"",1,0)+IF(DO2112&lt;&gt;"",1,0)+IF(DP2112&lt;&gt;"",1,0)+IF(DQ2112&lt;&gt;"",1,0)+IF(DS2112&lt;&gt;"",1,0)+IF(DT2112&lt;&gt;"",1,0)+IF(DV2112&lt;&gt;"",1,0)+IF(DW2112&lt;&gt;"",1,0)+IF(DX2112&lt;&gt;"",1,0)+IF(DY2112&lt;&gt;"",1,0)+IF(DZ2112&lt;&gt;"",1,0)+IF(EB2112&lt;&gt;"",1,0)+IF(EC2112&lt;&gt;"",1,0)+IF(ED2112&lt;&gt;"",1,0)+IF(EG2112&lt;&gt;"",1,0)+IF(EH2112&lt;&gt;"",1,0)</f>
        <v/>
      </c>
      <c r="AZ2112">
        <f>IF(EH2112&lt;&gt;"",1,0)</f>
        <v/>
      </c>
      <c r="BB2112" t="inlineStr">
        <is>
          <t>WARREN-WARD 4</t>
        </is>
      </c>
      <c r="BL2112" t="inlineStr">
        <is>
          <t>X</t>
        </is>
      </c>
      <c r="BS2112" t="inlineStr">
        <is>
          <t>X</t>
        </is>
      </c>
      <c r="CA2112" t="inlineStr">
        <is>
          <t>X</t>
        </is>
      </c>
      <c r="CN2112" t="inlineStr">
        <is>
          <t>X</t>
        </is>
      </c>
      <c r="CP2112" t="inlineStr">
        <is>
          <t>X</t>
        </is>
      </c>
      <c r="CY2112" t="inlineStr">
        <is>
          <t>X</t>
        </is>
      </c>
      <c r="DC2112" t="inlineStr">
        <is>
          <t>X</t>
        </is>
      </c>
      <c r="DI2112" t="inlineStr">
        <is>
          <t>X</t>
        </is>
      </c>
      <c r="DN2112" t="inlineStr">
        <is>
          <t>X</t>
        </is>
      </c>
      <c r="DU2112" t="inlineStr">
        <is>
          <t>X</t>
        </is>
      </c>
      <c r="EA2112" t="inlineStr">
        <is>
          <t>X</t>
        </is>
      </c>
      <c r="EF2112" t="inlineStr">
        <is>
          <t>X</t>
        </is>
      </c>
    </row>
    <row r="2113">
      <c r="A2113" t="inlineStr">
        <is>
          <t>OH0024166204</t>
        </is>
      </c>
      <c r="B2113" t="n">
        <v>78</v>
      </c>
      <c r="C2113" t="n">
        <v>422665</v>
      </c>
      <c r="D2113" t="inlineStr">
        <is>
          <t>KNEPPER</t>
        </is>
      </c>
      <c r="E2113" t="inlineStr">
        <is>
          <t>JASON</t>
        </is>
      </c>
      <c r="F2113">
        <f>CONCATENATE(D2113," ",LEFT(H2113,4),"T=",AU2113,"D=",AV2113,"R=",AW2113,"M=",AX2113,"L=",AY2113,"B=",AZ2113)</f>
        <v/>
      </c>
      <c r="G2113" t="inlineStr">
        <is>
          <t>RAY</t>
        </is>
      </c>
      <c r="I2113" t="inlineStr">
        <is>
          <t>1980-05-01</t>
        </is>
      </c>
      <c r="J2113" t="inlineStr">
        <is>
          <t>2016-11-08</t>
        </is>
      </c>
      <c r="K2113" t="inlineStr">
        <is>
          <t>CONFIRMATION</t>
        </is>
      </c>
      <c r="M2113" t="inlineStr">
        <is>
          <t>1037 EAST AVE SE</t>
        </is>
      </c>
      <c r="N2113">
        <f>RIGHT(M2113,LEN(M2113)-FIND(" ",M2113))</f>
        <v/>
      </c>
      <c r="P2113" t="inlineStr">
        <is>
          <t>WARREN</t>
        </is>
      </c>
      <c r="Q2113" t="inlineStr">
        <is>
          <t>OH</t>
        </is>
      </c>
      <c r="R2113" t="n">
        <v>44484</v>
      </c>
      <c r="AD2113" t="inlineStr">
        <is>
          <t>TRUMBULL CAREER &amp; TECH CENTER</t>
        </is>
      </c>
      <c r="AE2113" t="inlineStr">
        <is>
          <t>WARREN CITY</t>
        </is>
      </c>
      <c r="AF2113" t="inlineStr">
        <is>
          <t>WARREN CITY SD</t>
        </is>
      </c>
      <c r="AH2113" t="n">
        <v>14</v>
      </c>
      <c r="AI2113" t="n">
        <v>11</v>
      </c>
      <c r="AN2113" t="inlineStr">
        <is>
          <t>WARREN</t>
        </is>
      </c>
      <c r="AO2113" t="inlineStr">
        <is>
          <t>WARREN CITY 4F</t>
        </is>
      </c>
      <c r="AP2113" t="inlineStr">
        <is>
          <t>78-P-ADN</t>
        </is>
      </c>
      <c r="AQ2113" t="n">
        <v>9</v>
      </c>
      <c r="AR2113" t="n">
        <v>64</v>
      </c>
      <c r="AS2113" t="n">
        <v>32</v>
      </c>
      <c r="AU2113">
        <f>COUNTA($BA$2113:$EH$2113)</f>
        <v/>
      </c>
      <c r="AV2113">
        <f>COUNTIF($BA$2113:$EH$2113,"D")</f>
        <v/>
      </c>
      <c r="AW2113">
        <f>COUNTIF($BA$2113:$EH$2113,"R")</f>
        <v/>
      </c>
      <c r="AX2113">
        <f>IF(BN2113="D",1,0)+IF(BO2113="D",1,0)+IF(BT2113="D",1,0)+IF(BU2113="D",1,0)+IF(BW2113="D",1,0)+IF(CC2113="D",1,0)+IF(CD2113="D",1,0)+IF(CE2113="D",1,0)+IF(CF2113="D",1,0)+IF(CL2113="D",1,0)+IF(CM2113="D",1,0)+IF(CQ2113="D",1,0)+IF(CR2113="D",1,0)+IF(CS2113="D",1,0)+IF(CW2113="D",1,0)+IF(CX2113="D",1,0)+IF(DD2113="D",1,0)+IF(DE2113="D",1,0)+IF(DJ2113="D",1,0)+IF(DK2113="D",1,0)+IF(DO2113="D",1,0)+IF(DP2113="D",1,0)+IF(DQ2113="D",1,0)+IF(DW2113="D",1,0)+IF(DZ2113="D",1,0)+IF(EH2113="D",1,0)</f>
        <v/>
      </c>
      <c r="AY2113">
        <f>IF(DJ2113&lt;&gt;"",1,0)+IF(DK2113&lt;&gt;"",1,0)+IF(DM2113&lt;&gt;"",1,0)+IF(DO2113&lt;&gt;"",1,0)+IF(DP2113&lt;&gt;"",1,0)+IF(DQ2113&lt;&gt;"",1,0)+IF(DS2113&lt;&gt;"",1,0)+IF(DT2113&lt;&gt;"",1,0)+IF(DV2113&lt;&gt;"",1,0)+IF(DW2113&lt;&gt;"",1,0)+IF(DX2113&lt;&gt;"",1,0)+IF(DY2113&lt;&gt;"",1,0)+IF(DZ2113&lt;&gt;"",1,0)+IF(EB2113&lt;&gt;"",1,0)+IF(EC2113&lt;&gt;"",1,0)+IF(ED2113&lt;&gt;"",1,0)+IF(EG2113&lt;&gt;"",1,0)+IF(EH2113&lt;&gt;"",1,0)</f>
        <v/>
      </c>
      <c r="AZ2113">
        <f>IF(EH2113&lt;&gt;"",1,0)</f>
        <v/>
      </c>
      <c r="BB2113" t="inlineStr">
        <is>
          <t>WARREN-WARD 4</t>
        </is>
      </c>
      <c r="DC2113" t="inlineStr">
        <is>
          <t>X</t>
        </is>
      </c>
    </row>
    <row r="2114">
      <c r="A2114" t="inlineStr">
        <is>
          <t>OH0021830310</t>
        </is>
      </c>
      <c r="B2114" t="n">
        <v>78</v>
      </c>
      <c r="C2114" t="n">
        <v>387110</v>
      </c>
      <c r="D2114" t="inlineStr">
        <is>
          <t>COX</t>
        </is>
      </c>
      <c r="E2114" t="inlineStr">
        <is>
          <t>SIR MICHAEL</t>
        </is>
      </c>
      <c r="F2114">
        <f>CONCATENATE(D2114," ",LEFT(H2114,4),"T=",AU2114,"D=",AV2114,"R=",AW2114,"M=",AX2114,"L=",AY2114,"B=",AZ2114)</f>
        <v/>
      </c>
      <c r="G2114" t="inlineStr">
        <is>
          <t>LAMONT</t>
        </is>
      </c>
      <c r="H2114" t="inlineStr">
        <is>
          <t>JR</t>
        </is>
      </c>
      <c r="I2114" t="inlineStr">
        <is>
          <t>1987-03-13</t>
        </is>
      </c>
      <c r="J2114" t="inlineStr">
        <is>
          <t>2013-04-12</t>
        </is>
      </c>
      <c r="K2114" t="inlineStr">
        <is>
          <t>CONFIRMATION</t>
        </is>
      </c>
      <c r="M2114" t="inlineStr">
        <is>
          <t>1600 OAK KNOLL AVE SE</t>
        </is>
      </c>
      <c r="N2114">
        <f>RIGHT(M2114,LEN(M2114)-FIND(" ",M2114))</f>
        <v/>
      </c>
      <c r="P2114" t="inlineStr">
        <is>
          <t>WARREN</t>
        </is>
      </c>
      <c r="Q2114" t="inlineStr">
        <is>
          <t>OH</t>
        </is>
      </c>
      <c r="R2114" t="n">
        <v>44484</v>
      </c>
      <c r="AD2114" t="inlineStr">
        <is>
          <t>TRUMBULL CAREER &amp; TECH CENTER</t>
        </is>
      </c>
      <c r="AE2114" t="inlineStr">
        <is>
          <t>WARREN CITY</t>
        </is>
      </c>
      <c r="AF2114" t="inlineStr">
        <is>
          <t>WARREN CITY SD</t>
        </is>
      </c>
      <c r="AH2114" t="n">
        <v>14</v>
      </c>
      <c r="AI2114" t="n">
        <v>11</v>
      </c>
      <c r="AN2114" t="inlineStr">
        <is>
          <t>WARREN</t>
        </is>
      </c>
      <c r="AO2114" t="inlineStr">
        <is>
          <t>WARREN CITY 4F</t>
        </is>
      </c>
      <c r="AP2114" t="inlineStr">
        <is>
          <t>78-P-ADN</t>
        </is>
      </c>
      <c r="AQ2114" t="n">
        <v>9</v>
      </c>
      <c r="AR2114" t="n">
        <v>64</v>
      </c>
      <c r="AS2114" t="n">
        <v>32</v>
      </c>
      <c r="AU2114">
        <f>COUNTA($BA$2114:$EH$2114)</f>
        <v/>
      </c>
      <c r="AV2114">
        <f>COUNTIF($BA$2114:$EH$2114,"D")</f>
        <v/>
      </c>
      <c r="AW2114">
        <f>COUNTIF($BA$2114:$EH$2114,"R")</f>
        <v/>
      </c>
      <c r="AX2114">
        <f>IF(BN2114="D",1,0)+IF(BO2114="D",1,0)+IF(BT2114="D",1,0)+IF(BU2114="D",1,0)+IF(BW2114="D",1,0)+IF(CC2114="D",1,0)+IF(CD2114="D",1,0)+IF(CE2114="D",1,0)+IF(CF2114="D",1,0)+IF(CL2114="D",1,0)+IF(CM2114="D",1,0)+IF(CQ2114="D",1,0)+IF(CR2114="D",1,0)+IF(CS2114="D",1,0)+IF(CW2114="D",1,0)+IF(CX2114="D",1,0)+IF(DD2114="D",1,0)+IF(DE2114="D",1,0)+IF(DJ2114="D",1,0)+IF(DK2114="D",1,0)+IF(DO2114="D",1,0)+IF(DP2114="D",1,0)+IF(DQ2114="D",1,0)+IF(DW2114="D",1,0)+IF(DZ2114="D",1,0)+IF(EH2114="D",1,0)</f>
        <v/>
      </c>
      <c r="AY2114">
        <f>IF(DJ2114&lt;&gt;"",1,0)+IF(DK2114&lt;&gt;"",1,0)+IF(DM2114&lt;&gt;"",1,0)+IF(DO2114&lt;&gt;"",1,0)+IF(DP2114&lt;&gt;"",1,0)+IF(DQ2114&lt;&gt;"",1,0)+IF(DS2114&lt;&gt;"",1,0)+IF(DT2114&lt;&gt;"",1,0)+IF(DV2114&lt;&gt;"",1,0)+IF(DW2114&lt;&gt;"",1,0)+IF(DX2114&lt;&gt;"",1,0)+IF(DY2114&lt;&gt;"",1,0)+IF(DZ2114&lt;&gt;"",1,0)+IF(EB2114&lt;&gt;"",1,0)+IF(EC2114&lt;&gt;"",1,0)+IF(ED2114&lt;&gt;"",1,0)+IF(EG2114&lt;&gt;"",1,0)+IF(EH2114&lt;&gt;"",1,0)</f>
        <v/>
      </c>
      <c r="AZ2114">
        <f>IF(EH2114&lt;&gt;"",1,0)</f>
        <v/>
      </c>
      <c r="BB2114" t="inlineStr">
        <is>
          <t>WARREN-WARD 4</t>
        </is>
      </c>
    </row>
    <row r="2115">
      <c r="A2115" t="inlineStr">
        <is>
          <t>OH0027453927</t>
        </is>
      </c>
      <c r="B2115" t="n">
        <v>78</v>
      </c>
      <c r="C2115" t="n">
        <v>486382</v>
      </c>
      <c r="D2115" t="inlineStr">
        <is>
          <t>TIBBS</t>
        </is>
      </c>
      <c r="E2115" t="inlineStr">
        <is>
          <t>MICHAEL</t>
        </is>
      </c>
      <c r="F2115">
        <f>CONCATENATE(D2115," ",LEFT(H2115,4),"T=",AU2115,"D=",AV2115,"R=",AW2115,"M=",AX2115,"L=",AY2115,"B=",AZ2115)</f>
        <v/>
      </c>
      <c r="G2115" t="inlineStr">
        <is>
          <t>HARLEY</t>
        </is>
      </c>
      <c r="I2115" t="inlineStr">
        <is>
          <t>2006-04-13</t>
        </is>
      </c>
      <c r="J2115" t="inlineStr">
        <is>
          <t>2024-07-24</t>
        </is>
      </c>
      <c r="K2115" t="inlineStr">
        <is>
          <t>ACTIVE</t>
        </is>
      </c>
      <c r="M2115" t="inlineStr">
        <is>
          <t>1061 WOODBINE AVE SE</t>
        </is>
      </c>
      <c r="N2115">
        <f>RIGHT(M2115,LEN(M2115)-FIND(" ",M2115))</f>
        <v/>
      </c>
      <c r="P2115" t="inlineStr">
        <is>
          <t>WARREN</t>
        </is>
      </c>
      <c r="Q2115" t="inlineStr">
        <is>
          <t>OH</t>
        </is>
      </c>
      <c r="R2115" t="n">
        <v>44484</v>
      </c>
      <c r="AD2115" t="inlineStr">
        <is>
          <t>TRUMBULL CAREER &amp; TECH CENTER</t>
        </is>
      </c>
      <c r="AE2115" t="inlineStr">
        <is>
          <t>WARREN CITY</t>
        </is>
      </c>
      <c r="AF2115" t="inlineStr">
        <is>
          <t>WARREN CITY SD</t>
        </is>
      </c>
      <c r="AH2115" t="n">
        <v>14</v>
      </c>
      <c r="AI2115" t="n">
        <v>11</v>
      </c>
      <c r="AN2115" t="inlineStr">
        <is>
          <t>WARREN</t>
        </is>
      </c>
      <c r="AO2115" t="inlineStr">
        <is>
          <t>WARREN CITY 4F</t>
        </is>
      </c>
      <c r="AP2115" t="inlineStr">
        <is>
          <t>78-P-ADN</t>
        </is>
      </c>
      <c r="AQ2115" t="n">
        <v>9</v>
      </c>
      <c r="AR2115" t="n">
        <v>64</v>
      </c>
      <c r="AS2115" t="n">
        <v>32</v>
      </c>
      <c r="AU2115">
        <f>COUNTA($BA$2115:$EH$2115)</f>
        <v/>
      </c>
      <c r="AV2115">
        <f>COUNTIF($BA$2115:$EH$2115,"D")</f>
        <v/>
      </c>
      <c r="AW2115">
        <f>COUNTIF($BA$2115:$EH$2115,"R")</f>
        <v/>
      </c>
      <c r="AX2115">
        <f>IF(BN2115="D",1,0)+IF(BO2115="D",1,0)+IF(BT2115="D",1,0)+IF(BU2115="D",1,0)+IF(BW2115="D",1,0)+IF(CC2115="D",1,0)+IF(CD2115="D",1,0)+IF(CE2115="D",1,0)+IF(CF2115="D",1,0)+IF(CL2115="D",1,0)+IF(CM2115="D",1,0)+IF(CQ2115="D",1,0)+IF(CR2115="D",1,0)+IF(CS2115="D",1,0)+IF(CW2115="D",1,0)+IF(CX2115="D",1,0)+IF(DD2115="D",1,0)+IF(DE2115="D",1,0)+IF(DJ2115="D",1,0)+IF(DK2115="D",1,0)+IF(DO2115="D",1,0)+IF(DP2115="D",1,0)+IF(DQ2115="D",1,0)+IF(DW2115="D",1,0)+IF(DZ2115="D",1,0)+IF(EH2115="D",1,0)</f>
        <v/>
      </c>
      <c r="AY2115">
        <f>IF(DJ2115&lt;&gt;"",1,0)+IF(DK2115&lt;&gt;"",1,0)+IF(DM2115&lt;&gt;"",1,0)+IF(DO2115&lt;&gt;"",1,0)+IF(DP2115&lt;&gt;"",1,0)+IF(DQ2115&lt;&gt;"",1,0)+IF(DS2115&lt;&gt;"",1,0)+IF(DT2115&lt;&gt;"",1,0)+IF(DV2115&lt;&gt;"",1,0)+IF(DW2115&lt;&gt;"",1,0)+IF(DX2115&lt;&gt;"",1,0)+IF(DY2115&lt;&gt;"",1,0)+IF(DZ2115&lt;&gt;"",1,0)+IF(EB2115&lt;&gt;"",1,0)+IF(EC2115&lt;&gt;"",1,0)+IF(ED2115&lt;&gt;"",1,0)+IF(EG2115&lt;&gt;"",1,0)+IF(EH2115&lt;&gt;"",1,0)</f>
        <v/>
      </c>
      <c r="AZ2115">
        <f>IF(EH2115&lt;&gt;"",1,0)</f>
        <v/>
      </c>
      <c r="BB2115" t="inlineStr">
        <is>
          <t>WARREN-WARD 4</t>
        </is>
      </c>
      <c r="EF2115" t="inlineStr">
        <is>
          <t>X</t>
        </is>
      </c>
    </row>
    <row r="2116">
      <c r="A2116" t="inlineStr">
        <is>
          <t>OH0020381226</t>
        </is>
      </c>
      <c r="B2116" t="n">
        <v>78</v>
      </c>
      <c r="C2116" t="n">
        <v>367419</v>
      </c>
      <c r="D2116" t="inlineStr">
        <is>
          <t>DICKEY</t>
        </is>
      </c>
      <c r="E2116" t="inlineStr">
        <is>
          <t>MARY</t>
        </is>
      </c>
      <c r="F2116">
        <f>CONCATENATE(D2116," ",LEFT(H2116,4),"T=",AU2116,"D=",AV2116,"R=",AW2116,"M=",AX2116,"L=",AY2116,"B=",AZ2116)</f>
        <v/>
      </c>
      <c r="G2116" t="inlineStr">
        <is>
          <t>ANN</t>
        </is>
      </c>
      <c r="I2116" t="inlineStr">
        <is>
          <t>1959-10-14</t>
        </is>
      </c>
      <c r="J2116" t="inlineStr">
        <is>
          <t>2024-05-28</t>
        </is>
      </c>
      <c r="K2116" t="inlineStr">
        <is>
          <t>ACTIVE</t>
        </is>
      </c>
      <c r="M2116" t="inlineStr">
        <is>
          <t>1577 KENILWORTH AVE SE</t>
        </is>
      </c>
      <c r="N2116">
        <f>RIGHT(M2116,LEN(M2116)-FIND(" ",M2116))</f>
        <v/>
      </c>
      <c r="P2116" t="inlineStr">
        <is>
          <t>WARREN</t>
        </is>
      </c>
      <c r="Q2116" t="inlineStr">
        <is>
          <t>OH</t>
        </is>
      </c>
      <c r="R2116" t="n">
        <v>44484</v>
      </c>
      <c r="AD2116" t="inlineStr">
        <is>
          <t>TRUMBULL CAREER &amp; TECH CENTER</t>
        </is>
      </c>
      <c r="AE2116" t="inlineStr">
        <is>
          <t>WARREN CITY</t>
        </is>
      </c>
      <c r="AF2116" t="inlineStr">
        <is>
          <t>WARREN CITY SD</t>
        </is>
      </c>
      <c r="AH2116" t="n">
        <v>14</v>
      </c>
      <c r="AI2116" t="n">
        <v>11</v>
      </c>
      <c r="AN2116" t="inlineStr">
        <is>
          <t>WARREN</t>
        </is>
      </c>
      <c r="AO2116" t="inlineStr">
        <is>
          <t>WARREN CITY 4F</t>
        </is>
      </c>
      <c r="AP2116" t="inlineStr">
        <is>
          <t>78-P-ADN</t>
        </is>
      </c>
      <c r="AQ2116" t="n">
        <v>9</v>
      </c>
      <c r="AR2116" t="n">
        <v>64</v>
      </c>
      <c r="AS2116" t="n">
        <v>32</v>
      </c>
      <c r="AU2116">
        <f>COUNTA($BA$2116:$EH$2116)</f>
        <v/>
      </c>
      <c r="AV2116">
        <f>COUNTIF($BA$2116:$EH$2116,"D")</f>
        <v/>
      </c>
      <c r="AW2116">
        <f>COUNTIF($BA$2116:$EH$2116,"R")</f>
        <v/>
      </c>
      <c r="AX2116">
        <f>IF(BN2116="D",1,0)+IF(BO2116="D",1,0)+IF(BT2116="D",1,0)+IF(BU2116="D",1,0)+IF(BW2116="D",1,0)+IF(CC2116="D",1,0)+IF(CD2116="D",1,0)+IF(CE2116="D",1,0)+IF(CF2116="D",1,0)+IF(CL2116="D",1,0)+IF(CM2116="D",1,0)+IF(CQ2116="D",1,0)+IF(CR2116="D",1,0)+IF(CS2116="D",1,0)+IF(CW2116="D",1,0)+IF(CX2116="D",1,0)+IF(DD2116="D",1,0)+IF(DE2116="D",1,0)+IF(DJ2116="D",1,0)+IF(DK2116="D",1,0)+IF(DO2116="D",1,0)+IF(DP2116="D",1,0)+IF(DQ2116="D",1,0)+IF(DW2116="D",1,0)+IF(DZ2116="D",1,0)+IF(EH2116="D",1,0)</f>
        <v/>
      </c>
      <c r="AY2116">
        <f>IF(DJ2116&lt;&gt;"",1,0)+IF(DK2116&lt;&gt;"",1,0)+IF(DM2116&lt;&gt;"",1,0)+IF(DO2116&lt;&gt;"",1,0)+IF(DP2116&lt;&gt;"",1,0)+IF(DQ2116&lt;&gt;"",1,0)+IF(DS2116&lt;&gt;"",1,0)+IF(DT2116&lt;&gt;"",1,0)+IF(DV2116&lt;&gt;"",1,0)+IF(DW2116&lt;&gt;"",1,0)+IF(DX2116&lt;&gt;"",1,0)+IF(DY2116&lt;&gt;"",1,0)+IF(DZ2116&lt;&gt;"",1,0)+IF(EB2116&lt;&gt;"",1,0)+IF(EC2116&lt;&gt;"",1,0)+IF(ED2116&lt;&gt;"",1,0)+IF(EG2116&lt;&gt;"",1,0)+IF(EH2116&lt;&gt;"",1,0)</f>
        <v/>
      </c>
      <c r="AZ2116">
        <f>IF(EH2116&lt;&gt;"",1,0)</f>
        <v/>
      </c>
      <c r="BB2116" t="inlineStr">
        <is>
          <t>WARREN-WARD 4</t>
        </is>
      </c>
      <c r="DN2116" t="inlineStr">
        <is>
          <t>X</t>
        </is>
      </c>
    </row>
    <row r="2117">
      <c r="A2117" t="inlineStr">
        <is>
          <t>OH0015694807</t>
        </is>
      </c>
      <c r="B2117" t="n">
        <v>78</v>
      </c>
      <c r="C2117" t="n">
        <v>147349</v>
      </c>
      <c r="D2117" t="inlineStr">
        <is>
          <t>BUTLER</t>
        </is>
      </c>
      <c r="E2117" t="inlineStr">
        <is>
          <t>ESTER</t>
        </is>
      </c>
      <c r="F2117">
        <f>CONCATENATE(D2117," ",LEFT(H2117,4),"T=",AU2117,"D=",AV2117,"R=",AW2117,"M=",AX2117,"L=",AY2117,"B=",AZ2117)</f>
        <v/>
      </c>
      <c r="I2117" t="inlineStr">
        <is>
          <t>1956-10-22</t>
        </is>
      </c>
      <c r="J2117" t="inlineStr">
        <is>
          <t>1982-05-03</t>
        </is>
      </c>
      <c r="K2117" t="inlineStr">
        <is>
          <t>ACTIVE</t>
        </is>
      </c>
      <c r="L2117" t="inlineStr">
        <is>
          <t>D</t>
        </is>
      </c>
      <c r="M2117" t="inlineStr">
        <is>
          <t>2228 DRAPER AVE SE</t>
        </is>
      </c>
      <c r="N2117">
        <f>RIGHT(M2117,LEN(M2117)-FIND(" ",M2117))</f>
        <v/>
      </c>
      <c r="P2117" t="inlineStr">
        <is>
          <t>WARREN</t>
        </is>
      </c>
      <c r="Q2117" t="inlineStr">
        <is>
          <t>OH</t>
        </is>
      </c>
      <c r="R2117" t="n">
        <v>44484</v>
      </c>
      <c r="AD2117" t="inlineStr">
        <is>
          <t>TRUMBULL CAREER &amp; TECH CENTER</t>
        </is>
      </c>
      <c r="AE2117" t="inlineStr">
        <is>
          <t>WARREN CITY</t>
        </is>
      </c>
      <c r="AF2117" t="inlineStr">
        <is>
          <t>WARREN CITY SD</t>
        </is>
      </c>
      <c r="AH2117" t="n">
        <v>14</v>
      </c>
      <c r="AI2117" t="n">
        <v>11</v>
      </c>
      <c r="AN2117" t="inlineStr">
        <is>
          <t>WARREN</t>
        </is>
      </c>
      <c r="AO2117" t="inlineStr">
        <is>
          <t>WARREN CITY 4F</t>
        </is>
      </c>
      <c r="AP2117" t="inlineStr">
        <is>
          <t>78-P-ADN</t>
        </is>
      </c>
      <c r="AQ2117" t="n">
        <v>9</v>
      </c>
      <c r="AR2117" t="n">
        <v>64</v>
      </c>
      <c r="AS2117" t="n">
        <v>32</v>
      </c>
      <c r="AU2117">
        <f>COUNTA($BA$2117:$EH$2117)</f>
        <v/>
      </c>
      <c r="AV2117">
        <f>COUNTIF($BA$2117:$EH$2117,"D")</f>
        <v/>
      </c>
      <c r="AW2117">
        <f>COUNTIF($BA$2117:$EH$2117,"R")</f>
        <v/>
      </c>
      <c r="AX2117">
        <f>IF(BN2117="D",1,0)+IF(BO2117="D",1,0)+IF(BT2117="D",1,0)+IF(BU2117="D",1,0)+IF(BW2117="D",1,0)+IF(CC2117="D",1,0)+IF(CD2117="D",1,0)+IF(CE2117="D",1,0)+IF(CF2117="D",1,0)+IF(CL2117="D",1,0)+IF(CM2117="D",1,0)+IF(CQ2117="D",1,0)+IF(CR2117="D",1,0)+IF(CS2117="D",1,0)+IF(CW2117="D",1,0)+IF(CX2117="D",1,0)+IF(DD2117="D",1,0)+IF(DE2117="D",1,0)+IF(DJ2117="D",1,0)+IF(DK2117="D",1,0)+IF(DO2117="D",1,0)+IF(DP2117="D",1,0)+IF(DQ2117="D",1,0)+IF(DW2117="D",1,0)+IF(DZ2117="D",1,0)+IF(EH2117="D",1,0)</f>
        <v/>
      </c>
      <c r="AY2117">
        <f>IF(DJ2117&lt;&gt;"",1,0)+IF(DK2117&lt;&gt;"",1,0)+IF(DM2117&lt;&gt;"",1,0)+IF(DO2117&lt;&gt;"",1,0)+IF(DP2117&lt;&gt;"",1,0)+IF(DQ2117&lt;&gt;"",1,0)+IF(DS2117&lt;&gt;"",1,0)+IF(DT2117&lt;&gt;"",1,0)+IF(DV2117&lt;&gt;"",1,0)+IF(DW2117&lt;&gt;"",1,0)+IF(DX2117&lt;&gt;"",1,0)+IF(DY2117&lt;&gt;"",1,0)+IF(DZ2117&lt;&gt;"",1,0)+IF(EB2117&lt;&gt;"",1,0)+IF(EC2117&lt;&gt;"",1,0)+IF(ED2117&lt;&gt;"",1,0)+IF(EG2117&lt;&gt;"",1,0)+IF(EH2117&lt;&gt;"",1,0)</f>
        <v/>
      </c>
      <c r="AZ2117">
        <f>IF(EH2117&lt;&gt;"",1,0)</f>
        <v/>
      </c>
      <c r="BB2117" t="inlineStr">
        <is>
          <t>WARREN-WARD 4</t>
        </is>
      </c>
      <c r="BC2117" t="inlineStr">
        <is>
          <t>X</t>
        </is>
      </c>
      <c r="BD2117" t="inlineStr">
        <is>
          <t>X</t>
        </is>
      </c>
      <c r="BH2117" t="inlineStr">
        <is>
          <t>X</t>
        </is>
      </c>
      <c r="BJ2117" t="inlineStr">
        <is>
          <t>X</t>
        </is>
      </c>
      <c r="BL2117" t="inlineStr">
        <is>
          <t>X</t>
        </is>
      </c>
      <c r="BP2117" t="inlineStr">
        <is>
          <t>X</t>
        </is>
      </c>
      <c r="BR2117" t="inlineStr">
        <is>
          <t>X</t>
        </is>
      </c>
      <c r="BS2117" t="inlineStr">
        <is>
          <t>X</t>
        </is>
      </c>
      <c r="BY2117" t="inlineStr">
        <is>
          <t>D</t>
        </is>
      </c>
      <c r="CA2117" t="inlineStr">
        <is>
          <t>X</t>
        </is>
      </c>
      <c r="CG2117" t="inlineStr">
        <is>
          <t>X</t>
        </is>
      </c>
      <c r="CK2117" t="inlineStr">
        <is>
          <t>X</t>
        </is>
      </c>
      <c r="CL2117" t="inlineStr">
        <is>
          <t>D</t>
        </is>
      </c>
      <c r="CN2117" t="inlineStr">
        <is>
          <t>X</t>
        </is>
      </c>
      <c r="CP2117" t="inlineStr">
        <is>
          <t>X</t>
        </is>
      </c>
      <c r="CV2117" t="inlineStr">
        <is>
          <t>X</t>
        </is>
      </c>
      <c r="CY2117" t="inlineStr">
        <is>
          <t>X</t>
        </is>
      </c>
      <c r="DC2117" t="inlineStr">
        <is>
          <t>X</t>
        </is>
      </c>
      <c r="DI2117" t="inlineStr">
        <is>
          <t>X</t>
        </is>
      </c>
      <c r="DL2117" t="inlineStr">
        <is>
          <t>X</t>
        </is>
      </c>
      <c r="DN2117" t="inlineStr">
        <is>
          <t>X</t>
        </is>
      </c>
      <c r="DU2117" t="inlineStr">
        <is>
          <t>X</t>
        </is>
      </c>
      <c r="DW2117" t="inlineStr">
        <is>
          <t>D</t>
        </is>
      </c>
      <c r="EA2117" t="inlineStr">
        <is>
          <t>X</t>
        </is>
      </c>
      <c r="EF2117" t="inlineStr">
        <is>
          <t>X</t>
        </is>
      </c>
    </row>
    <row r="2118">
      <c r="A2118" t="inlineStr">
        <is>
          <t>OH0025863789</t>
        </is>
      </c>
      <c r="B2118" t="n">
        <v>78</v>
      </c>
      <c r="C2118" t="n">
        <v>451747</v>
      </c>
      <c r="D2118" t="inlineStr">
        <is>
          <t>PRIETO</t>
        </is>
      </c>
      <c r="E2118" t="inlineStr">
        <is>
          <t>JANIKQUA</t>
        </is>
      </c>
      <c r="F2118">
        <f>CONCATENATE(D2118," ",LEFT(H2118,4),"T=",AU2118,"D=",AV2118,"R=",AW2118,"M=",AX2118,"L=",AY2118,"B=",AZ2118)</f>
        <v/>
      </c>
      <c r="G2118" t="inlineStr">
        <is>
          <t>MONA</t>
        </is>
      </c>
      <c r="I2118" t="inlineStr">
        <is>
          <t>1998-12-09</t>
        </is>
      </c>
      <c r="J2118" t="inlineStr">
        <is>
          <t>2020-11-23</t>
        </is>
      </c>
      <c r="K2118" t="inlineStr">
        <is>
          <t>CONFIRMATION</t>
        </is>
      </c>
      <c r="M2118" t="inlineStr">
        <is>
          <t>1534 HOMEWOOD AVE SE</t>
        </is>
      </c>
      <c r="N2118">
        <f>RIGHT(M2118,LEN(M2118)-FIND(" ",M2118))</f>
        <v/>
      </c>
      <c r="P2118" t="inlineStr">
        <is>
          <t>WARREN</t>
        </is>
      </c>
      <c r="Q2118" t="inlineStr">
        <is>
          <t>OH</t>
        </is>
      </c>
      <c r="R2118" t="n">
        <v>44484</v>
      </c>
      <c r="AD2118" t="inlineStr">
        <is>
          <t>TRUMBULL CAREER &amp; TECH CENTER</t>
        </is>
      </c>
      <c r="AE2118" t="inlineStr">
        <is>
          <t>WARREN CITY</t>
        </is>
      </c>
      <c r="AF2118" t="inlineStr">
        <is>
          <t>WARREN CITY SD</t>
        </is>
      </c>
      <c r="AH2118" t="n">
        <v>14</v>
      </c>
      <c r="AI2118" t="n">
        <v>11</v>
      </c>
      <c r="AN2118" t="inlineStr">
        <is>
          <t>WARREN</t>
        </is>
      </c>
      <c r="AO2118" t="inlineStr">
        <is>
          <t>WARREN CITY 4F</t>
        </is>
      </c>
      <c r="AP2118" t="inlineStr">
        <is>
          <t>78-P-ADN</t>
        </is>
      </c>
      <c r="AQ2118" t="n">
        <v>9</v>
      </c>
      <c r="AR2118" t="n">
        <v>64</v>
      </c>
      <c r="AS2118" t="n">
        <v>32</v>
      </c>
      <c r="AU2118">
        <f>COUNTA($BA$2118:$EH$2118)</f>
        <v/>
      </c>
      <c r="AV2118">
        <f>COUNTIF($BA$2118:$EH$2118,"D")</f>
        <v/>
      </c>
      <c r="AW2118">
        <f>COUNTIF($BA$2118:$EH$2118,"R")</f>
        <v/>
      </c>
      <c r="AX2118">
        <f>IF(BN2118="D",1,0)+IF(BO2118="D",1,0)+IF(BT2118="D",1,0)+IF(BU2118="D",1,0)+IF(BW2118="D",1,0)+IF(CC2118="D",1,0)+IF(CD2118="D",1,0)+IF(CE2118="D",1,0)+IF(CF2118="D",1,0)+IF(CL2118="D",1,0)+IF(CM2118="D",1,0)+IF(CQ2118="D",1,0)+IF(CR2118="D",1,0)+IF(CS2118="D",1,0)+IF(CW2118="D",1,0)+IF(CX2118="D",1,0)+IF(DD2118="D",1,0)+IF(DE2118="D",1,0)+IF(DJ2118="D",1,0)+IF(DK2118="D",1,0)+IF(DO2118="D",1,0)+IF(DP2118="D",1,0)+IF(DQ2118="D",1,0)+IF(DW2118="D",1,0)+IF(DZ2118="D",1,0)+IF(EH2118="D",1,0)</f>
        <v/>
      </c>
      <c r="AY2118">
        <f>IF(DJ2118&lt;&gt;"",1,0)+IF(DK2118&lt;&gt;"",1,0)+IF(DM2118&lt;&gt;"",1,0)+IF(DO2118&lt;&gt;"",1,0)+IF(DP2118&lt;&gt;"",1,0)+IF(DQ2118&lt;&gt;"",1,0)+IF(DS2118&lt;&gt;"",1,0)+IF(DT2118&lt;&gt;"",1,0)+IF(DV2118&lt;&gt;"",1,0)+IF(DW2118&lt;&gt;"",1,0)+IF(DX2118&lt;&gt;"",1,0)+IF(DY2118&lt;&gt;"",1,0)+IF(DZ2118&lt;&gt;"",1,0)+IF(EB2118&lt;&gt;"",1,0)+IF(EC2118&lt;&gt;"",1,0)+IF(ED2118&lt;&gt;"",1,0)+IF(EG2118&lt;&gt;"",1,0)+IF(EH2118&lt;&gt;"",1,0)</f>
        <v/>
      </c>
      <c r="AZ2118">
        <f>IF(EH2118&lt;&gt;"",1,0)</f>
        <v/>
      </c>
      <c r="BB2118" t="inlineStr">
        <is>
          <t>WARREN-WARD 4</t>
        </is>
      </c>
      <c r="DN2118" t="inlineStr">
        <is>
          <t>X</t>
        </is>
      </c>
    </row>
    <row r="2119">
      <c r="A2119" t="inlineStr">
        <is>
          <t>OH0027914896</t>
        </is>
      </c>
      <c r="B2119" t="n">
        <v>78</v>
      </c>
      <c r="C2119" t="n">
        <v>495337</v>
      </c>
      <c r="D2119" t="inlineStr">
        <is>
          <t>DANIEL</t>
        </is>
      </c>
      <c r="E2119" t="inlineStr">
        <is>
          <t>NOAH</t>
        </is>
      </c>
      <c r="F2119">
        <f>CONCATENATE(D2119," ",LEFT(H2119,4),"T=",AU2119,"D=",AV2119,"R=",AW2119,"M=",AX2119,"L=",AY2119,"B=",AZ2119)</f>
        <v/>
      </c>
      <c r="G2119" t="inlineStr">
        <is>
          <t>MICHAEL</t>
        </is>
      </c>
      <c r="I2119" t="inlineStr">
        <is>
          <t>2000-10-23</t>
        </is>
      </c>
      <c r="J2119" t="inlineStr">
        <is>
          <t>2025-03-11</t>
        </is>
      </c>
      <c r="K2119" t="inlineStr">
        <is>
          <t>ACTIVE</t>
        </is>
      </c>
      <c r="M2119" t="inlineStr">
        <is>
          <t>1576 KENILWORTH AVE SE</t>
        </is>
      </c>
      <c r="N2119">
        <f>RIGHT(M2119,LEN(M2119)-FIND(" ",M2119))</f>
        <v/>
      </c>
      <c r="P2119" t="inlineStr">
        <is>
          <t>WARREN</t>
        </is>
      </c>
      <c r="Q2119" t="inlineStr">
        <is>
          <t>OH</t>
        </is>
      </c>
      <c r="R2119" t="n">
        <v>44484</v>
      </c>
      <c r="AD2119" t="inlineStr">
        <is>
          <t>TRUMBULL CAREER &amp; TECH CENTER</t>
        </is>
      </c>
      <c r="AE2119" t="inlineStr">
        <is>
          <t>WARREN CITY</t>
        </is>
      </c>
      <c r="AF2119" t="inlineStr">
        <is>
          <t>WARREN CITY SD</t>
        </is>
      </c>
      <c r="AH2119" t="n">
        <v>14</v>
      </c>
      <c r="AI2119" t="n">
        <v>11</v>
      </c>
      <c r="AN2119" t="inlineStr">
        <is>
          <t>WARREN</t>
        </is>
      </c>
      <c r="AO2119" t="inlineStr">
        <is>
          <t>WARREN CITY 4F</t>
        </is>
      </c>
      <c r="AP2119" t="inlineStr">
        <is>
          <t>78-P-ADN</t>
        </is>
      </c>
      <c r="AQ2119" t="n">
        <v>9</v>
      </c>
      <c r="AR2119" t="n">
        <v>64</v>
      </c>
      <c r="AS2119" t="n">
        <v>32</v>
      </c>
      <c r="AU2119">
        <f>COUNTA($BA$2119:$EH$2119)</f>
        <v/>
      </c>
      <c r="AV2119">
        <f>COUNTIF($BA$2119:$EH$2119,"D")</f>
        <v/>
      </c>
      <c r="AW2119">
        <f>COUNTIF($BA$2119:$EH$2119,"R")</f>
        <v/>
      </c>
      <c r="AX2119">
        <f>IF(BN2119="D",1,0)+IF(BO2119="D",1,0)+IF(BT2119="D",1,0)+IF(BU2119="D",1,0)+IF(BW2119="D",1,0)+IF(CC2119="D",1,0)+IF(CD2119="D",1,0)+IF(CE2119="D",1,0)+IF(CF2119="D",1,0)+IF(CL2119="D",1,0)+IF(CM2119="D",1,0)+IF(CQ2119="D",1,0)+IF(CR2119="D",1,0)+IF(CS2119="D",1,0)+IF(CW2119="D",1,0)+IF(CX2119="D",1,0)+IF(DD2119="D",1,0)+IF(DE2119="D",1,0)+IF(DJ2119="D",1,0)+IF(DK2119="D",1,0)+IF(DO2119="D",1,0)+IF(DP2119="D",1,0)+IF(DQ2119="D",1,0)+IF(DW2119="D",1,0)+IF(DZ2119="D",1,0)+IF(EH2119="D",1,0)</f>
        <v/>
      </c>
      <c r="AY2119">
        <f>IF(DJ2119&lt;&gt;"",1,0)+IF(DK2119&lt;&gt;"",1,0)+IF(DM2119&lt;&gt;"",1,0)+IF(DO2119&lt;&gt;"",1,0)+IF(DP2119&lt;&gt;"",1,0)+IF(DQ2119&lt;&gt;"",1,0)+IF(DS2119&lt;&gt;"",1,0)+IF(DT2119&lt;&gt;"",1,0)+IF(DV2119&lt;&gt;"",1,0)+IF(DW2119&lt;&gt;"",1,0)+IF(DX2119&lt;&gt;"",1,0)+IF(DY2119&lt;&gt;"",1,0)+IF(DZ2119&lt;&gt;"",1,0)+IF(EB2119&lt;&gt;"",1,0)+IF(EC2119&lt;&gt;"",1,0)+IF(ED2119&lt;&gt;"",1,0)+IF(EG2119&lt;&gt;"",1,0)+IF(EH2119&lt;&gt;"",1,0)</f>
        <v/>
      </c>
      <c r="AZ2119">
        <f>IF(EH2119&lt;&gt;"",1,0)</f>
        <v/>
      </c>
      <c r="BB2119" t="inlineStr">
        <is>
          <t>WARREN-WARD 4</t>
        </is>
      </c>
    </row>
    <row r="2120">
      <c r="A2120" t="inlineStr">
        <is>
          <t>OH0025540700</t>
        </is>
      </c>
      <c r="B2120" t="n">
        <v>78</v>
      </c>
      <c r="C2120" t="n">
        <v>446138</v>
      </c>
      <c r="D2120" t="inlineStr">
        <is>
          <t>WASHINGTON</t>
        </is>
      </c>
      <c r="E2120" t="inlineStr">
        <is>
          <t>MELVIN</t>
        </is>
      </c>
      <c r="F2120">
        <f>CONCATENATE(D2120," ",LEFT(H2120,4),"T=",AU2120,"D=",AV2120,"R=",AW2120,"M=",AX2120,"L=",AY2120,"B=",AZ2120)</f>
        <v/>
      </c>
      <c r="I2120" t="inlineStr">
        <is>
          <t>1960-01-07</t>
        </is>
      </c>
      <c r="J2120" t="inlineStr">
        <is>
          <t>2021-09-23</t>
        </is>
      </c>
      <c r="K2120" t="inlineStr">
        <is>
          <t>CONFIRMATION</t>
        </is>
      </c>
      <c r="M2120" t="inlineStr">
        <is>
          <t>1955 BRIER ST SE</t>
        </is>
      </c>
      <c r="N2120">
        <f>RIGHT(M2120,LEN(M2120)-FIND(" ",M2120))</f>
        <v/>
      </c>
      <c r="P2120" t="inlineStr">
        <is>
          <t>WARREN</t>
        </is>
      </c>
      <c r="Q2120" t="inlineStr">
        <is>
          <t>OH</t>
        </is>
      </c>
      <c r="R2120" t="n">
        <v>44484</v>
      </c>
      <c r="AD2120" t="inlineStr">
        <is>
          <t>TRUMBULL CAREER &amp; TECH CENTER</t>
        </is>
      </c>
      <c r="AE2120" t="inlineStr">
        <is>
          <t>WARREN CITY</t>
        </is>
      </c>
      <c r="AF2120" t="inlineStr">
        <is>
          <t>WARREN CITY SD</t>
        </is>
      </c>
      <c r="AH2120" t="n">
        <v>14</v>
      </c>
      <c r="AI2120" t="n">
        <v>11</v>
      </c>
      <c r="AN2120" t="inlineStr">
        <is>
          <t>WARREN</t>
        </is>
      </c>
      <c r="AO2120" t="inlineStr">
        <is>
          <t>WARREN CITY 4F</t>
        </is>
      </c>
      <c r="AP2120" t="inlineStr">
        <is>
          <t>78-P-ADN</t>
        </is>
      </c>
      <c r="AQ2120" t="n">
        <v>9</v>
      </c>
      <c r="AR2120" t="n">
        <v>64</v>
      </c>
      <c r="AS2120" t="n">
        <v>32</v>
      </c>
      <c r="AU2120">
        <f>COUNTA($BA$2120:$EH$2120)</f>
        <v/>
      </c>
      <c r="AV2120">
        <f>COUNTIF($BA$2120:$EH$2120,"D")</f>
        <v/>
      </c>
      <c r="AW2120">
        <f>COUNTIF($BA$2120:$EH$2120,"R")</f>
        <v/>
      </c>
      <c r="AX2120">
        <f>IF(BN2120="D",1,0)+IF(BO2120="D",1,0)+IF(BT2120="D",1,0)+IF(BU2120="D",1,0)+IF(BW2120="D",1,0)+IF(CC2120="D",1,0)+IF(CD2120="D",1,0)+IF(CE2120="D",1,0)+IF(CF2120="D",1,0)+IF(CL2120="D",1,0)+IF(CM2120="D",1,0)+IF(CQ2120="D",1,0)+IF(CR2120="D",1,0)+IF(CS2120="D",1,0)+IF(CW2120="D",1,0)+IF(CX2120="D",1,0)+IF(DD2120="D",1,0)+IF(DE2120="D",1,0)+IF(DJ2120="D",1,0)+IF(DK2120="D",1,0)+IF(DO2120="D",1,0)+IF(DP2120="D",1,0)+IF(DQ2120="D",1,0)+IF(DW2120="D",1,0)+IF(DZ2120="D",1,0)+IF(EH2120="D",1,0)</f>
        <v/>
      </c>
      <c r="AY2120">
        <f>IF(DJ2120&lt;&gt;"",1,0)+IF(DK2120&lt;&gt;"",1,0)+IF(DM2120&lt;&gt;"",1,0)+IF(DO2120&lt;&gt;"",1,0)+IF(DP2120&lt;&gt;"",1,0)+IF(DQ2120&lt;&gt;"",1,0)+IF(DS2120&lt;&gt;"",1,0)+IF(DT2120&lt;&gt;"",1,0)+IF(DV2120&lt;&gt;"",1,0)+IF(DW2120&lt;&gt;"",1,0)+IF(DX2120&lt;&gt;"",1,0)+IF(DY2120&lt;&gt;"",1,0)+IF(DZ2120&lt;&gt;"",1,0)+IF(EB2120&lt;&gt;"",1,0)+IF(EC2120&lt;&gt;"",1,0)+IF(ED2120&lt;&gt;"",1,0)+IF(EG2120&lt;&gt;"",1,0)+IF(EH2120&lt;&gt;"",1,0)</f>
        <v/>
      </c>
      <c r="AZ2120">
        <f>IF(EH2120&lt;&gt;"",1,0)</f>
        <v/>
      </c>
      <c r="BB2120" t="inlineStr">
        <is>
          <t>WARREN-WARD 4</t>
        </is>
      </c>
      <c r="CQ2120" t="inlineStr">
        <is>
          <t>D</t>
        </is>
      </c>
      <c r="CT2120" t="inlineStr">
        <is>
          <t>X</t>
        </is>
      </c>
      <c r="CY2120" t="inlineStr">
        <is>
          <t>X</t>
        </is>
      </c>
      <c r="DN2120" t="inlineStr">
        <is>
          <t>X</t>
        </is>
      </c>
    </row>
    <row r="2121">
      <c r="A2121" t="inlineStr">
        <is>
          <t>OH0015721565</t>
        </is>
      </c>
      <c r="B2121" t="n">
        <v>78</v>
      </c>
      <c r="C2121" t="n">
        <v>202557</v>
      </c>
      <c r="D2121" t="inlineStr">
        <is>
          <t>BAUGH</t>
        </is>
      </c>
      <c r="E2121" t="inlineStr">
        <is>
          <t>CAROL</t>
        </is>
      </c>
      <c r="F2121">
        <f>CONCATENATE(D2121," ",LEFT(H2121,4),"T=",AU2121,"D=",AV2121,"R=",AW2121,"M=",AX2121,"L=",AY2121,"B=",AZ2121)</f>
        <v/>
      </c>
      <c r="G2121" t="inlineStr">
        <is>
          <t>J</t>
        </is>
      </c>
      <c r="I2121" t="inlineStr">
        <is>
          <t>1963-12-02</t>
        </is>
      </c>
      <c r="J2121" t="inlineStr">
        <is>
          <t>2006-06-20</t>
        </is>
      </c>
      <c r="K2121" t="inlineStr">
        <is>
          <t>ACTIVE</t>
        </is>
      </c>
      <c r="L2121" t="inlineStr">
        <is>
          <t>D</t>
        </is>
      </c>
      <c r="M2121" t="inlineStr">
        <is>
          <t>2164 DRAPER AVE SE</t>
        </is>
      </c>
      <c r="N2121">
        <f>RIGHT(M2121,LEN(M2121)-FIND(" ",M2121))</f>
        <v/>
      </c>
      <c r="P2121" t="inlineStr">
        <is>
          <t>WARREN</t>
        </is>
      </c>
      <c r="Q2121" t="inlineStr">
        <is>
          <t>OH</t>
        </is>
      </c>
      <c r="R2121" t="n">
        <v>44484</v>
      </c>
      <c r="AD2121" t="inlineStr">
        <is>
          <t>TRUMBULL CAREER &amp; TECH CENTER</t>
        </is>
      </c>
      <c r="AE2121" t="inlineStr">
        <is>
          <t>WARREN CITY</t>
        </is>
      </c>
      <c r="AF2121" t="inlineStr">
        <is>
          <t>WARREN CITY SD</t>
        </is>
      </c>
      <c r="AH2121" t="n">
        <v>14</v>
      </c>
      <c r="AI2121" t="n">
        <v>11</v>
      </c>
      <c r="AN2121" t="inlineStr">
        <is>
          <t>WARREN</t>
        </is>
      </c>
      <c r="AO2121" t="inlineStr">
        <is>
          <t>WARREN CITY 4F</t>
        </is>
      </c>
      <c r="AP2121" t="inlineStr">
        <is>
          <t>78-P-ADN</t>
        </is>
      </c>
      <c r="AQ2121" t="n">
        <v>9</v>
      </c>
      <c r="AR2121" t="n">
        <v>64</v>
      </c>
      <c r="AS2121" t="n">
        <v>32</v>
      </c>
      <c r="AU2121">
        <f>COUNTA($BA$2121:$EH$2121)</f>
        <v/>
      </c>
      <c r="AV2121">
        <f>COUNTIF($BA$2121:$EH$2121,"D")</f>
        <v/>
      </c>
      <c r="AW2121">
        <f>COUNTIF($BA$2121:$EH$2121,"R")</f>
        <v/>
      </c>
      <c r="AX2121">
        <f>IF(BN2121="D",1,0)+IF(BO2121="D",1,0)+IF(BT2121="D",1,0)+IF(BU2121="D",1,0)+IF(BW2121="D",1,0)+IF(CC2121="D",1,0)+IF(CD2121="D",1,0)+IF(CE2121="D",1,0)+IF(CF2121="D",1,0)+IF(CL2121="D",1,0)+IF(CM2121="D",1,0)+IF(CQ2121="D",1,0)+IF(CR2121="D",1,0)+IF(CS2121="D",1,0)+IF(CW2121="D",1,0)+IF(CX2121="D",1,0)+IF(DD2121="D",1,0)+IF(DE2121="D",1,0)+IF(DJ2121="D",1,0)+IF(DK2121="D",1,0)+IF(DO2121="D",1,0)+IF(DP2121="D",1,0)+IF(DQ2121="D",1,0)+IF(DW2121="D",1,0)+IF(DZ2121="D",1,0)+IF(EH2121="D",1,0)</f>
        <v/>
      </c>
      <c r="AY2121">
        <f>IF(DJ2121&lt;&gt;"",1,0)+IF(DK2121&lt;&gt;"",1,0)+IF(DM2121&lt;&gt;"",1,0)+IF(DO2121&lt;&gt;"",1,0)+IF(DP2121&lt;&gt;"",1,0)+IF(DQ2121&lt;&gt;"",1,0)+IF(DS2121&lt;&gt;"",1,0)+IF(DT2121&lt;&gt;"",1,0)+IF(DV2121&lt;&gt;"",1,0)+IF(DW2121&lt;&gt;"",1,0)+IF(DX2121&lt;&gt;"",1,0)+IF(DY2121&lt;&gt;"",1,0)+IF(DZ2121&lt;&gt;"",1,0)+IF(EB2121&lt;&gt;"",1,0)+IF(EC2121&lt;&gt;"",1,0)+IF(ED2121&lt;&gt;"",1,0)+IF(EG2121&lt;&gt;"",1,0)+IF(EH2121&lt;&gt;"",1,0)</f>
        <v/>
      </c>
      <c r="AZ2121">
        <f>IF(EH2121&lt;&gt;"",1,0)</f>
        <v/>
      </c>
      <c r="BB2121" t="inlineStr">
        <is>
          <t>WARREN-WARD 4</t>
        </is>
      </c>
      <c r="BC2121" t="inlineStr">
        <is>
          <t>X</t>
        </is>
      </c>
      <c r="BD2121" t="inlineStr">
        <is>
          <t>X</t>
        </is>
      </c>
      <c r="BG2121" t="inlineStr">
        <is>
          <t>X</t>
        </is>
      </c>
      <c r="BJ2121" t="inlineStr">
        <is>
          <t>X</t>
        </is>
      </c>
      <c r="BL2121" t="inlineStr">
        <is>
          <t>X</t>
        </is>
      </c>
      <c r="BR2121" t="inlineStr">
        <is>
          <t>X</t>
        </is>
      </c>
      <c r="BS2121" t="inlineStr">
        <is>
          <t>X</t>
        </is>
      </c>
      <c r="BY2121" t="inlineStr">
        <is>
          <t>D</t>
        </is>
      </c>
      <c r="CA2121" t="inlineStr">
        <is>
          <t>X</t>
        </is>
      </c>
      <c r="CL2121" t="inlineStr">
        <is>
          <t>D</t>
        </is>
      </c>
      <c r="CN2121" t="inlineStr">
        <is>
          <t>X</t>
        </is>
      </c>
      <c r="CP2121" t="inlineStr">
        <is>
          <t>X</t>
        </is>
      </c>
      <c r="CV2121" t="inlineStr">
        <is>
          <t>X</t>
        </is>
      </c>
      <c r="CW2121" t="inlineStr">
        <is>
          <t>D</t>
        </is>
      </c>
      <c r="CY2121" t="inlineStr">
        <is>
          <t>X</t>
        </is>
      </c>
      <c r="CZ2121" t="inlineStr">
        <is>
          <t>D</t>
        </is>
      </c>
      <c r="DC2121" t="inlineStr">
        <is>
          <t>X</t>
        </is>
      </c>
      <c r="DF2121" t="inlineStr">
        <is>
          <t>X</t>
        </is>
      </c>
      <c r="DG2121" t="inlineStr">
        <is>
          <t>D</t>
        </is>
      </c>
      <c r="DI2121" t="inlineStr">
        <is>
          <t>X</t>
        </is>
      </c>
      <c r="DJ2121" t="inlineStr">
        <is>
          <t>D</t>
        </is>
      </c>
      <c r="DL2121" t="inlineStr">
        <is>
          <t>X</t>
        </is>
      </c>
      <c r="DN2121" t="inlineStr">
        <is>
          <t>X</t>
        </is>
      </c>
      <c r="DS2121" t="inlineStr">
        <is>
          <t>D</t>
        </is>
      </c>
      <c r="DU2121" t="inlineStr">
        <is>
          <t>X</t>
        </is>
      </c>
      <c r="DW2121" t="inlineStr">
        <is>
          <t>D</t>
        </is>
      </c>
      <c r="DX2121" t="inlineStr">
        <is>
          <t>X</t>
        </is>
      </c>
      <c r="EA2121" t="inlineStr">
        <is>
          <t>X</t>
        </is>
      </c>
      <c r="ED2121" t="inlineStr">
        <is>
          <t>D</t>
        </is>
      </c>
      <c r="EF2121" t="inlineStr">
        <is>
          <t>X</t>
        </is>
      </c>
      <c r="EH2121" t="inlineStr">
        <is>
          <t>D</t>
        </is>
      </c>
    </row>
    <row r="2122">
      <c r="A2122" t="inlineStr">
        <is>
          <t>OH0026542876</t>
        </is>
      </c>
      <c r="B2122" t="n">
        <v>78</v>
      </c>
      <c r="C2122" t="n">
        <v>464050</v>
      </c>
      <c r="D2122" t="inlineStr">
        <is>
          <t>MORRISON</t>
        </is>
      </c>
      <c r="E2122" t="inlineStr">
        <is>
          <t>SAMANTHA</t>
        </is>
      </c>
      <c r="F2122">
        <f>CONCATENATE(D2122," ",LEFT(H2122,4),"T=",AU2122,"D=",AV2122,"R=",AW2122,"M=",AX2122,"L=",AY2122,"B=",AZ2122)</f>
        <v/>
      </c>
      <c r="G2122" t="inlineStr">
        <is>
          <t>MARIE</t>
        </is>
      </c>
      <c r="I2122" t="inlineStr">
        <is>
          <t>1998-04-28</t>
        </is>
      </c>
      <c r="J2122" t="inlineStr">
        <is>
          <t>2024-05-16</t>
        </is>
      </c>
      <c r="K2122" t="inlineStr">
        <is>
          <t>ACTIVE</t>
        </is>
      </c>
      <c r="M2122" t="inlineStr">
        <is>
          <t>1159 OAK KNOLL AVE SE</t>
        </is>
      </c>
      <c r="N2122">
        <f>RIGHT(M2122,LEN(M2122)-FIND(" ",M2122))</f>
        <v/>
      </c>
      <c r="P2122" t="inlineStr">
        <is>
          <t>WARREN</t>
        </is>
      </c>
      <c r="Q2122" t="inlineStr">
        <is>
          <t>OH</t>
        </is>
      </c>
      <c r="R2122" t="n">
        <v>44484</v>
      </c>
      <c r="AD2122" t="inlineStr">
        <is>
          <t>TRUMBULL CAREER &amp; TECH CENTER</t>
        </is>
      </c>
      <c r="AE2122" t="inlineStr">
        <is>
          <t>WARREN CITY</t>
        </is>
      </c>
      <c r="AF2122" t="inlineStr">
        <is>
          <t>WARREN CITY SD</t>
        </is>
      </c>
      <c r="AH2122" t="n">
        <v>14</v>
      </c>
      <c r="AI2122" t="n">
        <v>11</v>
      </c>
      <c r="AN2122" t="inlineStr">
        <is>
          <t>WARREN</t>
        </is>
      </c>
      <c r="AO2122" t="inlineStr">
        <is>
          <t>WARREN CITY 4F</t>
        </is>
      </c>
      <c r="AP2122" t="inlineStr">
        <is>
          <t>78-P-ADN</t>
        </is>
      </c>
      <c r="AQ2122" t="n">
        <v>9</v>
      </c>
      <c r="AR2122" t="n">
        <v>64</v>
      </c>
      <c r="AS2122" t="n">
        <v>32</v>
      </c>
      <c r="AU2122">
        <f>COUNTA($BA$2122:$EH$2122)</f>
        <v/>
      </c>
      <c r="AV2122">
        <f>COUNTIF($BA$2122:$EH$2122,"D")</f>
        <v/>
      </c>
      <c r="AW2122">
        <f>COUNTIF($BA$2122:$EH$2122,"R")</f>
        <v/>
      </c>
      <c r="AX2122">
        <f>IF(BN2122="D",1,0)+IF(BO2122="D",1,0)+IF(BT2122="D",1,0)+IF(BU2122="D",1,0)+IF(BW2122="D",1,0)+IF(CC2122="D",1,0)+IF(CD2122="D",1,0)+IF(CE2122="D",1,0)+IF(CF2122="D",1,0)+IF(CL2122="D",1,0)+IF(CM2122="D",1,0)+IF(CQ2122="D",1,0)+IF(CR2122="D",1,0)+IF(CS2122="D",1,0)+IF(CW2122="D",1,0)+IF(CX2122="D",1,0)+IF(DD2122="D",1,0)+IF(DE2122="D",1,0)+IF(DJ2122="D",1,0)+IF(DK2122="D",1,0)+IF(DO2122="D",1,0)+IF(DP2122="D",1,0)+IF(DQ2122="D",1,0)+IF(DW2122="D",1,0)+IF(DZ2122="D",1,0)+IF(EH2122="D",1,0)</f>
        <v/>
      </c>
      <c r="AY2122">
        <f>IF(DJ2122&lt;&gt;"",1,0)+IF(DK2122&lt;&gt;"",1,0)+IF(DM2122&lt;&gt;"",1,0)+IF(DO2122&lt;&gt;"",1,0)+IF(DP2122&lt;&gt;"",1,0)+IF(DQ2122&lt;&gt;"",1,0)+IF(DS2122&lt;&gt;"",1,0)+IF(DT2122&lt;&gt;"",1,0)+IF(DV2122&lt;&gt;"",1,0)+IF(DW2122&lt;&gt;"",1,0)+IF(DX2122&lt;&gt;"",1,0)+IF(DY2122&lt;&gt;"",1,0)+IF(DZ2122&lt;&gt;"",1,0)+IF(EB2122&lt;&gt;"",1,0)+IF(EC2122&lt;&gt;"",1,0)+IF(ED2122&lt;&gt;"",1,0)+IF(EG2122&lt;&gt;"",1,0)+IF(EH2122&lt;&gt;"",1,0)</f>
        <v/>
      </c>
      <c r="AZ2122">
        <f>IF(EH2122&lt;&gt;"",1,0)</f>
        <v/>
      </c>
      <c r="BB2122" t="inlineStr">
        <is>
          <t>WARREN-WARD 4</t>
        </is>
      </c>
    </row>
    <row r="2123">
      <c r="A2123" t="inlineStr">
        <is>
          <t>OH0015700884</t>
        </is>
      </c>
      <c r="B2123" t="n">
        <v>78</v>
      </c>
      <c r="C2123" t="n">
        <v>159536</v>
      </c>
      <c r="D2123" t="inlineStr">
        <is>
          <t>STEVENSON</t>
        </is>
      </c>
      <c r="E2123" t="inlineStr">
        <is>
          <t>YVONNE</t>
        </is>
      </c>
      <c r="F2123">
        <f>CONCATENATE(D2123," ",LEFT(H2123,4),"T=",AU2123,"D=",AV2123,"R=",AW2123,"M=",AX2123,"L=",AY2123,"B=",AZ2123)</f>
        <v/>
      </c>
      <c r="G2123" t="inlineStr">
        <is>
          <t>J</t>
        </is>
      </c>
      <c r="I2123" t="inlineStr">
        <is>
          <t>1955-09-25</t>
        </is>
      </c>
      <c r="J2123" t="inlineStr">
        <is>
          <t>2018-11-06</t>
        </is>
      </c>
      <c r="K2123" t="inlineStr">
        <is>
          <t>ACTIVE</t>
        </is>
      </c>
      <c r="L2123" t="inlineStr">
        <is>
          <t>D</t>
        </is>
      </c>
      <c r="M2123" t="inlineStr">
        <is>
          <t>2219 DRAPER AVE SE</t>
        </is>
      </c>
      <c r="N2123">
        <f>RIGHT(M2123,LEN(M2123)-FIND(" ",M2123))</f>
        <v/>
      </c>
      <c r="P2123" t="inlineStr">
        <is>
          <t>WARREN</t>
        </is>
      </c>
      <c r="Q2123" t="inlineStr">
        <is>
          <t>OH</t>
        </is>
      </c>
      <c r="R2123" t="n">
        <v>44484</v>
      </c>
      <c r="AD2123" t="inlineStr">
        <is>
          <t>TRUMBULL CAREER &amp; TECH CENTER</t>
        </is>
      </c>
      <c r="AE2123" t="inlineStr">
        <is>
          <t>WARREN CITY</t>
        </is>
      </c>
      <c r="AF2123" t="inlineStr">
        <is>
          <t>WARREN CITY SD</t>
        </is>
      </c>
      <c r="AH2123" t="n">
        <v>14</v>
      </c>
      <c r="AI2123" t="n">
        <v>11</v>
      </c>
      <c r="AN2123" t="inlineStr">
        <is>
          <t>WARREN</t>
        </is>
      </c>
      <c r="AO2123" t="inlineStr">
        <is>
          <t>WARREN CITY 4F</t>
        </is>
      </c>
      <c r="AP2123" t="inlineStr">
        <is>
          <t>78-P-ADN</t>
        </is>
      </c>
      <c r="AQ2123" t="n">
        <v>9</v>
      </c>
      <c r="AR2123" t="n">
        <v>64</v>
      </c>
      <c r="AS2123" t="n">
        <v>32</v>
      </c>
      <c r="AU2123">
        <f>COUNTA($BA$2123:$EH$2123)</f>
        <v/>
      </c>
      <c r="AV2123">
        <f>COUNTIF($BA$2123:$EH$2123,"D")</f>
        <v/>
      </c>
      <c r="AW2123">
        <f>COUNTIF($BA$2123:$EH$2123,"R")</f>
        <v/>
      </c>
      <c r="AX2123">
        <f>IF(BN2123="D",1,0)+IF(BO2123="D",1,0)+IF(BT2123="D",1,0)+IF(BU2123="D",1,0)+IF(BW2123="D",1,0)+IF(CC2123="D",1,0)+IF(CD2123="D",1,0)+IF(CE2123="D",1,0)+IF(CF2123="D",1,0)+IF(CL2123="D",1,0)+IF(CM2123="D",1,0)+IF(CQ2123="D",1,0)+IF(CR2123="D",1,0)+IF(CS2123="D",1,0)+IF(CW2123="D",1,0)+IF(CX2123="D",1,0)+IF(DD2123="D",1,0)+IF(DE2123="D",1,0)+IF(DJ2123="D",1,0)+IF(DK2123="D",1,0)+IF(DO2123="D",1,0)+IF(DP2123="D",1,0)+IF(DQ2123="D",1,0)+IF(DW2123="D",1,0)+IF(DZ2123="D",1,0)+IF(EH2123="D",1,0)</f>
        <v/>
      </c>
      <c r="AY2123">
        <f>IF(DJ2123&lt;&gt;"",1,0)+IF(DK2123&lt;&gt;"",1,0)+IF(DM2123&lt;&gt;"",1,0)+IF(DO2123&lt;&gt;"",1,0)+IF(DP2123&lt;&gt;"",1,0)+IF(DQ2123&lt;&gt;"",1,0)+IF(DS2123&lt;&gt;"",1,0)+IF(DT2123&lt;&gt;"",1,0)+IF(DV2123&lt;&gt;"",1,0)+IF(DW2123&lt;&gt;"",1,0)+IF(DX2123&lt;&gt;"",1,0)+IF(DY2123&lt;&gt;"",1,0)+IF(DZ2123&lt;&gt;"",1,0)+IF(EB2123&lt;&gt;"",1,0)+IF(EC2123&lt;&gt;"",1,0)+IF(ED2123&lt;&gt;"",1,0)+IF(EG2123&lt;&gt;"",1,0)+IF(EH2123&lt;&gt;"",1,0)</f>
        <v/>
      </c>
      <c r="AZ2123">
        <f>IF(EH2123&lt;&gt;"",1,0)</f>
        <v/>
      </c>
      <c r="BB2123" t="inlineStr">
        <is>
          <t>WARREN-WARD 4</t>
        </is>
      </c>
      <c r="BC2123" t="inlineStr">
        <is>
          <t>X</t>
        </is>
      </c>
      <c r="BD2123" t="inlineStr">
        <is>
          <t>X</t>
        </is>
      </c>
      <c r="BF2123" t="inlineStr">
        <is>
          <t>X</t>
        </is>
      </c>
      <c r="BI2123" t="inlineStr">
        <is>
          <t>X</t>
        </is>
      </c>
      <c r="BJ2123" t="inlineStr">
        <is>
          <t>X</t>
        </is>
      </c>
      <c r="BL2123" t="inlineStr">
        <is>
          <t>X</t>
        </is>
      </c>
      <c r="BR2123" t="inlineStr">
        <is>
          <t>X</t>
        </is>
      </c>
      <c r="BS2123" t="inlineStr">
        <is>
          <t>X</t>
        </is>
      </c>
      <c r="BV2123" t="inlineStr">
        <is>
          <t>X</t>
        </is>
      </c>
      <c r="BY2123" t="inlineStr">
        <is>
          <t>D</t>
        </is>
      </c>
      <c r="CA2123" t="inlineStr">
        <is>
          <t>X</t>
        </is>
      </c>
      <c r="CG2123" t="inlineStr">
        <is>
          <t>X</t>
        </is>
      </c>
      <c r="CK2123" t="inlineStr">
        <is>
          <t>X</t>
        </is>
      </c>
      <c r="CN2123" t="inlineStr">
        <is>
          <t>X</t>
        </is>
      </c>
      <c r="CP2123" t="inlineStr">
        <is>
          <t>X</t>
        </is>
      </c>
      <c r="CV2123" t="inlineStr">
        <is>
          <t>X</t>
        </is>
      </c>
      <c r="CW2123" t="inlineStr">
        <is>
          <t>D</t>
        </is>
      </c>
      <c r="CY2123" t="inlineStr">
        <is>
          <t>X</t>
        </is>
      </c>
      <c r="CZ2123" t="inlineStr">
        <is>
          <t>D</t>
        </is>
      </c>
      <c r="DC2123" t="inlineStr">
        <is>
          <t>X</t>
        </is>
      </c>
      <c r="DI2123" t="inlineStr">
        <is>
          <t>X</t>
        </is>
      </c>
      <c r="DL2123" t="inlineStr">
        <is>
          <t>X</t>
        </is>
      </c>
      <c r="DN2123" t="inlineStr">
        <is>
          <t>X</t>
        </is>
      </c>
      <c r="DR2123" t="inlineStr">
        <is>
          <t>X</t>
        </is>
      </c>
      <c r="DS2123" t="inlineStr">
        <is>
          <t>D</t>
        </is>
      </c>
      <c r="DU2123" t="inlineStr">
        <is>
          <t>X</t>
        </is>
      </c>
      <c r="DX2123" t="inlineStr">
        <is>
          <t>X</t>
        </is>
      </c>
      <c r="EF2123" t="inlineStr">
        <is>
          <t>X</t>
        </is>
      </c>
      <c r="EH2123" t="inlineStr">
        <is>
          <t>D</t>
        </is>
      </c>
    </row>
    <row r="2124">
      <c r="A2124" t="inlineStr">
        <is>
          <t>OH0022192287</t>
        </is>
      </c>
      <c r="B2124" t="n">
        <v>78</v>
      </c>
      <c r="C2124" t="n">
        <v>392247</v>
      </c>
      <c r="D2124" t="inlineStr">
        <is>
          <t>BLOUNT</t>
        </is>
      </c>
      <c r="E2124" t="inlineStr">
        <is>
          <t>JAMES</t>
        </is>
      </c>
      <c r="F2124">
        <f>CONCATENATE(D2124," ",LEFT(H2124,4),"T=",AU2124,"D=",AV2124,"R=",AW2124,"M=",AX2124,"L=",AY2124,"B=",AZ2124)</f>
        <v/>
      </c>
      <c r="G2124" t="inlineStr">
        <is>
          <t>N</t>
        </is>
      </c>
      <c r="I2124" t="inlineStr">
        <is>
          <t>1962-08-27</t>
        </is>
      </c>
      <c r="J2124" t="inlineStr">
        <is>
          <t>2018-03-22</t>
        </is>
      </c>
      <c r="K2124" t="inlineStr">
        <is>
          <t>CONFIRMATION</t>
        </is>
      </c>
      <c r="M2124" t="inlineStr">
        <is>
          <t>1201 NILES RD SE</t>
        </is>
      </c>
      <c r="N2124">
        <f>RIGHT(M2124,LEN(M2124)-FIND(" ",M2124))</f>
        <v/>
      </c>
      <c r="P2124" t="inlineStr">
        <is>
          <t>WARREN</t>
        </is>
      </c>
      <c r="Q2124" t="inlineStr">
        <is>
          <t>OH</t>
        </is>
      </c>
      <c r="R2124" t="n">
        <v>44484</v>
      </c>
      <c r="AD2124" t="inlineStr">
        <is>
          <t>TRUMBULL CAREER &amp; TECH CENTER</t>
        </is>
      </c>
      <c r="AE2124" t="inlineStr">
        <is>
          <t>WARREN CITY</t>
        </is>
      </c>
      <c r="AF2124" t="inlineStr">
        <is>
          <t>WARREN CITY SD</t>
        </is>
      </c>
      <c r="AH2124" t="n">
        <v>14</v>
      </c>
      <c r="AI2124" t="n">
        <v>11</v>
      </c>
      <c r="AN2124" t="inlineStr">
        <is>
          <t>WARREN</t>
        </is>
      </c>
      <c r="AO2124" t="inlineStr">
        <is>
          <t>WARREN CITY 4F</t>
        </is>
      </c>
      <c r="AP2124" t="inlineStr">
        <is>
          <t>78-P-ADN</t>
        </is>
      </c>
      <c r="AQ2124" t="n">
        <v>9</v>
      </c>
      <c r="AR2124" t="n">
        <v>64</v>
      </c>
      <c r="AS2124" t="n">
        <v>32</v>
      </c>
      <c r="AU2124">
        <f>COUNTA($BA$2124:$EH$2124)</f>
        <v/>
      </c>
      <c r="AV2124">
        <f>COUNTIF($BA$2124:$EH$2124,"D")</f>
        <v/>
      </c>
      <c r="AW2124">
        <f>COUNTIF($BA$2124:$EH$2124,"R")</f>
        <v/>
      </c>
      <c r="AX2124">
        <f>IF(BN2124="D",1,0)+IF(BO2124="D",1,0)+IF(BT2124="D",1,0)+IF(BU2124="D",1,0)+IF(BW2124="D",1,0)+IF(CC2124="D",1,0)+IF(CD2124="D",1,0)+IF(CE2124="D",1,0)+IF(CF2124="D",1,0)+IF(CL2124="D",1,0)+IF(CM2124="D",1,0)+IF(CQ2124="D",1,0)+IF(CR2124="D",1,0)+IF(CS2124="D",1,0)+IF(CW2124="D",1,0)+IF(CX2124="D",1,0)+IF(DD2124="D",1,0)+IF(DE2124="D",1,0)+IF(DJ2124="D",1,0)+IF(DK2124="D",1,0)+IF(DO2124="D",1,0)+IF(DP2124="D",1,0)+IF(DQ2124="D",1,0)+IF(DW2124="D",1,0)+IF(DZ2124="D",1,0)+IF(EH2124="D",1,0)</f>
        <v/>
      </c>
      <c r="AY2124">
        <f>IF(DJ2124&lt;&gt;"",1,0)+IF(DK2124&lt;&gt;"",1,0)+IF(DM2124&lt;&gt;"",1,0)+IF(DO2124&lt;&gt;"",1,0)+IF(DP2124&lt;&gt;"",1,0)+IF(DQ2124&lt;&gt;"",1,0)+IF(DS2124&lt;&gt;"",1,0)+IF(DT2124&lt;&gt;"",1,0)+IF(DV2124&lt;&gt;"",1,0)+IF(DW2124&lt;&gt;"",1,0)+IF(DX2124&lt;&gt;"",1,0)+IF(DY2124&lt;&gt;"",1,0)+IF(DZ2124&lt;&gt;"",1,0)+IF(EB2124&lt;&gt;"",1,0)+IF(EC2124&lt;&gt;"",1,0)+IF(ED2124&lt;&gt;"",1,0)+IF(EG2124&lt;&gt;"",1,0)+IF(EH2124&lt;&gt;"",1,0)</f>
        <v/>
      </c>
      <c r="AZ2124">
        <f>IF(EH2124&lt;&gt;"",1,0)</f>
        <v/>
      </c>
      <c r="BB2124" t="inlineStr">
        <is>
          <t>WARREN-WARD 4</t>
        </is>
      </c>
      <c r="CP2124" t="inlineStr">
        <is>
          <t>X</t>
        </is>
      </c>
    </row>
    <row r="2125">
      <c r="A2125" t="inlineStr">
        <is>
          <t>OH0027497954</t>
        </is>
      </c>
      <c r="B2125" t="n">
        <v>78</v>
      </c>
      <c r="C2125" t="n">
        <v>487146</v>
      </c>
      <c r="D2125" t="inlineStr">
        <is>
          <t>SHIPP</t>
        </is>
      </c>
      <c r="E2125" t="inlineStr">
        <is>
          <t>MERCEDES</t>
        </is>
      </c>
      <c r="F2125">
        <f>CONCATENATE(D2125," ",LEFT(H2125,4),"T=",AU2125,"D=",AV2125,"R=",AW2125,"M=",AX2125,"L=",AY2125,"B=",AZ2125)</f>
        <v/>
      </c>
      <c r="G2125" t="inlineStr">
        <is>
          <t>D</t>
        </is>
      </c>
      <c r="I2125" t="inlineStr">
        <is>
          <t>1995-02-18</t>
        </is>
      </c>
      <c r="J2125" t="inlineStr">
        <is>
          <t>2025-04-23</t>
        </is>
      </c>
      <c r="K2125" t="inlineStr">
        <is>
          <t>ACTIVE</t>
        </is>
      </c>
      <c r="M2125" t="inlineStr">
        <is>
          <t>1551 WOODBINE AVE SE</t>
        </is>
      </c>
      <c r="N2125">
        <f>RIGHT(M2125,LEN(M2125)-FIND(" ",M2125))</f>
        <v/>
      </c>
      <c r="P2125" t="inlineStr">
        <is>
          <t>WARREN</t>
        </is>
      </c>
      <c r="Q2125" t="inlineStr">
        <is>
          <t>OH</t>
        </is>
      </c>
      <c r="R2125" t="n">
        <v>44484</v>
      </c>
      <c r="AD2125" t="inlineStr">
        <is>
          <t>TRUMBULL CAREER &amp; TECH CENTER</t>
        </is>
      </c>
      <c r="AE2125" t="inlineStr">
        <is>
          <t>WARREN CITY</t>
        </is>
      </c>
      <c r="AF2125" t="inlineStr">
        <is>
          <t>WARREN CITY SD</t>
        </is>
      </c>
      <c r="AH2125" t="n">
        <v>14</v>
      </c>
      <c r="AI2125" t="n">
        <v>11</v>
      </c>
      <c r="AN2125" t="inlineStr">
        <is>
          <t>WARREN</t>
        </is>
      </c>
      <c r="AO2125" t="inlineStr">
        <is>
          <t>WARREN CITY 4F</t>
        </is>
      </c>
      <c r="AP2125" t="inlineStr">
        <is>
          <t>78-P-ADN</t>
        </is>
      </c>
      <c r="AQ2125" t="n">
        <v>9</v>
      </c>
      <c r="AR2125" t="n">
        <v>64</v>
      </c>
      <c r="AS2125" t="n">
        <v>32</v>
      </c>
      <c r="AU2125">
        <f>COUNTA($BA$2125:$EH$2125)</f>
        <v/>
      </c>
      <c r="AV2125">
        <f>COUNTIF($BA$2125:$EH$2125,"D")</f>
        <v/>
      </c>
      <c r="AW2125">
        <f>COUNTIF($BA$2125:$EH$2125,"R")</f>
        <v/>
      </c>
      <c r="AX2125">
        <f>IF(BN2125="D",1,0)+IF(BO2125="D",1,0)+IF(BT2125="D",1,0)+IF(BU2125="D",1,0)+IF(BW2125="D",1,0)+IF(CC2125="D",1,0)+IF(CD2125="D",1,0)+IF(CE2125="D",1,0)+IF(CF2125="D",1,0)+IF(CL2125="D",1,0)+IF(CM2125="D",1,0)+IF(CQ2125="D",1,0)+IF(CR2125="D",1,0)+IF(CS2125="D",1,0)+IF(CW2125="D",1,0)+IF(CX2125="D",1,0)+IF(DD2125="D",1,0)+IF(DE2125="D",1,0)+IF(DJ2125="D",1,0)+IF(DK2125="D",1,0)+IF(DO2125="D",1,0)+IF(DP2125="D",1,0)+IF(DQ2125="D",1,0)+IF(DW2125="D",1,0)+IF(DZ2125="D",1,0)+IF(EH2125="D",1,0)</f>
        <v/>
      </c>
      <c r="AY2125">
        <f>IF(DJ2125&lt;&gt;"",1,0)+IF(DK2125&lt;&gt;"",1,0)+IF(DM2125&lt;&gt;"",1,0)+IF(DO2125&lt;&gt;"",1,0)+IF(DP2125&lt;&gt;"",1,0)+IF(DQ2125&lt;&gt;"",1,0)+IF(DS2125&lt;&gt;"",1,0)+IF(DT2125&lt;&gt;"",1,0)+IF(DV2125&lt;&gt;"",1,0)+IF(DW2125&lt;&gt;"",1,0)+IF(DX2125&lt;&gt;"",1,0)+IF(DY2125&lt;&gt;"",1,0)+IF(DZ2125&lt;&gt;"",1,0)+IF(EB2125&lt;&gt;"",1,0)+IF(EC2125&lt;&gt;"",1,0)+IF(ED2125&lt;&gt;"",1,0)+IF(EG2125&lt;&gt;"",1,0)+IF(EH2125&lt;&gt;"",1,0)</f>
        <v/>
      </c>
      <c r="AZ2125">
        <f>IF(EH2125&lt;&gt;"",1,0)</f>
        <v/>
      </c>
      <c r="BB2125" t="inlineStr">
        <is>
          <t>WARREN-WARD 4</t>
        </is>
      </c>
    </row>
    <row r="2126">
      <c r="A2126" t="inlineStr">
        <is>
          <t>OH0026156900</t>
        </is>
      </c>
      <c r="B2126" t="n">
        <v>78</v>
      </c>
      <c r="C2126" t="n">
        <v>457321</v>
      </c>
      <c r="D2126" t="inlineStr">
        <is>
          <t>ATKINS</t>
        </is>
      </c>
      <c r="E2126" t="inlineStr">
        <is>
          <t>BRIAN</t>
        </is>
      </c>
      <c r="F2126">
        <f>CONCATENATE(D2126," ",LEFT(H2126,4),"T=",AU2126,"D=",AV2126,"R=",AW2126,"M=",AX2126,"L=",AY2126,"B=",AZ2126)</f>
        <v/>
      </c>
      <c r="G2126" t="inlineStr">
        <is>
          <t>D</t>
        </is>
      </c>
      <c r="H2126" t="inlineStr">
        <is>
          <t>JR</t>
        </is>
      </c>
      <c r="I2126" t="inlineStr">
        <is>
          <t>1995-09-06</t>
        </is>
      </c>
      <c r="J2126" t="inlineStr">
        <is>
          <t>2021-03-14</t>
        </is>
      </c>
      <c r="K2126" t="inlineStr">
        <is>
          <t>CONFIRMATION</t>
        </is>
      </c>
      <c r="M2126" t="inlineStr">
        <is>
          <t>959 EAST AVE SE</t>
        </is>
      </c>
      <c r="N2126">
        <f>RIGHT(M2126,LEN(M2126)-FIND(" ",M2126))</f>
        <v/>
      </c>
      <c r="P2126" t="inlineStr">
        <is>
          <t>WARREN</t>
        </is>
      </c>
      <c r="Q2126" t="inlineStr">
        <is>
          <t>OH</t>
        </is>
      </c>
      <c r="R2126" t="n">
        <v>44484</v>
      </c>
      <c r="AD2126" t="inlineStr">
        <is>
          <t>TRUMBULL CAREER &amp; TECH CENTER</t>
        </is>
      </c>
      <c r="AE2126" t="inlineStr">
        <is>
          <t>WARREN CITY</t>
        </is>
      </c>
      <c r="AF2126" t="inlineStr">
        <is>
          <t>WARREN CITY SD</t>
        </is>
      </c>
      <c r="AH2126" t="n">
        <v>14</v>
      </c>
      <c r="AI2126" t="n">
        <v>11</v>
      </c>
      <c r="AN2126" t="inlineStr">
        <is>
          <t>WARREN</t>
        </is>
      </c>
      <c r="AO2126" t="inlineStr">
        <is>
          <t>WARREN CITY 4F</t>
        </is>
      </c>
      <c r="AP2126" t="inlineStr">
        <is>
          <t>78-P-ADN</t>
        </is>
      </c>
      <c r="AQ2126" t="n">
        <v>9</v>
      </c>
      <c r="AR2126" t="n">
        <v>64</v>
      </c>
      <c r="AS2126" t="n">
        <v>32</v>
      </c>
      <c r="AU2126">
        <f>COUNTA($BA$2126:$EH$2126)</f>
        <v/>
      </c>
      <c r="AV2126">
        <f>COUNTIF($BA$2126:$EH$2126,"D")</f>
        <v/>
      </c>
      <c r="AW2126">
        <f>COUNTIF($BA$2126:$EH$2126,"R")</f>
        <v/>
      </c>
      <c r="AX2126">
        <f>IF(BN2126="D",1,0)+IF(BO2126="D",1,0)+IF(BT2126="D",1,0)+IF(BU2126="D",1,0)+IF(BW2126="D",1,0)+IF(CC2126="D",1,0)+IF(CD2126="D",1,0)+IF(CE2126="D",1,0)+IF(CF2126="D",1,0)+IF(CL2126="D",1,0)+IF(CM2126="D",1,0)+IF(CQ2126="D",1,0)+IF(CR2126="D",1,0)+IF(CS2126="D",1,0)+IF(CW2126="D",1,0)+IF(CX2126="D",1,0)+IF(DD2126="D",1,0)+IF(DE2126="D",1,0)+IF(DJ2126="D",1,0)+IF(DK2126="D",1,0)+IF(DO2126="D",1,0)+IF(DP2126="D",1,0)+IF(DQ2126="D",1,0)+IF(DW2126="D",1,0)+IF(DZ2126="D",1,0)+IF(EH2126="D",1,0)</f>
        <v/>
      </c>
      <c r="AY2126">
        <f>IF(DJ2126&lt;&gt;"",1,0)+IF(DK2126&lt;&gt;"",1,0)+IF(DM2126&lt;&gt;"",1,0)+IF(DO2126&lt;&gt;"",1,0)+IF(DP2126&lt;&gt;"",1,0)+IF(DQ2126&lt;&gt;"",1,0)+IF(DS2126&lt;&gt;"",1,0)+IF(DT2126&lt;&gt;"",1,0)+IF(DV2126&lt;&gt;"",1,0)+IF(DW2126&lt;&gt;"",1,0)+IF(DX2126&lt;&gt;"",1,0)+IF(DY2126&lt;&gt;"",1,0)+IF(DZ2126&lt;&gt;"",1,0)+IF(EB2126&lt;&gt;"",1,0)+IF(EC2126&lt;&gt;"",1,0)+IF(ED2126&lt;&gt;"",1,0)+IF(EG2126&lt;&gt;"",1,0)+IF(EH2126&lt;&gt;"",1,0)</f>
        <v/>
      </c>
      <c r="AZ2126">
        <f>IF(EH2126&lt;&gt;"",1,0)</f>
        <v/>
      </c>
      <c r="BB2126" t="inlineStr">
        <is>
          <t>WARREN-WARD 4</t>
        </is>
      </c>
    </row>
    <row r="2127">
      <c r="A2127" t="inlineStr">
        <is>
          <t>OH0021361266</t>
        </is>
      </c>
      <c r="B2127" t="n">
        <v>78</v>
      </c>
      <c r="C2127" t="n">
        <v>379832</v>
      </c>
      <c r="D2127" t="inlineStr">
        <is>
          <t>JACKSON</t>
        </is>
      </c>
      <c r="E2127" t="inlineStr">
        <is>
          <t>XAVIER</t>
        </is>
      </c>
      <c r="F2127">
        <f>CONCATENATE(D2127," ",LEFT(H2127,4),"T=",AU2127,"D=",AV2127,"R=",AW2127,"M=",AX2127,"L=",AY2127,"B=",AZ2127)</f>
        <v/>
      </c>
      <c r="G2127" t="inlineStr">
        <is>
          <t>DARNELL</t>
        </is>
      </c>
      <c r="I2127" t="inlineStr">
        <is>
          <t>1991-06-11</t>
        </is>
      </c>
      <c r="J2127" t="inlineStr">
        <is>
          <t>2024-08-08</t>
        </is>
      </c>
      <c r="K2127" t="inlineStr">
        <is>
          <t>ACTIVE</t>
        </is>
      </c>
      <c r="M2127" t="inlineStr">
        <is>
          <t>1080 KENILWORTH AVE SE</t>
        </is>
      </c>
      <c r="N2127">
        <f>RIGHT(M2127,LEN(M2127)-FIND(" ",M2127))</f>
        <v/>
      </c>
      <c r="P2127" t="inlineStr">
        <is>
          <t>WARREN</t>
        </is>
      </c>
      <c r="Q2127" t="inlineStr">
        <is>
          <t>OH</t>
        </is>
      </c>
      <c r="R2127" t="n">
        <v>44484</v>
      </c>
      <c r="AD2127" t="inlineStr">
        <is>
          <t>TRUMBULL CAREER &amp; TECH CENTER</t>
        </is>
      </c>
      <c r="AE2127" t="inlineStr">
        <is>
          <t>WARREN CITY</t>
        </is>
      </c>
      <c r="AF2127" t="inlineStr">
        <is>
          <t>WARREN CITY SD</t>
        </is>
      </c>
      <c r="AH2127" t="n">
        <v>14</v>
      </c>
      <c r="AI2127" t="n">
        <v>11</v>
      </c>
      <c r="AN2127" t="inlineStr">
        <is>
          <t>WARREN</t>
        </is>
      </c>
      <c r="AO2127" t="inlineStr">
        <is>
          <t>WARREN CITY 4F</t>
        </is>
      </c>
      <c r="AP2127" t="inlineStr">
        <is>
          <t>78-P-ADN</t>
        </is>
      </c>
      <c r="AQ2127" t="n">
        <v>9</v>
      </c>
      <c r="AR2127" t="n">
        <v>64</v>
      </c>
      <c r="AS2127" t="n">
        <v>32</v>
      </c>
      <c r="AU2127">
        <f>COUNTA($BA$2127:$EH$2127)</f>
        <v/>
      </c>
      <c r="AV2127">
        <f>COUNTIF($BA$2127:$EH$2127,"D")</f>
        <v/>
      </c>
      <c r="AW2127">
        <f>COUNTIF($BA$2127:$EH$2127,"R")</f>
        <v/>
      </c>
      <c r="AX2127">
        <f>IF(BN2127="D",1,0)+IF(BO2127="D",1,0)+IF(BT2127="D",1,0)+IF(BU2127="D",1,0)+IF(BW2127="D",1,0)+IF(CC2127="D",1,0)+IF(CD2127="D",1,0)+IF(CE2127="D",1,0)+IF(CF2127="D",1,0)+IF(CL2127="D",1,0)+IF(CM2127="D",1,0)+IF(CQ2127="D",1,0)+IF(CR2127="D",1,0)+IF(CS2127="D",1,0)+IF(CW2127="D",1,0)+IF(CX2127="D",1,0)+IF(DD2127="D",1,0)+IF(DE2127="D",1,0)+IF(DJ2127="D",1,0)+IF(DK2127="D",1,0)+IF(DO2127="D",1,0)+IF(DP2127="D",1,0)+IF(DQ2127="D",1,0)+IF(DW2127="D",1,0)+IF(DZ2127="D",1,0)+IF(EH2127="D",1,0)</f>
        <v/>
      </c>
      <c r="AY2127">
        <f>IF(DJ2127&lt;&gt;"",1,0)+IF(DK2127&lt;&gt;"",1,0)+IF(DM2127&lt;&gt;"",1,0)+IF(DO2127&lt;&gt;"",1,0)+IF(DP2127&lt;&gt;"",1,0)+IF(DQ2127&lt;&gt;"",1,0)+IF(DS2127&lt;&gt;"",1,0)+IF(DT2127&lt;&gt;"",1,0)+IF(DV2127&lt;&gt;"",1,0)+IF(DW2127&lt;&gt;"",1,0)+IF(DX2127&lt;&gt;"",1,0)+IF(DY2127&lt;&gt;"",1,0)+IF(DZ2127&lt;&gt;"",1,0)+IF(EB2127&lt;&gt;"",1,0)+IF(EC2127&lt;&gt;"",1,0)+IF(ED2127&lt;&gt;"",1,0)+IF(EG2127&lt;&gt;"",1,0)+IF(EH2127&lt;&gt;"",1,0)</f>
        <v/>
      </c>
      <c r="AZ2127">
        <f>IF(EH2127&lt;&gt;"",1,0)</f>
        <v/>
      </c>
      <c r="BB2127" t="inlineStr">
        <is>
          <t>WARREN-WARD 4</t>
        </is>
      </c>
      <c r="CL2127" t="inlineStr">
        <is>
          <t>D</t>
        </is>
      </c>
      <c r="CP2127" t="inlineStr">
        <is>
          <t>X</t>
        </is>
      </c>
      <c r="DC2127" t="inlineStr">
        <is>
          <t>X</t>
        </is>
      </c>
      <c r="DI2127" t="inlineStr">
        <is>
          <t>X</t>
        </is>
      </c>
      <c r="DN2127" t="inlineStr">
        <is>
          <t>X</t>
        </is>
      </c>
    </row>
    <row r="2128">
      <c r="A2128" t="inlineStr">
        <is>
          <t>OH0019090178</t>
        </is>
      </c>
      <c r="B2128" t="n">
        <v>78</v>
      </c>
      <c r="C2128" t="n">
        <v>349091</v>
      </c>
      <c r="D2128" t="inlineStr">
        <is>
          <t>JORDEN</t>
        </is>
      </c>
      <c r="E2128" t="inlineStr">
        <is>
          <t>ASHLEY</t>
        </is>
      </c>
      <c r="F2128">
        <f>CONCATENATE(D2128," ",LEFT(H2128,4),"T=",AU2128,"D=",AV2128,"R=",AW2128,"M=",AX2128,"L=",AY2128,"B=",AZ2128)</f>
        <v/>
      </c>
      <c r="G2128" t="inlineStr">
        <is>
          <t>M</t>
        </is>
      </c>
      <c r="I2128" t="inlineStr">
        <is>
          <t>1987-01-24</t>
        </is>
      </c>
      <c r="J2128" t="inlineStr">
        <is>
          <t>2022-03-10</t>
        </is>
      </c>
      <c r="K2128" t="inlineStr">
        <is>
          <t>CONFIRMATION</t>
        </is>
      </c>
      <c r="M2128" t="inlineStr">
        <is>
          <t>1756 BURTON ST SE</t>
        </is>
      </c>
      <c r="N2128">
        <f>RIGHT(M2128,LEN(M2128)-FIND(" ",M2128))</f>
        <v/>
      </c>
      <c r="P2128" t="inlineStr">
        <is>
          <t>WARREN</t>
        </is>
      </c>
      <c r="Q2128" t="inlineStr">
        <is>
          <t>OH</t>
        </is>
      </c>
      <c r="R2128" t="n">
        <v>44484</v>
      </c>
      <c r="AD2128" t="inlineStr">
        <is>
          <t>TRUMBULL CAREER &amp; TECH CENTER</t>
        </is>
      </c>
      <c r="AE2128" t="inlineStr">
        <is>
          <t>WARREN CITY</t>
        </is>
      </c>
      <c r="AF2128" t="inlineStr">
        <is>
          <t>WARREN CITY SD</t>
        </is>
      </c>
      <c r="AH2128" t="n">
        <v>14</v>
      </c>
      <c r="AI2128" t="n">
        <v>11</v>
      </c>
      <c r="AN2128" t="inlineStr">
        <is>
          <t>WARREN</t>
        </is>
      </c>
      <c r="AO2128" t="inlineStr">
        <is>
          <t>WARREN CITY 4F</t>
        </is>
      </c>
      <c r="AP2128" t="inlineStr">
        <is>
          <t>78-P-ADN</t>
        </is>
      </c>
      <c r="AQ2128" t="n">
        <v>9</v>
      </c>
      <c r="AR2128" t="n">
        <v>64</v>
      </c>
      <c r="AS2128" t="n">
        <v>32</v>
      </c>
      <c r="AU2128">
        <f>COUNTA($BA$2128:$EH$2128)</f>
        <v/>
      </c>
      <c r="AV2128">
        <f>COUNTIF($BA$2128:$EH$2128,"D")</f>
        <v/>
      </c>
      <c r="AW2128">
        <f>COUNTIF($BA$2128:$EH$2128,"R")</f>
        <v/>
      </c>
      <c r="AX2128">
        <f>IF(BN2128="D",1,0)+IF(BO2128="D",1,0)+IF(BT2128="D",1,0)+IF(BU2128="D",1,0)+IF(BW2128="D",1,0)+IF(CC2128="D",1,0)+IF(CD2128="D",1,0)+IF(CE2128="D",1,0)+IF(CF2128="D",1,0)+IF(CL2128="D",1,0)+IF(CM2128="D",1,0)+IF(CQ2128="D",1,0)+IF(CR2128="D",1,0)+IF(CS2128="D",1,0)+IF(CW2128="D",1,0)+IF(CX2128="D",1,0)+IF(DD2128="D",1,0)+IF(DE2128="D",1,0)+IF(DJ2128="D",1,0)+IF(DK2128="D",1,0)+IF(DO2128="D",1,0)+IF(DP2128="D",1,0)+IF(DQ2128="D",1,0)+IF(DW2128="D",1,0)+IF(DZ2128="D",1,0)+IF(EH2128="D",1,0)</f>
        <v/>
      </c>
      <c r="AY2128">
        <f>IF(DJ2128&lt;&gt;"",1,0)+IF(DK2128&lt;&gt;"",1,0)+IF(DM2128&lt;&gt;"",1,0)+IF(DO2128&lt;&gt;"",1,0)+IF(DP2128&lt;&gt;"",1,0)+IF(DQ2128&lt;&gt;"",1,0)+IF(DS2128&lt;&gt;"",1,0)+IF(DT2128&lt;&gt;"",1,0)+IF(DV2128&lt;&gt;"",1,0)+IF(DW2128&lt;&gt;"",1,0)+IF(DX2128&lt;&gt;"",1,0)+IF(DY2128&lt;&gt;"",1,0)+IF(DZ2128&lt;&gt;"",1,0)+IF(EB2128&lt;&gt;"",1,0)+IF(EC2128&lt;&gt;"",1,0)+IF(ED2128&lt;&gt;"",1,0)+IF(EG2128&lt;&gt;"",1,0)+IF(EH2128&lt;&gt;"",1,0)</f>
        <v/>
      </c>
      <c r="AZ2128">
        <f>IF(EH2128&lt;&gt;"",1,0)</f>
        <v/>
      </c>
      <c r="BB2128" t="inlineStr">
        <is>
          <t>WARREN-WARD 4</t>
        </is>
      </c>
    </row>
    <row r="2129">
      <c r="A2129" t="inlineStr">
        <is>
          <t>OH0027329814</t>
        </is>
      </c>
      <c r="B2129" t="n">
        <v>78</v>
      </c>
      <c r="C2129" t="n">
        <v>484747</v>
      </c>
      <c r="D2129" t="inlineStr">
        <is>
          <t>STEVEY</t>
        </is>
      </c>
      <c r="E2129" t="inlineStr">
        <is>
          <t>MARY</t>
        </is>
      </c>
      <c r="F2129">
        <f>CONCATENATE(D2129," ",LEFT(H2129,4),"T=",AU2129,"D=",AV2129,"R=",AW2129,"M=",AX2129,"L=",AY2129,"B=",AZ2129)</f>
        <v/>
      </c>
      <c r="G2129" t="inlineStr">
        <is>
          <t>M</t>
        </is>
      </c>
      <c r="I2129" t="inlineStr">
        <is>
          <t>1950-02-20</t>
        </is>
      </c>
      <c r="J2129" t="inlineStr">
        <is>
          <t>2024-04-25</t>
        </is>
      </c>
      <c r="K2129" t="inlineStr">
        <is>
          <t>ACTIVE</t>
        </is>
      </c>
      <c r="M2129" t="inlineStr">
        <is>
          <t>1061 WOODBINE AVE SE</t>
        </is>
      </c>
      <c r="N2129">
        <f>RIGHT(M2129,LEN(M2129)-FIND(" ",M2129))</f>
        <v/>
      </c>
      <c r="P2129" t="inlineStr">
        <is>
          <t>WARREN</t>
        </is>
      </c>
      <c r="Q2129" t="inlineStr">
        <is>
          <t>OH</t>
        </is>
      </c>
      <c r="R2129" t="n">
        <v>44484</v>
      </c>
      <c r="AD2129" t="inlineStr">
        <is>
          <t>TRUMBULL CAREER &amp; TECH CENTER</t>
        </is>
      </c>
      <c r="AE2129" t="inlineStr">
        <is>
          <t>WARREN CITY</t>
        </is>
      </c>
      <c r="AF2129" t="inlineStr">
        <is>
          <t>WARREN CITY SD</t>
        </is>
      </c>
      <c r="AH2129" t="n">
        <v>14</v>
      </c>
      <c r="AI2129" t="n">
        <v>11</v>
      </c>
      <c r="AN2129" t="inlineStr">
        <is>
          <t>WARREN</t>
        </is>
      </c>
      <c r="AO2129" t="inlineStr">
        <is>
          <t>WARREN CITY 4F</t>
        </is>
      </c>
      <c r="AP2129" t="inlineStr">
        <is>
          <t>78-P-ADN</t>
        </is>
      </c>
      <c r="AQ2129" t="n">
        <v>9</v>
      </c>
      <c r="AR2129" t="n">
        <v>64</v>
      </c>
      <c r="AS2129" t="n">
        <v>32</v>
      </c>
      <c r="AU2129">
        <f>COUNTA($BA$2129:$EH$2129)</f>
        <v/>
      </c>
      <c r="AV2129">
        <f>COUNTIF($BA$2129:$EH$2129,"D")</f>
        <v/>
      </c>
      <c r="AW2129">
        <f>COUNTIF($BA$2129:$EH$2129,"R")</f>
        <v/>
      </c>
      <c r="AX2129">
        <f>IF(BN2129="D",1,0)+IF(BO2129="D",1,0)+IF(BT2129="D",1,0)+IF(BU2129="D",1,0)+IF(BW2129="D",1,0)+IF(CC2129="D",1,0)+IF(CD2129="D",1,0)+IF(CE2129="D",1,0)+IF(CF2129="D",1,0)+IF(CL2129="D",1,0)+IF(CM2129="D",1,0)+IF(CQ2129="D",1,0)+IF(CR2129="D",1,0)+IF(CS2129="D",1,0)+IF(CW2129="D",1,0)+IF(CX2129="D",1,0)+IF(DD2129="D",1,0)+IF(DE2129="D",1,0)+IF(DJ2129="D",1,0)+IF(DK2129="D",1,0)+IF(DO2129="D",1,0)+IF(DP2129="D",1,0)+IF(DQ2129="D",1,0)+IF(DW2129="D",1,0)+IF(DZ2129="D",1,0)+IF(EH2129="D",1,0)</f>
        <v/>
      </c>
      <c r="AY2129">
        <f>IF(DJ2129&lt;&gt;"",1,0)+IF(DK2129&lt;&gt;"",1,0)+IF(DM2129&lt;&gt;"",1,0)+IF(DO2129&lt;&gt;"",1,0)+IF(DP2129&lt;&gt;"",1,0)+IF(DQ2129&lt;&gt;"",1,0)+IF(DS2129&lt;&gt;"",1,0)+IF(DT2129&lt;&gt;"",1,0)+IF(DV2129&lt;&gt;"",1,0)+IF(DW2129&lt;&gt;"",1,0)+IF(DX2129&lt;&gt;"",1,0)+IF(DY2129&lt;&gt;"",1,0)+IF(DZ2129&lt;&gt;"",1,0)+IF(EB2129&lt;&gt;"",1,0)+IF(EC2129&lt;&gt;"",1,0)+IF(ED2129&lt;&gt;"",1,0)+IF(EG2129&lt;&gt;"",1,0)+IF(EH2129&lt;&gt;"",1,0)</f>
        <v/>
      </c>
      <c r="AZ2129">
        <f>IF(EH2129&lt;&gt;"",1,0)</f>
        <v/>
      </c>
      <c r="BB2129" t="inlineStr">
        <is>
          <t>WARREN-WARD 4</t>
        </is>
      </c>
    </row>
    <row r="2130">
      <c r="A2130" t="inlineStr">
        <is>
          <t>OH0015728099</t>
        </is>
      </c>
      <c r="B2130" t="n">
        <v>78</v>
      </c>
      <c r="C2130" t="n">
        <v>21411</v>
      </c>
      <c r="D2130" t="inlineStr">
        <is>
          <t>DAVIS</t>
        </is>
      </c>
      <c r="E2130" t="inlineStr">
        <is>
          <t>LUSTEAN</t>
        </is>
      </c>
      <c r="F2130">
        <f>CONCATENATE(D2130," ",LEFT(H2130,4),"T=",AU2130,"D=",AV2130,"R=",AW2130,"M=",AX2130,"L=",AY2130,"B=",AZ2130)</f>
        <v/>
      </c>
      <c r="I2130" t="inlineStr">
        <is>
          <t>1941-09-04</t>
        </is>
      </c>
      <c r="J2130" t="inlineStr">
        <is>
          <t>2011-05-02</t>
        </is>
      </c>
      <c r="K2130" t="inlineStr">
        <is>
          <t>ACTIVE</t>
        </is>
      </c>
      <c r="L2130" t="inlineStr">
        <is>
          <t>D</t>
        </is>
      </c>
      <c r="M2130" t="inlineStr">
        <is>
          <t>1670 NILES RD SE</t>
        </is>
      </c>
      <c r="N2130">
        <f>RIGHT(M2130,LEN(M2130)-FIND(" ",M2130))</f>
        <v/>
      </c>
      <c r="P2130" t="inlineStr">
        <is>
          <t>WARREN</t>
        </is>
      </c>
      <c r="Q2130" t="inlineStr">
        <is>
          <t>OH</t>
        </is>
      </c>
      <c r="R2130" t="n">
        <v>44484</v>
      </c>
      <c r="V2130" t="inlineStr">
        <is>
          <t>PO BOX 2204</t>
        </is>
      </c>
      <c r="X2130" t="inlineStr">
        <is>
          <t>WARREN</t>
        </is>
      </c>
      <c r="Y2130" t="inlineStr">
        <is>
          <t>OH</t>
        </is>
      </c>
      <c r="Z2130" t="n">
        <v>44484</v>
      </c>
      <c r="AD2130" t="inlineStr">
        <is>
          <t>TRUMBULL CAREER &amp; TECH CENTER</t>
        </is>
      </c>
      <c r="AE2130" t="inlineStr">
        <is>
          <t>WARREN CITY</t>
        </is>
      </c>
      <c r="AF2130" t="inlineStr">
        <is>
          <t>WARREN CITY SD</t>
        </is>
      </c>
      <c r="AH2130" t="n">
        <v>14</v>
      </c>
      <c r="AI2130" t="n">
        <v>11</v>
      </c>
      <c r="AN2130" t="inlineStr">
        <is>
          <t>WARREN</t>
        </is>
      </c>
      <c r="AO2130" t="inlineStr">
        <is>
          <t>WARREN CITY 4F</t>
        </is>
      </c>
      <c r="AP2130" t="inlineStr">
        <is>
          <t>78-P-ADN</t>
        </is>
      </c>
      <c r="AQ2130" t="n">
        <v>9</v>
      </c>
      <c r="AR2130" t="n">
        <v>64</v>
      </c>
      <c r="AS2130" t="n">
        <v>32</v>
      </c>
      <c r="AU2130">
        <f>COUNTA($BA$2130:$EH$2130)</f>
        <v/>
      </c>
      <c r="AV2130">
        <f>COUNTIF($BA$2130:$EH$2130,"D")</f>
        <v/>
      </c>
      <c r="AW2130">
        <f>COUNTIF($BA$2130:$EH$2130,"R")</f>
        <v/>
      </c>
      <c r="AX2130">
        <f>IF(BN2130="D",1,0)+IF(BO2130="D",1,0)+IF(BT2130="D",1,0)+IF(BU2130="D",1,0)+IF(BW2130="D",1,0)+IF(CC2130="D",1,0)+IF(CD2130="D",1,0)+IF(CE2130="D",1,0)+IF(CF2130="D",1,0)+IF(CL2130="D",1,0)+IF(CM2130="D",1,0)+IF(CQ2130="D",1,0)+IF(CR2130="D",1,0)+IF(CS2130="D",1,0)+IF(CW2130="D",1,0)+IF(CX2130="D",1,0)+IF(DD2130="D",1,0)+IF(DE2130="D",1,0)+IF(DJ2130="D",1,0)+IF(DK2130="D",1,0)+IF(DO2130="D",1,0)+IF(DP2130="D",1,0)+IF(DQ2130="D",1,0)+IF(DW2130="D",1,0)+IF(DZ2130="D",1,0)+IF(EH2130="D",1,0)</f>
        <v/>
      </c>
      <c r="AY2130">
        <f>IF(DJ2130&lt;&gt;"",1,0)+IF(DK2130&lt;&gt;"",1,0)+IF(DM2130&lt;&gt;"",1,0)+IF(DO2130&lt;&gt;"",1,0)+IF(DP2130&lt;&gt;"",1,0)+IF(DQ2130&lt;&gt;"",1,0)+IF(DS2130&lt;&gt;"",1,0)+IF(DT2130&lt;&gt;"",1,0)+IF(DV2130&lt;&gt;"",1,0)+IF(DW2130&lt;&gt;"",1,0)+IF(DX2130&lt;&gt;"",1,0)+IF(DY2130&lt;&gt;"",1,0)+IF(DZ2130&lt;&gt;"",1,0)+IF(EB2130&lt;&gt;"",1,0)+IF(EC2130&lt;&gt;"",1,0)+IF(ED2130&lt;&gt;"",1,0)+IF(EG2130&lt;&gt;"",1,0)+IF(EH2130&lt;&gt;"",1,0)</f>
        <v/>
      </c>
      <c r="AZ2130">
        <f>IF(EH2130&lt;&gt;"",1,0)</f>
        <v/>
      </c>
      <c r="BB2130" t="inlineStr">
        <is>
          <t>WARREN-WARD 4</t>
        </is>
      </c>
      <c r="BC2130" t="inlineStr">
        <is>
          <t>X</t>
        </is>
      </c>
      <c r="BD2130" t="inlineStr">
        <is>
          <t>X</t>
        </is>
      </c>
      <c r="BF2130" t="inlineStr">
        <is>
          <t>X</t>
        </is>
      </c>
      <c r="BG2130" t="inlineStr">
        <is>
          <t>X</t>
        </is>
      </c>
      <c r="BH2130" t="inlineStr">
        <is>
          <t>X</t>
        </is>
      </c>
      <c r="BI2130" t="inlineStr">
        <is>
          <t>X</t>
        </is>
      </c>
      <c r="BJ2130" t="inlineStr">
        <is>
          <t>X</t>
        </is>
      </c>
      <c r="BK2130" t="inlineStr">
        <is>
          <t>X</t>
        </is>
      </c>
      <c r="BL2130" t="inlineStr">
        <is>
          <t>X</t>
        </is>
      </c>
      <c r="BP2130" t="inlineStr">
        <is>
          <t>X</t>
        </is>
      </c>
      <c r="BS2130" t="inlineStr">
        <is>
          <t>X</t>
        </is>
      </c>
      <c r="BY2130" t="inlineStr">
        <is>
          <t>D</t>
        </is>
      </c>
      <c r="CA2130" t="inlineStr">
        <is>
          <t>X</t>
        </is>
      </c>
      <c r="CG2130" t="inlineStr">
        <is>
          <t>X</t>
        </is>
      </c>
      <c r="CK2130" t="inlineStr">
        <is>
          <t>X</t>
        </is>
      </c>
      <c r="CL2130" t="inlineStr">
        <is>
          <t>D</t>
        </is>
      </c>
      <c r="CN2130" t="inlineStr">
        <is>
          <t>X</t>
        </is>
      </c>
      <c r="CO2130" t="inlineStr">
        <is>
          <t>D</t>
        </is>
      </c>
      <c r="CP2130" t="inlineStr">
        <is>
          <t>X</t>
        </is>
      </c>
      <c r="CT2130" t="inlineStr">
        <is>
          <t>X</t>
        </is>
      </c>
      <c r="CU2130" t="inlineStr">
        <is>
          <t>D</t>
        </is>
      </c>
      <c r="CV2130" t="inlineStr">
        <is>
          <t>X</t>
        </is>
      </c>
      <c r="CY2130" t="inlineStr">
        <is>
          <t>X</t>
        </is>
      </c>
      <c r="CZ2130" t="inlineStr">
        <is>
          <t>D</t>
        </is>
      </c>
      <c r="DC2130" t="inlineStr">
        <is>
          <t>X</t>
        </is>
      </c>
      <c r="DG2130" t="inlineStr">
        <is>
          <t>D</t>
        </is>
      </c>
      <c r="DI2130" t="inlineStr">
        <is>
          <t>X</t>
        </is>
      </c>
      <c r="DJ2130" t="inlineStr">
        <is>
          <t>D</t>
        </is>
      </c>
      <c r="DM2130" t="inlineStr">
        <is>
          <t>D</t>
        </is>
      </c>
      <c r="DN2130" t="inlineStr">
        <is>
          <t>X</t>
        </is>
      </c>
      <c r="DS2130" t="inlineStr">
        <is>
          <t>D</t>
        </is>
      </c>
      <c r="DT2130" t="inlineStr">
        <is>
          <t>D</t>
        </is>
      </c>
      <c r="DU2130" t="inlineStr">
        <is>
          <t>X</t>
        </is>
      </c>
      <c r="DW2130" t="inlineStr">
        <is>
          <t>D</t>
        </is>
      </c>
      <c r="DX2130" t="inlineStr">
        <is>
          <t>X</t>
        </is>
      </c>
      <c r="EA2130" t="inlineStr">
        <is>
          <t>X</t>
        </is>
      </c>
      <c r="ED2130" t="inlineStr">
        <is>
          <t>D</t>
        </is>
      </c>
      <c r="EF2130" t="inlineStr">
        <is>
          <t>X</t>
        </is>
      </c>
    </row>
    <row r="2131">
      <c r="A2131" t="inlineStr">
        <is>
          <t>OH0027347830</t>
        </is>
      </c>
      <c r="B2131" t="n">
        <v>78</v>
      </c>
      <c r="C2131" t="n">
        <v>484974</v>
      </c>
      <c r="D2131" t="inlineStr">
        <is>
          <t>MCCLOSKEY</t>
        </is>
      </c>
      <c r="E2131" t="inlineStr">
        <is>
          <t>JESSICA</t>
        </is>
      </c>
      <c r="F2131">
        <f>CONCATENATE(D2131," ",LEFT(H2131,4),"T=",AU2131,"D=",AV2131,"R=",AW2131,"M=",AX2131,"L=",AY2131,"B=",AZ2131)</f>
        <v/>
      </c>
      <c r="G2131" t="inlineStr">
        <is>
          <t>LEANN</t>
        </is>
      </c>
      <c r="I2131" t="inlineStr">
        <is>
          <t>1993-08-26</t>
        </is>
      </c>
      <c r="J2131" t="inlineStr">
        <is>
          <t>2024-05-17</t>
        </is>
      </c>
      <c r="K2131" t="inlineStr">
        <is>
          <t>ACTIVE</t>
        </is>
      </c>
      <c r="M2131" t="inlineStr">
        <is>
          <t>1208 YOUNGSTOWN RD SE</t>
        </is>
      </c>
      <c r="N2131">
        <f>RIGHT(M2131,LEN(M2131)-FIND(" ",M2131))</f>
        <v/>
      </c>
      <c r="P2131" t="inlineStr">
        <is>
          <t>WARREN</t>
        </is>
      </c>
      <c r="Q2131" t="inlineStr">
        <is>
          <t>OH</t>
        </is>
      </c>
      <c r="R2131" t="n">
        <v>44484</v>
      </c>
      <c r="AD2131" t="inlineStr">
        <is>
          <t>TRUMBULL CAREER &amp; TECH CENTER</t>
        </is>
      </c>
      <c r="AE2131" t="inlineStr">
        <is>
          <t>WARREN CITY</t>
        </is>
      </c>
      <c r="AF2131" t="inlineStr">
        <is>
          <t>WARREN CITY SD</t>
        </is>
      </c>
      <c r="AH2131" t="n">
        <v>14</v>
      </c>
      <c r="AI2131" t="n">
        <v>11</v>
      </c>
      <c r="AN2131" t="inlineStr">
        <is>
          <t>WARREN</t>
        </is>
      </c>
      <c r="AO2131" t="inlineStr">
        <is>
          <t>WARREN CITY 4F</t>
        </is>
      </c>
      <c r="AP2131" t="inlineStr">
        <is>
          <t>78-P-ADN</t>
        </is>
      </c>
      <c r="AQ2131" t="n">
        <v>9</v>
      </c>
      <c r="AR2131" t="n">
        <v>64</v>
      </c>
      <c r="AS2131" t="n">
        <v>32</v>
      </c>
      <c r="AU2131">
        <f>COUNTA($BA$2131:$EH$2131)</f>
        <v/>
      </c>
      <c r="AV2131">
        <f>COUNTIF($BA$2131:$EH$2131,"D")</f>
        <v/>
      </c>
      <c r="AW2131">
        <f>COUNTIF($BA$2131:$EH$2131,"R")</f>
        <v/>
      </c>
      <c r="AX2131">
        <f>IF(BN2131="D",1,0)+IF(BO2131="D",1,0)+IF(BT2131="D",1,0)+IF(BU2131="D",1,0)+IF(BW2131="D",1,0)+IF(CC2131="D",1,0)+IF(CD2131="D",1,0)+IF(CE2131="D",1,0)+IF(CF2131="D",1,0)+IF(CL2131="D",1,0)+IF(CM2131="D",1,0)+IF(CQ2131="D",1,0)+IF(CR2131="D",1,0)+IF(CS2131="D",1,0)+IF(CW2131="D",1,0)+IF(CX2131="D",1,0)+IF(DD2131="D",1,0)+IF(DE2131="D",1,0)+IF(DJ2131="D",1,0)+IF(DK2131="D",1,0)+IF(DO2131="D",1,0)+IF(DP2131="D",1,0)+IF(DQ2131="D",1,0)+IF(DW2131="D",1,0)+IF(DZ2131="D",1,0)+IF(EH2131="D",1,0)</f>
        <v/>
      </c>
      <c r="AY2131">
        <f>IF(DJ2131&lt;&gt;"",1,0)+IF(DK2131&lt;&gt;"",1,0)+IF(DM2131&lt;&gt;"",1,0)+IF(DO2131&lt;&gt;"",1,0)+IF(DP2131&lt;&gt;"",1,0)+IF(DQ2131&lt;&gt;"",1,0)+IF(DS2131&lt;&gt;"",1,0)+IF(DT2131&lt;&gt;"",1,0)+IF(DV2131&lt;&gt;"",1,0)+IF(DW2131&lt;&gt;"",1,0)+IF(DX2131&lt;&gt;"",1,0)+IF(DY2131&lt;&gt;"",1,0)+IF(DZ2131&lt;&gt;"",1,0)+IF(EB2131&lt;&gt;"",1,0)+IF(EC2131&lt;&gt;"",1,0)+IF(ED2131&lt;&gt;"",1,0)+IF(EG2131&lt;&gt;"",1,0)+IF(EH2131&lt;&gt;"",1,0)</f>
        <v/>
      </c>
      <c r="AZ2131">
        <f>IF(EH2131&lt;&gt;"",1,0)</f>
        <v/>
      </c>
      <c r="BB2131" t="inlineStr">
        <is>
          <t>WARREN-WARD 4</t>
        </is>
      </c>
      <c r="CW2131" t="inlineStr">
        <is>
          <t>D</t>
        </is>
      </c>
      <c r="DC2131" t="inlineStr">
        <is>
          <t>X</t>
        </is>
      </c>
      <c r="EF2131" t="inlineStr">
        <is>
          <t>X</t>
        </is>
      </c>
    </row>
    <row r="2132">
      <c r="A2132" t="inlineStr">
        <is>
          <t>OH0027284900</t>
        </is>
      </c>
      <c r="B2132" t="n">
        <v>78</v>
      </c>
      <c r="C2132" t="n">
        <v>484291</v>
      </c>
      <c r="D2132" t="inlineStr">
        <is>
          <t>MILLS</t>
        </is>
      </c>
      <c r="E2132" t="inlineStr">
        <is>
          <t>GHIAN</t>
        </is>
      </c>
      <c r="F2132">
        <f>CONCATENATE(D2132," ",LEFT(H2132,4),"T=",AU2132,"D=",AV2132,"R=",AW2132,"M=",AX2132,"L=",AY2132,"B=",AZ2132)</f>
        <v/>
      </c>
      <c r="G2132" t="inlineStr">
        <is>
          <t>RASAI ARIE</t>
        </is>
      </c>
      <c r="I2132" t="inlineStr">
        <is>
          <t>2004-04-29</t>
        </is>
      </c>
      <c r="J2132" t="inlineStr">
        <is>
          <t>2024-03-06</t>
        </is>
      </c>
      <c r="K2132" t="inlineStr">
        <is>
          <t>ACTIVE</t>
        </is>
      </c>
      <c r="M2132" t="inlineStr">
        <is>
          <t>1801 BURTON ST SE</t>
        </is>
      </c>
      <c r="N2132">
        <f>RIGHT(M2132,LEN(M2132)-FIND(" ",M2132))</f>
        <v/>
      </c>
      <c r="P2132" t="inlineStr">
        <is>
          <t>WARREN</t>
        </is>
      </c>
      <c r="Q2132" t="inlineStr">
        <is>
          <t>OH</t>
        </is>
      </c>
      <c r="R2132" t="n">
        <v>44484</v>
      </c>
      <c r="AD2132" t="inlineStr">
        <is>
          <t>TRUMBULL CAREER &amp; TECH CENTER</t>
        </is>
      </c>
      <c r="AE2132" t="inlineStr">
        <is>
          <t>WARREN CITY</t>
        </is>
      </c>
      <c r="AF2132" t="inlineStr">
        <is>
          <t>WARREN CITY SD</t>
        </is>
      </c>
      <c r="AH2132" t="n">
        <v>14</v>
      </c>
      <c r="AI2132" t="n">
        <v>11</v>
      </c>
      <c r="AN2132" t="inlineStr">
        <is>
          <t>WARREN</t>
        </is>
      </c>
      <c r="AO2132" t="inlineStr">
        <is>
          <t>WARREN CITY 4F</t>
        </is>
      </c>
      <c r="AP2132" t="inlineStr">
        <is>
          <t>78-P-ADN</t>
        </is>
      </c>
      <c r="AQ2132" t="n">
        <v>9</v>
      </c>
      <c r="AR2132" t="n">
        <v>64</v>
      </c>
      <c r="AS2132" t="n">
        <v>32</v>
      </c>
      <c r="AU2132">
        <f>COUNTA($BA$2132:$EH$2132)</f>
        <v/>
      </c>
      <c r="AV2132">
        <f>COUNTIF($BA$2132:$EH$2132,"D")</f>
        <v/>
      </c>
      <c r="AW2132">
        <f>COUNTIF($BA$2132:$EH$2132,"R")</f>
        <v/>
      </c>
      <c r="AX2132">
        <f>IF(BN2132="D",1,0)+IF(BO2132="D",1,0)+IF(BT2132="D",1,0)+IF(BU2132="D",1,0)+IF(BW2132="D",1,0)+IF(CC2132="D",1,0)+IF(CD2132="D",1,0)+IF(CE2132="D",1,0)+IF(CF2132="D",1,0)+IF(CL2132="D",1,0)+IF(CM2132="D",1,0)+IF(CQ2132="D",1,0)+IF(CR2132="D",1,0)+IF(CS2132="D",1,0)+IF(CW2132="D",1,0)+IF(CX2132="D",1,0)+IF(DD2132="D",1,0)+IF(DE2132="D",1,0)+IF(DJ2132="D",1,0)+IF(DK2132="D",1,0)+IF(DO2132="D",1,0)+IF(DP2132="D",1,0)+IF(DQ2132="D",1,0)+IF(DW2132="D",1,0)+IF(DZ2132="D",1,0)+IF(EH2132="D",1,0)</f>
        <v/>
      </c>
      <c r="AY2132">
        <f>IF(DJ2132&lt;&gt;"",1,0)+IF(DK2132&lt;&gt;"",1,0)+IF(DM2132&lt;&gt;"",1,0)+IF(DO2132&lt;&gt;"",1,0)+IF(DP2132&lt;&gt;"",1,0)+IF(DQ2132&lt;&gt;"",1,0)+IF(DS2132&lt;&gt;"",1,0)+IF(DT2132&lt;&gt;"",1,0)+IF(DV2132&lt;&gt;"",1,0)+IF(DW2132&lt;&gt;"",1,0)+IF(DX2132&lt;&gt;"",1,0)+IF(DY2132&lt;&gt;"",1,0)+IF(DZ2132&lt;&gt;"",1,0)+IF(EB2132&lt;&gt;"",1,0)+IF(EC2132&lt;&gt;"",1,0)+IF(ED2132&lt;&gt;"",1,0)+IF(EG2132&lt;&gt;"",1,0)+IF(EH2132&lt;&gt;"",1,0)</f>
        <v/>
      </c>
      <c r="AZ2132">
        <f>IF(EH2132&lt;&gt;"",1,0)</f>
        <v/>
      </c>
      <c r="BB2132" t="inlineStr">
        <is>
          <t>WARREN-WARD 4</t>
        </is>
      </c>
      <c r="EF2132" t="inlineStr">
        <is>
          <t>X</t>
        </is>
      </c>
    </row>
    <row r="2133">
      <c r="A2133" t="inlineStr">
        <is>
          <t>OH0025949836</t>
        </is>
      </c>
      <c r="B2133" t="n">
        <v>78</v>
      </c>
      <c r="C2133" t="n">
        <v>453203</v>
      </c>
      <c r="D2133" t="inlineStr">
        <is>
          <t>DAVIS</t>
        </is>
      </c>
      <c r="E2133" t="inlineStr">
        <is>
          <t>LISA</t>
        </is>
      </c>
      <c r="F2133">
        <f>CONCATENATE(D2133," ",LEFT(H2133,4),"T=",AU2133,"D=",AV2133,"R=",AW2133,"M=",AX2133,"L=",AY2133,"B=",AZ2133)</f>
        <v/>
      </c>
      <c r="G2133" t="inlineStr">
        <is>
          <t>ANN</t>
        </is>
      </c>
      <c r="I2133" t="inlineStr">
        <is>
          <t>1968-03-04</t>
        </is>
      </c>
      <c r="J2133" t="inlineStr">
        <is>
          <t>2023-07-10</t>
        </is>
      </c>
      <c r="K2133" t="inlineStr">
        <is>
          <t>ACTIVE</t>
        </is>
      </c>
      <c r="M2133" t="inlineStr">
        <is>
          <t>1617 WOODBINE AVE SE</t>
        </is>
      </c>
      <c r="N2133">
        <f>RIGHT(M2133,LEN(M2133)-FIND(" ",M2133))</f>
        <v/>
      </c>
      <c r="P2133" t="inlineStr">
        <is>
          <t>WARREN</t>
        </is>
      </c>
      <c r="Q2133" t="inlineStr">
        <is>
          <t>OH</t>
        </is>
      </c>
      <c r="R2133" t="n">
        <v>44484</v>
      </c>
      <c r="AD2133" t="inlineStr">
        <is>
          <t>TRUMBULL CAREER &amp; TECH CENTER</t>
        </is>
      </c>
      <c r="AE2133" t="inlineStr">
        <is>
          <t>WARREN CITY</t>
        </is>
      </c>
      <c r="AF2133" t="inlineStr">
        <is>
          <t>WARREN CITY SD</t>
        </is>
      </c>
      <c r="AH2133" t="n">
        <v>14</v>
      </c>
      <c r="AI2133" t="n">
        <v>11</v>
      </c>
      <c r="AN2133" t="inlineStr">
        <is>
          <t>WARREN</t>
        </is>
      </c>
      <c r="AO2133" t="inlineStr">
        <is>
          <t>WARREN CITY 4F</t>
        </is>
      </c>
      <c r="AP2133" t="inlineStr">
        <is>
          <t>78-P-ADN</t>
        </is>
      </c>
      <c r="AQ2133" t="n">
        <v>9</v>
      </c>
      <c r="AR2133" t="n">
        <v>64</v>
      </c>
      <c r="AS2133" t="n">
        <v>32</v>
      </c>
      <c r="AU2133">
        <f>COUNTA($BA$2133:$EH$2133)</f>
        <v/>
      </c>
      <c r="AV2133">
        <f>COUNTIF($BA$2133:$EH$2133,"D")</f>
        <v/>
      </c>
      <c r="AW2133">
        <f>COUNTIF($BA$2133:$EH$2133,"R")</f>
        <v/>
      </c>
      <c r="AX2133">
        <f>IF(BN2133="D",1,0)+IF(BO2133="D",1,0)+IF(BT2133="D",1,0)+IF(BU2133="D",1,0)+IF(BW2133="D",1,0)+IF(CC2133="D",1,0)+IF(CD2133="D",1,0)+IF(CE2133="D",1,0)+IF(CF2133="D",1,0)+IF(CL2133="D",1,0)+IF(CM2133="D",1,0)+IF(CQ2133="D",1,0)+IF(CR2133="D",1,0)+IF(CS2133="D",1,0)+IF(CW2133="D",1,0)+IF(CX2133="D",1,0)+IF(DD2133="D",1,0)+IF(DE2133="D",1,0)+IF(DJ2133="D",1,0)+IF(DK2133="D",1,0)+IF(DO2133="D",1,0)+IF(DP2133="D",1,0)+IF(DQ2133="D",1,0)+IF(DW2133="D",1,0)+IF(DZ2133="D",1,0)+IF(EH2133="D",1,0)</f>
        <v/>
      </c>
      <c r="AY2133">
        <f>IF(DJ2133&lt;&gt;"",1,0)+IF(DK2133&lt;&gt;"",1,0)+IF(DM2133&lt;&gt;"",1,0)+IF(DO2133&lt;&gt;"",1,0)+IF(DP2133&lt;&gt;"",1,0)+IF(DQ2133&lt;&gt;"",1,0)+IF(DS2133&lt;&gt;"",1,0)+IF(DT2133&lt;&gt;"",1,0)+IF(DV2133&lt;&gt;"",1,0)+IF(DW2133&lt;&gt;"",1,0)+IF(DX2133&lt;&gt;"",1,0)+IF(DY2133&lt;&gt;"",1,0)+IF(DZ2133&lt;&gt;"",1,0)+IF(EB2133&lt;&gt;"",1,0)+IF(EC2133&lt;&gt;"",1,0)+IF(ED2133&lt;&gt;"",1,0)+IF(EG2133&lt;&gt;"",1,0)+IF(EH2133&lt;&gt;"",1,0)</f>
        <v/>
      </c>
      <c r="AZ2133">
        <f>IF(EH2133&lt;&gt;"",1,0)</f>
        <v/>
      </c>
      <c r="BB2133" t="inlineStr">
        <is>
          <t>WARREN-WARD 4</t>
        </is>
      </c>
    </row>
    <row r="2134">
      <c r="A2134" t="inlineStr">
        <is>
          <t>OH0020927705</t>
        </is>
      </c>
      <c r="B2134" t="n">
        <v>78</v>
      </c>
      <c r="C2134" t="n">
        <v>372009</v>
      </c>
      <c r="D2134" t="inlineStr">
        <is>
          <t>CAVALIERE</t>
        </is>
      </c>
      <c r="E2134" t="inlineStr">
        <is>
          <t>ROBERT</t>
        </is>
      </c>
      <c r="F2134">
        <f>CONCATENATE(D2134," ",LEFT(H2134,4),"T=",AU2134,"D=",AV2134,"R=",AW2134,"M=",AX2134,"L=",AY2134,"B=",AZ2134)</f>
        <v/>
      </c>
      <c r="G2134" t="inlineStr">
        <is>
          <t>L</t>
        </is>
      </c>
      <c r="H2134" t="inlineStr">
        <is>
          <t>JR</t>
        </is>
      </c>
      <c r="I2134" t="inlineStr">
        <is>
          <t>1992-03-29</t>
        </is>
      </c>
      <c r="J2134" t="inlineStr">
        <is>
          <t>2018-10-31</t>
        </is>
      </c>
      <c r="K2134" t="inlineStr">
        <is>
          <t>CONFIRMATION</t>
        </is>
      </c>
      <c r="M2134" t="inlineStr">
        <is>
          <t>970 COLUMBIA PL SE</t>
        </is>
      </c>
      <c r="N2134">
        <f>RIGHT(M2134,LEN(M2134)-FIND(" ",M2134))</f>
        <v/>
      </c>
      <c r="P2134" t="inlineStr">
        <is>
          <t>WARREN</t>
        </is>
      </c>
      <c r="Q2134" t="inlineStr">
        <is>
          <t>OH</t>
        </is>
      </c>
      <c r="R2134" t="n">
        <v>44484</v>
      </c>
      <c r="AD2134" t="inlineStr">
        <is>
          <t>TRUMBULL CAREER &amp; TECH CENTER</t>
        </is>
      </c>
      <c r="AE2134" t="inlineStr">
        <is>
          <t>WARREN CITY</t>
        </is>
      </c>
      <c r="AF2134" t="inlineStr">
        <is>
          <t>WARREN CITY SD</t>
        </is>
      </c>
      <c r="AH2134" t="n">
        <v>14</v>
      </c>
      <c r="AI2134" t="n">
        <v>11</v>
      </c>
      <c r="AN2134" t="inlineStr">
        <is>
          <t>WARREN</t>
        </is>
      </c>
      <c r="AO2134" t="inlineStr">
        <is>
          <t>WARREN CITY 4F</t>
        </is>
      </c>
      <c r="AP2134" t="inlineStr">
        <is>
          <t>78-P-ADN</t>
        </is>
      </c>
      <c r="AQ2134" t="n">
        <v>9</v>
      </c>
      <c r="AR2134" t="n">
        <v>64</v>
      </c>
      <c r="AS2134" t="n">
        <v>32</v>
      </c>
      <c r="AU2134">
        <f>COUNTA($BA$2134:$EH$2134)</f>
        <v/>
      </c>
      <c r="AV2134">
        <f>COUNTIF($BA$2134:$EH$2134,"D")</f>
        <v/>
      </c>
      <c r="AW2134">
        <f>COUNTIF($BA$2134:$EH$2134,"R")</f>
        <v/>
      </c>
      <c r="AX2134">
        <f>IF(BN2134="D",1,0)+IF(BO2134="D",1,0)+IF(BT2134="D",1,0)+IF(BU2134="D",1,0)+IF(BW2134="D",1,0)+IF(CC2134="D",1,0)+IF(CD2134="D",1,0)+IF(CE2134="D",1,0)+IF(CF2134="D",1,0)+IF(CL2134="D",1,0)+IF(CM2134="D",1,0)+IF(CQ2134="D",1,0)+IF(CR2134="D",1,0)+IF(CS2134="D",1,0)+IF(CW2134="D",1,0)+IF(CX2134="D",1,0)+IF(DD2134="D",1,0)+IF(DE2134="D",1,0)+IF(DJ2134="D",1,0)+IF(DK2134="D",1,0)+IF(DO2134="D",1,0)+IF(DP2134="D",1,0)+IF(DQ2134="D",1,0)+IF(DW2134="D",1,0)+IF(DZ2134="D",1,0)+IF(EH2134="D",1,0)</f>
        <v/>
      </c>
      <c r="AY2134">
        <f>IF(DJ2134&lt;&gt;"",1,0)+IF(DK2134&lt;&gt;"",1,0)+IF(DM2134&lt;&gt;"",1,0)+IF(DO2134&lt;&gt;"",1,0)+IF(DP2134&lt;&gt;"",1,0)+IF(DQ2134&lt;&gt;"",1,0)+IF(DS2134&lt;&gt;"",1,0)+IF(DT2134&lt;&gt;"",1,0)+IF(DV2134&lt;&gt;"",1,0)+IF(DW2134&lt;&gt;"",1,0)+IF(DX2134&lt;&gt;"",1,0)+IF(DY2134&lt;&gt;"",1,0)+IF(DZ2134&lt;&gt;"",1,0)+IF(EB2134&lt;&gt;"",1,0)+IF(EC2134&lt;&gt;"",1,0)+IF(ED2134&lt;&gt;"",1,0)+IF(EG2134&lt;&gt;"",1,0)+IF(EH2134&lt;&gt;"",1,0)</f>
        <v/>
      </c>
      <c r="AZ2134">
        <f>IF(EH2134&lt;&gt;"",1,0)</f>
        <v/>
      </c>
      <c r="BB2134" t="inlineStr">
        <is>
          <t>WARREN-WARD 4</t>
        </is>
      </c>
    </row>
    <row r="2135">
      <c r="A2135" t="inlineStr">
        <is>
          <t>OH0015721572</t>
        </is>
      </c>
      <c r="B2135" t="n">
        <v>78</v>
      </c>
      <c r="C2135" t="n">
        <v>202594</v>
      </c>
      <c r="D2135" t="inlineStr">
        <is>
          <t>DAVIS</t>
        </is>
      </c>
      <c r="E2135" t="inlineStr">
        <is>
          <t>GEORGE</t>
        </is>
      </c>
      <c r="F2135">
        <f>CONCATENATE(D2135," ",LEFT(H2135,4),"T=",AU2135,"D=",AV2135,"R=",AW2135,"M=",AX2135,"L=",AY2135,"B=",AZ2135)</f>
        <v/>
      </c>
      <c r="G2135" t="inlineStr">
        <is>
          <t>C</t>
        </is>
      </c>
      <c r="I2135" t="inlineStr">
        <is>
          <t>1938-12-31</t>
        </is>
      </c>
      <c r="J2135" t="inlineStr">
        <is>
          <t>1988-04-04</t>
        </is>
      </c>
      <c r="K2135" t="inlineStr">
        <is>
          <t>ACTIVE</t>
        </is>
      </c>
      <c r="L2135" t="inlineStr">
        <is>
          <t>D</t>
        </is>
      </c>
      <c r="M2135" t="inlineStr">
        <is>
          <t>1670 NILES RD SE</t>
        </is>
      </c>
      <c r="N2135">
        <f>RIGHT(M2135,LEN(M2135)-FIND(" ",M2135))</f>
        <v/>
      </c>
      <c r="P2135" t="inlineStr">
        <is>
          <t>WARREN</t>
        </is>
      </c>
      <c r="Q2135" t="inlineStr">
        <is>
          <t>OH</t>
        </is>
      </c>
      <c r="R2135" t="n">
        <v>44484</v>
      </c>
      <c r="AD2135" t="inlineStr">
        <is>
          <t>TRUMBULL CAREER &amp; TECH CENTER</t>
        </is>
      </c>
      <c r="AE2135" t="inlineStr">
        <is>
          <t>WARREN CITY</t>
        </is>
      </c>
      <c r="AF2135" t="inlineStr">
        <is>
          <t>WARREN CITY SD</t>
        </is>
      </c>
      <c r="AH2135" t="n">
        <v>14</v>
      </c>
      <c r="AI2135" t="n">
        <v>11</v>
      </c>
      <c r="AN2135" t="inlineStr">
        <is>
          <t>WARREN</t>
        </is>
      </c>
      <c r="AO2135" t="inlineStr">
        <is>
          <t>WARREN CITY 4F</t>
        </is>
      </c>
      <c r="AP2135" t="inlineStr">
        <is>
          <t>78-P-ADN</t>
        </is>
      </c>
      <c r="AQ2135" t="n">
        <v>9</v>
      </c>
      <c r="AR2135" t="n">
        <v>64</v>
      </c>
      <c r="AS2135" t="n">
        <v>32</v>
      </c>
      <c r="AU2135">
        <f>COUNTA($BA$2135:$EH$2135)</f>
        <v/>
      </c>
      <c r="AV2135">
        <f>COUNTIF($BA$2135:$EH$2135,"D")</f>
        <v/>
      </c>
      <c r="AW2135">
        <f>COUNTIF($BA$2135:$EH$2135,"R")</f>
        <v/>
      </c>
      <c r="AX2135">
        <f>IF(BN2135="D",1,0)+IF(BO2135="D",1,0)+IF(BT2135="D",1,0)+IF(BU2135="D",1,0)+IF(BW2135="D",1,0)+IF(CC2135="D",1,0)+IF(CD2135="D",1,0)+IF(CE2135="D",1,0)+IF(CF2135="D",1,0)+IF(CL2135="D",1,0)+IF(CM2135="D",1,0)+IF(CQ2135="D",1,0)+IF(CR2135="D",1,0)+IF(CS2135="D",1,0)+IF(CW2135="D",1,0)+IF(CX2135="D",1,0)+IF(DD2135="D",1,0)+IF(DE2135="D",1,0)+IF(DJ2135="D",1,0)+IF(DK2135="D",1,0)+IF(DO2135="D",1,0)+IF(DP2135="D",1,0)+IF(DQ2135="D",1,0)+IF(DW2135="D",1,0)+IF(DZ2135="D",1,0)+IF(EH2135="D",1,0)</f>
        <v/>
      </c>
      <c r="AY2135">
        <f>IF(DJ2135&lt;&gt;"",1,0)+IF(DK2135&lt;&gt;"",1,0)+IF(DM2135&lt;&gt;"",1,0)+IF(DO2135&lt;&gt;"",1,0)+IF(DP2135&lt;&gt;"",1,0)+IF(DQ2135&lt;&gt;"",1,0)+IF(DS2135&lt;&gt;"",1,0)+IF(DT2135&lt;&gt;"",1,0)+IF(DV2135&lt;&gt;"",1,0)+IF(DW2135&lt;&gt;"",1,0)+IF(DX2135&lt;&gt;"",1,0)+IF(DY2135&lt;&gt;"",1,0)+IF(DZ2135&lt;&gt;"",1,0)+IF(EB2135&lt;&gt;"",1,0)+IF(EC2135&lt;&gt;"",1,0)+IF(ED2135&lt;&gt;"",1,0)+IF(EG2135&lt;&gt;"",1,0)+IF(EH2135&lt;&gt;"",1,0)</f>
        <v/>
      </c>
      <c r="AZ2135">
        <f>IF(EH2135&lt;&gt;"",1,0)</f>
        <v/>
      </c>
      <c r="BB2135" t="inlineStr">
        <is>
          <t>WARREN-WARD 4</t>
        </is>
      </c>
      <c r="BC2135" t="inlineStr">
        <is>
          <t>X</t>
        </is>
      </c>
      <c r="BD2135" t="inlineStr">
        <is>
          <t>X</t>
        </is>
      </c>
      <c r="BG2135" t="inlineStr">
        <is>
          <t>X</t>
        </is>
      </c>
      <c r="BI2135" t="inlineStr">
        <is>
          <t>X</t>
        </is>
      </c>
      <c r="BJ2135" t="inlineStr">
        <is>
          <t>X</t>
        </is>
      </c>
      <c r="BK2135" t="inlineStr">
        <is>
          <t>X</t>
        </is>
      </c>
      <c r="BL2135" t="inlineStr">
        <is>
          <t>X</t>
        </is>
      </c>
      <c r="BP2135" t="inlineStr">
        <is>
          <t>X</t>
        </is>
      </c>
      <c r="BS2135" t="inlineStr">
        <is>
          <t>X</t>
        </is>
      </c>
      <c r="BY2135" t="inlineStr">
        <is>
          <t>D</t>
        </is>
      </c>
      <c r="CA2135" t="inlineStr">
        <is>
          <t>X</t>
        </is>
      </c>
      <c r="CK2135" t="inlineStr">
        <is>
          <t>X</t>
        </is>
      </c>
      <c r="CL2135" t="inlineStr">
        <is>
          <t>D</t>
        </is>
      </c>
      <c r="CO2135" t="inlineStr">
        <is>
          <t>D</t>
        </is>
      </c>
      <c r="CP2135" t="inlineStr">
        <is>
          <t>X</t>
        </is>
      </c>
      <c r="CT2135" t="inlineStr">
        <is>
          <t>X</t>
        </is>
      </c>
      <c r="CU2135" t="inlineStr">
        <is>
          <t>D</t>
        </is>
      </c>
      <c r="CV2135" t="inlineStr">
        <is>
          <t>X</t>
        </is>
      </c>
      <c r="CY2135" t="inlineStr">
        <is>
          <t>X</t>
        </is>
      </c>
      <c r="CZ2135" t="inlineStr">
        <is>
          <t>D</t>
        </is>
      </c>
      <c r="DC2135" t="inlineStr">
        <is>
          <t>X</t>
        </is>
      </c>
      <c r="DG2135" t="inlineStr">
        <is>
          <t>D</t>
        </is>
      </c>
      <c r="DI2135" t="inlineStr">
        <is>
          <t>X</t>
        </is>
      </c>
      <c r="DJ2135" t="inlineStr">
        <is>
          <t>D</t>
        </is>
      </c>
      <c r="DM2135" t="inlineStr">
        <is>
          <t>D</t>
        </is>
      </c>
      <c r="DN2135" t="inlineStr">
        <is>
          <t>X</t>
        </is>
      </c>
      <c r="DS2135" t="inlineStr">
        <is>
          <t>D</t>
        </is>
      </c>
      <c r="DT2135" t="inlineStr">
        <is>
          <t>D</t>
        </is>
      </c>
      <c r="DU2135" t="inlineStr">
        <is>
          <t>X</t>
        </is>
      </c>
      <c r="DW2135" t="inlineStr">
        <is>
          <t>D</t>
        </is>
      </c>
      <c r="DX2135" t="inlineStr">
        <is>
          <t>X</t>
        </is>
      </c>
      <c r="EA2135" t="inlineStr">
        <is>
          <t>X</t>
        </is>
      </c>
      <c r="ED2135" t="inlineStr">
        <is>
          <t>D</t>
        </is>
      </c>
      <c r="EF2135" t="inlineStr">
        <is>
          <t>X</t>
        </is>
      </c>
    </row>
    <row r="2136">
      <c r="A2136" t="inlineStr">
        <is>
          <t>OH0024365075</t>
        </is>
      </c>
      <c r="B2136" t="n">
        <v>78</v>
      </c>
      <c r="C2136" t="n">
        <v>427540</v>
      </c>
      <c r="D2136" t="inlineStr">
        <is>
          <t>WHITFIELD</t>
        </is>
      </c>
      <c r="E2136" t="inlineStr">
        <is>
          <t>TANYA</t>
        </is>
      </c>
      <c r="F2136">
        <f>CONCATENATE(D2136," ",LEFT(H2136,4),"T=",AU2136,"D=",AV2136,"R=",AW2136,"M=",AX2136,"L=",AY2136,"B=",AZ2136)</f>
        <v/>
      </c>
      <c r="G2136" t="inlineStr">
        <is>
          <t>M</t>
        </is>
      </c>
      <c r="I2136" t="inlineStr">
        <is>
          <t>1983-01-06</t>
        </is>
      </c>
      <c r="J2136" t="inlineStr">
        <is>
          <t>2024-07-09</t>
        </is>
      </c>
      <c r="K2136" t="inlineStr">
        <is>
          <t>ACTIVE</t>
        </is>
      </c>
      <c r="M2136" t="inlineStr">
        <is>
          <t>973 EAST AVE SE</t>
        </is>
      </c>
      <c r="N2136">
        <f>RIGHT(M2136,LEN(M2136)-FIND(" ",M2136))</f>
        <v/>
      </c>
      <c r="P2136" t="inlineStr">
        <is>
          <t>WARREN</t>
        </is>
      </c>
      <c r="Q2136" t="inlineStr">
        <is>
          <t>OH</t>
        </is>
      </c>
      <c r="R2136" t="n">
        <v>44484</v>
      </c>
      <c r="AD2136" t="inlineStr">
        <is>
          <t>TRUMBULL CAREER &amp; TECH CENTER</t>
        </is>
      </c>
      <c r="AE2136" t="inlineStr">
        <is>
          <t>WARREN CITY</t>
        </is>
      </c>
      <c r="AF2136" t="inlineStr">
        <is>
          <t>WARREN CITY SD</t>
        </is>
      </c>
      <c r="AH2136" t="n">
        <v>14</v>
      </c>
      <c r="AI2136" t="n">
        <v>11</v>
      </c>
      <c r="AN2136" t="inlineStr">
        <is>
          <t>WARREN</t>
        </is>
      </c>
      <c r="AO2136" t="inlineStr">
        <is>
          <t>WARREN CITY 4F</t>
        </is>
      </c>
      <c r="AP2136" t="inlineStr">
        <is>
          <t>78-P-ADN</t>
        </is>
      </c>
      <c r="AQ2136" t="n">
        <v>9</v>
      </c>
      <c r="AR2136" t="n">
        <v>64</v>
      </c>
      <c r="AS2136" t="n">
        <v>32</v>
      </c>
      <c r="AU2136">
        <f>COUNTA($BA$2136:$EH$2136)</f>
        <v/>
      </c>
      <c r="AV2136">
        <f>COUNTIF($BA$2136:$EH$2136,"D")</f>
        <v/>
      </c>
      <c r="AW2136">
        <f>COUNTIF($BA$2136:$EH$2136,"R")</f>
        <v/>
      </c>
      <c r="AX2136">
        <f>IF(BN2136="D",1,0)+IF(BO2136="D",1,0)+IF(BT2136="D",1,0)+IF(BU2136="D",1,0)+IF(BW2136="D",1,0)+IF(CC2136="D",1,0)+IF(CD2136="D",1,0)+IF(CE2136="D",1,0)+IF(CF2136="D",1,0)+IF(CL2136="D",1,0)+IF(CM2136="D",1,0)+IF(CQ2136="D",1,0)+IF(CR2136="D",1,0)+IF(CS2136="D",1,0)+IF(CW2136="D",1,0)+IF(CX2136="D",1,0)+IF(DD2136="D",1,0)+IF(DE2136="D",1,0)+IF(DJ2136="D",1,0)+IF(DK2136="D",1,0)+IF(DO2136="D",1,0)+IF(DP2136="D",1,0)+IF(DQ2136="D",1,0)+IF(DW2136="D",1,0)+IF(DZ2136="D",1,0)+IF(EH2136="D",1,0)</f>
        <v/>
      </c>
      <c r="AY2136">
        <f>IF(DJ2136&lt;&gt;"",1,0)+IF(DK2136&lt;&gt;"",1,0)+IF(DM2136&lt;&gt;"",1,0)+IF(DO2136&lt;&gt;"",1,0)+IF(DP2136&lt;&gt;"",1,0)+IF(DQ2136&lt;&gt;"",1,0)+IF(DS2136&lt;&gt;"",1,0)+IF(DT2136&lt;&gt;"",1,0)+IF(DV2136&lt;&gt;"",1,0)+IF(DW2136&lt;&gt;"",1,0)+IF(DX2136&lt;&gt;"",1,0)+IF(DY2136&lt;&gt;"",1,0)+IF(DZ2136&lt;&gt;"",1,0)+IF(EB2136&lt;&gt;"",1,0)+IF(EC2136&lt;&gt;"",1,0)+IF(ED2136&lt;&gt;"",1,0)+IF(EG2136&lt;&gt;"",1,0)+IF(EH2136&lt;&gt;"",1,0)</f>
        <v/>
      </c>
      <c r="AZ2136">
        <f>IF(EH2136&lt;&gt;"",1,0)</f>
        <v/>
      </c>
      <c r="BB2136" t="inlineStr">
        <is>
          <t>WARREN-WARD 4</t>
        </is>
      </c>
      <c r="EF2136" t="inlineStr">
        <is>
          <t>X</t>
        </is>
      </c>
    </row>
    <row r="2137">
      <c r="A2137" t="inlineStr">
        <is>
          <t>OH0015742783</t>
        </is>
      </c>
      <c r="B2137" t="n">
        <v>78</v>
      </c>
      <c r="C2137" t="n">
        <v>318147</v>
      </c>
      <c r="D2137" t="inlineStr">
        <is>
          <t>HIGGINS</t>
        </is>
      </c>
      <c r="E2137" t="inlineStr">
        <is>
          <t>RAECHELLE</t>
        </is>
      </c>
      <c r="F2137">
        <f>CONCATENATE(D2137," ",LEFT(H2137,4),"T=",AU2137,"D=",AV2137,"R=",AW2137,"M=",AX2137,"L=",AY2137,"B=",AZ2137)</f>
        <v/>
      </c>
      <c r="G2137" t="inlineStr">
        <is>
          <t>A</t>
        </is>
      </c>
      <c r="I2137" t="inlineStr">
        <is>
          <t>1971-11-29</t>
        </is>
      </c>
      <c r="J2137" t="inlineStr">
        <is>
          <t>2018-06-18</t>
        </is>
      </c>
      <c r="K2137" t="inlineStr">
        <is>
          <t>CONFIRMATION</t>
        </is>
      </c>
      <c r="M2137" t="inlineStr">
        <is>
          <t>1554 ADELAIDE AVE SE</t>
        </is>
      </c>
      <c r="N2137">
        <f>RIGHT(M2137,LEN(M2137)-FIND(" ",M2137))</f>
        <v/>
      </c>
      <c r="P2137" t="inlineStr">
        <is>
          <t>WARREN</t>
        </is>
      </c>
      <c r="Q2137" t="inlineStr">
        <is>
          <t>OH</t>
        </is>
      </c>
      <c r="R2137" t="n">
        <v>44484</v>
      </c>
      <c r="AD2137" t="inlineStr">
        <is>
          <t>TRUMBULL CAREER &amp; TECH CENTER</t>
        </is>
      </c>
      <c r="AE2137" t="inlineStr">
        <is>
          <t>WARREN CITY</t>
        </is>
      </c>
      <c r="AF2137" t="inlineStr">
        <is>
          <t>WARREN CITY SD</t>
        </is>
      </c>
      <c r="AH2137" t="n">
        <v>14</v>
      </c>
      <c r="AI2137" t="n">
        <v>11</v>
      </c>
      <c r="AN2137" t="inlineStr">
        <is>
          <t>WARREN</t>
        </is>
      </c>
      <c r="AO2137" t="inlineStr">
        <is>
          <t>WARREN CITY 4F</t>
        </is>
      </c>
      <c r="AP2137" t="inlineStr">
        <is>
          <t>78-P-ADN</t>
        </is>
      </c>
      <c r="AQ2137" t="n">
        <v>9</v>
      </c>
      <c r="AR2137" t="n">
        <v>64</v>
      </c>
      <c r="AS2137" t="n">
        <v>32</v>
      </c>
      <c r="AU2137">
        <f>COUNTA($BA$2137:$EH$2137)</f>
        <v/>
      </c>
      <c r="AV2137">
        <f>COUNTIF($BA$2137:$EH$2137,"D")</f>
        <v/>
      </c>
      <c r="AW2137">
        <f>COUNTIF($BA$2137:$EH$2137,"R")</f>
        <v/>
      </c>
      <c r="AX2137">
        <f>IF(BN2137="D",1,0)+IF(BO2137="D",1,0)+IF(BT2137="D",1,0)+IF(BU2137="D",1,0)+IF(BW2137="D",1,0)+IF(CC2137="D",1,0)+IF(CD2137="D",1,0)+IF(CE2137="D",1,0)+IF(CF2137="D",1,0)+IF(CL2137="D",1,0)+IF(CM2137="D",1,0)+IF(CQ2137="D",1,0)+IF(CR2137="D",1,0)+IF(CS2137="D",1,0)+IF(CW2137="D",1,0)+IF(CX2137="D",1,0)+IF(DD2137="D",1,0)+IF(DE2137="D",1,0)+IF(DJ2137="D",1,0)+IF(DK2137="D",1,0)+IF(DO2137="D",1,0)+IF(DP2137="D",1,0)+IF(DQ2137="D",1,0)+IF(DW2137="D",1,0)+IF(DZ2137="D",1,0)+IF(EH2137="D",1,0)</f>
        <v/>
      </c>
      <c r="AY2137">
        <f>IF(DJ2137&lt;&gt;"",1,0)+IF(DK2137&lt;&gt;"",1,0)+IF(DM2137&lt;&gt;"",1,0)+IF(DO2137&lt;&gt;"",1,0)+IF(DP2137&lt;&gt;"",1,0)+IF(DQ2137&lt;&gt;"",1,0)+IF(DS2137&lt;&gt;"",1,0)+IF(DT2137&lt;&gt;"",1,0)+IF(DV2137&lt;&gt;"",1,0)+IF(DW2137&lt;&gt;"",1,0)+IF(DX2137&lt;&gt;"",1,0)+IF(DY2137&lt;&gt;"",1,0)+IF(DZ2137&lt;&gt;"",1,0)+IF(EB2137&lt;&gt;"",1,0)+IF(EC2137&lt;&gt;"",1,0)+IF(ED2137&lt;&gt;"",1,0)+IF(EG2137&lt;&gt;"",1,0)+IF(EH2137&lt;&gt;"",1,0)</f>
        <v/>
      </c>
      <c r="AZ2137">
        <f>IF(EH2137&lt;&gt;"",1,0)</f>
        <v/>
      </c>
      <c r="BB2137" t="inlineStr">
        <is>
          <t>WARREN-WARD 4</t>
        </is>
      </c>
      <c r="BL2137" t="inlineStr">
        <is>
          <t>X</t>
        </is>
      </c>
      <c r="BS2137" t="inlineStr">
        <is>
          <t>X</t>
        </is>
      </c>
      <c r="BY2137" t="inlineStr">
        <is>
          <t>D</t>
        </is>
      </c>
      <c r="CA2137" t="inlineStr">
        <is>
          <t>X</t>
        </is>
      </c>
    </row>
    <row r="2138">
      <c r="A2138" t="inlineStr">
        <is>
          <t>OH0015675067</t>
        </is>
      </c>
      <c r="B2138" t="n">
        <v>78</v>
      </c>
      <c r="C2138" t="n">
        <v>285880</v>
      </c>
      <c r="D2138" t="inlineStr">
        <is>
          <t>RICE</t>
        </is>
      </c>
      <c r="E2138" t="inlineStr">
        <is>
          <t>PATRICIA</t>
        </is>
      </c>
      <c r="F2138">
        <f>CONCATENATE(D2138," ",LEFT(H2138,4),"T=",AU2138,"D=",AV2138,"R=",AW2138,"M=",AX2138,"L=",AY2138,"B=",AZ2138)</f>
        <v/>
      </c>
      <c r="G2138" t="inlineStr">
        <is>
          <t>E</t>
        </is>
      </c>
      <c r="I2138" t="inlineStr">
        <is>
          <t>1947-05-08</t>
        </is>
      </c>
      <c r="J2138" t="inlineStr">
        <is>
          <t>2013-07-30</t>
        </is>
      </c>
      <c r="K2138" t="inlineStr">
        <is>
          <t>ACTIVE</t>
        </is>
      </c>
      <c r="L2138" t="inlineStr">
        <is>
          <t>D</t>
        </is>
      </c>
      <c r="M2138" t="inlineStr">
        <is>
          <t>1926 WICK ST SE</t>
        </is>
      </c>
      <c r="N2138">
        <f>RIGHT(M2138,LEN(M2138)-FIND(" ",M2138))</f>
        <v/>
      </c>
      <c r="P2138" t="inlineStr">
        <is>
          <t>WARREN</t>
        </is>
      </c>
      <c r="Q2138" t="inlineStr">
        <is>
          <t>OH</t>
        </is>
      </c>
      <c r="R2138" t="n">
        <v>44484</v>
      </c>
      <c r="AD2138" t="inlineStr">
        <is>
          <t>TRUMBULL CAREER &amp; TECH CENTER</t>
        </is>
      </c>
      <c r="AE2138" t="inlineStr">
        <is>
          <t>WARREN CITY</t>
        </is>
      </c>
      <c r="AF2138" t="inlineStr">
        <is>
          <t>WARREN CITY SD</t>
        </is>
      </c>
      <c r="AH2138" t="n">
        <v>14</v>
      </c>
      <c r="AI2138" t="n">
        <v>11</v>
      </c>
      <c r="AN2138" t="inlineStr">
        <is>
          <t>WARREN</t>
        </is>
      </c>
      <c r="AO2138" t="inlineStr">
        <is>
          <t>WARREN CITY 4F</t>
        </is>
      </c>
      <c r="AP2138" t="inlineStr">
        <is>
          <t>78-P-ADN</t>
        </is>
      </c>
      <c r="AQ2138" t="n">
        <v>9</v>
      </c>
      <c r="AR2138" t="n">
        <v>64</v>
      </c>
      <c r="AS2138" t="n">
        <v>32</v>
      </c>
      <c r="AU2138">
        <f>COUNTA($BA$2138:$EH$2138)</f>
        <v/>
      </c>
      <c r="AV2138">
        <f>COUNTIF($BA$2138:$EH$2138,"D")</f>
        <v/>
      </c>
      <c r="AW2138">
        <f>COUNTIF($BA$2138:$EH$2138,"R")</f>
        <v/>
      </c>
      <c r="AX2138">
        <f>IF(BN2138="D",1,0)+IF(BO2138="D",1,0)+IF(BT2138="D",1,0)+IF(BU2138="D",1,0)+IF(BW2138="D",1,0)+IF(CC2138="D",1,0)+IF(CD2138="D",1,0)+IF(CE2138="D",1,0)+IF(CF2138="D",1,0)+IF(CL2138="D",1,0)+IF(CM2138="D",1,0)+IF(CQ2138="D",1,0)+IF(CR2138="D",1,0)+IF(CS2138="D",1,0)+IF(CW2138="D",1,0)+IF(CX2138="D",1,0)+IF(DD2138="D",1,0)+IF(DE2138="D",1,0)+IF(DJ2138="D",1,0)+IF(DK2138="D",1,0)+IF(DO2138="D",1,0)+IF(DP2138="D",1,0)+IF(DQ2138="D",1,0)+IF(DW2138="D",1,0)+IF(DZ2138="D",1,0)+IF(EH2138="D",1,0)</f>
        <v/>
      </c>
      <c r="AY2138">
        <f>IF(DJ2138&lt;&gt;"",1,0)+IF(DK2138&lt;&gt;"",1,0)+IF(DM2138&lt;&gt;"",1,0)+IF(DO2138&lt;&gt;"",1,0)+IF(DP2138&lt;&gt;"",1,0)+IF(DQ2138&lt;&gt;"",1,0)+IF(DS2138&lt;&gt;"",1,0)+IF(DT2138&lt;&gt;"",1,0)+IF(DV2138&lt;&gt;"",1,0)+IF(DW2138&lt;&gt;"",1,0)+IF(DX2138&lt;&gt;"",1,0)+IF(DY2138&lt;&gt;"",1,0)+IF(DZ2138&lt;&gt;"",1,0)+IF(EB2138&lt;&gt;"",1,0)+IF(EC2138&lt;&gt;"",1,0)+IF(ED2138&lt;&gt;"",1,0)+IF(EG2138&lt;&gt;"",1,0)+IF(EH2138&lt;&gt;"",1,0)</f>
        <v/>
      </c>
      <c r="AZ2138">
        <f>IF(EH2138&lt;&gt;"",1,0)</f>
        <v/>
      </c>
      <c r="BB2138" t="inlineStr">
        <is>
          <t>WARREN-WARD 4</t>
        </is>
      </c>
      <c r="BC2138" t="inlineStr">
        <is>
          <t>X</t>
        </is>
      </c>
      <c r="BD2138" t="inlineStr">
        <is>
          <t>X</t>
        </is>
      </c>
      <c r="BG2138" t="inlineStr">
        <is>
          <t>X</t>
        </is>
      </c>
      <c r="BH2138" t="inlineStr">
        <is>
          <t>X</t>
        </is>
      </c>
      <c r="BI2138" t="inlineStr">
        <is>
          <t>X</t>
        </is>
      </c>
      <c r="BK2138" t="inlineStr">
        <is>
          <t>X</t>
        </is>
      </c>
      <c r="BL2138" t="inlineStr">
        <is>
          <t>X</t>
        </is>
      </c>
      <c r="BS2138" t="inlineStr">
        <is>
          <t>X</t>
        </is>
      </c>
      <c r="BY2138" t="inlineStr">
        <is>
          <t>D</t>
        </is>
      </c>
      <c r="CA2138" t="inlineStr">
        <is>
          <t>X</t>
        </is>
      </c>
      <c r="CG2138" t="inlineStr">
        <is>
          <t>X</t>
        </is>
      </c>
      <c r="CH2138" t="inlineStr">
        <is>
          <t>D</t>
        </is>
      </c>
      <c r="CN2138" t="inlineStr">
        <is>
          <t>X</t>
        </is>
      </c>
      <c r="CP2138" t="inlineStr">
        <is>
          <t>X</t>
        </is>
      </c>
      <c r="CQ2138" t="inlineStr">
        <is>
          <t>D</t>
        </is>
      </c>
      <c r="CT2138" t="inlineStr">
        <is>
          <t>X</t>
        </is>
      </c>
      <c r="CU2138" t="inlineStr">
        <is>
          <t>D</t>
        </is>
      </c>
      <c r="CV2138" t="inlineStr">
        <is>
          <t>X</t>
        </is>
      </c>
      <c r="CY2138" t="inlineStr">
        <is>
          <t>X</t>
        </is>
      </c>
      <c r="CZ2138" t="inlineStr">
        <is>
          <t>D</t>
        </is>
      </c>
      <c r="DC2138" t="inlineStr">
        <is>
          <t>X</t>
        </is>
      </c>
      <c r="DD2138" t="inlineStr">
        <is>
          <t>D</t>
        </is>
      </c>
      <c r="DF2138" t="inlineStr">
        <is>
          <t>X</t>
        </is>
      </c>
      <c r="DG2138" t="inlineStr">
        <is>
          <t>D</t>
        </is>
      </c>
      <c r="DI2138" t="inlineStr">
        <is>
          <t>X</t>
        </is>
      </c>
      <c r="DJ2138" t="inlineStr">
        <is>
          <t>D</t>
        </is>
      </c>
      <c r="DL2138" t="inlineStr">
        <is>
          <t>X</t>
        </is>
      </c>
      <c r="DM2138" t="inlineStr">
        <is>
          <t>D</t>
        </is>
      </c>
      <c r="DN2138" t="inlineStr">
        <is>
          <t>X</t>
        </is>
      </c>
      <c r="DR2138" t="inlineStr">
        <is>
          <t>X</t>
        </is>
      </c>
      <c r="DS2138" t="inlineStr">
        <is>
          <t>D</t>
        </is>
      </c>
      <c r="DT2138" t="inlineStr">
        <is>
          <t>D</t>
        </is>
      </c>
      <c r="DU2138" t="inlineStr">
        <is>
          <t>X</t>
        </is>
      </c>
      <c r="DW2138" t="inlineStr">
        <is>
          <t>D</t>
        </is>
      </c>
      <c r="DX2138" t="inlineStr">
        <is>
          <t>X</t>
        </is>
      </c>
      <c r="EA2138" t="inlineStr">
        <is>
          <t>X</t>
        </is>
      </c>
      <c r="ED2138" t="inlineStr">
        <is>
          <t>D</t>
        </is>
      </c>
      <c r="EF2138" t="inlineStr">
        <is>
          <t>X</t>
        </is>
      </c>
      <c r="EH2138" t="inlineStr">
        <is>
          <t>D</t>
        </is>
      </c>
    </row>
    <row r="2139">
      <c r="A2139" t="inlineStr">
        <is>
          <t>OH0015733298</t>
        </is>
      </c>
      <c r="B2139" t="n">
        <v>78</v>
      </c>
      <c r="C2139" t="n">
        <v>298472</v>
      </c>
      <c r="D2139" t="inlineStr">
        <is>
          <t>STARKEY</t>
        </is>
      </c>
      <c r="E2139" t="inlineStr">
        <is>
          <t>MICHAEL</t>
        </is>
      </c>
      <c r="F2139">
        <f>CONCATENATE(D2139," ",LEFT(H2139,4),"T=",AU2139,"D=",AV2139,"R=",AW2139,"M=",AX2139,"L=",AY2139,"B=",AZ2139)</f>
        <v/>
      </c>
      <c r="G2139" t="inlineStr">
        <is>
          <t>L</t>
        </is>
      </c>
      <c r="I2139" t="inlineStr">
        <is>
          <t>1965-06-13</t>
        </is>
      </c>
      <c r="J2139" t="inlineStr">
        <is>
          <t>2000-10-03</t>
        </is>
      </c>
      <c r="K2139" t="inlineStr">
        <is>
          <t>ACTIVE</t>
        </is>
      </c>
      <c r="M2139" t="inlineStr">
        <is>
          <t>1494 NILES RD SE</t>
        </is>
      </c>
      <c r="N2139">
        <f>RIGHT(M2139,LEN(M2139)-FIND(" ",M2139))</f>
        <v/>
      </c>
      <c r="P2139" t="inlineStr">
        <is>
          <t>WARREN</t>
        </is>
      </c>
      <c r="Q2139" t="inlineStr">
        <is>
          <t>OH</t>
        </is>
      </c>
      <c r="R2139" t="n">
        <v>44484</v>
      </c>
      <c r="AD2139" t="inlineStr">
        <is>
          <t>TRUMBULL CAREER &amp; TECH CENTER</t>
        </is>
      </c>
      <c r="AE2139" t="inlineStr">
        <is>
          <t>WARREN CITY</t>
        </is>
      </c>
      <c r="AF2139" t="inlineStr">
        <is>
          <t>WARREN CITY SD</t>
        </is>
      </c>
      <c r="AH2139" t="n">
        <v>14</v>
      </c>
      <c r="AI2139" t="n">
        <v>11</v>
      </c>
      <c r="AN2139" t="inlineStr">
        <is>
          <t>WARREN</t>
        </is>
      </c>
      <c r="AO2139" t="inlineStr">
        <is>
          <t>WARREN CITY 4F</t>
        </is>
      </c>
      <c r="AP2139" t="inlineStr">
        <is>
          <t>78-P-ADN</t>
        </is>
      </c>
      <c r="AQ2139" t="n">
        <v>9</v>
      </c>
      <c r="AR2139" t="n">
        <v>64</v>
      </c>
      <c r="AS2139" t="n">
        <v>32</v>
      </c>
      <c r="AU2139">
        <f>COUNTA($BA$2139:$EH$2139)</f>
        <v/>
      </c>
      <c r="AV2139">
        <f>COUNTIF($BA$2139:$EH$2139,"D")</f>
        <v/>
      </c>
      <c r="AW2139">
        <f>COUNTIF($BA$2139:$EH$2139,"R")</f>
        <v/>
      </c>
      <c r="AX2139">
        <f>IF(BN2139="D",1,0)+IF(BO2139="D",1,0)+IF(BT2139="D",1,0)+IF(BU2139="D",1,0)+IF(BW2139="D",1,0)+IF(CC2139="D",1,0)+IF(CD2139="D",1,0)+IF(CE2139="D",1,0)+IF(CF2139="D",1,0)+IF(CL2139="D",1,0)+IF(CM2139="D",1,0)+IF(CQ2139="D",1,0)+IF(CR2139="D",1,0)+IF(CS2139="D",1,0)+IF(CW2139="D",1,0)+IF(CX2139="D",1,0)+IF(DD2139="D",1,0)+IF(DE2139="D",1,0)+IF(DJ2139="D",1,0)+IF(DK2139="D",1,0)+IF(DO2139="D",1,0)+IF(DP2139="D",1,0)+IF(DQ2139="D",1,0)+IF(DW2139="D",1,0)+IF(DZ2139="D",1,0)+IF(EH2139="D",1,0)</f>
        <v/>
      </c>
      <c r="AY2139">
        <f>IF(DJ2139&lt;&gt;"",1,0)+IF(DK2139&lt;&gt;"",1,0)+IF(DM2139&lt;&gt;"",1,0)+IF(DO2139&lt;&gt;"",1,0)+IF(DP2139&lt;&gt;"",1,0)+IF(DQ2139&lt;&gt;"",1,0)+IF(DS2139&lt;&gt;"",1,0)+IF(DT2139&lt;&gt;"",1,0)+IF(DV2139&lt;&gt;"",1,0)+IF(DW2139&lt;&gt;"",1,0)+IF(DX2139&lt;&gt;"",1,0)+IF(DY2139&lt;&gt;"",1,0)+IF(DZ2139&lt;&gt;"",1,0)+IF(EB2139&lt;&gt;"",1,0)+IF(EC2139&lt;&gt;"",1,0)+IF(ED2139&lt;&gt;"",1,0)+IF(EG2139&lt;&gt;"",1,0)+IF(EH2139&lt;&gt;"",1,0)</f>
        <v/>
      </c>
      <c r="AZ2139">
        <f>IF(EH2139&lt;&gt;"",1,0)</f>
        <v/>
      </c>
      <c r="BB2139" t="inlineStr">
        <is>
          <t>WARREN-WARD 4</t>
        </is>
      </c>
      <c r="BD2139" t="inlineStr">
        <is>
          <t>X</t>
        </is>
      </c>
      <c r="BL2139" t="inlineStr">
        <is>
          <t>X</t>
        </is>
      </c>
      <c r="BY2139" t="inlineStr">
        <is>
          <t>D</t>
        </is>
      </c>
      <c r="CA2139" t="inlineStr">
        <is>
          <t>X</t>
        </is>
      </c>
      <c r="CK2139" t="inlineStr">
        <is>
          <t>X</t>
        </is>
      </c>
      <c r="CN2139" t="inlineStr">
        <is>
          <t>X</t>
        </is>
      </c>
      <c r="CP2139" t="inlineStr">
        <is>
          <t>X</t>
        </is>
      </c>
      <c r="CY2139" t="inlineStr">
        <is>
          <t>X</t>
        </is>
      </c>
      <c r="DC2139" t="inlineStr">
        <is>
          <t>X</t>
        </is>
      </c>
      <c r="DL2139" t="inlineStr">
        <is>
          <t>X</t>
        </is>
      </c>
      <c r="DN2139" t="inlineStr">
        <is>
          <t>X</t>
        </is>
      </c>
      <c r="DU2139" t="inlineStr">
        <is>
          <t>X</t>
        </is>
      </c>
      <c r="EA2139" t="inlineStr">
        <is>
          <t>X</t>
        </is>
      </c>
      <c r="EF2139" t="inlineStr">
        <is>
          <t>X</t>
        </is>
      </c>
    </row>
    <row r="2140">
      <c r="A2140" t="inlineStr">
        <is>
          <t>OH0024646052</t>
        </is>
      </c>
      <c r="B2140" t="n">
        <v>78</v>
      </c>
      <c r="C2140" t="n">
        <v>431943</v>
      </c>
      <c r="D2140" t="inlineStr">
        <is>
          <t>NEVOTNY</t>
        </is>
      </c>
      <c r="E2140" t="inlineStr">
        <is>
          <t>KERRI</t>
        </is>
      </c>
      <c r="F2140">
        <f>CONCATENATE(D2140," ",LEFT(H2140,4),"T=",AU2140,"D=",AV2140,"R=",AW2140,"M=",AX2140,"L=",AY2140,"B=",AZ2140)</f>
        <v/>
      </c>
      <c r="I2140" t="inlineStr">
        <is>
          <t>1998-06-26</t>
        </is>
      </c>
      <c r="J2140" t="inlineStr">
        <is>
          <t>2018-05-15</t>
        </is>
      </c>
      <c r="K2140" t="inlineStr">
        <is>
          <t>CONFIRMATION</t>
        </is>
      </c>
      <c r="M2140" t="inlineStr">
        <is>
          <t>1120 WOODBINE AVE SE</t>
        </is>
      </c>
      <c r="N2140">
        <f>RIGHT(M2140,LEN(M2140)-FIND(" ",M2140))</f>
        <v/>
      </c>
      <c r="P2140" t="inlineStr">
        <is>
          <t>WARREN</t>
        </is>
      </c>
      <c r="Q2140" t="inlineStr">
        <is>
          <t>OH</t>
        </is>
      </c>
      <c r="R2140" t="n">
        <v>44484</v>
      </c>
      <c r="AD2140" t="inlineStr">
        <is>
          <t>TRUMBULL CAREER &amp; TECH CENTER</t>
        </is>
      </c>
      <c r="AE2140" t="inlineStr">
        <is>
          <t>WARREN CITY</t>
        </is>
      </c>
      <c r="AF2140" t="inlineStr">
        <is>
          <t>WARREN CITY SD</t>
        </is>
      </c>
      <c r="AH2140" t="n">
        <v>14</v>
      </c>
      <c r="AI2140" t="n">
        <v>11</v>
      </c>
      <c r="AN2140" t="inlineStr">
        <is>
          <t>WARREN</t>
        </is>
      </c>
      <c r="AO2140" t="inlineStr">
        <is>
          <t>WARREN CITY 4F</t>
        </is>
      </c>
      <c r="AP2140" t="inlineStr">
        <is>
          <t>78-P-ADN</t>
        </is>
      </c>
      <c r="AQ2140" t="n">
        <v>9</v>
      </c>
      <c r="AR2140" t="n">
        <v>64</v>
      </c>
      <c r="AS2140" t="n">
        <v>32</v>
      </c>
      <c r="AU2140">
        <f>COUNTA($BA$2140:$EH$2140)</f>
        <v/>
      </c>
      <c r="AV2140">
        <f>COUNTIF($BA$2140:$EH$2140,"D")</f>
        <v/>
      </c>
      <c r="AW2140">
        <f>COUNTIF($BA$2140:$EH$2140,"R")</f>
        <v/>
      </c>
      <c r="AX2140">
        <f>IF(BN2140="D",1,0)+IF(BO2140="D",1,0)+IF(BT2140="D",1,0)+IF(BU2140="D",1,0)+IF(BW2140="D",1,0)+IF(CC2140="D",1,0)+IF(CD2140="D",1,0)+IF(CE2140="D",1,0)+IF(CF2140="D",1,0)+IF(CL2140="D",1,0)+IF(CM2140="D",1,0)+IF(CQ2140="D",1,0)+IF(CR2140="D",1,0)+IF(CS2140="D",1,0)+IF(CW2140="D",1,0)+IF(CX2140="D",1,0)+IF(DD2140="D",1,0)+IF(DE2140="D",1,0)+IF(DJ2140="D",1,0)+IF(DK2140="D",1,0)+IF(DO2140="D",1,0)+IF(DP2140="D",1,0)+IF(DQ2140="D",1,0)+IF(DW2140="D",1,0)+IF(DZ2140="D",1,0)+IF(EH2140="D",1,0)</f>
        <v/>
      </c>
      <c r="AY2140">
        <f>IF(DJ2140&lt;&gt;"",1,0)+IF(DK2140&lt;&gt;"",1,0)+IF(DM2140&lt;&gt;"",1,0)+IF(DO2140&lt;&gt;"",1,0)+IF(DP2140&lt;&gt;"",1,0)+IF(DQ2140&lt;&gt;"",1,0)+IF(DS2140&lt;&gt;"",1,0)+IF(DT2140&lt;&gt;"",1,0)+IF(DV2140&lt;&gt;"",1,0)+IF(DW2140&lt;&gt;"",1,0)+IF(DX2140&lt;&gt;"",1,0)+IF(DY2140&lt;&gt;"",1,0)+IF(DZ2140&lt;&gt;"",1,0)+IF(EB2140&lt;&gt;"",1,0)+IF(EC2140&lt;&gt;"",1,0)+IF(ED2140&lt;&gt;"",1,0)+IF(EG2140&lt;&gt;"",1,0)+IF(EH2140&lt;&gt;"",1,0)</f>
        <v/>
      </c>
      <c r="AZ2140">
        <f>IF(EH2140&lt;&gt;"",1,0)</f>
        <v/>
      </c>
      <c r="BB2140" t="inlineStr">
        <is>
          <t>WARREN-WARD 4</t>
        </is>
      </c>
    </row>
    <row r="2141">
      <c r="A2141" t="inlineStr">
        <is>
          <t>OH0021886108</t>
        </is>
      </c>
      <c r="B2141" t="n">
        <v>78</v>
      </c>
      <c r="C2141" t="n">
        <v>388852</v>
      </c>
      <c r="D2141" t="inlineStr">
        <is>
          <t>KIMBREW</t>
        </is>
      </c>
      <c r="E2141" t="inlineStr">
        <is>
          <t>THOMAS</t>
        </is>
      </c>
      <c r="F2141">
        <f>CONCATENATE(D2141," ",LEFT(H2141,4),"T=",AU2141,"D=",AV2141,"R=",AW2141,"M=",AX2141,"L=",AY2141,"B=",AZ2141)</f>
        <v/>
      </c>
      <c r="G2141" t="inlineStr">
        <is>
          <t>J</t>
        </is>
      </c>
      <c r="I2141" t="inlineStr">
        <is>
          <t>1984-01-03</t>
        </is>
      </c>
      <c r="J2141" t="inlineStr">
        <is>
          <t>2017-02-20</t>
        </is>
      </c>
      <c r="K2141" t="inlineStr">
        <is>
          <t>CONFIRMATION</t>
        </is>
      </c>
      <c r="M2141" t="inlineStr">
        <is>
          <t>1227 NILES RD SE</t>
        </is>
      </c>
      <c r="N2141">
        <f>RIGHT(M2141,LEN(M2141)-FIND(" ",M2141))</f>
        <v/>
      </c>
      <c r="P2141" t="inlineStr">
        <is>
          <t>WARREN</t>
        </is>
      </c>
      <c r="Q2141" t="inlineStr">
        <is>
          <t>OH</t>
        </is>
      </c>
      <c r="R2141" t="n">
        <v>44484</v>
      </c>
      <c r="AD2141" t="inlineStr">
        <is>
          <t>TRUMBULL CAREER &amp; TECH CENTER</t>
        </is>
      </c>
      <c r="AE2141" t="inlineStr">
        <is>
          <t>WARREN CITY</t>
        </is>
      </c>
      <c r="AF2141" t="inlineStr">
        <is>
          <t>WARREN CITY SD</t>
        </is>
      </c>
      <c r="AH2141" t="n">
        <v>14</v>
      </c>
      <c r="AI2141" t="n">
        <v>11</v>
      </c>
      <c r="AN2141" t="inlineStr">
        <is>
          <t>WARREN</t>
        </is>
      </c>
      <c r="AO2141" t="inlineStr">
        <is>
          <t>WARREN CITY 4F</t>
        </is>
      </c>
      <c r="AP2141" t="inlineStr">
        <is>
          <t>78-P-ADN</t>
        </is>
      </c>
      <c r="AQ2141" t="n">
        <v>9</v>
      </c>
      <c r="AR2141" t="n">
        <v>64</v>
      </c>
      <c r="AS2141" t="n">
        <v>32</v>
      </c>
      <c r="AU2141">
        <f>COUNTA($BA$2141:$EH$2141)</f>
        <v/>
      </c>
      <c r="AV2141">
        <f>COUNTIF($BA$2141:$EH$2141,"D")</f>
        <v/>
      </c>
      <c r="AW2141">
        <f>COUNTIF($BA$2141:$EH$2141,"R")</f>
        <v/>
      </c>
      <c r="AX2141">
        <f>IF(BN2141="D",1,0)+IF(BO2141="D",1,0)+IF(BT2141="D",1,0)+IF(BU2141="D",1,0)+IF(BW2141="D",1,0)+IF(CC2141="D",1,0)+IF(CD2141="D",1,0)+IF(CE2141="D",1,0)+IF(CF2141="D",1,0)+IF(CL2141="D",1,0)+IF(CM2141="D",1,0)+IF(CQ2141="D",1,0)+IF(CR2141="D",1,0)+IF(CS2141="D",1,0)+IF(CW2141="D",1,0)+IF(CX2141="D",1,0)+IF(DD2141="D",1,0)+IF(DE2141="D",1,0)+IF(DJ2141="D",1,0)+IF(DK2141="D",1,0)+IF(DO2141="D",1,0)+IF(DP2141="D",1,0)+IF(DQ2141="D",1,0)+IF(DW2141="D",1,0)+IF(DZ2141="D",1,0)+IF(EH2141="D",1,0)</f>
        <v/>
      </c>
      <c r="AY2141">
        <f>IF(DJ2141&lt;&gt;"",1,0)+IF(DK2141&lt;&gt;"",1,0)+IF(DM2141&lt;&gt;"",1,0)+IF(DO2141&lt;&gt;"",1,0)+IF(DP2141&lt;&gt;"",1,0)+IF(DQ2141&lt;&gt;"",1,0)+IF(DS2141&lt;&gt;"",1,0)+IF(DT2141&lt;&gt;"",1,0)+IF(DV2141&lt;&gt;"",1,0)+IF(DW2141&lt;&gt;"",1,0)+IF(DX2141&lt;&gt;"",1,0)+IF(DY2141&lt;&gt;"",1,0)+IF(DZ2141&lt;&gt;"",1,0)+IF(EB2141&lt;&gt;"",1,0)+IF(EC2141&lt;&gt;"",1,0)+IF(ED2141&lt;&gt;"",1,0)+IF(EG2141&lt;&gt;"",1,0)+IF(EH2141&lt;&gt;"",1,0)</f>
        <v/>
      </c>
      <c r="AZ2141">
        <f>IF(EH2141&lt;&gt;"",1,0)</f>
        <v/>
      </c>
      <c r="BB2141" t="inlineStr">
        <is>
          <t>WARREN-WARD 4</t>
        </is>
      </c>
    </row>
    <row r="2142">
      <c r="A2142" t="inlineStr">
        <is>
          <t>OH0023254903</t>
        </is>
      </c>
      <c r="B2142" t="n">
        <v>78</v>
      </c>
      <c r="C2142" t="n">
        <v>409226</v>
      </c>
      <c r="D2142" t="inlineStr">
        <is>
          <t>BRANTLEY</t>
        </is>
      </c>
      <c r="E2142" t="inlineStr">
        <is>
          <t>GLEN</t>
        </is>
      </c>
      <c r="F2142">
        <f>CONCATENATE(D2142," ",LEFT(H2142,4),"T=",AU2142,"D=",AV2142,"R=",AW2142,"M=",AX2142,"L=",AY2142,"B=",AZ2142)</f>
        <v/>
      </c>
      <c r="G2142" t="inlineStr">
        <is>
          <t>A</t>
        </is>
      </c>
      <c r="I2142" t="inlineStr">
        <is>
          <t>1960-10-29</t>
        </is>
      </c>
      <c r="J2142" t="inlineStr">
        <is>
          <t>2024-08-10</t>
        </is>
      </c>
      <c r="K2142" t="inlineStr">
        <is>
          <t>ACTIVE</t>
        </is>
      </c>
      <c r="M2142" t="inlineStr">
        <is>
          <t>1868 DRAPER AVE SE</t>
        </is>
      </c>
      <c r="N2142">
        <f>RIGHT(M2142,LEN(M2142)-FIND(" ",M2142))</f>
        <v/>
      </c>
      <c r="P2142" t="inlineStr">
        <is>
          <t>WARREN</t>
        </is>
      </c>
      <c r="Q2142" t="inlineStr">
        <is>
          <t>OH</t>
        </is>
      </c>
      <c r="R2142" t="n">
        <v>44484</v>
      </c>
      <c r="AD2142" t="inlineStr">
        <is>
          <t>TRUMBULL CAREER &amp; TECH CENTER</t>
        </is>
      </c>
      <c r="AE2142" t="inlineStr">
        <is>
          <t>WARREN CITY</t>
        </is>
      </c>
      <c r="AF2142" t="inlineStr">
        <is>
          <t>WARREN CITY SD</t>
        </is>
      </c>
      <c r="AH2142" t="n">
        <v>14</v>
      </c>
      <c r="AI2142" t="n">
        <v>11</v>
      </c>
      <c r="AN2142" t="inlineStr">
        <is>
          <t>WARREN</t>
        </is>
      </c>
      <c r="AO2142" t="inlineStr">
        <is>
          <t>WARREN CITY 4F</t>
        </is>
      </c>
      <c r="AP2142" t="inlineStr">
        <is>
          <t>78-P-ADN</t>
        </is>
      </c>
      <c r="AQ2142" t="n">
        <v>9</v>
      </c>
      <c r="AR2142" t="n">
        <v>64</v>
      </c>
      <c r="AS2142" t="n">
        <v>32</v>
      </c>
      <c r="AU2142">
        <f>COUNTA($BA$2142:$EH$2142)</f>
        <v/>
      </c>
      <c r="AV2142">
        <f>COUNTIF($BA$2142:$EH$2142,"D")</f>
        <v/>
      </c>
      <c r="AW2142">
        <f>COUNTIF($BA$2142:$EH$2142,"R")</f>
        <v/>
      </c>
      <c r="AX2142">
        <f>IF(BN2142="D",1,0)+IF(BO2142="D",1,0)+IF(BT2142="D",1,0)+IF(BU2142="D",1,0)+IF(BW2142="D",1,0)+IF(CC2142="D",1,0)+IF(CD2142="D",1,0)+IF(CE2142="D",1,0)+IF(CF2142="D",1,0)+IF(CL2142="D",1,0)+IF(CM2142="D",1,0)+IF(CQ2142="D",1,0)+IF(CR2142="D",1,0)+IF(CS2142="D",1,0)+IF(CW2142="D",1,0)+IF(CX2142="D",1,0)+IF(DD2142="D",1,0)+IF(DE2142="D",1,0)+IF(DJ2142="D",1,0)+IF(DK2142="D",1,0)+IF(DO2142="D",1,0)+IF(DP2142="D",1,0)+IF(DQ2142="D",1,0)+IF(DW2142="D",1,0)+IF(DZ2142="D",1,0)+IF(EH2142="D",1,0)</f>
        <v/>
      </c>
      <c r="AY2142">
        <f>IF(DJ2142&lt;&gt;"",1,0)+IF(DK2142&lt;&gt;"",1,0)+IF(DM2142&lt;&gt;"",1,0)+IF(DO2142&lt;&gt;"",1,0)+IF(DP2142&lt;&gt;"",1,0)+IF(DQ2142&lt;&gt;"",1,0)+IF(DS2142&lt;&gt;"",1,0)+IF(DT2142&lt;&gt;"",1,0)+IF(DV2142&lt;&gt;"",1,0)+IF(DW2142&lt;&gt;"",1,0)+IF(DX2142&lt;&gt;"",1,0)+IF(DY2142&lt;&gt;"",1,0)+IF(DZ2142&lt;&gt;"",1,0)+IF(EB2142&lt;&gt;"",1,0)+IF(EC2142&lt;&gt;"",1,0)+IF(ED2142&lt;&gt;"",1,0)+IF(EG2142&lt;&gt;"",1,0)+IF(EH2142&lt;&gt;"",1,0)</f>
        <v/>
      </c>
      <c r="AZ2142">
        <f>IF(EH2142&lt;&gt;"",1,0)</f>
        <v/>
      </c>
      <c r="BB2142" t="inlineStr">
        <is>
          <t>WARREN-WARD 4</t>
        </is>
      </c>
      <c r="CL2142" t="inlineStr">
        <is>
          <t>D</t>
        </is>
      </c>
    </row>
    <row r="2143">
      <c r="A2143" t="inlineStr">
        <is>
          <t>OH0027514925</t>
        </is>
      </c>
      <c r="B2143" t="n">
        <v>78</v>
      </c>
      <c r="C2143" t="n">
        <v>487614</v>
      </c>
      <c r="D2143" t="inlineStr">
        <is>
          <t>BELL</t>
        </is>
      </c>
      <c r="E2143" t="inlineStr">
        <is>
          <t>KAM</t>
        </is>
      </c>
      <c r="F2143">
        <f>CONCATENATE(D2143," ",LEFT(H2143,4),"T=",AU2143,"D=",AV2143,"R=",AW2143,"M=",AX2143,"L=",AY2143,"B=",AZ2143)</f>
        <v/>
      </c>
      <c r="G2143" t="inlineStr">
        <is>
          <t>S</t>
        </is>
      </c>
      <c r="I2143" t="inlineStr">
        <is>
          <t>1980-12-07</t>
        </is>
      </c>
      <c r="J2143" t="inlineStr">
        <is>
          <t>2024-08-19</t>
        </is>
      </c>
      <c r="K2143" t="inlineStr">
        <is>
          <t>ACTIVE</t>
        </is>
      </c>
      <c r="M2143" t="inlineStr">
        <is>
          <t>2869 DUKE AVE SE</t>
        </is>
      </c>
      <c r="N2143">
        <f>RIGHT(M2143,LEN(M2143)-FIND(" ",M2143))</f>
        <v/>
      </c>
      <c r="P2143" t="inlineStr">
        <is>
          <t>WARREN</t>
        </is>
      </c>
      <c r="Q2143" t="inlineStr">
        <is>
          <t>OH</t>
        </is>
      </c>
      <c r="R2143" t="n">
        <v>44484</v>
      </c>
      <c r="AD2143" t="inlineStr">
        <is>
          <t>TRUMBULL CAREER &amp; TECH CENTER</t>
        </is>
      </c>
      <c r="AE2143" t="inlineStr">
        <is>
          <t>WARREN CITY</t>
        </is>
      </c>
      <c r="AF2143" t="inlineStr">
        <is>
          <t>WARREN CITY SD</t>
        </is>
      </c>
      <c r="AH2143" t="n">
        <v>14</v>
      </c>
      <c r="AI2143" t="n">
        <v>11</v>
      </c>
      <c r="AN2143" t="inlineStr">
        <is>
          <t>WARREN</t>
        </is>
      </c>
      <c r="AO2143" t="inlineStr">
        <is>
          <t>WARREN CITY 4F</t>
        </is>
      </c>
      <c r="AP2143" t="inlineStr">
        <is>
          <t>78-P-ADN</t>
        </is>
      </c>
      <c r="AQ2143" t="n">
        <v>9</v>
      </c>
      <c r="AR2143" t="n">
        <v>64</v>
      </c>
      <c r="AS2143" t="n">
        <v>32</v>
      </c>
      <c r="AU2143">
        <f>COUNTA($BA$2143:$EH$2143)</f>
        <v/>
      </c>
      <c r="AV2143">
        <f>COUNTIF($BA$2143:$EH$2143,"D")</f>
        <v/>
      </c>
      <c r="AW2143">
        <f>COUNTIF($BA$2143:$EH$2143,"R")</f>
        <v/>
      </c>
      <c r="AX2143">
        <f>IF(BN2143="D",1,0)+IF(BO2143="D",1,0)+IF(BT2143="D",1,0)+IF(BU2143="D",1,0)+IF(BW2143="D",1,0)+IF(CC2143="D",1,0)+IF(CD2143="D",1,0)+IF(CE2143="D",1,0)+IF(CF2143="D",1,0)+IF(CL2143="D",1,0)+IF(CM2143="D",1,0)+IF(CQ2143="D",1,0)+IF(CR2143="D",1,0)+IF(CS2143="D",1,0)+IF(CW2143="D",1,0)+IF(CX2143="D",1,0)+IF(DD2143="D",1,0)+IF(DE2143="D",1,0)+IF(DJ2143="D",1,0)+IF(DK2143="D",1,0)+IF(DO2143="D",1,0)+IF(DP2143="D",1,0)+IF(DQ2143="D",1,0)+IF(DW2143="D",1,0)+IF(DZ2143="D",1,0)+IF(EH2143="D",1,0)</f>
        <v/>
      </c>
      <c r="AY2143">
        <f>IF(DJ2143&lt;&gt;"",1,0)+IF(DK2143&lt;&gt;"",1,0)+IF(DM2143&lt;&gt;"",1,0)+IF(DO2143&lt;&gt;"",1,0)+IF(DP2143&lt;&gt;"",1,0)+IF(DQ2143&lt;&gt;"",1,0)+IF(DS2143&lt;&gt;"",1,0)+IF(DT2143&lt;&gt;"",1,0)+IF(DV2143&lt;&gt;"",1,0)+IF(DW2143&lt;&gt;"",1,0)+IF(DX2143&lt;&gt;"",1,0)+IF(DY2143&lt;&gt;"",1,0)+IF(DZ2143&lt;&gt;"",1,0)+IF(EB2143&lt;&gt;"",1,0)+IF(EC2143&lt;&gt;"",1,0)+IF(ED2143&lt;&gt;"",1,0)+IF(EG2143&lt;&gt;"",1,0)+IF(EH2143&lt;&gt;"",1,0)</f>
        <v/>
      </c>
      <c r="AZ2143">
        <f>IF(EH2143&lt;&gt;"",1,0)</f>
        <v/>
      </c>
      <c r="BB2143" t="inlineStr">
        <is>
          <t>WARREN-WARD 4</t>
        </is>
      </c>
    </row>
    <row r="2144">
      <c r="A2144" t="inlineStr">
        <is>
          <t>OH0024943257</t>
        </is>
      </c>
      <c r="B2144" t="n">
        <v>78</v>
      </c>
      <c r="C2144" t="n">
        <v>436806</v>
      </c>
      <c r="D2144" t="inlineStr">
        <is>
          <t>WILSON</t>
        </is>
      </c>
      <c r="E2144" t="inlineStr">
        <is>
          <t>AARON</t>
        </is>
      </c>
      <c r="F2144">
        <f>CONCATENATE(D2144," ",LEFT(H2144,4),"T=",AU2144,"D=",AV2144,"R=",AW2144,"M=",AX2144,"L=",AY2144,"B=",AZ2144)</f>
        <v/>
      </c>
      <c r="G2144" t="inlineStr">
        <is>
          <t>CURTIS</t>
        </is>
      </c>
      <c r="I2144" t="inlineStr">
        <is>
          <t>1992-08-03</t>
        </is>
      </c>
      <c r="J2144" t="inlineStr">
        <is>
          <t>2018-11-06</t>
        </is>
      </c>
      <c r="K2144" t="inlineStr">
        <is>
          <t>CONFIRMATION</t>
        </is>
      </c>
      <c r="M2144" t="inlineStr">
        <is>
          <t>1046 HOMEWOOD AVE SE</t>
        </is>
      </c>
      <c r="N2144">
        <f>RIGHT(M2144,LEN(M2144)-FIND(" ",M2144))</f>
        <v/>
      </c>
      <c r="P2144" t="inlineStr">
        <is>
          <t>WARREN</t>
        </is>
      </c>
      <c r="Q2144" t="inlineStr">
        <is>
          <t>OH</t>
        </is>
      </c>
      <c r="R2144" t="n">
        <v>44484</v>
      </c>
      <c r="AD2144" t="inlineStr">
        <is>
          <t>TRUMBULL CAREER &amp; TECH CENTER</t>
        </is>
      </c>
      <c r="AE2144" t="inlineStr">
        <is>
          <t>WARREN CITY</t>
        </is>
      </c>
      <c r="AF2144" t="inlineStr">
        <is>
          <t>WARREN CITY SD</t>
        </is>
      </c>
      <c r="AH2144" t="n">
        <v>14</v>
      </c>
      <c r="AI2144" t="n">
        <v>11</v>
      </c>
      <c r="AN2144" t="inlineStr">
        <is>
          <t>WARREN</t>
        </is>
      </c>
      <c r="AO2144" t="inlineStr">
        <is>
          <t>WARREN CITY 4F</t>
        </is>
      </c>
      <c r="AP2144" t="inlineStr">
        <is>
          <t>78-P-ADN</t>
        </is>
      </c>
      <c r="AQ2144" t="n">
        <v>9</v>
      </c>
      <c r="AR2144" t="n">
        <v>64</v>
      </c>
      <c r="AS2144" t="n">
        <v>32</v>
      </c>
      <c r="AU2144">
        <f>COUNTA($BA$2144:$EH$2144)</f>
        <v/>
      </c>
      <c r="AV2144">
        <f>COUNTIF($BA$2144:$EH$2144,"D")</f>
        <v/>
      </c>
      <c r="AW2144">
        <f>COUNTIF($BA$2144:$EH$2144,"R")</f>
        <v/>
      </c>
      <c r="AX2144">
        <f>IF(BN2144="D",1,0)+IF(BO2144="D",1,0)+IF(BT2144="D",1,0)+IF(BU2144="D",1,0)+IF(BW2144="D",1,0)+IF(CC2144="D",1,0)+IF(CD2144="D",1,0)+IF(CE2144="D",1,0)+IF(CF2144="D",1,0)+IF(CL2144="D",1,0)+IF(CM2144="D",1,0)+IF(CQ2144="D",1,0)+IF(CR2144="D",1,0)+IF(CS2144="D",1,0)+IF(CW2144="D",1,0)+IF(CX2144="D",1,0)+IF(DD2144="D",1,0)+IF(DE2144="D",1,0)+IF(DJ2144="D",1,0)+IF(DK2144="D",1,0)+IF(DO2144="D",1,0)+IF(DP2144="D",1,0)+IF(DQ2144="D",1,0)+IF(DW2144="D",1,0)+IF(DZ2144="D",1,0)+IF(EH2144="D",1,0)</f>
        <v/>
      </c>
      <c r="AY2144">
        <f>IF(DJ2144&lt;&gt;"",1,0)+IF(DK2144&lt;&gt;"",1,0)+IF(DM2144&lt;&gt;"",1,0)+IF(DO2144&lt;&gt;"",1,0)+IF(DP2144&lt;&gt;"",1,0)+IF(DQ2144&lt;&gt;"",1,0)+IF(DS2144&lt;&gt;"",1,0)+IF(DT2144&lt;&gt;"",1,0)+IF(DV2144&lt;&gt;"",1,0)+IF(DW2144&lt;&gt;"",1,0)+IF(DX2144&lt;&gt;"",1,0)+IF(DY2144&lt;&gt;"",1,0)+IF(DZ2144&lt;&gt;"",1,0)+IF(EB2144&lt;&gt;"",1,0)+IF(EC2144&lt;&gt;"",1,0)+IF(ED2144&lt;&gt;"",1,0)+IF(EG2144&lt;&gt;"",1,0)+IF(EH2144&lt;&gt;"",1,0)</f>
        <v/>
      </c>
      <c r="AZ2144">
        <f>IF(EH2144&lt;&gt;"",1,0)</f>
        <v/>
      </c>
      <c r="BB2144" t="inlineStr">
        <is>
          <t>WARREN-WARD 4</t>
        </is>
      </c>
      <c r="DN2144" t="inlineStr">
        <is>
          <t>X</t>
        </is>
      </c>
    </row>
    <row r="2145">
      <c r="A2145" t="inlineStr">
        <is>
          <t>OH0023441140</t>
        </is>
      </c>
      <c r="B2145" t="n">
        <v>78</v>
      </c>
      <c r="C2145" t="n">
        <v>411585</v>
      </c>
      <c r="D2145" t="inlineStr">
        <is>
          <t>DIGGS</t>
        </is>
      </c>
      <c r="E2145" t="inlineStr">
        <is>
          <t>BERNITA</t>
        </is>
      </c>
      <c r="F2145">
        <f>CONCATENATE(D2145," ",LEFT(H2145,4),"T=",AU2145,"D=",AV2145,"R=",AW2145,"M=",AX2145,"L=",AY2145,"B=",AZ2145)</f>
        <v/>
      </c>
      <c r="G2145" t="inlineStr">
        <is>
          <t>F</t>
        </is>
      </c>
      <c r="I2145" t="inlineStr">
        <is>
          <t>1958-01-25</t>
        </is>
      </c>
      <c r="J2145" t="inlineStr">
        <is>
          <t>2015-10-06</t>
        </is>
      </c>
      <c r="K2145" t="inlineStr">
        <is>
          <t>ACTIVE</t>
        </is>
      </c>
      <c r="L2145" t="inlineStr">
        <is>
          <t>D</t>
        </is>
      </c>
      <c r="M2145" t="inlineStr">
        <is>
          <t>1787 BRIER ST SE</t>
        </is>
      </c>
      <c r="N2145">
        <f>RIGHT(M2145,LEN(M2145)-FIND(" ",M2145))</f>
        <v/>
      </c>
      <c r="P2145" t="inlineStr">
        <is>
          <t>WARREN</t>
        </is>
      </c>
      <c r="Q2145" t="inlineStr">
        <is>
          <t>OH</t>
        </is>
      </c>
      <c r="R2145" t="n">
        <v>44484</v>
      </c>
      <c r="AD2145" t="inlineStr">
        <is>
          <t>TRUMBULL CAREER &amp; TECH CENTER</t>
        </is>
      </c>
      <c r="AE2145" t="inlineStr">
        <is>
          <t>WARREN CITY</t>
        </is>
      </c>
      <c r="AF2145" t="inlineStr">
        <is>
          <t>WARREN CITY SD</t>
        </is>
      </c>
      <c r="AH2145" t="n">
        <v>14</v>
      </c>
      <c r="AI2145" t="n">
        <v>11</v>
      </c>
      <c r="AN2145" t="inlineStr">
        <is>
          <t>WARREN</t>
        </is>
      </c>
      <c r="AO2145" t="inlineStr">
        <is>
          <t>WARREN CITY 4F</t>
        </is>
      </c>
      <c r="AP2145" t="inlineStr">
        <is>
          <t>78-P-ADN</t>
        </is>
      </c>
      <c r="AQ2145" t="n">
        <v>9</v>
      </c>
      <c r="AR2145" t="n">
        <v>64</v>
      </c>
      <c r="AS2145" t="n">
        <v>32</v>
      </c>
      <c r="AU2145">
        <f>COUNTA($BA$2145:$EH$2145)</f>
        <v/>
      </c>
      <c r="AV2145">
        <f>COUNTIF($BA$2145:$EH$2145,"D")</f>
        <v/>
      </c>
      <c r="AW2145">
        <f>COUNTIF($BA$2145:$EH$2145,"R")</f>
        <v/>
      </c>
      <c r="AX2145">
        <f>IF(BN2145="D",1,0)+IF(BO2145="D",1,0)+IF(BT2145="D",1,0)+IF(BU2145="D",1,0)+IF(BW2145="D",1,0)+IF(CC2145="D",1,0)+IF(CD2145="D",1,0)+IF(CE2145="D",1,0)+IF(CF2145="D",1,0)+IF(CL2145="D",1,0)+IF(CM2145="D",1,0)+IF(CQ2145="D",1,0)+IF(CR2145="D",1,0)+IF(CS2145="D",1,0)+IF(CW2145="D",1,0)+IF(CX2145="D",1,0)+IF(DD2145="D",1,0)+IF(DE2145="D",1,0)+IF(DJ2145="D",1,0)+IF(DK2145="D",1,0)+IF(DO2145="D",1,0)+IF(DP2145="D",1,0)+IF(DQ2145="D",1,0)+IF(DW2145="D",1,0)+IF(DZ2145="D",1,0)+IF(EH2145="D",1,0)</f>
        <v/>
      </c>
      <c r="AY2145">
        <f>IF(DJ2145&lt;&gt;"",1,0)+IF(DK2145&lt;&gt;"",1,0)+IF(DM2145&lt;&gt;"",1,0)+IF(DO2145&lt;&gt;"",1,0)+IF(DP2145&lt;&gt;"",1,0)+IF(DQ2145&lt;&gt;"",1,0)+IF(DS2145&lt;&gt;"",1,0)+IF(DT2145&lt;&gt;"",1,0)+IF(DV2145&lt;&gt;"",1,0)+IF(DW2145&lt;&gt;"",1,0)+IF(DX2145&lt;&gt;"",1,0)+IF(DY2145&lt;&gt;"",1,0)+IF(DZ2145&lt;&gt;"",1,0)+IF(EB2145&lt;&gt;"",1,0)+IF(EC2145&lt;&gt;"",1,0)+IF(ED2145&lt;&gt;"",1,0)+IF(EG2145&lt;&gt;"",1,0)+IF(EH2145&lt;&gt;"",1,0)</f>
        <v/>
      </c>
      <c r="AZ2145">
        <f>IF(EH2145&lt;&gt;"",1,0)</f>
        <v/>
      </c>
      <c r="BB2145" t="inlineStr">
        <is>
          <t>WARREN-WARD 4</t>
        </is>
      </c>
      <c r="BC2145" t="inlineStr">
        <is>
          <t>X</t>
        </is>
      </c>
      <c r="BD2145" t="inlineStr">
        <is>
          <t>X</t>
        </is>
      </c>
      <c r="BF2145" t="inlineStr">
        <is>
          <t>X</t>
        </is>
      </c>
      <c r="BG2145" t="inlineStr">
        <is>
          <t>X</t>
        </is>
      </c>
      <c r="BH2145" t="inlineStr">
        <is>
          <t>X</t>
        </is>
      </c>
      <c r="BI2145" t="inlineStr">
        <is>
          <t>X</t>
        </is>
      </c>
      <c r="BJ2145" t="inlineStr">
        <is>
          <t>X</t>
        </is>
      </c>
      <c r="BL2145" t="inlineStr">
        <is>
          <t>X</t>
        </is>
      </c>
      <c r="BR2145" t="inlineStr">
        <is>
          <t>X</t>
        </is>
      </c>
      <c r="CZ2145" t="inlineStr">
        <is>
          <t>D</t>
        </is>
      </c>
      <c r="DC2145" t="inlineStr">
        <is>
          <t>X</t>
        </is>
      </c>
      <c r="DG2145" t="inlineStr">
        <is>
          <t>D</t>
        </is>
      </c>
      <c r="DI2145" t="inlineStr">
        <is>
          <t>X</t>
        </is>
      </c>
      <c r="DL2145" t="inlineStr">
        <is>
          <t>X</t>
        </is>
      </c>
      <c r="DM2145" t="inlineStr">
        <is>
          <t>D</t>
        </is>
      </c>
      <c r="DN2145" t="inlineStr">
        <is>
          <t>X</t>
        </is>
      </c>
      <c r="DU2145" t="inlineStr">
        <is>
          <t>X</t>
        </is>
      </c>
      <c r="DW2145" t="inlineStr">
        <is>
          <t>D</t>
        </is>
      </c>
      <c r="EF2145" t="inlineStr">
        <is>
          <t>X</t>
        </is>
      </c>
      <c r="EH2145" t="inlineStr">
        <is>
          <t>D</t>
        </is>
      </c>
    </row>
    <row r="2146">
      <c r="A2146" t="inlineStr">
        <is>
          <t>OH0026272219</t>
        </is>
      </c>
      <c r="B2146" t="n">
        <v>78</v>
      </c>
      <c r="C2146" t="n">
        <v>459425</v>
      </c>
      <c r="D2146" t="inlineStr">
        <is>
          <t>MANCINI</t>
        </is>
      </c>
      <c r="E2146" t="inlineStr">
        <is>
          <t>ANTHONY</t>
        </is>
      </c>
      <c r="F2146">
        <f>CONCATENATE(D2146," ",LEFT(H2146,4),"T=",AU2146,"D=",AV2146,"R=",AW2146,"M=",AX2146,"L=",AY2146,"B=",AZ2146)</f>
        <v/>
      </c>
      <c r="G2146" t="inlineStr">
        <is>
          <t>ELDON</t>
        </is>
      </c>
      <c r="I2146" t="inlineStr">
        <is>
          <t>2002-07-11</t>
        </is>
      </c>
      <c r="J2146" t="inlineStr">
        <is>
          <t>2021-08-20</t>
        </is>
      </c>
      <c r="K2146" t="inlineStr">
        <is>
          <t>ACTIVE</t>
        </is>
      </c>
      <c r="M2146" t="inlineStr">
        <is>
          <t>1131 NILES RD SE</t>
        </is>
      </c>
      <c r="N2146">
        <f>RIGHT(M2146,LEN(M2146)-FIND(" ",M2146))</f>
        <v/>
      </c>
      <c r="P2146" t="inlineStr">
        <is>
          <t>WARREN</t>
        </is>
      </c>
      <c r="Q2146" t="inlineStr">
        <is>
          <t>OH</t>
        </is>
      </c>
      <c r="R2146" t="n">
        <v>44484</v>
      </c>
      <c r="AD2146" t="inlineStr">
        <is>
          <t>TRUMBULL CAREER &amp; TECH CENTER</t>
        </is>
      </c>
      <c r="AE2146" t="inlineStr">
        <is>
          <t>WARREN CITY</t>
        </is>
      </c>
      <c r="AF2146" t="inlineStr">
        <is>
          <t>WARREN CITY SD</t>
        </is>
      </c>
      <c r="AH2146" t="n">
        <v>14</v>
      </c>
      <c r="AI2146" t="n">
        <v>11</v>
      </c>
      <c r="AN2146" t="inlineStr">
        <is>
          <t>WARREN</t>
        </is>
      </c>
      <c r="AO2146" t="inlineStr">
        <is>
          <t>WARREN CITY 4F</t>
        </is>
      </c>
      <c r="AP2146" t="inlineStr">
        <is>
          <t>78-P-ADN</t>
        </is>
      </c>
      <c r="AQ2146" t="n">
        <v>9</v>
      </c>
      <c r="AR2146" t="n">
        <v>64</v>
      </c>
      <c r="AS2146" t="n">
        <v>32</v>
      </c>
      <c r="AU2146">
        <f>COUNTA($BA$2146:$EH$2146)</f>
        <v/>
      </c>
      <c r="AV2146">
        <f>COUNTIF($BA$2146:$EH$2146,"D")</f>
        <v/>
      </c>
      <c r="AW2146">
        <f>COUNTIF($BA$2146:$EH$2146,"R")</f>
        <v/>
      </c>
      <c r="AX2146">
        <f>IF(BN2146="D",1,0)+IF(BO2146="D",1,0)+IF(BT2146="D",1,0)+IF(BU2146="D",1,0)+IF(BW2146="D",1,0)+IF(CC2146="D",1,0)+IF(CD2146="D",1,0)+IF(CE2146="D",1,0)+IF(CF2146="D",1,0)+IF(CL2146="D",1,0)+IF(CM2146="D",1,0)+IF(CQ2146="D",1,0)+IF(CR2146="D",1,0)+IF(CS2146="D",1,0)+IF(CW2146="D",1,0)+IF(CX2146="D",1,0)+IF(DD2146="D",1,0)+IF(DE2146="D",1,0)+IF(DJ2146="D",1,0)+IF(DK2146="D",1,0)+IF(DO2146="D",1,0)+IF(DP2146="D",1,0)+IF(DQ2146="D",1,0)+IF(DW2146="D",1,0)+IF(DZ2146="D",1,0)+IF(EH2146="D",1,0)</f>
        <v/>
      </c>
      <c r="AY2146">
        <f>IF(DJ2146&lt;&gt;"",1,0)+IF(DK2146&lt;&gt;"",1,0)+IF(DM2146&lt;&gt;"",1,0)+IF(DO2146&lt;&gt;"",1,0)+IF(DP2146&lt;&gt;"",1,0)+IF(DQ2146&lt;&gt;"",1,0)+IF(DS2146&lt;&gt;"",1,0)+IF(DT2146&lt;&gt;"",1,0)+IF(DV2146&lt;&gt;"",1,0)+IF(DW2146&lt;&gt;"",1,0)+IF(DX2146&lt;&gt;"",1,0)+IF(DY2146&lt;&gt;"",1,0)+IF(DZ2146&lt;&gt;"",1,0)+IF(EB2146&lt;&gt;"",1,0)+IF(EC2146&lt;&gt;"",1,0)+IF(ED2146&lt;&gt;"",1,0)+IF(EG2146&lt;&gt;"",1,0)+IF(EH2146&lt;&gt;"",1,0)</f>
        <v/>
      </c>
      <c r="AZ2146">
        <f>IF(EH2146&lt;&gt;"",1,0)</f>
        <v/>
      </c>
      <c r="BB2146" t="inlineStr">
        <is>
          <t>WARREN-WARD 4</t>
        </is>
      </c>
      <c r="EA2146" t="inlineStr">
        <is>
          <t>X</t>
        </is>
      </c>
      <c r="EF2146" t="inlineStr">
        <is>
          <t>X</t>
        </is>
      </c>
    </row>
    <row r="2147">
      <c r="A2147" t="inlineStr">
        <is>
          <t>OH0027514396</t>
        </is>
      </c>
      <c r="B2147" t="n">
        <v>78</v>
      </c>
      <c r="C2147" t="n">
        <v>487593</v>
      </c>
      <c r="D2147" t="inlineStr">
        <is>
          <t>BRYANT</t>
        </is>
      </c>
      <c r="E2147" t="inlineStr">
        <is>
          <t>MARCUS</t>
        </is>
      </c>
      <c r="F2147">
        <f>CONCATENATE(D2147," ",LEFT(H2147,4),"T=",AU2147,"D=",AV2147,"R=",AW2147,"M=",AX2147,"L=",AY2147,"B=",AZ2147)</f>
        <v/>
      </c>
      <c r="G2147" t="inlineStr">
        <is>
          <t>A</t>
        </is>
      </c>
      <c r="I2147" t="inlineStr">
        <is>
          <t>1978-01-02</t>
        </is>
      </c>
      <c r="J2147" t="inlineStr">
        <is>
          <t>2024-08-05</t>
        </is>
      </c>
      <c r="K2147" t="inlineStr">
        <is>
          <t>ACTIVE</t>
        </is>
      </c>
      <c r="M2147" t="inlineStr">
        <is>
          <t>1561 HOMEWOOD AVE SE</t>
        </is>
      </c>
      <c r="N2147">
        <f>RIGHT(M2147,LEN(M2147)-FIND(" ",M2147))</f>
        <v/>
      </c>
      <c r="P2147" t="inlineStr">
        <is>
          <t>WARREN</t>
        </is>
      </c>
      <c r="Q2147" t="inlineStr">
        <is>
          <t>OH</t>
        </is>
      </c>
      <c r="R2147" t="n">
        <v>44484</v>
      </c>
      <c r="AD2147" t="inlineStr">
        <is>
          <t>TRUMBULL CAREER &amp; TECH CENTER</t>
        </is>
      </c>
      <c r="AE2147" t="inlineStr">
        <is>
          <t>WARREN CITY</t>
        </is>
      </c>
      <c r="AF2147" t="inlineStr">
        <is>
          <t>WARREN CITY SD</t>
        </is>
      </c>
      <c r="AH2147" t="n">
        <v>14</v>
      </c>
      <c r="AI2147" t="n">
        <v>11</v>
      </c>
      <c r="AN2147" t="inlineStr">
        <is>
          <t>WARREN</t>
        </is>
      </c>
      <c r="AO2147" t="inlineStr">
        <is>
          <t>WARREN CITY 4F</t>
        </is>
      </c>
      <c r="AP2147" t="inlineStr">
        <is>
          <t>78-P-ADN</t>
        </is>
      </c>
      <c r="AQ2147" t="n">
        <v>9</v>
      </c>
      <c r="AR2147" t="n">
        <v>64</v>
      </c>
      <c r="AS2147" t="n">
        <v>32</v>
      </c>
      <c r="AU2147">
        <f>COUNTA($BA$2147:$EH$2147)</f>
        <v/>
      </c>
      <c r="AV2147">
        <f>COUNTIF($BA$2147:$EH$2147,"D")</f>
        <v/>
      </c>
      <c r="AW2147">
        <f>COUNTIF($BA$2147:$EH$2147,"R")</f>
        <v/>
      </c>
      <c r="AX2147">
        <f>IF(BN2147="D",1,0)+IF(BO2147="D",1,0)+IF(BT2147="D",1,0)+IF(BU2147="D",1,0)+IF(BW2147="D",1,0)+IF(CC2147="D",1,0)+IF(CD2147="D",1,0)+IF(CE2147="D",1,0)+IF(CF2147="D",1,0)+IF(CL2147="D",1,0)+IF(CM2147="D",1,0)+IF(CQ2147="D",1,0)+IF(CR2147="D",1,0)+IF(CS2147="D",1,0)+IF(CW2147="D",1,0)+IF(CX2147="D",1,0)+IF(DD2147="D",1,0)+IF(DE2147="D",1,0)+IF(DJ2147="D",1,0)+IF(DK2147="D",1,0)+IF(DO2147="D",1,0)+IF(DP2147="D",1,0)+IF(DQ2147="D",1,0)+IF(DW2147="D",1,0)+IF(DZ2147="D",1,0)+IF(EH2147="D",1,0)</f>
        <v/>
      </c>
      <c r="AY2147">
        <f>IF(DJ2147&lt;&gt;"",1,0)+IF(DK2147&lt;&gt;"",1,0)+IF(DM2147&lt;&gt;"",1,0)+IF(DO2147&lt;&gt;"",1,0)+IF(DP2147&lt;&gt;"",1,0)+IF(DQ2147&lt;&gt;"",1,0)+IF(DS2147&lt;&gt;"",1,0)+IF(DT2147&lt;&gt;"",1,0)+IF(DV2147&lt;&gt;"",1,0)+IF(DW2147&lt;&gt;"",1,0)+IF(DX2147&lt;&gt;"",1,0)+IF(DY2147&lt;&gt;"",1,0)+IF(DZ2147&lt;&gt;"",1,0)+IF(EB2147&lt;&gt;"",1,0)+IF(EC2147&lt;&gt;"",1,0)+IF(ED2147&lt;&gt;"",1,0)+IF(EG2147&lt;&gt;"",1,0)+IF(EH2147&lt;&gt;"",1,0)</f>
        <v/>
      </c>
      <c r="AZ2147">
        <f>IF(EH2147&lt;&gt;"",1,0)</f>
        <v/>
      </c>
      <c r="BB2147" t="inlineStr">
        <is>
          <t>WARREN-WARD 4</t>
        </is>
      </c>
      <c r="BL2147" t="inlineStr">
        <is>
          <t>X</t>
        </is>
      </c>
    </row>
    <row r="2148">
      <c r="A2148" t="inlineStr">
        <is>
          <t>OH0015776377</t>
        </is>
      </c>
      <c r="B2148" t="n">
        <v>78</v>
      </c>
      <c r="C2148" t="n">
        <v>291839</v>
      </c>
      <c r="D2148" t="inlineStr">
        <is>
          <t>ALLEN</t>
        </is>
      </c>
      <c r="E2148" t="inlineStr">
        <is>
          <t>ERICA</t>
        </is>
      </c>
      <c r="F2148">
        <f>CONCATENATE(D2148," ",LEFT(H2148,4),"T=",AU2148,"D=",AV2148,"R=",AW2148,"M=",AX2148,"L=",AY2148,"B=",AZ2148)</f>
        <v/>
      </c>
      <c r="G2148" t="inlineStr">
        <is>
          <t>D</t>
        </is>
      </c>
      <c r="I2148" t="inlineStr">
        <is>
          <t>1980-10-27</t>
        </is>
      </c>
      <c r="J2148" t="inlineStr">
        <is>
          <t>2016-09-07</t>
        </is>
      </c>
      <c r="K2148" t="inlineStr">
        <is>
          <t>ACTIVE</t>
        </is>
      </c>
      <c r="M2148" t="inlineStr">
        <is>
          <t>1929 BURTON ST SE</t>
        </is>
      </c>
      <c r="N2148">
        <f>RIGHT(M2148,LEN(M2148)-FIND(" ",M2148))</f>
        <v/>
      </c>
      <c r="P2148" t="inlineStr">
        <is>
          <t>WARREN</t>
        </is>
      </c>
      <c r="Q2148" t="inlineStr">
        <is>
          <t>OH</t>
        </is>
      </c>
      <c r="R2148" t="n">
        <v>44484</v>
      </c>
      <c r="AD2148" t="inlineStr">
        <is>
          <t>TRUMBULL CAREER &amp; TECH CENTER</t>
        </is>
      </c>
      <c r="AE2148" t="inlineStr">
        <is>
          <t>WARREN CITY</t>
        </is>
      </c>
      <c r="AF2148" t="inlineStr">
        <is>
          <t>WARREN CITY SD</t>
        </is>
      </c>
      <c r="AH2148" t="n">
        <v>14</v>
      </c>
      <c r="AI2148" t="n">
        <v>11</v>
      </c>
      <c r="AN2148" t="inlineStr">
        <is>
          <t>WARREN</t>
        </is>
      </c>
      <c r="AO2148" t="inlineStr">
        <is>
          <t>WARREN CITY 4F</t>
        </is>
      </c>
      <c r="AP2148" t="inlineStr">
        <is>
          <t>78-P-ADN</t>
        </is>
      </c>
      <c r="AQ2148" t="n">
        <v>9</v>
      </c>
      <c r="AR2148" t="n">
        <v>64</v>
      </c>
      <c r="AS2148" t="n">
        <v>32</v>
      </c>
      <c r="AU2148">
        <f>COUNTA($BA$2148:$EH$2148)</f>
        <v/>
      </c>
      <c r="AV2148">
        <f>COUNTIF($BA$2148:$EH$2148,"D")</f>
        <v/>
      </c>
      <c r="AW2148">
        <f>COUNTIF($BA$2148:$EH$2148,"R")</f>
        <v/>
      </c>
      <c r="AX2148">
        <f>IF(BN2148="D",1,0)+IF(BO2148="D",1,0)+IF(BT2148="D",1,0)+IF(BU2148="D",1,0)+IF(BW2148="D",1,0)+IF(CC2148="D",1,0)+IF(CD2148="D",1,0)+IF(CE2148="D",1,0)+IF(CF2148="D",1,0)+IF(CL2148="D",1,0)+IF(CM2148="D",1,0)+IF(CQ2148="D",1,0)+IF(CR2148="D",1,0)+IF(CS2148="D",1,0)+IF(CW2148="D",1,0)+IF(CX2148="D",1,0)+IF(DD2148="D",1,0)+IF(DE2148="D",1,0)+IF(DJ2148="D",1,0)+IF(DK2148="D",1,0)+IF(DO2148="D",1,0)+IF(DP2148="D",1,0)+IF(DQ2148="D",1,0)+IF(DW2148="D",1,0)+IF(DZ2148="D",1,0)+IF(EH2148="D",1,0)</f>
        <v/>
      </c>
      <c r="AY2148">
        <f>IF(DJ2148&lt;&gt;"",1,0)+IF(DK2148&lt;&gt;"",1,0)+IF(DM2148&lt;&gt;"",1,0)+IF(DO2148&lt;&gt;"",1,0)+IF(DP2148&lt;&gt;"",1,0)+IF(DQ2148&lt;&gt;"",1,0)+IF(DS2148&lt;&gt;"",1,0)+IF(DT2148&lt;&gt;"",1,0)+IF(DV2148&lt;&gt;"",1,0)+IF(DW2148&lt;&gt;"",1,0)+IF(DX2148&lt;&gt;"",1,0)+IF(DY2148&lt;&gt;"",1,0)+IF(DZ2148&lt;&gt;"",1,0)+IF(EB2148&lt;&gt;"",1,0)+IF(EC2148&lt;&gt;"",1,0)+IF(ED2148&lt;&gt;"",1,0)+IF(EG2148&lt;&gt;"",1,0)+IF(EH2148&lt;&gt;"",1,0)</f>
        <v/>
      </c>
      <c r="AZ2148">
        <f>IF(EH2148&lt;&gt;"",1,0)</f>
        <v/>
      </c>
      <c r="BB2148" t="inlineStr">
        <is>
          <t>WARREN-WARD 4</t>
        </is>
      </c>
      <c r="BL2148" t="inlineStr">
        <is>
          <t>X</t>
        </is>
      </c>
      <c r="CA2148" t="inlineStr">
        <is>
          <t>X</t>
        </is>
      </c>
      <c r="CN2148" t="inlineStr">
        <is>
          <t>X</t>
        </is>
      </c>
      <c r="CP2148" t="inlineStr">
        <is>
          <t>X</t>
        </is>
      </c>
      <c r="CV2148" t="inlineStr">
        <is>
          <t>X</t>
        </is>
      </c>
      <c r="DC2148" t="inlineStr">
        <is>
          <t>X</t>
        </is>
      </c>
      <c r="DI2148" t="inlineStr">
        <is>
          <t>X</t>
        </is>
      </c>
      <c r="DN2148" t="inlineStr">
        <is>
          <t>X</t>
        </is>
      </c>
      <c r="DU2148" t="inlineStr">
        <is>
          <t>X</t>
        </is>
      </c>
      <c r="EF2148" t="inlineStr">
        <is>
          <t>X</t>
        </is>
      </c>
    </row>
    <row r="2149">
      <c r="A2149" t="inlineStr">
        <is>
          <t>OH0023783234</t>
        </is>
      </c>
      <c r="B2149" t="n">
        <v>78</v>
      </c>
      <c r="C2149" t="n">
        <v>418078</v>
      </c>
      <c r="D2149" t="inlineStr">
        <is>
          <t>SARRA</t>
        </is>
      </c>
      <c r="E2149" t="inlineStr">
        <is>
          <t>RALPH</t>
        </is>
      </c>
      <c r="F2149">
        <f>CONCATENATE(D2149," ",LEFT(H2149,4),"T=",AU2149,"D=",AV2149,"R=",AW2149,"M=",AX2149,"L=",AY2149,"B=",AZ2149)</f>
        <v/>
      </c>
      <c r="G2149" t="inlineStr">
        <is>
          <t>R</t>
        </is>
      </c>
      <c r="I2149" t="inlineStr">
        <is>
          <t>1958-02-01</t>
        </is>
      </c>
      <c r="J2149" t="inlineStr">
        <is>
          <t>2024-08-01</t>
        </is>
      </c>
      <c r="K2149" t="inlineStr">
        <is>
          <t>ACTIVE</t>
        </is>
      </c>
      <c r="M2149" t="inlineStr">
        <is>
          <t>1182 YOUNGSTOWN RD SE</t>
        </is>
      </c>
      <c r="N2149">
        <f>RIGHT(M2149,LEN(M2149)-FIND(" ",M2149))</f>
        <v/>
      </c>
      <c r="P2149" t="inlineStr">
        <is>
          <t>WARREN</t>
        </is>
      </c>
      <c r="Q2149" t="inlineStr">
        <is>
          <t>OH</t>
        </is>
      </c>
      <c r="R2149" t="n">
        <v>44484</v>
      </c>
      <c r="AD2149" t="inlineStr">
        <is>
          <t>TRUMBULL CAREER &amp; TECH CENTER</t>
        </is>
      </c>
      <c r="AE2149" t="inlineStr">
        <is>
          <t>WARREN CITY</t>
        </is>
      </c>
      <c r="AF2149" t="inlineStr">
        <is>
          <t>WARREN CITY SD</t>
        </is>
      </c>
      <c r="AH2149" t="n">
        <v>14</v>
      </c>
      <c r="AI2149" t="n">
        <v>11</v>
      </c>
      <c r="AN2149" t="inlineStr">
        <is>
          <t>WARREN</t>
        </is>
      </c>
      <c r="AO2149" t="inlineStr">
        <is>
          <t>WARREN CITY 4F</t>
        </is>
      </c>
      <c r="AP2149" t="inlineStr">
        <is>
          <t>78-P-ADN</t>
        </is>
      </c>
      <c r="AQ2149" t="n">
        <v>9</v>
      </c>
      <c r="AR2149" t="n">
        <v>64</v>
      </c>
      <c r="AS2149" t="n">
        <v>32</v>
      </c>
      <c r="AU2149">
        <f>COUNTA($BA$2149:$EH$2149)</f>
        <v/>
      </c>
      <c r="AV2149">
        <f>COUNTIF($BA$2149:$EH$2149,"D")</f>
        <v/>
      </c>
      <c r="AW2149">
        <f>COUNTIF($BA$2149:$EH$2149,"R")</f>
        <v/>
      </c>
      <c r="AX2149">
        <f>IF(BN2149="D",1,0)+IF(BO2149="D",1,0)+IF(BT2149="D",1,0)+IF(BU2149="D",1,0)+IF(BW2149="D",1,0)+IF(CC2149="D",1,0)+IF(CD2149="D",1,0)+IF(CE2149="D",1,0)+IF(CF2149="D",1,0)+IF(CL2149="D",1,0)+IF(CM2149="D",1,0)+IF(CQ2149="D",1,0)+IF(CR2149="D",1,0)+IF(CS2149="D",1,0)+IF(CW2149="D",1,0)+IF(CX2149="D",1,0)+IF(DD2149="D",1,0)+IF(DE2149="D",1,0)+IF(DJ2149="D",1,0)+IF(DK2149="D",1,0)+IF(DO2149="D",1,0)+IF(DP2149="D",1,0)+IF(DQ2149="D",1,0)+IF(DW2149="D",1,0)+IF(DZ2149="D",1,0)+IF(EH2149="D",1,0)</f>
        <v/>
      </c>
      <c r="AY2149">
        <f>IF(DJ2149&lt;&gt;"",1,0)+IF(DK2149&lt;&gt;"",1,0)+IF(DM2149&lt;&gt;"",1,0)+IF(DO2149&lt;&gt;"",1,0)+IF(DP2149&lt;&gt;"",1,0)+IF(DQ2149&lt;&gt;"",1,0)+IF(DS2149&lt;&gt;"",1,0)+IF(DT2149&lt;&gt;"",1,0)+IF(DV2149&lt;&gt;"",1,0)+IF(DW2149&lt;&gt;"",1,0)+IF(DX2149&lt;&gt;"",1,0)+IF(DY2149&lt;&gt;"",1,0)+IF(DZ2149&lt;&gt;"",1,0)+IF(EB2149&lt;&gt;"",1,0)+IF(EC2149&lt;&gt;"",1,0)+IF(ED2149&lt;&gt;"",1,0)+IF(EG2149&lt;&gt;"",1,0)+IF(EH2149&lt;&gt;"",1,0)</f>
        <v/>
      </c>
      <c r="AZ2149">
        <f>IF(EH2149&lt;&gt;"",1,0)</f>
        <v/>
      </c>
      <c r="BB2149" t="inlineStr">
        <is>
          <t>WARREN-WARD 4</t>
        </is>
      </c>
      <c r="BL2149" t="inlineStr">
        <is>
          <t>X</t>
        </is>
      </c>
      <c r="DC2149" t="inlineStr">
        <is>
          <t>X</t>
        </is>
      </c>
      <c r="DN2149" t="inlineStr">
        <is>
          <t>X</t>
        </is>
      </c>
    </row>
    <row r="2150">
      <c r="A2150" t="inlineStr">
        <is>
          <t>OH0019746634</t>
        </is>
      </c>
      <c r="B2150" t="n">
        <v>78</v>
      </c>
      <c r="C2150" t="n">
        <v>358064</v>
      </c>
      <c r="D2150" t="inlineStr">
        <is>
          <t>TIBBS</t>
        </is>
      </c>
      <c r="E2150" t="inlineStr">
        <is>
          <t>MICHAEL</t>
        </is>
      </c>
      <c r="F2150">
        <f>CONCATENATE(D2150," ",LEFT(H2150,4),"T=",AU2150,"D=",AV2150,"R=",AW2150,"M=",AX2150,"L=",AY2150,"B=",AZ2150)</f>
        <v/>
      </c>
      <c r="G2150" t="inlineStr">
        <is>
          <t>H</t>
        </is>
      </c>
      <c r="I2150" t="inlineStr">
        <is>
          <t>1975-04-15</t>
        </is>
      </c>
      <c r="J2150" t="inlineStr">
        <is>
          <t>2023-07-10</t>
        </is>
      </c>
      <c r="K2150" t="inlineStr">
        <is>
          <t>ACTIVE</t>
        </is>
      </c>
      <c r="M2150" t="inlineStr">
        <is>
          <t>1061 WOODBINE AVE SE</t>
        </is>
      </c>
      <c r="N2150">
        <f>RIGHT(M2150,LEN(M2150)-FIND(" ",M2150))</f>
        <v/>
      </c>
      <c r="P2150" t="inlineStr">
        <is>
          <t>WARREN</t>
        </is>
      </c>
      <c r="Q2150" t="inlineStr">
        <is>
          <t>OH</t>
        </is>
      </c>
      <c r="R2150" t="n">
        <v>44484</v>
      </c>
      <c r="AD2150" t="inlineStr">
        <is>
          <t>TRUMBULL CAREER &amp; TECH CENTER</t>
        </is>
      </c>
      <c r="AE2150" t="inlineStr">
        <is>
          <t>WARREN CITY</t>
        </is>
      </c>
      <c r="AF2150" t="inlineStr">
        <is>
          <t>WARREN CITY SD</t>
        </is>
      </c>
      <c r="AH2150" t="n">
        <v>14</v>
      </c>
      <c r="AI2150" t="n">
        <v>11</v>
      </c>
      <c r="AN2150" t="inlineStr">
        <is>
          <t>WARREN</t>
        </is>
      </c>
      <c r="AO2150" t="inlineStr">
        <is>
          <t>WARREN CITY 4F</t>
        </is>
      </c>
      <c r="AP2150" t="inlineStr">
        <is>
          <t>78-P-ADN</t>
        </is>
      </c>
      <c r="AQ2150" t="n">
        <v>9</v>
      </c>
      <c r="AR2150" t="n">
        <v>64</v>
      </c>
      <c r="AS2150" t="n">
        <v>32</v>
      </c>
      <c r="AU2150">
        <f>COUNTA($BA$2150:$EH$2150)</f>
        <v/>
      </c>
      <c r="AV2150">
        <f>COUNTIF($BA$2150:$EH$2150,"D")</f>
        <v/>
      </c>
      <c r="AW2150">
        <f>COUNTIF($BA$2150:$EH$2150,"R")</f>
        <v/>
      </c>
      <c r="AX2150">
        <f>IF(BN2150="D",1,0)+IF(BO2150="D",1,0)+IF(BT2150="D",1,0)+IF(BU2150="D",1,0)+IF(BW2150="D",1,0)+IF(CC2150="D",1,0)+IF(CD2150="D",1,0)+IF(CE2150="D",1,0)+IF(CF2150="D",1,0)+IF(CL2150="D",1,0)+IF(CM2150="D",1,0)+IF(CQ2150="D",1,0)+IF(CR2150="D",1,0)+IF(CS2150="D",1,0)+IF(CW2150="D",1,0)+IF(CX2150="D",1,0)+IF(DD2150="D",1,0)+IF(DE2150="D",1,0)+IF(DJ2150="D",1,0)+IF(DK2150="D",1,0)+IF(DO2150="D",1,0)+IF(DP2150="D",1,0)+IF(DQ2150="D",1,0)+IF(DW2150="D",1,0)+IF(DZ2150="D",1,0)+IF(EH2150="D",1,0)</f>
        <v/>
      </c>
      <c r="AY2150">
        <f>IF(DJ2150&lt;&gt;"",1,0)+IF(DK2150&lt;&gt;"",1,0)+IF(DM2150&lt;&gt;"",1,0)+IF(DO2150&lt;&gt;"",1,0)+IF(DP2150&lt;&gt;"",1,0)+IF(DQ2150&lt;&gt;"",1,0)+IF(DS2150&lt;&gt;"",1,0)+IF(DT2150&lt;&gt;"",1,0)+IF(DV2150&lt;&gt;"",1,0)+IF(DW2150&lt;&gt;"",1,0)+IF(DX2150&lt;&gt;"",1,0)+IF(DY2150&lt;&gt;"",1,0)+IF(DZ2150&lt;&gt;"",1,0)+IF(EB2150&lt;&gt;"",1,0)+IF(EC2150&lt;&gt;"",1,0)+IF(ED2150&lt;&gt;"",1,0)+IF(EG2150&lt;&gt;"",1,0)+IF(EH2150&lt;&gt;"",1,0)</f>
        <v/>
      </c>
      <c r="AZ2150">
        <f>IF(EH2150&lt;&gt;"",1,0)</f>
        <v/>
      </c>
      <c r="BB2150" t="inlineStr">
        <is>
          <t>WARREN-WARD 4</t>
        </is>
      </c>
      <c r="CA2150" t="inlineStr">
        <is>
          <t>X</t>
        </is>
      </c>
      <c r="CP2150" t="inlineStr">
        <is>
          <t>X</t>
        </is>
      </c>
      <c r="EA2150" t="inlineStr">
        <is>
          <t>X</t>
        </is>
      </c>
      <c r="EF2150" t="inlineStr">
        <is>
          <t>X</t>
        </is>
      </c>
    </row>
    <row r="2151">
      <c r="A2151" t="inlineStr">
        <is>
          <t>OH0018597550</t>
        </is>
      </c>
      <c r="B2151" t="n">
        <v>78</v>
      </c>
      <c r="C2151" t="n">
        <v>339949</v>
      </c>
      <c r="D2151" t="inlineStr">
        <is>
          <t>BAKER</t>
        </is>
      </c>
      <c r="E2151" t="inlineStr">
        <is>
          <t>GERALD</t>
        </is>
      </c>
      <c r="F2151">
        <f>CONCATENATE(D2151," ",LEFT(H2151,4),"T=",AU2151,"D=",AV2151,"R=",AW2151,"M=",AX2151,"L=",AY2151,"B=",AZ2151)</f>
        <v/>
      </c>
      <c r="G2151" t="inlineStr">
        <is>
          <t>A</t>
        </is>
      </c>
      <c r="I2151" t="inlineStr">
        <is>
          <t>1964-09-15</t>
        </is>
      </c>
      <c r="J2151" t="inlineStr">
        <is>
          <t>2023-07-21</t>
        </is>
      </c>
      <c r="K2151" t="inlineStr">
        <is>
          <t>ACTIVE</t>
        </is>
      </c>
      <c r="M2151" t="inlineStr">
        <is>
          <t>1525 KENILWORTH AVE SE</t>
        </is>
      </c>
      <c r="N2151">
        <f>RIGHT(M2151,LEN(M2151)-FIND(" ",M2151))</f>
        <v/>
      </c>
      <c r="P2151" t="inlineStr">
        <is>
          <t>WARREN</t>
        </is>
      </c>
      <c r="Q2151" t="inlineStr">
        <is>
          <t>OH</t>
        </is>
      </c>
      <c r="R2151" t="n">
        <v>44484</v>
      </c>
      <c r="AD2151" t="inlineStr">
        <is>
          <t>TRUMBULL CAREER &amp; TECH CENTER</t>
        </is>
      </c>
      <c r="AE2151" t="inlineStr">
        <is>
          <t>WARREN CITY</t>
        </is>
      </c>
      <c r="AF2151" t="inlineStr">
        <is>
          <t>WARREN CITY SD</t>
        </is>
      </c>
      <c r="AH2151" t="n">
        <v>14</v>
      </c>
      <c r="AI2151" t="n">
        <v>11</v>
      </c>
      <c r="AN2151" t="inlineStr">
        <is>
          <t>WARREN</t>
        </is>
      </c>
      <c r="AO2151" t="inlineStr">
        <is>
          <t>WARREN CITY 4F</t>
        </is>
      </c>
      <c r="AP2151" t="inlineStr">
        <is>
          <t>78-P-ADN</t>
        </is>
      </c>
      <c r="AQ2151" t="n">
        <v>9</v>
      </c>
      <c r="AR2151" t="n">
        <v>64</v>
      </c>
      <c r="AS2151" t="n">
        <v>32</v>
      </c>
      <c r="AU2151">
        <f>COUNTA($BA$2151:$EH$2151)</f>
        <v/>
      </c>
      <c r="AV2151">
        <f>COUNTIF($BA$2151:$EH$2151,"D")</f>
        <v/>
      </c>
      <c r="AW2151">
        <f>COUNTIF($BA$2151:$EH$2151,"R")</f>
        <v/>
      </c>
      <c r="AX2151">
        <f>IF(BN2151="D",1,0)+IF(BO2151="D",1,0)+IF(BT2151="D",1,0)+IF(BU2151="D",1,0)+IF(BW2151="D",1,0)+IF(CC2151="D",1,0)+IF(CD2151="D",1,0)+IF(CE2151="D",1,0)+IF(CF2151="D",1,0)+IF(CL2151="D",1,0)+IF(CM2151="D",1,0)+IF(CQ2151="D",1,0)+IF(CR2151="D",1,0)+IF(CS2151="D",1,0)+IF(CW2151="D",1,0)+IF(CX2151="D",1,0)+IF(DD2151="D",1,0)+IF(DE2151="D",1,0)+IF(DJ2151="D",1,0)+IF(DK2151="D",1,0)+IF(DO2151="D",1,0)+IF(DP2151="D",1,0)+IF(DQ2151="D",1,0)+IF(DW2151="D",1,0)+IF(DZ2151="D",1,0)+IF(EH2151="D",1,0)</f>
        <v/>
      </c>
      <c r="AY2151">
        <f>IF(DJ2151&lt;&gt;"",1,0)+IF(DK2151&lt;&gt;"",1,0)+IF(DM2151&lt;&gt;"",1,0)+IF(DO2151&lt;&gt;"",1,0)+IF(DP2151&lt;&gt;"",1,0)+IF(DQ2151&lt;&gt;"",1,0)+IF(DS2151&lt;&gt;"",1,0)+IF(DT2151&lt;&gt;"",1,0)+IF(DV2151&lt;&gt;"",1,0)+IF(DW2151&lt;&gt;"",1,0)+IF(DX2151&lt;&gt;"",1,0)+IF(DY2151&lt;&gt;"",1,0)+IF(DZ2151&lt;&gt;"",1,0)+IF(EB2151&lt;&gt;"",1,0)+IF(EC2151&lt;&gt;"",1,0)+IF(ED2151&lt;&gt;"",1,0)+IF(EG2151&lt;&gt;"",1,0)+IF(EH2151&lt;&gt;"",1,0)</f>
        <v/>
      </c>
      <c r="AZ2151">
        <f>IF(EH2151&lt;&gt;"",1,0)</f>
        <v/>
      </c>
      <c r="BB2151" t="inlineStr">
        <is>
          <t>WARREN-WARD 4</t>
        </is>
      </c>
      <c r="BP2151" t="inlineStr">
        <is>
          <t>X</t>
        </is>
      </c>
      <c r="BS2151" t="inlineStr">
        <is>
          <t>X</t>
        </is>
      </c>
      <c r="BY2151" t="inlineStr">
        <is>
          <t>D</t>
        </is>
      </c>
      <c r="CA2151" t="inlineStr">
        <is>
          <t>X</t>
        </is>
      </c>
      <c r="CG2151" t="inlineStr">
        <is>
          <t>X</t>
        </is>
      </c>
      <c r="CH2151" t="inlineStr">
        <is>
          <t>D</t>
        </is>
      </c>
      <c r="CK2151" t="inlineStr">
        <is>
          <t>X</t>
        </is>
      </c>
      <c r="CN2151" t="inlineStr">
        <is>
          <t>X</t>
        </is>
      </c>
      <c r="CO2151" t="inlineStr">
        <is>
          <t>D</t>
        </is>
      </c>
      <c r="CP2151" t="inlineStr">
        <is>
          <t>X</t>
        </is>
      </c>
      <c r="CY2151" t="inlineStr">
        <is>
          <t>X</t>
        </is>
      </c>
      <c r="CZ2151" t="inlineStr">
        <is>
          <t>D</t>
        </is>
      </c>
      <c r="DC2151" t="inlineStr">
        <is>
          <t>X</t>
        </is>
      </c>
      <c r="DF2151" t="inlineStr">
        <is>
          <t>X</t>
        </is>
      </c>
      <c r="DI2151" t="inlineStr">
        <is>
          <t>X</t>
        </is>
      </c>
      <c r="DN2151" t="inlineStr">
        <is>
          <t>X</t>
        </is>
      </c>
    </row>
    <row r="2152">
      <c r="A2152" t="inlineStr">
        <is>
          <t>OH0015704008</t>
        </is>
      </c>
      <c r="B2152" t="n">
        <v>78</v>
      </c>
      <c r="C2152" t="n">
        <v>165209</v>
      </c>
      <c r="D2152" t="inlineStr">
        <is>
          <t>HOWARD</t>
        </is>
      </c>
      <c r="E2152" t="inlineStr">
        <is>
          <t>ELIZABETH</t>
        </is>
      </c>
      <c r="F2152">
        <f>CONCATENATE(D2152," ",LEFT(H2152,4),"T=",AU2152,"D=",AV2152,"R=",AW2152,"M=",AX2152,"L=",AY2152,"B=",AZ2152)</f>
        <v/>
      </c>
      <c r="I2152" t="inlineStr">
        <is>
          <t>1964-12-12</t>
        </is>
      </c>
      <c r="J2152" t="inlineStr">
        <is>
          <t>2015-02-26</t>
        </is>
      </c>
      <c r="K2152" t="inlineStr">
        <is>
          <t>ACTIVE</t>
        </is>
      </c>
      <c r="L2152" t="inlineStr">
        <is>
          <t>D</t>
        </is>
      </c>
      <c r="M2152" t="inlineStr">
        <is>
          <t>2160 DRAPER AVE SE</t>
        </is>
      </c>
      <c r="N2152">
        <f>RIGHT(M2152,LEN(M2152)-FIND(" ",M2152))</f>
        <v/>
      </c>
      <c r="P2152" t="inlineStr">
        <is>
          <t>WARREN</t>
        </is>
      </c>
      <c r="Q2152" t="inlineStr">
        <is>
          <t>OH</t>
        </is>
      </c>
      <c r="R2152" t="n">
        <v>44484</v>
      </c>
      <c r="AD2152" t="inlineStr">
        <is>
          <t>TRUMBULL CAREER &amp; TECH CENTER</t>
        </is>
      </c>
      <c r="AE2152" t="inlineStr">
        <is>
          <t>WARREN CITY</t>
        </is>
      </c>
      <c r="AF2152" t="inlineStr">
        <is>
          <t>WARREN CITY SD</t>
        </is>
      </c>
      <c r="AH2152" t="n">
        <v>14</v>
      </c>
      <c r="AI2152" t="n">
        <v>11</v>
      </c>
      <c r="AN2152" t="inlineStr">
        <is>
          <t>WARREN</t>
        </is>
      </c>
      <c r="AO2152" t="inlineStr">
        <is>
          <t>WARREN CITY 4F</t>
        </is>
      </c>
      <c r="AP2152" t="inlineStr">
        <is>
          <t>78-P-ADN</t>
        </is>
      </c>
      <c r="AQ2152" t="n">
        <v>9</v>
      </c>
      <c r="AR2152" t="n">
        <v>64</v>
      </c>
      <c r="AS2152" t="n">
        <v>32</v>
      </c>
      <c r="AU2152">
        <f>COUNTA($BA$2152:$EH$2152)</f>
        <v/>
      </c>
      <c r="AV2152">
        <f>COUNTIF($BA$2152:$EH$2152,"D")</f>
        <v/>
      </c>
      <c r="AW2152">
        <f>COUNTIF($BA$2152:$EH$2152,"R")</f>
        <v/>
      </c>
      <c r="AX2152">
        <f>IF(BN2152="D",1,0)+IF(BO2152="D",1,0)+IF(BT2152="D",1,0)+IF(BU2152="D",1,0)+IF(BW2152="D",1,0)+IF(CC2152="D",1,0)+IF(CD2152="D",1,0)+IF(CE2152="D",1,0)+IF(CF2152="D",1,0)+IF(CL2152="D",1,0)+IF(CM2152="D",1,0)+IF(CQ2152="D",1,0)+IF(CR2152="D",1,0)+IF(CS2152="D",1,0)+IF(CW2152="D",1,0)+IF(CX2152="D",1,0)+IF(DD2152="D",1,0)+IF(DE2152="D",1,0)+IF(DJ2152="D",1,0)+IF(DK2152="D",1,0)+IF(DO2152="D",1,0)+IF(DP2152="D",1,0)+IF(DQ2152="D",1,0)+IF(DW2152="D",1,0)+IF(DZ2152="D",1,0)+IF(EH2152="D",1,0)</f>
        <v/>
      </c>
      <c r="AY2152">
        <f>IF(DJ2152&lt;&gt;"",1,0)+IF(DK2152&lt;&gt;"",1,0)+IF(DM2152&lt;&gt;"",1,0)+IF(DO2152&lt;&gt;"",1,0)+IF(DP2152&lt;&gt;"",1,0)+IF(DQ2152&lt;&gt;"",1,0)+IF(DS2152&lt;&gt;"",1,0)+IF(DT2152&lt;&gt;"",1,0)+IF(DV2152&lt;&gt;"",1,0)+IF(DW2152&lt;&gt;"",1,0)+IF(DX2152&lt;&gt;"",1,0)+IF(DY2152&lt;&gt;"",1,0)+IF(DZ2152&lt;&gt;"",1,0)+IF(EB2152&lt;&gt;"",1,0)+IF(EC2152&lt;&gt;"",1,0)+IF(ED2152&lt;&gt;"",1,0)+IF(EG2152&lt;&gt;"",1,0)+IF(EH2152&lt;&gt;"",1,0)</f>
        <v/>
      </c>
      <c r="AZ2152">
        <f>IF(EH2152&lt;&gt;"",1,0)</f>
        <v/>
      </c>
      <c r="BB2152" t="inlineStr">
        <is>
          <t>WARREN-WARD 4</t>
        </is>
      </c>
      <c r="BC2152" t="inlineStr">
        <is>
          <t>X</t>
        </is>
      </c>
      <c r="BD2152" t="inlineStr">
        <is>
          <t>X</t>
        </is>
      </c>
      <c r="BF2152" t="inlineStr">
        <is>
          <t>X</t>
        </is>
      </c>
      <c r="BJ2152" t="inlineStr">
        <is>
          <t>X</t>
        </is>
      </c>
      <c r="BL2152" t="inlineStr">
        <is>
          <t>X</t>
        </is>
      </c>
      <c r="BS2152" t="inlineStr">
        <is>
          <t>X</t>
        </is>
      </c>
      <c r="BY2152" t="inlineStr">
        <is>
          <t>D</t>
        </is>
      </c>
      <c r="CA2152" t="inlineStr">
        <is>
          <t>X</t>
        </is>
      </c>
      <c r="CK2152" t="inlineStr">
        <is>
          <t>X</t>
        </is>
      </c>
      <c r="CN2152" t="inlineStr">
        <is>
          <t>X</t>
        </is>
      </c>
      <c r="CP2152" t="inlineStr">
        <is>
          <t>X</t>
        </is>
      </c>
      <c r="CW2152" t="inlineStr">
        <is>
          <t>D</t>
        </is>
      </c>
      <c r="CY2152" t="inlineStr">
        <is>
          <t>X</t>
        </is>
      </c>
      <c r="CZ2152" t="inlineStr">
        <is>
          <t>D</t>
        </is>
      </c>
      <c r="DC2152" t="inlineStr">
        <is>
          <t>X</t>
        </is>
      </c>
      <c r="DF2152" t="inlineStr">
        <is>
          <t>X</t>
        </is>
      </c>
      <c r="DI2152" t="inlineStr">
        <is>
          <t>X</t>
        </is>
      </c>
      <c r="DJ2152" t="inlineStr">
        <is>
          <t>D</t>
        </is>
      </c>
      <c r="DL2152" t="inlineStr">
        <is>
          <t>X</t>
        </is>
      </c>
      <c r="DN2152" t="inlineStr">
        <is>
          <t>X</t>
        </is>
      </c>
      <c r="DR2152" t="inlineStr">
        <is>
          <t>X</t>
        </is>
      </c>
      <c r="DU2152" t="inlineStr">
        <is>
          <t>X</t>
        </is>
      </c>
      <c r="DW2152" t="inlineStr">
        <is>
          <t>D</t>
        </is>
      </c>
      <c r="DX2152" t="inlineStr">
        <is>
          <t>X</t>
        </is>
      </c>
      <c r="EA2152" t="inlineStr">
        <is>
          <t>X</t>
        </is>
      </c>
      <c r="ED2152" t="inlineStr">
        <is>
          <t>D</t>
        </is>
      </c>
      <c r="EF2152" t="inlineStr">
        <is>
          <t>X</t>
        </is>
      </c>
    </row>
    <row r="2153">
      <c r="A2153" t="inlineStr">
        <is>
          <t>OH0015808346</t>
        </is>
      </c>
      <c r="B2153" t="n">
        <v>78</v>
      </c>
      <c r="C2153" t="n">
        <v>316324</v>
      </c>
      <c r="D2153" t="inlineStr">
        <is>
          <t>SMITH</t>
        </is>
      </c>
      <c r="E2153" t="inlineStr">
        <is>
          <t>AUDREANA</t>
        </is>
      </c>
      <c r="F2153">
        <f>CONCATENATE(D2153," ",LEFT(H2153,4),"T=",AU2153,"D=",AV2153,"R=",AW2153,"M=",AX2153,"L=",AY2153,"B=",AZ2153)</f>
        <v/>
      </c>
      <c r="G2153" t="inlineStr">
        <is>
          <t>L</t>
        </is>
      </c>
      <c r="I2153" t="inlineStr">
        <is>
          <t>1971-07-01</t>
        </is>
      </c>
      <c r="J2153" t="inlineStr">
        <is>
          <t>2022-02-07</t>
        </is>
      </c>
      <c r="K2153" t="inlineStr">
        <is>
          <t>CONFIRMATION</t>
        </is>
      </c>
      <c r="M2153" t="inlineStr">
        <is>
          <t>941 EAST AVE SE</t>
        </is>
      </c>
      <c r="N2153">
        <f>RIGHT(M2153,LEN(M2153)-FIND(" ",M2153))</f>
        <v/>
      </c>
      <c r="P2153" t="inlineStr">
        <is>
          <t>WARREN</t>
        </is>
      </c>
      <c r="Q2153" t="inlineStr">
        <is>
          <t>OH</t>
        </is>
      </c>
      <c r="R2153" t="n">
        <v>44484</v>
      </c>
      <c r="AD2153" t="inlineStr">
        <is>
          <t>TRUMBULL CAREER &amp; TECH CENTER</t>
        </is>
      </c>
      <c r="AE2153" t="inlineStr">
        <is>
          <t>WARREN CITY</t>
        </is>
      </c>
      <c r="AF2153" t="inlineStr">
        <is>
          <t>WARREN CITY SD</t>
        </is>
      </c>
      <c r="AH2153" t="n">
        <v>14</v>
      </c>
      <c r="AI2153" t="n">
        <v>11</v>
      </c>
      <c r="AN2153" t="inlineStr">
        <is>
          <t>WARREN</t>
        </is>
      </c>
      <c r="AO2153" t="inlineStr">
        <is>
          <t>WARREN CITY 4F</t>
        </is>
      </c>
      <c r="AP2153" t="inlineStr">
        <is>
          <t>78-P-ADN</t>
        </is>
      </c>
      <c r="AQ2153" t="n">
        <v>9</v>
      </c>
      <c r="AR2153" t="n">
        <v>64</v>
      </c>
      <c r="AS2153" t="n">
        <v>32</v>
      </c>
      <c r="AU2153">
        <f>COUNTA($BA$2153:$EH$2153)</f>
        <v/>
      </c>
      <c r="AV2153">
        <f>COUNTIF($BA$2153:$EH$2153,"D")</f>
        <v/>
      </c>
      <c r="AW2153">
        <f>COUNTIF($BA$2153:$EH$2153,"R")</f>
        <v/>
      </c>
      <c r="AX2153">
        <f>IF(BN2153="D",1,0)+IF(BO2153="D",1,0)+IF(BT2153="D",1,0)+IF(BU2153="D",1,0)+IF(BW2153="D",1,0)+IF(CC2153="D",1,0)+IF(CD2153="D",1,0)+IF(CE2153="D",1,0)+IF(CF2153="D",1,0)+IF(CL2153="D",1,0)+IF(CM2153="D",1,0)+IF(CQ2153="D",1,0)+IF(CR2153="D",1,0)+IF(CS2153="D",1,0)+IF(CW2153="D",1,0)+IF(CX2153="D",1,0)+IF(DD2153="D",1,0)+IF(DE2153="D",1,0)+IF(DJ2153="D",1,0)+IF(DK2153="D",1,0)+IF(DO2153="D",1,0)+IF(DP2153="D",1,0)+IF(DQ2153="D",1,0)+IF(DW2153="D",1,0)+IF(DZ2153="D",1,0)+IF(EH2153="D",1,0)</f>
        <v/>
      </c>
      <c r="AY2153">
        <f>IF(DJ2153&lt;&gt;"",1,0)+IF(DK2153&lt;&gt;"",1,0)+IF(DM2153&lt;&gt;"",1,0)+IF(DO2153&lt;&gt;"",1,0)+IF(DP2153&lt;&gt;"",1,0)+IF(DQ2153&lt;&gt;"",1,0)+IF(DS2153&lt;&gt;"",1,0)+IF(DT2153&lt;&gt;"",1,0)+IF(DV2153&lt;&gt;"",1,0)+IF(DW2153&lt;&gt;"",1,0)+IF(DX2153&lt;&gt;"",1,0)+IF(DY2153&lt;&gt;"",1,0)+IF(DZ2153&lt;&gt;"",1,0)+IF(EB2153&lt;&gt;"",1,0)+IF(EC2153&lt;&gt;"",1,0)+IF(ED2153&lt;&gt;"",1,0)+IF(EG2153&lt;&gt;"",1,0)+IF(EH2153&lt;&gt;"",1,0)</f>
        <v/>
      </c>
      <c r="AZ2153">
        <f>IF(EH2153&lt;&gt;"",1,0)</f>
        <v/>
      </c>
      <c r="BB2153" t="inlineStr">
        <is>
          <t>WARREN-WARD 4</t>
        </is>
      </c>
      <c r="BL2153" t="inlineStr">
        <is>
          <t>X</t>
        </is>
      </c>
      <c r="BY2153" t="inlineStr">
        <is>
          <t>D</t>
        </is>
      </c>
      <c r="CA2153" t="inlineStr">
        <is>
          <t>X</t>
        </is>
      </c>
      <c r="CP2153" t="inlineStr">
        <is>
          <t>X</t>
        </is>
      </c>
      <c r="DC2153" t="inlineStr">
        <is>
          <t>X</t>
        </is>
      </c>
      <c r="DN2153" t="inlineStr">
        <is>
          <t>X</t>
        </is>
      </c>
    </row>
    <row r="2154">
      <c r="A2154" t="inlineStr">
        <is>
          <t>OH0015745202</t>
        </is>
      </c>
      <c r="B2154" t="n">
        <v>78</v>
      </c>
      <c r="C2154" t="n">
        <v>300535</v>
      </c>
      <c r="D2154" t="inlineStr">
        <is>
          <t>BOSSARD</t>
        </is>
      </c>
      <c r="E2154" t="inlineStr">
        <is>
          <t>DESEREE</t>
        </is>
      </c>
      <c r="F2154">
        <f>CONCATENATE(D2154," ",LEFT(H2154,4),"T=",AU2154,"D=",AV2154,"R=",AW2154,"M=",AX2154,"L=",AY2154,"B=",AZ2154)</f>
        <v/>
      </c>
      <c r="G2154" t="inlineStr">
        <is>
          <t>L</t>
        </is>
      </c>
      <c r="I2154" t="inlineStr">
        <is>
          <t>1977-10-12</t>
        </is>
      </c>
      <c r="J2154" t="inlineStr">
        <is>
          <t>2024-11-12</t>
        </is>
      </c>
      <c r="K2154" t="inlineStr">
        <is>
          <t>ACTIVE</t>
        </is>
      </c>
      <c r="M2154" t="inlineStr">
        <is>
          <t>1207 OAK KNOLL AVE SE</t>
        </is>
      </c>
      <c r="N2154">
        <f>RIGHT(M2154,LEN(M2154)-FIND(" ",M2154))</f>
        <v/>
      </c>
      <c r="P2154" t="inlineStr">
        <is>
          <t>WARREN</t>
        </is>
      </c>
      <c r="Q2154" t="inlineStr">
        <is>
          <t>OH</t>
        </is>
      </c>
      <c r="R2154" t="n">
        <v>44484</v>
      </c>
      <c r="AD2154" t="inlineStr">
        <is>
          <t>TRUMBULL CAREER &amp; TECH CENTER</t>
        </is>
      </c>
      <c r="AE2154" t="inlineStr">
        <is>
          <t>WARREN CITY</t>
        </is>
      </c>
      <c r="AF2154" t="inlineStr">
        <is>
          <t>WARREN CITY SD</t>
        </is>
      </c>
      <c r="AH2154" t="n">
        <v>14</v>
      </c>
      <c r="AI2154" t="n">
        <v>11</v>
      </c>
      <c r="AN2154" t="inlineStr">
        <is>
          <t>WARREN</t>
        </is>
      </c>
      <c r="AO2154" t="inlineStr">
        <is>
          <t>WARREN CITY 4F</t>
        </is>
      </c>
      <c r="AP2154" t="inlineStr">
        <is>
          <t>78-P-ADN</t>
        </is>
      </c>
      <c r="AQ2154" t="n">
        <v>9</v>
      </c>
      <c r="AR2154" t="n">
        <v>64</v>
      </c>
      <c r="AS2154" t="n">
        <v>32</v>
      </c>
      <c r="AU2154">
        <f>COUNTA($BA$2154:$EH$2154)</f>
        <v/>
      </c>
      <c r="AV2154">
        <f>COUNTIF($BA$2154:$EH$2154,"D")</f>
        <v/>
      </c>
      <c r="AW2154">
        <f>COUNTIF($BA$2154:$EH$2154,"R")</f>
        <v/>
      </c>
      <c r="AX2154">
        <f>IF(BN2154="D",1,0)+IF(BO2154="D",1,0)+IF(BT2154="D",1,0)+IF(BU2154="D",1,0)+IF(BW2154="D",1,0)+IF(CC2154="D",1,0)+IF(CD2154="D",1,0)+IF(CE2154="D",1,0)+IF(CF2154="D",1,0)+IF(CL2154="D",1,0)+IF(CM2154="D",1,0)+IF(CQ2154="D",1,0)+IF(CR2154="D",1,0)+IF(CS2154="D",1,0)+IF(CW2154="D",1,0)+IF(CX2154="D",1,0)+IF(DD2154="D",1,0)+IF(DE2154="D",1,0)+IF(DJ2154="D",1,0)+IF(DK2154="D",1,0)+IF(DO2154="D",1,0)+IF(DP2154="D",1,0)+IF(DQ2154="D",1,0)+IF(DW2154="D",1,0)+IF(DZ2154="D",1,0)+IF(EH2154="D",1,0)</f>
        <v/>
      </c>
      <c r="AY2154">
        <f>IF(DJ2154&lt;&gt;"",1,0)+IF(DK2154&lt;&gt;"",1,0)+IF(DM2154&lt;&gt;"",1,0)+IF(DO2154&lt;&gt;"",1,0)+IF(DP2154&lt;&gt;"",1,0)+IF(DQ2154&lt;&gt;"",1,0)+IF(DS2154&lt;&gt;"",1,0)+IF(DT2154&lt;&gt;"",1,0)+IF(DV2154&lt;&gt;"",1,0)+IF(DW2154&lt;&gt;"",1,0)+IF(DX2154&lt;&gt;"",1,0)+IF(DY2154&lt;&gt;"",1,0)+IF(DZ2154&lt;&gt;"",1,0)+IF(EB2154&lt;&gt;"",1,0)+IF(EC2154&lt;&gt;"",1,0)+IF(ED2154&lt;&gt;"",1,0)+IF(EG2154&lt;&gt;"",1,0)+IF(EH2154&lt;&gt;"",1,0)</f>
        <v/>
      </c>
      <c r="AZ2154">
        <f>IF(EH2154&lt;&gt;"",1,0)</f>
        <v/>
      </c>
      <c r="BB2154" t="inlineStr">
        <is>
          <t>WARREN-WARD 4</t>
        </is>
      </c>
      <c r="BH2154" t="inlineStr">
        <is>
          <t>X</t>
        </is>
      </c>
      <c r="DC2154" t="inlineStr">
        <is>
          <t>X</t>
        </is>
      </c>
      <c r="DN2154" t="inlineStr">
        <is>
          <t>X</t>
        </is>
      </c>
      <c r="EA2154" t="inlineStr">
        <is>
          <t>X</t>
        </is>
      </c>
    </row>
    <row r="2155">
      <c r="A2155" t="inlineStr">
        <is>
          <t>OH0015817988</t>
        </is>
      </c>
      <c r="B2155" t="n">
        <v>78</v>
      </c>
      <c r="C2155" t="n">
        <v>326140</v>
      </c>
      <c r="D2155" t="inlineStr">
        <is>
          <t>MCKINNEY</t>
        </is>
      </c>
      <c r="E2155" t="inlineStr">
        <is>
          <t>GLORIA</t>
        </is>
      </c>
      <c r="F2155">
        <f>CONCATENATE(D2155," ",LEFT(H2155,4),"T=",AU2155,"D=",AV2155,"R=",AW2155,"M=",AX2155,"L=",AY2155,"B=",AZ2155)</f>
        <v/>
      </c>
      <c r="I2155" t="inlineStr">
        <is>
          <t>1953-06-16</t>
        </is>
      </c>
      <c r="J2155" t="inlineStr">
        <is>
          <t>2010-09-28</t>
        </is>
      </c>
      <c r="K2155" t="inlineStr">
        <is>
          <t>ACTIVE</t>
        </is>
      </c>
      <c r="L2155" t="inlineStr">
        <is>
          <t>D</t>
        </is>
      </c>
      <c r="M2155" t="inlineStr">
        <is>
          <t>1120 KENILWORTH AVE SE</t>
        </is>
      </c>
      <c r="N2155">
        <f>RIGHT(M2155,LEN(M2155)-FIND(" ",M2155))</f>
        <v/>
      </c>
      <c r="P2155" t="inlineStr">
        <is>
          <t>WARREN</t>
        </is>
      </c>
      <c r="Q2155" t="inlineStr">
        <is>
          <t>OH</t>
        </is>
      </c>
      <c r="R2155" t="n">
        <v>44484</v>
      </c>
      <c r="AD2155" t="inlineStr">
        <is>
          <t>TRUMBULL CAREER &amp; TECH CENTER</t>
        </is>
      </c>
      <c r="AE2155" t="inlineStr">
        <is>
          <t>WARREN CITY</t>
        </is>
      </c>
      <c r="AF2155" t="inlineStr">
        <is>
          <t>WARREN CITY SD</t>
        </is>
      </c>
      <c r="AH2155" t="n">
        <v>14</v>
      </c>
      <c r="AI2155" t="n">
        <v>11</v>
      </c>
      <c r="AN2155" t="inlineStr">
        <is>
          <t>WARREN</t>
        </is>
      </c>
      <c r="AO2155" t="inlineStr">
        <is>
          <t>WARREN CITY 4F</t>
        </is>
      </c>
      <c r="AP2155" t="inlineStr">
        <is>
          <t>78-P-ADN</t>
        </is>
      </c>
      <c r="AQ2155" t="n">
        <v>9</v>
      </c>
      <c r="AR2155" t="n">
        <v>64</v>
      </c>
      <c r="AS2155" t="n">
        <v>32</v>
      </c>
      <c r="AU2155">
        <f>COUNTA($BA$2155:$EH$2155)</f>
        <v/>
      </c>
      <c r="AV2155">
        <f>COUNTIF($BA$2155:$EH$2155,"D")</f>
        <v/>
      </c>
      <c r="AW2155">
        <f>COUNTIF($BA$2155:$EH$2155,"R")</f>
        <v/>
      </c>
      <c r="AX2155">
        <f>IF(BN2155="D",1,0)+IF(BO2155="D",1,0)+IF(BT2155="D",1,0)+IF(BU2155="D",1,0)+IF(BW2155="D",1,0)+IF(CC2155="D",1,0)+IF(CD2155="D",1,0)+IF(CE2155="D",1,0)+IF(CF2155="D",1,0)+IF(CL2155="D",1,0)+IF(CM2155="D",1,0)+IF(CQ2155="D",1,0)+IF(CR2155="D",1,0)+IF(CS2155="D",1,0)+IF(CW2155="D",1,0)+IF(CX2155="D",1,0)+IF(DD2155="D",1,0)+IF(DE2155="D",1,0)+IF(DJ2155="D",1,0)+IF(DK2155="D",1,0)+IF(DO2155="D",1,0)+IF(DP2155="D",1,0)+IF(DQ2155="D",1,0)+IF(DW2155="D",1,0)+IF(DZ2155="D",1,0)+IF(EH2155="D",1,0)</f>
        <v/>
      </c>
      <c r="AY2155">
        <f>IF(DJ2155&lt;&gt;"",1,0)+IF(DK2155&lt;&gt;"",1,0)+IF(DM2155&lt;&gt;"",1,0)+IF(DO2155&lt;&gt;"",1,0)+IF(DP2155&lt;&gt;"",1,0)+IF(DQ2155&lt;&gt;"",1,0)+IF(DS2155&lt;&gt;"",1,0)+IF(DT2155&lt;&gt;"",1,0)+IF(DV2155&lt;&gt;"",1,0)+IF(DW2155&lt;&gt;"",1,0)+IF(DX2155&lt;&gt;"",1,0)+IF(DY2155&lt;&gt;"",1,0)+IF(DZ2155&lt;&gt;"",1,0)+IF(EB2155&lt;&gt;"",1,0)+IF(EC2155&lt;&gt;"",1,0)+IF(ED2155&lt;&gt;"",1,0)+IF(EG2155&lt;&gt;"",1,0)+IF(EH2155&lt;&gt;"",1,0)</f>
        <v/>
      </c>
      <c r="AZ2155">
        <f>IF(EH2155&lt;&gt;"",1,0)</f>
        <v/>
      </c>
      <c r="BB2155" t="inlineStr">
        <is>
          <t>WARREN-WARD 4</t>
        </is>
      </c>
      <c r="BL2155" t="inlineStr">
        <is>
          <t>X</t>
        </is>
      </c>
      <c r="BS2155" t="inlineStr">
        <is>
          <t>X</t>
        </is>
      </c>
      <c r="BY2155" t="inlineStr">
        <is>
          <t>D</t>
        </is>
      </c>
      <c r="CA2155" t="inlineStr">
        <is>
          <t>X</t>
        </is>
      </c>
      <c r="CG2155" t="inlineStr">
        <is>
          <t>X</t>
        </is>
      </c>
      <c r="CH2155" t="inlineStr">
        <is>
          <t>D</t>
        </is>
      </c>
      <c r="CK2155" t="inlineStr">
        <is>
          <t>X</t>
        </is>
      </c>
      <c r="CL2155" t="inlineStr">
        <is>
          <t>D</t>
        </is>
      </c>
      <c r="CN2155" t="inlineStr">
        <is>
          <t>X</t>
        </is>
      </c>
      <c r="CO2155" t="inlineStr">
        <is>
          <t>D</t>
        </is>
      </c>
      <c r="CP2155" t="inlineStr">
        <is>
          <t>X</t>
        </is>
      </c>
      <c r="CQ2155" t="inlineStr">
        <is>
          <t>D</t>
        </is>
      </c>
      <c r="CT2155" t="inlineStr">
        <is>
          <t>X</t>
        </is>
      </c>
      <c r="CU2155" t="inlineStr">
        <is>
          <t>D</t>
        </is>
      </c>
      <c r="CV2155" t="inlineStr">
        <is>
          <t>X</t>
        </is>
      </c>
      <c r="CW2155" t="inlineStr">
        <is>
          <t>D</t>
        </is>
      </c>
      <c r="CY2155" t="inlineStr">
        <is>
          <t>X</t>
        </is>
      </c>
      <c r="CZ2155" t="inlineStr">
        <is>
          <t>D</t>
        </is>
      </c>
      <c r="DC2155" t="inlineStr">
        <is>
          <t>X</t>
        </is>
      </c>
      <c r="DD2155" t="inlineStr">
        <is>
          <t>D</t>
        </is>
      </c>
      <c r="DF2155" t="inlineStr">
        <is>
          <t>X</t>
        </is>
      </c>
      <c r="DG2155" t="inlineStr">
        <is>
          <t>D</t>
        </is>
      </c>
      <c r="DI2155" t="inlineStr">
        <is>
          <t>X</t>
        </is>
      </c>
      <c r="DJ2155" t="inlineStr">
        <is>
          <t>D</t>
        </is>
      </c>
      <c r="DL2155" t="inlineStr">
        <is>
          <t>X</t>
        </is>
      </c>
      <c r="DM2155" t="inlineStr">
        <is>
          <t>D</t>
        </is>
      </c>
      <c r="DN2155" t="inlineStr">
        <is>
          <t>X</t>
        </is>
      </c>
      <c r="DR2155" t="inlineStr">
        <is>
          <t>X</t>
        </is>
      </c>
      <c r="DS2155" t="inlineStr">
        <is>
          <t>D</t>
        </is>
      </c>
      <c r="DT2155" t="inlineStr">
        <is>
          <t>D</t>
        </is>
      </c>
      <c r="DU2155" t="inlineStr">
        <is>
          <t>X</t>
        </is>
      </c>
      <c r="DW2155" t="inlineStr">
        <is>
          <t>D</t>
        </is>
      </c>
      <c r="DX2155" t="inlineStr">
        <is>
          <t>X</t>
        </is>
      </c>
      <c r="EA2155" t="inlineStr">
        <is>
          <t>X</t>
        </is>
      </c>
      <c r="ED2155" t="inlineStr">
        <is>
          <t>D</t>
        </is>
      </c>
      <c r="EF2155" t="inlineStr">
        <is>
          <t>X</t>
        </is>
      </c>
      <c r="EH2155" t="inlineStr">
        <is>
          <t>D</t>
        </is>
      </c>
    </row>
    <row r="2156">
      <c r="A2156" t="inlineStr">
        <is>
          <t>OH0027496911</t>
        </is>
      </c>
      <c r="B2156" t="n">
        <v>78</v>
      </c>
      <c r="C2156" t="n">
        <v>487099</v>
      </c>
      <c r="D2156" t="inlineStr">
        <is>
          <t>BRANTLEY</t>
        </is>
      </c>
      <c r="E2156" t="inlineStr">
        <is>
          <t>QUENTIN</t>
        </is>
      </c>
      <c r="F2156">
        <f>CONCATENATE(D2156," ",LEFT(H2156,4),"T=",AU2156,"D=",AV2156,"R=",AW2156,"M=",AX2156,"L=",AY2156,"B=",AZ2156)</f>
        <v/>
      </c>
      <c r="G2156" t="inlineStr">
        <is>
          <t>D</t>
        </is>
      </c>
      <c r="I2156" t="inlineStr">
        <is>
          <t>2001-11-08</t>
        </is>
      </c>
      <c r="J2156" t="inlineStr">
        <is>
          <t>2024-08-01</t>
        </is>
      </c>
      <c r="K2156" t="inlineStr">
        <is>
          <t>ACTIVE</t>
        </is>
      </c>
      <c r="M2156" t="inlineStr">
        <is>
          <t>1619 OAK KNOLL AVE SE</t>
        </is>
      </c>
      <c r="N2156">
        <f>RIGHT(M2156,LEN(M2156)-FIND(" ",M2156))</f>
        <v/>
      </c>
      <c r="P2156" t="inlineStr">
        <is>
          <t>WARREN</t>
        </is>
      </c>
      <c r="Q2156" t="inlineStr">
        <is>
          <t>OH</t>
        </is>
      </c>
      <c r="R2156" t="n">
        <v>44484</v>
      </c>
      <c r="AD2156" t="inlineStr">
        <is>
          <t>TRUMBULL CAREER &amp; TECH CENTER</t>
        </is>
      </c>
      <c r="AE2156" t="inlineStr">
        <is>
          <t>WARREN CITY</t>
        </is>
      </c>
      <c r="AF2156" t="inlineStr">
        <is>
          <t>WARREN CITY SD</t>
        </is>
      </c>
      <c r="AH2156" t="n">
        <v>14</v>
      </c>
      <c r="AI2156" t="n">
        <v>11</v>
      </c>
      <c r="AN2156" t="inlineStr">
        <is>
          <t>WARREN</t>
        </is>
      </c>
      <c r="AO2156" t="inlineStr">
        <is>
          <t>WARREN CITY 4F</t>
        </is>
      </c>
      <c r="AP2156" t="inlineStr">
        <is>
          <t>78-P-ADN</t>
        </is>
      </c>
      <c r="AQ2156" t="n">
        <v>9</v>
      </c>
      <c r="AR2156" t="n">
        <v>64</v>
      </c>
      <c r="AS2156" t="n">
        <v>32</v>
      </c>
      <c r="AU2156">
        <f>COUNTA($BA$2156:$EH$2156)</f>
        <v/>
      </c>
      <c r="AV2156">
        <f>COUNTIF($BA$2156:$EH$2156,"D")</f>
        <v/>
      </c>
      <c r="AW2156">
        <f>COUNTIF($BA$2156:$EH$2156,"R")</f>
        <v/>
      </c>
      <c r="AX2156">
        <f>IF(BN2156="D",1,0)+IF(BO2156="D",1,0)+IF(BT2156="D",1,0)+IF(BU2156="D",1,0)+IF(BW2156="D",1,0)+IF(CC2156="D",1,0)+IF(CD2156="D",1,0)+IF(CE2156="D",1,0)+IF(CF2156="D",1,0)+IF(CL2156="D",1,0)+IF(CM2156="D",1,0)+IF(CQ2156="D",1,0)+IF(CR2156="D",1,0)+IF(CS2156="D",1,0)+IF(CW2156="D",1,0)+IF(CX2156="D",1,0)+IF(DD2156="D",1,0)+IF(DE2156="D",1,0)+IF(DJ2156="D",1,0)+IF(DK2156="D",1,0)+IF(DO2156="D",1,0)+IF(DP2156="D",1,0)+IF(DQ2156="D",1,0)+IF(DW2156="D",1,0)+IF(DZ2156="D",1,0)+IF(EH2156="D",1,0)</f>
        <v/>
      </c>
      <c r="AY2156">
        <f>IF(DJ2156&lt;&gt;"",1,0)+IF(DK2156&lt;&gt;"",1,0)+IF(DM2156&lt;&gt;"",1,0)+IF(DO2156&lt;&gt;"",1,0)+IF(DP2156&lt;&gt;"",1,0)+IF(DQ2156&lt;&gt;"",1,0)+IF(DS2156&lt;&gt;"",1,0)+IF(DT2156&lt;&gt;"",1,0)+IF(DV2156&lt;&gt;"",1,0)+IF(DW2156&lt;&gt;"",1,0)+IF(DX2156&lt;&gt;"",1,0)+IF(DY2156&lt;&gt;"",1,0)+IF(DZ2156&lt;&gt;"",1,0)+IF(EB2156&lt;&gt;"",1,0)+IF(EC2156&lt;&gt;"",1,0)+IF(ED2156&lt;&gt;"",1,0)+IF(EG2156&lt;&gt;"",1,0)+IF(EH2156&lt;&gt;"",1,0)</f>
        <v/>
      </c>
      <c r="AZ2156">
        <f>IF(EH2156&lt;&gt;"",1,0)</f>
        <v/>
      </c>
      <c r="BB2156" t="inlineStr">
        <is>
          <t>WARREN-WARD 4</t>
        </is>
      </c>
    </row>
    <row r="2157">
      <c r="A2157" t="inlineStr">
        <is>
          <t>OH0018597551</t>
        </is>
      </c>
      <c r="B2157" t="n">
        <v>78</v>
      </c>
      <c r="C2157" t="n">
        <v>338888</v>
      </c>
      <c r="D2157" t="inlineStr">
        <is>
          <t>AUSTIN</t>
        </is>
      </c>
      <c r="E2157" t="inlineStr">
        <is>
          <t>LISA</t>
        </is>
      </c>
      <c r="F2157">
        <f>CONCATENATE(D2157," ",LEFT(H2157,4),"T=",AU2157,"D=",AV2157,"R=",AW2157,"M=",AX2157,"L=",AY2157,"B=",AZ2157)</f>
        <v/>
      </c>
      <c r="G2157" t="inlineStr">
        <is>
          <t>M</t>
        </is>
      </c>
      <c r="I2157" t="inlineStr">
        <is>
          <t>1969-10-27</t>
        </is>
      </c>
      <c r="J2157" t="inlineStr">
        <is>
          <t>2023-11-21</t>
        </is>
      </c>
      <c r="K2157" t="inlineStr">
        <is>
          <t>ACTIVE</t>
        </is>
      </c>
      <c r="M2157" t="inlineStr">
        <is>
          <t>1618 WOODBINE AVE SE</t>
        </is>
      </c>
      <c r="N2157">
        <f>RIGHT(M2157,LEN(M2157)-FIND(" ",M2157))</f>
        <v/>
      </c>
      <c r="P2157" t="inlineStr">
        <is>
          <t>WARREN</t>
        </is>
      </c>
      <c r="Q2157" t="inlineStr">
        <is>
          <t>OH</t>
        </is>
      </c>
      <c r="R2157" t="n">
        <v>44484</v>
      </c>
      <c r="AD2157" t="inlineStr">
        <is>
          <t>TRUMBULL CAREER &amp; TECH CENTER</t>
        </is>
      </c>
      <c r="AE2157" t="inlineStr">
        <is>
          <t>WARREN CITY</t>
        </is>
      </c>
      <c r="AF2157" t="inlineStr">
        <is>
          <t>WARREN CITY SD</t>
        </is>
      </c>
      <c r="AH2157" t="n">
        <v>14</v>
      </c>
      <c r="AI2157" t="n">
        <v>11</v>
      </c>
      <c r="AN2157" t="inlineStr">
        <is>
          <t>WARREN</t>
        </is>
      </c>
      <c r="AO2157" t="inlineStr">
        <is>
          <t>WARREN CITY 4F</t>
        </is>
      </c>
      <c r="AP2157" t="inlineStr">
        <is>
          <t>78-P-ADN</t>
        </is>
      </c>
      <c r="AQ2157" t="n">
        <v>9</v>
      </c>
      <c r="AR2157" t="n">
        <v>64</v>
      </c>
      <c r="AS2157" t="n">
        <v>32</v>
      </c>
      <c r="AU2157">
        <f>COUNTA($BA$2157:$EH$2157)</f>
        <v/>
      </c>
      <c r="AV2157">
        <f>COUNTIF($BA$2157:$EH$2157,"D")</f>
        <v/>
      </c>
      <c r="AW2157">
        <f>COUNTIF($BA$2157:$EH$2157,"R")</f>
        <v/>
      </c>
      <c r="AX2157">
        <f>IF(BN2157="D",1,0)+IF(BO2157="D",1,0)+IF(BT2157="D",1,0)+IF(BU2157="D",1,0)+IF(BW2157="D",1,0)+IF(CC2157="D",1,0)+IF(CD2157="D",1,0)+IF(CE2157="D",1,0)+IF(CF2157="D",1,0)+IF(CL2157="D",1,0)+IF(CM2157="D",1,0)+IF(CQ2157="D",1,0)+IF(CR2157="D",1,0)+IF(CS2157="D",1,0)+IF(CW2157="D",1,0)+IF(CX2157="D",1,0)+IF(DD2157="D",1,0)+IF(DE2157="D",1,0)+IF(DJ2157="D",1,0)+IF(DK2157="D",1,0)+IF(DO2157="D",1,0)+IF(DP2157="D",1,0)+IF(DQ2157="D",1,0)+IF(DW2157="D",1,0)+IF(DZ2157="D",1,0)+IF(EH2157="D",1,0)</f>
        <v/>
      </c>
      <c r="AY2157">
        <f>IF(DJ2157&lt;&gt;"",1,0)+IF(DK2157&lt;&gt;"",1,0)+IF(DM2157&lt;&gt;"",1,0)+IF(DO2157&lt;&gt;"",1,0)+IF(DP2157&lt;&gt;"",1,0)+IF(DQ2157&lt;&gt;"",1,0)+IF(DS2157&lt;&gt;"",1,0)+IF(DT2157&lt;&gt;"",1,0)+IF(DV2157&lt;&gt;"",1,0)+IF(DW2157&lt;&gt;"",1,0)+IF(DX2157&lt;&gt;"",1,0)+IF(DY2157&lt;&gt;"",1,0)+IF(DZ2157&lt;&gt;"",1,0)+IF(EB2157&lt;&gt;"",1,0)+IF(EC2157&lt;&gt;"",1,0)+IF(ED2157&lt;&gt;"",1,0)+IF(EG2157&lt;&gt;"",1,0)+IF(EH2157&lt;&gt;"",1,0)</f>
        <v/>
      </c>
      <c r="AZ2157">
        <f>IF(EH2157&lt;&gt;"",1,0)</f>
        <v/>
      </c>
      <c r="BB2157" t="inlineStr">
        <is>
          <t>WARREN-WARD 4</t>
        </is>
      </c>
      <c r="CA2157" t="inlineStr">
        <is>
          <t>X</t>
        </is>
      </c>
      <c r="CK2157" t="inlineStr">
        <is>
          <t>X</t>
        </is>
      </c>
      <c r="CN2157" t="inlineStr">
        <is>
          <t>X</t>
        </is>
      </c>
      <c r="CP2157" t="inlineStr">
        <is>
          <t>X</t>
        </is>
      </c>
      <c r="CZ2157" t="inlineStr">
        <is>
          <t>D</t>
        </is>
      </c>
      <c r="DC2157" t="inlineStr">
        <is>
          <t>X</t>
        </is>
      </c>
      <c r="DI2157" t="inlineStr">
        <is>
          <t>X</t>
        </is>
      </c>
      <c r="DN2157" t="inlineStr">
        <is>
          <t>X</t>
        </is>
      </c>
      <c r="EF2157" t="inlineStr">
        <is>
          <t>X</t>
        </is>
      </c>
    </row>
    <row r="2158">
      <c r="A2158" t="inlineStr">
        <is>
          <t>OH0015743657</t>
        </is>
      </c>
      <c r="B2158" t="n">
        <v>78</v>
      </c>
      <c r="C2158" t="n">
        <v>331156</v>
      </c>
      <c r="D2158" t="inlineStr">
        <is>
          <t>MURRAY</t>
        </is>
      </c>
      <c r="E2158" t="inlineStr">
        <is>
          <t>NED</t>
        </is>
      </c>
      <c r="F2158">
        <f>CONCATENATE(D2158," ",LEFT(H2158,4),"T=",AU2158,"D=",AV2158,"R=",AW2158,"M=",AX2158,"L=",AY2158,"B=",AZ2158)</f>
        <v/>
      </c>
      <c r="G2158" t="inlineStr">
        <is>
          <t>D</t>
        </is>
      </c>
      <c r="I2158" t="inlineStr">
        <is>
          <t>1961-09-16</t>
        </is>
      </c>
      <c r="J2158" t="inlineStr">
        <is>
          <t>2004-09-10</t>
        </is>
      </c>
      <c r="K2158" t="inlineStr">
        <is>
          <t>ACTIVE</t>
        </is>
      </c>
      <c r="M2158" t="inlineStr">
        <is>
          <t>1220 OAK KNOLL AVE SE</t>
        </is>
      </c>
      <c r="N2158">
        <f>RIGHT(M2158,LEN(M2158)-FIND(" ",M2158))</f>
        <v/>
      </c>
      <c r="P2158" t="inlineStr">
        <is>
          <t>WARREN</t>
        </is>
      </c>
      <c r="Q2158" t="inlineStr">
        <is>
          <t>OH</t>
        </is>
      </c>
      <c r="R2158" t="n">
        <v>44484</v>
      </c>
      <c r="AD2158" t="inlineStr">
        <is>
          <t>TRUMBULL CAREER &amp; TECH CENTER</t>
        </is>
      </c>
      <c r="AE2158" t="inlineStr">
        <is>
          <t>WARREN CITY</t>
        </is>
      </c>
      <c r="AF2158" t="inlineStr">
        <is>
          <t>WARREN CITY SD</t>
        </is>
      </c>
      <c r="AH2158" t="n">
        <v>14</v>
      </c>
      <c r="AI2158" t="n">
        <v>11</v>
      </c>
      <c r="AN2158" t="inlineStr">
        <is>
          <t>WARREN</t>
        </is>
      </c>
      <c r="AO2158" t="inlineStr">
        <is>
          <t>WARREN CITY 4F</t>
        </is>
      </c>
      <c r="AP2158" t="inlineStr">
        <is>
          <t>78-P-ADN</t>
        </is>
      </c>
      <c r="AQ2158" t="n">
        <v>9</v>
      </c>
      <c r="AR2158" t="n">
        <v>64</v>
      </c>
      <c r="AS2158" t="n">
        <v>32</v>
      </c>
      <c r="AU2158">
        <f>COUNTA($BA$2158:$EH$2158)</f>
        <v/>
      </c>
      <c r="AV2158">
        <f>COUNTIF($BA$2158:$EH$2158,"D")</f>
        <v/>
      </c>
      <c r="AW2158">
        <f>COUNTIF($BA$2158:$EH$2158,"R")</f>
        <v/>
      </c>
      <c r="AX2158">
        <f>IF(BN2158="D",1,0)+IF(BO2158="D",1,0)+IF(BT2158="D",1,0)+IF(BU2158="D",1,0)+IF(BW2158="D",1,0)+IF(CC2158="D",1,0)+IF(CD2158="D",1,0)+IF(CE2158="D",1,0)+IF(CF2158="D",1,0)+IF(CL2158="D",1,0)+IF(CM2158="D",1,0)+IF(CQ2158="D",1,0)+IF(CR2158="D",1,0)+IF(CS2158="D",1,0)+IF(CW2158="D",1,0)+IF(CX2158="D",1,0)+IF(DD2158="D",1,0)+IF(DE2158="D",1,0)+IF(DJ2158="D",1,0)+IF(DK2158="D",1,0)+IF(DO2158="D",1,0)+IF(DP2158="D",1,0)+IF(DQ2158="D",1,0)+IF(DW2158="D",1,0)+IF(DZ2158="D",1,0)+IF(EH2158="D",1,0)</f>
        <v/>
      </c>
      <c r="AY2158">
        <f>IF(DJ2158&lt;&gt;"",1,0)+IF(DK2158&lt;&gt;"",1,0)+IF(DM2158&lt;&gt;"",1,0)+IF(DO2158&lt;&gt;"",1,0)+IF(DP2158&lt;&gt;"",1,0)+IF(DQ2158&lt;&gt;"",1,0)+IF(DS2158&lt;&gt;"",1,0)+IF(DT2158&lt;&gt;"",1,0)+IF(DV2158&lt;&gt;"",1,0)+IF(DW2158&lt;&gt;"",1,0)+IF(DX2158&lt;&gt;"",1,0)+IF(DY2158&lt;&gt;"",1,0)+IF(DZ2158&lt;&gt;"",1,0)+IF(EB2158&lt;&gt;"",1,0)+IF(EC2158&lt;&gt;"",1,0)+IF(ED2158&lt;&gt;"",1,0)+IF(EG2158&lt;&gt;"",1,0)+IF(EH2158&lt;&gt;"",1,0)</f>
        <v/>
      </c>
      <c r="AZ2158">
        <f>IF(EH2158&lt;&gt;"",1,0)</f>
        <v/>
      </c>
      <c r="BB2158" t="inlineStr">
        <is>
          <t>WARREN-WARD 4</t>
        </is>
      </c>
      <c r="BL2158" t="inlineStr">
        <is>
          <t>X</t>
        </is>
      </c>
      <c r="BY2158" t="inlineStr">
        <is>
          <t>D</t>
        </is>
      </c>
      <c r="CA2158" t="inlineStr">
        <is>
          <t>X</t>
        </is>
      </c>
      <c r="CN2158" t="inlineStr">
        <is>
          <t>X</t>
        </is>
      </c>
      <c r="CP2158" t="inlineStr">
        <is>
          <t>X</t>
        </is>
      </c>
      <c r="CV2158" t="inlineStr">
        <is>
          <t>X</t>
        </is>
      </c>
      <c r="DC2158" t="inlineStr">
        <is>
          <t>X</t>
        </is>
      </c>
      <c r="DF2158" t="inlineStr">
        <is>
          <t>X</t>
        </is>
      </c>
      <c r="DI2158" t="inlineStr">
        <is>
          <t>X</t>
        </is>
      </c>
      <c r="DN2158" t="inlineStr">
        <is>
          <t>X</t>
        </is>
      </c>
      <c r="DU2158" t="inlineStr">
        <is>
          <t>X</t>
        </is>
      </c>
      <c r="EA2158" t="inlineStr">
        <is>
          <t>X</t>
        </is>
      </c>
      <c r="EF2158" t="inlineStr">
        <is>
          <t>X</t>
        </is>
      </c>
    </row>
    <row r="2159">
      <c r="A2159" t="inlineStr">
        <is>
          <t>OH0015765592</t>
        </is>
      </c>
      <c r="B2159" t="n">
        <v>78</v>
      </c>
      <c r="C2159" t="n">
        <v>302806</v>
      </c>
      <c r="D2159" t="inlineStr">
        <is>
          <t>BENNETT</t>
        </is>
      </c>
      <c r="E2159" t="inlineStr">
        <is>
          <t>KORTNEY</t>
        </is>
      </c>
      <c r="F2159">
        <f>CONCATENATE(D2159," ",LEFT(H2159,4),"T=",AU2159,"D=",AV2159,"R=",AW2159,"M=",AX2159,"L=",AY2159,"B=",AZ2159)</f>
        <v/>
      </c>
      <c r="G2159" t="inlineStr">
        <is>
          <t>D</t>
        </is>
      </c>
      <c r="I2159" t="inlineStr">
        <is>
          <t>1981-12-28</t>
        </is>
      </c>
      <c r="J2159" t="inlineStr">
        <is>
          <t>2008-08-04</t>
        </is>
      </c>
      <c r="K2159" t="inlineStr">
        <is>
          <t>ACTIVE</t>
        </is>
      </c>
      <c r="L2159" t="inlineStr">
        <is>
          <t>D</t>
        </is>
      </c>
      <c r="M2159" t="inlineStr">
        <is>
          <t>1130 KENILWORTH AVE SE</t>
        </is>
      </c>
      <c r="N2159">
        <f>RIGHT(M2159,LEN(M2159)-FIND(" ",M2159))</f>
        <v/>
      </c>
      <c r="P2159" t="inlineStr">
        <is>
          <t>WARREN</t>
        </is>
      </c>
      <c r="Q2159" t="inlineStr">
        <is>
          <t>OH</t>
        </is>
      </c>
      <c r="R2159" t="n">
        <v>44484</v>
      </c>
      <c r="AD2159" t="inlineStr">
        <is>
          <t>TRUMBULL CAREER &amp; TECH CENTER</t>
        </is>
      </c>
      <c r="AE2159" t="inlineStr">
        <is>
          <t>WARREN CITY</t>
        </is>
      </c>
      <c r="AF2159" t="inlineStr">
        <is>
          <t>WARREN CITY SD</t>
        </is>
      </c>
      <c r="AH2159" t="n">
        <v>14</v>
      </c>
      <c r="AI2159" t="n">
        <v>11</v>
      </c>
      <c r="AN2159" t="inlineStr">
        <is>
          <t>WARREN</t>
        </is>
      </c>
      <c r="AO2159" t="inlineStr">
        <is>
          <t>WARREN CITY 4F</t>
        </is>
      </c>
      <c r="AP2159" t="inlineStr">
        <is>
          <t>78-P-ADN</t>
        </is>
      </c>
      <c r="AQ2159" t="n">
        <v>9</v>
      </c>
      <c r="AR2159" t="n">
        <v>64</v>
      </c>
      <c r="AS2159" t="n">
        <v>32</v>
      </c>
      <c r="AU2159">
        <f>COUNTA($BA$2159:$EH$2159)</f>
        <v/>
      </c>
      <c r="AV2159">
        <f>COUNTIF($BA$2159:$EH$2159,"D")</f>
        <v/>
      </c>
      <c r="AW2159">
        <f>COUNTIF($BA$2159:$EH$2159,"R")</f>
        <v/>
      </c>
      <c r="AX2159">
        <f>IF(BN2159="D",1,0)+IF(BO2159="D",1,0)+IF(BT2159="D",1,0)+IF(BU2159="D",1,0)+IF(BW2159="D",1,0)+IF(CC2159="D",1,0)+IF(CD2159="D",1,0)+IF(CE2159="D",1,0)+IF(CF2159="D",1,0)+IF(CL2159="D",1,0)+IF(CM2159="D",1,0)+IF(CQ2159="D",1,0)+IF(CR2159="D",1,0)+IF(CS2159="D",1,0)+IF(CW2159="D",1,0)+IF(CX2159="D",1,0)+IF(DD2159="D",1,0)+IF(DE2159="D",1,0)+IF(DJ2159="D",1,0)+IF(DK2159="D",1,0)+IF(DO2159="D",1,0)+IF(DP2159="D",1,0)+IF(DQ2159="D",1,0)+IF(DW2159="D",1,0)+IF(DZ2159="D",1,0)+IF(EH2159="D",1,0)</f>
        <v/>
      </c>
      <c r="AY2159">
        <f>IF(DJ2159&lt;&gt;"",1,0)+IF(DK2159&lt;&gt;"",1,0)+IF(DM2159&lt;&gt;"",1,0)+IF(DO2159&lt;&gt;"",1,0)+IF(DP2159&lt;&gt;"",1,0)+IF(DQ2159&lt;&gt;"",1,0)+IF(DS2159&lt;&gt;"",1,0)+IF(DT2159&lt;&gt;"",1,0)+IF(DV2159&lt;&gt;"",1,0)+IF(DW2159&lt;&gt;"",1,0)+IF(DX2159&lt;&gt;"",1,0)+IF(DY2159&lt;&gt;"",1,0)+IF(DZ2159&lt;&gt;"",1,0)+IF(EB2159&lt;&gt;"",1,0)+IF(EC2159&lt;&gt;"",1,0)+IF(ED2159&lt;&gt;"",1,0)+IF(EG2159&lt;&gt;"",1,0)+IF(EH2159&lt;&gt;"",1,0)</f>
        <v/>
      </c>
      <c r="AZ2159">
        <f>IF(EH2159&lt;&gt;"",1,0)</f>
        <v/>
      </c>
      <c r="BB2159" t="inlineStr">
        <is>
          <t>WARREN-WARD 4</t>
        </is>
      </c>
      <c r="BL2159" t="inlineStr">
        <is>
          <t>X</t>
        </is>
      </c>
      <c r="CA2159" t="inlineStr">
        <is>
          <t>X</t>
        </is>
      </c>
      <c r="CL2159" t="inlineStr">
        <is>
          <t>D</t>
        </is>
      </c>
      <c r="CN2159" t="inlineStr">
        <is>
          <t>X</t>
        </is>
      </c>
      <c r="CP2159" t="inlineStr">
        <is>
          <t>X</t>
        </is>
      </c>
      <c r="CQ2159" t="inlineStr">
        <is>
          <t>D</t>
        </is>
      </c>
      <c r="CY2159" t="inlineStr">
        <is>
          <t>X</t>
        </is>
      </c>
      <c r="DC2159" t="inlineStr">
        <is>
          <t>X</t>
        </is>
      </c>
      <c r="DI2159" t="inlineStr">
        <is>
          <t>X</t>
        </is>
      </c>
      <c r="DL2159" t="inlineStr">
        <is>
          <t>X</t>
        </is>
      </c>
      <c r="DM2159" t="inlineStr">
        <is>
          <t>D</t>
        </is>
      </c>
      <c r="DN2159" t="inlineStr">
        <is>
          <t>X</t>
        </is>
      </c>
      <c r="DS2159" t="inlineStr">
        <is>
          <t>D</t>
        </is>
      </c>
      <c r="DU2159" t="inlineStr">
        <is>
          <t>X</t>
        </is>
      </c>
      <c r="DW2159" t="inlineStr">
        <is>
          <t>D</t>
        </is>
      </c>
      <c r="DX2159" t="inlineStr">
        <is>
          <t>X</t>
        </is>
      </c>
      <c r="EA2159" t="inlineStr">
        <is>
          <t>X</t>
        </is>
      </c>
    </row>
    <row r="2160">
      <c r="A2160" t="inlineStr">
        <is>
          <t>OH0022210879</t>
        </is>
      </c>
      <c r="B2160" t="n">
        <v>78</v>
      </c>
      <c r="C2160" t="n">
        <v>392904</v>
      </c>
      <c r="D2160" t="inlineStr">
        <is>
          <t>DANIELS</t>
        </is>
      </c>
      <c r="E2160" t="inlineStr">
        <is>
          <t>KEON</t>
        </is>
      </c>
      <c r="F2160">
        <f>CONCATENATE(D2160," ",LEFT(H2160,4),"T=",AU2160,"D=",AV2160,"R=",AW2160,"M=",AX2160,"L=",AY2160,"B=",AZ2160)</f>
        <v/>
      </c>
      <c r="G2160" t="inlineStr">
        <is>
          <t>S</t>
        </is>
      </c>
      <c r="I2160" t="inlineStr">
        <is>
          <t>1993-07-15</t>
        </is>
      </c>
      <c r="J2160" t="inlineStr">
        <is>
          <t>2020-11-23</t>
        </is>
      </c>
      <c r="K2160" t="inlineStr">
        <is>
          <t>CONFIRMATION</t>
        </is>
      </c>
      <c r="M2160" t="inlineStr">
        <is>
          <t>2144 NILES RD SE</t>
        </is>
      </c>
      <c r="N2160">
        <f>RIGHT(M2160,LEN(M2160)-FIND(" ",M2160))</f>
        <v/>
      </c>
      <c r="P2160" t="inlineStr">
        <is>
          <t>WARREN</t>
        </is>
      </c>
      <c r="Q2160" t="inlineStr">
        <is>
          <t>OH</t>
        </is>
      </c>
      <c r="R2160" t="n">
        <v>44484</v>
      </c>
      <c r="AD2160" t="inlineStr">
        <is>
          <t>TRUMBULL CAREER &amp; TECH CENTER</t>
        </is>
      </c>
      <c r="AE2160" t="inlineStr">
        <is>
          <t>WARREN CITY</t>
        </is>
      </c>
      <c r="AF2160" t="inlineStr">
        <is>
          <t>WARREN CITY SD</t>
        </is>
      </c>
      <c r="AH2160" t="n">
        <v>14</v>
      </c>
      <c r="AI2160" t="n">
        <v>11</v>
      </c>
      <c r="AN2160" t="inlineStr">
        <is>
          <t>WARREN</t>
        </is>
      </c>
      <c r="AO2160" t="inlineStr">
        <is>
          <t>WARREN CITY 4F</t>
        </is>
      </c>
      <c r="AP2160" t="inlineStr">
        <is>
          <t>78-P-ADN</t>
        </is>
      </c>
      <c r="AQ2160" t="n">
        <v>9</v>
      </c>
      <c r="AR2160" t="n">
        <v>64</v>
      </c>
      <c r="AS2160" t="n">
        <v>32</v>
      </c>
      <c r="AU2160">
        <f>COUNTA($BA$2160:$EH$2160)</f>
        <v/>
      </c>
      <c r="AV2160">
        <f>COUNTIF($BA$2160:$EH$2160,"D")</f>
        <v/>
      </c>
      <c r="AW2160">
        <f>COUNTIF($BA$2160:$EH$2160,"R")</f>
        <v/>
      </c>
      <c r="AX2160">
        <f>IF(BN2160="D",1,0)+IF(BO2160="D",1,0)+IF(BT2160="D",1,0)+IF(BU2160="D",1,0)+IF(BW2160="D",1,0)+IF(CC2160="D",1,0)+IF(CD2160="D",1,0)+IF(CE2160="D",1,0)+IF(CF2160="D",1,0)+IF(CL2160="D",1,0)+IF(CM2160="D",1,0)+IF(CQ2160="D",1,0)+IF(CR2160="D",1,0)+IF(CS2160="D",1,0)+IF(CW2160="D",1,0)+IF(CX2160="D",1,0)+IF(DD2160="D",1,0)+IF(DE2160="D",1,0)+IF(DJ2160="D",1,0)+IF(DK2160="D",1,0)+IF(DO2160="D",1,0)+IF(DP2160="D",1,0)+IF(DQ2160="D",1,0)+IF(DW2160="D",1,0)+IF(DZ2160="D",1,0)+IF(EH2160="D",1,0)</f>
        <v/>
      </c>
      <c r="AY2160">
        <f>IF(DJ2160&lt;&gt;"",1,0)+IF(DK2160&lt;&gt;"",1,0)+IF(DM2160&lt;&gt;"",1,0)+IF(DO2160&lt;&gt;"",1,0)+IF(DP2160&lt;&gt;"",1,0)+IF(DQ2160&lt;&gt;"",1,0)+IF(DS2160&lt;&gt;"",1,0)+IF(DT2160&lt;&gt;"",1,0)+IF(DV2160&lt;&gt;"",1,0)+IF(DW2160&lt;&gt;"",1,0)+IF(DX2160&lt;&gt;"",1,0)+IF(DY2160&lt;&gt;"",1,0)+IF(DZ2160&lt;&gt;"",1,0)+IF(EB2160&lt;&gt;"",1,0)+IF(EC2160&lt;&gt;"",1,0)+IF(ED2160&lt;&gt;"",1,0)+IF(EG2160&lt;&gt;"",1,0)+IF(EH2160&lt;&gt;"",1,0)</f>
        <v/>
      </c>
      <c r="AZ2160">
        <f>IF(EH2160&lt;&gt;"",1,0)</f>
        <v/>
      </c>
      <c r="BB2160" t="inlineStr">
        <is>
          <t>WARREN-WARD 4</t>
        </is>
      </c>
      <c r="CP2160" t="inlineStr">
        <is>
          <t>X</t>
        </is>
      </c>
      <c r="DN2160" t="inlineStr">
        <is>
          <t>X</t>
        </is>
      </c>
    </row>
    <row r="2161">
      <c r="A2161" t="inlineStr">
        <is>
          <t>OH0015686818</t>
        </is>
      </c>
      <c r="B2161" t="n">
        <v>78</v>
      </c>
      <c r="C2161" t="n">
        <v>282931</v>
      </c>
      <c r="D2161" t="inlineStr">
        <is>
          <t>WADE</t>
        </is>
      </c>
      <c r="E2161" t="inlineStr">
        <is>
          <t>YOLANDA</t>
        </is>
      </c>
      <c r="F2161">
        <f>CONCATENATE(D2161," ",LEFT(H2161,4),"T=",AU2161,"D=",AV2161,"R=",AW2161,"M=",AX2161,"L=",AY2161,"B=",AZ2161)</f>
        <v/>
      </c>
      <c r="G2161" t="inlineStr">
        <is>
          <t>D</t>
        </is>
      </c>
      <c r="I2161" t="inlineStr">
        <is>
          <t>1956-05-23</t>
        </is>
      </c>
      <c r="J2161" t="inlineStr">
        <is>
          <t>2024-11-05</t>
        </is>
      </c>
      <c r="K2161" t="inlineStr">
        <is>
          <t>ACTIVE</t>
        </is>
      </c>
      <c r="M2161" t="inlineStr">
        <is>
          <t>1801 WALLACE ST SE</t>
        </is>
      </c>
      <c r="N2161">
        <f>RIGHT(M2161,LEN(M2161)-FIND(" ",M2161))</f>
        <v/>
      </c>
      <c r="P2161" t="inlineStr">
        <is>
          <t>WARREN</t>
        </is>
      </c>
      <c r="Q2161" t="inlineStr">
        <is>
          <t>OH</t>
        </is>
      </c>
      <c r="R2161" t="n">
        <v>44484</v>
      </c>
      <c r="AD2161" t="inlineStr">
        <is>
          <t>TRUMBULL CAREER &amp; TECH CENTER</t>
        </is>
      </c>
      <c r="AE2161" t="inlineStr">
        <is>
          <t>WARREN CITY</t>
        </is>
      </c>
      <c r="AF2161" t="inlineStr">
        <is>
          <t>WARREN CITY SD</t>
        </is>
      </c>
      <c r="AH2161" t="n">
        <v>14</v>
      </c>
      <c r="AI2161" t="n">
        <v>11</v>
      </c>
      <c r="AN2161" t="inlineStr">
        <is>
          <t>WARREN</t>
        </is>
      </c>
      <c r="AO2161" t="inlineStr">
        <is>
          <t>WARREN CITY 4F</t>
        </is>
      </c>
      <c r="AP2161" t="inlineStr">
        <is>
          <t>78-P-ADN</t>
        </is>
      </c>
      <c r="AQ2161" t="n">
        <v>9</v>
      </c>
      <c r="AR2161" t="n">
        <v>64</v>
      </c>
      <c r="AS2161" t="n">
        <v>32</v>
      </c>
      <c r="AU2161">
        <f>COUNTA($BA$2161:$EH$2161)</f>
        <v/>
      </c>
      <c r="AV2161">
        <f>COUNTIF($BA$2161:$EH$2161,"D")</f>
        <v/>
      </c>
      <c r="AW2161">
        <f>COUNTIF($BA$2161:$EH$2161,"R")</f>
        <v/>
      </c>
      <c r="AX2161">
        <f>IF(BN2161="D",1,0)+IF(BO2161="D",1,0)+IF(BT2161="D",1,0)+IF(BU2161="D",1,0)+IF(BW2161="D",1,0)+IF(CC2161="D",1,0)+IF(CD2161="D",1,0)+IF(CE2161="D",1,0)+IF(CF2161="D",1,0)+IF(CL2161="D",1,0)+IF(CM2161="D",1,0)+IF(CQ2161="D",1,0)+IF(CR2161="D",1,0)+IF(CS2161="D",1,0)+IF(CW2161="D",1,0)+IF(CX2161="D",1,0)+IF(DD2161="D",1,0)+IF(DE2161="D",1,0)+IF(DJ2161="D",1,0)+IF(DK2161="D",1,0)+IF(DO2161="D",1,0)+IF(DP2161="D",1,0)+IF(DQ2161="D",1,0)+IF(DW2161="D",1,0)+IF(DZ2161="D",1,0)+IF(EH2161="D",1,0)</f>
        <v/>
      </c>
      <c r="AY2161">
        <f>IF(DJ2161&lt;&gt;"",1,0)+IF(DK2161&lt;&gt;"",1,0)+IF(DM2161&lt;&gt;"",1,0)+IF(DO2161&lt;&gt;"",1,0)+IF(DP2161&lt;&gt;"",1,0)+IF(DQ2161&lt;&gt;"",1,0)+IF(DS2161&lt;&gt;"",1,0)+IF(DT2161&lt;&gt;"",1,0)+IF(DV2161&lt;&gt;"",1,0)+IF(DW2161&lt;&gt;"",1,0)+IF(DX2161&lt;&gt;"",1,0)+IF(DY2161&lt;&gt;"",1,0)+IF(DZ2161&lt;&gt;"",1,0)+IF(EB2161&lt;&gt;"",1,0)+IF(EC2161&lt;&gt;"",1,0)+IF(ED2161&lt;&gt;"",1,0)+IF(EG2161&lt;&gt;"",1,0)+IF(EH2161&lt;&gt;"",1,0)</f>
        <v/>
      </c>
      <c r="AZ2161">
        <f>IF(EH2161&lt;&gt;"",1,0)</f>
        <v/>
      </c>
      <c r="BB2161" t="inlineStr">
        <is>
          <t>WARREN-WARD 4</t>
        </is>
      </c>
      <c r="BD2161" t="inlineStr">
        <is>
          <t>X</t>
        </is>
      </c>
      <c r="BH2161" t="inlineStr">
        <is>
          <t>X</t>
        </is>
      </c>
      <c r="BL2161" t="inlineStr">
        <is>
          <t>X</t>
        </is>
      </c>
      <c r="CA2161" t="inlineStr">
        <is>
          <t>X</t>
        </is>
      </c>
      <c r="CK2161" t="inlineStr">
        <is>
          <t>X</t>
        </is>
      </c>
      <c r="CP2161" t="inlineStr">
        <is>
          <t>X</t>
        </is>
      </c>
      <c r="DC2161" t="inlineStr">
        <is>
          <t>X</t>
        </is>
      </c>
      <c r="DI2161" t="inlineStr">
        <is>
          <t>X</t>
        </is>
      </c>
      <c r="DN2161" t="inlineStr">
        <is>
          <t>X</t>
        </is>
      </c>
      <c r="EF2161" t="inlineStr">
        <is>
          <t>X</t>
        </is>
      </c>
    </row>
    <row r="2162">
      <c r="A2162" t="inlineStr">
        <is>
          <t>OH0022026459</t>
        </is>
      </c>
      <c r="B2162" t="n">
        <v>78</v>
      </c>
      <c r="C2162" t="n">
        <v>390486</v>
      </c>
      <c r="D2162" t="inlineStr">
        <is>
          <t>JACKSON</t>
        </is>
      </c>
      <c r="E2162" t="inlineStr">
        <is>
          <t>TIANA</t>
        </is>
      </c>
      <c r="F2162">
        <f>CONCATENATE(D2162," ",LEFT(H2162,4),"T=",AU2162,"D=",AV2162,"R=",AW2162,"M=",AX2162,"L=",AY2162,"B=",AZ2162)</f>
        <v/>
      </c>
      <c r="G2162" t="inlineStr">
        <is>
          <t>RENEE</t>
        </is>
      </c>
      <c r="I2162" t="inlineStr">
        <is>
          <t>1975-12-25</t>
        </is>
      </c>
      <c r="J2162" t="inlineStr">
        <is>
          <t>2017-02-21</t>
        </is>
      </c>
      <c r="K2162" t="inlineStr">
        <is>
          <t>ACTIVE</t>
        </is>
      </c>
      <c r="M2162" t="inlineStr">
        <is>
          <t>1936 BURTON ST SE</t>
        </is>
      </c>
      <c r="N2162">
        <f>RIGHT(M2162,LEN(M2162)-FIND(" ",M2162))</f>
        <v/>
      </c>
      <c r="P2162" t="inlineStr">
        <is>
          <t>WARREN</t>
        </is>
      </c>
      <c r="Q2162" t="inlineStr">
        <is>
          <t>OH</t>
        </is>
      </c>
      <c r="R2162" t="n">
        <v>44484</v>
      </c>
      <c r="AD2162" t="inlineStr">
        <is>
          <t>TRUMBULL CAREER &amp; TECH CENTER</t>
        </is>
      </c>
      <c r="AE2162" t="inlineStr">
        <is>
          <t>WARREN CITY</t>
        </is>
      </c>
      <c r="AF2162" t="inlineStr">
        <is>
          <t>WARREN CITY SD</t>
        </is>
      </c>
      <c r="AH2162" t="n">
        <v>14</v>
      </c>
      <c r="AI2162" t="n">
        <v>11</v>
      </c>
      <c r="AN2162" t="inlineStr">
        <is>
          <t>WARREN</t>
        </is>
      </c>
      <c r="AO2162" t="inlineStr">
        <is>
          <t>WARREN CITY 4F</t>
        </is>
      </c>
      <c r="AP2162" t="inlineStr">
        <is>
          <t>78-P-ADN</t>
        </is>
      </c>
      <c r="AQ2162" t="n">
        <v>9</v>
      </c>
      <c r="AR2162" t="n">
        <v>64</v>
      </c>
      <c r="AS2162" t="n">
        <v>32</v>
      </c>
      <c r="AU2162">
        <f>COUNTA($BA$2162:$EH$2162)</f>
        <v/>
      </c>
      <c r="AV2162">
        <f>COUNTIF($BA$2162:$EH$2162,"D")</f>
        <v/>
      </c>
      <c r="AW2162">
        <f>COUNTIF($BA$2162:$EH$2162,"R")</f>
        <v/>
      </c>
      <c r="AX2162">
        <f>IF(BN2162="D",1,0)+IF(BO2162="D",1,0)+IF(BT2162="D",1,0)+IF(BU2162="D",1,0)+IF(BW2162="D",1,0)+IF(CC2162="D",1,0)+IF(CD2162="D",1,0)+IF(CE2162="D",1,0)+IF(CF2162="D",1,0)+IF(CL2162="D",1,0)+IF(CM2162="D",1,0)+IF(CQ2162="D",1,0)+IF(CR2162="D",1,0)+IF(CS2162="D",1,0)+IF(CW2162="D",1,0)+IF(CX2162="D",1,0)+IF(DD2162="D",1,0)+IF(DE2162="D",1,0)+IF(DJ2162="D",1,0)+IF(DK2162="D",1,0)+IF(DO2162="D",1,0)+IF(DP2162="D",1,0)+IF(DQ2162="D",1,0)+IF(DW2162="D",1,0)+IF(DZ2162="D",1,0)+IF(EH2162="D",1,0)</f>
        <v/>
      </c>
      <c r="AY2162">
        <f>IF(DJ2162&lt;&gt;"",1,0)+IF(DK2162&lt;&gt;"",1,0)+IF(DM2162&lt;&gt;"",1,0)+IF(DO2162&lt;&gt;"",1,0)+IF(DP2162&lt;&gt;"",1,0)+IF(DQ2162&lt;&gt;"",1,0)+IF(DS2162&lt;&gt;"",1,0)+IF(DT2162&lt;&gt;"",1,0)+IF(DV2162&lt;&gt;"",1,0)+IF(DW2162&lt;&gt;"",1,0)+IF(DX2162&lt;&gt;"",1,0)+IF(DY2162&lt;&gt;"",1,0)+IF(DZ2162&lt;&gt;"",1,0)+IF(EB2162&lt;&gt;"",1,0)+IF(EC2162&lt;&gt;"",1,0)+IF(ED2162&lt;&gt;"",1,0)+IF(EG2162&lt;&gt;"",1,0)+IF(EH2162&lt;&gt;"",1,0)</f>
        <v/>
      </c>
      <c r="AZ2162">
        <f>IF(EH2162&lt;&gt;"",1,0)</f>
        <v/>
      </c>
      <c r="BB2162" t="inlineStr">
        <is>
          <t>WARREN-WARD 4</t>
        </is>
      </c>
      <c r="CP2162" t="inlineStr">
        <is>
          <t>X</t>
        </is>
      </c>
      <c r="DC2162" t="inlineStr">
        <is>
          <t>X</t>
        </is>
      </c>
      <c r="DI2162" t="inlineStr">
        <is>
          <t>X</t>
        </is>
      </c>
      <c r="DN2162" t="inlineStr">
        <is>
          <t>X</t>
        </is>
      </c>
      <c r="EF2162" t="inlineStr">
        <is>
          <t>X</t>
        </is>
      </c>
    </row>
    <row r="2163">
      <c r="A2163" t="inlineStr">
        <is>
          <t>OH0020050259</t>
        </is>
      </c>
      <c r="B2163" t="n">
        <v>78</v>
      </c>
      <c r="C2163" t="n">
        <v>362167</v>
      </c>
      <c r="D2163" t="inlineStr">
        <is>
          <t>HERRON</t>
        </is>
      </c>
      <c r="E2163" t="inlineStr">
        <is>
          <t>CHARLES</t>
        </is>
      </c>
      <c r="F2163">
        <f>CONCATENATE(D2163," ",LEFT(H2163,4),"T=",AU2163,"D=",AV2163,"R=",AW2163,"M=",AX2163,"L=",AY2163,"B=",AZ2163)</f>
        <v/>
      </c>
      <c r="G2163" t="inlineStr">
        <is>
          <t>E</t>
        </is>
      </c>
      <c r="H2163" t="inlineStr">
        <is>
          <t>JR</t>
        </is>
      </c>
      <c r="I2163" t="inlineStr">
        <is>
          <t>1970-11-29</t>
        </is>
      </c>
      <c r="J2163" t="inlineStr">
        <is>
          <t>2020-01-15</t>
        </is>
      </c>
      <c r="K2163" t="inlineStr">
        <is>
          <t>ACTIVE</t>
        </is>
      </c>
      <c r="L2163" t="inlineStr">
        <is>
          <t>D</t>
        </is>
      </c>
      <c r="M2163" t="inlineStr">
        <is>
          <t>1507 HOMEWOOD AVE SE</t>
        </is>
      </c>
      <c r="N2163">
        <f>RIGHT(M2163,LEN(M2163)-FIND(" ",M2163))</f>
        <v/>
      </c>
      <c r="P2163" t="inlineStr">
        <is>
          <t>WARREN</t>
        </is>
      </c>
      <c r="Q2163" t="inlineStr">
        <is>
          <t>OH</t>
        </is>
      </c>
      <c r="R2163" t="n">
        <v>44484</v>
      </c>
      <c r="AD2163" t="inlineStr">
        <is>
          <t>TRUMBULL CAREER &amp; TECH CENTER</t>
        </is>
      </c>
      <c r="AE2163" t="inlineStr">
        <is>
          <t>WARREN CITY</t>
        </is>
      </c>
      <c r="AF2163" t="inlineStr">
        <is>
          <t>WARREN CITY SD</t>
        </is>
      </c>
      <c r="AH2163" t="n">
        <v>14</v>
      </c>
      <c r="AI2163" t="n">
        <v>11</v>
      </c>
      <c r="AN2163" t="inlineStr">
        <is>
          <t>WARREN</t>
        </is>
      </c>
      <c r="AO2163" t="inlineStr">
        <is>
          <t>WARREN CITY 4F</t>
        </is>
      </c>
      <c r="AP2163" t="inlineStr">
        <is>
          <t>78-P-ADN</t>
        </is>
      </c>
      <c r="AQ2163" t="n">
        <v>9</v>
      </c>
      <c r="AR2163" t="n">
        <v>64</v>
      </c>
      <c r="AS2163" t="n">
        <v>32</v>
      </c>
      <c r="AU2163">
        <f>COUNTA($BA$2163:$EH$2163)</f>
        <v/>
      </c>
      <c r="AV2163">
        <f>COUNTIF($BA$2163:$EH$2163,"D")</f>
        <v/>
      </c>
      <c r="AW2163">
        <f>COUNTIF($BA$2163:$EH$2163,"R")</f>
        <v/>
      </c>
      <c r="AX2163">
        <f>IF(BN2163="D",1,0)+IF(BO2163="D",1,0)+IF(BT2163="D",1,0)+IF(BU2163="D",1,0)+IF(BW2163="D",1,0)+IF(CC2163="D",1,0)+IF(CD2163="D",1,0)+IF(CE2163="D",1,0)+IF(CF2163="D",1,0)+IF(CL2163="D",1,0)+IF(CM2163="D",1,0)+IF(CQ2163="D",1,0)+IF(CR2163="D",1,0)+IF(CS2163="D",1,0)+IF(CW2163="D",1,0)+IF(CX2163="D",1,0)+IF(DD2163="D",1,0)+IF(DE2163="D",1,0)+IF(DJ2163="D",1,0)+IF(DK2163="D",1,0)+IF(DO2163="D",1,0)+IF(DP2163="D",1,0)+IF(DQ2163="D",1,0)+IF(DW2163="D",1,0)+IF(DZ2163="D",1,0)+IF(EH2163="D",1,0)</f>
        <v/>
      </c>
      <c r="AY2163">
        <f>IF(DJ2163&lt;&gt;"",1,0)+IF(DK2163&lt;&gt;"",1,0)+IF(DM2163&lt;&gt;"",1,0)+IF(DO2163&lt;&gt;"",1,0)+IF(DP2163&lt;&gt;"",1,0)+IF(DQ2163&lt;&gt;"",1,0)+IF(DS2163&lt;&gt;"",1,0)+IF(DT2163&lt;&gt;"",1,0)+IF(DV2163&lt;&gt;"",1,0)+IF(DW2163&lt;&gt;"",1,0)+IF(DX2163&lt;&gt;"",1,0)+IF(DY2163&lt;&gt;"",1,0)+IF(DZ2163&lt;&gt;"",1,0)+IF(EB2163&lt;&gt;"",1,0)+IF(EC2163&lt;&gt;"",1,0)+IF(ED2163&lt;&gt;"",1,0)+IF(EG2163&lt;&gt;"",1,0)+IF(EH2163&lt;&gt;"",1,0)</f>
        <v/>
      </c>
      <c r="AZ2163">
        <f>IF(EH2163&lt;&gt;"",1,0)</f>
        <v/>
      </c>
      <c r="BB2163" t="inlineStr">
        <is>
          <t>WARREN-WARD 4</t>
        </is>
      </c>
      <c r="CA2163" t="inlineStr">
        <is>
          <t>X</t>
        </is>
      </c>
      <c r="CK2163" t="inlineStr">
        <is>
          <t>X</t>
        </is>
      </c>
      <c r="CL2163" t="inlineStr">
        <is>
          <t>D</t>
        </is>
      </c>
      <c r="CP2163" t="inlineStr">
        <is>
          <t>X</t>
        </is>
      </c>
      <c r="CY2163" t="inlineStr">
        <is>
          <t>X</t>
        </is>
      </c>
      <c r="DM2163" t="inlineStr">
        <is>
          <t>D</t>
        </is>
      </c>
      <c r="DN2163" t="inlineStr">
        <is>
          <t>X</t>
        </is>
      </c>
      <c r="DU2163" t="inlineStr">
        <is>
          <t>X</t>
        </is>
      </c>
      <c r="DW2163" t="inlineStr">
        <is>
          <t>D</t>
        </is>
      </c>
      <c r="DX2163" t="inlineStr">
        <is>
          <t>X</t>
        </is>
      </c>
    </row>
    <row r="2164">
      <c r="A2164" t="inlineStr">
        <is>
          <t>OH0015694969</t>
        </is>
      </c>
      <c r="B2164" t="n">
        <v>78</v>
      </c>
      <c r="C2164" t="n">
        <v>14788</v>
      </c>
      <c r="D2164" t="inlineStr">
        <is>
          <t>BLAKELY</t>
        </is>
      </c>
      <c r="E2164" t="inlineStr">
        <is>
          <t>LINDA</t>
        </is>
      </c>
      <c r="F2164">
        <f>CONCATENATE(D2164," ",LEFT(H2164,4),"T=",AU2164,"D=",AV2164,"R=",AW2164,"M=",AX2164,"L=",AY2164,"B=",AZ2164)</f>
        <v/>
      </c>
      <c r="I2164" t="inlineStr">
        <is>
          <t>1953-07-02</t>
        </is>
      </c>
      <c r="J2164" t="inlineStr">
        <is>
          <t>1978-09-27</t>
        </is>
      </c>
      <c r="K2164" t="inlineStr">
        <is>
          <t>ACTIVE</t>
        </is>
      </c>
      <c r="L2164" t="inlineStr">
        <is>
          <t>D</t>
        </is>
      </c>
      <c r="M2164" t="inlineStr">
        <is>
          <t>1091 WOODBINE AVE SE</t>
        </is>
      </c>
      <c r="N2164">
        <f>RIGHT(M2164,LEN(M2164)-FIND(" ",M2164))</f>
        <v/>
      </c>
      <c r="P2164" t="inlineStr">
        <is>
          <t>WARREN</t>
        </is>
      </c>
      <c r="Q2164" t="inlineStr">
        <is>
          <t>OH</t>
        </is>
      </c>
      <c r="R2164" t="n">
        <v>44484</v>
      </c>
      <c r="AD2164" t="inlineStr">
        <is>
          <t>TRUMBULL CAREER &amp; TECH CENTER</t>
        </is>
      </c>
      <c r="AE2164" t="inlineStr">
        <is>
          <t>WARREN CITY</t>
        </is>
      </c>
      <c r="AF2164" t="inlineStr">
        <is>
          <t>WARREN CITY SD</t>
        </is>
      </c>
      <c r="AH2164" t="n">
        <v>14</v>
      </c>
      <c r="AI2164" t="n">
        <v>11</v>
      </c>
      <c r="AN2164" t="inlineStr">
        <is>
          <t>WARREN</t>
        </is>
      </c>
      <c r="AO2164" t="inlineStr">
        <is>
          <t>WARREN CITY 4F</t>
        </is>
      </c>
      <c r="AP2164" t="inlineStr">
        <is>
          <t>78-P-ADN</t>
        </is>
      </c>
      <c r="AQ2164" t="n">
        <v>9</v>
      </c>
      <c r="AR2164" t="n">
        <v>64</v>
      </c>
      <c r="AS2164" t="n">
        <v>32</v>
      </c>
      <c r="AU2164">
        <f>COUNTA($BA$2164:$EH$2164)</f>
        <v/>
      </c>
      <c r="AV2164">
        <f>COUNTIF($BA$2164:$EH$2164,"D")</f>
        <v/>
      </c>
      <c r="AW2164">
        <f>COUNTIF($BA$2164:$EH$2164,"R")</f>
        <v/>
      </c>
      <c r="AX2164">
        <f>IF(BN2164="D",1,0)+IF(BO2164="D",1,0)+IF(BT2164="D",1,0)+IF(BU2164="D",1,0)+IF(BW2164="D",1,0)+IF(CC2164="D",1,0)+IF(CD2164="D",1,0)+IF(CE2164="D",1,0)+IF(CF2164="D",1,0)+IF(CL2164="D",1,0)+IF(CM2164="D",1,0)+IF(CQ2164="D",1,0)+IF(CR2164="D",1,0)+IF(CS2164="D",1,0)+IF(CW2164="D",1,0)+IF(CX2164="D",1,0)+IF(DD2164="D",1,0)+IF(DE2164="D",1,0)+IF(DJ2164="D",1,0)+IF(DK2164="D",1,0)+IF(DO2164="D",1,0)+IF(DP2164="D",1,0)+IF(DQ2164="D",1,0)+IF(DW2164="D",1,0)+IF(DZ2164="D",1,0)+IF(EH2164="D",1,0)</f>
        <v/>
      </c>
      <c r="AY2164">
        <f>IF(DJ2164&lt;&gt;"",1,0)+IF(DK2164&lt;&gt;"",1,0)+IF(DM2164&lt;&gt;"",1,0)+IF(DO2164&lt;&gt;"",1,0)+IF(DP2164&lt;&gt;"",1,0)+IF(DQ2164&lt;&gt;"",1,0)+IF(DS2164&lt;&gt;"",1,0)+IF(DT2164&lt;&gt;"",1,0)+IF(DV2164&lt;&gt;"",1,0)+IF(DW2164&lt;&gt;"",1,0)+IF(DX2164&lt;&gt;"",1,0)+IF(DY2164&lt;&gt;"",1,0)+IF(DZ2164&lt;&gt;"",1,0)+IF(EB2164&lt;&gt;"",1,0)+IF(EC2164&lt;&gt;"",1,0)+IF(ED2164&lt;&gt;"",1,0)+IF(EG2164&lt;&gt;"",1,0)+IF(EH2164&lt;&gt;"",1,0)</f>
        <v/>
      </c>
      <c r="AZ2164">
        <f>IF(EH2164&lt;&gt;"",1,0)</f>
        <v/>
      </c>
      <c r="BB2164" t="inlineStr">
        <is>
          <t>WARREN-WARD 4</t>
        </is>
      </c>
      <c r="BC2164" t="inlineStr">
        <is>
          <t>X</t>
        </is>
      </c>
      <c r="BD2164" t="inlineStr">
        <is>
          <t>X</t>
        </is>
      </c>
      <c r="BE2164" t="inlineStr">
        <is>
          <t>X</t>
        </is>
      </c>
      <c r="BF2164" t="inlineStr">
        <is>
          <t>X</t>
        </is>
      </c>
      <c r="BI2164" t="inlineStr">
        <is>
          <t>X</t>
        </is>
      </c>
      <c r="BJ2164" t="inlineStr">
        <is>
          <t>X</t>
        </is>
      </c>
      <c r="BK2164" t="inlineStr">
        <is>
          <t>X</t>
        </is>
      </c>
      <c r="BL2164" t="inlineStr">
        <is>
          <t>X</t>
        </is>
      </c>
      <c r="BP2164" t="inlineStr">
        <is>
          <t>X</t>
        </is>
      </c>
      <c r="BV2164" t="inlineStr">
        <is>
          <t>X</t>
        </is>
      </c>
      <c r="BY2164" t="inlineStr">
        <is>
          <t>D</t>
        </is>
      </c>
      <c r="CA2164" t="inlineStr">
        <is>
          <t>X</t>
        </is>
      </c>
      <c r="CG2164" t="inlineStr">
        <is>
          <t>X</t>
        </is>
      </c>
      <c r="CK2164" t="inlineStr">
        <is>
          <t>X</t>
        </is>
      </c>
      <c r="CL2164" t="inlineStr">
        <is>
          <t>D</t>
        </is>
      </c>
      <c r="CN2164" t="inlineStr">
        <is>
          <t>X</t>
        </is>
      </c>
      <c r="CO2164" t="inlineStr">
        <is>
          <t>D</t>
        </is>
      </c>
      <c r="CP2164" t="inlineStr">
        <is>
          <t>X</t>
        </is>
      </c>
      <c r="CQ2164" t="inlineStr">
        <is>
          <t>D</t>
        </is>
      </c>
      <c r="CT2164" t="inlineStr">
        <is>
          <t>X</t>
        </is>
      </c>
      <c r="CV2164" t="inlineStr">
        <is>
          <t>X</t>
        </is>
      </c>
      <c r="CW2164" t="inlineStr">
        <is>
          <t>D</t>
        </is>
      </c>
      <c r="CY2164" t="inlineStr">
        <is>
          <t>X</t>
        </is>
      </c>
      <c r="CZ2164" t="inlineStr">
        <is>
          <t>D</t>
        </is>
      </c>
      <c r="DC2164" t="inlineStr">
        <is>
          <t>X</t>
        </is>
      </c>
      <c r="DD2164" t="inlineStr">
        <is>
          <t>D</t>
        </is>
      </c>
      <c r="DF2164" t="inlineStr">
        <is>
          <t>X</t>
        </is>
      </c>
      <c r="DG2164" t="inlineStr">
        <is>
          <t>D</t>
        </is>
      </c>
      <c r="DI2164" t="inlineStr">
        <is>
          <t>X</t>
        </is>
      </c>
      <c r="DJ2164" t="inlineStr">
        <is>
          <t>D</t>
        </is>
      </c>
      <c r="DL2164" t="inlineStr">
        <is>
          <t>X</t>
        </is>
      </c>
      <c r="DM2164" t="inlineStr">
        <is>
          <t>D</t>
        </is>
      </c>
      <c r="DN2164" t="inlineStr">
        <is>
          <t>X</t>
        </is>
      </c>
      <c r="DR2164" t="inlineStr">
        <is>
          <t>X</t>
        </is>
      </c>
      <c r="DS2164" t="inlineStr">
        <is>
          <t>D</t>
        </is>
      </c>
      <c r="DU2164" t="inlineStr">
        <is>
          <t>X</t>
        </is>
      </c>
      <c r="DW2164" t="inlineStr">
        <is>
          <t>D</t>
        </is>
      </c>
      <c r="DX2164" t="inlineStr">
        <is>
          <t>X</t>
        </is>
      </c>
      <c r="EA2164" t="inlineStr">
        <is>
          <t>X</t>
        </is>
      </c>
      <c r="EF2164" t="inlineStr">
        <is>
          <t>X</t>
        </is>
      </c>
      <c r="EH2164" t="inlineStr">
        <is>
          <t>D</t>
        </is>
      </c>
    </row>
    <row r="2165">
      <c r="A2165" t="inlineStr">
        <is>
          <t>OH0027873933</t>
        </is>
      </c>
      <c r="B2165" t="n">
        <v>78</v>
      </c>
      <c r="C2165" t="n">
        <v>494713</v>
      </c>
      <c r="D2165" t="inlineStr">
        <is>
          <t>GARRISON</t>
        </is>
      </c>
      <c r="E2165" t="inlineStr">
        <is>
          <t>JOHN</t>
        </is>
      </c>
      <c r="F2165">
        <f>CONCATENATE(D2165," ",LEFT(H2165,4),"T=",AU2165,"D=",AV2165,"R=",AW2165,"M=",AX2165,"L=",AY2165,"B=",AZ2165)</f>
        <v/>
      </c>
      <c r="G2165" t="inlineStr">
        <is>
          <t>MILTON</t>
        </is>
      </c>
      <c r="H2165" t="inlineStr">
        <is>
          <t>JR</t>
        </is>
      </c>
      <c r="I2165" t="inlineStr">
        <is>
          <t>2000-12-12</t>
        </is>
      </c>
      <c r="J2165" t="inlineStr">
        <is>
          <t>2025-01-07</t>
        </is>
      </c>
      <c r="K2165" t="inlineStr">
        <is>
          <t>ACTIVE</t>
        </is>
      </c>
      <c r="M2165" t="inlineStr">
        <is>
          <t>948 HOMEWOOD AVE SE</t>
        </is>
      </c>
      <c r="N2165">
        <f>RIGHT(M2165,LEN(M2165)-FIND(" ",M2165))</f>
        <v/>
      </c>
      <c r="P2165" t="inlineStr">
        <is>
          <t>WARREN</t>
        </is>
      </c>
      <c r="Q2165" t="inlineStr">
        <is>
          <t>OH</t>
        </is>
      </c>
      <c r="R2165" t="n">
        <v>44484</v>
      </c>
      <c r="AD2165" t="inlineStr">
        <is>
          <t>TRUMBULL CAREER &amp; TECH CENTER</t>
        </is>
      </c>
      <c r="AE2165" t="inlineStr">
        <is>
          <t>WARREN CITY</t>
        </is>
      </c>
      <c r="AF2165" t="inlineStr">
        <is>
          <t>WARREN CITY SD</t>
        </is>
      </c>
      <c r="AH2165" t="n">
        <v>14</v>
      </c>
      <c r="AI2165" t="n">
        <v>11</v>
      </c>
      <c r="AN2165" t="inlineStr">
        <is>
          <t>WARREN</t>
        </is>
      </c>
      <c r="AO2165" t="inlineStr">
        <is>
          <t>WARREN CITY 4F</t>
        </is>
      </c>
      <c r="AP2165" t="inlineStr">
        <is>
          <t>78-P-ADN</t>
        </is>
      </c>
      <c r="AQ2165" t="n">
        <v>9</v>
      </c>
      <c r="AR2165" t="n">
        <v>64</v>
      </c>
      <c r="AS2165" t="n">
        <v>32</v>
      </c>
      <c r="AU2165">
        <f>COUNTA($BA$2165:$EH$2165)</f>
        <v/>
      </c>
      <c r="AV2165">
        <f>COUNTIF($BA$2165:$EH$2165,"D")</f>
        <v/>
      </c>
      <c r="AW2165">
        <f>COUNTIF($BA$2165:$EH$2165,"R")</f>
        <v/>
      </c>
      <c r="AX2165">
        <f>IF(BN2165="D",1,0)+IF(BO2165="D",1,0)+IF(BT2165="D",1,0)+IF(BU2165="D",1,0)+IF(BW2165="D",1,0)+IF(CC2165="D",1,0)+IF(CD2165="D",1,0)+IF(CE2165="D",1,0)+IF(CF2165="D",1,0)+IF(CL2165="D",1,0)+IF(CM2165="D",1,0)+IF(CQ2165="D",1,0)+IF(CR2165="D",1,0)+IF(CS2165="D",1,0)+IF(CW2165="D",1,0)+IF(CX2165="D",1,0)+IF(DD2165="D",1,0)+IF(DE2165="D",1,0)+IF(DJ2165="D",1,0)+IF(DK2165="D",1,0)+IF(DO2165="D",1,0)+IF(DP2165="D",1,0)+IF(DQ2165="D",1,0)+IF(DW2165="D",1,0)+IF(DZ2165="D",1,0)+IF(EH2165="D",1,0)</f>
        <v/>
      </c>
      <c r="AY2165">
        <f>IF(DJ2165&lt;&gt;"",1,0)+IF(DK2165&lt;&gt;"",1,0)+IF(DM2165&lt;&gt;"",1,0)+IF(DO2165&lt;&gt;"",1,0)+IF(DP2165&lt;&gt;"",1,0)+IF(DQ2165&lt;&gt;"",1,0)+IF(DS2165&lt;&gt;"",1,0)+IF(DT2165&lt;&gt;"",1,0)+IF(DV2165&lt;&gt;"",1,0)+IF(DW2165&lt;&gt;"",1,0)+IF(DX2165&lt;&gt;"",1,0)+IF(DY2165&lt;&gt;"",1,0)+IF(DZ2165&lt;&gt;"",1,0)+IF(EB2165&lt;&gt;"",1,0)+IF(EC2165&lt;&gt;"",1,0)+IF(ED2165&lt;&gt;"",1,0)+IF(EG2165&lt;&gt;"",1,0)+IF(EH2165&lt;&gt;"",1,0)</f>
        <v/>
      </c>
      <c r="AZ2165">
        <f>IF(EH2165&lt;&gt;"",1,0)</f>
        <v/>
      </c>
      <c r="BB2165" t="inlineStr">
        <is>
          <t>WARREN-WARD 4</t>
        </is>
      </c>
    </row>
    <row r="2166">
      <c r="A2166" t="inlineStr">
        <is>
          <t>OH0021280083</t>
        </is>
      </c>
      <c r="B2166" t="n">
        <v>78</v>
      </c>
      <c r="C2166" t="n">
        <v>374116</v>
      </c>
      <c r="D2166" t="inlineStr">
        <is>
          <t>ANERINO</t>
        </is>
      </c>
      <c r="E2166" t="inlineStr">
        <is>
          <t>NINA</t>
        </is>
      </c>
      <c r="F2166">
        <f>CONCATENATE(D2166," ",LEFT(H2166,4),"T=",AU2166,"D=",AV2166,"R=",AW2166,"M=",AX2166,"L=",AY2166,"B=",AZ2166)</f>
        <v/>
      </c>
      <c r="G2166" t="inlineStr">
        <is>
          <t>M</t>
        </is>
      </c>
      <c r="I2166" t="inlineStr">
        <is>
          <t>1982-01-21</t>
        </is>
      </c>
      <c r="J2166" t="inlineStr">
        <is>
          <t>2016-07-19</t>
        </is>
      </c>
      <c r="K2166" t="inlineStr">
        <is>
          <t>ACTIVE</t>
        </is>
      </c>
      <c r="M2166" t="inlineStr">
        <is>
          <t>1649 WOODBINE AVE SE</t>
        </is>
      </c>
      <c r="N2166">
        <f>RIGHT(M2166,LEN(M2166)-FIND(" ",M2166))</f>
        <v/>
      </c>
      <c r="P2166" t="inlineStr">
        <is>
          <t>WARREN</t>
        </is>
      </c>
      <c r="Q2166" t="inlineStr">
        <is>
          <t>OH</t>
        </is>
      </c>
      <c r="R2166" t="n">
        <v>44484</v>
      </c>
      <c r="AD2166" t="inlineStr">
        <is>
          <t>TRUMBULL CAREER &amp; TECH CENTER</t>
        </is>
      </c>
      <c r="AE2166" t="inlineStr">
        <is>
          <t>WARREN CITY</t>
        </is>
      </c>
      <c r="AF2166" t="inlineStr">
        <is>
          <t>WARREN CITY SD</t>
        </is>
      </c>
      <c r="AH2166" t="n">
        <v>14</v>
      </c>
      <c r="AI2166" t="n">
        <v>11</v>
      </c>
      <c r="AN2166" t="inlineStr">
        <is>
          <t>WARREN</t>
        </is>
      </c>
      <c r="AO2166" t="inlineStr">
        <is>
          <t>WARREN CITY 4F</t>
        </is>
      </c>
      <c r="AP2166" t="inlineStr">
        <is>
          <t>78-P-ADN</t>
        </is>
      </c>
      <c r="AQ2166" t="n">
        <v>9</v>
      </c>
      <c r="AR2166" t="n">
        <v>64</v>
      </c>
      <c r="AS2166" t="n">
        <v>32</v>
      </c>
      <c r="AU2166">
        <f>COUNTA($BA$2166:$EH$2166)</f>
        <v/>
      </c>
      <c r="AV2166">
        <f>COUNTIF($BA$2166:$EH$2166,"D")</f>
        <v/>
      </c>
      <c r="AW2166">
        <f>COUNTIF($BA$2166:$EH$2166,"R")</f>
        <v/>
      </c>
      <c r="AX2166">
        <f>IF(BN2166="D",1,0)+IF(BO2166="D",1,0)+IF(BT2166="D",1,0)+IF(BU2166="D",1,0)+IF(BW2166="D",1,0)+IF(CC2166="D",1,0)+IF(CD2166="D",1,0)+IF(CE2166="D",1,0)+IF(CF2166="D",1,0)+IF(CL2166="D",1,0)+IF(CM2166="D",1,0)+IF(CQ2166="D",1,0)+IF(CR2166="D",1,0)+IF(CS2166="D",1,0)+IF(CW2166="D",1,0)+IF(CX2166="D",1,0)+IF(DD2166="D",1,0)+IF(DE2166="D",1,0)+IF(DJ2166="D",1,0)+IF(DK2166="D",1,0)+IF(DO2166="D",1,0)+IF(DP2166="D",1,0)+IF(DQ2166="D",1,0)+IF(DW2166="D",1,0)+IF(DZ2166="D",1,0)+IF(EH2166="D",1,0)</f>
        <v/>
      </c>
      <c r="AY2166">
        <f>IF(DJ2166&lt;&gt;"",1,0)+IF(DK2166&lt;&gt;"",1,0)+IF(DM2166&lt;&gt;"",1,0)+IF(DO2166&lt;&gt;"",1,0)+IF(DP2166&lt;&gt;"",1,0)+IF(DQ2166&lt;&gt;"",1,0)+IF(DS2166&lt;&gt;"",1,0)+IF(DT2166&lt;&gt;"",1,0)+IF(DV2166&lt;&gt;"",1,0)+IF(DW2166&lt;&gt;"",1,0)+IF(DX2166&lt;&gt;"",1,0)+IF(DY2166&lt;&gt;"",1,0)+IF(DZ2166&lt;&gt;"",1,0)+IF(EB2166&lt;&gt;"",1,0)+IF(EC2166&lt;&gt;"",1,0)+IF(ED2166&lt;&gt;"",1,0)+IF(EG2166&lt;&gt;"",1,0)+IF(EH2166&lt;&gt;"",1,0)</f>
        <v/>
      </c>
      <c r="AZ2166">
        <f>IF(EH2166&lt;&gt;"",1,0)</f>
        <v/>
      </c>
      <c r="BB2166" t="inlineStr">
        <is>
          <t>WARREN-WARD 4</t>
        </is>
      </c>
    </row>
    <row r="2167">
      <c r="A2167" t="inlineStr">
        <is>
          <t>OH0023357798</t>
        </is>
      </c>
      <c r="B2167" t="n">
        <v>78</v>
      </c>
      <c r="C2167" t="n">
        <v>411327</v>
      </c>
      <c r="D2167" t="inlineStr">
        <is>
          <t>BOBBITT</t>
        </is>
      </c>
      <c r="E2167" t="inlineStr">
        <is>
          <t>KENYA</t>
        </is>
      </c>
      <c r="F2167">
        <f>CONCATENATE(D2167," ",LEFT(H2167,4),"T=",AU2167,"D=",AV2167,"R=",AW2167,"M=",AX2167,"L=",AY2167,"B=",AZ2167)</f>
        <v/>
      </c>
      <c r="G2167" t="inlineStr">
        <is>
          <t>M</t>
        </is>
      </c>
      <c r="I2167" t="inlineStr">
        <is>
          <t>1996-08-05</t>
        </is>
      </c>
      <c r="J2167" t="inlineStr">
        <is>
          <t>2020-09-29</t>
        </is>
      </c>
      <c r="K2167" t="inlineStr">
        <is>
          <t>ACTIVE</t>
        </is>
      </c>
      <c r="M2167" t="inlineStr">
        <is>
          <t>1912 BURTON ST SE</t>
        </is>
      </c>
      <c r="N2167">
        <f>RIGHT(M2167,LEN(M2167)-FIND(" ",M2167))</f>
        <v/>
      </c>
      <c r="P2167" t="inlineStr">
        <is>
          <t>WARREN</t>
        </is>
      </c>
      <c r="Q2167" t="inlineStr">
        <is>
          <t>OH</t>
        </is>
      </c>
      <c r="R2167" t="n">
        <v>44484</v>
      </c>
      <c r="AD2167" t="inlineStr">
        <is>
          <t>TRUMBULL CAREER &amp; TECH CENTER</t>
        </is>
      </c>
      <c r="AE2167" t="inlineStr">
        <is>
          <t>WARREN CITY</t>
        </is>
      </c>
      <c r="AF2167" t="inlineStr">
        <is>
          <t>WARREN CITY SD</t>
        </is>
      </c>
      <c r="AH2167" t="n">
        <v>14</v>
      </c>
      <c r="AI2167" t="n">
        <v>11</v>
      </c>
      <c r="AN2167" t="inlineStr">
        <is>
          <t>WARREN</t>
        </is>
      </c>
      <c r="AO2167" t="inlineStr">
        <is>
          <t>WARREN CITY 4F</t>
        </is>
      </c>
      <c r="AP2167" t="inlineStr">
        <is>
          <t>78-P-ADN</t>
        </is>
      </c>
      <c r="AQ2167" t="n">
        <v>9</v>
      </c>
      <c r="AR2167" t="n">
        <v>64</v>
      </c>
      <c r="AS2167" t="n">
        <v>32</v>
      </c>
      <c r="AU2167">
        <f>COUNTA($BA$2167:$EH$2167)</f>
        <v/>
      </c>
      <c r="AV2167">
        <f>COUNTIF($BA$2167:$EH$2167,"D")</f>
        <v/>
      </c>
      <c r="AW2167">
        <f>COUNTIF($BA$2167:$EH$2167,"R")</f>
        <v/>
      </c>
      <c r="AX2167">
        <f>IF(BN2167="D",1,0)+IF(BO2167="D",1,0)+IF(BT2167="D",1,0)+IF(BU2167="D",1,0)+IF(BW2167="D",1,0)+IF(CC2167="D",1,0)+IF(CD2167="D",1,0)+IF(CE2167="D",1,0)+IF(CF2167="D",1,0)+IF(CL2167="D",1,0)+IF(CM2167="D",1,0)+IF(CQ2167="D",1,0)+IF(CR2167="D",1,0)+IF(CS2167="D",1,0)+IF(CW2167="D",1,0)+IF(CX2167="D",1,0)+IF(DD2167="D",1,0)+IF(DE2167="D",1,0)+IF(DJ2167="D",1,0)+IF(DK2167="D",1,0)+IF(DO2167="D",1,0)+IF(DP2167="D",1,0)+IF(DQ2167="D",1,0)+IF(DW2167="D",1,0)+IF(DZ2167="D",1,0)+IF(EH2167="D",1,0)</f>
        <v/>
      </c>
      <c r="AY2167">
        <f>IF(DJ2167&lt;&gt;"",1,0)+IF(DK2167&lt;&gt;"",1,0)+IF(DM2167&lt;&gt;"",1,0)+IF(DO2167&lt;&gt;"",1,0)+IF(DP2167&lt;&gt;"",1,0)+IF(DQ2167&lt;&gt;"",1,0)+IF(DS2167&lt;&gt;"",1,0)+IF(DT2167&lt;&gt;"",1,0)+IF(DV2167&lt;&gt;"",1,0)+IF(DW2167&lt;&gt;"",1,0)+IF(DX2167&lt;&gt;"",1,0)+IF(DY2167&lt;&gt;"",1,0)+IF(DZ2167&lt;&gt;"",1,0)+IF(EB2167&lt;&gt;"",1,0)+IF(EC2167&lt;&gt;"",1,0)+IF(ED2167&lt;&gt;"",1,0)+IF(EG2167&lt;&gt;"",1,0)+IF(EH2167&lt;&gt;"",1,0)</f>
        <v/>
      </c>
      <c r="AZ2167">
        <f>IF(EH2167&lt;&gt;"",1,0)</f>
        <v/>
      </c>
      <c r="BB2167" t="inlineStr">
        <is>
          <t>WARREN-WARD 4</t>
        </is>
      </c>
      <c r="DN2167" t="inlineStr">
        <is>
          <t>X</t>
        </is>
      </c>
    </row>
    <row r="2168">
      <c r="A2168" t="inlineStr">
        <is>
          <t>OH0024099480</t>
        </is>
      </c>
      <c r="B2168" t="n">
        <v>78</v>
      </c>
      <c r="C2168" t="n">
        <v>422243</v>
      </c>
      <c r="D2168" t="inlineStr">
        <is>
          <t>BROOKS</t>
        </is>
      </c>
      <c r="E2168" t="inlineStr">
        <is>
          <t>JANIERA</t>
        </is>
      </c>
      <c r="F2168">
        <f>CONCATENATE(D2168," ",LEFT(H2168,4),"T=",AU2168,"D=",AV2168,"R=",AW2168,"M=",AX2168,"L=",AY2168,"B=",AZ2168)</f>
        <v/>
      </c>
      <c r="G2168" t="inlineStr">
        <is>
          <t>N</t>
        </is>
      </c>
      <c r="I2168" t="inlineStr">
        <is>
          <t>1996-06-14</t>
        </is>
      </c>
      <c r="J2168" t="inlineStr">
        <is>
          <t>2024-10-08</t>
        </is>
      </c>
      <c r="K2168" t="inlineStr">
        <is>
          <t>ACTIVE</t>
        </is>
      </c>
      <c r="M2168" t="inlineStr">
        <is>
          <t>2228 DRAPER AVE SE</t>
        </is>
      </c>
      <c r="N2168">
        <f>RIGHT(M2168,LEN(M2168)-FIND(" ",M2168))</f>
        <v/>
      </c>
      <c r="P2168" t="inlineStr">
        <is>
          <t>WARREN</t>
        </is>
      </c>
      <c r="Q2168" t="inlineStr">
        <is>
          <t>OH</t>
        </is>
      </c>
      <c r="R2168" t="n">
        <v>44484</v>
      </c>
      <c r="AD2168" t="inlineStr">
        <is>
          <t>TRUMBULL CAREER &amp; TECH CENTER</t>
        </is>
      </c>
      <c r="AE2168" t="inlineStr">
        <is>
          <t>WARREN CITY</t>
        </is>
      </c>
      <c r="AF2168" t="inlineStr">
        <is>
          <t>WARREN CITY SD</t>
        </is>
      </c>
      <c r="AH2168" t="n">
        <v>14</v>
      </c>
      <c r="AI2168" t="n">
        <v>11</v>
      </c>
      <c r="AN2168" t="inlineStr">
        <is>
          <t>WARREN</t>
        </is>
      </c>
      <c r="AO2168" t="inlineStr">
        <is>
          <t>WARREN CITY 4F</t>
        </is>
      </c>
      <c r="AP2168" t="inlineStr">
        <is>
          <t>78-P-ADN</t>
        </is>
      </c>
      <c r="AQ2168" t="n">
        <v>9</v>
      </c>
      <c r="AR2168" t="n">
        <v>64</v>
      </c>
      <c r="AS2168" t="n">
        <v>32</v>
      </c>
      <c r="AU2168">
        <f>COUNTA($BA$2168:$EH$2168)</f>
        <v/>
      </c>
      <c r="AV2168">
        <f>COUNTIF($BA$2168:$EH$2168,"D")</f>
        <v/>
      </c>
      <c r="AW2168">
        <f>COUNTIF($BA$2168:$EH$2168,"R")</f>
        <v/>
      </c>
      <c r="AX2168">
        <f>IF(BN2168="D",1,0)+IF(BO2168="D",1,0)+IF(BT2168="D",1,0)+IF(BU2168="D",1,0)+IF(BW2168="D",1,0)+IF(CC2168="D",1,0)+IF(CD2168="D",1,0)+IF(CE2168="D",1,0)+IF(CF2168="D",1,0)+IF(CL2168="D",1,0)+IF(CM2168="D",1,0)+IF(CQ2168="D",1,0)+IF(CR2168="D",1,0)+IF(CS2168="D",1,0)+IF(CW2168="D",1,0)+IF(CX2168="D",1,0)+IF(DD2168="D",1,0)+IF(DE2168="D",1,0)+IF(DJ2168="D",1,0)+IF(DK2168="D",1,0)+IF(DO2168="D",1,0)+IF(DP2168="D",1,0)+IF(DQ2168="D",1,0)+IF(DW2168="D",1,0)+IF(DZ2168="D",1,0)+IF(EH2168="D",1,0)</f>
        <v/>
      </c>
      <c r="AY2168">
        <f>IF(DJ2168&lt;&gt;"",1,0)+IF(DK2168&lt;&gt;"",1,0)+IF(DM2168&lt;&gt;"",1,0)+IF(DO2168&lt;&gt;"",1,0)+IF(DP2168&lt;&gt;"",1,0)+IF(DQ2168&lt;&gt;"",1,0)+IF(DS2168&lt;&gt;"",1,0)+IF(DT2168&lt;&gt;"",1,0)+IF(DV2168&lt;&gt;"",1,0)+IF(DW2168&lt;&gt;"",1,0)+IF(DX2168&lt;&gt;"",1,0)+IF(DY2168&lt;&gt;"",1,0)+IF(DZ2168&lt;&gt;"",1,0)+IF(EB2168&lt;&gt;"",1,0)+IF(EC2168&lt;&gt;"",1,0)+IF(ED2168&lt;&gt;"",1,0)+IF(EG2168&lt;&gt;"",1,0)+IF(EH2168&lt;&gt;"",1,0)</f>
        <v/>
      </c>
      <c r="AZ2168">
        <f>IF(EH2168&lt;&gt;"",1,0)</f>
        <v/>
      </c>
      <c r="BB2168" t="inlineStr">
        <is>
          <t>WARREN-WARD 4</t>
        </is>
      </c>
      <c r="DC2168" t="inlineStr">
        <is>
          <t>X</t>
        </is>
      </c>
      <c r="DI2168" t="inlineStr">
        <is>
          <t>X</t>
        </is>
      </c>
      <c r="DN2168" t="inlineStr">
        <is>
          <t>X</t>
        </is>
      </c>
    </row>
    <row r="2169">
      <c r="A2169" t="inlineStr">
        <is>
          <t>OH0023667017</t>
        </is>
      </c>
      <c r="B2169" t="n">
        <v>78</v>
      </c>
      <c r="C2169" t="n">
        <v>416471</v>
      </c>
      <c r="D2169" t="inlineStr">
        <is>
          <t>JACKSON</t>
        </is>
      </c>
      <c r="E2169" t="inlineStr">
        <is>
          <t>KELVIN</t>
        </is>
      </c>
      <c r="F2169">
        <f>CONCATENATE(D2169," ",LEFT(H2169,4),"T=",AU2169,"D=",AV2169,"R=",AW2169,"M=",AX2169,"L=",AY2169,"B=",AZ2169)</f>
        <v/>
      </c>
      <c r="G2169" t="inlineStr">
        <is>
          <t>L</t>
        </is>
      </c>
      <c r="I2169" t="inlineStr">
        <is>
          <t>1965-07-30</t>
        </is>
      </c>
      <c r="J2169" t="inlineStr">
        <is>
          <t>2016-04-15</t>
        </is>
      </c>
      <c r="K2169" t="inlineStr">
        <is>
          <t>ACTIVE</t>
        </is>
      </c>
      <c r="M2169" t="inlineStr">
        <is>
          <t>2209 DRAPER AVE SE</t>
        </is>
      </c>
      <c r="N2169">
        <f>RIGHT(M2169,LEN(M2169)-FIND(" ",M2169))</f>
        <v/>
      </c>
      <c r="O2169" t="inlineStr">
        <is>
          <t>APT 109</t>
        </is>
      </c>
      <c r="P2169" t="inlineStr">
        <is>
          <t>WARREN</t>
        </is>
      </c>
      <c r="Q2169" t="inlineStr">
        <is>
          <t>OH</t>
        </is>
      </c>
      <c r="R2169" t="n">
        <v>44484</v>
      </c>
      <c r="AD2169" t="inlineStr">
        <is>
          <t>TRUMBULL CAREER &amp; TECH CENTER</t>
        </is>
      </c>
      <c r="AE2169" t="inlineStr">
        <is>
          <t>WARREN CITY</t>
        </is>
      </c>
      <c r="AF2169" t="inlineStr">
        <is>
          <t>WARREN CITY SD</t>
        </is>
      </c>
      <c r="AH2169" t="n">
        <v>14</v>
      </c>
      <c r="AI2169" t="n">
        <v>11</v>
      </c>
      <c r="AN2169" t="inlineStr">
        <is>
          <t>WARREN</t>
        </is>
      </c>
      <c r="AO2169" t="inlineStr">
        <is>
          <t>WARREN CITY 4F</t>
        </is>
      </c>
      <c r="AP2169" t="inlineStr">
        <is>
          <t>78-P-ADN</t>
        </is>
      </c>
      <c r="AQ2169" t="n">
        <v>9</v>
      </c>
      <c r="AR2169" t="n">
        <v>64</v>
      </c>
      <c r="AS2169" t="n">
        <v>32</v>
      </c>
      <c r="AU2169">
        <f>COUNTA($BA$2169:$EH$2169)</f>
        <v/>
      </c>
      <c r="AV2169">
        <f>COUNTIF($BA$2169:$EH$2169,"D")</f>
        <v/>
      </c>
      <c r="AW2169">
        <f>COUNTIF($BA$2169:$EH$2169,"R")</f>
        <v/>
      </c>
      <c r="AX2169">
        <f>IF(BN2169="D",1,0)+IF(BO2169="D",1,0)+IF(BT2169="D",1,0)+IF(BU2169="D",1,0)+IF(BW2169="D",1,0)+IF(CC2169="D",1,0)+IF(CD2169="D",1,0)+IF(CE2169="D",1,0)+IF(CF2169="D",1,0)+IF(CL2169="D",1,0)+IF(CM2169="D",1,0)+IF(CQ2169="D",1,0)+IF(CR2169="D",1,0)+IF(CS2169="D",1,0)+IF(CW2169="D",1,0)+IF(CX2169="D",1,0)+IF(DD2169="D",1,0)+IF(DE2169="D",1,0)+IF(DJ2169="D",1,0)+IF(DK2169="D",1,0)+IF(DO2169="D",1,0)+IF(DP2169="D",1,0)+IF(DQ2169="D",1,0)+IF(DW2169="D",1,0)+IF(DZ2169="D",1,0)+IF(EH2169="D",1,0)</f>
        <v/>
      </c>
      <c r="AY2169">
        <f>IF(DJ2169&lt;&gt;"",1,0)+IF(DK2169&lt;&gt;"",1,0)+IF(DM2169&lt;&gt;"",1,0)+IF(DO2169&lt;&gt;"",1,0)+IF(DP2169&lt;&gt;"",1,0)+IF(DQ2169&lt;&gt;"",1,0)+IF(DS2169&lt;&gt;"",1,0)+IF(DT2169&lt;&gt;"",1,0)+IF(DV2169&lt;&gt;"",1,0)+IF(DW2169&lt;&gt;"",1,0)+IF(DX2169&lt;&gt;"",1,0)+IF(DY2169&lt;&gt;"",1,0)+IF(DZ2169&lt;&gt;"",1,0)+IF(EB2169&lt;&gt;"",1,0)+IF(EC2169&lt;&gt;"",1,0)+IF(ED2169&lt;&gt;"",1,0)+IF(EG2169&lt;&gt;"",1,0)+IF(EH2169&lt;&gt;"",1,0)</f>
        <v/>
      </c>
      <c r="AZ2169">
        <f>IF(EH2169&lt;&gt;"",1,0)</f>
        <v/>
      </c>
      <c r="BB2169" t="inlineStr">
        <is>
          <t>WARREN-WARD 4</t>
        </is>
      </c>
      <c r="EF2169" t="inlineStr">
        <is>
          <t>X</t>
        </is>
      </c>
    </row>
    <row r="2170">
      <c r="A2170" t="inlineStr">
        <is>
          <t>OH0015786174</t>
        </is>
      </c>
      <c r="B2170" t="n">
        <v>78</v>
      </c>
      <c r="C2170" t="n">
        <v>6056</v>
      </c>
      <c r="D2170" t="inlineStr">
        <is>
          <t>ZARICK</t>
        </is>
      </c>
      <c r="E2170" t="inlineStr">
        <is>
          <t>CHARLES</t>
        </is>
      </c>
      <c r="F2170">
        <f>CONCATENATE(D2170," ",LEFT(H2170,4),"T=",AU2170,"D=",AV2170,"R=",AW2170,"M=",AX2170,"L=",AY2170,"B=",AZ2170)</f>
        <v/>
      </c>
      <c r="G2170" t="inlineStr">
        <is>
          <t>R</t>
        </is>
      </c>
      <c r="I2170" t="inlineStr">
        <is>
          <t>1959-09-27</t>
        </is>
      </c>
      <c r="J2170" t="inlineStr">
        <is>
          <t>1977-11-08</t>
        </is>
      </c>
      <c r="K2170" t="inlineStr">
        <is>
          <t>ACTIVE</t>
        </is>
      </c>
      <c r="L2170" t="inlineStr">
        <is>
          <t>D</t>
        </is>
      </c>
      <c r="M2170" t="inlineStr">
        <is>
          <t>1200 YOUNGSTOWN RD SE</t>
        </is>
      </c>
      <c r="N2170">
        <f>RIGHT(M2170,LEN(M2170)-FIND(" ",M2170))</f>
        <v/>
      </c>
      <c r="P2170" t="inlineStr">
        <is>
          <t>WARREN</t>
        </is>
      </c>
      <c r="Q2170" t="inlineStr">
        <is>
          <t>OH</t>
        </is>
      </c>
      <c r="R2170" t="n">
        <v>44484</v>
      </c>
      <c r="AD2170" t="inlineStr">
        <is>
          <t>TRUMBULL CAREER &amp; TECH CENTER</t>
        </is>
      </c>
      <c r="AE2170" t="inlineStr">
        <is>
          <t>WARREN CITY</t>
        </is>
      </c>
      <c r="AF2170" t="inlineStr">
        <is>
          <t>WARREN CITY SD</t>
        </is>
      </c>
      <c r="AH2170" t="n">
        <v>14</v>
      </c>
      <c r="AI2170" t="n">
        <v>11</v>
      </c>
      <c r="AN2170" t="inlineStr">
        <is>
          <t>WARREN</t>
        </is>
      </c>
      <c r="AO2170" t="inlineStr">
        <is>
          <t>WARREN CITY 4F</t>
        </is>
      </c>
      <c r="AP2170" t="inlineStr">
        <is>
          <t>78-P-ADN</t>
        </is>
      </c>
      <c r="AQ2170" t="n">
        <v>9</v>
      </c>
      <c r="AR2170" t="n">
        <v>64</v>
      </c>
      <c r="AS2170" t="n">
        <v>32</v>
      </c>
      <c r="AU2170">
        <f>COUNTA($BA$2170:$EH$2170)</f>
        <v/>
      </c>
      <c r="AV2170">
        <f>COUNTIF($BA$2170:$EH$2170,"D")</f>
        <v/>
      </c>
      <c r="AW2170">
        <f>COUNTIF($BA$2170:$EH$2170,"R")</f>
        <v/>
      </c>
      <c r="AX2170">
        <f>IF(BN2170="D",1,0)+IF(BO2170="D",1,0)+IF(BT2170="D",1,0)+IF(BU2170="D",1,0)+IF(BW2170="D",1,0)+IF(CC2170="D",1,0)+IF(CD2170="D",1,0)+IF(CE2170="D",1,0)+IF(CF2170="D",1,0)+IF(CL2170="D",1,0)+IF(CM2170="D",1,0)+IF(CQ2170="D",1,0)+IF(CR2170="D",1,0)+IF(CS2170="D",1,0)+IF(CW2170="D",1,0)+IF(CX2170="D",1,0)+IF(DD2170="D",1,0)+IF(DE2170="D",1,0)+IF(DJ2170="D",1,0)+IF(DK2170="D",1,0)+IF(DO2170="D",1,0)+IF(DP2170="D",1,0)+IF(DQ2170="D",1,0)+IF(DW2170="D",1,0)+IF(DZ2170="D",1,0)+IF(EH2170="D",1,0)</f>
        <v/>
      </c>
      <c r="AY2170">
        <f>IF(DJ2170&lt;&gt;"",1,0)+IF(DK2170&lt;&gt;"",1,0)+IF(DM2170&lt;&gt;"",1,0)+IF(DO2170&lt;&gt;"",1,0)+IF(DP2170&lt;&gt;"",1,0)+IF(DQ2170&lt;&gt;"",1,0)+IF(DS2170&lt;&gt;"",1,0)+IF(DT2170&lt;&gt;"",1,0)+IF(DV2170&lt;&gt;"",1,0)+IF(DW2170&lt;&gt;"",1,0)+IF(DX2170&lt;&gt;"",1,0)+IF(DY2170&lt;&gt;"",1,0)+IF(DZ2170&lt;&gt;"",1,0)+IF(EB2170&lt;&gt;"",1,0)+IF(EC2170&lt;&gt;"",1,0)+IF(ED2170&lt;&gt;"",1,0)+IF(EG2170&lt;&gt;"",1,0)+IF(EH2170&lt;&gt;"",1,0)</f>
        <v/>
      </c>
      <c r="AZ2170">
        <f>IF(EH2170&lt;&gt;"",1,0)</f>
        <v/>
      </c>
      <c r="BB2170" t="inlineStr">
        <is>
          <t>WARREN-WARD 4</t>
        </is>
      </c>
      <c r="BD2170" t="inlineStr">
        <is>
          <t>X</t>
        </is>
      </c>
      <c r="BE2170" t="inlineStr">
        <is>
          <t>X</t>
        </is>
      </c>
      <c r="BF2170" t="inlineStr">
        <is>
          <t>X</t>
        </is>
      </c>
      <c r="BH2170" t="inlineStr">
        <is>
          <t>X</t>
        </is>
      </c>
      <c r="BJ2170" t="inlineStr">
        <is>
          <t>X</t>
        </is>
      </c>
      <c r="BK2170" t="inlineStr">
        <is>
          <t>X</t>
        </is>
      </c>
      <c r="BL2170" t="inlineStr">
        <is>
          <t>X</t>
        </is>
      </c>
      <c r="BP2170" t="inlineStr">
        <is>
          <t>X</t>
        </is>
      </c>
      <c r="BR2170" t="inlineStr">
        <is>
          <t>X</t>
        </is>
      </c>
      <c r="BS2170" t="inlineStr">
        <is>
          <t>X</t>
        </is>
      </c>
      <c r="BV2170" t="inlineStr">
        <is>
          <t>X</t>
        </is>
      </c>
      <c r="BY2170" t="inlineStr">
        <is>
          <t>D</t>
        </is>
      </c>
      <c r="CA2170" t="inlineStr">
        <is>
          <t>X</t>
        </is>
      </c>
      <c r="CG2170" t="inlineStr">
        <is>
          <t>X</t>
        </is>
      </c>
      <c r="CK2170" t="inlineStr">
        <is>
          <t>X</t>
        </is>
      </c>
      <c r="CL2170" t="inlineStr">
        <is>
          <t>D</t>
        </is>
      </c>
      <c r="CN2170" t="inlineStr">
        <is>
          <t>X</t>
        </is>
      </c>
      <c r="CO2170" t="inlineStr">
        <is>
          <t>D</t>
        </is>
      </c>
      <c r="CP2170" t="inlineStr">
        <is>
          <t>X</t>
        </is>
      </c>
      <c r="CV2170" t="inlineStr">
        <is>
          <t>X</t>
        </is>
      </c>
      <c r="CY2170" t="inlineStr">
        <is>
          <t>X</t>
        </is>
      </c>
      <c r="CZ2170" t="inlineStr">
        <is>
          <t>D</t>
        </is>
      </c>
      <c r="DC2170" t="inlineStr">
        <is>
          <t>X</t>
        </is>
      </c>
      <c r="DF2170" t="inlineStr">
        <is>
          <t>X</t>
        </is>
      </c>
      <c r="DG2170" t="inlineStr">
        <is>
          <t>D</t>
        </is>
      </c>
      <c r="DI2170" t="inlineStr">
        <is>
          <t>X</t>
        </is>
      </c>
      <c r="DL2170" t="inlineStr">
        <is>
          <t>X</t>
        </is>
      </c>
      <c r="DN2170" t="inlineStr">
        <is>
          <t>X</t>
        </is>
      </c>
      <c r="DR2170" t="inlineStr">
        <is>
          <t>X</t>
        </is>
      </c>
      <c r="DU2170" t="inlineStr">
        <is>
          <t>X</t>
        </is>
      </c>
      <c r="DW2170" t="inlineStr">
        <is>
          <t>D</t>
        </is>
      </c>
      <c r="DX2170" t="inlineStr">
        <is>
          <t>X</t>
        </is>
      </c>
      <c r="EA2170" t="inlineStr">
        <is>
          <t>X</t>
        </is>
      </c>
      <c r="ED2170" t="inlineStr">
        <is>
          <t>D</t>
        </is>
      </c>
      <c r="EF2170" t="inlineStr">
        <is>
          <t>X</t>
        </is>
      </c>
    </row>
    <row r="2171">
      <c r="A2171" t="inlineStr">
        <is>
          <t>OH0015746049</t>
        </is>
      </c>
      <c r="B2171" t="n">
        <v>78</v>
      </c>
      <c r="C2171" t="n">
        <v>232486</v>
      </c>
      <c r="D2171" t="inlineStr">
        <is>
          <t>MILLS</t>
        </is>
      </c>
      <c r="E2171" t="inlineStr">
        <is>
          <t>TAJUANNA</t>
        </is>
      </c>
      <c r="F2171">
        <f>CONCATENATE(D2171," ",LEFT(H2171,4),"T=",AU2171,"D=",AV2171,"R=",AW2171,"M=",AX2171,"L=",AY2171,"B=",AZ2171)</f>
        <v/>
      </c>
      <c r="G2171" t="inlineStr">
        <is>
          <t>DEANNE</t>
        </is>
      </c>
      <c r="I2171" t="inlineStr">
        <is>
          <t>1974-01-11</t>
        </is>
      </c>
      <c r="J2171" t="inlineStr">
        <is>
          <t>2008-11-04</t>
        </is>
      </c>
      <c r="K2171" t="inlineStr">
        <is>
          <t>ACTIVE</t>
        </is>
      </c>
      <c r="L2171" t="inlineStr">
        <is>
          <t>D</t>
        </is>
      </c>
      <c r="M2171" t="inlineStr">
        <is>
          <t>1578 WOODBINE AVE SE</t>
        </is>
      </c>
      <c r="N2171">
        <f>RIGHT(M2171,LEN(M2171)-FIND(" ",M2171))</f>
        <v/>
      </c>
      <c r="P2171" t="inlineStr">
        <is>
          <t>WARREN</t>
        </is>
      </c>
      <c r="Q2171" t="inlineStr">
        <is>
          <t>OH</t>
        </is>
      </c>
      <c r="R2171" t="n">
        <v>44484</v>
      </c>
      <c r="AD2171" t="inlineStr">
        <is>
          <t>TRUMBULL CAREER &amp; TECH CENTER</t>
        </is>
      </c>
      <c r="AE2171" t="inlineStr">
        <is>
          <t>WARREN CITY</t>
        </is>
      </c>
      <c r="AF2171" t="inlineStr">
        <is>
          <t>WARREN CITY SD</t>
        </is>
      </c>
      <c r="AH2171" t="n">
        <v>14</v>
      </c>
      <c r="AI2171" t="n">
        <v>11</v>
      </c>
      <c r="AN2171" t="inlineStr">
        <is>
          <t>WARREN</t>
        </is>
      </c>
      <c r="AO2171" t="inlineStr">
        <is>
          <t>WARREN CITY 4F</t>
        </is>
      </c>
      <c r="AP2171" t="inlineStr">
        <is>
          <t>78-P-ADN</t>
        </is>
      </c>
      <c r="AQ2171" t="n">
        <v>9</v>
      </c>
      <c r="AR2171" t="n">
        <v>64</v>
      </c>
      <c r="AS2171" t="n">
        <v>32</v>
      </c>
      <c r="AU2171">
        <f>COUNTA($BA$2171:$EH$2171)</f>
        <v/>
      </c>
      <c r="AV2171">
        <f>COUNTIF($BA$2171:$EH$2171,"D")</f>
        <v/>
      </c>
      <c r="AW2171">
        <f>COUNTIF($BA$2171:$EH$2171,"R")</f>
        <v/>
      </c>
      <c r="AX2171">
        <f>IF(BN2171="D",1,0)+IF(BO2171="D",1,0)+IF(BT2171="D",1,0)+IF(BU2171="D",1,0)+IF(BW2171="D",1,0)+IF(CC2171="D",1,0)+IF(CD2171="D",1,0)+IF(CE2171="D",1,0)+IF(CF2171="D",1,0)+IF(CL2171="D",1,0)+IF(CM2171="D",1,0)+IF(CQ2171="D",1,0)+IF(CR2171="D",1,0)+IF(CS2171="D",1,0)+IF(CW2171="D",1,0)+IF(CX2171="D",1,0)+IF(DD2171="D",1,0)+IF(DE2171="D",1,0)+IF(DJ2171="D",1,0)+IF(DK2171="D",1,0)+IF(DO2171="D",1,0)+IF(DP2171="D",1,0)+IF(DQ2171="D",1,0)+IF(DW2171="D",1,0)+IF(DZ2171="D",1,0)+IF(EH2171="D",1,0)</f>
        <v/>
      </c>
      <c r="AY2171">
        <f>IF(DJ2171&lt;&gt;"",1,0)+IF(DK2171&lt;&gt;"",1,0)+IF(DM2171&lt;&gt;"",1,0)+IF(DO2171&lt;&gt;"",1,0)+IF(DP2171&lt;&gt;"",1,0)+IF(DQ2171&lt;&gt;"",1,0)+IF(DS2171&lt;&gt;"",1,0)+IF(DT2171&lt;&gt;"",1,0)+IF(DV2171&lt;&gt;"",1,0)+IF(DW2171&lt;&gt;"",1,0)+IF(DX2171&lt;&gt;"",1,0)+IF(DY2171&lt;&gt;"",1,0)+IF(DZ2171&lt;&gt;"",1,0)+IF(EB2171&lt;&gt;"",1,0)+IF(EC2171&lt;&gt;"",1,0)+IF(ED2171&lt;&gt;"",1,0)+IF(EG2171&lt;&gt;"",1,0)+IF(EH2171&lt;&gt;"",1,0)</f>
        <v/>
      </c>
      <c r="AZ2171">
        <f>IF(EH2171&lt;&gt;"",1,0)</f>
        <v/>
      </c>
      <c r="BB2171" t="inlineStr">
        <is>
          <t>WARREN-WARD 4</t>
        </is>
      </c>
      <c r="BD2171" t="inlineStr">
        <is>
          <t>X</t>
        </is>
      </c>
      <c r="BH2171" t="inlineStr">
        <is>
          <t>X</t>
        </is>
      </c>
      <c r="BL2171" t="inlineStr">
        <is>
          <t>X</t>
        </is>
      </c>
      <c r="BP2171" t="inlineStr">
        <is>
          <t>X</t>
        </is>
      </c>
      <c r="BS2171" t="inlineStr">
        <is>
          <t>X</t>
        </is>
      </c>
      <c r="BY2171" t="inlineStr">
        <is>
          <t>D</t>
        </is>
      </c>
      <c r="CA2171" t="inlineStr">
        <is>
          <t>X</t>
        </is>
      </c>
      <c r="CK2171" t="inlineStr">
        <is>
          <t>X</t>
        </is>
      </c>
      <c r="CL2171" t="inlineStr">
        <is>
          <t>D</t>
        </is>
      </c>
      <c r="CN2171" t="inlineStr">
        <is>
          <t>X</t>
        </is>
      </c>
      <c r="CO2171" t="inlineStr">
        <is>
          <t>D</t>
        </is>
      </c>
      <c r="CP2171" t="inlineStr">
        <is>
          <t>X</t>
        </is>
      </c>
      <c r="CQ2171" t="inlineStr">
        <is>
          <t>D</t>
        </is>
      </c>
      <c r="CT2171" t="inlineStr">
        <is>
          <t>X</t>
        </is>
      </c>
      <c r="CV2171" t="inlineStr">
        <is>
          <t>X</t>
        </is>
      </c>
      <c r="CW2171" t="inlineStr">
        <is>
          <t>D</t>
        </is>
      </c>
      <c r="CY2171" t="inlineStr">
        <is>
          <t>X</t>
        </is>
      </c>
      <c r="CZ2171" t="inlineStr">
        <is>
          <t>D</t>
        </is>
      </c>
      <c r="DC2171" t="inlineStr">
        <is>
          <t>X</t>
        </is>
      </c>
      <c r="DI2171" t="inlineStr">
        <is>
          <t>X</t>
        </is>
      </c>
      <c r="DJ2171" t="inlineStr">
        <is>
          <t>D</t>
        </is>
      </c>
      <c r="DL2171" t="inlineStr">
        <is>
          <t>X</t>
        </is>
      </c>
      <c r="DN2171" t="inlineStr">
        <is>
          <t>X</t>
        </is>
      </c>
      <c r="DW2171" t="inlineStr">
        <is>
          <t>D</t>
        </is>
      </c>
      <c r="EF2171" t="inlineStr">
        <is>
          <t>X</t>
        </is>
      </c>
    </row>
    <row r="2172">
      <c r="A2172" t="inlineStr">
        <is>
          <t>OH0021820345</t>
        </is>
      </c>
      <c r="B2172" t="n">
        <v>78</v>
      </c>
      <c r="C2172" t="n">
        <v>387920</v>
      </c>
      <c r="D2172" t="inlineStr">
        <is>
          <t>WILSON</t>
        </is>
      </c>
      <c r="E2172" t="inlineStr">
        <is>
          <t>HOLLY</t>
        </is>
      </c>
      <c r="F2172">
        <f>CONCATENATE(D2172," ",LEFT(H2172,4),"T=",AU2172,"D=",AV2172,"R=",AW2172,"M=",AX2172,"L=",AY2172,"B=",AZ2172)</f>
        <v/>
      </c>
      <c r="G2172" t="inlineStr">
        <is>
          <t>ANN</t>
        </is>
      </c>
      <c r="I2172" t="inlineStr">
        <is>
          <t>1977-10-26</t>
        </is>
      </c>
      <c r="J2172" t="inlineStr">
        <is>
          <t>2012-09-23</t>
        </is>
      </c>
      <c r="K2172" t="inlineStr">
        <is>
          <t>ACTIVE</t>
        </is>
      </c>
      <c r="M2172" t="inlineStr">
        <is>
          <t>1577 KENILWORTH AVE SE</t>
        </is>
      </c>
      <c r="N2172">
        <f>RIGHT(M2172,LEN(M2172)-FIND(" ",M2172))</f>
        <v/>
      </c>
      <c r="P2172" t="inlineStr">
        <is>
          <t>WARREN</t>
        </is>
      </c>
      <c r="Q2172" t="inlineStr">
        <is>
          <t>OH</t>
        </is>
      </c>
      <c r="R2172" t="n">
        <v>44484</v>
      </c>
      <c r="AD2172" t="inlineStr">
        <is>
          <t>TRUMBULL CAREER &amp; TECH CENTER</t>
        </is>
      </c>
      <c r="AE2172" t="inlineStr">
        <is>
          <t>WARREN CITY</t>
        </is>
      </c>
      <c r="AF2172" t="inlineStr">
        <is>
          <t>WARREN CITY SD</t>
        </is>
      </c>
      <c r="AH2172" t="n">
        <v>14</v>
      </c>
      <c r="AI2172" t="n">
        <v>11</v>
      </c>
      <c r="AN2172" t="inlineStr">
        <is>
          <t>WARREN</t>
        </is>
      </c>
      <c r="AO2172" t="inlineStr">
        <is>
          <t>WARREN CITY 4F</t>
        </is>
      </c>
      <c r="AP2172" t="inlineStr">
        <is>
          <t>78-P-ADN</t>
        </is>
      </c>
      <c r="AQ2172" t="n">
        <v>9</v>
      </c>
      <c r="AR2172" t="n">
        <v>64</v>
      </c>
      <c r="AS2172" t="n">
        <v>32</v>
      </c>
      <c r="AU2172">
        <f>COUNTA($BA$2172:$EH$2172)</f>
        <v/>
      </c>
      <c r="AV2172">
        <f>COUNTIF($BA$2172:$EH$2172,"D")</f>
        <v/>
      </c>
      <c r="AW2172">
        <f>COUNTIF($BA$2172:$EH$2172,"R")</f>
        <v/>
      </c>
      <c r="AX2172">
        <f>IF(BN2172="D",1,0)+IF(BO2172="D",1,0)+IF(BT2172="D",1,0)+IF(BU2172="D",1,0)+IF(BW2172="D",1,0)+IF(CC2172="D",1,0)+IF(CD2172="D",1,0)+IF(CE2172="D",1,0)+IF(CF2172="D",1,0)+IF(CL2172="D",1,0)+IF(CM2172="D",1,0)+IF(CQ2172="D",1,0)+IF(CR2172="D",1,0)+IF(CS2172="D",1,0)+IF(CW2172="D",1,0)+IF(CX2172="D",1,0)+IF(DD2172="D",1,0)+IF(DE2172="D",1,0)+IF(DJ2172="D",1,0)+IF(DK2172="D",1,0)+IF(DO2172="D",1,0)+IF(DP2172="D",1,0)+IF(DQ2172="D",1,0)+IF(DW2172="D",1,0)+IF(DZ2172="D",1,0)+IF(EH2172="D",1,0)</f>
        <v/>
      </c>
      <c r="AY2172">
        <f>IF(DJ2172&lt;&gt;"",1,0)+IF(DK2172&lt;&gt;"",1,0)+IF(DM2172&lt;&gt;"",1,0)+IF(DO2172&lt;&gt;"",1,0)+IF(DP2172&lt;&gt;"",1,0)+IF(DQ2172&lt;&gt;"",1,0)+IF(DS2172&lt;&gt;"",1,0)+IF(DT2172&lt;&gt;"",1,0)+IF(DV2172&lt;&gt;"",1,0)+IF(DW2172&lt;&gt;"",1,0)+IF(DX2172&lt;&gt;"",1,0)+IF(DY2172&lt;&gt;"",1,0)+IF(DZ2172&lt;&gt;"",1,0)+IF(EB2172&lt;&gt;"",1,0)+IF(EC2172&lt;&gt;"",1,0)+IF(ED2172&lt;&gt;"",1,0)+IF(EG2172&lt;&gt;"",1,0)+IF(EH2172&lt;&gt;"",1,0)</f>
        <v/>
      </c>
      <c r="AZ2172">
        <f>IF(EH2172&lt;&gt;"",1,0)</f>
        <v/>
      </c>
      <c r="BB2172" t="inlineStr">
        <is>
          <t>WARREN-WARD 4</t>
        </is>
      </c>
      <c r="CP2172" t="inlineStr">
        <is>
          <t>X</t>
        </is>
      </c>
    </row>
    <row r="2173">
      <c r="A2173" t="inlineStr">
        <is>
          <t>OH0023796150</t>
        </is>
      </c>
      <c r="B2173" t="n">
        <v>78</v>
      </c>
      <c r="C2173" t="n">
        <v>418157</v>
      </c>
      <c r="D2173" t="inlineStr">
        <is>
          <t>STRINGHAM</t>
        </is>
      </c>
      <c r="E2173" t="inlineStr">
        <is>
          <t>ROBERT</t>
        </is>
      </c>
      <c r="F2173">
        <f>CONCATENATE(D2173," ",LEFT(H2173,4),"T=",AU2173,"D=",AV2173,"R=",AW2173,"M=",AX2173,"L=",AY2173,"B=",AZ2173)</f>
        <v/>
      </c>
      <c r="G2173" t="inlineStr">
        <is>
          <t>PRESTON</t>
        </is>
      </c>
      <c r="I2173" t="inlineStr">
        <is>
          <t>1997-06-08</t>
        </is>
      </c>
      <c r="J2173" t="inlineStr">
        <is>
          <t>2024-11-05</t>
        </is>
      </c>
      <c r="K2173" t="inlineStr">
        <is>
          <t>ACTIVE</t>
        </is>
      </c>
      <c r="M2173" t="inlineStr">
        <is>
          <t>2740 DUKE AVE SE</t>
        </is>
      </c>
      <c r="N2173">
        <f>RIGHT(M2173,LEN(M2173)-FIND(" ",M2173))</f>
        <v/>
      </c>
      <c r="P2173" t="inlineStr">
        <is>
          <t>WARREN</t>
        </is>
      </c>
      <c r="Q2173" t="inlineStr">
        <is>
          <t>OH</t>
        </is>
      </c>
      <c r="R2173" t="n">
        <v>44484</v>
      </c>
      <c r="AD2173" t="inlineStr">
        <is>
          <t>TRUMBULL CAREER &amp; TECH CENTER</t>
        </is>
      </c>
      <c r="AE2173" t="inlineStr">
        <is>
          <t>WARREN CITY</t>
        </is>
      </c>
      <c r="AF2173" t="inlineStr">
        <is>
          <t>WARREN CITY SD</t>
        </is>
      </c>
      <c r="AH2173" t="n">
        <v>14</v>
      </c>
      <c r="AI2173" t="n">
        <v>11</v>
      </c>
      <c r="AN2173" t="inlineStr">
        <is>
          <t>WARREN</t>
        </is>
      </c>
      <c r="AO2173" t="inlineStr">
        <is>
          <t>WARREN CITY 4F</t>
        </is>
      </c>
      <c r="AP2173" t="inlineStr">
        <is>
          <t>78-P-ADN</t>
        </is>
      </c>
      <c r="AQ2173" t="n">
        <v>9</v>
      </c>
      <c r="AR2173" t="n">
        <v>64</v>
      </c>
      <c r="AS2173" t="n">
        <v>32</v>
      </c>
      <c r="AU2173">
        <f>COUNTA($BA$2173:$EH$2173)</f>
        <v/>
      </c>
      <c r="AV2173">
        <f>COUNTIF($BA$2173:$EH$2173,"D")</f>
        <v/>
      </c>
      <c r="AW2173">
        <f>COUNTIF($BA$2173:$EH$2173,"R")</f>
        <v/>
      </c>
      <c r="AX2173">
        <f>IF(BN2173="D",1,0)+IF(BO2173="D",1,0)+IF(BT2173="D",1,0)+IF(BU2173="D",1,0)+IF(BW2173="D",1,0)+IF(CC2173="D",1,0)+IF(CD2173="D",1,0)+IF(CE2173="D",1,0)+IF(CF2173="D",1,0)+IF(CL2173="D",1,0)+IF(CM2173="D",1,0)+IF(CQ2173="D",1,0)+IF(CR2173="D",1,0)+IF(CS2173="D",1,0)+IF(CW2173="D",1,0)+IF(CX2173="D",1,0)+IF(DD2173="D",1,0)+IF(DE2173="D",1,0)+IF(DJ2173="D",1,0)+IF(DK2173="D",1,0)+IF(DO2173="D",1,0)+IF(DP2173="D",1,0)+IF(DQ2173="D",1,0)+IF(DW2173="D",1,0)+IF(DZ2173="D",1,0)+IF(EH2173="D",1,0)</f>
        <v/>
      </c>
      <c r="AY2173">
        <f>IF(DJ2173&lt;&gt;"",1,0)+IF(DK2173&lt;&gt;"",1,0)+IF(DM2173&lt;&gt;"",1,0)+IF(DO2173&lt;&gt;"",1,0)+IF(DP2173&lt;&gt;"",1,0)+IF(DQ2173&lt;&gt;"",1,0)+IF(DS2173&lt;&gt;"",1,0)+IF(DT2173&lt;&gt;"",1,0)+IF(DV2173&lt;&gt;"",1,0)+IF(DW2173&lt;&gt;"",1,0)+IF(DX2173&lt;&gt;"",1,0)+IF(DY2173&lt;&gt;"",1,0)+IF(DZ2173&lt;&gt;"",1,0)+IF(EB2173&lt;&gt;"",1,0)+IF(EC2173&lt;&gt;"",1,0)+IF(ED2173&lt;&gt;"",1,0)+IF(EG2173&lt;&gt;"",1,0)+IF(EH2173&lt;&gt;"",1,0)</f>
        <v/>
      </c>
      <c r="AZ2173">
        <f>IF(EH2173&lt;&gt;"",1,0)</f>
        <v/>
      </c>
      <c r="BB2173" t="inlineStr">
        <is>
          <t>WARREN-WARD 4</t>
        </is>
      </c>
      <c r="DC2173" t="inlineStr">
        <is>
          <t>X</t>
        </is>
      </c>
      <c r="EF2173" t="inlineStr">
        <is>
          <t>X</t>
        </is>
      </c>
    </row>
    <row r="2174">
      <c r="A2174" t="inlineStr">
        <is>
          <t>OH0026823917</t>
        </is>
      </c>
      <c r="B2174" t="n">
        <v>78</v>
      </c>
      <c r="C2174" t="n">
        <v>470999</v>
      </c>
      <c r="D2174" t="inlineStr">
        <is>
          <t>JOHNSON</t>
        </is>
      </c>
      <c r="E2174" t="inlineStr">
        <is>
          <t>NIA</t>
        </is>
      </c>
      <c r="F2174">
        <f>CONCATENATE(D2174," ",LEFT(H2174,4),"T=",AU2174,"D=",AV2174,"R=",AW2174,"M=",AX2174,"L=",AY2174,"B=",AZ2174)</f>
        <v/>
      </c>
      <c r="G2174" t="inlineStr">
        <is>
          <t>JOYCE</t>
        </is>
      </c>
      <c r="I2174" t="inlineStr">
        <is>
          <t>2004-06-23</t>
        </is>
      </c>
      <c r="J2174" t="inlineStr">
        <is>
          <t>2024-08-02</t>
        </is>
      </c>
      <c r="K2174" t="inlineStr">
        <is>
          <t>ACTIVE</t>
        </is>
      </c>
      <c r="M2174" t="inlineStr">
        <is>
          <t>1819 BRIER ST SE</t>
        </is>
      </c>
      <c r="N2174">
        <f>RIGHT(M2174,LEN(M2174)-FIND(" ",M2174))</f>
        <v/>
      </c>
      <c r="P2174" t="inlineStr">
        <is>
          <t>WARREN</t>
        </is>
      </c>
      <c r="Q2174" t="inlineStr">
        <is>
          <t>OH</t>
        </is>
      </c>
      <c r="R2174" t="n">
        <v>44484</v>
      </c>
      <c r="AD2174" t="inlineStr">
        <is>
          <t>TRUMBULL CAREER &amp; TECH CENTER</t>
        </is>
      </c>
      <c r="AE2174" t="inlineStr">
        <is>
          <t>WARREN CITY</t>
        </is>
      </c>
      <c r="AF2174" t="inlineStr">
        <is>
          <t>WARREN CITY SD</t>
        </is>
      </c>
      <c r="AH2174" t="n">
        <v>14</v>
      </c>
      <c r="AI2174" t="n">
        <v>11</v>
      </c>
      <c r="AN2174" t="inlineStr">
        <is>
          <t>WARREN</t>
        </is>
      </c>
      <c r="AO2174" t="inlineStr">
        <is>
          <t>WARREN CITY 4F</t>
        </is>
      </c>
      <c r="AP2174" t="inlineStr">
        <is>
          <t>78-P-ADN</t>
        </is>
      </c>
      <c r="AQ2174" t="n">
        <v>9</v>
      </c>
      <c r="AR2174" t="n">
        <v>64</v>
      </c>
      <c r="AS2174" t="n">
        <v>32</v>
      </c>
      <c r="AU2174">
        <f>COUNTA($BA$2174:$EH$2174)</f>
        <v/>
      </c>
      <c r="AV2174">
        <f>COUNTIF($BA$2174:$EH$2174,"D")</f>
        <v/>
      </c>
      <c r="AW2174">
        <f>COUNTIF($BA$2174:$EH$2174,"R")</f>
        <v/>
      </c>
      <c r="AX2174">
        <f>IF(BN2174="D",1,0)+IF(BO2174="D",1,0)+IF(BT2174="D",1,0)+IF(BU2174="D",1,0)+IF(BW2174="D",1,0)+IF(CC2174="D",1,0)+IF(CD2174="D",1,0)+IF(CE2174="D",1,0)+IF(CF2174="D",1,0)+IF(CL2174="D",1,0)+IF(CM2174="D",1,0)+IF(CQ2174="D",1,0)+IF(CR2174="D",1,0)+IF(CS2174="D",1,0)+IF(CW2174="D",1,0)+IF(CX2174="D",1,0)+IF(DD2174="D",1,0)+IF(DE2174="D",1,0)+IF(DJ2174="D",1,0)+IF(DK2174="D",1,0)+IF(DO2174="D",1,0)+IF(DP2174="D",1,0)+IF(DQ2174="D",1,0)+IF(DW2174="D",1,0)+IF(DZ2174="D",1,0)+IF(EH2174="D",1,0)</f>
        <v/>
      </c>
      <c r="AY2174">
        <f>IF(DJ2174&lt;&gt;"",1,0)+IF(DK2174&lt;&gt;"",1,0)+IF(DM2174&lt;&gt;"",1,0)+IF(DO2174&lt;&gt;"",1,0)+IF(DP2174&lt;&gt;"",1,0)+IF(DQ2174&lt;&gt;"",1,0)+IF(DS2174&lt;&gt;"",1,0)+IF(DT2174&lt;&gt;"",1,0)+IF(DV2174&lt;&gt;"",1,0)+IF(DW2174&lt;&gt;"",1,0)+IF(DX2174&lt;&gt;"",1,0)+IF(DY2174&lt;&gt;"",1,0)+IF(DZ2174&lt;&gt;"",1,0)+IF(EB2174&lt;&gt;"",1,0)+IF(EC2174&lt;&gt;"",1,0)+IF(ED2174&lt;&gt;"",1,0)+IF(EG2174&lt;&gt;"",1,0)+IF(EH2174&lt;&gt;"",1,0)</f>
        <v/>
      </c>
      <c r="AZ2174">
        <f>IF(EH2174&lt;&gt;"",1,0)</f>
        <v/>
      </c>
      <c r="BB2174" t="inlineStr">
        <is>
          <t>WARREN-WARD 4</t>
        </is>
      </c>
      <c r="EF2174" t="inlineStr">
        <is>
          <t>X</t>
        </is>
      </c>
    </row>
    <row r="2175">
      <c r="A2175" t="inlineStr">
        <is>
          <t>OH0023334767</t>
        </is>
      </c>
      <c r="B2175" t="n">
        <v>78</v>
      </c>
      <c r="C2175" t="n">
        <v>410513</v>
      </c>
      <c r="D2175" t="inlineStr">
        <is>
          <t>OHL</t>
        </is>
      </c>
      <c r="E2175" t="inlineStr">
        <is>
          <t>CHAD</t>
        </is>
      </c>
      <c r="F2175">
        <f>CONCATENATE(D2175," ",LEFT(H2175,4),"T=",AU2175,"D=",AV2175,"R=",AW2175,"M=",AX2175,"L=",AY2175,"B=",AZ2175)</f>
        <v/>
      </c>
      <c r="G2175" t="inlineStr">
        <is>
          <t>M</t>
        </is>
      </c>
      <c r="I2175" t="inlineStr">
        <is>
          <t>1979-06-21</t>
        </is>
      </c>
      <c r="J2175" t="inlineStr">
        <is>
          <t>2018-05-03</t>
        </is>
      </c>
      <c r="K2175" t="inlineStr">
        <is>
          <t>ACTIVE</t>
        </is>
      </c>
      <c r="M2175" t="inlineStr">
        <is>
          <t>1487 NILES RD SE</t>
        </is>
      </c>
      <c r="N2175">
        <f>RIGHT(M2175,LEN(M2175)-FIND(" ",M2175))</f>
        <v/>
      </c>
      <c r="P2175" t="inlineStr">
        <is>
          <t>WARREN</t>
        </is>
      </c>
      <c r="Q2175" t="inlineStr">
        <is>
          <t>OH</t>
        </is>
      </c>
      <c r="R2175" t="n">
        <v>44484</v>
      </c>
      <c r="AD2175" t="inlineStr">
        <is>
          <t>TRUMBULL CAREER &amp; TECH CENTER</t>
        </is>
      </c>
      <c r="AE2175" t="inlineStr">
        <is>
          <t>WARREN CITY</t>
        </is>
      </c>
      <c r="AF2175" t="inlineStr">
        <is>
          <t>WARREN CITY SD</t>
        </is>
      </c>
      <c r="AH2175" t="n">
        <v>14</v>
      </c>
      <c r="AI2175" t="n">
        <v>11</v>
      </c>
      <c r="AN2175" t="inlineStr">
        <is>
          <t>WARREN</t>
        </is>
      </c>
      <c r="AO2175" t="inlineStr">
        <is>
          <t>WARREN CITY 4F</t>
        </is>
      </c>
      <c r="AP2175" t="inlineStr">
        <is>
          <t>78-P-ADN</t>
        </is>
      </c>
      <c r="AQ2175" t="n">
        <v>9</v>
      </c>
      <c r="AR2175" t="n">
        <v>64</v>
      </c>
      <c r="AS2175" t="n">
        <v>32</v>
      </c>
      <c r="AU2175">
        <f>COUNTA($BA$2175:$EH$2175)</f>
        <v/>
      </c>
      <c r="AV2175">
        <f>COUNTIF($BA$2175:$EH$2175,"D")</f>
        <v/>
      </c>
      <c r="AW2175">
        <f>COUNTIF($BA$2175:$EH$2175,"R")</f>
        <v/>
      </c>
      <c r="AX2175">
        <f>IF(BN2175="D",1,0)+IF(BO2175="D",1,0)+IF(BT2175="D",1,0)+IF(BU2175="D",1,0)+IF(BW2175="D",1,0)+IF(CC2175="D",1,0)+IF(CD2175="D",1,0)+IF(CE2175="D",1,0)+IF(CF2175="D",1,0)+IF(CL2175="D",1,0)+IF(CM2175="D",1,0)+IF(CQ2175="D",1,0)+IF(CR2175="D",1,0)+IF(CS2175="D",1,0)+IF(CW2175="D",1,0)+IF(CX2175="D",1,0)+IF(DD2175="D",1,0)+IF(DE2175="D",1,0)+IF(DJ2175="D",1,0)+IF(DK2175="D",1,0)+IF(DO2175="D",1,0)+IF(DP2175="D",1,0)+IF(DQ2175="D",1,0)+IF(DW2175="D",1,0)+IF(DZ2175="D",1,0)+IF(EH2175="D",1,0)</f>
        <v/>
      </c>
      <c r="AY2175">
        <f>IF(DJ2175&lt;&gt;"",1,0)+IF(DK2175&lt;&gt;"",1,0)+IF(DM2175&lt;&gt;"",1,0)+IF(DO2175&lt;&gt;"",1,0)+IF(DP2175&lt;&gt;"",1,0)+IF(DQ2175&lt;&gt;"",1,0)+IF(DS2175&lt;&gt;"",1,0)+IF(DT2175&lt;&gt;"",1,0)+IF(DV2175&lt;&gt;"",1,0)+IF(DW2175&lt;&gt;"",1,0)+IF(DX2175&lt;&gt;"",1,0)+IF(DY2175&lt;&gt;"",1,0)+IF(DZ2175&lt;&gt;"",1,0)+IF(EB2175&lt;&gt;"",1,0)+IF(EC2175&lt;&gt;"",1,0)+IF(ED2175&lt;&gt;"",1,0)+IF(EG2175&lt;&gt;"",1,0)+IF(EH2175&lt;&gt;"",1,0)</f>
        <v/>
      </c>
      <c r="AZ2175">
        <f>IF(EH2175&lt;&gt;"",1,0)</f>
        <v/>
      </c>
      <c r="BB2175" t="inlineStr">
        <is>
          <t>WARREN-WARD 4</t>
        </is>
      </c>
      <c r="DN2175" t="inlineStr">
        <is>
          <t>X</t>
        </is>
      </c>
      <c r="EF2175" t="inlineStr">
        <is>
          <t>X</t>
        </is>
      </c>
    </row>
    <row r="2176">
      <c r="A2176" t="inlineStr">
        <is>
          <t>OH0015740243</t>
        </is>
      </c>
      <c r="B2176" t="n">
        <v>78</v>
      </c>
      <c r="C2176" t="n">
        <v>331650</v>
      </c>
      <c r="D2176" t="inlineStr">
        <is>
          <t>RASKOV</t>
        </is>
      </c>
      <c r="E2176" t="inlineStr">
        <is>
          <t>EDWIN</t>
        </is>
      </c>
      <c r="F2176">
        <f>CONCATENATE(D2176," ",LEFT(H2176,4),"T=",AU2176,"D=",AV2176,"R=",AW2176,"M=",AX2176,"L=",AY2176,"B=",AZ2176)</f>
        <v/>
      </c>
      <c r="G2176" t="inlineStr">
        <is>
          <t>D</t>
        </is>
      </c>
      <c r="I2176" t="inlineStr">
        <is>
          <t>1969-02-01</t>
        </is>
      </c>
      <c r="J2176" t="inlineStr">
        <is>
          <t>2004-09-30</t>
        </is>
      </c>
      <c r="K2176" t="inlineStr">
        <is>
          <t>ACTIVE</t>
        </is>
      </c>
      <c r="L2176" t="inlineStr">
        <is>
          <t>D</t>
        </is>
      </c>
      <c r="M2176" t="inlineStr">
        <is>
          <t>1507 WOODBINE AVE SE</t>
        </is>
      </c>
      <c r="N2176">
        <f>RIGHT(M2176,LEN(M2176)-FIND(" ",M2176))</f>
        <v/>
      </c>
      <c r="P2176" t="inlineStr">
        <is>
          <t>WARREN</t>
        </is>
      </c>
      <c r="Q2176" t="inlineStr">
        <is>
          <t>OH</t>
        </is>
      </c>
      <c r="R2176" t="n">
        <v>44484</v>
      </c>
      <c r="AD2176" t="inlineStr">
        <is>
          <t>TRUMBULL CAREER &amp; TECH CENTER</t>
        </is>
      </c>
      <c r="AE2176" t="inlineStr">
        <is>
          <t>WARREN CITY</t>
        </is>
      </c>
      <c r="AF2176" t="inlineStr">
        <is>
          <t>WARREN CITY SD</t>
        </is>
      </c>
      <c r="AH2176" t="n">
        <v>14</v>
      </c>
      <c r="AI2176" t="n">
        <v>11</v>
      </c>
      <c r="AN2176" t="inlineStr">
        <is>
          <t>WARREN</t>
        </is>
      </c>
      <c r="AO2176" t="inlineStr">
        <is>
          <t>WARREN CITY 4F</t>
        </is>
      </c>
      <c r="AP2176" t="inlineStr">
        <is>
          <t>78-P-ADN</t>
        </is>
      </c>
      <c r="AQ2176" t="n">
        <v>9</v>
      </c>
      <c r="AR2176" t="n">
        <v>64</v>
      </c>
      <c r="AS2176" t="n">
        <v>32</v>
      </c>
      <c r="AU2176">
        <f>COUNTA($BA$2176:$EH$2176)</f>
        <v/>
      </c>
      <c r="AV2176">
        <f>COUNTIF($BA$2176:$EH$2176,"D")</f>
        <v/>
      </c>
      <c r="AW2176">
        <f>COUNTIF($BA$2176:$EH$2176,"R")</f>
        <v/>
      </c>
      <c r="AX2176">
        <f>IF(BN2176="D",1,0)+IF(BO2176="D",1,0)+IF(BT2176="D",1,0)+IF(BU2176="D",1,0)+IF(BW2176="D",1,0)+IF(CC2176="D",1,0)+IF(CD2176="D",1,0)+IF(CE2176="D",1,0)+IF(CF2176="D",1,0)+IF(CL2176="D",1,0)+IF(CM2176="D",1,0)+IF(CQ2176="D",1,0)+IF(CR2176="D",1,0)+IF(CS2176="D",1,0)+IF(CW2176="D",1,0)+IF(CX2176="D",1,0)+IF(DD2176="D",1,0)+IF(DE2176="D",1,0)+IF(DJ2176="D",1,0)+IF(DK2176="D",1,0)+IF(DO2176="D",1,0)+IF(DP2176="D",1,0)+IF(DQ2176="D",1,0)+IF(DW2176="D",1,0)+IF(DZ2176="D",1,0)+IF(EH2176="D",1,0)</f>
        <v/>
      </c>
      <c r="AY2176">
        <f>IF(DJ2176&lt;&gt;"",1,0)+IF(DK2176&lt;&gt;"",1,0)+IF(DM2176&lt;&gt;"",1,0)+IF(DO2176&lt;&gt;"",1,0)+IF(DP2176&lt;&gt;"",1,0)+IF(DQ2176&lt;&gt;"",1,0)+IF(DS2176&lt;&gt;"",1,0)+IF(DT2176&lt;&gt;"",1,0)+IF(DV2176&lt;&gt;"",1,0)+IF(DW2176&lt;&gt;"",1,0)+IF(DX2176&lt;&gt;"",1,0)+IF(DY2176&lt;&gt;"",1,0)+IF(DZ2176&lt;&gt;"",1,0)+IF(EB2176&lt;&gt;"",1,0)+IF(EC2176&lt;&gt;"",1,0)+IF(ED2176&lt;&gt;"",1,0)+IF(EG2176&lt;&gt;"",1,0)+IF(EH2176&lt;&gt;"",1,0)</f>
        <v/>
      </c>
      <c r="AZ2176">
        <f>IF(EH2176&lt;&gt;"",1,0)</f>
        <v/>
      </c>
      <c r="BB2176" t="inlineStr">
        <is>
          <t>WARREN-WARD 4</t>
        </is>
      </c>
      <c r="BL2176" t="inlineStr">
        <is>
          <t>X</t>
        </is>
      </c>
      <c r="BS2176" t="inlineStr">
        <is>
          <t>X</t>
        </is>
      </c>
      <c r="BY2176" t="inlineStr">
        <is>
          <t>D</t>
        </is>
      </c>
      <c r="CA2176" t="inlineStr">
        <is>
          <t>X</t>
        </is>
      </c>
      <c r="CG2176" t="inlineStr">
        <is>
          <t>X</t>
        </is>
      </c>
      <c r="CK2176" t="inlineStr">
        <is>
          <t>X</t>
        </is>
      </c>
      <c r="CP2176" t="inlineStr">
        <is>
          <t>X</t>
        </is>
      </c>
      <c r="CY2176" t="inlineStr">
        <is>
          <t>X</t>
        </is>
      </c>
      <c r="CZ2176" t="inlineStr">
        <is>
          <t>D</t>
        </is>
      </c>
      <c r="DC2176" t="inlineStr">
        <is>
          <t>X</t>
        </is>
      </c>
      <c r="DI2176" t="inlineStr">
        <is>
          <t>X</t>
        </is>
      </c>
      <c r="DN2176" t="inlineStr">
        <is>
          <t>X</t>
        </is>
      </c>
      <c r="DU2176" t="inlineStr">
        <is>
          <t>X</t>
        </is>
      </c>
      <c r="EA2176" t="inlineStr">
        <is>
          <t>X</t>
        </is>
      </c>
      <c r="ED2176" t="inlineStr">
        <is>
          <t>D</t>
        </is>
      </c>
      <c r="EF2176" t="inlineStr">
        <is>
          <t>X</t>
        </is>
      </c>
    </row>
    <row r="2177">
      <c r="A2177" t="inlineStr">
        <is>
          <t>OH0015760982</t>
        </is>
      </c>
      <c r="B2177" t="n">
        <v>78</v>
      </c>
      <c r="C2177" t="n">
        <v>248182</v>
      </c>
      <c r="D2177" t="inlineStr">
        <is>
          <t>DEFOOR</t>
        </is>
      </c>
      <c r="E2177" t="inlineStr">
        <is>
          <t>DEBORAH</t>
        </is>
      </c>
      <c r="F2177">
        <f>CONCATENATE(D2177," ",LEFT(H2177,4),"T=",AU2177,"D=",AV2177,"R=",AW2177,"M=",AX2177,"L=",AY2177,"B=",AZ2177)</f>
        <v/>
      </c>
      <c r="G2177" t="inlineStr">
        <is>
          <t>L</t>
        </is>
      </c>
      <c r="I2177" t="inlineStr">
        <is>
          <t>1962-06-18</t>
        </is>
      </c>
      <c r="J2177" t="inlineStr">
        <is>
          <t>2020-10-05</t>
        </is>
      </c>
      <c r="K2177" t="inlineStr">
        <is>
          <t>CONFIRMATION</t>
        </is>
      </c>
      <c r="M2177" t="inlineStr">
        <is>
          <t>2209 DRAPER AVE SE</t>
        </is>
      </c>
      <c r="N2177">
        <f>RIGHT(M2177,LEN(M2177)-FIND(" ",M2177))</f>
        <v/>
      </c>
      <c r="P2177" t="inlineStr">
        <is>
          <t>WARREN</t>
        </is>
      </c>
      <c r="Q2177" t="inlineStr">
        <is>
          <t>OH</t>
        </is>
      </c>
      <c r="R2177" t="n">
        <v>44484</v>
      </c>
      <c r="AD2177" t="inlineStr">
        <is>
          <t>TRUMBULL CAREER &amp; TECH CENTER</t>
        </is>
      </c>
      <c r="AE2177" t="inlineStr">
        <is>
          <t>WARREN CITY</t>
        </is>
      </c>
      <c r="AF2177" t="inlineStr">
        <is>
          <t>WARREN CITY SD</t>
        </is>
      </c>
      <c r="AH2177" t="n">
        <v>14</v>
      </c>
      <c r="AI2177" t="n">
        <v>11</v>
      </c>
      <c r="AN2177" t="inlineStr">
        <is>
          <t>WARREN</t>
        </is>
      </c>
      <c r="AO2177" t="inlineStr">
        <is>
          <t>WARREN CITY 4F</t>
        </is>
      </c>
      <c r="AP2177" t="inlineStr">
        <is>
          <t>78-P-ADN</t>
        </is>
      </c>
      <c r="AQ2177" t="n">
        <v>9</v>
      </c>
      <c r="AR2177" t="n">
        <v>64</v>
      </c>
      <c r="AS2177" t="n">
        <v>32</v>
      </c>
      <c r="AU2177">
        <f>COUNTA($BA$2177:$EH$2177)</f>
        <v/>
      </c>
      <c r="AV2177">
        <f>COUNTIF($BA$2177:$EH$2177,"D")</f>
        <v/>
      </c>
      <c r="AW2177">
        <f>COUNTIF($BA$2177:$EH$2177,"R")</f>
        <v/>
      </c>
      <c r="AX2177">
        <f>IF(BN2177="D",1,0)+IF(BO2177="D",1,0)+IF(BT2177="D",1,0)+IF(BU2177="D",1,0)+IF(BW2177="D",1,0)+IF(CC2177="D",1,0)+IF(CD2177="D",1,0)+IF(CE2177="D",1,0)+IF(CF2177="D",1,0)+IF(CL2177="D",1,0)+IF(CM2177="D",1,0)+IF(CQ2177="D",1,0)+IF(CR2177="D",1,0)+IF(CS2177="D",1,0)+IF(CW2177="D",1,0)+IF(CX2177="D",1,0)+IF(DD2177="D",1,0)+IF(DE2177="D",1,0)+IF(DJ2177="D",1,0)+IF(DK2177="D",1,0)+IF(DO2177="D",1,0)+IF(DP2177="D",1,0)+IF(DQ2177="D",1,0)+IF(DW2177="D",1,0)+IF(DZ2177="D",1,0)+IF(EH2177="D",1,0)</f>
        <v/>
      </c>
      <c r="AY2177">
        <f>IF(DJ2177&lt;&gt;"",1,0)+IF(DK2177&lt;&gt;"",1,0)+IF(DM2177&lt;&gt;"",1,0)+IF(DO2177&lt;&gt;"",1,0)+IF(DP2177&lt;&gt;"",1,0)+IF(DQ2177&lt;&gt;"",1,0)+IF(DS2177&lt;&gt;"",1,0)+IF(DT2177&lt;&gt;"",1,0)+IF(DV2177&lt;&gt;"",1,0)+IF(DW2177&lt;&gt;"",1,0)+IF(DX2177&lt;&gt;"",1,0)+IF(DY2177&lt;&gt;"",1,0)+IF(DZ2177&lt;&gt;"",1,0)+IF(EB2177&lt;&gt;"",1,0)+IF(EC2177&lt;&gt;"",1,0)+IF(ED2177&lt;&gt;"",1,0)+IF(EG2177&lt;&gt;"",1,0)+IF(EH2177&lt;&gt;"",1,0)</f>
        <v/>
      </c>
      <c r="AZ2177">
        <f>IF(EH2177&lt;&gt;"",1,0)</f>
        <v/>
      </c>
      <c r="BB2177" t="inlineStr">
        <is>
          <t>WARREN-WARD 4</t>
        </is>
      </c>
      <c r="CP2177" t="inlineStr">
        <is>
          <t>X</t>
        </is>
      </c>
      <c r="DN2177" t="inlineStr">
        <is>
          <t>X</t>
        </is>
      </c>
    </row>
    <row r="2178">
      <c r="A2178" t="inlineStr">
        <is>
          <t>OH0015771993</t>
        </is>
      </c>
      <c r="B2178" t="n">
        <v>78</v>
      </c>
      <c r="C2178" t="n">
        <v>289046</v>
      </c>
      <c r="D2178" t="inlineStr">
        <is>
          <t>STREETER</t>
        </is>
      </c>
      <c r="E2178" t="inlineStr">
        <is>
          <t>WAYNE</t>
        </is>
      </c>
      <c r="F2178">
        <f>CONCATENATE(D2178," ",LEFT(H2178,4),"T=",AU2178,"D=",AV2178,"R=",AW2178,"M=",AX2178,"L=",AY2178,"B=",AZ2178)</f>
        <v/>
      </c>
      <c r="G2178" t="inlineStr">
        <is>
          <t>B</t>
        </is>
      </c>
      <c r="H2178" t="inlineStr">
        <is>
          <t>SR</t>
        </is>
      </c>
      <c r="I2178" t="inlineStr">
        <is>
          <t>1954-07-24</t>
        </is>
      </c>
      <c r="J2178" t="inlineStr">
        <is>
          <t>1999-05-28</t>
        </is>
      </c>
      <c r="K2178" t="inlineStr">
        <is>
          <t>ACTIVE</t>
        </is>
      </c>
      <c r="L2178" t="inlineStr">
        <is>
          <t>D</t>
        </is>
      </c>
      <c r="M2178" t="inlineStr">
        <is>
          <t>1584 TRANSYLVANIA AVE SE</t>
        </is>
      </c>
      <c r="N2178">
        <f>RIGHT(M2178,LEN(M2178)-FIND(" ",M2178))</f>
        <v/>
      </c>
      <c r="P2178" t="inlineStr">
        <is>
          <t>WARREN</t>
        </is>
      </c>
      <c r="Q2178" t="inlineStr">
        <is>
          <t>OH</t>
        </is>
      </c>
      <c r="R2178" t="n">
        <v>44484</v>
      </c>
      <c r="AD2178" t="inlineStr">
        <is>
          <t>TRUMBULL CAREER &amp; TECH CENTER</t>
        </is>
      </c>
      <c r="AE2178" t="inlineStr">
        <is>
          <t>WARREN CITY</t>
        </is>
      </c>
      <c r="AF2178" t="inlineStr">
        <is>
          <t>WARREN CITY SD</t>
        </is>
      </c>
      <c r="AH2178" t="n">
        <v>14</v>
      </c>
      <c r="AI2178" t="n">
        <v>11</v>
      </c>
      <c r="AN2178" t="inlineStr">
        <is>
          <t>WARREN</t>
        </is>
      </c>
      <c r="AO2178" t="inlineStr">
        <is>
          <t>WARREN CITY 4F</t>
        </is>
      </c>
      <c r="AP2178" t="inlineStr">
        <is>
          <t>78-P-ADN</t>
        </is>
      </c>
      <c r="AQ2178" t="n">
        <v>9</v>
      </c>
      <c r="AR2178" t="n">
        <v>64</v>
      </c>
      <c r="AS2178" t="n">
        <v>32</v>
      </c>
      <c r="AU2178">
        <f>COUNTA($BA$2178:$EH$2178)</f>
        <v/>
      </c>
      <c r="AV2178">
        <f>COUNTIF($BA$2178:$EH$2178,"D")</f>
        <v/>
      </c>
      <c r="AW2178">
        <f>COUNTIF($BA$2178:$EH$2178,"R")</f>
        <v/>
      </c>
      <c r="AX2178">
        <f>IF(BN2178="D",1,0)+IF(BO2178="D",1,0)+IF(BT2178="D",1,0)+IF(BU2178="D",1,0)+IF(BW2178="D",1,0)+IF(CC2178="D",1,0)+IF(CD2178="D",1,0)+IF(CE2178="D",1,0)+IF(CF2178="D",1,0)+IF(CL2178="D",1,0)+IF(CM2178="D",1,0)+IF(CQ2178="D",1,0)+IF(CR2178="D",1,0)+IF(CS2178="D",1,0)+IF(CW2178="D",1,0)+IF(CX2178="D",1,0)+IF(DD2178="D",1,0)+IF(DE2178="D",1,0)+IF(DJ2178="D",1,0)+IF(DK2178="D",1,0)+IF(DO2178="D",1,0)+IF(DP2178="D",1,0)+IF(DQ2178="D",1,0)+IF(DW2178="D",1,0)+IF(DZ2178="D",1,0)+IF(EH2178="D",1,0)</f>
        <v/>
      </c>
      <c r="AY2178">
        <f>IF(DJ2178&lt;&gt;"",1,0)+IF(DK2178&lt;&gt;"",1,0)+IF(DM2178&lt;&gt;"",1,0)+IF(DO2178&lt;&gt;"",1,0)+IF(DP2178&lt;&gt;"",1,0)+IF(DQ2178&lt;&gt;"",1,0)+IF(DS2178&lt;&gt;"",1,0)+IF(DT2178&lt;&gt;"",1,0)+IF(DV2178&lt;&gt;"",1,0)+IF(DW2178&lt;&gt;"",1,0)+IF(DX2178&lt;&gt;"",1,0)+IF(DY2178&lt;&gt;"",1,0)+IF(DZ2178&lt;&gt;"",1,0)+IF(EB2178&lt;&gt;"",1,0)+IF(EC2178&lt;&gt;"",1,0)+IF(ED2178&lt;&gt;"",1,0)+IF(EG2178&lt;&gt;"",1,0)+IF(EH2178&lt;&gt;"",1,0)</f>
        <v/>
      </c>
      <c r="AZ2178">
        <f>IF(EH2178&lt;&gt;"",1,0)</f>
        <v/>
      </c>
      <c r="BB2178" t="inlineStr">
        <is>
          <t>WARREN-WARD 4</t>
        </is>
      </c>
      <c r="BD2178" t="inlineStr">
        <is>
          <t>X</t>
        </is>
      </c>
      <c r="BH2178" t="inlineStr">
        <is>
          <t>X</t>
        </is>
      </c>
      <c r="BL2178" t="inlineStr">
        <is>
          <t>X</t>
        </is>
      </c>
      <c r="BS2178" t="inlineStr">
        <is>
          <t>X</t>
        </is>
      </c>
      <c r="BY2178" t="inlineStr">
        <is>
          <t>D</t>
        </is>
      </c>
      <c r="CA2178" t="inlineStr">
        <is>
          <t>X</t>
        </is>
      </c>
      <c r="CK2178" t="inlineStr">
        <is>
          <t>X</t>
        </is>
      </c>
      <c r="CN2178" t="inlineStr">
        <is>
          <t>X</t>
        </is>
      </c>
      <c r="CP2178" t="inlineStr">
        <is>
          <t>X</t>
        </is>
      </c>
      <c r="CY2178" t="inlineStr">
        <is>
          <t>X</t>
        </is>
      </c>
      <c r="DC2178" t="inlineStr">
        <is>
          <t>X</t>
        </is>
      </c>
      <c r="DI2178" t="inlineStr">
        <is>
          <t>X</t>
        </is>
      </c>
      <c r="DL2178" t="inlineStr">
        <is>
          <t>X</t>
        </is>
      </c>
      <c r="DN2178" t="inlineStr">
        <is>
          <t>X</t>
        </is>
      </c>
      <c r="DU2178" t="inlineStr">
        <is>
          <t>X</t>
        </is>
      </c>
      <c r="DW2178" t="inlineStr">
        <is>
          <t>D</t>
        </is>
      </c>
      <c r="EA2178" t="inlineStr">
        <is>
          <t>X</t>
        </is>
      </c>
      <c r="EF2178" t="inlineStr">
        <is>
          <t>X</t>
        </is>
      </c>
    </row>
    <row r="2179">
      <c r="A2179" t="inlineStr">
        <is>
          <t>OH0015743804</t>
        </is>
      </c>
      <c r="B2179" t="n">
        <v>78</v>
      </c>
      <c r="C2179" t="n">
        <v>331132</v>
      </c>
      <c r="D2179" t="inlineStr">
        <is>
          <t>STREETER</t>
        </is>
      </c>
      <c r="E2179" t="inlineStr">
        <is>
          <t>MARY</t>
        </is>
      </c>
      <c r="F2179">
        <f>CONCATENATE(D2179," ",LEFT(H2179,4),"T=",AU2179,"D=",AV2179,"R=",AW2179,"M=",AX2179,"L=",AY2179,"B=",AZ2179)</f>
        <v/>
      </c>
      <c r="G2179" t="inlineStr">
        <is>
          <t>A</t>
        </is>
      </c>
      <c r="I2179" t="inlineStr">
        <is>
          <t>1967-02-16</t>
        </is>
      </c>
      <c r="J2179" t="inlineStr">
        <is>
          <t>2023-03-09</t>
        </is>
      </c>
      <c r="K2179" t="inlineStr">
        <is>
          <t>ACTIVE</t>
        </is>
      </c>
      <c r="L2179" t="inlineStr">
        <is>
          <t>D</t>
        </is>
      </c>
      <c r="M2179" t="inlineStr">
        <is>
          <t>1584 TRANSYLVANIA AVE SE</t>
        </is>
      </c>
      <c r="N2179">
        <f>RIGHT(M2179,LEN(M2179)-FIND(" ",M2179))</f>
        <v/>
      </c>
      <c r="P2179" t="inlineStr">
        <is>
          <t>WARREN</t>
        </is>
      </c>
      <c r="Q2179" t="inlineStr">
        <is>
          <t>OH</t>
        </is>
      </c>
      <c r="R2179" t="n">
        <v>44484</v>
      </c>
      <c r="AD2179" t="inlineStr">
        <is>
          <t>TRUMBULL CAREER &amp; TECH CENTER</t>
        </is>
      </c>
      <c r="AE2179" t="inlineStr">
        <is>
          <t>WARREN CITY</t>
        </is>
      </c>
      <c r="AF2179" t="inlineStr">
        <is>
          <t>WARREN CITY SD</t>
        </is>
      </c>
      <c r="AH2179" t="n">
        <v>14</v>
      </c>
      <c r="AI2179" t="n">
        <v>11</v>
      </c>
      <c r="AN2179" t="inlineStr">
        <is>
          <t>WARREN</t>
        </is>
      </c>
      <c r="AO2179" t="inlineStr">
        <is>
          <t>WARREN CITY 4F</t>
        </is>
      </c>
      <c r="AP2179" t="inlineStr">
        <is>
          <t>78-P-ADN</t>
        </is>
      </c>
      <c r="AQ2179" t="n">
        <v>9</v>
      </c>
      <c r="AR2179" t="n">
        <v>64</v>
      </c>
      <c r="AS2179" t="n">
        <v>32</v>
      </c>
      <c r="AU2179">
        <f>COUNTA($BA$2179:$EH$2179)</f>
        <v/>
      </c>
      <c r="AV2179">
        <f>COUNTIF($BA$2179:$EH$2179,"D")</f>
        <v/>
      </c>
      <c r="AW2179">
        <f>COUNTIF($BA$2179:$EH$2179,"R")</f>
        <v/>
      </c>
      <c r="AX2179">
        <f>IF(BN2179="D",1,0)+IF(BO2179="D",1,0)+IF(BT2179="D",1,0)+IF(BU2179="D",1,0)+IF(BW2179="D",1,0)+IF(CC2179="D",1,0)+IF(CD2179="D",1,0)+IF(CE2179="D",1,0)+IF(CF2179="D",1,0)+IF(CL2179="D",1,0)+IF(CM2179="D",1,0)+IF(CQ2179="D",1,0)+IF(CR2179="D",1,0)+IF(CS2179="D",1,0)+IF(CW2179="D",1,0)+IF(CX2179="D",1,0)+IF(DD2179="D",1,0)+IF(DE2179="D",1,0)+IF(DJ2179="D",1,0)+IF(DK2179="D",1,0)+IF(DO2179="D",1,0)+IF(DP2179="D",1,0)+IF(DQ2179="D",1,0)+IF(DW2179="D",1,0)+IF(DZ2179="D",1,0)+IF(EH2179="D",1,0)</f>
        <v/>
      </c>
      <c r="AY2179">
        <f>IF(DJ2179&lt;&gt;"",1,0)+IF(DK2179&lt;&gt;"",1,0)+IF(DM2179&lt;&gt;"",1,0)+IF(DO2179&lt;&gt;"",1,0)+IF(DP2179&lt;&gt;"",1,0)+IF(DQ2179&lt;&gt;"",1,0)+IF(DS2179&lt;&gt;"",1,0)+IF(DT2179&lt;&gt;"",1,0)+IF(DV2179&lt;&gt;"",1,0)+IF(DW2179&lt;&gt;"",1,0)+IF(DX2179&lt;&gt;"",1,0)+IF(DY2179&lt;&gt;"",1,0)+IF(DZ2179&lt;&gt;"",1,0)+IF(EB2179&lt;&gt;"",1,0)+IF(EC2179&lt;&gt;"",1,0)+IF(ED2179&lt;&gt;"",1,0)+IF(EG2179&lt;&gt;"",1,0)+IF(EH2179&lt;&gt;"",1,0)</f>
        <v/>
      </c>
      <c r="AZ2179">
        <f>IF(EH2179&lt;&gt;"",1,0)</f>
        <v/>
      </c>
      <c r="BB2179" t="inlineStr">
        <is>
          <t>WARREN-WARD 4</t>
        </is>
      </c>
      <c r="BL2179" t="inlineStr">
        <is>
          <t>X</t>
        </is>
      </c>
      <c r="BR2179" t="inlineStr">
        <is>
          <t>X</t>
        </is>
      </c>
      <c r="BS2179" t="inlineStr">
        <is>
          <t>X</t>
        </is>
      </c>
      <c r="BY2179" t="inlineStr">
        <is>
          <t>D</t>
        </is>
      </c>
      <c r="CA2179" t="inlineStr">
        <is>
          <t>X</t>
        </is>
      </c>
      <c r="CK2179" t="inlineStr">
        <is>
          <t>X</t>
        </is>
      </c>
      <c r="CN2179" t="inlineStr">
        <is>
          <t>X</t>
        </is>
      </c>
      <c r="CP2179" t="inlineStr">
        <is>
          <t>X</t>
        </is>
      </c>
      <c r="CY2179" t="inlineStr">
        <is>
          <t>X</t>
        </is>
      </c>
      <c r="DC2179" t="inlineStr">
        <is>
          <t>X</t>
        </is>
      </c>
      <c r="DI2179" t="inlineStr">
        <is>
          <t>X</t>
        </is>
      </c>
      <c r="DL2179" t="inlineStr">
        <is>
          <t>X</t>
        </is>
      </c>
      <c r="DN2179" t="inlineStr">
        <is>
          <t>X</t>
        </is>
      </c>
      <c r="DU2179" t="inlineStr">
        <is>
          <t>X</t>
        </is>
      </c>
      <c r="DW2179" t="inlineStr">
        <is>
          <t>D</t>
        </is>
      </c>
      <c r="EA2179" t="inlineStr">
        <is>
          <t>X</t>
        </is>
      </c>
      <c r="EF2179" t="inlineStr">
        <is>
          <t>X</t>
        </is>
      </c>
    </row>
    <row r="2180">
      <c r="A2180" t="inlineStr">
        <is>
          <t>OH0027508427</t>
        </is>
      </c>
      <c r="B2180" t="n">
        <v>78</v>
      </c>
      <c r="C2180" t="n">
        <v>487364</v>
      </c>
      <c r="D2180" t="inlineStr">
        <is>
          <t>MERCHANT</t>
        </is>
      </c>
      <c r="E2180" t="inlineStr">
        <is>
          <t>KENZIE</t>
        </is>
      </c>
      <c r="F2180">
        <f>CONCATENATE(D2180," ",LEFT(H2180,4),"T=",AU2180,"D=",AV2180,"R=",AW2180,"M=",AX2180,"L=",AY2180,"B=",AZ2180)</f>
        <v/>
      </c>
      <c r="G2180" t="inlineStr">
        <is>
          <t>M</t>
        </is>
      </c>
      <c r="I2180" t="inlineStr">
        <is>
          <t>2004-12-29</t>
        </is>
      </c>
      <c r="J2180" t="inlineStr">
        <is>
          <t>2024-08-08</t>
        </is>
      </c>
      <c r="K2180" t="inlineStr">
        <is>
          <t>ACTIVE</t>
        </is>
      </c>
      <c r="M2180" t="inlineStr">
        <is>
          <t>1504 OAK KNOLL AVE SE</t>
        </is>
      </c>
      <c r="N2180">
        <f>RIGHT(M2180,LEN(M2180)-FIND(" ",M2180))</f>
        <v/>
      </c>
      <c r="P2180" t="inlineStr">
        <is>
          <t>WARREN</t>
        </is>
      </c>
      <c r="Q2180" t="inlineStr">
        <is>
          <t>OH</t>
        </is>
      </c>
      <c r="R2180" t="n">
        <v>44484</v>
      </c>
      <c r="AD2180" t="inlineStr">
        <is>
          <t>TRUMBULL CAREER &amp; TECH CENTER</t>
        </is>
      </c>
      <c r="AE2180" t="inlineStr">
        <is>
          <t>WARREN CITY</t>
        </is>
      </c>
      <c r="AF2180" t="inlineStr">
        <is>
          <t>WARREN CITY SD</t>
        </is>
      </c>
      <c r="AH2180" t="n">
        <v>14</v>
      </c>
      <c r="AI2180" t="n">
        <v>11</v>
      </c>
      <c r="AN2180" t="inlineStr">
        <is>
          <t>WARREN</t>
        </is>
      </c>
      <c r="AO2180" t="inlineStr">
        <is>
          <t>WARREN CITY 4F</t>
        </is>
      </c>
      <c r="AP2180" t="inlineStr">
        <is>
          <t>78-P-ADN</t>
        </is>
      </c>
      <c r="AQ2180" t="n">
        <v>9</v>
      </c>
      <c r="AR2180" t="n">
        <v>64</v>
      </c>
      <c r="AS2180" t="n">
        <v>32</v>
      </c>
      <c r="AU2180">
        <f>COUNTA($BA$2180:$EH$2180)</f>
        <v/>
      </c>
      <c r="AV2180">
        <f>COUNTIF($BA$2180:$EH$2180,"D")</f>
        <v/>
      </c>
      <c r="AW2180">
        <f>COUNTIF($BA$2180:$EH$2180,"R")</f>
        <v/>
      </c>
      <c r="AX2180">
        <f>IF(BN2180="D",1,0)+IF(BO2180="D",1,0)+IF(BT2180="D",1,0)+IF(BU2180="D",1,0)+IF(BW2180="D",1,0)+IF(CC2180="D",1,0)+IF(CD2180="D",1,0)+IF(CE2180="D",1,0)+IF(CF2180="D",1,0)+IF(CL2180="D",1,0)+IF(CM2180="D",1,0)+IF(CQ2180="D",1,0)+IF(CR2180="D",1,0)+IF(CS2180="D",1,0)+IF(CW2180="D",1,0)+IF(CX2180="D",1,0)+IF(DD2180="D",1,0)+IF(DE2180="D",1,0)+IF(DJ2180="D",1,0)+IF(DK2180="D",1,0)+IF(DO2180="D",1,0)+IF(DP2180="D",1,0)+IF(DQ2180="D",1,0)+IF(DW2180="D",1,0)+IF(DZ2180="D",1,0)+IF(EH2180="D",1,0)</f>
        <v/>
      </c>
      <c r="AY2180">
        <f>IF(DJ2180&lt;&gt;"",1,0)+IF(DK2180&lt;&gt;"",1,0)+IF(DM2180&lt;&gt;"",1,0)+IF(DO2180&lt;&gt;"",1,0)+IF(DP2180&lt;&gt;"",1,0)+IF(DQ2180&lt;&gt;"",1,0)+IF(DS2180&lt;&gt;"",1,0)+IF(DT2180&lt;&gt;"",1,0)+IF(DV2180&lt;&gt;"",1,0)+IF(DW2180&lt;&gt;"",1,0)+IF(DX2180&lt;&gt;"",1,0)+IF(DY2180&lt;&gt;"",1,0)+IF(DZ2180&lt;&gt;"",1,0)+IF(EB2180&lt;&gt;"",1,0)+IF(EC2180&lt;&gt;"",1,0)+IF(ED2180&lt;&gt;"",1,0)+IF(EG2180&lt;&gt;"",1,0)+IF(EH2180&lt;&gt;"",1,0)</f>
        <v/>
      </c>
      <c r="AZ2180">
        <f>IF(EH2180&lt;&gt;"",1,0)</f>
        <v/>
      </c>
      <c r="BB2180" t="inlineStr">
        <is>
          <t>WARREN-WARD 4</t>
        </is>
      </c>
    </row>
    <row r="2181">
      <c r="A2181" t="inlineStr">
        <is>
          <t>OH0018682720</t>
        </is>
      </c>
      <c r="B2181" t="n">
        <v>78</v>
      </c>
      <c r="C2181" t="n">
        <v>342857</v>
      </c>
      <c r="D2181" t="inlineStr">
        <is>
          <t>HUDSON</t>
        </is>
      </c>
      <c r="E2181" t="inlineStr">
        <is>
          <t>OLIVIA</t>
        </is>
      </c>
      <c r="F2181">
        <f>CONCATENATE(D2181," ",LEFT(H2181,4),"T=",AU2181,"D=",AV2181,"R=",AW2181,"M=",AX2181,"L=",AY2181,"B=",AZ2181)</f>
        <v/>
      </c>
      <c r="G2181" t="inlineStr">
        <is>
          <t>D</t>
        </is>
      </c>
      <c r="I2181" t="inlineStr">
        <is>
          <t>1977-04-01</t>
        </is>
      </c>
      <c r="J2181" t="inlineStr">
        <is>
          <t>2014-03-31</t>
        </is>
      </c>
      <c r="K2181" t="inlineStr">
        <is>
          <t>ACTIVE</t>
        </is>
      </c>
      <c r="M2181" t="inlineStr">
        <is>
          <t>2114 NILES RD SE</t>
        </is>
      </c>
      <c r="N2181">
        <f>RIGHT(M2181,LEN(M2181)-FIND(" ",M2181))</f>
        <v/>
      </c>
      <c r="P2181" t="inlineStr">
        <is>
          <t>WARREN</t>
        </is>
      </c>
      <c r="Q2181" t="inlineStr">
        <is>
          <t>OH</t>
        </is>
      </c>
      <c r="R2181" t="n">
        <v>44484</v>
      </c>
      <c r="AD2181" t="inlineStr">
        <is>
          <t>TRUMBULL CAREER &amp; TECH CENTER</t>
        </is>
      </c>
      <c r="AE2181" t="inlineStr">
        <is>
          <t>WARREN CITY</t>
        </is>
      </c>
      <c r="AF2181" t="inlineStr">
        <is>
          <t>WARREN CITY SD</t>
        </is>
      </c>
      <c r="AH2181" t="n">
        <v>14</v>
      </c>
      <c r="AI2181" t="n">
        <v>11</v>
      </c>
      <c r="AN2181" t="inlineStr">
        <is>
          <t>WARREN</t>
        </is>
      </c>
      <c r="AO2181" t="inlineStr">
        <is>
          <t>WARREN CITY 4F</t>
        </is>
      </c>
      <c r="AP2181" t="inlineStr">
        <is>
          <t>78-P-ADN</t>
        </is>
      </c>
      <c r="AQ2181" t="n">
        <v>9</v>
      </c>
      <c r="AR2181" t="n">
        <v>64</v>
      </c>
      <c r="AS2181" t="n">
        <v>32</v>
      </c>
      <c r="AU2181">
        <f>COUNTA($BA$2181:$EH$2181)</f>
        <v/>
      </c>
      <c r="AV2181">
        <f>COUNTIF($BA$2181:$EH$2181,"D")</f>
        <v/>
      </c>
      <c r="AW2181">
        <f>COUNTIF($BA$2181:$EH$2181,"R")</f>
        <v/>
      </c>
      <c r="AX2181">
        <f>IF(BN2181="D",1,0)+IF(BO2181="D",1,0)+IF(BT2181="D",1,0)+IF(BU2181="D",1,0)+IF(BW2181="D",1,0)+IF(CC2181="D",1,0)+IF(CD2181="D",1,0)+IF(CE2181="D",1,0)+IF(CF2181="D",1,0)+IF(CL2181="D",1,0)+IF(CM2181="D",1,0)+IF(CQ2181="D",1,0)+IF(CR2181="D",1,0)+IF(CS2181="D",1,0)+IF(CW2181="D",1,0)+IF(CX2181="D",1,0)+IF(DD2181="D",1,0)+IF(DE2181="D",1,0)+IF(DJ2181="D",1,0)+IF(DK2181="D",1,0)+IF(DO2181="D",1,0)+IF(DP2181="D",1,0)+IF(DQ2181="D",1,0)+IF(DW2181="D",1,0)+IF(DZ2181="D",1,0)+IF(EH2181="D",1,0)</f>
        <v/>
      </c>
      <c r="AY2181">
        <f>IF(DJ2181&lt;&gt;"",1,0)+IF(DK2181&lt;&gt;"",1,0)+IF(DM2181&lt;&gt;"",1,0)+IF(DO2181&lt;&gt;"",1,0)+IF(DP2181&lt;&gt;"",1,0)+IF(DQ2181&lt;&gt;"",1,0)+IF(DS2181&lt;&gt;"",1,0)+IF(DT2181&lt;&gt;"",1,0)+IF(DV2181&lt;&gt;"",1,0)+IF(DW2181&lt;&gt;"",1,0)+IF(DX2181&lt;&gt;"",1,0)+IF(DY2181&lt;&gt;"",1,0)+IF(DZ2181&lt;&gt;"",1,0)+IF(EB2181&lt;&gt;"",1,0)+IF(EC2181&lt;&gt;"",1,0)+IF(ED2181&lt;&gt;"",1,0)+IF(EG2181&lt;&gt;"",1,0)+IF(EH2181&lt;&gt;"",1,0)</f>
        <v/>
      </c>
      <c r="AZ2181">
        <f>IF(EH2181&lt;&gt;"",1,0)</f>
        <v/>
      </c>
      <c r="BB2181" t="inlineStr">
        <is>
          <t>WARREN-WARD 4</t>
        </is>
      </c>
      <c r="CA2181" t="inlineStr">
        <is>
          <t>X</t>
        </is>
      </c>
      <c r="CK2181" t="inlineStr">
        <is>
          <t>X</t>
        </is>
      </c>
      <c r="CP2181" t="inlineStr">
        <is>
          <t>X</t>
        </is>
      </c>
      <c r="DC2181" t="inlineStr">
        <is>
          <t>X</t>
        </is>
      </c>
      <c r="EF2181" t="inlineStr">
        <is>
          <t>X</t>
        </is>
      </c>
    </row>
    <row r="2182">
      <c r="A2182" t="inlineStr">
        <is>
          <t>OH0015759936</t>
        </is>
      </c>
      <c r="B2182" t="n">
        <v>78</v>
      </c>
      <c r="C2182" t="n">
        <v>247117</v>
      </c>
      <c r="D2182" t="inlineStr">
        <is>
          <t>MCCORKLE</t>
        </is>
      </c>
      <c r="E2182" t="inlineStr">
        <is>
          <t>ADRIENNE</t>
        </is>
      </c>
      <c r="F2182">
        <f>CONCATENATE(D2182," ",LEFT(H2182,4),"T=",AU2182,"D=",AV2182,"R=",AW2182,"M=",AX2182,"L=",AY2182,"B=",AZ2182)</f>
        <v/>
      </c>
      <c r="G2182" t="inlineStr">
        <is>
          <t>RENEE</t>
        </is>
      </c>
      <c r="I2182" t="inlineStr">
        <is>
          <t>1959-01-02</t>
        </is>
      </c>
      <c r="J2182" t="inlineStr">
        <is>
          <t>2008-09-25</t>
        </is>
      </c>
      <c r="K2182" t="inlineStr">
        <is>
          <t>ACTIVE</t>
        </is>
      </c>
      <c r="M2182" t="inlineStr">
        <is>
          <t>1722 TRANSYLVANIA AVE SE</t>
        </is>
      </c>
      <c r="N2182">
        <f>RIGHT(M2182,LEN(M2182)-FIND(" ",M2182))</f>
        <v/>
      </c>
      <c r="P2182" t="inlineStr">
        <is>
          <t>WARREN</t>
        </is>
      </c>
      <c r="Q2182" t="inlineStr">
        <is>
          <t>OH</t>
        </is>
      </c>
      <c r="R2182" t="n">
        <v>44484</v>
      </c>
      <c r="AD2182" t="inlineStr">
        <is>
          <t>TRUMBULL CAREER &amp; TECH CENTER</t>
        </is>
      </c>
      <c r="AE2182" t="inlineStr">
        <is>
          <t>WARREN CITY</t>
        </is>
      </c>
      <c r="AF2182" t="inlineStr">
        <is>
          <t>WARREN CITY SD</t>
        </is>
      </c>
      <c r="AH2182" t="n">
        <v>14</v>
      </c>
      <c r="AI2182" t="n">
        <v>11</v>
      </c>
      <c r="AN2182" t="inlineStr">
        <is>
          <t>WARREN</t>
        </is>
      </c>
      <c r="AO2182" t="inlineStr">
        <is>
          <t>WARREN CITY 4F</t>
        </is>
      </c>
      <c r="AP2182" t="inlineStr">
        <is>
          <t>78-P-ADN</t>
        </is>
      </c>
      <c r="AQ2182" t="n">
        <v>9</v>
      </c>
      <c r="AR2182" t="n">
        <v>64</v>
      </c>
      <c r="AS2182" t="n">
        <v>32</v>
      </c>
      <c r="AU2182">
        <f>COUNTA($BA$2182:$EH$2182)</f>
        <v/>
      </c>
      <c r="AV2182">
        <f>COUNTIF($BA$2182:$EH$2182,"D")</f>
        <v/>
      </c>
      <c r="AW2182">
        <f>COUNTIF($BA$2182:$EH$2182,"R")</f>
        <v/>
      </c>
      <c r="AX2182">
        <f>IF(BN2182="D",1,0)+IF(BO2182="D",1,0)+IF(BT2182="D",1,0)+IF(BU2182="D",1,0)+IF(BW2182="D",1,0)+IF(CC2182="D",1,0)+IF(CD2182="D",1,0)+IF(CE2182="D",1,0)+IF(CF2182="D",1,0)+IF(CL2182="D",1,0)+IF(CM2182="D",1,0)+IF(CQ2182="D",1,0)+IF(CR2182="D",1,0)+IF(CS2182="D",1,0)+IF(CW2182="D",1,0)+IF(CX2182="D",1,0)+IF(DD2182="D",1,0)+IF(DE2182="D",1,0)+IF(DJ2182="D",1,0)+IF(DK2182="D",1,0)+IF(DO2182="D",1,0)+IF(DP2182="D",1,0)+IF(DQ2182="D",1,0)+IF(DW2182="D",1,0)+IF(DZ2182="D",1,0)+IF(EH2182="D",1,0)</f>
        <v/>
      </c>
      <c r="AY2182">
        <f>IF(DJ2182&lt;&gt;"",1,0)+IF(DK2182&lt;&gt;"",1,0)+IF(DM2182&lt;&gt;"",1,0)+IF(DO2182&lt;&gt;"",1,0)+IF(DP2182&lt;&gt;"",1,0)+IF(DQ2182&lt;&gt;"",1,0)+IF(DS2182&lt;&gt;"",1,0)+IF(DT2182&lt;&gt;"",1,0)+IF(DV2182&lt;&gt;"",1,0)+IF(DW2182&lt;&gt;"",1,0)+IF(DX2182&lt;&gt;"",1,0)+IF(DY2182&lt;&gt;"",1,0)+IF(DZ2182&lt;&gt;"",1,0)+IF(EB2182&lt;&gt;"",1,0)+IF(EC2182&lt;&gt;"",1,0)+IF(ED2182&lt;&gt;"",1,0)+IF(EG2182&lt;&gt;"",1,0)+IF(EH2182&lt;&gt;"",1,0)</f>
        <v/>
      </c>
      <c r="AZ2182">
        <f>IF(EH2182&lt;&gt;"",1,0)</f>
        <v/>
      </c>
      <c r="BB2182" t="inlineStr">
        <is>
          <t>WARREN-WARD 4</t>
        </is>
      </c>
      <c r="BD2182" t="inlineStr">
        <is>
          <t>X</t>
        </is>
      </c>
      <c r="BL2182" t="inlineStr">
        <is>
          <t>X</t>
        </is>
      </c>
      <c r="BS2182" t="inlineStr">
        <is>
          <t>X</t>
        </is>
      </c>
      <c r="CA2182" t="inlineStr">
        <is>
          <t>X</t>
        </is>
      </c>
      <c r="CP2182" t="inlineStr">
        <is>
          <t>X</t>
        </is>
      </c>
      <c r="CY2182" t="inlineStr">
        <is>
          <t>X</t>
        </is>
      </c>
      <c r="CZ2182" t="inlineStr">
        <is>
          <t>D</t>
        </is>
      </c>
      <c r="DC2182" t="inlineStr">
        <is>
          <t>X</t>
        </is>
      </c>
      <c r="DN2182" t="inlineStr">
        <is>
          <t>X</t>
        </is>
      </c>
    </row>
    <row r="2183">
      <c r="A2183" t="inlineStr">
        <is>
          <t>OH0024019323</t>
        </is>
      </c>
      <c r="B2183" t="n">
        <v>78</v>
      </c>
      <c r="C2183" t="n">
        <v>421152</v>
      </c>
      <c r="D2183" t="inlineStr">
        <is>
          <t>BUTLER</t>
        </is>
      </c>
      <c r="E2183" t="inlineStr">
        <is>
          <t>RAHEEAN</t>
        </is>
      </c>
      <c r="F2183">
        <f>CONCATENATE(D2183," ",LEFT(H2183,4),"T=",AU2183,"D=",AV2183,"R=",AW2183,"M=",AX2183,"L=",AY2183,"B=",AZ2183)</f>
        <v/>
      </c>
      <c r="G2183" t="inlineStr">
        <is>
          <t>NIMAR</t>
        </is>
      </c>
      <c r="I2183" t="inlineStr">
        <is>
          <t>1981-05-20</t>
        </is>
      </c>
      <c r="J2183" t="inlineStr">
        <is>
          <t>2016-10-01</t>
        </is>
      </c>
      <c r="K2183" t="inlineStr">
        <is>
          <t>ACTIVE</t>
        </is>
      </c>
      <c r="M2183" t="inlineStr">
        <is>
          <t>2228 DRAPER AVE SE</t>
        </is>
      </c>
      <c r="N2183">
        <f>RIGHT(M2183,LEN(M2183)-FIND(" ",M2183))</f>
        <v/>
      </c>
      <c r="P2183" t="inlineStr">
        <is>
          <t>WARREN</t>
        </is>
      </c>
      <c r="Q2183" t="inlineStr">
        <is>
          <t>OH</t>
        </is>
      </c>
      <c r="R2183" t="n">
        <v>44484</v>
      </c>
      <c r="AD2183" t="inlineStr">
        <is>
          <t>TRUMBULL CAREER &amp; TECH CENTER</t>
        </is>
      </c>
      <c r="AE2183" t="inlineStr">
        <is>
          <t>WARREN CITY</t>
        </is>
      </c>
      <c r="AF2183" t="inlineStr">
        <is>
          <t>WARREN CITY SD</t>
        </is>
      </c>
      <c r="AH2183" t="n">
        <v>14</v>
      </c>
      <c r="AI2183" t="n">
        <v>11</v>
      </c>
      <c r="AN2183" t="inlineStr">
        <is>
          <t>WARREN</t>
        </is>
      </c>
      <c r="AO2183" t="inlineStr">
        <is>
          <t>WARREN CITY 4F</t>
        </is>
      </c>
      <c r="AP2183" t="inlineStr">
        <is>
          <t>78-P-ADN</t>
        </is>
      </c>
      <c r="AQ2183" t="n">
        <v>9</v>
      </c>
      <c r="AR2183" t="n">
        <v>64</v>
      </c>
      <c r="AS2183" t="n">
        <v>32</v>
      </c>
      <c r="AU2183">
        <f>COUNTA($BA$2183:$EH$2183)</f>
        <v/>
      </c>
      <c r="AV2183">
        <f>COUNTIF($BA$2183:$EH$2183,"D")</f>
        <v/>
      </c>
      <c r="AW2183">
        <f>COUNTIF($BA$2183:$EH$2183,"R")</f>
        <v/>
      </c>
      <c r="AX2183">
        <f>IF(BN2183="D",1,0)+IF(BO2183="D",1,0)+IF(BT2183="D",1,0)+IF(BU2183="D",1,0)+IF(BW2183="D",1,0)+IF(CC2183="D",1,0)+IF(CD2183="D",1,0)+IF(CE2183="D",1,0)+IF(CF2183="D",1,0)+IF(CL2183="D",1,0)+IF(CM2183="D",1,0)+IF(CQ2183="D",1,0)+IF(CR2183="D",1,0)+IF(CS2183="D",1,0)+IF(CW2183="D",1,0)+IF(CX2183="D",1,0)+IF(DD2183="D",1,0)+IF(DE2183="D",1,0)+IF(DJ2183="D",1,0)+IF(DK2183="D",1,0)+IF(DO2183="D",1,0)+IF(DP2183="D",1,0)+IF(DQ2183="D",1,0)+IF(DW2183="D",1,0)+IF(DZ2183="D",1,0)+IF(EH2183="D",1,0)</f>
        <v/>
      </c>
      <c r="AY2183">
        <f>IF(DJ2183&lt;&gt;"",1,0)+IF(DK2183&lt;&gt;"",1,0)+IF(DM2183&lt;&gt;"",1,0)+IF(DO2183&lt;&gt;"",1,0)+IF(DP2183&lt;&gt;"",1,0)+IF(DQ2183&lt;&gt;"",1,0)+IF(DS2183&lt;&gt;"",1,0)+IF(DT2183&lt;&gt;"",1,0)+IF(DV2183&lt;&gt;"",1,0)+IF(DW2183&lt;&gt;"",1,0)+IF(DX2183&lt;&gt;"",1,0)+IF(DY2183&lt;&gt;"",1,0)+IF(DZ2183&lt;&gt;"",1,0)+IF(EB2183&lt;&gt;"",1,0)+IF(EC2183&lt;&gt;"",1,0)+IF(ED2183&lt;&gt;"",1,0)+IF(EG2183&lt;&gt;"",1,0)+IF(EH2183&lt;&gt;"",1,0)</f>
        <v/>
      </c>
      <c r="AZ2183">
        <f>IF(EH2183&lt;&gt;"",1,0)</f>
        <v/>
      </c>
      <c r="BB2183" t="inlineStr">
        <is>
          <t>WARREN-WARD 4</t>
        </is>
      </c>
      <c r="BD2183" t="inlineStr">
        <is>
          <t>X</t>
        </is>
      </c>
      <c r="BH2183" t="inlineStr">
        <is>
          <t>X</t>
        </is>
      </c>
      <c r="BL2183" t="inlineStr">
        <is>
          <t>X</t>
        </is>
      </c>
      <c r="BY2183" t="inlineStr">
        <is>
          <t>D</t>
        </is>
      </c>
      <c r="CA2183" t="inlineStr">
        <is>
          <t>X</t>
        </is>
      </c>
      <c r="DC2183" t="inlineStr">
        <is>
          <t>X</t>
        </is>
      </c>
      <c r="DN2183" t="inlineStr">
        <is>
          <t>X</t>
        </is>
      </c>
      <c r="EA2183" t="inlineStr">
        <is>
          <t>X</t>
        </is>
      </c>
      <c r="EF2183" t="inlineStr">
        <is>
          <t>X</t>
        </is>
      </c>
    </row>
    <row r="2184">
      <c r="A2184" t="inlineStr">
        <is>
          <t>OH0024759613</t>
        </is>
      </c>
      <c r="B2184" t="n">
        <v>78</v>
      </c>
      <c r="C2184" t="n">
        <v>434659</v>
      </c>
      <c r="D2184" t="inlineStr">
        <is>
          <t>JACKSON</t>
        </is>
      </c>
      <c r="E2184" t="inlineStr">
        <is>
          <t>TERRIAN</t>
        </is>
      </c>
      <c r="F2184">
        <f>CONCATENATE(D2184," ",LEFT(H2184,4),"T=",AU2184,"D=",AV2184,"R=",AW2184,"M=",AX2184,"L=",AY2184,"B=",AZ2184)</f>
        <v/>
      </c>
      <c r="G2184" t="inlineStr">
        <is>
          <t>L</t>
        </is>
      </c>
      <c r="I2184" t="inlineStr">
        <is>
          <t>1999-09-23</t>
        </is>
      </c>
      <c r="J2184" t="inlineStr">
        <is>
          <t>2018-08-25</t>
        </is>
      </c>
      <c r="K2184" t="inlineStr">
        <is>
          <t>ACTIVE</t>
        </is>
      </c>
      <c r="M2184" t="inlineStr">
        <is>
          <t>1921 BURTON ST SE</t>
        </is>
      </c>
      <c r="N2184">
        <f>RIGHT(M2184,LEN(M2184)-FIND(" ",M2184))</f>
        <v/>
      </c>
      <c r="P2184" t="inlineStr">
        <is>
          <t>WARREN</t>
        </is>
      </c>
      <c r="Q2184" t="inlineStr">
        <is>
          <t>OH</t>
        </is>
      </c>
      <c r="R2184" t="n">
        <v>44484</v>
      </c>
      <c r="AD2184" t="inlineStr">
        <is>
          <t>TRUMBULL CAREER &amp; TECH CENTER</t>
        </is>
      </c>
      <c r="AE2184" t="inlineStr">
        <is>
          <t>WARREN CITY</t>
        </is>
      </c>
      <c r="AF2184" t="inlineStr">
        <is>
          <t>WARREN CITY SD</t>
        </is>
      </c>
      <c r="AH2184" t="n">
        <v>14</v>
      </c>
      <c r="AI2184" t="n">
        <v>11</v>
      </c>
      <c r="AN2184" t="inlineStr">
        <is>
          <t>WARREN</t>
        </is>
      </c>
      <c r="AO2184" t="inlineStr">
        <is>
          <t>WARREN CITY 4F</t>
        </is>
      </c>
      <c r="AP2184" t="inlineStr">
        <is>
          <t>78-P-ADN</t>
        </is>
      </c>
      <c r="AQ2184" t="n">
        <v>9</v>
      </c>
      <c r="AR2184" t="n">
        <v>64</v>
      </c>
      <c r="AS2184" t="n">
        <v>32</v>
      </c>
      <c r="AU2184">
        <f>COUNTA($BA$2184:$EH$2184)</f>
        <v/>
      </c>
      <c r="AV2184">
        <f>COUNTIF($BA$2184:$EH$2184,"D")</f>
        <v/>
      </c>
      <c r="AW2184">
        <f>COUNTIF($BA$2184:$EH$2184,"R")</f>
        <v/>
      </c>
      <c r="AX2184">
        <f>IF(BN2184="D",1,0)+IF(BO2184="D",1,0)+IF(BT2184="D",1,0)+IF(BU2184="D",1,0)+IF(BW2184="D",1,0)+IF(CC2184="D",1,0)+IF(CD2184="D",1,0)+IF(CE2184="D",1,0)+IF(CF2184="D",1,0)+IF(CL2184="D",1,0)+IF(CM2184="D",1,0)+IF(CQ2184="D",1,0)+IF(CR2184="D",1,0)+IF(CS2184="D",1,0)+IF(CW2184="D",1,0)+IF(CX2184="D",1,0)+IF(DD2184="D",1,0)+IF(DE2184="D",1,0)+IF(DJ2184="D",1,0)+IF(DK2184="D",1,0)+IF(DO2184="D",1,0)+IF(DP2184="D",1,0)+IF(DQ2184="D",1,0)+IF(DW2184="D",1,0)+IF(DZ2184="D",1,0)+IF(EH2184="D",1,0)</f>
        <v/>
      </c>
      <c r="AY2184">
        <f>IF(DJ2184&lt;&gt;"",1,0)+IF(DK2184&lt;&gt;"",1,0)+IF(DM2184&lt;&gt;"",1,0)+IF(DO2184&lt;&gt;"",1,0)+IF(DP2184&lt;&gt;"",1,0)+IF(DQ2184&lt;&gt;"",1,0)+IF(DS2184&lt;&gt;"",1,0)+IF(DT2184&lt;&gt;"",1,0)+IF(DV2184&lt;&gt;"",1,0)+IF(DW2184&lt;&gt;"",1,0)+IF(DX2184&lt;&gt;"",1,0)+IF(DY2184&lt;&gt;"",1,0)+IF(DZ2184&lt;&gt;"",1,0)+IF(EB2184&lt;&gt;"",1,0)+IF(EC2184&lt;&gt;"",1,0)+IF(ED2184&lt;&gt;"",1,0)+IF(EG2184&lt;&gt;"",1,0)+IF(EH2184&lt;&gt;"",1,0)</f>
        <v/>
      </c>
      <c r="AZ2184">
        <f>IF(EH2184&lt;&gt;"",1,0)</f>
        <v/>
      </c>
      <c r="BB2184" t="inlineStr">
        <is>
          <t>WARREN-WARD 4</t>
        </is>
      </c>
    </row>
    <row r="2185">
      <c r="A2185" t="inlineStr">
        <is>
          <t>OH0024785339</t>
        </is>
      </c>
      <c r="B2185" t="n">
        <v>78</v>
      </c>
      <c r="C2185" t="n">
        <v>435023</v>
      </c>
      <c r="D2185" t="inlineStr">
        <is>
          <t>RUCKER</t>
        </is>
      </c>
      <c r="E2185" t="inlineStr">
        <is>
          <t>BRENDA</t>
        </is>
      </c>
      <c r="F2185">
        <f>CONCATENATE(D2185," ",LEFT(H2185,4),"T=",AU2185,"D=",AV2185,"R=",AW2185,"M=",AX2185,"L=",AY2185,"B=",AZ2185)</f>
        <v/>
      </c>
      <c r="G2185" t="inlineStr">
        <is>
          <t>ANN</t>
        </is>
      </c>
      <c r="I2185" t="inlineStr">
        <is>
          <t>1958-06-10</t>
        </is>
      </c>
      <c r="J2185" t="inlineStr">
        <is>
          <t>2018-09-07</t>
        </is>
      </c>
      <c r="K2185" t="inlineStr">
        <is>
          <t>CONFIRMATION</t>
        </is>
      </c>
      <c r="M2185" t="inlineStr">
        <is>
          <t>1056 HOMEWOOD AVE SE</t>
        </is>
      </c>
      <c r="N2185">
        <f>RIGHT(M2185,LEN(M2185)-FIND(" ",M2185))</f>
        <v/>
      </c>
      <c r="P2185" t="inlineStr">
        <is>
          <t>WARREN</t>
        </is>
      </c>
      <c r="Q2185" t="inlineStr">
        <is>
          <t>OH</t>
        </is>
      </c>
      <c r="R2185" t="n">
        <v>44484</v>
      </c>
      <c r="AD2185" t="inlineStr">
        <is>
          <t>TRUMBULL CAREER &amp; TECH CENTER</t>
        </is>
      </c>
      <c r="AE2185" t="inlineStr">
        <is>
          <t>WARREN CITY</t>
        </is>
      </c>
      <c r="AF2185" t="inlineStr">
        <is>
          <t>WARREN CITY SD</t>
        </is>
      </c>
      <c r="AH2185" t="n">
        <v>14</v>
      </c>
      <c r="AI2185" t="n">
        <v>11</v>
      </c>
      <c r="AN2185" t="inlineStr">
        <is>
          <t>WARREN</t>
        </is>
      </c>
      <c r="AO2185" t="inlineStr">
        <is>
          <t>WARREN CITY 4F</t>
        </is>
      </c>
      <c r="AP2185" t="inlineStr">
        <is>
          <t>78-P-ADN</t>
        </is>
      </c>
      <c r="AQ2185" t="n">
        <v>9</v>
      </c>
      <c r="AR2185" t="n">
        <v>64</v>
      </c>
      <c r="AS2185" t="n">
        <v>32</v>
      </c>
      <c r="AU2185">
        <f>COUNTA($BA$2185:$EH$2185)</f>
        <v/>
      </c>
      <c r="AV2185">
        <f>COUNTIF($BA$2185:$EH$2185,"D")</f>
        <v/>
      </c>
      <c r="AW2185">
        <f>COUNTIF($BA$2185:$EH$2185,"R")</f>
        <v/>
      </c>
      <c r="AX2185">
        <f>IF(BN2185="D",1,0)+IF(BO2185="D",1,0)+IF(BT2185="D",1,0)+IF(BU2185="D",1,0)+IF(BW2185="D",1,0)+IF(CC2185="D",1,0)+IF(CD2185="D",1,0)+IF(CE2185="D",1,0)+IF(CF2185="D",1,0)+IF(CL2185="D",1,0)+IF(CM2185="D",1,0)+IF(CQ2185="D",1,0)+IF(CR2185="D",1,0)+IF(CS2185="D",1,0)+IF(CW2185="D",1,0)+IF(CX2185="D",1,0)+IF(DD2185="D",1,0)+IF(DE2185="D",1,0)+IF(DJ2185="D",1,0)+IF(DK2185="D",1,0)+IF(DO2185="D",1,0)+IF(DP2185="D",1,0)+IF(DQ2185="D",1,0)+IF(DW2185="D",1,0)+IF(DZ2185="D",1,0)+IF(EH2185="D",1,0)</f>
        <v/>
      </c>
      <c r="AY2185">
        <f>IF(DJ2185&lt;&gt;"",1,0)+IF(DK2185&lt;&gt;"",1,0)+IF(DM2185&lt;&gt;"",1,0)+IF(DO2185&lt;&gt;"",1,0)+IF(DP2185&lt;&gt;"",1,0)+IF(DQ2185&lt;&gt;"",1,0)+IF(DS2185&lt;&gt;"",1,0)+IF(DT2185&lt;&gt;"",1,0)+IF(DV2185&lt;&gt;"",1,0)+IF(DW2185&lt;&gt;"",1,0)+IF(DX2185&lt;&gt;"",1,0)+IF(DY2185&lt;&gt;"",1,0)+IF(DZ2185&lt;&gt;"",1,0)+IF(EB2185&lt;&gt;"",1,0)+IF(EC2185&lt;&gt;"",1,0)+IF(ED2185&lt;&gt;"",1,0)+IF(EG2185&lt;&gt;"",1,0)+IF(EH2185&lt;&gt;"",1,0)</f>
        <v/>
      </c>
      <c r="AZ2185">
        <f>IF(EH2185&lt;&gt;"",1,0)</f>
        <v/>
      </c>
      <c r="BB2185" t="inlineStr">
        <is>
          <t>WARREN-WARD 4</t>
        </is>
      </c>
      <c r="BD2185" t="inlineStr">
        <is>
          <t>X</t>
        </is>
      </c>
      <c r="BE2185" t="inlineStr">
        <is>
          <t>X</t>
        </is>
      </c>
      <c r="BH2185" t="inlineStr">
        <is>
          <t>X</t>
        </is>
      </c>
      <c r="BL2185" t="inlineStr">
        <is>
          <t>X</t>
        </is>
      </c>
      <c r="BS2185" t="inlineStr">
        <is>
          <t>X</t>
        </is>
      </c>
      <c r="CA2185" t="inlineStr">
        <is>
          <t>X</t>
        </is>
      </c>
    </row>
    <row r="2186">
      <c r="A2186" t="inlineStr">
        <is>
          <t>OH0023741380</t>
        </is>
      </c>
      <c r="B2186" t="n">
        <v>78</v>
      </c>
      <c r="C2186" t="n">
        <v>417124</v>
      </c>
      <c r="D2186" t="inlineStr">
        <is>
          <t>TANNER</t>
        </is>
      </c>
      <c r="E2186" t="inlineStr">
        <is>
          <t>CHERYL</t>
        </is>
      </c>
      <c r="F2186">
        <f>CONCATENATE(D2186," ",LEFT(H2186,4),"T=",AU2186,"D=",AV2186,"R=",AW2186,"M=",AX2186,"L=",AY2186,"B=",AZ2186)</f>
        <v/>
      </c>
      <c r="G2186" t="inlineStr">
        <is>
          <t>A</t>
        </is>
      </c>
      <c r="I2186" t="inlineStr">
        <is>
          <t>1959-12-18</t>
        </is>
      </c>
      <c r="J2186" t="inlineStr">
        <is>
          <t>2021-07-20</t>
        </is>
      </c>
      <c r="K2186" t="inlineStr">
        <is>
          <t>CONFIRMATION</t>
        </is>
      </c>
      <c r="M2186" t="inlineStr">
        <is>
          <t>1517 TRANSYLVANIA AVE SE</t>
        </is>
      </c>
      <c r="N2186">
        <f>RIGHT(M2186,LEN(M2186)-FIND(" ",M2186))</f>
        <v/>
      </c>
      <c r="P2186" t="inlineStr">
        <is>
          <t>WARREN</t>
        </is>
      </c>
      <c r="Q2186" t="inlineStr">
        <is>
          <t>OH</t>
        </is>
      </c>
      <c r="R2186" t="n">
        <v>44484</v>
      </c>
      <c r="AD2186" t="inlineStr">
        <is>
          <t>TRUMBULL CAREER &amp; TECH CENTER</t>
        </is>
      </c>
      <c r="AE2186" t="inlineStr">
        <is>
          <t>WARREN CITY</t>
        </is>
      </c>
      <c r="AF2186" t="inlineStr">
        <is>
          <t>WARREN CITY SD</t>
        </is>
      </c>
      <c r="AH2186" t="n">
        <v>14</v>
      </c>
      <c r="AI2186" t="n">
        <v>11</v>
      </c>
      <c r="AN2186" t="inlineStr">
        <is>
          <t>WARREN</t>
        </is>
      </c>
      <c r="AO2186" t="inlineStr">
        <is>
          <t>WARREN CITY 4F</t>
        </is>
      </c>
      <c r="AP2186" t="inlineStr">
        <is>
          <t>78-P-ADN</t>
        </is>
      </c>
      <c r="AQ2186" t="n">
        <v>9</v>
      </c>
      <c r="AR2186" t="n">
        <v>64</v>
      </c>
      <c r="AS2186" t="n">
        <v>32</v>
      </c>
      <c r="AU2186">
        <f>COUNTA($BA$2186:$EH$2186)</f>
        <v/>
      </c>
      <c r="AV2186">
        <f>COUNTIF($BA$2186:$EH$2186,"D")</f>
        <v/>
      </c>
      <c r="AW2186">
        <f>COUNTIF($BA$2186:$EH$2186,"R")</f>
        <v/>
      </c>
      <c r="AX2186">
        <f>IF(BN2186="D",1,0)+IF(BO2186="D",1,0)+IF(BT2186="D",1,0)+IF(BU2186="D",1,0)+IF(BW2186="D",1,0)+IF(CC2186="D",1,0)+IF(CD2186="D",1,0)+IF(CE2186="D",1,0)+IF(CF2186="D",1,0)+IF(CL2186="D",1,0)+IF(CM2186="D",1,0)+IF(CQ2186="D",1,0)+IF(CR2186="D",1,0)+IF(CS2186="D",1,0)+IF(CW2186="D",1,0)+IF(CX2186="D",1,0)+IF(DD2186="D",1,0)+IF(DE2186="D",1,0)+IF(DJ2186="D",1,0)+IF(DK2186="D",1,0)+IF(DO2186="D",1,0)+IF(DP2186="D",1,0)+IF(DQ2186="D",1,0)+IF(DW2186="D",1,0)+IF(DZ2186="D",1,0)+IF(EH2186="D",1,0)</f>
        <v/>
      </c>
      <c r="AY2186">
        <f>IF(DJ2186&lt;&gt;"",1,0)+IF(DK2186&lt;&gt;"",1,0)+IF(DM2186&lt;&gt;"",1,0)+IF(DO2186&lt;&gt;"",1,0)+IF(DP2186&lt;&gt;"",1,0)+IF(DQ2186&lt;&gt;"",1,0)+IF(DS2186&lt;&gt;"",1,0)+IF(DT2186&lt;&gt;"",1,0)+IF(DV2186&lt;&gt;"",1,0)+IF(DW2186&lt;&gt;"",1,0)+IF(DX2186&lt;&gt;"",1,0)+IF(DY2186&lt;&gt;"",1,0)+IF(DZ2186&lt;&gt;"",1,0)+IF(EB2186&lt;&gt;"",1,0)+IF(EC2186&lt;&gt;"",1,0)+IF(ED2186&lt;&gt;"",1,0)+IF(EG2186&lt;&gt;"",1,0)+IF(EH2186&lt;&gt;"",1,0)</f>
        <v/>
      </c>
      <c r="AZ2186">
        <f>IF(EH2186&lt;&gt;"",1,0)</f>
        <v/>
      </c>
      <c r="BB2186" t="inlineStr">
        <is>
          <t>WARREN-WARD 4</t>
        </is>
      </c>
    </row>
    <row r="2187">
      <c r="A2187" t="inlineStr">
        <is>
          <t>OH0026850576</t>
        </is>
      </c>
      <c r="B2187" t="n">
        <v>78</v>
      </c>
      <c r="C2187" t="n">
        <v>472427</v>
      </c>
      <c r="D2187" t="inlineStr">
        <is>
          <t>KENNEDY</t>
        </is>
      </c>
      <c r="E2187" t="inlineStr">
        <is>
          <t>KATINA</t>
        </is>
      </c>
      <c r="F2187">
        <f>CONCATENATE(D2187," ",LEFT(H2187,4),"T=",AU2187,"D=",AV2187,"R=",AW2187,"M=",AX2187,"L=",AY2187,"B=",AZ2187)</f>
        <v/>
      </c>
      <c r="G2187" t="inlineStr">
        <is>
          <t>MARIE</t>
        </is>
      </c>
      <c r="I2187" t="inlineStr">
        <is>
          <t>1974-03-24</t>
        </is>
      </c>
      <c r="J2187" t="inlineStr">
        <is>
          <t>2023-03-20</t>
        </is>
      </c>
      <c r="K2187" t="inlineStr">
        <is>
          <t>ACTIVE</t>
        </is>
      </c>
      <c r="L2187" t="inlineStr">
        <is>
          <t>D</t>
        </is>
      </c>
      <c r="M2187" t="inlineStr">
        <is>
          <t>1548 OAK KNOLL AVE SE</t>
        </is>
      </c>
      <c r="N2187">
        <f>RIGHT(M2187,LEN(M2187)-FIND(" ",M2187))</f>
        <v/>
      </c>
      <c r="P2187" t="inlineStr">
        <is>
          <t>WARREN</t>
        </is>
      </c>
      <c r="Q2187" t="inlineStr">
        <is>
          <t>OH</t>
        </is>
      </c>
      <c r="R2187" t="n">
        <v>44484</v>
      </c>
      <c r="AD2187" t="inlineStr">
        <is>
          <t>TRUMBULL CAREER &amp; TECH CENTER</t>
        </is>
      </c>
      <c r="AE2187" t="inlineStr">
        <is>
          <t>WARREN CITY</t>
        </is>
      </c>
      <c r="AF2187" t="inlineStr">
        <is>
          <t>WARREN CITY SD</t>
        </is>
      </c>
      <c r="AH2187" t="n">
        <v>14</v>
      </c>
      <c r="AI2187" t="n">
        <v>11</v>
      </c>
      <c r="AN2187" t="inlineStr">
        <is>
          <t>WARREN</t>
        </is>
      </c>
      <c r="AO2187" t="inlineStr">
        <is>
          <t>WARREN CITY 4F</t>
        </is>
      </c>
      <c r="AP2187" t="inlineStr">
        <is>
          <t>78-P-ADN</t>
        </is>
      </c>
      <c r="AQ2187" t="n">
        <v>9</v>
      </c>
      <c r="AR2187" t="n">
        <v>64</v>
      </c>
      <c r="AS2187" t="n">
        <v>32</v>
      </c>
      <c r="AU2187">
        <f>COUNTA($BA$2187:$EH$2187)</f>
        <v/>
      </c>
      <c r="AV2187">
        <f>COUNTIF($BA$2187:$EH$2187,"D")</f>
        <v/>
      </c>
      <c r="AW2187">
        <f>COUNTIF($BA$2187:$EH$2187,"R")</f>
        <v/>
      </c>
      <c r="AX2187">
        <f>IF(BN2187="D",1,0)+IF(BO2187="D",1,0)+IF(BT2187="D",1,0)+IF(BU2187="D",1,0)+IF(BW2187="D",1,0)+IF(CC2187="D",1,0)+IF(CD2187="D",1,0)+IF(CE2187="D",1,0)+IF(CF2187="D",1,0)+IF(CL2187="D",1,0)+IF(CM2187="D",1,0)+IF(CQ2187="D",1,0)+IF(CR2187="D",1,0)+IF(CS2187="D",1,0)+IF(CW2187="D",1,0)+IF(CX2187="D",1,0)+IF(DD2187="D",1,0)+IF(DE2187="D",1,0)+IF(DJ2187="D",1,0)+IF(DK2187="D",1,0)+IF(DO2187="D",1,0)+IF(DP2187="D",1,0)+IF(DQ2187="D",1,0)+IF(DW2187="D",1,0)+IF(DZ2187="D",1,0)+IF(EH2187="D",1,0)</f>
        <v/>
      </c>
      <c r="AY2187">
        <f>IF(DJ2187&lt;&gt;"",1,0)+IF(DK2187&lt;&gt;"",1,0)+IF(DM2187&lt;&gt;"",1,0)+IF(DO2187&lt;&gt;"",1,0)+IF(DP2187&lt;&gt;"",1,0)+IF(DQ2187&lt;&gt;"",1,0)+IF(DS2187&lt;&gt;"",1,0)+IF(DT2187&lt;&gt;"",1,0)+IF(DV2187&lt;&gt;"",1,0)+IF(DW2187&lt;&gt;"",1,0)+IF(DX2187&lt;&gt;"",1,0)+IF(DY2187&lt;&gt;"",1,0)+IF(DZ2187&lt;&gt;"",1,0)+IF(EB2187&lt;&gt;"",1,0)+IF(EC2187&lt;&gt;"",1,0)+IF(ED2187&lt;&gt;"",1,0)+IF(EG2187&lt;&gt;"",1,0)+IF(EH2187&lt;&gt;"",1,0)</f>
        <v/>
      </c>
      <c r="AZ2187">
        <f>IF(EH2187&lt;&gt;"",1,0)</f>
        <v/>
      </c>
      <c r="BB2187" t="inlineStr">
        <is>
          <t>WARREN-WARD 4</t>
        </is>
      </c>
      <c r="DW2187" t="inlineStr">
        <is>
          <t>D</t>
        </is>
      </c>
    </row>
    <row r="2188">
      <c r="A2188" t="inlineStr">
        <is>
          <t>OH0015744853</t>
        </is>
      </c>
      <c r="B2188" t="n">
        <v>78</v>
      </c>
      <c r="C2188" t="n">
        <v>330983</v>
      </c>
      <c r="D2188" t="inlineStr">
        <is>
          <t>LAUGHLIN</t>
        </is>
      </c>
      <c r="E2188" t="inlineStr">
        <is>
          <t>LILLIAN</t>
        </is>
      </c>
      <c r="F2188">
        <f>CONCATENATE(D2188," ",LEFT(H2188,4),"T=",AU2188,"D=",AV2188,"R=",AW2188,"M=",AX2188,"L=",AY2188,"B=",AZ2188)</f>
        <v/>
      </c>
      <c r="G2188" t="inlineStr">
        <is>
          <t>M</t>
        </is>
      </c>
      <c r="I2188" t="inlineStr">
        <is>
          <t>1960-04-04</t>
        </is>
      </c>
      <c r="J2188" t="inlineStr">
        <is>
          <t>2018-01-30</t>
        </is>
      </c>
      <c r="K2188" t="inlineStr">
        <is>
          <t>ACTIVE</t>
        </is>
      </c>
      <c r="L2188" t="inlineStr">
        <is>
          <t>R</t>
        </is>
      </c>
      <c r="M2188" t="inlineStr">
        <is>
          <t>1130 WOODBINE AVE SE</t>
        </is>
      </c>
      <c r="N2188">
        <f>RIGHT(M2188,LEN(M2188)-FIND(" ",M2188))</f>
        <v/>
      </c>
      <c r="P2188" t="inlineStr">
        <is>
          <t>WARREN</t>
        </is>
      </c>
      <c r="Q2188" t="inlineStr">
        <is>
          <t>OH</t>
        </is>
      </c>
      <c r="R2188" t="n">
        <v>44484</v>
      </c>
      <c r="AD2188" t="inlineStr">
        <is>
          <t>TRUMBULL CAREER &amp; TECH CENTER</t>
        </is>
      </c>
      <c r="AE2188" t="inlineStr">
        <is>
          <t>WARREN CITY</t>
        </is>
      </c>
      <c r="AF2188" t="inlineStr">
        <is>
          <t>WARREN CITY SD</t>
        </is>
      </c>
      <c r="AH2188" t="n">
        <v>14</v>
      </c>
      <c r="AI2188" t="n">
        <v>11</v>
      </c>
      <c r="AN2188" t="inlineStr">
        <is>
          <t>WARREN</t>
        </is>
      </c>
      <c r="AO2188" t="inlineStr">
        <is>
          <t>WARREN CITY 4F</t>
        </is>
      </c>
      <c r="AP2188" t="inlineStr">
        <is>
          <t>78-P-ADN</t>
        </is>
      </c>
      <c r="AQ2188" t="n">
        <v>9</v>
      </c>
      <c r="AR2188" t="n">
        <v>64</v>
      </c>
      <c r="AS2188" t="n">
        <v>32</v>
      </c>
      <c r="AU2188">
        <f>COUNTA($BA$2188:$EH$2188)</f>
        <v/>
      </c>
      <c r="AV2188">
        <f>COUNTIF($BA$2188:$EH$2188,"D")</f>
        <v/>
      </c>
      <c r="AW2188">
        <f>COUNTIF($BA$2188:$EH$2188,"R")</f>
        <v/>
      </c>
      <c r="AX2188">
        <f>IF(BN2188="D",1,0)+IF(BO2188="D",1,0)+IF(BT2188="D",1,0)+IF(BU2188="D",1,0)+IF(BW2188="D",1,0)+IF(CC2188="D",1,0)+IF(CD2188="D",1,0)+IF(CE2188="D",1,0)+IF(CF2188="D",1,0)+IF(CL2188="D",1,0)+IF(CM2188="D",1,0)+IF(CQ2188="D",1,0)+IF(CR2188="D",1,0)+IF(CS2188="D",1,0)+IF(CW2188="D",1,0)+IF(CX2188="D",1,0)+IF(DD2188="D",1,0)+IF(DE2188="D",1,0)+IF(DJ2188="D",1,0)+IF(DK2188="D",1,0)+IF(DO2188="D",1,0)+IF(DP2188="D",1,0)+IF(DQ2188="D",1,0)+IF(DW2188="D",1,0)+IF(DZ2188="D",1,0)+IF(EH2188="D",1,0)</f>
        <v/>
      </c>
      <c r="AY2188">
        <f>IF(DJ2188&lt;&gt;"",1,0)+IF(DK2188&lt;&gt;"",1,0)+IF(DM2188&lt;&gt;"",1,0)+IF(DO2188&lt;&gt;"",1,0)+IF(DP2188&lt;&gt;"",1,0)+IF(DQ2188&lt;&gt;"",1,0)+IF(DS2188&lt;&gt;"",1,0)+IF(DT2188&lt;&gt;"",1,0)+IF(DV2188&lt;&gt;"",1,0)+IF(DW2188&lt;&gt;"",1,0)+IF(DX2188&lt;&gt;"",1,0)+IF(DY2188&lt;&gt;"",1,0)+IF(DZ2188&lt;&gt;"",1,0)+IF(EB2188&lt;&gt;"",1,0)+IF(EC2188&lt;&gt;"",1,0)+IF(ED2188&lt;&gt;"",1,0)+IF(EG2188&lt;&gt;"",1,0)+IF(EH2188&lt;&gt;"",1,0)</f>
        <v/>
      </c>
      <c r="AZ2188">
        <f>IF(EH2188&lt;&gt;"",1,0)</f>
        <v/>
      </c>
      <c r="BB2188" t="inlineStr">
        <is>
          <t>WARREN-WARD 4</t>
        </is>
      </c>
      <c r="BL2188" t="inlineStr">
        <is>
          <t>X</t>
        </is>
      </c>
      <c r="BP2188" t="inlineStr">
        <is>
          <t>X</t>
        </is>
      </c>
      <c r="BR2188" t="inlineStr">
        <is>
          <t>X</t>
        </is>
      </c>
      <c r="BS2188" t="inlineStr">
        <is>
          <t>X</t>
        </is>
      </c>
      <c r="CA2188" t="inlineStr">
        <is>
          <t>X</t>
        </is>
      </c>
      <c r="CG2188" t="inlineStr">
        <is>
          <t>X</t>
        </is>
      </c>
      <c r="CK2188" t="inlineStr">
        <is>
          <t>X</t>
        </is>
      </c>
      <c r="CN2188" t="inlineStr">
        <is>
          <t>X</t>
        </is>
      </c>
      <c r="CP2188" t="inlineStr">
        <is>
          <t>X</t>
        </is>
      </c>
      <c r="CQ2188" t="inlineStr">
        <is>
          <t>D</t>
        </is>
      </c>
      <c r="CZ2188" t="inlineStr">
        <is>
          <t>D</t>
        </is>
      </c>
      <c r="DC2188" t="inlineStr">
        <is>
          <t>X</t>
        </is>
      </c>
      <c r="DF2188" t="inlineStr">
        <is>
          <t>X</t>
        </is>
      </c>
      <c r="DI2188" t="inlineStr">
        <is>
          <t>X</t>
        </is>
      </c>
      <c r="DJ2188" t="inlineStr">
        <is>
          <t>D</t>
        </is>
      </c>
      <c r="DL2188" t="inlineStr">
        <is>
          <t>X</t>
        </is>
      </c>
      <c r="DM2188" t="inlineStr">
        <is>
          <t>D</t>
        </is>
      </c>
      <c r="DN2188" t="inlineStr">
        <is>
          <t>X</t>
        </is>
      </c>
      <c r="DR2188" t="inlineStr">
        <is>
          <t>X</t>
        </is>
      </c>
      <c r="DS2188" t="inlineStr">
        <is>
          <t>R</t>
        </is>
      </c>
      <c r="DT2188" t="inlineStr">
        <is>
          <t>R</t>
        </is>
      </c>
      <c r="DU2188" t="inlineStr">
        <is>
          <t>X</t>
        </is>
      </c>
      <c r="DW2188" t="inlineStr">
        <is>
          <t>D</t>
        </is>
      </c>
      <c r="DX2188" t="inlineStr">
        <is>
          <t>X</t>
        </is>
      </c>
      <c r="EA2188" t="inlineStr">
        <is>
          <t>X</t>
        </is>
      </c>
      <c r="ED2188" t="inlineStr">
        <is>
          <t>R</t>
        </is>
      </c>
      <c r="EF2188" t="inlineStr">
        <is>
          <t>X</t>
        </is>
      </c>
    </row>
    <row r="2189">
      <c r="A2189" t="inlineStr">
        <is>
          <t>OH0015740251</t>
        </is>
      </c>
      <c r="B2189" t="n">
        <v>78</v>
      </c>
      <c r="C2189" t="n">
        <v>331648</v>
      </c>
      <c r="D2189" t="inlineStr">
        <is>
          <t>RASKOV</t>
        </is>
      </c>
      <c r="E2189" t="inlineStr">
        <is>
          <t>BARBARA</t>
        </is>
      </c>
      <c r="F2189">
        <f>CONCATENATE(D2189," ",LEFT(H2189,4),"T=",AU2189,"D=",AV2189,"R=",AW2189,"M=",AX2189,"L=",AY2189,"B=",AZ2189)</f>
        <v/>
      </c>
      <c r="G2189" t="inlineStr">
        <is>
          <t>A</t>
        </is>
      </c>
      <c r="I2189" t="inlineStr">
        <is>
          <t>1962-07-22</t>
        </is>
      </c>
      <c r="J2189" t="inlineStr">
        <is>
          <t>2004-09-30</t>
        </is>
      </c>
      <c r="K2189" t="inlineStr">
        <is>
          <t>ACTIVE</t>
        </is>
      </c>
      <c r="M2189" t="inlineStr">
        <is>
          <t>1507 WOODBINE AVE SE</t>
        </is>
      </c>
      <c r="N2189">
        <f>RIGHT(M2189,LEN(M2189)-FIND(" ",M2189))</f>
        <v/>
      </c>
      <c r="P2189" t="inlineStr">
        <is>
          <t>WARREN</t>
        </is>
      </c>
      <c r="Q2189" t="inlineStr">
        <is>
          <t>OH</t>
        </is>
      </c>
      <c r="R2189" t="n">
        <v>44484</v>
      </c>
      <c r="AD2189" t="inlineStr">
        <is>
          <t>TRUMBULL CAREER &amp; TECH CENTER</t>
        </is>
      </c>
      <c r="AE2189" t="inlineStr">
        <is>
          <t>WARREN CITY</t>
        </is>
      </c>
      <c r="AF2189" t="inlineStr">
        <is>
          <t>WARREN CITY SD</t>
        </is>
      </c>
      <c r="AH2189" t="n">
        <v>14</v>
      </c>
      <c r="AI2189" t="n">
        <v>11</v>
      </c>
      <c r="AN2189" t="inlineStr">
        <is>
          <t>WARREN</t>
        </is>
      </c>
      <c r="AO2189" t="inlineStr">
        <is>
          <t>WARREN CITY 4F</t>
        </is>
      </c>
      <c r="AP2189" t="inlineStr">
        <is>
          <t>78-P-ADN</t>
        </is>
      </c>
      <c r="AQ2189" t="n">
        <v>9</v>
      </c>
      <c r="AR2189" t="n">
        <v>64</v>
      </c>
      <c r="AS2189" t="n">
        <v>32</v>
      </c>
      <c r="AU2189">
        <f>COUNTA($BA$2189:$EH$2189)</f>
        <v/>
      </c>
      <c r="AV2189">
        <f>COUNTIF($BA$2189:$EH$2189,"D")</f>
        <v/>
      </c>
      <c r="AW2189">
        <f>COUNTIF($BA$2189:$EH$2189,"R")</f>
        <v/>
      </c>
      <c r="AX2189">
        <f>IF(BN2189="D",1,0)+IF(BO2189="D",1,0)+IF(BT2189="D",1,0)+IF(BU2189="D",1,0)+IF(BW2189="D",1,0)+IF(CC2189="D",1,0)+IF(CD2189="D",1,0)+IF(CE2189="D",1,0)+IF(CF2189="D",1,0)+IF(CL2189="D",1,0)+IF(CM2189="D",1,0)+IF(CQ2189="D",1,0)+IF(CR2189="D",1,0)+IF(CS2189="D",1,0)+IF(CW2189="D",1,0)+IF(CX2189="D",1,0)+IF(DD2189="D",1,0)+IF(DE2189="D",1,0)+IF(DJ2189="D",1,0)+IF(DK2189="D",1,0)+IF(DO2189="D",1,0)+IF(DP2189="D",1,0)+IF(DQ2189="D",1,0)+IF(DW2189="D",1,0)+IF(DZ2189="D",1,0)+IF(EH2189="D",1,0)</f>
        <v/>
      </c>
      <c r="AY2189">
        <f>IF(DJ2189&lt;&gt;"",1,0)+IF(DK2189&lt;&gt;"",1,0)+IF(DM2189&lt;&gt;"",1,0)+IF(DO2189&lt;&gt;"",1,0)+IF(DP2189&lt;&gt;"",1,0)+IF(DQ2189&lt;&gt;"",1,0)+IF(DS2189&lt;&gt;"",1,0)+IF(DT2189&lt;&gt;"",1,0)+IF(DV2189&lt;&gt;"",1,0)+IF(DW2189&lt;&gt;"",1,0)+IF(DX2189&lt;&gt;"",1,0)+IF(DY2189&lt;&gt;"",1,0)+IF(DZ2189&lt;&gt;"",1,0)+IF(EB2189&lt;&gt;"",1,0)+IF(EC2189&lt;&gt;"",1,0)+IF(ED2189&lt;&gt;"",1,0)+IF(EG2189&lt;&gt;"",1,0)+IF(EH2189&lt;&gt;"",1,0)</f>
        <v/>
      </c>
      <c r="AZ2189">
        <f>IF(EH2189&lt;&gt;"",1,0)</f>
        <v/>
      </c>
      <c r="BB2189" t="inlineStr">
        <is>
          <t>WARREN-WARD 4</t>
        </is>
      </c>
      <c r="BL2189" t="inlineStr">
        <is>
          <t>X</t>
        </is>
      </c>
      <c r="BS2189" t="inlineStr">
        <is>
          <t>X</t>
        </is>
      </c>
      <c r="BY2189" t="inlineStr">
        <is>
          <t>D</t>
        </is>
      </c>
      <c r="CA2189" t="inlineStr">
        <is>
          <t>X</t>
        </is>
      </c>
      <c r="CG2189" t="inlineStr">
        <is>
          <t>X</t>
        </is>
      </c>
      <c r="CK2189" t="inlineStr">
        <is>
          <t>X</t>
        </is>
      </c>
      <c r="CP2189" t="inlineStr">
        <is>
          <t>X</t>
        </is>
      </c>
      <c r="CY2189" t="inlineStr">
        <is>
          <t>X</t>
        </is>
      </c>
      <c r="CZ2189" t="inlineStr">
        <is>
          <t>D</t>
        </is>
      </c>
      <c r="DC2189" t="inlineStr">
        <is>
          <t>X</t>
        </is>
      </c>
      <c r="DI2189" t="inlineStr">
        <is>
          <t>X</t>
        </is>
      </c>
      <c r="DN2189" t="inlineStr">
        <is>
          <t>X</t>
        </is>
      </c>
      <c r="DU2189" t="inlineStr">
        <is>
          <t>X</t>
        </is>
      </c>
      <c r="DX2189" t="inlineStr">
        <is>
          <t>X</t>
        </is>
      </c>
      <c r="EA2189" t="inlineStr">
        <is>
          <t>X</t>
        </is>
      </c>
      <c r="EF2189" t="inlineStr">
        <is>
          <t>X</t>
        </is>
      </c>
    </row>
    <row r="2190">
      <c r="A2190" t="inlineStr">
        <is>
          <t>OH0027508498</t>
        </is>
      </c>
      <c r="B2190" t="n">
        <v>78</v>
      </c>
      <c r="C2190" t="n">
        <v>487368</v>
      </c>
      <c r="D2190" t="inlineStr">
        <is>
          <t>PIFER</t>
        </is>
      </c>
      <c r="E2190" t="inlineStr">
        <is>
          <t>AYDEN</t>
        </is>
      </c>
      <c r="F2190">
        <f>CONCATENATE(D2190," ",LEFT(H2190,4),"T=",AU2190,"D=",AV2190,"R=",AW2190,"M=",AX2190,"L=",AY2190,"B=",AZ2190)</f>
        <v/>
      </c>
      <c r="G2190" t="inlineStr">
        <is>
          <t>S</t>
        </is>
      </c>
      <c r="I2190" t="inlineStr">
        <is>
          <t>2004-10-12</t>
        </is>
      </c>
      <c r="J2190" t="inlineStr">
        <is>
          <t>2024-08-08</t>
        </is>
      </c>
      <c r="K2190" t="inlineStr">
        <is>
          <t>ACTIVE</t>
        </is>
      </c>
      <c r="M2190" t="inlineStr">
        <is>
          <t>1504 OAK KNOLL AVE SE</t>
        </is>
      </c>
      <c r="N2190">
        <f>RIGHT(M2190,LEN(M2190)-FIND(" ",M2190))</f>
        <v/>
      </c>
      <c r="P2190" t="inlineStr">
        <is>
          <t>WARREN</t>
        </is>
      </c>
      <c r="Q2190" t="inlineStr">
        <is>
          <t>OH</t>
        </is>
      </c>
      <c r="R2190" t="n">
        <v>44484</v>
      </c>
      <c r="AD2190" t="inlineStr">
        <is>
          <t>TRUMBULL CAREER &amp; TECH CENTER</t>
        </is>
      </c>
      <c r="AE2190" t="inlineStr">
        <is>
          <t>WARREN CITY</t>
        </is>
      </c>
      <c r="AF2190" t="inlineStr">
        <is>
          <t>WARREN CITY SD</t>
        </is>
      </c>
      <c r="AH2190" t="n">
        <v>14</v>
      </c>
      <c r="AI2190" t="n">
        <v>11</v>
      </c>
      <c r="AN2190" t="inlineStr">
        <is>
          <t>WARREN</t>
        </is>
      </c>
      <c r="AO2190" t="inlineStr">
        <is>
          <t>WARREN CITY 4F</t>
        </is>
      </c>
      <c r="AP2190" t="inlineStr">
        <is>
          <t>78-P-ADN</t>
        </is>
      </c>
      <c r="AQ2190" t="n">
        <v>9</v>
      </c>
      <c r="AR2190" t="n">
        <v>64</v>
      </c>
      <c r="AS2190" t="n">
        <v>32</v>
      </c>
      <c r="AU2190">
        <f>COUNTA($BA$2190:$EH$2190)</f>
        <v/>
      </c>
      <c r="AV2190">
        <f>COUNTIF($BA$2190:$EH$2190,"D")</f>
        <v/>
      </c>
      <c r="AW2190">
        <f>COUNTIF($BA$2190:$EH$2190,"R")</f>
        <v/>
      </c>
      <c r="AX2190">
        <f>IF(BN2190="D",1,0)+IF(BO2190="D",1,0)+IF(BT2190="D",1,0)+IF(BU2190="D",1,0)+IF(BW2190="D",1,0)+IF(CC2190="D",1,0)+IF(CD2190="D",1,0)+IF(CE2190="D",1,0)+IF(CF2190="D",1,0)+IF(CL2190="D",1,0)+IF(CM2190="D",1,0)+IF(CQ2190="D",1,0)+IF(CR2190="D",1,0)+IF(CS2190="D",1,0)+IF(CW2190="D",1,0)+IF(CX2190="D",1,0)+IF(DD2190="D",1,0)+IF(DE2190="D",1,0)+IF(DJ2190="D",1,0)+IF(DK2190="D",1,0)+IF(DO2190="D",1,0)+IF(DP2190="D",1,0)+IF(DQ2190="D",1,0)+IF(DW2190="D",1,0)+IF(DZ2190="D",1,0)+IF(EH2190="D",1,0)</f>
        <v/>
      </c>
      <c r="AY2190">
        <f>IF(DJ2190&lt;&gt;"",1,0)+IF(DK2190&lt;&gt;"",1,0)+IF(DM2190&lt;&gt;"",1,0)+IF(DO2190&lt;&gt;"",1,0)+IF(DP2190&lt;&gt;"",1,0)+IF(DQ2190&lt;&gt;"",1,0)+IF(DS2190&lt;&gt;"",1,0)+IF(DT2190&lt;&gt;"",1,0)+IF(DV2190&lt;&gt;"",1,0)+IF(DW2190&lt;&gt;"",1,0)+IF(DX2190&lt;&gt;"",1,0)+IF(DY2190&lt;&gt;"",1,0)+IF(DZ2190&lt;&gt;"",1,0)+IF(EB2190&lt;&gt;"",1,0)+IF(EC2190&lt;&gt;"",1,0)+IF(ED2190&lt;&gt;"",1,0)+IF(EG2190&lt;&gt;"",1,0)+IF(EH2190&lt;&gt;"",1,0)</f>
        <v/>
      </c>
      <c r="AZ2190">
        <f>IF(EH2190&lt;&gt;"",1,0)</f>
        <v/>
      </c>
      <c r="BB2190" t="inlineStr">
        <is>
          <t>WARREN-WARD 4</t>
        </is>
      </c>
      <c r="EF2190" t="inlineStr">
        <is>
          <t>X</t>
        </is>
      </c>
    </row>
    <row r="2191">
      <c r="A2191" t="inlineStr">
        <is>
          <t>OH0024173067</t>
        </is>
      </c>
      <c r="B2191" t="n">
        <v>78</v>
      </c>
      <c r="C2191" t="n">
        <v>423215</v>
      </c>
      <c r="D2191" t="inlineStr">
        <is>
          <t>MOON</t>
        </is>
      </c>
      <c r="E2191" t="inlineStr">
        <is>
          <t>TRAVIS</t>
        </is>
      </c>
      <c r="F2191">
        <f>CONCATENATE(D2191," ",LEFT(H2191,4),"T=",AU2191,"D=",AV2191,"R=",AW2191,"M=",AX2191,"L=",AY2191,"B=",AZ2191)</f>
        <v/>
      </c>
      <c r="G2191" t="inlineStr">
        <is>
          <t>M</t>
        </is>
      </c>
      <c r="I2191" t="inlineStr">
        <is>
          <t>1997-02-08</t>
        </is>
      </c>
      <c r="J2191" t="inlineStr">
        <is>
          <t>2020-10-05</t>
        </is>
      </c>
      <c r="K2191" t="inlineStr">
        <is>
          <t>CONFIRMATION</t>
        </is>
      </c>
      <c r="M2191" t="inlineStr">
        <is>
          <t>1627 WOODBINE AVE SE</t>
        </is>
      </c>
      <c r="N2191">
        <f>RIGHT(M2191,LEN(M2191)-FIND(" ",M2191))</f>
        <v/>
      </c>
      <c r="P2191" t="inlineStr">
        <is>
          <t>WARREN</t>
        </is>
      </c>
      <c r="Q2191" t="inlineStr">
        <is>
          <t>OH</t>
        </is>
      </c>
      <c r="R2191" t="n">
        <v>44484</v>
      </c>
      <c r="AD2191" t="inlineStr">
        <is>
          <t>TRUMBULL CAREER &amp; TECH CENTER</t>
        </is>
      </c>
      <c r="AE2191" t="inlineStr">
        <is>
          <t>WARREN CITY</t>
        </is>
      </c>
      <c r="AF2191" t="inlineStr">
        <is>
          <t>WARREN CITY SD</t>
        </is>
      </c>
      <c r="AH2191" t="n">
        <v>14</v>
      </c>
      <c r="AI2191" t="n">
        <v>11</v>
      </c>
      <c r="AN2191" t="inlineStr">
        <is>
          <t>WARREN</t>
        </is>
      </c>
      <c r="AO2191" t="inlineStr">
        <is>
          <t>WARREN CITY 4F</t>
        </is>
      </c>
      <c r="AP2191" t="inlineStr">
        <is>
          <t>78-P-ADN</t>
        </is>
      </c>
      <c r="AQ2191" t="n">
        <v>9</v>
      </c>
      <c r="AR2191" t="n">
        <v>64</v>
      </c>
      <c r="AS2191" t="n">
        <v>32</v>
      </c>
      <c r="AU2191">
        <f>COUNTA($BA$2191:$EH$2191)</f>
        <v/>
      </c>
      <c r="AV2191">
        <f>COUNTIF($BA$2191:$EH$2191,"D")</f>
        <v/>
      </c>
      <c r="AW2191">
        <f>COUNTIF($BA$2191:$EH$2191,"R")</f>
        <v/>
      </c>
      <c r="AX2191">
        <f>IF(BN2191="D",1,0)+IF(BO2191="D",1,0)+IF(BT2191="D",1,0)+IF(BU2191="D",1,0)+IF(BW2191="D",1,0)+IF(CC2191="D",1,0)+IF(CD2191="D",1,0)+IF(CE2191="D",1,0)+IF(CF2191="D",1,0)+IF(CL2191="D",1,0)+IF(CM2191="D",1,0)+IF(CQ2191="D",1,0)+IF(CR2191="D",1,0)+IF(CS2191="D",1,0)+IF(CW2191="D",1,0)+IF(CX2191="D",1,0)+IF(DD2191="D",1,0)+IF(DE2191="D",1,0)+IF(DJ2191="D",1,0)+IF(DK2191="D",1,0)+IF(DO2191="D",1,0)+IF(DP2191="D",1,0)+IF(DQ2191="D",1,0)+IF(DW2191="D",1,0)+IF(DZ2191="D",1,0)+IF(EH2191="D",1,0)</f>
        <v/>
      </c>
      <c r="AY2191">
        <f>IF(DJ2191&lt;&gt;"",1,0)+IF(DK2191&lt;&gt;"",1,0)+IF(DM2191&lt;&gt;"",1,0)+IF(DO2191&lt;&gt;"",1,0)+IF(DP2191&lt;&gt;"",1,0)+IF(DQ2191&lt;&gt;"",1,0)+IF(DS2191&lt;&gt;"",1,0)+IF(DT2191&lt;&gt;"",1,0)+IF(DV2191&lt;&gt;"",1,0)+IF(DW2191&lt;&gt;"",1,0)+IF(DX2191&lt;&gt;"",1,0)+IF(DY2191&lt;&gt;"",1,0)+IF(DZ2191&lt;&gt;"",1,0)+IF(EB2191&lt;&gt;"",1,0)+IF(EC2191&lt;&gt;"",1,0)+IF(ED2191&lt;&gt;"",1,0)+IF(EG2191&lt;&gt;"",1,0)+IF(EH2191&lt;&gt;"",1,0)</f>
        <v/>
      </c>
      <c r="AZ2191">
        <f>IF(EH2191&lt;&gt;"",1,0)</f>
        <v/>
      </c>
      <c r="BB2191" t="inlineStr">
        <is>
          <t>WARREN-WARD 4</t>
        </is>
      </c>
    </row>
    <row r="2192">
      <c r="A2192" t="inlineStr">
        <is>
          <t>OH0022780551</t>
        </is>
      </c>
      <c r="B2192" t="n">
        <v>78</v>
      </c>
      <c r="C2192" t="n">
        <v>402339</v>
      </c>
      <c r="D2192" t="inlineStr">
        <is>
          <t>MCGILL</t>
        </is>
      </c>
      <c r="E2192" t="inlineStr">
        <is>
          <t>CHARLES</t>
        </is>
      </c>
      <c r="F2192">
        <f>CONCATENATE(D2192," ",LEFT(H2192,4),"T=",AU2192,"D=",AV2192,"R=",AW2192,"M=",AX2192,"L=",AY2192,"B=",AZ2192)</f>
        <v/>
      </c>
      <c r="G2192" t="inlineStr">
        <is>
          <t>L</t>
        </is>
      </c>
      <c r="I2192" t="inlineStr">
        <is>
          <t>1956-06-05</t>
        </is>
      </c>
      <c r="J2192" t="inlineStr">
        <is>
          <t>2018-05-18</t>
        </is>
      </c>
      <c r="K2192" t="inlineStr">
        <is>
          <t>ACTIVE</t>
        </is>
      </c>
      <c r="M2192" t="inlineStr">
        <is>
          <t>1061 EAST AVE SE</t>
        </is>
      </c>
      <c r="N2192">
        <f>RIGHT(M2192,LEN(M2192)-FIND(" ",M2192))</f>
        <v/>
      </c>
      <c r="P2192" t="inlineStr">
        <is>
          <t>WARREN</t>
        </is>
      </c>
      <c r="Q2192" t="inlineStr">
        <is>
          <t>OH</t>
        </is>
      </c>
      <c r="R2192" t="n">
        <v>44484</v>
      </c>
      <c r="AD2192" t="inlineStr">
        <is>
          <t>TRUMBULL CAREER &amp; TECH CENTER</t>
        </is>
      </c>
      <c r="AE2192" t="inlineStr">
        <is>
          <t>WARREN CITY</t>
        </is>
      </c>
      <c r="AF2192" t="inlineStr">
        <is>
          <t>WARREN CITY SD</t>
        </is>
      </c>
      <c r="AH2192" t="n">
        <v>14</v>
      </c>
      <c r="AI2192" t="n">
        <v>11</v>
      </c>
      <c r="AN2192" t="inlineStr">
        <is>
          <t>WARREN</t>
        </is>
      </c>
      <c r="AO2192" t="inlineStr">
        <is>
          <t>WARREN CITY 4F</t>
        </is>
      </c>
      <c r="AP2192" t="inlineStr">
        <is>
          <t>78-P-ADN</t>
        </is>
      </c>
      <c r="AQ2192" t="n">
        <v>9</v>
      </c>
      <c r="AR2192" t="n">
        <v>64</v>
      </c>
      <c r="AS2192" t="n">
        <v>32</v>
      </c>
      <c r="AU2192">
        <f>COUNTA($BA$2192:$EH$2192)</f>
        <v/>
      </c>
      <c r="AV2192">
        <f>COUNTIF($BA$2192:$EH$2192,"D")</f>
        <v/>
      </c>
      <c r="AW2192">
        <f>COUNTIF($BA$2192:$EH$2192,"R")</f>
        <v/>
      </c>
      <c r="AX2192">
        <f>IF(BN2192="D",1,0)+IF(BO2192="D",1,0)+IF(BT2192="D",1,0)+IF(BU2192="D",1,0)+IF(BW2192="D",1,0)+IF(CC2192="D",1,0)+IF(CD2192="D",1,0)+IF(CE2192="D",1,0)+IF(CF2192="D",1,0)+IF(CL2192="D",1,0)+IF(CM2192="D",1,0)+IF(CQ2192="D",1,0)+IF(CR2192="D",1,0)+IF(CS2192="D",1,0)+IF(CW2192="D",1,0)+IF(CX2192="D",1,0)+IF(DD2192="D",1,0)+IF(DE2192="D",1,0)+IF(DJ2192="D",1,0)+IF(DK2192="D",1,0)+IF(DO2192="D",1,0)+IF(DP2192="D",1,0)+IF(DQ2192="D",1,0)+IF(DW2192="D",1,0)+IF(DZ2192="D",1,0)+IF(EH2192="D",1,0)</f>
        <v/>
      </c>
      <c r="AY2192">
        <f>IF(DJ2192&lt;&gt;"",1,0)+IF(DK2192&lt;&gt;"",1,0)+IF(DM2192&lt;&gt;"",1,0)+IF(DO2192&lt;&gt;"",1,0)+IF(DP2192&lt;&gt;"",1,0)+IF(DQ2192&lt;&gt;"",1,0)+IF(DS2192&lt;&gt;"",1,0)+IF(DT2192&lt;&gt;"",1,0)+IF(DV2192&lt;&gt;"",1,0)+IF(DW2192&lt;&gt;"",1,0)+IF(DX2192&lt;&gt;"",1,0)+IF(DY2192&lt;&gt;"",1,0)+IF(DZ2192&lt;&gt;"",1,0)+IF(EB2192&lt;&gt;"",1,0)+IF(EC2192&lt;&gt;"",1,0)+IF(ED2192&lt;&gt;"",1,0)+IF(EG2192&lt;&gt;"",1,0)+IF(EH2192&lt;&gt;"",1,0)</f>
        <v/>
      </c>
      <c r="AZ2192">
        <f>IF(EH2192&lt;&gt;"",1,0)</f>
        <v/>
      </c>
      <c r="BB2192" t="inlineStr">
        <is>
          <t>WARREN-WARD 4</t>
        </is>
      </c>
      <c r="DU2192" t="inlineStr">
        <is>
          <t>X</t>
        </is>
      </c>
      <c r="EF2192" t="inlineStr">
        <is>
          <t>X</t>
        </is>
      </c>
    </row>
    <row r="2193">
      <c r="A2193" t="inlineStr">
        <is>
          <t>OH0025752472</t>
        </is>
      </c>
      <c r="B2193" t="n">
        <v>78</v>
      </c>
      <c r="C2193" t="n">
        <v>449875</v>
      </c>
      <c r="D2193" t="inlineStr">
        <is>
          <t>CONNER</t>
        </is>
      </c>
      <c r="E2193" t="inlineStr">
        <is>
          <t>DYLAN</t>
        </is>
      </c>
      <c r="F2193">
        <f>CONCATENATE(D2193," ",LEFT(H2193,4),"T=",AU2193,"D=",AV2193,"R=",AW2193,"M=",AX2193,"L=",AY2193,"B=",AZ2193)</f>
        <v/>
      </c>
      <c r="G2193" t="inlineStr">
        <is>
          <t>M</t>
        </is>
      </c>
      <c r="I2193" t="inlineStr">
        <is>
          <t>1991-12-31</t>
        </is>
      </c>
      <c r="J2193" t="inlineStr">
        <is>
          <t>2020-08-04</t>
        </is>
      </c>
      <c r="K2193" t="inlineStr">
        <is>
          <t>CONFIRMATION</t>
        </is>
      </c>
      <c r="M2193" t="inlineStr">
        <is>
          <t>962 EAST AVE SE</t>
        </is>
      </c>
      <c r="N2193">
        <f>RIGHT(M2193,LEN(M2193)-FIND(" ",M2193))</f>
        <v/>
      </c>
      <c r="P2193" t="inlineStr">
        <is>
          <t>WARREN</t>
        </is>
      </c>
      <c r="Q2193" t="inlineStr">
        <is>
          <t>OH</t>
        </is>
      </c>
      <c r="R2193" t="n">
        <v>44484</v>
      </c>
      <c r="AD2193" t="inlineStr">
        <is>
          <t>TRUMBULL CAREER &amp; TECH CENTER</t>
        </is>
      </c>
      <c r="AE2193" t="inlineStr">
        <is>
          <t>WARREN CITY</t>
        </is>
      </c>
      <c r="AF2193" t="inlineStr">
        <is>
          <t>WARREN CITY SD</t>
        </is>
      </c>
      <c r="AH2193" t="n">
        <v>14</v>
      </c>
      <c r="AI2193" t="n">
        <v>11</v>
      </c>
      <c r="AN2193" t="inlineStr">
        <is>
          <t>WARREN</t>
        </is>
      </c>
      <c r="AO2193" t="inlineStr">
        <is>
          <t>WARREN CITY 4F</t>
        </is>
      </c>
      <c r="AP2193" t="inlineStr">
        <is>
          <t>78-P-ADN</t>
        </is>
      </c>
      <c r="AQ2193" t="n">
        <v>9</v>
      </c>
      <c r="AR2193" t="n">
        <v>64</v>
      </c>
      <c r="AS2193" t="n">
        <v>32</v>
      </c>
      <c r="AU2193">
        <f>COUNTA($BA$2193:$EH$2193)</f>
        <v/>
      </c>
      <c r="AV2193">
        <f>COUNTIF($BA$2193:$EH$2193,"D")</f>
        <v/>
      </c>
      <c r="AW2193">
        <f>COUNTIF($BA$2193:$EH$2193,"R")</f>
        <v/>
      </c>
      <c r="AX2193">
        <f>IF(BN2193="D",1,0)+IF(BO2193="D",1,0)+IF(BT2193="D",1,0)+IF(BU2193="D",1,0)+IF(BW2193="D",1,0)+IF(CC2193="D",1,0)+IF(CD2193="D",1,0)+IF(CE2193="D",1,0)+IF(CF2193="D",1,0)+IF(CL2193="D",1,0)+IF(CM2193="D",1,0)+IF(CQ2193="D",1,0)+IF(CR2193="D",1,0)+IF(CS2193="D",1,0)+IF(CW2193="D",1,0)+IF(CX2193="D",1,0)+IF(DD2193="D",1,0)+IF(DE2193="D",1,0)+IF(DJ2193="D",1,0)+IF(DK2193="D",1,0)+IF(DO2193="D",1,0)+IF(DP2193="D",1,0)+IF(DQ2193="D",1,0)+IF(DW2193="D",1,0)+IF(DZ2193="D",1,0)+IF(EH2193="D",1,0)</f>
        <v/>
      </c>
      <c r="AY2193">
        <f>IF(DJ2193&lt;&gt;"",1,0)+IF(DK2193&lt;&gt;"",1,0)+IF(DM2193&lt;&gt;"",1,0)+IF(DO2193&lt;&gt;"",1,0)+IF(DP2193&lt;&gt;"",1,0)+IF(DQ2193&lt;&gt;"",1,0)+IF(DS2193&lt;&gt;"",1,0)+IF(DT2193&lt;&gt;"",1,0)+IF(DV2193&lt;&gt;"",1,0)+IF(DW2193&lt;&gt;"",1,0)+IF(DX2193&lt;&gt;"",1,0)+IF(DY2193&lt;&gt;"",1,0)+IF(DZ2193&lt;&gt;"",1,0)+IF(EB2193&lt;&gt;"",1,0)+IF(EC2193&lt;&gt;"",1,0)+IF(ED2193&lt;&gt;"",1,0)+IF(EG2193&lt;&gt;"",1,0)+IF(EH2193&lt;&gt;"",1,0)</f>
        <v/>
      </c>
      <c r="AZ2193">
        <f>IF(EH2193&lt;&gt;"",1,0)</f>
        <v/>
      </c>
      <c r="BB2193" t="inlineStr">
        <is>
          <t>WARREN-WARD 4</t>
        </is>
      </c>
    </row>
    <row r="2194">
      <c r="A2194" t="inlineStr">
        <is>
          <t>OH0015704462</t>
        </is>
      </c>
      <c r="B2194" t="n">
        <v>78</v>
      </c>
      <c r="C2194" t="n">
        <v>166079</v>
      </c>
      <c r="D2194" t="inlineStr">
        <is>
          <t>COCKERHAM</t>
        </is>
      </c>
      <c r="E2194" t="inlineStr">
        <is>
          <t>ROZELLE</t>
        </is>
      </c>
      <c r="F2194">
        <f>CONCATENATE(D2194," ",LEFT(H2194,4),"T=",AU2194,"D=",AV2194,"R=",AW2194,"M=",AX2194,"L=",AY2194,"B=",AZ2194)</f>
        <v/>
      </c>
      <c r="I2194" t="inlineStr">
        <is>
          <t>1960-02-26</t>
        </is>
      </c>
      <c r="J2194" t="inlineStr">
        <is>
          <t>2024-11-05</t>
        </is>
      </c>
      <c r="K2194" t="inlineStr">
        <is>
          <t>ACTIVE</t>
        </is>
      </c>
      <c r="M2194" t="inlineStr">
        <is>
          <t>1801 WALLACE ST SE</t>
        </is>
      </c>
      <c r="N2194">
        <f>RIGHT(M2194,LEN(M2194)-FIND(" ",M2194))</f>
        <v/>
      </c>
      <c r="P2194" t="inlineStr">
        <is>
          <t>WARREN</t>
        </is>
      </c>
      <c r="Q2194" t="inlineStr">
        <is>
          <t>OH</t>
        </is>
      </c>
      <c r="R2194" t="n">
        <v>44484</v>
      </c>
      <c r="AD2194" t="inlineStr">
        <is>
          <t>TRUMBULL CAREER &amp; TECH CENTER</t>
        </is>
      </c>
      <c r="AE2194" t="inlineStr">
        <is>
          <t>WARREN CITY</t>
        </is>
      </c>
      <c r="AF2194" t="inlineStr">
        <is>
          <t>WARREN CITY SD</t>
        </is>
      </c>
      <c r="AH2194" t="n">
        <v>14</v>
      </c>
      <c r="AI2194" t="n">
        <v>11</v>
      </c>
      <c r="AN2194" t="inlineStr">
        <is>
          <t>WARREN</t>
        </is>
      </c>
      <c r="AO2194" t="inlineStr">
        <is>
          <t>WARREN CITY 4F</t>
        </is>
      </c>
      <c r="AP2194" t="inlineStr">
        <is>
          <t>78-P-ADN</t>
        </is>
      </c>
      <c r="AQ2194" t="n">
        <v>9</v>
      </c>
      <c r="AR2194" t="n">
        <v>64</v>
      </c>
      <c r="AS2194" t="n">
        <v>32</v>
      </c>
      <c r="AU2194">
        <f>COUNTA($BA$2194:$EH$2194)</f>
        <v/>
      </c>
      <c r="AV2194">
        <f>COUNTIF($BA$2194:$EH$2194,"D")</f>
        <v/>
      </c>
      <c r="AW2194">
        <f>COUNTIF($BA$2194:$EH$2194,"R")</f>
        <v/>
      </c>
      <c r="AX2194">
        <f>IF(BN2194="D",1,0)+IF(BO2194="D",1,0)+IF(BT2194="D",1,0)+IF(BU2194="D",1,0)+IF(BW2194="D",1,0)+IF(CC2194="D",1,0)+IF(CD2194="D",1,0)+IF(CE2194="D",1,0)+IF(CF2194="D",1,0)+IF(CL2194="D",1,0)+IF(CM2194="D",1,0)+IF(CQ2194="D",1,0)+IF(CR2194="D",1,0)+IF(CS2194="D",1,0)+IF(CW2194="D",1,0)+IF(CX2194="D",1,0)+IF(DD2194="D",1,0)+IF(DE2194="D",1,0)+IF(DJ2194="D",1,0)+IF(DK2194="D",1,0)+IF(DO2194="D",1,0)+IF(DP2194="D",1,0)+IF(DQ2194="D",1,0)+IF(DW2194="D",1,0)+IF(DZ2194="D",1,0)+IF(EH2194="D",1,0)</f>
        <v/>
      </c>
      <c r="AY2194">
        <f>IF(DJ2194&lt;&gt;"",1,0)+IF(DK2194&lt;&gt;"",1,0)+IF(DM2194&lt;&gt;"",1,0)+IF(DO2194&lt;&gt;"",1,0)+IF(DP2194&lt;&gt;"",1,0)+IF(DQ2194&lt;&gt;"",1,0)+IF(DS2194&lt;&gt;"",1,0)+IF(DT2194&lt;&gt;"",1,0)+IF(DV2194&lt;&gt;"",1,0)+IF(DW2194&lt;&gt;"",1,0)+IF(DX2194&lt;&gt;"",1,0)+IF(DY2194&lt;&gt;"",1,0)+IF(DZ2194&lt;&gt;"",1,0)+IF(EB2194&lt;&gt;"",1,0)+IF(EC2194&lt;&gt;"",1,0)+IF(ED2194&lt;&gt;"",1,0)+IF(EG2194&lt;&gt;"",1,0)+IF(EH2194&lt;&gt;"",1,0)</f>
        <v/>
      </c>
      <c r="AZ2194">
        <f>IF(EH2194&lt;&gt;"",1,0)</f>
        <v/>
      </c>
      <c r="BB2194" t="inlineStr">
        <is>
          <t>WARREN-WARD 4</t>
        </is>
      </c>
      <c r="BC2194" t="inlineStr">
        <is>
          <t>X</t>
        </is>
      </c>
      <c r="BD2194" t="inlineStr">
        <is>
          <t>X</t>
        </is>
      </c>
      <c r="BH2194" t="inlineStr">
        <is>
          <t>X</t>
        </is>
      </c>
      <c r="BK2194" t="inlineStr">
        <is>
          <t>X</t>
        </is>
      </c>
      <c r="BL2194" t="inlineStr">
        <is>
          <t>X</t>
        </is>
      </c>
      <c r="CA2194" t="inlineStr">
        <is>
          <t>X</t>
        </is>
      </c>
      <c r="CK2194" t="inlineStr">
        <is>
          <t>X</t>
        </is>
      </c>
      <c r="CP2194" t="inlineStr">
        <is>
          <t>X</t>
        </is>
      </c>
      <c r="DC2194" t="inlineStr">
        <is>
          <t>X</t>
        </is>
      </c>
      <c r="DI2194" t="inlineStr">
        <is>
          <t>X</t>
        </is>
      </c>
      <c r="DN2194" t="inlineStr">
        <is>
          <t>X</t>
        </is>
      </c>
      <c r="EF2194" t="inlineStr">
        <is>
          <t>X</t>
        </is>
      </c>
    </row>
    <row r="2195">
      <c r="A2195" t="inlineStr">
        <is>
          <t>OH0025587021</t>
        </is>
      </c>
      <c r="B2195" t="n">
        <v>78</v>
      </c>
      <c r="C2195" t="n">
        <v>446860</v>
      </c>
      <c r="D2195" t="inlineStr">
        <is>
          <t>CROSTEN</t>
        </is>
      </c>
      <c r="E2195" t="inlineStr">
        <is>
          <t>CHARLENE</t>
        </is>
      </c>
      <c r="F2195">
        <f>CONCATENATE(D2195," ",LEFT(H2195,4),"T=",AU2195,"D=",AV2195,"R=",AW2195,"M=",AX2195,"L=",AY2195,"B=",AZ2195)</f>
        <v/>
      </c>
      <c r="G2195" t="inlineStr">
        <is>
          <t>ANN</t>
        </is>
      </c>
      <c r="I2195" t="inlineStr">
        <is>
          <t>1947-06-23</t>
        </is>
      </c>
      <c r="J2195" t="inlineStr">
        <is>
          <t>2024-05-28</t>
        </is>
      </c>
      <c r="K2195" t="inlineStr">
        <is>
          <t>ACTIVE</t>
        </is>
      </c>
      <c r="M2195" t="inlineStr">
        <is>
          <t>1030 KENILWORTH AVE SE</t>
        </is>
      </c>
      <c r="N2195">
        <f>RIGHT(M2195,LEN(M2195)-FIND(" ",M2195))</f>
        <v/>
      </c>
      <c r="P2195" t="inlineStr">
        <is>
          <t>WARREN</t>
        </is>
      </c>
      <c r="Q2195" t="inlineStr">
        <is>
          <t>OH</t>
        </is>
      </c>
      <c r="R2195" t="n">
        <v>44484</v>
      </c>
      <c r="AD2195" t="inlineStr">
        <is>
          <t>TRUMBULL CAREER &amp; TECH CENTER</t>
        </is>
      </c>
      <c r="AE2195" t="inlineStr">
        <is>
          <t>WARREN CITY</t>
        </is>
      </c>
      <c r="AF2195" t="inlineStr">
        <is>
          <t>WARREN CITY SD</t>
        </is>
      </c>
      <c r="AH2195" t="n">
        <v>14</v>
      </c>
      <c r="AI2195" t="n">
        <v>11</v>
      </c>
      <c r="AN2195" t="inlineStr">
        <is>
          <t>WARREN</t>
        </is>
      </c>
      <c r="AO2195" t="inlineStr">
        <is>
          <t>WARREN CITY 4F</t>
        </is>
      </c>
      <c r="AP2195" t="inlineStr">
        <is>
          <t>78-P-ADN</t>
        </is>
      </c>
      <c r="AQ2195" t="n">
        <v>9</v>
      </c>
      <c r="AR2195" t="n">
        <v>64</v>
      </c>
      <c r="AS2195" t="n">
        <v>32</v>
      </c>
      <c r="AU2195">
        <f>COUNTA($BA$2195:$EH$2195)</f>
        <v/>
      </c>
      <c r="AV2195">
        <f>COUNTIF($BA$2195:$EH$2195,"D")</f>
        <v/>
      </c>
      <c r="AW2195">
        <f>COUNTIF($BA$2195:$EH$2195,"R")</f>
        <v/>
      </c>
      <c r="AX2195">
        <f>IF(BN2195="D",1,0)+IF(BO2195="D",1,0)+IF(BT2195="D",1,0)+IF(BU2195="D",1,0)+IF(BW2195="D",1,0)+IF(CC2195="D",1,0)+IF(CD2195="D",1,0)+IF(CE2195="D",1,0)+IF(CF2195="D",1,0)+IF(CL2195="D",1,0)+IF(CM2195="D",1,0)+IF(CQ2195="D",1,0)+IF(CR2195="D",1,0)+IF(CS2195="D",1,0)+IF(CW2195="D",1,0)+IF(CX2195="D",1,0)+IF(DD2195="D",1,0)+IF(DE2195="D",1,0)+IF(DJ2195="D",1,0)+IF(DK2195="D",1,0)+IF(DO2195="D",1,0)+IF(DP2195="D",1,0)+IF(DQ2195="D",1,0)+IF(DW2195="D",1,0)+IF(DZ2195="D",1,0)+IF(EH2195="D",1,0)</f>
        <v/>
      </c>
      <c r="AY2195">
        <f>IF(DJ2195&lt;&gt;"",1,0)+IF(DK2195&lt;&gt;"",1,0)+IF(DM2195&lt;&gt;"",1,0)+IF(DO2195&lt;&gt;"",1,0)+IF(DP2195&lt;&gt;"",1,0)+IF(DQ2195&lt;&gt;"",1,0)+IF(DS2195&lt;&gt;"",1,0)+IF(DT2195&lt;&gt;"",1,0)+IF(DV2195&lt;&gt;"",1,0)+IF(DW2195&lt;&gt;"",1,0)+IF(DX2195&lt;&gt;"",1,0)+IF(DY2195&lt;&gt;"",1,0)+IF(DZ2195&lt;&gt;"",1,0)+IF(EB2195&lt;&gt;"",1,0)+IF(EC2195&lt;&gt;"",1,0)+IF(ED2195&lt;&gt;"",1,0)+IF(EG2195&lt;&gt;"",1,0)+IF(EH2195&lt;&gt;"",1,0)</f>
        <v/>
      </c>
      <c r="AZ2195">
        <f>IF(EH2195&lt;&gt;"",1,0)</f>
        <v/>
      </c>
      <c r="BB2195" t="inlineStr">
        <is>
          <t>WARREN-WARD 4</t>
        </is>
      </c>
      <c r="BC2195" t="inlineStr">
        <is>
          <t>X</t>
        </is>
      </c>
      <c r="BD2195" t="inlineStr">
        <is>
          <t>X</t>
        </is>
      </c>
      <c r="BL2195" t="inlineStr">
        <is>
          <t>X</t>
        </is>
      </c>
      <c r="CA2195" t="inlineStr">
        <is>
          <t>X</t>
        </is>
      </c>
      <c r="CP2195" t="inlineStr">
        <is>
          <t>X</t>
        </is>
      </c>
      <c r="DC2195" t="inlineStr">
        <is>
          <t>X</t>
        </is>
      </c>
      <c r="DN2195" t="inlineStr">
        <is>
          <t>X</t>
        </is>
      </c>
      <c r="EF2195" t="inlineStr">
        <is>
          <t>X</t>
        </is>
      </c>
    </row>
    <row r="2196">
      <c r="A2196" t="inlineStr">
        <is>
          <t>OH0027508514</t>
        </is>
      </c>
      <c r="B2196" t="n">
        <v>78</v>
      </c>
      <c r="C2196" t="n">
        <v>487370</v>
      </c>
      <c r="D2196" t="inlineStr">
        <is>
          <t>CAVALCANTI</t>
        </is>
      </c>
      <c r="E2196" t="inlineStr">
        <is>
          <t>BRITNEY</t>
        </is>
      </c>
      <c r="F2196">
        <f>CONCATENATE(D2196," ",LEFT(H2196,4),"T=",AU2196,"D=",AV2196,"R=",AW2196,"M=",AX2196,"L=",AY2196,"B=",AZ2196)</f>
        <v/>
      </c>
      <c r="G2196" t="inlineStr">
        <is>
          <t>M</t>
        </is>
      </c>
      <c r="I2196" t="inlineStr">
        <is>
          <t>1995-11-14</t>
        </is>
      </c>
      <c r="J2196" t="inlineStr">
        <is>
          <t>2024-08-08</t>
        </is>
      </c>
      <c r="K2196" t="inlineStr">
        <is>
          <t>ACTIVE</t>
        </is>
      </c>
      <c r="M2196" t="inlineStr">
        <is>
          <t>1504 OAK KNOLL AVE SE</t>
        </is>
      </c>
      <c r="N2196">
        <f>RIGHT(M2196,LEN(M2196)-FIND(" ",M2196))</f>
        <v/>
      </c>
      <c r="P2196" t="inlineStr">
        <is>
          <t>WARREN</t>
        </is>
      </c>
      <c r="Q2196" t="inlineStr">
        <is>
          <t>OH</t>
        </is>
      </c>
      <c r="R2196" t="n">
        <v>44484</v>
      </c>
      <c r="AD2196" t="inlineStr">
        <is>
          <t>TRUMBULL CAREER &amp; TECH CENTER</t>
        </is>
      </c>
      <c r="AE2196" t="inlineStr">
        <is>
          <t>WARREN CITY</t>
        </is>
      </c>
      <c r="AF2196" t="inlineStr">
        <is>
          <t>WARREN CITY SD</t>
        </is>
      </c>
      <c r="AH2196" t="n">
        <v>14</v>
      </c>
      <c r="AI2196" t="n">
        <v>11</v>
      </c>
      <c r="AN2196" t="inlineStr">
        <is>
          <t>WARREN</t>
        </is>
      </c>
      <c r="AO2196" t="inlineStr">
        <is>
          <t>WARREN CITY 4F</t>
        </is>
      </c>
      <c r="AP2196" t="inlineStr">
        <is>
          <t>78-P-ADN</t>
        </is>
      </c>
      <c r="AQ2196" t="n">
        <v>9</v>
      </c>
      <c r="AR2196" t="n">
        <v>64</v>
      </c>
      <c r="AS2196" t="n">
        <v>32</v>
      </c>
      <c r="AU2196">
        <f>COUNTA($BA$2196:$EH$2196)</f>
        <v/>
      </c>
      <c r="AV2196">
        <f>COUNTIF($BA$2196:$EH$2196,"D")</f>
        <v/>
      </c>
      <c r="AW2196">
        <f>COUNTIF($BA$2196:$EH$2196,"R")</f>
        <v/>
      </c>
      <c r="AX2196">
        <f>IF(BN2196="D",1,0)+IF(BO2196="D",1,0)+IF(BT2196="D",1,0)+IF(BU2196="D",1,0)+IF(BW2196="D",1,0)+IF(CC2196="D",1,0)+IF(CD2196="D",1,0)+IF(CE2196="D",1,0)+IF(CF2196="D",1,0)+IF(CL2196="D",1,0)+IF(CM2196="D",1,0)+IF(CQ2196="D",1,0)+IF(CR2196="D",1,0)+IF(CS2196="D",1,0)+IF(CW2196="D",1,0)+IF(CX2196="D",1,0)+IF(DD2196="D",1,0)+IF(DE2196="D",1,0)+IF(DJ2196="D",1,0)+IF(DK2196="D",1,0)+IF(DO2196="D",1,0)+IF(DP2196="D",1,0)+IF(DQ2196="D",1,0)+IF(DW2196="D",1,0)+IF(DZ2196="D",1,0)+IF(EH2196="D",1,0)</f>
        <v/>
      </c>
      <c r="AY2196">
        <f>IF(DJ2196&lt;&gt;"",1,0)+IF(DK2196&lt;&gt;"",1,0)+IF(DM2196&lt;&gt;"",1,0)+IF(DO2196&lt;&gt;"",1,0)+IF(DP2196&lt;&gt;"",1,0)+IF(DQ2196&lt;&gt;"",1,0)+IF(DS2196&lt;&gt;"",1,0)+IF(DT2196&lt;&gt;"",1,0)+IF(DV2196&lt;&gt;"",1,0)+IF(DW2196&lt;&gt;"",1,0)+IF(DX2196&lt;&gt;"",1,0)+IF(DY2196&lt;&gt;"",1,0)+IF(DZ2196&lt;&gt;"",1,0)+IF(EB2196&lt;&gt;"",1,0)+IF(EC2196&lt;&gt;"",1,0)+IF(ED2196&lt;&gt;"",1,0)+IF(EG2196&lt;&gt;"",1,0)+IF(EH2196&lt;&gt;"",1,0)</f>
        <v/>
      </c>
      <c r="AZ2196">
        <f>IF(EH2196&lt;&gt;"",1,0)</f>
        <v/>
      </c>
      <c r="BB2196" t="inlineStr">
        <is>
          <t>WARREN-WARD 4</t>
        </is>
      </c>
    </row>
    <row r="2197">
      <c r="A2197" t="inlineStr">
        <is>
          <t>OH0015693767</t>
        </is>
      </c>
      <c r="B2197" t="n">
        <v>78</v>
      </c>
      <c r="C2197" t="n">
        <v>14433</v>
      </c>
      <c r="D2197" t="inlineStr">
        <is>
          <t>SCHMITT</t>
        </is>
      </c>
      <c r="E2197" t="inlineStr">
        <is>
          <t>PATRICIA</t>
        </is>
      </c>
      <c r="F2197">
        <f>CONCATENATE(D2197," ",LEFT(H2197,4),"T=",AU2197,"D=",AV2197,"R=",AW2197,"M=",AX2197,"L=",AY2197,"B=",AZ2197)</f>
        <v/>
      </c>
      <c r="I2197" t="inlineStr">
        <is>
          <t>1938-09-14</t>
        </is>
      </c>
      <c r="J2197" t="inlineStr">
        <is>
          <t>2015-07-11</t>
        </is>
      </c>
      <c r="K2197" t="inlineStr">
        <is>
          <t>ACTIVE</t>
        </is>
      </c>
      <c r="L2197" t="inlineStr">
        <is>
          <t>D</t>
        </is>
      </c>
      <c r="M2197" t="inlineStr">
        <is>
          <t>1070 WOODBINE AVE SE</t>
        </is>
      </c>
      <c r="N2197">
        <f>RIGHT(M2197,LEN(M2197)-FIND(" ",M2197))</f>
        <v/>
      </c>
      <c r="P2197" t="inlineStr">
        <is>
          <t>WARREN</t>
        </is>
      </c>
      <c r="Q2197" t="inlineStr">
        <is>
          <t>OH</t>
        </is>
      </c>
      <c r="R2197" t="n">
        <v>44484</v>
      </c>
      <c r="AD2197" t="inlineStr">
        <is>
          <t>TRUMBULL CAREER &amp; TECH CENTER</t>
        </is>
      </c>
      <c r="AE2197" t="inlineStr">
        <is>
          <t>WARREN CITY</t>
        </is>
      </c>
      <c r="AF2197" t="inlineStr">
        <is>
          <t>WARREN CITY SD</t>
        </is>
      </c>
      <c r="AH2197" t="n">
        <v>14</v>
      </c>
      <c r="AI2197" t="n">
        <v>11</v>
      </c>
      <c r="AN2197" t="inlineStr">
        <is>
          <t>WARREN</t>
        </is>
      </c>
      <c r="AO2197" t="inlineStr">
        <is>
          <t>WARREN CITY 4F</t>
        </is>
      </c>
      <c r="AP2197" t="inlineStr">
        <is>
          <t>78-P-ADN</t>
        </is>
      </c>
      <c r="AQ2197" t="n">
        <v>9</v>
      </c>
      <c r="AR2197" t="n">
        <v>64</v>
      </c>
      <c r="AS2197" t="n">
        <v>32</v>
      </c>
      <c r="AU2197">
        <f>COUNTA($BA$2197:$EH$2197)</f>
        <v/>
      </c>
      <c r="AV2197">
        <f>COUNTIF($BA$2197:$EH$2197,"D")</f>
        <v/>
      </c>
      <c r="AW2197">
        <f>COUNTIF($BA$2197:$EH$2197,"R")</f>
        <v/>
      </c>
      <c r="AX2197">
        <f>IF(BN2197="D",1,0)+IF(BO2197="D",1,0)+IF(BT2197="D",1,0)+IF(BU2197="D",1,0)+IF(BW2197="D",1,0)+IF(CC2197="D",1,0)+IF(CD2197="D",1,0)+IF(CE2197="D",1,0)+IF(CF2197="D",1,0)+IF(CL2197="D",1,0)+IF(CM2197="D",1,0)+IF(CQ2197="D",1,0)+IF(CR2197="D",1,0)+IF(CS2197="D",1,0)+IF(CW2197="D",1,0)+IF(CX2197="D",1,0)+IF(DD2197="D",1,0)+IF(DE2197="D",1,0)+IF(DJ2197="D",1,0)+IF(DK2197="D",1,0)+IF(DO2197="D",1,0)+IF(DP2197="D",1,0)+IF(DQ2197="D",1,0)+IF(DW2197="D",1,0)+IF(DZ2197="D",1,0)+IF(EH2197="D",1,0)</f>
        <v/>
      </c>
      <c r="AY2197">
        <f>IF(DJ2197&lt;&gt;"",1,0)+IF(DK2197&lt;&gt;"",1,0)+IF(DM2197&lt;&gt;"",1,0)+IF(DO2197&lt;&gt;"",1,0)+IF(DP2197&lt;&gt;"",1,0)+IF(DQ2197&lt;&gt;"",1,0)+IF(DS2197&lt;&gt;"",1,0)+IF(DT2197&lt;&gt;"",1,0)+IF(DV2197&lt;&gt;"",1,0)+IF(DW2197&lt;&gt;"",1,0)+IF(DX2197&lt;&gt;"",1,0)+IF(DY2197&lt;&gt;"",1,0)+IF(DZ2197&lt;&gt;"",1,0)+IF(EB2197&lt;&gt;"",1,0)+IF(EC2197&lt;&gt;"",1,0)+IF(ED2197&lt;&gt;"",1,0)+IF(EG2197&lt;&gt;"",1,0)+IF(EH2197&lt;&gt;"",1,0)</f>
        <v/>
      </c>
      <c r="AZ2197">
        <f>IF(EH2197&lt;&gt;"",1,0)</f>
        <v/>
      </c>
      <c r="BB2197" t="inlineStr">
        <is>
          <t>WARREN-WARD 4</t>
        </is>
      </c>
      <c r="BC2197" t="inlineStr">
        <is>
          <t>X</t>
        </is>
      </c>
      <c r="BD2197" t="inlineStr">
        <is>
          <t>X</t>
        </is>
      </c>
      <c r="BE2197" t="inlineStr">
        <is>
          <t>X</t>
        </is>
      </c>
      <c r="BF2197" t="inlineStr">
        <is>
          <t>X</t>
        </is>
      </c>
      <c r="BG2197" t="inlineStr">
        <is>
          <t>X</t>
        </is>
      </c>
      <c r="BH2197" t="inlineStr">
        <is>
          <t>X</t>
        </is>
      </c>
      <c r="BI2197" t="inlineStr">
        <is>
          <t>X</t>
        </is>
      </c>
      <c r="BJ2197" t="inlineStr">
        <is>
          <t>X</t>
        </is>
      </c>
      <c r="BK2197" t="inlineStr">
        <is>
          <t>X</t>
        </is>
      </c>
      <c r="BL2197" t="inlineStr">
        <is>
          <t>X</t>
        </is>
      </c>
      <c r="BP2197" t="inlineStr">
        <is>
          <t>X</t>
        </is>
      </c>
      <c r="BR2197" t="inlineStr">
        <is>
          <t>X</t>
        </is>
      </c>
      <c r="BS2197" t="inlineStr">
        <is>
          <t>X</t>
        </is>
      </c>
      <c r="BT2197" t="inlineStr">
        <is>
          <t>X</t>
        </is>
      </c>
      <c r="BV2197" t="inlineStr">
        <is>
          <t>X</t>
        </is>
      </c>
      <c r="BY2197" t="inlineStr">
        <is>
          <t>D</t>
        </is>
      </c>
      <c r="CA2197" t="inlineStr">
        <is>
          <t>X</t>
        </is>
      </c>
      <c r="CG2197" t="inlineStr">
        <is>
          <t>X</t>
        </is>
      </c>
      <c r="CH2197" t="inlineStr">
        <is>
          <t>D</t>
        </is>
      </c>
      <c r="CK2197" t="inlineStr">
        <is>
          <t>X</t>
        </is>
      </c>
      <c r="CL2197" t="inlineStr">
        <is>
          <t>D</t>
        </is>
      </c>
      <c r="CN2197" t="inlineStr">
        <is>
          <t>X</t>
        </is>
      </c>
      <c r="CO2197" t="inlineStr">
        <is>
          <t>D</t>
        </is>
      </c>
      <c r="CP2197" t="inlineStr">
        <is>
          <t>X</t>
        </is>
      </c>
      <c r="CY2197" t="inlineStr">
        <is>
          <t>X</t>
        </is>
      </c>
      <c r="CZ2197" t="inlineStr">
        <is>
          <t>D</t>
        </is>
      </c>
      <c r="DC2197" t="inlineStr">
        <is>
          <t>X</t>
        </is>
      </c>
      <c r="DI2197" t="inlineStr">
        <is>
          <t>X</t>
        </is>
      </c>
      <c r="DM2197" t="inlineStr">
        <is>
          <t>D</t>
        </is>
      </c>
      <c r="DN2197" t="inlineStr">
        <is>
          <t>X</t>
        </is>
      </c>
      <c r="DU2197" t="inlineStr">
        <is>
          <t>X</t>
        </is>
      </c>
      <c r="DW2197" t="inlineStr">
        <is>
          <t>D</t>
        </is>
      </c>
      <c r="EA2197" t="inlineStr">
        <is>
          <t>X</t>
        </is>
      </c>
      <c r="EF2197" t="inlineStr">
        <is>
          <t>X</t>
        </is>
      </c>
    </row>
    <row r="2198">
      <c r="A2198" t="inlineStr">
        <is>
          <t>OH0022177527</t>
        </is>
      </c>
      <c r="B2198" t="n">
        <v>78</v>
      </c>
      <c r="C2198" t="n">
        <v>391930</v>
      </c>
      <c r="D2198" t="inlineStr">
        <is>
          <t>WASHINGTON</t>
        </is>
      </c>
      <c r="E2198" t="inlineStr">
        <is>
          <t>ALVADAS</t>
        </is>
      </c>
      <c r="F2198">
        <f>CONCATENATE(D2198," ",LEFT(H2198,4),"T=",AU2198,"D=",AV2198,"R=",AW2198,"M=",AX2198,"L=",AY2198,"B=",AZ2198)</f>
        <v/>
      </c>
      <c r="G2198" t="inlineStr">
        <is>
          <t>L</t>
        </is>
      </c>
      <c r="I2198" t="inlineStr">
        <is>
          <t>1980-05-14</t>
        </is>
      </c>
      <c r="J2198" t="inlineStr">
        <is>
          <t>2015-09-29</t>
        </is>
      </c>
      <c r="K2198" t="inlineStr">
        <is>
          <t>ACTIVE</t>
        </is>
      </c>
      <c r="L2198" t="inlineStr">
        <is>
          <t>D</t>
        </is>
      </c>
      <c r="M2198" t="inlineStr">
        <is>
          <t>1028 HOMEWOOD AVE SE</t>
        </is>
      </c>
      <c r="N2198">
        <f>RIGHT(M2198,LEN(M2198)-FIND(" ",M2198))</f>
        <v/>
      </c>
      <c r="P2198" t="inlineStr">
        <is>
          <t>WARREN</t>
        </is>
      </c>
      <c r="Q2198" t="inlineStr">
        <is>
          <t>OH</t>
        </is>
      </c>
      <c r="R2198" t="n">
        <v>44484</v>
      </c>
      <c r="AD2198" t="inlineStr">
        <is>
          <t>TRUMBULL CAREER &amp; TECH CENTER</t>
        </is>
      </c>
      <c r="AE2198" t="inlineStr">
        <is>
          <t>WARREN CITY</t>
        </is>
      </c>
      <c r="AF2198" t="inlineStr">
        <is>
          <t>WARREN CITY SD</t>
        </is>
      </c>
      <c r="AH2198" t="n">
        <v>14</v>
      </c>
      <c r="AI2198" t="n">
        <v>11</v>
      </c>
      <c r="AN2198" t="inlineStr">
        <is>
          <t>WARREN</t>
        </is>
      </c>
      <c r="AO2198" t="inlineStr">
        <is>
          <t>WARREN CITY 4F</t>
        </is>
      </c>
      <c r="AP2198" t="inlineStr">
        <is>
          <t>78-P-ADN</t>
        </is>
      </c>
      <c r="AQ2198" t="n">
        <v>9</v>
      </c>
      <c r="AR2198" t="n">
        <v>64</v>
      </c>
      <c r="AS2198" t="n">
        <v>32</v>
      </c>
      <c r="AU2198">
        <f>COUNTA($BA$2198:$EH$2198)</f>
        <v/>
      </c>
      <c r="AV2198">
        <f>COUNTIF($BA$2198:$EH$2198,"D")</f>
        <v/>
      </c>
      <c r="AW2198">
        <f>COUNTIF($BA$2198:$EH$2198,"R")</f>
        <v/>
      </c>
      <c r="AX2198">
        <f>IF(BN2198="D",1,0)+IF(BO2198="D",1,0)+IF(BT2198="D",1,0)+IF(BU2198="D",1,0)+IF(BW2198="D",1,0)+IF(CC2198="D",1,0)+IF(CD2198="D",1,0)+IF(CE2198="D",1,0)+IF(CF2198="D",1,0)+IF(CL2198="D",1,0)+IF(CM2198="D",1,0)+IF(CQ2198="D",1,0)+IF(CR2198="D",1,0)+IF(CS2198="D",1,0)+IF(CW2198="D",1,0)+IF(CX2198="D",1,0)+IF(DD2198="D",1,0)+IF(DE2198="D",1,0)+IF(DJ2198="D",1,0)+IF(DK2198="D",1,0)+IF(DO2198="D",1,0)+IF(DP2198="D",1,0)+IF(DQ2198="D",1,0)+IF(DW2198="D",1,0)+IF(DZ2198="D",1,0)+IF(EH2198="D",1,0)</f>
        <v/>
      </c>
      <c r="AY2198">
        <f>IF(DJ2198&lt;&gt;"",1,0)+IF(DK2198&lt;&gt;"",1,0)+IF(DM2198&lt;&gt;"",1,0)+IF(DO2198&lt;&gt;"",1,0)+IF(DP2198&lt;&gt;"",1,0)+IF(DQ2198&lt;&gt;"",1,0)+IF(DS2198&lt;&gt;"",1,0)+IF(DT2198&lt;&gt;"",1,0)+IF(DV2198&lt;&gt;"",1,0)+IF(DW2198&lt;&gt;"",1,0)+IF(DX2198&lt;&gt;"",1,0)+IF(DY2198&lt;&gt;"",1,0)+IF(DZ2198&lt;&gt;"",1,0)+IF(EB2198&lt;&gt;"",1,0)+IF(EC2198&lt;&gt;"",1,0)+IF(ED2198&lt;&gt;"",1,0)+IF(EG2198&lt;&gt;"",1,0)+IF(EH2198&lt;&gt;"",1,0)</f>
        <v/>
      </c>
      <c r="AZ2198">
        <f>IF(EH2198&lt;&gt;"",1,0)</f>
        <v/>
      </c>
      <c r="BB2198" t="inlineStr">
        <is>
          <t>WARREN-WARD 4</t>
        </is>
      </c>
      <c r="BD2198" t="inlineStr">
        <is>
          <t>X</t>
        </is>
      </c>
      <c r="BF2198" t="inlineStr">
        <is>
          <t>X</t>
        </is>
      </c>
      <c r="BH2198" t="inlineStr">
        <is>
          <t>X</t>
        </is>
      </c>
      <c r="BI2198" t="inlineStr">
        <is>
          <t>X</t>
        </is>
      </c>
      <c r="BL2198" t="inlineStr">
        <is>
          <t>X</t>
        </is>
      </c>
      <c r="CA2198" t="inlineStr">
        <is>
          <t>X</t>
        </is>
      </c>
      <c r="CP2198" t="inlineStr">
        <is>
          <t>X</t>
        </is>
      </c>
      <c r="CV2198" t="inlineStr">
        <is>
          <t>X</t>
        </is>
      </c>
      <c r="CY2198" t="inlineStr">
        <is>
          <t>X</t>
        </is>
      </c>
      <c r="DC2198" t="inlineStr">
        <is>
          <t>X</t>
        </is>
      </c>
      <c r="DI2198" t="inlineStr">
        <is>
          <t>X</t>
        </is>
      </c>
      <c r="DL2198" t="inlineStr">
        <is>
          <t>X</t>
        </is>
      </c>
      <c r="DM2198" t="inlineStr">
        <is>
          <t>D</t>
        </is>
      </c>
      <c r="DN2198" t="inlineStr">
        <is>
          <t>X</t>
        </is>
      </c>
      <c r="DU2198" t="inlineStr">
        <is>
          <t>X</t>
        </is>
      </c>
      <c r="DW2198" t="inlineStr">
        <is>
          <t>D</t>
        </is>
      </c>
      <c r="DX2198" t="inlineStr">
        <is>
          <t>X</t>
        </is>
      </c>
      <c r="EA2198" t="inlineStr">
        <is>
          <t>X</t>
        </is>
      </c>
      <c r="EF2198" t="inlineStr">
        <is>
          <t>X</t>
        </is>
      </c>
    </row>
    <row r="2199">
      <c r="A2199" t="inlineStr">
        <is>
          <t>OH0015696422</t>
        </is>
      </c>
      <c r="B2199" t="n">
        <v>78</v>
      </c>
      <c r="C2199" t="n">
        <v>151156</v>
      </c>
      <c r="D2199" t="inlineStr">
        <is>
          <t>JONES</t>
        </is>
      </c>
      <c r="E2199" t="inlineStr">
        <is>
          <t>NORA</t>
        </is>
      </c>
      <c r="F2199">
        <f>CONCATENATE(D2199," ",LEFT(H2199,4),"T=",AU2199,"D=",AV2199,"R=",AW2199,"M=",AX2199,"L=",AY2199,"B=",AZ2199)</f>
        <v/>
      </c>
      <c r="G2199" t="inlineStr">
        <is>
          <t>A</t>
        </is>
      </c>
      <c r="I2199" t="inlineStr">
        <is>
          <t>1960-03-14</t>
        </is>
      </c>
      <c r="J2199" t="inlineStr">
        <is>
          <t>1982-10-04</t>
        </is>
      </c>
      <c r="K2199" t="inlineStr">
        <is>
          <t>ACTIVE</t>
        </is>
      </c>
      <c r="L2199" t="inlineStr">
        <is>
          <t>D</t>
        </is>
      </c>
      <c r="M2199" t="inlineStr">
        <is>
          <t>1210 OAK KNOLL AVE SE</t>
        </is>
      </c>
      <c r="N2199">
        <f>RIGHT(M2199,LEN(M2199)-FIND(" ",M2199))</f>
        <v/>
      </c>
      <c r="P2199" t="inlineStr">
        <is>
          <t>WARREN</t>
        </is>
      </c>
      <c r="Q2199" t="inlineStr">
        <is>
          <t>OH</t>
        </is>
      </c>
      <c r="R2199" t="n">
        <v>44484</v>
      </c>
      <c r="AD2199" t="inlineStr">
        <is>
          <t>TRUMBULL CAREER &amp; TECH CENTER</t>
        </is>
      </c>
      <c r="AE2199" t="inlineStr">
        <is>
          <t>WARREN CITY</t>
        </is>
      </c>
      <c r="AF2199" t="inlineStr">
        <is>
          <t>WARREN CITY SD</t>
        </is>
      </c>
      <c r="AH2199" t="n">
        <v>14</v>
      </c>
      <c r="AI2199" t="n">
        <v>11</v>
      </c>
      <c r="AN2199" t="inlineStr">
        <is>
          <t>WARREN</t>
        </is>
      </c>
      <c r="AO2199" t="inlineStr">
        <is>
          <t>WARREN CITY 4F</t>
        </is>
      </c>
      <c r="AP2199" t="inlineStr">
        <is>
          <t>78-P-ADN</t>
        </is>
      </c>
      <c r="AQ2199" t="n">
        <v>9</v>
      </c>
      <c r="AR2199" t="n">
        <v>64</v>
      </c>
      <c r="AS2199" t="n">
        <v>32</v>
      </c>
      <c r="AU2199">
        <f>COUNTA($BA$2199:$EH$2199)</f>
        <v/>
      </c>
      <c r="AV2199">
        <f>COUNTIF($BA$2199:$EH$2199,"D")</f>
        <v/>
      </c>
      <c r="AW2199">
        <f>COUNTIF($BA$2199:$EH$2199,"R")</f>
        <v/>
      </c>
      <c r="AX2199">
        <f>IF(BN2199="D",1,0)+IF(BO2199="D",1,0)+IF(BT2199="D",1,0)+IF(BU2199="D",1,0)+IF(BW2199="D",1,0)+IF(CC2199="D",1,0)+IF(CD2199="D",1,0)+IF(CE2199="D",1,0)+IF(CF2199="D",1,0)+IF(CL2199="D",1,0)+IF(CM2199="D",1,0)+IF(CQ2199="D",1,0)+IF(CR2199="D",1,0)+IF(CS2199="D",1,0)+IF(CW2199="D",1,0)+IF(CX2199="D",1,0)+IF(DD2199="D",1,0)+IF(DE2199="D",1,0)+IF(DJ2199="D",1,0)+IF(DK2199="D",1,0)+IF(DO2199="D",1,0)+IF(DP2199="D",1,0)+IF(DQ2199="D",1,0)+IF(DW2199="D",1,0)+IF(DZ2199="D",1,0)+IF(EH2199="D",1,0)</f>
        <v/>
      </c>
      <c r="AY2199">
        <f>IF(DJ2199&lt;&gt;"",1,0)+IF(DK2199&lt;&gt;"",1,0)+IF(DM2199&lt;&gt;"",1,0)+IF(DO2199&lt;&gt;"",1,0)+IF(DP2199&lt;&gt;"",1,0)+IF(DQ2199&lt;&gt;"",1,0)+IF(DS2199&lt;&gt;"",1,0)+IF(DT2199&lt;&gt;"",1,0)+IF(DV2199&lt;&gt;"",1,0)+IF(DW2199&lt;&gt;"",1,0)+IF(DX2199&lt;&gt;"",1,0)+IF(DY2199&lt;&gt;"",1,0)+IF(DZ2199&lt;&gt;"",1,0)+IF(EB2199&lt;&gt;"",1,0)+IF(EC2199&lt;&gt;"",1,0)+IF(ED2199&lt;&gt;"",1,0)+IF(EG2199&lt;&gt;"",1,0)+IF(EH2199&lt;&gt;"",1,0)</f>
        <v/>
      </c>
      <c r="AZ2199">
        <f>IF(EH2199&lt;&gt;"",1,0)</f>
        <v/>
      </c>
      <c r="BB2199" t="inlineStr">
        <is>
          <t>WARREN-WARD 4</t>
        </is>
      </c>
      <c r="BD2199" t="inlineStr">
        <is>
          <t>X</t>
        </is>
      </c>
      <c r="BF2199" t="inlineStr">
        <is>
          <t>X</t>
        </is>
      </c>
      <c r="BI2199" t="inlineStr">
        <is>
          <t>X</t>
        </is>
      </c>
      <c r="BL2199" t="inlineStr">
        <is>
          <t>X</t>
        </is>
      </c>
      <c r="BP2199" t="inlineStr">
        <is>
          <t>X</t>
        </is>
      </c>
      <c r="BY2199" t="inlineStr">
        <is>
          <t>D</t>
        </is>
      </c>
      <c r="CA2199" t="inlineStr">
        <is>
          <t>X</t>
        </is>
      </c>
      <c r="CK2199" t="inlineStr">
        <is>
          <t>X</t>
        </is>
      </c>
      <c r="CN2199" t="inlineStr">
        <is>
          <t>X</t>
        </is>
      </c>
      <c r="CO2199" t="inlineStr">
        <is>
          <t>D</t>
        </is>
      </c>
      <c r="CP2199" t="inlineStr">
        <is>
          <t>X</t>
        </is>
      </c>
      <c r="DC2199" t="inlineStr">
        <is>
          <t>X</t>
        </is>
      </c>
      <c r="DI2199" t="inlineStr">
        <is>
          <t>X</t>
        </is>
      </c>
      <c r="DL2199" t="inlineStr">
        <is>
          <t>X</t>
        </is>
      </c>
      <c r="DM2199" t="inlineStr">
        <is>
          <t>D</t>
        </is>
      </c>
      <c r="DN2199" t="inlineStr">
        <is>
          <t>X</t>
        </is>
      </c>
      <c r="DU2199" t="inlineStr">
        <is>
          <t>X</t>
        </is>
      </c>
      <c r="DW2199" t="inlineStr">
        <is>
          <t>D</t>
        </is>
      </c>
      <c r="EA2199" t="inlineStr">
        <is>
          <t>X</t>
        </is>
      </c>
      <c r="EF2199" t="inlineStr">
        <is>
          <t>X</t>
        </is>
      </c>
    </row>
    <row r="2200">
      <c r="A2200" t="inlineStr">
        <is>
          <t>OH0020054671</t>
        </is>
      </c>
      <c r="B2200" t="n">
        <v>78</v>
      </c>
      <c r="C2200" t="n">
        <v>362235</v>
      </c>
      <c r="D2200" t="inlineStr">
        <is>
          <t>JONES</t>
        </is>
      </c>
      <c r="E2200" t="inlineStr">
        <is>
          <t>ULYSSES</t>
        </is>
      </c>
      <c r="F2200">
        <f>CONCATENATE(D2200," ",LEFT(H2200,4),"T=",AU2200,"D=",AV2200,"R=",AW2200,"M=",AX2200,"L=",AY2200,"B=",AZ2200)</f>
        <v/>
      </c>
      <c r="H2200" t="inlineStr">
        <is>
          <t>JR</t>
        </is>
      </c>
      <c r="I2200" t="inlineStr">
        <is>
          <t>1965-08-10</t>
        </is>
      </c>
      <c r="J2200" t="inlineStr">
        <is>
          <t>2018-06-04</t>
        </is>
      </c>
      <c r="K2200" t="inlineStr">
        <is>
          <t>ACTIVE</t>
        </is>
      </c>
      <c r="L2200" t="inlineStr">
        <is>
          <t>D</t>
        </is>
      </c>
      <c r="M2200" t="inlineStr">
        <is>
          <t>1516 HOMEWOOD AVE SE</t>
        </is>
      </c>
      <c r="N2200">
        <f>RIGHT(M2200,LEN(M2200)-FIND(" ",M2200))</f>
        <v/>
      </c>
      <c r="P2200" t="inlineStr">
        <is>
          <t>WARREN</t>
        </is>
      </c>
      <c r="Q2200" t="inlineStr">
        <is>
          <t>OH</t>
        </is>
      </c>
      <c r="R2200" t="n">
        <v>44484</v>
      </c>
      <c r="AD2200" t="inlineStr">
        <is>
          <t>TRUMBULL CAREER &amp; TECH CENTER</t>
        </is>
      </c>
      <c r="AE2200" t="inlineStr">
        <is>
          <t>WARREN CITY</t>
        </is>
      </c>
      <c r="AF2200" t="inlineStr">
        <is>
          <t>WARREN CITY SD</t>
        </is>
      </c>
      <c r="AH2200" t="n">
        <v>14</v>
      </c>
      <c r="AI2200" t="n">
        <v>11</v>
      </c>
      <c r="AN2200" t="inlineStr">
        <is>
          <t>WARREN</t>
        </is>
      </c>
      <c r="AO2200" t="inlineStr">
        <is>
          <t>WARREN CITY 4F</t>
        </is>
      </c>
      <c r="AP2200" t="inlineStr">
        <is>
          <t>78-P-ADN</t>
        </is>
      </c>
      <c r="AQ2200" t="n">
        <v>9</v>
      </c>
      <c r="AR2200" t="n">
        <v>64</v>
      </c>
      <c r="AS2200" t="n">
        <v>32</v>
      </c>
      <c r="AU2200">
        <f>COUNTA($BA$2200:$EH$2200)</f>
        <v/>
      </c>
      <c r="AV2200">
        <f>COUNTIF($BA$2200:$EH$2200,"D")</f>
        <v/>
      </c>
      <c r="AW2200">
        <f>COUNTIF($BA$2200:$EH$2200,"R")</f>
        <v/>
      </c>
      <c r="AX2200">
        <f>IF(BN2200="D",1,0)+IF(BO2200="D",1,0)+IF(BT2200="D",1,0)+IF(BU2200="D",1,0)+IF(BW2200="D",1,0)+IF(CC2200="D",1,0)+IF(CD2200="D",1,0)+IF(CE2200="D",1,0)+IF(CF2200="D",1,0)+IF(CL2200="D",1,0)+IF(CM2200="D",1,0)+IF(CQ2200="D",1,0)+IF(CR2200="D",1,0)+IF(CS2200="D",1,0)+IF(CW2200="D",1,0)+IF(CX2200="D",1,0)+IF(DD2200="D",1,0)+IF(DE2200="D",1,0)+IF(DJ2200="D",1,0)+IF(DK2200="D",1,0)+IF(DO2200="D",1,0)+IF(DP2200="D",1,0)+IF(DQ2200="D",1,0)+IF(DW2200="D",1,0)+IF(DZ2200="D",1,0)+IF(EH2200="D",1,0)</f>
        <v/>
      </c>
      <c r="AY2200">
        <f>IF(DJ2200&lt;&gt;"",1,0)+IF(DK2200&lt;&gt;"",1,0)+IF(DM2200&lt;&gt;"",1,0)+IF(DO2200&lt;&gt;"",1,0)+IF(DP2200&lt;&gt;"",1,0)+IF(DQ2200&lt;&gt;"",1,0)+IF(DS2200&lt;&gt;"",1,0)+IF(DT2200&lt;&gt;"",1,0)+IF(DV2200&lt;&gt;"",1,0)+IF(DW2200&lt;&gt;"",1,0)+IF(DX2200&lt;&gt;"",1,0)+IF(DY2200&lt;&gt;"",1,0)+IF(DZ2200&lt;&gt;"",1,0)+IF(EB2200&lt;&gt;"",1,0)+IF(EC2200&lt;&gt;"",1,0)+IF(ED2200&lt;&gt;"",1,0)+IF(EG2200&lt;&gt;"",1,0)+IF(EH2200&lt;&gt;"",1,0)</f>
        <v/>
      </c>
      <c r="AZ2200">
        <f>IF(EH2200&lt;&gt;"",1,0)</f>
        <v/>
      </c>
      <c r="BB2200" t="inlineStr">
        <is>
          <t>WARREN-WARD 4</t>
        </is>
      </c>
      <c r="CA2200" t="inlineStr">
        <is>
          <t>X</t>
        </is>
      </c>
      <c r="CL2200" t="inlineStr">
        <is>
          <t>D</t>
        </is>
      </c>
      <c r="CN2200" t="inlineStr">
        <is>
          <t>X</t>
        </is>
      </c>
      <c r="CP2200" t="inlineStr">
        <is>
          <t>X</t>
        </is>
      </c>
      <c r="CV2200" t="inlineStr">
        <is>
          <t>X</t>
        </is>
      </c>
      <c r="CY2200" t="inlineStr">
        <is>
          <t>X</t>
        </is>
      </c>
      <c r="CZ2200" t="inlineStr">
        <is>
          <t>D</t>
        </is>
      </c>
      <c r="DC2200" t="inlineStr">
        <is>
          <t>X</t>
        </is>
      </c>
      <c r="DG2200" t="inlineStr">
        <is>
          <t>D</t>
        </is>
      </c>
      <c r="DL2200" t="inlineStr">
        <is>
          <t>X</t>
        </is>
      </c>
      <c r="DN2200" t="inlineStr">
        <is>
          <t>X</t>
        </is>
      </c>
      <c r="DW2200" t="inlineStr">
        <is>
          <t>D</t>
        </is>
      </c>
      <c r="EA2200" t="inlineStr">
        <is>
          <t>X</t>
        </is>
      </c>
      <c r="EF2200" t="inlineStr">
        <is>
          <t>X</t>
        </is>
      </c>
    </row>
    <row r="2201">
      <c r="A2201" t="inlineStr">
        <is>
          <t>OH0023874167</t>
        </is>
      </c>
      <c r="B2201" t="n">
        <v>78</v>
      </c>
      <c r="C2201" t="n">
        <v>419356</v>
      </c>
      <c r="D2201" t="inlineStr">
        <is>
          <t>PRIEST</t>
        </is>
      </c>
      <c r="E2201" t="inlineStr">
        <is>
          <t>MARITA</t>
        </is>
      </c>
      <c r="F2201">
        <f>CONCATENATE(D2201," ",LEFT(H2201,4),"T=",AU2201,"D=",AV2201,"R=",AW2201,"M=",AX2201,"L=",AY2201,"B=",AZ2201)</f>
        <v/>
      </c>
      <c r="G2201" t="inlineStr">
        <is>
          <t>J</t>
        </is>
      </c>
      <c r="I2201" t="inlineStr">
        <is>
          <t>1978-10-07</t>
        </is>
      </c>
      <c r="J2201" t="inlineStr">
        <is>
          <t>2016-08-27</t>
        </is>
      </c>
      <c r="K2201" t="inlineStr">
        <is>
          <t>ACTIVE</t>
        </is>
      </c>
      <c r="M2201" t="inlineStr">
        <is>
          <t>1008 HOMEWOOD AVE SE</t>
        </is>
      </c>
      <c r="N2201">
        <f>RIGHT(M2201,LEN(M2201)-FIND(" ",M2201))</f>
        <v/>
      </c>
      <c r="P2201" t="inlineStr">
        <is>
          <t>WARREN</t>
        </is>
      </c>
      <c r="Q2201" t="inlineStr">
        <is>
          <t>OH</t>
        </is>
      </c>
      <c r="R2201" t="n">
        <v>44484</v>
      </c>
      <c r="AD2201" t="inlineStr">
        <is>
          <t>TRUMBULL CAREER &amp; TECH CENTER</t>
        </is>
      </c>
      <c r="AE2201" t="inlineStr">
        <is>
          <t>WARREN CITY</t>
        </is>
      </c>
      <c r="AF2201" t="inlineStr">
        <is>
          <t>WARREN CITY SD</t>
        </is>
      </c>
      <c r="AH2201" t="n">
        <v>14</v>
      </c>
      <c r="AI2201" t="n">
        <v>11</v>
      </c>
      <c r="AN2201" t="inlineStr">
        <is>
          <t>WARREN</t>
        </is>
      </c>
      <c r="AO2201" t="inlineStr">
        <is>
          <t>WARREN CITY 4F</t>
        </is>
      </c>
      <c r="AP2201" t="inlineStr">
        <is>
          <t>78-P-ADN</t>
        </is>
      </c>
      <c r="AQ2201" t="n">
        <v>9</v>
      </c>
      <c r="AR2201" t="n">
        <v>64</v>
      </c>
      <c r="AS2201" t="n">
        <v>32</v>
      </c>
      <c r="AU2201">
        <f>COUNTA($BA$2201:$EH$2201)</f>
        <v/>
      </c>
      <c r="AV2201">
        <f>COUNTIF($BA$2201:$EH$2201,"D")</f>
        <v/>
      </c>
      <c r="AW2201">
        <f>COUNTIF($BA$2201:$EH$2201,"R")</f>
        <v/>
      </c>
      <c r="AX2201">
        <f>IF(BN2201="D",1,0)+IF(BO2201="D",1,0)+IF(BT2201="D",1,0)+IF(BU2201="D",1,0)+IF(BW2201="D",1,0)+IF(CC2201="D",1,0)+IF(CD2201="D",1,0)+IF(CE2201="D",1,0)+IF(CF2201="D",1,0)+IF(CL2201="D",1,0)+IF(CM2201="D",1,0)+IF(CQ2201="D",1,0)+IF(CR2201="D",1,0)+IF(CS2201="D",1,0)+IF(CW2201="D",1,0)+IF(CX2201="D",1,0)+IF(DD2201="D",1,0)+IF(DE2201="D",1,0)+IF(DJ2201="D",1,0)+IF(DK2201="D",1,0)+IF(DO2201="D",1,0)+IF(DP2201="D",1,0)+IF(DQ2201="D",1,0)+IF(DW2201="D",1,0)+IF(DZ2201="D",1,0)+IF(EH2201="D",1,0)</f>
        <v/>
      </c>
      <c r="AY2201">
        <f>IF(DJ2201&lt;&gt;"",1,0)+IF(DK2201&lt;&gt;"",1,0)+IF(DM2201&lt;&gt;"",1,0)+IF(DO2201&lt;&gt;"",1,0)+IF(DP2201&lt;&gt;"",1,0)+IF(DQ2201&lt;&gt;"",1,0)+IF(DS2201&lt;&gt;"",1,0)+IF(DT2201&lt;&gt;"",1,0)+IF(DV2201&lt;&gt;"",1,0)+IF(DW2201&lt;&gt;"",1,0)+IF(DX2201&lt;&gt;"",1,0)+IF(DY2201&lt;&gt;"",1,0)+IF(DZ2201&lt;&gt;"",1,0)+IF(EB2201&lt;&gt;"",1,0)+IF(EC2201&lt;&gt;"",1,0)+IF(ED2201&lt;&gt;"",1,0)+IF(EG2201&lt;&gt;"",1,0)+IF(EH2201&lt;&gt;"",1,0)</f>
        <v/>
      </c>
      <c r="AZ2201">
        <f>IF(EH2201&lt;&gt;"",1,0)</f>
        <v/>
      </c>
      <c r="BB2201" t="inlineStr">
        <is>
          <t>WARREN-WARD 4</t>
        </is>
      </c>
      <c r="BL2201" t="inlineStr">
        <is>
          <t>X</t>
        </is>
      </c>
      <c r="DC2201" t="inlineStr">
        <is>
          <t>X</t>
        </is>
      </c>
      <c r="DI2201" t="inlineStr">
        <is>
          <t>X</t>
        </is>
      </c>
      <c r="DN2201" t="inlineStr">
        <is>
          <t>X</t>
        </is>
      </c>
      <c r="DU2201" t="inlineStr">
        <is>
          <t>X</t>
        </is>
      </c>
      <c r="EA2201" t="inlineStr">
        <is>
          <t>X</t>
        </is>
      </c>
    </row>
    <row r="2202">
      <c r="A2202" t="inlineStr">
        <is>
          <t>OH0023081344</t>
        </is>
      </c>
      <c r="B2202" t="n">
        <v>78</v>
      </c>
      <c r="C2202" t="n">
        <v>406610</v>
      </c>
      <c r="D2202" t="inlineStr">
        <is>
          <t>GRIFFIN</t>
        </is>
      </c>
      <c r="E2202" t="inlineStr">
        <is>
          <t>KENNY</t>
        </is>
      </c>
      <c r="F2202">
        <f>CONCATENATE(D2202," ",LEFT(H2202,4),"T=",AU2202,"D=",AV2202,"R=",AW2202,"M=",AX2202,"L=",AY2202,"B=",AZ2202)</f>
        <v/>
      </c>
      <c r="G2202" t="inlineStr">
        <is>
          <t>BRIAN</t>
        </is>
      </c>
      <c r="H2202" t="inlineStr">
        <is>
          <t>JR</t>
        </is>
      </c>
      <c r="I2202" t="inlineStr">
        <is>
          <t>1997-02-03</t>
        </is>
      </c>
      <c r="J2202" t="inlineStr">
        <is>
          <t>2024-09-08</t>
        </is>
      </c>
      <c r="K2202" t="inlineStr">
        <is>
          <t>ACTIVE</t>
        </is>
      </c>
      <c r="M2202" t="inlineStr">
        <is>
          <t>1956 DRAPER AVE SE</t>
        </is>
      </c>
      <c r="N2202">
        <f>RIGHT(M2202,LEN(M2202)-FIND(" ",M2202))</f>
        <v/>
      </c>
      <c r="P2202" t="inlineStr">
        <is>
          <t>WARREN</t>
        </is>
      </c>
      <c r="Q2202" t="inlineStr">
        <is>
          <t>OH</t>
        </is>
      </c>
      <c r="R2202" t="n">
        <v>44484</v>
      </c>
      <c r="AD2202" t="inlineStr">
        <is>
          <t>TRUMBULL CAREER &amp; TECH CENTER</t>
        </is>
      </c>
      <c r="AE2202" t="inlineStr">
        <is>
          <t>WARREN CITY</t>
        </is>
      </c>
      <c r="AF2202" t="inlineStr">
        <is>
          <t>WARREN CITY SD</t>
        </is>
      </c>
      <c r="AH2202" t="n">
        <v>14</v>
      </c>
      <c r="AI2202" t="n">
        <v>11</v>
      </c>
      <c r="AN2202" t="inlineStr">
        <is>
          <t>WARREN</t>
        </is>
      </c>
      <c r="AO2202" t="inlineStr">
        <is>
          <t>WARREN CITY 4F</t>
        </is>
      </c>
      <c r="AP2202" t="inlineStr">
        <is>
          <t>78-P-ADN</t>
        </is>
      </c>
      <c r="AQ2202" t="n">
        <v>9</v>
      </c>
      <c r="AR2202" t="n">
        <v>64</v>
      </c>
      <c r="AS2202" t="n">
        <v>32</v>
      </c>
      <c r="AU2202">
        <f>COUNTA($BA$2202:$EH$2202)</f>
        <v/>
      </c>
      <c r="AV2202">
        <f>COUNTIF($BA$2202:$EH$2202,"D")</f>
        <v/>
      </c>
      <c r="AW2202">
        <f>COUNTIF($BA$2202:$EH$2202,"R")</f>
        <v/>
      </c>
      <c r="AX2202">
        <f>IF(BN2202="D",1,0)+IF(BO2202="D",1,0)+IF(BT2202="D",1,0)+IF(BU2202="D",1,0)+IF(BW2202="D",1,0)+IF(CC2202="D",1,0)+IF(CD2202="D",1,0)+IF(CE2202="D",1,0)+IF(CF2202="D",1,0)+IF(CL2202="D",1,0)+IF(CM2202="D",1,0)+IF(CQ2202="D",1,0)+IF(CR2202="D",1,0)+IF(CS2202="D",1,0)+IF(CW2202="D",1,0)+IF(CX2202="D",1,0)+IF(DD2202="D",1,0)+IF(DE2202="D",1,0)+IF(DJ2202="D",1,0)+IF(DK2202="D",1,0)+IF(DO2202="D",1,0)+IF(DP2202="D",1,0)+IF(DQ2202="D",1,0)+IF(DW2202="D",1,0)+IF(DZ2202="D",1,0)+IF(EH2202="D",1,0)</f>
        <v/>
      </c>
      <c r="AY2202">
        <f>IF(DJ2202&lt;&gt;"",1,0)+IF(DK2202&lt;&gt;"",1,0)+IF(DM2202&lt;&gt;"",1,0)+IF(DO2202&lt;&gt;"",1,0)+IF(DP2202&lt;&gt;"",1,0)+IF(DQ2202&lt;&gt;"",1,0)+IF(DS2202&lt;&gt;"",1,0)+IF(DT2202&lt;&gt;"",1,0)+IF(DV2202&lt;&gt;"",1,0)+IF(DW2202&lt;&gt;"",1,0)+IF(DX2202&lt;&gt;"",1,0)+IF(DY2202&lt;&gt;"",1,0)+IF(DZ2202&lt;&gt;"",1,0)+IF(EB2202&lt;&gt;"",1,0)+IF(EC2202&lt;&gt;"",1,0)+IF(ED2202&lt;&gt;"",1,0)+IF(EG2202&lt;&gt;"",1,0)+IF(EH2202&lt;&gt;"",1,0)</f>
        <v/>
      </c>
      <c r="AZ2202">
        <f>IF(EH2202&lt;&gt;"",1,0)</f>
        <v/>
      </c>
      <c r="BB2202" t="inlineStr">
        <is>
          <t>WARREN-WARD 4</t>
        </is>
      </c>
      <c r="CY2202" t="inlineStr">
        <is>
          <t>X</t>
        </is>
      </c>
      <c r="DC2202" t="inlineStr">
        <is>
          <t>X</t>
        </is>
      </c>
    </row>
    <row r="2203">
      <c r="A2203" t="inlineStr">
        <is>
          <t>OH0027522240</t>
        </is>
      </c>
      <c r="B2203" t="n">
        <v>78</v>
      </c>
      <c r="C2203" t="n">
        <v>487819</v>
      </c>
      <c r="D2203" t="inlineStr">
        <is>
          <t>PRUITT</t>
        </is>
      </c>
      <c r="E2203" t="inlineStr">
        <is>
          <t>ANIYUH</t>
        </is>
      </c>
      <c r="F2203">
        <f>CONCATENATE(D2203," ",LEFT(H2203,4),"T=",AU2203,"D=",AV2203,"R=",AW2203,"M=",AX2203,"L=",AY2203,"B=",AZ2203)</f>
        <v/>
      </c>
      <c r="G2203" t="inlineStr">
        <is>
          <t>L</t>
        </is>
      </c>
      <c r="I2203" t="inlineStr">
        <is>
          <t>1999-02-24</t>
        </is>
      </c>
      <c r="J2203" t="inlineStr">
        <is>
          <t>2024-08-06</t>
        </is>
      </c>
      <c r="K2203" t="inlineStr">
        <is>
          <t>ACTIVE</t>
        </is>
      </c>
      <c r="M2203" t="inlineStr">
        <is>
          <t>1690 OAK KNOLL AVE SE</t>
        </is>
      </c>
      <c r="N2203">
        <f>RIGHT(M2203,LEN(M2203)-FIND(" ",M2203))</f>
        <v/>
      </c>
      <c r="P2203" t="inlineStr">
        <is>
          <t>WARREN</t>
        </is>
      </c>
      <c r="Q2203" t="inlineStr">
        <is>
          <t>OH</t>
        </is>
      </c>
      <c r="R2203" t="n">
        <v>44484</v>
      </c>
      <c r="AD2203" t="inlineStr">
        <is>
          <t>TRUMBULL CAREER &amp; TECH CENTER</t>
        </is>
      </c>
      <c r="AE2203" t="inlineStr">
        <is>
          <t>WARREN CITY</t>
        </is>
      </c>
      <c r="AF2203" t="inlineStr">
        <is>
          <t>WARREN CITY SD</t>
        </is>
      </c>
      <c r="AH2203" t="n">
        <v>14</v>
      </c>
      <c r="AI2203" t="n">
        <v>11</v>
      </c>
      <c r="AN2203" t="inlineStr">
        <is>
          <t>WARREN</t>
        </is>
      </c>
      <c r="AO2203" t="inlineStr">
        <is>
          <t>WARREN CITY 4F</t>
        </is>
      </c>
      <c r="AP2203" t="inlineStr">
        <is>
          <t>78-P-ADN</t>
        </is>
      </c>
      <c r="AQ2203" t="n">
        <v>9</v>
      </c>
      <c r="AR2203" t="n">
        <v>64</v>
      </c>
      <c r="AS2203" t="n">
        <v>32</v>
      </c>
      <c r="AU2203">
        <f>COUNTA($BA$2203:$EH$2203)</f>
        <v/>
      </c>
      <c r="AV2203">
        <f>COUNTIF($BA$2203:$EH$2203,"D")</f>
        <v/>
      </c>
      <c r="AW2203">
        <f>COUNTIF($BA$2203:$EH$2203,"R")</f>
        <v/>
      </c>
      <c r="AX2203">
        <f>IF(BN2203="D",1,0)+IF(BO2203="D",1,0)+IF(BT2203="D",1,0)+IF(BU2203="D",1,0)+IF(BW2203="D",1,0)+IF(CC2203="D",1,0)+IF(CD2203="D",1,0)+IF(CE2203="D",1,0)+IF(CF2203="D",1,0)+IF(CL2203="D",1,0)+IF(CM2203="D",1,0)+IF(CQ2203="D",1,0)+IF(CR2203="D",1,0)+IF(CS2203="D",1,0)+IF(CW2203="D",1,0)+IF(CX2203="D",1,0)+IF(DD2203="D",1,0)+IF(DE2203="D",1,0)+IF(DJ2203="D",1,0)+IF(DK2203="D",1,0)+IF(DO2203="D",1,0)+IF(DP2203="D",1,0)+IF(DQ2203="D",1,0)+IF(DW2203="D",1,0)+IF(DZ2203="D",1,0)+IF(EH2203="D",1,0)</f>
        <v/>
      </c>
      <c r="AY2203">
        <f>IF(DJ2203&lt;&gt;"",1,0)+IF(DK2203&lt;&gt;"",1,0)+IF(DM2203&lt;&gt;"",1,0)+IF(DO2203&lt;&gt;"",1,0)+IF(DP2203&lt;&gt;"",1,0)+IF(DQ2203&lt;&gt;"",1,0)+IF(DS2203&lt;&gt;"",1,0)+IF(DT2203&lt;&gt;"",1,0)+IF(DV2203&lt;&gt;"",1,0)+IF(DW2203&lt;&gt;"",1,0)+IF(DX2203&lt;&gt;"",1,0)+IF(DY2203&lt;&gt;"",1,0)+IF(DZ2203&lt;&gt;"",1,0)+IF(EB2203&lt;&gt;"",1,0)+IF(EC2203&lt;&gt;"",1,0)+IF(ED2203&lt;&gt;"",1,0)+IF(EG2203&lt;&gt;"",1,0)+IF(EH2203&lt;&gt;"",1,0)</f>
        <v/>
      </c>
      <c r="AZ2203">
        <f>IF(EH2203&lt;&gt;"",1,0)</f>
        <v/>
      </c>
      <c r="BB2203" t="inlineStr">
        <is>
          <t>WARREN-WARD 4</t>
        </is>
      </c>
      <c r="DI2203" t="inlineStr">
        <is>
          <t>X</t>
        </is>
      </c>
    </row>
    <row r="2204">
      <c r="A2204" t="inlineStr">
        <is>
          <t>OH0015708574</t>
        </is>
      </c>
      <c r="B2204" t="n">
        <v>78</v>
      </c>
      <c r="C2204" t="n">
        <v>277495</v>
      </c>
      <c r="D2204" t="inlineStr">
        <is>
          <t>GORE</t>
        </is>
      </c>
      <c r="E2204" t="inlineStr">
        <is>
          <t>JENNIFER</t>
        </is>
      </c>
      <c r="F2204">
        <f>CONCATENATE(D2204," ",LEFT(H2204,4),"T=",AU2204,"D=",AV2204,"R=",AW2204,"M=",AX2204,"L=",AY2204,"B=",AZ2204)</f>
        <v/>
      </c>
      <c r="G2204" t="inlineStr">
        <is>
          <t>LYNE</t>
        </is>
      </c>
      <c r="I2204" t="inlineStr">
        <is>
          <t>1978-09-06</t>
        </is>
      </c>
      <c r="J2204" t="inlineStr">
        <is>
          <t>2016-12-31</t>
        </is>
      </c>
      <c r="K2204" t="inlineStr">
        <is>
          <t>CONFIRMATION</t>
        </is>
      </c>
      <c r="M2204" t="inlineStr">
        <is>
          <t>1296 YOUNGSTOWN RD SE</t>
        </is>
      </c>
      <c r="N2204">
        <f>RIGHT(M2204,LEN(M2204)-FIND(" ",M2204))</f>
        <v/>
      </c>
      <c r="O2204" t="inlineStr">
        <is>
          <t>APT 1</t>
        </is>
      </c>
      <c r="P2204" t="inlineStr">
        <is>
          <t>WARREN</t>
        </is>
      </c>
      <c r="Q2204" t="inlineStr">
        <is>
          <t>OH</t>
        </is>
      </c>
      <c r="R2204" t="n">
        <v>44484</v>
      </c>
      <c r="AD2204" t="inlineStr">
        <is>
          <t>TRUMBULL CAREER &amp; TECH CENTER</t>
        </is>
      </c>
      <c r="AE2204" t="inlineStr">
        <is>
          <t>WARREN CITY</t>
        </is>
      </c>
      <c r="AF2204" t="inlineStr">
        <is>
          <t>WARREN CITY SD</t>
        </is>
      </c>
      <c r="AH2204" t="n">
        <v>14</v>
      </c>
      <c r="AI2204" t="n">
        <v>11</v>
      </c>
      <c r="AN2204" t="inlineStr">
        <is>
          <t>WARREN</t>
        </is>
      </c>
      <c r="AO2204" t="inlineStr">
        <is>
          <t>WARREN CITY 4F</t>
        </is>
      </c>
      <c r="AP2204" t="inlineStr">
        <is>
          <t>78-P-ADN</t>
        </is>
      </c>
      <c r="AQ2204" t="n">
        <v>9</v>
      </c>
      <c r="AR2204" t="n">
        <v>64</v>
      </c>
      <c r="AS2204" t="n">
        <v>32</v>
      </c>
      <c r="AU2204">
        <f>COUNTA($BA$2204:$EH$2204)</f>
        <v/>
      </c>
      <c r="AV2204">
        <f>COUNTIF($BA$2204:$EH$2204,"D")</f>
        <v/>
      </c>
      <c r="AW2204">
        <f>COUNTIF($BA$2204:$EH$2204,"R")</f>
        <v/>
      </c>
      <c r="AX2204">
        <f>IF(BN2204="D",1,0)+IF(BO2204="D",1,0)+IF(BT2204="D",1,0)+IF(BU2204="D",1,0)+IF(BW2204="D",1,0)+IF(CC2204="D",1,0)+IF(CD2204="D",1,0)+IF(CE2204="D",1,0)+IF(CF2204="D",1,0)+IF(CL2204="D",1,0)+IF(CM2204="D",1,0)+IF(CQ2204="D",1,0)+IF(CR2204="D",1,0)+IF(CS2204="D",1,0)+IF(CW2204="D",1,0)+IF(CX2204="D",1,0)+IF(DD2204="D",1,0)+IF(DE2204="D",1,0)+IF(DJ2204="D",1,0)+IF(DK2204="D",1,0)+IF(DO2204="D",1,0)+IF(DP2204="D",1,0)+IF(DQ2204="D",1,0)+IF(DW2204="D",1,0)+IF(DZ2204="D",1,0)+IF(EH2204="D",1,0)</f>
        <v/>
      </c>
      <c r="AY2204">
        <f>IF(DJ2204&lt;&gt;"",1,0)+IF(DK2204&lt;&gt;"",1,0)+IF(DM2204&lt;&gt;"",1,0)+IF(DO2204&lt;&gt;"",1,0)+IF(DP2204&lt;&gt;"",1,0)+IF(DQ2204&lt;&gt;"",1,0)+IF(DS2204&lt;&gt;"",1,0)+IF(DT2204&lt;&gt;"",1,0)+IF(DV2204&lt;&gt;"",1,0)+IF(DW2204&lt;&gt;"",1,0)+IF(DX2204&lt;&gt;"",1,0)+IF(DY2204&lt;&gt;"",1,0)+IF(DZ2204&lt;&gt;"",1,0)+IF(EB2204&lt;&gt;"",1,0)+IF(EC2204&lt;&gt;"",1,0)+IF(ED2204&lt;&gt;"",1,0)+IF(EG2204&lt;&gt;"",1,0)+IF(EH2204&lt;&gt;"",1,0)</f>
        <v/>
      </c>
      <c r="AZ2204">
        <f>IF(EH2204&lt;&gt;"",1,0)</f>
        <v/>
      </c>
      <c r="BB2204" t="inlineStr">
        <is>
          <t>WARREN-WARD 4</t>
        </is>
      </c>
      <c r="BC2204" t="inlineStr">
        <is>
          <t>X</t>
        </is>
      </c>
      <c r="BD2204" t="inlineStr">
        <is>
          <t>X</t>
        </is>
      </c>
      <c r="BL2204" t="inlineStr">
        <is>
          <t>X</t>
        </is>
      </c>
      <c r="BP2204" t="inlineStr">
        <is>
          <t>X</t>
        </is>
      </c>
      <c r="BS2204" t="inlineStr">
        <is>
          <t>X</t>
        </is>
      </c>
      <c r="BV2204" t="inlineStr">
        <is>
          <t>X</t>
        </is>
      </c>
      <c r="BY2204" t="inlineStr">
        <is>
          <t>D</t>
        </is>
      </c>
      <c r="CA2204" t="inlineStr">
        <is>
          <t>X</t>
        </is>
      </c>
      <c r="CG2204" t="inlineStr">
        <is>
          <t>X</t>
        </is>
      </c>
      <c r="CK2204" t="inlineStr">
        <is>
          <t>X</t>
        </is>
      </c>
      <c r="CN2204" t="inlineStr">
        <is>
          <t>X</t>
        </is>
      </c>
      <c r="CP2204" t="inlineStr">
        <is>
          <t>X</t>
        </is>
      </c>
      <c r="DC2204" t="inlineStr">
        <is>
          <t>X</t>
        </is>
      </c>
    </row>
    <row r="2205">
      <c r="A2205" t="inlineStr">
        <is>
          <t>OH0027511919</t>
        </is>
      </c>
      <c r="B2205" t="n">
        <v>78</v>
      </c>
      <c r="C2205" t="n">
        <v>487502</v>
      </c>
      <c r="D2205" t="inlineStr">
        <is>
          <t>JACKSON</t>
        </is>
      </c>
      <c r="E2205" t="inlineStr">
        <is>
          <t>KHIRY</t>
        </is>
      </c>
      <c r="F2205">
        <f>CONCATENATE(D2205," ",LEFT(H2205,4),"T=",AU2205,"D=",AV2205,"R=",AW2205,"M=",AX2205,"L=",AY2205,"B=",AZ2205)</f>
        <v/>
      </c>
      <c r="G2205" t="inlineStr">
        <is>
          <t>J</t>
        </is>
      </c>
      <c r="I2205" t="inlineStr">
        <is>
          <t>1993-06-14</t>
        </is>
      </c>
      <c r="J2205" t="inlineStr">
        <is>
          <t>2024-08-08</t>
        </is>
      </c>
      <c r="K2205" t="inlineStr">
        <is>
          <t>ACTIVE</t>
        </is>
      </c>
      <c r="M2205" t="inlineStr">
        <is>
          <t>1080 KENILWORTH AVE SE</t>
        </is>
      </c>
      <c r="N2205">
        <f>RIGHT(M2205,LEN(M2205)-FIND(" ",M2205))</f>
        <v/>
      </c>
      <c r="P2205" t="inlineStr">
        <is>
          <t>WARREN</t>
        </is>
      </c>
      <c r="Q2205" t="inlineStr">
        <is>
          <t>OH</t>
        </is>
      </c>
      <c r="R2205" t="n">
        <v>44484</v>
      </c>
      <c r="AD2205" t="inlineStr">
        <is>
          <t>TRUMBULL CAREER &amp; TECH CENTER</t>
        </is>
      </c>
      <c r="AE2205" t="inlineStr">
        <is>
          <t>WARREN CITY</t>
        </is>
      </c>
      <c r="AF2205" t="inlineStr">
        <is>
          <t>WARREN CITY SD</t>
        </is>
      </c>
      <c r="AH2205" t="n">
        <v>14</v>
      </c>
      <c r="AI2205" t="n">
        <v>11</v>
      </c>
      <c r="AN2205" t="inlineStr">
        <is>
          <t>WARREN</t>
        </is>
      </c>
      <c r="AO2205" t="inlineStr">
        <is>
          <t>WARREN CITY 4F</t>
        </is>
      </c>
      <c r="AP2205" t="inlineStr">
        <is>
          <t>78-P-ADN</t>
        </is>
      </c>
      <c r="AQ2205" t="n">
        <v>9</v>
      </c>
      <c r="AR2205" t="n">
        <v>64</v>
      </c>
      <c r="AS2205" t="n">
        <v>32</v>
      </c>
      <c r="AU2205">
        <f>COUNTA($BA$2205:$EH$2205)</f>
        <v/>
      </c>
      <c r="AV2205">
        <f>COUNTIF($BA$2205:$EH$2205,"D")</f>
        <v/>
      </c>
      <c r="AW2205">
        <f>COUNTIF($BA$2205:$EH$2205,"R")</f>
        <v/>
      </c>
      <c r="AX2205">
        <f>IF(BN2205="D",1,0)+IF(BO2205="D",1,0)+IF(BT2205="D",1,0)+IF(BU2205="D",1,0)+IF(BW2205="D",1,0)+IF(CC2205="D",1,0)+IF(CD2205="D",1,0)+IF(CE2205="D",1,0)+IF(CF2205="D",1,0)+IF(CL2205="D",1,0)+IF(CM2205="D",1,0)+IF(CQ2205="D",1,0)+IF(CR2205="D",1,0)+IF(CS2205="D",1,0)+IF(CW2205="D",1,0)+IF(CX2205="D",1,0)+IF(DD2205="D",1,0)+IF(DE2205="D",1,0)+IF(DJ2205="D",1,0)+IF(DK2205="D",1,0)+IF(DO2205="D",1,0)+IF(DP2205="D",1,0)+IF(DQ2205="D",1,0)+IF(DW2205="D",1,0)+IF(DZ2205="D",1,0)+IF(EH2205="D",1,0)</f>
        <v/>
      </c>
      <c r="AY2205">
        <f>IF(DJ2205&lt;&gt;"",1,0)+IF(DK2205&lt;&gt;"",1,0)+IF(DM2205&lt;&gt;"",1,0)+IF(DO2205&lt;&gt;"",1,0)+IF(DP2205&lt;&gt;"",1,0)+IF(DQ2205&lt;&gt;"",1,0)+IF(DS2205&lt;&gt;"",1,0)+IF(DT2205&lt;&gt;"",1,0)+IF(DV2205&lt;&gt;"",1,0)+IF(DW2205&lt;&gt;"",1,0)+IF(DX2205&lt;&gt;"",1,0)+IF(DY2205&lt;&gt;"",1,0)+IF(DZ2205&lt;&gt;"",1,0)+IF(EB2205&lt;&gt;"",1,0)+IF(EC2205&lt;&gt;"",1,0)+IF(ED2205&lt;&gt;"",1,0)+IF(EG2205&lt;&gt;"",1,0)+IF(EH2205&lt;&gt;"",1,0)</f>
        <v/>
      </c>
      <c r="AZ2205">
        <f>IF(EH2205&lt;&gt;"",1,0)</f>
        <v/>
      </c>
      <c r="BB2205" t="inlineStr">
        <is>
          <t>WARREN-WARD 4</t>
        </is>
      </c>
      <c r="CP2205" t="inlineStr">
        <is>
          <t>X</t>
        </is>
      </c>
      <c r="CY2205" t="inlineStr">
        <is>
          <t>X</t>
        </is>
      </c>
    </row>
    <row r="2206">
      <c r="A2206" t="inlineStr">
        <is>
          <t>OH0015693178</t>
        </is>
      </c>
      <c r="B2206" t="n">
        <v>78</v>
      </c>
      <c r="C2206" t="n">
        <v>14289</v>
      </c>
      <c r="D2206" t="inlineStr">
        <is>
          <t>FRANKLIN</t>
        </is>
      </c>
      <c r="E2206" t="inlineStr">
        <is>
          <t>LENA</t>
        </is>
      </c>
      <c r="F2206">
        <f>CONCATENATE(D2206," ",LEFT(H2206,4),"T=",AU2206,"D=",AV2206,"R=",AW2206,"M=",AX2206,"L=",AY2206,"B=",AZ2206)</f>
        <v/>
      </c>
      <c r="G2206" t="inlineStr">
        <is>
          <t>G</t>
        </is>
      </c>
      <c r="I2206" t="inlineStr">
        <is>
          <t>1932-09-18</t>
        </is>
      </c>
      <c r="J2206" t="inlineStr">
        <is>
          <t>1960-03-23</t>
        </is>
      </c>
      <c r="K2206" t="inlineStr">
        <is>
          <t>ACTIVE</t>
        </is>
      </c>
      <c r="L2206" t="inlineStr">
        <is>
          <t>D</t>
        </is>
      </c>
      <c r="M2206" t="inlineStr">
        <is>
          <t>1515 HOMEWOOD AVE SE</t>
        </is>
      </c>
      <c r="N2206">
        <f>RIGHT(M2206,LEN(M2206)-FIND(" ",M2206))</f>
        <v/>
      </c>
      <c r="P2206" t="inlineStr">
        <is>
          <t>WARREN</t>
        </is>
      </c>
      <c r="Q2206" t="inlineStr">
        <is>
          <t>OH</t>
        </is>
      </c>
      <c r="R2206" t="n">
        <v>44484</v>
      </c>
      <c r="AD2206" t="inlineStr">
        <is>
          <t>TRUMBULL CAREER &amp; TECH CENTER</t>
        </is>
      </c>
      <c r="AE2206" t="inlineStr">
        <is>
          <t>WARREN CITY</t>
        </is>
      </c>
      <c r="AF2206" t="inlineStr">
        <is>
          <t>WARREN CITY SD</t>
        </is>
      </c>
      <c r="AH2206" t="n">
        <v>14</v>
      </c>
      <c r="AI2206" t="n">
        <v>11</v>
      </c>
      <c r="AN2206" t="inlineStr">
        <is>
          <t>WARREN</t>
        </is>
      </c>
      <c r="AO2206" t="inlineStr">
        <is>
          <t>WARREN CITY 4F</t>
        </is>
      </c>
      <c r="AP2206" t="inlineStr">
        <is>
          <t>78-P-ADN</t>
        </is>
      </c>
      <c r="AQ2206" t="n">
        <v>9</v>
      </c>
      <c r="AR2206" t="n">
        <v>64</v>
      </c>
      <c r="AS2206" t="n">
        <v>32</v>
      </c>
      <c r="AU2206">
        <f>COUNTA($BA$2206:$EH$2206)</f>
        <v/>
      </c>
      <c r="AV2206">
        <f>COUNTIF($BA$2206:$EH$2206,"D")</f>
        <v/>
      </c>
      <c r="AW2206">
        <f>COUNTIF($BA$2206:$EH$2206,"R")</f>
        <v/>
      </c>
      <c r="AX2206">
        <f>IF(BN2206="D",1,0)+IF(BO2206="D",1,0)+IF(BT2206="D",1,0)+IF(BU2206="D",1,0)+IF(BW2206="D",1,0)+IF(CC2206="D",1,0)+IF(CD2206="D",1,0)+IF(CE2206="D",1,0)+IF(CF2206="D",1,0)+IF(CL2206="D",1,0)+IF(CM2206="D",1,0)+IF(CQ2206="D",1,0)+IF(CR2206="D",1,0)+IF(CS2206="D",1,0)+IF(CW2206="D",1,0)+IF(CX2206="D",1,0)+IF(DD2206="D",1,0)+IF(DE2206="D",1,0)+IF(DJ2206="D",1,0)+IF(DK2206="D",1,0)+IF(DO2206="D",1,0)+IF(DP2206="D",1,0)+IF(DQ2206="D",1,0)+IF(DW2206="D",1,0)+IF(DZ2206="D",1,0)+IF(EH2206="D",1,0)</f>
        <v/>
      </c>
      <c r="AY2206">
        <f>IF(DJ2206&lt;&gt;"",1,0)+IF(DK2206&lt;&gt;"",1,0)+IF(DM2206&lt;&gt;"",1,0)+IF(DO2206&lt;&gt;"",1,0)+IF(DP2206&lt;&gt;"",1,0)+IF(DQ2206&lt;&gt;"",1,0)+IF(DS2206&lt;&gt;"",1,0)+IF(DT2206&lt;&gt;"",1,0)+IF(DV2206&lt;&gt;"",1,0)+IF(DW2206&lt;&gt;"",1,0)+IF(DX2206&lt;&gt;"",1,0)+IF(DY2206&lt;&gt;"",1,0)+IF(DZ2206&lt;&gt;"",1,0)+IF(EB2206&lt;&gt;"",1,0)+IF(EC2206&lt;&gt;"",1,0)+IF(ED2206&lt;&gt;"",1,0)+IF(EG2206&lt;&gt;"",1,0)+IF(EH2206&lt;&gt;"",1,0)</f>
        <v/>
      </c>
      <c r="AZ2206">
        <f>IF(EH2206&lt;&gt;"",1,0)</f>
        <v/>
      </c>
      <c r="BB2206" t="inlineStr">
        <is>
          <t>WARREN-WARD 4</t>
        </is>
      </c>
      <c r="BC2206" t="inlineStr">
        <is>
          <t>X</t>
        </is>
      </c>
      <c r="BD2206" t="inlineStr">
        <is>
          <t>X</t>
        </is>
      </c>
      <c r="BE2206" t="inlineStr">
        <is>
          <t>X</t>
        </is>
      </c>
      <c r="BF2206" t="inlineStr">
        <is>
          <t>X</t>
        </is>
      </c>
      <c r="BG2206" t="inlineStr">
        <is>
          <t>X</t>
        </is>
      </c>
      <c r="BH2206" t="inlineStr">
        <is>
          <t>X</t>
        </is>
      </c>
      <c r="BI2206" t="inlineStr">
        <is>
          <t>X</t>
        </is>
      </c>
      <c r="BJ2206" t="inlineStr">
        <is>
          <t>X</t>
        </is>
      </c>
      <c r="BK2206" t="inlineStr">
        <is>
          <t>X</t>
        </is>
      </c>
      <c r="BL2206" t="inlineStr">
        <is>
          <t>X</t>
        </is>
      </c>
      <c r="BP2206" t="inlineStr">
        <is>
          <t>X</t>
        </is>
      </c>
      <c r="BR2206" t="inlineStr">
        <is>
          <t>X</t>
        </is>
      </c>
      <c r="BS2206" t="inlineStr">
        <is>
          <t>X</t>
        </is>
      </c>
      <c r="BT2206" t="inlineStr">
        <is>
          <t>X</t>
        </is>
      </c>
      <c r="BV2206" t="inlineStr">
        <is>
          <t>X</t>
        </is>
      </c>
      <c r="BY2206" t="inlineStr">
        <is>
          <t>D</t>
        </is>
      </c>
      <c r="CA2206" t="inlineStr">
        <is>
          <t>X</t>
        </is>
      </c>
      <c r="CC2206" t="inlineStr">
        <is>
          <t>D</t>
        </is>
      </c>
      <c r="CG2206" t="inlineStr">
        <is>
          <t>X</t>
        </is>
      </c>
      <c r="CH2206" t="inlineStr">
        <is>
          <t>D</t>
        </is>
      </c>
      <c r="CK2206" t="inlineStr">
        <is>
          <t>X</t>
        </is>
      </c>
      <c r="CL2206" t="inlineStr">
        <is>
          <t>D</t>
        </is>
      </c>
      <c r="CN2206" t="inlineStr">
        <is>
          <t>X</t>
        </is>
      </c>
      <c r="CO2206" t="inlineStr">
        <is>
          <t>D</t>
        </is>
      </c>
      <c r="CP2206" t="inlineStr">
        <is>
          <t>X</t>
        </is>
      </c>
      <c r="CQ2206" t="inlineStr">
        <is>
          <t>D</t>
        </is>
      </c>
      <c r="CT2206" t="inlineStr">
        <is>
          <t>X</t>
        </is>
      </c>
      <c r="CU2206" t="inlineStr">
        <is>
          <t>D</t>
        </is>
      </c>
      <c r="CV2206" t="inlineStr">
        <is>
          <t>X</t>
        </is>
      </c>
      <c r="CW2206" t="inlineStr">
        <is>
          <t>D</t>
        </is>
      </c>
      <c r="CY2206" t="inlineStr">
        <is>
          <t>X</t>
        </is>
      </c>
      <c r="CZ2206" t="inlineStr">
        <is>
          <t>D</t>
        </is>
      </c>
      <c r="DC2206" t="inlineStr">
        <is>
          <t>X</t>
        </is>
      </c>
      <c r="DF2206" t="inlineStr">
        <is>
          <t>X</t>
        </is>
      </c>
      <c r="DG2206" t="inlineStr">
        <is>
          <t>D</t>
        </is>
      </c>
      <c r="DI2206" t="inlineStr">
        <is>
          <t>X</t>
        </is>
      </c>
      <c r="DJ2206" t="inlineStr">
        <is>
          <t>D</t>
        </is>
      </c>
      <c r="DL2206" t="inlineStr">
        <is>
          <t>X</t>
        </is>
      </c>
      <c r="DM2206" t="inlineStr">
        <is>
          <t>D</t>
        </is>
      </c>
      <c r="DN2206" t="inlineStr">
        <is>
          <t>X</t>
        </is>
      </c>
      <c r="DR2206" t="inlineStr">
        <is>
          <t>X</t>
        </is>
      </c>
      <c r="DT2206" t="inlineStr">
        <is>
          <t>D</t>
        </is>
      </c>
      <c r="DU2206" t="inlineStr">
        <is>
          <t>X</t>
        </is>
      </c>
      <c r="DW2206" t="inlineStr">
        <is>
          <t>D</t>
        </is>
      </c>
      <c r="DX2206" t="inlineStr">
        <is>
          <t>X</t>
        </is>
      </c>
      <c r="EA2206" t="inlineStr">
        <is>
          <t>X</t>
        </is>
      </c>
      <c r="ED2206" t="inlineStr">
        <is>
          <t>D</t>
        </is>
      </c>
      <c r="EF2206" t="inlineStr">
        <is>
          <t>X</t>
        </is>
      </c>
      <c r="EH2206" t="inlineStr">
        <is>
          <t>D</t>
        </is>
      </c>
    </row>
    <row r="2207">
      <c r="A2207" t="inlineStr">
        <is>
          <t>OH0018589870</t>
        </is>
      </c>
      <c r="B2207" t="n">
        <v>78</v>
      </c>
      <c r="C2207" t="n">
        <v>336991</v>
      </c>
      <c r="D2207" t="inlineStr">
        <is>
          <t>BOHRER</t>
        </is>
      </c>
      <c r="E2207" t="inlineStr">
        <is>
          <t>JEREMIAH</t>
        </is>
      </c>
      <c r="F2207">
        <f>CONCATENATE(D2207," ",LEFT(H2207,4),"T=",AU2207,"D=",AV2207,"R=",AW2207,"M=",AX2207,"L=",AY2207,"B=",AZ2207)</f>
        <v/>
      </c>
      <c r="G2207" t="inlineStr">
        <is>
          <t>C</t>
        </is>
      </c>
      <c r="I2207" t="inlineStr">
        <is>
          <t>1986-11-08</t>
        </is>
      </c>
      <c r="J2207" t="inlineStr">
        <is>
          <t>2020-05-30</t>
        </is>
      </c>
      <c r="K2207" t="inlineStr">
        <is>
          <t>CONFIRMATION</t>
        </is>
      </c>
      <c r="M2207" t="inlineStr">
        <is>
          <t>1085 KENILWORTH AVE SE</t>
        </is>
      </c>
      <c r="N2207">
        <f>RIGHT(M2207,LEN(M2207)-FIND(" ",M2207))</f>
        <v/>
      </c>
      <c r="P2207" t="inlineStr">
        <is>
          <t>WARREN</t>
        </is>
      </c>
      <c r="Q2207" t="inlineStr">
        <is>
          <t>OH</t>
        </is>
      </c>
      <c r="R2207" t="n">
        <v>44484</v>
      </c>
      <c r="AD2207" t="inlineStr">
        <is>
          <t>TRUMBULL CAREER &amp; TECH CENTER</t>
        </is>
      </c>
      <c r="AE2207" t="inlineStr">
        <is>
          <t>WARREN CITY</t>
        </is>
      </c>
      <c r="AF2207" t="inlineStr">
        <is>
          <t>WARREN CITY SD</t>
        </is>
      </c>
      <c r="AH2207" t="n">
        <v>14</v>
      </c>
      <c r="AI2207" t="n">
        <v>11</v>
      </c>
      <c r="AN2207" t="inlineStr">
        <is>
          <t>WARREN</t>
        </is>
      </c>
      <c r="AO2207" t="inlineStr">
        <is>
          <t>WARREN CITY 4F</t>
        </is>
      </c>
      <c r="AP2207" t="inlineStr">
        <is>
          <t>78-P-ADN</t>
        </is>
      </c>
      <c r="AQ2207" t="n">
        <v>9</v>
      </c>
      <c r="AR2207" t="n">
        <v>64</v>
      </c>
      <c r="AS2207" t="n">
        <v>32</v>
      </c>
      <c r="AU2207">
        <f>COUNTA($BA$2207:$EH$2207)</f>
        <v/>
      </c>
      <c r="AV2207">
        <f>COUNTIF($BA$2207:$EH$2207,"D")</f>
        <v/>
      </c>
      <c r="AW2207">
        <f>COUNTIF($BA$2207:$EH$2207,"R")</f>
        <v/>
      </c>
      <c r="AX2207">
        <f>IF(BN2207="D",1,0)+IF(BO2207="D",1,0)+IF(BT2207="D",1,0)+IF(BU2207="D",1,0)+IF(BW2207="D",1,0)+IF(CC2207="D",1,0)+IF(CD2207="D",1,0)+IF(CE2207="D",1,0)+IF(CF2207="D",1,0)+IF(CL2207="D",1,0)+IF(CM2207="D",1,0)+IF(CQ2207="D",1,0)+IF(CR2207="D",1,0)+IF(CS2207="D",1,0)+IF(CW2207="D",1,0)+IF(CX2207="D",1,0)+IF(DD2207="D",1,0)+IF(DE2207="D",1,0)+IF(DJ2207="D",1,0)+IF(DK2207="D",1,0)+IF(DO2207="D",1,0)+IF(DP2207="D",1,0)+IF(DQ2207="D",1,0)+IF(DW2207="D",1,0)+IF(DZ2207="D",1,0)+IF(EH2207="D",1,0)</f>
        <v/>
      </c>
      <c r="AY2207">
        <f>IF(DJ2207&lt;&gt;"",1,0)+IF(DK2207&lt;&gt;"",1,0)+IF(DM2207&lt;&gt;"",1,0)+IF(DO2207&lt;&gt;"",1,0)+IF(DP2207&lt;&gt;"",1,0)+IF(DQ2207&lt;&gt;"",1,0)+IF(DS2207&lt;&gt;"",1,0)+IF(DT2207&lt;&gt;"",1,0)+IF(DV2207&lt;&gt;"",1,0)+IF(DW2207&lt;&gt;"",1,0)+IF(DX2207&lt;&gt;"",1,0)+IF(DY2207&lt;&gt;"",1,0)+IF(DZ2207&lt;&gt;"",1,0)+IF(EB2207&lt;&gt;"",1,0)+IF(EC2207&lt;&gt;"",1,0)+IF(ED2207&lt;&gt;"",1,0)+IF(EG2207&lt;&gt;"",1,0)+IF(EH2207&lt;&gt;"",1,0)</f>
        <v/>
      </c>
      <c r="AZ2207">
        <f>IF(EH2207&lt;&gt;"",1,0)</f>
        <v/>
      </c>
      <c r="BB2207" t="inlineStr">
        <is>
          <t>WARREN-WARD 4</t>
        </is>
      </c>
      <c r="BP2207" t="inlineStr">
        <is>
          <t>X</t>
        </is>
      </c>
      <c r="BS2207" t="inlineStr">
        <is>
          <t>X</t>
        </is>
      </c>
      <c r="BY2207" t="inlineStr">
        <is>
          <t>D</t>
        </is>
      </c>
      <c r="CA2207" t="inlineStr">
        <is>
          <t>X</t>
        </is>
      </c>
      <c r="CG2207" t="inlineStr">
        <is>
          <t>X</t>
        </is>
      </c>
      <c r="CH2207" t="inlineStr">
        <is>
          <t>R</t>
        </is>
      </c>
      <c r="CP2207" t="inlineStr">
        <is>
          <t>X</t>
        </is>
      </c>
      <c r="CV2207" t="inlineStr">
        <is>
          <t>X</t>
        </is>
      </c>
      <c r="DN2207" t="inlineStr">
        <is>
          <t>X</t>
        </is>
      </c>
    </row>
    <row r="2208">
      <c r="A2208" t="inlineStr">
        <is>
          <t>OH0021374502</t>
        </is>
      </c>
      <c r="B2208" t="n">
        <v>78</v>
      </c>
      <c r="C2208" t="n">
        <v>380448</v>
      </c>
      <c r="D2208" t="inlineStr">
        <is>
          <t>MATTHEWS</t>
        </is>
      </c>
      <c r="E2208" t="inlineStr">
        <is>
          <t>SLOANE</t>
        </is>
      </c>
      <c r="F2208">
        <f>CONCATENATE(D2208," ",LEFT(H2208,4),"T=",AU2208,"D=",AV2208,"R=",AW2208,"M=",AX2208,"L=",AY2208,"B=",AZ2208)</f>
        <v/>
      </c>
      <c r="G2208" t="inlineStr">
        <is>
          <t>U</t>
        </is>
      </c>
      <c r="I2208" t="inlineStr">
        <is>
          <t>1993-02-13</t>
        </is>
      </c>
      <c r="J2208" t="inlineStr">
        <is>
          <t>2015-12-15</t>
        </is>
      </c>
      <c r="K2208" t="inlineStr">
        <is>
          <t>CONFIRMATION</t>
        </is>
      </c>
      <c r="M2208" t="inlineStr">
        <is>
          <t>1542 ROMAN ST SE</t>
        </is>
      </c>
      <c r="N2208">
        <f>RIGHT(M2208,LEN(M2208)-FIND(" ",M2208))</f>
        <v/>
      </c>
      <c r="P2208" t="inlineStr">
        <is>
          <t>WARREN</t>
        </is>
      </c>
      <c r="Q2208" t="inlineStr">
        <is>
          <t>OH</t>
        </is>
      </c>
      <c r="R2208" t="n">
        <v>44484</v>
      </c>
      <c r="AD2208" t="inlineStr">
        <is>
          <t>TRUMBULL CAREER &amp; TECH CENTER</t>
        </is>
      </c>
      <c r="AE2208" t="inlineStr">
        <is>
          <t>WARREN CITY</t>
        </is>
      </c>
      <c r="AF2208" t="inlineStr">
        <is>
          <t>WARREN CITY SD</t>
        </is>
      </c>
      <c r="AH2208" t="n">
        <v>14</v>
      </c>
      <c r="AI2208" t="n">
        <v>11</v>
      </c>
      <c r="AN2208" t="inlineStr">
        <is>
          <t>WARREN</t>
        </is>
      </c>
      <c r="AO2208" t="inlineStr">
        <is>
          <t>WARREN CITY 4F</t>
        </is>
      </c>
      <c r="AP2208" t="inlineStr">
        <is>
          <t>78-P-ADN</t>
        </is>
      </c>
      <c r="AQ2208" t="n">
        <v>9</v>
      </c>
      <c r="AR2208" t="n">
        <v>64</v>
      </c>
      <c r="AS2208" t="n">
        <v>32</v>
      </c>
      <c r="AU2208">
        <f>COUNTA($BA$2208:$EH$2208)</f>
        <v/>
      </c>
      <c r="AV2208">
        <f>COUNTIF($BA$2208:$EH$2208,"D")</f>
        <v/>
      </c>
      <c r="AW2208">
        <f>COUNTIF($BA$2208:$EH$2208,"R")</f>
        <v/>
      </c>
      <c r="AX2208">
        <f>IF(BN2208="D",1,0)+IF(BO2208="D",1,0)+IF(BT2208="D",1,0)+IF(BU2208="D",1,0)+IF(BW2208="D",1,0)+IF(CC2208="D",1,0)+IF(CD2208="D",1,0)+IF(CE2208="D",1,0)+IF(CF2208="D",1,0)+IF(CL2208="D",1,0)+IF(CM2208="D",1,0)+IF(CQ2208="D",1,0)+IF(CR2208="D",1,0)+IF(CS2208="D",1,0)+IF(CW2208="D",1,0)+IF(CX2208="D",1,0)+IF(DD2208="D",1,0)+IF(DE2208="D",1,0)+IF(DJ2208="D",1,0)+IF(DK2208="D",1,0)+IF(DO2208="D",1,0)+IF(DP2208="D",1,0)+IF(DQ2208="D",1,0)+IF(DW2208="D",1,0)+IF(DZ2208="D",1,0)+IF(EH2208="D",1,0)</f>
        <v/>
      </c>
      <c r="AY2208">
        <f>IF(DJ2208&lt;&gt;"",1,0)+IF(DK2208&lt;&gt;"",1,0)+IF(DM2208&lt;&gt;"",1,0)+IF(DO2208&lt;&gt;"",1,0)+IF(DP2208&lt;&gt;"",1,0)+IF(DQ2208&lt;&gt;"",1,0)+IF(DS2208&lt;&gt;"",1,0)+IF(DT2208&lt;&gt;"",1,0)+IF(DV2208&lt;&gt;"",1,0)+IF(DW2208&lt;&gt;"",1,0)+IF(DX2208&lt;&gt;"",1,0)+IF(DY2208&lt;&gt;"",1,0)+IF(DZ2208&lt;&gt;"",1,0)+IF(EB2208&lt;&gt;"",1,0)+IF(EC2208&lt;&gt;"",1,0)+IF(ED2208&lt;&gt;"",1,0)+IF(EG2208&lt;&gt;"",1,0)+IF(EH2208&lt;&gt;"",1,0)</f>
        <v/>
      </c>
      <c r="AZ2208">
        <f>IF(EH2208&lt;&gt;"",1,0)</f>
        <v/>
      </c>
      <c r="BB2208" t="inlineStr">
        <is>
          <t>WARREN-WARD 4</t>
        </is>
      </c>
      <c r="CP2208" t="inlineStr">
        <is>
          <t>X</t>
        </is>
      </c>
      <c r="DC2208" t="inlineStr">
        <is>
          <t>X</t>
        </is>
      </c>
    </row>
    <row r="2209">
      <c r="A2209" t="inlineStr">
        <is>
          <t>OH0019695086</t>
        </is>
      </c>
      <c r="B2209" t="n">
        <v>78</v>
      </c>
      <c r="C2209" t="n">
        <v>357645</v>
      </c>
      <c r="D2209" t="inlineStr">
        <is>
          <t>MCCOLLOUGH</t>
        </is>
      </c>
      <c r="E2209" t="inlineStr">
        <is>
          <t>THAD</t>
        </is>
      </c>
      <c r="F2209">
        <f>CONCATENATE(D2209," ",LEFT(H2209,4),"T=",AU2209,"D=",AV2209,"R=",AW2209,"M=",AX2209,"L=",AY2209,"B=",AZ2209)</f>
        <v/>
      </c>
      <c r="G2209" t="inlineStr">
        <is>
          <t>A</t>
        </is>
      </c>
      <c r="I2209" t="inlineStr">
        <is>
          <t>1952-09-17</t>
        </is>
      </c>
      <c r="J2209" t="inlineStr">
        <is>
          <t>2008-02-11</t>
        </is>
      </c>
      <c r="K2209" t="inlineStr">
        <is>
          <t>ACTIVE</t>
        </is>
      </c>
      <c r="M2209" t="inlineStr">
        <is>
          <t>1835 WALLACE ST SE</t>
        </is>
      </c>
      <c r="N2209">
        <f>RIGHT(M2209,LEN(M2209)-FIND(" ",M2209))</f>
        <v/>
      </c>
      <c r="P2209" t="inlineStr">
        <is>
          <t>WARREN</t>
        </is>
      </c>
      <c r="Q2209" t="inlineStr">
        <is>
          <t>OH</t>
        </is>
      </c>
      <c r="R2209" t="n">
        <v>44484</v>
      </c>
      <c r="AD2209" t="inlineStr">
        <is>
          <t>TRUMBULL CAREER &amp; TECH CENTER</t>
        </is>
      </c>
      <c r="AE2209" t="inlineStr">
        <is>
          <t>WARREN CITY</t>
        </is>
      </c>
      <c r="AF2209" t="inlineStr">
        <is>
          <t>WARREN CITY SD</t>
        </is>
      </c>
      <c r="AH2209" t="n">
        <v>14</v>
      </c>
      <c r="AI2209" t="n">
        <v>11</v>
      </c>
      <c r="AN2209" t="inlineStr">
        <is>
          <t>WARREN</t>
        </is>
      </c>
      <c r="AO2209" t="inlineStr">
        <is>
          <t>WARREN CITY 4F</t>
        </is>
      </c>
      <c r="AP2209" t="inlineStr">
        <is>
          <t>78-P-ADN</t>
        </is>
      </c>
      <c r="AQ2209" t="n">
        <v>9</v>
      </c>
      <c r="AR2209" t="n">
        <v>64</v>
      </c>
      <c r="AS2209" t="n">
        <v>32</v>
      </c>
      <c r="AU2209">
        <f>COUNTA($BA$2209:$EH$2209)</f>
        <v/>
      </c>
      <c r="AV2209">
        <f>COUNTIF($BA$2209:$EH$2209,"D")</f>
        <v/>
      </c>
      <c r="AW2209">
        <f>COUNTIF($BA$2209:$EH$2209,"R")</f>
        <v/>
      </c>
      <c r="AX2209">
        <f>IF(BN2209="D",1,0)+IF(BO2209="D",1,0)+IF(BT2209="D",1,0)+IF(BU2209="D",1,0)+IF(BW2209="D",1,0)+IF(CC2209="D",1,0)+IF(CD2209="D",1,0)+IF(CE2209="D",1,0)+IF(CF2209="D",1,0)+IF(CL2209="D",1,0)+IF(CM2209="D",1,0)+IF(CQ2209="D",1,0)+IF(CR2209="D",1,0)+IF(CS2209="D",1,0)+IF(CW2209="D",1,0)+IF(CX2209="D",1,0)+IF(DD2209="D",1,0)+IF(DE2209="D",1,0)+IF(DJ2209="D",1,0)+IF(DK2209="D",1,0)+IF(DO2209="D",1,0)+IF(DP2209="D",1,0)+IF(DQ2209="D",1,0)+IF(DW2209="D",1,0)+IF(DZ2209="D",1,0)+IF(EH2209="D",1,0)</f>
        <v/>
      </c>
      <c r="AY2209">
        <f>IF(DJ2209&lt;&gt;"",1,0)+IF(DK2209&lt;&gt;"",1,0)+IF(DM2209&lt;&gt;"",1,0)+IF(DO2209&lt;&gt;"",1,0)+IF(DP2209&lt;&gt;"",1,0)+IF(DQ2209&lt;&gt;"",1,0)+IF(DS2209&lt;&gt;"",1,0)+IF(DT2209&lt;&gt;"",1,0)+IF(DV2209&lt;&gt;"",1,0)+IF(DW2209&lt;&gt;"",1,0)+IF(DX2209&lt;&gt;"",1,0)+IF(DY2209&lt;&gt;"",1,0)+IF(DZ2209&lt;&gt;"",1,0)+IF(EB2209&lt;&gt;"",1,0)+IF(EC2209&lt;&gt;"",1,0)+IF(ED2209&lt;&gt;"",1,0)+IF(EG2209&lt;&gt;"",1,0)+IF(EH2209&lt;&gt;"",1,0)</f>
        <v/>
      </c>
      <c r="AZ2209">
        <f>IF(EH2209&lt;&gt;"",1,0)</f>
        <v/>
      </c>
      <c r="BB2209" t="inlineStr">
        <is>
          <t>WARREN-WARD 4</t>
        </is>
      </c>
      <c r="CA2209" t="inlineStr">
        <is>
          <t>X</t>
        </is>
      </c>
      <c r="CK2209" t="inlineStr">
        <is>
          <t>X</t>
        </is>
      </c>
      <c r="CP2209" t="inlineStr">
        <is>
          <t>X</t>
        </is>
      </c>
      <c r="CV2209" t="inlineStr">
        <is>
          <t>X</t>
        </is>
      </c>
      <c r="DC2209" t="inlineStr">
        <is>
          <t>X</t>
        </is>
      </c>
      <c r="DI2209" t="inlineStr">
        <is>
          <t>X</t>
        </is>
      </c>
      <c r="DN2209" t="inlineStr">
        <is>
          <t>X</t>
        </is>
      </c>
      <c r="DU2209" t="inlineStr">
        <is>
          <t>X</t>
        </is>
      </c>
      <c r="EF2209" t="inlineStr">
        <is>
          <t>X</t>
        </is>
      </c>
    </row>
    <row r="2210">
      <c r="A2210" t="inlineStr">
        <is>
          <t>OH0020392291</t>
        </is>
      </c>
      <c r="B2210" t="n">
        <v>78</v>
      </c>
      <c r="C2210" t="n">
        <v>367793</v>
      </c>
      <c r="D2210" t="inlineStr">
        <is>
          <t>PERKINS</t>
        </is>
      </c>
      <c r="E2210" t="inlineStr">
        <is>
          <t>IVANNA</t>
        </is>
      </c>
      <c r="F2210">
        <f>CONCATENATE(D2210," ",LEFT(H2210,4),"T=",AU2210,"D=",AV2210,"R=",AW2210,"M=",AX2210,"L=",AY2210,"B=",AZ2210)</f>
        <v/>
      </c>
      <c r="G2210" t="inlineStr">
        <is>
          <t>M</t>
        </is>
      </c>
      <c r="I2210" t="inlineStr">
        <is>
          <t>1989-02-23</t>
        </is>
      </c>
      <c r="J2210" t="inlineStr">
        <is>
          <t>2021-08-17</t>
        </is>
      </c>
      <c r="K2210" t="inlineStr">
        <is>
          <t>CONFIRMATION</t>
        </is>
      </c>
      <c r="M2210" t="inlineStr">
        <is>
          <t>2818 DUKE AVE SE</t>
        </is>
      </c>
      <c r="N2210">
        <f>RIGHT(M2210,LEN(M2210)-FIND(" ",M2210))</f>
        <v/>
      </c>
      <c r="P2210" t="inlineStr">
        <is>
          <t>WARREN</t>
        </is>
      </c>
      <c r="Q2210" t="inlineStr">
        <is>
          <t>OH</t>
        </is>
      </c>
      <c r="R2210" t="n">
        <v>44484</v>
      </c>
      <c r="AD2210" t="inlineStr">
        <is>
          <t>TRUMBULL CAREER &amp; TECH CENTER</t>
        </is>
      </c>
      <c r="AE2210" t="inlineStr">
        <is>
          <t>WARREN CITY</t>
        </is>
      </c>
      <c r="AF2210" t="inlineStr">
        <is>
          <t>WARREN CITY SD</t>
        </is>
      </c>
      <c r="AH2210" t="n">
        <v>14</v>
      </c>
      <c r="AI2210" t="n">
        <v>11</v>
      </c>
      <c r="AN2210" t="inlineStr">
        <is>
          <t>WARREN</t>
        </is>
      </c>
      <c r="AO2210" t="inlineStr">
        <is>
          <t>WARREN CITY 4F</t>
        </is>
      </c>
      <c r="AP2210" t="inlineStr">
        <is>
          <t>78-P-ADN</t>
        </is>
      </c>
      <c r="AQ2210" t="n">
        <v>9</v>
      </c>
      <c r="AR2210" t="n">
        <v>64</v>
      </c>
      <c r="AS2210" t="n">
        <v>32</v>
      </c>
      <c r="AU2210">
        <f>COUNTA($BA$2210:$EH$2210)</f>
        <v/>
      </c>
      <c r="AV2210">
        <f>COUNTIF($BA$2210:$EH$2210,"D")</f>
        <v/>
      </c>
      <c r="AW2210">
        <f>COUNTIF($BA$2210:$EH$2210,"R")</f>
        <v/>
      </c>
      <c r="AX2210">
        <f>IF(BN2210="D",1,0)+IF(BO2210="D",1,0)+IF(BT2210="D",1,0)+IF(BU2210="D",1,0)+IF(BW2210="D",1,0)+IF(CC2210="D",1,0)+IF(CD2210="D",1,0)+IF(CE2210="D",1,0)+IF(CF2210="D",1,0)+IF(CL2210="D",1,0)+IF(CM2210="D",1,0)+IF(CQ2210="D",1,0)+IF(CR2210="D",1,0)+IF(CS2210="D",1,0)+IF(CW2210="D",1,0)+IF(CX2210="D",1,0)+IF(DD2210="D",1,0)+IF(DE2210="D",1,0)+IF(DJ2210="D",1,0)+IF(DK2210="D",1,0)+IF(DO2210="D",1,0)+IF(DP2210="D",1,0)+IF(DQ2210="D",1,0)+IF(DW2210="D",1,0)+IF(DZ2210="D",1,0)+IF(EH2210="D",1,0)</f>
        <v/>
      </c>
      <c r="AY2210">
        <f>IF(DJ2210&lt;&gt;"",1,0)+IF(DK2210&lt;&gt;"",1,0)+IF(DM2210&lt;&gt;"",1,0)+IF(DO2210&lt;&gt;"",1,0)+IF(DP2210&lt;&gt;"",1,0)+IF(DQ2210&lt;&gt;"",1,0)+IF(DS2210&lt;&gt;"",1,0)+IF(DT2210&lt;&gt;"",1,0)+IF(DV2210&lt;&gt;"",1,0)+IF(DW2210&lt;&gt;"",1,0)+IF(DX2210&lt;&gt;"",1,0)+IF(DY2210&lt;&gt;"",1,0)+IF(DZ2210&lt;&gt;"",1,0)+IF(EB2210&lt;&gt;"",1,0)+IF(EC2210&lt;&gt;"",1,0)+IF(ED2210&lt;&gt;"",1,0)+IF(EG2210&lt;&gt;"",1,0)+IF(EH2210&lt;&gt;"",1,0)</f>
        <v/>
      </c>
      <c r="AZ2210">
        <f>IF(EH2210&lt;&gt;"",1,0)</f>
        <v/>
      </c>
      <c r="BB2210" t="inlineStr">
        <is>
          <t>WARREN-WARD 4</t>
        </is>
      </c>
      <c r="CP2210" t="inlineStr">
        <is>
          <t>X</t>
        </is>
      </c>
      <c r="CY2210" t="inlineStr">
        <is>
          <t>X</t>
        </is>
      </c>
      <c r="CZ2210" t="inlineStr">
        <is>
          <t>D</t>
        </is>
      </c>
      <c r="DC2210" t="inlineStr">
        <is>
          <t>X</t>
        </is>
      </c>
      <c r="DI2210" t="inlineStr">
        <is>
          <t>X</t>
        </is>
      </c>
    </row>
    <row r="2211">
      <c r="A2211" t="inlineStr">
        <is>
          <t>OH0023756365</t>
        </is>
      </c>
      <c r="B2211" t="n">
        <v>78</v>
      </c>
      <c r="C2211" t="n">
        <v>417773</v>
      </c>
      <c r="D2211" t="inlineStr">
        <is>
          <t>ISENBERG</t>
        </is>
      </c>
      <c r="E2211" t="inlineStr">
        <is>
          <t>SHANA</t>
        </is>
      </c>
      <c r="F2211">
        <f>CONCATENATE(D2211," ",LEFT(H2211,4),"T=",AU2211,"D=",AV2211,"R=",AW2211,"M=",AX2211,"L=",AY2211,"B=",AZ2211)</f>
        <v/>
      </c>
      <c r="G2211" t="inlineStr">
        <is>
          <t>MARIE</t>
        </is>
      </c>
      <c r="I2211" t="inlineStr">
        <is>
          <t>1977-06-28</t>
        </is>
      </c>
      <c r="J2211" t="inlineStr">
        <is>
          <t>2016-06-28</t>
        </is>
      </c>
      <c r="K2211" t="inlineStr">
        <is>
          <t>CONFIRMATION</t>
        </is>
      </c>
      <c r="M2211" t="inlineStr">
        <is>
          <t>1520 ADELAIDE AVE SE</t>
        </is>
      </c>
      <c r="N2211">
        <f>RIGHT(M2211,LEN(M2211)-FIND(" ",M2211))</f>
        <v/>
      </c>
      <c r="P2211" t="inlineStr">
        <is>
          <t>WARREN</t>
        </is>
      </c>
      <c r="Q2211" t="inlineStr">
        <is>
          <t>OH</t>
        </is>
      </c>
      <c r="R2211" t="n">
        <v>44484</v>
      </c>
      <c r="AD2211" t="inlineStr">
        <is>
          <t>TRUMBULL CAREER &amp; TECH CENTER</t>
        </is>
      </c>
      <c r="AE2211" t="inlineStr">
        <is>
          <t>WARREN CITY</t>
        </is>
      </c>
      <c r="AF2211" t="inlineStr">
        <is>
          <t>WARREN CITY SD</t>
        </is>
      </c>
      <c r="AH2211" t="n">
        <v>14</v>
      </c>
      <c r="AI2211" t="n">
        <v>11</v>
      </c>
      <c r="AN2211" t="inlineStr">
        <is>
          <t>WARREN</t>
        </is>
      </c>
      <c r="AO2211" t="inlineStr">
        <is>
          <t>WARREN CITY 4F</t>
        </is>
      </c>
      <c r="AP2211" t="inlineStr">
        <is>
          <t>78-P-ADN</t>
        </is>
      </c>
      <c r="AQ2211" t="n">
        <v>9</v>
      </c>
      <c r="AR2211" t="n">
        <v>64</v>
      </c>
      <c r="AS2211" t="n">
        <v>32</v>
      </c>
      <c r="AU2211">
        <f>COUNTA($BA$2211:$EH$2211)</f>
        <v/>
      </c>
      <c r="AV2211">
        <f>COUNTIF($BA$2211:$EH$2211,"D")</f>
        <v/>
      </c>
      <c r="AW2211">
        <f>COUNTIF($BA$2211:$EH$2211,"R")</f>
        <v/>
      </c>
      <c r="AX2211">
        <f>IF(BN2211="D",1,0)+IF(BO2211="D",1,0)+IF(BT2211="D",1,0)+IF(BU2211="D",1,0)+IF(BW2211="D",1,0)+IF(CC2211="D",1,0)+IF(CD2211="D",1,0)+IF(CE2211="D",1,0)+IF(CF2211="D",1,0)+IF(CL2211="D",1,0)+IF(CM2211="D",1,0)+IF(CQ2211="D",1,0)+IF(CR2211="D",1,0)+IF(CS2211="D",1,0)+IF(CW2211="D",1,0)+IF(CX2211="D",1,0)+IF(DD2211="D",1,0)+IF(DE2211="D",1,0)+IF(DJ2211="D",1,0)+IF(DK2211="D",1,0)+IF(DO2211="D",1,0)+IF(DP2211="D",1,0)+IF(DQ2211="D",1,0)+IF(DW2211="D",1,0)+IF(DZ2211="D",1,0)+IF(EH2211="D",1,0)</f>
        <v/>
      </c>
      <c r="AY2211">
        <f>IF(DJ2211&lt;&gt;"",1,0)+IF(DK2211&lt;&gt;"",1,0)+IF(DM2211&lt;&gt;"",1,0)+IF(DO2211&lt;&gt;"",1,0)+IF(DP2211&lt;&gt;"",1,0)+IF(DQ2211&lt;&gt;"",1,0)+IF(DS2211&lt;&gt;"",1,0)+IF(DT2211&lt;&gt;"",1,0)+IF(DV2211&lt;&gt;"",1,0)+IF(DW2211&lt;&gt;"",1,0)+IF(DX2211&lt;&gt;"",1,0)+IF(DY2211&lt;&gt;"",1,0)+IF(DZ2211&lt;&gt;"",1,0)+IF(EB2211&lt;&gt;"",1,0)+IF(EC2211&lt;&gt;"",1,0)+IF(ED2211&lt;&gt;"",1,0)+IF(EG2211&lt;&gt;"",1,0)+IF(EH2211&lt;&gt;"",1,0)</f>
        <v/>
      </c>
      <c r="AZ2211">
        <f>IF(EH2211&lt;&gt;"",1,0)</f>
        <v/>
      </c>
      <c r="BB2211" t="inlineStr">
        <is>
          <t>WARREN-WARD 4</t>
        </is>
      </c>
    </row>
    <row r="2212">
      <c r="A2212" t="inlineStr">
        <is>
          <t>OH0027501123</t>
        </is>
      </c>
      <c r="B2212" t="n">
        <v>78</v>
      </c>
      <c r="C2212" t="n">
        <v>487227</v>
      </c>
      <c r="D2212" t="inlineStr">
        <is>
          <t>JOHNSON</t>
        </is>
      </c>
      <c r="E2212" t="inlineStr">
        <is>
          <t>RAMON</t>
        </is>
      </c>
      <c r="F2212">
        <f>CONCATENATE(D2212," ",LEFT(H2212,4),"T=",AU2212,"D=",AV2212,"R=",AW2212,"M=",AX2212,"L=",AY2212,"B=",AZ2212)</f>
        <v/>
      </c>
      <c r="G2212" t="inlineStr">
        <is>
          <t>J</t>
        </is>
      </c>
      <c r="I2212" t="inlineStr">
        <is>
          <t>1980-07-10</t>
        </is>
      </c>
      <c r="J2212" t="inlineStr">
        <is>
          <t>2024-09-25</t>
        </is>
      </c>
      <c r="K2212" t="inlineStr">
        <is>
          <t>ACTIVE</t>
        </is>
      </c>
      <c r="M2212" t="inlineStr">
        <is>
          <t>1611 OAK KNOLL AVE SE</t>
        </is>
      </c>
      <c r="N2212">
        <f>RIGHT(M2212,LEN(M2212)-FIND(" ",M2212))</f>
        <v/>
      </c>
      <c r="P2212" t="inlineStr">
        <is>
          <t>WARREN</t>
        </is>
      </c>
      <c r="Q2212" t="inlineStr">
        <is>
          <t>OH</t>
        </is>
      </c>
      <c r="R2212" t="n">
        <v>44484</v>
      </c>
      <c r="AD2212" t="inlineStr">
        <is>
          <t>TRUMBULL CAREER &amp; TECH CENTER</t>
        </is>
      </c>
      <c r="AE2212" t="inlineStr">
        <is>
          <t>WARREN CITY</t>
        </is>
      </c>
      <c r="AF2212" t="inlineStr">
        <is>
          <t>WARREN CITY SD</t>
        </is>
      </c>
      <c r="AH2212" t="n">
        <v>14</v>
      </c>
      <c r="AI2212" t="n">
        <v>11</v>
      </c>
      <c r="AN2212" t="inlineStr">
        <is>
          <t>WARREN</t>
        </is>
      </c>
      <c r="AO2212" t="inlineStr">
        <is>
          <t>WARREN CITY 4F</t>
        </is>
      </c>
      <c r="AP2212" t="inlineStr">
        <is>
          <t>78-P-ADN</t>
        </is>
      </c>
      <c r="AQ2212" t="n">
        <v>9</v>
      </c>
      <c r="AR2212" t="n">
        <v>64</v>
      </c>
      <c r="AS2212" t="n">
        <v>32</v>
      </c>
      <c r="AU2212">
        <f>COUNTA($BA$2212:$EH$2212)</f>
        <v/>
      </c>
      <c r="AV2212">
        <f>COUNTIF($BA$2212:$EH$2212,"D")</f>
        <v/>
      </c>
      <c r="AW2212">
        <f>COUNTIF($BA$2212:$EH$2212,"R")</f>
        <v/>
      </c>
      <c r="AX2212">
        <f>IF(BN2212="D",1,0)+IF(BO2212="D",1,0)+IF(BT2212="D",1,0)+IF(BU2212="D",1,0)+IF(BW2212="D",1,0)+IF(CC2212="D",1,0)+IF(CD2212="D",1,0)+IF(CE2212="D",1,0)+IF(CF2212="D",1,0)+IF(CL2212="D",1,0)+IF(CM2212="D",1,0)+IF(CQ2212="D",1,0)+IF(CR2212="D",1,0)+IF(CS2212="D",1,0)+IF(CW2212="D",1,0)+IF(CX2212="D",1,0)+IF(DD2212="D",1,0)+IF(DE2212="D",1,0)+IF(DJ2212="D",1,0)+IF(DK2212="D",1,0)+IF(DO2212="D",1,0)+IF(DP2212="D",1,0)+IF(DQ2212="D",1,0)+IF(DW2212="D",1,0)+IF(DZ2212="D",1,0)+IF(EH2212="D",1,0)</f>
        <v/>
      </c>
      <c r="AY2212">
        <f>IF(DJ2212&lt;&gt;"",1,0)+IF(DK2212&lt;&gt;"",1,0)+IF(DM2212&lt;&gt;"",1,0)+IF(DO2212&lt;&gt;"",1,0)+IF(DP2212&lt;&gt;"",1,0)+IF(DQ2212&lt;&gt;"",1,0)+IF(DS2212&lt;&gt;"",1,0)+IF(DT2212&lt;&gt;"",1,0)+IF(DV2212&lt;&gt;"",1,0)+IF(DW2212&lt;&gt;"",1,0)+IF(DX2212&lt;&gt;"",1,0)+IF(DY2212&lt;&gt;"",1,0)+IF(DZ2212&lt;&gt;"",1,0)+IF(EB2212&lt;&gt;"",1,0)+IF(EC2212&lt;&gt;"",1,0)+IF(ED2212&lt;&gt;"",1,0)+IF(EG2212&lt;&gt;"",1,0)+IF(EH2212&lt;&gt;"",1,0)</f>
        <v/>
      </c>
      <c r="AZ2212">
        <f>IF(EH2212&lt;&gt;"",1,0)</f>
        <v/>
      </c>
      <c r="BB2212" t="inlineStr">
        <is>
          <t>WARREN-WARD 4</t>
        </is>
      </c>
      <c r="BY2212" t="inlineStr">
        <is>
          <t>D</t>
        </is>
      </c>
      <c r="CA2212" t="inlineStr">
        <is>
          <t>X</t>
        </is>
      </c>
      <c r="CP2212" t="inlineStr">
        <is>
          <t>X</t>
        </is>
      </c>
      <c r="CW2212" t="inlineStr">
        <is>
          <t>D</t>
        </is>
      </c>
      <c r="CY2212" t="inlineStr">
        <is>
          <t>X</t>
        </is>
      </c>
      <c r="CZ2212" t="inlineStr">
        <is>
          <t>D</t>
        </is>
      </c>
      <c r="DC2212" t="inlineStr">
        <is>
          <t>X</t>
        </is>
      </c>
      <c r="DI2212" t="inlineStr">
        <is>
          <t>X</t>
        </is>
      </c>
      <c r="DN2212" t="inlineStr">
        <is>
          <t>X</t>
        </is>
      </c>
    </row>
    <row r="2213">
      <c r="A2213" t="inlineStr">
        <is>
          <t>OH0015749506</t>
        </is>
      </c>
      <c r="B2213" t="n">
        <v>78</v>
      </c>
      <c r="C2213" t="n">
        <v>236084</v>
      </c>
      <c r="D2213" t="inlineStr">
        <is>
          <t>GILLIAM</t>
        </is>
      </c>
      <c r="E2213" t="inlineStr">
        <is>
          <t>GERALDINE</t>
        </is>
      </c>
      <c r="F2213">
        <f>CONCATENATE(D2213," ",LEFT(H2213,4),"T=",AU2213,"D=",AV2213,"R=",AW2213,"M=",AX2213,"L=",AY2213,"B=",AZ2213)</f>
        <v/>
      </c>
      <c r="G2213" t="inlineStr">
        <is>
          <t>K</t>
        </is>
      </c>
      <c r="I2213" t="inlineStr">
        <is>
          <t>1962-06-27</t>
        </is>
      </c>
      <c r="J2213" t="inlineStr">
        <is>
          <t>2007-11-21</t>
        </is>
      </c>
      <c r="K2213" t="inlineStr">
        <is>
          <t>ACTIVE</t>
        </is>
      </c>
      <c r="L2213" t="inlineStr">
        <is>
          <t>D</t>
        </is>
      </c>
      <c r="M2213" t="inlineStr">
        <is>
          <t>2064 WALLACE ST SE</t>
        </is>
      </c>
      <c r="N2213">
        <f>RIGHT(M2213,LEN(M2213)-FIND(" ",M2213))</f>
        <v/>
      </c>
      <c r="P2213" t="inlineStr">
        <is>
          <t>WARREN</t>
        </is>
      </c>
      <c r="Q2213" t="inlineStr">
        <is>
          <t>OH</t>
        </is>
      </c>
      <c r="R2213" t="n">
        <v>44484</v>
      </c>
      <c r="AD2213" t="inlineStr">
        <is>
          <t>TRUMBULL CAREER &amp; TECH CENTER</t>
        </is>
      </c>
      <c r="AE2213" t="inlineStr">
        <is>
          <t>WARREN CITY</t>
        </is>
      </c>
      <c r="AF2213" t="inlineStr">
        <is>
          <t>WARREN CITY SD</t>
        </is>
      </c>
      <c r="AH2213" t="n">
        <v>14</v>
      </c>
      <c r="AI2213" t="n">
        <v>11</v>
      </c>
      <c r="AN2213" t="inlineStr">
        <is>
          <t>WARREN</t>
        </is>
      </c>
      <c r="AO2213" t="inlineStr">
        <is>
          <t>WARREN CITY 4F</t>
        </is>
      </c>
      <c r="AP2213" t="inlineStr">
        <is>
          <t>78-P-ADN</t>
        </is>
      </c>
      <c r="AQ2213" t="n">
        <v>9</v>
      </c>
      <c r="AR2213" t="n">
        <v>64</v>
      </c>
      <c r="AS2213" t="n">
        <v>32</v>
      </c>
      <c r="AU2213">
        <f>COUNTA($BA$2213:$EH$2213)</f>
        <v/>
      </c>
      <c r="AV2213">
        <f>COUNTIF($BA$2213:$EH$2213,"D")</f>
        <v/>
      </c>
      <c r="AW2213">
        <f>COUNTIF($BA$2213:$EH$2213,"R")</f>
        <v/>
      </c>
      <c r="AX2213">
        <f>IF(BN2213="D",1,0)+IF(BO2213="D",1,0)+IF(BT2213="D",1,0)+IF(BU2213="D",1,0)+IF(BW2213="D",1,0)+IF(CC2213="D",1,0)+IF(CD2213="D",1,0)+IF(CE2213="D",1,0)+IF(CF2213="D",1,0)+IF(CL2213="D",1,0)+IF(CM2213="D",1,0)+IF(CQ2213="D",1,0)+IF(CR2213="D",1,0)+IF(CS2213="D",1,0)+IF(CW2213="D",1,0)+IF(CX2213="D",1,0)+IF(DD2213="D",1,0)+IF(DE2213="D",1,0)+IF(DJ2213="D",1,0)+IF(DK2213="D",1,0)+IF(DO2213="D",1,0)+IF(DP2213="D",1,0)+IF(DQ2213="D",1,0)+IF(DW2213="D",1,0)+IF(DZ2213="D",1,0)+IF(EH2213="D",1,0)</f>
        <v/>
      </c>
      <c r="AY2213">
        <f>IF(DJ2213&lt;&gt;"",1,0)+IF(DK2213&lt;&gt;"",1,0)+IF(DM2213&lt;&gt;"",1,0)+IF(DO2213&lt;&gt;"",1,0)+IF(DP2213&lt;&gt;"",1,0)+IF(DQ2213&lt;&gt;"",1,0)+IF(DS2213&lt;&gt;"",1,0)+IF(DT2213&lt;&gt;"",1,0)+IF(DV2213&lt;&gt;"",1,0)+IF(DW2213&lt;&gt;"",1,0)+IF(DX2213&lt;&gt;"",1,0)+IF(DY2213&lt;&gt;"",1,0)+IF(DZ2213&lt;&gt;"",1,0)+IF(EB2213&lt;&gt;"",1,0)+IF(EC2213&lt;&gt;"",1,0)+IF(ED2213&lt;&gt;"",1,0)+IF(EG2213&lt;&gt;"",1,0)+IF(EH2213&lt;&gt;"",1,0)</f>
        <v/>
      </c>
      <c r="AZ2213">
        <f>IF(EH2213&lt;&gt;"",1,0)</f>
        <v/>
      </c>
      <c r="BB2213" t="inlineStr">
        <is>
          <t>WARREN-WARD 4</t>
        </is>
      </c>
      <c r="BC2213" t="inlineStr">
        <is>
          <t>X</t>
        </is>
      </c>
      <c r="BD2213" t="inlineStr">
        <is>
          <t>X</t>
        </is>
      </c>
      <c r="BE2213" t="inlineStr">
        <is>
          <t>X</t>
        </is>
      </c>
      <c r="BF2213" t="inlineStr">
        <is>
          <t>X</t>
        </is>
      </c>
      <c r="BG2213" t="inlineStr">
        <is>
          <t>X</t>
        </is>
      </c>
      <c r="BH2213" t="inlineStr">
        <is>
          <t>X</t>
        </is>
      </c>
      <c r="BI2213" t="inlineStr">
        <is>
          <t>X</t>
        </is>
      </c>
      <c r="BJ2213" t="inlineStr">
        <is>
          <t>X</t>
        </is>
      </c>
      <c r="BK2213" t="inlineStr">
        <is>
          <t>X</t>
        </is>
      </c>
      <c r="BL2213" t="inlineStr">
        <is>
          <t>X</t>
        </is>
      </c>
      <c r="BP2213" t="inlineStr">
        <is>
          <t>X</t>
        </is>
      </c>
      <c r="BS2213" t="inlineStr">
        <is>
          <t>X</t>
        </is>
      </c>
      <c r="BV2213" t="inlineStr">
        <is>
          <t>X</t>
        </is>
      </c>
      <c r="BY2213" t="inlineStr">
        <is>
          <t>D</t>
        </is>
      </c>
      <c r="CA2213" t="inlineStr">
        <is>
          <t>X</t>
        </is>
      </c>
      <c r="CG2213" t="inlineStr">
        <is>
          <t>X</t>
        </is>
      </c>
      <c r="CK2213" t="inlineStr">
        <is>
          <t>X</t>
        </is>
      </c>
      <c r="CL2213" t="inlineStr">
        <is>
          <t>D</t>
        </is>
      </c>
      <c r="CN2213" t="inlineStr">
        <is>
          <t>X</t>
        </is>
      </c>
      <c r="CO2213" t="inlineStr">
        <is>
          <t>D</t>
        </is>
      </c>
      <c r="CP2213" t="inlineStr">
        <is>
          <t>X</t>
        </is>
      </c>
      <c r="CQ2213" t="inlineStr">
        <is>
          <t>D</t>
        </is>
      </c>
      <c r="CT2213" t="inlineStr">
        <is>
          <t>X</t>
        </is>
      </c>
      <c r="CU2213" t="inlineStr">
        <is>
          <t>D</t>
        </is>
      </c>
      <c r="CV2213" t="inlineStr">
        <is>
          <t>X</t>
        </is>
      </c>
      <c r="CW2213" t="inlineStr">
        <is>
          <t>D</t>
        </is>
      </c>
      <c r="CY2213" t="inlineStr">
        <is>
          <t>X</t>
        </is>
      </c>
      <c r="CZ2213" t="inlineStr">
        <is>
          <t>D</t>
        </is>
      </c>
      <c r="DC2213" t="inlineStr">
        <is>
          <t>X</t>
        </is>
      </c>
      <c r="DD2213" t="inlineStr">
        <is>
          <t>D</t>
        </is>
      </c>
      <c r="DF2213" t="inlineStr">
        <is>
          <t>X</t>
        </is>
      </c>
      <c r="DG2213" t="inlineStr">
        <is>
          <t>D</t>
        </is>
      </c>
      <c r="DI2213" t="inlineStr">
        <is>
          <t>X</t>
        </is>
      </c>
      <c r="DJ2213" t="inlineStr">
        <is>
          <t>D</t>
        </is>
      </c>
      <c r="DL2213" t="inlineStr">
        <is>
          <t>X</t>
        </is>
      </c>
      <c r="DM2213" t="inlineStr">
        <is>
          <t>D</t>
        </is>
      </c>
      <c r="DN2213" t="inlineStr">
        <is>
          <t>X</t>
        </is>
      </c>
      <c r="DR2213" t="inlineStr">
        <is>
          <t>X</t>
        </is>
      </c>
      <c r="DS2213" t="inlineStr">
        <is>
          <t>D</t>
        </is>
      </c>
      <c r="DU2213" t="inlineStr">
        <is>
          <t>X</t>
        </is>
      </c>
      <c r="DW2213" t="inlineStr">
        <is>
          <t>D</t>
        </is>
      </c>
      <c r="DX2213" t="inlineStr">
        <is>
          <t>X</t>
        </is>
      </c>
      <c r="EA2213" t="inlineStr">
        <is>
          <t>X</t>
        </is>
      </c>
      <c r="ED2213" t="inlineStr">
        <is>
          <t>D</t>
        </is>
      </c>
      <c r="EF2213" t="inlineStr">
        <is>
          <t>X</t>
        </is>
      </c>
      <c r="EH2213" t="inlineStr">
        <is>
          <t>D</t>
        </is>
      </c>
    </row>
    <row r="2214">
      <c r="A2214" t="inlineStr">
        <is>
          <t>OH0025363585</t>
        </is>
      </c>
      <c r="B2214" t="n">
        <v>78</v>
      </c>
      <c r="C2214" t="n">
        <v>443113</v>
      </c>
      <c r="D2214" t="inlineStr">
        <is>
          <t>OWENS</t>
        </is>
      </c>
      <c r="E2214" t="inlineStr">
        <is>
          <t>ANDRE</t>
        </is>
      </c>
      <c r="F2214">
        <f>CONCATENATE(D2214," ",LEFT(H2214,4),"T=",AU2214,"D=",AV2214,"R=",AW2214,"M=",AX2214,"L=",AY2214,"B=",AZ2214)</f>
        <v/>
      </c>
      <c r="G2214" t="inlineStr">
        <is>
          <t>L</t>
        </is>
      </c>
      <c r="I2214" t="inlineStr">
        <is>
          <t>1975-01-15</t>
        </is>
      </c>
      <c r="J2214" t="inlineStr">
        <is>
          <t>2019-11-21</t>
        </is>
      </c>
      <c r="K2214" t="inlineStr">
        <is>
          <t>CONFIRMATION</t>
        </is>
      </c>
      <c r="M2214" t="inlineStr">
        <is>
          <t>1640 BURTON ST SE</t>
        </is>
      </c>
      <c r="N2214">
        <f>RIGHT(M2214,LEN(M2214)-FIND(" ",M2214))</f>
        <v/>
      </c>
      <c r="P2214" t="inlineStr">
        <is>
          <t>WARREN</t>
        </is>
      </c>
      <c r="Q2214" t="inlineStr">
        <is>
          <t>OH</t>
        </is>
      </c>
      <c r="R2214" t="n">
        <v>44484</v>
      </c>
      <c r="AD2214" t="inlineStr">
        <is>
          <t>TRUMBULL CAREER &amp; TECH CENTER</t>
        </is>
      </c>
      <c r="AE2214" t="inlineStr">
        <is>
          <t>WARREN CITY</t>
        </is>
      </c>
      <c r="AF2214" t="inlineStr">
        <is>
          <t>WARREN CITY SD</t>
        </is>
      </c>
      <c r="AH2214" t="n">
        <v>14</v>
      </c>
      <c r="AI2214" t="n">
        <v>11</v>
      </c>
      <c r="AN2214" t="inlineStr">
        <is>
          <t>WARREN</t>
        </is>
      </c>
      <c r="AO2214" t="inlineStr">
        <is>
          <t>WARREN CITY 4F</t>
        </is>
      </c>
      <c r="AP2214" t="inlineStr">
        <is>
          <t>78-P-ADN</t>
        </is>
      </c>
      <c r="AQ2214" t="n">
        <v>9</v>
      </c>
      <c r="AR2214" t="n">
        <v>64</v>
      </c>
      <c r="AS2214" t="n">
        <v>32</v>
      </c>
      <c r="AU2214">
        <f>COUNTA($BA$2214:$EH$2214)</f>
        <v/>
      </c>
      <c r="AV2214">
        <f>COUNTIF($BA$2214:$EH$2214,"D")</f>
        <v/>
      </c>
      <c r="AW2214">
        <f>COUNTIF($BA$2214:$EH$2214,"R")</f>
        <v/>
      </c>
      <c r="AX2214">
        <f>IF(BN2214="D",1,0)+IF(BO2214="D",1,0)+IF(BT2214="D",1,0)+IF(BU2214="D",1,0)+IF(BW2214="D",1,0)+IF(CC2214="D",1,0)+IF(CD2214="D",1,0)+IF(CE2214="D",1,0)+IF(CF2214="D",1,0)+IF(CL2214="D",1,0)+IF(CM2214="D",1,0)+IF(CQ2214="D",1,0)+IF(CR2214="D",1,0)+IF(CS2214="D",1,0)+IF(CW2214="D",1,0)+IF(CX2214="D",1,0)+IF(DD2214="D",1,0)+IF(DE2214="D",1,0)+IF(DJ2214="D",1,0)+IF(DK2214="D",1,0)+IF(DO2214="D",1,0)+IF(DP2214="D",1,0)+IF(DQ2214="D",1,0)+IF(DW2214="D",1,0)+IF(DZ2214="D",1,0)+IF(EH2214="D",1,0)</f>
        <v/>
      </c>
      <c r="AY2214">
        <f>IF(DJ2214&lt;&gt;"",1,0)+IF(DK2214&lt;&gt;"",1,0)+IF(DM2214&lt;&gt;"",1,0)+IF(DO2214&lt;&gt;"",1,0)+IF(DP2214&lt;&gt;"",1,0)+IF(DQ2214&lt;&gt;"",1,0)+IF(DS2214&lt;&gt;"",1,0)+IF(DT2214&lt;&gt;"",1,0)+IF(DV2214&lt;&gt;"",1,0)+IF(DW2214&lt;&gt;"",1,0)+IF(DX2214&lt;&gt;"",1,0)+IF(DY2214&lt;&gt;"",1,0)+IF(DZ2214&lt;&gt;"",1,0)+IF(EB2214&lt;&gt;"",1,0)+IF(EC2214&lt;&gt;"",1,0)+IF(ED2214&lt;&gt;"",1,0)+IF(EG2214&lt;&gt;"",1,0)+IF(EH2214&lt;&gt;"",1,0)</f>
        <v/>
      </c>
      <c r="AZ2214">
        <f>IF(EH2214&lt;&gt;"",1,0)</f>
        <v/>
      </c>
      <c r="BB2214" t="inlineStr">
        <is>
          <t>WARREN-WARD 4</t>
        </is>
      </c>
      <c r="CA2214" t="inlineStr">
        <is>
          <t>X</t>
        </is>
      </c>
    </row>
    <row r="2215">
      <c r="A2215" t="inlineStr">
        <is>
          <t>OH0015704430</t>
        </is>
      </c>
      <c r="B2215" t="n">
        <v>78</v>
      </c>
      <c r="C2215" t="n">
        <v>165993</v>
      </c>
      <c r="D2215" t="inlineStr">
        <is>
          <t>TAYLOR MCGEE</t>
        </is>
      </c>
      <c r="E2215" t="inlineStr">
        <is>
          <t>DOLORES</t>
        </is>
      </c>
      <c r="F2215">
        <f>CONCATENATE(D2215," ",LEFT(H2215,4),"T=",AU2215,"D=",AV2215,"R=",AW2215,"M=",AX2215,"L=",AY2215,"B=",AZ2215)</f>
        <v/>
      </c>
      <c r="G2215" t="inlineStr">
        <is>
          <t>J</t>
        </is>
      </c>
      <c r="I2215" t="inlineStr">
        <is>
          <t>1958-08-29</t>
        </is>
      </c>
      <c r="J2215" t="inlineStr">
        <is>
          <t>2016-07-06</t>
        </is>
      </c>
      <c r="K2215" t="inlineStr">
        <is>
          <t>ACTIVE</t>
        </is>
      </c>
      <c r="L2215" t="inlineStr">
        <is>
          <t>D</t>
        </is>
      </c>
      <c r="M2215" t="inlineStr">
        <is>
          <t>1751 WICK ST SE</t>
        </is>
      </c>
      <c r="N2215">
        <f>RIGHT(M2215,LEN(M2215)-FIND(" ",M2215))</f>
        <v/>
      </c>
      <c r="P2215" t="inlineStr">
        <is>
          <t>WARREN</t>
        </is>
      </c>
      <c r="Q2215" t="inlineStr">
        <is>
          <t>OH</t>
        </is>
      </c>
      <c r="R2215" t="n">
        <v>44484</v>
      </c>
      <c r="AD2215" t="inlineStr">
        <is>
          <t>TRUMBULL CAREER &amp; TECH CENTER</t>
        </is>
      </c>
      <c r="AE2215" t="inlineStr">
        <is>
          <t>WARREN CITY</t>
        </is>
      </c>
      <c r="AF2215" t="inlineStr">
        <is>
          <t>WARREN CITY SD</t>
        </is>
      </c>
      <c r="AH2215" t="n">
        <v>14</v>
      </c>
      <c r="AI2215" t="n">
        <v>11</v>
      </c>
      <c r="AN2215" t="inlineStr">
        <is>
          <t>WARREN</t>
        </is>
      </c>
      <c r="AO2215" t="inlineStr">
        <is>
          <t>WARREN CITY 4F</t>
        </is>
      </c>
      <c r="AP2215" t="inlineStr">
        <is>
          <t>78-P-ADN</t>
        </is>
      </c>
      <c r="AQ2215" t="n">
        <v>9</v>
      </c>
      <c r="AR2215" t="n">
        <v>64</v>
      </c>
      <c r="AS2215" t="n">
        <v>32</v>
      </c>
      <c r="AU2215">
        <f>COUNTA($BA$2215:$EH$2215)</f>
        <v/>
      </c>
      <c r="AV2215">
        <f>COUNTIF($BA$2215:$EH$2215,"D")</f>
        <v/>
      </c>
      <c r="AW2215">
        <f>COUNTIF($BA$2215:$EH$2215,"R")</f>
        <v/>
      </c>
      <c r="AX2215">
        <f>IF(BN2215="D",1,0)+IF(BO2215="D",1,0)+IF(BT2215="D",1,0)+IF(BU2215="D",1,0)+IF(BW2215="D",1,0)+IF(CC2215="D",1,0)+IF(CD2215="D",1,0)+IF(CE2215="D",1,0)+IF(CF2215="D",1,0)+IF(CL2215="D",1,0)+IF(CM2215="D",1,0)+IF(CQ2215="D",1,0)+IF(CR2215="D",1,0)+IF(CS2215="D",1,0)+IF(CW2215="D",1,0)+IF(CX2215="D",1,0)+IF(DD2215="D",1,0)+IF(DE2215="D",1,0)+IF(DJ2215="D",1,0)+IF(DK2215="D",1,0)+IF(DO2215="D",1,0)+IF(DP2215="D",1,0)+IF(DQ2215="D",1,0)+IF(DW2215="D",1,0)+IF(DZ2215="D",1,0)+IF(EH2215="D",1,0)</f>
        <v/>
      </c>
      <c r="AY2215">
        <f>IF(DJ2215&lt;&gt;"",1,0)+IF(DK2215&lt;&gt;"",1,0)+IF(DM2215&lt;&gt;"",1,0)+IF(DO2215&lt;&gt;"",1,0)+IF(DP2215&lt;&gt;"",1,0)+IF(DQ2215&lt;&gt;"",1,0)+IF(DS2215&lt;&gt;"",1,0)+IF(DT2215&lt;&gt;"",1,0)+IF(DV2215&lt;&gt;"",1,0)+IF(DW2215&lt;&gt;"",1,0)+IF(DX2215&lt;&gt;"",1,0)+IF(DY2215&lt;&gt;"",1,0)+IF(DZ2215&lt;&gt;"",1,0)+IF(EB2215&lt;&gt;"",1,0)+IF(EC2215&lt;&gt;"",1,0)+IF(ED2215&lt;&gt;"",1,0)+IF(EG2215&lt;&gt;"",1,0)+IF(EH2215&lt;&gt;"",1,0)</f>
        <v/>
      </c>
      <c r="AZ2215">
        <f>IF(EH2215&lt;&gt;"",1,0)</f>
        <v/>
      </c>
      <c r="BB2215" t="inlineStr">
        <is>
          <t>WARREN-WARD 4</t>
        </is>
      </c>
      <c r="BC2215" t="inlineStr">
        <is>
          <t>X</t>
        </is>
      </c>
      <c r="BD2215" t="inlineStr">
        <is>
          <t>X</t>
        </is>
      </c>
      <c r="BE2215" t="inlineStr">
        <is>
          <t>X</t>
        </is>
      </c>
      <c r="BF2215" t="inlineStr">
        <is>
          <t>X</t>
        </is>
      </c>
      <c r="BG2215" t="inlineStr">
        <is>
          <t>X</t>
        </is>
      </c>
      <c r="BH2215" t="inlineStr">
        <is>
          <t>X</t>
        </is>
      </c>
      <c r="BI2215" t="inlineStr">
        <is>
          <t>X</t>
        </is>
      </c>
      <c r="BJ2215" t="inlineStr">
        <is>
          <t>X</t>
        </is>
      </c>
      <c r="BK2215" t="inlineStr">
        <is>
          <t>X</t>
        </is>
      </c>
      <c r="BL2215" t="inlineStr">
        <is>
          <t>X</t>
        </is>
      </c>
      <c r="BP2215" t="inlineStr">
        <is>
          <t>X</t>
        </is>
      </c>
      <c r="BR2215" t="inlineStr">
        <is>
          <t>X</t>
        </is>
      </c>
      <c r="BS2215" t="inlineStr">
        <is>
          <t>X</t>
        </is>
      </c>
      <c r="BY2215" t="inlineStr">
        <is>
          <t>D</t>
        </is>
      </c>
      <c r="CA2215" t="inlineStr">
        <is>
          <t>X</t>
        </is>
      </c>
      <c r="CG2215" t="inlineStr">
        <is>
          <t>X</t>
        </is>
      </c>
      <c r="CH2215" t="inlineStr">
        <is>
          <t>D</t>
        </is>
      </c>
      <c r="CK2215" t="inlineStr">
        <is>
          <t>X</t>
        </is>
      </c>
      <c r="CL2215" t="inlineStr">
        <is>
          <t>D</t>
        </is>
      </c>
      <c r="CN2215" t="inlineStr">
        <is>
          <t>X</t>
        </is>
      </c>
      <c r="CP2215" t="inlineStr">
        <is>
          <t>X</t>
        </is>
      </c>
      <c r="CQ2215" t="inlineStr">
        <is>
          <t>D</t>
        </is>
      </c>
      <c r="DC2215" t="inlineStr">
        <is>
          <t>X</t>
        </is>
      </c>
      <c r="DN2215" t="inlineStr">
        <is>
          <t>X</t>
        </is>
      </c>
      <c r="DW2215" t="inlineStr">
        <is>
          <t>D</t>
        </is>
      </c>
      <c r="DX2215" t="inlineStr">
        <is>
          <t>X</t>
        </is>
      </c>
      <c r="EA2215" t="inlineStr">
        <is>
          <t>X</t>
        </is>
      </c>
      <c r="EF2215" t="inlineStr">
        <is>
          <t>X</t>
        </is>
      </c>
    </row>
    <row r="2216">
      <c r="A2216" t="inlineStr">
        <is>
          <t>OH0015720129</t>
        </is>
      </c>
      <c r="B2216" t="n">
        <v>78</v>
      </c>
      <c r="C2216" t="n">
        <v>20016</v>
      </c>
      <c r="D2216" t="inlineStr">
        <is>
          <t>SMITH</t>
        </is>
      </c>
      <c r="E2216" t="inlineStr">
        <is>
          <t>ELMO</t>
        </is>
      </c>
      <c r="F2216">
        <f>CONCATENATE(D2216," ",LEFT(H2216,4),"T=",AU2216,"D=",AV2216,"R=",AW2216,"M=",AX2216,"L=",AY2216,"B=",AZ2216)</f>
        <v/>
      </c>
      <c r="H2216" t="inlineStr">
        <is>
          <t>JR</t>
        </is>
      </c>
      <c r="I2216" t="inlineStr">
        <is>
          <t>1954-08-26</t>
        </is>
      </c>
      <c r="J2216" t="inlineStr">
        <is>
          <t>2015-08-27</t>
        </is>
      </c>
      <c r="K2216" t="inlineStr">
        <is>
          <t>ACTIVE</t>
        </is>
      </c>
      <c r="M2216" t="inlineStr">
        <is>
          <t>1758 MILTON ST SE</t>
        </is>
      </c>
      <c r="N2216">
        <f>RIGHT(M2216,LEN(M2216)-FIND(" ",M2216))</f>
        <v/>
      </c>
      <c r="P2216" t="inlineStr">
        <is>
          <t>WARREN</t>
        </is>
      </c>
      <c r="Q2216" t="inlineStr">
        <is>
          <t>OH</t>
        </is>
      </c>
      <c r="R2216" t="n">
        <v>44484</v>
      </c>
      <c r="AD2216" t="inlineStr">
        <is>
          <t>TRUMBULL CAREER &amp; TECH CENTER</t>
        </is>
      </c>
      <c r="AE2216" t="inlineStr">
        <is>
          <t>WARREN CITY</t>
        </is>
      </c>
      <c r="AF2216" t="inlineStr">
        <is>
          <t>WARREN CITY SD</t>
        </is>
      </c>
      <c r="AH2216" t="n">
        <v>14</v>
      </c>
      <c r="AI2216" t="n">
        <v>11</v>
      </c>
      <c r="AN2216" t="inlineStr">
        <is>
          <t>WARREN</t>
        </is>
      </c>
      <c r="AO2216" t="inlineStr">
        <is>
          <t>WARREN CITY 4F</t>
        </is>
      </c>
      <c r="AP2216" t="inlineStr">
        <is>
          <t>78-P-ADN</t>
        </is>
      </c>
      <c r="AQ2216" t="n">
        <v>9</v>
      </c>
      <c r="AR2216" t="n">
        <v>64</v>
      </c>
      <c r="AS2216" t="n">
        <v>32</v>
      </c>
      <c r="AU2216">
        <f>COUNTA($BA$2216:$EH$2216)</f>
        <v/>
      </c>
      <c r="AV2216">
        <f>COUNTIF($BA$2216:$EH$2216,"D")</f>
        <v/>
      </c>
      <c r="AW2216">
        <f>COUNTIF($BA$2216:$EH$2216,"R")</f>
        <v/>
      </c>
      <c r="AX2216">
        <f>IF(BN2216="D",1,0)+IF(BO2216="D",1,0)+IF(BT2216="D",1,0)+IF(BU2216="D",1,0)+IF(BW2216="D",1,0)+IF(CC2216="D",1,0)+IF(CD2216="D",1,0)+IF(CE2216="D",1,0)+IF(CF2216="D",1,0)+IF(CL2216="D",1,0)+IF(CM2216="D",1,0)+IF(CQ2216="D",1,0)+IF(CR2216="D",1,0)+IF(CS2216="D",1,0)+IF(CW2216="D",1,0)+IF(CX2216="D",1,0)+IF(DD2216="D",1,0)+IF(DE2216="D",1,0)+IF(DJ2216="D",1,0)+IF(DK2216="D",1,0)+IF(DO2216="D",1,0)+IF(DP2216="D",1,0)+IF(DQ2216="D",1,0)+IF(DW2216="D",1,0)+IF(DZ2216="D",1,0)+IF(EH2216="D",1,0)</f>
        <v/>
      </c>
      <c r="AY2216">
        <f>IF(DJ2216&lt;&gt;"",1,0)+IF(DK2216&lt;&gt;"",1,0)+IF(DM2216&lt;&gt;"",1,0)+IF(DO2216&lt;&gt;"",1,0)+IF(DP2216&lt;&gt;"",1,0)+IF(DQ2216&lt;&gt;"",1,0)+IF(DS2216&lt;&gt;"",1,0)+IF(DT2216&lt;&gt;"",1,0)+IF(DV2216&lt;&gt;"",1,0)+IF(DW2216&lt;&gt;"",1,0)+IF(DX2216&lt;&gt;"",1,0)+IF(DY2216&lt;&gt;"",1,0)+IF(DZ2216&lt;&gt;"",1,0)+IF(EB2216&lt;&gt;"",1,0)+IF(EC2216&lt;&gt;"",1,0)+IF(ED2216&lt;&gt;"",1,0)+IF(EG2216&lt;&gt;"",1,0)+IF(EH2216&lt;&gt;"",1,0)</f>
        <v/>
      </c>
      <c r="AZ2216">
        <f>IF(EH2216&lt;&gt;"",1,0)</f>
        <v/>
      </c>
      <c r="BB2216" t="inlineStr">
        <is>
          <t>WARREN-WARD 4</t>
        </is>
      </c>
      <c r="BC2216" t="inlineStr">
        <is>
          <t>X</t>
        </is>
      </c>
      <c r="BD2216" t="inlineStr">
        <is>
          <t>X</t>
        </is>
      </c>
      <c r="BH2216" t="inlineStr">
        <is>
          <t>X</t>
        </is>
      </c>
      <c r="BJ2216" t="inlineStr">
        <is>
          <t>X</t>
        </is>
      </c>
      <c r="BK2216" t="inlineStr">
        <is>
          <t>X</t>
        </is>
      </c>
      <c r="BL2216" t="inlineStr">
        <is>
          <t>X</t>
        </is>
      </c>
      <c r="BP2216" t="inlineStr">
        <is>
          <t>X</t>
        </is>
      </c>
      <c r="BR2216" t="inlineStr">
        <is>
          <t>X</t>
        </is>
      </c>
      <c r="BS2216" t="inlineStr">
        <is>
          <t>X</t>
        </is>
      </c>
      <c r="BY2216" t="inlineStr">
        <is>
          <t>D</t>
        </is>
      </c>
      <c r="CA2216" t="inlineStr">
        <is>
          <t>X</t>
        </is>
      </c>
      <c r="CK2216" t="inlineStr">
        <is>
          <t>X</t>
        </is>
      </c>
      <c r="CL2216" t="inlineStr">
        <is>
          <t>D</t>
        </is>
      </c>
      <c r="CP2216" t="inlineStr">
        <is>
          <t>X</t>
        </is>
      </c>
      <c r="CY2216" t="inlineStr">
        <is>
          <t>X</t>
        </is>
      </c>
      <c r="CZ2216" t="inlineStr">
        <is>
          <t>D</t>
        </is>
      </c>
      <c r="DC2216" t="inlineStr">
        <is>
          <t>X</t>
        </is>
      </c>
      <c r="DI2216" t="inlineStr">
        <is>
          <t>X</t>
        </is>
      </c>
      <c r="DN2216" t="inlineStr">
        <is>
          <t>X</t>
        </is>
      </c>
      <c r="EF2216" t="inlineStr">
        <is>
          <t>X</t>
        </is>
      </c>
    </row>
    <row r="2217">
      <c r="A2217" t="inlineStr">
        <is>
          <t>OH0015717768</t>
        </is>
      </c>
      <c r="B2217" t="n">
        <v>78</v>
      </c>
      <c r="C2217" t="n">
        <v>19521</v>
      </c>
      <c r="D2217" t="inlineStr">
        <is>
          <t>DAVIE</t>
        </is>
      </c>
      <c r="E2217" t="inlineStr">
        <is>
          <t>NEHEMIAH</t>
        </is>
      </c>
      <c r="F2217">
        <f>CONCATENATE(D2217," ",LEFT(H2217,4),"T=",AU2217,"D=",AV2217,"R=",AW2217,"M=",AX2217,"L=",AY2217,"B=",AZ2217)</f>
        <v/>
      </c>
      <c r="I2217" t="inlineStr">
        <is>
          <t>1936-12-05</t>
        </is>
      </c>
      <c r="J2217" t="inlineStr">
        <is>
          <t>1979-05-04</t>
        </is>
      </c>
      <c r="K2217" t="inlineStr">
        <is>
          <t>ACTIVE</t>
        </is>
      </c>
      <c r="L2217" t="inlineStr">
        <is>
          <t>D</t>
        </is>
      </c>
      <c r="M2217" t="inlineStr">
        <is>
          <t>1854 WALLACE ST SE</t>
        </is>
      </c>
      <c r="N2217">
        <f>RIGHT(M2217,LEN(M2217)-FIND(" ",M2217))</f>
        <v/>
      </c>
      <c r="P2217" t="inlineStr">
        <is>
          <t>WARREN</t>
        </is>
      </c>
      <c r="Q2217" t="inlineStr">
        <is>
          <t>OH</t>
        </is>
      </c>
      <c r="R2217" t="n">
        <v>44484</v>
      </c>
      <c r="AD2217" t="inlineStr">
        <is>
          <t>TRUMBULL CAREER &amp; TECH CENTER</t>
        </is>
      </c>
      <c r="AE2217" t="inlineStr">
        <is>
          <t>WARREN CITY</t>
        </is>
      </c>
      <c r="AF2217" t="inlineStr">
        <is>
          <t>WARREN CITY SD</t>
        </is>
      </c>
      <c r="AH2217" t="n">
        <v>14</v>
      </c>
      <c r="AI2217" t="n">
        <v>11</v>
      </c>
      <c r="AN2217" t="inlineStr">
        <is>
          <t>WARREN</t>
        </is>
      </c>
      <c r="AO2217" t="inlineStr">
        <is>
          <t>WARREN CITY 4F</t>
        </is>
      </c>
      <c r="AP2217" t="inlineStr">
        <is>
          <t>78-P-ADN</t>
        </is>
      </c>
      <c r="AQ2217" t="n">
        <v>9</v>
      </c>
      <c r="AR2217" t="n">
        <v>64</v>
      </c>
      <c r="AS2217" t="n">
        <v>32</v>
      </c>
      <c r="AU2217">
        <f>COUNTA($BA$2217:$EH$2217)</f>
        <v/>
      </c>
      <c r="AV2217">
        <f>COUNTIF($BA$2217:$EH$2217,"D")</f>
        <v/>
      </c>
      <c r="AW2217">
        <f>COUNTIF($BA$2217:$EH$2217,"R")</f>
        <v/>
      </c>
      <c r="AX2217">
        <f>IF(BN2217="D",1,0)+IF(BO2217="D",1,0)+IF(BT2217="D",1,0)+IF(BU2217="D",1,0)+IF(BW2217="D",1,0)+IF(CC2217="D",1,0)+IF(CD2217="D",1,0)+IF(CE2217="D",1,0)+IF(CF2217="D",1,0)+IF(CL2217="D",1,0)+IF(CM2217="D",1,0)+IF(CQ2217="D",1,0)+IF(CR2217="D",1,0)+IF(CS2217="D",1,0)+IF(CW2217="D",1,0)+IF(CX2217="D",1,0)+IF(DD2217="D",1,0)+IF(DE2217="D",1,0)+IF(DJ2217="D",1,0)+IF(DK2217="D",1,0)+IF(DO2217="D",1,0)+IF(DP2217="D",1,0)+IF(DQ2217="D",1,0)+IF(DW2217="D",1,0)+IF(DZ2217="D",1,0)+IF(EH2217="D",1,0)</f>
        <v/>
      </c>
      <c r="AY2217">
        <f>IF(DJ2217&lt;&gt;"",1,0)+IF(DK2217&lt;&gt;"",1,0)+IF(DM2217&lt;&gt;"",1,0)+IF(DO2217&lt;&gt;"",1,0)+IF(DP2217&lt;&gt;"",1,0)+IF(DQ2217&lt;&gt;"",1,0)+IF(DS2217&lt;&gt;"",1,0)+IF(DT2217&lt;&gt;"",1,0)+IF(DV2217&lt;&gt;"",1,0)+IF(DW2217&lt;&gt;"",1,0)+IF(DX2217&lt;&gt;"",1,0)+IF(DY2217&lt;&gt;"",1,0)+IF(DZ2217&lt;&gt;"",1,0)+IF(EB2217&lt;&gt;"",1,0)+IF(EC2217&lt;&gt;"",1,0)+IF(ED2217&lt;&gt;"",1,0)+IF(EG2217&lt;&gt;"",1,0)+IF(EH2217&lt;&gt;"",1,0)</f>
        <v/>
      </c>
      <c r="AZ2217">
        <f>IF(EH2217&lt;&gt;"",1,0)</f>
        <v/>
      </c>
      <c r="BB2217" t="inlineStr">
        <is>
          <t>WARREN-WARD 4</t>
        </is>
      </c>
      <c r="BC2217" t="inlineStr">
        <is>
          <t>X</t>
        </is>
      </c>
      <c r="BD2217" t="inlineStr">
        <is>
          <t>X</t>
        </is>
      </c>
      <c r="BE2217" t="inlineStr">
        <is>
          <t>X</t>
        </is>
      </c>
      <c r="BG2217" t="inlineStr">
        <is>
          <t>X</t>
        </is>
      </c>
      <c r="BH2217" t="inlineStr">
        <is>
          <t>X</t>
        </is>
      </c>
      <c r="BI2217" t="inlineStr">
        <is>
          <t>X</t>
        </is>
      </c>
      <c r="BJ2217" t="inlineStr">
        <is>
          <t>X</t>
        </is>
      </c>
      <c r="BK2217" t="inlineStr">
        <is>
          <t>X</t>
        </is>
      </c>
      <c r="BL2217" t="inlineStr">
        <is>
          <t>X</t>
        </is>
      </c>
      <c r="BP2217" t="inlineStr">
        <is>
          <t>X</t>
        </is>
      </c>
      <c r="BR2217" t="inlineStr">
        <is>
          <t>X</t>
        </is>
      </c>
      <c r="BS2217" t="inlineStr">
        <is>
          <t>X</t>
        </is>
      </c>
      <c r="BY2217" t="inlineStr">
        <is>
          <t>D</t>
        </is>
      </c>
      <c r="CA2217" t="inlineStr">
        <is>
          <t>X</t>
        </is>
      </c>
      <c r="CC2217" t="inlineStr">
        <is>
          <t>D</t>
        </is>
      </c>
      <c r="CG2217" t="inlineStr">
        <is>
          <t>X</t>
        </is>
      </c>
      <c r="CH2217" t="inlineStr">
        <is>
          <t>D</t>
        </is>
      </c>
      <c r="CK2217" t="inlineStr">
        <is>
          <t>X</t>
        </is>
      </c>
      <c r="CL2217" t="inlineStr">
        <is>
          <t>D</t>
        </is>
      </c>
      <c r="CN2217" t="inlineStr">
        <is>
          <t>X</t>
        </is>
      </c>
      <c r="CO2217" t="inlineStr">
        <is>
          <t>D</t>
        </is>
      </c>
      <c r="CP2217" t="inlineStr">
        <is>
          <t>X</t>
        </is>
      </c>
      <c r="CT2217" t="inlineStr">
        <is>
          <t>X</t>
        </is>
      </c>
      <c r="CU2217" t="inlineStr">
        <is>
          <t>D</t>
        </is>
      </c>
      <c r="CV2217" t="inlineStr">
        <is>
          <t>X</t>
        </is>
      </c>
      <c r="CW2217" t="inlineStr">
        <is>
          <t>D</t>
        </is>
      </c>
      <c r="CY2217" t="inlineStr">
        <is>
          <t>X</t>
        </is>
      </c>
      <c r="CZ2217" t="inlineStr">
        <is>
          <t>D</t>
        </is>
      </c>
      <c r="DC2217" t="inlineStr">
        <is>
          <t>X</t>
        </is>
      </c>
      <c r="DD2217" t="inlineStr">
        <is>
          <t>D</t>
        </is>
      </c>
      <c r="DF2217" t="inlineStr">
        <is>
          <t>X</t>
        </is>
      </c>
      <c r="DG2217" t="inlineStr">
        <is>
          <t>D</t>
        </is>
      </c>
      <c r="DI2217" t="inlineStr">
        <is>
          <t>X</t>
        </is>
      </c>
      <c r="DL2217" t="inlineStr">
        <is>
          <t>X</t>
        </is>
      </c>
      <c r="DM2217" t="inlineStr">
        <is>
          <t>D</t>
        </is>
      </c>
      <c r="DN2217" t="inlineStr">
        <is>
          <t>X</t>
        </is>
      </c>
      <c r="DU2217" t="inlineStr">
        <is>
          <t>X</t>
        </is>
      </c>
      <c r="DW2217" t="inlineStr">
        <is>
          <t>D</t>
        </is>
      </c>
      <c r="EF2217" t="inlineStr">
        <is>
          <t>X</t>
        </is>
      </c>
    </row>
    <row r="2218">
      <c r="A2218" t="inlineStr">
        <is>
          <t>OH0015705116</t>
        </is>
      </c>
      <c r="B2218" t="n">
        <v>78</v>
      </c>
      <c r="C2218" t="n">
        <v>167133</v>
      </c>
      <c r="D2218" t="inlineStr">
        <is>
          <t>MCCOLLOUGH</t>
        </is>
      </c>
      <c r="E2218" t="inlineStr">
        <is>
          <t>DORIS</t>
        </is>
      </c>
      <c r="F2218">
        <f>CONCATENATE(D2218," ",LEFT(H2218,4),"T=",AU2218,"D=",AV2218,"R=",AW2218,"M=",AX2218,"L=",AY2218,"B=",AZ2218)</f>
        <v/>
      </c>
      <c r="I2218" t="inlineStr">
        <is>
          <t>1953-07-03</t>
        </is>
      </c>
      <c r="J2218" t="inlineStr">
        <is>
          <t>2014-01-31</t>
        </is>
      </c>
      <c r="K2218" t="inlineStr">
        <is>
          <t>ACTIVE</t>
        </is>
      </c>
      <c r="M2218" t="inlineStr">
        <is>
          <t>1835 WALLACE ST SE</t>
        </is>
      </c>
      <c r="N2218">
        <f>RIGHT(M2218,LEN(M2218)-FIND(" ",M2218))</f>
        <v/>
      </c>
      <c r="P2218" t="inlineStr">
        <is>
          <t>WARREN</t>
        </is>
      </c>
      <c r="Q2218" t="inlineStr">
        <is>
          <t>OH</t>
        </is>
      </c>
      <c r="R2218" t="n">
        <v>44484</v>
      </c>
      <c r="AD2218" t="inlineStr">
        <is>
          <t>TRUMBULL CAREER &amp; TECH CENTER</t>
        </is>
      </c>
      <c r="AE2218" t="inlineStr">
        <is>
          <t>WARREN CITY</t>
        </is>
      </c>
      <c r="AF2218" t="inlineStr">
        <is>
          <t>WARREN CITY SD</t>
        </is>
      </c>
      <c r="AH2218" t="n">
        <v>14</v>
      </c>
      <c r="AI2218" t="n">
        <v>11</v>
      </c>
      <c r="AN2218" t="inlineStr">
        <is>
          <t>WARREN</t>
        </is>
      </c>
      <c r="AO2218" t="inlineStr">
        <is>
          <t>WARREN CITY 4F</t>
        </is>
      </c>
      <c r="AP2218" t="inlineStr">
        <is>
          <t>78-P-ADN</t>
        </is>
      </c>
      <c r="AQ2218" t="n">
        <v>9</v>
      </c>
      <c r="AR2218" t="n">
        <v>64</v>
      </c>
      <c r="AS2218" t="n">
        <v>32</v>
      </c>
      <c r="AU2218">
        <f>COUNTA($BA$2218:$EH$2218)</f>
        <v/>
      </c>
      <c r="AV2218">
        <f>COUNTIF($BA$2218:$EH$2218,"D")</f>
        <v/>
      </c>
      <c r="AW2218">
        <f>COUNTIF($BA$2218:$EH$2218,"R")</f>
        <v/>
      </c>
      <c r="AX2218">
        <f>IF(BN2218="D",1,0)+IF(BO2218="D",1,0)+IF(BT2218="D",1,0)+IF(BU2218="D",1,0)+IF(BW2218="D",1,0)+IF(CC2218="D",1,0)+IF(CD2218="D",1,0)+IF(CE2218="D",1,0)+IF(CF2218="D",1,0)+IF(CL2218="D",1,0)+IF(CM2218="D",1,0)+IF(CQ2218="D",1,0)+IF(CR2218="D",1,0)+IF(CS2218="D",1,0)+IF(CW2218="D",1,0)+IF(CX2218="D",1,0)+IF(DD2218="D",1,0)+IF(DE2218="D",1,0)+IF(DJ2218="D",1,0)+IF(DK2218="D",1,0)+IF(DO2218="D",1,0)+IF(DP2218="D",1,0)+IF(DQ2218="D",1,0)+IF(DW2218="D",1,0)+IF(DZ2218="D",1,0)+IF(EH2218="D",1,0)</f>
        <v/>
      </c>
      <c r="AY2218">
        <f>IF(DJ2218&lt;&gt;"",1,0)+IF(DK2218&lt;&gt;"",1,0)+IF(DM2218&lt;&gt;"",1,0)+IF(DO2218&lt;&gt;"",1,0)+IF(DP2218&lt;&gt;"",1,0)+IF(DQ2218&lt;&gt;"",1,0)+IF(DS2218&lt;&gt;"",1,0)+IF(DT2218&lt;&gt;"",1,0)+IF(DV2218&lt;&gt;"",1,0)+IF(DW2218&lt;&gt;"",1,0)+IF(DX2218&lt;&gt;"",1,0)+IF(DY2218&lt;&gt;"",1,0)+IF(DZ2218&lt;&gt;"",1,0)+IF(EB2218&lt;&gt;"",1,0)+IF(EC2218&lt;&gt;"",1,0)+IF(ED2218&lt;&gt;"",1,0)+IF(EG2218&lt;&gt;"",1,0)+IF(EH2218&lt;&gt;"",1,0)</f>
        <v/>
      </c>
      <c r="AZ2218">
        <f>IF(EH2218&lt;&gt;"",1,0)</f>
        <v/>
      </c>
      <c r="BB2218" t="inlineStr">
        <is>
          <t>WARREN-WARD 4</t>
        </is>
      </c>
      <c r="BD2218" t="inlineStr">
        <is>
          <t>X</t>
        </is>
      </c>
      <c r="BJ2218" t="inlineStr">
        <is>
          <t>X</t>
        </is>
      </c>
      <c r="BL2218" t="inlineStr">
        <is>
          <t>X</t>
        </is>
      </c>
      <c r="BS2218" t="inlineStr">
        <is>
          <t>X</t>
        </is>
      </c>
      <c r="BY2218" t="inlineStr">
        <is>
          <t>D</t>
        </is>
      </c>
      <c r="CA2218" t="inlineStr">
        <is>
          <t>X</t>
        </is>
      </c>
      <c r="CK2218" t="inlineStr">
        <is>
          <t>X</t>
        </is>
      </c>
      <c r="CN2218" t="inlineStr">
        <is>
          <t>X</t>
        </is>
      </c>
      <c r="CP2218" t="inlineStr">
        <is>
          <t>X</t>
        </is>
      </c>
      <c r="CV2218" t="inlineStr">
        <is>
          <t>X</t>
        </is>
      </c>
      <c r="CY2218" t="inlineStr">
        <is>
          <t>X</t>
        </is>
      </c>
      <c r="DC2218" t="inlineStr">
        <is>
          <t>X</t>
        </is>
      </c>
      <c r="DF2218" t="inlineStr">
        <is>
          <t>X</t>
        </is>
      </c>
      <c r="DI2218" t="inlineStr">
        <is>
          <t>X</t>
        </is>
      </c>
      <c r="DL2218" t="inlineStr">
        <is>
          <t>X</t>
        </is>
      </c>
      <c r="DM2218" t="inlineStr">
        <is>
          <t>D</t>
        </is>
      </c>
      <c r="DN2218" t="inlineStr">
        <is>
          <t>X</t>
        </is>
      </c>
      <c r="DU2218" t="inlineStr">
        <is>
          <t>X</t>
        </is>
      </c>
      <c r="EF2218" t="inlineStr">
        <is>
          <t>X</t>
        </is>
      </c>
    </row>
    <row r="2219">
      <c r="A2219" t="inlineStr">
        <is>
          <t>OH0019684115</t>
        </is>
      </c>
      <c r="B2219" t="n">
        <v>78</v>
      </c>
      <c r="C2219" t="n">
        <v>357262</v>
      </c>
      <c r="D2219" t="inlineStr">
        <is>
          <t>HUGLEY</t>
        </is>
      </c>
      <c r="E2219" t="inlineStr">
        <is>
          <t>RICKIA</t>
        </is>
      </c>
      <c r="F2219">
        <f>CONCATENATE(D2219," ",LEFT(H2219,4),"T=",AU2219,"D=",AV2219,"R=",AW2219,"M=",AX2219,"L=",AY2219,"B=",AZ2219)</f>
        <v/>
      </c>
      <c r="G2219" t="inlineStr">
        <is>
          <t>M</t>
        </is>
      </c>
      <c r="I2219" t="inlineStr">
        <is>
          <t>1990-02-05</t>
        </is>
      </c>
      <c r="J2219" t="inlineStr">
        <is>
          <t>2025-04-01</t>
        </is>
      </c>
      <c r="K2219" t="inlineStr">
        <is>
          <t>ACTIVE</t>
        </is>
      </c>
      <c r="M2219" t="inlineStr">
        <is>
          <t>1207 OAK KNOLL AVE SE</t>
        </is>
      </c>
      <c r="N2219">
        <f>RIGHT(M2219,LEN(M2219)-FIND(" ",M2219))</f>
        <v/>
      </c>
      <c r="P2219" t="inlineStr">
        <is>
          <t>WARREN</t>
        </is>
      </c>
      <c r="Q2219" t="inlineStr">
        <is>
          <t>OH</t>
        </is>
      </c>
      <c r="R2219" t="n">
        <v>44484</v>
      </c>
      <c r="AD2219" t="inlineStr">
        <is>
          <t>TRUMBULL CAREER &amp; TECH CENTER</t>
        </is>
      </c>
      <c r="AE2219" t="inlineStr">
        <is>
          <t>WARREN CITY</t>
        </is>
      </c>
      <c r="AF2219" t="inlineStr">
        <is>
          <t>WARREN CITY SD</t>
        </is>
      </c>
      <c r="AH2219" t="n">
        <v>14</v>
      </c>
      <c r="AI2219" t="n">
        <v>11</v>
      </c>
      <c r="AN2219" t="inlineStr">
        <is>
          <t>WARREN</t>
        </is>
      </c>
      <c r="AO2219" t="inlineStr">
        <is>
          <t>WARREN CITY 4F</t>
        </is>
      </c>
      <c r="AP2219" t="inlineStr">
        <is>
          <t>78-P-ADN</t>
        </is>
      </c>
      <c r="AQ2219" t="n">
        <v>9</v>
      </c>
      <c r="AR2219" t="n">
        <v>64</v>
      </c>
      <c r="AS2219" t="n">
        <v>32</v>
      </c>
      <c r="AU2219">
        <f>COUNTA($BA$2219:$EH$2219)</f>
        <v/>
      </c>
      <c r="AV2219">
        <f>COUNTIF($BA$2219:$EH$2219,"D")</f>
        <v/>
      </c>
      <c r="AW2219">
        <f>COUNTIF($BA$2219:$EH$2219,"R")</f>
        <v/>
      </c>
      <c r="AX2219">
        <f>IF(BN2219="D",1,0)+IF(BO2219="D",1,0)+IF(BT2219="D",1,0)+IF(BU2219="D",1,0)+IF(BW2219="D",1,0)+IF(CC2219="D",1,0)+IF(CD2219="D",1,0)+IF(CE2219="D",1,0)+IF(CF2219="D",1,0)+IF(CL2219="D",1,0)+IF(CM2219="D",1,0)+IF(CQ2219="D",1,0)+IF(CR2219="D",1,0)+IF(CS2219="D",1,0)+IF(CW2219="D",1,0)+IF(CX2219="D",1,0)+IF(DD2219="D",1,0)+IF(DE2219="D",1,0)+IF(DJ2219="D",1,0)+IF(DK2219="D",1,0)+IF(DO2219="D",1,0)+IF(DP2219="D",1,0)+IF(DQ2219="D",1,0)+IF(DW2219="D",1,0)+IF(DZ2219="D",1,0)+IF(EH2219="D",1,0)</f>
        <v/>
      </c>
      <c r="AY2219">
        <f>IF(DJ2219&lt;&gt;"",1,0)+IF(DK2219&lt;&gt;"",1,0)+IF(DM2219&lt;&gt;"",1,0)+IF(DO2219&lt;&gt;"",1,0)+IF(DP2219&lt;&gt;"",1,0)+IF(DQ2219&lt;&gt;"",1,0)+IF(DS2219&lt;&gt;"",1,0)+IF(DT2219&lt;&gt;"",1,0)+IF(DV2219&lt;&gt;"",1,0)+IF(DW2219&lt;&gt;"",1,0)+IF(DX2219&lt;&gt;"",1,0)+IF(DY2219&lt;&gt;"",1,0)+IF(DZ2219&lt;&gt;"",1,0)+IF(EB2219&lt;&gt;"",1,0)+IF(EC2219&lt;&gt;"",1,0)+IF(ED2219&lt;&gt;"",1,0)+IF(EG2219&lt;&gt;"",1,0)+IF(EH2219&lt;&gt;"",1,0)</f>
        <v/>
      </c>
      <c r="AZ2219">
        <f>IF(EH2219&lt;&gt;"",1,0)</f>
        <v/>
      </c>
      <c r="BB2219" t="inlineStr">
        <is>
          <t>WARREN-WARD 4</t>
        </is>
      </c>
      <c r="CA2219" t="inlineStr">
        <is>
          <t>X</t>
        </is>
      </c>
      <c r="CK2219" t="inlineStr">
        <is>
          <t>X</t>
        </is>
      </c>
      <c r="CN2219" t="inlineStr">
        <is>
          <t>X</t>
        </is>
      </c>
      <c r="CP2219" t="inlineStr">
        <is>
          <t>X</t>
        </is>
      </c>
      <c r="CZ2219" t="inlineStr">
        <is>
          <t>D</t>
        </is>
      </c>
      <c r="DN2219" t="inlineStr">
        <is>
          <t>X</t>
        </is>
      </c>
      <c r="EF2219" t="inlineStr">
        <is>
          <t>X</t>
        </is>
      </c>
    </row>
    <row r="2220">
      <c r="A2220" t="inlineStr">
        <is>
          <t>OH0022239862</t>
        </is>
      </c>
      <c r="B2220" t="n">
        <v>78</v>
      </c>
      <c r="C2220" t="n">
        <v>393598</v>
      </c>
      <c r="D2220" t="inlineStr">
        <is>
          <t>REED</t>
        </is>
      </c>
      <c r="E2220" t="inlineStr">
        <is>
          <t>TONY</t>
        </is>
      </c>
      <c r="F2220">
        <f>CONCATENATE(D2220," ",LEFT(H2220,4),"T=",AU2220,"D=",AV2220,"R=",AW2220,"M=",AX2220,"L=",AY2220,"B=",AZ2220)</f>
        <v/>
      </c>
      <c r="G2220" t="inlineStr">
        <is>
          <t>D</t>
        </is>
      </c>
      <c r="I2220" t="inlineStr">
        <is>
          <t>1988-07-03</t>
        </is>
      </c>
      <c r="J2220" t="inlineStr">
        <is>
          <t>2012-11-06</t>
        </is>
      </c>
      <c r="K2220" t="inlineStr">
        <is>
          <t>CONFIRMATION</t>
        </is>
      </c>
      <c r="M2220" t="inlineStr">
        <is>
          <t>963 HOMEWOOD AVE SE</t>
        </is>
      </c>
      <c r="N2220">
        <f>RIGHT(M2220,LEN(M2220)-FIND(" ",M2220))</f>
        <v/>
      </c>
      <c r="P2220" t="inlineStr">
        <is>
          <t>WARREN</t>
        </is>
      </c>
      <c r="Q2220" t="inlineStr">
        <is>
          <t>OH</t>
        </is>
      </c>
      <c r="R2220" t="n">
        <v>44484</v>
      </c>
      <c r="AD2220" t="inlineStr">
        <is>
          <t>TRUMBULL CAREER &amp; TECH CENTER</t>
        </is>
      </c>
      <c r="AE2220" t="inlineStr">
        <is>
          <t>WARREN CITY</t>
        </is>
      </c>
      <c r="AF2220" t="inlineStr">
        <is>
          <t>WARREN CITY SD</t>
        </is>
      </c>
      <c r="AH2220" t="n">
        <v>14</v>
      </c>
      <c r="AI2220" t="n">
        <v>11</v>
      </c>
      <c r="AN2220" t="inlineStr">
        <is>
          <t>WARREN</t>
        </is>
      </c>
      <c r="AO2220" t="inlineStr">
        <is>
          <t>WARREN CITY 4F</t>
        </is>
      </c>
      <c r="AP2220" t="inlineStr">
        <is>
          <t>78-P-ADN</t>
        </is>
      </c>
      <c r="AQ2220" t="n">
        <v>9</v>
      </c>
      <c r="AR2220" t="n">
        <v>64</v>
      </c>
      <c r="AS2220" t="n">
        <v>32</v>
      </c>
      <c r="AU2220">
        <f>COUNTA($BA$2220:$EH$2220)</f>
        <v/>
      </c>
      <c r="AV2220">
        <f>COUNTIF($BA$2220:$EH$2220,"D")</f>
        <v/>
      </c>
      <c r="AW2220">
        <f>COUNTIF($BA$2220:$EH$2220,"R")</f>
        <v/>
      </c>
      <c r="AX2220">
        <f>IF(BN2220="D",1,0)+IF(BO2220="D",1,0)+IF(BT2220="D",1,0)+IF(BU2220="D",1,0)+IF(BW2220="D",1,0)+IF(CC2220="D",1,0)+IF(CD2220="D",1,0)+IF(CE2220="D",1,0)+IF(CF2220="D",1,0)+IF(CL2220="D",1,0)+IF(CM2220="D",1,0)+IF(CQ2220="D",1,0)+IF(CR2220="D",1,0)+IF(CS2220="D",1,0)+IF(CW2220="D",1,0)+IF(CX2220="D",1,0)+IF(DD2220="D",1,0)+IF(DE2220="D",1,0)+IF(DJ2220="D",1,0)+IF(DK2220="D",1,0)+IF(DO2220="D",1,0)+IF(DP2220="D",1,0)+IF(DQ2220="D",1,0)+IF(DW2220="D",1,0)+IF(DZ2220="D",1,0)+IF(EH2220="D",1,0)</f>
        <v/>
      </c>
      <c r="AY2220">
        <f>IF(DJ2220&lt;&gt;"",1,0)+IF(DK2220&lt;&gt;"",1,0)+IF(DM2220&lt;&gt;"",1,0)+IF(DO2220&lt;&gt;"",1,0)+IF(DP2220&lt;&gt;"",1,0)+IF(DQ2220&lt;&gt;"",1,0)+IF(DS2220&lt;&gt;"",1,0)+IF(DT2220&lt;&gt;"",1,0)+IF(DV2220&lt;&gt;"",1,0)+IF(DW2220&lt;&gt;"",1,0)+IF(DX2220&lt;&gt;"",1,0)+IF(DY2220&lt;&gt;"",1,0)+IF(DZ2220&lt;&gt;"",1,0)+IF(EB2220&lt;&gt;"",1,0)+IF(EC2220&lt;&gt;"",1,0)+IF(ED2220&lt;&gt;"",1,0)+IF(EG2220&lt;&gt;"",1,0)+IF(EH2220&lt;&gt;"",1,0)</f>
        <v/>
      </c>
      <c r="AZ2220">
        <f>IF(EH2220&lt;&gt;"",1,0)</f>
        <v/>
      </c>
      <c r="BB2220" t="inlineStr">
        <is>
          <t>WARREN-WARD 4</t>
        </is>
      </c>
      <c r="CP2220" t="inlineStr">
        <is>
          <t>X</t>
        </is>
      </c>
      <c r="DN2220" t="inlineStr">
        <is>
          <t>X</t>
        </is>
      </c>
    </row>
    <row r="2221">
      <c r="A2221" t="inlineStr">
        <is>
          <t>OH0026179167</t>
        </is>
      </c>
      <c r="B2221" t="n">
        <v>78</v>
      </c>
      <c r="C2221" t="n">
        <v>457667</v>
      </c>
      <c r="D2221" t="inlineStr">
        <is>
          <t>PETRICH</t>
        </is>
      </c>
      <c r="E2221" t="inlineStr">
        <is>
          <t>CHAD</t>
        </is>
      </c>
      <c r="F2221">
        <f>CONCATENATE(D2221," ",LEFT(H2221,4),"T=",AU2221,"D=",AV2221,"R=",AW2221,"M=",AX2221,"L=",AY2221,"B=",AZ2221)</f>
        <v/>
      </c>
      <c r="G2221" t="inlineStr">
        <is>
          <t>R</t>
        </is>
      </c>
      <c r="I2221" t="inlineStr">
        <is>
          <t>1974-12-14</t>
        </is>
      </c>
      <c r="J2221" t="inlineStr">
        <is>
          <t>2021-04-22</t>
        </is>
      </c>
      <c r="K2221" t="inlineStr">
        <is>
          <t>CONFIRMATION</t>
        </is>
      </c>
      <c r="M2221" t="inlineStr">
        <is>
          <t>1085 KENILWORTH AVE SE</t>
        </is>
      </c>
      <c r="N2221">
        <f>RIGHT(M2221,LEN(M2221)-FIND(" ",M2221))</f>
        <v/>
      </c>
      <c r="P2221" t="inlineStr">
        <is>
          <t>WARREN</t>
        </is>
      </c>
      <c r="Q2221" t="inlineStr">
        <is>
          <t>OH</t>
        </is>
      </c>
      <c r="R2221" t="n">
        <v>44484</v>
      </c>
      <c r="AD2221" t="inlineStr">
        <is>
          <t>TRUMBULL CAREER &amp; TECH CENTER</t>
        </is>
      </c>
      <c r="AE2221" t="inlineStr">
        <is>
          <t>WARREN CITY</t>
        </is>
      </c>
      <c r="AF2221" t="inlineStr">
        <is>
          <t>WARREN CITY SD</t>
        </is>
      </c>
      <c r="AH2221" t="n">
        <v>14</v>
      </c>
      <c r="AI2221" t="n">
        <v>11</v>
      </c>
      <c r="AN2221" t="inlineStr">
        <is>
          <t>WARREN</t>
        </is>
      </c>
      <c r="AO2221" t="inlineStr">
        <is>
          <t>WARREN CITY 4F</t>
        </is>
      </c>
      <c r="AP2221" t="inlineStr">
        <is>
          <t>78-P-ADN</t>
        </is>
      </c>
      <c r="AQ2221" t="n">
        <v>9</v>
      </c>
      <c r="AR2221" t="n">
        <v>64</v>
      </c>
      <c r="AS2221" t="n">
        <v>32</v>
      </c>
      <c r="AU2221">
        <f>COUNTA($BA$2221:$EH$2221)</f>
        <v/>
      </c>
      <c r="AV2221">
        <f>COUNTIF($BA$2221:$EH$2221,"D")</f>
        <v/>
      </c>
      <c r="AW2221">
        <f>COUNTIF($BA$2221:$EH$2221,"R")</f>
        <v/>
      </c>
      <c r="AX2221">
        <f>IF(BN2221="D",1,0)+IF(BO2221="D",1,0)+IF(BT2221="D",1,0)+IF(BU2221="D",1,0)+IF(BW2221="D",1,0)+IF(CC2221="D",1,0)+IF(CD2221="D",1,0)+IF(CE2221="D",1,0)+IF(CF2221="D",1,0)+IF(CL2221="D",1,0)+IF(CM2221="D",1,0)+IF(CQ2221="D",1,0)+IF(CR2221="D",1,0)+IF(CS2221="D",1,0)+IF(CW2221="D",1,0)+IF(CX2221="D",1,0)+IF(DD2221="D",1,0)+IF(DE2221="D",1,0)+IF(DJ2221="D",1,0)+IF(DK2221="D",1,0)+IF(DO2221="D",1,0)+IF(DP2221="D",1,0)+IF(DQ2221="D",1,0)+IF(DW2221="D",1,0)+IF(DZ2221="D",1,0)+IF(EH2221="D",1,0)</f>
        <v/>
      </c>
      <c r="AY2221">
        <f>IF(DJ2221&lt;&gt;"",1,0)+IF(DK2221&lt;&gt;"",1,0)+IF(DM2221&lt;&gt;"",1,0)+IF(DO2221&lt;&gt;"",1,0)+IF(DP2221&lt;&gt;"",1,0)+IF(DQ2221&lt;&gt;"",1,0)+IF(DS2221&lt;&gt;"",1,0)+IF(DT2221&lt;&gt;"",1,0)+IF(DV2221&lt;&gt;"",1,0)+IF(DW2221&lt;&gt;"",1,0)+IF(DX2221&lt;&gt;"",1,0)+IF(DY2221&lt;&gt;"",1,0)+IF(DZ2221&lt;&gt;"",1,0)+IF(EB2221&lt;&gt;"",1,0)+IF(EC2221&lt;&gt;"",1,0)+IF(ED2221&lt;&gt;"",1,0)+IF(EG2221&lt;&gt;"",1,0)+IF(EH2221&lt;&gt;"",1,0)</f>
        <v/>
      </c>
      <c r="AZ2221">
        <f>IF(EH2221&lt;&gt;"",1,0)</f>
        <v/>
      </c>
      <c r="BB2221" t="inlineStr">
        <is>
          <t>WARREN-WARD 4</t>
        </is>
      </c>
      <c r="BY2221" t="inlineStr">
        <is>
          <t>R</t>
        </is>
      </c>
      <c r="CP2221" t="inlineStr">
        <is>
          <t>X</t>
        </is>
      </c>
      <c r="DC2221" t="inlineStr">
        <is>
          <t>X</t>
        </is>
      </c>
      <c r="DN2221" t="inlineStr">
        <is>
          <t>X</t>
        </is>
      </c>
    </row>
    <row r="2222">
      <c r="A2222" t="inlineStr">
        <is>
          <t>OH0015724972</t>
        </is>
      </c>
      <c r="B2222" t="n">
        <v>78</v>
      </c>
      <c r="C2222" t="n">
        <v>20875</v>
      </c>
      <c r="D2222" t="inlineStr">
        <is>
          <t>MORGAN</t>
        </is>
      </c>
      <c r="E2222" t="inlineStr">
        <is>
          <t>BARBARA</t>
        </is>
      </c>
      <c r="F2222">
        <f>CONCATENATE(D2222," ",LEFT(H2222,4),"T=",AU2222,"D=",AV2222,"R=",AW2222,"M=",AX2222,"L=",AY2222,"B=",AZ2222)</f>
        <v/>
      </c>
      <c r="G2222" t="inlineStr">
        <is>
          <t>ANN</t>
        </is>
      </c>
      <c r="I2222" t="inlineStr">
        <is>
          <t>1949-07-17</t>
        </is>
      </c>
      <c r="J2222" t="inlineStr">
        <is>
          <t>2024-10-07</t>
        </is>
      </c>
      <c r="K2222" t="inlineStr">
        <is>
          <t>ACTIVE</t>
        </is>
      </c>
      <c r="M2222" t="inlineStr">
        <is>
          <t>1592 OAK KNOLL AVE SE</t>
        </is>
      </c>
      <c r="N2222">
        <f>RIGHT(M2222,LEN(M2222)-FIND(" ",M2222))</f>
        <v/>
      </c>
      <c r="P2222" t="inlineStr">
        <is>
          <t>WARREN</t>
        </is>
      </c>
      <c r="Q2222" t="inlineStr">
        <is>
          <t>OH</t>
        </is>
      </c>
      <c r="R2222" t="n">
        <v>44484</v>
      </c>
      <c r="AD2222" t="inlineStr">
        <is>
          <t>TRUMBULL CAREER &amp; TECH CENTER</t>
        </is>
      </c>
      <c r="AE2222" t="inlineStr">
        <is>
          <t>WARREN CITY</t>
        </is>
      </c>
      <c r="AF2222" t="inlineStr">
        <is>
          <t>WARREN CITY SD</t>
        </is>
      </c>
      <c r="AH2222" t="n">
        <v>14</v>
      </c>
      <c r="AI2222" t="n">
        <v>11</v>
      </c>
      <c r="AN2222" t="inlineStr">
        <is>
          <t>WARREN</t>
        </is>
      </c>
      <c r="AO2222" t="inlineStr">
        <is>
          <t>WARREN CITY 4F</t>
        </is>
      </c>
      <c r="AP2222" t="inlineStr">
        <is>
          <t>78-P-ADN</t>
        </is>
      </c>
      <c r="AQ2222" t="n">
        <v>9</v>
      </c>
      <c r="AR2222" t="n">
        <v>64</v>
      </c>
      <c r="AS2222" t="n">
        <v>32</v>
      </c>
      <c r="AU2222">
        <f>COUNTA($BA$2222:$EH$2222)</f>
        <v/>
      </c>
      <c r="AV2222">
        <f>COUNTIF($BA$2222:$EH$2222,"D")</f>
        <v/>
      </c>
      <c r="AW2222">
        <f>COUNTIF($BA$2222:$EH$2222,"R")</f>
        <v/>
      </c>
      <c r="AX2222">
        <f>IF(BN2222="D",1,0)+IF(BO2222="D",1,0)+IF(BT2222="D",1,0)+IF(BU2222="D",1,0)+IF(BW2222="D",1,0)+IF(CC2222="D",1,0)+IF(CD2222="D",1,0)+IF(CE2222="D",1,0)+IF(CF2222="D",1,0)+IF(CL2222="D",1,0)+IF(CM2222="D",1,0)+IF(CQ2222="D",1,0)+IF(CR2222="D",1,0)+IF(CS2222="D",1,0)+IF(CW2222="D",1,0)+IF(CX2222="D",1,0)+IF(DD2222="D",1,0)+IF(DE2222="D",1,0)+IF(DJ2222="D",1,0)+IF(DK2222="D",1,0)+IF(DO2222="D",1,0)+IF(DP2222="D",1,0)+IF(DQ2222="D",1,0)+IF(DW2222="D",1,0)+IF(DZ2222="D",1,0)+IF(EH2222="D",1,0)</f>
        <v/>
      </c>
      <c r="AY2222">
        <f>IF(DJ2222&lt;&gt;"",1,0)+IF(DK2222&lt;&gt;"",1,0)+IF(DM2222&lt;&gt;"",1,0)+IF(DO2222&lt;&gt;"",1,0)+IF(DP2222&lt;&gt;"",1,0)+IF(DQ2222&lt;&gt;"",1,0)+IF(DS2222&lt;&gt;"",1,0)+IF(DT2222&lt;&gt;"",1,0)+IF(DV2222&lt;&gt;"",1,0)+IF(DW2222&lt;&gt;"",1,0)+IF(DX2222&lt;&gt;"",1,0)+IF(DY2222&lt;&gt;"",1,0)+IF(DZ2222&lt;&gt;"",1,0)+IF(EB2222&lt;&gt;"",1,0)+IF(EC2222&lt;&gt;"",1,0)+IF(ED2222&lt;&gt;"",1,0)+IF(EG2222&lt;&gt;"",1,0)+IF(EH2222&lt;&gt;"",1,0)</f>
        <v/>
      </c>
      <c r="AZ2222">
        <f>IF(EH2222&lt;&gt;"",1,0)</f>
        <v/>
      </c>
      <c r="BB2222" t="inlineStr">
        <is>
          <t>WARREN-WARD 4</t>
        </is>
      </c>
      <c r="BC2222" t="inlineStr">
        <is>
          <t>X</t>
        </is>
      </c>
      <c r="BD2222" t="inlineStr">
        <is>
          <t>X</t>
        </is>
      </c>
      <c r="BG2222" t="inlineStr">
        <is>
          <t>X</t>
        </is>
      </c>
      <c r="BK2222" t="inlineStr">
        <is>
          <t>X</t>
        </is>
      </c>
      <c r="BL2222" t="inlineStr">
        <is>
          <t>X</t>
        </is>
      </c>
      <c r="BP2222" t="inlineStr">
        <is>
          <t>X</t>
        </is>
      </c>
      <c r="BR2222" t="inlineStr">
        <is>
          <t>X</t>
        </is>
      </c>
      <c r="BS2222" t="inlineStr">
        <is>
          <t>X</t>
        </is>
      </c>
      <c r="BY2222" t="inlineStr">
        <is>
          <t>D</t>
        </is>
      </c>
      <c r="CA2222" t="inlineStr">
        <is>
          <t>X</t>
        </is>
      </c>
      <c r="CC2222" t="inlineStr">
        <is>
          <t>D</t>
        </is>
      </c>
      <c r="CG2222" t="inlineStr">
        <is>
          <t>X</t>
        </is>
      </c>
      <c r="CH2222" t="inlineStr">
        <is>
          <t>D</t>
        </is>
      </c>
      <c r="CK2222" t="inlineStr">
        <is>
          <t>X</t>
        </is>
      </c>
      <c r="CL2222" t="inlineStr">
        <is>
          <t>D</t>
        </is>
      </c>
      <c r="CO2222" t="inlineStr">
        <is>
          <t>D</t>
        </is>
      </c>
      <c r="CP2222" t="inlineStr">
        <is>
          <t>X</t>
        </is>
      </c>
      <c r="CQ2222" t="inlineStr">
        <is>
          <t>D</t>
        </is>
      </c>
      <c r="CT2222" t="inlineStr">
        <is>
          <t>X</t>
        </is>
      </c>
      <c r="CV2222" t="inlineStr">
        <is>
          <t>X</t>
        </is>
      </c>
      <c r="DC2222" t="inlineStr">
        <is>
          <t>X</t>
        </is>
      </c>
      <c r="DF2222" t="inlineStr">
        <is>
          <t>X</t>
        </is>
      </c>
      <c r="DI2222" t="inlineStr">
        <is>
          <t>X</t>
        </is>
      </c>
      <c r="DM2222" t="inlineStr">
        <is>
          <t>D</t>
        </is>
      </c>
      <c r="DN2222" t="inlineStr">
        <is>
          <t>X</t>
        </is>
      </c>
      <c r="EF2222" t="inlineStr">
        <is>
          <t>X</t>
        </is>
      </c>
    </row>
    <row r="2223">
      <c r="A2223" t="inlineStr">
        <is>
          <t>OH0027492183</t>
        </is>
      </c>
      <c r="B2223" t="n">
        <v>78</v>
      </c>
      <c r="C2223" t="n">
        <v>486946</v>
      </c>
      <c r="D2223" t="inlineStr">
        <is>
          <t>HARRIS</t>
        </is>
      </c>
      <c r="E2223" t="inlineStr">
        <is>
          <t>JAVONTAI</t>
        </is>
      </c>
      <c r="F2223">
        <f>CONCATENATE(D2223," ",LEFT(H2223,4),"T=",AU2223,"D=",AV2223,"R=",AW2223,"M=",AX2223,"L=",AY2223,"B=",AZ2223)</f>
        <v/>
      </c>
      <c r="G2223" t="inlineStr">
        <is>
          <t>LAMAR</t>
        </is>
      </c>
      <c r="I2223" t="inlineStr">
        <is>
          <t>2001-01-01</t>
        </is>
      </c>
      <c r="J2223" t="inlineStr">
        <is>
          <t>2024-08-01</t>
        </is>
      </c>
      <c r="K2223" t="inlineStr">
        <is>
          <t>ACTIVE</t>
        </is>
      </c>
      <c r="M2223" t="inlineStr">
        <is>
          <t>1619 OAK KNOLL AVE SE</t>
        </is>
      </c>
      <c r="N2223">
        <f>RIGHT(M2223,LEN(M2223)-FIND(" ",M2223))</f>
        <v/>
      </c>
      <c r="P2223" t="inlineStr">
        <is>
          <t>WARREN</t>
        </is>
      </c>
      <c r="Q2223" t="inlineStr">
        <is>
          <t>OH</t>
        </is>
      </c>
      <c r="R2223" t="n">
        <v>44484</v>
      </c>
      <c r="AD2223" t="inlineStr">
        <is>
          <t>TRUMBULL CAREER &amp; TECH CENTER</t>
        </is>
      </c>
      <c r="AE2223" t="inlineStr">
        <is>
          <t>WARREN CITY</t>
        </is>
      </c>
      <c r="AF2223" t="inlineStr">
        <is>
          <t>WARREN CITY SD</t>
        </is>
      </c>
      <c r="AH2223" t="n">
        <v>14</v>
      </c>
      <c r="AI2223" t="n">
        <v>11</v>
      </c>
      <c r="AN2223" t="inlineStr">
        <is>
          <t>WARREN</t>
        </is>
      </c>
      <c r="AO2223" t="inlineStr">
        <is>
          <t>WARREN CITY 4F</t>
        </is>
      </c>
      <c r="AP2223" t="inlineStr">
        <is>
          <t>78-P-ADN</t>
        </is>
      </c>
      <c r="AQ2223" t="n">
        <v>9</v>
      </c>
      <c r="AR2223" t="n">
        <v>64</v>
      </c>
      <c r="AS2223" t="n">
        <v>32</v>
      </c>
      <c r="AU2223">
        <f>COUNTA($BA$2223:$EH$2223)</f>
        <v/>
      </c>
      <c r="AV2223">
        <f>COUNTIF($BA$2223:$EH$2223,"D")</f>
        <v/>
      </c>
      <c r="AW2223">
        <f>COUNTIF($BA$2223:$EH$2223,"R")</f>
        <v/>
      </c>
      <c r="AX2223">
        <f>IF(BN2223="D",1,0)+IF(BO2223="D",1,0)+IF(BT2223="D",1,0)+IF(BU2223="D",1,0)+IF(BW2223="D",1,0)+IF(CC2223="D",1,0)+IF(CD2223="D",1,0)+IF(CE2223="D",1,0)+IF(CF2223="D",1,0)+IF(CL2223="D",1,0)+IF(CM2223="D",1,0)+IF(CQ2223="D",1,0)+IF(CR2223="D",1,0)+IF(CS2223="D",1,0)+IF(CW2223="D",1,0)+IF(CX2223="D",1,0)+IF(DD2223="D",1,0)+IF(DE2223="D",1,0)+IF(DJ2223="D",1,0)+IF(DK2223="D",1,0)+IF(DO2223="D",1,0)+IF(DP2223="D",1,0)+IF(DQ2223="D",1,0)+IF(DW2223="D",1,0)+IF(DZ2223="D",1,0)+IF(EH2223="D",1,0)</f>
        <v/>
      </c>
      <c r="AY2223">
        <f>IF(DJ2223&lt;&gt;"",1,0)+IF(DK2223&lt;&gt;"",1,0)+IF(DM2223&lt;&gt;"",1,0)+IF(DO2223&lt;&gt;"",1,0)+IF(DP2223&lt;&gt;"",1,0)+IF(DQ2223&lt;&gt;"",1,0)+IF(DS2223&lt;&gt;"",1,0)+IF(DT2223&lt;&gt;"",1,0)+IF(DV2223&lt;&gt;"",1,0)+IF(DW2223&lt;&gt;"",1,0)+IF(DX2223&lt;&gt;"",1,0)+IF(DY2223&lt;&gt;"",1,0)+IF(DZ2223&lt;&gt;"",1,0)+IF(EB2223&lt;&gt;"",1,0)+IF(EC2223&lt;&gt;"",1,0)+IF(ED2223&lt;&gt;"",1,0)+IF(EG2223&lt;&gt;"",1,0)+IF(EH2223&lt;&gt;"",1,0)</f>
        <v/>
      </c>
      <c r="AZ2223">
        <f>IF(EH2223&lt;&gt;"",1,0)</f>
        <v/>
      </c>
      <c r="BB2223" t="inlineStr">
        <is>
          <t>WARREN-WARD 4</t>
        </is>
      </c>
    </row>
    <row r="2224">
      <c r="A2224" t="inlineStr">
        <is>
          <t>OH0026207801</t>
        </is>
      </c>
      <c r="B2224" t="n">
        <v>78</v>
      </c>
      <c r="C2224" t="n">
        <v>458284</v>
      </c>
      <c r="D2224" t="inlineStr">
        <is>
          <t>SHEELY</t>
        </is>
      </c>
      <c r="E2224" t="inlineStr">
        <is>
          <t>BRYAN</t>
        </is>
      </c>
      <c r="F2224">
        <f>CONCATENATE(D2224," ",LEFT(H2224,4),"T=",AU2224,"D=",AV2224,"R=",AW2224,"M=",AX2224,"L=",AY2224,"B=",AZ2224)</f>
        <v/>
      </c>
      <c r="G2224" t="inlineStr">
        <is>
          <t>W</t>
        </is>
      </c>
      <c r="I2224" t="inlineStr">
        <is>
          <t>1994-05-01</t>
        </is>
      </c>
      <c r="J2224" t="inlineStr">
        <is>
          <t>2021-06-03</t>
        </is>
      </c>
      <c r="K2224" t="inlineStr">
        <is>
          <t>CONFIRMATION</t>
        </is>
      </c>
      <c r="M2224" t="inlineStr">
        <is>
          <t>1159 OAK KNOLL AVE SE</t>
        </is>
      </c>
      <c r="N2224">
        <f>RIGHT(M2224,LEN(M2224)-FIND(" ",M2224))</f>
        <v/>
      </c>
      <c r="P2224" t="inlineStr">
        <is>
          <t>WARREN</t>
        </is>
      </c>
      <c r="Q2224" t="inlineStr">
        <is>
          <t>OH</t>
        </is>
      </c>
      <c r="R2224" t="n">
        <v>44484</v>
      </c>
      <c r="AD2224" t="inlineStr">
        <is>
          <t>TRUMBULL CAREER &amp; TECH CENTER</t>
        </is>
      </c>
      <c r="AE2224" t="inlineStr">
        <is>
          <t>WARREN CITY</t>
        </is>
      </c>
      <c r="AF2224" t="inlineStr">
        <is>
          <t>WARREN CITY SD</t>
        </is>
      </c>
      <c r="AH2224" t="n">
        <v>14</v>
      </c>
      <c r="AI2224" t="n">
        <v>11</v>
      </c>
      <c r="AN2224" t="inlineStr">
        <is>
          <t>WARREN</t>
        </is>
      </c>
      <c r="AO2224" t="inlineStr">
        <is>
          <t>WARREN CITY 4F</t>
        </is>
      </c>
      <c r="AP2224" t="inlineStr">
        <is>
          <t>78-P-ADN</t>
        </is>
      </c>
      <c r="AQ2224" t="n">
        <v>9</v>
      </c>
      <c r="AR2224" t="n">
        <v>64</v>
      </c>
      <c r="AS2224" t="n">
        <v>32</v>
      </c>
      <c r="AU2224">
        <f>COUNTA($BA$2224:$EH$2224)</f>
        <v/>
      </c>
      <c r="AV2224">
        <f>COUNTIF($BA$2224:$EH$2224,"D")</f>
        <v/>
      </c>
      <c r="AW2224">
        <f>COUNTIF($BA$2224:$EH$2224,"R")</f>
        <v/>
      </c>
      <c r="AX2224">
        <f>IF(BN2224="D",1,0)+IF(BO2224="D",1,0)+IF(BT2224="D",1,0)+IF(BU2224="D",1,0)+IF(BW2224="D",1,0)+IF(CC2224="D",1,0)+IF(CD2224="D",1,0)+IF(CE2224="D",1,0)+IF(CF2224="D",1,0)+IF(CL2224="D",1,0)+IF(CM2224="D",1,0)+IF(CQ2224="D",1,0)+IF(CR2224="D",1,0)+IF(CS2224="D",1,0)+IF(CW2224="D",1,0)+IF(CX2224="D",1,0)+IF(DD2224="D",1,0)+IF(DE2224="D",1,0)+IF(DJ2224="D",1,0)+IF(DK2224="D",1,0)+IF(DO2224="D",1,0)+IF(DP2224="D",1,0)+IF(DQ2224="D",1,0)+IF(DW2224="D",1,0)+IF(DZ2224="D",1,0)+IF(EH2224="D",1,0)</f>
        <v/>
      </c>
      <c r="AY2224">
        <f>IF(DJ2224&lt;&gt;"",1,0)+IF(DK2224&lt;&gt;"",1,0)+IF(DM2224&lt;&gt;"",1,0)+IF(DO2224&lt;&gt;"",1,0)+IF(DP2224&lt;&gt;"",1,0)+IF(DQ2224&lt;&gt;"",1,0)+IF(DS2224&lt;&gt;"",1,0)+IF(DT2224&lt;&gt;"",1,0)+IF(DV2224&lt;&gt;"",1,0)+IF(DW2224&lt;&gt;"",1,0)+IF(DX2224&lt;&gt;"",1,0)+IF(DY2224&lt;&gt;"",1,0)+IF(DZ2224&lt;&gt;"",1,0)+IF(EB2224&lt;&gt;"",1,0)+IF(EC2224&lt;&gt;"",1,0)+IF(ED2224&lt;&gt;"",1,0)+IF(EG2224&lt;&gt;"",1,0)+IF(EH2224&lt;&gt;"",1,0)</f>
        <v/>
      </c>
      <c r="AZ2224">
        <f>IF(EH2224&lt;&gt;"",1,0)</f>
        <v/>
      </c>
      <c r="BB2224" t="inlineStr">
        <is>
          <t>WARREN-WARD 4</t>
        </is>
      </c>
    </row>
    <row r="2225">
      <c r="A2225" t="inlineStr">
        <is>
          <t>OH0015692990</t>
        </is>
      </c>
      <c r="B2225" t="n">
        <v>78</v>
      </c>
      <c r="C2225" t="n">
        <v>14238</v>
      </c>
      <c r="D2225" t="inlineStr">
        <is>
          <t>BLAKE</t>
        </is>
      </c>
      <c r="E2225" t="inlineStr">
        <is>
          <t>FRANCINE</t>
        </is>
      </c>
      <c r="F2225">
        <f>CONCATENATE(D2225," ",LEFT(H2225,4),"T=",AU2225,"D=",AV2225,"R=",AW2225,"M=",AX2225,"L=",AY2225,"B=",AZ2225)</f>
        <v/>
      </c>
      <c r="G2225" t="inlineStr">
        <is>
          <t>J</t>
        </is>
      </c>
      <c r="I2225" t="inlineStr">
        <is>
          <t>1938-05-25</t>
        </is>
      </c>
      <c r="J2225" t="inlineStr">
        <is>
          <t>1967-11-29</t>
        </is>
      </c>
      <c r="K2225" t="inlineStr">
        <is>
          <t>ACTIVE</t>
        </is>
      </c>
      <c r="L2225" t="inlineStr">
        <is>
          <t>D</t>
        </is>
      </c>
      <c r="M2225" t="inlineStr">
        <is>
          <t>1579 HOMEWOOD AVE SE</t>
        </is>
      </c>
      <c r="N2225">
        <f>RIGHT(M2225,LEN(M2225)-FIND(" ",M2225))</f>
        <v/>
      </c>
      <c r="P2225" t="inlineStr">
        <is>
          <t>WARREN</t>
        </is>
      </c>
      <c r="Q2225" t="inlineStr">
        <is>
          <t>OH</t>
        </is>
      </c>
      <c r="R2225" t="n">
        <v>44484</v>
      </c>
      <c r="AD2225" t="inlineStr">
        <is>
          <t>TRUMBULL CAREER &amp; TECH CENTER</t>
        </is>
      </c>
      <c r="AE2225" t="inlineStr">
        <is>
          <t>WARREN CITY</t>
        </is>
      </c>
      <c r="AF2225" t="inlineStr">
        <is>
          <t>WARREN CITY SD</t>
        </is>
      </c>
      <c r="AH2225" t="n">
        <v>14</v>
      </c>
      <c r="AI2225" t="n">
        <v>11</v>
      </c>
      <c r="AN2225" t="inlineStr">
        <is>
          <t>WARREN</t>
        </is>
      </c>
      <c r="AO2225" t="inlineStr">
        <is>
          <t>WARREN CITY 4F</t>
        </is>
      </c>
      <c r="AP2225" t="inlineStr">
        <is>
          <t>78-P-ADN</t>
        </is>
      </c>
      <c r="AQ2225" t="n">
        <v>9</v>
      </c>
      <c r="AR2225" t="n">
        <v>64</v>
      </c>
      <c r="AS2225" t="n">
        <v>32</v>
      </c>
      <c r="AU2225">
        <f>COUNTA($BA$2225:$EH$2225)</f>
        <v/>
      </c>
      <c r="AV2225">
        <f>COUNTIF($BA$2225:$EH$2225,"D")</f>
        <v/>
      </c>
      <c r="AW2225">
        <f>COUNTIF($BA$2225:$EH$2225,"R")</f>
        <v/>
      </c>
      <c r="AX2225">
        <f>IF(BN2225="D",1,0)+IF(BO2225="D",1,0)+IF(BT2225="D",1,0)+IF(BU2225="D",1,0)+IF(BW2225="D",1,0)+IF(CC2225="D",1,0)+IF(CD2225="D",1,0)+IF(CE2225="D",1,0)+IF(CF2225="D",1,0)+IF(CL2225="D",1,0)+IF(CM2225="D",1,0)+IF(CQ2225="D",1,0)+IF(CR2225="D",1,0)+IF(CS2225="D",1,0)+IF(CW2225="D",1,0)+IF(CX2225="D",1,0)+IF(DD2225="D",1,0)+IF(DE2225="D",1,0)+IF(DJ2225="D",1,0)+IF(DK2225="D",1,0)+IF(DO2225="D",1,0)+IF(DP2225="D",1,0)+IF(DQ2225="D",1,0)+IF(DW2225="D",1,0)+IF(DZ2225="D",1,0)+IF(EH2225="D",1,0)</f>
        <v/>
      </c>
      <c r="AY2225">
        <f>IF(DJ2225&lt;&gt;"",1,0)+IF(DK2225&lt;&gt;"",1,0)+IF(DM2225&lt;&gt;"",1,0)+IF(DO2225&lt;&gt;"",1,0)+IF(DP2225&lt;&gt;"",1,0)+IF(DQ2225&lt;&gt;"",1,0)+IF(DS2225&lt;&gt;"",1,0)+IF(DT2225&lt;&gt;"",1,0)+IF(DV2225&lt;&gt;"",1,0)+IF(DW2225&lt;&gt;"",1,0)+IF(DX2225&lt;&gt;"",1,0)+IF(DY2225&lt;&gt;"",1,0)+IF(DZ2225&lt;&gt;"",1,0)+IF(EB2225&lt;&gt;"",1,0)+IF(EC2225&lt;&gt;"",1,0)+IF(ED2225&lt;&gt;"",1,0)+IF(EG2225&lt;&gt;"",1,0)+IF(EH2225&lt;&gt;"",1,0)</f>
        <v/>
      </c>
      <c r="AZ2225">
        <f>IF(EH2225&lt;&gt;"",1,0)</f>
        <v/>
      </c>
      <c r="BB2225" t="inlineStr">
        <is>
          <t>WARREN-WARD 4</t>
        </is>
      </c>
      <c r="BC2225" t="inlineStr">
        <is>
          <t>X</t>
        </is>
      </c>
      <c r="BD2225" t="inlineStr">
        <is>
          <t>X</t>
        </is>
      </c>
      <c r="BE2225" t="inlineStr">
        <is>
          <t>X</t>
        </is>
      </c>
      <c r="BG2225" t="inlineStr">
        <is>
          <t>X</t>
        </is>
      </c>
      <c r="BH2225" t="inlineStr">
        <is>
          <t>X</t>
        </is>
      </c>
      <c r="BI2225" t="inlineStr">
        <is>
          <t>X</t>
        </is>
      </c>
      <c r="BJ2225" t="inlineStr">
        <is>
          <t>X</t>
        </is>
      </c>
      <c r="BK2225" t="inlineStr">
        <is>
          <t>X</t>
        </is>
      </c>
      <c r="BL2225" t="inlineStr">
        <is>
          <t>X</t>
        </is>
      </c>
      <c r="BP2225" t="inlineStr">
        <is>
          <t>X</t>
        </is>
      </c>
      <c r="BR2225" t="inlineStr">
        <is>
          <t>X</t>
        </is>
      </c>
      <c r="BS2225" t="inlineStr">
        <is>
          <t>X</t>
        </is>
      </c>
      <c r="BT2225" t="inlineStr">
        <is>
          <t>X</t>
        </is>
      </c>
      <c r="BV2225" t="inlineStr">
        <is>
          <t>X</t>
        </is>
      </c>
      <c r="BY2225" t="inlineStr">
        <is>
          <t>D</t>
        </is>
      </c>
      <c r="CA2225" t="inlineStr">
        <is>
          <t>X</t>
        </is>
      </c>
      <c r="CC2225" t="inlineStr">
        <is>
          <t>D</t>
        </is>
      </c>
      <c r="CG2225" t="inlineStr">
        <is>
          <t>X</t>
        </is>
      </c>
      <c r="CH2225" t="inlineStr">
        <is>
          <t>D</t>
        </is>
      </c>
      <c r="CK2225" t="inlineStr">
        <is>
          <t>X</t>
        </is>
      </c>
      <c r="CL2225" t="inlineStr">
        <is>
          <t>D</t>
        </is>
      </c>
      <c r="CN2225" t="inlineStr">
        <is>
          <t>X</t>
        </is>
      </c>
      <c r="CO2225" t="inlineStr">
        <is>
          <t>D</t>
        </is>
      </c>
      <c r="CP2225" t="inlineStr">
        <is>
          <t>X</t>
        </is>
      </c>
      <c r="CT2225" t="inlineStr">
        <is>
          <t>X</t>
        </is>
      </c>
      <c r="CU2225" t="inlineStr">
        <is>
          <t>D</t>
        </is>
      </c>
      <c r="CV2225" t="inlineStr">
        <is>
          <t>X</t>
        </is>
      </c>
      <c r="CW2225" t="inlineStr">
        <is>
          <t>D</t>
        </is>
      </c>
      <c r="CY2225" t="inlineStr">
        <is>
          <t>X</t>
        </is>
      </c>
      <c r="CZ2225" t="inlineStr">
        <is>
          <t>D</t>
        </is>
      </c>
      <c r="DC2225" t="inlineStr">
        <is>
          <t>X</t>
        </is>
      </c>
      <c r="DF2225" t="inlineStr">
        <is>
          <t>X</t>
        </is>
      </c>
      <c r="DG2225" t="inlineStr">
        <is>
          <t>D</t>
        </is>
      </c>
      <c r="DI2225" t="inlineStr">
        <is>
          <t>X</t>
        </is>
      </c>
      <c r="DJ2225" t="inlineStr">
        <is>
          <t>D</t>
        </is>
      </c>
      <c r="DL2225" t="inlineStr">
        <is>
          <t>X</t>
        </is>
      </c>
      <c r="DM2225" t="inlineStr">
        <is>
          <t>D</t>
        </is>
      </c>
      <c r="DN2225" t="inlineStr">
        <is>
          <t>X</t>
        </is>
      </c>
      <c r="DR2225" t="inlineStr">
        <is>
          <t>X</t>
        </is>
      </c>
      <c r="DS2225" t="inlineStr">
        <is>
          <t>D</t>
        </is>
      </c>
      <c r="DT2225" t="inlineStr">
        <is>
          <t>D</t>
        </is>
      </c>
      <c r="DU2225" t="inlineStr">
        <is>
          <t>X</t>
        </is>
      </c>
      <c r="DW2225" t="inlineStr">
        <is>
          <t>D</t>
        </is>
      </c>
      <c r="DX2225" t="inlineStr">
        <is>
          <t>X</t>
        </is>
      </c>
      <c r="EA2225" t="inlineStr">
        <is>
          <t>X</t>
        </is>
      </c>
      <c r="ED2225" t="inlineStr">
        <is>
          <t>D</t>
        </is>
      </c>
      <c r="EF2225" t="inlineStr">
        <is>
          <t>X</t>
        </is>
      </c>
      <c r="EH2225" t="inlineStr">
        <is>
          <t>D</t>
        </is>
      </c>
    </row>
    <row r="2226">
      <c r="A2226" t="inlineStr">
        <is>
          <t>OH0020231084</t>
        </is>
      </c>
      <c r="B2226" t="n">
        <v>78</v>
      </c>
      <c r="C2226" t="n">
        <v>364328</v>
      </c>
      <c r="D2226" t="inlineStr">
        <is>
          <t>MURRAY</t>
        </is>
      </c>
      <c r="E2226" t="inlineStr">
        <is>
          <t>DEIDRA</t>
        </is>
      </c>
      <c r="F2226">
        <f>CONCATENATE(D2226," ",LEFT(H2226,4),"T=",AU2226,"D=",AV2226,"R=",AW2226,"M=",AX2226,"L=",AY2226,"B=",AZ2226)</f>
        <v/>
      </c>
      <c r="G2226" t="inlineStr">
        <is>
          <t>A</t>
        </is>
      </c>
      <c r="I2226" t="inlineStr">
        <is>
          <t>1960-08-20</t>
        </is>
      </c>
      <c r="J2226" t="inlineStr">
        <is>
          <t>2016-05-20</t>
        </is>
      </c>
      <c r="K2226" t="inlineStr">
        <is>
          <t>ACTIVE</t>
        </is>
      </c>
      <c r="L2226" t="inlineStr">
        <is>
          <t>D</t>
        </is>
      </c>
      <c r="M2226" t="inlineStr">
        <is>
          <t>1046 HOMEWOOD AVE SE</t>
        </is>
      </c>
      <c r="N2226">
        <f>RIGHT(M2226,LEN(M2226)-FIND(" ",M2226))</f>
        <v/>
      </c>
      <c r="P2226" t="inlineStr">
        <is>
          <t>WARREN</t>
        </is>
      </c>
      <c r="Q2226" t="inlineStr">
        <is>
          <t>OH</t>
        </is>
      </c>
      <c r="R2226" t="n">
        <v>44484</v>
      </c>
      <c r="AD2226" t="inlineStr">
        <is>
          <t>TRUMBULL CAREER &amp; TECH CENTER</t>
        </is>
      </c>
      <c r="AE2226" t="inlineStr">
        <is>
          <t>WARREN CITY</t>
        </is>
      </c>
      <c r="AF2226" t="inlineStr">
        <is>
          <t>WARREN CITY SD</t>
        </is>
      </c>
      <c r="AH2226" t="n">
        <v>14</v>
      </c>
      <c r="AI2226" t="n">
        <v>11</v>
      </c>
      <c r="AN2226" t="inlineStr">
        <is>
          <t>WARREN</t>
        </is>
      </c>
      <c r="AO2226" t="inlineStr">
        <is>
          <t>WARREN CITY 4F</t>
        </is>
      </c>
      <c r="AP2226" t="inlineStr">
        <is>
          <t>78-P-ADN</t>
        </is>
      </c>
      <c r="AQ2226" t="n">
        <v>9</v>
      </c>
      <c r="AR2226" t="n">
        <v>64</v>
      </c>
      <c r="AS2226" t="n">
        <v>32</v>
      </c>
      <c r="AU2226">
        <f>COUNTA($BA$2226:$EH$2226)</f>
        <v/>
      </c>
      <c r="AV2226">
        <f>COUNTIF($BA$2226:$EH$2226,"D")</f>
        <v/>
      </c>
      <c r="AW2226">
        <f>COUNTIF($BA$2226:$EH$2226,"R")</f>
        <v/>
      </c>
      <c r="AX2226">
        <f>IF(BN2226="D",1,0)+IF(BO2226="D",1,0)+IF(BT2226="D",1,0)+IF(BU2226="D",1,0)+IF(BW2226="D",1,0)+IF(CC2226="D",1,0)+IF(CD2226="D",1,0)+IF(CE2226="D",1,0)+IF(CF2226="D",1,0)+IF(CL2226="D",1,0)+IF(CM2226="D",1,0)+IF(CQ2226="D",1,0)+IF(CR2226="D",1,0)+IF(CS2226="D",1,0)+IF(CW2226="D",1,0)+IF(CX2226="D",1,0)+IF(DD2226="D",1,0)+IF(DE2226="D",1,0)+IF(DJ2226="D",1,0)+IF(DK2226="D",1,0)+IF(DO2226="D",1,0)+IF(DP2226="D",1,0)+IF(DQ2226="D",1,0)+IF(DW2226="D",1,0)+IF(DZ2226="D",1,0)+IF(EH2226="D",1,0)</f>
        <v/>
      </c>
      <c r="AY2226">
        <f>IF(DJ2226&lt;&gt;"",1,0)+IF(DK2226&lt;&gt;"",1,0)+IF(DM2226&lt;&gt;"",1,0)+IF(DO2226&lt;&gt;"",1,0)+IF(DP2226&lt;&gt;"",1,0)+IF(DQ2226&lt;&gt;"",1,0)+IF(DS2226&lt;&gt;"",1,0)+IF(DT2226&lt;&gt;"",1,0)+IF(DV2226&lt;&gt;"",1,0)+IF(DW2226&lt;&gt;"",1,0)+IF(DX2226&lt;&gt;"",1,0)+IF(DY2226&lt;&gt;"",1,0)+IF(DZ2226&lt;&gt;"",1,0)+IF(EB2226&lt;&gt;"",1,0)+IF(EC2226&lt;&gt;"",1,0)+IF(ED2226&lt;&gt;"",1,0)+IF(EG2226&lt;&gt;"",1,0)+IF(EH2226&lt;&gt;"",1,0)</f>
        <v/>
      </c>
      <c r="AZ2226">
        <f>IF(EH2226&lt;&gt;"",1,0)</f>
        <v/>
      </c>
      <c r="BB2226" t="inlineStr">
        <is>
          <t>WARREN-WARD 4</t>
        </is>
      </c>
      <c r="CA2226" t="inlineStr">
        <is>
          <t>X</t>
        </is>
      </c>
      <c r="CK2226" t="inlineStr">
        <is>
          <t>X</t>
        </is>
      </c>
      <c r="CL2226" t="inlineStr">
        <is>
          <t>D</t>
        </is>
      </c>
      <c r="CN2226" t="inlineStr">
        <is>
          <t>X</t>
        </is>
      </c>
      <c r="CO2226" t="inlineStr">
        <is>
          <t>D</t>
        </is>
      </c>
      <c r="CP2226" t="inlineStr">
        <is>
          <t>X</t>
        </is>
      </c>
      <c r="CQ2226" t="inlineStr">
        <is>
          <t>D</t>
        </is>
      </c>
      <c r="CT2226" t="inlineStr">
        <is>
          <t>X</t>
        </is>
      </c>
      <c r="CU2226" t="inlineStr">
        <is>
          <t>D</t>
        </is>
      </c>
      <c r="CV2226" t="inlineStr">
        <is>
          <t>X</t>
        </is>
      </c>
      <c r="CY2226" t="inlineStr">
        <is>
          <t>X</t>
        </is>
      </c>
      <c r="CZ2226" t="inlineStr">
        <is>
          <t>D</t>
        </is>
      </c>
      <c r="DC2226" t="inlineStr">
        <is>
          <t>X</t>
        </is>
      </c>
      <c r="DI2226" t="inlineStr">
        <is>
          <t>X</t>
        </is>
      </c>
      <c r="DM2226" t="inlineStr">
        <is>
          <t>D</t>
        </is>
      </c>
      <c r="DN2226" t="inlineStr">
        <is>
          <t>X</t>
        </is>
      </c>
      <c r="DU2226" t="inlineStr">
        <is>
          <t>X</t>
        </is>
      </c>
      <c r="DX2226" t="inlineStr">
        <is>
          <t>X</t>
        </is>
      </c>
      <c r="EA2226" t="inlineStr">
        <is>
          <t>X</t>
        </is>
      </c>
      <c r="ED2226" t="inlineStr">
        <is>
          <t>D</t>
        </is>
      </c>
      <c r="EF2226" t="inlineStr">
        <is>
          <t>X</t>
        </is>
      </c>
      <c r="EH2226" t="inlineStr">
        <is>
          <t>D</t>
        </is>
      </c>
    </row>
    <row r="2227">
      <c r="A2227" t="inlineStr">
        <is>
          <t>OH0015821306</t>
        </is>
      </c>
      <c r="B2227" t="n">
        <v>78</v>
      </c>
      <c r="C2227" t="n">
        <v>279322</v>
      </c>
      <c r="D2227" t="inlineStr">
        <is>
          <t>LAUGHLIN</t>
        </is>
      </c>
      <c r="E2227" t="inlineStr">
        <is>
          <t>RANDY</t>
        </is>
      </c>
      <c r="F2227">
        <f>CONCATENATE(D2227," ",LEFT(H2227,4),"T=",AU2227,"D=",AV2227,"R=",AW2227,"M=",AX2227,"L=",AY2227,"B=",AZ2227)</f>
        <v/>
      </c>
      <c r="G2227" t="inlineStr">
        <is>
          <t>P</t>
        </is>
      </c>
      <c r="I2227" t="inlineStr">
        <is>
          <t>1959-03-12</t>
        </is>
      </c>
      <c r="J2227" t="inlineStr">
        <is>
          <t>1997-08-04</t>
        </is>
      </c>
      <c r="K2227" t="inlineStr">
        <is>
          <t>ACTIVE</t>
        </is>
      </c>
      <c r="L2227" t="inlineStr">
        <is>
          <t>D</t>
        </is>
      </c>
      <c r="M2227" t="inlineStr">
        <is>
          <t>1130 WOODBINE AVE SE</t>
        </is>
      </c>
      <c r="N2227">
        <f>RIGHT(M2227,LEN(M2227)-FIND(" ",M2227))</f>
        <v/>
      </c>
      <c r="P2227" t="inlineStr">
        <is>
          <t>WARREN</t>
        </is>
      </c>
      <c r="Q2227" t="inlineStr">
        <is>
          <t>OH</t>
        </is>
      </c>
      <c r="R2227" t="n">
        <v>44484</v>
      </c>
      <c r="AD2227" t="inlineStr">
        <is>
          <t>TRUMBULL CAREER &amp; TECH CENTER</t>
        </is>
      </c>
      <c r="AE2227" t="inlineStr">
        <is>
          <t>WARREN CITY</t>
        </is>
      </c>
      <c r="AF2227" t="inlineStr">
        <is>
          <t>WARREN CITY SD</t>
        </is>
      </c>
      <c r="AH2227" t="n">
        <v>14</v>
      </c>
      <c r="AI2227" t="n">
        <v>11</v>
      </c>
      <c r="AN2227" t="inlineStr">
        <is>
          <t>WARREN</t>
        </is>
      </c>
      <c r="AO2227" t="inlineStr">
        <is>
          <t>WARREN CITY 4F</t>
        </is>
      </c>
      <c r="AP2227" t="inlineStr">
        <is>
          <t>78-P-ADN</t>
        </is>
      </c>
      <c r="AQ2227" t="n">
        <v>9</v>
      </c>
      <c r="AR2227" t="n">
        <v>64</v>
      </c>
      <c r="AS2227" t="n">
        <v>32</v>
      </c>
      <c r="AU2227">
        <f>COUNTA($BA$2227:$EH$2227)</f>
        <v/>
      </c>
      <c r="AV2227">
        <f>COUNTIF($BA$2227:$EH$2227,"D")</f>
        <v/>
      </c>
      <c r="AW2227">
        <f>COUNTIF($BA$2227:$EH$2227,"R")</f>
        <v/>
      </c>
      <c r="AX2227">
        <f>IF(BN2227="D",1,0)+IF(BO2227="D",1,0)+IF(BT2227="D",1,0)+IF(BU2227="D",1,0)+IF(BW2227="D",1,0)+IF(CC2227="D",1,0)+IF(CD2227="D",1,0)+IF(CE2227="D",1,0)+IF(CF2227="D",1,0)+IF(CL2227="D",1,0)+IF(CM2227="D",1,0)+IF(CQ2227="D",1,0)+IF(CR2227="D",1,0)+IF(CS2227="D",1,0)+IF(CW2227="D",1,0)+IF(CX2227="D",1,0)+IF(DD2227="D",1,0)+IF(DE2227="D",1,0)+IF(DJ2227="D",1,0)+IF(DK2227="D",1,0)+IF(DO2227="D",1,0)+IF(DP2227="D",1,0)+IF(DQ2227="D",1,0)+IF(DW2227="D",1,0)+IF(DZ2227="D",1,0)+IF(EH2227="D",1,0)</f>
        <v/>
      </c>
      <c r="AY2227">
        <f>IF(DJ2227&lt;&gt;"",1,0)+IF(DK2227&lt;&gt;"",1,0)+IF(DM2227&lt;&gt;"",1,0)+IF(DO2227&lt;&gt;"",1,0)+IF(DP2227&lt;&gt;"",1,0)+IF(DQ2227&lt;&gt;"",1,0)+IF(DS2227&lt;&gt;"",1,0)+IF(DT2227&lt;&gt;"",1,0)+IF(DV2227&lt;&gt;"",1,0)+IF(DW2227&lt;&gt;"",1,0)+IF(DX2227&lt;&gt;"",1,0)+IF(DY2227&lt;&gt;"",1,0)+IF(DZ2227&lt;&gt;"",1,0)+IF(EB2227&lt;&gt;"",1,0)+IF(EC2227&lt;&gt;"",1,0)+IF(ED2227&lt;&gt;"",1,0)+IF(EG2227&lt;&gt;"",1,0)+IF(EH2227&lt;&gt;"",1,0)</f>
        <v/>
      </c>
      <c r="AZ2227">
        <f>IF(EH2227&lt;&gt;"",1,0)</f>
        <v/>
      </c>
      <c r="BB2227" t="inlineStr">
        <is>
          <t>WARREN-WARD 4</t>
        </is>
      </c>
      <c r="BC2227" t="inlineStr">
        <is>
          <t>X</t>
        </is>
      </c>
      <c r="BD2227" t="inlineStr">
        <is>
          <t>X</t>
        </is>
      </c>
      <c r="BF2227" t="inlineStr">
        <is>
          <t>X</t>
        </is>
      </c>
      <c r="BH2227" t="inlineStr">
        <is>
          <t>X</t>
        </is>
      </c>
      <c r="BK2227" t="inlineStr">
        <is>
          <t>X</t>
        </is>
      </c>
      <c r="BL2227" t="inlineStr">
        <is>
          <t>X</t>
        </is>
      </c>
      <c r="BR2227" t="inlineStr">
        <is>
          <t>X</t>
        </is>
      </c>
      <c r="BS2227" t="inlineStr">
        <is>
          <t>X</t>
        </is>
      </c>
      <c r="CA2227" t="inlineStr">
        <is>
          <t>X</t>
        </is>
      </c>
      <c r="CG2227" t="inlineStr">
        <is>
          <t>X</t>
        </is>
      </c>
      <c r="CK2227" t="inlineStr">
        <is>
          <t>X</t>
        </is>
      </c>
      <c r="CN2227" t="inlineStr">
        <is>
          <t>X</t>
        </is>
      </c>
      <c r="CP2227" t="inlineStr">
        <is>
          <t>X</t>
        </is>
      </c>
      <c r="CQ2227" t="inlineStr">
        <is>
          <t>D</t>
        </is>
      </c>
      <c r="CZ2227" t="inlineStr">
        <is>
          <t>D</t>
        </is>
      </c>
      <c r="DC2227" t="inlineStr">
        <is>
          <t>X</t>
        </is>
      </c>
      <c r="DF2227" t="inlineStr">
        <is>
          <t>X</t>
        </is>
      </c>
      <c r="DI2227" t="inlineStr">
        <is>
          <t>X</t>
        </is>
      </c>
      <c r="DJ2227" t="inlineStr">
        <is>
          <t>D</t>
        </is>
      </c>
      <c r="DL2227" t="inlineStr">
        <is>
          <t>X</t>
        </is>
      </c>
      <c r="DM2227" t="inlineStr">
        <is>
          <t>D</t>
        </is>
      </c>
      <c r="DN2227" t="inlineStr">
        <is>
          <t>X</t>
        </is>
      </c>
      <c r="DR2227" t="inlineStr">
        <is>
          <t>X</t>
        </is>
      </c>
      <c r="DS2227" t="inlineStr">
        <is>
          <t>D</t>
        </is>
      </c>
      <c r="DT2227" t="inlineStr">
        <is>
          <t>D</t>
        </is>
      </c>
      <c r="DU2227" t="inlineStr">
        <is>
          <t>X</t>
        </is>
      </c>
      <c r="DW2227" t="inlineStr">
        <is>
          <t>D</t>
        </is>
      </c>
      <c r="DX2227" t="inlineStr">
        <is>
          <t>X</t>
        </is>
      </c>
      <c r="EA2227" t="inlineStr">
        <is>
          <t>X</t>
        </is>
      </c>
      <c r="ED2227" t="inlineStr">
        <is>
          <t>D</t>
        </is>
      </c>
      <c r="EF2227" t="inlineStr">
        <is>
          <t>X</t>
        </is>
      </c>
    </row>
    <row r="2228">
      <c r="A2228" t="inlineStr">
        <is>
          <t>OH0015682378</t>
        </is>
      </c>
      <c r="B2228" t="n">
        <v>78</v>
      </c>
      <c r="C2228" t="n">
        <v>325507</v>
      </c>
      <c r="D2228" t="inlineStr">
        <is>
          <t>BRYANT</t>
        </is>
      </c>
      <c r="E2228" t="inlineStr">
        <is>
          <t>LAMONT</t>
        </is>
      </c>
      <c r="F2228">
        <f>CONCATENATE(D2228," ",LEFT(H2228,4),"T=",AU2228,"D=",AV2228,"R=",AW2228,"M=",AX2228,"L=",AY2228,"B=",AZ2228)</f>
        <v/>
      </c>
      <c r="G2228" t="inlineStr">
        <is>
          <t>C</t>
        </is>
      </c>
      <c r="I2228" t="inlineStr">
        <is>
          <t>1974-03-27</t>
        </is>
      </c>
      <c r="J2228" t="inlineStr">
        <is>
          <t>2015-10-04</t>
        </is>
      </c>
      <c r="K2228" t="inlineStr">
        <is>
          <t>ACTIVE</t>
        </is>
      </c>
      <c r="M2228" t="inlineStr">
        <is>
          <t>1561 HOMEWOOD AVE SE</t>
        </is>
      </c>
      <c r="N2228">
        <f>RIGHT(M2228,LEN(M2228)-FIND(" ",M2228))</f>
        <v/>
      </c>
      <c r="P2228" t="inlineStr">
        <is>
          <t>WARREN</t>
        </is>
      </c>
      <c r="Q2228" t="inlineStr">
        <is>
          <t>OH</t>
        </is>
      </c>
      <c r="R2228" t="n">
        <v>44484</v>
      </c>
      <c r="AD2228" t="inlineStr">
        <is>
          <t>TRUMBULL CAREER &amp; TECH CENTER</t>
        </is>
      </c>
      <c r="AE2228" t="inlineStr">
        <is>
          <t>WARREN CITY</t>
        </is>
      </c>
      <c r="AF2228" t="inlineStr">
        <is>
          <t>WARREN CITY SD</t>
        </is>
      </c>
      <c r="AH2228" t="n">
        <v>14</v>
      </c>
      <c r="AI2228" t="n">
        <v>11</v>
      </c>
      <c r="AN2228" t="inlineStr">
        <is>
          <t>WARREN</t>
        </is>
      </c>
      <c r="AO2228" t="inlineStr">
        <is>
          <t>WARREN CITY 4F</t>
        </is>
      </c>
      <c r="AP2228" t="inlineStr">
        <is>
          <t>78-P-ADN</t>
        </is>
      </c>
      <c r="AQ2228" t="n">
        <v>9</v>
      </c>
      <c r="AR2228" t="n">
        <v>64</v>
      </c>
      <c r="AS2228" t="n">
        <v>32</v>
      </c>
      <c r="AU2228">
        <f>COUNTA($BA$2228:$EH$2228)</f>
        <v/>
      </c>
      <c r="AV2228">
        <f>COUNTIF($BA$2228:$EH$2228,"D")</f>
        <v/>
      </c>
      <c r="AW2228">
        <f>COUNTIF($BA$2228:$EH$2228,"R")</f>
        <v/>
      </c>
      <c r="AX2228">
        <f>IF(BN2228="D",1,0)+IF(BO2228="D",1,0)+IF(BT2228="D",1,0)+IF(BU2228="D",1,0)+IF(BW2228="D",1,0)+IF(CC2228="D",1,0)+IF(CD2228="D",1,0)+IF(CE2228="D",1,0)+IF(CF2228="D",1,0)+IF(CL2228="D",1,0)+IF(CM2228="D",1,0)+IF(CQ2228="D",1,0)+IF(CR2228="D",1,0)+IF(CS2228="D",1,0)+IF(CW2228="D",1,0)+IF(CX2228="D",1,0)+IF(DD2228="D",1,0)+IF(DE2228="D",1,0)+IF(DJ2228="D",1,0)+IF(DK2228="D",1,0)+IF(DO2228="D",1,0)+IF(DP2228="D",1,0)+IF(DQ2228="D",1,0)+IF(DW2228="D",1,0)+IF(DZ2228="D",1,0)+IF(EH2228="D",1,0)</f>
        <v/>
      </c>
      <c r="AY2228">
        <f>IF(DJ2228&lt;&gt;"",1,0)+IF(DK2228&lt;&gt;"",1,0)+IF(DM2228&lt;&gt;"",1,0)+IF(DO2228&lt;&gt;"",1,0)+IF(DP2228&lt;&gt;"",1,0)+IF(DQ2228&lt;&gt;"",1,0)+IF(DS2228&lt;&gt;"",1,0)+IF(DT2228&lt;&gt;"",1,0)+IF(DV2228&lt;&gt;"",1,0)+IF(DW2228&lt;&gt;"",1,0)+IF(DX2228&lt;&gt;"",1,0)+IF(DY2228&lt;&gt;"",1,0)+IF(DZ2228&lt;&gt;"",1,0)+IF(EB2228&lt;&gt;"",1,0)+IF(EC2228&lt;&gt;"",1,0)+IF(ED2228&lt;&gt;"",1,0)+IF(EG2228&lt;&gt;"",1,0)+IF(EH2228&lt;&gt;"",1,0)</f>
        <v/>
      </c>
      <c r="AZ2228">
        <f>IF(EH2228&lt;&gt;"",1,0)</f>
        <v/>
      </c>
      <c r="BB2228" t="inlineStr">
        <is>
          <t>WARREN-WARD 4</t>
        </is>
      </c>
      <c r="BL2228" t="inlineStr">
        <is>
          <t>X</t>
        </is>
      </c>
      <c r="CA2228" t="inlineStr">
        <is>
          <t>X</t>
        </is>
      </c>
      <c r="CP2228" t="inlineStr">
        <is>
          <t>X</t>
        </is>
      </c>
      <c r="CY2228" t="inlineStr">
        <is>
          <t>X</t>
        </is>
      </c>
      <c r="DC2228" t="inlineStr">
        <is>
          <t>X</t>
        </is>
      </c>
      <c r="DN2228" t="inlineStr">
        <is>
          <t>X</t>
        </is>
      </c>
      <c r="EF2228" t="inlineStr">
        <is>
          <t>X</t>
        </is>
      </c>
    </row>
    <row r="2229">
      <c r="A2229" t="inlineStr">
        <is>
          <t>OH0015821527</t>
        </is>
      </c>
      <c r="B2229" t="n">
        <v>78</v>
      </c>
      <c r="C2229" t="n">
        <v>313603</v>
      </c>
      <c r="D2229" t="inlineStr">
        <is>
          <t>FRANKLIN</t>
        </is>
      </c>
      <c r="E2229" t="inlineStr">
        <is>
          <t>JELANI</t>
        </is>
      </c>
      <c r="F2229">
        <f>CONCATENATE(D2229," ",LEFT(H2229,4),"T=",AU2229,"D=",AV2229,"R=",AW2229,"M=",AX2229,"L=",AY2229,"B=",AZ2229)</f>
        <v/>
      </c>
      <c r="G2229" t="inlineStr">
        <is>
          <t>SHAKIR</t>
        </is>
      </c>
      <c r="I2229" t="inlineStr">
        <is>
          <t>1985-01-14</t>
        </is>
      </c>
      <c r="J2229" t="inlineStr">
        <is>
          <t>2008-12-01</t>
        </is>
      </c>
      <c r="K2229" t="inlineStr">
        <is>
          <t>ACTIVE</t>
        </is>
      </c>
      <c r="L2229" t="inlineStr">
        <is>
          <t>D</t>
        </is>
      </c>
      <c r="M2229" t="inlineStr">
        <is>
          <t>1064 HOMEWOOD AVE SE</t>
        </is>
      </c>
      <c r="N2229">
        <f>RIGHT(M2229,LEN(M2229)-FIND(" ",M2229))</f>
        <v/>
      </c>
      <c r="P2229" t="inlineStr">
        <is>
          <t>WARREN</t>
        </is>
      </c>
      <c r="Q2229" t="inlineStr">
        <is>
          <t>OH</t>
        </is>
      </c>
      <c r="R2229" t="n">
        <v>44484</v>
      </c>
      <c r="AD2229" t="inlineStr">
        <is>
          <t>TRUMBULL CAREER &amp; TECH CENTER</t>
        </is>
      </c>
      <c r="AE2229" t="inlineStr">
        <is>
          <t>WARREN CITY</t>
        </is>
      </c>
      <c r="AF2229" t="inlineStr">
        <is>
          <t>WARREN CITY SD</t>
        </is>
      </c>
      <c r="AH2229" t="n">
        <v>14</v>
      </c>
      <c r="AI2229" t="n">
        <v>11</v>
      </c>
      <c r="AN2229" t="inlineStr">
        <is>
          <t>WARREN</t>
        </is>
      </c>
      <c r="AO2229" t="inlineStr">
        <is>
          <t>WARREN CITY 4F</t>
        </is>
      </c>
      <c r="AP2229" t="inlineStr">
        <is>
          <t>78-P-ADN</t>
        </is>
      </c>
      <c r="AQ2229" t="n">
        <v>9</v>
      </c>
      <c r="AR2229" t="n">
        <v>64</v>
      </c>
      <c r="AS2229" t="n">
        <v>32</v>
      </c>
      <c r="AU2229">
        <f>COUNTA($BA$2229:$EH$2229)</f>
        <v/>
      </c>
      <c r="AV2229">
        <f>COUNTIF($BA$2229:$EH$2229,"D")</f>
        <v/>
      </c>
      <c r="AW2229">
        <f>COUNTIF($BA$2229:$EH$2229,"R")</f>
        <v/>
      </c>
      <c r="AX2229">
        <f>IF(BN2229="D",1,0)+IF(BO2229="D",1,0)+IF(BT2229="D",1,0)+IF(BU2229="D",1,0)+IF(BW2229="D",1,0)+IF(CC2229="D",1,0)+IF(CD2229="D",1,0)+IF(CE2229="D",1,0)+IF(CF2229="D",1,0)+IF(CL2229="D",1,0)+IF(CM2229="D",1,0)+IF(CQ2229="D",1,0)+IF(CR2229="D",1,0)+IF(CS2229="D",1,0)+IF(CW2229="D",1,0)+IF(CX2229="D",1,0)+IF(DD2229="D",1,0)+IF(DE2229="D",1,0)+IF(DJ2229="D",1,0)+IF(DK2229="D",1,0)+IF(DO2229="D",1,0)+IF(DP2229="D",1,0)+IF(DQ2229="D",1,0)+IF(DW2229="D",1,0)+IF(DZ2229="D",1,0)+IF(EH2229="D",1,0)</f>
        <v/>
      </c>
      <c r="AY2229">
        <f>IF(DJ2229&lt;&gt;"",1,0)+IF(DK2229&lt;&gt;"",1,0)+IF(DM2229&lt;&gt;"",1,0)+IF(DO2229&lt;&gt;"",1,0)+IF(DP2229&lt;&gt;"",1,0)+IF(DQ2229&lt;&gt;"",1,0)+IF(DS2229&lt;&gt;"",1,0)+IF(DT2229&lt;&gt;"",1,0)+IF(DV2229&lt;&gt;"",1,0)+IF(DW2229&lt;&gt;"",1,0)+IF(DX2229&lt;&gt;"",1,0)+IF(DY2229&lt;&gt;"",1,0)+IF(DZ2229&lt;&gt;"",1,0)+IF(EB2229&lt;&gt;"",1,0)+IF(EC2229&lt;&gt;"",1,0)+IF(ED2229&lt;&gt;"",1,0)+IF(EG2229&lt;&gt;"",1,0)+IF(EH2229&lt;&gt;"",1,0)</f>
        <v/>
      </c>
      <c r="AZ2229">
        <f>IF(EH2229&lt;&gt;"",1,0)</f>
        <v/>
      </c>
      <c r="BB2229" t="inlineStr">
        <is>
          <t>WARREN-WARD 4</t>
        </is>
      </c>
      <c r="BI2229" t="inlineStr">
        <is>
          <t>X</t>
        </is>
      </c>
      <c r="BK2229" t="inlineStr">
        <is>
          <t>X</t>
        </is>
      </c>
      <c r="BL2229" t="inlineStr">
        <is>
          <t>X</t>
        </is>
      </c>
      <c r="CA2229" t="inlineStr">
        <is>
          <t>X</t>
        </is>
      </c>
      <c r="CL2229" t="inlineStr">
        <is>
          <t>D</t>
        </is>
      </c>
      <c r="CP2229" t="inlineStr">
        <is>
          <t>X</t>
        </is>
      </c>
      <c r="CQ2229" t="inlineStr">
        <is>
          <t>D</t>
        </is>
      </c>
      <c r="CT2229" t="inlineStr">
        <is>
          <t>X</t>
        </is>
      </c>
      <c r="CU2229" t="inlineStr">
        <is>
          <t>D</t>
        </is>
      </c>
      <c r="CV2229" t="inlineStr">
        <is>
          <t>X</t>
        </is>
      </c>
      <c r="CW2229" t="inlineStr">
        <is>
          <t>D</t>
        </is>
      </c>
      <c r="CY2229" t="inlineStr">
        <is>
          <t>X</t>
        </is>
      </c>
      <c r="DC2229" t="inlineStr">
        <is>
          <t>X</t>
        </is>
      </c>
      <c r="DG2229" t="inlineStr">
        <is>
          <t>D</t>
        </is>
      </c>
      <c r="DI2229" t="inlineStr">
        <is>
          <t>X</t>
        </is>
      </c>
      <c r="DJ2229" t="inlineStr">
        <is>
          <t>D</t>
        </is>
      </c>
      <c r="DL2229" t="inlineStr">
        <is>
          <t>X</t>
        </is>
      </c>
      <c r="DN2229" t="inlineStr">
        <is>
          <t>X</t>
        </is>
      </c>
      <c r="DS2229" t="inlineStr">
        <is>
          <t>D</t>
        </is>
      </c>
      <c r="DT2229" t="inlineStr">
        <is>
          <t>D</t>
        </is>
      </c>
      <c r="DU2229" t="inlineStr">
        <is>
          <t>X</t>
        </is>
      </c>
      <c r="DW2229" t="inlineStr">
        <is>
          <t>D</t>
        </is>
      </c>
      <c r="DX2229" t="inlineStr">
        <is>
          <t>X</t>
        </is>
      </c>
      <c r="EA2229" t="inlineStr">
        <is>
          <t>X</t>
        </is>
      </c>
      <c r="EF2229" t="inlineStr">
        <is>
          <t>X</t>
        </is>
      </c>
      <c r="EH2229" t="inlineStr">
        <is>
          <t>D</t>
        </is>
      </c>
    </row>
    <row r="2230">
      <c r="A2230" t="inlineStr">
        <is>
          <t>OH0015711701</t>
        </is>
      </c>
      <c r="B2230" t="n">
        <v>78</v>
      </c>
      <c r="C2230" t="n">
        <v>324375</v>
      </c>
      <c r="D2230" t="inlineStr">
        <is>
          <t>HARRIS</t>
        </is>
      </c>
      <c r="E2230" t="inlineStr">
        <is>
          <t>KARENLYN</t>
        </is>
      </c>
      <c r="F2230">
        <f>CONCATENATE(D2230," ",LEFT(H2230,4),"T=",AU2230,"D=",AV2230,"R=",AW2230,"M=",AX2230,"L=",AY2230,"B=",AZ2230)</f>
        <v/>
      </c>
      <c r="G2230" t="inlineStr">
        <is>
          <t>A</t>
        </is>
      </c>
      <c r="I2230" t="inlineStr">
        <is>
          <t>1961-05-09</t>
        </is>
      </c>
      <c r="J2230" t="inlineStr">
        <is>
          <t>2004-04-17</t>
        </is>
      </c>
      <c r="K2230" t="inlineStr">
        <is>
          <t>ACTIVE</t>
        </is>
      </c>
      <c r="L2230" t="inlineStr">
        <is>
          <t>D</t>
        </is>
      </c>
      <c r="M2230" t="inlineStr">
        <is>
          <t>1038 HOMEWOOD AVE SE</t>
        </is>
      </c>
      <c r="N2230">
        <f>RIGHT(M2230,LEN(M2230)-FIND(" ",M2230))</f>
        <v/>
      </c>
      <c r="P2230" t="inlineStr">
        <is>
          <t>WARREN</t>
        </is>
      </c>
      <c r="Q2230" t="inlineStr">
        <is>
          <t>OH</t>
        </is>
      </c>
      <c r="R2230" t="n">
        <v>44484</v>
      </c>
      <c r="AD2230" t="inlineStr">
        <is>
          <t>TRUMBULL CAREER &amp; TECH CENTER</t>
        </is>
      </c>
      <c r="AE2230" t="inlineStr">
        <is>
          <t>WARREN CITY</t>
        </is>
      </c>
      <c r="AF2230" t="inlineStr">
        <is>
          <t>WARREN CITY SD</t>
        </is>
      </c>
      <c r="AH2230" t="n">
        <v>14</v>
      </c>
      <c r="AI2230" t="n">
        <v>11</v>
      </c>
      <c r="AN2230" t="inlineStr">
        <is>
          <t>WARREN</t>
        </is>
      </c>
      <c r="AO2230" t="inlineStr">
        <is>
          <t>WARREN CITY 4F</t>
        </is>
      </c>
      <c r="AP2230" t="inlineStr">
        <is>
          <t>78-P-ADN</t>
        </is>
      </c>
      <c r="AQ2230" t="n">
        <v>9</v>
      </c>
      <c r="AR2230" t="n">
        <v>64</v>
      </c>
      <c r="AS2230" t="n">
        <v>32</v>
      </c>
      <c r="AU2230">
        <f>COUNTA($BA$2230:$EH$2230)</f>
        <v/>
      </c>
      <c r="AV2230">
        <f>COUNTIF($BA$2230:$EH$2230,"D")</f>
        <v/>
      </c>
      <c r="AW2230">
        <f>COUNTIF($BA$2230:$EH$2230,"R")</f>
        <v/>
      </c>
      <c r="AX2230">
        <f>IF(BN2230="D",1,0)+IF(BO2230="D",1,0)+IF(BT2230="D",1,0)+IF(BU2230="D",1,0)+IF(BW2230="D",1,0)+IF(CC2230="D",1,0)+IF(CD2230="D",1,0)+IF(CE2230="D",1,0)+IF(CF2230="D",1,0)+IF(CL2230="D",1,0)+IF(CM2230="D",1,0)+IF(CQ2230="D",1,0)+IF(CR2230="D",1,0)+IF(CS2230="D",1,0)+IF(CW2230="D",1,0)+IF(CX2230="D",1,0)+IF(DD2230="D",1,0)+IF(DE2230="D",1,0)+IF(DJ2230="D",1,0)+IF(DK2230="D",1,0)+IF(DO2230="D",1,0)+IF(DP2230="D",1,0)+IF(DQ2230="D",1,0)+IF(DW2230="D",1,0)+IF(DZ2230="D",1,0)+IF(EH2230="D",1,0)</f>
        <v/>
      </c>
      <c r="AY2230">
        <f>IF(DJ2230&lt;&gt;"",1,0)+IF(DK2230&lt;&gt;"",1,0)+IF(DM2230&lt;&gt;"",1,0)+IF(DO2230&lt;&gt;"",1,0)+IF(DP2230&lt;&gt;"",1,0)+IF(DQ2230&lt;&gt;"",1,0)+IF(DS2230&lt;&gt;"",1,0)+IF(DT2230&lt;&gt;"",1,0)+IF(DV2230&lt;&gt;"",1,0)+IF(DW2230&lt;&gt;"",1,0)+IF(DX2230&lt;&gt;"",1,0)+IF(DY2230&lt;&gt;"",1,0)+IF(DZ2230&lt;&gt;"",1,0)+IF(EB2230&lt;&gt;"",1,0)+IF(EC2230&lt;&gt;"",1,0)+IF(ED2230&lt;&gt;"",1,0)+IF(EG2230&lt;&gt;"",1,0)+IF(EH2230&lt;&gt;"",1,0)</f>
        <v/>
      </c>
      <c r="AZ2230">
        <f>IF(EH2230&lt;&gt;"",1,0)</f>
        <v/>
      </c>
      <c r="BB2230" t="inlineStr">
        <is>
          <t>WARREN-WARD 4</t>
        </is>
      </c>
      <c r="BL2230" t="inlineStr">
        <is>
          <t>X</t>
        </is>
      </c>
      <c r="BY2230" t="inlineStr">
        <is>
          <t>D</t>
        </is>
      </c>
      <c r="CA2230" t="inlineStr">
        <is>
          <t>X</t>
        </is>
      </c>
      <c r="CG2230" t="inlineStr">
        <is>
          <t>X</t>
        </is>
      </c>
      <c r="CY2230" t="inlineStr">
        <is>
          <t>X</t>
        </is>
      </c>
      <c r="CZ2230" t="inlineStr">
        <is>
          <t>D</t>
        </is>
      </c>
      <c r="DC2230" t="inlineStr">
        <is>
          <t>X</t>
        </is>
      </c>
      <c r="DI2230" t="inlineStr">
        <is>
          <t>X</t>
        </is>
      </c>
      <c r="DL2230" t="inlineStr">
        <is>
          <t>X</t>
        </is>
      </c>
      <c r="DM2230" t="inlineStr">
        <is>
          <t>D</t>
        </is>
      </c>
      <c r="DN2230" t="inlineStr">
        <is>
          <t>X</t>
        </is>
      </c>
      <c r="DU2230" t="inlineStr">
        <is>
          <t>X</t>
        </is>
      </c>
      <c r="DW2230" t="inlineStr">
        <is>
          <t>D</t>
        </is>
      </c>
      <c r="DX2230" t="inlineStr">
        <is>
          <t>X</t>
        </is>
      </c>
      <c r="EF2230" t="inlineStr">
        <is>
          <t>X</t>
        </is>
      </c>
    </row>
    <row r="2231">
      <c r="A2231" t="inlineStr">
        <is>
          <t>OH0022075881</t>
        </is>
      </c>
      <c r="B2231" t="n">
        <v>78</v>
      </c>
      <c r="C2231" t="n">
        <v>391186</v>
      </c>
      <c r="D2231" t="inlineStr">
        <is>
          <t>JOHNSON</t>
        </is>
      </c>
      <c r="E2231" t="inlineStr">
        <is>
          <t>TORKWASE</t>
        </is>
      </c>
      <c r="F2231">
        <f>CONCATENATE(D2231," ",LEFT(H2231,4),"T=",AU2231,"D=",AV2231,"R=",AW2231,"M=",AX2231,"L=",AY2231,"B=",AZ2231)</f>
        <v/>
      </c>
      <c r="G2231" t="inlineStr">
        <is>
          <t>N</t>
        </is>
      </c>
      <c r="I2231" t="inlineStr">
        <is>
          <t>1975-05-26</t>
        </is>
      </c>
      <c r="J2231" t="inlineStr">
        <is>
          <t>2015-09-17</t>
        </is>
      </c>
      <c r="K2231" t="inlineStr">
        <is>
          <t>ACTIVE</t>
        </is>
      </c>
      <c r="M2231" t="inlineStr">
        <is>
          <t>1819 BRIER ST SE</t>
        </is>
      </c>
      <c r="N2231">
        <f>RIGHT(M2231,LEN(M2231)-FIND(" ",M2231))</f>
        <v/>
      </c>
      <c r="P2231" t="inlineStr">
        <is>
          <t>WARREN</t>
        </is>
      </c>
      <c r="Q2231" t="inlineStr">
        <is>
          <t>OH</t>
        </is>
      </c>
      <c r="R2231" t="n">
        <v>44484</v>
      </c>
      <c r="AD2231" t="inlineStr">
        <is>
          <t>TRUMBULL CAREER &amp; TECH CENTER</t>
        </is>
      </c>
      <c r="AE2231" t="inlineStr">
        <is>
          <t>WARREN CITY</t>
        </is>
      </c>
      <c r="AF2231" t="inlineStr">
        <is>
          <t>WARREN CITY SD</t>
        </is>
      </c>
      <c r="AH2231" t="n">
        <v>14</v>
      </c>
      <c r="AI2231" t="n">
        <v>11</v>
      </c>
      <c r="AN2231" t="inlineStr">
        <is>
          <t>WARREN</t>
        </is>
      </c>
      <c r="AO2231" t="inlineStr">
        <is>
          <t>WARREN CITY 4F</t>
        </is>
      </c>
      <c r="AP2231" t="inlineStr">
        <is>
          <t>78-P-ADN</t>
        </is>
      </c>
      <c r="AQ2231" t="n">
        <v>9</v>
      </c>
      <c r="AR2231" t="n">
        <v>64</v>
      </c>
      <c r="AS2231" t="n">
        <v>32</v>
      </c>
      <c r="AU2231">
        <f>COUNTA($BA$2231:$EH$2231)</f>
        <v/>
      </c>
      <c r="AV2231">
        <f>COUNTIF($BA$2231:$EH$2231,"D")</f>
        <v/>
      </c>
      <c r="AW2231">
        <f>COUNTIF($BA$2231:$EH$2231,"R")</f>
        <v/>
      </c>
      <c r="AX2231">
        <f>IF(BN2231="D",1,0)+IF(BO2231="D",1,0)+IF(BT2231="D",1,0)+IF(BU2231="D",1,0)+IF(BW2231="D",1,0)+IF(CC2231="D",1,0)+IF(CD2231="D",1,0)+IF(CE2231="D",1,0)+IF(CF2231="D",1,0)+IF(CL2231="D",1,0)+IF(CM2231="D",1,0)+IF(CQ2231="D",1,0)+IF(CR2231="D",1,0)+IF(CS2231="D",1,0)+IF(CW2231="D",1,0)+IF(CX2231="D",1,0)+IF(DD2231="D",1,0)+IF(DE2231="D",1,0)+IF(DJ2231="D",1,0)+IF(DK2231="D",1,0)+IF(DO2231="D",1,0)+IF(DP2231="D",1,0)+IF(DQ2231="D",1,0)+IF(DW2231="D",1,0)+IF(DZ2231="D",1,0)+IF(EH2231="D",1,0)</f>
        <v/>
      </c>
      <c r="AY2231">
        <f>IF(DJ2231&lt;&gt;"",1,0)+IF(DK2231&lt;&gt;"",1,0)+IF(DM2231&lt;&gt;"",1,0)+IF(DO2231&lt;&gt;"",1,0)+IF(DP2231&lt;&gt;"",1,0)+IF(DQ2231&lt;&gt;"",1,0)+IF(DS2231&lt;&gt;"",1,0)+IF(DT2231&lt;&gt;"",1,0)+IF(DV2231&lt;&gt;"",1,0)+IF(DW2231&lt;&gt;"",1,0)+IF(DX2231&lt;&gt;"",1,0)+IF(DY2231&lt;&gt;"",1,0)+IF(DZ2231&lt;&gt;"",1,0)+IF(EB2231&lt;&gt;"",1,0)+IF(EC2231&lt;&gt;"",1,0)+IF(ED2231&lt;&gt;"",1,0)+IF(EG2231&lt;&gt;"",1,0)+IF(EH2231&lt;&gt;"",1,0)</f>
        <v/>
      </c>
      <c r="AZ2231">
        <f>IF(EH2231&lt;&gt;"",1,0)</f>
        <v/>
      </c>
      <c r="BB2231" t="inlineStr">
        <is>
          <t>WARREN-WARD 4</t>
        </is>
      </c>
      <c r="BL2231" t="inlineStr">
        <is>
          <t>X</t>
        </is>
      </c>
      <c r="BY2231" t="inlineStr">
        <is>
          <t>R</t>
        </is>
      </c>
      <c r="CA2231" t="inlineStr">
        <is>
          <t>X</t>
        </is>
      </c>
      <c r="CY2231" t="inlineStr">
        <is>
          <t>X</t>
        </is>
      </c>
      <c r="CZ2231" t="inlineStr">
        <is>
          <t>D</t>
        </is>
      </c>
      <c r="DC2231" t="inlineStr">
        <is>
          <t>X</t>
        </is>
      </c>
      <c r="DN2231" t="inlineStr">
        <is>
          <t>X</t>
        </is>
      </c>
      <c r="EA2231" t="inlineStr">
        <is>
          <t>X</t>
        </is>
      </c>
      <c r="EF2231" t="inlineStr">
        <is>
          <t>X</t>
        </is>
      </c>
    </row>
    <row r="2232">
      <c r="A2232" t="inlineStr">
        <is>
          <t>OH0015695753</t>
        </is>
      </c>
      <c r="B2232" t="n">
        <v>78</v>
      </c>
      <c r="C2232" t="n">
        <v>14972</v>
      </c>
      <c r="D2232" t="inlineStr">
        <is>
          <t>SIMMONS</t>
        </is>
      </c>
      <c r="E2232" t="inlineStr">
        <is>
          <t>BETTY</t>
        </is>
      </c>
      <c r="F2232">
        <f>CONCATENATE(D2232," ",LEFT(H2232,4),"T=",AU2232,"D=",AV2232,"R=",AW2232,"M=",AX2232,"L=",AY2232,"B=",AZ2232)</f>
        <v/>
      </c>
      <c r="G2232" t="inlineStr">
        <is>
          <t>J</t>
        </is>
      </c>
      <c r="I2232" t="inlineStr">
        <is>
          <t>1948-02-19</t>
        </is>
      </c>
      <c r="J2232" t="inlineStr">
        <is>
          <t>1970-01-06</t>
        </is>
      </c>
      <c r="K2232" t="inlineStr">
        <is>
          <t>ACTIVE</t>
        </is>
      </c>
      <c r="L2232" t="inlineStr">
        <is>
          <t>D</t>
        </is>
      </c>
      <c r="M2232" t="inlineStr">
        <is>
          <t>1527 OAK KNOLL AVE SE</t>
        </is>
      </c>
      <c r="N2232">
        <f>RIGHT(M2232,LEN(M2232)-FIND(" ",M2232))</f>
        <v/>
      </c>
      <c r="P2232" t="inlineStr">
        <is>
          <t>WARREN</t>
        </is>
      </c>
      <c r="Q2232" t="inlineStr">
        <is>
          <t>OH</t>
        </is>
      </c>
      <c r="R2232" t="n">
        <v>44484</v>
      </c>
      <c r="AD2232" t="inlineStr">
        <is>
          <t>TRUMBULL CAREER &amp; TECH CENTER</t>
        </is>
      </c>
      <c r="AE2232" t="inlineStr">
        <is>
          <t>WARREN CITY</t>
        </is>
      </c>
      <c r="AF2232" t="inlineStr">
        <is>
          <t>WARREN CITY SD</t>
        </is>
      </c>
      <c r="AH2232" t="n">
        <v>14</v>
      </c>
      <c r="AI2232" t="n">
        <v>11</v>
      </c>
      <c r="AN2232" t="inlineStr">
        <is>
          <t>WARREN</t>
        </is>
      </c>
      <c r="AO2232" t="inlineStr">
        <is>
          <t>WARREN CITY 4F</t>
        </is>
      </c>
      <c r="AP2232" t="inlineStr">
        <is>
          <t>78-P-ADN</t>
        </is>
      </c>
      <c r="AQ2232" t="n">
        <v>9</v>
      </c>
      <c r="AR2232" t="n">
        <v>64</v>
      </c>
      <c r="AS2232" t="n">
        <v>32</v>
      </c>
      <c r="AU2232">
        <f>COUNTA($BA$2232:$EH$2232)</f>
        <v/>
      </c>
      <c r="AV2232">
        <f>COUNTIF($BA$2232:$EH$2232,"D")</f>
        <v/>
      </c>
      <c r="AW2232">
        <f>COUNTIF($BA$2232:$EH$2232,"R")</f>
        <v/>
      </c>
      <c r="AX2232">
        <f>IF(BN2232="D",1,0)+IF(BO2232="D",1,0)+IF(BT2232="D",1,0)+IF(BU2232="D",1,0)+IF(BW2232="D",1,0)+IF(CC2232="D",1,0)+IF(CD2232="D",1,0)+IF(CE2232="D",1,0)+IF(CF2232="D",1,0)+IF(CL2232="D",1,0)+IF(CM2232="D",1,0)+IF(CQ2232="D",1,0)+IF(CR2232="D",1,0)+IF(CS2232="D",1,0)+IF(CW2232="D",1,0)+IF(CX2232="D",1,0)+IF(DD2232="D",1,0)+IF(DE2232="D",1,0)+IF(DJ2232="D",1,0)+IF(DK2232="D",1,0)+IF(DO2232="D",1,0)+IF(DP2232="D",1,0)+IF(DQ2232="D",1,0)+IF(DW2232="D",1,0)+IF(DZ2232="D",1,0)+IF(EH2232="D",1,0)</f>
        <v/>
      </c>
      <c r="AY2232">
        <f>IF(DJ2232&lt;&gt;"",1,0)+IF(DK2232&lt;&gt;"",1,0)+IF(DM2232&lt;&gt;"",1,0)+IF(DO2232&lt;&gt;"",1,0)+IF(DP2232&lt;&gt;"",1,0)+IF(DQ2232&lt;&gt;"",1,0)+IF(DS2232&lt;&gt;"",1,0)+IF(DT2232&lt;&gt;"",1,0)+IF(DV2232&lt;&gt;"",1,0)+IF(DW2232&lt;&gt;"",1,0)+IF(DX2232&lt;&gt;"",1,0)+IF(DY2232&lt;&gt;"",1,0)+IF(DZ2232&lt;&gt;"",1,0)+IF(EB2232&lt;&gt;"",1,0)+IF(EC2232&lt;&gt;"",1,0)+IF(ED2232&lt;&gt;"",1,0)+IF(EG2232&lt;&gt;"",1,0)+IF(EH2232&lt;&gt;"",1,0)</f>
        <v/>
      </c>
      <c r="AZ2232">
        <f>IF(EH2232&lt;&gt;"",1,0)</f>
        <v/>
      </c>
      <c r="BB2232" t="inlineStr">
        <is>
          <t>WARREN-WARD 4</t>
        </is>
      </c>
      <c r="BC2232" t="inlineStr">
        <is>
          <t>X</t>
        </is>
      </c>
      <c r="BD2232" t="inlineStr">
        <is>
          <t>X</t>
        </is>
      </c>
      <c r="BE2232" t="inlineStr">
        <is>
          <t>X</t>
        </is>
      </c>
      <c r="BF2232" t="inlineStr">
        <is>
          <t>X</t>
        </is>
      </c>
      <c r="BH2232" t="inlineStr">
        <is>
          <t>X</t>
        </is>
      </c>
      <c r="BI2232" t="inlineStr">
        <is>
          <t>X</t>
        </is>
      </c>
      <c r="BJ2232" t="inlineStr">
        <is>
          <t>X</t>
        </is>
      </c>
      <c r="BK2232" t="inlineStr">
        <is>
          <t>X</t>
        </is>
      </c>
      <c r="BL2232" t="inlineStr">
        <is>
          <t>X</t>
        </is>
      </c>
      <c r="BP2232" t="inlineStr">
        <is>
          <t>X</t>
        </is>
      </c>
      <c r="BS2232" t="inlineStr">
        <is>
          <t>X</t>
        </is>
      </c>
      <c r="BV2232" t="inlineStr">
        <is>
          <t>X</t>
        </is>
      </c>
      <c r="BY2232" t="inlineStr">
        <is>
          <t>D</t>
        </is>
      </c>
      <c r="CA2232" t="inlineStr">
        <is>
          <t>X</t>
        </is>
      </c>
      <c r="CG2232" t="inlineStr">
        <is>
          <t>X</t>
        </is>
      </c>
      <c r="CK2232" t="inlineStr">
        <is>
          <t>X</t>
        </is>
      </c>
      <c r="CL2232" t="inlineStr">
        <is>
          <t>D</t>
        </is>
      </c>
      <c r="CN2232" t="inlineStr">
        <is>
          <t>X</t>
        </is>
      </c>
      <c r="CO2232" t="inlineStr">
        <is>
          <t>D</t>
        </is>
      </c>
      <c r="CP2232" t="inlineStr">
        <is>
          <t>X</t>
        </is>
      </c>
      <c r="CT2232" t="inlineStr">
        <is>
          <t>X</t>
        </is>
      </c>
      <c r="CV2232" t="inlineStr">
        <is>
          <t>X</t>
        </is>
      </c>
      <c r="CW2232" t="inlineStr">
        <is>
          <t>D</t>
        </is>
      </c>
      <c r="CY2232" t="inlineStr">
        <is>
          <t>X</t>
        </is>
      </c>
      <c r="CZ2232" t="inlineStr">
        <is>
          <t>D</t>
        </is>
      </c>
      <c r="DC2232" t="inlineStr">
        <is>
          <t>X</t>
        </is>
      </c>
      <c r="DD2232" t="inlineStr">
        <is>
          <t>D</t>
        </is>
      </c>
      <c r="DF2232" t="inlineStr">
        <is>
          <t>X</t>
        </is>
      </c>
      <c r="DI2232" t="inlineStr">
        <is>
          <t>X</t>
        </is>
      </c>
      <c r="DN2232" t="inlineStr">
        <is>
          <t>X</t>
        </is>
      </c>
      <c r="DR2232" t="inlineStr">
        <is>
          <t>X</t>
        </is>
      </c>
      <c r="DS2232" t="inlineStr">
        <is>
          <t>D</t>
        </is>
      </c>
      <c r="DU2232" t="inlineStr">
        <is>
          <t>X</t>
        </is>
      </c>
      <c r="DW2232" t="inlineStr">
        <is>
          <t>D</t>
        </is>
      </c>
      <c r="DX2232" t="inlineStr">
        <is>
          <t>X</t>
        </is>
      </c>
      <c r="EA2232" t="inlineStr">
        <is>
          <t>X</t>
        </is>
      </c>
      <c r="ED2232" t="inlineStr">
        <is>
          <t>D</t>
        </is>
      </c>
      <c r="EF2232" t="inlineStr">
        <is>
          <t>X</t>
        </is>
      </c>
      <c r="EH2232" t="inlineStr">
        <is>
          <t>D</t>
        </is>
      </c>
    </row>
    <row r="2233">
      <c r="A2233" t="inlineStr">
        <is>
          <t>OH0015730957</t>
        </is>
      </c>
      <c r="B2233" t="n">
        <v>78</v>
      </c>
      <c r="C2233" t="n">
        <v>298909</v>
      </c>
      <c r="D2233" t="inlineStr">
        <is>
          <t>HARRIS</t>
        </is>
      </c>
      <c r="E2233" t="inlineStr">
        <is>
          <t>JOYCELYN</t>
        </is>
      </c>
      <c r="F2233">
        <f>CONCATENATE(D2233," ",LEFT(H2233,4),"T=",AU2233,"D=",AV2233,"R=",AW2233,"M=",AX2233,"L=",AY2233,"B=",AZ2233)</f>
        <v/>
      </c>
      <c r="I2233" t="inlineStr">
        <is>
          <t>1959-04-29</t>
        </is>
      </c>
      <c r="J2233" t="inlineStr">
        <is>
          <t>2024-11-12</t>
        </is>
      </c>
      <c r="K2233" t="inlineStr">
        <is>
          <t>ACTIVE</t>
        </is>
      </c>
      <c r="M2233" t="inlineStr">
        <is>
          <t>1028 HOMEWOOD AVE SE</t>
        </is>
      </c>
      <c r="N2233">
        <f>RIGHT(M2233,LEN(M2233)-FIND(" ",M2233))</f>
        <v/>
      </c>
      <c r="P2233" t="inlineStr">
        <is>
          <t>WARREN</t>
        </is>
      </c>
      <c r="Q2233" t="inlineStr">
        <is>
          <t>OH</t>
        </is>
      </c>
      <c r="R2233" t="n">
        <v>44484</v>
      </c>
      <c r="AD2233" t="inlineStr">
        <is>
          <t>TRUMBULL CAREER &amp; TECH CENTER</t>
        </is>
      </c>
      <c r="AE2233" t="inlineStr">
        <is>
          <t>WARREN CITY</t>
        </is>
      </c>
      <c r="AF2233" t="inlineStr">
        <is>
          <t>WARREN CITY SD</t>
        </is>
      </c>
      <c r="AH2233" t="n">
        <v>14</v>
      </c>
      <c r="AI2233" t="n">
        <v>11</v>
      </c>
      <c r="AN2233" t="inlineStr">
        <is>
          <t>WARREN</t>
        </is>
      </c>
      <c r="AO2233" t="inlineStr">
        <is>
          <t>WARREN CITY 4F</t>
        </is>
      </c>
      <c r="AP2233" t="inlineStr">
        <is>
          <t>78-P-ADN</t>
        </is>
      </c>
      <c r="AQ2233" t="n">
        <v>9</v>
      </c>
      <c r="AR2233" t="n">
        <v>64</v>
      </c>
      <c r="AS2233" t="n">
        <v>32</v>
      </c>
      <c r="AU2233">
        <f>COUNTA($BA$2233:$EH$2233)</f>
        <v/>
      </c>
      <c r="AV2233">
        <f>COUNTIF($BA$2233:$EH$2233,"D")</f>
        <v/>
      </c>
      <c r="AW2233">
        <f>COUNTIF($BA$2233:$EH$2233,"R")</f>
        <v/>
      </c>
      <c r="AX2233">
        <f>IF(BN2233="D",1,0)+IF(BO2233="D",1,0)+IF(BT2233="D",1,0)+IF(BU2233="D",1,0)+IF(BW2233="D",1,0)+IF(CC2233="D",1,0)+IF(CD2233="D",1,0)+IF(CE2233="D",1,0)+IF(CF2233="D",1,0)+IF(CL2233="D",1,0)+IF(CM2233="D",1,0)+IF(CQ2233="D",1,0)+IF(CR2233="D",1,0)+IF(CS2233="D",1,0)+IF(CW2233="D",1,0)+IF(CX2233="D",1,0)+IF(DD2233="D",1,0)+IF(DE2233="D",1,0)+IF(DJ2233="D",1,0)+IF(DK2233="D",1,0)+IF(DO2233="D",1,0)+IF(DP2233="D",1,0)+IF(DQ2233="D",1,0)+IF(DW2233="D",1,0)+IF(DZ2233="D",1,0)+IF(EH2233="D",1,0)</f>
        <v/>
      </c>
      <c r="AY2233">
        <f>IF(DJ2233&lt;&gt;"",1,0)+IF(DK2233&lt;&gt;"",1,0)+IF(DM2233&lt;&gt;"",1,0)+IF(DO2233&lt;&gt;"",1,0)+IF(DP2233&lt;&gt;"",1,0)+IF(DQ2233&lt;&gt;"",1,0)+IF(DS2233&lt;&gt;"",1,0)+IF(DT2233&lt;&gt;"",1,0)+IF(DV2233&lt;&gt;"",1,0)+IF(DW2233&lt;&gt;"",1,0)+IF(DX2233&lt;&gt;"",1,0)+IF(DY2233&lt;&gt;"",1,0)+IF(DZ2233&lt;&gt;"",1,0)+IF(EB2233&lt;&gt;"",1,0)+IF(EC2233&lt;&gt;"",1,0)+IF(ED2233&lt;&gt;"",1,0)+IF(EG2233&lt;&gt;"",1,0)+IF(EH2233&lt;&gt;"",1,0)</f>
        <v/>
      </c>
      <c r="AZ2233">
        <f>IF(EH2233&lt;&gt;"",1,0)</f>
        <v/>
      </c>
      <c r="BB2233" t="inlineStr">
        <is>
          <t>WARREN-WARD 4</t>
        </is>
      </c>
      <c r="BD2233" t="inlineStr">
        <is>
          <t>X</t>
        </is>
      </c>
      <c r="BL2233" t="inlineStr">
        <is>
          <t>X</t>
        </is>
      </c>
      <c r="BY2233" t="inlineStr">
        <is>
          <t>D</t>
        </is>
      </c>
      <c r="CP2233" t="inlineStr">
        <is>
          <t>X</t>
        </is>
      </c>
      <c r="DX2233" t="inlineStr">
        <is>
          <t>X</t>
        </is>
      </c>
    </row>
    <row r="2234">
      <c r="A2234" t="inlineStr">
        <is>
          <t>OH0015731436</t>
        </is>
      </c>
      <c r="B2234" t="n">
        <v>78</v>
      </c>
      <c r="C2234" t="n">
        <v>219279</v>
      </c>
      <c r="D2234" t="inlineStr">
        <is>
          <t>MOORE</t>
        </is>
      </c>
      <c r="E2234" t="inlineStr">
        <is>
          <t>KIM</t>
        </is>
      </c>
      <c r="F2234">
        <f>CONCATENATE(D2234," ",LEFT(H2234,4),"T=",AU2234,"D=",AV2234,"R=",AW2234,"M=",AX2234,"L=",AY2234,"B=",AZ2234)</f>
        <v/>
      </c>
      <c r="G2234" t="inlineStr">
        <is>
          <t>Y</t>
        </is>
      </c>
      <c r="I2234" t="inlineStr">
        <is>
          <t>1971-12-15</t>
        </is>
      </c>
      <c r="J2234" t="inlineStr">
        <is>
          <t>2007-05-29</t>
        </is>
      </c>
      <c r="K2234" t="inlineStr">
        <is>
          <t>ACTIVE</t>
        </is>
      </c>
      <c r="L2234" t="inlineStr">
        <is>
          <t>D</t>
        </is>
      </c>
      <c r="M2234" t="inlineStr">
        <is>
          <t>1522 OAK KNOLL AVE SE</t>
        </is>
      </c>
      <c r="N2234">
        <f>RIGHT(M2234,LEN(M2234)-FIND(" ",M2234))</f>
        <v/>
      </c>
      <c r="P2234" t="inlineStr">
        <is>
          <t>WARREN</t>
        </is>
      </c>
      <c r="Q2234" t="inlineStr">
        <is>
          <t>OH</t>
        </is>
      </c>
      <c r="R2234" t="n">
        <v>44484</v>
      </c>
      <c r="AD2234" t="inlineStr">
        <is>
          <t>TRUMBULL CAREER &amp; TECH CENTER</t>
        </is>
      </c>
      <c r="AE2234" t="inlineStr">
        <is>
          <t>WARREN CITY</t>
        </is>
      </c>
      <c r="AF2234" t="inlineStr">
        <is>
          <t>WARREN CITY SD</t>
        </is>
      </c>
      <c r="AH2234" t="n">
        <v>14</v>
      </c>
      <c r="AI2234" t="n">
        <v>11</v>
      </c>
      <c r="AN2234" t="inlineStr">
        <is>
          <t>WARREN</t>
        </is>
      </c>
      <c r="AO2234" t="inlineStr">
        <is>
          <t>WARREN CITY 4F</t>
        </is>
      </c>
      <c r="AP2234" t="inlineStr">
        <is>
          <t>78-P-ADN</t>
        </is>
      </c>
      <c r="AQ2234" t="n">
        <v>9</v>
      </c>
      <c r="AR2234" t="n">
        <v>64</v>
      </c>
      <c r="AS2234" t="n">
        <v>32</v>
      </c>
      <c r="AU2234">
        <f>COUNTA($BA$2234:$EH$2234)</f>
        <v/>
      </c>
      <c r="AV2234">
        <f>COUNTIF($BA$2234:$EH$2234,"D")</f>
        <v/>
      </c>
      <c r="AW2234">
        <f>COUNTIF($BA$2234:$EH$2234,"R")</f>
        <v/>
      </c>
      <c r="AX2234">
        <f>IF(BN2234="D",1,0)+IF(BO2234="D",1,0)+IF(BT2234="D",1,0)+IF(BU2234="D",1,0)+IF(BW2234="D",1,0)+IF(CC2234="D",1,0)+IF(CD2234="D",1,0)+IF(CE2234="D",1,0)+IF(CF2234="D",1,0)+IF(CL2234="D",1,0)+IF(CM2234="D",1,0)+IF(CQ2234="D",1,0)+IF(CR2234="D",1,0)+IF(CS2234="D",1,0)+IF(CW2234="D",1,0)+IF(CX2234="D",1,0)+IF(DD2234="D",1,0)+IF(DE2234="D",1,0)+IF(DJ2234="D",1,0)+IF(DK2234="D",1,0)+IF(DO2234="D",1,0)+IF(DP2234="D",1,0)+IF(DQ2234="D",1,0)+IF(DW2234="D",1,0)+IF(DZ2234="D",1,0)+IF(EH2234="D",1,0)</f>
        <v/>
      </c>
      <c r="AY2234">
        <f>IF(DJ2234&lt;&gt;"",1,0)+IF(DK2234&lt;&gt;"",1,0)+IF(DM2234&lt;&gt;"",1,0)+IF(DO2234&lt;&gt;"",1,0)+IF(DP2234&lt;&gt;"",1,0)+IF(DQ2234&lt;&gt;"",1,0)+IF(DS2234&lt;&gt;"",1,0)+IF(DT2234&lt;&gt;"",1,0)+IF(DV2234&lt;&gt;"",1,0)+IF(DW2234&lt;&gt;"",1,0)+IF(DX2234&lt;&gt;"",1,0)+IF(DY2234&lt;&gt;"",1,0)+IF(DZ2234&lt;&gt;"",1,0)+IF(EB2234&lt;&gt;"",1,0)+IF(EC2234&lt;&gt;"",1,0)+IF(ED2234&lt;&gt;"",1,0)+IF(EG2234&lt;&gt;"",1,0)+IF(EH2234&lt;&gt;"",1,0)</f>
        <v/>
      </c>
      <c r="AZ2234">
        <f>IF(EH2234&lt;&gt;"",1,0)</f>
        <v/>
      </c>
      <c r="BB2234" t="inlineStr">
        <is>
          <t>WARREN-WARD 4</t>
        </is>
      </c>
      <c r="BC2234" t="inlineStr">
        <is>
          <t>X</t>
        </is>
      </c>
      <c r="BD2234" t="inlineStr">
        <is>
          <t>X</t>
        </is>
      </c>
      <c r="BG2234" t="inlineStr">
        <is>
          <t>X</t>
        </is>
      </c>
      <c r="BH2234" t="inlineStr">
        <is>
          <t>X</t>
        </is>
      </c>
      <c r="BI2234" t="inlineStr">
        <is>
          <t>X</t>
        </is>
      </c>
      <c r="BJ2234" t="inlineStr">
        <is>
          <t>X</t>
        </is>
      </c>
      <c r="BK2234" t="inlineStr">
        <is>
          <t>X</t>
        </is>
      </c>
      <c r="BL2234" t="inlineStr">
        <is>
          <t>X</t>
        </is>
      </c>
      <c r="BP2234" t="inlineStr">
        <is>
          <t>X</t>
        </is>
      </c>
      <c r="BR2234" t="inlineStr">
        <is>
          <t>X</t>
        </is>
      </c>
      <c r="BS2234" t="inlineStr">
        <is>
          <t>X</t>
        </is>
      </c>
      <c r="BT2234" t="inlineStr">
        <is>
          <t>X</t>
        </is>
      </c>
      <c r="BV2234" t="inlineStr">
        <is>
          <t>X</t>
        </is>
      </c>
      <c r="BY2234" t="inlineStr">
        <is>
          <t>D</t>
        </is>
      </c>
      <c r="CA2234" t="inlineStr">
        <is>
          <t>X</t>
        </is>
      </c>
      <c r="CG2234" t="inlineStr">
        <is>
          <t>X</t>
        </is>
      </c>
      <c r="CH2234" t="inlineStr">
        <is>
          <t>D</t>
        </is>
      </c>
      <c r="CK2234" t="inlineStr">
        <is>
          <t>X</t>
        </is>
      </c>
      <c r="CL2234" t="inlineStr">
        <is>
          <t>D</t>
        </is>
      </c>
      <c r="CN2234" t="inlineStr">
        <is>
          <t>X</t>
        </is>
      </c>
      <c r="CO2234" t="inlineStr">
        <is>
          <t>D</t>
        </is>
      </c>
      <c r="CP2234" t="inlineStr">
        <is>
          <t>X</t>
        </is>
      </c>
      <c r="CT2234" t="inlineStr">
        <is>
          <t>X</t>
        </is>
      </c>
      <c r="CU2234" t="inlineStr">
        <is>
          <t>D</t>
        </is>
      </c>
      <c r="CV2234" t="inlineStr">
        <is>
          <t>X</t>
        </is>
      </c>
      <c r="CW2234" t="inlineStr">
        <is>
          <t>D</t>
        </is>
      </c>
      <c r="CY2234" t="inlineStr">
        <is>
          <t>X</t>
        </is>
      </c>
      <c r="CZ2234" t="inlineStr">
        <is>
          <t>D</t>
        </is>
      </c>
      <c r="DC2234" t="inlineStr">
        <is>
          <t>X</t>
        </is>
      </c>
      <c r="DD2234" t="inlineStr">
        <is>
          <t>D</t>
        </is>
      </c>
      <c r="DF2234" t="inlineStr">
        <is>
          <t>X</t>
        </is>
      </c>
      <c r="DG2234" t="inlineStr">
        <is>
          <t>D</t>
        </is>
      </c>
      <c r="DI2234" t="inlineStr">
        <is>
          <t>X</t>
        </is>
      </c>
      <c r="DJ2234" t="inlineStr">
        <is>
          <t>D</t>
        </is>
      </c>
      <c r="DL2234" t="inlineStr">
        <is>
          <t>X</t>
        </is>
      </c>
      <c r="DM2234" t="inlineStr">
        <is>
          <t>D</t>
        </is>
      </c>
      <c r="DN2234" t="inlineStr">
        <is>
          <t>X</t>
        </is>
      </c>
      <c r="DR2234" t="inlineStr">
        <is>
          <t>X</t>
        </is>
      </c>
      <c r="DS2234" t="inlineStr">
        <is>
          <t>D</t>
        </is>
      </c>
      <c r="DT2234" t="inlineStr">
        <is>
          <t>D</t>
        </is>
      </c>
      <c r="DU2234" t="inlineStr">
        <is>
          <t>X</t>
        </is>
      </c>
      <c r="DW2234" t="inlineStr">
        <is>
          <t>D</t>
        </is>
      </c>
      <c r="DX2234" t="inlineStr">
        <is>
          <t>X</t>
        </is>
      </c>
      <c r="EA2234" t="inlineStr">
        <is>
          <t>X</t>
        </is>
      </c>
      <c r="ED2234" t="inlineStr">
        <is>
          <t>D</t>
        </is>
      </c>
      <c r="EF2234" t="inlineStr">
        <is>
          <t>X</t>
        </is>
      </c>
    </row>
    <row r="2235">
      <c r="A2235" t="inlineStr">
        <is>
          <t>OH0015745205</t>
        </is>
      </c>
      <c r="B2235" t="n">
        <v>78</v>
      </c>
      <c r="C2235" t="n">
        <v>23160</v>
      </c>
      <c r="D2235" t="inlineStr">
        <is>
          <t>JACKSON</t>
        </is>
      </c>
      <c r="E2235" t="inlineStr">
        <is>
          <t>WILDA</t>
        </is>
      </c>
      <c r="F2235">
        <f>CONCATENATE(D2235," ",LEFT(H2235,4),"T=",AU2235,"D=",AV2235,"R=",AW2235,"M=",AX2235,"L=",AY2235,"B=",AZ2235)</f>
        <v/>
      </c>
      <c r="G2235" t="inlineStr">
        <is>
          <t>J</t>
        </is>
      </c>
      <c r="I2235" t="inlineStr">
        <is>
          <t>1936-12-10</t>
        </is>
      </c>
      <c r="J2235" t="inlineStr">
        <is>
          <t>2020-09-21</t>
        </is>
      </c>
      <c r="K2235" t="inlineStr">
        <is>
          <t>ACTIVE</t>
        </is>
      </c>
      <c r="M2235" t="inlineStr">
        <is>
          <t>1538 OAK KNOLL AVE SE</t>
        </is>
      </c>
      <c r="N2235">
        <f>RIGHT(M2235,LEN(M2235)-FIND(" ",M2235))</f>
        <v/>
      </c>
      <c r="P2235" t="inlineStr">
        <is>
          <t>WARREN</t>
        </is>
      </c>
      <c r="Q2235" t="inlineStr">
        <is>
          <t>OH</t>
        </is>
      </c>
      <c r="R2235" t="n">
        <v>44484</v>
      </c>
      <c r="AD2235" t="inlineStr">
        <is>
          <t>TRUMBULL CAREER &amp; TECH CENTER</t>
        </is>
      </c>
      <c r="AE2235" t="inlineStr">
        <is>
          <t>WARREN CITY</t>
        </is>
      </c>
      <c r="AF2235" t="inlineStr">
        <is>
          <t>WARREN CITY SD</t>
        </is>
      </c>
      <c r="AH2235" t="n">
        <v>14</v>
      </c>
      <c r="AI2235" t="n">
        <v>11</v>
      </c>
      <c r="AN2235" t="inlineStr">
        <is>
          <t>WARREN</t>
        </is>
      </c>
      <c r="AO2235" t="inlineStr">
        <is>
          <t>WARREN CITY 4F</t>
        </is>
      </c>
      <c r="AP2235" t="inlineStr">
        <is>
          <t>78-P-ADN</t>
        </is>
      </c>
      <c r="AQ2235" t="n">
        <v>9</v>
      </c>
      <c r="AR2235" t="n">
        <v>64</v>
      </c>
      <c r="AS2235" t="n">
        <v>32</v>
      </c>
      <c r="AU2235">
        <f>COUNTA($BA$2235:$EH$2235)</f>
        <v/>
      </c>
      <c r="AV2235">
        <f>COUNTIF($BA$2235:$EH$2235,"D")</f>
        <v/>
      </c>
      <c r="AW2235">
        <f>COUNTIF($BA$2235:$EH$2235,"R")</f>
        <v/>
      </c>
      <c r="AX2235">
        <f>IF(BN2235="D",1,0)+IF(BO2235="D",1,0)+IF(BT2235="D",1,0)+IF(BU2235="D",1,0)+IF(BW2235="D",1,0)+IF(CC2235="D",1,0)+IF(CD2235="D",1,0)+IF(CE2235="D",1,0)+IF(CF2235="D",1,0)+IF(CL2235="D",1,0)+IF(CM2235="D",1,0)+IF(CQ2235="D",1,0)+IF(CR2235="D",1,0)+IF(CS2235="D",1,0)+IF(CW2235="D",1,0)+IF(CX2235="D",1,0)+IF(DD2235="D",1,0)+IF(DE2235="D",1,0)+IF(DJ2235="D",1,0)+IF(DK2235="D",1,0)+IF(DO2235="D",1,0)+IF(DP2235="D",1,0)+IF(DQ2235="D",1,0)+IF(DW2235="D",1,0)+IF(DZ2235="D",1,0)+IF(EH2235="D",1,0)</f>
        <v/>
      </c>
      <c r="AY2235">
        <f>IF(DJ2235&lt;&gt;"",1,0)+IF(DK2235&lt;&gt;"",1,0)+IF(DM2235&lt;&gt;"",1,0)+IF(DO2235&lt;&gt;"",1,0)+IF(DP2235&lt;&gt;"",1,0)+IF(DQ2235&lt;&gt;"",1,0)+IF(DS2235&lt;&gt;"",1,0)+IF(DT2235&lt;&gt;"",1,0)+IF(DV2235&lt;&gt;"",1,0)+IF(DW2235&lt;&gt;"",1,0)+IF(DX2235&lt;&gt;"",1,0)+IF(DY2235&lt;&gt;"",1,0)+IF(DZ2235&lt;&gt;"",1,0)+IF(EB2235&lt;&gt;"",1,0)+IF(EC2235&lt;&gt;"",1,0)+IF(ED2235&lt;&gt;"",1,0)+IF(EG2235&lt;&gt;"",1,0)+IF(EH2235&lt;&gt;"",1,0)</f>
        <v/>
      </c>
      <c r="AZ2235">
        <f>IF(EH2235&lt;&gt;"",1,0)</f>
        <v/>
      </c>
      <c r="BB2235" t="inlineStr">
        <is>
          <t>WARREN-WARD 4</t>
        </is>
      </c>
      <c r="BD2235" t="inlineStr">
        <is>
          <t>X</t>
        </is>
      </c>
      <c r="BE2235" t="inlineStr">
        <is>
          <t>X</t>
        </is>
      </c>
      <c r="BH2235" t="inlineStr">
        <is>
          <t>X</t>
        </is>
      </c>
      <c r="BJ2235" t="inlineStr">
        <is>
          <t>X</t>
        </is>
      </c>
      <c r="BK2235" t="inlineStr">
        <is>
          <t>X</t>
        </is>
      </c>
      <c r="BL2235" t="inlineStr">
        <is>
          <t>X</t>
        </is>
      </c>
      <c r="BP2235" t="inlineStr">
        <is>
          <t>X</t>
        </is>
      </c>
      <c r="BR2235" t="inlineStr">
        <is>
          <t>X</t>
        </is>
      </c>
      <c r="BS2235" t="inlineStr">
        <is>
          <t>X</t>
        </is>
      </c>
      <c r="BV2235" t="inlineStr">
        <is>
          <t>X</t>
        </is>
      </c>
      <c r="CA2235" t="inlineStr">
        <is>
          <t>X</t>
        </is>
      </c>
      <c r="CG2235" t="inlineStr">
        <is>
          <t>X</t>
        </is>
      </c>
      <c r="CK2235" t="inlineStr">
        <is>
          <t>X</t>
        </is>
      </c>
      <c r="CN2235" t="inlineStr">
        <is>
          <t>X</t>
        </is>
      </c>
      <c r="CY2235" t="inlineStr">
        <is>
          <t>X</t>
        </is>
      </c>
      <c r="CZ2235" t="inlineStr">
        <is>
          <t>D</t>
        </is>
      </c>
      <c r="DC2235" t="inlineStr">
        <is>
          <t>X</t>
        </is>
      </c>
      <c r="DN2235" t="inlineStr">
        <is>
          <t>X</t>
        </is>
      </c>
      <c r="DR2235" t="inlineStr">
        <is>
          <t>X</t>
        </is>
      </c>
      <c r="DX2235" t="inlineStr">
        <is>
          <t>X</t>
        </is>
      </c>
    </row>
    <row r="2236">
      <c r="A2236" t="inlineStr">
        <is>
          <t>OH0020388389</t>
        </is>
      </c>
      <c r="B2236" t="n">
        <v>78</v>
      </c>
      <c r="C2236" t="n">
        <v>367693</v>
      </c>
      <c r="D2236" t="inlineStr">
        <is>
          <t>DAVIS</t>
        </is>
      </c>
      <c r="E2236" t="inlineStr">
        <is>
          <t>CHRISTOPHER</t>
        </is>
      </c>
      <c r="F2236">
        <f>CONCATENATE(D2236," ",LEFT(H2236,4),"T=",AU2236,"D=",AV2236,"R=",AW2236,"M=",AX2236,"L=",AY2236,"B=",AZ2236)</f>
        <v/>
      </c>
      <c r="G2236" t="inlineStr">
        <is>
          <t>V</t>
        </is>
      </c>
      <c r="I2236" t="inlineStr">
        <is>
          <t>1988-01-04</t>
        </is>
      </c>
      <c r="J2236" t="inlineStr">
        <is>
          <t>2024-08-06</t>
        </is>
      </c>
      <c r="K2236" t="inlineStr">
        <is>
          <t>ACTIVE</t>
        </is>
      </c>
      <c r="M2236" t="inlineStr">
        <is>
          <t>1745 BURTON ST SE</t>
        </is>
      </c>
      <c r="N2236">
        <f>RIGHT(M2236,LEN(M2236)-FIND(" ",M2236))</f>
        <v/>
      </c>
      <c r="P2236" t="inlineStr">
        <is>
          <t>WARREN</t>
        </is>
      </c>
      <c r="Q2236" t="inlineStr">
        <is>
          <t>OH</t>
        </is>
      </c>
      <c r="R2236" t="n">
        <v>44484</v>
      </c>
      <c r="AD2236" t="inlineStr">
        <is>
          <t>TRUMBULL CAREER &amp; TECH CENTER</t>
        </is>
      </c>
      <c r="AE2236" t="inlineStr">
        <is>
          <t>WARREN CITY</t>
        </is>
      </c>
      <c r="AF2236" t="inlineStr">
        <is>
          <t>WARREN CITY SD</t>
        </is>
      </c>
      <c r="AH2236" t="n">
        <v>14</v>
      </c>
      <c r="AI2236" t="n">
        <v>11</v>
      </c>
      <c r="AN2236" t="inlineStr">
        <is>
          <t>WARREN</t>
        </is>
      </c>
      <c r="AO2236" t="inlineStr">
        <is>
          <t>WARREN CITY 4F</t>
        </is>
      </c>
      <c r="AP2236" t="inlineStr">
        <is>
          <t>78-P-ADN</t>
        </is>
      </c>
      <c r="AQ2236" t="n">
        <v>9</v>
      </c>
      <c r="AR2236" t="n">
        <v>64</v>
      </c>
      <c r="AS2236" t="n">
        <v>32</v>
      </c>
      <c r="AU2236">
        <f>COUNTA($BA$2236:$EH$2236)</f>
        <v/>
      </c>
      <c r="AV2236">
        <f>COUNTIF($BA$2236:$EH$2236,"D")</f>
        <v/>
      </c>
      <c r="AW2236">
        <f>COUNTIF($BA$2236:$EH$2236,"R")</f>
        <v/>
      </c>
      <c r="AX2236">
        <f>IF(BN2236="D",1,0)+IF(BO2236="D",1,0)+IF(BT2236="D",1,0)+IF(BU2236="D",1,0)+IF(BW2236="D",1,0)+IF(CC2236="D",1,0)+IF(CD2236="D",1,0)+IF(CE2236="D",1,0)+IF(CF2236="D",1,0)+IF(CL2236="D",1,0)+IF(CM2236="D",1,0)+IF(CQ2236="D",1,0)+IF(CR2236="D",1,0)+IF(CS2236="D",1,0)+IF(CW2236="D",1,0)+IF(CX2236="D",1,0)+IF(DD2236="D",1,0)+IF(DE2236="D",1,0)+IF(DJ2236="D",1,0)+IF(DK2236="D",1,0)+IF(DO2236="D",1,0)+IF(DP2236="D",1,0)+IF(DQ2236="D",1,0)+IF(DW2236="D",1,0)+IF(DZ2236="D",1,0)+IF(EH2236="D",1,0)</f>
        <v/>
      </c>
      <c r="AY2236">
        <f>IF(DJ2236&lt;&gt;"",1,0)+IF(DK2236&lt;&gt;"",1,0)+IF(DM2236&lt;&gt;"",1,0)+IF(DO2236&lt;&gt;"",1,0)+IF(DP2236&lt;&gt;"",1,0)+IF(DQ2236&lt;&gt;"",1,0)+IF(DS2236&lt;&gt;"",1,0)+IF(DT2236&lt;&gt;"",1,0)+IF(DV2236&lt;&gt;"",1,0)+IF(DW2236&lt;&gt;"",1,0)+IF(DX2236&lt;&gt;"",1,0)+IF(DY2236&lt;&gt;"",1,0)+IF(DZ2236&lt;&gt;"",1,0)+IF(EB2236&lt;&gt;"",1,0)+IF(EC2236&lt;&gt;"",1,0)+IF(ED2236&lt;&gt;"",1,0)+IF(EG2236&lt;&gt;"",1,0)+IF(EH2236&lt;&gt;"",1,0)</f>
        <v/>
      </c>
      <c r="AZ2236">
        <f>IF(EH2236&lt;&gt;"",1,0)</f>
        <v/>
      </c>
      <c r="BB2236" t="inlineStr">
        <is>
          <t>WARREN-WARD 4</t>
        </is>
      </c>
    </row>
    <row r="2237">
      <c r="A2237" t="inlineStr">
        <is>
          <t>OH0020101613</t>
        </is>
      </c>
      <c r="B2237" t="n">
        <v>78</v>
      </c>
      <c r="C2237" t="n">
        <v>362296</v>
      </c>
      <c r="D2237" t="inlineStr">
        <is>
          <t>WILSON</t>
        </is>
      </c>
      <c r="E2237" t="inlineStr">
        <is>
          <t>MARCUS</t>
        </is>
      </c>
      <c r="F2237">
        <f>CONCATENATE(D2237," ",LEFT(H2237,4),"T=",AU2237,"D=",AV2237,"R=",AW2237,"M=",AX2237,"L=",AY2237,"B=",AZ2237)</f>
        <v/>
      </c>
      <c r="G2237" t="inlineStr">
        <is>
          <t>D</t>
        </is>
      </c>
      <c r="I2237" t="inlineStr">
        <is>
          <t>1983-04-01</t>
        </is>
      </c>
      <c r="J2237" t="inlineStr">
        <is>
          <t>2008-09-24</t>
        </is>
      </c>
      <c r="K2237" t="inlineStr">
        <is>
          <t>ACTIVE</t>
        </is>
      </c>
      <c r="M2237" t="inlineStr">
        <is>
          <t>1210 OAK KNOLL AVE SE</t>
        </is>
      </c>
      <c r="N2237">
        <f>RIGHT(M2237,LEN(M2237)-FIND(" ",M2237))</f>
        <v/>
      </c>
      <c r="P2237" t="inlineStr">
        <is>
          <t>WARREN</t>
        </is>
      </c>
      <c r="Q2237" t="inlineStr">
        <is>
          <t>OH</t>
        </is>
      </c>
      <c r="R2237" t="n">
        <v>44484</v>
      </c>
      <c r="AD2237" t="inlineStr">
        <is>
          <t>TRUMBULL CAREER &amp; TECH CENTER</t>
        </is>
      </c>
      <c r="AE2237" t="inlineStr">
        <is>
          <t>WARREN CITY</t>
        </is>
      </c>
      <c r="AF2237" t="inlineStr">
        <is>
          <t>WARREN CITY SD</t>
        </is>
      </c>
      <c r="AH2237" t="n">
        <v>14</v>
      </c>
      <c r="AI2237" t="n">
        <v>11</v>
      </c>
      <c r="AN2237" t="inlineStr">
        <is>
          <t>WARREN</t>
        </is>
      </c>
      <c r="AO2237" t="inlineStr">
        <is>
          <t>WARREN CITY 4F</t>
        </is>
      </c>
      <c r="AP2237" t="inlineStr">
        <is>
          <t>78-P-ADN</t>
        </is>
      </c>
      <c r="AQ2237" t="n">
        <v>9</v>
      </c>
      <c r="AR2237" t="n">
        <v>64</v>
      </c>
      <c r="AS2237" t="n">
        <v>32</v>
      </c>
      <c r="AU2237">
        <f>COUNTA($BA$2237:$EH$2237)</f>
        <v/>
      </c>
      <c r="AV2237">
        <f>COUNTIF($BA$2237:$EH$2237,"D")</f>
        <v/>
      </c>
      <c r="AW2237">
        <f>COUNTIF($BA$2237:$EH$2237,"R")</f>
        <v/>
      </c>
      <c r="AX2237">
        <f>IF(BN2237="D",1,0)+IF(BO2237="D",1,0)+IF(BT2237="D",1,0)+IF(BU2237="D",1,0)+IF(BW2237="D",1,0)+IF(CC2237="D",1,0)+IF(CD2237="D",1,0)+IF(CE2237="D",1,0)+IF(CF2237="D",1,0)+IF(CL2237="D",1,0)+IF(CM2237="D",1,0)+IF(CQ2237="D",1,0)+IF(CR2237="D",1,0)+IF(CS2237="D",1,0)+IF(CW2237="D",1,0)+IF(CX2237="D",1,0)+IF(DD2237="D",1,0)+IF(DE2237="D",1,0)+IF(DJ2237="D",1,0)+IF(DK2237="D",1,0)+IF(DO2237="D",1,0)+IF(DP2237="D",1,0)+IF(DQ2237="D",1,0)+IF(DW2237="D",1,0)+IF(DZ2237="D",1,0)+IF(EH2237="D",1,0)</f>
        <v/>
      </c>
      <c r="AY2237">
        <f>IF(DJ2237&lt;&gt;"",1,0)+IF(DK2237&lt;&gt;"",1,0)+IF(DM2237&lt;&gt;"",1,0)+IF(DO2237&lt;&gt;"",1,0)+IF(DP2237&lt;&gt;"",1,0)+IF(DQ2237&lt;&gt;"",1,0)+IF(DS2237&lt;&gt;"",1,0)+IF(DT2237&lt;&gt;"",1,0)+IF(DV2237&lt;&gt;"",1,0)+IF(DW2237&lt;&gt;"",1,0)+IF(DX2237&lt;&gt;"",1,0)+IF(DY2237&lt;&gt;"",1,0)+IF(DZ2237&lt;&gt;"",1,0)+IF(EB2237&lt;&gt;"",1,0)+IF(EC2237&lt;&gt;"",1,0)+IF(ED2237&lt;&gt;"",1,0)+IF(EG2237&lt;&gt;"",1,0)+IF(EH2237&lt;&gt;"",1,0)</f>
        <v/>
      </c>
      <c r="AZ2237">
        <f>IF(EH2237&lt;&gt;"",1,0)</f>
        <v/>
      </c>
      <c r="BB2237" t="inlineStr">
        <is>
          <t>WARREN-WARD 4</t>
        </is>
      </c>
      <c r="CA2237" t="inlineStr">
        <is>
          <t>X</t>
        </is>
      </c>
      <c r="CP2237" t="inlineStr">
        <is>
          <t>X</t>
        </is>
      </c>
      <c r="DC2237" t="inlineStr">
        <is>
          <t>X</t>
        </is>
      </c>
      <c r="DM2237" t="inlineStr">
        <is>
          <t>D</t>
        </is>
      </c>
      <c r="DN2237" t="inlineStr">
        <is>
          <t>X</t>
        </is>
      </c>
      <c r="EF2237" t="inlineStr">
        <is>
          <t>X</t>
        </is>
      </c>
    </row>
    <row r="2238">
      <c r="A2238" t="inlineStr">
        <is>
          <t>OH0020330602</t>
        </is>
      </c>
      <c r="B2238" t="n">
        <v>78</v>
      </c>
      <c r="C2238" t="n">
        <v>366573</v>
      </c>
      <c r="D2238" t="inlineStr">
        <is>
          <t>NOVOTNY</t>
        </is>
      </c>
      <c r="E2238" t="inlineStr">
        <is>
          <t>DAVID</t>
        </is>
      </c>
      <c r="F2238">
        <f>CONCATENATE(D2238," ",LEFT(H2238,4),"T=",AU2238,"D=",AV2238,"R=",AW2238,"M=",AX2238,"L=",AY2238,"B=",AZ2238)</f>
        <v/>
      </c>
      <c r="G2238" t="inlineStr">
        <is>
          <t>R</t>
        </is>
      </c>
      <c r="I2238" t="inlineStr">
        <is>
          <t>1958-05-24</t>
        </is>
      </c>
      <c r="J2238" t="inlineStr">
        <is>
          <t>2008-09-06</t>
        </is>
      </c>
      <c r="K2238" t="inlineStr">
        <is>
          <t>ACTIVE</t>
        </is>
      </c>
      <c r="L2238" t="inlineStr">
        <is>
          <t>R</t>
        </is>
      </c>
      <c r="M2238" t="inlineStr">
        <is>
          <t>1120 WOODBINE AVE SE</t>
        </is>
      </c>
      <c r="N2238">
        <f>RIGHT(M2238,LEN(M2238)-FIND(" ",M2238))</f>
        <v/>
      </c>
      <c r="P2238" t="inlineStr">
        <is>
          <t>WARREN</t>
        </is>
      </c>
      <c r="Q2238" t="inlineStr">
        <is>
          <t>OH</t>
        </is>
      </c>
      <c r="R2238" t="n">
        <v>44484</v>
      </c>
      <c r="AD2238" t="inlineStr">
        <is>
          <t>TRUMBULL CAREER &amp; TECH CENTER</t>
        </is>
      </c>
      <c r="AE2238" t="inlineStr">
        <is>
          <t>WARREN CITY</t>
        </is>
      </c>
      <c r="AF2238" t="inlineStr">
        <is>
          <t>WARREN CITY SD</t>
        </is>
      </c>
      <c r="AH2238" t="n">
        <v>14</v>
      </c>
      <c r="AI2238" t="n">
        <v>11</v>
      </c>
      <c r="AN2238" t="inlineStr">
        <is>
          <t>WARREN</t>
        </is>
      </c>
      <c r="AO2238" t="inlineStr">
        <is>
          <t>WARREN CITY 4F</t>
        </is>
      </c>
      <c r="AP2238" t="inlineStr">
        <is>
          <t>78-P-ADN</t>
        </is>
      </c>
      <c r="AQ2238" t="n">
        <v>9</v>
      </c>
      <c r="AR2238" t="n">
        <v>64</v>
      </c>
      <c r="AS2238" t="n">
        <v>32</v>
      </c>
      <c r="AU2238">
        <f>COUNTA($BA$2238:$EH$2238)</f>
        <v/>
      </c>
      <c r="AV2238">
        <f>COUNTIF($BA$2238:$EH$2238,"D")</f>
        <v/>
      </c>
      <c r="AW2238">
        <f>COUNTIF($BA$2238:$EH$2238,"R")</f>
        <v/>
      </c>
      <c r="AX2238">
        <f>IF(BN2238="D",1,0)+IF(BO2238="D",1,0)+IF(BT2238="D",1,0)+IF(BU2238="D",1,0)+IF(BW2238="D",1,0)+IF(CC2238="D",1,0)+IF(CD2238="D",1,0)+IF(CE2238="D",1,0)+IF(CF2238="D",1,0)+IF(CL2238="D",1,0)+IF(CM2238="D",1,0)+IF(CQ2238="D",1,0)+IF(CR2238="D",1,0)+IF(CS2238="D",1,0)+IF(CW2238="D",1,0)+IF(CX2238="D",1,0)+IF(DD2238="D",1,0)+IF(DE2238="D",1,0)+IF(DJ2238="D",1,0)+IF(DK2238="D",1,0)+IF(DO2238="D",1,0)+IF(DP2238="D",1,0)+IF(DQ2238="D",1,0)+IF(DW2238="D",1,0)+IF(DZ2238="D",1,0)+IF(EH2238="D",1,0)</f>
        <v/>
      </c>
      <c r="AY2238">
        <f>IF(DJ2238&lt;&gt;"",1,0)+IF(DK2238&lt;&gt;"",1,0)+IF(DM2238&lt;&gt;"",1,0)+IF(DO2238&lt;&gt;"",1,0)+IF(DP2238&lt;&gt;"",1,0)+IF(DQ2238&lt;&gt;"",1,0)+IF(DS2238&lt;&gt;"",1,0)+IF(DT2238&lt;&gt;"",1,0)+IF(DV2238&lt;&gt;"",1,0)+IF(DW2238&lt;&gt;"",1,0)+IF(DX2238&lt;&gt;"",1,0)+IF(DY2238&lt;&gt;"",1,0)+IF(DZ2238&lt;&gt;"",1,0)+IF(EB2238&lt;&gt;"",1,0)+IF(EC2238&lt;&gt;"",1,0)+IF(ED2238&lt;&gt;"",1,0)+IF(EG2238&lt;&gt;"",1,0)+IF(EH2238&lt;&gt;"",1,0)</f>
        <v/>
      </c>
      <c r="AZ2238">
        <f>IF(EH2238&lt;&gt;"",1,0)</f>
        <v/>
      </c>
      <c r="BB2238" t="inlineStr">
        <is>
          <t>WARREN-WARD 4</t>
        </is>
      </c>
      <c r="CN2238" t="inlineStr">
        <is>
          <t>X</t>
        </is>
      </c>
      <c r="CP2238" t="inlineStr">
        <is>
          <t>X</t>
        </is>
      </c>
      <c r="CY2238" t="inlineStr">
        <is>
          <t>X</t>
        </is>
      </c>
      <c r="DC2238" t="inlineStr">
        <is>
          <t>X</t>
        </is>
      </c>
      <c r="DI2238" t="inlineStr">
        <is>
          <t>X</t>
        </is>
      </c>
      <c r="DM2238" t="inlineStr">
        <is>
          <t>R</t>
        </is>
      </c>
      <c r="DN2238" t="inlineStr">
        <is>
          <t>X</t>
        </is>
      </c>
      <c r="DS2238" t="inlineStr">
        <is>
          <t>R</t>
        </is>
      </c>
      <c r="DT2238" t="inlineStr">
        <is>
          <t>R</t>
        </is>
      </c>
      <c r="DU2238" t="inlineStr">
        <is>
          <t>X</t>
        </is>
      </c>
      <c r="DX2238" t="inlineStr">
        <is>
          <t>X</t>
        </is>
      </c>
      <c r="EA2238" t="inlineStr">
        <is>
          <t>X</t>
        </is>
      </c>
      <c r="ED2238" t="inlineStr">
        <is>
          <t>R</t>
        </is>
      </c>
      <c r="EF2238" t="inlineStr">
        <is>
          <t>X</t>
        </is>
      </c>
    </row>
    <row r="2239">
      <c r="A2239" t="inlineStr">
        <is>
          <t>OH0015693001</t>
        </is>
      </c>
      <c r="B2239" t="n">
        <v>78</v>
      </c>
      <c r="C2239" t="n">
        <v>14239</v>
      </c>
      <c r="D2239" t="inlineStr">
        <is>
          <t>BLAKE</t>
        </is>
      </c>
      <c r="E2239" t="inlineStr">
        <is>
          <t>LISA</t>
        </is>
      </c>
      <c r="F2239">
        <f>CONCATENATE(D2239," ",LEFT(H2239,4),"T=",AU2239,"D=",AV2239,"R=",AW2239,"M=",AX2239,"L=",AY2239,"B=",AZ2239)</f>
        <v/>
      </c>
      <c r="I2239" t="inlineStr">
        <is>
          <t>1960-07-07</t>
        </is>
      </c>
      <c r="J2239" t="inlineStr">
        <is>
          <t>1978-04-20</t>
        </is>
      </c>
      <c r="K2239" t="inlineStr">
        <is>
          <t>ACTIVE</t>
        </is>
      </c>
      <c r="L2239" t="inlineStr">
        <is>
          <t>D</t>
        </is>
      </c>
      <c r="M2239" t="inlineStr">
        <is>
          <t>1579 HOMEWOOD AVE SE</t>
        </is>
      </c>
      <c r="N2239">
        <f>RIGHT(M2239,LEN(M2239)-FIND(" ",M2239))</f>
        <v/>
      </c>
      <c r="P2239" t="inlineStr">
        <is>
          <t>WARREN</t>
        </is>
      </c>
      <c r="Q2239" t="inlineStr">
        <is>
          <t>OH</t>
        </is>
      </c>
      <c r="R2239" t="n">
        <v>44484</v>
      </c>
      <c r="AD2239" t="inlineStr">
        <is>
          <t>TRUMBULL CAREER &amp; TECH CENTER</t>
        </is>
      </c>
      <c r="AE2239" t="inlineStr">
        <is>
          <t>WARREN CITY</t>
        </is>
      </c>
      <c r="AF2239" t="inlineStr">
        <is>
          <t>WARREN CITY SD</t>
        </is>
      </c>
      <c r="AH2239" t="n">
        <v>14</v>
      </c>
      <c r="AI2239" t="n">
        <v>11</v>
      </c>
      <c r="AN2239" t="inlineStr">
        <is>
          <t>WARREN</t>
        </is>
      </c>
      <c r="AO2239" t="inlineStr">
        <is>
          <t>WARREN CITY 4F</t>
        </is>
      </c>
      <c r="AP2239" t="inlineStr">
        <is>
          <t>78-P-ADN</t>
        </is>
      </c>
      <c r="AQ2239" t="n">
        <v>9</v>
      </c>
      <c r="AR2239" t="n">
        <v>64</v>
      </c>
      <c r="AS2239" t="n">
        <v>32</v>
      </c>
      <c r="AU2239">
        <f>COUNTA($BA$2239:$EH$2239)</f>
        <v/>
      </c>
      <c r="AV2239">
        <f>COUNTIF($BA$2239:$EH$2239,"D")</f>
        <v/>
      </c>
      <c r="AW2239">
        <f>COUNTIF($BA$2239:$EH$2239,"R")</f>
        <v/>
      </c>
      <c r="AX2239">
        <f>IF(BN2239="D",1,0)+IF(BO2239="D",1,0)+IF(BT2239="D",1,0)+IF(BU2239="D",1,0)+IF(BW2239="D",1,0)+IF(CC2239="D",1,0)+IF(CD2239="D",1,0)+IF(CE2239="D",1,0)+IF(CF2239="D",1,0)+IF(CL2239="D",1,0)+IF(CM2239="D",1,0)+IF(CQ2239="D",1,0)+IF(CR2239="D",1,0)+IF(CS2239="D",1,0)+IF(CW2239="D",1,0)+IF(CX2239="D",1,0)+IF(DD2239="D",1,0)+IF(DE2239="D",1,0)+IF(DJ2239="D",1,0)+IF(DK2239="D",1,0)+IF(DO2239="D",1,0)+IF(DP2239="D",1,0)+IF(DQ2239="D",1,0)+IF(DW2239="D",1,0)+IF(DZ2239="D",1,0)+IF(EH2239="D",1,0)</f>
        <v/>
      </c>
      <c r="AY2239">
        <f>IF(DJ2239&lt;&gt;"",1,0)+IF(DK2239&lt;&gt;"",1,0)+IF(DM2239&lt;&gt;"",1,0)+IF(DO2239&lt;&gt;"",1,0)+IF(DP2239&lt;&gt;"",1,0)+IF(DQ2239&lt;&gt;"",1,0)+IF(DS2239&lt;&gt;"",1,0)+IF(DT2239&lt;&gt;"",1,0)+IF(DV2239&lt;&gt;"",1,0)+IF(DW2239&lt;&gt;"",1,0)+IF(DX2239&lt;&gt;"",1,0)+IF(DY2239&lt;&gt;"",1,0)+IF(DZ2239&lt;&gt;"",1,0)+IF(EB2239&lt;&gt;"",1,0)+IF(EC2239&lt;&gt;"",1,0)+IF(ED2239&lt;&gt;"",1,0)+IF(EG2239&lt;&gt;"",1,0)+IF(EH2239&lt;&gt;"",1,0)</f>
        <v/>
      </c>
      <c r="AZ2239">
        <f>IF(EH2239&lt;&gt;"",1,0)</f>
        <v/>
      </c>
      <c r="BB2239" t="inlineStr">
        <is>
          <t>WARREN-WARD 4</t>
        </is>
      </c>
      <c r="BD2239" t="inlineStr">
        <is>
          <t>X</t>
        </is>
      </c>
      <c r="BH2239" t="inlineStr">
        <is>
          <t>X</t>
        </is>
      </c>
      <c r="BK2239" t="inlineStr">
        <is>
          <t>X</t>
        </is>
      </c>
      <c r="BL2239" t="inlineStr">
        <is>
          <t>X</t>
        </is>
      </c>
      <c r="BP2239" t="inlineStr">
        <is>
          <t>X</t>
        </is>
      </c>
      <c r="BR2239" t="inlineStr">
        <is>
          <t>X</t>
        </is>
      </c>
      <c r="BS2239" t="inlineStr">
        <is>
          <t>X</t>
        </is>
      </c>
      <c r="BY2239" t="inlineStr">
        <is>
          <t>D</t>
        </is>
      </c>
      <c r="CA2239" t="inlineStr">
        <is>
          <t>X</t>
        </is>
      </c>
      <c r="CG2239" t="inlineStr">
        <is>
          <t>X</t>
        </is>
      </c>
      <c r="CH2239" t="inlineStr">
        <is>
          <t>D</t>
        </is>
      </c>
      <c r="CK2239" t="inlineStr">
        <is>
          <t>X</t>
        </is>
      </c>
      <c r="CL2239" t="inlineStr">
        <is>
          <t>D</t>
        </is>
      </c>
      <c r="CN2239" t="inlineStr">
        <is>
          <t>X</t>
        </is>
      </c>
      <c r="CP2239" t="inlineStr">
        <is>
          <t>X</t>
        </is>
      </c>
      <c r="CT2239" t="inlineStr">
        <is>
          <t>X</t>
        </is>
      </c>
      <c r="CU2239" t="inlineStr">
        <is>
          <t>D</t>
        </is>
      </c>
      <c r="CV2239" t="inlineStr">
        <is>
          <t>X</t>
        </is>
      </c>
      <c r="CY2239" t="inlineStr">
        <is>
          <t>X</t>
        </is>
      </c>
      <c r="CZ2239" t="inlineStr">
        <is>
          <t>D</t>
        </is>
      </c>
      <c r="DC2239" t="inlineStr">
        <is>
          <t>X</t>
        </is>
      </c>
      <c r="DF2239" t="inlineStr">
        <is>
          <t>X</t>
        </is>
      </c>
      <c r="DG2239" t="inlineStr">
        <is>
          <t>D</t>
        </is>
      </c>
      <c r="DI2239" t="inlineStr">
        <is>
          <t>X</t>
        </is>
      </c>
      <c r="DL2239" t="inlineStr">
        <is>
          <t>X</t>
        </is>
      </c>
      <c r="DM2239" t="inlineStr">
        <is>
          <t>D</t>
        </is>
      </c>
      <c r="DN2239" t="inlineStr">
        <is>
          <t>X</t>
        </is>
      </c>
      <c r="DR2239" t="inlineStr">
        <is>
          <t>X</t>
        </is>
      </c>
      <c r="DT2239" t="inlineStr">
        <is>
          <t>D</t>
        </is>
      </c>
      <c r="DU2239" t="inlineStr">
        <is>
          <t>X</t>
        </is>
      </c>
      <c r="DW2239" t="inlineStr">
        <is>
          <t>D</t>
        </is>
      </c>
      <c r="DX2239" t="inlineStr">
        <is>
          <t>X</t>
        </is>
      </c>
      <c r="EA2239" t="inlineStr">
        <is>
          <t>X</t>
        </is>
      </c>
      <c r="ED2239" t="inlineStr">
        <is>
          <t>D</t>
        </is>
      </c>
      <c r="EF2239" t="inlineStr">
        <is>
          <t>X</t>
        </is>
      </c>
      <c r="EH2239" t="inlineStr">
        <is>
          <t>D</t>
        </is>
      </c>
    </row>
    <row r="2240">
      <c r="A2240" t="inlineStr">
        <is>
          <t>OH0015764130</t>
        </is>
      </c>
      <c r="B2240" t="n">
        <v>78</v>
      </c>
      <c r="C2240" t="n">
        <v>327163</v>
      </c>
      <c r="D2240" t="inlineStr">
        <is>
          <t>DUKES</t>
        </is>
      </c>
      <c r="E2240" t="inlineStr">
        <is>
          <t>ANTONNIO</t>
        </is>
      </c>
      <c r="F2240">
        <f>CONCATENATE(D2240," ",LEFT(H2240,4),"T=",AU2240,"D=",AV2240,"R=",AW2240,"M=",AX2240,"L=",AY2240,"B=",AZ2240)</f>
        <v/>
      </c>
      <c r="G2240" t="inlineStr">
        <is>
          <t>D</t>
        </is>
      </c>
      <c r="H2240" t="inlineStr">
        <is>
          <t>SR</t>
        </is>
      </c>
      <c r="I2240" t="inlineStr">
        <is>
          <t>1976-02-12</t>
        </is>
      </c>
      <c r="J2240" t="inlineStr">
        <is>
          <t>2024-08-06</t>
        </is>
      </c>
      <c r="K2240" t="inlineStr">
        <is>
          <t>ACTIVE</t>
        </is>
      </c>
      <c r="M2240" t="inlineStr">
        <is>
          <t>1679 WOODBINE AVE SE</t>
        </is>
      </c>
      <c r="N2240">
        <f>RIGHT(M2240,LEN(M2240)-FIND(" ",M2240))</f>
        <v/>
      </c>
      <c r="P2240" t="inlineStr">
        <is>
          <t>WARREN</t>
        </is>
      </c>
      <c r="Q2240" t="inlineStr">
        <is>
          <t>OH</t>
        </is>
      </c>
      <c r="R2240" t="n">
        <v>44484</v>
      </c>
      <c r="AD2240" t="inlineStr">
        <is>
          <t>TRUMBULL CAREER &amp; TECH CENTER</t>
        </is>
      </c>
      <c r="AE2240" t="inlineStr">
        <is>
          <t>WARREN CITY</t>
        </is>
      </c>
      <c r="AF2240" t="inlineStr">
        <is>
          <t>WARREN CITY SD</t>
        </is>
      </c>
      <c r="AH2240" t="n">
        <v>14</v>
      </c>
      <c r="AI2240" t="n">
        <v>11</v>
      </c>
      <c r="AN2240" t="inlineStr">
        <is>
          <t>WARREN</t>
        </is>
      </c>
      <c r="AO2240" t="inlineStr">
        <is>
          <t>WARREN CITY 4F</t>
        </is>
      </c>
      <c r="AP2240" t="inlineStr">
        <is>
          <t>78-P-ADN</t>
        </is>
      </c>
      <c r="AQ2240" t="n">
        <v>9</v>
      </c>
      <c r="AR2240" t="n">
        <v>64</v>
      </c>
      <c r="AS2240" t="n">
        <v>32</v>
      </c>
      <c r="AU2240">
        <f>COUNTA($BA$2240:$EH$2240)</f>
        <v/>
      </c>
      <c r="AV2240">
        <f>COUNTIF($BA$2240:$EH$2240,"D")</f>
        <v/>
      </c>
      <c r="AW2240">
        <f>COUNTIF($BA$2240:$EH$2240,"R")</f>
        <v/>
      </c>
      <c r="AX2240">
        <f>IF(BN2240="D",1,0)+IF(BO2240="D",1,0)+IF(BT2240="D",1,0)+IF(BU2240="D",1,0)+IF(BW2240="D",1,0)+IF(CC2240="D",1,0)+IF(CD2240="D",1,0)+IF(CE2240="D",1,0)+IF(CF2240="D",1,0)+IF(CL2240="D",1,0)+IF(CM2240="D",1,0)+IF(CQ2240="D",1,0)+IF(CR2240="D",1,0)+IF(CS2240="D",1,0)+IF(CW2240="D",1,0)+IF(CX2240="D",1,0)+IF(DD2240="D",1,0)+IF(DE2240="D",1,0)+IF(DJ2240="D",1,0)+IF(DK2240="D",1,0)+IF(DO2240="D",1,0)+IF(DP2240="D",1,0)+IF(DQ2240="D",1,0)+IF(DW2240="D",1,0)+IF(DZ2240="D",1,0)+IF(EH2240="D",1,0)</f>
        <v/>
      </c>
      <c r="AY2240">
        <f>IF(DJ2240&lt;&gt;"",1,0)+IF(DK2240&lt;&gt;"",1,0)+IF(DM2240&lt;&gt;"",1,0)+IF(DO2240&lt;&gt;"",1,0)+IF(DP2240&lt;&gt;"",1,0)+IF(DQ2240&lt;&gt;"",1,0)+IF(DS2240&lt;&gt;"",1,0)+IF(DT2240&lt;&gt;"",1,0)+IF(DV2240&lt;&gt;"",1,0)+IF(DW2240&lt;&gt;"",1,0)+IF(DX2240&lt;&gt;"",1,0)+IF(DY2240&lt;&gt;"",1,0)+IF(DZ2240&lt;&gt;"",1,0)+IF(EB2240&lt;&gt;"",1,0)+IF(EC2240&lt;&gt;"",1,0)+IF(ED2240&lt;&gt;"",1,0)+IF(EG2240&lt;&gt;"",1,0)+IF(EH2240&lt;&gt;"",1,0)</f>
        <v/>
      </c>
      <c r="AZ2240">
        <f>IF(EH2240&lt;&gt;"",1,0)</f>
        <v/>
      </c>
      <c r="BB2240" t="inlineStr">
        <is>
          <t>WARREN-WARD 4</t>
        </is>
      </c>
      <c r="CA2240" t="inlineStr">
        <is>
          <t>X</t>
        </is>
      </c>
      <c r="CP2240" t="inlineStr">
        <is>
          <t>X</t>
        </is>
      </c>
    </row>
    <row r="2241">
      <c r="A2241" t="inlineStr">
        <is>
          <t>OH0023874141</t>
        </is>
      </c>
      <c r="B2241" t="n">
        <v>78</v>
      </c>
      <c r="C2241" t="n">
        <v>419355</v>
      </c>
      <c r="D2241" t="inlineStr">
        <is>
          <t>PRIEST</t>
        </is>
      </c>
      <c r="E2241" t="inlineStr">
        <is>
          <t>SONJA</t>
        </is>
      </c>
      <c r="F2241">
        <f>CONCATENATE(D2241," ",LEFT(H2241,4),"T=",AU2241,"D=",AV2241,"R=",AW2241,"M=",AX2241,"L=",AY2241,"B=",AZ2241)</f>
        <v/>
      </c>
      <c r="I2241" t="inlineStr">
        <is>
          <t>1980-11-26</t>
        </is>
      </c>
      <c r="J2241" t="inlineStr">
        <is>
          <t>2024-08-21</t>
        </is>
      </c>
      <c r="K2241" t="inlineStr">
        <is>
          <t>ACTIVE</t>
        </is>
      </c>
      <c r="M2241" t="inlineStr">
        <is>
          <t>1008 HOMEWOOD AVE SE</t>
        </is>
      </c>
      <c r="N2241">
        <f>RIGHT(M2241,LEN(M2241)-FIND(" ",M2241))</f>
        <v/>
      </c>
      <c r="P2241" t="inlineStr">
        <is>
          <t>WARREN</t>
        </is>
      </c>
      <c r="Q2241" t="inlineStr">
        <is>
          <t>OH</t>
        </is>
      </c>
      <c r="R2241" t="n">
        <v>44484</v>
      </c>
      <c r="AD2241" t="inlineStr">
        <is>
          <t>TRUMBULL CAREER &amp; TECH CENTER</t>
        </is>
      </c>
      <c r="AE2241" t="inlineStr">
        <is>
          <t>WARREN CITY</t>
        </is>
      </c>
      <c r="AF2241" t="inlineStr">
        <is>
          <t>WARREN CITY SD</t>
        </is>
      </c>
      <c r="AH2241" t="n">
        <v>14</v>
      </c>
      <c r="AI2241" t="n">
        <v>11</v>
      </c>
      <c r="AN2241" t="inlineStr">
        <is>
          <t>WARREN</t>
        </is>
      </c>
      <c r="AO2241" t="inlineStr">
        <is>
          <t>WARREN CITY 4F</t>
        </is>
      </c>
      <c r="AP2241" t="inlineStr">
        <is>
          <t>78-P-ADN</t>
        </is>
      </c>
      <c r="AQ2241" t="n">
        <v>9</v>
      </c>
      <c r="AR2241" t="n">
        <v>64</v>
      </c>
      <c r="AS2241" t="n">
        <v>32</v>
      </c>
      <c r="AU2241">
        <f>COUNTA($BA$2241:$EH$2241)</f>
        <v/>
      </c>
      <c r="AV2241">
        <f>COUNTIF($BA$2241:$EH$2241,"D")</f>
        <v/>
      </c>
      <c r="AW2241">
        <f>COUNTIF($BA$2241:$EH$2241,"R")</f>
        <v/>
      </c>
      <c r="AX2241">
        <f>IF(BN2241="D",1,0)+IF(BO2241="D",1,0)+IF(BT2241="D",1,0)+IF(BU2241="D",1,0)+IF(BW2241="D",1,0)+IF(CC2241="D",1,0)+IF(CD2241="D",1,0)+IF(CE2241="D",1,0)+IF(CF2241="D",1,0)+IF(CL2241="D",1,0)+IF(CM2241="D",1,0)+IF(CQ2241="D",1,0)+IF(CR2241="D",1,0)+IF(CS2241="D",1,0)+IF(CW2241="D",1,0)+IF(CX2241="D",1,0)+IF(DD2241="D",1,0)+IF(DE2241="D",1,0)+IF(DJ2241="D",1,0)+IF(DK2241="D",1,0)+IF(DO2241="D",1,0)+IF(DP2241="D",1,0)+IF(DQ2241="D",1,0)+IF(DW2241="D",1,0)+IF(DZ2241="D",1,0)+IF(EH2241="D",1,0)</f>
        <v/>
      </c>
      <c r="AY2241">
        <f>IF(DJ2241&lt;&gt;"",1,0)+IF(DK2241&lt;&gt;"",1,0)+IF(DM2241&lt;&gt;"",1,0)+IF(DO2241&lt;&gt;"",1,0)+IF(DP2241&lt;&gt;"",1,0)+IF(DQ2241&lt;&gt;"",1,0)+IF(DS2241&lt;&gt;"",1,0)+IF(DT2241&lt;&gt;"",1,0)+IF(DV2241&lt;&gt;"",1,0)+IF(DW2241&lt;&gt;"",1,0)+IF(DX2241&lt;&gt;"",1,0)+IF(DY2241&lt;&gt;"",1,0)+IF(DZ2241&lt;&gt;"",1,0)+IF(EB2241&lt;&gt;"",1,0)+IF(EC2241&lt;&gt;"",1,0)+IF(ED2241&lt;&gt;"",1,0)+IF(EG2241&lt;&gt;"",1,0)+IF(EH2241&lt;&gt;"",1,0)</f>
        <v/>
      </c>
      <c r="AZ2241">
        <f>IF(EH2241&lt;&gt;"",1,0)</f>
        <v/>
      </c>
      <c r="BB2241" t="inlineStr">
        <is>
          <t>WARREN-WARD 4</t>
        </is>
      </c>
      <c r="DC2241" t="inlineStr">
        <is>
          <t>X</t>
        </is>
      </c>
      <c r="DI2241" t="inlineStr">
        <is>
          <t>X</t>
        </is>
      </c>
      <c r="DN2241" t="inlineStr">
        <is>
          <t>X</t>
        </is>
      </c>
      <c r="DU2241" t="inlineStr">
        <is>
          <t>X</t>
        </is>
      </c>
      <c r="EF2241" t="inlineStr">
        <is>
          <t>X</t>
        </is>
      </c>
    </row>
    <row r="2242">
      <c r="A2242" t="inlineStr">
        <is>
          <t>OH0026450501</t>
        </is>
      </c>
      <c r="B2242" t="n">
        <v>78</v>
      </c>
      <c r="C2242" t="n">
        <v>462557</v>
      </c>
      <c r="D2242" t="inlineStr">
        <is>
          <t>SMITH</t>
        </is>
      </c>
      <c r="E2242" t="inlineStr">
        <is>
          <t>TONIE</t>
        </is>
      </c>
      <c r="F2242">
        <f>CONCATENATE(D2242," ",LEFT(H2242,4),"T=",AU2242,"D=",AV2242,"R=",AW2242,"M=",AX2242,"L=",AY2242,"B=",AZ2242)</f>
        <v/>
      </c>
      <c r="G2242" t="inlineStr">
        <is>
          <t>ALICE</t>
        </is>
      </c>
      <c r="I2242" t="inlineStr">
        <is>
          <t>2003-01-04</t>
        </is>
      </c>
      <c r="J2242" t="inlineStr">
        <is>
          <t>2022-03-31</t>
        </is>
      </c>
      <c r="K2242" t="inlineStr">
        <is>
          <t>CONFIRMATION</t>
        </is>
      </c>
      <c r="M2242" t="inlineStr">
        <is>
          <t>1580 OAK KNOLL AVE SE</t>
        </is>
      </c>
      <c r="N2242">
        <f>RIGHT(M2242,LEN(M2242)-FIND(" ",M2242))</f>
        <v/>
      </c>
      <c r="P2242" t="inlineStr">
        <is>
          <t>WARREN</t>
        </is>
      </c>
      <c r="Q2242" t="inlineStr">
        <is>
          <t>OH</t>
        </is>
      </c>
      <c r="R2242" t="n">
        <v>44484</v>
      </c>
      <c r="AD2242" t="inlineStr">
        <is>
          <t>TRUMBULL CAREER &amp; TECH CENTER</t>
        </is>
      </c>
      <c r="AE2242" t="inlineStr">
        <is>
          <t>WARREN CITY</t>
        </is>
      </c>
      <c r="AF2242" t="inlineStr">
        <is>
          <t>WARREN CITY SD</t>
        </is>
      </c>
      <c r="AH2242" t="n">
        <v>14</v>
      </c>
      <c r="AI2242" t="n">
        <v>11</v>
      </c>
      <c r="AN2242" t="inlineStr">
        <is>
          <t>WARREN</t>
        </is>
      </c>
      <c r="AO2242" t="inlineStr">
        <is>
          <t>WARREN CITY 4F</t>
        </is>
      </c>
      <c r="AP2242" t="inlineStr">
        <is>
          <t>78-P-ADN</t>
        </is>
      </c>
      <c r="AQ2242" t="n">
        <v>9</v>
      </c>
      <c r="AR2242" t="n">
        <v>64</v>
      </c>
      <c r="AS2242" t="n">
        <v>32</v>
      </c>
      <c r="AU2242">
        <f>COUNTA($BA$2242:$EH$2242)</f>
        <v/>
      </c>
      <c r="AV2242">
        <f>COUNTIF($BA$2242:$EH$2242,"D")</f>
        <v/>
      </c>
      <c r="AW2242">
        <f>COUNTIF($BA$2242:$EH$2242,"R")</f>
        <v/>
      </c>
      <c r="AX2242">
        <f>IF(BN2242="D",1,0)+IF(BO2242="D",1,0)+IF(BT2242="D",1,0)+IF(BU2242="D",1,0)+IF(BW2242="D",1,0)+IF(CC2242="D",1,0)+IF(CD2242="D",1,0)+IF(CE2242="D",1,0)+IF(CF2242="D",1,0)+IF(CL2242="D",1,0)+IF(CM2242="D",1,0)+IF(CQ2242="D",1,0)+IF(CR2242="D",1,0)+IF(CS2242="D",1,0)+IF(CW2242="D",1,0)+IF(CX2242="D",1,0)+IF(DD2242="D",1,0)+IF(DE2242="D",1,0)+IF(DJ2242="D",1,0)+IF(DK2242="D",1,0)+IF(DO2242="D",1,0)+IF(DP2242="D",1,0)+IF(DQ2242="D",1,0)+IF(DW2242="D",1,0)+IF(DZ2242="D",1,0)+IF(EH2242="D",1,0)</f>
        <v/>
      </c>
      <c r="AY2242">
        <f>IF(DJ2242&lt;&gt;"",1,0)+IF(DK2242&lt;&gt;"",1,0)+IF(DM2242&lt;&gt;"",1,0)+IF(DO2242&lt;&gt;"",1,0)+IF(DP2242&lt;&gt;"",1,0)+IF(DQ2242&lt;&gt;"",1,0)+IF(DS2242&lt;&gt;"",1,0)+IF(DT2242&lt;&gt;"",1,0)+IF(DV2242&lt;&gt;"",1,0)+IF(DW2242&lt;&gt;"",1,0)+IF(DX2242&lt;&gt;"",1,0)+IF(DY2242&lt;&gt;"",1,0)+IF(DZ2242&lt;&gt;"",1,0)+IF(EB2242&lt;&gt;"",1,0)+IF(EC2242&lt;&gt;"",1,0)+IF(ED2242&lt;&gt;"",1,0)+IF(EG2242&lt;&gt;"",1,0)+IF(EH2242&lt;&gt;"",1,0)</f>
        <v/>
      </c>
      <c r="AZ2242">
        <f>IF(EH2242&lt;&gt;"",1,0)</f>
        <v/>
      </c>
      <c r="BB2242" t="inlineStr">
        <is>
          <t>WARREN-WARD 4</t>
        </is>
      </c>
    </row>
    <row r="2243">
      <c r="A2243" t="inlineStr">
        <is>
          <t>OH0015693011</t>
        </is>
      </c>
      <c r="B2243" t="n">
        <v>78</v>
      </c>
      <c r="C2243" t="n">
        <v>14240</v>
      </c>
      <c r="D2243" t="inlineStr">
        <is>
          <t>BLAKE</t>
        </is>
      </c>
      <c r="E2243" t="inlineStr">
        <is>
          <t>NEDRA</t>
        </is>
      </c>
      <c r="F2243">
        <f>CONCATENATE(D2243," ",LEFT(H2243,4),"T=",AU2243,"D=",AV2243,"R=",AW2243,"M=",AX2243,"L=",AY2243,"B=",AZ2243)</f>
        <v/>
      </c>
      <c r="I2243" t="inlineStr">
        <is>
          <t>1961-07-08</t>
        </is>
      </c>
      <c r="J2243" t="inlineStr">
        <is>
          <t>1979-04-27</t>
        </is>
      </c>
      <c r="K2243" t="inlineStr">
        <is>
          <t>ACTIVE</t>
        </is>
      </c>
      <c r="L2243" t="inlineStr">
        <is>
          <t>D</t>
        </is>
      </c>
      <c r="M2243" t="inlineStr">
        <is>
          <t>1579 HOMEWOOD AVE SE</t>
        </is>
      </c>
      <c r="N2243">
        <f>RIGHT(M2243,LEN(M2243)-FIND(" ",M2243))</f>
        <v/>
      </c>
      <c r="P2243" t="inlineStr">
        <is>
          <t>WARREN</t>
        </is>
      </c>
      <c r="Q2243" t="inlineStr">
        <is>
          <t>OH</t>
        </is>
      </c>
      <c r="R2243" t="n">
        <v>44484</v>
      </c>
      <c r="AD2243" t="inlineStr">
        <is>
          <t>TRUMBULL CAREER &amp; TECH CENTER</t>
        </is>
      </c>
      <c r="AE2243" t="inlineStr">
        <is>
          <t>WARREN CITY</t>
        </is>
      </c>
      <c r="AF2243" t="inlineStr">
        <is>
          <t>WARREN CITY SD</t>
        </is>
      </c>
      <c r="AH2243" t="n">
        <v>14</v>
      </c>
      <c r="AI2243" t="n">
        <v>11</v>
      </c>
      <c r="AN2243" t="inlineStr">
        <is>
          <t>WARREN</t>
        </is>
      </c>
      <c r="AO2243" t="inlineStr">
        <is>
          <t>WARREN CITY 4F</t>
        </is>
      </c>
      <c r="AP2243" t="inlineStr">
        <is>
          <t>78-P-ADN</t>
        </is>
      </c>
      <c r="AQ2243" t="n">
        <v>9</v>
      </c>
      <c r="AR2243" t="n">
        <v>64</v>
      </c>
      <c r="AS2243" t="n">
        <v>32</v>
      </c>
      <c r="AU2243">
        <f>COUNTA($BA$2243:$EH$2243)</f>
        <v/>
      </c>
      <c r="AV2243">
        <f>COUNTIF($BA$2243:$EH$2243,"D")</f>
        <v/>
      </c>
      <c r="AW2243">
        <f>COUNTIF($BA$2243:$EH$2243,"R")</f>
        <v/>
      </c>
      <c r="AX2243">
        <f>IF(BN2243="D",1,0)+IF(BO2243="D",1,0)+IF(BT2243="D",1,0)+IF(BU2243="D",1,0)+IF(BW2243="D",1,0)+IF(CC2243="D",1,0)+IF(CD2243="D",1,0)+IF(CE2243="D",1,0)+IF(CF2243="D",1,0)+IF(CL2243="D",1,0)+IF(CM2243="D",1,0)+IF(CQ2243="D",1,0)+IF(CR2243="D",1,0)+IF(CS2243="D",1,0)+IF(CW2243="D",1,0)+IF(CX2243="D",1,0)+IF(DD2243="D",1,0)+IF(DE2243="D",1,0)+IF(DJ2243="D",1,0)+IF(DK2243="D",1,0)+IF(DO2243="D",1,0)+IF(DP2243="D",1,0)+IF(DQ2243="D",1,0)+IF(DW2243="D",1,0)+IF(DZ2243="D",1,0)+IF(EH2243="D",1,0)</f>
        <v/>
      </c>
      <c r="AY2243">
        <f>IF(DJ2243&lt;&gt;"",1,0)+IF(DK2243&lt;&gt;"",1,0)+IF(DM2243&lt;&gt;"",1,0)+IF(DO2243&lt;&gt;"",1,0)+IF(DP2243&lt;&gt;"",1,0)+IF(DQ2243&lt;&gt;"",1,0)+IF(DS2243&lt;&gt;"",1,0)+IF(DT2243&lt;&gt;"",1,0)+IF(DV2243&lt;&gt;"",1,0)+IF(DW2243&lt;&gt;"",1,0)+IF(DX2243&lt;&gt;"",1,0)+IF(DY2243&lt;&gt;"",1,0)+IF(DZ2243&lt;&gt;"",1,0)+IF(EB2243&lt;&gt;"",1,0)+IF(EC2243&lt;&gt;"",1,0)+IF(ED2243&lt;&gt;"",1,0)+IF(EG2243&lt;&gt;"",1,0)+IF(EH2243&lt;&gt;"",1,0)</f>
        <v/>
      </c>
      <c r="AZ2243">
        <f>IF(EH2243&lt;&gt;"",1,0)</f>
        <v/>
      </c>
      <c r="BB2243" t="inlineStr">
        <is>
          <t>WARREN-WARD 4</t>
        </is>
      </c>
      <c r="BC2243" t="inlineStr">
        <is>
          <t>X</t>
        </is>
      </c>
      <c r="BD2243" t="inlineStr">
        <is>
          <t>X</t>
        </is>
      </c>
      <c r="BE2243" t="inlineStr">
        <is>
          <t>X</t>
        </is>
      </c>
      <c r="BF2243" t="inlineStr">
        <is>
          <t>X</t>
        </is>
      </c>
      <c r="BG2243" t="inlineStr">
        <is>
          <t>X</t>
        </is>
      </c>
      <c r="BH2243" t="inlineStr">
        <is>
          <t>X</t>
        </is>
      </c>
      <c r="BI2243" t="inlineStr">
        <is>
          <t>X</t>
        </is>
      </c>
      <c r="BJ2243" t="inlineStr">
        <is>
          <t>X</t>
        </is>
      </c>
      <c r="BK2243" t="inlineStr">
        <is>
          <t>X</t>
        </is>
      </c>
      <c r="BL2243" t="inlineStr">
        <is>
          <t>X</t>
        </is>
      </c>
      <c r="BP2243" t="inlineStr">
        <is>
          <t>X</t>
        </is>
      </c>
      <c r="BR2243" t="inlineStr">
        <is>
          <t>X</t>
        </is>
      </c>
      <c r="BS2243" t="inlineStr">
        <is>
          <t>X</t>
        </is>
      </c>
      <c r="BV2243" t="inlineStr">
        <is>
          <t>X</t>
        </is>
      </c>
      <c r="BY2243" t="inlineStr">
        <is>
          <t>D</t>
        </is>
      </c>
      <c r="CA2243" t="inlineStr">
        <is>
          <t>X</t>
        </is>
      </c>
      <c r="CG2243" t="inlineStr">
        <is>
          <t>X</t>
        </is>
      </c>
      <c r="CH2243" t="inlineStr">
        <is>
          <t>D</t>
        </is>
      </c>
      <c r="CK2243" t="inlineStr">
        <is>
          <t>X</t>
        </is>
      </c>
      <c r="CL2243" t="inlineStr">
        <is>
          <t>D</t>
        </is>
      </c>
      <c r="CN2243" t="inlineStr">
        <is>
          <t>X</t>
        </is>
      </c>
      <c r="CO2243" t="inlineStr">
        <is>
          <t>D</t>
        </is>
      </c>
      <c r="CP2243" t="inlineStr">
        <is>
          <t>X</t>
        </is>
      </c>
      <c r="CT2243" t="inlineStr">
        <is>
          <t>X</t>
        </is>
      </c>
      <c r="CU2243" t="inlineStr">
        <is>
          <t>D</t>
        </is>
      </c>
      <c r="CV2243" t="inlineStr">
        <is>
          <t>X</t>
        </is>
      </c>
      <c r="CW2243" t="inlineStr">
        <is>
          <t>D</t>
        </is>
      </c>
      <c r="CY2243" t="inlineStr">
        <is>
          <t>X</t>
        </is>
      </c>
      <c r="CZ2243" t="inlineStr">
        <is>
          <t>D</t>
        </is>
      </c>
      <c r="DC2243" t="inlineStr">
        <is>
          <t>X</t>
        </is>
      </c>
      <c r="DF2243" t="inlineStr">
        <is>
          <t>X</t>
        </is>
      </c>
      <c r="DG2243" t="inlineStr">
        <is>
          <t>D</t>
        </is>
      </c>
      <c r="DI2243" t="inlineStr">
        <is>
          <t>X</t>
        </is>
      </c>
      <c r="DJ2243" t="inlineStr">
        <is>
          <t>D</t>
        </is>
      </c>
      <c r="DL2243" t="inlineStr">
        <is>
          <t>X</t>
        </is>
      </c>
      <c r="DM2243" t="inlineStr">
        <is>
          <t>D</t>
        </is>
      </c>
      <c r="DN2243" t="inlineStr">
        <is>
          <t>X</t>
        </is>
      </c>
      <c r="DR2243" t="inlineStr">
        <is>
          <t>X</t>
        </is>
      </c>
      <c r="DS2243" t="inlineStr">
        <is>
          <t>D</t>
        </is>
      </c>
      <c r="DT2243" t="inlineStr">
        <is>
          <t>D</t>
        </is>
      </c>
      <c r="DU2243" t="inlineStr">
        <is>
          <t>X</t>
        </is>
      </c>
      <c r="DW2243" t="inlineStr">
        <is>
          <t>D</t>
        </is>
      </c>
      <c r="DX2243" t="inlineStr">
        <is>
          <t>X</t>
        </is>
      </c>
      <c r="EA2243" t="inlineStr">
        <is>
          <t>X</t>
        </is>
      </c>
      <c r="ED2243" t="inlineStr">
        <is>
          <t>D</t>
        </is>
      </c>
      <c r="EF2243" t="inlineStr">
        <is>
          <t>X</t>
        </is>
      </c>
      <c r="EH2243" t="inlineStr">
        <is>
          <t>D</t>
        </is>
      </c>
    </row>
    <row r="2244">
      <c r="A2244" t="inlineStr">
        <is>
          <t>OH0015863982</t>
        </is>
      </c>
      <c r="B2244" t="n">
        <v>78</v>
      </c>
      <c r="C2244" t="n">
        <v>332197</v>
      </c>
      <c r="D2244" t="inlineStr">
        <is>
          <t>OLIVER</t>
        </is>
      </c>
      <c r="E2244" t="inlineStr">
        <is>
          <t>MARVIN</t>
        </is>
      </c>
      <c r="F2244">
        <f>CONCATENATE(D2244," ",LEFT(H2244,4),"T=",AU2244,"D=",AV2244,"R=",AW2244,"M=",AX2244,"L=",AY2244,"B=",AZ2244)</f>
        <v/>
      </c>
      <c r="I2244" t="inlineStr">
        <is>
          <t>1980-05-27</t>
        </is>
      </c>
      <c r="J2244" t="inlineStr">
        <is>
          <t>2012-10-09</t>
        </is>
      </c>
      <c r="K2244" t="inlineStr">
        <is>
          <t>ACTIVE</t>
        </is>
      </c>
      <c r="M2244" t="inlineStr">
        <is>
          <t>2679 DUKE AVE SE</t>
        </is>
      </c>
      <c r="N2244">
        <f>RIGHT(M2244,LEN(M2244)-FIND(" ",M2244))</f>
        <v/>
      </c>
      <c r="P2244" t="inlineStr">
        <is>
          <t>WARREN</t>
        </is>
      </c>
      <c r="Q2244" t="inlineStr">
        <is>
          <t>OH</t>
        </is>
      </c>
      <c r="R2244" t="n">
        <v>44484</v>
      </c>
      <c r="AD2244" t="inlineStr">
        <is>
          <t>TRUMBULL CAREER &amp; TECH CENTER</t>
        </is>
      </c>
      <c r="AE2244" t="inlineStr">
        <is>
          <t>WARREN CITY</t>
        </is>
      </c>
      <c r="AF2244" t="inlineStr">
        <is>
          <t>WARREN CITY SD</t>
        </is>
      </c>
      <c r="AH2244" t="n">
        <v>14</v>
      </c>
      <c r="AI2244" t="n">
        <v>11</v>
      </c>
      <c r="AN2244" t="inlineStr">
        <is>
          <t>WARREN</t>
        </is>
      </c>
      <c r="AO2244" t="inlineStr">
        <is>
          <t>WARREN CITY 4F</t>
        </is>
      </c>
      <c r="AP2244" t="inlineStr">
        <is>
          <t>78-P-ADN</t>
        </is>
      </c>
      <c r="AQ2244" t="n">
        <v>9</v>
      </c>
      <c r="AR2244" t="n">
        <v>64</v>
      </c>
      <c r="AS2244" t="n">
        <v>32</v>
      </c>
      <c r="AU2244">
        <f>COUNTA($BA$2244:$EH$2244)</f>
        <v/>
      </c>
      <c r="AV2244">
        <f>COUNTIF($BA$2244:$EH$2244,"D")</f>
        <v/>
      </c>
      <c r="AW2244">
        <f>COUNTIF($BA$2244:$EH$2244,"R")</f>
        <v/>
      </c>
      <c r="AX2244">
        <f>IF(BN2244="D",1,0)+IF(BO2244="D",1,0)+IF(BT2244="D",1,0)+IF(BU2244="D",1,0)+IF(BW2244="D",1,0)+IF(CC2244="D",1,0)+IF(CD2244="D",1,0)+IF(CE2244="D",1,0)+IF(CF2244="D",1,0)+IF(CL2244="D",1,0)+IF(CM2244="D",1,0)+IF(CQ2244="D",1,0)+IF(CR2244="D",1,0)+IF(CS2244="D",1,0)+IF(CW2244="D",1,0)+IF(CX2244="D",1,0)+IF(DD2244="D",1,0)+IF(DE2244="D",1,0)+IF(DJ2244="D",1,0)+IF(DK2244="D",1,0)+IF(DO2244="D",1,0)+IF(DP2244="D",1,0)+IF(DQ2244="D",1,0)+IF(DW2244="D",1,0)+IF(DZ2244="D",1,0)+IF(EH2244="D",1,0)</f>
        <v/>
      </c>
      <c r="AY2244">
        <f>IF(DJ2244&lt;&gt;"",1,0)+IF(DK2244&lt;&gt;"",1,0)+IF(DM2244&lt;&gt;"",1,0)+IF(DO2244&lt;&gt;"",1,0)+IF(DP2244&lt;&gt;"",1,0)+IF(DQ2244&lt;&gt;"",1,0)+IF(DS2244&lt;&gt;"",1,0)+IF(DT2244&lt;&gt;"",1,0)+IF(DV2244&lt;&gt;"",1,0)+IF(DW2244&lt;&gt;"",1,0)+IF(DX2244&lt;&gt;"",1,0)+IF(DY2244&lt;&gt;"",1,0)+IF(DZ2244&lt;&gt;"",1,0)+IF(EB2244&lt;&gt;"",1,0)+IF(EC2244&lt;&gt;"",1,0)+IF(ED2244&lt;&gt;"",1,0)+IF(EG2244&lt;&gt;"",1,0)+IF(EH2244&lt;&gt;"",1,0)</f>
        <v/>
      </c>
      <c r="AZ2244">
        <f>IF(EH2244&lt;&gt;"",1,0)</f>
        <v/>
      </c>
      <c r="BB2244" t="inlineStr">
        <is>
          <t>WARREN-WARD 4</t>
        </is>
      </c>
      <c r="BL2244" t="inlineStr">
        <is>
          <t>X</t>
        </is>
      </c>
      <c r="CA2244" t="inlineStr">
        <is>
          <t>X</t>
        </is>
      </c>
      <c r="CP2244" t="inlineStr">
        <is>
          <t>X</t>
        </is>
      </c>
      <c r="DC2244" t="inlineStr">
        <is>
          <t>X</t>
        </is>
      </c>
      <c r="DN2244" t="inlineStr">
        <is>
          <t>X</t>
        </is>
      </c>
      <c r="EF2244" t="inlineStr">
        <is>
          <t>X</t>
        </is>
      </c>
    </row>
    <row r="2245">
      <c r="A2245" t="inlineStr">
        <is>
          <t>OH0021888230</t>
        </is>
      </c>
      <c r="B2245" t="n">
        <v>78</v>
      </c>
      <c r="C2245" t="n">
        <v>388928</v>
      </c>
      <c r="D2245" t="inlineStr">
        <is>
          <t>DAVENPORT</t>
        </is>
      </c>
      <c r="E2245" t="inlineStr">
        <is>
          <t>TIM</t>
        </is>
      </c>
      <c r="F2245">
        <f>CONCATENATE(D2245," ",LEFT(H2245,4),"T=",AU2245,"D=",AV2245,"R=",AW2245,"M=",AX2245,"L=",AY2245,"B=",AZ2245)</f>
        <v/>
      </c>
      <c r="G2245" t="inlineStr">
        <is>
          <t>V</t>
        </is>
      </c>
      <c r="I2245" t="inlineStr">
        <is>
          <t>1980-02-02</t>
        </is>
      </c>
      <c r="J2245" t="inlineStr">
        <is>
          <t>2012-07-29</t>
        </is>
      </c>
      <c r="K2245" t="inlineStr">
        <is>
          <t>CONFIRMATION</t>
        </is>
      </c>
      <c r="M2245" t="inlineStr">
        <is>
          <t>998 EAST AVE SE</t>
        </is>
      </c>
      <c r="N2245">
        <f>RIGHT(M2245,LEN(M2245)-FIND(" ",M2245))</f>
        <v/>
      </c>
      <c r="P2245" t="inlineStr">
        <is>
          <t>WARREN</t>
        </is>
      </c>
      <c r="Q2245" t="inlineStr">
        <is>
          <t>OH</t>
        </is>
      </c>
      <c r="R2245" t="n">
        <v>44484</v>
      </c>
      <c r="AD2245" t="inlineStr">
        <is>
          <t>TRUMBULL CAREER &amp; TECH CENTER</t>
        </is>
      </c>
      <c r="AE2245" t="inlineStr">
        <is>
          <t>WARREN CITY</t>
        </is>
      </c>
      <c r="AF2245" t="inlineStr">
        <is>
          <t>WARREN CITY SD</t>
        </is>
      </c>
      <c r="AH2245" t="n">
        <v>14</v>
      </c>
      <c r="AI2245" t="n">
        <v>11</v>
      </c>
      <c r="AN2245" t="inlineStr">
        <is>
          <t>WARREN</t>
        </is>
      </c>
      <c r="AO2245" t="inlineStr">
        <is>
          <t>WARREN CITY 4F</t>
        </is>
      </c>
      <c r="AP2245" t="inlineStr">
        <is>
          <t>78-P-ADN</t>
        </is>
      </c>
      <c r="AQ2245" t="n">
        <v>9</v>
      </c>
      <c r="AR2245" t="n">
        <v>64</v>
      </c>
      <c r="AS2245" t="n">
        <v>32</v>
      </c>
      <c r="AU2245">
        <f>COUNTA($BA$2245:$EH$2245)</f>
        <v/>
      </c>
      <c r="AV2245">
        <f>COUNTIF($BA$2245:$EH$2245,"D")</f>
        <v/>
      </c>
      <c r="AW2245">
        <f>COUNTIF($BA$2245:$EH$2245,"R")</f>
        <v/>
      </c>
      <c r="AX2245">
        <f>IF(BN2245="D",1,0)+IF(BO2245="D",1,0)+IF(BT2245="D",1,0)+IF(BU2245="D",1,0)+IF(BW2245="D",1,0)+IF(CC2245="D",1,0)+IF(CD2245="D",1,0)+IF(CE2245="D",1,0)+IF(CF2245="D",1,0)+IF(CL2245="D",1,0)+IF(CM2245="D",1,0)+IF(CQ2245="D",1,0)+IF(CR2245="D",1,0)+IF(CS2245="D",1,0)+IF(CW2245="D",1,0)+IF(CX2245="D",1,0)+IF(DD2245="D",1,0)+IF(DE2245="D",1,0)+IF(DJ2245="D",1,0)+IF(DK2245="D",1,0)+IF(DO2245="D",1,0)+IF(DP2245="D",1,0)+IF(DQ2245="D",1,0)+IF(DW2245="D",1,0)+IF(DZ2245="D",1,0)+IF(EH2245="D",1,0)</f>
        <v/>
      </c>
      <c r="AY2245">
        <f>IF(DJ2245&lt;&gt;"",1,0)+IF(DK2245&lt;&gt;"",1,0)+IF(DM2245&lt;&gt;"",1,0)+IF(DO2245&lt;&gt;"",1,0)+IF(DP2245&lt;&gt;"",1,0)+IF(DQ2245&lt;&gt;"",1,0)+IF(DS2245&lt;&gt;"",1,0)+IF(DT2245&lt;&gt;"",1,0)+IF(DV2245&lt;&gt;"",1,0)+IF(DW2245&lt;&gt;"",1,0)+IF(DX2245&lt;&gt;"",1,0)+IF(DY2245&lt;&gt;"",1,0)+IF(DZ2245&lt;&gt;"",1,0)+IF(EB2245&lt;&gt;"",1,0)+IF(EC2245&lt;&gt;"",1,0)+IF(ED2245&lt;&gt;"",1,0)+IF(EG2245&lt;&gt;"",1,0)+IF(EH2245&lt;&gt;"",1,0)</f>
        <v/>
      </c>
      <c r="AZ2245">
        <f>IF(EH2245&lt;&gt;"",1,0)</f>
        <v/>
      </c>
      <c r="BB2245" t="inlineStr">
        <is>
          <t>WARREN-WARD 4</t>
        </is>
      </c>
      <c r="CP2245" t="inlineStr">
        <is>
          <t>X</t>
        </is>
      </c>
    </row>
    <row r="2246">
      <c r="A2246" t="inlineStr">
        <is>
          <t>OH0015751781</t>
        </is>
      </c>
      <c r="B2246" t="n">
        <v>78</v>
      </c>
      <c r="C2246" t="n">
        <v>306742</v>
      </c>
      <c r="D2246" t="inlineStr">
        <is>
          <t>ROBINSON</t>
        </is>
      </c>
      <c r="E2246" t="inlineStr">
        <is>
          <t>CATHY</t>
        </is>
      </c>
      <c r="F2246">
        <f>CONCATENATE(D2246," ",LEFT(H2246,4),"T=",AU2246,"D=",AV2246,"R=",AW2246,"M=",AX2246,"L=",AY2246,"B=",AZ2246)</f>
        <v/>
      </c>
      <c r="G2246" t="inlineStr">
        <is>
          <t>S</t>
        </is>
      </c>
      <c r="I2246" t="inlineStr">
        <is>
          <t>1954-07-03</t>
        </is>
      </c>
      <c r="J2246" t="inlineStr">
        <is>
          <t>2020-09-14</t>
        </is>
      </c>
      <c r="K2246" t="inlineStr">
        <is>
          <t>ACTIVE</t>
        </is>
      </c>
      <c r="M2246" t="inlineStr">
        <is>
          <t>1581 WOODBINE AVE SE</t>
        </is>
      </c>
      <c r="N2246">
        <f>RIGHT(M2246,LEN(M2246)-FIND(" ",M2246))</f>
        <v/>
      </c>
      <c r="P2246" t="inlineStr">
        <is>
          <t>WARREN</t>
        </is>
      </c>
      <c r="Q2246" t="inlineStr">
        <is>
          <t>OH</t>
        </is>
      </c>
      <c r="R2246" t="n">
        <v>44484</v>
      </c>
      <c r="AD2246" t="inlineStr">
        <is>
          <t>TRUMBULL CAREER &amp; TECH CENTER</t>
        </is>
      </c>
      <c r="AE2246" t="inlineStr">
        <is>
          <t>WARREN CITY</t>
        </is>
      </c>
      <c r="AF2246" t="inlineStr">
        <is>
          <t>WARREN CITY SD</t>
        </is>
      </c>
      <c r="AH2246" t="n">
        <v>14</v>
      </c>
      <c r="AI2246" t="n">
        <v>11</v>
      </c>
      <c r="AN2246" t="inlineStr">
        <is>
          <t>WARREN</t>
        </is>
      </c>
      <c r="AO2246" t="inlineStr">
        <is>
          <t>WARREN CITY 4F</t>
        </is>
      </c>
      <c r="AP2246" t="inlineStr">
        <is>
          <t>78-P-ADN</t>
        </is>
      </c>
      <c r="AQ2246" t="n">
        <v>9</v>
      </c>
      <c r="AR2246" t="n">
        <v>64</v>
      </c>
      <c r="AS2246" t="n">
        <v>32</v>
      </c>
      <c r="AU2246">
        <f>COUNTA($BA$2246:$EH$2246)</f>
        <v/>
      </c>
      <c r="AV2246">
        <f>COUNTIF($BA$2246:$EH$2246,"D")</f>
        <v/>
      </c>
      <c r="AW2246">
        <f>COUNTIF($BA$2246:$EH$2246,"R")</f>
        <v/>
      </c>
      <c r="AX2246">
        <f>IF(BN2246="D",1,0)+IF(BO2246="D",1,0)+IF(BT2246="D",1,0)+IF(BU2246="D",1,0)+IF(BW2246="D",1,0)+IF(CC2246="D",1,0)+IF(CD2246="D",1,0)+IF(CE2246="D",1,0)+IF(CF2246="D",1,0)+IF(CL2246="D",1,0)+IF(CM2246="D",1,0)+IF(CQ2246="D",1,0)+IF(CR2246="D",1,0)+IF(CS2246="D",1,0)+IF(CW2246="D",1,0)+IF(CX2246="D",1,0)+IF(DD2246="D",1,0)+IF(DE2246="D",1,0)+IF(DJ2246="D",1,0)+IF(DK2246="D",1,0)+IF(DO2246="D",1,0)+IF(DP2246="D",1,0)+IF(DQ2246="D",1,0)+IF(DW2246="D",1,0)+IF(DZ2246="D",1,0)+IF(EH2246="D",1,0)</f>
        <v/>
      </c>
      <c r="AY2246">
        <f>IF(DJ2246&lt;&gt;"",1,0)+IF(DK2246&lt;&gt;"",1,0)+IF(DM2246&lt;&gt;"",1,0)+IF(DO2246&lt;&gt;"",1,0)+IF(DP2246&lt;&gt;"",1,0)+IF(DQ2246&lt;&gt;"",1,0)+IF(DS2246&lt;&gt;"",1,0)+IF(DT2246&lt;&gt;"",1,0)+IF(DV2246&lt;&gt;"",1,0)+IF(DW2246&lt;&gt;"",1,0)+IF(DX2246&lt;&gt;"",1,0)+IF(DY2246&lt;&gt;"",1,0)+IF(DZ2246&lt;&gt;"",1,0)+IF(EB2246&lt;&gt;"",1,0)+IF(EC2246&lt;&gt;"",1,0)+IF(ED2246&lt;&gt;"",1,0)+IF(EG2246&lt;&gt;"",1,0)+IF(EH2246&lt;&gt;"",1,0)</f>
        <v/>
      </c>
      <c r="AZ2246">
        <f>IF(EH2246&lt;&gt;"",1,0)</f>
        <v/>
      </c>
      <c r="BB2246" t="inlineStr">
        <is>
          <t>WARREN-WARD 4</t>
        </is>
      </c>
      <c r="BH2246" t="inlineStr">
        <is>
          <t>X</t>
        </is>
      </c>
      <c r="BK2246" t="inlineStr">
        <is>
          <t>X</t>
        </is>
      </c>
      <c r="BL2246" t="inlineStr">
        <is>
          <t>X</t>
        </is>
      </c>
      <c r="CA2246" t="inlineStr">
        <is>
          <t>X</t>
        </is>
      </c>
      <c r="CP2246" t="inlineStr">
        <is>
          <t>X</t>
        </is>
      </c>
      <c r="DN2246" t="inlineStr">
        <is>
          <t>X</t>
        </is>
      </c>
      <c r="EF2246" t="inlineStr">
        <is>
          <t>X</t>
        </is>
      </c>
    </row>
    <row r="2247">
      <c r="A2247" t="inlineStr">
        <is>
          <t>OH0019196466</t>
        </is>
      </c>
      <c r="B2247" t="n">
        <v>78</v>
      </c>
      <c r="C2247" t="n">
        <v>340084</v>
      </c>
      <c r="D2247" t="inlineStr">
        <is>
          <t>BAUGH</t>
        </is>
      </c>
      <c r="E2247" t="inlineStr">
        <is>
          <t>LATISHA</t>
        </is>
      </c>
      <c r="F2247">
        <f>CONCATENATE(D2247," ",LEFT(H2247,4),"T=",AU2247,"D=",AV2247,"R=",AW2247,"M=",AX2247,"L=",AY2247,"B=",AZ2247)</f>
        <v/>
      </c>
      <c r="G2247" t="inlineStr">
        <is>
          <t>LYNN</t>
        </is>
      </c>
      <c r="I2247" t="inlineStr">
        <is>
          <t>1979-11-11</t>
        </is>
      </c>
      <c r="J2247" t="inlineStr">
        <is>
          <t>2017-02-06</t>
        </is>
      </c>
      <c r="K2247" t="inlineStr">
        <is>
          <t>ACTIVE</t>
        </is>
      </c>
      <c r="M2247" t="inlineStr">
        <is>
          <t>1060 KENILWORTH AVE SE</t>
        </is>
      </c>
      <c r="N2247">
        <f>RIGHT(M2247,LEN(M2247)-FIND(" ",M2247))</f>
        <v/>
      </c>
      <c r="P2247" t="inlineStr">
        <is>
          <t>WARREN</t>
        </is>
      </c>
      <c r="Q2247" t="inlineStr">
        <is>
          <t>OH</t>
        </is>
      </c>
      <c r="R2247" t="n">
        <v>44484</v>
      </c>
      <c r="AD2247" t="inlineStr">
        <is>
          <t>TRUMBULL CAREER &amp; TECH CENTER</t>
        </is>
      </c>
      <c r="AE2247" t="inlineStr">
        <is>
          <t>WARREN CITY</t>
        </is>
      </c>
      <c r="AF2247" t="inlineStr">
        <is>
          <t>WARREN CITY SD</t>
        </is>
      </c>
      <c r="AH2247" t="n">
        <v>14</v>
      </c>
      <c r="AI2247" t="n">
        <v>11</v>
      </c>
      <c r="AN2247" t="inlineStr">
        <is>
          <t>WARREN</t>
        </is>
      </c>
      <c r="AO2247" t="inlineStr">
        <is>
          <t>WARREN CITY 4F</t>
        </is>
      </c>
      <c r="AP2247" t="inlineStr">
        <is>
          <t>78-P-ADN</t>
        </is>
      </c>
      <c r="AQ2247" t="n">
        <v>9</v>
      </c>
      <c r="AR2247" t="n">
        <v>64</v>
      </c>
      <c r="AS2247" t="n">
        <v>32</v>
      </c>
      <c r="AU2247">
        <f>COUNTA($BA$2247:$EH$2247)</f>
        <v/>
      </c>
      <c r="AV2247">
        <f>COUNTIF($BA$2247:$EH$2247,"D")</f>
        <v/>
      </c>
      <c r="AW2247">
        <f>COUNTIF($BA$2247:$EH$2247,"R")</f>
        <v/>
      </c>
      <c r="AX2247">
        <f>IF(BN2247="D",1,0)+IF(BO2247="D",1,0)+IF(BT2247="D",1,0)+IF(BU2247="D",1,0)+IF(BW2247="D",1,0)+IF(CC2247="D",1,0)+IF(CD2247="D",1,0)+IF(CE2247="D",1,0)+IF(CF2247="D",1,0)+IF(CL2247="D",1,0)+IF(CM2247="D",1,0)+IF(CQ2247="D",1,0)+IF(CR2247="D",1,0)+IF(CS2247="D",1,0)+IF(CW2247="D",1,0)+IF(CX2247="D",1,0)+IF(DD2247="D",1,0)+IF(DE2247="D",1,0)+IF(DJ2247="D",1,0)+IF(DK2247="D",1,0)+IF(DO2247="D",1,0)+IF(DP2247="D",1,0)+IF(DQ2247="D",1,0)+IF(DW2247="D",1,0)+IF(DZ2247="D",1,0)+IF(EH2247="D",1,0)</f>
        <v/>
      </c>
      <c r="AY2247">
        <f>IF(DJ2247&lt;&gt;"",1,0)+IF(DK2247&lt;&gt;"",1,0)+IF(DM2247&lt;&gt;"",1,0)+IF(DO2247&lt;&gt;"",1,0)+IF(DP2247&lt;&gt;"",1,0)+IF(DQ2247&lt;&gt;"",1,0)+IF(DS2247&lt;&gt;"",1,0)+IF(DT2247&lt;&gt;"",1,0)+IF(DV2247&lt;&gt;"",1,0)+IF(DW2247&lt;&gt;"",1,0)+IF(DX2247&lt;&gt;"",1,0)+IF(DY2247&lt;&gt;"",1,0)+IF(DZ2247&lt;&gt;"",1,0)+IF(EB2247&lt;&gt;"",1,0)+IF(EC2247&lt;&gt;"",1,0)+IF(ED2247&lt;&gt;"",1,0)+IF(EG2247&lt;&gt;"",1,0)+IF(EH2247&lt;&gt;"",1,0)</f>
        <v/>
      </c>
      <c r="AZ2247">
        <f>IF(EH2247&lt;&gt;"",1,0)</f>
        <v/>
      </c>
      <c r="BB2247" t="inlineStr">
        <is>
          <t>WARREN-WARD 4</t>
        </is>
      </c>
      <c r="CA2247" t="inlineStr">
        <is>
          <t>X</t>
        </is>
      </c>
      <c r="CP2247" t="inlineStr">
        <is>
          <t>X</t>
        </is>
      </c>
      <c r="DC2247" t="inlineStr">
        <is>
          <t>X</t>
        </is>
      </c>
      <c r="DI2247" t="inlineStr">
        <is>
          <t>X</t>
        </is>
      </c>
    </row>
    <row r="2248">
      <c r="A2248" t="inlineStr">
        <is>
          <t>OH0015731846</t>
        </is>
      </c>
      <c r="B2248" t="n">
        <v>78</v>
      </c>
      <c r="C2248" t="n">
        <v>21981</v>
      </c>
      <c r="D2248" t="inlineStr">
        <is>
          <t>CAYSON</t>
        </is>
      </c>
      <c r="E2248" t="inlineStr">
        <is>
          <t>ARLEE</t>
        </is>
      </c>
      <c r="F2248">
        <f>CONCATENATE(D2248," ",LEFT(H2248,4),"T=",AU2248,"D=",AV2248,"R=",AW2248,"M=",AX2248,"L=",AY2248,"B=",AZ2248)</f>
        <v/>
      </c>
      <c r="G2248" t="inlineStr">
        <is>
          <t>P</t>
        </is>
      </c>
      <c r="I2248" t="inlineStr">
        <is>
          <t>1959-02-18</t>
        </is>
      </c>
      <c r="J2248" t="inlineStr">
        <is>
          <t>2020-11-23</t>
        </is>
      </c>
      <c r="K2248" t="inlineStr">
        <is>
          <t>ACTIVE</t>
        </is>
      </c>
      <c r="L2248" t="inlineStr">
        <is>
          <t>D</t>
        </is>
      </c>
      <c r="M2248" t="inlineStr">
        <is>
          <t>2194 DRAPER AVE SE</t>
        </is>
      </c>
      <c r="N2248">
        <f>RIGHT(M2248,LEN(M2248)-FIND(" ",M2248))</f>
        <v/>
      </c>
      <c r="P2248" t="inlineStr">
        <is>
          <t>WARREN</t>
        </is>
      </c>
      <c r="Q2248" t="inlineStr">
        <is>
          <t>OH</t>
        </is>
      </c>
      <c r="R2248" t="n">
        <v>44484</v>
      </c>
      <c r="AD2248" t="inlineStr">
        <is>
          <t>TRUMBULL CAREER &amp; TECH CENTER</t>
        </is>
      </c>
      <c r="AE2248" t="inlineStr">
        <is>
          <t>WARREN CITY</t>
        </is>
      </c>
      <c r="AF2248" t="inlineStr">
        <is>
          <t>WARREN CITY SD</t>
        </is>
      </c>
      <c r="AH2248" t="n">
        <v>14</v>
      </c>
      <c r="AI2248" t="n">
        <v>11</v>
      </c>
      <c r="AN2248" t="inlineStr">
        <is>
          <t>WARREN</t>
        </is>
      </c>
      <c r="AO2248" t="inlineStr">
        <is>
          <t>WARREN CITY 4F</t>
        </is>
      </c>
      <c r="AP2248" t="inlineStr">
        <is>
          <t>78-P-ADN</t>
        </is>
      </c>
      <c r="AQ2248" t="n">
        <v>9</v>
      </c>
      <c r="AR2248" t="n">
        <v>64</v>
      </c>
      <c r="AS2248" t="n">
        <v>32</v>
      </c>
      <c r="AU2248">
        <f>COUNTA($BA$2248:$EH$2248)</f>
        <v/>
      </c>
      <c r="AV2248">
        <f>COUNTIF($BA$2248:$EH$2248,"D")</f>
        <v/>
      </c>
      <c r="AW2248">
        <f>COUNTIF($BA$2248:$EH$2248,"R")</f>
        <v/>
      </c>
      <c r="AX2248">
        <f>IF(BN2248="D",1,0)+IF(BO2248="D",1,0)+IF(BT2248="D",1,0)+IF(BU2248="D",1,0)+IF(BW2248="D",1,0)+IF(CC2248="D",1,0)+IF(CD2248="D",1,0)+IF(CE2248="D",1,0)+IF(CF2248="D",1,0)+IF(CL2248="D",1,0)+IF(CM2248="D",1,0)+IF(CQ2248="D",1,0)+IF(CR2248="D",1,0)+IF(CS2248="D",1,0)+IF(CW2248="D",1,0)+IF(CX2248="D",1,0)+IF(DD2248="D",1,0)+IF(DE2248="D",1,0)+IF(DJ2248="D",1,0)+IF(DK2248="D",1,0)+IF(DO2248="D",1,0)+IF(DP2248="D",1,0)+IF(DQ2248="D",1,0)+IF(DW2248="D",1,0)+IF(DZ2248="D",1,0)+IF(EH2248="D",1,0)</f>
        <v/>
      </c>
      <c r="AY2248">
        <f>IF(DJ2248&lt;&gt;"",1,0)+IF(DK2248&lt;&gt;"",1,0)+IF(DM2248&lt;&gt;"",1,0)+IF(DO2248&lt;&gt;"",1,0)+IF(DP2248&lt;&gt;"",1,0)+IF(DQ2248&lt;&gt;"",1,0)+IF(DS2248&lt;&gt;"",1,0)+IF(DT2248&lt;&gt;"",1,0)+IF(DV2248&lt;&gt;"",1,0)+IF(DW2248&lt;&gt;"",1,0)+IF(DX2248&lt;&gt;"",1,0)+IF(DY2248&lt;&gt;"",1,0)+IF(DZ2248&lt;&gt;"",1,0)+IF(EB2248&lt;&gt;"",1,0)+IF(EC2248&lt;&gt;"",1,0)+IF(ED2248&lt;&gt;"",1,0)+IF(EG2248&lt;&gt;"",1,0)+IF(EH2248&lt;&gt;"",1,0)</f>
        <v/>
      </c>
      <c r="AZ2248">
        <f>IF(EH2248&lt;&gt;"",1,0)</f>
        <v/>
      </c>
      <c r="BB2248" t="inlineStr">
        <is>
          <t>WARREN-WARD 4</t>
        </is>
      </c>
      <c r="BD2248" t="inlineStr">
        <is>
          <t>X</t>
        </is>
      </c>
      <c r="BH2248" t="inlineStr">
        <is>
          <t>X</t>
        </is>
      </c>
      <c r="BJ2248" t="inlineStr">
        <is>
          <t>X</t>
        </is>
      </c>
      <c r="BK2248" t="inlineStr">
        <is>
          <t>X</t>
        </is>
      </c>
      <c r="BL2248" t="inlineStr">
        <is>
          <t>X</t>
        </is>
      </c>
      <c r="BY2248" t="inlineStr">
        <is>
          <t>D</t>
        </is>
      </c>
      <c r="CA2248" t="inlineStr">
        <is>
          <t>X</t>
        </is>
      </c>
      <c r="CK2248" t="inlineStr">
        <is>
          <t>X</t>
        </is>
      </c>
      <c r="CP2248" t="inlineStr">
        <is>
          <t>X</t>
        </is>
      </c>
      <c r="CQ2248" t="inlineStr">
        <is>
          <t>D</t>
        </is>
      </c>
      <c r="CV2248" t="inlineStr">
        <is>
          <t>X</t>
        </is>
      </c>
      <c r="CW2248" t="inlineStr">
        <is>
          <t>D</t>
        </is>
      </c>
      <c r="CY2248" t="inlineStr">
        <is>
          <t>X</t>
        </is>
      </c>
      <c r="CZ2248" t="inlineStr">
        <is>
          <t>D</t>
        </is>
      </c>
      <c r="DC2248" t="inlineStr">
        <is>
          <t>X</t>
        </is>
      </c>
      <c r="DF2248" t="inlineStr">
        <is>
          <t>X</t>
        </is>
      </c>
      <c r="DG2248" t="inlineStr">
        <is>
          <t>D</t>
        </is>
      </c>
      <c r="DI2248" t="inlineStr">
        <is>
          <t>X</t>
        </is>
      </c>
      <c r="DJ2248" t="inlineStr">
        <is>
          <t>D</t>
        </is>
      </c>
      <c r="DN2248" t="inlineStr">
        <is>
          <t>X</t>
        </is>
      </c>
      <c r="DT2248" t="inlineStr">
        <is>
          <t>D</t>
        </is>
      </c>
      <c r="DU2248" t="inlineStr">
        <is>
          <t>X</t>
        </is>
      </c>
      <c r="DW2248" t="inlineStr">
        <is>
          <t>D</t>
        </is>
      </c>
      <c r="DX2248" t="inlineStr">
        <is>
          <t>X</t>
        </is>
      </c>
      <c r="EA2248" t="inlineStr">
        <is>
          <t>X</t>
        </is>
      </c>
      <c r="EF2248" t="inlineStr">
        <is>
          <t>X</t>
        </is>
      </c>
    </row>
    <row r="2249">
      <c r="A2249" t="inlineStr">
        <is>
          <t>OH0024943093</t>
        </is>
      </c>
      <c r="B2249" t="n">
        <v>78</v>
      </c>
      <c r="C2249" t="n">
        <v>436626</v>
      </c>
      <c r="D2249" t="inlineStr">
        <is>
          <t>LAWRENCE</t>
        </is>
      </c>
      <c r="E2249" t="inlineStr">
        <is>
          <t>TALONNA</t>
        </is>
      </c>
      <c r="F2249">
        <f>CONCATENATE(D2249," ",LEFT(H2249,4),"T=",AU2249,"D=",AV2249,"R=",AW2249,"M=",AX2249,"L=",AY2249,"B=",AZ2249)</f>
        <v/>
      </c>
      <c r="G2249" t="inlineStr">
        <is>
          <t>C</t>
        </is>
      </c>
      <c r="I2249" t="inlineStr">
        <is>
          <t>1987-05-04</t>
        </is>
      </c>
      <c r="J2249" t="inlineStr">
        <is>
          <t>2018-10-10</t>
        </is>
      </c>
      <c r="K2249" t="inlineStr">
        <is>
          <t>CONFIRMATION</t>
        </is>
      </c>
      <c r="M2249" t="inlineStr">
        <is>
          <t>1201 NILES RD SE</t>
        </is>
      </c>
      <c r="N2249">
        <f>RIGHT(M2249,LEN(M2249)-FIND(" ",M2249))</f>
        <v/>
      </c>
      <c r="P2249" t="inlineStr">
        <is>
          <t>WARREN</t>
        </is>
      </c>
      <c r="Q2249" t="inlineStr">
        <is>
          <t>OH</t>
        </is>
      </c>
      <c r="R2249" t="n">
        <v>44484</v>
      </c>
      <c r="AD2249" t="inlineStr">
        <is>
          <t>TRUMBULL CAREER &amp; TECH CENTER</t>
        </is>
      </c>
      <c r="AE2249" t="inlineStr">
        <is>
          <t>WARREN CITY</t>
        </is>
      </c>
      <c r="AF2249" t="inlineStr">
        <is>
          <t>WARREN CITY SD</t>
        </is>
      </c>
      <c r="AH2249" t="n">
        <v>14</v>
      </c>
      <c r="AI2249" t="n">
        <v>11</v>
      </c>
      <c r="AN2249" t="inlineStr">
        <is>
          <t>WARREN</t>
        </is>
      </c>
      <c r="AO2249" t="inlineStr">
        <is>
          <t>WARREN CITY 4F</t>
        </is>
      </c>
      <c r="AP2249" t="inlineStr">
        <is>
          <t>78-P-ADN</t>
        </is>
      </c>
      <c r="AQ2249" t="n">
        <v>9</v>
      </c>
      <c r="AR2249" t="n">
        <v>64</v>
      </c>
      <c r="AS2249" t="n">
        <v>32</v>
      </c>
      <c r="AU2249">
        <f>COUNTA($BA$2249:$EH$2249)</f>
        <v/>
      </c>
      <c r="AV2249">
        <f>COUNTIF($BA$2249:$EH$2249,"D")</f>
        <v/>
      </c>
      <c r="AW2249">
        <f>COUNTIF($BA$2249:$EH$2249,"R")</f>
        <v/>
      </c>
      <c r="AX2249">
        <f>IF(BN2249="D",1,0)+IF(BO2249="D",1,0)+IF(BT2249="D",1,0)+IF(BU2249="D",1,0)+IF(BW2249="D",1,0)+IF(CC2249="D",1,0)+IF(CD2249="D",1,0)+IF(CE2249="D",1,0)+IF(CF2249="D",1,0)+IF(CL2249="D",1,0)+IF(CM2249="D",1,0)+IF(CQ2249="D",1,0)+IF(CR2249="D",1,0)+IF(CS2249="D",1,0)+IF(CW2249="D",1,0)+IF(CX2249="D",1,0)+IF(DD2249="D",1,0)+IF(DE2249="D",1,0)+IF(DJ2249="D",1,0)+IF(DK2249="D",1,0)+IF(DO2249="D",1,0)+IF(DP2249="D",1,0)+IF(DQ2249="D",1,0)+IF(DW2249="D",1,0)+IF(DZ2249="D",1,0)+IF(EH2249="D",1,0)</f>
        <v/>
      </c>
      <c r="AY2249">
        <f>IF(DJ2249&lt;&gt;"",1,0)+IF(DK2249&lt;&gt;"",1,0)+IF(DM2249&lt;&gt;"",1,0)+IF(DO2249&lt;&gt;"",1,0)+IF(DP2249&lt;&gt;"",1,0)+IF(DQ2249&lt;&gt;"",1,0)+IF(DS2249&lt;&gt;"",1,0)+IF(DT2249&lt;&gt;"",1,0)+IF(DV2249&lt;&gt;"",1,0)+IF(DW2249&lt;&gt;"",1,0)+IF(DX2249&lt;&gt;"",1,0)+IF(DY2249&lt;&gt;"",1,0)+IF(DZ2249&lt;&gt;"",1,0)+IF(EB2249&lt;&gt;"",1,0)+IF(EC2249&lt;&gt;"",1,0)+IF(ED2249&lt;&gt;"",1,0)+IF(EG2249&lt;&gt;"",1,0)+IF(EH2249&lt;&gt;"",1,0)</f>
        <v/>
      </c>
      <c r="AZ2249">
        <f>IF(EH2249&lt;&gt;"",1,0)</f>
        <v/>
      </c>
      <c r="BB2249" t="inlineStr">
        <is>
          <t>WARREN-WARD 4</t>
        </is>
      </c>
      <c r="CA2249" t="inlineStr">
        <is>
          <t>X</t>
        </is>
      </c>
      <c r="DN2249" t="inlineStr">
        <is>
          <t>X</t>
        </is>
      </c>
    </row>
    <row r="2250">
      <c r="A2250" t="inlineStr">
        <is>
          <t>OH0023049931</t>
        </is>
      </c>
      <c r="B2250" t="n">
        <v>78</v>
      </c>
      <c r="C2250" t="n">
        <v>405949</v>
      </c>
      <c r="D2250" t="inlineStr">
        <is>
          <t>SMITH</t>
        </is>
      </c>
      <c r="E2250" t="inlineStr">
        <is>
          <t>BRIDGETTE</t>
        </is>
      </c>
      <c r="F2250">
        <f>CONCATENATE(D2250," ",LEFT(H2250,4),"T=",AU2250,"D=",AV2250,"R=",AW2250,"M=",AX2250,"L=",AY2250,"B=",AZ2250)</f>
        <v/>
      </c>
      <c r="G2250" t="inlineStr">
        <is>
          <t>CASSANDRA</t>
        </is>
      </c>
      <c r="I2250" t="inlineStr">
        <is>
          <t>1962-07-08</t>
        </is>
      </c>
      <c r="J2250" t="inlineStr">
        <is>
          <t>2016-04-08</t>
        </is>
      </c>
      <c r="K2250" t="inlineStr">
        <is>
          <t>ACTIVE</t>
        </is>
      </c>
      <c r="L2250" t="inlineStr">
        <is>
          <t>D</t>
        </is>
      </c>
      <c r="M2250" t="inlineStr">
        <is>
          <t>2540 DUKE AVE SE</t>
        </is>
      </c>
      <c r="N2250">
        <f>RIGHT(M2250,LEN(M2250)-FIND(" ",M2250))</f>
        <v/>
      </c>
      <c r="P2250" t="inlineStr">
        <is>
          <t>WARREN</t>
        </is>
      </c>
      <c r="Q2250" t="inlineStr">
        <is>
          <t>OH</t>
        </is>
      </c>
      <c r="R2250" t="n">
        <v>44484</v>
      </c>
      <c r="AD2250" t="inlineStr">
        <is>
          <t>TRUMBULL CAREER &amp; TECH CENTER</t>
        </is>
      </c>
      <c r="AE2250" t="inlineStr">
        <is>
          <t>WARREN CITY</t>
        </is>
      </c>
      <c r="AF2250" t="inlineStr">
        <is>
          <t>WARREN CITY SD</t>
        </is>
      </c>
      <c r="AH2250" t="n">
        <v>14</v>
      </c>
      <c r="AI2250" t="n">
        <v>11</v>
      </c>
      <c r="AN2250" t="inlineStr">
        <is>
          <t>WARREN</t>
        </is>
      </c>
      <c r="AO2250" t="inlineStr">
        <is>
          <t>WARREN CITY 4F</t>
        </is>
      </c>
      <c r="AP2250" t="inlineStr">
        <is>
          <t>78-P-ADN</t>
        </is>
      </c>
      <c r="AQ2250" t="n">
        <v>9</v>
      </c>
      <c r="AR2250" t="n">
        <v>64</v>
      </c>
      <c r="AS2250" t="n">
        <v>32</v>
      </c>
      <c r="AU2250">
        <f>COUNTA($BA$2250:$EH$2250)</f>
        <v/>
      </c>
      <c r="AV2250">
        <f>COUNTIF($BA$2250:$EH$2250,"D")</f>
        <v/>
      </c>
      <c r="AW2250">
        <f>COUNTIF($BA$2250:$EH$2250,"R")</f>
        <v/>
      </c>
      <c r="AX2250">
        <f>IF(BN2250="D",1,0)+IF(BO2250="D",1,0)+IF(BT2250="D",1,0)+IF(BU2250="D",1,0)+IF(BW2250="D",1,0)+IF(CC2250="D",1,0)+IF(CD2250="D",1,0)+IF(CE2250="D",1,0)+IF(CF2250="D",1,0)+IF(CL2250="D",1,0)+IF(CM2250="D",1,0)+IF(CQ2250="D",1,0)+IF(CR2250="D",1,0)+IF(CS2250="D",1,0)+IF(CW2250="D",1,0)+IF(CX2250="D",1,0)+IF(DD2250="D",1,0)+IF(DE2250="D",1,0)+IF(DJ2250="D",1,0)+IF(DK2250="D",1,0)+IF(DO2250="D",1,0)+IF(DP2250="D",1,0)+IF(DQ2250="D",1,0)+IF(DW2250="D",1,0)+IF(DZ2250="D",1,0)+IF(EH2250="D",1,0)</f>
        <v/>
      </c>
      <c r="AY2250">
        <f>IF(DJ2250&lt;&gt;"",1,0)+IF(DK2250&lt;&gt;"",1,0)+IF(DM2250&lt;&gt;"",1,0)+IF(DO2250&lt;&gt;"",1,0)+IF(DP2250&lt;&gt;"",1,0)+IF(DQ2250&lt;&gt;"",1,0)+IF(DS2250&lt;&gt;"",1,0)+IF(DT2250&lt;&gt;"",1,0)+IF(DV2250&lt;&gt;"",1,0)+IF(DW2250&lt;&gt;"",1,0)+IF(DX2250&lt;&gt;"",1,0)+IF(DY2250&lt;&gt;"",1,0)+IF(DZ2250&lt;&gt;"",1,0)+IF(EB2250&lt;&gt;"",1,0)+IF(EC2250&lt;&gt;"",1,0)+IF(ED2250&lt;&gt;"",1,0)+IF(EG2250&lt;&gt;"",1,0)+IF(EH2250&lt;&gt;"",1,0)</f>
        <v/>
      </c>
      <c r="AZ2250">
        <f>IF(EH2250&lt;&gt;"",1,0)</f>
        <v/>
      </c>
      <c r="BB2250" t="inlineStr">
        <is>
          <t>WARREN-WARD 4</t>
        </is>
      </c>
      <c r="BC2250" t="inlineStr">
        <is>
          <t>D</t>
        </is>
      </c>
      <c r="BD2250" t="inlineStr">
        <is>
          <t>X</t>
        </is>
      </c>
      <c r="BE2250" t="inlineStr">
        <is>
          <t>X</t>
        </is>
      </c>
      <c r="BF2250" t="inlineStr">
        <is>
          <t>X</t>
        </is>
      </c>
      <c r="BG2250" t="inlineStr">
        <is>
          <t>D</t>
        </is>
      </c>
      <c r="BH2250" t="inlineStr">
        <is>
          <t>X</t>
        </is>
      </c>
      <c r="BJ2250" t="inlineStr">
        <is>
          <t>X</t>
        </is>
      </c>
      <c r="BK2250" t="inlineStr">
        <is>
          <t>D</t>
        </is>
      </c>
      <c r="BL2250" t="inlineStr">
        <is>
          <t>X</t>
        </is>
      </c>
      <c r="BN2250" t="inlineStr">
        <is>
          <t>D</t>
        </is>
      </c>
      <c r="BP2250" t="inlineStr">
        <is>
          <t>X</t>
        </is>
      </c>
      <c r="BR2250" t="inlineStr">
        <is>
          <t>D</t>
        </is>
      </c>
      <c r="BS2250" t="inlineStr">
        <is>
          <t>X</t>
        </is>
      </c>
      <c r="BV2250" t="inlineStr">
        <is>
          <t>X</t>
        </is>
      </c>
      <c r="BY2250" t="inlineStr">
        <is>
          <t>D</t>
        </is>
      </c>
      <c r="CA2250" t="inlineStr">
        <is>
          <t>X</t>
        </is>
      </c>
      <c r="CG2250" t="inlineStr">
        <is>
          <t>X</t>
        </is>
      </c>
      <c r="CH2250" t="inlineStr">
        <is>
          <t>D</t>
        </is>
      </c>
      <c r="CK2250" t="inlineStr">
        <is>
          <t>X</t>
        </is>
      </c>
      <c r="CN2250" t="inlineStr">
        <is>
          <t>X</t>
        </is>
      </c>
      <c r="CO2250" t="inlineStr">
        <is>
          <t>D</t>
        </is>
      </c>
      <c r="CP2250" t="inlineStr">
        <is>
          <t>X</t>
        </is>
      </c>
      <c r="CQ2250" t="inlineStr">
        <is>
          <t>X</t>
        </is>
      </c>
      <c r="CT2250" t="inlineStr">
        <is>
          <t>X</t>
        </is>
      </c>
      <c r="CU2250" t="inlineStr">
        <is>
          <t>D</t>
        </is>
      </c>
      <c r="CV2250" t="inlineStr">
        <is>
          <t>X</t>
        </is>
      </c>
      <c r="CW2250" t="inlineStr">
        <is>
          <t>D</t>
        </is>
      </c>
      <c r="CY2250" t="inlineStr">
        <is>
          <t>X</t>
        </is>
      </c>
      <c r="CZ2250" t="inlineStr">
        <is>
          <t>D</t>
        </is>
      </c>
      <c r="DC2250" t="inlineStr">
        <is>
          <t>X</t>
        </is>
      </c>
      <c r="DD2250" t="inlineStr">
        <is>
          <t>D</t>
        </is>
      </c>
      <c r="DF2250" t="inlineStr">
        <is>
          <t>X</t>
        </is>
      </c>
      <c r="DG2250" t="inlineStr">
        <is>
          <t>D</t>
        </is>
      </c>
      <c r="DI2250" t="inlineStr">
        <is>
          <t>X</t>
        </is>
      </c>
      <c r="DJ2250" t="inlineStr">
        <is>
          <t>D</t>
        </is>
      </c>
      <c r="DL2250" t="inlineStr">
        <is>
          <t>X</t>
        </is>
      </c>
      <c r="DM2250" t="inlineStr">
        <is>
          <t>D</t>
        </is>
      </c>
      <c r="DN2250" t="inlineStr">
        <is>
          <t>X</t>
        </is>
      </c>
      <c r="DR2250" t="inlineStr">
        <is>
          <t>X</t>
        </is>
      </c>
      <c r="DS2250" t="inlineStr">
        <is>
          <t>D</t>
        </is>
      </c>
      <c r="DT2250" t="inlineStr">
        <is>
          <t>D</t>
        </is>
      </c>
      <c r="DU2250" t="inlineStr">
        <is>
          <t>X</t>
        </is>
      </c>
      <c r="DW2250" t="inlineStr">
        <is>
          <t>D</t>
        </is>
      </c>
      <c r="DX2250" t="inlineStr">
        <is>
          <t>X</t>
        </is>
      </c>
      <c r="EA2250" t="inlineStr">
        <is>
          <t>X</t>
        </is>
      </c>
      <c r="ED2250" t="inlineStr">
        <is>
          <t>D</t>
        </is>
      </c>
      <c r="EF2250" t="inlineStr">
        <is>
          <t>X</t>
        </is>
      </c>
      <c r="EH2250" t="inlineStr">
        <is>
          <t>D</t>
        </is>
      </c>
    </row>
    <row r="2251">
      <c r="A2251" t="inlineStr">
        <is>
          <t>OH0027500182</t>
        </is>
      </c>
      <c r="B2251" t="n">
        <v>78</v>
      </c>
      <c r="C2251" t="n">
        <v>487205</v>
      </c>
      <c r="D2251" t="inlineStr">
        <is>
          <t>WILLIAMSON</t>
        </is>
      </c>
      <c r="E2251" t="inlineStr">
        <is>
          <t>TAJON</t>
        </is>
      </c>
      <c r="F2251">
        <f>CONCATENATE(D2251," ",LEFT(H2251,4),"T=",AU2251,"D=",AV2251,"R=",AW2251,"M=",AX2251,"L=",AY2251,"B=",AZ2251)</f>
        <v/>
      </c>
      <c r="G2251" t="inlineStr">
        <is>
          <t>A</t>
        </is>
      </c>
      <c r="I2251" t="inlineStr">
        <is>
          <t>2005-11-21</t>
        </is>
      </c>
      <c r="J2251" t="inlineStr">
        <is>
          <t>2024-07-30</t>
        </is>
      </c>
      <c r="K2251" t="inlineStr">
        <is>
          <t>ACTIVE</t>
        </is>
      </c>
      <c r="M2251" t="inlineStr">
        <is>
          <t>981 HOMEWOOD AVE SE</t>
        </is>
      </c>
      <c r="N2251">
        <f>RIGHT(M2251,LEN(M2251)-FIND(" ",M2251))</f>
        <v/>
      </c>
      <c r="P2251" t="inlineStr">
        <is>
          <t>WARREN</t>
        </is>
      </c>
      <c r="Q2251" t="inlineStr">
        <is>
          <t>OH</t>
        </is>
      </c>
      <c r="R2251" t="n">
        <v>44484</v>
      </c>
      <c r="AD2251" t="inlineStr">
        <is>
          <t>TRUMBULL CAREER &amp; TECH CENTER</t>
        </is>
      </c>
      <c r="AE2251" t="inlineStr">
        <is>
          <t>WARREN CITY</t>
        </is>
      </c>
      <c r="AF2251" t="inlineStr">
        <is>
          <t>WARREN CITY SD</t>
        </is>
      </c>
      <c r="AH2251" t="n">
        <v>14</v>
      </c>
      <c r="AI2251" t="n">
        <v>11</v>
      </c>
      <c r="AN2251" t="inlineStr">
        <is>
          <t>WARREN</t>
        </is>
      </c>
      <c r="AO2251" t="inlineStr">
        <is>
          <t>WARREN CITY 4F</t>
        </is>
      </c>
      <c r="AP2251" t="inlineStr">
        <is>
          <t>78-P-ADN</t>
        </is>
      </c>
      <c r="AQ2251" t="n">
        <v>9</v>
      </c>
      <c r="AR2251" t="n">
        <v>64</v>
      </c>
      <c r="AS2251" t="n">
        <v>32</v>
      </c>
      <c r="AU2251">
        <f>COUNTA($BA$2251:$EH$2251)</f>
        <v/>
      </c>
      <c r="AV2251">
        <f>COUNTIF($BA$2251:$EH$2251,"D")</f>
        <v/>
      </c>
      <c r="AW2251">
        <f>COUNTIF($BA$2251:$EH$2251,"R")</f>
        <v/>
      </c>
      <c r="AX2251">
        <f>IF(BN2251="D",1,0)+IF(BO2251="D",1,0)+IF(BT2251="D",1,0)+IF(BU2251="D",1,0)+IF(BW2251="D",1,0)+IF(CC2251="D",1,0)+IF(CD2251="D",1,0)+IF(CE2251="D",1,0)+IF(CF2251="D",1,0)+IF(CL2251="D",1,0)+IF(CM2251="D",1,0)+IF(CQ2251="D",1,0)+IF(CR2251="D",1,0)+IF(CS2251="D",1,0)+IF(CW2251="D",1,0)+IF(CX2251="D",1,0)+IF(DD2251="D",1,0)+IF(DE2251="D",1,0)+IF(DJ2251="D",1,0)+IF(DK2251="D",1,0)+IF(DO2251="D",1,0)+IF(DP2251="D",1,0)+IF(DQ2251="D",1,0)+IF(DW2251="D",1,0)+IF(DZ2251="D",1,0)+IF(EH2251="D",1,0)</f>
        <v/>
      </c>
      <c r="AY2251">
        <f>IF(DJ2251&lt;&gt;"",1,0)+IF(DK2251&lt;&gt;"",1,0)+IF(DM2251&lt;&gt;"",1,0)+IF(DO2251&lt;&gt;"",1,0)+IF(DP2251&lt;&gt;"",1,0)+IF(DQ2251&lt;&gt;"",1,0)+IF(DS2251&lt;&gt;"",1,0)+IF(DT2251&lt;&gt;"",1,0)+IF(DV2251&lt;&gt;"",1,0)+IF(DW2251&lt;&gt;"",1,0)+IF(DX2251&lt;&gt;"",1,0)+IF(DY2251&lt;&gt;"",1,0)+IF(DZ2251&lt;&gt;"",1,0)+IF(EB2251&lt;&gt;"",1,0)+IF(EC2251&lt;&gt;"",1,0)+IF(ED2251&lt;&gt;"",1,0)+IF(EG2251&lt;&gt;"",1,0)+IF(EH2251&lt;&gt;"",1,0)</f>
        <v/>
      </c>
      <c r="AZ2251">
        <f>IF(EH2251&lt;&gt;"",1,0)</f>
        <v/>
      </c>
      <c r="BB2251" t="inlineStr">
        <is>
          <t>WARREN-WARD 4</t>
        </is>
      </c>
    </row>
    <row r="2252">
      <c r="A2252" t="inlineStr">
        <is>
          <t>OH0027500160</t>
        </is>
      </c>
      <c r="B2252" t="n">
        <v>78</v>
      </c>
      <c r="C2252" t="n">
        <v>487204</v>
      </c>
      <c r="D2252" t="inlineStr">
        <is>
          <t>KARR</t>
        </is>
      </c>
      <c r="E2252" t="inlineStr">
        <is>
          <t>RYAN</t>
        </is>
      </c>
      <c r="F2252">
        <f>CONCATENATE(D2252," ",LEFT(H2252,4),"T=",AU2252,"D=",AV2252,"R=",AW2252,"M=",AX2252,"L=",AY2252,"B=",AZ2252)</f>
        <v/>
      </c>
      <c r="G2252" t="inlineStr">
        <is>
          <t>A</t>
        </is>
      </c>
      <c r="I2252" t="inlineStr">
        <is>
          <t>1983-08-21</t>
        </is>
      </c>
      <c r="J2252" t="inlineStr">
        <is>
          <t>2024-07-30</t>
        </is>
      </c>
      <c r="K2252" t="inlineStr">
        <is>
          <t>ACTIVE</t>
        </is>
      </c>
      <c r="M2252" t="inlineStr">
        <is>
          <t>1053 KENILWORTH AVE SE</t>
        </is>
      </c>
      <c r="N2252">
        <f>RIGHT(M2252,LEN(M2252)-FIND(" ",M2252))</f>
        <v/>
      </c>
      <c r="P2252" t="inlineStr">
        <is>
          <t>WARREN</t>
        </is>
      </c>
      <c r="Q2252" t="inlineStr">
        <is>
          <t>OH</t>
        </is>
      </c>
      <c r="R2252" t="n">
        <v>44484</v>
      </c>
      <c r="AD2252" t="inlineStr">
        <is>
          <t>TRUMBULL CAREER &amp; TECH CENTER</t>
        </is>
      </c>
      <c r="AE2252" t="inlineStr">
        <is>
          <t>WARREN CITY</t>
        </is>
      </c>
      <c r="AF2252" t="inlineStr">
        <is>
          <t>WARREN CITY SD</t>
        </is>
      </c>
      <c r="AH2252" t="n">
        <v>14</v>
      </c>
      <c r="AI2252" t="n">
        <v>11</v>
      </c>
      <c r="AN2252" t="inlineStr">
        <is>
          <t>WARREN</t>
        </is>
      </c>
      <c r="AO2252" t="inlineStr">
        <is>
          <t>WARREN CITY 4F</t>
        </is>
      </c>
      <c r="AP2252" t="inlineStr">
        <is>
          <t>78-P-ADN</t>
        </is>
      </c>
      <c r="AQ2252" t="n">
        <v>9</v>
      </c>
      <c r="AR2252" t="n">
        <v>64</v>
      </c>
      <c r="AS2252" t="n">
        <v>32</v>
      </c>
      <c r="AU2252">
        <f>COUNTA($BA$2252:$EH$2252)</f>
        <v/>
      </c>
      <c r="AV2252">
        <f>COUNTIF($BA$2252:$EH$2252,"D")</f>
        <v/>
      </c>
      <c r="AW2252">
        <f>COUNTIF($BA$2252:$EH$2252,"R")</f>
        <v/>
      </c>
      <c r="AX2252">
        <f>IF(BN2252="D",1,0)+IF(BO2252="D",1,0)+IF(BT2252="D",1,0)+IF(BU2252="D",1,0)+IF(BW2252="D",1,0)+IF(CC2252="D",1,0)+IF(CD2252="D",1,0)+IF(CE2252="D",1,0)+IF(CF2252="D",1,0)+IF(CL2252="D",1,0)+IF(CM2252="D",1,0)+IF(CQ2252="D",1,0)+IF(CR2252="D",1,0)+IF(CS2252="D",1,0)+IF(CW2252="D",1,0)+IF(CX2252="D",1,0)+IF(DD2252="D",1,0)+IF(DE2252="D",1,0)+IF(DJ2252="D",1,0)+IF(DK2252="D",1,0)+IF(DO2252="D",1,0)+IF(DP2252="D",1,0)+IF(DQ2252="D",1,0)+IF(DW2252="D",1,0)+IF(DZ2252="D",1,0)+IF(EH2252="D",1,0)</f>
        <v/>
      </c>
      <c r="AY2252">
        <f>IF(DJ2252&lt;&gt;"",1,0)+IF(DK2252&lt;&gt;"",1,0)+IF(DM2252&lt;&gt;"",1,0)+IF(DO2252&lt;&gt;"",1,0)+IF(DP2252&lt;&gt;"",1,0)+IF(DQ2252&lt;&gt;"",1,0)+IF(DS2252&lt;&gt;"",1,0)+IF(DT2252&lt;&gt;"",1,0)+IF(DV2252&lt;&gt;"",1,0)+IF(DW2252&lt;&gt;"",1,0)+IF(DX2252&lt;&gt;"",1,0)+IF(DY2252&lt;&gt;"",1,0)+IF(DZ2252&lt;&gt;"",1,0)+IF(EB2252&lt;&gt;"",1,0)+IF(EC2252&lt;&gt;"",1,0)+IF(ED2252&lt;&gt;"",1,0)+IF(EG2252&lt;&gt;"",1,0)+IF(EH2252&lt;&gt;"",1,0)</f>
        <v/>
      </c>
      <c r="AZ2252">
        <f>IF(EH2252&lt;&gt;"",1,0)</f>
        <v/>
      </c>
      <c r="BB2252" t="inlineStr">
        <is>
          <t>WARREN-WARD 4</t>
        </is>
      </c>
    </row>
    <row r="2253">
      <c r="A2253" t="inlineStr">
        <is>
          <t>OH0015759593</t>
        </is>
      </c>
      <c r="B2253" t="n">
        <v>78</v>
      </c>
      <c r="C2253" t="n">
        <v>306390</v>
      </c>
      <c r="D2253" t="inlineStr">
        <is>
          <t>THOMPSON</t>
        </is>
      </c>
      <c r="E2253" t="inlineStr">
        <is>
          <t>LINDA</t>
        </is>
      </c>
      <c r="F2253">
        <f>CONCATENATE(D2253," ",LEFT(H2253,4),"T=",AU2253,"D=",AV2253,"R=",AW2253,"M=",AX2253,"L=",AY2253,"B=",AZ2253)</f>
        <v/>
      </c>
      <c r="G2253" t="inlineStr">
        <is>
          <t>M</t>
        </is>
      </c>
      <c r="I2253" t="inlineStr">
        <is>
          <t>1951-01-28</t>
        </is>
      </c>
      <c r="J2253" t="inlineStr">
        <is>
          <t>2023-11-28</t>
        </is>
      </c>
      <c r="K2253" t="inlineStr">
        <is>
          <t>ACTIVE</t>
        </is>
      </c>
      <c r="M2253" t="inlineStr">
        <is>
          <t>1536 KENILWORTH AVE SE</t>
        </is>
      </c>
      <c r="N2253">
        <f>RIGHT(M2253,LEN(M2253)-FIND(" ",M2253))</f>
        <v/>
      </c>
      <c r="P2253" t="inlineStr">
        <is>
          <t>WARREN</t>
        </is>
      </c>
      <c r="Q2253" t="inlineStr">
        <is>
          <t>OH</t>
        </is>
      </c>
      <c r="R2253" t="n">
        <v>44484</v>
      </c>
      <c r="AD2253" t="inlineStr">
        <is>
          <t>TRUMBULL CAREER &amp; TECH CENTER</t>
        </is>
      </c>
      <c r="AE2253" t="inlineStr">
        <is>
          <t>WARREN CITY</t>
        </is>
      </c>
      <c r="AF2253" t="inlineStr">
        <is>
          <t>WARREN CITY SD</t>
        </is>
      </c>
      <c r="AH2253" t="n">
        <v>14</v>
      </c>
      <c r="AI2253" t="n">
        <v>11</v>
      </c>
      <c r="AN2253" t="inlineStr">
        <is>
          <t>WARREN</t>
        </is>
      </c>
      <c r="AO2253" t="inlineStr">
        <is>
          <t>WARREN CITY 4F</t>
        </is>
      </c>
      <c r="AP2253" t="inlineStr">
        <is>
          <t>78-P-ADN</t>
        </is>
      </c>
      <c r="AQ2253" t="n">
        <v>9</v>
      </c>
      <c r="AR2253" t="n">
        <v>64</v>
      </c>
      <c r="AS2253" t="n">
        <v>32</v>
      </c>
      <c r="AU2253">
        <f>COUNTA($BA$2253:$EH$2253)</f>
        <v/>
      </c>
      <c r="AV2253">
        <f>COUNTIF($BA$2253:$EH$2253,"D")</f>
        <v/>
      </c>
      <c r="AW2253">
        <f>COUNTIF($BA$2253:$EH$2253,"R")</f>
        <v/>
      </c>
      <c r="AX2253">
        <f>IF(BN2253="D",1,0)+IF(BO2253="D",1,0)+IF(BT2253="D",1,0)+IF(BU2253="D",1,0)+IF(BW2253="D",1,0)+IF(CC2253="D",1,0)+IF(CD2253="D",1,0)+IF(CE2253="D",1,0)+IF(CF2253="D",1,0)+IF(CL2253="D",1,0)+IF(CM2253="D",1,0)+IF(CQ2253="D",1,0)+IF(CR2253="D",1,0)+IF(CS2253="D",1,0)+IF(CW2253="D",1,0)+IF(CX2253="D",1,0)+IF(DD2253="D",1,0)+IF(DE2253="D",1,0)+IF(DJ2253="D",1,0)+IF(DK2253="D",1,0)+IF(DO2253="D",1,0)+IF(DP2253="D",1,0)+IF(DQ2253="D",1,0)+IF(DW2253="D",1,0)+IF(DZ2253="D",1,0)+IF(EH2253="D",1,0)</f>
        <v/>
      </c>
      <c r="AY2253">
        <f>IF(DJ2253&lt;&gt;"",1,0)+IF(DK2253&lt;&gt;"",1,0)+IF(DM2253&lt;&gt;"",1,0)+IF(DO2253&lt;&gt;"",1,0)+IF(DP2253&lt;&gt;"",1,0)+IF(DQ2253&lt;&gt;"",1,0)+IF(DS2253&lt;&gt;"",1,0)+IF(DT2253&lt;&gt;"",1,0)+IF(DV2253&lt;&gt;"",1,0)+IF(DW2253&lt;&gt;"",1,0)+IF(DX2253&lt;&gt;"",1,0)+IF(DY2253&lt;&gt;"",1,0)+IF(DZ2253&lt;&gt;"",1,0)+IF(EB2253&lt;&gt;"",1,0)+IF(EC2253&lt;&gt;"",1,0)+IF(ED2253&lt;&gt;"",1,0)+IF(EG2253&lt;&gt;"",1,0)+IF(EH2253&lt;&gt;"",1,0)</f>
        <v/>
      </c>
      <c r="AZ2253">
        <f>IF(EH2253&lt;&gt;"",1,0)</f>
        <v/>
      </c>
      <c r="BB2253" t="inlineStr">
        <is>
          <t>WARREN-WARD 4</t>
        </is>
      </c>
      <c r="BH2253" t="inlineStr">
        <is>
          <t>X</t>
        </is>
      </c>
      <c r="BY2253" t="inlineStr">
        <is>
          <t>D</t>
        </is>
      </c>
      <c r="CA2253" t="inlineStr">
        <is>
          <t>X</t>
        </is>
      </c>
      <c r="CN2253" t="inlineStr">
        <is>
          <t>X</t>
        </is>
      </c>
      <c r="CY2253" t="inlineStr">
        <is>
          <t>X</t>
        </is>
      </c>
      <c r="DC2253" t="inlineStr">
        <is>
          <t>X</t>
        </is>
      </c>
      <c r="DI2253" t="inlineStr">
        <is>
          <t>X</t>
        </is>
      </c>
      <c r="DN2253" t="inlineStr">
        <is>
          <t>X</t>
        </is>
      </c>
      <c r="DU2253" t="inlineStr">
        <is>
          <t>X</t>
        </is>
      </c>
      <c r="EA2253" t="inlineStr">
        <is>
          <t>X</t>
        </is>
      </c>
      <c r="EF2253" t="inlineStr">
        <is>
          <t>X</t>
        </is>
      </c>
    </row>
    <row r="2254">
      <c r="A2254" t="inlineStr">
        <is>
          <t>OH0015737790</t>
        </is>
      </c>
      <c r="B2254" t="n">
        <v>78</v>
      </c>
      <c r="C2254" t="n">
        <v>285736</v>
      </c>
      <c r="D2254" t="inlineStr">
        <is>
          <t>STAGGERS</t>
        </is>
      </c>
      <c r="E2254" t="inlineStr">
        <is>
          <t>REGENIA</t>
        </is>
      </c>
      <c r="F2254">
        <f>CONCATENATE(D2254," ",LEFT(H2254,4),"T=",AU2254,"D=",AV2254,"R=",AW2254,"M=",AX2254,"L=",AY2254,"B=",AZ2254)</f>
        <v/>
      </c>
      <c r="G2254" t="inlineStr">
        <is>
          <t>LEE</t>
        </is>
      </c>
      <c r="I2254" t="inlineStr">
        <is>
          <t>1976-08-20</t>
        </is>
      </c>
      <c r="J2254" t="inlineStr">
        <is>
          <t>2018-05-23</t>
        </is>
      </c>
      <c r="K2254" t="inlineStr">
        <is>
          <t>ACTIVE</t>
        </is>
      </c>
      <c r="M2254" t="inlineStr">
        <is>
          <t>1944 BENTON ST SE</t>
        </is>
      </c>
      <c r="N2254">
        <f>RIGHT(M2254,LEN(M2254)-FIND(" ",M2254))</f>
        <v/>
      </c>
      <c r="P2254" t="inlineStr">
        <is>
          <t>WARREN</t>
        </is>
      </c>
      <c r="Q2254" t="inlineStr">
        <is>
          <t>OH</t>
        </is>
      </c>
      <c r="R2254" t="n">
        <v>44484</v>
      </c>
      <c r="AD2254" t="inlineStr">
        <is>
          <t>TRUMBULL CAREER &amp; TECH CENTER</t>
        </is>
      </c>
      <c r="AE2254" t="inlineStr">
        <is>
          <t>WARREN CITY</t>
        </is>
      </c>
      <c r="AF2254" t="inlineStr">
        <is>
          <t>WARREN CITY SD</t>
        </is>
      </c>
      <c r="AH2254" t="n">
        <v>14</v>
      </c>
      <c r="AI2254" t="n">
        <v>11</v>
      </c>
      <c r="AN2254" t="inlineStr">
        <is>
          <t>WARREN</t>
        </is>
      </c>
      <c r="AO2254" t="inlineStr">
        <is>
          <t>WARREN CITY 4F</t>
        </is>
      </c>
      <c r="AP2254" t="inlineStr">
        <is>
          <t>78-P-ADN</t>
        </is>
      </c>
      <c r="AQ2254" t="n">
        <v>9</v>
      </c>
      <c r="AR2254" t="n">
        <v>64</v>
      </c>
      <c r="AS2254" t="n">
        <v>32</v>
      </c>
      <c r="AU2254">
        <f>COUNTA($BA$2254:$EH$2254)</f>
        <v/>
      </c>
      <c r="AV2254">
        <f>COUNTIF($BA$2254:$EH$2254,"D")</f>
        <v/>
      </c>
      <c r="AW2254">
        <f>COUNTIF($BA$2254:$EH$2254,"R")</f>
        <v/>
      </c>
      <c r="AX2254">
        <f>IF(BN2254="D",1,0)+IF(BO2254="D",1,0)+IF(BT2254="D",1,0)+IF(BU2254="D",1,0)+IF(BW2254="D",1,0)+IF(CC2254="D",1,0)+IF(CD2254="D",1,0)+IF(CE2254="D",1,0)+IF(CF2254="D",1,0)+IF(CL2254="D",1,0)+IF(CM2254="D",1,0)+IF(CQ2254="D",1,0)+IF(CR2254="D",1,0)+IF(CS2254="D",1,0)+IF(CW2254="D",1,0)+IF(CX2254="D",1,0)+IF(DD2254="D",1,0)+IF(DE2254="D",1,0)+IF(DJ2254="D",1,0)+IF(DK2254="D",1,0)+IF(DO2254="D",1,0)+IF(DP2254="D",1,0)+IF(DQ2254="D",1,0)+IF(DW2254="D",1,0)+IF(DZ2254="D",1,0)+IF(EH2254="D",1,0)</f>
        <v/>
      </c>
      <c r="AY2254">
        <f>IF(DJ2254&lt;&gt;"",1,0)+IF(DK2254&lt;&gt;"",1,0)+IF(DM2254&lt;&gt;"",1,0)+IF(DO2254&lt;&gt;"",1,0)+IF(DP2254&lt;&gt;"",1,0)+IF(DQ2254&lt;&gt;"",1,0)+IF(DS2254&lt;&gt;"",1,0)+IF(DT2254&lt;&gt;"",1,0)+IF(DV2254&lt;&gt;"",1,0)+IF(DW2254&lt;&gt;"",1,0)+IF(DX2254&lt;&gt;"",1,0)+IF(DY2254&lt;&gt;"",1,0)+IF(DZ2254&lt;&gt;"",1,0)+IF(EB2254&lt;&gt;"",1,0)+IF(EC2254&lt;&gt;"",1,0)+IF(ED2254&lt;&gt;"",1,0)+IF(EG2254&lt;&gt;"",1,0)+IF(EH2254&lt;&gt;"",1,0)</f>
        <v/>
      </c>
      <c r="AZ2254">
        <f>IF(EH2254&lt;&gt;"",1,0)</f>
        <v/>
      </c>
      <c r="BB2254" t="inlineStr">
        <is>
          <t>WARREN-WARD 4</t>
        </is>
      </c>
      <c r="BL2254" t="inlineStr">
        <is>
          <t>X</t>
        </is>
      </c>
      <c r="CA2254" t="inlineStr">
        <is>
          <t>X</t>
        </is>
      </c>
      <c r="CP2254" t="inlineStr">
        <is>
          <t>X</t>
        </is>
      </c>
      <c r="CZ2254" t="inlineStr">
        <is>
          <t>D</t>
        </is>
      </c>
      <c r="DC2254" t="inlineStr">
        <is>
          <t>X</t>
        </is>
      </c>
      <c r="DI2254" t="inlineStr">
        <is>
          <t>X</t>
        </is>
      </c>
      <c r="DN2254" t="inlineStr">
        <is>
          <t>X</t>
        </is>
      </c>
      <c r="DU2254" t="inlineStr">
        <is>
          <t>X</t>
        </is>
      </c>
      <c r="EF2254" t="inlineStr">
        <is>
          <t>X</t>
        </is>
      </c>
    </row>
    <row r="2255">
      <c r="A2255" t="inlineStr">
        <is>
          <t>OH0015763417</t>
        </is>
      </c>
      <c r="B2255" t="n">
        <v>78</v>
      </c>
      <c r="C2255" t="n">
        <v>250749</v>
      </c>
      <c r="D2255" t="inlineStr">
        <is>
          <t>MCCOLLOUGH</t>
        </is>
      </c>
      <c r="E2255" t="inlineStr">
        <is>
          <t>CYNTHIA</t>
        </is>
      </c>
      <c r="F2255">
        <f>CONCATENATE(D2255," ",LEFT(H2255,4),"T=",AU2255,"D=",AV2255,"R=",AW2255,"M=",AX2255,"L=",AY2255,"B=",AZ2255)</f>
        <v/>
      </c>
      <c r="I2255" t="inlineStr">
        <is>
          <t>1975-12-17</t>
        </is>
      </c>
      <c r="J2255" t="inlineStr">
        <is>
          <t>1993-12-01</t>
        </is>
      </c>
      <c r="K2255" t="inlineStr">
        <is>
          <t>ACTIVE</t>
        </is>
      </c>
      <c r="M2255" t="inlineStr">
        <is>
          <t>2184 BENTON ST SE</t>
        </is>
      </c>
      <c r="N2255">
        <f>RIGHT(M2255,LEN(M2255)-FIND(" ",M2255))</f>
        <v/>
      </c>
      <c r="P2255" t="inlineStr">
        <is>
          <t>WARREN</t>
        </is>
      </c>
      <c r="Q2255" t="inlineStr">
        <is>
          <t>OH</t>
        </is>
      </c>
      <c r="R2255" t="n">
        <v>44484</v>
      </c>
      <c r="AD2255" t="inlineStr">
        <is>
          <t>TRUMBULL CAREER &amp; TECH CENTER</t>
        </is>
      </c>
      <c r="AE2255" t="inlineStr">
        <is>
          <t>WARREN CITY</t>
        </is>
      </c>
      <c r="AF2255" t="inlineStr">
        <is>
          <t>WARREN CITY SD</t>
        </is>
      </c>
      <c r="AH2255" t="n">
        <v>14</v>
      </c>
      <c r="AI2255" t="n">
        <v>11</v>
      </c>
      <c r="AN2255" t="inlineStr">
        <is>
          <t>WARREN</t>
        </is>
      </c>
      <c r="AO2255" t="inlineStr">
        <is>
          <t>WARREN CITY 4F</t>
        </is>
      </c>
      <c r="AP2255" t="inlineStr">
        <is>
          <t>78-P-ADN</t>
        </is>
      </c>
      <c r="AQ2255" t="n">
        <v>9</v>
      </c>
      <c r="AR2255" t="n">
        <v>64</v>
      </c>
      <c r="AS2255" t="n">
        <v>32</v>
      </c>
      <c r="AU2255">
        <f>COUNTA($BA$2255:$EH$2255)</f>
        <v/>
      </c>
      <c r="AV2255">
        <f>COUNTIF($BA$2255:$EH$2255,"D")</f>
        <v/>
      </c>
      <c r="AW2255">
        <f>COUNTIF($BA$2255:$EH$2255,"R")</f>
        <v/>
      </c>
      <c r="AX2255">
        <f>IF(BN2255="D",1,0)+IF(BO2255="D",1,0)+IF(BT2255="D",1,0)+IF(BU2255="D",1,0)+IF(BW2255="D",1,0)+IF(CC2255="D",1,0)+IF(CD2255="D",1,0)+IF(CE2255="D",1,0)+IF(CF2255="D",1,0)+IF(CL2255="D",1,0)+IF(CM2255="D",1,0)+IF(CQ2255="D",1,0)+IF(CR2255="D",1,0)+IF(CS2255="D",1,0)+IF(CW2255="D",1,0)+IF(CX2255="D",1,0)+IF(DD2255="D",1,0)+IF(DE2255="D",1,0)+IF(DJ2255="D",1,0)+IF(DK2255="D",1,0)+IF(DO2255="D",1,0)+IF(DP2255="D",1,0)+IF(DQ2255="D",1,0)+IF(DW2255="D",1,0)+IF(DZ2255="D",1,0)+IF(EH2255="D",1,0)</f>
        <v/>
      </c>
      <c r="AY2255">
        <f>IF(DJ2255&lt;&gt;"",1,0)+IF(DK2255&lt;&gt;"",1,0)+IF(DM2255&lt;&gt;"",1,0)+IF(DO2255&lt;&gt;"",1,0)+IF(DP2255&lt;&gt;"",1,0)+IF(DQ2255&lt;&gt;"",1,0)+IF(DS2255&lt;&gt;"",1,0)+IF(DT2255&lt;&gt;"",1,0)+IF(DV2255&lt;&gt;"",1,0)+IF(DW2255&lt;&gt;"",1,0)+IF(DX2255&lt;&gt;"",1,0)+IF(DY2255&lt;&gt;"",1,0)+IF(DZ2255&lt;&gt;"",1,0)+IF(EB2255&lt;&gt;"",1,0)+IF(EC2255&lt;&gt;"",1,0)+IF(ED2255&lt;&gt;"",1,0)+IF(EG2255&lt;&gt;"",1,0)+IF(EH2255&lt;&gt;"",1,0)</f>
        <v/>
      </c>
      <c r="AZ2255">
        <f>IF(EH2255&lt;&gt;"",1,0)</f>
        <v/>
      </c>
      <c r="BB2255" t="inlineStr">
        <is>
          <t>WARREN-WARD 4</t>
        </is>
      </c>
      <c r="BD2255" t="inlineStr">
        <is>
          <t>X</t>
        </is>
      </c>
      <c r="BL2255" t="inlineStr">
        <is>
          <t>X</t>
        </is>
      </c>
      <c r="CA2255" t="inlineStr">
        <is>
          <t>X</t>
        </is>
      </c>
      <c r="CK2255" t="inlineStr">
        <is>
          <t>X</t>
        </is>
      </c>
      <c r="CN2255" t="inlineStr">
        <is>
          <t>X</t>
        </is>
      </c>
      <c r="CP2255" t="inlineStr">
        <is>
          <t>X</t>
        </is>
      </c>
      <c r="DC2255" t="inlineStr">
        <is>
          <t>X</t>
        </is>
      </c>
      <c r="DN2255" t="inlineStr">
        <is>
          <t>X</t>
        </is>
      </c>
      <c r="DX2255" t="inlineStr">
        <is>
          <t>X</t>
        </is>
      </c>
      <c r="EF2255" t="inlineStr">
        <is>
          <t>X</t>
        </is>
      </c>
    </row>
    <row r="2256">
      <c r="A2256" t="inlineStr">
        <is>
          <t>OH0024002267</t>
        </is>
      </c>
      <c r="B2256" t="n">
        <v>78</v>
      </c>
      <c r="C2256" t="n">
        <v>420928</v>
      </c>
      <c r="D2256" t="inlineStr">
        <is>
          <t>JACKSON</t>
        </is>
      </c>
      <c r="E2256" t="inlineStr">
        <is>
          <t>BRITTANY</t>
        </is>
      </c>
      <c r="F2256">
        <f>CONCATENATE(D2256," ",LEFT(H2256,4),"T=",AU2256,"D=",AV2256,"R=",AW2256,"M=",AX2256,"L=",AY2256,"B=",AZ2256)</f>
        <v/>
      </c>
      <c r="G2256" t="inlineStr">
        <is>
          <t>R</t>
        </is>
      </c>
      <c r="I2256" t="inlineStr">
        <is>
          <t>1989-10-01</t>
        </is>
      </c>
      <c r="J2256" t="inlineStr">
        <is>
          <t>2024-07-17</t>
        </is>
      </c>
      <c r="K2256" t="inlineStr">
        <is>
          <t>ACTIVE</t>
        </is>
      </c>
      <c r="M2256" t="inlineStr">
        <is>
          <t>1296 YOUNGSTOWN RD SE</t>
        </is>
      </c>
      <c r="N2256">
        <f>RIGHT(M2256,LEN(M2256)-FIND(" ",M2256))</f>
        <v/>
      </c>
      <c r="P2256" t="inlineStr">
        <is>
          <t>WARREN</t>
        </is>
      </c>
      <c r="Q2256" t="inlineStr">
        <is>
          <t>OH</t>
        </is>
      </c>
      <c r="R2256" t="n">
        <v>44484</v>
      </c>
      <c r="AD2256" t="inlineStr">
        <is>
          <t>TRUMBULL CAREER &amp; TECH CENTER</t>
        </is>
      </c>
      <c r="AE2256" t="inlineStr">
        <is>
          <t>WARREN CITY</t>
        </is>
      </c>
      <c r="AF2256" t="inlineStr">
        <is>
          <t>WARREN CITY SD</t>
        </is>
      </c>
      <c r="AH2256" t="n">
        <v>14</v>
      </c>
      <c r="AI2256" t="n">
        <v>11</v>
      </c>
      <c r="AN2256" t="inlineStr">
        <is>
          <t>WARREN</t>
        </is>
      </c>
      <c r="AO2256" t="inlineStr">
        <is>
          <t>WARREN CITY 4F</t>
        </is>
      </c>
      <c r="AP2256" t="inlineStr">
        <is>
          <t>78-P-ADN</t>
        </is>
      </c>
      <c r="AQ2256" t="n">
        <v>9</v>
      </c>
      <c r="AR2256" t="n">
        <v>64</v>
      </c>
      <c r="AS2256" t="n">
        <v>32</v>
      </c>
      <c r="AU2256">
        <f>COUNTA($BA$2256:$EH$2256)</f>
        <v/>
      </c>
      <c r="AV2256">
        <f>COUNTIF($BA$2256:$EH$2256,"D")</f>
        <v/>
      </c>
      <c r="AW2256">
        <f>COUNTIF($BA$2256:$EH$2256,"R")</f>
        <v/>
      </c>
      <c r="AX2256">
        <f>IF(BN2256="D",1,0)+IF(BO2256="D",1,0)+IF(BT2256="D",1,0)+IF(BU2256="D",1,0)+IF(BW2256="D",1,0)+IF(CC2256="D",1,0)+IF(CD2256="D",1,0)+IF(CE2256="D",1,0)+IF(CF2256="D",1,0)+IF(CL2256="D",1,0)+IF(CM2256="D",1,0)+IF(CQ2256="D",1,0)+IF(CR2256="D",1,0)+IF(CS2256="D",1,0)+IF(CW2256="D",1,0)+IF(CX2256="D",1,0)+IF(DD2256="D",1,0)+IF(DE2256="D",1,0)+IF(DJ2256="D",1,0)+IF(DK2256="D",1,0)+IF(DO2256="D",1,0)+IF(DP2256="D",1,0)+IF(DQ2256="D",1,0)+IF(DW2256="D",1,0)+IF(DZ2256="D",1,0)+IF(EH2256="D",1,0)</f>
        <v/>
      </c>
      <c r="AY2256">
        <f>IF(DJ2256&lt;&gt;"",1,0)+IF(DK2256&lt;&gt;"",1,0)+IF(DM2256&lt;&gt;"",1,0)+IF(DO2256&lt;&gt;"",1,0)+IF(DP2256&lt;&gt;"",1,0)+IF(DQ2256&lt;&gt;"",1,0)+IF(DS2256&lt;&gt;"",1,0)+IF(DT2256&lt;&gt;"",1,0)+IF(DV2256&lt;&gt;"",1,0)+IF(DW2256&lt;&gt;"",1,0)+IF(DX2256&lt;&gt;"",1,0)+IF(DY2256&lt;&gt;"",1,0)+IF(DZ2256&lt;&gt;"",1,0)+IF(EB2256&lt;&gt;"",1,0)+IF(EC2256&lt;&gt;"",1,0)+IF(ED2256&lt;&gt;"",1,0)+IF(EG2256&lt;&gt;"",1,0)+IF(EH2256&lt;&gt;"",1,0)</f>
        <v/>
      </c>
      <c r="AZ2256">
        <f>IF(EH2256&lt;&gt;"",1,0)</f>
        <v/>
      </c>
      <c r="BB2256" t="inlineStr">
        <is>
          <t>WARREN-WARD 4</t>
        </is>
      </c>
      <c r="CA2256" t="inlineStr">
        <is>
          <t>X</t>
        </is>
      </c>
      <c r="CP2256" t="inlineStr">
        <is>
          <t>X</t>
        </is>
      </c>
      <c r="DO2256" t="inlineStr">
        <is>
          <t>D</t>
        </is>
      </c>
    </row>
    <row r="2257">
      <c r="A2257" t="inlineStr">
        <is>
          <t>OH0027493494</t>
        </is>
      </c>
      <c r="B2257" t="n">
        <v>78</v>
      </c>
      <c r="C2257" t="n">
        <v>486968</v>
      </c>
      <c r="D2257" t="inlineStr">
        <is>
          <t>MARCHMAN</t>
        </is>
      </c>
      <c r="E2257" t="inlineStr">
        <is>
          <t>BONITA</t>
        </is>
      </c>
      <c r="F2257">
        <f>CONCATENATE(D2257," ",LEFT(H2257,4),"T=",AU2257,"D=",AV2257,"R=",AW2257,"M=",AX2257,"L=",AY2257,"B=",AZ2257)</f>
        <v/>
      </c>
      <c r="G2257" t="inlineStr">
        <is>
          <t>S</t>
        </is>
      </c>
      <c r="I2257" t="inlineStr">
        <is>
          <t>1976-09-07</t>
        </is>
      </c>
      <c r="J2257" t="inlineStr">
        <is>
          <t>2024-08-08</t>
        </is>
      </c>
      <c r="K2257" t="inlineStr">
        <is>
          <t>ACTIVE</t>
        </is>
      </c>
      <c r="M2257" t="inlineStr">
        <is>
          <t>1587 KENILWORTH AVE SE</t>
        </is>
      </c>
      <c r="N2257">
        <f>RIGHT(M2257,LEN(M2257)-FIND(" ",M2257))</f>
        <v/>
      </c>
      <c r="P2257" t="inlineStr">
        <is>
          <t>WARREN</t>
        </is>
      </c>
      <c r="Q2257" t="inlineStr">
        <is>
          <t>OH</t>
        </is>
      </c>
      <c r="R2257" t="n">
        <v>44484</v>
      </c>
      <c r="AD2257" t="inlineStr">
        <is>
          <t>TRUMBULL CAREER &amp; TECH CENTER</t>
        </is>
      </c>
      <c r="AE2257" t="inlineStr">
        <is>
          <t>WARREN CITY</t>
        </is>
      </c>
      <c r="AF2257" t="inlineStr">
        <is>
          <t>WARREN CITY SD</t>
        </is>
      </c>
      <c r="AH2257" t="n">
        <v>14</v>
      </c>
      <c r="AI2257" t="n">
        <v>11</v>
      </c>
      <c r="AN2257" t="inlineStr">
        <is>
          <t>WARREN</t>
        </is>
      </c>
      <c r="AO2257" t="inlineStr">
        <is>
          <t>WARREN CITY 4F</t>
        </is>
      </c>
      <c r="AP2257" t="inlineStr">
        <is>
          <t>78-P-ADN</t>
        </is>
      </c>
      <c r="AQ2257" t="n">
        <v>9</v>
      </c>
      <c r="AR2257" t="n">
        <v>64</v>
      </c>
      <c r="AS2257" t="n">
        <v>32</v>
      </c>
      <c r="AU2257">
        <f>COUNTA($BA$2257:$EH$2257)</f>
        <v/>
      </c>
      <c r="AV2257">
        <f>COUNTIF($BA$2257:$EH$2257,"D")</f>
        <v/>
      </c>
      <c r="AW2257">
        <f>COUNTIF($BA$2257:$EH$2257,"R")</f>
        <v/>
      </c>
      <c r="AX2257">
        <f>IF(BN2257="D",1,0)+IF(BO2257="D",1,0)+IF(BT2257="D",1,0)+IF(BU2257="D",1,0)+IF(BW2257="D",1,0)+IF(CC2257="D",1,0)+IF(CD2257="D",1,0)+IF(CE2257="D",1,0)+IF(CF2257="D",1,0)+IF(CL2257="D",1,0)+IF(CM2257="D",1,0)+IF(CQ2257="D",1,0)+IF(CR2257="D",1,0)+IF(CS2257="D",1,0)+IF(CW2257="D",1,0)+IF(CX2257="D",1,0)+IF(DD2257="D",1,0)+IF(DE2257="D",1,0)+IF(DJ2257="D",1,0)+IF(DK2257="D",1,0)+IF(DO2257="D",1,0)+IF(DP2257="D",1,0)+IF(DQ2257="D",1,0)+IF(DW2257="D",1,0)+IF(DZ2257="D",1,0)+IF(EH2257="D",1,0)</f>
        <v/>
      </c>
      <c r="AY2257">
        <f>IF(DJ2257&lt;&gt;"",1,0)+IF(DK2257&lt;&gt;"",1,0)+IF(DM2257&lt;&gt;"",1,0)+IF(DO2257&lt;&gt;"",1,0)+IF(DP2257&lt;&gt;"",1,0)+IF(DQ2257&lt;&gt;"",1,0)+IF(DS2257&lt;&gt;"",1,0)+IF(DT2257&lt;&gt;"",1,0)+IF(DV2257&lt;&gt;"",1,0)+IF(DW2257&lt;&gt;"",1,0)+IF(DX2257&lt;&gt;"",1,0)+IF(DY2257&lt;&gt;"",1,0)+IF(DZ2257&lt;&gt;"",1,0)+IF(EB2257&lt;&gt;"",1,0)+IF(EC2257&lt;&gt;"",1,0)+IF(ED2257&lt;&gt;"",1,0)+IF(EG2257&lt;&gt;"",1,0)+IF(EH2257&lt;&gt;"",1,0)</f>
        <v/>
      </c>
      <c r="AZ2257">
        <f>IF(EH2257&lt;&gt;"",1,0)</f>
        <v/>
      </c>
      <c r="BB2257" t="inlineStr">
        <is>
          <t>WARREN-WARD 4</t>
        </is>
      </c>
    </row>
    <row r="2258">
      <c r="A2258" t="inlineStr">
        <is>
          <t>OH0027491636</t>
        </is>
      </c>
      <c r="B2258" t="n">
        <v>78</v>
      </c>
      <c r="C2258" t="n">
        <v>486929</v>
      </c>
      <c r="D2258" t="inlineStr">
        <is>
          <t>CANZONETTA</t>
        </is>
      </c>
      <c r="E2258" t="inlineStr">
        <is>
          <t>JOSHUA</t>
        </is>
      </c>
      <c r="F2258">
        <f>CONCATENATE(D2258," ",LEFT(H2258,4),"T=",AU2258,"D=",AV2258,"R=",AW2258,"M=",AX2258,"L=",AY2258,"B=",AZ2258)</f>
        <v/>
      </c>
      <c r="G2258" t="inlineStr">
        <is>
          <t>M</t>
        </is>
      </c>
      <c r="I2258" t="inlineStr">
        <is>
          <t>2003-03-07</t>
        </is>
      </c>
      <c r="J2258" t="inlineStr">
        <is>
          <t>2024-07-31</t>
        </is>
      </c>
      <c r="K2258" t="inlineStr">
        <is>
          <t>ACTIVE</t>
        </is>
      </c>
      <c r="M2258" t="inlineStr">
        <is>
          <t>1101 WOODBINE AVE SE</t>
        </is>
      </c>
      <c r="N2258">
        <f>RIGHT(M2258,LEN(M2258)-FIND(" ",M2258))</f>
        <v/>
      </c>
      <c r="P2258" t="inlineStr">
        <is>
          <t>WARREN</t>
        </is>
      </c>
      <c r="Q2258" t="inlineStr">
        <is>
          <t>OH</t>
        </is>
      </c>
      <c r="R2258" t="n">
        <v>44484</v>
      </c>
      <c r="AD2258" t="inlineStr">
        <is>
          <t>TRUMBULL CAREER &amp; TECH CENTER</t>
        </is>
      </c>
      <c r="AE2258" t="inlineStr">
        <is>
          <t>WARREN CITY</t>
        </is>
      </c>
      <c r="AF2258" t="inlineStr">
        <is>
          <t>WARREN CITY SD</t>
        </is>
      </c>
      <c r="AH2258" t="n">
        <v>14</v>
      </c>
      <c r="AI2258" t="n">
        <v>11</v>
      </c>
      <c r="AN2258" t="inlineStr">
        <is>
          <t>WARREN</t>
        </is>
      </c>
      <c r="AO2258" t="inlineStr">
        <is>
          <t>WARREN CITY 4F</t>
        </is>
      </c>
      <c r="AP2258" t="inlineStr">
        <is>
          <t>78-P-ADN</t>
        </is>
      </c>
      <c r="AQ2258" t="n">
        <v>9</v>
      </c>
      <c r="AR2258" t="n">
        <v>64</v>
      </c>
      <c r="AS2258" t="n">
        <v>32</v>
      </c>
      <c r="AU2258">
        <f>COUNTA($BA$2258:$EH$2258)</f>
        <v/>
      </c>
      <c r="AV2258">
        <f>COUNTIF($BA$2258:$EH$2258,"D")</f>
        <v/>
      </c>
      <c r="AW2258">
        <f>COUNTIF($BA$2258:$EH$2258,"R")</f>
        <v/>
      </c>
      <c r="AX2258">
        <f>IF(BN2258="D",1,0)+IF(BO2258="D",1,0)+IF(BT2258="D",1,0)+IF(BU2258="D",1,0)+IF(BW2258="D",1,0)+IF(CC2258="D",1,0)+IF(CD2258="D",1,0)+IF(CE2258="D",1,0)+IF(CF2258="D",1,0)+IF(CL2258="D",1,0)+IF(CM2258="D",1,0)+IF(CQ2258="D",1,0)+IF(CR2258="D",1,0)+IF(CS2258="D",1,0)+IF(CW2258="D",1,0)+IF(CX2258="D",1,0)+IF(DD2258="D",1,0)+IF(DE2258="D",1,0)+IF(DJ2258="D",1,0)+IF(DK2258="D",1,0)+IF(DO2258="D",1,0)+IF(DP2258="D",1,0)+IF(DQ2258="D",1,0)+IF(DW2258="D",1,0)+IF(DZ2258="D",1,0)+IF(EH2258="D",1,0)</f>
        <v/>
      </c>
      <c r="AY2258">
        <f>IF(DJ2258&lt;&gt;"",1,0)+IF(DK2258&lt;&gt;"",1,0)+IF(DM2258&lt;&gt;"",1,0)+IF(DO2258&lt;&gt;"",1,0)+IF(DP2258&lt;&gt;"",1,0)+IF(DQ2258&lt;&gt;"",1,0)+IF(DS2258&lt;&gt;"",1,0)+IF(DT2258&lt;&gt;"",1,0)+IF(DV2258&lt;&gt;"",1,0)+IF(DW2258&lt;&gt;"",1,0)+IF(DX2258&lt;&gt;"",1,0)+IF(DY2258&lt;&gt;"",1,0)+IF(DZ2258&lt;&gt;"",1,0)+IF(EB2258&lt;&gt;"",1,0)+IF(EC2258&lt;&gt;"",1,0)+IF(ED2258&lt;&gt;"",1,0)+IF(EG2258&lt;&gt;"",1,0)+IF(EH2258&lt;&gt;"",1,0)</f>
        <v/>
      </c>
      <c r="AZ2258">
        <f>IF(EH2258&lt;&gt;"",1,0)</f>
        <v/>
      </c>
      <c r="BB2258" t="inlineStr">
        <is>
          <t>WARREN-WARD 4</t>
        </is>
      </c>
    </row>
    <row r="2259">
      <c r="A2259" t="inlineStr">
        <is>
          <t>OH0015718642</t>
        </is>
      </c>
      <c r="B2259" t="n">
        <v>78</v>
      </c>
      <c r="C2259" t="n">
        <v>197104</v>
      </c>
      <c r="D2259" t="inlineStr">
        <is>
          <t>CANZONETTA</t>
        </is>
      </c>
      <c r="E2259" t="inlineStr">
        <is>
          <t>MICHAEL</t>
        </is>
      </c>
      <c r="F2259">
        <f>CONCATENATE(D2259," ",LEFT(H2259,4),"T=",AU2259,"D=",AV2259,"R=",AW2259,"M=",AX2259,"L=",AY2259,"B=",AZ2259)</f>
        <v/>
      </c>
      <c r="G2259" t="inlineStr">
        <is>
          <t>J</t>
        </is>
      </c>
      <c r="H2259" t="inlineStr">
        <is>
          <t>JR</t>
        </is>
      </c>
      <c r="I2259" t="inlineStr">
        <is>
          <t>1969-02-02</t>
        </is>
      </c>
      <c r="J2259" t="inlineStr">
        <is>
          <t>2014-02-28</t>
        </is>
      </c>
      <c r="K2259" t="inlineStr">
        <is>
          <t>ACTIVE</t>
        </is>
      </c>
      <c r="M2259" t="inlineStr">
        <is>
          <t>1101 WOODBINE AVE SE</t>
        </is>
      </c>
      <c r="N2259">
        <f>RIGHT(M2259,LEN(M2259)-FIND(" ",M2259))</f>
        <v/>
      </c>
      <c r="P2259" t="inlineStr">
        <is>
          <t>WARREN</t>
        </is>
      </c>
      <c r="Q2259" t="inlineStr">
        <is>
          <t>OH</t>
        </is>
      </c>
      <c r="R2259" t="n">
        <v>44484</v>
      </c>
      <c r="AD2259" t="inlineStr">
        <is>
          <t>TRUMBULL CAREER &amp; TECH CENTER</t>
        </is>
      </c>
      <c r="AE2259" t="inlineStr">
        <is>
          <t>WARREN CITY</t>
        </is>
      </c>
      <c r="AF2259" t="inlineStr">
        <is>
          <t>WARREN CITY SD</t>
        </is>
      </c>
      <c r="AH2259" t="n">
        <v>14</v>
      </c>
      <c r="AI2259" t="n">
        <v>11</v>
      </c>
      <c r="AN2259" t="inlineStr">
        <is>
          <t>WARREN</t>
        </is>
      </c>
      <c r="AO2259" t="inlineStr">
        <is>
          <t>WARREN CITY 4F</t>
        </is>
      </c>
      <c r="AP2259" t="inlineStr">
        <is>
          <t>78-P-ADN</t>
        </is>
      </c>
      <c r="AQ2259" t="n">
        <v>9</v>
      </c>
      <c r="AR2259" t="n">
        <v>64</v>
      </c>
      <c r="AS2259" t="n">
        <v>32</v>
      </c>
      <c r="AU2259">
        <f>COUNTA($BA$2259:$EH$2259)</f>
        <v/>
      </c>
      <c r="AV2259">
        <f>COUNTIF($BA$2259:$EH$2259,"D")</f>
        <v/>
      </c>
      <c r="AW2259">
        <f>COUNTIF($BA$2259:$EH$2259,"R")</f>
        <v/>
      </c>
      <c r="AX2259">
        <f>IF(BN2259="D",1,0)+IF(BO2259="D",1,0)+IF(BT2259="D",1,0)+IF(BU2259="D",1,0)+IF(BW2259="D",1,0)+IF(CC2259="D",1,0)+IF(CD2259="D",1,0)+IF(CE2259="D",1,0)+IF(CF2259="D",1,0)+IF(CL2259="D",1,0)+IF(CM2259="D",1,0)+IF(CQ2259="D",1,0)+IF(CR2259="D",1,0)+IF(CS2259="D",1,0)+IF(CW2259="D",1,0)+IF(CX2259="D",1,0)+IF(DD2259="D",1,0)+IF(DE2259="D",1,0)+IF(DJ2259="D",1,0)+IF(DK2259="D",1,0)+IF(DO2259="D",1,0)+IF(DP2259="D",1,0)+IF(DQ2259="D",1,0)+IF(DW2259="D",1,0)+IF(DZ2259="D",1,0)+IF(EH2259="D",1,0)</f>
        <v/>
      </c>
      <c r="AY2259">
        <f>IF(DJ2259&lt;&gt;"",1,0)+IF(DK2259&lt;&gt;"",1,0)+IF(DM2259&lt;&gt;"",1,0)+IF(DO2259&lt;&gt;"",1,0)+IF(DP2259&lt;&gt;"",1,0)+IF(DQ2259&lt;&gt;"",1,0)+IF(DS2259&lt;&gt;"",1,0)+IF(DT2259&lt;&gt;"",1,0)+IF(DV2259&lt;&gt;"",1,0)+IF(DW2259&lt;&gt;"",1,0)+IF(DX2259&lt;&gt;"",1,0)+IF(DY2259&lt;&gt;"",1,0)+IF(DZ2259&lt;&gt;"",1,0)+IF(EB2259&lt;&gt;"",1,0)+IF(EC2259&lt;&gt;"",1,0)+IF(ED2259&lt;&gt;"",1,0)+IF(EG2259&lt;&gt;"",1,0)+IF(EH2259&lt;&gt;"",1,0)</f>
        <v/>
      </c>
      <c r="AZ2259">
        <f>IF(EH2259&lt;&gt;"",1,0)</f>
        <v/>
      </c>
      <c r="BB2259" t="inlineStr">
        <is>
          <t>WARREN-WARD 4</t>
        </is>
      </c>
      <c r="CK2259" t="inlineStr">
        <is>
          <t>X</t>
        </is>
      </c>
      <c r="CN2259" t="inlineStr">
        <is>
          <t>X</t>
        </is>
      </c>
      <c r="DC2259" t="inlineStr">
        <is>
          <t>X</t>
        </is>
      </c>
      <c r="DN2259" t="inlineStr">
        <is>
          <t>X</t>
        </is>
      </c>
      <c r="EF2259" t="inlineStr">
        <is>
          <t>X</t>
        </is>
      </c>
    </row>
    <row r="2260">
      <c r="A2260" t="inlineStr">
        <is>
          <t>OH0027491311</t>
        </is>
      </c>
      <c r="B2260" t="n">
        <v>78</v>
      </c>
      <c r="C2260" t="n">
        <v>486913</v>
      </c>
      <c r="D2260" t="inlineStr">
        <is>
          <t>JETHROE</t>
        </is>
      </c>
      <c r="E2260" t="inlineStr">
        <is>
          <t>ANTHONY</t>
        </is>
      </c>
      <c r="F2260">
        <f>CONCATENATE(D2260," ",LEFT(H2260,4),"T=",AU2260,"D=",AV2260,"R=",AW2260,"M=",AX2260,"L=",AY2260,"B=",AZ2260)</f>
        <v/>
      </c>
      <c r="G2260" t="inlineStr">
        <is>
          <t>JAMES</t>
        </is>
      </c>
      <c r="I2260" t="inlineStr">
        <is>
          <t>1998-04-08</t>
        </is>
      </c>
      <c r="J2260" t="inlineStr">
        <is>
          <t>2024-07-31</t>
        </is>
      </c>
      <c r="K2260" t="inlineStr">
        <is>
          <t>ACTIVE</t>
        </is>
      </c>
      <c r="M2260" t="inlineStr">
        <is>
          <t>1943 THOMAS RD SE</t>
        </is>
      </c>
      <c r="N2260">
        <f>RIGHT(M2260,LEN(M2260)-FIND(" ",M2260))</f>
        <v/>
      </c>
      <c r="P2260" t="inlineStr">
        <is>
          <t>WARREN</t>
        </is>
      </c>
      <c r="Q2260" t="inlineStr">
        <is>
          <t>OH</t>
        </is>
      </c>
      <c r="R2260" t="n">
        <v>44484</v>
      </c>
      <c r="AD2260" t="inlineStr">
        <is>
          <t>TRUMBULL CAREER &amp; TECH CENTER</t>
        </is>
      </c>
      <c r="AE2260" t="inlineStr">
        <is>
          <t>WARREN CITY</t>
        </is>
      </c>
      <c r="AF2260" t="inlineStr">
        <is>
          <t>WARREN CITY SD</t>
        </is>
      </c>
      <c r="AH2260" t="n">
        <v>14</v>
      </c>
      <c r="AI2260" t="n">
        <v>11</v>
      </c>
      <c r="AN2260" t="inlineStr">
        <is>
          <t>WARREN</t>
        </is>
      </c>
      <c r="AO2260" t="inlineStr">
        <is>
          <t>WARREN CITY 4F</t>
        </is>
      </c>
      <c r="AP2260" t="inlineStr">
        <is>
          <t>78-P-ADN</t>
        </is>
      </c>
      <c r="AQ2260" t="n">
        <v>9</v>
      </c>
      <c r="AR2260" t="n">
        <v>64</v>
      </c>
      <c r="AS2260" t="n">
        <v>32</v>
      </c>
      <c r="AU2260">
        <f>COUNTA($BA$2260:$EH$2260)</f>
        <v/>
      </c>
      <c r="AV2260">
        <f>COUNTIF($BA$2260:$EH$2260,"D")</f>
        <v/>
      </c>
      <c r="AW2260">
        <f>COUNTIF($BA$2260:$EH$2260,"R")</f>
        <v/>
      </c>
      <c r="AX2260">
        <f>IF(BN2260="D",1,0)+IF(BO2260="D",1,0)+IF(BT2260="D",1,0)+IF(BU2260="D",1,0)+IF(BW2260="D",1,0)+IF(CC2260="D",1,0)+IF(CD2260="D",1,0)+IF(CE2260="D",1,0)+IF(CF2260="D",1,0)+IF(CL2260="D",1,0)+IF(CM2260="D",1,0)+IF(CQ2260="D",1,0)+IF(CR2260="D",1,0)+IF(CS2260="D",1,0)+IF(CW2260="D",1,0)+IF(CX2260="D",1,0)+IF(DD2260="D",1,0)+IF(DE2260="D",1,0)+IF(DJ2260="D",1,0)+IF(DK2260="D",1,0)+IF(DO2260="D",1,0)+IF(DP2260="D",1,0)+IF(DQ2260="D",1,0)+IF(DW2260="D",1,0)+IF(DZ2260="D",1,0)+IF(EH2260="D",1,0)</f>
        <v/>
      </c>
      <c r="AY2260">
        <f>IF(DJ2260&lt;&gt;"",1,0)+IF(DK2260&lt;&gt;"",1,0)+IF(DM2260&lt;&gt;"",1,0)+IF(DO2260&lt;&gt;"",1,0)+IF(DP2260&lt;&gt;"",1,0)+IF(DQ2260&lt;&gt;"",1,0)+IF(DS2260&lt;&gt;"",1,0)+IF(DT2260&lt;&gt;"",1,0)+IF(DV2260&lt;&gt;"",1,0)+IF(DW2260&lt;&gt;"",1,0)+IF(DX2260&lt;&gt;"",1,0)+IF(DY2260&lt;&gt;"",1,0)+IF(DZ2260&lt;&gt;"",1,0)+IF(EB2260&lt;&gt;"",1,0)+IF(EC2260&lt;&gt;"",1,0)+IF(ED2260&lt;&gt;"",1,0)+IF(EG2260&lt;&gt;"",1,0)+IF(EH2260&lt;&gt;"",1,0)</f>
        <v/>
      </c>
      <c r="AZ2260">
        <f>IF(EH2260&lt;&gt;"",1,0)</f>
        <v/>
      </c>
      <c r="BB2260" t="inlineStr">
        <is>
          <t>WARREN-WARD 4</t>
        </is>
      </c>
    </row>
    <row r="2261">
      <c r="A2261" t="inlineStr">
        <is>
          <t>OH0027499569</t>
        </is>
      </c>
      <c r="B2261" t="n">
        <v>78</v>
      </c>
      <c r="C2261" t="n">
        <v>487192</v>
      </c>
      <c r="D2261" t="inlineStr">
        <is>
          <t>THOMAS</t>
        </is>
      </c>
      <c r="E2261" t="inlineStr">
        <is>
          <t>VALENTINO</t>
        </is>
      </c>
      <c r="F2261">
        <f>CONCATENATE(D2261," ",LEFT(H2261,4),"T=",AU2261,"D=",AV2261,"R=",AW2261,"M=",AX2261,"L=",AY2261,"B=",AZ2261)</f>
        <v/>
      </c>
      <c r="G2261" t="inlineStr">
        <is>
          <t>G</t>
        </is>
      </c>
      <c r="I2261" t="inlineStr">
        <is>
          <t>1989-10-09</t>
        </is>
      </c>
      <c r="J2261" t="inlineStr">
        <is>
          <t>2024-08-02</t>
        </is>
      </c>
      <c r="K2261" t="inlineStr">
        <is>
          <t>ACTIVE</t>
        </is>
      </c>
      <c r="M2261" t="inlineStr">
        <is>
          <t>1050 KENILWORTH AVE SE</t>
        </is>
      </c>
      <c r="N2261">
        <f>RIGHT(M2261,LEN(M2261)-FIND(" ",M2261))</f>
        <v/>
      </c>
      <c r="P2261" t="inlineStr">
        <is>
          <t>WARREN</t>
        </is>
      </c>
      <c r="Q2261" t="inlineStr">
        <is>
          <t>OH</t>
        </is>
      </c>
      <c r="R2261" t="n">
        <v>44484</v>
      </c>
      <c r="AD2261" t="inlineStr">
        <is>
          <t>TRUMBULL CAREER &amp; TECH CENTER</t>
        </is>
      </c>
      <c r="AE2261" t="inlineStr">
        <is>
          <t>WARREN CITY</t>
        </is>
      </c>
      <c r="AF2261" t="inlineStr">
        <is>
          <t>WARREN CITY SD</t>
        </is>
      </c>
      <c r="AH2261" t="n">
        <v>14</v>
      </c>
      <c r="AI2261" t="n">
        <v>11</v>
      </c>
      <c r="AN2261" t="inlineStr">
        <is>
          <t>WARREN</t>
        </is>
      </c>
      <c r="AO2261" t="inlineStr">
        <is>
          <t>WARREN CITY 4F</t>
        </is>
      </c>
      <c r="AP2261" t="inlineStr">
        <is>
          <t>78-P-ADN</t>
        </is>
      </c>
      <c r="AQ2261" t="n">
        <v>9</v>
      </c>
      <c r="AR2261" t="n">
        <v>64</v>
      </c>
      <c r="AS2261" t="n">
        <v>32</v>
      </c>
      <c r="AU2261">
        <f>COUNTA($BA$2261:$EH$2261)</f>
        <v/>
      </c>
      <c r="AV2261">
        <f>COUNTIF($BA$2261:$EH$2261,"D")</f>
        <v/>
      </c>
      <c r="AW2261">
        <f>COUNTIF($BA$2261:$EH$2261,"R")</f>
        <v/>
      </c>
      <c r="AX2261">
        <f>IF(BN2261="D",1,0)+IF(BO2261="D",1,0)+IF(BT2261="D",1,0)+IF(BU2261="D",1,0)+IF(BW2261="D",1,0)+IF(CC2261="D",1,0)+IF(CD2261="D",1,0)+IF(CE2261="D",1,0)+IF(CF2261="D",1,0)+IF(CL2261="D",1,0)+IF(CM2261="D",1,0)+IF(CQ2261="D",1,0)+IF(CR2261="D",1,0)+IF(CS2261="D",1,0)+IF(CW2261="D",1,0)+IF(CX2261="D",1,0)+IF(DD2261="D",1,0)+IF(DE2261="D",1,0)+IF(DJ2261="D",1,0)+IF(DK2261="D",1,0)+IF(DO2261="D",1,0)+IF(DP2261="D",1,0)+IF(DQ2261="D",1,0)+IF(DW2261="D",1,0)+IF(DZ2261="D",1,0)+IF(EH2261="D",1,0)</f>
        <v/>
      </c>
      <c r="AY2261">
        <f>IF(DJ2261&lt;&gt;"",1,0)+IF(DK2261&lt;&gt;"",1,0)+IF(DM2261&lt;&gt;"",1,0)+IF(DO2261&lt;&gt;"",1,0)+IF(DP2261&lt;&gt;"",1,0)+IF(DQ2261&lt;&gt;"",1,0)+IF(DS2261&lt;&gt;"",1,0)+IF(DT2261&lt;&gt;"",1,0)+IF(DV2261&lt;&gt;"",1,0)+IF(DW2261&lt;&gt;"",1,0)+IF(DX2261&lt;&gt;"",1,0)+IF(DY2261&lt;&gt;"",1,0)+IF(DZ2261&lt;&gt;"",1,0)+IF(EB2261&lt;&gt;"",1,0)+IF(EC2261&lt;&gt;"",1,0)+IF(ED2261&lt;&gt;"",1,0)+IF(EG2261&lt;&gt;"",1,0)+IF(EH2261&lt;&gt;"",1,0)</f>
        <v/>
      </c>
      <c r="AZ2261">
        <f>IF(EH2261&lt;&gt;"",1,0)</f>
        <v/>
      </c>
      <c r="BB2261" t="inlineStr">
        <is>
          <t>WARREN-WARD 4</t>
        </is>
      </c>
    </row>
    <row r="2262">
      <c r="A2262" t="inlineStr">
        <is>
          <t>OH0023642714</t>
        </is>
      </c>
      <c r="B2262" t="n">
        <v>78</v>
      </c>
      <c r="C2262" t="n">
        <v>415740</v>
      </c>
      <c r="D2262" t="inlineStr">
        <is>
          <t>DULEY</t>
        </is>
      </c>
      <c r="E2262" t="inlineStr">
        <is>
          <t>EDNA</t>
        </is>
      </c>
      <c r="F2262">
        <f>CONCATENATE(D2262," ",LEFT(H2262,4),"T=",AU2262,"D=",AV2262,"R=",AW2262,"M=",AX2262,"L=",AY2262,"B=",AZ2262)</f>
        <v/>
      </c>
      <c r="G2262" t="inlineStr">
        <is>
          <t>J</t>
        </is>
      </c>
      <c r="I2262" t="inlineStr">
        <is>
          <t>1960-01-03</t>
        </is>
      </c>
      <c r="J2262" t="inlineStr">
        <is>
          <t>2016-04-04</t>
        </is>
      </c>
      <c r="K2262" t="inlineStr">
        <is>
          <t>CONFIRMATION</t>
        </is>
      </c>
      <c r="M2262" t="inlineStr">
        <is>
          <t>1296 YOUNGSTOWN RD SE</t>
        </is>
      </c>
      <c r="N2262">
        <f>RIGHT(M2262,LEN(M2262)-FIND(" ",M2262))</f>
        <v/>
      </c>
      <c r="O2262" t="inlineStr">
        <is>
          <t>APT 8</t>
        </is>
      </c>
      <c r="P2262" t="inlineStr">
        <is>
          <t>WARREN</t>
        </is>
      </c>
      <c r="Q2262" t="inlineStr">
        <is>
          <t>OH</t>
        </is>
      </c>
      <c r="R2262" t="n">
        <v>44484</v>
      </c>
      <c r="AD2262" t="inlineStr">
        <is>
          <t>TRUMBULL CAREER &amp; TECH CENTER</t>
        </is>
      </c>
      <c r="AE2262" t="inlineStr">
        <is>
          <t>WARREN CITY</t>
        </is>
      </c>
      <c r="AF2262" t="inlineStr">
        <is>
          <t>WARREN CITY SD</t>
        </is>
      </c>
      <c r="AH2262" t="n">
        <v>14</v>
      </c>
      <c r="AI2262" t="n">
        <v>11</v>
      </c>
      <c r="AN2262" t="inlineStr">
        <is>
          <t>WARREN</t>
        </is>
      </c>
      <c r="AO2262" t="inlineStr">
        <is>
          <t>WARREN CITY 4F</t>
        </is>
      </c>
      <c r="AP2262" t="inlineStr">
        <is>
          <t>78-P-ADN</t>
        </is>
      </c>
      <c r="AQ2262" t="n">
        <v>9</v>
      </c>
      <c r="AR2262" t="n">
        <v>64</v>
      </c>
      <c r="AS2262" t="n">
        <v>32</v>
      </c>
      <c r="AU2262">
        <f>COUNTA($BA$2262:$EH$2262)</f>
        <v/>
      </c>
      <c r="AV2262">
        <f>COUNTIF($BA$2262:$EH$2262,"D")</f>
        <v/>
      </c>
      <c r="AW2262">
        <f>COUNTIF($BA$2262:$EH$2262,"R")</f>
        <v/>
      </c>
      <c r="AX2262">
        <f>IF(BN2262="D",1,0)+IF(BO2262="D",1,0)+IF(BT2262="D",1,0)+IF(BU2262="D",1,0)+IF(BW2262="D",1,0)+IF(CC2262="D",1,0)+IF(CD2262="D",1,0)+IF(CE2262="D",1,0)+IF(CF2262="D",1,0)+IF(CL2262="D",1,0)+IF(CM2262="D",1,0)+IF(CQ2262="D",1,0)+IF(CR2262="D",1,0)+IF(CS2262="D",1,0)+IF(CW2262="D",1,0)+IF(CX2262="D",1,0)+IF(DD2262="D",1,0)+IF(DE2262="D",1,0)+IF(DJ2262="D",1,0)+IF(DK2262="D",1,0)+IF(DO2262="D",1,0)+IF(DP2262="D",1,0)+IF(DQ2262="D",1,0)+IF(DW2262="D",1,0)+IF(DZ2262="D",1,0)+IF(EH2262="D",1,0)</f>
        <v/>
      </c>
      <c r="AY2262">
        <f>IF(DJ2262&lt;&gt;"",1,0)+IF(DK2262&lt;&gt;"",1,0)+IF(DM2262&lt;&gt;"",1,0)+IF(DO2262&lt;&gt;"",1,0)+IF(DP2262&lt;&gt;"",1,0)+IF(DQ2262&lt;&gt;"",1,0)+IF(DS2262&lt;&gt;"",1,0)+IF(DT2262&lt;&gt;"",1,0)+IF(DV2262&lt;&gt;"",1,0)+IF(DW2262&lt;&gt;"",1,0)+IF(DX2262&lt;&gt;"",1,0)+IF(DY2262&lt;&gt;"",1,0)+IF(DZ2262&lt;&gt;"",1,0)+IF(EB2262&lt;&gt;"",1,0)+IF(EC2262&lt;&gt;"",1,0)+IF(ED2262&lt;&gt;"",1,0)+IF(EG2262&lt;&gt;"",1,0)+IF(EH2262&lt;&gt;"",1,0)</f>
        <v/>
      </c>
      <c r="AZ2262">
        <f>IF(EH2262&lt;&gt;"",1,0)</f>
        <v/>
      </c>
      <c r="BB2262" t="inlineStr">
        <is>
          <t>WARREN-WARD 4</t>
        </is>
      </c>
    </row>
    <row r="2263">
      <c r="A2263" t="inlineStr">
        <is>
          <t>OH0023896417</t>
        </is>
      </c>
      <c r="B2263" t="n">
        <v>78</v>
      </c>
      <c r="C2263" t="n">
        <v>419595</v>
      </c>
      <c r="D2263" t="inlineStr">
        <is>
          <t>BOATWRIGHT</t>
        </is>
      </c>
      <c r="E2263" t="inlineStr">
        <is>
          <t>JAMINA</t>
        </is>
      </c>
      <c r="F2263">
        <f>CONCATENATE(D2263," ",LEFT(H2263,4),"T=",AU2263,"D=",AV2263,"R=",AW2263,"M=",AX2263,"L=",AY2263,"B=",AZ2263)</f>
        <v/>
      </c>
      <c r="G2263" t="inlineStr">
        <is>
          <t>D</t>
        </is>
      </c>
      <c r="I2263" t="inlineStr">
        <is>
          <t>1980-11-05</t>
        </is>
      </c>
      <c r="J2263" t="inlineStr">
        <is>
          <t>2017-02-08</t>
        </is>
      </c>
      <c r="K2263" t="inlineStr">
        <is>
          <t>CONFIRMATION</t>
        </is>
      </c>
      <c r="M2263" t="inlineStr">
        <is>
          <t>1946 BENTON ST SE</t>
        </is>
      </c>
      <c r="N2263">
        <f>RIGHT(M2263,LEN(M2263)-FIND(" ",M2263))</f>
        <v/>
      </c>
      <c r="P2263" t="inlineStr">
        <is>
          <t>WARREN</t>
        </is>
      </c>
      <c r="Q2263" t="inlineStr">
        <is>
          <t>OH</t>
        </is>
      </c>
      <c r="R2263" t="n">
        <v>44484</v>
      </c>
      <c r="AD2263" t="inlineStr">
        <is>
          <t>TRUMBULL CAREER &amp; TECH CENTER</t>
        </is>
      </c>
      <c r="AE2263" t="inlineStr">
        <is>
          <t>WARREN CITY</t>
        </is>
      </c>
      <c r="AF2263" t="inlineStr">
        <is>
          <t>WARREN CITY SD</t>
        </is>
      </c>
      <c r="AH2263" t="n">
        <v>14</v>
      </c>
      <c r="AI2263" t="n">
        <v>11</v>
      </c>
      <c r="AN2263" t="inlineStr">
        <is>
          <t>WARREN</t>
        </is>
      </c>
      <c r="AO2263" t="inlineStr">
        <is>
          <t>WARREN CITY 4F</t>
        </is>
      </c>
      <c r="AP2263" t="inlineStr">
        <is>
          <t>78-P-ADN</t>
        </is>
      </c>
      <c r="AQ2263" t="n">
        <v>9</v>
      </c>
      <c r="AR2263" t="n">
        <v>64</v>
      </c>
      <c r="AS2263" t="n">
        <v>32</v>
      </c>
      <c r="AU2263">
        <f>COUNTA($BA$2263:$EH$2263)</f>
        <v/>
      </c>
      <c r="AV2263">
        <f>COUNTIF($BA$2263:$EH$2263,"D")</f>
        <v/>
      </c>
      <c r="AW2263">
        <f>COUNTIF($BA$2263:$EH$2263,"R")</f>
        <v/>
      </c>
      <c r="AX2263">
        <f>IF(BN2263="D",1,0)+IF(BO2263="D",1,0)+IF(BT2263="D",1,0)+IF(BU2263="D",1,0)+IF(BW2263="D",1,0)+IF(CC2263="D",1,0)+IF(CD2263="D",1,0)+IF(CE2263="D",1,0)+IF(CF2263="D",1,0)+IF(CL2263="D",1,0)+IF(CM2263="D",1,0)+IF(CQ2263="D",1,0)+IF(CR2263="D",1,0)+IF(CS2263="D",1,0)+IF(CW2263="D",1,0)+IF(CX2263="D",1,0)+IF(DD2263="D",1,0)+IF(DE2263="D",1,0)+IF(DJ2263="D",1,0)+IF(DK2263="D",1,0)+IF(DO2263="D",1,0)+IF(DP2263="D",1,0)+IF(DQ2263="D",1,0)+IF(DW2263="D",1,0)+IF(DZ2263="D",1,0)+IF(EH2263="D",1,0)</f>
        <v/>
      </c>
      <c r="AY2263">
        <f>IF(DJ2263&lt;&gt;"",1,0)+IF(DK2263&lt;&gt;"",1,0)+IF(DM2263&lt;&gt;"",1,0)+IF(DO2263&lt;&gt;"",1,0)+IF(DP2263&lt;&gt;"",1,0)+IF(DQ2263&lt;&gt;"",1,0)+IF(DS2263&lt;&gt;"",1,0)+IF(DT2263&lt;&gt;"",1,0)+IF(DV2263&lt;&gt;"",1,0)+IF(DW2263&lt;&gt;"",1,0)+IF(DX2263&lt;&gt;"",1,0)+IF(DY2263&lt;&gt;"",1,0)+IF(DZ2263&lt;&gt;"",1,0)+IF(EB2263&lt;&gt;"",1,0)+IF(EC2263&lt;&gt;"",1,0)+IF(ED2263&lt;&gt;"",1,0)+IF(EG2263&lt;&gt;"",1,0)+IF(EH2263&lt;&gt;"",1,0)</f>
        <v/>
      </c>
      <c r="AZ2263">
        <f>IF(EH2263&lt;&gt;"",1,0)</f>
        <v/>
      </c>
      <c r="BB2263" t="inlineStr">
        <is>
          <t>WARREN-WARD 4</t>
        </is>
      </c>
    </row>
    <row r="2264">
      <c r="A2264" t="inlineStr">
        <is>
          <t>OH0018678167</t>
        </is>
      </c>
      <c r="B2264" t="n">
        <v>78</v>
      </c>
      <c r="C2264" t="n">
        <v>342864</v>
      </c>
      <c r="D2264" t="inlineStr">
        <is>
          <t>THOMAS</t>
        </is>
      </c>
      <c r="E2264" t="inlineStr">
        <is>
          <t>AARON</t>
        </is>
      </c>
      <c r="F2264">
        <f>CONCATENATE(D2264," ",LEFT(H2264,4),"T=",AU2264,"D=",AV2264,"R=",AW2264,"M=",AX2264,"L=",AY2264,"B=",AZ2264)</f>
        <v/>
      </c>
      <c r="G2264" t="inlineStr">
        <is>
          <t>CLARENCE</t>
        </is>
      </c>
      <c r="H2264" t="inlineStr">
        <is>
          <t>JR</t>
        </is>
      </c>
      <c r="I2264" t="inlineStr">
        <is>
          <t>1980-02-10</t>
        </is>
      </c>
      <c r="J2264" t="inlineStr">
        <is>
          <t>2018-02-12</t>
        </is>
      </c>
      <c r="K2264" t="inlineStr">
        <is>
          <t>CONFIRMATION</t>
        </is>
      </c>
      <c r="M2264" t="inlineStr">
        <is>
          <t>1575 TRANSYLVANIA AVE SE</t>
        </is>
      </c>
      <c r="N2264">
        <f>RIGHT(M2264,LEN(M2264)-FIND(" ",M2264))</f>
        <v/>
      </c>
      <c r="P2264" t="inlineStr">
        <is>
          <t>WARREN</t>
        </is>
      </c>
      <c r="Q2264" t="inlineStr">
        <is>
          <t>OH</t>
        </is>
      </c>
      <c r="R2264" t="n">
        <v>44484</v>
      </c>
      <c r="AD2264" t="inlineStr">
        <is>
          <t>TRUMBULL CAREER &amp; TECH CENTER</t>
        </is>
      </c>
      <c r="AE2264" t="inlineStr">
        <is>
          <t>WARREN CITY</t>
        </is>
      </c>
      <c r="AF2264" t="inlineStr">
        <is>
          <t>WARREN CITY SD</t>
        </is>
      </c>
      <c r="AH2264" t="n">
        <v>14</v>
      </c>
      <c r="AI2264" t="n">
        <v>11</v>
      </c>
      <c r="AN2264" t="inlineStr">
        <is>
          <t>WARREN</t>
        </is>
      </c>
      <c r="AO2264" t="inlineStr">
        <is>
          <t>WARREN CITY 4F</t>
        </is>
      </c>
      <c r="AP2264" t="inlineStr">
        <is>
          <t>78-P-ADN</t>
        </is>
      </c>
      <c r="AQ2264" t="n">
        <v>9</v>
      </c>
      <c r="AR2264" t="n">
        <v>64</v>
      </c>
      <c r="AS2264" t="n">
        <v>32</v>
      </c>
      <c r="AU2264">
        <f>COUNTA($BA$2264:$EH$2264)</f>
        <v/>
      </c>
      <c r="AV2264">
        <f>COUNTIF($BA$2264:$EH$2264,"D")</f>
        <v/>
      </c>
      <c r="AW2264">
        <f>COUNTIF($BA$2264:$EH$2264,"R")</f>
        <v/>
      </c>
      <c r="AX2264">
        <f>IF(BN2264="D",1,0)+IF(BO2264="D",1,0)+IF(BT2264="D",1,0)+IF(BU2264="D",1,0)+IF(BW2264="D",1,0)+IF(CC2264="D",1,0)+IF(CD2264="D",1,0)+IF(CE2264="D",1,0)+IF(CF2264="D",1,0)+IF(CL2264="D",1,0)+IF(CM2264="D",1,0)+IF(CQ2264="D",1,0)+IF(CR2264="D",1,0)+IF(CS2264="D",1,0)+IF(CW2264="D",1,0)+IF(CX2264="D",1,0)+IF(DD2264="D",1,0)+IF(DE2264="D",1,0)+IF(DJ2264="D",1,0)+IF(DK2264="D",1,0)+IF(DO2264="D",1,0)+IF(DP2264="D",1,0)+IF(DQ2264="D",1,0)+IF(DW2264="D",1,0)+IF(DZ2264="D",1,0)+IF(EH2264="D",1,0)</f>
        <v/>
      </c>
      <c r="AY2264">
        <f>IF(DJ2264&lt;&gt;"",1,0)+IF(DK2264&lt;&gt;"",1,0)+IF(DM2264&lt;&gt;"",1,0)+IF(DO2264&lt;&gt;"",1,0)+IF(DP2264&lt;&gt;"",1,0)+IF(DQ2264&lt;&gt;"",1,0)+IF(DS2264&lt;&gt;"",1,0)+IF(DT2264&lt;&gt;"",1,0)+IF(DV2264&lt;&gt;"",1,0)+IF(DW2264&lt;&gt;"",1,0)+IF(DX2264&lt;&gt;"",1,0)+IF(DY2264&lt;&gt;"",1,0)+IF(DZ2264&lt;&gt;"",1,0)+IF(EB2264&lt;&gt;"",1,0)+IF(EC2264&lt;&gt;"",1,0)+IF(ED2264&lt;&gt;"",1,0)+IF(EG2264&lt;&gt;"",1,0)+IF(EH2264&lt;&gt;"",1,0)</f>
        <v/>
      </c>
      <c r="AZ2264">
        <f>IF(EH2264&lt;&gt;"",1,0)</f>
        <v/>
      </c>
      <c r="BB2264" t="inlineStr">
        <is>
          <t>WARREN-WARD 4</t>
        </is>
      </c>
      <c r="CA2264" t="inlineStr">
        <is>
          <t>X</t>
        </is>
      </c>
      <c r="CP2264" t="inlineStr">
        <is>
          <t>X</t>
        </is>
      </c>
    </row>
    <row r="2265">
      <c r="A2265" t="inlineStr">
        <is>
          <t>OH0026082447</t>
        </is>
      </c>
      <c r="B2265" t="n">
        <v>78</v>
      </c>
      <c r="C2265" t="n">
        <v>455568</v>
      </c>
      <c r="D2265" t="inlineStr">
        <is>
          <t>PHILLIPS</t>
        </is>
      </c>
      <c r="E2265" t="inlineStr">
        <is>
          <t>ROBERT</t>
        </is>
      </c>
      <c r="F2265">
        <f>CONCATENATE(D2265," ",LEFT(H2265,4),"T=",AU2265,"D=",AV2265,"R=",AW2265,"M=",AX2265,"L=",AY2265,"B=",AZ2265)</f>
        <v/>
      </c>
      <c r="G2265" t="inlineStr">
        <is>
          <t>MICHAEL</t>
        </is>
      </c>
      <c r="I2265" t="inlineStr">
        <is>
          <t>1986-04-04</t>
        </is>
      </c>
      <c r="J2265" t="inlineStr">
        <is>
          <t>2021-10-02</t>
        </is>
      </c>
      <c r="K2265" t="inlineStr">
        <is>
          <t>CONFIRMATION</t>
        </is>
      </c>
      <c r="M2265" t="inlineStr">
        <is>
          <t>1542 ADELAIDE AVE SE</t>
        </is>
      </c>
      <c r="N2265">
        <f>RIGHT(M2265,LEN(M2265)-FIND(" ",M2265))</f>
        <v/>
      </c>
      <c r="P2265" t="inlineStr">
        <is>
          <t>WARREN</t>
        </is>
      </c>
      <c r="Q2265" t="inlineStr">
        <is>
          <t>OH</t>
        </is>
      </c>
      <c r="R2265" t="n">
        <v>44484</v>
      </c>
      <c r="AD2265" t="inlineStr">
        <is>
          <t>TRUMBULL CAREER &amp; TECH CENTER</t>
        </is>
      </c>
      <c r="AE2265" t="inlineStr">
        <is>
          <t>WARREN CITY</t>
        </is>
      </c>
      <c r="AF2265" t="inlineStr">
        <is>
          <t>WARREN CITY SD</t>
        </is>
      </c>
      <c r="AH2265" t="n">
        <v>14</v>
      </c>
      <c r="AI2265" t="n">
        <v>11</v>
      </c>
      <c r="AN2265" t="inlineStr">
        <is>
          <t>WARREN</t>
        </is>
      </c>
      <c r="AO2265" t="inlineStr">
        <is>
          <t>WARREN CITY 4F</t>
        </is>
      </c>
      <c r="AP2265" t="inlineStr">
        <is>
          <t>78-P-ADN</t>
        </is>
      </c>
      <c r="AQ2265" t="n">
        <v>9</v>
      </c>
      <c r="AR2265" t="n">
        <v>64</v>
      </c>
      <c r="AS2265" t="n">
        <v>32</v>
      </c>
      <c r="AU2265">
        <f>COUNTA($BA$2265:$EH$2265)</f>
        <v/>
      </c>
      <c r="AV2265">
        <f>COUNTIF($BA$2265:$EH$2265,"D")</f>
        <v/>
      </c>
      <c r="AW2265">
        <f>COUNTIF($BA$2265:$EH$2265,"R")</f>
        <v/>
      </c>
      <c r="AX2265">
        <f>IF(BN2265="D",1,0)+IF(BO2265="D",1,0)+IF(BT2265="D",1,0)+IF(BU2265="D",1,0)+IF(BW2265="D",1,0)+IF(CC2265="D",1,0)+IF(CD2265="D",1,0)+IF(CE2265="D",1,0)+IF(CF2265="D",1,0)+IF(CL2265="D",1,0)+IF(CM2265="D",1,0)+IF(CQ2265="D",1,0)+IF(CR2265="D",1,0)+IF(CS2265="D",1,0)+IF(CW2265="D",1,0)+IF(CX2265="D",1,0)+IF(DD2265="D",1,0)+IF(DE2265="D",1,0)+IF(DJ2265="D",1,0)+IF(DK2265="D",1,0)+IF(DO2265="D",1,0)+IF(DP2265="D",1,0)+IF(DQ2265="D",1,0)+IF(DW2265="D",1,0)+IF(DZ2265="D",1,0)+IF(EH2265="D",1,0)</f>
        <v/>
      </c>
      <c r="AY2265">
        <f>IF(DJ2265&lt;&gt;"",1,0)+IF(DK2265&lt;&gt;"",1,0)+IF(DM2265&lt;&gt;"",1,0)+IF(DO2265&lt;&gt;"",1,0)+IF(DP2265&lt;&gt;"",1,0)+IF(DQ2265&lt;&gt;"",1,0)+IF(DS2265&lt;&gt;"",1,0)+IF(DT2265&lt;&gt;"",1,0)+IF(DV2265&lt;&gt;"",1,0)+IF(DW2265&lt;&gt;"",1,0)+IF(DX2265&lt;&gt;"",1,0)+IF(DY2265&lt;&gt;"",1,0)+IF(DZ2265&lt;&gt;"",1,0)+IF(EB2265&lt;&gt;"",1,0)+IF(EC2265&lt;&gt;"",1,0)+IF(ED2265&lt;&gt;"",1,0)+IF(EG2265&lt;&gt;"",1,0)+IF(EH2265&lt;&gt;"",1,0)</f>
        <v/>
      </c>
      <c r="AZ2265">
        <f>IF(EH2265&lt;&gt;"",1,0)</f>
        <v/>
      </c>
      <c r="BB2265" t="inlineStr">
        <is>
          <t>WARREN-WARD 4</t>
        </is>
      </c>
    </row>
    <row r="2266">
      <c r="A2266" t="inlineStr">
        <is>
          <t>OH0026082873</t>
        </is>
      </c>
      <c r="B2266" t="n">
        <v>78</v>
      </c>
      <c r="C2266" t="n">
        <v>455960</v>
      </c>
      <c r="D2266" t="inlineStr">
        <is>
          <t>FLEISHER</t>
        </is>
      </c>
      <c r="E2266" t="inlineStr">
        <is>
          <t>SHEILA</t>
        </is>
      </c>
      <c r="F2266">
        <f>CONCATENATE(D2266," ",LEFT(H2266,4),"T=",AU2266,"D=",AV2266,"R=",AW2266,"M=",AX2266,"L=",AY2266,"B=",AZ2266)</f>
        <v/>
      </c>
      <c r="G2266" t="inlineStr">
        <is>
          <t>MARIE</t>
        </is>
      </c>
      <c r="I2266" t="inlineStr">
        <is>
          <t>1964-12-07</t>
        </is>
      </c>
      <c r="J2266" t="inlineStr">
        <is>
          <t>2020-11-13</t>
        </is>
      </c>
      <c r="K2266" t="inlineStr">
        <is>
          <t>ACTIVE</t>
        </is>
      </c>
      <c r="M2266" t="inlineStr">
        <is>
          <t>2673 DUKE AVE SE</t>
        </is>
      </c>
      <c r="N2266">
        <f>RIGHT(M2266,LEN(M2266)-FIND(" ",M2266))</f>
        <v/>
      </c>
      <c r="P2266" t="inlineStr">
        <is>
          <t>WARREN</t>
        </is>
      </c>
      <c r="Q2266" t="inlineStr">
        <is>
          <t>OH</t>
        </is>
      </c>
      <c r="R2266" t="n">
        <v>44484</v>
      </c>
      <c r="AD2266" t="inlineStr">
        <is>
          <t>TRUMBULL CAREER &amp; TECH CENTER</t>
        </is>
      </c>
      <c r="AE2266" t="inlineStr">
        <is>
          <t>WARREN CITY</t>
        </is>
      </c>
      <c r="AF2266" t="inlineStr">
        <is>
          <t>WARREN CITY SD</t>
        </is>
      </c>
      <c r="AH2266" t="n">
        <v>14</v>
      </c>
      <c r="AI2266" t="n">
        <v>11</v>
      </c>
      <c r="AN2266" t="inlineStr">
        <is>
          <t>WARREN</t>
        </is>
      </c>
      <c r="AO2266" t="inlineStr">
        <is>
          <t>WARREN CITY 4F</t>
        </is>
      </c>
      <c r="AP2266" t="inlineStr">
        <is>
          <t>78-P-ADN</t>
        </is>
      </c>
      <c r="AQ2266" t="n">
        <v>9</v>
      </c>
      <c r="AR2266" t="n">
        <v>64</v>
      </c>
      <c r="AS2266" t="n">
        <v>32</v>
      </c>
      <c r="AU2266">
        <f>COUNTA($BA$2266:$EH$2266)</f>
        <v/>
      </c>
      <c r="AV2266">
        <f>COUNTIF($BA$2266:$EH$2266,"D")</f>
        <v/>
      </c>
      <c r="AW2266">
        <f>COUNTIF($BA$2266:$EH$2266,"R")</f>
        <v/>
      </c>
      <c r="AX2266">
        <f>IF(BN2266="D",1,0)+IF(BO2266="D",1,0)+IF(BT2266="D",1,0)+IF(BU2266="D",1,0)+IF(BW2266="D",1,0)+IF(CC2266="D",1,0)+IF(CD2266="D",1,0)+IF(CE2266="D",1,0)+IF(CF2266="D",1,0)+IF(CL2266="D",1,0)+IF(CM2266="D",1,0)+IF(CQ2266="D",1,0)+IF(CR2266="D",1,0)+IF(CS2266="D",1,0)+IF(CW2266="D",1,0)+IF(CX2266="D",1,0)+IF(DD2266="D",1,0)+IF(DE2266="D",1,0)+IF(DJ2266="D",1,0)+IF(DK2266="D",1,0)+IF(DO2266="D",1,0)+IF(DP2266="D",1,0)+IF(DQ2266="D",1,0)+IF(DW2266="D",1,0)+IF(DZ2266="D",1,0)+IF(EH2266="D",1,0)</f>
        <v/>
      </c>
      <c r="AY2266">
        <f>IF(DJ2266&lt;&gt;"",1,0)+IF(DK2266&lt;&gt;"",1,0)+IF(DM2266&lt;&gt;"",1,0)+IF(DO2266&lt;&gt;"",1,0)+IF(DP2266&lt;&gt;"",1,0)+IF(DQ2266&lt;&gt;"",1,0)+IF(DS2266&lt;&gt;"",1,0)+IF(DT2266&lt;&gt;"",1,0)+IF(DV2266&lt;&gt;"",1,0)+IF(DW2266&lt;&gt;"",1,0)+IF(DX2266&lt;&gt;"",1,0)+IF(DY2266&lt;&gt;"",1,0)+IF(DZ2266&lt;&gt;"",1,0)+IF(EB2266&lt;&gt;"",1,0)+IF(EC2266&lt;&gt;"",1,0)+IF(ED2266&lt;&gt;"",1,0)+IF(EG2266&lt;&gt;"",1,0)+IF(EH2266&lt;&gt;"",1,0)</f>
        <v/>
      </c>
      <c r="AZ2266">
        <f>IF(EH2266&lt;&gt;"",1,0)</f>
        <v/>
      </c>
      <c r="BB2266" t="inlineStr">
        <is>
          <t>WARREN-WARD 4</t>
        </is>
      </c>
    </row>
    <row r="2267">
      <c r="A2267" t="inlineStr">
        <is>
          <t>OH0027232329</t>
        </is>
      </c>
      <c r="B2267" t="n">
        <v>78</v>
      </c>
      <c r="C2267" t="n">
        <v>481072</v>
      </c>
      <c r="D2267" t="inlineStr">
        <is>
          <t>KNELL</t>
        </is>
      </c>
      <c r="E2267" t="inlineStr">
        <is>
          <t>EMILY</t>
        </is>
      </c>
      <c r="F2267">
        <f>CONCATENATE(D2267," ",LEFT(H2267,4),"T=",AU2267,"D=",AV2267,"R=",AW2267,"M=",AX2267,"L=",AY2267,"B=",AZ2267)</f>
        <v/>
      </c>
      <c r="G2267" t="inlineStr">
        <is>
          <t>M</t>
        </is>
      </c>
      <c r="I2267" t="inlineStr">
        <is>
          <t>1998-03-14</t>
        </is>
      </c>
      <c r="J2267" t="inlineStr">
        <is>
          <t>2024-02-03</t>
        </is>
      </c>
      <c r="K2267" t="inlineStr">
        <is>
          <t>ACTIVE</t>
        </is>
      </c>
      <c r="M2267" t="inlineStr">
        <is>
          <t>1966 BENTON ST SE</t>
        </is>
      </c>
      <c r="N2267">
        <f>RIGHT(M2267,LEN(M2267)-FIND(" ",M2267))</f>
        <v/>
      </c>
      <c r="P2267" t="inlineStr">
        <is>
          <t>WARREN</t>
        </is>
      </c>
      <c r="Q2267" t="inlineStr">
        <is>
          <t>OH</t>
        </is>
      </c>
      <c r="R2267" t="n">
        <v>44484</v>
      </c>
      <c r="AD2267" t="inlineStr">
        <is>
          <t>TRUMBULL CAREER &amp; TECH CENTER</t>
        </is>
      </c>
      <c r="AE2267" t="inlineStr">
        <is>
          <t>WARREN CITY</t>
        </is>
      </c>
      <c r="AF2267" t="inlineStr">
        <is>
          <t>WARREN CITY SD</t>
        </is>
      </c>
      <c r="AH2267" t="n">
        <v>14</v>
      </c>
      <c r="AI2267" t="n">
        <v>11</v>
      </c>
      <c r="AN2267" t="inlineStr">
        <is>
          <t>WARREN</t>
        </is>
      </c>
      <c r="AO2267" t="inlineStr">
        <is>
          <t>WARREN CITY 4F</t>
        </is>
      </c>
      <c r="AP2267" t="inlineStr">
        <is>
          <t>78-P-ADN</t>
        </is>
      </c>
      <c r="AQ2267" t="n">
        <v>9</v>
      </c>
      <c r="AR2267" t="n">
        <v>64</v>
      </c>
      <c r="AS2267" t="n">
        <v>32</v>
      </c>
      <c r="AU2267">
        <f>COUNTA($BA$2267:$EH$2267)</f>
        <v/>
      </c>
      <c r="AV2267">
        <f>COUNTIF($BA$2267:$EH$2267,"D")</f>
        <v/>
      </c>
      <c r="AW2267">
        <f>COUNTIF($BA$2267:$EH$2267,"R")</f>
        <v/>
      </c>
      <c r="AX2267">
        <f>IF(BN2267="D",1,0)+IF(BO2267="D",1,0)+IF(BT2267="D",1,0)+IF(BU2267="D",1,0)+IF(BW2267="D",1,0)+IF(CC2267="D",1,0)+IF(CD2267="D",1,0)+IF(CE2267="D",1,0)+IF(CF2267="D",1,0)+IF(CL2267="D",1,0)+IF(CM2267="D",1,0)+IF(CQ2267="D",1,0)+IF(CR2267="D",1,0)+IF(CS2267="D",1,0)+IF(CW2267="D",1,0)+IF(CX2267="D",1,0)+IF(DD2267="D",1,0)+IF(DE2267="D",1,0)+IF(DJ2267="D",1,0)+IF(DK2267="D",1,0)+IF(DO2267="D",1,0)+IF(DP2267="D",1,0)+IF(DQ2267="D",1,0)+IF(DW2267="D",1,0)+IF(DZ2267="D",1,0)+IF(EH2267="D",1,0)</f>
        <v/>
      </c>
      <c r="AY2267">
        <f>IF(DJ2267&lt;&gt;"",1,0)+IF(DK2267&lt;&gt;"",1,0)+IF(DM2267&lt;&gt;"",1,0)+IF(DO2267&lt;&gt;"",1,0)+IF(DP2267&lt;&gt;"",1,0)+IF(DQ2267&lt;&gt;"",1,0)+IF(DS2267&lt;&gt;"",1,0)+IF(DT2267&lt;&gt;"",1,0)+IF(DV2267&lt;&gt;"",1,0)+IF(DW2267&lt;&gt;"",1,0)+IF(DX2267&lt;&gt;"",1,0)+IF(DY2267&lt;&gt;"",1,0)+IF(DZ2267&lt;&gt;"",1,0)+IF(EB2267&lt;&gt;"",1,0)+IF(EC2267&lt;&gt;"",1,0)+IF(ED2267&lt;&gt;"",1,0)+IF(EG2267&lt;&gt;"",1,0)+IF(EH2267&lt;&gt;"",1,0)</f>
        <v/>
      </c>
      <c r="AZ2267">
        <f>IF(EH2267&lt;&gt;"",1,0)</f>
        <v/>
      </c>
      <c r="BB2267" t="inlineStr">
        <is>
          <t>WARREN-WARD 4</t>
        </is>
      </c>
      <c r="DC2267" t="inlineStr">
        <is>
          <t>X</t>
        </is>
      </c>
    </row>
    <row r="2268">
      <c r="A2268" t="inlineStr">
        <is>
          <t>OH0027513617</t>
        </is>
      </c>
      <c r="B2268" t="n">
        <v>78</v>
      </c>
      <c r="C2268" t="n">
        <v>487570</v>
      </c>
      <c r="D2268" t="inlineStr">
        <is>
          <t>ROBINSON</t>
        </is>
      </c>
      <c r="E2268" t="inlineStr">
        <is>
          <t>ZACH</t>
        </is>
      </c>
      <c r="F2268">
        <f>CONCATENATE(D2268," ",LEFT(H2268,4),"T=",AU2268,"D=",AV2268,"R=",AW2268,"M=",AX2268,"L=",AY2268,"B=",AZ2268)</f>
        <v/>
      </c>
      <c r="I2268" t="inlineStr">
        <is>
          <t>2000-11-05</t>
        </is>
      </c>
      <c r="J2268" t="inlineStr">
        <is>
          <t>2024-08-05</t>
        </is>
      </c>
      <c r="K2268" t="inlineStr">
        <is>
          <t>ACTIVE</t>
        </is>
      </c>
      <c r="M2268" t="inlineStr">
        <is>
          <t>1510 ROMAN ST SE</t>
        </is>
      </c>
      <c r="N2268">
        <f>RIGHT(M2268,LEN(M2268)-FIND(" ",M2268))</f>
        <v/>
      </c>
      <c r="P2268" t="inlineStr">
        <is>
          <t>WARREN</t>
        </is>
      </c>
      <c r="Q2268" t="inlineStr">
        <is>
          <t>OH</t>
        </is>
      </c>
      <c r="R2268" t="n">
        <v>44484</v>
      </c>
      <c r="AD2268" t="inlineStr">
        <is>
          <t>TRUMBULL CAREER &amp; TECH CENTER</t>
        </is>
      </c>
      <c r="AE2268" t="inlineStr">
        <is>
          <t>WARREN CITY</t>
        </is>
      </c>
      <c r="AF2268" t="inlineStr">
        <is>
          <t>WARREN CITY SD</t>
        </is>
      </c>
      <c r="AH2268" t="n">
        <v>14</v>
      </c>
      <c r="AI2268" t="n">
        <v>11</v>
      </c>
      <c r="AN2268" t="inlineStr">
        <is>
          <t>WARREN</t>
        </is>
      </c>
      <c r="AO2268" t="inlineStr">
        <is>
          <t>WARREN CITY 4F</t>
        </is>
      </c>
      <c r="AP2268" t="inlineStr">
        <is>
          <t>78-P-ADN</t>
        </is>
      </c>
      <c r="AQ2268" t="n">
        <v>9</v>
      </c>
      <c r="AR2268" t="n">
        <v>64</v>
      </c>
      <c r="AS2268" t="n">
        <v>32</v>
      </c>
      <c r="AU2268">
        <f>COUNTA($BA$2268:$EH$2268)</f>
        <v/>
      </c>
      <c r="AV2268">
        <f>COUNTIF($BA$2268:$EH$2268,"D")</f>
        <v/>
      </c>
      <c r="AW2268">
        <f>COUNTIF($BA$2268:$EH$2268,"R")</f>
        <v/>
      </c>
      <c r="AX2268">
        <f>IF(BN2268="D",1,0)+IF(BO2268="D",1,0)+IF(BT2268="D",1,0)+IF(BU2268="D",1,0)+IF(BW2268="D",1,0)+IF(CC2268="D",1,0)+IF(CD2268="D",1,0)+IF(CE2268="D",1,0)+IF(CF2268="D",1,0)+IF(CL2268="D",1,0)+IF(CM2268="D",1,0)+IF(CQ2268="D",1,0)+IF(CR2268="D",1,0)+IF(CS2268="D",1,0)+IF(CW2268="D",1,0)+IF(CX2268="D",1,0)+IF(DD2268="D",1,0)+IF(DE2268="D",1,0)+IF(DJ2268="D",1,0)+IF(DK2268="D",1,0)+IF(DO2268="D",1,0)+IF(DP2268="D",1,0)+IF(DQ2268="D",1,0)+IF(DW2268="D",1,0)+IF(DZ2268="D",1,0)+IF(EH2268="D",1,0)</f>
        <v/>
      </c>
      <c r="AY2268">
        <f>IF(DJ2268&lt;&gt;"",1,0)+IF(DK2268&lt;&gt;"",1,0)+IF(DM2268&lt;&gt;"",1,0)+IF(DO2268&lt;&gt;"",1,0)+IF(DP2268&lt;&gt;"",1,0)+IF(DQ2268&lt;&gt;"",1,0)+IF(DS2268&lt;&gt;"",1,0)+IF(DT2268&lt;&gt;"",1,0)+IF(DV2268&lt;&gt;"",1,0)+IF(DW2268&lt;&gt;"",1,0)+IF(DX2268&lt;&gt;"",1,0)+IF(DY2268&lt;&gt;"",1,0)+IF(DZ2268&lt;&gt;"",1,0)+IF(EB2268&lt;&gt;"",1,0)+IF(EC2268&lt;&gt;"",1,0)+IF(ED2268&lt;&gt;"",1,0)+IF(EG2268&lt;&gt;"",1,0)+IF(EH2268&lt;&gt;"",1,0)</f>
        <v/>
      </c>
      <c r="AZ2268">
        <f>IF(EH2268&lt;&gt;"",1,0)</f>
        <v/>
      </c>
      <c r="BB2268" t="inlineStr">
        <is>
          <t>WARREN-WARD 4</t>
        </is>
      </c>
    </row>
    <row r="2269">
      <c r="A2269" t="inlineStr">
        <is>
          <t>OH0020942738</t>
        </is>
      </c>
      <c r="B2269" t="n">
        <v>78</v>
      </c>
      <c r="C2269" t="n">
        <v>372259</v>
      </c>
      <c r="D2269" t="inlineStr">
        <is>
          <t>BAUGH</t>
        </is>
      </c>
      <c r="E2269" t="inlineStr">
        <is>
          <t>JEFFREY</t>
        </is>
      </c>
      <c r="F2269">
        <f>CONCATENATE(D2269," ",LEFT(H2269,4),"T=",AU2269,"D=",AV2269,"R=",AW2269,"M=",AX2269,"L=",AY2269,"B=",AZ2269)</f>
        <v/>
      </c>
      <c r="G2269" t="inlineStr">
        <is>
          <t>E</t>
        </is>
      </c>
      <c r="I2269" t="inlineStr">
        <is>
          <t>1974-07-05</t>
        </is>
      </c>
      <c r="J2269" t="inlineStr">
        <is>
          <t>2014-08-04</t>
        </is>
      </c>
      <c r="K2269" t="inlineStr">
        <is>
          <t>CONFIRMATION</t>
        </is>
      </c>
      <c r="M2269" t="inlineStr">
        <is>
          <t>1140 WOODBINE AVE SE</t>
        </is>
      </c>
      <c r="N2269">
        <f>RIGHT(M2269,LEN(M2269)-FIND(" ",M2269))</f>
        <v/>
      </c>
      <c r="P2269" t="inlineStr">
        <is>
          <t>WARREN</t>
        </is>
      </c>
      <c r="Q2269" t="inlineStr">
        <is>
          <t>OH</t>
        </is>
      </c>
      <c r="R2269" t="n">
        <v>44484</v>
      </c>
      <c r="AD2269" t="inlineStr">
        <is>
          <t>TRUMBULL CAREER &amp; TECH CENTER</t>
        </is>
      </c>
      <c r="AE2269" t="inlineStr">
        <is>
          <t>WARREN CITY</t>
        </is>
      </c>
      <c r="AF2269" t="inlineStr">
        <is>
          <t>WARREN CITY SD</t>
        </is>
      </c>
      <c r="AH2269" t="n">
        <v>14</v>
      </c>
      <c r="AI2269" t="n">
        <v>11</v>
      </c>
      <c r="AN2269" t="inlineStr">
        <is>
          <t>WARREN</t>
        </is>
      </c>
      <c r="AO2269" t="inlineStr">
        <is>
          <t>WARREN CITY 4F</t>
        </is>
      </c>
      <c r="AP2269" t="inlineStr">
        <is>
          <t>78-P-ADN</t>
        </is>
      </c>
      <c r="AQ2269" t="n">
        <v>9</v>
      </c>
      <c r="AR2269" t="n">
        <v>64</v>
      </c>
      <c r="AS2269" t="n">
        <v>32</v>
      </c>
      <c r="AU2269">
        <f>COUNTA($BA$2269:$EH$2269)</f>
        <v/>
      </c>
      <c r="AV2269">
        <f>COUNTIF($BA$2269:$EH$2269,"D")</f>
        <v/>
      </c>
      <c r="AW2269">
        <f>COUNTIF($BA$2269:$EH$2269,"R")</f>
        <v/>
      </c>
      <c r="AX2269">
        <f>IF(BN2269="D",1,0)+IF(BO2269="D",1,0)+IF(BT2269="D",1,0)+IF(BU2269="D",1,0)+IF(BW2269="D",1,0)+IF(CC2269="D",1,0)+IF(CD2269="D",1,0)+IF(CE2269="D",1,0)+IF(CF2269="D",1,0)+IF(CL2269="D",1,0)+IF(CM2269="D",1,0)+IF(CQ2269="D",1,0)+IF(CR2269="D",1,0)+IF(CS2269="D",1,0)+IF(CW2269="D",1,0)+IF(CX2269="D",1,0)+IF(DD2269="D",1,0)+IF(DE2269="D",1,0)+IF(DJ2269="D",1,0)+IF(DK2269="D",1,0)+IF(DO2269="D",1,0)+IF(DP2269="D",1,0)+IF(DQ2269="D",1,0)+IF(DW2269="D",1,0)+IF(DZ2269="D",1,0)+IF(EH2269="D",1,0)</f>
        <v/>
      </c>
      <c r="AY2269">
        <f>IF(DJ2269&lt;&gt;"",1,0)+IF(DK2269&lt;&gt;"",1,0)+IF(DM2269&lt;&gt;"",1,0)+IF(DO2269&lt;&gt;"",1,0)+IF(DP2269&lt;&gt;"",1,0)+IF(DQ2269&lt;&gt;"",1,0)+IF(DS2269&lt;&gt;"",1,0)+IF(DT2269&lt;&gt;"",1,0)+IF(DV2269&lt;&gt;"",1,0)+IF(DW2269&lt;&gt;"",1,0)+IF(DX2269&lt;&gt;"",1,0)+IF(DY2269&lt;&gt;"",1,0)+IF(DZ2269&lt;&gt;"",1,0)+IF(EB2269&lt;&gt;"",1,0)+IF(EC2269&lt;&gt;"",1,0)+IF(ED2269&lt;&gt;"",1,0)+IF(EG2269&lt;&gt;"",1,0)+IF(EH2269&lt;&gt;"",1,0)</f>
        <v/>
      </c>
      <c r="AZ2269">
        <f>IF(EH2269&lt;&gt;"",1,0)</f>
        <v/>
      </c>
      <c r="BB2269" t="inlineStr">
        <is>
          <t>WARREN-WARD 4</t>
        </is>
      </c>
    </row>
    <row r="2270">
      <c r="A2270" t="inlineStr">
        <is>
          <t>OH0021884051</t>
        </is>
      </c>
      <c r="B2270" t="n">
        <v>78</v>
      </c>
      <c r="C2270" t="n">
        <v>388793</v>
      </c>
      <c r="D2270" t="inlineStr">
        <is>
          <t>MCDANIELS</t>
        </is>
      </c>
      <c r="E2270" t="inlineStr">
        <is>
          <t>CRAIG</t>
        </is>
      </c>
      <c r="F2270">
        <f>CONCATENATE(D2270," ",LEFT(H2270,4),"T=",AU2270,"D=",AV2270,"R=",AW2270,"M=",AX2270,"L=",AY2270,"B=",AZ2270)</f>
        <v/>
      </c>
      <c r="G2270" t="inlineStr">
        <is>
          <t>ALLEN</t>
        </is>
      </c>
      <c r="I2270" t="inlineStr">
        <is>
          <t>1965-02-06</t>
        </is>
      </c>
      <c r="J2270" t="inlineStr">
        <is>
          <t>2018-11-28</t>
        </is>
      </c>
      <c r="K2270" t="inlineStr">
        <is>
          <t>ACTIVE</t>
        </is>
      </c>
      <c r="L2270" t="inlineStr">
        <is>
          <t>D</t>
        </is>
      </c>
      <c r="M2270" t="inlineStr">
        <is>
          <t>1040 WOODBINE AVE SE</t>
        </is>
      </c>
      <c r="N2270">
        <f>RIGHT(M2270,LEN(M2270)-FIND(" ",M2270))</f>
        <v/>
      </c>
      <c r="P2270" t="inlineStr">
        <is>
          <t>WARREN</t>
        </is>
      </c>
      <c r="Q2270" t="inlineStr">
        <is>
          <t>OH</t>
        </is>
      </c>
      <c r="R2270" t="n">
        <v>44484</v>
      </c>
      <c r="AD2270" t="inlineStr">
        <is>
          <t>TRUMBULL CAREER &amp; TECH CENTER</t>
        </is>
      </c>
      <c r="AE2270" t="inlineStr">
        <is>
          <t>WARREN CITY</t>
        </is>
      </c>
      <c r="AF2270" t="inlineStr">
        <is>
          <t>WARREN CITY SD</t>
        </is>
      </c>
      <c r="AH2270" t="n">
        <v>14</v>
      </c>
      <c r="AI2270" t="n">
        <v>11</v>
      </c>
      <c r="AN2270" t="inlineStr">
        <is>
          <t>WARREN</t>
        </is>
      </c>
      <c r="AO2270" t="inlineStr">
        <is>
          <t>WARREN CITY 4F</t>
        </is>
      </c>
      <c r="AP2270" t="inlineStr">
        <is>
          <t>78-P-ADN</t>
        </is>
      </c>
      <c r="AQ2270" t="n">
        <v>9</v>
      </c>
      <c r="AR2270" t="n">
        <v>64</v>
      </c>
      <c r="AS2270" t="n">
        <v>32</v>
      </c>
      <c r="AU2270">
        <f>COUNTA($BA$2270:$EH$2270)</f>
        <v/>
      </c>
      <c r="AV2270">
        <f>COUNTIF($BA$2270:$EH$2270,"D")</f>
        <v/>
      </c>
      <c r="AW2270">
        <f>COUNTIF($BA$2270:$EH$2270,"R")</f>
        <v/>
      </c>
      <c r="AX2270">
        <f>IF(BN2270="D",1,0)+IF(BO2270="D",1,0)+IF(BT2270="D",1,0)+IF(BU2270="D",1,0)+IF(BW2270="D",1,0)+IF(CC2270="D",1,0)+IF(CD2270="D",1,0)+IF(CE2270="D",1,0)+IF(CF2270="D",1,0)+IF(CL2270="D",1,0)+IF(CM2270="D",1,0)+IF(CQ2270="D",1,0)+IF(CR2270="D",1,0)+IF(CS2270="D",1,0)+IF(CW2270="D",1,0)+IF(CX2270="D",1,0)+IF(DD2270="D",1,0)+IF(DE2270="D",1,0)+IF(DJ2270="D",1,0)+IF(DK2270="D",1,0)+IF(DO2270="D",1,0)+IF(DP2270="D",1,0)+IF(DQ2270="D",1,0)+IF(DW2270="D",1,0)+IF(DZ2270="D",1,0)+IF(EH2270="D",1,0)</f>
        <v/>
      </c>
      <c r="AY2270">
        <f>IF(DJ2270&lt;&gt;"",1,0)+IF(DK2270&lt;&gt;"",1,0)+IF(DM2270&lt;&gt;"",1,0)+IF(DO2270&lt;&gt;"",1,0)+IF(DP2270&lt;&gt;"",1,0)+IF(DQ2270&lt;&gt;"",1,0)+IF(DS2270&lt;&gt;"",1,0)+IF(DT2270&lt;&gt;"",1,0)+IF(DV2270&lt;&gt;"",1,0)+IF(DW2270&lt;&gt;"",1,0)+IF(DX2270&lt;&gt;"",1,0)+IF(DY2270&lt;&gt;"",1,0)+IF(DZ2270&lt;&gt;"",1,0)+IF(EB2270&lt;&gt;"",1,0)+IF(EC2270&lt;&gt;"",1,0)+IF(ED2270&lt;&gt;"",1,0)+IF(EG2270&lt;&gt;"",1,0)+IF(EH2270&lt;&gt;"",1,0)</f>
        <v/>
      </c>
      <c r="AZ2270">
        <f>IF(EH2270&lt;&gt;"",1,0)</f>
        <v/>
      </c>
      <c r="BB2270" t="inlineStr">
        <is>
          <t>WARREN-WARD 4</t>
        </is>
      </c>
      <c r="CP2270" t="inlineStr">
        <is>
          <t>X</t>
        </is>
      </c>
      <c r="DC2270" t="inlineStr">
        <is>
          <t>X</t>
        </is>
      </c>
      <c r="DF2270" t="inlineStr">
        <is>
          <t>X</t>
        </is>
      </c>
      <c r="DG2270" t="inlineStr">
        <is>
          <t>D</t>
        </is>
      </c>
      <c r="DI2270" t="inlineStr">
        <is>
          <t>X</t>
        </is>
      </c>
      <c r="DL2270" t="inlineStr">
        <is>
          <t>X</t>
        </is>
      </c>
      <c r="DM2270" t="inlineStr">
        <is>
          <t>D</t>
        </is>
      </c>
      <c r="DN2270" t="inlineStr">
        <is>
          <t>X</t>
        </is>
      </c>
      <c r="DR2270" t="inlineStr">
        <is>
          <t>X</t>
        </is>
      </c>
      <c r="DS2270" t="inlineStr">
        <is>
          <t>D</t>
        </is>
      </c>
      <c r="DT2270" t="inlineStr">
        <is>
          <t>D</t>
        </is>
      </c>
      <c r="DU2270" t="inlineStr">
        <is>
          <t>X</t>
        </is>
      </c>
      <c r="DW2270" t="inlineStr">
        <is>
          <t>D</t>
        </is>
      </c>
      <c r="EA2270" t="inlineStr">
        <is>
          <t>X</t>
        </is>
      </c>
      <c r="ED2270" t="inlineStr">
        <is>
          <t>D</t>
        </is>
      </c>
      <c r="EF2270" t="inlineStr">
        <is>
          <t>X</t>
        </is>
      </c>
      <c r="EH2270" t="inlineStr">
        <is>
          <t>D</t>
        </is>
      </c>
    </row>
    <row r="2271">
      <c r="A2271" t="inlineStr">
        <is>
          <t>OH0026276889</t>
        </is>
      </c>
      <c r="B2271" t="n">
        <v>78</v>
      </c>
      <c r="C2271" t="n">
        <v>459495</v>
      </c>
      <c r="D2271" t="inlineStr">
        <is>
          <t>ORENIC</t>
        </is>
      </c>
      <c r="E2271" t="inlineStr">
        <is>
          <t>RYAN</t>
        </is>
      </c>
      <c r="F2271">
        <f>CONCATENATE(D2271," ",LEFT(H2271,4),"T=",AU2271,"D=",AV2271,"R=",AW2271,"M=",AX2271,"L=",AY2271,"B=",AZ2271)</f>
        <v/>
      </c>
      <c r="G2271" t="inlineStr">
        <is>
          <t>PAUL</t>
        </is>
      </c>
      <c r="I2271" t="inlineStr">
        <is>
          <t>1988-08-26</t>
        </is>
      </c>
      <c r="J2271" t="inlineStr">
        <is>
          <t>2021-08-26</t>
        </is>
      </c>
      <c r="K2271" t="inlineStr">
        <is>
          <t>CONFIRMATION</t>
        </is>
      </c>
      <c r="M2271" t="inlineStr">
        <is>
          <t>1227 NILES RD SE</t>
        </is>
      </c>
      <c r="N2271">
        <f>RIGHT(M2271,LEN(M2271)-FIND(" ",M2271))</f>
        <v/>
      </c>
      <c r="P2271" t="inlineStr">
        <is>
          <t>WARREN</t>
        </is>
      </c>
      <c r="Q2271" t="inlineStr">
        <is>
          <t>OH</t>
        </is>
      </c>
      <c r="R2271" t="n">
        <v>44484</v>
      </c>
      <c r="AD2271" t="inlineStr">
        <is>
          <t>TRUMBULL CAREER &amp; TECH CENTER</t>
        </is>
      </c>
      <c r="AE2271" t="inlineStr">
        <is>
          <t>WARREN CITY</t>
        </is>
      </c>
      <c r="AF2271" t="inlineStr">
        <is>
          <t>WARREN CITY SD</t>
        </is>
      </c>
      <c r="AH2271" t="n">
        <v>14</v>
      </c>
      <c r="AI2271" t="n">
        <v>11</v>
      </c>
      <c r="AN2271" t="inlineStr">
        <is>
          <t>WARREN</t>
        </is>
      </c>
      <c r="AO2271" t="inlineStr">
        <is>
          <t>WARREN CITY 4F</t>
        </is>
      </c>
      <c r="AP2271" t="inlineStr">
        <is>
          <t>78-P-ADN</t>
        </is>
      </c>
      <c r="AQ2271" t="n">
        <v>9</v>
      </c>
      <c r="AR2271" t="n">
        <v>64</v>
      </c>
      <c r="AS2271" t="n">
        <v>32</v>
      </c>
      <c r="AU2271">
        <f>COUNTA($BA$2271:$EH$2271)</f>
        <v/>
      </c>
      <c r="AV2271">
        <f>COUNTIF($BA$2271:$EH$2271,"D")</f>
        <v/>
      </c>
      <c r="AW2271">
        <f>COUNTIF($BA$2271:$EH$2271,"R")</f>
        <v/>
      </c>
      <c r="AX2271">
        <f>IF(BN2271="D",1,0)+IF(BO2271="D",1,0)+IF(BT2271="D",1,0)+IF(BU2271="D",1,0)+IF(BW2271="D",1,0)+IF(CC2271="D",1,0)+IF(CD2271="D",1,0)+IF(CE2271="D",1,0)+IF(CF2271="D",1,0)+IF(CL2271="D",1,0)+IF(CM2271="D",1,0)+IF(CQ2271="D",1,0)+IF(CR2271="D",1,0)+IF(CS2271="D",1,0)+IF(CW2271="D",1,0)+IF(CX2271="D",1,0)+IF(DD2271="D",1,0)+IF(DE2271="D",1,0)+IF(DJ2271="D",1,0)+IF(DK2271="D",1,0)+IF(DO2271="D",1,0)+IF(DP2271="D",1,0)+IF(DQ2271="D",1,0)+IF(DW2271="D",1,0)+IF(DZ2271="D",1,0)+IF(EH2271="D",1,0)</f>
        <v/>
      </c>
      <c r="AY2271">
        <f>IF(DJ2271&lt;&gt;"",1,0)+IF(DK2271&lt;&gt;"",1,0)+IF(DM2271&lt;&gt;"",1,0)+IF(DO2271&lt;&gt;"",1,0)+IF(DP2271&lt;&gt;"",1,0)+IF(DQ2271&lt;&gt;"",1,0)+IF(DS2271&lt;&gt;"",1,0)+IF(DT2271&lt;&gt;"",1,0)+IF(DV2271&lt;&gt;"",1,0)+IF(DW2271&lt;&gt;"",1,0)+IF(DX2271&lt;&gt;"",1,0)+IF(DY2271&lt;&gt;"",1,0)+IF(DZ2271&lt;&gt;"",1,0)+IF(EB2271&lt;&gt;"",1,0)+IF(EC2271&lt;&gt;"",1,0)+IF(ED2271&lt;&gt;"",1,0)+IF(EG2271&lt;&gt;"",1,0)+IF(EH2271&lt;&gt;"",1,0)</f>
        <v/>
      </c>
      <c r="AZ2271">
        <f>IF(EH2271&lt;&gt;"",1,0)</f>
        <v/>
      </c>
      <c r="BB2271" t="inlineStr">
        <is>
          <t>WARREN-WARD 4</t>
        </is>
      </c>
      <c r="BS2271" t="inlineStr">
        <is>
          <t>X</t>
        </is>
      </c>
      <c r="BY2271" t="inlineStr">
        <is>
          <t>R</t>
        </is>
      </c>
      <c r="CA2271" t="inlineStr">
        <is>
          <t>X</t>
        </is>
      </c>
      <c r="DC2271" t="inlineStr">
        <is>
          <t>X</t>
        </is>
      </c>
    </row>
    <row r="2272">
      <c r="A2272" t="inlineStr">
        <is>
          <t>OH0026739320</t>
        </is>
      </c>
      <c r="B2272" t="n">
        <v>78</v>
      </c>
      <c r="C2272" t="n">
        <v>466901</v>
      </c>
      <c r="D2272" t="inlineStr">
        <is>
          <t>YOUNG</t>
        </is>
      </c>
      <c r="E2272" t="inlineStr">
        <is>
          <t>LESTER</t>
        </is>
      </c>
      <c r="F2272">
        <f>CONCATENATE(D2272," ",LEFT(H2272,4),"T=",AU2272,"D=",AV2272,"R=",AW2272,"M=",AX2272,"L=",AY2272,"B=",AZ2272)</f>
        <v/>
      </c>
      <c r="G2272" t="inlineStr">
        <is>
          <t>J</t>
        </is>
      </c>
      <c r="I2272" t="inlineStr">
        <is>
          <t>1971-08-30</t>
        </is>
      </c>
      <c r="J2272" t="inlineStr">
        <is>
          <t>2024-08-02</t>
        </is>
      </c>
      <c r="K2272" t="inlineStr">
        <is>
          <t>ACTIVE</t>
        </is>
      </c>
      <c r="M2272" t="inlineStr">
        <is>
          <t>1085 KENILWORTH AVE SE</t>
        </is>
      </c>
      <c r="N2272">
        <f>RIGHT(M2272,LEN(M2272)-FIND(" ",M2272))</f>
        <v/>
      </c>
      <c r="P2272" t="inlineStr">
        <is>
          <t>WARREN</t>
        </is>
      </c>
      <c r="Q2272" t="inlineStr">
        <is>
          <t>OH</t>
        </is>
      </c>
      <c r="R2272" t="n">
        <v>44484</v>
      </c>
      <c r="AD2272" t="inlineStr">
        <is>
          <t>TRUMBULL CAREER &amp; TECH CENTER</t>
        </is>
      </c>
      <c r="AE2272" t="inlineStr">
        <is>
          <t>WARREN CITY</t>
        </is>
      </c>
      <c r="AF2272" t="inlineStr">
        <is>
          <t>WARREN CITY SD</t>
        </is>
      </c>
      <c r="AH2272" t="n">
        <v>14</v>
      </c>
      <c r="AI2272" t="n">
        <v>11</v>
      </c>
      <c r="AN2272" t="inlineStr">
        <is>
          <t>WARREN</t>
        </is>
      </c>
      <c r="AO2272" t="inlineStr">
        <is>
          <t>WARREN CITY 4F</t>
        </is>
      </c>
      <c r="AP2272" t="inlineStr">
        <is>
          <t>78-P-ADN</t>
        </is>
      </c>
      <c r="AQ2272" t="n">
        <v>9</v>
      </c>
      <c r="AR2272" t="n">
        <v>64</v>
      </c>
      <c r="AS2272" t="n">
        <v>32</v>
      </c>
      <c r="AU2272">
        <f>COUNTA($BA$2272:$EH$2272)</f>
        <v/>
      </c>
      <c r="AV2272">
        <f>COUNTIF($BA$2272:$EH$2272,"D")</f>
        <v/>
      </c>
      <c r="AW2272">
        <f>COUNTIF($BA$2272:$EH$2272,"R")</f>
        <v/>
      </c>
      <c r="AX2272">
        <f>IF(BN2272="D",1,0)+IF(BO2272="D",1,0)+IF(BT2272="D",1,0)+IF(BU2272="D",1,0)+IF(BW2272="D",1,0)+IF(CC2272="D",1,0)+IF(CD2272="D",1,0)+IF(CE2272="D",1,0)+IF(CF2272="D",1,0)+IF(CL2272="D",1,0)+IF(CM2272="D",1,0)+IF(CQ2272="D",1,0)+IF(CR2272="D",1,0)+IF(CS2272="D",1,0)+IF(CW2272="D",1,0)+IF(CX2272="D",1,0)+IF(DD2272="D",1,0)+IF(DE2272="D",1,0)+IF(DJ2272="D",1,0)+IF(DK2272="D",1,0)+IF(DO2272="D",1,0)+IF(DP2272="D",1,0)+IF(DQ2272="D",1,0)+IF(DW2272="D",1,0)+IF(DZ2272="D",1,0)+IF(EH2272="D",1,0)</f>
        <v/>
      </c>
      <c r="AY2272">
        <f>IF(DJ2272&lt;&gt;"",1,0)+IF(DK2272&lt;&gt;"",1,0)+IF(DM2272&lt;&gt;"",1,0)+IF(DO2272&lt;&gt;"",1,0)+IF(DP2272&lt;&gt;"",1,0)+IF(DQ2272&lt;&gt;"",1,0)+IF(DS2272&lt;&gt;"",1,0)+IF(DT2272&lt;&gt;"",1,0)+IF(DV2272&lt;&gt;"",1,0)+IF(DW2272&lt;&gt;"",1,0)+IF(DX2272&lt;&gt;"",1,0)+IF(DY2272&lt;&gt;"",1,0)+IF(DZ2272&lt;&gt;"",1,0)+IF(EB2272&lt;&gt;"",1,0)+IF(EC2272&lt;&gt;"",1,0)+IF(ED2272&lt;&gt;"",1,0)+IF(EG2272&lt;&gt;"",1,0)+IF(EH2272&lt;&gt;"",1,0)</f>
        <v/>
      </c>
      <c r="AZ2272">
        <f>IF(EH2272&lt;&gt;"",1,0)</f>
        <v/>
      </c>
      <c r="BB2272" t="inlineStr">
        <is>
          <t>WARREN-WARD 4</t>
        </is>
      </c>
    </row>
    <row r="2273">
      <c r="A2273" t="inlineStr">
        <is>
          <t>OH0023266334</t>
        </is>
      </c>
      <c r="B2273" t="n">
        <v>78</v>
      </c>
      <c r="C2273" t="n">
        <v>409419</v>
      </c>
      <c r="D2273" t="inlineStr">
        <is>
          <t>PYNE</t>
        </is>
      </c>
      <c r="E2273" t="inlineStr">
        <is>
          <t>DRAANEARIA</t>
        </is>
      </c>
      <c r="F2273">
        <f>CONCATENATE(D2273," ",LEFT(H2273,4),"T=",AU2273,"D=",AV2273,"R=",AW2273,"M=",AX2273,"L=",AY2273,"B=",AZ2273)</f>
        <v/>
      </c>
      <c r="G2273" t="inlineStr">
        <is>
          <t>S</t>
        </is>
      </c>
      <c r="I2273" t="inlineStr">
        <is>
          <t>1978-10-03</t>
        </is>
      </c>
      <c r="J2273" t="inlineStr">
        <is>
          <t>2017-02-21</t>
        </is>
      </c>
      <c r="K2273" t="inlineStr">
        <is>
          <t>CONFIRMATION</t>
        </is>
      </c>
      <c r="M2273" t="inlineStr">
        <is>
          <t>2016 BENTON ST SE</t>
        </is>
      </c>
      <c r="N2273">
        <f>RIGHT(M2273,LEN(M2273)-FIND(" ",M2273))</f>
        <v/>
      </c>
      <c r="P2273" t="inlineStr">
        <is>
          <t>WARREN</t>
        </is>
      </c>
      <c r="Q2273" t="inlineStr">
        <is>
          <t>OH</t>
        </is>
      </c>
      <c r="R2273" t="n">
        <v>44484</v>
      </c>
      <c r="AD2273" t="inlineStr">
        <is>
          <t>TRUMBULL CAREER &amp; TECH CENTER</t>
        </is>
      </c>
      <c r="AE2273" t="inlineStr">
        <is>
          <t>WARREN CITY</t>
        </is>
      </c>
      <c r="AF2273" t="inlineStr">
        <is>
          <t>WARREN CITY SD</t>
        </is>
      </c>
      <c r="AH2273" t="n">
        <v>14</v>
      </c>
      <c r="AI2273" t="n">
        <v>11</v>
      </c>
      <c r="AN2273" t="inlineStr">
        <is>
          <t>WARREN</t>
        </is>
      </c>
      <c r="AO2273" t="inlineStr">
        <is>
          <t>WARREN CITY 4F</t>
        </is>
      </c>
      <c r="AP2273" t="inlineStr">
        <is>
          <t>78-P-ADN</t>
        </is>
      </c>
      <c r="AQ2273" t="n">
        <v>9</v>
      </c>
      <c r="AR2273" t="n">
        <v>64</v>
      </c>
      <c r="AS2273" t="n">
        <v>32</v>
      </c>
      <c r="AU2273">
        <f>COUNTA($BA$2273:$EH$2273)</f>
        <v/>
      </c>
      <c r="AV2273">
        <f>COUNTIF($BA$2273:$EH$2273,"D")</f>
        <v/>
      </c>
      <c r="AW2273">
        <f>COUNTIF($BA$2273:$EH$2273,"R")</f>
        <v/>
      </c>
      <c r="AX2273">
        <f>IF(BN2273="D",1,0)+IF(BO2273="D",1,0)+IF(BT2273="D",1,0)+IF(BU2273="D",1,0)+IF(BW2273="D",1,0)+IF(CC2273="D",1,0)+IF(CD2273="D",1,0)+IF(CE2273="D",1,0)+IF(CF2273="D",1,0)+IF(CL2273="D",1,0)+IF(CM2273="D",1,0)+IF(CQ2273="D",1,0)+IF(CR2273="D",1,0)+IF(CS2273="D",1,0)+IF(CW2273="D",1,0)+IF(CX2273="D",1,0)+IF(DD2273="D",1,0)+IF(DE2273="D",1,0)+IF(DJ2273="D",1,0)+IF(DK2273="D",1,0)+IF(DO2273="D",1,0)+IF(DP2273="D",1,0)+IF(DQ2273="D",1,0)+IF(DW2273="D",1,0)+IF(DZ2273="D",1,0)+IF(EH2273="D",1,0)</f>
        <v/>
      </c>
      <c r="AY2273">
        <f>IF(DJ2273&lt;&gt;"",1,0)+IF(DK2273&lt;&gt;"",1,0)+IF(DM2273&lt;&gt;"",1,0)+IF(DO2273&lt;&gt;"",1,0)+IF(DP2273&lt;&gt;"",1,0)+IF(DQ2273&lt;&gt;"",1,0)+IF(DS2273&lt;&gt;"",1,0)+IF(DT2273&lt;&gt;"",1,0)+IF(DV2273&lt;&gt;"",1,0)+IF(DW2273&lt;&gt;"",1,0)+IF(DX2273&lt;&gt;"",1,0)+IF(DY2273&lt;&gt;"",1,0)+IF(DZ2273&lt;&gt;"",1,0)+IF(EB2273&lt;&gt;"",1,0)+IF(EC2273&lt;&gt;"",1,0)+IF(ED2273&lt;&gt;"",1,0)+IF(EG2273&lt;&gt;"",1,0)+IF(EH2273&lt;&gt;"",1,0)</f>
        <v/>
      </c>
      <c r="AZ2273">
        <f>IF(EH2273&lt;&gt;"",1,0)</f>
        <v/>
      </c>
      <c r="BB2273" t="inlineStr">
        <is>
          <t>WARREN-WARD 4</t>
        </is>
      </c>
      <c r="CA2273" t="inlineStr">
        <is>
          <t>X</t>
        </is>
      </c>
      <c r="CP2273" t="inlineStr">
        <is>
          <t>X</t>
        </is>
      </c>
    </row>
    <row r="2274">
      <c r="A2274" t="inlineStr">
        <is>
          <t>OH0027515072</t>
        </is>
      </c>
      <c r="B2274" t="n">
        <v>78</v>
      </c>
      <c r="C2274" t="n">
        <v>487624</v>
      </c>
      <c r="D2274" t="inlineStr">
        <is>
          <t>STRADER</t>
        </is>
      </c>
      <c r="E2274" t="inlineStr">
        <is>
          <t>NATALIE</t>
        </is>
      </c>
      <c r="F2274">
        <f>CONCATENATE(D2274," ",LEFT(H2274,4),"T=",AU2274,"D=",AV2274,"R=",AW2274,"M=",AX2274,"L=",AY2274,"B=",AZ2274)</f>
        <v/>
      </c>
      <c r="G2274" t="inlineStr">
        <is>
          <t>R</t>
        </is>
      </c>
      <c r="I2274" t="inlineStr">
        <is>
          <t>2005-12-06</t>
        </is>
      </c>
      <c r="J2274" t="inlineStr">
        <is>
          <t>2024-08-05</t>
        </is>
      </c>
      <c r="K2274" t="inlineStr">
        <is>
          <t>CONFIRMATION</t>
        </is>
      </c>
      <c r="M2274" t="inlineStr">
        <is>
          <t>1090 WOODBINE AVE SE</t>
        </is>
      </c>
      <c r="N2274">
        <f>RIGHT(M2274,LEN(M2274)-FIND(" ",M2274))</f>
        <v/>
      </c>
      <c r="P2274" t="inlineStr">
        <is>
          <t>WARREN</t>
        </is>
      </c>
      <c r="Q2274" t="inlineStr">
        <is>
          <t>OH</t>
        </is>
      </c>
      <c r="R2274" t="n">
        <v>44484</v>
      </c>
      <c r="AD2274" t="inlineStr">
        <is>
          <t>TRUMBULL CAREER &amp; TECH CENTER</t>
        </is>
      </c>
      <c r="AE2274" t="inlineStr">
        <is>
          <t>WARREN CITY</t>
        </is>
      </c>
      <c r="AF2274" t="inlineStr">
        <is>
          <t>WARREN CITY SD</t>
        </is>
      </c>
      <c r="AH2274" t="n">
        <v>14</v>
      </c>
      <c r="AI2274" t="n">
        <v>11</v>
      </c>
      <c r="AN2274" t="inlineStr">
        <is>
          <t>WARREN</t>
        </is>
      </c>
      <c r="AO2274" t="inlineStr">
        <is>
          <t>WARREN CITY 4F</t>
        </is>
      </c>
      <c r="AP2274" t="inlineStr">
        <is>
          <t>78-P-ADN</t>
        </is>
      </c>
      <c r="AQ2274" t="n">
        <v>9</v>
      </c>
      <c r="AR2274" t="n">
        <v>64</v>
      </c>
      <c r="AS2274" t="n">
        <v>32</v>
      </c>
      <c r="AU2274">
        <f>COUNTA($BA$2274:$EH$2274)</f>
        <v/>
      </c>
      <c r="AV2274">
        <f>COUNTIF($BA$2274:$EH$2274,"D")</f>
        <v/>
      </c>
      <c r="AW2274">
        <f>COUNTIF($BA$2274:$EH$2274,"R")</f>
        <v/>
      </c>
      <c r="AX2274">
        <f>IF(BN2274="D",1,0)+IF(BO2274="D",1,0)+IF(BT2274="D",1,0)+IF(BU2274="D",1,0)+IF(BW2274="D",1,0)+IF(CC2274="D",1,0)+IF(CD2274="D",1,0)+IF(CE2274="D",1,0)+IF(CF2274="D",1,0)+IF(CL2274="D",1,0)+IF(CM2274="D",1,0)+IF(CQ2274="D",1,0)+IF(CR2274="D",1,0)+IF(CS2274="D",1,0)+IF(CW2274="D",1,0)+IF(CX2274="D",1,0)+IF(DD2274="D",1,0)+IF(DE2274="D",1,0)+IF(DJ2274="D",1,0)+IF(DK2274="D",1,0)+IF(DO2274="D",1,0)+IF(DP2274="D",1,0)+IF(DQ2274="D",1,0)+IF(DW2274="D",1,0)+IF(DZ2274="D",1,0)+IF(EH2274="D",1,0)</f>
        <v/>
      </c>
      <c r="AY2274">
        <f>IF(DJ2274&lt;&gt;"",1,0)+IF(DK2274&lt;&gt;"",1,0)+IF(DM2274&lt;&gt;"",1,0)+IF(DO2274&lt;&gt;"",1,0)+IF(DP2274&lt;&gt;"",1,0)+IF(DQ2274&lt;&gt;"",1,0)+IF(DS2274&lt;&gt;"",1,0)+IF(DT2274&lt;&gt;"",1,0)+IF(DV2274&lt;&gt;"",1,0)+IF(DW2274&lt;&gt;"",1,0)+IF(DX2274&lt;&gt;"",1,0)+IF(DY2274&lt;&gt;"",1,0)+IF(DZ2274&lt;&gt;"",1,0)+IF(EB2274&lt;&gt;"",1,0)+IF(EC2274&lt;&gt;"",1,0)+IF(ED2274&lt;&gt;"",1,0)+IF(EG2274&lt;&gt;"",1,0)+IF(EH2274&lt;&gt;"",1,0)</f>
        <v/>
      </c>
      <c r="AZ2274">
        <f>IF(EH2274&lt;&gt;"",1,0)</f>
        <v/>
      </c>
      <c r="BB2274" t="inlineStr">
        <is>
          <t>WARREN-WARD 4</t>
        </is>
      </c>
    </row>
    <row r="2275">
      <c r="A2275" t="inlineStr">
        <is>
          <t>OH0021546896</t>
        </is>
      </c>
      <c r="B2275" t="n">
        <v>78</v>
      </c>
      <c r="C2275" t="n">
        <v>382728</v>
      </c>
      <c r="D2275" t="inlineStr">
        <is>
          <t>ANDERSON</t>
        </is>
      </c>
      <c r="E2275" t="inlineStr">
        <is>
          <t>ONDREA</t>
        </is>
      </c>
      <c r="F2275">
        <f>CONCATENATE(D2275," ",LEFT(H2275,4),"T=",AU2275,"D=",AV2275,"R=",AW2275,"M=",AX2275,"L=",AY2275,"B=",AZ2275)</f>
        <v/>
      </c>
      <c r="G2275" t="inlineStr">
        <is>
          <t>D</t>
        </is>
      </c>
      <c r="I2275" t="inlineStr">
        <is>
          <t>1984-07-04</t>
        </is>
      </c>
      <c r="J2275" t="inlineStr">
        <is>
          <t>2015-07-27</t>
        </is>
      </c>
      <c r="K2275" t="inlineStr">
        <is>
          <t>ACTIVE</t>
        </is>
      </c>
      <c r="M2275" t="inlineStr">
        <is>
          <t>1191 OAK KNOLL AVE SE</t>
        </is>
      </c>
      <c r="N2275">
        <f>RIGHT(M2275,LEN(M2275)-FIND(" ",M2275))</f>
        <v/>
      </c>
      <c r="P2275" t="inlineStr">
        <is>
          <t>WARREN</t>
        </is>
      </c>
      <c r="Q2275" t="inlineStr">
        <is>
          <t>OH</t>
        </is>
      </c>
      <c r="R2275" t="n">
        <v>44484</v>
      </c>
      <c r="AD2275" t="inlineStr">
        <is>
          <t>TRUMBULL CAREER &amp; TECH CENTER</t>
        </is>
      </c>
      <c r="AE2275" t="inlineStr">
        <is>
          <t>WARREN CITY</t>
        </is>
      </c>
      <c r="AF2275" t="inlineStr">
        <is>
          <t>WARREN CITY SD</t>
        </is>
      </c>
      <c r="AH2275" t="n">
        <v>14</v>
      </c>
      <c r="AI2275" t="n">
        <v>11</v>
      </c>
      <c r="AN2275" t="inlineStr">
        <is>
          <t>WARREN</t>
        </is>
      </c>
      <c r="AO2275" t="inlineStr">
        <is>
          <t>WARREN CITY 4F</t>
        </is>
      </c>
      <c r="AP2275" t="inlineStr">
        <is>
          <t>78-P-ADN</t>
        </is>
      </c>
      <c r="AQ2275" t="n">
        <v>9</v>
      </c>
      <c r="AR2275" t="n">
        <v>64</v>
      </c>
      <c r="AS2275" t="n">
        <v>32</v>
      </c>
      <c r="AU2275">
        <f>COUNTA($BA$2275:$EH$2275)</f>
        <v/>
      </c>
      <c r="AV2275">
        <f>COUNTIF($BA$2275:$EH$2275,"D")</f>
        <v/>
      </c>
      <c r="AW2275">
        <f>COUNTIF($BA$2275:$EH$2275,"R")</f>
        <v/>
      </c>
      <c r="AX2275">
        <f>IF(BN2275="D",1,0)+IF(BO2275="D",1,0)+IF(BT2275="D",1,0)+IF(BU2275="D",1,0)+IF(BW2275="D",1,0)+IF(CC2275="D",1,0)+IF(CD2275="D",1,0)+IF(CE2275="D",1,0)+IF(CF2275="D",1,0)+IF(CL2275="D",1,0)+IF(CM2275="D",1,0)+IF(CQ2275="D",1,0)+IF(CR2275="D",1,0)+IF(CS2275="D",1,0)+IF(CW2275="D",1,0)+IF(CX2275="D",1,0)+IF(DD2275="D",1,0)+IF(DE2275="D",1,0)+IF(DJ2275="D",1,0)+IF(DK2275="D",1,0)+IF(DO2275="D",1,0)+IF(DP2275="D",1,0)+IF(DQ2275="D",1,0)+IF(DW2275="D",1,0)+IF(DZ2275="D",1,0)+IF(EH2275="D",1,0)</f>
        <v/>
      </c>
      <c r="AY2275">
        <f>IF(DJ2275&lt;&gt;"",1,0)+IF(DK2275&lt;&gt;"",1,0)+IF(DM2275&lt;&gt;"",1,0)+IF(DO2275&lt;&gt;"",1,0)+IF(DP2275&lt;&gt;"",1,0)+IF(DQ2275&lt;&gt;"",1,0)+IF(DS2275&lt;&gt;"",1,0)+IF(DT2275&lt;&gt;"",1,0)+IF(DV2275&lt;&gt;"",1,0)+IF(DW2275&lt;&gt;"",1,0)+IF(DX2275&lt;&gt;"",1,0)+IF(DY2275&lt;&gt;"",1,0)+IF(DZ2275&lt;&gt;"",1,0)+IF(EB2275&lt;&gt;"",1,0)+IF(EC2275&lt;&gt;"",1,0)+IF(ED2275&lt;&gt;"",1,0)+IF(EG2275&lt;&gt;"",1,0)+IF(EH2275&lt;&gt;"",1,0)</f>
        <v/>
      </c>
      <c r="AZ2275">
        <f>IF(EH2275&lt;&gt;"",1,0)</f>
        <v/>
      </c>
      <c r="BB2275" t="inlineStr">
        <is>
          <t>WARREN-WARD 4</t>
        </is>
      </c>
      <c r="CN2275" t="inlineStr">
        <is>
          <t>X</t>
        </is>
      </c>
      <c r="CP2275" t="inlineStr">
        <is>
          <t>X</t>
        </is>
      </c>
      <c r="CY2275" t="inlineStr">
        <is>
          <t>X</t>
        </is>
      </c>
      <c r="DC2275" t="inlineStr">
        <is>
          <t>X</t>
        </is>
      </c>
      <c r="DG2275" t="inlineStr">
        <is>
          <t>D</t>
        </is>
      </c>
      <c r="DI2275" t="inlineStr">
        <is>
          <t>X</t>
        </is>
      </c>
      <c r="DL2275" t="inlineStr">
        <is>
          <t>X</t>
        </is>
      </c>
      <c r="DN2275" t="inlineStr">
        <is>
          <t>X</t>
        </is>
      </c>
      <c r="EF2275" t="inlineStr">
        <is>
          <t>X</t>
        </is>
      </c>
    </row>
    <row r="2276">
      <c r="A2276" t="inlineStr">
        <is>
          <t>OH0026159684</t>
        </is>
      </c>
      <c r="B2276" t="n">
        <v>78</v>
      </c>
      <c r="C2276" t="n">
        <v>423769</v>
      </c>
      <c r="D2276" t="inlineStr">
        <is>
          <t>HOLLOWAY</t>
        </is>
      </c>
      <c r="E2276" t="inlineStr">
        <is>
          <t>LAMARA</t>
        </is>
      </c>
      <c r="F2276">
        <f>CONCATENATE(D2276," ",LEFT(H2276,4),"T=",AU2276,"D=",AV2276,"R=",AW2276,"M=",AX2276,"L=",AY2276,"B=",AZ2276)</f>
        <v/>
      </c>
      <c r="I2276" t="inlineStr">
        <is>
          <t>1967-06-18</t>
        </is>
      </c>
      <c r="J2276" t="inlineStr">
        <is>
          <t>2020-06-28</t>
        </is>
      </c>
      <c r="K2276" t="inlineStr">
        <is>
          <t>CONFIRMATION</t>
        </is>
      </c>
      <c r="M2276" t="inlineStr">
        <is>
          <t>1296 YOUNGSTOWN RD SE</t>
        </is>
      </c>
      <c r="N2276">
        <f>RIGHT(M2276,LEN(M2276)-FIND(" ",M2276))</f>
        <v/>
      </c>
      <c r="O2276" t="inlineStr">
        <is>
          <t>FL 3</t>
        </is>
      </c>
      <c r="P2276" t="inlineStr">
        <is>
          <t>WARREN</t>
        </is>
      </c>
      <c r="Q2276" t="inlineStr">
        <is>
          <t>OH</t>
        </is>
      </c>
      <c r="R2276" t="n">
        <v>44484</v>
      </c>
      <c r="AD2276" t="inlineStr">
        <is>
          <t>TRUMBULL CAREER &amp; TECH CENTER</t>
        </is>
      </c>
      <c r="AE2276" t="inlineStr">
        <is>
          <t>WARREN CITY</t>
        </is>
      </c>
      <c r="AF2276" t="inlineStr">
        <is>
          <t>WARREN CITY SD</t>
        </is>
      </c>
      <c r="AH2276" t="n">
        <v>14</v>
      </c>
      <c r="AI2276" t="n">
        <v>11</v>
      </c>
      <c r="AN2276" t="inlineStr">
        <is>
          <t>WARREN</t>
        </is>
      </c>
      <c r="AO2276" t="inlineStr">
        <is>
          <t>WARREN CITY 4F</t>
        </is>
      </c>
      <c r="AP2276" t="inlineStr">
        <is>
          <t>78-P-ADN</t>
        </is>
      </c>
      <c r="AQ2276" t="n">
        <v>9</v>
      </c>
      <c r="AR2276" t="n">
        <v>64</v>
      </c>
      <c r="AS2276" t="n">
        <v>32</v>
      </c>
      <c r="AU2276">
        <f>COUNTA($BA$2276:$EH$2276)</f>
        <v/>
      </c>
      <c r="AV2276">
        <f>COUNTIF($BA$2276:$EH$2276,"D")</f>
        <v/>
      </c>
      <c r="AW2276">
        <f>COUNTIF($BA$2276:$EH$2276,"R")</f>
        <v/>
      </c>
      <c r="AX2276">
        <f>IF(BN2276="D",1,0)+IF(BO2276="D",1,0)+IF(BT2276="D",1,0)+IF(BU2276="D",1,0)+IF(BW2276="D",1,0)+IF(CC2276="D",1,0)+IF(CD2276="D",1,0)+IF(CE2276="D",1,0)+IF(CF2276="D",1,0)+IF(CL2276="D",1,0)+IF(CM2276="D",1,0)+IF(CQ2276="D",1,0)+IF(CR2276="D",1,0)+IF(CS2276="D",1,0)+IF(CW2276="D",1,0)+IF(CX2276="D",1,0)+IF(DD2276="D",1,0)+IF(DE2276="D",1,0)+IF(DJ2276="D",1,0)+IF(DK2276="D",1,0)+IF(DO2276="D",1,0)+IF(DP2276="D",1,0)+IF(DQ2276="D",1,0)+IF(DW2276="D",1,0)+IF(DZ2276="D",1,0)+IF(EH2276="D",1,0)</f>
        <v/>
      </c>
      <c r="AY2276">
        <f>IF(DJ2276&lt;&gt;"",1,0)+IF(DK2276&lt;&gt;"",1,0)+IF(DM2276&lt;&gt;"",1,0)+IF(DO2276&lt;&gt;"",1,0)+IF(DP2276&lt;&gt;"",1,0)+IF(DQ2276&lt;&gt;"",1,0)+IF(DS2276&lt;&gt;"",1,0)+IF(DT2276&lt;&gt;"",1,0)+IF(DV2276&lt;&gt;"",1,0)+IF(DW2276&lt;&gt;"",1,0)+IF(DX2276&lt;&gt;"",1,0)+IF(DY2276&lt;&gt;"",1,0)+IF(DZ2276&lt;&gt;"",1,0)+IF(EB2276&lt;&gt;"",1,0)+IF(EC2276&lt;&gt;"",1,0)+IF(ED2276&lt;&gt;"",1,0)+IF(EG2276&lt;&gt;"",1,0)+IF(EH2276&lt;&gt;"",1,0)</f>
        <v/>
      </c>
      <c r="AZ2276">
        <f>IF(EH2276&lt;&gt;"",1,0)</f>
        <v/>
      </c>
      <c r="BB2276" t="inlineStr">
        <is>
          <t>WARREN-WARD 4</t>
        </is>
      </c>
      <c r="CP2276" t="inlineStr">
        <is>
          <t>X</t>
        </is>
      </c>
    </row>
    <row r="2277">
      <c r="A2277" t="inlineStr">
        <is>
          <t>OH0015695072</t>
        </is>
      </c>
      <c r="B2277" t="n">
        <v>78</v>
      </c>
      <c r="C2277" t="n">
        <v>14811</v>
      </c>
      <c r="D2277" t="inlineStr">
        <is>
          <t>CANTY</t>
        </is>
      </c>
      <c r="E2277" t="inlineStr">
        <is>
          <t>JOHNNY</t>
        </is>
      </c>
      <c r="F2277">
        <f>CONCATENATE(D2277," ",LEFT(H2277,4),"T=",AU2277,"D=",AV2277,"R=",AW2277,"M=",AX2277,"L=",AY2277,"B=",AZ2277)</f>
        <v/>
      </c>
      <c r="G2277" t="inlineStr">
        <is>
          <t>H</t>
        </is>
      </c>
      <c r="I2277" t="inlineStr">
        <is>
          <t>1933-06-29</t>
        </is>
      </c>
      <c r="J2277" t="inlineStr">
        <is>
          <t>1959-10-01</t>
        </is>
      </c>
      <c r="K2277" t="inlineStr">
        <is>
          <t>ACTIVE</t>
        </is>
      </c>
      <c r="L2277" t="inlineStr">
        <is>
          <t>D</t>
        </is>
      </c>
      <c r="M2277" t="inlineStr">
        <is>
          <t>1630 OAK KNOLL AVE SE</t>
        </is>
      </c>
      <c r="N2277">
        <f>RIGHT(M2277,LEN(M2277)-FIND(" ",M2277))</f>
        <v/>
      </c>
      <c r="P2277" t="inlineStr">
        <is>
          <t>WARREN</t>
        </is>
      </c>
      <c r="Q2277" t="inlineStr">
        <is>
          <t>OH</t>
        </is>
      </c>
      <c r="R2277" t="n">
        <v>44484</v>
      </c>
      <c r="AD2277" t="inlineStr">
        <is>
          <t>TRUMBULL CAREER &amp; TECH CENTER</t>
        </is>
      </c>
      <c r="AE2277" t="inlineStr">
        <is>
          <t>WARREN CITY</t>
        </is>
      </c>
      <c r="AF2277" t="inlineStr">
        <is>
          <t>WARREN CITY SD</t>
        </is>
      </c>
      <c r="AH2277" t="n">
        <v>14</v>
      </c>
      <c r="AI2277" t="n">
        <v>11</v>
      </c>
      <c r="AN2277" t="inlineStr">
        <is>
          <t>WARREN</t>
        </is>
      </c>
      <c r="AO2277" t="inlineStr">
        <is>
          <t>WARREN CITY 4F</t>
        </is>
      </c>
      <c r="AP2277" t="inlineStr">
        <is>
          <t>78-P-ADN</t>
        </is>
      </c>
      <c r="AQ2277" t="n">
        <v>9</v>
      </c>
      <c r="AR2277" t="n">
        <v>64</v>
      </c>
      <c r="AS2277" t="n">
        <v>32</v>
      </c>
      <c r="AU2277">
        <f>COUNTA($BA$2277:$EH$2277)</f>
        <v/>
      </c>
      <c r="AV2277">
        <f>COUNTIF($BA$2277:$EH$2277,"D")</f>
        <v/>
      </c>
      <c r="AW2277">
        <f>COUNTIF($BA$2277:$EH$2277,"R")</f>
        <v/>
      </c>
      <c r="AX2277">
        <f>IF(BN2277="D",1,0)+IF(BO2277="D",1,0)+IF(BT2277="D",1,0)+IF(BU2277="D",1,0)+IF(BW2277="D",1,0)+IF(CC2277="D",1,0)+IF(CD2277="D",1,0)+IF(CE2277="D",1,0)+IF(CF2277="D",1,0)+IF(CL2277="D",1,0)+IF(CM2277="D",1,0)+IF(CQ2277="D",1,0)+IF(CR2277="D",1,0)+IF(CS2277="D",1,0)+IF(CW2277="D",1,0)+IF(CX2277="D",1,0)+IF(DD2277="D",1,0)+IF(DE2277="D",1,0)+IF(DJ2277="D",1,0)+IF(DK2277="D",1,0)+IF(DO2277="D",1,0)+IF(DP2277="D",1,0)+IF(DQ2277="D",1,0)+IF(DW2277="D",1,0)+IF(DZ2277="D",1,0)+IF(EH2277="D",1,0)</f>
        <v/>
      </c>
      <c r="AY2277">
        <f>IF(DJ2277&lt;&gt;"",1,0)+IF(DK2277&lt;&gt;"",1,0)+IF(DM2277&lt;&gt;"",1,0)+IF(DO2277&lt;&gt;"",1,0)+IF(DP2277&lt;&gt;"",1,0)+IF(DQ2277&lt;&gt;"",1,0)+IF(DS2277&lt;&gt;"",1,0)+IF(DT2277&lt;&gt;"",1,0)+IF(DV2277&lt;&gt;"",1,0)+IF(DW2277&lt;&gt;"",1,0)+IF(DX2277&lt;&gt;"",1,0)+IF(DY2277&lt;&gt;"",1,0)+IF(DZ2277&lt;&gt;"",1,0)+IF(EB2277&lt;&gt;"",1,0)+IF(EC2277&lt;&gt;"",1,0)+IF(ED2277&lt;&gt;"",1,0)+IF(EG2277&lt;&gt;"",1,0)+IF(EH2277&lt;&gt;"",1,0)</f>
        <v/>
      </c>
      <c r="AZ2277">
        <f>IF(EH2277&lt;&gt;"",1,0)</f>
        <v/>
      </c>
      <c r="BB2277" t="inlineStr">
        <is>
          <t>WARREN-WARD 4</t>
        </is>
      </c>
      <c r="BC2277" t="inlineStr">
        <is>
          <t>X</t>
        </is>
      </c>
      <c r="BD2277" t="inlineStr">
        <is>
          <t>X</t>
        </is>
      </c>
      <c r="BE2277" t="inlineStr">
        <is>
          <t>X</t>
        </is>
      </c>
      <c r="BF2277" t="inlineStr">
        <is>
          <t>X</t>
        </is>
      </c>
      <c r="BG2277" t="inlineStr">
        <is>
          <t>X</t>
        </is>
      </c>
      <c r="BH2277" t="inlineStr">
        <is>
          <t>X</t>
        </is>
      </c>
      <c r="BI2277" t="inlineStr">
        <is>
          <t>X</t>
        </is>
      </c>
      <c r="BJ2277" t="inlineStr">
        <is>
          <t>X</t>
        </is>
      </c>
      <c r="BK2277" t="inlineStr">
        <is>
          <t>X</t>
        </is>
      </c>
      <c r="BL2277" t="inlineStr">
        <is>
          <t>X</t>
        </is>
      </c>
      <c r="BP2277" t="inlineStr">
        <is>
          <t>X</t>
        </is>
      </c>
      <c r="BR2277" t="inlineStr">
        <is>
          <t>X</t>
        </is>
      </c>
      <c r="BS2277" t="inlineStr">
        <is>
          <t>X</t>
        </is>
      </c>
      <c r="BV2277" t="inlineStr">
        <is>
          <t>X</t>
        </is>
      </c>
      <c r="BY2277" t="inlineStr">
        <is>
          <t>D</t>
        </is>
      </c>
      <c r="CA2277" t="inlineStr">
        <is>
          <t>X</t>
        </is>
      </c>
      <c r="CC2277" t="inlineStr">
        <is>
          <t>D</t>
        </is>
      </c>
      <c r="CH2277" t="inlineStr">
        <is>
          <t>D</t>
        </is>
      </c>
      <c r="CK2277" t="inlineStr">
        <is>
          <t>X</t>
        </is>
      </c>
      <c r="CO2277" t="inlineStr">
        <is>
          <t>D</t>
        </is>
      </c>
      <c r="CP2277" t="inlineStr">
        <is>
          <t>X</t>
        </is>
      </c>
      <c r="CT2277" t="inlineStr">
        <is>
          <t>X</t>
        </is>
      </c>
      <c r="CU2277" t="inlineStr">
        <is>
          <t>D</t>
        </is>
      </c>
      <c r="CV2277" t="inlineStr">
        <is>
          <t>X</t>
        </is>
      </c>
      <c r="CW2277" t="inlineStr">
        <is>
          <t>D</t>
        </is>
      </c>
      <c r="CY2277" t="inlineStr">
        <is>
          <t>X</t>
        </is>
      </c>
      <c r="DC2277" t="inlineStr">
        <is>
          <t>X</t>
        </is>
      </c>
      <c r="DF2277" t="inlineStr">
        <is>
          <t>X</t>
        </is>
      </c>
      <c r="DG2277" t="inlineStr">
        <is>
          <t>D</t>
        </is>
      </c>
      <c r="DI2277" t="inlineStr">
        <is>
          <t>X</t>
        </is>
      </c>
      <c r="DL2277" t="inlineStr">
        <is>
          <t>X</t>
        </is>
      </c>
      <c r="DM2277" t="inlineStr">
        <is>
          <t>D</t>
        </is>
      </c>
      <c r="DN2277" t="inlineStr">
        <is>
          <t>X</t>
        </is>
      </c>
      <c r="DS2277" t="inlineStr">
        <is>
          <t>D</t>
        </is>
      </c>
      <c r="DT2277" t="inlineStr">
        <is>
          <t>D</t>
        </is>
      </c>
      <c r="DU2277" t="inlineStr">
        <is>
          <t>X</t>
        </is>
      </c>
      <c r="EF2277" t="inlineStr">
        <is>
          <t>X</t>
        </is>
      </c>
    </row>
    <row r="2278">
      <c r="A2278" t="inlineStr">
        <is>
          <t>OH0027500192</t>
        </is>
      </c>
      <c r="B2278" t="n">
        <v>78</v>
      </c>
      <c r="C2278" t="n">
        <v>487206</v>
      </c>
      <c r="D2278" t="inlineStr">
        <is>
          <t>MERRITT</t>
        </is>
      </c>
      <c r="E2278" t="inlineStr">
        <is>
          <t>DANTE</t>
        </is>
      </c>
      <c r="F2278">
        <f>CONCATENATE(D2278," ",LEFT(H2278,4),"T=",AU2278,"D=",AV2278,"R=",AW2278,"M=",AX2278,"L=",AY2278,"B=",AZ2278)</f>
        <v/>
      </c>
      <c r="I2278" t="inlineStr">
        <is>
          <t>2000-10-09</t>
        </is>
      </c>
      <c r="J2278" t="inlineStr">
        <is>
          <t>2024-08-01</t>
        </is>
      </c>
      <c r="K2278" t="inlineStr">
        <is>
          <t>ACTIVE</t>
        </is>
      </c>
      <c r="M2278" t="inlineStr">
        <is>
          <t>2170 BENTON ST SE</t>
        </is>
      </c>
      <c r="N2278">
        <f>RIGHT(M2278,LEN(M2278)-FIND(" ",M2278))</f>
        <v/>
      </c>
      <c r="P2278" t="inlineStr">
        <is>
          <t>WARREN</t>
        </is>
      </c>
      <c r="Q2278" t="inlineStr">
        <is>
          <t>OH</t>
        </is>
      </c>
      <c r="R2278" t="n">
        <v>44484</v>
      </c>
      <c r="AD2278" t="inlineStr">
        <is>
          <t>TRUMBULL CAREER &amp; TECH CENTER</t>
        </is>
      </c>
      <c r="AE2278" t="inlineStr">
        <is>
          <t>WARREN CITY</t>
        </is>
      </c>
      <c r="AF2278" t="inlineStr">
        <is>
          <t>WARREN CITY SD</t>
        </is>
      </c>
      <c r="AH2278" t="n">
        <v>14</v>
      </c>
      <c r="AI2278" t="n">
        <v>11</v>
      </c>
      <c r="AN2278" t="inlineStr">
        <is>
          <t>WARREN</t>
        </is>
      </c>
      <c r="AO2278" t="inlineStr">
        <is>
          <t>WARREN CITY 4F</t>
        </is>
      </c>
      <c r="AP2278" t="inlineStr">
        <is>
          <t>78-P-ADN</t>
        </is>
      </c>
      <c r="AQ2278" t="n">
        <v>9</v>
      </c>
      <c r="AR2278" t="n">
        <v>64</v>
      </c>
      <c r="AS2278" t="n">
        <v>32</v>
      </c>
      <c r="AU2278">
        <f>COUNTA($BA$2278:$EH$2278)</f>
        <v/>
      </c>
      <c r="AV2278">
        <f>COUNTIF($BA$2278:$EH$2278,"D")</f>
        <v/>
      </c>
      <c r="AW2278">
        <f>COUNTIF($BA$2278:$EH$2278,"R")</f>
        <v/>
      </c>
      <c r="AX2278">
        <f>IF(BN2278="D",1,0)+IF(BO2278="D",1,0)+IF(BT2278="D",1,0)+IF(BU2278="D",1,0)+IF(BW2278="D",1,0)+IF(CC2278="D",1,0)+IF(CD2278="D",1,0)+IF(CE2278="D",1,0)+IF(CF2278="D",1,0)+IF(CL2278="D",1,0)+IF(CM2278="D",1,0)+IF(CQ2278="D",1,0)+IF(CR2278="D",1,0)+IF(CS2278="D",1,0)+IF(CW2278="D",1,0)+IF(CX2278="D",1,0)+IF(DD2278="D",1,0)+IF(DE2278="D",1,0)+IF(DJ2278="D",1,0)+IF(DK2278="D",1,0)+IF(DO2278="D",1,0)+IF(DP2278="D",1,0)+IF(DQ2278="D",1,0)+IF(DW2278="D",1,0)+IF(DZ2278="D",1,0)+IF(EH2278="D",1,0)</f>
        <v/>
      </c>
      <c r="AY2278">
        <f>IF(DJ2278&lt;&gt;"",1,0)+IF(DK2278&lt;&gt;"",1,0)+IF(DM2278&lt;&gt;"",1,0)+IF(DO2278&lt;&gt;"",1,0)+IF(DP2278&lt;&gt;"",1,0)+IF(DQ2278&lt;&gt;"",1,0)+IF(DS2278&lt;&gt;"",1,0)+IF(DT2278&lt;&gt;"",1,0)+IF(DV2278&lt;&gt;"",1,0)+IF(DW2278&lt;&gt;"",1,0)+IF(DX2278&lt;&gt;"",1,0)+IF(DY2278&lt;&gt;"",1,0)+IF(DZ2278&lt;&gt;"",1,0)+IF(EB2278&lt;&gt;"",1,0)+IF(EC2278&lt;&gt;"",1,0)+IF(ED2278&lt;&gt;"",1,0)+IF(EG2278&lt;&gt;"",1,0)+IF(EH2278&lt;&gt;"",1,0)</f>
        <v/>
      </c>
      <c r="AZ2278">
        <f>IF(EH2278&lt;&gt;"",1,0)</f>
        <v/>
      </c>
      <c r="BB2278" t="inlineStr">
        <is>
          <t>WARREN-WARD 4</t>
        </is>
      </c>
    </row>
    <row r="2279">
      <c r="A2279" t="inlineStr">
        <is>
          <t>OH0023084089</t>
        </is>
      </c>
      <c r="B2279" t="n">
        <v>78</v>
      </c>
      <c r="C2279" t="n">
        <v>406711</v>
      </c>
      <c r="D2279" t="inlineStr">
        <is>
          <t>DOUGLAS</t>
        </is>
      </c>
      <c r="E2279" t="inlineStr">
        <is>
          <t>DERRELL</t>
        </is>
      </c>
      <c r="F2279">
        <f>CONCATENATE(D2279," ",LEFT(H2279,4),"T=",AU2279,"D=",AV2279,"R=",AW2279,"M=",AX2279,"L=",AY2279,"B=",AZ2279)</f>
        <v/>
      </c>
      <c r="G2279" t="inlineStr">
        <is>
          <t>DESEAN</t>
        </is>
      </c>
      <c r="H2279" t="inlineStr">
        <is>
          <t>SR</t>
        </is>
      </c>
      <c r="I2279" t="inlineStr">
        <is>
          <t>1979-01-30</t>
        </is>
      </c>
      <c r="J2279" t="inlineStr">
        <is>
          <t>2022-07-07</t>
        </is>
      </c>
      <c r="K2279" t="inlineStr">
        <is>
          <t>ACTIVE</t>
        </is>
      </c>
      <c r="M2279" t="inlineStr">
        <is>
          <t>1970 BENTON ST SE</t>
        </is>
      </c>
      <c r="N2279">
        <f>RIGHT(M2279,LEN(M2279)-FIND(" ",M2279))</f>
        <v/>
      </c>
      <c r="P2279" t="inlineStr">
        <is>
          <t>WARREN</t>
        </is>
      </c>
      <c r="Q2279" t="inlineStr">
        <is>
          <t>OH</t>
        </is>
      </c>
      <c r="R2279" t="n">
        <v>44484</v>
      </c>
      <c r="AD2279" t="inlineStr">
        <is>
          <t>TRUMBULL CAREER &amp; TECH CENTER</t>
        </is>
      </c>
      <c r="AE2279" t="inlineStr">
        <is>
          <t>WARREN CITY</t>
        </is>
      </c>
      <c r="AF2279" t="inlineStr">
        <is>
          <t>WARREN CITY SD</t>
        </is>
      </c>
      <c r="AH2279" t="n">
        <v>14</v>
      </c>
      <c r="AI2279" t="n">
        <v>11</v>
      </c>
      <c r="AN2279" t="inlineStr">
        <is>
          <t>WARREN</t>
        </is>
      </c>
      <c r="AO2279" t="inlineStr">
        <is>
          <t>WARREN CITY 4F</t>
        </is>
      </c>
      <c r="AP2279" t="inlineStr">
        <is>
          <t>78-P-ADN</t>
        </is>
      </c>
      <c r="AQ2279" t="n">
        <v>9</v>
      </c>
      <c r="AR2279" t="n">
        <v>64</v>
      </c>
      <c r="AS2279" t="n">
        <v>32</v>
      </c>
      <c r="AU2279">
        <f>COUNTA($BA$2279:$EH$2279)</f>
        <v/>
      </c>
      <c r="AV2279">
        <f>COUNTIF($BA$2279:$EH$2279,"D")</f>
        <v/>
      </c>
      <c r="AW2279">
        <f>COUNTIF($BA$2279:$EH$2279,"R")</f>
        <v/>
      </c>
      <c r="AX2279">
        <f>IF(BN2279="D",1,0)+IF(BO2279="D",1,0)+IF(BT2279="D",1,0)+IF(BU2279="D",1,0)+IF(BW2279="D",1,0)+IF(CC2279="D",1,0)+IF(CD2279="D",1,0)+IF(CE2279="D",1,0)+IF(CF2279="D",1,0)+IF(CL2279="D",1,0)+IF(CM2279="D",1,0)+IF(CQ2279="D",1,0)+IF(CR2279="D",1,0)+IF(CS2279="D",1,0)+IF(CW2279="D",1,0)+IF(CX2279="D",1,0)+IF(DD2279="D",1,0)+IF(DE2279="D",1,0)+IF(DJ2279="D",1,0)+IF(DK2279="D",1,0)+IF(DO2279="D",1,0)+IF(DP2279="D",1,0)+IF(DQ2279="D",1,0)+IF(DW2279="D",1,0)+IF(DZ2279="D",1,0)+IF(EH2279="D",1,0)</f>
        <v/>
      </c>
      <c r="AY2279">
        <f>IF(DJ2279&lt;&gt;"",1,0)+IF(DK2279&lt;&gt;"",1,0)+IF(DM2279&lt;&gt;"",1,0)+IF(DO2279&lt;&gt;"",1,0)+IF(DP2279&lt;&gt;"",1,0)+IF(DQ2279&lt;&gt;"",1,0)+IF(DS2279&lt;&gt;"",1,0)+IF(DT2279&lt;&gt;"",1,0)+IF(DV2279&lt;&gt;"",1,0)+IF(DW2279&lt;&gt;"",1,0)+IF(DX2279&lt;&gt;"",1,0)+IF(DY2279&lt;&gt;"",1,0)+IF(DZ2279&lt;&gt;"",1,0)+IF(EB2279&lt;&gt;"",1,0)+IF(EC2279&lt;&gt;"",1,0)+IF(ED2279&lt;&gt;"",1,0)+IF(EG2279&lt;&gt;"",1,0)+IF(EH2279&lt;&gt;"",1,0)</f>
        <v/>
      </c>
      <c r="AZ2279">
        <f>IF(EH2279&lt;&gt;"",1,0)</f>
        <v/>
      </c>
      <c r="BB2279" t="inlineStr">
        <is>
          <t>WARREN-WARD 4</t>
        </is>
      </c>
      <c r="CA2279" t="inlineStr">
        <is>
          <t>X</t>
        </is>
      </c>
      <c r="CY2279" t="inlineStr">
        <is>
          <t>X</t>
        </is>
      </c>
      <c r="CZ2279" t="inlineStr">
        <is>
          <t>D</t>
        </is>
      </c>
      <c r="DN2279" t="inlineStr">
        <is>
          <t>X</t>
        </is>
      </c>
    </row>
    <row r="2280">
      <c r="A2280" t="inlineStr">
        <is>
          <t>OH0015741876</t>
        </is>
      </c>
      <c r="B2280" t="n">
        <v>78</v>
      </c>
      <c r="C2280" t="n">
        <v>331422</v>
      </c>
      <c r="D2280" t="inlineStr">
        <is>
          <t>THOMPSON</t>
        </is>
      </c>
      <c r="E2280" t="inlineStr">
        <is>
          <t>MARIA</t>
        </is>
      </c>
      <c r="F2280">
        <f>CONCATENATE(D2280," ",LEFT(H2280,4),"T=",AU2280,"D=",AV2280,"R=",AW2280,"M=",AX2280,"L=",AY2280,"B=",AZ2280)</f>
        <v/>
      </c>
      <c r="G2280" t="inlineStr">
        <is>
          <t>K</t>
        </is>
      </c>
      <c r="I2280" t="inlineStr">
        <is>
          <t>1981-01-10</t>
        </is>
      </c>
      <c r="J2280" t="inlineStr">
        <is>
          <t>2022-06-29</t>
        </is>
      </c>
      <c r="K2280" t="inlineStr">
        <is>
          <t>ACTIVE</t>
        </is>
      </c>
      <c r="L2280" t="inlineStr">
        <is>
          <t>D</t>
        </is>
      </c>
      <c r="M2280" t="inlineStr">
        <is>
          <t>1043 KENILWORTH AVE SE</t>
        </is>
      </c>
      <c r="N2280">
        <f>RIGHT(M2280,LEN(M2280)-FIND(" ",M2280))</f>
        <v/>
      </c>
      <c r="P2280" t="inlineStr">
        <is>
          <t>WARREN</t>
        </is>
      </c>
      <c r="Q2280" t="inlineStr">
        <is>
          <t>OH</t>
        </is>
      </c>
      <c r="R2280" t="n">
        <v>44484</v>
      </c>
      <c r="AD2280" t="inlineStr">
        <is>
          <t>TRUMBULL CAREER &amp; TECH CENTER</t>
        </is>
      </c>
      <c r="AE2280" t="inlineStr">
        <is>
          <t>WARREN CITY</t>
        </is>
      </c>
      <c r="AF2280" t="inlineStr">
        <is>
          <t>WARREN CITY SD</t>
        </is>
      </c>
      <c r="AH2280" t="n">
        <v>14</v>
      </c>
      <c r="AI2280" t="n">
        <v>11</v>
      </c>
      <c r="AN2280" t="inlineStr">
        <is>
          <t>WARREN</t>
        </is>
      </c>
      <c r="AO2280" t="inlineStr">
        <is>
          <t>WARREN CITY 4F</t>
        </is>
      </c>
      <c r="AP2280" t="inlineStr">
        <is>
          <t>78-P-ADN</t>
        </is>
      </c>
      <c r="AQ2280" t="n">
        <v>9</v>
      </c>
      <c r="AR2280" t="n">
        <v>64</v>
      </c>
      <c r="AS2280" t="n">
        <v>32</v>
      </c>
      <c r="AU2280">
        <f>COUNTA($BA$2280:$EH$2280)</f>
        <v/>
      </c>
      <c r="AV2280">
        <f>COUNTIF($BA$2280:$EH$2280,"D")</f>
        <v/>
      </c>
      <c r="AW2280">
        <f>COUNTIF($BA$2280:$EH$2280,"R")</f>
        <v/>
      </c>
      <c r="AX2280">
        <f>IF(BN2280="D",1,0)+IF(BO2280="D",1,0)+IF(BT2280="D",1,0)+IF(BU2280="D",1,0)+IF(BW2280="D",1,0)+IF(CC2280="D",1,0)+IF(CD2280="D",1,0)+IF(CE2280="D",1,0)+IF(CF2280="D",1,0)+IF(CL2280="D",1,0)+IF(CM2280="D",1,0)+IF(CQ2280="D",1,0)+IF(CR2280="D",1,0)+IF(CS2280="D",1,0)+IF(CW2280="D",1,0)+IF(CX2280="D",1,0)+IF(DD2280="D",1,0)+IF(DE2280="D",1,0)+IF(DJ2280="D",1,0)+IF(DK2280="D",1,0)+IF(DO2280="D",1,0)+IF(DP2280="D",1,0)+IF(DQ2280="D",1,0)+IF(DW2280="D",1,0)+IF(DZ2280="D",1,0)+IF(EH2280="D",1,0)</f>
        <v/>
      </c>
      <c r="AY2280">
        <f>IF(DJ2280&lt;&gt;"",1,0)+IF(DK2280&lt;&gt;"",1,0)+IF(DM2280&lt;&gt;"",1,0)+IF(DO2280&lt;&gt;"",1,0)+IF(DP2280&lt;&gt;"",1,0)+IF(DQ2280&lt;&gt;"",1,0)+IF(DS2280&lt;&gt;"",1,0)+IF(DT2280&lt;&gt;"",1,0)+IF(DV2280&lt;&gt;"",1,0)+IF(DW2280&lt;&gt;"",1,0)+IF(DX2280&lt;&gt;"",1,0)+IF(DY2280&lt;&gt;"",1,0)+IF(DZ2280&lt;&gt;"",1,0)+IF(EB2280&lt;&gt;"",1,0)+IF(EC2280&lt;&gt;"",1,0)+IF(ED2280&lt;&gt;"",1,0)+IF(EG2280&lt;&gt;"",1,0)+IF(EH2280&lt;&gt;"",1,0)</f>
        <v/>
      </c>
      <c r="AZ2280">
        <f>IF(EH2280&lt;&gt;"",1,0)</f>
        <v/>
      </c>
      <c r="BB2280" t="inlineStr">
        <is>
          <t>WARREN-WARD 4</t>
        </is>
      </c>
      <c r="BL2280" t="inlineStr">
        <is>
          <t>X</t>
        </is>
      </c>
      <c r="BS2280" t="inlineStr">
        <is>
          <t>X</t>
        </is>
      </c>
      <c r="BY2280" t="inlineStr">
        <is>
          <t>D</t>
        </is>
      </c>
      <c r="CA2280" t="inlineStr">
        <is>
          <t>X</t>
        </is>
      </c>
      <c r="CN2280" t="inlineStr">
        <is>
          <t>X</t>
        </is>
      </c>
      <c r="CP2280" t="inlineStr">
        <is>
          <t>X</t>
        </is>
      </c>
      <c r="CV2280" t="inlineStr">
        <is>
          <t>X</t>
        </is>
      </c>
      <c r="CY2280" t="inlineStr">
        <is>
          <t>X</t>
        </is>
      </c>
      <c r="CZ2280" t="inlineStr">
        <is>
          <t>D</t>
        </is>
      </c>
      <c r="DC2280" t="inlineStr">
        <is>
          <t>X</t>
        </is>
      </c>
      <c r="DI2280" t="inlineStr">
        <is>
          <t>X</t>
        </is>
      </c>
      <c r="DN2280" t="inlineStr">
        <is>
          <t>X</t>
        </is>
      </c>
      <c r="DU2280" t="inlineStr">
        <is>
          <t>X</t>
        </is>
      </c>
      <c r="DX2280" t="inlineStr">
        <is>
          <t>X</t>
        </is>
      </c>
      <c r="EA2280" t="inlineStr">
        <is>
          <t>X</t>
        </is>
      </c>
      <c r="ED2280" t="inlineStr">
        <is>
          <t>D</t>
        </is>
      </c>
      <c r="EF2280" t="inlineStr">
        <is>
          <t>X</t>
        </is>
      </c>
    </row>
    <row r="2281">
      <c r="A2281" t="inlineStr">
        <is>
          <t>OH0027841894</t>
        </is>
      </c>
      <c r="B2281" t="n">
        <v>78</v>
      </c>
      <c r="C2281" t="n">
        <v>494043</v>
      </c>
      <c r="D2281" t="inlineStr">
        <is>
          <t>LONG</t>
        </is>
      </c>
      <c r="E2281" t="inlineStr">
        <is>
          <t>APRIL</t>
        </is>
      </c>
      <c r="F2281">
        <f>CONCATENATE(D2281," ",LEFT(H2281,4),"T=",AU2281,"D=",AV2281,"R=",AW2281,"M=",AX2281,"L=",AY2281,"B=",AZ2281)</f>
        <v/>
      </c>
      <c r="G2281" t="inlineStr">
        <is>
          <t>M</t>
        </is>
      </c>
      <c r="I2281" t="inlineStr">
        <is>
          <t>1973-01-23</t>
        </is>
      </c>
      <c r="J2281" t="inlineStr">
        <is>
          <t>2024-10-24</t>
        </is>
      </c>
      <c r="K2281" t="inlineStr">
        <is>
          <t>ACTIVE</t>
        </is>
      </c>
      <c r="M2281" t="inlineStr">
        <is>
          <t>2690 DUKE AVE SE</t>
        </is>
      </c>
      <c r="N2281">
        <f>RIGHT(M2281,LEN(M2281)-FIND(" ",M2281))</f>
        <v/>
      </c>
      <c r="P2281" t="inlineStr">
        <is>
          <t>WARREN</t>
        </is>
      </c>
      <c r="Q2281" t="inlineStr">
        <is>
          <t>OH</t>
        </is>
      </c>
      <c r="R2281" t="n">
        <v>44484</v>
      </c>
      <c r="AD2281" t="inlineStr">
        <is>
          <t>TRUMBULL CAREER &amp; TECH CENTER</t>
        </is>
      </c>
      <c r="AE2281" t="inlineStr">
        <is>
          <t>WARREN CITY</t>
        </is>
      </c>
      <c r="AF2281" t="inlineStr">
        <is>
          <t>WARREN CITY SD</t>
        </is>
      </c>
      <c r="AH2281" t="n">
        <v>14</v>
      </c>
      <c r="AI2281" t="n">
        <v>11</v>
      </c>
      <c r="AN2281" t="inlineStr">
        <is>
          <t>WARREN</t>
        </is>
      </c>
      <c r="AO2281" t="inlineStr">
        <is>
          <t>WARREN CITY 4F</t>
        </is>
      </c>
      <c r="AP2281" t="inlineStr">
        <is>
          <t>78-P-ADN</t>
        </is>
      </c>
      <c r="AQ2281" t="n">
        <v>9</v>
      </c>
      <c r="AR2281" t="n">
        <v>64</v>
      </c>
      <c r="AS2281" t="n">
        <v>32</v>
      </c>
      <c r="AU2281">
        <f>COUNTA($BA$2281:$EH$2281)</f>
        <v/>
      </c>
      <c r="AV2281">
        <f>COUNTIF($BA$2281:$EH$2281,"D")</f>
        <v/>
      </c>
      <c r="AW2281">
        <f>COUNTIF($BA$2281:$EH$2281,"R")</f>
        <v/>
      </c>
      <c r="AX2281">
        <f>IF(BN2281="D",1,0)+IF(BO2281="D",1,0)+IF(BT2281="D",1,0)+IF(BU2281="D",1,0)+IF(BW2281="D",1,0)+IF(CC2281="D",1,0)+IF(CD2281="D",1,0)+IF(CE2281="D",1,0)+IF(CF2281="D",1,0)+IF(CL2281="D",1,0)+IF(CM2281="D",1,0)+IF(CQ2281="D",1,0)+IF(CR2281="D",1,0)+IF(CS2281="D",1,0)+IF(CW2281="D",1,0)+IF(CX2281="D",1,0)+IF(DD2281="D",1,0)+IF(DE2281="D",1,0)+IF(DJ2281="D",1,0)+IF(DK2281="D",1,0)+IF(DO2281="D",1,0)+IF(DP2281="D",1,0)+IF(DQ2281="D",1,0)+IF(DW2281="D",1,0)+IF(DZ2281="D",1,0)+IF(EH2281="D",1,0)</f>
        <v/>
      </c>
      <c r="AY2281">
        <f>IF(DJ2281&lt;&gt;"",1,0)+IF(DK2281&lt;&gt;"",1,0)+IF(DM2281&lt;&gt;"",1,0)+IF(DO2281&lt;&gt;"",1,0)+IF(DP2281&lt;&gt;"",1,0)+IF(DQ2281&lt;&gt;"",1,0)+IF(DS2281&lt;&gt;"",1,0)+IF(DT2281&lt;&gt;"",1,0)+IF(DV2281&lt;&gt;"",1,0)+IF(DW2281&lt;&gt;"",1,0)+IF(DX2281&lt;&gt;"",1,0)+IF(DY2281&lt;&gt;"",1,0)+IF(DZ2281&lt;&gt;"",1,0)+IF(EB2281&lt;&gt;"",1,0)+IF(EC2281&lt;&gt;"",1,0)+IF(ED2281&lt;&gt;"",1,0)+IF(EG2281&lt;&gt;"",1,0)+IF(EH2281&lt;&gt;"",1,0)</f>
        <v/>
      </c>
      <c r="AZ2281">
        <f>IF(EH2281&lt;&gt;"",1,0)</f>
        <v/>
      </c>
      <c r="BB2281" t="inlineStr">
        <is>
          <t>WARREN-WARD 4</t>
        </is>
      </c>
    </row>
    <row r="2282">
      <c r="A2282" t="inlineStr">
        <is>
          <t>OH0027519738</t>
        </is>
      </c>
      <c r="B2282" t="n">
        <v>78</v>
      </c>
      <c r="C2282" t="n">
        <v>487733</v>
      </c>
      <c r="D2282" t="inlineStr">
        <is>
          <t>EDMONDS</t>
        </is>
      </c>
      <c r="E2282" t="inlineStr">
        <is>
          <t>LAURA</t>
        </is>
      </c>
      <c r="F2282">
        <f>CONCATENATE(D2282," ",LEFT(H2282,4),"T=",AU2282,"D=",AV2282,"R=",AW2282,"M=",AX2282,"L=",AY2282,"B=",AZ2282)</f>
        <v/>
      </c>
      <c r="G2282" t="inlineStr">
        <is>
          <t>K</t>
        </is>
      </c>
      <c r="I2282" t="inlineStr">
        <is>
          <t>1964-02-26</t>
        </is>
      </c>
      <c r="J2282" t="inlineStr">
        <is>
          <t>2024-11-20</t>
        </is>
      </c>
      <c r="K2282" t="inlineStr">
        <is>
          <t>ACTIVE</t>
        </is>
      </c>
      <c r="M2282" t="inlineStr">
        <is>
          <t>1296 YOUNGSTOWN RD SE</t>
        </is>
      </c>
      <c r="N2282">
        <f>RIGHT(M2282,LEN(M2282)-FIND(" ",M2282))</f>
        <v/>
      </c>
      <c r="P2282" t="inlineStr">
        <is>
          <t>WARREN</t>
        </is>
      </c>
      <c r="Q2282" t="inlineStr">
        <is>
          <t>OH</t>
        </is>
      </c>
      <c r="R2282" t="n">
        <v>44484</v>
      </c>
      <c r="AD2282" t="inlineStr">
        <is>
          <t>TRUMBULL CAREER &amp; TECH CENTER</t>
        </is>
      </c>
      <c r="AE2282" t="inlineStr">
        <is>
          <t>WARREN CITY</t>
        </is>
      </c>
      <c r="AF2282" t="inlineStr">
        <is>
          <t>WARREN CITY SD</t>
        </is>
      </c>
      <c r="AH2282" t="n">
        <v>14</v>
      </c>
      <c r="AI2282" t="n">
        <v>11</v>
      </c>
      <c r="AN2282" t="inlineStr">
        <is>
          <t>WARREN</t>
        </is>
      </c>
      <c r="AO2282" t="inlineStr">
        <is>
          <t>WARREN CITY 4F</t>
        </is>
      </c>
      <c r="AP2282" t="inlineStr">
        <is>
          <t>78-P-ADN</t>
        </is>
      </c>
      <c r="AQ2282" t="n">
        <v>9</v>
      </c>
      <c r="AR2282" t="n">
        <v>64</v>
      </c>
      <c r="AS2282" t="n">
        <v>32</v>
      </c>
      <c r="AU2282">
        <f>COUNTA($BA$2282:$EH$2282)</f>
        <v/>
      </c>
      <c r="AV2282">
        <f>COUNTIF($BA$2282:$EH$2282,"D")</f>
        <v/>
      </c>
      <c r="AW2282">
        <f>COUNTIF($BA$2282:$EH$2282,"R")</f>
        <v/>
      </c>
      <c r="AX2282">
        <f>IF(BN2282="D",1,0)+IF(BO2282="D",1,0)+IF(BT2282="D",1,0)+IF(BU2282="D",1,0)+IF(BW2282="D",1,0)+IF(CC2282="D",1,0)+IF(CD2282="D",1,0)+IF(CE2282="D",1,0)+IF(CF2282="D",1,0)+IF(CL2282="D",1,0)+IF(CM2282="D",1,0)+IF(CQ2282="D",1,0)+IF(CR2282="D",1,0)+IF(CS2282="D",1,0)+IF(CW2282="D",1,0)+IF(CX2282="D",1,0)+IF(DD2282="D",1,0)+IF(DE2282="D",1,0)+IF(DJ2282="D",1,0)+IF(DK2282="D",1,0)+IF(DO2282="D",1,0)+IF(DP2282="D",1,0)+IF(DQ2282="D",1,0)+IF(DW2282="D",1,0)+IF(DZ2282="D",1,0)+IF(EH2282="D",1,0)</f>
        <v/>
      </c>
      <c r="AY2282">
        <f>IF(DJ2282&lt;&gt;"",1,0)+IF(DK2282&lt;&gt;"",1,0)+IF(DM2282&lt;&gt;"",1,0)+IF(DO2282&lt;&gt;"",1,0)+IF(DP2282&lt;&gt;"",1,0)+IF(DQ2282&lt;&gt;"",1,0)+IF(DS2282&lt;&gt;"",1,0)+IF(DT2282&lt;&gt;"",1,0)+IF(DV2282&lt;&gt;"",1,0)+IF(DW2282&lt;&gt;"",1,0)+IF(DX2282&lt;&gt;"",1,0)+IF(DY2282&lt;&gt;"",1,0)+IF(DZ2282&lt;&gt;"",1,0)+IF(EB2282&lt;&gt;"",1,0)+IF(EC2282&lt;&gt;"",1,0)+IF(ED2282&lt;&gt;"",1,0)+IF(EG2282&lt;&gt;"",1,0)+IF(EH2282&lt;&gt;"",1,0)</f>
        <v/>
      </c>
      <c r="AZ2282">
        <f>IF(EH2282&lt;&gt;"",1,0)</f>
        <v/>
      </c>
      <c r="BB2282" t="inlineStr">
        <is>
          <t>WARREN-WARD 4</t>
        </is>
      </c>
    </row>
    <row r="2283">
      <c r="A2283" t="inlineStr">
        <is>
          <t>OH0025555424</t>
        </is>
      </c>
      <c r="B2283" t="n">
        <v>78</v>
      </c>
      <c r="C2283" t="n">
        <v>446370</v>
      </c>
      <c r="D2283" t="inlineStr">
        <is>
          <t>BURCHETT NORQUIST</t>
        </is>
      </c>
      <c r="E2283" t="inlineStr">
        <is>
          <t>CIERRA</t>
        </is>
      </c>
      <c r="F2283">
        <f>CONCATENATE(D2283," ",LEFT(H2283,4),"T=",AU2283,"D=",AV2283,"R=",AW2283,"M=",AX2283,"L=",AY2283,"B=",AZ2283)</f>
        <v/>
      </c>
      <c r="G2283" t="inlineStr">
        <is>
          <t>SHAINNA MARIE</t>
        </is>
      </c>
      <c r="I2283" t="inlineStr">
        <is>
          <t>2002-10-10</t>
        </is>
      </c>
      <c r="J2283" t="inlineStr">
        <is>
          <t>2023-12-18</t>
        </is>
      </c>
      <c r="K2283" t="inlineStr">
        <is>
          <t>ACTIVE</t>
        </is>
      </c>
      <c r="M2283" t="inlineStr">
        <is>
          <t>1640 BURTON ST SE</t>
        </is>
      </c>
      <c r="N2283">
        <f>RIGHT(M2283,LEN(M2283)-FIND(" ",M2283))</f>
        <v/>
      </c>
      <c r="P2283" t="inlineStr">
        <is>
          <t>WARREN</t>
        </is>
      </c>
      <c r="Q2283" t="inlineStr">
        <is>
          <t>OH</t>
        </is>
      </c>
      <c r="R2283" t="n">
        <v>44484</v>
      </c>
      <c r="AD2283" t="inlineStr">
        <is>
          <t>TRUMBULL CAREER &amp; TECH CENTER</t>
        </is>
      </c>
      <c r="AE2283" t="inlineStr">
        <is>
          <t>WARREN CITY</t>
        </is>
      </c>
      <c r="AF2283" t="inlineStr">
        <is>
          <t>WARREN CITY SD</t>
        </is>
      </c>
      <c r="AH2283" t="n">
        <v>14</v>
      </c>
      <c r="AI2283" t="n">
        <v>11</v>
      </c>
      <c r="AN2283" t="inlineStr">
        <is>
          <t>WARREN</t>
        </is>
      </c>
      <c r="AO2283" t="inlineStr">
        <is>
          <t>WARREN CITY 4F</t>
        </is>
      </c>
      <c r="AP2283" t="inlineStr">
        <is>
          <t>78-P-ADN</t>
        </is>
      </c>
      <c r="AQ2283" t="n">
        <v>9</v>
      </c>
      <c r="AR2283" t="n">
        <v>64</v>
      </c>
      <c r="AS2283" t="n">
        <v>32</v>
      </c>
      <c r="AU2283">
        <f>COUNTA($BA$2283:$EH$2283)</f>
        <v/>
      </c>
      <c r="AV2283">
        <f>COUNTIF($BA$2283:$EH$2283,"D")</f>
        <v/>
      </c>
      <c r="AW2283">
        <f>COUNTIF($BA$2283:$EH$2283,"R")</f>
        <v/>
      </c>
      <c r="AX2283">
        <f>IF(BN2283="D",1,0)+IF(BO2283="D",1,0)+IF(BT2283="D",1,0)+IF(BU2283="D",1,0)+IF(BW2283="D",1,0)+IF(CC2283="D",1,0)+IF(CD2283="D",1,0)+IF(CE2283="D",1,0)+IF(CF2283="D",1,0)+IF(CL2283="D",1,0)+IF(CM2283="D",1,0)+IF(CQ2283="D",1,0)+IF(CR2283="D",1,0)+IF(CS2283="D",1,0)+IF(CW2283="D",1,0)+IF(CX2283="D",1,0)+IF(DD2283="D",1,0)+IF(DE2283="D",1,0)+IF(DJ2283="D",1,0)+IF(DK2283="D",1,0)+IF(DO2283="D",1,0)+IF(DP2283="D",1,0)+IF(DQ2283="D",1,0)+IF(DW2283="D",1,0)+IF(DZ2283="D",1,0)+IF(EH2283="D",1,0)</f>
        <v/>
      </c>
      <c r="AY2283">
        <f>IF(DJ2283&lt;&gt;"",1,0)+IF(DK2283&lt;&gt;"",1,0)+IF(DM2283&lt;&gt;"",1,0)+IF(DO2283&lt;&gt;"",1,0)+IF(DP2283&lt;&gt;"",1,0)+IF(DQ2283&lt;&gt;"",1,0)+IF(DS2283&lt;&gt;"",1,0)+IF(DT2283&lt;&gt;"",1,0)+IF(DV2283&lt;&gt;"",1,0)+IF(DW2283&lt;&gt;"",1,0)+IF(DX2283&lt;&gt;"",1,0)+IF(DY2283&lt;&gt;"",1,0)+IF(DZ2283&lt;&gt;"",1,0)+IF(EB2283&lt;&gt;"",1,0)+IF(EC2283&lt;&gt;"",1,0)+IF(ED2283&lt;&gt;"",1,0)+IF(EG2283&lt;&gt;"",1,0)+IF(EH2283&lt;&gt;"",1,0)</f>
        <v/>
      </c>
      <c r="AZ2283">
        <f>IF(EH2283&lt;&gt;"",1,0)</f>
        <v/>
      </c>
      <c r="BB2283" t="inlineStr">
        <is>
          <t>WARREN-WARD 4</t>
        </is>
      </c>
      <c r="DN2283" t="inlineStr">
        <is>
          <t>X</t>
        </is>
      </c>
      <c r="DU2283" t="inlineStr">
        <is>
          <t>X</t>
        </is>
      </c>
      <c r="EF2283" t="inlineStr">
        <is>
          <t>X</t>
        </is>
      </c>
    </row>
    <row r="2284">
      <c r="A2284" t="inlineStr">
        <is>
          <t>OH0025949738</t>
        </is>
      </c>
      <c r="B2284" t="n">
        <v>78</v>
      </c>
      <c r="C2284" t="n">
        <v>453200</v>
      </c>
      <c r="D2284" t="inlineStr">
        <is>
          <t>DAVIS</t>
        </is>
      </c>
      <c r="E2284" t="inlineStr">
        <is>
          <t>WILLIE</t>
        </is>
      </c>
      <c r="F2284">
        <f>CONCATENATE(D2284," ",LEFT(H2284,4),"T=",AU2284,"D=",AV2284,"R=",AW2284,"M=",AX2284,"L=",AY2284,"B=",AZ2284)</f>
        <v/>
      </c>
      <c r="I2284" t="inlineStr">
        <is>
          <t>1962-12-12</t>
        </is>
      </c>
      <c r="J2284" t="inlineStr">
        <is>
          <t>2020-09-10</t>
        </is>
      </c>
      <c r="K2284" t="inlineStr">
        <is>
          <t>CONFIRMATION</t>
        </is>
      </c>
      <c r="M2284" t="inlineStr">
        <is>
          <t>1617 WOODBINE AVE SE</t>
        </is>
      </c>
      <c r="N2284">
        <f>RIGHT(M2284,LEN(M2284)-FIND(" ",M2284))</f>
        <v/>
      </c>
      <c r="P2284" t="inlineStr">
        <is>
          <t>WARREN</t>
        </is>
      </c>
      <c r="Q2284" t="inlineStr">
        <is>
          <t>OH</t>
        </is>
      </c>
      <c r="R2284" t="n">
        <v>44484</v>
      </c>
      <c r="AD2284" t="inlineStr">
        <is>
          <t>TRUMBULL CAREER &amp; TECH CENTER</t>
        </is>
      </c>
      <c r="AE2284" t="inlineStr">
        <is>
          <t>WARREN CITY</t>
        </is>
      </c>
      <c r="AF2284" t="inlineStr">
        <is>
          <t>WARREN CITY SD</t>
        </is>
      </c>
      <c r="AH2284" t="n">
        <v>14</v>
      </c>
      <c r="AI2284" t="n">
        <v>11</v>
      </c>
      <c r="AN2284" t="inlineStr">
        <is>
          <t>WARREN</t>
        </is>
      </c>
      <c r="AO2284" t="inlineStr">
        <is>
          <t>WARREN CITY 4F</t>
        </is>
      </c>
      <c r="AP2284" t="inlineStr">
        <is>
          <t>78-P-ADN</t>
        </is>
      </c>
      <c r="AQ2284" t="n">
        <v>9</v>
      </c>
      <c r="AR2284" t="n">
        <v>64</v>
      </c>
      <c r="AS2284" t="n">
        <v>32</v>
      </c>
      <c r="AU2284">
        <f>COUNTA($BA$2284:$EH$2284)</f>
        <v/>
      </c>
      <c r="AV2284">
        <f>COUNTIF($BA$2284:$EH$2284,"D")</f>
        <v/>
      </c>
      <c r="AW2284">
        <f>COUNTIF($BA$2284:$EH$2284,"R")</f>
        <v/>
      </c>
      <c r="AX2284">
        <f>IF(BN2284="D",1,0)+IF(BO2284="D",1,0)+IF(BT2284="D",1,0)+IF(BU2284="D",1,0)+IF(BW2284="D",1,0)+IF(CC2284="D",1,0)+IF(CD2284="D",1,0)+IF(CE2284="D",1,0)+IF(CF2284="D",1,0)+IF(CL2284="D",1,0)+IF(CM2284="D",1,0)+IF(CQ2284="D",1,0)+IF(CR2284="D",1,0)+IF(CS2284="D",1,0)+IF(CW2284="D",1,0)+IF(CX2284="D",1,0)+IF(DD2284="D",1,0)+IF(DE2284="D",1,0)+IF(DJ2284="D",1,0)+IF(DK2284="D",1,0)+IF(DO2284="D",1,0)+IF(DP2284="D",1,0)+IF(DQ2284="D",1,0)+IF(DW2284="D",1,0)+IF(DZ2284="D",1,0)+IF(EH2284="D",1,0)</f>
        <v/>
      </c>
      <c r="AY2284">
        <f>IF(DJ2284&lt;&gt;"",1,0)+IF(DK2284&lt;&gt;"",1,0)+IF(DM2284&lt;&gt;"",1,0)+IF(DO2284&lt;&gt;"",1,0)+IF(DP2284&lt;&gt;"",1,0)+IF(DQ2284&lt;&gt;"",1,0)+IF(DS2284&lt;&gt;"",1,0)+IF(DT2284&lt;&gt;"",1,0)+IF(DV2284&lt;&gt;"",1,0)+IF(DW2284&lt;&gt;"",1,0)+IF(DX2284&lt;&gt;"",1,0)+IF(DY2284&lt;&gt;"",1,0)+IF(DZ2284&lt;&gt;"",1,0)+IF(EB2284&lt;&gt;"",1,0)+IF(EC2284&lt;&gt;"",1,0)+IF(ED2284&lt;&gt;"",1,0)+IF(EG2284&lt;&gt;"",1,0)+IF(EH2284&lt;&gt;"",1,0)</f>
        <v/>
      </c>
      <c r="AZ2284">
        <f>IF(EH2284&lt;&gt;"",1,0)</f>
        <v/>
      </c>
      <c r="BB2284" t="inlineStr">
        <is>
          <t>WARREN-WARD 4</t>
        </is>
      </c>
    </row>
    <row r="2285">
      <c r="A2285" t="inlineStr">
        <is>
          <t>OH0027141251</t>
        </is>
      </c>
      <c r="B2285" t="n">
        <v>78</v>
      </c>
      <c r="C2285" t="n">
        <v>477852</v>
      </c>
      <c r="D2285" t="inlineStr">
        <is>
          <t>WARFIELD</t>
        </is>
      </c>
      <c r="E2285" t="inlineStr">
        <is>
          <t>MAKENZIE</t>
        </is>
      </c>
      <c r="F2285">
        <f>CONCATENATE(D2285," ",LEFT(H2285,4),"T=",AU2285,"D=",AV2285,"R=",AW2285,"M=",AX2285,"L=",AY2285,"B=",AZ2285)</f>
        <v/>
      </c>
      <c r="G2285" t="inlineStr">
        <is>
          <t>L</t>
        </is>
      </c>
      <c r="I2285" t="inlineStr">
        <is>
          <t>1999-11-28</t>
        </is>
      </c>
      <c r="J2285" t="inlineStr">
        <is>
          <t>2023-11-07</t>
        </is>
      </c>
      <c r="K2285" t="inlineStr">
        <is>
          <t>ACTIVE</t>
        </is>
      </c>
      <c r="M2285" t="inlineStr">
        <is>
          <t>1364 ADELAIDE AVE SE</t>
        </is>
      </c>
      <c r="N2285">
        <f>RIGHT(M2285,LEN(M2285)-FIND(" ",M2285))</f>
        <v/>
      </c>
      <c r="P2285" t="inlineStr">
        <is>
          <t>WARREN</t>
        </is>
      </c>
      <c r="Q2285" t="inlineStr">
        <is>
          <t>OH</t>
        </is>
      </c>
      <c r="R2285" t="n">
        <v>44484</v>
      </c>
      <c r="AD2285" t="inlineStr">
        <is>
          <t>TRUMBULL CAREER &amp; TECH CENTER</t>
        </is>
      </c>
      <c r="AE2285" t="inlineStr">
        <is>
          <t>WARREN CITY</t>
        </is>
      </c>
      <c r="AF2285" t="inlineStr">
        <is>
          <t>WARREN CITY SD</t>
        </is>
      </c>
      <c r="AH2285" t="n">
        <v>14</v>
      </c>
      <c r="AI2285" t="n">
        <v>11</v>
      </c>
      <c r="AN2285" t="inlineStr">
        <is>
          <t>WARREN</t>
        </is>
      </c>
      <c r="AO2285" t="inlineStr">
        <is>
          <t>WARREN CITY 4F</t>
        </is>
      </c>
      <c r="AP2285" t="inlineStr">
        <is>
          <t>78-P-ADN</t>
        </is>
      </c>
      <c r="AQ2285" t="n">
        <v>9</v>
      </c>
      <c r="AR2285" t="n">
        <v>64</v>
      </c>
      <c r="AS2285" t="n">
        <v>32</v>
      </c>
      <c r="AU2285">
        <f>COUNTA($BA$2285:$EH$2285)</f>
        <v/>
      </c>
      <c r="AV2285">
        <f>COUNTIF($BA$2285:$EH$2285,"D")</f>
        <v/>
      </c>
      <c r="AW2285">
        <f>COUNTIF($BA$2285:$EH$2285,"R")</f>
        <v/>
      </c>
      <c r="AX2285">
        <f>IF(BN2285="D",1,0)+IF(BO2285="D",1,0)+IF(BT2285="D",1,0)+IF(BU2285="D",1,0)+IF(BW2285="D",1,0)+IF(CC2285="D",1,0)+IF(CD2285="D",1,0)+IF(CE2285="D",1,0)+IF(CF2285="D",1,0)+IF(CL2285="D",1,0)+IF(CM2285="D",1,0)+IF(CQ2285="D",1,0)+IF(CR2285="D",1,0)+IF(CS2285="D",1,0)+IF(CW2285="D",1,0)+IF(CX2285="D",1,0)+IF(DD2285="D",1,0)+IF(DE2285="D",1,0)+IF(DJ2285="D",1,0)+IF(DK2285="D",1,0)+IF(DO2285="D",1,0)+IF(DP2285="D",1,0)+IF(DQ2285="D",1,0)+IF(DW2285="D",1,0)+IF(DZ2285="D",1,0)+IF(EH2285="D",1,0)</f>
        <v/>
      </c>
      <c r="AY2285">
        <f>IF(DJ2285&lt;&gt;"",1,0)+IF(DK2285&lt;&gt;"",1,0)+IF(DM2285&lt;&gt;"",1,0)+IF(DO2285&lt;&gt;"",1,0)+IF(DP2285&lt;&gt;"",1,0)+IF(DQ2285&lt;&gt;"",1,0)+IF(DS2285&lt;&gt;"",1,0)+IF(DT2285&lt;&gt;"",1,0)+IF(DV2285&lt;&gt;"",1,0)+IF(DW2285&lt;&gt;"",1,0)+IF(DX2285&lt;&gt;"",1,0)+IF(DY2285&lt;&gt;"",1,0)+IF(DZ2285&lt;&gt;"",1,0)+IF(EB2285&lt;&gt;"",1,0)+IF(EC2285&lt;&gt;"",1,0)+IF(ED2285&lt;&gt;"",1,0)+IF(EG2285&lt;&gt;"",1,0)+IF(EH2285&lt;&gt;"",1,0)</f>
        <v/>
      </c>
      <c r="AZ2285">
        <f>IF(EH2285&lt;&gt;"",1,0)</f>
        <v/>
      </c>
      <c r="BB2285" t="inlineStr">
        <is>
          <t>WARREN-WARD 4</t>
        </is>
      </c>
      <c r="EF2285" t="inlineStr">
        <is>
          <t>X</t>
        </is>
      </c>
    </row>
    <row r="2286">
      <c r="A2286" t="inlineStr">
        <is>
          <t>OH0022405210</t>
        </is>
      </c>
      <c r="B2286" t="n">
        <v>78</v>
      </c>
      <c r="C2286" t="n">
        <v>396235</v>
      </c>
      <c r="D2286" t="inlineStr">
        <is>
          <t>TURNER</t>
        </is>
      </c>
      <c r="E2286" t="inlineStr">
        <is>
          <t>HOWARD</t>
        </is>
      </c>
      <c r="F2286">
        <f>CONCATENATE(D2286," ",LEFT(H2286,4),"T=",AU2286,"D=",AV2286,"R=",AW2286,"M=",AX2286,"L=",AY2286,"B=",AZ2286)</f>
        <v/>
      </c>
      <c r="G2286" t="inlineStr">
        <is>
          <t>L</t>
        </is>
      </c>
      <c r="H2286" t="inlineStr">
        <is>
          <t>SR</t>
        </is>
      </c>
      <c r="I2286" t="inlineStr">
        <is>
          <t>1949-04-19</t>
        </is>
      </c>
      <c r="J2286" t="inlineStr">
        <is>
          <t>2015-08-09</t>
        </is>
      </c>
      <c r="K2286" t="inlineStr">
        <is>
          <t>CONFIRMATION</t>
        </is>
      </c>
      <c r="M2286" t="inlineStr">
        <is>
          <t>1735 WICK ST SE</t>
        </is>
      </c>
      <c r="N2286">
        <f>RIGHT(M2286,LEN(M2286)-FIND(" ",M2286))</f>
        <v/>
      </c>
      <c r="P2286" t="inlineStr">
        <is>
          <t>WARREN</t>
        </is>
      </c>
      <c r="Q2286" t="inlineStr">
        <is>
          <t>OH</t>
        </is>
      </c>
      <c r="R2286" t="n">
        <v>44484</v>
      </c>
      <c r="AD2286" t="inlineStr">
        <is>
          <t>TRUMBULL CAREER &amp; TECH CENTER</t>
        </is>
      </c>
      <c r="AE2286" t="inlineStr">
        <is>
          <t>WARREN CITY</t>
        </is>
      </c>
      <c r="AF2286" t="inlineStr">
        <is>
          <t>WARREN CITY SD</t>
        </is>
      </c>
      <c r="AH2286" t="n">
        <v>14</v>
      </c>
      <c r="AI2286" t="n">
        <v>11</v>
      </c>
      <c r="AN2286" t="inlineStr">
        <is>
          <t>WARREN</t>
        </is>
      </c>
      <c r="AO2286" t="inlineStr">
        <is>
          <t>WARREN CITY 4F</t>
        </is>
      </c>
      <c r="AP2286" t="inlineStr">
        <is>
          <t>78-P-ADN</t>
        </is>
      </c>
      <c r="AQ2286" t="n">
        <v>9</v>
      </c>
      <c r="AR2286" t="n">
        <v>64</v>
      </c>
      <c r="AS2286" t="n">
        <v>32</v>
      </c>
      <c r="AU2286">
        <f>COUNTA($BA$2286:$EH$2286)</f>
        <v/>
      </c>
      <c r="AV2286">
        <f>COUNTIF($BA$2286:$EH$2286,"D")</f>
        <v/>
      </c>
      <c r="AW2286">
        <f>COUNTIF($BA$2286:$EH$2286,"R")</f>
        <v/>
      </c>
      <c r="AX2286">
        <f>IF(BN2286="D",1,0)+IF(BO2286="D",1,0)+IF(BT2286="D",1,0)+IF(BU2286="D",1,0)+IF(BW2286="D",1,0)+IF(CC2286="D",1,0)+IF(CD2286="D",1,0)+IF(CE2286="D",1,0)+IF(CF2286="D",1,0)+IF(CL2286="D",1,0)+IF(CM2286="D",1,0)+IF(CQ2286="D",1,0)+IF(CR2286="D",1,0)+IF(CS2286="D",1,0)+IF(CW2286="D",1,0)+IF(CX2286="D",1,0)+IF(DD2286="D",1,0)+IF(DE2286="D",1,0)+IF(DJ2286="D",1,0)+IF(DK2286="D",1,0)+IF(DO2286="D",1,0)+IF(DP2286="D",1,0)+IF(DQ2286="D",1,0)+IF(DW2286="D",1,0)+IF(DZ2286="D",1,0)+IF(EH2286="D",1,0)</f>
        <v/>
      </c>
      <c r="AY2286">
        <f>IF(DJ2286&lt;&gt;"",1,0)+IF(DK2286&lt;&gt;"",1,0)+IF(DM2286&lt;&gt;"",1,0)+IF(DO2286&lt;&gt;"",1,0)+IF(DP2286&lt;&gt;"",1,0)+IF(DQ2286&lt;&gt;"",1,0)+IF(DS2286&lt;&gt;"",1,0)+IF(DT2286&lt;&gt;"",1,0)+IF(DV2286&lt;&gt;"",1,0)+IF(DW2286&lt;&gt;"",1,0)+IF(DX2286&lt;&gt;"",1,0)+IF(DY2286&lt;&gt;"",1,0)+IF(DZ2286&lt;&gt;"",1,0)+IF(EB2286&lt;&gt;"",1,0)+IF(EC2286&lt;&gt;"",1,0)+IF(ED2286&lt;&gt;"",1,0)+IF(EG2286&lt;&gt;"",1,0)+IF(EH2286&lt;&gt;"",1,0)</f>
        <v/>
      </c>
      <c r="AZ2286">
        <f>IF(EH2286&lt;&gt;"",1,0)</f>
        <v/>
      </c>
      <c r="BB2286" t="inlineStr">
        <is>
          <t>WARREN-WARD 4</t>
        </is>
      </c>
      <c r="BC2286" t="inlineStr">
        <is>
          <t>X</t>
        </is>
      </c>
      <c r="BD2286" t="inlineStr">
        <is>
          <t>X</t>
        </is>
      </c>
      <c r="BH2286" t="inlineStr">
        <is>
          <t>X</t>
        </is>
      </c>
      <c r="BI2286" t="inlineStr">
        <is>
          <t>X</t>
        </is>
      </c>
      <c r="BJ2286" t="inlineStr">
        <is>
          <t>X</t>
        </is>
      </c>
      <c r="BK2286" t="inlineStr">
        <is>
          <t>X</t>
        </is>
      </c>
      <c r="BL2286" t="inlineStr">
        <is>
          <t>X</t>
        </is>
      </c>
      <c r="BP2286" t="inlineStr">
        <is>
          <t>X</t>
        </is>
      </c>
      <c r="CA2286" t="inlineStr">
        <is>
          <t>X</t>
        </is>
      </c>
      <c r="CP2286" t="inlineStr">
        <is>
          <t>X</t>
        </is>
      </c>
      <c r="CQ2286" t="inlineStr">
        <is>
          <t>D</t>
        </is>
      </c>
      <c r="CT2286" t="inlineStr">
        <is>
          <t>X</t>
        </is>
      </c>
      <c r="CU2286" t="inlineStr">
        <is>
          <t>D</t>
        </is>
      </c>
      <c r="CV2286" t="inlineStr">
        <is>
          <t>X</t>
        </is>
      </c>
      <c r="CY2286" t="inlineStr">
        <is>
          <t>X</t>
        </is>
      </c>
      <c r="CZ2286" t="inlineStr">
        <is>
          <t>D</t>
        </is>
      </c>
      <c r="DC2286" t="inlineStr">
        <is>
          <t>X</t>
        </is>
      </c>
      <c r="DD2286" t="inlineStr">
        <is>
          <t>D</t>
        </is>
      </c>
      <c r="DI2286" t="inlineStr">
        <is>
          <t>X</t>
        </is>
      </c>
      <c r="DN2286" t="inlineStr">
        <is>
          <t>X</t>
        </is>
      </c>
    </row>
    <row r="2287">
      <c r="A2287" t="inlineStr">
        <is>
          <t>OH0023324871</t>
        </is>
      </c>
      <c r="B2287" t="n">
        <v>78</v>
      </c>
      <c r="C2287" t="n">
        <v>410188</v>
      </c>
      <c r="D2287" t="inlineStr">
        <is>
          <t>WILLIAMSON</t>
        </is>
      </c>
      <c r="E2287" t="inlineStr">
        <is>
          <t>ANTHONY</t>
        </is>
      </c>
      <c r="F2287">
        <f>CONCATENATE(D2287," ",LEFT(H2287,4),"T=",AU2287,"D=",AV2287,"R=",AW2287,"M=",AX2287,"L=",AY2287,"B=",AZ2287)</f>
        <v/>
      </c>
      <c r="G2287" t="inlineStr">
        <is>
          <t>ALAN LEWIS</t>
        </is>
      </c>
      <c r="I2287" t="inlineStr">
        <is>
          <t>1997-08-25</t>
        </is>
      </c>
      <c r="J2287" t="inlineStr">
        <is>
          <t>2016-04-19</t>
        </is>
      </c>
      <c r="K2287" t="inlineStr">
        <is>
          <t>CONFIRMATION</t>
        </is>
      </c>
      <c r="M2287" t="inlineStr">
        <is>
          <t>1604 ROMAN ST SE</t>
        </is>
      </c>
      <c r="N2287">
        <f>RIGHT(M2287,LEN(M2287)-FIND(" ",M2287))</f>
        <v/>
      </c>
      <c r="P2287" t="inlineStr">
        <is>
          <t>WARREN</t>
        </is>
      </c>
      <c r="Q2287" t="inlineStr">
        <is>
          <t>OH</t>
        </is>
      </c>
      <c r="R2287" t="n">
        <v>44484</v>
      </c>
      <c r="AD2287" t="inlineStr">
        <is>
          <t>TRUMBULL CAREER &amp; TECH CENTER</t>
        </is>
      </c>
      <c r="AE2287" t="inlineStr">
        <is>
          <t>WARREN CITY</t>
        </is>
      </c>
      <c r="AF2287" t="inlineStr">
        <is>
          <t>WARREN CITY SD</t>
        </is>
      </c>
      <c r="AH2287" t="n">
        <v>14</v>
      </c>
      <c r="AI2287" t="n">
        <v>11</v>
      </c>
      <c r="AN2287" t="inlineStr">
        <is>
          <t>WARREN</t>
        </is>
      </c>
      <c r="AO2287" t="inlineStr">
        <is>
          <t>WARREN CITY 4F</t>
        </is>
      </c>
      <c r="AP2287" t="inlineStr">
        <is>
          <t>78-P-ADN</t>
        </is>
      </c>
      <c r="AQ2287" t="n">
        <v>9</v>
      </c>
      <c r="AR2287" t="n">
        <v>64</v>
      </c>
      <c r="AS2287" t="n">
        <v>32</v>
      </c>
      <c r="AU2287">
        <f>COUNTA($BA$2287:$EH$2287)</f>
        <v/>
      </c>
      <c r="AV2287">
        <f>COUNTIF($BA$2287:$EH$2287,"D")</f>
        <v/>
      </c>
      <c r="AW2287">
        <f>COUNTIF($BA$2287:$EH$2287,"R")</f>
        <v/>
      </c>
      <c r="AX2287">
        <f>IF(BN2287="D",1,0)+IF(BO2287="D",1,0)+IF(BT2287="D",1,0)+IF(BU2287="D",1,0)+IF(BW2287="D",1,0)+IF(CC2287="D",1,0)+IF(CD2287="D",1,0)+IF(CE2287="D",1,0)+IF(CF2287="D",1,0)+IF(CL2287="D",1,0)+IF(CM2287="D",1,0)+IF(CQ2287="D",1,0)+IF(CR2287="D",1,0)+IF(CS2287="D",1,0)+IF(CW2287="D",1,0)+IF(CX2287="D",1,0)+IF(DD2287="D",1,0)+IF(DE2287="D",1,0)+IF(DJ2287="D",1,0)+IF(DK2287="D",1,0)+IF(DO2287="D",1,0)+IF(DP2287="D",1,0)+IF(DQ2287="D",1,0)+IF(DW2287="D",1,0)+IF(DZ2287="D",1,0)+IF(EH2287="D",1,0)</f>
        <v/>
      </c>
      <c r="AY2287">
        <f>IF(DJ2287&lt;&gt;"",1,0)+IF(DK2287&lt;&gt;"",1,0)+IF(DM2287&lt;&gt;"",1,0)+IF(DO2287&lt;&gt;"",1,0)+IF(DP2287&lt;&gt;"",1,0)+IF(DQ2287&lt;&gt;"",1,0)+IF(DS2287&lt;&gt;"",1,0)+IF(DT2287&lt;&gt;"",1,0)+IF(DV2287&lt;&gt;"",1,0)+IF(DW2287&lt;&gt;"",1,0)+IF(DX2287&lt;&gt;"",1,0)+IF(DY2287&lt;&gt;"",1,0)+IF(DZ2287&lt;&gt;"",1,0)+IF(EB2287&lt;&gt;"",1,0)+IF(EC2287&lt;&gt;"",1,0)+IF(ED2287&lt;&gt;"",1,0)+IF(EG2287&lt;&gt;"",1,0)+IF(EH2287&lt;&gt;"",1,0)</f>
        <v/>
      </c>
      <c r="AZ2287">
        <f>IF(EH2287&lt;&gt;"",1,0)</f>
        <v/>
      </c>
      <c r="BB2287" t="inlineStr">
        <is>
          <t>WARREN-WARD 4</t>
        </is>
      </c>
      <c r="DC2287" t="inlineStr">
        <is>
          <t>X</t>
        </is>
      </c>
    </row>
    <row r="2288">
      <c r="A2288" t="inlineStr">
        <is>
          <t>OH0015813959</t>
        </is>
      </c>
      <c r="B2288" t="n">
        <v>78</v>
      </c>
      <c r="C2288" t="n">
        <v>263957</v>
      </c>
      <c r="D2288" t="inlineStr">
        <is>
          <t>WEBSTER</t>
        </is>
      </c>
      <c r="E2288" t="inlineStr">
        <is>
          <t>KIMBERLY</t>
        </is>
      </c>
      <c r="F2288">
        <f>CONCATENATE(D2288," ",LEFT(H2288,4),"T=",AU2288,"D=",AV2288,"R=",AW2288,"M=",AX2288,"L=",AY2288,"B=",AZ2288)</f>
        <v/>
      </c>
      <c r="G2288" t="inlineStr">
        <is>
          <t>M</t>
        </is>
      </c>
      <c r="I2288" t="inlineStr">
        <is>
          <t>1969-03-05</t>
        </is>
      </c>
      <c r="J2288" t="inlineStr">
        <is>
          <t>2016-07-19</t>
        </is>
      </c>
      <c r="K2288" t="inlineStr">
        <is>
          <t>CONFIRMATION</t>
        </is>
      </c>
      <c r="M2288" t="inlineStr">
        <is>
          <t>1074 HOMEWOOD AVE SE</t>
        </is>
      </c>
      <c r="N2288">
        <f>RIGHT(M2288,LEN(M2288)-FIND(" ",M2288))</f>
        <v/>
      </c>
      <c r="P2288" t="inlineStr">
        <is>
          <t>WARREN</t>
        </is>
      </c>
      <c r="Q2288" t="inlineStr">
        <is>
          <t>OH</t>
        </is>
      </c>
      <c r="R2288" t="n">
        <v>44484</v>
      </c>
      <c r="AD2288" t="inlineStr">
        <is>
          <t>TRUMBULL CAREER &amp; TECH CENTER</t>
        </is>
      </c>
      <c r="AE2288" t="inlineStr">
        <is>
          <t>WARREN CITY</t>
        </is>
      </c>
      <c r="AF2288" t="inlineStr">
        <is>
          <t>WARREN CITY SD</t>
        </is>
      </c>
      <c r="AH2288" t="n">
        <v>14</v>
      </c>
      <c r="AI2288" t="n">
        <v>11</v>
      </c>
      <c r="AN2288" t="inlineStr">
        <is>
          <t>WARREN</t>
        </is>
      </c>
      <c r="AO2288" t="inlineStr">
        <is>
          <t>WARREN CITY 4F</t>
        </is>
      </c>
      <c r="AP2288" t="inlineStr">
        <is>
          <t>78-P-ADN</t>
        </is>
      </c>
      <c r="AQ2288" t="n">
        <v>9</v>
      </c>
      <c r="AR2288" t="n">
        <v>64</v>
      </c>
      <c r="AS2288" t="n">
        <v>32</v>
      </c>
      <c r="AU2288">
        <f>COUNTA($BA$2288:$EH$2288)</f>
        <v/>
      </c>
      <c r="AV2288">
        <f>COUNTIF($BA$2288:$EH$2288,"D")</f>
        <v/>
      </c>
      <c r="AW2288">
        <f>COUNTIF($BA$2288:$EH$2288,"R")</f>
        <v/>
      </c>
      <c r="AX2288">
        <f>IF(BN2288="D",1,0)+IF(BO2288="D",1,0)+IF(BT2288="D",1,0)+IF(BU2288="D",1,0)+IF(BW2288="D",1,0)+IF(CC2288="D",1,0)+IF(CD2288="D",1,0)+IF(CE2288="D",1,0)+IF(CF2288="D",1,0)+IF(CL2288="D",1,0)+IF(CM2288="D",1,0)+IF(CQ2288="D",1,0)+IF(CR2288="D",1,0)+IF(CS2288="D",1,0)+IF(CW2288="D",1,0)+IF(CX2288="D",1,0)+IF(DD2288="D",1,0)+IF(DE2288="D",1,0)+IF(DJ2288="D",1,0)+IF(DK2288="D",1,0)+IF(DO2288="D",1,0)+IF(DP2288="D",1,0)+IF(DQ2288="D",1,0)+IF(DW2288="D",1,0)+IF(DZ2288="D",1,0)+IF(EH2288="D",1,0)</f>
        <v/>
      </c>
      <c r="AY2288">
        <f>IF(DJ2288&lt;&gt;"",1,0)+IF(DK2288&lt;&gt;"",1,0)+IF(DM2288&lt;&gt;"",1,0)+IF(DO2288&lt;&gt;"",1,0)+IF(DP2288&lt;&gt;"",1,0)+IF(DQ2288&lt;&gt;"",1,0)+IF(DS2288&lt;&gt;"",1,0)+IF(DT2288&lt;&gt;"",1,0)+IF(DV2288&lt;&gt;"",1,0)+IF(DW2288&lt;&gt;"",1,0)+IF(DX2288&lt;&gt;"",1,0)+IF(DY2288&lt;&gt;"",1,0)+IF(DZ2288&lt;&gt;"",1,0)+IF(EB2288&lt;&gt;"",1,0)+IF(EC2288&lt;&gt;"",1,0)+IF(ED2288&lt;&gt;"",1,0)+IF(EG2288&lt;&gt;"",1,0)+IF(EH2288&lt;&gt;"",1,0)</f>
        <v/>
      </c>
      <c r="AZ2288">
        <f>IF(EH2288&lt;&gt;"",1,0)</f>
        <v/>
      </c>
      <c r="BB2288" t="inlineStr">
        <is>
          <t>WARREN-WARD 4</t>
        </is>
      </c>
      <c r="BD2288" t="inlineStr">
        <is>
          <t>X</t>
        </is>
      </c>
      <c r="BL2288" t="inlineStr">
        <is>
          <t>X</t>
        </is>
      </c>
      <c r="BY2288" t="inlineStr">
        <is>
          <t>D</t>
        </is>
      </c>
      <c r="CA2288" t="inlineStr">
        <is>
          <t>X</t>
        </is>
      </c>
      <c r="CG2288" t="inlineStr">
        <is>
          <t>X</t>
        </is>
      </c>
      <c r="CP2288" t="inlineStr">
        <is>
          <t>X</t>
        </is>
      </c>
      <c r="DC2288" t="inlineStr">
        <is>
          <t>X</t>
        </is>
      </c>
    </row>
    <row r="2289">
      <c r="A2289" t="inlineStr">
        <is>
          <t>OH0015729605</t>
        </is>
      </c>
      <c r="B2289" t="n">
        <v>78</v>
      </c>
      <c r="C2289" t="n">
        <v>216663</v>
      </c>
      <c r="D2289" t="inlineStr">
        <is>
          <t>TABOR</t>
        </is>
      </c>
      <c r="E2289" t="inlineStr">
        <is>
          <t>DETRA</t>
        </is>
      </c>
      <c r="F2289">
        <f>CONCATENATE(D2289," ",LEFT(H2289,4),"T=",AU2289,"D=",AV2289,"R=",AW2289,"M=",AX2289,"L=",AY2289,"B=",AZ2289)</f>
        <v/>
      </c>
      <c r="G2289" t="inlineStr">
        <is>
          <t>D</t>
        </is>
      </c>
      <c r="I2289" t="inlineStr">
        <is>
          <t>1956-07-25</t>
        </is>
      </c>
      <c r="J2289" t="inlineStr">
        <is>
          <t>1989-07-21</t>
        </is>
      </c>
      <c r="K2289" t="inlineStr">
        <is>
          <t>ACTIVE</t>
        </is>
      </c>
      <c r="M2289" t="inlineStr">
        <is>
          <t>1824 MILTON ST SE</t>
        </is>
      </c>
      <c r="N2289">
        <f>RIGHT(M2289,LEN(M2289)-FIND(" ",M2289))</f>
        <v/>
      </c>
      <c r="P2289" t="inlineStr">
        <is>
          <t>WARREN</t>
        </is>
      </c>
      <c r="Q2289" t="inlineStr">
        <is>
          <t>OH</t>
        </is>
      </c>
      <c r="R2289" t="n">
        <v>44484</v>
      </c>
      <c r="AD2289" t="inlineStr">
        <is>
          <t>TRUMBULL CAREER &amp; TECH CENTER</t>
        </is>
      </c>
      <c r="AE2289" t="inlineStr">
        <is>
          <t>WARREN CITY</t>
        </is>
      </c>
      <c r="AF2289" t="inlineStr">
        <is>
          <t>WARREN CITY SD</t>
        </is>
      </c>
      <c r="AH2289" t="n">
        <v>14</v>
      </c>
      <c r="AI2289" t="n">
        <v>11</v>
      </c>
      <c r="AN2289" t="inlineStr">
        <is>
          <t>WARREN</t>
        </is>
      </c>
      <c r="AO2289" t="inlineStr">
        <is>
          <t>WARREN CITY 4F</t>
        </is>
      </c>
      <c r="AP2289" t="inlineStr">
        <is>
          <t>78-P-ADN</t>
        </is>
      </c>
      <c r="AQ2289" t="n">
        <v>9</v>
      </c>
      <c r="AR2289" t="n">
        <v>64</v>
      </c>
      <c r="AS2289" t="n">
        <v>32</v>
      </c>
      <c r="AU2289">
        <f>COUNTA($BA$2289:$EH$2289)</f>
        <v/>
      </c>
      <c r="AV2289">
        <f>COUNTIF($BA$2289:$EH$2289,"D")</f>
        <v/>
      </c>
      <c r="AW2289">
        <f>COUNTIF($BA$2289:$EH$2289,"R")</f>
        <v/>
      </c>
      <c r="AX2289">
        <f>IF(BN2289="D",1,0)+IF(BO2289="D",1,0)+IF(BT2289="D",1,0)+IF(BU2289="D",1,0)+IF(BW2289="D",1,0)+IF(CC2289="D",1,0)+IF(CD2289="D",1,0)+IF(CE2289="D",1,0)+IF(CF2289="D",1,0)+IF(CL2289="D",1,0)+IF(CM2289="D",1,0)+IF(CQ2289="D",1,0)+IF(CR2289="D",1,0)+IF(CS2289="D",1,0)+IF(CW2289="D",1,0)+IF(CX2289="D",1,0)+IF(DD2289="D",1,0)+IF(DE2289="D",1,0)+IF(DJ2289="D",1,0)+IF(DK2289="D",1,0)+IF(DO2289="D",1,0)+IF(DP2289="D",1,0)+IF(DQ2289="D",1,0)+IF(DW2289="D",1,0)+IF(DZ2289="D",1,0)+IF(EH2289="D",1,0)</f>
        <v/>
      </c>
      <c r="AY2289">
        <f>IF(DJ2289&lt;&gt;"",1,0)+IF(DK2289&lt;&gt;"",1,0)+IF(DM2289&lt;&gt;"",1,0)+IF(DO2289&lt;&gt;"",1,0)+IF(DP2289&lt;&gt;"",1,0)+IF(DQ2289&lt;&gt;"",1,0)+IF(DS2289&lt;&gt;"",1,0)+IF(DT2289&lt;&gt;"",1,0)+IF(DV2289&lt;&gt;"",1,0)+IF(DW2289&lt;&gt;"",1,0)+IF(DX2289&lt;&gt;"",1,0)+IF(DY2289&lt;&gt;"",1,0)+IF(DZ2289&lt;&gt;"",1,0)+IF(EB2289&lt;&gt;"",1,0)+IF(EC2289&lt;&gt;"",1,0)+IF(ED2289&lt;&gt;"",1,0)+IF(EG2289&lt;&gt;"",1,0)+IF(EH2289&lt;&gt;"",1,0)</f>
        <v/>
      </c>
      <c r="AZ2289">
        <f>IF(EH2289&lt;&gt;"",1,0)</f>
        <v/>
      </c>
      <c r="BB2289" t="inlineStr">
        <is>
          <t>WARREN-WARD 4</t>
        </is>
      </c>
      <c r="BC2289" t="inlineStr">
        <is>
          <t>X</t>
        </is>
      </c>
      <c r="BD2289" t="inlineStr">
        <is>
          <t>X</t>
        </is>
      </c>
      <c r="BF2289" t="inlineStr">
        <is>
          <t>X</t>
        </is>
      </c>
      <c r="BH2289" t="inlineStr">
        <is>
          <t>X</t>
        </is>
      </c>
      <c r="BJ2289" t="inlineStr">
        <is>
          <t>X</t>
        </is>
      </c>
      <c r="BL2289" t="inlineStr">
        <is>
          <t>X</t>
        </is>
      </c>
      <c r="BS2289" t="inlineStr">
        <is>
          <t>X</t>
        </is>
      </c>
      <c r="BV2289" t="inlineStr">
        <is>
          <t>X</t>
        </is>
      </c>
      <c r="BY2289" t="inlineStr">
        <is>
          <t>D</t>
        </is>
      </c>
      <c r="CA2289" t="inlineStr">
        <is>
          <t>X</t>
        </is>
      </c>
      <c r="CG2289" t="inlineStr">
        <is>
          <t>X</t>
        </is>
      </c>
      <c r="CH2289" t="inlineStr">
        <is>
          <t>D</t>
        </is>
      </c>
      <c r="CK2289" t="inlineStr">
        <is>
          <t>X</t>
        </is>
      </c>
      <c r="CL2289" t="inlineStr">
        <is>
          <t>D</t>
        </is>
      </c>
      <c r="CN2289" t="inlineStr">
        <is>
          <t>X</t>
        </is>
      </c>
      <c r="CP2289" t="inlineStr">
        <is>
          <t>X</t>
        </is>
      </c>
      <c r="CV2289" t="inlineStr">
        <is>
          <t>X</t>
        </is>
      </c>
      <c r="CW2289" t="inlineStr">
        <is>
          <t>D</t>
        </is>
      </c>
      <c r="CY2289" t="inlineStr">
        <is>
          <t>X</t>
        </is>
      </c>
      <c r="DC2289" t="inlineStr">
        <is>
          <t>X</t>
        </is>
      </c>
      <c r="DI2289" t="inlineStr">
        <is>
          <t>X</t>
        </is>
      </c>
      <c r="DL2289" t="inlineStr">
        <is>
          <t>X</t>
        </is>
      </c>
      <c r="DN2289" t="inlineStr">
        <is>
          <t>X</t>
        </is>
      </c>
      <c r="DU2289" t="inlineStr">
        <is>
          <t>X</t>
        </is>
      </c>
      <c r="EA2289" t="inlineStr">
        <is>
          <t>X</t>
        </is>
      </c>
      <c r="EF2289" t="inlineStr">
        <is>
          <t>X</t>
        </is>
      </c>
    </row>
    <row r="2290">
      <c r="A2290" t="inlineStr">
        <is>
          <t>OH0015693190</t>
        </is>
      </c>
      <c r="B2290" t="n">
        <v>78</v>
      </c>
      <c r="C2290" t="n">
        <v>14292</v>
      </c>
      <c r="D2290" t="inlineStr">
        <is>
          <t>FRAZIER</t>
        </is>
      </c>
      <c r="E2290" t="inlineStr">
        <is>
          <t>BESSIE</t>
        </is>
      </c>
      <c r="F2290">
        <f>CONCATENATE(D2290," ",LEFT(H2290,4),"T=",AU2290,"D=",AV2290,"R=",AW2290,"M=",AX2290,"L=",AY2290,"B=",AZ2290)</f>
        <v/>
      </c>
      <c r="G2290" t="inlineStr">
        <is>
          <t>D</t>
        </is>
      </c>
      <c r="I2290" t="inlineStr">
        <is>
          <t>1937-03-08</t>
        </is>
      </c>
      <c r="J2290" t="inlineStr">
        <is>
          <t>1967-09-26</t>
        </is>
      </c>
      <c r="K2290" t="inlineStr">
        <is>
          <t>ACTIVE</t>
        </is>
      </c>
      <c r="L2290" t="inlineStr">
        <is>
          <t>D</t>
        </is>
      </c>
      <c r="M2290" t="inlineStr">
        <is>
          <t>1130 KENILWORTH AVE SE</t>
        </is>
      </c>
      <c r="N2290">
        <f>RIGHT(M2290,LEN(M2290)-FIND(" ",M2290))</f>
        <v/>
      </c>
      <c r="P2290" t="inlineStr">
        <is>
          <t>WARREN</t>
        </is>
      </c>
      <c r="Q2290" t="inlineStr">
        <is>
          <t>OH</t>
        </is>
      </c>
      <c r="R2290" t="n">
        <v>44484</v>
      </c>
      <c r="AD2290" t="inlineStr">
        <is>
          <t>TRUMBULL CAREER &amp; TECH CENTER</t>
        </is>
      </c>
      <c r="AE2290" t="inlineStr">
        <is>
          <t>WARREN CITY</t>
        </is>
      </c>
      <c r="AF2290" t="inlineStr">
        <is>
          <t>WARREN CITY SD</t>
        </is>
      </c>
      <c r="AH2290" t="n">
        <v>14</v>
      </c>
      <c r="AI2290" t="n">
        <v>11</v>
      </c>
      <c r="AN2290" t="inlineStr">
        <is>
          <t>WARREN</t>
        </is>
      </c>
      <c r="AO2290" t="inlineStr">
        <is>
          <t>WARREN CITY 4F</t>
        </is>
      </c>
      <c r="AP2290" t="inlineStr">
        <is>
          <t>78-P-ADN</t>
        </is>
      </c>
      <c r="AQ2290" t="n">
        <v>9</v>
      </c>
      <c r="AR2290" t="n">
        <v>64</v>
      </c>
      <c r="AS2290" t="n">
        <v>32</v>
      </c>
      <c r="AU2290">
        <f>COUNTA($BA$2290:$EH$2290)</f>
        <v/>
      </c>
      <c r="AV2290">
        <f>COUNTIF($BA$2290:$EH$2290,"D")</f>
        <v/>
      </c>
      <c r="AW2290">
        <f>COUNTIF($BA$2290:$EH$2290,"R")</f>
        <v/>
      </c>
      <c r="AX2290">
        <f>IF(BN2290="D",1,0)+IF(BO2290="D",1,0)+IF(BT2290="D",1,0)+IF(BU2290="D",1,0)+IF(BW2290="D",1,0)+IF(CC2290="D",1,0)+IF(CD2290="D",1,0)+IF(CE2290="D",1,0)+IF(CF2290="D",1,0)+IF(CL2290="D",1,0)+IF(CM2290="D",1,0)+IF(CQ2290="D",1,0)+IF(CR2290="D",1,0)+IF(CS2290="D",1,0)+IF(CW2290="D",1,0)+IF(CX2290="D",1,0)+IF(DD2290="D",1,0)+IF(DE2290="D",1,0)+IF(DJ2290="D",1,0)+IF(DK2290="D",1,0)+IF(DO2290="D",1,0)+IF(DP2290="D",1,0)+IF(DQ2290="D",1,0)+IF(DW2290="D",1,0)+IF(DZ2290="D",1,0)+IF(EH2290="D",1,0)</f>
        <v/>
      </c>
      <c r="AY2290">
        <f>IF(DJ2290&lt;&gt;"",1,0)+IF(DK2290&lt;&gt;"",1,0)+IF(DM2290&lt;&gt;"",1,0)+IF(DO2290&lt;&gt;"",1,0)+IF(DP2290&lt;&gt;"",1,0)+IF(DQ2290&lt;&gt;"",1,0)+IF(DS2290&lt;&gt;"",1,0)+IF(DT2290&lt;&gt;"",1,0)+IF(DV2290&lt;&gt;"",1,0)+IF(DW2290&lt;&gt;"",1,0)+IF(DX2290&lt;&gt;"",1,0)+IF(DY2290&lt;&gt;"",1,0)+IF(DZ2290&lt;&gt;"",1,0)+IF(EB2290&lt;&gt;"",1,0)+IF(EC2290&lt;&gt;"",1,0)+IF(ED2290&lt;&gt;"",1,0)+IF(EG2290&lt;&gt;"",1,0)+IF(EH2290&lt;&gt;"",1,0)</f>
        <v/>
      </c>
      <c r="AZ2290">
        <f>IF(EH2290&lt;&gt;"",1,0)</f>
        <v/>
      </c>
      <c r="BB2290" t="inlineStr">
        <is>
          <t>WARREN-WARD 4</t>
        </is>
      </c>
      <c r="BC2290" t="inlineStr">
        <is>
          <t>X</t>
        </is>
      </c>
      <c r="BD2290" t="inlineStr">
        <is>
          <t>X</t>
        </is>
      </c>
      <c r="BE2290" t="inlineStr">
        <is>
          <t>X</t>
        </is>
      </c>
      <c r="BF2290" t="inlineStr">
        <is>
          <t>X</t>
        </is>
      </c>
      <c r="BG2290" t="inlineStr">
        <is>
          <t>X</t>
        </is>
      </c>
      <c r="BH2290" t="inlineStr">
        <is>
          <t>X</t>
        </is>
      </c>
      <c r="BI2290" t="inlineStr">
        <is>
          <t>X</t>
        </is>
      </c>
      <c r="BJ2290" t="inlineStr">
        <is>
          <t>X</t>
        </is>
      </c>
      <c r="BK2290" t="inlineStr">
        <is>
          <t>X</t>
        </is>
      </c>
      <c r="BL2290" t="inlineStr">
        <is>
          <t>X</t>
        </is>
      </c>
      <c r="BP2290" t="inlineStr">
        <is>
          <t>X</t>
        </is>
      </c>
      <c r="BR2290" t="inlineStr">
        <is>
          <t>X</t>
        </is>
      </c>
      <c r="BS2290" t="inlineStr">
        <is>
          <t>X</t>
        </is>
      </c>
      <c r="BT2290" t="inlineStr">
        <is>
          <t>X</t>
        </is>
      </c>
      <c r="BV2290" t="inlineStr">
        <is>
          <t>X</t>
        </is>
      </c>
      <c r="BY2290" t="inlineStr">
        <is>
          <t>D</t>
        </is>
      </c>
      <c r="CA2290" t="inlineStr">
        <is>
          <t>X</t>
        </is>
      </c>
      <c r="CG2290" t="inlineStr">
        <is>
          <t>X</t>
        </is>
      </c>
      <c r="CH2290" t="inlineStr">
        <is>
          <t>D</t>
        </is>
      </c>
      <c r="CK2290" t="inlineStr">
        <is>
          <t>X</t>
        </is>
      </c>
      <c r="CL2290" t="inlineStr">
        <is>
          <t>D</t>
        </is>
      </c>
      <c r="CN2290" t="inlineStr">
        <is>
          <t>X</t>
        </is>
      </c>
      <c r="CO2290" t="inlineStr">
        <is>
          <t>D</t>
        </is>
      </c>
      <c r="CP2290" t="inlineStr">
        <is>
          <t>X</t>
        </is>
      </c>
      <c r="CQ2290" t="inlineStr">
        <is>
          <t>D</t>
        </is>
      </c>
      <c r="CT2290" t="inlineStr">
        <is>
          <t>X</t>
        </is>
      </c>
      <c r="CU2290" t="inlineStr">
        <is>
          <t>D</t>
        </is>
      </c>
      <c r="CV2290" t="inlineStr">
        <is>
          <t>X</t>
        </is>
      </c>
      <c r="CW2290" t="inlineStr">
        <is>
          <t>D</t>
        </is>
      </c>
      <c r="CY2290" t="inlineStr">
        <is>
          <t>X</t>
        </is>
      </c>
      <c r="CZ2290" t="inlineStr">
        <is>
          <t>D</t>
        </is>
      </c>
      <c r="DC2290" t="inlineStr">
        <is>
          <t>X</t>
        </is>
      </c>
      <c r="DD2290" t="inlineStr">
        <is>
          <t>D</t>
        </is>
      </c>
      <c r="DF2290" t="inlineStr">
        <is>
          <t>X</t>
        </is>
      </c>
      <c r="DG2290" t="inlineStr">
        <is>
          <t>D</t>
        </is>
      </c>
      <c r="DI2290" t="inlineStr">
        <is>
          <t>X</t>
        </is>
      </c>
      <c r="DL2290" t="inlineStr">
        <is>
          <t>X</t>
        </is>
      </c>
      <c r="DM2290" t="inlineStr">
        <is>
          <t>D</t>
        </is>
      </c>
      <c r="DN2290" t="inlineStr">
        <is>
          <t>X</t>
        </is>
      </c>
      <c r="DU2290" t="inlineStr">
        <is>
          <t>X</t>
        </is>
      </c>
      <c r="DW2290" t="inlineStr">
        <is>
          <t>D</t>
        </is>
      </c>
      <c r="DX2290" t="inlineStr">
        <is>
          <t>X</t>
        </is>
      </c>
      <c r="EA2290" t="inlineStr">
        <is>
          <t>X</t>
        </is>
      </c>
      <c r="EF2290" t="inlineStr">
        <is>
          <t>X</t>
        </is>
      </c>
    </row>
    <row r="2291">
      <c r="A2291" t="inlineStr">
        <is>
          <t>OH0026258128</t>
        </is>
      </c>
      <c r="B2291" t="n">
        <v>78</v>
      </c>
      <c r="C2291" t="n">
        <v>459197</v>
      </c>
      <c r="D2291" t="inlineStr">
        <is>
          <t>BUTLER WALKER</t>
        </is>
      </c>
      <c r="E2291" t="inlineStr">
        <is>
          <t>MICHELLE</t>
        </is>
      </c>
      <c r="F2291">
        <f>CONCATENATE(D2291," ",LEFT(H2291,4),"T=",AU2291,"D=",AV2291,"R=",AW2291,"M=",AX2291,"L=",AY2291,"B=",AZ2291)</f>
        <v/>
      </c>
      <c r="G2291" t="inlineStr">
        <is>
          <t>RENEE</t>
        </is>
      </c>
      <c r="I2291" t="inlineStr">
        <is>
          <t>1971-03-25</t>
        </is>
      </c>
      <c r="J2291" t="inlineStr">
        <is>
          <t>2021-08-15</t>
        </is>
      </c>
      <c r="K2291" t="inlineStr">
        <is>
          <t>CONFIRMATION</t>
        </is>
      </c>
      <c r="M2291" t="inlineStr">
        <is>
          <t>953 HOMEWOOD AVE SE</t>
        </is>
      </c>
      <c r="N2291">
        <f>RIGHT(M2291,LEN(M2291)-FIND(" ",M2291))</f>
        <v/>
      </c>
      <c r="P2291" t="inlineStr">
        <is>
          <t>WARREN</t>
        </is>
      </c>
      <c r="Q2291" t="inlineStr">
        <is>
          <t>OH</t>
        </is>
      </c>
      <c r="R2291" t="n">
        <v>44484</v>
      </c>
      <c r="AD2291" t="inlineStr">
        <is>
          <t>TRUMBULL CAREER &amp; TECH CENTER</t>
        </is>
      </c>
      <c r="AE2291" t="inlineStr">
        <is>
          <t>WARREN CITY</t>
        </is>
      </c>
      <c r="AF2291" t="inlineStr">
        <is>
          <t>WARREN CITY SD</t>
        </is>
      </c>
      <c r="AH2291" t="n">
        <v>14</v>
      </c>
      <c r="AI2291" t="n">
        <v>11</v>
      </c>
      <c r="AN2291" t="inlineStr">
        <is>
          <t>WARREN</t>
        </is>
      </c>
      <c r="AO2291" t="inlineStr">
        <is>
          <t>WARREN CITY 4F</t>
        </is>
      </c>
      <c r="AP2291" t="inlineStr">
        <is>
          <t>78-P-ADN</t>
        </is>
      </c>
      <c r="AQ2291" t="n">
        <v>9</v>
      </c>
      <c r="AR2291" t="n">
        <v>64</v>
      </c>
      <c r="AS2291" t="n">
        <v>32</v>
      </c>
      <c r="AU2291">
        <f>COUNTA($BA$2291:$EH$2291)</f>
        <v/>
      </c>
      <c r="AV2291">
        <f>COUNTIF($BA$2291:$EH$2291,"D")</f>
        <v/>
      </c>
      <c r="AW2291">
        <f>COUNTIF($BA$2291:$EH$2291,"R")</f>
        <v/>
      </c>
      <c r="AX2291">
        <f>IF(BN2291="D",1,0)+IF(BO2291="D",1,0)+IF(BT2291="D",1,0)+IF(BU2291="D",1,0)+IF(BW2291="D",1,0)+IF(CC2291="D",1,0)+IF(CD2291="D",1,0)+IF(CE2291="D",1,0)+IF(CF2291="D",1,0)+IF(CL2291="D",1,0)+IF(CM2291="D",1,0)+IF(CQ2291="D",1,0)+IF(CR2291="D",1,0)+IF(CS2291="D",1,0)+IF(CW2291="D",1,0)+IF(CX2291="D",1,0)+IF(DD2291="D",1,0)+IF(DE2291="D",1,0)+IF(DJ2291="D",1,0)+IF(DK2291="D",1,0)+IF(DO2291="D",1,0)+IF(DP2291="D",1,0)+IF(DQ2291="D",1,0)+IF(DW2291="D",1,0)+IF(DZ2291="D",1,0)+IF(EH2291="D",1,0)</f>
        <v/>
      </c>
      <c r="AY2291">
        <f>IF(DJ2291&lt;&gt;"",1,0)+IF(DK2291&lt;&gt;"",1,0)+IF(DM2291&lt;&gt;"",1,0)+IF(DO2291&lt;&gt;"",1,0)+IF(DP2291&lt;&gt;"",1,0)+IF(DQ2291&lt;&gt;"",1,0)+IF(DS2291&lt;&gt;"",1,0)+IF(DT2291&lt;&gt;"",1,0)+IF(DV2291&lt;&gt;"",1,0)+IF(DW2291&lt;&gt;"",1,0)+IF(DX2291&lt;&gt;"",1,0)+IF(DY2291&lt;&gt;"",1,0)+IF(DZ2291&lt;&gt;"",1,0)+IF(EB2291&lt;&gt;"",1,0)+IF(EC2291&lt;&gt;"",1,0)+IF(ED2291&lt;&gt;"",1,0)+IF(EG2291&lt;&gt;"",1,0)+IF(EH2291&lt;&gt;"",1,0)</f>
        <v/>
      </c>
      <c r="AZ2291">
        <f>IF(EH2291&lt;&gt;"",1,0)</f>
        <v/>
      </c>
      <c r="BB2291" t="inlineStr">
        <is>
          <t>WARREN-WARD 4</t>
        </is>
      </c>
    </row>
    <row r="2292">
      <c r="A2292" t="inlineStr">
        <is>
          <t>OH0015732603</t>
        </is>
      </c>
      <c r="B2292" t="n">
        <v>78</v>
      </c>
      <c r="C2292" t="n">
        <v>22070</v>
      </c>
      <c r="D2292" t="inlineStr">
        <is>
          <t>JACKSON</t>
        </is>
      </c>
      <c r="E2292" t="inlineStr">
        <is>
          <t>BARBARA</t>
        </is>
      </c>
      <c r="F2292">
        <f>CONCATENATE(D2292," ",LEFT(H2292,4),"T=",AU2292,"D=",AV2292,"R=",AW2292,"M=",AX2292,"L=",AY2292,"B=",AZ2292)</f>
        <v/>
      </c>
      <c r="G2292" t="inlineStr">
        <is>
          <t>J</t>
        </is>
      </c>
      <c r="I2292" t="inlineStr">
        <is>
          <t>1950-07-08</t>
        </is>
      </c>
      <c r="J2292" t="inlineStr">
        <is>
          <t>2024-08-08</t>
        </is>
      </c>
      <c r="K2292" t="inlineStr">
        <is>
          <t>ACTIVE</t>
        </is>
      </c>
      <c r="L2292" t="inlineStr">
        <is>
          <t>D</t>
        </is>
      </c>
      <c r="M2292" t="inlineStr">
        <is>
          <t>1080 KENILWORTH AVE SE</t>
        </is>
      </c>
      <c r="N2292">
        <f>RIGHT(M2292,LEN(M2292)-FIND(" ",M2292))</f>
        <v/>
      </c>
      <c r="P2292" t="inlineStr">
        <is>
          <t>WARREN</t>
        </is>
      </c>
      <c r="Q2292" t="inlineStr">
        <is>
          <t>OH</t>
        </is>
      </c>
      <c r="R2292" t="n">
        <v>44484</v>
      </c>
      <c r="AD2292" t="inlineStr">
        <is>
          <t>TRUMBULL CAREER &amp; TECH CENTER</t>
        </is>
      </c>
      <c r="AE2292" t="inlineStr">
        <is>
          <t>WARREN CITY</t>
        </is>
      </c>
      <c r="AF2292" t="inlineStr">
        <is>
          <t>WARREN CITY SD</t>
        </is>
      </c>
      <c r="AH2292" t="n">
        <v>14</v>
      </c>
      <c r="AI2292" t="n">
        <v>11</v>
      </c>
      <c r="AN2292" t="inlineStr">
        <is>
          <t>WARREN</t>
        </is>
      </c>
      <c r="AO2292" t="inlineStr">
        <is>
          <t>WARREN CITY 4F</t>
        </is>
      </c>
      <c r="AP2292" t="inlineStr">
        <is>
          <t>78-P-ADN</t>
        </is>
      </c>
      <c r="AQ2292" t="n">
        <v>9</v>
      </c>
      <c r="AR2292" t="n">
        <v>64</v>
      </c>
      <c r="AS2292" t="n">
        <v>32</v>
      </c>
      <c r="AU2292">
        <f>COUNTA($BA$2292:$EH$2292)</f>
        <v/>
      </c>
      <c r="AV2292">
        <f>COUNTIF($BA$2292:$EH$2292,"D")</f>
        <v/>
      </c>
      <c r="AW2292">
        <f>COUNTIF($BA$2292:$EH$2292,"R")</f>
        <v/>
      </c>
      <c r="AX2292">
        <f>IF(BN2292="D",1,0)+IF(BO2292="D",1,0)+IF(BT2292="D",1,0)+IF(BU2292="D",1,0)+IF(BW2292="D",1,0)+IF(CC2292="D",1,0)+IF(CD2292="D",1,0)+IF(CE2292="D",1,0)+IF(CF2292="D",1,0)+IF(CL2292="D",1,0)+IF(CM2292="D",1,0)+IF(CQ2292="D",1,0)+IF(CR2292="D",1,0)+IF(CS2292="D",1,0)+IF(CW2292="D",1,0)+IF(CX2292="D",1,0)+IF(DD2292="D",1,0)+IF(DE2292="D",1,0)+IF(DJ2292="D",1,0)+IF(DK2292="D",1,0)+IF(DO2292="D",1,0)+IF(DP2292="D",1,0)+IF(DQ2292="D",1,0)+IF(DW2292="D",1,0)+IF(DZ2292="D",1,0)+IF(EH2292="D",1,0)</f>
        <v/>
      </c>
      <c r="AY2292">
        <f>IF(DJ2292&lt;&gt;"",1,0)+IF(DK2292&lt;&gt;"",1,0)+IF(DM2292&lt;&gt;"",1,0)+IF(DO2292&lt;&gt;"",1,0)+IF(DP2292&lt;&gt;"",1,0)+IF(DQ2292&lt;&gt;"",1,0)+IF(DS2292&lt;&gt;"",1,0)+IF(DT2292&lt;&gt;"",1,0)+IF(DV2292&lt;&gt;"",1,0)+IF(DW2292&lt;&gt;"",1,0)+IF(DX2292&lt;&gt;"",1,0)+IF(DY2292&lt;&gt;"",1,0)+IF(DZ2292&lt;&gt;"",1,0)+IF(EB2292&lt;&gt;"",1,0)+IF(EC2292&lt;&gt;"",1,0)+IF(ED2292&lt;&gt;"",1,0)+IF(EG2292&lt;&gt;"",1,0)+IF(EH2292&lt;&gt;"",1,0)</f>
        <v/>
      </c>
      <c r="AZ2292">
        <f>IF(EH2292&lt;&gt;"",1,0)</f>
        <v/>
      </c>
      <c r="BB2292" t="inlineStr">
        <is>
          <t>WARREN-WARD 4</t>
        </is>
      </c>
      <c r="BC2292" t="inlineStr">
        <is>
          <t>X</t>
        </is>
      </c>
      <c r="BD2292" t="inlineStr">
        <is>
          <t>X</t>
        </is>
      </c>
      <c r="BH2292" t="inlineStr">
        <is>
          <t>X</t>
        </is>
      </c>
      <c r="BI2292" t="inlineStr">
        <is>
          <t>X</t>
        </is>
      </c>
      <c r="BJ2292" t="inlineStr">
        <is>
          <t>X</t>
        </is>
      </c>
      <c r="BK2292" t="inlineStr">
        <is>
          <t>X</t>
        </is>
      </c>
      <c r="BL2292" t="inlineStr">
        <is>
          <t>X</t>
        </is>
      </c>
      <c r="BP2292" t="inlineStr">
        <is>
          <t>X</t>
        </is>
      </c>
      <c r="BR2292" t="inlineStr">
        <is>
          <t>X</t>
        </is>
      </c>
      <c r="BS2292" t="inlineStr">
        <is>
          <t>X</t>
        </is>
      </c>
      <c r="BY2292" t="inlineStr">
        <is>
          <t>D</t>
        </is>
      </c>
      <c r="CA2292" t="inlineStr">
        <is>
          <t>X</t>
        </is>
      </c>
      <c r="CG2292" t="inlineStr">
        <is>
          <t>X</t>
        </is>
      </c>
      <c r="CK2292" t="inlineStr">
        <is>
          <t>X</t>
        </is>
      </c>
      <c r="CL2292" t="inlineStr">
        <is>
          <t>D</t>
        </is>
      </c>
      <c r="CO2292" t="inlineStr">
        <is>
          <t>D</t>
        </is>
      </c>
      <c r="CP2292" t="inlineStr">
        <is>
          <t>X</t>
        </is>
      </c>
      <c r="CW2292" t="inlineStr">
        <is>
          <t>D</t>
        </is>
      </c>
      <c r="CY2292" t="inlineStr">
        <is>
          <t>X</t>
        </is>
      </c>
      <c r="DC2292" t="inlineStr">
        <is>
          <t>X</t>
        </is>
      </c>
      <c r="DF2292" t="inlineStr">
        <is>
          <t>X</t>
        </is>
      </c>
      <c r="DG2292" t="inlineStr">
        <is>
          <t>D</t>
        </is>
      </c>
      <c r="DI2292" t="inlineStr">
        <is>
          <t>X</t>
        </is>
      </c>
      <c r="DL2292" t="inlineStr">
        <is>
          <t>X</t>
        </is>
      </c>
      <c r="DM2292" t="inlineStr">
        <is>
          <t>D</t>
        </is>
      </c>
      <c r="DN2292" t="inlineStr">
        <is>
          <t>X</t>
        </is>
      </c>
      <c r="DS2292" t="inlineStr">
        <is>
          <t>D</t>
        </is>
      </c>
      <c r="DT2292" t="inlineStr">
        <is>
          <t>D</t>
        </is>
      </c>
      <c r="DU2292" t="inlineStr">
        <is>
          <t>X</t>
        </is>
      </c>
      <c r="DW2292" t="inlineStr">
        <is>
          <t>D</t>
        </is>
      </c>
      <c r="DX2292" t="inlineStr">
        <is>
          <t>X</t>
        </is>
      </c>
      <c r="EA2292" t="inlineStr">
        <is>
          <t>X</t>
        </is>
      </c>
      <c r="ED2292" t="inlineStr">
        <is>
          <t>D</t>
        </is>
      </c>
      <c r="EF2292" t="inlineStr">
        <is>
          <t>X</t>
        </is>
      </c>
      <c r="EH2292" t="inlineStr">
        <is>
          <t>D</t>
        </is>
      </c>
    </row>
    <row r="2293">
      <c r="A2293" t="inlineStr">
        <is>
          <t>OH0027507833</t>
        </is>
      </c>
      <c r="B2293" t="n">
        <v>78</v>
      </c>
      <c r="C2293" t="n">
        <v>487354</v>
      </c>
      <c r="D2293" t="inlineStr">
        <is>
          <t>TUNER</t>
        </is>
      </c>
      <c r="E2293" t="inlineStr">
        <is>
          <t>IKE</t>
        </is>
      </c>
      <c r="F2293">
        <f>CONCATENATE(D2293," ",LEFT(H2293,4),"T=",AU2293,"D=",AV2293,"R=",AW2293,"M=",AX2293,"L=",AY2293,"B=",AZ2293)</f>
        <v/>
      </c>
      <c r="G2293" t="inlineStr">
        <is>
          <t>L</t>
        </is>
      </c>
      <c r="I2293" t="inlineStr">
        <is>
          <t>2004-10-20</t>
        </is>
      </c>
      <c r="J2293" t="inlineStr">
        <is>
          <t>2024-08-10</t>
        </is>
      </c>
      <c r="K2293" t="inlineStr">
        <is>
          <t>ACTIVE</t>
        </is>
      </c>
      <c r="M2293" t="inlineStr">
        <is>
          <t>1053 HOMEWOOD AVE SE</t>
        </is>
      </c>
      <c r="N2293">
        <f>RIGHT(M2293,LEN(M2293)-FIND(" ",M2293))</f>
        <v/>
      </c>
      <c r="P2293" t="inlineStr">
        <is>
          <t>WARREN</t>
        </is>
      </c>
      <c r="Q2293" t="inlineStr">
        <is>
          <t>OH</t>
        </is>
      </c>
      <c r="R2293" t="n">
        <v>44484</v>
      </c>
      <c r="AD2293" t="inlineStr">
        <is>
          <t>TRUMBULL CAREER &amp; TECH CENTER</t>
        </is>
      </c>
      <c r="AE2293" t="inlineStr">
        <is>
          <t>WARREN CITY</t>
        </is>
      </c>
      <c r="AF2293" t="inlineStr">
        <is>
          <t>WARREN CITY SD</t>
        </is>
      </c>
      <c r="AH2293" t="n">
        <v>14</v>
      </c>
      <c r="AI2293" t="n">
        <v>11</v>
      </c>
      <c r="AN2293" t="inlineStr">
        <is>
          <t>WARREN</t>
        </is>
      </c>
      <c r="AO2293" t="inlineStr">
        <is>
          <t>WARREN CITY 4F</t>
        </is>
      </c>
      <c r="AP2293" t="inlineStr">
        <is>
          <t>78-P-ADN</t>
        </is>
      </c>
      <c r="AQ2293" t="n">
        <v>9</v>
      </c>
      <c r="AR2293" t="n">
        <v>64</v>
      </c>
      <c r="AS2293" t="n">
        <v>32</v>
      </c>
      <c r="AU2293">
        <f>COUNTA($BA$2293:$EH$2293)</f>
        <v/>
      </c>
      <c r="AV2293">
        <f>COUNTIF($BA$2293:$EH$2293,"D")</f>
        <v/>
      </c>
      <c r="AW2293">
        <f>COUNTIF($BA$2293:$EH$2293,"R")</f>
        <v/>
      </c>
      <c r="AX2293">
        <f>IF(BN2293="D",1,0)+IF(BO2293="D",1,0)+IF(BT2293="D",1,0)+IF(BU2293="D",1,0)+IF(BW2293="D",1,0)+IF(CC2293="D",1,0)+IF(CD2293="D",1,0)+IF(CE2293="D",1,0)+IF(CF2293="D",1,0)+IF(CL2293="D",1,0)+IF(CM2293="D",1,0)+IF(CQ2293="D",1,0)+IF(CR2293="D",1,0)+IF(CS2293="D",1,0)+IF(CW2293="D",1,0)+IF(CX2293="D",1,0)+IF(DD2293="D",1,0)+IF(DE2293="D",1,0)+IF(DJ2293="D",1,0)+IF(DK2293="D",1,0)+IF(DO2293="D",1,0)+IF(DP2293="D",1,0)+IF(DQ2293="D",1,0)+IF(DW2293="D",1,0)+IF(DZ2293="D",1,0)+IF(EH2293="D",1,0)</f>
        <v/>
      </c>
      <c r="AY2293">
        <f>IF(DJ2293&lt;&gt;"",1,0)+IF(DK2293&lt;&gt;"",1,0)+IF(DM2293&lt;&gt;"",1,0)+IF(DO2293&lt;&gt;"",1,0)+IF(DP2293&lt;&gt;"",1,0)+IF(DQ2293&lt;&gt;"",1,0)+IF(DS2293&lt;&gt;"",1,0)+IF(DT2293&lt;&gt;"",1,0)+IF(DV2293&lt;&gt;"",1,0)+IF(DW2293&lt;&gt;"",1,0)+IF(DX2293&lt;&gt;"",1,0)+IF(DY2293&lt;&gt;"",1,0)+IF(DZ2293&lt;&gt;"",1,0)+IF(EB2293&lt;&gt;"",1,0)+IF(EC2293&lt;&gt;"",1,0)+IF(ED2293&lt;&gt;"",1,0)+IF(EG2293&lt;&gt;"",1,0)+IF(EH2293&lt;&gt;"",1,0)</f>
        <v/>
      </c>
      <c r="AZ2293">
        <f>IF(EH2293&lt;&gt;"",1,0)</f>
        <v/>
      </c>
      <c r="BB2293" t="inlineStr">
        <is>
          <t>WARREN-WARD 4</t>
        </is>
      </c>
    </row>
    <row r="2294">
      <c r="A2294" t="inlineStr">
        <is>
          <t>OH0015743711</t>
        </is>
      </c>
      <c r="B2294" t="n">
        <v>78</v>
      </c>
      <c r="C2294" t="n">
        <v>297072</v>
      </c>
      <c r="D2294" t="inlineStr">
        <is>
          <t>LAWRENCE</t>
        </is>
      </c>
      <c r="E2294" t="inlineStr">
        <is>
          <t>LISA</t>
        </is>
      </c>
      <c r="F2294">
        <f>CONCATENATE(D2294," ",LEFT(H2294,4),"T=",AU2294,"D=",AV2294,"R=",AW2294,"M=",AX2294,"L=",AY2294,"B=",AZ2294)</f>
        <v/>
      </c>
      <c r="G2294" t="inlineStr">
        <is>
          <t>B</t>
        </is>
      </c>
      <c r="I2294" t="inlineStr">
        <is>
          <t>1964-11-01</t>
        </is>
      </c>
      <c r="J2294" t="inlineStr">
        <is>
          <t>2024-06-29</t>
        </is>
      </c>
      <c r="K2294" t="inlineStr">
        <is>
          <t>ACTIVE</t>
        </is>
      </c>
      <c r="M2294" t="inlineStr">
        <is>
          <t>1191 NILES RD SE</t>
        </is>
      </c>
      <c r="N2294">
        <f>RIGHT(M2294,LEN(M2294)-FIND(" ",M2294))</f>
        <v/>
      </c>
      <c r="O2294" t="inlineStr">
        <is>
          <t>APT 2</t>
        </is>
      </c>
      <c r="P2294" t="inlineStr">
        <is>
          <t>WARREN</t>
        </is>
      </c>
      <c r="Q2294" t="inlineStr">
        <is>
          <t>OH</t>
        </is>
      </c>
      <c r="R2294" t="n">
        <v>44484</v>
      </c>
      <c r="AD2294" t="inlineStr">
        <is>
          <t>TRUMBULL CAREER &amp; TECH CENTER</t>
        </is>
      </c>
      <c r="AE2294" t="inlineStr">
        <is>
          <t>WARREN CITY</t>
        </is>
      </c>
      <c r="AF2294" t="inlineStr">
        <is>
          <t>WARREN CITY SD</t>
        </is>
      </c>
      <c r="AH2294" t="n">
        <v>14</v>
      </c>
      <c r="AI2294" t="n">
        <v>11</v>
      </c>
      <c r="AN2294" t="inlineStr">
        <is>
          <t>WARREN</t>
        </is>
      </c>
      <c r="AO2294" t="inlineStr">
        <is>
          <t>WARREN CITY 4F</t>
        </is>
      </c>
      <c r="AP2294" t="inlineStr">
        <is>
          <t>78-P-ADN</t>
        </is>
      </c>
      <c r="AQ2294" t="n">
        <v>9</v>
      </c>
      <c r="AR2294" t="n">
        <v>64</v>
      </c>
      <c r="AS2294" t="n">
        <v>32</v>
      </c>
      <c r="AU2294">
        <f>COUNTA($BA$2294:$EH$2294)</f>
        <v/>
      </c>
      <c r="AV2294">
        <f>COUNTIF($BA$2294:$EH$2294,"D")</f>
        <v/>
      </c>
      <c r="AW2294">
        <f>COUNTIF($BA$2294:$EH$2294,"R")</f>
        <v/>
      </c>
      <c r="AX2294">
        <f>IF(BN2294="D",1,0)+IF(BO2294="D",1,0)+IF(BT2294="D",1,0)+IF(BU2294="D",1,0)+IF(BW2294="D",1,0)+IF(CC2294="D",1,0)+IF(CD2294="D",1,0)+IF(CE2294="D",1,0)+IF(CF2294="D",1,0)+IF(CL2294="D",1,0)+IF(CM2294="D",1,0)+IF(CQ2294="D",1,0)+IF(CR2294="D",1,0)+IF(CS2294="D",1,0)+IF(CW2294="D",1,0)+IF(CX2294="D",1,0)+IF(DD2294="D",1,0)+IF(DE2294="D",1,0)+IF(DJ2294="D",1,0)+IF(DK2294="D",1,0)+IF(DO2294="D",1,0)+IF(DP2294="D",1,0)+IF(DQ2294="D",1,0)+IF(DW2294="D",1,0)+IF(DZ2294="D",1,0)+IF(EH2294="D",1,0)</f>
        <v/>
      </c>
      <c r="AY2294">
        <f>IF(DJ2294&lt;&gt;"",1,0)+IF(DK2294&lt;&gt;"",1,0)+IF(DM2294&lt;&gt;"",1,0)+IF(DO2294&lt;&gt;"",1,0)+IF(DP2294&lt;&gt;"",1,0)+IF(DQ2294&lt;&gt;"",1,0)+IF(DS2294&lt;&gt;"",1,0)+IF(DT2294&lt;&gt;"",1,0)+IF(DV2294&lt;&gt;"",1,0)+IF(DW2294&lt;&gt;"",1,0)+IF(DX2294&lt;&gt;"",1,0)+IF(DY2294&lt;&gt;"",1,0)+IF(DZ2294&lt;&gt;"",1,0)+IF(EB2294&lt;&gt;"",1,0)+IF(EC2294&lt;&gt;"",1,0)+IF(ED2294&lt;&gt;"",1,0)+IF(EG2294&lt;&gt;"",1,0)+IF(EH2294&lt;&gt;"",1,0)</f>
        <v/>
      </c>
      <c r="AZ2294">
        <f>IF(EH2294&lt;&gt;"",1,0)</f>
        <v/>
      </c>
      <c r="BB2294" t="inlineStr">
        <is>
          <t>WARREN-WARD 4</t>
        </is>
      </c>
      <c r="BL2294" t="inlineStr">
        <is>
          <t>X</t>
        </is>
      </c>
      <c r="BP2294" t="inlineStr">
        <is>
          <t>X</t>
        </is>
      </c>
      <c r="BY2294" t="inlineStr">
        <is>
          <t>D</t>
        </is>
      </c>
      <c r="CA2294" t="inlineStr">
        <is>
          <t>X</t>
        </is>
      </c>
      <c r="CP2294" t="inlineStr">
        <is>
          <t>X</t>
        </is>
      </c>
    </row>
    <row r="2295">
      <c r="A2295" t="inlineStr">
        <is>
          <t>OH0026992099</t>
        </is>
      </c>
      <c r="B2295" t="n">
        <v>78</v>
      </c>
      <c r="C2295" t="n">
        <v>475032</v>
      </c>
      <c r="D2295" t="inlineStr">
        <is>
          <t>PRIEST</t>
        </is>
      </c>
      <c r="E2295" t="inlineStr">
        <is>
          <t>ROSITA</t>
        </is>
      </c>
      <c r="F2295">
        <f>CONCATENATE(D2295," ",LEFT(H2295,4),"T=",AU2295,"D=",AV2295,"R=",AW2295,"M=",AX2295,"L=",AY2295,"B=",AZ2295)</f>
        <v/>
      </c>
      <c r="I2295" t="inlineStr">
        <is>
          <t>1954-05-08</t>
        </is>
      </c>
      <c r="J2295" t="inlineStr">
        <is>
          <t>2023-08-08</t>
        </is>
      </c>
      <c r="K2295" t="inlineStr">
        <is>
          <t>ACTIVE</t>
        </is>
      </c>
      <c r="M2295" t="inlineStr">
        <is>
          <t>1008 HOMEWOOD AVE SE</t>
        </is>
      </c>
      <c r="N2295">
        <f>RIGHT(M2295,LEN(M2295)-FIND(" ",M2295))</f>
        <v/>
      </c>
      <c r="P2295" t="inlineStr">
        <is>
          <t>WARREN</t>
        </is>
      </c>
      <c r="Q2295" t="inlineStr">
        <is>
          <t>OH</t>
        </is>
      </c>
      <c r="R2295" t="n">
        <v>44484</v>
      </c>
      <c r="AD2295" t="inlineStr">
        <is>
          <t>TRUMBULL CAREER &amp; TECH CENTER</t>
        </is>
      </c>
      <c r="AE2295" t="inlineStr">
        <is>
          <t>WARREN CITY</t>
        </is>
      </c>
      <c r="AF2295" t="inlineStr">
        <is>
          <t>WARREN CITY SD</t>
        </is>
      </c>
      <c r="AH2295" t="n">
        <v>14</v>
      </c>
      <c r="AI2295" t="n">
        <v>11</v>
      </c>
      <c r="AN2295" t="inlineStr">
        <is>
          <t>WARREN</t>
        </is>
      </c>
      <c r="AO2295" t="inlineStr">
        <is>
          <t>WARREN CITY 4F</t>
        </is>
      </c>
      <c r="AP2295" t="inlineStr">
        <is>
          <t>78-P-ADN</t>
        </is>
      </c>
      <c r="AQ2295" t="n">
        <v>9</v>
      </c>
      <c r="AR2295" t="n">
        <v>64</v>
      </c>
      <c r="AS2295" t="n">
        <v>32</v>
      </c>
      <c r="AU2295">
        <f>COUNTA($BA$2295:$EH$2295)</f>
        <v/>
      </c>
      <c r="AV2295">
        <f>COUNTIF($BA$2295:$EH$2295,"D")</f>
        <v/>
      </c>
      <c r="AW2295">
        <f>COUNTIF($BA$2295:$EH$2295,"R")</f>
        <v/>
      </c>
      <c r="AX2295">
        <f>IF(BN2295="D",1,0)+IF(BO2295="D",1,0)+IF(BT2295="D",1,0)+IF(BU2295="D",1,0)+IF(BW2295="D",1,0)+IF(CC2295="D",1,0)+IF(CD2295="D",1,0)+IF(CE2295="D",1,0)+IF(CF2295="D",1,0)+IF(CL2295="D",1,0)+IF(CM2295="D",1,0)+IF(CQ2295="D",1,0)+IF(CR2295="D",1,0)+IF(CS2295="D",1,0)+IF(CW2295="D",1,0)+IF(CX2295="D",1,0)+IF(DD2295="D",1,0)+IF(DE2295="D",1,0)+IF(DJ2295="D",1,0)+IF(DK2295="D",1,0)+IF(DO2295="D",1,0)+IF(DP2295="D",1,0)+IF(DQ2295="D",1,0)+IF(DW2295="D",1,0)+IF(DZ2295="D",1,0)+IF(EH2295="D",1,0)</f>
        <v/>
      </c>
      <c r="AY2295">
        <f>IF(DJ2295&lt;&gt;"",1,0)+IF(DK2295&lt;&gt;"",1,0)+IF(DM2295&lt;&gt;"",1,0)+IF(DO2295&lt;&gt;"",1,0)+IF(DP2295&lt;&gt;"",1,0)+IF(DQ2295&lt;&gt;"",1,0)+IF(DS2295&lt;&gt;"",1,0)+IF(DT2295&lt;&gt;"",1,0)+IF(DV2295&lt;&gt;"",1,0)+IF(DW2295&lt;&gt;"",1,0)+IF(DX2295&lt;&gt;"",1,0)+IF(DY2295&lt;&gt;"",1,0)+IF(DZ2295&lt;&gt;"",1,0)+IF(EB2295&lt;&gt;"",1,0)+IF(EC2295&lt;&gt;"",1,0)+IF(ED2295&lt;&gt;"",1,0)+IF(EG2295&lt;&gt;"",1,0)+IF(EH2295&lt;&gt;"",1,0)</f>
        <v/>
      </c>
      <c r="AZ2295">
        <f>IF(EH2295&lt;&gt;"",1,0)</f>
        <v/>
      </c>
      <c r="BB2295" t="inlineStr">
        <is>
          <t>WARREN-WARD 4</t>
        </is>
      </c>
      <c r="DX2295" t="inlineStr">
        <is>
          <t>X</t>
        </is>
      </c>
    </row>
    <row r="2296">
      <c r="A2296" t="inlineStr">
        <is>
          <t>OH0026992100</t>
        </is>
      </c>
      <c r="B2296" t="n">
        <v>78</v>
      </c>
      <c r="C2296" t="n">
        <v>475031</v>
      </c>
      <c r="D2296" t="inlineStr">
        <is>
          <t>PROVITT</t>
        </is>
      </c>
      <c r="E2296" t="inlineStr">
        <is>
          <t>JAIDYN</t>
        </is>
      </c>
      <c r="F2296">
        <f>CONCATENATE(D2296," ",LEFT(H2296,4),"T=",AU2296,"D=",AV2296,"R=",AW2296,"M=",AX2296,"L=",AY2296,"B=",AZ2296)</f>
        <v/>
      </c>
      <c r="G2296" t="inlineStr">
        <is>
          <t>DORISSA</t>
        </is>
      </c>
      <c r="I2296" t="inlineStr">
        <is>
          <t>2004-08-31</t>
        </is>
      </c>
      <c r="J2296" t="inlineStr">
        <is>
          <t>2024-10-07</t>
        </is>
      </c>
      <c r="K2296" t="inlineStr">
        <is>
          <t>ACTIVE</t>
        </is>
      </c>
      <c r="M2296" t="inlineStr">
        <is>
          <t>1935 WICK ST SE</t>
        </is>
      </c>
      <c r="N2296">
        <f>RIGHT(M2296,LEN(M2296)-FIND(" ",M2296))</f>
        <v/>
      </c>
      <c r="P2296" t="inlineStr">
        <is>
          <t>WARREN</t>
        </is>
      </c>
      <c r="Q2296" t="inlineStr">
        <is>
          <t>OH</t>
        </is>
      </c>
      <c r="R2296" t="n">
        <v>44484</v>
      </c>
      <c r="AD2296" t="inlineStr">
        <is>
          <t>TRUMBULL CAREER &amp; TECH CENTER</t>
        </is>
      </c>
      <c r="AE2296" t="inlineStr">
        <is>
          <t>WARREN CITY</t>
        </is>
      </c>
      <c r="AF2296" t="inlineStr">
        <is>
          <t>WARREN CITY SD</t>
        </is>
      </c>
      <c r="AH2296" t="n">
        <v>14</v>
      </c>
      <c r="AI2296" t="n">
        <v>11</v>
      </c>
      <c r="AN2296" t="inlineStr">
        <is>
          <t>WARREN</t>
        </is>
      </c>
      <c r="AO2296" t="inlineStr">
        <is>
          <t>WARREN CITY 4F</t>
        </is>
      </c>
      <c r="AP2296" t="inlineStr">
        <is>
          <t>78-P-ADN</t>
        </is>
      </c>
      <c r="AQ2296" t="n">
        <v>9</v>
      </c>
      <c r="AR2296" t="n">
        <v>64</v>
      </c>
      <c r="AS2296" t="n">
        <v>32</v>
      </c>
      <c r="AU2296">
        <f>COUNTA($BA$2296:$EH$2296)</f>
        <v/>
      </c>
      <c r="AV2296">
        <f>COUNTIF($BA$2296:$EH$2296,"D")</f>
        <v/>
      </c>
      <c r="AW2296">
        <f>COUNTIF($BA$2296:$EH$2296,"R")</f>
        <v/>
      </c>
      <c r="AX2296">
        <f>IF(BN2296="D",1,0)+IF(BO2296="D",1,0)+IF(BT2296="D",1,0)+IF(BU2296="D",1,0)+IF(BW2296="D",1,0)+IF(CC2296="D",1,0)+IF(CD2296="D",1,0)+IF(CE2296="D",1,0)+IF(CF2296="D",1,0)+IF(CL2296="D",1,0)+IF(CM2296="D",1,0)+IF(CQ2296="D",1,0)+IF(CR2296="D",1,0)+IF(CS2296="D",1,0)+IF(CW2296="D",1,0)+IF(CX2296="D",1,0)+IF(DD2296="D",1,0)+IF(DE2296="D",1,0)+IF(DJ2296="D",1,0)+IF(DK2296="D",1,0)+IF(DO2296="D",1,0)+IF(DP2296="D",1,0)+IF(DQ2296="D",1,0)+IF(DW2296="D",1,0)+IF(DZ2296="D",1,0)+IF(EH2296="D",1,0)</f>
        <v/>
      </c>
      <c r="AY2296">
        <f>IF(DJ2296&lt;&gt;"",1,0)+IF(DK2296&lt;&gt;"",1,0)+IF(DM2296&lt;&gt;"",1,0)+IF(DO2296&lt;&gt;"",1,0)+IF(DP2296&lt;&gt;"",1,0)+IF(DQ2296&lt;&gt;"",1,0)+IF(DS2296&lt;&gt;"",1,0)+IF(DT2296&lt;&gt;"",1,0)+IF(DV2296&lt;&gt;"",1,0)+IF(DW2296&lt;&gt;"",1,0)+IF(DX2296&lt;&gt;"",1,0)+IF(DY2296&lt;&gt;"",1,0)+IF(DZ2296&lt;&gt;"",1,0)+IF(EB2296&lt;&gt;"",1,0)+IF(EC2296&lt;&gt;"",1,0)+IF(ED2296&lt;&gt;"",1,0)+IF(EG2296&lt;&gt;"",1,0)+IF(EH2296&lt;&gt;"",1,0)</f>
        <v/>
      </c>
      <c r="AZ2296">
        <f>IF(EH2296&lt;&gt;"",1,0)</f>
        <v/>
      </c>
      <c r="BB2296" t="inlineStr">
        <is>
          <t>WARREN-WARD 4</t>
        </is>
      </c>
      <c r="DX2296" t="inlineStr">
        <is>
          <t>X</t>
        </is>
      </c>
      <c r="EF2296" t="inlineStr">
        <is>
          <t>X</t>
        </is>
      </c>
    </row>
    <row r="2297">
      <c r="A2297" t="inlineStr">
        <is>
          <t>OH0027904369</t>
        </is>
      </c>
      <c r="B2297" t="n">
        <v>78</v>
      </c>
      <c r="C2297" t="n">
        <v>495113</v>
      </c>
      <c r="D2297" t="inlineStr">
        <is>
          <t>YOUNG</t>
        </is>
      </c>
      <c r="E2297" t="inlineStr">
        <is>
          <t>ANTHONY</t>
        </is>
      </c>
      <c r="F2297">
        <f>CONCATENATE(D2297," ",LEFT(H2297,4),"T=",AU2297,"D=",AV2297,"R=",AW2297,"M=",AX2297,"L=",AY2297,"B=",AZ2297)</f>
        <v/>
      </c>
      <c r="G2297" t="inlineStr">
        <is>
          <t>TODD</t>
        </is>
      </c>
      <c r="I2297" t="inlineStr">
        <is>
          <t>1996-06-25</t>
        </is>
      </c>
      <c r="J2297" t="inlineStr">
        <is>
          <t>2025-02-26</t>
        </is>
      </c>
      <c r="K2297" t="inlineStr">
        <is>
          <t>ACTIVE</t>
        </is>
      </c>
      <c r="M2297" t="inlineStr">
        <is>
          <t>1946 BENTON ST SE</t>
        </is>
      </c>
      <c r="N2297">
        <f>RIGHT(M2297,LEN(M2297)-FIND(" ",M2297))</f>
        <v/>
      </c>
      <c r="P2297" t="inlineStr">
        <is>
          <t>WARREN</t>
        </is>
      </c>
      <c r="Q2297" t="inlineStr">
        <is>
          <t>OH</t>
        </is>
      </c>
      <c r="R2297" t="n">
        <v>44484</v>
      </c>
      <c r="AD2297" t="inlineStr">
        <is>
          <t>TRUMBULL CAREER &amp; TECH CENTER</t>
        </is>
      </c>
      <c r="AE2297" t="inlineStr">
        <is>
          <t>WARREN CITY</t>
        </is>
      </c>
      <c r="AF2297" t="inlineStr">
        <is>
          <t>WARREN CITY SD</t>
        </is>
      </c>
      <c r="AH2297" t="n">
        <v>14</v>
      </c>
      <c r="AI2297" t="n">
        <v>11</v>
      </c>
      <c r="AN2297" t="inlineStr">
        <is>
          <t>WARREN</t>
        </is>
      </c>
      <c r="AO2297" t="inlineStr">
        <is>
          <t>WARREN CITY 4F</t>
        </is>
      </c>
      <c r="AP2297" t="inlineStr">
        <is>
          <t>78-P-ADN</t>
        </is>
      </c>
      <c r="AQ2297" t="n">
        <v>9</v>
      </c>
      <c r="AR2297" t="n">
        <v>64</v>
      </c>
      <c r="AS2297" t="n">
        <v>32</v>
      </c>
      <c r="AU2297">
        <f>COUNTA($BA$2297:$EH$2297)</f>
        <v/>
      </c>
      <c r="AV2297">
        <f>COUNTIF($BA$2297:$EH$2297,"D")</f>
        <v/>
      </c>
      <c r="AW2297">
        <f>COUNTIF($BA$2297:$EH$2297,"R")</f>
        <v/>
      </c>
      <c r="AX2297">
        <f>IF(BN2297="D",1,0)+IF(BO2297="D",1,0)+IF(BT2297="D",1,0)+IF(BU2297="D",1,0)+IF(BW2297="D",1,0)+IF(CC2297="D",1,0)+IF(CD2297="D",1,0)+IF(CE2297="D",1,0)+IF(CF2297="D",1,0)+IF(CL2297="D",1,0)+IF(CM2297="D",1,0)+IF(CQ2297="D",1,0)+IF(CR2297="D",1,0)+IF(CS2297="D",1,0)+IF(CW2297="D",1,0)+IF(CX2297="D",1,0)+IF(DD2297="D",1,0)+IF(DE2297="D",1,0)+IF(DJ2297="D",1,0)+IF(DK2297="D",1,0)+IF(DO2297="D",1,0)+IF(DP2297="D",1,0)+IF(DQ2297="D",1,0)+IF(DW2297="D",1,0)+IF(DZ2297="D",1,0)+IF(EH2297="D",1,0)</f>
        <v/>
      </c>
      <c r="AY2297">
        <f>IF(DJ2297&lt;&gt;"",1,0)+IF(DK2297&lt;&gt;"",1,0)+IF(DM2297&lt;&gt;"",1,0)+IF(DO2297&lt;&gt;"",1,0)+IF(DP2297&lt;&gt;"",1,0)+IF(DQ2297&lt;&gt;"",1,0)+IF(DS2297&lt;&gt;"",1,0)+IF(DT2297&lt;&gt;"",1,0)+IF(DV2297&lt;&gt;"",1,0)+IF(DW2297&lt;&gt;"",1,0)+IF(DX2297&lt;&gt;"",1,0)+IF(DY2297&lt;&gt;"",1,0)+IF(DZ2297&lt;&gt;"",1,0)+IF(EB2297&lt;&gt;"",1,0)+IF(EC2297&lt;&gt;"",1,0)+IF(ED2297&lt;&gt;"",1,0)+IF(EG2297&lt;&gt;"",1,0)+IF(EH2297&lt;&gt;"",1,0)</f>
        <v/>
      </c>
      <c r="AZ2297">
        <f>IF(EH2297&lt;&gt;"",1,0)</f>
        <v/>
      </c>
      <c r="BB2297" t="inlineStr">
        <is>
          <t>WARREN-WARD 4</t>
        </is>
      </c>
    </row>
    <row r="2298">
      <c r="A2298" t="inlineStr">
        <is>
          <t>OH0015817147</t>
        </is>
      </c>
      <c r="B2298" t="n">
        <v>78</v>
      </c>
      <c r="C2298" t="n">
        <v>315313</v>
      </c>
      <c r="D2298" t="inlineStr">
        <is>
          <t>BONNER</t>
        </is>
      </c>
      <c r="E2298" t="inlineStr">
        <is>
          <t>FRED</t>
        </is>
      </c>
      <c r="F2298">
        <f>CONCATENATE(D2298," ",LEFT(H2298,4),"T=",AU2298,"D=",AV2298,"R=",AW2298,"M=",AX2298,"L=",AY2298,"B=",AZ2298)</f>
        <v/>
      </c>
      <c r="G2298" t="inlineStr">
        <is>
          <t>S</t>
        </is>
      </c>
      <c r="I2298" t="inlineStr">
        <is>
          <t>1954-04-29</t>
        </is>
      </c>
      <c r="J2298" t="inlineStr">
        <is>
          <t>2015-07-20</t>
        </is>
      </c>
      <c r="K2298" t="inlineStr">
        <is>
          <t>ACTIVE</t>
        </is>
      </c>
      <c r="L2298" t="inlineStr">
        <is>
          <t>D</t>
        </is>
      </c>
      <c r="M2298" t="inlineStr">
        <is>
          <t>2202 DRAPER AVE SE</t>
        </is>
      </c>
      <c r="N2298">
        <f>RIGHT(M2298,LEN(M2298)-FIND(" ",M2298))</f>
        <v/>
      </c>
      <c r="P2298" t="inlineStr">
        <is>
          <t>WARREN</t>
        </is>
      </c>
      <c r="Q2298" t="inlineStr">
        <is>
          <t>OH</t>
        </is>
      </c>
      <c r="R2298" t="n">
        <v>44484</v>
      </c>
      <c r="AD2298" t="inlineStr">
        <is>
          <t>TRUMBULL CAREER &amp; TECH CENTER</t>
        </is>
      </c>
      <c r="AE2298" t="inlineStr">
        <is>
          <t>WARREN CITY</t>
        </is>
      </c>
      <c r="AF2298" t="inlineStr">
        <is>
          <t>WARREN CITY SD</t>
        </is>
      </c>
      <c r="AH2298" t="n">
        <v>14</v>
      </c>
      <c r="AI2298" t="n">
        <v>11</v>
      </c>
      <c r="AN2298" t="inlineStr">
        <is>
          <t>WARREN</t>
        </is>
      </c>
      <c r="AO2298" t="inlineStr">
        <is>
          <t>WARREN CITY 4F</t>
        </is>
      </c>
      <c r="AP2298" t="inlineStr">
        <is>
          <t>78-P-ADN</t>
        </is>
      </c>
      <c r="AQ2298" t="n">
        <v>9</v>
      </c>
      <c r="AR2298" t="n">
        <v>64</v>
      </c>
      <c r="AS2298" t="n">
        <v>32</v>
      </c>
      <c r="AU2298">
        <f>COUNTA($BA$2298:$EH$2298)</f>
        <v/>
      </c>
      <c r="AV2298">
        <f>COUNTIF($BA$2298:$EH$2298,"D")</f>
        <v/>
      </c>
      <c r="AW2298">
        <f>COUNTIF($BA$2298:$EH$2298,"R")</f>
        <v/>
      </c>
      <c r="AX2298">
        <f>IF(BN2298="D",1,0)+IF(BO2298="D",1,0)+IF(BT2298="D",1,0)+IF(BU2298="D",1,0)+IF(BW2298="D",1,0)+IF(CC2298="D",1,0)+IF(CD2298="D",1,0)+IF(CE2298="D",1,0)+IF(CF2298="D",1,0)+IF(CL2298="D",1,0)+IF(CM2298="D",1,0)+IF(CQ2298="D",1,0)+IF(CR2298="D",1,0)+IF(CS2298="D",1,0)+IF(CW2298="D",1,0)+IF(CX2298="D",1,0)+IF(DD2298="D",1,0)+IF(DE2298="D",1,0)+IF(DJ2298="D",1,0)+IF(DK2298="D",1,0)+IF(DO2298="D",1,0)+IF(DP2298="D",1,0)+IF(DQ2298="D",1,0)+IF(DW2298="D",1,0)+IF(DZ2298="D",1,0)+IF(EH2298="D",1,0)</f>
        <v/>
      </c>
      <c r="AY2298">
        <f>IF(DJ2298&lt;&gt;"",1,0)+IF(DK2298&lt;&gt;"",1,0)+IF(DM2298&lt;&gt;"",1,0)+IF(DO2298&lt;&gt;"",1,0)+IF(DP2298&lt;&gt;"",1,0)+IF(DQ2298&lt;&gt;"",1,0)+IF(DS2298&lt;&gt;"",1,0)+IF(DT2298&lt;&gt;"",1,0)+IF(DV2298&lt;&gt;"",1,0)+IF(DW2298&lt;&gt;"",1,0)+IF(DX2298&lt;&gt;"",1,0)+IF(DY2298&lt;&gt;"",1,0)+IF(DZ2298&lt;&gt;"",1,0)+IF(EB2298&lt;&gt;"",1,0)+IF(EC2298&lt;&gt;"",1,0)+IF(ED2298&lt;&gt;"",1,0)+IF(EG2298&lt;&gt;"",1,0)+IF(EH2298&lt;&gt;"",1,0)</f>
        <v/>
      </c>
      <c r="AZ2298">
        <f>IF(EH2298&lt;&gt;"",1,0)</f>
        <v/>
      </c>
      <c r="BB2298" t="inlineStr">
        <is>
          <t>WARREN-WARD 4</t>
        </is>
      </c>
      <c r="BL2298" t="inlineStr">
        <is>
          <t>X</t>
        </is>
      </c>
      <c r="BS2298" t="inlineStr">
        <is>
          <t>X</t>
        </is>
      </c>
      <c r="BY2298" t="inlineStr">
        <is>
          <t>D</t>
        </is>
      </c>
      <c r="CA2298" t="inlineStr">
        <is>
          <t>X</t>
        </is>
      </c>
      <c r="CP2298" t="inlineStr">
        <is>
          <t>X</t>
        </is>
      </c>
      <c r="CY2298" t="inlineStr">
        <is>
          <t>X</t>
        </is>
      </c>
      <c r="CZ2298" t="inlineStr">
        <is>
          <t>D</t>
        </is>
      </c>
      <c r="DC2298" t="inlineStr">
        <is>
          <t>X</t>
        </is>
      </c>
      <c r="DI2298" t="inlineStr">
        <is>
          <t>X</t>
        </is>
      </c>
      <c r="DM2298" t="inlineStr">
        <is>
          <t>D</t>
        </is>
      </c>
      <c r="DN2298" t="inlineStr">
        <is>
          <t>X</t>
        </is>
      </c>
      <c r="DU2298" t="inlineStr">
        <is>
          <t>X</t>
        </is>
      </c>
      <c r="DW2298" t="inlineStr">
        <is>
          <t>D</t>
        </is>
      </c>
      <c r="ED2298" t="inlineStr">
        <is>
          <t>D</t>
        </is>
      </c>
      <c r="EF2298" t="inlineStr">
        <is>
          <t>X</t>
        </is>
      </c>
    </row>
    <row r="2299">
      <c r="A2299" t="inlineStr">
        <is>
          <t>OH0027500237</t>
        </is>
      </c>
      <c r="B2299" t="n">
        <v>78</v>
      </c>
      <c r="C2299" t="n">
        <v>409224</v>
      </c>
      <c r="D2299" t="inlineStr">
        <is>
          <t>RUSS</t>
        </is>
      </c>
      <c r="E2299" t="inlineStr">
        <is>
          <t>IRVING</t>
        </is>
      </c>
      <c r="F2299">
        <f>CONCATENATE(D2299," ",LEFT(H2299,4),"T=",AU2299,"D=",AV2299,"R=",AW2299,"M=",AX2299,"L=",AY2299,"B=",AZ2299)</f>
        <v/>
      </c>
      <c r="G2299" t="inlineStr">
        <is>
          <t>RAY</t>
        </is>
      </c>
      <c r="H2299" t="inlineStr">
        <is>
          <t>JR</t>
        </is>
      </c>
      <c r="I2299" t="inlineStr">
        <is>
          <t>1995-04-19</t>
        </is>
      </c>
      <c r="J2299" t="inlineStr">
        <is>
          <t>2024-07-30</t>
        </is>
      </c>
      <c r="K2299" t="inlineStr">
        <is>
          <t>ACTIVE</t>
        </is>
      </c>
      <c r="M2299" t="inlineStr">
        <is>
          <t>1008 HOMEWOOD AVE SE</t>
        </is>
      </c>
      <c r="N2299">
        <f>RIGHT(M2299,LEN(M2299)-FIND(" ",M2299))</f>
        <v/>
      </c>
      <c r="P2299" t="inlineStr">
        <is>
          <t>WARREN</t>
        </is>
      </c>
      <c r="Q2299" t="inlineStr">
        <is>
          <t>OH</t>
        </is>
      </c>
      <c r="R2299" t="n">
        <v>44484</v>
      </c>
      <c r="AD2299" t="inlineStr">
        <is>
          <t>TRUMBULL CAREER &amp; TECH CENTER</t>
        </is>
      </c>
      <c r="AE2299" t="inlineStr">
        <is>
          <t>WARREN CITY</t>
        </is>
      </c>
      <c r="AF2299" t="inlineStr">
        <is>
          <t>WARREN CITY SD</t>
        </is>
      </c>
      <c r="AH2299" t="n">
        <v>14</v>
      </c>
      <c r="AI2299" t="n">
        <v>11</v>
      </c>
      <c r="AN2299" t="inlineStr">
        <is>
          <t>WARREN</t>
        </is>
      </c>
      <c r="AO2299" t="inlineStr">
        <is>
          <t>WARREN CITY 4F</t>
        </is>
      </c>
      <c r="AP2299" t="inlineStr">
        <is>
          <t>78-P-ADN</t>
        </is>
      </c>
      <c r="AQ2299" t="n">
        <v>9</v>
      </c>
      <c r="AR2299" t="n">
        <v>64</v>
      </c>
      <c r="AS2299" t="n">
        <v>32</v>
      </c>
      <c r="AU2299">
        <f>COUNTA($BA$2299:$EH$2299)</f>
        <v/>
      </c>
      <c r="AV2299">
        <f>COUNTIF($BA$2299:$EH$2299,"D")</f>
        <v/>
      </c>
      <c r="AW2299">
        <f>COUNTIF($BA$2299:$EH$2299,"R")</f>
        <v/>
      </c>
      <c r="AX2299">
        <f>IF(BN2299="D",1,0)+IF(BO2299="D",1,0)+IF(BT2299="D",1,0)+IF(BU2299="D",1,0)+IF(BW2299="D",1,0)+IF(CC2299="D",1,0)+IF(CD2299="D",1,0)+IF(CE2299="D",1,0)+IF(CF2299="D",1,0)+IF(CL2299="D",1,0)+IF(CM2299="D",1,0)+IF(CQ2299="D",1,0)+IF(CR2299="D",1,0)+IF(CS2299="D",1,0)+IF(CW2299="D",1,0)+IF(CX2299="D",1,0)+IF(DD2299="D",1,0)+IF(DE2299="D",1,0)+IF(DJ2299="D",1,0)+IF(DK2299="D",1,0)+IF(DO2299="D",1,0)+IF(DP2299="D",1,0)+IF(DQ2299="D",1,0)+IF(DW2299="D",1,0)+IF(DZ2299="D",1,0)+IF(EH2299="D",1,0)</f>
        <v/>
      </c>
      <c r="AY2299">
        <f>IF(DJ2299&lt;&gt;"",1,0)+IF(DK2299&lt;&gt;"",1,0)+IF(DM2299&lt;&gt;"",1,0)+IF(DO2299&lt;&gt;"",1,0)+IF(DP2299&lt;&gt;"",1,0)+IF(DQ2299&lt;&gt;"",1,0)+IF(DS2299&lt;&gt;"",1,0)+IF(DT2299&lt;&gt;"",1,0)+IF(DV2299&lt;&gt;"",1,0)+IF(DW2299&lt;&gt;"",1,0)+IF(DX2299&lt;&gt;"",1,0)+IF(DY2299&lt;&gt;"",1,0)+IF(DZ2299&lt;&gt;"",1,0)+IF(EB2299&lt;&gt;"",1,0)+IF(EC2299&lt;&gt;"",1,0)+IF(ED2299&lt;&gt;"",1,0)+IF(EG2299&lt;&gt;"",1,0)+IF(EH2299&lt;&gt;"",1,0)</f>
        <v/>
      </c>
      <c r="AZ2299">
        <f>IF(EH2299&lt;&gt;"",1,0)</f>
        <v/>
      </c>
      <c r="BB2299" t="inlineStr">
        <is>
          <t>WARREN-WARD 4</t>
        </is>
      </c>
    </row>
    <row r="2300">
      <c r="A2300" t="inlineStr">
        <is>
          <t>OH0021749693</t>
        </is>
      </c>
      <c r="B2300" t="n">
        <v>78</v>
      </c>
      <c r="C2300" t="n">
        <v>386030</v>
      </c>
      <c r="D2300" t="inlineStr">
        <is>
          <t>JACKSON</t>
        </is>
      </c>
      <c r="E2300" t="inlineStr">
        <is>
          <t>ANTONIO</t>
        </is>
      </c>
      <c r="F2300">
        <f>CONCATENATE(D2300," ",LEFT(H2300,4),"T=",AU2300,"D=",AV2300,"R=",AW2300,"M=",AX2300,"L=",AY2300,"B=",AZ2300)</f>
        <v/>
      </c>
      <c r="G2300" t="inlineStr">
        <is>
          <t>L</t>
        </is>
      </c>
      <c r="I2300" t="inlineStr">
        <is>
          <t>1981-01-23</t>
        </is>
      </c>
      <c r="J2300" t="inlineStr">
        <is>
          <t>2024-07-30</t>
        </is>
      </c>
      <c r="K2300" t="inlineStr">
        <is>
          <t>ACTIVE</t>
        </is>
      </c>
      <c r="M2300" t="inlineStr">
        <is>
          <t>981 HOMEWOOD AVE SE</t>
        </is>
      </c>
      <c r="N2300">
        <f>RIGHT(M2300,LEN(M2300)-FIND(" ",M2300))</f>
        <v/>
      </c>
      <c r="P2300" t="inlineStr">
        <is>
          <t>WARREN</t>
        </is>
      </c>
      <c r="Q2300" t="inlineStr">
        <is>
          <t>OH</t>
        </is>
      </c>
      <c r="R2300" t="n">
        <v>44484</v>
      </c>
      <c r="AD2300" t="inlineStr">
        <is>
          <t>TRUMBULL CAREER &amp; TECH CENTER</t>
        </is>
      </c>
      <c r="AE2300" t="inlineStr">
        <is>
          <t>WARREN CITY</t>
        </is>
      </c>
      <c r="AF2300" t="inlineStr">
        <is>
          <t>WARREN CITY SD</t>
        </is>
      </c>
      <c r="AH2300" t="n">
        <v>14</v>
      </c>
      <c r="AI2300" t="n">
        <v>11</v>
      </c>
      <c r="AN2300" t="inlineStr">
        <is>
          <t>WARREN</t>
        </is>
      </c>
      <c r="AO2300" t="inlineStr">
        <is>
          <t>WARREN CITY 4F</t>
        </is>
      </c>
      <c r="AP2300" t="inlineStr">
        <is>
          <t>78-P-ADN</t>
        </is>
      </c>
      <c r="AQ2300" t="n">
        <v>9</v>
      </c>
      <c r="AR2300" t="n">
        <v>64</v>
      </c>
      <c r="AS2300" t="n">
        <v>32</v>
      </c>
      <c r="AU2300">
        <f>COUNTA($BA$2300:$EH$2300)</f>
        <v/>
      </c>
      <c r="AV2300">
        <f>COUNTIF($BA$2300:$EH$2300,"D")</f>
        <v/>
      </c>
      <c r="AW2300">
        <f>COUNTIF($BA$2300:$EH$2300,"R")</f>
        <v/>
      </c>
      <c r="AX2300">
        <f>IF(BN2300="D",1,0)+IF(BO2300="D",1,0)+IF(BT2300="D",1,0)+IF(BU2300="D",1,0)+IF(BW2300="D",1,0)+IF(CC2300="D",1,0)+IF(CD2300="D",1,0)+IF(CE2300="D",1,0)+IF(CF2300="D",1,0)+IF(CL2300="D",1,0)+IF(CM2300="D",1,0)+IF(CQ2300="D",1,0)+IF(CR2300="D",1,0)+IF(CS2300="D",1,0)+IF(CW2300="D",1,0)+IF(CX2300="D",1,0)+IF(DD2300="D",1,0)+IF(DE2300="D",1,0)+IF(DJ2300="D",1,0)+IF(DK2300="D",1,0)+IF(DO2300="D",1,0)+IF(DP2300="D",1,0)+IF(DQ2300="D",1,0)+IF(DW2300="D",1,0)+IF(DZ2300="D",1,0)+IF(EH2300="D",1,0)</f>
        <v/>
      </c>
      <c r="AY2300">
        <f>IF(DJ2300&lt;&gt;"",1,0)+IF(DK2300&lt;&gt;"",1,0)+IF(DM2300&lt;&gt;"",1,0)+IF(DO2300&lt;&gt;"",1,0)+IF(DP2300&lt;&gt;"",1,0)+IF(DQ2300&lt;&gt;"",1,0)+IF(DS2300&lt;&gt;"",1,0)+IF(DT2300&lt;&gt;"",1,0)+IF(DV2300&lt;&gt;"",1,0)+IF(DW2300&lt;&gt;"",1,0)+IF(DX2300&lt;&gt;"",1,0)+IF(DY2300&lt;&gt;"",1,0)+IF(DZ2300&lt;&gt;"",1,0)+IF(EB2300&lt;&gt;"",1,0)+IF(EC2300&lt;&gt;"",1,0)+IF(ED2300&lt;&gt;"",1,0)+IF(EG2300&lt;&gt;"",1,0)+IF(EH2300&lt;&gt;"",1,0)</f>
        <v/>
      </c>
      <c r="AZ2300">
        <f>IF(EH2300&lt;&gt;"",1,0)</f>
        <v/>
      </c>
      <c r="BB2300" t="inlineStr">
        <is>
          <t>WARREN-WARD 4</t>
        </is>
      </c>
      <c r="CP2300" t="inlineStr">
        <is>
          <t>X</t>
        </is>
      </c>
      <c r="CY2300" t="inlineStr">
        <is>
          <t>X</t>
        </is>
      </c>
    </row>
    <row r="2301">
      <c r="A2301" t="inlineStr">
        <is>
          <t>OH0023246367</t>
        </is>
      </c>
      <c r="B2301" t="n">
        <v>78</v>
      </c>
      <c r="C2301" t="n">
        <v>409005</v>
      </c>
      <c r="D2301" t="inlineStr">
        <is>
          <t>WATSON</t>
        </is>
      </c>
      <c r="E2301" t="inlineStr">
        <is>
          <t>THERESA</t>
        </is>
      </c>
      <c r="F2301">
        <f>CONCATENATE(D2301," ",LEFT(H2301,4),"T=",AU2301,"D=",AV2301,"R=",AW2301,"M=",AX2301,"L=",AY2301,"B=",AZ2301)</f>
        <v/>
      </c>
      <c r="I2301" t="inlineStr">
        <is>
          <t>1965-12-03</t>
        </is>
      </c>
      <c r="J2301" t="inlineStr">
        <is>
          <t>2024-09-17</t>
        </is>
      </c>
      <c r="K2301" t="inlineStr">
        <is>
          <t>ACTIVE</t>
        </is>
      </c>
      <c r="M2301" t="inlineStr">
        <is>
          <t>2232 DRAPER AVE SE</t>
        </is>
      </c>
      <c r="N2301">
        <f>RIGHT(M2301,LEN(M2301)-FIND(" ",M2301))</f>
        <v/>
      </c>
      <c r="P2301" t="inlineStr">
        <is>
          <t>WARREN</t>
        </is>
      </c>
      <c r="Q2301" t="inlineStr">
        <is>
          <t>OH</t>
        </is>
      </c>
      <c r="R2301" t="n">
        <v>44484</v>
      </c>
      <c r="AD2301" t="inlineStr">
        <is>
          <t>TRUMBULL CAREER &amp; TECH CENTER</t>
        </is>
      </c>
      <c r="AE2301" t="inlineStr">
        <is>
          <t>WARREN CITY</t>
        </is>
      </c>
      <c r="AF2301" t="inlineStr">
        <is>
          <t>WARREN CITY SD</t>
        </is>
      </c>
      <c r="AH2301" t="n">
        <v>14</v>
      </c>
      <c r="AI2301" t="n">
        <v>11</v>
      </c>
      <c r="AN2301" t="inlineStr">
        <is>
          <t>WARREN</t>
        </is>
      </c>
      <c r="AO2301" t="inlineStr">
        <is>
          <t>WARREN CITY 4F</t>
        </is>
      </c>
      <c r="AP2301" t="inlineStr">
        <is>
          <t>78-P-ADN</t>
        </is>
      </c>
      <c r="AQ2301" t="n">
        <v>9</v>
      </c>
      <c r="AR2301" t="n">
        <v>64</v>
      </c>
      <c r="AS2301" t="n">
        <v>32</v>
      </c>
      <c r="AU2301">
        <f>COUNTA($BA$2301:$EH$2301)</f>
        <v/>
      </c>
      <c r="AV2301">
        <f>COUNTIF($BA$2301:$EH$2301,"D")</f>
        <v/>
      </c>
      <c r="AW2301">
        <f>COUNTIF($BA$2301:$EH$2301,"R")</f>
        <v/>
      </c>
      <c r="AX2301">
        <f>IF(BN2301="D",1,0)+IF(BO2301="D",1,0)+IF(BT2301="D",1,0)+IF(BU2301="D",1,0)+IF(BW2301="D",1,0)+IF(CC2301="D",1,0)+IF(CD2301="D",1,0)+IF(CE2301="D",1,0)+IF(CF2301="D",1,0)+IF(CL2301="D",1,0)+IF(CM2301="D",1,0)+IF(CQ2301="D",1,0)+IF(CR2301="D",1,0)+IF(CS2301="D",1,0)+IF(CW2301="D",1,0)+IF(CX2301="D",1,0)+IF(DD2301="D",1,0)+IF(DE2301="D",1,0)+IF(DJ2301="D",1,0)+IF(DK2301="D",1,0)+IF(DO2301="D",1,0)+IF(DP2301="D",1,0)+IF(DQ2301="D",1,0)+IF(DW2301="D",1,0)+IF(DZ2301="D",1,0)+IF(EH2301="D",1,0)</f>
        <v/>
      </c>
      <c r="AY2301">
        <f>IF(DJ2301&lt;&gt;"",1,0)+IF(DK2301&lt;&gt;"",1,0)+IF(DM2301&lt;&gt;"",1,0)+IF(DO2301&lt;&gt;"",1,0)+IF(DP2301&lt;&gt;"",1,0)+IF(DQ2301&lt;&gt;"",1,0)+IF(DS2301&lt;&gt;"",1,0)+IF(DT2301&lt;&gt;"",1,0)+IF(DV2301&lt;&gt;"",1,0)+IF(DW2301&lt;&gt;"",1,0)+IF(DX2301&lt;&gt;"",1,0)+IF(DY2301&lt;&gt;"",1,0)+IF(DZ2301&lt;&gt;"",1,0)+IF(EB2301&lt;&gt;"",1,0)+IF(EC2301&lt;&gt;"",1,0)+IF(ED2301&lt;&gt;"",1,0)+IF(EG2301&lt;&gt;"",1,0)+IF(EH2301&lt;&gt;"",1,0)</f>
        <v/>
      </c>
      <c r="AZ2301">
        <f>IF(EH2301&lt;&gt;"",1,0)</f>
        <v/>
      </c>
      <c r="BB2301" t="inlineStr">
        <is>
          <t>WARREN-WARD 4</t>
        </is>
      </c>
      <c r="BJ2301" t="inlineStr">
        <is>
          <t>X</t>
        </is>
      </c>
      <c r="BL2301" t="inlineStr">
        <is>
          <t>X</t>
        </is>
      </c>
      <c r="DN2301" t="inlineStr">
        <is>
          <t>X</t>
        </is>
      </c>
      <c r="EF2301" t="inlineStr">
        <is>
          <t>X</t>
        </is>
      </c>
    </row>
    <row r="2302">
      <c r="A2302" t="inlineStr">
        <is>
          <t>OH0019307598</t>
        </is>
      </c>
      <c r="B2302" t="n">
        <v>78</v>
      </c>
      <c r="C2302" t="n">
        <v>352914</v>
      </c>
      <c r="D2302" t="inlineStr">
        <is>
          <t>MCCLAIN</t>
        </is>
      </c>
      <c r="E2302" t="inlineStr">
        <is>
          <t>KENNETH</t>
        </is>
      </c>
      <c r="F2302">
        <f>CONCATENATE(D2302," ",LEFT(H2302,4),"T=",AU2302,"D=",AV2302,"R=",AW2302,"M=",AX2302,"L=",AY2302,"B=",AZ2302)</f>
        <v/>
      </c>
      <c r="G2302" t="inlineStr">
        <is>
          <t>C</t>
        </is>
      </c>
      <c r="I2302" t="inlineStr">
        <is>
          <t>1987-05-08</t>
        </is>
      </c>
      <c r="J2302" t="inlineStr">
        <is>
          <t>2024-08-09</t>
        </is>
      </c>
      <c r="K2302" t="inlineStr">
        <is>
          <t>ACTIVE</t>
        </is>
      </c>
      <c r="M2302" t="inlineStr">
        <is>
          <t>1009 EAST AVE SE</t>
        </is>
      </c>
      <c r="N2302">
        <f>RIGHT(M2302,LEN(M2302)-FIND(" ",M2302))</f>
        <v/>
      </c>
      <c r="P2302" t="inlineStr">
        <is>
          <t>WARREN</t>
        </is>
      </c>
      <c r="Q2302" t="inlineStr">
        <is>
          <t>OH</t>
        </is>
      </c>
      <c r="R2302" t="n">
        <v>44484</v>
      </c>
      <c r="AD2302" t="inlineStr">
        <is>
          <t>TRUMBULL CAREER &amp; TECH CENTER</t>
        </is>
      </c>
      <c r="AE2302" t="inlineStr">
        <is>
          <t>WARREN CITY</t>
        </is>
      </c>
      <c r="AF2302" t="inlineStr">
        <is>
          <t>WARREN CITY SD</t>
        </is>
      </c>
      <c r="AH2302" t="n">
        <v>14</v>
      </c>
      <c r="AI2302" t="n">
        <v>11</v>
      </c>
      <c r="AN2302" t="inlineStr">
        <is>
          <t>WARREN</t>
        </is>
      </c>
      <c r="AO2302" t="inlineStr">
        <is>
          <t>WARREN CITY 4F</t>
        </is>
      </c>
      <c r="AP2302" t="inlineStr">
        <is>
          <t>78-P-ADN</t>
        </is>
      </c>
      <c r="AQ2302" t="n">
        <v>9</v>
      </c>
      <c r="AR2302" t="n">
        <v>64</v>
      </c>
      <c r="AS2302" t="n">
        <v>32</v>
      </c>
      <c r="AU2302">
        <f>COUNTA($BA$2302:$EH$2302)</f>
        <v/>
      </c>
      <c r="AV2302">
        <f>COUNTIF($BA$2302:$EH$2302,"D")</f>
        <v/>
      </c>
      <c r="AW2302">
        <f>COUNTIF($BA$2302:$EH$2302,"R")</f>
        <v/>
      </c>
      <c r="AX2302">
        <f>IF(BN2302="D",1,0)+IF(BO2302="D",1,0)+IF(BT2302="D",1,0)+IF(BU2302="D",1,0)+IF(BW2302="D",1,0)+IF(CC2302="D",1,0)+IF(CD2302="D",1,0)+IF(CE2302="D",1,0)+IF(CF2302="D",1,0)+IF(CL2302="D",1,0)+IF(CM2302="D",1,0)+IF(CQ2302="D",1,0)+IF(CR2302="D",1,0)+IF(CS2302="D",1,0)+IF(CW2302="D",1,0)+IF(CX2302="D",1,0)+IF(DD2302="D",1,0)+IF(DE2302="D",1,0)+IF(DJ2302="D",1,0)+IF(DK2302="D",1,0)+IF(DO2302="D",1,0)+IF(DP2302="D",1,0)+IF(DQ2302="D",1,0)+IF(DW2302="D",1,0)+IF(DZ2302="D",1,0)+IF(EH2302="D",1,0)</f>
        <v/>
      </c>
      <c r="AY2302">
        <f>IF(DJ2302&lt;&gt;"",1,0)+IF(DK2302&lt;&gt;"",1,0)+IF(DM2302&lt;&gt;"",1,0)+IF(DO2302&lt;&gt;"",1,0)+IF(DP2302&lt;&gt;"",1,0)+IF(DQ2302&lt;&gt;"",1,0)+IF(DS2302&lt;&gt;"",1,0)+IF(DT2302&lt;&gt;"",1,0)+IF(DV2302&lt;&gt;"",1,0)+IF(DW2302&lt;&gt;"",1,0)+IF(DX2302&lt;&gt;"",1,0)+IF(DY2302&lt;&gt;"",1,0)+IF(DZ2302&lt;&gt;"",1,0)+IF(EB2302&lt;&gt;"",1,0)+IF(EC2302&lt;&gt;"",1,0)+IF(ED2302&lt;&gt;"",1,0)+IF(EG2302&lt;&gt;"",1,0)+IF(EH2302&lt;&gt;"",1,0)</f>
        <v/>
      </c>
      <c r="AZ2302">
        <f>IF(EH2302&lt;&gt;"",1,0)</f>
        <v/>
      </c>
      <c r="BB2302" t="inlineStr">
        <is>
          <t>WARREN-WARD 4</t>
        </is>
      </c>
    </row>
    <row r="2303">
      <c r="A2303" t="inlineStr">
        <is>
          <t>OH0023200807</t>
        </is>
      </c>
      <c r="B2303" t="n">
        <v>78</v>
      </c>
      <c r="C2303" t="n">
        <v>408414</v>
      </c>
      <c r="D2303" t="inlineStr">
        <is>
          <t>DUNEWOOD</t>
        </is>
      </c>
      <c r="E2303" t="inlineStr">
        <is>
          <t>KANDESS</t>
        </is>
      </c>
      <c r="F2303">
        <f>CONCATENATE(D2303," ",LEFT(H2303,4),"T=",AU2303,"D=",AV2303,"R=",AW2303,"M=",AX2303,"L=",AY2303,"B=",AZ2303)</f>
        <v/>
      </c>
      <c r="G2303" t="inlineStr">
        <is>
          <t>LYNN</t>
        </is>
      </c>
      <c r="I2303" t="inlineStr">
        <is>
          <t>1953-10-02</t>
        </is>
      </c>
      <c r="J2303" t="inlineStr">
        <is>
          <t>2015-07-06</t>
        </is>
      </c>
      <c r="K2303" t="inlineStr">
        <is>
          <t>ACTIVE</t>
        </is>
      </c>
      <c r="L2303" t="inlineStr">
        <is>
          <t>D</t>
        </is>
      </c>
      <c r="M2303" t="inlineStr">
        <is>
          <t>1070 KENILWORTH AVE SE</t>
        </is>
      </c>
      <c r="N2303">
        <f>RIGHT(M2303,LEN(M2303)-FIND(" ",M2303))</f>
        <v/>
      </c>
      <c r="P2303" t="inlineStr">
        <is>
          <t>WARREN</t>
        </is>
      </c>
      <c r="Q2303" t="inlineStr">
        <is>
          <t>OH</t>
        </is>
      </c>
      <c r="R2303" t="n">
        <v>44484</v>
      </c>
      <c r="AD2303" t="inlineStr">
        <is>
          <t>TRUMBULL CAREER &amp; TECH CENTER</t>
        </is>
      </c>
      <c r="AE2303" t="inlineStr">
        <is>
          <t>WARREN CITY</t>
        </is>
      </c>
      <c r="AF2303" t="inlineStr">
        <is>
          <t>WARREN CITY SD</t>
        </is>
      </c>
      <c r="AH2303" t="n">
        <v>14</v>
      </c>
      <c r="AI2303" t="n">
        <v>11</v>
      </c>
      <c r="AN2303" t="inlineStr">
        <is>
          <t>WARREN</t>
        </is>
      </c>
      <c r="AO2303" t="inlineStr">
        <is>
          <t>WARREN CITY 4F</t>
        </is>
      </c>
      <c r="AP2303" t="inlineStr">
        <is>
          <t>78-P-ADN</t>
        </is>
      </c>
      <c r="AQ2303" t="n">
        <v>9</v>
      </c>
      <c r="AR2303" t="n">
        <v>64</v>
      </c>
      <c r="AS2303" t="n">
        <v>32</v>
      </c>
      <c r="AU2303">
        <f>COUNTA($BA$2303:$EH$2303)</f>
        <v/>
      </c>
      <c r="AV2303">
        <f>COUNTIF($BA$2303:$EH$2303,"D")</f>
        <v/>
      </c>
      <c r="AW2303">
        <f>COUNTIF($BA$2303:$EH$2303,"R")</f>
        <v/>
      </c>
      <c r="AX2303">
        <f>IF(BN2303="D",1,0)+IF(BO2303="D",1,0)+IF(BT2303="D",1,0)+IF(BU2303="D",1,0)+IF(BW2303="D",1,0)+IF(CC2303="D",1,0)+IF(CD2303="D",1,0)+IF(CE2303="D",1,0)+IF(CF2303="D",1,0)+IF(CL2303="D",1,0)+IF(CM2303="D",1,0)+IF(CQ2303="D",1,0)+IF(CR2303="D",1,0)+IF(CS2303="D",1,0)+IF(CW2303="D",1,0)+IF(CX2303="D",1,0)+IF(DD2303="D",1,0)+IF(DE2303="D",1,0)+IF(DJ2303="D",1,0)+IF(DK2303="D",1,0)+IF(DO2303="D",1,0)+IF(DP2303="D",1,0)+IF(DQ2303="D",1,0)+IF(DW2303="D",1,0)+IF(DZ2303="D",1,0)+IF(EH2303="D",1,0)</f>
        <v/>
      </c>
      <c r="AY2303">
        <f>IF(DJ2303&lt;&gt;"",1,0)+IF(DK2303&lt;&gt;"",1,0)+IF(DM2303&lt;&gt;"",1,0)+IF(DO2303&lt;&gt;"",1,0)+IF(DP2303&lt;&gt;"",1,0)+IF(DQ2303&lt;&gt;"",1,0)+IF(DS2303&lt;&gt;"",1,0)+IF(DT2303&lt;&gt;"",1,0)+IF(DV2303&lt;&gt;"",1,0)+IF(DW2303&lt;&gt;"",1,0)+IF(DX2303&lt;&gt;"",1,0)+IF(DY2303&lt;&gt;"",1,0)+IF(DZ2303&lt;&gt;"",1,0)+IF(EB2303&lt;&gt;"",1,0)+IF(EC2303&lt;&gt;"",1,0)+IF(ED2303&lt;&gt;"",1,0)+IF(EG2303&lt;&gt;"",1,0)+IF(EH2303&lt;&gt;"",1,0)</f>
        <v/>
      </c>
      <c r="AZ2303">
        <f>IF(EH2303&lt;&gt;"",1,0)</f>
        <v/>
      </c>
      <c r="BB2303" t="inlineStr">
        <is>
          <t>WARREN-WARD 4</t>
        </is>
      </c>
      <c r="BD2303" t="inlineStr">
        <is>
          <t>X</t>
        </is>
      </c>
      <c r="CY2303" t="inlineStr">
        <is>
          <t>X</t>
        </is>
      </c>
      <c r="DC2303" t="inlineStr">
        <is>
          <t>X</t>
        </is>
      </c>
      <c r="DI2303" t="inlineStr">
        <is>
          <t>X</t>
        </is>
      </c>
      <c r="DL2303" t="inlineStr">
        <is>
          <t>X</t>
        </is>
      </c>
      <c r="DN2303" t="inlineStr">
        <is>
          <t>X</t>
        </is>
      </c>
      <c r="DS2303" t="inlineStr">
        <is>
          <t>D</t>
        </is>
      </c>
      <c r="DU2303" t="inlineStr">
        <is>
          <t>X</t>
        </is>
      </c>
      <c r="DX2303" t="inlineStr">
        <is>
          <t>X</t>
        </is>
      </c>
      <c r="EA2303" t="inlineStr">
        <is>
          <t>X</t>
        </is>
      </c>
    </row>
    <row r="2304">
      <c r="A2304" t="inlineStr">
        <is>
          <t>OH0015764737</t>
        </is>
      </c>
      <c r="B2304" t="n">
        <v>78</v>
      </c>
      <c r="C2304" t="n">
        <v>327010</v>
      </c>
      <c r="D2304" t="inlineStr">
        <is>
          <t>WRIGHT</t>
        </is>
      </c>
      <c r="E2304" t="inlineStr">
        <is>
          <t>LARAYE</t>
        </is>
      </c>
      <c r="F2304">
        <f>CONCATENATE(D2304," ",LEFT(H2304,4),"T=",AU2304,"D=",AV2304,"R=",AW2304,"M=",AX2304,"L=",AY2304,"B=",AZ2304)</f>
        <v/>
      </c>
      <c r="G2304" t="inlineStr">
        <is>
          <t>SAUNESE</t>
        </is>
      </c>
      <c r="I2304" t="inlineStr">
        <is>
          <t>1985-04-20</t>
        </is>
      </c>
      <c r="J2304" t="inlineStr">
        <is>
          <t>2016-12-08</t>
        </is>
      </c>
      <c r="K2304" t="inlineStr">
        <is>
          <t>CONFIRMATION</t>
        </is>
      </c>
      <c r="M2304" t="inlineStr">
        <is>
          <t>2160 NILES RD SE</t>
        </is>
      </c>
      <c r="N2304">
        <f>RIGHT(M2304,LEN(M2304)-FIND(" ",M2304))</f>
        <v/>
      </c>
      <c r="P2304" t="inlineStr">
        <is>
          <t>WARREN</t>
        </is>
      </c>
      <c r="Q2304" t="inlineStr">
        <is>
          <t>OH</t>
        </is>
      </c>
      <c r="R2304" t="n">
        <v>44484</v>
      </c>
      <c r="AD2304" t="inlineStr">
        <is>
          <t>TRUMBULL CAREER &amp; TECH CENTER</t>
        </is>
      </c>
      <c r="AE2304" t="inlineStr">
        <is>
          <t>WARREN CITY</t>
        </is>
      </c>
      <c r="AF2304" t="inlineStr">
        <is>
          <t>WARREN CITY SD</t>
        </is>
      </c>
      <c r="AH2304" t="n">
        <v>14</v>
      </c>
      <c r="AI2304" t="n">
        <v>11</v>
      </c>
      <c r="AN2304" t="inlineStr">
        <is>
          <t>WARREN</t>
        </is>
      </c>
      <c r="AO2304" t="inlineStr">
        <is>
          <t>WARREN CITY 4F</t>
        </is>
      </c>
      <c r="AP2304" t="inlineStr">
        <is>
          <t>78-P-ADN</t>
        </is>
      </c>
      <c r="AQ2304" t="n">
        <v>9</v>
      </c>
      <c r="AR2304" t="n">
        <v>64</v>
      </c>
      <c r="AS2304" t="n">
        <v>32</v>
      </c>
      <c r="AU2304">
        <f>COUNTA($BA$2304:$EH$2304)</f>
        <v/>
      </c>
      <c r="AV2304">
        <f>COUNTIF($BA$2304:$EH$2304,"D")</f>
        <v/>
      </c>
      <c r="AW2304">
        <f>COUNTIF($BA$2304:$EH$2304,"R")</f>
        <v/>
      </c>
      <c r="AX2304">
        <f>IF(BN2304="D",1,0)+IF(BO2304="D",1,0)+IF(BT2304="D",1,0)+IF(BU2304="D",1,0)+IF(BW2304="D",1,0)+IF(CC2304="D",1,0)+IF(CD2304="D",1,0)+IF(CE2304="D",1,0)+IF(CF2304="D",1,0)+IF(CL2304="D",1,0)+IF(CM2304="D",1,0)+IF(CQ2304="D",1,0)+IF(CR2304="D",1,0)+IF(CS2304="D",1,0)+IF(CW2304="D",1,0)+IF(CX2304="D",1,0)+IF(DD2304="D",1,0)+IF(DE2304="D",1,0)+IF(DJ2304="D",1,0)+IF(DK2304="D",1,0)+IF(DO2304="D",1,0)+IF(DP2304="D",1,0)+IF(DQ2304="D",1,0)+IF(DW2304="D",1,0)+IF(DZ2304="D",1,0)+IF(EH2304="D",1,0)</f>
        <v/>
      </c>
      <c r="AY2304">
        <f>IF(DJ2304&lt;&gt;"",1,0)+IF(DK2304&lt;&gt;"",1,0)+IF(DM2304&lt;&gt;"",1,0)+IF(DO2304&lt;&gt;"",1,0)+IF(DP2304&lt;&gt;"",1,0)+IF(DQ2304&lt;&gt;"",1,0)+IF(DS2304&lt;&gt;"",1,0)+IF(DT2304&lt;&gt;"",1,0)+IF(DV2304&lt;&gt;"",1,0)+IF(DW2304&lt;&gt;"",1,0)+IF(DX2304&lt;&gt;"",1,0)+IF(DY2304&lt;&gt;"",1,0)+IF(DZ2304&lt;&gt;"",1,0)+IF(EB2304&lt;&gt;"",1,0)+IF(EC2304&lt;&gt;"",1,0)+IF(ED2304&lt;&gt;"",1,0)+IF(EG2304&lt;&gt;"",1,0)+IF(EH2304&lt;&gt;"",1,0)</f>
        <v/>
      </c>
      <c r="AZ2304">
        <f>IF(EH2304&lt;&gt;"",1,0)</f>
        <v/>
      </c>
      <c r="BB2304" t="inlineStr">
        <is>
          <t>WARREN-WARD 4</t>
        </is>
      </c>
      <c r="BL2304" t="inlineStr">
        <is>
          <t>X</t>
        </is>
      </c>
      <c r="BS2304" t="inlineStr">
        <is>
          <t>X</t>
        </is>
      </c>
      <c r="CP2304" t="inlineStr">
        <is>
          <t>X</t>
        </is>
      </c>
      <c r="DC2304" t="inlineStr">
        <is>
          <t>X</t>
        </is>
      </c>
    </row>
    <row r="2305">
      <c r="A2305" t="inlineStr">
        <is>
          <t>OH0015788784</t>
        </is>
      </c>
      <c r="B2305" t="n">
        <v>78</v>
      </c>
      <c r="C2305" t="n">
        <v>317142</v>
      </c>
      <c r="D2305" t="inlineStr">
        <is>
          <t>ROZIER</t>
        </is>
      </c>
      <c r="E2305" t="inlineStr">
        <is>
          <t>SPARKEL</t>
        </is>
      </c>
      <c r="F2305">
        <f>CONCATENATE(D2305," ",LEFT(H2305,4),"T=",AU2305,"D=",AV2305,"R=",AW2305,"M=",AX2305,"L=",AY2305,"B=",AZ2305)</f>
        <v/>
      </c>
      <c r="G2305" t="inlineStr">
        <is>
          <t>JANALE</t>
        </is>
      </c>
      <c r="I2305" t="inlineStr">
        <is>
          <t>1985-01-12</t>
        </is>
      </c>
      <c r="J2305" t="inlineStr">
        <is>
          <t>2020-01-25</t>
        </is>
      </c>
      <c r="K2305" t="inlineStr">
        <is>
          <t>CONFIRMATION</t>
        </is>
      </c>
      <c r="M2305" t="inlineStr">
        <is>
          <t>1966 BENTON ST SE</t>
        </is>
      </c>
      <c r="N2305">
        <f>RIGHT(M2305,LEN(M2305)-FIND(" ",M2305))</f>
        <v/>
      </c>
      <c r="P2305" t="inlineStr">
        <is>
          <t>WARREN</t>
        </is>
      </c>
      <c r="Q2305" t="inlineStr">
        <is>
          <t>OH</t>
        </is>
      </c>
      <c r="R2305" t="n">
        <v>44484</v>
      </c>
      <c r="AD2305" t="inlineStr">
        <is>
          <t>TRUMBULL CAREER &amp; TECH CENTER</t>
        </is>
      </c>
      <c r="AE2305" t="inlineStr">
        <is>
          <t>WARREN CITY</t>
        </is>
      </c>
      <c r="AF2305" t="inlineStr">
        <is>
          <t>WARREN CITY SD</t>
        </is>
      </c>
      <c r="AH2305" t="n">
        <v>14</v>
      </c>
      <c r="AI2305" t="n">
        <v>11</v>
      </c>
      <c r="AN2305" t="inlineStr">
        <is>
          <t>WARREN</t>
        </is>
      </c>
      <c r="AO2305" t="inlineStr">
        <is>
          <t>WARREN CITY 4F</t>
        </is>
      </c>
      <c r="AP2305" t="inlineStr">
        <is>
          <t>78-P-ADN</t>
        </is>
      </c>
      <c r="AQ2305" t="n">
        <v>9</v>
      </c>
      <c r="AR2305" t="n">
        <v>64</v>
      </c>
      <c r="AS2305" t="n">
        <v>32</v>
      </c>
      <c r="AU2305">
        <f>COUNTA($BA$2305:$EH$2305)</f>
        <v/>
      </c>
      <c r="AV2305">
        <f>COUNTIF($BA$2305:$EH$2305,"D")</f>
        <v/>
      </c>
      <c r="AW2305">
        <f>COUNTIF($BA$2305:$EH$2305,"R")</f>
        <v/>
      </c>
      <c r="AX2305">
        <f>IF(BN2305="D",1,0)+IF(BO2305="D",1,0)+IF(BT2305="D",1,0)+IF(BU2305="D",1,0)+IF(BW2305="D",1,0)+IF(CC2305="D",1,0)+IF(CD2305="D",1,0)+IF(CE2305="D",1,0)+IF(CF2305="D",1,0)+IF(CL2305="D",1,0)+IF(CM2305="D",1,0)+IF(CQ2305="D",1,0)+IF(CR2305="D",1,0)+IF(CS2305="D",1,0)+IF(CW2305="D",1,0)+IF(CX2305="D",1,0)+IF(DD2305="D",1,0)+IF(DE2305="D",1,0)+IF(DJ2305="D",1,0)+IF(DK2305="D",1,0)+IF(DO2305="D",1,0)+IF(DP2305="D",1,0)+IF(DQ2305="D",1,0)+IF(DW2305="D",1,0)+IF(DZ2305="D",1,0)+IF(EH2305="D",1,0)</f>
        <v/>
      </c>
      <c r="AY2305">
        <f>IF(DJ2305&lt;&gt;"",1,0)+IF(DK2305&lt;&gt;"",1,0)+IF(DM2305&lt;&gt;"",1,0)+IF(DO2305&lt;&gt;"",1,0)+IF(DP2305&lt;&gt;"",1,0)+IF(DQ2305&lt;&gt;"",1,0)+IF(DS2305&lt;&gt;"",1,0)+IF(DT2305&lt;&gt;"",1,0)+IF(DV2305&lt;&gt;"",1,0)+IF(DW2305&lt;&gt;"",1,0)+IF(DX2305&lt;&gt;"",1,0)+IF(DY2305&lt;&gt;"",1,0)+IF(DZ2305&lt;&gt;"",1,0)+IF(EB2305&lt;&gt;"",1,0)+IF(EC2305&lt;&gt;"",1,0)+IF(ED2305&lt;&gt;"",1,0)+IF(EG2305&lt;&gt;"",1,0)+IF(EH2305&lt;&gt;"",1,0)</f>
        <v/>
      </c>
      <c r="AZ2305">
        <f>IF(EH2305&lt;&gt;"",1,0)</f>
        <v/>
      </c>
      <c r="BB2305" t="inlineStr">
        <is>
          <t>WARREN-WARD 4</t>
        </is>
      </c>
      <c r="BJ2305" t="inlineStr">
        <is>
          <t>X</t>
        </is>
      </c>
      <c r="BK2305" t="inlineStr">
        <is>
          <t>X</t>
        </is>
      </c>
      <c r="BL2305" t="inlineStr">
        <is>
          <t>X</t>
        </is>
      </c>
      <c r="CP2305" t="inlineStr">
        <is>
          <t>X</t>
        </is>
      </c>
    </row>
    <row r="2306">
      <c r="A2306" t="inlineStr">
        <is>
          <t>OH0015715122</t>
        </is>
      </c>
      <c r="B2306" t="n">
        <v>78</v>
      </c>
      <c r="C2306" t="n">
        <v>189624</v>
      </c>
      <c r="D2306" t="inlineStr">
        <is>
          <t>FARR</t>
        </is>
      </c>
      <c r="E2306" t="inlineStr">
        <is>
          <t>LYNDA</t>
        </is>
      </c>
      <c r="F2306">
        <f>CONCATENATE(D2306," ",LEFT(H2306,4),"T=",AU2306,"D=",AV2306,"R=",AW2306,"M=",AX2306,"L=",AY2306,"B=",AZ2306)</f>
        <v/>
      </c>
      <c r="G2306" t="inlineStr">
        <is>
          <t>K</t>
        </is>
      </c>
      <c r="I2306" t="inlineStr">
        <is>
          <t>1968-11-04</t>
        </is>
      </c>
      <c r="J2306" t="inlineStr">
        <is>
          <t>2022-11-05</t>
        </is>
      </c>
      <c r="K2306" t="inlineStr">
        <is>
          <t>ACTIVE</t>
        </is>
      </c>
      <c r="M2306" t="inlineStr">
        <is>
          <t>2814 DUKE AVE SE</t>
        </is>
      </c>
      <c r="N2306">
        <f>RIGHT(M2306,LEN(M2306)-FIND(" ",M2306))</f>
        <v/>
      </c>
      <c r="P2306" t="inlineStr">
        <is>
          <t>WARREN</t>
        </is>
      </c>
      <c r="Q2306" t="inlineStr">
        <is>
          <t>OH</t>
        </is>
      </c>
      <c r="R2306" t="n">
        <v>44484</v>
      </c>
      <c r="AD2306" t="inlineStr">
        <is>
          <t>TRUMBULL CAREER &amp; TECH CENTER</t>
        </is>
      </c>
      <c r="AE2306" t="inlineStr">
        <is>
          <t>WARREN CITY</t>
        </is>
      </c>
      <c r="AF2306" t="inlineStr">
        <is>
          <t>WARREN CITY SD</t>
        </is>
      </c>
      <c r="AH2306" t="n">
        <v>14</v>
      </c>
      <c r="AI2306" t="n">
        <v>11</v>
      </c>
      <c r="AN2306" t="inlineStr">
        <is>
          <t>WARREN</t>
        </is>
      </c>
      <c r="AO2306" t="inlineStr">
        <is>
          <t>WARREN CITY 4F</t>
        </is>
      </c>
      <c r="AP2306" t="inlineStr">
        <is>
          <t>78-P-ADN</t>
        </is>
      </c>
      <c r="AQ2306" t="n">
        <v>9</v>
      </c>
      <c r="AR2306" t="n">
        <v>64</v>
      </c>
      <c r="AS2306" t="n">
        <v>32</v>
      </c>
      <c r="AU2306">
        <f>COUNTA($BA$2306:$EH$2306)</f>
        <v/>
      </c>
      <c r="AV2306">
        <f>COUNTIF($BA$2306:$EH$2306,"D")</f>
        <v/>
      </c>
      <c r="AW2306">
        <f>COUNTIF($BA$2306:$EH$2306,"R")</f>
        <v/>
      </c>
      <c r="AX2306">
        <f>IF(BN2306="D",1,0)+IF(BO2306="D",1,0)+IF(BT2306="D",1,0)+IF(BU2306="D",1,0)+IF(BW2306="D",1,0)+IF(CC2306="D",1,0)+IF(CD2306="D",1,0)+IF(CE2306="D",1,0)+IF(CF2306="D",1,0)+IF(CL2306="D",1,0)+IF(CM2306="D",1,0)+IF(CQ2306="D",1,0)+IF(CR2306="D",1,0)+IF(CS2306="D",1,0)+IF(CW2306="D",1,0)+IF(CX2306="D",1,0)+IF(DD2306="D",1,0)+IF(DE2306="D",1,0)+IF(DJ2306="D",1,0)+IF(DK2306="D",1,0)+IF(DO2306="D",1,0)+IF(DP2306="D",1,0)+IF(DQ2306="D",1,0)+IF(DW2306="D",1,0)+IF(DZ2306="D",1,0)+IF(EH2306="D",1,0)</f>
        <v/>
      </c>
      <c r="AY2306">
        <f>IF(DJ2306&lt;&gt;"",1,0)+IF(DK2306&lt;&gt;"",1,0)+IF(DM2306&lt;&gt;"",1,0)+IF(DO2306&lt;&gt;"",1,0)+IF(DP2306&lt;&gt;"",1,0)+IF(DQ2306&lt;&gt;"",1,0)+IF(DS2306&lt;&gt;"",1,0)+IF(DT2306&lt;&gt;"",1,0)+IF(DV2306&lt;&gt;"",1,0)+IF(DW2306&lt;&gt;"",1,0)+IF(DX2306&lt;&gt;"",1,0)+IF(DY2306&lt;&gt;"",1,0)+IF(DZ2306&lt;&gt;"",1,0)+IF(EB2306&lt;&gt;"",1,0)+IF(EC2306&lt;&gt;"",1,0)+IF(ED2306&lt;&gt;"",1,0)+IF(EG2306&lt;&gt;"",1,0)+IF(EH2306&lt;&gt;"",1,0)</f>
        <v/>
      </c>
      <c r="AZ2306">
        <f>IF(EH2306&lt;&gt;"",1,0)</f>
        <v/>
      </c>
      <c r="BB2306" t="inlineStr">
        <is>
          <t>WARREN-WARD 4</t>
        </is>
      </c>
      <c r="BC2306" t="inlineStr">
        <is>
          <t>X</t>
        </is>
      </c>
      <c r="BF2306" t="inlineStr">
        <is>
          <t>X</t>
        </is>
      </c>
      <c r="BH2306" t="inlineStr">
        <is>
          <t>X</t>
        </is>
      </c>
      <c r="BI2306" t="inlineStr">
        <is>
          <t>X</t>
        </is>
      </c>
      <c r="BJ2306" t="inlineStr">
        <is>
          <t>X</t>
        </is>
      </c>
      <c r="BL2306" t="inlineStr">
        <is>
          <t>X</t>
        </is>
      </c>
      <c r="BR2306" t="inlineStr">
        <is>
          <t>X</t>
        </is>
      </c>
      <c r="BS2306" t="inlineStr">
        <is>
          <t>X</t>
        </is>
      </c>
      <c r="BY2306" t="inlineStr">
        <is>
          <t>D</t>
        </is>
      </c>
      <c r="CA2306" t="inlineStr">
        <is>
          <t>X</t>
        </is>
      </c>
      <c r="CG2306" t="inlineStr">
        <is>
          <t>X</t>
        </is>
      </c>
      <c r="CK2306" t="inlineStr">
        <is>
          <t>X</t>
        </is>
      </c>
      <c r="CN2306" t="inlineStr">
        <is>
          <t>X</t>
        </is>
      </c>
      <c r="CP2306" t="inlineStr">
        <is>
          <t>X</t>
        </is>
      </c>
      <c r="CU2306" t="inlineStr">
        <is>
          <t>D</t>
        </is>
      </c>
      <c r="CV2306" t="inlineStr">
        <is>
          <t>X</t>
        </is>
      </c>
      <c r="CY2306" t="inlineStr">
        <is>
          <t>X</t>
        </is>
      </c>
      <c r="DC2306" t="inlineStr">
        <is>
          <t>X</t>
        </is>
      </c>
      <c r="DF2306" t="inlineStr">
        <is>
          <t>X</t>
        </is>
      </c>
      <c r="DI2306" t="inlineStr">
        <is>
          <t>X</t>
        </is>
      </c>
      <c r="DJ2306" t="inlineStr">
        <is>
          <t>D</t>
        </is>
      </c>
      <c r="DL2306" t="inlineStr">
        <is>
          <t>X</t>
        </is>
      </c>
      <c r="DX2306" t="inlineStr">
        <is>
          <t>X</t>
        </is>
      </c>
      <c r="EA2306" t="inlineStr">
        <is>
          <t>X</t>
        </is>
      </c>
      <c r="EF2306" t="inlineStr">
        <is>
          <t>X</t>
        </is>
      </c>
    </row>
    <row r="2307">
      <c r="A2307" t="inlineStr">
        <is>
          <t>OH0026063382</t>
        </is>
      </c>
      <c r="B2307" t="n">
        <v>78</v>
      </c>
      <c r="C2307" t="n">
        <v>455167</v>
      </c>
      <c r="D2307" t="inlineStr">
        <is>
          <t>SHINE</t>
        </is>
      </c>
      <c r="E2307" t="inlineStr">
        <is>
          <t>PORSHAE</t>
        </is>
      </c>
      <c r="F2307">
        <f>CONCATENATE(D2307," ",LEFT(H2307,4),"T=",AU2307,"D=",AV2307,"R=",AW2307,"M=",AX2307,"L=",AY2307,"B=",AZ2307)</f>
        <v/>
      </c>
      <c r="G2307" t="inlineStr">
        <is>
          <t>DENISE</t>
        </is>
      </c>
      <c r="I2307" t="inlineStr">
        <is>
          <t>1993-09-14</t>
        </is>
      </c>
      <c r="J2307" t="inlineStr">
        <is>
          <t>2020-11-03</t>
        </is>
      </c>
      <c r="K2307" t="inlineStr">
        <is>
          <t>CONFIRMATION</t>
        </is>
      </c>
      <c r="M2307" t="inlineStr">
        <is>
          <t>1779 BRIER ST SE</t>
        </is>
      </c>
      <c r="N2307">
        <f>RIGHT(M2307,LEN(M2307)-FIND(" ",M2307))</f>
        <v/>
      </c>
      <c r="P2307" t="inlineStr">
        <is>
          <t>WARREN</t>
        </is>
      </c>
      <c r="Q2307" t="inlineStr">
        <is>
          <t>OH</t>
        </is>
      </c>
      <c r="R2307" t="n">
        <v>44484</v>
      </c>
      <c r="AD2307" t="inlineStr">
        <is>
          <t>TRUMBULL CAREER &amp; TECH CENTER</t>
        </is>
      </c>
      <c r="AE2307" t="inlineStr">
        <is>
          <t>WARREN CITY</t>
        </is>
      </c>
      <c r="AF2307" t="inlineStr">
        <is>
          <t>WARREN CITY SD</t>
        </is>
      </c>
      <c r="AH2307" t="n">
        <v>14</v>
      </c>
      <c r="AI2307" t="n">
        <v>11</v>
      </c>
      <c r="AN2307" t="inlineStr">
        <is>
          <t>WARREN</t>
        </is>
      </c>
      <c r="AO2307" t="inlineStr">
        <is>
          <t>WARREN CITY 4F</t>
        </is>
      </c>
      <c r="AP2307" t="inlineStr">
        <is>
          <t>78-P-ADN</t>
        </is>
      </c>
      <c r="AQ2307" t="n">
        <v>9</v>
      </c>
      <c r="AR2307" t="n">
        <v>64</v>
      </c>
      <c r="AS2307" t="n">
        <v>32</v>
      </c>
      <c r="AU2307">
        <f>COUNTA($BA$2307:$EH$2307)</f>
        <v/>
      </c>
      <c r="AV2307">
        <f>COUNTIF($BA$2307:$EH$2307,"D")</f>
        <v/>
      </c>
      <c r="AW2307">
        <f>COUNTIF($BA$2307:$EH$2307,"R")</f>
        <v/>
      </c>
      <c r="AX2307">
        <f>IF(BN2307="D",1,0)+IF(BO2307="D",1,0)+IF(BT2307="D",1,0)+IF(BU2307="D",1,0)+IF(BW2307="D",1,0)+IF(CC2307="D",1,0)+IF(CD2307="D",1,0)+IF(CE2307="D",1,0)+IF(CF2307="D",1,0)+IF(CL2307="D",1,0)+IF(CM2307="D",1,0)+IF(CQ2307="D",1,0)+IF(CR2307="D",1,0)+IF(CS2307="D",1,0)+IF(CW2307="D",1,0)+IF(CX2307="D",1,0)+IF(DD2307="D",1,0)+IF(DE2307="D",1,0)+IF(DJ2307="D",1,0)+IF(DK2307="D",1,0)+IF(DO2307="D",1,0)+IF(DP2307="D",1,0)+IF(DQ2307="D",1,0)+IF(DW2307="D",1,0)+IF(DZ2307="D",1,0)+IF(EH2307="D",1,0)</f>
        <v/>
      </c>
      <c r="AY2307">
        <f>IF(DJ2307&lt;&gt;"",1,0)+IF(DK2307&lt;&gt;"",1,0)+IF(DM2307&lt;&gt;"",1,0)+IF(DO2307&lt;&gt;"",1,0)+IF(DP2307&lt;&gt;"",1,0)+IF(DQ2307&lt;&gt;"",1,0)+IF(DS2307&lt;&gt;"",1,0)+IF(DT2307&lt;&gt;"",1,0)+IF(DV2307&lt;&gt;"",1,0)+IF(DW2307&lt;&gt;"",1,0)+IF(DX2307&lt;&gt;"",1,0)+IF(DY2307&lt;&gt;"",1,0)+IF(DZ2307&lt;&gt;"",1,0)+IF(EB2307&lt;&gt;"",1,0)+IF(EC2307&lt;&gt;"",1,0)+IF(ED2307&lt;&gt;"",1,0)+IF(EG2307&lt;&gt;"",1,0)+IF(EH2307&lt;&gt;"",1,0)</f>
        <v/>
      </c>
      <c r="AZ2307">
        <f>IF(EH2307&lt;&gt;"",1,0)</f>
        <v/>
      </c>
      <c r="BB2307" t="inlineStr">
        <is>
          <t>WARREN-WARD 4</t>
        </is>
      </c>
      <c r="CP2307" t="inlineStr">
        <is>
          <t>X</t>
        </is>
      </c>
      <c r="DN2307" t="inlineStr">
        <is>
          <t>X</t>
        </is>
      </c>
    </row>
    <row r="2308">
      <c r="A2308" t="inlineStr">
        <is>
          <t>OH0026063355</t>
        </is>
      </c>
      <c r="B2308" t="n">
        <v>78</v>
      </c>
      <c r="C2308" t="n">
        <v>455168</v>
      </c>
      <c r="D2308" t="inlineStr">
        <is>
          <t>TRIMBLE</t>
        </is>
      </c>
      <c r="E2308" t="inlineStr">
        <is>
          <t>RYAN</t>
        </is>
      </c>
      <c r="F2308">
        <f>CONCATENATE(D2308," ",LEFT(H2308,4),"T=",AU2308,"D=",AV2308,"R=",AW2308,"M=",AX2308,"L=",AY2308,"B=",AZ2308)</f>
        <v/>
      </c>
      <c r="G2308" t="inlineStr">
        <is>
          <t>L</t>
        </is>
      </c>
      <c r="I2308" t="inlineStr">
        <is>
          <t>1988-07-26</t>
        </is>
      </c>
      <c r="J2308" t="inlineStr">
        <is>
          <t>2020-11-03</t>
        </is>
      </c>
      <c r="K2308" t="inlineStr">
        <is>
          <t>CONFIRMATION</t>
        </is>
      </c>
      <c r="M2308" t="inlineStr">
        <is>
          <t>1516 KENILWORTH AVE SE</t>
        </is>
      </c>
      <c r="N2308">
        <f>RIGHT(M2308,LEN(M2308)-FIND(" ",M2308))</f>
        <v/>
      </c>
      <c r="P2308" t="inlineStr">
        <is>
          <t>WARREN</t>
        </is>
      </c>
      <c r="Q2308" t="inlineStr">
        <is>
          <t>OH</t>
        </is>
      </c>
      <c r="R2308" t="n">
        <v>44484</v>
      </c>
      <c r="AD2308" t="inlineStr">
        <is>
          <t>TRUMBULL CAREER &amp; TECH CENTER</t>
        </is>
      </c>
      <c r="AE2308" t="inlineStr">
        <is>
          <t>WARREN CITY</t>
        </is>
      </c>
      <c r="AF2308" t="inlineStr">
        <is>
          <t>WARREN CITY SD</t>
        </is>
      </c>
      <c r="AH2308" t="n">
        <v>14</v>
      </c>
      <c r="AI2308" t="n">
        <v>11</v>
      </c>
      <c r="AN2308" t="inlineStr">
        <is>
          <t>WARREN</t>
        </is>
      </c>
      <c r="AO2308" t="inlineStr">
        <is>
          <t>WARREN CITY 4F</t>
        </is>
      </c>
      <c r="AP2308" t="inlineStr">
        <is>
          <t>78-P-ADN</t>
        </is>
      </c>
      <c r="AQ2308" t="n">
        <v>9</v>
      </c>
      <c r="AR2308" t="n">
        <v>64</v>
      </c>
      <c r="AS2308" t="n">
        <v>32</v>
      </c>
      <c r="AU2308">
        <f>COUNTA($BA$2308:$EH$2308)</f>
        <v/>
      </c>
      <c r="AV2308">
        <f>COUNTIF($BA$2308:$EH$2308,"D")</f>
        <v/>
      </c>
      <c r="AW2308">
        <f>COUNTIF($BA$2308:$EH$2308,"R")</f>
        <v/>
      </c>
      <c r="AX2308">
        <f>IF(BN2308="D",1,0)+IF(BO2308="D",1,0)+IF(BT2308="D",1,0)+IF(BU2308="D",1,0)+IF(BW2308="D",1,0)+IF(CC2308="D",1,0)+IF(CD2308="D",1,0)+IF(CE2308="D",1,0)+IF(CF2308="D",1,0)+IF(CL2308="D",1,0)+IF(CM2308="D",1,0)+IF(CQ2308="D",1,0)+IF(CR2308="D",1,0)+IF(CS2308="D",1,0)+IF(CW2308="D",1,0)+IF(CX2308="D",1,0)+IF(DD2308="D",1,0)+IF(DE2308="D",1,0)+IF(DJ2308="D",1,0)+IF(DK2308="D",1,0)+IF(DO2308="D",1,0)+IF(DP2308="D",1,0)+IF(DQ2308="D",1,0)+IF(DW2308="D",1,0)+IF(DZ2308="D",1,0)+IF(EH2308="D",1,0)</f>
        <v/>
      </c>
      <c r="AY2308">
        <f>IF(DJ2308&lt;&gt;"",1,0)+IF(DK2308&lt;&gt;"",1,0)+IF(DM2308&lt;&gt;"",1,0)+IF(DO2308&lt;&gt;"",1,0)+IF(DP2308&lt;&gt;"",1,0)+IF(DQ2308&lt;&gt;"",1,0)+IF(DS2308&lt;&gt;"",1,0)+IF(DT2308&lt;&gt;"",1,0)+IF(DV2308&lt;&gt;"",1,0)+IF(DW2308&lt;&gt;"",1,0)+IF(DX2308&lt;&gt;"",1,0)+IF(DY2308&lt;&gt;"",1,0)+IF(DZ2308&lt;&gt;"",1,0)+IF(EB2308&lt;&gt;"",1,0)+IF(EC2308&lt;&gt;"",1,0)+IF(ED2308&lt;&gt;"",1,0)+IF(EG2308&lt;&gt;"",1,0)+IF(EH2308&lt;&gt;"",1,0)</f>
        <v/>
      </c>
      <c r="AZ2308">
        <f>IF(EH2308&lt;&gt;"",1,0)</f>
        <v/>
      </c>
      <c r="BB2308" t="inlineStr">
        <is>
          <t>WARREN-WARD 4</t>
        </is>
      </c>
      <c r="DN2308" t="inlineStr">
        <is>
          <t>X</t>
        </is>
      </c>
    </row>
    <row r="2309">
      <c r="A2309" t="inlineStr">
        <is>
          <t>OH0025974666</t>
        </is>
      </c>
      <c r="B2309" t="n">
        <v>78</v>
      </c>
      <c r="C2309" t="n">
        <v>454108</v>
      </c>
      <c r="D2309" t="inlineStr">
        <is>
          <t>MCCOLLOUGH ALEXANDER</t>
        </is>
      </c>
      <c r="E2309" t="inlineStr">
        <is>
          <t>DORIAN</t>
        </is>
      </c>
      <c r="F2309">
        <f>CONCATENATE(D2309," ",LEFT(H2309,4),"T=",AU2309,"D=",AV2309,"R=",AW2309,"M=",AX2309,"L=",AY2309,"B=",AZ2309)</f>
        <v/>
      </c>
      <c r="G2309" t="inlineStr">
        <is>
          <t>TYRELL</t>
        </is>
      </c>
      <c r="I2309" t="inlineStr">
        <is>
          <t>2001-06-02</t>
        </is>
      </c>
      <c r="J2309" t="inlineStr">
        <is>
          <t>2020-11-23</t>
        </is>
      </c>
      <c r="K2309" t="inlineStr">
        <is>
          <t>CONFIRMATION</t>
        </is>
      </c>
      <c r="M2309" t="inlineStr">
        <is>
          <t>2184 BENTON ST SE</t>
        </is>
      </c>
      <c r="N2309">
        <f>RIGHT(M2309,LEN(M2309)-FIND(" ",M2309))</f>
        <v/>
      </c>
      <c r="P2309" t="inlineStr">
        <is>
          <t>WARREN</t>
        </is>
      </c>
      <c r="Q2309" t="inlineStr">
        <is>
          <t>OH</t>
        </is>
      </c>
      <c r="R2309" t="n">
        <v>44484</v>
      </c>
      <c r="AD2309" t="inlineStr">
        <is>
          <t>TRUMBULL CAREER &amp; TECH CENTER</t>
        </is>
      </c>
      <c r="AE2309" t="inlineStr">
        <is>
          <t>WARREN CITY</t>
        </is>
      </c>
      <c r="AF2309" t="inlineStr">
        <is>
          <t>WARREN CITY SD</t>
        </is>
      </c>
      <c r="AH2309" t="n">
        <v>14</v>
      </c>
      <c r="AI2309" t="n">
        <v>11</v>
      </c>
      <c r="AN2309" t="inlineStr">
        <is>
          <t>WARREN</t>
        </is>
      </c>
      <c r="AO2309" t="inlineStr">
        <is>
          <t>WARREN CITY 4F</t>
        </is>
      </c>
      <c r="AP2309" t="inlineStr">
        <is>
          <t>78-P-ADN</t>
        </is>
      </c>
      <c r="AQ2309" t="n">
        <v>9</v>
      </c>
      <c r="AR2309" t="n">
        <v>64</v>
      </c>
      <c r="AS2309" t="n">
        <v>32</v>
      </c>
      <c r="AU2309">
        <f>COUNTA($BA$2309:$EH$2309)</f>
        <v/>
      </c>
      <c r="AV2309">
        <f>COUNTIF($BA$2309:$EH$2309,"D")</f>
        <v/>
      </c>
      <c r="AW2309">
        <f>COUNTIF($BA$2309:$EH$2309,"R")</f>
        <v/>
      </c>
      <c r="AX2309">
        <f>IF(BN2309="D",1,0)+IF(BO2309="D",1,0)+IF(BT2309="D",1,0)+IF(BU2309="D",1,0)+IF(BW2309="D",1,0)+IF(CC2309="D",1,0)+IF(CD2309="D",1,0)+IF(CE2309="D",1,0)+IF(CF2309="D",1,0)+IF(CL2309="D",1,0)+IF(CM2309="D",1,0)+IF(CQ2309="D",1,0)+IF(CR2309="D",1,0)+IF(CS2309="D",1,0)+IF(CW2309="D",1,0)+IF(CX2309="D",1,0)+IF(DD2309="D",1,0)+IF(DE2309="D",1,0)+IF(DJ2309="D",1,0)+IF(DK2309="D",1,0)+IF(DO2309="D",1,0)+IF(DP2309="D",1,0)+IF(DQ2309="D",1,0)+IF(DW2309="D",1,0)+IF(DZ2309="D",1,0)+IF(EH2309="D",1,0)</f>
        <v/>
      </c>
      <c r="AY2309">
        <f>IF(DJ2309&lt;&gt;"",1,0)+IF(DK2309&lt;&gt;"",1,0)+IF(DM2309&lt;&gt;"",1,0)+IF(DO2309&lt;&gt;"",1,0)+IF(DP2309&lt;&gt;"",1,0)+IF(DQ2309&lt;&gt;"",1,0)+IF(DS2309&lt;&gt;"",1,0)+IF(DT2309&lt;&gt;"",1,0)+IF(DV2309&lt;&gt;"",1,0)+IF(DW2309&lt;&gt;"",1,0)+IF(DX2309&lt;&gt;"",1,0)+IF(DY2309&lt;&gt;"",1,0)+IF(DZ2309&lt;&gt;"",1,0)+IF(EB2309&lt;&gt;"",1,0)+IF(EC2309&lt;&gt;"",1,0)+IF(ED2309&lt;&gt;"",1,0)+IF(EG2309&lt;&gt;"",1,0)+IF(EH2309&lt;&gt;"",1,0)</f>
        <v/>
      </c>
      <c r="AZ2309">
        <f>IF(EH2309&lt;&gt;"",1,0)</f>
        <v/>
      </c>
      <c r="BB2309" t="inlineStr">
        <is>
          <t>WARREN-WARD 4</t>
        </is>
      </c>
      <c r="DN2309" t="inlineStr">
        <is>
          <t>X</t>
        </is>
      </c>
    </row>
    <row r="2310">
      <c r="A2310" t="inlineStr">
        <is>
          <t>OH0025916388</t>
        </is>
      </c>
      <c r="B2310" t="n">
        <v>78</v>
      </c>
      <c r="C2310" t="n">
        <v>452715</v>
      </c>
      <c r="D2310" t="inlineStr">
        <is>
          <t>COOPER</t>
        </is>
      </c>
      <c r="E2310" t="inlineStr">
        <is>
          <t>ELIZABETH</t>
        </is>
      </c>
      <c r="F2310">
        <f>CONCATENATE(D2310," ",LEFT(H2310,4),"T=",AU2310,"D=",AV2310,"R=",AW2310,"M=",AX2310,"L=",AY2310,"B=",AZ2310)</f>
        <v/>
      </c>
      <c r="G2310" t="inlineStr">
        <is>
          <t>MARIE</t>
        </is>
      </c>
      <c r="I2310" t="inlineStr">
        <is>
          <t>2002-08-31</t>
        </is>
      </c>
      <c r="J2310" t="inlineStr">
        <is>
          <t>2020-09-29</t>
        </is>
      </c>
      <c r="K2310" t="inlineStr">
        <is>
          <t>CONFIRMATION</t>
        </is>
      </c>
      <c r="M2310" t="inlineStr">
        <is>
          <t>2867 DUKE AVE SE</t>
        </is>
      </c>
      <c r="N2310">
        <f>RIGHT(M2310,LEN(M2310)-FIND(" ",M2310))</f>
        <v/>
      </c>
      <c r="P2310" t="inlineStr">
        <is>
          <t>WARREN</t>
        </is>
      </c>
      <c r="Q2310" t="inlineStr">
        <is>
          <t>OH</t>
        </is>
      </c>
      <c r="R2310" t="n">
        <v>44484</v>
      </c>
      <c r="AD2310" t="inlineStr">
        <is>
          <t>TRUMBULL CAREER &amp; TECH CENTER</t>
        </is>
      </c>
      <c r="AE2310" t="inlineStr">
        <is>
          <t>WARREN CITY</t>
        </is>
      </c>
      <c r="AF2310" t="inlineStr">
        <is>
          <t>WARREN CITY SD</t>
        </is>
      </c>
      <c r="AH2310" t="n">
        <v>14</v>
      </c>
      <c r="AI2310" t="n">
        <v>11</v>
      </c>
      <c r="AN2310" t="inlineStr">
        <is>
          <t>WARREN</t>
        </is>
      </c>
      <c r="AO2310" t="inlineStr">
        <is>
          <t>WARREN CITY 4F</t>
        </is>
      </c>
      <c r="AP2310" t="inlineStr">
        <is>
          <t>78-P-ADN</t>
        </is>
      </c>
      <c r="AQ2310" t="n">
        <v>9</v>
      </c>
      <c r="AR2310" t="n">
        <v>64</v>
      </c>
      <c r="AS2310" t="n">
        <v>32</v>
      </c>
      <c r="AU2310">
        <f>COUNTA($BA$2310:$EH$2310)</f>
        <v/>
      </c>
      <c r="AV2310">
        <f>COUNTIF($BA$2310:$EH$2310,"D")</f>
        <v/>
      </c>
      <c r="AW2310">
        <f>COUNTIF($BA$2310:$EH$2310,"R")</f>
        <v/>
      </c>
      <c r="AX2310">
        <f>IF(BN2310="D",1,0)+IF(BO2310="D",1,0)+IF(BT2310="D",1,0)+IF(BU2310="D",1,0)+IF(BW2310="D",1,0)+IF(CC2310="D",1,0)+IF(CD2310="D",1,0)+IF(CE2310="D",1,0)+IF(CF2310="D",1,0)+IF(CL2310="D",1,0)+IF(CM2310="D",1,0)+IF(CQ2310="D",1,0)+IF(CR2310="D",1,0)+IF(CS2310="D",1,0)+IF(CW2310="D",1,0)+IF(CX2310="D",1,0)+IF(DD2310="D",1,0)+IF(DE2310="D",1,0)+IF(DJ2310="D",1,0)+IF(DK2310="D",1,0)+IF(DO2310="D",1,0)+IF(DP2310="D",1,0)+IF(DQ2310="D",1,0)+IF(DW2310="D",1,0)+IF(DZ2310="D",1,0)+IF(EH2310="D",1,0)</f>
        <v/>
      </c>
      <c r="AY2310">
        <f>IF(DJ2310&lt;&gt;"",1,0)+IF(DK2310&lt;&gt;"",1,0)+IF(DM2310&lt;&gt;"",1,0)+IF(DO2310&lt;&gt;"",1,0)+IF(DP2310&lt;&gt;"",1,0)+IF(DQ2310&lt;&gt;"",1,0)+IF(DS2310&lt;&gt;"",1,0)+IF(DT2310&lt;&gt;"",1,0)+IF(DV2310&lt;&gt;"",1,0)+IF(DW2310&lt;&gt;"",1,0)+IF(DX2310&lt;&gt;"",1,0)+IF(DY2310&lt;&gt;"",1,0)+IF(DZ2310&lt;&gt;"",1,0)+IF(EB2310&lt;&gt;"",1,0)+IF(EC2310&lt;&gt;"",1,0)+IF(ED2310&lt;&gt;"",1,0)+IF(EG2310&lt;&gt;"",1,0)+IF(EH2310&lt;&gt;"",1,0)</f>
        <v/>
      </c>
      <c r="AZ2310">
        <f>IF(EH2310&lt;&gt;"",1,0)</f>
        <v/>
      </c>
      <c r="BB2310" t="inlineStr">
        <is>
          <t>WARREN-WARD 4</t>
        </is>
      </c>
    </row>
    <row r="2311">
      <c r="A2311" t="inlineStr">
        <is>
          <t>OH0027701516</t>
        </is>
      </c>
      <c r="B2311" t="n">
        <v>78</v>
      </c>
      <c r="C2311" t="n">
        <v>490806</v>
      </c>
      <c r="D2311" t="inlineStr">
        <is>
          <t>HULL</t>
        </is>
      </c>
      <c r="E2311" t="inlineStr">
        <is>
          <t>HEATHER</t>
        </is>
      </c>
      <c r="F2311">
        <f>CONCATENATE(D2311," ",LEFT(H2311,4),"T=",AU2311,"D=",AV2311,"R=",AW2311,"M=",AX2311,"L=",AY2311,"B=",AZ2311)</f>
        <v/>
      </c>
      <c r="G2311" t="inlineStr">
        <is>
          <t>AMELIA</t>
        </is>
      </c>
      <c r="I2311" t="inlineStr">
        <is>
          <t>1970-02-07</t>
        </is>
      </c>
      <c r="J2311" t="inlineStr">
        <is>
          <t>2024-09-27</t>
        </is>
      </c>
      <c r="K2311" t="inlineStr">
        <is>
          <t>ACTIVE</t>
        </is>
      </c>
      <c r="L2311" t="inlineStr">
        <is>
          <t>D</t>
        </is>
      </c>
      <c r="M2311" t="inlineStr">
        <is>
          <t>1296 YOUNGSTOWN RD SE</t>
        </is>
      </c>
      <c r="N2311">
        <f>RIGHT(M2311,LEN(M2311)-FIND(" ",M2311))</f>
        <v/>
      </c>
      <c r="P2311" t="inlineStr">
        <is>
          <t>WARREN</t>
        </is>
      </c>
      <c r="Q2311" t="inlineStr">
        <is>
          <t>OH</t>
        </is>
      </c>
      <c r="R2311" t="n">
        <v>44484</v>
      </c>
      <c r="AD2311" t="inlineStr">
        <is>
          <t>TRUMBULL CAREER &amp; TECH CENTER</t>
        </is>
      </c>
      <c r="AE2311" t="inlineStr">
        <is>
          <t>WARREN CITY</t>
        </is>
      </c>
      <c r="AF2311" t="inlineStr">
        <is>
          <t>WARREN CITY SD</t>
        </is>
      </c>
      <c r="AH2311" t="n">
        <v>14</v>
      </c>
      <c r="AI2311" t="n">
        <v>11</v>
      </c>
      <c r="AN2311" t="inlineStr">
        <is>
          <t>WARREN</t>
        </is>
      </c>
      <c r="AO2311" t="inlineStr">
        <is>
          <t>WARREN CITY 4F</t>
        </is>
      </c>
      <c r="AP2311" t="inlineStr">
        <is>
          <t>78-P-ADN</t>
        </is>
      </c>
      <c r="AQ2311" t="n">
        <v>9</v>
      </c>
      <c r="AR2311" t="n">
        <v>64</v>
      </c>
      <c r="AS2311" t="n">
        <v>32</v>
      </c>
      <c r="AU2311">
        <f>COUNTA($BA$2311:$EH$2311)</f>
        <v/>
      </c>
      <c r="AV2311">
        <f>COUNTIF($BA$2311:$EH$2311,"D")</f>
        <v/>
      </c>
      <c r="AW2311">
        <f>COUNTIF($BA$2311:$EH$2311,"R")</f>
        <v/>
      </c>
      <c r="AX2311">
        <f>IF(BN2311="D",1,0)+IF(BO2311="D",1,0)+IF(BT2311="D",1,0)+IF(BU2311="D",1,0)+IF(BW2311="D",1,0)+IF(CC2311="D",1,0)+IF(CD2311="D",1,0)+IF(CE2311="D",1,0)+IF(CF2311="D",1,0)+IF(CL2311="D",1,0)+IF(CM2311="D",1,0)+IF(CQ2311="D",1,0)+IF(CR2311="D",1,0)+IF(CS2311="D",1,0)+IF(CW2311="D",1,0)+IF(CX2311="D",1,0)+IF(DD2311="D",1,0)+IF(DE2311="D",1,0)+IF(DJ2311="D",1,0)+IF(DK2311="D",1,0)+IF(DO2311="D",1,0)+IF(DP2311="D",1,0)+IF(DQ2311="D",1,0)+IF(DW2311="D",1,0)+IF(DZ2311="D",1,0)+IF(EH2311="D",1,0)</f>
        <v/>
      </c>
      <c r="AY2311">
        <f>IF(DJ2311&lt;&gt;"",1,0)+IF(DK2311&lt;&gt;"",1,0)+IF(DM2311&lt;&gt;"",1,0)+IF(DO2311&lt;&gt;"",1,0)+IF(DP2311&lt;&gt;"",1,0)+IF(DQ2311&lt;&gt;"",1,0)+IF(DS2311&lt;&gt;"",1,0)+IF(DT2311&lt;&gt;"",1,0)+IF(DV2311&lt;&gt;"",1,0)+IF(DW2311&lt;&gt;"",1,0)+IF(DX2311&lt;&gt;"",1,0)+IF(DY2311&lt;&gt;"",1,0)+IF(DZ2311&lt;&gt;"",1,0)+IF(EB2311&lt;&gt;"",1,0)+IF(EC2311&lt;&gt;"",1,0)+IF(ED2311&lt;&gt;"",1,0)+IF(EG2311&lt;&gt;"",1,0)+IF(EH2311&lt;&gt;"",1,0)</f>
        <v/>
      </c>
      <c r="AZ2311">
        <f>IF(EH2311&lt;&gt;"",1,0)</f>
        <v/>
      </c>
      <c r="BB2311" t="inlineStr">
        <is>
          <t>WARREN-WARD 4</t>
        </is>
      </c>
      <c r="EH2311" t="inlineStr">
        <is>
          <t>D</t>
        </is>
      </c>
    </row>
    <row r="2312">
      <c r="A2312" t="inlineStr">
        <is>
          <t>OH0015907083</t>
        </is>
      </c>
      <c r="B2312" t="n">
        <v>78</v>
      </c>
      <c r="C2312" t="n">
        <v>334075</v>
      </c>
      <c r="D2312" t="inlineStr">
        <is>
          <t>SMITH</t>
        </is>
      </c>
      <c r="E2312" t="inlineStr">
        <is>
          <t>CRYSTAL</t>
        </is>
      </c>
      <c r="F2312">
        <f>CONCATENATE(D2312," ",LEFT(H2312,4),"T=",AU2312,"D=",AV2312,"R=",AW2312,"M=",AX2312,"L=",AY2312,"B=",AZ2312)</f>
        <v/>
      </c>
      <c r="G2312" t="inlineStr">
        <is>
          <t>L</t>
        </is>
      </c>
      <c r="I2312" t="inlineStr">
        <is>
          <t>1971-12-12</t>
        </is>
      </c>
      <c r="J2312" t="inlineStr">
        <is>
          <t>2014-08-06</t>
        </is>
      </c>
      <c r="K2312" t="inlineStr">
        <is>
          <t>ACTIVE</t>
        </is>
      </c>
      <c r="M2312" t="inlineStr">
        <is>
          <t>1580 OAK KNOLL AVE SE</t>
        </is>
      </c>
      <c r="N2312">
        <f>RIGHT(M2312,LEN(M2312)-FIND(" ",M2312))</f>
        <v/>
      </c>
      <c r="P2312" t="inlineStr">
        <is>
          <t>WARREN</t>
        </is>
      </c>
      <c r="Q2312" t="inlineStr">
        <is>
          <t>OH</t>
        </is>
      </c>
      <c r="R2312" t="n">
        <v>44484</v>
      </c>
      <c r="AD2312" t="inlineStr">
        <is>
          <t>TRUMBULL CAREER &amp; TECH CENTER</t>
        </is>
      </c>
      <c r="AE2312" t="inlineStr">
        <is>
          <t>WARREN CITY</t>
        </is>
      </c>
      <c r="AF2312" t="inlineStr">
        <is>
          <t>WARREN CITY SD</t>
        </is>
      </c>
      <c r="AH2312" t="n">
        <v>14</v>
      </c>
      <c r="AI2312" t="n">
        <v>11</v>
      </c>
      <c r="AN2312" t="inlineStr">
        <is>
          <t>WARREN</t>
        </is>
      </c>
      <c r="AO2312" t="inlineStr">
        <is>
          <t>WARREN CITY 4F</t>
        </is>
      </c>
      <c r="AP2312" t="inlineStr">
        <is>
          <t>78-P-ADN</t>
        </is>
      </c>
      <c r="AQ2312" t="n">
        <v>9</v>
      </c>
      <c r="AR2312" t="n">
        <v>64</v>
      </c>
      <c r="AS2312" t="n">
        <v>32</v>
      </c>
      <c r="AU2312">
        <f>COUNTA($BA$2312:$EH$2312)</f>
        <v/>
      </c>
      <c r="AV2312">
        <f>COUNTIF($BA$2312:$EH$2312,"D")</f>
        <v/>
      </c>
      <c r="AW2312">
        <f>COUNTIF($BA$2312:$EH$2312,"R")</f>
        <v/>
      </c>
      <c r="AX2312">
        <f>IF(BN2312="D",1,0)+IF(BO2312="D",1,0)+IF(BT2312="D",1,0)+IF(BU2312="D",1,0)+IF(BW2312="D",1,0)+IF(CC2312="D",1,0)+IF(CD2312="D",1,0)+IF(CE2312="D",1,0)+IF(CF2312="D",1,0)+IF(CL2312="D",1,0)+IF(CM2312="D",1,0)+IF(CQ2312="D",1,0)+IF(CR2312="D",1,0)+IF(CS2312="D",1,0)+IF(CW2312="D",1,0)+IF(CX2312="D",1,0)+IF(DD2312="D",1,0)+IF(DE2312="D",1,0)+IF(DJ2312="D",1,0)+IF(DK2312="D",1,0)+IF(DO2312="D",1,0)+IF(DP2312="D",1,0)+IF(DQ2312="D",1,0)+IF(DW2312="D",1,0)+IF(DZ2312="D",1,0)+IF(EH2312="D",1,0)</f>
        <v/>
      </c>
      <c r="AY2312">
        <f>IF(DJ2312&lt;&gt;"",1,0)+IF(DK2312&lt;&gt;"",1,0)+IF(DM2312&lt;&gt;"",1,0)+IF(DO2312&lt;&gt;"",1,0)+IF(DP2312&lt;&gt;"",1,0)+IF(DQ2312&lt;&gt;"",1,0)+IF(DS2312&lt;&gt;"",1,0)+IF(DT2312&lt;&gt;"",1,0)+IF(DV2312&lt;&gt;"",1,0)+IF(DW2312&lt;&gt;"",1,0)+IF(DX2312&lt;&gt;"",1,0)+IF(DY2312&lt;&gt;"",1,0)+IF(DZ2312&lt;&gt;"",1,0)+IF(EB2312&lt;&gt;"",1,0)+IF(EC2312&lt;&gt;"",1,0)+IF(ED2312&lt;&gt;"",1,0)+IF(EG2312&lt;&gt;"",1,0)+IF(EH2312&lt;&gt;"",1,0)</f>
        <v/>
      </c>
      <c r="AZ2312">
        <f>IF(EH2312&lt;&gt;"",1,0)</f>
        <v/>
      </c>
      <c r="BB2312" t="inlineStr">
        <is>
          <t>WARREN-WARD 4</t>
        </is>
      </c>
      <c r="BL2312" t="inlineStr">
        <is>
          <t>X</t>
        </is>
      </c>
      <c r="CP2312" t="inlineStr">
        <is>
          <t>X</t>
        </is>
      </c>
      <c r="DC2312" t="inlineStr">
        <is>
          <t>X</t>
        </is>
      </c>
      <c r="DM2312" t="inlineStr">
        <is>
          <t>D</t>
        </is>
      </c>
      <c r="DN2312" t="inlineStr">
        <is>
          <t>X</t>
        </is>
      </c>
      <c r="EF2312" t="inlineStr">
        <is>
          <t>X</t>
        </is>
      </c>
    </row>
    <row r="2313">
      <c r="A2313" t="inlineStr">
        <is>
          <t>OH0022957656</t>
        </is>
      </c>
      <c r="B2313" t="n">
        <v>78</v>
      </c>
      <c r="C2313" t="n">
        <v>404690</v>
      </c>
      <c r="D2313" t="inlineStr">
        <is>
          <t>SWEGAN</t>
        </is>
      </c>
      <c r="E2313" t="inlineStr">
        <is>
          <t>GEORGE</t>
        </is>
      </c>
      <c r="F2313">
        <f>CONCATENATE(D2313," ",LEFT(H2313,4),"T=",AU2313,"D=",AV2313,"R=",AW2313,"M=",AX2313,"L=",AY2313,"B=",AZ2313)</f>
        <v/>
      </c>
      <c r="G2313" t="inlineStr">
        <is>
          <t>R</t>
        </is>
      </c>
      <c r="I2313" t="inlineStr">
        <is>
          <t>1949-06-08</t>
        </is>
      </c>
      <c r="J2313" t="inlineStr">
        <is>
          <t>2023-07-14</t>
        </is>
      </c>
      <c r="K2313" t="inlineStr">
        <is>
          <t>ACTIVE</t>
        </is>
      </c>
      <c r="M2313" t="inlineStr">
        <is>
          <t>973 EAST AVE SE</t>
        </is>
      </c>
      <c r="N2313">
        <f>RIGHT(M2313,LEN(M2313)-FIND(" ",M2313))</f>
        <v/>
      </c>
      <c r="P2313" t="inlineStr">
        <is>
          <t>WARREN</t>
        </is>
      </c>
      <c r="Q2313" t="inlineStr">
        <is>
          <t>OH</t>
        </is>
      </c>
      <c r="R2313" t="n">
        <v>44484</v>
      </c>
      <c r="AD2313" t="inlineStr">
        <is>
          <t>TRUMBULL CAREER &amp; TECH CENTER</t>
        </is>
      </c>
      <c r="AE2313" t="inlineStr">
        <is>
          <t>WARREN CITY</t>
        </is>
      </c>
      <c r="AF2313" t="inlineStr">
        <is>
          <t>WARREN CITY SD</t>
        </is>
      </c>
      <c r="AH2313" t="n">
        <v>14</v>
      </c>
      <c r="AI2313" t="n">
        <v>11</v>
      </c>
      <c r="AN2313" t="inlineStr">
        <is>
          <t>WARREN</t>
        </is>
      </c>
      <c r="AO2313" t="inlineStr">
        <is>
          <t>WARREN CITY 4F</t>
        </is>
      </c>
      <c r="AP2313" t="inlineStr">
        <is>
          <t>78-P-ADN</t>
        </is>
      </c>
      <c r="AQ2313" t="n">
        <v>9</v>
      </c>
      <c r="AR2313" t="n">
        <v>64</v>
      </c>
      <c r="AS2313" t="n">
        <v>32</v>
      </c>
      <c r="AU2313">
        <f>COUNTA($BA$2313:$EH$2313)</f>
        <v/>
      </c>
      <c r="AV2313">
        <f>COUNTIF($BA$2313:$EH$2313,"D")</f>
        <v/>
      </c>
      <c r="AW2313">
        <f>COUNTIF($BA$2313:$EH$2313,"R")</f>
        <v/>
      </c>
      <c r="AX2313">
        <f>IF(BN2313="D",1,0)+IF(BO2313="D",1,0)+IF(BT2313="D",1,0)+IF(BU2313="D",1,0)+IF(BW2313="D",1,0)+IF(CC2313="D",1,0)+IF(CD2313="D",1,0)+IF(CE2313="D",1,0)+IF(CF2313="D",1,0)+IF(CL2313="D",1,0)+IF(CM2313="D",1,0)+IF(CQ2313="D",1,0)+IF(CR2313="D",1,0)+IF(CS2313="D",1,0)+IF(CW2313="D",1,0)+IF(CX2313="D",1,0)+IF(DD2313="D",1,0)+IF(DE2313="D",1,0)+IF(DJ2313="D",1,0)+IF(DK2313="D",1,0)+IF(DO2313="D",1,0)+IF(DP2313="D",1,0)+IF(DQ2313="D",1,0)+IF(DW2313="D",1,0)+IF(DZ2313="D",1,0)+IF(EH2313="D",1,0)</f>
        <v/>
      </c>
      <c r="AY2313">
        <f>IF(DJ2313&lt;&gt;"",1,0)+IF(DK2313&lt;&gt;"",1,0)+IF(DM2313&lt;&gt;"",1,0)+IF(DO2313&lt;&gt;"",1,0)+IF(DP2313&lt;&gt;"",1,0)+IF(DQ2313&lt;&gt;"",1,0)+IF(DS2313&lt;&gt;"",1,0)+IF(DT2313&lt;&gt;"",1,0)+IF(DV2313&lt;&gt;"",1,0)+IF(DW2313&lt;&gt;"",1,0)+IF(DX2313&lt;&gt;"",1,0)+IF(DY2313&lt;&gt;"",1,0)+IF(DZ2313&lt;&gt;"",1,0)+IF(EB2313&lt;&gt;"",1,0)+IF(EC2313&lt;&gt;"",1,0)+IF(ED2313&lt;&gt;"",1,0)+IF(EG2313&lt;&gt;"",1,0)+IF(EH2313&lt;&gt;"",1,0)</f>
        <v/>
      </c>
      <c r="AZ2313">
        <f>IF(EH2313&lt;&gt;"",1,0)</f>
        <v/>
      </c>
      <c r="BB2313" t="inlineStr">
        <is>
          <t>WARREN-WARD 4</t>
        </is>
      </c>
      <c r="DN2313" t="inlineStr">
        <is>
          <t>X</t>
        </is>
      </c>
      <c r="EF2313" t="inlineStr">
        <is>
          <t>X</t>
        </is>
      </c>
    </row>
    <row r="2314">
      <c r="A2314" t="inlineStr">
        <is>
          <t>OH0026734227</t>
        </is>
      </c>
      <c r="B2314" t="n">
        <v>78</v>
      </c>
      <c r="C2314" t="n">
        <v>466615</v>
      </c>
      <c r="D2314" t="inlineStr">
        <is>
          <t>BULL</t>
        </is>
      </c>
      <c r="E2314" t="inlineStr">
        <is>
          <t>JOSEPH</t>
        </is>
      </c>
      <c r="F2314">
        <f>CONCATENATE(D2314," ",LEFT(H2314,4),"T=",AU2314,"D=",AV2314,"R=",AW2314,"M=",AX2314,"L=",AY2314,"B=",AZ2314)</f>
        <v/>
      </c>
      <c r="G2314" t="inlineStr">
        <is>
          <t>ROBERT</t>
        </is>
      </c>
      <c r="I2314" t="inlineStr">
        <is>
          <t>1987-10-26</t>
        </is>
      </c>
      <c r="J2314" t="inlineStr">
        <is>
          <t>2022-11-02</t>
        </is>
      </c>
      <c r="K2314" t="inlineStr">
        <is>
          <t>ACTIVE</t>
        </is>
      </c>
      <c r="M2314" t="inlineStr">
        <is>
          <t>2042 WALLACE ST SE</t>
        </is>
      </c>
      <c r="N2314">
        <f>RIGHT(M2314,LEN(M2314)-FIND(" ",M2314))</f>
        <v/>
      </c>
      <c r="P2314" t="inlineStr">
        <is>
          <t>WARREN</t>
        </is>
      </c>
      <c r="Q2314" t="inlineStr">
        <is>
          <t>OH</t>
        </is>
      </c>
      <c r="R2314" t="n">
        <v>44484</v>
      </c>
      <c r="AD2314" t="inlineStr">
        <is>
          <t>TRUMBULL CAREER &amp; TECH CENTER</t>
        </is>
      </c>
      <c r="AE2314" t="inlineStr">
        <is>
          <t>WARREN CITY</t>
        </is>
      </c>
      <c r="AF2314" t="inlineStr">
        <is>
          <t>WARREN CITY SD</t>
        </is>
      </c>
      <c r="AH2314" t="n">
        <v>14</v>
      </c>
      <c r="AI2314" t="n">
        <v>11</v>
      </c>
      <c r="AN2314" t="inlineStr">
        <is>
          <t>WARREN</t>
        </is>
      </c>
      <c r="AO2314" t="inlineStr">
        <is>
          <t>WARREN CITY 4F</t>
        </is>
      </c>
      <c r="AP2314" t="inlineStr">
        <is>
          <t>78-P-ADN</t>
        </is>
      </c>
      <c r="AQ2314" t="n">
        <v>9</v>
      </c>
      <c r="AR2314" t="n">
        <v>64</v>
      </c>
      <c r="AS2314" t="n">
        <v>32</v>
      </c>
      <c r="AU2314">
        <f>COUNTA($BA$2314:$EH$2314)</f>
        <v/>
      </c>
      <c r="AV2314">
        <f>COUNTIF($BA$2314:$EH$2314,"D")</f>
        <v/>
      </c>
      <c r="AW2314">
        <f>COUNTIF($BA$2314:$EH$2314,"R")</f>
        <v/>
      </c>
      <c r="AX2314">
        <f>IF(BN2314="D",1,0)+IF(BO2314="D",1,0)+IF(BT2314="D",1,0)+IF(BU2314="D",1,0)+IF(BW2314="D",1,0)+IF(CC2314="D",1,0)+IF(CD2314="D",1,0)+IF(CE2314="D",1,0)+IF(CF2314="D",1,0)+IF(CL2314="D",1,0)+IF(CM2314="D",1,0)+IF(CQ2314="D",1,0)+IF(CR2314="D",1,0)+IF(CS2314="D",1,0)+IF(CW2314="D",1,0)+IF(CX2314="D",1,0)+IF(DD2314="D",1,0)+IF(DE2314="D",1,0)+IF(DJ2314="D",1,0)+IF(DK2314="D",1,0)+IF(DO2314="D",1,0)+IF(DP2314="D",1,0)+IF(DQ2314="D",1,0)+IF(DW2314="D",1,0)+IF(DZ2314="D",1,0)+IF(EH2314="D",1,0)</f>
        <v/>
      </c>
      <c r="AY2314">
        <f>IF(DJ2314&lt;&gt;"",1,0)+IF(DK2314&lt;&gt;"",1,0)+IF(DM2314&lt;&gt;"",1,0)+IF(DO2314&lt;&gt;"",1,0)+IF(DP2314&lt;&gt;"",1,0)+IF(DQ2314&lt;&gt;"",1,0)+IF(DS2314&lt;&gt;"",1,0)+IF(DT2314&lt;&gt;"",1,0)+IF(DV2314&lt;&gt;"",1,0)+IF(DW2314&lt;&gt;"",1,0)+IF(DX2314&lt;&gt;"",1,0)+IF(DY2314&lt;&gt;"",1,0)+IF(DZ2314&lt;&gt;"",1,0)+IF(EB2314&lt;&gt;"",1,0)+IF(EC2314&lt;&gt;"",1,0)+IF(ED2314&lt;&gt;"",1,0)+IF(EG2314&lt;&gt;"",1,0)+IF(EH2314&lt;&gt;"",1,0)</f>
        <v/>
      </c>
      <c r="AZ2314">
        <f>IF(EH2314&lt;&gt;"",1,0)</f>
        <v/>
      </c>
      <c r="BB2314" t="inlineStr">
        <is>
          <t>WARREN-WARD 4</t>
        </is>
      </c>
    </row>
    <row r="2315">
      <c r="A2315" t="inlineStr">
        <is>
          <t>OH0015677706</t>
        </is>
      </c>
      <c r="B2315" t="n">
        <v>78</v>
      </c>
      <c r="C2315" t="n">
        <v>308913</v>
      </c>
      <c r="D2315" t="inlineStr">
        <is>
          <t>WILLIAMSON</t>
        </is>
      </c>
      <c r="E2315" t="inlineStr">
        <is>
          <t>ANTHONY</t>
        </is>
      </c>
      <c r="F2315">
        <f>CONCATENATE(D2315," ",LEFT(H2315,4),"T=",AU2315,"D=",AV2315,"R=",AW2315,"M=",AX2315,"L=",AY2315,"B=",AZ2315)</f>
        <v/>
      </c>
      <c r="G2315" t="inlineStr">
        <is>
          <t>L</t>
        </is>
      </c>
      <c r="I2315" t="inlineStr">
        <is>
          <t>1980-10-01</t>
        </is>
      </c>
      <c r="J2315" t="inlineStr">
        <is>
          <t>2025-04-07</t>
        </is>
      </c>
      <c r="K2315" t="inlineStr">
        <is>
          <t>ACTIVE</t>
        </is>
      </c>
      <c r="M2315" t="inlineStr">
        <is>
          <t>1914 CAROLINA AVE SE</t>
        </is>
      </c>
      <c r="N2315">
        <f>RIGHT(M2315,LEN(M2315)-FIND(" ",M2315))</f>
        <v/>
      </c>
      <c r="P2315" t="inlineStr">
        <is>
          <t>WARREN</t>
        </is>
      </c>
      <c r="Q2315" t="inlineStr">
        <is>
          <t>OH</t>
        </is>
      </c>
      <c r="R2315" t="n">
        <v>44484</v>
      </c>
      <c r="AD2315" t="inlineStr">
        <is>
          <t>TRUMBULL CAREER &amp; TECH CENTER</t>
        </is>
      </c>
      <c r="AE2315" t="inlineStr">
        <is>
          <t>WARREN CITY</t>
        </is>
      </c>
      <c r="AF2315" t="inlineStr">
        <is>
          <t>WARREN CITY SD</t>
        </is>
      </c>
      <c r="AH2315" t="n">
        <v>14</v>
      </c>
      <c r="AI2315" t="n">
        <v>11</v>
      </c>
      <c r="AN2315" t="inlineStr">
        <is>
          <t>WARREN</t>
        </is>
      </c>
      <c r="AO2315" t="inlineStr">
        <is>
          <t>WARREN CITY 4F</t>
        </is>
      </c>
      <c r="AP2315" t="inlineStr">
        <is>
          <t>78-P-ADN</t>
        </is>
      </c>
      <c r="AQ2315" t="n">
        <v>9</v>
      </c>
      <c r="AR2315" t="n">
        <v>64</v>
      </c>
      <c r="AS2315" t="n">
        <v>32</v>
      </c>
      <c r="AU2315">
        <f>COUNTA($BA$2315:$EH$2315)</f>
        <v/>
      </c>
      <c r="AV2315">
        <f>COUNTIF($BA$2315:$EH$2315,"D")</f>
        <v/>
      </c>
      <c r="AW2315">
        <f>COUNTIF($BA$2315:$EH$2315,"R")</f>
        <v/>
      </c>
      <c r="AX2315">
        <f>IF(BN2315="D",1,0)+IF(BO2315="D",1,0)+IF(BT2315="D",1,0)+IF(BU2315="D",1,0)+IF(BW2315="D",1,0)+IF(CC2315="D",1,0)+IF(CD2315="D",1,0)+IF(CE2315="D",1,0)+IF(CF2315="D",1,0)+IF(CL2315="D",1,0)+IF(CM2315="D",1,0)+IF(CQ2315="D",1,0)+IF(CR2315="D",1,0)+IF(CS2315="D",1,0)+IF(CW2315="D",1,0)+IF(CX2315="D",1,0)+IF(DD2315="D",1,0)+IF(DE2315="D",1,0)+IF(DJ2315="D",1,0)+IF(DK2315="D",1,0)+IF(DO2315="D",1,0)+IF(DP2315="D",1,0)+IF(DQ2315="D",1,0)+IF(DW2315="D",1,0)+IF(DZ2315="D",1,0)+IF(EH2315="D",1,0)</f>
        <v/>
      </c>
      <c r="AY2315">
        <f>IF(DJ2315&lt;&gt;"",1,0)+IF(DK2315&lt;&gt;"",1,0)+IF(DM2315&lt;&gt;"",1,0)+IF(DO2315&lt;&gt;"",1,0)+IF(DP2315&lt;&gt;"",1,0)+IF(DQ2315&lt;&gt;"",1,0)+IF(DS2315&lt;&gt;"",1,0)+IF(DT2315&lt;&gt;"",1,0)+IF(DV2315&lt;&gt;"",1,0)+IF(DW2315&lt;&gt;"",1,0)+IF(DX2315&lt;&gt;"",1,0)+IF(DY2315&lt;&gt;"",1,0)+IF(DZ2315&lt;&gt;"",1,0)+IF(EB2315&lt;&gt;"",1,0)+IF(EC2315&lt;&gt;"",1,0)+IF(ED2315&lt;&gt;"",1,0)+IF(EG2315&lt;&gt;"",1,0)+IF(EH2315&lt;&gt;"",1,0)</f>
        <v/>
      </c>
      <c r="AZ2315">
        <f>IF(EH2315&lt;&gt;"",1,0)</f>
        <v/>
      </c>
      <c r="BB2315" t="inlineStr">
        <is>
          <t>WARREN-WARD 4</t>
        </is>
      </c>
      <c r="CA2315" t="inlineStr">
        <is>
          <t>X</t>
        </is>
      </c>
      <c r="DN2315" t="inlineStr">
        <is>
          <t>X</t>
        </is>
      </c>
    </row>
    <row r="2316">
      <c r="A2316" t="inlineStr">
        <is>
          <t>OH0024297452</t>
        </is>
      </c>
      <c r="B2316" t="n">
        <v>78</v>
      </c>
      <c r="C2316" t="n">
        <v>426532</v>
      </c>
      <c r="D2316" t="inlineStr">
        <is>
          <t>MCCAULEY</t>
        </is>
      </c>
      <c r="E2316" t="inlineStr">
        <is>
          <t>DRAKE</t>
        </is>
      </c>
      <c r="F2316">
        <f>CONCATENATE(D2316," ",LEFT(H2316,4),"T=",AU2316,"D=",AV2316,"R=",AW2316,"M=",AX2316,"L=",AY2316,"B=",AZ2316)</f>
        <v/>
      </c>
      <c r="G2316" t="inlineStr">
        <is>
          <t>WILLIAM</t>
        </is>
      </c>
      <c r="I2316" t="inlineStr">
        <is>
          <t>1998-10-02</t>
        </is>
      </c>
      <c r="J2316" t="inlineStr">
        <is>
          <t>2017-05-04</t>
        </is>
      </c>
      <c r="K2316" t="inlineStr">
        <is>
          <t>CONFIRMATION</t>
        </is>
      </c>
      <c r="M2316" t="inlineStr">
        <is>
          <t>1037 EAST AVE SE</t>
        </is>
      </c>
      <c r="N2316">
        <f>RIGHT(M2316,LEN(M2316)-FIND(" ",M2316))</f>
        <v/>
      </c>
      <c r="P2316" t="inlineStr">
        <is>
          <t>WARREN</t>
        </is>
      </c>
      <c r="Q2316" t="inlineStr">
        <is>
          <t>OH</t>
        </is>
      </c>
      <c r="R2316" t="n">
        <v>44484</v>
      </c>
      <c r="AD2316" t="inlineStr">
        <is>
          <t>TRUMBULL CAREER &amp; TECH CENTER</t>
        </is>
      </c>
      <c r="AE2316" t="inlineStr">
        <is>
          <t>WARREN CITY</t>
        </is>
      </c>
      <c r="AF2316" t="inlineStr">
        <is>
          <t>WARREN CITY SD</t>
        </is>
      </c>
      <c r="AH2316" t="n">
        <v>14</v>
      </c>
      <c r="AI2316" t="n">
        <v>11</v>
      </c>
      <c r="AN2316" t="inlineStr">
        <is>
          <t>WARREN</t>
        </is>
      </c>
      <c r="AO2316" t="inlineStr">
        <is>
          <t>WARREN CITY 4F</t>
        </is>
      </c>
      <c r="AP2316" t="inlineStr">
        <is>
          <t>78-P-ADN</t>
        </is>
      </c>
      <c r="AQ2316" t="n">
        <v>9</v>
      </c>
      <c r="AR2316" t="n">
        <v>64</v>
      </c>
      <c r="AS2316" t="n">
        <v>32</v>
      </c>
      <c r="AU2316">
        <f>COUNTA($BA$2316:$EH$2316)</f>
        <v/>
      </c>
      <c r="AV2316">
        <f>COUNTIF($BA$2316:$EH$2316,"D")</f>
        <v/>
      </c>
      <c r="AW2316">
        <f>COUNTIF($BA$2316:$EH$2316,"R")</f>
        <v/>
      </c>
      <c r="AX2316">
        <f>IF(BN2316="D",1,0)+IF(BO2316="D",1,0)+IF(BT2316="D",1,0)+IF(BU2316="D",1,0)+IF(BW2316="D",1,0)+IF(CC2316="D",1,0)+IF(CD2316="D",1,0)+IF(CE2316="D",1,0)+IF(CF2316="D",1,0)+IF(CL2316="D",1,0)+IF(CM2316="D",1,0)+IF(CQ2316="D",1,0)+IF(CR2316="D",1,0)+IF(CS2316="D",1,0)+IF(CW2316="D",1,0)+IF(CX2316="D",1,0)+IF(DD2316="D",1,0)+IF(DE2316="D",1,0)+IF(DJ2316="D",1,0)+IF(DK2316="D",1,0)+IF(DO2316="D",1,0)+IF(DP2316="D",1,0)+IF(DQ2316="D",1,0)+IF(DW2316="D",1,0)+IF(DZ2316="D",1,0)+IF(EH2316="D",1,0)</f>
        <v/>
      </c>
      <c r="AY2316">
        <f>IF(DJ2316&lt;&gt;"",1,0)+IF(DK2316&lt;&gt;"",1,0)+IF(DM2316&lt;&gt;"",1,0)+IF(DO2316&lt;&gt;"",1,0)+IF(DP2316&lt;&gt;"",1,0)+IF(DQ2316&lt;&gt;"",1,0)+IF(DS2316&lt;&gt;"",1,0)+IF(DT2316&lt;&gt;"",1,0)+IF(DV2316&lt;&gt;"",1,0)+IF(DW2316&lt;&gt;"",1,0)+IF(DX2316&lt;&gt;"",1,0)+IF(DY2316&lt;&gt;"",1,0)+IF(DZ2316&lt;&gt;"",1,0)+IF(EB2316&lt;&gt;"",1,0)+IF(EC2316&lt;&gt;"",1,0)+IF(ED2316&lt;&gt;"",1,0)+IF(EG2316&lt;&gt;"",1,0)+IF(EH2316&lt;&gt;"",1,0)</f>
        <v/>
      </c>
      <c r="AZ2316">
        <f>IF(EH2316&lt;&gt;"",1,0)</f>
        <v/>
      </c>
      <c r="BB2316" t="inlineStr">
        <is>
          <t>WARREN-WARD 4</t>
        </is>
      </c>
    </row>
    <row r="2317">
      <c r="A2317" t="inlineStr">
        <is>
          <t>OH0021111976</t>
        </is>
      </c>
      <c r="B2317" t="n">
        <v>78</v>
      </c>
      <c r="C2317" t="n">
        <v>375614</v>
      </c>
      <c r="D2317" t="inlineStr">
        <is>
          <t>BENEDICT</t>
        </is>
      </c>
      <c r="E2317" t="inlineStr">
        <is>
          <t>CHERRI</t>
        </is>
      </c>
      <c r="F2317">
        <f>CONCATENATE(D2317," ",LEFT(H2317,4),"T=",AU2317,"D=",AV2317,"R=",AW2317,"M=",AX2317,"L=",AY2317,"B=",AZ2317)</f>
        <v/>
      </c>
      <c r="G2317" t="inlineStr">
        <is>
          <t>MARIE</t>
        </is>
      </c>
      <c r="I2317" t="inlineStr">
        <is>
          <t>1963-10-10</t>
        </is>
      </c>
      <c r="J2317" t="inlineStr">
        <is>
          <t>2023-04-04</t>
        </is>
      </c>
      <c r="K2317" t="inlineStr">
        <is>
          <t>ACTIVE</t>
        </is>
      </c>
      <c r="M2317" t="inlineStr">
        <is>
          <t>1581 WOODBINE AVE SE</t>
        </is>
      </c>
      <c r="N2317">
        <f>RIGHT(M2317,LEN(M2317)-FIND(" ",M2317))</f>
        <v/>
      </c>
      <c r="P2317" t="inlineStr">
        <is>
          <t>WARREN</t>
        </is>
      </c>
      <c r="Q2317" t="inlineStr">
        <is>
          <t>OH</t>
        </is>
      </c>
      <c r="R2317" t="n">
        <v>44484</v>
      </c>
      <c r="AD2317" t="inlineStr">
        <is>
          <t>TRUMBULL CAREER &amp; TECH CENTER</t>
        </is>
      </c>
      <c r="AE2317" t="inlineStr">
        <is>
          <t>WARREN CITY</t>
        </is>
      </c>
      <c r="AF2317" t="inlineStr">
        <is>
          <t>WARREN CITY SD</t>
        </is>
      </c>
      <c r="AH2317" t="n">
        <v>14</v>
      </c>
      <c r="AI2317" t="n">
        <v>11</v>
      </c>
      <c r="AN2317" t="inlineStr">
        <is>
          <t>WARREN</t>
        </is>
      </c>
      <c r="AO2317" t="inlineStr">
        <is>
          <t>WARREN CITY 4F</t>
        </is>
      </c>
      <c r="AP2317" t="inlineStr">
        <is>
          <t>78-P-ADN</t>
        </is>
      </c>
      <c r="AQ2317" t="n">
        <v>9</v>
      </c>
      <c r="AR2317" t="n">
        <v>64</v>
      </c>
      <c r="AS2317" t="n">
        <v>32</v>
      </c>
      <c r="AU2317">
        <f>COUNTA($BA$2317:$EH$2317)</f>
        <v/>
      </c>
      <c r="AV2317">
        <f>COUNTIF($BA$2317:$EH$2317,"D")</f>
        <v/>
      </c>
      <c r="AW2317">
        <f>COUNTIF($BA$2317:$EH$2317,"R")</f>
        <v/>
      </c>
      <c r="AX2317">
        <f>IF(BN2317="D",1,0)+IF(BO2317="D",1,0)+IF(BT2317="D",1,0)+IF(BU2317="D",1,0)+IF(BW2317="D",1,0)+IF(CC2317="D",1,0)+IF(CD2317="D",1,0)+IF(CE2317="D",1,0)+IF(CF2317="D",1,0)+IF(CL2317="D",1,0)+IF(CM2317="D",1,0)+IF(CQ2317="D",1,0)+IF(CR2317="D",1,0)+IF(CS2317="D",1,0)+IF(CW2317="D",1,0)+IF(CX2317="D",1,0)+IF(DD2317="D",1,0)+IF(DE2317="D",1,0)+IF(DJ2317="D",1,0)+IF(DK2317="D",1,0)+IF(DO2317="D",1,0)+IF(DP2317="D",1,0)+IF(DQ2317="D",1,0)+IF(DW2317="D",1,0)+IF(DZ2317="D",1,0)+IF(EH2317="D",1,0)</f>
        <v/>
      </c>
      <c r="AY2317">
        <f>IF(DJ2317&lt;&gt;"",1,0)+IF(DK2317&lt;&gt;"",1,0)+IF(DM2317&lt;&gt;"",1,0)+IF(DO2317&lt;&gt;"",1,0)+IF(DP2317&lt;&gt;"",1,0)+IF(DQ2317&lt;&gt;"",1,0)+IF(DS2317&lt;&gt;"",1,0)+IF(DT2317&lt;&gt;"",1,0)+IF(DV2317&lt;&gt;"",1,0)+IF(DW2317&lt;&gt;"",1,0)+IF(DX2317&lt;&gt;"",1,0)+IF(DY2317&lt;&gt;"",1,0)+IF(DZ2317&lt;&gt;"",1,0)+IF(EB2317&lt;&gt;"",1,0)+IF(EC2317&lt;&gt;"",1,0)+IF(ED2317&lt;&gt;"",1,0)+IF(EG2317&lt;&gt;"",1,0)+IF(EH2317&lt;&gt;"",1,0)</f>
        <v/>
      </c>
      <c r="AZ2317">
        <f>IF(EH2317&lt;&gt;"",1,0)</f>
        <v/>
      </c>
      <c r="BB2317" t="inlineStr">
        <is>
          <t>WARREN-WARD 4</t>
        </is>
      </c>
    </row>
    <row r="2318">
      <c r="A2318" t="inlineStr">
        <is>
          <t>OH0025720424</t>
        </is>
      </c>
      <c r="B2318" t="n">
        <v>78</v>
      </c>
      <c r="C2318" t="n">
        <v>449166</v>
      </c>
      <c r="D2318" t="inlineStr">
        <is>
          <t>LAWRENCE</t>
        </is>
      </c>
      <c r="E2318" t="inlineStr">
        <is>
          <t>TALEMA</t>
        </is>
      </c>
      <c r="F2318">
        <f>CONCATENATE(D2318," ",LEFT(H2318,4),"T=",AU2318,"D=",AV2318,"R=",AW2318,"M=",AX2318,"L=",AY2318,"B=",AZ2318)</f>
        <v/>
      </c>
      <c r="G2318" t="inlineStr">
        <is>
          <t>RENE</t>
        </is>
      </c>
      <c r="I2318" t="inlineStr">
        <is>
          <t>1990-08-06</t>
        </is>
      </c>
      <c r="J2318" t="inlineStr">
        <is>
          <t>2022-08-02</t>
        </is>
      </c>
      <c r="K2318" t="inlineStr">
        <is>
          <t>ACTIVE</t>
        </is>
      </c>
      <c r="M2318" t="inlineStr">
        <is>
          <t>1191 NILES RD SE</t>
        </is>
      </c>
      <c r="N2318">
        <f>RIGHT(M2318,LEN(M2318)-FIND(" ",M2318))</f>
        <v/>
      </c>
      <c r="P2318" t="inlineStr">
        <is>
          <t>WARREN</t>
        </is>
      </c>
      <c r="Q2318" t="inlineStr">
        <is>
          <t>OH</t>
        </is>
      </c>
      <c r="R2318" t="n">
        <v>44484</v>
      </c>
      <c r="AD2318" t="inlineStr">
        <is>
          <t>TRUMBULL CAREER &amp; TECH CENTER</t>
        </is>
      </c>
      <c r="AE2318" t="inlineStr">
        <is>
          <t>WARREN CITY</t>
        </is>
      </c>
      <c r="AF2318" t="inlineStr">
        <is>
          <t>WARREN CITY SD</t>
        </is>
      </c>
      <c r="AH2318" t="n">
        <v>14</v>
      </c>
      <c r="AI2318" t="n">
        <v>11</v>
      </c>
      <c r="AN2318" t="inlineStr">
        <is>
          <t>WARREN</t>
        </is>
      </c>
      <c r="AO2318" t="inlineStr">
        <is>
          <t>WARREN CITY 4F</t>
        </is>
      </c>
      <c r="AP2318" t="inlineStr">
        <is>
          <t>78-P-ADN</t>
        </is>
      </c>
      <c r="AQ2318" t="n">
        <v>9</v>
      </c>
      <c r="AR2318" t="n">
        <v>64</v>
      </c>
      <c r="AS2318" t="n">
        <v>32</v>
      </c>
      <c r="AU2318">
        <f>COUNTA($BA$2318:$EH$2318)</f>
        <v/>
      </c>
      <c r="AV2318">
        <f>COUNTIF($BA$2318:$EH$2318,"D")</f>
        <v/>
      </c>
      <c r="AW2318">
        <f>COUNTIF($BA$2318:$EH$2318,"R")</f>
        <v/>
      </c>
      <c r="AX2318">
        <f>IF(BN2318="D",1,0)+IF(BO2318="D",1,0)+IF(BT2318="D",1,0)+IF(BU2318="D",1,0)+IF(BW2318="D",1,0)+IF(CC2318="D",1,0)+IF(CD2318="D",1,0)+IF(CE2318="D",1,0)+IF(CF2318="D",1,0)+IF(CL2318="D",1,0)+IF(CM2318="D",1,0)+IF(CQ2318="D",1,0)+IF(CR2318="D",1,0)+IF(CS2318="D",1,0)+IF(CW2318="D",1,0)+IF(CX2318="D",1,0)+IF(DD2318="D",1,0)+IF(DE2318="D",1,0)+IF(DJ2318="D",1,0)+IF(DK2318="D",1,0)+IF(DO2318="D",1,0)+IF(DP2318="D",1,0)+IF(DQ2318="D",1,0)+IF(DW2318="D",1,0)+IF(DZ2318="D",1,0)+IF(EH2318="D",1,0)</f>
        <v/>
      </c>
      <c r="AY2318">
        <f>IF(DJ2318&lt;&gt;"",1,0)+IF(DK2318&lt;&gt;"",1,0)+IF(DM2318&lt;&gt;"",1,0)+IF(DO2318&lt;&gt;"",1,0)+IF(DP2318&lt;&gt;"",1,0)+IF(DQ2318&lt;&gt;"",1,0)+IF(DS2318&lt;&gt;"",1,0)+IF(DT2318&lt;&gt;"",1,0)+IF(DV2318&lt;&gt;"",1,0)+IF(DW2318&lt;&gt;"",1,0)+IF(DX2318&lt;&gt;"",1,0)+IF(DY2318&lt;&gt;"",1,0)+IF(DZ2318&lt;&gt;"",1,0)+IF(EB2318&lt;&gt;"",1,0)+IF(EC2318&lt;&gt;"",1,0)+IF(ED2318&lt;&gt;"",1,0)+IF(EG2318&lt;&gt;"",1,0)+IF(EH2318&lt;&gt;"",1,0)</f>
        <v/>
      </c>
      <c r="AZ2318">
        <f>IF(EH2318&lt;&gt;"",1,0)</f>
        <v/>
      </c>
      <c r="BB2318" t="inlineStr">
        <is>
          <t>WARREN-WARD 4</t>
        </is>
      </c>
      <c r="CA2318" t="inlineStr">
        <is>
          <t>X</t>
        </is>
      </c>
    </row>
    <row r="2319">
      <c r="A2319" t="inlineStr">
        <is>
          <t>OH0020944421</t>
        </is>
      </c>
      <c r="B2319" t="n">
        <v>78</v>
      </c>
      <c r="C2319" t="n">
        <v>372388</v>
      </c>
      <c r="D2319" t="inlineStr">
        <is>
          <t>ALESCI</t>
        </is>
      </c>
      <c r="E2319" t="inlineStr">
        <is>
          <t>ROBERT</t>
        </is>
      </c>
      <c r="F2319">
        <f>CONCATENATE(D2319," ",LEFT(H2319,4),"T=",AU2319,"D=",AV2319,"R=",AW2319,"M=",AX2319,"L=",AY2319,"B=",AZ2319)</f>
        <v/>
      </c>
      <c r="G2319" t="inlineStr">
        <is>
          <t>L</t>
        </is>
      </c>
      <c r="I2319" t="inlineStr">
        <is>
          <t>1966-02-23</t>
        </is>
      </c>
      <c r="J2319" t="inlineStr">
        <is>
          <t>2024-09-25</t>
        </is>
      </c>
      <c r="K2319" t="inlineStr">
        <is>
          <t>ACTIVE</t>
        </is>
      </c>
      <c r="M2319" t="inlineStr">
        <is>
          <t>1546 KENILWORTH AVE SE</t>
        </is>
      </c>
      <c r="N2319">
        <f>RIGHT(M2319,LEN(M2319)-FIND(" ",M2319))</f>
        <v/>
      </c>
      <c r="P2319" t="inlineStr">
        <is>
          <t>WARREN</t>
        </is>
      </c>
      <c r="Q2319" t="inlineStr">
        <is>
          <t>OH</t>
        </is>
      </c>
      <c r="R2319" t="n">
        <v>44484</v>
      </c>
      <c r="AD2319" t="inlineStr">
        <is>
          <t>TRUMBULL CAREER &amp; TECH CENTER</t>
        </is>
      </c>
      <c r="AE2319" t="inlineStr">
        <is>
          <t>WARREN CITY</t>
        </is>
      </c>
      <c r="AF2319" t="inlineStr">
        <is>
          <t>WARREN CITY SD</t>
        </is>
      </c>
      <c r="AH2319" t="n">
        <v>14</v>
      </c>
      <c r="AI2319" t="n">
        <v>11</v>
      </c>
      <c r="AN2319" t="inlineStr">
        <is>
          <t>WARREN</t>
        </is>
      </c>
      <c r="AO2319" t="inlineStr">
        <is>
          <t>WARREN CITY 4F</t>
        </is>
      </c>
      <c r="AP2319" t="inlineStr">
        <is>
          <t>78-P-ADN</t>
        </is>
      </c>
      <c r="AQ2319" t="n">
        <v>9</v>
      </c>
      <c r="AR2319" t="n">
        <v>64</v>
      </c>
      <c r="AS2319" t="n">
        <v>32</v>
      </c>
      <c r="AU2319">
        <f>COUNTA($BA$2319:$EH$2319)</f>
        <v/>
      </c>
      <c r="AV2319">
        <f>COUNTIF($BA$2319:$EH$2319,"D")</f>
        <v/>
      </c>
      <c r="AW2319">
        <f>COUNTIF($BA$2319:$EH$2319,"R")</f>
        <v/>
      </c>
      <c r="AX2319">
        <f>IF(BN2319="D",1,0)+IF(BO2319="D",1,0)+IF(BT2319="D",1,0)+IF(BU2319="D",1,0)+IF(BW2319="D",1,0)+IF(CC2319="D",1,0)+IF(CD2319="D",1,0)+IF(CE2319="D",1,0)+IF(CF2319="D",1,0)+IF(CL2319="D",1,0)+IF(CM2319="D",1,0)+IF(CQ2319="D",1,0)+IF(CR2319="D",1,0)+IF(CS2319="D",1,0)+IF(CW2319="D",1,0)+IF(CX2319="D",1,0)+IF(DD2319="D",1,0)+IF(DE2319="D",1,0)+IF(DJ2319="D",1,0)+IF(DK2319="D",1,0)+IF(DO2319="D",1,0)+IF(DP2319="D",1,0)+IF(DQ2319="D",1,0)+IF(DW2319="D",1,0)+IF(DZ2319="D",1,0)+IF(EH2319="D",1,0)</f>
        <v/>
      </c>
      <c r="AY2319">
        <f>IF(DJ2319&lt;&gt;"",1,0)+IF(DK2319&lt;&gt;"",1,0)+IF(DM2319&lt;&gt;"",1,0)+IF(DO2319&lt;&gt;"",1,0)+IF(DP2319&lt;&gt;"",1,0)+IF(DQ2319&lt;&gt;"",1,0)+IF(DS2319&lt;&gt;"",1,0)+IF(DT2319&lt;&gt;"",1,0)+IF(DV2319&lt;&gt;"",1,0)+IF(DW2319&lt;&gt;"",1,0)+IF(DX2319&lt;&gt;"",1,0)+IF(DY2319&lt;&gt;"",1,0)+IF(DZ2319&lt;&gt;"",1,0)+IF(EB2319&lt;&gt;"",1,0)+IF(EC2319&lt;&gt;"",1,0)+IF(ED2319&lt;&gt;"",1,0)+IF(EG2319&lt;&gt;"",1,0)+IF(EH2319&lt;&gt;"",1,0)</f>
        <v/>
      </c>
      <c r="AZ2319">
        <f>IF(EH2319&lt;&gt;"",1,0)</f>
        <v/>
      </c>
      <c r="BB2319" t="inlineStr">
        <is>
          <t>WARREN-WARD 4</t>
        </is>
      </c>
      <c r="CP2319" t="inlineStr">
        <is>
          <t>X</t>
        </is>
      </c>
      <c r="DC2319" t="inlineStr">
        <is>
          <t>X</t>
        </is>
      </c>
      <c r="DN2319" t="inlineStr">
        <is>
          <t>X</t>
        </is>
      </c>
      <c r="DU2319" t="inlineStr">
        <is>
          <t>X</t>
        </is>
      </c>
      <c r="EF2319" t="inlineStr">
        <is>
          <t>X</t>
        </is>
      </c>
    </row>
    <row r="2320">
      <c r="A2320" t="inlineStr">
        <is>
          <t>OH0020306157</t>
        </is>
      </c>
      <c r="B2320" t="n">
        <v>78</v>
      </c>
      <c r="C2320" t="n">
        <v>366081</v>
      </c>
      <c r="D2320" t="inlineStr">
        <is>
          <t>ROYSTER</t>
        </is>
      </c>
      <c r="E2320" t="inlineStr">
        <is>
          <t>DENITA</t>
        </is>
      </c>
      <c r="F2320">
        <f>CONCATENATE(D2320," ",LEFT(H2320,4),"T=",AU2320,"D=",AV2320,"R=",AW2320,"M=",AX2320,"L=",AY2320,"B=",AZ2320)</f>
        <v/>
      </c>
      <c r="G2320" t="inlineStr">
        <is>
          <t>L</t>
        </is>
      </c>
      <c r="I2320" t="inlineStr">
        <is>
          <t>1958-09-01</t>
        </is>
      </c>
      <c r="J2320" t="inlineStr">
        <is>
          <t>2021-10-30</t>
        </is>
      </c>
      <c r="K2320" t="inlineStr">
        <is>
          <t>ACTIVE</t>
        </is>
      </c>
      <c r="L2320" t="inlineStr">
        <is>
          <t>D</t>
        </is>
      </c>
      <c r="M2320" t="inlineStr">
        <is>
          <t>1566 KENILWORTH AVE SE</t>
        </is>
      </c>
      <c r="N2320">
        <f>RIGHT(M2320,LEN(M2320)-FIND(" ",M2320))</f>
        <v/>
      </c>
      <c r="P2320" t="inlineStr">
        <is>
          <t>WARREN</t>
        </is>
      </c>
      <c r="Q2320" t="inlineStr">
        <is>
          <t>OH</t>
        </is>
      </c>
      <c r="R2320" t="n">
        <v>44484</v>
      </c>
      <c r="AD2320" t="inlineStr">
        <is>
          <t>TRUMBULL CAREER &amp; TECH CENTER</t>
        </is>
      </c>
      <c r="AE2320" t="inlineStr">
        <is>
          <t>WARREN CITY</t>
        </is>
      </c>
      <c r="AF2320" t="inlineStr">
        <is>
          <t>WARREN CITY SD</t>
        </is>
      </c>
      <c r="AH2320" t="n">
        <v>14</v>
      </c>
      <c r="AI2320" t="n">
        <v>11</v>
      </c>
      <c r="AN2320" t="inlineStr">
        <is>
          <t>WARREN</t>
        </is>
      </c>
      <c r="AO2320" t="inlineStr">
        <is>
          <t>WARREN CITY 4F</t>
        </is>
      </c>
      <c r="AP2320" t="inlineStr">
        <is>
          <t>78-P-ADN</t>
        </is>
      </c>
      <c r="AQ2320" t="n">
        <v>9</v>
      </c>
      <c r="AR2320" t="n">
        <v>64</v>
      </c>
      <c r="AS2320" t="n">
        <v>32</v>
      </c>
      <c r="AU2320">
        <f>COUNTA($BA$2320:$EH$2320)</f>
        <v/>
      </c>
      <c r="AV2320">
        <f>COUNTIF($BA$2320:$EH$2320,"D")</f>
        <v/>
      </c>
      <c r="AW2320">
        <f>COUNTIF($BA$2320:$EH$2320,"R")</f>
        <v/>
      </c>
      <c r="AX2320">
        <f>IF(BN2320="D",1,0)+IF(BO2320="D",1,0)+IF(BT2320="D",1,0)+IF(BU2320="D",1,0)+IF(BW2320="D",1,0)+IF(CC2320="D",1,0)+IF(CD2320="D",1,0)+IF(CE2320="D",1,0)+IF(CF2320="D",1,0)+IF(CL2320="D",1,0)+IF(CM2320="D",1,0)+IF(CQ2320="D",1,0)+IF(CR2320="D",1,0)+IF(CS2320="D",1,0)+IF(CW2320="D",1,0)+IF(CX2320="D",1,0)+IF(DD2320="D",1,0)+IF(DE2320="D",1,0)+IF(DJ2320="D",1,0)+IF(DK2320="D",1,0)+IF(DO2320="D",1,0)+IF(DP2320="D",1,0)+IF(DQ2320="D",1,0)+IF(DW2320="D",1,0)+IF(DZ2320="D",1,0)+IF(EH2320="D",1,0)</f>
        <v/>
      </c>
      <c r="AY2320">
        <f>IF(DJ2320&lt;&gt;"",1,0)+IF(DK2320&lt;&gt;"",1,0)+IF(DM2320&lt;&gt;"",1,0)+IF(DO2320&lt;&gt;"",1,0)+IF(DP2320&lt;&gt;"",1,0)+IF(DQ2320&lt;&gt;"",1,0)+IF(DS2320&lt;&gt;"",1,0)+IF(DT2320&lt;&gt;"",1,0)+IF(DV2320&lt;&gt;"",1,0)+IF(DW2320&lt;&gt;"",1,0)+IF(DX2320&lt;&gt;"",1,0)+IF(DY2320&lt;&gt;"",1,0)+IF(DZ2320&lt;&gt;"",1,0)+IF(EB2320&lt;&gt;"",1,0)+IF(EC2320&lt;&gt;"",1,0)+IF(ED2320&lt;&gt;"",1,0)+IF(EG2320&lt;&gt;"",1,0)+IF(EH2320&lt;&gt;"",1,0)</f>
        <v/>
      </c>
      <c r="AZ2320">
        <f>IF(EH2320&lt;&gt;"",1,0)</f>
        <v/>
      </c>
      <c r="BB2320" t="inlineStr">
        <is>
          <t>WARREN-WARD 4</t>
        </is>
      </c>
      <c r="CA2320" t="inlineStr">
        <is>
          <t>X</t>
        </is>
      </c>
      <c r="CG2320" t="inlineStr">
        <is>
          <t>X</t>
        </is>
      </c>
      <c r="CH2320" t="inlineStr">
        <is>
          <t>D</t>
        </is>
      </c>
      <c r="CK2320" t="inlineStr">
        <is>
          <t>X</t>
        </is>
      </c>
      <c r="CN2320" t="inlineStr">
        <is>
          <t>X</t>
        </is>
      </c>
      <c r="CO2320" t="inlineStr">
        <is>
          <t>D</t>
        </is>
      </c>
      <c r="CP2320" t="inlineStr">
        <is>
          <t>X</t>
        </is>
      </c>
      <c r="CV2320" t="inlineStr">
        <is>
          <t>X</t>
        </is>
      </c>
      <c r="DC2320" t="inlineStr">
        <is>
          <t>X</t>
        </is>
      </c>
      <c r="DH2320" t="inlineStr">
        <is>
          <t>X</t>
        </is>
      </c>
      <c r="DI2320" t="inlineStr">
        <is>
          <t>X</t>
        </is>
      </c>
      <c r="DL2320" t="inlineStr">
        <is>
          <t>X</t>
        </is>
      </c>
      <c r="DM2320" t="inlineStr">
        <is>
          <t>D</t>
        </is>
      </c>
      <c r="DN2320" t="inlineStr">
        <is>
          <t>X</t>
        </is>
      </c>
      <c r="DR2320" t="inlineStr">
        <is>
          <t>X</t>
        </is>
      </c>
      <c r="DU2320" t="inlineStr">
        <is>
          <t>X</t>
        </is>
      </c>
      <c r="DW2320" t="inlineStr">
        <is>
          <t>D</t>
        </is>
      </c>
      <c r="DX2320" t="inlineStr">
        <is>
          <t>X</t>
        </is>
      </c>
      <c r="EA2320" t="inlineStr">
        <is>
          <t>X</t>
        </is>
      </c>
      <c r="EF2320" t="inlineStr">
        <is>
          <t>X</t>
        </is>
      </c>
    </row>
    <row r="2321">
      <c r="A2321" t="inlineStr">
        <is>
          <t>OH0015811604</t>
        </is>
      </c>
      <c r="B2321" t="n">
        <v>78</v>
      </c>
      <c r="C2321" t="n">
        <v>291987</v>
      </c>
      <c r="D2321" t="inlineStr">
        <is>
          <t>BENNETT</t>
        </is>
      </c>
      <c r="E2321" t="inlineStr">
        <is>
          <t>DEBORAH</t>
        </is>
      </c>
      <c r="F2321">
        <f>CONCATENATE(D2321," ",LEFT(H2321,4),"T=",AU2321,"D=",AV2321,"R=",AW2321,"M=",AX2321,"L=",AY2321,"B=",AZ2321)</f>
        <v/>
      </c>
      <c r="G2321" t="inlineStr">
        <is>
          <t>S</t>
        </is>
      </c>
      <c r="I2321" t="inlineStr">
        <is>
          <t>1961-01-24</t>
        </is>
      </c>
      <c r="J2321" t="inlineStr">
        <is>
          <t>2024-08-06</t>
        </is>
      </c>
      <c r="K2321" t="inlineStr">
        <is>
          <t>ACTIVE</t>
        </is>
      </c>
      <c r="L2321" t="inlineStr">
        <is>
          <t>D</t>
        </is>
      </c>
      <c r="M2321" t="inlineStr">
        <is>
          <t>1130 KENILWORTH AVE SE</t>
        </is>
      </c>
      <c r="N2321">
        <f>RIGHT(M2321,LEN(M2321)-FIND(" ",M2321))</f>
        <v/>
      </c>
      <c r="P2321" t="inlineStr">
        <is>
          <t>WARREN</t>
        </is>
      </c>
      <c r="Q2321" t="inlineStr">
        <is>
          <t>OH</t>
        </is>
      </c>
      <c r="R2321" t="n">
        <v>44484</v>
      </c>
      <c r="AD2321" t="inlineStr">
        <is>
          <t>TRUMBULL CAREER &amp; TECH CENTER</t>
        </is>
      </c>
      <c r="AE2321" t="inlineStr">
        <is>
          <t>WARREN CITY</t>
        </is>
      </c>
      <c r="AF2321" t="inlineStr">
        <is>
          <t>WARREN CITY SD</t>
        </is>
      </c>
      <c r="AH2321" t="n">
        <v>14</v>
      </c>
      <c r="AI2321" t="n">
        <v>11</v>
      </c>
      <c r="AN2321" t="inlineStr">
        <is>
          <t>WARREN</t>
        </is>
      </c>
      <c r="AO2321" t="inlineStr">
        <is>
          <t>WARREN CITY 4F</t>
        </is>
      </c>
      <c r="AP2321" t="inlineStr">
        <is>
          <t>78-P-ADN</t>
        </is>
      </c>
      <c r="AQ2321" t="n">
        <v>9</v>
      </c>
      <c r="AR2321" t="n">
        <v>64</v>
      </c>
      <c r="AS2321" t="n">
        <v>32</v>
      </c>
      <c r="AU2321">
        <f>COUNTA($BA$2321:$EH$2321)</f>
        <v/>
      </c>
      <c r="AV2321">
        <f>COUNTIF($BA$2321:$EH$2321,"D")</f>
        <v/>
      </c>
      <c r="AW2321">
        <f>COUNTIF($BA$2321:$EH$2321,"R")</f>
        <v/>
      </c>
      <c r="AX2321">
        <f>IF(BN2321="D",1,0)+IF(BO2321="D",1,0)+IF(BT2321="D",1,0)+IF(BU2321="D",1,0)+IF(BW2321="D",1,0)+IF(CC2321="D",1,0)+IF(CD2321="D",1,0)+IF(CE2321="D",1,0)+IF(CF2321="D",1,0)+IF(CL2321="D",1,0)+IF(CM2321="D",1,0)+IF(CQ2321="D",1,0)+IF(CR2321="D",1,0)+IF(CS2321="D",1,0)+IF(CW2321="D",1,0)+IF(CX2321="D",1,0)+IF(DD2321="D",1,0)+IF(DE2321="D",1,0)+IF(DJ2321="D",1,0)+IF(DK2321="D",1,0)+IF(DO2321="D",1,0)+IF(DP2321="D",1,0)+IF(DQ2321="D",1,0)+IF(DW2321="D",1,0)+IF(DZ2321="D",1,0)+IF(EH2321="D",1,0)</f>
        <v/>
      </c>
      <c r="AY2321">
        <f>IF(DJ2321&lt;&gt;"",1,0)+IF(DK2321&lt;&gt;"",1,0)+IF(DM2321&lt;&gt;"",1,0)+IF(DO2321&lt;&gt;"",1,0)+IF(DP2321&lt;&gt;"",1,0)+IF(DQ2321&lt;&gt;"",1,0)+IF(DS2321&lt;&gt;"",1,0)+IF(DT2321&lt;&gt;"",1,0)+IF(DV2321&lt;&gt;"",1,0)+IF(DW2321&lt;&gt;"",1,0)+IF(DX2321&lt;&gt;"",1,0)+IF(DY2321&lt;&gt;"",1,0)+IF(DZ2321&lt;&gt;"",1,0)+IF(EB2321&lt;&gt;"",1,0)+IF(EC2321&lt;&gt;"",1,0)+IF(ED2321&lt;&gt;"",1,0)+IF(EG2321&lt;&gt;"",1,0)+IF(EH2321&lt;&gt;"",1,0)</f>
        <v/>
      </c>
      <c r="AZ2321">
        <f>IF(EH2321&lt;&gt;"",1,0)</f>
        <v/>
      </c>
      <c r="BB2321" t="inlineStr">
        <is>
          <t>WARREN-WARD 4</t>
        </is>
      </c>
      <c r="BC2321" t="inlineStr">
        <is>
          <t>X</t>
        </is>
      </c>
      <c r="BD2321" t="inlineStr">
        <is>
          <t>X</t>
        </is>
      </c>
      <c r="BL2321" t="inlineStr">
        <is>
          <t>X</t>
        </is>
      </c>
      <c r="BY2321" t="inlineStr">
        <is>
          <t>D</t>
        </is>
      </c>
      <c r="CA2321" t="inlineStr">
        <is>
          <t>X</t>
        </is>
      </c>
      <c r="CK2321" t="inlineStr">
        <is>
          <t>X</t>
        </is>
      </c>
      <c r="CL2321" t="inlineStr">
        <is>
          <t>D</t>
        </is>
      </c>
      <c r="CN2321" t="inlineStr">
        <is>
          <t>X</t>
        </is>
      </c>
      <c r="CP2321" t="inlineStr">
        <is>
          <t>X</t>
        </is>
      </c>
      <c r="CW2321" t="inlineStr">
        <is>
          <t>D</t>
        </is>
      </c>
      <c r="CY2321" t="inlineStr">
        <is>
          <t>X</t>
        </is>
      </c>
      <c r="DC2321" t="inlineStr">
        <is>
          <t>X</t>
        </is>
      </c>
      <c r="DD2321" t="inlineStr">
        <is>
          <t>D</t>
        </is>
      </c>
      <c r="DG2321" t="inlineStr">
        <is>
          <t>D</t>
        </is>
      </c>
      <c r="DI2321" t="inlineStr">
        <is>
          <t>X</t>
        </is>
      </c>
      <c r="DL2321" t="inlineStr">
        <is>
          <t>X</t>
        </is>
      </c>
      <c r="DM2321" t="inlineStr">
        <is>
          <t>D</t>
        </is>
      </c>
      <c r="DN2321" t="inlineStr">
        <is>
          <t>X</t>
        </is>
      </c>
      <c r="DS2321" t="inlineStr">
        <is>
          <t>D</t>
        </is>
      </c>
      <c r="DU2321" t="inlineStr">
        <is>
          <t>X</t>
        </is>
      </c>
      <c r="DW2321" t="inlineStr">
        <is>
          <t>D</t>
        </is>
      </c>
      <c r="DX2321" t="inlineStr">
        <is>
          <t>X</t>
        </is>
      </c>
      <c r="EA2321" t="inlineStr">
        <is>
          <t>X</t>
        </is>
      </c>
      <c r="ED2321" t="inlineStr">
        <is>
          <t>D</t>
        </is>
      </c>
      <c r="EF2321" t="inlineStr">
        <is>
          <t>X</t>
        </is>
      </c>
    </row>
    <row r="2322">
      <c r="A2322" t="inlineStr">
        <is>
          <t>OH0025720548</t>
        </is>
      </c>
      <c r="B2322" t="n">
        <v>78</v>
      </c>
      <c r="C2322" t="n">
        <v>449273</v>
      </c>
      <c r="D2322" t="inlineStr">
        <is>
          <t>PERKINS</t>
        </is>
      </c>
      <c r="E2322" t="inlineStr">
        <is>
          <t>DUSTIN</t>
        </is>
      </c>
      <c r="F2322">
        <f>CONCATENATE(D2322," ",LEFT(H2322,4),"T=",AU2322,"D=",AV2322,"R=",AW2322,"M=",AX2322,"L=",AY2322,"B=",AZ2322)</f>
        <v/>
      </c>
      <c r="G2322" t="inlineStr">
        <is>
          <t>L</t>
        </is>
      </c>
      <c r="I2322" t="inlineStr">
        <is>
          <t>1985-09-11</t>
        </is>
      </c>
      <c r="J2322" t="inlineStr">
        <is>
          <t>2020-08-21</t>
        </is>
      </c>
      <c r="K2322" t="inlineStr">
        <is>
          <t>ACTIVE</t>
        </is>
      </c>
      <c r="L2322" t="inlineStr">
        <is>
          <t>D</t>
        </is>
      </c>
      <c r="M2322" t="inlineStr">
        <is>
          <t>1864 DRAPER AVE SE</t>
        </is>
      </c>
      <c r="N2322">
        <f>RIGHT(M2322,LEN(M2322)-FIND(" ",M2322))</f>
        <v/>
      </c>
      <c r="P2322" t="inlineStr">
        <is>
          <t>WARREN</t>
        </is>
      </c>
      <c r="Q2322" t="inlineStr">
        <is>
          <t>OH</t>
        </is>
      </c>
      <c r="R2322" t="n">
        <v>44484</v>
      </c>
      <c r="AD2322" t="inlineStr">
        <is>
          <t>TRUMBULL CAREER &amp; TECH CENTER</t>
        </is>
      </c>
      <c r="AE2322" t="inlineStr">
        <is>
          <t>WARREN CITY</t>
        </is>
      </c>
      <c r="AF2322" t="inlineStr">
        <is>
          <t>WARREN CITY SD</t>
        </is>
      </c>
      <c r="AH2322" t="n">
        <v>14</v>
      </c>
      <c r="AI2322" t="n">
        <v>11</v>
      </c>
      <c r="AN2322" t="inlineStr">
        <is>
          <t>WARREN</t>
        </is>
      </c>
      <c r="AO2322" t="inlineStr">
        <is>
          <t>WARREN CITY 4F</t>
        </is>
      </c>
      <c r="AP2322" t="inlineStr">
        <is>
          <t>78-P-ADN</t>
        </is>
      </c>
      <c r="AQ2322" t="n">
        <v>9</v>
      </c>
      <c r="AR2322" t="n">
        <v>64</v>
      </c>
      <c r="AS2322" t="n">
        <v>32</v>
      </c>
      <c r="AU2322">
        <f>COUNTA($BA$2322:$EH$2322)</f>
        <v/>
      </c>
      <c r="AV2322">
        <f>COUNTIF($BA$2322:$EH$2322,"D")</f>
        <v/>
      </c>
      <c r="AW2322">
        <f>COUNTIF($BA$2322:$EH$2322,"R")</f>
        <v/>
      </c>
      <c r="AX2322">
        <f>IF(BN2322="D",1,0)+IF(BO2322="D",1,0)+IF(BT2322="D",1,0)+IF(BU2322="D",1,0)+IF(BW2322="D",1,0)+IF(CC2322="D",1,0)+IF(CD2322="D",1,0)+IF(CE2322="D",1,0)+IF(CF2322="D",1,0)+IF(CL2322="D",1,0)+IF(CM2322="D",1,0)+IF(CQ2322="D",1,0)+IF(CR2322="D",1,0)+IF(CS2322="D",1,0)+IF(CW2322="D",1,0)+IF(CX2322="D",1,0)+IF(DD2322="D",1,0)+IF(DE2322="D",1,0)+IF(DJ2322="D",1,0)+IF(DK2322="D",1,0)+IF(DO2322="D",1,0)+IF(DP2322="D",1,0)+IF(DQ2322="D",1,0)+IF(DW2322="D",1,0)+IF(DZ2322="D",1,0)+IF(EH2322="D",1,0)</f>
        <v/>
      </c>
      <c r="AY2322">
        <f>IF(DJ2322&lt;&gt;"",1,0)+IF(DK2322&lt;&gt;"",1,0)+IF(DM2322&lt;&gt;"",1,0)+IF(DO2322&lt;&gt;"",1,0)+IF(DP2322&lt;&gt;"",1,0)+IF(DQ2322&lt;&gt;"",1,0)+IF(DS2322&lt;&gt;"",1,0)+IF(DT2322&lt;&gt;"",1,0)+IF(DV2322&lt;&gt;"",1,0)+IF(DW2322&lt;&gt;"",1,0)+IF(DX2322&lt;&gt;"",1,0)+IF(DY2322&lt;&gt;"",1,0)+IF(DZ2322&lt;&gt;"",1,0)+IF(EB2322&lt;&gt;"",1,0)+IF(EC2322&lt;&gt;"",1,0)+IF(ED2322&lt;&gt;"",1,0)+IF(EG2322&lt;&gt;"",1,0)+IF(EH2322&lt;&gt;"",1,0)</f>
        <v/>
      </c>
      <c r="AZ2322">
        <f>IF(EH2322&lt;&gt;"",1,0)</f>
        <v/>
      </c>
      <c r="BB2322" t="inlineStr">
        <is>
          <t>WARREN-WARD 4</t>
        </is>
      </c>
      <c r="BJ2322" t="inlineStr">
        <is>
          <t>X</t>
        </is>
      </c>
      <c r="BK2322" t="inlineStr">
        <is>
          <t>X</t>
        </is>
      </c>
      <c r="BY2322" t="inlineStr">
        <is>
          <t>D</t>
        </is>
      </c>
      <c r="CA2322" t="inlineStr">
        <is>
          <t>X</t>
        </is>
      </c>
      <c r="CP2322" t="inlineStr">
        <is>
          <t>X</t>
        </is>
      </c>
      <c r="DN2322" t="inlineStr">
        <is>
          <t>X</t>
        </is>
      </c>
      <c r="DS2322" t="inlineStr">
        <is>
          <t>D</t>
        </is>
      </c>
      <c r="DU2322" t="inlineStr">
        <is>
          <t>X</t>
        </is>
      </c>
    </row>
    <row r="2323">
      <c r="A2323" t="inlineStr">
        <is>
          <t>OH0025116671</t>
        </is>
      </c>
      <c r="B2323" t="n">
        <v>78</v>
      </c>
      <c r="C2323" t="n">
        <v>439782</v>
      </c>
      <c r="D2323" t="inlineStr">
        <is>
          <t>TRULY</t>
        </is>
      </c>
      <c r="E2323" t="inlineStr">
        <is>
          <t>JORDAN</t>
        </is>
      </c>
      <c r="F2323">
        <f>CONCATENATE(D2323," ",LEFT(H2323,4),"T=",AU2323,"D=",AV2323,"R=",AW2323,"M=",AX2323,"L=",AY2323,"B=",AZ2323)</f>
        <v/>
      </c>
      <c r="G2323" t="inlineStr">
        <is>
          <t>DEAJAHA</t>
        </is>
      </c>
      <c r="I2323" t="inlineStr">
        <is>
          <t>2000-04-21</t>
        </is>
      </c>
      <c r="J2323" t="inlineStr">
        <is>
          <t>2019-05-14</t>
        </is>
      </c>
      <c r="K2323" t="inlineStr">
        <is>
          <t>CONFIRMATION</t>
        </is>
      </c>
      <c r="M2323" t="inlineStr">
        <is>
          <t>966 HOMEWOOD AVE SE</t>
        </is>
      </c>
      <c r="N2323">
        <f>RIGHT(M2323,LEN(M2323)-FIND(" ",M2323))</f>
        <v/>
      </c>
      <c r="P2323" t="inlineStr">
        <is>
          <t>WARREN</t>
        </is>
      </c>
      <c r="Q2323" t="inlineStr">
        <is>
          <t>OH</t>
        </is>
      </c>
      <c r="R2323" t="n">
        <v>44484</v>
      </c>
      <c r="AD2323" t="inlineStr">
        <is>
          <t>TRUMBULL CAREER &amp; TECH CENTER</t>
        </is>
      </c>
      <c r="AE2323" t="inlineStr">
        <is>
          <t>WARREN CITY</t>
        </is>
      </c>
      <c r="AF2323" t="inlineStr">
        <is>
          <t>WARREN CITY SD</t>
        </is>
      </c>
      <c r="AH2323" t="n">
        <v>14</v>
      </c>
      <c r="AI2323" t="n">
        <v>11</v>
      </c>
      <c r="AN2323" t="inlineStr">
        <is>
          <t>WARREN</t>
        </is>
      </c>
      <c r="AO2323" t="inlineStr">
        <is>
          <t>WARREN CITY 4F</t>
        </is>
      </c>
      <c r="AP2323" t="inlineStr">
        <is>
          <t>78-P-ADN</t>
        </is>
      </c>
      <c r="AQ2323" t="n">
        <v>9</v>
      </c>
      <c r="AR2323" t="n">
        <v>64</v>
      </c>
      <c r="AS2323" t="n">
        <v>32</v>
      </c>
      <c r="AU2323">
        <f>COUNTA($BA$2323:$EH$2323)</f>
        <v/>
      </c>
      <c r="AV2323">
        <f>COUNTIF($BA$2323:$EH$2323,"D")</f>
        <v/>
      </c>
      <c r="AW2323">
        <f>COUNTIF($BA$2323:$EH$2323,"R")</f>
        <v/>
      </c>
      <c r="AX2323">
        <f>IF(BN2323="D",1,0)+IF(BO2323="D",1,0)+IF(BT2323="D",1,0)+IF(BU2323="D",1,0)+IF(BW2323="D",1,0)+IF(CC2323="D",1,0)+IF(CD2323="D",1,0)+IF(CE2323="D",1,0)+IF(CF2323="D",1,0)+IF(CL2323="D",1,0)+IF(CM2323="D",1,0)+IF(CQ2323="D",1,0)+IF(CR2323="D",1,0)+IF(CS2323="D",1,0)+IF(CW2323="D",1,0)+IF(CX2323="D",1,0)+IF(DD2323="D",1,0)+IF(DE2323="D",1,0)+IF(DJ2323="D",1,0)+IF(DK2323="D",1,0)+IF(DO2323="D",1,0)+IF(DP2323="D",1,0)+IF(DQ2323="D",1,0)+IF(DW2323="D",1,0)+IF(DZ2323="D",1,0)+IF(EH2323="D",1,0)</f>
        <v/>
      </c>
      <c r="AY2323">
        <f>IF(DJ2323&lt;&gt;"",1,0)+IF(DK2323&lt;&gt;"",1,0)+IF(DM2323&lt;&gt;"",1,0)+IF(DO2323&lt;&gt;"",1,0)+IF(DP2323&lt;&gt;"",1,0)+IF(DQ2323&lt;&gt;"",1,0)+IF(DS2323&lt;&gt;"",1,0)+IF(DT2323&lt;&gt;"",1,0)+IF(DV2323&lt;&gt;"",1,0)+IF(DW2323&lt;&gt;"",1,0)+IF(DX2323&lt;&gt;"",1,0)+IF(DY2323&lt;&gt;"",1,0)+IF(DZ2323&lt;&gt;"",1,0)+IF(EB2323&lt;&gt;"",1,0)+IF(EC2323&lt;&gt;"",1,0)+IF(ED2323&lt;&gt;"",1,0)+IF(EG2323&lt;&gt;"",1,0)+IF(EH2323&lt;&gt;"",1,0)</f>
        <v/>
      </c>
      <c r="AZ2323">
        <f>IF(EH2323&lt;&gt;"",1,0)</f>
        <v/>
      </c>
      <c r="BB2323" t="inlineStr">
        <is>
          <t>WARREN-WARD 4</t>
        </is>
      </c>
    </row>
    <row r="2324">
      <c r="A2324" t="inlineStr">
        <is>
          <t>OH0023629348</t>
        </is>
      </c>
      <c r="B2324" t="n">
        <v>78</v>
      </c>
      <c r="C2324" t="n">
        <v>414928</v>
      </c>
      <c r="D2324" t="inlineStr">
        <is>
          <t>MALCOMSON</t>
        </is>
      </c>
      <c r="E2324" t="inlineStr">
        <is>
          <t>DILLEN</t>
        </is>
      </c>
      <c r="F2324">
        <f>CONCATENATE(D2324," ",LEFT(H2324,4),"T=",AU2324,"D=",AV2324,"R=",AW2324,"M=",AX2324,"L=",AY2324,"B=",AZ2324)</f>
        <v/>
      </c>
      <c r="G2324" t="inlineStr">
        <is>
          <t>J</t>
        </is>
      </c>
      <c r="I2324" t="inlineStr">
        <is>
          <t>1998-03-24</t>
        </is>
      </c>
      <c r="J2324" t="inlineStr">
        <is>
          <t>2016-04-15</t>
        </is>
      </c>
      <c r="K2324" t="inlineStr">
        <is>
          <t>ACTIVE</t>
        </is>
      </c>
      <c r="M2324" t="inlineStr">
        <is>
          <t>1094 EAST AVE SE</t>
        </is>
      </c>
      <c r="N2324">
        <f>RIGHT(M2324,LEN(M2324)-FIND(" ",M2324))</f>
        <v/>
      </c>
      <c r="P2324" t="inlineStr">
        <is>
          <t>WARREN</t>
        </is>
      </c>
      <c r="Q2324" t="inlineStr">
        <is>
          <t>OH</t>
        </is>
      </c>
      <c r="R2324" t="n">
        <v>44484</v>
      </c>
      <c r="AD2324" t="inlineStr">
        <is>
          <t>TRUMBULL CAREER &amp; TECH CENTER</t>
        </is>
      </c>
      <c r="AE2324" t="inlineStr">
        <is>
          <t>WARREN CITY</t>
        </is>
      </c>
      <c r="AF2324" t="inlineStr">
        <is>
          <t>WARREN CITY SD</t>
        </is>
      </c>
      <c r="AH2324" t="n">
        <v>14</v>
      </c>
      <c r="AI2324" t="n">
        <v>11</v>
      </c>
      <c r="AN2324" t="inlineStr">
        <is>
          <t>WARREN</t>
        </is>
      </c>
      <c r="AO2324" t="inlineStr">
        <is>
          <t>WARREN CITY 4F</t>
        </is>
      </c>
      <c r="AP2324" t="inlineStr">
        <is>
          <t>78-P-ADN</t>
        </is>
      </c>
      <c r="AQ2324" t="n">
        <v>9</v>
      </c>
      <c r="AR2324" t="n">
        <v>64</v>
      </c>
      <c r="AS2324" t="n">
        <v>32</v>
      </c>
      <c r="AU2324">
        <f>COUNTA($BA$2324:$EH$2324)</f>
        <v/>
      </c>
      <c r="AV2324">
        <f>COUNTIF($BA$2324:$EH$2324,"D")</f>
        <v/>
      </c>
      <c r="AW2324">
        <f>COUNTIF($BA$2324:$EH$2324,"R")</f>
        <v/>
      </c>
      <c r="AX2324">
        <f>IF(BN2324="D",1,0)+IF(BO2324="D",1,0)+IF(BT2324="D",1,0)+IF(BU2324="D",1,0)+IF(BW2324="D",1,0)+IF(CC2324="D",1,0)+IF(CD2324="D",1,0)+IF(CE2324="D",1,0)+IF(CF2324="D",1,0)+IF(CL2324="D",1,0)+IF(CM2324="D",1,0)+IF(CQ2324="D",1,0)+IF(CR2324="D",1,0)+IF(CS2324="D",1,0)+IF(CW2324="D",1,0)+IF(CX2324="D",1,0)+IF(DD2324="D",1,0)+IF(DE2324="D",1,0)+IF(DJ2324="D",1,0)+IF(DK2324="D",1,0)+IF(DO2324="D",1,0)+IF(DP2324="D",1,0)+IF(DQ2324="D",1,0)+IF(DW2324="D",1,0)+IF(DZ2324="D",1,0)+IF(EH2324="D",1,0)</f>
        <v/>
      </c>
      <c r="AY2324">
        <f>IF(DJ2324&lt;&gt;"",1,0)+IF(DK2324&lt;&gt;"",1,0)+IF(DM2324&lt;&gt;"",1,0)+IF(DO2324&lt;&gt;"",1,0)+IF(DP2324&lt;&gt;"",1,0)+IF(DQ2324&lt;&gt;"",1,0)+IF(DS2324&lt;&gt;"",1,0)+IF(DT2324&lt;&gt;"",1,0)+IF(DV2324&lt;&gt;"",1,0)+IF(DW2324&lt;&gt;"",1,0)+IF(DX2324&lt;&gt;"",1,0)+IF(DY2324&lt;&gt;"",1,0)+IF(DZ2324&lt;&gt;"",1,0)+IF(EB2324&lt;&gt;"",1,0)+IF(EC2324&lt;&gt;"",1,0)+IF(ED2324&lt;&gt;"",1,0)+IF(EG2324&lt;&gt;"",1,0)+IF(EH2324&lt;&gt;"",1,0)</f>
        <v/>
      </c>
      <c r="AZ2324">
        <f>IF(EH2324&lt;&gt;"",1,0)</f>
        <v/>
      </c>
      <c r="BB2324" t="inlineStr">
        <is>
          <t>WARREN-WARD 4</t>
        </is>
      </c>
    </row>
    <row r="2325">
      <c r="A2325" t="inlineStr">
        <is>
          <t>OH0023357670</t>
        </is>
      </c>
      <c r="B2325" t="n">
        <v>78</v>
      </c>
      <c r="C2325" t="n">
        <v>411309</v>
      </c>
      <c r="D2325" t="inlineStr">
        <is>
          <t>AUSTIN</t>
        </is>
      </c>
      <c r="E2325" t="inlineStr">
        <is>
          <t>JAMAR</t>
        </is>
      </c>
      <c r="F2325">
        <f>CONCATENATE(D2325," ",LEFT(H2325,4),"T=",AU2325,"D=",AV2325,"R=",AW2325,"M=",AX2325,"L=",AY2325,"B=",AZ2325)</f>
        <v/>
      </c>
      <c r="I2325" t="inlineStr">
        <is>
          <t>1981-06-04</t>
        </is>
      </c>
      <c r="J2325" t="inlineStr">
        <is>
          <t>2015-10-02</t>
        </is>
      </c>
      <c r="K2325" t="inlineStr">
        <is>
          <t>CONFIRMATION</t>
        </is>
      </c>
      <c r="M2325" t="inlineStr">
        <is>
          <t>1648 OAK KNOLL AVE SE</t>
        </is>
      </c>
      <c r="N2325">
        <f>RIGHT(M2325,LEN(M2325)-FIND(" ",M2325))</f>
        <v/>
      </c>
      <c r="P2325" t="inlineStr">
        <is>
          <t>WARREN</t>
        </is>
      </c>
      <c r="Q2325" t="inlineStr">
        <is>
          <t>OH</t>
        </is>
      </c>
      <c r="R2325" t="n">
        <v>44484</v>
      </c>
      <c r="AD2325" t="inlineStr">
        <is>
          <t>TRUMBULL CAREER &amp; TECH CENTER</t>
        </is>
      </c>
      <c r="AE2325" t="inlineStr">
        <is>
          <t>WARREN CITY</t>
        </is>
      </c>
      <c r="AF2325" t="inlineStr">
        <is>
          <t>WARREN CITY SD</t>
        </is>
      </c>
      <c r="AH2325" t="n">
        <v>14</v>
      </c>
      <c r="AI2325" t="n">
        <v>11</v>
      </c>
      <c r="AN2325" t="inlineStr">
        <is>
          <t>WARREN</t>
        </is>
      </c>
      <c r="AO2325" t="inlineStr">
        <is>
          <t>WARREN CITY 4F</t>
        </is>
      </c>
      <c r="AP2325" t="inlineStr">
        <is>
          <t>78-P-ADN</t>
        </is>
      </c>
      <c r="AQ2325" t="n">
        <v>9</v>
      </c>
      <c r="AR2325" t="n">
        <v>64</v>
      </c>
      <c r="AS2325" t="n">
        <v>32</v>
      </c>
      <c r="AU2325">
        <f>COUNTA($BA$2325:$EH$2325)</f>
        <v/>
      </c>
      <c r="AV2325">
        <f>COUNTIF($BA$2325:$EH$2325,"D")</f>
        <v/>
      </c>
      <c r="AW2325">
        <f>COUNTIF($BA$2325:$EH$2325,"R")</f>
        <v/>
      </c>
      <c r="AX2325">
        <f>IF(BN2325="D",1,0)+IF(BO2325="D",1,0)+IF(BT2325="D",1,0)+IF(BU2325="D",1,0)+IF(BW2325="D",1,0)+IF(CC2325="D",1,0)+IF(CD2325="D",1,0)+IF(CE2325="D",1,0)+IF(CF2325="D",1,0)+IF(CL2325="D",1,0)+IF(CM2325="D",1,0)+IF(CQ2325="D",1,0)+IF(CR2325="D",1,0)+IF(CS2325="D",1,0)+IF(CW2325="D",1,0)+IF(CX2325="D",1,0)+IF(DD2325="D",1,0)+IF(DE2325="D",1,0)+IF(DJ2325="D",1,0)+IF(DK2325="D",1,0)+IF(DO2325="D",1,0)+IF(DP2325="D",1,0)+IF(DQ2325="D",1,0)+IF(DW2325="D",1,0)+IF(DZ2325="D",1,0)+IF(EH2325="D",1,0)</f>
        <v/>
      </c>
      <c r="AY2325">
        <f>IF(DJ2325&lt;&gt;"",1,0)+IF(DK2325&lt;&gt;"",1,0)+IF(DM2325&lt;&gt;"",1,0)+IF(DO2325&lt;&gt;"",1,0)+IF(DP2325&lt;&gt;"",1,0)+IF(DQ2325&lt;&gt;"",1,0)+IF(DS2325&lt;&gt;"",1,0)+IF(DT2325&lt;&gt;"",1,0)+IF(DV2325&lt;&gt;"",1,0)+IF(DW2325&lt;&gt;"",1,0)+IF(DX2325&lt;&gt;"",1,0)+IF(DY2325&lt;&gt;"",1,0)+IF(DZ2325&lt;&gt;"",1,0)+IF(EB2325&lt;&gt;"",1,0)+IF(EC2325&lt;&gt;"",1,0)+IF(ED2325&lt;&gt;"",1,0)+IF(EG2325&lt;&gt;"",1,0)+IF(EH2325&lt;&gt;"",1,0)</f>
        <v/>
      </c>
      <c r="AZ2325">
        <f>IF(EH2325&lt;&gt;"",1,0)</f>
        <v/>
      </c>
      <c r="BB2325" t="inlineStr">
        <is>
          <t>WARREN-WARD 4</t>
        </is>
      </c>
      <c r="DC2325" t="inlineStr">
        <is>
          <t>X</t>
        </is>
      </c>
    </row>
    <row r="2326">
      <c r="A2326" t="inlineStr">
        <is>
          <t>OH0027618865</t>
        </is>
      </c>
      <c r="B2326" t="n">
        <v>78</v>
      </c>
      <c r="C2326" t="n">
        <v>489468</v>
      </c>
      <c r="D2326" t="inlineStr">
        <is>
          <t>MULLINS</t>
        </is>
      </c>
      <c r="E2326" t="inlineStr">
        <is>
          <t>MELODIE</t>
        </is>
      </c>
      <c r="F2326">
        <f>CONCATENATE(D2326," ",LEFT(H2326,4),"T=",AU2326,"D=",AV2326,"R=",AW2326,"M=",AX2326,"L=",AY2326,"B=",AZ2326)</f>
        <v/>
      </c>
      <c r="G2326" t="inlineStr">
        <is>
          <t>A</t>
        </is>
      </c>
      <c r="I2326" t="inlineStr">
        <is>
          <t>1988-01-03</t>
        </is>
      </c>
      <c r="J2326" t="inlineStr">
        <is>
          <t>2024-11-19</t>
        </is>
      </c>
      <c r="K2326" t="inlineStr">
        <is>
          <t>ACTIVE</t>
        </is>
      </c>
      <c r="M2326" t="inlineStr">
        <is>
          <t>2024 DRAPER AVE SE</t>
        </is>
      </c>
      <c r="N2326">
        <f>RIGHT(M2326,LEN(M2326)-FIND(" ",M2326))</f>
        <v/>
      </c>
      <c r="P2326" t="inlineStr">
        <is>
          <t>WARREN</t>
        </is>
      </c>
      <c r="Q2326" t="inlineStr">
        <is>
          <t>OH</t>
        </is>
      </c>
      <c r="R2326" t="n">
        <v>44484</v>
      </c>
      <c r="AD2326" t="inlineStr">
        <is>
          <t>TRUMBULL CAREER &amp; TECH CENTER</t>
        </is>
      </c>
      <c r="AE2326" t="inlineStr">
        <is>
          <t>WARREN CITY</t>
        </is>
      </c>
      <c r="AF2326" t="inlineStr">
        <is>
          <t>WARREN CITY SD</t>
        </is>
      </c>
      <c r="AH2326" t="n">
        <v>14</v>
      </c>
      <c r="AI2326" t="n">
        <v>11</v>
      </c>
      <c r="AN2326" t="inlineStr">
        <is>
          <t>WARREN</t>
        </is>
      </c>
      <c r="AO2326" t="inlineStr">
        <is>
          <t>WARREN CITY 4F</t>
        </is>
      </c>
      <c r="AP2326" t="inlineStr">
        <is>
          <t>78-P-ADN</t>
        </is>
      </c>
      <c r="AQ2326" t="n">
        <v>9</v>
      </c>
      <c r="AR2326" t="n">
        <v>64</v>
      </c>
      <c r="AS2326" t="n">
        <v>32</v>
      </c>
      <c r="AU2326">
        <f>COUNTA($BA$2326:$EH$2326)</f>
        <v/>
      </c>
      <c r="AV2326">
        <f>COUNTIF($BA$2326:$EH$2326,"D")</f>
        <v/>
      </c>
      <c r="AW2326">
        <f>COUNTIF($BA$2326:$EH$2326,"R")</f>
        <v/>
      </c>
      <c r="AX2326">
        <f>IF(BN2326="D",1,0)+IF(BO2326="D",1,0)+IF(BT2326="D",1,0)+IF(BU2326="D",1,0)+IF(BW2326="D",1,0)+IF(CC2326="D",1,0)+IF(CD2326="D",1,0)+IF(CE2326="D",1,0)+IF(CF2326="D",1,0)+IF(CL2326="D",1,0)+IF(CM2326="D",1,0)+IF(CQ2326="D",1,0)+IF(CR2326="D",1,0)+IF(CS2326="D",1,0)+IF(CW2326="D",1,0)+IF(CX2326="D",1,0)+IF(DD2326="D",1,0)+IF(DE2326="D",1,0)+IF(DJ2326="D",1,0)+IF(DK2326="D",1,0)+IF(DO2326="D",1,0)+IF(DP2326="D",1,0)+IF(DQ2326="D",1,0)+IF(DW2326="D",1,0)+IF(DZ2326="D",1,0)+IF(EH2326="D",1,0)</f>
        <v/>
      </c>
      <c r="AY2326">
        <f>IF(DJ2326&lt;&gt;"",1,0)+IF(DK2326&lt;&gt;"",1,0)+IF(DM2326&lt;&gt;"",1,0)+IF(DO2326&lt;&gt;"",1,0)+IF(DP2326&lt;&gt;"",1,0)+IF(DQ2326&lt;&gt;"",1,0)+IF(DS2326&lt;&gt;"",1,0)+IF(DT2326&lt;&gt;"",1,0)+IF(DV2326&lt;&gt;"",1,0)+IF(DW2326&lt;&gt;"",1,0)+IF(DX2326&lt;&gt;"",1,0)+IF(DY2326&lt;&gt;"",1,0)+IF(DZ2326&lt;&gt;"",1,0)+IF(EB2326&lt;&gt;"",1,0)+IF(EC2326&lt;&gt;"",1,0)+IF(ED2326&lt;&gt;"",1,0)+IF(EG2326&lt;&gt;"",1,0)+IF(EH2326&lt;&gt;"",1,0)</f>
        <v/>
      </c>
      <c r="AZ2326">
        <f>IF(EH2326&lt;&gt;"",1,0)</f>
        <v/>
      </c>
      <c r="BB2326" t="inlineStr">
        <is>
          <t>WARREN-WARD 4</t>
        </is>
      </c>
      <c r="CP2326" t="inlineStr">
        <is>
          <t>X</t>
        </is>
      </c>
      <c r="DC2326" t="inlineStr">
        <is>
          <t>X</t>
        </is>
      </c>
    </row>
    <row r="2327">
      <c r="A2327" t="inlineStr">
        <is>
          <t>OH0023271395</t>
        </is>
      </c>
      <c r="B2327" t="n">
        <v>78</v>
      </c>
      <c r="C2327" t="n">
        <v>409484</v>
      </c>
      <c r="D2327" t="inlineStr">
        <is>
          <t>FAISON</t>
        </is>
      </c>
      <c r="E2327" t="inlineStr">
        <is>
          <t>JAMES</t>
        </is>
      </c>
      <c r="F2327">
        <f>CONCATENATE(D2327," ",LEFT(H2327,4),"T=",AU2327,"D=",AV2327,"R=",AW2327,"M=",AX2327,"L=",AY2327,"B=",AZ2327)</f>
        <v/>
      </c>
      <c r="G2327" t="inlineStr">
        <is>
          <t>E</t>
        </is>
      </c>
      <c r="I2327" t="inlineStr">
        <is>
          <t>1989-12-21</t>
        </is>
      </c>
      <c r="J2327" t="inlineStr">
        <is>
          <t>2018-05-22</t>
        </is>
      </c>
      <c r="K2327" t="inlineStr">
        <is>
          <t>CONFIRMATION</t>
        </is>
      </c>
      <c r="M2327" t="inlineStr">
        <is>
          <t>1769 MILTON ST SE</t>
        </is>
      </c>
      <c r="N2327">
        <f>RIGHT(M2327,LEN(M2327)-FIND(" ",M2327))</f>
        <v/>
      </c>
      <c r="P2327" t="inlineStr">
        <is>
          <t>WARREN</t>
        </is>
      </c>
      <c r="Q2327" t="inlineStr">
        <is>
          <t>OH</t>
        </is>
      </c>
      <c r="R2327" t="n">
        <v>44484</v>
      </c>
      <c r="AD2327" t="inlineStr">
        <is>
          <t>TRUMBULL CAREER &amp; TECH CENTER</t>
        </is>
      </c>
      <c r="AE2327" t="inlineStr">
        <is>
          <t>WARREN CITY</t>
        </is>
      </c>
      <c r="AF2327" t="inlineStr">
        <is>
          <t>WARREN CITY SD</t>
        </is>
      </c>
      <c r="AH2327" t="n">
        <v>14</v>
      </c>
      <c r="AI2327" t="n">
        <v>11</v>
      </c>
      <c r="AN2327" t="inlineStr">
        <is>
          <t>WARREN</t>
        </is>
      </c>
      <c r="AO2327" t="inlineStr">
        <is>
          <t>WARREN CITY 4F</t>
        </is>
      </c>
      <c r="AP2327" t="inlineStr">
        <is>
          <t>78-P-ADN</t>
        </is>
      </c>
      <c r="AQ2327" t="n">
        <v>9</v>
      </c>
      <c r="AR2327" t="n">
        <v>64</v>
      </c>
      <c r="AS2327" t="n">
        <v>32</v>
      </c>
      <c r="AU2327">
        <f>COUNTA($BA$2327:$EH$2327)</f>
        <v/>
      </c>
      <c r="AV2327">
        <f>COUNTIF($BA$2327:$EH$2327,"D")</f>
        <v/>
      </c>
      <c r="AW2327">
        <f>COUNTIF($BA$2327:$EH$2327,"R")</f>
        <v/>
      </c>
      <c r="AX2327">
        <f>IF(BN2327="D",1,0)+IF(BO2327="D",1,0)+IF(BT2327="D",1,0)+IF(BU2327="D",1,0)+IF(BW2327="D",1,0)+IF(CC2327="D",1,0)+IF(CD2327="D",1,0)+IF(CE2327="D",1,0)+IF(CF2327="D",1,0)+IF(CL2327="D",1,0)+IF(CM2327="D",1,0)+IF(CQ2327="D",1,0)+IF(CR2327="D",1,0)+IF(CS2327="D",1,0)+IF(CW2327="D",1,0)+IF(CX2327="D",1,0)+IF(DD2327="D",1,0)+IF(DE2327="D",1,0)+IF(DJ2327="D",1,0)+IF(DK2327="D",1,0)+IF(DO2327="D",1,0)+IF(DP2327="D",1,0)+IF(DQ2327="D",1,0)+IF(DW2327="D",1,0)+IF(DZ2327="D",1,0)+IF(EH2327="D",1,0)</f>
        <v/>
      </c>
      <c r="AY2327">
        <f>IF(DJ2327&lt;&gt;"",1,0)+IF(DK2327&lt;&gt;"",1,0)+IF(DM2327&lt;&gt;"",1,0)+IF(DO2327&lt;&gt;"",1,0)+IF(DP2327&lt;&gt;"",1,0)+IF(DQ2327&lt;&gt;"",1,0)+IF(DS2327&lt;&gt;"",1,0)+IF(DT2327&lt;&gt;"",1,0)+IF(DV2327&lt;&gt;"",1,0)+IF(DW2327&lt;&gt;"",1,0)+IF(DX2327&lt;&gt;"",1,0)+IF(DY2327&lt;&gt;"",1,0)+IF(DZ2327&lt;&gt;"",1,0)+IF(EB2327&lt;&gt;"",1,0)+IF(EC2327&lt;&gt;"",1,0)+IF(ED2327&lt;&gt;"",1,0)+IF(EG2327&lt;&gt;"",1,0)+IF(EH2327&lt;&gt;"",1,0)</f>
        <v/>
      </c>
      <c r="AZ2327">
        <f>IF(EH2327&lt;&gt;"",1,0)</f>
        <v/>
      </c>
      <c r="BB2327" t="inlineStr">
        <is>
          <t>WARREN-WARD 4</t>
        </is>
      </c>
      <c r="DC2327" t="inlineStr">
        <is>
          <t>X</t>
        </is>
      </c>
      <c r="DG2327" t="inlineStr">
        <is>
          <t>D</t>
        </is>
      </c>
    </row>
    <row r="2328">
      <c r="A2328" t="inlineStr">
        <is>
          <t>OH0023508231</t>
        </is>
      </c>
      <c r="B2328" t="n">
        <v>78</v>
      </c>
      <c r="C2328" t="n">
        <v>413959</v>
      </c>
      <c r="D2328" t="inlineStr">
        <is>
          <t>WILLIAMS</t>
        </is>
      </c>
      <c r="E2328" t="inlineStr">
        <is>
          <t>TRIVYA</t>
        </is>
      </c>
      <c r="F2328">
        <f>CONCATENATE(D2328," ",LEFT(H2328,4),"T=",AU2328,"D=",AV2328,"R=",AW2328,"M=",AX2328,"L=",AY2328,"B=",AZ2328)</f>
        <v/>
      </c>
      <c r="G2328" t="inlineStr">
        <is>
          <t>Q</t>
        </is>
      </c>
      <c r="I2328" t="inlineStr">
        <is>
          <t>1994-08-04</t>
        </is>
      </c>
      <c r="J2328" t="inlineStr">
        <is>
          <t>2016-01-27</t>
        </is>
      </c>
      <c r="K2328" t="inlineStr">
        <is>
          <t>CONFIRMATION</t>
        </is>
      </c>
      <c r="M2328" t="inlineStr">
        <is>
          <t>1705 WICK ST SE</t>
        </is>
      </c>
      <c r="N2328">
        <f>RIGHT(M2328,LEN(M2328)-FIND(" ",M2328))</f>
        <v/>
      </c>
      <c r="P2328" t="inlineStr">
        <is>
          <t>WARREN</t>
        </is>
      </c>
      <c r="Q2328" t="inlineStr">
        <is>
          <t>OH</t>
        </is>
      </c>
      <c r="R2328" t="n">
        <v>44484</v>
      </c>
      <c r="AD2328" t="inlineStr">
        <is>
          <t>TRUMBULL CAREER &amp; TECH CENTER</t>
        </is>
      </c>
      <c r="AE2328" t="inlineStr">
        <is>
          <t>WARREN CITY</t>
        </is>
      </c>
      <c r="AF2328" t="inlineStr">
        <is>
          <t>WARREN CITY SD</t>
        </is>
      </c>
      <c r="AH2328" t="n">
        <v>14</v>
      </c>
      <c r="AI2328" t="n">
        <v>11</v>
      </c>
      <c r="AN2328" t="inlineStr">
        <is>
          <t>WARREN</t>
        </is>
      </c>
      <c r="AO2328" t="inlineStr">
        <is>
          <t>WARREN CITY 4F</t>
        </is>
      </c>
      <c r="AP2328" t="inlineStr">
        <is>
          <t>78-P-ADN</t>
        </is>
      </c>
      <c r="AQ2328" t="n">
        <v>9</v>
      </c>
      <c r="AR2328" t="n">
        <v>64</v>
      </c>
      <c r="AS2328" t="n">
        <v>32</v>
      </c>
      <c r="AU2328">
        <f>COUNTA($BA$2328:$EH$2328)</f>
        <v/>
      </c>
      <c r="AV2328">
        <f>COUNTIF($BA$2328:$EH$2328,"D")</f>
        <v/>
      </c>
      <c r="AW2328">
        <f>COUNTIF($BA$2328:$EH$2328,"R")</f>
        <v/>
      </c>
      <c r="AX2328">
        <f>IF(BN2328="D",1,0)+IF(BO2328="D",1,0)+IF(BT2328="D",1,0)+IF(BU2328="D",1,0)+IF(BW2328="D",1,0)+IF(CC2328="D",1,0)+IF(CD2328="D",1,0)+IF(CE2328="D",1,0)+IF(CF2328="D",1,0)+IF(CL2328="D",1,0)+IF(CM2328="D",1,0)+IF(CQ2328="D",1,0)+IF(CR2328="D",1,0)+IF(CS2328="D",1,0)+IF(CW2328="D",1,0)+IF(CX2328="D",1,0)+IF(DD2328="D",1,0)+IF(DE2328="D",1,0)+IF(DJ2328="D",1,0)+IF(DK2328="D",1,0)+IF(DO2328="D",1,0)+IF(DP2328="D",1,0)+IF(DQ2328="D",1,0)+IF(DW2328="D",1,0)+IF(DZ2328="D",1,0)+IF(EH2328="D",1,0)</f>
        <v/>
      </c>
      <c r="AY2328">
        <f>IF(DJ2328&lt;&gt;"",1,0)+IF(DK2328&lt;&gt;"",1,0)+IF(DM2328&lt;&gt;"",1,0)+IF(DO2328&lt;&gt;"",1,0)+IF(DP2328&lt;&gt;"",1,0)+IF(DQ2328&lt;&gt;"",1,0)+IF(DS2328&lt;&gt;"",1,0)+IF(DT2328&lt;&gt;"",1,0)+IF(DV2328&lt;&gt;"",1,0)+IF(DW2328&lt;&gt;"",1,0)+IF(DX2328&lt;&gt;"",1,0)+IF(DY2328&lt;&gt;"",1,0)+IF(DZ2328&lt;&gt;"",1,0)+IF(EB2328&lt;&gt;"",1,0)+IF(EC2328&lt;&gt;"",1,0)+IF(ED2328&lt;&gt;"",1,0)+IF(EG2328&lt;&gt;"",1,0)+IF(EH2328&lt;&gt;"",1,0)</f>
        <v/>
      </c>
      <c r="AZ2328">
        <f>IF(EH2328&lt;&gt;"",1,0)</f>
        <v/>
      </c>
      <c r="BB2328" t="inlineStr">
        <is>
          <t>WARREN-WARD 4</t>
        </is>
      </c>
      <c r="DI2328" t="inlineStr">
        <is>
          <t>X</t>
        </is>
      </c>
      <c r="DN2328" t="inlineStr">
        <is>
          <t>X</t>
        </is>
      </c>
    </row>
    <row r="2329">
      <c r="A2329" t="inlineStr">
        <is>
          <t>OH0024775076</t>
        </is>
      </c>
      <c r="B2329" t="n">
        <v>78</v>
      </c>
      <c r="C2329" t="n">
        <v>434851</v>
      </c>
      <c r="D2329" t="inlineStr">
        <is>
          <t>FLIGHT</t>
        </is>
      </c>
      <c r="E2329" t="inlineStr">
        <is>
          <t>TABITHIA</t>
        </is>
      </c>
      <c r="F2329">
        <f>CONCATENATE(D2329," ",LEFT(H2329,4),"T=",AU2329,"D=",AV2329,"R=",AW2329,"M=",AX2329,"L=",AY2329,"B=",AZ2329)</f>
        <v/>
      </c>
      <c r="G2329" t="inlineStr">
        <is>
          <t>A</t>
        </is>
      </c>
      <c r="I2329" t="inlineStr">
        <is>
          <t>1988-02-09</t>
        </is>
      </c>
      <c r="J2329" t="inlineStr">
        <is>
          <t>2018-09-05</t>
        </is>
      </c>
      <c r="K2329" t="inlineStr">
        <is>
          <t>CONFIRMATION</t>
        </is>
      </c>
      <c r="M2329" t="inlineStr">
        <is>
          <t>973 EAST AVE SE</t>
        </is>
      </c>
      <c r="N2329">
        <f>RIGHT(M2329,LEN(M2329)-FIND(" ",M2329))</f>
        <v/>
      </c>
      <c r="P2329" t="inlineStr">
        <is>
          <t>WARREN</t>
        </is>
      </c>
      <c r="Q2329" t="inlineStr">
        <is>
          <t>OH</t>
        </is>
      </c>
      <c r="R2329" t="n">
        <v>44484</v>
      </c>
      <c r="AD2329" t="inlineStr">
        <is>
          <t>TRUMBULL CAREER &amp; TECH CENTER</t>
        </is>
      </c>
      <c r="AE2329" t="inlineStr">
        <is>
          <t>WARREN CITY</t>
        </is>
      </c>
      <c r="AF2329" t="inlineStr">
        <is>
          <t>WARREN CITY SD</t>
        </is>
      </c>
      <c r="AH2329" t="n">
        <v>14</v>
      </c>
      <c r="AI2329" t="n">
        <v>11</v>
      </c>
      <c r="AN2329" t="inlineStr">
        <is>
          <t>WARREN</t>
        </is>
      </c>
      <c r="AO2329" t="inlineStr">
        <is>
          <t>WARREN CITY 4F</t>
        </is>
      </c>
      <c r="AP2329" t="inlineStr">
        <is>
          <t>78-P-ADN</t>
        </is>
      </c>
      <c r="AQ2329" t="n">
        <v>9</v>
      </c>
      <c r="AR2329" t="n">
        <v>64</v>
      </c>
      <c r="AS2329" t="n">
        <v>32</v>
      </c>
      <c r="AU2329">
        <f>COUNTA($BA$2329:$EH$2329)</f>
        <v/>
      </c>
      <c r="AV2329">
        <f>COUNTIF($BA$2329:$EH$2329,"D")</f>
        <v/>
      </c>
      <c r="AW2329">
        <f>COUNTIF($BA$2329:$EH$2329,"R")</f>
        <v/>
      </c>
      <c r="AX2329">
        <f>IF(BN2329="D",1,0)+IF(BO2329="D",1,0)+IF(BT2329="D",1,0)+IF(BU2329="D",1,0)+IF(BW2329="D",1,0)+IF(CC2329="D",1,0)+IF(CD2329="D",1,0)+IF(CE2329="D",1,0)+IF(CF2329="D",1,0)+IF(CL2329="D",1,0)+IF(CM2329="D",1,0)+IF(CQ2329="D",1,0)+IF(CR2329="D",1,0)+IF(CS2329="D",1,0)+IF(CW2329="D",1,0)+IF(CX2329="D",1,0)+IF(DD2329="D",1,0)+IF(DE2329="D",1,0)+IF(DJ2329="D",1,0)+IF(DK2329="D",1,0)+IF(DO2329="D",1,0)+IF(DP2329="D",1,0)+IF(DQ2329="D",1,0)+IF(DW2329="D",1,0)+IF(DZ2329="D",1,0)+IF(EH2329="D",1,0)</f>
        <v/>
      </c>
      <c r="AY2329">
        <f>IF(DJ2329&lt;&gt;"",1,0)+IF(DK2329&lt;&gt;"",1,0)+IF(DM2329&lt;&gt;"",1,0)+IF(DO2329&lt;&gt;"",1,0)+IF(DP2329&lt;&gt;"",1,0)+IF(DQ2329&lt;&gt;"",1,0)+IF(DS2329&lt;&gt;"",1,0)+IF(DT2329&lt;&gt;"",1,0)+IF(DV2329&lt;&gt;"",1,0)+IF(DW2329&lt;&gt;"",1,0)+IF(DX2329&lt;&gt;"",1,0)+IF(DY2329&lt;&gt;"",1,0)+IF(DZ2329&lt;&gt;"",1,0)+IF(EB2329&lt;&gt;"",1,0)+IF(EC2329&lt;&gt;"",1,0)+IF(ED2329&lt;&gt;"",1,0)+IF(EG2329&lt;&gt;"",1,0)+IF(EH2329&lt;&gt;"",1,0)</f>
        <v/>
      </c>
      <c r="AZ2329">
        <f>IF(EH2329&lt;&gt;"",1,0)</f>
        <v/>
      </c>
      <c r="BB2329" t="inlineStr">
        <is>
          <t>WARREN-WARD 4</t>
        </is>
      </c>
    </row>
    <row r="2330">
      <c r="A2330" t="inlineStr">
        <is>
          <t>OH0023530988</t>
        </is>
      </c>
      <c r="B2330" t="n">
        <v>78</v>
      </c>
      <c r="C2330" t="n">
        <v>414347</v>
      </c>
      <c r="D2330" t="inlineStr">
        <is>
          <t>LILLY</t>
        </is>
      </c>
      <c r="E2330" t="inlineStr">
        <is>
          <t>KATHY</t>
        </is>
      </c>
      <c r="F2330">
        <f>CONCATENATE(D2330," ",LEFT(H2330,4),"T=",AU2330,"D=",AV2330,"R=",AW2330,"M=",AX2330,"L=",AY2330,"B=",AZ2330)</f>
        <v/>
      </c>
      <c r="G2330" t="inlineStr">
        <is>
          <t>M</t>
        </is>
      </c>
      <c r="I2330" t="inlineStr">
        <is>
          <t>1970-11-03</t>
        </is>
      </c>
      <c r="J2330" t="inlineStr">
        <is>
          <t>2019-06-20</t>
        </is>
      </c>
      <c r="K2330" t="inlineStr">
        <is>
          <t>CONFIRMATION</t>
        </is>
      </c>
      <c r="M2330" t="inlineStr">
        <is>
          <t>2253 DRAPER AVE SE</t>
        </is>
      </c>
      <c r="N2330">
        <f>RIGHT(M2330,LEN(M2330)-FIND(" ",M2330))</f>
        <v/>
      </c>
      <c r="P2330" t="inlineStr">
        <is>
          <t>WARREN</t>
        </is>
      </c>
      <c r="Q2330" t="inlineStr">
        <is>
          <t>OH</t>
        </is>
      </c>
      <c r="R2330" t="n">
        <v>44484</v>
      </c>
      <c r="AD2330" t="inlineStr">
        <is>
          <t>TRUMBULL CAREER &amp; TECH CENTER</t>
        </is>
      </c>
      <c r="AE2330" t="inlineStr">
        <is>
          <t>WARREN CITY</t>
        </is>
      </c>
      <c r="AF2330" t="inlineStr">
        <is>
          <t>WARREN CITY SD</t>
        </is>
      </c>
      <c r="AH2330" t="n">
        <v>14</v>
      </c>
      <c r="AI2330" t="n">
        <v>11</v>
      </c>
      <c r="AN2330" t="inlineStr">
        <is>
          <t>WARREN</t>
        </is>
      </c>
      <c r="AO2330" t="inlineStr">
        <is>
          <t>WARREN CITY 4F</t>
        </is>
      </c>
      <c r="AP2330" t="inlineStr">
        <is>
          <t>78-P-ADN</t>
        </is>
      </c>
      <c r="AQ2330" t="n">
        <v>9</v>
      </c>
      <c r="AR2330" t="n">
        <v>64</v>
      </c>
      <c r="AS2330" t="n">
        <v>32</v>
      </c>
      <c r="AU2330">
        <f>COUNTA($BA$2330:$EH$2330)</f>
        <v/>
      </c>
      <c r="AV2330">
        <f>COUNTIF($BA$2330:$EH$2330,"D")</f>
        <v/>
      </c>
      <c r="AW2330">
        <f>COUNTIF($BA$2330:$EH$2330,"R")</f>
        <v/>
      </c>
      <c r="AX2330">
        <f>IF(BN2330="D",1,0)+IF(BO2330="D",1,0)+IF(BT2330="D",1,0)+IF(BU2330="D",1,0)+IF(BW2330="D",1,0)+IF(CC2330="D",1,0)+IF(CD2330="D",1,0)+IF(CE2330="D",1,0)+IF(CF2330="D",1,0)+IF(CL2330="D",1,0)+IF(CM2330="D",1,0)+IF(CQ2330="D",1,0)+IF(CR2330="D",1,0)+IF(CS2330="D",1,0)+IF(CW2330="D",1,0)+IF(CX2330="D",1,0)+IF(DD2330="D",1,0)+IF(DE2330="D",1,0)+IF(DJ2330="D",1,0)+IF(DK2330="D",1,0)+IF(DO2330="D",1,0)+IF(DP2330="D",1,0)+IF(DQ2330="D",1,0)+IF(DW2330="D",1,0)+IF(DZ2330="D",1,0)+IF(EH2330="D",1,0)</f>
        <v/>
      </c>
      <c r="AY2330">
        <f>IF(DJ2330&lt;&gt;"",1,0)+IF(DK2330&lt;&gt;"",1,0)+IF(DM2330&lt;&gt;"",1,0)+IF(DO2330&lt;&gt;"",1,0)+IF(DP2330&lt;&gt;"",1,0)+IF(DQ2330&lt;&gt;"",1,0)+IF(DS2330&lt;&gt;"",1,0)+IF(DT2330&lt;&gt;"",1,0)+IF(DV2330&lt;&gt;"",1,0)+IF(DW2330&lt;&gt;"",1,0)+IF(DX2330&lt;&gt;"",1,0)+IF(DY2330&lt;&gt;"",1,0)+IF(DZ2330&lt;&gt;"",1,0)+IF(EB2330&lt;&gt;"",1,0)+IF(EC2330&lt;&gt;"",1,0)+IF(ED2330&lt;&gt;"",1,0)+IF(EG2330&lt;&gt;"",1,0)+IF(EH2330&lt;&gt;"",1,0)</f>
        <v/>
      </c>
      <c r="AZ2330">
        <f>IF(EH2330&lt;&gt;"",1,0)</f>
        <v/>
      </c>
      <c r="BB2330" t="inlineStr">
        <is>
          <t>WARREN-WARD 4</t>
        </is>
      </c>
      <c r="DC2330" t="inlineStr">
        <is>
          <t>X</t>
        </is>
      </c>
    </row>
    <row r="2331">
      <c r="A2331" t="inlineStr">
        <is>
          <t>OH0025440399</t>
        </is>
      </c>
      <c r="B2331" t="n">
        <v>78</v>
      </c>
      <c r="C2331" t="n">
        <v>444842</v>
      </c>
      <c r="D2331" t="inlineStr">
        <is>
          <t>JACKSON</t>
        </is>
      </c>
      <c r="E2331" t="inlineStr">
        <is>
          <t>TASHIYAH</t>
        </is>
      </c>
      <c r="F2331">
        <f>CONCATENATE(D2331," ",LEFT(H2331,4),"T=",AU2331,"D=",AV2331,"R=",AW2331,"M=",AX2331,"L=",AY2331,"B=",AZ2331)</f>
        <v/>
      </c>
      <c r="G2331" t="inlineStr">
        <is>
          <t>WYNETTE</t>
        </is>
      </c>
      <c r="I2331" t="inlineStr">
        <is>
          <t>2002-03-01</t>
        </is>
      </c>
      <c r="J2331" t="inlineStr">
        <is>
          <t>2020-02-14</t>
        </is>
      </c>
      <c r="K2331" t="inlineStr">
        <is>
          <t>CONFIRMATION</t>
        </is>
      </c>
      <c r="M2331" t="inlineStr">
        <is>
          <t>1921 BURTON ST SE</t>
        </is>
      </c>
      <c r="N2331">
        <f>RIGHT(M2331,LEN(M2331)-FIND(" ",M2331))</f>
        <v/>
      </c>
      <c r="P2331" t="inlineStr">
        <is>
          <t>WARREN</t>
        </is>
      </c>
      <c r="Q2331" t="inlineStr">
        <is>
          <t>OH</t>
        </is>
      </c>
      <c r="R2331" t="n">
        <v>44484</v>
      </c>
      <c r="AD2331" t="inlineStr">
        <is>
          <t>TRUMBULL CAREER &amp; TECH CENTER</t>
        </is>
      </c>
      <c r="AE2331" t="inlineStr">
        <is>
          <t>WARREN CITY</t>
        </is>
      </c>
      <c r="AF2331" t="inlineStr">
        <is>
          <t>WARREN CITY SD</t>
        </is>
      </c>
      <c r="AH2331" t="n">
        <v>14</v>
      </c>
      <c r="AI2331" t="n">
        <v>11</v>
      </c>
      <c r="AN2331" t="inlineStr">
        <is>
          <t>WARREN</t>
        </is>
      </c>
      <c r="AO2331" t="inlineStr">
        <is>
          <t>WARREN CITY 4F</t>
        </is>
      </c>
      <c r="AP2331" t="inlineStr">
        <is>
          <t>78-P-ADN</t>
        </is>
      </c>
      <c r="AQ2331" t="n">
        <v>9</v>
      </c>
      <c r="AR2331" t="n">
        <v>64</v>
      </c>
      <c r="AS2331" t="n">
        <v>32</v>
      </c>
      <c r="AU2331">
        <f>COUNTA($BA$2331:$EH$2331)</f>
        <v/>
      </c>
      <c r="AV2331">
        <f>COUNTIF($BA$2331:$EH$2331,"D")</f>
        <v/>
      </c>
      <c r="AW2331">
        <f>COUNTIF($BA$2331:$EH$2331,"R")</f>
        <v/>
      </c>
      <c r="AX2331">
        <f>IF(BN2331="D",1,0)+IF(BO2331="D",1,0)+IF(BT2331="D",1,0)+IF(BU2331="D",1,0)+IF(BW2331="D",1,0)+IF(CC2331="D",1,0)+IF(CD2331="D",1,0)+IF(CE2331="D",1,0)+IF(CF2331="D",1,0)+IF(CL2331="D",1,0)+IF(CM2331="D",1,0)+IF(CQ2331="D",1,0)+IF(CR2331="D",1,0)+IF(CS2331="D",1,0)+IF(CW2331="D",1,0)+IF(CX2331="D",1,0)+IF(DD2331="D",1,0)+IF(DE2331="D",1,0)+IF(DJ2331="D",1,0)+IF(DK2331="D",1,0)+IF(DO2331="D",1,0)+IF(DP2331="D",1,0)+IF(DQ2331="D",1,0)+IF(DW2331="D",1,0)+IF(DZ2331="D",1,0)+IF(EH2331="D",1,0)</f>
        <v/>
      </c>
      <c r="AY2331">
        <f>IF(DJ2331&lt;&gt;"",1,0)+IF(DK2331&lt;&gt;"",1,0)+IF(DM2331&lt;&gt;"",1,0)+IF(DO2331&lt;&gt;"",1,0)+IF(DP2331&lt;&gt;"",1,0)+IF(DQ2331&lt;&gt;"",1,0)+IF(DS2331&lt;&gt;"",1,0)+IF(DT2331&lt;&gt;"",1,0)+IF(DV2331&lt;&gt;"",1,0)+IF(DW2331&lt;&gt;"",1,0)+IF(DX2331&lt;&gt;"",1,0)+IF(DY2331&lt;&gt;"",1,0)+IF(DZ2331&lt;&gt;"",1,0)+IF(EB2331&lt;&gt;"",1,0)+IF(EC2331&lt;&gt;"",1,0)+IF(ED2331&lt;&gt;"",1,0)+IF(EG2331&lt;&gt;"",1,0)+IF(EH2331&lt;&gt;"",1,0)</f>
        <v/>
      </c>
      <c r="AZ2331">
        <f>IF(EH2331&lt;&gt;"",1,0)</f>
        <v/>
      </c>
      <c r="BB2331" t="inlineStr">
        <is>
          <t>WARREN-WARD 4</t>
        </is>
      </c>
    </row>
    <row r="2332">
      <c r="A2332" t="inlineStr">
        <is>
          <t>OH0024299127</t>
        </is>
      </c>
      <c r="B2332" t="n">
        <v>78</v>
      </c>
      <c r="C2332" t="n">
        <v>418888</v>
      </c>
      <c r="D2332" t="inlineStr">
        <is>
          <t>TSILIMOS</t>
        </is>
      </c>
      <c r="E2332" t="inlineStr">
        <is>
          <t>MARCUS</t>
        </is>
      </c>
      <c r="F2332">
        <f>CONCATENATE(D2332," ",LEFT(H2332,4),"T=",AU2332,"D=",AV2332,"R=",AW2332,"M=",AX2332,"L=",AY2332,"B=",AZ2332)</f>
        <v/>
      </c>
      <c r="G2332" t="inlineStr">
        <is>
          <t>J</t>
        </is>
      </c>
      <c r="I2332" t="inlineStr">
        <is>
          <t>1979-12-30</t>
        </is>
      </c>
      <c r="J2332" t="inlineStr">
        <is>
          <t>2022-11-01</t>
        </is>
      </c>
      <c r="K2332" t="inlineStr">
        <is>
          <t>ACTIVE</t>
        </is>
      </c>
      <c r="M2332" t="inlineStr">
        <is>
          <t>1121 WOODBINE AVE SE</t>
        </is>
      </c>
      <c r="N2332">
        <f>RIGHT(M2332,LEN(M2332)-FIND(" ",M2332))</f>
        <v/>
      </c>
      <c r="P2332" t="inlineStr">
        <is>
          <t>WARREN</t>
        </is>
      </c>
      <c r="Q2332" t="inlineStr">
        <is>
          <t>OH</t>
        </is>
      </c>
      <c r="R2332" t="n">
        <v>44484</v>
      </c>
      <c r="AD2332" t="inlineStr">
        <is>
          <t>TRUMBULL CAREER &amp; TECH CENTER</t>
        </is>
      </c>
      <c r="AE2332" t="inlineStr">
        <is>
          <t>WARREN CITY</t>
        </is>
      </c>
      <c r="AF2332" t="inlineStr">
        <is>
          <t>WARREN CITY SD</t>
        </is>
      </c>
      <c r="AH2332" t="n">
        <v>14</v>
      </c>
      <c r="AI2332" t="n">
        <v>11</v>
      </c>
      <c r="AN2332" t="inlineStr">
        <is>
          <t>WARREN</t>
        </is>
      </c>
      <c r="AO2332" t="inlineStr">
        <is>
          <t>WARREN CITY 4F</t>
        </is>
      </c>
      <c r="AP2332" t="inlineStr">
        <is>
          <t>78-P-ADN</t>
        </is>
      </c>
      <c r="AQ2332" t="n">
        <v>9</v>
      </c>
      <c r="AR2332" t="n">
        <v>64</v>
      </c>
      <c r="AS2332" t="n">
        <v>32</v>
      </c>
      <c r="AU2332">
        <f>COUNTA($BA$2332:$EH$2332)</f>
        <v/>
      </c>
      <c r="AV2332">
        <f>COUNTIF($BA$2332:$EH$2332,"D")</f>
        <v/>
      </c>
      <c r="AW2332">
        <f>COUNTIF($BA$2332:$EH$2332,"R")</f>
        <v/>
      </c>
      <c r="AX2332">
        <f>IF(BN2332="D",1,0)+IF(BO2332="D",1,0)+IF(BT2332="D",1,0)+IF(BU2332="D",1,0)+IF(BW2332="D",1,0)+IF(CC2332="D",1,0)+IF(CD2332="D",1,0)+IF(CE2332="D",1,0)+IF(CF2332="D",1,0)+IF(CL2332="D",1,0)+IF(CM2332="D",1,0)+IF(CQ2332="D",1,0)+IF(CR2332="D",1,0)+IF(CS2332="D",1,0)+IF(CW2332="D",1,0)+IF(CX2332="D",1,0)+IF(DD2332="D",1,0)+IF(DE2332="D",1,0)+IF(DJ2332="D",1,0)+IF(DK2332="D",1,0)+IF(DO2332="D",1,0)+IF(DP2332="D",1,0)+IF(DQ2332="D",1,0)+IF(DW2332="D",1,0)+IF(DZ2332="D",1,0)+IF(EH2332="D",1,0)</f>
        <v/>
      </c>
      <c r="AY2332">
        <f>IF(DJ2332&lt;&gt;"",1,0)+IF(DK2332&lt;&gt;"",1,0)+IF(DM2332&lt;&gt;"",1,0)+IF(DO2332&lt;&gt;"",1,0)+IF(DP2332&lt;&gt;"",1,0)+IF(DQ2332&lt;&gt;"",1,0)+IF(DS2332&lt;&gt;"",1,0)+IF(DT2332&lt;&gt;"",1,0)+IF(DV2332&lt;&gt;"",1,0)+IF(DW2332&lt;&gt;"",1,0)+IF(DX2332&lt;&gt;"",1,0)+IF(DY2332&lt;&gt;"",1,0)+IF(DZ2332&lt;&gt;"",1,0)+IF(EB2332&lt;&gt;"",1,0)+IF(EC2332&lt;&gt;"",1,0)+IF(ED2332&lt;&gt;"",1,0)+IF(EG2332&lt;&gt;"",1,0)+IF(EH2332&lt;&gt;"",1,0)</f>
        <v/>
      </c>
      <c r="AZ2332">
        <f>IF(EH2332&lt;&gt;"",1,0)</f>
        <v/>
      </c>
      <c r="BB2332" t="inlineStr">
        <is>
          <t>WARREN-WARD 4</t>
        </is>
      </c>
      <c r="BL2332" t="inlineStr">
        <is>
          <t>X</t>
        </is>
      </c>
      <c r="BV2332" t="inlineStr">
        <is>
          <t>X</t>
        </is>
      </c>
      <c r="EA2332" t="inlineStr">
        <is>
          <t>X</t>
        </is>
      </c>
      <c r="EF2332" t="inlineStr">
        <is>
          <t>X</t>
        </is>
      </c>
    </row>
    <row r="2333">
      <c r="A2333" t="inlineStr">
        <is>
          <t>OH0019538111</t>
        </is>
      </c>
      <c r="B2333" t="n">
        <v>78</v>
      </c>
      <c r="C2333" t="n">
        <v>356190</v>
      </c>
      <c r="D2333" t="inlineStr">
        <is>
          <t>CARGILL</t>
        </is>
      </c>
      <c r="E2333" t="inlineStr">
        <is>
          <t>SIMONE</t>
        </is>
      </c>
      <c r="F2333">
        <f>CONCATENATE(D2333," ",LEFT(H2333,4),"T=",AU2333,"D=",AV2333,"R=",AW2333,"M=",AX2333,"L=",AY2333,"B=",AZ2333)</f>
        <v/>
      </c>
      <c r="G2333" t="inlineStr">
        <is>
          <t>ALYSE</t>
        </is>
      </c>
      <c r="I2333" t="inlineStr">
        <is>
          <t>1990-07-21</t>
        </is>
      </c>
      <c r="J2333" t="inlineStr">
        <is>
          <t>2024-11-05</t>
        </is>
      </c>
      <c r="K2333" t="inlineStr">
        <is>
          <t>ACTIVE</t>
        </is>
      </c>
      <c r="M2333" t="inlineStr">
        <is>
          <t>1140 WOODBINE AVE SE</t>
        </is>
      </c>
      <c r="N2333">
        <f>RIGHT(M2333,LEN(M2333)-FIND(" ",M2333))</f>
        <v/>
      </c>
      <c r="P2333" t="inlineStr">
        <is>
          <t>WARREN</t>
        </is>
      </c>
      <c r="Q2333" t="inlineStr">
        <is>
          <t>OH</t>
        </is>
      </c>
      <c r="R2333" t="n">
        <v>44484</v>
      </c>
      <c r="AD2333" t="inlineStr">
        <is>
          <t>TRUMBULL CAREER &amp; TECH CENTER</t>
        </is>
      </c>
      <c r="AE2333" t="inlineStr">
        <is>
          <t>WARREN CITY</t>
        </is>
      </c>
      <c r="AF2333" t="inlineStr">
        <is>
          <t>WARREN CITY SD</t>
        </is>
      </c>
      <c r="AH2333" t="n">
        <v>14</v>
      </c>
      <c r="AI2333" t="n">
        <v>11</v>
      </c>
      <c r="AN2333" t="inlineStr">
        <is>
          <t>WARREN</t>
        </is>
      </c>
      <c r="AO2333" t="inlineStr">
        <is>
          <t>WARREN CITY 4F</t>
        </is>
      </c>
      <c r="AP2333" t="inlineStr">
        <is>
          <t>78-P-ADN</t>
        </is>
      </c>
      <c r="AQ2333" t="n">
        <v>9</v>
      </c>
      <c r="AR2333" t="n">
        <v>64</v>
      </c>
      <c r="AS2333" t="n">
        <v>32</v>
      </c>
      <c r="AU2333">
        <f>COUNTA($BA$2333:$EH$2333)</f>
        <v/>
      </c>
      <c r="AV2333">
        <f>COUNTIF($BA$2333:$EH$2333,"D")</f>
        <v/>
      </c>
      <c r="AW2333">
        <f>COUNTIF($BA$2333:$EH$2333,"R")</f>
        <v/>
      </c>
      <c r="AX2333">
        <f>IF(BN2333="D",1,0)+IF(BO2333="D",1,0)+IF(BT2333="D",1,0)+IF(BU2333="D",1,0)+IF(BW2333="D",1,0)+IF(CC2333="D",1,0)+IF(CD2333="D",1,0)+IF(CE2333="D",1,0)+IF(CF2333="D",1,0)+IF(CL2333="D",1,0)+IF(CM2333="D",1,0)+IF(CQ2333="D",1,0)+IF(CR2333="D",1,0)+IF(CS2333="D",1,0)+IF(CW2333="D",1,0)+IF(CX2333="D",1,0)+IF(DD2333="D",1,0)+IF(DE2333="D",1,0)+IF(DJ2333="D",1,0)+IF(DK2333="D",1,0)+IF(DO2333="D",1,0)+IF(DP2333="D",1,0)+IF(DQ2333="D",1,0)+IF(DW2333="D",1,0)+IF(DZ2333="D",1,0)+IF(EH2333="D",1,0)</f>
        <v/>
      </c>
      <c r="AY2333">
        <f>IF(DJ2333&lt;&gt;"",1,0)+IF(DK2333&lt;&gt;"",1,0)+IF(DM2333&lt;&gt;"",1,0)+IF(DO2333&lt;&gt;"",1,0)+IF(DP2333&lt;&gt;"",1,0)+IF(DQ2333&lt;&gt;"",1,0)+IF(DS2333&lt;&gt;"",1,0)+IF(DT2333&lt;&gt;"",1,0)+IF(DV2333&lt;&gt;"",1,0)+IF(DW2333&lt;&gt;"",1,0)+IF(DX2333&lt;&gt;"",1,0)+IF(DY2333&lt;&gt;"",1,0)+IF(DZ2333&lt;&gt;"",1,0)+IF(EB2333&lt;&gt;"",1,0)+IF(EC2333&lt;&gt;"",1,0)+IF(ED2333&lt;&gt;"",1,0)+IF(EG2333&lt;&gt;"",1,0)+IF(EH2333&lt;&gt;"",1,0)</f>
        <v/>
      </c>
      <c r="AZ2333">
        <f>IF(EH2333&lt;&gt;"",1,0)</f>
        <v/>
      </c>
      <c r="BB2333" t="inlineStr">
        <is>
          <t>WARREN-WARD 4</t>
        </is>
      </c>
      <c r="CA2333" t="inlineStr">
        <is>
          <t>X</t>
        </is>
      </c>
      <c r="CK2333" t="inlineStr">
        <is>
          <t>X</t>
        </is>
      </c>
      <c r="CP2333" t="inlineStr">
        <is>
          <t>X</t>
        </is>
      </c>
      <c r="CZ2333" t="inlineStr">
        <is>
          <t>D</t>
        </is>
      </c>
      <c r="DC2333" t="inlineStr">
        <is>
          <t>X</t>
        </is>
      </c>
      <c r="DI2333" t="inlineStr">
        <is>
          <t>X</t>
        </is>
      </c>
      <c r="DN2333" t="inlineStr">
        <is>
          <t>X</t>
        </is>
      </c>
      <c r="EF2333" t="inlineStr">
        <is>
          <t>X</t>
        </is>
      </c>
    </row>
    <row r="2334">
      <c r="A2334" t="inlineStr">
        <is>
          <t>OH0019051414</t>
        </is>
      </c>
      <c r="B2334" t="n">
        <v>78</v>
      </c>
      <c r="C2334" t="n">
        <v>348503</v>
      </c>
      <c r="D2334" t="inlineStr">
        <is>
          <t>REID WILLIAMSON</t>
        </is>
      </c>
      <c r="E2334" t="inlineStr">
        <is>
          <t>SHAWNTELL</t>
        </is>
      </c>
      <c r="F2334">
        <f>CONCATENATE(D2334," ",LEFT(H2334,4),"T=",AU2334,"D=",AV2334,"R=",AW2334,"M=",AX2334,"L=",AY2334,"B=",AZ2334)</f>
        <v/>
      </c>
      <c r="G2334" t="inlineStr">
        <is>
          <t>NICOLE</t>
        </is>
      </c>
      <c r="I2334" t="inlineStr">
        <is>
          <t>1984-11-09</t>
        </is>
      </c>
      <c r="J2334" t="inlineStr">
        <is>
          <t>2024-11-05</t>
        </is>
      </c>
      <c r="K2334" t="inlineStr">
        <is>
          <t>ACTIVE</t>
        </is>
      </c>
      <c r="M2334" t="inlineStr">
        <is>
          <t>1074 HOMEWOOD AVE SE</t>
        </is>
      </c>
      <c r="N2334">
        <f>RIGHT(M2334,LEN(M2334)-FIND(" ",M2334))</f>
        <v/>
      </c>
      <c r="P2334" t="inlineStr">
        <is>
          <t>WARREN</t>
        </is>
      </c>
      <c r="Q2334" t="inlineStr">
        <is>
          <t>OH</t>
        </is>
      </c>
      <c r="R2334" t="n">
        <v>44484</v>
      </c>
      <c r="AD2334" t="inlineStr">
        <is>
          <t>TRUMBULL CAREER &amp; TECH CENTER</t>
        </is>
      </c>
      <c r="AE2334" t="inlineStr">
        <is>
          <t>WARREN CITY</t>
        </is>
      </c>
      <c r="AF2334" t="inlineStr">
        <is>
          <t>WARREN CITY SD</t>
        </is>
      </c>
      <c r="AH2334" t="n">
        <v>14</v>
      </c>
      <c r="AI2334" t="n">
        <v>11</v>
      </c>
      <c r="AN2334" t="inlineStr">
        <is>
          <t>WARREN</t>
        </is>
      </c>
      <c r="AO2334" t="inlineStr">
        <is>
          <t>WARREN CITY 4F</t>
        </is>
      </c>
      <c r="AP2334" t="inlineStr">
        <is>
          <t>78-P-ADN</t>
        </is>
      </c>
      <c r="AQ2334" t="n">
        <v>9</v>
      </c>
      <c r="AR2334" t="n">
        <v>64</v>
      </c>
      <c r="AS2334" t="n">
        <v>32</v>
      </c>
      <c r="AU2334">
        <f>COUNTA($BA$2334:$EH$2334)</f>
        <v/>
      </c>
      <c r="AV2334">
        <f>COUNTIF($BA$2334:$EH$2334,"D")</f>
        <v/>
      </c>
      <c r="AW2334">
        <f>COUNTIF($BA$2334:$EH$2334,"R")</f>
        <v/>
      </c>
      <c r="AX2334">
        <f>IF(BN2334="D",1,0)+IF(BO2334="D",1,0)+IF(BT2334="D",1,0)+IF(BU2334="D",1,0)+IF(BW2334="D",1,0)+IF(CC2334="D",1,0)+IF(CD2334="D",1,0)+IF(CE2334="D",1,0)+IF(CF2334="D",1,0)+IF(CL2334="D",1,0)+IF(CM2334="D",1,0)+IF(CQ2334="D",1,0)+IF(CR2334="D",1,0)+IF(CS2334="D",1,0)+IF(CW2334="D",1,0)+IF(CX2334="D",1,0)+IF(DD2334="D",1,0)+IF(DE2334="D",1,0)+IF(DJ2334="D",1,0)+IF(DK2334="D",1,0)+IF(DO2334="D",1,0)+IF(DP2334="D",1,0)+IF(DQ2334="D",1,0)+IF(DW2334="D",1,0)+IF(DZ2334="D",1,0)+IF(EH2334="D",1,0)</f>
        <v/>
      </c>
      <c r="AY2334">
        <f>IF(DJ2334&lt;&gt;"",1,0)+IF(DK2334&lt;&gt;"",1,0)+IF(DM2334&lt;&gt;"",1,0)+IF(DO2334&lt;&gt;"",1,0)+IF(DP2334&lt;&gt;"",1,0)+IF(DQ2334&lt;&gt;"",1,0)+IF(DS2334&lt;&gt;"",1,0)+IF(DT2334&lt;&gt;"",1,0)+IF(DV2334&lt;&gt;"",1,0)+IF(DW2334&lt;&gt;"",1,0)+IF(DX2334&lt;&gt;"",1,0)+IF(DY2334&lt;&gt;"",1,0)+IF(DZ2334&lt;&gt;"",1,0)+IF(EB2334&lt;&gt;"",1,0)+IF(EC2334&lt;&gt;"",1,0)+IF(ED2334&lt;&gt;"",1,0)+IF(EG2334&lt;&gt;"",1,0)+IF(EH2334&lt;&gt;"",1,0)</f>
        <v/>
      </c>
      <c r="AZ2334">
        <f>IF(EH2334&lt;&gt;"",1,0)</f>
        <v/>
      </c>
      <c r="BB2334" t="inlineStr">
        <is>
          <t>WARREN-WARD 4</t>
        </is>
      </c>
      <c r="BY2334" t="inlineStr">
        <is>
          <t>D</t>
        </is>
      </c>
      <c r="CA2334" t="inlineStr">
        <is>
          <t>X</t>
        </is>
      </c>
      <c r="CL2334" t="inlineStr">
        <is>
          <t>D</t>
        </is>
      </c>
      <c r="CP2334" t="inlineStr">
        <is>
          <t>X</t>
        </is>
      </c>
      <c r="CZ2334" t="inlineStr">
        <is>
          <t>D</t>
        </is>
      </c>
      <c r="DC2334" t="inlineStr">
        <is>
          <t>X</t>
        </is>
      </c>
      <c r="EF2334" t="inlineStr">
        <is>
          <t>X</t>
        </is>
      </c>
    </row>
    <row r="2335">
      <c r="A2335" t="inlineStr">
        <is>
          <t>OH0024453763</t>
        </is>
      </c>
      <c r="B2335" t="n">
        <v>78</v>
      </c>
      <c r="C2335" t="n">
        <v>428744</v>
      </c>
      <c r="D2335" t="inlineStr">
        <is>
          <t>WEAVER</t>
        </is>
      </c>
      <c r="E2335" t="inlineStr">
        <is>
          <t>JOSHUA</t>
        </is>
      </c>
      <c r="F2335">
        <f>CONCATENATE(D2335," ",LEFT(H2335,4),"T=",AU2335,"D=",AV2335,"R=",AW2335,"M=",AX2335,"L=",AY2335,"B=",AZ2335)</f>
        <v/>
      </c>
      <c r="G2335" t="inlineStr">
        <is>
          <t>TYLER</t>
        </is>
      </c>
      <c r="I2335" t="inlineStr">
        <is>
          <t>1999-10-09</t>
        </is>
      </c>
      <c r="J2335" t="inlineStr">
        <is>
          <t>2018-03-23</t>
        </is>
      </c>
      <c r="K2335" t="inlineStr">
        <is>
          <t>CONFIRMATION</t>
        </is>
      </c>
      <c r="M2335" t="inlineStr">
        <is>
          <t>999 EAST AVE SE</t>
        </is>
      </c>
      <c r="N2335">
        <f>RIGHT(M2335,LEN(M2335)-FIND(" ",M2335))</f>
        <v/>
      </c>
      <c r="P2335" t="inlineStr">
        <is>
          <t>WARREN</t>
        </is>
      </c>
      <c r="Q2335" t="inlineStr">
        <is>
          <t>OH</t>
        </is>
      </c>
      <c r="R2335" t="n">
        <v>44484</v>
      </c>
      <c r="AD2335" t="inlineStr">
        <is>
          <t>TRUMBULL CAREER &amp; TECH CENTER</t>
        </is>
      </c>
      <c r="AE2335" t="inlineStr">
        <is>
          <t>WARREN CITY</t>
        </is>
      </c>
      <c r="AF2335" t="inlineStr">
        <is>
          <t>WARREN CITY SD</t>
        </is>
      </c>
      <c r="AH2335" t="n">
        <v>14</v>
      </c>
      <c r="AI2335" t="n">
        <v>11</v>
      </c>
      <c r="AN2335" t="inlineStr">
        <is>
          <t>WARREN</t>
        </is>
      </c>
      <c r="AO2335" t="inlineStr">
        <is>
          <t>WARREN CITY 4F</t>
        </is>
      </c>
      <c r="AP2335" t="inlineStr">
        <is>
          <t>78-P-ADN</t>
        </is>
      </c>
      <c r="AQ2335" t="n">
        <v>9</v>
      </c>
      <c r="AR2335" t="n">
        <v>64</v>
      </c>
      <c r="AS2335" t="n">
        <v>32</v>
      </c>
      <c r="AU2335">
        <f>COUNTA($BA$2335:$EH$2335)</f>
        <v/>
      </c>
      <c r="AV2335">
        <f>COUNTIF($BA$2335:$EH$2335,"D")</f>
        <v/>
      </c>
      <c r="AW2335">
        <f>COUNTIF($BA$2335:$EH$2335,"R")</f>
        <v/>
      </c>
      <c r="AX2335">
        <f>IF(BN2335="D",1,0)+IF(BO2335="D",1,0)+IF(BT2335="D",1,0)+IF(BU2335="D",1,0)+IF(BW2335="D",1,0)+IF(CC2335="D",1,0)+IF(CD2335="D",1,0)+IF(CE2335="D",1,0)+IF(CF2335="D",1,0)+IF(CL2335="D",1,0)+IF(CM2335="D",1,0)+IF(CQ2335="D",1,0)+IF(CR2335="D",1,0)+IF(CS2335="D",1,0)+IF(CW2335="D",1,0)+IF(CX2335="D",1,0)+IF(DD2335="D",1,0)+IF(DE2335="D",1,0)+IF(DJ2335="D",1,0)+IF(DK2335="D",1,0)+IF(DO2335="D",1,0)+IF(DP2335="D",1,0)+IF(DQ2335="D",1,0)+IF(DW2335="D",1,0)+IF(DZ2335="D",1,0)+IF(EH2335="D",1,0)</f>
        <v/>
      </c>
      <c r="AY2335">
        <f>IF(DJ2335&lt;&gt;"",1,0)+IF(DK2335&lt;&gt;"",1,0)+IF(DM2335&lt;&gt;"",1,0)+IF(DO2335&lt;&gt;"",1,0)+IF(DP2335&lt;&gt;"",1,0)+IF(DQ2335&lt;&gt;"",1,0)+IF(DS2335&lt;&gt;"",1,0)+IF(DT2335&lt;&gt;"",1,0)+IF(DV2335&lt;&gt;"",1,0)+IF(DW2335&lt;&gt;"",1,0)+IF(DX2335&lt;&gt;"",1,0)+IF(DY2335&lt;&gt;"",1,0)+IF(DZ2335&lt;&gt;"",1,0)+IF(EB2335&lt;&gt;"",1,0)+IF(EC2335&lt;&gt;"",1,0)+IF(ED2335&lt;&gt;"",1,0)+IF(EG2335&lt;&gt;"",1,0)+IF(EH2335&lt;&gt;"",1,0)</f>
        <v/>
      </c>
      <c r="AZ2335">
        <f>IF(EH2335&lt;&gt;"",1,0)</f>
        <v/>
      </c>
      <c r="BB2335" t="inlineStr">
        <is>
          <t>WARREN-WARD 4</t>
        </is>
      </c>
    </row>
    <row r="2336">
      <c r="A2336" t="inlineStr">
        <is>
          <t>OH0022316802</t>
        </is>
      </c>
      <c r="B2336" t="n">
        <v>78</v>
      </c>
      <c r="C2336" t="n">
        <v>394266</v>
      </c>
      <c r="D2336" t="inlineStr">
        <is>
          <t>SHEETS</t>
        </is>
      </c>
      <c r="E2336" t="inlineStr">
        <is>
          <t>ELIZABETH</t>
        </is>
      </c>
      <c r="F2336">
        <f>CONCATENATE(D2336," ",LEFT(H2336,4),"T=",AU2336,"D=",AV2336,"R=",AW2336,"M=",AX2336,"L=",AY2336,"B=",AZ2336)</f>
        <v/>
      </c>
      <c r="G2336" t="inlineStr">
        <is>
          <t>M</t>
        </is>
      </c>
      <c r="I2336" t="inlineStr">
        <is>
          <t>1994-11-25</t>
        </is>
      </c>
      <c r="J2336" t="inlineStr">
        <is>
          <t>2022-11-04</t>
        </is>
      </c>
      <c r="K2336" t="inlineStr">
        <is>
          <t>ACTIVE</t>
        </is>
      </c>
      <c r="M2336" t="inlineStr">
        <is>
          <t>2770 DUKE AVE SE</t>
        </is>
      </c>
      <c r="N2336">
        <f>RIGHT(M2336,LEN(M2336)-FIND(" ",M2336))</f>
        <v/>
      </c>
      <c r="P2336" t="inlineStr">
        <is>
          <t>WARREN</t>
        </is>
      </c>
      <c r="Q2336" t="inlineStr">
        <is>
          <t>OH</t>
        </is>
      </c>
      <c r="R2336" t="n">
        <v>44484</v>
      </c>
      <c r="AD2336" t="inlineStr">
        <is>
          <t>TRUMBULL CAREER &amp; TECH CENTER</t>
        </is>
      </c>
      <c r="AE2336" t="inlineStr">
        <is>
          <t>WARREN CITY</t>
        </is>
      </c>
      <c r="AF2336" t="inlineStr">
        <is>
          <t>WARREN CITY SD</t>
        </is>
      </c>
      <c r="AH2336" t="n">
        <v>14</v>
      </c>
      <c r="AI2336" t="n">
        <v>11</v>
      </c>
      <c r="AN2336" t="inlineStr">
        <is>
          <t>WARREN</t>
        </is>
      </c>
      <c r="AO2336" t="inlineStr">
        <is>
          <t>WARREN CITY 4F</t>
        </is>
      </c>
      <c r="AP2336" t="inlineStr">
        <is>
          <t>78-P-ADN</t>
        </is>
      </c>
      <c r="AQ2336" t="n">
        <v>9</v>
      </c>
      <c r="AR2336" t="n">
        <v>64</v>
      </c>
      <c r="AS2336" t="n">
        <v>32</v>
      </c>
      <c r="AU2336">
        <f>COUNTA($BA$2336:$EH$2336)</f>
        <v/>
      </c>
      <c r="AV2336">
        <f>COUNTIF($BA$2336:$EH$2336,"D")</f>
        <v/>
      </c>
      <c r="AW2336">
        <f>COUNTIF($BA$2336:$EH$2336,"R")</f>
        <v/>
      </c>
      <c r="AX2336">
        <f>IF(BN2336="D",1,0)+IF(BO2336="D",1,0)+IF(BT2336="D",1,0)+IF(BU2336="D",1,0)+IF(BW2336="D",1,0)+IF(CC2336="D",1,0)+IF(CD2336="D",1,0)+IF(CE2336="D",1,0)+IF(CF2336="D",1,0)+IF(CL2336="D",1,0)+IF(CM2336="D",1,0)+IF(CQ2336="D",1,0)+IF(CR2336="D",1,0)+IF(CS2336="D",1,0)+IF(CW2336="D",1,0)+IF(CX2336="D",1,0)+IF(DD2336="D",1,0)+IF(DE2336="D",1,0)+IF(DJ2336="D",1,0)+IF(DK2336="D",1,0)+IF(DO2336="D",1,0)+IF(DP2336="D",1,0)+IF(DQ2336="D",1,0)+IF(DW2336="D",1,0)+IF(DZ2336="D",1,0)+IF(EH2336="D",1,0)</f>
        <v/>
      </c>
      <c r="AY2336">
        <f>IF(DJ2336&lt;&gt;"",1,0)+IF(DK2336&lt;&gt;"",1,0)+IF(DM2336&lt;&gt;"",1,0)+IF(DO2336&lt;&gt;"",1,0)+IF(DP2336&lt;&gt;"",1,0)+IF(DQ2336&lt;&gt;"",1,0)+IF(DS2336&lt;&gt;"",1,0)+IF(DT2336&lt;&gt;"",1,0)+IF(DV2336&lt;&gt;"",1,0)+IF(DW2336&lt;&gt;"",1,0)+IF(DX2336&lt;&gt;"",1,0)+IF(DY2336&lt;&gt;"",1,0)+IF(DZ2336&lt;&gt;"",1,0)+IF(EB2336&lt;&gt;"",1,0)+IF(EC2336&lt;&gt;"",1,0)+IF(ED2336&lt;&gt;"",1,0)+IF(EG2336&lt;&gt;"",1,0)+IF(EH2336&lt;&gt;"",1,0)</f>
        <v/>
      </c>
      <c r="AZ2336">
        <f>IF(EH2336&lt;&gt;"",1,0)</f>
        <v/>
      </c>
      <c r="BB2336" t="inlineStr">
        <is>
          <t>WARREN-WARD 4</t>
        </is>
      </c>
      <c r="DN2336" t="inlineStr">
        <is>
          <t>X</t>
        </is>
      </c>
      <c r="EA2336" t="inlineStr">
        <is>
          <t>X</t>
        </is>
      </c>
      <c r="EF2336" t="inlineStr">
        <is>
          <t>X</t>
        </is>
      </c>
    </row>
    <row r="2337">
      <c r="A2337" t="inlineStr">
        <is>
          <t>OH0023646183</t>
        </is>
      </c>
      <c r="B2337" t="n">
        <v>78</v>
      </c>
      <c r="C2337" t="n">
        <v>415986</v>
      </c>
      <c r="D2337" t="inlineStr">
        <is>
          <t>DAWKINS</t>
        </is>
      </c>
      <c r="E2337" t="inlineStr">
        <is>
          <t>KIMBERLY</t>
        </is>
      </c>
      <c r="F2337">
        <f>CONCATENATE(D2337," ",LEFT(H2337,4),"T=",AU2337,"D=",AV2337,"R=",AW2337,"M=",AX2337,"L=",AY2337,"B=",AZ2337)</f>
        <v/>
      </c>
      <c r="G2337" t="inlineStr">
        <is>
          <t>N</t>
        </is>
      </c>
      <c r="I2337" t="inlineStr">
        <is>
          <t>1968-01-11</t>
        </is>
      </c>
      <c r="J2337" t="inlineStr">
        <is>
          <t>2022-11-30</t>
        </is>
      </c>
      <c r="K2337" t="inlineStr">
        <is>
          <t>ACTIVE</t>
        </is>
      </c>
      <c r="M2337" t="inlineStr">
        <is>
          <t>2733 DUKE AVE SE</t>
        </is>
      </c>
      <c r="N2337">
        <f>RIGHT(M2337,LEN(M2337)-FIND(" ",M2337))</f>
        <v/>
      </c>
      <c r="P2337" t="inlineStr">
        <is>
          <t>WARREN</t>
        </is>
      </c>
      <c r="Q2337" t="inlineStr">
        <is>
          <t>OH</t>
        </is>
      </c>
      <c r="R2337" t="n">
        <v>44484</v>
      </c>
      <c r="AD2337" t="inlineStr">
        <is>
          <t>TRUMBULL CAREER &amp; TECH CENTER</t>
        </is>
      </c>
      <c r="AE2337" t="inlineStr">
        <is>
          <t>WARREN CITY</t>
        </is>
      </c>
      <c r="AF2337" t="inlineStr">
        <is>
          <t>WARREN CITY SD</t>
        </is>
      </c>
      <c r="AH2337" t="n">
        <v>14</v>
      </c>
      <c r="AI2337" t="n">
        <v>11</v>
      </c>
      <c r="AN2337" t="inlineStr">
        <is>
          <t>WARREN</t>
        </is>
      </c>
      <c r="AO2337" t="inlineStr">
        <is>
          <t>WARREN CITY 4F</t>
        </is>
      </c>
      <c r="AP2337" t="inlineStr">
        <is>
          <t>78-P-ADN</t>
        </is>
      </c>
      <c r="AQ2337" t="n">
        <v>9</v>
      </c>
      <c r="AR2337" t="n">
        <v>64</v>
      </c>
      <c r="AS2337" t="n">
        <v>32</v>
      </c>
      <c r="AU2337">
        <f>COUNTA($BA$2337:$EH$2337)</f>
        <v/>
      </c>
      <c r="AV2337">
        <f>COUNTIF($BA$2337:$EH$2337,"D")</f>
        <v/>
      </c>
      <c r="AW2337">
        <f>COUNTIF($BA$2337:$EH$2337,"R")</f>
        <v/>
      </c>
      <c r="AX2337">
        <f>IF(BN2337="D",1,0)+IF(BO2337="D",1,0)+IF(BT2337="D",1,0)+IF(BU2337="D",1,0)+IF(BW2337="D",1,0)+IF(CC2337="D",1,0)+IF(CD2337="D",1,0)+IF(CE2337="D",1,0)+IF(CF2337="D",1,0)+IF(CL2337="D",1,0)+IF(CM2337="D",1,0)+IF(CQ2337="D",1,0)+IF(CR2337="D",1,0)+IF(CS2337="D",1,0)+IF(CW2337="D",1,0)+IF(CX2337="D",1,0)+IF(DD2337="D",1,0)+IF(DE2337="D",1,0)+IF(DJ2337="D",1,0)+IF(DK2337="D",1,0)+IF(DO2337="D",1,0)+IF(DP2337="D",1,0)+IF(DQ2337="D",1,0)+IF(DW2337="D",1,0)+IF(DZ2337="D",1,0)+IF(EH2337="D",1,0)</f>
        <v/>
      </c>
      <c r="AY2337">
        <f>IF(DJ2337&lt;&gt;"",1,0)+IF(DK2337&lt;&gt;"",1,0)+IF(DM2337&lt;&gt;"",1,0)+IF(DO2337&lt;&gt;"",1,0)+IF(DP2337&lt;&gt;"",1,0)+IF(DQ2337&lt;&gt;"",1,0)+IF(DS2337&lt;&gt;"",1,0)+IF(DT2337&lt;&gt;"",1,0)+IF(DV2337&lt;&gt;"",1,0)+IF(DW2337&lt;&gt;"",1,0)+IF(DX2337&lt;&gt;"",1,0)+IF(DY2337&lt;&gt;"",1,0)+IF(DZ2337&lt;&gt;"",1,0)+IF(EB2337&lt;&gt;"",1,0)+IF(EC2337&lt;&gt;"",1,0)+IF(ED2337&lt;&gt;"",1,0)+IF(EG2337&lt;&gt;"",1,0)+IF(EH2337&lt;&gt;"",1,0)</f>
        <v/>
      </c>
      <c r="AZ2337">
        <f>IF(EH2337&lt;&gt;"",1,0)</f>
        <v/>
      </c>
      <c r="BB2337" t="inlineStr">
        <is>
          <t>WARREN-WARD 4</t>
        </is>
      </c>
      <c r="DC2337" t="inlineStr">
        <is>
          <t>X</t>
        </is>
      </c>
      <c r="DU2337" t="inlineStr">
        <is>
          <t>X</t>
        </is>
      </c>
    </row>
    <row r="2338">
      <c r="A2338" t="inlineStr">
        <is>
          <t>OH0027535426</t>
        </is>
      </c>
      <c r="B2338" t="n">
        <v>78</v>
      </c>
      <c r="C2338" t="n">
        <v>488055</v>
      </c>
      <c r="D2338" t="inlineStr">
        <is>
          <t>CRAIG</t>
        </is>
      </c>
      <c r="E2338" t="inlineStr">
        <is>
          <t>ANTHONY</t>
        </is>
      </c>
      <c r="F2338">
        <f>CONCATENATE(D2338," ",LEFT(H2338,4),"T=",AU2338,"D=",AV2338,"R=",AW2338,"M=",AX2338,"L=",AY2338,"B=",AZ2338)</f>
        <v/>
      </c>
      <c r="G2338" t="inlineStr">
        <is>
          <t>A</t>
        </is>
      </c>
      <c r="I2338" t="inlineStr">
        <is>
          <t>1977-10-10</t>
        </is>
      </c>
      <c r="J2338" t="inlineStr">
        <is>
          <t>2024-07-30</t>
        </is>
      </c>
      <c r="K2338" t="inlineStr">
        <is>
          <t>ACTIVE</t>
        </is>
      </c>
      <c r="M2338" t="inlineStr">
        <is>
          <t>1504 OAK KNOLL AVE SE</t>
        </is>
      </c>
      <c r="N2338">
        <f>RIGHT(M2338,LEN(M2338)-FIND(" ",M2338))</f>
        <v/>
      </c>
      <c r="P2338" t="inlineStr">
        <is>
          <t>WARREN</t>
        </is>
      </c>
      <c r="Q2338" t="inlineStr">
        <is>
          <t>OH</t>
        </is>
      </c>
      <c r="R2338" t="n">
        <v>44484</v>
      </c>
      <c r="AD2338" t="inlineStr">
        <is>
          <t>TRUMBULL CAREER &amp; TECH CENTER</t>
        </is>
      </c>
      <c r="AE2338" t="inlineStr">
        <is>
          <t>WARREN CITY</t>
        </is>
      </c>
      <c r="AF2338" t="inlineStr">
        <is>
          <t>WARREN CITY SD</t>
        </is>
      </c>
      <c r="AH2338" t="n">
        <v>14</v>
      </c>
      <c r="AI2338" t="n">
        <v>11</v>
      </c>
      <c r="AN2338" t="inlineStr">
        <is>
          <t>WARREN</t>
        </is>
      </c>
      <c r="AO2338" t="inlineStr">
        <is>
          <t>WARREN CITY 4F</t>
        </is>
      </c>
      <c r="AP2338" t="inlineStr">
        <is>
          <t>78-P-ADN</t>
        </is>
      </c>
      <c r="AQ2338" t="n">
        <v>9</v>
      </c>
      <c r="AR2338" t="n">
        <v>64</v>
      </c>
      <c r="AS2338" t="n">
        <v>32</v>
      </c>
      <c r="AU2338">
        <f>COUNTA($BA$2338:$EH$2338)</f>
        <v/>
      </c>
      <c r="AV2338">
        <f>COUNTIF($BA$2338:$EH$2338,"D")</f>
        <v/>
      </c>
      <c r="AW2338">
        <f>COUNTIF($BA$2338:$EH$2338,"R")</f>
        <v/>
      </c>
      <c r="AX2338">
        <f>IF(BN2338="D",1,0)+IF(BO2338="D",1,0)+IF(BT2338="D",1,0)+IF(BU2338="D",1,0)+IF(BW2338="D",1,0)+IF(CC2338="D",1,0)+IF(CD2338="D",1,0)+IF(CE2338="D",1,0)+IF(CF2338="D",1,0)+IF(CL2338="D",1,0)+IF(CM2338="D",1,0)+IF(CQ2338="D",1,0)+IF(CR2338="D",1,0)+IF(CS2338="D",1,0)+IF(CW2338="D",1,0)+IF(CX2338="D",1,0)+IF(DD2338="D",1,0)+IF(DE2338="D",1,0)+IF(DJ2338="D",1,0)+IF(DK2338="D",1,0)+IF(DO2338="D",1,0)+IF(DP2338="D",1,0)+IF(DQ2338="D",1,0)+IF(DW2338="D",1,0)+IF(DZ2338="D",1,0)+IF(EH2338="D",1,0)</f>
        <v/>
      </c>
      <c r="AY2338">
        <f>IF(DJ2338&lt;&gt;"",1,0)+IF(DK2338&lt;&gt;"",1,0)+IF(DM2338&lt;&gt;"",1,0)+IF(DO2338&lt;&gt;"",1,0)+IF(DP2338&lt;&gt;"",1,0)+IF(DQ2338&lt;&gt;"",1,0)+IF(DS2338&lt;&gt;"",1,0)+IF(DT2338&lt;&gt;"",1,0)+IF(DV2338&lt;&gt;"",1,0)+IF(DW2338&lt;&gt;"",1,0)+IF(DX2338&lt;&gt;"",1,0)+IF(DY2338&lt;&gt;"",1,0)+IF(DZ2338&lt;&gt;"",1,0)+IF(EB2338&lt;&gt;"",1,0)+IF(EC2338&lt;&gt;"",1,0)+IF(ED2338&lt;&gt;"",1,0)+IF(EG2338&lt;&gt;"",1,0)+IF(EH2338&lt;&gt;"",1,0)</f>
        <v/>
      </c>
      <c r="AZ2338">
        <f>IF(EH2338&lt;&gt;"",1,0)</f>
        <v/>
      </c>
      <c r="BB2338" t="inlineStr">
        <is>
          <t>WARREN-WARD 4</t>
        </is>
      </c>
      <c r="CG2338" t="inlineStr">
        <is>
          <t>X</t>
        </is>
      </c>
      <c r="CP2338" t="inlineStr">
        <is>
          <t>X</t>
        </is>
      </c>
    </row>
    <row r="2339">
      <c r="A2339" t="inlineStr">
        <is>
          <t>OH0023545681</t>
        </is>
      </c>
      <c r="B2339" t="n">
        <v>78</v>
      </c>
      <c r="C2339" t="n">
        <v>414662</v>
      </c>
      <c r="D2339" t="inlineStr">
        <is>
          <t>SPEELMAN</t>
        </is>
      </c>
      <c r="E2339" t="inlineStr">
        <is>
          <t>LARLUN</t>
        </is>
      </c>
      <c r="F2339">
        <f>CONCATENATE(D2339," ",LEFT(H2339,4),"T=",AU2339,"D=",AV2339,"R=",AW2339,"M=",AX2339,"L=",AY2339,"B=",AZ2339)</f>
        <v/>
      </c>
      <c r="G2339" t="inlineStr">
        <is>
          <t>THOMAS</t>
        </is>
      </c>
      <c r="I2339" t="inlineStr">
        <is>
          <t>1997-09-11</t>
        </is>
      </c>
      <c r="J2339" t="inlineStr">
        <is>
          <t>2025-03-19</t>
        </is>
      </c>
      <c r="K2339" t="inlineStr">
        <is>
          <t>ACTIVE</t>
        </is>
      </c>
      <c r="M2339" t="inlineStr">
        <is>
          <t>1948 BENTON ST SE</t>
        </is>
      </c>
      <c r="N2339">
        <f>RIGHT(M2339,LEN(M2339)-FIND(" ",M2339))</f>
        <v/>
      </c>
      <c r="P2339" t="inlineStr">
        <is>
          <t>WARREN</t>
        </is>
      </c>
      <c r="Q2339" t="inlineStr">
        <is>
          <t>OH</t>
        </is>
      </c>
      <c r="R2339" t="n">
        <v>44484</v>
      </c>
      <c r="AD2339" t="inlineStr">
        <is>
          <t>TRUMBULL CAREER &amp; TECH CENTER</t>
        </is>
      </c>
      <c r="AE2339" t="inlineStr">
        <is>
          <t>WARREN CITY</t>
        </is>
      </c>
      <c r="AF2339" t="inlineStr">
        <is>
          <t>WARREN CITY SD</t>
        </is>
      </c>
      <c r="AH2339" t="n">
        <v>14</v>
      </c>
      <c r="AI2339" t="n">
        <v>11</v>
      </c>
      <c r="AN2339" t="inlineStr">
        <is>
          <t>WARREN</t>
        </is>
      </c>
      <c r="AO2339" t="inlineStr">
        <is>
          <t>WARREN CITY 4F</t>
        </is>
      </c>
      <c r="AP2339" t="inlineStr">
        <is>
          <t>78-P-ADN</t>
        </is>
      </c>
      <c r="AQ2339" t="n">
        <v>9</v>
      </c>
      <c r="AR2339" t="n">
        <v>64</v>
      </c>
      <c r="AS2339" t="n">
        <v>32</v>
      </c>
      <c r="AU2339">
        <f>COUNTA($BA$2339:$EH$2339)</f>
        <v/>
      </c>
      <c r="AV2339">
        <f>COUNTIF($BA$2339:$EH$2339,"D")</f>
        <v/>
      </c>
      <c r="AW2339">
        <f>COUNTIF($BA$2339:$EH$2339,"R")</f>
        <v/>
      </c>
      <c r="AX2339">
        <f>IF(BN2339="D",1,0)+IF(BO2339="D",1,0)+IF(BT2339="D",1,0)+IF(BU2339="D",1,0)+IF(BW2339="D",1,0)+IF(CC2339="D",1,0)+IF(CD2339="D",1,0)+IF(CE2339="D",1,0)+IF(CF2339="D",1,0)+IF(CL2339="D",1,0)+IF(CM2339="D",1,0)+IF(CQ2339="D",1,0)+IF(CR2339="D",1,0)+IF(CS2339="D",1,0)+IF(CW2339="D",1,0)+IF(CX2339="D",1,0)+IF(DD2339="D",1,0)+IF(DE2339="D",1,0)+IF(DJ2339="D",1,0)+IF(DK2339="D",1,0)+IF(DO2339="D",1,0)+IF(DP2339="D",1,0)+IF(DQ2339="D",1,0)+IF(DW2339="D",1,0)+IF(DZ2339="D",1,0)+IF(EH2339="D",1,0)</f>
        <v/>
      </c>
      <c r="AY2339">
        <f>IF(DJ2339&lt;&gt;"",1,0)+IF(DK2339&lt;&gt;"",1,0)+IF(DM2339&lt;&gt;"",1,0)+IF(DO2339&lt;&gt;"",1,0)+IF(DP2339&lt;&gt;"",1,0)+IF(DQ2339&lt;&gt;"",1,0)+IF(DS2339&lt;&gt;"",1,0)+IF(DT2339&lt;&gt;"",1,0)+IF(DV2339&lt;&gt;"",1,0)+IF(DW2339&lt;&gt;"",1,0)+IF(DX2339&lt;&gt;"",1,0)+IF(DY2339&lt;&gt;"",1,0)+IF(DZ2339&lt;&gt;"",1,0)+IF(EB2339&lt;&gt;"",1,0)+IF(EC2339&lt;&gt;"",1,0)+IF(ED2339&lt;&gt;"",1,0)+IF(EG2339&lt;&gt;"",1,0)+IF(EH2339&lt;&gt;"",1,0)</f>
        <v/>
      </c>
      <c r="AZ2339">
        <f>IF(EH2339&lt;&gt;"",1,0)</f>
        <v/>
      </c>
      <c r="BB2339" t="inlineStr">
        <is>
          <t>WARREN-WARD 4</t>
        </is>
      </c>
      <c r="DC2339" t="inlineStr">
        <is>
          <t>X</t>
        </is>
      </c>
      <c r="DU2339" t="inlineStr">
        <is>
          <t>X</t>
        </is>
      </c>
    </row>
    <row r="2340">
      <c r="A2340" t="inlineStr">
        <is>
          <t>OH0015692976</t>
        </is>
      </c>
      <c r="B2340" t="n">
        <v>78</v>
      </c>
      <c r="C2340" t="n">
        <v>14235</v>
      </c>
      <c r="D2340" t="inlineStr">
        <is>
          <t>BAILEY</t>
        </is>
      </c>
      <c r="E2340" t="inlineStr">
        <is>
          <t>RALPH</t>
        </is>
      </c>
      <c r="F2340">
        <f>CONCATENATE(D2340," ",LEFT(H2340,4),"T=",AU2340,"D=",AV2340,"R=",AW2340,"M=",AX2340,"L=",AY2340,"B=",AZ2340)</f>
        <v/>
      </c>
      <c r="G2340" t="inlineStr">
        <is>
          <t>E</t>
        </is>
      </c>
      <c r="I2340" t="inlineStr">
        <is>
          <t>1957-04-26</t>
        </is>
      </c>
      <c r="J2340" t="inlineStr">
        <is>
          <t>2008-11-04</t>
        </is>
      </c>
      <c r="K2340" t="inlineStr">
        <is>
          <t>ACTIVE</t>
        </is>
      </c>
      <c r="L2340" t="inlineStr">
        <is>
          <t>D</t>
        </is>
      </c>
      <c r="M2340" t="inlineStr">
        <is>
          <t>1541 HOMEWOOD AVE SE</t>
        </is>
      </c>
      <c r="N2340">
        <f>RIGHT(M2340,LEN(M2340)-FIND(" ",M2340))</f>
        <v/>
      </c>
      <c r="P2340" t="inlineStr">
        <is>
          <t>WARREN</t>
        </is>
      </c>
      <c r="Q2340" t="inlineStr">
        <is>
          <t>OH</t>
        </is>
      </c>
      <c r="R2340" t="n">
        <v>44484</v>
      </c>
      <c r="AD2340" t="inlineStr">
        <is>
          <t>TRUMBULL CAREER &amp; TECH CENTER</t>
        </is>
      </c>
      <c r="AE2340" t="inlineStr">
        <is>
          <t>WARREN CITY</t>
        </is>
      </c>
      <c r="AF2340" t="inlineStr">
        <is>
          <t>WARREN CITY SD</t>
        </is>
      </c>
      <c r="AH2340" t="n">
        <v>14</v>
      </c>
      <c r="AI2340" t="n">
        <v>11</v>
      </c>
      <c r="AN2340" t="inlineStr">
        <is>
          <t>WARREN</t>
        </is>
      </c>
      <c r="AO2340" t="inlineStr">
        <is>
          <t>WARREN CITY 4F</t>
        </is>
      </c>
      <c r="AP2340" t="inlineStr">
        <is>
          <t>78-P-ADN</t>
        </is>
      </c>
      <c r="AQ2340" t="n">
        <v>9</v>
      </c>
      <c r="AR2340" t="n">
        <v>64</v>
      </c>
      <c r="AS2340" t="n">
        <v>32</v>
      </c>
      <c r="AU2340">
        <f>COUNTA($BA$2340:$EH$2340)</f>
        <v/>
      </c>
      <c r="AV2340">
        <f>COUNTIF($BA$2340:$EH$2340,"D")</f>
        <v/>
      </c>
      <c r="AW2340">
        <f>COUNTIF($BA$2340:$EH$2340,"R")</f>
        <v/>
      </c>
      <c r="AX2340">
        <f>IF(BN2340="D",1,0)+IF(BO2340="D",1,0)+IF(BT2340="D",1,0)+IF(BU2340="D",1,0)+IF(BW2340="D",1,0)+IF(CC2340="D",1,0)+IF(CD2340="D",1,0)+IF(CE2340="D",1,0)+IF(CF2340="D",1,0)+IF(CL2340="D",1,0)+IF(CM2340="D",1,0)+IF(CQ2340="D",1,0)+IF(CR2340="D",1,0)+IF(CS2340="D",1,0)+IF(CW2340="D",1,0)+IF(CX2340="D",1,0)+IF(DD2340="D",1,0)+IF(DE2340="D",1,0)+IF(DJ2340="D",1,0)+IF(DK2340="D",1,0)+IF(DO2340="D",1,0)+IF(DP2340="D",1,0)+IF(DQ2340="D",1,0)+IF(DW2340="D",1,0)+IF(DZ2340="D",1,0)+IF(EH2340="D",1,0)</f>
        <v/>
      </c>
      <c r="AY2340">
        <f>IF(DJ2340&lt;&gt;"",1,0)+IF(DK2340&lt;&gt;"",1,0)+IF(DM2340&lt;&gt;"",1,0)+IF(DO2340&lt;&gt;"",1,0)+IF(DP2340&lt;&gt;"",1,0)+IF(DQ2340&lt;&gt;"",1,0)+IF(DS2340&lt;&gt;"",1,0)+IF(DT2340&lt;&gt;"",1,0)+IF(DV2340&lt;&gt;"",1,0)+IF(DW2340&lt;&gt;"",1,0)+IF(DX2340&lt;&gt;"",1,0)+IF(DY2340&lt;&gt;"",1,0)+IF(DZ2340&lt;&gt;"",1,0)+IF(EB2340&lt;&gt;"",1,0)+IF(EC2340&lt;&gt;"",1,0)+IF(ED2340&lt;&gt;"",1,0)+IF(EG2340&lt;&gt;"",1,0)+IF(EH2340&lt;&gt;"",1,0)</f>
        <v/>
      </c>
      <c r="AZ2340">
        <f>IF(EH2340&lt;&gt;"",1,0)</f>
        <v/>
      </c>
      <c r="BB2340" t="inlineStr">
        <is>
          <t>WARREN-WARD 4</t>
        </is>
      </c>
      <c r="BC2340" t="inlineStr">
        <is>
          <t>X</t>
        </is>
      </c>
      <c r="BD2340" t="inlineStr">
        <is>
          <t>X</t>
        </is>
      </c>
      <c r="BE2340" t="inlineStr">
        <is>
          <t>X</t>
        </is>
      </c>
      <c r="BF2340" t="inlineStr">
        <is>
          <t>X</t>
        </is>
      </c>
      <c r="BH2340" t="inlineStr">
        <is>
          <t>X</t>
        </is>
      </c>
      <c r="BJ2340" t="inlineStr">
        <is>
          <t>X</t>
        </is>
      </c>
      <c r="BL2340" t="inlineStr">
        <is>
          <t>X</t>
        </is>
      </c>
      <c r="BP2340" t="inlineStr">
        <is>
          <t>X</t>
        </is>
      </c>
      <c r="BR2340" t="inlineStr">
        <is>
          <t>X</t>
        </is>
      </c>
      <c r="BV2340" t="inlineStr">
        <is>
          <t>X</t>
        </is>
      </c>
      <c r="BY2340" t="inlineStr">
        <is>
          <t>D</t>
        </is>
      </c>
      <c r="CA2340" t="inlineStr">
        <is>
          <t>X</t>
        </is>
      </c>
      <c r="CK2340" t="inlineStr">
        <is>
          <t>X</t>
        </is>
      </c>
      <c r="CL2340" t="inlineStr">
        <is>
          <t>D</t>
        </is>
      </c>
      <c r="CN2340" t="inlineStr">
        <is>
          <t>X</t>
        </is>
      </c>
      <c r="CP2340" t="inlineStr">
        <is>
          <t>X</t>
        </is>
      </c>
      <c r="CW2340" t="inlineStr">
        <is>
          <t>D</t>
        </is>
      </c>
      <c r="CY2340" t="inlineStr">
        <is>
          <t>X</t>
        </is>
      </c>
      <c r="DC2340" t="inlineStr">
        <is>
          <t>X</t>
        </is>
      </c>
      <c r="DF2340" t="inlineStr">
        <is>
          <t>X</t>
        </is>
      </c>
      <c r="DG2340" t="inlineStr">
        <is>
          <t>D</t>
        </is>
      </c>
      <c r="DI2340" t="inlineStr">
        <is>
          <t>X</t>
        </is>
      </c>
      <c r="DJ2340" t="inlineStr">
        <is>
          <t>D</t>
        </is>
      </c>
      <c r="DL2340" t="inlineStr">
        <is>
          <t>X</t>
        </is>
      </c>
      <c r="DM2340" t="inlineStr">
        <is>
          <t>D</t>
        </is>
      </c>
      <c r="DN2340" t="inlineStr">
        <is>
          <t>X</t>
        </is>
      </c>
      <c r="DR2340" t="inlineStr">
        <is>
          <t>X</t>
        </is>
      </c>
      <c r="DS2340" t="inlineStr">
        <is>
          <t>D</t>
        </is>
      </c>
      <c r="DU2340" t="inlineStr">
        <is>
          <t>X</t>
        </is>
      </c>
      <c r="DW2340" t="inlineStr">
        <is>
          <t>D</t>
        </is>
      </c>
      <c r="DX2340" t="inlineStr">
        <is>
          <t>X</t>
        </is>
      </c>
      <c r="EF2340" t="inlineStr">
        <is>
          <t>X</t>
        </is>
      </c>
    </row>
    <row r="2341">
      <c r="A2341" t="inlineStr">
        <is>
          <t>OH0027532809</t>
        </is>
      </c>
      <c r="B2341" t="n">
        <v>78</v>
      </c>
      <c r="C2341" t="n">
        <v>387649</v>
      </c>
      <c r="D2341" t="inlineStr">
        <is>
          <t>CELEDONIA</t>
        </is>
      </c>
      <c r="E2341" t="inlineStr">
        <is>
          <t>JOSEPH</t>
        </is>
      </c>
      <c r="F2341">
        <f>CONCATENATE(D2341," ",LEFT(H2341,4),"T=",AU2341,"D=",AV2341,"R=",AW2341,"M=",AX2341,"L=",AY2341,"B=",AZ2341)</f>
        <v/>
      </c>
      <c r="G2341" t="inlineStr">
        <is>
          <t>M</t>
        </is>
      </c>
      <c r="I2341" t="inlineStr">
        <is>
          <t>1973-08-15</t>
        </is>
      </c>
      <c r="J2341" t="inlineStr">
        <is>
          <t>2024-08-12</t>
        </is>
      </c>
      <c r="K2341" t="inlineStr">
        <is>
          <t>ACTIVE</t>
        </is>
      </c>
      <c r="M2341" t="inlineStr">
        <is>
          <t>1151 NILES RD SE</t>
        </is>
      </c>
      <c r="N2341">
        <f>RIGHT(M2341,LEN(M2341)-FIND(" ",M2341))</f>
        <v/>
      </c>
      <c r="P2341" t="inlineStr">
        <is>
          <t>WARREN</t>
        </is>
      </c>
      <c r="Q2341" t="inlineStr">
        <is>
          <t>OH</t>
        </is>
      </c>
      <c r="R2341" t="n">
        <v>44484</v>
      </c>
      <c r="AD2341" t="inlineStr">
        <is>
          <t>TRUMBULL CAREER &amp; TECH CENTER</t>
        </is>
      </c>
      <c r="AE2341" t="inlineStr">
        <is>
          <t>WARREN CITY</t>
        </is>
      </c>
      <c r="AF2341" t="inlineStr">
        <is>
          <t>WARREN CITY SD</t>
        </is>
      </c>
      <c r="AH2341" t="n">
        <v>14</v>
      </c>
      <c r="AI2341" t="n">
        <v>11</v>
      </c>
      <c r="AN2341" t="inlineStr">
        <is>
          <t>WARREN</t>
        </is>
      </c>
      <c r="AO2341" t="inlineStr">
        <is>
          <t>WARREN CITY 4F</t>
        </is>
      </c>
      <c r="AP2341" t="inlineStr">
        <is>
          <t>78-P-ADN</t>
        </is>
      </c>
      <c r="AQ2341" t="n">
        <v>9</v>
      </c>
      <c r="AR2341" t="n">
        <v>64</v>
      </c>
      <c r="AS2341" t="n">
        <v>32</v>
      </c>
      <c r="AU2341">
        <f>COUNTA($BA$2341:$EH$2341)</f>
        <v/>
      </c>
      <c r="AV2341">
        <f>COUNTIF($BA$2341:$EH$2341,"D")</f>
        <v/>
      </c>
      <c r="AW2341">
        <f>COUNTIF($BA$2341:$EH$2341,"R")</f>
        <v/>
      </c>
      <c r="AX2341">
        <f>IF(BN2341="D",1,0)+IF(BO2341="D",1,0)+IF(BT2341="D",1,0)+IF(BU2341="D",1,0)+IF(BW2341="D",1,0)+IF(CC2341="D",1,0)+IF(CD2341="D",1,0)+IF(CE2341="D",1,0)+IF(CF2341="D",1,0)+IF(CL2341="D",1,0)+IF(CM2341="D",1,0)+IF(CQ2341="D",1,0)+IF(CR2341="D",1,0)+IF(CS2341="D",1,0)+IF(CW2341="D",1,0)+IF(CX2341="D",1,0)+IF(DD2341="D",1,0)+IF(DE2341="D",1,0)+IF(DJ2341="D",1,0)+IF(DK2341="D",1,0)+IF(DO2341="D",1,0)+IF(DP2341="D",1,0)+IF(DQ2341="D",1,0)+IF(DW2341="D",1,0)+IF(DZ2341="D",1,0)+IF(EH2341="D",1,0)</f>
        <v/>
      </c>
      <c r="AY2341">
        <f>IF(DJ2341&lt;&gt;"",1,0)+IF(DK2341&lt;&gt;"",1,0)+IF(DM2341&lt;&gt;"",1,0)+IF(DO2341&lt;&gt;"",1,0)+IF(DP2341&lt;&gt;"",1,0)+IF(DQ2341&lt;&gt;"",1,0)+IF(DS2341&lt;&gt;"",1,0)+IF(DT2341&lt;&gt;"",1,0)+IF(DV2341&lt;&gt;"",1,0)+IF(DW2341&lt;&gt;"",1,0)+IF(DX2341&lt;&gt;"",1,0)+IF(DY2341&lt;&gt;"",1,0)+IF(DZ2341&lt;&gt;"",1,0)+IF(EB2341&lt;&gt;"",1,0)+IF(EC2341&lt;&gt;"",1,0)+IF(ED2341&lt;&gt;"",1,0)+IF(EG2341&lt;&gt;"",1,0)+IF(EH2341&lt;&gt;"",1,0)</f>
        <v/>
      </c>
      <c r="AZ2341">
        <f>IF(EH2341&lt;&gt;"",1,0)</f>
        <v/>
      </c>
      <c r="BB2341" t="inlineStr">
        <is>
          <t>WARREN-WARD 4</t>
        </is>
      </c>
    </row>
    <row r="2342">
      <c r="A2342" t="inlineStr">
        <is>
          <t>OH0020292132</t>
        </is>
      </c>
      <c r="B2342" t="n">
        <v>78</v>
      </c>
      <c r="C2342" t="n">
        <v>365436</v>
      </c>
      <c r="D2342" t="inlineStr">
        <is>
          <t>SUMMERLIN</t>
        </is>
      </c>
      <c r="E2342" t="inlineStr">
        <is>
          <t>SHANITA</t>
        </is>
      </c>
      <c r="F2342">
        <f>CONCATENATE(D2342," ",LEFT(H2342,4),"T=",AU2342,"D=",AV2342,"R=",AW2342,"M=",AX2342,"L=",AY2342,"B=",AZ2342)</f>
        <v/>
      </c>
      <c r="G2342" t="inlineStr">
        <is>
          <t>L</t>
        </is>
      </c>
      <c r="I2342" t="inlineStr">
        <is>
          <t>1988-01-28</t>
        </is>
      </c>
      <c r="J2342" t="inlineStr">
        <is>
          <t>2024-11-02</t>
        </is>
      </c>
      <c r="K2342" t="inlineStr">
        <is>
          <t>ACTIVE</t>
        </is>
      </c>
      <c r="M2342" t="inlineStr">
        <is>
          <t>1596 ADELAIDE AVE SE</t>
        </is>
      </c>
      <c r="N2342">
        <f>RIGHT(M2342,LEN(M2342)-FIND(" ",M2342))</f>
        <v/>
      </c>
      <c r="P2342" t="inlineStr">
        <is>
          <t>WARREN</t>
        </is>
      </c>
      <c r="Q2342" t="inlineStr">
        <is>
          <t>OH</t>
        </is>
      </c>
      <c r="R2342" t="n">
        <v>44484</v>
      </c>
      <c r="AD2342" t="inlineStr">
        <is>
          <t>TRUMBULL CAREER &amp; TECH CENTER</t>
        </is>
      </c>
      <c r="AE2342" t="inlineStr">
        <is>
          <t>WARREN CITY</t>
        </is>
      </c>
      <c r="AF2342" t="inlineStr">
        <is>
          <t>WARREN CITY SD</t>
        </is>
      </c>
      <c r="AH2342" t="n">
        <v>14</v>
      </c>
      <c r="AI2342" t="n">
        <v>11</v>
      </c>
      <c r="AN2342" t="inlineStr">
        <is>
          <t>WARREN</t>
        </is>
      </c>
      <c r="AO2342" t="inlineStr">
        <is>
          <t>WARREN CITY 4F</t>
        </is>
      </c>
      <c r="AP2342" t="inlineStr">
        <is>
          <t>78-P-ADN</t>
        </is>
      </c>
      <c r="AQ2342" t="n">
        <v>9</v>
      </c>
      <c r="AR2342" t="n">
        <v>64</v>
      </c>
      <c r="AS2342" t="n">
        <v>32</v>
      </c>
      <c r="AU2342">
        <f>COUNTA($BA$2342:$EH$2342)</f>
        <v/>
      </c>
      <c r="AV2342">
        <f>COUNTIF($BA$2342:$EH$2342,"D")</f>
        <v/>
      </c>
      <c r="AW2342">
        <f>COUNTIF($BA$2342:$EH$2342,"R")</f>
        <v/>
      </c>
      <c r="AX2342">
        <f>IF(BN2342="D",1,0)+IF(BO2342="D",1,0)+IF(BT2342="D",1,0)+IF(BU2342="D",1,0)+IF(BW2342="D",1,0)+IF(CC2342="D",1,0)+IF(CD2342="D",1,0)+IF(CE2342="D",1,0)+IF(CF2342="D",1,0)+IF(CL2342="D",1,0)+IF(CM2342="D",1,0)+IF(CQ2342="D",1,0)+IF(CR2342="D",1,0)+IF(CS2342="D",1,0)+IF(CW2342="D",1,0)+IF(CX2342="D",1,0)+IF(DD2342="D",1,0)+IF(DE2342="D",1,0)+IF(DJ2342="D",1,0)+IF(DK2342="D",1,0)+IF(DO2342="D",1,0)+IF(DP2342="D",1,0)+IF(DQ2342="D",1,0)+IF(DW2342="D",1,0)+IF(DZ2342="D",1,0)+IF(EH2342="D",1,0)</f>
        <v/>
      </c>
      <c r="AY2342">
        <f>IF(DJ2342&lt;&gt;"",1,0)+IF(DK2342&lt;&gt;"",1,0)+IF(DM2342&lt;&gt;"",1,0)+IF(DO2342&lt;&gt;"",1,0)+IF(DP2342&lt;&gt;"",1,0)+IF(DQ2342&lt;&gt;"",1,0)+IF(DS2342&lt;&gt;"",1,0)+IF(DT2342&lt;&gt;"",1,0)+IF(DV2342&lt;&gt;"",1,0)+IF(DW2342&lt;&gt;"",1,0)+IF(DX2342&lt;&gt;"",1,0)+IF(DY2342&lt;&gt;"",1,0)+IF(DZ2342&lt;&gt;"",1,0)+IF(EB2342&lt;&gt;"",1,0)+IF(EC2342&lt;&gt;"",1,0)+IF(ED2342&lt;&gt;"",1,0)+IF(EG2342&lt;&gt;"",1,0)+IF(EH2342&lt;&gt;"",1,0)</f>
        <v/>
      </c>
      <c r="AZ2342">
        <f>IF(EH2342&lt;&gt;"",1,0)</f>
        <v/>
      </c>
      <c r="BB2342" t="inlineStr">
        <is>
          <t>WARREN-WARD 4</t>
        </is>
      </c>
    </row>
    <row r="2343">
      <c r="A2343" t="inlineStr">
        <is>
          <t>OH0026587910</t>
        </is>
      </c>
      <c r="B2343" t="n">
        <v>78</v>
      </c>
      <c r="C2343" t="n">
        <v>464641</v>
      </c>
      <c r="D2343" t="inlineStr">
        <is>
          <t>LOGGINS</t>
        </is>
      </c>
      <c r="E2343" t="inlineStr">
        <is>
          <t>WILLIAM</t>
        </is>
      </c>
      <c r="F2343">
        <f>CONCATENATE(D2343," ",LEFT(H2343,4),"T=",AU2343,"D=",AV2343,"R=",AW2343,"M=",AX2343,"L=",AY2343,"B=",AZ2343)</f>
        <v/>
      </c>
      <c r="G2343" t="inlineStr">
        <is>
          <t>DEMON</t>
        </is>
      </c>
      <c r="I2343" t="inlineStr">
        <is>
          <t>2003-12-11</t>
        </is>
      </c>
      <c r="J2343" t="inlineStr">
        <is>
          <t>2022-08-01</t>
        </is>
      </c>
      <c r="K2343" t="inlineStr">
        <is>
          <t>ACTIVE</t>
        </is>
      </c>
      <c r="M2343" t="inlineStr">
        <is>
          <t>1140 WOODBINE AVE SE</t>
        </is>
      </c>
      <c r="N2343">
        <f>RIGHT(M2343,LEN(M2343)-FIND(" ",M2343))</f>
        <v/>
      </c>
      <c r="P2343" t="inlineStr">
        <is>
          <t>WARREN</t>
        </is>
      </c>
      <c r="Q2343" t="inlineStr">
        <is>
          <t>OH</t>
        </is>
      </c>
      <c r="R2343" t="n">
        <v>44484</v>
      </c>
      <c r="AD2343" t="inlineStr">
        <is>
          <t>TRUMBULL CAREER &amp; TECH CENTER</t>
        </is>
      </c>
      <c r="AE2343" t="inlineStr">
        <is>
          <t>WARREN CITY</t>
        </is>
      </c>
      <c r="AF2343" t="inlineStr">
        <is>
          <t>WARREN CITY SD</t>
        </is>
      </c>
      <c r="AH2343" t="n">
        <v>14</v>
      </c>
      <c r="AI2343" t="n">
        <v>11</v>
      </c>
      <c r="AN2343" t="inlineStr">
        <is>
          <t>WARREN</t>
        </is>
      </c>
      <c r="AO2343" t="inlineStr">
        <is>
          <t>WARREN CITY 4F</t>
        </is>
      </c>
      <c r="AP2343" t="inlineStr">
        <is>
          <t>78-P-ADN</t>
        </is>
      </c>
      <c r="AQ2343" t="n">
        <v>9</v>
      </c>
      <c r="AR2343" t="n">
        <v>64</v>
      </c>
      <c r="AS2343" t="n">
        <v>32</v>
      </c>
      <c r="AU2343">
        <f>COUNTA($BA$2343:$EH$2343)</f>
        <v/>
      </c>
      <c r="AV2343">
        <f>COUNTIF($BA$2343:$EH$2343,"D")</f>
        <v/>
      </c>
      <c r="AW2343">
        <f>COUNTIF($BA$2343:$EH$2343,"R")</f>
        <v/>
      </c>
      <c r="AX2343">
        <f>IF(BN2343="D",1,0)+IF(BO2343="D",1,0)+IF(BT2343="D",1,0)+IF(BU2343="D",1,0)+IF(BW2343="D",1,0)+IF(CC2343="D",1,0)+IF(CD2343="D",1,0)+IF(CE2343="D",1,0)+IF(CF2343="D",1,0)+IF(CL2343="D",1,0)+IF(CM2343="D",1,0)+IF(CQ2343="D",1,0)+IF(CR2343="D",1,0)+IF(CS2343="D",1,0)+IF(CW2343="D",1,0)+IF(CX2343="D",1,0)+IF(DD2343="D",1,0)+IF(DE2343="D",1,0)+IF(DJ2343="D",1,0)+IF(DK2343="D",1,0)+IF(DO2343="D",1,0)+IF(DP2343="D",1,0)+IF(DQ2343="D",1,0)+IF(DW2343="D",1,0)+IF(DZ2343="D",1,0)+IF(EH2343="D",1,0)</f>
        <v/>
      </c>
      <c r="AY2343">
        <f>IF(DJ2343&lt;&gt;"",1,0)+IF(DK2343&lt;&gt;"",1,0)+IF(DM2343&lt;&gt;"",1,0)+IF(DO2343&lt;&gt;"",1,0)+IF(DP2343&lt;&gt;"",1,0)+IF(DQ2343&lt;&gt;"",1,0)+IF(DS2343&lt;&gt;"",1,0)+IF(DT2343&lt;&gt;"",1,0)+IF(DV2343&lt;&gt;"",1,0)+IF(DW2343&lt;&gt;"",1,0)+IF(DX2343&lt;&gt;"",1,0)+IF(DY2343&lt;&gt;"",1,0)+IF(DZ2343&lt;&gt;"",1,0)+IF(EB2343&lt;&gt;"",1,0)+IF(EC2343&lt;&gt;"",1,0)+IF(ED2343&lt;&gt;"",1,0)+IF(EG2343&lt;&gt;"",1,0)+IF(EH2343&lt;&gt;"",1,0)</f>
        <v/>
      </c>
      <c r="AZ2343">
        <f>IF(EH2343&lt;&gt;"",1,0)</f>
        <v/>
      </c>
      <c r="BB2343" t="inlineStr">
        <is>
          <t>WARREN-WARD 4</t>
        </is>
      </c>
    </row>
    <row r="2344">
      <c r="A2344" t="inlineStr">
        <is>
          <t>OH0015703237</t>
        </is>
      </c>
      <c r="B2344" t="n">
        <v>78</v>
      </c>
      <c r="C2344" t="n">
        <v>163605</v>
      </c>
      <c r="D2344" t="inlineStr">
        <is>
          <t>SAMS</t>
        </is>
      </c>
      <c r="E2344" t="inlineStr">
        <is>
          <t>LESLIE</t>
        </is>
      </c>
      <c r="F2344">
        <f>CONCATENATE(D2344," ",LEFT(H2344,4),"T=",AU2344,"D=",AV2344,"R=",AW2344,"M=",AX2344,"L=",AY2344,"B=",AZ2344)</f>
        <v/>
      </c>
      <c r="G2344" t="inlineStr">
        <is>
          <t>A</t>
        </is>
      </c>
      <c r="I2344" t="inlineStr">
        <is>
          <t>1959-05-01</t>
        </is>
      </c>
      <c r="J2344" t="inlineStr">
        <is>
          <t>1987-10-07</t>
        </is>
      </c>
      <c r="K2344" t="inlineStr">
        <is>
          <t>ACTIVE</t>
        </is>
      </c>
      <c r="L2344" t="inlineStr">
        <is>
          <t>R</t>
        </is>
      </c>
      <c r="M2344" t="inlineStr">
        <is>
          <t>945 HOMEWOOD AVE SE</t>
        </is>
      </c>
      <c r="N2344">
        <f>RIGHT(M2344,LEN(M2344)-FIND(" ",M2344))</f>
        <v/>
      </c>
      <c r="P2344" t="inlineStr">
        <is>
          <t>WARREN</t>
        </is>
      </c>
      <c r="Q2344" t="inlineStr">
        <is>
          <t>OH</t>
        </is>
      </c>
      <c r="R2344" t="n">
        <v>44484</v>
      </c>
      <c r="AD2344" t="inlineStr">
        <is>
          <t>TRUMBULL CAREER &amp; TECH CENTER</t>
        </is>
      </c>
      <c r="AE2344" t="inlineStr">
        <is>
          <t>WARREN CITY</t>
        </is>
      </c>
      <c r="AF2344" t="inlineStr">
        <is>
          <t>WARREN CITY SD</t>
        </is>
      </c>
      <c r="AH2344" t="n">
        <v>14</v>
      </c>
      <c r="AI2344" t="n">
        <v>11</v>
      </c>
      <c r="AN2344" t="inlineStr">
        <is>
          <t>WARREN</t>
        </is>
      </c>
      <c r="AO2344" t="inlineStr">
        <is>
          <t>WARREN CITY 4F</t>
        </is>
      </c>
      <c r="AP2344" t="inlineStr">
        <is>
          <t>78-P-ADN</t>
        </is>
      </c>
      <c r="AQ2344" t="n">
        <v>9</v>
      </c>
      <c r="AR2344" t="n">
        <v>64</v>
      </c>
      <c r="AS2344" t="n">
        <v>32</v>
      </c>
      <c r="AU2344">
        <f>COUNTA($BA$2344:$EH$2344)</f>
        <v/>
      </c>
      <c r="AV2344">
        <f>COUNTIF($BA$2344:$EH$2344,"D")</f>
        <v/>
      </c>
      <c r="AW2344">
        <f>COUNTIF($BA$2344:$EH$2344,"R")</f>
        <v/>
      </c>
      <c r="AX2344">
        <f>IF(BN2344="D",1,0)+IF(BO2344="D",1,0)+IF(BT2344="D",1,0)+IF(BU2344="D",1,0)+IF(BW2344="D",1,0)+IF(CC2344="D",1,0)+IF(CD2344="D",1,0)+IF(CE2344="D",1,0)+IF(CF2344="D",1,0)+IF(CL2344="D",1,0)+IF(CM2344="D",1,0)+IF(CQ2344="D",1,0)+IF(CR2344="D",1,0)+IF(CS2344="D",1,0)+IF(CW2344="D",1,0)+IF(CX2344="D",1,0)+IF(DD2344="D",1,0)+IF(DE2344="D",1,0)+IF(DJ2344="D",1,0)+IF(DK2344="D",1,0)+IF(DO2344="D",1,0)+IF(DP2344="D",1,0)+IF(DQ2344="D",1,0)+IF(DW2344="D",1,0)+IF(DZ2344="D",1,0)+IF(EH2344="D",1,0)</f>
        <v/>
      </c>
      <c r="AY2344">
        <f>IF(DJ2344&lt;&gt;"",1,0)+IF(DK2344&lt;&gt;"",1,0)+IF(DM2344&lt;&gt;"",1,0)+IF(DO2344&lt;&gt;"",1,0)+IF(DP2344&lt;&gt;"",1,0)+IF(DQ2344&lt;&gt;"",1,0)+IF(DS2344&lt;&gt;"",1,0)+IF(DT2344&lt;&gt;"",1,0)+IF(DV2344&lt;&gt;"",1,0)+IF(DW2344&lt;&gt;"",1,0)+IF(DX2344&lt;&gt;"",1,0)+IF(DY2344&lt;&gt;"",1,0)+IF(DZ2344&lt;&gt;"",1,0)+IF(EB2344&lt;&gt;"",1,0)+IF(EC2344&lt;&gt;"",1,0)+IF(ED2344&lt;&gt;"",1,0)+IF(EG2344&lt;&gt;"",1,0)+IF(EH2344&lt;&gt;"",1,0)</f>
        <v/>
      </c>
      <c r="AZ2344">
        <f>IF(EH2344&lt;&gt;"",1,0)</f>
        <v/>
      </c>
      <c r="BB2344" t="inlineStr">
        <is>
          <t>WARREN-WARD 4</t>
        </is>
      </c>
      <c r="BC2344" t="inlineStr">
        <is>
          <t>X</t>
        </is>
      </c>
      <c r="BD2344" t="inlineStr">
        <is>
          <t>X</t>
        </is>
      </c>
      <c r="BF2344" t="inlineStr">
        <is>
          <t>X</t>
        </is>
      </c>
      <c r="BH2344" t="inlineStr">
        <is>
          <t>X</t>
        </is>
      </c>
      <c r="BJ2344" t="inlineStr">
        <is>
          <t>X</t>
        </is>
      </c>
      <c r="BL2344" t="inlineStr">
        <is>
          <t>X</t>
        </is>
      </c>
      <c r="BP2344" t="inlineStr">
        <is>
          <t>X</t>
        </is>
      </c>
      <c r="BR2344" t="inlineStr">
        <is>
          <t>X</t>
        </is>
      </c>
      <c r="BS2344" t="inlineStr">
        <is>
          <t>X</t>
        </is>
      </c>
      <c r="BY2344" t="inlineStr">
        <is>
          <t>R</t>
        </is>
      </c>
      <c r="CA2344" t="inlineStr">
        <is>
          <t>X</t>
        </is>
      </c>
      <c r="CG2344" t="inlineStr">
        <is>
          <t>X</t>
        </is>
      </c>
      <c r="CK2344" t="inlineStr">
        <is>
          <t>X</t>
        </is>
      </c>
      <c r="CN2344" t="inlineStr">
        <is>
          <t>X</t>
        </is>
      </c>
      <c r="CP2344" t="inlineStr">
        <is>
          <t>X</t>
        </is>
      </c>
      <c r="CV2344" t="inlineStr">
        <is>
          <t>X</t>
        </is>
      </c>
      <c r="CY2344" t="inlineStr">
        <is>
          <t>X</t>
        </is>
      </c>
      <c r="CZ2344" t="inlineStr">
        <is>
          <t>R</t>
        </is>
      </c>
      <c r="DC2344" t="inlineStr">
        <is>
          <t>X</t>
        </is>
      </c>
      <c r="DF2344" t="inlineStr">
        <is>
          <t>X</t>
        </is>
      </c>
      <c r="DG2344" t="inlineStr">
        <is>
          <t>R</t>
        </is>
      </c>
      <c r="DI2344" t="inlineStr">
        <is>
          <t>X</t>
        </is>
      </c>
      <c r="DM2344" t="inlineStr">
        <is>
          <t>R</t>
        </is>
      </c>
      <c r="DN2344" t="inlineStr">
        <is>
          <t>X</t>
        </is>
      </c>
      <c r="DS2344" t="inlineStr">
        <is>
          <t>R</t>
        </is>
      </c>
      <c r="DT2344" t="inlineStr">
        <is>
          <t>R</t>
        </is>
      </c>
      <c r="DU2344" t="inlineStr">
        <is>
          <t>X</t>
        </is>
      </c>
      <c r="DX2344" t="inlineStr">
        <is>
          <t>X</t>
        </is>
      </c>
      <c r="EA2344" t="inlineStr">
        <is>
          <t>X</t>
        </is>
      </c>
      <c r="ED2344" t="inlineStr">
        <is>
          <t>R</t>
        </is>
      </c>
      <c r="EF2344" t="inlineStr">
        <is>
          <t>X</t>
        </is>
      </c>
      <c r="EH2344" t="inlineStr">
        <is>
          <t>X</t>
        </is>
      </c>
    </row>
    <row r="2345">
      <c r="A2345" t="inlineStr">
        <is>
          <t>OH0019626541</t>
        </is>
      </c>
      <c r="B2345" t="n">
        <v>78</v>
      </c>
      <c r="C2345" t="n">
        <v>356530</v>
      </c>
      <c r="D2345" t="inlineStr">
        <is>
          <t>MADISON</t>
        </is>
      </c>
      <c r="E2345" t="inlineStr">
        <is>
          <t>TIA</t>
        </is>
      </c>
      <c r="F2345">
        <f>CONCATENATE(D2345," ",LEFT(H2345,4),"T=",AU2345,"D=",AV2345,"R=",AW2345,"M=",AX2345,"L=",AY2345,"B=",AZ2345)</f>
        <v/>
      </c>
      <c r="G2345" t="inlineStr">
        <is>
          <t>MAR LYN</t>
        </is>
      </c>
      <c r="I2345" t="inlineStr">
        <is>
          <t>1981-07-26</t>
        </is>
      </c>
      <c r="J2345" t="inlineStr">
        <is>
          <t>2008-03-04</t>
        </is>
      </c>
      <c r="K2345" t="inlineStr">
        <is>
          <t>CONFIRMATION</t>
        </is>
      </c>
      <c r="M2345" t="inlineStr">
        <is>
          <t>1070 KENILWORTH AVE SE</t>
        </is>
      </c>
      <c r="N2345">
        <f>RIGHT(M2345,LEN(M2345)-FIND(" ",M2345))</f>
        <v/>
      </c>
      <c r="P2345" t="inlineStr">
        <is>
          <t>WARREN</t>
        </is>
      </c>
      <c r="Q2345" t="inlineStr">
        <is>
          <t>OH</t>
        </is>
      </c>
      <c r="R2345" t="n">
        <v>44484</v>
      </c>
      <c r="AD2345" t="inlineStr">
        <is>
          <t>TRUMBULL CAREER &amp; TECH CENTER</t>
        </is>
      </c>
      <c r="AE2345" t="inlineStr">
        <is>
          <t>WARREN CITY</t>
        </is>
      </c>
      <c r="AF2345" t="inlineStr">
        <is>
          <t>WARREN CITY SD</t>
        </is>
      </c>
      <c r="AH2345" t="n">
        <v>14</v>
      </c>
      <c r="AI2345" t="n">
        <v>11</v>
      </c>
      <c r="AN2345" t="inlineStr">
        <is>
          <t>WARREN</t>
        </is>
      </c>
      <c r="AO2345" t="inlineStr">
        <is>
          <t>WARREN CITY 4F</t>
        </is>
      </c>
      <c r="AP2345" t="inlineStr">
        <is>
          <t>78-P-ADN</t>
        </is>
      </c>
      <c r="AQ2345" t="n">
        <v>9</v>
      </c>
      <c r="AR2345" t="n">
        <v>64</v>
      </c>
      <c r="AS2345" t="n">
        <v>32</v>
      </c>
      <c r="AU2345">
        <f>COUNTA($BA$2345:$EH$2345)</f>
        <v/>
      </c>
      <c r="AV2345">
        <f>COUNTIF($BA$2345:$EH$2345,"D")</f>
        <v/>
      </c>
      <c r="AW2345">
        <f>COUNTIF($BA$2345:$EH$2345,"R")</f>
        <v/>
      </c>
      <c r="AX2345">
        <f>IF(BN2345="D",1,0)+IF(BO2345="D",1,0)+IF(BT2345="D",1,0)+IF(BU2345="D",1,0)+IF(BW2345="D",1,0)+IF(CC2345="D",1,0)+IF(CD2345="D",1,0)+IF(CE2345="D",1,0)+IF(CF2345="D",1,0)+IF(CL2345="D",1,0)+IF(CM2345="D",1,0)+IF(CQ2345="D",1,0)+IF(CR2345="D",1,0)+IF(CS2345="D",1,0)+IF(CW2345="D",1,0)+IF(CX2345="D",1,0)+IF(DD2345="D",1,0)+IF(DE2345="D",1,0)+IF(DJ2345="D",1,0)+IF(DK2345="D",1,0)+IF(DO2345="D",1,0)+IF(DP2345="D",1,0)+IF(DQ2345="D",1,0)+IF(DW2345="D",1,0)+IF(DZ2345="D",1,0)+IF(EH2345="D",1,0)</f>
        <v/>
      </c>
      <c r="AY2345">
        <f>IF(DJ2345&lt;&gt;"",1,0)+IF(DK2345&lt;&gt;"",1,0)+IF(DM2345&lt;&gt;"",1,0)+IF(DO2345&lt;&gt;"",1,0)+IF(DP2345&lt;&gt;"",1,0)+IF(DQ2345&lt;&gt;"",1,0)+IF(DS2345&lt;&gt;"",1,0)+IF(DT2345&lt;&gt;"",1,0)+IF(DV2345&lt;&gt;"",1,0)+IF(DW2345&lt;&gt;"",1,0)+IF(DX2345&lt;&gt;"",1,0)+IF(DY2345&lt;&gt;"",1,0)+IF(DZ2345&lt;&gt;"",1,0)+IF(EB2345&lt;&gt;"",1,0)+IF(EC2345&lt;&gt;"",1,0)+IF(ED2345&lt;&gt;"",1,0)+IF(EG2345&lt;&gt;"",1,0)+IF(EH2345&lt;&gt;"",1,0)</f>
        <v/>
      </c>
      <c r="AZ2345">
        <f>IF(EH2345&lt;&gt;"",1,0)</f>
        <v/>
      </c>
      <c r="BB2345" t="inlineStr">
        <is>
          <t>WARREN-WARD 4</t>
        </is>
      </c>
      <c r="BL2345" t="inlineStr">
        <is>
          <t>X</t>
        </is>
      </c>
      <c r="CA2345" t="inlineStr">
        <is>
          <t>X</t>
        </is>
      </c>
      <c r="CL2345" t="inlineStr">
        <is>
          <t>D</t>
        </is>
      </c>
    </row>
    <row r="2346">
      <c r="A2346" t="inlineStr">
        <is>
          <t>OH0015755021</t>
        </is>
      </c>
      <c r="B2346" t="n">
        <v>78</v>
      </c>
      <c r="C2346" t="n">
        <v>329213</v>
      </c>
      <c r="D2346" t="inlineStr">
        <is>
          <t>JACKSON</t>
        </is>
      </c>
      <c r="E2346" t="inlineStr">
        <is>
          <t>CORNELIUS</t>
        </is>
      </c>
      <c r="F2346">
        <f>CONCATENATE(D2346," ",LEFT(H2346,4),"T=",AU2346,"D=",AV2346,"R=",AW2346,"M=",AX2346,"L=",AY2346,"B=",AZ2346)</f>
        <v/>
      </c>
      <c r="I2346" t="inlineStr">
        <is>
          <t>1965-02-17</t>
        </is>
      </c>
      <c r="J2346" t="inlineStr">
        <is>
          <t>2007-09-26</t>
        </is>
      </c>
      <c r="K2346" t="inlineStr">
        <is>
          <t>ACTIVE</t>
        </is>
      </c>
      <c r="L2346" t="inlineStr">
        <is>
          <t>D</t>
        </is>
      </c>
      <c r="M2346" t="inlineStr">
        <is>
          <t>1000 HOMEWOOD AVE SE</t>
        </is>
      </c>
      <c r="N2346">
        <f>RIGHT(M2346,LEN(M2346)-FIND(" ",M2346))</f>
        <v/>
      </c>
      <c r="P2346" t="inlineStr">
        <is>
          <t>WARREN</t>
        </is>
      </c>
      <c r="Q2346" t="inlineStr">
        <is>
          <t>OH</t>
        </is>
      </c>
      <c r="R2346" t="n">
        <v>44484</v>
      </c>
      <c r="V2346" t="inlineStr">
        <is>
          <t>WARREN</t>
        </is>
      </c>
      <c r="X2346" t="inlineStr">
        <is>
          <t>OH</t>
        </is>
      </c>
      <c r="Y2346" t="inlineStr">
        <is>
          <t>OH</t>
        </is>
      </c>
      <c r="Z2346" t="n">
        <v>44484</v>
      </c>
      <c r="AD2346" t="inlineStr">
        <is>
          <t>TRUMBULL CAREER &amp; TECH CENTER</t>
        </is>
      </c>
      <c r="AE2346" t="inlineStr">
        <is>
          <t>WARREN CITY</t>
        </is>
      </c>
      <c r="AF2346" t="inlineStr">
        <is>
          <t>WARREN CITY SD</t>
        </is>
      </c>
      <c r="AH2346" t="n">
        <v>14</v>
      </c>
      <c r="AI2346" t="n">
        <v>11</v>
      </c>
      <c r="AN2346" t="inlineStr">
        <is>
          <t>WARREN</t>
        </is>
      </c>
      <c r="AO2346" t="inlineStr">
        <is>
          <t>WARREN CITY 4F</t>
        </is>
      </c>
      <c r="AP2346" t="inlineStr">
        <is>
          <t>78-P-ADN</t>
        </is>
      </c>
      <c r="AQ2346" t="n">
        <v>9</v>
      </c>
      <c r="AR2346" t="n">
        <v>64</v>
      </c>
      <c r="AS2346" t="n">
        <v>32</v>
      </c>
      <c r="AU2346">
        <f>COUNTA($BA$2346:$EH$2346)</f>
        <v/>
      </c>
      <c r="AV2346">
        <f>COUNTIF($BA$2346:$EH$2346,"D")</f>
        <v/>
      </c>
      <c r="AW2346">
        <f>COUNTIF($BA$2346:$EH$2346,"R")</f>
        <v/>
      </c>
      <c r="AX2346">
        <f>IF(BN2346="D",1,0)+IF(BO2346="D",1,0)+IF(BT2346="D",1,0)+IF(BU2346="D",1,0)+IF(BW2346="D",1,0)+IF(CC2346="D",1,0)+IF(CD2346="D",1,0)+IF(CE2346="D",1,0)+IF(CF2346="D",1,0)+IF(CL2346="D",1,0)+IF(CM2346="D",1,0)+IF(CQ2346="D",1,0)+IF(CR2346="D",1,0)+IF(CS2346="D",1,0)+IF(CW2346="D",1,0)+IF(CX2346="D",1,0)+IF(DD2346="D",1,0)+IF(DE2346="D",1,0)+IF(DJ2346="D",1,0)+IF(DK2346="D",1,0)+IF(DO2346="D",1,0)+IF(DP2346="D",1,0)+IF(DQ2346="D",1,0)+IF(DW2346="D",1,0)+IF(DZ2346="D",1,0)+IF(EH2346="D",1,0)</f>
        <v/>
      </c>
      <c r="AY2346">
        <f>IF(DJ2346&lt;&gt;"",1,0)+IF(DK2346&lt;&gt;"",1,0)+IF(DM2346&lt;&gt;"",1,0)+IF(DO2346&lt;&gt;"",1,0)+IF(DP2346&lt;&gt;"",1,0)+IF(DQ2346&lt;&gt;"",1,0)+IF(DS2346&lt;&gt;"",1,0)+IF(DT2346&lt;&gt;"",1,0)+IF(DV2346&lt;&gt;"",1,0)+IF(DW2346&lt;&gt;"",1,0)+IF(DX2346&lt;&gt;"",1,0)+IF(DY2346&lt;&gt;"",1,0)+IF(DZ2346&lt;&gt;"",1,0)+IF(EB2346&lt;&gt;"",1,0)+IF(EC2346&lt;&gt;"",1,0)+IF(ED2346&lt;&gt;"",1,0)+IF(EG2346&lt;&gt;"",1,0)+IF(EH2346&lt;&gt;"",1,0)</f>
        <v/>
      </c>
      <c r="AZ2346">
        <f>IF(EH2346&lt;&gt;"",1,0)</f>
        <v/>
      </c>
      <c r="BB2346" t="inlineStr">
        <is>
          <t>WARREN-WARD 4</t>
        </is>
      </c>
      <c r="BL2346" t="inlineStr">
        <is>
          <t>X</t>
        </is>
      </c>
      <c r="BY2346" t="inlineStr">
        <is>
          <t>D</t>
        </is>
      </c>
      <c r="CA2346" t="inlineStr">
        <is>
          <t>X</t>
        </is>
      </c>
      <c r="CK2346" t="inlineStr">
        <is>
          <t>X</t>
        </is>
      </c>
      <c r="CP2346" t="inlineStr">
        <is>
          <t>X</t>
        </is>
      </c>
      <c r="CV2346" t="inlineStr">
        <is>
          <t>X</t>
        </is>
      </c>
      <c r="DC2346" t="inlineStr">
        <is>
          <t>X</t>
        </is>
      </c>
      <c r="DD2346" t="inlineStr">
        <is>
          <t>D</t>
        </is>
      </c>
      <c r="DI2346" t="inlineStr">
        <is>
          <t>X</t>
        </is>
      </c>
      <c r="DN2346" t="inlineStr">
        <is>
          <t>X</t>
        </is>
      </c>
      <c r="DS2346" t="inlineStr">
        <is>
          <t>D</t>
        </is>
      </c>
      <c r="DU2346" t="inlineStr">
        <is>
          <t>X</t>
        </is>
      </c>
      <c r="DX2346" t="inlineStr">
        <is>
          <t>X</t>
        </is>
      </c>
      <c r="ED2346" t="inlineStr">
        <is>
          <t>D</t>
        </is>
      </c>
      <c r="EF2346" t="inlineStr">
        <is>
          <t>X</t>
        </is>
      </c>
    </row>
    <row r="2347">
      <c r="A2347" t="inlineStr">
        <is>
          <t>OH0015702730</t>
        </is>
      </c>
      <c r="B2347" t="n">
        <v>78</v>
      </c>
      <c r="C2347" t="n">
        <v>162758</v>
      </c>
      <c r="D2347" t="inlineStr">
        <is>
          <t>BUTLER</t>
        </is>
      </c>
      <c r="E2347" t="inlineStr">
        <is>
          <t>PATRICIA</t>
        </is>
      </c>
      <c r="F2347">
        <f>CONCATENATE(D2347," ",LEFT(H2347,4),"T=",AU2347,"D=",AV2347,"R=",AW2347,"M=",AX2347,"L=",AY2347,"B=",AZ2347)</f>
        <v/>
      </c>
      <c r="G2347" t="inlineStr">
        <is>
          <t>M</t>
        </is>
      </c>
      <c r="I2347" t="inlineStr">
        <is>
          <t>1943-04-08</t>
        </is>
      </c>
      <c r="J2347" t="inlineStr">
        <is>
          <t>1984-01-11</t>
        </is>
      </c>
      <c r="K2347" t="inlineStr">
        <is>
          <t>ACTIVE</t>
        </is>
      </c>
      <c r="L2347" t="inlineStr">
        <is>
          <t>D</t>
        </is>
      </c>
      <c r="M2347" t="inlineStr">
        <is>
          <t>953 HOMEWOOD AVE SE</t>
        </is>
      </c>
      <c r="N2347">
        <f>RIGHT(M2347,LEN(M2347)-FIND(" ",M2347))</f>
        <v/>
      </c>
      <c r="P2347" t="inlineStr">
        <is>
          <t>WARREN</t>
        </is>
      </c>
      <c r="Q2347" t="inlineStr">
        <is>
          <t>OH</t>
        </is>
      </c>
      <c r="R2347" t="n">
        <v>44484</v>
      </c>
      <c r="AD2347" t="inlineStr">
        <is>
          <t>TRUMBULL CAREER &amp; TECH CENTER</t>
        </is>
      </c>
      <c r="AE2347" t="inlineStr">
        <is>
          <t>WARREN CITY</t>
        </is>
      </c>
      <c r="AF2347" t="inlineStr">
        <is>
          <t>WARREN CITY SD</t>
        </is>
      </c>
      <c r="AH2347" t="n">
        <v>14</v>
      </c>
      <c r="AI2347" t="n">
        <v>11</v>
      </c>
      <c r="AN2347" t="inlineStr">
        <is>
          <t>WARREN</t>
        </is>
      </c>
      <c r="AO2347" t="inlineStr">
        <is>
          <t>WARREN CITY 4F</t>
        </is>
      </c>
      <c r="AP2347" t="inlineStr">
        <is>
          <t>78-P-ADN</t>
        </is>
      </c>
      <c r="AQ2347" t="n">
        <v>9</v>
      </c>
      <c r="AR2347" t="n">
        <v>64</v>
      </c>
      <c r="AS2347" t="n">
        <v>32</v>
      </c>
      <c r="AU2347">
        <f>COUNTA($BA$2347:$EH$2347)</f>
        <v/>
      </c>
      <c r="AV2347">
        <f>COUNTIF($BA$2347:$EH$2347,"D")</f>
        <v/>
      </c>
      <c r="AW2347">
        <f>COUNTIF($BA$2347:$EH$2347,"R")</f>
        <v/>
      </c>
      <c r="AX2347">
        <f>IF(BN2347="D",1,0)+IF(BO2347="D",1,0)+IF(BT2347="D",1,0)+IF(BU2347="D",1,0)+IF(BW2347="D",1,0)+IF(CC2347="D",1,0)+IF(CD2347="D",1,0)+IF(CE2347="D",1,0)+IF(CF2347="D",1,0)+IF(CL2347="D",1,0)+IF(CM2347="D",1,0)+IF(CQ2347="D",1,0)+IF(CR2347="D",1,0)+IF(CS2347="D",1,0)+IF(CW2347="D",1,0)+IF(CX2347="D",1,0)+IF(DD2347="D",1,0)+IF(DE2347="D",1,0)+IF(DJ2347="D",1,0)+IF(DK2347="D",1,0)+IF(DO2347="D",1,0)+IF(DP2347="D",1,0)+IF(DQ2347="D",1,0)+IF(DW2347="D",1,0)+IF(DZ2347="D",1,0)+IF(EH2347="D",1,0)</f>
        <v/>
      </c>
      <c r="AY2347">
        <f>IF(DJ2347&lt;&gt;"",1,0)+IF(DK2347&lt;&gt;"",1,0)+IF(DM2347&lt;&gt;"",1,0)+IF(DO2347&lt;&gt;"",1,0)+IF(DP2347&lt;&gt;"",1,0)+IF(DQ2347&lt;&gt;"",1,0)+IF(DS2347&lt;&gt;"",1,0)+IF(DT2347&lt;&gt;"",1,0)+IF(DV2347&lt;&gt;"",1,0)+IF(DW2347&lt;&gt;"",1,0)+IF(DX2347&lt;&gt;"",1,0)+IF(DY2347&lt;&gt;"",1,0)+IF(DZ2347&lt;&gt;"",1,0)+IF(EB2347&lt;&gt;"",1,0)+IF(EC2347&lt;&gt;"",1,0)+IF(ED2347&lt;&gt;"",1,0)+IF(EG2347&lt;&gt;"",1,0)+IF(EH2347&lt;&gt;"",1,0)</f>
        <v/>
      </c>
      <c r="AZ2347">
        <f>IF(EH2347&lt;&gt;"",1,0)</f>
        <v/>
      </c>
      <c r="BB2347" t="inlineStr">
        <is>
          <t>WARREN-WARD 4</t>
        </is>
      </c>
      <c r="BD2347" t="inlineStr">
        <is>
          <t>X</t>
        </is>
      </c>
      <c r="BE2347" t="inlineStr">
        <is>
          <t>X</t>
        </is>
      </c>
      <c r="BF2347" t="inlineStr">
        <is>
          <t>X</t>
        </is>
      </c>
      <c r="BG2347" t="inlineStr">
        <is>
          <t>X</t>
        </is>
      </c>
      <c r="BH2347" t="inlineStr">
        <is>
          <t>X</t>
        </is>
      </c>
      <c r="BI2347" t="inlineStr">
        <is>
          <t>X</t>
        </is>
      </c>
      <c r="BJ2347" t="inlineStr">
        <is>
          <t>X</t>
        </is>
      </c>
      <c r="BK2347" t="inlineStr">
        <is>
          <t>X</t>
        </is>
      </c>
      <c r="BL2347" t="inlineStr">
        <is>
          <t>X</t>
        </is>
      </c>
      <c r="BP2347" t="inlineStr">
        <is>
          <t>X</t>
        </is>
      </c>
      <c r="BR2347" t="inlineStr">
        <is>
          <t>X</t>
        </is>
      </c>
      <c r="BS2347" t="inlineStr">
        <is>
          <t>X</t>
        </is>
      </c>
      <c r="BT2347" t="inlineStr">
        <is>
          <t>X</t>
        </is>
      </c>
      <c r="BV2347" t="inlineStr">
        <is>
          <t>X</t>
        </is>
      </c>
      <c r="BY2347" t="inlineStr">
        <is>
          <t>D</t>
        </is>
      </c>
      <c r="CA2347" t="inlineStr">
        <is>
          <t>X</t>
        </is>
      </c>
      <c r="CC2347" t="inlineStr">
        <is>
          <t>D</t>
        </is>
      </c>
      <c r="CG2347" t="inlineStr">
        <is>
          <t>X</t>
        </is>
      </c>
      <c r="CH2347" t="inlineStr">
        <is>
          <t>D</t>
        </is>
      </c>
      <c r="CK2347" t="inlineStr">
        <is>
          <t>X</t>
        </is>
      </c>
      <c r="CL2347" t="inlineStr">
        <is>
          <t>D</t>
        </is>
      </c>
      <c r="CN2347" t="inlineStr">
        <is>
          <t>X</t>
        </is>
      </c>
      <c r="CO2347" t="inlineStr">
        <is>
          <t>D</t>
        </is>
      </c>
      <c r="CP2347" t="inlineStr">
        <is>
          <t>X</t>
        </is>
      </c>
      <c r="CQ2347" t="inlineStr">
        <is>
          <t>D</t>
        </is>
      </c>
      <c r="CT2347" t="inlineStr">
        <is>
          <t>X</t>
        </is>
      </c>
      <c r="CU2347" t="inlineStr">
        <is>
          <t>D</t>
        </is>
      </c>
      <c r="CV2347" t="inlineStr">
        <is>
          <t>X</t>
        </is>
      </c>
      <c r="CW2347" t="inlineStr">
        <is>
          <t>D</t>
        </is>
      </c>
      <c r="CY2347" t="inlineStr">
        <is>
          <t>X</t>
        </is>
      </c>
      <c r="CZ2347" t="inlineStr">
        <is>
          <t>D</t>
        </is>
      </c>
      <c r="DC2347" t="inlineStr">
        <is>
          <t>X</t>
        </is>
      </c>
      <c r="DD2347" t="inlineStr">
        <is>
          <t>D</t>
        </is>
      </c>
      <c r="DF2347" t="inlineStr">
        <is>
          <t>X</t>
        </is>
      </c>
      <c r="DG2347" t="inlineStr">
        <is>
          <t>D</t>
        </is>
      </c>
      <c r="DI2347" t="inlineStr">
        <is>
          <t>X</t>
        </is>
      </c>
      <c r="DJ2347" t="inlineStr">
        <is>
          <t>D</t>
        </is>
      </c>
      <c r="DL2347" t="inlineStr">
        <is>
          <t>X</t>
        </is>
      </c>
      <c r="DM2347" t="inlineStr">
        <is>
          <t>D</t>
        </is>
      </c>
      <c r="DN2347" t="inlineStr">
        <is>
          <t>X</t>
        </is>
      </c>
      <c r="DR2347" t="inlineStr">
        <is>
          <t>X</t>
        </is>
      </c>
      <c r="DS2347" t="inlineStr">
        <is>
          <t>D</t>
        </is>
      </c>
      <c r="DU2347" t="inlineStr">
        <is>
          <t>X</t>
        </is>
      </c>
      <c r="ED2347" t="inlineStr">
        <is>
          <t>D</t>
        </is>
      </c>
      <c r="EF2347" t="inlineStr">
        <is>
          <t>X</t>
        </is>
      </c>
    </row>
    <row r="2348">
      <c r="A2348" t="inlineStr">
        <is>
          <t>OH0015770661</t>
        </is>
      </c>
      <c r="B2348" t="n">
        <v>78</v>
      </c>
      <c r="C2348" t="n">
        <v>28944</v>
      </c>
      <c r="D2348" t="inlineStr">
        <is>
          <t>CARR</t>
        </is>
      </c>
      <c r="E2348" t="inlineStr">
        <is>
          <t>LESTER</t>
        </is>
      </c>
      <c r="F2348">
        <f>CONCATENATE(D2348," ",LEFT(H2348,4),"T=",AU2348,"D=",AV2348,"R=",AW2348,"M=",AX2348,"L=",AY2348,"B=",AZ2348)</f>
        <v/>
      </c>
      <c r="G2348" t="inlineStr">
        <is>
          <t>C</t>
        </is>
      </c>
      <c r="I2348" t="inlineStr">
        <is>
          <t>1943-06-27</t>
        </is>
      </c>
      <c r="J2348" t="inlineStr">
        <is>
          <t>2024-07-03</t>
        </is>
      </c>
      <c r="K2348" t="inlineStr">
        <is>
          <t>ACTIVE</t>
        </is>
      </c>
      <c r="M2348" t="inlineStr">
        <is>
          <t>135 FULTON ST SW</t>
        </is>
      </c>
      <c r="N2348">
        <f>RIGHT(M2348,LEN(M2348)-FIND(" ",M2348))</f>
        <v/>
      </c>
      <c r="O2348" t="inlineStr">
        <is>
          <t>APT B</t>
        </is>
      </c>
      <c r="P2348" t="inlineStr">
        <is>
          <t>WARREN</t>
        </is>
      </c>
      <c r="Q2348" t="inlineStr">
        <is>
          <t>OH</t>
        </is>
      </c>
      <c r="R2348" t="n">
        <v>44483</v>
      </c>
      <c r="AD2348" t="inlineStr">
        <is>
          <t>TRUMBULL CAREER &amp; TECH CENTER</t>
        </is>
      </c>
      <c r="AE2348" t="inlineStr">
        <is>
          <t>WARREN CITY</t>
        </is>
      </c>
      <c r="AF2348" t="inlineStr">
        <is>
          <t>WARREN CITY SD</t>
        </is>
      </c>
      <c r="AH2348" t="n">
        <v>14</v>
      </c>
      <c r="AI2348" t="n">
        <v>11</v>
      </c>
      <c r="AN2348" t="inlineStr">
        <is>
          <t>WARREN</t>
        </is>
      </c>
      <c r="AO2348" t="inlineStr">
        <is>
          <t>WARREN CITY 4F</t>
        </is>
      </c>
      <c r="AP2348" t="inlineStr">
        <is>
          <t>78-P-ADN</t>
        </is>
      </c>
      <c r="AQ2348" t="n">
        <v>9</v>
      </c>
      <c r="AR2348" t="n">
        <v>64</v>
      </c>
      <c r="AS2348" t="n">
        <v>32</v>
      </c>
      <c r="AU2348">
        <f>COUNTA($BA$2348:$EH$2348)</f>
        <v/>
      </c>
      <c r="AV2348">
        <f>COUNTIF($BA$2348:$EH$2348,"D")</f>
        <v/>
      </c>
      <c r="AW2348">
        <f>COUNTIF($BA$2348:$EH$2348,"R")</f>
        <v/>
      </c>
      <c r="AX2348">
        <f>IF(BN2348="D",1,0)+IF(BO2348="D",1,0)+IF(BT2348="D",1,0)+IF(BU2348="D",1,0)+IF(BW2348="D",1,0)+IF(CC2348="D",1,0)+IF(CD2348="D",1,0)+IF(CE2348="D",1,0)+IF(CF2348="D",1,0)+IF(CL2348="D",1,0)+IF(CM2348="D",1,0)+IF(CQ2348="D",1,0)+IF(CR2348="D",1,0)+IF(CS2348="D",1,0)+IF(CW2348="D",1,0)+IF(CX2348="D",1,0)+IF(DD2348="D",1,0)+IF(DE2348="D",1,0)+IF(DJ2348="D",1,0)+IF(DK2348="D",1,0)+IF(DO2348="D",1,0)+IF(DP2348="D",1,0)+IF(DQ2348="D",1,0)+IF(DW2348="D",1,0)+IF(DZ2348="D",1,0)+IF(EH2348="D",1,0)</f>
        <v/>
      </c>
      <c r="AY2348">
        <f>IF(DJ2348&lt;&gt;"",1,0)+IF(DK2348&lt;&gt;"",1,0)+IF(DM2348&lt;&gt;"",1,0)+IF(DO2348&lt;&gt;"",1,0)+IF(DP2348&lt;&gt;"",1,0)+IF(DQ2348&lt;&gt;"",1,0)+IF(DS2348&lt;&gt;"",1,0)+IF(DT2348&lt;&gt;"",1,0)+IF(DV2348&lt;&gt;"",1,0)+IF(DW2348&lt;&gt;"",1,0)+IF(DX2348&lt;&gt;"",1,0)+IF(DY2348&lt;&gt;"",1,0)+IF(DZ2348&lt;&gt;"",1,0)+IF(EB2348&lt;&gt;"",1,0)+IF(EC2348&lt;&gt;"",1,0)+IF(ED2348&lt;&gt;"",1,0)+IF(EG2348&lt;&gt;"",1,0)+IF(EH2348&lt;&gt;"",1,0)</f>
        <v/>
      </c>
      <c r="AZ2348">
        <f>IF(EH2348&lt;&gt;"",1,0)</f>
        <v/>
      </c>
      <c r="BB2348" t="inlineStr">
        <is>
          <t>WARREN-WARD 4</t>
        </is>
      </c>
      <c r="BC2348" t="inlineStr">
        <is>
          <t>X</t>
        </is>
      </c>
      <c r="BD2348" t="inlineStr">
        <is>
          <t>X</t>
        </is>
      </c>
      <c r="BF2348" t="inlineStr">
        <is>
          <t>X</t>
        </is>
      </c>
      <c r="BG2348" t="inlineStr">
        <is>
          <t>X</t>
        </is>
      </c>
      <c r="BH2348" t="inlineStr">
        <is>
          <t>X</t>
        </is>
      </c>
      <c r="BK2348" t="inlineStr">
        <is>
          <t>X</t>
        </is>
      </c>
      <c r="BL2348" t="inlineStr">
        <is>
          <t>X</t>
        </is>
      </c>
      <c r="BP2348" t="inlineStr">
        <is>
          <t>X</t>
        </is>
      </c>
      <c r="BS2348" t="inlineStr">
        <is>
          <t>X</t>
        </is>
      </c>
      <c r="BV2348" t="inlineStr">
        <is>
          <t>X</t>
        </is>
      </c>
      <c r="BY2348" t="inlineStr">
        <is>
          <t>D</t>
        </is>
      </c>
      <c r="CA2348" t="inlineStr">
        <is>
          <t>X</t>
        </is>
      </c>
      <c r="CG2348" t="inlineStr">
        <is>
          <t>X</t>
        </is>
      </c>
      <c r="CK2348" t="inlineStr">
        <is>
          <t>X</t>
        </is>
      </c>
      <c r="CN2348" t="inlineStr">
        <is>
          <t>X</t>
        </is>
      </c>
      <c r="CP2348" t="inlineStr">
        <is>
          <t>X</t>
        </is>
      </c>
      <c r="DC2348" t="inlineStr">
        <is>
          <t>X</t>
        </is>
      </c>
      <c r="DD2348" t="inlineStr">
        <is>
          <t>X</t>
        </is>
      </c>
      <c r="DI2348" t="inlineStr">
        <is>
          <t>X</t>
        </is>
      </c>
      <c r="DL2348" t="inlineStr">
        <is>
          <t>X</t>
        </is>
      </c>
      <c r="DN2348" t="inlineStr">
        <is>
          <t>X</t>
        </is>
      </c>
      <c r="EA2348" t="inlineStr">
        <is>
          <t>X</t>
        </is>
      </c>
      <c r="EF2348" t="inlineStr">
        <is>
          <t>X</t>
        </is>
      </c>
    </row>
    <row r="2349">
      <c r="A2349" t="inlineStr">
        <is>
          <t>OH0015704845</t>
        </is>
      </c>
      <c r="B2349" t="n">
        <v>78</v>
      </c>
      <c r="C2349" t="n">
        <v>166722</v>
      </c>
      <c r="D2349" t="inlineStr">
        <is>
          <t>WASHINGTON REED</t>
        </is>
      </c>
      <c r="E2349" t="inlineStr">
        <is>
          <t>ANNIE</t>
        </is>
      </c>
      <c r="F2349">
        <f>CONCATENATE(D2349," ",LEFT(H2349,4),"T=",AU2349,"D=",AV2349,"R=",AW2349,"M=",AX2349,"L=",AY2349,"B=",AZ2349)</f>
        <v/>
      </c>
      <c r="G2349" t="inlineStr">
        <is>
          <t>R</t>
        </is>
      </c>
      <c r="I2349" t="inlineStr">
        <is>
          <t>1966-07-20</t>
        </is>
      </c>
      <c r="J2349" t="inlineStr">
        <is>
          <t>2015-08-12</t>
        </is>
      </c>
      <c r="K2349" t="inlineStr">
        <is>
          <t>ACTIVE</t>
        </is>
      </c>
      <c r="L2349" t="inlineStr">
        <is>
          <t>D</t>
        </is>
      </c>
      <c r="M2349" t="inlineStr">
        <is>
          <t>963 HOMEWOOD AVE SE</t>
        </is>
      </c>
      <c r="N2349">
        <f>RIGHT(M2349,LEN(M2349)-FIND(" ",M2349))</f>
        <v/>
      </c>
      <c r="P2349" t="inlineStr">
        <is>
          <t>WARREN</t>
        </is>
      </c>
      <c r="Q2349" t="inlineStr">
        <is>
          <t>OH</t>
        </is>
      </c>
      <c r="R2349" t="n">
        <v>44484</v>
      </c>
      <c r="AD2349" t="inlineStr">
        <is>
          <t>TRUMBULL CAREER &amp; TECH CENTER</t>
        </is>
      </c>
      <c r="AE2349" t="inlineStr">
        <is>
          <t>WARREN CITY</t>
        </is>
      </c>
      <c r="AF2349" t="inlineStr">
        <is>
          <t>WARREN CITY SD</t>
        </is>
      </c>
      <c r="AH2349" t="n">
        <v>14</v>
      </c>
      <c r="AI2349" t="n">
        <v>11</v>
      </c>
      <c r="AN2349" t="inlineStr">
        <is>
          <t>WARREN</t>
        </is>
      </c>
      <c r="AO2349" t="inlineStr">
        <is>
          <t>WARREN CITY 4F</t>
        </is>
      </c>
      <c r="AP2349" t="inlineStr">
        <is>
          <t>78-P-ADN</t>
        </is>
      </c>
      <c r="AQ2349" t="n">
        <v>9</v>
      </c>
      <c r="AR2349" t="n">
        <v>64</v>
      </c>
      <c r="AS2349" t="n">
        <v>32</v>
      </c>
      <c r="AU2349">
        <f>COUNTA($BA$2349:$EH$2349)</f>
        <v/>
      </c>
      <c r="AV2349">
        <f>COUNTIF($BA$2349:$EH$2349,"D")</f>
        <v/>
      </c>
      <c r="AW2349">
        <f>COUNTIF($BA$2349:$EH$2349,"R")</f>
        <v/>
      </c>
      <c r="AX2349">
        <f>IF(BN2349="D",1,0)+IF(BO2349="D",1,0)+IF(BT2349="D",1,0)+IF(BU2349="D",1,0)+IF(BW2349="D",1,0)+IF(CC2349="D",1,0)+IF(CD2349="D",1,0)+IF(CE2349="D",1,0)+IF(CF2349="D",1,0)+IF(CL2349="D",1,0)+IF(CM2349="D",1,0)+IF(CQ2349="D",1,0)+IF(CR2349="D",1,0)+IF(CS2349="D",1,0)+IF(CW2349="D",1,0)+IF(CX2349="D",1,0)+IF(DD2349="D",1,0)+IF(DE2349="D",1,0)+IF(DJ2349="D",1,0)+IF(DK2349="D",1,0)+IF(DO2349="D",1,0)+IF(DP2349="D",1,0)+IF(DQ2349="D",1,0)+IF(DW2349="D",1,0)+IF(DZ2349="D",1,0)+IF(EH2349="D",1,0)</f>
        <v/>
      </c>
      <c r="AY2349">
        <f>IF(DJ2349&lt;&gt;"",1,0)+IF(DK2349&lt;&gt;"",1,0)+IF(DM2349&lt;&gt;"",1,0)+IF(DO2349&lt;&gt;"",1,0)+IF(DP2349&lt;&gt;"",1,0)+IF(DQ2349&lt;&gt;"",1,0)+IF(DS2349&lt;&gt;"",1,0)+IF(DT2349&lt;&gt;"",1,0)+IF(DV2349&lt;&gt;"",1,0)+IF(DW2349&lt;&gt;"",1,0)+IF(DX2349&lt;&gt;"",1,0)+IF(DY2349&lt;&gt;"",1,0)+IF(DZ2349&lt;&gt;"",1,0)+IF(EB2349&lt;&gt;"",1,0)+IF(EC2349&lt;&gt;"",1,0)+IF(ED2349&lt;&gt;"",1,0)+IF(EG2349&lt;&gt;"",1,0)+IF(EH2349&lt;&gt;"",1,0)</f>
        <v/>
      </c>
      <c r="AZ2349">
        <f>IF(EH2349&lt;&gt;"",1,0)</f>
        <v/>
      </c>
      <c r="BB2349" t="inlineStr">
        <is>
          <t>WARREN-WARD 4</t>
        </is>
      </c>
      <c r="BD2349" t="inlineStr">
        <is>
          <t>X</t>
        </is>
      </c>
      <c r="BJ2349" t="inlineStr">
        <is>
          <t>X</t>
        </is>
      </c>
      <c r="BL2349" t="inlineStr">
        <is>
          <t>X</t>
        </is>
      </c>
      <c r="BV2349" t="inlineStr">
        <is>
          <t>X</t>
        </is>
      </c>
      <c r="BY2349" t="inlineStr">
        <is>
          <t>D</t>
        </is>
      </c>
      <c r="CA2349" t="inlineStr">
        <is>
          <t>X</t>
        </is>
      </c>
      <c r="CK2349" t="inlineStr">
        <is>
          <t>X</t>
        </is>
      </c>
      <c r="CL2349" t="inlineStr">
        <is>
          <t>D</t>
        </is>
      </c>
      <c r="CN2349" t="inlineStr">
        <is>
          <t>X</t>
        </is>
      </c>
      <c r="CP2349" t="inlineStr">
        <is>
          <t>X</t>
        </is>
      </c>
      <c r="CV2349" t="inlineStr">
        <is>
          <t>X</t>
        </is>
      </c>
      <c r="CY2349" t="inlineStr">
        <is>
          <t>X</t>
        </is>
      </c>
      <c r="CZ2349" t="inlineStr">
        <is>
          <t>D</t>
        </is>
      </c>
      <c r="DC2349" t="inlineStr">
        <is>
          <t>X</t>
        </is>
      </c>
      <c r="DF2349" t="inlineStr">
        <is>
          <t>X</t>
        </is>
      </c>
      <c r="DI2349" t="inlineStr">
        <is>
          <t>X</t>
        </is>
      </c>
      <c r="DL2349" t="inlineStr">
        <is>
          <t>X</t>
        </is>
      </c>
      <c r="DN2349" t="inlineStr">
        <is>
          <t>X</t>
        </is>
      </c>
      <c r="DU2349" t="inlineStr">
        <is>
          <t>X</t>
        </is>
      </c>
      <c r="DW2349" t="inlineStr">
        <is>
          <t>D</t>
        </is>
      </c>
      <c r="EF2349" t="inlineStr">
        <is>
          <t>X</t>
        </is>
      </c>
    </row>
    <row r="2350">
      <c r="A2350" t="inlineStr">
        <is>
          <t>OH0015800461</t>
        </is>
      </c>
      <c r="B2350" t="n">
        <v>78</v>
      </c>
      <c r="C2350" t="n">
        <v>87317</v>
      </c>
      <c r="D2350" t="inlineStr">
        <is>
          <t>SAMS</t>
        </is>
      </c>
      <c r="E2350" t="inlineStr">
        <is>
          <t>THOMAS</t>
        </is>
      </c>
      <c r="F2350">
        <f>CONCATENATE(D2350," ",LEFT(H2350,4),"T=",AU2350,"D=",AV2350,"R=",AW2350,"M=",AX2350,"L=",AY2350,"B=",AZ2350)</f>
        <v/>
      </c>
      <c r="G2350" t="inlineStr">
        <is>
          <t>P</t>
        </is>
      </c>
      <c r="I2350" t="inlineStr">
        <is>
          <t>1958-12-25</t>
        </is>
      </c>
      <c r="J2350" t="inlineStr">
        <is>
          <t>1977-11-08</t>
        </is>
      </c>
      <c r="K2350" t="inlineStr">
        <is>
          <t>ACTIVE</t>
        </is>
      </c>
      <c r="L2350" t="inlineStr">
        <is>
          <t>R</t>
        </is>
      </c>
      <c r="M2350" t="inlineStr">
        <is>
          <t>945 HOMEWOOD AVE SE</t>
        </is>
      </c>
      <c r="N2350">
        <f>RIGHT(M2350,LEN(M2350)-FIND(" ",M2350))</f>
        <v/>
      </c>
      <c r="P2350" t="inlineStr">
        <is>
          <t>WARREN</t>
        </is>
      </c>
      <c r="Q2350" t="inlineStr">
        <is>
          <t>OH</t>
        </is>
      </c>
      <c r="R2350" t="n">
        <v>44484</v>
      </c>
      <c r="AD2350" t="inlineStr">
        <is>
          <t>TRUMBULL CAREER &amp; TECH CENTER</t>
        </is>
      </c>
      <c r="AE2350" t="inlineStr">
        <is>
          <t>WARREN CITY</t>
        </is>
      </c>
      <c r="AF2350" t="inlineStr">
        <is>
          <t>WARREN CITY SD</t>
        </is>
      </c>
      <c r="AH2350" t="n">
        <v>14</v>
      </c>
      <c r="AI2350" t="n">
        <v>11</v>
      </c>
      <c r="AN2350" t="inlineStr">
        <is>
          <t>WARREN</t>
        </is>
      </c>
      <c r="AO2350" t="inlineStr">
        <is>
          <t>WARREN CITY 4F</t>
        </is>
      </c>
      <c r="AP2350" t="inlineStr">
        <is>
          <t>78-P-ADN</t>
        </is>
      </c>
      <c r="AQ2350" t="n">
        <v>9</v>
      </c>
      <c r="AR2350" t="n">
        <v>64</v>
      </c>
      <c r="AS2350" t="n">
        <v>32</v>
      </c>
      <c r="AU2350">
        <f>COUNTA($BA$2350:$EH$2350)</f>
        <v/>
      </c>
      <c r="AV2350">
        <f>COUNTIF($BA$2350:$EH$2350,"D")</f>
        <v/>
      </c>
      <c r="AW2350">
        <f>COUNTIF($BA$2350:$EH$2350,"R")</f>
        <v/>
      </c>
      <c r="AX2350">
        <f>IF(BN2350="D",1,0)+IF(BO2350="D",1,0)+IF(BT2350="D",1,0)+IF(BU2350="D",1,0)+IF(BW2350="D",1,0)+IF(CC2350="D",1,0)+IF(CD2350="D",1,0)+IF(CE2350="D",1,0)+IF(CF2350="D",1,0)+IF(CL2350="D",1,0)+IF(CM2350="D",1,0)+IF(CQ2350="D",1,0)+IF(CR2350="D",1,0)+IF(CS2350="D",1,0)+IF(CW2350="D",1,0)+IF(CX2350="D",1,0)+IF(DD2350="D",1,0)+IF(DE2350="D",1,0)+IF(DJ2350="D",1,0)+IF(DK2350="D",1,0)+IF(DO2350="D",1,0)+IF(DP2350="D",1,0)+IF(DQ2350="D",1,0)+IF(DW2350="D",1,0)+IF(DZ2350="D",1,0)+IF(EH2350="D",1,0)</f>
        <v/>
      </c>
      <c r="AY2350">
        <f>IF(DJ2350&lt;&gt;"",1,0)+IF(DK2350&lt;&gt;"",1,0)+IF(DM2350&lt;&gt;"",1,0)+IF(DO2350&lt;&gt;"",1,0)+IF(DP2350&lt;&gt;"",1,0)+IF(DQ2350&lt;&gt;"",1,0)+IF(DS2350&lt;&gt;"",1,0)+IF(DT2350&lt;&gt;"",1,0)+IF(DV2350&lt;&gt;"",1,0)+IF(DW2350&lt;&gt;"",1,0)+IF(DX2350&lt;&gt;"",1,0)+IF(DY2350&lt;&gt;"",1,0)+IF(DZ2350&lt;&gt;"",1,0)+IF(EB2350&lt;&gt;"",1,0)+IF(EC2350&lt;&gt;"",1,0)+IF(ED2350&lt;&gt;"",1,0)+IF(EG2350&lt;&gt;"",1,0)+IF(EH2350&lt;&gt;"",1,0)</f>
        <v/>
      </c>
      <c r="AZ2350">
        <f>IF(EH2350&lt;&gt;"",1,0)</f>
        <v/>
      </c>
      <c r="BB2350" t="inlineStr">
        <is>
          <t>WARREN-WARD 4</t>
        </is>
      </c>
      <c r="BC2350" t="inlineStr">
        <is>
          <t>X</t>
        </is>
      </c>
      <c r="BD2350" t="inlineStr">
        <is>
          <t>X</t>
        </is>
      </c>
      <c r="BF2350" t="inlineStr">
        <is>
          <t>X</t>
        </is>
      </c>
      <c r="BH2350" t="inlineStr">
        <is>
          <t>X</t>
        </is>
      </c>
      <c r="BJ2350" t="inlineStr">
        <is>
          <t>X</t>
        </is>
      </c>
      <c r="BL2350" t="inlineStr">
        <is>
          <t>X</t>
        </is>
      </c>
      <c r="BP2350" t="inlineStr">
        <is>
          <t>X</t>
        </is>
      </c>
      <c r="BR2350" t="inlineStr">
        <is>
          <t>X</t>
        </is>
      </c>
      <c r="BS2350" t="inlineStr">
        <is>
          <t>X</t>
        </is>
      </c>
      <c r="BY2350" t="inlineStr">
        <is>
          <t>R</t>
        </is>
      </c>
      <c r="CA2350" t="inlineStr">
        <is>
          <t>X</t>
        </is>
      </c>
      <c r="CG2350" t="inlineStr">
        <is>
          <t>X</t>
        </is>
      </c>
      <c r="CK2350" t="inlineStr">
        <is>
          <t>X</t>
        </is>
      </c>
      <c r="CN2350" t="inlineStr">
        <is>
          <t>X</t>
        </is>
      </c>
      <c r="CP2350" t="inlineStr">
        <is>
          <t>X</t>
        </is>
      </c>
      <c r="CV2350" t="inlineStr">
        <is>
          <t>X</t>
        </is>
      </c>
      <c r="CY2350" t="inlineStr">
        <is>
          <t>X</t>
        </is>
      </c>
      <c r="CZ2350" t="inlineStr">
        <is>
          <t>R</t>
        </is>
      </c>
      <c r="DC2350" t="inlineStr">
        <is>
          <t>X</t>
        </is>
      </c>
      <c r="DF2350" t="inlineStr">
        <is>
          <t>X</t>
        </is>
      </c>
      <c r="DG2350" t="inlineStr">
        <is>
          <t>R</t>
        </is>
      </c>
      <c r="DI2350" t="inlineStr">
        <is>
          <t>X</t>
        </is>
      </c>
      <c r="DM2350" t="inlineStr">
        <is>
          <t>R</t>
        </is>
      </c>
      <c r="DN2350" t="inlineStr">
        <is>
          <t>X</t>
        </is>
      </c>
      <c r="DS2350" t="inlineStr">
        <is>
          <t>R</t>
        </is>
      </c>
      <c r="DT2350" t="inlineStr">
        <is>
          <t>R</t>
        </is>
      </c>
      <c r="DU2350" t="inlineStr">
        <is>
          <t>X</t>
        </is>
      </c>
      <c r="DX2350" t="inlineStr">
        <is>
          <t>X</t>
        </is>
      </c>
      <c r="EA2350" t="inlineStr">
        <is>
          <t>X</t>
        </is>
      </c>
      <c r="ED2350" t="inlineStr">
        <is>
          <t>R</t>
        </is>
      </c>
      <c r="EF2350" t="inlineStr">
        <is>
          <t>X</t>
        </is>
      </c>
      <c r="EH2350" t="inlineStr">
        <is>
          <t>X</t>
        </is>
      </c>
    </row>
    <row r="2351">
      <c r="A2351" t="inlineStr">
        <is>
          <t>OH0015764044</t>
        </is>
      </c>
      <c r="B2351" t="n">
        <v>78</v>
      </c>
      <c r="C2351" t="n">
        <v>327181</v>
      </c>
      <c r="D2351" t="inlineStr">
        <is>
          <t>KING</t>
        </is>
      </c>
      <c r="E2351" t="inlineStr">
        <is>
          <t>SANDRA</t>
        </is>
      </c>
      <c r="F2351">
        <f>CONCATENATE(D2351," ",LEFT(H2351,4),"T=",AU2351,"D=",AV2351,"R=",AW2351,"M=",AX2351,"L=",AY2351,"B=",AZ2351)</f>
        <v/>
      </c>
      <c r="G2351" t="inlineStr">
        <is>
          <t>KAY</t>
        </is>
      </c>
      <c r="I2351" t="inlineStr">
        <is>
          <t>1958-08-11</t>
        </is>
      </c>
      <c r="J2351" t="inlineStr">
        <is>
          <t>2019-04-09</t>
        </is>
      </c>
      <c r="K2351" t="inlineStr">
        <is>
          <t>CONFIRMATION</t>
        </is>
      </c>
      <c r="M2351" t="inlineStr">
        <is>
          <t>1617 KENILWORTH AVE SE</t>
        </is>
      </c>
      <c r="N2351">
        <f>RIGHT(M2351,LEN(M2351)-FIND(" ",M2351))</f>
        <v/>
      </c>
      <c r="P2351" t="inlineStr">
        <is>
          <t>WARREN</t>
        </is>
      </c>
      <c r="Q2351" t="inlineStr">
        <is>
          <t>OH</t>
        </is>
      </c>
      <c r="R2351" t="n">
        <v>44484</v>
      </c>
      <c r="AD2351" t="inlineStr">
        <is>
          <t>TRUMBULL CAREER &amp; TECH CENTER</t>
        </is>
      </c>
      <c r="AE2351" t="inlineStr">
        <is>
          <t>WARREN CITY</t>
        </is>
      </c>
      <c r="AF2351" t="inlineStr">
        <is>
          <t>WARREN CITY SD</t>
        </is>
      </c>
      <c r="AH2351" t="n">
        <v>14</v>
      </c>
      <c r="AI2351" t="n">
        <v>11</v>
      </c>
      <c r="AN2351" t="inlineStr">
        <is>
          <t>WARREN</t>
        </is>
      </c>
      <c r="AO2351" t="inlineStr">
        <is>
          <t>WARREN CITY 4F</t>
        </is>
      </c>
      <c r="AP2351" t="inlineStr">
        <is>
          <t>78-P-ADN</t>
        </is>
      </c>
      <c r="AQ2351" t="n">
        <v>9</v>
      </c>
      <c r="AR2351" t="n">
        <v>64</v>
      </c>
      <c r="AS2351" t="n">
        <v>32</v>
      </c>
      <c r="AU2351">
        <f>COUNTA($BA$2351:$EH$2351)</f>
        <v/>
      </c>
      <c r="AV2351">
        <f>COUNTIF($BA$2351:$EH$2351,"D")</f>
        <v/>
      </c>
      <c r="AW2351">
        <f>COUNTIF($BA$2351:$EH$2351,"R")</f>
        <v/>
      </c>
      <c r="AX2351">
        <f>IF(BN2351="D",1,0)+IF(BO2351="D",1,0)+IF(BT2351="D",1,0)+IF(BU2351="D",1,0)+IF(BW2351="D",1,0)+IF(CC2351="D",1,0)+IF(CD2351="D",1,0)+IF(CE2351="D",1,0)+IF(CF2351="D",1,0)+IF(CL2351="D",1,0)+IF(CM2351="D",1,0)+IF(CQ2351="D",1,0)+IF(CR2351="D",1,0)+IF(CS2351="D",1,0)+IF(CW2351="D",1,0)+IF(CX2351="D",1,0)+IF(DD2351="D",1,0)+IF(DE2351="D",1,0)+IF(DJ2351="D",1,0)+IF(DK2351="D",1,0)+IF(DO2351="D",1,0)+IF(DP2351="D",1,0)+IF(DQ2351="D",1,0)+IF(DW2351="D",1,0)+IF(DZ2351="D",1,0)+IF(EH2351="D",1,0)</f>
        <v/>
      </c>
      <c r="AY2351">
        <f>IF(DJ2351&lt;&gt;"",1,0)+IF(DK2351&lt;&gt;"",1,0)+IF(DM2351&lt;&gt;"",1,0)+IF(DO2351&lt;&gt;"",1,0)+IF(DP2351&lt;&gt;"",1,0)+IF(DQ2351&lt;&gt;"",1,0)+IF(DS2351&lt;&gt;"",1,0)+IF(DT2351&lt;&gt;"",1,0)+IF(DV2351&lt;&gt;"",1,0)+IF(DW2351&lt;&gt;"",1,0)+IF(DX2351&lt;&gt;"",1,0)+IF(DY2351&lt;&gt;"",1,0)+IF(DZ2351&lt;&gt;"",1,0)+IF(EB2351&lt;&gt;"",1,0)+IF(EC2351&lt;&gt;"",1,0)+IF(ED2351&lt;&gt;"",1,0)+IF(EG2351&lt;&gt;"",1,0)+IF(EH2351&lt;&gt;"",1,0)</f>
        <v/>
      </c>
      <c r="AZ2351">
        <f>IF(EH2351&lt;&gt;"",1,0)</f>
        <v/>
      </c>
      <c r="BB2351" t="inlineStr">
        <is>
          <t>WARREN-WARD 4</t>
        </is>
      </c>
      <c r="BL2351" t="inlineStr">
        <is>
          <t>X</t>
        </is>
      </c>
      <c r="CA2351" t="inlineStr">
        <is>
          <t>X</t>
        </is>
      </c>
      <c r="CL2351" t="inlineStr">
        <is>
          <t>D</t>
        </is>
      </c>
      <c r="CN2351" t="inlineStr">
        <is>
          <t>X</t>
        </is>
      </c>
      <c r="CP2351" t="inlineStr">
        <is>
          <t>X</t>
        </is>
      </c>
      <c r="CY2351" t="inlineStr">
        <is>
          <t>X</t>
        </is>
      </c>
      <c r="CZ2351" t="inlineStr">
        <is>
          <t>D</t>
        </is>
      </c>
      <c r="DC2351" t="inlineStr">
        <is>
          <t>X</t>
        </is>
      </c>
    </row>
    <row r="2352">
      <c r="A2352" t="inlineStr">
        <is>
          <t>OH0015693453</t>
        </is>
      </c>
      <c r="B2352" t="n">
        <v>78</v>
      </c>
      <c r="C2352" t="n">
        <v>14366</v>
      </c>
      <c r="D2352" t="inlineStr">
        <is>
          <t>MARTIN</t>
        </is>
      </c>
      <c r="E2352" t="inlineStr">
        <is>
          <t>WAYMER</t>
        </is>
      </c>
      <c r="F2352">
        <f>CONCATENATE(D2352," ",LEFT(H2352,4),"T=",AU2352,"D=",AV2352,"R=",AW2352,"M=",AX2352,"L=",AY2352,"B=",AZ2352)</f>
        <v/>
      </c>
      <c r="I2352" t="inlineStr">
        <is>
          <t>1939-04-25</t>
        </is>
      </c>
      <c r="J2352" t="inlineStr">
        <is>
          <t>1959-09-15</t>
        </is>
      </c>
      <c r="K2352" t="inlineStr">
        <is>
          <t>ACTIVE</t>
        </is>
      </c>
      <c r="L2352" t="inlineStr">
        <is>
          <t>D</t>
        </is>
      </c>
      <c r="M2352" t="inlineStr">
        <is>
          <t>974 HOMEWOOD AVE SE</t>
        </is>
      </c>
      <c r="N2352">
        <f>RIGHT(M2352,LEN(M2352)-FIND(" ",M2352))</f>
        <v/>
      </c>
      <c r="P2352" t="inlineStr">
        <is>
          <t>WARREN</t>
        </is>
      </c>
      <c r="Q2352" t="inlineStr">
        <is>
          <t>OH</t>
        </is>
      </c>
      <c r="R2352" t="n">
        <v>44484</v>
      </c>
      <c r="AD2352" t="inlineStr">
        <is>
          <t>TRUMBULL CAREER &amp; TECH CENTER</t>
        </is>
      </c>
      <c r="AE2352" t="inlineStr">
        <is>
          <t>WARREN CITY</t>
        </is>
      </c>
      <c r="AF2352" t="inlineStr">
        <is>
          <t>WARREN CITY SD</t>
        </is>
      </c>
      <c r="AH2352" t="n">
        <v>14</v>
      </c>
      <c r="AI2352" t="n">
        <v>11</v>
      </c>
      <c r="AN2352" t="inlineStr">
        <is>
          <t>WARREN</t>
        </is>
      </c>
      <c r="AO2352" t="inlineStr">
        <is>
          <t>WARREN CITY 4F</t>
        </is>
      </c>
      <c r="AP2352" t="inlineStr">
        <is>
          <t>78-P-ADN</t>
        </is>
      </c>
      <c r="AQ2352" t="n">
        <v>9</v>
      </c>
      <c r="AR2352" t="n">
        <v>64</v>
      </c>
      <c r="AS2352" t="n">
        <v>32</v>
      </c>
      <c r="AU2352">
        <f>COUNTA($BA$2352:$EH$2352)</f>
        <v/>
      </c>
      <c r="AV2352">
        <f>COUNTIF($BA$2352:$EH$2352,"D")</f>
        <v/>
      </c>
      <c r="AW2352">
        <f>COUNTIF($BA$2352:$EH$2352,"R")</f>
        <v/>
      </c>
      <c r="AX2352">
        <f>IF(BN2352="D",1,0)+IF(BO2352="D",1,0)+IF(BT2352="D",1,0)+IF(BU2352="D",1,0)+IF(BW2352="D",1,0)+IF(CC2352="D",1,0)+IF(CD2352="D",1,0)+IF(CE2352="D",1,0)+IF(CF2352="D",1,0)+IF(CL2352="D",1,0)+IF(CM2352="D",1,0)+IF(CQ2352="D",1,0)+IF(CR2352="D",1,0)+IF(CS2352="D",1,0)+IF(CW2352="D",1,0)+IF(CX2352="D",1,0)+IF(DD2352="D",1,0)+IF(DE2352="D",1,0)+IF(DJ2352="D",1,0)+IF(DK2352="D",1,0)+IF(DO2352="D",1,0)+IF(DP2352="D",1,0)+IF(DQ2352="D",1,0)+IF(DW2352="D",1,0)+IF(DZ2352="D",1,0)+IF(EH2352="D",1,0)</f>
        <v/>
      </c>
      <c r="AY2352">
        <f>IF(DJ2352&lt;&gt;"",1,0)+IF(DK2352&lt;&gt;"",1,0)+IF(DM2352&lt;&gt;"",1,0)+IF(DO2352&lt;&gt;"",1,0)+IF(DP2352&lt;&gt;"",1,0)+IF(DQ2352&lt;&gt;"",1,0)+IF(DS2352&lt;&gt;"",1,0)+IF(DT2352&lt;&gt;"",1,0)+IF(DV2352&lt;&gt;"",1,0)+IF(DW2352&lt;&gt;"",1,0)+IF(DX2352&lt;&gt;"",1,0)+IF(DY2352&lt;&gt;"",1,0)+IF(DZ2352&lt;&gt;"",1,0)+IF(EB2352&lt;&gt;"",1,0)+IF(EC2352&lt;&gt;"",1,0)+IF(ED2352&lt;&gt;"",1,0)+IF(EG2352&lt;&gt;"",1,0)+IF(EH2352&lt;&gt;"",1,0)</f>
        <v/>
      </c>
      <c r="AZ2352">
        <f>IF(EH2352&lt;&gt;"",1,0)</f>
        <v/>
      </c>
      <c r="BB2352" t="inlineStr">
        <is>
          <t>WARREN-WARD 4</t>
        </is>
      </c>
      <c r="BC2352" t="inlineStr">
        <is>
          <t>X</t>
        </is>
      </c>
      <c r="BD2352" t="inlineStr">
        <is>
          <t>X</t>
        </is>
      </c>
      <c r="BH2352" t="inlineStr">
        <is>
          <t>X</t>
        </is>
      </c>
      <c r="BI2352" t="inlineStr">
        <is>
          <t>X</t>
        </is>
      </c>
      <c r="BK2352" t="inlineStr">
        <is>
          <t>X</t>
        </is>
      </c>
      <c r="BL2352" t="inlineStr">
        <is>
          <t>X</t>
        </is>
      </c>
      <c r="BP2352" t="inlineStr">
        <is>
          <t>X</t>
        </is>
      </c>
      <c r="BR2352" t="inlineStr">
        <is>
          <t>X</t>
        </is>
      </c>
      <c r="BS2352" t="inlineStr">
        <is>
          <t>X</t>
        </is>
      </c>
      <c r="BV2352" t="inlineStr">
        <is>
          <t>X</t>
        </is>
      </c>
      <c r="BY2352" t="inlineStr">
        <is>
          <t>D</t>
        </is>
      </c>
      <c r="CA2352" t="inlineStr">
        <is>
          <t>X</t>
        </is>
      </c>
      <c r="CG2352" t="inlineStr">
        <is>
          <t>X</t>
        </is>
      </c>
      <c r="CH2352" t="inlineStr">
        <is>
          <t>D</t>
        </is>
      </c>
      <c r="CK2352" t="inlineStr">
        <is>
          <t>X</t>
        </is>
      </c>
      <c r="CL2352" t="inlineStr">
        <is>
          <t>D</t>
        </is>
      </c>
      <c r="CN2352" t="inlineStr">
        <is>
          <t>X</t>
        </is>
      </c>
      <c r="CO2352" t="inlineStr">
        <is>
          <t>D</t>
        </is>
      </c>
      <c r="CP2352" t="inlineStr">
        <is>
          <t>X</t>
        </is>
      </c>
      <c r="CQ2352" t="inlineStr">
        <is>
          <t>D</t>
        </is>
      </c>
      <c r="CT2352" t="inlineStr">
        <is>
          <t>X</t>
        </is>
      </c>
      <c r="CU2352" t="inlineStr">
        <is>
          <t>D</t>
        </is>
      </c>
      <c r="CV2352" t="inlineStr">
        <is>
          <t>X</t>
        </is>
      </c>
      <c r="CW2352" t="inlineStr">
        <is>
          <t>D</t>
        </is>
      </c>
      <c r="CY2352" t="inlineStr">
        <is>
          <t>X</t>
        </is>
      </c>
      <c r="CZ2352" t="inlineStr">
        <is>
          <t>D</t>
        </is>
      </c>
      <c r="DC2352" t="inlineStr">
        <is>
          <t>X</t>
        </is>
      </c>
      <c r="DD2352" t="inlineStr">
        <is>
          <t>D</t>
        </is>
      </c>
      <c r="DF2352" t="inlineStr">
        <is>
          <t>X</t>
        </is>
      </c>
      <c r="DG2352" t="inlineStr">
        <is>
          <t>D</t>
        </is>
      </c>
      <c r="DI2352" t="inlineStr">
        <is>
          <t>X</t>
        </is>
      </c>
      <c r="DJ2352" t="inlineStr">
        <is>
          <t>D</t>
        </is>
      </c>
      <c r="DL2352" t="inlineStr">
        <is>
          <t>X</t>
        </is>
      </c>
      <c r="DM2352" t="inlineStr">
        <is>
          <t>D</t>
        </is>
      </c>
      <c r="DN2352" t="inlineStr">
        <is>
          <t>X</t>
        </is>
      </c>
      <c r="DR2352" t="inlineStr">
        <is>
          <t>X</t>
        </is>
      </c>
      <c r="DS2352" t="inlineStr">
        <is>
          <t>D</t>
        </is>
      </c>
      <c r="DT2352" t="inlineStr">
        <is>
          <t>D</t>
        </is>
      </c>
      <c r="DU2352" t="inlineStr">
        <is>
          <t>X</t>
        </is>
      </c>
      <c r="DW2352" t="inlineStr">
        <is>
          <t>D</t>
        </is>
      </c>
      <c r="DX2352" t="inlineStr">
        <is>
          <t>X</t>
        </is>
      </c>
      <c r="EA2352" t="inlineStr">
        <is>
          <t>X</t>
        </is>
      </c>
      <c r="ED2352" t="inlineStr">
        <is>
          <t>D</t>
        </is>
      </c>
      <c r="EF2352" t="inlineStr">
        <is>
          <t>X</t>
        </is>
      </c>
      <c r="EH2352" t="inlineStr">
        <is>
          <t>D</t>
        </is>
      </c>
    </row>
    <row r="2353">
      <c r="A2353" t="inlineStr">
        <is>
          <t>OH0015697019</t>
        </is>
      </c>
      <c r="B2353" t="n">
        <v>78</v>
      </c>
      <c r="C2353" t="n">
        <v>152520</v>
      </c>
      <c r="D2353" t="inlineStr">
        <is>
          <t>GARRISON</t>
        </is>
      </c>
      <c r="E2353" t="inlineStr">
        <is>
          <t>JOHN</t>
        </is>
      </c>
      <c r="F2353">
        <f>CONCATENATE(D2353," ",LEFT(H2353,4),"T=",AU2353,"D=",AV2353,"R=",AW2353,"M=",AX2353,"L=",AY2353,"B=",AZ2353)</f>
        <v/>
      </c>
      <c r="G2353" t="inlineStr">
        <is>
          <t>M</t>
        </is>
      </c>
      <c r="I2353" t="inlineStr">
        <is>
          <t>1961-06-26</t>
        </is>
      </c>
      <c r="J2353" t="inlineStr">
        <is>
          <t>1983-01-09</t>
        </is>
      </c>
      <c r="K2353" t="inlineStr">
        <is>
          <t>ACTIVE</t>
        </is>
      </c>
      <c r="M2353" t="inlineStr">
        <is>
          <t>948 HOMEWOOD AVE SE</t>
        </is>
      </c>
      <c r="N2353">
        <f>RIGHT(M2353,LEN(M2353)-FIND(" ",M2353))</f>
        <v/>
      </c>
      <c r="P2353" t="inlineStr">
        <is>
          <t>WARREN</t>
        </is>
      </c>
      <c r="Q2353" t="inlineStr">
        <is>
          <t>OH</t>
        </is>
      </c>
      <c r="R2353" t="n">
        <v>44484</v>
      </c>
      <c r="AD2353" t="inlineStr">
        <is>
          <t>TRUMBULL CAREER &amp; TECH CENTER</t>
        </is>
      </c>
      <c r="AE2353" t="inlineStr">
        <is>
          <t>WARREN CITY</t>
        </is>
      </c>
      <c r="AF2353" t="inlineStr">
        <is>
          <t>WARREN CITY SD</t>
        </is>
      </c>
      <c r="AH2353" t="n">
        <v>14</v>
      </c>
      <c r="AI2353" t="n">
        <v>11</v>
      </c>
      <c r="AN2353" t="inlineStr">
        <is>
          <t>WARREN</t>
        </is>
      </c>
      <c r="AO2353" t="inlineStr">
        <is>
          <t>WARREN CITY 4F</t>
        </is>
      </c>
      <c r="AP2353" t="inlineStr">
        <is>
          <t>78-P-ADN</t>
        </is>
      </c>
      <c r="AQ2353" t="n">
        <v>9</v>
      </c>
      <c r="AR2353" t="n">
        <v>64</v>
      </c>
      <c r="AS2353" t="n">
        <v>32</v>
      </c>
      <c r="AU2353">
        <f>COUNTA($BA$2353:$EH$2353)</f>
        <v/>
      </c>
      <c r="AV2353">
        <f>COUNTIF($BA$2353:$EH$2353,"D")</f>
        <v/>
      </c>
      <c r="AW2353">
        <f>COUNTIF($BA$2353:$EH$2353,"R")</f>
        <v/>
      </c>
      <c r="AX2353">
        <f>IF(BN2353="D",1,0)+IF(BO2353="D",1,0)+IF(BT2353="D",1,0)+IF(BU2353="D",1,0)+IF(BW2353="D",1,0)+IF(CC2353="D",1,0)+IF(CD2353="D",1,0)+IF(CE2353="D",1,0)+IF(CF2353="D",1,0)+IF(CL2353="D",1,0)+IF(CM2353="D",1,0)+IF(CQ2353="D",1,0)+IF(CR2353="D",1,0)+IF(CS2353="D",1,0)+IF(CW2353="D",1,0)+IF(CX2353="D",1,0)+IF(DD2353="D",1,0)+IF(DE2353="D",1,0)+IF(DJ2353="D",1,0)+IF(DK2353="D",1,0)+IF(DO2353="D",1,0)+IF(DP2353="D",1,0)+IF(DQ2353="D",1,0)+IF(DW2353="D",1,0)+IF(DZ2353="D",1,0)+IF(EH2353="D",1,0)</f>
        <v/>
      </c>
      <c r="AY2353">
        <f>IF(DJ2353&lt;&gt;"",1,0)+IF(DK2353&lt;&gt;"",1,0)+IF(DM2353&lt;&gt;"",1,0)+IF(DO2353&lt;&gt;"",1,0)+IF(DP2353&lt;&gt;"",1,0)+IF(DQ2353&lt;&gt;"",1,0)+IF(DS2353&lt;&gt;"",1,0)+IF(DT2353&lt;&gt;"",1,0)+IF(DV2353&lt;&gt;"",1,0)+IF(DW2353&lt;&gt;"",1,0)+IF(DX2353&lt;&gt;"",1,0)+IF(DY2353&lt;&gt;"",1,0)+IF(DZ2353&lt;&gt;"",1,0)+IF(EB2353&lt;&gt;"",1,0)+IF(EC2353&lt;&gt;"",1,0)+IF(ED2353&lt;&gt;"",1,0)+IF(EG2353&lt;&gt;"",1,0)+IF(EH2353&lt;&gt;"",1,0)</f>
        <v/>
      </c>
      <c r="AZ2353">
        <f>IF(EH2353&lt;&gt;"",1,0)</f>
        <v/>
      </c>
      <c r="BB2353" t="inlineStr">
        <is>
          <t>WARREN-WARD 4</t>
        </is>
      </c>
      <c r="BC2353" t="inlineStr">
        <is>
          <t>X</t>
        </is>
      </c>
      <c r="BD2353" t="inlineStr">
        <is>
          <t>X</t>
        </is>
      </c>
      <c r="BH2353" t="inlineStr">
        <is>
          <t>X</t>
        </is>
      </c>
      <c r="BI2353" t="inlineStr">
        <is>
          <t>X</t>
        </is>
      </c>
      <c r="BJ2353" t="inlineStr">
        <is>
          <t>X</t>
        </is>
      </c>
      <c r="BK2353" t="inlineStr">
        <is>
          <t>X</t>
        </is>
      </c>
      <c r="BL2353" t="inlineStr">
        <is>
          <t>X</t>
        </is>
      </c>
      <c r="BS2353" t="inlineStr">
        <is>
          <t>X</t>
        </is>
      </c>
      <c r="CA2353" t="inlineStr">
        <is>
          <t>X</t>
        </is>
      </c>
      <c r="CG2353" t="inlineStr">
        <is>
          <t>X</t>
        </is>
      </c>
      <c r="CK2353" t="inlineStr">
        <is>
          <t>X</t>
        </is>
      </c>
      <c r="CN2353" t="inlineStr">
        <is>
          <t>X</t>
        </is>
      </c>
      <c r="CP2353" t="inlineStr">
        <is>
          <t>X</t>
        </is>
      </c>
      <c r="CV2353" t="inlineStr">
        <is>
          <t>X</t>
        </is>
      </c>
      <c r="CY2353" t="inlineStr">
        <is>
          <t>X</t>
        </is>
      </c>
      <c r="DC2353" t="inlineStr">
        <is>
          <t>X</t>
        </is>
      </c>
      <c r="DI2353" t="inlineStr">
        <is>
          <t>X</t>
        </is>
      </c>
      <c r="DN2353" t="inlineStr">
        <is>
          <t>X</t>
        </is>
      </c>
      <c r="EF2353" t="inlineStr">
        <is>
          <t>X</t>
        </is>
      </c>
    </row>
    <row r="2354">
      <c r="A2354" t="inlineStr">
        <is>
          <t>OH0019914420</t>
        </is>
      </c>
      <c r="B2354" t="n">
        <v>78</v>
      </c>
      <c r="C2354" t="n">
        <v>360679</v>
      </c>
      <c r="D2354" t="inlineStr">
        <is>
          <t>BENNETT</t>
        </is>
      </c>
      <c r="E2354" t="inlineStr">
        <is>
          <t>JUSTIN</t>
        </is>
      </c>
      <c r="F2354">
        <f>CONCATENATE(D2354," ",LEFT(H2354,4),"T=",AU2354,"D=",AV2354,"R=",AW2354,"M=",AX2354,"L=",AY2354,"B=",AZ2354)</f>
        <v/>
      </c>
      <c r="G2354" t="inlineStr">
        <is>
          <t>R</t>
        </is>
      </c>
      <c r="I2354" t="inlineStr">
        <is>
          <t>1990-08-01</t>
        </is>
      </c>
      <c r="J2354" t="inlineStr">
        <is>
          <t>2015-08-18</t>
        </is>
      </c>
      <c r="K2354" t="inlineStr">
        <is>
          <t>CONFIRMATION</t>
        </is>
      </c>
      <c r="M2354" t="inlineStr">
        <is>
          <t>1130 KENILWORTH AVE SE</t>
        </is>
      </c>
      <c r="N2354">
        <f>RIGHT(M2354,LEN(M2354)-FIND(" ",M2354))</f>
        <v/>
      </c>
      <c r="P2354" t="inlineStr">
        <is>
          <t>WARREN</t>
        </is>
      </c>
      <c r="Q2354" t="inlineStr">
        <is>
          <t>OH</t>
        </is>
      </c>
      <c r="R2354" t="n">
        <v>44484</v>
      </c>
      <c r="AD2354" t="inlineStr">
        <is>
          <t>TRUMBULL CAREER &amp; TECH CENTER</t>
        </is>
      </c>
      <c r="AE2354" t="inlineStr">
        <is>
          <t>WARREN CITY</t>
        </is>
      </c>
      <c r="AF2354" t="inlineStr">
        <is>
          <t>WARREN CITY SD</t>
        </is>
      </c>
      <c r="AH2354" t="n">
        <v>14</v>
      </c>
      <c r="AI2354" t="n">
        <v>11</v>
      </c>
      <c r="AN2354" t="inlineStr">
        <is>
          <t>WARREN</t>
        </is>
      </c>
      <c r="AO2354" t="inlineStr">
        <is>
          <t>WARREN CITY 4F</t>
        </is>
      </c>
      <c r="AP2354" t="inlineStr">
        <is>
          <t>78-P-ADN</t>
        </is>
      </c>
      <c r="AQ2354" t="n">
        <v>9</v>
      </c>
      <c r="AR2354" t="n">
        <v>64</v>
      </c>
      <c r="AS2354" t="n">
        <v>32</v>
      </c>
      <c r="AU2354">
        <f>COUNTA($BA$2354:$EH$2354)</f>
        <v/>
      </c>
      <c r="AV2354">
        <f>COUNTIF($BA$2354:$EH$2354,"D")</f>
        <v/>
      </c>
      <c r="AW2354">
        <f>COUNTIF($BA$2354:$EH$2354,"R")</f>
        <v/>
      </c>
      <c r="AX2354">
        <f>IF(BN2354="D",1,0)+IF(BO2354="D",1,0)+IF(BT2354="D",1,0)+IF(BU2354="D",1,0)+IF(BW2354="D",1,0)+IF(CC2354="D",1,0)+IF(CD2354="D",1,0)+IF(CE2354="D",1,0)+IF(CF2354="D",1,0)+IF(CL2354="D",1,0)+IF(CM2354="D",1,0)+IF(CQ2354="D",1,0)+IF(CR2354="D",1,0)+IF(CS2354="D",1,0)+IF(CW2354="D",1,0)+IF(CX2354="D",1,0)+IF(DD2354="D",1,0)+IF(DE2354="D",1,0)+IF(DJ2354="D",1,0)+IF(DK2354="D",1,0)+IF(DO2354="D",1,0)+IF(DP2354="D",1,0)+IF(DQ2354="D",1,0)+IF(DW2354="D",1,0)+IF(DZ2354="D",1,0)+IF(EH2354="D",1,0)</f>
        <v/>
      </c>
      <c r="AY2354">
        <f>IF(DJ2354&lt;&gt;"",1,0)+IF(DK2354&lt;&gt;"",1,0)+IF(DM2354&lt;&gt;"",1,0)+IF(DO2354&lt;&gt;"",1,0)+IF(DP2354&lt;&gt;"",1,0)+IF(DQ2354&lt;&gt;"",1,0)+IF(DS2354&lt;&gt;"",1,0)+IF(DT2354&lt;&gt;"",1,0)+IF(DV2354&lt;&gt;"",1,0)+IF(DW2354&lt;&gt;"",1,0)+IF(DX2354&lt;&gt;"",1,0)+IF(DY2354&lt;&gt;"",1,0)+IF(DZ2354&lt;&gt;"",1,0)+IF(EB2354&lt;&gt;"",1,0)+IF(EC2354&lt;&gt;"",1,0)+IF(ED2354&lt;&gt;"",1,0)+IF(EG2354&lt;&gt;"",1,0)+IF(EH2354&lt;&gt;"",1,0)</f>
        <v/>
      </c>
      <c r="AZ2354">
        <f>IF(EH2354&lt;&gt;"",1,0)</f>
        <v/>
      </c>
      <c r="BB2354" t="inlineStr">
        <is>
          <t>WARREN-WARD 4</t>
        </is>
      </c>
      <c r="CA2354" t="inlineStr">
        <is>
          <t>X</t>
        </is>
      </c>
      <c r="DN2354" t="inlineStr">
        <is>
          <t>X</t>
        </is>
      </c>
    </row>
    <row r="2355">
      <c r="A2355" t="inlineStr">
        <is>
          <t>OH0024621386</t>
        </is>
      </c>
      <c r="B2355" t="n">
        <v>78</v>
      </c>
      <c r="C2355" t="n">
        <v>431504</v>
      </c>
      <c r="D2355" t="inlineStr">
        <is>
          <t>HARLEY</t>
        </is>
      </c>
      <c r="E2355" t="inlineStr">
        <is>
          <t>DANIEL</t>
        </is>
      </c>
      <c r="F2355">
        <f>CONCATENATE(D2355," ",LEFT(H2355,4),"T=",AU2355,"D=",AV2355,"R=",AW2355,"M=",AX2355,"L=",AY2355,"B=",AZ2355)</f>
        <v/>
      </c>
      <c r="G2355" t="inlineStr">
        <is>
          <t>N</t>
        </is>
      </c>
      <c r="I2355" t="inlineStr">
        <is>
          <t>1998-07-20</t>
        </is>
      </c>
      <c r="J2355" t="inlineStr">
        <is>
          <t>2018-04-10</t>
        </is>
      </c>
      <c r="K2355" t="inlineStr">
        <is>
          <t>ACTIVE</t>
        </is>
      </c>
      <c r="M2355" t="inlineStr">
        <is>
          <t>1942 CAROLINA AVE SE</t>
        </is>
      </c>
      <c r="N2355">
        <f>RIGHT(M2355,LEN(M2355)-FIND(" ",M2355))</f>
        <v/>
      </c>
      <c r="P2355" t="inlineStr">
        <is>
          <t>WARREN</t>
        </is>
      </c>
      <c r="Q2355" t="inlineStr">
        <is>
          <t>OH</t>
        </is>
      </c>
      <c r="R2355" t="n">
        <v>44484</v>
      </c>
      <c r="AD2355" t="inlineStr">
        <is>
          <t>TRUMBULL CAREER &amp; TECH CENTER</t>
        </is>
      </c>
      <c r="AE2355" t="inlineStr">
        <is>
          <t>WARREN CITY</t>
        </is>
      </c>
      <c r="AF2355" t="inlineStr">
        <is>
          <t>WARREN CITY SD</t>
        </is>
      </c>
      <c r="AH2355" t="n">
        <v>14</v>
      </c>
      <c r="AI2355" t="n">
        <v>11</v>
      </c>
      <c r="AN2355" t="inlineStr">
        <is>
          <t>WARREN</t>
        </is>
      </c>
      <c r="AO2355" t="inlineStr">
        <is>
          <t>WARREN CITY 4F</t>
        </is>
      </c>
      <c r="AP2355" t="inlineStr">
        <is>
          <t>78-P-ADN</t>
        </is>
      </c>
      <c r="AQ2355" t="n">
        <v>9</v>
      </c>
      <c r="AR2355" t="n">
        <v>64</v>
      </c>
      <c r="AS2355" t="n">
        <v>32</v>
      </c>
      <c r="AU2355">
        <f>COUNTA($BA$2355:$EH$2355)</f>
        <v/>
      </c>
      <c r="AV2355">
        <f>COUNTIF($BA$2355:$EH$2355,"D")</f>
        <v/>
      </c>
      <c r="AW2355">
        <f>COUNTIF($BA$2355:$EH$2355,"R")</f>
        <v/>
      </c>
      <c r="AX2355">
        <f>IF(BN2355="D",1,0)+IF(BO2355="D",1,0)+IF(BT2355="D",1,0)+IF(BU2355="D",1,0)+IF(BW2355="D",1,0)+IF(CC2355="D",1,0)+IF(CD2355="D",1,0)+IF(CE2355="D",1,0)+IF(CF2355="D",1,0)+IF(CL2355="D",1,0)+IF(CM2355="D",1,0)+IF(CQ2355="D",1,0)+IF(CR2355="D",1,0)+IF(CS2355="D",1,0)+IF(CW2355="D",1,0)+IF(CX2355="D",1,0)+IF(DD2355="D",1,0)+IF(DE2355="D",1,0)+IF(DJ2355="D",1,0)+IF(DK2355="D",1,0)+IF(DO2355="D",1,0)+IF(DP2355="D",1,0)+IF(DQ2355="D",1,0)+IF(DW2355="D",1,0)+IF(DZ2355="D",1,0)+IF(EH2355="D",1,0)</f>
        <v/>
      </c>
      <c r="AY2355">
        <f>IF(DJ2355&lt;&gt;"",1,0)+IF(DK2355&lt;&gt;"",1,0)+IF(DM2355&lt;&gt;"",1,0)+IF(DO2355&lt;&gt;"",1,0)+IF(DP2355&lt;&gt;"",1,0)+IF(DQ2355&lt;&gt;"",1,0)+IF(DS2355&lt;&gt;"",1,0)+IF(DT2355&lt;&gt;"",1,0)+IF(DV2355&lt;&gt;"",1,0)+IF(DW2355&lt;&gt;"",1,0)+IF(DX2355&lt;&gt;"",1,0)+IF(DY2355&lt;&gt;"",1,0)+IF(DZ2355&lt;&gt;"",1,0)+IF(EB2355&lt;&gt;"",1,0)+IF(EC2355&lt;&gt;"",1,0)+IF(ED2355&lt;&gt;"",1,0)+IF(EG2355&lt;&gt;"",1,0)+IF(EH2355&lt;&gt;"",1,0)</f>
        <v/>
      </c>
      <c r="AZ2355">
        <f>IF(EH2355&lt;&gt;"",1,0)</f>
        <v/>
      </c>
      <c r="BB2355" t="inlineStr">
        <is>
          <t>WARREN-WARD 4</t>
        </is>
      </c>
    </row>
    <row r="2356">
      <c r="A2356" t="inlineStr">
        <is>
          <t>OH0015766138</t>
        </is>
      </c>
      <c r="B2356" t="n">
        <v>78</v>
      </c>
      <c r="C2356" t="n">
        <v>25355</v>
      </c>
      <c r="D2356" t="inlineStr">
        <is>
          <t>ZARICK</t>
        </is>
      </c>
      <c r="E2356" t="inlineStr">
        <is>
          <t>KIMBERLEE</t>
        </is>
      </c>
      <c r="F2356">
        <f>CONCATENATE(D2356," ",LEFT(H2356,4),"T=",AU2356,"D=",AV2356,"R=",AW2356,"M=",AX2356,"L=",AY2356,"B=",AZ2356)</f>
        <v/>
      </c>
      <c r="G2356" t="inlineStr">
        <is>
          <t>S</t>
        </is>
      </c>
      <c r="I2356" t="inlineStr">
        <is>
          <t>1960-12-10</t>
        </is>
      </c>
      <c r="J2356" t="inlineStr">
        <is>
          <t>1979-05-01</t>
        </is>
      </c>
      <c r="K2356" t="inlineStr">
        <is>
          <t>ACTIVE</t>
        </is>
      </c>
      <c r="L2356" t="inlineStr">
        <is>
          <t>R</t>
        </is>
      </c>
      <c r="M2356" t="inlineStr">
        <is>
          <t>1200 YOUNGSTOWN RD SE</t>
        </is>
      </c>
      <c r="N2356">
        <f>RIGHT(M2356,LEN(M2356)-FIND(" ",M2356))</f>
        <v/>
      </c>
      <c r="P2356" t="inlineStr">
        <is>
          <t>WARREN</t>
        </is>
      </c>
      <c r="Q2356" t="inlineStr">
        <is>
          <t>OH</t>
        </is>
      </c>
      <c r="R2356" t="n">
        <v>44484</v>
      </c>
      <c r="AD2356" t="inlineStr">
        <is>
          <t>TRUMBULL CAREER &amp; TECH CENTER</t>
        </is>
      </c>
      <c r="AE2356" t="inlineStr">
        <is>
          <t>WARREN CITY</t>
        </is>
      </c>
      <c r="AF2356" t="inlineStr">
        <is>
          <t>WARREN CITY SD</t>
        </is>
      </c>
      <c r="AH2356" t="n">
        <v>14</v>
      </c>
      <c r="AI2356" t="n">
        <v>11</v>
      </c>
      <c r="AN2356" t="inlineStr">
        <is>
          <t>WARREN</t>
        </is>
      </c>
      <c r="AO2356" t="inlineStr">
        <is>
          <t>WARREN CITY 4F</t>
        </is>
      </c>
      <c r="AP2356" t="inlineStr">
        <is>
          <t>78-P-ADN</t>
        </is>
      </c>
      <c r="AQ2356" t="n">
        <v>9</v>
      </c>
      <c r="AR2356" t="n">
        <v>64</v>
      </c>
      <c r="AS2356" t="n">
        <v>32</v>
      </c>
      <c r="AU2356">
        <f>COUNTA($BA$2356:$EH$2356)</f>
        <v/>
      </c>
      <c r="AV2356">
        <f>COUNTIF($BA$2356:$EH$2356,"D")</f>
        <v/>
      </c>
      <c r="AW2356">
        <f>COUNTIF($BA$2356:$EH$2356,"R")</f>
        <v/>
      </c>
      <c r="AX2356">
        <f>IF(BN2356="D",1,0)+IF(BO2356="D",1,0)+IF(BT2356="D",1,0)+IF(BU2356="D",1,0)+IF(BW2356="D",1,0)+IF(CC2356="D",1,0)+IF(CD2356="D",1,0)+IF(CE2356="D",1,0)+IF(CF2356="D",1,0)+IF(CL2356="D",1,0)+IF(CM2356="D",1,0)+IF(CQ2356="D",1,0)+IF(CR2356="D",1,0)+IF(CS2356="D",1,0)+IF(CW2356="D",1,0)+IF(CX2356="D",1,0)+IF(DD2356="D",1,0)+IF(DE2356="D",1,0)+IF(DJ2356="D",1,0)+IF(DK2356="D",1,0)+IF(DO2356="D",1,0)+IF(DP2356="D",1,0)+IF(DQ2356="D",1,0)+IF(DW2356="D",1,0)+IF(DZ2356="D",1,0)+IF(EH2356="D",1,0)</f>
        <v/>
      </c>
      <c r="AY2356">
        <f>IF(DJ2356&lt;&gt;"",1,0)+IF(DK2356&lt;&gt;"",1,0)+IF(DM2356&lt;&gt;"",1,0)+IF(DO2356&lt;&gt;"",1,0)+IF(DP2356&lt;&gt;"",1,0)+IF(DQ2356&lt;&gt;"",1,0)+IF(DS2356&lt;&gt;"",1,0)+IF(DT2356&lt;&gt;"",1,0)+IF(DV2356&lt;&gt;"",1,0)+IF(DW2356&lt;&gt;"",1,0)+IF(DX2356&lt;&gt;"",1,0)+IF(DY2356&lt;&gt;"",1,0)+IF(DZ2356&lt;&gt;"",1,0)+IF(EB2356&lt;&gt;"",1,0)+IF(EC2356&lt;&gt;"",1,0)+IF(ED2356&lt;&gt;"",1,0)+IF(EG2356&lt;&gt;"",1,0)+IF(EH2356&lt;&gt;"",1,0)</f>
        <v/>
      </c>
      <c r="AZ2356">
        <f>IF(EH2356&lt;&gt;"",1,0)</f>
        <v/>
      </c>
      <c r="BB2356" t="inlineStr">
        <is>
          <t>WARREN-WARD 4</t>
        </is>
      </c>
      <c r="BC2356" t="inlineStr">
        <is>
          <t>X</t>
        </is>
      </c>
      <c r="BD2356" t="inlineStr">
        <is>
          <t>X</t>
        </is>
      </c>
      <c r="BJ2356" t="inlineStr">
        <is>
          <t>X</t>
        </is>
      </c>
      <c r="BK2356" t="inlineStr">
        <is>
          <t>X</t>
        </is>
      </c>
      <c r="BL2356" t="inlineStr">
        <is>
          <t>X</t>
        </is>
      </c>
      <c r="BP2356" t="inlineStr">
        <is>
          <t>X</t>
        </is>
      </c>
      <c r="BR2356" t="inlineStr">
        <is>
          <t>X</t>
        </is>
      </c>
      <c r="BS2356" t="inlineStr">
        <is>
          <t>X</t>
        </is>
      </c>
      <c r="BV2356" t="inlineStr">
        <is>
          <t>X</t>
        </is>
      </c>
      <c r="BY2356" t="inlineStr">
        <is>
          <t>D</t>
        </is>
      </c>
      <c r="CA2356" t="inlineStr">
        <is>
          <t>X</t>
        </is>
      </c>
      <c r="CK2356" t="inlineStr">
        <is>
          <t>X</t>
        </is>
      </c>
      <c r="CL2356" t="inlineStr">
        <is>
          <t>D</t>
        </is>
      </c>
      <c r="CN2356" t="inlineStr">
        <is>
          <t>X</t>
        </is>
      </c>
      <c r="CO2356" t="inlineStr">
        <is>
          <t>R</t>
        </is>
      </c>
      <c r="CP2356" t="inlineStr">
        <is>
          <t>X</t>
        </is>
      </c>
      <c r="CV2356" t="inlineStr">
        <is>
          <t>X</t>
        </is>
      </c>
      <c r="CZ2356" t="inlineStr">
        <is>
          <t>R</t>
        </is>
      </c>
      <c r="DC2356" t="inlineStr">
        <is>
          <t>X</t>
        </is>
      </c>
      <c r="DF2356" t="inlineStr">
        <is>
          <t>X</t>
        </is>
      </c>
      <c r="DI2356" t="inlineStr">
        <is>
          <t>X</t>
        </is>
      </c>
      <c r="DL2356" t="inlineStr">
        <is>
          <t>X</t>
        </is>
      </c>
      <c r="DN2356" t="inlineStr">
        <is>
          <t>X</t>
        </is>
      </c>
      <c r="DR2356" t="inlineStr">
        <is>
          <t>X</t>
        </is>
      </c>
      <c r="DU2356" t="inlineStr">
        <is>
          <t>X</t>
        </is>
      </c>
      <c r="DW2356" t="inlineStr">
        <is>
          <t>D</t>
        </is>
      </c>
      <c r="DX2356" t="inlineStr">
        <is>
          <t>X</t>
        </is>
      </c>
      <c r="EA2356" t="inlineStr">
        <is>
          <t>X</t>
        </is>
      </c>
      <c r="ED2356" t="inlineStr">
        <is>
          <t>R</t>
        </is>
      </c>
      <c r="EF2356" t="inlineStr">
        <is>
          <t>X</t>
        </is>
      </c>
    </row>
    <row r="2357">
      <c r="A2357" t="inlineStr">
        <is>
          <t>OH0026191623</t>
        </is>
      </c>
      <c r="B2357" t="n">
        <v>78</v>
      </c>
      <c r="C2357" t="n">
        <v>457987</v>
      </c>
      <c r="D2357" t="inlineStr">
        <is>
          <t>MULLINS</t>
        </is>
      </c>
      <c r="E2357" t="inlineStr">
        <is>
          <t>ANGELA</t>
        </is>
      </c>
      <c r="F2357">
        <f>CONCATENATE(D2357," ",LEFT(H2357,4),"T=",AU2357,"D=",AV2357,"R=",AW2357,"M=",AX2357,"L=",AY2357,"B=",AZ2357)</f>
        <v/>
      </c>
      <c r="G2357" t="inlineStr">
        <is>
          <t>S</t>
        </is>
      </c>
      <c r="I2357" t="inlineStr">
        <is>
          <t>1968-03-13</t>
        </is>
      </c>
      <c r="J2357" t="inlineStr">
        <is>
          <t>2021-05-12</t>
        </is>
      </c>
      <c r="K2357" t="inlineStr">
        <is>
          <t>CONFIRMATION</t>
        </is>
      </c>
      <c r="M2357" t="inlineStr">
        <is>
          <t>1587 HOMEWOOD AVE SE</t>
        </is>
      </c>
      <c r="N2357">
        <f>RIGHT(M2357,LEN(M2357)-FIND(" ",M2357))</f>
        <v/>
      </c>
      <c r="P2357" t="inlineStr">
        <is>
          <t>WARREN</t>
        </is>
      </c>
      <c r="Q2357" t="inlineStr">
        <is>
          <t>OH</t>
        </is>
      </c>
      <c r="R2357" t="n">
        <v>44484</v>
      </c>
      <c r="AD2357" t="inlineStr">
        <is>
          <t>TRUMBULL CAREER &amp; TECH CENTER</t>
        </is>
      </c>
      <c r="AE2357" t="inlineStr">
        <is>
          <t>WARREN CITY</t>
        </is>
      </c>
      <c r="AF2357" t="inlineStr">
        <is>
          <t>WARREN CITY SD</t>
        </is>
      </c>
      <c r="AH2357" t="n">
        <v>14</v>
      </c>
      <c r="AI2357" t="n">
        <v>11</v>
      </c>
      <c r="AN2357" t="inlineStr">
        <is>
          <t>WARREN</t>
        </is>
      </c>
      <c r="AO2357" t="inlineStr">
        <is>
          <t>WARREN CITY 4F</t>
        </is>
      </c>
      <c r="AP2357" t="inlineStr">
        <is>
          <t>78-P-ADN</t>
        </is>
      </c>
      <c r="AQ2357" t="n">
        <v>9</v>
      </c>
      <c r="AR2357" t="n">
        <v>64</v>
      </c>
      <c r="AS2357" t="n">
        <v>32</v>
      </c>
      <c r="AU2357">
        <f>COUNTA($BA$2357:$EH$2357)</f>
        <v/>
      </c>
      <c r="AV2357">
        <f>COUNTIF($BA$2357:$EH$2357,"D")</f>
        <v/>
      </c>
      <c r="AW2357">
        <f>COUNTIF($BA$2357:$EH$2357,"R")</f>
        <v/>
      </c>
      <c r="AX2357">
        <f>IF(BN2357="D",1,0)+IF(BO2357="D",1,0)+IF(BT2357="D",1,0)+IF(BU2357="D",1,0)+IF(BW2357="D",1,0)+IF(CC2357="D",1,0)+IF(CD2357="D",1,0)+IF(CE2357="D",1,0)+IF(CF2357="D",1,0)+IF(CL2357="D",1,0)+IF(CM2357="D",1,0)+IF(CQ2357="D",1,0)+IF(CR2357="D",1,0)+IF(CS2357="D",1,0)+IF(CW2357="D",1,0)+IF(CX2357="D",1,0)+IF(DD2357="D",1,0)+IF(DE2357="D",1,0)+IF(DJ2357="D",1,0)+IF(DK2357="D",1,0)+IF(DO2357="D",1,0)+IF(DP2357="D",1,0)+IF(DQ2357="D",1,0)+IF(DW2357="D",1,0)+IF(DZ2357="D",1,0)+IF(EH2357="D",1,0)</f>
        <v/>
      </c>
      <c r="AY2357">
        <f>IF(DJ2357&lt;&gt;"",1,0)+IF(DK2357&lt;&gt;"",1,0)+IF(DM2357&lt;&gt;"",1,0)+IF(DO2357&lt;&gt;"",1,0)+IF(DP2357&lt;&gt;"",1,0)+IF(DQ2357&lt;&gt;"",1,0)+IF(DS2357&lt;&gt;"",1,0)+IF(DT2357&lt;&gt;"",1,0)+IF(DV2357&lt;&gt;"",1,0)+IF(DW2357&lt;&gt;"",1,0)+IF(DX2357&lt;&gt;"",1,0)+IF(DY2357&lt;&gt;"",1,0)+IF(DZ2357&lt;&gt;"",1,0)+IF(EB2357&lt;&gt;"",1,0)+IF(EC2357&lt;&gt;"",1,0)+IF(ED2357&lt;&gt;"",1,0)+IF(EG2357&lt;&gt;"",1,0)+IF(EH2357&lt;&gt;"",1,0)</f>
        <v/>
      </c>
      <c r="AZ2357">
        <f>IF(EH2357&lt;&gt;"",1,0)</f>
        <v/>
      </c>
      <c r="BB2357" t="inlineStr">
        <is>
          <t>WARREN-WARD 4</t>
        </is>
      </c>
    </row>
    <row r="2358">
      <c r="A2358" t="inlineStr">
        <is>
          <t>OH0025840590</t>
        </is>
      </c>
      <c r="B2358" t="n">
        <v>78</v>
      </c>
      <c r="C2358" t="n">
        <v>451314</v>
      </c>
      <c r="D2358" t="inlineStr">
        <is>
          <t>BLACKMON</t>
        </is>
      </c>
      <c r="E2358" t="inlineStr">
        <is>
          <t>DOZIE</t>
        </is>
      </c>
      <c r="F2358">
        <f>CONCATENATE(D2358," ",LEFT(H2358,4),"T=",AU2358,"D=",AV2358,"R=",AW2358,"M=",AX2358,"L=",AY2358,"B=",AZ2358)</f>
        <v/>
      </c>
      <c r="G2358" t="inlineStr">
        <is>
          <t>A</t>
        </is>
      </c>
      <c r="I2358" t="inlineStr">
        <is>
          <t>2002-02-02</t>
        </is>
      </c>
      <c r="J2358" t="inlineStr">
        <is>
          <t>2024-07-31</t>
        </is>
      </c>
      <c r="K2358" t="inlineStr">
        <is>
          <t>ACTIVE</t>
        </is>
      </c>
      <c r="M2358" t="inlineStr">
        <is>
          <t>1569 TRANSYLVANIA AVE SE</t>
        </is>
      </c>
      <c r="N2358">
        <f>RIGHT(M2358,LEN(M2358)-FIND(" ",M2358))</f>
        <v/>
      </c>
      <c r="P2358" t="inlineStr">
        <is>
          <t>WARREN</t>
        </is>
      </c>
      <c r="Q2358" t="inlineStr">
        <is>
          <t>OH</t>
        </is>
      </c>
      <c r="R2358" t="n">
        <v>44484</v>
      </c>
      <c r="AD2358" t="inlineStr">
        <is>
          <t>TRUMBULL CAREER &amp; TECH CENTER</t>
        </is>
      </c>
      <c r="AE2358" t="inlineStr">
        <is>
          <t>WARREN CITY</t>
        </is>
      </c>
      <c r="AF2358" t="inlineStr">
        <is>
          <t>WARREN CITY SD</t>
        </is>
      </c>
      <c r="AH2358" t="n">
        <v>14</v>
      </c>
      <c r="AI2358" t="n">
        <v>11</v>
      </c>
      <c r="AN2358" t="inlineStr">
        <is>
          <t>WARREN</t>
        </is>
      </c>
      <c r="AO2358" t="inlineStr">
        <is>
          <t>WARREN CITY 4F</t>
        </is>
      </c>
      <c r="AP2358" t="inlineStr">
        <is>
          <t>78-P-ADN</t>
        </is>
      </c>
      <c r="AQ2358" t="n">
        <v>9</v>
      </c>
      <c r="AR2358" t="n">
        <v>64</v>
      </c>
      <c r="AS2358" t="n">
        <v>32</v>
      </c>
      <c r="AU2358">
        <f>COUNTA($BA$2358:$EH$2358)</f>
        <v/>
      </c>
      <c r="AV2358">
        <f>COUNTIF($BA$2358:$EH$2358,"D")</f>
        <v/>
      </c>
      <c r="AW2358">
        <f>COUNTIF($BA$2358:$EH$2358,"R")</f>
        <v/>
      </c>
      <c r="AX2358">
        <f>IF(BN2358="D",1,0)+IF(BO2358="D",1,0)+IF(BT2358="D",1,0)+IF(BU2358="D",1,0)+IF(BW2358="D",1,0)+IF(CC2358="D",1,0)+IF(CD2358="D",1,0)+IF(CE2358="D",1,0)+IF(CF2358="D",1,0)+IF(CL2358="D",1,0)+IF(CM2358="D",1,0)+IF(CQ2358="D",1,0)+IF(CR2358="D",1,0)+IF(CS2358="D",1,0)+IF(CW2358="D",1,0)+IF(CX2358="D",1,0)+IF(DD2358="D",1,0)+IF(DE2358="D",1,0)+IF(DJ2358="D",1,0)+IF(DK2358="D",1,0)+IF(DO2358="D",1,0)+IF(DP2358="D",1,0)+IF(DQ2358="D",1,0)+IF(DW2358="D",1,0)+IF(DZ2358="D",1,0)+IF(EH2358="D",1,0)</f>
        <v/>
      </c>
      <c r="AY2358">
        <f>IF(DJ2358&lt;&gt;"",1,0)+IF(DK2358&lt;&gt;"",1,0)+IF(DM2358&lt;&gt;"",1,0)+IF(DO2358&lt;&gt;"",1,0)+IF(DP2358&lt;&gt;"",1,0)+IF(DQ2358&lt;&gt;"",1,0)+IF(DS2358&lt;&gt;"",1,0)+IF(DT2358&lt;&gt;"",1,0)+IF(DV2358&lt;&gt;"",1,0)+IF(DW2358&lt;&gt;"",1,0)+IF(DX2358&lt;&gt;"",1,0)+IF(DY2358&lt;&gt;"",1,0)+IF(DZ2358&lt;&gt;"",1,0)+IF(EB2358&lt;&gt;"",1,0)+IF(EC2358&lt;&gt;"",1,0)+IF(ED2358&lt;&gt;"",1,0)+IF(EG2358&lt;&gt;"",1,0)+IF(EH2358&lt;&gt;"",1,0)</f>
        <v/>
      </c>
      <c r="AZ2358">
        <f>IF(EH2358&lt;&gt;"",1,0)</f>
        <v/>
      </c>
      <c r="BB2358" t="inlineStr">
        <is>
          <t>WARREN-WARD 4</t>
        </is>
      </c>
      <c r="DN2358" t="inlineStr">
        <is>
          <t>X</t>
        </is>
      </c>
    </row>
    <row r="2359">
      <c r="A2359" t="inlineStr">
        <is>
          <t>OH0021351820</t>
        </is>
      </c>
      <c r="B2359" t="n">
        <v>78</v>
      </c>
      <c r="C2359" t="n">
        <v>379680</v>
      </c>
      <c r="D2359" t="inlineStr">
        <is>
          <t>THOMPSON</t>
        </is>
      </c>
      <c r="E2359" t="inlineStr">
        <is>
          <t>JAMES</t>
        </is>
      </c>
      <c r="F2359">
        <f>CONCATENATE(D2359," ",LEFT(H2359,4),"T=",AU2359,"D=",AV2359,"R=",AW2359,"M=",AX2359,"L=",AY2359,"B=",AZ2359)</f>
        <v/>
      </c>
      <c r="G2359" t="inlineStr">
        <is>
          <t>HC</t>
        </is>
      </c>
      <c r="I2359" t="inlineStr">
        <is>
          <t>1992-07-01</t>
        </is>
      </c>
      <c r="J2359" t="inlineStr">
        <is>
          <t>2011-03-31</t>
        </is>
      </c>
      <c r="K2359" t="inlineStr">
        <is>
          <t>CONFIRMATION</t>
        </is>
      </c>
      <c r="M2359" t="inlineStr">
        <is>
          <t>1110 KENILWORTH AVE SE</t>
        </is>
      </c>
      <c r="N2359">
        <f>RIGHT(M2359,LEN(M2359)-FIND(" ",M2359))</f>
        <v/>
      </c>
      <c r="P2359" t="inlineStr">
        <is>
          <t>WARREN</t>
        </is>
      </c>
      <c r="Q2359" t="inlineStr">
        <is>
          <t>OH</t>
        </is>
      </c>
      <c r="R2359" t="n">
        <v>44484</v>
      </c>
      <c r="AD2359" t="inlineStr">
        <is>
          <t>TRUMBULL CAREER &amp; TECH CENTER</t>
        </is>
      </c>
      <c r="AE2359" t="inlineStr">
        <is>
          <t>WARREN CITY</t>
        </is>
      </c>
      <c r="AF2359" t="inlineStr">
        <is>
          <t>WARREN CITY SD</t>
        </is>
      </c>
      <c r="AH2359" t="n">
        <v>14</v>
      </c>
      <c r="AI2359" t="n">
        <v>11</v>
      </c>
      <c r="AN2359" t="inlineStr">
        <is>
          <t>WARREN</t>
        </is>
      </c>
      <c r="AO2359" t="inlineStr">
        <is>
          <t>WARREN CITY 4F</t>
        </is>
      </c>
      <c r="AP2359" t="inlineStr">
        <is>
          <t>78-P-ADN</t>
        </is>
      </c>
      <c r="AQ2359" t="n">
        <v>9</v>
      </c>
      <c r="AR2359" t="n">
        <v>64</v>
      </c>
      <c r="AS2359" t="n">
        <v>32</v>
      </c>
      <c r="AU2359">
        <f>COUNTA($BA$2359:$EH$2359)</f>
        <v/>
      </c>
      <c r="AV2359">
        <f>COUNTIF($BA$2359:$EH$2359,"D")</f>
        <v/>
      </c>
      <c r="AW2359">
        <f>COUNTIF($BA$2359:$EH$2359,"R")</f>
        <v/>
      </c>
      <c r="AX2359">
        <f>IF(BN2359="D",1,0)+IF(BO2359="D",1,0)+IF(BT2359="D",1,0)+IF(BU2359="D",1,0)+IF(BW2359="D",1,0)+IF(CC2359="D",1,0)+IF(CD2359="D",1,0)+IF(CE2359="D",1,0)+IF(CF2359="D",1,0)+IF(CL2359="D",1,0)+IF(CM2359="D",1,0)+IF(CQ2359="D",1,0)+IF(CR2359="D",1,0)+IF(CS2359="D",1,0)+IF(CW2359="D",1,0)+IF(CX2359="D",1,0)+IF(DD2359="D",1,0)+IF(DE2359="D",1,0)+IF(DJ2359="D",1,0)+IF(DK2359="D",1,0)+IF(DO2359="D",1,0)+IF(DP2359="D",1,0)+IF(DQ2359="D",1,0)+IF(DW2359="D",1,0)+IF(DZ2359="D",1,0)+IF(EH2359="D",1,0)</f>
        <v/>
      </c>
      <c r="AY2359">
        <f>IF(DJ2359&lt;&gt;"",1,0)+IF(DK2359&lt;&gt;"",1,0)+IF(DM2359&lt;&gt;"",1,0)+IF(DO2359&lt;&gt;"",1,0)+IF(DP2359&lt;&gt;"",1,0)+IF(DQ2359&lt;&gt;"",1,0)+IF(DS2359&lt;&gt;"",1,0)+IF(DT2359&lt;&gt;"",1,0)+IF(DV2359&lt;&gt;"",1,0)+IF(DW2359&lt;&gt;"",1,0)+IF(DX2359&lt;&gt;"",1,0)+IF(DY2359&lt;&gt;"",1,0)+IF(DZ2359&lt;&gt;"",1,0)+IF(EB2359&lt;&gt;"",1,0)+IF(EC2359&lt;&gt;"",1,0)+IF(ED2359&lt;&gt;"",1,0)+IF(EG2359&lt;&gt;"",1,0)+IF(EH2359&lt;&gt;"",1,0)</f>
        <v/>
      </c>
      <c r="AZ2359">
        <f>IF(EH2359&lt;&gt;"",1,0)</f>
        <v/>
      </c>
      <c r="BB2359" t="inlineStr">
        <is>
          <t>WARREN-WARD 4</t>
        </is>
      </c>
      <c r="CN2359" t="inlineStr">
        <is>
          <t>X</t>
        </is>
      </c>
      <c r="CP2359" t="inlineStr">
        <is>
          <t>X</t>
        </is>
      </c>
      <c r="CT2359" t="inlineStr">
        <is>
          <t>X</t>
        </is>
      </c>
      <c r="CV2359" t="inlineStr">
        <is>
          <t>X</t>
        </is>
      </c>
      <c r="CW2359" t="inlineStr">
        <is>
          <t>D</t>
        </is>
      </c>
      <c r="CY2359" t="inlineStr">
        <is>
          <t>X</t>
        </is>
      </c>
      <c r="CZ2359" t="inlineStr">
        <is>
          <t>D</t>
        </is>
      </c>
      <c r="DC2359" t="inlineStr">
        <is>
          <t>X</t>
        </is>
      </c>
      <c r="DF2359" t="inlineStr">
        <is>
          <t>X</t>
        </is>
      </c>
      <c r="DG2359" t="inlineStr">
        <is>
          <t>D</t>
        </is>
      </c>
      <c r="DI2359" t="inlineStr">
        <is>
          <t>X</t>
        </is>
      </c>
      <c r="DN2359" t="inlineStr">
        <is>
          <t>X</t>
        </is>
      </c>
    </row>
    <row r="2360">
      <c r="A2360" t="inlineStr">
        <is>
          <t>OH0015758930</t>
        </is>
      </c>
      <c r="B2360" t="n">
        <v>78</v>
      </c>
      <c r="C2360" t="n">
        <v>245983</v>
      </c>
      <c r="D2360" t="inlineStr">
        <is>
          <t>OWENS</t>
        </is>
      </c>
      <c r="E2360" t="inlineStr">
        <is>
          <t>SHEILA</t>
        </is>
      </c>
      <c r="F2360">
        <f>CONCATENATE(D2360," ",LEFT(H2360,4),"T=",AU2360,"D=",AV2360,"R=",AW2360,"M=",AX2360,"L=",AY2360,"B=",AZ2360)</f>
        <v/>
      </c>
      <c r="G2360" t="inlineStr">
        <is>
          <t>A</t>
        </is>
      </c>
      <c r="I2360" t="inlineStr">
        <is>
          <t>1974-05-28</t>
        </is>
      </c>
      <c r="J2360" t="inlineStr">
        <is>
          <t>2014-04-08</t>
        </is>
      </c>
      <c r="K2360" t="inlineStr">
        <is>
          <t>ACTIVE</t>
        </is>
      </c>
      <c r="M2360" t="inlineStr">
        <is>
          <t>1568 ROMAN ST SE</t>
        </is>
      </c>
      <c r="N2360">
        <f>RIGHT(M2360,LEN(M2360)-FIND(" ",M2360))</f>
        <v/>
      </c>
      <c r="P2360" t="inlineStr">
        <is>
          <t>WARREN</t>
        </is>
      </c>
      <c r="Q2360" t="inlineStr">
        <is>
          <t>OH</t>
        </is>
      </c>
      <c r="R2360" t="n">
        <v>44484</v>
      </c>
      <c r="AD2360" t="inlineStr">
        <is>
          <t>TRUMBULL CAREER &amp; TECH CENTER</t>
        </is>
      </c>
      <c r="AE2360" t="inlineStr">
        <is>
          <t>WARREN CITY</t>
        </is>
      </c>
      <c r="AF2360" t="inlineStr">
        <is>
          <t>WARREN CITY SD</t>
        </is>
      </c>
      <c r="AH2360" t="n">
        <v>14</v>
      </c>
      <c r="AI2360" t="n">
        <v>11</v>
      </c>
      <c r="AN2360" t="inlineStr">
        <is>
          <t>WARREN</t>
        </is>
      </c>
      <c r="AO2360" t="inlineStr">
        <is>
          <t>WARREN CITY 4F</t>
        </is>
      </c>
      <c r="AP2360" t="inlineStr">
        <is>
          <t>78-P-ADN</t>
        </is>
      </c>
      <c r="AQ2360" t="n">
        <v>9</v>
      </c>
      <c r="AR2360" t="n">
        <v>64</v>
      </c>
      <c r="AS2360" t="n">
        <v>32</v>
      </c>
      <c r="AU2360">
        <f>COUNTA($BA$2360:$EH$2360)</f>
        <v/>
      </c>
      <c r="AV2360">
        <f>COUNTIF($BA$2360:$EH$2360,"D")</f>
        <v/>
      </c>
      <c r="AW2360">
        <f>COUNTIF($BA$2360:$EH$2360,"R")</f>
        <v/>
      </c>
      <c r="AX2360">
        <f>IF(BN2360="D",1,0)+IF(BO2360="D",1,0)+IF(BT2360="D",1,0)+IF(BU2360="D",1,0)+IF(BW2360="D",1,0)+IF(CC2360="D",1,0)+IF(CD2360="D",1,0)+IF(CE2360="D",1,0)+IF(CF2360="D",1,0)+IF(CL2360="D",1,0)+IF(CM2360="D",1,0)+IF(CQ2360="D",1,0)+IF(CR2360="D",1,0)+IF(CS2360="D",1,0)+IF(CW2360="D",1,0)+IF(CX2360="D",1,0)+IF(DD2360="D",1,0)+IF(DE2360="D",1,0)+IF(DJ2360="D",1,0)+IF(DK2360="D",1,0)+IF(DO2360="D",1,0)+IF(DP2360="D",1,0)+IF(DQ2360="D",1,0)+IF(DW2360="D",1,0)+IF(DZ2360="D",1,0)+IF(EH2360="D",1,0)</f>
        <v/>
      </c>
      <c r="AY2360">
        <f>IF(DJ2360&lt;&gt;"",1,0)+IF(DK2360&lt;&gt;"",1,0)+IF(DM2360&lt;&gt;"",1,0)+IF(DO2360&lt;&gt;"",1,0)+IF(DP2360&lt;&gt;"",1,0)+IF(DQ2360&lt;&gt;"",1,0)+IF(DS2360&lt;&gt;"",1,0)+IF(DT2360&lt;&gt;"",1,0)+IF(DV2360&lt;&gt;"",1,0)+IF(DW2360&lt;&gt;"",1,0)+IF(DX2360&lt;&gt;"",1,0)+IF(DY2360&lt;&gt;"",1,0)+IF(DZ2360&lt;&gt;"",1,0)+IF(EB2360&lt;&gt;"",1,0)+IF(EC2360&lt;&gt;"",1,0)+IF(ED2360&lt;&gt;"",1,0)+IF(EG2360&lt;&gt;"",1,0)+IF(EH2360&lt;&gt;"",1,0)</f>
        <v/>
      </c>
      <c r="AZ2360">
        <f>IF(EH2360&lt;&gt;"",1,0)</f>
        <v/>
      </c>
      <c r="BB2360" t="inlineStr">
        <is>
          <t>WARREN-WARD 4</t>
        </is>
      </c>
      <c r="BH2360" t="inlineStr">
        <is>
          <t>X</t>
        </is>
      </c>
      <c r="BK2360" t="inlineStr">
        <is>
          <t>X</t>
        </is>
      </c>
      <c r="BL2360" t="inlineStr">
        <is>
          <t>X</t>
        </is>
      </c>
      <c r="CA2360" t="inlineStr">
        <is>
          <t>X</t>
        </is>
      </c>
      <c r="CK2360" t="inlineStr">
        <is>
          <t>X</t>
        </is>
      </c>
      <c r="CP2360" t="inlineStr">
        <is>
          <t>X</t>
        </is>
      </c>
      <c r="CV2360" t="inlineStr">
        <is>
          <t>X</t>
        </is>
      </c>
      <c r="CY2360" t="inlineStr">
        <is>
          <t>X</t>
        </is>
      </c>
      <c r="DC2360" t="inlineStr">
        <is>
          <t>X</t>
        </is>
      </c>
      <c r="DI2360" t="inlineStr">
        <is>
          <t>X</t>
        </is>
      </c>
      <c r="DN2360" t="inlineStr">
        <is>
          <t>X</t>
        </is>
      </c>
      <c r="DU2360" t="inlineStr">
        <is>
          <t>X</t>
        </is>
      </c>
      <c r="EF2360" t="inlineStr">
        <is>
          <t>X</t>
        </is>
      </c>
    </row>
    <row r="2361">
      <c r="A2361" t="inlineStr">
        <is>
          <t>OH0027513683</t>
        </is>
      </c>
      <c r="B2361" t="n">
        <v>78</v>
      </c>
      <c r="C2361" t="n">
        <v>487575</v>
      </c>
      <c r="D2361" t="inlineStr">
        <is>
          <t>FOSTER</t>
        </is>
      </c>
      <c r="E2361" t="inlineStr">
        <is>
          <t>CHRISTOPHER</t>
        </is>
      </c>
      <c r="F2361">
        <f>CONCATENATE(D2361," ",LEFT(H2361,4),"T=",AU2361,"D=",AV2361,"R=",AW2361,"M=",AX2361,"L=",AY2361,"B=",AZ2361)</f>
        <v/>
      </c>
      <c r="G2361" t="inlineStr">
        <is>
          <t>L</t>
        </is>
      </c>
      <c r="I2361" t="inlineStr">
        <is>
          <t>1993-02-19</t>
        </is>
      </c>
      <c r="J2361" t="inlineStr">
        <is>
          <t>2024-08-05</t>
        </is>
      </c>
      <c r="K2361" t="inlineStr">
        <is>
          <t>ACTIVE</t>
        </is>
      </c>
      <c r="M2361" t="inlineStr">
        <is>
          <t>1816 MILTON ST SE</t>
        </is>
      </c>
      <c r="N2361">
        <f>RIGHT(M2361,LEN(M2361)-FIND(" ",M2361))</f>
        <v/>
      </c>
      <c r="P2361" t="inlineStr">
        <is>
          <t>WARREN</t>
        </is>
      </c>
      <c r="Q2361" t="inlineStr">
        <is>
          <t>OH</t>
        </is>
      </c>
      <c r="R2361" t="n">
        <v>44484</v>
      </c>
      <c r="AD2361" t="inlineStr">
        <is>
          <t>TRUMBULL CAREER &amp; TECH CENTER</t>
        </is>
      </c>
      <c r="AE2361" t="inlineStr">
        <is>
          <t>WARREN CITY</t>
        </is>
      </c>
      <c r="AF2361" t="inlineStr">
        <is>
          <t>WARREN CITY SD</t>
        </is>
      </c>
      <c r="AH2361" t="n">
        <v>14</v>
      </c>
      <c r="AI2361" t="n">
        <v>11</v>
      </c>
      <c r="AN2361" t="inlineStr">
        <is>
          <t>WARREN</t>
        </is>
      </c>
      <c r="AO2361" t="inlineStr">
        <is>
          <t>WARREN CITY 4F</t>
        </is>
      </c>
      <c r="AP2361" t="inlineStr">
        <is>
          <t>78-P-ADN</t>
        </is>
      </c>
      <c r="AQ2361" t="n">
        <v>9</v>
      </c>
      <c r="AR2361" t="n">
        <v>64</v>
      </c>
      <c r="AS2361" t="n">
        <v>32</v>
      </c>
      <c r="AU2361">
        <f>COUNTA($BA$2361:$EH$2361)</f>
        <v/>
      </c>
      <c r="AV2361">
        <f>COUNTIF($BA$2361:$EH$2361,"D")</f>
        <v/>
      </c>
      <c r="AW2361">
        <f>COUNTIF($BA$2361:$EH$2361,"R")</f>
        <v/>
      </c>
      <c r="AX2361">
        <f>IF(BN2361="D",1,0)+IF(BO2361="D",1,0)+IF(BT2361="D",1,0)+IF(BU2361="D",1,0)+IF(BW2361="D",1,0)+IF(CC2361="D",1,0)+IF(CD2361="D",1,0)+IF(CE2361="D",1,0)+IF(CF2361="D",1,0)+IF(CL2361="D",1,0)+IF(CM2361="D",1,0)+IF(CQ2361="D",1,0)+IF(CR2361="D",1,0)+IF(CS2361="D",1,0)+IF(CW2361="D",1,0)+IF(CX2361="D",1,0)+IF(DD2361="D",1,0)+IF(DE2361="D",1,0)+IF(DJ2361="D",1,0)+IF(DK2361="D",1,0)+IF(DO2361="D",1,0)+IF(DP2361="D",1,0)+IF(DQ2361="D",1,0)+IF(DW2361="D",1,0)+IF(DZ2361="D",1,0)+IF(EH2361="D",1,0)</f>
        <v/>
      </c>
      <c r="AY2361">
        <f>IF(DJ2361&lt;&gt;"",1,0)+IF(DK2361&lt;&gt;"",1,0)+IF(DM2361&lt;&gt;"",1,0)+IF(DO2361&lt;&gt;"",1,0)+IF(DP2361&lt;&gt;"",1,0)+IF(DQ2361&lt;&gt;"",1,0)+IF(DS2361&lt;&gt;"",1,0)+IF(DT2361&lt;&gt;"",1,0)+IF(DV2361&lt;&gt;"",1,0)+IF(DW2361&lt;&gt;"",1,0)+IF(DX2361&lt;&gt;"",1,0)+IF(DY2361&lt;&gt;"",1,0)+IF(DZ2361&lt;&gt;"",1,0)+IF(EB2361&lt;&gt;"",1,0)+IF(EC2361&lt;&gt;"",1,0)+IF(ED2361&lt;&gt;"",1,0)+IF(EG2361&lt;&gt;"",1,0)+IF(EH2361&lt;&gt;"",1,0)</f>
        <v/>
      </c>
      <c r="AZ2361">
        <f>IF(EH2361&lt;&gt;"",1,0)</f>
        <v/>
      </c>
      <c r="BB2361" t="inlineStr">
        <is>
          <t>WARREN-WARD 4</t>
        </is>
      </c>
    </row>
    <row r="2362">
      <c r="A2362" t="inlineStr">
        <is>
          <t>OH0015761390</t>
        </is>
      </c>
      <c r="B2362" t="n">
        <v>78</v>
      </c>
      <c r="C2362" t="n">
        <v>248614</v>
      </c>
      <c r="D2362" t="inlineStr">
        <is>
          <t>BUTTS</t>
        </is>
      </c>
      <c r="E2362" t="inlineStr">
        <is>
          <t>DENISE</t>
        </is>
      </c>
      <c r="F2362">
        <f>CONCATENATE(D2362," ",LEFT(H2362,4),"T=",AU2362,"D=",AV2362,"R=",AW2362,"M=",AX2362,"L=",AY2362,"B=",AZ2362)</f>
        <v/>
      </c>
      <c r="G2362" t="inlineStr">
        <is>
          <t>RENEE</t>
        </is>
      </c>
      <c r="I2362" t="inlineStr">
        <is>
          <t>1968-11-14</t>
        </is>
      </c>
      <c r="J2362" t="inlineStr">
        <is>
          <t>2012-05-24</t>
        </is>
      </c>
      <c r="K2362" t="inlineStr">
        <is>
          <t>CONFIRMATION</t>
        </is>
      </c>
      <c r="M2362" t="inlineStr">
        <is>
          <t>2222 DRAPER AVE SE</t>
        </is>
      </c>
      <c r="N2362">
        <f>RIGHT(M2362,LEN(M2362)-FIND(" ",M2362))</f>
        <v/>
      </c>
      <c r="P2362" t="inlineStr">
        <is>
          <t>WARREN</t>
        </is>
      </c>
      <c r="Q2362" t="inlineStr">
        <is>
          <t>OH</t>
        </is>
      </c>
      <c r="R2362" t="n">
        <v>44484</v>
      </c>
      <c r="AD2362" t="inlineStr">
        <is>
          <t>TRUMBULL CAREER &amp; TECH CENTER</t>
        </is>
      </c>
      <c r="AE2362" t="inlineStr">
        <is>
          <t>WARREN CITY</t>
        </is>
      </c>
      <c r="AF2362" t="inlineStr">
        <is>
          <t>WARREN CITY SD</t>
        </is>
      </c>
      <c r="AH2362" t="n">
        <v>14</v>
      </c>
      <c r="AI2362" t="n">
        <v>11</v>
      </c>
      <c r="AN2362" t="inlineStr">
        <is>
          <t>WARREN</t>
        </is>
      </c>
      <c r="AO2362" t="inlineStr">
        <is>
          <t>WARREN CITY 4F</t>
        </is>
      </c>
      <c r="AP2362" t="inlineStr">
        <is>
          <t>78-P-ADN</t>
        </is>
      </c>
      <c r="AQ2362" t="n">
        <v>9</v>
      </c>
      <c r="AR2362" t="n">
        <v>64</v>
      </c>
      <c r="AS2362" t="n">
        <v>32</v>
      </c>
      <c r="AU2362">
        <f>COUNTA($BA$2362:$EH$2362)</f>
        <v/>
      </c>
      <c r="AV2362">
        <f>COUNTIF($BA$2362:$EH$2362,"D")</f>
        <v/>
      </c>
      <c r="AW2362">
        <f>COUNTIF($BA$2362:$EH$2362,"R")</f>
        <v/>
      </c>
      <c r="AX2362">
        <f>IF(BN2362="D",1,0)+IF(BO2362="D",1,0)+IF(BT2362="D",1,0)+IF(BU2362="D",1,0)+IF(BW2362="D",1,0)+IF(CC2362="D",1,0)+IF(CD2362="D",1,0)+IF(CE2362="D",1,0)+IF(CF2362="D",1,0)+IF(CL2362="D",1,0)+IF(CM2362="D",1,0)+IF(CQ2362="D",1,0)+IF(CR2362="D",1,0)+IF(CS2362="D",1,0)+IF(CW2362="D",1,0)+IF(CX2362="D",1,0)+IF(DD2362="D",1,0)+IF(DE2362="D",1,0)+IF(DJ2362="D",1,0)+IF(DK2362="D",1,0)+IF(DO2362="D",1,0)+IF(DP2362="D",1,0)+IF(DQ2362="D",1,0)+IF(DW2362="D",1,0)+IF(DZ2362="D",1,0)+IF(EH2362="D",1,0)</f>
        <v/>
      </c>
      <c r="AY2362">
        <f>IF(DJ2362&lt;&gt;"",1,0)+IF(DK2362&lt;&gt;"",1,0)+IF(DM2362&lt;&gt;"",1,0)+IF(DO2362&lt;&gt;"",1,0)+IF(DP2362&lt;&gt;"",1,0)+IF(DQ2362&lt;&gt;"",1,0)+IF(DS2362&lt;&gt;"",1,0)+IF(DT2362&lt;&gt;"",1,0)+IF(DV2362&lt;&gt;"",1,0)+IF(DW2362&lt;&gt;"",1,0)+IF(DX2362&lt;&gt;"",1,0)+IF(DY2362&lt;&gt;"",1,0)+IF(DZ2362&lt;&gt;"",1,0)+IF(EB2362&lt;&gt;"",1,0)+IF(EC2362&lt;&gt;"",1,0)+IF(ED2362&lt;&gt;"",1,0)+IF(EG2362&lt;&gt;"",1,0)+IF(EH2362&lt;&gt;"",1,0)</f>
        <v/>
      </c>
      <c r="AZ2362">
        <f>IF(EH2362&lt;&gt;"",1,0)</f>
        <v/>
      </c>
      <c r="BB2362" t="inlineStr">
        <is>
          <t>WARREN-WARD 4</t>
        </is>
      </c>
    </row>
    <row r="2363">
      <c r="A2363" t="inlineStr">
        <is>
          <t>OH0021372426</t>
        </is>
      </c>
      <c r="B2363" t="n">
        <v>78</v>
      </c>
      <c r="C2363" t="n">
        <v>380343</v>
      </c>
      <c r="D2363" t="inlineStr">
        <is>
          <t>MALLORY</t>
        </is>
      </c>
      <c r="E2363" t="inlineStr">
        <is>
          <t>AMARI</t>
        </is>
      </c>
      <c r="F2363">
        <f>CONCATENATE(D2363," ",LEFT(H2363,4),"T=",AU2363,"D=",AV2363,"R=",AW2363,"M=",AX2363,"L=",AY2363,"B=",AZ2363)</f>
        <v/>
      </c>
      <c r="G2363" t="inlineStr">
        <is>
          <t>C</t>
        </is>
      </c>
      <c r="I2363" t="inlineStr">
        <is>
          <t>1992-07-17</t>
        </is>
      </c>
      <c r="J2363" t="inlineStr">
        <is>
          <t>2018-06-01</t>
        </is>
      </c>
      <c r="K2363" t="inlineStr">
        <is>
          <t>CONFIRMATION</t>
        </is>
      </c>
      <c r="M2363" t="inlineStr">
        <is>
          <t>1040 KENILWORTH AVE SE</t>
        </is>
      </c>
      <c r="N2363">
        <f>RIGHT(M2363,LEN(M2363)-FIND(" ",M2363))</f>
        <v/>
      </c>
      <c r="P2363" t="inlineStr">
        <is>
          <t>WARREN</t>
        </is>
      </c>
      <c r="Q2363" t="inlineStr">
        <is>
          <t>OH</t>
        </is>
      </c>
      <c r="R2363" t="n">
        <v>44484</v>
      </c>
      <c r="AD2363" t="inlineStr">
        <is>
          <t>TRUMBULL CAREER &amp; TECH CENTER</t>
        </is>
      </c>
      <c r="AE2363" t="inlineStr">
        <is>
          <t>WARREN CITY</t>
        </is>
      </c>
      <c r="AF2363" t="inlineStr">
        <is>
          <t>WARREN CITY SD</t>
        </is>
      </c>
      <c r="AH2363" t="n">
        <v>14</v>
      </c>
      <c r="AI2363" t="n">
        <v>11</v>
      </c>
      <c r="AN2363" t="inlineStr">
        <is>
          <t>WARREN</t>
        </is>
      </c>
      <c r="AO2363" t="inlineStr">
        <is>
          <t>WARREN CITY 4F</t>
        </is>
      </c>
      <c r="AP2363" t="inlineStr">
        <is>
          <t>78-P-ADN</t>
        </is>
      </c>
      <c r="AQ2363" t="n">
        <v>9</v>
      </c>
      <c r="AR2363" t="n">
        <v>64</v>
      </c>
      <c r="AS2363" t="n">
        <v>32</v>
      </c>
      <c r="AU2363">
        <f>COUNTA($BA$2363:$EH$2363)</f>
        <v/>
      </c>
      <c r="AV2363">
        <f>COUNTIF($BA$2363:$EH$2363,"D")</f>
        <v/>
      </c>
      <c r="AW2363">
        <f>COUNTIF($BA$2363:$EH$2363,"R")</f>
        <v/>
      </c>
      <c r="AX2363">
        <f>IF(BN2363="D",1,0)+IF(BO2363="D",1,0)+IF(BT2363="D",1,0)+IF(BU2363="D",1,0)+IF(BW2363="D",1,0)+IF(CC2363="D",1,0)+IF(CD2363="D",1,0)+IF(CE2363="D",1,0)+IF(CF2363="D",1,0)+IF(CL2363="D",1,0)+IF(CM2363="D",1,0)+IF(CQ2363="D",1,0)+IF(CR2363="D",1,0)+IF(CS2363="D",1,0)+IF(CW2363="D",1,0)+IF(CX2363="D",1,0)+IF(DD2363="D",1,0)+IF(DE2363="D",1,0)+IF(DJ2363="D",1,0)+IF(DK2363="D",1,0)+IF(DO2363="D",1,0)+IF(DP2363="D",1,0)+IF(DQ2363="D",1,0)+IF(DW2363="D",1,0)+IF(DZ2363="D",1,0)+IF(EH2363="D",1,0)</f>
        <v/>
      </c>
      <c r="AY2363">
        <f>IF(DJ2363&lt;&gt;"",1,0)+IF(DK2363&lt;&gt;"",1,0)+IF(DM2363&lt;&gt;"",1,0)+IF(DO2363&lt;&gt;"",1,0)+IF(DP2363&lt;&gt;"",1,0)+IF(DQ2363&lt;&gt;"",1,0)+IF(DS2363&lt;&gt;"",1,0)+IF(DT2363&lt;&gt;"",1,0)+IF(DV2363&lt;&gt;"",1,0)+IF(DW2363&lt;&gt;"",1,0)+IF(DX2363&lt;&gt;"",1,0)+IF(DY2363&lt;&gt;"",1,0)+IF(DZ2363&lt;&gt;"",1,0)+IF(EB2363&lt;&gt;"",1,0)+IF(EC2363&lt;&gt;"",1,0)+IF(ED2363&lt;&gt;"",1,0)+IF(EG2363&lt;&gt;"",1,0)+IF(EH2363&lt;&gt;"",1,0)</f>
        <v/>
      </c>
      <c r="AZ2363">
        <f>IF(EH2363&lt;&gt;"",1,0)</f>
        <v/>
      </c>
      <c r="BB2363" t="inlineStr">
        <is>
          <t>WARREN-WARD 4</t>
        </is>
      </c>
      <c r="CP2363" t="inlineStr">
        <is>
          <t>X</t>
        </is>
      </c>
      <c r="CY2363" t="inlineStr">
        <is>
          <t>X</t>
        </is>
      </c>
      <c r="DC2363" t="inlineStr">
        <is>
          <t>X</t>
        </is>
      </c>
    </row>
    <row r="2364">
      <c r="A2364" t="inlineStr">
        <is>
          <t>OH0022577039</t>
        </is>
      </c>
      <c r="B2364" t="n">
        <v>78</v>
      </c>
      <c r="C2364" t="n">
        <v>398726</v>
      </c>
      <c r="D2364" t="inlineStr">
        <is>
          <t>NOVOTNY</t>
        </is>
      </c>
      <c r="E2364" t="inlineStr">
        <is>
          <t>CHARLOTTE</t>
        </is>
      </c>
      <c r="F2364">
        <f>CONCATENATE(D2364," ",LEFT(H2364,4),"T=",AU2364,"D=",AV2364,"R=",AW2364,"M=",AX2364,"L=",AY2364,"B=",AZ2364)</f>
        <v/>
      </c>
      <c r="G2364" t="inlineStr">
        <is>
          <t>ANN</t>
        </is>
      </c>
      <c r="I2364" t="inlineStr">
        <is>
          <t>1970-09-28</t>
        </is>
      </c>
      <c r="J2364" t="inlineStr">
        <is>
          <t>2019-09-25</t>
        </is>
      </c>
      <c r="K2364" t="inlineStr">
        <is>
          <t>ACTIVE</t>
        </is>
      </c>
      <c r="L2364" t="inlineStr">
        <is>
          <t>R</t>
        </is>
      </c>
      <c r="M2364" t="inlineStr">
        <is>
          <t>1120 WOODBINE AVE SE</t>
        </is>
      </c>
      <c r="N2364">
        <f>RIGHT(M2364,LEN(M2364)-FIND(" ",M2364))</f>
        <v/>
      </c>
      <c r="P2364" t="inlineStr">
        <is>
          <t>WARREN</t>
        </is>
      </c>
      <c r="Q2364" t="inlineStr">
        <is>
          <t>OH</t>
        </is>
      </c>
      <c r="R2364" t="n">
        <v>44484</v>
      </c>
      <c r="AD2364" t="inlineStr">
        <is>
          <t>TRUMBULL CAREER &amp; TECH CENTER</t>
        </is>
      </c>
      <c r="AE2364" t="inlineStr">
        <is>
          <t>WARREN CITY</t>
        </is>
      </c>
      <c r="AF2364" t="inlineStr">
        <is>
          <t>WARREN CITY SD</t>
        </is>
      </c>
      <c r="AH2364" t="n">
        <v>14</v>
      </c>
      <c r="AI2364" t="n">
        <v>11</v>
      </c>
      <c r="AN2364" t="inlineStr">
        <is>
          <t>WARREN</t>
        </is>
      </c>
      <c r="AO2364" t="inlineStr">
        <is>
          <t>WARREN CITY 4F</t>
        </is>
      </c>
      <c r="AP2364" t="inlineStr">
        <is>
          <t>78-P-ADN</t>
        </is>
      </c>
      <c r="AQ2364" t="n">
        <v>9</v>
      </c>
      <c r="AR2364" t="n">
        <v>64</v>
      </c>
      <c r="AS2364" t="n">
        <v>32</v>
      </c>
      <c r="AU2364">
        <f>COUNTA($BA$2364:$EH$2364)</f>
        <v/>
      </c>
      <c r="AV2364">
        <f>COUNTIF($BA$2364:$EH$2364,"D")</f>
        <v/>
      </c>
      <c r="AW2364">
        <f>COUNTIF($BA$2364:$EH$2364,"R")</f>
        <v/>
      </c>
      <c r="AX2364">
        <f>IF(BN2364="D",1,0)+IF(BO2364="D",1,0)+IF(BT2364="D",1,0)+IF(BU2364="D",1,0)+IF(BW2364="D",1,0)+IF(CC2364="D",1,0)+IF(CD2364="D",1,0)+IF(CE2364="D",1,0)+IF(CF2364="D",1,0)+IF(CL2364="D",1,0)+IF(CM2364="D",1,0)+IF(CQ2364="D",1,0)+IF(CR2364="D",1,0)+IF(CS2364="D",1,0)+IF(CW2364="D",1,0)+IF(CX2364="D",1,0)+IF(DD2364="D",1,0)+IF(DE2364="D",1,0)+IF(DJ2364="D",1,0)+IF(DK2364="D",1,0)+IF(DO2364="D",1,0)+IF(DP2364="D",1,0)+IF(DQ2364="D",1,0)+IF(DW2364="D",1,0)+IF(DZ2364="D",1,0)+IF(EH2364="D",1,0)</f>
        <v/>
      </c>
      <c r="AY2364">
        <f>IF(DJ2364&lt;&gt;"",1,0)+IF(DK2364&lt;&gt;"",1,0)+IF(DM2364&lt;&gt;"",1,0)+IF(DO2364&lt;&gt;"",1,0)+IF(DP2364&lt;&gt;"",1,0)+IF(DQ2364&lt;&gt;"",1,0)+IF(DS2364&lt;&gt;"",1,0)+IF(DT2364&lt;&gt;"",1,0)+IF(DV2364&lt;&gt;"",1,0)+IF(DW2364&lt;&gt;"",1,0)+IF(DX2364&lt;&gt;"",1,0)+IF(DY2364&lt;&gt;"",1,0)+IF(DZ2364&lt;&gt;"",1,0)+IF(EB2364&lt;&gt;"",1,0)+IF(EC2364&lt;&gt;"",1,0)+IF(ED2364&lt;&gt;"",1,0)+IF(EG2364&lt;&gt;"",1,0)+IF(EH2364&lt;&gt;"",1,0)</f>
        <v/>
      </c>
      <c r="AZ2364">
        <f>IF(EH2364&lt;&gt;"",1,0)</f>
        <v/>
      </c>
      <c r="BB2364" t="inlineStr">
        <is>
          <t>WARREN-WARD 4</t>
        </is>
      </c>
      <c r="DM2364" t="inlineStr">
        <is>
          <t>R</t>
        </is>
      </c>
      <c r="DN2364" t="inlineStr">
        <is>
          <t>X</t>
        </is>
      </c>
      <c r="DS2364" t="inlineStr">
        <is>
          <t>R</t>
        </is>
      </c>
      <c r="DU2364" t="inlineStr">
        <is>
          <t>X</t>
        </is>
      </c>
      <c r="DX2364" t="inlineStr">
        <is>
          <t>X</t>
        </is>
      </c>
      <c r="EA2364" t="inlineStr">
        <is>
          <t>X</t>
        </is>
      </c>
      <c r="ED2364" t="inlineStr">
        <is>
          <t>R</t>
        </is>
      </c>
      <c r="EF2364" t="inlineStr">
        <is>
          <t>X</t>
        </is>
      </c>
    </row>
    <row r="2365">
      <c r="A2365" t="inlineStr">
        <is>
          <t>OH0025963797</t>
        </is>
      </c>
      <c r="B2365" t="n">
        <v>78</v>
      </c>
      <c r="C2365" t="n">
        <v>453793</v>
      </c>
      <c r="D2365" t="inlineStr">
        <is>
          <t>HOLLOWAY</t>
        </is>
      </c>
      <c r="E2365" t="inlineStr">
        <is>
          <t>JA MONTE</t>
        </is>
      </c>
      <c r="F2365">
        <f>CONCATENATE(D2365," ",LEFT(H2365,4),"T=",AU2365,"D=",AV2365,"R=",AW2365,"M=",AX2365,"L=",AY2365,"B=",AZ2365)</f>
        <v/>
      </c>
      <c r="G2365" t="inlineStr">
        <is>
          <t>EVERETT JURRIEN</t>
        </is>
      </c>
      <c r="I2365" t="inlineStr">
        <is>
          <t>1999-07-12</t>
        </is>
      </c>
      <c r="J2365" t="inlineStr">
        <is>
          <t>2024-09-23</t>
        </is>
      </c>
      <c r="K2365" t="inlineStr">
        <is>
          <t>ACTIVE</t>
        </is>
      </c>
      <c r="M2365" t="inlineStr">
        <is>
          <t>1034 EAST AVE SE</t>
        </is>
      </c>
      <c r="N2365">
        <f>RIGHT(M2365,LEN(M2365)-FIND(" ",M2365))</f>
        <v/>
      </c>
      <c r="O2365" t="inlineStr">
        <is>
          <t>APT 206</t>
        </is>
      </c>
      <c r="P2365" t="inlineStr">
        <is>
          <t>WARREN</t>
        </is>
      </c>
      <c r="Q2365" t="inlineStr">
        <is>
          <t>OH</t>
        </is>
      </c>
      <c r="R2365" t="n">
        <v>44484</v>
      </c>
      <c r="AD2365" t="inlineStr">
        <is>
          <t>TRUMBULL CAREER &amp; TECH CENTER</t>
        </is>
      </c>
      <c r="AE2365" t="inlineStr">
        <is>
          <t>WARREN CITY</t>
        </is>
      </c>
      <c r="AF2365" t="inlineStr">
        <is>
          <t>WARREN CITY SD</t>
        </is>
      </c>
      <c r="AH2365" t="n">
        <v>14</v>
      </c>
      <c r="AI2365" t="n">
        <v>11</v>
      </c>
      <c r="AN2365" t="inlineStr">
        <is>
          <t>WARREN</t>
        </is>
      </c>
      <c r="AO2365" t="inlineStr">
        <is>
          <t>WARREN CITY 4F</t>
        </is>
      </c>
      <c r="AP2365" t="inlineStr">
        <is>
          <t>78-P-ADN</t>
        </is>
      </c>
      <c r="AQ2365" t="n">
        <v>9</v>
      </c>
      <c r="AR2365" t="n">
        <v>64</v>
      </c>
      <c r="AS2365" t="n">
        <v>32</v>
      </c>
      <c r="AU2365">
        <f>COUNTA($BA$2365:$EH$2365)</f>
        <v/>
      </c>
      <c r="AV2365">
        <f>COUNTIF($BA$2365:$EH$2365,"D")</f>
        <v/>
      </c>
      <c r="AW2365">
        <f>COUNTIF($BA$2365:$EH$2365,"R")</f>
        <v/>
      </c>
      <c r="AX2365">
        <f>IF(BN2365="D",1,0)+IF(BO2365="D",1,0)+IF(BT2365="D",1,0)+IF(BU2365="D",1,0)+IF(BW2365="D",1,0)+IF(CC2365="D",1,0)+IF(CD2365="D",1,0)+IF(CE2365="D",1,0)+IF(CF2365="D",1,0)+IF(CL2365="D",1,0)+IF(CM2365="D",1,0)+IF(CQ2365="D",1,0)+IF(CR2365="D",1,0)+IF(CS2365="D",1,0)+IF(CW2365="D",1,0)+IF(CX2365="D",1,0)+IF(DD2365="D",1,0)+IF(DE2365="D",1,0)+IF(DJ2365="D",1,0)+IF(DK2365="D",1,0)+IF(DO2365="D",1,0)+IF(DP2365="D",1,0)+IF(DQ2365="D",1,0)+IF(DW2365="D",1,0)+IF(DZ2365="D",1,0)+IF(EH2365="D",1,0)</f>
        <v/>
      </c>
      <c r="AY2365">
        <f>IF(DJ2365&lt;&gt;"",1,0)+IF(DK2365&lt;&gt;"",1,0)+IF(DM2365&lt;&gt;"",1,0)+IF(DO2365&lt;&gt;"",1,0)+IF(DP2365&lt;&gt;"",1,0)+IF(DQ2365&lt;&gt;"",1,0)+IF(DS2365&lt;&gt;"",1,0)+IF(DT2365&lt;&gt;"",1,0)+IF(DV2365&lt;&gt;"",1,0)+IF(DW2365&lt;&gt;"",1,0)+IF(DX2365&lt;&gt;"",1,0)+IF(DY2365&lt;&gt;"",1,0)+IF(DZ2365&lt;&gt;"",1,0)+IF(EB2365&lt;&gt;"",1,0)+IF(EC2365&lt;&gt;"",1,0)+IF(ED2365&lt;&gt;"",1,0)+IF(EG2365&lt;&gt;"",1,0)+IF(EH2365&lt;&gt;"",1,0)</f>
        <v/>
      </c>
      <c r="AZ2365">
        <f>IF(EH2365&lt;&gt;"",1,0)</f>
        <v/>
      </c>
      <c r="BB2365" t="inlineStr">
        <is>
          <t>WARREN-WARD 4</t>
        </is>
      </c>
      <c r="DN2365" t="inlineStr">
        <is>
          <t>X</t>
        </is>
      </c>
      <c r="EF2365" t="inlineStr">
        <is>
          <t>X</t>
        </is>
      </c>
    </row>
    <row r="2366">
      <c r="A2366" t="inlineStr">
        <is>
          <t>OH0015722977</t>
        </is>
      </c>
      <c r="B2366" t="n">
        <v>78</v>
      </c>
      <c r="C2366" t="n">
        <v>293339</v>
      </c>
      <c r="D2366" t="inlineStr">
        <is>
          <t>DUKES</t>
        </is>
      </c>
      <c r="E2366" t="inlineStr">
        <is>
          <t>SHANNEN</t>
        </is>
      </c>
      <c r="F2366">
        <f>CONCATENATE(D2366," ",LEFT(H2366,4),"T=",AU2366,"D=",AV2366,"R=",AW2366,"M=",AX2366,"L=",AY2366,"B=",AZ2366)</f>
        <v/>
      </c>
      <c r="G2366" t="inlineStr">
        <is>
          <t>A</t>
        </is>
      </c>
      <c r="I2366" t="inlineStr">
        <is>
          <t>1982-01-09</t>
        </is>
      </c>
      <c r="J2366" t="inlineStr">
        <is>
          <t>2015-06-09</t>
        </is>
      </c>
      <c r="K2366" t="inlineStr">
        <is>
          <t>ACTIVE</t>
        </is>
      </c>
      <c r="M2366" t="inlineStr">
        <is>
          <t>1679 WOODBINE AVE SE</t>
        </is>
      </c>
      <c r="N2366">
        <f>RIGHT(M2366,LEN(M2366)-FIND(" ",M2366))</f>
        <v/>
      </c>
      <c r="P2366" t="inlineStr">
        <is>
          <t>WARREN</t>
        </is>
      </c>
      <c r="Q2366" t="inlineStr">
        <is>
          <t>OH</t>
        </is>
      </c>
      <c r="R2366" t="n">
        <v>44484</v>
      </c>
      <c r="AD2366" t="inlineStr">
        <is>
          <t>TRUMBULL CAREER &amp; TECH CENTER</t>
        </is>
      </c>
      <c r="AE2366" t="inlineStr">
        <is>
          <t>WARREN CITY</t>
        </is>
      </c>
      <c r="AF2366" t="inlineStr">
        <is>
          <t>WARREN CITY SD</t>
        </is>
      </c>
      <c r="AH2366" t="n">
        <v>14</v>
      </c>
      <c r="AI2366" t="n">
        <v>11</v>
      </c>
      <c r="AN2366" t="inlineStr">
        <is>
          <t>WARREN</t>
        </is>
      </c>
      <c r="AO2366" t="inlineStr">
        <is>
          <t>WARREN CITY 4F</t>
        </is>
      </c>
      <c r="AP2366" t="inlineStr">
        <is>
          <t>78-P-ADN</t>
        </is>
      </c>
      <c r="AQ2366" t="n">
        <v>9</v>
      </c>
      <c r="AR2366" t="n">
        <v>64</v>
      </c>
      <c r="AS2366" t="n">
        <v>32</v>
      </c>
      <c r="AU2366">
        <f>COUNTA($BA$2366:$EH$2366)</f>
        <v/>
      </c>
      <c r="AV2366">
        <f>COUNTIF($BA$2366:$EH$2366,"D")</f>
        <v/>
      </c>
      <c r="AW2366">
        <f>COUNTIF($BA$2366:$EH$2366,"R")</f>
        <v/>
      </c>
      <c r="AX2366">
        <f>IF(BN2366="D",1,0)+IF(BO2366="D",1,0)+IF(BT2366="D",1,0)+IF(BU2366="D",1,0)+IF(BW2366="D",1,0)+IF(CC2366="D",1,0)+IF(CD2366="D",1,0)+IF(CE2366="D",1,0)+IF(CF2366="D",1,0)+IF(CL2366="D",1,0)+IF(CM2366="D",1,0)+IF(CQ2366="D",1,0)+IF(CR2366="D",1,0)+IF(CS2366="D",1,0)+IF(CW2366="D",1,0)+IF(CX2366="D",1,0)+IF(DD2366="D",1,0)+IF(DE2366="D",1,0)+IF(DJ2366="D",1,0)+IF(DK2366="D",1,0)+IF(DO2366="D",1,0)+IF(DP2366="D",1,0)+IF(DQ2366="D",1,0)+IF(DW2366="D",1,0)+IF(DZ2366="D",1,0)+IF(EH2366="D",1,0)</f>
        <v/>
      </c>
      <c r="AY2366">
        <f>IF(DJ2366&lt;&gt;"",1,0)+IF(DK2366&lt;&gt;"",1,0)+IF(DM2366&lt;&gt;"",1,0)+IF(DO2366&lt;&gt;"",1,0)+IF(DP2366&lt;&gt;"",1,0)+IF(DQ2366&lt;&gt;"",1,0)+IF(DS2366&lt;&gt;"",1,0)+IF(DT2366&lt;&gt;"",1,0)+IF(DV2366&lt;&gt;"",1,0)+IF(DW2366&lt;&gt;"",1,0)+IF(DX2366&lt;&gt;"",1,0)+IF(DY2366&lt;&gt;"",1,0)+IF(DZ2366&lt;&gt;"",1,0)+IF(EB2366&lt;&gt;"",1,0)+IF(EC2366&lt;&gt;"",1,0)+IF(ED2366&lt;&gt;"",1,0)+IF(EG2366&lt;&gt;"",1,0)+IF(EH2366&lt;&gt;"",1,0)</f>
        <v/>
      </c>
      <c r="AZ2366">
        <f>IF(EH2366&lt;&gt;"",1,0)</f>
        <v/>
      </c>
      <c r="BB2366" t="inlineStr">
        <is>
          <t>WARREN-WARD 4</t>
        </is>
      </c>
      <c r="BL2366" t="inlineStr">
        <is>
          <t>X</t>
        </is>
      </c>
      <c r="CP2366" t="inlineStr">
        <is>
          <t>X</t>
        </is>
      </c>
    </row>
    <row r="2367">
      <c r="A2367" t="inlineStr">
        <is>
          <t>OH0020416081</t>
        </is>
      </c>
      <c r="B2367" t="n">
        <v>78</v>
      </c>
      <c r="C2367" t="n">
        <v>367904</v>
      </c>
      <c r="D2367" t="inlineStr">
        <is>
          <t>WALTERS</t>
        </is>
      </c>
      <c r="E2367" t="inlineStr">
        <is>
          <t>WALLACE</t>
        </is>
      </c>
      <c r="F2367">
        <f>CONCATENATE(D2367," ",LEFT(H2367,4),"T=",AU2367,"D=",AV2367,"R=",AW2367,"M=",AX2367,"L=",AY2367,"B=",AZ2367)</f>
        <v/>
      </c>
      <c r="G2367" t="inlineStr">
        <is>
          <t>LORENZO</t>
        </is>
      </c>
      <c r="H2367" t="inlineStr">
        <is>
          <t>SR</t>
        </is>
      </c>
      <c r="I2367" t="inlineStr">
        <is>
          <t>1960-06-27</t>
        </is>
      </c>
      <c r="J2367" t="inlineStr">
        <is>
          <t>2020-09-24</t>
        </is>
      </c>
      <c r="K2367" t="inlineStr">
        <is>
          <t>ACTIVE</t>
        </is>
      </c>
      <c r="L2367" t="inlineStr">
        <is>
          <t>D</t>
        </is>
      </c>
      <c r="M2367" t="inlineStr">
        <is>
          <t>2164 DRAPER AVE SE</t>
        </is>
      </c>
      <c r="N2367">
        <f>RIGHT(M2367,LEN(M2367)-FIND(" ",M2367))</f>
        <v/>
      </c>
      <c r="P2367" t="inlineStr">
        <is>
          <t>WARREN</t>
        </is>
      </c>
      <c r="Q2367" t="inlineStr">
        <is>
          <t>OH</t>
        </is>
      </c>
      <c r="R2367" t="n">
        <v>44484</v>
      </c>
      <c r="AD2367" t="inlineStr">
        <is>
          <t>TRUMBULL CAREER &amp; TECH CENTER</t>
        </is>
      </c>
      <c r="AE2367" t="inlineStr">
        <is>
          <t>WARREN CITY</t>
        </is>
      </c>
      <c r="AF2367" t="inlineStr">
        <is>
          <t>WARREN CITY SD</t>
        </is>
      </c>
      <c r="AH2367" t="n">
        <v>14</v>
      </c>
      <c r="AI2367" t="n">
        <v>11</v>
      </c>
      <c r="AN2367" t="inlineStr">
        <is>
          <t>WARREN</t>
        </is>
      </c>
      <c r="AO2367" t="inlineStr">
        <is>
          <t>WARREN CITY 4F</t>
        </is>
      </c>
      <c r="AP2367" t="inlineStr">
        <is>
          <t>78-P-ADN</t>
        </is>
      </c>
      <c r="AQ2367" t="n">
        <v>9</v>
      </c>
      <c r="AR2367" t="n">
        <v>64</v>
      </c>
      <c r="AS2367" t="n">
        <v>32</v>
      </c>
      <c r="AU2367">
        <f>COUNTA($BA$2367:$EH$2367)</f>
        <v/>
      </c>
      <c r="AV2367">
        <f>COUNTIF($BA$2367:$EH$2367,"D")</f>
        <v/>
      </c>
      <c r="AW2367">
        <f>COUNTIF($BA$2367:$EH$2367,"R")</f>
        <v/>
      </c>
      <c r="AX2367">
        <f>IF(BN2367="D",1,0)+IF(BO2367="D",1,0)+IF(BT2367="D",1,0)+IF(BU2367="D",1,0)+IF(BW2367="D",1,0)+IF(CC2367="D",1,0)+IF(CD2367="D",1,0)+IF(CE2367="D",1,0)+IF(CF2367="D",1,0)+IF(CL2367="D",1,0)+IF(CM2367="D",1,0)+IF(CQ2367="D",1,0)+IF(CR2367="D",1,0)+IF(CS2367="D",1,0)+IF(CW2367="D",1,0)+IF(CX2367="D",1,0)+IF(DD2367="D",1,0)+IF(DE2367="D",1,0)+IF(DJ2367="D",1,0)+IF(DK2367="D",1,0)+IF(DO2367="D",1,0)+IF(DP2367="D",1,0)+IF(DQ2367="D",1,0)+IF(DW2367="D",1,0)+IF(DZ2367="D",1,0)+IF(EH2367="D",1,0)</f>
        <v/>
      </c>
      <c r="AY2367">
        <f>IF(DJ2367&lt;&gt;"",1,0)+IF(DK2367&lt;&gt;"",1,0)+IF(DM2367&lt;&gt;"",1,0)+IF(DO2367&lt;&gt;"",1,0)+IF(DP2367&lt;&gt;"",1,0)+IF(DQ2367&lt;&gt;"",1,0)+IF(DS2367&lt;&gt;"",1,0)+IF(DT2367&lt;&gt;"",1,0)+IF(DV2367&lt;&gt;"",1,0)+IF(DW2367&lt;&gt;"",1,0)+IF(DX2367&lt;&gt;"",1,0)+IF(DY2367&lt;&gt;"",1,0)+IF(DZ2367&lt;&gt;"",1,0)+IF(EB2367&lt;&gt;"",1,0)+IF(EC2367&lt;&gt;"",1,0)+IF(ED2367&lt;&gt;"",1,0)+IF(EG2367&lt;&gt;"",1,0)+IF(EH2367&lt;&gt;"",1,0)</f>
        <v/>
      </c>
      <c r="AZ2367">
        <f>IF(EH2367&lt;&gt;"",1,0)</f>
        <v/>
      </c>
      <c r="BB2367" t="inlineStr">
        <is>
          <t>WARREN-WARD 4</t>
        </is>
      </c>
      <c r="BD2367" t="inlineStr">
        <is>
          <t>X</t>
        </is>
      </c>
      <c r="BF2367" t="inlineStr">
        <is>
          <t>X</t>
        </is>
      </c>
      <c r="BI2367" t="inlineStr">
        <is>
          <t>X</t>
        </is>
      </c>
      <c r="BJ2367" t="inlineStr">
        <is>
          <t>X</t>
        </is>
      </c>
      <c r="BL2367" t="inlineStr">
        <is>
          <t>X</t>
        </is>
      </c>
      <c r="BY2367" t="inlineStr">
        <is>
          <t>D</t>
        </is>
      </c>
      <c r="CK2367" t="inlineStr">
        <is>
          <t>X</t>
        </is>
      </c>
      <c r="CL2367" t="inlineStr">
        <is>
          <t>D</t>
        </is>
      </c>
      <c r="CN2367" t="inlineStr">
        <is>
          <t>X</t>
        </is>
      </c>
      <c r="CP2367" t="inlineStr">
        <is>
          <t>X</t>
        </is>
      </c>
      <c r="CU2367" t="inlineStr">
        <is>
          <t>D</t>
        </is>
      </c>
      <c r="CY2367" t="inlineStr">
        <is>
          <t>X</t>
        </is>
      </c>
      <c r="CZ2367" t="inlineStr">
        <is>
          <t>D</t>
        </is>
      </c>
      <c r="DC2367" t="inlineStr">
        <is>
          <t>X</t>
        </is>
      </c>
      <c r="DI2367" t="inlineStr">
        <is>
          <t>X</t>
        </is>
      </c>
      <c r="DL2367" t="inlineStr">
        <is>
          <t>X</t>
        </is>
      </c>
      <c r="DN2367" t="inlineStr">
        <is>
          <t>X</t>
        </is>
      </c>
      <c r="DS2367" t="inlineStr">
        <is>
          <t>D</t>
        </is>
      </c>
      <c r="DU2367" t="inlineStr">
        <is>
          <t>X</t>
        </is>
      </c>
      <c r="DW2367" t="inlineStr">
        <is>
          <t>D</t>
        </is>
      </c>
      <c r="DX2367" t="inlineStr">
        <is>
          <t>X</t>
        </is>
      </c>
      <c r="EA2367" t="inlineStr">
        <is>
          <t>X</t>
        </is>
      </c>
      <c r="EF2367" t="inlineStr">
        <is>
          <t>X</t>
        </is>
      </c>
    </row>
    <row r="2368">
      <c r="A2368" t="inlineStr">
        <is>
          <t>OH0015750537</t>
        </is>
      </c>
      <c r="B2368" t="n">
        <v>78</v>
      </c>
      <c r="C2368" t="n">
        <v>295016</v>
      </c>
      <c r="D2368" t="inlineStr">
        <is>
          <t>PROCTOR</t>
        </is>
      </c>
      <c r="E2368" t="inlineStr">
        <is>
          <t>MARLENE</t>
        </is>
      </c>
      <c r="F2368">
        <f>CONCATENATE(D2368," ",LEFT(H2368,4),"T=",AU2368,"D=",AV2368,"R=",AW2368,"M=",AX2368,"L=",AY2368,"B=",AZ2368)</f>
        <v/>
      </c>
      <c r="G2368" t="inlineStr">
        <is>
          <t>A</t>
        </is>
      </c>
      <c r="I2368" t="inlineStr">
        <is>
          <t>1967-04-10</t>
        </is>
      </c>
      <c r="J2368" t="inlineStr">
        <is>
          <t>2000-04-06</t>
        </is>
      </c>
      <c r="K2368" t="inlineStr">
        <is>
          <t>ACTIVE</t>
        </is>
      </c>
      <c r="M2368" t="inlineStr">
        <is>
          <t>1494 NILES RD SE</t>
        </is>
      </c>
      <c r="N2368">
        <f>RIGHT(M2368,LEN(M2368)-FIND(" ",M2368))</f>
        <v/>
      </c>
      <c r="P2368" t="inlineStr">
        <is>
          <t>WARREN</t>
        </is>
      </c>
      <c r="Q2368" t="inlineStr">
        <is>
          <t>OH</t>
        </is>
      </c>
      <c r="R2368" t="n">
        <v>44484</v>
      </c>
      <c r="AD2368" t="inlineStr">
        <is>
          <t>TRUMBULL CAREER &amp; TECH CENTER</t>
        </is>
      </c>
      <c r="AE2368" t="inlineStr">
        <is>
          <t>WARREN CITY</t>
        </is>
      </c>
      <c r="AF2368" t="inlineStr">
        <is>
          <t>WARREN CITY SD</t>
        </is>
      </c>
      <c r="AH2368" t="n">
        <v>14</v>
      </c>
      <c r="AI2368" t="n">
        <v>11</v>
      </c>
      <c r="AN2368" t="inlineStr">
        <is>
          <t>WARREN</t>
        </is>
      </c>
      <c r="AO2368" t="inlineStr">
        <is>
          <t>WARREN CITY 4F</t>
        </is>
      </c>
      <c r="AP2368" t="inlineStr">
        <is>
          <t>78-P-ADN</t>
        </is>
      </c>
      <c r="AQ2368" t="n">
        <v>9</v>
      </c>
      <c r="AR2368" t="n">
        <v>64</v>
      </c>
      <c r="AS2368" t="n">
        <v>32</v>
      </c>
      <c r="AU2368">
        <f>COUNTA($BA$2368:$EH$2368)</f>
        <v/>
      </c>
      <c r="AV2368">
        <f>COUNTIF($BA$2368:$EH$2368,"D")</f>
        <v/>
      </c>
      <c r="AW2368">
        <f>COUNTIF($BA$2368:$EH$2368,"R")</f>
        <v/>
      </c>
      <c r="AX2368">
        <f>IF(BN2368="D",1,0)+IF(BO2368="D",1,0)+IF(BT2368="D",1,0)+IF(BU2368="D",1,0)+IF(BW2368="D",1,0)+IF(CC2368="D",1,0)+IF(CD2368="D",1,0)+IF(CE2368="D",1,0)+IF(CF2368="D",1,0)+IF(CL2368="D",1,0)+IF(CM2368="D",1,0)+IF(CQ2368="D",1,0)+IF(CR2368="D",1,0)+IF(CS2368="D",1,0)+IF(CW2368="D",1,0)+IF(CX2368="D",1,0)+IF(DD2368="D",1,0)+IF(DE2368="D",1,0)+IF(DJ2368="D",1,0)+IF(DK2368="D",1,0)+IF(DO2368="D",1,0)+IF(DP2368="D",1,0)+IF(DQ2368="D",1,0)+IF(DW2368="D",1,0)+IF(DZ2368="D",1,0)+IF(EH2368="D",1,0)</f>
        <v/>
      </c>
      <c r="AY2368">
        <f>IF(DJ2368&lt;&gt;"",1,0)+IF(DK2368&lt;&gt;"",1,0)+IF(DM2368&lt;&gt;"",1,0)+IF(DO2368&lt;&gt;"",1,0)+IF(DP2368&lt;&gt;"",1,0)+IF(DQ2368&lt;&gt;"",1,0)+IF(DS2368&lt;&gt;"",1,0)+IF(DT2368&lt;&gt;"",1,0)+IF(DV2368&lt;&gt;"",1,0)+IF(DW2368&lt;&gt;"",1,0)+IF(DX2368&lt;&gt;"",1,0)+IF(DY2368&lt;&gt;"",1,0)+IF(DZ2368&lt;&gt;"",1,0)+IF(EB2368&lt;&gt;"",1,0)+IF(EC2368&lt;&gt;"",1,0)+IF(ED2368&lt;&gt;"",1,0)+IF(EG2368&lt;&gt;"",1,0)+IF(EH2368&lt;&gt;"",1,0)</f>
        <v/>
      </c>
      <c r="AZ2368">
        <f>IF(EH2368&lt;&gt;"",1,0)</f>
        <v/>
      </c>
      <c r="BB2368" t="inlineStr">
        <is>
          <t>WARREN-WARD 4</t>
        </is>
      </c>
      <c r="BD2368" t="inlineStr">
        <is>
          <t>X</t>
        </is>
      </c>
      <c r="BL2368" t="inlineStr">
        <is>
          <t>X</t>
        </is>
      </c>
      <c r="BY2368" t="inlineStr">
        <is>
          <t>D</t>
        </is>
      </c>
      <c r="CA2368" t="inlineStr">
        <is>
          <t>X</t>
        </is>
      </c>
      <c r="CK2368" t="inlineStr">
        <is>
          <t>X</t>
        </is>
      </c>
      <c r="CN2368" t="inlineStr">
        <is>
          <t>X</t>
        </is>
      </c>
      <c r="CP2368" t="inlineStr">
        <is>
          <t>X</t>
        </is>
      </c>
      <c r="CY2368" t="inlineStr">
        <is>
          <t>X</t>
        </is>
      </c>
      <c r="DC2368" t="inlineStr">
        <is>
          <t>X</t>
        </is>
      </c>
      <c r="DL2368" t="inlineStr">
        <is>
          <t>X</t>
        </is>
      </c>
      <c r="DN2368" t="inlineStr">
        <is>
          <t>X</t>
        </is>
      </c>
      <c r="DU2368" t="inlineStr">
        <is>
          <t>X</t>
        </is>
      </c>
      <c r="EA2368" t="inlineStr">
        <is>
          <t>X</t>
        </is>
      </c>
      <c r="EF2368" t="inlineStr">
        <is>
          <t>X</t>
        </is>
      </c>
    </row>
    <row r="2369">
      <c r="A2369" t="inlineStr">
        <is>
          <t>OH0015729579</t>
        </is>
      </c>
      <c r="B2369" t="n">
        <v>78</v>
      </c>
      <c r="C2369" t="n">
        <v>216638</v>
      </c>
      <c r="D2369" t="inlineStr">
        <is>
          <t>SIMMONS</t>
        </is>
      </c>
      <c r="E2369" t="inlineStr">
        <is>
          <t>SABRINA</t>
        </is>
      </c>
      <c r="F2369">
        <f>CONCATENATE(D2369," ",LEFT(H2369,4),"T=",AU2369,"D=",AV2369,"R=",AW2369,"M=",AX2369,"L=",AY2369,"B=",AZ2369)</f>
        <v/>
      </c>
      <c r="G2369" t="inlineStr">
        <is>
          <t>KAYE</t>
        </is>
      </c>
      <c r="I2369" t="inlineStr">
        <is>
          <t>1959-09-23</t>
        </is>
      </c>
      <c r="J2369" t="inlineStr">
        <is>
          <t>2020-02-03</t>
        </is>
      </c>
      <c r="K2369" t="inlineStr">
        <is>
          <t>CONFIRMATION</t>
        </is>
      </c>
      <c r="M2369" t="inlineStr">
        <is>
          <t>2714 DUKE AVE SE</t>
        </is>
      </c>
      <c r="N2369">
        <f>RIGHT(M2369,LEN(M2369)-FIND(" ",M2369))</f>
        <v/>
      </c>
      <c r="P2369" t="inlineStr">
        <is>
          <t>WARREN</t>
        </is>
      </c>
      <c r="Q2369" t="inlineStr">
        <is>
          <t>OH</t>
        </is>
      </c>
      <c r="R2369" t="n">
        <v>44484</v>
      </c>
      <c r="AD2369" t="inlineStr">
        <is>
          <t>TRUMBULL CAREER &amp; TECH CENTER</t>
        </is>
      </c>
      <c r="AE2369" t="inlineStr">
        <is>
          <t>WARREN CITY</t>
        </is>
      </c>
      <c r="AF2369" t="inlineStr">
        <is>
          <t>WARREN CITY SD</t>
        </is>
      </c>
      <c r="AH2369" t="n">
        <v>14</v>
      </c>
      <c r="AI2369" t="n">
        <v>11</v>
      </c>
      <c r="AN2369" t="inlineStr">
        <is>
          <t>WARREN</t>
        </is>
      </c>
      <c r="AO2369" t="inlineStr">
        <is>
          <t>WARREN CITY 4F</t>
        </is>
      </c>
      <c r="AP2369" t="inlineStr">
        <is>
          <t>78-P-ADN</t>
        </is>
      </c>
      <c r="AQ2369" t="n">
        <v>9</v>
      </c>
      <c r="AR2369" t="n">
        <v>64</v>
      </c>
      <c r="AS2369" t="n">
        <v>32</v>
      </c>
      <c r="AU2369">
        <f>COUNTA($BA$2369:$EH$2369)</f>
        <v/>
      </c>
      <c r="AV2369">
        <f>COUNTIF($BA$2369:$EH$2369,"D")</f>
        <v/>
      </c>
      <c r="AW2369">
        <f>COUNTIF($BA$2369:$EH$2369,"R")</f>
        <v/>
      </c>
      <c r="AX2369">
        <f>IF(BN2369="D",1,0)+IF(BO2369="D",1,0)+IF(BT2369="D",1,0)+IF(BU2369="D",1,0)+IF(BW2369="D",1,0)+IF(CC2369="D",1,0)+IF(CD2369="D",1,0)+IF(CE2369="D",1,0)+IF(CF2369="D",1,0)+IF(CL2369="D",1,0)+IF(CM2369="D",1,0)+IF(CQ2369="D",1,0)+IF(CR2369="D",1,0)+IF(CS2369="D",1,0)+IF(CW2369="D",1,0)+IF(CX2369="D",1,0)+IF(DD2369="D",1,0)+IF(DE2369="D",1,0)+IF(DJ2369="D",1,0)+IF(DK2369="D",1,0)+IF(DO2369="D",1,0)+IF(DP2369="D",1,0)+IF(DQ2369="D",1,0)+IF(DW2369="D",1,0)+IF(DZ2369="D",1,0)+IF(EH2369="D",1,0)</f>
        <v/>
      </c>
      <c r="AY2369">
        <f>IF(DJ2369&lt;&gt;"",1,0)+IF(DK2369&lt;&gt;"",1,0)+IF(DM2369&lt;&gt;"",1,0)+IF(DO2369&lt;&gt;"",1,0)+IF(DP2369&lt;&gt;"",1,0)+IF(DQ2369&lt;&gt;"",1,0)+IF(DS2369&lt;&gt;"",1,0)+IF(DT2369&lt;&gt;"",1,0)+IF(DV2369&lt;&gt;"",1,0)+IF(DW2369&lt;&gt;"",1,0)+IF(DX2369&lt;&gt;"",1,0)+IF(DY2369&lt;&gt;"",1,0)+IF(DZ2369&lt;&gt;"",1,0)+IF(EB2369&lt;&gt;"",1,0)+IF(EC2369&lt;&gt;"",1,0)+IF(ED2369&lt;&gt;"",1,0)+IF(EG2369&lt;&gt;"",1,0)+IF(EH2369&lt;&gt;"",1,0)</f>
        <v/>
      </c>
      <c r="AZ2369">
        <f>IF(EH2369&lt;&gt;"",1,0)</f>
        <v/>
      </c>
      <c r="BB2369" t="inlineStr">
        <is>
          <t>WARREN-WARD 4</t>
        </is>
      </c>
      <c r="BL2369" t="inlineStr">
        <is>
          <t>X</t>
        </is>
      </c>
      <c r="BS2369" t="inlineStr">
        <is>
          <t>X</t>
        </is>
      </c>
      <c r="BY2369" t="inlineStr">
        <is>
          <t>D</t>
        </is>
      </c>
      <c r="CP2369" t="inlineStr">
        <is>
          <t>X</t>
        </is>
      </c>
      <c r="DI2369" t="inlineStr">
        <is>
          <t>X</t>
        </is>
      </c>
      <c r="DN2369" t="inlineStr">
        <is>
          <t>X</t>
        </is>
      </c>
    </row>
    <row r="2370">
      <c r="A2370" t="inlineStr">
        <is>
          <t>OH0015759357</t>
        </is>
      </c>
      <c r="B2370" t="n">
        <v>78</v>
      </c>
      <c r="C2370" t="n">
        <v>328426</v>
      </c>
      <c r="D2370" t="inlineStr">
        <is>
          <t>DELANEY</t>
        </is>
      </c>
      <c r="E2370" t="inlineStr">
        <is>
          <t>JOHNNY</t>
        </is>
      </c>
      <c r="F2370">
        <f>CONCATENATE(D2370," ",LEFT(H2370,4),"T=",AU2370,"D=",AV2370,"R=",AW2370,"M=",AX2370,"L=",AY2370,"B=",AZ2370)</f>
        <v/>
      </c>
      <c r="G2370" t="inlineStr">
        <is>
          <t>B</t>
        </is>
      </c>
      <c r="I2370" t="inlineStr">
        <is>
          <t>1945-07-23</t>
        </is>
      </c>
      <c r="J2370" t="inlineStr">
        <is>
          <t>2010-07-21</t>
        </is>
      </c>
      <c r="K2370" t="inlineStr">
        <is>
          <t>CONFIRMATION</t>
        </is>
      </c>
      <c r="M2370" t="inlineStr">
        <is>
          <t>2222 DRAPER AVE SE</t>
        </is>
      </c>
      <c r="N2370">
        <f>RIGHT(M2370,LEN(M2370)-FIND(" ",M2370))</f>
        <v/>
      </c>
      <c r="P2370" t="inlineStr">
        <is>
          <t>WARREN</t>
        </is>
      </c>
      <c r="Q2370" t="inlineStr">
        <is>
          <t>OH</t>
        </is>
      </c>
      <c r="R2370" t="n">
        <v>44484</v>
      </c>
      <c r="AD2370" t="inlineStr">
        <is>
          <t>TRUMBULL CAREER &amp; TECH CENTER</t>
        </is>
      </c>
      <c r="AE2370" t="inlineStr">
        <is>
          <t>WARREN CITY</t>
        </is>
      </c>
      <c r="AF2370" t="inlineStr">
        <is>
          <t>WARREN CITY SD</t>
        </is>
      </c>
      <c r="AH2370" t="n">
        <v>14</v>
      </c>
      <c r="AI2370" t="n">
        <v>11</v>
      </c>
      <c r="AN2370" t="inlineStr">
        <is>
          <t>WARREN</t>
        </is>
      </c>
      <c r="AO2370" t="inlineStr">
        <is>
          <t>WARREN CITY 4F</t>
        </is>
      </c>
      <c r="AP2370" t="inlineStr">
        <is>
          <t>78-P-ADN</t>
        </is>
      </c>
      <c r="AQ2370" t="n">
        <v>9</v>
      </c>
      <c r="AR2370" t="n">
        <v>64</v>
      </c>
      <c r="AS2370" t="n">
        <v>32</v>
      </c>
      <c r="AU2370">
        <f>COUNTA($BA$2370:$EH$2370)</f>
        <v/>
      </c>
      <c r="AV2370">
        <f>COUNTIF($BA$2370:$EH$2370,"D")</f>
        <v/>
      </c>
      <c r="AW2370">
        <f>COUNTIF($BA$2370:$EH$2370,"R")</f>
        <v/>
      </c>
      <c r="AX2370">
        <f>IF(BN2370="D",1,0)+IF(BO2370="D",1,0)+IF(BT2370="D",1,0)+IF(BU2370="D",1,0)+IF(BW2370="D",1,0)+IF(CC2370="D",1,0)+IF(CD2370="D",1,0)+IF(CE2370="D",1,0)+IF(CF2370="D",1,0)+IF(CL2370="D",1,0)+IF(CM2370="D",1,0)+IF(CQ2370="D",1,0)+IF(CR2370="D",1,0)+IF(CS2370="D",1,0)+IF(CW2370="D",1,0)+IF(CX2370="D",1,0)+IF(DD2370="D",1,0)+IF(DE2370="D",1,0)+IF(DJ2370="D",1,0)+IF(DK2370="D",1,0)+IF(DO2370="D",1,0)+IF(DP2370="D",1,0)+IF(DQ2370="D",1,0)+IF(DW2370="D",1,0)+IF(DZ2370="D",1,0)+IF(EH2370="D",1,0)</f>
        <v/>
      </c>
      <c r="AY2370">
        <f>IF(DJ2370&lt;&gt;"",1,0)+IF(DK2370&lt;&gt;"",1,0)+IF(DM2370&lt;&gt;"",1,0)+IF(DO2370&lt;&gt;"",1,0)+IF(DP2370&lt;&gt;"",1,0)+IF(DQ2370&lt;&gt;"",1,0)+IF(DS2370&lt;&gt;"",1,0)+IF(DT2370&lt;&gt;"",1,0)+IF(DV2370&lt;&gt;"",1,0)+IF(DW2370&lt;&gt;"",1,0)+IF(DX2370&lt;&gt;"",1,0)+IF(DY2370&lt;&gt;"",1,0)+IF(DZ2370&lt;&gt;"",1,0)+IF(EB2370&lt;&gt;"",1,0)+IF(EC2370&lt;&gt;"",1,0)+IF(ED2370&lt;&gt;"",1,0)+IF(EG2370&lt;&gt;"",1,0)+IF(EH2370&lt;&gt;"",1,0)</f>
        <v/>
      </c>
      <c r="AZ2370">
        <f>IF(EH2370&lt;&gt;"",1,0)</f>
        <v/>
      </c>
      <c r="BB2370" t="inlineStr">
        <is>
          <t>WARREN-WARD 4</t>
        </is>
      </c>
    </row>
    <row r="2371">
      <c r="A2371" t="inlineStr">
        <is>
          <t>OH0026171842</t>
        </is>
      </c>
      <c r="B2371" t="n">
        <v>78</v>
      </c>
      <c r="C2371" t="n">
        <v>373547</v>
      </c>
      <c r="D2371" t="inlineStr">
        <is>
          <t>KIMBLE</t>
        </is>
      </c>
      <c r="E2371" t="inlineStr">
        <is>
          <t>JEREMY</t>
        </is>
      </c>
      <c r="F2371">
        <f>CONCATENATE(D2371," ",LEFT(H2371,4),"T=",AU2371,"D=",AV2371,"R=",AW2371,"M=",AX2371,"L=",AY2371,"B=",AZ2371)</f>
        <v/>
      </c>
      <c r="G2371" t="inlineStr">
        <is>
          <t>R</t>
        </is>
      </c>
      <c r="I2371" t="inlineStr">
        <is>
          <t>1991-10-10</t>
        </is>
      </c>
      <c r="J2371" t="inlineStr">
        <is>
          <t>2019-01-09</t>
        </is>
      </c>
      <c r="K2371" t="inlineStr">
        <is>
          <t>ACTIVE</t>
        </is>
      </c>
      <c r="M2371" t="inlineStr">
        <is>
          <t>1939 THOMAS RD SE</t>
        </is>
      </c>
      <c r="N2371">
        <f>RIGHT(M2371,LEN(M2371)-FIND(" ",M2371))</f>
        <v/>
      </c>
      <c r="P2371" t="inlineStr">
        <is>
          <t>WARREN</t>
        </is>
      </c>
      <c r="Q2371" t="inlineStr">
        <is>
          <t>OH</t>
        </is>
      </c>
      <c r="R2371" t="n">
        <v>44484</v>
      </c>
      <c r="AD2371" t="inlineStr">
        <is>
          <t>TRUMBULL CAREER &amp; TECH CENTER</t>
        </is>
      </c>
      <c r="AE2371" t="inlineStr">
        <is>
          <t>WARREN CITY</t>
        </is>
      </c>
      <c r="AF2371" t="inlineStr">
        <is>
          <t>WARREN CITY SD</t>
        </is>
      </c>
      <c r="AH2371" t="n">
        <v>14</v>
      </c>
      <c r="AI2371" t="n">
        <v>11</v>
      </c>
      <c r="AN2371" t="inlineStr">
        <is>
          <t>WARREN</t>
        </is>
      </c>
      <c r="AO2371" t="inlineStr">
        <is>
          <t>WARREN CITY 4F</t>
        </is>
      </c>
      <c r="AP2371" t="inlineStr">
        <is>
          <t>78-P-ADN</t>
        </is>
      </c>
      <c r="AQ2371" t="n">
        <v>9</v>
      </c>
      <c r="AR2371" t="n">
        <v>64</v>
      </c>
      <c r="AS2371" t="n">
        <v>32</v>
      </c>
      <c r="AU2371">
        <f>COUNTA($BA$2371:$EH$2371)</f>
        <v/>
      </c>
      <c r="AV2371">
        <f>COUNTIF($BA$2371:$EH$2371,"D")</f>
        <v/>
      </c>
      <c r="AW2371">
        <f>COUNTIF($BA$2371:$EH$2371,"R")</f>
        <v/>
      </c>
      <c r="AX2371">
        <f>IF(BN2371="D",1,0)+IF(BO2371="D",1,0)+IF(BT2371="D",1,0)+IF(BU2371="D",1,0)+IF(BW2371="D",1,0)+IF(CC2371="D",1,0)+IF(CD2371="D",1,0)+IF(CE2371="D",1,0)+IF(CF2371="D",1,0)+IF(CL2371="D",1,0)+IF(CM2371="D",1,0)+IF(CQ2371="D",1,0)+IF(CR2371="D",1,0)+IF(CS2371="D",1,0)+IF(CW2371="D",1,0)+IF(CX2371="D",1,0)+IF(DD2371="D",1,0)+IF(DE2371="D",1,0)+IF(DJ2371="D",1,0)+IF(DK2371="D",1,0)+IF(DO2371="D",1,0)+IF(DP2371="D",1,0)+IF(DQ2371="D",1,0)+IF(DW2371="D",1,0)+IF(DZ2371="D",1,0)+IF(EH2371="D",1,0)</f>
        <v/>
      </c>
      <c r="AY2371">
        <f>IF(DJ2371&lt;&gt;"",1,0)+IF(DK2371&lt;&gt;"",1,0)+IF(DM2371&lt;&gt;"",1,0)+IF(DO2371&lt;&gt;"",1,0)+IF(DP2371&lt;&gt;"",1,0)+IF(DQ2371&lt;&gt;"",1,0)+IF(DS2371&lt;&gt;"",1,0)+IF(DT2371&lt;&gt;"",1,0)+IF(DV2371&lt;&gt;"",1,0)+IF(DW2371&lt;&gt;"",1,0)+IF(DX2371&lt;&gt;"",1,0)+IF(DY2371&lt;&gt;"",1,0)+IF(DZ2371&lt;&gt;"",1,0)+IF(EB2371&lt;&gt;"",1,0)+IF(EC2371&lt;&gt;"",1,0)+IF(ED2371&lt;&gt;"",1,0)+IF(EG2371&lt;&gt;"",1,0)+IF(EH2371&lt;&gt;"",1,0)</f>
        <v/>
      </c>
      <c r="AZ2371">
        <f>IF(EH2371&lt;&gt;"",1,0)</f>
        <v/>
      </c>
      <c r="BB2371" t="inlineStr">
        <is>
          <t>WARREN-WARD 4</t>
        </is>
      </c>
    </row>
    <row r="2372">
      <c r="A2372" t="inlineStr">
        <is>
          <t>OH0027842902</t>
        </is>
      </c>
      <c r="B2372" t="n">
        <v>78</v>
      </c>
      <c r="C2372" t="n">
        <v>494061</v>
      </c>
      <c r="D2372" t="inlineStr">
        <is>
          <t>PIERCE</t>
        </is>
      </c>
      <c r="E2372" t="inlineStr">
        <is>
          <t>KATI</t>
        </is>
      </c>
      <c r="F2372">
        <f>CONCATENATE(D2372," ",LEFT(H2372,4),"T=",AU2372,"D=",AV2372,"R=",AW2372,"M=",AX2372,"L=",AY2372,"B=",AZ2372)</f>
        <v/>
      </c>
      <c r="G2372" t="inlineStr">
        <is>
          <t>LYNN</t>
        </is>
      </c>
      <c r="I2372" t="inlineStr">
        <is>
          <t>1989-08-08</t>
        </is>
      </c>
      <c r="J2372" t="inlineStr">
        <is>
          <t>2024-10-28</t>
        </is>
      </c>
      <c r="K2372" t="inlineStr">
        <is>
          <t>ACTIVE</t>
        </is>
      </c>
      <c r="M2372" t="inlineStr">
        <is>
          <t>1931 THOMAS RD SE</t>
        </is>
      </c>
      <c r="N2372">
        <f>RIGHT(M2372,LEN(M2372)-FIND(" ",M2372))</f>
        <v/>
      </c>
      <c r="P2372" t="inlineStr">
        <is>
          <t>WARREN</t>
        </is>
      </c>
      <c r="Q2372" t="inlineStr">
        <is>
          <t>OH</t>
        </is>
      </c>
      <c r="R2372" t="n">
        <v>44484</v>
      </c>
      <c r="AD2372" t="inlineStr">
        <is>
          <t>TRUMBULL CAREER &amp; TECH CENTER</t>
        </is>
      </c>
      <c r="AE2372" t="inlineStr">
        <is>
          <t>WARREN CITY</t>
        </is>
      </c>
      <c r="AF2372" t="inlineStr">
        <is>
          <t>WARREN CITY SD</t>
        </is>
      </c>
      <c r="AH2372" t="n">
        <v>14</v>
      </c>
      <c r="AI2372" t="n">
        <v>11</v>
      </c>
      <c r="AN2372" t="inlineStr">
        <is>
          <t>WARREN</t>
        </is>
      </c>
      <c r="AO2372" t="inlineStr">
        <is>
          <t>WARREN CITY 4F</t>
        </is>
      </c>
      <c r="AP2372" t="inlineStr">
        <is>
          <t>78-P-ADN</t>
        </is>
      </c>
      <c r="AQ2372" t="n">
        <v>9</v>
      </c>
      <c r="AR2372" t="n">
        <v>64</v>
      </c>
      <c r="AS2372" t="n">
        <v>32</v>
      </c>
      <c r="AU2372">
        <f>COUNTA($BA$2372:$EH$2372)</f>
        <v/>
      </c>
      <c r="AV2372">
        <f>COUNTIF($BA$2372:$EH$2372,"D")</f>
        <v/>
      </c>
      <c r="AW2372">
        <f>COUNTIF($BA$2372:$EH$2372,"R")</f>
        <v/>
      </c>
      <c r="AX2372">
        <f>IF(BN2372="D",1,0)+IF(BO2372="D",1,0)+IF(BT2372="D",1,0)+IF(BU2372="D",1,0)+IF(BW2372="D",1,0)+IF(CC2372="D",1,0)+IF(CD2372="D",1,0)+IF(CE2372="D",1,0)+IF(CF2372="D",1,0)+IF(CL2372="D",1,0)+IF(CM2372="D",1,0)+IF(CQ2372="D",1,0)+IF(CR2372="D",1,0)+IF(CS2372="D",1,0)+IF(CW2372="D",1,0)+IF(CX2372="D",1,0)+IF(DD2372="D",1,0)+IF(DE2372="D",1,0)+IF(DJ2372="D",1,0)+IF(DK2372="D",1,0)+IF(DO2372="D",1,0)+IF(DP2372="D",1,0)+IF(DQ2372="D",1,0)+IF(DW2372="D",1,0)+IF(DZ2372="D",1,0)+IF(EH2372="D",1,0)</f>
        <v/>
      </c>
      <c r="AY2372">
        <f>IF(DJ2372&lt;&gt;"",1,0)+IF(DK2372&lt;&gt;"",1,0)+IF(DM2372&lt;&gt;"",1,0)+IF(DO2372&lt;&gt;"",1,0)+IF(DP2372&lt;&gt;"",1,0)+IF(DQ2372&lt;&gt;"",1,0)+IF(DS2372&lt;&gt;"",1,0)+IF(DT2372&lt;&gt;"",1,0)+IF(DV2372&lt;&gt;"",1,0)+IF(DW2372&lt;&gt;"",1,0)+IF(DX2372&lt;&gt;"",1,0)+IF(DY2372&lt;&gt;"",1,0)+IF(DZ2372&lt;&gt;"",1,0)+IF(EB2372&lt;&gt;"",1,0)+IF(EC2372&lt;&gt;"",1,0)+IF(ED2372&lt;&gt;"",1,0)+IF(EG2372&lt;&gt;"",1,0)+IF(EH2372&lt;&gt;"",1,0)</f>
        <v/>
      </c>
      <c r="AZ2372">
        <f>IF(EH2372&lt;&gt;"",1,0)</f>
        <v/>
      </c>
      <c r="BB2372" t="inlineStr">
        <is>
          <t>WARREN-WARD 4</t>
        </is>
      </c>
    </row>
    <row r="2373">
      <c r="A2373" t="inlineStr">
        <is>
          <t>OH0015717701</t>
        </is>
      </c>
      <c r="B2373" t="n">
        <v>78</v>
      </c>
      <c r="C2373" t="n">
        <v>19507</v>
      </c>
      <c r="D2373" t="inlineStr">
        <is>
          <t>BUTLER</t>
        </is>
      </c>
      <c r="E2373" t="inlineStr">
        <is>
          <t>LUCILLE</t>
        </is>
      </c>
      <c r="F2373">
        <f>CONCATENATE(D2373," ",LEFT(H2373,4),"T=",AU2373,"D=",AV2373,"R=",AW2373,"M=",AX2373,"L=",AY2373,"B=",AZ2373)</f>
        <v/>
      </c>
      <c r="I2373" t="inlineStr">
        <is>
          <t>1927-11-10</t>
        </is>
      </c>
      <c r="J2373" t="inlineStr">
        <is>
          <t>2012-09-15</t>
        </is>
      </c>
      <c r="K2373" t="inlineStr">
        <is>
          <t>CONFIRMATION</t>
        </is>
      </c>
      <c r="M2373" t="inlineStr">
        <is>
          <t>2188 DRAPER AVE SE</t>
        </is>
      </c>
      <c r="N2373">
        <f>RIGHT(M2373,LEN(M2373)-FIND(" ",M2373))</f>
        <v/>
      </c>
      <c r="P2373" t="inlineStr">
        <is>
          <t>WARREN</t>
        </is>
      </c>
      <c r="Q2373" t="inlineStr">
        <is>
          <t>OH</t>
        </is>
      </c>
      <c r="R2373" t="n">
        <v>44484</v>
      </c>
      <c r="AD2373" t="inlineStr">
        <is>
          <t>TRUMBULL CAREER &amp; TECH CENTER</t>
        </is>
      </c>
      <c r="AE2373" t="inlineStr">
        <is>
          <t>WARREN CITY</t>
        </is>
      </c>
      <c r="AF2373" t="inlineStr">
        <is>
          <t>WARREN CITY SD</t>
        </is>
      </c>
      <c r="AH2373" t="n">
        <v>14</v>
      </c>
      <c r="AI2373" t="n">
        <v>11</v>
      </c>
      <c r="AN2373" t="inlineStr">
        <is>
          <t>WARREN</t>
        </is>
      </c>
      <c r="AO2373" t="inlineStr">
        <is>
          <t>WARREN CITY 4F</t>
        </is>
      </c>
      <c r="AP2373" t="inlineStr">
        <is>
          <t>78-P-ADN</t>
        </is>
      </c>
      <c r="AQ2373" t="n">
        <v>9</v>
      </c>
      <c r="AR2373" t="n">
        <v>64</v>
      </c>
      <c r="AS2373" t="n">
        <v>32</v>
      </c>
      <c r="AU2373">
        <f>COUNTA($BA$2373:$EH$2373)</f>
        <v/>
      </c>
      <c r="AV2373">
        <f>COUNTIF($BA$2373:$EH$2373,"D")</f>
        <v/>
      </c>
      <c r="AW2373">
        <f>COUNTIF($BA$2373:$EH$2373,"R")</f>
        <v/>
      </c>
      <c r="AX2373">
        <f>IF(BN2373="D",1,0)+IF(BO2373="D",1,0)+IF(BT2373="D",1,0)+IF(BU2373="D",1,0)+IF(BW2373="D",1,0)+IF(CC2373="D",1,0)+IF(CD2373="D",1,0)+IF(CE2373="D",1,0)+IF(CF2373="D",1,0)+IF(CL2373="D",1,0)+IF(CM2373="D",1,0)+IF(CQ2373="D",1,0)+IF(CR2373="D",1,0)+IF(CS2373="D",1,0)+IF(CW2373="D",1,0)+IF(CX2373="D",1,0)+IF(DD2373="D",1,0)+IF(DE2373="D",1,0)+IF(DJ2373="D",1,0)+IF(DK2373="D",1,0)+IF(DO2373="D",1,0)+IF(DP2373="D",1,0)+IF(DQ2373="D",1,0)+IF(DW2373="D",1,0)+IF(DZ2373="D",1,0)+IF(EH2373="D",1,0)</f>
        <v/>
      </c>
      <c r="AY2373">
        <f>IF(DJ2373&lt;&gt;"",1,0)+IF(DK2373&lt;&gt;"",1,0)+IF(DM2373&lt;&gt;"",1,0)+IF(DO2373&lt;&gt;"",1,0)+IF(DP2373&lt;&gt;"",1,0)+IF(DQ2373&lt;&gt;"",1,0)+IF(DS2373&lt;&gt;"",1,0)+IF(DT2373&lt;&gt;"",1,0)+IF(DV2373&lt;&gt;"",1,0)+IF(DW2373&lt;&gt;"",1,0)+IF(DX2373&lt;&gt;"",1,0)+IF(DY2373&lt;&gt;"",1,0)+IF(DZ2373&lt;&gt;"",1,0)+IF(EB2373&lt;&gt;"",1,0)+IF(EC2373&lt;&gt;"",1,0)+IF(ED2373&lt;&gt;"",1,0)+IF(EG2373&lt;&gt;"",1,0)+IF(EH2373&lt;&gt;"",1,0)</f>
        <v/>
      </c>
      <c r="AZ2373">
        <f>IF(EH2373&lt;&gt;"",1,0)</f>
        <v/>
      </c>
      <c r="BB2373" t="inlineStr">
        <is>
          <t>WARREN-WARD 4</t>
        </is>
      </c>
      <c r="BC2373" t="inlineStr">
        <is>
          <t>X</t>
        </is>
      </c>
      <c r="BD2373" t="inlineStr">
        <is>
          <t>X</t>
        </is>
      </c>
      <c r="BH2373" t="inlineStr">
        <is>
          <t>X</t>
        </is>
      </c>
      <c r="BJ2373" t="inlineStr">
        <is>
          <t>X</t>
        </is>
      </c>
      <c r="BL2373" t="inlineStr">
        <is>
          <t>X</t>
        </is>
      </c>
      <c r="BP2373" t="inlineStr">
        <is>
          <t>X</t>
        </is>
      </c>
      <c r="BR2373" t="inlineStr">
        <is>
          <t>X</t>
        </is>
      </c>
      <c r="BS2373" t="inlineStr">
        <is>
          <t>X</t>
        </is>
      </c>
      <c r="BY2373" t="inlineStr">
        <is>
          <t>D</t>
        </is>
      </c>
      <c r="CA2373" t="inlineStr">
        <is>
          <t>X</t>
        </is>
      </c>
      <c r="CG2373" t="inlineStr">
        <is>
          <t>X</t>
        </is>
      </c>
      <c r="CK2373" t="inlineStr">
        <is>
          <t>X</t>
        </is>
      </c>
      <c r="CL2373" t="inlineStr">
        <is>
          <t>D</t>
        </is>
      </c>
      <c r="CP2373" t="inlineStr">
        <is>
          <t>X</t>
        </is>
      </c>
      <c r="CV2373" t="inlineStr">
        <is>
          <t>X</t>
        </is>
      </c>
      <c r="CY2373" t="inlineStr">
        <is>
          <t>X</t>
        </is>
      </c>
      <c r="CZ2373" t="inlineStr">
        <is>
          <t>D</t>
        </is>
      </c>
      <c r="DC2373" t="inlineStr">
        <is>
          <t>X</t>
        </is>
      </c>
      <c r="DL2373" t="inlineStr">
        <is>
          <t>X</t>
        </is>
      </c>
    </row>
    <row r="2374">
      <c r="A2374" t="inlineStr">
        <is>
          <t>OH0023526565</t>
        </is>
      </c>
      <c r="B2374" t="n">
        <v>78</v>
      </c>
      <c r="C2374" t="n">
        <v>414204</v>
      </c>
      <c r="D2374" t="inlineStr">
        <is>
          <t>MOORE</t>
        </is>
      </c>
      <c r="E2374" t="inlineStr">
        <is>
          <t>ELEXIS</t>
        </is>
      </c>
      <c r="F2374">
        <f>CONCATENATE(D2374," ",LEFT(H2374,4),"T=",AU2374,"D=",AV2374,"R=",AW2374,"M=",AX2374,"L=",AY2374,"B=",AZ2374)</f>
        <v/>
      </c>
      <c r="G2374" t="inlineStr">
        <is>
          <t>D</t>
        </is>
      </c>
      <c r="I2374" t="inlineStr">
        <is>
          <t>1998-01-10</t>
        </is>
      </c>
      <c r="J2374" t="inlineStr">
        <is>
          <t>2018-09-14</t>
        </is>
      </c>
      <c r="K2374" t="inlineStr">
        <is>
          <t>ACTIVE</t>
        </is>
      </c>
      <c r="L2374" t="inlineStr">
        <is>
          <t>D</t>
        </is>
      </c>
      <c r="M2374" t="inlineStr">
        <is>
          <t>1522 OAK KNOLL AVE SE</t>
        </is>
      </c>
      <c r="N2374">
        <f>RIGHT(M2374,LEN(M2374)-FIND(" ",M2374))</f>
        <v/>
      </c>
      <c r="P2374" t="inlineStr">
        <is>
          <t>WARREN</t>
        </is>
      </c>
      <c r="Q2374" t="inlineStr">
        <is>
          <t>OH</t>
        </is>
      </c>
      <c r="R2374" t="n">
        <v>44484</v>
      </c>
      <c r="AD2374" t="inlineStr">
        <is>
          <t>TRUMBULL CAREER &amp; TECH CENTER</t>
        </is>
      </c>
      <c r="AE2374" t="inlineStr">
        <is>
          <t>WARREN CITY</t>
        </is>
      </c>
      <c r="AF2374" t="inlineStr">
        <is>
          <t>WARREN CITY SD</t>
        </is>
      </c>
      <c r="AH2374" t="n">
        <v>14</v>
      </c>
      <c r="AI2374" t="n">
        <v>11</v>
      </c>
      <c r="AN2374" t="inlineStr">
        <is>
          <t>WARREN</t>
        </is>
      </c>
      <c r="AO2374" t="inlineStr">
        <is>
          <t>WARREN CITY 4F</t>
        </is>
      </c>
      <c r="AP2374" t="inlineStr">
        <is>
          <t>78-P-ADN</t>
        </is>
      </c>
      <c r="AQ2374" t="n">
        <v>9</v>
      </c>
      <c r="AR2374" t="n">
        <v>64</v>
      </c>
      <c r="AS2374" t="n">
        <v>32</v>
      </c>
      <c r="AU2374">
        <f>COUNTA($BA$2374:$EH$2374)</f>
        <v/>
      </c>
      <c r="AV2374">
        <f>COUNTIF($BA$2374:$EH$2374,"D")</f>
        <v/>
      </c>
      <c r="AW2374">
        <f>COUNTIF($BA$2374:$EH$2374,"R")</f>
        <v/>
      </c>
      <c r="AX2374">
        <f>IF(BN2374="D",1,0)+IF(BO2374="D",1,0)+IF(BT2374="D",1,0)+IF(BU2374="D",1,0)+IF(BW2374="D",1,0)+IF(CC2374="D",1,0)+IF(CD2374="D",1,0)+IF(CE2374="D",1,0)+IF(CF2374="D",1,0)+IF(CL2374="D",1,0)+IF(CM2374="D",1,0)+IF(CQ2374="D",1,0)+IF(CR2374="D",1,0)+IF(CS2374="D",1,0)+IF(CW2374="D",1,0)+IF(CX2374="D",1,0)+IF(DD2374="D",1,0)+IF(DE2374="D",1,0)+IF(DJ2374="D",1,0)+IF(DK2374="D",1,0)+IF(DO2374="D",1,0)+IF(DP2374="D",1,0)+IF(DQ2374="D",1,0)+IF(DW2374="D",1,0)+IF(DZ2374="D",1,0)+IF(EH2374="D",1,0)</f>
        <v/>
      </c>
      <c r="AY2374">
        <f>IF(DJ2374&lt;&gt;"",1,0)+IF(DK2374&lt;&gt;"",1,0)+IF(DM2374&lt;&gt;"",1,0)+IF(DO2374&lt;&gt;"",1,0)+IF(DP2374&lt;&gt;"",1,0)+IF(DQ2374&lt;&gt;"",1,0)+IF(DS2374&lt;&gt;"",1,0)+IF(DT2374&lt;&gt;"",1,0)+IF(DV2374&lt;&gt;"",1,0)+IF(DW2374&lt;&gt;"",1,0)+IF(DX2374&lt;&gt;"",1,0)+IF(DY2374&lt;&gt;"",1,0)+IF(DZ2374&lt;&gt;"",1,0)+IF(EB2374&lt;&gt;"",1,0)+IF(EC2374&lt;&gt;"",1,0)+IF(ED2374&lt;&gt;"",1,0)+IF(EG2374&lt;&gt;"",1,0)+IF(EH2374&lt;&gt;"",1,0)</f>
        <v/>
      </c>
      <c r="AZ2374">
        <f>IF(EH2374&lt;&gt;"",1,0)</f>
        <v/>
      </c>
      <c r="BB2374" t="inlineStr">
        <is>
          <t>WARREN-WARD 4</t>
        </is>
      </c>
      <c r="CZ2374" t="inlineStr">
        <is>
          <t>D</t>
        </is>
      </c>
      <c r="DC2374" t="inlineStr">
        <is>
          <t>X</t>
        </is>
      </c>
      <c r="DD2374" t="inlineStr">
        <is>
          <t>D</t>
        </is>
      </c>
      <c r="DF2374" t="inlineStr">
        <is>
          <t>X</t>
        </is>
      </c>
      <c r="DG2374" t="inlineStr">
        <is>
          <t>D</t>
        </is>
      </c>
      <c r="DI2374" t="inlineStr">
        <is>
          <t>X</t>
        </is>
      </c>
      <c r="DJ2374" t="inlineStr">
        <is>
          <t>D</t>
        </is>
      </c>
      <c r="DL2374" t="inlineStr">
        <is>
          <t>X</t>
        </is>
      </c>
      <c r="DM2374" t="inlineStr">
        <is>
          <t>D</t>
        </is>
      </c>
      <c r="DN2374" t="inlineStr">
        <is>
          <t>X</t>
        </is>
      </c>
      <c r="DR2374" t="inlineStr">
        <is>
          <t>X</t>
        </is>
      </c>
      <c r="DS2374" t="inlineStr">
        <is>
          <t>D</t>
        </is>
      </c>
      <c r="DT2374" t="inlineStr">
        <is>
          <t>D</t>
        </is>
      </c>
      <c r="DU2374" t="inlineStr">
        <is>
          <t>X</t>
        </is>
      </c>
      <c r="DX2374" t="inlineStr">
        <is>
          <t>X</t>
        </is>
      </c>
      <c r="EA2374" t="inlineStr">
        <is>
          <t>X</t>
        </is>
      </c>
      <c r="ED2374" t="inlineStr">
        <is>
          <t>D</t>
        </is>
      </c>
      <c r="EF2374" t="inlineStr">
        <is>
          <t>X</t>
        </is>
      </c>
    </row>
    <row r="2375">
      <c r="A2375" t="inlineStr">
        <is>
          <t>OH0015812781</t>
        </is>
      </c>
      <c r="B2375" t="n">
        <v>78</v>
      </c>
      <c r="C2375" t="n">
        <v>303554</v>
      </c>
      <c r="D2375" t="inlineStr">
        <is>
          <t>CLAY POVENTUD</t>
        </is>
      </c>
      <c r="E2375" t="inlineStr">
        <is>
          <t>ALVENIA</t>
        </is>
      </c>
      <c r="F2375">
        <f>CONCATENATE(D2375," ",LEFT(H2375,4),"T=",AU2375,"D=",AV2375,"R=",AW2375,"M=",AX2375,"L=",AY2375,"B=",AZ2375)</f>
        <v/>
      </c>
      <c r="I2375" t="inlineStr">
        <is>
          <t>1965-01-01</t>
        </is>
      </c>
      <c r="J2375" t="inlineStr">
        <is>
          <t>2016-05-27</t>
        </is>
      </c>
      <c r="K2375" t="inlineStr">
        <is>
          <t>CONFIRMATION</t>
        </is>
      </c>
      <c r="M2375" t="inlineStr">
        <is>
          <t>1960 DRAPER AVE SE</t>
        </is>
      </c>
      <c r="N2375">
        <f>RIGHT(M2375,LEN(M2375)-FIND(" ",M2375))</f>
        <v/>
      </c>
      <c r="P2375" t="inlineStr">
        <is>
          <t>WARREN</t>
        </is>
      </c>
      <c r="Q2375" t="inlineStr">
        <is>
          <t>OH</t>
        </is>
      </c>
      <c r="R2375" t="n">
        <v>44484</v>
      </c>
      <c r="AD2375" t="inlineStr">
        <is>
          <t>TRUMBULL CAREER &amp; TECH CENTER</t>
        </is>
      </c>
      <c r="AE2375" t="inlineStr">
        <is>
          <t>WARREN CITY</t>
        </is>
      </c>
      <c r="AF2375" t="inlineStr">
        <is>
          <t>WARREN CITY SD</t>
        </is>
      </c>
      <c r="AH2375" t="n">
        <v>14</v>
      </c>
      <c r="AI2375" t="n">
        <v>11</v>
      </c>
      <c r="AN2375" t="inlineStr">
        <is>
          <t>WARREN</t>
        </is>
      </c>
      <c r="AO2375" t="inlineStr">
        <is>
          <t>WARREN CITY 4F</t>
        </is>
      </c>
      <c r="AP2375" t="inlineStr">
        <is>
          <t>78-P-ADN</t>
        </is>
      </c>
      <c r="AQ2375" t="n">
        <v>9</v>
      </c>
      <c r="AR2375" t="n">
        <v>64</v>
      </c>
      <c r="AS2375" t="n">
        <v>32</v>
      </c>
      <c r="AU2375">
        <f>COUNTA($BA$2375:$EH$2375)</f>
        <v/>
      </c>
      <c r="AV2375">
        <f>COUNTIF($BA$2375:$EH$2375,"D")</f>
        <v/>
      </c>
      <c r="AW2375">
        <f>COUNTIF($BA$2375:$EH$2375,"R")</f>
        <v/>
      </c>
      <c r="AX2375">
        <f>IF(BN2375="D",1,0)+IF(BO2375="D",1,0)+IF(BT2375="D",1,0)+IF(BU2375="D",1,0)+IF(BW2375="D",1,0)+IF(CC2375="D",1,0)+IF(CD2375="D",1,0)+IF(CE2375="D",1,0)+IF(CF2375="D",1,0)+IF(CL2375="D",1,0)+IF(CM2375="D",1,0)+IF(CQ2375="D",1,0)+IF(CR2375="D",1,0)+IF(CS2375="D",1,0)+IF(CW2375="D",1,0)+IF(CX2375="D",1,0)+IF(DD2375="D",1,0)+IF(DE2375="D",1,0)+IF(DJ2375="D",1,0)+IF(DK2375="D",1,0)+IF(DO2375="D",1,0)+IF(DP2375="D",1,0)+IF(DQ2375="D",1,0)+IF(DW2375="D",1,0)+IF(DZ2375="D",1,0)+IF(EH2375="D",1,0)</f>
        <v/>
      </c>
      <c r="AY2375">
        <f>IF(DJ2375&lt;&gt;"",1,0)+IF(DK2375&lt;&gt;"",1,0)+IF(DM2375&lt;&gt;"",1,0)+IF(DO2375&lt;&gt;"",1,0)+IF(DP2375&lt;&gt;"",1,0)+IF(DQ2375&lt;&gt;"",1,0)+IF(DS2375&lt;&gt;"",1,0)+IF(DT2375&lt;&gt;"",1,0)+IF(DV2375&lt;&gt;"",1,0)+IF(DW2375&lt;&gt;"",1,0)+IF(DX2375&lt;&gt;"",1,0)+IF(DY2375&lt;&gt;"",1,0)+IF(DZ2375&lt;&gt;"",1,0)+IF(EB2375&lt;&gt;"",1,0)+IF(EC2375&lt;&gt;"",1,0)+IF(ED2375&lt;&gt;"",1,0)+IF(EG2375&lt;&gt;"",1,0)+IF(EH2375&lt;&gt;"",1,0)</f>
        <v/>
      </c>
      <c r="AZ2375">
        <f>IF(EH2375&lt;&gt;"",1,0)</f>
        <v/>
      </c>
      <c r="BB2375" t="inlineStr">
        <is>
          <t>WARREN-WARD 4</t>
        </is>
      </c>
      <c r="CK2375" t="inlineStr">
        <is>
          <t>X</t>
        </is>
      </c>
      <c r="CP2375" t="inlineStr">
        <is>
          <t>X</t>
        </is>
      </c>
    </row>
    <row r="2376">
      <c r="A2376" t="inlineStr">
        <is>
          <t>OH0025863726</t>
        </is>
      </c>
      <c r="B2376" t="n">
        <v>78</v>
      </c>
      <c r="C2376" t="n">
        <v>451687</v>
      </c>
      <c r="D2376" t="inlineStr">
        <is>
          <t>DAVIS</t>
        </is>
      </c>
      <c r="E2376" t="inlineStr">
        <is>
          <t>ALISHA</t>
        </is>
      </c>
      <c r="F2376">
        <f>CONCATENATE(D2376," ",LEFT(H2376,4),"T=",AU2376,"D=",AV2376,"R=",AW2376,"M=",AX2376,"L=",AY2376,"B=",AZ2376)</f>
        <v/>
      </c>
      <c r="G2376" t="inlineStr">
        <is>
          <t>MARIE VERONICA</t>
        </is>
      </c>
      <c r="I2376" t="inlineStr">
        <is>
          <t>1998-06-28</t>
        </is>
      </c>
      <c r="J2376" t="inlineStr">
        <is>
          <t>2020-09-22</t>
        </is>
      </c>
      <c r="K2376" t="inlineStr">
        <is>
          <t>CONFIRMATION</t>
        </is>
      </c>
      <c r="M2376" t="inlineStr">
        <is>
          <t>1948 BENTON ST SE</t>
        </is>
      </c>
      <c r="N2376">
        <f>RIGHT(M2376,LEN(M2376)-FIND(" ",M2376))</f>
        <v/>
      </c>
      <c r="P2376" t="inlineStr">
        <is>
          <t>WARREN</t>
        </is>
      </c>
      <c r="Q2376" t="inlineStr">
        <is>
          <t>OH</t>
        </is>
      </c>
      <c r="R2376" t="n">
        <v>44484</v>
      </c>
      <c r="AD2376" t="inlineStr">
        <is>
          <t>TRUMBULL CAREER &amp; TECH CENTER</t>
        </is>
      </c>
      <c r="AE2376" t="inlineStr">
        <is>
          <t>WARREN CITY</t>
        </is>
      </c>
      <c r="AF2376" t="inlineStr">
        <is>
          <t>WARREN CITY SD</t>
        </is>
      </c>
      <c r="AH2376" t="n">
        <v>14</v>
      </c>
      <c r="AI2376" t="n">
        <v>11</v>
      </c>
      <c r="AN2376" t="inlineStr">
        <is>
          <t>WARREN</t>
        </is>
      </c>
      <c r="AO2376" t="inlineStr">
        <is>
          <t>WARREN CITY 4F</t>
        </is>
      </c>
      <c r="AP2376" t="inlineStr">
        <is>
          <t>78-P-ADN</t>
        </is>
      </c>
      <c r="AQ2376" t="n">
        <v>9</v>
      </c>
      <c r="AR2376" t="n">
        <v>64</v>
      </c>
      <c r="AS2376" t="n">
        <v>32</v>
      </c>
      <c r="AU2376">
        <f>COUNTA($BA$2376:$EH$2376)</f>
        <v/>
      </c>
      <c r="AV2376">
        <f>COUNTIF($BA$2376:$EH$2376,"D")</f>
        <v/>
      </c>
      <c r="AW2376">
        <f>COUNTIF($BA$2376:$EH$2376,"R")</f>
        <v/>
      </c>
      <c r="AX2376">
        <f>IF(BN2376="D",1,0)+IF(BO2376="D",1,0)+IF(BT2376="D",1,0)+IF(BU2376="D",1,0)+IF(BW2376="D",1,0)+IF(CC2376="D",1,0)+IF(CD2376="D",1,0)+IF(CE2376="D",1,0)+IF(CF2376="D",1,0)+IF(CL2376="D",1,0)+IF(CM2376="D",1,0)+IF(CQ2376="D",1,0)+IF(CR2376="D",1,0)+IF(CS2376="D",1,0)+IF(CW2376="D",1,0)+IF(CX2376="D",1,0)+IF(DD2376="D",1,0)+IF(DE2376="D",1,0)+IF(DJ2376="D",1,0)+IF(DK2376="D",1,0)+IF(DO2376="D",1,0)+IF(DP2376="D",1,0)+IF(DQ2376="D",1,0)+IF(DW2376="D",1,0)+IF(DZ2376="D",1,0)+IF(EH2376="D",1,0)</f>
        <v/>
      </c>
      <c r="AY2376">
        <f>IF(DJ2376&lt;&gt;"",1,0)+IF(DK2376&lt;&gt;"",1,0)+IF(DM2376&lt;&gt;"",1,0)+IF(DO2376&lt;&gt;"",1,0)+IF(DP2376&lt;&gt;"",1,0)+IF(DQ2376&lt;&gt;"",1,0)+IF(DS2376&lt;&gt;"",1,0)+IF(DT2376&lt;&gt;"",1,0)+IF(DV2376&lt;&gt;"",1,0)+IF(DW2376&lt;&gt;"",1,0)+IF(DX2376&lt;&gt;"",1,0)+IF(DY2376&lt;&gt;"",1,0)+IF(DZ2376&lt;&gt;"",1,0)+IF(EB2376&lt;&gt;"",1,0)+IF(EC2376&lt;&gt;"",1,0)+IF(ED2376&lt;&gt;"",1,0)+IF(EG2376&lt;&gt;"",1,0)+IF(EH2376&lt;&gt;"",1,0)</f>
        <v/>
      </c>
      <c r="AZ2376">
        <f>IF(EH2376&lt;&gt;"",1,0)</f>
        <v/>
      </c>
      <c r="BB2376" t="inlineStr">
        <is>
          <t>WARREN-WARD 4</t>
        </is>
      </c>
      <c r="DN2376" t="inlineStr">
        <is>
          <t>X</t>
        </is>
      </c>
    </row>
    <row r="2377">
      <c r="A2377" t="inlineStr">
        <is>
          <t>OH0019765518</t>
        </is>
      </c>
      <c r="B2377" t="n">
        <v>78</v>
      </c>
      <c r="C2377" t="n">
        <v>358565</v>
      </c>
      <c r="D2377" t="inlineStr">
        <is>
          <t>MONDAY</t>
        </is>
      </c>
      <c r="E2377" t="inlineStr">
        <is>
          <t>LINDA</t>
        </is>
      </c>
      <c r="F2377">
        <f>CONCATENATE(D2377," ",LEFT(H2377,4),"T=",AU2377,"D=",AV2377,"R=",AW2377,"M=",AX2377,"L=",AY2377,"B=",AZ2377)</f>
        <v/>
      </c>
      <c r="G2377" t="inlineStr">
        <is>
          <t>L</t>
        </is>
      </c>
      <c r="I2377" t="inlineStr">
        <is>
          <t>1954-08-29</t>
        </is>
      </c>
      <c r="J2377" t="inlineStr">
        <is>
          <t>2012-11-21</t>
        </is>
      </c>
      <c r="K2377" t="inlineStr">
        <is>
          <t>ACTIVE</t>
        </is>
      </c>
      <c r="M2377" t="inlineStr">
        <is>
          <t>1964 WICK ST SE</t>
        </is>
      </c>
      <c r="N2377">
        <f>RIGHT(M2377,LEN(M2377)-FIND(" ",M2377))</f>
        <v/>
      </c>
      <c r="P2377" t="inlineStr">
        <is>
          <t>WARREN</t>
        </is>
      </c>
      <c r="Q2377" t="inlineStr">
        <is>
          <t>OH</t>
        </is>
      </c>
      <c r="R2377" t="n">
        <v>44484</v>
      </c>
      <c r="AD2377" t="inlineStr">
        <is>
          <t>TRUMBULL CAREER &amp; TECH CENTER</t>
        </is>
      </c>
      <c r="AE2377" t="inlineStr">
        <is>
          <t>WARREN CITY</t>
        </is>
      </c>
      <c r="AF2377" t="inlineStr">
        <is>
          <t>WARREN CITY SD</t>
        </is>
      </c>
      <c r="AH2377" t="n">
        <v>14</v>
      </c>
      <c r="AI2377" t="n">
        <v>11</v>
      </c>
      <c r="AN2377" t="inlineStr">
        <is>
          <t>WARREN</t>
        </is>
      </c>
      <c r="AO2377" t="inlineStr">
        <is>
          <t>WARREN CITY 4F</t>
        </is>
      </c>
      <c r="AP2377" t="inlineStr">
        <is>
          <t>78-P-ADN</t>
        </is>
      </c>
      <c r="AQ2377" t="n">
        <v>9</v>
      </c>
      <c r="AR2377" t="n">
        <v>64</v>
      </c>
      <c r="AS2377" t="n">
        <v>32</v>
      </c>
      <c r="AU2377">
        <f>COUNTA($BA$2377:$EH$2377)</f>
        <v/>
      </c>
      <c r="AV2377">
        <f>COUNTIF($BA$2377:$EH$2377,"D")</f>
        <v/>
      </c>
      <c r="AW2377">
        <f>COUNTIF($BA$2377:$EH$2377,"R")</f>
        <v/>
      </c>
      <c r="AX2377">
        <f>IF(BN2377="D",1,0)+IF(BO2377="D",1,0)+IF(BT2377="D",1,0)+IF(BU2377="D",1,0)+IF(BW2377="D",1,0)+IF(CC2377="D",1,0)+IF(CD2377="D",1,0)+IF(CE2377="D",1,0)+IF(CF2377="D",1,0)+IF(CL2377="D",1,0)+IF(CM2377="D",1,0)+IF(CQ2377="D",1,0)+IF(CR2377="D",1,0)+IF(CS2377="D",1,0)+IF(CW2377="D",1,0)+IF(CX2377="D",1,0)+IF(DD2377="D",1,0)+IF(DE2377="D",1,0)+IF(DJ2377="D",1,0)+IF(DK2377="D",1,0)+IF(DO2377="D",1,0)+IF(DP2377="D",1,0)+IF(DQ2377="D",1,0)+IF(DW2377="D",1,0)+IF(DZ2377="D",1,0)+IF(EH2377="D",1,0)</f>
        <v/>
      </c>
      <c r="AY2377">
        <f>IF(DJ2377&lt;&gt;"",1,0)+IF(DK2377&lt;&gt;"",1,0)+IF(DM2377&lt;&gt;"",1,0)+IF(DO2377&lt;&gt;"",1,0)+IF(DP2377&lt;&gt;"",1,0)+IF(DQ2377&lt;&gt;"",1,0)+IF(DS2377&lt;&gt;"",1,0)+IF(DT2377&lt;&gt;"",1,0)+IF(DV2377&lt;&gt;"",1,0)+IF(DW2377&lt;&gt;"",1,0)+IF(DX2377&lt;&gt;"",1,0)+IF(DY2377&lt;&gt;"",1,0)+IF(DZ2377&lt;&gt;"",1,0)+IF(EB2377&lt;&gt;"",1,0)+IF(EC2377&lt;&gt;"",1,0)+IF(ED2377&lt;&gt;"",1,0)+IF(EG2377&lt;&gt;"",1,0)+IF(EH2377&lt;&gt;"",1,0)</f>
        <v/>
      </c>
      <c r="AZ2377">
        <f>IF(EH2377&lt;&gt;"",1,0)</f>
        <v/>
      </c>
      <c r="BB2377" t="inlineStr">
        <is>
          <t>WARREN-WARD 4</t>
        </is>
      </c>
      <c r="CA2377" t="inlineStr">
        <is>
          <t>X</t>
        </is>
      </c>
      <c r="CP2377" t="inlineStr">
        <is>
          <t>X</t>
        </is>
      </c>
      <c r="CY2377" t="inlineStr">
        <is>
          <t>X</t>
        </is>
      </c>
      <c r="DC2377" t="inlineStr">
        <is>
          <t>X</t>
        </is>
      </c>
      <c r="DI2377" t="inlineStr">
        <is>
          <t>X</t>
        </is>
      </c>
      <c r="DN2377" t="inlineStr">
        <is>
          <t>X</t>
        </is>
      </c>
      <c r="DU2377" t="inlineStr">
        <is>
          <t>X</t>
        </is>
      </c>
      <c r="EF2377" t="inlineStr">
        <is>
          <t>X</t>
        </is>
      </c>
    </row>
    <row r="2378">
      <c r="A2378" t="inlineStr">
        <is>
          <t>OH0026024361</t>
        </is>
      </c>
      <c r="B2378" t="n">
        <v>78</v>
      </c>
      <c r="C2378" t="n">
        <v>454581</v>
      </c>
      <c r="D2378" t="inlineStr">
        <is>
          <t>SMIGUEL</t>
        </is>
      </c>
      <c r="E2378" t="inlineStr">
        <is>
          <t>ROBERTO</t>
        </is>
      </c>
      <c r="F2378">
        <f>CONCATENATE(D2378," ",LEFT(H2378,4),"T=",AU2378,"D=",AV2378,"R=",AW2378,"M=",AX2378,"L=",AY2378,"B=",AZ2378)</f>
        <v/>
      </c>
      <c r="G2378" t="inlineStr">
        <is>
          <t>L</t>
        </is>
      </c>
      <c r="I2378" t="inlineStr">
        <is>
          <t>1998-10-31</t>
        </is>
      </c>
      <c r="J2378" t="inlineStr">
        <is>
          <t>2024-08-07</t>
        </is>
      </c>
      <c r="K2378" t="inlineStr">
        <is>
          <t>ACTIVE</t>
        </is>
      </c>
      <c r="M2378" t="inlineStr">
        <is>
          <t>1546 KENILWORTH AVE SE</t>
        </is>
      </c>
      <c r="N2378">
        <f>RIGHT(M2378,LEN(M2378)-FIND(" ",M2378))</f>
        <v/>
      </c>
      <c r="P2378" t="inlineStr">
        <is>
          <t>WARREN</t>
        </is>
      </c>
      <c r="Q2378" t="inlineStr">
        <is>
          <t>OH</t>
        </is>
      </c>
      <c r="R2378" t="n">
        <v>44484</v>
      </c>
      <c r="AD2378" t="inlineStr">
        <is>
          <t>TRUMBULL CAREER &amp; TECH CENTER</t>
        </is>
      </c>
      <c r="AE2378" t="inlineStr">
        <is>
          <t>WARREN CITY</t>
        </is>
      </c>
      <c r="AF2378" t="inlineStr">
        <is>
          <t>WARREN CITY SD</t>
        </is>
      </c>
      <c r="AH2378" t="n">
        <v>14</v>
      </c>
      <c r="AI2378" t="n">
        <v>11</v>
      </c>
      <c r="AN2378" t="inlineStr">
        <is>
          <t>WARREN</t>
        </is>
      </c>
      <c r="AO2378" t="inlineStr">
        <is>
          <t>WARREN CITY 4F</t>
        </is>
      </c>
      <c r="AP2378" t="inlineStr">
        <is>
          <t>78-P-ADN</t>
        </is>
      </c>
      <c r="AQ2378" t="n">
        <v>9</v>
      </c>
      <c r="AR2378" t="n">
        <v>64</v>
      </c>
      <c r="AS2378" t="n">
        <v>32</v>
      </c>
      <c r="AU2378">
        <f>COUNTA($BA$2378:$EH$2378)</f>
        <v/>
      </c>
      <c r="AV2378">
        <f>COUNTIF($BA$2378:$EH$2378,"D")</f>
        <v/>
      </c>
      <c r="AW2378">
        <f>COUNTIF($BA$2378:$EH$2378,"R")</f>
        <v/>
      </c>
      <c r="AX2378">
        <f>IF(BN2378="D",1,0)+IF(BO2378="D",1,0)+IF(BT2378="D",1,0)+IF(BU2378="D",1,0)+IF(BW2378="D",1,0)+IF(CC2378="D",1,0)+IF(CD2378="D",1,0)+IF(CE2378="D",1,0)+IF(CF2378="D",1,0)+IF(CL2378="D",1,0)+IF(CM2378="D",1,0)+IF(CQ2378="D",1,0)+IF(CR2378="D",1,0)+IF(CS2378="D",1,0)+IF(CW2378="D",1,0)+IF(CX2378="D",1,0)+IF(DD2378="D",1,0)+IF(DE2378="D",1,0)+IF(DJ2378="D",1,0)+IF(DK2378="D",1,0)+IF(DO2378="D",1,0)+IF(DP2378="D",1,0)+IF(DQ2378="D",1,0)+IF(DW2378="D",1,0)+IF(DZ2378="D",1,0)+IF(EH2378="D",1,0)</f>
        <v/>
      </c>
      <c r="AY2378">
        <f>IF(DJ2378&lt;&gt;"",1,0)+IF(DK2378&lt;&gt;"",1,0)+IF(DM2378&lt;&gt;"",1,0)+IF(DO2378&lt;&gt;"",1,0)+IF(DP2378&lt;&gt;"",1,0)+IF(DQ2378&lt;&gt;"",1,0)+IF(DS2378&lt;&gt;"",1,0)+IF(DT2378&lt;&gt;"",1,0)+IF(DV2378&lt;&gt;"",1,0)+IF(DW2378&lt;&gt;"",1,0)+IF(DX2378&lt;&gt;"",1,0)+IF(DY2378&lt;&gt;"",1,0)+IF(DZ2378&lt;&gt;"",1,0)+IF(EB2378&lt;&gt;"",1,0)+IF(EC2378&lt;&gt;"",1,0)+IF(ED2378&lt;&gt;"",1,0)+IF(EG2378&lt;&gt;"",1,0)+IF(EH2378&lt;&gt;"",1,0)</f>
        <v/>
      </c>
      <c r="AZ2378">
        <f>IF(EH2378&lt;&gt;"",1,0)</f>
        <v/>
      </c>
      <c r="BB2378" t="inlineStr">
        <is>
          <t>WARREN-WARD 4</t>
        </is>
      </c>
      <c r="DN2378" t="inlineStr">
        <is>
          <t>X</t>
        </is>
      </c>
    </row>
    <row r="2379">
      <c r="A2379" t="inlineStr">
        <is>
          <t>OH0023330371</t>
        </is>
      </c>
      <c r="B2379" t="n">
        <v>78</v>
      </c>
      <c r="C2379" t="n">
        <v>410405</v>
      </c>
      <c r="D2379" t="inlineStr">
        <is>
          <t>WILLIAMS</t>
        </is>
      </c>
      <c r="E2379" t="inlineStr">
        <is>
          <t>LUCINDA</t>
        </is>
      </c>
      <c r="F2379">
        <f>CONCATENATE(D2379," ",LEFT(H2379,4),"T=",AU2379,"D=",AV2379,"R=",AW2379,"M=",AX2379,"L=",AY2379,"B=",AZ2379)</f>
        <v/>
      </c>
      <c r="G2379" t="inlineStr">
        <is>
          <t>E</t>
        </is>
      </c>
      <c r="I2379" t="inlineStr">
        <is>
          <t>1982-03-17</t>
        </is>
      </c>
      <c r="J2379" t="inlineStr">
        <is>
          <t>2016-04-26</t>
        </is>
      </c>
      <c r="K2379" t="inlineStr">
        <is>
          <t>CONFIRMATION</t>
        </is>
      </c>
      <c r="M2379" t="inlineStr">
        <is>
          <t>2867 DUKE AVE SE</t>
        </is>
      </c>
      <c r="N2379">
        <f>RIGHT(M2379,LEN(M2379)-FIND(" ",M2379))</f>
        <v/>
      </c>
      <c r="P2379" t="inlineStr">
        <is>
          <t>WARREN</t>
        </is>
      </c>
      <c r="Q2379" t="inlineStr">
        <is>
          <t>OH</t>
        </is>
      </c>
      <c r="R2379" t="n">
        <v>44484</v>
      </c>
      <c r="AD2379" t="inlineStr">
        <is>
          <t>TRUMBULL CAREER &amp; TECH CENTER</t>
        </is>
      </c>
      <c r="AE2379" t="inlineStr">
        <is>
          <t>WARREN CITY</t>
        </is>
      </c>
      <c r="AF2379" t="inlineStr">
        <is>
          <t>WARREN CITY SD</t>
        </is>
      </c>
      <c r="AH2379" t="n">
        <v>14</v>
      </c>
      <c r="AI2379" t="n">
        <v>11</v>
      </c>
      <c r="AN2379" t="inlineStr">
        <is>
          <t>WARREN</t>
        </is>
      </c>
      <c r="AO2379" t="inlineStr">
        <is>
          <t>WARREN CITY 4F</t>
        </is>
      </c>
      <c r="AP2379" t="inlineStr">
        <is>
          <t>78-P-ADN</t>
        </is>
      </c>
      <c r="AQ2379" t="n">
        <v>9</v>
      </c>
      <c r="AR2379" t="n">
        <v>64</v>
      </c>
      <c r="AS2379" t="n">
        <v>32</v>
      </c>
      <c r="AU2379">
        <f>COUNTA($BA$2379:$EH$2379)</f>
        <v/>
      </c>
      <c r="AV2379">
        <f>COUNTIF($BA$2379:$EH$2379,"D")</f>
        <v/>
      </c>
      <c r="AW2379">
        <f>COUNTIF($BA$2379:$EH$2379,"R")</f>
        <v/>
      </c>
      <c r="AX2379">
        <f>IF(BN2379="D",1,0)+IF(BO2379="D",1,0)+IF(BT2379="D",1,0)+IF(BU2379="D",1,0)+IF(BW2379="D",1,0)+IF(CC2379="D",1,0)+IF(CD2379="D",1,0)+IF(CE2379="D",1,0)+IF(CF2379="D",1,0)+IF(CL2379="D",1,0)+IF(CM2379="D",1,0)+IF(CQ2379="D",1,0)+IF(CR2379="D",1,0)+IF(CS2379="D",1,0)+IF(CW2379="D",1,0)+IF(CX2379="D",1,0)+IF(DD2379="D",1,0)+IF(DE2379="D",1,0)+IF(DJ2379="D",1,0)+IF(DK2379="D",1,0)+IF(DO2379="D",1,0)+IF(DP2379="D",1,0)+IF(DQ2379="D",1,0)+IF(DW2379="D",1,0)+IF(DZ2379="D",1,0)+IF(EH2379="D",1,0)</f>
        <v/>
      </c>
      <c r="AY2379">
        <f>IF(DJ2379&lt;&gt;"",1,0)+IF(DK2379&lt;&gt;"",1,0)+IF(DM2379&lt;&gt;"",1,0)+IF(DO2379&lt;&gt;"",1,0)+IF(DP2379&lt;&gt;"",1,0)+IF(DQ2379&lt;&gt;"",1,0)+IF(DS2379&lt;&gt;"",1,0)+IF(DT2379&lt;&gt;"",1,0)+IF(DV2379&lt;&gt;"",1,0)+IF(DW2379&lt;&gt;"",1,0)+IF(DX2379&lt;&gt;"",1,0)+IF(DY2379&lt;&gt;"",1,0)+IF(DZ2379&lt;&gt;"",1,0)+IF(EB2379&lt;&gt;"",1,0)+IF(EC2379&lt;&gt;"",1,0)+IF(ED2379&lt;&gt;"",1,0)+IF(EG2379&lt;&gt;"",1,0)+IF(EH2379&lt;&gt;"",1,0)</f>
        <v/>
      </c>
      <c r="AZ2379">
        <f>IF(EH2379&lt;&gt;"",1,0)</f>
        <v/>
      </c>
      <c r="BB2379" t="inlineStr">
        <is>
          <t>WARREN-WARD 4</t>
        </is>
      </c>
      <c r="CA2379" t="inlineStr">
        <is>
          <t>X</t>
        </is>
      </c>
      <c r="CP2379" t="inlineStr">
        <is>
          <t>X</t>
        </is>
      </c>
    </row>
    <row r="2380">
      <c r="A2380" t="inlineStr">
        <is>
          <t>OH0015781442</t>
        </is>
      </c>
      <c r="B2380" t="n">
        <v>78</v>
      </c>
      <c r="C2380" t="n">
        <v>309384</v>
      </c>
      <c r="D2380" t="inlineStr">
        <is>
          <t>BURGESS</t>
        </is>
      </c>
      <c r="E2380" t="inlineStr">
        <is>
          <t>KATRINA</t>
        </is>
      </c>
      <c r="F2380">
        <f>CONCATENATE(D2380," ",LEFT(H2380,4),"T=",AU2380,"D=",AV2380,"R=",AW2380,"M=",AX2380,"L=",AY2380,"B=",AZ2380)</f>
        <v/>
      </c>
      <c r="G2380" t="inlineStr">
        <is>
          <t>C</t>
        </is>
      </c>
      <c r="I2380" t="inlineStr">
        <is>
          <t>1967-09-09</t>
        </is>
      </c>
      <c r="J2380" t="inlineStr">
        <is>
          <t>2020-10-04</t>
        </is>
      </c>
      <c r="K2380" t="inlineStr">
        <is>
          <t>CONFIRMATION</t>
        </is>
      </c>
      <c r="M2380" t="inlineStr">
        <is>
          <t>2734 DUKE AVE SE</t>
        </is>
      </c>
      <c r="N2380">
        <f>RIGHT(M2380,LEN(M2380)-FIND(" ",M2380))</f>
        <v/>
      </c>
      <c r="P2380" t="inlineStr">
        <is>
          <t>WARREN</t>
        </is>
      </c>
      <c r="Q2380" t="inlineStr">
        <is>
          <t>OH</t>
        </is>
      </c>
      <c r="R2380" t="n">
        <v>44484</v>
      </c>
      <c r="AD2380" t="inlineStr">
        <is>
          <t>TRUMBULL CAREER &amp; TECH CENTER</t>
        </is>
      </c>
      <c r="AE2380" t="inlineStr">
        <is>
          <t>WARREN CITY</t>
        </is>
      </c>
      <c r="AF2380" t="inlineStr">
        <is>
          <t>WARREN CITY SD</t>
        </is>
      </c>
      <c r="AH2380" t="n">
        <v>14</v>
      </c>
      <c r="AI2380" t="n">
        <v>11</v>
      </c>
      <c r="AN2380" t="inlineStr">
        <is>
          <t>WARREN</t>
        </is>
      </c>
      <c r="AO2380" t="inlineStr">
        <is>
          <t>WARREN CITY 4F</t>
        </is>
      </c>
      <c r="AP2380" t="inlineStr">
        <is>
          <t>78-P-ADN</t>
        </is>
      </c>
      <c r="AQ2380" t="n">
        <v>9</v>
      </c>
      <c r="AR2380" t="n">
        <v>64</v>
      </c>
      <c r="AS2380" t="n">
        <v>32</v>
      </c>
      <c r="AU2380">
        <f>COUNTA($BA$2380:$EH$2380)</f>
        <v/>
      </c>
      <c r="AV2380">
        <f>COUNTIF($BA$2380:$EH$2380,"D")</f>
        <v/>
      </c>
      <c r="AW2380">
        <f>COUNTIF($BA$2380:$EH$2380,"R")</f>
        <v/>
      </c>
      <c r="AX2380">
        <f>IF(BN2380="D",1,0)+IF(BO2380="D",1,0)+IF(BT2380="D",1,0)+IF(BU2380="D",1,0)+IF(BW2380="D",1,0)+IF(CC2380="D",1,0)+IF(CD2380="D",1,0)+IF(CE2380="D",1,0)+IF(CF2380="D",1,0)+IF(CL2380="D",1,0)+IF(CM2380="D",1,0)+IF(CQ2380="D",1,0)+IF(CR2380="D",1,0)+IF(CS2380="D",1,0)+IF(CW2380="D",1,0)+IF(CX2380="D",1,0)+IF(DD2380="D",1,0)+IF(DE2380="D",1,0)+IF(DJ2380="D",1,0)+IF(DK2380="D",1,0)+IF(DO2380="D",1,0)+IF(DP2380="D",1,0)+IF(DQ2380="D",1,0)+IF(DW2380="D",1,0)+IF(DZ2380="D",1,0)+IF(EH2380="D",1,0)</f>
        <v/>
      </c>
      <c r="AY2380">
        <f>IF(DJ2380&lt;&gt;"",1,0)+IF(DK2380&lt;&gt;"",1,0)+IF(DM2380&lt;&gt;"",1,0)+IF(DO2380&lt;&gt;"",1,0)+IF(DP2380&lt;&gt;"",1,0)+IF(DQ2380&lt;&gt;"",1,0)+IF(DS2380&lt;&gt;"",1,0)+IF(DT2380&lt;&gt;"",1,0)+IF(DV2380&lt;&gt;"",1,0)+IF(DW2380&lt;&gt;"",1,0)+IF(DX2380&lt;&gt;"",1,0)+IF(DY2380&lt;&gt;"",1,0)+IF(DZ2380&lt;&gt;"",1,0)+IF(EB2380&lt;&gt;"",1,0)+IF(EC2380&lt;&gt;"",1,0)+IF(ED2380&lt;&gt;"",1,0)+IF(EG2380&lt;&gt;"",1,0)+IF(EH2380&lt;&gt;"",1,0)</f>
        <v/>
      </c>
      <c r="AZ2380">
        <f>IF(EH2380&lt;&gt;"",1,0)</f>
        <v/>
      </c>
      <c r="BB2380" t="inlineStr">
        <is>
          <t>WARREN-WARD 4</t>
        </is>
      </c>
      <c r="BY2380" t="inlineStr">
        <is>
          <t>D</t>
        </is>
      </c>
      <c r="CL2380" t="inlineStr">
        <is>
          <t>D</t>
        </is>
      </c>
      <c r="CN2380" t="inlineStr">
        <is>
          <t>X</t>
        </is>
      </c>
      <c r="CP2380" t="inlineStr">
        <is>
          <t>X</t>
        </is>
      </c>
      <c r="CZ2380" t="inlineStr">
        <is>
          <t>D</t>
        </is>
      </c>
      <c r="DC2380" t="inlineStr">
        <is>
          <t>X</t>
        </is>
      </c>
      <c r="DF2380" t="inlineStr">
        <is>
          <t>X</t>
        </is>
      </c>
    </row>
    <row r="2381">
      <c r="A2381" t="inlineStr">
        <is>
          <t>OH0023852022</t>
        </is>
      </c>
      <c r="B2381" t="n">
        <v>78</v>
      </c>
      <c r="C2381" t="n">
        <v>419074</v>
      </c>
      <c r="D2381" t="inlineStr">
        <is>
          <t>BURGESS</t>
        </is>
      </c>
      <c r="E2381" t="inlineStr">
        <is>
          <t>KRISTINA</t>
        </is>
      </c>
      <c r="F2381">
        <f>CONCATENATE(D2381," ",LEFT(H2381,4),"T=",AU2381,"D=",AV2381,"R=",AW2381,"M=",AX2381,"L=",AY2381,"B=",AZ2381)</f>
        <v/>
      </c>
      <c r="G2381" t="inlineStr">
        <is>
          <t>C</t>
        </is>
      </c>
      <c r="I2381" t="inlineStr">
        <is>
          <t>1986-09-20</t>
        </is>
      </c>
      <c r="J2381" t="inlineStr">
        <is>
          <t>2016-08-21</t>
        </is>
      </c>
      <c r="K2381" t="inlineStr">
        <is>
          <t>CONFIRMATION</t>
        </is>
      </c>
      <c r="M2381" t="inlineStr">
        <is>
          <t>1151 WOODBINE AVE SE</t>
        </is>
      </c>
      <c r="N2381">
        <f>RIGHT(M2381,LEN(M2381)-FIND(" ",M2381))</f>
        <v/>
      </c>
      <c r="P2381" t="inlineStr">
        <is>
          <t>WARREN</t>
        </is>
      </c>
      <c r="Q2381" t="inlineStr">
        <is>
          <t>OH</t>
        </is>
      </c>
      <c r="R2381" t="n">
        <v>44484</v>
      </c>
      <c r="AD2381" t="inlineStr">
        <is>
          <t>TRUMBULL CAREER &amp; TECH CENTER</t>
        </is>
      </c>
      <c r="AE2381" t="inlineStr">
        <is>
          <t>WARREN CITY</t>
        </is>
      </c>
      <c r="AF2381" t="inlineStr">
        <is>
          <t>WARREN CITY SD</t>
        </is>
      </c>
      <c r="AH2381" t="n">
        <v>14</v>
      </c>
      <c r="AI2381" t="n">
        <v>11</v>
      </c>
      <c r="AN2381" t="inlineStr">
        <is>
          <t>WARREN</t>
        </is>
      </c>
      <c r="AO2381" t="inlineStr">
        <is>
          <t>WARREN CITY 4F</t>
        </is>
      </c>
      <c r="AP2381" t="inlineStr">
        <is>
          <t>78-P-ADN</t>
        </is>
      </c>
      <c r="AQ2381" t="n">
        <v>9</v>
      </c>
      <c r="AR2381" t="n">
        <v>64</v>
      </c>
      <c r="AS2381" t="n">
        <v>32</v>
      </c>
      <c r="AU2381">
        <f>COUNTA($BA$2381:$EH$2381)</f>
        <v/>
      </c>
      <c r="AV2381">
        <f>COUNTIF($BA$2381:$EH$2381,"D")</f>
        <v/>
      </c>
      <c r="AW2381">
        <f>COUNTIF($BA$2381:$EH$2381,"R")</f>
        <v/>
      </c>
      <c r="AX2381">
        <f>IF(BN2381="D",1,0)+IF(BO2381="D",1,0)+IF(BT2381="D",1,0)+IF(BU2381="D",1,0)+IF(BW2381="D",1,0)+IF(CC2381="D",1,0)+IF(CD2381="D",1,0)+IF(CE2381="D",1,0)+IF(CF2381="D",1,0)+IF(CL2381="D",1,0)+IF(CM2381="D",1,0)+IF(CQ2381="D",1,0)+IF(CR2381="D",1,0)+IF(CS2381="D",1,0)+IF(CW2381="D",1,0)+IF(CX2381="D",1,0)+IF(DD2381="D",1,0)+IF(DE2381="D",1,0)+IF(DJ2381="D",1,0)+IF(DK2381="D",1,0)+IF(DO2381="D",1,0)+IF(DP2381="D",1,0)+IF(DQ2381="D",1,0)+IF(DW2381="D",1,0)+IF(DZ2381="D",1,0)+IF(EH2381="D",1,0)</f>
        <v/>
      </c>
      <c r="AY2381">
        <f>IF(DJ2381&lt;&gt;"",1,0)+IF(DK2381&lt;&gt;"",1,0)+IF(DM2381&lt;&gt;"",1,0)+IF(DO2381&lt;&gt;"",1,0)+IF(DP2381&lt;&gt;"",1,0)+IF(DQ2381&lt;&gt;"",1,0)+IF(DS2381&lt;&gt;"",1,0)+IF(DT2381&lt;&gt;"",1,0)+IF(DV2381&lt;&gt;"",1,0)+IF(DW2381&lt;&gt;"",1,0)+IF(DX2381&lt;&gt;"",1,0)+IF(DY2381&lt;&gt;"",1,0)+IF(DZ2381&lt;&gt;"",1,0)+IF(EB2381&lt;&gt;"",1,0)+IF(EC2381&lt;&gt;"",1,0)+IF(ED2381&lt;&gt;"",1,0)+IF(EG2381&lt;&gt;"",1,0)+IF(EH2381&lt;&gt;"",1,0)</f>
        <v/>
      </c>
      <c r="AZ2381">
        <f>IF(EH2381&lt;&gt;"",1,0)</f>
        <v/>
      </c>
      <c r="BB2381" t="inlineStr">
        <is>
          <t>WARREN-WARD 4</t>
        </is>
      </c>
    </row>
    <row r="2382">
      <c r="A2382" t="inlineStr">
        <is>
          <t>OH0025105405</t>
        </is>
      </c>
      <c r="B2382" t="n">
        <v>78</v>
      </c>
      <c r="C2382" t="n">
        <v>439464</v>
      </c>
      <c r="D2382" t="inlineStr">
        <is>
          <t>KIRKSEY</t>
        </is>
      </c>
      <c r="E2382" t="inlineStr">
        <is>
          <t>ANTHONY</t>
        </is>
      </c>
      <c r="F2382">
        <f>CONCATENATE(D2382," ",LEFT(H2382,4),"T=",AU2382,"D=",AV2382,"R=",AW2382,"M=",AX2382,"L=",AY2382,"B=",AZ2382)</f>
        <v/>
      </c>
      <c r="G2382" t="inlineStr">
        <is>
          <t>DELFON</t>
        </is>
      </c>
      <c r="H2382" t="inlineStr">
        <is>
          <t>JR</t>
        </is>
      </c>
      <c r="I2382" t="inlineStr">
        <is>
          <t>1998-12-09</t>
        </is>
      </c>
      <c r="J2382" t="inlineStr">
        <is>
          <t>2019-08-19</t>
        </is>
      </c>
      <c r="K2382" t="inlineStr">
        <is>
          <t>CONFIRMATION</t>
        </is>
      </c>
      <c r="M2382" t="inlineStr">
        <is>
          <t>2738 DUKE AVE SE</t>
        </is>
      </c>
      <c r="N2382">
        <f>RIGHT(M2382,LEN(M2382)-FIND(" ",M2382))</f>
        <v/>
      </c>
      <c r="P2382" t="inlineStr">
        <is>
          <t>WARREN</t>
        </is>
      </c>
      <c r="Q2382" t="inlineStr">
        <is>
          <t>OH</t>
        </is>
      </c>
      <c r="R2382" t="n">
        <v>44484</v>
      </c>
      <c r="AD2382" t="inlineStr">
        <is>
          <t>TRUMBULL CAREER &amp; TECH CENTER</t>
        </is>
      </c>
      <c r="AE2382" t="inlineStr">
        <is>
          <t>WARREN CITY</t>
        </is>
      </c>
      <c r="AF2382" t="inlineStr">
        <is>
          <t>WARREN CITY SD</t>
        </is>
      </c>
      <c r="AH2382" t="n">
        <v>14</v>
      </c>
      <c r="AI2382" t="n">
        <v>11</v>
      </c>
      <c r="AN2382" t="inlineStr">
        <is>
          <t>WARREN</t>
        </is>
      </c>
      <c r="AO2382" t="inlineStr">
        <is>
          <t>WARREN CITY 4F</t>
        </is>
      </c>
      <c r="AP2382" t="inlineStr">
        <is>
          <t>78-P-ADN</t>
        </is>
      </c>
      <c r="AQ2382" t="n">
        <v>9</v>
      </c>
      <c r="AR2382" t="n">
        <v>64</v>
      </c>
      <c r="AS2382" t="n">
        <v>32</v>
      </c>
      <c r="AU2382">
        <f>COUNTA($BA$2382:$EH$2382)</f>
        <v/>
      </c>
      <c r="AV2382">
        <f>COUNTIF($BA$2382:$EH$2382,"D")</f>
        <v/>
      </c>
      <c r="AW2382">
        <f>COUNTIF($BA$2382:$EH$2382,"R")</f>
        <v/>
      </c>
      <c r="AX2382">
        <f>IF(BN2382="D",1,0)+IF(BO2382="D",1,0)+IF(BT2382="D",1,0)+IF(BU2382="D",1,0)+IF(BW2382="D",1,0)+IF(CC2382="D",1,0)+IF(CD2382="D",1,0)+IF(CE2382="D",1,0)+IF(CF2382="D",1,0)+IF(CL2382="D",1,0)+IF(CM2382="D",1,0)+IF(CQ2382="D",1,0)+IF(CR2382="D",1,0)+IF(CS2382="D",1,0)+IF(CW2382="D",1,0)+IF(CX2382="D",1,0)+IF(DD2382="D",1,0)+IF(DE2382="D",1,0)+IF(DJ2382="D",1,0)+IF(DK2382="D",1,0)+IF(DO2382="D",1,0)+IF(DP2382="D",1,0)+IF(DQ2382="D",1,0)+IF(DW2382="D",1,0)+IF(DZ2382="D",1,0)+IF(EH2382="D",1,0)</f>
        <v/>
      </c>
      <c r="AY2382">
        <f>IF(DJ2382&lt;&gt;"",1,0)+IF(DK2382&lt;&gt;"",1,0)+IF(DM2382&lt;&gt;"",1,0)+IF(DO2382&lt;&gt;"",1,0)+IF(DP2382&lt;&gt;"",1,0)+IF(DQ2382&lt;&gt;"",1,0)+IF(DS2382&lt;&gt;"",1,0)+IF(DT2382&lt;&gt;"",1,0)+IF(DV2382&lt;&gt;"",1,0)+IF(DW2382&lt;&gt;"",1,0)+IF(DX2382&lt;&gt;"",1,0)+IF(DY2382&lt;&gt;"",1,0)+IF(DZ2382&lt;&gt;"",1,0)+IF(EB2382&lt;&gt;"",1,0)+IF(EC2382&lt;&gt;"",1,0)+IF(ED2382&lt;&gt;"",1,0)+IF(EG2382&lt;&gt;"",1,0)+IF(EH2382&lt;&gt;"",1,0)</f>
        <v/>
      </c>
      <c r="AZ2382">
        <f>IF(EH2382&lt;&gt;"",1,0)</f>
        <v/>
      </c>
      <c r="BB2382" t="inlineStr">
        <is>
          <t>WARREN-WARD 4</t>
        </is>
      </c>
    </row>
    <row r="2383">
      <c r="A2383" t="inlineStr">
        <is>
          <t>OH0022306886</t>
        </is>
      </c>
      <c r="B2383" t="n">
        <v>78</v>
      </c>
      <c r="C2383" t="n">
        <v>393879</v>
      </c>
      <c r="D2383" t="inlineStr">
        <is>
          <t>BRESSLER</t>
        </is>
      </c>
      <c r="E2383" t="inlineStr">
        <is>
          <t>ROBERTA</t>
        </is>
      </c>
      <c r="F2383">
        <f>CONCATENATE(D2383," ",LEFT(H2383,4),"T=",AU2383,"D=",AV2383,"R=",AW2383,"M=",AX2383,"L=",AY2383,"B=",AZ2383)</f>
        <v/>
      </c>
      <c r="G2383" t="inlineStr">
        <is>
          <t>P</t>
        </is>
      </c>
      <c r="I2383" t="inlineStr">
        <is>
          <t>1966-12-10</t>
        </is>
      </c>
      <c r="J2383" t="inlineStr">
        <is>
          <t>2024-09-30</t>
        </is>
      </c>
      <c r="K2383" t="inlineStr">
        <is>
          <t>ACTIVE</t>
        </is>
      </c>
      <c r="M2383" t="inlineStr">
        <is>
          <t>1945 VAN WYE ST SE</t>
        </is>
      </c>
      <c r="N2383">
        <f>RIGHT(M2383,LEN(M2383)-FIND(" ",M2383))</f>
        <v/>
      </c>
      <c r="P2383" t="inlineStr">
        <is>
          <t>WARREN</t>
        </is>
      </c>
      <c r="Q2383" t="inlineStr">
        <is>
          <t>OH</t>
        </is>
      </c>
      <c r="R2383" t="n">
        <v>44484</v>
      </c>
      <c r="AD2383" t="inlineStr">
        <is>
          <t>TRUMBULL CAREER &amp; TECH CENTER</t>
        </is>
      </c>
      <c r="AE2383" t="inlineStr">
        <is>
          <t>WARREN CITY</t>
        </is>
      </c>
      <c r="AF2383" t="inlineStr">
        <is>
          <t>WARREN CITY SD</t>
        </is>
      </c>
      <c r="AH2383" t="n">
        <v>14</v>
      </c>
      <c r="AI2383" t="n">
        <v>11</v>
      </c>
      <c r="AN2383" t="inlineStr">
        <is>
          <t>WARREN</t>
        </is>
      </c>
      <c r="AO2383" t="inlineStr">
        <is>
          <t>WARREN CITY 4F</t>
        </is>
      </c>
      <c r="AP2383" t="inlineStr">
        <is>
          <t>78-P-ADN</t>
        </is>
      </c>
      <c r="AQ2383" t="n">
        <v>9</v>
      </c>
      <c r="AR2383" t="n">
        <v>64</v>
      </c>
      <c r="AS2383" t="n">
        <v>32</v>
      </c>
      <c r="AU2383">
        <f>COUNTA($BA$2383:$EH$2383)</f>
        <v/>
      </c>
      <c r="AV2383">
        <f>COUNTIF($BA$2383:$EH$2383,"D")</f>
        <v/>
      </c>
      <c r="AW2383">
        <f>COUNTIF($BA$2383:$EH$2383,"R")</f>
        <v/>
      </c>
      <c r="AX2383">
        <f>IF(BN2383="D",1,0)+IF(BO2383="D",1,0)+IF(BT2383="D",1,0)+IF(BU2383="D",1,0)+IF(BW2383="D",1,0)+IF(CC2383="D",1,0)+IF(CD2383="D",1,0)+IF(CE2383="D",1,0)+IF(CF2383="D",1,0)+IF(CL2383="D",1,0)+IF(CM2383="D",1,0)+IF(CQ2383="D",1,0)+IF(CR2383="D",1,0)+IF(CS2383="D",1,0)+IF(CW2383="D",1,0)+IF(CX2383="D",1,0)+IF(DD2383="D",1,0)+IF(DE2383="D",1,0)+IF(DJ2383="D",1,0)+IF(DK2383="D",1,0)+IF(DO2383="D",1,0)+IF(DP2383="D",1,0)+IF(DQ2383="D",1,0)+IF(DW2383="D",1,0)+IF(DZ2383="D",1,0)+IF(EH2383="D",1,0)</f>
        <v/>
      </c>
      <c r="AY2383">
        <f>IF(DJ2383&lt;&gt;"",1,0)+IF(DK2383&lt;&gt;"",1,0)+IF(DM2383&lt;&gt;"",1,0)+IF(DO2383&lt;&gt;"",1,0)+IF(DP2383&lt;&gt;"",1,0)+IF(DQ2383&lt;&gt;"",1,0)+IF(DS2383&lt;&gt;"",1,0)+IF(DT2383&lt;&gt;"",1,0)+IF(DV2383&lt;&gt;"",1,0)+IF(DW2383&lt;&gt;"",1,0)+IF(DX2383&lt;&gt;"",1,0)+IF(DY2383&lt;&gt;"",1,0)+IF(DZ2383&lt;&gt;"",1,0)+IF(EB2383&lt;&gt;"",1,0)+IF(EC2383&lt;&gt;"",1,0)+IF(ED2383&lt;&gt;"",1,0)+IF(EG2383&lt;&gt;"",1,0)+IF(EH2383&lt;&gt;"",1,0)</f>
        <v/>
      </c>
      <c r="AZ2383">
        <f>IF(EH2383&lt;&gt;"",1,0)</f>
        <v/>
      </c>
      <c r="BB2383" t="inlineStr">
        <is>
          <t>WARREN-WARD 4</t>
        </is>
      </c>
      <c r="CA2383" t="inlineStr">
        <is>
          <t>X</t>
        </is>
      </c>
      <c r="DI2383" t="inlineStr">
        <is>
          <t>X</t>
        </is>
      </c>
      <c r="DN2383" t="inlineStr">
        <is>
          <t>X</t>
        </is>
      </c>
    </row>
    <row r="2384">
      <c r="A2384" t="inlineStr">
        <is>
          <t>OH0027408037</t>
        </is>
      </c>
      <c r="B2384" t="n">
        <v>78</v>
      </c>
      <c r="C2384" t="n">
        <v>485702</v>
      </c>
      <c r="D2384" t="inlineStr">
        <is>
          <t>WHITAKER</t>
        </is>
      </c>
      <c r="E2384" t="inlineStr">
        <is>
          <t>CHRISTIAN</t>
        </is>
      </c>
      <c r="F2384">
        <f>CONCATENATE(D2384," ",LEFT(H2384,4),"T=",AU2384,"D=",AV2384,"R=",AW2384,"M=",AX2384,"L=",AY2384,"B=",AZ2384)</f>
        <v/>
      </c>
      <c r="G2384" t="inlineStr">
        <is>
          <t>J</t>
        </is>
      </c>
      <c r="I2384" t="inlineStr">
        <is>
          <t>2001-03-14</t>
        </is>
      </c>
      <c r="J2384" t="inlineStr">
        <is>
          <t>2024-09-27</t>
        </is>
      </c>
      <c r="K2384" t="inlineStr">
        <is>
          <t>ACTIVE</t>
        </is>
      </c>
      <c r="M2384" t="inlineStr">
        <is>
          <t>1586 ROMAN ST SE</t>
        </is>
      </c>
      <c r="N2384">
        <f>RIGHT(M2384,LEN(M2384)-FIND(" ",M2384))</f>
        <v/>
      </c>
      <c r="P2384" t="inlineStr">
        <is>
          <t>WARREN</t>
        </is>
      </c>
      <c r="Q2384" t="inlineStr">
        <is>
          <t>OH</t>
        </is>
      </c>
      <c r="R2384" t="n">
        <v>44484</v>
      </c>
      <c r="AD2384" t="inlineStr">
        <is>
          <t>TRUMBULL CAREER &amp; TECH CENTER</t>
        </is>
      </c>
      <c r="AE2384" t="inlineStr">
        <is>
          <t>WARREN CITY</t>
        </is>
      </c>
      <c r="AF2384" t="inlineStr">
        <is>
          <t>WARREN CITY SD</t>
        </is>
      </c>
      <c r="AH2384" t="n">
        <v>14</v>
      </c>
      <c r="AI2384" t="n">
        <v>11</v>
      </c>
      <c r="AN2384" t="inlineStr">
        <is>
          <t>WARREN</t>
        </is>
      </c>
      <c r="AO2384" t="inlineStr">
        <is>
          <t>WARREN CITY 4F</t>
        </is>
      </c>
      <c r="AP2384" t="inlineStr">
        <is>
          <t>78-P-ADN</t>
        </is>
      </c>
      <c r="AQ2384" t="n">
        <v>9</v>
      </c>
      <c r="AR2384" t="n">
        <v>64</v>
      </c>
      <c r="AS2384" t="n">
        <v>32</v>
      </c>
      <c r="AU2384">
        <f>COUNTA($BA$2384:$EH$2384)</f>
        <v/>
      </c>
      <c r="AV2384">
        <f>COUNTIF($BA$2384:$EH$2384,"D")</f>
        <v/>
      </c>
      <c r="AW2384">
        <f>COUNTIF($BA$2384:$EH$2384,"R")</f>
        <v/>
      </c>
      <c r="AX2384">
        <f>IF(BN2384="D",1,0)+IF(BO2384="D",1,0)+IF(BT2384="D",1,0)+IF(BU2384="D",1,0)+IF(BW2384="D",1,0)+IF(CC2384="D",1,0)+IF(CD2384="D",1,0)+IF(CE2384="D",1,0)+IF(CF2384="D",1,0)+IF(CL2384="D",1,0)+IF(CM2384="D",1,0)+IF(CQ2384="D",1,0)+IF(CR2384="D",1,0)+IF(CS2384="D",1,0)+IF(CW2384="D",1,0)+IF(CX2384="D",1,0)+IF(DD2384="D",1,0)+IF(DE2384="D",1,0)+IF(DJ2384="D",1,0)+IF(DK2384="D",1,0)+IF(DO2384="D",1,0)+IF(DP2384="D",1,0)+IF(DQ2384="D",1,0)+IF(DW2384="D",1,0)+IF(DZ2384="D",1,0)+IF(EH2384="D",1,0)</f>
        <v/>
      </c>
      <c r="AY2384">
        <f>IF(DJ2384&lt;&gt;"",1,0)+IF(DK2384&lt;&gt;"",1,0)+IF(DM2384&lt;&gt;"",1,0)+IF(DO2384&lt;&gt;"",1,0)+IF(DP2384&lt;&gt;"",1,0)+IF(DQ2384&lt;&gt;"",1,0)+IF(DS2384&lt;&gt;"",1,0)+IF(DT2384&lt;&gt;"",1,0)+IF(DV2384&lt;&gt;"",1,0)+IF(DW2384&lt;&gt;"",1,0)+IF(DX2384&lt;&gt;"",1,0)+IF(DY2384&lt;&gt;"",1,0)+IF(DZ2384&lt;&gt;"",1,0)+IF(EB2384&lt;&gt;"",1,0)+IF(EC2384&lt;&gt;"",1,0)+IF(ED2384&lt;&gt;"",1,0)+IF(EG2384&lt;&gt;"",1,0)+IF(EH2384&lt;&gt;"",1,0)</f>
        <v/>
      </c>
      <c r="AZ2384">
        <f>IF(EH2384&lt;&gt;"",1,0)</f>
        <v/>
      </c>
      <c r="BB2384" t="inlineStr">
        <is>
          <t>WARREN-WARD 4</t>
        </is>
      </c>
    </row>
    <row r="2385">
      <c r="A2385" t="inlineStr">
        <is>
          <t>OH0022027250</t>
        </is>
      </c>
      <c r="B2385" t="n">
        <v>78</v>
      </c>
      <c r="C2385" t="n">
        <v>390522</v>
      </c>
      <c r="D2385" t="inlineStr">
        <is>
          <t>ROBISON</t>
        </is>
      </c>
      <c r="E2385" t="inlineStr">
        <is>
          <t>LAVETTE</t>
        </is>
      </c>
      <c r="F2385">
        <f>CONCATENATE(D2385," ",LEFT(H2385,4),"T=",AU2385,"D=",AV2385,"R=",AW2385,"M=",AX2385,"L=",AY2385,"B=",AZ2385)</f>
        <v/>
      </c>
      <c r="G2385" t="inlineStr">
        <is>
          <t>R</t>
        </is>
      </c>
      <c r="I2385" t="inlineStr">
        <is>
          <t>1967-08-17</t>
        </is>
      </c>
      <c r="J2385" t="inlineStr">
        <is>
          <t>2012-09-20</t>
        </is>
      </c>
      <c r="K2385" t="inlineStr">
        <is>
          <t>ACTIVE</t>
        </is>
      </c>
      <c r="M2385" t="inlineStr">
        <is>
          <t>1150 YOUNGSTOWN RD SE</t>
        </is>
      </c>
      <c r="N2385">
        <f>RIGHT(M2385,LEN(M2385)-FIND(" ",M2385))</f>
        <v/>
      </c>
      <c r="P2385" t="inlineStr">
        <is>
          <t>WARREN</t>
        </is>
      </c>
      <c r="Q2385" t="inlineStr">
        <is>
          <t>OH</t>
        </is>
      </c>
      <c r="R2385" t="n">
        <v>44484</v>
      </c>
      <c r="AD2385" t="inlineStr">
        <is>
          <t>TRUMBULL CAREER &amp; TECH CENTER</t>
        </is>
      </c>
      <c r="AE2385" t="inlineStr">
        <is>
          <t>WARREN CITY</t>
        </is>
      </c>
      <c r="AF2385" t="inlineStr">
        <is>
          <t>WARREN CITY SD</t>
        </is>
      </c>
      <c r="AH2385" t="n">
        <v>14</v>
      </c>
      <c r="AI2385" t="n">
        <v>11</v>
      </c>
      <c r="AN2385" t="inlineStr">
        <is>
          <t>WARREN</t>
        </is>
      </c>
      <c r="AO2385" t="inlineStr">
        <is>
          <t>WARREN CITY 4F</t>
        </is>
      </c>
      <c r="AP2385" t="inlineStr">
        <is>
          <t>78-P-ADN</t>
        </is>
      </c>
      <c r="AQ2385" t="n">
        <v>9</v>
      </c>
      <c r="AR2385" t="n">
        <v>64</v>
      </c>
      <c r="AS2385" t="n">
        <v>32</v>
      </c>
      <c r="AU2385">
        <f>COUNTA($BA$2385:$EH$2385)</f>
        <v/>
      </c>
      <c r="AV2385">
        <f>COUNTIF($BA$2385:$EH$2385,"D")</f>
        <v/>
      </c>
      <c r="AW2385">
        <f>COUNTIF($BA$2385:$EH$2385,"R")</f>
        <v/>
      </c>
      <c r="AX2385">
        <f>IF(BN2385="D",1,0)+IF(BO2385="D",1,0)+IF(BT2385="D",1,0)+IF(BU2385="D",1,0)+IF(BW2385="D",1,0)+IF(CC2385="D",1,0)+IF(CD2385="D",1,0)+IF(CE2385="D",1,0)+IF(CF2385="D",1,0)+IF(CL2385="D",1,0)+IF(CM2385="D",1,0)+IF(CQ2385="D",1,0)+IF(CR2385="D",1,0)+IF(CS2385="D",1,0)+IF(CW2385="D",1,0)+IF(CX2385="D",1,0)+IF(DD2385="D",1,0)+IF(DE2385="D",1,0)+IF(DJ2385="D",1,0)+IF(DK2385="D",1,0)+IF(DO2385="D",1,0)+IF(DP2385="D",1,0)+IF(DQ2385="D",1,0)+IF(DW2385="D",1,0)+IF(DZ2385="D",1,0)+IF(EH2385="D",1,0)</f>
        <v/>
      </c>
      <c r="AY2385">
        <f>IF(DJ2385&lt;&gt;"",1,0)+IF(DK2385&lt;&gt;"",1,0)+IF(DM2385&lt;&gt;"",1,0)+IF(DO2385&lt;&gt;"",1,0)+IF(DP2385&lt;&gt;"",1,0)+IF(DQ2385&lt;&gt;"",1,0)+IF(DS2385&lt;&gt;"",1,0)+IF(DT2385&lt;&gt;"",1,0)+IF(DV2385&lt;&gt;"",1,0)+IF(DW2385&lt;&gt;"",1,0)+IF(DX2385&lt;&gt;"",1,0)+IF(DY2385&lt;&gt;"",1,0)+IF(DZ2385&lt;&gt;"",1,0)+IF(EB2385&lt;&gt;"",1,0)+IF(EC2385&lt;&gt;"",1,0)+IF(ED2385&lt;&gt;"",1,0)+IF(EG2385&lt;&gt;"",1,0)+IF(EH2385&lt;&gt;"",1,0)</f>
        <v/>
      </c>
      <c r="AZ2385">
        <f>IF(EH2385&lt;&gt;"",1,0)</f>
        <v/>
      </c>
      <c r="BB2385" t="inlineStr">
        <is>
          <t>WARREN-WARD 4</t>
        </is>
      </c>
      <c r="CP2385" t="inlineStr">
        <is>
          <t>X</t>
        </is>
      </c>
      <c r="DC2385" t="inlineStr">
        <is>
          <t>X</t>
        </is>
      </c>
      <c r="DI2385" t="inlineStr">
        <is>
          <t>X</t>
        </is>
      </c>
      <c r="DN2385" t="inlineStr">
        <is>
          <t>X</t>
        </is>
      </c>
      <c r="DU2385" t="inlineStr">
        <is>
          <t>X</t>
        </is>
      </c>
      <c r="EF2385" t="inlineStr">
        <is>
          <t>X</t>
        </is>
      </c>
    </row>
    <row r="2386">
      <c r="A2386" t="inlineStr">
        <is>
          <t>OH0026420755</t>
        </is>
      </c>
      <c r="B2386" t="n">
        <v>78</v>
      </c>
      <c r="C2386" t="n">
        <v>461939</v>
      </c>
      <c r="D2386" t="inlineStr">
        <is>
          <t>CLUTTER</t>
        </is>
      </c>
      <c r="E2386" t="inlineStr">
        <is>
          <t>XAVIOR</t>
        </is>
      </c>
      <c r="F2386">
        <f>CONCATENATE(D2386," ",LEFT(H2386,4),"T=",AU2386,"D=",AV2386,"R=",AW2386,"M=",AX2386,"L=",AY2386,"B=",AZ2386)</f>
        <v/>
      </c>
      <c r="G2386" t="inlineStr">
        <is>
          <t>ALI</t>
        </is>
      </c>
      <c r="I2386" t="inlineStr">
        <is>
          <t>2001-10-17</t>
        </is>
      </c>
      <c r="J2386" t="inlineStr">
        <is>
          <t>2022-02-23</t>
        </is>
      </c>
      <c r="K2386" t="inlineStr">
        <is>
          <t>CONFIRMATION</t>
        </is>
      </c>
      <c r="M2386" t="inlineStr">
        <is>
          <t>964 COLUMBIA PL SE</t>
        </is>
      </c>
      <c r="N2386">
        <f>RIGHT(M2386,LEN(M2386)-FIND(" ",M2386))</f>
        <v/>
      </c>
      <c r="P2386" t="inlineStr">
        <is>
          <t>WARREN</t>
        </is>
      </c>
      <c r="Q2386" t="inlineStr">
        <is>
          <t>OH</t>
        </is>
      </c>
      <c r="R2386" t="n">
        <v>44484</v>
      </c>
      <c r="AD2386" t="inlineStr">
        <is>
          <t>TRUMBULL CAREER &amp; TECH CENTER</t>
        </is>
      </c>
      <c r="AE2386" t="inlineStr">
        <is>
          <t>WARREN CITY</t>
        </is>
      </c>
      <c r="AF2386" t="inlineStr">
        <is>
          <t>WARREN CITY SD</t>
        </is>
      </c>
      <c r="AH2386" t="n">
        <v>14</v>
      </c>
      <c r="AI2386" t="n">
        <v>11</v>
      </c>
      <c r="AN2386" t="inlineStr">
        <is>
          <t>WARREN</t>
        </is>
      </c>
      <c r="AO2386" t="inlineStr">
        <is>
          <t>WARREN CITY 4F</t>
        </is>
      </c>
      <c r="AP2386" t="inlineStr">
        <is>
          <t>78-P-ADN</t>
        </is>
      </c>
      <c r="AQ2386" t="n">
        <v>9</v>
      </c>
      <c r="AR2386" t="n">
        <v>64</v>
      </c>
      <c r="AS2386" t="n">
        <v>32</v>
      </c>
      <c r="AU2386">
        <f>COUNTA($BA$2386:$EH$2386)</f>
        <v/>
      </c>
      <c r="AV2386">
        <f>COUNTIF($BA$2386:$EH$2386,"D")</f>
        <v/>
      </c>
      <c r="AW2386">
        <f>COUNTIF($BA$2386:$EH$2386,"R")</f>
        <v/>
      </c>
      <c r="AX2386">
        <f>IF(BN2386="D",1,0)+IF(BO2386="D",1,0)+IF(BT2386="D",1,0)+IF(BU2386="D",1,0)+IF(BW2386="D",1,0)+IF(CC2386="D",1,0)+IF(CD2386="D",1,0)+IF(CE2386="D",1,0)+IF(CF2386="D",1,0)+IF(CL2386="D",1,0)+IF(CM2386="D",1,0)+IF(CQ2386="D",1,0)+IF(CR2386="D",1,0)+IF(CS2386="D",1,0)+IF(CW2386="D",1,0)+IF(CX2386="D",1,0)+IF(DD2386="D",1,0)+IF(DE2386="D",1,0)+IF(DJ2386="D",1,0)+IF(DK2386="D",1,0)+IF(DO2386="D",1,0)+IF(DP2386="D",1,0)+IF(DQ2386="D",1,0)+IF(DW2386="D",1,0)+IF(DZ2386="D",1,0)+IF(EH2386="D",1,0)</f>
        <v/>
      </c>
      <c r="AY2386">
        <f>IF(DJ2386&lt;&gt;"",1,0)+IF(DK2386&lt;&gt;"",1,0)+IF(DM2386&lt;&gt;"",1,0)+IF(DO2386&lt;&gt;"",1,0)+IF(DP2386&lt;&gt;"",1,0)+IF(DQ2386&lt;&gt;"",1,0)+IF(DS2386&lt;&gt;"",1,0)+IF(DT2386&lt;&gt;"",1,0)+IF(DV2386&lt;&gt;"",1,0)+IF(DW2386&lt;&gt;"",1,0)+IF(DX2386&lt;&gt;"",1,0)+IF(DY2386&lt;&gt;"",1,0)+IF(DZ2386&lt;&gt;"",1,0)+IF(EB2386&lt;&gt;"",1,0)+IF(EC2386&lt;&gt;"",1,0)+IF(ED2386&lt;&gt;"",1,0)+IF(EG2386&lt;&gt;"",1,0)+IF(EH2386&lt;&gt;"",1,0)</f>
        <v/>
      </c>
      <c r="AZ2386">
        <f>IF(EH2386&lt;&gt;"",1,0)</f>
        <v/>
      </c>
      <c r="BB2386" t="inlineStr">
        <is>
          <t>WARREN-WARD 4</t>
        </is>
      </c>
    </row>
    <row r="2387">
      <c r="A2387" t="inlineStr">
        <is>
          <t>OH0015697221</t>
        </is>
      </c>
      <c r="B2387" t="n">
        <v>78</v>
      </c>
      <c r="C2387" t="n">
        <v>153011</v>
      </c>
      <c r="D2387" t="inlineStr">
        <is>
          <t>DAWSON</t>
        </is>
      </c>
      <c r="E2387" t="inlineStr">
        <is>
          <t>ARLESIA</t>
        </is>
      </c>
      <c r="F2387">
        <f>CONCATENATE(D2387," ",LEFT(H2387,4),"T=",AU2387,"D=",AV2387,"R=",AW2387,"M=",AX2387,"L=",AY2387,"B=",AZ2387)</f>
        <v/>
      </c>
      <c r="I2387" t="inlineStr">
        <is>
          <t>1965-01-09</t>
        </is>
      </c>
      <c r="J2387" t="inlineStr">
        <is>
          <t>2018-05-22</t>
        </is>
      </c>
      <c r="K2387" t="inlineStr">
        <is>
          <t>ACTIVE</t>
        </is>
      </c>
      <c r="L2387" t="inlineStr">
        <is>
          <t>D</t>
        </is>
      </c>
      <c r="M2387" t="inlineStr">
        <is>
          <t>1905 WALLACE ST SE</t>
        </is>
      </c>
      <c r="N2387">
        <f>RIGHT(M2387,LEN(M2387)-FIND(" ",M2387))</f>
        <v/>
      </c>
      <c r="P2387" t="inlineStr">
        <is>
          <t>WARREN</t>
        </is>
      </c>
      <c r="Q2387" t="inlineStr">
        <is>
          <t>OH</t>
        </is>
      </c>
      <c r="R2387" t="n">
        <v>44484</v>
      </c>
      <c r="AD2387" t="inlineStr">
        <is>
          <t>TRUMBULL CAREER &amp; TECH CENTER</t>
        </is>
      </c>
      <c r="AE2387" t="inlineStr">
        <is>
          <t>WARREN CITY</t>
        </is>
      </c>
      <c r="AF2387" t="inlineStr">
        <is>
          <t>WARREN CITY SD</t>
        </is>
      </c>
      <c r="AH2387" t="n">
        <v>14</v>
      </c>
      <c r="AI2387" t="n">
        <v>11</v>
      </c>
      <c r="AN2387" t="inlineStr">
        <is>
          <t>WARREN</t>
        </is>
      </c>
      <c r="AO2387" t="inlineStr">
        <is>
          <t>WARREN CITY 4F</t>
        </is>
      </c>
      <c r="AP2387" t="inlineStr">
        <is>
          <t>78-P-ADN</t>
        </is>
      </c>
      <c r="AQ2387" t="n">
        <v>9</v>
      </c>
      <c r="AR2387" t="n">
        <v>64</v>
      </c>
      <c r="AS2387" t="n">
        <v>32</v>
      </c>
      <c r="AU2387">
        <f>COUNTA($BA$2387:$EH$2387)</f>
        <v/>
      </c>
      <c r="AV2387">
        <f>COUNTIF($BA$2387:$EH$2387,"D")</f>
        <v/>
      </c>
      <c r="AW2387">
        <f>COUNTIF($BA$2387:$EH$2387,"R")</f>
        <v/>
      </c>
      <c r="AX2387">
        <f>IF(BN2387="D",1,0)+IF(BO2387="D",1,0)+IF(BT2387="D",1,0)+IF(BU2387="D",1,0)+IF(BW2387="D",1,0)+IF(CC2387="D",1,0)+IF(CD2387="D",1,0)+IF(CE2387="D",1,0)+IF(CF2387="D",1,0)+IF(CL2387="D",1,0)+IF(CM2387="D",1,0)+IF(CQ2387="D",1,0)+IF(CR2387="D",1,0)+IF(CS2387="D",1,0)+IF(CW2387="D",1,0)+IF(CX2387="D",1,0)+IF(DD2387="D",1,0)+IF(DE2387="D",1,0)+IF(DJ2387="D",1,0)+IF(DK2387="D",1,0)+IF(DO2387="D",1,0)+IF(DP2387="D",1,0)+IF(DQ2387="D",1,0)+IF(DW2387="D",1,0)+IF(DZ2387="D",1,0)+IF(EH2387="D",1,0)</f>
        <v/>
      </c>
      <c r="AY2387">
        <f>IF(DJ2387&lt;&gt;"",1,0)+IF(DK2387&lt;&gt;"",1,0)+IF(DM2387&lt;&gt;"",1,0)+IF(DO2387&lt;&gt;"",1,0)+IF(DP2387&lt;&gt;"",1,0)+IF(DQ2387&lt;&gt;"",1,0)+IF(DS2387&lt;&gt;"",1,0)+IF(DT2387&lt;&gt;"",1,0)+IF(DV2387&lt;&gt;"",1,0)+IF(DW2387&lt;&gt;"",1,0)+IF(DX2387&lt;&gt;"",1,0)+IF(DY2387&lt;&gt;"",1,0)+IF(DZ2387&lt;&gt;"",1,0)+IF(EB2387&lt;&gt;"",1,0)+IF(EC2387&lt;&gt;"",1,0)+IF(ED2387&lt;&gt;"",1,0)+IF(EG2387&lt;&gt;"",1,0)+IF(EH2387&lt;&gt;"",1,0)</f>
        <v/>
      </c>
      <c r="AZ2387">
        <f>IF(EH2387&lt;&gt;"",1,0)</f>
        <v/>
      </c>
      <c r="BB2387" t="inlineStr">
        <is>
          <t>WARREN-WARD 4</t>
        </is>
      </c>
      <c r="BC2387" t="inlineStr">
        <is>
          <t>X</t>
        </is>
      </c>
      <c r="BD2387" t="inlineStr">
        <is>
          <t>X</t>
        </is>
      </c>
      <c r="BF2387" t="inlineStr">
        <is>
          <t>X</t>
        </is>
      </c>
      <c r="BG2387" t="inlineStr">
        <is>
          <t>X</t>
        </is>
      </c>
      <c r="BH2387" t="inlineStr">
        <is>
          <t>X</t>
        </is>
      </c>
      <c r="BI2387" t="inlineStr">
        <is>
          <t>X</t>
        </is>
      </c>
      <c r="BJ2387" t="inlineStr">
        <is>
          <t>X</t>
        </is>
      </c>
      <c r="BK2387" t="inlineStr">
        <is>
          <t>X</t>
        </is>
      </c>
      <c r="BL2387" t="inlineStr">
        <is>
          <t>X</t>
        </is>
      </c>
      <c r="BP2387" t="inlineStr">
        <is>
          <t>X</t>
        </is>
      </c>
      <c r="BR2387" t="inlineStr">
        <is>
          <t>X</t>
        </is>
      </c>
      <c r="BS2387" t="inlineStr">
        <is>
          <t>X</t>
        </is>
      </c>
      <c r="BY2387" t="inlineStr">
        <is>
          <t>D</t>
        </is>
      </c>
      <c r="CA2387" t="inlineStr">
        <is>
          <t>X</t>
        </is>
      </c>
      <c r="CG2387" t="inlineStr">
        <is>
          <t>X</t>
        </is>
      </c>
      <c r="CH2387" t="inlineStr">
        <is>
          <t>D</t>
        </is>
      </c>
      <c r="CK2387" t="inlineStr">
        <is>
          <t>X</t>
        </is>
      </c>
      <c r="CN2387" t="inlineStr">
        <is>
          <t>X</t>
        </is>
      </c>
      <c r="CO2387" t="inlineStr">
        <is>
          <t>D</t>
        </is>
      </c>
      <c r="CP2387" t="inlineStr">
        <is>
          <t>X</t>
        </is>
      </c>
      <c r="CT2387" t="inlineStr">
        <is>
          <t>X</t>
        </is>
      </c>
      <c r="CU2387" t="inlineStr">
        <is>
          <t>D</t>
        </is>
      </c>
      <c r="CV2387" t="inlineStr">
        <is>
          <t>X</t>
        </is>
      </c>
      <c r="CW2387" t="inlineStr">
        <is>
          <t>X</t>
        </is>
      </c>
      <c r="CY2387" t="inlineStr">
        <is>
          <t>X</t>
        </is>
      </c>
      <c r="CZ2387" t="inlineStr">
        <is>
          <t>D</t>
        </is>
      </c>
      <c r="DC2387" t="inlineStr">
        <is>
          <t>X</t>
        </is>
      </c>
      <c r="DF2387" t="inlineStr">
        <is>
          <t>X</t>
        </is>
      </c>
      <c r="DG2387" t="inlineStr">
        <is>
          <t>D</t>
        </is>
      </c>
      <c r="DI2387" t="inlineStr">
        <is>
          <t>X</t>
        </is>
      </c>
      <c r="DJ2387" t="inlineStr">
        <is>
          <t>D</t>
        </is>
      </c>
      <c r="DL2387" t="inlineStr">
        <is>
          <t>X</t>
        </is>
      </c>
      <c r="DM2387" t="inlineStr">
        <is>
          <t>D</t>
        </is>
      </c>
      <c r="DN2387" t="inlineStr">
        <is>
          <t>X</t>
        </is>
      </c>
      <c r="DR2387" t="inlineStr">
        <is>
          <t>X</t>
        </is>
      </c>
      <c r="DS2387" t="inlineStr">
        <is>
          <t>D</t>
        </is>
      </c>
      <c r="DT2387" t="inlineStr">
        <is>
          <t>D</t>
        </is>
      </c>
      <c r="DU2387" t="inlineStr">
        <is>
          <t>X</t>
        </is>
      </c>
      <c r="DW2387" t="inlineStr">
        <is>
          <t>D</t>
        </is>
      </c>
      <c r="DX2387" t="inlineStr">
        <is>
          <t>X</t>
        </is>
      </c>
      <c r="EA2387" t="inlineStr">
        <is>
          <t>X</t>
        </is>
      </c>
      <c r="ED2387" t="inlineStr">
        <is>
          <t>D</t>
        </is>
      </c>
      <c r="EF2387" t="inlineStr">
        <is>
          <t>X</t>
        </is>
      </c>
      <c r="EH2387" t="inlineStr">
        <is>
          <t>D</t>
        </is>
      </c>
    </row>
    <row r="2388">
      <c r="A2388" t="inlineStr">
        <is>
          <t>OH0027437563</t>
        </is>
      </c>
      <c r="B2388" t="n">
        <v>78</v>
      </c>
      <c r="C2388" t="n">
        <v>486160</v>
      </c>
      <c r="D2388" t="inlineStr">
        <is>
          <t>TIBBS</t>
        </is>
      </c>
      <c r="E2388" t="inlineStr">
        <is>
          <t>ANNA</t>
        </is>
      </c>
      <c r="F2388">
        <f>CONCATENATE(D2388," ",LEFT(H2388,4),"T=",AU2388,"D=",AV2388,"R=",AW2388,"M=",AX2388,"L=",AY2388,"B=",AZ2388)</f>
        <v/>
      </c>
      <c r="G2388" t="inlineStr">
        <is>
          <t>MARIE</t>
        </is>
      </c>
      <c r="I2388" t="inlineStr">
        <is>
          <t>2003-12-15</t>
        </is>
      </c>
      <c r="J2388" t="inlineStr">
        <is>
          <t>2024-07-21</t>
        </is>
      </c>
      <c r="K2388" t="inlineStr">
        <is>
          <t>ACTIVE</t>
        </is>
      </c>
      <c r="M2388" t="inlineStr">
        <is>
          <t>1071 WOODBINE AVE SE</t>
        </is>
      </c>
      <c r="N2388">
        <f>RIGHT(M2388,LEN(M2388)-FIND(" ",M2388))</f>
        <v/>
      </c>
      <c r="O2388" t="inlineStr">
        <is>
          <t>UNIT 1071</t>
        </is>
      </c>
      <c r="P2388" t="inlineStr">
        <is>
          <t>WARREN</t>
        </is>
      </c>
      <c r="Q2388" t="inlineStr">
        <is>
          <t>OH</t>
        </is>
      </c>
      <c r="R2388" t="n">
        <v>44484</v>
      </c>
      <c r="AD2388" t="inlineStr">
        <is>
          <t>TRUMBULL CAREER &amp; TECH CENTER</t>
        </is>
      </c>
      <c r="AE2388" t="inlineStr">
        <is>
          <t>WARREN CITY</t>
        </is>
      </c>
      <c r="AF2388" t="inlineStr">
        <is>
          <t>WARREN CITY SD</t>
        </is>
      </c>
      <c r="AH2388" t="n">
        <v>14</v>
      </c>
      <c r="AI2388" t="n">
        <v>11</v>
      </c>
      <c r="AN2388" t="inlineStr">
        <is>
          <t>WARREN</t>
        </is>
      </c>
      <c r="AO2388" t="inlineStr">
        <is>
          <t>WARREN CITY 4F</t>
        </is>
      </c>
      <c r="AP2388" t="inlineStr">
        <is>
          <t>78-P-ADN</t>
        </is>
      </c>
      <c r="AQ2388" t="n">
        <v>9</v>
      </c>
      <c r="AR2388" t="n">
        <v>64</v>
      </c>
      <c r="AS2388" t="n">
        <v>32</v>
      </c>
      <c r="AU2388">
        <f>COUNTA($BA$2388:$EH$2388)</f>
        <v/>
      </c>
      <c r="AV2388">
        <f>COUNTIF($BA$2388:$EH$2388,"D")</f>
        <v/>
      </c>
      <c r="AW2388">
        <f>COUNTIF($BA$2388:$EH$2388,"R")</f>
        <v/>
      </c>
      <c r="AX2388">
        <f>IF(BN2388="D",1,0)+IF(BO2388="D",1,0)+IF(BT2388="D",1,0)+IF(BU2388="D",1,0)+IF(BW2388="D",1,0)+IF(CC2388="D",1,0)+IF(CD2388="D",1,0)+IF(CE2388="D",1,0)+IF(CF2388="D",1,0)+IF(CL2388="D",1,0)+IF(CM2388="D",1,0)+IF(CQ2388="D",1,0)+IF(CR2388="D",1,0)+IF(CS2388="D",1,0)+IF(CW2388="D",1,0)+IF(CX2388="D",1,0)+IF(DD2388="D",1,0)+IF(DE2388="D",1,0)+IF(DJ2388="D",1,0)+IF(DK2388="D",1,0)+IF(DO2388="D",1,0)+IF(DP2388="D",1,0)+IF(DQ2388="D",1,0)+IF(DW2388="D",1,0)+IF(DZ2388="D",1,0)+IF(EH2388="D",1,0)</f>
        <v/>
      </c>
      <c r="AY2388">
        <f>IF(DJ2388&lt;&gt;"",1,0)+IF(DK2388&lt;&gt;"",1,0)+IF(DM2388&lt;&gt;"",1,0)+IF(DO2388&lt;&gt;"",1,0)+IF(DP2388&lt;&gt;"",1,0)+IF(DQ2388&lt;&gt;"",1,0)+IF(DS2388&lt;&gt;"",1,0)+IF(DT2388&lt;&gt;"",1,0)+IF(DV2388&lt;&gt;"",1,0)+IF(DW2388&lt;&gt;"",1,0)+IF(DX2388&lt;&gt;"",1,0)+IF(DY2388&lt;&gt;"",1,0)+IF(DZ2388&lt;&gt;"",1,0)+IF(EB2388&lt;&gt;"",1,0)+IF(EC2388&lt;&gt;"",1,0)+IF(ED2388&lt;&gt;"",1,0)+IF(EG2388&lt;&gt;"",1,0)+IF(EH2388&lt;&gt;"",1,0)</f>
        <v/>
      </c>
      <c r="AZ2388">
        <f>IF(EH2388&lt;&gt;"",1,0)</f>
        <v/>
      </c>
      <c r="BB2388" t="inlineStr">
        <is>
          <t>WARREN-WARD 4</t>
        </is>
      </c>
      <c r="EF2388" t="inlineStr">
        <is>
          <t>X</t>
        </is>
      </c>
    </row>
    <row r="2389">
      <c r="A2389" t="inlineStr">
        <is>
          <t>OH0025159073</t>
        </is>
      </c>
      <c r="B2389" t="n">
        <v>78</v>
      </c>
      <c r="C2389" t="n">
        <v>440601</v>
      </c>
      <c r="D2389" t="inlineStr">
        <is>
          <t>BURNFIELD</t>
        </is>
      </c>
      <c r="E2389" t="inlineStr">
        <is>
          <t>ANDREW</t>
        </is>
      </c>
      <c r="F2389">
        <f>CONCATENATE(D2389," ",LEFT(H2389,4),"T=",AU2389,"D=",AV2389,"R=",AW2389,"M=",AX2389,"L=",AY2389,"B=",AZ2389)</f>
        <v/>
      </c>
      <c r="G2389" t="inlineStr">
        <is>
          <t>TYLER</t>
        </is>
      </c>
      <c r="I2389" t="inlineStr">
        <is>
          <t>1999-12-18</t>
        </is>
      </c>
      <c r="J2389" t="inlineStr">
        <is>
          <t>2019-07-27</t>
        </is>
      </c>
      <c r="K2389" t="inlineStr">
        <is>
          <t>ACTIVE</t>
        </is>
      </c>
      <c r="M2389" t="inlineStr">
        <is>
          <t>965 COLUMBIA PL SE</t>
        </is>
      </c>
      <c r="N2389">
        <f>RIGHT(M2389,LEN(M2389)-FIND(" ",M2389))</f>
        <v/>
      </c>
      <c r="P2389" t="inlineStr">
        <is>
          <t>WARREN</t>
        </is>
      </c>
      <c r="Q2389" t="inlineStr">
        <is>
          <t>OH</t>
        </is>
      </c>
      <c r="R2389" t="n">
        <v>44484</v>
      </c>
      <c r="AD2389" t="inlineStr">
        <is>
          <t>TRUMBULL CAREER &amp; TECH CENTER</t>
        </is>
      </c>
      <c r="AE2389" t="inlineStr">
        <is>
          <t>WARREN CITY</t>
        </is>
      </c>
      <c r="AF2389" t="inlineStr">
        <is>
          <t>WARREN CITY SD</t>
        </is>
      </c>
      <c r="AH2389" t="n">
        <v>14</v>
      </c>
      <c r="AI2389" t="n">
        <v>11</v>
      </c>
      <c r="AN2389" t="inlineStr">
        <is>
          <t>WARREN</t>
        </is>
      </c>
      <c r="AO2389" t="inlineStr">
        <is>
          <t>WARREN CITY 4F</t>
        </is>
      </c>
      <c r="AP2389" t="inlineStr">
        <is>
          <t>78-P-ADN</t>
        </is>
      </c>
      <c r="AQ2389" t="n">
        <v>9</v>
      </c>
      <c r="AR2389" t="n">
        <v>64</v>
      </c>
      <c r="AS2389" t="n">
        <v>32</v>
      </c>
      <c r="AU2389">
        <f>COUNTA($BA$2389:$EH$2389)</f>
        <v/>
      </c>
      <c r="AV2389">
        <f>COUNTIF($BA$2389:$EH$2389,"D")</f>
        <v/>
      </c>
      <c r="AW2389">
        <f>COUNTIF($BA$2389:$EH$2389,"R")</f>
        <v/>
      </c>
      <c r="AX2389">
        <f>IF(BN2389="D",1,0)+IF(BO2389="D",1,0)+IF(BT2389="D",1,0)+IF(BU2389="D",1,0)+IF(BW2389="D",1,0)+IF(CC2389="D",1,0)+IF(CD2389="D",1,0)+IF(CE2389="D",1,0)+IF(CF2389="D",1,0)+IF(CL2389="D",1,0)+IF(CM2389="D",1,0)+IF(CQ2389="D",1,0)+IF(CR2389="D",1,0)+IF(CS2389="D",1,0)+IF(CW2389="D",1,0)+IF(CX2389="D",1,0)+IF(DD2389="D",1,0)+IF(DE2389="D",1,0)+IF(DJ2389="D",1,0)+IF(DK2389="D",1,0)+IF(DO2389="D",1,0)+IF(DP2389="D",1,0)+IF(DQ2389="D",1,0)+IF(DW2389="D",1,0)+IF(DZ2389="D",1,0)+IF(EH2389="D",1,0)</f>
        <v/>
      </c>
      <c r="AY2389">
        <f>IF(DJ2389&lt;&gt;"",1,0)+IF(DK2389&lt;&gt;"",1,0)+IF(DM2389&lt;&gt;"",1,0)+IF(DO2389&lt;&gt;"",1,0)+IF(DP2389&lt;&gt;"",1,0)+IF(DQ2389&lt;&gt;"",1,0)+IF(DS2389&lt;&gt;"",1,0)+IF(DT2389&lt;&gt;"",1,0)+IF(DV2389&lt;&gt;"",1,0)+IF(DW2389&lt;&gt;"",1,0)+IF(DX2389&lt;&gt;"",1,0)+IF(DY2389&lt;&gt;"",1,0)+IF(DZ2389&lt;&gt;"",1,0)+IF(EB2389&lt;&gt;"",1,0)+IF(EC2389&lt;&gt;"",1,0)+IF(ED2389&lt;&gt;"",1,0)+IF(EG2389&lt;&gt;"",1,0)+IF(EH2389&lt;&gt;"",1,0)</f>
        <v/>
      </c>
      <c r="AZ2389">
        <f>IF(EH2389&lt;&gt;"",1,0)</f>
        <v/>
      </c>
      <c r="BB2389" t="inlineStr">
        <is>
          <t>WARREN-WARD 4</t>
        </is>
      </c>
    </row>
    <row r="2390">
      <c r="A2390" t="inlineStr">
        <is>
          <t>OH0022684323</t>
        </is>
      </c>
      <c r="B2390" t="n">
        <v>78</v>
      </c>
      <c r="C2390" t="n">
        <v>400402</v>
      </c>
      <c r="D2390" t="inlineStr">
        <is>
          <t>CULVER</t>
        </is>
      </c>
      <c r="E2390" t="inlineStr">
        <is>
          <t>RENEE</t>
        </is>
      </c>
      <c r="F2390">
        <f>CONCATENATE(D2390," ",LEFT(H2390,4),"T=",AU2390,"D=",AV2390,"R=",AW2390,"M=",AX2390,"L=",AY2390,"B=",AZ2390)</f>
        <v/>
      </c>
      <c r="G2390" t="inlineStr">
        <is>
          <t>R</t>
        </is>
      </c>
      <c r="I2390" t="inlineStr">
        <is>
          <t>1981-03-10</t>
        </is>
      </c>
      <c r="J2390" t="inlineStr">
        <is>
          <t>2024-11-05</t>
        </is>
      </c>
      <c r="K2390" t="inlineStr">
        <is>
          <t>ACTIVE</t>
        </is>
      </c>
      <c r="M2390" t="inlineStr">
        <is>
          <t>2014 BENTON ST SE</t>
        </is>
      </c>
      <c r="N2390">
        <f>RIGHT(M2390,LEN(M2390)-FIND(" ",M2390))</f>
        <v/>
      </c>
      <c r="P2390" t="inlineStr">
        <is>
          <t>WARREN</t>
        </is>
      </c>
      <c r="Q2390" t="inlineStr">
        <is>
          <t>OH</t>
        </is>
      </c>
      <c r="R2390" t="n">
        <v>44484</v>
      </c>
      <c r="AD2390" t="inlineStr">
        <is>
          <t>TRUMBULL CAREER &amp; TECH CENTER</t>
        </is>
      </c>
      <c r="AE2390" t="inlineStr">
        <is>
          <t>WARREN CITY</t>
        </is>
      </c>
      <c r="AF2390" t="inlineStr">
        <is>
          <t>WARREN CITY SD</t>
        </is>
      </c>
      <c r="AH2390" t="n">
        <v>14</v>
      </c>
      <c r="AI2390" t="n">
        <v>11</v>
      </c>
      <c r="AN2390" t="inlineStr">
        <is>
          <t>WARREN</t>
        </is>
      </c>
      <c r="AO2390" t="inlineStr">
        <is>
          <t>WARREN CITY 4F</t>
        </is>
      </c>
      <c r="AP2390" t="inlineStr">
        <is>
          <t>78-P-ADN</t>
        </is>
      </c>
      <c r="AQ2390" t="n">
        <v>9</v>
      </c>
      <c r="AR2390" t="n">
        <v>64</v>
      </c>
      <c r="AS2390" t="n">
        <v>32</v>
      </c>
      <c r="AU2390">
        <f>COUNTA($BA$2390:$EH$2390)</f>
        <v/>
      </c>
      <c r="AV2390">
        <f>COUNTIF($BA$2390:$EH$2390,"D")</f>
        <v/>
      </c>
      <c r="AW2390">
        <f>COUNTIF($BA$2390:$EH$2390,"R")</f>
        <v/>
      </c>
      <c r="AX2390">
        <f>IF(BN2390="D",1,0)+IF(BO2390="D",1,0)+IF(BT2390="D",1,0)+IF(BU2390="D",1,0)+IF(BW2390="D",1,0)+IF(CC2390="D",1,0)+IF(CD2390="D",1,0)+IF(CE2390="D",1,0)+IF(CF2390="D",1,0)+IF(CL2390="D",1,0)+IF(CM2390="D",1,0)+IF(CQ2390="D",1,0)+IF(CR2390="D",1,0)+IF(CS2390="D",1,0)+IF(CW2390="D",1,0)+IF(CX2390="D",1,0)+IF(DD2390="D",1,0)+IF(DE2390="D",1,0)+IF(DJ2390="D",1,0)+IF(DK2390="D",1,0)+IF(DO2390="D",1,0)+IF(DP2390="D",1,0)+IF(DQ2390="D",1,0)+IF(DW2390="D",1,0)+IF(DZ2390="D",1,0)+IF(EH2390="D",1,0)</f>
        <v/>
      </c>
      <c r="AY2390">
        <f>IF(DJ2390&lt;&gt;"",1,0)+IF(DK2390&lt;&gt;"",1,0)+IF(DM2390&lt;&gt;"",1,0)+IF(DO2390&lt;&gt;"",1,0)+IF(DP2390&lt;&gt;"",1,0)+IF(DQ2390&lt;&gt;"",1,0)+IF(DS2390&lt;&gt;"",1,0)+IF(DT2390&lt;&gt;"",1,0)+IF(DV2390&lt;&gt;"",1,0)+IF(DW2390&lt;&gt;"",1,0)+IF(DX2390&lt;&gt;"",1,0)+IF(DY2390&lt;&gt;"",1,0)+IF(DZ2390&lt;&gt;"",1,0)+IF(EB2390&lt;&gt;"",1,0)+IF(EC2390&lt;&gt;"",1,0)+IF(ED2390&lt;&gt;"",1,0)+IF(EG2390&lt;&gt;"",1,0)+IF(EH2390&lt;&gt;"",1,0)</f>
        <v/>
      </c>
      <c r="AZ2390">
        <f>IF(EH2390&lt;&gt;"",1,0)</f>
        <v/>
      </c>
      <c r="BB2390" t="inlineStr">
        <is>
          <t>WARREN-WARD 4</t>
        </is>
      </c>
      <c r="BD2390" t="inlineStr">
        <is>
          <t>X</t>
        </is>
      </c>
      <c r="BE2390" t="inlineStr">
        <is>
          <t>D</t>
        </is>
      </c>
      <c r="BF2390" t="inlineStr">
        <is>
          <t>X</t>
        </is>
      </c>
      <c r="BL2390" t="inlineStr">
        <is>
          <t>X</t>
        </is>
      </c>
      <c r="BP2390" t="inlineStr">
        <is>
          <t>X</t>
        </is>
      </c>
      <c r="CA2390" t="inlineStr">
        <is>
          <t>X</t>
        </is>
      </c>
      <c r="CK2390" t="inlineStr">
        <is>
          <t>X</t>
        </is>
      </c>
      <c r="CO2390" t="inlineStr">
        <is>
          <t>D</t>
        </is>
      </c>
      <c r="CP2390" t="inlineStr">
        <is>
          <t>X</t>
        </is>
      </c>
      <c r="DC2390" t="inlineStr">
        <is>
          <t>X</t>
        </is>
      </c>
      <c r="DI2390" t="inlineStr">
        <is>
          <t>X</t>
        </is>
      </c>
      <c r="DN2390" t="inlineStr">
        <is>
          <t>X</t>
        </is>
      </c>
      <c r="EF2390" t="inlineStr">
        <is>
          <t>X</t>
        </is>
      </c>
    </row>
    <row r="2391">
      <c r="A2391" t="inlineStr">
        <is>
          <t>OH0015743842</t>
        </is>
      </c>
      <c r="B2391" t="n">
        <v>78</v>
      </c>
      <c r="C2391" t="n">
        <v>229706</v>
      </c>
      <c r="D2391" t="inlineStr">
        <is>
          <t>BUTLER</t>
        </is>
      </c>
      <c r="E2391" t="inlineStr">
        <is>
          <t>CARL</t>
        </is>
      </c>
      <c r="F2391">
        <f>CONCATENATE(D2391," ",LEFT(H2391,4),"T=",AU2391,"D=",AV2391,"R=",AW2391,"M=",AX2391,"L=",AY2391,"B=",AZ2391)</f>
        <v/>
      </c>
      <c r="G2391" t="inlineStr">
        <is>
          <t>D</t>
        </is>
      </c>
      <c r="I2391" t="inlineStr">
        <is>
          <t>1965-01-31</t>
        </is>
      </c>
      <c r="J2391" t="inlineStr">
        <is>
          <t>2022-02-19</t>
        </is>
      </c>
      <c r="K2391" t="inlineStr">
        <is>
          <t>ACTIVE</t>
        </is>
      </c>
      <c r="M2391" t="inlineStr">
        <is>
          <t>2188 DRAPER AVE SE</t>
        </is>
      </c>
      <c r="N2391">
        <f>RIGHT(M2391,LEN(M2391)-FIND(" ",M2391))</f>
        <v/>
      </c>
      <c r="P2391" t="inlineStr">
        <is>
          <t>WARREN</t>
        </is>
      </c>
      <c r="Q2391" t="inlineStr">
        <is>
          <t>OH</t>
        </is>
      </c>
      <c r="R2391" t="n">
        <v>44484</v>
      </c>
      <c r="AD2391" t="inlineStr">
        <is>
          <t>TRUMBULL CAREER &amp; TECH CENTER</t>
        </is>
      </c>
      <c r="AE2391" t="inlineStr">
        <is>
          <t>WARREN CITY</t>
        </is>
      </c>
      <c r="AF2391" t="inlineStr">
        <is>
          <t>WARREN CITY SD</t>
        </is>
      </c>
      <c r="AH2391" t="n">
        <v>14</v>
      </c>
      <c r="AI2391" t="n">
        <v>11</v>
      </c>
      <c r="AN2391" t="inlineStr">
        <is>
          <t>WARREN</t>
        </is>
      </c>
      <c r="AO2391" t="inlineStr">
        <is>
          <t>WARREN CITY 4F</t>
        </is>
      </c>
      <c r="AP2391" t="inlineStr">
        <is>
          <t>78-P-ADN</t>
        </is>
      </c>
      <c r="AQ2391" t="n">
        <v>9</v>
      </c>
      <c r="AR2391" t="n">
        <v>64</v>
      </c>
      <c r="AS2391" t="n">
        <v>32</v>
      </c>
      <c r="AU2391">
        <f>COUNTA($BA$2391:$EH$2391)</f>
        <v/>
      </c>
      <c r="AV2391">
        <f>COUNTIF($BA$2391:$EH$2391,"D")</f>
        <v/>
      </c>
      <c r="AW2391">
        <f>COUNTIF($BA$2391:$EH$2391,"R")</f>
        <v/>
      </c>
      <c r="AX2391">
        <f>IF(BN2391="D",1,0)+IF(BO2391="D",1,0)+IF(BT2391="D",1,0)+IF(BU2391="D",1,0)+IF(BW2391="D",1,0)+IF(CC2391="D",1,0)+IF(CD2391="D",1,0)+IF(CE2391="D",1,0)+IF(CF2391="D",1,0)+IF(CL2391="D",1,0)+IF(CM2391="D",1,0)+IF(CQ2391="D",1,0)+IF(CR2391="D",1,0)+IF(CS2391="D",1,0)+IF(CW2391="D",1,0)+IF(CX2391="D",1,0)+IF(DD2391="D",1,0)+IF(DE2391="D",1,0)+IF(DJ2391="D",1,0)+IF(DK2391="D",1,0)+IF(DO2391="D",1,0)+IF(DP2391="D",1,0)+IF(DQ2391="D",1,0)+IF(DW2391="D",1,0)+IF(DZ2391="D",1,0)+IF(EH2391="D",1,0)</f>
        <v/>
      </c>
      <c r="AY2391">
        <f>IF(DJ2391&lt;&gt;"",1,0)+IF(DK2391&lt;&gt;"",1,0)+IF(DM2391&lt;&gt;"",1,0)+IF(DO2391&lt;&gt;"",1,0)+IF(DP2391&lt;&gt;"",1,0)+IF(DQ2391&lt;&gt;"",1,0)+IF(DS2391&lt;&gt;"",1,0)+IF(DT2391&lt;&gt;"",1,0)+IF(DV2391&lt;&gt;"",1,0)+IF(DW2391&lt;&gt;"",1,0)+IF(DX2391&lt;&gt;"",1,0)+IF(DY2391&lt;&gt;"",1,0)+IF(DZ2391&lt;&gt;"",1,0)+IF(EB2391&lt;&gt;"",1,0)+IF(EC2391&lt;&gt;"",1,0)+IF(ED2391&lt;&gt;"",1,0)+IF(EG2391&lt;&gt;"",1,0)+IF(EH2391&lt;&gt;"",1,0)</f>
        <v/>
      </c>
      <c r="AZ2391">
        <f>IF(EH2391&lt;&gt;"",1,0)</f>
        <v/>
      </c>
      <c r="BB2391" t="inlineStr">
        <is>
          <t>WARREN-WARD 4</t>
        </is>
      </c>
      <c r="BD2391" t="inlineStr">
        <is>
          <t>X</t>
        </is>
      </c>
      <c r="BL2391" t="inlineStr">
        <is>
          <t>X</t>
        </is>
      </c>
      <c r="BY2391" t="inlineStr">
        <is>
          <t>D</t>
        </is>
      </c>
      <c r="CA2391" t="inlineStr">
        <is>
          <t>X</t>
        </is>
      </c>
      <c r="CK2391" t="inlineStr">
        <is>
          <t>X</t>
        </is>
      </c>
      <c r="CN2391" t="inlineStr">
        <is>
          <t>X</t>
        </is>
      </c>
      <c r="CP2391" t="inlineStr">
        <is>
          <t>X</t>
        </is>
      </c>
      <c r="CV2391" t="inlineStr">
        <is>
          <t>X</t>
        </is>
      </c>
      <c r="CY2391" t="inlineStr">
        <is>
          <t>X</t>
        </is>
      </c>
      <c r="DC2391" t="inlineStr">
        <is>
          <t>X</t>
        </is>
      </c>
      <c r="EF2391" t="inlineStr">
        <is>
          <t>X</t>
        </is>
      </c>
    </row>
    <row r="2392">
      <c r="A2392" t="inlineStr">
        <is>
          <t>OH0015687992</t>
        </is>
      </c>
      <c r="B2392" t="n">
        <v>78</v>
      </c>
      <c r="C2392" t="n">
        <v>128354</v>
      </c>
      <c r="D2392" t="inlineStr">
        <is>
          <t>SPARKS</t>
        </is>
      </c>
      <c r="E2392" t="inlineStr">
        <is>
          <t>CYNTHIA</t>
        </is>
      </c>
      <c r="F2392">
        <f>CONCATENATE(D2392," ",LEFT(H2392,4),"T=",AU2392,"D=",AV2392,"R=",AW2392,"M=",AX2392,"L=",AY2392,"B=",AZ2392)</f>
        <v/>
      </c>
      <c r="I2392" t="inlineStr">
        <is>
          <t>1950-06-12</t>
        </is>
      </c>
      <c r="J2392" t="inlineStr">
        <is>
          <t>1979-04-30</t>
        </is>
      </c>
      <c r="K2392" t="inlineStr">
        <is>
          <t>ACTIVE</t>
        </is>
      </c>
      <c r="L2392" t="inlineStr">
        <is>
          <t>D</t>
        </is>
      </c>
      <c r="M2392" t="inlineStr">
        <is>
          <t>2276 DRAPER AVE SE</t>
        </is>
      </c>
      <c r="N2392">
        <f>RIGHT(M2392,LEN(M2392)-FIND(" ",M2392))</f>
        <v/>
      </c>
      <c r="P2392" t="inlineStr">
        <is>
          <t>WARREN</t>
        </is>
      </c>
      <c r="Q2392" t="inlineStr">
        <is>
          <t>OH</t>
        </is>
      </c>
      <c r="R2392" t="n">
        <v>44484</v>
      </c>
      <c r="AD2392" t="inlineStr">
        <is>
          <t>TRUMBULL CAREER &amp; TECH CENTER</t>
        </is>
      </c>
      <c r="AE2392" t="inlineStr">
        <is>
          <t>WARREN CITY</t>
        </is>
      </c>
      <c r="AF2392" t="inlineStr">
        <is>
          <t>WARREN CITY SD</t>
        </is>
      </c>
      <c r="AH2392" t="n">
        <v>14</v>
      </c>
      <c r="AI2392" t="n">
        <v>11</v>
      </c>
      <c r="AN2392" t="inlineStr">
        <is>
          <t>WARREN</t>
        </is>
      </c>
      <c r="AO2392" t="inlineStr">
        <is>
          <t>WARREN CITY 4F</t>
        </is>
      </c>
      <c r="AP2392" t="inlineStr">
        <is>
          <t>78-P-ADN</t>
        </is>
      </c>
      <c r="AQ2392" t="n">
        <v>9</v>
      </c>
      <c r="AR2392" t="n">
        <v>64</v>
      </c>
      <c r="AS2392" t="n">
        <v>32</v>
      </c>
      <c r="AU2392">
        <f>COUNTA($BA$2392:$EH$2392)</f>
        <v/>
      </c>
      <c r="AV2392">
        <f>COUNTIF($BA$2392:$EH$2392,"D")</f>
        <v/>
      </c>
      <c r="AW2392">
        <f>COUNTIF($BA$2392:$EH$2392,"R")</f>
        <v/>
      </c>
      <c r="AX2392">
        <f>IF(BN2392="D",1,0)+IF(BO2392="D",1,0)+IF(BT2392="D",1,0)+IF(BU2392="D",1,0)+IF(BW2392="D",1,0)+IF(CC2392="D",1,0)+IF(CD2392="D",1,0)+IF(CE2392="D",1,0)+IF(CF2392="D",1,0)+IF(CL2392="D",1,0)+IF(CM2392="D",1,0)+IF(CQ2392="D",1,0)+IF(CR2392="D",1,0)+IF(CS2392="D",1,0)+IF(CW2392="D",1,0)+IF(CX2392="D",1,0)+IF(DD2392="D",1,0)+IF(DE2392="D",1,0)+IF(DJ2392="D",1,0)+IF(DK2392="D",1,0)+IF(DO2392="D",1,0)+IF(DP2392="D",1,0)+IF(DQ2392="D",1,0)+IF(DW2392="D",1,0)+IF(DZ2392="D",1,0)+IF(EH2392="D",1,0)</f>
        <v/>
      </c>
      <c r="AY2392">
        <f>IF(DJ2392&lt;&gt;"",1,0)+IF(DK2392&lt;&gt;"",1,0)+IF(DM2392&lt;&gt;"",1,0)+IF(DO2392&lt;&gt;"",1,0)+IF(DP2392&lt;&gt;"",1,0)+IF(DQ2392&lt;&gt;"",1,0)+IF(DS2392&lt;&gt;"",1,0)+IF(DT2392&lt;&gt;"",1,0)+IF(DV2392&lt;&gt;"",1,0)+IF(DW2392&lt;&gt;"",1,0)+IF(DX2392&lt;&gt;"",1,0)+IF(DY2392&lt;&gt;"",1,0)+IF(DZ2392&lt;&gt;"",1,0)+IF(EB2392&lt;&gt;"",1,0)+IF(EC2392&lt;&gt;"",1,0)+IF(ED2392&lt;&gt;"",1,0)+IF(EG2392&lt;&gt;"",1,0)+IF(EH2392&lt;&gt;"",1,0)</f>
        <v/>
      </c>
      <c r="AZ2392">
        <f>IF(EH2392&lt;&gt;"",1,0)</f>
        <v/>
      </c>
      <c r="BB2392" t="inlineStr">
        <is>
          <t>WARREN-WARD 4</t>
        </is>
      </c>
      <c r="BC2392" t="inlineStr">
        <is>
          <t>X</t>
        </is>
      </c>
      <c r="BD2392" t="inlineStr">
        <is>
          <t>X</t>
        </is>
      </c>
      <c r="BH2392" t="inlineStr">
        <is>
          <t>X</t>
        </is>
      </c>
      <c r="BL2392" t="inlineStr">
        <is>
          <t>X</t>
        </is>
      </c>
      <c r="BS2392" t="inlineStr">
        <is>
          <t>X</t>
        </is>
      </c>
      <c r="BY2392" t="inlineStr">
        <is>
          <t>D</t>
        </is>
      </c>
      <c r="CA2392" t="inlineStr">
        <is>
          <t>X</t>
        </is>
      </c>
      <c r="CG2392" t="inlineStr">
        <is>
          <t>X</t>
        </is>
      </c>
      <c r="CK2392" t="inlineStr">
        <is>
          <t>X</t>
        </is>
      </c>
      <c r="CL2392" t="inlineStr">
        <is>
          <t>D</t>
        </is>
      </c>
      <c r="CN2392" t="inlineStr">
        <is>
          <t>X</t>
        </is>
      </c>
      <c r="CP2392" t="inlineStr">
        <is>
          <t>X</t>
        </is>
      </c>
      <c r="CU2392" t="inlineStr">
        <is>
          <t>D</t>
        </is>
      </c>
      <c r="CV2392" t="inlineStr">
        <is>
          <t>X</t>
        </is>
      </c>
      <c r="CW2392" t="inlineStr">
        <is>
          <t>D</t>
        </is>
      </c>
      <c r="CY2392" t="inlineStr">
        <is>
          <t>X</t>
        </is>
      </c>
      <c r="CZ2392" t="inlineStr">
        <is>
          <t>D</t>
        </is>
      </c>
      <c r="DC2392" t="inlineStr">
        <is>
          <t>X</t>
        </is>
      </c>
      <c r="DF2392" t="inlineStr">
        <is>
          <t>X</t>
        </is>
      </c>
      <c r="DI2392" t="inlineStr">
        <is>
          <t>X</t>
        </is>
      </c>
      <c r="DL2392" t="inlineStr">
        <is>
          <t>X</t>
        </is>
      </c>
      <c r="DM2392" t="inlineStr">
        <is>
          <t>D</t>
        </is>
      </c>
      <c r="DN2392" t="inlineStr">
        <is>
          <t>X</t>
        </is>
      </c>
      <c r="DR2392" t="inlineStr">
        <is>
          <t>X</t>
        </is>
      </c>
      <c r="DS2392" t="inlineStr">
        <is>
          <t>D</t>
        </is>
      </c>
      <c r="DU2392" t="inlineStr">
        <is>
          <t>X</t>
        </is>
      </c>
      <c r="DW2392" t="inlineStr">
        <is>
          <t>D</t>
        </is>
      </c>
      <c r="DX2392" t="inlineStr">
        <is>
          <t>X</t>
        </is>
      </c>
      <c r="EA2392" t="inlineStr">
        <is>
          <t>X</t>
        </is>
      </c>
      <c r="EF2392" t="inlineStr">
        <is>
          <t>X</t>
        </is>
      </c>
      <c r="EH2392" t="inlineStr">
        <is>
          <t>D</t>
        </is>
      </c>
    </row>
    <row r="2393">
      <c r="A2393" t="inlineStr">
        <is>
          <t>OH0015718010</t>
        </is>
      </c>
      <c r="B2393" t="n">
        <v>78</v>
      </c>
      <c r="C2393" t="n">
        <v>19580</v>
      </c>
      <c r="D2393" t="inlineStr">
        <is>
          <t>HARRIS</t>
        </is>
      </c>
      <c r="E2393" t="inlineStr">
        <is>
          <t>PATRICIA</t>
        </is>
      </c>
      <c r="F2393">
        <f>CONCATENATE(D2393," ",LEFT(H2393,4),"T=",AU2393,"D=",AV2393,"R=",AW2393,"M=",AX2393,"L=",AY2393,"B=",AZ2393)</f>
        <v/>
      </c>
      <c r="G2393" t="inlineStr">
        <is>
          <t>A</t>
        </is>
      </c>
      <c r="I2393" t="inlineStr">
        <is>
          <t>1939-02-28</t>
        </is>
      </c>
      <c r="J2393" t="inlineStr">
        <is>
          <t>1980-04-14</t>
        </is>
      </c>
      <c r="K2393" t="inlineStr">
        <is>
          <t>ACTIVE</t>
        </is>
      </c>
      <c r="L2393" t="inlineStr">
        <is>
          <t>D</t>
        </is>
      </c>
      <c r="M2393" t="inlineStr">
        <is>
          <t>2242 DRAPER AVE SE</t>
        </is>
      </c>
      <c r="N2393">
        <f>RIGHT(M2393,LEN(M2393)-FIND(" ",M2393))</f>
        <v/>
      </c>
      <c r="P2393" t="inlineStr">
        <is>
          <t>WARREN</t>
        </is>
      </c>
      <c r="Q2393" t="inlineStr">
        <is>
          <t>OH</t>
        </is>
      </c>
      <c r="R2393" t="n">
        <v>44484</v>
      </c>
      <c r="AD2393" t="inlineStr">
        <is>
          <t>TRUMBULL CAREER &amp; TECH CENTER</t>
        </is>
      </c>
      <c r="AE2393" t="inlineStr">
        <is>
          <t>WARREN CITY</t>
        </is>
      </c>
      <c r="AF2393" t="inlineStr">
        <is>
          <t>WARREN CITY SD</t>
        </is>
      </c>
      <c r="AH2393" t="n">
        <v>14</v>
      </c>
      <c r="AI2393" t="n">
        <v>11</v>
      </c>
      <c r="AN2393" t="inlineStr">
        <is>
          <t>WARREN</t>
        </is>
      </c>
      <c r="AO2393" t="inlineStr">
        <is>
          <t>WARREN CITY 4F</t>
        </is>
      </c>
      <c r="AP2393" t="inlineStr">
        <is>
          <t>78-P-ADN</t>
        </is>
      </c>
      <c r="AQ2393" t="n">
        <v>9</v>
      </c>
      <c r="AR2393" t="n">
        <v>64</v>
      </c>
      <c r="AS2393" t="n">
        <v>32</v>
      </c>
      <c r="AU2393">
        <f>COUNTA($BA$2393:$EH$2393)</f>
        <v/>
      </c>
      <c r="AV2393">
        <f>COUNTIF($BA$2393:$EH$2393,"D")</f>
        <v/>
      </c>
      <c r="AW2393">
        <f>COUNTIF($BA$2393:$EH$2393,"R")</f>
        <v/>
      </c>
      <c r="AX2393">
        <f>IF(BN2393="D",1,0)+IF(BO2393="D",1,0)+IF(BT2393="D",1,0)+IF(BU2393="D",1,0)+IF(BW2393="D",1,0)+IF(CC2393="D",1,0)+IF(CD2393="D",1,0)+IF(CE2393="D",1,0)+IF(CF2393="D",1,0)+IF(CL2393="D",1,0)+IF(CM2393="D",1,0)+IF(CQ2393="D",1,0)+IF(CR2393="D",1,0)+IF(CS2393="D",1,0)+IF(CW2393="D",1,0)+IF(CX2393="D",1,0)+IF(DD2393="D",1,0)+IF(DE2393="D",1,0)+IF(DJ2393="D",1,0)+IF(DK2393="D",1,0)+IF(DO2393="D",1,0)+IF(DP2393="D",1,0)+IF(DQ2393="D",1,0)+IF(DW2393="D",1,0)+IF(DZ2393="D",1,0)+IF(EH2393="D",1,0)</f>
        <v/>
      </c>
      <c r="AY2393">
        <f>IF(DJ2393&lt;&gt;"",1,0)+IF(DK2393&lt;&gt;"",1,0)+IF(DM2393&lt;&gt;"",1,0)+IF(DO2393&lt;&gt;"",1,0)+IF(DP2393&lt;&gt;"",1,0)+IF(DQ2393&lt;&gt;"",1,0)+IF(DS2393&lt;&gt;"",1,0)+IF(DT2393&lt;&gt;"",1,0)+IF(DV2393&lt;&gt;"",1,0)+IF(DW2393&lt;&gt;"",1,0)+IF(DX2393&lt;&gt;"",1,0)+IF(DY2393&lt;&gt;"",1,0)+IF(DZ2393&lt;&gt;"",1,0)+IF(EB2393&lt;&gt;"",1,0)+IF(EC2393&lt;&gt;"",1,0)+IF(ED2393&lt;&gt;"",1,0)+IF(EG2393&lt;&gt;"",1,0)+IF(EH2393&lt;&gt;"",1,0)</f>
        <v/>
      </c>
      <c r="AZ2393">
        <f>IF(EH2393&lt;&gt;"",1,0)</f>
        <v/>
      </c>
      <c r="BB2393" t="inlineStr">
        <is>
          <t>WARREN-WARD 4</t>
        </is>
      </c>
      <c r="BC2393" t="inlineStr">
        <is>
          <t>X</t>
        </is>
      </c>
      <c r="BD2393" t="inlineStr">
        <is>
          <t>X</t>
        </is>
      </c>
      <c r="BE2393" t="inlineStr">
        <is>
          <t>X</t>
        </is>
      </c>
      <c r="BF2393" t="inlineStr">
        <is>
          <t>X</t>
        </is>
      </c>
      <c r="BG2393" t="inlineStr">
        <is>
          <t>X</t>
        </is>
      </c>
      <c r="BH2393" t="inlineStr">
        <is>
          <t>X</t>
        </is>
      </c>
      <c r="BI2393" t="inlineStr">
        <is>
          <t>X</t>
        </is>
      </c>
      <c r="BJ2393" t="inlineStr">
        <is>
          <t>X</t>
        </is>
      </c>
      <c r="BK2393" t="inlineStr">
        <is>
          <t>X</t>
        </is>
      </c>
      <c r="BL2393" t="inlineStr">
        <is>
          <t>X</t>
        </is>
      </c>
      <c r="BP2393" t="inlineStr">
        <is>
          <t>X</t>
        </is>
      </c>
      <c r="BR2393" t="inlineStr">
        <is>
          <t>X</t>
        </is>
      </c>
      <c r="BS2393" t="inlineStr">
        <is>
          <t>X</t>
        </is>
      </c>
      <c r="BT2393" t="inlineStr">
        <is>
          <t>X</t>
        </is>
      </c>
      <c r="BV2393" t="inlineStr">
        <is>
          <t>X</t>
        </is>
      </c>
      <c r="BY2393" t="inlineStr">
        <is>
          <t>D</t>
        </is>
      </c>
      <c r="CA2393" t="inlineStr">
        <is>
          <t>X</t>
        </is>
      </c>
      <c r="CC2393" t="inlineStr">
        <is>
          <t>D</t>
        </is>
      </c>
      <c r="CG2393" t="inlineStr">
        <is>
          <t>X</t>
        </is>
      </c>
      <c r="CH2393" t="inlineStr">
        <is>
          <t>D</t>
        </is>
      </c>
      <c r="CK2393" t="inlineStr">
        <is>
          <t>X</t>
        </is>
      </c>
      <c r="CL2393" t="inlineStr">
        <is>
          <t>D</t>
        </is>
      </c>
      <c r="CN2393" t="inlineStr">
        <is>
          <t>X</t>
        </is>
      </c>
      <c r="CO2393" t="inlineStr">
        <is>
          <t>D</t>
        </is>
      </c>
      <c r="CP2393" t="inlineStr">
        <is>
          <t>X</t>
        </is>
      </c>
      <c r="CQ2393" t="inlineStr">
        <is>
          <t>D</t>
        </is>
      </c>
      <c r="CT2393" t="inlineStr">
        <is>
          <t>X</t>
        </is>
      </c>
      <c r="CU2393" t="inlineStr">
        <is>
          <t>D</t>
        </is>
      </c>
      <c r="CV2393" t="inlineStr">
        <is>
          <t>X</t>
        </is>
      </c>
      <c r="CW2393" t="inlineStr">
        <is>
          <t>D</t>
        </is>
      </c>
      <c r="CY2393" t="inlineStr">
        <is>
          <t>X</t>
        </is>
      </c>
      <c r="CZ2393" t="inlineStr">
        <is>
          <t>D</t>
        </is>
      </c>
      <c r="DC2393" t="inlineStr">
        <is>
          <t>X</t>
        </is>
      </c>
      <c r="DD2393" t="inlineStr">
        <is>
          <t>D</t>
        </is>
      </c>
      <c r="DF2393" t="inlineStr">
        <is>
          <t>X</t>
        </is>
      </c>
      <c r="DG2393" t="inlineStr">
        <is>
          <t>D</t>
        </is>
      </c>
      <c r="DI2393" t="inlineStr">
        <is>
          <t>X</t>
        </is>
      </c>
      <c r="DJ2393" t="inlineStr">
        <is>
          <t>D</t>
        </is>
      </c>
      <c r="DL2393" t="inlineStr">
        <is>
          <t>X</t>
        </is>
      </c>
      <c r="DM2393" t="inlineStr">
        <is>
          <t>D</t>
        </is>
      </c>
      <c r="DN2393" t="inlineStr">
        <is>
          <t>X</t>
        </is>
      </c>
      <c r="DR2393" t="inlineStr">
        <is>
          <t>X</t>
        </is>
      </c>
      <c r="DS2393" t="inlineStr">
        <is>
          <t>D</t>
        </is>
      </c>
      <c r="DT2393" t="inlineStr">
        <is>
          <t>D</t>
        </is>
      </c>
      <c r="DU2393" t="inlineStr">
        <is>
          <t>X</t>
        </is>
      </c>
      <c r="DW2393" t="inlineStr">
        <is>
          <t>D</t>
        </is>
      </c>
      <c r="DX2393" t="inlineStr">
        <is>
          <t>X</t>
        </is>
      </c>
      <c r="EA2393" t="inlineStr">
        <is>
          <t>X</t>
        </is>
      </c>
      <c r="ED2393" t="inlineStr">
        <is>
          <t>D</t>
        </is>
      </c>
      <c r="EF2393" t="inlineStr">
        <is>
          <t>X</t>
        </is>
      </c>
      <c r="EH2393" t="inlineStr">
        <is>
          <t>D</t>
        </is>
      </c>
    </row>
    <row r="2394">
      <c r="A2394" t="inlineStr">
        <is>
          <t>OH0027849077</t>
        </is>
      </c>
      <c r="B2394" t="n">
        <v>78</v>
      </c>
      <c r="C2394" t="n">
        <v>494286</v>
      </c>
      <c r="D2394" t="inlineStr">
        <is>
          <t>BALL</t>
        </is>
      </c>
      <c r="E2394" t="inlineStr">
        <is>
          <t>DERRICKA</t>
        </is>
      </c>
      <c r="F2394">
        <f>CONCATENATE(D2394," ",LEFT(H2394,4),"T=",AU2394,"D=",AV2394,"R=",AW2394,"M=",AX2394,"L=",AY2394,"B=",AZ2394)</f>
        <v/>
      </c>
      <c r="G2394" t="inlineStr">
        <is>
          <t>V</t>
        </is>
      </c>
      <c r="I2394" t="inlineStr">
        <is>
          <t>2000-06-06</t>
        </is>
      </c>
      <c r="J2394" t="inlineStr">
        <is>
          <t>2024-11-23</t>
        </is>
      </c>
      <c r="K2394" t="inlineStr">
        <is>
          <t>ACTIVE</t>
        </is>
      </c>
      <c r="M2394" t="inlineStr">
        <is>
          <t>1170 YOUNGSTOWN RD SE</t>
        </is>
      </c>
      <c r="N2394">
        <f>RIGHT(M2394,LEN(M2394)-FIND(" ",M2394))</f>
        <v/>
      </c>
      <c r="P2394" t="inlineStr">
        <is>
          <t>WARREN</t>
        </is>
      </c>
      <c r="Q2394" t="inlineStr">
        <is>
          <t>OH</t>
        </is>
      </c>
      <c r="R2394" t="n">
        <v>44484</v>
      </c>
      <c r="AD2394" t="inlineStr">
        <is>
          <t>TRUMBULL CAREER &amp; TECH CENTER</t>
        </is>
      </c>
      <c r="AE2394" t="inlineStr">
        <is>
          <t>WARREN CITY</t>
        </is>
      </c>
      <c r="AF2394" t="inlineStr">
        <is>
          <t>WARREN CITY SD</t>
        </is>
      </c>
      <c r="AH2394" t="n">
        <v>14</v>
      </c>
      <c r="AI2394" t="n">
        <v>11</v>
      </c>
      <c r="AN2394" t="inlineStr">
        <is>
          <t>WARREN</t>
        </is>
      </c>
      <c r="AO2394" t="inlineStr">
        <is>
          <t>WARREN CITY 4F</t>
        </is>
      </c>
      <c r="AP2394" t="inlineStr">
        <is>
          <t>78-P-ADN</t>
        </is>
      </c>
      <c r="AQ2394" t="n">
        <v>9</v>
      </c>
      <c r="AR2394" t="n">
        <v>64</v>
      </c>
      <c r="AS2394" t="n">
        <v>32</v>
      </c>
      <c r="AU2394">
        <f>COUNTA($BA$2394:$EH$2394)</f>
        <v/>
      </c>
      <c r="AV2394">
        <f>COUNTIF($BA$2394:$EH$2394,"D")</f>
        <v/>
      </c>
      <c r="AW2394">
        <f>COUNTIF($BA$2394:$EH$2394,"R")</f>
        <v/>
      </c>
      <c r="AX2394">
        <f>IF(BN2394="D",1,0)+IF(BO2394="D",1,0)+IF(BT2394="D",1,0)+IF(BU2394="D",1,0)+IF(BW2394="D",1,0)+IF(CC2394="D",1,0)+IF(CD2394="D",1,0)+IF(CE2394="D",1,0)+IF(CF2394="D",1,0)+IF(CL2394="D",1,0)+IF(CM2394="D",1,0)+IF(CQ2394="D",1,0)+IF(CR2394="D",1,0)+IF(CS2394="D",1,0)+IF(CW2394="D",1,0)+IF(CX2394="D",1,0)+IF(DD2394="D",1,0)+IF(DE2394="D",1,0)+IF(DJ2394="D",1,0)+IF(DK2394="D",1,0)+IF(DO2394="D",1,0)+IF(DP2394="D",1,0)+IF(DQ2394="D",1,0)+IF(DW2394="D",1,0)+IF(DZ2394="D",1,0)+IF(EH2394="D",1,0)</f>
        <v/>
      </c>
      <c r="AY2394">
        <f>IF(DJ2394&lt;&gt;"",1,0)+IF(DK2394&lt;&gt;"",1,0)+IF(DM2394&lt;&gt;"",1,0)+IF(DO2394&lt;&gt;"",1,0)+IF(DP2394&lt;&gt;"",1,0)+IF(DQ2394&lt;&gt;"",1,0)+IF(DS2394&lt;&gt;"",1,0)+IF(DT2394&lt;&gt;"",1,0)+IF(DV2394&lt;&gt;"",1,0)+IF(DW2394&lt;&gt;"",1,0)+IF(DX2394&lt;&gt;"",1,0)+IF(DY2394&lt;&gt;"",1,0)+IF(DZ2394&lt;&gt;"",1,0)+IF(EB2394&lt;&gt;"",1,0)+IF(EC2394&lt;&gt;"",1,0)+IF(ED2394&lt;&gt;"",1,0)+IF(EG2394&lt;&gt;"",1,0)+IF(EH2394&lt;&gt;"",1,0)</f>
        <v/>
      </c>
      <c r="AZ2394">
        <f>IF(EH2394&lt;&gt;"",1,0)</f>
        <v/>
      </c>
      <c r="BB2394" t="inlineStr">
        <is>
          <t>WARREN-WARD 4</t>
        </is>
      </c>
      <c r="DI2394" t="inlineStr">
        <is>
          <t>X</t>
        </is>
      </c>
    </row>
    <row r="2395">
      <c r="A2395" t="inlineStr">
        <is>
          <t>OH0015704840</t>
        </is>
      </c>
      <c r="B2395" t="n">
        <v>78</v>
      </c>
      <c r="C2395" t="n">
        <v>166715</v>
      </c>
      <c r="D2395" t="inlineStr">
        <is>
          <t>OWENS</t>
        </is>
      </c>
      <c r="E2395" t="inlineStr">
        <is>
          <t>SHARON</t>
        </is>
      </c>
      <c r="F2395">
        <f>CONCATENATE(D2395," ",LEFT(H2395,4),"T=",AU2395,"D=",AV2395,"R=",AW2395,"M=",AX2395,"L=",AY2395,"B=",AZ2395)</f>
        <v/>
      </c>
      <c r="G2395" t="inlineStr">
        <is>
          <t>L</t>
        </is>
      </c>
      <c r="I2395" t="inlineStr">
        <is>
          <t>1957-09-15</t>
        </is>
      </c>
      <c r="J2395" t="inlineStr">
        <is>
          <t>2015-10-01</t>
        </is>
      </c>
      <c r="K2395" t="inlineStr">
        <is>
          <t>ACTIVE</t>
        </is>
      </c>
      <c r="L2395" t="inlineStr">
        <is>
          <t>D</t>
        </is>
      </c>
      <c r="M2395" t="inlineStr">
        <is>
          <t>1911 VAN WYE ST SE</t>
        </is>
      </c>
      <c r="N2395">
        <f>RIGHT(M2395,LEN(M2395)-FIND(" ",M2395))</f>
        <v/>
      </c>
      <c r="P2395" t="inlineStr">
        <is>
          <t>WARREN</t>
        </is>
      </c>
      <c r="Q2395" t="inlineStr">
        <is>
          <t>OH</t>
        </is>
      </c>
      <c r="R2395" t="n">
        <v>44484</v>
      </c>
      <c r="AD2395" t="inlineStr">
        <is>
          <t>TRUMBULL CAREER &amp; TECH CENTER</t>
        </is>
      </c>
      <c r="AE2395" t="inlineStr">
        <is>
          <t>WARREN CITY</t>
        </is>
      </c>
      <c r="AF2395" t="inlineStr">
        <is>
          <t>WARREN CITY SD</t>
        </is>
      </c>
      <c r="AH2395" t="n">
        <v>14</v>
      </c>
      <c r="AI2395" t="n">
        <v>11</v>
      </c>
      <c r="AN2395" t="inlineStr">
        <is>
          <t>WARREN</t>
        </is>
      </c>
      <c r="AO2395" t="inlineStr">
        <is>
          <t>WARREN CITY 4F</t>
        </is>
      </c>
      <c r="AP2395" t="inlineStr">
        <is>
          <t>78-P-ADN</t>
        </is>
      </c>
      <c r="AQ2395" t="n">
        <v>9</v>
      </c>
      <c r="AR2395" t="n">
        <v>64</v>
      </c>
      <c r="AS2395" t="n">
        <v>32</v>
      </c>
      <c r="AU2395">
        <f>COUNTA($BA$2395:$EH$2395)</f>
        <v/>
      </c>
      <c r="AV2395">
        <f>COUNTIF($BA$2395:$EH$2395,"D")</f>
        <v/>
      </c>
      <c r="AW2395">
        <f>COUNTIF($BA$2395:$EH$2395,"R")</f>
        <v/>
      </c>
      <c r="AX2395">
        <f>IF(BN2395="D",1,0)+IF(BO2395="D",1,0)+IF(BT2395="D",1,0)+IF(BU2395="D",1,0)+IF(BW2395="D",1,0)+IF(CC2395="D",1,0)+IF(CD2395="D",1,0)+IF(CE2395="D",1,0)+IF(CF2395="D",1,0)+IF(CL2395="D",1,0)+IF(CM2395="D",1,0)+IF(CQ2395="D",1,0)+IF(CR2395="D",1,0)+IF(CS2395="D",1,0)+IF(CW2395="D",1,0)+IF(CX2395="D",1,0)+IF(DD2395="D",1,0)+IF(DE2395="D",1,0)+IF(DJ2395="D",1,0)+IF(DK2395="D",1,0)+IF(DO2395="D",1,0)+IF(DP2395="D",1,0)+IF(DQ2395="D",1,0)+IF(DW2395="D",1,0)+IF(DZ2395="D",1,0)+IF(EH2395="D",1,0)</f>
        <v/>
      </c>
      <c r="AY2395">
        <f>IF(DJ2395&lt;&gt;"",1,0)+IF(DK2395&lt;&gt;"",1,0)+IF(DM2395&lt;&gt;"",1,0)+IF(DO2395&lt;&gt;"",1,0)+IF(DP2395&lt;&gt;"",1,0)+IF(DQ2395&lt;&gt;"",1,0)+IF(DS2395&lt;&gt;"",1,0)+IF(DT2395&lt;&gt;"",1,0)+IF(DV2395&lt;&gt;"",1,0)+IF(DW2395&lt;&gt;"",1,0)+IF(DX2395&lt;&gt;"",1,0)+IF(DY2395&lt;&gt;"",1,0)+IF(DZ2395&lt;&gt;"",1,0)+IF(EB2395&lt;&gt;"",1,0)+IF(EC2395&lt;&gt;"",1,0)+IF(ED2395&lt;&gt;"",1,0)+IF(EG2395&lt;&gt;"",1,0)+IF(EH2395&lt;&gt;"",1,0)</f>
        <v/>
      </c>
      <c r="AZ2395">
        <f>IF(EH2395&lt;&gt;"",1,0)</f>
        <v/>
      </c>
      <c r="BB2395" t="inlineStr">
        <is>
          <t>WARREN-WARD 4</t>
        </is>
      </c>
      <c r="BD2395" t="inlineStr">
        <is>
          <t>X</t>
        </is>
      </c>
      <c r="BH2395" t="inlineStr">
        <is>
          <t>X</t>
        </is>
      </c>
      <c r="BJ2395" t="inlineStr">
        <is>
          <t>X</t>
        </is>
      </c>
      <c r="BL2395" t="inlineStr">
        <is>
          <t>X</t>
        </is>
      </c>
      <c r="BS2395" t="inlineStr">
        <is>
          <t>X</t>
        </is>
      </c>
      <c r="BY2395" t="inlineStr">
        <is>
          <t>D</t>
        </is>
      </c>
      <c r="CA2395" t="inlineStr">
        <is>
          <t>X</t>
        </is>
      </c>
      <c r="CK2395" t="inlineStr">
        <is>
          <t>X</t>
        </is>
      </c>
      <c r="CL2395" t="inlineStr">
        <is>
          <t>D</t>
        </is>
      </c>
      <c r="CP2395" t="inlineStr">
        <is>
          <t>X</t>
        </is>
      </c>
      <c r="CY2395" t="inlineStr">
        <is>
          <t>X</t>
        </is>
      </c>
      <c r="CZ2395" t="inlineStr">
        <is>
          <t>D</t>
        </is>
      </c>
      <c r="DC2395" t="inlineStr">
        <is>
          <t>X</t>
        </is>
      </c>
      <c r="DI2395" t="inlineStr">
        <is>
          <t>X</t>
        </is>
      </c>
      <c r="DL2395" t="inlineStr">
        <is>
          <t>X</t>
        </is>
      </c>
      <c r="DN2395" t="inlineStr">
        <is>
          <t>X</t>
        </is>
      </c>
      <c r="DS2395" t="inlineStr">
        <is>
          <t>D</t>
        </is>
      </c>
      <c r="DU2395" t="inlineStr">
        <is>
          <t>X</t>
        </is>
      </c>
      <c r="DW2395" t="inlineStr">
        <is>
          <t>D</t>
        </is>
      </c>
      <c r="EF2395" t="inlineStr">
        <is>
          <t>X</t>
        </is>
      </c>
    </row>
    <row r="2396">
      <c r="A2396" t="inlineStr">
        <is>
          <t>OH0015702340</t>
        </is>
      </c>
      <c r="B2396" t="n">
        <v>78</v>
      </c>
      <c r="C2396" t="n">
        <v>162095</v>
      </c>
      <c r="D2396" t="inlineStr">
        <is>
          <t>TIPTON</t>
        </is>
      </c>
      <c r="E2396" t="inlineStr">
        <is>
          <t>KAREN</t>
        </is>
      </c>
      <c r="F2396">
        <f>CONCATENATE(D2396," ",LEFT(H2396,4),"T=",AU2396,"D=",AV2396,"R=",AW2396,"M=",AX2396,"L=",AY2396,"B=",AZ2396)</f>
        <v/>
      </c>
      <c r="G2396" t="inlineStr">
        <is>
          <t>S</t>
        </is>
      </c>
      <c r="I2396" t="inlineStr">
        <is>
          <t>1957-09-15</t>
        </is>
      </c>
      <c r="J2396" t="inlineStr">
        <is>
          <t>1983-10-14</t>
        </is>
      </c>
      <c r="K2396" t="inlineStr">
        <is>
          <t>ACTIVE</t>
        </is>
      </c>
      <c r="L2396" t="inlineStr">
        <is>
          <t>D</t>
        </is>
      </c>
      <c r="M2396" t="inlineStr">
        <is>
          <t>1911 VAN WYE ST SE</t>
        </is>
      </c>
      <c r="N2396">
        <f>RIGHT(M2396,LEN(M2396)-FIND(" ",M2396))</f>
        <v/>
      </c>
      <c r="P2396" t="inlineStr">
        <is>
          <t>WARREN</t>
        </is>
      </c>
      <c r="Q2396" t="inlineStr">
        <is>
          <t>OH</t>
        </is>
      </c>
      <c r="R2396" t="n">
        <v>44484</v>
      </c>
      <c r="AD2396" t="inlineStr">
        <is>
          <t>TRUMBULL CAREER &amp; TECH CENTER</t>
        </is>
      </c>
      <c r="AE2396" t="inlineStr">
        <is>
          <t>WARREN CITY</t>
        </is>
      </c>
      <c r="AF2396" t="inlineStr">
        <is>
          <t>WARREN CITY SD</t>
        </is>
      </c>
      <c r="AH2396" t="n">
        <v>14</v>
      </c>
      <c r="AI2396" t="n">
        <v>11</v>
      </c>
      <c r="AN2396" t="inlineStr">
        <is>
          <t>WARREN</t>
        </is>
      </c>
      <c r="AO2396" t="inlineStr">
        <is>
          <t>WARREN CITY 4F</t>
        </is>
      </c>
      <c r="AP2396" t="inlineStr">
        <is>
          <t>78-P-ADN</t>
        </is>
      </c>
      <c r="AQ2396" t="n">
        <v>9</v>
      </c>
      <c r="AR2396" t="n">
        <v>64</v>
      </c>
      <c r="AS2396" t="n">
        <v>32</v>
      </c>
      <c r="AU2396">
        <f>COUNTA($BA$2396:$EH$2396)</f>
        <v/>
      </c>
      <c r="AV2396">
        <f>COUNTIF($BA$2396:$EH$2396,"D")</f>
        <v/>
      </c>
      <c r="AW2396">
        <f>COUNTIF($BA$2396:$EH$2396,"R")</f>
        <v/>
      </c>
      <c r="AX2396">
        <f>IF(BN2396="D",1,0)+IF(BO2396="D",1,0)+IF(BT2396="D",1,0)+IF(BU2396="D",1,0)+IF(BW2396="D",1,0)+IF(CC2396="D",1,0)+IF(CD2396="D",1,0)+IF(CE2396="D",1,0)+IF(CF2396="D",1,0)+IF(CL2396="D",1,0)+IF(CM2396="D",1,0)+IF(CQ2396="D",1,0)+IF(CR2396="D",1,0)+IF(CS2396="D",1,0)+IF(CW2396="D",1,0)+IF(CX2396="D",1,0)+IF(DD2396="D",1,0)+IF(DE2396="D",1,0)+IF(DJ2396="D",1,0)+IF(DK2396="D",1,0)+IF(DO2396="D",1,0)+IF(DP2396="D",1,0)+IF(DQ2396="D",1,0)+IF(DW2396="D",1,0)+IF(DZ2396="D",1,0)+IF(EH2396="D",1,0)</f>
        <v/>
      </c>
      <c r="AY2396">
        <f>IF(DJ2396&lt;&gt;"",1,0)+IF(DK2396&lt;&gt;"",1,0)+IF(DM2396&lt;&gt;"",1,0)+IF(DO2396&lt;&gt;"",1,0)+IF(DP2396&lt;&gt;"",1,0)+IF(DQ2396&lt;&gt;"",1,0)+IF(DS2396&lt;&gt;"",1,0)+IF(DT2396&lt;&gt;"",1,0)+IF(DV2396&lt;&gt;"",1,0)+IF(DW2396&lt;&gt;"",1,0)+IF(DX2396&lt;&gt;"",1,0)+IF(DY2396&lt;&gt;"",1,0)+IF(DZ2396&lt;&gt;"",1,0)+IF(EB2396&lt;&gt;"",1,0)+IF(EC2396&lt;&gt;"",1,0)+IF(ED2396&lt;&gt;"",1,0)+IF(EG2396&lt;&gt;"",1,0)+IF(EH2396&lt;&gt;"",1,0)</f>
        <v/>
      </c>
      <c r="AZ2396">
        <f>IF(EH2396&lt;&gt;"",1,0)</f>
        <v/>
      </c>
      <c r="BB2396" t="inlineStr">
        <is>
          <t>WARREN-WARD 4</t>
        </is>
      </c>
      <c r="BC2396" t="inlineStr">
        <is>
          <t>X</t>
        </is>
      </c>
      <c r="BD2396" t="inlineStr">
        <is>
          <t>X</t>
        </is>
      </c>
      <c r="BF2396" t="inlineStr">
        <is>
          <t>X</t>
        </is>
      </c>
      <c r="BH2396" t="inlineStr">
        <is>
          <t>X</t>
        </is>
      </c>
      <c r="BI2396" t="inlineStr">
        <is>
          <t>X</t>
        </is>
      </c>
      <c r="BJ2396" t="inlineStr">
        <is>
          <t>X</t>
        </is>
      </c>
      <c r="BL2396" t="inlineStr">
        <is>
          <t>X</t>
        </is>
      </c>
      <c r="BP2396" t="inlineStr">
        <is>
          <t>X</t>
        </is>
      </c>
      <c r="BS2396" t="inlineStr">
        <is>
          <t>X</t>
        </is>
      </c>
      <c r="BY2396" t="inlineStr">
        <is>
          <t>D</t>
        </is>
      </c>
      <c r="CA2396" t="inlineStr">
        <is>
          <t>X</t>
        </is>
      </c>
      <c r="CG2396" t="inlineStr">
        <is>
          <t>X</t>
        </is>
      </c>
      <c r="CL2396" t="inlineStr">
        <is>
          <t>D</t>
        </is>
      </c>
      <c r="CN2396" t="inlineStr">
        <is>
          <t>X</t>
        </is>
      </c>
      <c r="CP2396" t="inlineStr">
        <is>
          <t>X</t>
        </is>
      </c>
      <c r="CV2396" t="inlineStr">
        <is>
          <t>X</t>
        </is>
      </c>
      <c r="CZ2396" t="inlineStr">
        <is>
          <t>D</t>
        </is>
      </c>
      <c r="DC2396" t="inlineStr">
        <is>
          <t>X</t>
        </is>
      </c>
      <c r="DI2396" t="inlineStr">
        <is>
          <t>X</t>
        </is>
      </c>
      <c r="DL2396" t="inlineStr">
        <is>
          <t>X</t>
        </is>
      </c>
      <c r="DN2396" t="inlineStr">
        <is>
          <t>X</t>
        </is>
      </c>
      <c r="DS2396" t="inlineStr">
        <is>
          <t>D</t>
        </is>
      </c>
      <c r="DT2396" t="inlineStr">
        <is>
          <t>D</t>
        </is>
      </c>
      <c r="DU2396" t="inlineStr">
        <is>
          <t>X</t>
        </is>
      </c>
      <c r="DW2396" t="inlineStr">
        <is>
          <t>D</t>
        </is>
      </c>
      <c r="DX2396" t="inlineStr">
        <is>
          <t>X</t>
        </is>
      </c>
      <c r="EA2396" t="inlineStr">
        <is>
          <t>X</t>
        </is>
      </c>
      <c r="EF2396" t="inlineStr">
        <is>
          <t>X</t>
        </is>
      </c>
    </row>
    <row r="2397">
      <c r="A2397" t="inlineStr">
        <is>
          <t>OH0021085947</t>
        </is>
      </c>
      <c r="B2397" t="n">
        <v>78</v>
      </c>
      <c r="C2397" t="n">
        <v>375009</v>
      </c>
      <c r="D2397" t="inlineStr">
        <is>
          <t>RIVERS</t>
        </is>
      </c>
      <c r="E2397" t="inlineStr">
        <is>
          <t>ERICKA</t>
        </is>
      </c>
      <c r="F2397">
        <f>CONCATENATE(D2397," ",LEFT(H2397,4),"T=",AU2397,"D=",AV2397,"R=",AW2397,"M=",AX2397,"L=",AY2397,"B=",AZ2397)</f>
        <v/>
      </c>
      <c r="G2397" t="inlineStr">
        <is>
          <t>LYNN</t>
        </is>
      </c>
      <c r="I2397" t="inlineStr">
        <is>
          <t>1992-02-22</t>
        </is>
      </c>
      <c r="J2397" t="inlineStr">
        <is>
          <t>2016-12-08</t>
        </is>
      </c>
      <c r="K2397" t="inlineStr">
        <is>
          <t>CONFIRMATION</t>
        </is>
      </c>
      <c r="M2397" t="inlineStr">
        <is>
          <t>1714 TRANSYLVANIA AVE SE</t>
        </is>
      </c>
      <c r="N2397">
        <f>RIGHT(M2397,LEN(M2397)-FIND(" ",M2397))</f>
        <v/>
      </c>
      <c r="P2397" t="inlineStr">
        <is>
          <t>WARREN</t>
        </is>
      </c>
      <c r="Q2397" t="inlineStr">
        <is>
          <t>OH</t>
        </is>
      </c>
      <c r="R2397" t="n">
        <v>44484</v>
      </c>
      <c r="AD2397" t="inlineStr">
        <is>
          <t>TRUMBULL CAREER &amp; TECH CENTER</t>
        </is>
      </c>
      <c r="AE2397" t="inlineStr">
        <is>
          <t>WARREN CITY</t>
        </is>
      </c>
      <c r="AF2397" t="inlineStr">
        <is>
          <t>WARREN CITY SD</t>
        </is>
      </c>
      <c r="AH2397" t="n">
        <v>14</v>
      </c>
      <c r="AI2397" t="n">
        <v>11</v>
      </c>
      <c r="AN2397" t="inlineStr">
        <is>
          <t>WARREN</t>
        </is>
      </c>
      <c r="AO2397" t="inlineStr">
        <is>
          <t>WARREN CITY 4F</t>
        </is>
      </c>
      <c r="AP2397" t="inlineStr">
        <is>
          <t>78-P-ADN</t>
        </is>
      </c>
      <c r="AQ2397" t="n">
        <v>9</v>
      </c>
      <c r="AR2397" t="n">
        <v>64</v>
      </c>
      <c r="AS2397" t="n">
        <v>32</v>
      </c>
      <c r="AU2397">
        <f>COUNTA($BA$2397:$EH$2397)</f>
        <v/>
      </c>
      <c r="AV2397">
        <f>COUNTIF($BA$2397:$EH$2397,"D")</f>
        <v/>
      </c>
      <c r="AW2397">
        <f>COUNTIF($BA$2397:$EH$2397,"R")</f>
        <v/>
      </c>
      <c r="AX2397">
        <f>IF(BN2397="D",1,0)+IF(BO2397="D",1,0)+IF(BT2397="D",1,0)+IF(BU2397="D",1,0)+IF(BW2397="D",1,0)+IF(CC2397="D",1,0)+IF(CD2397="D",1,0)+IF(CE2397="D",1,0)+IF(CF2397="D",1,0)+IF(CL2397="D",1,0)+IF(CM2397="D",1,0)+IF(CQ2397="D",1,0)+IF(CR2397="D",1,0)+IF(CS2397="D",1,0)+IF(CW2397="D",1,0)+IF(CX2397="D",1,0)+IF(DD2397="D",1,0)+IF(DE2397="D",1,0)+IF(DJ2397="D",1,0)+IF(DK2397="D",1,0)+IF(DO2397="D",1,0)+IF(DP2397="D",1,0)+IF(DQ2397="D",1,0)+IF(DW2397="D",1,0)+IF(DZ2397="D",1,0)+IF(EH2397="D",1,0)</f>
        <v/>
      </c>
      <c r="AY2397">
        <f>IF(DJ2397&lt;&gt;"",1,0)+IF(DK2397&lt;&gt;"",1,0)+IF(DM2397&lt;&gt;"",1,0)+IF(DO2397&lt;&gt;"",1,0)+IF(DP2397&lt;&gt;"",1,0)+IF(DQ2397&lt;&gt;"",1,0)+IF(DS2397&lt;&gt;"",1,0)+IF(DT2397&lt;&gt;"",1,0)+IF(DV2397&lt;&gt;"",1,0)+IF(DW2397&lt;&gt;"",1,0)+IF(DX2397&lt;&gt;"",1,0)+IF(DY2397&lt;&gt;"",1,0)+IF(DZ2397&lt;&gt;"",1,0)+IF(EB2397&lt;&gt;"",1,0)+IF(EC2397&lt;&gt;"",1,0)+IF(ED2397&lt;&gt;"",1,0)+IF(EG2397&lt;&gt;"",1,0)+IF(EH2397&lt;&gt;"",1,0)</f>
        <v/>
      </c>
      <c r="AZ2397">
        <f>IF(EH2397&lt;&gt;"",1,0)</f>
        <v/>
      </c>
      <c r="BB2397" t="inlineStr">
        <is>
          <t>WARREN-WARD 4</t>
        </is>
      </c>
      <c r="CY2397" t="inlineStr">
        <is>
          <t>X</t>
        </is>
      </c>
      <c r="DC2397" t="inlineStr">
        <is>
          <t>X</t>
        </is>
      </c>
    </row>
    <row r="2398">
      <c r="A2398" t="inlineStr">
        <is>
          <t>OH0027843414</t>
        </is>
      </c>
      <c r="B2398" t="n">
        <v>78</v>
      </c>
      <c r="C2398" t="n">
        <v>494072</v>
      </c>
      <c r="D2398" t="inlineStr">
        <is>
          <t>KUTI</t>
        </is>
      </c>
      <c r="E2398" t="inlineStr">
        <is>
          <t>SARAH</t>
        </is>
      </c>
      <c r="F2398">
        <f>CONCATENATE(D2398," ",LEFT(H2398,4),"T=",AU2398,"D=",AV2398,"R=",AW2398,"M=",AX2398,"L=",AY2398,"B=",AZ2398)</f>
        <v/>
      </c>
      <c r="G2398" t="inlineStr">
        <is>
          <t>G</t>
        </is>
      </c>
      <c r="I2398" t="inlineStr">
        <is>
          <t>1998-08-14</t>
        </is>
      </c>
      <c r="J2398" t="inlineStr">
        <is>
          <t>2024-09-21</t>
        </is>
      </c>
      <c r="K2398" t="inlineStr">
        <is>
          <t>ACTIVE</t>
        </is>
      </c>
      <c r="M2398" t="inlineStr">
        <is>
          <t>1110 WOODBINE AVE SE</t>
        </is>
      </c>
      <c r="N2398">
        <f>RIGHT(M2398,LEN(M2398)-FIND(" ",M2398))</f>
        <v/>
      </c>
      <c r="P2398" t="inlineStr">
        <is>
          <t>WARREN</t>
        </is>
      </c>
      <c r="Q2398" t="inlineStr">
        <is>
          <t>OH</t>
        </is>
      </c>
      <c r="R2398" t="n">
        <v>44484</v>
      </c>
      <c r="AD2398" t="inlineStr">
        <is>
          <t>TRUMBULL CAREER &amp; TECH CENTER</t>
        </is>
      </c>
      <c r="AE2398" t="inlineStr">
        <is>
          <t>WARREN CITY</t>
        </is>
      </c>
      <c r="AF2398" t="inlineStr">
        <is>
          <t>WARREN CITY SD</t>
        </is>
      </c>
      <c r="AH2398" t="n">
        <v>14</v>
      </c>
      <c r="AI2398" t="n">
        <v>11</v>
      </c>
      <c r="AN2398" t="inlineStr">
        <is>
          <t>WARREN</t>
        </is>
      </c>
      <c r="AO2398" t="inlineStr">
        <is>
          <t>WARREN CITY 4F</t>
        </is>
      </c>
      <c r="AP2398" t="inlineStr">
        <is>
          <t>78-P-ADN</t>
        </is>
      </c>
      <c r="AQ2398" t="n">
        <v>9</v>
      </c>
      <c r="AR2398" t="n">
        <v>64</v>
      </c>
      <c r="AS2398" t="n">
        <v>32</v>
      </c>
      <c r="AU2398">
        <f>COUNTA($BA$2398:$EH$2398)</f>
        <v/>
      </c>
      <c r="AV2398">
        <f>COUNTIF($BA$2398:$EH$2398,"D")</f>
        <v/>
      </c>
      <c r="AW2398">
        <f>COUNTIF($BA$2398:$EH$2398,"R")</f>
        <v/>
      </c>
      <c r="AX2398">
        <f>IF(BN2398="D",1,0)+IF(BO2398="D",1,0)+IF(BT2398="D",1,0)+IF(BU2398="D",1,0)+IF(BW2398="D",1,0)+IF(CC2398="D",1,0)+IF(CD2398="D",1,0)+IF(CE2398="D",1,0)+IF(CF2398="D",1,0)+IF(CL2398="D",1,0)+IF(CM2398="D",1,0)+IF(CQ2398="D",1,0)+IF(CR2398="D",1,0)+IF(CS2398="D",1,0)+IF(CW2398="D",1,0)+IF(CX2398="D",1,0)+IF(DD2398="D",1,0)+IF(DE2398="D",1,0)+IF(DJ2398="D",1,0)+IF(DK2398="D",1,0)+IF(DO2398="D",1,0)+IF(DP2398="D",1,0)+IF(DQ2398="D",1,0)+IF(DW2398="D",1,0)+IF(DZ2398="D",1,0)+IF(EH2398="D",1,0)</f>
        <v/>
      </c>
      <c r="AY2398">
        <f>IF(DJ2398&lt;&gt;"",1,0)+IF(DK2398&lt;&gt;"",1,0)+IF(DM2398&lt;&gt;"",1,0)+IF(DO2398&lt;&gt;"",1,0)+IF(DP2398&lt;&gt;"",1,0)+IF(DQ2398&lt;&gt;"",1,0)+IF(DS2398&lt;&gt;"",1,0)+IF(DT2398&lt;&gt;"",1,0)+IF(DV2398&lt;&gt;"",1,0)+IF(DW2398&lt;&gt;"",1,0)+IF(DX2398&lt;&gt;"",1,0)+IF(DY2398&lt;&gt;"",1,0)+IF(DZ2398&lt;&gt;"",1,0)+IF(EB2398&lt;&gt;"",1,0)+IF(EC2398&lt;&gt;"",1,0)+IF(ED2398&lt;&gt;"",1,0)+IF(EG2398&lt;&gt;"",1,0)+IF(EH2398&lt;&gt;"",1,0)</f>
        <v/>
      </c>
      <c r="AZ2398">
        <f>IF(EH2398&lt;&gt;"",1,0)</f>
        <v/>
      </c>
      <c r="BB2398" t="inlineStr">
        <is>
          <t>WARREN-WARD 4</t>
        </is>
      </c>
    </row>
    <row r="2399">
      <c r="A2399" t="inlineStr">
        <is>
          <t>OH0020898942</t>
        </is>
      </c>
      <c r="B2399" t="n">
        <v>78</v>
      </c>
      <c r="C2399" t="n">
        <v>371645</v>
      </c>
      <c r="D2399" t="inlineStr">
        <is>
          <t>SHAVER</t>
        </is>
      </c>
      <c r="E2399" t="inlineStr">
        <is>
          <t>CARL</t>
        </is>
      </c>
      <c r="F2399">
        <f>CONCATENATE(D2399," ",LEFT(H2399,4),"T=",AU2399,"D=",AV2399,"R=",AW2399,"M=",AX2399,"L=",AY2399,"B=",AZ2399)</f>
        <v/>
      </c>
      <c r="G2399" t="inlineStr">
        <is>
          <t>AVERY</t>
        </is>
      </c>
      <c r="I2399" t="inlineStr">
        <is>
          <t>1991-08-20</t>
        </is>
      </c>
      <c r="J2399" t="inlineStr">
        <is>
          <t>2018-06-15</t>
        </is>
      </c>
      <c r="K2399" t="inlineStr">
        <is>
          <t>CONFIRMATION</t>
        </is>
      </c>
      <c r="M2399" t="inlineStr">
        <is>
          <t>1638 WOODBINE AVE SE</t>
        </is>
      </c>
      <c r="N2399">
        <f>RIGHT(M2399,LEN(M2399)-FIND(" ",M2399))</f>
        <v/>
      </c>
      <c r="P2399" t="inlineStr">
        <is>
          <t>WARREN</t>
        </is>
      </c>
      <c r="Q2399" t="inlineStr">
        <is>
          <t>OH</t>
        </is>
      </c>
      <c r="R2399" t="n">
        <v>44484</v>
      </c>
      <c r="AD2399" t="inlineStr">
        <is>
          <t>TRUMBULL CAREER &amp; TECH CENTER</t>
        </is>
      </c>
      <c r="AE2399" t="inlineStr">
        <is>
          <t>WARREN CITY</t>
        </is>
      </c>
      <c r="AF2399" t="inlineStr">
        <is>
          <t>WARREN CITY SD</t>
        </is>
      </c>
      <c r="AH2399" t="n">
        <v>14</v>
      </c>
      <c r="AI2399" t="n">
        <v>11</v>
      </c>
      <c r="AN2399" t="inlineStr">
        <is>
          <t>WARREN</t>
        </is>
      </c>
      <c r="AO2399" t="inlineStr">
        <is>
          <t>WARREN CITY 4F</t>
        </is>
      </c>
      <c r="AP2399" t="inlineStr">
        <is>
          <t>78-P-ADN</t>
        </is>
      </c>
      <c r="AQ2399" t="n">
        <v>9</v>
      </c>
      <c r="AR2399" t="n">
        <v>64</v>
      </c>
      <c r="AS2399" t="n">
        <v>32</v>
      </c>
      <c r="AU2399">
        <f>COUNTA($BA$2399:$EH$2399)</f>
        <v/>
      </c>
      <c r="AV2399">
        <f>COUNTIF($BA$2399:$EH$2399,"D")</f>
        <v/>
      </c>
      <c r="AW2399">
        <f>COUNTIF($BA$2399:$EH$2399,"R")</f>
        <v/>
      </c>
      <c r="AX2399">
        <f>IF(BN2399="D",1,0)+IF(BO2399="D",1,0)+IF(BT2399="D",1,0)+IF(BU2399="D",1,0)+IF(BW2399="D",1,0)+IF(CC2399="D",1,0)+IF(CD2399="D",1,0)+IF(CE2399="D",1,0)+IF(CF2399="D",1,0)+IF(CL2399="D",1,0)+IF(CM2399="D",1,0)+IF(CQ2399="D",1,0)+IF(CR2399="D",1,0)+IF(CS2399="D",1,0)+IF(CW2399="D",1,0)+IF(CX2399="D",1,0)+IF(DD2399="D",1,0)+IF(DE2399="D",1,0)+IF(DJ2399="D",1,0)+IF(DK2399="D",1,0)+IF(DO2399="D",1,0)+IF(DP2399="D",1,0)+IF(DQ2399="D",1,0)+IF(DW2399="D",1,0)+IF(DZ2399="D",1,0)+IF(EH2399="D",1,0)</f>
        <v/>
      </c>
      <c r="AY2399">
        <f>IF(DJ2399&lt;&gt;"",1,0)+IF(DK2399&lt;&gt;"",1,0)+IF(DM2399&lt;&gt;"",1,0)+IF(DO2399&lt;&gt;"",1,0)+IF(DP2399&lt;&gt;"",1,0)+IF(DQ2399&lt;&gt;"",1,0)+IF(DS2399&lt;&gt;"",1,0)+IF(DT2399&lt;&gt;"",1,0)+IF(DV2399&lt;&gt;"",1,0)+IF(DW2399&lt;&gt;"",1,0)+IF(DX2399&lt;&gt;"",1,0)+IF(DY2399&lt;&gt;"",1,0)+IF(DZ2399&lt;&gt;"",1,0)+IF(EB2399&lt;&gt;"",1,0)+IF(EC2399&lt;&gt;"",1,0)+IF(ED2399&lt;&gt;"",1,0)+IF(EG2399&lt;&gt;"",1,0)+IF(EH2399&lt;&gt;"",1,0)</f>
        <v/>
      </c>
      <c r="AZ2399">
        <f>IF(EH2399&lt;&gt;"",1,0)</f>
        <v/>
      </c>
      <c r="BB2399" t="inlineStr">
        <is>
          <t>WARREN-WARD 4</t>
        </is>
      </c>
    </row>
    <row r="2400">
      <c r="A2400" t="inlineStr">
        <is>
          <t>OH0019196484</t>
        </is>
      </c>
      <c r="B2400" t="n">
        <v>78</v>
      </c>
      <c r="C2400" t="n">
        <v>350971</v>
      </c>
      <c r="D2400" t="inlineStr">
        <is>
          <t>MCCLAIN</t>
        </is>
      </c>
      <c r="E2400" t="inlineStr">
        <is>
          <t>KYLE</t>
        </is>
      </c>
      <c r="F2400">
        <f>CONCATENATE(D2400," ",LEFT(H2400,4),"T=",AU2400,"D=",AV2400,"R=",AW2400,"M=",AX2400,"L=",AY2400,"B=",AZ2400)</f>
        <v/>
      </c>
      <c r="G2400" t="inlineStr">
        <is>
          <t>MICHAEL</t>
        </is>
      </c>
      <c r="I2400" t="inlineStr">
        <is>
          <t>1989-06-18</t>
        </is>
      </c>
      <c r="J2400" t="inlineStr">
        <is>
          <t>2020-06-17</t>
        </is>
      </c>
      <c r="K2400" t="inlineStr">
        <is>
          <t>CONFIRMATION</t>
        </is>
      </c>
      <c r="M2400" t="inlineStr">
        <is>
          <t>1009 EAST AVE SE</t>
        </is>
      </c>
      <c r="N2400">
        <f>RIGHT(M2400,LEN(M2400)-FIND(" ",M2400))</f>
        <v/>
      </c>
      <c r="P2400" t="inlineStr">
        <is>
          <t>WARREN</t>
        </is>
      </c>
      <c r="Q2400" t="inlineStr">
        <is>
          <t>OH</t>
        </is>
      </c>
      <c r="R2400" t="n">
        <v>44484</v>
      </c>
      <c r="AD2400" t="inlineStr">
        <is>
          <t>TRUMBULL CAREER &amp; TECH CENTER</t>
        </is>
      </c>
      <c r="AE2400" t="inlineStr">
        <is>
          <t>WARREN CITY</t>
        </is>
      </c>
      <c r="AF2400" t="inlineStr">
        <is>
          <t>WARREN CITY SD</t>
        </is>
      </c>
      <c r="AH2400" t="n">
        <v>14</v>
      </c>
      <c r="AI2400" t="n">
        <v>11</v>
      </c>
      <c r="AN2400" t="inlineStr">
        <is>
          <t>WARREN</t>
        </is>
      </c>
      <c r="AO2400" t="inlineStr">
        <is>
          <t>WARREN CITY 4F</t>
        </is>
      </c>
      <c r="AP2400" t="inlineStr">
        <is>
          <t>78-P-ADN</t>
        </is>
      </c>
      <c r="AQ2400" t="n">
        <v>9</v>
      </c>
      <c r="AR2400" t="n">
        <v>64</v>
      </c>
      <c r="AS2400" t="n">
        <v>32</v>
      </c>
      <c r="AU2400">
        <f>COUNTA($BA$2400:$EH$2400)</f>
        <v/>
      </c>
      <c r="AV2400">
        <f>COUNTIF($BA$2400:$EH$2400,"D")</f>
        <v/>
      </c>
      <c r="AW2400">
        <f>COUNTIF($BA$2400:$EH$2400,"R")</f>
        <v/>
      </c>
      <c r="AX2400">
        <f>IF(BN2400="D",1,0)+IF(BO2400="D",1,0)+IF(BT2400="D",1,0)+IF(BU2400="D",1,0)+IF(BW2400="D",1,0)+IF(CC2400="D",1,0)+IF(CD2400="D",1,0)+IF(CE2400="D",1,0)+IF(CF2400="D",1,0)+IF(CL2400="D",1,0)+IF(CM2400="D",1,0)+IF(CQ2400="D",1,0)+IF(CR2400="D",1,0)+IF(CS2400="D",1,0)+IF(CW2400="D",1,0)+IF(CX2400="D",1,0)+IF(DD2400="D",1,0)+IF(DE2400="D",1,0)+IF(DJ2400="D",1,0)+IF(DK2400="D",1,0)+IF(DO2400="D",1,0)+IF(DP2400="D",1,0)+IF(DQ2400="D",1,0)+IF(DW2400="D",1,0)+IF(DZ2400="D",1,0)+IF(EH2400="D",1,0)</f>
        <v/>
      </c>
      <c r="AY2400">
        <f>IF(DJ2400&lt;&gt;"",1,0)+IF(DK2400&lt;&gt;"",1,0)+IF(DM2400&lt;&gt;"",1,0)+IF(DO2400&lt;&gt;"",1,0)+IF(DP2400&lt;&gt;"",1,0)+IF(DQ2400&lt;&gt;"",1,0)+IF(DS2400&lt;&gt;"",1,0)+IF(DT2400&lt;&gt;"",1,0)+IF(DV2400&lt;&gt;"",1,0)+IF(DW2400&lt;&gt;"",1,0)+IF(DX2400&lt;&gt;"",1,0)+IF(DY2400&lt;&gt;"",1,0)+IF(DZ2400&lt;&gt;"",1,0)+IF(EB2400&lt;&gt;"",1,0)+IF(EC2400&lt;&gt;"",1,0)+IF(ED2400&lt;&gt;"",1,0)+IF(EG2400&lt;&gt;"",1,0)+IF(EH2400&lt;&gt;"",1,0)</f>
        <v/>
      </c>
      <c r="AZ2400">
        <f>IF(EH2400&lt;&gt;"",1,0)</f>
        <v/>
      </c>
      <c r="BB2400" t="inlineStr">
        <is>
          <t>WARREN-WARD 4</t>
        </is>
      </c>
    </row>
    <row r="2401">
      <c r="A2401" t="inlineStr">
        <is>
          <t>OH0026841158</t>
        </is>
      </c>
      <c r="B2401" t="n">
        <v>78</v>
      </c>
      <c r="C2401" t="n">
        <v>472263</v>
      </c>
      <c r="D2401" t="inlineStr">
        <is>
          <t>JOHNSON</t>
        </is>
      </c>
      <c r="E2401" t="inlineStr">
        <is>
          <t>NILAH</t>
        </is>
      </c>
      <c r="F2401">
        <f>CONCATENATE(D2401," ",LEFT(H2401,4),"T=",AU2401,"D=",AV2401,"R=",AW2401,"M=",AX2401,"L=",AY2401,"B=",AZ2401)</f>
        <v/>
      </c>
      <c r="G2401" t="inlineStr">
        <is>
          <t>JANAE</t>
        </is>
      </c>
      <c r="I2401" t="inlineStr">
        <is>
          <t>2004-06-23</t>
        </is>
      </c>
      <c r="J2401" t="inlineStr">
        <is>
          <t>2023-03-04</t>
        </is>
      </c>
      <c r="K2401" t="inlineStr">
        <is>
          <t>ACTIVE</t>
        </is>
      </c>
      <c r="M2401" t="inlineStr">
        <is>
          <t>1819 BRIER ST SE</t>
        </is>
      </c>
      <c r="N2401">
        <f>RIGHT(M2401,LEN(M2401)-FIND(" ",M2401))</f>
        <v/>
      </c>
      <c r="P2401" t="inlineStr">
        <is>
          <t>WARREN</t>
        </is>
      </c>
      <c r="Q2401" t="inlineStr">
        <is>
          <t>OH</t>
        </is>
      </c>
      <c r="R2401" t="n">
        <v>44484</v>
      </c>
      <c r="AD2401" t="inlineStr">
        <is>
          <t>TRUMBULL CAREER &amp; TECH CENTER</t>
        </is>
      </c>
      <c r="AE2401" t="inlineStr">
        <is>
          <t>WARREN CITY</t>
        </is>
      </c>
      <c r="AF2401" t="inlineStr">
        <is>
          <t>WARREN CITY SD</t>
        </is>
      </c>
      <c r="AH2401" t="n">
        <v>14</v>
      </c>
      <c r="AI2401" t="n">
        <v>11</v>
      </c>
      <c r="AN2401" t="inlineStr">
        <is>
          <t>WARREN</t>
        </is>
      </c>
      <c r="AO2401" t="inlineStr">
        <is>
          <t>WARREN CITY 4F</t>
        </is>
      </c>
      <c r="AP2401" t="inlineStr">
        <is>
          <t>78-P-ADN</t>
        </is>
      </c>
      <c r="AQ2401" t="n">
        <v>9</v>
      </c>
      <c r="AR2401" t="n">
        <v>64</v>
      </c>
      <c r="AS2401" t="n">
        <v>32</v>
      </c>
      <c r="AU2401">
        <f>COUNTA($BA$2401:$EH$2401)</f>
        <v/>
      </c>
      <c r="AV2401">
        <f>COUNTIF($BA$2401:$EH$2401,"D")</f>
        <v/>
      </c>
      <c r="AW2401">
        <f>COUNTIF($BA$2401:$EH$2401,"R")</f>
        <v/>
      </c>
      <c r="AX2401">
        <f>IF(BN2401="D",1,0)+IF(BO2401="D",1,0)+IF(BT2401="D",1,0)+IF(BU2401="D",1,0)+IF(BW2401="D",1,0)+IF(CC2401="D",1,0)+IF(CD2401="D",1,0)+IF(CE2401="D",1,0)+IF(CF2401="D",1,0)+IF(CL2401="D",1,0)+IF(CM2401="D",1,0)+IF(CQ2401="D",1,0)+IF(CR2401="D",1,0)+IF(CS2401="D",1,0)+IF(CW2401="D",1,0)+IF(CX2401="D",1,0)+IF(DD2401="D",1,0)+IF(DE2401="D",1,0)+IF(DJ2401="D",1,0)+IF(DK2401="D",1,0)+IF(DO2401="D",1,0)+IF(DP2401="D",1,0)+IF(DQ2401="D",1,0)+IF(DW2401="D",1,0)+IF(DZ2401="D",1,0)+IF(EH2401="D",1,0)</f>
        <v/>
      </c>
      <c r="AY2401">
        <f>IF(DJ2401&lt;&gt;"",1,0)+IF(DK2401&lt;&gt;"",1,0)+IF(DM2401&lt;&gt;"",1,0)+IF(DO2401&lt;&gt;"",1,0)+IF(DP2401&lt;&gt;"",1,0)+IF(DQ2401&lt;&gt;"",1,0)+IF(DS2401&lt;&gt;"",1,0)+IF(DT2401&lt;&gt;"",1,0)+IF(DV2401&lt;&gt;"",1,0)+IF(DW2401&lt;&gt;"",1,0)+IF(DX2401&lt;&gt;"",1,0)+IF(DY2401&lt;&gt;"",1,0)+IF(DZ2401&lt;&gt;"",1,0)+IF(EB2401&lt;&gt;"",1,0)+IF(EC2401&lt;&gt;"",1,0)+IF(ED2401&lt;&gt;"",1,0)+IF(EG2401&lt;&gt;"",1,0)+IF(EH2401&lt;&gt;"",1,0)</f>
        <v/>
      </c>
      <c r="AZ2401">
        <f>IF(EH2401&lt;&gt;"",1,0)</f>
        <v/>
      </c>
      <c r="BB2401" t="inlineStr">
        <is>
          <t>WARREN-WARD 4</t>
        </is>
      </c>
      <c r="EF2401" t="inlineStr">
        <is>
          <t>X</t>
        </is>
      </c>
    </row>
    <row r="2402">
      <c r="A2402" t="inlineStr">
        <is>
          <t>OH0024166303</t>
        </is>
      </c>
      <c r="B2402" t="n">
        <v>78</v>
      </c>
      <c r="C2402" t="n">
        <v>422783</v>
      </c>
      <c r="D2402" t="inlineStr">
        <is>
          <t>DAVIS</t>
        </is>
      </c>
      <c r="E2402" t="inlineStr">
        <is>
          <t>TAMISHA</t>
        </is>
      </c>
      <c r="F2402">
        <f>CONCATENATE(D2402," ",LEFT(H2402,4),"T=",AU2402,"D=",AV2402,"R=",AW2402,"M=",AX2402,"L=",AY2402,"B=",AZ2402)</f>
        <v/>
      </c>
      <c r="G2402" t="inlineStr">
        <is>
          <t>L</t>
        </is>
      </c>
      <c r="I2402" t="inlineStr">
        <is>
          <t>1992-05-20</t>
        </is>
      </c>
      <c r="J2402" t="inlineStr">
        <is>
          <t>2024-11-05</t>
        </is>
      </c>
      <c r="K2402" t="inlineStr">
        <is>
          <t>ACTIVE</t>
        </is>
      </c>
      <c r="M2402" t="inlineStr">
        <is>
          <t>2253 DRAPER AVE SE</t>
        </is>
      </c>
      <c r="N2402">
        <f>RIGHT(M2402,LEN(M2402)-FIND(" ",M2402))</f>
        <v/>
      </c>
      <c r="P2402" t="inlineStr">
        <is>
          <t>WARREN</t>
        </is>
      </c>
      <c r="Q2402" t="inlineStr">
        <is>
          <t>OH</t>
        </is>
      </c>
      <c r="R2402" t="n">
        <v>44484</v>
      </c>
      <c r="AD2402" t="inlineStr">
        <is>
          <t>TRUMBULL CAREER &amp; TECH CENTER</t>
        </is>
      </c>
      <c r="AE2402" t="inlineStr">
        <is>
          <t>WARREN CITY</t>
        </is>
      </c>
      <c r="AF2402" t="inlineStr">
        <is>
          <t>WARREN CITY SD</t>
        </is>
      </c>
      <c r="AH2402" t="n">
        <v>14</v>
      </c>
      <c r="AI2402" t="n">
        <v>11</v>
      </c>
      <c r="AN2402" t="inlineStr">
        <is>
          <t>WARREN</t>
        </is>
      </c>
      <c r="AO2402" t="inlineStr">
        <is>
          <t>WARREN CITY 4F</t>
        </is>
      </c>
      <c r="AP2402" t="inlineStr">
        <is>
          <t>78-P-ADN</t>
        </is>
      </c>
      <c r="AQ2402" t="n">
        <v>9</v>
      </c>
      <c r="AR2402" t="n">
        <v>64</v>
      </c>
      <c r="AS2402" t="n">
        <v>32</v>
      </c>
      <c r="AU2402">
        <f>COUNTA($BA$2402:$EH$2402)</f>
        <v/>
      </c>
      <c r="AV2402">
        <f>COUNTIF($BA$2402:$EH$2402,"D")</f>
        <v/>
      </c>
      <c r="AW2402">
        <f>COUNTIF($BA$2402:$EH$2402,"R")</f>
        <v/>
      </c>
      <c r="AX2402">
        <f>IF(BN2402="D",1,0)+IF(BO2402="D",1,0)+IF(BT2402="D",1,0)+IF(BU2402="D",1,0)+IF(BW2402="D",1,0)+IF(CC2402="D",1,0)+IF(CD2402="D",1,0)+IF(CE2402="D",1,0)+IF(CF2402="D",1,0)+IF(CL2402="D",1,0)+IF(CM2402="D",1,0)+IF(CQ2402="D",1,0)+IF(CR2402="D",1,0)+IF(CS2402="D",1,0)+IF(CW2402="D",1,0)+IF(CX2402="D",1,0)+IF(DD2402="D",1,0)+IF(DE2402="D",1,0)+IF(DJ2402="D",1,0)+IF(DK2402="D",1,0)+IF(DO2402="D",1,0)+IF(DP2402="D",1,0)+IF(DQ2402="D",1,0)+IF(DW2402="D",1,0)+IF(DZ2402="D",1,0)+IF(EH2402="D",1,0)</f>
        <v/>
      </c>
      <c r="AY2402">
        <f>IF(DJ2402&lt;&gt;"",1,0)+IF(DK2402&lt;&gt;"",1,0)+IF(DM2402&lt;&gt;"",1,0)+IF(DO2402&lt;&gt;"",1,0)+IF(DP2402&lt;&gt;"",1,0)+IF(DQ2402&lt;&gt;"",1,0)+IF(DS2402&lt;&gt;"",1,0)+IF(DT2402&lt;&gt;"",1,0)+IF(DV2402&lt;&gt;"",1,0)+IF(DW2402&lt;&gt;"",1,0)+IF(DX2402&lt;&gt;"",1,0)+IF(DY2402&lt;&gt;"",1,0)+IF(DZ2402&lt;&gt;"",1,0)+IF(EB2402&lt;&gt;"",1,0)+IF(EC2402&lt;&gt;"",1,0)+IF(ED2402&lt;&gt;"",1,0)+IF(EG2402&lt;&gt;"",1,0)+IF(EH2402&lt;&gt;"",1,0)</f>
        <v/>
      </c>
      <c r="AZ2402">
        <f>IF(EH2402&lt;&gt;"",1,0)</f>
        <v/>
      </c>
      <c r="BB2402" t="inlineStr">
        <is>
          <t>WARREN-WARD 4</t>
        </is>
      </c>
      <c r="CK2402" t="inlineStr">
        <is>
          <t>X</t>
        </is>
      </c>
      <c r="CP2402" t="inlineStr">
        <is>
          <t>X</t>
        </is>
      </c>
      <c r="CV2402" t="inlineStr">
        <is>
          <t>X</t>
        </is>
      </c>
      <c r="CZ2402" t="inlineStr">
        <is>
          <t>D</t>
        </is>
      </c>
      <c r="DC2402" t="inlineStr">
        <is>
          <t>X</t>
        </is>
      </c>
      <c r="DN2402" t="inlineStr">
        <is>
          <t>X</t>
        </is>
      </c>
      <c r="DU2402" t="inlineStr">
        <is>
          <t>X</t>
        </is>
      </c>
      <c r="DX2402" t="inlineStr">
        <is>
          <t>X</t>
        </is>
      </c>
      <c r="EF2402" t="inlineStr">
        <is>
          <t>X</t>
        </is>
      </c>
    </row>
    <row r="2403">
      <c r="A2403" t="inlineStr">
        <is>
          <t>OH0015761986</t>
        </is>
      </c>
      <c r="B2403" t="n">
        <v>78</v>
      </c>
      <c r="C2403" t="n">
        <v>327716</v>
      </c>
      <c r="D2403" t="inlineStr">
        <is>
          <t>BAUGH</t>
        </is>
      </c>
      <c r="E2403" t="inlineStr">
        <is>
          <t>TENNILLE</t>
        </is>
      </c>
      <c r="F2403">
        <f>CONCATENATE(D2403," ",LEFT(H2403,4),"T=",AU2403,"D=",AV2403,"R=",AW2403,"M=",AX2403,"L=",AY2403,"B=",AZ2403)</f>
        <v/>
      </c>
      <c r="G2403" t="inlineStr">
        <is>
          <t>M</t>
        </is>
      </c>
      <c r="I2403" t="inlineStr">
        <is>
          <t>1976-09-22</t>
        </is>
      </c>
      <c r="J2403" t="inlineStr">
        <is>
          <t>2021-01-24</t>
        </is>
      </c>
      <c r="K2403" t="inlineStr">
        <is>
          <t>ACTIVE</t>
        </is>
      </c>
      <c r="M2403" t="inlineStr">
        <is>
          <t>1140 WOODBINE AVE SE</t>
        </is>
      </c>
      <c r="N2403">
        <f>RIGHT(M2403,LEN(M2403)-FIND(" ",M2403))</f>
        <v/>
      </c>
      <c r="P2403" t="inlineStr">
        <is>
          <t>WARREN</t>
        </is>
      </c>
      <c r="Q2403" t="inlineStr">
        <is>
          <t>OH</t>
        </is>
      </c>
      <c r="R2403" t="n">
        <v>44484</v>
      </c>
      <c r="AD2403" t="inlineStr">
        <is>
          <t>TRUMBULL CAREER &amp; TECH CENTER</t>
        </is>
      </c>
      <c r="AE2403" t="inlineStr">
        <is>
          <t>WARREN CITY</t>
        </is>
      </c>
      <c r="AF2403" t="inlineStr">
        <is>
          <t>WARREN CITY SD</t>
        </is>
      </c>
      <c r="AH2403" t="n">
        <v>14</v>
      </c>
      <c r="AI2403" t="n">
        <v>11</v>
      </c>
      <c r="AN2403" t="inlineStr">
        <is>
          <t>WARREN</t>
        </is>
      </c>
      <c r="AO2403" t="inlineStr">
        <is>
          <t>WARREN CITY 4F</t>
        </is>
      </c>
      <c r="AP2403" t="inlineStr">
        <is>
          <t>78-P-ADN</t>
        </is>
      </c>
      <c r="AQ2403" t="n">
        <v>9</v>
      </c>
      <c r="AR2403" t="n">
        <v>64</v>
      </c>
      <c r="AS2403" t="n">
        <v>32</v>
      </c>
      <c r="AU2403">
        <f>COUNTA($BA$2403:$EH$2403)</f>
        <v/>
      </c>
      <c r="AV2403">
        <f>COUNTIF($BA$2403:$EH$2403,"D")</f>
        <v/>
      </c>
      <c r="AW2403">
        <f>COUNTIF($BA$2403:$EH$2403,"R")</f>
        <v/>
      </c>
      <c r="AX2403">
        <f>IF(BN2403="D",1,0)+IF(BO2403="D",1,0)+IF(BT2403="D",1,0)+IF(BU2403="D",1,0)+IF(BW2403="D",1,0)+IF(CC2403="D",1,0)+IF(CD2403="D",1,0)+IF(CE2403="D",1,0)+IF(CF2403="D",1,0)+IF(CL2403="D",1,0)+IF(CM2403="D",1,0)+IF(CQ2403="D",1,0)+IF(CR2403="D",1,0)+IF(CS2403="D",1,0)+IF(CW2403="D",1,0)+IF(CX2403="D",1,0)+IF(DD2403="D",1,0)+IF(DE2403="D",1,0)+IF(DJ2403="D",1,0)+IF(DK2403="D",1,0)+IF(DO2403="D",1,0)+IF(DP2403="D",1,0)+IF(DQ2403="D",1,0)+IF(DW2403="D",1,0)+IF(DZ2403="D",1,0)+IF(EH2403="D",1,0)</f>
        <v/>
      </c>
      <c r="AY2403">
        <f>IF(DJ2403&lt;&gt;"",1,0)+IF(DK2403&lt;&gt;"",1,0)+IF(DM2403&lt;&gt;"",1,0)+IF(DO2403&lt;&gt;"",1,0)+IF(DP2403&lt;&gt;"",1,0)+IF(DQ2403&lt;&gt;"",1,0)+IF(DS2403&lt;&gt;"",1,0)+IF(DT2403&lt;&gt;"",1,0)+IF(DV2403&lt;&gt;"",1,0)+IF(DW2403&lt;&gt;"",1,0)+IF(DX2403&lt;&gt;"",1,0)+IF(DY2403&lt;&gt;"",1,0)+IF(DZ2403&lt;&gt;"",1,0)+IF(EB2403&lt;&gt;"",1,0)+IF(EC2403&lt;&gt;"",1,0)+IF(ED2403&lt;&gt;"",1,0)+IF(EG2403&lt;&gt;"",1,0)+IF(EH2403&lt;&gt;"",1,0)</f>
        <v/>
      </c>
      <c r="AZ2403">
        <f>IF(EH2403&lt;&gt;"",1,0)</f>
        <v/>
      </c>
      <c r="BB2403" t="inlineStr">
        <is>
          <t>WARREN-WARD 4</t>
        </is>
      </c>
      <c r="CY2403" t="inlineStr">
        <is>
          <t>X</t>
        </is>
      </c>
    </row>
    <row r="2404">
      <c r="A2404" t="inlineStr">
        <is>
          <t>OH0026822753</t>
        </is>
      </c>
      <c r="B2404" t="n">
        <v>78</v>
      </c>
      <c r="C2404" t="n">
        <v>470967</v>
      </c>
      <c r="D2404" t="inlineStr">
        <is>
          <t>IRVING</t>
        </is>
      </c>
      <c r="E2404" t="inlineStr">
        <is>
          <t>EMMA</t>
        </is>
      </c>
      <c r="F2404">
        <f>CONCATENATE(D2404," ",LEFT(H2404,4),"T=",AU2404,"D=",AV2404,"R=",AW2404,"M=",AX2404,"L=",AY2404,"B=",AZ2404)</f>
        <v/>
      </c>
      <c r="G2404" t="inlineStr">
        <is>
          <t>L</t>
        </is>
      </c>
      <c r="I2404" t="inlineStr">
        <is>
          <t>2004-12-05</t>
        </is>
      </c>
      <c r="J2404" t="inlineStr">
        <is>
          <t>2023-02-19</t>
        </is>
      </c>
      <c r="K2404" t="inlineStr">
        <is>
          <t>ACTIVE</t>
        </is>
      </c>
      <c r="M2404" t="inlineStr">
        <is>
          <t>1043 KENILWORTH AVE SE</t>
        </is>
      </c>
      <c r="N2404">
        <f>RIGHT(M2404,LEN(M2404)-FIND(" ",M2404))</f>
        <v/>
      </c>
      <c r="P2404" t="inlineStr">
        <is>
          <t>WARREN</t>
        </is>
      </c>
      <c r="Q2404" t="inlineStr">
        <is>
          <t>OH</t>
        </is>
      </c>
      <c r="R2404" t="n">
        <v>44484</v>
      </c>
      <c r="AD2404" t="inlineStr">
        <is>
          <t>TRUMBULL CAREER &amp; TECH CENTER</t>
        </is>
      </c>
      <c r="AE2404" t="inlineStr">
        <is>
          <t>WARREN CITY</t>
        </is>
      </c>
      <c r="AF2404" t="inlineStr">
        <is>
          <t>WARREN CITY SD</t>
        </is>
      </c>
      <c r="AH2404" t="n">
        <v>14</v>
      </c>
      <c r="AI2404" t="n">
        <v>11</v>
      </c>
      <c r="AN2404" t="inlineStr">
        <is>
          <t>WARREN</t>
        </is>
      </c>
      <c r="AO2404" t="inlineStr">
        <is>
          <t>WARREN CITY 4F</t>
        </is>
      </c>
      <c r="AP2404" t="inlineStr">
        <is>
          <t>78-P-ADN</t>
        </is>
      </c>
      <c r="AQ2404" t="n">
        <v>9</v>
      </c>
      <c r="AR2404" t="n">
        <v>64</v>
      </c>
      <c r="AS2404" t="n">
        <v>32</v>
      </c>
      <c r="AU2404">
        <f>COUNTA($BA$2404:$EH$2404)</f>
        <v/>
      </c>
      <c r="AV2404">
        <f>COUNTIF($BA$2404:$EH$2404,"D")</f>
        <v/>
      </c>
      <c r="AW2404">
        <f>COUNTIF($BA$2404:$EH$2404,"R")</f>
        <v/>
      </c>
      <c r="AX2404">
        <f>IF(BN2404="D",1,0)+IF(BO2404="D",1,0)+IF(BT2404="D",1,0)+IF(BU2404="D",1,0)+IF(BW2404="D",1,0)+IF(CC2404="D",1,0)+IF(CD2404="D",1,0)+IF(CE2404="D",1,0)+IF(CF2404="D",1,0)+IF(CL2404="D",1,0)+IF(CM2404="D",1,0)+IF(CQ2404="D",1,0)+IF(CR2404="D",1,0)+IF(CS2404="D",1,0)+IF(CW2404="D",1,0)+IF(CX2404="D",1,0)+IF(DD2404="D",1,0)+IF(DE2404="D",1,0)+IF(DJ2404="D",1,0)+IF(DK2404="D",1,0)+IF(DO2404="D",1,0)+IF(DP2404="D",1,0)+IF(DQ2404="D",1,0)+IF(DW2404="D",1,0)+IF(DZ2404="D",1,0)+IF(EH2404="D",1,0)</f>
        <v/>
      </c>
      <c r="AY2404">
        <f>IF(DJ2404&lt;&gt;"",1,0)+IF(DK2404&lt;&gt;"",1,0)+IF(DM2404&lt;&gt;"",1,0)+IF(DO2404&lt;&gt;"",1,0)+IF(DP2404&lt;&gt;"",1,0)+IF(DQ2404&lt;&gt;"",1,0)+IF(DS2404&lt;&gt;"",1,0)+IF(DT2404&lt;&gt;"",1,0)+IF(DV2404&lt;&gt;"",1,0)+IF(DW2404&lt;&gt;"",1,0)+IF(DX2404&lt;&gt;"",1,0)+IF(DY2404&lt;&gt;"",1,0)+IF(DZ2404&lt;&gt;"",1,0)+IF(EB2404&lt;&gt;"",1,0)+IF(EC2404&lt;&gt;"",1,0)+IF(ED2404&lt;&gt;"",1,0)+IF(EG2404&lt;&gt;"",1,0)+IF(EH2404&lt;&gt;"",1,0)</f>
        <v/>
      </c>
      <c r="AZ2404">
        <f>IF(EH2404&lt;&gt;"",1,0)</f>
        <v/>
      </c>
      <c r="BB2404" t="inlineStr">
        <is>
          <t>WARREN-WARD 4</t>
        </is>
      </c>
      <c r="DX2404" t="inlineStr">
        <is>
          <t>X</t>
        </is>
      </c>
      <c r="EA2404" t="inlineStr">
        <is>
          <t>X</t>
        </is>
      </c>
      <c r="EF2404" t="inlineStr">
        <is>
          <t>X</t>
        </is>
      </c>
    </row>
    <row r="2405">
      <c r="A2405" t="inlineStr">
        <is>
          <t>OH0015693882</t>
        </is>
      </c>
      <c r="B2405" t="n">
        <v>78</v>
      </c>
      <c r="C2405" t="n">
        <v>14464</v>
      </c>
      <c r="D2405" t="inlineStr">
        <is>
          <t>MCMAHAN</t>
        </is>
      </c>
      <c r="E2405" t="inlineStr">
        <is>
          <t>FRANCES</t>
        </is>
      </c>
      <c r="F2405">
        <f>CONCATENATE(D2405," ",LEFT(H2405,4),"T=",AU2405,"D=",AV2405,"R=",AW2405,"M=",AX2405,"L=",AY2405,"B=",AZ2405)</f>
        <v/>
      </c>
      <c r="G2405" t="inlineStr">
        <is>
          <t>KAY</t>
        </is>
      </c>
      <c r="I2405" t="inlineStr">
        <is>
          <t>1956-12-24</t>
        </is>
      </c>
      <c r="J2405" t="inlineStr">
        <is>
          <t>2016-06-20</t>
        </is>
      </c>
      <c r="K2405" t="inlineStr">
        <is>
          <t>CONFIRMATION</t>
        </is>
      </c>
      <c r="M2405" t="inlineStr">
        <is>
          <t>1009 EAST AVE SE</t>
        </is>
      </c>
      <c r="N2405">
        <f>RIGHT(M2405,LEN(M2405)-FIND(" ",M2405))</f>
        <v/>
      </c>
      <c r="P2405" t="inlineStr">
        <is>
          <t>WARREN</t>
        </is>
      </c>
      <c r="Q2405" t="inlineStr">
        <is>
          <t>OH</t>
        </is>
      </c>
      <c r="R2405" t="n">
        <v>44484</v>
      </c>
      <c r="AD2405" t="inlineStr">
        <is>
          <t>TRUMBULL CAREER &amp; TECH CENTER</t>
        </is>
      </c>
      <c r="AE2405" t="inlineStr">
        <is>
          <t>WARREN CITY</t>
        </is>
      </c>
      <c r="AF2405" t="inlineStr">
        <is>
          <t>WARREN CITY SD</t>
        </is>
      </c>
      <c r="AH2405" t="n">
        <v>14</v>
      </c>
      <c r="AI2405" t="n">
        <v>11</v>
      </c>
      <c r="AN2405" t="inlineStr">
        <is>
          <t>WARREN</t>
        </is>
      </c>
      <c r="AO2405" t="inlineStr">
        <is>
          <t>WARREN CITY 4F</t>
        </is>
      </c>
      <c r="AP2405" t="inlineStr">
        <is>
          <t>78-P-ADN</t>
        </is>
      </c>
      <c r="AQ2405" t="n">
        <v>9</v>
      </c>
      <c r="AR2405" t="n">
        <v>64</v>
      </c>
      <c r="AS2405" t="n">
        <v>32</v>
      </c>
      <c r="AU2405">
        <f>COUNTA($BA$2405:$EH$2405)</f>
        <v/>
      </c>
      <c r="AV2405">
        <f>COUNTIF($BA$2405:$EH$2405,"D")</f>
        <v/>
      </c>
      <c r="AW2405">
        <f>COUNTIF($BA$2405:$EH$2405,"R")</f>
        <v/>
      </c>
      <c r="AX2405">
        <f>IF(BN2405="D",1,0)+IF(BO2405="D",1,0)+IF(BT2405="D",1,0)+IF(BU2405="D",1,0)+IF(BW2405="D",1,0)+IF(CC2405="D",1,0)+IF(CD2405="D",1,0)+IF(CE2405="D",1,0)+IF(CF2405="D",1,0)+IF(CL2405="D",1,0)+IF(CM2405="D",1,0)+IF(CQ2405="D",1,0)+IF(CR2405="D",1,0)+IF(CS2405="D",1,0)+IF(CW2405="D",1,0)+IF(CX2405="D",1,0)+IF(DD2405="D",1,0)+IF(DE2405="D",1,0)+IF(DJ2405="D",1,0)+IF(DK2405="D",1,0)+IF(DO2405="D",1,0)+IF(DP2405="D",1,0)+IF(DQ2405="D",1,0)+IF(DW2405="D",1,0)+IF(DZ2405="D",1,0)+IF(EH2405="D",1,0)</f>
        <v/>
      </c>
      <c r="AY2405">
        <f>IF(DJ2405&lt;&gt;"",1,0)+IF(DK2405&lt;&gt;"",1,0)+IF(DM2405&lt;&gt;"",1,0)+IF(DO2405&lt;&gt;"",1,0)+IF(DP2405&lt;&gt;"",1,0)+IF(DQ2405&lt;&gt;"",1,0)+IF(DS2405&lt;&gt;"",1,0)+IF(DT2405&lt;&gt;"",1,0)+IF(DV2405&lt;&gt;"",1,0)+IF(DW2405&lt;&gt;"",1,0)+IF(DX2405&lt;&gt;"",1,0)+IF(DY2405&lt;&gt;"",1,0)+IF(DZ2405&lt;&gt;"",1,0)+IF(EB2405&lt;&gt;"",1,0)+IF(EC2405&lt;&gt;"",1,0)+IF(ED2405&lt;&gt;"",1,0)+IF(EG2405&lt;&gt;"",1,0)+IF(EH2405&lt;&gt;"",1,0)</f>
        <v/>
      </c>
      <c r="AZ2405">
        <f>IF(EH2405&lt;&gt;"",1,0)</f>
        <v/>
      </c>
      <c r="BB2405" t="inlineStr">
        <is>
          <t>WARREN-WARD 4</t>
        </is>
      </c>
      <c r="BC2405" t="inlineStr">
        <is>
          <t>X</t>
        </is>
      </c>
      <c r="BD2405" t="inlineStr">
        <is>
          <t>X</t>
        </is>
      </c>
      <c r="BL2405" t="inlineStr">
        <is>
          <t>X</t>
        </is>
      </c>
      <c r="BY2405" t="inlineStr">
        <is>
          <t>D</t>
        </is>
      </c>
      <c r="CA2405" t="inlineStr">
        <is>
          <t>X</t>
        </is>
      </c>
      <c r="CC2405" t="inlineStr">
        <is>
          <t>D</t>
        </is>
      </c>
      <c r="CP2405" t="inlineStr">
        <is>
          <t>X</t>
        </is>
      </c>
      <c r="CY2405" t="inlineStr">
        <is>
          <t>X</t>
        </is>
      </c>
    </row>
    <row r="2406">
      <c r="A2406" t="inlineStr">
        <is>
          <t>OH0021594849</t>
        </is>
      </c>
      <c r="B2406" t="n">
        <v>78</v>
      </c>
      <c r="C2406" t="n">
        <v>383508</v>
      </c>
      <c r="D2406" t="inlineStr">
        <is>
          <t>FAMBRO</t>
        </is>
      </c>
      <c r="E2406" t="inlineStr">
        <is>
          <t>DELANO</t>
        </is>
      </c>
      <c r="F2406">
        <f>CONCATENATE(D2406," ",LEFT(H2406,4),"T=",AU2406,"D=",AV2406,"R=",AW2406,"M=",AX2406,"L=",AY2406,"B=",AZ2406)</f>
        <v/>
      </c>
      <c r="G2406" t="inlineStr">
        <is>
          <t>T</t>
        </is>
      </c>
      <c r="I2406" t="inlineStr">
        <is>
          <t>1976-07-18</t>
        </is>
      </c>
      <c r="J2406" t="inlineStr">
        <is>
          <t>2012-09-28</t>
        </is>
      </c>
      <c r="K2406" t="inlineStr">
        <is>
          <t>ACTIVE</t>
        </is>
      </c>
      <c r="L2406" t="inlineStr">
        <is>
          <t>D</t>
        </is>
      </c>
      <c r="M2406" t="inlineStr">
        <is>
          <t>1945 VAN WYE ST SE</t>
        </is>
      </c>
      <c r="N2406">
        <f>RIGHT(M2406,LEN(M2406)-FIND(" ",M2406))</f>
        <v/>
      </c>
      <c r="P2406" t="inlineStr">
        <is>
          <t>WARREN</t>
        </is>
      </c>
      <c r="Q2406" t="inlineStr">
        <is>
          <t>OH</t>
        </is>
      </c>
      <c r="R2406" t="n">
        <v>44484</v>
      </c>
      <c r="AD2406" t="inlineStr">
        <is>
          <t>TRUMBULL CAREER &amp; TECH CENTER</t>
        </is>
      </c>
      <c r="AE2406" t="inlineStr">
        <is>
          <t>WARREN CITY</t>
        </is>
      </c>
      <c r="AF2406" t="inlineStr">
        <is>
          <t>WARREN CITY SD</t>
        </is>
      </c>
      <c r="AH2406" t="n">
        <v>14</v>
      </c>
      <c r="AI2406" t="n">
        <v>11</v>
      </c>
      <c r="AN2406" t="inlineStr">
        <is>
          <t>WARREN</t>
        </is>
      </c>
      <c r="AO2406" t="inlineStr">
        <is>
          <t>WARREN CITY 4F</t>
        </is>
      </c>
      <c r="AP2406" t="inlineStr">
        <is>
          <t>78-P-ADN</t>
        </is>
      </c>
      <c r="AQ2406" t="n">
        <v>9</v>
      </c>
      <c r="AR2406" t="n">
        <v>64</v>
      </c>
      <c r="AS2406" t="n">
        <v>32</v>
      </c>
      <c r="AU2406">
        <f>COUNTA($BA$2406:$EH$2406)</f>
        <v/>
      </c>
      <c r="AV2406">
        <f>COUNTIF($BA$2406:$EH$2406,"D")</f>
        <v/>
      </c>
      <c r="AW2406">
        <f>COUNTIF($BA$2406:$EH$2406,"R")</f>
        <v/>
      </c>
      <c r="AX2406">
        <f>IF(BN2406="D",1,0)+IF(BO2406="D",1,0)+IF(BT2406="D",1,0)+IF(BU2406="D",1,0)+IF(BW2406="D",1,0)+IF(CC2406="D",1,0)+IF(CD2406="D",1,0)+IF(CE2406="D",1,0)+IF(CF2406="D",1,0)+IF(CL2406="D",1,0)+IF(CM2406="D",1,0)+IF(CQ2406="D",1,0)+IF(CR2406="D",1,0)+IF(CS2406="D",1,0)+IF(CW2406="D",1,0)+IF(CX2406="D",1,0)+IF(DD2406="D",1,0)+IF(DE2406="D",1,0)+IF(DJ2406="D",1,0)+IF(DK2406="D",1,0)+IF(DO2406="D",1,0)+IF(DP2406="D",1,0)+IF(DQ2406="D",1,0)+IF(DW2406="D",1,0)+IF(DZ2406="D",1,0)+IF(EH2406="D",1,0)</f>
        <v/>
      </c>
      <c r="AY2406">
        <f>IF(DJ2406&lt;&gt;"",1,0)+IF(DK2406&lt;&gt;"",1,0)+IF(DM2406&lt;&gt;"",1,0)+IF(DO2406&lt;&gt;"",1,0)+IF(DP2406&lt;&gt;"",1,0)+IF(DQ2406&lt;&gt;"",1,0)+IF(DS2406&lt;&gt;"",1,0)+IF(DT2406&lt;&gt;"",1,0)+IF(DV2406&lt;&gt;"",1,0)+IF(DW2406&lt;&gt;"",1,0)+IF(DX2406&lt;&gt;"",1,0)+IF(DY2406&lt;&gt;"",1,0)+IF(DZ2406&lt;&gt;"",1,0)+IF(EB2406&lt;&gt;"",1,0)+IF(EC2406&lt;&gt;"",1,0)+IF(ED2406&lt;&gt;"",1,0)+IF(EG2406&lt;&gt;"",1,0)+IF(EH2406&lt;&gt;"",1,0)</f>
        <v/>
      </c>
      <c r="AZ2406">
        <f>IF(EH2406&lt;&gt;"",1,0)</f>
        <v/>
      </c>
      <c r="BB2406" t="inlineStr">
        <is>
          <t>WARREN-WARD 4</t>
        </is>
      </c>
      <c r="BL2406" t="inlineStr">
        <is>
          <t>X</t>
        </is>
      </c>
      <c r="CA2406" t="inlineStr">
        <is>
          <t>X</t>
        </is>
      </c>
      <c r="CK2406" t="inlineStr">
        <is>
          <t>X</t>
        </is>
      </c>
      <c r="CN2406" t="inlineStr">
        <is>
          <t>X</t>
        </is>
      </c>
      <c r="CP2406" t="inlineStr">
        <is>
          <t>X</t>
        </is>
      </c>
      <c r="CT2406" t="inlineStr">
        <is>
          <t>X</t>
        </is>
      </c>
      <c r="CV2406" t="inlineStr">
        <is>
          <t>X</t>
        </is>
      </c>
      <c r="CY2406" t="inlineStr">
        <is>
          <t>X</t>
        </is>
      </c>
      <c r="CZ2406" t="inlineStr">
        <is>
          <t>D</t>
        </is>
      </c>
      <c r="DC2406" t="inlineStr">
        <is>
          <t>X</t>
        </is>
      </c>
      <c r="DF2406" t="inlineStr">
        <is>
          <t>X</t>
        </is>
      </c>
      <c r="DI2406" t="inlineStr">
        <is>
          <t>X</t>
        </is>
      </c>
      <c r="DL2406" t="inlineStr">
        <is>
          <t>X</t>
        </is>
      </c>
      <c r="DN2406" t="inlineStr">
        <is>
          <t>X</t>
        </is>
      </c>
      <c r="DU2406" t="inlineStr">
        <is>
          <t>X</t>
        </is>
      </c>
      <c r="DW2406" t="inlineStr">
        <is>
          <t>D</t>
        </is>
      </c>
      <c r="EA2406" t="inlineStr">
        <is>
          <t>X</t>
        </is>
      </c>
    </row>
    <row r="2407">
      <c r="A2407" t="inlineStr">
        <is>
          <t>OH0023643300</t>
        </is>
      </c>
      <c r="B2407" t="n">
        <v>78</v>
      </c>
      <c r="C2407" t="n">
        <v>415772</v>
      </c>
      <c r="D2407" t="inlineStr">
        <is>
          <t>SHUSTER</t>
        </is>
      </c>
      <c r="E2407" t="inlineStr">
        <is>
          <t>MEGAN</t>
        </is>
      </c>
      <c r="F2407">
        <f>CONCATENATE(D2407," ",LEFT(H2407,4),"T=",AU2407,"D=",AV2407,"R=",AW2407,"M=",AX2407,"L=",AY2407,"B=",AZ2407)</f>
        <v/>
      </c>
      <c r="G2407" t="inlineStr">
        <is>
          <t>PATRICIA</t>
        </is>
      </c>
      <c r="I2407" t="inlineStr">
        <is>
          <t>1998-05-27</t>
        </is>
      </c>
      <c r="J2407" t="inlineStr">
        <is>
          <t>2023-08-14</t>
        </is>
      </c>
      <c r="K2407" t="inlineStr">
        <is>
          <t>ACTIVE</t>
        </is>
      </c>
      <c r="M2407" t="inlineStr">
        <is>
          <t>1051 WOODBINE AVE SE</t>
        </is>
      </c>
      <c r="N2407">
        <f>RIGHT(M2407,LEN(M2407)-FIND(" ",M2407))</f>
        <v/>
      </c>
      <c r="P2407" t="inlineStr">
        <is>
          <t>WARREN</t>
        </is>
      </c>
      <c r="Q2407" t="inlineStr">
        <is>
          <t>OH</t>
        </is>
      </c>
      <c r="R2407" t="n">
        <v>44484</v>
      </c>
      <c r="AD2407" t="inlineStr">
        <is>
          <t>TRUMBULL CAREER &amp; TECH CENTER</t>
        </is>
      </c>
      <c r="AE2407" t="inlineStr">
        <is>
          <t>WARREN CITY</t>
        </is>
      </c>
      <c r="AF2407" t="inlineStr">
        <is>
          <t>WARREN CITY SD</t>
        </is>
      </c>
      <c r="AH2407" t="n">
        <v>14</v>
      </c>
      <c r="AI2407" t="n">
        <v>11</v>
      </c>
      <c r="AN2407" t="inlineStr">
        <is>
          <t>WARREN</t>
        </is>
      </c>
      <c r="AO2407" t="inlineStr">
        <is>
          <t>WARREN CITY 4F</t>
        </is>
      </c>
      <c r="AP2407" t="inlineStr">
        <is>
          <t>78-P-ADN</t>
        </is>
      </c>
      <c r="AQ2407" t="n">
        <v>9</v>
      </c>
      <c r="AR2407" t="n">
        <v>64</v>
      </c>
      <c r="AS2407" t="n">
        <v>32</v>
      </c>
      <c r="AU2407">
        <f>COUNTA($BA$2407:$EH$2407)</f>
        <v/>
      </c>
      <c r="AV2407">
        <f>COUNTIF($BA$2407:$EH$2407,"D")</f>
        <v/>
      </c>
      <c r="AW2407">
        <f>COUNTIF($BA$2407:$EH$2407,"R")</f>
        <v/>
      </c>
      <c r="AX2407">
        <f>IF(BN2407="D",1,0)+IF(BO2407="D",1,0)+IF(BT2407="D",1,0)+IF(BU2407="D",1,0)+IF(BW2407="D",1,0)+IF(CC2407="D",1,0)+IF(CD2407="D",1,0)+IF(CE2407="D",1,0)+IF(CF2407="D",1,0)+IF(CL2407="D",1,0)+IF(CM2407="D",1,0)+IF(CQ2407="D",1,0)+IF(CR2407="D",1,0)+IF(CS2407="D",1,0)+IF(CW2407="D",1,0)+IF(CX2407="D",1,0)+IF(DD2407="D",1,0)+IF(DE2407="D",1,0)+IF(DJ2407="D",1,0)+IF(DK2407="D",1,0)+IF(DO2407="D",1,0)+IF(DP2407="D",1,0)+IF(DQ2407="D",1,0)+IF(DW2407="D",1,0)+IF(DZ2407="D",1,0)+IF(EH2407="D",1,0)</f>
        <v/>
      </c>
      <c r="AY2407">
        <f>IF(DJ2407&lt;&gt;"",1,0)+IF(DK2407&lt;&gt;"",1,0)+IF(DM2407&lt;&gt;"",1,0)+IF(DO2407&lt;&gt;"",1,0)+IF(DP2407&lt;&gt;"",1,0)+IF(DQ2407&lt;&gt;"",1,0)+IF(DS2407&lt;&gt;"",1,0)+IF(DT2407&lt;&gt;"",1,0)+IF(DV2407&lt;&gt;"",1,0)+IF(DW2407&lt;&gt;"",1,0)+IF(DX2407&lt;&gt;"",1,0)+IF(DY2407&lt;&gt;"",1,0)+IF(DZ2407&lt;&gt;"",1,0)+IF(EB2407&lt;&gt;"",1,0)+IF(EC2407&lt;&gt;"",1,0)+IF(ED2407&lt;&gt;"",1,0)+IF(EG2407&lt;&gt;"",1,0)+IF(EH2407&lt;&gt;"",1,0)</f>
        <v/>
      </c>
      <c r="AZ2407">
        <f>IF(EH2407&lt;&gt;"",1,0)</f>
        <v/>
      </c>
      <c r="BB2407" t="inlineStr">
        <is>
          <t>WARREN-WARD 4</t>
        </is>
      </c>
      <c r="DC2407" t="inlineStr">
        <is>
          <t>X</t>
        </is>
      </c>
      <c r="DF2407" t="inlineStr">
        <is>
          <t>X</t>
        </is>
      </c>
      <c r="DG2407" t="inlineStr">
        <is>
          <t>D</t>
        </is>
      </c>
      <c r="DI2407" t="inlineStr">
        <is>
          <t>X</t>
        </is>
      </c>
      <c r="DJ2407" t="inlineStr">
        <is>
          <t>D</t>
        </is>
      </c>
      <c r="DM2407" t="inlineStr">
        <is>
          <t>D</t>
        </is>
      </c>
      <c r="DN2407" t="inlineStr">
        <is>
          <t>X</t>
        </is>
      </c>
      <c r="DU2407" t="inlineStr">
        <is>
          <t>X</t>
        </is>
      </c>
    </row>
    <row r="2408">
      <c r="A2408" t="inlineStr">
        <is>
          <t>OH0015678879</t>
        </is>
      </c>
      <c r="B2408" t="n">
        <v>78</v>
      </c>
      <c r="C2408" t="n">
        <v>325620</v>
      </c>
      <c r="D2408" t="inlineStr">
        <is>
          <t>GRAVES</t>
        </is>
      </c>
      <c r="E2408" t="inlineStr">
        <is>
          <t>KRISTEN</t>
        </is>
      </c>
      <c r="F2408">
        <f>CONCATENATE(D2408," ",LEFT(H2408,4),"T=",AU2408,"D=",AV2408,"R=",AW2408,"M=",AX2408,"L=",AY2408,"B=",AZ2408)</f>
        <v/>
      </c>
      <c r="G2408" t="inlineStr">
        <is>
          <t>L</t>
        </is>
      </c>
      <c r="I2408" t="inlineStr">
        <is>
          <t>1986-04-13</t>
        </is>
      </c>
      <c r="J2408" t="inlineStr">
        <is>
          <t>2020-03-02</t>
        </is>
      </c>
      <c r="K2408" t="inlineStr">
        <is>
          <t>CONFIRMATION</t>
        </is>
      </c>
      <c r="M2408" t="inlineStr">
        <is>
          <t>2787 DUKE AVE SE</t>
        </is>
      </c>
      <c r="N2408">
        <f>RIGHT(M2408,LEN(M2408)-FIND(" ",M2408))</f>
        <v/>
      </c>
      <c r="P2408" t="inlineStr">
        <is>
          <t>WARREN</t>
        </is>
      </c>
      <c r="Q2408" t="inlineStr">
        <is>
          <t>OH</t>
        </is>
      </c>
      <c r="R2408" t="n">
        <v>44484</v>
      </c>
      <c r="AD2408" t="inlineStr">
        <is>
          <t>TRUMBULL CAREER &amp; TECH CENTER</t>
        </is>
      </c>
      <c r="AE2408" t="inlineStr">
        <is>
          <t>WARREN CITY</t>
        </is>
      </c>
      <c r="AF2408" t="inlineStr">
        <is>
          <t>WARREN CITY SD</t>
        </is>
      </c>
      <c r="AH2408" t="n">
        <v>14</v>
      </c>
      <c r="AI2408" t="n">
        <v>11</v>
      </c>
      <c r="AN2408" t="inlineStr">
        <is>
          <t>WARREN</t>
        </is>
      </c>
      <c r="AO2408" t="inlineStr">
        <is>
          <t>WARREN CITY 4F</t>
        </is>
      </c>
      <c r="AP2408" t="inlineStr">
        <is>
          <t>78-P-ADN</t>
        </is>
      </c>
      <c r="AQ2408" t="n">
        <v>9</v>
      </c>
      <c r="AR2408" t="n">
        <v>64</v>
      </c>
      <c r="AS2408" t="n">
        <v>32</v>
      </c>
      <c r="AU2408">
        <f>COUNTA($BA$2408:$EH$2408)</f>
        <v/>
      </c>
      <c r="AV2408">
        <f>COUNTIF($BA$2408:$EH$2408,"D")</f>
        <v/>
      </c>
      <c r="AW2408">
        <f>COUNTIF($BA$2408:$EH$2408,"R")</f>
        <v/>
      </c>
      <c r="AX2408">
        <f>IF(BN2408="D",1,0)+IF(BO2408="D",1,0)+IF(BT2408="D",1,0)+IF(BU2408="D",1,0)+IF(BW2408="D",1,0)+IF(CC2408="D",1,0)+IF(CD2408="D",1,0)+IF(CE2408="D",1,0)+IF(CF2408="D",1,0)+IF(CL2408="D",1,0)+IF(CM2408="D",1,0)+IF(CQ2408="D",1,0)+IF(CR2408="D",1,0)+IF(CS2408="D",1,0)+IF(CW2408="D",1,0)+IF(CX2408="D",1,0)+IF(DD2408="D",1,0)+IF(DE2408="D",1,0)+IF(DJ2408="D",1,0)+IF(DK2408="D",1,0)+IF(DO2408="D",1,0)+IF(DP2408="D",1,0)+IF(DQ2408="D",1,0)+IF(DW2408="D",1,0)+IF(DZ2408="D",1,0)+IF(EH2408="D",1,0)</f>
        <v/>
      </c>
      <c r="AY2408">
        <f>IF(DJ2408&lt;&gt;"",1,0)+IF(DK2408&lt;&gt;"",1,0)+IF(DM2408&lt;&gt;"",1,0)+IF(DO2408&lt;&gt;"",1,0)+IF(DP2408&lt;&gt;"",1,0)+IF(DQ2408&lt;&gt;"",1,0)+IF(DS2408&lt;&gt;"",1,0)+IF(DT2408&lt;&gt;"",1,0)+IF(DV2408&lt;&gt;"",1,0)+IF(DW2408&lt;&gt;"",1,0)+IF(DX2408&lt;&gt;"",1,0)+IF(DY2408&lt;&gt;"",1,0)+IF(DZ2408&lt;&gt;"",1,0)+IF(EB2408&lt;&gt;"",1,0)+IF(EC2408&lt;&gt;"",1,0)+IF(ED2408&lt;&gt;"",1,0)+IF(EG2408&lt;&gt;"",1,0)+IF(EH2408&lt;&gt;"",1,0)</f>
        <v/>
      </c>
      <c r="AZ2408">
        <f>IF(EH2408&lt;&gt;"",1,0)</f>
        <v/>
      </c>
      <c r="BB2408" t="inlineStr">
        <is>
          <t>WARREN-WARD 4</t>
        </is>
      </c>
      <c r="BL2408" t="inlineStr">
        <is>
          <t>X</t>
        </is>
      </c>
      <c r="CA2408" t="inlineStr">
        <is>
          <t>X</t>
        </is>
      </c>
      <c r="CK2408" t="inlineStr">
        <is>
          <t>X</t>
        </is>
      </c>
      <c r="CZ2408" t="inlineStr">
        <is>
          <t>D</t>
        </is>
      </c>
    </row>
    <row r="2409">
      <c r="A2409" t="inlineStr">
        <is>
          <t>OH0015699475</t>
        </is>
      </c>
      <c r="B2409" t="n">
        <v>78</v>
      </c>
      <c r="C2409" t="n">
        <v>157442</v>
      </c>
      <c r="D2409" t="inlineStr">
        <is>
          <t>BRYANT</t>
        </is>
      </c>
      <c r="E2409" t="inlineStr">
        <is>
          <t>KAREN</t>
        </is>
      </c>
      <c r="F2409">
        <f>CONCATENATE(D2409," ",LEFT(H2409,4),"T=",AU2409,"D=",AV2409,"R=",AW2409,"M=",AX2409,"L=",AY2409,"B=",AZ2409)</f>
        <v/>
      </c>
      <c r="G2409" t="inlineStr">
        <is>
          <t>D</t>
        </is>
      </c>
      <c r="I2409" t="inlineStr">
        <is>
          <t>1957-06-03</t>
        </is>
      </c>
      <c r="J2409" t="inlineStr">
        <is>
          <t>2019-12-09</t>
        </is>
      </c>
      <c r="K2409" t="inlineStr">
        <is>
          <t>ACTIVE</t>
        </is>
      </c>
      <c r="M2409" t="inlineStr">
        <is>
          <t>1561 HOMEWOOD AVE SE</t>
        </is>
      </c>
      <c r="N2409">
        <f>RIGHT(M2409,LEN(M2409)-FIND(" ",M2409))</f>
        <v/>
      </c>
      <c r="P2409" t="inlineStr">
        <is>
          <t>WARREN</t>
        </is>
      </c>
      <c r="Q2409" t="inlineStr">
        <is>
          <t>OH</t>
        </is>
      </c>
      <c r="R2409" t="n">
        <v>44484</v>
      </c>
      <c r="AD2409" t="inlineStr">
        <is>
          <t>TRUMBULL CAREER &amp; TECH CENTER</t>
        </is>
      </c>
      <c r="AE2409" t="inlineStr">
        <is>
          <t>WARREN CITY</t>
        </is>
      </c>
      <c r="AF2409" t="inlineStr">
        <is>
          <t>WARREN CITY SD</t>
        </is>
      </c>
      <c r="AH2409" t="n">
        <v>14</v>
      </c>
      <c r="AI2409" t="n">
        <v>11</v>
      </c>
      <c r="AN2409" t="inlineStr">
        <is>
          <t>WARREN</t>
        </is>
      </c>
      <c r="AO2409" t="inlineStr">
        <is>
          <t>WARREN CITY 4F</t>
        </is>
      </c>
      <c r="AP2409" t="inlineStr">
        <is>
          <t>78-P-ADN</t>
        </is>
      </c>
      <c r="AQ2409" t="n">
        <v>9</v>
      </c>
      <c r="AR2409" t="n">
        <v>64</v>
      </c>
      <c r="AS2409" t="n">
        <v>32</v>
      </c>
      <c r="AU2409">
        <f>COUNTA($BA$2409:$EH$2409)</f>
        <v/>
      </c>
      <c r="AV2409">
        <f>COUNTIF($BA$2409:$EH$2409,"D")</f>
        <v/>
      </c>
      <c r="AW2409">
        <f>COUNTIF($BA$2409:$EH$2409,"R")</f>
        <v/>
      </c>
      <c r="AX2409">
        <f>IF(BN2409="D",1,0)+IF(BO2409="D",1,0)+IF(BT2409="D",1,0)+IF(BU2409="D",1,0)+IF(BW2409="D",1,0)+IF(CC2409="D",1,0)+IF(CD2409="D",1,0)+IF(CE2409="D",1,0)+IF(CF2409="D",1,0)+IF(CL2409="D",1,0)+IF(CM2409="D",1,0)+IF(CQ2409="D",1,0)+IF(CR2409="D",1,0)+IF(CS2409="D",1,0)+IF(CW2409="D",1,0)+IF(CX2409="D",1,0)+IF(DD2409="D",1,0)+IF(DE2409="D",1,0)+IF(DJ2409="D",1,0)+IF(DK2409="D",1,0)+IF(DO2409="D",1,0)+IF(DP2409="D",1,0)+IF(DQ2409="D",1,0)+IF(DW2409="D",1,0)+IF(DZ2409="D",1,0)+IF(EH2409="D",1,0)</f>
        <v/>
      </c>
      <c r="AY2409">
        <f>IF(DJ2409&lt;&gt;"",1,0)+IF(DK2409&lt;&gt;"",1,0)+IF(DM2409&lt;&gt;"",1,0)+IF(DO2409&lt;&gt;"",1,0)+IF(DP2409&lt;&gt;"",1,0)+IF(DQ2409&lt;&gt;"",1,0)+IF(DS2409&lt;&gt;"",1,0)+IF(DT2409&lt;&gt;"",1,0)+IF(DV2409&lt;&gt;"",1,0)+IF(DW2409&lt;&gt;"",1,0)+IF(DX2409&lt;&gt;"",1,0)+IF(DY2409&lt;&gt;"",1,0)+IF(DZ2409&lt;&gt;"",1,0)+IF(EB2409&lt;&gt;"",1,0)+IF(EC2409&lt;&gt;"",1,0)+IF(ED2409&lt;&gt;"",1,0)+IF(EG2409&lt;&gt;"",1,0)+IF(EH2409&lt;&gt;"",1,0)</f>
        <v/>
      </c>
      <c r="AZ2409">
        <f>IF(EH2409&lt;&gt;"",1,0)</f>
        <v/>
      </c>
      <c r="BB2409" t="inlineStr">
        <is>
          <t>WARREN-WARD 4</t>
        </is>
      </c>
      <c r="BD2409" t="inlineStr">
        <is>
          <t>X</t>
        </is>
      </c>
      <c r="BG2409" t="inlineStr">
        <is>
          <t>X</t>
        </is>
      </c>
      <c r="BH2409" t="inlineStr">
        <is>
          <t>X</t>
        </is>
      </c>
      <c r="BJ2409" t="inlineStr">
        <is>
          <t>X</t>
        </is>
      </c>
      <c r="BK2409" t="inlineStr">
        <is>
          <t>X</t>
        </is>
      </c>
      <c r="BL2409" t="inlineStr">
        <is>
          <t>X</t>
        </is>
      </c>
      <c r="BR2409" t="inlineStr">
        <is>
          <t>X</t>
        </is>
      </c>
      <c r="BS2409" t="inlineStr">
        <is>
          <t>X</t>
        </is>
      </c>
      <c r="BY2409" t="inlineStr">
        <is>
          <t>D</t>
        </is>
      </c>
      <c r="CA2409" t="inlineStr">
        <is>
          <t>X</t>
        </is>
      </c>
      <c r="CG2409" t="inlineStr">
        <is>
          <t>X</t>
        </is>
      </c>
      <c r="CH2409" t="inlineStr">
        <is>
          <t>D</t>
        </is>
      </c>
      <c r="CK2409" t="inlineStr">
        <is>
          <t>X</t>
        </is>
      </c>
      <c r="CN2409" t="inlineStr">
        <is>
          <t>X</t>
        </is>
      </c>
      <c r="CP2409" t="inlineStr">
        <is>
          <t>X</t>
        </is>
      </c>
      <c r="CV2409" t="inlineStr">
        <is>
          <t>X</t>
        </is>
      </c>
      <c r="CY2409" t="inlineStr">
        <is>
          <t>X</t>
        </is>
      </c>
      <c r="CZ2409" t="inlineStr">
        <is>
          <t>D</t>
        </is>
      </c>
      <c r="DC2409" t="inlineStr">
        <is>
          <t>X</t>
        </is>
      </c>
      <c r="DI2409" t="inlineStr">
        <is>
          <t>X</t>
        </is>
      </c>
      <c r="DN2409" t="inlineStr">
        <is>
          <t>X</t>
        </is>
      </c>
      <c r="EA2409" t="inlineStr">
        <is>
          <t>X</t>
        </is>
      </c>
      <c r="EF2409" t="inlineStr">
        <is>
          <t>X</t>
        </is>
      </c>
    </row>
    <row r="2410">
      <c r="A2410" t="inlineStr">
        <is>
          <t>OH0024333871</t>
        </is>
      </c>
      <c r="B2410" t="n">
        <v>78</v>
      </c>
      <c r="C2410" t="n">
        <v>427129</v>
      </c>
      <c r="D2410" t="inlineStr">
        <is>
          <t>BURGESS</t>
        </is>
      </c>
      <c r="E2410" t="inlineStr">
        <is>
          <t>JOSHUA</t>
        </is>
      </c>
      <c r="F2410">
        <f>CONCATENATE(D2410," ",LEFT(H2410,4),"T=",AU2410,"D=",AV2410,"R=",AW2410,"M=",AX2410,"L=",AY2410,"B=",AZ2410)</f>
        <v/>
      </c>
      <c r="G2410" t="inlineStr">
        <is>
          <t>PAUL</t>
        </is>
      </c>
      <c r="I2410" t="inlineStr">
        <is>
          <t>1991-06-22</t>
        </is>
      </c>
      <c r="J2410" t="inlineStr">
        <is>
          <t>2017-07-12</t>
        </is>
      </c>
      <c r="K2410" t="inlineStr">
        <is>
          <t>ACTIVE</t>
        </is>
      </c>
      <c r="M2410" t="inlineStr">
        <is>
          <t>1151 WOODBINE AVE SE</t>
        </is>
      </c>
      <c r="N2410">
        <f>RIGHT(M2410,LEN(M2410)-FIND(" ",M2410))</f>
        <v/>
      </c>
      <c r="P2410" t="inlineStr">
        <is>
          <t>WARREN</t>
        </is>
      </c>
      <c r="Q2410" t="inlineStr">
        <is>
          <t>OH</t>
        </is>
      </c>
      <c r="R2410" t="n">
        <v>44484</v>
      </c>
      <c r="AD2410" t="inlineStr">
        <is>
          <t>TRUMBULL CAREER &amp; TECH CENTER</t>
        </is>
      </c>
      <c r="AE2410" t="inlineStr">
        <is>
          <t>WARREN CITY</t>
        </is>
      </c>
      <c r="AF2410" t="inlineStr">
        <is>
          <t>WARREN CITY SD</t>
        </is>
      </c>
      <c r="AH2410" t="n">
        <v>14</v>
      </c>
      <c r="AI2410" t="n">
        <v>11</v>
      </c>
      <c r="AN2410" t="inlineStr">
        <is>
          <t>WARREN</t>
        </is>
      </c>
      <c r="AO2410" t="inlineStr">
        <is>
          <t>WARREN CITY 4F</t>
        </is>
      </c>
      <c r="AP2410" t="inlineStr">
        <is>
          <t>78-P-ADN</t>
        </is>
      </c>
      <c r="AQ2410" t="n">
        <v>9</v>
      </c>
      <c r="AR2410" t="n">
        <v>64</v>
      </c>
      <c r="AS2410" t="n">
        <v>32</v>
      </c>
      <c r="AU2410">
        <f>COUNTA($BA$2410:$EH$2410)</f>
        <v/>
      </c>
      <c r="AV2410">
        <f>COUNTIF($BA$2410:$EH$2410,"D")</f>
        <v/>
      </c>
      <c r="AW2410">
        <f>COUNTIF($BA$2410:$EH$2410,"R")</f>
        <v/>
      </c>
      <c r="AX2410">
        <f>IF(BN2410="D",1,0)+IF(BO2410="D",1,0)+IF(BT2410="D",1,0)+IF(BU2410="D",1,0)+IF(BW2410="D",1,0)+IF(CC2410="D",1,0)+IF(CD2410="D",1,0)+IF(CE2410="D",1,0)+IF(CF2410="D",1,0)+IF(CL2410="D",1,0)+IF(CM2410="D",1,0)+IF(CQ2410="D",1,0)+IF(CR2410="D",1,0)+IF(CS2410="D",1,0)+IF(CW2410="D",1,0)+IF(CX2410="D",1,0)+IF(DD2410="D",1,0)+IF(DE2410="D",1,0)+IF(DJ2410="D",1,0)+IF(DK2410="D",1,0)+IF(DO2410="D",1,0)+IF(DP2410="D",1,0)+IF(DQ2410="D",1,0)+IF(DW2410="D",1,0)+IF(DZ2410="D",1,0)+IF(EH2410="D",1,0)</f>
        <v/>
      </c>
      <c r="AY2410">
        <f>IF(DJ2410&lt;&gt;"",1,0)+IF(DK2410&lt;&gt;"",1,0)+IF(DM2410&lt;&gt;"",1,0)+IF(DO2410&lt;&gt;"",1,0)+IF(DP2410&lt;&gt;"",1,0)+IF(DQ2410&lt;&gt;"",1,0)+IF(DS2410&lt;&gt;"",1,0)+IF(DT2410&lt;&gt;"",1,0)+IF(DV2410&lt;&gt;"",1,0)+IF(DW2410&lt;&gt;"",1,0)+IF(DX2410&lt;&gt;"",1,0)+IF(DY2410&lt;&gt;"",1,0)+IF(DZ2410&lt;&gt;"",1,0)+IF(EB2410&lt;&gt;"",1,0)+IF(EC2410&lt;&gt;"",1,0)+IF(ED2410&lt;&gt;"",1,0)+IF(EG2410&lt;&gt;"",1,0)+IF(EH2410&lt;&gt;"",1,0)</f>
        <v/>
      </c>
      <c r="AZ2410">
        <f>IF(EH2410&lt;&gt;"",1,0)</f>
        <v/>
      </c>
      <c r="BB2410" t="inlineStr">
        <is>
          <t>WARREN-WARD 4</t>
        </is>
      </c>
      <c r="CP2410" t="inlineStr">
        <is>
          <t>X</t>
        </is>
      </c>
    </row>
    <row r="2411">
      <c r="A2411" t="inlineStr">
        <is>
          <t>OH0027028439</t>
        </is>
      </c>
      <c r="B2411" t="n">
        <v>78</v>
      </c>
      <c r="C2411" t="n">
        <v>475922</v>
      </c>
      <c r="D2411" t="inlineStr">
        <is>
          <t>SANTANGELO</t>
        </is>
      </c>
      <c r="E2411" t="inlineStr">
        <is>
          <t>LAUREN</t>
        </is>
      </c>
      <c r="F2411">
        <f>CONCATENATE(D2411," ",LEFT(H2411,4),"T=",AU2411,"D=",AV2411,"R=",AW2411,"M=",AX2411,"L=",AY2411,"B=",AZ2411)</f>
        <v/>
      </c>
      <c r="G2411" t="inlineStr">
        <is>
          <t>N</t>
        </is>
      </c>
      <c r="I2411" t="inlineStr">
        <is>
          <t>1992-12-31</t>
        </is>
      </c>
      <c r="J2411" t="inlineStr">
        <is>
          <t>2023-08-10</t>
        </is>
      </c>
      <c r="K2411" t="inlineStr">
        <is>
          <t>ACTIVE</t>
        </is>
      </c>
      <c r="M2411" t="inlineStr">
        <is>
          <t>1100 YOUNGSTOWN RD SE</t>
        </is>
      </c>
      <c r="N2411">
        <f>RIGHT(M2411,LEN(M2411)-FIND(" ",M2411))</f>
        <v/>
      </c>
      <c r="P2411" t="inlineStr">
        <is>
          <t>WARREN</t>
        </is>
      </c>
      <c r="Q2411" t="inlineStr">
        <is>
          <t>OH</t>
        </is>
      </c>
      <c r="R2411" t="n">
        <v>44484</v>
      </c>
      <c r="AD2411" t="inlineStr">
        <is>
          <t>TRUMBULL CAREER &amp; TECH CENTER</t>
        </is>
      </c>
      <c r="AE2411" t="inlineStr">
        <is>
          <t>WARREN CITY</t>
        </is>
      </c>
      <c r="AF2411" t="inlineStr">
        <is>
          <t>WARREN CITY SD</t>
        </is>
      </c>
      <c r="AH2411" t="n">
        <v>14</v>
      </c>
      <c r="AI2411" t="n">
        <v>11</v>
      </c>
      <c r="AN2411" t="inlineStr">
        <is>
          <t>WARREN</t>
        </is>
      </c>
      <c r="AO2411" t="inlineStr">
        <is>
          <t>WARREN CITY 4F</t>
        </is>
      </c>
      <c r="AP2411" t="inlineStr">
        <is>
          <t>78-P-ADN</t>
        </is>
      </c>
      <c r="AQ2411" t="n">
        <v>9</v>
      </c>
      <c r="AR2411" t="n">
        <v>64</v>
      </c>
      <c r="AS2411" t="n">
        <v>32</v>
      </c>
      <c r="AU2411">
        <f>COUNTA($BA$2411:$EH$2411)</f>
        <v/>
      </c>
      <c r="AV2411">
        <f>COUNTIF($BA$2411:$EH$2411,"D")</f>
        <v/>
      </c>
      <c r="AW2411">
        <f>COUNTIF($BA$2411:$EH$2411,"R")</f>
        <v/>
      </c>
      <c r="AX2411">
        <f>IF(BN2411="D",1,0)+IF(BO2411="D",1,0)+IF(BT2411="D",1,0)+IF(BU2411="D",1,0)+IF(BW2411="D",1,0)+IF(CC2411="D",1,0)+IF(CD2411="D",1,0)+IF(CE2411="D",1,0)+IF(CF2411="D",1,0)+IF(CL2411="D",1,0)+IF(CM2411="D",1,0)+IF(CQ2411="D",1,0)+IF(CR2411="D",1,0)+IF(CS2411="D",1,0)+IF(CW2411="D",1,0)+IF(CX2411="D",1,0)+IF(DD2411="D",1,0)+IF(DE2411="D",1,0)+IF(DJ2411="D",1,0)+IF(DK2411="D",1,0)+IF(DO2411="D",1,0)+IF(DP2411="D",1,0)+IF(DQ2411="D",1,0)+IF(DW2411="D",1,0)+IF(DZ2411="D",1,0)+IF(EH2411="D",1,0)</f>
        <v/>
      </c>
      <c r="AY2411">
        <f>IF(DJ2411&lt;&gt;"",1,0)+IF(DK2411&lt;&gt;"",1,0)+IF(DM2411&lt;&gt;"",1,0)+IF(DO2411&lt;&gt;"",1,0)+IF(DP2411&lt;&gt;"",1,0)+IF(DQ2411&lt;&gt;"",1,0)+IF(DS2411&lt;&gt;"",1,0)+IF(DT2411&lt;&gt;"",1,0)+IF(DV2411&lt;&gt;"",1,0)+IF(DW2411&lt;&gt;"",1,0)+IF(DX2411&lt;&gt;"",1,0)+IF(DY2411&lt;&gt;"",1,0)+IF(DZ2411&lt;&gt;"",1,0)+IF(EB2411&lt;&gt;"",1,0)+IF(EC2411&lt;&gt;"",1,0)+IF(ED2411&lt;&gt;"",1,0)+IF(EG2411&lt;&gt;"",1,0)+IF(EH2411&lt;&gt;"",1,0)</f>
        <v/>
      </c>
      <c r="AZ2411">
        <f>IF(EH2411&lt;&gt;"",1,0)</f>
        <v/>
      </c>
      <c r="BB2411" t="inlineStr">
        <is>
          <t>WARREN-WARD 4</t>
        </is>
      </c>
      <c r="CZ2411" t="inlineStr">
        <is>
          <t>D</t>
        </is>
      </c>
      <c r="DC2411" t="inlineStr">
        <is>
          <t>X</t>
        </is>
      </c>
      <c r="DN2411" t="inlineStr">
        <is>
          <t>X</t>
        </is>
      </c>
      <c r="EF2411" t="inlineStr">
        <is>
          <t>X</t>
        </is>
      </c>
    </row>
    <row r="2412">
      <c r="A2412" t="inlineStr">
        <is>
          <t>OH0027789390</t>
        </is>
      </c>
      <c r="B2412" t="n">
        <v>78</v>
      </c>
      <c r="C2412" t="n">
        <v>492092</v>
      </c>
      <c r="D2412" t="inlineStr">
        <is>
          <t>POLAN</t>
        </is>
      </c>
      <c r="E2412" t="inlineStr">
        <is>
          <t>EVELYN</t>
        </is>
      </c>
      <c r="F2412">
        <f>CONCATENATE(D2412," ",LEFT(H2412,4),"T=",AU2412,"D=",AV2412,"R=",AW2412,"M=",AX2412,"L=",AY2412,"B=",AZ2412)</f>
        <v/>
      </c>
      <c r="G2412" t="inlineStr">
        <is>
          <t>AMBER</t>
        </is>
      </c>
      <c r="I2412" t="inlineStr">
        <is>
          <t>1987-04-09</t>
        </is>
      </c>
      <c r="J2412" t="inlineStr">
        <is>
          <t>2024-11-12</t>
        </is>
      </c>
      <c r="K2412" t="inlineStr">
        <is>
          <t>ACTIVE</t>
        </is>
      </c>
      <c r="M2412" t="inlineStr">
        <is>
          <t>957 COLUMBIA PL SE</t>
        </is>
      </c>
      <c r="N2412">
        <f>RIGHT(M2412,LEN(M2412)-FIND(" ",M2412))</f>
        <v/>
      </c>
      <c r="P2412" t="inlineStr">
        <is>
          <t>WARREN</t>
        </is>
      </c>
      <c r="Q2412" t="inlineStr">
        <is>
          <t>OH</t>
        </is>
      </c>
      <c r="R2412" t="n">
        <v>44484</v>
      </c>
      <c r="AD2412" t="inlineStr">
        <is>
          <t>TRUMBULL CAREER &amp; TECH CENTER</t>
        </is>
      </c>
      <c r="AE2412" t="inlineStr">
        <is>
          <t>WARREN CITY</t>
        </is>
      </c>
      <c r="AF2412" t="inlineStr">
        <is>
          <t>WARREN CITY SD</t>
        </is>
      </c>
      <c r="AH2412" t="n">
        <v>14</v>
      </c>
      <c r="AI2412" t="n">
        <v>11</v>
      </c>
      <c r="AN2412" t="inlineStr">
        <is>
          <t>WARREN</t>
        </is>
      </c>
      <c r="AO2412" t="inlineStr">
        <is>
          <t>WARREN CITY 4F</t>
        </is>
      </c>
      <c r="AP2412" t="inlineStr">
        <is>
          <t>78-P-ADN</t>
        </is>
      </c>
      <c r="AQ2412" t="n">
        <v>9</v>
      </c>
      <c r="AR2412" t="n">
        <v>64</v>
      </c>
      <c r="AS2412" t="n">
        <v>32</v>
      </c>
      <c r="AU2412">
        <f>COUNTA($BA$2412:$EH$2412)</f>
        <v/>
      </c>
      <c r="AV2412">
        <f>COUNTIF($BA$2412:$EH$2412,"D")</f>
        <v/>
      </c>
      <c r="AW2412">
        <f>COUNTIF($BA$2412:$EH$2412,"R")</f>
        <v/>
      </c>
      <c r="AX2412">
        <f>IF(BN2412="D",1,0)+IF(BO2412="D",1,0)+IF(BT2412="D",1,0)+IF(BU2412="D",1,0)+IF(BW2412="D",1,0)+IF(CC2412="D",1,0)+IF(CD2412="D",1,0)+IF(CE2412="D",1,0)+IF(CF2412="D",1,0)+IF(CL2412="D",1,0)+IF(CM2412="D",1,0)+IF(CQ2412="D",1,0)+IF(CR2412="D",1,0)+IF(CS2412="D",1,0)+IF(CW2412="D",1,0)+IF(CX2412="D",1,0)+IF(DD2412="D",1,0)+IF(DE2412="D",1,0)+IF(DJ2412="D",1,0)+IF(DK2412="D",1,0)+IF(DO2412="D",1,0)+IF(DP2412="D",1,0)+IF(DQ2412="D",1,0)+IF(DW2412="D",1,0)+IF(DZ2412="D",1,0)+IF(EH2412="D",1,0)</f>
        <v/>
      </c>
      <c r="AY2412">
        <f>IF(DJ2412&lt;&gt;"",1,0)+IF(DK2412&lt;&gt;"",1,0)+IF(DM2412&lt;&gt;"",1,0)+IF(DO2412&lt;&gt;"",1,0)+IF(DP2412&lt;&gt;"",1,0)+IF(DQ2412&lt;&gt;"",1,0)+IF(DS2412&lt;&gt;"",1,0)+IF(DT2412&lt;&gt;"",1,0)+IF(DV2412&lt;&gt;"",1,0)+IF(DW2412&lt;&gt;"",1,0)+IF(DX2412&lt;&gt;"",1,0)+IF(DY2412&lt;&gt;"",1,0)+IF(DZ2412&lt;&gt;"",1,0)+IF(EB2412&lt;&gt;"",1,0)+IF(EC2412&lt;&gt;"",1,0)+IF(ED2412&lt;&gt;"",1,0)+IF(EG2412&lt;&gt;"",1,0)+IF(EH2412&lt;&gt;"",1,0)</f>
        <v/>
      </c>
      <c r="AZ2412">
        <f>IF(EH2412&lt;&gt;"",1,0)</f>
        <v/>
      </c>
      <c r="BB2412" t="inlineStr">
        <is>
          <t>WARREN-WARD 4</t>
        </is>
      </c>
    </row>
    <row r="2413">
      <c r="A2413" t="inlineStr">
        <is>
          <t>OH0015694261</t>
        </is>
      </c>
      <c r="B2413" t="n">
        <v>78</v>
      </c>
      <c r="C2413" t="n">
        <v>326678</v>
      </c>
      <c r="D2413" t="inlineStr">
        <is>
          <t>WILLIAMS</t>
        </is>
      </c>
      <c r="E2413" t="inlineStr">
        <is>
          <t>TIFFANY</t>
        </is>
      </c>
      <c r="F2413">
        <f>CONCATENATE(D2413," ",LEFT(H2413,4),"T=",AU2413,"D=",AV2413,"R=",AW2413,"M=",AX2413,"L=",AY2413,"B=",AZ2413)</f>
        <v/>
      </c>
      <c r="G2413" t="inlineStr">
        <is>
          <t>L</t>
        </is>
      </c>
      <c r="I2413" t="inlineStr">
        <is>
          <t>1983-01-20</t>
        </is>
      </c>
      <c r="J2413" t="inlineStr">
        <is>
          <t>2008-04-15</t>
        </is>
      </c>
      <c r="K2413" t="inlineStr">
        <is>
          <t>CONFIRMATION</t>
        </is>
      </c>
      <c r="M2413" t="inlineStr">
        <is>
          <t>1718 BRIER ST SE</t>
        </is>
      </c>
      <c r="N2413">
        <f>RIGHT(M2413,LEN(M2413)-FIND(" ",M2413))</f>
        <v/>
      </c>
      <c r="P2413" t="inlineStr">
        <is>
          <t>WARREN</t>
        </is>
      </c>
      <c r="Q2413" t="inlineStr">
        <is>
          <t>OH</t>
        </is>
      </c>
      <c r="R2413" t="n">
        <v>44484</v>
      </c>
      <c r="AD2413" t="inlineStr">
        <is>
          <t>TRUMBULL CAREER &amp; TECH CENTER</t>
        </is>
      </c>
      <c r="AE2413" t="inlineStr">
        <is>
          <t>WARREN CITY</t>
        </is>
      </c>
      <c r="AF2413" t="inlineStr">
        <is>
          <t>WARREN CITY SD</t>
        </is>
      </c>
      <c r="AH2413" t="n">
        <v>14</v>
      </c>
      <c r="AI2413" t="n">
        <v>11</v>
      </c>
      <c r="AN2413" t="inlineStr">
        <is>
          <t>WARREN</t>
        </is>
      </c>
      <c r="AO2413" t="inlineStr">
        <is>
          <t>WARREN CITY 4F</t>
        </is>
      </c>
      <c r="AP2413" t="inlineStr">
        <is>
          <t>78-P-ADN</t>
        </is>
      </c>
      <c r="AQ2413" t="n">
        <v>9</v>
      </c>
      <c r="AR2413" t="n">
        <v>64</v>
      </c>
      <c r="AS2413" t="n">
        <v>32</v>
      </c>
      <c r="AU2413">
        <f>COUNTA($BA$2413:$EH$2413)</f>
        <v/>
      </c>
      <c r="AV2413">
        <f>COUNTIF($BA$2413:$EH$2413,"D")</f>
        <v/>
      </c>
      <c r="AW2413">
        <f>COUNTIF($BA$2413:$EH$2413,"R")</f>
        <v/>
      </c>
      <c r="AX2413">
        <f>IF(BN2413="D",1,0)+IF(BO2413="D",1,0)+IF(BT2413="D",1,0)+IF(BU2413="D",1,0)+IF(BW2413="D",1,0)+IF(CC2413="D",1,0)+IF(CD2413="D",1,0)+IF(CE2413="D",1,0)+IF(CF2413="D",1,0)+IF(CL2413="D",1,0)+IF(CM2413="D",1,0)+IF(CQ2413="D",1,0)+IF(CR2413="D",1,0)+IF(CS2413="D",1,0)+IF(CW2413="D",1,0)+IF(CX2413="D",1,0)+IF(DD2413="D",1,0)+IF(DE2413="D",1,0)+IF(DJ2413="D",1,0)+IF(DK2413="D",1,0)+IF(DO2413="D",1,0)+IF(DP2413="D",1,0)+IF(DQ2413="D",1,0)+IF(DW2413="D",1,0)+IF(DZ2413="D",1,0)+IF(EH2413="D",1,0)</f>
        <v/>
      </c>
      <c r="AY2413">
        <f>IF(DJ2413&lt;&gt;"",1,0)+IF(DK2413&lt;&gt;"",1,0)+IF(DM2413&lt;&gt;"",1,0)+IF(DO2413&lt;&gt;"",1,0)+IF(DP2413&lt;&gt;"",1,0)+IF(DQ2413&lt;&gt;"",1,0)+IF(DS2413&lt;&gt;"",1,0)+IF(DT2413&lt;&gt;"",1,0)+IF(DV2413&lt;&gt;"",1,0)+IF(DW2413&lt;&gt;"",1,0)+IF(DX2413&lt;&gt;"",1,0)+IF(DY2413&lt;&gt;"",1,0)+IF(DZ2413&lt;&gt;"",1,0)+IF(EB2413&lt;&gt;"",1,0)+IF(EC2413&lt;&gt;"",1,0)+IF(ED2413&lt;&gt;"",1,0)+IF(EG2413&lt;&gt;"",1,0)+IF(EH2413&lt;&gt;"",1,0)</f>
        <v/>
      </c>
      <c r="AZ2413">
        <f>IF(EH2413&lt;&gt;"",1,0)</f>
        <v/>
      </c>
      <c r="BB2413" t="inlineStr">
        <is>
          <t>WARREN-WARD 4</t>
        </is>
      </c>
      <c r="BL2413" t="inlineStr">
        <is>
          <t>X</t>
        </is>
      </c>
      <c r="BY2413" t="inlineStr">
        <is>
          <t>D</t>
        </is>
      </c>
      <c r="CA2413" t="inlineStr">
        <is>
          <t>X</t>
        </is>
      </c>
      <c r="CK2413" t="inlineStr">
        <is>
          <t>X</t>
        </is>
      </c>
      <c r="CL2413" t="inlineStr">
        <is>
          <t>D</t>
        </is>
      </c>
      <c r="CP2413" t="inlineStr">
        <is>
          <t>X</t>
        </is>
      </c>
      <c r="CV2413" t="inlineStr">
        <is>
          <t>X</t>
        </is>
      </c>
      <c r="CZ2413" t="inlineStr">
        <is>
          <t>D</t>
        </is>
      </c>
      <c r="DC2413" t="inlineStr">
        <is>
          <t>X</t>
        </is>
      </c>
      <c r="DI2413" t="inlineStr">
        <is>
          <t>X</t>
        </is>
      </c>
      <c r="DL2413" t="inlineStr">
        <is>
          <t>X</t>
        </is>
      </c>
      <c r="DN2413" t="inlineStr">
        <is>
          <t>X</t>
        </is>
      </c>
      <c r="DU2413" t="inlineStr">
        <is>
          <t>X</t>
        </is>
      </c>
      <c r="EA2413" t="inlineStr">
        <is>
          <t>X</t>
        </is>
      </c>
    </row>
    <row r="2414">
      <c r="A2414" t="inlineStr">
        <is>
          <t>OH0015697847</t>
        </is>
      </c>
      <c r="B2414" t="n">
        <v>78</v>
      </c>
      <c r="C2414" t="n">
        <v>154611</v>
      </c>
      <c r="D2414" t="inlineStr">
        <is>
          <t>HOWARD</t>
        </is>
      </c>
      <c r="E2414" t="inlineStr">
        <is>
          <t>THOMAS</t>
        </is>
      </c>
      <c r="F2414">
        <f>CONCATENATE(D2414," ",LEFT(H2414,4),"T=",AU2414,"D=",AV2414,"R=",AW2414,"M=",AX2414,"L=",AY2414,"B=",AZ2414)</f>
        <v/>
      </c>
      <c r="G2414" t="inlineStr">
        <is>
          <t>S</t>
        </is>
      </c>
      <c r="H2414" t="inlineStr">
        <is>
          <t>SR</t>
        </is>
      </c>
      <c r="I2414" t="inlineStr">
        <is>
          <t>1964-04-13</t>
        </is>
      </c>
      <c r="J2414" t="inlineStr">
        <is>
          <t>2024-11-05</t>
        </is>
      </c>
      <c r="K2414" t="inlineStr">
        <is>
          <t>ACTIVE</t>
        </is>
      </c>
      <c r="L2414" t="inlineStr">
        <is>
          <t>D</t>
        </is>
      </c>
      <c r="M2414" t="inlineStr">
        <is>
          <t>1648 OAK KNOLL AVE SE</t>
        </is>
      </c>
      <c r="N2414">
        <f>RIGHT(M2414,LEN(M2414)-FIND(" ",M2414))</f>
        <v/>
      </c>
      <c r="P2414" t="inlineStr">
        <is>
          <t>WARREN</t>
        </is>
      </c>
      <c r="Q2414" t="inlineStr">
        <is>
          <t>OH</t>
        </is>
      </c>
      <c r="R2414" t="n">
        <v>44484</v>
      </c>
      <c r="AD2414" t="inlineStr">
        <is>
          <t>TRUMBULL CAREER &amp; TECH CENTER</t>
        </is>
      </c>
      <c r="AE2414" t="inlineStr">
        <is>
          <t>WARREN CITY</t>
        </is>
      </c>
      <c r="AF2414" t="inlineStr">
        <is>
          <t>WARREN CITY SD</t>
        </is>
      </c>
      <c r="AH2414" t="n">
        <v>14</v>
      </c>
      <c r="AI2414" t="n">
        <v>11</v>
      </c>
      <c r="AN2414" t="inlineStr">
        <is>
          <t>WARREN</t>
        </is>
      </c>
      <c r="AO2414" t="inlineStr">
        <is>
          <t>WARREN CITY 4F</t>
        </is>
      </c>
      <c r="AP2414" t="inlineStr">
        <is>
          <t>78-P-ADN</t>
        </is>
      </c>
      <c r="AQ2414" t="n">
        <v>9</v>
      </c>
      <c r="AR2414" t="n">
        <v>64</v>
      </c>
      <c r="AS2414" t="n">
        <v>32</v>
      </c>
      <c r="AU2414">
        <f>COUNTA($BA$2414:$EH$2414)</f>
        <v/>
      </c>
      <c r="AV2414">
        <f>COUNTIF($BA$2414:$EH$2414,"D")</f>
        <v/>
      </c>
      <c r="AW2414">
        <f>COUNTIF($BA$2414:$EH$2414,"R")</f>
        <v/>
      </c>
      <c r="AX2414">
        <f>IF(BN2414="D",1,0)+IF(BO2414="D",1,0)+IF(BT2414="D",1,0)+IF(BU2414="D",1,0)+IF(BW2414="D",1,0)+IF(CC2414="D",1,0)+IF(CD2414="D",1,0)+IF(CE2414="D",1,0)+IF(CF2414="D",1,0)+IF(CL2414="D",1,0)+IF(CM2414="D",1,0)+IF(CQ2414="D",1,0)+IF(CR2414="D",1,0)+IF(CS2414="D",1,0)+IF(CW2414="D",1,0)+IF(CX2414="D",1,0)+IF(DD2414="D",1,0)+IF(DE2414="D",1,0)+IF(DJ2414="D",1,0)+IF(DK2414="D",1,0)+IF(DO2414="D",1,0)+IF(DP2414="D",1,0)+IF(DQ2414="D",1,0)+IF(DW2414="D",1,0)+IF(DZ2414="D",1,0)+IF(EH2414="D",1,0)</f>
        <v/>
      </c>
      <c r="AY2414">
        <f>IF(DJ2414&lt;&gt;"",1,0)+IF(DK2414&lt;&gt;"",1,0)+IF(DM2414&lt;&gt;"",1,0)+IF(DO2414&lt;&gt;"",1,0)+IF(DP2414&lt;&gt;"",1,0)+IF(DQ2414&lt;&gt;"",1,0)+IF(DS2414&lt;&gt;"",1,0)+IF(DT2414&lt;&gt;"",1,0)+IF(DV2414&lt;&gt;"",1,0)+IF(DW2414&lt;&gt;"",1,0)+IF(DX2414&lt;&gt;"",1,0)+IF(DY2414&lt;&gt;"",1,0)+IF(DZ2414&lt;&gt;"",1,0)+IF(EB2414&lt;&gt;"",1,0)+IF(EC2414&lt;&gt;"",1,0)+IF(ED2414&lt;&gt;"",1,0)+IF(EG2414&lt;&gt;"",1,0)+IF(EH2414&lt;&gt;"",1,0)</f>
        <v/>
      </c>
      <c r="AZ2414">
        <f>IF(EH2414&lt;&gt;"",1,0)</f>
        <v/>
      </c>
      <c r="BB2414" t="inlineStr">
        <is>
          <t>WARREN-WARD 4</t>
        </is>
      </c>
      <c r="BD2414" t="inlineStr">
        <is>
          <t>X</t>
        </is>
      </c>
      <c r="BE2414" t="inlineStr">
        <is>
          <t>X</t>
        </is>
      </c>
      <c r="BH2414" t="inlineStr">
        <is>
          <t>X</t>
        </is>
      </c>
      <c r="BI2414" t="inlineStr">
        <is>
          <t>X</t>
        </is>
      </c>
      <c r="BJ2414" t="inlineStr">
        <is>
          <t>X</t>
        </is>
      </c>
      <c r="BK2414" t="inlineStr">
        <is>
          <t>X</t>
        </is>
      </c>
      <c r="BL2414" t="inlineStr">
        <is>
          <t>X</t>
        </is>
      </c>
      <c r="BY2414" t="inlineStr">
        <is>
          <t>D</t>
        </is>
      </c>
      <c r="CA2414" t="inlineStr">
        <is>
          <t>X</t>
        </is>
      </c>
      <c r="CK2414" t="inlineStr">
        <is>
          <t>X</t>
        </is>
      </c>
      <c r="CL2414" t="inlineStr">
        <is>
          <t>D</t>
        </is>
      </c>
      <c r="CN2414" t="inlineStr">
        <is>
          <t>X</t>
        </is>
      </c>
      <c r="CP2414" t="inlineStr">
        <is>
          <t>X</t>
        </is>
      </c>
      <c r="CT2414" t="inlineStr">
        <is>
          <t>X</t>
        </is>
      </c>
      <c r="CV2414" t="inlineStr">
        <is>
          <t>X</t>
        </is>
      </c>
      <c r="CY2414" t="inlineStr">
        <is>
          <t>X</t>
        </is>
      </c>
      <c r="DC2414" t="inlineStr">
        <is>
          <t>X</t>
        </is>
      </c>
      <c r="DG2414" t="inlineStr">
        <is>
          <t>D</t>
        </is>
      </c>
      <c r="DI2414" t="inlineStr">
        <is>
          <t>X</t>
        </is>
      </c>
      <c r="DL2414" t="inlineStr">
        <is>
          <t>X</t>
        </is>
      </c>
      <c r="DN2414" t="inlineStr">
        <is>
          <t>X</t>
        </is>
      </c>
      <c r="DS2414" t="inlineStr">
        <is>
          <t>D</t>
        </is>
      </c>
      <c r="DT2414" t="inlineStr">
        <is>
          <t>D</t>
        </is>
      </c>
      <c r="DU2414" t="inlineStr">
        <is>
          <t>X</t>
        </is>
      </c>
      <c r="DW2414" t="inlineStr">
        <is>
          <t>D</t>
        </is>
      </c>
      <c r="DX2414" t="inlineStr">
        <is>
          <t>X</t>
        </is>
      </c>
      <c r="EA2414" t="inlineStr">
        <is>
          <t>X</t>
        </is>
      </c>
      <c r="EF2414" t="inlineStr">
        <is>
          <t>X</t>
        </is>
      </c>
    </row>
    <row r="2415">
      <c r="A2415" t="inlineStr">
        <is>
          <t>OH0019480195</t>
        </is>
      </c>
      <c r="B2415" t="n">
        <v>78</v>
      </c>
      <c r="C2415" t="n">
        <v>349914</v>
      </c>
      <c r="D2415" t="inlineStr">
        <is>
          <t>MOORE</t>
        </is>
      </c>
      <c r="E2415" t="inlineStr">
        <is>
          <t>JAMES</t>
        </is>
      </c>
      <c r="F2415">
        <f>CONCATENATE(D2415," ",LEFT(H2415,4),"T=",AU2415,"D=",AV2415,"R=",AW2415,"M=",AX2415,"L=",AY2415,"B=",AZ2415)</f>
        <v/>
      </c>
      <c r="G2415" t="inlineStr">
        <is>
          <t>A</t>
        </is>
      </c>
      <c r="I2415" t="inlineStr">
        <is>
          <t>1989-02-18</t>
        </is>
      </c>
      <c r="J2415" t="inlineStr">
        <is>
          <t>2021-08-09</t>
        </is>
      </c>
      <c r="K2415" t="inlineStr">
        <is>
          <t>CONFIRMATION</t>
        </is>
      </c>
      <c r="M2415" t="inlineStr">
        <is>
          <t>1063 HOMEWOOD AVE SE</t>
        </is>
      </c>
      <c r="N2415">
        <f>RIGHT(M2415,LEN(M2415)-FIND(" ",M2415))</f>
        <v/>
      </c>
      <c r="P2415" t="inlineStr">
        <is>
          <t>WARREN</t>
        </is>
      </c>
      <c r="Q2415" t="inlineStr">
        <is>
          <t>OH</t>
        </is>
      </c>
      <c r="R2415" t="n">
        <v>44484</v>
      </c>
      <c r="AD2415" t="inlineStr">
        <is>
          <t>TRUMBULL CAREER &amp; TECH CENTER</t>
        </is>
      </c>
      <c r="AE2415" t="inlineStr">
        <is>
          <t>WARREN CITY</t>
        </is>
      </c>
      <c r="AF2415" t="inlineStr">
        <is>
          <t>WARREN CITY SD</t>
        </is>
      </c>
      <c r="AH2415" t="n">
        <v>14</v>
      </c>
      <c r="AI2415" t="n">
        <v>11</v>
      </c>
      <c r="AN2415" t="inlineStr">
        <is>
          <t>WARREN</t>
        </is>
      </c>
      <c r="AO2415" t="inlineStr">
        <is>
          <t>WARREN CITY 4F</t>
        </is>
      </c>
      <c r="AP2415" t="inlineStr">
        <is>
          <t>78-P-ADN</t>
        </is>
      </c>
      <c r="AQ2415" t="n">
        <v>9</v>
      </c>
      <c r="AR2415" t="n">
        <v>64</v>
      </c>
      <c r="AS2415" t="n">
        <v>32</v>
      </c>
      <c r="AU2415">
        <f>COUNTA($BA$2415:$EH$2415)</f>
        <v/>
      </c>
      <c r="AV2415">
        <f>COUNTIF($BA$2415:$EH$2415,"D")</f>
        <v/>
      </c>
      <c r="AW2415">
        <f>COUNTIF($BA$2415:$EH$2415,"R")</f>
        <v/>
      </c>
      <c r="AX2415">
        <f>IF(BN2415="D",1,0)+IF(BO2415="D",1,0)+IF(BT2415="D",1,0)+IF(BU2415="D",1,0)+IF(BW2415="D",1,0)+IF(CC2415="D",1,0)+IF(CD2415="D",1,0)+IF(CE2415="D",1,0)+IF(CF2415="D",1,0)+IF(CL2415="D",1,0)+IF(CM2415="D",1,0)+IF(CQ2415="D",1,0)+IF(CR2415="D",1,0)+IF(CS2415="D",1,0)+IF(CW2415="D",1,0)+IF(CX2415="D",1,0)+IF(DD2415="D",1,0)+IF(DE2415="D",1,0)+IF(DJ2415="D",1,0)+IF(DK2415="D",1,0)+IF(DO2415="D",1,0)+IF(DP2415="D",1,0)+IF(DQ2415="D",1,0)+IF(DW2415="D",1,0)+IF(DZ2415="D",1,0)+IF(EH2415="D",1,0)</f>
        <v/>
      </c>
      <c r="AY2415">
        <f>IF(DJ2415&lt;&gt;"",1,0)+IF(DK2415&lt;&gt;"",1,0)+IF(DM2415&lt;&gt;"",1,0)+IF(DO2415&lt;&gt;"",1,0)+IF(DP2415&lt;&gt;"",1,0)+IF(DQ2415&lt;&gt;"",1,0)+IF(DS2415&lt;&gt;"",1,0)+IF(DT2415&lt;&gt;"",1,0)+IF(DV2415&lt;&gt;"",1,0)+IF(DW2415&lt;&gt;"",1,0)+IF(DX2415&lt;&gt;"",1,0)+IF(DY2415&lt;&gt;"",1,0)+IF(DZ2415&lt;&gt;"",1,0)+IF(EB2415&lt;&gt;"",1,0)+IF(EC2415&lt;&gt;"",1,0)+IF(ED2415&lt;&gt;"",1,0)+IF(EG2415&lt;&gt;"",1,0)+IF(EH2415&lt;&gt;"",1,0)</f>
        <v/>
      </c>
      <c r="AZ2415">
        <f>IF(EH2415&lt;&gt;"",1,0)</f>
        <v/>
      </c>
      <c r="BB2415" t="inlineStr">
        <is>
          <t>WARREN-WARD 4</t>
        </is>
      </c>
      <c r="CA2415" t="inlineStr">
        <is>
          <t>X</t>
        </is>
      </c>
      <c r="CK2415" t="inlineStr">
        <is>
          <t>X</t>
        </is>
      </c>
      <c r="CL2415" t="inlineStr">
        <is>
          <t>D</t>
        </is>
      </c>
      <c r="CP2415" t="inlineStr">
        <is>
          <t>X</t>
        </is>
      </c>
    </row>
    <row r="2416">
      <c r="A2416" t="inlineStr">
        <is>
          <t>OH0027607481</t>
        </is>
      </c>
      <c r="B2416" t="n">
        <v>78</v>
      </c>
      <c r="C2416" t="n">
        <v>489275</v>
      </c>
      <c r="D2416" t="inlineStr">
        <is>
          <t>MCCOLLOUGH ALEXANDER</t>
        </is>
      </c>
      <c r="E2416" t="inlineStr">
        <is>
          <t>NICOLAS</t>
        </is>
      </c>
      <c r="F2416">
        <f>CONCATENATE(D2416," ",LEFT(H2416,4),"T=",AU2416,"D=",AV2416,"R=",AW2416,"M=",AX2416,"L=",AY2416,"B=",AZ2416)</f>
        <v/>
      </c>
      <c r="G2416" t="inlineStr">
        <is>
          <t>ARNEZ</t>
        </is>
      </c>
      <c r="I2416" t="inlineStr">
        <is>
          <t>2006-02-08</t>
        </is>
      </c>
      <c r="J2416" t="inlineStr">
        <is>
          <t>2024-09-10</t>
        </is>
      </c>
      <c r="K2416" t="inlineStr">
        <is>
          <t>ACTIVE</t>
        </is>
      </c>
      <c r="M2416" t="inlineStr">
        <is>
          <t>2184 BENTON ST SE</t>
        </is>
      </c>
      <c r="N2416">
        <f>RIGHT(M2416,LEN(M2416)-FIND(" ",M2416))</f>
        <v/>
      </c>
      <c r="P2416" t="inlineStr">
        <is>
          <t>WARREN</t>
        </is>
      </c>
      <c r="Q2416" t="inlineStr">
        <is>
          <t>OH</t>
        </is>
      </c>
      <c r="R2416" t="n">
        <v>44484</v>
      </c>
      <c r="AD2416" t="inlineStr">
        <is>
          <t>TRUMBULL CAREER &amp; TECH CENTER</t>
        </is>
      </c>
      <c r="AE2416" t="inlineStr">
        <is>
          <t>WARREN CITY</t>
        </is>
      </c>
      <c r="AF2416" t="inlineStr">
        <is>
          <t>WARREN CITY SD</t>
        </is>
      </c>
      <c r="AH2416" t="n">
        <v>14</v>
      </c>
      <c r="AI2416" t="n">
        <v>11</v>
      </c>
      <c r="AN2416" t="inlineStr">
        <is>
          <t>WARREN</t>
        </is>
      </c>
      <c r="AO2416" t="inlineStr">
        <is>
          <t>WARREN CITY 4F</t>
        </is>
      </c>
      <c r="AP2416" t="inlineStr">
        <is>
          <t>78-P-ADN</t>
        </is>
      </c>
      <c r="AQ2416" t="n">
        <v>9</v>
      </c>
      <c r="AR2416" t="n">
        <v>64</v>
      </c>
      <c r="AS2416" t="n">
        <v>32</v>
      </c>
      <c r="AU2416">
        <f>COUNTA($BA$2416:$EH$2416)</f>
        <v/>
      </c>
      <c r="AV2416">
        <f>COUNTIF($BA$2416:$EH$2416,"D")</f>
        <v/>
      </c>
      <c r="AW2416">
        <f>COUNTIF($BA$2416:$EH$2416,"R")</f>
        <v/>
      </c>
      <c r="AX2416">
        <f>IF(BN2416="D",1,0)+IF(BO2416="D",1,0)+IF(BT2416="D",1,0)+IF(BU2416="D",1,0)+IF(BW2416="D",1,0)+IF(CC2416="D",1,0)+IF(CD2416="D",1,0)+IF(CE2416="D",1,0)+IF(CF2416="D",1,0)+IF(CL2416="D",1,0)+IF(CM2416="D",1,0)+IF(CQ2416="D",1,0)+IF(CR2416="D",1,0)+IF(CS2416="D",1,0)+IF(CW2416="D",1,0)+IF(CX2416="D",1,0)+IF(DD2416="D",1,0)+IF(DE2416="D",1,0)+IF(DJ2416="D",1,0)+IF(DK2416="D",1,0)+IF(DO2416="D",1,0)+IF(DP2416="D",1,0)+IF(DQ2416="D",1,0)+IF(DW2416="D",1,0)+IF(DZ2416="D",1,0)+IF(EH2416="D",1,0)</f>
        <v/>
      </c>
      <c r="AY2416">
        <f>IF(DJ2416&lt;&gt;"",1,0)+IF(DK2416&lt;&gt;"",1,0)+IF(DM2416&lt;&gt;"",1,0)+IF(DO2416&lt;&gt;"",1,0)+IF(DP2416&lt;&gt;"",1,0)+IF(DQ2416&lt;&gt;"",1,0)+IF(DS2416&lt;&gt;"",1,0)+IF(DT2416&lt;&gt;"",1,0)+IF(DV2416&lt;&gt;"",1,0)+IF(DW2416&lt;&gt;"",1,0)+IF(DX2416&lt;&gt;"",1,0)+IF(DY2416&lt;&gt;"",1,0)+IF(DZ2416&lt;&gt;"",1,0)+IF(EB2416&lt;&gt;"",1,0)+IF(EC2416&lt;&gt;"",1,0)+IF(ED2416&lt;&gt;"",1,0)+IF(EG2416&lt;&gt;"",1,0)+IF(EH2416&lt;&gt;"",1,0)</f>
        <v/>
      </c>
      <c r="AZ2416">
        <f>IF(EH2416&lt;&gt;"",1,0)</f>
        <v/>
      </c>
      <c r="BB2416" t="inlineStr">
        <is>
          <t>WARREN-WARD 4</t>
        </is>
      </c>
      <c r="EF2416" t="inlineStr">
        <is>
          <t>X</t>
        </is>
      </c>
    </row>
    <row r="2417">
      <c r="A2417" t="inlineStr">
        <is>
          <t>OH0020025264</t>
        </is>
      </c>
      <c r="B2417" t="n">
        <v>78</v>
      </c>
      <c r="C2417" t="n">
        <v>361595</v>
      </c>
      <c r="D2417" t="inlineStr">
        <is>
          <t>JACKSON</t>
        </is>
      </c>
      <c r="E2417" t="inlineStr">
        <is>
          <t>MIRANDA</t>
        </is>
      </c>
      <c r="F2417">
        <f>CONCATENATE(D2417," ",LEFT(H2417,4),"T=",AU2417,"D=",AV2417,"R=",AW2417,"M=",AX2417,"L=",AY2417,"B=",AZ2417)</f>
        <v/>
      </c>
      <c r="G2417" t="inlineStr">
        <is>
          <t>L</t>
        </is>
      </c>
      <c r="I2417" t="inlineStr">
        <is>
          <t>1990-07-14</t>
        </is>
      </c>
      <c r="J2417" t="inlineStr">
        <is>
          <t>2024-06-20</t>
        </is>
      </c>
      <c r="K2417" t="inlineStr">
        <is>
          <t>ACTIVE</t>
        </is>
      </c>
      <c r="M2417" t="inlineStr">
        <is>
          <t>959 EAST AVE SE</t>
        </is>
      </c>
      <c r="N2417">
        <f>RIGHT(M2417,LEN(M2417)-FIND(" ",M2417))</f>
        <v/>
      </c>
      <c r="P2417" t="inlineStr">
        <is>
          <t>WARREN</t>
        </is>
      </c>
      <c r="Q2417" t="inlineStr">
        <is>
          <t>OH</t>
        </is>
      </c>
      <c r="R2417" t="n">
        <v>44484</v>
      </c>
      <c r="AD2417" t="inlineStr">
        <is>
          <t>TRUMBULL CAREER &amp; TECH CENTER</t>
        </is>
      </c>
      <c r="AE2417" t="inlineStr">
        <is>
          <t>WARREN CITY</t>
        </is>
      </c>
      <c r="AF2417" t="inlineStr">
        <is>
          <t>WARREN CITY SD</t>
        </is>
      </c>
      <c r="AH2417" t="n">
        <v>14</v>
      </c>
      <c r="AI2417" t="n">
        <v>11</v>
      </c>
      <c r="AN2417" t="inlineStr">
        <is>
          <t>WARREN</t>
        </is>
      </c>
      <c r="AO2417" t="inlineStr">
        <is>
          <t>WARREN CITY 4F</t>
        </is>
      </c>
      <c r="AP2417" t="inlineStr">
        <is>
          <t>78-P-ADN</t>
        </is>
      </c>
      <c r="AQ2417" t="n">
        <v>9</v>
      </c>
      <c r="AR2417" t="n">
        <v>64</v>
      </c>
      <c r="AS2417" t="n">
        <v>32</v>
      </c>
      <c r="AU2417">
        <f>COUNTA($BA$2417:$EH$2417)</f>
        <v/>
      </c>
      <c r="AV2417">
        <f>COUNTIF($BA$2417:$EH$2417,"D")</f>
        <v/>
      </c>
      <c r="AW2417">
        <f>COUNTIF($BA$2417:$EH$2417,"R")</f>
        <v/>
      </c>
      <c r="AX2417">
        <f>IF(BN2417="D",1,0)+IF(BO2417="D",1,0)+IF(BT2417="D",1,0)+IF(BU2417="D",1,0)+IF(BW2417="D",1,0)+IF(CC2417="D",1,0)+IF(CD2417="D",1,0)+IF(CE2417="D",1,0)+IF(CF2417="D",1,0)+IF(CL2417="D",1,0)+IF(CM2417="D",1,0)+IF(CQ2417="D",1,0)+IF(CR2417="D",1,0)+IF(CS2417="D",1,0)+IF(CW2417="D",1,0)+IF(CX2417="D",1,0)+IF(DD2417="D",1,0)+IF(DE2417="D",1,0)+IF(DJ2417="D",1,0)+IF(DK2417="D",1,0)+IF(DO2417="D",1,0)+IF(DP2417="D",1,0)+IF(DQ2417="D",1,0)+IF(DW2417="D",1,0)+IF(DZ2417="D",1,0)+IF(EH2417="D",1,0)</f>
        <v/>
      </c>
      <c r="AY2417">
        <f>IF(DJ2417&lt;&gt;"",1,0)+IF(DK2417&lt;&gt;"",1,0)+IF(DM2417&lt;&gt;"",1,0)+IF(DO2417&lt;&gt;"",1,0)+IF(DP2417&lt;&gt;"",1,0)+IF(DQ2417&lt;&gt;"",1,0)+IF(DS2417&lt;&gt;"",1,0)+IF(DT2417&lt;&gt;"",1,0)+IF(DV2417&lt;&gt;"",1,0)+IF(DW2417&lt;&gt;"",1,0)+IF(DX2417&lt;&gt;"",1,0)+IF(DY2417&lt;&gt;"",1,0)+IF(DZ2417&lt;&gt;"",1,0)+IF(EB2417&lt;&gt;"",1,0)+IF(EC2417&lt;&gt;"",1,0)+IF(ED2417&lt;&gt;"",1,0)+IF(EG2417&lt;&gt;"",1,0)+IF(EH2417&lt;&gt;"",1,0)</f>
        <v/>
      </c>
      <c r="AZ2417">
        <f>IF(EH2417&lt;&gt;"",1,0)</f>
        <v/>
      </c>
      <c r="BB2417" t="inlineStr">
        <is>
          <t>WARREN-WARD 4</t>
        </is>
      </c>
      <c r="CA2417" t="inlineStr">
        <is>
          <t>X</t>
        </is>
      </c>
      <c r="CP2417" t="inlineStr">
        <is>
          <t>X</t>
        </is>
      </c>
      <c r="DC2417" t="inlineStr">
        <is>
          <t>X</t>
        </is>
      </c>
      <c r="DI2417" t="inlineStr">
        <is>
          <t>X</t>
        </is>
      </c>
      <c r="DL2417" t="inlineStr">
        <is>
          <t>X</t>
        </is>
      </c>
      <c r="DN2417" t="inlineStr">
        <is>
          <t>X</t>
        </is>
      </c>
      <c r="EA2417" t="inlineStr">
        <is>
          <t>X</t>
        </is>
      </c>
      <c r="EF2417" t="inlineStr">
        <is>
          <t>X</t>
        </is>
      </c>
    </row>
    <row r="2418">
      <c r="A2418" t="inlineStr">
        <is>
          <t>OH0021403069</t>
        </is>
      </c>
      <c r="B2418" t="n">
        <v>78</v>
      </c>
      <c r="C2418" t="n">
        <v>380887</v>
      </c>
      <c r="D2418" t="inlineStr">
        <is>
          <t>FAYNE</t>
        </is>
      </c>
      <c r="E2418" t="inlineStr">
        <is>
          <t>QUANISHIA</t>
        </is>
      </c>
      <c r="F2418">
        <f>CONCATENATE(D2418," ",LEFT(H2418,4),"T=",AU2418,"D=",AV2418,"R=",AW2418,"M=",AX2418,"L=",AY2418,"B=",AZ2418)</f>
        <v/>
      </c>
      <c r="G2418" t="inlineStr">
        <is>
          <t>DENISE</t>
        </is>
      </c>
      <c r="I2418" t="inlineStr">
        <is>
          <t>1993-05-13</t>
        </is>
      </c>
      <c r="J2418" t="inlineStr">
        <is>
          <t>2022-05-24</t>
        </is>
      </c>
      <c r="K2418" t="inlineStr">
        <is>
          <t>ACTIVE</t>
        </is>
      </c>
      <c r="M2418" t="inlineStr">
        <is>
          <t>1838 BRIER ST SE</t>
        </is>
      </c>
      <c r="N2418">
        <f>RIGHT(M2418,LEN(M2418)-FIND(" ",M2418))</f>
        <v/>
      </c>
      <c r="P2418" t="inlineStr">
        <is>
          <t>WARREN</t>
        </is>
      </c>
      <c r="Q2418" t="inlineStr">
        <is>
          <t>OH</t>
        </is>
      </c>
      <c r="R2418" t="n">
        <v>44484</v>
      </c>
      <c r="AD2418" t="inlineStr">
        <is>
          <t>TRUMBULL CAREER &amp; TECH CENTER</t>
        </is>
      </c>
      <c r="AE2418" t="inlineStr">
        <is>
          <t>WARREN CITY</t>
        </is>
      </c>
      <c r="AF2418" t="inlineStr">
        <is>
          <t>WARREN CITY SD</t>
        </is>
      </c>
      <c r="AH2418" t="n">
        <v>14</v>
      </c>
      <c r="AI2418" t="n">
        <v>11</v>
      </c>
      <c r="AN2418" t="inlineStr">
        <is>
          <t>WARREN</t>
        </is>
      </c>
      <c r="AO2418" t="inlineStr">
        <is>
          <t>WARREN CITY 4F</t>
        </is>
      </c>
      <c r="AP2418" t="inlineStr">
        <is>
          <t>78-P-ADN</t>
        </is>
      </c>
      <c r="AQ2418" t="n">
        <v>9</v>
      </c>
      <c r="AR2418" t="n">
        <v>64</v>
      </c>
      <c r="AS2418" t="n">
        <v>32</v>
      </c>
      <c r="AU2418">
        <f>COUNTA($BA$2418:$EH$2418)</f>
        <v/>
      </c>
      <c r="AV2418">
        <f>COUNTIF($BA$2418:$EH$2418,"D")</f>
        <v/>
      </c>
      <c r="AW2418">
        <f>COUNTIF($BA$2418:$EH$2418,"R")</f>
        <v/>
      </c>
      <c r="AX2418">
        <f>IF(BN2418="D",1,0)+IF(BO2418="D",1,0)+IF(BT2418="D",1,0)+IF(BU2418="D",1,0)+IF(BW2418="D",1,0)+IF(CC2418="D",1,0)+IF(CD2418="D",1,0)+IF(CE2418="D",1,0)+IF(CF2418="D",1,0)+IF(CL2418="D",1,0)+IF(CM2418="D",1,0)+IF(CQ2418="D",1,0)+IF(CR2418="D",1,0)+IF(CS2418="D",1,0)+IF(CW2418="D",1,0)+IF(CX2418="D",1,0)+IF(DD2418="D",1,0)+IF(DE2418="D",1,0)+IF(DJ2418="D",1,0)+IF(DK2418="D",1,0)+IF(DO2418="D",1,0)+IF(DP2418="D",1,0)+IF(DQ2418="D",1,0)+IF(DW2418="D",1,0)+IF(DZ2418="D",1,0)+IF(EH2418="D",1,0)</f>
        <v/>
      </c>
      <c r="AY2418">
        <f>IF(DJ2418&lt;&gt;"",1,0)+IF(DK2418&lt;&gt;"",1,0)+IF(DM2418&lt;&gt;"",1,0)+IF(DO2418&lt;&gt;"",1,0)+IF(DP2418&lt;&gt;"",1,0)+IF(DQ2418&lt;&gt;"",1,0)+IF(DS2418&lt;&gt;"",1,0)+IF(DT2418&lt;&gt;"",1,0)+IF(DV2418&lt;&gt;"",1,0)+IF(DW2418&lt;&gt;"",1,0)+IF(DX2418&lt;&gt;"",1,0)+IF(DY2418&lt;&gt;"",1,0)+IF(DZ2418&lt;&gt;"",1,0)+IF(EB2418&lt;&gt;"",1,0)+IF(EC2418&lt;&gt;"",1,0)+IF(ED2418&lt;&gt;"",1,0)+IF(EG2418&lt;&gt;"",1,0)+IF(EH2418&lt;&gt;"",1,0)</f>
        <v/>
      </c>
      <c r="AZ2418">
        <f>IF(EH2418&lt;&gt;"",1,0)</f>
        <v/>
      </c>
      <c r="BB2418" t="inlineStr">
        <is>
          <t>WARREN-WARD 4</t>
        </is>
      </c>
      <c r="CP2418" t="inlineStr">
        <is>
          <t>X</t>
        </is>
      </c>
      <c r="CY2418" t="inlineStr">
        <is>
          <t>X</t>
        </is>
      </c>
      <c r="DC2418" t="inlineStr">
        <is>
          <t>X</t>
        </is>
      </c>
      <c r="DI2418" t="inlineStr">
        <is>
          <t>X</t>
        </is>
      </c>
      <c r="DN2418" t="inlineStr">
        <is>
          <t>X</t>
        </is>
      </c>
      <c r="DR2418" t="inlineStr">
        <is>
          <t>X</t>
        </is>
      </c>
      <c r="DX2418" t="inlineStr">
        <is>
          <t>X</t>
        </is>
      </c>
      <c r="EA2418" t="inlineStr">
        <is>
          <t>X</t>
        </is>
      </c>
      <c r="EF2418" t="inlineStr">
        <is>
          <t>X</t>
        </is>
      </c>
    </row>
    <row r="2419">
      <c r="A2419" t="inlineStr">
        <is>
          <t>OH0015788941</t>
        </is>
      </c>
      <c r="B2419" t="n">
        <v>78</v>
      </c>
      <c r="C2419" t="n">
        <v>309109</v>
      </c>
      <c r="D2419" t="inlineStr">
        <is>
          <t>BARNES</t>
        </is>
      </c>
      <c r="E2419" t="inlineStr">
        <is>
          <t>SONYA</t>
        </is>
      </c>
      <c r="F2419">
        <f>CONCATENATE(D2419," ",LEFT(H2419,4),"T=",AU2419,"D=",AV2419,"R=",AW2419,"M=",AX2419,"L=",AY2419,"B=",AZ2419)</f>
        <v/>
      </c>
      <c r="G2419" t="inlineStr">
        <is>
          <t>M</t>
        </is>
      </c>
      <c r="I2419" t="inlineStr">
        <is>
          <t>1970-06-08</t>
        </is>
      </c>
      <c r="J2419" t="inlineStr">
        <is>
          <t>2012-05-28</t>
        </is>
      </c>
      <c r="K2419" t="inlineStr">
        <is>
          <t>ACTIVE</t>
        </is>
      </c>
      <c r="M2419" t="inlineStr">
        <is>
          <t>1801 BURTON ST SE</t>
        </is>
      </c>
      <c r="N2419">
        <f>RIGHT(M2419,LEN(M2419)-FIND(" ",M2419))</f>
        <v/>
      </c>
      <c r="P2419" t="inlineStr">
        <is>
          <t>WARREN</t>
        </is>
      </c>
      <c r="Q2419" t="inlineStr">
        <is>
          <t>OH</t>
        </is>
      </c>
      <c r="R2419" t="n">
        <v>44484</v>
      </c>
      <c r="AD2419" t="inlineStr">
        <is>
          <t>TRUMBULL CAREER &amp; TECH CENTER</t>
        </is>
      </c>
      <c r="AE2419" t="inlineStr">
        <is>
          <t>WARREN CITY</t>
        </is>
      </c>
      <c r="AF2419" t="inlineStr">
        <is>
          <t>WARREN CITY SD</t>
        </is>
      </c>
      <c r="AH2419" t="n">
        <v>14</v>
      </c>
      <c r="AI2419" t="n">
        <v>11</v>
      </c>
      <c r="AN2419" t="inlineStr">
        <is>
          <t>WARREN</t>
        </is>
      </c>
      <c r="AO2419" t="inlineStr">
        <is>
          <t>WARREN CITY 4F</t>
        </is>
      </c>
      <c r="AP2419" t="inlineStr">
        <is>
          <t>78-P-ADN</t>
        </is>
      </c>
      <c r="AQ2419" t="n">
        <v>9</v>
      </c>
      <c r="AR2419" t="n">
        <v>64</v>
      </c>
      <c r="AS2419" t="n">
        <v>32</v>
      </c>
      <c r="AU2419">
        <f>COUNTA($BA$2419:$EH$2419)</f>
        <v/>
      </c>
      <c r="AV2419">
        <f>COUNTIF($BA$2419:$EH$2419,"D")</f>
        <v/>
      </c>
      <c r="AW2419">
        <f>COUNTIF($BA$2419:$EH$2419,"R")</f>
        <v/>
      </c>
      <c r="AX2419">
        <f>IF(BN2419="D",1,0)+IF(BO2419="D",1,0)+IF(BT2419="D",1,0)+IF(BU2419="D",1,0)+IF(BW2419="D",1,0)+IF(CC2419="D",1,0)+IF(CD2419="D",1,0)+IF(CE2419="D",1,0)+IF(CF2419="D",1,0)+IF(CL2419="D",1,0)+IF(CM2419="D",1,0)+IF(CQ2419="D",1,0)+IF(CR2419="D",1,0)+IF(CS2419="D",1,0)+IF(CW2419="D",1,0)+IF(CX2419="D",1,0)+IF(DD2419="D",1,0)+IF(DE2419="D",1,0)+IF(DJ2419="D",1,0)+IF(DK2419="D",1,0)+IF(DO2419="D",1,0)+IF(DP2419="D",1,0)+IF(DQ2419="D",1,0)+IF(DW2419="D",1,0)+IF(DZ2419="D",1,0)+IF(EH2419="D",1,0)</f>
        <v/>
      </c>
      <c r="AY2419">
        <f>IF(DJ2419&lt;&gt;"",1,0)+IF(DK2419&lt;&gt;"",1,0)+IF(DM2419&lt;&gt;"",1,0)+IF(DO2419&lt;&gt;"",1,0)+IF(DP2419&lt;&gt;"",1,0)+IF(DQ2419&lt;&gt;"",1,0)+IF(DS2419&lt;&gt;"",1,0)+IF(DT2419&lt;&gt;"",1,0)+IF(DV2419&lt;&gt;"",1,0)+IF(DW2419&lt;&gt;"",1,0)+IF(DX2419&lt;&gt;"",1,0)+IF(DY2419&lt;&gt;"",1,0)+IF(DZ2419&lt;&gt;"",1,0)+IF(EB2419&lt;&gt;"",1,0)+IF(EC2419&lt;&gt;"",1,0)+IF(ED2419&lt;&gt;"",1,0)+IF(EG2419&lt;&gt;"",1,0)+IF(EH2419&lt;&gt;"",1,0)</f>
        <v/>
      </c>
      <c r="AZ2419">
        <f>IF(EH2419&lt;&gt;"",1,0)</f>
        <v/>
      </c>
      <c r="BB2419" t="inlineStr">
        <is>
          <t>WARREN-WARD 4</t>
        </is>
      </c>
      <c r="CA2419" t="inlineStr">
        <is>
          <t>X</t>
        </is>
      </c>
      <c r="CP2419" t="inlineStr">
        <is>
          <t>X</t>
        </is>
      </c>
      <c r="CZ2419" t="inlineStr">
        <is>
          <t>D</t>
        </is>
      </c>
      <c r="DC2419" t="inlineStr">
        <is>
          <t>X</t>
        </is>
      </c>
      <c r="EF2419" t="inlineStr">
        <is>
          <t>X</t>
        </is>
      </c>
    </row>
    <row r="2420">
      <c r="A2420" t="inlineStr">
        <is>
          <t>OH0015809606</t>
        </is>
      </c>
      <c r="B2420" t="n">
        <v>78</v>
      </c>
      <c r="C2420" t="n">
        <v>317470</v>
      </c>
      <c r="D2420" t="inlineStr">
        <is>
          <t>MURRY</t>
        </is>
      </c>
      <c r="E2420" t="inlineStr">
        <is>
          <t>JOE</t>
        </is>
      </c>
      <c r="F2420">
        <f>CONCATENATE(D2420," ",LEFT(H2420,4),"T=",AU2420,"D=",AV2420,"R=",AW2420,"M=",AX2420,"L=",AY2420,"B=",AZ2420)</f>
        <v/>
      </c>
      <c r="H2420" t="inlineStr">
        <is>
          <t>JR</t>
        </is>
      </c>
      <c r="I2420" t="inlineStr">
        <is>
          <t>1965-02-10</t>
        </is>
      </c>
      <c r="J2420" t="inlineStr">
        <is>
          <t>2010-11-24</t>
        </is>
      </c>
      <c r="K2420" t="inlineStr">
        <is>
          <t>ACTIVE</t>
        </is>
      </c>
      <c r="M2420" t="inlineStr">
        <is>
          <t>1748 BURTON ST SE</t>
        </is>
      </c>
      <c r="N2420">
        <f>RIGHT(M2420,LEN(M2420)-FIND(" ",M2420))</f>
        <v/>
      </c>
      <c r="P2420" t="inlineStr">
        <is>
          <t>WARREN</t>
        </is>
      </c>
      <c r="Q2420" t="inlineStr">
        <is>
          <t>OH</t>
        </is>
      </c>
      <c r="R2420" t="n">
        <v>44484</v>
      </c>
      <c r="AD2420" t="inlineStr">
        <is>
          <t>TRUMBULL CAREER &amp; TECH CENTER</t>
        </is>
      </c>
      <c r="AE2420" t="inlineStr">
        <is>
          <t>WARREN CITY</t>
        </is>
      </c>
      <c r="AF2420" t="inlineStr">
        <is>
          <t>WARREN CITY SD</t>
        </is>
      </c>
      <c r="AH2420" t="n">
        <v>14</v>
      </c>
      <c r="AI2420" t="n">
        <v>11</v>
      </c>
      <c r="AN2420" t="inlineStr">
        <is>
          <t>WARREN</t>
        </is>
      </c>
      <c r="AO2420" t="inlineStr">
        <is>
          <t>WARREN CITY 4F</t>
        </is>
      </c>
      <c r="AP2420" t="inlineStr">
        <is>
          <t>78-P-ADN</t>
        </is>
      </c>
      <c r="AQ2420" t="n">
        <v>9</v>
      </c>
      <c r="AR2420" t="n">
        <v>64</v>
      </c>
      <c r="AS2420" t="n">
        <v>32</v>
      </c>
      <c r="AU2420">
        <f>COUNTA($BA$2420:$EH$2420)</f>
        <v/>
      </c>
      <c r="AV2420">
        <f>COUNTIF($BA$2420:$EH$2420,"D")</f>
        <v/>
      </c>
      <c r="AW2420">
        <f>COUNTIF($BA$2420:$EH$2420,"R")</f>
        <v/>
      </c>
      <c r="AX2420">
        <f>IF(BN2420="D",1,0)+IF(BO2420="D",1,0)+IF(BT2420="D",1,0)+IF(BU2420="D",1,0)+IF(BW2420="D",1,0)+IF(CC2420="D",1,0)+IF(CD2420="D",1,0)+IF(CE2420="D",1,0)+IF(CF2420="D",1,0)+IF(CL2420="D",1,0)+IF(CM2420="D",1,0)+IF(CQ2420="D",1,0)+IF(CR2420="D",1,0)+IF(CS2420="D",1,0)+IF(CW2420="D",1,0)+IF(CX2420="D",1,0)+IF(DD2420="D",1,0)+IF(DE2420="D",1,0)+IF(DJ2420="D",1,0)+IF(DK2420="D",1,0)+IF(DO2420="D",1,0)+IF(DP2420="D",1,0)+IF(DQ2420="D",1,0)+IF(DW2420="D",1,0)+IF(DZ2420="D",1,0)+IF(EH2420="D",1,0)</f>
        <v/>
      </c>
      <c r="AY2420">
        <f>IF(DJ2420&lt;&gt;"",1,0)+IF(DK2420&lt;&gt;"",1,0)+IF(DM2420&lt;&gt;"",1,0)+IF(DO2420&lt;&gt;"",1,0)+IF(DP2420&lt;&gt;"",1,0)+IF(DQ2420&lt;&gt;"",1,0)+IF(DS2420&lt;&gt;"",1,0)+IF(DT2420&lt;&gt;"",1,0)+IF(DV2420&lt;&gt;"",1,0)+IF(DW2420&lt;&gt;"",1,0)+IF(DX2420&lt;&gt;"",1,0)+IF(DY2420&lt;&gt;"",1,0)+IF(DZ2420&lt;&gt;"",1,0)+IF(EB2420&lt;&gt;"",1,0)+IF(EC2420&lt;&gt;"",1,0)+IF(ED2420&lt;&gt;"",1,0)+IF(EG2420&lt;&gt;"",1,0)+IF(EH2420&lt;&gt;"",1,0)</f>
        <v/>
      </c>
      <c r="AZ2420">
        <f>IF(EH2420&lt;&gt;"",1,0)</f>
        <v/>
      </c>
      <c r="BB2420" t="inlineStr">
        <is>
          <t>WARREN-WARD 4</t>
        </is>
      </c>
      <c r="BL2420" t="inlineStr">
        <is>
          <t>X</t>
        </is>
      </c>
      <c r="BY2420" t="inlineStr">
        <is>
          <t>D</t>
        </is>
      </c>
      <c r="CA2420" t="inlineStr">
        <is>
          <t>X</t>
        </is>
      </c>
      <c r="CK2420" t="inlineStr">
        <is>
          <t>X</t>
        </is>
      </c>
      <c r="CL2420" t="inlineStr">
        <is>
          <t>D</t>
        </is>
      </c>
      <c r="CN2420" t="inlineStr">
        <is>
          <t>X</t>
        </is>
      </c>
      <c r="CP2420" t="inlineStr">
        <is>
          <t>X</t>
        </is>
      </c>
      <c r="CY2420" t="inlineStr">
        <is>
          <t>X</t>
        </is>
      </c>
      <c r="CZ2420" t="inlineStr">
        <is>
          <t>D</t>
        </is>
      </c>
      <c r="DC2420" t="inlineStr">
        <is>
          <t>X</t>
        </is>
      </c>
      <c r="DI2420" t="inlineStr">
        <is>
          <t>X</t>
        </is>
      </c>
      <c r="DN2420" t="inlineStr">
        <is>
          <t>X</t>
        </is>
      </c>
      <c r="DU2420" t="inlineStr">
        <is>
          <t>X</t>
        </is>
      </c>
      <c r="EF2420" t="inlineStr">
        <is>
          <t>X</t>
        </is>
      </c>
    </row>
    <row r="2421">
      <c r="A2421" t="inlineStr">
        <is>
          <t>OH0018751195</t>
        </is>
      </c>
      <c r="B2421" t="n">
        <v>78</v>
      </c>
      <c r="C2421" t="n">
        <v>343904</v>
      </c>
      <c r="D2421" t="inlineStr">
        <is>
          <t>WESLEY</t>
        </is>
      </c>
      <c r="E2421" t="inlineStr">
        <is>
          <t>FRANCINE</t>
        </is>
      </c>
      <c r="F2421">
        <f>CONCATENATE(D2421," ",LEFT(H2421,4),"T=",AU2421,"D=",AV2421,"R=",AW2421,"M=",AX2421,"L=",AY2421,"B=",AZ2421)</f>
        <v/>
      </c>
      <c r="I2421" t="inlineStr">
        <is>
          <t>1963-10-25</t>
        </is>
      </c>
      <c r="J2421" t="inlineStr">
        <is>
          <t>2024-10-07</t>
        </is>
      </c>
      <c r="K2421" t="inlineStr">
        <is>
          <t>ACTIVE</t>
        </is>
      </c>
      <c r="M2421" t="inlineStr">
        <is>
          <t>1920 BURTON ST SE</t>
        </is>
      </c>
      <c r="N2421">
        <f>RIGHT(M2421,LEN(M2421)-FIND(" ",M2421))</f>
        <v/>
      </c>
      <c r="P2421" t="inlineStr">
        <is>
          <t>WARREN</t>
        </is>
      </c>
      <c r="Q2421" t="inlineStr">
        <is>
          <t>OH</t>
        </is>
      </c>
      <c r="R2421" t="n">
        <v>44484</v>
      </c>
      <c r="AD2421" t="inlineStr">
        <is>
          <t>TRUMBULL CAREER &amp; TECH CENTER</t>
        </is>
      </c>
      <c r="AE2421" t="inlineStr">
        <is>
          <t>WARREN CITY</t>
        </is>
      </c>
      <c r="AF2421" t="inlineStr">
        <is>
          <t>WARREN CITY SD</t>
        </is>
      </c>
      <c r="AH2421" t="n">
        <v>14</v>
      </c>
      <c r="AI2421" t="n">
        <v>11</v>
      </c>
      <c r="AN2421" t="inlineStr">
        <is>
          <t>WARREN</t>
        </is>
      </c>
      <c r="AO2421" t="inlineStr">
        <is>
          <t>WARREN CITY 4F</t>
        </is>
      </c>
      <c r="AP2421" t="inlineStr">
        <is>
          <t>78-P-ADN</t>
        </is>
      </c>
      <c r="AQ2421" t="n">
        <v>9</v>
      </c>
      <c r="AR2421" t="n">
        <v>64</v>
      </c>
      <c r="AS2421" t="n">
        <v>32</v>
      </c>
      <c r="AU2421">
        <f>COUNTA($BA$2421:$EH$2421)</f>
        <v/>
      </c>
      <c r="AV2421">
        <f>COUNTIF($BA$2421:$EH$2421,"D")</f>
        <v/>
      </c>
      <c r="AW2421">
        <f>COUNTIF($BA$2421:$EH$2421,"R")</f>
        <v/>
      </c>
      <c r="AX2421">
        <f>IF(BN2421="D",1,0)+IF(BO2421="D",1,0)+IF(BT2421="D",1,0)+IF(BU2421="D",1,0)+IF(BW2421="D",1,0)+IF(CC2421="D",1,0)+IF(CD2421="D",1,0)+IF(CE2421="D",1,0)+IF(CF2421="D",1,0)+IF(CL2421="D",1,0)+IF(CM2421="D",1,0)+IF(CQ2421="D",1,0)+IF(CR2421="D",1,0)+IF(CS2421="D",1,0)+IF(CW2421="D",1,0)+IF(CX2421="D",1,0)+IF(DD2421="D",1,0)+IF(DE2421="D",1,0)+IF(DJ2421="D",1,0)+IF(DK2421="D",1,0)+IF(DO2421="D",1,0)+IF(DP2421="D",1,0)+IF(DQ2421="D",1,0)+IF(DW2421="D",1,0)+IF(DZ2421="D",1,0)+IF(EH2421="D",1,0)</f>
        <v/>
      </c>
      <c r="AY2421">
        <f>IF(DJ2421&lt;&gt;"",1,0)+IF(DK2421&lt;&gt;"",1,0)+IF(DM2421&lt;&gt;"",1,0)+IF(DO2421&lt;&gt;"",1,0)+IF(DP2421&lt;&gt;"",1,0)+IF(DQ2421&lt;&gt;"",1,0)+IF(DS2421&lt;&gt;"",1,0)+IF(DT2421&lt;&gt;"",1,0)+IF(DV2421&lt;&gt;"",1,0)+IF(DW2421&lt;&gt;"",1,0)+IF(DX2421&lt;&gt;"",1,0)+IF(DY2421&lt;&gt;"",1,0)+IF(DZ2421&lt;&gt;"",1,0)+IF(EB2421&lt;&gt;"",1,0)+IF(EC2421&lt;&gt;"",1,0)+IF(ED2421&lt;&gt;"",1,0)+IF(EG2421&lt;&gt;"",1,0)+IF(EH2421&lt;&gt;"",1,0)</f>
        <v/>
      </c>
      <c r="AZ2421">
        <f>IF(EH2421&lt;&gt;"",1,0)</f>
        <v/>
      </c>
      <c r="BB2421" t="inlineStr">
        <is>
          <t>WARREN-WARD 4</t>
        </is>
      </c>
      <c r="CA2421" t="inlineStr">
        <is>
          <t>X</t>
        </is>
      </c>
      <c r="CP2421" t="inlineStr">
        <is>
          <t>X</t>
        </is>
      </c>
      <c r="DI2421" t="inlineStr">
        <is>
          <t>X</t>
        </is>
      </c>
      <c r="DM2421" t="inlineStr">
        <is>
          <t>D</t>
        </is>
      </c>
      <c r="EF2421" t="inlineStr">
        <is>
          <t>X</t>
        </is>
      </c>
    </row>
    <row r="2422">
      <c r="A2422" t="inlineStr">
        <is>
          <t>OH0026063009</t>
        </is>
      </c>
      <c r="B2422" t="n">
        <v>78</v>
      </c>
      <c r="C2422" t="n">
        <v>454885</v>
      </c>
      <c r="D2422" t="inlineStr">
        <is>
          <t>CRAWFORD</t>
        </is>
      </c>
      <c r="E2422" t="inlineStr">
        <is>
          <t>SHANTE</t>
        </is>
      </c>
      <c r="F2422">
        <f>CONCATENATE(D2422," ",LEFT(H2422,4),"T=",AU2422,"D=",AV2422,"R=",AW2422,"M=",AX2422,"L=",AY2422,"B=",AZ2422)</f>
        <v/>
      </c>
      <c r="G2422" t="inlineStr">
        <is>
          <t>E</t>
        </is>
      </c>
      <c r="I2422" t="inlineStr">
        <is>
          <t>1995-03-28</t>
        </is>
      </c>
      <c r="J2422" t="inlineStr">
        <is>
          <t>2020-11-03</t>
        </is>
      </c>
      <c r="K2422" t="inlineStr">
        <is>
          <t>CONFIRMATION</t>
        </is>
      </c>
      <c r="M2422" t="inlineStr">
        <is>
          <t>2686 DUKE AVE SE</t>
        </is>
      </c>
      <c r="N2422">
        <f>RIGHT(M2422,LEN(M2422)-FIND(" ",M2422))</f>
        <v/>
      </c>
      <c r="P2422" t="inlineStr">
        <is>
          <t>WARREN</t>
        </is>
      </c>
      <c r="Q2422" t="inlineStr">
        <is>
          <t>OH</t>
        </is>
      </c>
      <c r="R2422" t="n">
        <v>44484</v>
      </c>
      <c r="AD2422" t="inlineStr">
        <is>
          <t>TRUMBULL CAREER &amp; TECH CENTER</t>
        </is>
      </c>
      <c r="AE2422" t="inlineStr">
        <is>
          <t>WARREN CITY</t>
        </is>
      </c>
      <c r="AF2422" t="inlineStr">
        <is>
          <t>WARREN CITY SD</t>
        </is>
      </c>
      <c r="AH2422" t="n">
        <v>14</v>
      </c>
      <c r="AI2422" t="n">
        <v>11</v>
      </c>
      <c r="AN2422" t="inlineStr">
        <is>
          <t>WARREN</t>
        </is>
      </c>
      <c r="AO2422" t="inlineStr">
        <is>
          <t>WARREN CITY 4F</t>
        </is>
      </c>
      <c r="AP2422" t="inlineStr">
        <is>
          <t>78-P-ADN</t>
        </is>
      </c>
      <c r="AQ2422" t="n">
        <v>9</v>
      </c>
      <c r="AR2422" t="n">
        <v>64</v>
      </c>
      <c r="AS2422" t="n">
        <v>32</v>
      </c>
      <c r="AU2422">
        <f>COUNTA($BA$2422:$EH$2422)</f>
        <v/>
      </c>
      <c r="AV2422">
        <f>COUNTIF($BA$2422:$EH$2422,"D")</f>
        <v/>
      </c>
      <c r="AW2422">
        <f>COUNTIF($BA$2422:$EH$2422,"R")</f>
        <v/>
      </c>
      <c r="AX2422">
        <f>IF(BN2422="D",1,0)+IF(BO2422="D",1,0)+IF(BT2422="D",1,0)+IF(BU2422="D",1,0)+IF(BW2422="D",1,0)+IF(CC2422="D",1,0)+IF(CD2422="D",1,0)+IF(CE2422="D",1,0)+IF(CF2422="D",1,0)+IF(CL2422="D",1,0)+IF(CM2422="D",1,0)+IF(CQ2422="D",1,0)+IF(CR2422="D",1,0)+IF(CS2422="D",1,0)+IF(CW2422="D",1,0)+IF(CX2422="D",1,0)+IF(DD2422="D",1,0)+IF(DE2422="D",1,0)+IF(DJ2422="D",1,0)+IF(DK2422="D",1,0)+IF(DO2422="D",1,0)+IF(DP2422="D",1,0)+IF(DQ2422="D",1,0)+IF(DW2422="D",1,0)+IF(DZ2422="D",1,0)+IF(EH2422="D",1,0)</f>
        <v/>
      </c>
      <c r="AY2422">
        <f>IF(DJ2422&lt;&gt;"",1,0)+IF(DK2422&lt;&gt;"",1,0)+IF(DM2422&lt;&gt;"",1,0)+IF(DO2422&lt;&gt;"",1,0)+IF(DP2422&lt;&gt;"",1,0)+IF(DQ2422&lt;&gt;"",1,0)+IF(DS2422&lt;&gt;"",1,0)+IF(DT2422&lt;&gt;"",1,0)+IF(DV2422&lt;&gt;"",1,0)+IF(DW2422&lt;&gt;"",1,0)+IF(DX2422&lt;&gt;"",1,0)+IF(DY2422&lt;&gt;"",1,0)+IF(DZ2422&lt;&gt;"",1,0)+IF(EB2422&lt;&gt;"",1,0)+IF(EC2422&lt;&gt;"",1,0)+IF(ED2422&lt;&gt;"",1,0)+IF(EG2422&lt;&gt;"",1,0)+IF(EH2422&lt;&gt;"",1,0)</f>
        <v/>
      </c>
      <c r="AZ2422">
        <f>IF(EH2422&lt;&gt;"",1,0)</f>
        <v/>
      </c>
      <c r="BB2422" t="inlineStr">
        <is>
          <t>WARREN-WARD 4</t>
        </is>
      </c>
      <c r="DN2422" t="inlineStr">
        <is>
          <t>X</t>
        </is>
      </c>
    </row>
    <row r="2423">
      <c r="A2423" t="inlineStr">
        <is>
          <t>OH0024086591</t>
        </is>
      </c>
      <c r="B2423" t="n">
        <v>78</v>
      </c>
      <c r="C2423" t="n">
        <v>421641</v>
      </c>
      <c r="D2423" t="inlineStr">
        <is>
          <t>GRAHAM</t>
        </is>
      </c>
      <c r="E2423" t="inlineStr">
        <is>
          <t>DAVID</t>
        </is>
      </c>
      <c r="F2423">
        <f>CONCATENATE(D2423," ",LEFT(H2423,4),"T=",AU2423,"D=",AV2423,"R=",AW2423,"M=",AX2423,"L=",AY2423,"B=",AZ2423)</f>
        <v/>
      </c>
      <c r="G2423" t="inlineStr">
        <is>
          <t>JOESPH</t>
        </is>
      </c>
      <c r="I2423" t="inlineStr">
        <is>
          <t>1956-04-30</t>
        </is>
      </c>
      <c r="J2423" t="inlineStr">
        <is>
          <t>2016-10-08</t>
        </is>
      </c>
      <c r="K2423" t="inlineStr">
        <is>
          <t>ACTIVE</t>
        </is>
      </c>
      <c r="L2423" t="inlineStr">
        <is>
          <t>D</t>
        </is>
      </c>
      <c r="M2423" t="inlineStr">
        <is>
          <t>1751 WICK ST SE</t>
        </is>
      </c>
      <c r="N2423">
        <f>RIGHT(M2423,LEN(M2423)-FIND(" ",M2423))</f>
        <v/>
      </c>
      <c r="P2423" t="inlineStr">
        <is>
          <t>WARREN</t>
        </is>
      </c>
      <c r="Q2423" t="inlineStr">
        <is>
          <t>OH</t>
        </is>
      </c>
      <c r="R2423" t="n">
        <v>44484</v>
      </c>
      <c r="AD2423" t="inlineStr">
        <is>
          <t>TRUMBULL CAREER &amp; TECH CENTER</t>
        </is>
      </c>
      <c r="AE2423" t="inlineStr">
        <is>
          <t>WARREN CITY</t>
        </is>
      </c>
      <c r="AF2423" t="inlineStr">
        <is>
          <t>WARREN CITY SD</t>
        </is>
      </c>
      <c r="AH2423" t="n">
        <v>14</v>
      </c>
      <c r="AI2423" t="n">
        <v>11</v>
      </c>
      <c r="AN2423" t="inlineStr">
        <is>
          <t>WARREN</t>
        </is>
      </c>
      <c r="AO2423" t="inlineStr">
        <is>
          <t>WARREN CITY 4F</t>
        </is>
      </c>
      <c r="AP2423" t="inlineStr">
        <is>
          <t>78-P-ADN</t>
        </is>
      </c>
      <c r="AQ2423" t="n">
        <v>9</v>
      </c>
      <c r="AR2423" t="n">
        <v>64</v>
      </c>
      <c r="AS2423" t="n">
        <v>32</v>
      </c>
      <c r="AU2423">
        <f>COUNTA($BA$2423:$EH$2423)</f>
        <v/>
      </c>
      <c r="AV2423">
        <f>COUNTIF($BA$2423:$EH$2423,"D")</f>
        <v/>
      </c>
      <c r="AW2423">
        <f>COUNTIF($BA$2423:$EH$2423,"R")</f>
        <v/>
      </c>
      <c r="AX2423">
        <f>IF(BN2423="D",1,0)+IF(BO2423="D",1,0)+IF(BT2423="D",1,0)+IF(BU2423="D",1,0)+IF(BW2423="D",1,0)+IF(CC2423="D",1,0)+IF(CD2423="D",1,0)+IF(CE2423="D",1,0)+IF(CF2423="D",1,0)+IF(CL2423="D",1,0)+IF(CM2423="D",1,0)+IF(CQ2423="D",1,0)+IF(CR2423="D",1,0)+IF(CS2423="D",1,0)+IF(CW2423="D",1,0)+IF(CX2423="D",1,0)+IF(DD2423="D",1,0)+IF(DE2423="D",1,0)+IF(DJ2423="D",1,0)+IF(DK2423="D",1,0)+IF(DO2423="D",1,0)+IF(DP2423="D",1,0)+IF(DQ2423="D",1,0)+IF(DW2423="D",1,0)+IF(DZ2423="D",1,0)+IF(EH2423="D",1,0)</f>
        <v/>
      </c>
      <c r="AY2423">
        <f>IF(DJ2423&lt;&gt;"",1,0)+IF(DK2423&lt;&gt;"",1,0)+IF(DM2423&lt;&gt;"",1,0)+IF(DO2423&lt;&gt;"",1,0)+IF(DP2423&lt;&gt;"",1,0)+IF(DQ2423&lt;&gt;"",1,0)+IF(DS2423&lt;&gt;"",1,0)+IF(DT2423&lt;&gt;"",1,0)+IF(DV2423&lt;&gt;"",1,0)+IF(DW2423&lt;&gt;"",1,0)+IF(DX2423&lt;&gt;"",1,0)+IF(DY2423&lt;&gt;"",1,0)+IF(DZ2423&lt;&gt;"",1,0)+IF(EB2423&lt;&gt;"",1,0)+IF(EC2423&lt;&gt;"",1,0)+IF(ED2423&lt;&gt;"",1,0)+IF(EG2423&lt;&gt;"",1,0)+IF(EH2423&lt;&gt;"",1,0)</f>
        <v/>
      </c>
      <c r="AZ2423">
        <f>IF(EH2423&lt;&gt;"",1,0)</f>
        <v/>
      </c>
      <c r="BB2423" t="inlineStr">
        <is>
          <t>WARREN-WARD 4</t>
        </is>
      </c>
      <c r="DN2423" t="inlineStr">
        <is>
          <t>X</t>
        </is>
      </c>
      <c r="DT2423" t="inlineStr">
        <is>
          <t>D</t>
        </is>
      </c>
      <c r="DW2423" t="inlineStr">
        <is>
          <t>D</t>
        </is>
      </c>
      <c r="EF2423" t="inlineStr">
        <is>
          <t>X</t>
        </is>
      </c>
    </row>
    <row r="2424">
      <c r="A2424" t="inlineStr">
        <is>
          <t>OH0015814256</t>
        </is>
      </c>
      <c r="B2424" t="n">
        <v>78</v>
      </c>
      <c r="C2424" t="n">
        <v>269022</v>
      </c>
      <c r="D2424" t="inlineStr">
        <is>
          <t>MANCINI</t>
        </is>
      </c>
      <c r="E2424" t="inlineStr">
        <is>
          <t>ROBERT</t>
        </is>
      </c>
      <c r="F2424">
        <f>CONCATENATE(D2424," ",LEFT(H2424,4),"T=",AU2424,"D=",AV2424,"R=",AW2424,"M=",AX2424,"L=",AY2424,"B=",AZ2424)</f>
        <v/>
      </c>
      <c r="H2424" t="inlineStr">
        <is>
          <t>JR</t>
        </is>
      </c>
      <c r="I2424" t="inlineStr">
        <is>
          <t>1975-08-14</t>
        </is>
      </c>
      <c r="J2424" t="inlineStr">
        <is>
          <t>2010-08-05</t>
        </is>
      </c>
      <c r="K2424" t="inlineStr">
        <is>
          <t>ACTIVE</t>
        </is>
      </c>
      <c r="M2424" t="inlineStr">
        <is>
          <t>1131 NILES RD SE</t>
        </is>
      </c>
      <c r="N2424">
        <f>RIGHT(M2424,LEN(M2424)-FIND(" ",M2424))</f>
        <v/>
      </c>
      <c r="P2424" t="inlineStr">
        <is>
          <t>WARREN</t>
        </is>
      </c>
      <c r="Q2424" t="inlineStr">
        <is>
          <t>OH</t>
        </is>
      </c>
      <c r="R2424" t="n">
        <v>44484</v>
      </c>
      <c r="AD2424" t="inlineStr">
        <is>
          <t>TRUMBULL CAREER &amp; TECH CENTER</t>
        </is>
      </c>
      <c r="AE2424" t="inlineStr">
        <is>
          <t>WARREN CITY</t>
        </is>
      </c>
      <c r="AF2424" t="inlineStr">
        <is>
          <t>WARREN CITY SD</t>
        </is>
      </c>
      <c r="AH2424" t="n">
        <v>14</v>
      </c>
      <c r="AI2424" t="n">
        <v>11</v>
      </c>
      <c r="AN2424" t="inlineStr">
        <is>
          <t>WARREN</t>
        </is>
      </c>
      <c r="AO2424" t="inlineStr">
        <is>
          <t>WARREN CITY 4F</t>
        </is>
      </c>
      <c r="AP2424" t="inlineStr">
        <is>
          <t>78-P-ADN</t>
        </is>
      </c>
      <c r="AQ2424" t="n">
        <v>9</v>
      </c>
      <c r="AR2424" t="n">
        <v>64</v>
      </c>
      <c r="AS2424" t="n">
        <v>32</v>
      </c>
      <c r="AU2424">
        <f>COUNTA($BA$2424:$EH$2424)</f>
        <v/>
      </c>
      <c r="AV2424">
        <f>COUNTIF($BA$2424:$EH$2424,"D")</f>
        <v/>
      </c>
      <c r="AW2424">
        <f>COUNTIF($BA$2424:$EH$2424,"R")</f>
        <v/>
      </c>
      <c r="AX2424">
        <f>IF(BN2424="D",1,0)+IF(BO2424="D",1,0)+IF(BT2424="D",1,0)+IF(BU2424="D",1,0)+IF(BW2424="D",1,0)+IF(CC2424="D",1,0)+IF(CD2424="D",1,0)+IF(CE2424="D",1,0)+IF(CF2424="D",1,0)+IF(CL2424="D",1,0)+IF(CM2424="D",1,0)+IF(CQ2424="D",1,0)+IF(CR2424="D",1,0)+IF(CS2424="D",1,0)+IF(CW2424="D",1,0)+IF(CX2424="D",1,0)+IF(DD2424="D",1,0)+IF(DE2424="D",1,0)+IF(DJ2424="D",1,0)+IF(DK2424="D",1,0)+IF(DO2424="D",1,0)+IF(DP2424="D",1,0)+IF(DQ2424="D",1,0)+IF(DW2424="D",1,0)+IF(DZ2424="D",1,0)+IF(EH2424="D",1,0)</f>
        <v/>
      </c>
      <c r="AY2424">
        <f>IF(DJ2424&lt;&gt;"",1,0)+IF(DK2424&lt;&gt;"",1,0)+IF(DM2424&lt;&gt;"",1,0)+IF(DO2424&lt;&gt;"",1,0)+IF(DP2424&lt;&gt;"",1,0)+IF(DQ2424&lt;&gt;"",1,0)+IF(DS2424&lt;&gt;"",1,0)+IF(DT2424&lt;&gt;"",1,0)+IF(DV2424&lt;&gt;"",1,0)+IF(DW2424&lt;&gt;"",1,0)+IF(DX2424&lt;&gt;"",1,0)+IF(DY2424&lt;&gt;"",1,0)+IF(DZ2424&lt;&gt;"",1,0)+IF(EB2424&lt;&gt;"",1,0)+IF(EC2424&lt;&gt;"",1,0)+IF(ED2424&lt;&gt;"",1,0)+IF(EG2424&lt;&gt;"",1,0)+IF(EH2424&lt;&gt;"",1,0)</f>
        <v/>
      </c>
      <c r="AZ2424">
        <f>IF(EH2424&lt;&gt;"",1,0)</f>
        <v/>
      </c>
      <c r="BB2424" t="inlineStr">
        <is>
          <t>WARREN-WARD 4</t>
        </is>
      </c>
      <c r="BD2424" t="inlineStr">
        <is>
          <t>X</t>
        </is>
      </c>
      <c r="BK2424" t="inlineStr">
        <is>
          <t>X</t>
        </is>
      </c>
      <c r="BL2424" t="inlineStr">
        <is>
          <t>X</t>
        </is>
      </c>
      <c r="CN2424" t="inlineStr">
        <is>
          <t>X</t>
        </is>
      </c>
      <c r="CP2424" t="inlineStr">
        <is>
          <t>X</t>
        </is>
      </c>
      <c r="CZ2424" t="inlineStr">
        <is>
          <t>D</t>
        </is>
      </c>
      <c r="DI2424" t="inlineStr">
        <is>
          <t>X</t>
        </is>
      </c>
      <c r="DN2424" t="inlineStr">
        <is>
          <t>X</t>
        </is>
      </c>
      <c r="DU2424" t="inlineStr">
        <is>
          <t>X</t>
        </is>
      </c>
      <c r="EA2424" t="inlineStr">
        <is>
          <t>X</t>
        </is>
      </c>
      <c r="EF2424" t="inlineStr">
        <is>
          <t>X</t>
        </is>
      </c>
    </row>
    <row r="2425">
      <c r="A2425" t="inlineStr">
        <is>
          <t>OH0015690921</t>
        </is>
      </c>
      <c r="B2425" t="n">
        <v>78</v>
      </c>
      <c r="C2425" t="n">
        <v>136067</v>
      </c>
      <c r="D2425" t="inlineStr">
        <is>
          <t>BAIRD</t>
        </is>
      </c>
      <c r="E2425" t="inlineStr">
        <is>
          <t>PATRICIA</t>
        </is>
      </c>
      <c r="F2425">
        <f>CONCATENATE(D2425," ",LEFT(H2425,4),"T=",AU2425,"D=",AV2425,"R=",AW2425,"M=",AX2425,"L=",AY2425,"B=",AZ2425)</f>
        <v/>
      </c>
      <c r="G2425" t="inlineStr">
        <is>
          <t>A</t>
        </is>
      </c>
      <c r="I2425" t="inlineStr">
        <is>
          <t>1953-04-03</t>
        </is>
      </c>
      <c r="J2425" t="inlineStr">
        <is>
          <t>1981-10-01</t>
        </is>
      </c>
      <c r="K2425" t="inlineStr">
        <is>
          <t>ACTIVE</t>
        </is>
      </c>
      <c r="L2425" t="inlineStr">
        <is>
          <t>D</t>
        </is>
      </c>
      <c r="M2425" t="inlineStr">
        <is>
          <t>1453 NILES RD SE</t>
        </is>
      </c>
      <c r="N2425">
        <f>RIGHT(M2425,LEN(M2425)-FIND(" ",M2425))</f>
        <v/>
      </c>
      <c r="P2425" t="inlineStr">
        <is>
          <t>WARREN</t>
        </is>
      </c>
      <c r="Q2425" t="inlineStr">
        <is>
          <t>OH</t>
        </is>
      </c>
      <c r="R2425" t="n">
        <v>44484</v>
      </c>
      <c r="AD2425" t="inlineStr">
        <is>
          <t>TRUMBULL CAREER &amp; TECH CENTER</t>
        </is>
      </c>
      <c r="AE2425" t="inlineStr">
        <is>
          <t>WARREN CITY</t>
        </is>
      </c>
      <c r="AF2425" t="inlineStr">
        <is>
          <t>WARREN CITY SD</t>
        </is>
      </c>
      <c r="AH2425" t="n">
        <v>14</v>
      </c>
      <c r="AI2425" t="n">
        <v>11</v>
      </c>
      <c r="AN2425" t="inlineStr">
        <is>
          <t>WARREN</t>
        </is>
      </c>
      <c r="AO2425" t="inlineStr">
        <is>
          <t>WARREN CITY 4F</t>
        </is>
      </c>
      <c r="AP2425" t="inlineStr">
        <is>
          <t>78-P-ADN</t>
        </is>
      </c>
      <c r="AQ2425" t="n">
        <v>9</v>
      </c>
      <c r="AR2425" t="n">
        <v>64</v>
      </c>
      <c r="AS2425" t="n">
        <v>32</v>
      </c>
      <c r="AU2425">
        <f>COUNTA($BA$2425:$EH$2425)</f>
        <v/>
      </c>
      <c r="AV2425">
        <f>COUNTIF($BA$2425:$EH$2425,"D")</f>
        <v/>
      </c>
      <c r="AW2425">
        <f>COUNTIF($BA$2425:$EH$2425,"R")</f>
        <v/>
      </c>
      <c r="AX2425">
        <f>IF(BN2425="D",1,0)+IF(BO2425="D",1,0)+IF(BT2425="D",1,0)+IF(BU2425="D",1,0)+IF(BW2425="D",1,0)+IF(CC2425="D",1,0)+IF(CD2425="D",1,0)+IF(CE2425="D",1,0)+IF(CF2425="D",1,0)+IF(CL2425="D",1,0)+IF(CM2425="D",1,0)+IF(CQ2425="D",1,0)+IF(CR2425="D",1,0)+IF(CS2425="D",1,0)+IF(CW2425="D",1,0)+IF(CX2425="D",1,0)+IF(DD2425="D",1,0)+IF(DE2425="D",1,0)+IF(DJ2425="D",1,0)+IF(DK2425="D",1,0)+IF(DO2425="D",1,0)+IF(DP2425="D",1,0)+IF(DQ2425="D",1,0)+IF(DW2425="D",1,0)+IF(DZ2425="D",1,0)+IF(EH2425="D",1,0)</f>
        <v/>
      </c>
      <c r="AY2425">
        <f>IF(DJ2425&lt;&gt;"",1,0)+IF(DK2425&lt;&gt;"",1,0)+IF(DM2425&lt;&gt;"",1,0)+IF(DO2425&lt;&gt;"",1,0)+IF(DP2425&lt;&gt;"",1,0)+IF(DQ2425&lt;&gt;"",1,0)+IF(DS2425&lt;&gt;"",1,0)+IF(DT2425&lt;&gt;"",1,0)+IF(DV2425&lt;&gt;"",1,0)+IF(DW2425&lt;&gt;"",1,0)+IF(DX2425&lt;&gt;"",1,0)+IF(DY2425&lt;&gt;"",1,0)+IF(DZ2425&lt;&gt;"",1,0)+IF(EB2425&lt;&gt;"",1,0)+IF(EC2425&lt;&gt;"",1,0)+IF(ED2425&lt;&gt;"",1,0)+IF(EG2425&lt;&gt;"",1,0)+IF(EH2425&lt;&gt;"",1,0)</f>
        <v/>
      </c>
      <c r="AZ2425">
        <f>IF(EH2425&lt;&gt;"",1,0)</f>
        <v/>
      </c>
      <c r="BB2425" t="inlineStr">
        <is>
          <t>WARREN-WARD 4</t>
        </is>
      </c>
      <c r="BC2425" t="inlineStr">
        <is>
          <t>X</t>
        </is>
      </c>
      <c r="BD2425" t="inlineStr">
        <is>
          <t>X</t>
        </is>
      </c>
      <c r="BF2425" t="inlineStr">
        <is>
          <t>X</t>
        </is>
      </c>
      <c r="BG2425" t="inlineStr">
        <is>
          <t>X</t>
        </is>
      </c>
      <c r="BH2425" t="inlineStr">
        <is>
          <t>X</t>
        </is>
      </c>
      <c r="BJ2425" t="inlineStr">
        <is>
          <t>X</t>
        </is>
      </c>
      <c r="BK2425" t="inlineStr">
        <is>
          <t>X</t>
        </is>
      </c>
      <c r="BL2425" t="inlineStr">
        <is>
          <t>X</t>
        </is>
      </c>
      <c r="BP2425" t="inlineStr">
        <is>
          <t>X</t>
        </is>
      </c>
      <c r="BR2425" t="inlineStr">
        <is>
          <t>X</t>
        </is>
      </c>
      <c r="BS2425" t="inlineStr">
        <is>
          <t>X</t>
        </is>
      </c>
      <c r="BV2425" t="inlineStr">
        <is>
          <t>X</t>
        </is>
      </c>
      <c r="BY2425" t="inlineStr">
        <is>
          <t>D</t>
        </is>
      </c>
      <c r="CA2425" t="inlineStr">
        <is>
          <t>X</t>
        </is>
      </c>
      <c r="CG2425" t="inlineStr">
        <is>
          <t>X</t>
        </is>
      </c>
      <c r="CH2425" t="inlineStr">
        <is>
          <t>D</t>
        </is>
      </c>
      <c r="CK2425" t="inlineStr">
        <is>
          <t>X</t>
        </is>
      </c>
      <c r="CL2425" t="inlineStr">
        <is>
          <t>D</t>
        </is>
      </c>
      <c r="CN2425" t="inlineStr">
        <is>
          <t>X</t>
        </is>
      </c>
      <c r="CO2425" t="inlineStr">
        <is>
          <t>D</t>
        </is>
      </c>
      <c r="CP2425" t="inlineStr">
        <is>
          <t>X</t>
        </is>
      </c>
      <c r="CT2425" t="inlineStr">
        <is>
          <t>X</t>
        </is>
      </c>
      <c r="CU2425" t="inlineStr">
        <is>
          <t>D</t>
        </is>
      </c>
      <c r="CV2425" t="inlineStr">
        <is>
          <t>X</t>
        </is>
      </c>
      <c r="CW2425" t="inlineStr">
        <is>
          <t>D</t>
        </is>
      </c>
      <c r="CY2425" t="inlineStr">
        <is>
          <t>X</t>
        </is>
      </c>
      <c r="CZ2425" t="inlineStr">
        <is>
          <t>R</t>
        </is>
      </c>
      <c r="DC2425" t="inlineStr">
        <is>
          <t>X</t>
        </is>
      </c>
      <c r="DD2425" t="inlineStr">
        <is>
          <t>D</t>
        </is>
      </c>
      <c r="DF2425" t="inlineStr">
        <is>
          <t>X</t>
        </is>
      </c>
      <c r="DG2425" t="inlineStr">
        <is>
          <t>D</t>
        </is>
      </c>
      <c r="DI2425" t="inlineStr">
        <is>
          <t>X</t>
        </is>
      </c>
      <c r="DJ2425" t="inlineStr">
        <is>
          <t>D</t>
        </is>
      </c>
      <c r="DL2425" t="inlineStr">
        <is>
          <t>X</t>
        </is>
      </c>
      <c r="DM2425" t="inlineStr">
        <is>
          <t>D</t>
        </is>
      </c>
      <c r="DN2425" t="inlineStr">
        <is>
          <t>X</t>
        </is>
      </c>
      <c r="DS2425" t="inlineStr">
        <is>
          <t>D</t>
        </is>
      </c>
      <c r="DU2425" t="inlineStr">
        <is>
          <t>X</t>
        </is>
      </c>
      <c r="DW2425" t="inlineStr">
        <is>
          <t>D</t>
        </is>
      </c>
      <c r="DX2425" t="inlineStr">
        <is>
          <t>X</t>
        </is>
      </c>
      <c r="EA2425" t="inlineStr">
        <is>
          <t>X</t>
        </is>
      </c>
      <c r="ED2425" t="inlineStr">
        <is>
          <t>D</t>
        </is>
      </c>
      <c r="EF2425" t="inlineStr">
        <is>
          <t>X</t>
        </is>
      </c>
      <c r="EH2425" t="inlineStr">
        <is>
          <t>D</t>
        </is>
      </c>
    </row>
    <row r="2426">
      <c r="A2426" t="inlineStr">
        <is>
          <t>OH0015773555</t>
        </is>
      </c>
      <c r="B2426" t="n">
        <v>78</v>
      </c>
      <c r="C2426" t="n">
        <v>326360</v>
      </c>
      <c r="D2426" t="inlineStr">
        <is>
          <t>WEDEL</t>
        </is>
      </c>
      <c r="E2426" t="inlineStr">
        <is>
          <t>VERONICA</t>
        </is>
      </c>
      <c r="F2426">
        <f>CONCATENATE(D2426," ",LEFT(H2426,4),"T=",AU2426,"D=",AV2426,"R=",AW2426,"M=",AX2426,"L=",AY2426,"B=",AZ2426)</f>
        <v/>
      </c>
      <c r="I2426" t="inlineStr">
        <is>
          <t>1948-10-20</t>
        </is>
      </c>
      <c r="J2426" t="inlineStr">
        <is>
          <t>2004-07-06</t>
        </is>
      </c>
      <c r="K2426" t="inlineStr">
        <is>
          <t>ACTIVE</t>
        </is>
      </c>
      <c r="L2426" t="inlineStr">
        <is>
          <t>D</t>
        </is>
      </c>
      <c r="M2426" t="inlineStr">
        <is>
          <t>1464 NILES RD SE</t>
        </is>
      </c>
      <c r="N2426">
        <f>RIGHT(M2426,LEN(M2426)-FIND(" ",M2426))</f>
        <v/>
      </c>
      <c r="P2426" t="inlineStr">
        <is>
          <t>WARREN</t>
        </is>
      </c>
      <c r="Q2426" t="inlineStr">
        <is>
          <t>OH</t>
        </is>
      </c>
      <c r="R2426" t="n">
        <v>44484</v>
      </c>
      <c r="AD2426" t="inlineStr">
        <is>
          <t>TRUMBULL CAREER &amp; TECH CENTER</t>
        </is>
      </c>
      <c r="AE2426" t="inlineStr">
        <is>
          <t>WARREN CITY</t>
        </is>
      </c>
      <c r="AF2426" t="inlineStr">
        <is>
          <t>WARREN CITY SD</t>
        </is>
      </c>
      <c r="AH2426" t="n">
        <v>14</v>
      </c>
      <c r="AI2426" t="n">
        <v>11</v>
      </c>
      <c r="AN2426" t="inlineStr">
        <is>
          <t>WARREN</t>
        </is>
      </c>
      <c r="AO2426" t="inlineStr">
        <is>
          <t>WARREN CITY 4F</t>
        </is>
      </c>
      <c r="AP2426" t="inlineStr">
        <is>
          <t>78-P-ADN</t>
        </is>
      </c>
      <c r="AQ2426" t="n">
        <v>9</v>
      </c>
      <c r="AR2426" t="n">
        <v>64</v>
      </c>
      <c r="AS2426" t="n">
        <v>32</v>
      </c>
      <c r="AU2426">
        <f>COUNTA($BA$2426:$EH$2426)</f>
        <v/>
      </c>
      <c r="AV2426">
        <f>COUNTIF($BA$2426:$EH$2426,"D")</f>
        <v/>
      </c>
      <c r="AW2426">
        <f>COUNTIF($BA$2426:$EH$2426,"R")</f>
        <v/>
      </c>
      <c r="AX2426">
        <f>IF(BN2426="D",1,0)+IF(BO2426="D",1,0)+IF(BT2426="D",1,0)+IF(BU2426="D",1,0)+IF(BW2426="D",1,0)+IF(CC2426="D",1,0)+IF(CD2426="D",1,0)+IF(CE2426="D",1,0)+IF(CF2426="D",1,0)+IF(CL2426="D",1,0)+IF(CM2426="D",1,0)+IF(CQ2426="D",1,0)+IF(CR2426="D",1,0)+IF(CS2426="D",1,0)+IF(CW2426="D",1,0)+IF(CX2426="D",1,0)+IF(DD2426="D",1,0)+IF(DE2426="D",1,0)+IF(DJ2426="D",1,0)+IF(DK2426="D",1,0)+IF(DO2426="D",1,0)+IF(DP2426="D",1,0)+IF(DQ2426="D",1,0)+IF(DW2426="D",1,0)+IF(DZ2426="D",1,0)+IF(EH2426="D",1,0)</f>
        <v/>
      </c>
      <c r="AY2426">
        <f>IF(DJ2426&lt;&gt;"",1,0)+IF(DK2426&lt;&gt;"",1,0)+IF(DM2426&lt;&gt;"",1,0)+IF(DO2426&lt;&gt;"",1,0)+IF(DP2426&lt;&gt;"",1,0)+IF(DQ2426&lt;&gt;"",1,0)+IF(DS2426&lt;&gt;"",1,0)+IF(DT2426&lt;&gt;"",1,0)+IF(DV2426&lt;&gt;"",1,0)+IF(DW2426&lt;&gt;"",1,0)+IF(DX2426&lt;&gt;"",1,0)+IF(DY2426&lt;&gt;"",1,0)+IF(DZ2426&lt;&gt;"",1,0)+IF(EB2426&lt;&gt;"",1,0)+IF(EC2426&lt;&gt;"",1,0)+IF(ED2426&lt;&gt;"",1,0)+IF(EG2426&lt;&gt;"",1,0)+IF(EH2426&lt;&gt;"",1,0)</f>
        <v/>
      </c>
      <c r="AZ2426">
        <f>IF(EH2426&lt;&gt;"",1,0)</f>
        <v/>
      </c>
      <c r="BB2426" t="inlineStr">
        <is>
          <t>WARREN-WARD 4</t>
        </is>
      </c>
      <c r="BL2426" t="inlineStr">
        <is>
          <t>X</t>
        </is>
      </c>
      <c r="BS2426" t="inlineStr">
        <is>
          <t>X</t>
        </is>
      </c>
      <c r="CA2426" t="inlineStr">
        <is>
          <t>X</t>
        </is>
      </c>
      <c r="CK2426" t="inlineStr">
        <is>
          <t>X</t>
        </is>
      </c>
      <c r="CP2426" t="inlineStr">
        <is>
          <t>X</t>
        </is>
      </c>
      <c r="DC2426" t="inlineStr">
        <is>
          <t>X</t>
        </is>
      </c>
      <c r="DI2426" t="inlineStr">
        <is>
          <t>X</t>
        </is>
      </c>
      <c r="DM2426" t="inlineStr">
        <is>
          <t>D</t>
        </is>
      </c>
      <c r="DN2426" t="inlineStr">
        <is>
          <t>X</t>
        </is>
      </c>
      <c r="DR2426" t="inlineStr">
        <is>
          <t>X</t>
        </is>
      </c>
      <c r="DS2426" t="inlineStr">
        <is>
          <t>D</t>
        </is>
      </c>
      <c r="DT2426" t="inlineStr">
        <is>
          <t>D</t>
        </is>
      </c>
      <c r="DU2426" t="inlineStr">
        <is>
          <t>X</t>
        </is>
      </c>
      <c r="DX2426" t="inlineStr">
        <is>
          <t>X</t>
        </is>
      </c>
      <c r="EA2426" t="inlineStr">
        <is>
          <t>X</t>
        </is>
      </c>
      <c r="ED2426" t="inlineStr">
        <is>
          <t>D</t>
        </is>
      </c>
      <c r="EF2426" t="inlineStr">
        <is>
          <t>X</t>
        </is>
      </c>
    </row>
    <row r="2427">
      <c r="A2427" t="inlineStr">
        <is>
          <t>OH0027514212</t>
        </is>
      </c>
      <c r="B2427" t="n">
        <v>78</v>
      </c>
      <c r="C2427" t="n">
        <v>487587</v>
      </c>
      <c r="D2427" t="inlineStr">
        <is>
          <t>BARNETT</t>
        </is>
      </c>
      <c r="E2427" t="inlineStr">
        <is>
          <t>ARIEL</t>
        </is>
      </c>
      <c r="F2427">
        <f>CONCATENATE(D2427," ",LEFT(H2427,4),"T=",AU2427,"D=",AV2427,"R=",AW2427,"M=",AX2427,"L=",AY2427,"B=",AZ2427)</f>
        <v/>
      </c>
      <c r="G2427" t="inlineStr">
        <is>
          <t>R</t>
        </is>
      </c>
      <c r="I2427" t="inlineStr">
        <is>
          <t>2003-12-31</t>
        </is>
      </c>
      <c r="J2427" t="inlineStr">
        <is>
          <t>2024-08-05</t>
        </is>
      </c>
      <c r="K2427" t="inlineStr">
        <is>
          <t>ACTIVE</t>
        </is>
      </c>
      <c r="M2427" t="inlineStr">
        <is>
          <t>973 EAST AVE SE</t>
        </is>
      </c>
      <c r="N2427">
        <f>RIGHT(M2427,LEN(M2427)-FIND(" ",M2427))</f>
        <v/>
      </c>
      <c r="P2427" t="inlineStr">
        <is>
          <t>WARREN</t>
        </is>
      </c>
      <c r="Q2427" t="inlineStr">
        <is>
          <t>OH</t>
        </is>
      </c>
      <c r="R2427" t="n">
        <v>44484</v>
      </c>
      <c r="AD2427" t="inlineStr">
        <is>
          <t>TRUMBULL CAREER &amp; TECH CENTER</t>
        </is>
      </c>
      <c r="AE2427" t="inlineStr">
        <is>
          <t>WARREN CITY</t>
        </is>
      </c>
      <c r="AF2427" t="inlineStr">
        <is>
          <t>WARREN CITY SD</t>
        </is>
      </c>
      <c r="AH2427" t="n">
        <v>14</v>
      </c>
      <c r="AI2427" t="n">
        <v>11</v>
      </c>
      <c r="AN2427" t="inlineStr">
        <is>
          <t>WARREN</t>
        </is>
      </c>
      <c r="AO2427" t="inlineStr">
        <is>
          <t>WARREN CITY 4F</t>
        </is>
      </c>
      <c r="AP2427" t="inlineStr">
        <is>
          <t>78-P-ADN</t>
        </is>
      </c>
      <c r="AQ2427" t="n">
        <v>9</v>
      </c>
      <c r="AR2427" t="n">
        <v>64</v>
      </c>
      <c r="AS2427" t="n">
        <v>32</v>
      </c>
      <c r="AU2427">
        <f>COUNTA($BA$2427:$EH$2427)</f>
        <v/>
      </c>
      <c r="AV2427">
        <f>COUNTIF($BA$2427:$EH$2427,"D")</f>
        <v/>
      </c>
      <c r="AW2427">
        <f>COUNTIF($BA$2427:$EH$2427,"R")</f>
        <v/>
      </c>
      <c r="AX2427">
        <f>IF(BN2427="D",1,0)+IF(BO2427="D",1,0)+IF(BT2427="D",1,0)+IF(BU2427="D",1,0)+IF(BW2427="D",1,0)+IF(CC2427="D",1,0)+IF(CD2427="D",1,0)+IF(CE2427="D",1,0)+IF(CF2427="D",1,0)+IF(CL2427="D",1,0)+IF(CM2427="D",1,0)+IF(CQ2427="D",1,0)+IF(CR2427="D",1,0)+IF(CS2427="D",1,0)+IF(CW2427="D",1,0)+IF(CX2427="D",1,0)+IF(DD2427="D",1,0)+IF(DE2427="D",1,0)+IF(DJ2427="D",1,0)+IF(DK2427="D",1,0)+IF(DO2427="D",1,0)+IF(DP2427="D",1,0)+IF(DQ2427="D",1,0)+IF(DW2427="D",1,0)+IF(DZ2427="D",1,0)+IF(EH2427="D",1,0)</f>
        <v/>
      </c>
      <c r="AY2427">
        <f>IF(DJ2427&lt;&gt;"",1,0)+IF(DK2427&lt;&gt;"",1,0)+IF(DM2427&lt;&gt;"",1,0)+IF(DO2427&lt;&gt;"",1,0)+IF(DP2427&lt;&gt;"",1,0)+IF(DQ2427&lt;&gt;"",1,0)+IF(DS2427&lt;&gt;"",1,0)+IF(DT2427&lt;&gt;"",1,0)+IF(DV2427&lt;&gt;"",1,0)+IF(DW2427&lt;&gt;"",1,0)+IF(DX2427&lt;&gt;"",1,0)+IF(DY2427&lt;&gt;"",1,0)+IF(DZ2427&lt;&gt;"",1,0)+IF(EB2427&lt;&gt;"",1,0)+IF(EC2427&lt;&gt;"",1,0)+IF(ED2427&lt;&gt;"",1,0)+IF(EG2427&lt;&gt;"",1,0)+IF(EH2427&lt;&gt;"",1,0)</f>
        <v/>
      </c>
      <c r="AZ2427">
        <f>IF(EH2427&lt;&gt;"",1,0)</f>
        <v/>
      </c>
      <c r="BB2427" t="inlineStr">
        <is>
          <t>WARREN-WARD 4</t>
        </is>
      </c>
    </row>
    <row r="2428">
      <c r="A2428" t="inlineStr">
        <is>
          <t>OH0025423292</t>
        </is>
      </c>
      <c r="B2428" t="n">
        <v>78</v>
      </c>
      <c r="C2428" t="n">
        <v>444453</v>
      </c>
      <c r="D2428" t="inlineStr">
        <is>
          <t>GROSCOPE</t>
        </is>
      </c>
      <c r="E2428" t="inlineStr">
        <is>
          <t>HENRY</t>
        </is>
      </c>
      <c r="F2428">
        <f>CONCATENATE(D2428," ",LEFT(H2428,4),"T=",AU2428,"D=",AV2428,"R=",AW2428,"M=",AX2428,"L=",AY2428,"B=",AZ2428)</f>
        <v/>
      </c>
      <c r="G2428" t="inlineStr">
        <is>
          <t>JOSEPH LEE</t>
        </is>
      </c>
      <c r="I2428" t="inlineStr">
        <is>
          <t>1993-12-19</t>
        </is>
      </c>
      <c r="J2428" t="inlineStr">
        <is>
          <t>2020-09-17</t>
        </is>
      </c>
      <c r="K2428" t="inlineStr">
        <is>
          <t>CONFIRMATION</t>
        </is>
      </c>
      <c r="M2428" t="inlineStr">
        <is>
          <t>1520 ADELAIDE AVE SE</t>
        </is>
      </c>
      <c r="N2428">
        <f>RIGHT(M2428,LEN(M2428)-FIND(" ",M2428))</f>
        <v/>
      </c>
      <c r="P2428" t="inlineStr">
        <is>
          <t>WARREN</t>
        </is>
      </c>
      <c r="Q2428" t="inlineStr">
        <is>
          <t>OH</t>
        </is>
      </c>
      <c r="R2428" t="n">
        <v>44484</v>
      </c>
      <c r="AD2428" t="inlineStr">
        <is>
          <t>TRUMBULL CAREER &amp; TECH CENTER</t>
        </is>
      </c>
      <c r="AE2428" t="inlineStr">
        <is>
          <t>WARREN CITY</t>
        </is>
      </c>
      <c r="AF2428" t="inlineStr">
        <is>
          <t>WARREN CITY SD</t>
        </is>
      </c>
      <c r="AH2428" t="n">
        <v>14</v>
      </c>
      <c r="AI2428" t="n">
        <v>11</v>
      </c>
      <c r="AN2428" t="inlineStr">
        <is>
          <t>WARREN</t>
        </is>
      </c>
      <c r="AO2428" t="inlineStr">
        <is>
          <t>WARREN CITY 4F</t>
        </is>
      </c>
      <c r="AP2428" t="inlineStr">
        <is>
          <t>78-P-ADN</t>
        </is>
      </c>
      <c r="AQ2428" t="n">
        <v>9</v>
      </c>
      <c r="AR2428" t="n">
        <v>64</v>
      </c>
      <c r="AS2428" t="n">
        <v>32</v>
      </c>
      <c r="AU2428">
        <f>COUNTA($BA$2428:$EH$2428)</f>
        <v/>
      </c>
      <c r="AV2428">
        <f>COUNTIF($BA$2428:$EH$2428,"D")</f>
        <v/>
      </c>
      <c r="AW2428">
        <f>COUNTIF($BA$2428:$EH$2428,"R")</f>
        <v/>
      </c>
      <c r="AX2428">
        <f>IF(BN2428="D",1,0)+IF(BO2428="D",1,0)+IF(BT2428="D",1,0)+IF(BU2428="D",1,0)+IF(BW2428="D",1,0)+IF(CC2428="D",1,0)+IF(CD2428="D",1,0)+IF(CE2428="D",1,0)+IF(CF2428="D",1,0)+IF(CL2428="D",1,0)+IF(CM2428="D",1,0)+IF(CQ2428="D",1,0)+IF(CR2428="D",1,0)+IF(CS2428="D",1,0)+IF(CW2428="D",1,0)+IF(CX2428="D",1,0)+IF(DD2428="D",1,0)+IF(DE2428="D",1,0)+IF(DJ2428="D",1,0)+IF(DK2428="D",1,0)+IF(DO2428="D",1,0)+IF(DP2428="D",1,0)+IF(DQ2428="D",1,0)+IF(DW2428="D",1,0)+IF(DZ2428="D",1,0)+IF(EH2428="D",1,0)</f>
        <v/>
      </c>
      <c r="AY2428">
        <f>IF(DJ2428&lt;&gt;"",1,0)+IF(DK2428&lt;&gt;"",1,0)+IF(DM2428&lt;&gt;"",1,0)+IF(DO2428&lt;&gt;"",1,0)+IF(DP2428&lt;&gt;"",1,0)+IF(DQ2428&lt;&gt;"",1,0)+IF(DS2428&lt;&gt;"",1,0)+IF(DT2428&lt;&gt;"",1,0)+IF(DV2428&lt;&gt;"",1,0)+IF(DW2428&lt;&gt;"",1,0)+IF(DX2428&lt;&gt;"",1,0)+IF(DY2428&lt;&gt;"",1,0)+IF(DZ2428&lt;&gt;"",1,0)+IF(EB2428&lt;&gt;"",1,0)+IF(EC2428&lt;&gt;"",1,0)+IF(ED2428&lt;&gt;"",1,0)+IF(EG2428&lt;&gt;"",1,0)+IF(EH2428&lt;&gt;"",1,0)</f>
        <v/>
      </c>
      <c r="AZ2428">
        <f>IF(EH2428&lt;&gt;"",1,0)</f>
        <v/>
      </c>
      <c r="BB2428" t="inlineStr">
        <is>
          <t>WARREN-WARD 4</t>
        </is>
      </c>
      <c r="CP2428" t="inlineStr">
        <is>
          <t>X</t>
        </is>
      </c>
    </row>
    <row r="2429">
      <c r="A2429" t="inlineStr">
        <is>
          <t>OH0023253182</t>
        </is>
      </c>
      <c r="B2429" t="n">
        <v>78</v>
      </c>
      <c r="C2429" t="n">
        <v>409189</v>
      </c>
      <c r="D2429" t="inlineStr">
        <is>
          <t>REED</t>
        </is>
      </c>
      <c r="E2429" t="inlineStr">
        <is>
          <t>ATYRA</t>
        </is>
      </c>
      <c r="F2429">
        <f>CONCATENATE(D2429," ",LEFT(H2429,4),"T=",AU2429,"D=",AV2429,"R=",AW2429,"M=",AX2429,"L=",AY2429,"B=",AZ2429)</f>
        <v/>
      </c>
      <c r="G2429" t="inlineStr">
        <is>
          <t>M</t>
        </is>
      </c>
      <c r="I2429" t="inlineStr">
        <is>
          <t>1993-12-25</t>
        </is>
      </c>
      <c r="J2429" t="inlineStr">
        <is>
          <t>2015-08-12</t>
        </is>
      </c>
      <c r="K2429" t="inlineStr">
        <is>
          <t>CONFIRMATION</t>
        </is>
      </c>
      <c r="M2429" t="inlineStr">
        <is>
          <t>963 HOMEWOOD AVE SE</t>
        </is>
      </c>
      <c r="N2429">
        <f>RIGHT(M2429,LEN(M2429)-FIND(" ",M2429))</f>
        <v/>
      </c>
      <c r="P2429" t="inlineStr">
        <is>
          <t>WARREN</t>
        </is>
      </c>
      <c r="Q2429" t="inlineStr">
        <is>
          <t>OH</t>
        </is>
      </c>
      <c r="R2429" t="n">
        <v>44484</v>
      </c>
      <c r="AD2429" t="inlineStr">
        <is>
          <t>TRUMBULL CAREER &amp; TECH CENTER</t>
        </is>
      </c>
      <c r="AE2429" t="inlineStr">
        <is>
          <t>WARREN CITY</t>
        </is>
      </c>
      <c r="AF2429" t="inlineStr">
        <is>
          <t>WARREN CITY SD</t>
        </is>
      </c>
      <c r="AH2429" t="n">
        <v>14</v>
      </c>
      <c r="AI2429" t="n">
        <v>11</v>
      </c>
      <c r="AN2429" t="inlineStr">
        <is>
          <t>WARREN</t>
        </is>
      </c>
      <c r="AO2429" t="inlineStr">
        <is>
          <t>WARREN CITY 4F</t>
        </is>
      </c>
      <c r="AP2429" t="inlineStr">
        <is>
          <t>78-P-ADN</t>
        </is>
      </c>
      <c r="AQ2429" t="n">
        <v>9</v>
      </c>
      <c r="AR2429" t="n">
        <v>64</v>
      </c>
      <c r="AS2429" t="n">
        <v>32</v>
      </c>
      <c r="AU2429">
        <f>COUNTA($BA$2429:$EH$2429)</f>
        <v/>
      </c>
      <c r="AV2429">
        <f>COUNTIF($BA$2429:$EH$2429,"D")</f>
        <v/>
      </c>
      <c r="AW2429">
        <f>COUNTIF($BA$2429:$EH$2429,"R")</f>
        <v/>
      </c>
      <c r="AX2429">
        <f>IF(BN2429="D",1,0)+IF(BO2429="D",1,0)+IF(BT2429="D",1,0)+IF(BU2429="D",1,0)+IF(BW2429="D",1,0)+IF(CC2429="D",1,0)+IF(CD2429="D",1,0)+IF(CE2429="D",1,0)+IF(CF2429="D",1,0)+IF(CL2429="D",1,0)+IF(CM2429="D",1,0)+IF(CQ2429="D",1,0)+IF(CR2429="D",1,0)+IF(CS2429="D",1,0)+IF(CW2429="D",1,0)+IF(CX2429="D",1,0)+IF(DD2429="D",1,0)+IF(DE2429="D",1,0)+IF(DJ2429="D",1,0)+IF(DK2429="D",1,0)+IF(DO2429="D",1,0)+IF(DP2429="D",1,0)+IF(DQ2429="D",1,0)+IF(DW2429="D",1,0)+IF(DZ2429="D",1,0)+IF(EH2429="D",1,0)</f>
        <v/>
      </c>
      <c r="AY2429">
        <f>IF(DJ2429&lt;&gt;"",1,0)+IF(DK2429&lt;&gt;"",1,0)+IF(DM2429&lt;&gt;"",1,0)+IF(DO2429&lt;&gt;"",1,0)+IF(DP2429&lt;&gt;"",1,0)+IF(DQ2429&lt;&gt;"",1,0)+IF(DS2429&lt;&gt;"",1,0)+IF(DT2429&lt;&gt;"",1,0)+IF(DV2429&lt;&gt;"",1,0)+IF(DW2429&lt;&gt;"",1,0)+IF(DX2429&lt;&gt;"",1,0)+IF(DY2429&lt;&gt;"",1,0)+IF(DZ2429&lt;&gt;"",1,0)+IF(EB2429&lt;&gt;"",1,0)+IF(EC2429&lt;&gt;"",1,0)+IF(ED2429&lt;&gt;"",1,0)+IF(EG2429&lt;&gt;"",1,0)+IF(EH2429&lt;&gt;"",1,0)</f>
        <v/>
      </c>
      <c r="AZ2429">
        <f>IF(EH2429&lt;&gt;"",1,0)</f>
        <v/>
      </c>
      <c r="BB2429" t="inlineStr">
        <is>
          <t>WARREN-WARD 4</t>
        </is>
      </c>
      <c r="CO2429" t="inlineStr">
        <is>
          <t>D</t>
        </is>
      </c>
      <c r="CP2429" t="inlineStr">
        <is>
          <t>X</t>
        </is>
      </c>
      <c r="CZ2429" t="inlineStr">
        <is>
          <t>D</t>
        </is>
      </c>
      <c r="DC2429" t="inlineStr">
        <is>
          <t>X</t>
        </is>
      </c>
      <c r="DN2429" t="inlineStr">
        <is>
          <t>X</t>
        </is>
      </c>
    </row>
    <row r="2430">
      <c r="A2430" t="inlineStr">
        <is>
          <t>OH0015743289</t>
        </is>
      </c>
      <c r="B2430" t="n">
        <v>78</v>
      </c>
      <c r="C2430" t="n">
        <v>229633</v>
      </c>
      <c r="D2430" t="inlineStr">
        <is>
          <t>MURRY</t>
        </is>
      </c>
      <c r="E2430" t="inlineStr">
        <is>
          <t>SHEAUNTIE</t>
        </is>
      </c>
      <c r="F2430">
        <f>CONCATENATE(D2430," ",LEFT(H2430,4),"T=",AU2430,"D=",AV2430,"R=",AW2430,"M=",AX2430,"L=",AY2430,"B=",AZ2430)</f>
        <v/>
      </c>
      <c r="I2430" t="inlineStr">
        <is>
          <t>1973-04-10</t>
        </is>
      </c>
      <c r="J2430" t="inlineStr">
        <is>
          <t>2010-11-24</t>
        </is>
      </c>
      <c r="K2430" t="inlineStr">
        <is>
          <t>ACTIVE</t>
        </is>
      </c>
      <c r="M2430" t="inlineStr">
        <is>
          <t>1748 BURTON ST SE</t>
        </is>
      </c>
      <c r="N2430">
        <f>RIGHT(M2430,LEN(M2430)-FIND(" ",M2430))</f>
        <v/>
      </c>
      <c r="P2430" t="inlineStr">
        <is>
          <t>WARREN</t>
        </is>
      </c>
      <c r="Q2430" t="inlineStr">
        <is>
          <t>OH</t>
        </is>
      </c>
      <c r="R2430" t="n">
        <v>44484</v>
      </c>
      <c r="AD2430" t="inlineStr">
        <is>
          <t>TRUMBULL CAREER &amp; TECH CENTER</t>
        </is>
      </c>
      <c r="AE2430" t="inlineStr">
        <is>
          <t>WARREN CITY</t>
        </is>
      </c>
      <c r="AF2430" t="inlineStr">
        <is>
          <t>WARREN CITY SD</t>
        </is>
      </c>
      <c r="AH2430" t="n">
        <v>14</v>
      </c>
      <c r="AI2430" t="n">
        <v>11</v>
      </c>
      <c r="AN2430" t="inlineStr">
        <is>
          <t>WARREN</t>
        </is>
      </c>
      <c r="AO2430" t="inlineStr">
        <is>
          <t>WARREN CITY 4F</t>
        </is>
      </c>
      <c r="AP2430" t="inlineStr">
        <is>
          <t>78-P-ADN</t>
        </is>
      </c>
      <c r="AQ2430" t="n">
        <v>9</v>
      </c>
      <c r="AR2430" t="n">
        <v>64</v>
      </c>
      <c r="AS2430" t="n">
        <v>32</v>
      </c>
      <c r="AU2430">
        <f>COUNTA($BA$2430:$EH$2430)</f>
        <v/>
      </c>
      <c r="AV2430">
        <f>COUNTIF($BA$2430:$EH$2430,"D")</f>
        <v/>
      </c>
      <c r="AW2430">
        <f>COUNTIF($BA$2430:$EH$2430,"R")</f>
        <v/>
      </c>
      <c r="AX2430">
        <f>IF(BN2430="D",1,0)+IF(BO2430="D",1,0)+IF(BT2430="D",1,0)+IF(BU2430="D",1,0)+IF(BW2430="D",1,0)+IF(CC2430="D",1,0)+IF(CD2430="D",1,0)+IF(CE2430="D",1,0)+IF(CF2430="D",1,0)+IF(CL2430="D",1,0)+IF(CM2430="D",1,0)+IF(CQ2430="D",1,0)+IF(CR2430="D",1,0)+IF(CS2430="D",1,0)+IF(CW2430="D",1,0)+IF(CX2430="D",1,0)+IF(DD2430="D",1,0)+IF(DE2430="D",1,0)+IF(DJ2430="D",1,0)+IF(DK2430="D",1,0)+IF(DO2430="D",1,0)+IF(DP2430="D",1,0)+IF(DQ2430="D",1,0)+IF(DW2430="D",1,0)+IF(DZ2430="D",1,0)+IF(EH2430="D",1,0)</f>
        <v/>
      </c>
      <c r="AY2430">
        <f>IF(DJ2430&lt;&gt;"",1,0)+IF(DK2430&lt;&gt;"",1,0)+IF(DM2430&lt;&gt;"",1,0)+IF(DO2430&lt;&gt;"",1,0)+IF(DP2430&lt;&gt;"",1,0)+IF(DQ2430&lt;&gt;"",1,0)+IF(DS2430&lt;&gt;"",1,0)+IF(DT2430&lt;&gt;"",1,0)+IF(DV2430&lt;&gt;"",1,0)+IF(DW2430&lt;&gt;"",1,0)+IF(DX2430&lt;&gt;"",1,0)+IF(DY2430&lt;&gt;"",1,0)+IF(DZ2430&lt;&gt;"",1,0)+IF(EB2430&lt;&gt;"",1,0)+IF(EC2430&lt;&gt;"",1,0)+IF(ED2430&lt;&gt;"",1,0)+IF(EG2430&lt;&gt;"",1,0)+IF(EH2430&lt;&gt;"",1,0)</f>
        <v/>
      </c>
      <c r="AZ2430">
        <f>IF(EH2430&lt;&gt;"",1,0)</f>
        <v/>
      </c>
      <c r="BB2430" t="inlineStr">
        <is>
          <t>WARREN-WARD 4</t>
        </is>
      </c>
      <c r="BD2430" t="inlineStr">
        <is>
          <t>X</t>
        </is>
      </c>
      <c r="BG2430" t="inlineStr">
        <is>
          <t>X</t>
        </is>
      </c>
      <c r="BJ2430" t="inlineStr">
        <is>
          <t>X</t>
        </is>
      </c>
      <c r="BL2430" t="inlineStr">
        <is>
          <t>X</t>
        </is>
      </c>
      <c r="BS2430" t="inlineStr">
        <is>
          <t>X</t>
        </is>
      </c>
      <c r="BV2430" t="inlineStr">
        <is>
          <t>X</t>
        </is>
      </c>
      <c r="BY2430" t="inlineStr">
        <is>
          <t>D</t>
        </is>
      </c>
      <c r="CA2430" t="inlineStr">
        <is>
          <t>X</t>
        </is>
      </c>
      <c r="CK2430" t="inlineStr">
        <is>
          <t>X</t>
        </is>
      </c>
      <c r="CL2430" t="inlineStr">
        <is>
          <t>D</t>
        </is>
      </c>
      <c r="CN2430" t="inlineStr">
        <is>
          <t>X</t>
        </is>
      </c>
      <c r="CP2430" t="inlineStr">
        <is>
          <t>X</t>
        </is>
      </c>
      <c r="CY2430" t="inlineStr">
        <is>
          <t>X</t>
        </is>
      </c>
      <c r="CZ2430" t="inlineStr">
        <is>
          <t>D</t>
        </is>
      </c>
      <c r="DC2430" t="inlineStr">
        <is>
          <t>X</t>
        </is>
      </c>
      <c r="DI2430" t="inlineStr">
        <is>
          <t>X</t>
        </is>
      </c>
      <c r="DN2430" t="inlineStr">
        <is>
          <t>X</t>
        </is>
      </c>
      <c r="DU2430" t="inlineStr">
        <is>
          <t>X</t>
        </is>
      </c>
      <c r="EF2430" t="inlineStr">
        <is>
          <t>X</t>
        </is>
      </c>
    </row>
    <row r="2431">
      <c r="A2431" t="inlineStr">
        <is>
          <t>OH0015817726</t>
        </is>
      </c>
      <c r="B2431" t="n">
        <v>78</v>
      </c>
      <c r="C2431" t="n">
        <v>273270</v>
      </c>
      <c r="D2431" t="inlineStr">
        <is>
          <t>JONES</t>
        </is>
      </c>
      <c r="E2431" t="inlineStr">
        <is>
          <t>MICHAEL</t>
        </is>
      </c>
      <c r="F2431">
        <f>CONCATENATE(D2431," ",LEFT(H2431,4),"T=",AU2431,"D=",AV2431,"R=",AW2431,"M=",AX2431,"L=",AY2431,"B=",AZ2431)</f>
        <v/>
      </c>
      <c r="G2431" t="inlineStr">
        <is>
          <t>A</t>
        </is>
      </c>
      <c r="I2431" t="inlineStr">
        <is>
          <t>1952-09-10</t>
        </is>
      </c>
      <c r="J2431" t="inlineStr">
        <is>
          <t>2008-04-15</t>
        </is>
      </c>
      <c r="K2431" t="inlineStr">
        <is>
          <t>ACTIVE</t>
        </is>
      </c>
      <c r="M2431" t="inlineStr">
        <is>
          <t>1151 NILES RD SE</t>
        </is>
      </c>
      <c r="N2431">
        <f>RIGHT(M2431,LEN(M2431)-FIND(" ",M2431))</f>
        <v/>
      </c>
      <c r="P2431" t="inlineStr">
        <is>
          <t>WARREN</t>
        </is>
      </c>
      <c r="Q2431" t="inlineStr">
        <is>
          <t>OH</t>
        </is>
      </c>
      <c r="R2431" t="n">
        <v>44484</v>
      </c>
      <c r="AD2431" t="inlineStr">
        <is>
          <t>TRUMBULL CAREER &amp; TECH CENTER</t>
        </is>
      </c>
      <c r="AE2431" t="inlineStr">
        <is>
          <t>WARREN CITY</t>
        </is>
      </c>
      <c r="AF2431" t="inlineStr">
        <is>
          <t>WARREN CITY SD</t>
        </is>
      </c>
      <c r="AH2431" t="n">
        <v>14</v>
      </c>
      <c r="AI2431" t="n">
        <v>11</v>
      </c>
      <c r="AN2431" t="inlineStr">
        <is>
          <t>WARREN</t>
        </is>
      </c>
      <c r="AO2431" t="inlineStr">
        <is>
          <t>WARREN CITY 4F</t>
        </is>
      </c>
      <c r="AP2431" t="inlineStr">
        <is>
          <t>78-P-ADN</t>
        </is>
      </c>
      <c r="AQ2431" t="n">
        <v>9</v>
      </c>
      <c r="AR2431" t="n">
        <v>64</v>
      </c>
      <c r="AS2431" t="n">
        <v>32</v>
      </c>
      <c r="AU2431">
        <f>COUNTA($BA$2431:$EH$2431)</f>
        <v/>
      </c>
      <c r="AV2431">
        <f>COUNTIF($BA$2431:$EH$2431,"D")</f>
        <v/>
      </c>
      <c r="AW2431">
        <f>COUNTIF($BA$2431:$EH$2431,"R")</f>
        <v/>
      </c>
      <c r="AX2431">
        <f>IF(BN2431="D",1,0)+IF(BO2431="D",1,0)+IF(BT2431="D",1,0)+IF(BU2431="D",1,0)+IF(BW2431="D",1,0)+IF(CC2431="D",1,0)+IF(CD2431="D",1,0)+IF(CE2431="D",1,0)+IF(CF2431="D",1,0)+IF(CL2431="D",1,0)+IF(CM2431="D",1,0)+IF(CQ2431="D",1,0)+IF(CR2431="D",1,0)+IF(CS2431="D",1,0)+IF(CW2431="D",1,0)+IF(CX2431="D",1,0)+IF(DD2431="D",1,0)+IF(DE2431="D",1,0)+IF(DJ2431="D",1,0)+IF(DK2431="D",1,0)+IF(DO2431="D",1,0)+IF(DP2431="D",1,0)+IF(DQ2431="D",1,0)+IF(DW2431="D",1,0)+IF(DZ2431="D",1,0)+IF(EH2431="D",1,0)</f>
        <v/>
      </c>
      <c r="AY2431">
        <f>IF(DJ2431&lt;&gt;"",1,0)+IF(DK2431&lt;&gt;"",1,0)+IF(DM2431&lt;&gt;"",1,0)+IF(DO2431&lt;&gt;"",1,0)+IF(DP2431&lt;&gt;"",1,0)+IF(DQ2431&lt;&gt;"",1,0)+IF(DS2431&lt;&gt;"",1,0)+IF(DT2431&lt;&gt;"",1,0)+IF(DV2431&lt;&gt;"",1,0)+IF(DW2431&lt;&gt;"",1,0)+IF(DX2431&lt;&gt;"",1,0)+IF(DY2431&lt;&gt;"",1,0)+IF(DZ2431&lt;&gt;"",1,0)+IF(EB2431&lt;&gt;"",1,0)+IF(EC2431&lt;&gt;"",1,0)+IF(ED2431&lt;&gt;"",1,0)+IF(EG2431&lt;&gt;"",1,0)+IF(EH2431&lt;&gt;"",1,0)</f>
        <v/>
      </c>
      <c r="AZ2431">
        <f>IF(EH2431&lt;&gt;"",1,0)</f>
        <v/>
      </c>
      <c r="BB2431" t="inlineStr">
        <is>
          <t>WARREN-WARD 4</t>
        </is>
      </c>
      <c r="BD2431" t="inlineStr">
        <is>
          <t>X</t>
        </is>
      </c>
      <c r="BE2431" t="inlineStr">
        <is>
          <t>X</t>
        </is>
      </c>
      <c r="BH2431" t="inlineStr">
        <is>
          <t>X</t>
        </is>
      </c>
      <c r="BJ2431" t="inlineStr">
        <is>
          <t>X</t>
        </is>
      </c>
      <c r="BL2431" t="inlineStr">
        <is>
          <t>X</t>
        </is>
      </c>
      <c r="BS2431" t="inlineStr">
        <is>
          <t>X</t>
        </is>
      </c>
      <c r="BY2431" t="inlineStr">
        <is>
          <t>D</t>
        </is>
      </c>
      <c r="CA2431" t="inlineStr">
        <is>
          <t>X</t>
        </is>
      </c>
      <c r="CG2431" t="inlineStr">
        <is>
          <t>X</t>
        </is>
      </c>
      <c r="CK2431" t="inlineStr">
        <is>
          <t>X</t>
        </is>
      </c>
      <c r="CN2431" t="inlineStr">
        <is>
          <t>X</t>
        </is>
      </c>
      <c r="CP2431" t="inlineStr">
        <is>
          <t>X</t>
        </is>
      </c>
      <c r="CV2431" t="inlineStr">
        <is>
          <t>X</t>
        </is>
      </c>
      <c r="CY2431" t="inlineStr">
        <is>
          <t>X</t>
        </is>
      </c>
      <c r="DC2431" t="inlineStr">
        <is>
          <t>X</t>
        </is>
      </c>
      <c r="DI2431" t="inlineStr">
        <is>
          <t>X</t>
        </is>
      </c>
      <c r="DN2431" t="inlineStr">
        <is>
          <t>X</t>
        </is>
      </c>
      <c r="DU2431" t="inlineStr">
        <is>
          <t>X</t>
        </is>
      </c>
      <c r="EF2431" t="inlineStr">
        <is>
          <t>X</t>
        </is>
      </c>
    </row>
    <row r="2432">
      <c r="A2432" t="inlineStr">
        <is>
          <t>OH0015718604</t>
        </is>
      </c>
      <c r="B2432" t="n">
        <v>78</v>
      </c>
      <c r="C2432" t="n">
        <v>19701</v>
      </c>
      <c r="D2432" t="inlineStr">
        <is>
          <t>STEWART</t>
        </is>
      </c>
      <c r="E2432" t="inlineStr">
        <is>
          <t>LAURA</t>
        </is>
      </c>
      <c r="F2432">
        <f>CONCATENATE(D2432," ",LEFT(H2432,4),"T=",AU2432,"D=",AV2432,"R=",AW2432,"M=",AX2432,"L=",AY2432,"B=",AZ2432)</f>
        <v/>
      </c>
      <c r="G2432" t="inlineStr">
        <is>
          <t>J</t>
        </is>
      </c>
      <c r="I2432" t="inlineStr">
        <is>
          <t>1932-04-11</t>
        </is>
      </c>
      <c r="J2432" t="inlineStr">
        <is>
          <t>1955-03-23</t>
        </is>
      </c>
      <c r="K2432" t="inlineStr">
        <is>
          <t>ACTIVE</t>
        </is>
      </c>
      <c r="M2432" t="inlineStr">
        <is>
          <t>2634 NILES RD SE</t>
        </is>
      </c>
      <c r="N2432">
        <f>RIGHT(M2432,LEN(M2432)-FIND(" ",M2432))</f>
        <v/>
      </c>
      <c r="P2432" t="inlineStr">
        <is>
          <t>WARREN</t>
        </is>
      </c>
      <c r="Q2432" t="inlineStr">
        <is>
          <t>OH</t>
        </is>
      </c>
      <c r="R2432" t="n">
        <v>44484</v>
      </c>
      <c r="AD2432" t="inlineStr">
        <is>
          <t>TRUMBULL CAREER &amp; TECH CENTER</t>
        </is>
      </c>
      <c r="AE2432" t="inlineStr">
        <is>
          <t>WARREN CITY</t>
        </is>
      </c>
      <c r="AF2432" t="inlineStr">
        <is>
          <t>WARREN CITY SD</t>
        </is>
      </c>
      <c r="AH2432" t="n">
        <v>14</v>
      </c>
      <c r="AI2432" t="n">
        <v>11</v>
      </c>
      <c r="AN2432" t="inlineStr">
        <is>
          <t>WARREN</t>
        </is>
      </c>
      <c r="AO2432" t="inlineStr">
        <is>
          <t>WARREN CITY 4F</t>
        </is>
      </c>
      <c r="AP2432" t="inlineStr">
        <is>
          <t>78-P-ADN</t>
        </is>
      </c>
      <c r="AQ2432" t="n">
        <v>9</v>
      </c>
      <c r="AR2432" t="n">
        <v>64</v>
      </c>
      <c r="AS2432" t="n">
        <v>32</v>
      </c>
      <c r="AU2432">
        <f>COUNTA($BA$2432:$EH$2432)</f>
        <v/>
      </c>
      <c r="AV2432">
        <f>COUNTIF($BA$2432:$EH$2432,"D")</f>
        <v/>
      </c>
      <c r="AW2432">
        <f>COUNTIF($BA$2432:$EH$2432,"R")</f>
        <v/>
      </c>
      <c r="AX2432">
        <f>IF(BN2432="D",1,0)+IF(BO2432="D",1,0)+IF(BT2432="D",1,0)+IF(BU2432="D",1,0)+IF(BW2432="D",1,0)+IF(CC2432="D",1,0)+IF(CD2432="D",1,0)+IF(CE2432="D",1,0)+IF(CF2432="D",1,0)+IF(CL2432="D",1,0)+IF(CM2432="D",1,0)+IF(CQ2432="D",1,0)+IF(CR2432="D",1,0)+IF(CS2432="D",1,0)+IF(CW2432="D",1,0)+IF(CX2432="D",1,0)+IF(DD2432="D",1,0)+IF(DE2432="D",1,0)+IF(DJ2432="D",1,0)+IF(DK2432="D",1,0)+IF(DO2432="D",1,0)+IF(DP2432="D",1,0)+IF(DQ2432="D",1,0)+IF(DW2432="D",1,0)+IF(DZ2432="D",1,0)+IF(EH2432="D",1,0)</f>
        <v/>
      </c>
      <c r="AY2432">
        <f>IF(DJ2432&lt;&gt;"",1,0)+IF(DK2432&lt;&gt;"",1,0)+IF(DM2432&lt;&gt;"",1,0)+IF(DO2432&lt;&gt;"",1,0)+IF(DP2432&lt;&gt;"",1,0)+IF(DQ2432&lt;&gt;"",1,0)+IF(DS2432&lt;&gt;"",1,0)+IF(DT2432&lt;&gt;"",1,0)+IF(DV2432&lt;&gt;"",1,0)+IF(DW2432&lt;&gt;"",1,0)+IF(DX2432&lt;&gt;"",1,0)+IF(DY2432&lt;&gt;"",1,0)+IF(DZ2432&lt;&gt;"",1,0)+IF(EB2432&lt;&gt;"",1,0)+IF(EC2432&lt;&gt;"",1,0)+IF(ED2432&lt;&gt;"",1,0)+IF(EG2432&lt;&gt;"",1,0)+IF(EH2432&lt;&gt;"",1,0)</f>
        <v/>
      </c>
      <c r="AZ2432">
        <f>IF(EH2432&lt;&gt;"",1,0)</f>
        <v/>
      </c>
      <c r="BB2432" t="inlineStr">
        <is>
          <t>WARREN-WARD 4</t>
        </is>
      </c>
      <c r="BC2432" t="inlineStr">
        <is>
          <t>X</t>
        </is>
      </c>
      <c r="BD2432" t="inlineStr">
        <is>
          <t>X</t>
        </is>
      </c>
      <c r="BE2432" t="inlineStr">
        <is>
          <t>X</t>
        </is>
      </c>
      <c r="BF2432" t="inlineStr">
        <is>
          <t>X</t>
        </is>
      </c>
      <c r="BG2432" t="inlineStr">
        <is>
          <t>X</t>
        </is>
      </c>
      <c r="BH2432" t="inlineStr">
        <is>
          <t>X</t>
        </is>
      </c>
      <c r="BI2432" t="inlineStr">
        <is>
          <t>X</t>
        </is>
      </c>
      <c r="BJ2432" t="inlineStr">
        <is>
          <t>X</t>
        </is>
      </c>
      <c r="BK2432" t="inlineStr">
        <is>
          <t>X</t>
        </is>
      </c>
      <c r="BL2432" t="inlineStr">
        <is>
          <t>X</t>
        </is>
      </c>
      <c r="BP2432" t="inlineStr">
        <is>
          <t>X</t>
        </is>
      </c>
      <c r="BR2432" t="inlineStr">
        <is>
          <t>X</t>
        </is>
      </c>
      <c r="BS2432" t="inlineStr">
        <is>
          <t>X</t>
        </is>
      </c>
      <c r="BY2432" t="inlineStr">
        <is>
          <t>D</t>
        </is>
      </c>
      <c r="CA2432" t="inlineStr">
        <is>
          <t>X</t>
        </is>
      </c>
      <c r="CG2432" t="inlineStr">
        <is>
          <t>X</t>
        </is>
      </c>
      <c r="CK2432" t="inlineStr">
        <is>
          <t>X</t>
        </is>
      </c>
      <c r="CL2432" t="inlineStr">
        <is>
          <t>D</t>
        </is>
      </c>
      <c r="CN2432" t="inlineStr">
        <is>
          <t>X</t>
        </is>
      </c>
      <c r="CP2432" t="inlineStr">
        <is>
          <t>X</t>
        </is>
      </c>
      <c r="CT2432" t="inlineStr">
        <is>
          <t>X</t>
        </is>
      </c>
      <c r="CV2432" t="inlineStr">
        <is>
          <t>X</t>
        </is>
      </c>
      <c r="CW2432" t="inlineStr">
        <is>
          <t>D</t>
        </is>
      </c>
      <c r="CY2432" t="inlineStr">
        <is>
          <t>X</t>
        </is>
      </c>
      <c r="CZ2432" t="inlineStr">
        <is>
          <t>D</t>
        </is>
      </c>
      <c r="DC2432" t="inlineStr">
        <is>
          <t>X</t>
        </is>
      </c>
      <c r="DF2432" t="inlineStr">
        <is>
          <t>X</t>
        </is>
      </c>
      <c r="DI2432" t="inlineStr">
        <is>
          <t>X</t>
        </is>
      </c>
      <c r="DL2432" t="inlineStr">
        <is>
          <t>X</t>
        </is>
      </c>
      <c r="DN2432" t="inlineStr">
        <is>
          <t>X</t>
        </is>
      </c>
      <c r="DR2432" t="inlineStr">
        <is>
          <t>X</t>
        </is>
      </c>
      <c r="DU2432" t="inlineStr">
        <is>
          <t>X</t>
        </is>
      </c>
      <c r="EA2432" t="inlineStr">
        <is>
          <t>X</t>
        </is>
      </c>
      <c r="EF2432" t="inlineStr">
        <is>
          <t>X</t>
        </is>
      </c>
    </row>
    <row r="2433">
      <c r="A2433" t="inlineStr">
        <is>
          <t>OH0027789241</t>
        </is>
      </c>
      <c r="B2433" t="n">
        <v>78</v>
      </c>
      <c r="C2433" t="n">
        <v>491964</v>
      </c>
      <c r="D2433" t="inlineStr">
        <is>
          <t>MCCLOSKEY</t>
        </is>
      </c>
      <c r="E2433" t="inlineStr">
        <is>
          <t>DONALD</t>
        </is>
      </c>
      <c r="F2433">
        <f>CONCATENATE(D2433," ",LEFT(H2433,4),"T=",AU2433,"D=",AV2433,"R=",AW2433,"M=",AX2433,"L=",AY2433,"B=",AZ2433)</f>
        <v/>
      </c>
      <c r="G2433" t="inlineStr">
        <is>
          <t>BRENT</t>
        </is>
      </c>
      <c r="I2433" t="inlineStr">
        <is>
          <t>1995-08-29</t>
        </is>
      </c>
      <c r="J2433" t="inlineStr">
        <is>
          <t>2024-11-12</t>
        </is>
      </c>
      <c r="K2433" t="inlineStr">
        <is>
          <t>ACTIVE</t>
        </is>
      </c>
      <c r="M2433" t="inlineStr">
        <is>
          <t>1208 YOUNGSTOWN RD SE</t>
        </is>
      </c>
      <c r="N2433">
        <f>RIGHT(M2433,LEN(M2433)-FIND(" ",M2433))</f>
        <v/>
      </c>
      <c r="P2433" t="inlineStr">
        <is>
          <t>WARREN</t>
        </is>
      </c>
      <c r="Q2433" t="inlineStr">
        <is>
          <t>OH</t>
        </is>
      </c>
      <c r="R2433" t="n">
        <v>44484</v>
      </c>
      <c r="AD2433" t="inlineStr">
        <is>
          <t>TRUMBULL CAREER &amp; TECH CENTER</t>
        </is>
      </c>
      <c r="AE2433" t="inlineStr">
        <is>
          <t>WARREN CITY</t>
        </is>
      </c>
      <c r="AF2433" t="inlineStr">
        <is>
          <t>WARREN CITY SD</t>
        </is>
      </c>
      <c r="AH2433" t="n">
        <v>14</v>
      </c>
      <c r="AI2433" t="n">
        <v>11</v>
      </c>
      <c r="AN2433" t="inlineStr">
        <is>
          <t>WARREN</t>
        </is>
      </c>
      <c r="AO2433" t="inlineStr">
        <is>
          <t>WARREN CITY 4F</t>
        </is>
      </c>
      <c r="AP2433" t="inlineStr">
        <is>
          <t>78-P-ADN</t>
        </is>
      </c>
      <c r="AQ2433" t="n">
        <v>9</v>
      </c>
      <c r="AR2433" t="n">
        <v>64</v>
      </c>
      <c r="AS2433" t="n">
        <v>32</v>
      </c>
      <c r="AU2433">
        <f>COUNTA($BA$2433:$EH$2433)</f>
        <v/>
      </c>
      <c r="AV2433">
        <f>COUNTIF($BA$2433:$EH$2433,"D")</f>
        <v/>
      </c>
      <c r="AW2433">
        <f>COUNTIF($BA$2433:$EH$2433,"R")</f>
        <v/>
      </c>
      <c r="AX2433">
        <f>IF(BN2433="D",1,0)+IF(BO2433="D",1,0)+IF(BT2433="D",1,0)+IF(BU2433="D",1,0)+IF(BW2433="D",1,0)+IF(CC2433="D",1,0)+IF(CD2433="D",1,0)+IF(CE2433="D",1,0)+IF(CF2433="D",1,0)+IF(CL2433="D",1,0)+IF(CM2433="D",1,0)+IF(CQ2433="D",1,0)+IF(CR2433="D",1,0)+IF(CS2433="D",1,0)+IF(CW2433="D",1,0)+IF(CX2433="D",1,0)+IF(DD2433="D",1,0)+IF(DE2433="D",1,0)+IF(DJ2433="D",1,0)+IF(DK2433="D",1,0)+IF(DO2433="D",1,0)+IF(DP2433="D",1,0)+IF(DQ2433="D",1,0)+IF(DW2433="D",1,0)+IF(DZ2433="D",1,0)+IF(EH2433="D",1,0)</f>
        <v/>
      </c>
      <c r="AY2433">
        <f>IF(DJ2433&lt;&gt;"",1,0)+IF(DK2433&lt;&gt;"",1,0)+IF(DM2433&lt;&gt;"",1,0)+IF(DO2433&lt;&gt;"",1,0)+IF(DP2433&lt;&gt;"",1,0)+IF(DQ2433&lt;&gt;"",1,0)+IF(DS2433&lt;&gt;"",1,0)+IF(DT2433&lt;&gt;"",1,0)+IF(DV2433&lt;&gt;"",1,0)+IF(DW2433&lt;&gt;"",1,0)+IF(DX2433&lt;&gt;"",1,0)+IF(DY2433&lt;&gt;"",1,0)+IF(DZ2433&lt;&gt;"",1,0)+IF(EB2433&lt;&gt;"",1,0)+IF(EC2433&lt;&gt;"",1,0)+IF(ED2433&lt;&gt;"",1,0)+IF(EG2433&lt;&gt;"",1,0)+IF(EH2433&lt;&gt;"",1,0)</f>
        <v/>
      </c>
      <c r="AZ2433">
        <f>IF(EH2433&lt;&gt;"",1,0)</f>
        <v/>
      </c>
      <c r="BB2433" t="inlineStr">
        <is>
          <t>WARREN-WARD 4</t>
        </is>
      </c>
    </row>
    <row r="2434">
      <c r="A2434" t="inlineStr">
        <is>
          <t>OH0015793119</t>
        </is>
      </c>
      <c r="B2434" t="n">
        <v>78</v>
      </c>
      <c r="C2434" t="n">
        <v>308950</v>
      </c>
      <c r="D2434" t="inlineStr">
        <is>
          <t>EGGLESTON</t>
        </is>
      </c>
      <c r="E2434" t="inlineStr">
        <is>
          <t>ZAQUESHUN</t>
        </is>
      </c>
      <c r="F2434">
        <f>CONCATENATE(D2434," ",LEFT(H2434,4),"T=",AU2434,"D=",AV2434,"R=",AW2434,"M=",AX2434,"L=",AY2434,"B=",AZ2434)</f>
        <v/>
      </c>
      <c r="G2434" t="inlineStr">
        <is>
          <t>JONDELLE</t>
        </is>
      </c>
      <c r="I2434" t="inlineStr">
        <is>
          <t>1984-07-05</t>
        </is>
      </c>
      <c r="J2434" t="inlineStr">
        <is>
          <t>2014-05-20</t>
        </is>
      </c>
      <c r="K2434" t="inlineStr">
        <is>
          <t>CONFIRMATION</t>
        </is>
      </c>
      <c r="M2434" t="inlineStr">
        <is>
          <t>1617 WOODBINE AVE SE</t>
        </is>
      </c>
      <c r="N2434">
        <f>RIGHT(M2434,LEN(M2434)-FIND(" ",M2434))</f>
        <v/>
      </c>
      <c r="P2434" t="inlineStr">
        <is>
          <t>WARREN</t>
        </is>
      </c>
      <c r="Q2434" t="inlineStr">
        <is>
          <t>OH</t>
        </is>
      </c>
      <c r="R2434" t="n">
        <v>44484</v>
      </c>
      <c r="AD2434" t="inlineStr">
        <is>
          <t>TRUMBULL CAREER &amp; TECH CENTER</t>
        </is>
      </c>
      <c r="AE2434" t="inlineStr">
        <is>
          <t>WARREN CITY</t>
        </is>
      </c>
      <c r="AF2434" t="inlineStr">
        <is>
          <t>WARREN CITY SD</t>
        </is>
      </c>
      <c r="AH2434" t="n">
        <v>14</v>
      </c>
      <c r="AI2434" t="n">
        <v>11</v>
      </c>
      <c r="AN2434" t="inlineStr">
        <is>
          <t>WARREN</t>
        </is>
      </c>
      <c r="AO2434" t="inlineStr">
        <is>
          <t>WARREN CITY 4F</t>
        </is>
      </c>
      <c r="AP2434" t="inlineStr">
        <is>
          <t>78-P-ADN</t>
        </is>
      </c>
      <c r="AQ2434" t="n">
        <v>9</v>
      </c>
      <c r="AR2434" t="n">
        <v>64</v>
      </c>
      <c r="AS2434" t="n">
        <v>32</v>
      </c>
      <c r="AU2434">
        <f>COUNTA($BA$2434:$EH$2434)</f>
        <v/>
      </c>
      <c r="AV2434">
        <f>COUNTIF($BA$2434:$EH$2434,"D")</f>
        <v/>
      </c>
      <c r="AW2434">
        <f>COUNTIF($BA$2434:$EH$2434,"R")</f>
        <v/>
      </c>
      <c r="AX2434">
        <f>IF(BN2434="D",1,0)+IF(BO2434="D",1,0)+IF(BT2434="D",1,0)+IF(BU2434="D",1,0)+IF(BW2434="D",1,0)+IF(CC2434="D",1,0)+IF(CD2434="D",1,0)+IF(CE2434="D",1,0)+IF(CF2434="D",1,0)+IF(CL2434="D",1,0)+IF(CM2434="D",1,0)+IF(CQ2434="D",1,0)+IF(CR2434="D",1,0)+IF(CS2434="D",1,0)+IF(CW2434="D",1,0)+IF(CX2434="D",1,0)+IF(DD2434="D",1,0)+IF(DE2434="D",1,0)+IF(DJ2434="D",1,0)+IF(DK2434="D",1,0)+IF(DO2434="D",1,0)+IF(DP2434="D",1,0)+IF(DQ2434="D",1,0)+IF(DW2434="D",1,0)+IF(DZ2434="D",1,0)+IF(EH2434="D",1,0)</f>
        <v/>
      </c>
      <c r="AY2434">
        <f>IF(DJ2434&lt;&gt;"",1,0)+IF(DK2434&lt;&gt;"",1,0)+IF(DM2434&lt;&gt;"",1,0)+IF(DO2434&lt;&gt;"",1,0)+IF(DP2434&lt;&gt;"",1,0)+IF(DQ2434&lt;&gt;"",1,0)+IF(DS2434&lt;&gt;"",1,0)+IF(DT2434&lt;&gt;"",1,0)+IF(DV2434&lt;&gt;"",1,0)+IF(DW2434&lt;&gt;"",1,0)+IF(DX2434&lt;&gt;"",1,0)+IF(DY2434&lt;&gt;"",1,0)+IF(DZ2434&lt;&gt;"",1,0)+IF(EB2434&lt;&gt;"",1,0)+IF(EC2434&lt;&gt;"",1,0)+IF(ED2434&lt;&gt;"",1,0)+IF(EG2434&lt;&gt;"",1,0)+IF(EH2434&lt;&gt;"",1,0)</f>
        <v/>
      </c>
      <c r="AZ2434">
        <f>IF(EH2434&lt;&gt;"",1,0)</f>
        <v/>
      </c>
      <c r="BB2434" t="inlineStr">
        <is>
          <t>WARREN-WARD 4</t>
        </is>
      </c>
      <c r="BH2434" t="inlineStr">
        <is>
          <t>X</t>
        </is>
      </c>
      <c r="BJ2434" t="inlineStr">
        <is>
          <t>X</t>
        </is>
      </c>
      <c r="BL2434" t="inlineStr">
        <is>
          <t>X</t>
        </is>
      </c>
      <c r="CA2434" t="inlineStr">
        <is>
          <t>X</t>
        </is>
      </c>
      <c r="CU2434" t="inlineStr">
        <is>
          <t>D</t>
        </is>
      </c>
      <c r="CY2434" t="inlineStr">
        <is>
          <t>X</t>
        </is>
      </c>
      <c r="CZ2434" t="inlineStr">
        <is>
          <t>D</t>
        </is>
      </c>
      <c r="DC2434" t="inlineStr">
        <is>
          <t>X</t>
        </is>
      </c>
    </row>
    <row r="2435">
      <c r="A2435" t="inlineStr">
        <is>
          <t>OH0027514135</t>
        </is>
      </c>
      <c r="B2435" t="n">
        <v>78</v>
      </c>
      <c r="C2435" t="n">
        <v>487583</v>
      </c>
      <c r="D2435" t="inlineStr">
        <is>
          <t>WEATHERS</t>
        </is>
      </c>
      <c r="E2435" t="inlineStr">
        <is>
          <t>MEKELLE</t>
        </is>
      </c>
      <c r="F2435">
        <f>CONCATENATE(D2435," ",LEFT(H2435,4),"T=",AU2435,"D=",AV2435,"R=",AW2435,"M=",AX2435,"L=",AY2435,"B=",AZ2435)</f>
        <v/>
      </c>
      <c r="G2435" t="inlineStr">
        <is>
          <t>A</t>
        </is>
      </c>
      <c r="I2435" t="inlineStr">
        <is>
          <t>1989-03-27</t>
        </is>
      </c>
      <c r="J2435" t="inlineStr">
        <is>
          <t>2024-08-05</t>
        </is>
      </c>
      <c r="K2435" t="inlineStr">
        <is>
          <t>ACTIVE</t>
        </is>
      </c>
      <c r="M2435" t="inlineStr">
        <is>
          <t>2816 DUKE AVE SE</t>
        </is>
      </c>
      <c r="N2435">
        <f>RIGHT(M2435,LEN(M2435)-FIND(" ",M2435))</f>
        <v/>
      </c>
      <c r="P2435" t="inlineStr">
        <is>
          <t>WARREN</t>
        </is>
      </c>
      <c r="Q2435" t="inlineStr">
        <is>
          <t>OH</t>
        </is>
      </c>
      <c r="R2435" t="n">
        <v>44484</v>
      </c>
      <c r="AD2435" t="inlineStr">
        <is>
          <t>TRUMBULL CAREER &amp; TECH CENTER</t>
        </is>
      </c>
      <c r="AE2435" t="inlineStr">
        <is>
          <t>WARREN CITY</t>
        </is>
      </c>
      <c r="AF2435" t="inlineStr">
        <is>
          <t>WARREN CITY SD</t>
        </is>
      </c>
      <c r="AH2435" t="n">
        <v>14</v>
      </c>
      <c r="AI2435" t="n">
        <v>11</v>
      </c>
      <c r="AN2435" t="inlineStr">
        <is>
          <t>WARREN</t>
        </is>
      </c>
      <c r="AO2435" t="inlineStr">
        <is>
          <t>WARREN CITY 4F</t>
        </is>
      </c>
      <c r="AP2435" t="inlineStr">
        <is>
          <t>78-P-ADN</t>
        </is>
      </c>
      <c r="AQ2435" t="n">
        <v>9</v>
      </c>
      <c r="AR2435" t="n">
        <v>64</v>
      </c>
      <c r="AS2435" t="n">
        <v>32</v>
      </c>
      <c r="AU2435">
        <f>COUNTA($BA$2435:$EH$2435)</f>
        <v/>
      </c>
      <c r="AV2435">
        <f>COUNTIF($BA$2435:$EH$2435,"D")</f>
        <v/>
      </c>
      <c r="AW2435">
        <f>COUNTIF($BA$2435:$EH$2435,"R")</f>
        <v/>
      </c>
      <c r="AX2435">
        <f>IF(BN2435="D",1,0)+IF(BO2435="D",1,0)+IF(BT2435="D",1,0)+IF(BU2435="D",1,0)+IF(BW2435="D",1,0)+IF(CC2435="D",1,0)+IF(CD2435="D",1,0)+IF(CE2435="D",1,0)+IF(CF2435="D",1,0)+IF(CL2435="D",1,0)+IF(CM2435="D",1,0)+IF(CQ2435="D",1,0)+IF(CR2435="D",1,0)+IF(CS2435="D",1,0)+IF(CW2435="D",1,0)+IF(CX2435="D",1,0)+IF(DD2435="D",1,0)+IF(DE2435="D",1,0)+IF(DJ2435="D",1,0)+IF(DK2435="D",1,0)+IF(DO2435="D",1,0)+IF(DP2435="D",1,0)+IF(DQ2435="D",1,0)+IF(DW2435="D",1,0)+IF(DZ2435="D",1,0)+IF(EH2435="D",1,0)</f>
        <v/>
      </c>
      <c r="AY2435">
        <f>IF(DJ2435&lt;&gt;"",1,0)+IF(DK2435&lt;&gt;"",1,0)+IF(DM2435&lt;&gt;"",1,0)+IF(DO2435&lt;&gt;"",1,0)+IF(DP2435&lt;&gt;"",1,0)+IF(DQ2435&lt;&gt;"",1,0)+IF(DS2435&lt;&gt;"",1,0)+IF(DT2435&lt;&gt;"",1,0)+IF(DV2435&lt;&gt;"",1,0)+IF(DW2435&lt;&gt;"",1,0)+IF(DX2435&lt;&gt;"",1,0)+IF(DY2435&lt;&gt;"",1,0)+IF(DZ2435&lt;&gt;"",1,0)+IF(EB2435&lt;&gt;"",1,0)+IF(EC2435&lt;&gt;"",1,0)+IF(ED2435&lt;&gt;"",1,0)+IF(EG2435&lt;&gt;"",1,0)+IF(EH2435&lt;&gt;"",1,0)</f>
        <v/>
      </c>
      <c r="AZ2435">
        <f>IF(EH2435&lt;&gt;"",1,0)</f>
        <v/>
      </c>
      <c r="BB2435" t="inlineStr">
        <is>
          <t>WARREN-WARD 4</t>
        </is>
      </c>
    </row>
    <row r="2436">
      <c r="A2436" t="inlineStr">
        <is>
          <t>OH0023014856</t>
        </is>
      </c>
      <c r="B2436" t="n">
        <v>78</v>
      </c>
      <c r="C2436" t="n">
        <v>405146</v>
      </c>
      <c r="D2436" t="inlineStr">
        <is>
          <t>NATALI</t>
        </is>
      </c>
      <c r="E2436" t="inlineStr">
        <is>
          <t>ANTHONY</t>
        </is>
      </c>
      <c r="F2436">
        <f>CONCATENATE(D2436," ",LEFT(H2436,4),"T=",AU2436,"D=",AV2436,"R=",AW2436,"M=",AX2436,"L=",AY2436,"B=",AZ2436)</f>
        <v/>
      </c>
      <c r="G2436" t="inlineStr">
        <is>
          <t>D</t>
        </is>
      </c>
      <c r="I2436" t="inlineStr">
        <is>
          <t>1978-11-13</t>
        </is>
      </c>
      <c r="J2436" t="inlineStr">
        <is>
          <t>2016-09-02</t>
        </is>
      </c>
      <c r="K2436" t="inlineStr">
        <is>
          <t>CONFIRMATION</t>
        </is>
      </c>
      <c r="M2436" t="inlineStr">
        <is>
          <t>949 EAST AVE SE</t>
        </is>
      </c>
      <c r="N2436">
        <f>RIGHT(M2436,LEN(M2436)-FIND(" ",M2436))</f>
        <v/>
      </c>
      <c r="P2436" t="inlineStr">
        <is>
          <t>WARREN</t>
        </is>
      </c>
      <c r="Q2436" t="inlineStr">
        <is>
          <t>OH</t>
        </is>
      </c>
      <c r="R2436" t="n">
        <v>44484</v>
      </c>
      <c r="AD2436" t="inlineStr">
        <is>
          <t>TRUMBULL CAREER &amp; TECH CENTER</t>
        </is>
      </c>
      <c r="AE2436" t="inlineStr">
        <is>
          <t>WARREN CITY</t>
        </is>
      </c>
      <c r="AF2436" t="inlineStr">
        <is>
          <t>WARREN CITY SD</t>
        </is>
      </c>
      <c r="AH2436" t="n">
        <v>14</v>
      </c>
      <c r="AI2436" t="n">
        <v>11</v>
      </c>
      <c r="AN2436" t="inlineStr">
        <is>
          <t>WARREN</t>
        </is>
      </c>
      <c r="AO2436" t="inlineStr">
        <is>
          <t>WARREN CITY 4F</t>
        </is>
      </c>
      <c r="AP2436" t="inlineStr">
        <is>
          <t>78-P-ADN</t>
        </is>
      </c>
      <c r="AQ2436" t="n">
        <v>9</v>
      </c>
      <c r="AR2436" t="n">
        <v>64</v>
      </c>
      <c r="AS2436" t="n">
        <v>32</v>
      </c>
      <c r="AU2436">
        <f>COUNTA($BA$2436:$EH$2436)</f>
        <v/>
      </c>
      <c r="AV2436">
        <f>COUNTIF($BA$2436:$EH$2436,"D")</f>
        <v/>
      </c>
      <c r="AW2436">
        <f>COUNTIF($BA$2436:$EH$2436,"R")</f>
        <v/>
      </c>
      <c r="AX2436">
        <f>IF(BN2436="D",1,0)+IF(BO2436="D",1,0)+IF(BT2436="D",1,0)+IF(BU2436="D",1,0)+IF(BW2436="D",1,0)+IF(CC2436="D",1,0)+IF(CD2436="D",1,0)+IF(CE2436="D",1,0)+IF(CF2436="D",1,0)+IF(CL2436="D",1,0)+IF(CM2436="D",1,0)+IF(CQ2436="D",1,0)+IF(CR2436="D",1,0)+IF(CS2436="D",1,0)+IF(CW2436="D",1,0)+IF(CX2436="D",1,0)+IF(DD2436="D",1,0)+IF(DE2436="D",1,0)+IF(DJ2436="D",1,0)+IF(DK2436="D",1,0)+IF(DO2436="D",1,0)+IF(DP2436="D",1,0)+IF(DQ2436="D",1,0)+IF(DW2436="D",1,0)+IF(DZ2436="D",1,0)+IF(EH2436="D",1,0)</f>
        <v/>
      </c>
      <c r="AY2436">
        <f>IF(DJ2436&lt;&gt;"",1,0)+IF(DK2436&lt;&gt;"",1,0)+IF(DM2436&lt;&gt;"",1,0)+IF(DO2436&lt;&gt;"",1,0)+IF(DP2436&lt;&gt;"",1,0)+IF(DQ2436&lt;&gt;"",1,0)+IF(DS2436&lt;&gt;"",1,0)+IF(DT2436&lt;&gt;"",1,0)+IF(DV2436&lt;&gt;"",1,0)+IF(DW2436&lt;&gt;"",1,0)+IF(DX2436&lt;&gt;"",1,0)+IF(DY2436&lt;&gt;"",1,0)+IF(DZ2436&lt;&gt;"",1,0)+IF(EB2436&lt;&gt;"",1,0)+IF(EC2436&lt;&gt;"",1,0)+IF(ED2436&lt;&gt;"",1,0)+IF(EG2436&lt;&gt;"",1,0)+IF(EH2436&lt;&gt;"",1,0)</f>
        <v/>
      </c>
      <c r="AZ2436">
        <f>IF(EH2436&lt;&gt;"",1,0)</f>
        <v/>
      </c>
      <c r="BB2436" t="inlineStr">
        <is>
          <t>WARREN-WARD 4</t>
        </is>
      </c>
    </row>
    <row r="2437">
      <c r="A2437" t="inlineStr">
        <is>
          <t>OH0027222162</t>
        </is>
      </c>
      <c r="B2437" t="n">
        <v>78</v>
      </c>
      <c r="C2437" t="n">
        <v>480895</v>
      </c>
      <c r="D2437" t="inlineStr">
        <is>
          <t>WALL</t>
        </is>
      </c>
      <c r="E2437" t="inlineStr">
        <is>
          <t>MORGAN</t>
        </is>
      </c>
      <c r="F2437">
        <f>CONCATENATE(D2437," ",LEFT(H2437,4),"T=",AU2437,"D=",AV2437,"R=",AW2437,"M=",AX2437,"L=",AY2437,"B=",AZ2437)</f>
        <v/>
      </c>
      <c r="G2437" t="inlineStr">
        <is>
          <t>SUE</t>
        </is>
      </c>
      <c r="I2437" t="inlineStr">
        <is>
          <t>2006-01-12</t>
        </is>
      </c>
      <c r="J2437" t="inlineStr">
        <is>
          <t>2024-01-16</t>
        </is>
      </c>
      <c r="K2437" t="inlineStr">
        <is>
          <t>ACTIVE</t>
        </is>
      </c>
      <c r="M2437" t="inlineStr">
        <is>
          <t>2176 BENTON ST SE</t>
        </is>
      </c>
      <c r="N2437">
        <f>RIGHT(M2437,LEN(M2437)-FIND(" ",M2437))</f>
        <v/>
      </c>
      <c r="P2437" t="inlineStr">
        <is>
          <t>WARREN</t>
        </is>
      </c>
      <c r="Q2437" t="inlineStr">
        <is>
          <t>OH</t>
        </is>
      </c>
      <c r="R2437" t="n">
        <v>44484</v>
      </c>
      <c r="AD2437" t="inlineStr">
        <is>
          <t>TRUMBULL CAREER &amp; TECH CENTER</t>
        </is>
      </c>
      <c r="AE2437" t="inlineStr">
        <is>
          <t>WARREN CITY</t>
        </is>
      </c>
      <c r="AF2437" t="inlineStr">
        <is>
          <t>WARREN CITY SD</t>
        </is>
      </c>
      <c r="AH2437" t="n">
        <v>14</v>
      </c>
      <c r="AI2437" t="n">
        <v>11</v>
      </c>
      <c r="AN2437" t="inlineStr">
        <is>
          <t>WARREN</t>
        </is>
      </c>
      <c r="AO2437" t="inlineStr">
        <is>
          <t>WARREN CITY 4F</t>
        </is>
      </c>
      <c r="AP2437" t="inlineStr">
        <is>
          <t>78-P-ADN</t>
        </is>
      </c>
      <c r="AQ2437" t="n">
        <v>9</v>
      </c>
      <c r="AR2437" t="n">
        <v>64</v>
      </c>
      <c r="AS2437" t="n">
        <v>32</v>
      </c>
      <c r="AU2437">
        <f>COUNTA($BA$2437:$EH$2437)</f>
        <v/>
      </c>
      <c r="AV2437">
        <f>COUNTIF($BA$2437:$EH$2437,"D")</f>
        <v/>
      </c>
      <c r="AW2437">
        <f>COUNTIF($BA$2437:$EH$2437,"R")</f>
        <v/>
      </c>
      <c r="AX2437">
        <f>IF(BN2437="D",1,0)+IF(BO2437="D",1,0)+IF(BT2437="D",1,0)+IF(BU2437="D",1,0)+IF(BW2437="D",1,0)+IF(CC2437="D",1,0)+IF(CD2437="D",1,0)+IF(CE2437="D",1,0)+IF(CF2437="D",1,0)+IF(CL2437="D",1,0)+IF(CM2437="D",1,0)+IF(CQ2437="D",1,0)+IF(CR2437="D",1,0)+IF(CS2437="D",1,0)+IF(CW2437="D",1,0)+IF(CX2437="D",1,0)+IF(DD2437="D",1,0)+IF(DE2437="D",1,0)+IF(DJ2437="D",1,0)+IF(DK2437="D",1,0)+IF(DO2437="D",1,0)+IF(DP2437="D",1,0)+IF(DQ2437="D",1,0)+IF(DW2437="D",1,0)+IF(DZ2437="D",1,0)+IF(EH2437="D",1,0)</f>
        <v/>
      </c>
      <c r="AY2437">
        <f>IF(DJ2437&lt;&gt;"",1,0)+IF(DK2437&lt;&gt;"",1,0)+IF(DM2437&lt;&gt;"",1,0)+IF(DO2437&lt;&gt;"",1,0)+IF(DP2437&lt;&gt;"",1,0)+IF(DQ2437&lt;&gt;"",1,0)+IF(DS2437&lt;&gt;"",1,0)+IF(DT2437&lt;&gt;"",1,0)+IF(DV2437&lt;&gt;"",1,0)+IF(DW2437&lt;&gt;"",1,0)+IF(DX2437&lt;&gt;"",1,0)+IF(DY2437&lt;&gt;"",1,0)+IF(DZ2437&lt;&gt;"",1,0)+IF(EB2437&lt;&gt;"",1,0)+IF(EC2437&lt;&gt;"",1,0)+IF(ED2437&lt;&gt;"",1,0)+IF(EG2437&lt;&gt;"",1,0)+IF(EH2437&lt;&gt;"",1,0)</f>
        <v/>
      </c>
      <c r="AZ2437">
        <f>IF(EH2437&lt;&gt;"",1,0)</f>
        <v/>
      </c>
      <c r="BB2437" t="inlineStr">
        <is>
          <t>WARREN-WARD 4</t>
        </is>
      </c>
    </row>
    <row r="2438">
      <c r="A2438" t="inlineStr">
        <is>
          <t>OH0027513847</t>
        </is>
      </c>
      <c r="B2438" t="n">
        <v>78</v>
      </c>
      <c r="C2438" t="n">
        <v>487579</v>
      </c>
      <c r="D2438" t="inlineStr">
        <is>
          <t>GADLEY</t>
        </is>
      </c>
      <c r="E2438" t="inlineStr">
        <is>
          <t>JOSHUA</t>
        </is>
      </c>
      <c r="F2438">
        <f>CONCATENATE(D2438," ",LEFT(H2438,4),"T=",AU2438,"D=",AV2438,"R=",AW2438,"M=",AX2438,"L=",AY2438,"B=",AZ2438)</f>
        <v/>
      </c>
      <c r="G2438" t="inlineStr">
        <is>
          <t>A</t>
        </is>
      </c>
      <c r="I2438" t="inlineStr">
        <is>
          <t>1999-05-11</t>
        </is>
      </c>
      <c r="J2438" t="inlineStr">
        <is>
          <t>2024-08-04</t>
        </is>
      </c>
      <c r="K2438" t="inlineStr">
        <is>
          <t>ACTIVE</t>
        </is>
      </c>
      <c r="M2438" t="inlineStr">
        <is>
          <t>1219 OAK KNOLL AVE SE</t>
        </is>
      </c>
      <c r="N2438">
        <f>RIGHT(M2438,LEN(M2438)-FIND(" ",M2438))</f>
        <v/>
      </c>
      <c r="P2438" t="inlineStr">
        <is>
          <t>WARREN</t>
        </is>
      </c>
      <c r="Q2438" t="inlineStr">
        <is>
          <t>OH</t>
        </is>
      </c>
      <c r="R2438" t="n">
        <v>44484</v>
      </c>
      <c r="AD2438" t="inlineStr">
        <is>
          <t>TRUMBULL CAREER &amp; TECH CENTER</t>
        </is>
      </c>
      <c r="AE2438" t="inlineStr">
        <is>
          <t>WARREN CITY</t>
        </is>
      </c>
      <c r="AF2438" t="inlineStr">
        <is>
          <t>WARREN CITY SD</t>
        </is>
      </c>
      <c r="AH2438" t="n">
        <v>14</v>
      </c>
      <c r="AI2438" t="n">
        <v>11</v>
      </c>
      <c r="AN2438" t="inlineStr">
        <is>
          <t>WARREN</t>
        </is>
      </c>
      <c r="AO2438" t="inlineStr">
        <is>
          <t>WARREN CITY 4F</t>
        </is>
      </c>
      <c r="AP2438" t="inlineStr">
        <is>
          <t>78-P-ADN</t>
        </is>
      </c>
      <c r="AQ2438" t="n">
        <v>9</v>
      </c>
      <c r="AR2438" t="n">
        <v>64</v>
      </c>
      <c r="AS2438" t="n">
        <v>32</v>
      </c>
      <c r="AU2438">
        <f>COUNTA($BA$2438:$EH$2438)</f>
        <v/>
      </c>
      <c r="AV2438">
        <f>COUNTIF($BA$2438:$EH$2438,"D")</f>
        <v/>
      </c>
      <c r="AW2438">
        <f>COUNTIF($BA$2438:$EH$2438,"R")</f>
        <v/>
      </c>
      <c r="AX2438">
        <f>IF(BN2438="D",1,0)+IF(BO2438="D",1,0)+IF(BT2438="D",1,0)+IF(BU2438="D",1,0)+IF(BW2438="D",1,0)+IF(CC2438="D",1,0)+IF(CD2438="D",1,0)+IF(CE2438="D",1,0)+IF(CF2438="D",1,0)+IF(CL2438="D",1,0)+IF(CM2438="D",1,0)+IF(CQ2438="D",1,0)+IF(CR2438="D",1,0)+IF(CS2438="D",1,0)+IF(CW2438="D",1,0)+IF(CX2438="D",1,0)+IF(DD2438="D",1,0)+IF(DE2438="D",1,0)+IF(DJ2438="D",1,0)+IF(DK2438="D",1,0)+IF(DO2438="D",1,0)+IF(DP2438="D",1,0)+IF(DQ2438="D",1,0)+IF(DW2438="D",1,0)+IF(DZ2438="D",1,0)+IF(EH2438="D",1,0)</f>
        <v/>
      </c>
      <c r="AY2438">
        <f>IF(DJ2438&lt;&gt;"",1,0)+IF(DK2438&lt;&gt;"",1,0)+IF(DM2438&lt;&gt;"",1,0)+IF(DO2438&lt;&gt;"",1,0)+IF(DP2438&lt;&gt;"",1,0)+IF(DQ2438&lt;&gt;"",1,0)+IF(DS2438&lt;&gt;"",1,0)+IF(DT2438&lt;&gt;"",1,0)+IF(DV2438&lt;&gt;"",1,0)+IF(DW2438&lt;&gt;"",1,0)+IF(DX2438&lt;&gt;"",1,0)+IF(DY2438&lt;&gt;"",1,0)+IF(DZ2438&lt;&gt;"",1,0)+IF(EB2438&lt;&gt;"",1,0)+IF(EC2438&lt;&gt;"",1,0)+IF(ED2438&lt;&gt;"",1,0)+IF(EG2438&lt;&gt;"",1,0)+IF(EH2438&lt;&gt;"",1,0)</f>
        <v/>
      </c>
      <c r="AZ2438">
        <f>IF(EH2438&lt;&gt;"",1,0)</f>
        <v/>
      </c>
      <c r="BB2438" t="inlineStr">
        <is>
          <t>WARREN-WARD 4</t>
        </is>
      </c>
      <c r="DN2438" t="inlineStr">
        <is>
          <t>X</t>
        </is>
      </c>
      <c r="DR2438" t="inlineStr">
        <is>
          <t>X</t>
        </is>
      </c>
      <c r="DU2438" t="inlineStr">
        <is>
          <t>X</t>
        </is>
      </c>
      <c r="DX2438" t="inlineStr">
        <is>
          <t>X</t>
        </is>
      </c>
      <c r="EA2438" t="inlineStr">
        <is>
          <t>X</t>
        </is>
      </c>
      <c r="ED2438" t="inlineStr">
        <is>
          <t>R</t>
        </is>
      </c>
    </row>
    <row r="2439">
      <c r="A2439" t="inlineStr">
        <is>
          <t>OH0022387400</t>
        </is>
      </c>
      <c r="B2439" t="n">
        <v>78</v>
      </c>
      <c r="C2439" t="n">
        <v>396108</v>
      </c>
      <c r="D2439" t="inlineStr">
        <is>
          <t>HALE</t>
        </is>
      </c>
      <c r="E2439" t="inlineStr">
        <is>
          <t>ANTHONY</t>
        </is>
      </c>
      <c r="F2439">
        <f>CONCATENATE(D2439," ",LEFT(H2439,4),"T=",AU2439,"D=",AV2439,"R=",AW2439,"M=",AX2439,"L=",AY2439,"B=",AZ2439)</f>
        <v/>
      </c>
      <c r="G2439" t="inlineStr">
        <is>
          <t>B</t>
        </is>
      </c>
      <c r="I2439" t="inlineStr">
        <is>
          <t>1985-08-15</t>
        </is>
      </c>
      <c r="J2439" t="inlineStr">
        <is>
          <t>2014-12-15</t>
        </is>
      </c>
      <c r="K2439" t="inlineStr">
        <is>
          <t>CONFIRMATION</t>
        </is>
      </c>
      <c r="M2439" t="inlineStr">
        <is>
          <t>1548 WOODBINE AVE SE</t>
        </is>
      </c>
      <c r="N2439">
        <f>RIGHT(M2439,LEN(M2439)-FIND(" ",M2439))</f>
        <v/>
      </c>
      <c r="P2439" t="inlineStr">
        <is>
          <t>WARREN</t>
        </is>
      </c>
      <c r="Q2439" t="inlineStr">
        <is>
          <t>OH</t>
        </is>
      </c>
      <c r="R2439" t="n">
        <v>44484</v>
      </c>
      <c r="AD2439" t="inlineStr">
        <is>
          <t>TRUMBULL CAREER &amp; TECH CENTER</t>
        </is>
      </c>
      <c r="AE2439" t="inlineStr">
        <is>
          <t>WARREN CITY</t>
        </is>
      </c>
      <c r="AF2439" t="inlineStr">
        <is>
          <t>WARREN CITY SD</t>
        </is>
      </c>
      <c r="AH2439" t="n">
        <v>14</v>
      </c>
      <c r="AI2439" t="n">
        <v>11</v>
      </c>
      <c r="AN2439" t="inlineStr">
        <is>
          <t>WARREN</t>
        </is>
      </c>
      <c r="AO2439" t="inlineStr">
        <is>
          <t>WARREN CITY 4F</t>
        </is>
      </c>
      <c r="AP2439" t="inlineStr">
        <is>
          <t>78-P-ADN</t>
        </is>
      </c>
      <c r="AQ2439" t="n">
        <v>9</v>
      </c>
      <c r="AR2439" t="n">
        <v>64</v>
      </c>
      <c r="AS2439" t="n">
        <v>32</v>
      </c>
      <c r="AU2439">
        <f>COUNTA($BA$2439:$EH$2439)</f>
        <v/>
      </c>
      <c r="AV2439">
        <f>COUNTIF($BA$2439:$EH$2439,"D")</f>
        <v/>
      </c>
      <c r="AW2439">
        <f>COUNTIF($BA$2439:$EH$2439,"R")</f>
        <v/>
      </c>
      <c r="AX2439">
        <f>IF(BN2439="D",1,0)+IF(BO2439="D",1,0)+IF(BT2439="D",1,0)+IF(BU2439="D",1,0)+IF(BW2439="D",1,0)+IF(CC2439="D",1,0)+IF(CD2439="D",1,0)+IF(CE2439="D",1,0)+IF(CF2439="D",1,0)+IF(CL2439="D",1,0)+IF(CM2439="D",1,0)+IF(CQ2439="D",1,0)+IF(CR2439="D",1,0)+IF(CS2439="D",1,0)+IF(CW2439="D",1,0)+IF(CX2439="D",1,0)+IF(DD2439="D",1,0)+IF(DE2439="D",1,0)+IF(DJ2439="D",1,0)+IF(DK2439="D",1,0)+IF(DO2439="D",1,0)+IF(DP2439="D",1,0)+IF(DQ2439="D",1,0)+IF(DW2439="D",1,0)+IF(DZ2439="D",1,0)+IF(EH2439="D",1,0)</f>
        <v/>
      </c>
      <c r="AY2439">
        <f>IF(DJ2439&lt;&gt;"",1,0)+IF(DK2439&lt;&gt;"",1,0)+IF(DM2439&lt;&gt;"",1,0)+IF(DO2439&lt;&gt;"",1,0)+IF(DP2439&lt;&gt;"",1,0)+IF(DQ2439&lt;&gt;"",1,0)+IF(DS2439&lt;&gt;"",1,0)+IF(DT2439&lt;&gt;"",1,0)+IF(DV2439&lt;&gt;"",1,0)+IF(DW2439&lt;&gt;"",1,0)+IF(DX2439&lt;&gt;"",1,0)+IF(DY2439&lt;&gt;"",1,0)+IF(DZ2439&lt;&gt;"",1,0)+IF(EB2439&lt;&gt;"",1,0)+IF(EC2439&lt;&gt;"",1,0)+IF(ED2439&lt;&gt;"",1,0)+IF(EG2439&lt;&gt;"",1,0)+IF(EH2439&lt;&gt;"",1,0)</f>
        <v/>
      </c>
      <c r="AZ2439">
        <f>IF(EH2439&lt;&gt;"",1,0)</f>
        <v/>
      </c>
      <c r="BB2439" t="inlineStr">
        <is>
          <t>WARREN-WARD 4</t>
        </is>
      </c>
      <c r="BL2439" t="inlineStr">
        <is>
          <t>X</t>
        </is>
      </c>
      <c r="CA2439" t="inlineStr">
        <is>
          <t>X</t>
        </is>
      </c>
      <c r="CY2439" t="inlineStr">
        <is>
          <t>X</t>
        </is>
      </c>
    </row>
    <row r="2440">
      <c r="A2440" t="inlineStr">
        <is>
          <t>OH0019914317</t>
        </is>
      </c>
      <c r="B2440" t="n">
        <v>78</v>
      </c>
      <c r="C2440" t="n">
        <v>360676</v>
      </c>
      <c r="D2440" t="inlineStr">
        <is>
          <t>JONES</t>
        </is>
      </c>
      <c r="E2440" t="inlineStr">
        <is>
          <t>JERALD</t>
        </is>
      </c>
      <c r="F2440">
        <f>CONCATENATE(D2440," ",LEFT(H2440,4),"T=",AU2440,"D=",AV2440,"R=",AW2440,"M=",AX2440,"L=",AY2440,"B=",AZ2440)</f>
        <v/>
      </c>
      <c r="G2440" t="inlineStr">
        <is>
          <t>L</t>
        </is>
      </c>
      <c r="I2440" t="inlineStr">
        <is>
          <t>1963-09-29</t>
        </is>
      </c>
      <c r="J2440" t="inlineStr">
        <is>
          <t>2016-07-19</t>
        </is>
      </c>
      <c r="K2440" t="inlineStr">
        <is>
          <t>ACTIVE</t>
        </is>
      </c>
      <c r="M2440" t="inlineStr">
        <is>
          <t>1063 HOMEWOOD AVE SE</t>
        </is>
      </c>
      <c r="N2440">
        <f>RIGHT(M2440,LEN(M2440)-FIND(" ",M2440))</f>
        <v/>
      </c>
      <c r="P2440" t="inlineStr">
        <is>
          <t>WARREN</t>
        </is>
      </c>
      <c r="Q2440" t="inlineStr">
        <is>
          <t>OH</t>
        </is>
      </c>
      <c r="R2440" t="n">
        <v>44484</v>
      </c>
      <c r="AD2440" t="inlineStr">
        <is>
          <t>TRUMBULL CAREER &amp; TECH CENTER</t>
        </is>
      </c>
      <c r="AE2440" t="inlineStr">
        <is>
          <t>WARREN CITY</t>
        </is>
      </c>
      <c r="AF2440" t="inlineStr">
        <is>
          <t>WARREN CITY SD</t>
        </is>
      </c>
      <c r="AH2440" t="n">
        <v>14</v>
      </c>
      <c r="AI2440" t="n">
        <v>11</v>
      </c>
      <c r="AN2440" t="inlineStr">
        <is>
          <t>WARREN</t>
        </is>
      </c>
      <c r="AO2440" t="inlineStr">
        <is>
          <t>WARREN CITY 4F</t>
        </is>
      </c>
      <c r="AP2440" t="inlineStr">
        <is>
          <t>78-P-ADN</t>
        </is>
      </c>
      <c r="AQ2440" t="n">
        <v>9</v>
      </c>
      <c r="AR2440" t="n">
        <v>64</v>
      </c>
      <c r="AS2440" t="n">
        <v>32</v>
      </c>
      <c r="AU2440">
        <f>COUNTA($BA$2440:$EH$2440)</f>
        <v/>
      </c>
      <c r="AV2440">
        <f>COUNTIF($BA$2440:$EH$2440,"D")</f>
        <v/>
      </c>
      <c r="AW2440">
        <f>COUNTIF($BA$2440:$EH$2440,"R")</f>
        <v/>
      </c>
      <c r="AX2440">
        <f>IF(BN2440="D",1,0)+IF(BO2440="D",1,0)+IF(BT2440="D",1,0)+IF(BU2440="D",1,0)+IF(BW2440="D",1,0)+IF(CC2440="D",1,0)+IF(CD2440="D",1,0)+IF(CE2440="D",1,0)+IF(CF2440="D",1,0)+IF(CL2440="D",1,0)+IF(CM2440="D",1,0)+IF(CQ2440="D",1,0)+IF(CR2440="D",1,0)+IF(CS2440="D",1,0)+IF(CW2440="D",1,0)+IF(CX2440="D",1,0)+IF(DD2440="D",1,0)+IF(DE2440="D",1,0)+IF(DJ2440="D",1,0)+IF(DK2440="D",1,0)+IF(DO2440="D",1,0)+IF(DP2440="D",1,0)+IF(DQ2440="D",1,0)+IF(DW2440="D",1,0)+IF(DZ2440="D",1,0)+IF(EH2440="D",1,0)</f>
        <v/>
      </c>
      <c r="AY2440">
        <f>IF(DJ2440&lt;&gt;"",1,0)+IF(DK2440&lt;&gt;"",1,0)+IF(DM2440&lt;&gt;"",1,0)+IF(DO2440&lt;&gt;"",1,0)+IF(DP2440&lt;&gt;"",1,0)+IF(DQ2440&lt;&gt;"",1,0)+IF(DS2440&lt;&gt;"",1,0)+IF(DT2440&lt;&gt;"",1,0)+IF(DV2440&lt;&gt;"",1,0)+IF(DW2440&lt;&gt;"",1,0)+IF(DX2440&lt;&gt;"",1,0)+IF(DY2440&lt;&gt;"",1,0)+IF(DZ2440&lt;&gt;"",1,0)+IF(EB2440&lt;&gt;"",1,0)+IF(EC2440&lt;&gt;"",1,0)+IF(ED2440&lt;&gt;"",1,0)+IF(EG2440&lt;&gt;"",1,0)+IF(EH2440&lt;&gt;"",1,0)</f>
        <v/>
      </c>
      <c r="AZ2440">
        <f>IF(EH2440&lt;&gt;"",1,0)</f>
        <v/>
      </c>
      <c r="BB2440" t="inlineStr">
        <is>
          <t>WARREN-WARD 4</t>
        </is>
      </c>
      <c r="CP2440" t="inlineStr">
        <is>
          <t>X</t>
        </is>
      </c>
      <c r="DR2440" t="inlineStr">
        <is>
          <t>X</t>
        </is>
      </c>
      <c r="EF2440" t="inlineStr">
        <is>
          <t>X</t>
        </is>
      </c>
    </row>
    <row r="2441">
      <c r="A2441" t="inlineStr">
        <is>
          <t>OH0023634240</t>
        </is>
      </c>
      <c r="B2441" t="n">
        <v>78</v>
      </c>
      <c r="C2441" t="n">
        <v>415375</v>
      </c>
      <c r="D2441" t="inlineStr">
        <is>
          <t>FRANCIS</t>
        </is>
      </c>
      <c r="E2441" t="inlineStr">
        <is>
          <t>CAROL</t>
        </is>
      </c>
      <c r="F2441">
        <f>CONCATENATE(D2441," ",LEFT(H2441,4),"T=",AU2441,"D=",AV2441,"R=",AW2441,"M=",AX2441,"L=",AY2441,"B=",AZ2441)</f>
        <v/>
      </c>
      <c r="G2441" t="inlineStr">
        <is>
          <t>MARIE</t>
        </is>
      </c>
      <c r="I2441" t="inlineStr">
        <is>
          <t>1944-12-15</t>
        </is>
      </c>
      <c r="J2441" t="inlineStr">
        <is>
          <t>2016-03-01</t>
        </is>
      </c>
      <c r="K2441" t="inlineStr">
        <is>
          <t>ACTIVE</t>
        </is>
      </c>
      <c r="M2441" t="inlineStr">
        <is>
          <t>1141 WOODBINE AVE SE</t>
        </is>
      </c>
      <c r="N2441">
        <f>RIGHT(M2441,LEN(M2441)-FIND(" ",M2441))</f>
        <v/>
      </c>
      <c r="P2441" t="inlineStr">
        <is>
          <t>WARREN</t>
        </is>
      </c>
      <c r="Q2441" t="inlineStr">
        <is>
          <t>OH</t>
        </is>
      </c>
      <c r="R2441" t="n">
        <v>44484</v>
      </c>
      <c r="AD2441" t="inlineStr">
        <is>
          <t>TRUMBULL CAREER &amp; TECH CENTER</t>
        </is>
      </c>
      <c r="AE2441" t="inlineStr">
        <is>
          <t>WARREN CITY</t>
        </is>
      </c>
      <c r="AF2441" t="inlineStr">
        <is>
          <t>WARREN CITY SD</t>
        </is>
      </c>
      <c r="AH2441" t="n">
        <v>14</v>
      </c>
      <c r="AI2441" t="n">
        <v>11</v>
      </c>
      <c r="AN2441" t="inlineStr">
        <is>
          <t>WARREN</t>
        </is>
      </c>
      <c r="AO2441" t="inlineStr">
        <is>
          <t>WARREN CITY 4F</t>
        </is>
      </c>
      <c r="AP2441" t="inlineStr">
        <is>
          <t>78-P-ADN</t>
        </is>
      </c>
      <c r="AQ2441" t="n">
        <v>9</v>
      </c>
      <c r="AR2441" t="n">
        <v>64</v>
      </c>
      <c r="AS2441" t="n">
        <v>32</v>
      </c>
      <c r="AU2441">
        <f>COUNTA($BA$2441:$EH$2441)</f>
        <v/>
      </c>
      <c r="AV2441">
        <f>COUNTIF($BA$2441:$EH$2441,"D")</f>
        <v/>
      </c>
      <c r="AW2441">
        <f>COUNTIF($BA$2441:$EH$2441,"R")</f>
        <v/>
      </c>
      <c r="AX2441">
        <f>IF(BN2441="D",1,0)+IF(BO2441="D",1,0)+IF(BT2441="D",1,0)+IF(BU2441="D",1,0)+IF(BW2441="D",1,0)+IF(CC2441="D",1,0)+IF(CD2441="D",1,0)+IF(CE2441="D",1,0)+IF(CF2441="D",1,0)+IF(CL2441="D",1,0)+IF(CM2441="D",1,0)+IF(CQ2441="D",1,0)+IF(CR2441="D",1,0)+IF(CS2441="D",1,0)+IF(CW2441="D",1,0)+IF(CX2441="D",1,0)+IF(DD2441="D",1,0)+IF(DE2441="D",1,0)+IF(DJ2441="D",1,0)+IF(DK2441="D",1,0)+IF(DO2441="D",1,0)+IF(DP2441="D",1,0)+IF(DQ2441="D",1,0)+IF(DW2441="D",1,0)+IF(DZ2441="D",1,0)+IF(EH2441="D",1,0)</f>
        <v/>
      </c>
      <c r="AY2441">
        <f>IF(DJ2441&lt;&gt;"",1,0)+IF(DK2441&lt;&gt;"",1,0)+IF(DM2441&lt;&gt;"",1,0)+IF(DO2441&lt;&gt;"",1,0)+IF(DP2441&lt;&gt;"",1,0)+IF(DQ2441&lt;&gt;"",1,0)+IF(DS2441&lt;&gt;"",1,0)+IF(DT2441&lt;&gt;"",1,0)+IF(DV2441&lt;&gt;"",1,0)+IF(DW2441&lt;&gt;"",1,0)+IF(DX2441&lt;&gt;"",1,0)+IF(DY2441&lt;&gt;"",1,0)+IF(DZ2441&lt;&gt;"",1,0)+IF(EB2441&lt;&gt;"",1,0)+IF(EC2441&lt;&gt;"",1,0)+IF(ED2441&lt;&gt;"",1,0)+IF(EG2441&lt;&gt;"",1,0)+IF(EH2441&lt;&gt;"",1,0)</f>
        <v/>
      </c>
      <c r="AZ2441">
        <f>IF(EH2441&lt;&gt;"",1,0)</f>
        <v/>
      </c>
      <c r="BB2441" t="inlineStr">
        <is>
          <t>WARREN-WARD 4</t>
        </is>
      </c>
      <c r="DC2441" t="inlineStr">
        <is>
          <t>X</t>
        </is>
      </c>
      <c r="DI2441" t="inlineStr">
        <is>
          <t>X</t>
        </is>
      </c>
      <c r="DN2441" t="inlineStr">
        <is>
          <t>X</t>
        </is>
      </c>
      <c r="DU2441" t="inlineStr">
        <is>
          <t>X</t>
        </is>
      </c>
      <c r="EF2441" t="inlineStr">
        <is>
          <t>X</t>
        </is>
      </c>
    </row>
    <row r="2442">
      <c r="A2442" t="inlineStr">
        <is>
          <t>OH0026028693</t>
        </is>
      </c>
      <c r="B2442" t="n">
        <v>78</v>
      </c>
      <c r="C2442" t="n">
        <v>454625</v>
      </c>
      <c r="D2442" t="inlineStr">
        <is>
          <t>WHITE</t>
        </is>
      </c>
      <c r="E2442" t="inlineStr">
        <is>
          <t>CLARENCE</t>
        </is>
      </c>
      <c r="F2442">
        <f>CONCATENATE(D2442," ",LEFT(H2442,4),"T=",AU2442,"D=",AV2442,"R=",AW2442,"M=",AX2442,"L=",AY2442,"B=",AZ2442)</f>
        <v/>
      </c>
      <c r="G2442" t="inlineStr">
        <is>
          <t>MICHAEL</t>
        </is>
      </c>
      <c r="I2442" t="inlineStr">
        <is>
          <t>1990-07-25</t>
        </is>
      </c>
      <c r="J2442" t="inlineStr">
        <is>
          <t>2020-10-05</t>
        </is>
      </c>
      <c r="K2442" t="inlineStr">
        <is>
          <t>CONFIRMATION</t>
        </is>
      </c>
      <c r="M2442" t="inlineStr">
        <is>
          <t>1151 WOODBINE AVE SE</t>
        </is>
      </c>
      <c r="N2442">
        <f>RIGHT(M2442,LEN(M2442)-FIND(" ",M2442))</f>
        <v/>
      </c>
      <c r="P2442" t="inlineStr">
        <is>
          <t>WARREN</t>
        </is>
      </c>
      <c r="Q2442" t="inlineStr">
        <is>
          <t>OH</t>
        </is>
      </c>
      <c r="R2442" t="n">
        <v>44484</v>
      </c>
      <c r="AD2442" t="inlineStr">
        <is>
          <t>TRUMBULL CAREER &amp; TECH CENTER</t>
        </is>
      </c>
      <c r="AE2442" t="inlineStr">
        <is>
          <t>WARREN CITY</t>
        </is>
      </c>
      <c r="AF2442" t="inlineStr">
        <is>
          <t>WARREN CITY SD</t>
        </is>
      </c>
      <c r="AH2442" t="n">
        <v>14</v>
      </c>
      <c r="AI2442" t="n">
        <v>11</v>
      </c>
      <c r="AN2442" t="inlineStr">
        <is>
          <t>WARREN</t>
        </is>
      </c>
      <c r="AO2442" t="inlineStr">
        <is>
          <t>WARREN CITY 4F</t>
        </is>
      </c>
      <c r="AP2442" t="inlineStr">
        <is>
          <t>78-P-ADN</t>
        </is>
      </c>
      <c r="AQ2442" t="n">
        <v>9</v>
      </c>
      <c r="AR2442" t="n">
        <v>64</v>
      </c>
      <c r="AS2442" t="n">
        <v>32</v>
      </c>
      <c r="AU2442">
        <f>COUNTA($BA$2442:$EH$2442)</f>
        <v/>
      </c>
      <c r="AV2442">
        <f>COUNTIF($BA$2442:$EH$2442,"D")</f>
        <v/>
      </c>
      <c r="AW2442">
        <f>COUNTIF($BA$2442:$EH$2442,"R")</f>
        <v/>
      </c>
      <c r="AX2442">
        <f>IF(BN2442="D",1,0)+IF(BO2442="D",1,0)+IF(BT2442="D",1,0)+IF(BU2442="D",1,0)+IF(BW2442="D",1,0)+IF(CC2442="D",1,0)+IF(CD2442="D",1,0)+IF(CE2442="D",1,0)+IF(CF2442="D",1,0)+IF(CL2442="D",1,0)+IF(CM2442="D",1,0)+IF(CQ2442="D",1,0)+IF(CR2442="D",1,0)+IF(CS2442="D",1,0)+IF(CW2442="D",1,0)+IF(CX2442="D",1,0)+IF(DD2442="D",1,0)+IF(DE2442="D",1,0)+IF(DJ2442="D",1,0)+IF(DK2442="D",1,0)+IF(DO2442="D",1,0)+IF(DP2442="D",1,0)+IF(DQ2442="D",1,0)+IF(DW2442="D",1,0)+IF(DZ2442="D",1,0)+IF(EH2442="D",1,0)</f>
        <v/>
      </c>
      <c r="AY2442">
        <f>IF(DJ2442&lt;&gt;"",1,0)+IF(DK2442&lt;&gt;"",1,0)+IF(DM2442&lt;&gt;"",1,0)+IF(DO2442&lt;&gt;"",1,0)+IF(DP2442&lt;&gt;"",1,0)+IF(DQ2442&lt;&gt;"",1,0)+IF(DS2442&lt;&gt;"",1,0)+IF(DT2442&lt;&gt;"",1,0)+IF(DV2442&lt;&gt;"",1,0)+IF(DW2442&lt;&gt;"",1,0)+IF(DX2442&lt;&gt;"",1,0)+IF(DY2442&lt;&gt;"",1,0)+IF(DZ2442&lt;&gt;"",1,0)+IF(EB2442&lt;&gt;"",1,0)+IF(EC2442&lt;&gt;"",1,0)+IF(ED2442&lt;&gt;"",1,0)+IF(EG2442&lt;&gt;"",1,0)+IF(EH2442&lt;&gt;"",1,0)</f>
        <v/>
      </c>
      <c r="AZ2442">
        <f>IF(EH2442&lt;&gt;"",1,0)</f>
        <v/>
      </c>
      <c r="BB2442" t="inlineStr">
        <is>
          <t>WARREN-WARD 4</t>
        </is>
      </c>
      <c r="CA2442" t="inlineStr">
        <is>
          <t>X</t>
        </is>
      </c>
      <c r="CP2442" t="inlineStr">
        <is>
          <t>X</t>
        </is>
      </c>
      <c r="DC2442" t="inlineStr">
        <is>
          <t>X</t>
        </is>
      </c>
      <c r="DN2442" t="inlineStr">
        <is>
          <t>X</t>
        </is>
      </c>
    </row>
    <row r="2443">
      <c r="A2443" t="inlineStr">
        <is>
          <t>OH0022777076</t>
        </is>
      </c>
      <c r="B2443" t="n">
        <v>78</v>
      </c>
      <c r="C2443" t="n">
        <v>402034</v>
      </c>
      <c r="D2443" t="inlineStr">
        <is>
          <t>LALLI</t>
        </is>
      </c>
      <c r="E2443" t="inlineStr">
        <is>
          <t>ASHLEY</t>
        </is>
      </c>
      <c r="F2443">
        <f>CONCATENATE(D2443," ",LEFT(H2443,4),"T=",AU2443,"D=",AV2443,"R=",AW2443,"M=",AX2443,"L=",AY2443,"B=",AZ2443)</f>
        <v/>
      </c>
      <c r="G2443" t="inlineStr">
        <is>
          <t>M</t>
        </is>
      </c>
      <c r="I2443" t="inlineStr">
        <is>
          <t>1996-04-19</t>
        </is>
      </c>
      <c r="J2443" t="inlineStr">
        <is>
          <t>2020-06-08</t>
        </is>
      </c>
      <c r="K2443" t="inlineStr">
        <is>
          <t>CONFIRMATION</t>
        </is>
      </c>
      <c r="M2443" t="inlineStr">
        <is>
          <t>1364 ADELAIDE AVE SE</t>
        </is>
      </c>
      <c r="N2443">
        <f>RIGHT(M2443,LEN(M2443)-FIND(" ",M2443))</f>
        <v/>
      </c>
      <c r="P2443" t="inlineStr">
        <is>
          <t>WARREN</t>
        </is>
      </c>
      <c r="Q2443" t="inlineStr">
        <is>
          <t>OH</t>
        </is>
      </c>
      <c r="R2443" t="n">
        <v>44484</v>
      </c>
      <c r="AD2443" t="inlineStr">
        <is>
          <t>TRUMBULL CAREER &amp; TECH CENTER</t>
        </is>
      </c>
      <c r="AE2443" t="inlineStr">
        <is>
          <t>WARREN CITY</t>
        </is>
      </c>
      <c r="AF2443" t="inlineStr">
        <is>
          <t>WARREN CITY SD</t>
        </is>
      </c>
      <c r="AH2443" t="n">
        <v>14</v>
      </c>
      <c r="AI2443" t="n">
        <v>11</v>
      </c>
      <c r="AN2443" t="inlineStr">
        <is>
          <t>WARREN</t>
        </is>
      </c>
      <c r="AO2443" t="inlineStr">
        <is>
          <t>WARREN CITY 4F</t>
        </is>
      </c>
      <c r="AP2443" t="inlineStr">
        <is>
          <t>78-P-ADN</t>
        </is>
      </c>
      <c r="AQ2443" t="n">
        <v>9</v>
      </c>
      <c r="AR2443" t="n">
        <v>64</v>
      </c>
      <c r="AS2443" t="n">
        <v>32</v>
      </c>
      <c r="AU2443">
        <f>COUNTA($BA$2443:$EH$2443)</f>
        <v/>
      </c>
      <c r="AV2443">
        <f>COUNTIF($BA$2443:$EH$2443,"D")</f>
        <v/>
      </c>
      <c r="AW2443">
        <f>COUNTIF($BA$2443:$EH$2443,"R")</f>
        <v/>
      </c>
      <c r="AX2443">
        <f>IF(BN2443="D",1,0)+IF(BO2443="D",1,0)+IF(BT2443="D",1,0)+IF(BU2443="D",1,0)+IF(BW2443="D",1,0)+IF(CC2443="D",1,0)+IF(CD2443="D",1,0)+IF(CE2443="D",1,0)+IF(CF2443="D",1,0)+IF(CL2443="D",1,0)+IF(CM2443="D",1,0)+IF(CQ2443="D",1,0)+IF(CR2443="D",1,0)+IF(CS2443="D",1,0)+IF(CW2443="D",1,0)+IF(CX2443="D",1,0)+IF(DD2443="D",1,0)+IF(DE2443="D",1,0)+IF(DJ2443="D",1,0)+IF(DK2443="D",1,0)+IF(DO2443="D",1,0)+IF(DP2443="D",1,0)+IF(DQ2443="D",1,0)+IF(DW2443="D",1,0)+IF(DZ2443="D",1,0)+IF(EH2443="D",1,0)</f>
        <v/>
      </c>
      <c r="AY2443">
        <f>IF(DJ2443&lt;&gt;"",1,0)+IF(DK2443&lt;&gt;"",1,0)+IF(DM2443&lt;&gt;"",1,0)+IF(DO2443&lt;&gt;"",1,0)+IF(DP2443&lt;&gt;"",1,0)+IF(DQ2443&lt;&gt;"",1,0)+IF(DS2443&lt;&gt;"",1,0)+IF(DT2443&lt;&gt;"",1,0)+IF(DV2443&lt;&gt;"",1,0)+IF(DW2443&lt;&gt;"",1,0)+IF(DX2443&lt;&gt;"",1,0)+IF(DY2443&lt;&gt;"",1,0)+IF(DZ2443&lt;&gt;"",1,0)+IF(EB2443&lt;&gt;"",1,0)+IF(EC2443&lt;&gt;"",1,0)+IF(ED2443&lt;&gt;"",1,0)+IF(EG2443&lt;&gt;"",1,0)+IF(EH2443&lt;&gt;"",1,0)</f>
        <v/>
      </c>
      <c r="AZ2443">
        <f>IF(EH2443&lt;&gt;"",1,0)</f>
        <v/>
      </c>
      <c r="BB2443" t="inlineStr">
        <is>
          <t>WARREN-WARD 4</t>
        </is>
      </c>
    </row>
    <row r="2444">
      <c r="A2444" t="inlineStr">
        <is>
          <t>OH0015693149</t>
        </is>
      </c>
      <c r="B2444" t="n">
        <v>78</v>
      </c>
      <c r="C2444" t="n">
        <v>142804</v>
      </c>
      <c r="D2444" t="inlineStr">
        <is>
          <t>BAIRD</t>
        </is>
      </c>
      <c r="E2444" t="inlineStr">
        <is>
          <t>DUANE</t>
        </is>
      </c>
      <c r="F2444">
        <f>CONCATENATE(D2444," ",LEFT(H2444,4),"T=",AU2444,"D=",AV2444,"R=",AW2444,"M=",AX2444,"L=",AY2444,"B=",AZ2444)</f>
        <v/>
      </c>
      <c r="I2444" t="inlineStr">
        <is>
          <t>1961-05-16</t>
        </is>
      </c>
      <c r="J2444" t="inlineStr">
        <is>
          <t>1982-11-02</t>
        </is>
      </c>
      <c r="K2444" t="inlineStr">
        <is>
          <t>ACTIVE</t>
        </is>
      </c>
      <c r="L2444" t="inlineStr">
        <is>
          <t>R</t>
        </is>
      </c>
      <c r="M2444" t="inlineStr">
        <is>
          <t>1453 NILES RD SE</t>
        </is>
      </c>
      <c r="N2444">
        <f>RIGHT(M2444,LEN(M2444)-FIND(" ",M2444))</f>
        <v/>
      </c>
      <c r="P2444" t="inlineStr">
        <is>
          <t>WARREN</t>
        </is>
      </c>
      <c r="Q2444" t="inlineStr">
        <is>
          <t>OH</t>
        </is>
      </c>
      <c r="R2444" t="n">
        <v>44484</v>
      </c>
      <c r="AD2444" t="inlineStr">
        <is>
          <t>TRUMBULL CAREER &amp; TECH CENTER</t>
        </is>
      </c>
      <c r="AE2444" t="inlineStr">
        <is>
          <t>WARREN CITY</t>
        </is>
      </c>
      <c r="AF2444" t="inlineStr">
        <is>
          <t>WARREN CITY SD</t>
        </is>
      </c>
      <c r="AH2444" t="n">
        <v>14</v>
      </c>
      <c r="AI2444" t="n">
        <v>11</v>
      </c>
      <c r="AN2444" t="inlineStr">
        <is>
          <t>WARREN</t>
        </is>
      </c>
      <c r="AO2444" t="inlineStr">
        <is>
          <t>WARREN CITY 4F</t>
        </is>
      </c>
      <c r="AP2444" t="inlineStr">
        <is>
          <t>78-P-ADN</t>
        </is>
      </c>
      <c r="AQ2444" t="n">
        <v>9</v>
      </c>
      <c r="AR2444" t="n">
        <v>64</v>
      </c>
      <c r="AS2444" t="n">
        <v>32</v>
      </c>
      <c r="AU2444">
        <f>COUNTA($BA$2444:$EH$2444)</f>
        <v/>
      </c>
      <c r="AV2444">
        <f>COUNTIF($BA$2444:$EH$2444,"D")</f>
        <v/>
      </c>
      <c r="AW2444">
        <f>COUNTIF($BA$2444:$EH$2444,"R")</f>
        <v/>
      </c>
      <c r="AX2444">
        <f>IF(BN2444="D",1,0)+IF(BO2444="D",1,0)+IF(BT2444="D",1,0)+IF(BU2444="D",1,0)+IF(BW2444="D",1,0)+IF(CC2444="D",1,0)+IF(CD2444="D",1,0)+IF(CE2444="D",1,0)+IF(CF2444="D",1,0)+IF(CL2444="D",1,0)+IF(CM2444="D",1,0)+IF(CQ2444="D",1,0)+IF(CR2444="D",1,0)+IF(CS2444="D",1,0)+IF(CW2444="D",1,0)+IF(CX2444="D",1,0)+IF(DD2444="D",1,0)+IF(DE2444="D",1,0)+IF(DJ2444="D",1,0)+IF(DK2444="D",1,0)+IF(DO2444="D",1,0)+IF(DP2444="D",1,0)+IF(DQ2444="D",1,0)+IF(DW2444="D",1,0)+IF(DZ2444="D",1,0)+IF(EH2444="D",1,0)</f>
        <v/>
      </c>
      <c r="AY2444">
        <f>IF(DJ2444&lt;&gt;"",1,0)+IF(DK2444&lt;&gt;"",1,0)+IF(DM2444&lt;&gt;"",1,0)+IF(DO2444&lt;&gt;"",1,0)+IF(DP2444&lt;&gt;"",1,0)+IF(DQ2444&lt;&gt;"",1,0)+IF(DS2444&lt;&gt;"",1,0)+IF(DT2444&lt;&gt;"",1,0)+IF(DV2444&lt;&gt;"",1,0)+IF(DW2444&lt;&gt;"",1,0)+IF(DX2444&lt;&gt;"",1,0)+IF(DY2444&lt;&gt;"",1,0)+IF(DZ2444&lt;&gt;"",1,0)+IF(EB2444&lt;&gt;"",1,0)+IF(EC2444&lt;&gt;"",1,0)+IF(ED2444&lt;&gt;"",1,0)+IF(EG2444&lt;&gt;"",1,0)+IF(EH2444&lt;&gt;"",1,0)</f>
        <v/>
      </c>
      <c r="AZ2444">
        <f>IF(EH2444&lt;&gt;"",1,0)</f>
        <v/>
      </c>
      <c r="BB2444" t="inlineStr">
        <is>
          <t>WARREN-WARD 4</t>
        </is>
      </c>
      <c r="BC2444" t="inlineStr">
        <is>
          <t>X</t>
        </is>
      </c>
      <c r="BD2444" t="inlineStr">
        <is>
          <t>X</t>
        </is>
      </c>
      <c r="BG2444" t="inlineStr">
        <is>
          <t>X</t>
        </is>
      </c>
      <c r="BH2444" t="inlineStr">
        <is>
          <t>X</t>
        </is>
      </c>
      <c r="BJ2444" t="inlineStr">
        <is>
          <t>X</t>
        </is>
      </c>
      <c r="BK2444" t="inlineStr">
        <is>
          <t>X</t>
        </is>
      </c>
      <c r="BL2444" t="inlineStr">
        <is>
          <t>X</t>
        </is>
      </c>
      <c r="BP2444" t="inlineStr">
        <is>
          <t>X</t>
        </is>
      </c>
      <c r="BR2444" t="inlineStr">
        <is>
          <t>X</t>
        </is>
      </c>
      <c r="BS2444" t="inlineStr">
        <is>
          <t>X</t>
        </is>
      </c>
      <c r="BV2444" t="inlineStr">
        <is>
          <t>X</t>
        </is>
      </c>
      <c r="BY2444" t="inlineStr">
        <is>
          <t>R</t>
        </is>
      </c>
      <c r="CA2444" t="inlineStr">
        <is>
          <t>X</t>
        </is>
      </c>
      <c r="CG2444" t="inlineStr">
        <is>
          <t>X</t>
        </is>
      </c>
      <c r="CH2444" t="inlineStr">
        <is>
          <t>R</t>
        </is>
      </c>
      <c r="CK2444" t="inlineStr">
        <is>
          <t>X</t>
        </is>
      </c>
      <c r="CO2444" t="inlineStr">
        <is>
          <t>R</t>
        </is>
      </c>
      <c r="CP2444" t="inlineStr">
        <is>
          <t>X</t>
        </is>
      </c>
      <c r="CT2444" t="inlineStr">
        <is>
          <t>X</t>
        </is>
      </c>
      <c r="CV2444" t="inlineStr">
        <is>
          <t>X</t>
        </is>
      </c>
      <c r="CW2444" t="inlineStr">
        <is>
          <t>D</t>
        </is>
      </c>
      <c r="CY2444" t="inlineStr">
        <is>
          <t>X</t>
        </is>
      </c>
      <c r="CZ2444" t="inlineStr">
        <is>
          <t>R</t>
        </is>
      </c>
      <c r="DC2444" t="inlineStr">
        <is>
          <t>X</t>
        </is>
      </c>
      <c r="DF2444" t="inlineStr">
        <is>
          <t>X</t>
        </is>
      </c>
      <c r="DG2444" t="inlineStr">
        <is>
          <t>R</t>
        </is>
      </c>
      <c r="DI2444" t="inlineStr">
        <is>
          <t>X</t>
        </is>
      </c>
      <c r="DJ2444" t="inlineStr">
        <is>
          <t>D</t>
        </is>
      </c>
      <c r="DL2444" t="inlineStr">
        <is>
          <t>X</t>
        </is>
      </c>
      <c r="DN2444" t="inlineStr">
        <is>
          <t>X</t>
        </is>
      </c>
      <c r="DR2444" t="inlineStr">
        <is>
          <t>X</t>
        </is>
      </c>
      <c r="DS2444" t="inlineStr">
        <is>
          <t>R</t>
        </is>
      </c>
      <c r="DT2444" t="inlineStr">
        <is>
          <t>R</t>
        </is>
      </c>
      <c r="DU2444" t="inlineStr">
        <is>
          <t>X</t>
        </is>
      </c>
      <c r="DW2444" t="inlineStr">
        <is>
          <t>X</t>
        </is>
      </c>
      <c r="DX2444" t="inlineStr">
        <is>
          <t>X</t>
        </is>
      </c>
      <c r="EA2444" t="inlineStr">
        <is>
          <t>X</t>
        </is>
      </c>
      <c r="ED2444" t="inlineStr">
        <is>
          <t>R</t>
        </is>
      </c>
      <c r="EF2444" t="inlineStr">
        <is>
          <t>X</t>
        </is>
      </c>
      <c r="EH2444" t="inlineStr">
        <is>
          <t>X</t>
        </is>
      </c>
    </row>
    <row r="2445">
      <c r="A2445" t="inlineStr">
        <is>
          <t>OH0015699846</t>
        </is>
      </c>
      <c r="B2445" t="n">
        <v>78</v>
      </c>
      <c r="C2445" t="n">
        <v>158152</v>
      </c>
      <c r="D2445" t="inlineStr">
        <is>
          <t>JONES</t>
        </is>
      </c>
      <c r="E2445" t="inlineStr">
        <is>
          <t>STEVEN</t>
        </is>
      </c>
      <c r="F2445">
        <f>CONCATENATE(D2445," ",LEFT(H2445,4),"T=",AU2445,"D=",AV2445,"R=",AW2445,"M=",AX2445,"L=",AY2445,"B=",AZ2445)</f>
        <v/>
      </c>
      <c r="G2445" t="inlineStr">
        <is>
          <t>C</t>
        </is>
      </c>
      <c r="I2445" t="inlineStr">
        <is>
          <t>1953-08-14</t>
        </is>
      </c>
      <c r="J2445" t="inlineStr">
        <is>
          <t>1983-10-03</t>
        </is>
      </c>
      <c r="K2445" t="inlineStr">
        <is>
          <t>ACTIVE</t>
        </is>
      </c>
      <c r="M2445" t="inlineStr">
        <is>
          <t>1151 NILES RD SE</t>
        </is>
      </c>
      <c r="N2445">
        <f>RIGHT(M2445,LEN(M2445)-FIND(" ",M2445))</f>
        <v/>
      </c>
      <c r="P2445" t="inlineStr">
        <is>
          <t>WARREN</t>
        </is>
      </c>
      <c r="Q2445" t="inlineStr">
        <is>
          <t>OH</t>
        </is>
      </c>
      <c r="R2445" t="n">
        <v>44484</v>
      </c>
      <c r="AD2445" t="inlineStr">
        <is>
          <t>TRUMBULL CAREER &amp; TECH CENTER</t>
        </is>
      </c>
      <c r="AE2445" t="inlineStr">
        <is>
          <t>WARREN CITY</t>
        </is>
      </c>
      <c r="AF2445" t="inlineStr">
        <is>
          <t>WARREN CITY SD</t>
        </is>
      </c>
      <c r="AH2445" t="n">
        <v>14</v>
      </c>
      <c r="AI2445" t="n">
        <v>11</v>
      </c>
      <c r="AN2445" t="inlineStr">
        <is>
          <t>WARREN</t>
        </is>
      </c>
      <c r="AO2445" t="inlineStr">
        <is>
          <t>WARREN CITY 4F</t>
        </is>
      </c>
      <c r="AP2445" t="inlineStr">
        <is>
          <t>78-P-ADN</t>
        </is>
      </c>
      <c r="AQ2445" t="n">
        <v>9</v>
      </c>
      <c r="AR2445" t="n">
        <v>64</v>
      </c>
      <c r="AS2445" t="n">
        <v>32</v>
      </c>
      <c r="AU2445">
        <f>COUNTA($BA$2445:$EH$2445)</f>
        <v/>
      </c>
      <c r="AV2445">
        <f>COUNTIF($BA$2445:$EH$2445,"D")</f>
        <v/>
      </c>
      <c r="AW2445">
        <f>COUNTIF($BA$2445:$EH$2445,"R")</f>
        <v/>
      </c>
      <c r="AX2445">
        <f>IF(BN2445="D",1,0)+IF(BO2445="D",1,0)+IF(BT2445="D",1,0)+IF(BU2445="D",1,0)+IF(BW2445="D",1,0)+IF(CC2445="D",1,0)+IF(CD2445="D",1,0)+IF(CE2445="D",1,0)+IF(CF2445="D",1,0)+IF(CL2445="D",1,0)+IF(CM2445="D",1,0)+IF(CQ2445="D",1,0)+IF(CR2445="D",1,0)+IF(CS2445="D",1,0)+IF(CW2445="D",1,0)+IF(CX2445="D",1,0)+IF(DD2445="D",1,0)+IF(DE2445="D",1,0)+IF(DJ2445="D",1,0)+IF(DK2445="D",1,0)+IF(DO2445="D",1,0)+IF(DP2445="D",1,0)+IF(DQ2445="D",1,0)+IF(DW2445="D",1,0)+IF(DZ2445="D",1,0)+IF(EH2445="D",1,0)</f>
        <v/>
      </c>
      <c r="AY2445">
        <f>IF(DJ2445&lt;&gt;"",1,0)+IF(DK2445&lt;&gt;"",1,0)+IF(DM2445&lt;&gt;"",1,0)+IF(DO2445&lt;&gt;"",1,0)+IF(DP2445&lt;&gt;"",1,0)+IF(DQ2445&lt;&gt;"",1,0)+IF(DS2445&lt;&gt;"",1,0)+IF(DT2445&lt;&gt;"",1,0)+IF(DV2445&lt;&gt;"",1,0)+IF(DW2445&lt;&gt;"",1,0)+IF(DX2445&lt;&gt;"",1,0)+IF(DY2445&lt;&gt;"",1,0)+IF(DZ2445&lt;&gt;"",1,0)+IF(EB2445&lt;&gt;"",1,0)+IF(EC2445&lt;&gt;"",1,0)+IF(ED2445&lt;&gt;"",1,0)+IF(EG2445&lt;&gt;"",1,0)+IF(EH2445&lt;&gt;"",1,0)</f>
        <v/>
      </c>
      <c r="AZ2445">
        <f>IF(EH2445&lt;&gt;"",1,0)</f>
        <v/>
      </c>
      <c r="BB2445" t="inlineStr">
        <is>
          <t>WARREN-WARD 4</t>
        </is>
      </c>
      <c r="BC2445" t="inlineStr">
        <is>
          <t>X</t>
        </is>
      </c>
      <c r="BD2445" t="inlineStr">
        <is>
          <t>X</t>
        </is>
      </c>
      <c r="BE2445" t="inlineStr">
        <is>
          <t>X</t>
        </is>
      </c>
      <c r="BH2445" t="inlineStr">
        <is>
          <t>X</t>
        </is>
      </c>
      <c r="BK2445" t="inlineStr">
        <is>
          <t>X</t>
        </is>
      </c>
      <c r="BL2445" t="inlineStr">
        <is>
          <t>X</t>
        </is>
      </c>
      <c r="BS2445" t="inlineStr">
        <is>
          <t>X</t>
        </is>
      </c>
      <c r="BY2445" t="inlineStr">
        <is>
          <t>D</t>
        </is>
      </c>
      <c r="CA2445" t="inlineStr">
        <is>
          <t>X</t>
        </is>
      </c>
      <c r="CG2445" t="inlineStr">
        <is>
          <t>X</t>
        </is>
      </c>
      <c r="CK2445" t="inlineStr">
        <is>
          <t>X</t>
        </is>
      </c>
      <c r="CN2445" t="inlineStr">
        <is>
          <t>X</t>
        </is>
      </c>
      <c r="CP2445" t="inlineStr">
        <is>
          <t>X</t>
        </is>
      </c>
      <c r="CV2445" t="inlineStr">
        <is>
          <t>X</t>
        </is>
      </c>
      <c r="DC2445" t="inlineStr">
        <is>
          <t>X</t>
        </is>
      </c>
      <c r="DI2445" t="inlineStr">
        <is>
          <t>X</t>
        </is>
      </c>
      <c r="DN2445" t="inlineStr">
        <is>
          <t>X</t>
        </is>
      </c>
      <c r="DU2445" t="inlineStr">
        <is>
          <t>X</t>
        </is>
      </c>
      <c r="EF2445" t="inlineStr">
        <is>
          <t>X</t>
        </is>
      </c>
    </row>
    <row r="2446">
      <c r="A2446" t="inlineStr">
        <is>
          <t>OH0015808073</t>
        </is>
      </c>
      <c r="B2446" t="n">
        <v>78</v>
      </c>
      <c r="C2446" t="n">
        <v>257851</v>
      </c>
      <c r="D2446" t="inlineStr">
        <is>
          <t>KIMBLE</t>
        </is>
      </c>
      <c r="E2446" t="inlineStr">
        <is>
          <t>JACQUELYN</t>
        </is>
      </c>
      <c r="F2446">
        <f>CONCATENATE(D2446," ",LEFT(H2446,4),"T=",AU2446,"D=",AV2446,"R=",AW2446,"M=",AX2446,"L=",AY2446,"B=",AZ2446)</f>
        <v/>
      </c>
      <c r="G2446" t="inlineStr">
        <is>
          <t>D</t>
        </is>
      </c>
      <c r="I2446" t="inlineStr">
        <is>
          <t>1962-11-19</t>
        </is>
      </c>
      <c r="J2446" t="inlineStr">
        <is>
          <t>2021-09-23</t>
        </is>
      </c>
      <c r="K2446" t="inlineStr">
        <is>
          <t>ACTIVE</t>
        </is>
      </c>
      <c r="M2446" t="inlineStr">
        <is>
          <t>1632 BURTON ST SE</t>
        </is>
      </c>
      <c r="N2446">
        <f>RIGHT(M2446,LEN(M2446)-FIND(" ",M2446))</f>
        <v/>
      </c>
      <c r="P2446" t="inlineStr">
        <is>
          <t>WARREN</t>
        </is>
      </c>
      <c r="Q2446" t="inlineStr">
        <is>
          <t>OH</t>
        </is>
      </c>
      <c r="R2446" t="n">
        <v>44484</v>
      </c>
      <c r="AD2446" t="inlineStr">
        <is>
          <t>TRUMBULL CAREER &amp; TECH CENTER</t>
        </is>
      </c>
      <c r="AE2446" t="inlineStr">
        <is>
          <t>WARREN CITY</t>
        </is>
      </c>
      <c r="AF2446" t="inlineStr">
        <is>
          <t>WARREN CITY SD</t>
        </is>
      </c>
      <c r="AH2446" t="n">
        <v>14</v>
      </c>
      <c r="AI2446" t="n">
        <v>11</v>
      </c>
      <c r="AN2446" t="inlineStr">
        <is>
          <t>WARREN</t>
        </is>
      </c>
      <c r="AO2446" t="inlineStr">
        <is>
          <t>WARREN CITY 4F</t>
        </is>
      </c>
      <c r="AP2446" t="inlineStr">
        <is>
          <t>78-P-ADN</t>
        </is>
      </c>
      <c r="AQ2446" t="n">
        <v>9</v>
      </c>
      <c r="AR2446" t="n">
        <v>64</v>
      </c>
      <c r="AS2446" t="n">
        <v>32</v>
      </c>
      <c r="AU2446">
        <f>COUNTA($BA$2446:$EH$2446)</f>
        <v/>
      </c>
      <c r="AV2446">
        <f>COUNTIF($BA$2446:$EH$2446,"D")</f>
        <v/>
      </c>
      <c r="AW2446">
        <f>COUNTIF($BA$2446:$EH$2446,"R")</f>
        <v/>
      </c>
      <c r="AX2446">
        <f>IF(BN2446="D",1,0)+IF(BO2446="D",1,0)+IF(BT2446="D",1,0)+IF(BU2446="D",1,0)+IF(BW2446="D",1,0)+IF(CC2446="D",1,0)+IF(CD2446="D",1,0)+IF(CE2446="D",1,0)+IF(CF2446="D",1,0)+IF(CL2446="D",1,0)+IF(CM2446="D",1,0)+IF(CQ2446="D",1,0)+IF(CR2446="D",1,0)+IF(CS2446="D",1,0)+IF(CW2446="D",1,0)+IF(CX2446="D",1,0)+IF(DD2446="D",1,0)+IF(DE2446="D",1,0)+IF(DJ2446="D",1,0)+IF(DK2446="D",1,0)+IF(DO2446="D",1,0)+IF(DP2446="D",1,0)+IF(DQ2446="D",1,0)+IF(DW2446="D",1,0)+IF(DZ2446="D",1,0)+IF(EH2446="D",1,0)</f>
        <v/>
      </c>
      <c r="AY2446">
        <f>IF(DJ2446&lt;&gt;"",1,0)+IF(DK2446&lt;&gt;"",1,0)+IF(DM2446&lt;&gt;"",1,0)+IF(DO2446&lt;&gt;"",1,0)+IF(DP2446&lt;&gt;"",1,0)+IF(DQ2446&lt;&gt;"",1,0)+IF(DS2446&lt;&gt;"",1,0)+IF(DT2446&lt;&gt;"",1,0)+IF(DV2446&lt;&gt;"",1,0)+IF(DW2446&lt;&gt;"",1,0)+IF(DX2446&lt;&gt;"",1,0)+IF(DY2446&lt;&gt;"",1,0)+IF(DZ2446&lt;&gt;"",1,0)+IF(EB2446&lt;&gt;"",1,0)+IF(EC2446&lt;&gt;"",1,0)+IF(ED2446&lt;&gt;"",1,0)+IF(EG2446&lt;&gt;"",1,0)+IF(EH2446&lt;&gt;"",1,0)</f>
        <v/>
      </c>
      <c r="AZ2446">
        <f>IF(EH2446&lt;&gt;"",1,0)</f>
        <v/>
      </c>
      <c r="BB2446" t="inlineStr">
        <is>
          <t>WARREN-WARD 4</t>
        </is>
      </c>
      <c r="CA2446" t="inlineStr">
        <is>
          <t>X</t>
        </is>
      </c>
      <c r="CK2446" t="inlineStr">
        <is>
          <t>X</t>
        </is>
      </c>
      <c r="CP2446" t="inlineStr">
        <is>
          <t>X</t>
        </is>
      </c>
      <c r="CV2446" t="inlineStr">
        <is>
          <t>X</t>
        </is>
      </c>
      <c r="DC2446" t="inlineStr">
        <is>
          <t>X</t>
        </is>
      </c>
      <c r="DN2446" t="inlineStr">
        <is>
          <t>X</t>
        </is>
      </c>
      <c r="DU2446" t="inlineStr">
        <is>
          <t>X</t>
        </is>
      </c>
      <c r="EF2446" t="inlineStr">
        <is>
          <t>X</t>
        </is>
      </c>
    </row>
    <row r="2447">
      <c r="A2447" t="inlineStr">
        <is>
          <t>OH0023187177</t>
        </is>
      </c>
      <c r="B2447" t="n">
        <v>78</v>
      </c>
      <c r="C2447" t="n">
        <v>408036</v>
      </c>
      <c r="D2447" t="inlineStr">
        <is>
          <t>FREEMAN</t>
        </is>
      </c>
      <c r="E2447" t="inlineStr">
        <is>
          <t>JARRELL</t>
        </is>
      </c>
      <c r="F2447">
        <f>CONCATENATE(D2447," ",LEFT(H2447,4),"T=",AU2447,"D=",AV2447,"R=",AW2447,"M=",AX2447,"L=",AY2447,"B=",AZ2447)</f>
        <v/>
      </c>
      <c r="G2447" t="inlineStr">
        <is>
          <t>D</t>
        </is>
      </c>
      <c r="I2447" t="inlineStr">
        <is>
          <t>1987-06-26</t>
        </is>
      </c>
      <c r="J2447" t="inlineStr">
        <is>
          <t>2019-07-04</t>
        </is>
      </c>
      <c r="K2447" t="inlineStr">
        <is>
          <t>CONFIRMATION</t>
        </is>
      </c>
      <c r="M2447" t="inlineStr">
        <is>
          <t>2194 BENTON ST SE</t>
        </is>
      </c>
      <c r="N2447">
        <f>RIGHT(M2447,LEN(M2447)-FIND(" ",M2447))</f>
        <v/>
      </c>
      <c r="P2447" t="inlineStr">
        <is>
          <t>WARREN</t>
        </is>
      </c>
      <c r="Q2447" t="inlineStr">
        <is>
          <t>OH</t>
        </is>
      </c>
      <c r="R2447" t="n">
        <v>44484</v>
      </c>
      <c r="AD2447" t="inlineStr">
        <is>
          <t>TRUMBULL CAREER &amp; TECH CENTER</t>
        </is>
      </c>
      <c r="AE2447" t="inlineStr">
        <is>
          <t>WARREN CITY</t>
        </is>
      </c>
      <c r="AF2447" t="inlineStr">
        <is>
          <t>WARREN CITY SD</t>
        </is>
      </c>
      <c r="AH2447" t="n">
        <v>14</v>
      </c>
      <c r="AI2447" t="n">
        <v>11</v>
      </c>
      <c r="AN2447" t="inlineStr">
        <is>
          <t>WARREN</t>
        </is>
      </c>
      <c r="AO2447" t="inlineStr">
        <is>
          <t>WARREN CITY 4F</t>
        </is>
      </c>
      <c r="AP2447" t="inlineStr">
        <is>
          <t>78-P-ADN</t>
        </is>
      </c>
      <c r="AQ2447" t="n">
        <v>9</v>
      </c>
      <c r="AR2447" t="n">
        <v>64</v>
      </c>
      <c r="AS2447" t="n">
        <v>32</v>
      </c>
      <c r="AU2447">
        <f>COUNTA($BA$2447:$EH$2447)</f>
        <v/>
      </c>
      <c r="AV2447">
        <f>COUNTIF($BA$2447:$EH$2447,"D")</f>
        <v/>
      </c>
      <c r="AW2447">
        <f>COUNTIF($BA$2447:$EH$2447,"R")</f>
        <v/>
      </c>
      <c r="AX2447">
        <f>IF(BN2447="D",1,0)+IF(BO2447="D",1,0)+IF(BT2447="D",1,0)+IF(BU2447="D",1,0)+IF(BW2447="D",1,0)+IF(CC2447="D",1,0)+IF(CD2447="D",1,0)+IF(CE2447="D",1,0)+IF(CF2447="D",1,0)+IF(CL2447="D",1,0)+IF(CM2447="D",1,0)+IF(CQ2447="D",1,0)+IF(CR2447="D",1,0)+IF(CS2447="D",1,0)+IF(CW2447="D",1,0)+IF(CX2447="D",1,0)+IF(DD2447="D",1,0)+IF(DE2447="D",1,0)+IF(DJ2447="D",1,0)+IF(DK2447="D",1,0)+IF(DO2447="D",1,0)+IF(DP2447="D",1,0)+IF(DQ2447="D",1,0)+IF(DW2447="D",1,0)+IF(DZ2447="D",1,0)+IF(EH2447="D",1,0)</f>
        <v/>
      </c>
      <c r="AY2447">
        <f>IF(DJ2447&lt;&gt;"",1,0)+IF(DK2447&lt;&gt;"",1,0)+IF(DM2447&lt;&gt;"",1,0)+IF(DO2447&lt;&gt;"",1,0)+IF(DP2447&lt;&gt;"",1,0)+IF(DQ2447&lt;&gt;"",1,0)+IF(DS2447&lt;&gt;"",1,0)+IF(DT2447&lt;&gt;"",1,0)+IF(DV2447&lt;&gt;"",1,0)+IF(DW2447&lt;&gt;"",1,0)+IF(DX2447&lt;&gt;"",1,0)+IF(DY2447&lt;&gt;"",1,0)+IF(DZ2447&lt;&gt;"",1,0)+IF(EB2447&lt;&gt;"",1,0)+IF(EC2447&lt;&gt;"",1,0)+IF(ED2447&lt;&gt;"",1,0)+IF(EG2447&lt;&gt;"",1,0)+IF(EH2447&lt;&gt;"",1,0)</f>
        <v/>
      </c>
      <c r="AZ2447">
        <f>IF(EH2447&lt;&gt;"",1,0)</f>
        <v/>
      </c>
      <c r="BB2447" t="inlineStr">
        <is>
          <t>WARREN-WARD 4</t>
        </is>
      </c>
    </row>
    <row r="2448">
      <c r="A2448" t="inlineStr">
        <is>
          <t>OH0021306877</t>
        </is>
      </c>
      <c r="B2448" t="n">
        <v>78</v>
      </c>
      <c r="C2448" t="n">
        <v>378417</v>
      </c>
      <c r="D2448" t="inlineStr">
        <is>
          <t>ENGSTROM</t>
        </is>
      </c>
      <c r="E2448" t="inlineStr">
        <is>
          <t>BRITTANY</t>
        </is>
      </c>
      <c r="F2448">
        <f>CONCATENATE(D2448," ",LEFT(H2448,4),"T=",AU2448,"D=",AV2448,"R=",AW2448,"M=",AX2448,"L=",AY2448,"B=",AZ2448)</f>
        <v/>
      </c>
      <c r="G2448" t="inlineStr">
        <is>
          <t>LEE</t>
        </is>
      </c>
      <c r="I2448" t="inlineStr">
        <is>
          <t>1990-12-30</t>
        </is>
      </c>
      <c r="J2448" t="inlineStr">
        <is>
          <t>2022-03-31</t>
        </is>
      </c>
      <c r="K2448" t="inlineStr">
        <is>
          <t>CONFIRMATION</t>
        </is>
      </c>
      <c r="M2448" t="inlineStr">
        <is>
          <t>1567 KENILWORTH AVE SE</t>
        </is>
      </c>
      <c r="N2448">
        <f>RIGHT(M2448,LEN(M2448)-FIND(" ",M2448))</f>
        <v/>
      </c>
      <c r="P2448" t="inlineStr">
        <is>
          <t>WARREN</t>
        </is>
      </c>
      <c r="Q2448" t="inlineStr">
        <is>
          <t>OH</t>
        </is>
      </c>
      <c r="R2448" t="n">
        <v>44484</v>
      </c>
      <c r="AD2448" t="inlineStr">
        <is>
          <t>TRUMBULL CAREER &amp; TECH CENTER</t>
        </is>
      </c>
      <c r="AE2448" t="inlineStr">
        <is>
          <t>WARREN CITY</t>
        </is>
      </c>
      <c r="AF2448" t="inlineStr">
        <is>
          <t>WARREN CITY SD</t>
        </is>
      </c>
      <c r="AH2448" t="n">
        <v>14</v>
      </c>
      <c r="AI2448" t="n">
        <v>11</v>
      </c>
      <c r="AN2448" t="inlineStr">
        <is>
          <t>WARREN</t>
        </is>
      </c>
      <c r="AO2448" t="inlineStr">
        <is>
          <t>WARREN CITY 4F</t>
        </is>
      </c>
      <c r="AP2448" t="inlineStr">
        <is>
          <t>78-P-ADN</t>
        </is>
      </c>
      <c r="AQ2448" t="n">
        <v>9</v>
      </c>
      <c r="AR2448" t="n">
        <v>64</v>
      </c>
      <c r="AS2448" t="n">
        <v>32</v>
      </c>
      <c r="AU2448">
        <f>COUNTA($BA$2448:$EH$2448)</f>
        <v/>
      </c>
      <c r="AV2448">
        <f>COUNTIF($BA$2448:$EH$2448,"D")</f>
        <v/>
      </c>
      <c r="AW2448">
        <f>COUNTIF($BA$2448:$EH$2448,"R")</f>
        <v/>
      </c>
      <c r="AX2448">
        <f>IF(BN2448="D",1,0)+IF(BO2448="D",1,0)+IF(BT2448="D",1,0)+IF(BU2448="D",1,0)+IF(BW2448="D",1,0)+IF(CC2448="D",1,0)+IF(CD2448="D",1,0)+IF(CE2448="D",1,0)+IF(CF2448="D",1,0)+IF(CL2448="D",1,0)+IF(CM2448="D",1,0)+IF(CQ2448="D",1,0)+IF(CR2448="D",1,0)+IF(CS2448="D",1,0)+IF(CW2448="D",1,0)+IF(CX2448="D",1,0)+IF(DD2448="D",1,0)+IF(DE2448="D",1,0)+IF(DJ2448="D",1,0)+IF(DK2448="D",1,0)+IF(DO2448="D",1,0)+IF(DP2448="D",1,0)+IF(DQ2448="D",1,0)+IF(DW2448="D",1,0)+IF(DZ2448="D",1,0)+IF(EH2448="D",1,0)</f>
        <v/>
      </c>
      <c r="AY2448">
        <f>IF(DJ2448&lt;&gt;"",1,0)+IF(DK2448&lt;&gt;"",1,0)+IF(DM2448&lt;&gt;"",1,0)+IF(DO2448&lt;&gt;"",1,0)+IF(DP2448&lt;&gt;"",1,0)+IF(DQ2448&lt;&gt;"",1,0)+IF(DS2448&lt;&gt;"",1,0)+IF(DT2448&lt;&gt;"",1,0)+IF(DV2448&lt;&gt;"",1,0)+IF(DW2448&lt;&gt;"",1,0)+IF(DX2448&lt;&gt;"",1,0)+IF(DY2448&lt;&gt;"",1,0)+IF(DZ2448&lt;&gt;"",1,0)+IF(EB2448&lt;&gt;"",1,0)+IF(EC2448&lt;&gt;"",1,0)+IF(ED2448&lt;&gt;"",1,0)+IF(EG2448&lt;&gt;"",1,0)+IF(EH2448&lt;&gt;"",1,0)</f>
        <v/>
      </c>
      <c r="AZ2448">
        <f>IF(EH2448&lt;&gt;"",1,0)</f>
        <v/>
      </c>
      <c r="BB2448" t="inlineStr">
        <is>
          <t>WARREN-WARD 4</t>
        </is>
      </c>
      <c r="CL2448" t="inlineStr">
        <is>
          <t>D</t>
        </is>
      </c>
      <c r="CP2448" t="inlineStr">
        <is>
          <t>X</t>
        </is>
      </c>
      <c r="CZ2448" t="inlineStr">
        <is>
          <t>D</t>
        </is>
      </c>
      <c r="DC2448" t="inlineStr">
        <is>
          <t>X</t>
        </is>
      </c>
    </row>
    <row r="2449">
      <c r="A2449" t="inlineStr">
        <is>
          <t>OH0021382236</t>
        </is>
      </c>
      <c r="B2449" t="n">
        <v>78</v>
      </c>
      <c r="C2449" t="n">
        <v>380772</v>
      </c>
      <c r="D2449" t="inlineStr">
        <is>
          <t>RICE</t>
        </is>
      </c>
      <c r="E2449" t="inlineStr">
        <is>
          <t>REBECCA</t>
        </is>
      </c>
      <c r="F2449">
        <f>CONCATENATE(D2449," ",LEFT(H2449,4),"T=",AU2449,"D=",AV2449,"R=",AW2449,"M=",AX2449,"L=",AY2449,"B=",AZ2449)</f>
        <v/>
      </c>
      <c r="G2449" t="inlineStr">
        <is>
          <t>N</t>
        </is>
      </c>
      <c r="I2449" t="inlineStr">
        <is>
          <t>1993-08-26</t>
        </is>
      </c>
      <c r="J2449" t="inlineStr">
        <is>
          <t>2017-07-21</t>
        </is>
      </c>
      <c r="K2449" t="inlineStr">
        <is>
          <t>CONFIRMATION</t>
        </is>
      </c>
      <c r="M2449" t="inlineStr">
        <is>
          <t>1526 ROMAN ST SE</t>
        </is>
      </c>
      <c r="N2449">
        <f>RIGHT(M2449,LEN(M2449)-FIND(" ",M2449))</f>
        <v/>
      </c>
      <c r="P2449" t="inlineStr">
        <is>
          <t>WARREN</t>
        </is>
      </c>
      <c r="Q2449" t="inlineStr">
        <is>
          <t>OH</t>
        </is>
      </c>
      <c r="R2449" t="n">
        <v>44484</v>
      </c>
      <c r="AD2449" t="inlineStr">
        <is>
          <t>TRUMBULL CAREER &amp; TECH CENTER</t>
        </is>
      </c>
      <c r="AE2449" t="inlineStr">
        <is>
          <t>WARREN CITY</t>
        </is>
      </c>
      <c r="AF2449" t="inlineStr">
        <is>
          <t>WARREN CITY SD</t>
        </is>
      </c>
      <c r="AH2449" t="n">
        <v>14</v>
      </c>
      <c r="AI2449" t="n">
        <v>11</v>
      </c>
      <c r="AN2449" t="inlineStr">
        <is>
          <t>WARREN</t>
        </is>
      </c>
      <c r="AO2449" t="inlineStr">
        <is>
          <t>WARREN CITY 4F</t>
        </is>
      </c>
      <c r="AP2449" t="inlineStr">
        <is>
          <t>78-P-ADN</t>
        </is>
      </c>
      <c r="AQ2449" t="n">
        <v>9</v>
      </c>
      <c r="AR2449" t="n">
        <v>64</v>
      </c>
      <c r="AS2449" t="n">
        <v>32</v>
      </c>
      <c r="AU2449">
        <f>COUNTA($BA$2449:$EH$2449)</f>
        <v/>
      </c>
      <c r="AV2449">
        <f>COUNTIF($BA$2449:$EH$2449,"D")</f>
        <v/>
      </c>
      <c r="AW2449">
        <f>COUNTIF($BA$2449:$EH$2449,"R")</f>
        <v/>
      </c>
      <c r="AX2449">
        <f>IF(BN2449="D",1,0)+IF(BO2449="D",1,0)+IF(BT2449="D",1,0)+IF(BU2449="D",1,0)+IF(BW2449="D",1,0)+IF(CC2449="D",1,0)+IF(CD2449="D",1,0)+IF(CE2449="D",1,0)+IF(CF2449="D",1,0)+IF(CL2449="D",1,0)+IF(CM2449="D",1,0)+IF(CQ2449="D",1,0)+IF(CR2449="D",1,0)+IF(CS2449="D",1,0)+IF(CW2449="D",1,0)+IF(CX2449="D",1,0)+IF(DD2449="D",1,0)+IF(DE2449="D",1,0)+IF(DJ2449="D",1,0)+IF(DK2449="D",1,0)+IF(DO2449="D",1,0)+IF(DP2449="D",1,0)+IF(DQ2449="D",1,0)+IF(DW2449="D",1,0)+IF(DZ2449="D",1,0)+IF(EH2449="D",1,0)</f>
        <v/>
      </c>
      <c r="AY2449">
        <f>IF(DJ2449&lt;&gt;"",1,0)+IF(DK2449&lt;&gt;"",1,0)+IF(DM2449&lt;&gt;"",1,0)+IF(DO2449&lt;&gt;"",1,0)+IF(DP2449&lt;&gt;"",1,0)+IF(DQ2449&lt;&gt;"",1,0)+IF(DS2449&lt;&gt;"",1,0)+IF(DT2449&lt;&gt;"",1,0)+IF(DV2449&lt;&gt;"",1,0)+IF(DW2449&lt;&gt;"",1,0)+IF(DX2449&lt;&gt;"",1,0)+IF(DY2449&lt;&gt;"",1,0)+IF(DZ2449&lt;&gt;"",1,0)+IF(EB2449&lt;&gt;"",1,0)+IF(EC2449&lt;&gt;"",1,0)+IF(ED2449&lt;&gt;"",1,0)+IF(EG2449&lt;&gt;"",1,0)+IF(EH2449&lt;&gt;"",1,0)</f>
        <v/>
      </c>
      <c r="AZ2449">
        <f>IF(EH2449&lt;&gt;"",1,0)</f>
        <v/>
      </c>
      <c r="BB2449" t="inlineStr">
        <is>
          <t>WARREN-WARD 4</t>
        </is>
      </c>
      <c r="CP2449" t="inlineStr">
        <is>
          <t>X</t>
        </is>
      </c>
      <c r="DC2449" t="inlineStr">
        <is>
          <t>X</t>
        </is>
      </c>
    </row>
    <row r="2450">
      <c r="A2450" t="inlineStr">
        <is>
          <t>OH0023048037</t>
        </is>
      </c>
      <c r="B2450" t="n">
        <v>78</v>
      </c>
      <c r="C2450" t="n">
        <v>405904</v>
      </c>
      <c r="D2450" t="inlineStr">
        <is>
          <t>LITZ</t>
        </is>
      </c>
      <c r="E2450" t="inlineStr">
        <is>
          <t>ROBERT</t>
        </is>
      </c>
      <c r="F2450">
        <f>CONCATENATE(D2450," ",LEFT(H2450,4),"T=",AU2450,"D=",AV2450,"R=",AW2450,"M=",AX2450,"L=",AY2450,"B=",AZ2450)</f>
        <v/>
      </c>
      <c r="G2450" t="inlineStr">
        <is>
          <t>LOUIS</t>
        </is>
      </c>
      <c r="I2450" t="inlineStr">
        <is>
          <t>1971-05-12</t>
        </is>
      </c>
      <c r="J2450" t="inlineStr">
        <is>
          <t>2023-01-23</t>
        </is>
      </c>
      <c r="K2450" t="inlineStr">
        <is>
          <t>ACTIVE</t>
        </is>
      </c>
      <c r="M2450" t="inlineStr">
        <is>
          <t>1566 KENILWORTH AVE SE</t>
        </is>
      </c>
      <c r="N2450">
        <f>RIGHT(M2450,LEN(M2450)-FIND(" ",M2450))</f>
        <v/>
      </c>
      <c r="P2450" t="inlineStr">
        <is>
          <t>WARREN</t>
        </is>
      </c>
      <c r="Q2450" t="inlineStr">
        <is>
          <t>OH</t>
        </is>
      </c>
      <c r="R2450" t="n">
        <v>44484</v>
      </c>
      <c r="AD2450" t="inlineStr">
        <is>
          <t>TRUMBULL CAREER &amp; TECH CENTER</t>
        </is>
      </c>
      <c r="AE2450" t="inlineStr">
        <is>
          <t>WARREN CITY</t>
        </is>
      </c>
      <c r="AF2450" t="inlineStr">
        <is>
          <t>WARREN CITY SD</t>
        </is>
      </c>
      <c r="AH2450" t="n">
        <v>14</v>
      </c>
      <c r="AI2450" t="n">
        <v>11</v>
      </c>
      <c r="AN2450" t="inlineStr">
        <is>
          <t>WARREN</t>
        </is>
      </c>
      <c r="AO2450" t="inlineStr">
        <is>
          <t>WARREN CITY 4F</t>
        </is>
      </c>
      <c r="AP2450" t="inlineStr">
        <is>
          <t>78-P-ADN</t>
        </is>
      </c>
      <c r="AQ2450" t="n">
        <v>9</v>
      </c>
      <c r="AR2450" t="n">
        <v>64</v>
      </c>
      <c r="AS2450" t="n">
        <v>32</v>
      </c>
      <c r="AU2450">
        <f>COUNTA($BA$2450:$EH$2450)</f>
        <v/>
      </c>
      <c r="AV2450">
        <f>COUNTIF($BA$2450:$EH$2450,"D")</f>
        <v/>
      </c>
      <c r="AW2450">
        <f>COUNTIF($BA$2450:$EH$2450,"R")</f>
        <v/>
      </c>
      <c r="AX2450">
        <f>IF(BN2450="D",1,0)+IF(BO2450="D",1,0)+IF(BT2450="D",1,0)+IF(BU2450="D",1,0)+IF(BW2450="D",1,0)+IF(CC2450="D",1,0)+IF(CD2450="D",1,0)+IF(CE2450="D",1,0)+IF(CF2450="D",1,0)+IF(CL2450="D",1,0)+IF(CM2450="D",1,0)+IF(CQ2450="D",1,0)+IF(CR2450="D",1,0)+IF(CS2450="D",1,0)+IF(CW2450="D",1,0)+IF(CX2450="D",1,0)+IF(DD2450="D",1,0)+IF(DE2450="D",1,0)+IF(DJ2450="D",1,0)+IF(DK2450="D",1,0)+IF(DO2450="D",1,0)+IF(DP2450="D",1,0)+IF(DQ2450="D",1,0)+IF(DW2450="D",1,0)+IF(DZ2450="D",1,0)+IF(EH2450="D",1,0)</f>
        <v/>
      </c>
      <c r="AY2450">
        <f>IF(DJ2450&lt;&gt;"",1,0)+IF(DK2450&lt;&gt;"",1,0)+IF(DM2450&lt;&gt;"",1,0)+IF(DO2450&lt;&gt;"",1,0)+IF(DP2450&lt;&gt;"",1,0)+IF(DQ2450&lt;&gt;"",1,0)+IF(DS2450&lt;&gt;"",1,0)+IF(DT2450&lt;&gt;"",1,0)+IF(DV2450&lt;&gt;"",1,0)+IF(DW2450&lt;&gt;"",1,0)+IF(DX2450&lt;&gt;"",1,0)+IF(DY2450&lt;&gt;"",1,0)+IF(DZ2450&lt;&gt;"",1,0)+IF(EB2450&lt;&gt;"",1,0)+IF(EC2450&lt;&gt;"",1,0)+IF(ED2450&lt;&gt;"",1,0)+IF(EG2450&lt;&gt;"",1,0)+IF(EH2450&lt;&gt;"",1,0)</f>
        <v/>
      </c>
      <c r="AZ2450">
        <f>IF(EH2450&lt;&gt;"",1,0)</f>
        <v/>
      </c>
      <c r="BB2450" t="inlineStr">
        <is>
          <t>WARREN-WARD 4</t>
        </is>
      </c>
    </row>
    <row r="2451">
      <c r="A2451" t="inlineStr">
        <is>
          <t>OH0015762497</t>
        </is>
      </c>
      <c r="B2451" t="n">
        <v>78</v>
      </c>
      <c r="C2451" t="n">
        <v>278484</v>
      </c>
      <c r="D2451" t="inlineStr">
        <is>
          <t>REDD</t>
        </is>
      </c>
      <c r="E2451" t="inlineStr">
        <is>
          <t>MARK</t>
        </is>
      </c>
      <c r="F2451">
        <f>CONCATENATE(D2451," ",LEFT(H2451,4),"T=",AU2451,"D=",AV2451,"R=",AW2451,"M=",AX2451,"L=",AY2451,"B=",AZ2451)</f>
        <v/>
      </c>
      <c r="G2451" t="inlineStr">
        <is>
          <t>A</t>
        </is>
      </c>
      <c r="H2451" t="inlineStr">
        <is>
          <t>SR</t>
        </is>
      </c>
      <c r="I2451" t="inlineStr">
        <is>
          <t>1955-03-21</t>
        </is>
      </c>
      <c r="J2451" t="inlineStr">
        <is>
          <t>2012-09-20</t>
        </is>
      </c>
      <c r="K2451" t="inlineStr">
        <is>
          <t>ACTIVE</t>
        </is>
      </c>
      <c r="L2451" t="inlineStr">
        <is>
          <t>D</t>
        </is>
      </c>
      <c r="M2451" t="inlineStr">
        <is>
          <t>2239 DRAPER AVE SE</t>
        </is>
      </c>
      <c r="N2451">
        <f>RIGHT(M2451,LEN(M2451)-FIND(" ",M2451))</f>
        <v/>
      </c>
      <c r="P2451" t="inlineStr">
        <is>
          <t>WARREN</t>
        </is>
      </c>
      <c r="Q2451" t="inlineStr">
        <is>
          <t>OH</t>
        </is>
      </c>
      <c r="R2451" t="n">
        <v>44484</v>
      </c>
      <c r="AD2451" t="inlineStr">
        <is>
          <t>TRUMBULL CAREER &amp; TECH CENTER</t>
        </is>
      </c>
      <c r="AE2451" t="inlineStr">
        <is>
          <t>WARREN CITY</t>
        </is>
      </c>
      <c r="AF2451" t="inlineStr">
        <is>
          <t>WARREN CITY SD</t>
        </is>
      </c>
      <c r="AH2451" t="n">
        <v>14</v>
      </c>
      <c r="AI2451" t="n">
        <v>11</v>
      </c>
      <c r="AN2451" t="inlineStr">
        <is>
          <t>WARREN</t>
        </is>
      </c>
      <c r="AO2451" t="inlineStr">
        <is>
          <t>WARREN CITY 4F</t>
        </is>
      </c>
      <c r="AP2451" t="inlineStr">
        <is>
          <t>78-P-ADN</t>
        </is>
      </c>
      <c r="AQ2451" t="n">
        <v>9</v>
      </c>
      <c r="AR2451" t="n">
        <v>64</v>
      </c>
      <c r="AS2451" t="n">
        <v>32</v>
      </c>
      <c r="AU2451">
        <f>COUNTA($BA$2451:$EH$2451)</f>
        <v/>
      </c>
      <c r="AV2451">
        <f>COUNTIF($BA$2451:$EH$2451,"D")</f>
        <v/>
      </c>
      <c r="AW2451">
        <f>COUNTIF($BA$2451:$EH$2451,"R")</f>
        <v/>
      </c>
      <c r="AX2451">
        <f>IF(BN2451="D",1,0)+IF(BO2451="D",1,0)+IF(BT2451="D",1,0)+IF(BU2451="D",1,0)+IF(BW2451="D",1,0)+IF(CC2451="D",1,0)+IF(CD2451="D",1,0)+IF(CE2451="D",1,0)+IF(CF2451="D",1,0)+IF(CL2451="D",1,0)+IF(CM2451="D",1,0)+IF(CQ2451="D",1,0)+IF(CR2451="D",1,0)+IF(CS2451="D",1,0)+IF(CW2451="D",1,0)+IF(CX2451="D",1,0)+IF(DD2451="D",1,0)+IF(DE2451="D",1,0)+IF(DJ2451="D",1,0)+IF(DK2451="D",1,0)+IF(DO2451="D",1,0)+IF(DP2451="D",1,0)+IF(DQ2451="D",1,0)+IF(DW2451="D",1,0)+IF(DZ2451="D",1,0)+IF(EH2451="D",1,0)</f>
        <v/>
      </c>
      <c r="AY2451">
        <f>IF(DJ2451&lt;&gt;"",1,0)+IF(DK2451&lt;&gt;"",1,0)+IF(DM2451&lt;&gt;"",1,0)+IF(DO2451&lt;&gt;"",1,0)+IF(DP2451&lt;&gt;"",1,0)+IF(DQ2451&lt;&gt;"",1,0)+IF(DS2451&lt;&gt;"",1,0)+IF(DT2451&lt;&gt;"",1,0)+IF(DV2451&lt;&gt;"",1,0)+IF(DW2451&lt;&gt;"",1,0)+IF(DX2451&lt;&gt;"",1,0)+IF(DY2451&lt;&gt;"",1,0)+IF(DZ2451&lt;&gt;"",1,0)+IF(EB2451&lt;&gt;"",1,0)+IF(EC2451&lt;&gt;"",1,0)+IF(ED2451&lt;&gt;"",1,0)+IF(EG2451&lt;&gt;"",1,0)+IF(EH2451&lt;&gt;"",1,0)</f>
        <v/>
      </c>
      <c r="AZ2451">
        <f>IF(EH2451&lt;&gt;"",1,0)</f>
        <v/>
      </c>
      <c r="BB2451" t="inlineStr">
        <is>
          <t>WARREN-WARD 4</t>
        </is>
      </c>
      <c r="BC2451" t="inlineStr">
        <is>
          <t>X</t>
        </is>
      </c>
      <c r="BD2451" t="inlineStr">
        <is>
          <t>X</t>
        </is>
      </c>
      <c r="BG2451" t="inlineStr">
        <is>
          <t>X</t>
        </is>
      </c>
      <c r="BH2451" t="inlineStr">
        <is>
          <t>X</t>
        </is>
      </c>
      <c r="BK2451" t="inlineStr">
        <is>
          <t>X</t>
        </is>
      </c>
      <c r="BL2451" t="inlineStr">
        <is>
          <t>X</t>
        </is>
      </c>
      <c r="BP2451" t="inlineStr">
        <is>
          <t>X</t>
        </is>
      </c>
      <c r="BR2451" t="inlineStr">
        <is>
          <t>X</t>
        </is>
      </c>
      <c r="BS2451" t="inlineStr">
        <is>
          <t>X</t>
        </is>
      </c>
      <c r="BV2451" t="inlineStr">
        <is>
          <t>X</t>
        </is>
      </c>
      <c r="BY2451" t="inlineStr">
        <is>
          <t>D</t>
        </is>
      </c>
      <c r="CA2451" t="inlineStr">
        <is>
          <t>X</t>
        </is>
      </c>
      <c r="CG2451" t="inlineStr">
        <is>
          <t>X</t>
        </is>
      </c>
      <c r="CK2451" t="inlineStr">
        <is>
          <t>X</t>
        </is>
      </c>
      <c r="CL2451" t="inlineStr">
        <is>
          <t>D</t>
        </is>
      </c>
      <c r="CN2451" t="inlineStr">
        <is>
          <t>X</t>
        </is>
      </c>
      <c r="CO2451" t="inlineStr">
        <is>
          <t>D</t>
        </is>
      </c>
      <c r="CP2451" t="inlineStr">
        <is>
          <t>X</t>
        </is>
      </c>
      <c r="CQ2451" t="inlineStr">
        <is>
          <t>D</t>
        </is>
      </c>
      <c r="CT2451" t="inlineStr">
        <is>
          <t>X</t>
        </is>
      </c>
      <c r="CU2451" t="inlineStr">
        <is>
          <t>D</t>
        </is>
      </c>
      <c r="CV2451" t="inlineStr">
        <is>
          <t>X</t>
        </is>
      </c>
      <c r="CW2451" t="inlineStr">
        <is>
          <t>D</t>
        </is>
      </c>
      <c r="CY2451" t="inlineStr">
        <is>
          <t>X</t>
        </is>
      </c>
      <c r="CZ2451" t="inlineStr">
        <is>
          <t>D</t>
        </is>
      </c>
      <c r="DC2451" t="inlineStr">
        <is>
          <t>X</t>
        </is>
      </c>
      <c r="DD2451" t="inlineStr">
        <is>
          <t>D</t>
        </is>
      </c>
      <c r="DF2451" t="inlineStr">
        <is>
          <t>X</t>
        </is>
      </c>
      <c r="DG2451" t="inlineStr">
        <is>
          <t>D</t>
        </is>
      </c>
      <c r="DI2451" t="inlineStr">
        <is>
          <t>X</t>
        </is>
      </c>
      <c r="DJ2451" t="inlineStr">
        <is>
          <t>D</t>
        </is>
      </c>
      <c r="DL2451" t="inlineStr">
        <is>
          <t>X</t>
        </is>
      </c>
      <c r="DN2451" t="inlineStr">
        <is>
          <t>X</t>
        </is>
      </c>
      <c r="DW2451" t="inlineStr">
        <is>
          <t>D</t>
        </is>
      </c>
      <c r="ED2451" t="inlineStr">
        <is>
          <t>D</t>
        </is>
      </c>
      <c r="EF2451" t="inlineStr">
        <is>
          <t>X</t>
        </is>
      </c>
      <c r="EH2451" t="inlineStr">
        <is>
          <t>D</t>
        </is>
      </c>
    </row>
    <row r="2452">
      <c r="A2452" t="inlineStr">
        <is>
          <t>OH0015701406</t>
        </is>
      </c>
      <c r="B2452" t="n">
        <v>78</v>
      </c>
      <c r="C2452" t="n">
        <v>312117</v>
      </c>
      <c r="D2452" t="inlineStr">
        <is>
          <t>BRYANT CULLINS</t>
        </is>
      </c>
      <c r="E2452" t="inlineStr">
        <is>
          <t>LIEBCHEN</t>
        </is>
      </c>
      <c r="F2452">
        <f>CONCATENATE(D2452," ",LEFT(H2452,4),"T=",AU2452,"D=",AV2452,"R=",AW2452,"M=",AX2452,"L=",AY2452,"B=",AZ2452)</f>
        <v/>
      </c>
      <c r="G2452" t="inlineStr">
        <is>
          <t>C</t>
        </is>
      </c>
      <c r="I2452" t="inlineStr">
        <is>
          <t>1962-08-03</t>
        </is>
      </c>
      <c r="J2452" t="inlineStr">
        <is>
          <t>2021-03-08</t>
        </is>
      </c>
      <c r="K2452" t="inlineStr">
        <is>
          <t>ACTIVE</t>
        </is>
      </c>
      <c r="L2452" t="inlineStr">
        <is>
          <t>D</t>
        </is>
      </c>
      <c r="M2452" t="inlineStr">
        <is>
          <t>1614 ADELAIDE AVE SE</t>
        </is>
      </c>
      <c r="N2452">
        <f>RIGHT(M2452,LEN(M2452)-FIND(" ",M2452))</f>
        <v/>
      </c>
      <c r="P2452" t="inlineStr">
        <is>
          <t>WARREN</t>
        </is>
      </c>
      <c r="Q2452" t="inlineStr">
        <is>
          <t>OH</t>
        </is>
      </c>
      <c r="R2452" t="n">
        <v>44484</v>
      </c>
      <c r="AD2452" t="inlineStr">
        <is>
          <t>TRUMBULL CAREER &amp; TECH CENTER</t>
        </is>
      </c>
      <c r="AE2452" t="inlineStr">
        <is>
          <t>WARREN CITY</t>
        </is>
      </c>
      <c r="AF2452" t="inlineStr">
        <is>
          <t>WARREN CITY SD</t>
        </is>
      </c>
      <c r="AH2452" t="n">
        <v>14</v>
      </c>
      <c r="AI2452" t="n">
        <v>11</v>
      </c>
      <c r="AN2452" t="inlineStr">
        <is>
          <t>WARREN</t>
        </is>
      </c>
      <c r="AO2452" t="inlineStr">
        <is>
          <t>WARREN CITY 4F</t>
        </is>
      </c>
      <c r="AP2452" t="inlineStr">
        <is>
          <t>78-P-ADN</t>
        </is>
      </c>
      <c r="AQ2452" t="n">
        <v>9</v>
      </c>
      <c r="AR2452" t="n">
        <v>64</v>
      </c>
      <c r="AS2452" t="n">
        <v>32</v>
      </c>
      <c r="AU2452">
        <f>COUNTA($BA$2452:$EH$2452)</f>
        <v/>
      </c>
      <c r="AV2452">
        <f>COUNTIF($BA$2452:$EH$2452,"D")</f>
        <v/>
      </c>
      <c r="AW2452">
        <f>COUNTIF($BA$2452:$EH$2452,"R")</f>
        <v/>
      </c>
      <c r="AX2452">
        <f>IF(BN2452="D",1,0)+IF(BO2452="D",1,0)+IF(BT2452="D",1,0)+IF(BU2452="D",1,0)+IF(BW2452="D",1,0)+IF(CC2452="D",1,0)+IF(CD2452="D",1,0)+IF(CE2452="D",1,0)+IF(CF2452="D",1,0)+IF(CL2452="D",1,0)+IF(CM2452="D",1,0)+IF(CQ2452="D",1,0)+IF(CR2452="D",1,0)+IF(CS2452="D",1,0)+IF(CW2452="D",1,0)+IF(CX2452="D",1,0)+IF(DD2452="D",1,0)+IF(DE2452="D",1,0)+IF(DJ2452="D",1,0)+IF(DK2452="D",1,0)+IF(DO2452="D",1,0)+IF(DP2452="D",1,0)+IF(DQ2452="D",1,0)+IF(DW2452="D",1,0)+IF(DZ2452="D",1,0)+IF(EH2452="D",1,0)</f>
        <v/>
      </c>
      <c r="AY2452">
        <f>IF(DJ2452&lt;&gt;"",1,0)+IF(DK2452&lt;&gt;"",1,0)+IF(DM2452&lt;&gt;"",1,0)+IF(DO2452&lt;&gt;"",1,0)+IF(DP2452&lt;&gt;"",1,0)+IF(DQ2452&lt;&gt;"",1,0)+IF(DS2452&lt;&gt;"",1,0)+IF(DT2452&lt;&gt;"",1,0)+IF(DV2452&lt;&gt;"",1,0)+IF(DW2452&lt;&gt;"",1,0)+IF(DX2452&lt;&gt;"",1,0)+IF(DY2452&lt;&gt;"",1,0)+IF(DZ2452&lt;&gt;"",1,0)+IF(EB2452&lt;&gt;"",1,0)+IF(EC2452&lt;&gt;"",1,0)+IF(ED2452&lt;&gt;"",1,0)+IF(EG2452&lt;&gt;"",1,0)+IF(EH2452&lt;&gt;"",1,0)</f>
        <v/>
      </c>
      <c r="AZ2452">
        <f>IF(EH2452&lt;&gt;"",1,0)</f>
        <v/>
      </c>
      <c r="BB2452" t="inlineStr">
        <is>
          <t>WARREN-WARD 4</t>
        </is>
      </c>
      <c r="BL2452" t="inlineStr">
        <is>
          <t>X</t>
        </is>
      </c>
      <c r="BS2452" t="inlineStr">
        <is>
          <t>X</t>
        </is>
      </c>
      <c r="BY2452" t="inlineStr">
        <is>
          <t>D</t>
        </is>
      </c>
      <c r="CA2452" t="inlineStr">
        <is>
          <t>X</t>
        </is>
      </c>
      <c r="CG2452" t="inlineStr">
        <is>
          <t>X</t>
        </is>
      </c>
      <c r="CK2452" t="inlineStr">
        <is>
          <t>X</t>
        </is>
      </c>
      <c r="CL2452" t="inlineStr">
        <is>
          <t>D</t>
        </is>
      </c>
      <c r="CN2452" t="inlineStr">
        <is>
          <t>X</t>
        </is>
      </c>
      <c r="CO2452" t="inlineStr">
        <is>
          <t>D</t>
        </is>
      </c>
      <c r="CP2452" t="inlineStr">
        <is>
          <t>X</t>
        </is>
      </c>
      <c r="CT2452" t="inlineStr">
        <is>
          <t>X</t>
        </is>
      </c>
      <c r="CV2452" t="inlineStr">
        <is>
          <t>X</t>
        </is>
      </c>
      <c r="CY2452" t="inlineStr">
        <is>
          <t>X</t>
        </is>
      </c>
      <c r="CZ2452" t="inlineStr">
        <is>
          <t>D</t>
        </is>
      </c>
      <c r="DC2452" t="inlineStr">
        <is>
          <t>X</t>
        </is>
      </c>
      <c r="DI2452" t="inlineStr">
        <is>
          <t>X</t>
        </is>
      </c>
      <c r="DM2452" t="inlineStr">
        <is>
          <t>D</t>
        </is>
      </c>
      <c r="DN2452" t="inlineStr">
        <is>
          <t>X</t>
        </is>
      </c>
      <c r="DU2452" t="inlineStr">
        <is>
          <t>X</t>
        </is>
      </c>
      <c r="DX2452" t="inlineStr">
        <is>
          <t>X</t>
        </is>
      </c>
      <c r="EA2452" t="inlineStr">
        <is>
          <t>X</t>
        </is>
      </c>
      <c r="ED2452" t="inlineStr">
        <is>
          <t>D</t>
        </is>
      </c>
      <c r="EF2452" t="inlineStr">
        <is>
          <t>X</t>
        </is>
      </c>
    </row>
    <row r="2453">
      <c r="A2453" t="inlineStr">
        <is>
          <t>OH0022043913</t>
        </is>
      </c>
      <c r="B2453" t="n">
        <v>78</v>
      </c>
      <c r="C2453" t="n">
        <v>390886</v>
      </c>
      <c r="D2453" t="inlineStr">
        <is>
          <t>DORSEY</t>
        </is>
      </c>
      <c r="E2453" t="inlineStr">
        <is>
          <t>ANTONIO</t>
        </is>
      </c>
      <c r="F2453">
        <f>CONCATENATE(D2453," ",LEFT(H2453,4),"T=",AU2453,"D=",AV2453,"R=",AW2453,"M=",AX2453,"L=",AY2453,"B=",AZ2453)</f>
        <v/>
      </c>
      <c r="G2453" t="inlineStr">
        <is>
          <t>OMARLEE</t>
        </is>
      </c>
      <c r="I2453" t="inlineStr">
        <is>
          <t>1992-09-17</t>
        </is>
      </c>
      <c r="J2453" t="inlineStr">
        <is>
          <t>2024-08-21</t>
        </is>
      </c>
      <c r="K2453" t="inlineStr">
        <is>
          <t>ACTIVE</t>
        </is>
      </c>
      <c r="M2453" t="inlineStr">
        <is>
          <t>2716 DUKE AVE SE</t>
        </is>
      </c>
      <c r="N2453">
        <f>RIGHT(M2453,LEN(M2453)-FIND(" ",M2453))</f>
        <v/>
      </c>
      <c r="P2453" t="inlineStr">
        <is>
          <t>WARREN</t>
        </is>
      </c>
      <c r="Q2453" t="inlineStr">
        <is>
          <t>OH</t>
        </is>
      </c>
      <c r="R2453" t="n">
        <v>44484</v>
      </c>
      <c r="AD2453" t="inlineStr">
        <is>
          <t>TRUMBULL CAREER &amp; TECH CENTER</t>
        </is>
      </c>
      <c r="AE2453" t="inlineStr">
        <is>
          <t>WARREN CITY</t>
        </is>
      </c>
      <c r="AF2453" t="inlineStr">
        <is>
          <t>WARREN CITY SD</t>
        </is>
      </c>
      <c r="AH2453" t="n">
        <v>14</v>
      </c>
      <c r="AI2453" t="n">
        <v>11</v>
      </c>
      <c r="AN2453" t="inlineStr">
        <is>
          <t>WARREN</t>
        </is>
      </c>
      <c r="AO2453" t="inlineStr">
        <is>
          <t>WARREN CITY 4F</t>
        </is>
      </c>
      <c r="AP2453" t="inlineStr">
        <is>
          <t>78-P-ADN</t>
        </is>
      </c>
      <c r="AQ2453" t="n">
        <v>9</v>
      </c>
      <c r="AR2453" t="n">
        <v>64</v>
      </c>
      <c r="AS2453" t="n">
        <v>32</v>
      </c>
      <c r="AU2453">
        <f>COUNTA($BA$2453:$EH$2453)</f>
        <v/>
      </c>
      <c r="AV2453">
        <f>COUNTIF($BA$2453:$EH$2453,"D")</f>
        <v/>
      </c>
      <c r="AW2453">
        <f>COUNTIF($BA$2453:$EH$2453,"R")</f>
        <v/>
      </c>
      <c r="AX2453">
        <f>IF(BN2453="D",1,0)+IF(BO2453="D",1,0)+IF(BT2453="D",1,0)+IF(BU2453="D",1,0)+IF(BW2453="D",1,0)+IF(CC2453="D",1,0)+IF(CD2453="D",1,0)+IF(CE2453="D",1,0)+IF(CF2453="D",1,0)+IF(CL2453="D",1,0)+IF(CM2453="D",1,0)+IF(CQ2453="D",1,0)+IF(CR2453="D",1,0)+IF(CS2453="D",1,0)+IF(CW2453="D",1,0)+IF(CX2453="D",1,0)+IF(DD2453="D",1,0)+IF(DE2453="D",1,0)+IF(DJ2453="D",1,0)+IF(DK2453="D",1,0)+IF(DO2453="D",1,0)+IF(DP2453="D",1,0)+IF(DQ2453="D",1,0)+IF(DW2453="D",1,0)+IF(DZ2453="D",1,0)+IF(EH2453="D",1,0)</f>
        <v/>
      </c>
      <c r="AY2453">
        <f>IF(DJ2453&lt;&gt;"",1,0)+IF(DK2453&lt;&gt;"",1,0)+IF(DM2453&lt;&gt;"",1,0)+IF(DO2453&lt;&gt;"",1,0)+IF(DP2453&lt;&gt;"",1,0)+IF(DQ2453&lt;&gt;"",1,0)+IF(DS2453&lt;&gt;"",1,0)+IF(DT2453&lt;&gt;"",1,0)+IF(DV2453&lt;&gt;"",1,0)+IF(DW2453&lt;&gt;"",1,0)+IF(DX2453&lt;&gt;"",1,0)+IF(DY2453&lt;&gt;"",1,0)+IF(DZ2453&lt;&gt;"",1,0)+IF(EB2453&lt;&gt;"",1,0)+IF(EC2453&lt;&gt;"",1,0)+IF(ED2453&lt;&gt;"",1,0)+IF(EG2453&lt;&gt;"",1,0)+IF(EH2453&lt;&gt;"",1,0)</f>
        <v/>
      </c>
      <c r="AZ2453">
        <f>IF(EH2453&lt;&gt;"",1,0)</f>
        <v/>
      </c>
      <c r="BB2453" t="inlineStr">
        <is>
          <t>WARREN-WARD 4</t>
        </is>
      </c>
      <c r="DC2453" t="inlineStr">
        <is>
          <t>X</t>
        </is>
      </c>
    </row>
    <row r="2454">
      <c r="A2454" t="inlineStr">
        <is>
          <t>OH0015689270</t>
        </is>
      </c>
      <c r="B2454" t="n">
        <v>78</v>
      </c>
      <c r="C2454" t="n">
        <v>282924</v>
      </c>
      <c r="D2454" t="inlineStr">
        <is>
          <t>CULLINS</t>
        </is>
      </c>
      <c r="E2454" t="inlineStr">
        <is>
          <t>RONNIE</t>
        </is>
      </c>
      <c r="F2454">
        <f>CONCATENATE(D2454," ",LEFT(H2454,4),"T=",AU2454,"D=",AV2454,"R=",AW2454,"M=",AX2454,"L=",AY2454,"B=",AZ2454)</f>
        <v/>
      </c>
      <c r="G2454" t="inlineStr">
        <is>
          <t>M</t>
        </is>
      </c>
      <c r="H2454" t="inlineStr">
        <is>
          <t>JR</t>
        </is>
      </c>
      <c r="I2454" t="inlineStr">
        <is>
          <t>1973-08-27</t>
        </is>
      </c>
      <c r="J2454" t="inlineStr">
        <is>
          <t>2006-09-28</t>
        </is>
      </c>
      <c r="K2454" t="inlineStr">
        <is>
          <t>ACTIVE</t>
        </is>
      </c>
      <c r="L2454" t="inlineStr">
        <is>
          <t>R</t>
        </is>
      </c>
      <c r="M2454" t="inlineStr">
        <is>
          <t>1614 ADELAIDE AVE SE</t>
        </is>
      </c>
      <c r="N2454">
        <f>RIGHT(M2454,LEN(M2454)-FIND(" ",M2454))</f>
        <v/>
      </c>
      <c r="P2454" t="inlineStr">
        <is>
          <t>WARREN</t>
        </is>
      </c>
      <c r="Q2454" t="inlineStr">
        <is>
          <t>OH</t>
        </is>
      </c>
      <c r="R2454" t="n">
        <v>44484</v>
      </c>
      <c r="AD2454" t="inlineStr">
        <is>
          <t>TRUMBULL CAREER &amp; TECH CENTER</t>
        </is>
      </c>
      <c r="AE2454" t="inlineStr">
        <is>
          <t>WARREN CITY</t>
        </is>
      </c>
      <c r="AF2454" t="inlineStr">
        <is>
          <t>WARREN CITY SD</t>
        </is>
      </c>
      <c r="AH2454" t="n">
        <v>14</v>
      </c>
      <c r="AI2454" t="n">
        <v>11</v>
      </c>
      <c r="AN2454" t="inlineStr">
        <is>
          <t>WARREN</t>
        </is>
      </c>
      <c r="AO2454" t="inlineStr">
        <is>
          <t>WARREN CITY 4F</t>
        </is>
      </c>
      <c r="AP2454" t="inlineStr">
        <is>
          <t>78-P-ADN</t>
        </is>
      </c>
      <c r="AQ2454" t="n">
        <v>9</v>
      </c>
      <c r="AR2454" t="n">
        <v>64</v>
      </c>
      <c r="AS2454" t="n">
        <v>32</v>
      </c>
      <c r="AU2454">
        <f>COUNTA($BA$2454:$EH$2454)</f>
        <v/>
      </c>
      <c r="AV2454">
        <f>COUNTIF($BA$2454:$EH$2454,"D")</f>
        <v/>
      </c>
      <c r="AW2454">
        <f>COUNTIF($BA$2454:$EH$2454,"R")</f>
        <v/>
      </c>
      <c r="AX2454">
        <f>IF(BN2454="D",1,0)+IF(BO2454="D",1,0)+IF(BT2454="D",1,0)+IF(BU2454="D",1,0)+IF(BW2454="D",1,0)+IF(CC2454="D",1,0)+IF(CD2454="D",1,0)+IF(CE2454="D",1,0)+IF(CF2454="D",1,0)+IF(CL2454="D",1,0)+IF(CM2454="D",1,0)+IF(CQ2454="D",1,0)+IF(CR2454="D",1,0)+IF(CS2454="D",1,0)+IF(CW2454="D",1,0)+IF(CX2454="D",1,0)+IF(DD2454="D",1,0)+IF(DE2454="D",1,0)+IF(DJ2454="D",1,0)+IF(DK2454="D",1,0)+IF(DO2454="D",1,0)+IF(DP2454="D",1,0)+IF(DQ2454="D",1,0)+IF(DW2454="D",1,0)+IF(DZ2454="D",1,0)+IF(EH2454="D",1,0)</f>
        <v/>
      </c>
      <c r="AY2454">
        <f>IF(DJ2454&lt;&gt;"",1,0)+IF(DK2454&lt;&gt;"",1,0)+IF(DM2454&lt;&gt;"",1,0)+IF(DO2454&lt;&gt;"",1,0)+IF(DP2454&lt;&gt;"",1,0)+IF(DQ2454&lt;&gt;"",1,0)+IF(DS2454&lt;&gt;"",1,0)+IF(DT2454&lt;&gt;"",1,0)+IF(DV2454&lt;&gt;"",1,0)+IF(DW2454&lt;&gt;"",1,0)+IF(DX2454&lt;&gt;"",1,0)+IF(DY2454&lt;&gt;"",1,0)+IF(DZ2454&lt;&gt;"",1,0)+IF(EB2454&lt;&gt;"",1,0)+IF(EC2454&lt;&gt;"",1,0)+IF(ED2454&lt;&gt;"",1,0)+IF(EG2454&lt;&gt;"",1,0)+IF(EH2454&lt;&gt;"",1,0)</f>
        <v/>
      </c>
      <c r="AZ2454">
        <f>IF(EH2454&lt;&gt;"",1,0)</f>
        <v/>
      </c>
      <c r="BB2454" t="inlineStr">
        <is>
          <t>WARREN-WARD 4</t>
        </is>
      </c>
      <c r="BD2454" t="inlineStr">
        <is>
          <t>X</t>
        </is>
      </c>
      <c r="BH2454" t="inlineStr">
        <is>
          <t>X</t>
        </is>
      </c>
      <c r="BK2454" t="inlineStr">
        <is>
          <t>X</t>
        </is>
      </c>
      <c r="BY2454" t="inlineStr">
        <is>
          <t>D</t>
        </is>
      </c>
      <c r="CA2454" t="inlineStr">
        <is>
          <t>X</t>
        </is>
      </c>
      <c r="CK2454" t="inlineStr">
        <is>
          <t>X</t>
        </is>
      </c>
      <c r="CN2454" t="inlineStr">
        <is>
          <t>X</t>
        </is>
      </c>
      <c r="CP2454" t="inlineStr">
        <is>
          <t>X</t>
        </is>
      </c>
      <c r="CV2454" t="inlineStr">
        <is>
          <t>X</t>
        </is>
      </c>
      <c r="CY2454" t="inlineStr">
        <is>
          <t>X</t>
        </is>
      </c>
      <c r="CZ2454" t="inlineStr">
        <is>
          <t>R</t>
        </is>
      </c>
      <c r="DC2454" t="inlineStr">
        <is>
          <t>X</t>
        </is>
      </c>
      <c r="DI2454" t="inlineStr">
        <is>
          <t>X</t>
        </is>
      </c>
      <c r="DN2454" t="inlineStr">
        <is>
          <t>X</t>
        </is>
      </c>
      <c r="DS2454" t="inlineStr">
        <is>
          <t>R</t>
        </is>
      </c>
      <c r="DU2454" t="inlineStr">
        <is>
          <t>X</t>
        </is>
      </c>
      <c r="EA2454" t="inlineStr">
        <is>
          <t>X</t>
        </is>
      </c>
      <c r="ED2454" t="inlineStr">
        <is>
          <t>R</t>
        </is>
      </c>
      <c r="EF2454" t="inlineStr">
        <is>
          <t>X</t>
        </is>
      </c>
      <c r="EH2454" t="inlineStr">
        <is>
          <t>X</t>
        </is>
      </c>
    </row>
    <row r="2455">
      <c r="A2455" t="inlineStr">
        <is>
          <t>OH0023841341</t>
        </is>
      </c>
      <c r="B2455" t="n">
        <v>78</v>
      </c>
      <c r="C2455" t="n">
        <v>394724</v>
      </c>
      <c r="D2455" t="inlineStr">
        <is>
          <t>MOORE</t>
        </is>
      </c>
      <c r="E2455" t="inlineStr">
        <is>
          <t>ELI</t>
        </is>
      </c>
      <c r="F2455">
        <f>CONCATENATE(D2455," ",LEFT(H2455,4),"T=",AU2455,"D=",AV2455,"R=",AW2455,"M=",AX2455,"L=",AY2455,"B=",AZ2455)</f>
        <v/>
      </c>
      <c r="G2455" t="inlineStr">
        <is>
          <t>M</t>
        </is>
      </c>
      <c r="I2455" t="inlineStr">
        <is>
          <t>1991-09-21</t>
        </is>
      </c>
      <c r="J2455" t="inlineStr">
        <is>
          <t>2024-08-24</t>
        </is>
      </c>
      <c r="K2455" t="inlineStr">
        <is>
          <t>ACTIVE</t>
        </is>
      </c>
      <c r="M2455" t="inlineStr">
        <is>
          <t>2253 DRAPER AVE SE</t>
        </is>
      </c>
      <c r="N2455">
        <f>RIGHT(M2455,LEN(M2455)-FIND(" ",M2455))</f>
        <v/>
      </c>
      <c r="P2455" t="inlineStr">
        <is>
          <t>WARREN</t>
        </is>
      </c>
      <c r="Q2455" t="inlineStr">
        <is>
          <t>OH</t>
        </is>
      </c>
      <c r="R2455" t="n">
        <v>44484</v>
      </c>
      <c r="AD2455" t="inlineStr">
        <is>
          <t>TRUMBULL CAREER &amp; TECH CENTER</t>
        </is>
      </c>
      <c r="AE2455" t="inlineStr">
        <is>
          <t>WARREN CITY</t>
        </is>
      </c>
      <c r="AF2455" t="inlineStr">
        <is>
          <t>WARREN CITY SD</t>
        </is>
      </c>
      <c r="AH2455" t="n">
        <v>14</v>
      </c>
      <c r="AI2455" t="n">
        <v>11</v>
      </c>
      <c r="AN2455" t="inlineStr">
        <is>
          <t>WARREN</t>
        </is>
      </c>
      <c r="AO2455" t="inlineStr">
        <is>
          <t>WARREN CITY 4F</t>
        </is>
      </c>
      <c r="AP2455" t="inlineStr">
        <is>
          <t>78-P-ADN</t>
        </is>
      </c>
      <c r="AQ2455" t="n">
        <v>9</v>
      </c>
      <c r="AR2455" t="n">
        <v>64</v>
      </c>
      <c r="AS2455" t="n">
        <v>32</v>
      </c>
      <c r="AU2455">
        <f>COUNTA($BA$2455:$EH$2455)</f>
        <v/>
      </c>
      <c r="AV2455">
        <f>COUNTIF($BA$2455:$EH$2455,"D")</f>
        <v/>
      </c>
      <c r="AW2455">
        <f>COUNTIF($BA$2455:$EH$2455,"R")</f>
        <v/>
      </c>
      <c r="AX2455">
        <f>IF(BN2455="D",1,0)+IF(BO2455="D",1,0)+IF(BT2455="D",1,0)+IF(BU2455="D",1,0)+IF(BW2455="D",1,0)+IF(CC2455="D",1,0)+IF(CD2455="D",1,0)+IF(CE2455="D",1,0)+IF(CF2455="D",1,0)+IF(CL2455="D",1,0)+IF(CM2455="D",1,0)+IF(CQ2455="D",1,0)+IF(CR2455="D",1,0)+IF(CS2455="D",1,0)+IF(CW2455="D",1,0)+IF(CX2455="D",1,0)+IF(DD2455="D",1,0)+IF(DE2455="D",1,0)+IF(DJ2455="D",1,0)+IF(DK2455="D",1,0)+IF(DO2455="D",1,0)+IF(DP2455="D",1,0)+IF(DQ2455="D",1,0)+IF(DW2455="D",1,0)+IF(DZ2455="D",1,0)+IF(EH2455="D",1,0)</f>
        <v/>
      </c>
      <c r="AY2455">
        <f>IF(DJ2455&lt;&gt;"",1,0)+IF(DK2455&lt;&gt;"",1,0)+IF(DM2455&lt;&gt;"",1,0)+IF(DO2455&lt;&gt;"",1,0)+IF(DP2455&lt;&gt;"",1,0)+IF(DQ2455&lt;&gt;"",1,0)+IF(DS2455&lt;&gt;"",1,0)+IF(DT2455&lt;&gt;"",1,0)+IF(DV2455&lt;&gt;"",1,0)+IF(DW2455&lt;&gt;"",1,0)+IF(DX2455&lt;&gt;"",1,0)+IF(DY2455&lt;&gt;"",1,0)+IF(DZ2455&lt;&gt;"",1,0)+IF(EB2455&lt;&gt;"",1,0)+IF(EC2455&lt;&gt;"",1,0)+IF(ED2455&lt;&gt;"",1,0)+IF(EG2455&lt;&gt;"",1,0)+IF(EH2455&lt;&gt;"",1,0)</f>
        <v/>
      </c>
      <c r="AZ2455">
        <f>IF(EH2455&lt;&gt;"",1,0)</f>
        <v/>
      </c>
      <c r="BB2455" t="inlineStr">
        <is>
          <t>WARREN-WARD 4</t>
        </is>
      </c>
      <c r="DN2455" t="inlineStr">
        <is>
          <t>X</t>
        </is>
      </c>
    </row>
    <row r="2456">
      <c r="A2456" t="inlineStr">
        <is>
          <t>OH0021424882</t>
        </is>
      </c>
      <c r="B2456" t="n">
        <v>78</v>
      </c>
      <c r="C2456" t="n">
        <v>381256</v>
      </c>
      <c r="D2456" t="inlineStr">
        <is>
          <t>GILLIAM</t>
        </is>
      </c>
      <c r="E2456" t="inlineStr">
        <is>
          <t>PATRICIA</t>
        </is>
      </c>
      <c r="F2456">
        <f>CONCATENATE(D2456," ",LEFT(H2456,4),"T=",AU2456,"D=",AV2456,"R=",AW2456,"M=",AX2456,"L=",AY2456,"B=",AZ2456)</f>
        <v/>
      </c>
      <c r="G2456" t="inlineStr">
        <is>
          <t>D</t>
        </is>
      </c>
      <c r="I2456" t="inlineStr">
        <is>
          <t>1956-02-28</t>
        </is>
      </c>
      <c r="J2456" t="inlineStr">
        <is>
          <t>2021-03-10</t>
        </is>
      </c>
      <c r="K2456" t="inlineStr">
        <is>
          <t>ACTIVE</t>
        </is>
      </c>
      <c r="L2456" t="inlineStr">
        <is>
          <t>D</t>
        </is>
      </c>
      <c r="M2456" t="inlineStr">
        <is>
          <t>999 HOMEWOOD AVE SE</t>
        </is>
      </c>
      <c r="N2456">
        <f>RIGHT(M2456,LEN(M2456)-FIND(" ",M2456))</f>
        <v/>
      </c>
      <c r="P2456" t="inlineStr">
        <is>
          <t>WARREN</t>
        </is>
      </c>
      <c r="Q2456" t="inlineStr">
        <is>
          <t>OH</t>
        </is>
      </c>
      <c r="R2456" t="n">
        <v>44484</v>
      </c>
      <c r="AD2456" t="inlineStr">
        <is>
          <t>TRUMBULL CAREER &amp; TECH CENTER</t>
        </is>
      </c>
      <c r="AE2456" t="inlineStr">
        <is>
          <t>WARREN CITY</t>
        </is>
      </c>
      <c r="AF2456" t="inlineStr">
        <is>
          <t>WARREN CITY SD</t>
        </is>
      </c>
      <c r="AH2456" t="n">
        <v>14</v>
      </c>
      <c r="AI2456" t="n">
        <v>11</v>
      </c>
      <c r="AN2456" t="inlineStr">
        <is>
          <t>WARREN</t>
        </is>
      </c>
      <c r="AO2456" t="inlineStr">
        <is>
          <t>WARREN CITY 4F</t>
        </is>
      </c>
      <c r="AP2456" t="inlineStr">
        <is>
          <t>78-P-ADN</t>
        </is>
      </c>
      <c r="AQ2456" t="n">
        <v>9</v>
      </c>
      <c r="AR2456" t="n">
        <v>64</v>
      </c>
      <c r="AS2456" t="n">
        <v>32</v>
      </c>
      <c r="AU2456">
        <f>COUNTA($BA$2456:$EH$2456)</f>
        <v/>
      </c>
      <c r="AV2456">
        <f>COUNTIF($BA$2456:$EH$2456,"D")</f>
        <v/>
      </c>
      <c r="AW2456">
        <f>COUNTIF($BA$2456:$EH$2456,"R")</f>
        <v/>
      </c>
      <c r="AX2456">
        <f>IF(BN2456="D",1,0)+IF(BO2456="D",1,0)+IF(BT2456="D",1,0)+IF(BU2456="D",1,0)+IF(BW2456="D",1,0)+IF(CC2456="D",1,0)+IF(CD2456="D",1,0)+IF(CE2456="D",1,0)+IF(CF2456="D",1,0)+IF(CL2456="D",1,0)+IF(CM2456="D",1,0)+IF(CQ2456="D",1,0)+IF(CR2456="D",1,0)+IF(CS2456="D",1,0)+IF(CW2456="D",1,0)+IF(CX2456="D",1,0)+IF(DD2456="D",1,0)+IF(DE2456="D",1,0)+IF(DJ2456="D",1,0)+IF(DK2456="D",1,0)+IF(DO2456="D",1,0)+IF(DP2456="D",1,0)+IF(DQ2456="D",1,0)+IF(DW2456="D",1,0)+IF(DZ2456="D",1,0)+IF(EH2456="D",1,0)</f>
        <v/>
      </c>
      <c r="AY2456">
        <f>IF(DJ2456&lt;&gt;"",1,0)+IF(DK2456&lt;&gt;"",1,0)+IF(DM2456&lt;&gt;"",1,0)+IF(DO2456&lt;&gt;"",1,0)+IF(DP2456&lt;&gt;"",1,0)+IF(DQ2456&lt;&gt;"",1,0)+IF(DS2456&lt;&gt;"",1,0)+IF(DT2456&lt;&gt;"",1,0)+IF(DV2456&lt;&gt;"",1,0)+IF(DW2456&lt;&gt;"",1,0)+IF(DX2456&lt;&gt;"",1,0)+IF(DY2456&lt;&gt;"",1,0)+IF(DZ2456&lt;&gt;"",1,0)+IF(EB2456&lt;&gt;"",1,0)+IF(EC2456&lt;&gt;"",1,0)+IF(ED2456&lt;&gt;"",1,0)+IF(EG2456&lt;&gt;"",1,0)+IF(EH2456&lt;&gt;"",1,0)</f>
        <v/>
      </c>
      <c r="AZ2456">
        <f>IF(EH2456&lt;&gt;"",1,0)</f>
        <v/>
      </c>
      <c r="BB2456" t="inlineStr">
        <is>
          <t>WARREN-WARD 4</t>
        </is>
      </c>
      <c r="BC2456" t="inlineStr">
        <is>
          <t>X</t>
        </is>
      </c>
      <c r="BD2456" t="inlineStr">
        <is>
          <t>X</t>
        </is>
      </c>
      <c r="BF2456" t="inlineStr">
        <is>
          <t>X</t>
        </is>
      </c>
      <c r="BG2456" t="inlineStr">
        <is>
          <t>X</t>
        </is>
      </c>
      <c r="BI2456" t="inlineStr">
        <is>
          <t>X</t>
        </is>
      </c>
      <c r="BJ2456" t="inlineStr">
        <is>
          <t>X</t>
        </is>
      </c>
      <c r="BK2456" t="inlineStr">
        <is>
          <t>X</t>
        </is>
      </c>
      <c r="BL2456" t="inlineStr">
        <is>
          <t>X</t>
        </is>
      </c>
      <c r="BP2456" t="inlineStr">
        <is>
          <t>X</t>
        </is>
      </c>
      <c r="BS2456" t="inlineStr">
        <is>
          <t>X</t>
        </is>
      </c>
      <c r="BV2456" t="inlineStr">
        <is>
          <t>X</t>
        </is>
      </c>
      <c r="BY2456" t="inlineStr">
        <is>
          <t>D</t>
        </is>
      </c>
      <c r="CA2456" t="inlineStr">
        <is>
          <t>X</t>
        </is>
      </c>
      <c r="CG2456" t="inlineStr">
        <is>
          <t>X</t>
        </is>
      </c>
      <c r="CK2456" t="inlineStr">
        <is>
          <t>X</t>
        </is>
      </c>
      <c r="CN2456" t="inlineStr">
        <is>
          <t>X</t>
        </is>
      </c>
      <c r="CO2456" t="inlineStr">
        <is>
          <t>D</t>
        </is>
      </c>
      <c r="CP2456" t="inlineStr">
        <is>
          <t>X</t>
        </is>
      </c>
      <c r="CU2456" t="inlineStr">
        <is>
          <t>D</t>
        </is>
      </c>
      <c r="CV2456" t="inlineStr">
        <is>
          <t>X</t>
        </is>
      </c>
      <c r="CY2456" t="inlineStr">
        <is>
          <t>X</t>
        </is>
      </c>
      <c r="CZ2456" t="inlineStr">
        <is>
          <t>D</t>
        </is>
      </c>
      <c r="DC2456" t="inlineStr">
        <is>
          <t>X</t>
        </is>
      </c>
      <c r="DD2456" t="inlineStr">
        <is>
          <t>D</t>
        </is>
      </c>
      <c r="DI2456" t="inlineStr">
        <is>
          <t>X</t>
        </is>
      </c>
      <c r="DL2456" t="inlineStr">
        <is>
          <t>X</t>
        </is>
      </c>
      <c r="DN2456" t="inlineStr">
        <is>
          <t>X</t>
        </is>
      </c>
      <c r="DR2456" t="inlineStr">
        <is>
          <t>X</t>
        </is>
      </c>
      <c r="DS2456" t="inlineStr">
        <is>
          <t>D</t>
        </is>
      </c>
      <c r="DU2456" t="inlineStr">
        <is>
          <t>X</t>
        </is>
      </c>
      <c r="DW2456" t="inlineStr">
        <is>
          <t>D</t>
        </is>
      </c>
      <c r="EA2456" t="inlineStr">
        <is>
          <t>X</t>
        </is>
      </c>
      <c r="EF2456" t="inlineStr">
        <is>
          <t>X</t>
        </is>
      </c>
      <c r="EH2456" t="inlineStr">
        <is>
          <t>D</t>
        </is>
      </c>
    </row>
    <row r="2457">
      <c r="A2457" t="inlineStr">
        <is>
          <t>OH0021133699</t>
        </is>
      </c>
      <c r="B2457" t="n">
        <v>78</v>
      </c>
      <c r="C2457" t="n">
        <v>376076</v>
      </c>
      <c r="D2457" t="inlineStr">
        <is>
          <t>GARY</t>
        </is>
      </c>
      <c r="E2457" t="inlineStr">
        <is>
          <t>DECREETA</t>
        </is>
      </c>
      <c r="F2457">
        <f>CONCATENATE(D2457," ",LEFT(H2457,4),"T=",AU2457,"D=",AV2457,"R=",AW2457,"M=",AX2457,"L=",AY2457,"B=",AZ2457)</f>
        <v/>
      </c>
      <c r="G2457" t="inlineStr">
        <is>
          <t>A</t>
        </is>
      </c>
      <c r="I2457" t="inlineStr">
        <is>
          <t>1992-07-13</t>
        </is>
      </c>
      <c r="J2457" t="inlineStr">
        <is>
          <t>2020-11-23</t>
        </is>
      </c>
      <c r="K2457" t="inlineStr">
        <is>
          <t>ACTIVE</t>
        </is>
      </c>
      <c r="M2457" t="inlineStr">
        <is>
          <t>1807 BRIER ST SE</t>
        </is>
      </c>
      <c r="N2457">
        <f>RIGHT(M2457,LEN(M2457)-FIND(" ",M2457))</f>
        <v/>
      </c>
      <c r="P2457" t="inlineStr">
        <is>
          <t>WARREN</t>
        </is>
      </c>
      <c r="Q2457" t="inlineStr">
        <is>
          <t>OH</t>
        </is>
      </c>
      <c r="R2457" t="n">
        <v>44484</v>
      </c>
      <c r="AD2457" t="inlineStr">
        <is>
          <t>TRUMBULL CAREER &amp; TECH CENTER</t>
        </is>
      </c>
      <c r="AE2457" t="inlineStr">
        <is>
          <t>WARREN CITY</t>
        </is>
      </c>
      <c r="AF2457" t="inlineStr">
        <is>
          <t>WARREN CITY SD</t>
        </is>
      </c>
      <c r="AH2457" t="n">
        <v>14</v>
      </c>
      <c r="AI2457" t="n">
        <v>11</v>
      </c>
      <c r="AN2457" t="inlineStr">
        <is>
          <t>WARREN</t>
        </is>
      </c>
      <c r="AO2457" t="inlineStr">
        <is>
          <t>WARREN CITY 4F</t>
        </is>
      </c>
      <c r="AP2457" t="inlineStr">
        <is>
          <t>78-P-ADN</t>
        </is>
      </c>
      <c r="AQ2457" t="n">
        <v>9</v>
      </c>
      <c r="AR2457" t="n">
        <v>64</v>
      </c>
      <c r="AS2457" t="n">
        <v>32</v>
      </c>
      <c r="AU2457">
        <f>COUNTA($BA$2457:$EH$2457)</f>
        <v/>
      </c>
      <c r="AV2457">
        <f>COUNTIF($BA$2457:$EH$2457,"D")</f>
        <v/>
      </c>
      <c r="AW2457">
        <f>COUNTIF($BA$2457:$EH$2457,"R")</f>
        <v/>
      </c>
      <c r="AX2457">
        <f>IF(BN2457="D",1,0)+IF(BO2457="D",1,0)+IF(BT2457="D",1,0)+IF(BU2457="D",1,0)+IF(BW2457="D",1,0)+IF(CC2457="D",1,0)+IF(CD2457="D",1,0)+IF(CE2457="D",1,0)+IF(CF2457="D",1,0)+IF(CL2457="D",1,0)+IF(CM2457="D",1,0)+IF(CQ2457="D",1,0)+IF(CR2457="D",1,0)+IF(CS2457="D",1,0)+IF(CW2457="D",1,0)+IF(CX2457="D",1,0)+IF(DD2457="D",1,0)+IF(DE2457="D",1,0)+IF(DJ2457="D",1,0)+IF(DK2457="D",1,0)+IF(DO2457="D",1,0)+IF(DP2457="D",1,0)+IF(DQ2457="D",1,0)+IF(DW2457="D",1,0)+IF(DZ2457="D",1,0)+IF(EH2457="D",1,0)</f>
        <v/>
      </c>
      <c r="AY2457">
        <f>IF(DJ2457&lt;&gt;"",1,0)+IF(DK2457&lt;&gt;"",1,0)+IF(DM2457&lt;&gt;"",1,0)+IF(DO2457&lt;&gt;"",1,0)+IF(DP2457&lt;&gt;"",1,0)+IF(DQ2457&lt;&gt;"",1,0)+IF(DS2457&lt;&gt;"",1,0)+IF(DT2457&lt;&gt;"",1,0)+IF(DV2457&lt;&gt;"",1,0)+IF(DW2457&lt;&gt;"",1,0)+IF(DX2457&lt;&gt;"",1,0)+IF(DY2457&lt;&gt;"",1,0)+IF(DZ2457&lt;&gt;"",1,0)+IF(EB2457&lt;&gt;"",1,0)+IF(EC2457&lt;&gt;"",1,0)+IF(ED2457&lt;&gt;"",1,0)+IF(EG2457&lt;&gt;"",1,0)+IF(EH2457&lt;&gt;"",1,0)</f>
        <v/>
      </c>
      <c r="AZ2457">
        <f>IF(EH2457&lt;&gt;"",1,0)</f>
        <v/>
      </c>
      <c r="BB2457" t="inlineStr">
        <is>
          <t>WARREN-WARD 4</t>
        </is>
      </c>
      <c r="CP2457" t="inlineStr">
        <is>
          <t>X</t>
        </is>
      </c>
      <c r="DC2457" t="inlineStr">
        <is>
          <t>X</t>
        </is>
      </c>
      <c r="DN2457" t="inlineStr">
        <is>
          <t>X</t>
        </is>
      </c>
      <c r="EF2457" t="inlineStr">
        <is>
          <t>X</t>
        </is>
      </c>
    </row>
    <row r="2458">
      <c r="A2458" t="inlineStr">
        <is>
          <t>OH0015754205</t>
        </is>
      </c>
      <c r="B2458" t="n">
        <v>78</v>
      </c>
      <c r="C2458" t="n">
        <v>329359</v>
      </c>
      <c r="D2458" t="inlineStr">
        <is>
          <t>SIMS</t>
        </is>
      </c>
      <c r="E2458" t="inlineStr">
        <is>
          <t>LISA</t>
        </is>
      </c>
      <c r="F2458">
        <f>CONCATENATE(D2458," ",LEFT(H2458,4),"T=",AU2458,"D=",AV2458,"R=",AW2458,"M=",AX2458,"L=",AY2458,"B=",AZ2458)</f>
        <v/>
      </c>
      <c r="G2458" t="inlineStr">
        <is>
          <t>ANN</t>
        </is>
      </c>
      <c r="I2458" t="inlineStr">
        <is>
          <t>1966-11-08</t>
        </is>
      </c>
      <c r="J2458" t="inlineStr">
        <is>
          <t>2023-07-14</t>
        </is>
      </c>
      <c r="K2458" t="inlineStr">
        <is>
          <t>ACTIVE</t>
        </is>
      </c>
      <c r="M2458" t="inlineStr">
        <is>
          <t>1773 BRIER ST SE</t>
        </is>
      </c>
      <c r="N2458">
        <f>RIGHT(M2458,LEN(M2458)-FIND(" ",M2458))</f>
        <v/>
      </c>
      <c r="P2458" t="inlineStr">
        <is>
          <t>WARREN</t>
        </is>
      </c>
      <c r="Q2458" t="inlineStr">
        <is>
          <t>OH</t>
        </is>
      </c>
      <c r="R2458" t="n">
        <v>44484</v>
      </c>
      <c r="AD2458" t="inlineStr">
        <is>
          <t>TRUMBULL CAREER &amp; TECH CENTER</t>
        </is>
      </c>
      <c r="AE2458" t="inlineStr">
        <is>
          <t>WARREN CITY</t>
        </is>
      </c>
      <c r="AF2458" t="inlineStr">
        <is>
          <t>WARREN CITY SD</t>
        </is>
      </c>
      <c r="AH2458" t="n">
        <v>14</v>
      </c>
      <c r="AI2458" t="n">
        <v>11</v>
      </c>
      <c r="AN2458" t="inlineStr">
        <is>
          <t>WARREN</t>
        </is>
      </c>
      <c r="AO2458" t="inlineStr">
        <is>
          <t>WARREN CITY 4F</t>
        </is>
      </c>
      <c r="AP2458" t="inlineStr">
        <is>
          <t>78-P-ADN</t>
        </is>
      </c>
      <c r="AQ2458" t="n">
        <v>9</v>
      </c>
      <c r="AR2458" t="n">
        <v>64</v>
      </c>
      <c r="AS2458" t="n">
        <v>32</v>
      </c>
      <c r="AU2458">
        <f>COUNTA($BA$2458:$EH$2458)</f>
        <v/>
      </c>
      <c r="AV2458">
        <f>COUNTIF($BA$2458:$EH$2458,"D")</f>
        <v/>
      </c>
      <c r="AW2458">
        <f>COUNTIF($BA$2458:$EH$2458,"R")</f>
        <v/>
      </c>
      <c r="AX2458">
        <f>IF(BN2458="D",1,0)+IF(BO2458="D",1,0)+IF(BT2458="D",1,0)+IF(BU2458="D",1,0)+IF(BW2458="D",1,0)+IF(CC2458="D",1,0)+IF(CD2458="D",1,0)+IF(CE2458="D",1,0)+IF(CF2458="D",1,0)+IF(CL2458="D",1,0)+IF(CM2458="D",1,0)+IF(CQ2458="D",1,0)+IF(CR2458="D",1,0)+IF(CS2458="D",1,0)+IF(CW2458="D",1,0)+IF(CX2458="D",1,0)+IF(DD2458="D",1,0)+IF(DE2458="D",1,0)+IF(DJ2458="D",1,0)+IF(DK2458="D",1,0)+IF(DO2458="D",1,0)+IF(DP2458="D",1,0)+IF(DQ2458="D",1,0)+IF(DW2458="D",1,0)+IF(DZ2458="D",1,0)+IF(EH2458="D",1,0)</f>
        <v/>
      </c>
      <c r="AY2458">
        <f>IF(DJ2458&lt;&gt;"",1,0)+IF(DK2458&lt;&gt;"",1,0)+IF(DM2458&lt;&gt;"",1,0)+IF(DO2458&lt;&gt;"",1,0)+IF(DP2458&lt;&gt;"",1,0)+IF(DQ2458&lt;&gt;"",1,0)+IF(DS2458&lt;&gt;"",1,0)+IF(DT2458&lt;&gt;"",1,0)+IF(DV2458&lt;&gt;"",1,0)+IF(DW2458&lt;&gt;"",1,0)+IF(DX2458&lt;&gt;"",1,0)+IF(DY2458&lt;&gt;"",1,0)+IF(DZ2458&lt;&gt;"",1,0)+IF(EB2458&lt;&gt;"",1,0)+IF(EC2458&lt;&gt;"",1,0)+IF(ED2458&lt;&gt;"",1,0)+IF(EG2458&lt;&gt;"",1,0)+IF(EH2458&lt;&gt;"",1,0)</f>
        <v/>
      </c>
      <c r="AZ2458">
        <f>IF(EH2458&lt;&gt;"",1,0)</f>
        <v/>
      </c>
      <c r="BB2458" t="inlineStr">
        <is>
          <t>WARREN-WARD 4</t>
        </is>
      </c>
      <c r="BL2458" t="inlineStr">
        <is>
          <t>X</t>
        </is>
      </c>
      <c r="CA2458" t="inlineStr">
        <is>
          <t>X</t>
        </is>
      </c>
      <c r="CP2458" t="inlineStr">
        <is>
          <t>X</t>
        </is>
      </c>
      <c r="CZ2458" t="inlineStr">
        <is>
          <t>D</t>
        </is>
      </c>
      <c r="DC2458" t="inlineStr">
        <is>
          <t>X</t>
        </is>
      </c>
      <c r="DI2458" t="inlineStr">
        <is>
          <t>X</t>
        </is>
      </c>
      <c r="DL2458" t="inlineStr">
        <is>
          <t>X</t>
        </is>
      </c>
      <c r="DN2458" t="inlineStr">
        <is>
          <t>X</t>
        </is>
      </c>
    </row>
    <row r="2459">
      <c r="A2459" t="inlineStr">
        <is>
          <t>OH0015754013</t>
        </is>
      </c>
      <c r="B2459" t="n">
        <v>78</v>
      </c>
      <c r="C2459" t="n">
        <v>240727</v>
      </c>
      <c r="D2459" t="inlineStr">
        <is>
          <t>WILLIAMS</t>
        </is>
      </c>
      <c r="E2459" t="inlineStr">
        <is>
          <t>ALETHEA</t>
        </is>
      </c>
      <c r="F2459">
        <f>CONCATENATE(D2459," ",LEFT(H2459,4),"T=",AU2459,"D=",AV2459,"R=",AW2459,"M=",AX2459,"L=",AY2459,"B=",AZ2459)</f>
        <v/>
      </c>
      <c r="G2459" t="inlineStr">
        <is>
          <t>D</t>
        </is>
      </c>
      <c r="I2459" t="inlineStr">
        <is>
          <t>1973-06-30</t>
        </is>
      </c>
      <c r="J2459" t="inlineStr">
        <is>
          <t>2008-11-04</t>
        </is>
      </c>
      <c r="K2459" t="inlineStr">
        <is>
          <t>ACTIVE</t>
        </is>
      </c>
      <c r="M2459" t="inlineStr">
        <is>
          <t>1797 BRIER ST SE</t>
        </is>
      </c>
      <c r="N2459">
        <f>RIGHT(M2459,LEN(M2459)-FIND(" ",M2459))</f>
        <v/>
      </c>
      <c r="P2459" t="inlineStr">
        <is>
          <t>WARREN</t>
        </is>
      </c>
      <c r="Q2459" t="inlineStr">
        <is>
          <t>OH</t>
        </is>
      </c>
      <c r="R2459" t="n">
        <v>44484</v>
      </c>
      <c r="AD2459" t="inlineStr">
        <is>
          <t>TRUMBULL CAREER &amp; TECH CENTER</t>
        </is>
      </c>
      <c r="AE2459" t="inlineStr">
        <is>
          <t>WARREN CITY</t>
        </is>
      </c>
      <c r="AF2459" t="inlineStr">
        <is>
          <t>WARREN CITY SD</t>
        </is>
      </c>
      <c r="AH2459" t="n">
        <v>14</v>
      </c>
      <c r="AI2459" t="n">
        <v>11</v>
      </c>
      <c r="AN2459" t="inlineStr">
        <is>
          <t>WARREN</t>
        </is>
      </c>
      <c r="AO2459" t="inlineStr">
        <is>
          <t>WARREN CITY 4F</t>
        </is>
      </c>
      <c r="AP2459" t="inlineStr">
        <is>
          <t>78-P-ADN</t>
        </is>
      </c>
      <c r="AQ2459" t="n">
        <v>9</v>
      </c>
      <c r="AR2459" t="n">
        <v>64</v>
      </c>
      <c r="AS2459" t="n">
        <v>32</v>
      </c>
      <c r="AU2459">
        <f>COUNTA($BA$2459:$EH$2459)</f>
        <v/>
      </c>
      <c r="AV2459">
        <f>COUNTIF($BA$2459:$EH$2459,"D")</f>
        <v/>
      </c>
      <c r="AW2459">
        <f>COUNTIF($BA$2459:$EH$2459,"R")</f>
        <v/>
      </c>
      <c r="AX2459">
        <f>IF(BN2459="D",1,0)+IF(BO2459="D",1,0)+IF(BT2459="D",1,0)+IF(BU2459="D",1,0)+IF(BW2459="D",1,0)+IF(CC2459="D",1,0)+IF(CD2459="D",1,0)+IF(CE2459="D",1,0)+IF(CF2459="D",1,0)+IF(CL2459="D",1,0)+IF(CM2459="D",1,0)+IF(CQ2459="D",1,0)+IF(CR2459="D",1,0)+IF(CS2459="D",1,0)+IF(CW2459="D",1,0)+IF(CX2459="D",1,0)+IF(DD2459="D",1,0)+IF(DE2459="D",1,0)+IF(DJ2459="D",1,0)+IF(DK2459="D",1,0)+IF(DO2459="D",1,0)+IF(DP2459="D",1,0)+IF(DQ2459="D",1,0)+IF(DW2459="D",1,0)+IF(DZ2459="D",1,0)+IF(EH2459="D",1,0)</f>
        <v/>
      </c>
      <c r="AY2459">
        <f>IF(DJ2459&lt;&gt;"",1,0)+IF(DK2459&lt;&gt;"",1,0)+IF(DM2459&lt;&gt;"",1,0)+IF(DO2459&lt;&gt;"",1,0)+IF(DP2459&lt;&gt;"",1,0)+IF(DQ2459&lt;&gt;"",1,0)+IF(DS2459&lt;&gt;"",1,0)+IF(DT2459&lt;&gt;"",1,0)+IF(DV2459&lt;&gt;"",1,0)+IF(DW2459&lt;&gt;"",1,0)+IF(DX2459&lt;&gt;"",1,0)+IF(DY2459&lt;&gt;"",1,0)+IF(DZ2459&lt;&gt;"",1,0)+IF(EB2459&lt;&gt;"",1,0)+IF(EC2459&lt;&gt;"",1,0)+IF(ED2459&lt;&gt;"",1,0)+IF(EG2459&lt;&gt;"",1,0)+IF(EH2459&lt;&gt;"",1,0)</f>
        <v/>
      </c>
      <c r="AZ2459">
        <f>IF(EH2459&lt;&gt;"",1,0)</f>
        <v/>
      </c>
      <c r="BB2459" t="inlineStr">
        <is>
          <t>WARREN-WARD 4</t>
        </is>
      </c>
      <c r="BD2459" t="inlineStr">
        <is>
          <t>X</t>
        </is>
      </c>
      <c r="BH2459" t="inlineStr">
        <is>
          <t>X</t>
        </is>
      </c>
      <c r="BL2459" t="inlineStr">
        <is>
          <t>X</t>
        </is>
      </c>
      <c r="BY2459" t="inlineStr">
        <is>
          <t>D</t>
        </is>
      </c>
      <c r="CA2459" t="inlineStr">
        <is>
          <t>X</t>
        </is>
      </c>
      <c r="CP2459" t="inlineStr">
        <is>
          <t>X</t>
        </is>
      </c>
      <c r="CZ2459" t="inlineStr">
        <is>
          <t>D</t>
        </is>
      </c>
      <c r="DC2459" t="inlineStr">
        <is>
          <t>X</t>
        </is>
      </c>
      <c r="DU2459" t="inlineStr">
        <is>
          <t>X</t>
        </is>
      </c>
      <c r="EA2459" t="inlineStr">
        <is>
          <t>X</t>
        </is>
      </c>
      <c r="EF2459" t="inlineStr">
        <is>
          <t>X</t>
        </is>
      </c>
    </row>
    <row r="2460">
      <c r="A2460" t="inlineStr">
        <is>
          <t>OH0015683782</t>
        </is>
      </c>
      <c r="B2460" t="n">
        <v>78</v>
      </c>
      <c r="C2460" t="n">
        <v>325468</v>
      </c>
      <c r="D2460" t="inlineStr">
        <is>
          <t>BAUGH</t>
        </is>
      </c>
      <c r="E2460" t="inlineStr">
        <is>
          <t>DAVID</t>
        </is>
      </c>
      <c r="F2460">
        <f>CONCATENATE(D2460," ",LEFT(H2460,4),"T=",AU2460,"D=",AV2460,"R=",AW2460,"M=",AX2460,"L=",AY2460,"B=",AZ2460)</f>
        <v/>
      </c>
      <c r="I2460" t="inlineStr">
        <is>
          <t>1983-10-07</t>
        </is>
      </c>
      <c r="J2460" t="inlineStr">
        <is>
          <t>2009-11-13</t>
        </is>
      </c>
      <c r="K2460" t="inlineStr">
        <is>
          <t>ACTIVE</t>
        </is>
      </c>
      <c r="L2460" t="inlineStr">
        <is>
          <t>D</t>
        </is>
      </c>
      <c r="M2460" t="inlineStr">
        <is>
          <t>1740 BRIER ST SE</t>
        </is>
      </c>
      <c r="N2460">
        <f>RIGHT(M2460,LEN(M2460)-FIND(" ",M2460))</f>
        <v/>
      </c>
      <c r="P2460" t="inlineStr">
        <is>
          <t>WARREN</t>
        </is>
      </c>
      <c r="Q2460" t="inlineStr">
        <is>
          <t>OH</t>
        </is>
      </c>
      <c r="R2460" t="n">
        <v>44484</v>
      </c>
      <c r="AD2460" t="inlineStr">
        <is>
          <t>TRUMBULL CAREER &amp; TECH CENTER</t>
        </is>
      </c>
      <c r="AE2460" t="inlineStr">
        <is>
          <t>WARREN CITY</t>
        </is>
      </c>
      <c r="AF2460" t="inlineStr">
        <is>
          <t>WARREN CITY SD</t>
        </is>
      </c>
      <c r="AH2460" t="n">
        <v>14</v>
      </c>
      <c r="AI2460" t="n">
        <v>11</v>
      </c>
      <c r="AN2460" t="inlineStr">
        <is>
          <t>WARREN</t>
        </is>
      </c>
      <c r="AO2460" t="inlineStr">
        <is>
          <t>WARREN CITY 4F</t>
        </is>
      </c>
      <c r="AP2460" t="inlineStr">
        <is>
          <t>78-P-ADN</t>
        </is>
      </c>
      <c r="AQ2460" t="n">
        <v>9</v>
      </c>
      <c r="AR2460" t="n">
        <v>64</v>
      </c>
      <c r="AS2460" t="n">
        <v>32</v>
      </c>
      <c r="AU2460">
        <f>COUNTA($BA$2460:$EH$2460)</f>
        <v/>
      </c>
      <c r="AV2460">
        <f>COUNTIF($BA$2460:$EH$2460,"D")</f>
        <v/>
      </c>
      <c r="AW2460">
        <f>COUNTIF($BA$2460:$EH$2460,"R")</f>
        <v/>
      </c>
      <c r="AX2460">
        <f>IF(BN2460="D",1,0)+IF(BO2460="D",1,0)+IF(BT2460="D",1,0)+IF(BU2460="D",1,0)+IF(BW2460="D",1,0)+IF(CC2460="D",1,0)+IF(CD2460="D",1,0)+IF(CE2460="D",1,0)+IF(CF2460="D",1,0)+IF(CL2460="D",1,0)+IF(CM2460="D",1,0)+IF(CQ2460="D",1,0)+IF(CR2460="D",1,0)+IF(CS2460="D",1,0)+IF(CW2460="D",1,0)+IF(CX2460="D",1,0)+IF(DD2460="D",1,0)+IF(DE2460="D",1,0)+IF(DJ2460="D",1,0)+IF(DK2460="D",1,0)+IF(DO2460="D",1,0)+IF(DP2460="D",1,0)+IF(DQ2460="D",1,0)+IF(DW2460="D",1,0)+IF(DZ2460="D",1,0)+IF(EH2460="D",1,0)</f>
        <v/>
      </c>
      <c r="AY2460">
        <f>IF(DJ2460&lt;&gt;"",1,0)+IF(DK2460&lt;&gt;"",1,0)+IF(DM2460&lt;&gt;"",1,0)+IF(DO2460&lt;&gt;"",1,0)+IF(DP2460&lt;&gt;"",1,0)+IF(DQ2460&lt;&gt;"",1,0)+IF(DS2460&lt;&gt;"",1,0)+IF(DT2460&lt;&gt;"",1,0)+IF(DV2460&lt;&gt;"",1,0)+IF(DW2460&lt;&gt;"",1,0)+IF(DX2460&lt;&gt;"",1,0)+IF(DY2460&lt;&gt;"",1,0)+IF(DZ2460&lt;&gt;"",1,0)+IF(EB2460&lt;&gt;"",1,0)+IF(EC2460&lt;&gt;"",1,0)+IF(ED2460&lt;&gt;"",1,0)+IF(EG2460&lt;&gt;"",1,0)+IF(EH2460&lt;&gt;"",1,0)</f>
        <v/>
      </c>
      <c r="AZ2460">
        <f>IF(EH2460&lt;&gt;"",1,0)</f>
        <v/>
      </c>
      <c r="BB2460" t="inlineStr">
        <is>
          <t>WARREN-WARD 4</t>
        </is>
      </c>
      <c r="BL2460" t="inlineStr">
        <is>
          <t>X</t>
        </is>
      </c>
      <c r="CA2460" t="inlineStr">
        <is>
          <t>X</t>
        </is>
      </c>
      <c r="CG2460" t="inlineStr">
        <is>
          <t>X</t>
        </is>
      </c>
      <c r="CK2460" t="inlineStr">
        <is>
          <t>X</t>
        </is>
      </c>
      <c r="CL2460" t="inlineStr">
        <is>
          <t>D</t>
        </is>
      </c>
      <c r="CN2460" t="inlineStr">
        <is>
          <t>X</t>
        </is>
      </c>
      <c r="CP2460" t="inlineStr">
        <is>
          <t>X</t>
        </is>
      </c>
      <c r="CV2460" t="inlineStr">
        <is>
          <t>X</t>
        </is>
      </c>
      <c r="CW2460" t="inlineStr">
        <is>
          <t>D</t>
        </is>
      </c>
      <c r="CY2460" t="inlineStr">
        <is>
          <t>X</t>
        </is>
      </c>
      <c r="CZ2460" t="inlineStr">
        <is>
          <t>D</t>
        </is>
      </c>
      <c r="DC2460" t="inlineStr">
        <is>
          <t>X</t>
        </is>
      </c>
      <c r="DF2460" t="inlineStr">
        <is>
          <t>X</t>
        </is>
      </c>
      <c r="DN2460" t="inlineStr">
        <is>
          <t>X</t>
        </is>
      </c>
      <c r="DR2460" t="inlineStr">
        <is>
          <t>X</t>
        </is>
      </c>
      <c r="DU2460" t="inlineStr">
        <is>
          <t>X</t>
        </is>
      </c>
      <c r="DW2460" t="inlineStr">
        <is>
          <t>D</t>
        </is>
      </c>
      <c r="DX2460" t="inlineStr">
        <is>
          <t>X</t>
        </is>
      </c>
      <c r="EA2460" t="inlineStr">
        <is>
          <t>X</t>
        </is>
      </c>
      <c r="EF2460" t="inlineStr">
        <is>
          <t>X</t>
        </is>
      </c>
    </row>
    <row r="2461">
      <c r="A2461" t="inlineStr">
        <is>
          <t>OH0015755528</t>
        </is>
      </c>
      <c r="B2461" t="n">
        <v>78</v>
      </c>
      <c r="C2461" t="n">
        <v>242353</v>
      </c>
      <c r="D2461" t="inlineStr">
        <is>
          <t>ZUCCO</t>
        </is>
      </c>
      <c r="E2461" t="inlineStr">
        <is>
          <t>KENNETH</t>
        </is>
      </c>
      <c r="F2461">
        <f>CONCATENATE(D2461," ",LEFT(H2461,4),"T=",AU2461,"D=",AV2461,"R=",AW2461,"M=",AX2461,"L=",AY2461,"B=",AZ2461)</f>
        <v/>
      </c>
      <c r="G2461" t="inlineStr">
        <is>
          <t>A</t>
        </is>
      </c>
      <c r="H2461" t="inlineStr">
        <is>
          <t>JR</t>
        </is>
      </c>
      <c r="I2461" t="inlineStr">
        <is>
          <t>1971-08-22</t>
        </is>
      </c>
      <c r="J2461" t="inlineStr">
        <is>
          <t>2021-12-13</t>
        </is>
      </c>
      <c r="K2461" t="inlineStr">
        <is>
          <t>ACTIVE</t>
        </is>
      </c>
      <c r="M2461" t="inlineStr">
        <is>
          <t>1730 BRIER ST SE</t>
        </is>
      </c>
      <c r="N2461">
        <f>RIGHT(M2461,LEN(M2461)-FIND(" ",M2461))</f>
        <v/>
      </c>
      <c r="P2461" t="inlineStr">
        <is>
          <t>WARREN</t>
        </is>
      </c>
      <c r="Q2461" t="inlineStr">
        <is>
          <t>OH</t>
        </is>
      </c>
      <c r="R2461" t="n">
        <v>44484</v>
      </c>
      <c r="AD2461" t="inlineStr">
        <is>
          <t>TRUMBULL CAREER &amp; TECH CENTER</t>
        </is>
      </c>
      <c r="AE2461" t="inlineStr">
        <is>
          <t>WARREN CITY</t>
        </is>
      </c>
      <c r="AF2461" t="inlineStr">
        <is>
          <t>WARREN CITY SD</t>
        </is>
      </c>
      <c r="AH2461" t="n">
        <v>14</v>
      </c>
      <c r="AI2461" t="n">
        <v>11</v>
      </c>
      <c r="AN2461" t="inlineStr">
        <is>
          <t>WARREN</t>
        </is>
      </c>
      <c r="AO2461" t="inlineStr">
        <is>
          <t>WARREN CITY 4F</t>
        </is>
      </c>
      <c r="AP2461" t="inlineStr">
        <is>
          <t>78-P-ADN</t>
        </is>
      </c>
      <c r="AQ2461" t="n">
        <v>9</v>
      </c>
      <c r="AR2461" t="n">
        <v>64</v>
      </c>
      <c r="AS2461" t="n">
        <v>32</v>
      </c>
      <c r="AU2461">
        <f>COUNTA($BA$2461:$EH$2461)</f>
        <v/>
      </c>
      <c r="AV2461">
        <f>COUNTIF($BA$2461:$EH$2461,"D")</f>
        <v/>
      </c>
      <c r="AW2461">
        <f>COUNTIF($BA$2461:$EH$2461,"R")</f>
        <v/>
      </c>
      <c r="AX2461">
        <f>IF(BN2461="D",1,0)+IF(BO2461="D",1,0)+IF(BT2461="D",1,0)+IF(BU2461="D",1,0)+IF(BW2461="D",1,0)+IF(CC2461="D",1,0)+IF(CD2461="D",1,0)+IF(CE2461="D",1,0)+IF(CF2461="D",1,0)+IF(CL2461="D",1,0)+IF(CM2461="D",1,0)+IF(CQ2461="D",1,0)+IF(CR2461="D",1,0)+IF(CS2461="D",1,0)+IF(CW2461="D",1,0)+IF(CX2461="D",1,0)+IF(DD2461="D",1,0)+IF(DE2461="D",1,0)+IF(DJ2461="D",1,0)+IF(DK2461="D",1,0)+IF(DO2461="D",1,0)+IF(DP2461="D",1,0)+IF(DQ2461="D",1,0)+IF(DW2461="D",1,0)+IF(DZ2461="D",1,0)+IF(EH2461="D",1,0)</f>
        <v/>
      </c>
      <c r="AY2461">
        <f>IF(DJ2461&lt;&gt;"",1,0)+IF(DK2461&lt;&gt;"",1,0)+IF(DM2461&lt;&gt;"",1,0)+IF(DO2461&lt;&gt;"",1,0)+IF(DP2461&lt;&gt;"",1,0)+IF(DQ2461&lt;&gt;"",1,0)+IF(DS2461&lt;&gt;"",1,0)+IF(DT2461&lt;&gt;"",1,0)+IF(DV2461&lt;&gt;"",1,0)+IF(DW2461&lt;&gt;"",1,0)+IF(DX2461&lt;&gt;"",1,0)+IF(DY2461&lt;&gt;"",1,0)+IF(DZ2461&lt;&gt;"",1,0)+IF(EB2461&lt;&gt;"",1,0)+IF(EC2461&lt;&gt;"",1,0)+IF(ED2461&lt;&gt;"",1,0)+IF(EG2461&lt;&gt;"",1,0)+IF(EH2461&lt;&gt;"",1,0)</f>
        <v/>
      </c>
      <c r="AZ2461">
        <f>IF(EH2461&lt;&gt;"",1,0)</f>
        <v/>
      </c>
      <c r="BB2461" t="inlineStr">
        <is>
          <t>WARREN-WARD 4</t>
        </is>
      </c>
      <c r="BD2461" t="inlineStr">
        <is>
          <t>X</t>
        </is>
      </c>
      <c r="BH2461" t="inlineStr">
        <is>
          <t>X</t>
        </is>
      </c>
      <c r="BL2461" t="inlineStr">
        <is>
          <t>X</t>
        </is>
      </c>
      <c r="BS2461" t="inlineStr">
        <is>
          <t>X</t>
        </is>
      </c>
      <c r="BY2461" t="inlineStr">
        <is>
          <t>D</t>
        </is>
      </c>
      <c r="CA2461" t="inlineStr">
        <is>
          <t>X</t>
        </is>
      </c>
      <c r="CP2461" t="inlineStr">
        <is>
          <t>X</t>
        </is>
      </c>
      <c r="DC2461" t="inlineStr">
        <is>
          <t>X</t>
        </is>
      </c>
      <c r="DI2461" t="inlineStr">
        <is>
          <t>X</t>
        </is>
      </c>
      <c r="DM2461" t="inlineStr">
        <is>
          <t>D</t>
        </is>
      </c>
      <c r="DN2461" t="inlineStr">
        <is>
          <t>X</t>
        </is>
      </c>
      <c r="DU2461" t="inlineStr">
        <is>
          <t>X</t>
        </is>
      </c>
      <c r="EA2461" t="inlineStr">
        <is>
          <t>X</t>
        </is>
      </c>
      <c r="EF2461" t="inlineStr">
        <is>
          <t>X</t>
        </is>
      </c>
    </row>
    <row r="2462">
      <c r="A2462" t="inlineStr">
        <is>
          <t>OH0027730043</t>
        </is>
      </c>
      <c r="B2462" t="n">
        <v>78</v>
      </c>
      <c r="C2462" t="n">
        <v>491421</v>
      </c>
      <c r="D2462" t="inlineStr">
        <is>
          <t>ALLEN</t>
        </is>
      </c>
      <c r="E2462" t="inlineStr">
        <is>
          <t>GROVER</t>
        </is>
      </c>
      <c r="F2462">
        <f>CONCATENATE(D2462," ",LEFT(H2462,4),"T=",AU2462,"D=",AV2462,"R=",AW2462,"M=",AX2462,"L=",AY2462,"B=",AZ2462)</f>
        <v/>
      </c>
      <c r="H2462" t="inlineStr">
        <is>
          <t>JR</t>
        </is>
      </c>
      <c r="I2462" t="inlineStr">
        <is>
          <t>1982-02-19</t>
        </is>
      </c>
      <c r="J2462" t="inlineStr">
        <is>
          <t>2024-10-07</t>
        </is>
      </c>
      <c r="K2462" t="inlineStr">
        <is>
          <t>ACTIVE</t>
        </is>
      </c>
      <c r="M2462" t="inlineStr">
        <is>
          <t>1936 BURTON ST SE</t>
        </is>
      </c>
      <c r="N2462">
        <f>RIGHT(M2462,LEN(M2462)-FIND(" ",M2462))</f>
        <v/>
      </c>
      <c r="O2462" t="inlineStr">
        <is>
          <t>FRNT 0</t>
        </is>
      </c>
      <c r="P2462" t="inlineStr">
        <is>
          <t>WARREN</t>
        </is>
      </c>
      <c r="Q2462" t="inlineStr">
        <is>
          <t>OH</t>
        </is>
      </c>
      <c r="R2462" t="n">
        <v>44484</v>
      </c>
      <c r="AD2462" t="inlineStr">
        <is>
          <t>TRUMBULL CAREER &amp; TECH CENTER</t>
        </is>
      </c>
      <c r="AE2462" t="inlineStr">
        <is>
          <t>WARREN CITY</t>
        </is>
      </c>
      <c r="AF2462" t="inlineStr">
        <is>
          <t>WARREN CITY SD</t>
        </is>
      </c>
      <c r="AH2462" t="n">
        <v>14</v>
      </c>
      <c r="AI2462" t="n">
        <v>11</v>
      </c>
      <c r="AN2462" t="inlineStr">
        <is>
          <t>WARREN</t>
        </is>
      </c>
      <c r="AO2462" t="inlineStr">
        <is>
          <t>WARREN CITY 4F</t>
        </is>
      </c>
      <c r="AP2462" t="inlineStr">
        <is>
          <t>78-P-ADN</t>
        </is>
      </c>
      <c r="AQ2462" t="n">
        <v>9</v>
      </c>
      <c r="AR2462" t="n">
        <v>64</v>
      </c>
      <c r="AS2462" t="n">
        <v>32</v>
      </c>
      <c r="AU2462">
        <f>COUNTA($BA$2462:$EH$2462)</f>
        <v/>
      </c>
      <c r="AV2462">
        <f>COUNTIF($BA$2462:$EH$2462,"D")</f>
        <v/>
      </c>
      <c r="AW2462">
        <f>COUNTIF($BA$2462:$EH$2462,"R")</f>
        <v/>
      </c>
      <c r="AX2462">
        <f>IF(BN2462="D",1,0)+IF(BO2462="D",1,0)+IF(BT2462="D",1,0)+IF(BU2462="D",1,0)+IF(BW2462="D",1,0)+IF(CC2462="D",1,0)+IF(CD2462="D",1,0)+IF(CE2462="D",1,0)+IF(CF2462="D",1,0)+IF(CL2462="D",1,0)+IF(CM2462="D",1,0)+IF(CQ2462="D",1,0)+IF(CR2462="D",1,0)+IF(CS2462="D",1,0)+IF(CW2462="D",1,0)+IF(CX2462="D",1,0)+IF(DD2462="D",1,0)+IF(DE2462="D",1,0)+IF(DJ2462="D",1,0)+IF(DK2462="D",1,0)+IF(DO2462="D",1,0)+IF(DP2462="D",1,0)+IF(DQ2462="D",1,0)+IF(DW2462="D",1,0)+IF(DZ2462="D",1,0)+IF(EH2462="D",1,0)</f>
        <v/>
      </c>
      <c r="AY2462">
        <f>IF(DJ2462&lt;&gt;"",1,0)+IF(DK2462&lt;&gt;"",1,0)+IF(DM2462&lt;&gt;"",1,0)+IF(DO2462&lt;&gt;"",1,0)+IF(DP2462&lt;&gt;"",1,0)+IF(DQ2462&lt;&gt;"",1,0)+IF(DS2462&lt;&gt;"",1,0)+IF(DT2462&lt;&gt;"",1,0)+IF(DV2462&lt;&gt;"",1,0)+IF(DW2462&lt;&gt;"",1,0)+IF(DX2462&lt;&gt;"",1,0)+IF(DY2462&lt;&gt;"",1,0)+IF(DZ2462&lt;&gt;"",1,0)+IF(EB2462&lt;&gt;"",1,0)+IF(EC2462&lt;&gt;"",1,0)+IF(ED2462&lt;&gt;"",1,0)+IF(EG2462&lt;&gt;"",1,0)+IF(EH2462&lt;&gt;"",1,0)</f>
        <v/>
      </c>
      <c r="AZ2462">
        <f>IF(EH2462&lt;&gt;"",1,0)</f>
        <v/>
      </c>
      <c r="BB2462" t="inlineStr">
        <is>
          <t>WARREN-WARD 4</t>
        </is>
      </c>
      <c r="CP2462" t="inlineStr">
        <is>
          <t>X</t>
        </is>
      </c>
      <c r="DU2462" t="inlineStr">
        <is>
          <t>X</t>
        </is>
      </c>
      <c r="EF2462" t="inlineStr">
        <is>
          <t>X</t>
        </is>
      </c>
    </row>
    <row r="2463">
      <c r="A2463" t="inlineStr">
        <is>
          <t>OH0015738914</t>
        </is>
      </c>
      <c r="B2463" t="n">
        <v>78</v>
      </c>
      <c r="C2463" t="n">
        <v>322616</v>
      </c>
      <c r="D2463" t="inlineStr">
        <is>
          <t>TILLMAN</t>
        </is>
      </c>
      <c r="E2463" t="inlineStr">
        <is>
          <t>THEO</t>
        </is>
      </c>
      <c r="F2463">
        <f>CONCATENATE(D2463," ",LEFT(H2463,4),"T=",AU2463,"D=",AV2463,"R=",AW2463,"M=",AX2463,"L=",AY2463,"B=",AZ2463)</f>
        <v/>
      </c>
      <c r="G2463" t="inlineStr">
        <is>
          <t>RASHAD</t>
        </is>
      </c>
      <c r="I2463" t="inlineStr">
        <is>
          <t>1986-06-13</t>
        </is>
      </c>
      <c r="J2463" t="inlineStr">
        <is>
          <t>2020-11-23</t>
        </is>
      </c>
      <c r="K2463" t="inlineStr">
        <is>
          <t>ACTIVE</t>
        </is>
      </c>
      <c r="M2463" t="inlineStr">
        <is>
          <t>1191 OAK KNOLL AVE SE</t>
        </is>
      </c>
      <c r="N2463">
        <f>RIGHT(M2463,LEN(M2463)-FIND(" ",M2463))</f>
        <v/>
      </c>
      <c r="P2463" t="inlineStr">
        <is>
          <t>WARREN</t>
        </is>
      </c>
      <c r="Q2463" t="inlineStr">
        <is>
          <t>OH</t>
        </is>
      </c>
      <c r="R2463" t="n">
        <v>44484</v>
      </c>
      <c r="AD2463" t="inlineStr">
        <is>
          <t>TRUMBULL CAREER &amp; TECH CENTER</t>
        </is>
      </c>
      <c r="AE2463" t="inlineStr">
        <is>
          <t>WARREN CITY</t>
        </is>
      </c>
      <c r="AF2463" t="inlineStr">
        <is>
          <t>WARREN CITY SD</t>
        </is>
      </c>
      <c r="AH2463" t="n">
        <v>14</v>
      </c>
      <c r="AI2463" t="n">
        <v>11</v>
      </c>
      <c r="AN2463" t="inlineStr">
        <is>
          <t>WARREN</t>
        </is>
      </c>
      <c r="AO2463" t="inlineStr">
        <is>
          <t>WARREN CITY 4F</t>
        </is>
      </c>
      <c r="AP2463" t="inlineStr">
        <is>
          <t>78-P-ADN</t>
        </is>
      </c>
      <c r="AQ2463" t="n">
        <v>9</v>
      </c>
      <c r="AR2463" t="n">
        <v>64</v>
      </c>
      <c r="AS2463" t="n">
        <v>32</v>
      </c>
      <c r="AU2463">
        <f>COUNTA($BA$2463:$EH$2463)</f>
        <v/>
      </c>
      <c r="AV2463">
        <f>COUNTIF($BA$2463:$EH$2463,"D")</f>
        <v/>
      </c>
      <c r="AW2463">
        <f>COUNTIF($BA$2463:$EH$2463,"R")</f>
        <v/>
      </c>
      <c r="AX2463">
        <f>IF(BN2463="D",1,0)+IF(BO2463="D",1,0)+IF(BT2463="D",1,0)+IF(BU2463="D",1,0)+IF(BW2463="D",1,0)+IF(CC2463="D",1,0)+IF(CD2463="D",1,0)+IF(CE2463="D",1,0)+IF(CF2463="D",1,0)+IF(CL2463="D",1,0)+IF(CM2463="D",1,0)+IF(CQ2463="D",1,0)+IF(CR2463="D",1,0)+IF(CS2463="D",1,0)+IF(CW2463="D",1,0)+IF(CX2463="D",1,0)+IF(DD2463="D",1,0)+IF(DE2463="D",1,0)+IF(DJ2463="D",1,0)+IF(DK2463="D",1,0)+IF(DO2463="D",1,0)+IF(DP2463="D",1,0)+IF(DQ2463="D",1,0)+IF(DW2463="D",1,0)+IF(DZ2463="D",1,0)+IF(EH2463="D",1,0)</f>
        <v/>
      </c>
      <c r="AY2463">
        <f>IF(DJ2463&lt;&gt;"",1,0)+IF(DK2463&lt;&gt;"",1,0)+IF(DM2463&lt;&gt;"",1,0)+IF(DO2463&lt;&gt;"",1,0)+IF(DP2463&lt;&gt;"",1,0)+IF(DQ2463&lt;&gt;"",1,0)+IF(DS2463&lt;&gt;"",1,0)+IF(DT2463&lt;&gt;"",1,0)+IF(DV2463&lt;&gt;"",1,0)+IF(DW2463&lt;&gt;"",1,0)+IF(DX2463&lt;&gt;"",1,0)+IF(DY2463&lt;&gt;"",1,0)+IF(DZ2463&lt;&gt;"",1,0)+IF(EB2463&lt;&gt;"",1,0)+IF(EC2463&lt;&gt;"",1,0)+IF(ED2463&lt;&gt;"",1,0)+IF(EG2463&lt;&gt;"",1,0)+IF(EH2463&lt;&gt;"",1,0)</f>
        <v/>
      </c>
      <c r="AZ2463">
        <f>IF(EH2463&lt;&gt;"",1,0)</f>
        <v/>
      </c>
      <c r="BB2463" t="inlineStr">
        <is>
          <t>WARREN-WARD 4</t>
        </is>
      </c>
      <c r="BL2463" t="inlineStr">
        <is>
          <t>X</t>
        </is>
      </c>
      <c r="CA2463" t="inlineStr">
        <is>
          <t>X</t>
        </is>
      </c>
      <c r="CL2463" t="inlineStr">
        <is>
          <t>D</t>
        </is>
      </c>
      <c r="CP2463" t="inlineStr">
        <is>
          <t>X</t>
        </is>
      </c>
      <c r="CY2463" t="inlineStr">
        <is>
          <t>X</t>
        </is>
      </c>
      <c r="DC2463" t="inlineStr">
        <is>
          <t>X</t>
        </is>
      </c>
      <c r="DI2463" t="inlineStr">
        <is>
          <t>X</t>
        </is>
      </c>
      <c r="DL2463" t="inlineStr">
        <is>
          <t>X</t>
        </is>
      </c>
      <c r="DN2463" t="inlineStr">
        <is>
          <t>X</t>
        </is>
      </c>
    </row>
    <row r="2464">
      <c r="A2464" t="inlineStr">
        <is>
          <t>OH0015761044</t>
        </is>
      </c>
      <c r="B2464" t="n">
        <v>78</v>
      </c>
      <c r="C2464" t="n">
        <v>320397</v>
      </c>
      <c r="D2464" t="inlineStr">
        <is>
          <t>LAMPLEY</t>
        </is>
      </c>
      <c r="E2464" t="inlineStr">
        <is>
          <t>TOVARICE</t>
        </is>
      </c>
      <c r="F2464">
        <f>CONCATENATE(D2464," ",LEFT(H2464,4),"T=",AU2464,"D=",AV2464,"R=",AW2464,"M=",AX2464,"L=",AY2464,"B=",AZ2464)</f>
        <v/>
      </c>
      <c r="I2464" t="inlineStr">
        <is>
          <t>1957-12-04</t>
        </is>
      </c>
      <c r="J2464" t="inlineStr">
        <is>
          <t>2020-11-23</t>
        </is>
      </c>
      <c r="K2464" t="inlineStr">
        <is>
          <t>CONFIRMATION</t>
        </is>
      </c>
      <c r="M2464" t="inlineStr">
        <is>
          <t>1664 OAK KNOLL AVE SE</t>
        </is>
      </c>
      <c r="N2464">
        <f>RIGHT(M2464,LEN(M2464)-FIND(" ",M2464))</f>
        <v/>
      </c>
      <c r="P2464" t="inlineStr">
        <is>
          <t>WARREN</t>
        </is>
      </c>
      <c r="Q2464" t="inlineStr">
        <is>
          <t>OH</t>
        </is>
      </c>
      <c r="R2464" t="n">
        <v>44484</v>
      </c>
      <c r="AD2464" t="inlineStr">
        <is>
          <t>TRUMBULL CAREER &amp; TECH CENTER</t>
        </is>
      </c>
      <c r="AE2464" t="inlineStr">
        <is>
          <t>WARREN CITY</t>
        </is>
      </c>
      <c r="AF2464" t="inlineStr">
        <is>
          <t>WARREN CITY SD</t>
        </is>
      </c>
      <c r="AH2464" t="n">
        <v>14</v>
      </c>
      <c r="AI2464" t="n">
        <v>11</v>
      </c>
      <c r="AN2464" t="inlineStr">
        <is>
          <t>WARREN</t>
        </is>
      </c>
      <c r="AO2464" t="inlineStr">
        <is>
          <t>WARREN CITY 4F</t>
        </is>
      </c>
      <c r="AP2464" t="inlineStr">
        <is>
          <t>78-P-ADN</t>
        </is>
      </c>
      <c r="AQ2464" t="n">
        <v>9</v>
      </c>
      <c r="AR2464" t="n">
        <v>64</v>
      </c>
      <c r="AS2464" t="n">
        <v>32</v>
      </c>
      <c r="AU2464">
        <f>COUNTA($BA$2464:$EH$2464)</f>
        <v/>
      </c>
      <c r="AV2464">
        <f>COUNTIF($BA$2464:$EH$2464,"D")</f>
        <v/>
      </c>
      <c r="AW2464">
        <f>COUNTIF($BA$2464:$EH$2464,"R")</f>
        <v/>
      </c>
      <c r="AX2464">
        <f>IF(BN2464="D",1,0)+IF(BO2464="D",1,0)+IF(BT2464="D",1,0)+IF(BU2464="D",1,0)+IF(BW2464="D",1,0)+IF(CC2464="D",1,0)+IF(CD2464="D",1,0)+IF(CE2464="D",1,0)+IF(CF2464="D",1,0)+IF(CL2464="D",1,0)+IF(CM2464="D",1,0)+IF(CQ2464="D",1,0)+IF(CR2464="D",1,0)+IF(CS2464="D",1,0)+IF(CW2464="D",1,0)+IF(CX2464="D",1,0)+IF(DD2464="D",1,0)+IF(DE2464="D",1,0)+IF(DJ2464="D",1,0)+IF(DK2464="D",1,0)+IF(DO2464="D",1,0)+IF(DP2464="D",1,0)+IF(DQ2464="D",1,0)+IF(DW2464="D",1,0)+IF(DZ2464="D",1,0)+IF(EH2464="D",1,0)</f>
        <v/>
      </c>
      <c r="AY2464">
        <f>IF(DJ2464&lt;&gt;"",1,0)+IF(DK2464&lt;&gt;"",1,0)+IF(DM2464&lt;&gt;"",1,0)+IF(DO2464&lt;&gt;"",1,0)+IF(DP2464&lt;&gt;"",1,0)+IF(DQ2464&lt;&gt;"",1,0)+IF(DS2464&lt;&gt;"",1,0)+IF(DT2464&lt;&gt;"",1,0)+IF(DV2464&lt;&gt;"",1,0)+IF(DW2464&lt;&gt;"",1,0)+IF(DX2464&lt;&gt;"",1,0)+IF(DY2464&lt;&gt;"",1,0)+IF(DZ2464&lt;&gt;"",1,0)+IF(EB2464&lt;&gt;"",1,0)+IF(EC2464&lt;&gt;"",1,0)+IF(ED2464&lt;&gt;"",1,0)+IF(EG2464&lt;&gt;"",1,0)+IF(EH2464&lt;&gt;"",1,0)</f>
        <v/>
      </c>
      <c r="AZ2464">
        <f>IF(EH2464&lt;&gt;"",1,0)</f>
        <v/>
      </c>
      <c r="BB2464" t="inlineStr">
        <is>
          <t>WARREN-WARD 4</t>
        </is>
      </c>
      <c r="BL2464" t="inlineStr">
        <is>
          <t>X</t>
        </is>
      </c>
      <c r="CP2464" t="inlineStr">
        <is>
          <t>X</t>
        </is>
      </c>
      <c r="CU2464" t="inlineStr">
        <is>
          <t>D</t>
        </is>
      </c>
      <c r="CV2464" t="inlineStr">
        <is>
          <t>X</t>
        </is>
      </c>
      <c r="CY2464" t="inlineStr">
        <is>
          <t>X</t>
        </is>
      </c>
      <c r="CZ2464" t="inlineStr">
        <is>
          <t>R</t>
        </is>
      </c>
      <c r="DC2464" t="inlineStr">
        <is>
          <t>X</t>
        </is>
      </c>
      <c r="DI2464" t="inlineStr">
        <is>
          <t>X</t>
        </is>
      </c>
      <c r="DN2464" t="inlineStr">
        <is>
          <t>X</t>
        </is>
      </c>
    </row>
    <row r="2465">
      <c r="A2465" t="inlineStr">
        <is>
          <t>OH0015745086</t>
        </is>
      </c>
      <c r="B2465" t="n">
        <v>78</v>
      </c>
      <c r="C2465" t="n">
        <v>322194</v>
      </c>
      <c r="D2465" t="inlineStr">
        <is>
          <t>FAISON</t>
        </is>
      </c>
      <c r="E2465" t="inlineStr">
        <is>
          <t>FLORENCE</t>
        </is>
      </c>
      <c r="F2465">
        <f>CONCATENATE(D2465," ",LEFT(H2465,4),"T=",AU2465,"D=",AV2465,"R=",AW2465,"M=",AX2465,"L=",AY2465,"B=",AZ2465)</f>
        <v/>
      </c>
      <c r="G2465" t="inlineStr">
        <is>
          <t>B</t>
        </is>
      </c>
      <c r="I2465" t="inlineStr">
        <is>
          <t>1942-01-10</t>
        </is>
      </c>
      <c r="J2465" t="inlineStr">
        <is>
          <t>2016-10-09</t>
        </is>
      </c>
      <c r="K2465" t="inlineStr">
        <is>
          <t>CONFIRMATION</t>
        </is>
      </c>
      <c r="M2465" t="inlineStr">
        <is>
          <t>1769 MILTON ST SE</t>
        </is>
      </c>
      <c r="N2465">
        <f>RIGHT(M2465,LEN(M2465)-FIND(" ",M2465))</f>
        <v/>
      </c>
      <c r="P2465" t="inlineStr">
        <is>
          <t>WARREN</t>
        </is>
      </c>
      <c r="Q2465" t="inlineStr">
        <is>
          <t>OH</t>
        </is>
      </c>
      <c r="R2465" t="n">
        <v>44484</v>
      </c>
      <c r="AD2465" t="inlineStr">
        <is>
          <t>TRUMBULL CAREER &amp; TECH CENTER</t>
        </is>
      </c>
      <c r="AE2465" t="inlineStr">
        <is>
          <t>WARREN CITY</t>
        </is>
      </c>
      <c r="AF2465" t="inlineStr">
        <is>
          <t>WARREN CITY SD</t>
        </is>
      </c>
      <c r="AH2465" t="n">
        <v>14</v>
      </c>
      <c r="AI2465" t="n">
        <v>11</v>
      </c>
      <c r="AN2465" t="inlineStr">
        <is>
          <t>WARREN</t>
        </is>
      </c>
      <c r="AO2465" t="inlineStr">
        <is>
          <t>WARREN CITY 4F</t>
        </is>
      </c>
      <c r="AP2465" t="inlineStr">
        <is>
          <t>78-P-ADN</t>
        </is>
      </c>
      <c r="AQ2465" t="n">
        <v>9</v>
      </c>
      <c r="AR2465" t="n">
        <v>64</v>
      </c>
      <c r="AS2465" t="n">
        <v>32</v>
      </c>
      <c r="AU2465">
        <f>COUNTA($BA$2465:$EH$2465)</f>
        <v/>
      </c>
      <c r="AV2465">
        <f>COUNTIF($BA$2465:$EH$2465,"D")</f>
        <v/>
      </c>
      <c r="AW2465">
        <f>COUNTIF($BA$2465:$EH$2465,"R")</f>
        <v/>
      </c>
      <c r="AX2465">
        <f>IF(BN2465="D",1,0)+IF(BO2465="D",1,0)+IF(BT2465="D",1,0)+IF(BU2465="D",1,0)+IF(BW2465="D",1,0)+IF(CC2465="D",1,0)+IF(CD2465="D",1,0)+IF(CE2465="D",1,0)+IF(CF2465="D",1,0)+IF(CL2465="D",1,0)+IF(CM2465="D",1,0)+IF(CQ2465="D",1,0)+IF(CR2465="D",1,0)+IF(CS2465="D",1,0)+IF(CW2465="D",1,0)+IF(CX2465="D",1,0)+IF(DD2465="D",1,0)+IF(DE2465="D",1,0)+IF(DJ2465="D",1,0)+IF(DK2465="D",1,0)+IF(DO2465="D",1,0)+IF(DP2465="D",1,0)+IF(DQ2465="D",1,0)+IF(DW2465="D",1,0)+IF(DZ2465="D",1,0)+IF(EH2465="D",1,0)</f>
        <v/>
      </c>
      <c r="AY2465">
        <f>IF(DJ2465&lt;&gt;"",1,0)+IF(DK2465&lt;&gt;"",1,0)+IF(DM2465&lt;&gt;"",1,0)+IF(DO2465&lt;&gt;"",1,0)+IF(DP2465&lt;&gt;"",1,0)+IF(DQ2465&lt;&gt;"",1,0)+IF(DS2465&lt;&gt;"",1,0)+IF(DT2465&lt;&gt;"",1,0)+IF(DV2465&lt;&gt;"",1,0)+IF(DW2465&lt;&gt;"",1,0)+IF(DX2465&lt;&gt;"",1,0)+IF(DY2465&lt;&gt;"",1,0)+IF(DZ2465&lt;&gt;"",1,0)+IF(EB2465&lt;&gt;"",1,0)+IF(EC2465&lt;&gt;"",1,0)+IF(ED2465&lt;&gt;"",1,0)+IF(EG2465&lt;&gt;"",1,0)+IF(EH2465&lt;&gt;"",1,0)</f>
        <v/>
      </c>
      <c r="AZ2465">
        <f>IF(EH2465&lt;&gt;"",1,0)</f>
        <v/>
      </c>
      <c r="BB2465" t="inlineStr">
        <is>
          <t>WARREN-WARD 4</t>
        </is>
      </c>
      <c r="DC2465" t="inlineStr">
        <is>
          <t>X</t>
        </is>
      </c>
    </row>
    <row r="2466">
      <c r="A2466" t="inlineStr">
        <is>
          <t>OH0027526332</t>
        </is>
      </c>
      <c r="B2466" t="n">
        <v>78</v>
      </c>
      <c r="C2466" t="n">
        <v>487871</v>
      </c>
      <c r="D2466" t="inlineStr">
        <is>
          <t>ESSILFIE</t>
        </is>
      </c>
      <c r="E2466" t="inlineStr">
        <is>
          <t>SARDE</t>
        </is>
      </c>
      <c r="F2466">
        <f>CONCATENATE(D2466," ",LEFT(H2466,4),"T=",AU2466,"D=",AV2466,"R=",AW2466,"M=",AX2466,"L=",AY2466,"B=",AZ2466)</f>
        <v/>
      </c>
      <c r="G2466" t="inlineStr">
        <is>
          <t>M</t>
        </is>
      </c>
      <c r="I2466" t="inlineStr">
        <is>
          <t>1986-07-04</t>
        </is>
      </c>
      <c r="J2466" t="inlineStr">
        <is>
          <t>2024-08-12</t>
        </is>
      </c>
      <c r="K2466" t="inlineStr">
        <is>
          <t>ACTIVE</t>
        </is>
      </c>
      <c r="M2466" t="inlineStr">
        <is>
          <t>2917 DUKE AVE SE</t>
        </is>
      </c>
      <c r="N2466">
        <f>RIGHT(M2466,LEN(M2466)-FIND(" ",M2466))</f>
        <v/>
      </c>
      <c r="P2466" t="inlineStr">
        <is>
          <t>WARREN</t>
        </is>
      </c>
      <c r="Q2466" t="inlineStr">
        <is>
          <t>OH</t>
        </is>
      </c>
      <c r="R2466" t="n">
        <v>44484</v>
      </c>
      <c r="AD2466" t="inlineStr">
        <is>
          <t>TRUMBULL CAREER &amp; TECH CENTER</t>
        </is>
      </c>
      <c r="AE2466" t="inlineStr">
        <is>
          <t>WARREN CITY</t>
        </is>
      </c>
      <c r="AF2466" t="inlineStr">
        <is>
          <t>WARREN CITY SD</t>
        </is>
      </c>
      <c r="AH2466" t="n">
        <v>14</v>
      </c>
      <c r="AI2466" t="n">
        <v>11</v>
      </c>
      <c r="AN2466" t="inlineStr">
        <is>
          <t>WARREN</t>
        </is>
      </c>
      <c r="AO2466" t="inlineStr">
        <is>
          <t>WARREN CITY 4F</t>
        </is>
      </c>
      <c r="AP2466" t="inlineStr">
        <is>
          <t>78-P-ADN</t>
        </is>
      </c>
      <c r="AQ2466" t="n">
        <v>9</v>
      </c>
      <c r="AR2466" t="n">
        <v>64</v>
      </c>
      <c r="AS2466" t="n">
        <v>32</v>
      </c>
      <c r="AU2466">
        <f>COUNTA($BA$2466:$EH$2466)</f>
        <v/>
      </c>
      <c r="AV2466">
        <f>COUNTIF($BA$2466:$EH$2466,"D")</f>
        <v/>
      </c>
      <c r="AW2466">
        <f>COUNTIF($BA$2466:$EH$2466,"R")</f>
        <v/>
      </c>
      <c r="AX2466">
        <f>IF(BN2466="D",1,0)+IF(BO2466="D",1,0)+IF(BT2466="D",1,0)+IF(BU2466="D",1,0)+IF(BW2466="D",1,0)+IF(CC2466="D",1,0)+IF(CD2466="D",1,0)+IF(CE2466="D",1,0)+IF(CF2466="D",1,0)+IF(CL2466="D",1,0)+IF(CM2466="D",1,0)+IF(CQ2466="D",1,0)+IF(CR2466="D",1,0)+IF(CS2466="D",1,0)+IF(CW2466="D",1,0)+IF(CX2466="D",1,0)+IF(DD2466="D",1,0)+IF(DE2466="D",1,0)+IF(DJ2466="D",1,0)+IF(DK2466="D",1,0)+IF(DO2466="D",1,0)+IF(DP2466="D",1,0)+IF(DQ2466="D",1,0)+IF(DW2466="D",1,0)+IF(DZ2466="D",1,0)+IF(EH2466="D",1,0)</f>
        <v/>
      </c>
      <c r="AY2466">
        <f>IF(DJ2466&lt;&gt;"",1,0)+IF(DK2466&lt;&gt;"",1,0)+IF(DM2466&lt;&gt;"",1,0)+IF(DO2466&lt;&gt;"",1,0)+IF(DP2466&lt;&gt;"",1,0)+IF(DQ2466&lt;&gt;"",1,0)+IF(DS2466&lt;&gt;"",1,0)+IF(DT2466&lt;&gt;"",1,0)+IF(DV2466&lt;&gt;"",1,0)+IF(DW2466&lt;&gt;"",1,0)+IF(DX2466&lt;&gt;"",1,0)+IF(DY2466&lt;&gt;"",1,0)+IF(DZ2466&lt;&gt;"",1,0)+IF(EB2466&lt;&gt;"",1,0)+IF(EC2466&lt;&gt;"",1,0)+IF(ED2466&lt;&gt;"",1,0)+IF(EG2466&lt;&gt;"",1,0)+IF(EH2466&lt;&gt;"",1,0)</f>
        <v/>
      </c>
      <c r="AZ2466">
        <f>IF(EH2466&lt;&gt;"",1,0)</f>
        <v/>
      </c>
      <c r="BB2466" t="inlineStr">
        <is>
          <t>WARREN-WARD 4</t>
        </is>
      </c>
    </row>
    <row r="2467">
      <c r="A2467" t="inlineStr">
        <is>
          <t>OH0015800979</t>
        </is>
      </c>
      <c r="B2467" t="n">
        <v>78</v>
      </c>
      <c r="C2467" t="n">
        <v>88258</v>
      </c>
      <c r="D2467" t="inlineStr">
        <is>
          <t>MANCINI</t>
        </is>
      </c>
      <c r="E2467" t="inlineStr">
        <is>
          <t>SUSAN</t>
        </is>
      </c>
      <c r="F2467">
        <f>CONCATENATE(D2467," ",LEFT(H2467,4),"T=",AU2467,"D=",AV2467,"R=",AW2467,"M=",AX2467,"L=",AY2467,"B=",AZ2467)</f>
        <v/>
      </c>
      <c r="G2467" t="inlineStr">
        <is>
          <t>L</t>
        </is>
      </c>
      <c r="I2467" t="inlineStr">
        <is>
          <t>1954-12-17</t>
        </is>
      </c>
      <c r="J2467" t="inlineStr">
        <is>
          <t>2015-09-19</t>
        </is>
      </c>
      <c r="K2467" t="inlineStr">
        <is>
          <t>ACTIVE</t>
        </is>
      </c>
      <c r="M2467" t="inlineStr">
        <is>
          <t>1131 NILES RD SE</t>
        </is>
      </c>
      <c r="N2467">
        <f>RIGHT(M2467,LEN(M2467)-FIND(" ",M2467))</f>
        <v/>
      </c>
      <c r="P2467" t="inlineStr">
        <is>
          <t>WARREN</t>
        </is>
      </c>
      <c r="Q2467" t="inlineStr">
        <is>
          <t>OH</t>
        </is>
      </c>
      <c r="R2467" t="n">
        <v>44484</v>
      </c>
      <c r="AD2467" t="inlineStr">
        <is>
          <t>TRUMBULL CAREER &amp; TECH CENTER</t>
        </is>
      </c>
      <c r="AE2467" t="inlineStr">
        <is>
          <t>WARREN CITY</t>
        </is>
      </c>
      <c r="AF2467" t="inlineStr">
        <is>
          <t>WARREN CITY SD</t>
        </is>
      </c>
      <c r="AH2467" t="n">
        <v>14</v>
      </c>
      <c r="AI2467" t="n">
        <v>11</v>
      </c>
      <c r="AN2467" t="inlineStr">
        <is>
          <t>WARREN</t>
        </is>
      </c>
      <c r="AO2467" t="inlineStr">
        <is>
          <t>WARREN CITY 4F</t>
        </is>
      </c>
      <c r="AP2467" t="inlineStr">
        <is>
          <t>78-P-ADN</t>
        </is>
      </c>
      <c r="AQ2467" t="n">
        <v>9</v>
      </c>
      <c r="AR2467" t="n">
        <v>64</v>
      </c>
      <c r="AS2467" t="n">
        <v>32</v>
      </c>
      <c r="AU2467">
        <f>COUNTA($BA$2467:$EH$2467)</f>
        <v/>
      </c>
      <c r="AV2467">
        <f>COUNTIF($BA$2467:$EH$2467,"D")</f>
        <v/>
      </c>
      <c r="AW2467">
        <f>COUNTIF($BA$2467:$EH$2467,"R")</f>
        <v/>
      </c>
      <c r="AX2467">
        <f>IF(BN2467="D",1,0)+IF(BO2467="D",1,0)+IF(BT2467="D",1,0)+IF(BU2467="D",1,0)+IF(BW2467="D",1,0)+IF(CC2467="D",1,0)+IF(CD2467="D",1,0)+IF(CE2467="D",1,0)+IF(CF2467="D",1,0)+IF(CL2467="D",1,0)+IF(CM2467="D",1,0)+IF(CQ2467="D",1,0)+IF(CR2467="D",1,0)+IF(CS2467="D",1,0)+IF(CW2467="D",1,0)+IF(CX2467="D",1,0)+IF(DD2467="D",1,0)+IF(DE2467="D",1,0)+IF(DJ2467="D",1,0)+IF(DK2467="D",1,0)+IF(DO2467="D",1,0)+IF(DP2467="D",1,0)+IF(DQ2467="D",1,0)+IF(DW2467="D",1,0)+IF(DZ2467="D",1,0)+IF(EH2467="D",1,0)</f>
        <v/>
      </c>
      <c r="AY2467">
        <f>IF(DJ2467&lt;&gt;"",1,0)+IF(DK2467&lt;&gt;"",1,0)+IF(DM2467&lt;&gt;"",1,0)+IF(DO2467&lt;&gt;"",1,0)+IF(DP2467&lt;&gt;"",1,0)+IF(DQ2467&lt;&gt;"",1,0)+IF(DS2467&lt;&gt;"",1,0)+IF(DT2467&lt;&gt;"",1,0)+IF(DV2467&lt;&gt;"",1,0)+IF(DW2467&lt;&gt;"",1,0)+IF(DX2467&lt;&gt;"",1,0)+IF(DY2467&lt;&gt;"",1,0)+IF(DZ2467&lt;&gt;"",1,0)+IF(EB2467&lt;&gt;"",1,0)+IF(EC2467&lt;&gt;"",1,0)+IF(ED2467&lt;&gt;"",1,0)+IF(EG2467&lt;&gt;"",1,0)+IF(EH2467&lt;&gt;"",1,0)</f>
        <v/>
      </c>
      <c r="AZ2467">
        <f>IF(EH2467&lt;&gt;"",1,0)</f>
        <v/>
      </c>
      <c r="BB2467" t="inlineStr">
        <is>
          <t>WARREN-WARD 4</t>
        </is>
      </c>
      <c r="BD2467" t="inlineStr">
        <is>
          <t>X</t>
        </is>
      </c>
      <c r="BH2467" t="inlineStr">
        <is>
          <t>X</t>
        </is>
      </c>
      <c r="BK2467" t="inlineStr">
        <is>
          <t>X</t>
        </is>
      </c>
      <c r="BL2467" t="inlineStr">
        <is>
          <t>X</t>
        </is>
      </c>
      <c r="BP2467" t="inlineStr">
        <is>
          <t>X</t>
        </is>
      </c>
      <c r="BR2467" t="inlineStr">
        <is>
          <t>X</t>
        </is>
      </c>
      <c r="BY2467" t="inlineStr">
        <is>
          <t>D</t>
        </is>
      </c>
      <c r="CA2467" t="inlineStr">
        <is>
          <t>X</t>
        </is>
      </c>
      <c r="CG2467" t="inlineStr">
        <is>
          <t>X</t>
        </is>
      </c>
      <c r="CK2467" t="inlineStr">
        <is>
          <t>X</t>
        </is>
      </c>
      <c r="CN2467" t="inlineStr">
        <is>
          <t>X</t>
        </is>
      </c>
      <c r="CP2467" t="inlineStr">
        <is>
          <t>X</t>
        </is>
      </c>
      <c r="CY2467" t="inlineStr">
        <is>
          <t>X</t>
        </is>
      </c>
      <c r="CZ2467" t="inlineStr">
        <is>
          <t>D</t>
        </is>
      </c>
      <c r="DC2467" t="inlineStr">
        <is>
          <t>X</t>
        </is>
      </c>
      <c r="DF2467" t="inlineStr">
        <is>
          <t>X</t>
        </is>
      </c>
      <c r="DG2467" t="inlineStr">
        <is>
          <t>D</t>
        </is>
      </c>
      <c r="DI2467" t="inlineStr">
        <is>
          <t>X</t>
        </is>
      </c>
      <c r="DN2467" t="inlineStr">
        <is>
          <t>X</t>
        </is>
      </c>
      <c r="EA2467" t="inlineStr">
        <is>
          <t>X</t>
        </is>
      </c>
      <c r="EF2467" t="inlineStr">
        <is>
          <t>X</t>
        </is>
      </c>
    </row>
    <row r="2468">
      <c r="A2468" t="inlineStr">
        <is>
          <t>OH0021800312</t>
        </is>
      </c>
      <c r="B2468" t="n">
        <v>78</v>
      </c>
      <c r="C2468" t="n">
        <v>387561</v>
      </c>
      <c r="D2468" t="inlineStr">
        <is>
          <t>KIMBLE</t>
        </is>
      </c>
      <c r="E2468" t="inlineStr">
        <is>
          <t>RAYSHAWN</t>
        </is>
      </c>
      <c r="F2468">
        <f>CONCATENATE(D2468," ",LEFT(H2468,4),"T=",AU2468,"D=",AV2468,"R=",AW2468,"M=",AX2468,"L=",AY2468,"B=",AZ2468)</f>
        <v/>
      </c>
      <c r="G2468" t="inlineStr">
        <is>
          <t>L</t>
        </is>
      </c>
      <c r="I2468" t="inlineStr">
        <is>
          <t>1987-11-04</t>
        </is>
      </c>
      <c r="J2468" t="inlineStr">
        <is>
          <t>2020-09-29</t>
        </is>
      </c>
      <c r="K2468" t="inlineStr">
        <is>
          <t>ACTIVE</t>
        </is>
      </c>
      <c r="M2468" t="inlineStr">
        <is>
          <t>1632 BURTON ST SE</t>
        </is>
      </c>
      <c r="N2468">
        <f>RIGHT(M2468,LEN(M2468)-FIND(" ",M2468))</f>
        <v/>
      </c>
      <c r="P2468" t="inlineStr">
        <is>
          <t>WARREN</t>
        </is>
      </c>
      <c r="Q2468" t="inlineStr">
        <is>
          <t>OH</t>
        </is>
      </c>
      <c r="R2468" t="n">
        <v>44484</v>
      </c>
      <c r="AD2468" t="inlineStr">
        <is>
          <t>TRUMBULL CAREER &amp; TECH CENTER</t>
        </is>
      </c>
      <c r="AE2468" t="inlineStr">
        <is>
          <t>WARREN CITY</t>
        </is>
      </c>
      <c r="AF2468" t="inlineStr">
        <is>
          <t>WARREN CITY SD</t>
        </is>
      </c>
      <c r="AH2468" t="n">
        <v>14</v>
      </c>
      <c r="AI2468" t="n">
        <v>11</v>
      </c>
      <c r="AN2468" t="inlineStr">
        <is>
          <t>WARREN</t>
        </is>
      </c>
      <c r="AO2468" t="inlineStr">
        <is>
          <t>WARREN CITY 4F</t>
        </is>
      </c>
      <c r="AP2468" t="inlineStr">
        <is>
          <t>78-P-ADN</t>
        </is>
      </c>
      <c r="AQ2468" t="n">
        <v>9</v>
      </c>
      <c r="AR2468" t="n">
        <v>64</v>
      </c>
      <c r="AS2468" t="n">
        <v>32</v>
      </c>
      <c r="AU2468">
        <f>COUNTA($BA$2468:$EH$2468)</f>
        <v/>
      </c>
      <c r="AV2468">
        <f>COUNTIF($BA$2468:$EH$2468,"D")</f>
        <v/>
      </c>
      <c r="AW2468">
        <f>COUNTIF($BA$2468:$EH$2468,"R")</f>
        <v/>
      </c>
      <c r="AX2468">
        <f>IF(BN2468="D",1,0)+IF(BO2468="D",1,0)+IF(BT2468="D",1,0)+IF(BU2468="D",1,0)+IF(BW2468="D",1,0)+IF(CC2468="D",1,0)+IF(CD2468="D",1,0)+IF(CE2468="D",1,0)+IF(CF2468="D",1,0)+IF(CL2468="D",1,0)+IF(CM2468="D",1,0)+IF(CQ2468="D",1,0)+IF(CR2468="D",1,0)+IF(CS2468="D",1,0)+IF(CW2468="D",1,0)+IF(CX2468="D",1,0)+IF(DD2468="D",1,0)+IF(DE2468="D",1,0)+IF(DJ2468="D",1,0)+IF(DK2468="D",1,0)+IF(DO2468="D",1,0)+IF(DP2468="D",1,0)+IF(DQ2468="D",1,0)+IF(DW2468="D",1,0)+IF(DZ2468="D",1,0)+IF(EH2468="D",1,0)</f>
        <v/>
      </c>
      <c r="AY2468">
        <f>IF(DJ2468&lt;&gt;"",1,0)+IF(DK2468&lt;&gt;"",1,0)+IF(DM2468&lt;&gt;"",1,0)+IF(DO2468&lt;&gt;"",1,0)+IF(DP2468&lt;&gt;"",1,0)+IF(DQ2468&lt;&gt;"",1,0)+IF(DS2468&lt;&gt;"",1,0)+IF(DT2468&lt;&gt;"",1,0)+IF(DV2468&lt;&gt;"",1,0)+IF(DW2468&lt;&gt;"",1,0)+IF(DX2468&lt;&gt;"",1,0)+IF(DY2468&lt;&gt;"",1,0)+IF(DZ2468&lt;&gt;"",1,0)+IF(EB2468&lt;&gt;"",1,0)+IF(EC2468&lt;&gt;"",1,0)+IF(ED2468&lt;&gt;"",1,0)+IF(EG2468&lt;&gt;"",1,0)+IF(EH2468&lt;&gt;"",1,0)</f>
        <v/>
      </c>
      <c r="AZ2468">
        <f>IF(EH2468&lt;&gt;"",1,0)</f>
        <v/>
      </c>
      <c r="BB2468" t="inlineStr">
        <is>
          <t>WARREN-WARD 4</t>
        </is>
      </c>
      <c r="CP2468" t="inlineStr">
        <is>
          <t>X</t>
        </is>
      </c>
      <c r="CV2468" t="inlineStr">
        <is>
          <t>X</t>
        </is>
      </c>
      <c r="DC2468" t="inlineStr">
        <is>
          <t>X</t>
        </is>
      </c>
      <c r="DN2468" t="inlineStr">
        <is>
          <t>X</t>
        </is>
      </c>
      <c r="DU2468" t="inlineStr">
        <is>
          <t>X</t>
        </is>
      </c>
      <c r="EF2468" t="inlineStr">
        <is>
          <t>X</t>
        </is>
      </c>
    </row>
    <row r="2469">
      <c r="A2469" t="inlineStr">
        <is>
          <t>OH0024216510</t>
        </is>
      </c>
      <c r="B2469" t="n">
        <v>78</v>
      </c>
      <c r="C2469" t="n">
        <v>415441</v>
      </c>
      <c r="D2469" t="inlineStr">
        <is>
          <t>FREY</t>
        </is>
      </c>
      <c r="E2469" t="inlineStr">
        <is>
          <t>HEATH</t>
        </is>
      </c>
      <c r="F2469">
        <f>CONCATENATE(D2469," ",LEFT(H2469,4),"T=",AU2469,"D=",AV2469,"R=",AW2469,"M=",AX2469,"L=",AY2469,"B=",AZ2469)</f>
        <v/>
      </c>
      <c r="G2469" t="inlineStr">
        <is>
          <t>A</t>
        </is>
      </c>
      <c r="I2469" t="inlineStr">
        <is>
          <t>1972-02-20</t>
        </is>
      </c>
      <c r="J2469" t="inlineStr">
        <is>
          <t>2025-02-03</t>
        </is>
      </c>
      <c r="K2469" t="inlineStr">
        <is>
          <t>ACTIVE</t>
        </is>
      </c>
      <c r="M2469" t="inlineStr">
        <is>
          <t>1536 KENILWORTH AVE SE</t>
        </is>
      </c>
      <c r="N2469">
        <f>RIGHT(M2469,LEN(M2469)-FIND(" ",M2469))</f>
        <v/>
      </c>
      <c r="P2469" t="inlineStr">
        <is>
          <t>WARREN</t>
        </is>
      </c>
      <c r="Q2469" t="inlineStr">
        <is>
          <t>OH</t>
        </is>
      </c>
      <c r="R2469" t="n">
        <v>44484</v>
      </c>
      <c r="AD2469" t="inlineStr">
        <is>
          <t>TRUMBULL CAREER &amp; TECH CENTER</t>
        </is>
      </c>
      <c r="AE2469" t="inlineStr">
        <is>
          <t>WARREN CITY</t>
        </is>
      </c>
      <c r="AF2469" t="inlineStr">
        <is>
          <t>WARREN CITY SD</t>
        </is>
      </c>
      <c r="AH2469" t="n">
        <v>14</v>
      </c>
      <c r="AI2469" t="n">
        <v>11</v>
      </c>
      <c r="AN2469" t="inlineStr">
        <is>
          <t>WARREN</t>
        </is>
      </c>
      <c r="AO2469" t="inlineStr">
        <is>
          <t>WARREN CITY 4F</t>
        </is>
      </c>
      <c r="AP2469" t="inlineStr">
        <is>
          <t>78-P-ADN</t>
        </is>
      </c>
      <c r="AQ2469" t="n">
        <v>9</v>
      </c>
      <c r="AR2469" t="n">
        <v>64</v>
      </c>
      <c r="AS2469" t="n">
        <v>32</v>
      </c>
      <c r="AU2469">
        <f>COUNTA($BA$2469:$EH$2469)</f>
        <v/>
      </c>
      <c r="AV2469">
        <f>COUNTIF($BA$2469:$EH$2469,"D")</f>
        <v/>
      </c>
      <c r="AW2469">
        <f>COUNTIF($BA$2469:$EH$2469,"R")</f>
        <v/>
      </c>
      <c r="AX2469">
        <f>IF(BN2469="D",1,0)+IF(BO2469="D",1,0)+IF(BT2469="D",1,0)+IF(BU2469="D",1,0)+IF(BW2469="D",1,0)+IF(CC2469="D",1,0)+IF(CD2469="D",1,0)+IF(CE2469="D",1,0)+IF(CF2469="D",1,0)+IF(CL2469="D",1,0)+IF(CM2469="D",1,0)+IF(CQ2469="D",1,0)+IF(CR2469="D",1,0)+IF(CS2469="D",1,0)+IF(CW2469="D",1,0)+IF(CX2469="D",1,0)+IF(DD2469="D",1,0)+IF(DE2469="D",1,0)+IF(DJ2469="D",1,0)+IF(DK2469="D",1,0)+IF(DO2469="D",1,0)+IF(DP2469="D",1,0)+IF(DQ2469="D",1,0)+IF(DW2469="D",1,0)+IF(DZ2469="D",1,0)+IF(EH2469="D",1,0)</f>
        <v/>
      </c>
      <c r="AY2469">
        <f>IF(DJ2469&lt;&gt;"",1,0)+IF(DK2469&lt;&gt;"",1,0)+IF(DM2469&lt;&gt;"",1,0)+IF(DO2469&lt;&gt;"",1,0)+IF(DP2469&lt;&gt;"",1,0)+IF(DQ2469&lt;&gt;"",1,0)+IF(DS2469&lt;&gt;"",1,0)+IF(DT2469&lt;&gt;"",1,0)+IF(DV2469&lt;&gt;"",1,0)+IF(DW2469&lt;&gt;"",1,0)+IF(DX2469&lt;&gt;"",1,0)+IF(DY2469&lt;&gt;"",1,0)+IF(DZ2469&lt;&gt;"",1,0)+IF(EB2469&lt;&gt;"",1,0)+IF(EC2469&lt;&gt;"",1,0)+IF(ED2469&lt;&gt;"",1,0)+IF(EG2469&lt;&gt;"",1,0)+IF(EH2469&lt;&gt;"",1,0)</f>
        <v/>
      </c>
      <c r="AZ2469">
        <f>IF(EH2469&lt;&gt;"",1,0)</f>
        <v/>
      </c>
      <c r="BB2469" t="inlineStr">
        <is>
          <t>WARREN-WARD 4</t>
        </is>
      </c>
      <c r="BL2469" t="inlineStr">
        <is>
          <t>X</t>
        </is>
      </c>
      <c r="DC2469" t="inlineStr">
        <is>
          <t>X</t>
        </is>
      </c>
      <c r="DI2469" t="inlineStr">
        <is>
          <t>X</t>
        </is>
      </c>
      <c r="DN2469" t="inlineStr">
        <is>
          <t>X</t>
        </is>
      </c>
      <c r="EA2469" t="inlineStr">
        <is>
          <t>X</t>
        </is>
      </c>
      <c r="EF2469" t="inlineStr">
        <is>
          <t>X</t>
        </is>
      </c>
    </row>
    <row r="2470">
      <c r="A2470" t="inlineStr">
        <is>
          <t>OH0015755711</t>
        </is>
      </c>
      <c r="B2470" t="n">
        <v>78</v>
      </c>
      <c r="C2470" t="n">
        <v>329090</v>
      </c>
      <c r="D2470" t="inlineStr">
        <is>
          <t>DANIELS</t>
        </is>
      </c>
      <c r="E2470" t="inlineStr">
        <is>
          <t>GARY</t>
        </is>
      </c>
      <c r="F2470">
        <f>CONCATENATE(D2470," ",LEFT(H2470,4),"T=",AU2470,"D=",AV2470,"R=",AW2470,"M=",AX2470,"L=",AY2470,"B=",AZ2470)</f>
        <v/>
      </c>
      <c r="G2470" t="inlineStr">
        <is>
          <t>A</t>
        </is>
      </c>
      <c r="I2470" t="inlineStr">
        <is>
          <t>1976-03-05</t>
        </is>
      </c>
      <c r="J2470" t="inlineStr">
        <is>
          <t>2022-05-25</t>
        </is>
      </c>
      <c r="K2470" t="inlineStr">
        <is>
          <t>ACTIVE</t>
        </is>
      </c>
      <c r="M2470" t="inlineStr">
        <is>
          <t>1726 BURTON ST SE</t>
        </is>
      </c>
      <c r="N2470">
        <f>RIGHT(M2470,LEN(M2470)-FIND(" ",M2470))</f>
        <v/>
      </c>
      <c r="P2470" t="inlineStr">
        <is>
          <t>WARREN</t>
        </is>
      </c>
      <c r="Q2470" t="inlineStr">
        <is>
          <t>OH</t>
        </is>
      </c>
      <c r="R2470" t="n">
        <v>44484</v>
      </c>
      <c r="AD2470" t="inlineStr">
        <is>
          <t>TRUMBULL CAREER &amp; TECH CENTER</t>
        </is>
      </c>
      <c r="AE2470" t="inlineStr">
        <is>
          <t>WARREN CITY</t>
        </is>
      </c>
      <c r="AF2470" t="inlineStr">
        <is>
          <t>WARREN CITY SD</t>
        </is>
      </c>
      <c r="AH2470" t="n">
        <v>14</v>
      </c>
      <c r="AI2470" t="n">
        <v>11</v>
      </c>
      <c r="AN2470" t="inlineStr">
        <is>
          <t>WARREN</t>
        </is>
      </c>
      <c r="AO2470" t="inlineStr">
        <is>
          <t>WARREN CITY 4F</t>
        </is>
      </c>
      <c r="AP2470" t="inlineStr">
        <is>
          <t>78-P-ADN</t>
        </is>
      </c>
      <c r="AQ2470" t="n">
        <v>9</v>
      </c>
      <c r="AR2470" t="n">
        <v>64</v>
      </c>
      <c r="AS2470" t="n">
        <v>32</v>
      </c>
      <c r="AU2470">
        <f>COUNTA($BA$2470:$EH$2470)</f>
        <v/>
      </c>
      <c r="AV2470">
        <f>COUNTIF($BA$2470:$EH$2470,"D")</f>
        <v/>
      </c>
      <c r="AW2470">
        <f>COUNTIF($BA$2470:$EH$2470,"R")</f>
        <v/>
      </c>
      <c r="AX2470">
        <f>IF(BN2470="D",1,0)+IF(BO2470="D",1,0)+IF(BT2470="D",1,0)+IF(BU2470="D",1,0)+IF(BW2470="D",1,0)+IF(CC2470="D",1,0)+IF(CD2470="D",1,0)+IF(CE2470="D",1,0)+IF(CF2470="D",1,0)+IF(CL2470="D",1,0)+IF(CM2470="D",1,0)+IF(CQ2470="D",1,0)+IF(CR2470="D",1,0)+IF(CS2470="D",1,0)+IF(CW2470="D",1,0)+IF(CX2470="D",1,0)+IF(DD2470="D",1,0)+IF(DE2470="D",1,0)+IF(DJ2470="D",1,0)+IF(DK2470="D",1,0)+IF(DO2470="D",1,0)+IF(DP2470="D",1,0)+IF(DQ2470="D",1,0)+IF(DW2470="D",1,0)+IF(DZ2470="D",1,0)+IF(EH2470="D",1,0)</f>
        <v/>
      </c>
      <c r="AY2470">
        <f>IF(DJ2470&lt;&gt;"",1,0)+IF(DK2470&lt;&gt;"",1,0)+IF(DM2470&lt;&gt;"",1,0)+IF(DO2470&lt;&gt;"",1,0)+IF(DP2470&lt;&gt;"",1,0)+IF(DQ2470&lt;&gt;"",1,0)+IF(DS2470&lt;&gt;"",1,0)+IF(DT2470&lt;&gt;"",1,0)+IF(DV2470&lt;&gt;"",1,0)+IF(DW2470&lt;&gt;"",1,0)+IF(DX2470&lt;&gt;"",1,0)+IF(DY2470&lt;&gt;"",1,0)+IF(DZ2470&lt;&gt;"",1,0)+IF(EB2470&lt;&gt;"",1,0)+IF(EC2470&lt;&gt;"",1,0)+IF(ED2470&lt;&gt;"",1,0)+IF(EG2470&lt;&gt;"",1,0)+IF(EH2470&lt;&gt;"",1,0)</f>
        <v/>
      </c>
      <c r="AZ2470">
        <f>IF(EH2470&lt;&gt;"",1,0)</f>
        <v/>
      </c>
      <c r="BB2470" t="inlineStr">
        <is>
          <t>WARREN-WARD 4</t>
        </is>
      </c>
      <c r="CN2470" t="inlineStr">
        <is>
          <t>X</t>
        </is>
      </c>
      <c r="CP2470" t="inlineStr">
        <is>
          <t>X</t>
        </is>
      </c>
      <c r="CV2470" t="inlineStr">
        <is>
          <t>X</t>
        </is>
      </c>
      <c r="CW2470" t="inlineStr">
        <is>
          <t>D</t>
        </is>
      </c>
      <c r="CZ2470" t="inlineStr">
        <is>
          <t>D</t>
        </is>
      </c>
      <c r="DC2470" t="inlineStr">
        <is>
          <t>X</t>
        </is>
      </c>
    </row>
    <row r="2471">
      <c r="A2471" t="inlineStr">
        <is>
          <t>OH0021578912</t>
        </is>
      </c>
      <c r="B2471" t="n">
        <v>78</v>
      </c>
      <c r="C2471" t="n">
        <v>383255</v>
      </c>
      <c r="D2471" t="inlineStr">
        <is>
          <t>HUGLEY</t>
        </is>
      </c>
      <c r="E2471" t="inlineStr">
        <is>
          <t>SHEANA</t>
        </is>
      </c>
      <c r="F2471">
        <f>CONCATENATE(D2471," ",LEFT(H2471,4),"T=",AU2471,"D=",AV2471,"R=",AW2471,"M=",AX2471,"L=",AY2471,"B=",AZ2471)</f>
        <v/>
      </c>
      <c r="G2471" t="inlineStr">
        <is>
          <t>LASHIRL</t>
        </is>
      </c>
      <c r="I2471" t="inlineStr">
        <is>
          <t>1991-03-27</t>
        </is>
      </c>
      <c r="J2471" t="inlineStr">
        <is>
          <t>2024-04-25</t>
        </is>
      </c>
      <c r="K2471" t="inlineStr">
        <is>
          <t>ACTIVE</t>
        </is>
      </c>
      <c r="M2471" t="inlineStr">
        <is>
          <t>1866 DRAPER AVE SE</t>
        </is>
      </c>
      <c r="N2471">
        <f>RIGHT(M2471,LEN(M2471)-FIND(" ",M2471))</f>
        <v/>
      </c>
      <c r="P2471" t="inlineStr">
        <is>
          <t>WARREN</t>
        </is>
      </c>
      <c r="Q2471" t="inlineStr">
        <is>
          <t>OH</t>
        </is>
      </c>
      <c r="R2471" t="n">
        <v>44484</v>
      </c>
      <c r="AD2471" t="inlineStr">
        <is>
          <t>TRUMBULL CAREER &amp; TECH CENTER</t>
        </is>
      </c>
      <c r="AE2471" t="inlineStr">
        <is>
          <t>WARREN CITY</t>
        </is>
      </c>
      <c r="AF2471" t="inlineStr">
        <is>
          <t>WARREN CITY SD</t>
        </is>
      </c>
      <c r="AH2471" t="n">
        <v>14</v>
      </c>
      <c r="AI2471" t="n">
        <v>11</v>
      </c>
      <c r="AN2471" t="inlineStr">
        <is>
          <t>WARREN</t>
        </is>
      </c>
      <c r="AO2471" t="inlineStr">
        <is>
          <t>WARREN CITY 4F</t>
        </is>
      </c>
      <c r="AP2471" t="inlineStr">
        <is>
          <t>78-P-ADN</t>
        </is>
      </c>
      <c r="AQ2471" t="n">
        <v>9</v>
      </c>
      <c r="AR2471" t="n">
        <v>64</v>
      </c>
      <c r="AS2471" t="n">
        <v>32</v>
      </c>
      <c r="AU2471">
        <f>COUNTA($BA$2471:$EH$2471)</f>
        <v/>
      </c>
      <c r="AV2471">
        <f>COUNTIF($BA$2471:$EH$2471,"D")</f>
        <v/>
      </c>
      <c r="AW2471">
        <f>COUNTIF($BA$2471:$EH$2471,"R")</f>
        <v/>
      </c>
      <c r="AX2471">
        <f>IF(BN2471="D",1,0)+IF(BO2471="D",1,0)+IF(BT2471="D",1,0)+IF(BU2471="D",1,0)+IF(BW2471="D",1,0)+IF(CC2471="D",1,0)+IF(CD2471="D",1,0)+IF(CE2471="D",1,0)+IF(CF2471="D",1,0)+IF(CL2471="D",1,0)+IF(CM2471="D",1,0)+IF(CQ2471="D",1,0)+IF(CR2471="D",1,0)+IF(CS2471="D",1,0)+IF(CW2471="D",1,0)+IF(CX2471="D",1,0)+IF(DD2471="D",1,0)+IF(DE2471="D",1,0)+IF(DJ2471="D",1,0)+IF(DK2471="D",1,0)+IF(DO2471="D",1,0)+IF(DP2471="D",1,0)+IF(DQ2471="D",1,0)+IF(DW2471="D",1,0)+IF(DZ2471="D",1,0)+IF(EH2471="D",1,0)</f>
        <v/>
      </c>
      <c r="AY2471">
        <f>IF(DJ2471&lt;&gt;"",1,0)+IF(DK2471&lt;&gt;"",1,0)+IF(DM2471&lt;&gt;"",1,0)+IF(DO2471&lt;&gt;"",1,0)+IF(DP2471&lt;&gt;"",1,0)+IF(DQ2471&lt;&gt;"",1,0)+IF(DS2471&lt;&gt;"",1,0)+IF(DT2471&lt;&gt;"",1,0)+IF(DV2471&lt;&gt;"",1,0)+IF(DW2471&lt;&gt;"",1,0)+IF(DX2471&lt;&gt;"",1,0)+IF(DY2471&lt;&gt;"",1,0)+IF(DZ2471&lt;&gt;"",1,0)+IF(EB2471&lt;&gt;"",1,0)+IF(EC2471&lt;&gt;"",1,0)+IF(ED2471&lt;&gt;"",1,0)+IF(EG2471&lt;&gt;"",1,0)+IF(EH2471&lt;&gt;"",1,0)</f>
        <v/>
      </c>
      <c r="AZ2471">
        <f>IF(EH2471&lt;&gt;"",1,0)</f>
        <v/>
      </c>
      <c r="BB2471" t="inlineStr">
        <is>
          <t>WARREN-WARD 4</t>
        </is>
      </c>
      <c r="CN2471" t="inlineStr">
        <is>
          <t>X</t>
        </is>
      </c>
      <c r="CP2471" t="inlineStr">
        <is>
          <t>X</t>
        </is>
      </c>
      <c r="CZ2471" t="inlineStr">
        <is>
          <t>D</t>
        </is>
      </c>
      <c r="DC2471" t="inlineStr">
        <is>
          <t>X</t>
        </is>
      </c>
      <c r="DN2471" t="inlineStr">
        <is>
          <t>X</t>
        </is>
      </c>
      <c r="DU2471" t="inlineStr">
        <is>
          <t>X</t>
        </is>
      </c>
    </row>
    <row r="2472">
      <c r="A2472" t="inlineStr">
        <is>
          <t>OH0022337488</t>
        </is>
      </c>
      <c r="B2472" t="n">
        <v>78</v>
      </c>
      <c r="C2472" t="n">
        <v>394903</v>
      </c>
      <c r="D2472" t="inlineStr">
        <is>
          <t>YOCUM</t>
        </is>
      </c>
      <c r="E2472" t="inlineStr">
        <is>
          <t>JAMES</t>
        </is>
      </c>
      <c r="F2472">
        <f>CONCATENATE(D2472," ",LEFT(H2472,4),"T=",AU2472,"D=",AV2472,"R=",AW2472,"M=",AX2472,"L=",AY2472,"B=",AZ2472)</f>
        <v/>
      </c>
      <c r="G2472" t="inlineStr">
        <is>
          <t>ROBERT</t>
        </is>
      </c>
      <c r="I2472" t="inlineStr">
        <is>
          <t>1982-02-19</t>
        </is>
      </c>
      <c r="J2472" t="inlineStr">
        <is>
          <t>2016-12-08</t>
        </is>
      </c>
      <c r="K2472" t="inlineStr">
        <is>
          <t>CONFIRMATION</t>
        </is>
      </c>
      <c r="M2472" t="inlineStr">
        <is>
          <t>2675 DUKE AVE SE</t>
        </is>
      </c>
      <c r="N2472">
        <f>RIGHT(M2472,LEN(M2472)-FIND(" ",M2472))</f>
        <v/>
      </c>
      <c r="P2472" t="inlineStr">
        <is>
          <t>WARREN</t>
        </is>
      </c>
      <c r="Q2472" t="inlineStr">
        <is>
          <t>OH</t>
        </is>
      </c>
      <c r="R2472" t="n">
        <v>44484</v>
      </c>
      <c r="AD2472" t="inlineStr">
        <is>
          <t>TRUMBULL CAREER &amp; TECH CENTER</t>
        </is>
      </c>
      <c r="AE2472" t="inlineStr">
        <is>
          <t>WARREN CITY</t>
        </is>
      </c>
      <c r="AF2472" t="inlineStr">
        <is>
          <t>WARREN CITY SD</t>
        </is>
      </c>
      <c r="AH2472" t="n">
        <v>14</v>
      </c>
      <c r="AI2472" t="n">
        <v>11</v>
      </c>
      <c r="AN2472" t="inlineStr">
        <is>
          <t>WARREN</t>
        </is>
      </c>
      <c r="AO2472" t="inlineStr">
        <is>
          <t>WARREN CITY 4F</t>
        </is>
      </c>
      <c r="AP2472" t="inlineStr">
        <is>
          <t>78-P-ADN</t>
        </is>
      </c>
      <c r="AQ2472" t="n">
        <v>9</v>
      </c>
      <c r="AR2472" t="n">
        <v>64</v>
      </c>
      <c r="AS2472" t="n">
        <v>32</v>
      </c>
      <c r="AU2472">
        <f>COUNTA($BA$2472:$EH$2472)</f>
        <v/>
      </c>
      <c r="AV2472">
        <f>COUNTIF($BA$2472:$EH$2472,"D")</f>
        <v/>
      </c>
      <c r="AW2472">
        <f>COUNTIF($BA$2472:$EH$2472,"R")</f>
        <v/>
      </c>
      <c r="AX2472">
        <f>IF(BN2472="D",1,0)+IF(BO2472="D",1,0)+IF(BT2472="D",1,0)+IF(BU2472="D",1,0)+IF(BW2472="D",1,0)+IF(CC2472="D",1,0)+IF(CD2472="D",1,0)+IF(CE2472="D",1,0)+IF(CF2472="D",1,0)+IF(CL2472="D",1,0)+IF(CM2472="D",1,0)+IF(CQ2472="D",1,0)+IF(CR2472="D",1,0)+IF(CS2472="D",1,0)+IF(CW2472="D",1,0)+IF(CX2472="D",1,0)+IF(DD2472="D",1,0)+IF(DE2472="D",1,0)+IF(DJ2472="D",1,0)+IF(DK2472="D",1,0)+IF(DO2472="D",1,0)+IF(DP2472="D",1,0)+IF(DQ2472="D",1,0)+IF(DW2472="D",1,0)+IF(DZ2472="D",1,0)+IF(EH2472="D",1,0)</f>
        <v/>
      </c>
      <c r="AY2472">
        <f>IF(DJ2472&lt;&gt;"",1,0)+IF(DK2472&lt;&gt;"",1,0)+IF(DM2472&lt;&gt;"",1,0)+IF(DO2472&lt;&gt;"",1,0)+IF(DP2472&lt;&gt;"",1,0)+IF(DQ2472&lt;&gt;"",1,0)+IF(DS2472&lt;&gt;"",1,0)+IF(DT2472&lt;&gt;"",1,0)+IF(DV2472&lt;&gt;"",1,0)+IF(DW2472&lt;&gt;"",1,0)+IF(DX2472&lt;&gt;"",1,0)+IF(DY2472&lt;&gt;"",1,0)+IF(DZ2472&lt;&gt;"",1,0)+IF(EB2472&lt;&gt;"",1,0)+IF(EC2472&lt;&gt;"",1,0)+IF(ED2472&lt;&gt;"",1,0)+IF(EG2472&lt;&gt;"",1,0)+IF(EH2472&lt;&gt;"",1,0)</f>
        <v/>
      </c>
      <c r="AZ2472">
        <f>IF(EH2472&lt;&gt;"",1,0)</f>
        <v/>
      </c>
      <c r="BB2472" t="inlineStr">
        <is>
          <t>WARREN-WARD 4</t>
        </is>
      </c>
      <c r="DC2472" t="inlineStr">
        <is>
          <t>X</t>
        </is>
      </c>
    </row>
    <row r="2473">
      <c r="A2473" t="inlineStr">
        <is>
          <t>OH0015764994</t>
        </is>
      </c>
      <c r="B2473" t="n">
        <v>78</v>
      </c>
      <c r="C2473" t="n">
        <v>252392</v>
      </c>
      <c r="D2473" t="inlineStr">
        <is>
          <t>BAKER</t>
        </is>
      </c>
      <c r="E2473" t="inlineStr">
        <is>
          <t>QUWAN</t>
        </is>
      </c>
      <c r="F2473">
        <f>CONCATENATE(D2473," ",LEFT(H2473,4),"T=",AU2473,"D=",AV2473,"R=",AW2473,"M=",AX2473,"L=",AY2473,"B=",AZ2473)</f>
        <v/>
      </c>
      <c r="I2473" t="inlineStr">
        <is>
          <t>1975-04-04</t>
        </is>
      </c>
      <c r="J2473" t="inlineStr">
        <is>
          <t>2014-06-30</t>
        </is>
      </c>
      <c r="K2473" t="inlineStr">
        <is>
          <t>ACTIVE</t>
        </is>
      </c>
      <c r="L2473" t="inlineStr">
        <is>
          <t>D</t>
        </is>
      </c>
      <c r="M2473" t="inlineStr">
        <is>
          <t>1792 MILTON ST SE</t>
        </is>
      </c>
      <c r="N2473">
        <f>RIGHT(M2473,LEN(M2473)-FIND(" ",M2473))</f>
        <v/>
      </c>
      <c r="P2473" t="inlineStr">
        <is>
          <t>WARREN</t>
        </is>
      </c>
      <c r="Q2473" t="inlineStr">
        <is>
          <t>OH</t>
        </is>
      </c>
      <c r="R2473" t="n">
        <v>44484</v>
      </c>
      <c r="AD2473" t="inlineStr">
        <is>
          <t>TRUMBULL CAREER &amp; TECH CENTER</t>
        </is>
      </c>
      <c r="AE2473" t="inlineStr">
        <is>
          <t>WARREN CITY</t>
        </is>
      </c>
      <c r="AF2473" t="inlineStr">
        <is>
          <t>WARREN CITY SD</t>
        </is>
      </c>
      <c r="AH2473" t="n">
        <v>14</v>
      </c>
      <c r="AI2473" t="n">
        <v>11</v>
      </c>
      <c r="AN2473" t="inlineStr">
        <is>
          <t>WARREN</t>
        </is>
      </c>
      <c r="AO2473" t="inlineStr">
        <is>
          <t>WARREN CITY 4F</t>
        </is>
      </c>
      <c r="AP2473" t="inlineStr">
        <is>
          <t>78-P-ADN</t>
        </is>
      </c>
      <c r="AQ2473" t="n">
        <v>9</v>
      </c>
      <c r="AR2473" t="n">
        <v>64</v>
      </c>
      <c r="AS2473" t="n">
        <v>32</v>
      </c>
      <c r="AU2473">
        <f>COUNTA($BA$2473:$EH$2473)</f>
        <v/>
      </c>
      <c r="AV2473">
        <f>COUNTIF($BA$2473:$EH$2473,"D")</f>
        <v/>
      </c>
      <c r="AW2473">
        <f>COUNTIF($BA$2473:$EH$2473,"R")</f>
        <v/>
      </c>
      <c r="AX2473">
        <f>IF(BN2473="D",1,0)+IF(BO2473="D",1,0)+IF(BT2473="D",1,0)+IF(BU2473="D",1,0)+IF(BW2473="D",1,0)+IF(CC2473="D",1,0)+IF(CD2473="D",1,0)+IF(CE2473="D",1,0)+IF(CF2473="D",1,0)+IF(CL2473="D",1,0)+IF(CM2473="D",1,0)+IF(CQ2473="D",1,0)+IF(CR2473="D",1,0)+IF(CS2473="D",1,0)+IF(CW2473="D",1,0)+IF(CX2473="D",1,0)+IF(DD2473="D",1,0)+IF(DE2473="D",1,0)+IF(DJ2473="D",1,0)+IF(DK2473="D",1,0)+IF(DO2473="D",1,0)+IF(DP2473="D",1,0)+IF(DQ2473="D",1,0)+IF(DW2473="D",1,0)+IF(DZ2473="D",1,0)+IF(EH2473="D",1,0)</f>
        <v/>
      </c>
      <c r="AY2473">
        <f>IF(DJ2473&lt;&gt;"",1,0)+IF(DK2473&lt;&gt;"",1,0)+IF(DM2473&lt;&gt;"",1,0)+IF(DO2473&lt;&gt;"",1,0)+IF(DP2473&lt;&gt;"",1,0)+IF(DQ2473&lt;&gt;"",1,0)+IF(DS2473&lt;&gt;"",1,0)+IF(DT2473&lt;&gt;"",1,0)+IF(DV2473&lt;&gt;"",1,0)+IF(DW2473&lt;&gt;"",1,0)+IF(DX2473&lt;&gt;"",1,0)+IF(DY2473&lt;&gt;"",1,0)+IF(DZ2473&lt;&gt;"",1,0)+IF(EB2473&lt;&gt;"",1,0)+IF(EC2473&lt;&gt;"",1,0)+IF(ED2473&lt;&gt;"",1,0)+IF(EG2473&lt;&gt;"",1,0)+IF(EH2473&lt;&gt;"",1,0)</f>
        <v/>
      </c>
      <c r="AZ2473">
        <f>IF(EH2473&lt;&gt;"",1,0)</f>
        <v/>
      </c>
      <c r="BB2473" t="inlineStr">
        <is>
          <t>WARREN-WARD 4</t>
        </is>
      </c>
      <c r="BC2473" t="inlineStr">
        <is>
          <t>X</t>
        </is>
      </c>
      <c r="BD2473" t="inlineStr">
        <is>
          <t>X</t>
        </is>
      </c>
      <c r="BE2473" t="inlineStr">
        <is>
          <t>X</t>
        </is>
      </c>
      <c r="BF2473" t="inlineStr">
        <is>
          <t>X</t>
        </is>
      </c>
      <c r="BH2473" t="inlineStr">
        <is>
          <t>X</t>
        </is>
      </c>
      <c r="BI2473" t="inlineStr">
        <is>
          <t>X</t>
        </is>
      </c>
      <c r="BJ2473" t="inlineStr">
        <is>
          <t>X</t>
        </is>
      </c>
      <c r="BK2473" t="inlineStr">
        <is>
          <t>X</t>
        </is>
      </c>
      <c r="BL2473" t="inlineStr">
        <is>
          <t>X</t>
        </is>
      </c>
      <c r="BP2473" t="inlineStr">
        <is>
          <t>X</t>
        </is>
      </c>
      <c r="BS2473" t="inlineStr">
        <is>
          <t>X</t>
        </is>
      </c>
      <c r="BY2473" t="inlineStr">
        <is>
          <t>D</t>
        </is>
      </c>
      <c r="CA2473" t="inlineStr">
        <is>
          <t>X</t>
        </is>
      </c>
      <c r="CG2473" t="inlineStr">
        <is>
          <t>X</t>
        </is>
      </c>
      <c r="CH2473" t="inlineStr">
        <is>
          <t>D</t>
        </is>
      </c>
      <c r="CK2473" t="inlineStr">
        <is>
          <t>X</t>
        </is>
      </c>
      <c r="CL2473" t="inlineStr">
        <is>
          <t>D</t>
        </is>
      </c>
      <c r="CN2473" t="inlineStr">
        <is>
          <t>X</t>
        </is>
      </c>
      <c r="CP2473" t="inlineStr">
        <is>
          <t>X</t>
        </is>
      </c>
      <c r="CV2473" t="inlineStr">
        <is>
          <t>X</t>
        </is>
      </c>
      <c r="CY2473" t="inlineStr">
        <is>
          <t>X</t>
        </is>
      </c>
      <c r="CZ2473" t="inlineStr">
        <is>
          <t>D</t>
        </is>
      </c>
      <c r="DC2473" t="inlineStr">
        <is>
          <t>X</t>
        </is>
      </c>
      <c r="DI2473" t="inlineStr">
        <is>
          <t>X</t>
        </is>
      </c>
      <c r="DJ2473" t="inlineStr">
        <is>
          <t>D</t>
        </is>
      </c>
      <c r="DL2473" t="inlineStr">
        <is>
          <t>X</t>
        </is>
      </c>
      <c r="DT2473" t="inlineStr">
        <is>
          <t>D</t>
        </is>
      </c>
      <c r="DW2473" t="inlineStr">
        <is>
          <t>D</t>
        </is>
      </c>
      <c r="EA2473" t="inlineStr">
        <is>
          <t>X</t>
        </is>
      </c>
      <c r="EF2473" t="inlineStr">
        <is>
          <t>X</t>
        </is>
      </c>
      <c r="EH2473" t="inlineStr">
        <is>
          <t>D</t>
        </is>
      </c>
    </row>
    <row r="2474">
      <c r="A2474" t="inlineStr">
        <is>
          <t>OH0015726531</t>
        </is>
      </c>
      <c r="B2474" t="n">
        <v>78</v>
      </c>
      <c r="C2474" t="n">
        <v>323259</v>
      </c>
      <c r="D2474" t="inlineStr">
        <is>
          <t>LACEY</t>
        </is>
      </c>
      <c r="E2474" t="inlineStr">
        <is>
          <t>TINA</t>
        </is>
      </c>
      <c r="F2474">
        <f>CONCATENATE(D2474," ",LEFT(H2474,4),"T=",AU2474,"D=",AV2474,"R=",AW2474,"M=",AX2474,"L=",AY2474,"B=",AZ2474)</f>
        <v/>
      </c>
      <c r="G2474" t="inlineStr">
        <is>
          <t>D</t>
        </is>
      </c>
      <c r="I2474" t="inlineStr">
        <is>
          <t>1977-04-25</t>
        </is>
      </c>
      <c r="J2474" t="inlineStr">
        <is>
          <t>2020-10-04</t>
        </is>
      </c>
      <c r="K2474" t="inlineStr">
        <is>
          <t>CONFIRMATION</t>
        </is>
      </c>
      <c r="M2474" t="inlineStr">
        <is>
          <t>1921 BURTON ST SE</t>
        </is>
      </c>
      <c r="N2474">
        <f>RIGHT(M2474,LEN(M2474)-FIND(" ",M2474))</f>
        <v/>
      </c>
      <c r="P2474" t="inlineStr">
        <is>
          <t>WARREN</t>
        </is>
      </c>
      <c r="Q2474" t="inlineStr">
        <is>
          <t>OH</t>
        </is>
      </c>
      <c r="R2474" t="n">
        <v>44484</v>
      </c>
      <c r="AD2474" t="inlineStr">
        <is>
          <t>TRUMBULL CAREER &amp; TECH CENTER</t>
        </is>
      </c>
      <c r="AE2474" t="inlineStr">
        <is>
          <t>WARREN CITY</t>
        </is>
      </c>
      <c r="AF2474" t="inlineStr">
        <is>
          <t>WARREN CITY SD</t>
        </is>
      </c>
      <c r="AH2474" t="n">
        <v>14</v>
      </c>
      <c r="AI2474" t="n">
        <v>11</v>
      </c>
      <c r="AN2474" t="inlineStr">
        <is>
          <t>WARREN</t>
        </is>
      </c>
      <c r="AO2474" t="inlineStr">
        <is>
          <t>WARREN CITY 4F</t>
        </is>
      </c>
      <c r="AP2474" t="inlineStr">
        <is>
          <t>78-P-ADN</t>
        </is>
      </c>
      <c r="AQ2474" t="n">
        <v>9</v>
      </c>
      <c r="AR2474" t="n">
        <v>64</v>
      </c>
      <c r="AS2474" t="n">
        <v>32</v>
      </c>
      <c r="AU2474">
        <f>COUNTA($BA$2474:$EH$2474)</f>
        <v/>
      </c>
      <c r="AV2474">
        <f>COUNTIF($BA$2474:$EH$2474,"D")</f>
        <v/>
      </c>
      <c r="AW2474">
        <f>COUNTIF($BA$2474:$EH$2474,"R")</f>
        <v/>
      </c>
      <c r="AX2474">
        <f>IF(BN2474="D",1,0)+IF(BO2474="D",1,0)+IF(BT2474="D",1,0)+IF(BU2474="D",1,0)+IF(BW2474="D",1,0)+IF(CC2474="D",1,0)+IF(CD2474="D",1,0)+IF(CE2474="D",1,0)+IF(CF2474="D",1,0)+IF(CL2474="D",1,0)+IF(CM2474="D",1,0)+IF(CQ2474="D",1,0)+IF(CR2474="D",1,0)+IF(CS2474="D",1,0)+IF(CW2474="D",1,0)+IF(CX2474="D",1,0)+IF(DD2474="D",1,0)+IF(DE2474="D",1,0)+IF(DJ2474="D",1,0)+IF(DK2474="D",1,0)+IF(DO2474="D",1,0)+IF(DP2474="D",1,0)+IF(DQ2474="D",1,0)+IF(DW2474="D",1,0)+IF(DZ2474="D",1,0)+IF(EH2474="D",1,0)</f>
        <v/>
      </c>
      <c r="AY2474">
        <f>IF(DJ2474&lt;&gt;"",1,0)+IF(DK2474&lt;&gt;"",1,0)+IF(DM2474&lt;&gt;"",1,0)+IF(DO2474&lt;&gt;"",1,0)+IF(DP2474&lt;&gt;"",1,0)+IF(DQ2474&lt;&gt;"",1,0)+IF(DS2474&lt;&gt;"",1,0)+IF(DT2474&lt;&gt;"",1,0)+IF(DV2474&lt;&gt;"",1,0)+IF(DW2474&lt;&gt;"",1,0)+IF(DX2474&lt;&gt;"",1,0)+IF(DY2474&lt;&gt;"",1,0)+IF(DZ2474&lt;&gt;"",1,0)+IF(EB2474&lt;&gt;"",1,0)+IF(EC2474&lt;&gt;"",1,0)+IF(ED2474&lt;&gt;"",1,0)+IF(EG2474&lt;&gt;"",1,0)+IF(EH2474&lt;&gt;"",1,0)</f>
        <v/>
      </c>
      <c r="AZ2474">
        <f>IF(EH2474&lt;&gt;"",1,0)</f>
        <v/>
      </c>
      <c r="BB2474" t="inlineStr">
        <is>
          <t>WARREN-WARD 4</t>
        </is>
      </c>
    </row>
    <row r="2475">
      <c r="A2475" t="inlineStr">
        <is>
          <t>OH0026063253</t>
        </is>
      </c>
      <c r="B2475" t="n">
        <v>78</v>
      </c>
      <c r="C2475" t="n">
        <v>455051</v>
      </c>
      <c r="D2475" t="inlineStr">
        <is>
          <t>WALLACE</t>
        </is>
      </c>
      <c r="E2475" t="inlineStr">
        <is>
          <t>MIRANDA</t>
        </is>
      </c>
      <c r="F2475">
        <f>CONCATENATE(D2475," ",LEFT(H2475,4),"T=",AU2475,"D=",AV2475,"R=",AW2475,"M=",AX2475,"L=",AY2475,"B=",AZ2475)</f>
        <v/>
      </c>
      <c r="G2475" t="inlineStr">
        <is>
          <t>JOY</t>
        </is>
      </c>
      <c r="I2475" t="inlineStr">
        <is>
          <t>1997-10-18</t>
        </is>
      </c>
      <c r="J2475" t="inlineStr">
        <is>
          <t>2022-03-16</t>
        </is>
      </c>
      <c r="K2475" t="inlineStr">
        <is>
          <t>CONFIRMATION</t>
        </is>
      </c>
      <c r="M2475" t="inlineStr">
        <is>
          <t>1705 WICK ST SE</t>
        </is>
      </c>
      <c r="N2475">
        <f>RIGHT(M2475,LEN(M2475)-FIND(" ",M2475))</f>
        <v/>
      </c>
      <c r="P2475" t="inlineStr">
        <is>
          <t>WARREN</t>
        </is>
      </c>
      <c r="Q2475" t="inlineStr">
        <is>
          <t>OH</t>
        </is>
      </c>
      <c r="R2475" t="n">
        <v>44484</v>
      </c>
      <c r="AD2475" t="inlineStr">
        <is>
          <t>TRUMBULL CAREER &amp; TECH CENTER</t>
        </is>
      </c>
      <c r="AE2475" t="inlineStr">
        <is>
          <t>WARREN CITY</t>
        </is>
      </c>
      <c r="AF2475" t="inlineStr">
        <is>
          <t>WARREN CITY SD</t>
        </is>
      </c>
      <c r="AH2475" t="n">
        <v>14</v>
      </c>
      <c r="AI2475" t="n">
        <v>11</v>
      </c>
      <c r="AN2475" t="inlineStr">
        <is>
          <t>WARREN</t>
        </is>
      </c>
      <c r="AO2475" t="inlineStr">
        <is>
          <t>WARREN CITY 4F</t>
        </is>
      </c>
      <c r="AP2475" t="inlineStr">
        <is>
          <t>78-P-ADN</t>
        </is>
      </c>
      <c r="AQ2475" t="n">
        <v>9</v>
      </c>
      <c r="AR2475" t="n">
        <v>64</v>
      </c>
      <c r="AS2475" t="n">
        <v>32</v>
      </c>
      <c r="AU2475">
        <f>COUNTA($BA$2475:$EH$2475)</f>
        <v/>
      </c>
      <c r="AV2475">
        <f>COUNTIF($BA$2475:$EH$2475,"D")</f>
        <v/>
      </c>
      <c r="AW2475">
        <f>COUNTIF($BA$2475:$EH$2475,"R")</f>
        <v/>
      </c>
      <c r="AX2475">
        <f>IF(BN2475="D",1,0)+IF(BO2475="D",1,0)+IF(BT2475="D",1,0)+IF(BU2475="D",1,0)+IF(BW2475="D",1,0)+IF(CC2475="D",1,0)+IF(CD2475="D",1,0)+IF(CE2475="D",1,0)+IF(CF2475="D",1,0)+IF(CL2475="D",1,0)+IF(CM2475="D",1,0)+IF(CQ2475="D",1,0)+IF(CR2475="D",1,0)+IF(CS2475="D",1,0)+IF(CW2475="D",1,0)+IF(CX2475="D",1,0)+IF(DD2475="D",1,0)+IF(DE2475="D",1,0)+IF(DJ2475="D",1,0)+IF(DK2475="D",1,0)+IF(DO2475="D",1,0)+IF(DP2475="D",1,0)+IF(DQ2475="D",1,0)+IF(DW2475="D",1,0)+IF(DZ2475="D",1,0)+IF(EH2475="D",1,0)</f>
        <v/>
      </c>
      <c r="AY2475">
        <f>IF(DJ2475&lt;&gt;"",1,0)+IF(DK2475&lt;&gt;"",1,0)+IF(DM2475&lt;&gt;"",1,0)+IF(DO2475&lt;&gt;"",1,0)+IF(DP2475&lt;&gt;"",1,0)+IF(DQ2475&lt;&gt;"",1,0)+IF(DS2475&lt;&gt;"",1,0)+IF(DT2475&lt;&gt;"",1,0)+IF(DV2475&lt;&gt;"",1,0)+IF(DW2475&lt;&gt;"",1,0)+IF(DX2475&lt;&gt;"",1,0)+IF(DY2475&lt;&gt;"",1,0)+IF(DZ2475&lt;&gt;"",1,0)+IF(EB2475&lt;&gt;"",1,0)+IF(EC2475&lt;&gt;"",1,0)+IF(ED2475&lt;&gt;"",1,0)+IF(EG2475&lt;&gt;"",1,0)+IF(EH2475&lt;&gt;"",1,0)</f>
        <v/>
      </c>
      <c r="AZ2475">
        <f>IF(EH2475&lt;&gt;"",1,0)</f>
        <v/>
      </c>
      <c r="BB2475" t="inlineStr">
        <is>
          <t>WARREN-WARD 4</t>
        </is>
      </c>
      <c r="DN2475" t="inlineStr">
        <is>
          <t>X</t>
        </is>
      </c>
    </row>
    <row r="2476">
      <c r="A2476" t="inlineStr">
        <is>
          <t>OH0023336822</t>
        </is>
      </c>
      <c r="B2476" t="n">
        <v>78</v>
      </c>
      <c r="C2476" t="n">
        <v>410755</v>
      </c>
      <c r="D2476" t="inlineStr">
        <is>
          <t>WHITE</t>
        </is>
      </c>
      <c r="E2476" t="inlineStr">
        <is>
          <t>TIM</t>
        </is>
      </c>
      <c r="F2476">
        <f>CONCATENATE(D2476," ",LEFT(H2476,4),"T=",AU2476,"D=",AV2476,"R=",AW2476,"M=",AX2476,"L=",AY2476,"B=",AZ2476)</f>
        <v/>
      </c>
      <c r="G2476" t="inlineStr">
        <is>
          <t>L</t>
        </is>
      </c>
      <c r="I2476" t="inlineStr">
        <is>
          <t>1992-06-08</t>
        </is>
      </c>
      <c r="J2476" t="inlineStr">
        <is>
          <t>2015-09-22</t>
        </is>
      </c>
      <c r="K2476" t="inlineStr">
        <is>
          <t>CONFIRMATION</t>
        </is>
      </c>
      <c r="M2476" t="inlineStr">
        <is>
          <t>2786 DUKE AVE SE</t>
        </is>
      </c>
      <c r="N2476">
        <f>RIGHT(M2476,LEN(M2476)-FIND(" ",M2476))</f>
        <v/>
      </c>
      <c r="P2476" t="inlineStr">
        <is>
          <t>WARREN</t>
        </is>
      </c>
      <c r="Q2476" t="inlineStr">
        <is>
          <t>OH</t>
        </is>
      </c>
      <c r="R2476" t="n">
        <v>44484</v>
      </c>
      <c r="AD2476" t="inlineStr">
        <is>
          <t>TRUMBULL CAREER &amp; TECH CENTER</t>
        </is>
      </c>
      <c r="AE2476" t="inlineStr">
        <is>
          <t>WARREN CITY</t>
        </is>
      </c>
      <c r="AF2476" t="inlineStr">
        <is>
          <t>WARREN CITY SD</t>
        </is>
      </c>
      <c r="AH2476" t="n">
        <v>14</v>
      </c>
      <c r="AI2476" t="n">
        <v>11</v>
      </c>
      <c r="AN2476" t="inlineStr">
        <is>
          <t>WARREN</t>
        </is>
      </c>
      <c r="AO2476" t="inlineStr">
        <is>
          <t>WARREN CITY 4F</t>
        </is>
      </c>
      <c r="AP2476" t="inlineStr">
        <is>
          <t>78-P-ADN</t>
        </is>
      </c>
      <c r="AQ2476" t="n">
        <v>9</v>
      </c>
      <c r="AR2476" t="n">
        <v>64</v>
      </c>
      <c r="AS2476" t="n">
        <v>32</v>
      </c>
      <c r="AU2476">
        <f>COUNTA($BA$2476:$EH$2476)</f>
        <v/>
      </c>
      <c r="AV2476">
        <f>COUNTIF($BA$2476:$EH$2476,"D")</f>
        <v/>
      </c>
      <c r="AW2476">
        <f>COUNTIF($BA$2476:$EH$2476,"R")</f>
        <v/>
      </c>
      <c r="AX2476">
        <f>IF(BN2476="D",1,0)+IF(BO2476="D",1,0)+IF(BT2476="D",1,0)+IF(BU2476="D",1,0)+IF(BW2476="D",1,0)+IF(CC2476="D",1,0)+IF(CD2476="D",1,0)+IF(CE2476="D",1,0)+IF(CF2476="D",1,0)+IF(CL2476="D",1,0)+IF(CM2476="D",1,0)+IF(CQ2476="D",1,0)+IF(CR2476="D",1,0)+IF(CS2476="D",1,0)+IF(CW2476="D",1,0)+IF(CX2476="D",1,0)+IF(DD2476="D",1,0)+IF(DE2476="D",1,0)+IF(DJ2476="D",1,0)+IF(DK2476="D",1,0)+IF(DO2476="D",1,0)+IF(DP2476="D",1,0)+IF(DQ2476="D",1,0)+IF(DW2476="D",1,0)+IF(DZ2476="D",1,0)+IF(EH2476="D",1,0)</f>
        <v/>
      </c>
      <c r="AY2476">
        <f>IF(DJ2476&lt;&gt;"",1,0)+IF(DK2476&lt;&gt;"",1,0)+IF(DM2476&lt;&gt;"",1,0)+IF(DO2476&lt;&gt;"",1,0)+IF(DP2476&lt;&gt;"",1,0)+IF(DQ2476&lt;&gt;"",1,0)+IF(DS2476&lt;&gt;"",1,0)+IF(DT2476&lt;&gt;"",1,0)+IF(DV2476&lt;&gt;"",1,0)+IF(DW2476&lt;&gt;"",1,0)+IF(DX2476&lt;&gt;"",1,0)+IF(DY2476&lt;&gt;"",1,0)+IF(DZ2476&lt;&gt;"",1,0)+IF(EB2476&lt;&gt;"",1,0)+IF(EC2476&lt;&gt;"",1,0)+IF(ED2476&lt;&gt;"",1,0)+IF(EG2476&lt;&gt;"",1,0)+IF(EH2476&lt;&gt;"",1,0)</f>
        <v/>
      </c>
      <c r="AZ2476">
        <f>IF(EH2476&lt;&gt;"",1,0)</f>
        <v/>
      </c>
      <c r="BB2476" t="inlineStr">
        <is>
          <t>WARREN-WARD 4</t>
        </is>
      </c>
    </row>
    <row r="2477">
      <c r="A2477" t="inlineStr">
        <is>
          <t>OH0023646170</t>
        </is>
      </c>
      <c r="B2477" t="n">
        <v>78</v>
      </c>
      <c r="C2477" t="n">
        <v>415985</v>
      </c>
      <c r="D2477" t="inlineStr">
        <is>
          <t>STAGGERS</t>
        </is>
      </c>
      <c r="E2477" t="inlineStr">
        <is>
          <t>DIAMOND</t>
        </is>
      </c>
      <c r="F2477">
        <f>CONCATENATE(D2477," ",LEFT(H2477,4),"T=",AU2477,"D=",AV2477,"R=",AW2477,"M=",AX2477,"L=",AY2477,"B=",AZ2477)</f>
        <v/>
      </c>
      <c r="G2477" t="inlineStr">
        <is>
          <t>L</t>
        </is>
      </c>
      <c r="I2477" t="inlineStr">
        <is>
          <t>1995-11-06</t>
        </is>
      </c>
      <c r="J2477" t="inlineStr">
        <is>
          <t>2024-10-09</t>
        </is>
      </c>
      <c r="K2477" t="inlineStr">
        <is>
          <t>ACTIVE</t>
        </is>
      </c>
      <c r="M2477" t="inlineStr">
        <is>
          <t>2919 DUKE AVE SE</t>
        </is>
      </c>
      <c r="N2477">
        <f>RIGHT(M2477,LEN(M2477)-FIND(" ",M2477))</f>
        <v/>
      </c>
      <c r="P2477" t="inlineStr">
        <is>
          <t>WARREN</t>
        </is>
      </c>
      <c r="Q2477" t="inlineStr">
        <is>
          <t>OH</t>
        </is>
      </c>
      <c r="R2477" t="n">
        <v>44484</v>
      </c>
      <c r="AD2477" t="inlineStr">
        <is>
          <t>TRUMBULL CAREER &amp; TECH CENTER</t>
        </is>
      </c>
      <c r="AE2477" t="inlineStr">
        <is>
          <t>WARREN CITY</t>
        </is>
      </c>
      <c r="AF2477" t="inlineStr">
        <is>
          <t>WARREN CITY SD</t>
        </is>
      </c>
      <c r="AH2477" t="n">
        <v>14</v>
      </c>
      <c r="AI2477" t="n">
        <v>11</v>
      </c>
      <c r="AN2477" t="inlineStr">
        <is>
          <t>WARREN</t>
        </is>
      </c>
      <c r="AO2477" t="inlineStr">
        <is>
          <t>WARREN CITY 4F</t>
        </is>
      </c>
      <c r="AP2477" t="inlineStr">
        <is>
          <t>78-P-ADN</t>
        </is>
      </c>
      <c r="AQ2477" t="n">
        <v>9</v>
      </c>
      <c r="AR2477" t="n">
        <v>64</v>
      </c>
      <c r="AS2477" t="n">
        <v>32</v>
      </c>
      <c r="AU2477">
        <f>COUNTA($BA$2477:$EH$2477)</f>
        <v/>
      </c>
      <c r="AV2477">
        <f>COUNTIF($BA$2477:$EH$2477,"D")</f>
        <v/>
      </c>
      <c r="AW2477">
        <f>COUNTIF($BA$2477:$EH$2477,"R")</f>
        <v/>
      </c>
      <c r="AX2477">
        <f>IF(BN2477="D",1,0)+IF(BO2477="D",1,0)+IF(BT2477="D",1,0)+IF(BU2477="D",1,0)+IF(BW2477="D",1,0)+IF(CC2477="D",1,0)+IF(CD2477="D",1,0)+IF(CE2477="D",1,0)+IF(CF2477="D",1,0)+IF(CL2477="D",1,0)+IF(CM2477="D",1,0)+IF(CQ2477="D",1,0)+IF(CR2477="D",1,0)+IF(CS2477="D",1,0)+IF(CW2477="D",1,0)+IF(CX2477="D",1,0)+IF(DD2477="D",1,0)+IF(DE2477="D",1,0)+IF(DJ2477="D",1,0)+IF(DK2477="D",1,0)+IF(DO2477="D",1,0)+IF(DP2477="D",1,0)+IF(DQ2477="D",1,0)+IF(DW2477="D",1,0)+IF(DZ2477="D",1,0)+IF(EH2477="D",1,0)</f>
        <v/>
      </c>
      <c r="AY2477">
        <f>IF(DJ2477&lt;&gt;"",1,0)+IF(DK2477&lt;&gt;"",1,0)+IF(DM2477&lt;&gt;"",1,0)+IF(DO2477&lt;&gt;"",1,0)+IF(DP2477&lt;&gt;"",1,0)+IF(DQ2477&lt;&gt;"",1,0)+IF(DS2477&lt;&gt;"",1,0)+IF(DT2477&lt;&gt;"",1,0)+IF(DV2477&lt;&gt;"",1,0)+IF(DW2477&lt;&gt;"",1,0)+IF(DX2477&lt;&gt;"",1,0)+IF(DY2477&lt;&gt;"",1,0)+IF(DZ2477&lt;&gt;"",1,0)+IF(EB2477&lt;&gt;"",1,0)+IF(EC2477&lt;&gt;"",1,0)+IF(ED2477&lt;&gt;"",1,0)+IF(EG2477&lt;&gt;"",1,0)+IF(EH2477&lt;&gt;"",1,0)</f>
        <v/>
      </c>
      <c r="AZ2477">
        <f>IF(EH2477&lt;&gt;"",1,0)</f>
        <v/>
      </c>
      <c r="BB2477" t="inlineStr">
        <is>
          <t>WARREN-WARD 4</t>
        </is>
      </c>
      <c r="DC2477" t="inlineStr">
        <is>
          <t>X</t>
        </is>
      </c>
      <c r="DI2477" t="inlineStr">
        <is>
          <t>X</t>
        </is>
      </c>
      <c r="DN2477" t="inlineStr">
        <is>
          <t>X</t>
        </is>
      </c>
      <c r="EF2477" t="inlineStr">
        <is>
          <t>X</t>
        </is>
      </c>
    </row>
    <row r="2478">
      <c r="A2478" t="inlineStr">
        <is>
          <t>OH0024304309</t>
        </is>
      </c>
      <c r="B2478" t="n">
        <v>78</v>
      </c>
      <c r="C2478" t="n">
        <v>426743</v>
      </c>
      <c r="D2478" t="inlineStr">
        <is>
          <t>PHILLIPS</t>
        </is>
      </c>
      <c r="E2478" t="inlineStr">
        <is>
          <t>SCOTT</t>
        </is>
      </c>
      <c r="F2478">
        <f>CONCATENATE(D2478," ",LEFT(H2478,4),"T=",AU2478,"D=",AV2478,"R=",AW2478,"M=",AX2478,"L=",AY2478,"B=",AZ2478)</f>
        <v/>
      </c>
      <c r="G2478" t="inlineStr">
        <is>
          <t>EDWARD</t>
        </is>
      </c>
      <c r="I2478" t="inlineStr">
        <is>
          <t>1986-02-13</t>
        </is>
      </c>
      <c r="J2478" t="inlineStr">
        <is>
          <t>2024-08-21</t>
        </is>
      </c>
      <c r="K2478" t="inlineStr">
        <is>
          <t>ACTIVE</t>
        </is>
      </c>
      <c r="M2478" t="inlineStr">
        <is>
          <t>1100 YOUNGSTOWN RD SE</t>
        </is>
      </c>
      <c r="N2478">
        <f>RIGHT(M2478,LEN(M2478)-FIND(" ",M2478))</f>
        <v/>
      </c>
      <c r="P2478" t="inlineStr">
        <is>
          <t>WARREN</t>
        </is>
      </c>
      <c r="Q2478" t="inlineStr">
        <is>
          <t>OH</t>
        </is>
      </c>
      <c r="R2478" t="n">
        <v>44484</v>
      </c>
      <c r="AD2478" t="inlineStr">
        <is>
          <t>TRUMBULL CAREER &amp; TECH CENTER</t>
        </is>
      </c>
      <c r="AE2478" t="inlineStr">
        <is>
          <t>WARREN CITY</t>
        </is>
      </c>
      <c r="AF2478" t="inlineStr">
        <is>
          <t>WARREN CITY SD</t>
        </is>
      </c>
      <c r="AH2478" t="n">
        <v>14</v>
      </c>
      <c r="AI2478" t="n">
        <v>11</v>
      </c>
      <c r="AN2478" t="inlineStr">
        <is>
          <t>WARREN</t>
        </is>
      </c>
      <c r="AO2478" t="inlineStr">
        <is>
          <t>WARREN CITY 4F</t>
        </is>
      </c>
      <c r="AP2478" t="inlineStr">
        <is>
          <t>78-P-ADN</t>
        </is>
      </c>
      <c r="AQ2478" t="n">
        <v>9</v>
      </c>
      <c r="AR2478" t="n">
        <v>64</v>
      </c>
      <c r="AS2478" t="n">
        <v>32</v>
      </c>
      <c r="AU2478">
        <f>COUNTA($BA$2478:$EH$2478)</f>
        <v/>
      </c>
      <c r="AV2478">
        <f>COUNTIF($BA$2478:$EH$2478,"D")</f>
        <v/>
      </c>
      <c r="AW2478">
        <f>COUNTIF($BA$2478:$EH$2478,"R")</f>
        <v/>
      </c>
      <c r="AX2478">
        <f>IF(BN2478="D",1,0)+IF(BO2478="D",1,0)+IF(BT2478="D",1,0)+IF(BU2478="D",1,0)+IF(BW2478="D",1,0)+IF(CC2478="D",1,0)+IF(CD2478="D",1,0)+IF(CE2478="D",1,0)+IF(CF2478="D",1,0)+IF(CL2478="D",1,0)+IF(CM2478="D",1,0)+IF(CQ2478="D",1,0)+IF(CR2478="D",1,0)+IF(CS2478="D",1,0)+IF(CW2478="D",1,0)+IF(CX2478="D",1,0)+IF(DD2478="D",1,0)+IF(DE2478="D",1,0)+IF(DJ2478="D",1,0)+IF(DK2478="D",1,0)+IF(DO2478="D",1,0)+IF(DP2478="D",1,0)+IF(DQ2478="D",1,0)+IF(DW2478="D",1,0)+IF(DZ2478="D",1,0)+IF(EH2478="D",1,0)</f>
        <v/>
      </c>
      <c r="AY2478">
        <f>IF(DJ2478&lt;&gt;"",1,0)+IF(DK2478&lt;&gt;"",1,0)+IF(DM2478&lt;&gt;"",1,0)+IF(DO2478&lt;&gt;"",1,0)+IF(DP2478&lt;&gt;"",1,0)+IF(DQ2478&lt;&gt;"",1,0)+IF(DS2478&lt;&gt;"",1,0)+IF(DT2478&lt;&gt;"",1,0)+IF(DV2478&lt;&gt;"",1,0)+IF(DW2478&lt;&gt;"",1,0)+IF(DX2478&lt;&gt;"",1,0)+IF(DY2478&lt;&gt;"",1,0)+IF(DZ2478&lt;&gt;"",1,0)+IF(EB2478&lt;&gt;"",1,0)+IF(EC2478&lt;&gt;"",1,0)+IF(ED2478&lt;&gt;"",1,0)+IF(EG2478&lt;&gt;"",1,0)+IF(EH2478&lt;&gt;"",1,0)</f>
        <v/>
      </c>
      <c r="AZ2478">
        <f>IF(EH2478&lt;&gt;"",1,0)</f>
        <v/>
      </c>
      <c r="BB2478" t="inlineStr">
        <is>
          <t>WARREN-WARD 4</t>
        </is>
      </c>
    </row>
    <row r="2479">
      <c r="A2479" t="inlineStr">
        <is>
          <t>OH0015718533</t>
        </is>
      </c>
      <c r="B2479" t="n">
        <v>78</v>
      </c>
      <c r="C2479" t="n">
        <v>19690</v>
      </c>
      <c r="D2479" t="inlineStr">
        <is>
          <t>SMITH</t>
        </is>
      </c>
      <c r="E2479" t="inlineStr">
        <is>
          <t>NAOMI</t>
        </is>
      </c>
      <c r="F2479">
        <f>CONCATENATE(D2479," ",LEFT(H2479,4),"T=",AU2479,"D=",AV2479,"R=",AW2479,"M=",AX2479,"L=",AY2479,"B=",AZ2479)</f>
        <v/>
      </c>
      <c r="G2479" t="inlineStr">
        <is>
          <t>R</t>
        </is>
      </c>
      <c r="I2479" t="inlineStr">
        <is>
          <t>1945-07-27</t>
        </is>
      </c>
      <c r="J2479" t="inlineStr">
        <is>
          <t>1969-03-24</t>
        </is>
      </c>
      <c r="K2479" t="inlineStr">
        <is>
          <t>ACTIVE</t>
        </is>
      </c>
      <c r="L2479" t="inlineStr">
        <is>
          <t>D</t>
        </is>
      </c>
      <c r="M2479" t="inlineStr">
        <is>
          <t>2540 DUKE AVE SE</t>
        </is>
      </c>
      <c r="N2479">
        <f>RIGHT(M2479,LEN(M2479)-FIND(" ",M2479))</f>
        <v/>
      </c>
      <c r="P2479" t="inlineStr">
        <is>
          <t>WARREN</t>
        </is>
      </c>
      <c r="Q2479" t="inlineStr">
        <is>
          <t>OH</t>
        </is>
      </c>
      <c r="R2479" t="n">
        <v>44484</v>
      </c>
      <c r="AD2479" t="inlineStr">
        <is>
          <t>TRUMBULL CAREER &amp; TECH CENTER</t>
        </is>
      </c>
      <c r="AE2479" t="inlineStr">
        <is>
          <t>WARREN CITY</t>
        </is>
      </c>
      <c r="AF2479" t="inlineStr">
        <is>
          <t>WARREN CITY SD</t>
        </is>
      </c>
      <c r="AH2479" t="n">
        <v>14</v>
      </c>
      <c r="AI2479" t="n">
        <v>11</v>
      </c>
      <c r="AN2479" t="inlineStr">
        <is>
          <t>WARREN</t>
        </is>
      </c>
      <c r="AO2479" t="inlineStr">
        <is>
          <t>WARREN CITY 4F</t>
        </is>
      </c>
      <c r="AP2479" t="inlineStr">
        <is>
          <t>78-P-ADN</t>
        </is>
      </c>
      <c r="AQ2479" t="n">
        <v>9</v>
      </c>
      <c r="AR2479" t="n">
        <v>64</v>
      </c>
      <c r="AS2479" t="n">
        <v>32</v>
      </c>
      <c r="AU2479">
        <f>COUNTA($BA$2479:$EH$2479)</f>
        <v/>
      </c>
      <c r="AV2479">
        <f>COUNTIF($BA$2479:$EH$2479,"D")</f>
        <v/>
      </c>
      <c r="AW2479">
        <f>COUNTIF($BA$2479:$EH$2479,"R")</f>
        <v/>
      </c>
      <c r="AX2479">
        <f>IF(BN2479="D",1,0)+IF(BO2479="D",1,0)+IF(BT2479="D",1,0)+IF(BU2479="D",1,0)+IF(BW2479="D",1,0)+IF(CC2479="D",1,0)+IF(CD2479="D",1,0)+IF(CE2479="D",1,0)+IF(CF2479="D",1,0)+IF(CL2479="D",1,0)+IF(CM2479="D",1,0)+IF(CQ2479="D",1,0)+IF(CR2479="D",1,0)+IF(CS2479="D",1,0)+IF(CW2479="D",1,0)+IF(CX2479="D",1,0)+IF(DD2479="D",1,0)+IF(DE2479="D",1,0)+IF(DJ2479="D",1,0)+IF(DK2479="D",1,0)+IF(DO2479="D",1,0)+IF(DP2479="D",1,0)+IF(DQ2479="D",1,0)+IF(DW2479="D",1,0)+IF(DZ2479="D",1,0)+IF(EH2479="D",1,0)</f>
        <v/>
      </c>
      <c r="AY2479">
        <f>IF(DJ2479&lt;&gt;"",1,0)+IF(DK2479&lt;&gt;"",1,0)+IF(DM2479&lt;&gt;"",1,0)+IF(DO2479&lt;&gt;"",1,0)+IF(DP2479&lt;&gt;"",1,0)+IF(DQ2479&lt;&gt;"",1,0)+IF(DS2479&lt;&gt;"",1,0)+IF(DT2479&lt;&gt;"",1,0)+IF(DV2479&lt;&gt;"",1,0)+IF(DW2479&lt;&gt;"",1,0)+IF(DX2479&lt;&gt;"",1,0)+IF(DY2479&lt;&gt;"",1,0)+IF(DZ2479&lt;&gt;"",1,0)+IF(EB2479&lt;&gt;"",1,0)+IF(EC2479&lt;&gt;"",1,0)+IF(ED2479&lt;&gt;"",1,0)+IF(EG2479&lt;&gt;"",1,0)+IF(EH2479&lt;&gt;"",1,0)</f>
        <v/>
      </c>
      <c r="AZ2479">
        <f>IF(EH2479&lt;&gt;"",1,0)</f>
        <v/>
      </c>
      <c r="BB2479" t="inlineStr">
        <is>
          <t>WARREN-WARD 4</t>
        </is>
      </c>
      <c r="BC2479" t="inlineStr">
        <is>
          <t>X</t>
        </is>
      </c>
      <c r="BD2479" t="inlineStr">
        <is>
          <t>X</t>
        </is>
      </c>
      <c r="BE2479" t="inlineStr">
        <is>
          <t>X</t>
        </is>
      </c>
      <c r="BF2479" t="inlineStr">
        <is>
          <t>X</t>
        </is>
      </c>
      <c r="BG2479" t="inlineStr">
        <is>
          <t>X</t>
        </is>
      </c>
      <c r="BH2479" t="inlineStr">
        <is>
          <t>X</t>
        </is>
      </c>
      <c r="BI2479" t="inlineStr">
        <is>
          <t>X</t>
        </is>
      </c>
      <c r="BJ2479" t="inlineStr">
        <is>
          <t>X</t>
        </is>
      </c>
      <c r="BK2479" t="inlineStr">
        <is>
          <t>X</t>
        </is>
      </c>
      <c r="BL2479" t="inlineStr">
        <is>
          <t>X</t>
        </is>
      </c>
      <c r="BP2479" t="inlineStr">
        <is>
          <t>X</t>
        </is>
      </c>
      <c r="BR2479" t="inlineStr">
        <is>
          <t>X</t>
        </is>
      </c>
      <c r="BS2479" t="inlineStr">
        <is>
          <t>X</t>
        </is>
      </c>
      <c r="BT2479" t="inlineStr">
        <is>
          <t>X</t>
        </is>
      </c>
      <c r="BV2479" t="inlineStr">
        <is>
          <t>X</t>
        </is>
      </c>
      <c r="BY2479" t="inlineStr">
        <is>
          <t>D</t>
        </is>
      </c>
      <c r="CA2479" t="inlineStr">
        <is>
          <t>X</t>
        </is>
      </c>
      <c r="CC2479" t="inlineStr">
        <is>
          <t>D</t>
        </is>
      </c>
      <c r="CG2479" t="inlineStr">
        <is>
          <t>X</t>
        </is>
      </c>
      <c r="CH2479" t="inlineStr">
        <is>
          <t>D</t>
        </is>
      </c>
      <c r="CK2479" t="inlineStr">
        <is>
          <t>X</t>
        </is>
      </c>
      <c r="CL2479" t="inlineStr">
        <is>
          <t>D</t>
        </is>
      </c>
      <c r="CN2479" t="inlineStr">
        <is>
          <t>X</t>
        </is>
      </c>
      <c r="CO2479" t="inlineStr">
        <is>
          <t>D</t>
        </is>
      </c>
      <c r="CP2479" t="inlineStr">
        <is>
          <t>X</t>
        </is>
      </c>
      <c r="CQ2479" t="inlineStr">
        <is>
          <t>D</t>
        </is>
      </c>
      <c r="CT2479" t="inlineStr">
        <is>
          <t>X</t>
        </is>
      </c>
      <c r="CU2479" t="inlineStr">
        <is>
          <t>D</t>
        </is>
      </c>
      <c r="CV2479" t="inlineStr">
        <is>
          <t>X</t>
        </is>
      </c>
      <c r="CW2479" t="inlineStr">
        <is>
          <t>D</t>
        </is>
      </c>
      <c r="CY2479" t="inlineStr">
        <is>
          <t>X</t>
        </is>
      </c>
      <c r="CZ2479" t="inlineStr">
        <is>
          <t>D</t>
        </is>
      </c>
      <c r="DC2479" t="inlineStr">
        <is>
          <t>X</t>
        </is>
      </c>
      <c r="DD2479" t="inlineStr">
        <is>
          <t>D</t>
        </is>
      </c>
      <c r="DF2479" t="inlineStr">
        <is>
          <t>X</t>
        </is>
      </c>
      <c r="DG2479" t="inlineStr">
        <is>
          <t>D</t>
        </is>
      </c>
      <c r="DI2479" t="inlineStr">
        <is>
          <t>X</t>
        </is>
      </c>
      <c r="DJ2479" t="inlineStr">
        <is>
          <t>D</t>
        </is>
      </c>
      <c r="DL2479" t="inlineStr">
        <is>
          <t>X</t>
        </is>
      </c>
      <c r="DM2479" t="inlineStr">
        <is>
          <t>D</t>
        </is>
      </c>
      <c r="DN2479" t="inlineStr">
        <is>
          <t>X</t>
        </is>
      </c>
      <c r="DR2479" t="inlineStr">
        <is>
          <t>X</t>
        </is>
      </c>
      <c r="DS2479" t="inlineStr">
        <is>
          <t>D</t>
        </is>
      </c>
      <c r="DT2479" t="inlineStr">
        <is>
          <t>D</t>
        </is>
      </c>
      <c r="DU2479" t="inlineStr">
        <is>
          <t>X</t>
        </is>
      </c>
      <c r="DW2479" t="inlineStr">
        <is>
          <t>D</t>
        </is>
      </c>
      <c r="DX2479" t="inlineStr">
        <is>
          <t>X</t>
        </is>
      </c>
      <c r="EA2479" t="inlineStr">
        <is>
          <t>X</t>
        </is>
      </c>
      <c r="ED2479" t="inlineStr">
        <is>
          <t>D</t>
        </is>
      </c>
      <c r="EF2479" t="inlineStr">
        <is>
          <t>X</t>
        </is>
      </c>
      <c r="EH2479" t="inlineStr">
        <is>
          <t>D</t>
        </is>
      </c>
    </row>
    <row r="2480">
      <c r="A2480" t="inlineStr">
        <is>
          <t>OH0015785793</t>
        </is>
      </c>
      <c r="B2480" t="n">
        <v>78</v>
      </c>
      <c r="C2480" t="n">
        <v>309219</v>
      </c>
      <c r="D2480" t="inlineStr">
        <is>
          <t>WILLIAMSON</t>
        </is>
      </c>
      <c r="E2480" t="inlineStr">
        <is>
          <t>SHARON</t>
        </is>
      </c>
      <c r="F2480">
        <f>CONCATENATE(D2480," ",LEFT(H2480,4),"T=",AU2480,"D=",AV2480,"R=",AW2480,"M=",AX2480,"L=",AY2480,"B=",AZ2480)</f>
        <v/>
      </c>
      <c r="I2480" t="inlineStr">
        <is>
          <t>1952-06-25</t>
        </is>
      </c>
      <c r="J2480" t="inlineStr">
        <is>
          <t>2007-10-09</t>
        </is>
      </c>
      <c r="K2480" t="inlineStr">
        <is>
          <t>ACTIVE</t>
        </is>
      </c>
      <c r="M2480" t="inlineStr">
        <is>
          <t>2764 DUKE AVE SE</t>
        </is>
      </c>
      <c r="N2480">
        <f>RIGHT(M2480,LEN(M2480)-FIND(" ",M2480))</f>
        <v/>
      </c>
      <c r="P2480" t="inlineStr">
        <is>
          <t>WARREN</t>
        </is>
      </c>
      <c r="Q2480" t="inlineStr">
        <is>
          <t>OH</t>
        </is>
      </c>
      <c r="R2480" t="n">
        <v>44484</v>
      </c>
      <c r="AD2480" t="inlineStr">
        <is>
          <t>TRUMBULL CAREER &amp; TECH CENTER</t>
        </is>
      </c>
      <c r="AE2480" t="inlineStr">
        <is>
          <t>WARREN CITY</t>
        </is>
      </c>
      <c r="AF2480" t="inlineStr">
        <is>
          <t>WARREN CITY SD</t>
        </is>
      </c>
      <c r="AH2480" t="n">
        <v>14</v>
      </c>
      <c r="AI2480" t="n">
        <v>11</v>
      </c>
      <c r="AN2480" t="inlineStr">
        <is>
          <t>WARREN</t>
        </is>
      </c>
      <c r="AO2480" t="inlineStr">
        <is>
          <t>WARREN CITY 4F</t>
        </is>
      </c>
      <c r="AP2480" t="inlineStr">
        <is>
          <t>78-P-ADN</t>
        </is>
      </c>
      <c r="AQ2480" t="n">
        <v>9</v>
      </c>
      <c r="AR2480" t="n">
        <v>64</v>
      </c>
      <c r="AS2480" t="n">
        <v>32</v>
      </c>
      <c r="AU2480">
        <f>COUNTA($BA$2480:$EH$2480)</f>
        <v/>
      </c>
      <c r="AV2480">
        <f>COUNTIF($BA$2480:$EH$2480,"D")</f>
        <v/>
      </c>
      <c r="AW2480">
        <f>COUNTIF($BA$2480:$EH$2480,"R")</f>
        <v/>
      </c>
      <c r="AX2480">
        <f>IF(BN2480="D",1,0)+IF(BO2480="D",1,0)+IF(BT2480="D",1,0)+IF(BU2480="D",1,0)+IF(BW2480="D",1,0)+IF(CC2480="D",1,0)+IF(CD2480="D",1,0)+IF(CE2480="D",1,0)+IF(CF2480="D",1,0)+IF(CL2480="D",1,0)+IF(CM2480="D",1,0)+IF(CQ2480="D",1,0)+IF(CR2480="D",1,0)+IF(CS2480="D",1,0)+IF(CW2480="D",1,0)+IF(CX2480="D",1,0)+IF(DD2480="D",1,0)+IF(DE2480="D",1,0)+IF(DJ2480="D",1,0)+IF(DK2480="D",1,0)+IF(DO2480="D",1,0)+IF(DP2480="D",1,0)+IF(DQ2480="D",1,0)+IF(DW2480="D",1,0)+IF(DZ2480="D",1,0)+IF(EH2480="D",1,0)</f>
        <v/>
      </c>
      <c r="AY2480">
        <f>IF(DJ2480&lt;&gt;"",1,0)+IF(DK2480&lt;&gt;"",1,0)+IF(DM2480&lt;&gt;"",1,0)+IF(DO2480&lt;&gt;"",1,0)+IF(DP2480&lt;&gt;"",1,0)+IF(DQ2480&lt;&gt;"",1,0)+IF(DS2480&lt;&gt;"",1,0)+IF(DT2480&lt;&gt;"",1,0)+IF(DV2480&lt;&gt;"",1,0)+IF(DW2480&lt;&gt;"",1,0)+IF(DX2480&lt;&gt;"",1,0)+IF(DY2480&lt;&gt;"",1,0)+IF(DZ2480&lt;&gt;"",1,0)+IF(EB2480&lt;&gt;"",1,0)+IF(EC2480&lt;&gt;"",1,0)+IF(ED2480&lt;&gt;"",1,0)+IF(EG2480&lt;&gt;"",1,0)+IF(EH2480&lt;&gt;"",1,0)</f>
        <v/>
      </c>
      <c r="AZ2480">
        <f>IF(EH2480&lt;&gt;"",1,0)</f>
        <v/>
      </c>
      <c r="BB2480" t="inlineStr">
        <is>
          <t>WARREN-WARD 4</t>
        </is>
      </c>
      <c r="BL2480" t="inlineStr">
        <is>
          <t>X</t>
        </is>
      </c>
      <c r="BY2480" t="inlineStr">
        <is>
          <t>D</t>
        </is>
      </c>
      <c r="CA2480" t="inlineStr">
        <is>
          <t>X</t>
        </is>
      </c>
      <c r="CG2480" t="inlineStr">
        <is>
          <t>X</t>
        </is>
      </c>
      <c r="CK2480" t="inlineStr">
        <is>
          <t>X</t>
        </is>
      </c>
      <c r="CN2480" t="inlineStr">
        <is>
          <t>X</t>
        </is>
      </c>
      <c r="CP2480" t="inlineStr">
        <is>
          <t>X</t>
        </is>
      </c>
      <c r="CT2480" t="inlineStr">
        <is>
          <t>X</t>
        </is>
      </c>
      <c r="CV2480" t="inlineStr">
        <is>
          <t>X</t>
        </is>
      </c>
      <c r="CY2480" t="inlineStr">
        <is>
          <t>X</t>
        </is>
      </c>
      <c r="DC2480" t="inlineStr">
        <is>
          <t>X</t>
        </is>
      </c>
      <c r="DI2480" t="inlineStr">
        <is>
          <t>X</t>
        </is>
      </c>
      <c r="DM2480" t="inlineStr">
        <is>
          <t>D</t>
        </is>
      </c>
      <c r="DN2480" t="inlineStr">
        <is>
          <t>X</t>
        </is>
      </c>
      <c r="EA2480" t="inlineStr">
        <is>
          <t>X</t>
        </is>
      </c>
      <c r="EF2480" t="inlineStr">
        <is>
          <t>X</t>
        </is>
      </c>
    </row>
    <row r="2481">
      <c r="A2481" t="inlineStr">
        <is>
          <t>OH0027497517</t>
        </is>
      </c>
      <c r="B2481" t="n">
        <v>78</v>
      </c>
      <c r="C2481" t="n">
        <v>487122</v>
      </c>
      <c r="D2481" t="inlineStr">
        <is>
          <t>ROLLAND</t>
        </is>
      </c>
      <c r="E2481" t="inlineStr">
        <is>
          <t>LYNDA</t>
        </is>
      </c>
      <c r="F2481">
        <f>CONCATENATE(D2481," ",LEFT(H2481,4),"T=",AU2481,"D=",AV2481,"R=",AW2481,"M=",AX2481,"L=",AY2481,"B=",AZ2481)</f>
        <v/>
      </c>
      <c r="G2481" t="inlineStr">
        <is>
          <t>S</t>
        </is>
      </c>
      <c r="I2481" t="inlineStr">
        <is>
          <t>1970-11-23</t>
        </is>
      </c>
      <c r="J2481" t="inlineStr">
        <is>
          <t>2024-08-01</t>
        </is>
      </c>
      <c r="K2481" t="inlineStr">
        <is>
          <t>ACTIVE</t>
        </is>
      </c>
      <c r="M2481" t="inlineStr">
        <is>
          <t>964 COLUMBIA PL SE</t>
        </is>
      </c>
      <c r="N2481">
        <f>RIGHT(M2481,LEN(M2481)-FIND(" ",M2481))</f>
        <v/>
      </c>
      <c r="P2481" t="inlineStr">
        <is>
          <t>WARREN</t>
        </is>
      </c>
      <c r="Q2481" t="inlineStr">
        <is>
          <t>OH</t>
        </is>
      </c>
      <c r="R2481" t="n">
        <v>44484</v>
      </c>
      <c r="AD2481" t="inlineStr">
        <is>
          <t>TRUMBULL CAREER &amp; TECH CENTER</t>
        </is>
      </c>
      <c r="AE2481" t="inlineStr">
        <is>
          <t>WARREN CITY</t>
        </is>
      </c>
      <c r="AF2481" t="inlineStr">
        <is>
          <t>WARREN CITY SD</t>
        </is>
      </c>
      <c r="AH2481" t="n">
        <v>14</v>
      </c>
      <c r="AI2481" t="n">
        <v>11</v>
      </c>
      <c r="AN2481" t="inlineStr">
        <is>
          <t>WARREN</t>
        </is>
      </c>
      <c r="AO2481" t="inlineStr">
        <is>
          <t>WARREN CITY 4F</t>
        </is>
      </c>
      <c r="AP2481" t="inlineStr">
        <is>
          <t>78-P-ADN</t>
        </is>
      </c>
      <c r="AQ2481" t="n">
        <v>9</v>
      </c>
      <c r="AR2481" t="n">
        <v>64</v>
      </c>
      <c r="AS2481" t="n">
        <v>32</v>
      </c>
      <c r="AU2481">
        <f>COUNTA($BA$2481:$EH$2481)</f>
        <v/>
      </c>
      <c r="AV2481">
        <f>COUNTIF($BA$2481:$EH$2481,"D")</f>
        <v/>
      </c>
      <c r="AW2481">
        <f>COUNTIF($BA$2481:$EH$2481,"R")</f>
        <v/>
      </c>
      <c r="AX2481">
        <f>IF(BN2481="D",1,0)+IF(BO2481="D",1,0)+IF(BT2481="D",1,0)+IF(BU2481="D",1,0)+IF(BW2481="D",1,0)+IF(CC2481="D",1,0)+IF(CD2481="D",1,0)+IF(CE2481="D",1,0)+IF(CF2481="D",1,0)+IF(CL2481="D",1,0)+IF(CM2481="D",1,0)+IF(CQ2481="D",1,0)+IF(CR2481="D",1,0)+IF(CS2481="D",1,0)+IF(CW2481="D",1,0)+IF(CX2481="D",1,0)+IF(DD2481="D",1,0)+IF(DE2481="D",1,0)+IF(DJ2481="D",1,0)+IF(DK2481="D",1,0)+IF(DO2481="D",1,0)+IF(DP2481="D",1,0)+IF(DQ2481="D",1,0)+IF(DW2481="D",1,0)+IF(DZ2481="D",1,0)+IF(EH2481="D",1,0)</f>
        <v/>
      </c>
      <c r="AY2481">
        <f>IF(DJ2481&lt;&gt;"",1,0)+IF(DK2481&lt;&gt;"",1,0)+IF(DM2481&lt;&gt;"",1,0)+IF(DO2481&lt;&gt;"",1,0)+IF(DP2481&lt;&gt;"",1,0)+IF(DQ2481&lt;&gt;"",1,0)+IF(DS2481&lt;&gt;"",1,0)+IF(DT2481&lt;&gt;"",1,0)+IF(DV2481&lt;&gt;"",1,0)+IF(DW2481&lt;&gt;"",1,0)+IF(DX2481&lt;&gt;"",1,0)+IF(DY2481&lt;&gt;"",1,0)+IF(DZ2481&lt;&gt;"",1,0)+IF(EB2481&lt;&gt;"",1,0)+IF(EC2481&lt;&gt;"",1,0)+IF(ED2481&lt;&gt;"",1,0)+IF(EG2481&lt;&gt;"",1,0)+IF(EH2481&lt;&gt;"",1,0)</f>
        <v/>
      </c>
      <c r="AZ2481">
        <f>IF(EH2481&lt;&gt;"",1,0)</f>
        <v/>
      </c>
      <c r="BB2481" t="inlineStr">
        <is>
          <t>WARREN-WARD 4</t>
        </is>
      </c>
    </row>
    <row r="2482">
      <c r="A2482" t="inlineStr">
        <is>
          <t>OH0015707925</t>
        </is>
      </c>
      <c r="B2482" t="n">
        <v>78</v>
      </c>
      <c r="C2482" t="n">
        <v>172389</v>
      </c>
      <c r="D2482" t="inlineStr">
        <is>
          <t>MADISON</t>
        </is>
      </c>
      <c r="E2482" t="inlineStr">
        <is>
          <t>JUANDA</t>
        </is>
      </c>
      <c r="F2482">
        <f>CONCATENATE(D2482," ",LEFT(H2482,4),"T=",AU2482,"D=",AV2482,"R=",AW2482,"M=",AX2482,"L=",AY2482,"B=",AZ2482)</f>
        <v/>
      </c>
      <c r="G2482" t="inlineStr">
        <is>
          <t>L</t>
        </is>
      </c>
      <c r="I2482" t="inlineStr">
        <is>
          <t>1950-12-14</t>
        </is>
      </c>
      <c r="J2482" t="inlineStr">
        <is>
          <t>2015-07-07</t>
        </is>
      </c>
      <c r="K2482" t="inlineStr">
        <is>
          <t>ACTIVE</t>
        </is>
      </c>
      <c r="L2482" t="inlineStr">
        <is>
          <t>D</t>
        </is>
      </c>
      <c r="M2482" t="inlineStr">
        <is>
          <t>1070 KENILWORTH AVE SE</t>
        </is>
      </c>
      <c r="N2482">
        <f>RIGHT(M2482,LEN(M2482)-FIND(" ",M2482))</f>
        <v/>
      </c>
      <c r="P2482" t="inlineStr">
        <is>
          <t>WARREN</t>
        </is>
      </c>
      <c r="Q2482" t="inlineStr">
        <is>
          <t>OH</t>
        </is>
      </c>
      <c r="R2482" t="n">
        <v>44484</v>
      </c>
      <c r="V2482" t="inlineStr">
        <is>
          <t>PO BOX 308</t>
        </is>
      </c>
      <c r="X2482" t="inlineStr">
        <is>
          <t>WARREN</t>
        </is>
      </c>
      <c r="Y2482" t="inlineStr">
        <is>
          <t>OH</t>
        </is>
      </c>
      <c r="Z2482" t="n">
        <v>44483</v>
      </c>
      <c r="AD2482" t="inlineStr">
        <is>
          <t>TRUMBULL CAREER &amp; TECH CENTER</t>
        </is>
      </c>
      <c r="AE2482" t="inlineStr">
        <is>
          <t>WARREN CITY</t>
        </is>
      </c>
      <c r="AF2482" t="inlineStr">
        <is>
          <t>WARREN CITY SD</t>
        </is>
      </c>
      <c r="AH2482" t="n">
        <v>14</v>
      </c>
      <c r="AI2482" t="n">
        <v>11</v>
      </c>
      <c r="AN2482" t="inlineStr">
        <is>
          <t>WARREN</t>
        </is>
      </c>
      <c r="AO2482" t="inlineStr">
        <is>
          <t>WARREN CITY 4F</t>
        </is>
      </c>
      <c r="AP2482" t="inlineStr">
        <is>
          <t>78-P-ADN</t>
        </is>
      </c>
      <c r="AQ2482" t="n">
        <v>9</v>
      </c>
      <c r="AR2482" t="n">
        <v>64</v>
      </c>
      <c r="AS2482" t="n">
        <v>32</v>
      </c>
      <c r="AU2482">
        <f>COUNTA($BA$2482:$EH$2482)</f>
        <v/>
      </c>
      <c r="AV2482">
        <f>COUNTIF($BA$2482:$EH$2482,"D")</f>
        <v/>
      </c>
      <c r="AW2482">
        <f>COUNTIF($BA$2482:$EH$2482,"R")</f>
        <v/>
      </c>
      <c r="AX2482">
        <f>IF(BN2482="D",1,0)+IF(BO2482="D",1,0)+IF(BT2482="D",1,0)+IF(BU2482="D",1,0)+IF(BW2482="D",1,0)+IF(CC2482="D",1,0)+IF(CD2482="D",1,0)+IF(CE2482="D",1,0)+IF(CF2482="D",1,0)+IF(CL2482="D",1,0)+IF(CM2482="D",1,0)+IF(CQ2482="D",1,0)+IF(CR2482="D",1,0)+IF(CS2482="D",1,0)+IF(CW2482="D",1,0)+IF(CX2482="D",1,0)+IF(DD2482="D",1,0)+IF(DE2482="D",1,0)+IF(DJ2482="D",1,0)+IF(DK2482="D",1,0)+IF(DO2482="D",1,0)+IF(DP2482="D",1,0)+IF(DQ2482="D",1,0)+IF(DW2482="D",1,0)+IF(DZ2482="D",1,0)+IF(EH2482="D",1,0)</f>
        <v/>
      </c>
      <c r="AY2482">
        <f>IF(DJ2482&lt;&gt;"",1,0)+IF(DK2482&lt;&gt;"",1,0)+IF(DM2482&lt;&gt;"",1,0)+IF(DO2482&lt;&gt;"",1,0)+IF(DP2482&lt;&gt;"",1,0)+IF(DQ2482&lt;&gt;"",1,0)+IF(DS2482&lt;&gt;"",1,0)+IF(DT2482&lt;&gt;"",1,0)+IF(DV2482&lt;&gt;"",1,0)+IF(DW2482&lt;&gt;"",1,0)+IF(DX2482&lt;&gt;"",1,0)+IF(DY2482&lt;&gt;"",1,0)+IF(DZ2482&lt;&gt;"",1,0)+IF(EB2482&lt;&gt;"",1,0)+IF(EC2482&lt;&gt;"",1,0)+IF(ED2482&lt;&gt;"",1,0)+IF(EG2482&lt;&gt;"",1,0)+IF(EH2482&lt;&gt;"",1,0)</f>
        <v/>
      </c>
      <c r="AZ2482">
        <f>IF(EH2482&lt;&gt;"",1,0)</f>
        <v/>
      </c>
      <c r="BB2482" t="inlineStr">
        <is>
          <t>WARREN-WARD 4</t>
        </is>
      </c>
      <c r="BD2482" t="inlineStr">
        <is>
          <t>X</t>
        </is>
      </c>
      <c r="BL2482" t="inlineStr">
        <is>
          <t>X</t>
        </is>
      </c>
      <c r="BS2482" t="inlineStr">
        <is>
          <t>X</t>
        </is>
      </c>
      <c r="BY2482" t="inlineStr">
        <is>
          <t>D</t>
        </is>
      </c>
      <c r="CA2482" t="inlineStr">
        <is>
          <t>X</t>
        </is>
      </c>
      <c r="CG2482" t="inlineStr">
        <is>
          <t>X</t>
        </is>
      </c>
      <c r="CK2482" t="inlineStr">
        <is>
          <t>X</t>
        </is>
      </c>
      <c r="CL2482" t="inlineStr">
        <is>
          <t>D</t>
        </is>
      </c>
      <c r="CP2482" t="inlineStr">
        <is>
          <t>X</t>
        </is>
      </c>
      <c r="CY2482" t="inlineStr">
        <is>
          <t>X</t>
        </is>
      </c>
      <c r="CZ2482" t="inlineStr">
        <is>
          <t>D</t>
        </is>
      </c>
      <c r="DC2482" t="inlineStr">
        <is>
          <t>X</t>
        </is>
      </c>
      <c r="DF2482" t="inlineStr">
        <is>
          <t>X</t>
        </is>
      </c>
      <c r="DG2482" t="inlineStr">
        <is>
          <t>D</t>
        </is>
      </c>
      <c r="DI2482" t="inlineStr">
        <is>
          <t>X</t>
        </is>
      </c>
      <c r="DL2482" t="inlineStr">
        <is>
          <t>X</t>
        </is>
      </c>
      <c r="DS2482" t="inlineStr">
        <is>
          <t>D</t>
        </is>
      </c>
      <c r="DU2482" t="inlineStr">
        <is>
          <t>X</t>
        </is>
      </c>
      <c r="DX2482" t="inlineStr">
        <is>
          <t>X</t>
        </is>
      </c>
      <c r="EA2482" t="inlineStr">
        <is>
          <t>X</t>
        </is>
      </c>
      <c r="EF2482" t="inlineStr">
        <is>
          <t>X</t>
        </is>
      </c>
    </row>
    <row r="2483">
      <c r="A2483" t="inlineStr">
        <is>
          <t>OH0015817100</t>
        </is>
      </c>
      <c r="B2483" t="n">
        <v>78</v>
      </c>
      <c r="C2483" t="n">
        <v>302041</v>
      </c>
      <c r="D2483" t="inlineStr">
        <is>
          <t>DORSEY</t>
        </is>
      </c>
      <c r="E2483" t="inlineStr">
        <is>
          <t>DONAVAN</t>
        </is>
      </c>
      <c r="F2483">
        <f>CONCATENATE(D2483," ",LEFT(H2483,4),"T=",AU2483,"D=",AV2483,"R=",AW2483,"M=",AX2483,"L=",AY2483,"B=",AZ2483)</f>
        <v/>
      </c>
      <c r="G2483" t="inlineStr">
        <is>
          <t>M</t>
        </is>
      </c>
      <c r="I2483" t="inlineStr">
        <is>
          <t>1980-06-24</t>
        </is>
      </c>
      <c r="J2483" t="inlineStr">
        <is>
          <t>2024-08-02</t>
        </is>
      </c>
      <c r="K2483" t="inlineStr">
        <is>
          <t>ACTIVE</t>
        </is>
      </c>
      <c r="M2483" t="inlineStr">
        <is>
          <t>1617 OAK KNOLL AVE SE</t>
        </is>
      </c>
      <c r="N2483">
        <f>RIGHT(M2483,LEN(M2483)-FIND(" ",M2483))</f>
        <v/>
      </c>
      <c r="P2483" t="inlineStr">
        <is>
          <t>WARREN</t>
        </is>
      </c>
      <c r="Q2483" t="inlineStr">
        <is>
          <t>OH</t>
        </is>
      </c>
      <c r="R2483" t="n">
        <v>44484</v>
      </c>
      <c r="AD2483" t="inlineStr">
        <is>
          <t>TRUMBULL CAREER &amp; TECH CENTER</t>
        </is>
      </c>
      <c r="AE2483" t="inlineStr">
        <is>
          <t>WARREN CITY</t>
        </is>
      </c>
      <c r="AF2483" t="inlineStr">
        <is>
          <t>WARREN CITY SD</t>
        </is>
      </c>
      <c r="AH2483" t="n">
        <v>14</v>
      </c>
      <c r="AI2483" t="n">
        <v>11</v>
      </c>
      <c r="AN2483" t="inlineStr">
        <is>
          <t>WARREN</t>
        </is>
      </c>
      <c r="AO2483" t="inlineStr">
        <is>
          <t>WARREN CITY 4F</t>
        </is>
      </c>
      <c r="AP2483" t="inlineStr">
        <is>
          <t>78-P-ADN</t>
        </is>
      </c>
      <c r="AQ2483" t="n">
        <v>9</v>
      </c>
      <c r="AR2483" t="n">
        <v>64</v>
      </c>
      <c r="AS2483" t="n">
        <v>32</v>
      </c>
      <c r="AU2483">
        <f>COUNTA($BA$2483:$EH$2483)</f>
        <v/>
      </c>
      <c r="AV2483">
        <f>COUNTIF($BA$2483:$EH$2483,"D")</f>
        <v/>
      </c>
      <c r="AW2483">
        <f>COUNTIF($BA$2483:$EH$2483,"R")</f>
        <v/>
      </c>
      <c r="AX2483">
        <f>IF(BN2483="D",1,0)+IF(BO2483="D",1,0)+IF(BT2483="D",1,0)+IF(BU2483="D",1,0)+IF(BW2483="D",1,0)+IF(CC2483="D",1,0)+IF(CD2483="D",1,0)+IF(CE2483="D",1,0)+IF(CF2483="D",1,0)+IF(CL2483="D",1,0)+IF(CM2483="D",1,0)+IF(CQ2483="D",1,0)+IF(CR2483="D",1,0)+IF(CS2483="D",1,0)+IF(CW2483="D",1,0)+IF(CX2483="D",1,0)+IF(DD2483="D",1,0)+IF(DE2483="D",1,0)+IF(DJ2483="D",1,0)+IF(DK2483="D",1,0)+IF(DO2483="D",1,0)+IF(DP2483="D",1,0)+IF(DQ2483="D",1,0)+IF(DW2483="D",1,0)+IF(DZ2483="D",1,0)+IF(EH2483="D",1,0)</f>
        <v/>
      </c>
      <c r="AY2483">
        <f>IF(DJ2483&lt;&gt;"",1,0)+IF(DK2483&lt;&gt;"",1,0)+IF(DM2483&lt;&gt;"",1,0)+IF(DO2483&lt;&gt;"",1,0)+IF(DP2483&lt;&gt;"",1,0)+IF(DQ2483&lt;&gt;"",1,0)+IF(DS2483&lt;&gt;"",1,0)+IF(DT2483&lt;&gt;"",1,0)+IF(DV2483&lt;&gt;"",1,0)+IF(DW2483&lt;&gt;"",1,0)+IF(DX2483&lt;&gt;"",1,0)+IF(DY2483&lt;&gt;"",1,0)+IF(DZ2483&lt;&gt;"",1,0)+IF(EB2483&lt;&gt;"",1,0)+IF(EC2483&lt;&gt;"",1,0)+IF(ED2483&lt;&gt;"",1,0)+IF(EG2483&lt;&gt;"",1,0)+IF(EH2483&lt;&gt;"",1,0)</f>
        <v/>
      </c>
      <c r="AZ2483">
        <f>IF(EH2483&lt;&gt;"",1,0)</f>
        <v/>
      </c>
      <c r="BB2483" t="inlineStr">
        <is>
          <t>WARREN-WARD 4</t>
        </is>
      </c>
      <c r="BL2483" t="inlineStr">
        <is>
          <t>X</t>
        </is>
      </c>
    </row>
    <row r="2484">
      <c r="A2484" t="inlineStr">
        <is>
          <t>OH0025798144</t>
        </is>
      </c>
      <c r="B2484" t="n">
        <v>78</v>
      </c>
      <c r="C2484" t="n">
        <v>450643</v>
      </c>
      <c r="D2484" t="inlineStr">
        <is>
          <t>SIMPSON</t>
        </is>
      </c>
      <c r="E2484" t="inlineStr">
        <is>
          <t>JAMES</t>
        </is>
      </c>
      <c r="F2484">
        <f>CONCATENATE(D2484," ",LEFT(H2484,4),"T=",AU2484,"D=",AV2484,"R=",AW2484,"M=",AX2484,"L=",AY2484,"B=",AZ2484)</f>
        <v/>
      </c>
      <c r="G2484" t="inlineStr">
        <is>
          <t>D</t>
        </is>
      </c>
      <c r="I2484" t="inlineStr">
        <is>
          <t>1980-07-22</t>
        </is>
      </c>
      <c r="J2484" t="inlineStr">
        <is>
          <t>2020-09-10</t>
        </is>
      </c>
      <c r="K2484" t="inlineStr">
        <is>
          <t>ACTIVE</t>
        </is>
      </c>
      <c r="M2484" t="inlineStr">
        <is>
          <t>1070 KENILWORTH AVE SE</t>
        </is>
      </c>
      <c r="N2484">
        <f>RIGHT(M2484,LEN(M2484)-FIND(" ",M2484))</f>
        <v/>
      </c>
      <c r="P2484" t="inlineStr">
        <is>
          <t>WARREN</t>
        </is>
      </c>
      <c r="Q2484" t="inlineStr">
        <is>
          <t>OH</t>
        </is>
      </c>
      <c r="R2484" t="n">
        <v>44484</v>
      </c>
      <c r="AD2484" t="inlineStr">
        <is>
          <t>TRUMBULL CAREER &amp; TECH CENTER</t>
        </is>
      </c>
      <c r="AE2484" t="inlineStr">
        <is>
          <t>WARREN CITY</t>
        </is>
      </c>
      <c r="AF2484" t="inlineStr">
        <is>
          <t>WARREN CITY SD</t>
        </is>
      </c>
      <c r="AH2484" t="n">
        <v>14</v>
      </c>
      <c r="AI2484" t="n">
        <v>11</v>
      </c>
      <c r="AN2484" t="inlineStr">
        <is>
          <t>WARREN</t>
        </is>
      </c>
      <c r="AO2484" t="inlineStr">
        <is>
          <t>WARREN CITY 4F</t>
        </is>
      </c>
      <c r="AP2484" t="inlineStr">
        <is>
          <t>78-P-ADN</t>
        </is>
      </c>
      <c r="AQ2484" t="n">
        <v>9</v>
      </c>
      <c r="AR2484" t="n">
        <v>64</v>
      </c>
      <c r="AS2484" t="n">
        <v>32</v>
      </c>
      <c r="AU2484">
        <f>COUNTA($BA$2484:$EH$2484)</f>
        <v/>
      </c>
      <c r="AV2484">
        <f>COUNTIF($BA$2484:$EH$2484,"D")</f>
        <v/>
      </c>
      <c r="AW2484">
        <f>COUNTIF($BA$2484:$EH$2484,"R")</f>
        <v/>
      </c>
      <c r="AX2484">
        <f>IF(BN2484="D",1,0)+IF(BO2484="D",1,0)+IF(BT2484="D",1,0)+IF(BU2484="D",1,0)+IF(BW2484="D",1,0)+IF(CC2484="D",1,0)+IF(CD2484="D",1,0)+IF(CE2484="D",1,0)+IF(CF2484="D",1,0)+IF(CL2484="D",1,0)+IF(CM2484="D",1,0)+IF(CQ2484="D",1,0)+IF(CR2484="D",1,0)+IF(CS2484="D",1,0)+IF(CW2484="D",1,0)+IF(CX2484="D",1,0)+IF(DD2484="D",1,0)+IF(DE2484="D",1,0)+IF(DJ2484="D",1,0)+IF(DK2484="D",1,0)+IF(DO2484="D",1,0)+IF(DP2484="D",1,0)+IF(DQ2484="D",1,0)+IF(DW2484="D",1,0)+IF(DZ2484="D",1,0)+IF(EH2484="D",1,0)</f>
        <v/>
      </c>
      <c r="AY2484">
        <f>IF(DJ2484&lt;&gt;"",1,0)+IF(DK2484&lt;&gt;"",1,0)+IF(DM2484&lt;&gt;"",1,0)+IF(DO2484&lt;&gt;"",1,0)+IF(DP2484&lt;&gt;"",1,0)+IF(DQ2484&lt;&gt;"",1,0)+IF(DS2484&lt;&gt;"",1,0)+IF(DT2484&lt;&gt;"",1,0)+IF(DV2484&lt;&gt;"",1,0)+IF(DW2484&lt;&gt;"",1,0)+IF(DX2484&lt;&gt;"",1,0)+IF(DY2484&lt;&gt;"",1,0)+IF(DZ2484&lt;&gt;"",1,0)+IF(EB2484&lt;&gt;"",1,0)+IF(EC2484&lt;&gt;"",1,0)+IF(ED2484&lt;&gt;"",1,0)+IF(EG2484&lt;&gt;"",1,0)+IF(EH2484&lt;&gt;"",1,0)</f>
        <v/>
      </c>
      <c r="AZ2484">
        <f>IF(EH2484&lt;&gt;"",1,0)</f>
        <v/>
      </c>
      <c r="BB2484" t="inlineStr">
        <is>
          <t>WARREN-WARD 4</t>
        </is>
      </c>
      <c r="BL2484" t="inlineStr">
        <is>
          <t>X</t>
        </is>
      </c>
      <c r="BY2484" t="inlineStr">
        <is>
          <t>D</t>
        </is>
      </c>
      <c r="CA2484" t="inlineStr">
        <is>
          <t>X</t>
        </is>
      </c>
    </row>
    <row r="2485">
      <c r="A2485" t="inlineStr">
        <is>
          <t>OH0027497305</t>
        </is>
      </c>
      <c r="B2485" t="n">
        <v>78</v>
      </c>
      <c r="C2485" t="n">
        <v>487113</v>
      </c>
      <c r="D2485" t="inlineStr">
        <is>
          <t>DAVIS</t>
        </is>
      </c>
      <c r="E2485" t="inlineStr">
        <is>
          <t>PIERRE</t>
        </is>
      </c>
      <c r="F2485">
        <f>CONCATENATE(D2485," ",LEFT(H2485,4),"T=",AU2485,"D=",AV2485,"R=",AW2485,"M=",AX2485,"L=",AY2485,"B=",AZ2485)</f>
        <v/>
      </c>
      <c r="G2485" t="inlineStr">
        <is>
          <t>M</t>
        </is>
      </c>
      <c r="I2485" t="inlineStr">
        <is>
          <t>1990-07-24</t>
        </is>
      </c>
      <c r="J2485" t="inlineStr">
        <is>
          <t>2024-08-02</t>
        </is>
      </c>
      <c r="K2485" t="inlineStr">
        <is>
          <t>ACTIVE</t>
        </is>
      </c>
      <c r="M2485" t="inlineStr">
        <is>
          <t>1745 BURTON ST SE</t>
        </is>
      </c>
      <c r="N2485">
        <f>RIGHT(M2485,LEN(M2485)-FIND(" ",M2485))</f>
        <v/>
      </c>
      <c r="P2485" t="inlineStr">
        <is>
          <t>WARREN</t>
        </is>
      </c>
      <c r="Q2485" t="inlineStr">
        <is>
          <t>OH</t>
        </is>
      </c>
      <c r="R2485" t="n">
        <v>44484</v>
      </c>
      <c r="AD2485" t="inlineStr">
        <is>
          <t>TRUMBULL CAREER &amp; TECH CENTER</t>
        </is>
      </c>
      <c r="AE2485" t="inlineStr">
        <is>
          <t>WARREN CITY</t>
        </is>
      </c>
      <c r="AF2485" t="inlineStr">
        <is>
          <t>WARREN CITY SD</t>
        </is>
      </c>
      <c r="AH2485" t="n">
        <v>14</v>
      </c>
      <c r="AI2485" t="n">
        <v>11</v>
      </c>
      <c r="AN2485" t="inlineStr">
        <is>
          <t>WARREN</t>
        </is>
      </c>
      <c r="AO2485" t="inlineStr">
        <is>
          <t>WARREN CITY 4F</t>
        </is>
      </c>
      <c r="AP2485" t="inlineStr">
        <is>
          <t>78-P-ADN</t>
        </is>
      </c>
      <c r="AQ2485" t="n">
        <v>9</v>
      </c>
      <c r="AR2485" t="n">
        <v>64</v>
      </c>
      <c r="AS2485" t="n">
        <v>32</v>
      </c>
      <c r="AU2485">
        <f>COUNTA($BA$2485:$EH$2485)</f>
        <v/>
      </c>
      <c r="AV2485">
        <f>COUNTIF($BA$2485:$EH$2485,"D")</f>
        <v/>
      </c>
      <c r="AW2485">
        <f>COUNTIF($BA$2485:$EH$2485,"R")</f>
        <v/>
      </c>
      <c r="AX2485">
        <f>IF(BN2485="D",1,0)+IF(BO2485="D",1,0)+IF(BT2485="D",1,0)+IF(BU2485="D",1,0)+IF(BW2485="D",1,0)+IF(CC2485="D",1,0)+IF(CD2485="D",1,0)+IF(CE2485="D",1,0)+IF(CF2485="D",1,0)+IF(CL2485="D",1,0)+IF(CM2485="D",1,0)+IF(CQ2485="D",1,0)+IF(CR2485="D",1,0)+IF(CS2485="D",1,0)+IF(CW2485="D",1,0)+IF(CX2485="D",1,0)+IF(DD2485="D",1,0)+IF(DE2485="D",1,0)+IF(DJ2485="D",1,0)+IF(DK2485="D",1,0)+IF(DO2485="D",1,0)+IF(DP2485="D",1,0)+IF(DQ2485="D",1,0)+IF(DW2485="D",1,0)+IF(DZ2485="D",1,0)+IF(EH2485="D",1,0)</f>
        <v/>
      </c>
      <c r="AY2485">
        <f>IF(DJ2485&lt;&gt;"",1,0)+IF(DK2485&lt;&gt;"",1,0)+IF(DM2485&lt;&gt;"",1,0)+IF(DO2485&lt;&gt;"",1,0)+IF(DP2485&lt;&gt;"",1,0)+IF(DQ2485&lt;&gt;"",1,0)+IF(DS2485&lt;&gt;"",1,0)+IF(DT2485&lt;&gt;"",1,0)+IF(DV2485&lt;&gt;"",1,0)+IF(DW2485&lt;&gt;"",1,0)+IF(DX2485&lt;&gt;"",1,0)+IF(DY2485&lt;&gt;"",1,0)+IF(DZ2485&lt;&gt;"",1,0)+IF(EB2485&lt;&gt;"",1,0)+IF(EC2485&lt;&gt;"",1,0)+IF(ED2485&lt;&gt;"",1,0)+IF(EG2485&lt;&gt;"",1,0)+IF(EH2485&lt;&gt;"",1,0)</f>
        <v/>
      </c>
      <c r="AZ2485">
        <f>IF(EH2485&lt;&gt;"",1,0)</f>
        <v/>
      </c>
      <c r="BB2485" t="inlineStr">
        <is>
          <t>WARREN-WARD 4</t>
        </is>
      </c>
      <c r="CA2485" t="inlineStr">
        <is>
          <t>X</t>
        </is>
      </c>
    </row>
    <row r="2486">
      <c r="A2486" t="inlineStr">
        <is>
          <t>OH0024249344</t>
        </is>
      </c>
      <c r="B2486" t="n">
        <v>78</v>
      </c>
      <c r="C2486" t="n">
        <v>424677</v>
      </c>
      <c r="D2486" t="inlineStr">
        <is>
          <t>ALLEN</t>
        </is>
      </c>
      <c r="E2486" t="inlineStr">
        <is>
          <t>HUNTER</t>
        </is>
      </c>
      <c r="F2486">
        <f>CONCATENATE(D2486," ",LEFT(H2486,4),"T=",AU2486,"D=",AV2486,"R=",AW2486,"M=",AX2486,"L=",AY2486,"B=",AZ2486)</f>
        <v/>
      </c>
      <c r="G2486" t="inlineStr">
        <is>
          <t>M</t>
        </is>
      </c>
      <c r="I2486" t="inlineStr">
        <is>
          <t>1993-05-11</t>
        </is>
      </c>
      <c r="J2486" t="inlineStr">
        <is>
          <t>2021-05-20</t>
        </is>
      </c>
      <c r="K2486" t="inlineStr">
        <is>
          <t>ACTIVE</t>
        </is>
      </c>
      <c r="M2486" t="inlineStr">
        <is>
          <t>1522 ROMAN ST SE</t>
        </is>
      </c>
      <c r="N2486">
        <f>RIGHT(M2486,LEN(M2486)-FIND(" ",M2486))</f>
        <v/>
      </c>
      <c r="P2486" t="inlineStr">
        <is>
          <t>WARREN</t>
        </is>
      </c>
      <c r="Q2486" t="inlineStr">
        <is>
          <t>OH</t>
        </is>
      </c>
      <c r="R2486" t="n">
        <v>44484</v>
      </c>
      <c r="AD2486" t="inlineStr">
        <is>
          <t>TRUMBULL CAREER &amp; TECH CENTER</t>
        </is>
      </c>
      <c r="AE2486" t="inlineStr">
        <is>
          <t>WARREN CITY</t>
        </is>
      </c>
      <c r="AF2486" t="inlineStr">
        <is>
          <t>WARREN CITY SD</t>
        </is>
      </c>
      <c r="AH2486" t="n">
        <v>14</v>
      </c>
      <c r="AI2486" t="n">
        <v>11</v>
      </c>
      <c r="AN2486" t="inlineStr">
        <is>
          <t>WARREN</t>
        </is>
      </c>
      <c r="AO2486" t="inlineStr">
        <is>
          <t>WARREN CITY 4F</t>
        </is>
      </c>
      <c r="AP2486" t="inlineStr">
        <is>
          <t>78-P-ADN</t>
        </is>
      </c>
      <c r="AQ2486" t="n">
        <v>9</v>
      </c>
      <c r="AR2486" t="n">
        <v>64</v>
      </c>
      <c r="AS2486" t="n">
        <v>32</v>
      </c>
      <c r="AU2486">
        <f>COUNTA($BA$2486:$EH$2486)</f>
        <v/>
      </c>
      <c r="AV2486">
        <f>COUNTIF($BA$2486:$EH$2486,"D")</f>
        <v/>
      </c>
      <c r="AW2486">
        <f>COUNTIF($BA$2486:$EH$2486,"R")</f>
        <v/>
      </c>
      <c r="AX2486">
        <f>IF(BN2486="D",1,0)+IF(BO2486="D",1,0)+IF(BT2486="D",1,0)+IF(BU2486="D",1,0)+IF(BW2486="D",1,0)+IF(CC2486="D",1,0)+IF(CD2486="D",1,0)+IF(CE2486="D",1,0)+IF(CF2486="D",1,0)+IF(CL2486="D",1,0)+IF(CM2486="D",1,0)+IF(CQ2486="D",1,0)+IF(CR2486="D",1,0)+IF(CS2486="D",1,0)+IF(CW2486="D",1,0)+IF(CX2486="D",1,0)+IF(DD2486="D",1,0)+IF(DE2486="D",1,0)+IF(DJ2486="D",1,0)+IF(DK2486="D",1,0)+IF(DO2486="D",1,0)+IF(DP2486="D",1,0)+IF(DQ2486="D",1,0)+IF(DW2486="D",1,0)+IF(DZ2486="D",1,0)+IF(EH2486="D",1,0)</f>
        <v/>
      </c>
      <c r="AY2486">
        <f>IF(DJ2486&lt;&gt;"",1,0)+IF(DK2486&lt;&gt;"",1,0)+IF(DM2486&lt;&gt;"",1,0)+IF(DO2486&lt;&gt;"",1,0)+IF(DP2486&lt;&gt;"",1,0)+IF(DQ2486&lt;&gt;"",1,0)+IF(DS2486&lt;&gt;"",1,0)+IF(DT2486&lt;&gt;"",1,0)+IF(DV2486&lt;&gt;"",1,0)+IF(DW2486&lt;&gt;"",1,0)+IF(DX2486&lt;&gt;"",1,0)+IF(DY2486&lt;&gt;"",1,0)+IF(DZ2486&lt;&gt;"",1,0)+IF(EB2486&lt;&gt;"",1,0)+IF(EC2486&lt;&gt;"",1,0)+IF(ED2486&lt;&gt;"",1,0)+IF(EG2486&lt;&gt;"",1,0)+IF(EH2486&lt;&gt;"",1,0)</f>
        <v/>
      </c>
      <c r="AZ2486">
        <f>IF(EH2486&lt;&gt;"",1,0)</f>
        <v/>
      </c>
      <c r="BB2486" t="inlineStr">
        <is>
          <t>WARREN-WARD 4</t>
        </is>
      </c>
      <c r="CP2486" t="inlineStr">
        <is>
          <t>X</t>
        </is>
      </c>
      <c r="CV2486" t="inlineStr">
        <is>
          <t>X</t>
        </is>
      </c>
    </row>
    <row r="2487">
      <c r="A2487" t="inlineStr">
        <is>
          <t>OH0022043796</t>
        </is>
      </c>
      <c r="B2487" t="n">
        <v>78</v>
      </c>
      <c r="C2487" t="n">
        <v>390883</v>
      </c>
      <c r="D2487" t="inlineStr">
        <is>
          <t>MCMILLIAN</t>
        </is>
      </c>
      <c r="E2487" t="inlineStr">
        <is>
          <t>LATROY</t>
        </is>
      </c>
      <c r="F2487">
        <f>CONCATENATE(D2487," ",LEFT(H2487,4),"T=",AU2487,"D=",AV2487,"R=",AW2487,"M=",AX2487,"L=",AY2487,"B=",AZ2487)</f>
        <v/>
      </c>
      <c r="G2487" t="inlineStr">
        <is>
          <t>T</t>
        </is>
      </c>
      <c r="I2487" t="inlineStr">
        <is>
          <t>1994-10-13</t>
        </is>
      </c>
      <c r="J2487" t="inlineStr">
        <is>
          <t>2014-05-14</t>
        </is>
      </c>
      <c r="K2487" t="inlineStr">
        <is>
          <t>CONFIRMATION</t>
        </is>
      </c>
      <c r="M2487" t="inlineStr">
        <is>
          <t>2716 DUKE AVE SE</t>
        </is>
      </c>
      <c r="N2487">
        <f>RIGHT(M2487,LEN(M2487)-FIND(" ",M2487))</f>
        <v/>
      </c>
      <c r="P2487" t="inlineStr">
        <is>
          <t>WARREN</t>
        </is>
      </c>
      <c r="Q2487" t="inlineStr">
        <is>
          <t>OH</t>
        </is>
      </c>
      <c r="R2487" t="n">
        <v>44484</v>
      </c>
      <c r="AD2487" t="inlineStr">
        <is>
          <t>TRUMBULL CAREER &amp; TECH CENTER</t>
        </is>
      </c>
      <c r="AE2487" t="inlineStr">
        <is>
          <t>WARREN CITY</t>
        </is>
      </c>
      <c r="AF2487" t="inlineStr">
        <is>
          <t>WARREN CITY SD</t>
        </is>
      </c>
      <c r="AH2487" t="n">
        <v>14</v>
      </c>
      <c r="AI2487" t="n">
        <v>11</v>
      </c>
      <c r="AN2487" t="inlineStr">
        <is>
          <t>WARREN</t>
        </is>
      </c>
      <c r="AO2487" t="inlineStr">
        <is>
          <t>WARREN CITY 4F</t>
        </is>
      </c>
      <c r="AP2487" t="inlineStr">
        <is>
          <t>78-P-ADN</t>
        </is>
      </c>
      <c r="AQ2487" t="n">
        <v>9</v>
      </c>
      <c r="AR2487" t="n">
        <v>64</v>
      </c>
      <c r="AS2487" t="n">
        <v>32</v>
      </c>
      <c r="AU2487">
        <f>COUNTA($BA$2487:$EH$2487)</f>
        <v/>
      </c>
      <c r="AV2487">
        <f>COUNTIF($BA$2487:$EH$2487,"D")</f>
        <v/>
      </c>
      <c r="AW2487">
        <f>COUNTIF($BA$2487:$EH$2487,"R")</f>
        <v/>
      </c>
      <c r="AX2487">
        <f>IF(BN2487="D",1,0)+IF(BO2487="D",1,0)+IF(BT2487="D",1,0)+IF(BU2487="D",1,0)+IF(BW2487="D",1,0)+IF(CC2487="D",1,0)+IF(CD2487="D",1,0)+IF(CE2487="D",1,0)+IF(CF2487="D",1,0)+IF(CL2487="D",1,0)+IF(CM2487="D",1,0)+IF(CQ2487="D",1,0)+IF(CR2487="D",1,0)+IF(CS2487="D",1,0)+IF(CW2487="D",1,0)+IF(CX2487="D",1,0)+IF(DD2487="D",1,0)+IF(DE2487="D",1,0)+IF(DJ2487="D",1,0)+IF(DK2487="D",1,0)+IF(DO2487="D",1,0)+IF(DP2487="D",1,0)+IF(DQ2487="D",1,0)+IF(DW2487="D",1,0)+IF(DZ2487="D",1,0)+IF(EH2487="D",1,0)</f>
        <v/>
      </c>
      <c r="AY2487">
        <f>IF(DJ2487&lt;&gt;"",1,0)+IF(DK2487&lt;&gt;"",1,0)+IF(DM2487&lt;&gt;"",1,0)+IF(DO2487&lt;&gt;"",1,0)+IF(DP2487&lt;&gt;"",1,0)+IF(DQ2487&lt;&gt;"",1,0)+IF(DS2487&lt;&gt;"",1,0)+IF(DT2487&lt;&gt;"",1,0)+IF(DV2487&lt;&gt;"",1,0)+IF(DW2487&lt;&gt;"",1,0)+IF(DX2487&lt;&gt;"",1,0)+IF(DY2487&lt;&gt;"",1,0)+IF(DZ2487&lt;&gt;"",1,0)+IF(EB2487&lt;&gt;"",1,0)+IF(EC2487&lt;&gt;"",1,0)+IF(ED2487&lt;&gt;"",1,0)+IF(EG2487&lt;&gt;"",1,0)+IF(EH2487&lt;&gt;"",1,0)</f>
        <v/>
      </c>
      <c r="AZ2487">
        <f>IF(EH2487&lt;&gt;"",1,0)</f>
        <v/>
      </c>
      <c r="BB2487" t="inlineStr">
        <is>
          <t>WARREN-WARD 4</t>
        </is>
      </c>
      <c r="CP2487" t="inlineStr">
        <is>
          <t>X</t>
        </is>
      </c>
      <c r="DC2487" t="inlineStr">
        <is>
          <t>X</t>
        </is>
      </c>
    </row>
    <row r="2488">
      <c r="A2488" t="inlineStr">
        <is>
          <t>OH0026913774</t>
        </is>
      </c>
      <c r="B2488" t="n">
        <v>78</v>
      </c>
      <c r="C2488" t="n">
        <v>474176</v>
      </c>
      <c r="D2488" t="inlineStr">
        <is>
          <t>BOYKIN</t>
        </is>
      </c>
      <c r="E2488" t="inlineStr">
        <is>
          <t>EMMANUEL</t>
        </is>
      </c>
      <c r="F2488">
        <f>CONCATENATE(D2488," ",LEFT(H2488,4),"T=",AU2488,"D=",AV2488,"R=",AW2488,"M=",AX2488,"L=",AY2488,"B=",AZ2488)</f>
        <v/>
      </c>
      <c r="G2488" t="inlineStr">
        <is>
          <t>E</t>
        </is>
      </c>
      <c r="I2488" t="inlineStr">
        <is>
          <t>1986-03-21</t>
        </is>
      </c>
      <c r="J2488" t="inlineStr">
        <is>
          <t>2023-04-19</t>
        </is>
      </c>
      <c r="K2488" t="inlineStr">
        <is>
          <t>ACTIVE</t>
        </is>
      </c>
      <c r="M2488" t="inlineStr">
        <is>
          <t>1534 HOMEWOOD AVE SE</t>
        </is>
      </c>
      <c r="N2488">
        <f>RIGHT(M2488,LEN(M2488)-FIND(" ",M2488))</f>
        <v/>
      </c>
      <c r="P2488" t="inlineStr">
        <is>
          <t>WARREN</t>
        </is>
      </c>
      <c r="Q2488" t="inlineStr">
        <is>
          <t>OH</t>
        </is>
      </c>
      <c r="R2488" t="n">
        <v>44484</v>
      </c>
      <c r="AD2488" t="inlineStr">
        <is>
          <t>TRUMBULL CAREER &amp; TECH CENTER</t>
        </is>
      </c>
      <c r="AE2488" t="inlineStr">
        <is>
          <t>WARREN CITY</t>
        </is>
      </c>
      <c r="AF2488" t="inlineStr">
        <is>
          <t>WARREN CITY SD</t>
        </is>
      </c>
      <c r="AH2488" t="n">
        <v>14</v>
      </c>
      <c r="AI2488" t="n">
        <v>11</v>
      </c>
      <c r="AN2488" t="inlineStr">
        <is>
          <t>WARREN</t>
        </is>
      </c>
      <c r="AO2488" t="inlineStr">
        <is>
          <t>WARREN CITY 4F</t>
        </is>
      </c>
      <c r="AP2488" t="inlineStr">
        <is>
          <t>78-P-ADN</t>
        </is>
      </c>
      <c r="AQ2488" t="n">
        <v>9</v>
      </c>
      <c r="AR2488" t="n">
        <v>64</v>
      </c>
      <c r="AS2488" t="n">
        <v>32</v>
      </c>
      <c r="AU2488">
        <f>COUNTA($BA$2488:$EH$2488)</f>
        <v/>
      </c>
      <c r="AV2488">
        <f>COUNTIF($BA$2488:$EH$2488,"D")</f>
        <v/>
      </c>
      <c r="AW2488">
        <f>COUNTIF($BA$2488:$EH$2488,"R")</f>
        <v/>
      </c>
      <c r="AX2488">
        <f>IF(BN2488="D",1,0)+IF(BO2488="D",1,0)+IF(BT2488="D",1,0)+IF(BU2488="D",1,0)+IF(BW2488="D",1,0)+IF(CC2488="D",1,0)+IF(CD2488="D",1,0)+IF(CE2488="D",1,0)+IF(CF2488="D",1,0)+IF(CL2488="D",1,0)+IF(CM2488="D",1,0)+IF(CQ2488="D",1,0)+IF(CR2488="D",1,0)+IF(CS2488="D",1,0)+IF(CW2488="D",1,0)+IF(CX2488="D",1,0)+IF(DD2488="D",1,0)+IF(DE2488="D",1,0)+IF(DJ2488="D",1,0)+IF(DK2488="D",1,0)+IF(DO2488="D",1,0)+IF(DP2488="D",1,0)+IF(DQ2488="D",1,0)+IF(DW2488="D",1,0)+IF(DZ2488="D",1,0)+IF(EH2488="D",1,0)</f>
        <v/>
      </c>
      <c r="AY2488">
        <f>IF(DJ2488&lt;&gt;"",1,0)+IF(DK2488&lt;&gt;"",1,0)+IF(DM2488&lt;&gt;"",1,0)+IF(DO2488&lt;&gt;"",1,0)+IF(DP2488&lt;&gt;"",1,0)+IF(DQ2488&lt;&gt;"",1,0)+IF(DS2488&lt;&gt;"",1,0)+IF(DT2488&lt;&gt;"",1,0)+IF(DV2488&lt;&gt;"",1,0)+IF(DW2488&lt;&gt;"",1,0)+IF(DX2488&lt;&gt;"",1,0)+IF(DY2488&lt;&gt;"",1,0)+IF(DZ2488&lt;&gt;"",1,0)+IF(EB2488&lt;&gt;"",1,0)+IF(EC2488&lt;&gt;"",1,0)+IF(ED2488&lt;&gt;"",1,0)+IF(EG2488&lt;&gt;"",1,0)+IF(EH2488&lt;&gt;"",1,0)</f>
        <v/>
      </c>
      <c r="AZ2488">
        <f>IF(EH2488&lt;&gt;"",1,0)</f>
        <v/>
      </c>
      <c r="BB2488" t="inlineStr">
        <is>
          <t>WARREN-WARD 4</t>
        </is>
      </c>
      <c r="CA2488" t="inlineStr">
        <is>
          <t>X</t>
        </is>
      </c>
      <c r="EF2488" t="inlineStr">
        <is>
          <t>X</t>
        </is>
      </c>
    </row>
    <row r="2489">
      <c r="A2489" t="inlineStr">
        <is>
          <t>OH0015762528</t>
        </is>
      </c>
      <c r="B2489" t="n">
        <v>78</v>
      </c>
      <c r="C2489" t="n">
        <v>320285</v>
      </c>
      <c r="D2489" t="inlineStr">
        <is>
          <t>PARNELL</t>
        </is>
      </c>
      <c r="E2489" t="inlineStr">
        <is>
          <t>JAMES</t>
        </is>
      </c>
      <c r="F2489">
        <f>CONCATENATE(D2489," ",LEFT(H2489,4),"T=",AU2489,"D=",AV2489,"R=",AW2489,"M=",AX2489,"L=",AY2489,"B=",AZ2489)</f>
        <v/>
      </c>
      <c r="G2489" t="inlineStr">
        <is>
          <t>D</t>
        </is>
      </c>
      <c r="I2489" t="inlineStr">
        <is>
          <t>1983-04-10</t>
        </is>
      </c>
      <c r="J2489" t="inlineStr">
        <is>
          <t>2018-01-22</t>
        </is>
      </c>
      <c r="K2489" t="inlineStr">
        <is>
          <t>CONFIRMATION</t>
        </is>
      </c>
      <c r="M2489" t="inlineStr">
        <is>
          <t>2176 BENTON ST SE</t>
        </is>
      </c>
      <c r="N2489">
        <f>RIGHT(M2489,LEN(M2489)-FIND(" ",M2489))</f>
        <v/>
      </c>
      <c r="P2489" t="inlineStr">
        <is>
          <t>WARREN</t>
        </is>
      </c>
      <c r="Q2489" t="inlineStr">
        <is>
          <t>OH</t>
        </is>
      </c>
      <c r="R2489" t="n">
        <v>44484</v>
      </c>
      <c r="AD2489" t="inlineStr">
        <is>
          <t>TRUMBULL CAREER &amp; TECH CENTER</t>
        </is>
      </c>
      <c r="AE2489" t="inlineStr">
        <is>
          <t>WARREN CITY</t>
        </is>
      </c>
      <c r="AF2489" t="inlineStr">
        <is>
          <t>WARREN CITY SD</t>
        </is>
      </c>
      <c r="AH2489" t="n">
        <v>14</v>
      </c>
      <c r="AI2489" t="n">
        <v>11</v>
      </c>
      <c r="AN2489" t="inlineStr">
        <is>
          <t>WARREN</t>
        </is>
      </c>
      <c r="AO2489" t="inlineStr">
        <is>
          <t>WARREN CITY 4F</t>
        </is>
      </c>
      <c r="AP2489" t="inlineStr">
        <is>
          <t>78-P-ADN</t>
        </is>
      </c>
      <c r="AQ2489" t="n">
        <v>9</v>
      </c>
      <c r="AR2489" t="n">
        <v>64</v>
      </c>
      <c r="AS2489" t="n">
        <v>32</v>
      </c>
      <c r="AU2489">
        <f>COUNTA($BA$2489:$EH$2489)</f>
        <v/>
      </c>
      <c r="AV2489">
        <f>COUNTIF($BA$2489:$EH$2489,"D")</f>
        <v/>
      </c>
      <c r="AW2489">
        <f>COUNTIF($BA$2489:$EH$2489,"R")</f>
        <v/>
      </c>
      <c r="AX2489">
        <f>IF(BN2489="D",1,0)+IF(BO2489="D",1,0)+IF(BT2489="D",1,0)+IF(BU2489="D",1,0)+IF(BW2489="D",1,0)+IF(CC2489="D",1,0)+IF(CD2489="D",1,0)+IF(CE2489="D",1,0)+IF(CF2489="D",1,0)+IF(CL2489="D",1,0)+IF(CM2489="D",1,0)+IF(CQ2489="D",1,0)+IF(CR2489="D",1,0)+IF(CS2489="D",1,0)+IF(CW2489="D",1,0)+IF(CX2489="D",1,0)+IF(DD2489="D",1,0)+IF(DE2489="D",1,0)+IF(DJ2489="D",1,0)+IF(DK2489="D",1,0)+IF(DO2489="D",1,0)+IF(DP2489="D",1,0)+IF(DQ2489="D",1,0)+IF(DW2489="D",1,0)+IF(DZ2489="D",1,0)+IF(EH2489="D",1,0)</f>
        <v/>
      </c>
      <c r="AY2489">
        <f>IF(DJ2489&lt;&gt;"",1,0)+IF(DK2489&lt;&gt;"",1,0)+IF(DM2489&lt;&gt;"",1,0)+IF(DO2489&lt;&gt;"",1,0)+IF(DP2489&lt;&gt;"",1,0)+IF(DQ2489&lt;&gt;"",1,0)+IF(DS2489&lt;&gt;"",1,0)+IF(DT2489&lt;&gt;"",1,0)+IF(DV2489&lt;&gt;"",1,0)+IF(DW2489&lt;&gt;"",1,0)+IF(DX2489&lt;&gt;"",1,0)+IF(DY2489&lt;&gt;"",1,0)+IF(DZ2489&lt;&gt;"",1,0)+IF(EB2489&lt;&gt;"",1,0)+IF(EC2489&lt;&gt;"",1,0)+IF(ED2489&lt;&gt;"",1,0)+IF(EG2489&lt;&gt;"",1,0)+IF(EH2489&lt;&gt;"",1,0)</f>
        <v/>
      </c>
      <c r="AZ2489">
        <f>IF(EH2489&lt;&gt;"",1,0)</f>
        <v/>
      </c>
      <c r="BB2489" t="inlineStr">
        <is>
          <t>WARREN-WARD 4</t>
        </is>
      </c>
      <c r="BY2489" t="inlineStr">
        <is>
          <t>D</t>
        </is>
      </c>
      <c r="DC2489" t="inlineStr">
        <is>
          <t>X</t>
        </is>
      </c>
    </row>
    <row r="2490">
      <c r="A2490" t="inlineStr">
        <is>
          <t>OH0015820705</t>
        </is>
      </c>
      <c r="B2490" t="n">
        <v>78</v>
      </c>
      <c r="C2490" t="n">
        <v>278460</v>
      </c>
      <c r="D2490" t="inlineStr">
        <is>
          <t>MURRAY</t>
        </is>
      </c>
      <c r="E2490" t="inlineStr">
        <is>
          <t>JONTUE</t>
        </is>
      </c>
      <c r="F2490">
        <f>CONCATENATE(D2490," ",LEFT(H2490,4),"T=",AU2490,"D=",AV2490,"R=",AW2490,"M=",AX2490,"L=",AY2490,"B=",AZ2490)</f>
        <v/>
      </c>
      <c r="G2490" t="inlineStr">
        <is>
          <t>R</t>
        </is>
      </c>
      <c r="I2490" t="inlineStr">
        <is>
          <t>1978-12-25</t>
        </is>
      </c>
      <c r="J2490" t="inlineStr">
        <is>
          <t>2020-09-19</t>
        </is>
      </c>
      <c r="K2490" t="inlineStr">
        <is>
          <t>ACTIVE</t>
        </is>
      </c>
      <c r="M2490" t="inlineStr">
        <is>
          <t>1046 HOMEWOOD AVE SE</t>
        </is>
      </c>
      <c r="N2490">
        <f>RIGHT(M2490,LEN(M2490)-FIND(" ",M2490))</f>
        <v/>
      </c>
      <c r="P2490" t="inlineStr">
        <is>
          <t>WARREN</t>
        </is>
      </c>
      <c r="Q2490" t="inlineStr">
        <is>
          <t>OH</t>
        </is>
      </c>
      <c r="R2490" t="n">
        <v>44484</v>
      </c>
      <c r="AD2490" t="inlineStr">
        <is>
          <t>TRUMBULL CAREER &amp; TECH CENTER</t>
        </is>
      </c>
      <c r="AE2490" t="inlineStr">
        <is>
          <t>WARREN CITY</t>
        </is>
      </c>
      <c r="AF2490" t="inlineStr">
        <is>
          <t>WARREN CITY SD</t>
        </is>
      </c>
      <c r="AH2490" t="n">
        <v>14</v>
      </c>
      <c r="AI2490" t="n">
        <v>11</v>
      </c>
      <c r="AN2490" t="inlineStr">
        <is>
          <t>WARREN</t>
        </is>
      </c>
      <c r="AO2490" t="inlineStr">
        <is>
          <t>WARREN CITY 4F</t>
        </is>
      </c>
      <c r="AP2490" t="inlineStr">
        <is>
          <t>78-P-ADN</t>
        </is>
      </c>
      <c r="AQ2490" t="n">
        <v>9</v>
      </c>
      <c r="AR2490" t="n">
        <v>64</v>
      </c>
      <c r="AS2490" t="n">
        <v>32</v>
      </c>
      <c r="AU2490">
        <f>COUNTA($BA$2490:$EH$2490)</f>
        <v/>
      </c>
      <c r="AV2490">
        <f>COUNTIF($BA$2490:$EH$2490,"D")</f>
        <v/>
      </c>
      <c r="AW2490">
        <f>COUNTIF($BA$2490:$EH$2490,"R")</f>
        <v/>
      </c>
      <c r="AX2490">
        <f>IF(BN2490="D",1,0)+IF(BO2490="D",1,0)+IF(BT2490="D",1,0)+IF(BU2490="D",1,0)+IF(BW2490="D",1,0)+IF(CC2490="D",1,0)+IF(CD2490="D",1,0)+IF(CE2490="D",1,0)+IF(CF2490="D",1,0)+IF(CL2490="D",1,0)+IF(CM2490="D",1,0)+IF(CQ2490="D",1,0)+IF(CR2490="D",1,0)+IF(CS2490="D",1,0)+IF(CW2490="D",1,0)+IF(CX2490="D",1,0)+IF(DD2490="D",1,0)+IF(DE2490="D",1,0)+IF(DJ2490="D",1,0)+IF(DK2490="D",1,0)+IF(DO2490="D",1,0)+IF(DP2490="D",1,0)+IF(DQ2490="D",1,0)+IF(DW2490="D",1,0)+IF(DZ2490="D",1,0)+IF(EH2490="D",1,0)</f>
        <v/>
      </c>
      <c r="AY2490">
        <f>IF(DJ2490&lt;&gt;"",1,0)+IF(DK2490&lt;&gt;"",1,0)+IF(DM2490&lt;&gt;"",1,0)+IF(DO2490&lt;&gt;"",1,0)+IF(DP2490&lt;&gt;"",1,0)+IF(DQ2490&lt;&gt;"",1,0)+IF(DS2490&lt;&gt;"",1,0)+IF(DT2490&lt;&gt;"",1,0)+IF(DV2490&lt;&gt;"",1,0)+IF(DW2490&lt;&gt;"",1,0)+IF(DX2490&lt;&gt;"",1,0)+IF(DY2490&lt;&gt;"",1,0)+IF(DZ2490&lt;&gt;"",1,0)+IF(EB2490&lt;&gt;"",1,0)+IF(EC2490&lt;&gt;"",1,0)+IF(ED2490&lt;&gt;"",1,0)+IF(EG2490&lt;&gt;"",1,0)+IF(EH2490&lt;&gt;"",1,0)</f>
        <v/>
      </c>
      <c r="AZ2490">
        <f>IF(EH2490&lt;&gt;"",1,0)</f>
        <v/>
      </c>
      <c r="BB2490" t="inlineStr">
        <is>
          <t>WARREN-WARD 4</t>
        </is>
      </c>
      <c r="BE2490" t="inlineStr">
        <is>
          <t>X</t>
        </is>
      </c>
      <c r="BH2490" t="inlineStr">
        <is>
          <t>X</t>
        </is>
      </c>
      <c r="BL2490" t="inlineStr">
        <is>
          <t>X</t>
        </is>
      </c>
      <c r="BP2490" t="inlineStr">
        <is>
          <t>X</t>
        </is>
      </c>
      <c r="BS2490" t="inlineStr">
        <is>
          <t>X</t>
        </is>
      </c>
      <c r="CA2490" t="inlineStr">
        <is>
          <t>X</t>
        </is>
      </c>
      <c r="CK2490" t="inlineStr">
        <is>
          <t>X</t>
        </is>
      </c>
      <c r="CL2490" t="inlineStr">
        <is>
          <t>D</t>
        </is>
      </c>
      <c r="CN2490" t="inlineStr">
        <is>
          <t>X</t>
        </is>
      </c>
      <c r="CP2490" t="inlineStr">
        <is>
          <t>X</t>
        </is>
      </c>
      <c r="CV2490" t="inlineStr">
        <is>
          <t>X</t>
        </is>
      </c>
      <c r="CY2490" t="inlineStr">
        <is>
          <t>X</t>
        </is>
      </c>
      <c r="DN2490" t="inlineStr">
        <is>
          <t>X</t>
        </is>
      </c>
      <c r="DU2490" t="inlineStr">
        <is>
          <t>X</t>
        </is>
      </c>
      <c r="DX2490" t="inlineStr">
        <is>
          <t>X</t>
        </is>
      </c>
      <c r="EA2490" t="inlineStr">
        <is>
          <t>X</t>
        </is>
      </c>
      <c r="EF2490" t="inlineStr">
        <is>
          <t>X</t>
        </is>
      </c>
    </row>
    <row r="2491">
      <c r="A2491" t="inlineStr">
        <is>
          <t>OH0023188969</t>
        </is>
      </c>
      <c r="B2491" t="n">
        <v>78</v>
      </c>
      <c r="C2491" t="n">
        <v>408324</v>
      </c>
      <c r="D2491" t="inlineStr">
        <is>
          <t>FAIRCHILD</t>
        </is>
      </c>
      <c r="E2491" t="inlineStr">
        <is>
          <t>SHANE</t>
        </is>
      </c>
      <c r="F2491">
        <f>CONCATENATE(D2491," ",LEFT(H2491,4),"T=",AU2491,"D=",AV2491,"R=",AW2491,"M=",AX2491,"L=",AY2491,"B=",AZ2491)</f>
        <v/>
      </c>
      <c r="G2491" t="inlineStr">
        <is>
          <t>S</t>
        </is>
      </c>
      <c r="I2491" t="inlineStr">
        <is>
          <t>1994-08-21</t>
        </is>
      </c>
      <c r="J2491" t="inlineStr">
        <is>
          <t>2024-08-08</t>
        </is>
      </c>
      <c r="K2491" t="inlineStr">
        <is>
          <t>ACTIVE</t>
        </is>
      </c>
      <c r="M2491" t="inlineStr">
        <is>
          <t>1587 KENILWORTH AVE SE</t>
        </is>
      </c>
      <c r="N2491">
        <f>RIGHT(M2491,LEN(M2491)-FIND(" ",M2491))</f>
        <v/>
      </c>
      <c r="P2491" t="inlineStr">
        <is>
          <t>WARREN</t>
        </is>
      </c>
      <c r="Q2491" t="inlineStr">
        <is>
          <t>OH</t>
        </is>
      </c>
      <c r="R2491" t="n">
        <v>44484</v>
      </c>
      <c r="AD2491" t="inlineStr">
        <is>
          <t>TRUMBULL CAREER &amp; TECH CENTER</t>
        </is>
      </c>
      <c r="AE2491" t="inlineStr">
        <is>
          <t>WARREN CITY</t>
        </is>
      </c>
      <c r="AF2491" t="inlineStr">
        <is>
          <t>WARREN CITY SD</t>
        </is>
      </c>
      <c r="AH2491" t="n">
        <v>14</v>
      </c>
      <c r="AI2491" t="n">
        <v>11</v>
      </c>
      <c r="AN2491" t="inlineStr">
        <is>
          <t>WARREN</t>
        </is>
      </c>
      <c r="AO2491" t="inlineStr">
        <is>
          <t>WARREN CITY 4F</t>
        </is>
      </c>
      <c r="AP2491" t="inlineStr">
        <is>
          <t>78-P-ADN</t>
        </is>
      </c>
      <c r="AQ2491" t="n">
        <v>9</v>
      </c>
      <c r="AR2491" t="n">
        <v>64</v>
      </c>
      <c r="AS2491" t="n">
        <v>32</v>
      </c>
      <c r="AU2491">
        <f>COUNTA($BA$2491:$EH$2491)</f>
        <v/>
      </c>
      <c r="AV2491">
        <f>COUNTIF($BA$2491:$EH$2491,"D")</f>
        <v/>
      </c>
      <c r="AW2491">
        <f>COUNTIF($BA$2491:$EH$2491,"R")</f>
        <v/>
      </c>
      <c r="AX2491">
        <f>IF(BN2491="D",1,0)+IF(BO2491="D",1,0)+IF(BT2491="D",1,0)+IF(BU2491="D",1,0)+IF(BW2491="D",1,0)+IF(CC2491="D",1,0)+IF(CD2491="D",1,0)+IF(CE2491="D",1,0)+IF(CF2491="D",1,0)+IF(CL2491="D",1,0)+IF(CM2491="D",1,0)+IF(CQ2491="D",1,0)+IF(CR2491="D",1,0)+IF(CS2491="D",1,0)+IF(CW2491="D",1,0)+IF(CX2491="D",1,0)+IF(DD2491="D",1,0)+IF(DE2491="D",1,0)+IF(DJ2491="D",1,0)+IF(DK2491="D",1,0)+IF(DO2491="D",1,0)+IF(DP2491="D",1,0)+IF(DQ2491="D",1,0)+IF(DW2491="D",1,0)+IF(DZ2491="D",1,0)+IF(EH2491="D",1,0)</f>
        <v/>
      </c>
      <c r="AY2491">
        <f>IF(DJ2491&lt;&gt;"",1,0)+IF(DK2491&lt;&gt;"",1,0)+IF(DM2491&lt;&gt;"",1,0)+IF(DO2491&lt;&gt;"",1,0)+IF(DP2491&lt;&gt;"",1,0)+IF(DQ2491&lt;&gt;"",1,0)+IF(DS2491&lt;&gt;"",1,0)+IF(DT2491&lt;&gt;"",1,0)+IF(DV2491&lt;&gt;"",1,0)+IF(DW2491&lt;&gt;"",1,0)+IF(DX2491&lt;&gt;"",1,0)+IF(DY2491&lt;&gt;"",1,0)+IF(DZ2491&lt;&gt;"",1,0)+IF(EB2491&lt;&gt;"",1,0)+IF(EC2491&lt;&gt;"",1,0)+IF(ED2491&lt;&gt;"",1,0)+IF(EG2491&lt;&gt;"",1,0)+IF(EH2491&lt;&gt;"",1,0)</f>
        <v/>
      </c>
      <c r="AZ2491">
        <f>IF(EH2491&lt;&gt;"",1,0)</f>
        <v/>
      </c>
      <c r="BB2491" t="inlineStr">
        <is>
          <t>WARREN-WARD 4</t>
        </is>
      </c>
    </row>
    <row r="2492">
      <c r="A2492" t="inlineStr">
        <is>
          <t>OH0026086206</t>
        </is>
      </c>
      <c r="B2492" t="n">
        <v>78</v>
      </c>
      <c r="C2492" t="n">
        <v>411916</v>
      </c>
      <c r="D2492" t="inlineStr">
        <is>
          <t>JONES</t>
        </is>
      </c>
      <c r="E2492" t="inlineStr">
        <is>
          <t>BOOKER</t>
        </is>
      </c>
      <c r="F2492">
        <f>CONCATENATE(D2492," ",LEFT(H2492,4),"T=",AU2492,"D=",AV2492,"R=",AW2492,"M=",AX2492,"L=",AY2492,"B=",AZ2492)</f>
        <v/>
      </c>
      <c r="G2492" t="inlineStr">
        <is>
          <t>L</t>
        </is>
      </c>
      <c r="I2492" t="inlineStr">
        <is>
          <t>1983-07-03</t>
        </is>
      </c>
      <c r="J2492" t="inlineStr">
        <is>
          <t>2023-02-12</t>
        </is>
      </c>
      <c r="K2492" t="inlineStr">
        <is>
          <t>ACTIVE</t>
        </is>
      </c>
      <c r="M2492" t="inlineStr">
        <is>
          <t>2016 BENTON ST SE</t>
        </is>
      </c>
      <c r="N2492">
        <f>RIGHT(M2492,LEN(M2492)-FIND(" ",M2492))</f>
        <v/>
      </c>
      <c r="P2492" t="inlineStr">
        <is>
          <t>WARREN</t>
        </is>
      </c>
      <c r="Q2492" t="inlineStr">
        <is>
          <t>OH</t>
        </is>
      </c>
      <c r="R2492" t="n">
        <v>44484</v>
      </c>
      <c r="AD2492" t="inlineStr">
        <is>
          <t>TRUMBULL CAREER &amp; TECH CENTER</t>
        </is>
      </c>
      <c r="AE2492" t="inlineStr">
        <is>
          <t>WARREN CITY</t>
        </is>
      </c>
      <c r="AF2492" t="inlineStr">
        <is>
          <t>WARREN CITY SD</t>
        </is>
      </c>
      <c r="AH2492" t="n">
        <v>14</v>
      </c>
      <c r="AI2492" t="n">
        <v>11</v>
      </c>
      <c r="AN2492" t="inlineStr">
        <is>
          <t>WARREN</t>
        </is>
      </c>
      <c r="AO2492" t="inlineStr">
        <is>
          <t>WARREN CITY 4F</t>
        </is>
      </c>
      <c r="AP2492" t="inlineStr">
        <is>
          <t>78-P-ADN</t>
        </is>
      </c>
      <c r="AQ2492" t="n">
        <v>9</v>
      </c>
      <c r="AR2492" t="n">
        <v>64</v>
      </c>
      <c r="AS2492" t="n">
        <v>32</v>
      </c>
      <c r="AU2492">
        <f>COUNTA($BA$2492:$EH$2492)</f>
        <v/>
      </c>
      <c r="AV2492">
        <f>COUNTIF($BA$2492:$EH$2492,"D")</f>
        <v/>
      </c>
      <c r="AW2492">
        <f>COUNTIF($BA$2492:$EH$2492,"R")</f>
        <v/>
      </c>
      <c r="AX2492">
        <f>IF(BN2492="D",1,0)+IF(BO2492="D",1,0)+IF(BT2492="D",1,0)+IF(BU2492="D",1,0)+IF(BW2492="D",1,0)+IF(CC2492="D",1,0)+IF(CD2492="D",1,0)+IF(CE2492="D",1,0)+IF(CF2492="D",1,0)+IF(CL2492="D",1,0)+IF(CM2492="D",1,0)+IF(CQ2492="D",1,0)+IF(CR2492="D",1,0)+IF(CS2492="D",1,0)+IF(CW2492="D",1,0)+IF(CX2492="D",1,0)+IF(DD2492="D",1,0)+IF(DE2492="D",1,0)+IF(DJ2492="D",1,0)+IF(DK2492="D",1,0)+IF(DO2492="D",1,0)+IF(DP2492="D",1,0)+IF(DQ2492="D",1,0)+IF(DW2492="D",1,0)+IF(DZ2492="D",1,0)+IF(EH2492="D",1,0)</f>
        <v/>
      </c>
      <c r="AY2492">
        <f>IF(DJ2492&lt;&gt;"",1,0)+IF(DK2492&lt;&gt;"",1,0)+IF(DM2492&lt;&gt;"",1,0)+IF(DO2492&lt;&gt;"",1,0)+IF(DP2492&lt;&gt;"",1,0)+IF(DQ2492&lt;&gt;"",1,0)+IF(DS2492&lt;&gt;"",1,0)+IF(DT2492&lt;&gt;"",1,0)+IF(DV2492&lt;&gt;"",1,0)+IF(DW2492&lt;&gt;"",1,0)+IF(DX2492&lt;&gt;"",1,0)+IF(DY2492&lt;&gt;"",1,0)+IF(DZ2492&lt;&gt;"",1,0)+IF(EB2492&lt;&gt;"",1,0)+IF(EC2492&lt;&gt;"",1,0)+IF(ED2492&lt;&gt;"",1,0)+IF(EG2492&lt;&gt;"",1,0)+IF(EH2492&lt;&gt;"",1,0)</f>
        <v/>
      </c>
      <c r="AZ2492">
        <f>IF(EH2492&lt;&gt;"",1,0)</f>
        <v/>
      </c>
      <c r="BB2492" t="inlineStr">
        <is>
          <t>WARREN-WARD 4</t>
        </is>
      </c>
      <c r="CP2492" t="inlineStr">
        <is>
          <t>X</t>
        </is>
      </c>
    </row>
    <row r="2493">
      <c r="A2493" t="inlineStr">
        <is>
          <t>OH0025381308</t>
        </is>
      </c>
      <c r="B2493" t="n">
        <v>78</v>
      </c>
      <c r="C2493" t="n">
        <v>443712</v>
      </c>
      <c r="D2493" t="inlineStr">
        <is>
          <t>CLAEYS</t>
        </is>
      </c>
      <c r="E2493" t="inlineStr">
        <is>
          <t>AMBER</t>
        </is>
      </c>
      <c r="F2493">
        <f>CONCATENATE(D2493," ",LEFT(H2493,4),"T=",AU2493,"D=",AV2493,"R=",AW2493,"M=",AX2493,"L=",AY2493,"B=",AZ2493)</f>
        <v/>
      </c>
      <c r="G2493" t="inlineStr">
        <is>
          <t>RENEE</t>
        </is>
      </c>
      <c r="I2493" t="inlineStr">
        <is>
          <t>1986-02-11</t>
        </is>
      </c>
      <c r="J2493" t="inlineStr">
        <is>
          <t>2020-10-04</t>
        </is>
      </c>
      <c r="K2493" t="inlineStr">
        <is>
          <t>ACTIVE</t>
        </is>
      </c>
      <c r="M2493" t="inlineStr">
        <is>
          <t>1638 WOODBINE AVE SE</t>
        </is>
      </c>
      <c r="N2493">
        <f>RIGHT(M2493,LEN(M2493)-FIND(" ",M2493))</f>
        <v/>
      </c>
      <c r="P2493" t="inlineStr">
        <is>
          <t>WARREN</t>
        </is>
      </c>
      <c r="Q2493" t="inlineStr">
        <is>
          <t>OH</t>
        </is>
      </c>
      <c r="R2493" t="n">
        <v>44484</v>
      </c>
      <c r="AD2493" t="inlineStr">
        <is>
          <t>TRUMBULL CAREER &amp; TECH CENTER</t>
        </is>
      </c>
      <c r="AE2493" t="inlineStr">
        <is>
          <t>WARREN CITY</t>
        </is>
      </c>
      <c r="AF2493" t="inlineStr">
        <is>
          <t>WARREN CITY SD</t>
        </is>
      </c>
      <c r="AH2493" t="n">
        <v>14</v>
      </c>
      <c r="AI2493" t="n">
        <v>11</v>
      </c>
      <c r="AN2493" t="inlineStr">
        <is>
          <t>WARREN</t>
        </is>
      </c>
      <c r="AO2493" t="inlineStr">
        <is>
          <t>WARREN CITY 4F</t>
        </is>
      </c>
      <c r="AP2493" t="inlineStr">
        <is>
          <t>78-P-ADN</t>
        </is>
      </c>
      <c r="AQ2493" t="n">
        <v>9</v>
      </c>
      <c r="AR2493" t="n">
        <v>64</v>
      </c>
      <c r="AS2493" t="n">
        <v>32</v>
      </c>
      <c r="AU2493">
        <f>COUNTA($BA$2493:$EH$2493)</f>
        <v/>
      </c>
      <c r="AV2493">
        <f>COUNTIF($BA$2493:$EH$2493,"D")</f>
        <v/>
      </c>
      <c r="AW2493">
        <f>COUNTIF($BA$2493:$EH$2493,"R")</f>
        <v/>
      </c>
      <c r="AX2493">
        <f>IF(BN2493="D",1,0)+IF(BO2493="D",1,0)+IF(BT2493="D",1,0)+IF(BU2493="D",1,0)+IF(BW2493="D",1,0)+IF(CC2493="D",1,0)+IF(CD2493="D",1,0)+IF(CE2493="D",1,0)+IF(CF2493="D",1,0)+IF(CL2493="D",1,0)+IF(CM2493="D",1,0)+IF(CQ2493="D",1,0)+IF(CR2493="D",1,0)+IF(CS2493="D",1,0)+IF(CW2493="D",1,0)+IF(CX2493="D",1,0)+IF(DD2493="D",1,0)+IF(DE2493="D",1,0)+IF(DJ2493="D",1,0)+IF(DK2493="D",1,0)+IF(DO2493="D",1,0)+IF(DP2493="D",1,0)+IF(DQ2493="D",1,0)+IF(DW2493="D",1,0)+IF(DZ2493="D",1,0)+IF(EH2493="D",1,0)</f>
        <v/>
      </c>
      <c r="AY2493">
        <f>IF(DJ2493&lt;&gt;"",1,0)+IF(DK2493&lt;&gt;"",1,0)+IF(DM2493&lt;&gt;"",1,0)+IF(DO2493&lt;&gt;"",1,0)+IF(DP2493&lt;&gt;"",1,0)+IF(DQ2493&lt;&gt;"",1,0)+IF(DS2493&lt;&gt;"",1,0)+IF(DT2493&lt;&gt;"",1,0)+IF(DV2493&lt;&gt;"",1,0)+IF(DW2493&lt;&gt;"",1,0)+IF(DX2493&lt;&gt;"",1,0)+IF(DY2493&lt;&gt;"",1,0)+IF(DZ2493&lt;&gt;"",1,0)+IF(EB2493&lt;&gt;"",1,0)+IF(EC2493&lt;&gt;"",1,0)+IF(ED2493&lt;&gt;"",1,0)+IF(EG2493&lt;&gt;"",1,0)+IF(EH2493&lt;&gt;"",1,0)</f>
        <v/>
      </c>
      <c r="AZ2493">
        <f>IF(EH2493&lt;&gt;"",1,0)</f>
        <v/>
      </c>
      <c r="BB2493" t="inlineStr">
        <is>
          <t>WARREN-WARD 4</t>
        </is>
      </c>
      <c r="CP2493" t="inlineStr">
        <is>
          <t>X</t>
        </is>
      </c>
      <c r="CY2493" t="inlineStr">
        <is>
          <t>X</t>
        </is>
      </c>
      <c r="DC2493" t="inlineStr">
        <is>
          <t>X</t>
        </is>
      </c>
      <c r="EA2493" t="inlineStr">
        <is>
          <t>X</t>
        </is>
      </c>
      <c r="EF2493" t="inlineStr">
        <is>
          <t>X</t>
        </is>
      </c>
    </row>
    <row r="2494">
      <c r="A2494" t="inlineStr">
        <is>
          <t>OH0024649348</t>
        </is>
      </c>
      <c r="B2494" t="n">
        <v>78</v>
      </c>
      <c r="C2494" t="n">
        <v>432108</v>
      </c>
      <c r="D2494" t="inlineStr">
        <is>
          <t>JONES</t>
        </is>
      </c>
      <c r="E2494" t="inlineStr">
        <is>
          <t>CURTIS</t>
        </is>
      </c>
      <c r="F2494">
        <f>CONCATENATE(D2494," ",LEFT(H2494,4),"T=",AU2494,"D=",AV2494,"R=",AW2494,"M=",AX2494,"L=",AY2494,"B=",AZ2494)</f>
        <v/>
      </c>
      <c r="G2494" t="inlineStr">
        <is>
          <t>L</t>
        </is>
      </c>
      <c r="I2494" t="inlineStr">
        <is>
          <t>1988-07-18</t>
        </is>
      </c>
      <c r="J2494" t="inlineStr">
        <is>
          <t>2018-06-01</t>
        </is>
      </c>
      <c r="K2494" t="inlineStr">
        <is>
          <t>CONFIRMATION</t>
        </is>
      </c>
      <c r="M2494" t="inlineStr">
        <is>
          <t>1043 EAST AVE SE</t>
        </is>
      </c>
      <c r="N2494">
        <f>RIGHT(M2494,LEN(M2494)-FIND(" ",M2494))</f>
        <v/>
      </c>
      <c r="P2494" t="inlineStr">
        <is>
          <t>WARREN</t>
        </is>
      </c>
      <c r="Q2494" t="inlineStr">
        <is>
          <t>OH</t>
        </is>
      </c>
      <c r="R2494" t="n">
        <v>44484</v>
      </c>
      <c r="AD2494" t="inlineStr">
        <is>
          <t>TRUMBULL CAREER &amp; TECH CENTER</t>
        </is>
      </c>
      <c r="AE2494" t="inlineStr">
        <is>
          <t>WARREN CITY</t>
        </is>
      </c>
      <c r="AF2494" t="inlineStr">
        <is>
          <t>WARREN CITY SD</t>
        </is>
      </c>
      <c r="AH2494" t="n">
        <v>14</v>
      </c>
      <c r="AI2494" t="n">
        <v>11</v>
      </c>
      <c r="AN2494" t="inlineStr">
        <is>
          <t>WARREN</t>
        </is>
      </c>
      <c r="AO2494" t="inlineStr">
        <is>
          <t>WARREN CITY 4F</t>
        </is>
      </c>
      <c r="AP2494" t="inlineStr">
        <is>
          <t>78-P-ADN</t>
        </is>
      </c>
      <c r="AQ2494" t="n">
        <v>9</v>
      </c>
      <c r="AR2494" t="n">
        <v>64</v>
      </c>
      <c r="AS2494" t="n">
        <v>32</v>
      </c>
      <c r="AU2494">
        <f>COUNTA($BA$2494:$EH$2494)</f>
        <v/>
      </c>
      <c r="AV2494">
        <f>COUNTIF($BA$2494:$EH$2494,"D")</f>
        <v/>
      </c>
      <c r="AW2494">
        <f>COUNTIF($BA$2494:$EH$2494,"R")</f>
        <v/>
      </c>
      <c r="AX2494">
        <f>IF(BN2494="D",1,0)+IF(BO2494="D",1,0)+IF(BT2494="D",1,0)+IF(BU2494="D",1,0)+IF(BW2494="D",1,0)+IF(CC2494="D",1,0)+IF(CD2494="D",1,0)+IF(CE2494="D",1,0)+IF(CF2494="D",1,0)+IF(CL2494="D",1,0)+IF(CM2494="D",1,0)+IF(CQ2494="D",1,0)+IF(CR2494="D",1,0)+IF(CS2494="D",1,0)+IF(CW2494="D",1,0)+IF(CX2494="D",1,0)+IF(DD2494="D",1,0)+IF(DE2494="D",1,0)+IF(DJ2494="D",1,0)+IF(DK2494="D",1,0)+IF(DO2494="D",1,0)+IF(DP2494="D",1,0)+IF(DQ2494="D",1,0)+IF(DW2494="D",1,0)+IF(DZ2494="D",1,0)+IF(EH2494="D",1,0)</f>
        <v/>
      </c>
      <c r="AY2494">
        <f>IF(DJ2494&lt;&gt;"",1,0)+IF(DK2494&lt;&gt;"",1,0)+IF(DM2494&lt;&gt;"",1,0)+IF(DO2494&lt;&gt;"",1,0)+IF(DP2494&lt;&gt;"",1,0)+IF(DQ2494&lt;&gt;"",1,0)+IF(DS2494&lt;&gt;"",1,0)+IF(DT2494&lt;&gt;"",1,0)+IF(DV2494&lt;&gt;"",1,0)+IF(DW2494&lt;&gt;"",1,0)+IF(DX2494&lt;&gt;"",1,0)+IF(DY2494&lt;&gt;"",1,0)+IF(DZ2494&lt;&gt;"",1,0)+IF(EB2494&lt;&gt;"",1,0)+IF(EC2494&lt;&gt;"",1,0)+IF(ED2494&lt;&gt;"",1,0)+IF(EG2494&lt;&gt;"",1,0)+IF(EH2494&lt;&gt;"",1,0)</f>
        <v/>
      </c>
      <c r="AZ2494">
        <f>IF(EH2494&lt;&gt;"",1,0)</f>
        <v/>
      </c>
      <c r="BB2494" t="inlineStr">
        <is>
          <t>WARREN-WARD 4</t>
        </is>
      </c>
    </row>
    <row r="2495">
      <c r="A2495" t="inlineStr">
        <is>
          <t>OH0015744870</t>
        </is>
      </c>
      <c r="B2495" t="n">
        <v>78</v>
      </c>
      <c r="C2495" t="n">
        <v>231248</v>
      </c>
      <c r="D2495" t="inlineStr">
        <is>
          <t>STEPHENS</t>
        </is>
      </c>
      <c r="E2495" t="inlineStr">
        <is>
          <t>LISA</t>
        </is>
      </c>
      <c r="F2495">
        <f>CONCATENATE(D2495," ",LEFT(H2495,4),"T=",AU2495,"D=",AV2495,"R=",AW2495,"M=",AX2495,"L=",AY2495,"B=",AZ2495)</f>
        <v/>
      </c>
      <c r="G2495" t="inlineStr">
        <is>
          <t>RENEE</t>
        </is>
      </c>
      <c r="I2495" t="inlineStr">
        <is>
          <t>1970-05-12</t>
        </is>
      </c>
      <c r="J2495" t="inlineStr">
        <is>
          <t>2022-05-21</t>
        </is>
      </c>
      <c r="K2495" t="inlineStr">
        <is>
          <t>ACTIVE</t>
        </is>
      </c>
      <c r="M2495" t="inlineStr">
        <is>
          <t>1558 WOODBINE AVE SE</t>
        </is>
      </c>
      <c r="N2495">
        <f>RIGHT(M2495,LEN(M2495)-FIND(" ",M2495))</f>
        <v/>
      </c>
      <c r="P2495" t="inlineStr">
        <is>
          <t>WARREN</t>
        </is>
      </c>
      <c r="Q2495" t="inlineStr">
        <is>
          <t>OH</t>
        </is>
      </c>
      <c r="R2495" t="n">
        <v>44484</v>
      </c>
      <c r="AD2495" t="inlineStr">
        <is>
          <t>TRUMBULL CAREER &amp; TECH CENTER</t>
        </is>
      </c>
      <c r="AE2495" t="inlineStr">
        <is>
          <t>WARREN CITY</t>
        </is>
      </c>
      <c r="AF2495" t="inlineStr">
        <is>
          <t>WARREN CITY SD</t>
        </is>
      </c>
      <c r="AH2495" t="n">
        <v>14</v>
      </c>
      <c r="AI2495" t="n">
        <v>11</v>
      </c>
      <c r="AN2495" t="inlineStr">
        <is>
          <t>WARREN</t>
        </is>
      </c>
      <c r="AO2495" t="inlineStr">
        <is>
          <t>WARREN CITY 4F</t>
        </is>
      </c>
      <c r="AP2495" t="inlineStr">
        <is>
          <t>78-P-ADN</t>
        </is>
      </c>
      <c r="AQ2495" t="n">
        <v>9</v>
      </c>
      <c r="AR2495" t="n">
        <v>64</v>
      </c>
      <c r="AS2495" t="n">
        <v>32</v>
      </c>
      <c r="AU2495">
        <f>COUNTA($BA$2495:$EH$2495)</f>
        <v/>
      </c>
      <c r="AV2495">
        <f>COUNTIF($BA$2495:$EH$2495,"D")</f>
        <v/>
      </c>
      <c r="AW2495">
        <f>COUNTIF($BA$2495:$EH$2495,"R")</f>
        <v/>
      </c>
      <c r="AX2495">
        <f>IF(BN2495="D",1,0)+IF(BO2495="D",1,0)+IF(BT2495="D",1,0)+IF(BU2495="D",1,0)+IF(BW2495="D",1,0)+IF(CC2495="D",1,0)+IF(CD2495="D",1,0)+IF(CE2495="D",1,0)+IF(CF2495="D",1,0)+IF(CL2495="D",1,0)+IF(CM2495="D",1,0)+IF(CQ2495="D",1,0)+IF(CR2495="D",1,0)+IF(CS2495="D",1,0)+IF(CW2495="D",1,0)+IF(CX2495="D",1,0)+IF(DD2495="D",1,0)+IF(DE2495="D",1,0)+IF(DJ2495="D",1,0)+IF(DK2495="D",1,0)+IF(DO2495="D",1,0)+IF(DP2495="D",1,0)+IF(DQ2495="D",1,0)+IF(DW2495="D",1,0)+IF(DZ2495="D",1,0)+IF(EH2495="D",1,0)</f>
        <v/>
      </c>
      <c r="AY2495">
        <f>IF(DJ2495&lt;&gt;"",1,0)+IF(DK2495&lt;&gt;"",1,0)+IF(DM2495&lt;&gt;"",1,0)+IF(DO2495&lt;&gt;"",1,0)+IF(DP2495&lt;&gt;"",1,0)+IF(DQ2495&lt;&gt;"",1,0)+IF(DS2495&lt;&gt;"",1,0)+IF(DT2495&lt;&gt;"",1,0)+IF(DV2495&lt;&gt;"",1,0)+IF(DW2495&lt;&gt;"",1,0)+IF(DX2495&lt;&gt;"",1,0)+IF(DY2495&lt;&gt;"",1,0)+IF(DZ2495&lt;&gt;"",1,0)+IF(EB2495&lt;&gt;"",1,0)+IF(EC2495&lt;&gt;"",1,0)+IF(ED2495&lt;&gt;"",1,0)+IF(EG2495&lt;&gt;"",1,0)+IF(EH2495&lt;&gt;"",1,0)</f>
        <v/>
      </c>
      <c r="AZ2495">
        <f>IF(EH2495&lt;&gt;"",1,0)</f>
        <v/>
      </c>
      <c r="BB2495" t="inlineStr">
        <is>
          <t>WARREN-WARD 4</t>
        </is>
      </c>
      <c r="BD2495" t="inlineStr">
        <is>
          <t>X</t>
        </is>
      </c>
      <c r="BL2495" t="inlineStr">
        <is>
          <t>X</t>
        </is>
      </c>
      <c r="BY2495" t="inlineStr">
        <is>
          <t>D</t>
        </is>
      </c>
      <c r="CA2495" t="inlineStr">
        <is>
          <t>X</t>
        </is>
      </c>
      <c r="CP2495" t="inlineStr">
        <is>
          <t>X</t>
        </is>
      </c>
      <c r="CV2495" t="inlineStr">
        <is>
          <t>X</t>
        </is>
      </c>
      <c r="CY2495" t="inlineStr">
        <is>
          <t>X</t>
        </is>
      </c>
      <c r="DC2495" t="inlineStr">
        <is>
          <t>X</t>
        </is>
      </c>
      <c r="DN2495" t="inlineStr">
        <is>
          <t>X</t>
        </is>
      </c>
      <c r="EA2495" t="inlineStr">
        <is>
          <t>X</t>
        </is>
      </c>
      <c r="EF2495" t="inlineStr">
        <is>
          <t>X</t>
        </is>
      </c>
    </row>
    <row r="2496">
      <c r="A2496" t="inlineStr">
        <is>
          <t>OH0015759864</t>
        </is>
      </c>
      <c r="B2496" t="n">
        <v>78</v>
      </c>
      <c r="C2496" t="n">
        <v>247046</v>
      </c>
      <c r="D2496" t="inlineStr">
        <is>
          <t>THORNTON</t>
        </is>
      </c>
      <c r="E2496" t="inlineStr">
        <is>
          <t>ROSALIND</t>
        </is>
      </c>
      <c r="F2496">
        <f>CONCATENATE(D2496," ",LEFT(H2496,4),"T=",AU2496,"D=",AV2496,"R=",AW2496,"M=",AX2496,"L=",AY2496,"B=",AZ2496)</f>
        <v/>
      </c>
      <c r="G2496" t="inlineStr">
        <is>
          <t>JANETTEA</t>
        </is>
      </c>
      <c r="I2496" t="inlineStr">
        <is>
          <t>1963-03-10</t>
        </is>
      </c>
      <c r="J2496" t="inlineStr">
        <is>
          <t>2020-08-05</t>
        </is>
      </c>
      <c r="K2496" t="inlineStr">
        <is>
          <t>ACTIVE</t>
        </is>
      </c>
      <c r="L2496" t="inlineStr">
        <is>
          <t>D</t>
        </is>
      </c>
      <c r="M2496" t="inlineStr">
        <is>
          <t>2154 DRAPER AVE SE</t>
        </is>
      </c>
      <c r="N2496">
        <f>RIGHT(M2496,LEN(M2496)-FIND(" ",M2496))</f>
        <v/>
      </c>
      <c r="P2496" t="inlineStr">
        <is>
          <t>WARREN</t>
        </is>
      </c>
      <c r="Q2496" t="inlineStr">
        <is>
          <t>OH</t>
        </is>
      </c>
      <c r="R2496" t="n">
        <v>44484</v>
      </c>
      <c r="AD2496" t="inlineStr">
        <is>
          <t>TRUMBULL CAREER &amp; TECH CENTER</t>
        </is>
      </c>
      <c r="AE2496" t="inlineStr">
        <is>
          <t>WARREN CITY</t>
        </is>
      </c>
      <c r="AF2496" t="inlineStr">
        <is>
          <t>WARREN CITY SD</t>
        </is>
      </c>
      <c r="AH2496" t="n">
        <v>14</v>
      </c>
      <c r="AI2496" t="n">
        <v>11</v>
      </c>
      <c r="AN2496" t="inlineStr">
        <is>
          <t>WARREN</t>
        </is>
      </c>
      <c r="AO2496" t="inlineStr">
        <is>
          <t>WARREN CITY 4F</t>
        </is>
      </c>
      <c r="AP2496" t="inlineStr">
        <is>
          <t>78-P-ADN</t>
        </is>
      </c>
      <c r="AQ2496" t="n">
        <v>9</v>
      </c>
      <c r="AR2496" t="n">
        <v>64</v>
      </c>
      <c r="AS2496" t="n">
        <v>32</v>
      </c>
      <c r="AU2496">
        <f>COUNTA($BA$2496:$EH$2496)</f>
        <v/>
      </c>
      <c r="AV2496">
        <f>COUNTIF($BA$2496:$EH$2496,"D")</f>
        <v/>
      </c>
      <c r="AW2496">
        <f>COUNTIF($BA$2496:$EH$2496,"R")</f>
        <v/>
      </c>
      <c r="AX2496">
        <f>IF(BN2496="D",1,0)+IF(BO2496="D",1,0)+IF(BT2496="D",1,0)+IF(BU2496="D",1,0)+IF(BW2496="D",1,0)+IF(CC2496="D",1,0)+IF(CD2496="D",1,0)+IF(CE2496="D",1,0)+IF(CF2496="D",1,0)+IF(CL2496="D",1,0)+IF(CM2496="D",1,0)+IF(CQ2496="D",1,0)+IF(CR2496="D",1,0)+IF(CS2496="D",1,0)+IF(CW2496="D",1,0)+IF(CX2496="D",1,0)+IF(DD2496="D",1,0)+IF(DE2496="D",1,0)+IF(DJ2496="D",1,0)+IF(DK2496="D",1,0)+IF(DO2496="D",1,0)+IF(DP2496="D",1,0)+IF(DQ2496="D",1,0)+IF(DW2496="D",1,0)+IF(DZ2496="D",1,0)+IF(EH2496="D",1,0)</f>
        <v/>
      </c>
      <c r="AY2496">
        <f>IF(DJ2496&lt;&gt;"",1,0)+IF(DK2496&lt;&gt;"",1,0)+IF(DM2496&lt;&gt;"",1,0)+IF(DO2496&lt;&gt;"",1,0)+IF(DP2496&lt;&gt;"",1,0)+IF(DQ2496&lt;&gt;"",1,0)+IF(DS2496&lt;&gt;"",1,0)+IF(DT2496&lt;&gt;"",1,0)+IF(DV2496&lt;&gt;"",1,0)+IF(DW2496&lt;&gt;"",1,0)+IF(DX2496&lt;&gt;"",1,0)+IF(DY2496&lt;&gt;"",1,0)+IF(DZ2496&lt;&gt;"",1,0)+IF(EB2496&lt;&gt;"",1,0)+IF(EC2496&lt;&gt;"",1,0)+IF(ED2496&lt;&gt;"",1,0)+IF(EG2496&lt;&gt;"",1,0)+IF(EH2496&lt;&gt;"",1,0)</f>
        <v/>
      </c>
      <c r="AZ2496">
        <f>IF(EH2496&lt;&gt;"",1,0)</f>
        <v/>
      </c>
      <c r="BB2496" t="inlineStr">
        <is>
          <t>WARREN-WARD 4</t>
        </is>
      </c>
      <c r="BD2496" t="inlineStr">
        <is>
          <t>X</t>
        </is>
      </c>
      <c r="BL2496" t="inlineStr">
        <is>
          <t>X</t>
        </is>
      </c>
      <c r="BY2496" t="inlineStr">
        <is>
          <t>D</t>
        </is>
      </c>
      <c r="CA2496" t="inlineStr">
        <is>
          <t>X</t>
        </is>
      </c>
      <c r="CO2496" t="inlineStr">
        <is>
          <t>D</t>
        </is>
      </c>
      <c r="CP2496" t="inlineStr">
        <is>
          <t>X</t>
        </is>
      </c>
      <c r="CZ2496" t="inlineStr">
        <is>
          <t>D</t>
        </is>
      </c>
      <c r="DC2496" t="inlineStr">
        <is>
          <t>X</t>
        </is>
      </c>
      <c r="DF2496" t="inlineStr">
        <is>
          <t>X</t>
        </is>
      </c>
      <c r="DG2496" t="inlineStr">
        <is>
          <t>D</t>
        </is>
      </c>
      <c r="DI2496" t="inlineStr">
        <is>
          <t>X</t>
        </is>
      </c>
      <c r="DL2496" t="inlineStr">
        <is>
          <t>X</t>
        </is>
      </c>
      <c r="DN2496" t="inlineStr">
        <is>
          <t>X</t>
        </is>
      </c>
      <c r="DR2496" t="inlineStr">
        <is>
          <t>X</t>
        </is>
      </c>
      <c r="DS2496" t="inlineStr">
        <is>
          <t>D</t>
        </is>
      </c>
      <c r="DT2496" t="inlineStr">
        <is>
          <t>D</t>
        </is>
      </c>
      <c r="DU2496" t="inlineStr">
        <is>
          <t>X</t>
        </is>
      </c>
      <c r="DX2496" t="inlineStr">
        <is>
          <t>X</t>
        </is>
      </c>
      <c r="EA2496" t="inlineStr">
        <is>
          <t>X</t>
        </is>
      </c>
      <c r="EF2496" t="inlineStr">
        <is>
          <t>X</t>
        </is>
      </c>
    </row>
    <row r="2497">
      <c r="A2497" t="inlineStr">
        <is>
          <t>OH0026826778</t>
        </is>
      </c>
      <c r="B2497" t="n">
        <v>78</v>
      </c>
      <c r="C2497" t="n">
        <v>471014</v>
      </c>
      <c r="D2497" t="inlineStr">
        <is>
          <t>BROGDON</t>
        </is>
      </c>
      <c r="E2497" t="inlineStr">
        <is>
          <t>MIKALA</t>
        </is>
      </c>
      <c r="F2497">
        <f>CONCATENATE(D2497," ",LEFT(H2497,4),"T=",AU2497,"D=",AV2497,"R=",AW2497,"M=",AX2497,"L=",AY2497,"B=",AZ2497)</f>
        <v/>
      </c>
      <c r="G2497" t="inlineStr">
        <is>
          <t>ELYSSE</t>
        </is>
      </c>
      <c r="I2497" t="inlineStr">
        <is>
          <t>1987-03-07</t>
        </is>
      </c>
      <c r="J2497" t="inlineStr">
        <is>
          <t>2023-02-23</t>
        </is>
      </c>
      <c r="K2497" t="inlineStr">
        <is>
          <t>ACTIVE</t>
        </is>
      </c>
      <c r="M2497" t="inlineStr">
        <is>
          <t>2787 DUKE AVE SE</t>
        </is>
      </c>
      <c r="N2497">
        <f>RIGHT(M2497,LEN(M2497)-FIND(" ",M2497))</f>
        <v/>
      </c>
      <c r="P2497" t="inlineStr">
        <is>
          <t>WARREN</t>
        </is>
      </c>
      <c r="Q2497" t="inlineStr">
        <is>
          <t>OH</t>
        </is>
      </c>
      <c r="R2497" t="n">
        <v>44484</v>
      </c>
      <c r="AD2497" t="inlineStr">
        <is>
          <t>TRUMBULL CAREER &amp; TECH CENTER</t>
        </is>
      </c>
      <c r="AE2497" t="inlineStr">
        <is>
          <t>WARREN CITY</t>
        </is>
      </c>
      <c r="AF2497" t="inlineStr">
        <is>
          <t>WARREN CITY SD</t>
        </is>
      </c>
      <c r="AH2497" t="n">
        <v>14</v>
      </c>
      <c r="AI2497" t="n">
        <v>11</v>
      </c>
      <c r="AN2497" t="inlineStr">
        <is>
          <t>WARREN</t>
        </is>
      </c>
      <c r="AO2497" t="inlineStr">
        <is>
          <t>WARREN CITY 4F</t>
        </is>
      </c>
      <c r="AP2497" t="inlineStr">
        <is>
          <t>78-P-ADN</t>
        </is>
      </c>
      <c r="AQ2497" t="n">
        <v>9</v>
      </c>
      <c r="AR2497" t="n">
        <v>64</v>
      </c>
      <c r="AS2497" t="n">
        <v>32</v>
      </c>
      <c r="AU2497">
        <f>COUNTA($BA$2497:$EH$2497)</f>
        <v/>
      </c>
      <c r="AV2497">
        <f>COUNTIF($BA$2497:$EH$2497,"D")</f>
        <v/>
      </c>
      <c r="AW2497">
        <f>COUNTIF($BA$2497:$EH$2497,"R")</f>
        <v/>
      </c>
      <c r="AX2497">
        <f>IF(BN2497="D",1,0)+IF(BO2497="D",1,0)+IF(BT2497="D",1,0)+IF(BU2497="D",1,0)+IF(BW2497="D",1,0)+IF(CC2497="D",1,0)+IF(CD2497="D",1,0)+IF(CE2497="D",1,0)+IF(CF2497="D",1,0)+IF(CL2497="D",1,0)+IF(CM2497="D",1,0)+IF(CQ2497="D",1,0)+IF(CR2497="D",1,0)+IF(CS2497="D",1,0)+IF(CW2497="D",1,0)+IF(CX2497="D",1,0)+IF(DD2497="D",1,0)+IF(DE2497="D",1,0)+IF(DJ2497="D",1,0)+IF(DK2497="D",1,0)+IF(DO2497="D",1,0)+IF(DP2497="D",1,0)+IF(DQ2497="D",1,0)+IF(DW2497="D",1,0)+IF(DZ2497="D",1,0)+IF(EH2497="D",1,0)</f>
        <v/>
      </c>
      <c r="AY2497">
        <f>IF(DJ2497&lt;&gt;"",1,0)+IF(DK2497&lt;&gt;"",1,0)+IF(DM2497&lt;&gt;"",1,0)+IF(DO2497&lt;&gt;"",1,0)+IF(DP2497&lt;&gt;"",1,0)+IF(DQ2497&lt;&gt;"",1,0)+IF(DS2497&lt;&gt;"",1,0)+IF(DT2497&lt;&gt;"",1,0)+IF(DV2497&lt;&gt;"",1,0)+IF(DW2497&lt;&gt;"",1,0)+IF(DX2497&lt;&gt;"",1,0)+IF(DY2497&lt;&gt;"",1,0)+IF(DZ2497&lt;&gt;"",1,0)+IF(EB2497&lt;&gt;"",1,0)+IF(EC2497&lt;&gt;"",1,0)+IF(ED2497&lt;&gt;"",1,0)+IF(EG2497&lt;&gt;"",1,0)+IF(EH2497&lt;&gt;"",1,0)</f>
        <v/>
      </c>
      <c r="AZ2497">
        <f>IF(EH2497&lt;&gt;"",1,0)</f>
        <v/>
      </c>
      <c r="BB2497" t="inlineStr">
        <is>
          <t>WARREN-WARD 4</t>
        </is>
      </c>
      <c r="CA2497" t="inlineStr">
        <is>
          <t>X</t>
        </is>
      </c>
      <c r="CP2497" t="inlineStr">
        <is>
          <t>X</t>
        </is>
      </c>
      <c r="CZ2497" t="inlineStr">
        <is>
          <t>D</t>
        </is>
      </c>
      <c r="DN2497" t="inlineStr">
        <is>
          <t>X</t>
        </is>
      </c>
    </row>
    <row r="2498">
      <c r="A2498" t="inlineStr">
        <is>
          <t>OH0026386374</t>
        </is>
      </c>
      <c r="B2498" t="n">
        <v>78</v>
      </c>
      <c r="C2498" t="n">
        <v>461263</v>
      </c>
      <c r="D2498" t="inlineStr">
        <is>
          <t>CARTER</t>
        </is>
      </c>
      <c r="E2498" t="inlineStr">
        <is>
          <t>TRISTEN</t>
        </is>
      </c>
      <c r="F2498">
        <f>CONCATENATE(D2498," ",LEFT(H2498,4),"T=",AU2498,"D=",AV2498,"R=",AW2498,"M=",AX2498,"L=",AY2498,"B=",AZ2498)</f>
        <v/>
      </c>
      <c r="G2498" t="inlineStr">
        <is>
          <t>LEE</t>
        </is>
      </c>
      <c r="I2498" t="inlineStr">
        <is>
          <t>2002-04-20</t>
        </is>
      </c>
      <c r="J2498" t="inlineStr">
        <is>
          <t>2021-12-07</t>
        </is>
      </c>
      <c r="K2498" t="inlineStr">
        <is>
          <t>CONFIRMATION</t>
        </is>
      </c>
      <c r="M2498" t="inlineStr">
        <is>
          <t>1053 KENILWORTH AVE SE</t>
        </is>
      </c>
      <c r="N2498">
        <f>RIGHT(M2498,LEN(M2498)-FIND(" ",M2498))</f>
        <v/>
      </c>
      <c r="P2498" t="inlineStr">
        <is>
          <t>WARREN</t>
        </is>
      </c>
      <c r="Q2498" t="inlineStr">
        <is>
          <t>OH</t>
        </is>
      </c>
      <c r="R2498" t="n">
        <v>44484</v>
      </c>
      <c r="AD2498" t="inlineStr">
        <is>
          <t>TRUMBULL CAREER &amp; TECH CENTER</t>
        </is>
      </c>
      <c r="AE2498" t="inlineStr">
        <is>
          <t>WARREN CITY</t>
        </is>
      </c>
      <c r="AF2498" t="inlineStr">
        <is>
          <t>WARREN CITY SD</t>
        </is>
      </c>
      <c r="AH2498" t="n">
        <v>14</v>
      </c>
      <c r="AI2498" t="n">
        <v>11</v>
      </c>
      <c r="AN2498" t="inlineStr">
        <is>
          <t>WARREN</t>
        </is>
      </c>
      <c r="AO2498" t="inlineStr">
        <is>
          <t>WARREN CITY 4F</t>
        </is>
      </c>
      <c r="AP2498" t="inlineStr">
        <is>
          <t>78-P-ADN</t>
        </is>
      </c>
      <c r="AQ2498" t="n">
        <v>9</v>
      </c>
      <c r="AR2498" t="n">
        <v>64</v>
      </c>
      <c r="AS2498" t="n">
        <v>32</v>
      </c>
      <c r="AU2498">
        <f>COUNTA($BA$2498:$EH$2498)</f>
        <v/>
      </c>
      <c r="AV2498">
        <f>COUNTIF($BA$2498:$EH$2498,"D")</f>
        <v/>
      </c>
      <c r="AW2498">
        <f>COUNTIF($BA$2498:$EH$2498,"R")</f>
        <v/>
      </c>
      <c r="AX2498">
        <f>IF(BN2498="D",1,0)+IF(BO2498="D",1,0)+IF(BT2498="D",1,0)+IF(BU2498="D",1,0)+IF(BW2498="D",1,0)+IF(CC2498="D",1,0)+IF(CD2498="D",1,0)+IF(CE2498="D",1,0)+IF(CF2498="D",1,0)+IF(CL2498="D",1,0)+IF(CM2498="D",1,0)+IF(CQ2498="D",1,0)+IF(CR2498="D",1,0)+IF(CS2498="D",1,0)+IF(CW2498="D",1,0)+IF(CX2498="D",1,0)+IF(DD2498="D",1,0)+IF(DE2498="D",1,0)+IF(DJ2498="D",1,0)+IF(DK2498="D",1,0)+IF(DO2498="D",1,0)+IF(DP2498="D",1,0)+IF(DQ2498="D",1,0)+IF(DW2498="D",1,0)+IF(DZ2498="D",1,0)+IF(EH2498="D",1,0)</f>
        <v/>
      </c>
      <c r="AY2498">
        <f>IF(DJ2498&lt;&gt;"",1,0)+IF(DK2498&lt;&gt;"",1,0)+IF(DM2498&lt;&gt;"",1,0)+IF(DO2498&lt;&gt;"",1,0)+IF(DP2498&lt;&gt;"",1,0)+IF(DQ2498&lt;&gt;"",1,0)+IF(DS2498&lt;&gt;"",1,0)+IF(DT2498&lt;&gt;"",1,0)+IF(DV2498&lt;&gt;"",1,0)+IF(DW2498&lt;&gt;"",1,0)+IF(DX2498&lt;&gt;"",1,0)+IF(DY2498&lt;&gt;"",1,0)+IF(DZ2498&lt;&gt;"",1,0)+IF(EB2498&lt;&gt;"",1,0)+IF(EC2498&lt;&gt;"",1,0)+IF(ED2498&lt;&gt;"",1,0)+IF(EG2498&lt;&gt;"",1,0)+IF(EH2498&lt;&gt;"",1,0)</f>
        <v/>
      </c>
      <c r="AZ2498">
        <f>IF(EH2498&lt;&gt;"",1,0)</f>
        <v/>
      </c>
      <c r="BB2498" t="inlineStr">
        <is>
          <t>WARREN-WARD 4</t>
        </is>
      </c>
    </row>
    <row r="2499">
      <c r="A2499" t="inlineStr">
        <is>
          <t>OH0019694803</t>
        </is>
      </c>
      <c r="B2499" t="n">
        <v>78</v>
      </c>
      <c r="C2499" t="n">
        <v>357632</v>
      </c>
      <c r="D2499" t="inlineStr">
        <is>
          <t>JONES</t>
        </is>
      </c>
      <c r="E2499" t="inlineStr">
        <is>
          <t>TIARA</t>
        </is>
      </c>
      <c r="F2499">
        <f>CONCATENATE(D2499," ",LEFT(H2499,4),"T=",AU2499,"D=",AV2499,"R=",AW2499,"M=",AX2499,"L=",AY2499,"B=",AZ2499)</f>
        <v/>
      </c>
      <c r="G2499" t="inlineStr">
        <is>
          <t>L</t>
        </is>
      </c>
      <c r="I2499" t="inlineStr">
        <is>
          <t>1989-07-10</t>
        </is>
      </c>
      <c r="J2499" t="inlineStr">
        <is>
          <t>2020-10-15</t>
        </is>
      </c>
      <c r="K2499" t="inlineStr">
        <is>
          <t>CONFIRMATION</t>
        </is>
      </c>
      <c r="M2499" t="inlineStr">
        <is>
          <t>1731 TRANSYLVANIA AVE SE</t>
        </is>
      </c>
      <c r="N2499">
        <f>RIGHT(M2499,LEN(M2499)-FIND(" ",M2499))</f>
        <v/>
      </c>
      <c r="P2499" t="inlineStr">
        <is>
          <t>WARREN</t>
        </is>
      </c>
      <c r="Q2499" t="inlineStr">
        <is>
          <t>OH</t>
        </is>
      </c>
      <c r="R2499" t="n">
        <v>44484</v>
      </c>
      <c r="AD2499" t="inlineStr">
        <is>
          <t>TRUMBULL CAREER &amp; TECH CENTER</t>
        </is>
      </c>
      <c r="AE2499" t="inlineStr">
        <is>
          <t>WARREN CITY</t>
        </is>
      </c>
      <c r="AF2499" t="inlineStr">
        <is>
          <t>WARREN CITY SD</t>
        </is>
      </c>
      <c r="AH2499" t="n">
        <v>14</v>
      </c>
      <c r="AI2499" t="n">
        <v>11</v>
      </c>
      <c r="AN2499" t="inlineStr">
        <is>
          <t>WARREN</t>
        </is>
      </c>
      <c r="AO2499" t="inlineStr">
        <is>
          <t>WARREN CITY 4F</t>
        </is>
      </c>
      <c r="AP2499" t="inlineStr">
        <is>
          <t>78-P-ADN</t>
        </is>
      </c>
      <c r="AQ2499" t="n">
        <v>9</v>
      </c>
      <c r="AR2499" t="n">
        <v>64</v>
      </c>
      <c r="AS2499" t="n">
        <v>32</v>
      </c>
      <c r="AU2499">
        <f>COUNTA($BA$2499:$EH$2499)</f>
        <v/>
      </c>
      <c r="AV2499">
        <f>COUNTIF($BA$2499:$EH$2499,"D")</f>
        <v/>
      </c>
      <c r="AW2499">
        <f>COUNTIF($BA$2499:$EH$2499,"R")</f>
        <v/>
      </c>
      <c r="AX2499">
        <f>IF(BN2499="D",1,0)+IF(BO2499="D",1,0)+IF(BT2499="D",1,0)+IF(BU2499="D",1,0)+IF(BW2499="D",1,0)+IF(CC2499="D",1,0)+IF(CD2499="D",1,0)+IF(CE2499="D",1,0)+IF(CF2499="D",1,0)+IF(CL2499="D",1,0)+IF(CM2499="D",1,0)+IF(CQ2499="D",1,0)+IF(CR2499="D",1,0)+IF(CS2499="D",1,0)+IF(CW2499="D",1,0)+IF(CX2499="D",1,0)+IF(DD2499="D",1,0)+IF(DE2499="D",1,0)+IF(DJ2499="D",1,0)+IF(DK2499="D",1,0)+IF(DO2499="D",1,0)+IF(DP2499="D",1,0)+IF(DQ2499="D",1,0)+IF(DW2499="D",1,0)+IF(DZ2499="D",1,0)+IF(EH2499="D",1,0)</f>
        <v/>
      </c>
      <c r="AY2499">
        <f>IF(DJ2499&lt;&gt;"",1,0)+IF(DK2499&lt;&gt;"",1,0)+IF(DM2499&lt;&gt;"",1,0)+IF(DO2499&lt;&gt;"",1,0)+IF(DP2499&lt;&gt;"",1,0)+IF(DQ2499&lt;&gt;"",1,0)+IF(DS2499&lt;&gt;"",1,0)+IF(DT2499&lt;&gt;"",1,0)+IF(DV2499&lt;&gt;"",1,0)+IF(DW2499&lt;&gt;"",1,0)+IF(DX2499&lt;&gt;"",1,0)+IF(DY2499&lt;&gt;"",1,0)+IF(DZ2499&lt;&gt;"",1,0)+IF(EB2499&lt;&gt;"",1,0)+IF(EC2499&lt;&gt;"",1,0)+IF(ED2499&lt;&gt;"",1,0)+IF(EG2499&lt;&gt;"",1,0)+IF(EH2499&lt;&gt;"",1,0)</f>
        <v/>
      </c>
      <c r="AZ2499">
        <f>IF(EH2499&lt;&gt;"",1,0)</f>
        <v/>
      </c>
      <c r="BB2499" t="inlineStr">
        <is>
          <t>WARREN-WARD 4</t>
        </is>
      </c>
      <c r="CP2499" t="inlineStr">
        <is>
          <t>X</t>
        </is>
      </c>
    </row>
    <row r="2500">
      <c r="A2500" t="inlineStr">
        <is>
          <t>OH0027528978</t>
        </is>
      </c>
      <c r="B2500" t="n">
        <v>78</v>
      </c>
      <c r="C2500" t="n">
        <v>487959</v>
      </c>
      <c r="D2500" t="inlineStr">
        <is>
          <t>LONGWELL</t>
        </is>
      </c>
      <c r="E2500" t="inlineStr">
        <is>
          <t>CHRISTINA</t>
        </is>
      </c>
      <c r="F2500">
        <f>CONCATENATE(D2500," ",LEFT(H2500,4),"T=",AU2500,"D=",AV2500,"R=",AW2500,"M=",AX2500,"L=",AY2500,"B=",AZ2500)</f>
        <v/>
      </c>
      <c r="G2500" t="inlineStr">
        <is>
          <t>LEE</t>
        </is>
      </c>
      <c r="I2500" t="inlineStr">
        <is>
          <t>1989-02-28</t>
        </is>
      </c>
      <c r="J2500" t="inlineStr">
        <is>
          <t>2024-08-25</t>
        </is>
      </c>
      <c r="K2500" t="inlineStr">
        <is>
          <t>ACTIVE</t>
        </is>
      </c>
      <c r="M2500" t="inlineStr">
        <is>
          <t>1140 YOUNGSTOWN RD SE</t>
        </is>
      </c>
      <c r="N2500">
        <f>RIGHT(M2500,LEN(M2500)-FIND(" ",M2500))</f>
        <v/>
      </c>
      <c r="P2500" t="inlineStr">
        <is>
          <t>WARREN</t>
        </is>
      </c>
      <c r="Q2500" t="inlineStr">
        <is>
          <t>OH</t>
        </is>
      </c>
      <c r="R2500" t="n">
        <v>44484</v>
      </c>
      <c r="AD2500" t="inlineStr">
        <is>
          <t>TRUMBULL CAREER &amp; TECH CENTER</t>
        </is>
      </c>
      <c r="AE2500" t="inlineStr">
        <is>
          <t>WARREN CITY</t>
        </is>
      </c>
      <c r="AF2500" t="inlineStr">
        <is>
          <t>WARREN CITY SD</t>
        </is>
      </c>
      <c r="AH2500" t="n">
        <v>14</v>
      </c>
      <c r="AI2500" t="n">
        <v>11</v>
      </c>
      <c r="AN2500" t="inlineStr">
        <is>
          <t>WARREN</t>
        </is>
      </c>
      <c r="AO2500" t="inlineStr">
        <is>
          <t>WARREN CITY 4F</t>
        </is>
      </c>
      <c r="AP2500" t="inlineStr">
        <is>
          <t>78-P-ADN</t>
        </is>
      </c>
      <c r="AQ2500" t="n">
        <v>9</v>
      </c>
      <c r="AR2500" t="n">
        <v>64</v>
      </c>
      <c r="AS2500" t="n">
        <v>32</v>
      </c>
      <c r="AU2500">
        <f>COUNTA($BA$2500:$EH$2500)</f>
        <v/>
      </c>
      <c r="AV2500">
        <f>COUNTIF($BA$2500:$EH$2500,"D")</f>
        <v/>
      </c>
      <c r="AW2500">
        <f>COUNTIF($BA$2500:$EH$2500,"R")</f>
        <v/>
      </c>
      <c r="AX2500">
        <f>IF(BN2500="D",1,0)+IF(BO2500="D",1,0)+IF(BT2500="D",1,0)+IF(BU2500="D",1,0)+IF(BW2500="D",1,0)+IF(CC2500="D",1,0)+IF(CD2500="D",1,0)+IF(CE2500="D",1,0)+IF(CF2500="D",1,0)+IF(CL2500="D",1,0)+IF(CM2500="D",1,0)+IF(CQ2500="D",1,0)+IF(CR2500="D",1,0)+IF(CS2500="D",1,0)+IF(CW2500="D",1,0)+IF(CX2500="D",1,0)+IF(DD2500="D",1,0)+IF(DE2500="D",1,0)+IF(DJ2500="D",1,0)+IF(DK2500="D",1,0)+IF(DO2500="D",1,0)+IF(DP2500="D",1,0)+IF(DQ2500="D",1,0)+IF(DW2500="D",1,0)+IF(DZ2500="D",1,0)+IF(EH2500="D",1,0)</f>
        <v/>
      </c>
      <c r="AY2500">
        <f>IF(DJ2500&lt;&gt;"",1,0)+IF(DK2500&lt;&gt;"",1,0)+IF(DM2500&lt;&gt;"",1,0)+IF(DO2500&lt;&gt;"",1,0)+IF(DP2500&lt;&gt;"",1,0)+IF(DQ2500&lt;&gt;"",1,0)+IF(DS2500&lt;&gt;"",1,0)+IF(DT2500&lt;&gt;"",1,0)+IF(DV2500&lt;&gt;"",1,0)+IF(DW2500&lt;&gt;"",1,0)+IF(DX2500&lt;&gt;"",1,0)+IF(DY2500&lt;&gt;"",1,0)+IF(DZ2500&lt;&gt;"",1,0)+IF(EB2500&lt;&gt;"",1,0)+IF(EC2500&lt;&gt;"",1,0)+IF(ED2500&lt;&gt;"",1,0)+IF(EG2500&lt;&gt;"",1,0)+IF(EH2500&lt;&gt;"",1,0)</f>
        <v/>
      </c>
      <c r="AZ2500">
        <f>IF(EH2500&lt;&gt;"",1,0)</f>
        <v/>
      </c>
      <c r="BB2500" t="inlineStr">
        <is>
          <t>WARREN-WARD 4</t>
        </is>
      </c>
      <c r="EF2500" t="inlineStr">
        <is>
          <t>X</t>
        </is>
      </c>
    </row>
    <row r="2501">
      <c r="A2501" t="inlineStr">
        <is>
          <t>OH0022100201</t>
        </is>
      </c>
      <c r="B2501" t="n">
        <v>78</v>
      </c>
      <c r="C2501" t="n">
        <v>391347</v>
      </c>
      <c r="D2501" t="inlineStr">
        <is>
          <t>JONES</t>
        </is>
      </c>
      <c r="E2501" t="inlineStr">
        <is>
          <t>TRACIE</t>
        </is>
      </c>
      <c r="F2501">
        <f>CONCATENATE(D2501," ",LEFT(H2501,4),"T=",AU2501,"D=",AV2501,"R=",AW2501,"M=",AX2501,"L=",AY2501,"B=",AZ2501)</f>
        <v/>
      </c>
      <c r="G2501" t="inlineStr">
        <is>
          <t>MARIE</t>
        </is>
      </c>
      <c r="I2501" t="inlineStr">
        <is>
          <t>1968-09-20</t>
        </is>
      </c>
      <c r="J2501" t="inlineStr">
        <is>
          <t>2018-03-10</t>
        </is>
      </c>
      <c r="K2501" t="inlineStr">
        <is>
          <t>ACTIVE</t>
        </is>
      </c>
      <c r="M2501" t="inlineStr">
        <is>
          <t>1513 TRANSYLVANIA AVE SE</t>
        </is>
      </c>
      <c r="N2501">
        <f>RIGHT(M2501,LEN(M2501)-FIND(" ",M2501))</f>
        <v/>
      </c>
      <c r="P2501" t="inlineStr">
        <is>
          <t>WARREN</t>
        </is>
      </c>
      <c r="Q2501" t="inlineStr">
        <is>
          <t>OH</t>
        </is>
      </c>
      <c r="R2501" t="n">
        <v>44484</v>
      </c>
      <c r="AD2501" t="inlineStr">
        <is>
          <t>TRUMBULL CAREER &amp; TECH CENTER</t>
        </is>
      </c>
      <c r="AE2501" t="inlineStr">
        <is>
          <t>WARREN CITY</t>
        </is>
      </c>
      <c r="AF2501" t="inlineStr">
        <is>
          <t>WARREN CITY SD</t>
        </is>
      </c>
      <c r="AH2501" t="n">
        <v>14</v>
      </c>
      <c r="AI2501" t="n">
        <v>11</v>
      </c>
      <c r="AN2501" t="inlineStr">
        <is>
          <t>WARREN</t>
        </is>
      </c>
      <c r="AO2501" t="inlineStr">
        <is>
          <t>WARREN CITY 4F</t>
        </is>
      </c>
      <c r="AP2501" t="inlineStr">
        <is>
          <t>78-P-ADN</t>
        </is>
      </c>
      <c r="AQ2501" t="n">
        <v>9</v>
      </c>
      <c r="AR2501" t="n">
        <v>64</v>
      </c>
      <c r="AS2501" t="n">
        <v>32</v>
      </c>
      <c r="AU2501">
        <f>COUNTA($BA$2501:$EH$2501)</f>
        <v/>
      </c>
      <c r="AV2501">
        <f>COUNTIF($BA$2501:$EH$2501,"D")</f>
        <v/>
      </c>
      <c r="AW2501">
        <f>COUNTIF($BA$2501:$EH$2501,"R")</f>
        <v/>
      </c>
      <c r="AX2501">
        <f>IF(BN2501="D",1,0)+IF(BO2501="D",1,0)+IF(BT2501="D",1,0)+IF(BU2501="D",1,0)+IF(BW2501="D",1,0)+IF(CC2501="D",1,0)+IF(CD2501="D",1,0)+IF(CE2501="D",1,0)+IF(CF2501="D",1,0)+IF(CL2501="D",1,0)+IF(CM2501="D",1,0)+IF(CQ2501="D",1,0)+IF(CR2501="D",1,0)+IF(CS2501="D",1,0)+IF(CW2501="D",1,0)+IF(CX2501="D",1,0)+IF(DD2501="D",1,0)+IF(DE2501="D",1,0)+IF(DJ2501="D",1,0)+IF(DK2501="D",1,0)+IF(DO2501="D",1,0)+IF(DP2501="D",1,0)+IF(DQ2501="D",1,0)+IF(DW2501="D",1,0)+IF(DZ2501="D",1,0)+IF(EH2501="D",1,0)</f>
        <v/>
      </c>
      <c r="AY2501">
        <f>IF(DJ2501&lt;&gt;"",1,0)+IF(DK2501&lt;&gt;"",1,0)+IF(DM2501&lt;&gt;"",1,0)+IF(DO2501&lt;&gt;"",1,0)+IF(DP2501&lt;&gt;"",1,0)+IF(DQ2501&lt;&gt;"",1,0)+IF(DS2501&lt;&gt;"",1,0)+IF(DT2501&lt;&gt;"",1,0)+IF(DV2501&lt;&gt;"",1,0)+IF(DW2501&lt;&gt;"",1,0)+IF(DX2501&lt;&gt;"",1,0)+IF(DY2501&lt;&gt;"",1,0)+IF(DZ2501&lt;&gt;"",1,0)+IF(EB2501&lt;&gt;"",1,0)+IF(EC2501&lt;&gt;"",1,0)+IF(ED2501&lt;&gt;"",1,0)+IF(EG2501&lt;&gt;"",1,0)+IF(EH2501&lt;&gt;"",1,0)</f>
        <v/>
      </c>
      <c r="AZ2501">
        <f>IF(EH2501&lt;&gt;"",1,0)</f>
        <v/>
      </c>
      <c r="BB2501" t="inlineStr">
        <is>
          <t>WARREN-WARD 4</t>
        </is>
      </c>
      <c r="CP2501" t="inlineStr">
        <is>
          <t>X</t>
        </is>
      </c>
      <c r="CY2501" t="inlineStr">
        <is>
          <t>X</t>
        </is>
      </c>
      <c r="DC2501" t="inlineStr">
        <is>
          <t>X</t>
        </is>
      </c>
      <c r="EA2501" t="inlineStr">
        <is>
          <t>X</t>
        </is>
      </c>
    </row>
    <row r="2502">
      <c r="A2502" t="inlineStr">
        <is>
          <t>OH0026348586</t>
        </is>
      </c>
      <c r="B2502" t="n">
        <v>78</v>
      </c>
      <c r="C2502" t="n">
        <v>460756</v>
      </c>
      <c r="D2502" t="inlineStr">
        <is>
          <t>ATKINS</t>
        </is>
      </c>
      <c r="E2502" t="inlineStr">
        <is>
          <t>KING</t>
        </is>
      </c>
      <c r="F2502">
        <f>CONCATENATE(D2502," ",LEFT(H2502,4),"T=",AU2502,"D=",AV2502,"R=",AW2502,"M=",AX2502,"L=",AY2502,"B=",AZ2502)</f>
        <v/>
      </c>
      <c r="G2502" t="inlineStr">
        <is>
          <t>JUWUAN</t>
        </is>
      </c>
      <c r="I2502" t="inlineStr">
        <is>
          <t>2003-10-02</t>
        </is>
      </c>
      <c r="J2502" t="inlineStr">
        <is>
          <t>2024-03-18</t>
        </is>
      </c>
      <c r="K2502" t="inlineStr">
        <is>
          <t>ACTIVE</t>
        </is>
      </c>
      <c r="M2502" t="inlineStr">
        <is>
          <t>1787 BRIER ST SE</t>
        </is>
      </c>
      <c r="N2502">
        <f>RIGHT(M2502,LEN(M2502)-FIND(" ",M2502))</f>
        <v/>
      </c>
      <c r="P2502" t="inlineStr">
        <is>
          <t>WARREN</t>
        </is>
      </c>
      <c r="Q2502" t="inlineStr">
        <is>
          <t>OH</t>
        </is>
      </c>
      <c r="R2502" t="n">
        <v>44484</v>
      </c>
      <c r="AD2502" t="inlineStr">
        <is>
          <t>TRUMBULL CAREER &amp; TECH CENTER</t>
        </is>
      </c>
      <c r="AE2502" t="inlineStr">
        <is>
          <t>WARREN CITY</t>
        </is>
      </c>
      <c r="AF2502" t="inlineStr">
        <is>
          <t>WARREN CITY SD</t>
        </is>
      </c>
      <c r="AH2502" t="n">
        <v>14</v>
      </c>
      <c r="AI2502" t="n">
        <v>11</v>
      </c>
      <c r="AN2502" t="inlineStr">
        <is>
          <t>WARREN</t>
        </is>
      </c>
      <c r="AO2502" t="inlineStr">
        <is>
          <t>WARREN CITY 4F</t>
        </is>
      </c>
      <c r="AP2502" t="inlineStr">
        <is>
          <t>78-P-ADN</t>
        </is>
      </c>
      <c r="AQ2502" t="n">
        <v>9</v>
      </c>
      <c r="AR2502" t="n">
        <v>64</v>
      </c>
      <c r="AS2502" t="n">
        <v>32</v>
      </c>
      <c r="AU2502">
        <f>COUNTA($BA$2502:$EH$2502)</f>
        <v/>
      </c>
      <c r="AV2502">
        <f>COUNTIF($BA$2502:$EH$2502,"D")</f>
        <v/>
      </c>
      <c r="AW2502">
        <f>COUNTIF($BA$2502:$EH$2502,"R")</f>
        <v/>
      </c>
      <c r="AX2502">
        <f>IF(BN2502="D",1,0)+IF(BO2502="D",1,0)+IF(BT2502="D",1,0)+IF(BU2502="D",1,0)+IF(BW2502="D",1,0)+IF(CC2502="D",1,0)+IF(CD2502="D",1,0)+IF(CE2502="D",1,0)+IF(CF2502="D",1,0)+IF(CL2502="D",1,0)+IF(CM2502="D",1,0)+IF(CQ2502="D",1,0)+IF(CR2502="D",1,0)+IF(CS2502="D",1,0)+IF(CW2502="D",1,0)+IF(CX2502="D",1,0)+IF(DD2502="D",1,0)+IF(DE2502="D",1,0)+IF(DJ2502="D",1,0)+IF(DK2502="D",1,0)+IF(DO2502="D",1,0)+IF(DP2502="D",1,0)+IF(DQ2502="D",1,0)+IF(DW2502="D",1,0)+IF(DZ2502="D",1,0)+IF(EH2502="D",1,0)</f>
        <v/>
      </c>
      <c r="AY2502">
        <f>IF(DJ2502&lt;&gt;"",1,0)+IF(DK2502&lt;&gt;"",1,0)+IF(DM2502&lt;&gt;"",1,0)+IF(DO2502&lt;&gt;"",1,0)+IF(DP2502&lt;&gt;"",1,0)+IF(DQ2502&lt;&gt;"",1,0)+IF(DS2502&lt;&gt;"",1,0)+IF(DT2502&lt;&gt;"",1,0)+IF(DV2502&lt;&gt;"",1,0)+IF(DW2502&lt;&gt;"",1,0)+IF(DX2502&lt;&gt;"",1,0)+IF(DY2502&lt;&gt;"",1,0)+IF(DZ2502&lt;&gt;"",1,0)+IF(EB2502&lt;&gt;"",1,0)+IF(EC2502&lt;&gt;"",1,0)+IF(ED2502&lt;&gt;"",1,0)+IF(EG2502&lt;&gt;"",1,0)+IF(EH2502&lt;&gt;"",1,0)</f>
        <v/>
      </c>
      <c r="AZ2502">
        <f>IF(EH2502&lt;&gt;"",1,0)</f>
        <v/>
      </c>
      <c r="BB2502" t="inlineStr">
        <is>
          <t>WARREN-WARD 4</t>
        </is>
      </c>
    </row>
    <row r="2503">
      <c r="A2503" t="inlineStr">
        <is>
          <t>OH0027518546</t>
        </is>
      </c>
      <c r="B2503" t="n">
        <v>78</v>
      </c>
      <c r="C2503" t="n">
        <v>487691</v>
      </c>
      <c r="D2503" t="inlineStr">
        <is>
          <t>DUKES</t>
        </is>
      </c>
      <c r="E2503" t="inlineStr">
        <is>
          <t>SHANTONAE</t>
        </is>
      </c>
      <c r="F2503">
        <f>CONCATENATE(D2503," ",LEFT(H2503,4),"T=",AU2503,"D=",AV2503,"R=",AW2503,"M=",AX2503,"L=",AY2503,"B=",AZ2503)</f>
        <v/>
      </c>
      <c r="I2503" t="inlineStr">
        <is>
          <t>2005-12-12</t>
        </is>
      </c>
      <c r="J2503" t="inlineStr">
        <is>
          <t>2024-08-08</t>
        </is>
      </c>
      <c r="K2503" t="inlineStr">
        <is>
          <t>ACTIVE</t>
        </is>
      </c>
      <c r="M2503" t="inlineStr">
        <is>
          <t>1679 WOODBINE AVE SE</t>
        </is>
      </c>
      <c r="N2503">
        <f>RIGHT(M2503,LEN(M2503)-FIND(" ",M2503))</f>
        <v/>
      </c>
      <c r="P2503" t="inlineStr">
        <is>
          <t>WARREN</t>
        </is>
      </c>
      <c r="Q2503" t="inlineStr">
        <is>
          <t>OH</t>
        </is>
      </c>
      <c r="R2503" t="n">
        <v>44484</v>
      </c>
      <c r="AD2503" t="inlineStr">
        <is>
          <t>TRUMBULL CAREER &amp; TECH CENTER</t>
        </is>
      </c>
      <c r="AE2503" t="inlineStr">
        <is>
          <t>WARREN CITY</t>
        </is>
      </c>
      <c r="AF2503" t="inlineStr">
        <is>
          <t>WARREN CITY SD</t>
        </is>
      </c>
      <c r="AH2503" t="n">
        <v>14</v>
      </c>
      <c r="AI2503" t="n">
        <v>11</v>
      </c>
      <c r="AN2503" t="inlineStr">
        <is>
          <t>WARREN</t>
        </is>
      </c>
      <c r="AO2503" t="inlineStr">
        <is>
          <t>WARREN CITY 4F</t>
        </is>
      </c>
      <c r="AP2503" t="inlineStr">
        <is>
          <t>78-P-ADN</t>
        </is>
      </c>
      <c r="AQ2503" t="n">
        <v>9</v>
      </c>
      <c r="AR2503" t="n">
        <v>64</v>
      </c>
      <c r="AS2503" t="n">
        <v>32</v>
      </c>
      <c r="AU2503">
        <f>COUNTA($BA$2503:$EH$2503)</f>
        <v/>
      </c>
      <c r="AV2503">
        <f>COUNTIF($BA$2503:$EH$2503,"D")</f>
        <v/>
      </c>
      <c r="AW2503">
        <f>COUNTIF($BA$2503:$EH$2503,"R")</f>
        <v/>
      </c>
      <c r="AX2503">
        <f>IF(BN2503="D",1,0)+IF(BO2503="D",1,0)+IF(BT2503="D",1,0)+IF(BU2503="D",1,0)+IF(BW2503="D",1,0)+IF(CC2503="D",1,0)+IF(CD2503="D",1,0)+IF(CE2503="D",1,0)+IF(CF2503="D",1,0)+IF(CL2503="D",1,0)+IF(CM2503="D",1,0)+IF(CQ2503="D",1,0)+IF(CR2503="D",1,0)+IF(CS2503="D",1,0)+IF(CW2503="D",1,0)+IF(CX2503="D",1,0)+IF(DD2503="D",1,0)+IF(DE2503="D",1,0)+IF(DJ2503="D",1,0)+IF(DK2503="D",1,0)+IF(DO2503="D",1,0)+IF(DP2503="D",1,0)+IF(DQ2503="D",1,0)+IF(DW2503="D",1,0)+IF(DZ2503="D",1,0)+IF(EH2503="D",1,0)</f>
        <v/>
      </c>
      <c r="AY2503">
        <f>IF(DJ2503&lt;&gt;"",1,0)+IF(DK2503&lt;&gt;"",1,0)+IF(DM2503&lt;&gt;"",1,0)+IF(DO2503&lt;&gt;"",1,0)+IF(DP2503&lt;&gt;"",1,0)+IF(DQ2503&lt;&gt;"",1,0)+IF(DS2503&lt;&gt;"",1,0)+IF(DT2503&lt;&gt;"",1,0)+IF(DV2503&lt;&gt;"",1,0)+IF(DW2503&lt;&gt;"",1,0)+IF(DX2503&lt;&gt;"",1,0)+IF(DY2503&lt;&gt;"",1,0)+IF(DZ2503&lt;&gt;"",1,0)+IF(EB2503&lt;&gt;"",1,0)+IF(EC2503&lt;&gt;"",1,0)+IF(ED2503&lt;&gt;"",1,0)+IF(EG2503&lt;&gt;"",1,0)+IF(EH2503&lt;&gt;"",1,0)</f>
        <v/>
      </c>
      <c r="AZ2503">
        <f>IF(EH2503&lt;&gt;"",1,0)</f>
        <v/>
      </c>
      <c r="BB2503" t="inlineStr">
        <is>
          <t>WARREN-WARD 4</t>
        </is>
      </c>
    </row>
    <row r="2504">
      <c r="A2504" t="inlineStr">
        <is>
          <t>OH0015769326</t>
        </is>
      </c>
      <c r="B2504" t="n">
        <v>78</v>
      </c>
      <c r="C2504" t="n">
        <v>321609</v>
      </c>
      <c r="D2504" t="inlineStr">
        <is>
          <t>JOHNSON</t>
        </is>
      </c>
      <c r="E2504" t="inlineStr">
        <is>
          <t>RYAN</t>
        </is>
      </c>
      <c r="F2504">
        <f>CONCATENATE(D2504," ",LEFT(H2504,4),"T=",AU2504,"D=",AV2504,"R=",AW2504,"M=",AX2504,"L=",AY2504,"B=",AZ2504)</f>
        <v/>
      </c>
      <c r="G2504" t="inlineStr">
        <is>
          <t>KEITH</t>
        </is>
      </c>
      <c r="I2504" t="inlineStr">
        <is>
          <t>1985-12-28</t>
        </is>
      </c>
      <c r="J2504" t="inlineStr">
        <is>
          <t>2019-11-08</t>
        </is>
      </c>
      <c r="K2504" t="inlineStr">
        <is>
          <t>ACTIVE</t>
        </is>
      </c>
      <c r="M2504" t="inlineStr">
        <is>
          <t>2270 DRAPER AVE SE</t>
        </is>
      </c>
      <c r="N2504">
        <f>RIGHT(M2504,LEN(M2504)-FIND(" ",M2504))</f>
        <v/>
      </c>
      <c r="P2504" t="inlineStr">
        <is>
          <t>WARREN</t>
        </is>
      </c>
      <c r="Q2504" t="inlineStr">
        <is>
          <t>OH</t>
        </is>
      </c>
      <c r="R2504" t="n">
        <v>44484</v>
      </c>
      <c r="AD2504" t="inlineStr">
        <is>
          <t>TRUMBULL CAREER &amp; TECH CENTER</t>
        </is>
      </c>
      <c r="AE2504" t="inlineStr">
        <is>
          <t>WARREN CITY</t>
        </is>
      </c>
      <c r="AF2504" t="inlineStr">
        <is>
          <t>WARREN CITY SD</t>
        </is>
      </c>
      <c r="AH2504" t="n">
        <v>14</v>
      </c>
      <c r="AI2504" t="n">
        <v>11</v>
      </c>
      <c r="AN2504" t="inlineStr">
        <is>
          <t>WARREN</t>
        </is>
      </c>
      <c r="AO2504" t="inlineStr">
        <is>
          <t>WARREN CITY 4F</t>
        </is>
      </c>
      <c r="AP2504" t="inlineStr">
        <is>
          <t>78-P-ADN</t>
        </is>
      </c>
      <c r="AQ2504" t="n">
        <v>9</v>
      </c>
      <c r="AR2504" t="n">
        <v>64</v>
      </c>
      <c r="AS2504" t="n">
        <v>32</v>
      </c>
      <c r="AU2504">
        <f>COUNTA($BA$2504:$EH$2504)</f>
        <v/>
      </c>
      <c r="AV2504">
        <f>COUNTIF($BA$2504:$EH$2504,"D")</f>
        <v/>
      </c>
      <c r="AW2504">
        <f>COUNTIF($BA$2504:$EH$2504,"R")</f>
        <v/>
      </c>
      <c r="AX2504">
        <f>IF(BN2504="D",1,0)+IF(BO2504="D",1,0)+IF(BT2504="D",1,0)+IF(BU2504="D",1,0)+IF(BW2504="D",1,0)+IF(CC2504="D",1,0)+IF(CD2504="D",1,0)+IF(CE2504="D",1,0)+IF(CF2504="D",1,0)+IF(CL2504="D",1,0)+IF(CM2504="D",1,0)+IF(CQ2504="D",1,0)+IF(CR2504="D",1,0)+IF(CS2504="D",1,0)+IF(CW2504="D",1,0)+IF(CX2504="D",1,0)+IF(DD2504="D",1,0)+IF(DE2504="D",1,0)+IF(DJ2504="D",1,0)+IF(DK2504="D",1,0)+IF(DO2504="D",1,0)+IF(DP2504="D",1,0)+IF(DQ2504="D",1,0)+IF(DW2504="D",1,0)+IF(DZ2504="D",1,0)+IF(EH2504="D",1,0)</f>
        <v/>
      </c>
      <c r="AY2504">
        <f>IF(DJ2504&lt;&gt;"",1,0)+IF(DK2504&lt;&gt;"",1,0)+IF(DM2504&lt;&gt;"",1,0)+IF(DO2504&lt;&gt;"",1,0)+IF(DP2504&lt;&gt;"",1,0)+IF(DQ2504&lt;&gt;"",1,0)+IF(DS2504&lt;&gt;"",1,0)+IF(DT2504&lt;&gt;"",1,0)+IF(DV2504&lt;&gt;"",1,0)+IF(DW2504&lt;&gt;"",1,0)+IF(DX2504&lt;&gt;"",1,0)+IF(DY2504&lt;&gt;"",1,0)+IF(DZ2504&lt;&gt;"",1,0)+IF(EB2504&lt;&gt;"",1,0)+IF(EC2504&lt;&gt;"",1,0)+IF(ED2504&lt;&gt;"",1,0)+IF(EG2504&lt;&gt;"",1,0)+IF(EH2504&lt;&gt;"",1,0)</f>
        <v/>
      </c>
      <c r="AZ2504">
        <f>IF(EH2504&lt;&gt;"",1,0)</f>
        <v/>
      </c>
      <c r="BB2504" t="inlineStr">
        <is>
          <t>WARREN-WARD 4</t>
        </is>
      </c>
      <c r="BL2504" t="inlineStr">
        <is>
          <t>X</t>
        </is>
      </c>
      <c r="BY2504" t="inlineStr">
        <is>
          <t>D</t>
        </is>
      </c>
      <c r="CA2504" t="inlineStr">
        <is>
          <t>X</t>
        </is>
      </c>
      <c r="CL2504" t="inlineStr">
        <is>
          <t>D</t>
        </is>
      </c>
      <c r="CP2504" t="inlineStr">
        <is>
          <t>X</t>
        </is>
      </c>
      <c r="CY2504" t="inlineStr">
        <is>
          <t>X</t>
        </is>
      </c>
      <c r="DC2504" t="inlineStr">
        <is>
          <t>X</t>
        </is>
      </c>
      <c r="DN2504" t="inlineStr">
        <is>
          <t>X</t>
        </is>
      </c>
    </row>
    <row r="2505">
      <c r="A2505" t="inlineStr">
        <is>
          <t>OH0020062860</t>
        </is>
      </c>
      <c r="B2505" t="n">
        <v>78</v>
      </c>
      <c r="C2505" t="n">
        <v>362447</v>
      </c>
      <c r="D2505" t="inlineStr">
        <is>
          <t>BROWN</t>
        </is>
      </c>
      <c r="E2505" t="inlineStr">
        <is>
          <t>DESTINY</t>
        </is>
      </c>
      <c r="F2505">
        <f>CONCATENATE(D2505," ",LEFT(H2505,4),"T=",AU2505,"D=",AV2505,"R=",AW2505,"M=",AX2505,"L=",AY2505,"B=",AZ2505)</f>
        <v/>
      </c>
      <c r="G2505" t="inlineStr">
        <is>
          <t>RAE</t>
        </is>
      </c>
      <c r="I2505" t="inlineStr">
        <is>
          <t>1989-03-27</t>
        </is>
      </c>
      <c r="J2505" t="inlineStr">
        <is>
          <t>2023-06-01</t>
        </is>
      </c>
      <c r="K2505" t="inlineStr">
        <is>
          <t>ACTIVE</t>
        </is>
      </c>
      <c r="M2505" t="inlineStr">
        <is>
          <t>1756 BURTON ST SE</t>
        </is>
      </c>
      <c r="N2505">
        <f>RIGHT(M2505,LEN(M2505)-FIND(" ",M2505))</f>
        <v/>
      </c>
      <c r="P2505" t="inlineStr">
        <is>
          <t>WARREN</t>
        </is>
      </c>
      <c r="Q2505" t="inlineStr">
        <is>
          <t>OH</t>
        </is>
      </c>
      <c r="R2505" t="n">
        <v>44484</v>
      </c>
      <c r="AD2505" t="inlineStr">
        <is>
          <t>TRUMBULL CAREER &amp; TECH CENTER</t>
        </is>
      </c>
      <c r="AE2505" t="inlineStr">
        <is>
          <t>WARREN CITY</t>
        </is>
      </c>
      <c r="AF2505" t="inlineStr">
        <is>
          <t>WARREN CITY SD</t>
        </is>
      </c>
      <c r="AH2505" t="n">
        <v>14</v>
      </c>
      <c r="AI2505" t="n">
        <v>11</v>
      </c>
      <c r="AN2505" t="inlineStr">
        <is>
          <t>WARREN</t>
        </is>
      </c>
      <c r="AO2505" t="inlineStr">
        <is>
          <t>WARREN CITY 4F</t>
        </is>
      </c>
      <c r="AP2505" t="inlineStr">
        <is>
          <t>78-P-ADN</t>
        </is>
      </c>
      <c r="AQ2505" t="n">
        <v>9</v>
      </c>
      <c r="AR2505" t="n">
        <v>64</v>
      </c>
      <c r="AS2505" t="n">
        <v>32</v>
      </c>
      <c r="AU2505">
        <f>COUNTA($BA$2505:$EH$2505)</f>
        <v/>
      </c>
      <c r="AV2505">
        <f>COUNTIF($BA$2505:$EH$2505,"D")</f>
        <v/>
      </c>
      <c r="AW2505">
        <f>COUNTIF($BA$2505:$EH$2505,"R")</f>
        <v/>
      </c>
      <c r="AX2505">
        <f>IF(BN2505="D",1,0)+IF(BO2505="D",1,0)+IF(BT2505="D",1,0)+IF(BU2505="D",1,0)+IF(BW2505="D",1,0)+IF(CC2505="D",1,0)+IF(CD2505="D",1,0)+IF(CE2505="D",1,0)+IF(CF2505="D",1,0)+IF(CL2505="D",1,0)+IF(CM2505="D",1,0)+IF(CQ2505="D",1,0)+IF(CR2505="D",1,0)+IF(CS2505="D",1,0)+IF(CW2505="D",1,0)+IF(CX2505="D",1,0)+IF(DD2505="D",1,0)+IF(DE2505="D",1,0)+IF(DJ2505="D",1,0)+IF(DK2505="D",1,0)+IF(DO2505="D",1,0)+IF(DP2505="D",1,0)+IF(DQ2505="D",1,0)+IF(DW2505="D",1,0)+IF(DZ2505="D",1,0)+IF(EH2505="D",1,0)</f>
        <v/>
      </c>
      <c r="AY2505">
        <f>IF(DJ2505&lt;&gt;"",1,0)+IF(DK2505&lt;&gt;"",1,0)+IF(DM2505&lt;&gt;"",1,0)+IF(DO2505&lt;&gt;"",1,0)+IF(DP2505&lt;&gt;"",1,0)+IF(DQ2505&lt;&gt;"",1,0)+IF(DS2505&lt;&gt;"",1,0)+IF(DT2505&lt;&gt;"",1,0)+IF(DV2505&lt;&gt;"",1,0)+IF(DW2505&lt;&gt;"",1,0)+IF(DX2505&lt;&gt;"",1,0)+IF(DY2505&lt;&gt;"",1,0)+IF(DZ2505&lt;&gt;"",1,0)+IF(EB2505&lt;&gt;"",1,0)+IF(EC2505&lt;&gt;"",1,0)+IF(ED2505&lt;&gt;"",1,0)+IF(EG2505&lt;&gt;"",1,0)+IF(EH2505&lt;&gt;"",1,0)</f>
        <v/>
      </c>
      <c r="AZ2505">
        <f>IF(EH2505&lt;&gt;"",1,0)</f>
        <v/>
      </c>
      <c r="BB2505" t="inlineStr">
        <is>
          <t>WARREN-WARD 4</t>
        </is>
      </c>
      <c r="CP2505" t="inlineStr">
        <is>
          <t>X</t>
        </is>
      </c>
      <c r="DC2505" t="inlineStr">
        <is>
          <t>X</t>
        </is>
      </c>
      <c r="DN2505" t="inlineStr">
        <is>
          <t>X</t>
        </is>
      </c>
      <c r="DU2505" t="inlineStr">
        <is>
          <t>X</t>
        </is>
      </c>
      <c r="EF2505" t="inlineStr">
        <is>
          <t>X</t>
        </is>
      </c>
    </row>
    <row r="2506">
      <c r="A2506" t="inlineStr">
        <is>
          <t>OH0021813142</t>
        </is>
      </c>
      <c r="B2506" t="n">
        <v>78</v>
      </c>
      <c r="C2506" t="n">
        <v>387629</v>
      </c>
      <c r="D2506" t="inlineStr">
        <is>
          <t>MERLINO</t>
        </is>
      </c>
      <c r="E2506" t="inlineStr">
        <is>
          <t>JOSHUA</t>
        </is>
      </c>
      <c r="F2506">
        <f>CONCATENATE(D2506," ",LEFT(H2506,4),"T=",AU2506,"D=",AV2506,"R=",AW2506,"M=",AX2506,"L=",AY2506,"B=",AZ2506)</f>
        <v/>
      </c>
      <c r="G2506" t="inlineStr">
        <is>
          <t>E</t>
        </is>
      </c>
      <c r="I2506" t="inlineStr">
        <is>
          <t>1980-08-29</t>
        </is>
      </c>
      <c r="J2506" t="inlineStr">
        <is>
          <t>2022-07-21</t>
        </is>
      </c>
      <c r="K2506" t="inlineStr">
        <is>
          <t>ACTIVE</t>
        </is>
      </c>
      <c r="M2506" t="inlineStr">
        <is>
          <t>1508 ADELAIDE AVE SE</t>
        </is>
      </c>
      <c r="N2506">
        <f>RIGHT(M2506,LEN(M2506)-FIND(" ",M2506))</f>
        <v/>
      </c>
      <c r="P2506" t="inlineStr">
        <is>
          <t>WARREN</t>
        </is>
      </c>
      <c r="Q2506" t="inlineStr">
        <is>
          <t>OH</t>
        </is>
      </c>
      <c r="R2506" t="n">
        <v>44484</v>
      </c>
      <c r="AD2506" t="inlineStr">
        <is>
          <t>TRUMBULL CAREER &amp; TECH CENTER</t>
        </is>
      </c>
      <c r="AE2506" t="inlineStr">
        <is>
          <t>WARREN CITY</t>
        </is>
      </c>
      <c r="AF2506" t="inlineStr">
        <is>
          <t>WARREN CITY SD</t>
        </is>
      </c>
      <c r="AH2506" t="n">
        <v>14</v>
      </c>
      <c r="AI2506" t="n">
        <v>11</v>
      </c>
      <c r="AN2506" t="inlineStr">
        <is>
          <t>WARREN</t>
        </is>
      </c>
      <c r="AO2506" t="inlineStr">
        <is>
          <t>WARREN CITY 4F</t>
        </is>
      </c>
      <c r="AP2506" t="inlineStr">
        <is>
          <t>78-P-ADN</t>
        </is>
      </c>
      <c r="AQ2506" t="n">
        <v>9</v>
      </c>
      <c r="AR2506" t="n">
        <v>64</v>
      </c>
      <c r="AS2506" t="n">
        <v>32</v>
      </c>
      <c r="AU2506">
        <f>COUNTA($BA$2506:$EH$2506)</f>
        <v/>
      </c>
      <c r="AV2506">
        <f>COUNTIF($BA$2506:$EH$2506,"D")</f>
        <v/>
      </c>
      <c r="AW2506">
        <f>COUNTIF($BA$2506:$EH$2506,"R")</f>
        <v/>
      </c>
      <c r="AX2506">
        <f>IF(BN2506="D",1,0)+IF(BO2506="D",1,0)+IF(BT2506="D",1,0)+IF(BU2506="D",1,0)+IF(BW2506="D",1,0)+IF(CC2506="D",1,0)+IF(CD2506="D",1,0)+IF(CE2506="D",1,0)+IF(CF2506="D",1,0)+IF(CL2506="D",1,0)+IF(CM2506="D",1,0)+IF(CQ2506="D",1,0)+IF(CR2506="D",1,0)+IF(CS2506="D",1,0)+IF(CW2506="D",1,0)+IF(CX2506="D",1,0)+IF(DD2506="D",1,0)+IF(DE2506="D",1,0)+IF(DJ2506="D",1,0)+IF(DK2506="D",1,0)+IF(DO2506="D",1,0)+IF(DP2506="D",1,0)+IF(DQ2506="D",1,0)+IF(DW2506="D",1,0)+IF(DZ2506="D",1,0)+IF(EH2506="D",1,0)</f>
        <v/>
      </c>
      <c r="AY2506">
        <f>IF(DJ2506&lt;&gt;"",1,0)+IF(DK2506&lt;&gt;"",1,0)+IF(DM2506&lt;&gt;"",1,0)+IF(DO2506&lt;&gt;"",1,0)+IF(DP2506&lt;&gt;"",1,0)+IF(DQ2506&lt;&gt;"",1,0)+IF(DS2506&lt;&gt;"",1,0)+IF(DT2506&lt;&gt;"",1,0)+IF(DV2506&lt;&gt;"",1,0)+IF(DW2506&lt;&gt;"",1,0)+IF(DX2506&lt;&gt;"",1,0)+IF(DY2506&lt;&gt;"",1,0)+IF(DZ2506&lt;&gt;"",1,0)+IF(EB2506&lt;&gt;"",1,0)+IF(EC2506&lt;&gt;"",1,0)+IF(ED2506&lt;&gt;"",1,0)+IF(EG2506&lt;&gt;"",1,0)+IF(EH2506&lt;&gt;"",1,0)</f>
        <v/>
      </c>
      <c r="AZ2506">
        <f>IF(EH2506&lt;&gt;"",1,0)</f>
        <v/>
      </c>
      <c r="BB2506" t="inlineStr">
        <is>
          <t>WARREN-WARD 4</t>
        </is>
      </c>
      <c r="CW2506" t="inlineStr">
        <is>
          <t>D</t>
        </is>
      </c>
      <c r="CY2506" t="inlineStr">
        <is>
          <t>X</t>
        </is>
      </c>
    </row>
    <row r="2507">
      <c r="A2507" t="inlineStr">
        <is>
          <t>OH0027703210</t>
        </is>
      </c>
      <c r="B2507" t="n">
        <v>78</v>
      </c>
      <c r="C2507" t="n">
        <v>490946</v>
      </c>
      <c r="D2507" t="inlineStr">
        <is>
          <t>MALCOMSON</t>
        </is>
      </c>
      <c r="E2507" t="inlineStr">
        <is>
          <t>DYLAN</t>
        </is>
      </c>
      <c r="F2507">
        <f>CONCATENATE(D2507," ",LEFT(H2507,4),"T=",AU2507,"D=",AV2507,"R=",AW2507,"M=",AX2507,"L=",AY2507,"B=",AZ2507)</f>
        <v/>
      </c>
      <c r="G2507" t="inlineStr">
        <is>
          <t>JACOB</t>
        </is>
      </c>
      <c r="I2507" t="inlineStr">
        <is>
          <t>1998-03-24</t>
        </is>
      </c>
      <c r="J2507" t="inlineStr">
        <is>
          <t>2024-10-06</t>
        </is>
      </c>
      <c r="K2507" t="inlineStr">
        <is>
          <t>ACTIVE</t>
        </is>
      </c>
      <c r="M2507" t="inlineStr">
        <is>
          <t>1094 EAST AVE SE</t>
        </is>
      </c>
      <c r="N2507">
        <f>RIGHT(M2507,LEN(M2507)-FIND(" ",M2507))</f>
        <v/>
      </c>
      <c r="P2507" t="inlineStr">
        <is>
          <t>WARREN</t>
        </is>
      </c>
      <c r="Q2507" t="inlineStr">
        <is>
          <t>OH</t>
        </is>
      </c>
      <c r="R2507" t="n">
        <v>44484</v>
      </c>
      <c r="AD2507" t="inlineStr">
        <is>
          <t>TRUMBULL CAREER &amp; TECH CENTER</t>
        </is>
      </c>
      <c r="AE2507" t="inlineStr">
        <is>
          <t>WARREN CITY</t>
        </is>
      </c>
      <c r="AF2507" t="inlineStr">
        <is>
          <t>WARREN CITY SD</t>
        </is>
      </c>
      <c r="AH2507" t="n">
        <v>14</v>
      </c>
      <c r="AI2507" t="n">
        <v>11</v>
      </c>
      <c r="AN2507" t="inlineStr">
        <is>
          <t>WARREN</t>
        </is>
      </c>
      <c r="AO2507" t="inlineStr">
        <is>
          <t>WARREN CITY 4F</t>
        </is>
      </c>
      <c r="AP2507" t="inlineStr">
        <is>
          <t>78-P-ADN</t>
        </is>
      </c>
      <c r="AQ2507" t="n">
        <v>9</v>
      </c>
      <c r="AR2507" t="n">
        <v>64</v>
      </c>
      <c r="AS2507" t="n">
        <v>32</v>
      </c>
      <c r="AU2507">
        <f>COUNTA($BA$2507:$EH$2507)</f>
        <v/>
      </c>
      <c r="AV2507">
        <f>COUNTIF($BA$2507:$EH$2507,"D")</f>
        <v/>
      </c>
      <c r="AW2507">
        <f>COUNTIF($BA$2507:$EH$2507,"R")</f>
        <v/>
      </c>
      <c r="AX2507">
        <f>IF(BN2507="D",1,0)+IF(BO2507="D",1,0)+IF(BT2507="D",1,0)+IF(BU2507="D",1,0)+IF(BW2507="D",1,0)+IF(CC2507="D",1,0)+IF(CD2507="D",1,0)+IF(CE2507="D",1,0)+IF(CF2507="D",1,0)+IF(CL2507="D",1,0)+IF(CM2507="D",1,0)+IF(CQ2507="D",1,0)+IF(CR2507="D",1,0)+IF(CS2507="D",1,0)+IF(CW2507="D",1,0)+IF(CX2507="D",1,0)+IF(DD2507="D",1,0)+IF(DE2507="D",1,0)+IF(DJ2507="D",1,0)+IF(DK2507="D",1,0)+IF(DO2507="D",1,0)+IF(DP2507="D",1,0)+IF(DQ2507="D",1,0)+IF(DW2507="D",1,0)+IF(DZ2507="D",1,0)+IF(EH2507="D",1,0)</f>
        <v/>
      </c>
      <c r="AY2507">
        <f>IF(DJ2507&lt;&gt;"",1,0)+IF(DK2507&lt;&gt;"",1,0)+IF(DM2507&lt;&gt;"",1,0)+IF(DO2507&lt;&gt;"",1,0)+IF(DP2507&lt;&gt;"",1,0)+IF(DQ2507&lt;&gt;"",1,0)+IF(DS2507&lt;&gt;"",1,0)+IF(DT2507&lt;&gt;"",1,0)+IF(DV2507&lt;&gt;"",1,0)+IF(DW2507&lt;&gt;"",1,0)+IF(DX2507&lt;&gt;"",1,0)+IF(DY2507&lt;&gt;"",1,0)+IF(DZ2507&lt;&gt;"",1,0)+IF(EB2507&lt;&gt;"",1,0)+IF(EC2507&lt;&gt;"",1,0)+IF(ED2507&lt;&gt;"",1,0)+IF(EG2507&lt;&gt;"",1,0)+IF(EH2507&lt;&gt;"",1,0)</f>
        <v/>
      </c>
      <c r="AZ2507">
        <f>IF(EH2507&lt;&gt;"",1,0)</f>
        <v/>
      </c>
      <c r="BB2507" t="inlineStr">
        <is>
          <t>WARREN-WARD 4</t>
        </is>
      </c>
    </row>
    <row r="2508">
      <c r="A2508" t="inlineStr">
        <is>
          <t>OH0015718336</t>
        </is>
      </c>
      <c r="B2508" t="n">
        <v>78</v>
      </c>
      <c r="C2508" t="n">
        <v>196405</v>
      </c>
      <c r="D2508" t="inlineStr">
        <is>
          <t>BAILEY</t>
        </is>
      </c>
      <c r="E2508" t="inlineStr">
        <is>
          <t>GEORGE</t>
        </is>
      </c>
      <c r="F2508">
        <f>CONCATENATE(D2508," ",LEFT(H2508,4),"T=",AU2508,"D=",AV2508,"R=",AW2508,"M=",AX2508,"L=",AY2508,"B=",AZ2508)</f>
        <v/>
      </c>
      <c r="G2508" t="inlineStr">
        <is>
          <t>E</t>
        </is>
      </c>
      <c r="I2508" t="inlineStr">
        <is>
          <t>1968-04-14</t>
        </is>
      </c>
      <c r="J2508" t="inlineStr">
        <is>
          <t>1987-03-24</t>
        </is>
      </c>
      <c r="K2508" t="inlineStr">
        <is>
          <t>ACTIVE</t>
        </is>
      </c>
      <c r="L2508" t="inlineStr">
        <is>
          <t>D</t>
        </is>
      </c>
      <c r="M2508" t="inlineStr">
        <is>
          <t>1541 HOMEWOOD AVE SE</t>
        </is>
      </c>
      <c r="N2508">
        <f>RIGHT(M2508,LEN(M2508)-FIND(" ",M2508))</f>
        <v/>
      </c>
      <c r="P2508" t="inlineStr">
        <is>
          <t>WARREN</t>
        </is>
      </c>
      <c r="Q2508" t="inlineStr">
        <is>
          <t>OH</t>
        </is>
      </c>
      <c r="R2508" t="n">
        <v>44484</v>
      </c>
      <c r="AD2508" t="inlineStr">
        <is>
          <t>TRUMBULL CAREER &amp; TECH CENTER</t>
        </is>
      </c>
      <c r="AE2508" t="inlineStr">
        <is>
          <t>WARREN CITY</t>
        </is>
      </c>
      <c r="AF2508" t="inlineStr">
        <is>
          <t>WARREN CITY SD</t>
        </is>
      </c>
      <c r="AH2508" t="n">
        <v>14</v>
      </c>
      <c r="AI2508" t="n">
        <v>11</v>
      </c>
      <c r="AN2508" t="inlineStr">
        <is>
          <t>WARREN</t>
        </is>
      </c>
      <c r="AO2508" t="inlineStr">
        <is>
          <t>WARREN CITY 4F</t>
        </is>
      </c>
      <c r="AP2508" t="inlineStr">
        <is>
          <t>78-P-ADN</t>
        </is>
      </c>
      <c r="AQ2508" t="n">
        <v>9</v>
      </c>
      <c r="AR2508" t="n">
        <v>64</v>
      </c>
      <c r="AS2508" t="n">
        <v>32</v>
      </c>
      <c r="AU2508">
        <f>COUNTA($BA$2508:$EH$2508)</f>
        <v/>
      </c>
      <c r="AV2508">
        <f>COUNTIF($BA$2508:$EH$2508,"D")</f>
        <v/>
      </c>
      <c r="AW2508">
        <f>COUNTIF($BA$2508:$EH$2508,"R")</f>
        <v/>
      </c>
      <c r="AX2508">
        <f>IF(BN2508="D",1,0)+IF(BO2508="D",1,0)+IF(BT2508="D",1,0)+IF(BU2508="D",1,0)+IF(BW2508="D",1,0)+IF(CC2508="D",1,0)+IF(CD2508="D",1,0)+IF(CE2508="D",1,0)+IF(CF2508="D",1,0)+IF(CL2508="D",1,0)+IF(CM2508="D",1,0)+IF(CQ2508="D",1,0)+IF(CR2508="D",1,0)+IF(CS2508="D",1,0)+IF(CW2508="D",1,0)+IF(CX2508="D",1,0)+IF(DD2508="D",1,0)+IF(DE2508="D",1,0)+IF(DJ2508="D",1,0)+IF(DK2508="D",1,0)+IF(DO2508="D",1,0)+IF(DP2508="D",1,0)+IF(DQ2508="D",1,0)+IF(DW2508="D",1,0)+IF(DZ2508="D",1,0)+IF(EH2508="D",1,0)</f>
        <v/>
      </c>
      <c r="AY2508">
        <f>IF(DJ2508&lt;&gt;"",1,0)+IF(DK2508&lt;&gt;"",1,0)+IF(DM2508&lt;&gt;"",1,0)+IF(DO2508&lt;&gt;"",1,0)+IF(DP2508&lt;&gt;"",1,0)+IF(DQ2508&lt;&gt;"",1,0)+IF(DS2508&lt;&gt;"",1,0)+IF(DT2508&lt;&gt;"",1,0)+IF(DV2508&lt;&gt;"",1,0)+IF(DW2508&lt;&gt;"",1,0)+IF(DX2508&lt;&gt;"",1,0)+IF(DY2508&lt;&gt;"",1,0)+IF(DZ2508&lt;&gt;"",1,0)+IF(EB2508&lt;&gt;"",1,0)+IF(EC2508&lt;&gt;"",1,0)+IF(ED2508&lt;&gt;"",1,0)+IF(EG2508&lt;&gt;"",1,0)+IF(EH2508&lt;&gt;"",1,0)</f>
        <v/>
      </c>
      <c r="AZ2508">
        <f>IF(EH2508&lt;&gt;"",1,0)</f>
        <v/>
      </c>
      <c r="BB2508" t="inlineStr">
        <is>
          <t>WARREN-WARD 4</t>
        </is>
      </c>
      <c r="BC2508" t="inlineStr">
        <is>
          <t>X</t>
        </is>
      </c>
      <c r="BD2508" t="inlineStr">
        <is>
          <t>X</t>
        </is>
      </c>
      <c r="BE2508" t="inlineStr">
        <is>
          <t>X</t>
        </is>
      </c>
      <c r="BF2508" t="inlineStr">
        <is>
          <t>X</t>
        </is>
      </c>
      <c r="BG2508" t="inlineStr">
        <is>
          <t>X</t>
        </is>
      </c>
      <c r="BH2508" t="inlineStr">
        <is>
          <t>X</t>
        </is>
      </c>
      <c r="BI2508" t="inlineStr">
        <is>
          <t>X</t>
        </is>
      </c>
      <c r="BJ2508" t="inlineStr">
        <is>
          <t>X</t>
        </is>
      </c>
      <c r="BK2508" t="inlineStr">
        <is>
          <t>X</t>
        </is>
      </c>
      <c r="BL2508" t="inlineStr">
        <is>
          <t>X</t>
        </is>
      </c>
      <c r="BP2508" t="inlineStr">
        <is>
          <t>X</t>
        </is>
      </c>
      <c r="BR2508" t="inlineStr">
        <is>
          <t>X</t>
        </is>
      </c>
      <c r="BS2508" t="inlineStr">
        <is>
          <t>X</t>
        </is>
      </c>
      <c r="BV2508" t="inlineStr">
        <is>
          <t>X</t>
        </is>
      </c>
      <c r="BY2508" t="inlineStr">
        <is>
          <t>D</t>
        </is>
      </c>
      <c r="CA2508" t="inlineStr">
        <is>
          <t>X</t>
        </is>
      </c>
      <c r="CG2508" t="inlineStr">
        <is>
          <t>X</t>
        </is>
      </c>
      <c r="CK2508" t="inlineStr">
        <is>
          <t>X</t>
        </is>
      </c>
      <c r="CL2508" t="inlineStr">
        <is>
          <t>D</t>
        </is>
      </c>
      <c r="CN2508" t="inlineStr">
        <is>
          <t>X</t>
        </is>
      </c>
      <c r="CO2508" t="inlineStr">
        <is>
          <t>D</t>
        </is>
      </c>
      <c r="CP2508" t="inlineStr">
        <is>
          <t>X</t>
        </is>
      </c>
      <c r="CT2508" t="inlineStr">
        <is>
          <t>X</t>
        </is>
      </c>
      <c r="CV2508" t="inlineStr">
        <is>
          <t>X</t>
        </is>
      </c>
      <c r="CW2508" t="inlineStr">
        <is>
          <t>D</t>
        </is>
      </c>
      <c r="CY2508" t="inlineStr">
        <is>
          <t>X</t>
        </is>
      </c>
      <c r="CZ2508" t="inlineStr">
        <is>
          <t>D</t>
        </is>
      </c>
      <c r="DC2508" t="inlineStr">
        <is>
          <t>X</t>
        </is>
      </c>
      <c r="DF2508" t="inlineStr">
        <is>
          <t>X</t>
        </is>
      </c>
      <c r="DG2508" t="inlineStr">
        <is>
          <t>D</t>
        </is>
      </c>
      <c r="DI2508" t="inlineStr">
        <is>
          <t>X</t>
        </is>
      </c>
      <c r="DJ2508" t="inlineStr">
        <is>
          <t>D</t>
        </is>
      </c>
      <c r="DL2508" t="inlineStr">
        <is>
          <t>X</t>
        </is>
      </c>
      <c r="DM2508" t="inlineStr">
        <is>
          <t>D</t>
        </is>
      </c>
      <c r="DN2508" t="inlineStr">
        <is>
          <t>X</t>
        </is>
      </c>
      <c r="DR2508" t="inlineStr">
        <is>
          <t>X</t>
        </is>
      </c>
      <c r="DU2508" t="inlineStr">
        <is>
          <t>X</t>
        </is>
      </c>
      <c r="DW2508" t="inlineStr">
        <is>
          <t>D</t>
        </is>
      </c>
      <c r="DX2508" t="inlineStr">
        <is>
          <t>X</t>
        </is>
      </c>
      <c r="EA2508" t="inlineStr">
        <is>
          <t>X</t>
        </is>
      </c>
      <c r="ED2508" t="inlineStr">
        <is>
          <t>D</t>
        </is>
      </c>
      <c r="EF2508" t="inlineStr">
        <is>
          <t>X</t>
        </is>
      </c>
    </row>
    <row r="2509">
      <c r="A2509" t="inlineStr">
        <is>
          <t>OH0015693502</t>
        </is>
      </c>
      <c r="B2509" t="n">
        <v>78</v>
      </c>
      <c r="C2509" t="n">
        <v>14374</v>
      </c>
      <c r="D2509" t="inlineStr">
        <is>
          <t>MCMILLION</t>
        </is>
      </c>
      <c r="E2509" t="inlineStr">
        <is>
          <t>MAXINE</t>
        </is>
      </c>
      <c r="F2509">
        <f>CONCATENATE(D2509," ",LEFT(H2509,4),"T=",AU2509,"D=",AV2509,"R=",AW2509,"M=",AX2509,"L=",AY2509,"B=",AZ2509)</f>
        <v/>
      </c>
      <c r="I2509" t="inlineStr">
        <is>
          <t>1938-03-25</t>
        </is>
      </c>
      <c r="J2509" t="inlineStr">
        <is>
          <t>1960-03-23</t>
        </is>
      </c>
      <c r="K2509" t="inlineStr">
        <is>
          <t>ACTIVE</t>
        </is>
      </c>
      <c r="L2509" t="inlineStr">
        <is>
          <t>D</t>
        </is>
      </c>
      <c r="M2509" t="inlineStr">
        <is>
          <t>1056 HOMEWOOD AVE SE</t>
        </is>
      </c>
      <c r="N2509">
        <f>RIGHT(M2509,LEN(M2509)-FIND(" ",M2509))</f>
        <v/>
      </c>
      <c r="P2509" t="inlineStr">
        <is>
          <t>WARREN</t>
        </is>
      </c>
      <c r="Q2509" t="inlineStr">
        <is>
          <t>OH</t>
        </is>
      </c>
      <c r="R2509" t="n">
        <v>44484</v>
      </c>
      <c r="AD2509" t="inlineStr">
        <is>
          <t>TRUMBULL CAREER &amp; TECH CENTER</t>
        </is>
      </c>
      <c r="AE2509" t="inlineStr">
        <is>
          <t>WARREN CITY</t>
        </is>
      </c>
      <c r="AF2509" t="inlineStr">
        <is>
          <t>WARREN CITY SD</t>
        </is>
      </c>
      <c r="AH2509" t="n">
        <v>14</v>
      </c>
      <c r="AI2509" t="n">
        <v>11</v>
      </c>
      <c r="AN2509" t="inlineStr">
        <is>
          <t>WARREN</t>
        </is>
      </c>
      <c r="AO2509" t="inlineStr">
        <is>
          <t>WARREN CITY 4F</t>
        </is>
      </c>
      <c r="AP2509" t="inlineStr">
        <is>
          <t>78-P-ADN</t>
        </is>
      </c>
      <c r="AQ2509" t="n">
        <v>9</v>
      </c>
      <c r="AR2509" t="n">
        <v>64</v>
      </c>
      <c r="AS2509" t="n">
        <v>32</v>
      </c>
      <c r="AU2509">
        <f>COUNTA($BA$2509:$EH$2509)</f>
        <v/>
      </c>
      <c r="AV2509">
        <f>COUNTIF($BA$2509:$EH$2509,"D")</f>
        <v/>
      </c>
      <c r="AW2509">
        <f>COUNTIF($BA$2509:$EH$2509,"R")</f>
        <v/>
      </c>
      <c r="AX2509">
        <f>IF(BN2509="D",1,0)+IF(BO2509="D",1,0)+IF(BT2509="D",1,0)+IF(BU2509="D",1,0)+IF(BW2509="D",1,0)+IF(CC2509="D",1,0)+IF(CD2509="D",1,0)+IF(CE2509="D",1,0)+IF(CF2509="D",1,0)+IF(CL2509="D",1,0)+IF(CM2509="D",1,0)+IF(CQ2509="D",1,0)+IF(CR2509="D",1,0)+IF(CS2509="D",1,0)+IF(CW2509="D",1,0)+IF(CX2509="D",1,0)+IF(DD2509="D",1,0)+IF(DE2509="D",1,0)+IF(DJ2509="D",1,0)+IF(DK2509="D",1,0)+IF(DO2509="D",1,0)+IF(DP2509="D",1,0)+IF(DQ2509="D",1,0)+IF(DW2509="D",1,0)+IF(DZ2509="D",1,0)+IF(EH2509="D",1,0)</f>
        <v/>
      </c>
      <c r="AY2509">
        <f>IF(DJ2509&lt;&gt;"",1,0)+IF(DK2509&lt;&gt;"",1,0)+IF(DM2509&lt;&gt;"",1,0)+IF(DO2509&lt;&gt;"",1,0)+IF(DP2509&lt;&gt;"",1,0)+IF(DQ2509&lt;&gt;"",1,0)+IF(DS2509&lt;&gt;"",1,0)+IF(DT2509&lt;&gt;"",1,0)+IF(DV2509&lt;&gt;"",1,0)+IF(DW2509&lt;&gt;"",1,0)+IF(DX2509&lt;&gt;"",1,0)+IF(DY2509&lt;&gt;"",1,0)+IF(DZ2509&lt;&gt;"",1,0)+IF(EB2509&lt;&gt;"",1,0)+IF(EC2509&lt;&gt;"",1,0)+IF(ED2509&lt;&gt;"",1,0)+IF(EG2509&lt;&gt;"",1,0)+IF(EH2509&lt;&gt;"",1,0)</f>
        <v/>
      </c>
      <c r="AZ2509">
        <f>IF(EH2509&lt;&gt;"",1,0)</f>
        <v/>
      </c>
      <c r="BB2509" t="inlineStr">
        <is>
          <t>WARREN-WARD 4</t>
        </is>
      </c>
      <c r="BC2509" t="inlineStr">
        <is>
          <t>X</t>
        </is>
      </c>
      <c r="BD2509" t="inlineStr">
        <is>
          <t>X</t>
        </is>
      </c>
      <c r="BE2509" t="inlineStr">
        <is>
          <t>X</t>
        </is>
      </c>
      <c r="BF2509" t="inlineStr">
        <is>
          <t>X</t>
        </is>
      </c>
      <c r="BH2509" t="inlineStr">
        <is>
          <t>X</t>
        </is>
      </c>
      <c r="BI2509" t="inlineStr">
        <is>
          <t>X</t>
        </is>
      </c>
      <c r="BJ2509" t="inlineStr">
        <is>
          <t>X</t>
        </is>
      </c>
      <c r="BK2509" t="inlineStr">
        <is>
          <t>X</t>
        </is>
      </c>
      <c r="BL2509" t="inlineStr">
        <is>
          <t>X</t>
        </is>
      </c>
      <c r="BP2509" t="inlineStr">
        <is>
          <t>X</t>
        </is>
      </c>
      <c r="BR2509" t="inlineStr">
        <is>
          <t>X</t>
        </is>
      </c>
      <c r="BS2509" t="inlineStr">
        <is>
          <t>X</t>
        </is>
      </c>
      <c r="BY2509" t="inlineStr">
        <is>
          <t>D</t>
        </is>
      </c>
      <c r="CA2509" t="inlineStr">
        <is>
          <t>X</t>
        </is>
      </c>
      <c r="CG2509" t="inlineStr">
        <is>
          <t>X</t>
        </is>
      </c>
      <c r="CH2509" t="inlineStr">
        <is>
          <t>D</t>
        </is>
      </c>
      <c r="CK2509" t="inlineStr">
        <is>
          <t>X</t>
        </is>
      </c>
      <c r="CL2509" t="inlineStr">
        <is>
          <t>D</t>
        </is>
      </c>
      <c r="CN2509" t="inlineStr">
        <is>
          <t>X</t>
        </is>
      </c>
      <c r="CO2509" t="inlineStr">
        <is>
          <t>D</t>
        </is>
      </c>
      <c r="CP2509" t="inlineStr">
        <is>
          <t>X</t>
        </is>
      </c>
      <c r="CU2509" t="inlineStr">
        <is>
          <t>D</t>
        </is>
      </c>
      <c r="CV2509" t="inlineStr">
        <is>
          <t>X</t>
        </is>
      </c>
      <c r="CW2509" t="inlineStr">
        <is>
          <t>D</t>
        </is>
      </c>
      <c r="CY2509" t="inlineStr">
        <is>
          <t>X</t>
        </is>
      </c>
      <c r="CZ2509" t="inlineStr">
        <is>
          <t>D</t>
        </is>
      </c>
      <c r="DC2509" t="inlineStr">
        <is>
          <t>X</t>
        </is>
      </c>
      <c r="DF2509" t="inlineStr">
        <is>
          <t>X</t>
        </is>
      </c>
      <c r="DG2509" t="inlineStr">
        <is>
          <t>D</t>
        </is>
      </c>
      <c r="DI2509" t="inlineStr">
        <is>
          <t>X</t>
        </is>
      </c>
      <c r="DJ2509" t="inlineStr">
        <is>
          <t>D</t>
        </is>
      </c>
      <c r="DL2509" t="inlineStr">
        <is>
          <t>X</t>
        </is>
      </c>
      <c r="DM2509" t="inlineStr">
        <is>
          <t>D</t>
        </is>
      </c>
      <c r="DS2509" t="inlineStr">
        <is>
          <t>D</t>
        </is>
      </c>
      <c r="DU2509" t="inlineStr">
        <is>
          <t>X</t>
        </is>
      </c>
      <c r="DX2509" t="inlineStr">
        <is>
          <t>X</t>
        </is>
      </c>
      <c r="EA2509" t="inlineStr">
        <is>
          <t>X</t>
        </is>
      </c>
      <c r="ED2509" t="inlineStr">
        <is>
          <t>D</t>
        </is>
      </c>
      <c r="EF2509" t="inlineStr">
        <is>
          <t>X</t>
        </is>
      </c>
      <c r="EH2509" t="inlineStr">
        <is>
          <t>D</t>
        </is>
      </c>
    </row>
    <row r="2510">
      <c r="A2510" t="inlineStr">
        <is>
          <t>OH0015800445</t>
        </is>
      </c>
      <c r="B2510" t="n">
        <v>78</v>
      </c>
      <c r="C2510" t="n">
        <v>305563</v>
      </c>
      <c r="D2510" t="inlineStr">
        <is>
          <t>ROBISON</t>
        </is>
      </c>
      <c r="E2510" t="inlineStr">
        <is>
          <t>BRIAN</t>
        </is>
      </c>
      <c r="F2510">
        <f>CONCATENATE(D2510," ",LEFT(H2510,4),"T=",AU2510,"D=",AV2510,"R=",AW2510,"M=",AX2510,"L=",AY2510,"B=",AZ2510)</f>
        <v/>
      </c>
      <c r="G2510" t="inlineStr">
        <is>
          <t>S</t>
        </is>
      </c>
      <c r="I2510" t="inlineStr">
        <is>
          <t>1972-01-18</t>
        </is>
      </c>
      <c r="J2510" t="inlineStr">
        <is>
          <t>2009-04-17</t>
        </is>
      </c>
      <c r="K2510" t="inlineStr">
        <is>
          <t>ACTIVE</t>
        </is>
      </c>
      <c r="M2510" t="inlineStr">
        <is>
          <t>1150 YOUNGSTOWN RD SE</t>
        </is>
      </c>
      <c r="N2510">
        <f>RIGHT(M2510,LEN(M2510)-FIND(" ",M2510))</f>
        <v/>
      </c>
      <c r="P2510" t="inlineStr">
        <is>
          <t>WARREN</t>
        </is>
      </c>
      <c r="Q2510" t="inlineStr">
        <is>
          <t>OH</t>
        </is>
      </c>
      <c r="R2510" t="n">
        <v>44484</v>
      </c>
      <c r="AD2510" t="inlineStr">
        <is>
          <t>TRUMBULL CAREER &amp; TECH CENTER</t>
        </is>
      </c>
      <c r="AE2510" t="inlineStr">
        <is>
          <t>WARREN CITY</t>
        </is>
      </c>
      <c r="AF2510" t="inlineStr">
        <is>
          <t>WARREN CITY SD</t>
        </is>
      </c>
      <c r="AH2510" t="n">
        <v>14</v>
      </c>
      <c r="AI2510" t="n">
        <v>11</v>
      </c>
      <c r="AN2510" t="inlineStr">
        <is>
          <t>WARREN</t>
        </is>
      </c>
      <c r="AO2510" t="inlineStr">
        <is>
          <t>WARREN CITY 4F</t>
        </is>
      </c>
      <c r="AP2510" t="inlineStr">
        <is>
          <t>78-P-ADN</t>
        </is>
      </c>
      <c r="AQ2510" t="n">
        <v>9</v>
      </c>
      <c r="AR2510" t="n">
        <v>64</v>
      </c>
      <c r="AS2510" t="n">
        <v>32</v>
      </c>
      <c r="AU2510">
        <f>COUNTA($BA$2510:$EH$2510)</f>
        <v/>
      </c>
      <c r="AV2510">
        <f>COUNTIF($BA$2510:$EH$2510,"D")</f>
        <v/>
      </c>
      <c r="AW2510">
        <f>COUNTIF($BA$2510:$EH$2510,"R")</f>
        <v/>
      </c>
      <c r="AX2510">
        <f>IF(BN2510="D",1,0)+IF(BO2510="D",1,0)+IF(BT2510="D",1,0)+IF(BU2510="D",1,0)+IF(BW2510="D",1,0)+IF(CC2510="D",1,0)+IF(CD2510="D",1,0)+IF(CE2510="D",1,0)+IF(CF2510="D",1,0)+IF(CL2510="D",1,0)+IF(CM2510="D",1,0)+IF(CQ2510="D",1,0)+IF(CR2510="D",1,0)+IF(CS2510="D",1,0)+IF(CW2510="D",1,0)+IF(CX2510="D",1,0)+IF(DD2510="D",1,0)+IF(DE2510="D",1,0)+IF(DJ2510="D",1,0)+IF(DK2510="D",1,0)+IF(DO2510="D",1,0)+IF(DP2510="D",1,0)+IF(DQ2510="D",1,0)+IF(DW2510="D",1,0)+IF(DZ2510="D",1,0)+IF(EH2510="D",1,0)</f>
        <v/>
      </c>
      <c r="AY2510">
        <f>IF(DJ2510&lt;&gt;"",1,0)+IF(DK2510&lt;&gt;"",1,0)+IF(DM2510&lt;&gt;"",1,0)+IF(DO2510&lt;&gt;"",1,0)+IF(DP2510&lt;&gt;"",1,0)+IF(DQ2510&lt;&gt;"",1,0)+IF(DS2510&lt;&gt;"",1,0)+IF(DT2510&lt;&gt;"",1,0)+IF(DV2510&lt;&gt;"",1,0)+IF(DW2510&lt;&gt;"",1,0)+IF(DX2510&lt;&gt;"",1,0)+IF(DY2510&lt;&gt;"",1,0)+IF(DZ2510&lt;&gt;"",1,0)+IF(EB2510&lt;&gt;"",1,0)+IF(EC2510&lt;&gt;"",1,0)+IF(ED2510&lt;&gt;"",1,0)+IF(EG2510&lt;&gt;"",1,0)+IF(EH2510&lt;&gt;"",1,0)</f>
        <v/>
      </c>
      <c r="AZ2510">
        <f>IF(EH2510&lt;&gt;"",1,0)</f>
        <v/>
      </c>
      <c r="BB2510" t="inlineStr">
        <is>
          <t>WARREN-WARD 4</t>
        </is>
      </c>
      <c r="CP2510" t="inlineStr">
        <is>
          <t>X</t>
        </is>
      </c>
      <c r="DC2510" t="inlineStr">
        <is>
          <t>X</t>
        </is>
      </c>
      <c r="DI2510" t="inlineStr">
        <is>
          <t>X</t>
        </is>
      </c>
      <c r="DN2510" t="inlineStr">
        <is>
          <t>X</t>
        </is>
      </c>
      <c r="DU2510" t="inlineStr">
        <is>
          <t>X</t>
        </is>
      </c>
      <c r="EF2510" t="inlineStr">
        <is>
          <t>X</t>
        </is>
      </c>
    </row>
    <row r="2511">
      <c r="A2511" t="inlineStr">
        <is>
          <t>OH0015693263</t>
        </is>
      </c>
      <c r="B2511" t="n">
        <v>78</v>
      </c>
      <c r="C2511" t="n">
        <v>14316</v>
      </c>
      <c r="D2511" t="inlineStr">
        <is>
          <t>HARRIS</t>
        </is>
      </c>
      <c r="E2511" t="inlineStr">
        <is>
          <t>MARY</t>
        </is>
      </c>
      <c r="F2511">
        <f>CONCATENATE(D2511," ",LEFT(H2511,4),"T=",AU2511,"D=",AV2511,"R=",AW2511,"M=",AX2511,"L=",AY2511,"B=",AZ2511)</f>
        <v/>
      </c>
      <c r="G2511" t="inlineStr">
        <is>
          <t>F</t>
        </is>
      </c>
      <c r="I2511" t="inlineStr">
        <is>
          <t>1938-07-22</t>
        </is>
      </c>
      <c r="J2511" t="inlineStr">
        <is>
          <t>1960-03-21</t>
        </is>
      </c>
      <c r="K2511" t="inlineStr">
        <is>
          <t>ACTIVE</t>
        </is>
      </c>
      <c r="L2511" t="inlineStr">
        <is>
          <t>D</t>
        </is>
      </c>
      <c r="M2511" t="inlineStr">
        <is>
          <t>1038 HOMEWOOD AVE SE</t>
        </is>
      </c>
      <c r="N2511">
        <f>RIGHT(M2511,LEN(M2511)-FIND(" ",M2511))</f>
        <v/>
      </c>
      <c r="P2511" t="inlineStr">
        <is>
          <t>WARREN</t>
        </is>
      </c>
      <c r="Q2511" t="inlineStr">
        <is>
          <t>OH</t>
        </is>
      </c>
      <c r="R2511" t="n">
        <v>44484</v>
      </c>
      <c r="AD2511" t="inlineStr">
        <is>
          <t>TRUMBULL CAREER &amp; TECH CENTER</t>
        </is>
      </c>
      <c r="AE2511" t="inlineStr">
        <is>
          <t>WARREN CITY</t>
        </is>
      </c>
      <c r="AF2511" t="inlineStr">
        <is>
          <t>WARREN CITY SD</t>
        </is>
      </c>
      <c r="AH2511" t="n">
        <v>14</v>
      </c>
      <c r="AI2511" t="n">
        <v>11</v>
      </c>
      <c r="AN2511" t="inlineStr">
        <is>
          <t>WARREN</t>
        </is>
      </c>
      <c r="AO2511" t="inlineStr">
        <is>
          <t>WARREN CITY 4F</t>
        </is>
      </c>
      <c r="AP2511" t="inlineStr">
        <is>
          <t>78-P-ADN</t>
        </is>
      </c>
      <c r="AQ2511" t="n">
        <v>9</v>
      </c>
      <c r="AR2511" t="n">
        <v>64</v>
      </c>
      <c r="AS2511" t="n">
        <v>32</v>
      </c>
      <c r="AU2511">
        <f>COUNTA($BA$2511:$EH$2511)</f>
        <v/>
      </c>
      <c r="AV2511">
        <f>COUNTIF($BA$2511:$EH$2511,"D")</f>
        <v/>
      </c>
      <c r="AW2511">
        <f>COUNTIF($BA$2511:$EH$2511,"R")</f>
        <v/>
      </c>
      <c r="AX2511">
        <f>IF(BN2511="D",1,0)+IF(BO2511="D",1,0)+IF(BT2511="D",1,0)+IF(BU2511="D",1,0)+IF(BW2511="D",1,0)+IF(CC2511="D",1,0)+IF(CD2511="D",1,0)+IF(CE2511="D",1,0)+IF(CF2511="D",1,0)+IF(CL2511="D",1,0)+IF(CM2511="D",1,0)+IF(CQ2511="D",1,0)+IF(CR2511="D",1,0)+IF(CS2511="D",1,0)+IF(CW2511="D",1,0)+IF(CX2511="D",1,0)+IF(DD2511="D",1,0)+IF(DE2511="D",1,0)+IF(DJ2511="D",1,0)+IF(DK2511="D",1,0)+IF(DO2511="D",1,0)+IF(DP2511="D",1,0)+IF(DQ2511="D",1,0)+IF(DW2511="D",1,0)+IF(DZ2511="D",1,0)+IF(EH2511="D",1,0)</f>
        <v/>
      </c>
      <c r="AY2511">
        <f>IF(DJ2511&lt;&gt;"",1,0)+IF(DK2511&lt;&gt;"",1,0)+IF(DM2511&lt;&gt;"",1,0)+IF(DO2511&lt;&gt;"",1,0)+IF(DP2511&lt;&gt;"",1,0)+IF(DQ2511&lt;&gt;"",1,0)+IF(DS2511&lt;&gt;"",1,0)+IF(DT2511&lt;&gt;"",1,0)+IF(DV2511&lt;&gt;"",1,0)+IF(DW2511&lt;&gt;"",1,0)+IF(DX2511&lt;&gt;"",1,0)+IF(DY2511&lt;&gt;"",1,0)+IF(DZ2511&lt;&gt;"",1,0)+IF(EB2511&lt;&gt;"",1,0)+IF(EC2511&lt;&gt;"",1,0)+IF(ED2511&lt;&gt;"",1,0)+IF(EG2511&lt;&gt;"",1,0)+IF(EH2511&lt;&gt;"",1,0)</f>
        <v/>
      </c>
      <c r="AZ2511">
        <f>IF(EH2511&lt;&gt;"",1,0)</f>
        <v/>
      </c>
      <c r="BB2511" t="inlineStr">
        <is>
          <t>WARREN-WARD 4</t>
        </is>
      </c>
      <c r="BC2511" t="inlineStr">
        <is>
          <t>X</t>
        </is>
      </c>
      <c r="BD2511" t="inlineStr">
        <is>
          <t>X</t>
        </is>
      </c>
      <c r="BH2511" t="inlineStr">
        <is>
          <t>X</t>
        </is>
      </c>
      <c r="BI2511" t="inlineStr">
        <is>
          <t>X</t>
        </is>
      </c>
      <c r="BK2511" t="inlineStr">
        <is>
          <t>X</t>
        </is>
      </c>
      <c r="BL2511" t="inlineStr">
        <is>
          <t>X</t>
        </is>
      </c>
      <c r="BP2511" t="inlineStr">
        <is>
          <t>X</t>
        </is>
      </c>
      <c r="BS2511" t="inlineStr">
        <is>
          <t>X</t>
        </is>
      </c>
      <c r="BY2511" t="inlineStr">
        <is>
          <t>D</t>
        </is>
      </c>
      <c r="CA2511" t="inlineStr">
        <is>
          <t>X</t>
        </is>
      </c>
      <c r="CG2511" t="inlineStr">
        <is>
          <t>X</t>
        </is>
      </c>
      <c r="CK2511" t="inlineStr">
        <is>
          <t>X</t>
        </is>
      </c>
      <c r="CL2511" t="inlineStr">
        <is>
          <t>D</t>
        </is>
      </c>
      <c r="CN2511" t="inlineStr">
        <is>
          <t>X</t>
        </is>
      </c>
      <c r="CP2511" t="inlineStr">
        <is>
          <t>X</t>
        </is>
      </c>
      <c r="CT2511" t="inlineStr">
        <is>
          <t>X</t>
        </is>
      </c>
      <c r="CV2511" t="inlineStr">
        <is>
          <t>X</t>
        </is>
      </c>
      <c r="CY2511" t="inlineStr">
        <is>
          <t>X</t>
        </is>
      </c>
      <c r="CZ2511" t="inlineStr">
        <is>
          <t>D</t>
        </is>
      </c>
      <c r="DC2511" t="inlineStr">
        <is>
          <t>X</t>
        </is>
      </c>
      <c r="DF2511" t="inlineStr">
        <is>
          <t>X</t>
        </is>
      </c>
      <c r="DG2511" t="inlineStr">
        <is>
          <t>D</t>
        </is>
      </c>
      <c r="DI2511" t="inlineStr">
        <is>
          <t>X</t>
        </is>
      </c>
      <c r="DJ2511" t="inlineStr">
        <is>
          <t>D</t>
        </is>
      </c>
      <c r="DM2511" t="inlineStr">
        <is>
          <t>D</t>
        </is>
      </c>
      <c r="DN2511" t="inlineStr">
        <is>
          <t>X</t>
        </is>
      </c>
      <c r="DR2511" t="inlineStr">
        <is>
          <t>X</t>
        </is>
      </c>
      <c r="DS2511" t="inlineStr">
        <is>
          <t>D</t>
        </is>
      </c>
      <c r="DT2511" t="inlineStr">
        <is>
          <t>D</t>
        </is>
      </c>
      <c r="DU2511" t="inlineStr">
        <is>
          <t>X</t>
        </is>
      </c>
      <c r="DW2511" t="inlineStr">
        <is>
          <t>D</t>
        </is>
      </c>
      <c r="DX2511" t="inlineStr">
        <is>
          <t>X</t>
        </is>
      </c>
      <c r="EA2511" t="inlineStr">
        <is>
          <t>X</t>
        </is>
      </c>
      <c r="ED2511" t="inlineStr">
        <is>
          <t>D</t>
        </is>
      </c>
      <c r="EF2511" t="inlineStr">
        <is>
          <t>X</t>
        </is>
      </c>
    </row>
    <row r="2512">
      <c r="A2512" t="inlineStr">
        <is>
          <t>OH0015707921</t>
        </is>
      </c>
      <c r="B2512" t="n">
        <v>78</v>
      </c>
      <c r="C2512" t="n">
        <v>172386</v>
      </c>
      <c r="D2512" t="inlineStr">
        <is>
          <t>BRYANT</t>
        </is>
      </c>
      <c r="E2512" t="inlineStr">
        <is>
          <t>BEVERLY</t>
        </is>
      </c>
      <c r="F2512">
        <f>CONCATENATE(D2512," ",LEFT(H2512,4),"T=",AU2512,"D=",AV2512,"R=",AW2512,"M=",AX2512,"L=",AY2512,"B=",AZ2512)</f>
        <v/>
      </c>
      <c r="G2512" t="inlineStr">
        <is>
          <t>ANN</t>
        </is>
      </c>
      <c r="I2512" t="inlineStr">
        <is>
          <t>1942-01-14</t>
        </is>
      </c>
      <c r="J2512" t="inlineStr">
        <is>
          <t>2020-10-01</t>
        </is>
      </c>
      <c r="K2512" t="inlineStr">
        <is>
          <t>ACTIVE</t>
        </is>
      </c>
      <c r="M2512" t="inlineStr">
        <is>
          <t>1561 HOMEWOOD AVE SE</t>
        </is>
      </c>
      <c r="N2512">
        <f>RIGHT(M2512,LEN(M2512)-FIND(" ",M2512))</f>
        <v/>
      </c>
      <c r="P2512" t="inlineStr">
        <is>
          <t>WARREN</t>
        </is>
      </c>
      <c r="Q2512" t="inlineStr">
        <is>
          <t>OH</t>
        </is>
      </c>
      <c r="R2512" t="n">
        <v>44484</v>
      </c>
      <c r="AD2512" t="inlineStr">
        <is>
          <t>TRUMBULL CAREER &amp; TECH CENTER</t>
        </is>
      </c>
      <c r="AE2512" t="inlineStr">
        <is>
          <t>WARREN CITY</t>
        </is>
      </c>
      <c r="AF2512" t="inlineStr">
        <is>
          <t>WARREN CITY SD</t>
        </is>
      </c>
      <c r="AH2512" t="n">
        <v>14</v>
      </c>
      <c r="AI2512" t="n">
        <v>11</v>
      </c>
      <c r="AN2512" t="inlineStr">
        <is>
          <t>WARREN</t>
        </is>
      </c>
      <c r="AO2512" t="inlineStr">
        <is>
          <t>WARREN CITY 4F</t>
        </is>
      </c>
      <c r="AP2512" t="inlineStr">
        <is>
          <t>78-P-ADN</t>
        </is>
      </c>
      <c r="AQ2512" t="n">
        <v>9</v>
      </c>
      <c r="AR2512" t="n">
        <v>64</v>
      </c>
      <c r="AS2512" t="n">
        <v>32</v>
      </c>
      <c r="AU2512">
        <f>COUNTA($BA$2512:$EH$2512)</f>
        <v/>
      </c>
      <c r="AV2512">
        <f>COUNTIF($BA$2512:$EH$2512,"D")</f>
        <v/>
      </c>
      <c r="AW2512">
        <f>COUNTIF($BA$2512:$EH$2512,"R")</f>
        <v/>
      </c>
      <c r="AX2512">
        <f>IF(BN2512="D",1,0)+IF(BO2512="D",1,0)+IF(BT2512="D",1,0)+IF(BU2512="D",1,0)+IF(BW2512="D",1,0)+IF(CC2512="D",1,0)+IF(CD2512="D",1,0)+IF(CE2512="D",1,0)+IF(CF2512="D",1,0)+IF(CL2512="D",1,0)+IF(CM2512="D",1,0)+IF(CQ2512="D",1,0)+IF(CR2512="D",1,0)+IF(CS2512="D",1,0)+IF(CW2512="D",1,0)+IF(CX2512="D",1,0)+IF(DD2512="D",1,0)+IF(DE2512="D",1,0)+IF(DJ2512="D",1,0)+IF(DK2512="D",1,0)+IF(DO2512="D",1,0)+IF(DP2512="D",1,0)+IF(DQ2512="D",1,0)+IF(DW2512="D",1,0)+IF(DZ2512="D",1,0)+IF(EH2512="D",1,0)</f>
        <v/>
      </c>
      <c r="AY2512">
        <f>IF(DJ2512&lt;&gt;"",1,0)+IF(DK2512&lt;&gt;"",1,0)+IF(DM2512&lt;&gt;"",1,0)+IF(DO2512&lt;&gt;"",1,0)+IF(DP2512&lt;&gt;"",1,0)+IF(DQ2512&lt;&gt;"",1,0)+IF(DS2512&lt;&gt;"",1,0)+IF(DT2512&lt;&gt;"",1,0)+IF(DV2512&lt;&gt;"",1,0)+IF(DW2512&lt;&gt;"",1,0)+IF(DX2512&lt;&gt;"",1,0)+IF(DY2512&lt;&gt;"",1,0)+IF(DZ2512&lt;&gt;"",1,0)+IF(EB2512&lt;&gt;"",1,0)+IF(EC2512&lt;&gt;"",1,0)+IF(ED2512&lt;&gt;"",1,0)+IF(EG2512&lt;&gt;"",1,0)+IF(EH2512&lt;&gt;"",1,0)</f>
        <v/>
      </c>
      <c r="AZ2512">
        <f>IF(EH2512&lt;&gt;"",1,0)</f>
        <v/>
      </c>
      <c r="BB2512" t="inlineStr">
        <is>
          <t>WARREN-WARD 4</t>
        </is>
      </c>
      <c r="BC2512" t="inlineStr">
        <is>
          <t>X</t>
        </is>
      </c>
      <c r="BD2512" t="inlineStr">
        <is>
          <t>X</t>
        </is>
      </c>
      <c r="BG2512" t="inlineStr">
        <is>
          <t>X</t>
        </is>
      </c>
      <c r="BH2512" t="inlineStr">
        <is>
          <t>X</t>
        </is>
      </c>
      <c r="BI2512" t="inlineStr">
        <is>
          <t>X</t>
        </is>
      </c>
      <c r="BJ2512" t="inlineStr">
        <is>
          <t>X</t>
        </is>
      </c>
      <c r="BK2512" t="inlineStr">
        <is>
          <t>X</t>
        </is>
      </c>
      <c r="BL2512" t="inlineStr">
        <is>
          <t>X</t>
        </is>
      </c>
      <c r="BP2512" t="inlineStr">
        <is>
          <t>X</t>
        </is>
      </c>
      <c r="BR2512" t="inlineStr">
        <is>
          <t>X</t>
        </is>
      </c>
      <c r="BS2512" t="inlineStr">
        <is>
          <t>X</t>
        </is>
      </c>
      <c r="BV2512" t="inlineStr">
        <is>
          <t>X</t>
        </is>
      </c>
      <c r="BY2512" t="inlineStr">
        <is>
          <t>D</t>
        </is>
      </c>
      <c r="CA2512" t="inlineStr">
        <is>
          <t>X</t>
        </is>
      </c>
      <c r="CG2512" t="inlineStr">
        <is>
          <t>X</t>
        </is>
      </c>
      <c r="CH2512" t="inlineStr">
        <is>
          <t>D</t>
        </is>
      </c>
      <c r="CK2512" t="inlineStr">
        <is>
          <t>X</t>
        </is>
      </c>
      <c r="CL2512" t="inlineStr">
        <is>
          <t>D</t>
        </is>
      </c>
      <c r="CN2512" t="inlineStr">
        <is>
          <t>X</t>
        </is>
      </c>
      <c r="CP2512" t="inlineStr">
        <is>
          <t>X</t>
        </is>
      </c>
      <c r="CQ2512" t="inlineStr">
        <is>
          <t>D</t>
        </is>
      </c>
      <c r="CV2512" t="inlineStr">
        <is>
          <t>X</t>
        </is>
      </c>
      <c r="CY2512" t="inlineStr">
        <is>
          <t>X</t>
        </is>
      </c>
      <c r="CZ2512" t="inlineStr">
        <is>
          <t>D</t>
        </is>
      </c>
      <c r="DC2512" t="inlineStr">
        <is>
          <t>X</t>
        </is>
      </c>
      <c r="DG2512" t="inlineStr">
        <is>
          <t>D</t>
        </is>
      </c>
      <c r="DI2512" t="inlineStr">
        <is>
          <t>X</t>
        </is>
      </c>
      <c r="DM2512" t="inlineStr">
        <is>
          <t>D</t>
        </is>
      </c>
      <c r="DN2512" t="inlineStr">
        <is>
          <t>X</t>
        </is>
      </c>
      <c r="EF2512" t="inlineStr">
        <is>
          <t>X</t>
        </is>
      </c>
    </row>
    <row r="2513">
      <c r="A2513" t="inlineStr">
        <is>
          <t>OH0015693845</t>
        </is>
      </c>
      <c r="B2513" t="n">
        <v>78</v>
      </c>
      <c r="C2513" t="n">
        <v>14454</v>
      </c>
      <c r="D2513" t="inlineStr">
        <is>
          <t>SPENCER</t>
        </is>
      </c>
      <c r="E2513" t="inlineStr">
        <is>
          <t>SHELLY</t>
        </is>
      </c>
      <c r="F2513">
        <f>CONCATENATE(D2513," ",LEFT(H2513,4),"T=",AU2513,"D=",AV2513,"R=",AW2513,"M=",AX2513,"L=",AY2513,"B=",AZ2513)</f>
        <v/>
      </c>
      <c r="G2513" t="inlineStr">
        <is>
          <t>A</t>
        </is>
      </c>
      <c r="I2513" t="inlineStr">
        <is>
          <t>1951-06-30</t>
        </is>
      </c>
      <c r="J2513" t="inlineStr">
        <is>
          <t>1971-09-17</t>
        </is>
      </c>
      <c r="K2513" t="inlineStr">
        <is>
          <t>ACTIVE</t>
        </is>
      </c>
      <c r="L2513" t="inlineStr">
        <is>
          <t>D</t>
        </is>
      </c>
      <c r="M2513" t="inlineStr">
        <is>
          <t>1020 HOMEWOOD AVE SE</t>
        </is>
      </c>
      <c r="N2513">
        <f>RIGHT(M2513,LEN(M2513)-FIND(" ",M2513))</f>
        <v/>
      </c>
      <c r="P2513" t="inlineStr">
        <is>
          <t>WARREN</t>
        </is>
      </c>
      <c r="Q2513" t="inlineStr">
        <is>
          <t>OH</t>
        </is>
      </c>
      <c r="R2513" t="n">
        <v>44484</v>
      </c>
      <c r="AD2513" t="inlineStr">
        <is>
          <t>TRUMBULL CAREER &amp; TECH CENTER</t>
        </is>
      </c>
      <c r="AE2513" t="inlineStr">
        <is>
          <t>WARREN CITY</t>
        </is>
      </c>
      <c r="AF2513" t="inlineStr">
        <is>
          <t>WARREN CITY SD</t>
        </is>
      </c>
      <c r="AH2513" t="n">
        <v>14</v>
      </c>
      <c r="AI2513" t="n">
        <v>11</v>
      </c>
      <c r="AN2513" t="inlineStr">
        <is>
          <t>WARREN</t>
        </is>
      </c>
      <c r="AO2513" t="inlineStr">
        <is>
          <t>WARREN CITY 4F</t>
        </is>
      </c>
      <c r="AP2513" t="inlineStr">
        <is>
          <t>78-P-ADN</t>
        </is>
      </c>
      <c r="AQ2513" t="n">
        <v>9</v>
      </c>
      <c r="AR2513" t="n">
        <v>64</v>
      </c>
      <c r="AS2513" t="n">
        <v>32</v>
      </c>
      <c r="AU2513">
        <f>COUNTA($BA$2513:$EH$2513)</f>
        <v/>
      </c>
      <c r="AV2513">
        <f>COUNTIF($BA$2513:$EH$2513,"D")</f>
        <v/>
      </c>
      <c r="AW2513">
        <f>COUNTIF($BA$2513:$EH$2513,"R")</f>
        <v/>
      </c>
      <c r="AX2513">
        <f>IF(BN2513="D",1,0)+IF(BO2513="D",1,0)+IF(BT2513="D",1,0)+IF(BU2513="D",1,0)+IF(BW2513="D",1,0)+IF(CC2513="D",1,0)+IF(CD2513="D",1,0)+IF(CE2513="D",1,0)+IF(CF2513="D",1,0)+IF(CL2513="D",1,0)+IF(CM2513="D",1,0)+IF(CQ2513="D",1,0)+IF(CR2513="D",1,0)+IF(CS2513="D",1,0)+IF(CW2513="D",1,0)+IF(CX2513="D",1,0)+IF(DD2513="D",1,0)+IF(DE2513="D",1,0)+IF(DJ2513="D",1,0)+IF(DK2513="D",1,0)+IF(DO2513="D",1,0)+IF(DP2513="D",1,0)+IF(DQ2513="D",1,0)+IF(DW2513="D",1,0)+IF(DZ2513="D",1,0)+IF(EH2513="D",1,0)</f>
        <v/>
      </c>
      <c r="AY2513">
        <f>IF(DJ2513&lt;&gt;"",1,0)+IF(DK2513&lt;&gt;"",1,0)+IF(DM2513&lt;&gt;"",1,0)+IF(DO2513&lt;&gt;"",1,0)+IF(DP2513&lt;&gt;"",1,0)+IF(DQ2513&lt;&gt;"",1,0)+IF(DS2513&lt;&gt;"",1,0)+IF(DT2513&lt;&gt;"",1,0)+IF(DV2513&lt;&gt;"",1,0)+IF(DW2513&lt;&gt;"",1,0)+IF(DX2513&lt;&gt;"",1,0)+IF(DY2513&lt;&gt;"",1,0)+IF(DZ2513&lt;&gt;"",1,0)+IF(EB2513&lt;&gt;"",1,0)+IF(EC2513&lt;&gt;"",1,0)+IF(ED2513&lt;&gt;"",1,0)+IF(EG2513&lt;&gt;"",1,0)+IF(EH2513&lt;&gt;"",1,0)</f>
        <v/>
      </c>
      <c r="AZ2513">
        <f>IF(EH2513&lt;&gt;"",1,0)</f>
        <v/>
      </c>
      <c r="BB2513" t="inlineStr">
        <is>
          <t>WARREN-WARD 4</t>
        </is>
      </c>
      <c r="BC2513" t="inlineStr">
        <is>
          <t>X</t>
        </is>
      </c>
      <c r="BD2513" t="inlineStr">
        <is>
          <t>X</t>
        </is>
      </c>
      <c r="BE2513" t="inlineStr">
        <is>
          <t>X</t>
        </is>
      </c>
      <c r="BH2513" t="inlineStr">
        <is>
          <t>X</t>
        </is>
      </c>
      <c r="BI2513" t="inlineStr">
        <is>
          <t>X</t>
        </is>
      </c>
      <c r="BJ2513" t="inlineStr">
        <is>
          <t>X</t>
        </is>
      </c>
      <c r="BK2513" t="inlineStr">
        <is>
          <t>X</t>
        </is>
      </c>
      <c r="BL2513" t="inlineStr">
        <is>
          <t>X</t>
        </is>
      </c>
      <c r="BP2513" t="inlineStr">
        <is>
          <t>X</t>
        </is>
      </c>
      <c r="BR2513" t="inlineStr">
        <is>
          <t>X</t>
        </is>
      </c>
      <c r="BS2513" t="inlineStr">
        <is>
          <t>X</t>
        </is>
      </c>
      <c r="BY2513" t="inlineStr">
        <is>
          <t>D</t>
        </is>
      </c>
      <c r="CA2513" t="inlineStr">
        <is>
          <t>X</t>
        </is>
      </c>
      <c r="CG2513" t="inlineStr">
        <is>
          <t>X</t>
        </is>
      </c>
      <c r="CH2513" t="inlineStr">
        <is>
          <t>D</t>
        </is>
      </c>
      <c r="CK2513" t="inlineStr">
        <is>
          <t>X</t>
        </is>
      </c>
      <c r="CL2513" t="inlineStr">
        <is>
          <t>D</t>
        </is>
      </c>
      <c r="CN2513" t="inlineStr">
        <is>
          <t>X</t>
        </is>
      </c>
      <c r="CO2513" t="inlineStr">
        <is>
          <t>D</t>
        </is>
      </c>
      <c r="CP2513" t="inlineStr">
        <is>
          <t>X</t>
        </is>
      </c>
      <c r="CQ2513" t="inlineStr">
        <is>
          <t>D</t>
        </is>
      </c>
      <c r="CT2513" t="inlineStr">
        <is>
          <t>X</t>
        </is>
      </c>
      <c r="CV2513" t="inlineStr">
        <is>
          <t>X</t>
        </is>
      </c>
      <c r="CY2513" t="inlineStr">
        <is>
          <t>X</t>
        </is>
      </c>
      <c r="CZ2513" t="inlineStr">
        <is>
          <t>D</t>
        </is>
      </c>
      <c r="DC2513" t="inlineStr">
        <is>
          <t>X</t>
        </is>
      </c>
      <c r="DF2513" t="inlineStr">
        <is>
          <t>X</t>
        </is>
      </c>
      <c r="DG2513" t="inlineStr">
        <is>
          <t>D</t>
        </is>
      </c>
      <c r="DI2513" t="inlineStr">
        <is>
          <t>X</t>
        </is>
      </c>
      <c r="DJ2513" t="inlineStr">
        <is>
          <t>D</t>
        </is>
      </c>
      <c r="DL2513" t="inlineStr">
        <is>
          <t>X</t>
        </is>
      </c>
      <c r="DM2513" t="inlineStr">
        <is>
          <t>D</t>
        </is>
      </c>
      <c r="DN2513" t="inlineStr">
        <is>
          <t>X</t>
        </is>
      </c>
      <c r="DR2513" t="inlineStr">
        <is>
          <t>X</t>
        </is>
      </c>
      <c r="DS2513" t="inlineStr">
        <is>
          <t>D</t>
        </is>
      </c>
      <c r="DT2513" t="inlineStr">
        <is>
          <t>D</t>
        </is>
      </c>
      <c r="DU2513" t="inlineStr">
        <is>
          <t>X</t>
        </is>
      </c>
      <c r="DW2513" t="inlineStr">
        <is>
          <t>D</t>
        </is>
      </c>
      <c r="DX2513" t="inlineStr">
        <is>
          <t>X</t>
        </is>
      </c>
      <c r="EA2513" t="inlineStr">
        <is>
          <t>X</t>
        </is>
      </c>
      <c r="ED2513" t="inlineStr">
        <is>
          <t>D</t>
        </is>
      </c>
      <c r="EF2513" t="inlineStr">
        <is>
          <t>X</t>
        </is>
      </c>
      <c r="EH2513" t="inlineStr">
        <is>
          <t>D</t>
        </is>
      </c>
    </row>
    <row r="2514">
      <c r="A2514" t="inlineStr">
        <is>
          <t>OH0015703065</t>
        </is>
      </c>
      <c r="B2514" t="n">
        <v>78</v>
      </c>
      <c r="C2514" t="n">
        <v>163331</v>
      </c>
      <c r="D2514" t="inlineStr">
        <is>
          <t>CHRISTIAN</t>
        </is>
      </c>
      <c r="E2514" t="inlineStr">
        <is>
          <t>HARVEY</t>
        </is>
      </c>
      <c r="F2514">
        <f>CONCATENATE(D2514," ",LEFT(H2514,4),"T=",AU2514,"D=",AV2514,"R=",AW2514,"M=",AX2514,"L=",AY2514,"B=",AZ2514)</f>
        <v/>
      </c>
      <c r="G2514" t="inlineStr">
        <is>
          <t>R</t>
        </is>
      </c>
      <c r="I2514" t="inlineStr">
        <is>
          <t>1960-03-08</t>
        </is>
      </c>
      <c r="J2514" t="inlineStr">
        <is>
          <t>1984-02-22</t>
        </is>
      </c>
      <c r="K2514" t="inlineStr">
        <is>
          <t>ACTIVE</t>
        </is>
      </c>
      <c r="M2514" t="inlineStr">
        <is>
          <t>1533 HOMEWOOD AVE SE</t>
        </is>
      </c>
      <c r="N2514">
        <f>RIGHT(M2514,LEN(M2514)-FIND(" ",M2514))</f>
        <v/>
      </c>
      <c r="P2514" t="inlineStr">
        <is>
          <t>WARREN</t>
        </is>
      </c>
      <c r="Q2514" t="inlineStr">
        <is>
          <t>OH</t>
        </is>
      </c>
      <c r="R2514" t="n">
        <v>44484</v>
      </c>
      <c r="AD2514" t="inlineStr">
        <is>
          <t>TRUMBULL CAREER &amp; TECH CENTER</t>
        </is>
      </c>
      <c r="AE2514" t="inlineStr">
        <is>
          <t>WARREN CITY</t>
        </is>
      </c>
      <c r="AF2514" t="inlineStr">
        <is>
          <t>WARREN CITY SD</t>
        </is>
      </c>
      <c r="AH2514" t="n">
        <v>14</v>
      </c>
      <c r="AI2514" t="n">
        <v>11</v>
      </c>
      <c r="AN2514" t="inlineStr">
        <is>
          <t>WARREN</t>
        </is>
      </c>
      <c r="AO2514" t="inlineStr">
        <is>
          <t>WARREN CITY 4F</t>
        </is>
      </c>
      <c r="AP2514" t="inlineStr">
        <is>
          <t>78-P-ADN</t>
        </is>
      </c>
      <c r="AQ2514" t="n">
        <v>9</v>
      </c>
      <c r="AR2514" t="n">
        <v>64</v>
      </c>
      <c r="AS2514" t="n">
        <v>32</v>
      </c>
      <c r="AU2514">
        <f>COUNTA($BA$2514:$EH$2514)</f>
        <v/>
      </c>
      <c r="AV2514">
        <f>COUNTIF($BA$2514:$EH$2514,"D")</f>
        <v/>
      </c>
      <c r="AW2514">
        <f>COUNTIF($BA$2514:$EH$2514,"R")</f>
        <v/>
      </c>
      <c r="AX2514">
        <f>IF(BN2514="D",1,0)+IF(BO2514="D",1,0)+IF(BT2514="D",1,0)+IF(BU2514="D",1,0)+IF(BW2514="D",1,0)+IF(CC2514="D",1,0)+IF(CD2514="D",1,0)+IF(CE2514="D",1,0)+IF(CF2514="D",1,0)+IF(CL2514="D",1,0)+IF(CM2514="D",1,0)+IF(CQ2514="D",1,0)+IF(CR2514="D",1,0)+IF(CS2514="D",1,0)+IF(CW2514="D",1,0)+IF(CX2514="D",1,0)+IF(DD2514="D",1,0)+IF(DE2514="D",1,0)+IF(DJ2514="D",1,0)+IF(DK2514="D",1,0)+IF(DO2514="D",1,0)+IF(DP2514="D",1,0)+IF(DQ2514="D",1,0)+IF(DW2514="D",1,0)+IF(DZ2514="D",1,0)+IF(EH2514="D",1,0)</f>
        <v/>
      </c>
      <c r="AY2514">
        <f>IF(DJ2514&lt;&gt;"",1,0)+IF(DK2514&lt;&gt;"",1,0)+IF(DM2514&lt;&gt;"",1,0)+IF(DO2514&lt;&gt;"",1,0)+IF(DP2514&lt;&gt;"",1,0)+IF(DQ2514&lt;&gt;"",1,0)+IF(DS2514&lt;&gt;"",1,0)+IF(DT2514&lt;&gt;"",1,0)+IF(DV2514&lt;&gt;"",1,0)+IF(DW2514&lt;&gt;"",1,0)+IF(DX2514&lt;&gt;"",1,0)+IF(DY2514&lt;&gt;"",1,0)+IF(DZ2514&lt;&gt;"",1,0)+IF(EB2514&lt;&gt;"",1,0)+IF(EC2514&lt;&gt;"",1,0)+IF(ED2514&lt;&gt;"",1,0)+IF(EG2514&lt;&gt;"",1,0)+IF(EH2514&lt;&gt;"",1,0)</f>
        <v/>
      </c>
      <c r="AZ2514">
        <f>IF(EH2514&lt;&gt;"",1,0)</f>
        <v/>
      </c>
      <c r="BB2514" t="inlineStr">
        <is>
          <t>WARREN-WARD 4</t>
        </is>
      </c>
      <c r="BD2514" t="inlineStr">
        <is>
          <t>X</t>
        </is>
      </c>
      <c r="BK2514" t="inlineStr">
        <is>
          <t>X</t>
        </is>
      </c>
      <c r="BL2514" t="inlineStr">
        <is>
          <t>X</t>
        </is>
      </c>
      <c r="BP2514" t="inlineStr">
        <is>
          <t>X</t>
        </is>
      </c>
      <c r="BR2514" t="inlineStr">
        <is>
          <t>X</t>
        </is>
      </c>
      <c r="BS2514" t="inlineStr">
        <is>
          <t>X</t>
        </is>
      </c>
      <c r="BY2514" t="inlineStr">
        <is>
          <t>D</t>
        </is>
      </c>
      <c r="CA2514" t="inlineStr">
        <is>
          <t>X</t>
        </is>
      </c>
      <c r="CK2514" t="inlineStr">
        <is>
          <t>X</t>
        </is>
      </c>
      <c r="CL2514" t="inlineStr">
        <is>
          <t>D</t>
        </is>
      </c>
      <c r="CN2514" t="inlineStr">
        <is>
          <t>X</t>
        </is>
      </c>
      <c r="CP2514" t="inlineStr">
        <is>
          <t>X</t>
        </is>
      </c>
      <c r="CU2514" t="inlineStr">
        <is>
          <t>D</t>
        </is>
      </c>
      <c r="CV2514" t="inlineStr">
        <is>
          <t>X</t>
        </is>
      </c>
      <c r="CY2514" t="inlineStr">
        <is>
          <t>X</t>
        </is>
      </c>
      <c r="CZ2514" t="inlineStr">
        <is>
          <t>D</t>
        </is>
      </c>
      <c r="DC2514" t="inlineStr">
        <is>
          <t>X</t>
        </is>
      </c>
      <c r="DI2514" t="inlineStr">
        <is>
          <t>X</t>
        </is>
      </c>
      <c r="DJ2514" t="inlineStr">
        <is>
          <t>D</t>
        </is>
      </c>
      <c r="DL2514" t="inlineStr">
        <is>
          <t>X</t>
        </is>
      </c>
      <c r="DM2514" t="inlineStr">
        <is>
          <t>D</t>
        </is>
      </c>
      <c r="DN2514" t="inlineStr">
        <is>
          <t>X</t>
        </is>
      </c>
      <c r="DU2514" t="inlineStr">
        <is>
          <t>X</t>
        </is>
      </c>
      <c r="EF2514" t="inlineStr">
        <is>
          <t>X</t>
        </is>
      </c>
    </row>
    <row r="2515">
      <c r="A2515" t="inlineStr">
        <is>
          <t>OH0015696444</t>
        </is>
      </c>
      <c r="B2515" t="n">
        <v>78</v>
      </c>
      <c r="C2515" t="n">
        <v>151239</v>
      </c>
      <c r="D2515" t="inlineStr">
        <is>
          <t>MURRAY</t>
        </is>
      </c>
      <c r="E2515" t="inlineStr">
        <is>
          <t>CLARA</t>
        </is>
      </c>
      <c r="F2515">
        <f>CONCATENATE(D2515," ",LEFT(H2515,4),"T=",AU2515,"D=",AV2515,"R=",AW2515,"M=",AX2515,"L=",AY2515,"B=",AZ2515)</f>
        <v/>
      </c>
      <c r="I2515" t="inlineStr">
        <is>
          <t>1939-11-06</t>
        </is>
      </c>
      <c r="J2515" t="inlineStr">
        <is>
          <t>1982-10-04</t>
        </is>
      </c>
      <c r="K2515" t="inlineStr">
        <is>
          <t>ACTIVE</t>
        </is>
      </c>
      <c r="L2515" t="inlineStr">
        <is>
          <t>D</t>
        </is>
      </c>
      <c r="M2515" t="inlineStr">
        <is>
          <t>1046 HOMEWOOD AVE SE</t>
        </is>
      </c>
      <c r="N2515">
        <f>RIGHT(M2515,LEN(M2515)-FIND(" ",M2515))</f>
        <v/>
      </c>
      <c r="P2515" t="inlineStr">
        <is>
          <t>WARREN</t>
        </is>
      </c>
      <c r="Q2515" t="inlineStr">
        <is>
          <t>OH</t>
        </is>
      </c>
      <c r="R2515" t="n">
        <v>44484</v>
      </c>
      <c r="AD2515" t="inlineStr">
        <is>
          <t>TRUMBULL CAREER &amp; TECH CENTER</t>
        </is>
      </c>
      <c r="AE2515" t="inlineStr">
        <is>
          <t>WARREN CITY</t>
        </is>
      </c>
      <c r="AF2515" t="inlineStr">
        <is>
          <t>WARREN CITY SD</t>
        </is>
      </c>
      <c r="AH2515" t="n">
        <v>14</v>
      </c>
      <c r="AI2515" t="n">
        <v>11</v>
      </c>
      <c r="AN2515" t="inlineStr">
        <is>
          <t>WARREN</t>
        </is>
      </c>
      <c r="AO2515" t="inlineStr">
        <is>
          <t>WARREN CITY 4F</t>
        </is>
      </c>
      <c r="AP2515" t="inlineStr">
        <is>
          <t>78-P-ADN</t>
        </is>
      </c>
      <c r="AQ2515" t="n">
        <v>9</v>
      </c>
      <c r="AR2515" t="n">
        <v>64</v>
      </c>
      <c r="AS2515" t="n">
        <v>32</v>
      </c>
      <c r="AU2515">
        <f>COUNTA($BA$2515:$EH$2515)</f>
        <v/>
      </c>
      <c r="AV2515">
        <f>COUNTIF($BA$2515:$EH$2515,"D")</f>
        <v/>
      </c>
      <c r="AW2515">
        <f>COUNTIF($BA$2515:$EH$2515,"R")</f>
        <v/>
      </c>
      <c r="AX2515">
        <f>IF(BN2515="D",1,0)+IF(BO2515="D",1,0)+IF(BT2515="D",1,0)+IF(BU2515="D",1,0)+IF(BW2515="D",1,0)+IF(CC2515="D",1,0)+IF(CD2515="D",1,0)+IF(CE2515="D",1,0)+IF(CF2515="D",1,0)+IF(CL2515="D",1,0)+IF(CM2515="D",1,0)+IF(CQ2515="D",1,0)+IF(CR2515="D",1,0)+IF(CS2515="D",1,0)+IF(CW2515="D",1,0)+IF(CX2515="D",1,0)+IF(DD2515="D",1,0)+IF(DE2515="D",1,0)+IF(DJ2515="D",1,0)+IF(DK2515="D",1,0)+IF(DO2515="D",1,0)+IF(DP2515="D",1,0)+IF(DQ2515="D",1,0)+IF(DW2515="D",1,0)+IF(DZ2515="D",1,0)+IF(EH2515="D",1,0)</f>
        <v/>
      </c>
      <c r="AY2515">
        <f>IF(DJ2515&lt;&gt;"",1,0)+IF(DK2515&lt;&gt;"",1,0)+IF(DM2515&lt;&gt;"",1,0)+IF(DO2515&lt;&gt;"",1,0)+IF(DP2515&lt;&gt;"",1,0)+IF(DQ2515&lt;&gt;"",1,0)+IF(DS2515&lt;&gt;"",1,0)+IF(DT2515&lt;&gt;"",1,0)+IF(DV2515&lt;&gt;"",1,0)+IF(DW2515&lt;&gt;"",1,0)+IF(DX2515&lt;&gt;"",1,0)+IF(DY2515&lt;&gt;"",1,0)+IF(DZ2515&lt;&gt;"",1,0)+IF(EB2515&lt;&gt;"",1,0)+IF(EC2515&lt;&gt;"",1,0)+IF(ED2515&lt;&gt;"",1,0)+IF(EG2515&lt;&gt;"",1,0)+IF(EH2515&lt;&gt;"",1,0)</f>
        <v/>
      </c>
      <c r="AZ2515">
        <f>IF(EH2515&lt;&gt;"",1,0)</f>
        <v/>
      </c>
      <c r="BB2515" t="inlineStr">
        <is>
          <t>WARREN-WARD 4</t>
        </is>
      </c>
      <c r="BC2515" t="inlineStr">
        <is>
          <t>X</t>
        </is>
      </c>
      <c r="BD2515" t="inlineStr">
        <is>
          <t>X</t>
        </is>
      </c>
      <c r="BE2515" t="inlineStr">
        <is>
          <t>X</t>
        </is>
      </c>
      <c r="BF2515" t="inlineStr">
        <is>
          <t>X</t>
        </is>
      </c>
      <c r="BG2515" t="inlineStr">
        <is>
          <t>X</t>
        </is>
      </c>
      <c r="BH2515" t="inlineStr">
        <is>
          <t>X</t>
        </is>
      </c>
      <c r="BI2515" t="inlineStr">
        <is>
          <t>X</t>
        </is>
      </c>
      <c r="BJ2515" t="inlineStr">
        <is>
          <t>X</t>
        </is>
      </c>
      <c r="BL2515" t="inlineStr">
        <is>
          <t>X</t>
        </is>
      </c>
      <c r="BP2515" t="inlineStr">
        <is>
          <t>X</t>
        </is>
      </c>
      <c r="BR2515" t="inlineStr">
        <is>
          <t>X</t>
        </is>
      </c>
      <c r="BS2515" t="inlineStr">
        <is>
          <t>X</t>
        </is>
      </c>
      <c r="BV2515" t="inlineStr">
        <is>
          <t>X</t>
        </is>
      </c>
      <c r="BY2515" t="inlineStr">
        <is>
          <t>D</t>
        </is>
      </c>
      <c r="CA2515" t="inlineStr">
        <is>
          <t>X</t>
        </is>
      </c>
      <c r="CG2515" t="inlineStr">
        <is>
          <t>X</t>
        </is>
      </c>
      <c r="CH2515" t="inlineStr">
        <is>
          <t>D</t>
        </is>
      </c>
      <c r="CK2515" t="inlineStr">
        <is>
          <t>X</t>
        </is>
      </c>
      <c r="CL2515" t="inlineStr">
        <is>
          <t>D</t>
        </is>
      </c>
      <c r="CN2515" t="inlineStr">
        <is>
          <t>X</t>
        </is>
      </c>
      <c r="CO2515" t="inlineStr">
        <is>
          <t>D</t>
        </is>
      </c>
      <c r="CP2515" t="inlineStr">
        <is>
          <t>X</t>
        </is>
      </c>
      <c r="CQ2515" t="inlineStr">
        <is>
          <t>D</t>
        </is>
      </c>
      <c r="CT2515" t="inlineStr">
        <is>
          <t>X</t>
        </is>
      </c>
      <c r="CU2515" t="inlineStr">
        <is>
          <t>D</t>
        </is>
      </c>
      <c r="CV2515" t="inlineStr">
        <is>
          <t>X</t>
        </is>
      </c>
      <c r="CY2515" t="inlineStr">
        <is>
          <t>X</t>
        </is>
      </c>
      <c r="CZ2515" t="inlineStr">
        <is>
          <t>D</t>
        </is>
      </c>
      <c r="DC2515" t="inlineStr">
        <is>
          <t>X</t>
        </is>
      </c>
      <c r="DF2515" t="inlineStr">
        <is>
          <t>X</t>
        </is>
      </c>
      <c r="DG2515" t="inlineStr">
        <is>
          <t>D</t>
        </is>
      </c>
      <c r="DI2515" t="inlineStr">
        <is>
          <t>X</t>
        </is>
      </c>
      <c r="DJ2515" t="inlineStr">
        <is>
          <t>D</t>
        </is>
      </c>
      <c r="DL2515" t="inlineStr">
        <is>
          <t>X</t>
        </is>
      </c>
      <c r="DN2515" t="inlineStr">
        <is>
          <t>X</t>
        </is>
      </c>
      <c r="DR2515" t="inlineStr">
        <is>
          <t>X</t>
        </is>
      </c>
      <c r="DS2515" t="inlineStr">
        <is>
          <t>D</t>
        </is>
      </c>
      <c r="DU2515" t="inlineStr">
        <is>
          <t>X</t>
        </is>
      </c>
      <c r="DW2515" t="inlineStr">
        <is>
          <t>D</t>
        </is>
      </c>
      <c r="DX2515" t="inlineStr">
        <is>
          <t>X</t>
        </is>
      </c>
      <c r="EA2515" t="inlineStr">
        <is>
          <t>X</t>
        </is>
      </c>
      <c r="ED2515" t="inlineStr">
        <is>
          <t>D</t>
        </is>
      </c>
      <c r="EF2515" t="inlineStr">
        <is>
          <t>X</t>
        </is>
      </c>
      <c r="EH2515" t="inlineStr">
        <is>
          <t>D</t>
        </is>
      </c>
    </row>
    <row r="2516">
      <c r="A2516" t="inlineStr">
        <is>
          <t>OH0020938792</t>
        </is>
      </c>
      <c r="B2516" t="n">
        <v>78</v>
      </c>
      <c r="C2516" t="n">
        <v>372238</v>
      </c>
      <c r="D2516" t="inlineStr">
        <is>
          <t>FRANKLIN</t>
        </is>
      </c>
      <c r="E2516" t="inlineStr">
        <is>
          <t>DEEN</t>
        </is>
      </c>
      <c r="F2516">
        <f>CONCATENATE(D2516," ",LEFT(H2516,4),"T=",AU2516,"D=",AV2516,"R=",AW2516,"M=",AX2516,"L=",AY2516,"B=",AZ2516)</f>
        <v/>
      </c>
      <c r="G2516" t="inlineStr">
        <is>
          <t>A</t>
        </is>
      </c>
      <c r="I2516" t="inlineStr">
        <is>
          <t>1991-11-07</t>
        </is>
      </c>
      <c r="J2516" t="inlineStr">
        <is>
          <t>2010-10-29</t>
        </is>
      </c>
      <c r="K2516" t="inlineStr">
        <is>
          <t>ACTIVE</t>
        </is>
      </c>
      <c r="M2516" t="inlineStr">
        <is>
          <t>1064 HOMEWOOD AVE SE</t>
        </is>
      </c>
      <c r="N2516">
        <f>RIGHT(M2516,LEN(M2516)-FIND(" ",M2516))</f>
        <v/>
      </c>
      <c r="P2516" t="inlineStr">
        <is>
          <t>WARREN</t>
        </is>
      </c>
      <c r="Q2516" t="inlineStr">
        <is>
          <t>OH</t>
        </is>
      </c>
      <c r="R2516" t="n">
        <v>44484</v>
      </c>
      <c r="AD2516" t="inlineStr">
        <is>
          <t>TRUMBULL CAREER &amp; TECH CENTER</t>
        </is>
      </c>
      <c r="AE2516" t="inlineStr">
        <is>
          <t>WARREN CITY</t>
        </is>
      </c>
      <c r="AF2516" t="inlineStr">
        <is>
          <t>WARREN CITY SD</t>
        </is>
      </c>
      <c r="AH2516" t="n">
        <v>14</v>
      </c>
      <c r="AI2516" t="n">
        <v>11</v>
      </c>
      <c r="AN2516" t="inlineStr">
        <is>
          <t>WARREN</t>
        </is>
      </c>
      <c r="AO2516" t="inlineStr">
        <is>
          <t>WARREN CITY 4F</t>
        </is>
      </c>
      <c r="AP2516" t="inlineStr">
        <is>
          <t>78-P-ADN</t>
        </is>
      </c>
      <c r="AQ2516" t="n">
        <v>9</v>
      </c>
      <c r="AR2516" t="n">
        <v>64</v>
      </c>
      <c r="AS2516" t="n">
        <v>32</v>
      </c>
      <c r="AU2516">
        <f>COUNTA($BA$2516:$EH$2516)</f>
        <v/>
      </c>
      <c r="AV2516">
        <f>COUNTIF($BA$2516:$EH$2516,"D")</f>
        <v/>
      </c>
      <c r="AW2516">
        <f>COUNTIF($BA$2516:$EH$2516,"R")</f>
        <v/>
      </c>
      <c r="AX2516">
        <f>IF(BN2516="D",1,0)+IF(BO2516="D",1,0)+IF(BT2516="D",1,0)+IF(BU2516="D",1,0)+IF(BW2516="D",1,0)+IF(CC2516="D",1,0)+IF(CD2516="D",1,0)+IF(CE2516="D",1,0)+IF(CF2516="D",1,0)+IF(CL2516="D",1,0)+IF(CM2516="D",1,0)+IF(CQ2516="D",1,0)+IF(CR2516="D",1,0)+IF(CS2516="D",1,0)+IF(CW2516="D",1,0)+IF(CX2516="D",1,0)+IF(DD2516="D",1,0)+IF(DE2516="D",1,0)+IF(DJ2516="D",1,0)+IF(DK2516="D",1,0)+IF(DO2516="D",1,0)+IF(DP2516="D",1,0)+IF(DQ2516="D",1,0)+IF(DW2516="D",1,0)+IF(DZ2516="D",1,0)+IF(EH2516="D",1,0)</f>
        <v/>
      </c>
      <c r="AY2516">
        <f>IF(DJ2516&lt;&gt;"",1,0)+IF(DK2516&lt;&gt;"",1,0)+IF(DM2516&lt;&gt;"",1,0)+IF(DO2516&lt;&gt;"",1,0)+IF(DP2516&lt;&gt;"",1,0)+IF(DQ2516&lt;&gt;"",1,0)+IF(DS2516&lt;&gt;"",1,0)+IF(DT2516&lt;&gt;"",1,0)+IF(DV2516&lt;&gt;"",1,0)+IF(DW2516&lt;&gt;"",1,0)+IF(DX2516&lt;&gt;"",1,0)+IF(DY2516&lt;&gt;"",1,0)+IF(DZ2516&lt;&gt;"",1,0)+IF(EB2516&lt;&gt;"",1,0)+IF(EC2516&lt;&gt;"",1,0)+IF(ED2516&lt;&gt;"",1,0)+IF(EG2516&lt;&gt;"",1,0)+IF(EH2516&lt;&gt;"",1,0)</f>
        <v/>
      </c>
      <c r="AZ2516">
        <f>IF(EH2516&lt;&gt;"",1,0)</f>
        <v/>
      </c>
      <c r="BB2516" t="inlineStr">
        <is>
          <t>WARREN-WARD 4</t>
        </is>
      </c>
      <c r="CK2516" t="inlineStr">
        <is>
          <t>X</t>
        </is>
      </c>
      <c r="CL2516" t="inlineStr">
        <is>
          <t>D</t>
        </is>
      </c>
      <c r="CP2516" t="inlineStr">
        <is>
          <t>X</t>
        </is>
      </c>
      <c r="CU2516" t="inlineStr">
        <is>
          <t>D</t>
        </is>
      </c>
      <c r="DI2516" t="inlineStr">
        <is>
          <t>X</t>
        </is>
      </c>
      <c r="DL2516" t="inlineStr">
        <is>
          <t>X</t>
        </is>
      </c>
      <c r="DN2516" t="inlineStr">
        <is>
          <t>X</t>
        </is>
      </c>
      <c r="EF2516" t="inlineStr">
        <is>
          <t>X</t>
        </is>
      </c>
    </row>
    <row r="2517">
      <c r="A2517" t="inlineStr">
        <is>
          <t>OH0024566246</t>
        </is>
      </c>
      <c r="B2517" t="n">
        <v>78</v>
      </c>
      <c r="C2517" t="n">
        <v>430564</v>
      </c>
      <c r="D2517" t="inlineStr">
        <is>
          <t>HUGLEY</t>
        </is>
      </c>
      <c r="E2517" t="inlineStr">
        <is>
          <t>RICKI</t>
        </is>
      </c>
      <c r="F2517">
        <f>CONCATENATE(D2517," ",LEFT(H2517,4),"T=",AU2517,"D=",AV2517,"R=",AW2517,"M=",AX2517,"L=",AY2517,"B=",AZ2517)</f>
        <v/>
      </c>
      <c r="G2517" t="inlineStr">
        <is>
          <t>Q</t>
        </is>
      </c>
      <c r="I2517" t="inlineStr">
        <is>
          <t>2000-06-22</t>
        </is>
      </c>
      <c r="J2517" t="inlineStr">
        <is>
          <t>2020-10-06</t>
        </is>
      </c>
      <c r="K2517" t="inlineStr">
        <is>
          <t>ACTIVE</t>
        </is>
      </c>
      <c r="M2517" t="inlineStr">
        <is>
          <t>1866 DRAPER AVE SE</t>
        </is>
      </c>
      <c r="N2517">
        <f>RIGHT(M2517,LEN(M2517)-FIND(" ",M2517))</f>
        <v/>
      </c>
      <c r="P2517" t="inlineStr">
        <is>
          <t>WARREN</t>
        </is>
      </c>
      <c r="Q2517" t="inlineStr">
        <is>
          <t>OH</t>
        </is>
      </c>
      <c r="R2517" t="n">
        <v>44484</v>
      </c>
      <c r="AD2517" t="inlineStr">
        <is>
          <t>TRUMBULL CAREER &amp; TECH CENTER</t>
        </is>
      </c>
      <c r="AE2517" t="inlineStr">
        <is>
          <t>WARREN CITY</t>
        </is>
      </c>
      <c r="AF2517" t="inlineStr">
        <is>
          <t>WARREN CITY SD</t>
        </is>
      </c>
      <c r="AH2517" t="n">
        <v>14</v>
      </c>
      <c r="AI2517" t="n">
        <v>11</v>
      </c>
      <c r="AN2517" t="inlineStr">
        <is>
          <t>WARREN</t>
        </is>
      </c>
      <c r="AO2517" t="inlineStr">
        <is>
          <t>WARREN CITY 4F</t>
        </is>
      </c>
      <c r="AP2517" t="inlineStr">
        <is>
          <t>78-P-ADN</t>
        </is>
      </c>
      <c r="AQ2517" t="n">
        <v>9</v>
      </c>
      <c r="AR2517" t="n">
        <v>64</v>
      </c>
      <c r="AS2517" t="n">
        <v>32</v>
      </c>
      <c r="AU2517">
        <f>COUNTA($BA$2517:$EH$2517)</f>
        <v/>
      </c>
      <c r="AV2517">
        <f>COUNTIF($BA$2517:$EH$2517,"D")</f>
        <v/>
      </c>
      <c r="AW2517">
        <f>COUNTIF($BA$2517:$EH$2517,"R")</f>
        <v/>
      </c>
      <c r="AX2517">
        <f>IF(BN2517="D",1,0)+IF(BO2517="D",1,0)+IF(BT2517="D",1,0)+IF(BU2517="D",1,0)+IF(BW2517="D",1,0)+IF(CC2517="D",1,0)+IF(CD2517="D",1,0)+IF(CE2517="D",1,0)+IF(CF2517="D",1,0)+IF(CL2517="D",1,0)+IF(CM2517="D",1,0)+IF(CQ2517="D",1,0)+IF(CR2517="D",1,0)+IF(CS2517="D",1,0)+IF(CW2517="D",1,0)+IF(CX2517="D",1,0)+IF(DD2517="D",1,0)+IF(DE2517="D",1,0)+IF(DJ2517="D",1,0)+IF(DK2517="D",1,0)+IF(DO2517="D",1,0)+IF(DP2517="D",1,0)+IF(DQ2517="D",1,0)+IF(DW2517="D",1,0)+IF(DZ2517="D",1,0)+IF(EH2517="D",1,0)</f>
        <v/>
      </c>
      <c r="AY2517">
        <f>IF(DJ2517&lt;&gt;"",1,0)+IF(DK2517&lt;&gt;"",1,0)+IF(DM2517&lt;&gt;"",1,0)+IF(DO2517&lt;&gt;"",1,0)+IF(DP2517&lt;&gt;"",1,0)+IF(DQ2517&lt;&gt;"",1,0)+IF(DS2517&lt;&gt;"",1,0)+IF(DT2517&lt;&gt;"",1,0)+IF(DV2517&lt;&gt;"",1,0)+IF(DW2517&lt;&gt;"",1,0)+IF(DX2517&lt;&gt;"",1,0)+IF(DY2517&lt;&gt;"",1,0)+IF(DZ2517&lt;&gt;"",1,0)+IF(EB2517&lt;&gt;"",1,0)+IF(EC2517&lt;&gt;"",1,0)+IF(ED2517&lt;&gt;"",1,0)+IF(EG2517&lt;&gt;"",1,0)+IF(EH2517&lt;&gt;"",1,0)</f>
        <v/>
      </c>
      <c r="AZ2517">
        <f>IF(EH2517&lt;&gt;"",1,0)</f>
        <v/>
      </c>
      <c r="BB2517" t="inlineStr">
        <is>
          <t>WARREN-WARD 4</t>
        </is>
      </c>
      <c r="DI2517" t="inlineStr">
        <is>
          <t>X</t>
        </is>
      </c>
      <c r="DN2517" t="inlineStr">
        <is>
          <t>X</t>
        </is>
      </c>
      <c r="DU2517" t="inlineStr">
        <is>
          <t>X</t>
        </is>
      </c>
    </row>
    <row r="2518">
      <c r="A2518" t="inlineStr">
        <is>
          <t>OH0023638357</t>
        </is>
      </c>
      <c r="B2518" t="n">
        <v>78</v>
      </c>
      <c r="C2518" t="n">
        <v>397999</v>
      </c>
      <c r="D2518" t="inlineStr">
        <is>
          <t>CALHOUN</t>
        </is>
      </c>
      <c r="E2518" t="inlineStr">
        <is>
          <t>MARTEESHA</t>
        </is>
      </c>
      <c r="F2518">
        <f>CONCATENATE(D2518," ",LEFT(H2518,4),"T=",AU2518,"D=",AV2518,"R=",AW2518,"M=",AX2518,"L=",AY2518,"B=",AZ2518)</f>
        <v/>
      </c>
      <c r="G2518" t="inlineStr">
        <is>
          <t>L</t>
        </is>
      </c>
      <c r="I2518" t="inlineStr">
        <is>
          <t>1995-08-16</t>
        </is>
      </c>
      <c r="J2518" t="inlineStr">
        <is>
          <t>2017-02-21</t>
        </is>
      </c>
      <c r="K2518" t="inlineStr">
        <is>
          <t>CONFIRMATION</t>
        </is>
      </c>
      <c r="M2518" t="inlineStr">
        <is>
          <t>1572 ROMAN ST SE</t>
        </is>
      </c>
      <c r="N2518">
        <f>RIGHT(M2518,LEN(M2518)-FIND(" ",M2518))</f>
        <v/>
      </c>
      <c r="P2518" t="inlineStr">
        <is>
          <t>WARREN</t>
        </is>
      </c>
      <c r="Q2518" t="inlineStr">
        <is>
          <t>OH</t>
        </is>
      </c>
      <c r="R2518" t="n">
        <v>44484</v>
      </c>
      <c r="AD2518" t="inlineStr">
        <is>
          <t>TRUMBULL CAREER &amp; TECH CENTER</t>
        </is>
      </c>
      <c r="AE2518" t="inlineStr">
        <is>
          <t>WARREN CITY</t>
        </is>
      </c>
      <c r="AF2518" t="inlineStr">
        <is>
          <t>WARREN CITY SD</t>
        </is>
      </c>
      <c r="AH2518" t="n">
        <v>14</v>
      </c>
      <c r="AI2518" t="n">
        <v>11</v>
      </c>
      <c r="AN2518" t="inlineStr">
        <is>
          <t>WARREN</t>
        </is>
      </c>
      <c r="AO2518" t="inlineStr">
        <is>
          <t>WARREN CITY 4F</t>
        </is>
      </c>
      <c r="AP2518" t="inlineStr">
        <is>
          <t>78-P-ADN</t>
        </is>
      </c>
      <c r="AQ2518" t="n">
        <v>9</v>
      </c>
      <c r="AR2518" t="n">
        <v>64</v>
      </c>
      <c r="AS2518" t="n">
        <v>32</v>
      </c>
      <c r="AU2518">
        <f>COUNTA($BA$2518:$EH$2518)</f>
        <v/>
      </c>
      <c r="AV2518">
        <f>COUNTIF($BA$2518:$EH$2518,"D")</f>
        <v/>
      </c>
      <c r="AW2518">
        <f>COUNTIF($BA$2518:$EH$2518,"R")</f>
        <v/>
      </c>
      <c r="AX2518">
        <f>IF(BN2518="D",1,0)+IF(BO2518="D",1,0)+IF(BT2518="D",1,0)+IF(BU2518="D",1,0)+IF(BW2518="D",1,0)+IF(CC2518="D",1,0)+IF(CD2518="D",1,0)+IF(CE2518="D",1,0)+IF(CF2518="D",1,0)+IF(CL2518="D",1,0)+IF(CM2518="D",1,0)+IF(CQ2518="D",1,0)+IF(CR2518="D",1,0)+IF(CS2518="D",1,0)+IF(CW2518="D",1,0)+IF(CX2518="D",1,0)+IF(DD2518="D",1,0)+IF(DE2518="D",1,0)+IF(DJ2518="D",1,0)+IF(DK2518="D",1,0)+IF(DO2518="D",1,0)+IF(DP2518="D",1,0)+IF(DQ2518="D",1,0)+IF(DW2518="D",1,0)+IF(DZ2518="D",1,0)+IF(EH2518="D",1,0)</f>
        <v/>
      </c>
      <c r="AY2518">
        <f>IF(DJ2518&lt;&gt;"",1,0)+IF(DK2518&lt;&gt;"",1,0)+IF(DM2518&lt;&gt;"",1,0)+IF(DO2518&lt;&gt;"",1,0)+IF(DP2518&lt;&gt;"",1,0)+IF(DQ2518&lt;&gt;"",1,0)+IF(DS2518&lt;&gt;"",1,0)+IF(DT2518&lt;&gt;"",1,0)+IF(DV2518&lt;&gt;"",1,0)+IF(DW2518&lt;&gt;"",1,0)+IF(DX2518&lt;&gt;"",1,0)+IF(DY2518&lt;&gt;"",1,0)+IF(DZ2518&lt;&gt;"",1,0)+IF(EB2518&lt;&gt;"",1,0)+IF(EC2518&lt;&gt;"",1,0)+IF(ED2518&lt;&gt;"",1,0)+IF(EG2518&lt;&gt;"",1,0)+IF(EH2518&lt;&gt;"",1,0)</f>
        <v/>
      </c>
      <c r="AZ2518">
        <f>IF(EH2518&lt;&gt;"",1,0)</f>
        <v/>
      </c>
      <c r="BB2518" t="inlineStr">
        <is>
          <t>WARREN-WARD 4</t>
        </is>
      </c>
    </row>
    <row r="2519">
      <c r="A2519" t="inlineStr">
        <is>
          <t>OH0027019967</t>
        </is>
      </c>
      <c r="B2519" t="n">
        <v>78</v>
      </c>
      <c r="C2519" t="n">
        <v>475802</v>
      </c>
      <c r="D2519" t="inlineStr">
        <is>
          <t>TILLMAN</t>
        </is>
      </c>
      <c r="E2519" t="inlineStr">
        <is>
          <t>SAINTMARY</t>
        </is>
      </c>
      <c r="F2519">
        <f>CONCATENATE(D2519," ",LEFT(H2519,4),"T=",AU2519,"D=",AV2519,"R=",AW2519,"M=",AX2519,"L=",AY2519,"B=",AZ2519)</f>
        <v/>
      </c>
      <c r="G2519" t="inlineStr">
        <is>
          <t>FG</t>
        </is>
      </c>
      <c r="I2519" t="inlineStr">
        <is>
          <t>1966-11-14</t>
        </is>
      </c>
      <c r="J2519" t="inlineStr">
        <is>
          <t>2023-08-24</t>
        </is>
      </c>
      <c r="K2519" t="inlineStr">
        <is>
          <t>ACTIVE</t>
        </is>
      </c>
      <c r="M2519" t="inlineStr">
        <is>
          <t>2199 DRAPER AVE SE</t>
        </is>
      </c>
      <c r="N2519">
        <f>RIGHT(M2519,LEN(M2519)-FIND(" ",M2519))</f>
        <v/>
      </c>
      <c r="P2519" t="inlineStr">
        <is>
          <t>WARREN</t>
        </is>
      </c>
      <c r="Q2519" t="inlineStr">
        <is>
          <t>OH</t>
        </is>
      </c>
      <c r="R2519" t="n">
        <v>44484</v>
      </c>
      <c r="AD2519" t="inlineStr">
        <is>
          <t>TRUMBULL CAREER &amp; TECH CENTER</t>
        </is>
      </c>
      <c r="AE2519" t="inlineStr">
        <is>
          <t>WARREN CITY</t>
        </is>
      </c>
      <c r="AF2519" t="inlineStr">
        <is>
          <t>WARREN CITY SD</t>
        </is>
      </c>
      <c r="AH2519" t="n">
        <v>14</v>
      </c>
      <c r="AI2519" t="n">
        <v>11</v>
      </c>
      <c r="AN2519" t="inlineStr">
        <is>
          <t>WARREN</t>
        </is>
      </c>
      <c r="AO2519" t="inlineStr">
        <is>
          <t>WARREN CITY 4F</t>
        </is>
      </c>
      <c r="AP2519" t="inlineStr">
        <is>
          <t>78-P-ADN</t>
        </is>
      </c>
      <c r="AQ2519" t="n">
        <v>9</v>
      </c>
      <c r="AR2519" t="n">
        <v>64</v>
      </c>
      <c r="AS2519" t="n">
        <v>32</v>
      </c>
      <c r="AU2519">
        <f>COUNTA($BA$2519:$EH$2519)</f>
        <v/>
      </c>
      <c r="AV2519">
        <f>COUNTIF($BA$2519:$EH$2519,"D")</f>
        <v/>
      </c>
      <c r="AW2519">
        <f>COUNTIF($BA$2519:$EH$2519,"R")</f>
        <v/>
      </c>
      <c r="AX2519">
        <f>IF(BN2519="D",1,0)+IF(BO2519="D",1,0)+IF(BT2519="D",1,0)+IF(BU2519="D",1,0)+IF(BW2519="D",1,0)+IF(CC2519="D",1,0)+IF(CD2519="D",1,0)+IF(CE2519="D",1,0)+IF(CF2519="D",1,0)+IF(CL2519="D",1,0)+IF(CM2519="D",1,0)+IF(CQ2519="D",1,0)+IF(CR2519="D",1,0)+IF(CS2519="D",1,0)+IF(CW2519="D",1,0)+IF(CX2519="D",1,0)+IF(DD2519="D",1,0)+IF(DE2519="D",1,0)+IF(DJ2519="D",1,0)+IF(DK2519="D",1,0)+IF(DO2519="D",1,0)+IF(DP2519="D",1,0)+IF(DQ2519="D",1,0)+IF(DW2519="D",1,0)+IF(DZ2519="D",1,0)+IF(EH2519="D",1,0)</f>
        <v/>
      </c>
      <c r="AY2519">
        <f>IF(DJ2519&lt;&gt;"",1,0)+IF(DK2519&lt;&gt;"",1,0)+IF(DM2519&lt;&gt;"",1,0)+IF(DO2519&lt;&gt;"",1,0)+IF(DP2519&lt;&gt;"",1,0)+IF(DQ2519&lt;&gt;"",1,0)+IF(DS2519&lt;&gt;"",1,0)+IF(DT2519&lt;&gt;"",1,0)+IF(DV2519&lt;&gt;"",1,0)+IF(DW2519&lt;&gt;"",1,0)+IF(DX2519&lt;&gt;"",1,0)+IF(DY2519&lt;&gt;"",1,0)+IF(DZ2519&lt;&gt;"",1,0)+IF(EB2519&lt;&gt;"",1,0)+IF(EC2519&lt;&gt;"",1,0)+IF(ED2519&lt;&gt;"",1,0)+IF(EG2519&lt;&gt;"",1,0)+IF(EH2519&lt;&gt;"",1,0)</f>
        <v/>
      </c>
      <c r="AZ2519">
        <f>IF(EH2519&lt;&gt;"",1,0)</f>
        <v/>
      </c>
      <c r="BB2519" t="inlineStr">
        <is>
          <t>WARREN-WARD 4</t>
        </is>
      </c>
      <c r="BL2519" t="inlineStr">
        <is>
          <t>X</t>
        </is>
      </c>
      <c r="CA2519" t="inlineStr">
        <is>
          <t>X</t>
        </is>
      </c>
      <c r="CP2519" t="inlineStr">
        <is>
          <t>X</t>
        </is>
      </c>
      <c r="EF2519" t="inlineStr">
        <is>
          <t>X</t>
        </is>
      </c>
    </row>
    <row r="2520">
      <c r="A2520" t="inlineStr">
        <is>
          <t>OH0027495674</t>
        </is>
      </c>
      <c r="B2520" t="n">
        <v>78</v>
      </c>
      <c r="C2520" t="n">
        <v>487052</v>
      </c>
      <c r="D2520" t="inlineStr">
        <is>
          <t>WOODWORTH</t>
        </is>
      </c>
      <c r="E2520" t="inlineStr">
        <is>
          <t>BRANDON</t>
        </is>
      </c>
      <c r="F2520">
        <f>CONCATENATE(D2520," ",LEFT(H2520,4),"T=",AU2520,"D=",AV2520,"R=",AW2520,"M=",AX2520,"L=",AY2520,"B=",AZ2520)</f>
        <v/>
      </c>
      <c r="I2520" t="inlineStr">
        <is>
          <t>2002-06-24</t>
        </is>
      </c>
      <c r="J2520" t="inlineStr">
        <is>
          <t>2024-07-31</t>
        </is>
      </c>
      <c r="K2520" t="inlineStr">
        <is>
          <t>ACTIVE</t>
        </is>
      </c>
      <c r="M2520" t="inlineStr">
        <is>
          <t>1586 ROMAN ST SE</t>
        </is>
      </c>
      <c r="N2520">
        <f>RIGHT(M2520,LEN(M2520)-FIND(" ",M2520))</f>
        <v/>
      </c>
      <c r="P2520" t="inlineStr">
        <is>
          <t>WARREN</t>
        </is>
      </c>
      <c r="Q2520" t="inlineStr">
        <is>
          <t>OH</t>
        </is>
      </c>
      <c r="R2520" t="n">
        <v>44484</v>
      </c>
      <c r="AD2520" t="inlineStr">
        <is>
          <t>TRUMBULL CAREER &amp; TECH CENTER</t>
        </is>
      </c>
      <c r="AE2520" t="inlineStr">
        <is>
          <t>WARREN CITY</t>
        </is>
      </c>
      <c r="AF2520" t="inlineStr">
        <is>
          <t>WARREN CITY SD</t>
        </is>
      </c>
      <c r="AH2520" t="n">
        <v>14</v>
      </c>
      <c r="AI2520" t="n">
        <v>11</v>
      </c>
      <c r="AN2520" t="inlineStr">
        <is>
          <t>WARREN</t>
        </is>
      </c>
      <c r="AO2520" t="inlineStr">
        <is>
          <t>WARREN CITY 4F</t>
        </is>
      </c>
      <c r="AP2520" t="inlineStr">
        <is>
          <t>78-P-ADN</t>
        </is>
      </c>
      <c r="AQ2520" t="n">
        <v>9</v>
      </c>
      <c r="AR2520" t="n">
        <v>64</v>
      </c>
      <c r="AS2520" t="n">
        <v>32</v>
      </c>
      <c r="AU2520">
        <f>COUNTA($BA$2520:$EH$2520)</f>
        <v/>
      </c>
      <c r="AV2520">
        <f>COUNTIF($BA$2520:$EH$2520,"D")</f>
        <v/>
      </c>
      <c r="AW2520">
        <f>COUNTIF($BA$2520:$EH$2520,"R")</f>
        <v/>
      </c>
      <c r="AX2520">
        <f>IF(BN2520="D",1,0)+IF(BO2520="D",1,0)+IF(BT2520="D",1,0)+IF(BU2520="D",1,0)+IF(BW2520="D",1,0)+IF(CC2520="D",1,0)+IF(CD2520="D",1,0)+IF(CE2520="D",1,0)+IF(CF2520="D",1,0)+IF(CL2520="D",1,0)+IF(CM2520="D",1,0)+IF(CQ2520="D",1,0)+IF(CR2520="D",1,0)+IF(CS2520="D",1,0)+IF(CW2520="D",1,0)+IF(CX2520="D",1,0)+IF(DD2520="D",1,0)+IF(DE2520="D",1,0)+IF(DJ2520="D",1,0)+IF(DK2520="D",1,0)+IF(DO2520="D",1,0)+IF(DP2520="D",1,0)+IF(DQ2520="D",1,0)+IF(DW2520="D",1,0)+IF(DZ2520="D",1,0)+IF(EH2520="D",1,0)</f>
        <v/>
      </c>
      <c r="AY2520">
        <f>IF(DJ2520&lt;&gt;"",1,0)+IF(DK2520&lt;&gt;"",1,0)+IF(DM2520&lt;&gt;"",1,0)+IF(DO2520&lt;&gt;"",1,0)+IF(DP2520&lt;&gt;"",1,0)+IF(DQ2520&lt;&gt;"",1,0)+IF(DS2520&lt;&gt;"",1,0)+IF(DT2520&lt;&gt;"",1,0)+IF(DV2520&lt;&gt;"",1,0)+IF(DW2520&lt;&gt;"",1,0)+IF(DX2520&lt;&gt;"",1,0)+IF(DY2520&lt;&gt;"",1,0)+IF(DZ2520&lt;&gt;"",1,0)+IF(EB2520&lt;&gt;"",1,0)+IF(EC2520&lt;&gt;"",1,0)+IF(ED2520&lt;&gt;"",1,0)+IF(EG2520&lt;&gt;"",1,0)+IF(EH2520&lt;&gt;"",1,0)</f>
        <v/>
      </c>
      <c r="AZ2520">
        <f>IF(EH2520&lt;&gt;"",1,0)</f>
        <v/>
      </c>
      <c r="BB2520" t="inlineStr">
        <is>
          <t>WARREN-WARD 4</t>
        </is>
      </c>
    </row>
    <row r="2521">
      <c r="A2521" t="inlineStr">
        <is>
          <t>OH0024885783</t>
        </is>
      </c>
      <c r="B2521" t="n">
        <v>78</v>
      </c>
      <c r="C2521" t="n">
        <v>436309</v>
      </c>
      <c r="D2521" t="inlineStr">
        <is>
          <t>ANNEMAN</t>
        </is>
      </c>
      <c r="E2521" t="inlineStr">
        <is>
          <t>DORMA</t>
        </is>
      </c>
      <c r="F2521">
        <f>CONCATENATE(D2521," ",LEFT(H2521,4),"T=",AU2521,"D=",AV2521,"R=",AW2521,"M=",AX2521,"L=",AY2521,"B=",AZ2521)</f>
        <v/>
      </c>
      <c r="G2521" t="inlineStr">
        <is>
          <t>M</t>
        </is>
      </c>
      <c r="I2521" t="inlineStr">
        <is>
          <t>1950-01-04</t>
        </is>
      </c>
      <c r="J2521" t="inlineStr">
        <is>
          <t>2025-01-03</t>
        </is>
      </c>
      <c r="K2521" t="inlineStr">
        <is>
          <t>ACTIVE</t>
        </is>
      </c>
      <c r="M2521" t="inlineStr">
        <is>
          <t>1025 HOMEWOOD AVE SE</t>
        </is>
      </c>
      <c r="N2521">
        <f>RIGHT(M2521,LEN(M2521)-FIND(" ",M2521))</f>
        <v/>
      </c>
      <c r="P2521" t="inlineStr">
        <is>
          <t>WARREN</t>
        </is>
      </c>
      <c r="Q2521" t="inlineStr">
        <is>
          <t>OH</t>
        </is>
      </c>
      <c r="R2521" t="n">
        <v>44484</v>
      </c>
      <c r="AD2521" t="inlineStr">
        <is>
          <t>TRUMBULL CAREER &amp; TECH CENTER</t>
        </is>
      </c>
      <c r="AE2521" t="inlineStr">
        <is>
          <t>WARREN CITY</t>
        </is>
      </c>
      <c r="AF2521" t="inlineStr">
        <is>
          <t>WARREN CITY SD</t>
        </is>
      </c>
      <c r="AH2521" t="n">
        <v>14</v>
      </c>
      <c r="AI2521" t="n">
        <v>11</v>
      </c>
      <c r="AN2521" t="inlineStr">
        <is>
          <t>WARREN</t>
        </is>
      </c>
      <c r="AO2521" t="inlineStr">
        <is>
          <t>WARREN CITY 4F</t>
        </is>
      </c>
      <c r="AP2521" t="inlineStr">
        <is>
          <t>78-P-ADN</t>
        </is>
      </c>
      <c r="AQ2521" t="n">
        <v>9</v>
      </c>
      <c r="AR2521" t="n">
        <v>64</v>
      </c>
      <c r="AS2521" t="n">
        <v>32</v>
      </c>
      <c r="AU2521">
        <f>COUNTA($BA$2521:$EH$2521)</f>
        <v/>
      </c>
      <c r="AV2521">
        <f>COUNTIF($BA$2521:$EH$2521,"D")</f>
        <v/>
      </c>
      <c r="AW2521">
        <f>COUNTIF($BA$2521:$EH$2521,"R")</f>
        <v/>
      </c>
      <c r="AX2521">
        <f>IF(BN2521="D",1,0)+IF(BO2521="D",1,0)+IF(BT2521="D",1,0)+IF(BU2521="D",1,0)+IF(BW2521="D",1,0)+IF(CC2521="D",1,0)+IF(CD2521="D",1,0)+IF(CE2521="D",1,0)+IF(CF2521="D",1,0)+IF(CL2521="D",1,0)+IF(CM2521="D",1,0)+IF(CQ2521="D",1,0)+IF(CR2521="D",1,0)+IF(CS2521="D",1,0)+IF(CW2521="D",1,0)+IF(CX2521="D",1,0)+IF(DD2521="D",1,0)+IF(DE2521="D",1,0)+IF(DJ2521="D",1,0)+IF(DK2521="D",1,0)+IF(DO2521="D",1,0)+IF(DP2521="D",1,0)+IF(DQ2521="D",1,0)+IF(DW2521="D",1,0)+IF(DZ2521="D",1,0)+IF(EH2521="D",1,0)</f>
        <v/>
      </c>
      <c r="AY2521">
        <f>IF(DJ2521&lt;&gt;"",1,0)+IF(DK2521&lt;&gt;"",1,0)+IF(DM2521&lt;&gt;"",1,0)+IF(DO2521&lt;&gt;"",1,0)+IF(DP2521&lt;&gt;"",1,0)+IF(DQ2521&lt;&gt;"",1,0)+IF(DS2521&lt;&gt;"",1,0)+IF(DT2521&lt;&gt;"",1,0)+IF(DV2521&lt;&gt;"",1,0)+IF(DW2521&lt;&gt;"",1,0)+IF(DX2521&lt;&gt;"",1,0)+IF(DY2521&lt;&gt;"",1,0)+IF(DZ2521&lt;&gt;"",1,0)+IF(EB2521&lt;&gt;"",1,0)+IF(EC2521&lt;&gt;"",1,0)+IF(ED2521&lt;&gt;"",1,0)+IF(EG2521&lt;&gt;"",1,0)+IF(EH2521&lt;&gt;"",1,0)</f>
        <v/>
      </c>
      <c r="AZ2521">
        <f>IF(EH2521&lt;&gt;"",1,0)</f>
        <v/>
      </c>
      <c r="BB2521" t="inlineStr">
        <is>
          <t>WARREN-WARD 4</t>
        </is>
      </c>
      <c r="DN2521" t="inlineStr">
        <is>
          <t>X</t>
        </is>
      </c>
    </row>
    <row r="2522">
      <c r="A2522" t="inlineStr">
        <is>
          <t>OH0025092011</t>
        </is>
      </c>
      <c r="B2522" t="n">
        <v>78</v>
      </c>
      <c r="C2522" t="n">
        <v>439183</v>
      </c>
      <c r="D2522" t="inlineStr">
        <is>
          <t>KNOWLES</t>
        </is>
      </c>
      <c r="E2522" t="inlineStr">
        <is>
          <t>AMY</t>
        </is>
      </c>
      <c r="F2522">
        <f>CONCATENATE(D2522," ",LEFT(H2522,4),"T=",AU2522,"D=",AV2522,"R=",AW2522,"M=",AX2522,"L=",AY2522,"B=",AZ2522)</f>
        <v/>
      </c>
      <c r="G2522" t="inlineStr">
        <is>
          <t>LYNN</t>
        </is>
      </c>
      <c r="I2522" t="inlineStr">
        <is>
          <t>1971-10-04</t>
        </is>
      </c>
      <c r="J2522" t="inlineStr">
        <is>
          <t>2024-08-10</t>
        </is>
      </c>
      <c r="K2522" t="inlineStr">
        <is>
          <t>ACTIVE</t>
        </is>
      </c>
      <c r="M2522" t="inlineStr">
        <is>
          <t>1985 WICK ST SE</t>
        </is>
      </c>
      <c r="N2522">
        <f>RIGHT(M2522,LEN(M2522)-FIND(" ",M2522))</f>
        <v/>
      </c>
      <c r="P2522" t="inlineStr">
        <is>
          <t>WARREN</t>
        </is>
      </c>
      <c r="Q2522" t="inlineStr">
        <is>
          <t>OH</t>
        </is>
      </c>
      <c r="R2522" t="n">
        <v>44484</v>
      </c>
      <c r="AD2522" t="inlineStr">
        <is>
          <t>TRUMBULL CAREER &amp; TECH CENTER</t>
        </is>
      </c>
      <c r="AE2522" t="inlineStr">
        <is>
          <t>WARREN CITY</t>
        </is>
      </c>
      <c r="AF2522" t="inlineStr">
        <is>
          <t>WARREN CITY SD</t>
        </is>
      </c>
      <c r="AH2522" t="n">
        <v>14</v>
      </c>
      <c r="AI2522" t="n">
        <v>11</v>
      </c>
      <c r="AN2522" t="inlineStr">
        <is>
          <t>WARREN</t>
        </is>
      </c>
      <c r="AO2522" t="inlineStr">
        <is>
          <t>WARREN CITY 4F</t>
        </is>
      </c>
      <c r="AP2522" t="inlineStr">
        <is>
          <t>78-P-ADN</t>
        </is>
      </c>
      <c r="AQ2522" t="n">
        <v>9</v>
      </c>
      <c r="AR2522" t="n">
        <v>64</v>
      </c>
      <c r="AS2522" t="n">
        <v>32</v>
      </c>
      <c r="AU2522">
        <f>COUNTA($BA$2522:$EH$2522)</f>
        <v/>
      </c>
      <c r="AV2522">
        <f>COUNTIF($BA$2522:$EH$2522,"D")</f>
        <v/>
      </c>
      <c r="AW2522">
        <f>COUNTIF($BA$2522:$EH$2522,"R")</f>
        <v/>
      </c>
      <c r="AX2522">
        <f>IF(BN2522="D",1,0)+IF(BO2522="D",1,0)+IF(BT2522="D",1,0)+IF(BU2522="D",1,0)+IF(BW2522="D",1,0)+IF(CC2522="D",1,0)+IF(CD2522="D",1,0)+IF(CE2522="D",1,0)+IF(CF2522="D",1,0)+IF(CL2522="D",1,0)+IF(CM2522="D",1,0)+IF(CQ2522="D",1,0)+IF(CR2522="D",1,0)+IF(CS2522="D",1,0)+IF(CW2522="D",1,0)+IF(CX2522="D",1,0)+IF(DD2522="D",1,0)+IF(DE2522="D",1,0)+IF(DJ2522="D",1,0)+IF(DK2522="D",1,0)+IF(DO2522="D",1,0)+IF(DP2522="D",1,0)+IF(DQ2522="D",1,0)+IF(DW2522="D",1,0)+IF(DZ2522="D",1,0)+IF(EH2522="D",1,0)</f>
        <v/>
      </c>
      <c r="AY2522">
        <f>IF(DJ2522&lt;&gt;"",1,0)+IF(DK2522&lt;&gt;"",1,0)+IF(DM2522&lt;&gt;"",1,0)+IF(DO2522&lt;&gt;"",1,0)+IF(DP2522&lt;&gt;"",1,0)+IF(DQ2522&lt;&gt;"",1,0)+IF(DS2522&lt;&gt;"",1,0)+IF(DT2522&lt;&gt;"",1,0)+IF(DV2522&lt;&gt;"",1,0)+IF(DW2522&lt;&gt;"",1,0)+IF(DX2522&lt;&gt;"",1,0)+IF(DY2522&lt;&gt;"",1,0)+IF(DZ2522&lt;&gt;"",1,0)+IF(EB2522&lt;&gt;"",1,0)+IF(EC2522&lt;&gt;"",1,0)+IF(ED2522&lt;&gt;"",1,0)+IF(EG2522&lt;&gt;"",1,0)+IF(EH2522&lt;&gt;"",1,0)</f>
        <v/>
      </c>
      <c r="AZ2522">
        <f>IF(EH2522&lt;&gt;"",1,0)</f>
        <v/>
      </c>
      <c r="BB2522" t="inlineStr">
        <is>
          <t>WARREN-WARD 4</t>
        </is>
      </c>
      <c r="DN2522" t="inlineStr">
        <is>
          <t>X</t>
        </is>
      </c>
      <c r="EF2522" t="inlineStr">
        <is>
          <t>X</t>
        </is>
      </c>
    </row>
    <row r="2523">
      <c r="A2523" t="inlineStr">
        <is>
          <t>OH0026655478</t>
        </is>
      </c>
      <c r="B2523" t="n">
        <v>78</v>
      </c>
      <c r="C2523" t="n">
        <v>465609</v>
      </c>
      <c r="D2523" t="inlineStr">
        <is>
          <t>HUDSON</t>
        </is>
      </c>
      <c r="E2523" t="inlineStr">
        <is>
          <t>JADEN</t>
        </is>
      </c>
      <c r="F2523">
        <f>CONCATENATE(D2523," ",LEFT(H2523,4),"T=",AU2523,"D=",AV2523,"R=",AW2523,"M=",AX2523,"L=",AY2523,"B=",AZ2523)</f>
        <v/>
      </c>
      <c r="G2523" t="inlineStr">
        <is>
          <t>G</t>
        </is>
      </c>
      <c r="I2523" t="inlineStr">
        <is>
          <t>2004-08-04</t>
        </is>
      </c>
      <c r="J2523" t="inlineStr">
        <is>
          <t>2024-10-23</t>
        </is>
      </c>
      <c r="K2523" t="inlineStr">
        <is>
          <t>ACTIVE</t>
        </is>
      </c>
      <c r="M2523" t="inlineStr">
        <is>
          <t>2114 NILES RD SE</t>
        </is>
      </c>
      <c r="N2523">
        <f>RIGHT(M2523,LEN(M2523)-FIND(" ",M2523))</f>
        <v/>
      </c>
      <c r="P2523" t="inlineStr">
        <is>
          <t>WARREN</t>
        </is>
      </c>
      <c r="Q2523" t="inlineStr">
        <is>
          <t>OH</t>
        </is>
      </c>
      <c r="R2523" t="n">
        <v>44484</v>
      </c>
      <c r="AD2523" t="inlineStr">
        <is>
          <t>TRUMBULL CAREER &amp; TECH CENTER</t>
        </is>
      </c>
      <c r="AE2523" t="inlineStr">
        <is>
          <t>WARREN CITY</t>
        </is>
      </c>
      <c r="AF2523" t="inlineStr">
        <is>
          <t>WARREN CITY SD</t>
        </is>
      </c>
      <c r="AH2523" t="n">
        <v>14</v>
      </c>
      <c r="AI2523" t="n">
        <v>11</v>
      </c>
      <c r="AN2523" t="inlineStr">
        <is>
          <t>WARREN</t>
        </is>
      </c>
      <c r="AO2523" t="inlineStr">
        <is>
          <t>WARREN CITY 4F</t>
        </is>
      </c>
      <c r="AP2523" t="inlineStr">
        <is>
          <t>78-P-ADN</t>
        </is>
      </c>
      <c r="AQ2523" t="n">
        <v>9</v>
      </c>
      <c r="AR2523" t="n">
        <v>64</v>
      </c>
      <c r="AS2523" t="n">
        <v>32</v>
      </c>
      <c r="AU2523">
        <f>COUNTA($BA$2523:$EH$2523)</f>
        <v/>
      </c>
      <c r="AV2523">
        <f>COUNTIF($BA$2523:$EH$2523,"D")</f>
        <v/>
      </c>
      <c r="AW2523">
        <f>COUNTIF($BA$2523:$EH$2523,"R")</f>
        <v/>
      </c>
      <c r="AX2523">
        <f>IF(BN2523="D",1,0)+IF(BO2523="D",1,0)+IF(BT2523="D",1,0)+IF(BU2523="D",1,0)+IF(BW2523="D",1,0)+IF(CC2523="D",1,0)+IF(CD2523="D",1,0)+IF(CE2523="D",1,0)+IF(CF2523="D",1,0)+IF(CL2523="D",1,0)+IF(CM2523="D",1,0)+IF(CQ2523="D",1,0)+IF(CR2523="D",1,0)+IF(CS2523="D",1,0)+IF(CW2523="D",1,0)+IF(CX2523="D",1,0)+IF(DD2523="D",1,0)+IF(DE2523="D",1,0)+IF(DJ2523="D",1,0)+IF(DK2523="D",1,0)+IF(DO2523="D",1,0)+IF(DP2523="D",1,0)+IF(DQ2523="D",1,0)+IF(DW2523="D",1,0)+IF(DZ2523="D",1,0)+IF(EH2523="D",1,0)</f>
        <v/>
      </c>
      <c r="AY2523">
        <f>IF(DJ2523&lt;&gt;"",1,0)+IF(DK2523&lt;&gt;"",1,0)+IF(DM2523&lt;&gt;"",1,0)+IF(DO2523&lt;&gt;"",1,0)+IF(DP2523&lt;&gt;"",1,0)+IF(DQ2523&lt;&gt;"",1,0)+IF(DS2523&lt;&gt;"",1,0)+IF(DT2523&lt;&gt;"",1,0)+IF(DV2523&lt;&gt;"",1,0)+IF(DW2523&lt;&gt;"",1,0)+IF(DX2523&lt;&gt;"",1,0)+IF(DY2523&lt;&gt;"",1,0)+IF(DZ2523&lt;&gt;"",1,0)+IF(EB2523&lt;&gt;"",1,0)+IF(EC2523&lt;&gt;"",1,0)+IF(ED2523&lt;&gt;"",1,0)+IF(EG2523&lt;&gt;"",1,0)+IF(EH2523&lt;&gt;"",1,0)</f>
        <v/>
      </c>
      <c r="AZ2523">
        <f>IF(EH2523&lt;&gt;"",1,0)</f>
        <v/>
      </c>
      <c r="BB2523" t="inlineStr">
        <is>
          <t>WARREN-WARD 4</t>
        </is>
      </c>
    </row>
    <row r="2524">
      <c r="A2524" t="inlineStr">
        <is>
          <t>OH0024097301</t>
        </is>
      </c>
      <c r="B2524" t="n">
        <v>78</v>
      </c>
      <c r="C2524" t="n">
        <v>422146</v>
      </c>
      <c r="D2524" t="inlineStr">
        <is>
          <t>DUBOS</t>
        </is>
      </c>
      <c r="E2524" t="inlineStr">
        <is>
          <t>ANDREW</t>
        </is>
      </c>
      <c r="F2524">
        <f>CONCATENATE(D2524," ",LEFT(H2524,4),"T=",AU2524,"D=",AV2524,"R=",AW2524,"M=",AX2524,"L=",AY2524,"B=",AZ2524)</f>
        <v/>
      </c>
      <c r="G2524" t="inlineStr">
        <is>
          <t>J</t>
        </is>
      </c>
      <c r="I2524" t="inlineStr">
        <is>
          <t>1990-02-16</t>
        </is>
      </c>
      <c r="J2524" t="inlineStr">
        <is>
          <t>2024-09-22</t>
        </is>
      </c>
      <c r="K2524" t="inlineStr">
        <is>
          <t>ACTIVE</t>
        </is>
      </c>
      <c r="M2524" t="inlineStr">
        <is>
          <t>1110 YOUNGSTOWN RD SE</t>
        </is>
      </c>
      <c r="N2524">
        <f>RIGHT(M2524,LEN(M2524)-FIND(" ",M2524))</f>
        <v/>
      </c>
      <c r="P2524" t="inlineStr">
        <is>
          <t>WARREN</t>
        </is>
      </c>
      <c r="Q2524" t="inlineStr">
        <is>
          <t>OH</t>
        </is>
      </c>
      <c r="R2524" t="n">
        <v>44484</v>
      </c>
      <c r="AD2524" t="inlineStr">
        <is>
          <t>TRUMBULL CAREER &amp; TECH CENTER</t>
        </is>
      </c>
      <c r="AE2524" t="inlineStr">
        <is>
          <t>WARREN CITY</t>
        </is>
      </c>
      <c r="AF2524" t="inlineStr">
        <is>
          <t>WARREN CITY SD</t>
        </is>
      </c>
      <c r="AH2524" t="n">
        <v>14</v>
      </c>
      <c r="AI2524" t="n">
        <v>11</v>
      </c>
      <c r="AN2524" t="inlineStr">
        <is>
          <t>WARREN</t>
        </is>
      </c>
      <c r="AO2524" t="inlineStr">
        <is>
          <t>WARREN CITY 4F</t>
        </is>
      </c>
      <c r="AP2524" t="inlineStr">
        <is>
          <t>78-P-ADN</t>
        </is>
      </c>
      <c r="AQ2524" t="n">
        <v>9</v>
      </c>
      <c r="AR2524" t="n">
        <v>64</v>
      </c>
      <c r="AS2524" t="n">
        <v>32</v>
      </c>
      <c r="AU2524">
        <f>COUNTA($BA$2524:$EH$2524)</f>
        <v/>
      </c>
      <c r="AV2524">
        <f>COUNTIF($BA$2524:$EH$2524,"D")</f>
        <v/>
      </c>
      <c r="AW2524">
        <f>COUNTIF($BA$2524:$EH$2524,"R")</f>
        <v/>
      </c>
      <c r="AX2524">
        <f>IF(BN2524="D",1,0)+IF(BO2524="D",1,0)+IF(BT2524="D",1,0)+IF(BU2524="D",1,0)+IF(BW2524="D",1,0)+IF(CC2524="D",1,0)+IF(CD2524="D",1,0)+IF(CE2524="D",1,0)+IF(CF2524="D",1,0)+IF(CL2524="D",1,0)+IF(CM2524="D",1,0)+IF(CQ2524="D",1,0)+IF(CR2524="D",1,0)+IF(CS2524="D",1,0)+IF(CW2524="D",1,0)+IF(CX2524="D",1,0)+IF(DD2524="D",1,0)+IF(DE2524="D",1,0)+IF(DJ2524="D",1,0)+IF(DK2524="D",1,0)+IF(DO2524="D",1,0)+IF(DP2524="D",1,0)+IF(DQ2524="D",1,0)+IF(DW2524="D",1,0)+IF(DZ2524="D",1,0)+IF(EH2524="D",1,0)</f>
        <v/>
      </c>
      <c r="AY2524">
        <f>IF(DJ2524&lt;&gt;"",1,0)+IF(DK2524&lt;&gt;"",1,0)+IF(DM2524&lt;&gt;"",1,0)+IF(DO2524&lt;&gt;"",1,0)+IF(DP2524&lt;&gt;"",1,0)+IF(DQ2524&lt;&gt;"",1,0)+IF(DS2524&lt;&gt;"",1,0)+IF(DT2524&lt;&gt;"",1,0)+IF(DV2524&lt;&gt;"",1,0)+IF(DW2524&lt;&gt;"",1,0)+IF(DX2524&lt;&gt;"",1,0)+IF(DY2524&lt;&gt;"",1,0)+IF(DZ2524&lt;&gt;"",1,0)+IF(EB2524&lt;&gt;"",1,0)+IF(EC2524&lt;&gt;"",1,0)+IF(ED2524&lt;&gt;"",1,0)+IF(EG2524&lt;&gt;"",1,0)+IF(EH2524&lt;&gt;"",1,0)</f>
        <v/>
      </c>
      <c r="AZ2524">
        <f>IF(EH2524&lt;&gt;"",1,0)</f>
        <v/>
      </c>
      <c r="BB2524" t="inlineStr">
        <is>
          <t>WARREN-WARD 4</t>
        </is>
      </c>
      <c r="CA2524" t="inlineStr">
        <is>
          <t>X</t>
        </is>
      </c>
      <c r="DC2524" t="inlineStr">
        <is>
          <t>X</t>
        </is>
      </c>
      <c r="DL2524" t="inlineStr">
        <is>
          <t>X</t>
        </is>
      </c>
      <c r="EF2524" t="inlineStr">
        <is>
          <t>X</t>
        </is>
      </c>
    </row>
    <row r="2525">
      <c r="A2525" t="inlineStr">
        <is>
          <t>OH0027037099</t>
        </is>
      </c>
      <c r="B2525" t="n">
        <v>78</v>
      </c>
      <c r="C2525" t="n">
        <v>476011</v>
      </c>
      <c r="D2525" t="inlineStr">
        <is>
          <t>OWENS</t>
        </is>
      </c>
      <c r="E2525" t="inlineStr">
        <is>
          <t>DARNELL</t>
        </is>
      </c>
      <c r="F2525">
        <f>CONCATENATE(D2525," ",LEFT(H2525,4),"T=",AU2525,"D=",AV2525,"R=",AW2525,"M=",AX2525,"L=",AY2525,"B=",AZ2525)</f>
        <v/>
      </c>
      <c r="G2525" t="inlineStr">
        <is>
          <t>D</t>
        </is>
      </c>
      <c r="H2525" t="inlineStr">
        <is>
          <t>JR</t>
        </is>
      </c>
      <c r="I2525" t="inlineStr">
        <is>
          <t>1998-06-23</t>
        </is>
      </c>
      <c r="J2525" t="inlineStr">
        <is>
          <t>2024-09-12</t>
        </is>
      </c>
      <c r="K2525" t="inlineStr">
        <is>
          <t>ACTIVE</t>
        </is>
      </c>
      <c r="M2525" t="inlineStr">
        <is>
          <t>2160 BENTON ST SE</t>
        </is>
      </c>
      <c r="N2525">
        <f>RIGHT(M2525,LEN(M2525)-FIND(" ",M2525))</f>
        <v/>
      </c>
      <c r="P2525" t="inlineStr">
        <is>
          <t>WARREN</t>
        </is>
      </c>
      <c r="Q2525" t="inlineStr">
        <is>
          <t>OH</t>
        </is>
      </c>
      <c r="R2525" t="n">
        <v>44484</v>
      </c>
      <c r="AD2525" t="inlineStr">
        <is>
          <t>TRUMBULL CAREER &amp; TECH CENTER</t>
        </is>
      </c>
      <c r="AE2525" t="inlineStr">
        <is>
          <t>WARREN CITY</t>
        </is>
      </c>
      <c r="AF2525" t="inlineStr">
        <is>
          <t>WARREN CITY SD</t>
        </is>
      </c>
      <c r="AH2525" t="n">
        <v>14</v>
      </c>
      <c r="AI2525" t="n">
        <v>11</v>
      </c>
      <c r="AN2525" t="inlineStr">
        <is>
          <t>WARREN</t>
        </is>
      </c>
      <c r="AO2525" t="inlineStr">
        <is>
          <t>WARREN CITY 4F</t>
        </is>
      </c>
      <c r="AP2525" t="inlineStr">
        <is>
          <t>78-P-ADN</t>
        </is>
      </c>
      <c r="AQ2525" t="n">
        <v>9</v>
      </c>
      <c r="AR2525" t="n">
        <v>64</v>
      </c>
      <c r="AS2525" t="n">
        <v>32</v>
      </c>
      <c r="AU2525">
        <f>COUNTA($BA$2525:$EH$2525)</f>
        <v/>
      </c>
      <c r="AV2525">
        <f>COUNTIF($BA$2525:$EH$2525,"D")</f>
        <v/>
      </c>
      <c r="AW2525">
        <f>COUNTIF($BA$2525:$EH$2525,"R")</f>
        <v/>
      </c>
      <c r="AX2525">
        <f>IF(BN2525="D",1,0)+IF(BO2525="D",1,0)+IF(BT2525="D",1,0)+IF(BU2525="D",1,0)+IF(BW2525="D",1,0)+IF(CC2525="D",1,0)+IF(CD2525="D",1,0)+IF(CE2525="D",1,0)+IF(CF2525="D",1,0)+IF(CL2525="D",1,0)+IF(CM2525="D",1,0)+IF(CQ2525="D",1,0)+IF(CR2525="D",1,0)+IF(CS2525="D",1,0)+IF(CW2525="D",1,0)+IF(CX2525="D",1,0)+IF(DD2525="D",1,0)+IF(DE2525="D",1,0)+IF(DJ2525="D",1,0)+IF(DK2525="D",1,0)+IF(DO2525="D",1,0)+IF(DP2525="D",1,0)+IF(DQ2525="D",1,0)+IF(DW2525="D",1,0)+IF(DZ2525="D",1,0)+IF(EH2525="D",1,0)</f>
        <v/>
      </c>
      <c r="AY2525">
        <f>IF(DJ2525&lt;&gt;"",1,0)+IF(DK2525&lt;&gt;"",1,0)+IF(DM2525&lt;&gt;"",1,0)+IF(DO2525&lt;&gt;"",1,0)+IF(DP2525&lt;&gt;"",1,0)+IF(DQ2525&lt;&gt;"",1,0)+IF(DS2525&lt;&gt;"",1,0)+IF(DT2525&lt;&gt;"",1,0)+IF(DV2525&lt;&gt;"",1,0)+IF(DW2525&lt;&gt;"",1,0)+IF(DX2525&lt;&gt;"",1,0)+IF(DY2525&lt;&gt;"",1,0)+IF(DZ2525&lt;&gt;"",1,0)+IF(EB2525&lt;&gt;"",1,0)+IF(EC2525&lt;&gt;"",1,0)+IF(ED2525&lt;&gt;"",1,0)+IF(EG2525&lt;&gt;"",1,0)+IF(EH2525&lt;&gt;"",1,0)</f>
        <v/>
      </c>
      <c r="AZ2525">
        <f>IF(EH2525&lt;&gt;"",1,0)</f>
        <v/>
      </c>
      <c r="BB2525" t="inlineStr">
        <is>
          <t>WARREN-WARD 4</t>
        </is>
      </c>
    </row>
    <row r="2526">
      <c r="A2526" t="inlineStr">
        <is>
          <t>OH0026169620</t>
        </is>
      </c>
      <c r="B2526" t="n">
        <v>78</v>
      </c>
      <c r="C2526" t="n">
        <v>457605</v>
      </c>
      <c r="D2526" t="inlineStr">
        <is>
          <t>GIRON</t>
        </is>
      </c>
      <c r="E2526" t="inlineStr">
        <is>
          <t>JOHN</t>
        </is>
      </c>
      <c r="F2526">
        <f>CONCATENATE(D2526," ",LEFT(H2526,4),"T=",AU2526,"D=",AV2526,"R=",AW2526,"M=",AX2526,"L=",AY2526,"B=",AZ2526)</f>
        <v/>
      </c>
      <c r="G2526" t="inlineStr">
        <is>
          <t>PAUL</t>
        </is>
      </c>
      <c r="I2526" t="inlineStr">
        <is>
          <t>1988-09-06</t>
        </is>
      </c>
      <c r="J2526" t="inlineStr">
        <is>
          <t>2021-04-05</t>
        </is>
      </c>
      <c r="K2526" t="inlineStr">
        <is>
          <t>CONFIRMATION</t>
        </is>
      </c>
      <c r="M2526" t="inlineStr">
        <is>
          <t>956 COLUMBIA PL SE</t>
        </is>
      </c>
      <c r="N2526">
        <f>RIGHT(M2526,LEN(M2526)-FIND(" ",M2526))</f>
        <v/>
      </c>
      <c r="P2526" t="inlineStr">
        <is>
          <t>WARREN</t>
        </is>
      </c>
      <c r="Q2526" t="inlineStr">
        <is>
          <t>OH</t>
        </is>
      </c>
      <c r="R2526" t="n">
        <v>44484</v>
      </c>
      <c r="AD2526" t="inlineStr">
        <is>
          <t>TRUMBULL CAREER &amp; TECH CENTER</t>
        </is>
      </c>
      <c r="AE2526" t="inlineStr">
        <is>
          <t>WARREN CITY</t>
        </is>
      </c>
      <c r="AF2526" t="inlineStr">
        <is>
          <t>WARREN CITY SD</t>
        </is>
      </c>
      <c r="AH2526" t="n">
        <v>14</v>
      </c>
      <c r="AI2526" t="n">
        <v>11</v>
      </c>
      <c r="AN2526" t="inlineStr">
        <is>
          <t>WARREN</t>
        </is>
      </c>
      <c r="AO2526" t="inlineStr">
        <is>
          <t>WARREN CITY 4F</t>
        </is>
      </c>
      <c r="AP2526" t="inlineStr">
        <is>
          <t>78-P-ADN</t>
        </is>
      </c>
      <c r="AQ2526" t="n">
        <v>9</v>
      </c>
      <c r="AR2526" t="n">
        <v>64</v>
      </c>
      <c r="AS2526" t="n">
        <v>32</v>
      </c>
      <c r="AU2526">
        <f>COUNTA($BA$2526:$EH$2526)</f>
        <v/>
      </c>
      <c r="AV2526">
        <f>COUNTIF($BA$2526:$EH$2526,"D")</f>
        <v/>
      </c>
      <c r="AW2526">
        <f>COUNTIF($BA$2526:$EH$2526,"R")</f>
        <v/>
      </c>
      <c r="AX2526">
        <f>IF(BN2526="D",1,0)+IF(BO2526="D",1,0)+IF(BT2526="D",1,0)+IF(BU2526="D",1,0)+IF(BW2526="D",1,0)+IF(CC2526="D",1,0)+IF(CD2526="D",1,0)+IF(CE2526="D",1,0)+IF(CF2526="D",1,0)+IF(CL2526="D",1,0)+IF(CM2526="D",1,0)+IF(CQ2526="D",1,0)+IF(CR2526="D",1,0)+IF(CS2526="D",1,0)+IF(CW2526="D",1,0)+IF(CX2526="D",1,0)+IF(DD2526="D",1,0)+IF(DE2526="D",1,0)+IF(DJ2526="D",1,0)+IF(DK2526="D",1,0)+IF(DO2526="D",1,0)+IF(DP2526="D",1,0)+IF(DQ2526="D",1,0)+IF(DW2526="D",1,0)+IF(DZ2526="D",1,0)+IF(EH2526="D",1,0)</f>
        <v/>
      </c>
      <c r="AY2526">
        <f>IF(DJ2526&lt;&gt;"",1,0)+IF(DK2526&lt;&gt;"",1,0)+IF(DM2526&lt;&gt;"",1,0)+IF(DO2526&lt;&gt;"",1,0)+IF(DP2526&lt;&gt;"",1,0)+IF(DQ2526&lt;&gt;"",1,0)+IF(DS2526&lt;&gt;"",1,0)+IF(DT2526&lt;&gt;"",1,0)+IF(DV2526&lt;&gt;"",1,0)+IF(DW2526&lt;&gt;"",1,0)+IF(DX2526&lt;&gt;"",1,0)+IF(DY2526&lt;&gt;"",1,0)+IF(DZ2526&lt;&gt;"",1,0)+IF(EB2526&lt;&gt;"",1,0)+IF(EC2526&lt;&gt;"",1,0)+IF(ED2526&lt;&gt;"",1,0)+IF(EG2526&lt;&gt;"",1,0)+IF(EH2526&lt;&gt;"",1,0)</f>
        <v/>
      </c>
      <c r="AZ2526">
        <f>IF(EH2526&lt;&gt;"",1,0)</f>
        <v/>
      </c>
      <c r="BB2526" t="inlineStr">
        <is>
          <t>WARREN-WARD 4</t>
        </is>
      </c>
    </row>
    <row r="2527">
      <c r="A2527" t="inlineStr">
        <is>
          <t>OH0015751972</t>
        </is>
      </c>
      <c r="B2527" t="n">
        <v>78</v>
      </c>
      <c r="C2527" t="n">
        <v>321471</v>
      </c>
      <c r="D2527" t="inlineStr">
        <is>
          <t>ELKINS</t>
        </is>
      </c>
      <c r="E2527" t="inlineStr">
        <is>
          <t>SEAN</t>
        </is>
      </c>
      <c r="F2527">
        <f>CONCATENATE(D2527," ",LEFT(H2527,4),"T=",AU2527,"D=",AV2527,"R=",AW2527,"M=",AX2527,"L=",AY2527,"B=",AZ2527)</f>
        <v/>
      </c>
      <c r="G2527" t="inlineStr">
        <is>
          <t>EDWARD</t>
        </is>
      </c>
      <c r="I2527" t="inlineStr">
        <is>
          <t>1984-04-28</t>
        </is>
      </c>
      <c r="J2527" t="inlineStr">
        <is>
          <t>2023-05-31</t>
        </is>
      </c>
      <c r="K2527" t="inlineStr">
        <is>
          <t>ACTIVE</t>
        </is>
      </c>
      <c r="M2527" t="inlineStr">
        <is>
          <t>1928 CAROLINA AVE SE</t>
        </is>
      </c>
      <c r="N2527">
        <f>RIGHT(M2527,LEN(M2527)-FIND(" ",M2527))</f>
        <v/>
      </c>
      <c r="P2527" t="inlineStr">
        <is>
          <t>WARREN</t>
        </is>
      </c>
      <c r="Q2527" t="inlineStr">
        <is>
          <t>OH</t>
        </is>
      </c>
      <c r="R2527" t="n">
        <v>44484</v>
      </c>
      <c r="AD2527" t="inlineStr">
        <is>
          <t>TRUMBULL CAREER &amp; TECH CENTER</t>
        </is>
      </c>
      <c r="AE2527" t="inlineStr">
        <is>
          <t>WARREN CITY</t>
        </is>
      </c>
      <c r="AF2527" t="inlineStr">
        <is>
          <t>WARREN CITY SD</t>
        </is>
      </c>
      <c r="AH2527" t="n">
        <v>14</v>
      </c>
      <c r="AI2527" t="n">
        <v>11</v>
      </c>
      <c r="AN2527" t="inlineStr">
        <is>
          <t>WARREN</t>
        </is>
      </c>
      <c r="AO2527" t="inlineStr">
        <is>
          <t>WARREN CITY 4F</t>
        </is>
      </c>
      <c r="AP2527" t="inlineStr">
        <is>
          <t>78-P-ADN</t>
        </is>
      </c>
      <c r="AQ2527" t="n">
        <v>9</v>
      </c>
      <c r="AR2527" t="n">
        <v>64</v>
      </c>
      <c r="AS2527" t="n">
        <v>32</v>
      </c>
      <c r="AU2527">
        <f>COUNTA($BA$2527:$EH$2527)</f>
        <v/>
      </c>
      <c r="AV2527">
        <f>COUNTIF($BA$2527:$EH$2527,"D")</f>
        <v/>
      </c>
      <c r="AW2527">
        <f>COUNTIF($BA$2527:$EH$2527,"R")</f>
        <v/>
      </c>
      <c r="AX2527">
        <f>IF(BN2527="D",1,0)+IF(BO2527="D",1,0)+IF(BT2527="D",1,0)+IF(BU2527="D",1,0)+IF(BW2527="D",1,0)+IF(CC2527="D",1,0)+IF(CD2527="D",1,0)+IF(CE2527="D",1,0)+IF(CF2527="D",1,0)+IF(CL2527="D",1,0)+IF(CM2527="D",1,0)+IF(CQ2527="D",1,0)+IF(CR2527="D",1,0)+IF(CS2527="D",1,0)+IF(CW2527="D",1,0)+IF(CX2527="D",1,0)+IF(DD2527="D",1,0)+IF(DE2527="D",1,0)+IF(DJ2527="D",1,0)+IF(DK2527="D",1,0)+IF(DO2527="D",1,0)+IF(DP2527="D",1,0)+IF(DQ2527="D",1,0)+IF(DW2527="D",1,0)+IF(DZ2527="D",1,0)+IF(EH2527="D",1,0)</f>
        <v/>
      </c>
      <c r="AY2527">
        <f>IF(DJ2527&lt;&gt;"",1,0)+IF(DK2527&lt;&gt;"",1,0)+IF(DM2527&lt;&gt;"",1,0)+IF(DO2527&lt;&gt;"",1,0)+IF(DP2527&lt;&gt;"",1,0)+IF(DQ2527&lt;&gt;"",1,0)+IF(DS2527&lt;&gt;"",1,0)+IF(DT2527&lt;&gt;"",1,0)+IF(DV2527&lt;&gt;"",1,0)+IF(DW2527&lt;&gt;"",1,0)+IF(DX2527&lt;&gt;"",1,0)+IF(DY2527&lt;&gt;"",1,0)+IF(DZ2527&lt;&gt;"",1,0)+IF(EB2527&lt;&gt;"",1,0)+IF(EC2527&lt;&gt;"",1,0)+IF(ED2527&lt;&gt;"",1,0)+IF(EG2527&lt;&gt;"",1,0)+IF(EH2527&lt;&gt;"",1,0)</f>
        <v/>
      </c>
      <c r="AZ2527">
        <f>IF(EH2527&lt;&gt;"",1,0)</f>
        <v/>
      </c>
      <c r="BB2527" t="inlineStr">
        <is>
          <t>WARREN-WARD 4</t>
        </is>
      </c>
      <c r="BS2527" t="inlineStr">
        <is>
          <t>X</t>
        </is>
      </c>
      <c r="BV2527" t="inlineStr">
        <is>
          <t>X</t>
        </is>
      </c>
      <c r="BY2527" t="inlineStr">
        <is>
          <t>D</t>
        </is>
      </c>
      <c r="CA2527" t="inlineStr">
        <is>
          <t>X</t>
        </is>
      </c>
      <c r="CP2527" t="inlineStr">
        <is>
          <t>X</t>
        </is>
      </c>
      <c r="DC2527" t="inlineStr">
        <is>
          <t>X</t>
        </is>
      </c>
      <c r="DF2527" t="inlineStr">
        <is>
          <t>X</t>
        </is>
      </c>
      <c r="DI2527" t="inlineStr">
        <is>
          <t>X</t>
        </is>
      </c>
      <c r="DN2527" t="inlineStr">
        <is>
          <t>X</t>
        </is>
      </c>
      <c r="EF2527" t="inlineStr">
        <is>
          <t>X</t>
        </is>
      </c>
    </row>
    <row r="2528">
      <c r="A2528" t="inlineStr">
        <is>
          <t>OH0023978325</t>
        </is>
      </c>
      <c r="B2528" t="n">
        <v>78</v>
      </c>
      <c r="C2528" t="n">
        <v>416208</v>
      </c>
      <c r="D2528" t="inlineStr">
        <is>
          <t>OLU CYRUS</t>
        </is>
      </c>
      <c r="E2528" t="inlineStr">
        <is>
          <t>BISHOP TIFFANY</t>
        </is>
      </c>
      <c r="F2528">
        <f>CONCATENATE(D2528," ",LEFT(H2528,4),"T=",AU2528,"D=",AV2528,"R=",AW2528,"M=",AX2528,"L=",AY2528,"B=",AZ2528)</f>
        <v/>
      </c>
      <c r="I2528" t="inlineStr">
        <is>
          <t>1959-07-01</t>
        </is>
      </c>
      <c r="J2528" t="inlineStr">
        <is>
          <t>2024-11-05</t>
        </is>
      </c>
      <c r="K2528" t="inlineStr">
        <is>
          <t>ACTIVE</t>
        </is>
      </c>
      <c r="M2528" t="inlineStr">
        <is>
          <t>1767 BRIER ST SE</t>
        </is>
      </c>
      <c r="N2528">
        <f>RIGHT(M2528,LEN(M2528)-FIND(" ",M2528))</f>
        <v/>
      </c>
      <c r="P2528" t="inlineStr">
        <is>
          <t>WARREN</t>
        </is>
      </c>
      <c r="Q2528" t="inlineStr">
        <is>
          <t>OH</t>
        </is>
      </c>
      <c r="R2528" t="n">
        <v>44484</v>
      </c>
      <c r="AD2528" t="inlineStr">
        <is>
          <t>TRUMBULL CAREER &amp; TECH CENTER</t>
        </is>
      </c>
      <c r="AE2528" t="inlineStr">
        <is>
          <t>WARREN CITY</t>
        </is>
      </c>
      <c r="AF2528" t="inlineStr">
        <is>
          <t>WARREN CITY SD</t>
        </is>
      </c>
      <c r="AH2528" t="n">
        <v>14</v>
      </c>
      <c r="AI2528" t="n">
        <v>11</v>
      </c>
      <c r="AN2528" t="inlineStr">
        <is>
          <t>WARREN</t>
        </is>
      </c>
      <c r="AO2528" t="inlineStr">
        <is>
          <t>WARREN CITY 4F</t>
        </is>
      </c>
      <c r="AP2528" t="inlineStr">
        <is>
          <t>78-P-ADN</t>
        </is>
      </c>
      <c r="AQ2528" t="n">
        <v>9</v>
      </c>
      <c r="AR2528" t="n">
        <v>64</v>
      </c>
      <c r="AS2528" t="n">
        <v>32</v>
      </c>
      <c r="AU2528">
        <f>COUNTA($BA$2528:$EH$2528)</f>
        <v/>
      </c>
      <c r="AV2528">
        <f>COUNTIF($BA$2528:$EH$2528,"D")</f>
        <v/>
      </c>
      <c r="AW2528">
        <f>COUNTIF($BA$2528:$EH$2528,"R")</f>
        <v/>
      </c>
      <c r="AX2528">
        <f>IF(BN2528="D",1,0)+IF(BO2528="D",1,0)+IF(BT2528="D",1,0)+IF(BU2528="D",1,0)+IF(BW2528="D",1,0)+IF(CC2528="D",1,0)+IF(CD2528="D",1,0)+IF(CE2528="D",1,0)+IF(CF2528="D",1,0)+IF(CL2528="D",1,0)+IF(CM2528="D",1,0)+IF(CQ2528="D",1,0)+IF(CR2528="D",1,0)+IF(CS2528="D",1,0)+IF(CW2528="D",1,0)+IF(CX2528="D",1,0)+IF(DD2528="D",1,0)+IF(DE2528="D",1,0)+IF(DJ2528="D",1,0)+IF(DK2528="D",1,0)+IF(DO2528="D",1,0)+IF(DP2528="D",1,0)+IF(DQ2528="D",1,0)+IF(DW2528="D",1,0)+IF(DZ2528="D",1,0)+IF(EH2528="D",1,0)</f>
        <v/>
      </c>
      <c r="AY2528">
        <f>IF(DJ2528&lt;&gt;"",1,0)+IF(DK2528&lt;&gt;"",1,0)+IF(DM2528&lt;&gt;"",1,0)+IF(DO2528&lt;&gt;"",1,0)+IF(DP2528&lt;&gt;"",1,0)+IF(DQ2528&lt;&gt;"",1,0)+IF(DS2528&lt;&gt;"",1,0)+IF(DT2528&lt;&gt;"",1,0)+IF(DV2528&lt;&gt;"",1,0)+IF(DW2528&lt;&gt;"",1,0)+IF(DX2528&lt;&gt;"",1,0)+IF(DY2528&lt;&gt;"",1,0)+IF(DZ2528&lt;&gt;"",1,0)+IF(EB2528&lt;&gt;"",1,0)+IF(EC2528&lt;&gt;"",1,0)+IF(ED2528&lt;&gt;"",1,0)+IF(EG2528&lt;&gt;"",1,0)+IF(EH2528&lt;&gt;"",1,0)</f>
        <v/>
      </c>
      <c r="AZ2528">
        <f>IF(EH2528&lt;&gt;"",1,0)</f>
        <v/>
      </c>
      <c r="BB2528" t="inlineStr">
        <is>
          <t>WARREN-WARD 4</t>
        </is>
      </c>
      <c r="DC2528" t="inlineStr">
        <is>
          <t>X</t>
        </is>
      </c>
      <c r="DD2528" t="inlineStr">
        <is>
          <t>D</t>
        </is>
      </c>
      <c r="DL2528" t="inlineStr">
        <is>
          <t>X</t>
        </is>
      </c>
      <c r="EF2528" t="inlineStr">
        <is>
          <t>X</t>
        </is>
      </c>
    </row>
    <row r="2529">
      <c r="A2529" t="inlineStr">
        <is>
          <t>OH0027788953</t>
        </is>
      </c>
      <c r="B2529" t="n">
        <v>78</v>
      </c>
      <c r="C2529" t="n">
        <v>491677</v>
      </c>
      <c r="D2529" t="inlineStr">
        <is>
          <t>PATTON</t>
        </is>
      </c>
      <c r="E2529" t="inlineStr">
        <is>
          <t>CANDIE</t>
        </is>
      </c>
      <c r="F2529">
        <f>CONCATENATE(D2529," ",LEFT(H2529,4),"T=",AU2529,"D=",AV2529,"R=",AW2529,"M=",AX2529,"L=",AY2529,"B=",AZ2529)</f>
        <v/>
      </c>
      <c r="G2529" t="inlineStr">
        <is>
          <t>T</t>
        </is>
      </c>
      <c r="I2529" t="inlineStr">
        <is>
          <t>1981-08-12</t>
        </is>
      </c>
      <c r="J2529" t="inlineStr">
        <is>
          <t>2024-11-05</t>
        </is>
      </c>
      <c r="K2529" t="inlineStr">
        <is>
          <t>ACTIVE</t>
        </is>
      </c>
      <c r="M2529" t="inlineStr">
        <is>
          <t>1198 OAK KNOLL AVE SE</t>
        </is>
      </c>
      <c r="N2529">
        <f>RIGHT(M2529,LEN(M2529)-FIND(" ",M2529))</f>
        <v/>
      </c>
      <c r="P2529" t="inlineStr">
        <is>
          <t>WARREN</t>
        </is>
      </c>
      <c r="Q2529" t="inlineStr">
        <is>
          <t>OH</t>
        </is>
      </c>
      <c r="R2529" t="n">
        <v>44484</v>
      </c>
      <c r="AD2529" t="inlineStr">
        <is>
          <t>TRUMBULL CAREER &amp; TECH CENTER</t>
        </is>
      </c>
      <c r="AE2529" t="inlineStr">
        <is>
          <t>WARREN CITY</t>
        </is>
      </c>
      <c r="AF2529" t="inlineStr">
        <is>
          <t>WARREN CITY SD</t>
        </is>
      </c>
      <c r="AH2529" t="n">
        <v>14</v>
      </c>
      <c r="AI2529" t="n">
        <v>11</v>
      </c>
      <c r="AN2529" t="inlineStr">
        <is>
          <t>WARREN</t>
        </is>
      </c>
      <c r="AO2529" t="inlineStr">
        <is>
          <t>WARREN CITY 4F</t>
        </is>
      </c>
      <c r="AP2529" t="inlineStr">
        <is>
          <t>78-P-ADN</t>
        </is>
      </c>
      <c r="AQ2529" t="n">
        <v>9</v>
      </c>
      <c r="AR2529" t="n">
        <v>64</v>
      </c>
      <c r="AS2529" t="n">
        <v>32</v>
      </c>
      <c r="AU2529">
        <f>COUNTA($BA$2529:$EH$2529)</f>
        <v/>
      </c>
      <c r="AV2529">
        <f>COUNTIF($BA$2529:$EH$2529,"D")</f>
        <v/>
      </c>
      <c r="AW2529">
        <f>COUNTIF($BA$2529:$EH$2529,"R")</f>
        <v/>
      </c>
      <c r="AX2529">
        <f>IF(BN2529="D",1,0)+IF(BO2529="D",1,0)+IF(BT2529="D",1,0)+IF(BU2529="D",1,0)+IF(BW2529="D",1,0)+IF(CC2529="D",1,0)+IF(CD2529="D",1,0)+IF(CE2529="D",1,0)+IF(CF2529="D",1,0)+IF(CL2529="D",1,0)+IF(CM2529="D",1,0)+IF(CQ2529="D",1,0)+IF(CR2529="D",1,0)+IF(CS2529="D",1,0)+IF(CW2529="D",1,0)+IF(CX2529="D",1,0)+IF(DD2529="D",1,0)+IF(DE2529="D",1,0)+IF(DJ2529="D",1,0)+IF(DK2529="D",1,0)+IF(DO2529="D",1,0)+IF(DP2529="D",1,0)+IF(DQ2529="D",1,0)+IF(DW2529="D",1,0)+IF(DZ2529="D",1,0)+IF(EH2529="D",1,0)</f>
        <v/>
      </c>
      <c r="AY2529">
        <f>IF(DJ2529&lt;&gt;"",1,0)+IF(DK2529&lt;&gt;"",1,0)+IF(DM2529&lt;&gt;"",1,0)+IF(DO2529&lt;&gt;"",1,0)+IF(DP2529&lt;&gt;"",1,0)+IF(DQ2529&lt;&gt;"",1,0)+IF(DS2529&lt;&gt;"",1,0)+IF(DT2529&lt;&gt;"",1,0)+IF(DV2529&lt;&gt;"",1,0)+IF(DW2529&lt;&gt;"",1,0)+IF(DX2529&lt;&gt;"",1,0)+IF(DY2529&lt;&gt;"",1,0)+IF(DZ2529&lt;&gt;"",1,0)+IF(EB2529&lt;&gt;"",1,0)+IF(EC2529&lt;&gt;"",1,0)+IF(ED2529&lt;&gt;"",1,0)+IF(EG2529&lt;&gt;"",1,0)+IF(EH2529&lt;&gt;"",1,0)</f>
        <v/>
      </c>
      <c r="AZ2529">
        <f>IF(EH2529&lt;&gt;"",1,0)</f>
        <v/>
      </c>
      <c r="BB2529" t="inlineStr">
        <is>
          <t>WARREN-WARD 4</t>
        </is>
      </c>
      <c r="DL2529" t="inlineStr">
        <is>
          <t>X</t>
        </is>
      </c>
      <c r="DN2529" t="inlineStr">
        <is>
          <t>X</t>
        </is>
      </c>
      <c r="EF2529" t="inlineStr">
        <is>
          <t>X</t>
        </is>
      </c>
    </row>
    <row r="2530">
      <c r="A2530" t="inlineStr">
        <is>
          <t>OH0023020861</t>
        </is>
      </c>
      <c r="B2530" t="n">
        <v>78</v>
      </c>
      <c r="C2530" t="n">
        <v>405489</v>
      </c>
      <c r="D2530" t="inlineStr">
        <is>
          <t>GARVEY</t>
        </is>
      </c>
      <c r="E2530" t="inlineStr">
        <is>
          <t>VARONYKA</t>
        </is>
      </c>
      <c r="F2530">
        <f>CONCATENATE(D2530," ",LEFT(H2530,4),"T=",AU2530,"D=",AV2530,"R=",AW2530,"M=",AX2530,"L=",AY2530,"B=",AZ2530)</f>
        <v/>
      </c>
      <c r="G2530" t="inlineStr">
        <is>
          <t>MICHELLE</t>
        </is>
      </c>
      <c r="I2530" t="inlineStr">
        <is>
          <t>1996-09-01</t>
        </is>
      </c>
      <c r="J2530" t="inlineStr">
        <is>
          <t>2023-07-14</t>
        </is>
      </c>
      <c r="K2530" t="inlineStr">
        <is>
          <t>ACTIVE</t>
        </is>
      </c>
      <c r="M2530" t="inlineStr">
        <is>
          <t>1143 OAK KNOLL AVE SE</t>
        </is>
      </c>
      <c r="N2530">
        <f>RIGHT(M2530,LEN(M2530)-FIND(" ",M2530))</f>
        <v/>
      </c>
      <c r="P2530" t="inlineStr">
        <is>
          <t>WARREN</t>
        </is>
      </c>
      <c r="Q2530" t="inlineStr">
        <is>
          <t>OH</t>
        </is>
      </c>
      <c r="R2530" t="n">
        <v>44484</v>
      </c>
      <c r="AD2530" t="inlineStr">
        <is>
          <t>TRUMBULL CAREER &amp; TECH CENTER</t>
        </is>
      </c>
      <c r="AE2530" t="inlineStr">
        <is>
          <t>WARREN CITY</t>
        </is>
      </c>
      <c r="AF2530" t="inlineStr">
        <is>
          <t>WARREN CITY SD</t>
        </is>
      </c>
      <c r="AH2530" t="n">
        <v>14</v>
      </c>
      <c r="AI2530" t="n">
        <v>11</v>
      </c>
      <c r="AN2530" t="inlineStr">
        <is>
          <t>WARREN</t>
        </is>
      </c>
      <c r="AO2530" t="inlineStr">
        <is>
          <t>WARREN CITY 4F</t>
        </is>
      </c>
      <c r="AP2530" t="inlineStr">
        <is>
          <t>78-P-ADN</t>
        </is>
      </c>
      <c r="AQ2530" t="n">
        <v>9</v>
      </c>
      <c r="AR2530" t="n">
        <v>64</v>
      </c>
      <c r="AS2530" t="n">
        <v>32</v>
      </c>
      <c r="AU2530">
        <f>COUNTA($BA$2530:$EH$2530)</f>
        <v/>
      </c>
      <c r="AV2530">
        <f>COUNTIF($BA$2530:$EH$2530,"D")</f>
        <v/>
      </c>
      <c r="AW2530">
        <f>COUNTIF($BA$2530:$EH$2530,"R")</f>
        <v/>
      </c>
      <c r="AX2530">
        <f>IF(BN2530="D",1,0)+IF(BO2530="D",1,0)+IF(BT2530="D",1,0)+IF(BU2530="D",1,0)+IF(BW2530="D",1,0)+IF(CC2530="D",1,0)+IF(CD2530="D",1,0)+IF(CE2530="D",1,0)+IF(CF2530="D",1,0)+IF(CL2530="D",1,0)+IF(CM2530="D",1,0)+IF(CQ2530="D",1,0)+IF(CR2530="D",1,0)+IF(CS2530="D",1,0)+IF(CW2530="D",1,0)+IF(CX2530="D",1,0)+IF(DD2530="D",1,0)+IF(DE2530="D",1,0)+IF(DJ2530="D",1,0)+IF(DK2530="D",1,0)+IF(DO2530="D",1,0)+IF(DP2530="D",1,0)+IF(DQ2530="D",1,0)+IF(DW2530="D",1,0)+IF(DZ2530="D",1,0)+IF(EH2530="D",1,0)</f>
        <v/>
      </c>
      <c r="AY2530">
        <f>IF(DJ2530&lt;&gt;"",1,0)+IF(DK2530&lt;&gt;"",1,0)+IF(DM2530&lt;&gt;"",1,0)+IF(DO2530&lt;&gt;"",1,0)+IF(DP2530&lt;&gt;"",1,0)+IF(DQ2530&lt;&gt;"",1,0)+IF(DS2530&lt;&gt;"",1,0)+IF(DT2530&lt;&gt;"",1,0)+IF(DV2530&lt;&gt;"",1,0)+IF(DW2530&lt;&gt;"",1,0)+IF(DX2530&lt;&gt;"",1,0)+IF(DY2530&lt;&gt;"",1,0)+IF(DZ2530&lt;&gt;"",1,0)+IF(EB2530&lt;&gt;"",1,0)+IF(EC2530&lt;&gt;"",1,0)+IF(ED2530&lt;&gt;"",1,0)+IF(EG2530&lt;&gt;"",1,0)+IF(EH2530&lt;&gt;"",1,0)</f>
        <v/>
      </c>
      <c r="AZ2530">
        <f>IF(EH2530&lt;&gt;"",1,0)</f>
        <v/>
      </c>
      <c r="BB2530" t="inlineStr">
        <is>
          <t>WARREN-WARD 4</t>
        </is>
      </c>
    </row>
    <row r="2531">
      <c r="A2531" t="inlineStr">
        <is>
          <t>OH0025122740</t>
        </is>
      </c>
      <c r="B2531" t="n">
        <v>78</v>
      </c>
      <c r="C2531" t="n">
        <v>440032</v>
      </c>
      <c r="D2531" t="inlineStr">
        <is>
          <t>CHOLEVA</t>
        </is>
      </c>
      <c r="E2531" t="inlineStr">
        <is>
          <t>SHAYLA</t>
        </is>
      </c>
      <c r="F2531">
        <f>CONCATENATE(D2531," ",LEFT(H2531,4),"T=",AU2531,"D=",AV2531,"R=",AW2531,"M=",AX2531,"L=",AY2531,"B=",AZ2531)</f>
        <v/>
      </c>
      <c r="G2531" t="inlineStr">
        <is>
          <t>RAELYN</t>
        </is>
      </c>
      <c r="I2531" t="inlineStr">
        <is>
          <t>2001-03-22</t>
        </is>
      </c>
      <c r="J2531" t="inlineStr">
        <is>
          <t>2022-12-02</t>
        </is>
      </c>
      <c r="K2531" t="inlineStr">
        <is>
          <t>ACTIVE</t>
        </is>
      </c>
      <c r="M2531" t="inlineStr">
        <is>
          <t>1548 OAK KNOLL AVE SE</t>
        </is>
      </c>
      <c r="N2531">
        <f>RIGHT(M2531,LEN(M2531)-FIND(" ",M2531))</f>
        <v/>
      </c>
      <c r="P2531" t="inlineStr">
        <is>
          <t>WARREN</t>
        </is>
      </c>
      <c r="Q2531" t="inlineStr">
        <is>
          <t>OH</t>
        </is>
      </c>
      <c r="R2531" t="n">
        <v>44484</v>
      </c>
      <c r="AD2531" t="inlineStr">
        <is>
          <t>TRUMBULL CAREER &amp; TECH CENTER</t>
        </is>
      </c>
      <c r="AE2531" t="inlineStr">
        <is>
          <t>WARREN CITY</t>
        </is>
      </c>
      <c r="AF2531" t="inlineStr">
        <is>
          <t>WARREN CITY SD</t>
        </is>
      </c>
      <c r="AH2531" t="n">
        <v>14</v>
      </c>
      <c r="AI2531" t="n">
        <v>11</v>
      </c>
      <c r="AN2531" t="inlineStr">
        <is>
          <t>WARREN</t>
        </is>
      </c>
      <c r="AO2531" t="inlineStr">
        <is>
          <t>WARREN CITY 4F</t>
        </is>
      </c>
      <c r="AP2531" t="inlineStr">
        <is>
          <t>78-P-ADN</t>
        </is>
      </c>
      <c r="AQ2531" t="n">
        <v>9</v>
      </c>
      <c r="AR2531" t="n">
        <v>64</v>
      </c>
      <c r="AS2531" t="n">
        <v>32</v>
      </c>
      <c r="AU2531">
        <f>COUNTA($BA$2531:$EH$2531)</f>
        <v/>
      </c>
      <c r="AV2531">
        <f>COUNTIF($BA$2531:$EH$2531,"D")</f>
        <v/>
      </c>
      <c r="AW2531">
        <f>COUNTIF($BA$2531:$EH$2531,"R")</f>
        <v/>
      </c>
      <c r="AX2531">
        <f>IF(BN2531="D",1,0)+IF(BO2531="D",1,0)+IF(BT2531="D",1,0)+IF(BU2531="D",1,0)+IF(BW2531="D",1,0)+IF(CC2531="D",1,0)+IF(CD2531="D",1,0)+IF(CE2531="D",1,0)+IF(CF2531="D",1,0)+IF(CL2531="D",1,0)+IF(CM2531="D",1,0)+IF(CQ2531="D",1,0)+IF(CR2531="D",1,0)+IF(CS2531="D",1,0)+IF(CW2531="D",1,0)+IF(CX2531="D",1,0)+IF(DD2531="D",1,0)+IF(DE2531="D",1,0)+IF(DJ2531="D",1,0)+IF(DK2531="D",1,0)+IF(DO2531="D",1,0)+IF(DP2531="D",1,0)+IF(DQ2531="D",1,0)+IF(DW2531="D",1,0)+IF(DZ2531="D",1,0)+IF(EH2531="D",1,0)</f>
        <v/>
      </c>
      <c r="AY2531">
        <f>IF(DJ2531&lt;&gt;"",1,0)+IF(DK2531&lt;&gt;"",1,0)+IF(DM2531&lt;&gt;"",1,0)+IF(DO2531&lt;&gt;"",1,0)+IF(DP2531&lt;&gt;"",1,0)+IF(DQ2531&lt;&gt;"",1,0)+IF(DS2531&lt;&gt;"",1,0)+IF(DT2531&lt;&gt;"",1,0)+IF(DV2531&lt;&gt;"",1,0)+IF(DW2531&lt;&gt;"",1,0)+IF(DX2531&lt;&gt;"",1,0)+IF(DY2531&lt;&gt;"",1,0)+IF(DZ2531&lt;&gt;"",1,0)+IF(EB2531&lt;&gt;"",1,0)+IF(EC2531&lt;&gt;"",1,0)+IF(ED2531&lt;&gt;"",1,0)+IF(EG2531&lt;&gt;"",1,0)+IF(EH2531&lt;&gt;"",1,0)</f>
        <v/>
      </c>
      <c r="AZ2531">
        <f>IF(EH2531&lt;&gt;"",1,0)</f>
        <v/>
      </c>
      <c r="BB2531" t="inlineStr">
        <is>
          <t>WARREN-WARD 4</t>
        </is>
      </c>
    </row>
    <row r="2532">
      <c r="A2532" t="inlineStr">
        <is>
          <t>OH0022060937</t>
        </is>
      </c>
      <c r="B2532" t="n">
        <v>78</v>
      </c>
      <c r="C2532" t="n">
        <v>391096</v>
      </c>
      <c r="D2532" t="inlineStr">
        <is>
          <t>GRIGGS</t>
        </is>
      </c>
      <c r="E2532" t="inlineStr">
        <is>
          <t>TAMMY</t>
        </is>
      </c>
      <c r="F2532">
        <f>CONCATENATE(D2532," ",LEFT(H2532,4),"T=",AU2532,"D=",AV2532,"R=",AW2532,"M=",AX2532,"L=",AY2532,"B=",AZ2532)</f>
        <v/>
      </c>
      <c r="G2532" t="inlineStr">
        <is>
          <t>MARIE</t>
        </is>
      </c>
      <c r="I2532" t="inlineStr">
        <is>
          <t>1984-08-03</t>
        </is>
      </c>
      <c r="J2532" t="inlineStr">
        <is>
          <t>2016-07-19</t>
        </is>
      </c>
      <c r="K2532" t="inlineStr">
        <is>
          <t>CONFIRMATION</t>
        </is>
      </c>
      <c r="M2532" t="inlineStr">
        <is>
          <t>1050 KENILWORTH AVE SE</t>
        </is>
      </c>
      <c r="N2532">
        <f>RIGHT(M2532,LEN(M2532)-FIND(" ",M2532))</f>
        <v/>
      </c>
      <c r="P2532" t="inlineStr">
        <is>
          <t>WARREN</t>
        </is>
      </c>
      <c r="Q2532" t="inlineStr">
        <is>
          <t>OH</t>
        </is>
      </c>
      <c r="R2532" t="n">
        <v>44484</v>
      </c>
      <c r="AD2532" t="inlineStr">
        <is>
          <t>TRUMBULL CAREER &amp; TECH CENTER</t>
        </is>
      </c>
      <c r="AE2532" t="inlineStr">
        <is>
          <t>WARREN CITY</t>
        </is>
      </c>
      <c r="AF2532" t="inlineStr">
        <is>
          <t>WARREN CITY SD</t>
        </is>
      </c>
      <c r="AH2532" t="n">
        <v>14</v>
      </c>
      <c r="AI2532" t="n">
        <v>11</v>
      </c>
      <c r="AN2532" t="inlineStr">
        <is>
          <t>WARREN</t>
        </is>
      </c>
      <c r="AO2532" t="inlineStr">
        <is>
          <t>WARREN CITY 4F</t>
        </is>
      </c>
      <c r="AP2532" t="inlineStr">
        <is>
          <t>78-P-ADN</t>
        </is>
      </c>
      <c r="AQ2532" t="n">
        <v>9</v>
      </c>
      <c r="AR2532" t="n">
        <v>64</v>
      </c>
      <c r="AS2532" t="n">
        <v>32</v>
      </c>
      <c r="AU2532">
        <f>COUNTA($BA$2532:$EH$2532)</f>
        <v/>
      </c>
      <c r="AV2532">
        <f>COUNTIF($BA$2532:$EH$2532,"D")</f>
        <v/>
      </c>
      <c r="AW2532">
        <f>COUNTIF($BA$2532:$EH$2532,"R")</f>
        <v/>
      </c>
      <c r="AX2532">
        <f>IF(BN2532="D",1,0)+IF(BO2532="D",1,0)+IF(BT2532="D",1,0)+IF(BU2532="D",1,0)+IF(BW2532="D",1,0)+IF(CC2532="D",1,0)+IF(CD2532="D",1,0)+IF(CE2532="D",1,0)+IF(CF2532="D",1,0)+IF(CL2532="D",1,0)+IF(CM2532="D",1,0)+IF(CQ2532="D",1,0)+IF(CR2532="D",1,0)+IF(CS2532="D",1,0)+IF(CW2532="D",1,0)+IF(CX2532="D",1,0)+IF(DD2532="D",1,0)+IF(DE2532="D",1,0)+IF(DJ2532="D",1,0)+IF(DK2532="D",1,0)+IF(DO2532="D",1,0)+IF(DP2532="D",1,0)+IF(DQ2532="D",1,0)+IF(DW2532="D",1,0)+IF(DZ2532="D",1,0)+IF(EH2532="D",1,0)</f>
        <v/>
      </c>
      <c r="AY2532">
        <f>IF(DJ2532&lt;&gt;"",1,0)+IF(DK2532&lt;&gt;"",1,0)+IF(DM2532&lt;&gt;"",1,0)+IF(DO2532&lt;&gt;"",1,0)+IF(DP2532&lt;&gt;"",1,0)+IF(DQ2532&lt;&gt;"",1,0)+IF(DS2532&lt;&gt;"",1,0)+IF(DT2532&lt;&gt;"",1,0)+IF(DV2532&lt;&gt;"",1,0)+IF(DW2532&lt;&gt;"",1,0)+IF(DX2532&lt;&gt;"",1,0)+IF(DY2532&lt;&gt;"",1,0)+IF(DZ2532&lt;&gt;"",1,0)+IF(EB2532&lt;&gt;"",1,0)+IF(EC2532&lt;&gt;"",1,0)+IF(ED2532&lt;&gt;"",1,0)+IF(EG2532&lt;&gt;"",1,0)+IF(EH2532&lt;&gt;"",1,0)</f>
        <v/>
      </c>
      <c r="AZ2532">
        <f>IF(EH2532&lt;&gt;"",1,0)</f>
        <v/>
      </c>
      <c r="BB2532" t="inlineStr">
        <is>
          <t>WARREN-WARD 4</t>
        </is>
      </c>
    </row>
    <row r="2533">
      <c r="A2533" t="inlineStr">
        <is>
          <t>OH0015766819</t>
        </is>
      </c>
      <c r="B2533" t="n">
        <v>78</v>
      </c>
      <c r="C2533" t="n">
        <v>325777</v>
      </c>
      <c r="D2533" t="inlineStr">
        <is>
          <t>WILLIAMS</t>
        </is>
      </c>
      <c r="E2533" t="inlineStr">
        <is>
          <t>TANIKQUA</t>
        </is>
      </c>
      <c r="F2533">
        <f>CONCATENATE(D2533," ",LEFT(H2533,4),"T=",AU2533,"D=",AV2533,"R=",AW2533,"M=",AX2533,"L=",AY2533,"B=",AZ2533)</f>
        <v/>
      </c>
      <c r="I2533" t="inlineStr">
        <is>
          <t>1981-01-16</t>
        </is>
      </c>
      <c r="J2533" t="inlineStr">
        <is>
          <t>2012-09-24</t>
        </is>
      </c>
      <c r="K2533" t="inlineStr">
        <is>
          <t>ACTIVE</t>
        </is>
      </c>
      <c r="M2533" t="inlineStr">
        <is>
          <t>1534 HOMEWOOD AVE SE</t>
        </is>
      </c>
      <c r="N2533">
        <f>RIGHT(M2533,LEN(M2533)-FIND(" ",M2533))</f>
        <v/>
      </c>
      <c r="P2533" t="inlineStr">
        <is>
          <t>WARREN</t>
        </is>
      </c>
      <c r="Q2533" t="inlineStr">
        <is>
          <t>OH</t>
        </is>
      </c>
      <c r="R2533" t="n">
        <v>44484</v>
      </c>
      <c r="AD2533" t="inlineStr">
        <is>
          <t>TRUMBULL CAREER &amp; TECH CENTER</t>
        </is>
      </c>
      <c r="AE2533" t="inlineStr">
        <is>
          <t>WARREN CITY</t>
        </is>
      </c>
      <c r="AF2533" t="inlineStr">
        <is>
          <t>WARREN CITY SD</t>
        </is>
      </c>
      <c r="AH2533" t="n">
        <v>14</v>
      </c>
      <c r="AI2533" t="n">
        <v>11</v>
      </c>
      <c r="AN2533" t="inlineStr">
        <is>
          <t>WARREN</t>
        </is>
      </c>
      <c r="AO2533" t="inlineStr">
        <is>
          <t>WARREN CITY 4F</t>
        </is>
      </c>
      <c r="AP2533" t="inlineStr">
        <is>
          <t>78-P-ADN</t>
        </is>
      </c>
      <c r="AQ2533" t="n">
        <v>9</v>
      </c>
      <c r="AR2533" t="n">
        <v>64</v>
      </c>
      <c r="AS2533" t="n">
        <v>32</v>
      </c>
      <c r="AU2533">
        <f>COUNTA($BA$2533:$EH$2533)</f>
        <v/>
      </c>
      <c r="AV2533">
        <f>COUNTIF($BA$2533:$EH$2533,"D")</f>
        <v/>
      </c>
      <c r="AW2533">
        <f>COUNTIF($BA$2533:$EH$2533,"R")</f>
        <v/>
      </c>
      <c r="AX2533">
        <f>IF(BN2533="D",1,0)+IF(BO2533="D",1,0)+IF(BT2533="D",1,0)+IF(BU2533="D",1,0)+IF(BW2533="D",1,0)+IF(CC2533="D",1,0)+IF(CD2533="D",1,0)+IF(CE2533="D",1,0)+IF(CF2533="D",1,0)+IF(CL2533="D",1,0)+IF(CM2533="D",1,0)+IF(CQ2533="D",1,0)+IF(CR2533="D",1,0)+IF(CS2533="D",1,0)+IF(CW2533="D",1,0)+IF(CX2533="D",1,0)+IF(DD2533="D",1,0)+IF(DE2533="D",1,0)+IF(DJ2533="D",1,0)+IF(DK2533="D",1,0)+IF(DO2533="D",1,0)+IF(DP2533="D",1,0)+IF(DQ2533="D",1,0)+IF(DW2533="D",1,0)+IF(DZ2533="D",1,0)+IF(EH2533="D",1,0)</f>
        <v/>
      </c>
      <c r="AY2533">
        <f>IF(DJ2533&lt;&gt;"",1,0)+IF(DK2533&lt;&gt;"",1,0)+IF(DM2533&lt;&gt;"",1,0)+IF(DO2533&lt;&gt;"",1,0)+IF(DP2533&lt;&gt;"",1,0)+IF(DQ2533&lt;&gt;"",1,0)+IF(DS2533&lt;&gt;"",1,0)+IF(DT2533&lt;&gt;"",1,0)+IF(DV2533&lt;&gt;"",1,0)+IF(DW2533&lt;&gt;"",1,0)+IF(DX2533&lt;&gt;"",1,0)+IF(DY2533&lt;&gt;"",1,0)+IF(DZ2533&lt;&gt;"",1,0)+IF(EB2533&lt;&gt;"",1,0)+IF(EC2533&lt;&gt;"",1,0)+IF(ED2533&lt;&gt;"",1,0)+IF(EG2533&lt;&gt;"",1,0)+IF(EH2533&lt;&gt;"",1,0)</f>
        <v/>
      </c>
      <c r="AZ2533">
        <f>IF(EH2533&lt;&gt;"",1,0)</f>
        <v/>
      </c>
      <c r="BB2533" t="inlineStr">
        <is>
          <t>WARREN-WARD 4</t>
        </is>
      </c>
      <c r="BL2533" t="inlineStr">
        <is>
          <t>X</t>
        </is>
      </c>
      <c r="BS2533" t="inlineStr">
        <is>
          <t>X</t>
        </is>
      </c>
      <c r="BY2533" t="inlineStr">
        <is>
          <t>D</t>
        </is>
      </c>
      <c r="CA2533" t="inlineStr">
        <is>
          <t>X</t>
        </is>
      </c>
      <c r="CK2533" t="inlineStr">
        <is>
          <t>X</t>
        </is>
      </c>
      <c r="CN2533" t="inlineStr">
        <is>
          <t>X</t>
        </is>
      </c>
      <c r="CP2533" t="inlineStr">
        <is>
          <t>X</t>
        </is>
      </c>
      <c r="CV2533" t="inlineStr">
        <is>
          <t>X</t>
        </is>
      </c>
      <c r="CY2533" t="inlineStr">
        <is>
          <t>X</t>
        </is>
      </c>
      <c r="CZ2533" t="inlineStr">
        <is>
          <t>D</t>
        </is>
      </c>
      <c r="DC2533" t="inlineStr">
        <is>
          <t>X</t>
        </is>
      </c>
      <c r="DI2533" t="inlineStr">
        <is>
          <t>X</t>
        </is>
      </c>
      <c r="DJ2533" t="inlineStr">
        <is>
          <t>D</t>
        </is>
      </c>
      <c r="DL2533" t="inlineStr">
        <is>
          <t>X</t>
        </is>
      </c>
      <c r="DN2533" t="inlineStr">
        <is>
          <t>X</t>
        </is>
      </c>
      <c r="DR2533" t="inlineStr">
        <is>
          <t>X</t>
        </is>
      </c>
      <c r="EA2533" t="inlineStr">
        <is>
          <t>X</t>
        </is>
      </c>
      <c r="EF2533" t="inlineStr">
        <is>
          <t>X</t>
        </is>
      </c>
    </row>
    <row r="2534">
      <c r="A2534" t="inlineStr">
        <is>
          <t>OH0023646101</t>
        </is>
      </c>
      <c r="B2534" t="n">
        <v>78</v>
      </c>
      <c r="C2534" t="n">
        <v>415963</v>
      </c>
      <c r="D2534" t="inlineStr">
        <is>
          <t>CULLINS</t>
        </is>
      </c>
      <c r="E2534" t="inlineStr">
        <is>
          <t>REMI</t>
        </is>
      </c>
      <c r="F2534">
        <f>CONCATENATE(D2534," ",LEFT(H2534,4),"T=",AU2534,"D=",AV2534,"R=",AW2534,"M=",AX2534,"L=",AY2534,"B=",AZ2534)</f>
        <v/>
      </c>
      <c r="G2534" t="inlineStr">
        <is>
          <t>MONEY</t>
        </is>
      </c>
      <c r="I2534" t="inlineStr">
        <is>
          <t>1998-05-16</t>
        </is>
      </c>
      <c r="J2534" t="inlineStr">
        <is>
          <t>2016-04-04</t>
        </is>
      </c>
      <c r="K2534" t="inlineStr">
        <is>
          <t>ACTIVE</t>
        </is>
      </c>
      <c r="L2534" t="inlineStr">
        <is>
          <t>D</t>
        </is>
      </c>
      <c r="M2534" t="inlineStr">
        <is>
          <t>1614 ADELAIDE AVE SE</t>
        </is>
      </c>
      <c r="N2534">
        <f>RIGHT(M2534,LEN(M2534)-FIND(" ",M2534))</f>
        <v/>
      </c>
      <c r="P2534" t="inlineStr">
        <is>
          <t>WARREN</t>
        </is>
      </c>
      <c r="Q2534" t="inlineStr">
        <is>
          <t>OH</t>
        </is>
      </c>
      <c r="R2534" t="n">
        <v>44484</v>
      </c>
      <c r="AD2534" t="inlineStr">
        <is>
          <t>TRUMBULL CAREER &amp; TECH CENTER</t>
        </is>
      </c>
      <c r="AE2534" t="inlineStr">
        <is>
          <t>WARREN CITY</t>
        </is>
      </c>
      <c r="AF2534" t="inlineStr">
        <is>
          <t>WARREN CITY SD</t>
        </is>
      </c>
      <c r="AH2534" t="n">
        <v>14</v>
      </c>
      <c r="AI2534" t="n">
        <v>11</v>
      </c>
      <c r="AN2534" t="inlineStr">
        <is>
          <t>WARREN</t>
        </is>
      </c>
      <c r="AO2534" t="inlineStr">
        <is>
          <t>WARREN CITY 4F</t>
        </is>
      </c>
      <c r="AP2534" t="inlineStr">
        <is>
          <t>78-P-ADN</t>
        </is>
      </c>
      <c r="AQ2534" t="n">
        <v>9</v>
      </c>
      <c r="AR2534" t="n">
        <v>64</v>
      </c>
      <c r="AS2534" t="n">
        <v>32</v>
      </c>
      <c r="AU2534">
        <f>COUNTA($BA$2534:$EH$2534)</f>
        <v/>
      </c>
      <c r="AV2534">
        <f>COUNTIF($BA$2534:$EH$2534,"D")</f>
        <v/>
      </c>
      <c r="AW2534">
        <f>COUNTIF($BA$2534:$EH$2534,"R")</f>
        <v/>
      </c>
      <c r="AX2534">
        <f>IF(BN2534="D",1,0)+IF(BO2534="D",1,0)+IF(BT2534="D",1,0)+IF(BU2534="D",1,0)+IF(BW2534="D",1,0)+IF(CC2534="D",1,0)+IF(CD2534="D",1,0)+IF(CE2534="D",1,0)+IF(CF2534="D",1,0)+IF(CL2534="D",1,0)+IF(CM2534="D",1,0)+IF(CQ2534="D",1,0)+IF(CR2534="D",1,0)+IF(CS2534="D",1,0)+IF(CW2534="D",1,0)+IF(CX2534="D",1,0)+IF(DD2534="D",1,0)+IF(DE2534="D",1,0)+IF(DJ2534="D",1,0)+IF(DK2534="D",1,0)+IF(DO2534="D",1,0)+IF(DP2534="D",1,0)+IF(DQ2534="D",1,0)+IF(DW2534="D",1,0)+IF(DZ2534="D",1,0)+IF(EH2534="D",1,0)</f>
        <v/>
      </c>
      <c r="AY2534">
        <f>IF(DJ2534&lt;&gt;"",1,0)+IF(DK2534&lt;&gt;"",1,0)+IF(DM2534&lt;&gt;"",1,0)+IF(DO2534&lt;&gt;"",1,0)+IF(DP2534&lt;&gt;"",1,0)+IF(DQ2534&lt;&gt;"",1,0)+IF(DS2534&lt;&gt;"",1,0)+IF(DT2534&lt;&gt;"",1,0)+IF(DV2534&lt;&gt;"",1,0)+IF(DW2534&lt;&gt;"",1,0)+IF(DX2534&lt;&gt;"",1,0)+IF(DY2534&lt;&gt;"",1,0)+IF(DZ2534&lt;&gt;"",1,0)+IF(EB2534&lt;&gt;"",1,0)+IF(EC2534&lt;&gt;"",1,0)+IF(ED2534&lt;&gt;"",1,0)+IF(EG2534&lt;&gt;"",1,0)+IF(EH2534&lt;&gt;"",1,0)</f>
        <v/>
      </c>
      <c r="AZ2534">
        <f>IF(EH2534&lt;&gt;"",1,0)</f>
        <v/>
      </c>
      <c r="BB2534" t="inlineStr">
        <is>
          <t>WARREN-WARD 4</t>
        </is>
      </c>
      <c r="DC2534" t="inlineStr">
        <is>
          <t>X</t>
        </is>
      </c>
      <c r="DI2534" t="inlineStr">
        <is>
          <t>X</t>
        </is>
      </c>
      <c r="DM2534" t="inlineStr">
        <is>
          <t>D</t>
        </is>
      </c>
      <c r="DN2534" t="inlineStr">
        <is>
          <t>X</t>
        </is>
      </c>
      <c r="DU2534" t="inlineStr">
        <is>
          <t>X</t>
        </is>
      </c>
      <c r="DX2534" t="inlineStr">
        <is>
          <t>X</t>
        </is>
      </c>
      <c r="EA2534" t="inlineStr">
        <is>
          <t>X</t>
        </is>
      </c>
      <c r="ED2534" t="inlineStr">
        <is>
          <t>D</t>
        </is>
      </c>
      <c r="EF2534" t="inlineStr">
        <is>
          <t>X</t>
        </is>
      </c>
    </row>
    <row r="2535">
      <c r="A2535" t="inlineStr">
        <is>
          <t>OH0026220527</t>
        </is>
      </c>
      <c r="B2535" t="n">
        <v>78</v>
      </c>
      <c r="C2535" t="n">
        <v>458584</v>
      </c>
      <c r="D2535" t="inlineStr">
        <is>
          <t>FISHER</t>
        </is>
      </c>
      <c r="E2535" t="inlineStr">
        <is>
          <t>TU PAC</t>
        </is>
      </c>
      <c r="F2535">
        <f>CONCATENATE(D2535," ",LEFT(H2535,4),"T=",AU2535,"D=",AV2535,"R=",AW2535,"M=",AX2535,"L=",AY2535,"B=",AZ2535)</f>
        <v/>
      </c>
      <c r="G2535" t="inlineStr">
        <is>
          <t>LAVELLE</t>
        </is>
      </c>
      <c r="I2535" t="inlineStr">
        <is>
          <t>2003-06-02</t>
        </is>
      </c>
      <c r="J2535" t="inlineStr">
        <is>
          <t>2022-03-02</t>
        </is>
      </c>
      <c r="K2535" t="inlineStr">
        <is>
          <t>CONFIRMATION</t>
        </is>
      </c>
      <c r="M2535" t="inlineStr">
        <is>
          <t>2176 BENTON ST SE</t>
        </is>
      </c>
      <c r="N2535">
        <f>RIGHT(M2535,LEN(M2535)-FIND(" ",M2535))</f>
        <v/>
      </c>
      <c r="P2535" t="inlineStr">
        <is>
          <t>WARREN</t>
        </is>
      </c>
      <c r="Q2535" t="inlineStr">
        <is>
          <t>OH</t>
        </is>
      </c>
      <c r="R2535" t="n">
        <v>44484</v>
      </c>
      <c r="AD2535" t="inlineStr">
        <is>
          <t>TRUMBULL CAREER &amp; TECH CENTER</t>
        </is>
      </c>
      <c r="AE2535" t="inlineStr">
        <is>
          <t>WARREN CITY</t>
        </is>
      </c>
      <c r="AF2535" t="inlineStr">
        <is>
          <t>WARREN CITY SD</t>
        </is>
      </c>
      <c r="AH2535" t="n">
        <v>14</v>
      </c>
      <c r="AI2535" t="n">
        <v>11</v>
      </c>
      <c r="AN2535" t="inlineStr">
        <is>
          <t>WARREN</t>
        </is>
      </c>
      <c r="AO2535" t="inlineStr">
        <is>
          <t>WARREN CITY 4F</t>
        </is>
      </c>
      <c r="AP2535" t="inlineStr">
        <is>
          <t>78-P-ADN</t>
        </is>
      </c>
      <c r="AQ2535" t="n">
        <v>9</v>
      </c>
      <c r="AR2535" t="n">
        <v>64</v>
      </c>
      <c r="AS2535" t="n">
        <v>32</v>
      </c>
      <c r="AU2535">
        <f>COUNTA($BA$2535:$EH$2535)</f>
        <v/>
      </c>
      <c r="AV2535">
        <f>COUNTIF($BA$2535:$EH$2535,"D")</f>
        <v/>
      </c>
      <c r="AW2535">
        <f>COUNTIF($BA$2535:$EH$2535,"R")</f>
        <v/>
      </c>
      <c r="AX2535">
        <f>IF(BN2535="D",1,0)+IF(BO2535="D",1,0)+IF(BT2535="D",1,0)+IF(BU2535="D",1,0)+IF(BW2535="D",1,0)+IF(CC2535="D",1,0)+IF(CD2535="D",1,0)+IF(CE2535="D",1,0)+IF(CF2535="D",1,0)+IF(CL2535="D",1,0)+IF(CM2535="D",1,0)+IF(CQ2535="D",1,0)+IF(CR2535="D",1,0)+IF(CS2535="D",1,0)+IF(CW2535="D",1,0)+IF(CX2535="D",1,0)+IF(DD2535="D",1,0)+IF(DE2535="D",1,0)+IF(DJ2535="D",1,0)+IF(DK2535="D",1,0)+IF(DO2535="D",1,0)+IF(DP2535="D",1,0)+IF(DQ2535="D",1,0)+IF(DW2535="D",1,0)+IF(DZ2535="D",1,0)+IF(EH2535="D",1,0)</f>
        <v/>
      </c>
      <c r="AY2535">
        <f>IF(DJ2535&lt;&gt;"",1,0)+IF(DK2535&lt;&gt;"",1,0)+IF(DM2535&lt;&gt;"",1,0)+IF(DO2535&lt;&gt;"",1,0)+IF(DP2535&lt;&gt;"",1,0)+IF(DQ2535&lt;&gt;"",1,0)+IF(DS2535&lt;&gt;"",1,0)+IF(DT2535&lt;&gt;"",1,0)+IF(DV2535&lt;&gt;"",1,0)+IF(DW2535&lt;&gt;"",1,0)+IF(DX2535&lt;&gt;"",1,0)+IF(DY2535&lt;&gt;"",1,0)+IF(DZ2535&lt;&gt;"",1,0)+IF(EB2535&lt;&gt;"",1,0)+IF(EC2535&lt;&gt;"",1,0)+IF(ED2535&lt;&gt;"",1,0)+IF(EG2535&lt;&gt;"",1,0)+IF(EH2535&lt;&gt;"",1,0)</f>
        <v/>
      </c>
      <c r="AZ2535">
        <f>IF(EH2535&lt;&gt;"",1,0)</f>
        <v/>
      </c>
      <c r="BB2535" t="inlineStr">
        <is>
          <t>WARREN-WARD 4</t>
        </is>
      </c>
    </row>
    <row r="2536">
      <c r="A2536" t="inlineStr">
        <is>
          <t>OH0026206147</t>
        </is>
      </c>
      <c r="B2536" t="n">
        <v>78</v>
      </c>
      <c r="C2536" t="n">
        <v>458234</v>
      </c>
      <c r="D2536" t="inlineStr">
        <is>
          <t>JOHNSON</t>
        </is>
      </c>
      <c r="E2536" t="inlineStr">
        <is>
          <t>MARLENE</t>
        </is>
      </c>
      <c r="F2536">
        <f>CONCATENATE(D2536," ",LEFT(H2536,4),"T=",AU2536,"D=",AV2536,"R=",AW2536,"M=",AX2536,"L=",AY2536,"B=",AZ2536)</f>
        <v/>
      </c>
      <c r="G2536" t="inlineStr">
        <is>
          <t>DIANE</t>
        </is>
      </c>
      <c r="I2536" t="inlineStr">
        <is>
          <t>1948-01-03</t>
        </is>
      </c>
      <c r="J2536" t="inlineStr">
        <is>
          <t>2021-05-20</t>
        </is>
      </c>
      <c r="K2536" t="inlineStr">
        <is>
          <t>CONFIRMATION</t>
        </is>
      </c>
      <c r="M2536" t="inlineStr">
        <is>
          <t>1788 BURTON ST SE</t>
        </is>
      </c>
      <c r="N2536">
        <f>RIGHT(M2536,LEN(M2536)-FIND(" ",M2536))</f>
        <v/>
      </c>
      <c r="P2536" t="inlineStr">
        <is>
          <t>WARREN</t>
        </is>
      </c>
      <c r="Q2536" t="inlineStr">
        <is>
          <t>OH</t>
        </is>
      </c>
      <c r="R2536" t="n">
        <v>44484</v>
      </c>
      <c r="AD2536" t="inlineStr">
        <is>
          <t>TRUMBULL CAREER &amp; TECH CENTER</t>
        </is>
      </c>
      <c r="AE2536" t="inlineStr">
        <is>
          <t>WARREN CITY</t>
        </is>
      </c>
      <c r="AF2536" t="inlineStr">
        <is>
          <t>WARREN CITY SD</t>
        </is>
      </c>
      <c r="AH2536" t="n">
        <v>14</v>
      </c>
      <c r="AI2536" t="n">
        <v>11</v>
      </c>
      <c r="AN2536" t="inlineStr">
        <is>
          <t>WARREN</t>
        </is>
      </c>
      <c r="AO2536" t="inlineStr">
        <is>
          <t>WARREN CITY 4F</t>
        </is>
      </c>
      <c r="AP2536" t="inlineStr">
        <is>
          <t>78-P-ADN</t>
        </is>
      </c>
      <c r="AQ2536" t="n">
        <v>9</v>
      </c>
      <c r="AR2536" t="n">
        <v>64</v>
      </c>
      <c r="AS2536" t="n">
        <v>32</v>
      </c>
      <c r="AU2536">
        <f>COUNTA($BA$2536:$EH$2536)</f>
        <v/>
      </c>
      <c r="AV2536">
        <f>COUNTIF($BA$2536:$EH$2536,"D")</f>
        <v/>
      </c>
      <c r="AW2536">
        <f>COUNTIF($BA$2536:$EH$2536,"R")</f>
        <v/>
      </c>
      <c r="AX2536">
        <f>IF(BN2536="D",1,0)+IF(BO2536="D",1,0)+IF(BT2536="D",1,0)+IF(BU2536="D",1,0)+IF(BW2536="D",1,0)+IF(CC2536="D",1,0)+IF(CD2536="D",1,0)+IF(CE2536="D",1,0)+IF(CF2536="D",1,0)+IF(CL2536="D",1,0)+IF(CM2536="D",1,0)+IF(CQ2536="D",1,0)+IF(CR2536="D",1,0)+IF(CS2536="D",1,0)+IF(CW2536="D",1,0)+IF(CX2536="D",1,0)+IF(DD2536="D",1,0)+IF(DE2536="D",1,0)+IF(DJ2536="D",1,0)+IF(DK2536="D",1,0)+IF(DO2536="D",1,0)+IF(DP2536="D",1,0)+IF(DQ2536="D",1,0)+IF(DW2536="D",1,0)+IF(DZ2536="D",1,0)+IF(EH2536="D",1,0)</f>
        <v/>
      </c>
      <c r="AY2536">
        <f>IF(DJ2536&lt;&gt;"",1,0)+IF(DK2536&lt;&gt;"",1,0)+IF(DM2536&lt;&gt;"",1,0)+IF(DO2536&lt;&gt;"",1,0)+IF(DP2536&lt;&gt;"",1,0)+IF(DQ2536&lt;&gt;"",1,0)+IF(DS2536&lt;&gt;"",1,0)+IF(DT2536&lt;&gt;"",1,0)+IF(DV2536&lt;&gt;"",1,0)+IF(DW2536&lt;&gt;"",1,0)+IF(DX2536&lt;&gt;"",1,0)+IF(DY2536&lt;&gt;"",1,0)+IF(DZ2536&lt;&gt;"",1,0)+IF(EB2536&lt;&gt;"",1,0)+IF(EC2536&lt;&gt;"",1,0)+IF(ED2536&lt;&gt;"",1,0)+IF(EG2536&lt;&gt;"",1,0)+IF(EH2536&lt;&gt;"",1,0)</f>
        <v/>
      </c>
      <c r="AZ2536">
        <f>IF(EH2536&lt;&gt;"",1,0)</f>
        <v/>
      </c>
      <c r="BB2536" t="inlineStr">
        <is>
          <t>WARREN-WARD 4</t>
        </is>
      </c>
    </row>
    <row r="2537">
      <c r="A2537" t="inlineStr">
        <is>
          <t>OH0015707783</t>
        </is>
      </c>
      <c r="B2537" t="n">
        <v>78</v>
      </c>
      <c r="C2537" t="n">
        <v>324575</v>
      </c>
      <c r="D2537" t="inlineStr">
        <is>
          <t>ROBINSON</t>
        </is>
      </c>
      <c r="E2537" t="inlineStr">
        <is>
          <t>RYAN</t>
        </is>
      </c>
      <c r="F2537">
        <f>CONCATENATE(D2537," ",LEFT(H2537,4),"T=",AU2537,"D=",AV2537,"R=",AW2537,"M=",AX2537,"L=",AY2537,"B=",AZ2537)</f>
        <v/>
      </c>
      <c r="I2537" t="inlineStr">
        <is>
          <t>1986-05-26</t>
        </is>
      </c>
      <c r="J2537" t="inlineStr">
        <is>
          <t>2016-07-19</t>
        </is>
      </c>
      <c r="K2537" t="inlineStr">
        <is>
          <t>ACTIVE</t>
        </is>
      </c>
      <c r="L2537" t="inlineStr">
        <is>
          <t>D</t>
        </is>
      </c>
      <c r="M2537" t="inlineStr">
        <is>
          <t>2233 DRAPER AVE SE</t>
        </is>
      </c>
      <c r="N2537">
        <f>RIGHT(M2537,LEN(M2537)-FIND(" ",M2537))</f>
        <v/>
      </c>
      <c r="P2537" t="inlineStr">
        <is>
          <t>WARREN</t>
        </is>
      </c>
      <c r="Q2537" t="inlineStr">
        <is>
          <t>OH</t>
        </is>
      </c>
      <c r="R2537" t="n">
        <v>44484</v>
      </c>
      <c r="AD2537" t="inlineStr">
        <is>
          <t>TRUMBULL CAREER &amp; TECH CENTER</t>
        </is>
      </c>
      <c r="AE2537" t="inlineStr">
        <is>
          <t>WARREN CITY</t>
        </is>
      </c>
      <c r="AF2537" t="inlineStr">
        <is>
          <t>WARREN CITY SD</t>
        </is>
      </c>
      <c r="AH2537" t="n">
        <v>14</v>
      </c>
      <c r="AI2537" t="n">
        <v>11</v>
      </c>
      <c r="AN2537" t="inlineStr">
        <is>
          <t>WARREN</t>
        </is>
      </c>
      <c r="AO2537" t="inlineStr">
        <is>
          <t>WARREN CITY 4F</t>
        </is>
      </c>
      <c r="AP2537" t="inlineStr">
        <is>
          <t>78-P-ADN</t>
        </is>
      </c>
      <c r="AQ2537" t="n">
        <v>9</v>
      </c>
      <c r="AR2537" t="n">
        <v>64</v>
      </c>
      <c r="AS2537" t="n">
        <v>32</v>
      </c>
      <c r="AU2537">
        <f>COUNTA($BA$2537:$EH$2537)</f>
        <v/>
      </c>
      <c r="AV2537">
        <f>COUNTIF($BA$2537:$EH$2537,"D")</f>
        <v/>
      </c>
      <c r="AW2537">
        <f>COUNTIF($BA$2537:$EH$2537,"R")</f>
        <v/>
      </c>
      <c r="AX2537">
        <f>IF(BN2537="D",1,0)+IF(BO2537="D",1,0)+IF(BT2537="D",1,0)+IF(BU2537="D",1,0)+IF(BW2537="D",1,0)+IF(CC2537="D",1,0)+IF(CD2537="D",1,0)+IF(CE2537="D",1,0)+IF(CF2537="D",1,0)+IF(CL2537="D",1,0)+IF(CM2537="D",1,0)+IF(CQ2537="D",1,0)+IF(CR2537="D",1,0)+IF(CS2537="D",1,0)+IF(CW2537="D",1,0)+IF(CX2537="D",1,0)+IF(DD2537="D",1,0)+IF(DE2537="D",1,0)+IF(DJ2537="D",1,0)+IF(DK2537="D",1,0)+IF(DO2537="D",1,0)+IF(DP2537="D",1,0)+IF(DQ2537="D",1,0)+IF(DW2537="D",1,0)+IF(DZ2537="D",1,0)+IF(EH2537="D",1,0)</f>
        <v/>
      </c>
      <c r="AY2537">
        <f>IF(DJ2537&lt;&gt;"",1,0)+IF(DK2537&lt;&gt;"",1,0)+IF(DM2537&lt;&gt;"",1,0)+IF(DO2537&lt;&gt;"",1,0)+IF(DP2537&lt;&gt;"",1,0)+IF(DQ2537&lt;&gt;"",1,0)+IF(DS2537&lt;&gt;"",1,0)+IF(DT2537&lt;&gt;"",1,0)+IF(DV2537&lt;&gt;"",1,0)+IF(DW2537&lt;&gt;"",1,0)+IF(DX2537&lt;&gt;"",1,0)+IF(DY2537&lt;&gt;"",1,0)+IF(DZ2537&lt;&gt;"",1,0)+IF(EB2537&lt;&gt;"",1,0)+IF(EC2537&lt;&gt;"",1,0)+IF(ED2537&lt;&gt;"",1,0)+IF(EG2537&lt;&gt;"",1,0)+IF(EH2537&lt;&gt;"",1,0)</f>
        <v/>
      </c>
      <c r="AZ2537">
        <f>IF(EH2537&lt;&gt;"",1,0)</f>
        <v/>
      </c>
      <c r="BB2537" t="inlineStr">
        <is>
          <t>WARREN-WARD 4</t>
        </is>
      </c>
      <c r="BL2537" t="inlineStr">
        <is>
          <t>X</t>
        </is>
      </c>
      <c r="BS2537" t="inlineStr">
        <is>
          <t>X</t>
        </is>
      </c>
      <c r="BY2537" t="inlineStr">
        <is>
          <t>D</t>
        </is>
      </c>
      <c r="CA2537" t="inlineStr">
        <is>
          <t>X</t>
        </is>
      </c>
      <c r="CP2537" t="inlineStr">
        <is>
          <t>X</t>
        </is>
      </c>
      <c r="CY2537" t="inlineStr">
        <is>
          <t>X</t>
        </is>
      </c>
      <c r="CZ2537" t="inlineStr">
        <is>
          <t>D</t>
        </is>
      </c>
      <c r="DC2537" t="inlineStr">
        <is>
          <t>X</t>
        </is>
      </c>
      <c r="DL2537" t="inlineStr">
        <is>
          <t>X</t>
        </is>
      </c>
      <c r="DN2537" t="inlineStr">
        <is>
          <t>X</t>
        </is>
      </c>
      <c r="DU2537" t="inlineStr">
        <is>
          <t>X</t>
        </is>
      </c>
      <c r="DW2537" t="inlineStr">
        <is>
          <t>D</t>
        </is>
      </c>
      <c r="DX2537" t="inlineStr">
        <is>
          <t>X</t>
        </is>
      </c>
      <c r="EA2537" t="inlineStr">
        <is>
          <t>X</t>
        </is>
      </c>
      <c r="EF2537" t="inlineStr">
        <is>
          <t>X</t>
        </is>
      </c>
      <c r="EH2537" t="inlineStr">
        <is>
          <t>D</t>
        </is>
      </c>
    </row>
    <row r="2538">
      <c r="A2538" t="inlineStr">
        <is>
          <t>OH0023335774</t>
        </is>
      </c>
      <c r="B2538" t="n">
        <v>78</v>
      </c>
      <c r="C2538" t="n">
        <v>410707</v>
      </c>
      <c r="D2538" t="inlineStr">
        <is>
          <t>JENKINS</t>
        </is>
      </c>
      <c r="E2538" t="inlineStr">
        <is>
          <t>LEE</t>
        </is>
      </c>
      <c r="F2538">
        <f>CONCATENATE(D2538," ",LEFT(H2538,4),"T=",AU2538,"D=",AV2538,"R=",AW2538,"M=",AX2538,"L=",AY2538,"B=",AZ2538)</f>
        <v/>
      </c>
      <c r="G2538" t="inlineStr">
        <is>
          <t>C</t>
        </is>
      </c>
      <c r="I2538" t="inlineStr">
        <is>
          <t>1980-09-11</t>
        </is>
      </c>
      <c r="J2538" t="inlineStr">
        <is>
          <t>2017-02-21</t>
        </is>
      </c>
      <c r="K2538" t="inlineStr">
        <is>
          <t>ACTIVE</t>
        </is>
      </c>
      <c r="M2538" t="inlineStr">
        <is>
          <t>2174 DRAPER AVE SE</t>
        </is>
      </c>
      <c r="N2538">
        <f>RIGHT(M2538,LEN(M2538)-FIND(" ",M2538))</f>
        <v/>
      </c>
      <c r="P2538" t="inlineStr">
        <is>
          <t>WARREN</t>
        </is>
      </c>
      <c r="Q2538" t="inlineStr">
        <is>
          <t>OH</t>
        </is>
      </c>
      <c r="R2538" t="n">
        <v>44484</v>
      </c>
      <c r="AD2538" t="inlineStr">
        <is>
          <t>TRUMBULL CAREER &amp; TECH CENTER</t>
        </is>
      </c>
      <c r="AE2538" t="inlineStr">
        <is>
          <t>WARREN CITY</t>
        </is>
      </c>
      <c r="AF2538" t="inlineStr">
        <is>
          <t>WARREN CITY SD</t>
        </is>
      </c>
      <c r="AH2538" t="n">
        <v>14</v>
      </c>
      <c r="AI2538" t="n">
        <v>11</v>
      </c>
      <c r="AN2538" t="inlineStr">
        <is>
          <t>WARREN</t>
        </is>
      </c>
      <c r="AO2538" t="inlineStr">
        <is>
          <t>WARREN CITY 4F</t>
        </is>
      </c>
      <c r="AP2538" t="inlineStr">
        <is>
          <t>78-P-ADN</t>
        </is>
      </c>
      <c r="AQ2538" t="n">
        <v>9</v>
      </c>
      <c r="AR2538" t="n">
        <v>64</v>
      </c>
      <c r="AS2538" t="n">
        <v>32</v>
      </c>
      <c r="AU2538">
        <f>COUNTA($BA$2538:$EH$2538)</f>
        <v/>
      </c>
      <c r="AV2538">
        <f>COUNTIF($BA$2538:$EH$2538,"D")</f>
        <v/>
      </c>
      <c r="AW2538">
        <f>COUNTIF($BA$2538:$EH$2538,"R")</f>
        <v/>
      </c>
      <c r="AX2538">
        <f>IF(BN2538="D",1,0)+IF(BO2538="D",1,0)+IF(BT2538="D",1,0)+IF(BU2538="D",1,0)+IF(BW2538="D",1,0)+IF(CC2538="D",1,0)+IF(CD2538="D",1,0)+IF(CE2538="D",1,0)+IF(CF2538="D",1,0)+IF(CL2538="D",1,0)+IF(CM2538="D",1,0)+IF(CQ2538="D",1,0)+IF(CR2538="D",1,0)+IF(CS2538="D",1,0)+IF(CW2538="D",1,0)+IF(CX2538="D",1,0)+IF(DD2538="D",1,0)+IF(DE2538="D",1,0)+IF(DJ2538="D",1,0)+IF(DK2538="D",1,0)+IF(DO2538="D",1,0)+IF(DP2538="D",1,0)+IF(DQ2538="D",1,0)+IF(DW2538="D",1,0)+IF(DZ2538="D",1,0)+IF(EH2538="D",1,0)</f>
        <v/>
      </c>
      <c r="AY2538">
        <f>IF(DJ2538&lt;&gt;"",1,0)+IF(DK2538&lt;&gt;"",1,0)+IF(DM2538&lt;&gt;"",1,0)+IF(DO2538&lt;&gt;"",1,0)+IF(DP2538&lt;&gt;"",1,0)+IF(DQ2538&lt;&gt;"",1,0)+IF(DS2538&lt;&gt;"",1,0)+IF(DT2538&lt;&gt;"",1,0)+IF(DV2538&lt;&gt;"",1,0)+IF(DW2538&lt;&gt;"",1,0)+IF(DX2538&lt;&gt;"",1,0)+IF(DY2538&lt;&gt;"",1,0)+IF(DZ2538&lt;&gt;"",1,0)+IF(EB2538&lt;&gt;"",1,0)+IF(EC2538&lt;&gt;"",1,0)+IF(ED2538&lt;&gt;"",1,0)+IF(EG2538&lt;&gt;"",1,0)+IF(EH2538&lt;&gt;"",1,0)</f>
        <v/>
      </c>
      <c r="AZ2538">
        <f>IF(EH2538&lt;&gt;"",1,0)</f>
        <v/>
      </c>
      <c r="BB2538" t="inlineStr">
        <is>
          <t>WARREN-WARD 4</t>
        </is>
      </c>
    </row>
    <row r="2539">
      <c r="A2539" t="inlineStr">
        <is>
          <t>OH0015757119</t>
        </is>
      </c>
      <c r="B2539" t="n">
        <v>78</v>
      </c>
      <c r="C2539" t="n">
        <v>328809</v>
      </c>
      <c r="D2539" t="inlineStr">
        <is>
          <t>TIBBS</t>
        </is>
      </c>
      <c r="E2539" t="inlineStr">
        <is>
          <t>REBECCA</t>
        </is>
      </c>
      <c r="F2539">
        <f>CONCATENATE(D2539," ",LEFT(H2539,4),"T=",AU2539,"D=",AV2539,"R=",AW2539,"M=",AX2539,"L=",AY2539,"B=",AZ2539)</f>
        <v/>
      </c>
      <c r="G2539" t="inlineStr">
        <is>
          <t>LEE</t>
        </is>
      </c>
      <c r="I2539" t="inlineStr">
        <is>
          <t>1974-07-02</t>
        </is>
      </c>
      <c r="J2539" t="inlineStr">
        <is>
          <t>2016-02-09</t>
        </is>
      </c>
      <c r="K2539" t="inlineStr">
        <is>
          <t>ACTIVE</t>
        </is>
      </c>
      <c r="M2539" t="inlineStr">
        <is>
          <t>1071 WOODBINE AVE SE</t>
        </is>
      </c>
      <c r="N2539">
        <f>RIGHT(M2539,LEN(M2539)-FIND(" ",M2539))</f>
        <v/>
      </c>
      <c r="P2539" t="inlineStr">
        <is>
          <t>WARREN</t>
        </is>
      </c>
      <c r="Q2539" t="inlineStr">
        <is>
          <t>OH</t>
        </is>
      </c>
      <c r="R2539" t="n">
        <v>44484</v>
      </c>
      <c r="AD2539" t="inlineStr">
        <is>
          <t>TRUMBULL CAREER &amp; TECH CENTER</t>
        </is>
      </c>
      <c r="AE2539" t="inlineStr">
        <is>
          <t>WARREN CITY</t>
        </is>
      </c>
      <c r="AF2539" t="inlineStr">
        <is>
          <t>WARREN CITY SD</t>
        </is>
      </c>
      <c r="AH2539" t="n">
        <v>14</v>
      </c>
      <c r="AI2539" t="n">
        <v>11</v>
      </c>
      <c r="AN2539" t="inlineStr">
        <is>
          <t>WARREN</t>
        </is>
      </c>
      <c r="AO2539" t="inlineStr">
        <is>
          <t>WARREN CITY 4F</t>
        </is>
      </c>
      <c r="AP2539" t="inlineStr">
        <is>
          <t>78-P-ADN</t>
        </is>
      </c>
      <c r="AQ2539" t="n">
        <v>9</v>
      </c>
      <c r="AR2539" t="n">
        <v>64</v>
      </c>
      <c r="AS2539" t="n">
        <v>32</v>
      </c>
      <c r="AU2539">
        <f>COUNTA($BA$2539:$EH$2539)</f>
        <v/>
      </c>
      <c r="AV2539">
        <f>COUNTIF($BA$2539:$EH$2539,"D")</f>
        <v/>
      </c>
      <c r="AW2539">
        <f>COUNTIF($BA$2539:$EH$2539,"R")</f>
        <v/>
      </c>
      <c r="AX2539">
        <f>IF(BN2539="D",1,0)+IF(BO2539="D",1,0)+IF(BT2539="D",1,0)+IF(BU2539="D",1,0)+IF(BW2539="D",1,0)+IF(CC2539="D",1,0)+IF(CD2539="D",1,0)+IF(CE2539="D",1,0)+IF(CF2539="D",1,0)+IF(CL2539="D",1,0)+IF(CM2539="D",1,0)+IF(CQ2539="D",1,0)+IF(CR2539="D",1,0)+IF(CS2539="D",1,0)+IF(CW2539="D",1,0)+IF(CX2539="D",1,0)+IF(DD2539="D",1,0)+IF(DE2539="D",1,0)+IF(DJ2539="D",1,0)+IF(DK2539="D",1,0)+IF(DO2539="D",1,0)+IF(DP2539="D",1,0)+IF(DQ2539="D",1,0)+IF(DW2539="D",1,0)+IF(DZ2539="D",1,0)+IF(EH2539="D",1,0)</f>
        <v/>
      </c>
      <c r="AY2539">
        <f>IF(DJ2539&lt;&gt;"",1,0)+IF(DK2539&lt;&gt;"",1,0)+IF(DM2539&lt;&gt;"",1,0)+IF(DO2539&lt;&gt;"",1,0)+IF(DP2539&lt;&gt;"",1,0)+IF(DQ2539&lt;&gt;"",1,0)+IF(DS2539&lt;&gt;"",1,0)+IF(DT2539&lt;&gt;"",1,0)+IF(DV2539&lt;&gt;"",1,0)+IF(DW2539&lt;&gt;"",1,0)+IF(DX2539&lt;&gt;"",1,0)+IF(DY2539&lt;&gt;"",1,0)+IF(DZ2539&lt;&gt;"",1,0)+IF(EB2539&lt;&gt;"",1,0)+IF(EC2539&lt;&gt;"",1,0)+IF(ED2539&lt;&gt;"",1,0)+IF(EG2539&lt;&gt;"",1,0)+IF(EH2539&lt;&gt;"",1,0)</f>
        <v/>
      </c>
      <c r="AZ2539">
        <f>IF(EH2539&lt;&gt;"",1,0)</f>
        <v/>
      </c>
      <c r="BB2539" t="inlineStr">
        <is>
          <t>WARREN-WARD 4</t>
        </is>
      </c>
      <c r="BS2539" t="inlineStr">
        <is>
          <t>X</t>
        </is>
      </c>
      <c r="CA2539" t="inlineStr">
        <is>
          <t>X</t>
        </is>
      </c>
      <c r="CN2539" t="inlineStr">
        <is>
          <t>X</t>
        </is>
      </c>
      <c r="CP2539" t="inlineStr">
        <is>
          <t>X</t>
        </is>
      </c>
      <c r="CV2539" t="inlineStr">
        <is>
          <t>X</t>
        </is>
      </c>
      <c r="CW2539" t="inlineStr">
        <is>
          <t>D</t>
        </is>
      </c>
      <c r="DC2539" t="inlineStr">
        <is>
          <t>X</t>
        </is>
      </c>
      <c r="DI2539" t="inlineStr">
        <is>
          <t>X</t>
        </is>
      </c>
      <c r="DN2539" t="inlineStr">
        <is>
          <t>X</t>
        </is>
      </c>
      <c r="DU2539" t="inlineStr">
        <is>
          <t>X</t>
        </is>
      </c>
      <c r="EA2539" t="inlineStr">
        <is>
          <t>X</t>
        </is>
      </c>
      <c r="EF2539" t="inlineStr">
        <is>
          <t>X</t>
        </is>
      </c>
    </row>
    <row r="2540">
      <c r="A2540" t="inlineStr">
        <is>
          <t>OH0015697599</t>
        </is>
      </c>
      <c r="B2540" t="n">
        <v>78</v>
      </c>
      <c r="C2540" t="n">
        <v>154051</v>
      </c>
      <c r="D2540" t="inlineStr">
        <is>
          <t>BELL</t>
        </is>
      </c>
      <c r="E2540" t="inlineStr">
        <is>
          <t>ELEANOR</t>
        </is>
      </c>
      <c r="F2540">
        <f>CONCATENATE(D2540," ",LEFT(H2540,4),"T=",AU2540,"D=",AV2540,"R=",AW2540,"M=",AX2540,"L=",AY2540,"B=",AZ2540)</f>
        <v/>
      </c>
      <c r="G2540" t="inlineStr">
        <is>
          <t>L</t>
        </is>
      </c>
      <c r="I2540" t="inlineStr">
        <is>
          <t>1956-04-01</t>
        </is>
      </c>
      <c r="J2540" t="inlineStr">
        <is>
          <t>2023-11-28</t>
        </is>
      </c>
      <c r="K2540" t="inlineStr">
        <is>
          <t>ACTIVE</t>
        </is>
      </c>
      <c r="M2540" t="inlineStr">
        <is>
          <t>2610 DUKE AVE SE</t>
        </is>
      </c>
      <c r="N2540">
        <f>RIGHT(M2540,LEN(M2540)-FIND(" ",M2540))</f>
        <v/>
      </c>
      <c r="P2540" t="inlineStr">
        <is>
          <t>WARREN</t>
        </is>
      </c>
      <c r="Q2540" t="inlineStr">
        <is>
          <t>OH</t>
        </is>
      </c>
      <c r="R2540" t="n">
        <v>44484</v>
      </c>
      <c r="AD2540" t="inlineStr">
        <is>
          <t>TRUMBULL CAREER &amp; TECH CENTER</t>
        </is>
      </c>
      <c r="AE2540" t="inlineStr">
        <is>
          <t>WARREN CITY</t>
        </is>
      </c>
      <c r="AF2540" t="inlineStr">
        <is>
          <t>WARREN CITY SD</t>
        </is>
      </c>
      <c r="AH2540" t="n">
        <v>14</v>
      </c>
      <c r="AI2540" t="n">
        <v>11</v>
      </c>
      <c r="AN2540" t="inlineStr">
        <is>
          <t>WARREN</t>
        </is>
      </c>
      <c r="AO2540" t="inlineStr">
        <is>
          <t>WARREN CITY 4F</t>
        </is>
      </c>
      <c r="AP2540" t="inlineStr">
        <is>
          <t>78-P-ADN</t>
        </is>
      </c>
      <c r="AQ2540" t="n">
        <v>9</v>
      </c>
      <c r="AR2540" t="n">
        <v>64</v>
      </c>
      <c r="AS2540" t="n">
        <v>32</v>
      </c>
      <c r="AU2540">
        <f>COUNTA($BA$2540:$EH$2540)</f>
        <v/>
      </c>
      <c r="AV2540">
        <f>COUNTIF($BA$2540:$EH$2540,"D")</f>
        <v/>
      </c>
      <c r="AW2540">
        <f>COUNTIF($BA$2540:$EH$2540,"R")</f>
        <v/>
      </c>
      <c r="AX2540">
        <f>IF(BN2540="D",1,0)+IF(BO2540="D",1,0)+IF(BT2540="D",1,0)+IF(BU2540="D",1,0)+IF(BW2540="D",1,0)+IF(CC2540="D",1,0)+IF(CD2540="D",1,0)+IF(CE2540="D",1,0)+IF(CF2540="D",1,0)+IF(CL2540="D",1,0)+IF(CM2540="D",1,0)+IF(CQ2540="D",1,0)+IF(CR2540="D",1,0)+IF(CS2540="D",1,0)+IF(CW2540="D",1,0)+IF(CX2540="D",1,0)+IF(DD2540="D",1,0)+IF(DE2540="D",1,0)+IF(DJ2540="D",1,0)+IF(DK2540="D",1,0)+IF(DO2540="D",1,0)+IF(DP2540="D",1,0)+IF(DQ2540="D",1,0)+IF(DW2540="D",1,0)+IF(DZ2540="D",1,0)+IF(EH2540="D",1,0)</f>
        <v/>
      </c>
      <c r="AY2540">
        <f>IF(DJ2540&lt;&gt;"",1,0)+IF(DK2540&lt;&gt;"",1,0)+IF(DM2540&lt;&gt;"",1,0)+IF(DO2540&lt;&gt;"",1,0)+IF(DP2540&lt;&gt;"",1,0)+IF(DQ2540&lt;&gt;"",1,0)+IF(DS2540&lt;&gt;"",1,0)+IF(DT2540&lt;&gt;"",1,0)+IF(DV2540&lt;&gt;"",1,0)+IF(DW2540&lt;&gt;"",1,0)+IF(DX2540&lt;&gt;"",1,0)+IF(DY2540&lt;&gt;"",1,0)+IF(DZ2540&lt;&gt;"",1,0)+IF(EB2540&lt;&gt;"",1,0)+IF(EC2540&lt;&gt;"",1,0)+IF(ED2540&lt;&gt;"",1,0)+IF(EG2540&lt;&gt;"",1,0)+IF(EH2540&lt;&gt;"",1,0)</f>
        <v/>
      </c>
      <c r="AZ2540">
        <f>IF(EH2540&lt;&gt;"",1,0)</f>
        <v/>
      </c>
      <c r="BB2540" t="inlineStr">
        <is>
          <t>WARREN-WARD 4</t>
        </is>
      </c>
      <c r="BC2540" t="inlineStr">
        <is>
          <t>X</t>
        </is>
      </c>
      <c r="BD2540" t="inlineStr">
        <is>
          <t>X</t>
        </is>
      </c>
      <c r="BK2540" t="inlineStr">
        <is>
          <t>X</t>
        </is>
      </c>
      <c r="BL2540" t="inlineStr">
        <is>
          <t>X</t>
        </is>
      </c>
      <c r="BP2540" t="inlineStr">
        <is>
          <t>X</t>
        </is>
      </c>
      <c r="BS2540" t="inlineStr">
        <is>
          <t>X</t>
        </is>
      </c>
      <c r="BY2540" t="inlineStr">
        <is>
          <t>D</t>
        </is>
      </c>
      <c r="CA2540" t="inlineStr">
        <is>
          <t>X</t>
        </is>
      </c>
      <c r="CG2540" t="inlineStr">
        <is>
          <t>X</t>
        </is>
      </c>
      <c r="CK2540" t="inlineStr">
        <is>
          <t>X</t>
        </is>
      </c>
      <c r="CN2540" t="inlineStr">
        <is>
          <t>X</t>
        </is>
      </c>
      <c r="CP2540" t="inlineStr">
        <is>
          <t>X</t>
        </is>
      </c>
      <c r="CY2540" t="inlineStr">
        <is>
          <t>X</t>
        </is>
      </c>
      <c r="CZ2540" t="inlineStr">
        <is>
          <t>D</t>
        </is>
      </c>
      <c r="DC2540" t="inlineStr">
        <is>
          <t>X</t>
        </is>
      </c>
      <c r="DI2540" t="inlineStr">
        <is>
          <t>X</t>
        </is>
      </c>
      <c r="DN2540" t="inlineStr">
        <is>
          <t>X</t>
        </is>
      </c>
      <c r="DU2540" t="inlineStr">
        <is>
          <t>X</t>
        </is>
      </c>
      <c r="EA2540" t="inlineStr">
        <is>
          <t>X</t>
        </is>
      </c>
      <c r="EF2540" t="inlineStr">
        <is>
          <t>X</t>
        </is>
      </c>
    </row>
    <row r="2541">
      <c r="A2541" t="inlineStr">
        <is>
          <t>OH0025938951</t>
        </is>
      </c>
      <c r="B2541" t="n">
        <v>78</v>
      </c>
      <c r="C2541" t="n">
        <v>452981</v>
      </c>
      <c r="D2541" t="inlineStr">
        <is>
          <t>TATOR</t>
        </is>
      </c>
      <c r="E2541" t="inlineStr">
        <is>
          <t>CAROLYN</t>
        </is>
      </c>
      <c r="F2541">
        <f>CONCATENATE(D2541," ",LEFT(H2541,4),"T=",AU2541,"D=",AV2541,"R=",AW2541,"M=",AX2541,"L=",AY2541,"B=",AZ2541)</f>
        <v/>
      </c>
      <c r="G2541" t="inlineStr">
        <is>
          <t>G</t>
        </is>
      </c>
      <c r="I2541" t="inlineStr">
        <is>
          <t>1943-03-18</t>
        </is>
      </c>
      <c r="J2541" t="inlineStr">
        <is>
          <t>2020-10-01</t>
        </is>
      </c>
      <c r="K2541" t="inlineStr">
        <is>
          <t>CONFIRMATION</t>
        </is>
      </c>
      <c r="M2541" t="inlineStr">
        <is>
          <t>941 COLUMBIA PL SE</t>
        </is>
      </c>
      <c r="N2541">
        <f>RIGHT(M2541,LEN(M2541)-FIND(" ",M2541))</f>
        <v/>
      </c>
      <c r="P2541" t="inlineStr">
        <is>
          <t>WARREN</t>
        </is>
      </c>
      <c r="Q2541" t="inlineStr">
        <is>
          <t>OH</t>
        </is>
      </c>
      <c r="R2541" t="n">
        <v>44484</v>
      </c>
      <c r="AD2541" t="inlineStr">
        <is>
          <t>TRUMBULL CAREER &amp; TECH CENTER</t>
        </is>
      </c>
      <c r="AE2541" t="inlineStr">
        <is>
          <t>WARREN CITY</t>
        </is>
      </c>
      <c r="AF2541" t="inlineStr">
        <is>
          <t>WARREN CITY SD</t>
        </is>
      </c>
      <c r="AH2541" t="n">
        <v>14</v>
      </c>
      <c r="AI2541" t="n">
        <v>11</v>
      </c>
      <c r="AN2541" t="inlineStr">
        <is>
          <t>WARREN</t>
        </is>
      </c>
      <c r="AO2541" t="inlineStr">
        <is>
          <t>WARREN CITY 4F</t>
        </is>
      </c>
      <c r="AP2541" t="inlineStr">
        <is>
          <t>78-P-ADN</t>
        </is>
      </c>
      <c r="AQ2541" t="n">
        <v>9</v>
      </c>
      <c r="AR2541" t="n">
        <v>64</v>
      </c>
      <c r="AS2541" t="n">
        <v>32</v>
      </c>
      <c r="AU2541">
        <f>COUNTA($BA$2541:$EH$2541)</f>
        <v/>
      </c>
      <c r="AV2541">
        <f>COUNTIF($BA$2541:$EH$2541,"D")</f>
        <v/>
      </c>
      <c r="AW2541">
        <f>COUNTIF($BA$2541:$EH$2541,"R")</f>
        <v/>
      </c>
      <c r="AX2541">
        <f>IF(BN2541="D",1,0)+IF(BO2541="D",1,0)+IF(BT2541="D",1,0)+IF(BU2541="D",1,0)+IF(BW2541="D",1,0)+IF(CC2541="D",1,0)+IF(CD2541="D",1,0)+IF(CE2541="D",1,0)+IF(CF2541="D",1,0)+IF(CL2541="D",1,0)+IF(CM2541="D",1,0)+IF(CQ2541="D",1,0)+IF(CR2541="D",1,0)+IF(CS2541="D",1,0)+IF(CW2541="D",1,0)+IF(CX2541="D",1,0)+IF(DD2541="D",1,0)+IF(DE2541="D",1,0)+IF(DJ2541="D",1,0)+IF(DK2541="D",1,0)+IF(DO2541="D",1,0)+IF(DP2541="D",1,0)+IF(DQ2541="D",1,0)+IF(DW2541="D",1,0)+IF(DZ2541="D",1,0)+IF(EH2541="D",1,0)</f>
        <v/>
      </c>
      <c r="AY2541">
        <f>IF(DJ2541&lt;&gt;"",1,0)+IF(DK2541&lt;&gt;"",1,0)+IF(DM2541&lt;&gt;"",1,0)+IF(DO2541&lt;&gt;"",1,0)+IF(DP2541&lt;&gt;"",1,0)+IF(DQ2541&lt;&gt;"",1,0)+IF(DS2541&lt;&gt;"",1,0)+IF(DT2541&lt;&gt;"",1,0)+IF(DV2541&lt;&gt;"",1,0)+IF(DW2541&lt;&gt;"",1,0)+IF(DX2541&lt;&gt;"",1,0)+IF(DY2541&lt;&gt;"",1,0)+IF(DZ2541&lt;&gt;"",1,0)+IF(EB2541&lt;&gt;"",1,0)+IF(EC2541&lt;&gt;"",1,0)+IF(ED2541&lt;&gt;"",1,0)+IF(EG2541&lt;&gt;"",1,0)+IF(EH2541&lt;&gt;"",1,0)</f>
        <v/>
      </c>
      <c r="AZ2541">
        <f>IF(EH2541&lt;&gt;"",1,0)</f>
        <v/>
      </c>
      <c r="BB2541" t="inlineStr">
        <is>
          <t>WARREN-WARD 4</t>
        </is>
      </c>
    </row>
    <row r="2542">
      <c r="A2542" t="inlineStr">
        <is>
          <t>OH0023488540</t>
        </is>
      </c>
      <c r="B2542" t="n">
        <v>78</v>
      </c>
      <c r="C2542" t="n">
        <v>413576</v>
      </c>
      <c r="D2542" t="inlineStr">
        <is>
          <t>CLEVELAND</t>
        </is>
      </c>
      <c r="E2542" t="inlineStr">
        <is>
          <t>TANIA</t>
        </is>
      </c>
      <c r="F2542">
        <f>CONCATENATE(D2542," ",LEFT(H2542,4),"T=",AU2542,"D=",AV2542,"R=",AW2542,"M=",AX2542,"L=",AY2542,"B=",AZ2542)</f>
        <v/>
      </c>
      <c r="G2542" t="inlineStr">
        <is>
          <t>R</t>
        </is>
      </c>
      <c r="I2542" t="inlineStr">
        <is>
          <t>1998-10-07</t>
        </is>
      </c>
      <c r="J2542" t="inlineStr">
        <is>
          <t>2024-11-05</t>
        </is>
      </c>
      <c r="K2542" t="inlineStr">
        <is>
          <t>ACTIVE</t>
        </is>
      </c>
      <c r="M2542" t="inlineStr">
        <is>
          <t>1578 WOODBINE AVE SE</t>
        </is>
      </c>
      <c r="N2542">
        <f>RIGHT(M2542,LEN(M2542)-FIND(" ",M2542))</f>
        <v/>
      </c>
      <c r="P2542" t="inlineStr">
        <is>
          <t>WARREN</t>
        </is>
      </c>
      <c r="Q2542" t="inlineStr">
        <is>
          <t>OH</t>
        </is>
      </c>
      <c r="R2542" t="n">
        <v>44484</v>
      </c>
      <c r="AD2542" t="inlineStr">
        <is>
          <t>TRUMBULL CAREER &amp; TECH CENTER</t>
        </is>
      </c>
      <c r="AE2542" t="inlineStr">
        <is>
          <t>WARREN CITY</t>
        </is>
      </c>
      <c r="AF2542" t="inlineStr">
        <is>
          <t>WARREN CITY SD</t>
        </is>
      </c>
      <c r="AH2542" t="n">
        <v>14</v>
      </c>
      <c r="AI2542" t="n">
        <v>11</v>
      </c>
      <c r="AN2542" t="inlineStr">
        <is>
          <t>WARREN</t>
        </is>
      </c>
      <c r="AO2542" t="inlineStr">
        <is>
          <t>WARREN CITY 4F</t>
        </is>
      </c>
      <c r="AP2542" t="inlineStr">
        <is>
          <t>78-P-ADN</t>
        </is>
      </c>
      <c r="AQ2542" t="n">
        <v>9</v>
      </c>
      <c r="AR2542" t="n">
        <v>64</v>
      </c>
      <c r="AS2542" t="n">
        <v>32</v>
      </c>
      <c r="AU2542">
        <f>COUNTA($BA$2542:$EH$2542)</f>
        <v/>
      </c>
      <c r="AV2542">
        <f>COUNTIF($BA$2542:$EH$2542,"D")</f>
        <v/>
      </c>
      <c r="AW2542">
        <f>COUNTIF($BA$2542:$EH$2542,"R")</f>
        <v/>
      </c>
      <c r="AX2542">
        <f>IF(BN2542="D",1,0)+IF(BO2542="D",1,0)+IF(BT2542="D",1,0)+IF(BU2542="D",1,0)+IF(BW2542="D",1,0)+IF(CC2542="D",1,0)+IF(CD2542="D",1,0)+IF(CE2542="D",1,0)+IF(CF2542="D",1,0)+IF(CL2542="D",1,0)+IF(CM2542="D",1,0)+IF(CQ2542="D",1,0)+IF(CR2542="D",1,0)+IF(CS2542="D",1,0)+IF(CW2542="D",1,0)+IF(CX2542="D",1,0)+IF(DD2542="D",1,0)+IF(DE2542="D",1,0)+IF(DJ2542="D",1,0)+IF(DK2542="D",1,0)+IF(DO2542="D",1,0)+IF(DP2542="D",1,0)+IF(DQ2542="D",1,0)+IF(DW2542="D",1,0)+IF(DZ2542="D",1,0)+IF(EH2542="D",1,0)</f>
        <v/>
      </c>
      <c r="AY2542">
        <f>IF(DJ2542&lt;&gt;"",1,0)+IF(DK2542&lt;&gt;"",1,0)+IF(DM2542&lt;&gt;"",1,0)+IF(DO2542&lt;&gt;"",1,0)+IF(DP2542&lt;&gt;"",1,0)+IF(DQ2542&lt;&gt;"",1,0)+IF(DS2542&lt;&gt;"",1,0)+IF(DT2542&lt;&gt;"",1,0)+IF(DV2542&lt;&gt;"",1,0)+IF(DW2542&lt;&gt;"",1,0)+IF(DX2542&lt;&gt;"",1,0)+IF(DY2542&lt;&gt;"",1,0)+IF(DZ2542&lt;&gt;"",1,0)+IF(EB2542&lt;&gt;"",1,0)+IF(EC2542&lt;&gt;"",1,0)+IF(ED2542&lt;&gt;"",1,0)+IF(EG2542&lt;&gt;"",1,0)+IF(EH2542&lt;&gt;"",1,0)</f>
        <v/>
      </c>
      <c r="AZ2542">
        <f>IF(EH2542&lt;&gt;"",1,0)</f>
        <v/>
      </c>
      <c r="BB2542" t="inlineStr">
        <is>
          <t>WARREN-WARD 4</t>
        </is>
      </c>
      <c r="DC2542" t="inlineStr">
        <is>
          <t>X</t>
        </is>
      </c>
      <c r="EF2542" t="inlineStr">
        <is>
          <t>X</t>
        </is>
      </c>
    </row>
    <row r="2543">
      <c r="A2543" t="inlineStr">
        <is>
          <t>OH0021782089</t>
        </is>
      </c>
      <c r="B2543" t="n">
        <v>78</v>
      </c>
      <c r="C2543" t="n">
        <v>387236</v>
      </c>
      <c r="D2543" t="inlineStr">
        <is>
          <t>CARNAHAN</t>
        </is>
      </c>
      <c r="E2543" t="inlineStr">
        <is>
          <t>CHRISTY</t>
        </is>
      </c>
      <c r="F2543">
        <f>CONCATENATE(D2543," ",LEFT(H2543,4),"T=",AU2543,"D=",AV2543,"R=",AW2543,"M=",AX2543,"L=",AY2543,"B=",AZ2543)</f>
        <v/>
      </c>
      <c r="G2543" t="inlineStr">
        <is>
          <t>ANN</t>
        </is>
      </c>
      <c r="I2543" t="inlineStr">
        <is>
          <t>1982-09-21</t>
        </is>
      </c>
      <c r="J2543" t="inlineStr">
        <is>
          <t>2024-04-10</t>
        </is>
      </c>
      <c r="K2543" t="inlineStr">
        <is>
          <t>ACTIVE</t>
        </is>
      </c>
      <c r="M2543" t="inlineStr">
        <is>
          <t>1583 TRANSYLVANIA AVE SE</t>
        </is>
      </c>
      <c r="N2543">
        <f>RIGHT(M2543,LEN(M2543)-FIND(" ",M2543))</f>
        <v/>
      </c>
      <c r="P2543" t="inlineStr">
        <is>
          <t>WARREN</t>
        </is>
      </c>
      <c r="Q2543" t="inlineStr">
        <is>
          <t>OH</t>
        </is>
      </c>
      <c r="R2543" t="n">
        <v>44484</v>
      </c>
      <c r="AD2543" t="inlineStr">
        <is>
          <t>TRUMBULL CAREER &amp; TECH CENTER</t>
        </is>
      </c>
      <c r="AE2543" t="inlineStr">
        <is>
          <t>WARREN CITY</t>
        </is>
      </c>
      <c r="AF2543" t="inlineStr">
        <is>
          <t>WARREN CITY SD</t>
        </is>
      </c>
      <c r="AH2543" t="n">
        <v>14</v>
      </c>
      <c r="AI2543" t="n">
        <v>11</v>
      </c>
      <c r="AN2543" t="inlineStr">
        <is>
          <t>WARREN</t>
        </is>
      </c>
      <c r="AO2543" t="inlineStr">
        <is>
          <t>WARREN CITY 4F</t>
        </is>
      </c>
      <c r="AP2543" t="inlineStr">
        <is>
          <t>78-P-ADN</t>
        </is>
      </c>
      <c r="AQ2543" t="n">
        <v>9</v>
      </c>
      <c r="AR2543" t="n">
        <v>64</v>
      </c>
      <c r="AS2543" t="n">
        <v>32</v>
      </c>
      <c r="AU2543">
        <f>COUNTA($BA$2543:$EH$2543)</f>
        <v/>
      </c>
      <c r="AV2543">
        <f>COUNTIF($BA$2543:$EH$2543,"D")</f>
        <v/>
      </c>
      <c r="AW2543">
        <f>COUNTIF($BA$2543:$EH$2543,"R")</f>
        <v/>
      </c>
      <c r="AX2543">
        <f>IF(BN2543="D",1,0)+IF(BO2543="D",1,0)+IF(BT2543="D",1,0)+IF(BU2543="D",1,0)+IF(BW2543="D",1,0)+IF(CC2543="D",1,0)+IF(CD2543="D",1,0)+IF(CE2543="D",1,0)+IF(CF2543="D",1,0)+IF(CL2543="D",1,0)+IF(CM2543="D",1,0)+IF(CQ2543="D",1,0)+IF(CR2543="D",1,0)+IF(CS2543="D",1,0)+IF(CW2543="D",1,0)+IF(CX2543="D",1,0)+IF(DD2543="D",1,0)+IF(DE2543="D",1,0)+IF(DJ2543="D",1,0)+IF(DK2543="D",1,0)+IF(DO2543="D",1,0)+IF(DP2543="D",1,0)+IF(DQ2543="D",1,0)+IF(DW2543="D",1,0)+IF(DZ2543="D",1,0)+IF(EH2543="D",1,0)</f>
        <v/>
      </c>
      <c r="AY2543">
        <f>IF(DJ2543&lt;&gt;"",1,0)+IF(DK2543&lt;&gt;"",1,0)+IF(DM2543&lt;&gt;"",1,0)+IF(DO2543&lt;&gt;"",1,0)+IF(DP2543&lt;&gt;"",1,0)+IF(DQ2543&lt;&gt;"",1,0)+IF(DS2543&lt;&gt;"",1,0)+IF(DT2543&lt;&gt;"",1,0)+IF(DV2543&lt;&gt;"",1,0)+IF(DW2543&lt;&gt;"",1,0)+IF(DX2543&lt;&gt;"",1,0)+IF(DY2543&lt;&gt;"",1,0)+IF(DZ2543&lt;&gt;"",1,0)+IF(EB2543&lt;&gt;"",1,0)+IF(EC2543&lt;&gt;"",1,0)+IF(ED2543&lt;&gt;"",1,0)+IF(EG2543&lt;&gt;"",1,0)+IF(EH2543&lt;&gt;"",1,0)</f>
        <v/>
      </c>
      <c r="AZ2543">
        <f>IF(EH2543&lt;&gt;"",1,0)</f>
        <v/>
      </c>
      <c r="BB2543" t="inlineStr">
        <is>
          <t>WARREN-WARD 4</t>
        </is>
      </c>
      <c r="BL2543" t="inlineStr">
        <is>
          <t>X</t>
        </is>
      </c>
      <c r="CP2543" t="inlineStr">
        <is>
          <t>X</t>
        </is>
      </c>
    </row>
    <row r="2544">
      <c r="A2544" t="inlineStr">
        <is>
          <t>OH0027495612</t>
        </is>
      </c>
      <c r="B2544" t="n">
        <v>78</v>
      </c>
      <c r="C2544" t="n">
        <v>487050</v>
      </c>
      <c r="D2544" t="inlineStr">
        <is>
          <t>SMITH</t>
        </is>
      </c>
      <c r="E2544" t="inlineStr">
        <is>
          <t>NORMAN</t>
        </is>
      </c>
      <c r="F2544">
        <f>CONCATENATE(D2544," ",LEFT(H2544,4),"T=",AU2544,"D=",AV2544,"R=",AW2544,"M=",AX2544,"L=",AY2544,"B=",AZ2544)</f>
        <v/>
      </c>
      <c r="G2544" t="inlineStr">
        <is>
          <t>D</t>
        </is>
      </c>
      <c r="I2544" t="inlineStr">
        <is>
          <t>1970-07-20</t>
        </is>
      </c>
      <c r="J2544" t="inlineStr">
        <is>
          <t>2024-07-31</t>
        </is>
      </c>
      <c r="K2544" t="inlineStr">
        <is>
          <t>ACTIVE</t>
        </is>
      </c>
      <c r="M2544" t="inlineStr">
        <is>
          <t>1516 KENILWORTH AVE SE</t>
        </is>
      </c>
      <c r="N2544">
        <f>RIGHT(M2544,LEN(M2544)-FIND(" ",M2544))</f>
        <v/>
      </c>
      <c r="P2544" t="inlineStr">
        <is>
          <t>WARREN</t>
        </is>
      </c>
      <c r="Q2544" t="inlineStr">
        <is>
          <t>OH</t>
        </is>
      </c>
      <c r="R2544" t="n">
        <v>44484</v>
      </c>
      <c r="AD2544" t="inlineStr">
        <is>
          <t>TRUMBULL CAREER &amp; TECH CENTER</t>
        </is>
      </c>
      <c r="AE2544" t="inlineStr">
        <is>
          <t>WARREN CITY</t>
        </is>
      </c>
      <c r="AF2544" t="inlineStr">
        <is>
          <t>WARREN CITY SD</t>
        </is>
      </c>
      <c r="AH2544" t="n">
        <v>14</v>
      </c>
      <c r="AI2544" t="n">
        <v>11</v>
      </c>
      <c r="AN2544" t="inlineStr">
        <is>
          <t>WARREN</t>
        </is>
      </c>
      <c r="AO2544" t="inlineStr">
        <is>
          <t>WARREN CITY 4F</t>
        </is>
      </c>
      <c r="AP2544" t="inlineStr">
        <is>
          <t>78-P-ADN</t>
        </is>
      </c>
      <c r="AQ2544" t="n">
        <v>9</v>
      </c>
      <c r="AR2544" t="n">
        <v>64</v>
      </c>
      <c r="AS2544" t="n">
        <v>32</v>
      </c>
      <c r="AU2544">
        <f>COUNTA($BA$2544:$EH$2544)</f>
        <v/>
      </c>
      <c r="AV2544">
        <f>COUNTIF($BA$2544:$EH$2544,"D")</f>
        <v/>
      </c>
      <c r="AW2544">
        <f>COUNTIF($BA$2544:$EH$2544,"R")</f>
        <v/>
      </c>
      <c r="AX2544">
        <f>IF(BN2544="D",1,0)+IF(BO2544="D",1,0)+IF(BT2544="D",1,0)+IF(BU2544="D",1,0)+IF(BW2544="D",1,0)+IF(CC2544="D",1,0)+IF(CD2544="D",1,0)+IF(CE2544="D",1,0)+IF(CF2544="D",1,0)+IF(CL2544="D",1,0)+IF(CM2544="D",1,0)+IF(CQ2544="D",1,0)+IF(CR2544="D",1,0)+IF(CS2544="D",1,0)+IF(CW2544="D",1,0)+IF(CX2544="D",1,0)+IF(DD2544="D",1,0)+IF(DE2544="D",1,0)+IF(DJ2544="D",1,0)+IF(DK2544="D",1,0)+IF(DO2544="D",1,0)+IF(DP2544="D",1,0)+IF(DQ2544="D",1,0)+IF(DW2544="D",1,0)+IF(DZ2544="D",1,0)+IF(EH2544="D",1,0)</f>
        <v/>
      </c>
      <c r="AY2544">
        <f>IF(DJ2544&lt;&gt;"",1,0)+IF(DK2544&lt;&gt;"",1,0)+IF(DM2544&lt;&gt;"",1,0)+IF(DO2544&lt;&gt;"",1,0)+IF(DP2544&lt;&gt;"",1,0)+IF(DQ2544&lt;&gt;"",1,0)+IF(DS2544&lt;&gt;"",1,0)+IF(DT2544&lt;&gt;"",1,0)+IF(DV2544&lt;&gt;"",1,0)+IF(DW2544&lt;&gt;"",1,0)+IF(DX2544&lt;&gt;"",1,0)+IF(DY2544&lt;&gt;"",1,0)+IF(DZ2544&lt;&gt;"",1,0)+IF(EB2544&lt;&gt;"",1,0)+IF(EC2544&lt;&gt;"",1,0)+IF(ED2544&lt;&gt;"",1,0)+IF(EG2544&lt;&gt;"",1,0)+IF(EH2544&lt;&gt;"",1,0)</f>
        <v/>
      </c>
      <c r="AZ2544">
        <f>IF(EH2544&lt;&gt;"",1,0)</f>
        <v/>
      </c>
      <c r="BB2544" t="inlineStr">
        <is>
          <t>WARREN-WARD 4</t>
        </is>
      </c>
    </row>
    <row r="2545">
      <c r="A2545" t="inlineStr">
        <is>
          <t>OH0025311133</t>
        </is>
      </c>
      <c r="B2545" t="n">
        <v>78</v>
      </c>
      <c r="C2545" t="n">
        <v>442590</v>
      </c>
      <c r="D2545" t="inlineStr">
        <is>
          <t>MUNSON</t>
        </is>
      </c>
      <c r="E2545" t="inlineStr">
        <is>
          <t>SHANNON</t>
        </is>
      </c>
      <c r="F2545">
        <f>CONCATENATE(D2545," ",LEFT(H2545,4),"T=",AU2545,"D=",AV2545,"R=",AW2545,"M=",AX2545,"L=",AY2545,"B=",AZ2545)</f>
        <v/>
      </c>
      <c r="G2545" t="inlineStr">
        <is>
          <t>M</t>
        </is>
      </c>
      <c r="I2545" t="inlineStr">
        <is>
          <t>1987-02-03</t>
        </is>
      </c>
      <c r="J2545" t="inlineStr">
        <is>
          <t>2020-03-13</t>
        </is>
      </c>
      <c r="K2545" t="inlineStr">
        <is>
          <t>CONFIRMATION</t>
        </is>
      </c>
      <c r="M2545" t="inlineStr">
        <is>
          <t>956 HOMEWOOD AVE SE</t>
        </is>
      </c>
      <c r="N2545">
        <f>RIGHT(M2545,LEN(M2545)-FIND(" ",M2545))</f>
        <v/>
      </c>
      <c r="P2545" t="inlineStr">
        <is>
          <t>WARREN</t>
        </is>
      </c>
      <c r="Q2545" t="inlineStr">
        <is>
          <t>OH</t>
        </is>
      </c>
      <c r="R2545" t="n">
        <v>44484</v>
      </c>
      <c r="AD2545" t="inlineStr">
        <is>
          <t>TRUMBULL CAREER &amp; TECH CENTER</t>
        </is>
      </c>
      <c r="AE2545" t="inlineStr">
        <is>
          <t>WARREN CITY</t>
        </is>
      </c>
      <c r="AF2545" t="inlineStr">
        <is>
          <t>WARREN CITY SD</t>
        </is>
      </c>
      <c r="AH2545" t="n">
        <v>14</v>
      </c>
      <c r="AI2545" t="n">
        <v>11</v>
      </c>
      <c r="AN2545" t="inlineStr">
        <is>
          <t>WARREN</t>
        </is>
      </c>
      <c r="AO2545" t="inlineStr">
        <is>
          <t>WARREN CITY 4F</t>
        </is>
      </c>
      <c r="AP2545" t="inlineStr">
        <is>
          <t>78-P-ADN</t>
        </is>
      </c>
      <c r="AQ2545" t="n">
        <v>9</v>
      </c>
      <c r="AR2545" t="n">
        <v>64</v>
      </c>
      <c r="AS2545" t="n">
        <v>32</v>
      </c>
      <c r="AU2545">
        <f>COUNTA($BA$2545:$EH$2545)</f>
        <v/>
      </c>
      <c r="AV2545">
        <f>COUNTIF($BA$2545:$EH$2545,"D")</f>
        <v/>
      </c>
      <c r="AW2545">
        <f>COUNTIF($BA$2545:$EH$2545,"R")</f>
        <v/>
      </c>
      <c r="AX2545">
        <f>IF(BN2545="D",1,0)+IF(BO2545="D",1,0)+IF(BT2545="D",1,0)+IF(BU2545="D",1,0)+IF(BW2545="D",1,0)+IF(CC2545="D",1,0)+IF(CD2545="D",1,0)+IF(CE2545="D",1,0)+IF(CF2545="D",1,0)+IF(CL2545="D",1,0)+IF(CM2545="D",1,0)+IF(CQ2545="D",1,0)+IF(CR2545="D",1,0)+IF(CS2545="D",1,0)+IF(CW2545="D",1,0)+IF(CX2545="D",1,0)+IF(DD2545="D",1,0)+IF(DE2545="D",1,0)+IF(DJ2545="D",1,0)+IF(DK2545="D",1,0)+IF(DO2545="D",1,0)+IF(DP2545="D",1,0)+IF(DQ2545="D",1,0)+IF(DW2545="D",1,0)+IF(DZ2545="D",1,0)+IF(EH2545="D",1,0)</f>
        <v/>
      </c>
      <c r="AY2545">
        <f>IF(DJ2545&lt;&gt;"",1,0)+IF(DK2545&lt;&gt;"",1,0)+IF(DM2545&lt;&gt;"",1,0)+IF(DO2545&lt;&gt;"",1,0)+IF(DP2545&lt;&gt;"",1,0)+IF(DQ2545&lt;&gt;"",1,0)+IF(DS2545&lt;&gt;"",1,0)+IF(DT2545&lt;&gt;"",1,0)+IF(DV2545&lt;&gt;"",1,0)+IF(DW2545&lt;&gt;"",1,0)+IF(DX2545&lt;&gt;"",1,0)+IF(DY2545&lt;&gt;"",1,0)+IF(DZ2545&lt;&gt;"",1,0)+IF(EB2545&lt;&gt;"",1,0)+IF(EC2545&lt;&gt;"",1,0)+IF(ED2545&lt;&gt;"",1,0)+IF(EG2545&lt;&gt;"",1,0)+IF(EH2545&lt;&gt;"",1,0)</f>
        <v/>
      </c>
      <c r="AZ2545">
        <f>IF(EH2545&lt;&gt;"",1,0)</f>
        <v/>
      </c>
      <c r="BB2545" t="inlineStr">
        <is>
          <t>WARREN-WARD 4</t>
        </is>
      </c>
    </row>
    <row r="2546">
      <c r="A2546" t="inlineStr">
        <is>
          <t>OH0021761582</t>
        </is>
      </c>
      <c r="B2546" t="n">
        <v>78</v>
      </c>
      <c r="C2546" t="n">
        <v>386547</v>
      </c>
      <c r="D2546" t="inlineStr">
        <is>
          <t>HOLMES</t>
        </is>
      </c>
      <c r="E2546" t="inlineStr">
        <is>
          <t>WILLIAM</t>
        </is>
      </c>
      <c r="F2546">
        <f>CONCATENATE(D2546," ",LEFT(H2546,4),"T=",AU2546,"D=",AV2546,"R=",AW2546,"M=",AX2546,"L=",AY2546,"B=",AZ2546)</f>
        <v/>
      </c>
      <c r="G2546" t="inlineStr">
        <is>
          <t>CHRISTOFARO</t>
        </is>
      </c>
      <c r="I2546" t="inlineStr">
        <is>
          <t>1991-07-24</t>
        </is>
      </c>
      <c r="J2546" t="inlineStr">
        <is>
          <t>2017-02-16</t>
        </is>
      </c>
      <c r="K2546" t="inlineStr">
        <is>
          <t>CONFIRMATION</t>
        </is>
      </c>
      <c r="M2546" t="inlineStr">
        <is>
          <t>1158 YOUNGSTOWN RD SE</t>
        </is>
      </c>
      <c r="N2546">
        <f>RIGHT(M2546,LEN(M2546)-FIND(" ",M2546))</f>
        <v/>
      </c>
      <c r="P2546" t="inlineStr">
        <is>
          <t>WARREN</t>
        </is>
      </c>
      <c r="Q2546" t="inlineStr">
        <is>
          <t>OH</t>
        </is>
      </c>
      <c r="R2546" t="n">
        <v>44484</v>
      </c>
      <c r="AD2546" t="inlineStr">
        <is>
          <t>TRUMBULL CAREER &amp; TECH CENTER</t>
        </is>
      </c>
      <c r="AE2546" t="inlineStr">
        <is>
          <t>WARREN CITY</t>
        </is>
      </c>
      <c r="AF2546" t="inlineStr">
        <is>
          <t>WARREN CITY SD</t>
        </is>
      </c>
      <c r="AH2546" t="n">
        <v>14</v>
      </c>
      <c r="AI2546" t="n">
        <v>11</v>
      </c>
      <c r="AN2546" t="inlineStr">
        <is>
          <t>WARREN</t>
        </is>
      </c>
      <c r="AO2546" t="inlineStr">
        <is>
          <t>WARREN CITY 4F</t>
        </is>
      </c>
      <c r="AP2546" t="inlineStr">
        <is>
          <t>78-P-ADN</t>
        </is>
      </c>
      <c r="AQ2546" t="n">
        <v>9</v>
      </c>
      <c r="AR2546" t="n">
        <v>64</v>
      </c>
      <c r="AS2546" t="n">
        <v>32</v>
      </c>
      <c r="AU2546">
        <f>COUNTA($BA$2546:$EH$2546)</f>
        <v/>
      </c>
      <c r="AV2546">
        <f>COUNTIF($BA$2546:$EH$2546,"D")</f>
        <v/>
      </c>
      <c r="AW2546">
        <f>COUNTIF($BA$2546:$EH$2546,"R")</f>
        <v/>
      </c>
      <c r="AX2546">
        <f>IF(BN2546="D",1,0)+IF(BO2546="D",1,0)+IF(BT2546="D",1,0)+IF(BU2546="D",1,0)+IF(BW2546="D",1,0)+IF(CC2546="D",1,0)+IF(CD2546="D",1,0)+IF(CE2546="D",1,0)+IF(CF2546="D",1,0)+IF(CL2546="D",1,0)+IF(CM2546="D",1,0)+IF(CQ2546="D",1,0)+IF(CR2546="D",1,0)+IF(CS2546="D",1,0)+IF(CW2546="D",1,0)+IF(CX2546="D",1,0)+IF(DD2546="D",1,0)+IF(DE2546="D",1,0)+IF(DJ2546="D",1,0)+IF(DK2546="D",1,0)+IF(DO2546="D",1,0)+IF(DP2546="D",1,0)+IF(DQ2546="D",1,0)+IF(DW2546="D",1,0)+IF(DZ2546="D",1,0)+IF(EH2546="D",1,0)</f>
        <v/>
      </c>
      <c r="AY2546">
        <f>IF(DJ2546&lt;&gt;"",1,0)+IF(DK2546&lt;&gt;"",1,0)+IF(DM2546&lt;&gt;"",1,0)+IF(DO2546&lt;&gt;"",1,0)+IF(DP2546&lt;&gt;"",1,0)+IF(DQ2546&lt;&gt;"",1,0)+IF(DS2546&lt;&gt;"",1,0)+IF(DT2546&lt;&gt;"",1,0)+IF(DV2546&lt;&gt;"",1,0)+IF(DW2546&lt;&gt;"",1,0)+IF(DX2546&lt;&gt;"",1,0)+IF(DY2546&lt;&gt;"",1,0)+IF(DZ2546&lt;&gt;"",1,0)+IF(EB2546&lt;&gt;"",1,0)+IF(EC2546&lt;&gt;"",1,0)+IF(ED2546&lt;&gt;"",1,0)+IF(EG2546&lt;&gt;"",1,0)+IF(EH2546&lt;&gt;"",1,0)</f>
        <v/>
      </c>
      <c r="AZ2546">
        <f>IF(EH2546&lt;&gt;"",1,0)</f>
        <v/>
      </c>
      <c r="BB2546" t="inlineStr">
        <is>
          <t>WARREN-WARD 4</t>
        </is>
      </c>
    </row>
    <row r="2547">
      <c r="A2547" t="inlineStr">
        <is>
          <t>OH0015821609</t>
        </is>
      </c>
      <c r="B2547" t="n">
        <v>78</v>
      </c>
      <c r="C2547" t="n">
        <v>279629</v>
      </c>
      <c r="D2547" t="inlineStr">
        <is>
          <t>WASHINGTON</t>
        </is>
      </c>
      <c r="E2547" t="inlineStr">
        <is>
          <t>ANCIL</t>
        </is>
      </c>
      <c r="F2547">
        <f>CONCATENATE(D2547," ",LEFT(H2547,4),"T=",AU2547,"D=",AV2547,"R=",AW2547,"M=",AX2547,"L=",AY2547,"B=",AZ2547)</f>
        <v/>
      </c>
      <c r="G2547" t="inlineStr">
        <is>
          <t>L</t>
        </is>
      </c>
      <c r="H2547" t="inlineStr">
        <is>
          <t>III</t>
        </is>
      </c>
      <c r="I2547" t="inlineStr">
        <is>
          <t>1979-04-02</t>
        </is>
      </c>
      <c r="J2547" t="inlineStr">
        <is>
          <t>2018-04-23</t>
        </is>
      </c>
      <c r="K2547" t="inlineStr">
        <is>
          <t>CONFIRMATION</t>
        </is>
      </c>
      <c r="M2547" t="inlineStr">
        <is>
          <t>1028 HOMEWOOD AVE SE</t>
        </is>
      </c>
      <c r="N2547">
        <f>RIGHT(M2547,LEN(M2547)-FIND(" ",M2547))</f>
        <v/>
      </c>
      <c r="P2547" t="inlineStr">
        <is>
          <t>WARREN</t>
        </is>
      </c>
      <c r="Q2547" t="inlineStr">
        <is>
          <t>OH</t>
        </is>
      </c>
      <c r="R2547" t="n">
        <v>44484</v>
      </c>
      <c r="AD2547" t="inlineStr">
        <is>
          <t>TRUMBULL CAREER &amp; TECH CENTER</t>
        </is>
      </c>
      <c r="AE2547" t="inlineStr">
        <is>
          <t>WARREN CITY</t>
        </is>
      </c>
      <c r="AF2547" t="inlineStr">
        <is>
          <t>WARREN CITY SD</t>
        </is>
      </c>
      <c r="AH2547" t="n">
        <v>14</v>
      </c>
      <c r="AI2547" t="n">
        <v>11</v>
      </c>
      <c r="AN2547" t="inlineStr">
        <is>
          <t>WARREN</t>
        </is>
      </c>
      <c r="AO2547" t="inlineStr">
        <is>
          <t>WARREN CITY 4F</t>
        </is>
      </c>
      <c r="AP2547" t="inlineStr">
        <is>
          <t>78-P-ADN</t>
        </is>
      </c>
      <c r="AQ2547" t="n">
        <v>9</v>
      </c>
      <c r="AR2547" t="n">
        <v>64</v>
      </c>
      <c r="AS2547" t="n">
        <v>32</v>
      </c>
      <c r="AU2547">
        <f>COUNTA($BA$2547:$EH$2547)</f>
        <v/>
      </c>
      <c r="AV2547">
        <f>COUNTIF($BA$2547:$EH$2547,"D")</f>
        <v/>
      </c>
      <c r="AW2547">
        <f>COUNTIF($BA$2547:$EH$2547,"R")</f>
        <v/>
      </c>
      <c r="AX2547">
        <f>IF(BN2547="D",1,0)+IF(BO2547="D",1,0)+IF(BT2547="D",1,0)+IF(BU2547="D",1,0)+IF(BW2547="D",1,0)+IF(CC2547="D",1,0)+IF(CD2547="D",1,0)+IF(CE2547="D",1,0)+IF(CF2547="D",1,0)+IF(CL2547="D",1,0)+IF(CM2547="D",1,0)+IF(CQ2547="D",1,0)+IF(CR2547="D",1,0)+IF(CS2547="D",1,0)+IF(CW2547="D",1,0)+IF(CX2547="D",1,0)+IF(DD2547="D",1,0)+IF(DE2547="D",1,0)+IF(DJ2547="D",1,0)+IF(DK2547="D",1,0)+IF(DO2547="D",1,0)+IF(DP2547="D",1,0)+IF(DQ2547="D",1,0)+IF(DW2547="D",1,0)+IF(DZ2547="D",1,0)+IF(EH2547="D",1,0)</f>
        <v/>
      </c>
      <c r="AY2547">
        <f>IF(DJ2547&lt;&gt;"",1,0)+IF(DK2547&lt;&gt;"",1,0)+IF(DM2547&lt;&gt;"",1,0)+IF(DO2547&lt;&gt;"",1,0)+IF(DP2547&lt;&gt;"",1,0)+IF(DQ2547&lt;&gt;"",1,0)+IF(DS2547&lt;&gt;"",1,0)+IF(DT2547&lt;&gt;"",1,0)+IF(DV2547&lt;&gt;"",1,0)+IF(DW2547&lt;&gt;"",1,0)+IF(DX2547&lt;&gt;"",1,0)+IF(DY2547&lt;&gt;"",1,0)+IF(DZ2547&lt;&gt;"",1,0)+IF(EB2547&lt;&gt;"",1,0)+IF(EC2547&lt;&gt;"",1,0)+IF(ED2547&lt;&gt;"",1,0)+IF(EG2547&lt;&gt;"",1,0)+IF(EH2547&lt;&gt;"",1,0)</f>
        <v/>
      </c>
      <c r="AZ2547">
        <f>IF(EH2547&lt;&gt;"",1,0)</f>
        <v/>
      </c>
      <c r="BB2547" t="inlineStr">
        <is>
          <t>WARREN-WARD 4</t>
        </is>
      </c>
      <c r="BG2547" t="inlineStr">
        <is>
          <t>X</t>
        </is>
      </c>
      <c r="BL2547" t="inlineStr">
        <is>
          <t>X</t>
        </is>
      </c>
      <c r="CP2547" t="inlineStr">
        <is>
          <t>X</t>
        </is>
      </c>
    </row>
    <row r="2548">
      <c r="A2548" t="inlineStr">
        <is>
          <t>OH0027985928</t>
        </is>
      </c>
      <c r="B2548" t="n">
        <v>78</v>
      </c>
      <c r="C2548" t="n">
        <v>496474</v>
      </c>
      <c r="D2548" t="inlineStr">
        <is>
          <t>MCCORKLE</t>
        </is>
      </c>
      <c r="E2548" t="inlineStr">
        <is>
          <t>SATEKIA</t>
        </is>
      </c>
      <c r="F2548">
        <f>CONCATENATE(D2548," ",LEFT(H2548,4),"T=",AU2548,"D=",AV2548,"R=",AW2548,"M=",AX2548,"L=",AY2548,"B=",AZ2548)</f>
        <v/>
      </c>
      <c r="G2548" t="inlineStr">
        <is>
          <t>I</t>
        </is>
      </c>
      <c r="I2548" t="inlineStr">
        <is>
          <t>1983-09-09</t>
        </is>
      </c>
      <c r="J2548" t="inlineStr">
        <is>
          <t>2025-06-09</t>
        </is>
      </c>
      <c r="K2548" t="inlineStr">
        <is>
          <t>ACTIVE</t>
        </is>
      </c>
      <c r="M2548" t="inlineStr">
        <is>
          <t>937 HOMEWOOD AVE SE</t>
        </is>
      </c>
      <c r="N2548">
        <f>RIGHT(M2548,LEN(M2548)-FIND(" ",M2548))</f>
        <v/>
      </c>
      <c r="P2548" t="inlineStr">
        <is>
          <t>WARREN</t>
        </is>
      </c>
      <c r="Q2548" t="inlineStr">
        <is>
          <t>OH</t>
        </is>
      </c>
      <c r="R2548" t="n">
        <v>44484</v>
      </c>
      <c r="AD2548" t="inlineStr">
        <is>
          <t>TRUMBULL CAREER &amp; TECH CENTER</t>
        </is>
      </c>
      <c r="AE2548" t="inlineStr">
        <is>
          <t>WARREN CITY</t>
        </is>
      </c>
      <c r="AF2548" t="inlineStr">
        <is>
          <t>WARREN CITY SD</t>
        </is>
      </c>
      <c r="AH2548" t="n">
        <v>14</v>
      </c>
      <c r="AI2548" t="n">
        <v>11</v>
      </c>
      <c r="AN2548" t="inlineStr">
        <is>
          <t>WARREN</t>
        </is>
      </c>
      <c r="AO2548" t="inlineStr">
        <is>
          <t>WARREN CITY 4F</t>
        </is>
      </c>
      <c r="AP2548" t="inlineStr">
        <is>
          <t>78-P-ADN</t>
        </is>
      </c>
      <c r="AQ2548" t="n">
        <v>9</v>
      </c>
      <c r="AR2548" t="n">
        <v>64</v>
      </c>
      <c r="AS2548" t="n">
        <v>32</v>
      </c>
      <c r="AU2548">
        <f>COUNTA($BA$2548:$EH$2548)</f>
        <v/>
      </c>
      <c r="AV2548">
        <f>COUNTIF($BA$2548:$EH$2548,"D")</f>
        <v/>
      </c>
      <c r="AW2548">
        <f>COUNTIF($BA$2548:$EH$2548,"R")</f>
        <v/>
      </c>
      <c r="AX2548">
        <f>IF(BN2548="D",1,0)+IF(BO2548="D",1,0)+IF(BT2548="D",1,0)+IF(BU2548="D",1,0)+IF(BW2548="D",1,0)+IF(CC2548="D",1,0)+IF(CD2548="D",1,0)+IF(CE2548="D",1,0)+IF(CF2548="D",1,0)+IF(CL2548="D",1,0)+IF(CM2548="D",1,0)+IF(CQ2548="D",1,0)+IF(CR2548="D",1,0)+IF(CS2548="D",1,0)+IF(CW2548="D",1,0)+IF(CX2548="D",1,0)+IF(DD2548="D",1,0)+IF(DE2548="D",1,0)+IF(DJ2548="D",1,0)+IF(DK2548="D",1,0)+IF(DO2548="D",1,0)+IF(DP2548="D",1,0)+IF(DQ2548="D",1,0)+IF(DW2548="D",1,0)+IF(DZ2548="D",1,0)+IF(EH2548="D",1,0)</f>
        <v/>
      </c>
      <c r="AY2548">
        <f>IF(DJ2548&lt;&gt;"",1,0)+IF(DK2548&lt;&gt;"",1,0)+IF(DM2548&lt;&gt;"",1,0)+IF(DO2548&lt;&gt;"",1,0)+IF(DP2548&lt;&gt;"",1,0)+IF(DQ2548&lt;&gt;"",1,0)+IF(DS2548&lt;&gt;"",1,0)+IF(DT2548&lt;&gt;"",1,0)+IF(DV2548&lt;&gt;"",1,0)+IF(DW2548&lt;&gt;"",1,0)+IF(DX2548&lt;&gt;"",1,0)+IF(DY2548&lt;&gt;"",1,0)+IF(DZ2548&lt;&gt;"",1,0)+IF(EB2548&lt;&gt;"",1,0)+IF(EC2548&lt;&gt;"",1,0)+IF(ED2548&lt;&gt;"",1,0)+IF(EG2548&lt;&gt;"",1,0)+IF(EH2548&lt;&gt;"",1,0)</f>
        <v/>
      </c>
      <c r="AZ2548">
        <f>IF(EH2548&lt;&gt;"",1,0)</f>
        <v/>
      </c>
      <c r="BB2548" t="inlineStr">
        <is>
          <t>WARREN-WARD 4</t>
        </is>
      </c>
      <c r="BL2548" t="inlineStr">
        <is>
          <t>X</t>
        </is>
      </c>
      <c r="CA2548" t="inlineStr">
        <is>
          <t>X</t>
        </is>
      </c>
      <c r="CP2548" t="inlineStr">
        <is>
          <t>X</t>
        </is>
      </c>
      <c r="DI2548" t="inlineStr">
        <is>
          <t>X</t>
        </is>
      </c>
    </row>
    <row r="2549">
      <c r="A2549" t="inlineStr">
        <is>
          <t>OH0015678607</t>
        </is>
      </c>
      <c r="B2549" t="n">
        <v>78</v>
      </c>
      <c r="C2549" t="n">
        <v>308902</v>
      </c>
      <c r="D2549" t="inlineStr">
        <is>
          <t>BROWN</t>
        </is>
      </c>
      <c r="E2549" t="inlineStr">
        <is>
          <t>MITCHELL</t>
        </is>
      </c>
      <c r="F2549">
        <f>CONCATENATE(D2549," ",LEFT(H2549,4),"T=",AU2549,"D=",AV2549,"R=",AW2549,"M=",AX2549,"L=",AY2549,"B=",AZ2549)</f>
        <v/>
      </c>
      <c r="G2549" t="inlineStr">
        <is>
          <t>ANDRE</t>
        </is>
      </c>
      <c r="I2549" t="inlineStr">
        <is>
          <t>1962-07-06</t>
        </is>
      </c>
      <c r="J2549" t="inlineStr">
        <is>
          <t>2019-11-08</t>
        </is>
      </c>
      <c r="K2549" t="inlineStr">
        <is>
          <t>CONFIRMATION</t>
        </is>
      </c>
      <c r="M2549" t="inlineStr">
        <is>
          <t>937 HOMEWOOD AVE SE</t>
        </is>
      </c>
      <c r="N2549">
        <f>RIGHT(M2549,LEN(M2549)-FIND(" ",M2549))</f>
        <v/>
      </c>
      <c r="P2549" t="inlineStr">
        <is>
          <t>WARREN</t>
        </is>
      </c>
      <c r="Q2549" t="inlineStr">
        <is>
          <t>OH</t>
        </is>
      </c>
      <c r="R2549" t="n">
        <v>44484</v>
      </c>
      <c r="AD2549" t="inlineStr">
        <is>
          <t>TRUMBULL CAREER &amp; TECH CENTER</t>
        </is>
      </c>
      <c r="AE2549" t="inlineStr">
        <is>
          <t>WARREN CITY</t>
        </is>
      </c>
      <c r="AF2549" t="inlineStr">
        <is>
          <t>WARREN CITY SD</t>
        </is>
      </c>
      <c r="AH2549" t="n">
        <v>14</v>
      </c>
      <c r="AI2549" t="n">
        <v>11</v>
      </c>
      <c r="AN2549" t="inlineStr">
        <is>
          <t>WARREN</t>
        </is>
      </c>
      <c r="AO2549" t="inlineStr">
        <is>
          <t>WARREN CITY 4F</t>
        </is>
      </c>
      <c r="AP2549" t="inlineStr">
        <is>
          <t>78-P-ADN</t>
        </is>
      </c>
      <c r="AQ2549" t="n">
        <v>9</v>
      </c>
      <c r="AR2549" t="n">
        <v>64</v>
      </c>
      <c r="AS2549" t="n">
        <v>32</v>
      </c>
      <c r="AU2549">
        <f>COUNTA($BA$2549:$EH$2549)</f>
        <v/>
      </c>
      <c r="AV2549">
        <f>COUNTIF($BA$2549:$EH$2549,"D")</f>
        <v/>
      </c>
      <c r="AW2549">
        <f>COUNTIF($BA$2549:$EH$2549,"R")</f>
        <v/>
      </c>
      <c r="AX2549">
        <f>IF(BN2549="D",1,0)+IF(BO2549="D",1,0)+IF(BT2549="D",1,0)+IF(BU2549="D",1,0)+IF(BW2549="D",1,0)+IF(CC2549="D",1,0)+IF(CD2549="D",1,0)+IF(CE2549="D",1,0)+IF(CF2549="D",1,0)+IF(CL2549="D",1,0)+IF(CM2549="D",1,0)+IF(CQ2549="D",1,0)+IF(CR2549="D",1,0)+IF(CS2549="D",1,0)+IF(CW2549="D",1,0)+IF(CX2549="D",1,0)+IF(DD2549="D",1,0)+IF(DE2549="D",1,0)+IF(DJ2549="D",1,0)+IF(DK2549="D",1,0)+IF(DO2549="D",1,0)+IF(DP2549="D",1,0)+IF(DQ2549="D",1,0)+IF(DW2549="D",1,0)+IF(DZ2549="D",1,0)+IF(EH2549="D",1,0)</f>
        <v/>
      </c>
      <c r="AY2549">
        <f>IF(DJ2549&lt;&gt;"",1,0)+IF(DK2549&lt;&gt;"",1,0)+IF(DM2549&lt;&gt;"",1,0)+IF(DO2549&lt;&gt;"",1,0)+IF(DP2549&lt;&gt;"",1,0)+IF(DQ2549&lt;&gt;"",1,0)+IF(DS2549&lt;&gt;"",1,0)+IF(DT2549&lt;&gt;"",1,0)+IF(DV2549&lt;&gt;"",1,0)+IF(DW2549&lt;&gt;"",1,0)+IF(DX2549&lt;&gt;"",1,0)+IF(DY2549&lt;&gt;"",1,0)+IF(DZ2549&lt;&gt;"",1,0)+IF(EB2549&lt;&gt;"",1,0)+IF(EC2549&lt;&gt;"",1,0)+IF(ED2549&lt;&gt;"",1,0)+IF(EG2549&lt;&gt;"",1,0)+IF(EH2549&lt;&gt;"",1,0)</f>
        <v/>
      </c>
      <c r="AZ2549">
        <f>IF(EH2549&lt;&gt;"",1,0)</f>
        <v/>
      </c>
      <c r="BB2549" t="inlineStr">
        <is>
          <t>WARREN-WARD 4</t>
        </is>
      </c>
    </row>
    <row r="2550">
      <c r="A2550" t="inlineStr">
        <is>
          <t>OH0027180406</t>
        </is>
      </c>
      <c r="B2550" t="n">
        <v>78</v>
      </c>
      <c r="C2550" t="n">
        <v>478308</v>
      </c>
      <c r="D2550" t="inlineStr">
        <is>
          <t>LONGWELL</t>
        </is>
      </c>
      <c r="E2550" t="inlineStr">
        <is>
          <t>SKYLER</t>
        </is>
      </c>
      <c r="F2550">
        <f>CONCATENATE(D2550," ",LEFT(H2550,4),"T=",AU2550,"D=",AV2550,"R=",AW2550,"M=",AX2550,"L=",AY2550,"B=",AZ2550)</f>
        <v/>
      </c>
      <c r="G2550" t="inlineStr">
        <is>
          <t>RIDGE</t>
        </is>
      </c>
      <c r="I2550" t="inlineStr">
        <is>
          <t>1990-04-14</t>
        </is>
      </c>
      <c r="J2550" t="inlineStr">
        <is>
          <t>2023-11-21</t>
        </is>
      </c>
      <c r="K2550" t="inlineStr">
        <is>
          <t>ACTIVE</t>
        </is>
      </c>
      <c r="M2550" t="inlineStr">
        <is>
          <t>1140 YOUNGSTOWN RD SE</t>
        </is>
      </c>
      <c r="N2550">
        <f>RIGHT(M2550,LEN(M2550)-FIND(" ",M2550))</f>
        <v/>
      </c>
      <c r="P2550" t="inlineStr">
        <is>
          <t>WARREN</t>
        </is>
      </c>
      <c r="Q2550" t="inlineStr">
        <is>
          <t>OH</t>
        </is>
      </c>
      <c r="R2550" t="n">
        <v>44484</v>
      </c>
      <c r="AD2550" t="inlineStr">
        <is>
          <t>TRUMBULL CAREER &amp; TECH CENTER</t>
        </is>
      </c>
      <c r="AE2550" t="inlineStr">
        <is>
          <t>WARREN CITY</t>
        </is>
      </c>
      <c r="AF2550" t="inlineStr">
        <is>
          <t>WARREN CITY SD</t>
        </is>
      </c>
      <c r="AH2550" t="n">
        <v>14</v>
      </c>
      <c r="AI2550" t="n">
        <v>11</v>
      </c>
      <c r="AN2550" t="inlineStr">
        <is>
          <t>WARREN</t>
        </is>
      </c>
      <c r="AO2550" t="inlineStr">
        <is>
          <t>WARREN CITY 4F</t>
        </is>
      </c>
      <c r="AP2550" t="inlineStr">
        <is>
          <t>78-P-ADN</t>
        </is>
      </c>
      <c r="AQ2550" t="n">
        <v>9</v>
      </c>
      <c r="AR2550" t="n">
        <v>64</v>
      </c>
      <c r="AS2550" t="n">
        <v>32</v>
      </c>
      <c r="AU2550">
        <f>COUNTA($BA$2550:$EH$2550)</f>
        <v/>
      </c>
      <c r="AV2550">
        <f>COUNTIF($BA$2550:$EH$2550,"D")</f>
        <v/>
      </c>
      <c r="AW2550">
        <f>COUNTIF($BA$2550:$EH$2550,"R")</f>
        <v/>
      </c>
      <c r="AX2550">
        <f>IF(BN2550="D",1,0)+IF(BO2550="D",1,0)+IF(BT2550="D",1,0)+IF(BU2550="D",1,0)+IF(BW2550="D",1,0)+IF(CC2550="D",1,0)+IF(CD2550="D",1,0)+IF(CE2550="D",1,0)+IF(CF2550="D",1,0)+IF(CL2550="D",1,0)+IF(CM2550="D",1,0)+IF(CQ2550="D",1,0)+IF(CR2550="D",1,0)+IF(CS2550="D",1,0)+IF(CW2550="D",1,0)+IF(CX2550="D",1,0)+IF(DD2550="D",1,0)+IF(DE2550="D",1,0)+IF(DJ2550="D",1,0)+IF(DK2550="D",1,0)+IF(DO2550="D",1,0)+IF(DP2550="D",1,0)+IF(DQ2550="D",1,0)+IF(DW2550="D",1,0)+IF(DZ2550="D",1,0)+IF(EH2550="D",1,0)</f>
        <v/>
      </c>
      <c r="AY2550">
        <f>IF(DJ2550&lt;&gt;"",1,0)+IF(DK2550&lt;&gt;"",1,0)+IF(DM2550&lt;&gt;"",1,0)+IF(DO2550&lt;&gt;"",1,0)+IF(DP2550&lt;&gt;"",1,0)+IF(DQ2550&lt;&gt;"",1,0)+IF(DS2550&lt;&gt;"",1,0)+IF(DT2550&lt;&gt;"",1,0)+IF(DV2550&lt;&gt;"",1,0)+IF(DW2550&lt;&gt;"",1,0)+IF(DX2550&lt;&gt;"",1,0)+IF(DY2550&lt;&gt;"",1,0)+IF(DZ2550&lt;&gt;"",1,0)+IF(EB2550&lt;&gt;"",1,0)+IF(EC2550&lt;&gt;"",1,0)+IF(ED2550&lt;&gt;"",1,0)+IF(EG2550&lt;&gt;"",1,0)+IF(EH2550&lt;&gt;"",1,0)</f>
        <v/>
      </c>
      <c r="AZ2550">
        <f>IF(EH2550&lt;&gt;"",1,0)</f>
        <v/>
      </c>
      <c r="BB2550" t="inlineStr">
        <is>
          <t>WARREN-WARD 4</t>
        </is>
      </c>
      <c r="EF2550" t="inlineStr">
        <is>
          <t>X</t>
        </is>
      </c>
    </row>
    <row r="2551">
      <c r="A2551" t="inlineStr">
        <is>
          <t>OH0021754611</t>
        </is>
      </c>
      <c r="B2551" t="n">
        <v>78</v>
      </c>
      <c r="C2551" t="n">
        <v>348124</v>
      </c>
      <c r="D2551" t="inlineStr">
        <is>
          <t>HERBERT</t>
        </is>
      </c>
      <c r="E2551" t="inlineStr">
        <is>
          <t>WILLIAM</t>
        </is>
      </c>
      <c r="F2551">
        <f>CONCATENATE(D2551," ",LEFT(H2551,4),"T=",AU2551,"D=",AV2551,"R=",AW2551,"M=",AX2551,"L=",AY2551,"B=",AZ2551)</f>
        <v/>
      </c>
      <c r="G2551" t="inlineStr">
        <is>
          <t>J</t>
        </is>
      </c>
      <c r="I2551" t="inlineStr">
        <is>
          <t>1962-10-11</t>
        </is>
      </c>
      <c r="J2551" t="inlineStr">
        <is>
          <t>2020-09-06</t>
        </is>
      </c>
      <c r="K2551" t="inlineStr">
        <is>
          <t>ACTIVE</t>
        </is>
      </c>
      <c r="M2551" t="inlineStr">
        <is>
          <t>1624 ADELAIDE AVE SE</t>
        </is>
      </c>
      <c r="N2551">
        <f>RIGHT(M2551,LEN(M2551)-FIND(" ",M2551))</f>
        <v/>
      </c>
      <c r="P2551" t="inlineStr">
        <is>
          <t>WARREN</t>
        </is>
      </c>
      <c r="Q2551" t="inlineStr">
        <is>
          <t>OH</t>
        </is>
      </c>
      <c r="R2551" t="n">
        <v>44484</v>
      </c>
      <c r="AD2551" t="inlineStr">
        <is>
          <t>TRUMBULL CAREER &amp; TECH CENTER</t>
        </is>
      </c>
      <c r="AE2551" t="inlineStr">
        <is>
          <t>WARREN CITY</t>
        </is>
      </c>
      <c r="AF2551" t="inlineStr">
        <is>
          <t>WARREN CITY SD</t>
        </is>
      </c>
      <c r="AH2551" t="n">
        <v>14</v>
      </c>
      <c r="AI2551" t="n">
        <v>11</v>
      </c>
      <c r="AN2551" t="inlineStr">
        <is>
          <t>WARREN</t>
        </is>
      </c>
      <c r="AO2551" t="inlineStr">
        <is>
          <t>WARREN CITY 4F</t>
        </is>
      </c>
      <c r="AP2551" t="inlineStr">
        <is>
          <t>78-P-ADN</t>
        </is>
      </c>
      <c r="AQ2551" t="n">
        <v>9</v>
      </c>
      <c r="AR2551" t="n">
        <v>64</v>
      </c>
      <c r="AS2551" t="n">
        <v>32</v>
      </c>
      <c r="AU2551">
        <f>COUNTA($BA$2551:$EH$2551)</f>
        <v/>
      </c>
      <c r="AV2551">
        <f>COUNTIF($BA$2551:$EH$2551,"D")</f>
        <v/>
      </c>
      <c r="AW2551">
        <f>COUNTIF($BA$2551:$EH$2551,"R")</f>
        <v/>
      </c>
      <c r="AX2551">
        <f>IF(BN2551="D",1,0)+IF(BO2551="D",1,0)+IF(BT2551="D",1,0)+IF(BU2551="D",1,0)+IF(BW2551="D",1,0)+IF(CC2551="D",1,0)+IF(CD2551="D",1,0)+IF(CE2551="D",1,0)+IF(CF2551="D",1,0)+IF(CL2551="D",1,0)+IF(CM2551="D",1,0)+IF(CQ2551="D",1,0)+IF(CR2551="D",1,0)+IF(CS2551="D",1,0)+IF(CW2551="D",1,0)+IF(CX2551="D",1,0)+IF(DD2551="D",1,0)+IF(DE2551="D",1,0)+IF(DJ2551="D",1,0)+IF(DK2551="D",1,0)+IF(DO2551="D",1,0)+IF(DP2551="D",1,0)+IF(DQ2551="D",1,0)+IF(DW2551="D",1,0)+IF(DZ2551="D",1,0)+IF(EH2551="D",1,0)</f>
        <v/>
      </c>
      <c r="AY2551">
        <f>IF(DJ2551&lt;&gt;"",1,0)+IF(DK2551&lt;&gt;"",1,0)+IF(DM2551&lt;&gt;"",1,0)+IF(DO2551&lt;&gt;"",1,0)+IF(DP2551&lt;&gt;"",1,0)+IF(DQ2551&lt;&gt;"",1,0)+IF(DS2551&lt;&gt;"",1,0)+IF(DT2551&lt;&gt;"",1,0)+IF(DV2551&lt;&gt;"",1,0)+IF(DW2551&lt;&gt;"",1,0)+IF(DX2551&lt;&gt;"",1,0)+IF(DY2551&lt;&gt;"",1,0)+IF(DZ2551&lt;&gt;"",1,0)+IF(EB2551&lt;&gt;"",1,0)+IF(EC2551&lt;&gt;"",1,0)+IF(ED2551&lt;&gt;"",1,0)+IF(EG2551&lt;&gt;"",1,0)+IF(EH2551&lt;&gt;"",1,0)</f>
        <v/>
      </c>
      <c r="AZ2551">
        <f>IF(EH2551&lt;&gt;"",1,0)</f>
        <v/>
      </c>
      <c r="BB2551" t="inlineStr">
        <is>
          <t>WARREN-WARD 4</t>
        </is>
      </c>
      <c r="CP2551" t="inlineStr">
        <is>
          <t>X</t>
        </is>
      </c>
      <c r="CV2551" t="inlineStr">
        <is>
          <t>X</t>
        </is>
      </c>
      <c r="CY2551" t="inlineStr">
        <is>
          <t>X</t>
        </is>
      </c>
      <c r="DC2551" t="inlineStr">
        <is>
          <t>X</t>
        </is>
      </c>
      <c r="DN2551" t="inlineStr">
        <is>
          <t>X</t>
        </is>
      </c>
      <c r="DU2551" t="inlineStr">
        <is>
          <t>X</t>
        </is>
      </c>
      <c r="EA2551" t="inlineStr">
        <is>
          <t>X</t>
        </is>
      </c>
    </row>
    <row r="2552">
      <c r="A2552" t="inlineStr">
        <is>
          <t>OH0018670341</t>
        </is>
      </c>
      <c r="B2552" t="n">
        <v>78</v>
      </c>
      <c r="C2552" t="n">
        <v>342348</v>
      </c>
      <c r="D2552" t="inlineStr">
        <is>
          <t>JONES</t>
        </is>
      </c>
      <c r="E2552" t="inlineStr">
        <is>
          <t>WILLIAM</t>
        </is>
      </c>
      <c r="F2552">
        <f>CONCATENATE(D2552," ",LEFT(H2552,4),"T=",AU2552,"D=",AV2552,"R=",AW2552,"M=",AX2552,"L=",AY2552,"B=",AZ2552)</f>
        <v/>
      </c>
      <c r="G2552" t="inlineStr">
        <is>
          <t>D</t>
        </is>
      </c>
      <c r="I2552" t="inlineStr">
        <is>
          <t>1981-02-09</t>
        </is>
      </c>
      <c r="J2552" t="inlineStr">
        <is>
          <t>2008-12-01</t>
        </is>
      </c>
      <c r="K2552" t="inlineStr">
        <is>
          <t>CONFIRMATION</t>
        </is>
      </c>
      <c r="M2552" t="inlineStr">
        <is>
          <t>1756 BURTON ST SE</t>
        </is>
      </c>
      <c r="N2552">
        <f>RIGHT(M2552,LEN(M2552)-FIND(" ",M2552))</f>
        <v/>
      </c>
      <c r="P2552" t="inlineStr">
        <is>
          <t>WARREN</t>
        </is>
      </c>
      <c r="Q2552" t="inlineStr">
        <is>
          <t>OH</t>
        </is>
      </c>
      <c r="R2552" t="n">
        <v>44484</v>
      </c>
      <c r="AD2552" t="inlineStr">
        <is>
          <t>TRUMBULL CAREER &amp; TECH CENTER</t>
        </is>
      </c>
      <c r="AE2552" t="inlineStr">
        <is>
          <t>WARREN CITY</t>
        </is>
      </c>
      <c r="AF2552" t="inlineStr">
        <is>
          <t>WARREN CITY SD</t>
        </is>
      </c>
      <c r="AH2552" t="n">
        <v>14</v>
      </c>
      <c r="AI2552" t="n">
        <v>11</v>
      </c>
      <c r="AN2552" t="inlineStr">
        <is>
          <t>WARREN</t>
        </is>
      </c>
      <c r="AO2552" t="inlineStr">
        <is>
          <t>WARREN CITY 4F</t>
        </is>
      </c>
      <c r="AP2552" t="inlineStr">
        <is>
          <t>78-P-ADN</t>
        </is>
      </c>
      <c r="AQ2552" t="n">
        <v>9</v>
      </c>
      <c r="AR2552" t="n">
        <v>64</v>
      </c>
      <c r="AS2552" t="n">
        <v>32</v>
      </c>
      <c r="AU2552">
        <f>COUNTA($BA$2552:$EH$2552)</f>
        <v/>
      </c>
      <c r="AV2552">
        <f>COUNTIF($BA$2552:$EH$2552,"D")</f>
        <v/>
      </c>
      <c r="AW2552">
        <f>COUNTIF($BA$2552:$EH$2552,"R")</f>
        <v/>
      </c>
      <c r="AX2552">
        <f>IF(BN2552="D",1,0)+IF(BO2552="D",1,0)+IF(BT2552="D",1,0)+IF(BU2552="D",1,0)+IF(BW2552="D",1,0)+IF(CC2552="D",1,0)+IF(CD2552="D",1,0)+IF(CE2552="D",1,0)+IF(CF2552="D",1,0)+IF(CL2552="D",1,0)+IF(CM2552="D",1,0)+IF(CQ2552="D",1,0)+IF(CR2552="D",1,0)+IF(CS2552="D",1,0)+IF(CW2552="D",1,0)+IF(CX2552="D",1,0)+IF(DD2552="D",1,0)+IF(DE2552="D",1,0)+IF(DJ2552="D",1,0)+IF(DK2552="D",1,0)+IF(DO2552="D",1,0)+IF(DP2552="D",1,0)+IF(DQ2552="D",1,0)+IF(DW2552="D",1,0)+IF(DZ2552="D",1,0)+IF(EH2552="D",1,0)</f>
        <v/>
      </c>
      <c r="AY2552">
        <f>IF(DJ2552&lt;&gt;"",1,0)+IF(DK2552&lt;&gt;"",1,0)+IF(DM2552&lt;&gt;"",1,0)+IF(DO2552&lt;&gt;"",1,0)+IF(DP2552&lt;&gt;"",1,0)+IF(DQ2552&lt;&gt;"",1,0)+IF(DS2552&lt;&gt;"",1,0)+IF(DT2552&lt;&gt;"",1,0)+IF(DV2552&lt;&gt;"",1,0)+IF(DW2552&lt;&gt;"",1,0)+IF(DX2552&lt;&gt;"",1,0)+IF(DY2552&lt;&gt;"",1,0)+IF(DZ2552&lt;&gt;"",1,0)+IF(EB2552&lt;&gt;"",1,0)+IF(EC2552&lt;&gt;"",1,0)+IF(ED2552&lt;&gt;"",1,0)+IF(EG2552&lt;&gt;"",1,0)+IF(EH2552&lt;&gt;"",1,0)</f>
        <v/>
      </c>
      <c r="AZ2552">
        <f>IF(EH2552&lt;&gt;"",1,0)</f>
        <v/>
      </c>
      <c r="BB2552" t="inlineStr">
        <is>
          <t>WARREN-WARD 4</t>
        </is>
      </c>
      <c r="CA2552" t="inlineStr">
        <is>
          <t>X</t>
        </is>
      </c>
      <c r="CK2552" t="inlineStr">
        <is>
          <t>X</t>
        </is>
      </c>
      <c r="CY2552" t="inlineStr">
        <is>
          <t>X</t>
        </is>
      </c>
      <c r="DC2552" t="inlineStr">
        <is>
          <t>X</t>
        </is>
      </c>
    </row>
    <row r="2553">
      <c r="A2553" t="inlineStr">
        <is>
          <t>OH0027229582</t>
        </is>
      </c>
      <c r="B2553" t="n">
        <v>78</v>
      </c>
      <c r="C2553" t="n">
        <v>481020</v>
      </c>
      <c r="D2553" t="inlineStr">
        <is>
          <t>HOLLOWAY</t>
        </is>
      </c>
      <c r="E2553" t="inlineStr">
        <is>
          <t>JASON</t>
        </is>
      </c>
      <c r="F2553">
        <f>CONCATENATE(D2553," ",LEFT(H2553,4),"T=",AU2553,"D=",AV2553,"R=",AW2553,"M=",AX2553,"L=",AY2553,"B=",AZ2553)</f>
        <v/>
      </c>
      <c r="G2553" t="inlineStr">
        <is>
          <t>EVERETT</t>
        </is>
      </c>
      <c r="I2553" t="inlineStr">
        <is>
          <t>1975-01-19</t>
        </is>
      </c>
      <c r="J2553" t="inlineStr">
        <is>
          <t>2024-01-22</t>
        </is>
      </c>
      <c r="K2553" t="inlineStr">
        <is>
          <t>ACTIVE</t>
        </is>
      </c>
      <c r="M2553" t="inlineStr">
        <is>
          <t>1034 EAST AVE SE</t>
        </is>
      </c>
      <c r="N2553">
        <f>RIGHT(M2553,LEN(M2553)-FIND(" ",M2553))</f>
        <v/>
      </c>
      <c r="P2553" t="inlineStr">
        <is>
          <t>WARREN</t>
        </is>
      </c>
      <c r="Q2553" t="inlineStr">
        <is>
          <t>OH</t>
        </is>
      </c>
      <c r="R2553" t="n">
        <v>44484</v>
      </c>
      <c r="AD2553" t="inlineStr">
        <is>
          <t>TRUMBULL CAREER &amp; TECH CENTER</t>
        </is>
      </c>
      <c r="AE2553" t="inlineStr">
        <is>
          <t>WARREN CITY</t>
        </is>
      </c>
      <c r="AF2553" t="inlineStr">
        <is>
          <t>WARREN CITY SD</t>
        </is>
      </c>
      <c r="AH2553" t="n">
        <v>14</v>
      </c>
      <c r="AI2553" t="n">
        <v>11</v>
      </c>
      <c r="AN2553" t="inlineStr">
        <is>
          <t>WARREN</t>
        </is>
      </c>
      <c r="AO2553" t="inlineStr">
        <is>
          <t>WARREN CITY 4F</t>
        </is>
      </c>
      <c r="AP2553" t="inlineStr">
        <is>
          <t>78-P-ADN</t>
        </is>
      </c>
      <c r="AQ2553" t="n">
        <v>9</v>
      </c>
      <c r="AR2553" t="n">
        <v>64</v>
      </c>
      <c r="AS2553" t="n">
        <v>32</v>
      </c>
      <c r="AU2553">
        <f>COUNTA($BA$2553:$EH$2553)</f>
        <v/>
      </c>
      <c r="AV2553">
        <f>COUNTIF($BA$2553:$EH$2553,"D")</f>
        <v/>
      </c>
      <c r="AW2553">
        <f>COUNTIF($BA$2553:$EH$2553,"R")</f>
        <v/>
      </c>
      <c r="AX2553">
        <f>IF(BN2553="D",1,0)+IF(BO2553="D",1,0)+IF(BT2553="D",1,0)+IF(BU2553="D",1,0)+IF(BW2553="D",1,0)+IF(CC2553="D",1,0)+IF(CD2553="D",1,0)+IF(CE2553="D",1,0)+IF(CF2553="D",1,0)+IF(CL2553="D",1,0)+IF(CM2553="D",1,0)+IF(CQ2553="D",1,0)+IF(CR2553="D",1,0)+IF(CS2553="D",1,0)+IF(CW2553="D",1,0)+IF(CX2553="D",1,0)+IF(DD2553="D",1,0)+IF(DE2553="D",1,0)+IF(DJ2553="D",1,0)+IF(DK2553="D",1,0)+IF(DO2553="D",1,0)+IF(DP2553="D",1,0)+IF(DQ2553="D",1,0)+IF(DW2553="D",1,0)+IF(DZ2553="D",1,0)+IF(EH2553="D",1,0)</f>
        <v/>
      </c>
      <c r="AY2553">
        <f>IF(DJ2553&lt;&gt;"",1,0)+IF(DK2553&lt;&gt;"",1,0)+IF(DM2553&lt;&gt;"",1,0)+IF(DO2553&lt;&gt;"",1,0)+IF(DP2553&lt;&gt;"",1,0)+IF(DQ2553&lt;&gt;"",1,0)+IF(DS2553&lt;&gt;"",1,0)+IF(DT2553&lt;&gt;"",1,0)+IF(DV2553&lt;&gt;"",1,0)+IF(DW2553&lt;&gt;"",1,0)+IF(DX2553&lt;&gt;"",1,0)+IF(DY2553&lt;&gt;"",1,0)+IF(DZ2553&lt;&gt;"",1,0)+IF(EB2553&lt;&gt;"",1,0)+IF(EC2553&lt;&gt;"",1,0)+IF(ED2553&lt;&gt;"",1,0)+IF(EG2553&lt;&gt;"",1,0)+IF(EH2553&lt;&gt;"",1,0)</f>
        <v/>
      </c>
      <c r="AZ2553">
        <f>IF(EH2553&lt;&gt;"",1,0)</f>
        <v/>
      </c>
      <c r="BB2553" t="inlineStr">
        <is>
          <t>WARREN-WARD 4</t>
        </is>
      </c>
    </row>
    <row r="2554">
      <c r="A2554" t="inlineStr">
        <is>
          <t>OH0015718705</t>
        </is>
      </c>
      <c r="B2554" t="n">
        <v>78</v>
      </c>
      <c r="C2554" t="n">
        <v>19727</v>
      </c>
      <c r="D2554" t="inlineStr">
        <is>
          <t>TURNER</t>
        </is>
      </c>
      <c r="E2554" t="inlineStr">
        <is>
          <t>THOMAS</t>
        </is>
      </c>
      <c r="F2554">
        <f>CONCATENATE(D2554," ",LEFT(H2554,4),"T=",AU2554,"D=",AV2554,"R=",AW2554,"M=",AX2554,"L=",AY2554,"B=",AZ2554)</f>
        <v/>
      </c>
      <c r="I2554" t="inlineStr">
        <is>
          <t>1947-12-04</t>
        </is>
      </c>
      <c r="J2554" t="inlineStr">
        <is>
          <t>2013-09-06</t>
        </is>
      </c>
      <c r="K2554" t="inlineStr">
        <is>
          <t>ACTIVE</t>
        </is>
      </c>
      <c r="L2554" t="inlineStr">
        <is>
          <t>D</t>
        </is>
      </c>
      <c r="M2554" t="inlineStr">
        <is>
          <t>1975 VAN WYE ST SE</t>
        </is>
      </c>
      <c r="N2554">
        <f>RIGHT(M2554,LEN(M2554)-FIND(" ",M2554))</f>
        <v/>
      </c>
      <c r="P2554" t="inlineStr">
        <is>
          <t>WARREN</t>
        </is>
      </c>
      <c r="Q2554" t="inlineStr">
        <is>
          <t>OH</t>
        </is>
      </c>
      <c r="R2554" t="n">
        <v>44484</v>
      </c>
      <c r="AD2554" t="inlineStr">
        <is>
          <t>TRUMBULL CAREER &amp; TECH CENTER</t>
        </is>
      </c>
      <c r="AE2554" t="inlineStr">
        <is>
          <t>WARREN CITY</t>
        </is>
      </c>
      <c r="AF2554" t="inlineStr">
        <is>
          <t>WARREN CITY SD</t>
        </is>
      </c>
      <c r="AH2554" t="n">
        <v>14</v>
      </c>
      <c r="AI2554" t="n">
        <v>11</v>
      </c>
      <c r="AN2554" t="inlineStr">
        <is>
          <t>WARREN</t>
        </is>
      </c>
      <c r="AO2554" t="inlineStr">
        <is>
          <t>WARREN CITY 4F</t>
        </is>
      </c>
      <c r="AP2554" t="inlineStr">
        <is>
          <t>78-P-ADN</t>
        </is>
      </c>
      <c r="AQ2554" t="n">
        <v>9</v>
      </c>
      <c r="AR2554" t="n">
        <v>64</v>
      </c>
      <c r="AS2554" t="n">
        <v>32</v>
      </c>
      <c r="AU2554">
        <f>COUNTA($BA$2554:$EH$2554)</f>
        <v/>
      </c>
      <c r="AV2554">
        <f>COUNTIF($BA$2554:$EH$2554,"D")</f>
        <v/>
      </c>
      <c r="AW2554">
        <f>COUNTIF($BA$2554:$EH$2554,"R")</f>
        <v/>
      </c>
      <c r="AX2554">
        <f>IF(BN2554="D",1,0)+IF(BO2554="D",1,0)+IF(BT2554="D",1,0)+IF(BU2554="D",1,0)+IF(BW2554="D",1,0)+IF(CC2554="D",1,0)+IF(CD2554="D",1,0)+IF(CE2554="D",1,0)+IF(CF2554="D",1,0)+IF(CL2554="D",1,0)+IF(CM2554="D",1,0)+IF(CQ2554="D",1,0)+IF(CR2554="D",1,0)+IF(CS2554="D",1,0)+IF(CW2554="D",1,0)+IF(CX2554="D",1,0)+IF(DD2554="D",1,0)+IF(DE2554="D",1,0)+IF(DJ2554="D",1,0)+IF(DK2554="D",1,0)+IF(DO2554="D",1,0)+IF(DP2554="D",1,0)+IF(DQ2554="D",1,0)+IF(DW2554="D",1,0)+IF(DZ2554="D",1,0)+IF(EH2554="D",1,0)</f>
        <v/>
      </c>
      <c r="AY2554">
        <f>IF(DJ2554&lt;&gt;"",1,0)+IF(DK2554&lt;&gt;"",1,0)+IF(DM2554&lt;&gt;"",1,0)+IF(DO2554&lt;&gt;"",1,0)+IF(DP2554&lt;&gt;"",1,0)+IF(DQ2554&lt;&gt;"",1,0)+IF(DS2554&lt;&gt;"",1,0)+IF(DT2554&lt;&gt;"",1,0)+IF(DV2554&lt;&gt;"",1,0)+IF(DW2554&lt;&gt;"",1,0)+IF(DX2554&lt;&gt;"",1,0)+IF(DY2554&lt;&gt;"",1,0)+IF(DZ2554&lt;&gt;"",1,0)+IF(EB2554&lt;&gt;"",1,0)+IF(EC2554&lt;&gt;"",1,0)+IF(ED2554&lt;&gt;"",1,0)+IF(EG2554&lt;&gt;"",1,0)+IF(EH2554&lt;&gt;"",1,0)</f>
        <v/>
      </c>
      <c r="AZ2554">
        <f>IF(EH2554&lt;&gt;"",1,0)</f>
        <v/>
      </c>
      <c r="BB2554" t="inlineStr">
        <is>
          <t>WARREN-WARD 4</t>
        </is>
      </c>
      <c r="BC2554" t="inlineStr">
        <is>
          <t>X</t>
        </is>
      </c>
      <c r="BD2554" t="inlineStr">
        <is>
          <t>X</t>
        </is>
      </c>
      <c r="BE2554" t="inlineStr">
        <is>
          <t>X</t>
        </is>
      </c>
      <c r="BF2554" t="inlineStr">
        <is>
          <t>X</t>
        </is>
      </c>
      <c r="BG2554" t="inlineStr">
        <is>
          <t>X</t>
        </is>
      </c>
      <c r="BH2554" t="inlineStr">
        <is>
          <t>X</t>
        </is>
      </c>
      <c r="BI2554" t="inlineStr">
        <is>
          <t>X</t>
        </is>
      </c>
      <c r="BJ2554" t="inlineStr">
        <is>
          <t>X</t>
        </is>
      </c>
      <c r="BK2554" t="inlineStr">
        <is>
          <t>X</t>
        </is>
      </c>
      <c r="BL2554" t="inlineStr">
        <is>
          <t>X</t>
        </is>
      </c>
      <c r="BP2554" t="inlineStr">
        <is>
          <t>X</t>
        </is>
      </c>
      <c r="BR2554" t="inlineStr">
        <is>
          <t>X</t>
        </is>
      </c>
      <c r="BS2554" t="inlineStr">
        <is>
          <t>X</t>
        </is>
      </c>
      <c r="BT2554" t="inlineStr">
        <is>
          <t>X</t>
        </is>
      </c>
      <c r="BV2554" t="inlineStr">
        <is>
          <t>X</t>
        </is>
      </c>
      <c r="BY2554" t="inlineStr">
        <is>
          <t>D</t>
        </is>
      </c>
      <c r="CA2554" t="inlineStr">
        <is>
          <t>X</t>
        </is>
      </c>
      <c r="CG2554" t="inlineStr">
        <is>
          <t>X</t>
        </is>
      </c>
      <c r="CH2554" t="inlineStr">
        <is>
          <t>D</t>
        </is>
      </c>
      <c r="CK2554" t="inlineStr">
        <is>
          <t>X</t>
        </is>
      </c>
      <c r="CL2554" t="inlineStr">
        <is>
          <t>D</t>
        </is>
      </c>
      <c r="CN2554" t="inlineStr">
        <is>
          <t>X</t>
        </is>
      </c>
      <c r="CO2554" t="inlineStr">
        <is>
          <t>D</t>
        </is>
      </c>
      <c r="CP2554" t="inlineStr">
        <is>
          <t>X</t>
        </is>
      </c>
      <c r="CQ2554" t="inlineStr">
        <is>
          <t>D</t>
        </is>
      </c>
      <c r="CT2554" t="inlineStr">
        <is>
          <t>X</t>
        </is>
      </c>
      <c r="CU2554" t="inlineStr">
        <is>
          <t>D</t>
        </is>
      </c>
      <c r="CV2554" t="inlineStr">
        <is>
          <t>X</t>
        </is>
      </c>
      <c r="CW2554" t="inlineStr">
        <is>
          <t>D</t>
        </is>
      </c>
      <c r="CZ2554" t="inlineStr">
        <is>
          <t>D</t>
        </is>
      </c>
      <c r="DC2554" t="inlineStr">
        <is>
          <t>X</t>
        </is>
      </c>
      <c r="DD2554" t="inlineStr">
        <is>
          <t>D</t>
        </is>
      </c>
      <c r="DF2554" t="inlineStr">
        <is>
          <t>X</t>
        </is>
      </c>
      <c r="DG2554" t="inlineStr">
        <is>
          <t>D</t>
        </is>
      </c>
      <c r="DI2554" t="inlineStr">
        <is>
          <t>X</t>
        </is>
      </c>
      <c r="DJ2554" t="inlineStr">
        <is>
          <t>D</t>
        </is>
      </c>
      <c r="DL2554" t="inlineStr">
        <is>
          <t>X</t>
        </is>
      </c>
      <c r="DM2554" t="inlineStr">
        <is>
          <t>D</t>
        </is>
      </c>
      <c r="DN2554" t="inlineStr">
        <is>
          <t>X</t>
        </is>
      </c>
      <c r="DR2554" t="inlineStr">
        <is>
          <t>X</t>
        </is>
      </c>
      <c r="DS2554" t="inlineStr">
        <is>
          <t>D</t>
        </is>
      </c>
      <c r="DT2554" t="inlineStr">
        <is>
          <t>D</t>
        </is>
      </c>
      <c r="DU2554" t="inlineStr">
        <is>
          <t>X</t>
        </is>
      </c>
      <c r="DW2554" t="inlineStr">
        <is>
          <t>D</t>
        </is>
      </c>
      <c r="DX2554" t="inlineStr">
        <is>
          <t>X</t>
        </is>
      </c>
      <c r="EA2554" t="inlineStr">
        <is>
          <t>X</t>
        </is>
      </c>
      <c r="ED2554" t="inlineStr">
        <is>
          <t>D</t>
        </is>
      </c>
      <c r="EF2554" t="inlineStr">
        <is>
          <t>X</t>
        </is>
      </c>
      <c r="EH2554" t="inlineStr">
        <is>
          <t>D</t>
        </is>
      </c>
    </row>
    <row r="2555">
      <c r="A2555" t="inlineStr">
        <is>
          <t>OH0021700099</t>
        </is>
      </c>
      <c r="B2555" t="n">
        <v>78</v>
      </c>
      <c r="C2555" t="n">
        <v>385239</v>
      </c>
      <c r="D2555" t="inlineStr">
        <is>
          <t>CAYSON</t>
        </is>
      </c>
      <c r="E2555" t="inlineStr">
        <is>
          <t>COREY</t>
        </is>
      </c>
      <c r="F2555">
        <f>CONCATENATE(D2555," ",LEFT(H2555,4),"T=",AU2555,"D=",AV2555,"R=",AW2555,"M=",AX2555,"L=",AY2555,"B=",AZ2555)</f>
        <v/>
      </c>
      <c r="G2555" t="inlineStr">
        <is>
          <t>L</t>
        </is>
      </c>
      <c r="I2555" t="inlineStr">
        <is>
          <t>1993-01-14</t>
        </is>
      </c>
      <c r="J2555" t="inlineStr">
        <is>
          <t>2016-08-01</t>
        </is>
      </c>
      <c r="K2555" t="inlineStr">
        <is>
          <t>ACTIVE</t>
        </is>
      </c>
      <c r="M2555" t="inlineStr">
        <is>
          <t>2256 DRAPER AVE SE</t>
        </is>
      </c>
      <c r="N2555">
        <f>RIGHT(M2555,LEN(M2555)-FIND(" ",M2555))</f>
        <v/>
      </c>
      <c r="P2555" t="inlineStr">
        <is>
          <t>WARREN</t>
        </is>
      </c>
      <c r="Q2555" t="inlineStr">
        <is>
          <t>OH</t>
        </is>
      </c>
      <c r="R2555" t="n">
        <v>44484</v>
      </c>
      <c r="AD2555" t="inlineStr">
        <is>
          <t>TRUMBULL CAREER &amp; TECH CENTER</t>
        </is>
      </c>
      <c r="AE2555" t="inlineStr">
        <is>
          <t>WARREN CITY</t>
        </is>
      </c>
      <c r="AF2555" t="inlineStr">
        <is>
          <t>WARREN CITY SD</t>
        </is>
      </c>
      <c r="AH2555" t="n">
        <v>14</v>
      </c>
      <c r="AI2555" t="n">
        <v>11</v>
      </c>
      <c r="AN2555" t="inlineStr">
        <is>
          <t>WARREN</t>
        </is>
      </c>
      <c r="AO2555" t="inlineStr">
        <is>
          <t>WARREN CITY 4F</t>
        </is>
      </c>
      <c r="AP2555" t="inlineStr">
        <is>
          <t>78-P-ADN</t>
        </is>
      </c>
      <c r="AQ2555" t="n">
        <v>9</v>
      </c>
      <c r="AR2555" t="n">
        <v>64</v>
      </c>
      <c r="AS2555" t="n">
        <v>32</v>
      </c>
      <c r="AU2555">
        <f>COUNTA($BA$2555:$EH$2555)</f>
        <v/>
      </c>
      <c r="AV2555">
        <f>COUNTIF($BA$2555:$EH$2555,"D")</f>
        <v/>
      </c>
      <c r="AW2555">
        <f>COUNTIF($BA$2555:$EH$2555,"R")</f>
        <v/>
      </c>
      <c r="AX2555">
        <f>IF(BN2555="D",1,0)+IF(BO2555="D",1,0)+IF(BT2555="D",1,0)+IF(BU2555="D",1,0)+IF(BW2555="D",1,0)+IF(CC2555="D",1,0)+IF(CD2555="D",1,0)+IF(CE2555="D",1,0)+IF(CF2555="D",1,0)+IF(CL2555="D",1,0)+IF(CM2555="D",1,0)+IF(CQ2555="D",1,0)+IF(CR2555="D",1,0)+IF(CS2555="D",1,0)+IF(CW2555="D",1,0)+IF(CX2555="D",1,0)+IF(DD2555="D",1,0)+IF(DE2555="D",1,0)+IF(DJ2555="D",1,0)+IF(DK2555="D",1,0)+IF(DO2555="D",1,0)+IF(DP2555="D",1,0)+IF(DQ2555="D",1,0)+IF(DW2555="D",1,0)+IF(DZ2555="D",1,0)+IF(EH2555="D",1,0)</f>
        <v/>
      </c>
      <c r="AY2555">
        <f>IF(DJ2555&lt;&gt;"",1,0)+IF(DK2555&lt;&gt;"",1,0)+IF(DM2555&lt;&gt;"",1,0)+IF(DO2555&lt;&gt;"",1,0)+IF(DP2555&lt;&gt;"",1,0)+IF(DQ2555&lt;&gt;"",1,0)+IF(DS2555&lt;&gt;"",1,0)+IF(DT2555&lt;&gt;"",1,0)+IF(DV2555&lt;&gt;"",1,0)+IF(DW2555&lt;&gt;"",1,0)+IF(DX2555&lt;&gt;"",1,0)+IF(DY2555&lt;&gt;"",1,0)+IF(DZ2555&lt;&gt;"",1,0)+IF(EB2555&lt;&gt;"",1,0)+IF(EC2555&lt;&gt;"",1,0)+IF(ED2555&lt;&gt;"",1,0)+IF(EG2555&lt;&gt;"",1,0)+IF(EH2555&lt;&gt;"",1,0)</f>
        <v/>
      </c>
      <c r="AZ2555">
        <f>IF(EH2555&lt;&gt;"",1,0)</f>
        <v/>
      </c>
      <c r="BB2555" t="inlineStr">
        <is>
          <t>WARREN-WARD 4</t>
        </is>
      </c>
      <c r="CP2555" t="inlineStr">
        <is>
          <t>X</t>
        </is>
      </c>
    </row>
    <row r="2556">
      <c r="A2556" t="inlineStr">
        <is>
          <t>OH0018785100</t>
        </is>
      </c>
      <c r="B2556" t="n">
        <v>78</v>
      </c>
      <c r="C2556" t="n">
        <v>344713</v>
      </c>
      <c r="D2556" t="inlineStr">
        <is>
          <t>HALL</t>
        </is>
      </c>
      <c r="E2556" t="inlineStr">
        <is>
          <t>MARION</t>
        </is>
      </c>
      <c r="F2556">
        <f>CONCATENATE(D2556," ",LEFT(H2556,4),"T=",AU2556,"D=",AV2556,"R=",AW2556,"M=",AX2556,"L=",AY2556,"B=",AZ2556)</f>
        <v/>
      </c>
      <c r="G2556" t="inlineStr">
        <is>
          <t>L</t>
        </is>
      </c>
      <c r="I2556" t="inlineStr">
        <is>
          <t>1961-06-27</t>
        </is>
      </c>
      <c r="J2556" t="inlineStr">
        <is>
          <t>2022-04-19</t>
        </is>
      </c>
      <c r="K2556" t="inlineStr">
        <is>
          <t>ACTIVE</t>
        </is>
      </c>
      <c r="M2556" t="inlineStr">
        <is>
          <t>2213 DRAPER AVE SE</t>
        </is>
      </c>
      <c r="N2556">
        <f>RIGHT(M2556,LEN(M2556)-FIND(" ",M2556))</f>
        <v/>
      </c>
      <c r="P2556" t="inlineStr">
        <is>
          <t>WARREN</t>
        </is>
      </c>
      <c r="Q2556" t="inlineStr">
        <is>
          <t>OH</t>
        </is>
      </c>
      <c r="R2556" t="n">
        <v>44484</v>
      </c>
      <c r="AD2556" t="inlineStr">
        <is>
          <t>TRUMBULL CAREER &amp; TECH CENTER</t>
        </is>
      </c>
      <c r="AE2556" t="inlineStr">
        <is>
          <t>WARREN CITY</t>
        </is>
      </c>
      <c r="AF2556" t="inlineStr">
        <is>
          <t>WARREN CITY SD</t>
        </is>
      </c>
      <c r="AH2556" t="n">
        <v>14</v>
      </c>
      <c r="AI2556" t="n">
        <v>11</v>
      </c>
      <c r="AN2556" t="inlineStr">
        <is>
          <t>WARREN</t>
        </is>
      </c>
      <c r="AO2556" t="inlineStr">
        <is>
          <t>WARREN CITY 4F</t>
        </is>
      </c>
      <c r="AP2556" t="inlineStr">
        <is>
          <t>78-P-ADN</t>
        </is>
      </c>
      <c r="AQ2556" t="n">
        <v>9</v>
      </c>
      <c r="AR2556" t="n">
        <v>64</v>
      </c>
      <c r="AS2556" t="n">
        <v>32</v>
      </c>
      <c r="AU2556">
        <f>COUNTA($BA$2556:$EH$2556)</f>
        <v/>
      </c>
      <c r="AV2556">
        <f>COUNTIF($BA$2556:$EH$2556,"D")</f>
        <v/>
      </c>
      <c r="AW2556">
        <f>COUNTIF($BA$2556:$EH$2556,"R")</f>
        <v/>
      </c>
      <c r="AX2556">
        <f>IF(BN2556="D",1,0)+IF(BO2556="D",1,0)+IF(BT2556="D",1,0)+IF(BU2556="D",1,0)+IF(BW2556="D",1,0)+IF(CC2556="D",1,0)+IF(CD2556="D",1,0)+IF(CE2556="D",1,0)+IF(CF2556="D",1,0)+IF(CL2556="D",1,0)+IF(CM2556="D",1,0)+IF(CQ2556="D",1,0)+IF(CR2556="D",1,0)+IF(CS2556="D",1,0)+IF(CW2556="D",1,0)+IF(CX2556="D",1,0)+IF(DD2556="D",1,0)+IF(DE2556="D",1,0)+IF(DJ2556="D",1,0)+IF(DK2556="D",1,0)+IF(DO2556="D",1,0)+IF(DP2556="D",1,0)+IF(DQ2556="D",1,0)+IF(DW2556="D",1,0)+IF(DZ2556="D",1,0)+IF(EH2556="D",1,0)</f>
        <v/>
      </c>
      <c r="AY2556">
        <f>IF(DJ2556&lt;&gt;"",1,0)+IF(DK2556&lt;&gt;"",1,0)+IF(DM2556&lt;&gt;"",1,0)+IF(DO2556&lt;&gt;"",1,0)+IF(DP2556&lt;&gt;"",1,0)+IF(DQ2556&lt;&gt;"",1,0)+IF(DS2556&lt;&gt;"",1,0)+IF(DT2556&lt;&gt;"",1,0)+IF(DV2556&lt;&gt;"",1,0)+IF(DW2556&lt;&gt;"",1,0)+IF(DX2556&lt;&gt;"",1,0)+IF(DY2556&lt;&gt;"",1,0)+IF(DZ2556&lt;&gt;"",1,0)+IF(EB2556&lt;&gt;"",1,0)+IF(EC2556&lt;&gt;"",1,0)+IF(ED2556&lt;&gt;"",1,0)+IF(EG2556&lt;&gt;"",1,0)+IF(EH2556&lt;&gt;"",1,0)</f>
        <v/>
      </c>
      <c r="AZ2556">
        <f>IF(EH2556&lt;&gt;"",1,0)</f>
        <v/>
      </c>
      <c r="BB2556" t="inlineStr">
        <is>
          <t>WARREN-WARD 4</t>
        </is>
      </c>
      <c r="CA2556" t="inlineStr">
        <is>
          <t>X</t>
        </is>
      </c>
      <c r="CP2556" t="inlineStr">
        <is>
          <t>X</t>
        </is>
      </c>
      <c r="DN2556" t="inlineStr">
        <is>
          <t>X</t>
        </is>
      </c>
      <c r="DU2556" t="inlineStr">
        <is>
          <t>X</t>
        </is>
      </c>
    </row>
    <row r="2557">
      <c r="A2557" t="inlineStr">
        <is>
          <t>OH0015714685</t>
        </is>
      </c>
      <c r="B2557" t="n">
        <v>78</v>
      </c>
      <c r="C2557" t="n">
        <v>318897</v>
      </c>
      <c r="D2557" t="inlineStr">
        <is>
          <t>OWENS</t>
        </is>
      </c>
      <c r="E2557" t="inlineStr">
        <is>
          <t>SHAYLA</t>
        </is>
      </c>
      <c r="F2557">
        <f>CONCATENATE(D2557," ",LEFT(H2557,4),"T=",AU2557,"D=",AV2557,"R=",AW2557,"M=",AX2557,"L=",AY2557,"B=",AZ2557)</f>
        <v/>
      </c>
      <c r="G2557" t="inlineStr">
        <is>
          <t>EFFIE</t>
        </is>
      </c>
      <c r="I2557" t="inlineStr">
        <is>
          <t>1983-03-07</t>
        </is>
      </c>
      <c r="J2557" t="inlineStr">
        <is>
          <t>2011-06-25</t>
        </is>
      </c>
      <c r="K2557" t="inlineStr">
        <is>
          <t>ACTIVE</t>
        </is>
      </c>
      <c r="M2557" t="inlineStr">
        <is>
          <t>2205 DRAPER AVE SE</t>
        </is>
      </c>
      <c r="N2557">
        <f>RIGHT(M2557,LEN(M2557)-FIND(" ",M2557))</f>
        <v/>
      </c>
      <c r="P2557" t="inlineStr">
        <is>
          <t>WARREN</t>
        </is>
      </c>
      <c r="Q2557" t="inlineStr">
        <is>
          <t>OH</t>
        </is>
      </c>
      <c r="R2557" t="n">
        <v>44484</v>
      </c>
      <c r="AD2557" t="inlineStr">
        <is>
          <t>TRUMBULL CAREER &amp; TECH CENTER</t>
        </is>
      </c>
      <c r="AE2557" t="inlineStr">
        <is>
          <t>WARREN CITY</t>
        </is>
      </c>
      <c r="AF2557" t="inlineStr">
        <is>
          <t>WARREN CITY SD</t>
        </is>
      </c>
      <c r="AH2557" t="n">
        <v>14</v>
      </c>
      <c r="AI2557" t="n">
        <v>11</v>
      </c>
      <c r="AN2557" t="inlineStr">
        <is>
          <t>WARREN</t>
        </is>
      </c>
      <c r="AO2557" t="inlineStr">
        <is>
          <t>WARREN CITY 4F</t>
        </is>
      </c>
      <c r="AP2557" t="inlineStr">
        <is>
          <t>78-P-ADN</t>
        </is>
      </c>
      <c r="AQ2557" t="n">
        <v>9</v>
      </c>
      <c r="AR2557" t="n">
        <v>64</v>
      </c>
      <c r="AS2557" t="n">
        <v>32</v>
      </c>
      <c r="AU2557">
        <f>COUNTA($BA$2557:$EH$2557)</f>
        <v/>
      </c>
      <c r="AV2557">
        <f>COUNTIF($BA$2557:$EH$2557,"D")</f>
        <v/>
      </c>
      <c r="AW2557">
        <f>COUNTIF($BA$2557:$EH$2557,"R")</f>
        <v/>
      </c>
      <c r="AX2557">
        <f>IF(BN2557="D",1,0)+IF(BO2557="D",1,0)+IF(BT2557="D",1,0)+IF(BU2557="D",1,0)+IF(BW2557="D",1,0)+IF(CC2557="D",1,0)+IF(CD2557="D",1,0)+IF(CE2557="D",1,0)+IF(CF2557="D",1,0)+IF(CL2557="D",1,0)+IF(CM2557="D",1,0)+IF(CQ2557="D",1,0)+IF(CR2557="D",1,0)+IF(CS2557="D",1,0)+IF(CW2557="D",1,0)+IF(CX2557="D",1,0)+IF(DD2557="D",1,0)+IF(DE2557="D",1,0)+IF(DJ2557="D",1,0)+IF(DK2557="D",1,0)+IF(DO2557="D",1,0)+IF(DP2557="D",1,0)+IF(DQ2557="D",1,0)+IF(DW2557="D",1,0)+IF(DZ2557="D",1,0)+IF(EH2557="D",1,0)</f>
        <v/>
      </c>
      <c r="AY2557">
        <f>IF(DJ2557&lt;&gt;"",1,0)+IF(DK2557&lt;&gt;"",1,0)+IF(DM2557&lt;&gt;"",1,0)+IF(DO2557&lt;&gt;"",1,0)+IF(DP2557&lt;&gt;"",1,0)+IF(DQ2557&lt;&gt;"",1,0)+IF(DS2557&lt;&gt;"",1,0)+IF(DT2557&lt;&gt;"",1,0)+IF(DV2557&lt;&gt;"",1,0)+IF(DW2557&lt;&gt;"",1,0)+IF(DX2557&lt;&gt;"",1,0)+IF(DY2557&lt;&gt;"",1,0)+IF(DZ2557&lt;&gt;"",1,0)+IF(EB2557&lt;&gt;"",1,0)+IF(EC2557&lt;&gt;"",1,0)+IF(ED2557&lt;&gt;"",1,0)+IF(EG2557&lt;&gt;"",1,0)+IF(EH2557&lt;&gt;"",1,0)</f>
        <v/>
      </c>
      <c r="AZ2557">
        <f>IF(EH2557&lt;&gt;"",1,0)</f>
        <v/>
      </c>
      <c r="BB2557" t="inlineStr">
        <is>
          <t>WARREN-WARD 4</t>
        </is>
      </c>
      <c r="BY2557" t="inlineStr">
        <is>
          <t>D</t>
        </is>
      </c>
      <c r="CA2557" t="inlineStr">
        <is>
          <t>X</t>
        </is>
      </c>
      <c r="CP2557" t="inlineStr">
        <is>
          <t>X</t>
        </is>
      </c>
      <c r="CY2557" t="inlineStr">
        <is>
          <t>X</t>
        </is>
      </c>
      <c r="CZ2557" t="inlineStr">
        <is>
          <t>D</t>
        </is>
      </c>
      <c r="DC2557" t="inlineStr">
        <is>
          <t>X</t>
        </is>
      </c>
      <c r="DI2557" t="inlineStr">
        <is>
          <t>X</t>
        </is>
      </c>
      <c r="DN2557" t="inlineStr">
        <is>
          <t>X</t>
        </is>
      </c>
      <c r="DU2557" t="inlineStr">
        <is>
          <t>X</t>
        </is>
      </c>
      <c r="EF2557" t="inlineStr">
        <is>
          <t>X</t>
        </is>
      </c>
    </row>
    <row r="2558">
      <c r="A2558" t="inlineStr">
        <is>
          <t>OH0015713172</t>
        </is>
      </c>
      <c r="B2558" t="n">
        <v>78</v>
      </c>
      <c r="C2558" t="n">
        <v>185226</v>
      </c>
      <c r="D2558" t="inlineStr">
        <is>
          <t>LIPTROT</t>
        </is>
      </c>
      <c r="E2558" t="inlineStr">
        <is>
          <t>GLORIA</t>
        </is>
      </c>
      <c r="F2558">
        <f>CONCATENATE(D2558," ",LEFT(H2558,4),"T=",AU2558,"D=",AV2558,"R=",AW2558,"M=",AX2558,"L=",AY2558,"B=",AZ2558)</f>
        <v/>
      </c>
      <c r="G2558" t="inlineStr">
        <is>
          <t>DEAN</t>
        </is>
      </c>
      <c r="I2558" t="inlineStr">
        <is>
          <t>1956-01-02</t>
        </is>
      </c>
      <c r="J2558" t="inlineStr">
        <is>
          <t>2008-11-04</t>
        </is>
      </c>
      <c r="K2558" t="inlineStr">
        <is>
          <t>ACTIVE</t>
        </is>
      </c>
      <c r="L2558" t="inlineStr">
        <is>
          <t>D</t>
        </is>
      </c>
      <c r="M2558" t="inlineStr">
        <is>
          <t>2208 DRAPER AVE SE</t>
        </is>
      </c>
      <c r="N2558">
        <f>RIGHT(M2558,LEN(M2558)-FIND(" ",M2558))</f>
        <v/>
      </c>
      <c r="P2558" t="inlineStr">
        <is>
          <t>WARREN</t>
        </is>
      </c>
      <c r="Q2558" t="inlineStr">
        <is>
          <t>OH</t>
        </is>
      </c>
      <c r="R2558" t="n">
        <v>44484</v>
      </c>
      <c r="AD2558" t="inlineStr">
        <is>
          <t>TRUMBULL CAREER &amp; TECH CENTER</t>
        </is>
      </c>
      <c r="AE2558" t="inlineStr">
        <is>
          <t>WARREN CITY</t>
        </is>
      </c>
      <c r="AF2558" t="inlineStr">
        <is>
          <t>WARREN CITY SD</t>
        </is>
      </c>
      <c r="AH2558" t="n">
        <v>14</v>
      </c>
      <c r="AI2558" t="n">
        <v>11</v>
      </c>
      <c r="AN2558" t="inlineStr">
        <is>
          <t>WARREN</t>
        </is>
      </c>
      <c r="AO2558" t="inlineStr">
        <is>
          <t>WARREN CITY 4F</t>
        </is>
      </c>
      <c r="AP2558" t="inlineStr">
        <is>
          <t>78-P-ADN</t>
        </is>
      </c>
      <c r="AQ2558" t="n">
        <v>9</v>
      </c>
      <c r="AR2558" t="n">
        <v>64</v>
      </c>
      <c r="AS2558" t="n">
        <v>32</v>
      </c>
      <c r="AU2558">
        <f>COUNTA($BA$2558:$EH$2558)</f>
        <v/>
      </c>
      <c r="AV2558">
        <f>COUNTIF($BA$2558:$EH$2558,"D")</f>
        <v/>
      </c>
      <c r="AW2558">
        <f>COUNTIF($BA$2558:$EH$2558,"R")</f>
        <v/>
      </c>
      <c r="AX2558">
        <f>IF(BN2558="D",1,0)+IF(BO2558="D",1,0)+IF(BT2558="D",1,0)+IF(BU2558="D",1,0)+IF(BW2558="D",1,0)+IF(CC2558="D",1,0)+IF(CD2558="D",1,0)+IF(CE2558="D",1,0)+IF(CF2558="D",1,0)+IF(CL2558="D",1,0)+IF(CM2558="D",1,0)+IF(CQ2558="D",1,0)+IF(CR2558="D",1,0)+IF(CS2558="D",1,0)+IF(CW2558="D",1,0)+IF(CX2558="D",1,0)+IF(DD2558="D",1,0)+IF(DE2558="D",1,0)+IF(DJ2558="D",1,0)+IF(DK2558="D",1,0)+IF(DO2558="D",1,0)+IF(DP2558="D",1,0)+IF(DQ2558="D",1,0)+IF(DW2558="D",1,0)+IF(DZ2558="D",1,0)+IF(EH2558="D",1,0)</f>
        <v/>
      </c>
      <c r="AY2558">
        <f>IF(DJ2558&lt;&gt;"",1,0)+IF(DK2558&lt;&gt;"",1,0)+IF(DM2558&lt;&gt;"",1,0)+IF(DO2558&lt;&gt;"",1,0)+IF(DP2558&lt;&gt;"",1,0)+IF(DQ2558&lt;&gt;"",1,0)+IF(DS2558&lt;&gt;"",1,0)+IF(DT2558&lt;&gt;"",1,0)+IF(DV2558&lt;&gt;"",1,0)+IF(DW2558&lt;&gt;"",1,0)+IF(DX2558&lt;&gt;"",1,0)+IF(DY2558&lt;&gt;"",1,0)+IF(DZ2558&lt;&gt;"",1,0)+IF(EB2558&lt;&gt;"",1,0)+IF(EC2558&lt;&gt;"",1,0)+IF(ED2558&lt;&gt;"",1,0)+IF(EG2558&lt;&gt;"",1,0)+IF(EH2558&lt;&gt;"",1,0)</f>
        <v/>
      </c>
      <c r="AZ2558">
        <f>IF(EH2558&lt;&gt;"",1,0)</f>
        <v/>
      </c>
      <c r="BB2558" t="inlineStr">
        <is>
          <t>WARREN-WARD 4</t>
        </is>
      </c>
      <c r="BC2558" t="inlineStr">
        <is>
          <t>X</t>
        </is>
      </c>
      <c r="BD2558" t="inlineStr">
        <is>
          <t>X</t>
        </is>
      </c>
      <c r="BE2558" t="inlineStr">
        <is>
          <t>X</t>
        </is>
      </c>
      <c r="BF2558" t="inlineStr">
        <is>
          <t>X</t>
        </is>
      </c>
      <c r="BH2558" t="inlineStr">
        <is>
          <t>X</t>
        </is>
      </c>
      <c r="BJ2558" t="inlineStr">
        <is>
          <t>X</t>
        </is>
      </c>
      <c r="BL2558" t="inlineStr">
        <is>
          <t>X</t>
        </is>
      </c>
      <c r="BP2558" t="inlineStr">
        <is>
          <t>X</t>
        </is>
      </c>
      <c r="BS2558" t="inlineStr">
        <is>
          <t>X</t>
        </is>
      </c>
      <c r="BY2558" t="inlineStr">
        <is>
          <t>D</t>
        </is>
      </c>
      <c r="CA2558" t="inlineStr">
        <is>
          <t>X</t>
        </is>
      </c>
      <c r="CK2558" t="inlineStr">
        <is>
          <t>X</t>
        </is>
      </c>
      <c r="CL2558" t="inlineStr">
        <is>
          <t>D</t>
        </is>
      </c>
      <c r="CN2558" t="inlineStr">
        <is>
          <t>X</t>
        </is>
      </c>
      <c r="CP2558" t="inlineStr">
        <is>
          <t>X</t>
        </is>
      </c>
      <c r="CT2558" t="inlineStr">
        <is>
          <t>X</t>
        </is>
      </c>
      <c r="CU2558" t="inlineStr">
        <is>
          <t>D</t>
        </is>
      </c>
      <c r="CV2558" t="inlineStr">
        <is>
          <t>X</t>
        </is>
      </c>
      <c r="CY2558" t="inlineStr">
        <is>
          <t>X</t>
        </is>
      </c>
      <c r="CZ2558" t="inlineStr">
        <is>
          <t>D</t>
        </is>
      </c>
      <c r="DC2558" t="inlineStr">
        <is>
          <t>X</t>
        </is>
      </c>
      <c r="DD2558" t="inlineStr">
        <is>
          <t>D</t>
        </is>
      </c>
      <c r="DG2558" t="inlineStr">
        <is>
          <t>D</t>
        </is>
      </c>
      <c r="DI2558" t="inlineStr">
        <is>
          <t>X</t>
        </is>
      </c>
      <c r="DL2558" t="inlineStr">
        <is>
          <t>X</t>
        </is>
      </c>
      <c r="DN2558" t="inlineStr">
        <is>
          <t>X</t>
        </is>
      </c>
      <c r="DU2558" t="inlineStr">
        <is>
          <t>X</t>
        </is>
      </c>
      <c r="DW2558" t="inlineStr">
        <is>
          <t>D</t>
        </is>
      </c>
      <c r="DX2558" t="inlineStr">
        <is>
          <t>X</t>
        </is>
      </c>
      <c r="EA2558" t="inlineStr">
        <is>
          <t>X</t>
        </is>
      </c>
      <c r="EF2558" t="inlineStr">
        <is>
          <t>X</t>
        </is>
      </c>
    </row>
    <row r="2559">
      <c r="A2559" t="inlineStr">
        <is>
          <t>OH0027895985</t>
        </is>
      </c>
      <c r="B2559" t="n">
        <v>78</v>
      </c>
      <c r="C2559" t="n">
        <v>495008</v>
      </c>
      <c r="D2559" t="inlineStr">
        <is>
          <t>TURNER</t>
        </is>
      </c>
      <c r="E2559" t="inlineStr">
        <is>
          <t>LOUIS</t>
        </is>
      </c>
      <c r="F2559">
        <f>CONCATENATE(D2559," ",LEFT(H2559,4),"T=",AU2559,"D=",AV2559,"R=",AW2559,"M=",AX2559,"L=",AY2559,"B=",AZ2559)</f>
        <v/>
      </c>
      <c r="G2559" t="inlineStr">
        <is>
          <t>BEN</t>
        </is>
      </c>
      <c r="H2559" t="inlineStr">
        <is>
          <t>III</t>
        </is>
      </c>
      <c r="I2559" t="inlineStr">
        <is>
          <t>2001-10-09</t>
        </is>
      </c>
      <c r="J2559" t="inlineStr">
        <is>
          <t>2025-02-12</t>
        </is>
      </c>
      <c r="K2559" t="inlineStr">
        <is>
          <t>ACTIVE</t>
        </is>
      </c>
      <c r="M2559" t="inlineStr">
        <is>
          <t>987 EAST AVE SE</t>
        </is>
      </c>
      <c r="N2559">
        <f>RIGHT(M2559,LEN(M2559)-FIND(" ",M2559))</f>
        <v/>
      </c>
      <c r="P2559" t="inlineStr">
        <is>
          <t>WARREN</t>
        </is>
      </c>
      <c r="Q2559" t="inlineStr">
        <is>
          <t>OH</t>
        </is>
      </c>
      <c r="R2559" t="n">
        <v>44484</v>
      </c>
      <c r="AD2559" t="inlineStr">
        <is>
          <t>TRUMBULL CAREER &amp; TECH CENTER</t>
        </is>
      </c>
      <c r="AE2559" t="inlineStr">
        <is>
          <t>WARREN CITY</t>
        </is>
      </c>
      <c r="AF2559" t="inlineStr">
        <is>
          <t>WARREN CITY SD</t>
        </is>
      </c>
      <c r="AH2559" t="n">
        <v>14</v>
      </c>
      <c r="AI2559" t="n">
        <v>11</v>
      </c>
      <c r="AN2559" t="inlineStr">
        <is>
          <t>WARREN</t>
        </is>
      </c>
      <c r="AO2559" t="inlineStr">
        <is>
          <t>WARREN CITY 4F</t>
        </is>
      </c>
      <c r="AP2559" t="inlineStr">
        <is>
          <t>78-P-ADN</t>
        </is>
      </c>
      <c r="AQ2559" t="n">
        <v>9</v>
      </c>
      <c r="AR2559" t="n">
        <v>64</v>
      </c>
      <c r="AS2559" t="n">
        <v>32</v>
      </c>
      <c r="AU2559">
        <f>COUNTA($BA$2559:$EH$2559)</f>
        <v/>
      </c>
      <c r="AV2559">
        <f>COUNTIF($BA$2559:$EH$2559,"D")</f>
        <v/>
      </c>
      <c r="AW2559">
        <f>COUNTIF($BA$2559:$EH$2559,"R")</f>
        <v/>
      </c>
      <c r="AX2559">
        <f>IF(BN2559="D",1,0)+IF(BO2559="D",1,0)+IF(BT2559="D",1,0)+IF(BU2559="D",1,0)+IF(BW2559="D",1,0)+IF(CC2559="D",1,0)+IF(CD2559="D",1,0)+IF(CE2559="D",1,0)+IF(CF2559="D",1,0)+IF(CL2559="D",1,0)+IF(CM2559="D",1,0)+IF(CQ2559="D",1,0)+IF(CR2559="D",1,0)+IF(CS2559="D",1,0)+IF(CW2559="D",1,0)+IF(CX2559="D",1,0)+IF(DD2559="D",1,0)+IF(DE2559="D",1,0)+IF(DJ2559="D",1,0)+IF(DK2559="D",1,0)+IF(DO2559="D",1,0)+IF(DP2559="D",1,0)+IF(DQ2559="D",1,0)+IF(DW2559="D",1,0)+IF(DZ2559="D",1,0)+IF(EH2559="D",1,0)</f>
        <v/>
      </c>
      <c r="AY2559">
        <f>IF(DJ2559&lt;&gt;"",1,0)+IF(DK2559&lt;&gt;"",1,0)+IF(DM2559&lt;&gt;"",1,0)+IF(DO2559&lt;&gt;"",1,0)+IF(DP2559&lt;&gt;"",1,0)+IF(DQ2559&lt;&gt;"",1,0)+IF(DS2559&lt;&gt;"",1,0)+IF(DT2559&lt;&gt;"",1,0)+IF(DV2559&lt;&gt;"",1,0)+IF(DW2559&lt;&gt;"",1,0)+IF(DX2559&lt;&gt;"",1,0)+IF(DY2559&lt;&gt;"",1,0)+IF(DZ2559&lt;&gt;"",1,0)+IF(EB2559&lt;&gt;"",1,0)+IF(EC2559&lt;&gt;"",1,0)+IF(ED2559&lt;&gt;"",1,0)+IF(EG2559&lt;&gt;"",1,0)+IF(EH2559&lt;&gt;"",1,0)</f>
        <v/>
      </c>
      <c r="AZ2559">
        <f>IF(EH2559&lt;&gt;"",1,0)</f>
        <v/>
      </c>
      <c r="BB2559" t="inlineStr">
        <is>
          <t>WARREN-WARD 4</t>
        </is>
      </c>
    </row>
    <row r="2560">
      <c r="A2560" t="inlineStr">
        <is>
          <t>OH0015760579</t>
        </is>
      </c>
      <c r="B2560" t="n">
        <v>78</v>
      </c>
      <c r="C2560" t="n">
        <v>247760</v>
      </c>
      <c r="D2560" t="inlineStr">
        <is>
          <t>COLEMAN</t>
        </is>
      </c>
      <c r="E2560" t="inlineStr">
        <is>
          <t>MARSHETTA</t>
        </is>
      </c>
      <c r="F2560">
        <f>CONCATENATE(D2560," ",LEFT(H2560,4),"T=",AU2560,"D=",AV2560,"R=",AW2560,"M=",AX2560,"L=",AY2560,"B=",AZ2560)</f>
        <v/>
      </c>
      <c r="G2560" t="inlineStr">
        <is>
          <t>D</t>
        </is>
      </c>
      <c r="I2560" t="inlineStr">
        <is>
          <t>1974-11-01</t>
        </is>
      </c>
      <c r="J2560" t="inlineStr">
        <is>
          <t>2024-11-05</t>
        </is>
      </c>
      <c r="K2560" t="inlineStr">
        <is>
          <t>ACTIVE</t>
        </is>
      </c>
      <c r="M2560" t="inlineStr">
        <is>
          <t>1178 YOUNGSTOWN RD SE</t>
        </is>
      </c>
      <c r="N2560">
        <f>RIGHT(M2560,LEN(M2560)-FIND(" ",M2560))</f>
        <v/>
      </c>
      <c r="P2560" t="inlineStr">
        <is>
          <t>WARREN</t>
        </is>
      </c>
      <c r="Q2560" t="inlineStr">
        <is>
          <t>OH</t>
        </is>
      </c>
      <c r="R2560" t="n">
        <v>44484</v>
      </c>
      <c r="AD2560" t="inlineStr">
        <is>
          <t>TRUMBULL CAREER &amp; TECH CENTER</t>
        </is>
      </c>
      <c r="AE2560" t="inlineStr">
        <is>
          <t>WARREN CITY</t>
        </is>
      </c>
      <c r="AF2560" t="inlineStr">
        <is>
          <t>WARREN CITY SD</t>
        </is>
      </c>
      <c r="AH2560" t="n">
        <v>14</v>
      </c>
      <c r="AI2560" t="n">
        <v>11</v>
      </c>
      <c r="AN2560" t="inlineStr">
        <is>
          <t>WARREN</t>
        </is>
      </c>
      <c r="AO2560" t="inlineStr">
        <is>
          <t>WARREN CITY 4F</t>
        </is>
      </c>
      <c r="AP2560" t="inlineStr">
        <is>
          <t>78-P-ADN</t>
        </is>
      </c>
      <c r="AQ2560" t="n">
        <v>9</v>
      </c>
      <c r="AR2560" t="n">
        <v>64</v>
      </c>
      <c r="AS2560" t="n">
        <v>32</v>
      </c>
      <c r="AU2560">
        <f>COUNTA($BA$2560:$EH$2560)</f>
        <v/>
      </c>
      <c r="AV2560">
        <f>COUNTIF($BA$2560:$EH$2560,"D")</f>
        <v/>
      </c>
      <c r="AW2560">
        <f>COUNTIF($BA$2560:$EH$2560,"R")</f>
        <v/>
      </c>
      <c r="AX2560">
        <f>IF(BN2560="D",1,0)+IF(BO2560="D",1,0)+IF(BT2560="D",1,0)+IF(BU2560="D",1,0)+IF(BW2560="D",1,0)+IF(CC2560="D",1,0)+IF(CD2560="D",1,0)+IF(CE2560="D",1,0)+IF(CF2560="D",1,0)+IF(CL2560="D",1,0)+IF(CM2560="D",1,0)+IF(CQ2560="D",1,0)+IF(CR2560="D",1,0)+IF(CS2560="D",1,0)+IF(CW2560="D",1,0)+IF(CX2560="D",1,0)+IF(DD2560="D",1,0)+IF(DE2560="D",1,0)+IF(DJ2560="D",1,0)+IF(DK2560="D",1,0)+IF(DO2560="D",1,0)+IF(DP2560="D",1,0)+IF(DQ2560="D",1,0)+IF(DW2560="D",1,0)+IF(DZ2560="D",1,0)+IF(EH2560="D",1,0)</f>
        <v/>
      </c>
      <c r="AY2560">
        <f>IF(DJ2560&lt;&gt;"",1,0)+IF(DK2560&lt;&gt;"",1,0)+IF(DM2560&lt;&gt;"",1,0)+IF(DO2560&lt;&gt;"",1,0)+IF(DP2560&lt;&gt;"",1,0)+IF(DQ2560&lt;&gt;"",1,0)+IF(DS2560&lt;&gt;"",1,0)+IF(DT2560&lt;&gt;"",1,0)+IF(DV2560&lt;&gt;"",1,0)+IF(DW2560&lt;&gt;"",1,0)+IF(DX2560&lt;&gt;"",1,0)+IF(DY2560&lt;&gt;"",1,0)+IF(DZ2560&lt;&gt;"",1,0)+IF(EB2560&lt;&gt;"",1,0)+IF(EC2560&lt;&gt;"",1,0)+IF(ED2560&lt;&gt;"",1,0)+IF(EG2560&lt;&gt;"",1,0)+IF(EH2560&lt;&gt;"",1,0)</f>
        <v/>
      </c>
      <c r="AZ2560">
        <f>IF(EH2560&lt;&gt;"",1,0)</f>
        <v/>
      </c>
      <c r="BB2560" t="inlineStr">
        <is>
          <t>WARREN-WARD 4</t>
        </is>
      </c>
      <c r="BD2560" t="inlineStr">
        <is>
          <t>X</t>
        </is>
      </c>
      <c r="BL2560" t="inlineStr">
        <is>
          <t>X</t>
        </is>
      </c>
      <c r="CA2560" t="inlineStr">
        <is>
          <t>X</t>
        </is>
      </c>
      <c r="CL2560" t="inlineStr">
        <is>
          <t>D</t>
        </is>
      </c>
      <c r="CN2560" t="inlineStr">
        <is>
          <t>X</t>
        </is>
      </c>
      <c r="CP2560" t="inlineStr">
        <is>
          <t>X</t>
        </is>
      </c>
      <c r="CV2560" t="inlineStr">
        <is>
          <t>X</t>
        </is>
      </c>
      <c r="CY2560" t="inlineStr">
        <is>
          <t>X</t>
        </is>
      </c>
      <c r="CZ2560" t="inlineStr">
        <is>
          <t>D</t>
        </is>
      </c>
      <c r="DC2560" t="inlineStr">
        <is>
          <t>X</t>
        </is>
      </c>
      <c r="DN2560" t="inlineStr">
        <is>
          <t>X</t>
        </is>
      </c>
      <c r="EF2560" t="inlineStr">
        <is>
          <t>X</t>
        </is>
      </c>
    </row>
    <row r="2561">
      <c r="A2561" t="inlineStr">
        <is>
          <t>OH0015781951</t>
        </is>
      </c>
      <c r="B2561" t="n">
        <v>78</v>
      </c>
      <c r="C2561" t="n">
        <v>291739</v>
      </c>
      <c r="D2561" t="inlineStr">
        <is>
          <t>BENNETT</t>
        </is>
      </c>
      <c r="E2561" t="inlineStr">
        <is>
          <t>KELLI</t>
        </is>
      </c>
      <c r="F2561">
        <f>CONCATENATE(D2561," ",LEFT(H2561,4),"T=",AU2561,"D=",AV2561,"R=",AW2561,"M=",AX2561,"L=",AY2561,"B=",AZ2561)</f>
        <v/>
      </c>
      <c r="G2561" t="inlineStr">
        <is>
          <t>R</t>
        </is>
      </c>
      <c r="I2561" t="inlineStr">
        <is>
          <t>1981-12-28</t>
        </is>
      </c>
      <c r="J2561" t="inlineStr">
        <is>
          <t>2020-02-18</t>
        </is>
      </c>
      <c r="K2561" t="inlineStr">
        <is>
          <t>ACTIVE</t>
        </is>
      </c>
      <c r="M2561" t="inlineStr">
        <is>
          <t>1739 BRIER ST SE</t>
        </is>
      </c>
      <c r="N2561">
        <f>RIGHT(M2561,LEN(M2561)-FIND(" ",M2561))</f>
        <v/>
      </c>
      <c r="P2561" t="inlineStr">
        <is>
          <t>WARREN</t>
        </is>
      </c>
      <c r="Q2561" t="inlineStr">
        <is>
          <t>OH</t>
        </is>
      </c>
      <c r="R2561" t="n">
        <v>44484</v>
      </c>
      <c r="AD2561" t="inlineStr">
        <is>
          <t>TRUMBULL CAREER &amp; TECH CENTER</t>
        </is>
      </c>
      <c r="AE2561" t="inlineStr">
        <is>
          <t>WARREN CITY</t>
        </is>
      </c>
      <c r="AF2561" t="inlineStr">
        <is>
          <t>WARREN CITY SD</t>
        </is>
      </c>
      <c r="AH2561" t="n">
        <v>14</v>
      </c>
      <c r="AI2561" t="n">
        <v>11</v>
      </c>
      <c r="AN2561" t="inlineStr">
        <is>
          <t>WARREN</t>
        </is>
      </c>
      <c r="AO2561" t="inlineStr">
        <is>
          <t>WARREN CITY 4F</t>
        </is>
      </c>
      <c r="AP2561" t="inlineStr">
        <is>
          <t>78-P-ADN</t>
        </is>
      </c>
      <c r="AQ2561" t="n">
        <v>9</v>
      </c>
      <c r="AR2561" t="n">
        <v>64</v>
      </c>
      <c r="AS2561" t="n">
        <v>32</v>
      </c>
      <c r="AU2561">
        <f>COUNTA($BA$2561:$EH$2561)</f>
        <v/>
      </c>
      <c r="AV2561">
        <f>COUNTIF($BA$2561:$EH$2561,"D")</f>
        <v/>
      </c>
      <c r="AW2561">
        <f>COUNTIF($BA$2561:$EH$2561,"R")</f>
        <v/>
      </c>
      <c r="AX2561">
        <f>IF(BN2561="D",1,0)+IF(BO2561="D",1,0)+IF(BT2561="D",1,0)+IF(BU2561="D",1,0)+IF(BW2561="D",1,0)+IF(CC2561="D",1,0)+IF(CD2561="D",1,0)+IF(CE2561="D",1,0)+IF(CF2561="D",1,0)+IF(CL2561="D",1,0)+IF(CM2561="D",1,0)+IF(CQ2561="D",1,0)+IF(CR2561="D",1,0)+IF(CS2561="D",1,0)+IF(CW2561="D",1,0)+IF(CX2561="D",1,0)+IF(DD2561="D",1,0)+IF(DE2561="D",1,0)+IF(DJ2561="D",1,0)+IF(DK2561="D",1,0)+IF(DO2561="D",1,0)+IF(DP2561="D",1,0)+IF(DQ2561="D",1,0)+IF(DW2561="D",1,0)+IF(DZ2561="D",1,0)+IF(EH2561="D",1,0)</f>
        <v/>
      </c>
      <c r="AY2561">
        <f>IF(DJ2561&lt;&gt;"",1,0)+IF(DK2561&lt;&gt;"",1,0)+IF(DM2561&lt;&gt;"",1,0)+IF(DO2561&lt;&gt;"",1,0)+IF(DP2561&lt;&gt;"",1,0)+IF(DQ2561&lt;&gt;"",1,0)+IF(DS2561&lt;&gt;"",1,0)+IF(DT2561&lt;&gt;"",1,0)+IF(DV2561&lt;&gt;"",1,0)+IF(DW2561&lt;&gt;"",1,0)+IF(DX2561&lt;&gt;"",1,0)+IF(DY2561&lt;&gt;"",1,0)+IF(DZ2561&lt;&gt;"",1,0)+IF(EB2561&lt;&gt;"",1,0)+IF(EC2561&lt;&gt;"",1,0)+IF(ED2561&lt;&gt;"",1,0)+IF(EG2561&lt;&gt;"",1,0)+IF(EH2561&lt;&gt;"",1,0)</f>
        <v/>
      </c>
      <c r="AZ2561">
        <f>IF(EH2561&lt;&gt;"",1,0)</f>
        <v/>
      </c>
      <c r="BB2561" t="inlineStr">
        <is>
          <t>WARREN-WARD 4</t>
        </is>
      </c>
      <c r="BC2561" t="inlineStr">
        <is>
          <t>X</t>
        </is>
      </c>
      <c r="BL2561" t="inlineStr">
        <is>
          <t>X</t>
        </is>
      </c>
      <c r="CA2561" t="inlineStr">
        <is>
          <t>X</t>
        </is>
      </c>
      <c r="CL2561" t="inlineStr">
        <is>
          <t>D</t>
        </is>
      </c>
      <c r="CN2561" t="inlineStr">
        <is>
          <t>X</t>
        </is>
      </c>
      <c r="CP2561" t="inlineStr">
        <is>
          <t>X</t>
        </is>
      </c>
      <c r="CY2561" t="inlineStr">
        <is>
          <t>X</t>
        </is>
      </c>
      <c r="DC2561" t="inlineStr">
        <is>
          <t>X</t>
        </is>
      </c>
      <c r="DD2561" t="inlineStr">
        <is>
          <t>D</t>
        </is>
      </c>
      <c r="DI2561" t="inlineStr">
        <is>
          <t>X</t>
        </is>
      </c>
      <c r="DL2561" t="inlineStr">
        <is>
          <t>X</t>
        </is>
      </c>
      <c r="DM2561" t="inlineStr">
        <is>
          <t>D</t>
        </is>
      </c>
      <c r="DN2561" t="inlineStr">
        <is>
          <t>X</t>
        </is>
      </c>
      <c r="DU2561" t="inlineStr">
        <is>
          <t>X</t>
        </is>
      </c>
      <c r="DX2561" t="inlineStr">
        <is>
          <t>X</t>
        </is>
      </c>
    </row>
    <row r="2562">
      <c r="A2562" t="inlineStr">
        <is>
          <t>OH0015819833</t>
        </is>
      </c>
      <c r="B2562" t="n">
        <v>78</v>
      </c>
      <c r="C2562" t="n">
        <v>314050</v>
      </c>
      <c r="D2562" t="inlineStr">
        <is>
          <t>WALKER</t>
        </is>
      </c>
      <c r="E2562" t="inlineStr">
        <is>
          <t>BOBRICHER</t>
        </is>
      </c>
      <c r="F2562">
        <f>CONCATENATE(D2562," ",LEFT(H2562,4),"T=",AU2562,"D=",AV2562,"R=",AW2562,"M=",AX2562,"L=",AY2562,"B=",AZ2562)</f>
        <v/>
      </c>
      <c r="I2562" t="inlineStr">
        <is>
          <t>1985-05-10</t>
        </is>
      </c>
      <c r="J2562" t="inlineStr">
        <is>
          <t>2021-05-29</t>
        </is>
      </c>
      <c r="K2562" t="inlineStr">
        <is>
          <t>ACTIVE</t>
        </is>
      </c>
      <c r="M2562" t="inlineStr">
        <is>
          <t>971 HOMEWOOD AVE SE</t>
        </is>
      </c>
      <c r="N2562">
        <f>RIGHT(M2562,LEN(M2562)-FIND(" ",M2562))</f>
        <v/>
      </c>
      <c r="P2562" t="inlineStr">
        <is>
          <t>WARREN</t>
        </is>
      </c>
      <c r="Q2562" t="inlineStr">
        <is>
          <t>OH</t>
        </is>
      </c>
      <c r="R2562" t="n">
        <v>44484</v>
      </c>
      <c r="AD2562" t="inlineStr">
        <is>
          <t>TRUMBULL CAREER &amp; TECH CENTER</t>
        </is>
      </c>
      <c r="AE2562" t="inlineStr">
        <is>
          <t>WARREN CITY</t>
        </is>
      </c>
      <c r="AF2562" t="inlineStr">
        <is>
          <t>WARREN CITY SD</t>
        </is>
      </c>
      <c r="AH2562" t="n">
        <v>14</v>
      </c>
      <c r="AI2562" t="n">
        <v>11</v>
      </c>
      <c r="AN2562" t="inlineStr">
        <is>
          <t>WARREN</t>
        </is>
      </c>
      <c r="AO2562" t="inlineStr">
        <is>
          <t>WARREN CITY 4F</t>
        </is>
      </c>
      <c r="AP2562" t="inlineStr">
        <is>
          <t>78-P-ADN</t>
        </is>
      </c>
      <c r="AQ2562" t="n">
        <v>9</v>
      </c>
      <c r="AR2562" t="n">
        <v>64</v>
      </c>
      <c r="AS2562" t="n">
        <v>32</v>
      </c>
      <c r="AU2562">
        <f>COUNTA($BA$2562:$EH$2562)</f>
        <v/>
      </c>
      <c r="AV2562">
        <f>COUNTIF($BA$2562:$EH$2562,"D")</f>
        <v/>
      </c>
      <c r="AW2562">
        <f>COUNTIF($BA$2562:$EH$2562,"R")</f>
        <v/>
      </c>
      <c r="AX2562">
        <f>IF(BN2562="D",1,0)+IF(BO2562="D",1,0)+IF(BT2562="D",1,0)+IF(BU2562="D",1,0)+IF(BW2562="D",1,0)+IF(CC2562="D",1,0)+IF(CD2562="D",1,0)+IF(CE2562="D",1,0)+IF(CF2562="D",1,0)+IF(CL2562="D",1,0)+IF(CM2562="D",1,0)+IF(CQ2562="D",1,0)+IF(CR2562="D",1,0)+IF(CS2562="D",1,0)+IF(CW2562="D",1,0)+IF(CX2562="D",1,0)+IF(DD2562="D",1,0)+IF(DE2562="D",1,0)+IF(DJ2562="D",1,0)+IF(DK2562="D",1,0)+IF(DO2562="D",1,0)+IF(DP2562="D",1,0)+IF(DQ2562="D",1,0)+IF(DW2562="D",1,0)+IF(DZ2562="D",1,0)+IF(EH2562="D",1,0)</f>
        <v/>
      </c>
      <c r="AY2562">
        <f>IF(DJ2562&lt;&gt;"",1,0)+IF(DK2562&lt;&gt;"",1,0)+IF(DM2562&lt;&gt;"",1,0)+IF(DO2562&lt;&gt;"",1,0)+IF(DP2562&lt;&gt;"",1,0)+IF(DQ2562&lt;&gt;"",1,0)+IF(DS2562&lt;&gt;"",1,0)+IF(DT2562&lt;&gt;"",1,0)+IF(DV2562&lt;&gt;"",1,0)+IF(DW2562&lt;&gt;"",1,0)+IF(DX2562&lt;&gt;"",1,0)+IF(DY2562&lt;&gt;"",1,0)+IF(DZ2562&lt;&gt;"",1,0)+IF(EB2562&lt;&gt;"",1,0)+IF(EC2562&lt;&gt;"",1,0)+IF(ED2562&lt;&gt;"",1,0)+IF(EG2562&lt;&gt;"",1,0)+IF(EH2562&lt;&gt;"",1,0)</f>
        <v/>
      </c>
      <c r="AZ2562">
        <f>IF(EH2562&lt;&gt;"",1,0)</f>
        <v/>
      </c>
      <c r="BB2562" t="inlineStr">
        <is>
          <t>WARREN-WARD 4</t>
        </is>
      </c>
      <c r="BK2562" t="inlineStr">
        <is>
          <t>X</t>
        </is>
      </c>
      <c r="BL2562" t="inlineStr">
        <is>
          <t>X</t>
        </is>
      </c>
      <c r="BS2562" t="inlineStr">
        <is>
          <t>X</t>
        </is>
      </c>
      <c r="BY2562" t="inlineStr">
        <is>
          <t>D</t>
        </is>
      </c>
      <c r="CA2562" t="inlineStr">
        <is>
          <t>X</t>
        </is>
      </c>
      <c r="CK2562" t="inlineStr">
        <is>
          <t>X</t>
        </is>
      </c>
      <c r="CP2562" t="inlineStr">
        <is>
          <t>X</t>
        </is>
      </c>
      <c r="CY2562" t="inlineStr">
        <is>
          <t>X</t>
        </is>
      </c>
      <c r="DC2562" t="inlineStr">
        <is>
          <t>X</t>
        </is>
      </c>
      <c r="DN2562" t="inlineStr">
        <is>
          <t>X</t>
        </is>
      </c>
      <c r="DR2562" t="inlineStr">
        <is>
          <t>X</t>
        </is>
      </c>
      <c r="EA2562" t="inlineStr">
        <is>
          <t>X</t>
        </is>
      </c>
      <c r="EF2562" t="inlineStr">
        <is>
          <t>X</t>
        </is>
      </c>
    </row>
    <row r="2563">
      <c r="A2563" t="inlineStr">
        <is>
          <t>OH0021437702</t>
        </is>
      </c>
      <c r="B2563" t="n">
        <v>78</v>
      </c>
      <c r="C2563" t="n">
        <v>381437</v>
      </c>
      <c r="D2563" t="inlineStr">
        <is>
          <t>JONES</t>
        </is>
      </c>
      <c r="E2563" t="inlineStr">
        <is>
          <t>JOHNESHA</t>
        </is>
      </c>
      <c r="F2563">
        <f>CONCATENATE(D2563," ",LEFT(H2563,4),"T=",AU2563,"D=",AV2563,"R=",AW2563,"M=",AX2563,"L=",AY2563,"B=",AZ2563)</f>
        <v/>
      </c>
      <c r="G2563" t="inlineStr">
        <is>
          <t>A</t>
        </is>
      </c>
      <c r="I2563" t="inlineStr">
        <is>
          <t>1992-03-18</t>
        </is>
      </c>
      <c r="J2563" t="inlineStr">
        <is>
          <t>2017-03-08</t>
        </is>
      </c>
      <c r="K2563" t="inlineStr">
        <is>
          <t>CONFIRMATION</t>
        </is>
      </c>
      <c r="M2563" t="inlineStr">
        <is>
          <t>1521 TRANSYLVANIA AVE SE</t>
        </is>
      </c>
      <c r="N2563">
        <f>RIGHT(M2563,LEN(M2563)-FIND(" ",M2563))</f>
        <v/>
      </c>
      <c r="P2563" t="inlineStr">
        <is>
          <t>WARREN</t>
        </is>
      </c>
      <c r="Q2563" t="inlineStr">
        <is>
          <t>OH</t>
        </is>
      </c>
      <c r="R2563" t="n">
        <v>44484</v>
      </c>
      <c r="AD2563" t="inlineStr">
        <is>
          <t>TRUMBULL CAREER &amp; TECH CENTER</t>
        </is>
      </c>
      <c r="AE2563" t="inlineStr">
        <is>
          <t>WARREN CITY</t>
        </is>
      </c>
      <c r="AF2563" t="inlineStr">
        <is>
          <t>WARREN CITY SD</t>
        </is>
      </c>
      <c r="AH2563" t="n">
        <v>14</v>
      </c>
      <c r="AI2563" t="n">
        <v>11</v>
      </c>
      <c r="AN2563" t="inlineStr">
        <is>
          <t>WARREN</t>
        </is>
      </c>
      <c r="AO2563" t="inlineStr">
        <is>
          <t>WARREN CITY 4F</t>
        </is>
      </c>
      <c r="AP2563" t="inlineStr">
        <is>
          <t>78-P-ADN</t>
        </is>
      </c>
      <c r="AQ2563" t="n">
        <v>9</v>
      </c>
      <c r="AR2563" t="n">
        <v>64</v>
      </c>
      <c r="AS2563" t="n">
        <v>32</v>
      </c>
      <c r="AU2563">
        <f>COUNTA($BA$2563:$EH$2563)</f>
        <v/>
      </c>
      <c r="AV2563">
        <f>COUNTIF($BA$2563:$EH$2563,"D")</f>
        <v/>
      </c>
      <c r="AW2563">
        <f>COUNTIF($BA$2563:$EH$2563,"R")</f>
        <v/>
      </c>
      <c r="AX2563">
        <f>IF(BN2563="D",1,0)+IF(BO2563="D",1,0)+IF(BT2563="D",1,0)+IF(BU2563="D",1,0)+IF(BW2563="D",1,0)+IF(CC2563="D",1,0)+IF(CD2563="D",1,0)+IF(CE2563="D",1,0)+IF(CF2563="D",1,0)+IF(CL2563="D",1,0)+IF(CM2563="D",1,0)+IF(CQ2563="D",1,0)+IF(CR2563="D",1,0)+IF(CS2563="D",1,0)+IF(CW2563="D",1,0)+IF(CX2563="D",1,0)+IF(DD2563="D",1,0)+IF(DE2563="D",1,0)+IF(DJ2563="D",1,0)+IF(DK2563="D",1,0)+IF(DO2563="D",1,0)+IF(DP2563="D",1,0)+IF(DQ2563="D",1,0)+IF(DW2563="D",1,0)+IF(DZ2563="D",1,0)+IF(EH2563="D",1,0)</f>
        <v/>
      </c>
      <c r="AY2563">
        <f>IF(DJ2563&lt;&gt;"",1,0)+IF(DK2563&lt;&gt;"",1,0)+IF(DM2563&lt;&gt;"",1,0)+IF(DO2563&lt;&gt;"",1,0)+IF(DP2563&lt;&gt;"",1,0)+IF(DQ2563&lt;&gt;"",1,0)+IF(DS2563&lt;&gt;"",1,0)+IF(DT2563&lt;&gt;"",1,0)+IF(DV2563&lt;&gt;"",1,0)+IF(DW2563&lt;&gt;"",1,0)+IF(DX2563&lt;&gt;"",1,0)+IF(DY2563&lt;&gt;"",1,0)+IF(DZ2563&lt;&gt;"",1,0)+IF(EB2563&lt;&gt;"",1,0)+IF(EC2563&lt;&gt;"",1,0)+IF(ED2563&lt;&gt;"",1,0)+IF(EG2563&lt;&gt;"",1,0)+IF(EH2563&lt;&gt;"",1,0)</f>
        <v/>
      </c>
      <c r="AZ2563">
        <f>IF(EH2563&lt;&gt;"",1,0)</f>
        <v/>
      </c>
      <c r="BB2563" t="inlineStr">
        <is>
          <t>WARREN-WARD 4</t>
        </is>
      </c>
    </row>
    <row r="2564">
      <c r="A2564" t="inlineStr">
        <is>
          <t>OH0023496294</t>
        </is>
      </c>
      <c r="B2564" t="n">
        <v>78</v>
      </c>
      <c r="C2564" t="n">
        <v>413754</v>
      </c>
      <c r="D2564" t="inlineStr">
        <is>
          <t>NORMAN</t>
        </is>
      </c>
      <c r="E2564" t="inlineStr">
        <is>
          <t>ALYSSA</t>
        </is>
      </c>
      <c r="F2564">
        <f>CONCATENATE(D2564," ",LEFT(H2564,4),"T=",AU2564,"D=",AV2564,"R=",AW2564,"M=",AX2564,"L=",AY2564,"B=",AZ2564)</f>
        <v/>
      </c>
      <c r="G2564" t="inlineStr">
        <is>
          <t>R</t>
        </is>
      </c>
      <c r="I2564" t="inlineStr">
        <is>
          <t>1994-01-17</t>
        </is>
      </c>
      <c r="J2564" t="inlineStr">
        <is>
          <t>2019-07-19</t>
        </is>
      </c>
      <c r="K2564" t="inlineStr">
        <is>
          <t>ACTIVE</t>
        </is>
      </c>
      <c r="L2564" t="inlineStr">
        <is>
          <t>D</t>
        </is>
      </c>
      <c r="M2564" t="inlineStr">
        <is>
          <t>2168 DRAPER AVE SE</t>
        </is>
      </c>
      <c r="N2564">
        <f>RIGHT(M2564,LEN(M2564)-FIND(" ",M2564))</f>
        <v/>
      </c>
      <c r="P2564" t="inlineStr">
        <is>
          <t>WARREN</t>
        </is>
      </c>
      <c r="Q2564" t="inlineStr">
        <is>
          <t>OH</t>
        </is>
      </c>
      <c r="R2564" t="n">
        <v>44484</v>
      </c>
      <c r="AD2564" t="inlineStr">
        <is>
          <t>TRUMBULL CAREER &amp; TECH CENTER</t>
        </is>
      </c>
      <c r="AE2564" t="inlineStr">
        <is>
          <t>WARREN CITY</t>
        </is>
      </c>
      <c r="AF2564" t="inlineStr">
        <is>
          <t>WARREN CITY SD</t>
        </is>
      </c>
      <c r="AH2564" t="n">
        <v>14</v>
      </c>
      <c r="AI2564" t="n">
        <v>11</v>
      </c>
      <c r="AN2564" t="inlineStr">
        <is>
          <t>WARREN</t>
        </is>
      </c>
      <c r="AO2564" t="inlineStr">
        <is>
          <t>WARREN CITY 4F</t>
        </is>
      </c>
      <c r="AP2564" t="inlineStr">
        <is>
          <t>78-P-ADN</t>
        </is>
      </c>
      <c r="AQ2564" t="n">
        <v>9</v>
      </c>
      <c r="AR2564" t="n">
        <v>64</v>
      </c>
      <c r="AS2564" t="n">
        <v>32</v>
      </c>
      <c r="AU2564">
        <f>COUNTA($BA$2564:$EH$2564)</f>
        <v/>
      </c>
      <c r="AV2564">
        <f>COUNTIF($BA$2564:$EH$2564,"D")</f>
        <v/>
      </c>
      <c r="AW2564">
        <f>COUNTIF($BA$2564:$EH$2564,"R")</f>
        <v/>
      </c>
      <c r="AX2564">
        <f>IF(BN2564="D",1,0)+IF(BO2564="D",1,0)+IF(BT2564="D",1,0)+IF(BU2564="D",1,0)+IF(BW2564="D",1,0)+IF(CC2564="D",1,0)+IF(CD2564="D",1,0)+IF(CE2564="D",1,0)+IF(CF2564="D",1,0)+IF(CL2564="D",1,0)+IF(CM2564="D",1,0)+IF(CQ2564="D",1,0)+IF(CR2564="D",1,0)+IF(CS2564="D",1,0)+IF(CW2564="D",1,0)+IF(CX2564="D",1,0)+IF(DD2564="D",1,0)+IF(DE2564="D",1,0)+IF(DJ2564="D",1,0)+IF(DK2564="D",1,0)+IF(DO2564="D",1,0)+IF(DP2564="D",1,0)+IF(DQ2564="D",1,0)+IF(DW2564="D",1,0)+IF(DZ2564="D",1,0)+IF(EH2564="D",1,0)</f>
        <v/>
      </c>
      <c r="AY2564">
        <f>IF(DJ2564&lt;&gt;"",1,0)+IF(DK2564&lt;&gt;"",1,0)+IF(DM2564&lt;&gt;"",1,0)+IF(DO2564&lt;&gt;"",1,0)+IF(DP2564&lt;&gt;"",1,0)+IF(DQ2564&lt;&gt;"",1,0)+IF(DS2564&lt;&gt;"",1,0)+IF(DT2564&lt;&gt;"",1,0)+IF(DV2564&lt;&gt;"",1,0)+IF(DW2564&lt;&gt;"",1,0)+IF(DX2564&lt;&gt;"",1,0)+IF(DY2564&lt;&gt;"",1,0)+IF(DZ2564&lt;&gt;"",1,0)+IF(EB2564&lt;&gt;"",1,0)+IF(EC2564&lt;&gt;"",1,0)+IF(ED2564&lt;&gt;"",1,0)+IF(EG2564&lt;&gt;"",1,0)+IF(EH2564&lt;&gt;"",1,0)</f>
        <v/>
      </c>
      <c r="AZ2564">
        <f>IF(EH2564&lt;&gt;"",1,0)</f>
        <v/>
      </c>
      <c r="BB2564" t="inlineStr">
        <is>
          <t>WARREN-WARD 4</t>
        </is>
      </c>
      <c r="CO2564" t="inlineStr">
        <is>
          <t>D</t>
        </is>
      </c>
      <c r="CP2564" t="inlineStr">
        <is>
          <t>X</t>
        </is>
      </c>
      <c r="CV2564" t="inlineStr">
        <is>
          <t>X</t>
        </is>
      </c>
      <c r="CY2564" t="inlineStr">
        <is>
          <t>X</t>
        </is>
      </c>
      <c r="CZ2564" t="inlineStr">
        <is>
          <t>D</t>
        </is>
      </c>
      <c r="DC2564" t="inlineStr">
        <is>
          <t>X</t>
        </is>
      </c>
      <c r="DG2564" t="inlineStr">
        <is>
          <t>D</t>
        </is>
      </c>
      <c r="DI2564" t="inlineStr">
        <is>
          <t>X</t>
        </is>
      </c>
      <c r="DN2564" t="inlineStr">
        <is>
          <t>X</t>
        </is>
      </c>
      <c r="DU2564" t="inlineStr">
        <is>
          <t>X</t>
        </is>
      </c>
      <c r="DW2564" t="inlineStr">
        <is>
          <t>D</t>
        </is>
      </c>
      <c r="DX2564" t="inlineStr">
        <is>
          <t>X</t>
        </is>
      </c>
      <c r="EA2564" t="inlineStr">
        <is>
          <t>X</t>
        </is>
      </c>
      <c r="EF2564" t="inlineStr">
        <is>
          <t>X</t>
        </is>
      </c>
    </row>
    <row r="2565">
      <c r="A2565" t="inlineStr">
        <is>
          <t>OH0023889971</t>
        </is>
      </c>
      <c r="B2565" t="n">
        <v>78</v>
      </c>
      <c r="C2565" t="n">
        <v>419483</v>
      </c>
      <c r="D2565" t="inlineStr">
        <is>
          <t>BROCKETT</t>
        </is>
      </c>
      <c r="E2565" t="inlineStr">
        <is>
          <t>MELODY</t>
        </is>
      </c>
      <c r="F2565">
        <f>CONCATENATE(D2565," ",LEFT(H2565,4),"T=",AU2565,"D=",AV2565,"R=",AW2565,"M=",AX2565,"L=",AY2565,"B=",AZ2565)</f>
        <v/>
      </c>
      <c r="G2565" t="inlineStr">
        <is>
          <t>LEE</t>
        </is>
      </c>
      <c r="I2565" t="inlineStr">
        <is>
          <t>1981-09-01</t>
        </is>
      </c>
      <c r="J2565" t="inlineStr">
        <is>
          <t>2018-05-03</t>
        </is>
      </c>
      <c r="K2565" t="inlineStr">
        <is>
          <t>ACTIVE</t>
        </is>
      </c>
      <c r="M2565" t="inlineStr">
        <is>
          <t>1487 NILES RD SE</t>
        </is>
      </c>
      <c r="N2565">
        <f>RIGHT(M2565,LEN(M2565)-FIND(" ",M2565))</f>
        <v/>
      </c>
      <c r="P2565" t="inlineStr">
        <is>
          <t>WARREN</t>
        </is>
      </c>
      <c r="Q2565" t="inlineStr">
        <is>
          <t>OH</t>
        </is>
      </c>
      <c r="R2565" t="n">
        <v>44484</v>
      </c>
      <c r="AD2565" t="inlineStr">
        <is>
          <t>TRUMBULL CAREER &amp; TECH CENTER</t>
        </is>
      </c>
      <c r="AE2565" t="inlineStr">
        <is>
          <t>WARREN CITY</t>
        </is>
      </c>
      <c r="AF2565" t="inlineStr">
        <is>
          <t>WARREN CITY SD</t>
        </is>
      </c>
      <c r="AH2565" t="n">
        <v>14</v>
      </c>
      <c r="AI2565" t="n">
        <v>11</v>
      </c>
      <c r="AN2565" t="inlineStr">
        <is>
          <t>WARREN</t>
        </is>
      </c>
      <c r="AO2565" t="inlineStr">
        <is>
          <t>WARREN CITY 4F</t>
        </is>
      </c>
      <c r="AP2565" t="inlineStr">
        <is>
          <t>78-P-ADN</t>
        </is>
      </c>
      <c r="AQ2565" t="n">
        <v>9</v>
      </c>
      <c r="AR2565" t="n">
        <v>64</v>
      </c>
      <c r="AS2565" t="n">
        <v>32</v>
      </c>
      <c r="AU2565">
        <f>COUNTA($BA$2565:$EH$2565)</f>
        <v/>
      </c>
      <c r="AV2565">
        <f>COUNTIF($BA$2565:$EH$2565,"D")</f>
        <v/>
      </c>
      <c r="AW2565">
        <f>COUNTIF($BA$2565:$EH$2565,"R")</f>
        <v/>
      </c>
      <c r="AX2565">
        <f>IF(BN2565="D",1,0)+IF(BO2565="D",1,0)+IF(BT2565="D",1,0)+IF(BU2565="D",1,0)+IF(BW2565="D",1,0)+IF(CC2565="D",1,0)+IF(CD2565="D",1,0)+IF(CE2565="D",1,0)+IF(CF2565="D",1,0)+IF(CL2565="D",1,0)+IF(CM2565="D",1,0)+IF(CQ2565="D",1,0)+IF(CR2565="D",1,0)+IF(CS2565="D",1,0)+IF(CW2565="D",1,0)+IF(CX2565="D",1,0)+IF(DD2565="D",1,0)+IF(DE2565="D",1,0)+IF(DJ2565="D",1,0)+IF(DK2565="D",1,0)+IF(DO2565="D",1,0)+IF(DP2565="D",1,0)+IF(DQ2565="D",1,0)+IF(DW2565="D",1,0)+IF(DZ2565="D",1,0)+IF(EH2565="D",1,0)</f>
        <v/>
      </c>
      <c r="AY2565">
        <f>IF(DJ2565&lt;&gt;"",1,0)+IF(DK2565&lt;&gt;"",1,0)+IF(DM2565&lt;&gt;"",1,0)+IF(DO2565&lt;&gt;"",1,0)+IF(DP2565&lt;&gt;"",1,0)+IF(DQ2565&lt;&gt;"",1,0)+IF(DS2565&lt;&gt;"",1,0)+IF(DT2565&lt;&gt;"",1,0)+IF(DV2565&lt;&gt;"",1,0)+IF(DW2565&lt;&gt;"",1,0)+IF(DX2565&lt;&gt;"",1,0)+IF(DY2565&lt;&gt;"",1,0)+IF(DZ2565&lt;&gt;"",1,0)+IF(EB2565&lt;&gt;"",1,0)+IF(EC2565&lt;&gt;"",1,0)+IF(ED2565&lt;&gt;"",1,0)+IF(EG2565&lt;&gt;"",1,0)+IF(EH2565&lt;&gt;"",1,0)</f>
        <v/>
      </c>
      <c r="AZ2565">
        <f>IF(EH2565&lt;&gt;"",1,0)</f>
        <v/>
      </c>
      <c r="BB2565" t="inlineStr">
        <is>
          <t>WARREN-WARD 4</t>
        </is>
      </c>
      <c r="BC2565" t="inlineStr">
        <is>
          <t>X</t>
        </is>
      </c>
      <c r="BD2565" t="inlineStr">
        <is>
          <t>X</t>
        </is>
      </c>
      <c r="BF2565" t="inlineStr">
        <is>
          <t>X</t>
        </is>
      </c>
      <c r="BL2565" t="inlineStr">
        <is>
          <t>X</t>
        </is>
      </c>
      <c r="DC2565" t="inlineStr">
        <is>
          <t>X</t>
        </is>
      </c>
      <c r="DN2565" t="inlineStr">
        <is>
          <t>X</t>
        </is>
      </c>
      <c r="EF2565" t="inlineStr">
        <is>
          <t>X</t>
        </is>
      </c>
    </row>
    <row r="2566">
      <c r="A2566" t="inlineStr">
        <is>
          <t>OH0024598609</t>
        </is>
      </c>
      <c r="B2566" t="n">
        <v>78</v>
      </c>
      <c r="C2566" t="n">
        <v>431164</v>
      </c>
      <c r="D2566" t="inlineStr">
        <is>
          <t>HOWARD</t>
        </is>
      </c>
      <c r="E2566" t="inlineStr">
        <is>
          <t>SHANNON</t>
        </is>
      </c>
      <c r="F2566">
        <f>CONCATENATE(D2566," ",LEFT(H2566,4),"T=",AU2566,"D=",AV2566,"R=",AW2566,"M=",AX2566,"L=",AY2566,"B=",AZ2566)</f>
        <v/>
      </c>
      <c r="G2566" t="inlineStr">
        <is>
          <t>D</t>
        </is>
      </c>
      <c r="I2566" t="inlineStr">
        <is>
          <t>1986-06-23</t>
        </is>
      </c>
      <c r="J2566" t="inlineStr">
        <is>
          <t>2018-05-08</t>
        </is>
      </c>
      <c r="K2566" t="inlineStr">
        <is>
          <t>ACTIVE</t>
        </is>
      </c>
      <c r="L2566" t="inlineStr">
        <is>
          <t>D</t>
        </is>
      </c>
      <c r="M2566" t="inlineStr">
        <is>
          <t>1648 OAK KNOLL AVE SE</t>
        </is>
      </c>
      <c r="N2566">
        <f>RIGHT(M2566,LEN(M2566)-FIND(" ",M2566))</f>
        <v/>
      </c>
      <c r="P2566" t="inlineStr">
        <is>
          <t>WARREN</t>
        </is>
      </c>
      <c r="Q2566" t="inlineStr">
        <is>
          <t>OH</t>
        </is>
      </c>
      <c r="R2566" t="n">
        <v>44484</v>
      </c>
      <c r="AD2566" t="inlineStr">
        <is>
          <t>TRUMBULL CAREER &amp; TECH CENTER</t>
        </is>
      </c>
      <c r="AE2566" t="inlineStr">
        <is>
          <t>WARREN CITY</t>
        </is>
      </c>
      <c r="AF2566" t="inlineStr">
        <is>
          <t>WARREN CITY SD</t>
        </is>
      </c>
      <c r="AH2566" t="n">
        <v>14</v>
      </c>
      <c r="AI2566" t="n">
        <v>11</v>
      </c>
      <c r="AN2566" t="inlineStr">
        <is>
          <t>WARREN</t>
        </is>
      </c>
      <c r="AO2566" t="inlineStr">
        <is>
          <t>WARREN CITY 4F</t>
        </is>
      </c>
      <c r="AP2566" t="inlineStr">
        <is>
          <t>78-P-ADN</t>
        </is>
      </c>
      <c r="AQ2566" t="n">
        <v>9</v>
      </c>
      <c r="AR2566" t="n">
        <v>64</v>
      </c>
      <c r="AS2566" t="n">
        <v>32</v>
      </c>
      <c r="AU2566">
        <f>COUNTA($BA$2566:$EH$2566)</f>
        <v/>
      </c>
      <c r="AV2566">
        <f>COUNTIF($BA$2566:$EH$2566,"D")</f>
        <v/>
      </c>
      <c r="AW2566">
        <f>COUNTIF($BA$2566:$EH$2566,"R")</f>
        <v/>
      </c>
      <c r="AX2566">
        <f>IF(BN2566="D",1,0)+IF(BO2566="D",1,0)+IF(BT2566="D",1,0)+IF(BU2566="D",1,0)+IF(BW2566="D",1,0)+IF(CC2566="D",1,0)+IF(CD2566="D",1,0)+IF(CE2566="D",1,0)+IF(CF2566="D",1,0)+IF(CL2566="D",1,0)+IF(CM2566="D",1,0)+IF(CQ2566="D",1,0)+IF(CR2566="D",1,0)+IF(CS2566="D",1,0)+IF(CW2566="D",1,0)+IF(CX2566="D",1,0)+IF(DD2566="D",1,0)+IF(DE2566="D",1,0)+IF(DJ2566="D",1,0)+IF(DK2566="D",1,0)+IF(DO2566="D",1,0)+IF(DP2566="D",1,0)+IF(DQ2566="D",1,0)+IF(DW2566="D",1,0)+IF(DZ2566="D",1,0)+IF(EH2566="D",1,0)</f>
        <v/>
      </c>
      <c r="AY2566">
        <f>IF(DJ2566&lt;&gt;"",1,0)+IF(DK2566&lt;&gt;"",1,0)+IF(DM2566&lt;&gt;"",1,0)+IF(DO2566&lt;&gt;"",1,0)+IF(DP2566&lt;&gt;"",1,0)+IF(DQ2566&lt;&gt;"",1,0)+IF(DS2566&lt;&gt;"",1,0)+IF(DT2566&lt;&gt;"",1,0)+IF(DV2566&lt;&gt;"",1,0)+IF(DW2566&lt;&gt;"",1,0)+IF(DX2566&lt;&gt;"",1,0)+IF(DY2566&lt;&gt;"",1,0)+IF(DZ2566&lt;&gt;"",1,0)+IF(EB2566&lt;&gt;"",1,0)+IF(EC2566&lt;&gt;"",1,0)+IF(ED2566&lt;&gt;"",1,0)+IF(EG2566&lt;&gt;"",1,0)+IF(EH2566&lt;&gt;"",1,0)</f>
        <v/>
      </c>
      <c r="AZ2566">
        <f>IF(EH2566&lt;&gt;"",1,0)</f>
        <v/>
      </c>
      <c r="BB2566" t="inlineStr">
        <is>
          <t>WARREN-WARD 4</t>
        </is>
      </c>
      <c r="BL2566" t="inlineStr">
        <is>
          <t>X</t>
        </is>
      </c>
      <c r="BP2566" t="inlineStr">
        <is>
          <t>X</t>
        </is>
      </c>
      <c r="CA2566" t="inlineStr">
        <is>
          <t>X</t>
        </is>
      </c>
      <c r="CL2566" t="inlineStr">
        <is>
          <t>D</t>
        </is>
      </c>
      <c r="CP2566" t="inlineStr">
        <is>
          <t>X</t>
        </is>
      </c>
      <c r="CV2566" t="inlineStr">
        <is>
          <t>X</t>
        </is>
      </c>
      <c r="CW2566" t="inlineStr">
        <is>
          <t>D</t>
        </is>
      </c>
      <c r="CY2566" t="inlineStr">
        <is>
          <t>X</t>
        </is>
      </c>
      <c r="CZ2566" t="inlineStr">
        <is>
          <t>D</t>
        </is>
      </c>
      <c r="DC2566" t="inlineStr">
        <is>
          <t>X</t>
        </is>
      </c>
      <c r="DD2566" t="inlineStr">
        <is>
          <t>D</t>
        </is>
      </c>
      <c r="DG2566" t="inlineStr">
        <is>
          <t>D</t>
        </is>
      </c>
      <c r="DI2566" t="inlineStr">
        <is>
          <t>X</t>
        </is>
      </c>
      <c r="DJ2566" t="inlineStr">
        <is>
          <t>D</t>
        </is>
      </c>
      <c r="DL2566" t="inlineStr">
        <is>
          <t>X</t>
        </is>
      </c>
      <c r="DN2566" t="inlineStr">
        <is>
          <t>X</t>
        </is>
      </c>
      <c r="DR2566" t="inlineStr">
        <is>
          <t>X</t>
        </is>
      </c>
      <c r="DS2566" t="inlineStr">
        <is>
          <t>D</t>
        </is>
      </c>
      <c r="DU2566" t="inlineStr">
        <is>
          <t>X</t>
        </is>
      </c>
      <c r="DW2566" t="inlineStr">
        <is>
          <t>D</t>
        </is>
      </c>
    </row>
    <row r="2567">
      <c r="A2567" t="inlineStr">
        <is>
          <t>OH0020178806</t>
        </is>
      </c>
      <c r="B2567" t="n">
        <v>78</v>
      </c>
      <c r="C2567" t="n">
        <v>363716</v>
      </c>
      <c r="D2567" t="inlineStr">
        <is>
          <t>WILLIAMSON</t>
        </is>
      </c>
      <c r="E2567" t="inlineStr">
        <is>
          <t>JAMIE</t>
        </is>
      </c>
      <c r="F2567">
        <f>CONCATENATE(D2567," ",LEFT(H2567,4),"T=",AU2567,"D=",AV2567,"R=",AW2567,"M=",AX2567,"L=",AY2567,"B=",AZ2567)</f>
        <v/>
      </c>
      <c r="G2567" t="inlineStr">
        <is>
          <t>D</t>
        </is>
      </c>
      <c r="I2567" t="inlineStr">
        <is>
          <t>1980-05-21</t>
        </is>
      </c>
      <c r="J2567" t="inlineStr">
        <is>
          <t>2015-06-10</t>
        </is>
      </c>
      <c r="K2567" t="inlineStr">
        <is>
          <t>CONFIRMATION</t>
        </is>
      </c>
      <c r="M2567" t="inlineStr">
        <is>
          <t>1034 EAST AVE SE</t>
        </is>
      </c>
      <c r="N2567">
        <f>RIGHT(M2567,LEN(M2567)-FIND(" ",M2567))</f>
        <v/>
      </c>
      <c r="P2567" t="inlineStr">
        <is>
          <t>WARREN</t>
        </is>
      </c>
      <c r="Q2567" t="inlineStr">
        <is>
          <t>OH</t>
        </is>
      </c>
      <c r="R2567" t="n">
        <v>44484</v>
      </c>
      <c r="AD2567" t="inlineStr">
        <is>
          <t>TRUMBULL CAREER &amp; TECH CENTER</t>
        </is>
      </c>
      <c r="AE2567" t="inlineStr">
        <is>
          <t>WARREN CITY</t>
        </is>
      </c>
      <c r="AF2567" t="inlineStr">
        <is>
          <t>WARREN CITY SD</t>
        </is>
      </c>
      <c r="AH2567" t="n">
        <v>14</v>
      </c>
      <c r="AI2567" t="n">
        <v>11</v>
      </c>
      <c r="AN2567" t="inlineStr">
        <is>
          <t>WARREN</t>
        </is>
      </c>
      <c r="AO2567" t="inlineStr">
        <is>
          <t>WARREN CITY 4F</t>
        </is>
      </c>
      <c r="AP2567" t="inlineStr">
        <is>
          <t>78-P-ADN</t>
        </is>
      </c>
      <c r="AQ2567" t="n">
        <v>9</v>
      </c>
      <c r="AR2567" t="n">
        <v>64</v>
      </c>
      <c r="AS2567" t="n">
        <v>32</v>
      </c>
      <c r="AU2567">
        <f>COUNTA($BA$2567:$EH$2567)</f>
        <v/>
      </c>
      <c r="AV2567">
        <f>COUNTIF($BA$2567:$EH$2567,"D")</f>
        <v/>
      </c>
      <c r="AW2567">
        <f>COUNTIF($BA$2567:$EH$2567,"R")</f>
        <v/>
      </c>
      <c r="AX2567">
        <f>IF(BN2567="D",1,0)+IF(BO2567="D",1,0)+IF(BT2567="D",1,0)+IF(BU2567="D",1,0)+IF(BW2567="D",1,0)+IF(CC2567="D",1,0)+IF(CD2567="D",1,0)+IF(CE2567="D",1,0)+IF(CF2567="D",1,0)+IF(CL2567="D",1,0)+IF(CM2567="D",1,0)+IF(CQ2567="D",1,0)+IF(CR2567="D",1,0)+IF(CS2567="D",1,0)+IF(CW2567="D",1,0)+IF(CX2567="D",1,0)+IF(DD2567="D",1,0)+IF(DE2567="D",1,0)+IF(DJ2567="D",1,0)+IF(DK2567="D",1,0)+IF(DO2567="D",1,0)+IF(DP2567="D",1,0)+IF(DQ2567="D",1,0)+IF(DW2567="D",1,0)+IF(DZ2567="D",1,0)+IF(EH2567="D",1,0)</f>
        <v/>
      </c>
      <c r="AY2567">
        <f>IF(DJ2567&lt;&gt;"",1,0)+IF(DK2567&lt;&gt;"",1,0)+IF(DM2567&lt;&gt;"",1,0)+IF(DO2567&lt;&gt;"",1,0)+IF(DP2567&lt;&gt;"",1,0)+IF(DQ2567&lt;&gt;"",1,0)+IF(DS2567&lt;&gt;"",1,0)+IF(DT2567&lt;&gt;"",1,0)+IF(DV2567&lt;&gt;"",1,0)+IF(DW2567&lt;&gt;"",1,0)+IF(DX2567&lt;&gt;"",1,0)+IF(DY2567&lt;&gt;"",1,0)+IF(DZ2567&lt;&gt;"",1,0)+IF(EB2567&lt;&gt;"",1,0)+IF(EC2567&lt;&gt;"",1,0)+IF(ED2567&lt;&gt;"",1,0)+IF(EG2567&lt;&gt;"",1,0)+IF(EH2567&lt;&gt;"",1,0)</f>
        <v/>
      </c>
      <c r="AZ2567">
        <f>IF(EH2567&lt;&gt;"",1,0)</f>
        <v/>
      </c>
      <c r="BB2567" t="inlineStr">
        <is>
          <t>WARREN-WARD 4</t>
        </is>
      </c>
    </row>
    <row r="2568">
      <c r="A2568" t="inlineStr">
        <is>
          <t>OH0023079637</t>
        </is>
      </c>
      <c r="B2568" t="n">
        <v>78</v>
      </c>
      <c r="C2568" t="n">
        <v>406492</v>
      </c>
      <c r="D2568" t="inlineStr">
        <is>
          <t>MOORE</t>
        </is>
      </c>
      <c r="E2568" t="inlineStr">
        <is>
          <t>ALEXANDRIA</t>
        </is>
      </c>
      <c r="F2568">
        <f>CONCATENATE(D2568," ",LEFT(H2568,4),"T=",AU2568,"D=",AV2568,"R=",AW2568,"M=",AX2568,"L=",AY2568,"B=",AZ2568)</f>
        <v/>
      </c>
      <c r="G2568" t="inlineStr">
        <is>
          <t>L</t>
        </is>
      </c>
      <c r="I2568" t="inlineStr">
        <is>
          <t>1997-05-09</t>
        </is>
      </c>
      <c r="J2568" t="inlineStr">
        <is>
          <t>2020-02-18</t>
        </is>
      </c>
      <c r="K2568" t="inlineStr">
        <is>
          <t>ACTIVE</t>
        </is>
      </c>
      <c r="L2568" t="inlineStr">
        <is>
          <t>D</t>
        </is>
      </c>
      <c r="M2568" t="inlineStr">
        <is>
          <t>2266 DRAPER AVE SE</t>
        </is>
      </c>
      <c r="N2568">
        <f>RIGHT(M2568,LEN(M2568)-FIND(" ",M2568))</f>
        <v/>
      </c>
      <c r="P2568" t="inlineStr">
        <is>
          <t>WARREN</t>
        </is>
      </c>
      <c r="Q2568" t="inlineStr">
        <is>
          <t>OH</t>
        </is>
      </c>
      <c r="R2568" t="n">
        <v>44484</v>
      </c>
      <c r="AD2568" t="inlineStr">
        <is>
          <t>TRUMBULL CAREER &amp; TECH CENTER</t>
        </is>
      </c>
      <c r="AE2568" t="inlineStr">
        <is>
          <t>WARREN CITY</t>
        </is>
      </c>
      <c r="AF2568" t="inlineStr">
        <is>
          <t>WARREN CITY SD</t>
        </is>
      </c>
      <c r="AH2568" t="n">
        <v>14</v>
      </c>
      <c r="AI2568" t="n">
        <v>11</v>
      </c>
      <c r="AN2568" t="inlineStr">
        <is>
          <t>WARREN</t>
        </is>
      </c>
      <c r="AO2568" t="inlineStr">
        <is>
          <t>WARREN CITY 4F</t>
        </is>
      </c>
      <c r="AP2568" t="inlineStr">
        <is>
          <t>78-P-ADN</t>
        </is>
      </c>
      <c r="AQ2568" t="n">
        <v>9</v>
      </c>
      <c r="AR2568" t="n">
        <v>64</v>
      </c>
      <c r="AS2568" t="n">
        <v>32</v>
      </c>
      <c r="AU2568">
        <f>COUNTA($BA$2568:$EH$2568)</f>
        <v/>
      </c>
      <c r="AV2568">
        <f>COUNTIF($BA$2568:$EH$2568,"D")</f>
        <v/>
      </c>
      <c r="AW2568">
        <f>COUNTIF($BA$2568:$EH$2568,"R")</f>
        <v/>
      </c>
      <c r="AX2568">
        <f>IF(BN2568="D",1,0)+IF(BO2568="D",1,0)+IF(BT2568="D",1,0)+IF(BU2568="D",1,0)+IF(BW2568="D",1,0)+IF(CC2568="D",1,0)+IF(CD2568="D",1,0)+IF(CE2568="D",1,0)+IF(CF2568="D",1,0)+IF(CL2568="D",1,0)+IF(CM2568="D",1,0)+IF(CQ2568="D",1,0)+IF(CR2568="D",1,0)+IF(CS2568="D",1,0)+IF(CW2568="D",1,0)+IF(CX2568="D",1,0)+IF(DD2568="D",1,0)+IF(DE2568="D",1,0)+IF(DJ2568="D",1,0)+IF(DK2568="D",1,0)+IF(DO2568="D",1,0)+IF(DP2568="D",1,0)+IF(DQ2568="D",1,0)+IF(DW2568="D",1,0)+IF(DZ2568="D",1,0)+IF(EH2568="D",1,0)</f>
        <v/>
      </c>
      <c r="AY2568">
        <f>IF(DJ2568&lt;&gt;"",1,0)+IF(DK2568&lt;&gt;"",1,0)+IF(DM2568&lt;&gt;"",1,0)+IF(DO2568&lt;&gt;"",1,0)+IF(DP2568&lt;&gt;"",1,0)+IF(DQ2568&lt;&gt;"",1,0)+IF(DS2568&lt;&gt;"",1,0)+IF(DT2568&lt;&gt;"",1,0)+IF(DV2568&lt;&gt;"",1,0)+IF(DW2568&lt;&gt;"",1,0)+IF(DX2568&lt;&gt;"",1,0)+IF(DY2568&lt;&gt;"",1,0)+IF(DZ2568&lt;&gt;"",1,0)+IF(EB2568&lt;&gt;"",1,0)+IF(EC2568&lt;&gt;"",1,0)+IF(ED2568&lt;&gt;"",1,0)+IF(EG2568&lt;&gt;"",1,0)+IF(EH2568&lt;&gt;"",1,0)</f>
        <v/>
      </c>
      <c r="AZ2568">
        <f>IF(EH2568&lt;&gt;"",1,0)</f>
        <v/>
      </c>
      <c r="BB2568" t="inlineStr">
        <is>
          <t>WARREN-WARD 4</t>
        </is>
      </c>
      <c r="CZ2568" t="inlineStr">
        <is>
          <t>D</t>
        </is>
      </c>
      <c r="DC2568" t="inlineStr">
        <is>
          <t>X</t>
        </is>
      </c>
      <c r="DF2568" t="inlineStr">
        <is>
          <t>X</t>
        </is>
      </c>
      <c r="DG2568" t="inlineStr">
        <is>
          <t>D</t>
        </is>
      </c>
      <c r="DI2568" t="inlineStr">
        <is>
          <t>X</t>
        </is>
      </c>
      <c r="DL2568" t="inlineStr">
        <is>
          <t>X</t>
        </is>
      </c>
      <c r="DM2568" t="inlineStr">
        <is>
          <t>D</t>
        </is>
      </c>
      <c r="DN2568" t="inlineStr">
        <is>
          <t>X</t>
        </is>
      </c>
      <c r="DR2568" t="inlineStr">
        <is>
          <t>X</t>
        </is>
      </c>
      <c r="DS2568" t="inlineStr">
        <is>
          <t>D</t>
        </is>
      </c>
      <c r="DT2568" t="inlineStr">
        <is>
          <t>D</t>
        </is>
      </c>
      <c r="DU2568" t="inlineStr">
        <is>
          <t>X</t>
        </is>
      </c>
      <c r="DW2568" t="inlineStr">
        <is>
          <t>D</t>
        </is>
      </c>
      <c r="DX2568" t="inlineStr">
        <is>
          <t>X</t>
        </is>
      </c>
      <c r="EA2568" t="inlineStr">
        <is>
          <t>X</t>
        </is>
      </c>
      <c r="ED2568" t="inlineStr">
        <is>
          <t>D</t>
        </is>
      </c>
      <c r="EF2568" t="inlineStr">
        <is>
          <t>X</t>
        </is>
      </c>
      <c r="EH2568" t="inlineStr">
        <is>
          <t>D</t>
        </is>
      </c>
    </row>
    <row r="2569">
      <c r="A2569" t="inlineStr">
        <is>
          <t>OH0015763928</t>
        </is>
      </c>
      <c r="B2569" t="n">
        <v>78</v>
      </c>
      <c r="C2569" t="n">
        <v>320171</v>
      </c>
      <c r="D2569" t="inlineStr">
        <is>
          <t>TURNER</t>
        </is>
      </c>
      <c r="E2569" t="inlineStr">
        <is>
          <t>SHONTA</t>
        </is>
      </c>
      <c r="F2569">
        <f>CONCATENATE(D2569," ",LEFT(H2569,4),"T=",AU2569,"D=",AV2569,"R=",AW2569,"M=",AX2569,"L=",AY2569,"B=",AZ2569)</f>
        <v/>
      </c>
      <c r="G2569" t="inlineStr">
        <is>
          <t>D</t>
        </is>
      </c>
      <c r="I2569" t="inlineStr">
        <is>
          <t>1966-12-31</t>
        </is>
      </c>
      <c r="J2569" t="inlineStr">
        <is>
          <t>2020-04-16</t>
        </is>
      </c>
      <c r="K2569" t="inlineStr">
        <is>
          <t>CONFIRMATION</t>
        </is>
      </c>
      <c r="M2569" t="inlineStr">
        <is>
          <t>987 EAST AVE SE</t>
        </is>
      </c>
      <c r="N2569">
        <f>RIGHT(M2569,LEN(M2569)-FIND(" ",M2569))</f>
        <v/>
      </c>
      <c r="P2569" t="inlineStr">
        <is>
          <t>WARREN</t>
        </is>
      </c>
      <c r="Q2569" t="inlineStr">
        <is>
          <t>OH</t>
        </is>
      </c>
      <c r="R2569" t="n">
        <v>44484</v>
      </c>
      <c r="AD2569" t="inlineStr">
        <is>
          <t>TRUMBULL CAREER &amp; TECH CENTER</t>
        </is>
      </c>
      <c r="AE2569" t="inlineStr">
        <is>
          <t>WARREN CITY</t>
        </is>
      </c>
      <c r="AF2569" t="inlineStr">
        <is>
          <t>WARREN CITY SD</t>
        </is>
      </c>
      <c r="AH2569" t="n">
        <v>14</v>
      </c>
      <c r="AI2569" t="n">
        <v>11</v>
      </c>
      <c r="AN2569" t="inlineStr">
        <is>
          <t>WARREN</t>
        </is>
      </c>
      <c r="AO2569" t="inlineStr">
        <is>
          <t>WARREN CITY 4F</t>
        </is>
      </c>
      <c r="AP2569" t="inlineStr">
        <is>
          <t>78-P-ADN</t>
        </is>
      </c>
      <c r="AQ2569" t="n">
        <v>9</v>
      </c>
      <c r="AR2569" t="n">
        <v>64</v>
      </c>
      <c r="AS2569" t="n">
        <v>32</v>
      </c>
      <c r="AU2569">
        <f>COUNTA($BA$2569:$EH$2569)</f>
        <v/>
      </c>
      <c r="AV2569">
        <f>COUNTIF($BA$2569:$EH$2569,"D")</f>
        <v/>
      </c>
      <c r="AW2569">
        <f>COUNTIF($BA$2569:$EH$2569,"R")</f>
        <v/>
      </c>
      <c r="AX2569">
        <f>IF(BN2569="D",1,0)+IF(BO2569="D",1,0)+IF(BT2569="D",1,0)+IF(BU2569="D",1,0)+IF(BW2569="D",1,0)+IF(CC2569="D",1,0)+IF(CD2569="D",1,0)+IF(CE2569="D",1,0)+IF(CF2569="D",1,0)+IF(CL2569="D",1,0)+IF(CM2569="D",1,0)+IF(CQ2569="D",1,0)+IF(CR2569="D",1,0)+IF(CS2569="D",1,0)+IF(CW2569="D",1,0)+IF(CX2569="D",1,0)+IF(DD2569="D",1,0)+IF(DE2569="D",1,0)+IF(DJ2569="D",1,0)+IF(DK2569="D",1,0)+IF(DO2569="D",1,0)+IF(DP2569="D",1,0)+IF(DQ2569="D",1,0)+IF(DW2569="D",1,0)+IF(DZ2569="D",1,0)+IF(EH2569="D",1,0)</f>
        <v/>
      </c>
      <c r="AY2569">
        <f>IF(DJ2569&lt;&gt;"",1,0)+IF(DK2569&lt;&gt;"",1,0)+IF(DM2569&lt;&gt;"",1,0)+IF(DO2569&lt;&gt;"",1,0)+IF(DP2569&lt;&gt;"",1,0)+IF(DQ2569&lt;&gt;"",1,0)+IF(DS2569&lt;&gt;"",1,0)+IF(DT2569&lt;&gt;"",1,0)+IF(DV2569&lt;&gt;"",1,0)+IF(DW2569&lt;&gt;"",1,0)+IF(DX2569&lt;&gt;"",1,0)+IF(DY2569&lt;&gt;"",1,0)+IF(DZ2569&lt;&gt;"",1,0)+IF(EB2569&lt;&gt;"",1,0)+IF(EC2569&lt;&gt;"",1,0)+IF(ED2569&lt;&gt;"",1,0)+IF(EG2569&lt;&gt;"",1,0)+IF(EH2569&lt;&gt;"",1,0)</f>
        <v/>
      </c>
      <c r="AZ2569">
        <f>IF(EH2569&lt;&gt;"",1,0)</f>
        <v/>
      </c>
      <c r="BB2569" t="inlineStr">
        <is>
          <t>WARREN-WARD 4</t>
        </is>
      </c>
      <c r="CA2569" t="inlineStr">
        <is>
          <t>X</t>
        </is>
      </c>
      <c r="CP2569" t="inlineStr">
        <is>
          <t>X</t>
        </is>
      </c>
      <c r="DN2569" t="inlineStr">
        <is>
          <t>X</t>
        </is>
      </c>
    </row>
    <row r="2570">
      <c r="A2570" t="inlineStr">
        <is>
          <t>OH0025952442</t>
        </is>
      </c>
      <c r="B2570" t="n">
        <v>78</v>
      </c>
      <c r="C2570" t="n">
        <v>431824</v>
      </c>
      <c r="D2570" t="inlineStr">
        <is>
          <t>MORGAN</t>
        </is>
      </c>
      <c r="E2570" t="inlineStr">
        <is>
          <t>CHAQUANA</t>
        </is>
      </c>
      <c r="F2570">
        <f>CONCATENATE(D2570," ",LEFT(H2570,4),"T=",AU2570,"D=",AV2570,"R=",AW2570,"M=",AX2570,"L=",AY2570,"B=",AZ2570)</f>
        <v/>
      </c>
      <c r="G2570" t="inlineStr">
        <is>
          <t>M</t>
        </is>
      </c>
      <c r="I2570" t="inlineStr">
        <is>
          <t>1998-10-23</t>
        </is>
      </c>
      <c r="J2570" t="inlineStr">
        <is>
          <t>2024-07-05</t>
        </is>
      </c>
      <c r="K2570" t="inlineStr">
        <is>
          <t>ACTIVE</t>
        </is>
      </c>
      <c r="M2570" t="inlineStr">
        <is>
          <t>984 HOMEWOOD AVE SE</t>
        </is>
      </c>
      <c r="N2570">
        <f>RIGHT(M2570,LEN(M2570)-FIND(" ",M2570))</f>
        <v/>
      </c>
      <c r="P2570" t="inlineStr">
        <is>
          <t>WARREN</t>
        </is>
      </c>
      <c r="Q2570" t="inlineStr">
        <is>
          <t>OH</t>
        </is>
      </c>
      <c r="R2570" t="n">
        <v>44484</v>
      </c>
      <c r="AD2570" t="inlineStr">
        <is>
          <t>TRUMBULL CAREER &amp; TECH CENTER</t>
        </is>
      </c>
      <c r="AE2570" t="inlineStr">
        <is>
          <t>WARREN CITY</t>
        </is>
      </c>
      <c r="AF2570" t="inlineStr">
        <is>
          <t>WARREN CITY SD</t>
        </is>
      </c>
      <c r="AH2570" t="n">
        <v>14</v>
      </c>
      <c r="AI2570" t="n">
        <v>11</v>
      </c>
      <c r="AN2570" t="inlineStr">
        <is>
          <t>WARREN</t>
        </is>
      </c>
      <c r="AO2570" t="inlineStr">
        <is>
          <t>WARREN CITY 4F</t>
        </is>
      </c>
      <c r="AP2570" t="inlineStr">
        <is>
          <t>78-P-ADN</t>
        </is>
      </c>
      <c r="AQ2570" t="n">
        <v>9</v>
      </c>
      <c r="AR2570" t="n">
        <v>64</v>
      </c>
      <c r="AS2570" t="n">
        <v>32</v>
      </c>
      <c r="AU2570">
        <f>COUNTA($BA$2570:$EH$2570)</f>
        <v/>
      </c>
      <c r="AV2570">
        <f>COUNTIF($BA$2570:$EH$2570,"D")</f>
        <v/>
      </c>
      <c r="AW2570">
        <f>COUNTIF($BA$2570:$EH$2570,"R")</f>
        <v/>
      </c>
      <c r="AX2570">
        <f>IF(BN2570="D",1,0)+IF(BO2570="D",1,0)+IF(BT2570="D",1,0)+IF(BU2570="D",1,0)+IF(BW2570="D",1,0)+IF(CC2570="D",1,0)+IF(CD2570="D",1,0)+IF(CE2570="D",1,0)+IF(CF2570="D",1,0)+IF(CL2570="D",1,0)+IF(CM2570="D",1,0)+IF(CQ2570="D",1,0)+IF(CR2570="D",1,0)+IF(CS2570="D",1,0)+IF(CW2570="D",1,0)+IF(CX2570="D",1,0)+IF(DD2570="D",1,0)+IF(DE2570="D",1,0)+IF(DJ2570="D",1,0)+IF(DK2570="D",1,0)+IF(DO2570="D",1,0)+IF(DP2570="D",1,0)+IF(DQ2570="D",1,0)+IF(DW2570="D",1,0)+IF(DZ2570="D",1,0)+IF(EH2570="D",1,0)</f>
        <v/>
      </c>
      <c r="AY2570">
        <f>IF(DJ2570&lt;&gt;"",1,0)+IF(DK2570&lt;&gt;"",1,0)+IF(DM2570&lt;&gt;"",1,0)+IF(DO2570&lt;&gt;"",1,0)+IF(DP2570&lt;&gt;"",1,0)+IF(DQ2570&lt;&gt;"",1,0)+IF(DS2570&lt;&gt;"",1,0)+IF(DT2570&lt;&gt;"",1,0)+IF(DV2570&lt;&gt;"",1,0)+IF(DW2570&lt;&gt;"",1,0)+IF(DX2570&lt;&gt;"",1,0)+IF(DY2570&lt;&gt;"",1,0)+IF(DZ2570&lt;&gt;"",1,0)+IF(EB2570&lt;&gt;"",1,0)+IF(EC2570&lt;&gt;"",1,0)+IF(ED2570&lt;&gt;"",1,0)+IF(EG2570&lt;&gt;"",1,0)+IF(EH2570&lt;&gt;"",1,0)</f>
        <v/>
      </c>
      <c r="AZ2570">
        <f>IF(EH2570&lt;&gt;"",1,0)</f>
        <v/>
      </c>
      <c r="BB2570" t="inlineStr">
        <is>
          <t>WARREN-WARD 4</t>
        </is>
      </c>
    </row>
    <row r="2571">
      <c r="A2571" t="inlineStr">
        <is>
          <t>OH0015750784</t>
        </is>
      </c>
      <c r="B2571" t="n">
        <v>78</v>
      </c>
      <c r="C2571" t="n">
        <v>237406</v>
      </c>
      <c r="D2571" t="inlineStr">
        <is>
          <t>EGGLESTON</t>
        </is>
      </c>
      <c r="E2571" t="inlineStr">
        <is>
          <t>ZANITA</t>
        </is>
      </c>
      <c r="F2571">
        <f>CONCATENATE(D2571," ",LEFT(H2571,4),"T=",AU2571,"D=",AV2571,"R=",AW2571,"M=",AX2571,"L=",AY2571,"B=",AZ2571)</f>
        <v/>
      </c>
      <c r="G2571" t="inlineStr">
        <is>
          <t>J</t>
        </is>
      </c>
      <c r="I2571" t="inlineStr">
        <is>
          <t>1964-04-13</t>
        </is>
      </c>
      <c r="J2571" t="inlineStr">
        <is>
          <t>2015-11-03</t>
        </is>
      </c>
      <c r="K2571" t="inlineStr">
        <is>
          <t>CONFIRMATION</t>
        </is>
      </c>
      <c r="M2571" t="inlineStr">
        <is>
          <t>1731 TRANSYLVANIA AVE SE</t>
        </is>
      </c>
      <c r="N2571">
        <f>RIGHT(M2571,LEN(M2571)-FIND(" ",M2571))</f>
        <v/>
      </c>
      <c r="P2571" t="inlineStr">
        <is>
          <t>WARREN</t>
        </is>
      </c>
      <c r="Q2571" t="inlineStr">
        <is>
          <t>OH</t>
        </is>
      </c>
      <c r="R2571" t="n">
        <v>44484</v>
      </c>
      <c r="AD2571" t="inlineStr">
        <is>
          <t>TRUMBULL CAREER &amp; TECH CENTER</t>
        </is>
      </c>
      <c r="AE2571" t="inlineStr">
        <is>
          <t>WARREN CITY</t>
        </is>
      </c>
      <c r="AF2571" t="inlineStr">
        <is>
          <t>WARREN CITY SD</t>
        </is>
      </c>
      <c r="AH2571" t="n">
        <v>14</v>
      </c>
      <c r="AI2571" t="n">
        <v>11</v>
      </c>
      <c r="AN2571" t="inlineStr">
        <is>
          <t>WARREN</t>
        </is>
      </c>
      <c r="AO2571" t="inlineStr">
        <is>
          <t>WARREN CITY 4F</t>
        </is>
      </c>
      <c r="AP2571" t="inlineStr">
        <is>
          <t>78-P-ADN</t>
        </is>
      </c>
      <c r="AQ2571" t="n">
        <v>9</v>
      </c>
      <c r="AR2571" t="n">
        <v>64</v>
      </c>
      <c r="AS2571" t="n">
        <v>32</v>
      </c>
      <c r="AU2571">
        <f>COUNTA($BA$2571:$EH$2571)</f>
        <v/>
      </c>
      <c r="AV2571">
        <f>COUNTIF($BA$2571:$EH$2571,"D")</f>
        <v/>
      </c>
      <c r="AW2571">
        <f>COUNTIF($BA$2571:$EH$2571,"R")</f>
        <v/>
      </c>
      <c r="AX2571">
        <f>IF(BN2571="D",1,0)+IF(BO2571="D",1,0)+IF(BT2571="D",1,0)+IF(BU2571="D",1,0)+IF(BW2571="D",1,0)+IF(CC2571="D",1,0)+IF(CD2571="D",1,0)+IF(CE2571="D",1,0)+IF(CF2571="D",1,0)+IF(CL2571="D",1,0)+IF(CM2571="D",1,0)+IF(CQ2571="D",1,0)+IF(CR2571="D",1,0)+IF(CS2571="D",1,0)+IF(CW2571="D",1,0)+IF(CX2571="D",1,0)+IF(DD2571="D",1,0)+IF(DE2571="D",1,0)+IF(DJ2571="D",1,0)+IF(DK2571="D",1,0)+IF(DO2571="D",1,0)+IF(DP2571="D",1,0)+IF(DQ2571="D",1,0)+IF(DW2571="D",1,0)+IF(DZ2571="D",1,0)+IF(EH2571="D",1,0)</f>
        <v/>
      </c>
      <c r="AY2571">
        <f>IF(DJ2571&lt;&gt;"",1,0)+IF(DK2571&lt;&gt;"",1,0)+IF(DM2571&lt;&gt;"",1,0)+IF(DO2571&lt;&gt;"",1,0)+IF(DP2571&lt;&gt;"",1,0)+IF(DQ2571&lt;&gt;"",1,0)+IF(DS2571&lt;&gt;"",1,0)+IF(DT2571&lt;&gt;"",1,0)+IF(DV2571&lt;&gt;"",1,0)+IF(DW2571&lt;&gt;"",1,0)+IF(DX2571&lt;&gt;"",1,0)+IF(DY2571&lt;&gt;"",1,0)+IF(DZ2571&lt;&gt;"",1,0)+IF(EB2571&lt;&gt;"",1,0)+IF(EC2571&lt;&gt;"",1,0)+IF(ED2571&lt;&gt;"",1,0)+IF(EG2571&lt;&gt;"",1,0)+IF(EH2571&lt;&gt;"",1,0)</f>
        <v/>
      </c>
      <c r="AZ2571">
        <f>IF(EH2571&lt;&gt;"",1,0)</f>
        <v/>
      </c>
      <c r="BB2571" t="inlineStr">
        <is>
          <t>WARREN-WARD 4</t>
        </is>
      </c>
      <c r="BH2571" t="inlineStr">
        <is>
          <t>X</t>
        </is>
      </c>
      <c r="BL2571" t="inlineStr">
        <is>
          <t>X</t>
        </is>
      </c>
      <c r="CU2571" t="inlineStr">
        <is>
          <t>D</t>
        </is>
      </c>
      <c r="CV2571" t="inlineStr">
        <is>
          <t>X</t>
        </is>
      </c>
      <c r="CZ2571" t="inlineStr">
        <is>
          <t>D</t>
        </is>
      </c>
    </row>
    <row r="2572">
      <c r="A2572" t="inlineStr">
        <is>
          <t>OH0025114149</t>
        </is>
      </c>
      <c r="B2572" t="n">
        <v>78</v>
      </c>
      <c r="C2572" t="n">
        <v>439700</v>
      </c>
      <c r="D2572" t="inlineStr">
        <is>
          <t>DELL</t>
        </is>
      </c>
      <c r="E2572" t="inlineStr">
        <is>
          <t>TAMMY</t>
        </is>
      </c>
      <c r="F2572">
        <f>CONCATENATE(D2572," ",LEFT(H2572,4),"T=",AU2572,"D=",AV2572,"R=",AW2572,"M=",AX2572,"L=",AY2572,"B=",AZ2572)</f>
        <v/>
      </c>
      <c r="G2572" t="inlineStr">
        <is>
          <t>M</t>
        </is>
      </c>
      <c r="I2572" t="inlineStr">
        <is>
          <t>1973-02-03</t>
        </is>
      </c>
      <c r="J2572" t="inlineStr">
        <is>
          <t>2019-06-12</t>
        </is>
      </c>
      <c r="K2572" t="inlineStr">
        <is>
          <t>ACTIVE</t>
        </is>
      </c>
      <c r="M2572" t="inlineStr">
        <is>
          <t>2028 DRAPER AVE SE</t>
        </is>
      </c>
      <c r="N2572">
        <f>RIGHT(M2572,LEN(M2572)-FIND(" ",M2572))</f>
        <v/>
      </c>
      <c r="P2572" t="inlineStr">
        <is>
          <t>WARREN</t>
        </is>
      </c>
      <c r="Q2572" t="inlineStr">
        <is>
          <t>OH</t>
        </is>
      </c>
      <c r="R2572" t="n">
        <v>44484</v>
      </c>
      <c r="AD2572" t="inlineStr">
        <is>
          <t>TRUMBULL CAREER &amp; TECH CENTER</t>
        </is>
      </c>
      <c r="AE2572" t="inlineStr">
        <is>
          <t>WARREN CITY</t>
        </is>
      </c>
      <c r="AF2572" t="inlineStr">
        <is>
          <t>WARREN CITY SD</t>
        </is>
      </c>
      <c r="AH2572" t="n">
        <v>14</v>
      </c>
      <c r="AI2572" t="n">
        <v>11</v>
      </c>
      <c r="AN2572" t="inlineStr">
        <is>
          <t>WARREN</t>
        </is>
      </c>
      <c r="AO2572" t="inlineStr">
        <is>
          <t>WARREN CITY 4F</t>
        </is>
      </c>
      <c r="AP2572" t="inlineStr">
        <is>
          <t>78-P-ADN</t>
        </is>
      </c>
      <c r="AQ2572" t="n">
        <v>9</v>
      </c>
      <c r="AR2572" t="n">
        <v>64</v>
      </c>
      <c r="AS2572" t="n">
        <v>32</v>
      </c>
      <c r="AU2572">
        <f>COUNTA($BA$2572:$EH$2572)</f>
        <v/>
      </c>
      <c r="AV2572">
        <f>COUNTIF($BA$2572:$EH$2572,"D")</f>
        <v/>
      </c>
      <c r="AW2572">
        <f>COUNTIF($BA$2572:$EH$2572,"R")</f>
        <v/>
      </c>
      <c r="AX2572">
        <f>IF(BN2572="D",1,0)+IF(BO2572="D",1,0)+IF(BT2572="D",1,0)+IF(BU2572="D",1,0)+IF(BW2572="D",1,0)+IF(CC2572="D",1,0)+IF(CD2572="D",1,0)+IF(CE2572="D",1,0)+IF(CF2572="D",1,0)+IF(CL2572="D",1,0)+IF(CM2572="D",1,0)+IF(CQ2572="D",1,0)+IF(CR2572="D",1,0)+IF(CS2572="D",1,0)+IF(CW2572="D",1,0)+IF(CX2572="D",1,0)+IF(DD2572="D",1,0)+IF(DE2572="D",1,0)+IF(DJ2572="D",1,0)+IF(DK2572="D",1,0)+IF(DO2572="D",1,0)+IF(DP2572="D",1,0)+IF(DQ2572="D",1,0)+IF(DW2572="D",1,0)+IF(DZ2572="D",1,0)+IF(EH2572="D",1,0)</f>
        <v/>
      </c>
      <c r="AY2572">
        <f>IF(DJ2572&lt;&gt;"",1,0)+IF(DK2572&lt;&gt;"",1,0)+IF(DM2572&lt;&gt;"",1,0)+IF(DO2572&lt;&gt;"",1,0)+IF(DP2572&lt;&gt;"",1,0)+IF(DQ2572&lt;&gt;"",1,0)+IF(DS2572&lt;&gt;"",1,0)+IF(DT2572&lt;&gt;"",1,0)+IF(DV2572&lt;&gt;"",1,0)+IF(DW2572&lt;&gt;"",1,0)+IF(DX2572&lt;&gt;"",1,0)+IF(DY2572&lt;&gt;"",1,0)+IF(DZ2572&lt;&gt;"",1,0)+IF(EB2572&lt;&gt;"",1,0)+IF(EC2572&lt;&gt;"",1,0)+IF(ED2572&lt;&gt;"",1,0)+IF(EG2572&lt;&gt;"",1,0)+IF(EH2572&lt;&gt;"",1,0)</f>
        <v/>
      </c>
      <c r="AZ2572">
        <f>IF(EH2572&lt;&gt;"",1,0)</f>
        <v/>
      </c>
      <c r="BB2572" t="inlineStr">
        <is>
          <t>WARREN-WARD 4</t>
        </is>
      </c>
      <c r="DN2572" t="inlineStr">
        <is>
          <t>X</t>
        </is>
      </c>
      <c r="EF2572" t="inlineStr">
        <is>
          <t>X</t>
        </is>
      </c>
    </row>
    <row r="2573">
      <c r="A2573" t="inlineStr">
        <is>
          <t>OH0015695074</t>
        </is>
      </c>
      <c r="B2573" t="n">
        <v>78</v>
      </c>
      <c r="C2573" t="n">
        <v>14812</v>
      </c>
      <c r="D2573" t="inlineStr">
        <is>
          <t>CANTY</t>
        </is>
      </c>
      <c r="E2573" t="inlineStr">
        <is>
          <t>RUBY</t>
        </is>
      </c>
      <c r="F2573">
        <f>CONCATENATE(D2573," ",LEFT(H2573,4),"T=",AU2573,"D=",AV2573,"R=",AW2573,"M=",AX2573,"L=",AY2573,"B=",AZ2573)</f>
        <v/>
      </c>
      <c r="I2573" t="inlineStr">
        <is>
          <t>1934-05-23</t>
        </is>
      </c>
      <c r="J2573" t="inlineStr">
        <is>
          <t>1967-09-26</t>
        </is>
      </c>
      <c r="K2573" t="inlineStr">
        <is>
          <t>CONFIRMATION</t>
        </is>
      </c>
      <c r="M2573" t="inlineStr">
        <is>
          <t>1630 OAK KNOLL AVE SE</t>
        </is>
      </c>
      <c r="N2573">
        <f>RIGHT(M2573,LEN(M2573)-FIND(" ",M2573))</f>
        <v/>
      </c>
      <c r="P2573" t="inlineStr">
        <is>
          <t>WARREN</t>
        </is>
      </c>
      <c r="Q2573" t="inlineStr">
        <is>
          <t>OH</t>
        </is>
      </c>
      <c r="R2573" t="n">
        <v>44484</v>
      </c>
      <c r="AD2573" t="inlineStr">
        <is>
          <t>TRUMBULL CAREER &amp; TECH CENTER</t>
        </is>
      </c>
      <c r="AE2573" t="inlineStr">
        <is>
          <t>WARREN CITY</t>
        </is>
      </c>
      <c r="AF2573" t="inlineStr">
        <is>
          <t>WARREN CITY SD</t>
        </is>
      </c>
      <c r="AH2573" t="n">
        <v>14</v>
      </c>
      <c r="AI2573" t="n">
        <v>11</v>
      </c>
      <c r="AN2573" t="inlineStr">
        <is>
          <t>WARREN</t>
        </is>
      </c>
      <c r="AO2573" t="inlineStr">
        <is>
          <t>WARREN CITY 4F</t>
        </is>
      </c>
      <c r="AP2573" t="inlineStr">
        <is>
          <t>78-P-ADN</t>
        </is>
      </c>
      <c r="AQ2573" t="n">
        <v>9</v>
      </c>
      <c r="AR2573" t="n">
        <v>64</v>
      </c>
      <c r="AS2573" t="n">
        <v>32</v>
      </c>
      <c r="AU2573">
        <f>COUNTA($BA$2573:$EH$2573)</f>
        <v/>
      </c>
      <c r="AV2573">
        <f>COUNTIF($BA$2573:$EH$2573,"D")</f>
        <v/>
      </c>
      <c r="AW2573">
        <f>COUNTIF($BA$2573:$EH$2573,"R")</f>
        <v/>
      </c>
      <c r="AX2573">
        <f>IF(BN2573="D",1,0)+IF(BO2573="D",1,0)+IF(BT2573="D",1,0)+IF(BU2573="D",1,0)+IF(BW2573="D",1,0)+IF(CC2573="D",1,0)+IF(CD2573="D",1,0)+IF(CE2573="D",1,0)+IF(CF2573="D",1,0)+IF(CL2573="D",1,0)+IF(CM2573="D",1,0)+IF(CQ2573="D",1,0)+IF(CR2573="D",1,0)+IF(CS2573="D",1,0)+IF(CW2573="D",1,0)+IF(CX2573="D",1,0)+IF(DD2573="D",1,0)+IF(DE2573="D",1,0)+IF(DJ2573="D",1,0)+IF(DK2573="D",1,0)+IF(DO2573="D",1,0)+IF(DP2573="D",1,0)+IF(DQ2573="D",1,0)+IF(DW2573="D",1,0)+IF(DZ2573="D",1,0)+IF(EH2573="D",1,0)</f>
        <v/>
      </c>
      <c r="AY2573">
        <f>IF(DJ2573&lt;&gt;"",1,0)+IF(DK2573&lt;&gt;"",1,0)+IF(DM2573&lt;&gt;"",1,0)+IF(DO2573&lt;&gt;"",1,0)+IF(DP2573&lt;&gt;"",1,0)+IF(DQ2573&lt;&gt;"",1,0)+IF(DS2573&lt;&gt;"",1,0)+IF(DT2573&lt;&gt;"",1,0)+IF(DV2573&lt;&gt;"",1,0)+IF(DW2573&lt;&gt;"",1,0)+IF(DX2573&lt;&gt;"",1,0)+IF(DY2573&lt;&gt;"",1,0)+IF(DZ2573&lt;&gt;"",1,0)+IF(EB2573&lt;&gt;"",1,0)+IF(EC2573&lt;&gt;"",1,0)+IF(ED2573&lt;&gt;"",1,0)+IF(EG2573&lt;&gt;"",1,0)+IF(EH2573&lt;&gt;"",1,0)</f>
        <v/>
      </c>
      <c r="AZ2573">
        <f>IF(EH2573&lt;&gt;"",1,0)</f>
        <v/>
      </c>
      <c r="BB2573" t="inlineStr">
        <is>
          <t>WARREN-WARD 4</t>
        </is>
      </c>
      <c r="BC2573" t="inlineStr">
        <is>
          <t>X</t>
        </is>
      </c>
      <c r="BD2573" t="inlineStr">
        <is>
          <t>X</t>
        </is>
      </c>
      <c r="BE2573" t="inlineStr">
        <is>
          <t>X</t>
        </is>
      </c>
      <c r="BF2573" t="inlineStr">
        <is>
          <t>X</t>
        </is>
      </c>
      <c r="BG2573" t="inlineStr">
        <is>
          <t>X</t>
        </is>
      </c>
      <c r="BH2573" t="inlineStr">
        <is>
          <t>X</t>
        </is>
      </c>
      <c r="BI2573" t="inlineStr">
        <is>
          <t>X</t>
        </is>
      </c>
      <c r="BJ2573" t="inlineStr">
        <is>
          <t>X</t>
        </is>
      </c>
      <c r="BK2573" t="inlineStr">
        <is>
          <t>X</t>
        </is>
      </c>
      <c r="BL2573" t="inlineStr">
        <is>
          <t>X</t>
        </is>
      </c>
      <c r="BP2573" t="inlineStr">
        <is>
          <t>X</t>
        </is>
      </c>
      <c r="BR2573" t="inlineStr">
        <is>
          <t>X</t>
        </is>
      </c>
      <c r="BS2573" t="inlineStr">
        <is>
          <t>X</t>
        </is>
      </c>
      <c r="BV2573" t="inlineStr">
        <is>
          <t>X</t>
        </is>
      </c>
      <c r="BY2573" t="inlineStr">
        <is>
          <t>D</t>
        </is>
      </c>
      <c r="CA2573" t="inlineStr">
        <is>
          <t>X</t>
        </is>
      </c>
      <c r="CC2573" t="inlineStr">
        <is>
          <t>D</t>
        </is>
      </c>
      <c r="CG2573" t="inlineStr">
        <is>
          <t>X</t>
        </is>
      </c>
      <c r="CH2573" t="inlineStr">
        <is>
          <t>D</t>
        </is>
      </c>
      <c r="CK2573" t="inlineStr">
        <is>
          <t>X</t>
        </is>
      </c>
      <c r="CL2573" t="inlineStr">
        <is>
          <t>D</t>
        </is>
      </c>
      <c r="CN2573" t="inlineStr">
        <is>
          <t>X</t>
        </is>
      </c>
      <c r="CO2573" t="inlineStr">
        <is>
          <t>D</t>
        </is>
      </c>
      <c r="CP2573" t="inlineStr">
        <is>
          <t>X</t>
        </is>
      </c>
      <c r="CQ2573" t="inlineStr">
        <is>
          <t>D</t>
        </is>
      </c>
      <c r="CT2573" t="inlineStr">
        <is>
          <t>X</t>
        </is>
      </c>
      <c r="CV2573" t="inlineStr">
        <is>
          <t>X</t>
        </is>
      </c>
      <c r="CY2573" t="inlineStr">
        <is>
          <t>X</t>
        </is>
      </c>
      <c r="DC2573" t="inlineStr">
        <is>
          <t>X</t>
        </is>
      </c>
      <c r="DM2573" t="inlineStr">
        <is>
          <t>D</t>
        </is>
      </c>
    </row>
    <row r="2574">
      <c r="A2574" t="inlineStr">
        <is>
          <t>OH0015779880</t>
        </is>
      </c>
      <c r="B2574" t="n">
        <v>78</v>
      </c>
      <c r="C2574" t="n">
        <v>317762</v>
      </c>
      <c r="D2574" t="inlineStr">
        <is>
          <t>SMITH</t>
        </is>
      </c>
      <c r="E2574" t="inlineStr">
        <is>
          <t>DEBORAH</t>
        </is>
      </c>
      <c r="F2574">
        <f>CONCATENATE(D2574," ",LEFT(H2574,4),"T=",AU2574,"D=",AV2574,"R=",AW2574,"M=",AX2574,"L=",AY2574,"B=",AZ2574)</f>
        <v/>
      </c>
      <c r="G2574" t="inlineStr">
        <is>
          <t>J</t>
        </is>
      </c>
      <c r="I2574" t="inlineStr">
        <is>
          <t>1953-01-17</t>
        </is>
      </c>
      <c r="J2574" t="inlineStr">
        <is>
          <t>2017-11-30</t>
        </is>
      </c>
      <c r="K2574" t="inlineStr">
        <is>
          <t>CONFIRMATION</t>
        </is>
      </c>
      <c r="M2574" t="inlineStr">
        <is>
          <t>1031 EAST AVE SE</t>
        </is>
      </c>
      <c r="N2574">
        <f>RIGHT(M2574,LEN(M2574)-FIND(" ",M2574))</f>
        <v/>
      </c>
      <c r="P2574" t="inlineStr">
        <is>
          <t>WARREN</t>
        </is>
      </c>
      <c r="Q2574" t="inlineStr">
        <is>
          <t>OH</t>
        </is>
      </c>
      <c r="R2574" t="n">
        <v>44484</v>
      </c>
      <c r="AD2574" t="inlineStr">
        <is>
          <t>TRUMBULL CAREER &amp; TECH CENTER</t>
        </is>
      </c>
      <c r="AE2574" t="inlineStr">
        <is>
          <t>WARREN CITY</t>
        </is>
      </c>
      <c r="AF2574" t="inlineStr">
        <is>
          <t>WARREN CITY SD</t>
        </is>
      </c>
      <c r="AH2574" t="n">
        <v>14</v>
      </c>
      <c r="AI2574" t="n">
        <v>11</v>
      </c>
      <c r="AN2574" t="inlineStr">
        <is>
          <t>WARREN</t>
        </is>
      </c>
      <c r="AO2574" t="inlineStr">
        <is>
          <t>WARREN CITY 4F</t>
        </is>
      </c>
      <c r="AP2574" t="inlineStr">
        <is>
          <t>78-P-ADN</t>
        </is>
      </c>
      <c r="AQ2574" t="n">
        <v>9</v>
      </c>
      <c r="AR2574" t="n">
        <v>64</v>
      </c>
      <c r="AS2574" t="n">
        <v>32</v>
      </c>
      <c r="AU2574">
        <f>COUNTA($BA$2574:$EH$2574)</f>
        <v/>
      </c>
      <c r="AV2574">
        <f>COUNTIF($BA$2574:$EH$2574,"D")</f>
        <v/>
      </c>
      <c r="AW2574">
        <f>COUNTIF($BA$2574:$EH$2574,"R")</f>
        <v/>
      </c>
      <c r="AX2574">
        <f>IF(BN2574="D",1,0)+IF(BO2574="D",1,0)+IF(BT2574="D",1,0)+IF(BU2574="D",1,0)+IF(BW2574="D",1,0)+IF(CC2574="D",1,0)+IF(CD2574="D",1,0)+IF(CE2574="D",1,0)+IF(CF2574="D",1,0)+IF(CL2574="D",1,0)+IF(CM2574="D",1,0)+IF(CQ2574="D",1,0)+IF(CR2574="D",1,0)+IF(CS2574="D",1,0)+IF(CW2574="D",1,0)+IF(CX2574="D",1,0)+IF(DD2574="D",1,0)+IF(DE2574="D",1,0)+IF(DJ2574="D",1,0)+IF(DK2574="D",1,0)+IF(DO2574="D",1,0)+IF(DP2574="D",1,0)+IF(DQ2574="D",1,0)+IF(DW2574="D",1,0)+IF(DZ2574="D",1,0)+IF(EH2574="D",1,0)</f>
        <v/>
      </c>
      <c r="AY2574">
        <f>IF(DJ2574&lt;&gt;"",1,0)+IF(DK2574&lt;&gt;"",1,0)+IF(DM2574&lt;&gt;"",1,0)+IF(DO2574&lt;&gt;"",1,0)+IF(DP2574&lt;&gt;"",1,0)+IF(DQ2574&lt;&gt;"",1,0)+IF(DS2574&lt;&gt;"",1,0)+IF(DT2574&lt;&gt;"",1,0)+IF(DV2574&lt;&gt;"",1,0)+IF(DW2574&lt;&gt;"",1,0)+IF(DX2574&lt;&gt;"",1,0)+IF(DY2574&lt;&gt;"",1,0)+IF(DZ2574&lt;&gt;"",1,0)+IF(EB2574&lt;&gt;"",1,0)+IF(EC2574&lt;&gt;"",1,0)+IF(ED2574&lt;&gt;"",1,0)+IF(EG2574&lt;&gt;"",1,0)+IF(EH2574&lt;&gt;"",1,0)</f>
        <v/>
      </c>
      <c r="AZ2574">
        <f>IF(EH2574&lt;&gt;"",1,0)</f>
        <v/>
      </c>
      <c r="BB2574" t="inlineStr">
        <is>
          <t>WARREN-WARD 4</t>
        </is>
      </c>
      <c r="BY2574" t="inlineStr">
        <is>
          <t>D</t>
        </is>
      </c>
      <c r="CA2574" t="inlineStr">
        <is>
          <t>X</t>
        </is>
      </c>
      <c r="CP2574" t="inlineStr">
        <is>
          <t>X</t>
        </is>
      </c>
    </row>
    <row r="2575">
      <c r="A2575" t="inlineStr">
        <is>
          <t>OH0027896249</t>
        </is>
      </c>
      <c r="B2575" t="n">
        <v>78</v>
      </c>
      <c r="C2575" t="n">
        <v>495017</v>
      </c>
      <c r="D2575" t="inlineStr">
        <is>
          <t>PIFER</t>
        </is>
      </c>
      <c r="E2575" t="inlineStr">
        <is>
          <t>CHARLES</t>
        </is>
      </c>
      <c r="F2575">
        <f>CONCATENATE(D2575," ",LEFT(H2575,4),"T=",AU2575,"D=",AV2575,"R=",AW2575,"M=",AX2575,"L=",AY2575,"B=",AZ2575)</f>
        <v/>
      </c>
      <c r="G2575" t="inlineStr">
        <is>
          <t>R</t>
        </is>
      </c>
      <c r="I2575" t="inlineStr">
        <is>
          <t>1961-02-25</t>
        </is>
      </c>
      <c r="J2575" t="inlineStr">
        <is>
          <t>2025-02-13</t>
        </is>
      </c>
      <c r="K2575" t="inlineStr">
        <is>
          <t>ACTIVE</t>
        </is>
      </c>
      <c r="M2575" t="inlineStr">
        <is>
          <t>1504 OAK KNOLL AVE SE</t>
        </is>
      </c>
      <c r="N2575">
        <f>RIGHT(M2575,LEN(M2575)-FIND(" ",M2575))</f>
        <v/>
      </c>
      <c r="P2575" t="inlineStr">
        <is>
          <t>WARREN</t>
        </is>
      </c>
      <c r="Q2575" t="inlineStr">
        <is>
          <t>OH</t>
        </is>
      </c>
      <c r="R2575" t="n">
        <v>44484</v>
      </c>
      <c r="AD2575" t="inlineStr">
        <is>
          <t>TRUMBULL CAREER &amp; TECH CENTER</t>
        </is>
      </c>
      <c r="AE2575" t="inlineStr">
        <is>
          <t>WARREN CITY</t>
        </is>
      </c>
      <c r="AF2575" t="inlineStr">
        <is>
          <t>WARREN CITY SD</t>
        </is>
      </c>
      <c r="AH2575" t="n">
        <v>14</v>
      </c>
      <c r="AI2575" t="n">
        <v>11</v>
      </c>
      <c r="AN2575" t="inlineStr">
        <is>
          <t>WARREN</t>
        </is>
      </c>
      <c r="AO2575" t="inlineStr">
        <is>
          <t>WARREN CITY 4F</t>
        </is>
      </c>
      <c r="AP2575" t="inlineStr">
        <is>
          <t>78-P-ADN</t>
        </is>
      </c>
      <c r="AQ2575" t="n">
        <v>9</v>
      </c>
      <c r="AR2575" t="n">
        <v>64</v>
      </c>
      <c r="AS2575" t="n">
        <v>32</v>
      </c>
      <c r="AU2575">
        <f>COUNTA($BA$2575:$EH$2575)</f>
        <v/>
      </c>
      <c r="AV2575">
        <f>COUNTIF($BA$2575:$EH$2575,"D")</f>
        <v/>
      </c>
      <c r="AW2575">
        <f>COUNTIF($BA$2575:$EH$2575,"R")</f>
        <v/>
      </c>
      <c r="AX2575">
        <f>IF(BN2575="D",1,0)+IF(BO2575="D",1,0)+IF(BT2575="D",1,0)+IF(BU2575="D",1,0)+IF(BW2575="D",1,0)+IF(CC2575="D",1,0)+IF(CD2575="D",1,0)+IF(CE2575="D",1,0)+IF(CF2575="D",1,0)+IF(CL2575="D",1,0)+IF(CM2575="D",1,0)+IF(CQ2575="D",1,0)+IF(CR2575="D",1,0)+IF(CS2575="D",1,0)+IF(CW2575="D",1,0)+IF(CX2575="D",1,0)+IF(DD2575="D",1,0)+IF(DE2575="D",1,0)+IF(DJ2575="D",1,0)+IF(DK2575="D",1,0)+IF(DO2575="D",1,0)+IF(DP2575="D",1,0)+IF(DQ2575="D",1,0)+IF(DW2575="D",1,0)+IF(DZ2575="D",1,0)+IF(EH2575="D",1,0)</f>
        <v/>
      </c>
      <c r="AY2575">
        <f>IF(DJ2575&lt;&gt;"",1,0)+IF(DK2575&lt;&gt;"",1,0)+IF(DM2575&lt;&gt;"",1,0)+IF(DO2575&lt;&gt;"",1,0)+IF(DP2575&lt;&gt;"",1,0)+IF(DQ2575&lt;&gt;"",1,0)+IF(DS2575&lt;&gt;"",1,0)+IF(DT2575&lt;&gt;"",1,0)+IF(DV2575&lt;&gt;"",1,0)+IF(DW2575&lt;&gt;"",1,0)+IF(DX2575&lt;&gt;"",1,0)+IF(DY2575&lt;&gt;"",1,0)+IF(DZ2575&lt;&gt;"",1,0)+IF(EB2575&lt;&gt;"",1,0)+IF(EC2575&lt;&gt;"",1,0)+IF(ED2575&lt;&gt;"",1,0)+IF(EG2575&lt;&gt;"",1,0)+IF(EH2575&lt;&gt;"",1,0)</f>
        <v/>
      </c>
      <c r="AZ2575">
        <f>IF(EH2575&lt;&gt;"",1,0)</f>
        <v/>
      </c>
      <c r="BB2575" t="inlineStr">
        <is>
          <t>WARREN-WARD 4</t>
        </is>
      </c>
      <c r="BD2575" t="inlineStr">
        <is>
          <t>X</t>
        </is>
      </c>
      <c r="BL2575" t="inlineStr">
        <is>
          <t>X</t>
        </is>
      </c>
      <c r="BP2575" t="inlineStr">
        <is>
          <t>X</t>
        </is>
      </c>
      <c r="BY2575" t="inlineStr">
        <is>
          <t>D</t>
        </is>
      </c>
      <c r="CG2575" t="inlineStr">
        <is>
          <t>X</t>
        </is>
      </c>
      <c r="CK2575" t="inlineStr">
        <is>
          <t>X</t>
        </is>
      </c>
      <c r="CN2575" t="inlineStr">
        <is>
          <t>X</t>
        </is>
      </c>
      <c r="CO2575" t="inlineStr">
        <is>
          <t>D</t>
        </is>
      </c>
      <c r="CP2575" t="inlineStr">
        <is>
          <t>X</t>
        </is>
      </c>
      <c r="DC2575" t="inlineStr">
        <is>
          <t>X</t>
        </is>
      </c>
      <c r="DF2575" t="inlineStr">
        <is>
          <t>X</t>
        </is>
      </c>
      <c r="DI2575" t="inlineStr">
        <is>
          <t>X</t>
        </is>
      </c>
      <c r="DN2575" t="inlineStr">
        <is>
          <t>X</t>
        </is>
      </c>
      <c r="DU2575" t="inlineStr">
        <is>
          <t>X</t>
        </is>
      </c>
      <c r="DX2575" t="inlineStr">
        <is>
          <t>X</t>
        </is>
      </c>
    </row>
    <row r="2576">
      <c r="A2576" t="inlineStr">
        <is>
          <t>OH0015763871</t>
        </is>
      </c>
      <c r="B2576" t="n">
        <v>78</v>
      </c>
      <c r="C2576" t="n">
        <v>251254</v>
      </c>
      <c r="D2576" t="inlineStr">
        <is>
          <t>MILLER</t>
        </is>
      </c>
      <c r="E2576" t="inlineStr">
        <is>
          <t>GLENDA</t>
        </is>
      </c>
      <c r="F2576">
        <f>CONCATENATE(D2576," ",LEFT(H2576,4),"T=",AU2576,"D=",AV2576,"R=",AW2576,"M=",AX2576,"L=",AY2576,"B=",AZ2576)</f>
        <v/>
      </c>
      <c r="I2576" t="inlineStr">
        <is>
          <t>1959-06-02</t>
        </is>
      </c>
      <c r="J2576" t="inlineStr">
        <is>
          <t>2007-10-01</t>
        </is>
      </c>
      <c r="K2576" t="inlineStr">
        <is>
          <t>CONFIRMATION</t>
        </is>
      </c>
      <c r="M2576" t="inlineStr">
        <is>
          <t>1026 EAST AVE SE</t>
        </is>
      </c>
      <c r="N2576">
        <f>RIGHT(M2576,LEN(M2576)-FIND(" ",M2576))</f>
        <v/>
      </c>
      <c r="P2576" t="inlineStr">
        <is>
          <t>WARREN</t>
        </is>
      </c>
      <c r="Q2576" t="inlineStr">
        <is>
          <t>OH</t>
        </is>
      </c>
      <c r="R2576" t="n">
        <v>44484</v>
      </c>
      <c r="AD2576" t="inlineStr">
        <is>
          <t>TRUMBULL CAREER &amp; TECH CENTER</t>
        </is>
      </c>
      <c r="AE2576" t="inlineStr">
        <is>
          <t>WARREN CITY</t>
        </is>
      </c>
      <c r="AF2576" t="inlineStr">
        <is>
          <t>WARREN CITY SD</t>
        </is>
      </c>
      <c r="AH2576" t="n">
        <v>14</v>
      </c>
      <c r="AI2576" t="n">
        <v>11</v>
      </c>
      <c r="AN2576" t="inlineStr">
        <is>
          <t>WARREN</t>
        </is>
      </c>
      <c r="AO2576" t="inlineStr">
        <is>
          <t>WARREN CITY 4F</t>
        </is>
      </c>
      <c r="AP2576" t="inlineStr">
        <is>
          <t>78-P-ADN</t>
        </is>
      </c>
      <c r="AQ2576" t="n">
        <v>9</v>
      </c>
      <c r="AR2576" t="n">
        <v>64</v>
      </c>
      <c r="AS2576" t="n">
        <v>32</v>
      </c>
      <c r="AU2576">
        <f>COUNTA($BA$2576:$EH$2576)</f>
        <v/>
      </c>
      <c r="AV2576">
        <f>COUNTIF($BA$2576:$EH$2576,"D")</f>
        <v/>
      </c>
      <c r="AW2576">
        <f>COUNTIF($BA$2576:$EH$2576,"R")</f>
        <v/>
      </c>
      <c r="AX2576">
        <f>IF(BN2576="D",1,0)+IF(BO2576="D",1,0)+IF(BT2576="D",1,0)+IF(BU2576="D",1,0)+IF(BW2576="D",1,0)+IF(CC2576="D",1,0)+IF(CD2576="D",1,0)+IF(CE2576="D",1,0)+IF(CF2576="D",1,0)+IF(CL2576="D",1,0)+IF(CM2576="D",1,0)+IF(CQ2576="D",1,0)+IF(CR2576="D",1,0)+IF(CS2576="D",1,0)+IF(CW2576="D",1,0)+IF(CX2576="D",1,0)+IF(DD2576="D",1,0)+IF(DE2576="D",1,0)+IF(DJ2576="D",1,0)+IF(DK2576="D",1,0)+IF(DO2576="D",1,0)+IF(DP2576="D",1,0)+IF(DQ2576="D",1,0)+IF(DW2576="D",1,0)+IF(DZ2576="D",1,0)+IF(EH2576="D",1,0)</f>
        <v/>
      </c>
      <c r="AY2576">
        <f>IF(DJ2576&lt;&gt;"",1,0)+IF(DK2576&lt;&gt;"",1,0)+IF(DM2576&lt;&gt;"",1,0)+IF(DO2576&lt;&gt;"",1,0)+IF(DP2576&lt;&gt;"",1,0)+IF(DQ2576&lt;&gt;"",1,0)+IF(DS2576&lt;&gt;"",1,0)+IF(DT2576&lt;&gt;"",1,0)+IF(DV2576&lt;&gt;"",1,0)+IF(DW2576&lt;&gt;"",1,0)+IF(DX2576&lt;&gt;"",1,0)+IF(DY2576&lt;&gt;"",1,0)+IF(DZ2576&lt;&gt;"",1,0)+IF(EB2576&lt;&gt;"",1,0)+IF(EC2576&lt;&gt;"",1,0)+IF(ED2576&lt;&gt;"",1,0)+IF(EG2576&lt;&gt;"",1,0)+IF(EH2576&lt;&gt;"",1,0)</f>
        <v/>
      </c>
      <c r="AZ2576">
        <f>IF(EH2576&lt;&gt;"",1,0)</f>
        <v/>
      </c>
      <c r="BB2576" t="inlineStr">
        <is>
          <t>WARREN-WARD 4</t>
        </is>
      </c>
      <c r="BC2576" t="inlineStr">
        <is>
          <t>X</t>
        </is>
      </c>
      <c r="BD2576" t="inlineStr">
        <is>
          <t>X</t>
        </is>
      </c>
      <c r="BL2576" t="inlineStr">
        <is>
          <t>X</t>
        </is>
      </c>
      <c r="BY2576" t="inlineStr">
        <is>
          <t>D</t>
        </is>
      </c>
      <c r="CA2576" t="inlineStr">
        <is>
          <t>X</t>
        </is>
      </c>
      <c r="CK2576" t="inlineStr">
        <is>
          <t>X</t>
        </is>
      </c>
      <c r="CL2576" t="inlineStr">
        <is>
          <t>D</t>
        </is>
      </c>
      <c r="CN2576" t="inlineStr">
        <is>
          <t>X</t>
        </is>
      </c>
      <c r="CP2576" t="inlineStr">
        <is>
          <t>X</t>
        </is>
      </c>
      <c r="CZ2576" t="inlineStr">
        <is>
          <t>D</t>
        </is>
      </c>
      <c r="DC2576" t="inlineStr">
        <is>
          <t>X</t>
        </is>
      </c>
      <c r="DI2576" t="inlineStr">
        <is>
          <t>X</t>
        </is>
      </c>
    </row>
    <row r="2577">
      <c r="A2577" t="inlineStr">
        <is>
          <t>OH0015712172</t>
        </is>
      </c>
      <c r="B2577" t="n">
        <v>78</v>
      </c>
      <c r="C2577" t="n">
        <v>18222</v>
      </c>
      <c r="D2577" t="inlineStr">
        <is>
          <t>HERRON</t>
        </is>
      </c>
      <c r="E2577" t="inlineStr">
        <is>
          <t>MABLE</t>
        </is>
      </c>
      <c r="F2577">
        <f>CONCATENATE(D2577," ",LEFT(H2577,4),"T=",AU2577,"D=",AV2577,"R=",AW2577,"M=",AX2577,"L=",AY2577,"B=",AZ2577)</f>
        <v/>
      </c>
      <c r="G2577" t="inlineStr">
        <is>
          <t>E</t>
        </is>
      </c>
      <c r="I2577" t="inlineStr">
        <is>
          <t>1951-02-08</t>
        </is>
      </c>
      <c r="J2577" t="inlineStr">
        <is>
          <t>2019-10-28</t>
        </is>
      </c>
      <c r="K2577" t="inlineStr">
        <is>
          <t>ACTIVE</t>
        </is>
      </c>
      <c r="L2577" t="inlineStr">
        <is>
          <t>D</t>
        </is>
      </c>
      <c r="M2577" t="inlineStr">
        <is>
          <t>1507 HOMEWOOD AVE SE</t>
        </is>
      </c>
      <c r="N2577">
        <f>RIGHT(M2577,LEN(M2577)-FIND(" ",M2577))</f>
        <v/>
      </c>
      <c r="P2577" t="inlineStr">
        <is>
          <t>WARREN</t>
        </is>
      </c>
      <c r="Q2577" t="inlineStr">
        <is>
          <t>OH</t>
        </is>
      </c>
      <c r="R2577" t="n">
        <v>44484</v>
      </c>
      <c r="AD2577" t="inlineStr">
        <is>
          <t>TRUMBULL CAREER &amp; TECH CENTER</t>
        </is>
      </c>
      <c r="AE2577" t="inlineStr">
        <is>
          <t>WARREN CITY</t>
        </is>
      </c>
      <c r="AF2577" t="inlineStr">
        <is>
          <t>WARREN CITY SD</t>
        </is>
      </c>
      <c r="AH2577" t="n">
        <v>14</v>
      </c>
      <c r="AI2577" t="n">
        <v>11</v>
      </c>
      <c r="AN2577" t="inlineStr">
        <is>
          <t>WARREN</t>
        </is>
      </c>
      <c r="AO2577" t="inlineStr">
        <is>
          <t>WARREN CITY 4F</t>
        </is>
      </c>
      <c r="AP2577" t="inlineStr">
        <is>
          <t>78-P-ADN</t>
        </is>
      </c>
      <c r="AQ2577" t="n">
        <v>9</v>
      </c>
      <c r="AR2577" t="n">
        <v>64</v>
      </c>
      <c r="AS2577" t="n">
        <v>32</v>
      </c>
      <c r="AU2577">
        <f>COUNTA($BA$2577:$EH$2577)</f>
        <v/>
      </c>
      <c r="AV2577">
        <f>COUNTIF($BA$2577:$EH$2577,"D")</f>
        <v/>
      </c>
      <c r="AW2577">
        <f>COUNTIF($BA$2577:$EH$2577,"R")</f>
        <v/>
      </c>
      <c r="AX2577">
        <f>IF(BN2577="D",1,0)+IF(BO2577="D",1,0)+IF(BT2577="D",1,0)+IF(BU2577="D",1,0)+IF(BW2577="D",1,0)+IF(CC2577="D",1,0)+IF(CD2577="D",1,0)+IF(CE2577="D",1,0)+IF(CF2577="D",1,0)+IF(CL2577="D",1,0)+IF(CM2577="D",1,0)+IF(CQ2577="D",1,0)+IF(CR2577="D",1,0)+IF(CS2577="D",1,0)+IF(CW2577="D",1,0)+IF(CX2577="D",1,0)+IF(DD2577="D",1,0)+IF(DE2577="D",1,0)+IF(DJ2577="D",1,0)+IF(DK2577="D",1,0)+IF(DO2577="D",1,0)+IF(DP2577="D",1,0)+IF(DQ2577="D",1,0)+IF(DW2577="D",1,0)+IF(DZ2577="D",1,0)+IF(EH2577="D",1,0)</f>
        <v/>
      </c>
      <c r="AY2577">
        <f>IF(DJ2577&lt;&gt;"",1,0)+IF(DK2577&lt;&gt;"",1,0)+IF(DM2577&lt;&gt;"",1,0)+IF(DO2577&lt;&gt;"",1,0)+IF(DP2577&lt;&gt;"",1,0)+IF(DQ2577&lt;&gt;"",1,0)+IF(DS2577&lt;&gt;"",1,0)+IF(DT2577&lt;&gt;"",1,0)+IF(DV2577&lt;&gt;"",1,0)+IF(DW2577&lt;&gt;"",1,0)+IF(DX2577&lt;&gt;"",1,0)+IF(DY2577&lt;&gt;"",1,0)+IF(DZ2577&lt;&gt;"",1,0)+IF(EB2577&lt;&gt;"",1,0)+IF(EC2577&lt;&gt;"",1,0)+IF(ED2577&lt;&gt;"",1,0)+IF(EG2577&lt;&gt;"",1,0)+IF(EH2577&lt;&gt;"",1,0)</f>
        <v/>
      </c>
      <c r="AZ2577">
        <f>IF(EH2577&lt;&gt;"",1,0)</f>
        <v/>
      </c>
      <c r="BB2577" t="inlineStr">
        <is>
          <t>WARREN-WARD 4</t>
        </is>
      </c>
      <c r="BD2577" t="inlineStr">
        <is>
          <t>X</t>
        </is>
      </c>
      <c r="BF2577" t="inlineStr">
        <is>
          <t>X</t>
        </is>
      </c>
      <c r="BH2577" t="inlineStr">
        <is>
          <t>X</t>
        </is>
      </c>
      <c r="BI2577" t="inlineStr">
        <is>
          <t>X</t>
        </is>
      </c>
      <c r="BJ2577" t="inlineStr">
        <is>
          <t>X</t>
        </is>
      </c>
      <c r="BK2577" t="inlineStr">
        <is>
          <t>X</t>
        </is>
      </c>
      <c r="BL2577" t="inlineStr">
        <is>
          <t>X</t>
        </is>
      </c>
      <c r="BP2577" t="inlineStr">
        <is>
          <t>X</t>
        </is>
      </c>
      <c r="BS2577" t="inlineStr">
        <is>
          <t>X</t>
        </is>
      </c>
      <c r="BV2577" t="inlineStr">
        <is>
          <t>X</t>
        </is>
      </c>
      <c r="BY2577" t="inlineStr">
        <is>
          <t>D</t>
        </is>
      </c>
      <c r="CA2577" t="inlineStr">
        <is>
          <t>X</t>
        </is>
      </c>
      <c r="CC2577" t="inlineStr">
        <is>
          <t>D</t>
        </is>
      </c>
      <c r="CG2577" t="inlineStr">
        <is>
          <t>X</t>
        </is>
      </c>
      <c r="CH2577" t="inlineStr">
        <is>
          <t>D</t>
        </is>
      </c>
      <c r="CK2577" t="inlineStr">
        <is>
          <t>X</t>
        </is>
      </c>
      <c r="CL2577" t="inlineStr">
        <is>
          <t>D</t>
        </is>
      </c>
      <c r="CN2577" t="inlineStr">
        <is>
          <t>X</t>
        </is>
      </c>
      <c r="CP2577" t="inlineStr">
        <is>
          <t>X</t>
        </is>
      </c>
      <c r="CQ2577" t="inlineStr">
        <is>
          <t>D</t>
        </is>
      </c>
      <c r="CU2577" t="inlineStr">
        <is>
          <t>D</t>
        </is>
      </c>
      <c r="CV2577" t="inlineStr">
        <is>
          <t>X</t>
        </is>
      </c>
      <c r="CW2577" t="inlineStr">
        <is>
          <t>D</t>
        </is>
      </c>
      <c r="CY2577" t="inlineStr">
        <is>
          <t>X</t>
        </is>
      </c>
      <c r="CZ2577" t="inlineStr">
        <is>
          <t>D</t>
        </is>
      </c>
      <c r="DC2577" t="inlineStr">
        <is>
          <t>X</t>
        </is>
      </c>
      <c r="DD2577" t="inlineStr">
        <is>
          <t>D</t>
        </is>
      </c>
      <c r="DI2577" t="inlineStr">
        <is>
          <t>X</t>
        </is>
      </c>
      <c r="DL2577" t="inlineStr">
        <is>
          <t>X</t>
        </is>
      </c>
      <c r="DM2577" t="inlineStr">
        <is>
          <t>D</t>
        </is>
      </c>
      <c r="DN2577" t="inlineStr">
        <is>
          <t>X</t>
        </is>
      </c>
      <c r="DR2577" t="inlineStr">
        <is>
          <t>X</t>
        </is>
      </c>
      <c r="DS2577" t="inlineStr">
        <is>
          <t>D</t>
        </is>
      </c>
      <c r="DT2577" t="inlineStr">
        <is>
          <t>D</t>
        </is>
      </c>
      <c r="DU2577" t="inlineStr">
        <is>
          <t>X</t>
        </is>
      </c>
      <c r="DW2577" t="inlineStr">
        <is>
          <t>D</t>
        </is>
      </c>
      <c r="DX2577" t="inlineStr">
        <is>
          <t>X</t>
        </is>
      </c>
      <c r="EA2577" t="inlineStr">
        <is>
          <t>X</t>
        </is>
      </c>
      <c r="EF2577" t="inlineStr">
        <is>
          <t>X</t>
        </is>
      </c>
    </row>
    <row r="2578">
      <c r="A2578" t="inlineStr">
        <is>
          <t>OH0022574862</t>
        </is>
      </c>
      <c r="B2578" t="n">
        <v>78</v>
      </c>
      <c r="C2578" t="n">
        <v>398616</v>
      </c>
      <c r="D2578" t="inlineStr">
        <is>
          <t>CASSEL</t>
        </is>
      </c>
      <c r="E2578" t="inlineStr">
        <is>
          <t>RYAN</t>
        </is>
      </c>
      <c r="F2578">
        <f>CONCATENATE(D2578," ",LEFT(H2578,4),"T=",AU2578,"D=",AV2578,"R=",AW2578,"M=",AX2578,"L=",AY2578,"B=",AZ2578)</f>
        <v/>
      </c>
      <c r="G2578" t="inlineStr">
        <is>
          <t>EDWARD</t>
        </is>
      </c>
      <c r="I2578" t="inlineStr">
        <is>
          <t>1995-09-08</t>
        </is>
      </c>
      <c r="J2578" t="inlineStr">
        <is>
          <t>2016-07-19</t>
        </is>
      </c>
      <c r="K2578" t="inlineStr">
        <is>
          <t>CONFIRMATION</t>
        </is>
      </c>
      <c r="M2578" t="inlineStr">
        <is>
          <t>1811 WALLACE ST SE</t>
        </is>
      </c>
      <c r="N2578">
        <f>RIGHT(M2578,LEN(M2578)-FIND(" ",M2578))</f>
        <v/>
      </c>
      <c r="P2578" t="inlineStr">
        <is>
          <t>WARREN</t>
        </is>
      </c>
      <c r="Q2578" t="inlineStr">
        <is>
          <t>OH</t>
        </is>
      </c>
      <c r="R2578" t="n">
        <v>44484</v>
      </c>
      <c r="AD2578" t="inlineStr">
        <is>
          <t>TRUMBULL CAREER &amp; TECH CENTER</t>
        </is>
      </c>
      <c r="AE2578" t="inlineStr">
        <is>
          <t>WARREN CITY</t>
        </is>
      </c>
      <c r="AF2578" t="inlineStr">
        <is>
          <t>WARREN CITY SD</t>
        </is>
      </c>
      <c r="AH2578" t="n">
        <v>14</v>
      </c>
      <c r="AI2578" t="n">
        <v>11</v>
      </c>
      <c r="AN2578" t="inlineStr">
        <is>
          <t>WARREN</t>
        </is>
      </c>
      <c r="AO2578" t="inlineStr">
        <is>
          <t>WARREN CITY 4F</t>
        </is>
      </c>
      <c r="AP2578" t="inlineStr">
        <is>
          <t>78-P-ADN</t>
        </is>
      </c>
      <c r="AQ2578" t="n">
        <v>9</v>
      </c>
      <c r="AR2578" t="n">
        <v>64</v>
      </c>
      <c r="AS2578" t="n">
        <v>32</v>
      </c>
      <c r="AU2578">
        <f>COUNTA($BA$2578:$EH$2578)</f>
        <v/>
      </c>
      <c r="AV2578">
        <f>COUNTIF($BA$2578:$EH$2578,"D")</f>
        <v/>
      </c>
      <c r="AW2578">
        <f>COUNTIF($BA$2578:$EH$2578,"R")</f>
        <v/>
      </c>
      <c r="AX2578">
        <f>IF(BN2578="D",1,0)+IF(BO2578="D",1,0)+IF(BT2578="D",1,0)+IF(BU2578="D",1,0)+IF(BW2578="D",1,0)+IF(CC2578="D",1,0)+IF(CD2578="D",1,0)+IF(CE2578="D",1,0)+IF(CF2578="D",1,0)+IF(CL2578="D",1,0)+IF(CM2578="D",1,0)+IF(CQ2578="D",1,0)+IF(CR2578="D",1,0)+IF(CS2578="D",1,0)+IF(CW2578="D",1,0)+IF(CX2578="D",1,0)+IF(DD2578="D",1,0)+IF(DE2578="D",1,0)+IF(DJ2578="D",1,0)+IF(DK2578="D",1,0)+IF(DO2578="D",1,0)+IF(DP2578="D",1,0)+IF(DQ2578="D",1,0)+IF(DW2578="D",1,0)+IF(DZ2578="D",1,0)+IF(EH2578="D",1,0)</f>
        <v/>
      </c>
      <c r="AY2578">
        <f>IF(DJ2578&lt;&gt;"",1,0)+IF(DK2578&lt;&gt;"",1,0)+IF(DM2578&lt;&gt;"",1,0)+IF(DO2578&lt;&gt;"",1,0)+IF(DP2578&lt;&gt;"",1,0)+IF(DQ2578&lt;&gt;"",1,0)+IF(DS2578&lt;&gt;"",1,0)+IF(DT2578&lt;&gt;"",1,0)+IF(DV2578&lt;&gt;"",1,0)+IF(DW2578&lt;&gt;"",1,0)+IF(DX2578&lt;&gt;"",1,0)+IF(DY2578&lt;&gt;"",1,0)+IF(DZ2578&lt;&gt;"",1,0)+IF(EB2578&lt;&gt;"",1,0)+IF(EC2578&lt;&gt;"",1,0)+IF(ED2578&lt;&gt;"",1,0)+IF(EG2578&lt;&gt;"",1,0)+IF(EH2578&lt;&gt;"",1,0)</f>
        <v/>
      </c>
      <c r="AZ2578">
        <f>IF(EH2578&lt;&gt;"",1,0)</f>
        <v/>
      </c>
      <c r="BB2578" t="inlineStr">
        <is>
          <t>WARREN-WARD 4</t>
        </is>
      </c>
    </row>
    <row r="2579">
      <c r="A2579" t="inlineStr">
        <is>
          <t>OH0021816368</t>
        </is>
      </c>
      <c r="B2579" t="n">
        <v>78</v>
      </c>
      <c r="C2579" t="n">
        <v>387817</v>
      </c>
      <c r="D2579" t="inlineStr">
        <is>
          <t>WILLIAMS</t>
        </is>
      </c>
      <c r="E2579" t="inlineStr">
        <is>
          <t>BILLIE</t>
        </is>
      </c>
      <c r="F2579">
        <f>CONCATENATE(D2579," ",LEFT(H2579,4),"T=",AU2579,"D=",AV2579,"R=",AW2579,"M=",AX2579,"L=",AY2579,"B=",AZ2579)</f>
        <v/>
      </c>
      <c r="G2579" t="inlineStr">
        <is>
          <t>JO</t>
        </is>
      </c>
      <c r="I2579" t="inlineStr">
        <is>
          <t>1984-09-15</t>
        </is>
      </c>
      <c r="J2579" t="inlineStr">
        <is>
          <t>2018-04-24</t>
        </is>
      </c>
      <c r="K2579" t="inlineStr">
        <is>
          <t>CONFIRMATION</t>
        </is>
      </c>
      <c r="M2579" t="inlineStr">
        <is>
          <t>1182 YOUNGSTOWN RD SE</t>
        </is>
      </c>
      <c r="N2579">
        <f>RIGHT(M2579,LEN(M2579)-FIND(" ",M2579))</f>
        <v/>
      </c>
      <c r="P2579" t="inlineStr">
        <is>
          <t>WARREN</t>
        </is>
      </c>
      <c r="Q2579" t="inlineStr">
        <is>
          <t>OH</t>
        </is>
      </c>
      <c r="R2579" t="n">
        <v>44484</v>
      </c>
      <c r="AD2579" t="inlineStr">
        <is>
          <t>TRUMBULL CAREER &amp; TECH CENTER</t>
        </is>
      </c>
      <c r="AE2579" t="inlineStr">
        <is>
          <t>WARREN CITY</t>
        </is>
      </c>
      <c r="AF2579" t="inlineStr">
        <is>
          <t>WARREN CITY SD</t>
        </is>
      </c>
      <c r="AH2579" t="n">
        <v>14</v>
      </c>
      <c r="AI2579" t="n">
        <v>11</v>
      </c>
      <c r="AN2579" t="inlineStr">
        <is>
          <t>WARREN</t>
        </is>
      </c>
      <c r="AO2579" t="inlineStr">
        <is>
          <t>WARREN CITY 4F</t>
        </is>
      </c>
      <c r="AP2579" t="inlineStr">
        <is>
          <t>78-P-ADN</t>
        </is>
      </c>
      <c r="AQ2579" t="n">
        <v>9</v>
      </c>
      <c r="AR2579" t="n">
        <v>64</v>
      </c>
      <c r="AS2579" t="n">
        <v>32</v>
      </c>
      <c r="AU2579">
        <f>COUNTA($BA$2579:$EH$2579)</f>
        <v/>
      </c>
      <c r="AV2579">
        <f>COUNTIF($BA$2579:$EH$2579,"D")</f>
        <v/>
      </c>
      <c r="AW2579">
        <f>COUNTIF($BA$2579:$EH$2579,"R")</f>
        <v/>
      </c>
      <c r="AX2579">
        <f>IF(BN2579="D",1,0)+IF(BO2579="D",1,0)+IF(BT2579="D",1,0)+IF(BU2579="D",1,0)+IF(BW2579="D",1,0)+IF(CC2579="D",1,0)+IF(CD2579="D",1,0)+IF(CE2579="D",1,0)+IF(CF2579="D",1,0)+IF(CL2579="D",1,0)+IF(CM2579="D",1,0)+IF(CQ2579="D",1,0)+IF(CR2579="D",1,0)+IF(CS2579="D",1,0)+IF(CW2579="D",1,0)+IF(CX2579="D",1,0)+IF(DD2579="D",1,0)+IF(DE2579="D",1,0)+IF(DJ2579="D",1,0)+IF(DK2579="D",1,0)+IF(DO2579="D",1,0)+IF(DP2579="D",1,0)+IF(DQ2579="D",1,0)+IF(DW2579="D",1,0)+IF(DZ2579="D",1,0)+IF(EH2579="D",1,0)</f>
        <v/>
      </c>
      <c r="AY2579">
        <f>IF(DJ2579&lt;&gt;"",1,0)+IF(DK2579&lt;&gt;"",1,0)+IF(DM2579&lt;&gt;"",1,0)+IF(DO2579&lt;&gt;"",1,0)+IF(DP2579&lt;&gt;"",1,0)+IF(DQ2579&lt;&gt;"",1,0)+IF(DS2579&lt;&gt;"",1,0)+IF(DT2579&lt;&gt;"",1,0)+IF(DV2579&lt;&gt;"",1,0)+IF(DW2579&lt;&gt;"",1,0)+IF(DX2579&lt;&gt;"",1,0)+IF(DY2579&lt;&gt;"",1,0)+IF(DZ2579&lt;&gt;"",1,0)+IF(EB2579&lt;&gt;"",1,0)+IF(EC2579&lt;&gt;"",1,0)+IF(ED2579&lt;&gt;"",1,0)+IF(EG2579&lt;&gt;"",1,0)+IF(EH2579&lt;&gt;"",1,0)</f>
        <v/>
      </c>
      <c r="AZ2579">
        <f>IF(EH2579&lt;&gt;"",1,0)</f>
        <v/>
      </c>
      <c r="BB2579" t="inlineStr">
        <is>
          <t>WARREN-WARD 4</t>
        </is>
      </c>
      <c r="CP2579" t="inlineStr">
        <is>
          <t>X</t>
        </is>
      </c>
    </row>
    <row r="2580">
      <c r="A2580" t="inlineStr">
        <is>
          <t>OH0015755825</t>
        </is>
      </c>
      <c r="B2580" t="n">
        <v>78</v>
      </c>
      <c r="C2580" t="n">
        <v>329064</v>
      </c>
      <c r="D2580" t="inlineStr">
        <is>
          <t>OWENS</t>
        </is>
      </c>
      <c r="E2580" t="inlineStr">
        <is>
          <t>MALINDA</t>
        </is>
      </c>
      <c r="F2580">
        <f>CONCATENATE(D2580," ",LEFT(H2580,4),"T=",AU2580,"D=",AV2580,"R=",AW2580,"M=",AX2580,"L=",AY2580,"B=",AZ2580)</f>
        <v/>
      </c>
      <c r="G2580" t="inlineStr">
        <is>
          <t>D</t>
        </is>
      </c>
      <c r="I2580" t="inlineStr">
        <is>
          <t>1968-09-19</t>
        </is>
      </c>
      <c r="J2580" t="inlineStr">
        <is>
          <t>2009-10-23</t>
        </is>
      </c>
      <c r="K2580" t="inlineStr">
        <is>
          <t>CONFIRMATION</t>
        </is>
      </c>
      <c r="M2580" t="inlineStr">
        <is>
          <t>2160 BENTON ST SE</t>
        </is>
      </c>
      <c r="N2580">
        <f>RIGHT(M2580,LEN(M2580)-FIND(" ",M2580))</f>
        <v/>
      </c>
      <c r="P2580" t="inlineStr">
        <is>
          <t>WARREN</t>
        </is>
      </c>
      <c r="Q2580" t="inlineStr">
        <is>
          <t>OH</t>
        </is>
      </c>
      <c r="R2580" t="n">
        <v>44484</v>
      </c>
      <c r="AD2580" t="inlineStr">
        <is>
          <t>TRUMBULL CAREER &amp; TECH CENTER</t>
        </is>
      </c>
      <c r="AE2580" t="inlineStr">
        <is>
          <t>WARREN CITY</t>
        </is>
      </c>
      <c r="AF2580" t="inlineStr">
        <is>
          <t>WARREN CITY SD</t>
        </is>
      </c>
      <c r="AH2580" t="n">
        <v>14</v>
      </c>
      <c r="AI2580" t="n">
        <v>11</v>
      </c>
      <c r="AN2580" t="inlineStr">
        <is>
          <t>WARREN</t>
        </is>
      </c>
      <c r="AO2580" t="inlineStr">
        <is>
          <t>WARREN CITY 4F</t>
        </is>
      </c>
      <c r="AP2580" t="inlineStr">
        <is>
          <t>78-P-ADN</t>
        </is>
      </c>
      <c r="AQ2580" t="n">
        <v>9</v>
      </c>
      <c r="AR2580" t="n">
        <v>64</v>
      </c>
      <c r="AS2580" t="n">
        <v>32</v>
      </c>
      <c r="AU2580">
        <f>COUNTA($BA$2580:$EH$2580)</f>
        <v/>
      </c>
      <c r="AV2580">
        <f>COUNTIF($BA$2580:$EH$2580,"D")</f>
        <v/>
      </c>
      <c r="AW2580">
        <f>COUNTIF($BA$2580:$EH$2580,"R")</f>
        <v/>
      </c>
      <c r="AX2580">
        <f>IF(BN2580="D",1,0)+IF(BO2580="D",1,0)+IF(BT2580="D",1,0)+IF(BU2580="D",1,0)+IF(BW2580="D",1,0)+IF(CC2580="D",1,0)+IF(CD2580="D",1,0)+IF(CE2580="D",1,0)+IF(CF2580="D",1,0)+IF(CL2580="D",1,0)+IF(CM2580="D",1,0)+IF(CQ2580="D",1,0)+IF(CR2580="D",1,0)+IF(CS2580="D",1,0)+IF(CW2580="D",1,0)+IF(CX2580="D",1,0)+IF(DD2580="D",1,0)+IF(DE2580="D",1,0)+IF(DJ2580="D",1,0)+IF(DK2580="D",1,0)+IF(DO2580="D",1,0)+IF(DP2580="D",1,0)+IF(DQ2580="D",1,0)+IF(DW2580="D",1,0)+IF(DZ2580="D",1,0)+IF(EH2580="D",1,0)</f>
        <v/>
      </c>
      <c r="AY2580">
        <f>IF(DJ2580&lt;&gt;"",1,0)+IF(DK2580&lt;&gt;"",1,0)+IF(DM2580&lt;&gt;"",1,0)+IF(DO2580&lt;&gt;"",1,0)+IF(DP2580&lt;&gt;"",1,0)+IF(DQ2580&lt;&gt;"",1,0)+IF(DS2580&lt;&gt;"",1,0)+IF(DT2580&lt;&gt;"",1,0)+IF(DV2580&lt;&gt;"",1,0)+IF(DW2580&lt;&gt;"",1,0)+IF(DX2580&lt;&gt;"",1,0)+IF(DY2580&lt;&gt;"",1,0)+IF(DZ2580&lt;&gt;"",1,0)+IF(EB2580&lt;&gt;"",1,0)+IF(EC2580&lt;&gt;"",1,0)+IF(ED2580&lt;&gt;"",1,0)+IF(EG2580&lt;&gt;"",1,0)+IF(EH2580&lt;&gt;"",1,0)</f>
        <v/>
      </c>
      <c r="AZ2580">
        <f>IF(EH2580&lt;&gt;"",1,0)</f>
        <v/>
      </c>
      <c r="BB2580" t="inlineStr">
        <is>
          <t>WARREN-WARD 4</t>
        </is>
      </c>
      <c r="BL2580" t="inlineStr">
        <is>
          <t>X</t>
        </is>
      </c>
      <c r="CA2580" t="inlineStr">
        <is>
          <t>X</t>
        </is>
      </c>
      <c r="CP2580" t="inlineStr">
        <is>
          <t>X</t>
        </is>
      </c>
      <c r="DC2580" t="inlineStr">
        <is>
          <t>X</t>
        </is>
      </c>
      <c r="DN2580" t="inlineStr">
        <is>
          <t>X</t>
        </is>
      </c>
    </row>
    <row r="2581">
      <c r="A2581" t="inlineStr">
        <is>
          <t>OH0024868228</t>
        </is>
      </c>
      <c r="B2581" t="n">
        <v>78</v>
      </c>
      <c r="C2581" t="n">
        <v>436095</v>
      </c>
      <c r="D2581" t="inlineStr">
        <is>
          <t>MALONEY</t>
        </is>
      </c>
      <c r="E2581" t="inlineStr">
        <is>
          <t>WAYNE</t>
        </is>
      </c>
      <c r="F2581">
        <f>CONCATENATE(D2581," ",LEFT(H2581,4),"T=",AU2581,"D=",AV2581,"R=",AW2581,"M=",AX2581,"L=",AY2581,"B=",AZ2581)</f>
        <v/>
      </c>
      <c r="G2581" t="inlineStr">
        <is>
          <t>A</t>
        </is>
      </c>
      <c r="I2581" t="inlineStr">
        <is>
          <t>1982-01-24</t>
        </is>
      </c>
      <c r="J2581" t="inlineStr">
        <is>
          <t>2018-10-05</t>
        </is>
      </c>
      <c r="K2581" t="inlineStr">
        <is>
          <t>ACTIVE</t>
        </is>
      </c>
      <c r="M2581" t="inlineStr">
        <is>
          <t>973 EAST AVE SE</t>
        </is>
      </c>
      <c r="N2581">
        <f>RIGHT(M2581,LEN(M2581)-FIND(" ",M2581))</f>
        <v/>
      </c>
      <c r="P2581" t="inlineStr">
        <is>
          <t>WARREN</t>
        </is>
      </c>
      <c r="Q2581" t="inlineStr">
        <is>
          <t>OH</t>
        </is>
      </c>
      <c r="R2581" t="n">
        <v>44484</v>
      </c>
      <c r="AD2581" t="inlineStr">
        <is>
          <t>TRUMBULL CAREER &amp; TECH CENTER</t>
        </is>
      </c>
      <c r="AE2581" t="inlineStr">
        <is>
          <t>WARREN CITY</t>
        </is>
      </c>
      <c r="AF2581" t="inlineStr">
        <is>
          <t>WARREN CITY SD</t>
        </is>
      </c>
      <c r="AH2581" t="n">
        <v>14</v>
      </c>
      <c r="AI2581" t="n">
        <v>11</v>
      </c>
      <c r="AN2581" t="inlineStr">
        <is>
          <t>WARREN</t>
        </is>
      </c>
      <c r="AO2581" t="inlineStr">
        <is>
          <t>WARREN CITY 4F</t>
        </is>
      </c>
      <c r="AP2581" t="inlineStr">
        <is>
          <t>78-P-ADN</t>
        </is>
      </c>
      <c r="AQ2581" t="n">
        <v>9</v>
      </c>
      <c r="AR2581" t="n">
        <v>64</v>
      </c>
      <c r="AS2581" t="n">
        <v>32</v>
      </c>
      <c r="AU2581">
        <f>COUNTA($BA$2581:$EH$2581)</f>
        <v/>
      </c>
      <c r="AV2581">
        <f>COUNTIF($BA$2581:$EH$2581,"D")</f>
        <v/>
      </c>
      <c r="AW2581">
        <f>COUNTIF($BA$2581:$EH$2581,"R")</f>
        <v/>
      </c>
      <c r="AX2581">
        <f>IF(BN2581="D",1,0)+IF(BO2581="D",1,0)+IF(BT2581="D",1,0)+IF(BU2581="D",1,0)+IF(BW2581="D",1,0)+IF(CC2581="D",1,0)+IF(CD2581="D",1,0)+IF(CE2581="D",1,0)+IF(CF2581="D",1,0)+IF(CL2581="D",1,0)+IF(CM2581="D",1,0)+IF(CQ2581="D",1,0)+IF(CR2581="D",1,0)+IF(CS2581="D",1,0)+IF(CW2581="D",1,0)+IF(CX2581="D",1,0)+IF(DD2581="D",1,0)+IF(DE2581="D",1,0)+IF(DJ2581="D",1,0)+IF(DK2581="D",1,0)+IF(DO2581="D",1,0)+IF(DP2581="D",1,0)+IF(DQ2581="D",1,0)+IF(DW2581="D",1,0)+IF(DZ2581="D",1,0)+IF(EH2581="D",1,0)</f>
        <v/>
      </c>
      <c r="AY2581">
        <f>IF(DJ2581&lt;&gt;"",1,0)+IF(DK2581&lt;&gt;"",1,0)+IF(DM2581&lt;&gt;"",1,0)+IF(DO2581&lt;&gt;"",1,0)+IF(DP2581&lt;&gt;"",1,0)+IF(DQ2581&lt;&gt;"",1,0)+IF(DS2581&lt;&gt;"",1,0)+IF(DT2581&lt;&gt;"",1,0)+IF(DV2581&lt;&gt;"",1,0)+IF(DW2581&lt;&gt;"",1,0)+IF(DX2581&lt;&gt;"",1,0)+IF(DY2581&lt;&gt;"",1,0)+IF(DZ2581&lt;&gt;"",1,0)+IF(EB2581&lt;&gt;"",1,0)+IF(EC2581&lt;&gt;"",1,0)+IF(ED2581&lt;&gt;"",1,0)+IF(EG2581&lt;&gt;"",1,0)+IF(EH2581&lt;&gt;"",1,0)</f>
        <v/>
      </c>
      <c r="AZ2581">
        <f>IF(EH2581&lt;&gt;"",1,0)</f>
        <v/>
      </c>
      <c r="BB2581" t="inlineStr">
        <is>
          <t>WARREN-WARD 4</t>
        </is>
      </c>
      <c r="BC2581" t="inlineStr">
        <is>
          <t>X</t>
        </is>
      </c>
      <c r="BD2581" t="inlineStr">
        <is>
          <t>X</t>
        </is>
      </c>
      <c r="BJ2581" t="inlineStr">
        <is>
          <t>X</t>
        </is>
      </c>
      <c r="BL2581" t="inlineStr">
        <is>
          <t>X</t>
        </is>
      </c>
      <c r="DI2581" t="inlineStr">
        <is>
          <t>X</t>
        </is>
      </c>
    </row>
    <row r="2582">
      <c r="A2582" t="inlineStr">
        <is>
          <t>OH0015779730</t>
        </is>
      </c>
      <c r="B2582" t="n">
        <v>78</v>
      </c>
      <c r="C2582" t="n">
        <v>290018</v>
      </c>
      <c r="D2582" t="inlineStr">
        <is>
          <t>RICE</t>
        </is>
      </c>
      <c r="E2582" t="inlineStr">
        <is>
          <t>JENNY</t>
        </is>
      </c>
      <c r="F2582">
        <f>CONCATENATE(D2582," ",LEFT(H2582,4),"T=",AU2582,"D=",AV2582,"R=",AW2582,"M=",AX2582,"L=",AY2582,"B=",AZ2582)</f>
        <v/>
      </c>
      <c r="G2582" t="inlineStr">
        <is>
          <t>L</t>
        </is>
      </c>
      <c r="I2582" t="inlineStr">
        <is>
          <t>1981-01-24</t>
        </is>
      </c>
      <c r="J2582" t="inlineStr">
        <is>
          <t>2009-12-28</t>
        </is>
      </c>
      <c r="K2582" t="inlineStr">
        <is>
          <t>CONFIRMATION</t>
        </is>
      </c>
      <c r="M2582" t="inlineStr">
        <is>
          <t>2176 BENTON ST SE</t>
        </is>
      </c>
      <c r="N2582">
        <f>RIGHT(M2582,LEN(M2582)-FIND(" ",M2582))</f>
        <v/>
      </c>
      <c r="P2582" t="inlineStr">
        <is>
          <t>WARREN</t>
        </is>
      </c>
      <c r="Q2582" t="inlineStr">
        <is>
          <t>OH</t>
        </is>
      </c>
      <c r="R2582" t="n">
        <v>44484</v>
      </c>
      <c r="AD2582" t="inlineStr">
        <is>
          <t>TRUMBULL CAREER &amp; TECH CENTER</t>
        </is>
      </c>
      <c r="AE2582" t="inlineStr">
        <is>
          <t>WARREN CITY</t>
        </is>
      </c>
      <c r="AF2582" t="inlineStr">
        <is>
          <t>WARREN CITY SD</t>
        </is>
      </c>
      <c r="AH2582" t="n">
        <v>14</v>
      </c>
      <c r="AI2582" t="n">
        <v>11</v>
      </c>
      <c r="AN2582" t="inlineStr">
        <is>
          <t>WARREN</t>
        </is>
      </c>
      <c r="AO2582" t="inlineStr">
        <is>
          <t>WARREN CITY 4F</t>
        </is>
      </c>
      <c r="AP2582" t="inlineStr">
        <is>
          <t>78-P-ADN</t>
        </is>
      </c>
      <c r="AQ2582" t="n">
        <v>9</v>
      </c>
      <c r="AR2582" t="n">
        <v>64</v>
      </c>
      <c r="AS2582" t="n">
        <v>32</v>
      </c>
      <c r="AU2582">
        <f>COUNTA($BA$2582:$EH$2582)</f>
        <v/>
      </c>
      <c r="AV2582">
        <f>COUNTIF($BA$2582:$EH$2582,"D")</f>
        <v/>
      </c>
      <c r="AW2582">
        <f>COUNTIF($BA$2582:$EH$2582,"R")</f>
        <v/>
      </c>
      <c r="AX2582">
        <f>IF(BN2582="D",1,0)+IF(BO2582="D",1,0)+IF(BT2582="D",1,0)+IF(BU2582="D",1,0)+IF(BW2582="D",1,0)+IF(CC2582="D",1,0)+IF(CD2582="D",1,0)+IF(CE2582="D",1,0)+IF(CF2582="D",1,0)+IF(CL2582="D",1,0)+IF(CM2582="D",1,0)+IF(CQ2582="D",1,0)+IF(CR2582="D",1,0)+IF(CS2582="D",1,0)+IF(CW2582="D",1,0)+IF(CX2582="D",1,0)+IF(DD2582="D",1,0)+IF(DE2582="D",1,0)+IF(DJ2582="D",1,0)+IF(DK2582="D",1,0)+IF(DO2582="D",1,0)+IF(DP2582="D",1,0)+IF(DQ2582="D",1,0)+IF(DW2582="D",1,0)+IF(DZ2582="D",1,0)+IF(EH2582="D",1,0)</f>
        <v/>
      </c>
      <c r="AY2582">
        <f>IF(DJ2582&lt;&gt;"",1,0)+IF(DK2582&lt;&gt;"",1,0)+IF(DM2582&lt;&gt;"",1,0)+IF(DO2582&lt;&gt;"",1,0)+IF(DP2582&lt;&gt;"",1,0)+IF(DQ2582&lt;&gt;"",1,0)+IF(DS2582&lt;&gt;"",1,0)+IF(DT2582&lt;&gt;"",1,0)+IF(DV2582&lt;&gt;"",1,0)+IF(DW2582&lt;&gt;"",1,0)+IF(DX2582&lt;&gt;"",1,0)+IF(DY2582&lt;&gt;"",1,0)+IF(DZ2582&lt;&gt;"",1,0)+IF(EB2582&lt;&gt;"",1,0)+IF(EC2582&lt;&gt;"",1,0)+IF(ED2582&lt;&gt;"",1,0)+IF(EG2582&lt;&gt;"",1,0)+IF(EH2582&lt;&gt;"",1,0)</f>
        <v/>
      </c>
      <c r="AZ2582">
        <f>IF(EH2582&lt;&gt;"",1,0)</f>
        <v/>
      </c>
      <c r="BB2582" t="inlineStr">
        <is>
          <t>WARREN-WARD 4</t>
        </is>
      </c>
      <c r="CA2582" t="inlineStr">
        <is>
          <t>X</t>
        </is>
      </c>
      <c r="CP2582" t="inlineStr">
        <is>
          <t>X</t>
        </is>
      </c>
      <c r="DC2582" t="inlineStr">
        <is>
          <t>X</t>
        </is>
      </c>
    </row>
    <row r="2583">
      <c r="A2583" t="inlineStr">
        <is>
          <t>OH0020095857</t>
        </is>
      </c>
      <c r="B2583" t="n">
        <v>78</v>
      </c>
      <c r="C2583" t="n">
        <v>362834</v>
      </c>
      <c r="D2583" t="inlineStr">
        <is>
          <t>ALLEN</t>
        </is>
      </c>
      <c r="E2583" t="inlineStr">
        <is>
          <t>CHAZWELL</t>
        </is>
      </c>
      <c r="F2583">
        <f>CONCATENATE(D2583," ",LEFT(H2583,4),"T=",AU2583,"D=",AV2583,"R=",AW2583,"M=",AX2583,"L=",AY2583,"B=",AZ2583)</f>
        <v/>
      </c>
      <c r="G2583" t="inlineStr">
        <is>
          <t>C</t>
        </is>
      </c>
      <c r="I2583" t="inlineStr">
        <is>
          <t>1981-08-25</t>
        </is>
      </c>
      <c r="J2583" t="inlineStr">
        <is>
          <t>2008-09-28</t>
        </is>
      </c>
      <c r="K2583" t="inlineStr">
        <is>
          <t>CONFIRMATION</t>
        </is>
      </c>
      <c r="M2583" t="inlineStr">
        <is>
          <t>2160 BENTON ST SE</t>
        </is>
      </c>
      <c r="N2583">
        <f>RIGHT(M2583,LEN(M2583)-FIND(" ",M2583))</f>
        <v/>
      </c>
      <c r="P2583" t="inlineStr">
        <is>
          <t>WARREN</t>
        </is>
      </c>
      <c r="Q2583" t="inlineStr">
        <is>
          <t>OH</t>
        </is>
      </c>
      <c r="R2583" t="n">
        <v>44484</v>
      </c>
      <c r="AD2583" t="inlineStr">
        <is>
          <t>TRUMBULL CAREER &amp; TECH CENTER</t>
        </is>
      </c>
      <c r="AE2583" t="inlineStr">
        <is>
          <t>WARREN CITY</t>
        </is>
      </c>
      <c r="AF2583" t="inlineStr">
        <is>
          <t>WARREN CITY SD</t>
        </is>
      </c>
      <c r="AH2583" t="n">
        <v>14</v>
      </c>
      <c r="AI2583" t="n">
        <v>11</v>
      </c>
      <c r="AN2583" t="inlineStr">
        <is>
          <t>WARREN</t>
        </is>
      </c>
      <c r="AO2583" t="inlineStr">
        <is>
          <t>WARREN CITY 4F</t>
        </is>
      </c>
      <c r="AP2583" t="inlineStr">
        <is>
          <t>78-P-ADN</t>
        </is>
      </c>
      <c r="AQ2583" t="n">
        <v>9</v>
      </c>
      <c r="AR2583" t="n">
        <v>64</v>
      </c>
      <c r="AS2583" t="n">
        <v>32</v>
      </c>
      <c r="AU2583">
        <f>COUNTA($BA$2583:$EH$2583)</f>
        <v/>
      </c>
      <c r="AV2583">
        <f>COUNTIF($BA$2583:$EH$2583,"D")</f>
        <v/>
      </c>
      <c r="AW2583">
        <f>COUNTIF($BA$2583:$EH$2583,"R")</f>
        <v/>
      </c>
      <c r="AX2583">
        <f>IF(BN2583="D",1,0)+IF(BO2583="D",1,0)+IF(BT2583="D",1,0)+IF(BU2583="D",1,0)+IF(BW2583="D",1,0)+IF(CC2583="D",1,0)+IF(CD2583="D",1,0)+IF(CE2583="D",1,0)+IF(CF2583="D",1,0)+IF(CL2583="D",1,0)+IF(CM2583="D",1,0)+IF(CQ2583="D",1,0)+IF(CR2583="D",1,0)+IF(CS2583="D",1,0)+IF(CW2583="D",1,0)+IF(CX2583="D",1,0)+IF(DD2583="D",1,0)+IF(DE2583="D",1,0)+IF(DJ2583="D",1,0)+IF(DK2583="D",1,0)+IF(DO2583="D",1,0)+IF(DP2583="D",1,0)+IF(DQ2583="D",1,0)+IF(DW2583="D",1,0)+IF(DZ2583="D",1,0)+IF(EH2583="D",1,0)</f>
        <v/>
      </c>
      <c r="AY2583">
        <f>IF(DJ2583&lt;&gt;"",1,0)+IF(DK2583&lt;&gt;"",1,0)+IF(DM2583&lt;&gt;"",1,0)+IF(DO2583&lt;&gt;"",1,0)+IF(DP2583&lt;&gt;"",1,0)+IF(DQ2583&lt;&gt;"",1,0)+IF(DS2583&lt;&gt;"",1,0)+IF(DT2583&lt;&gt;"",1,0)+IF(DV2583&lt;&gt;"",1,0)+IF(DW2583&lt;&gt;"",1,0)+IF(DX2583&lt;&gt;"",1,0)+IF(DY2583&lt;&gt;"",1,0)+IF(DZ2583&lt;&gt;"",1,0)+IF(EB2583&lt;&gt;"",1,0)+IF(EC2583&lt;&gt;"",1,0)+IF(ED2583&lt;&gt;"",1,0)+IF(EG2583&lt;&gt;"",1,0)+IF(EH2583&lt;&gt;"",1,0)</f>
        <v/>
      </c>
      <c r="AZ2583">
        <f>IF(EH2583&lt;&gt;"",1,0)</f>
        <v/>
      </c>
      <c r="BB2583" t="inlineStr">
        <is>
          <t>WARREN-WARD 4</t>
        </is>
      </c>
      <c r="CA2583" t="inlineStr">
        <is>
          <t>X</t>
        </is>
      </c>
      <c r="CP2583" t="inlineStr">
        <is>
          <t>X</t>
        </is>
      </c>
      <c r="DC2583" t="inlineStr">
        <is>
          <t>X</t>
        </is>
      </c>
    </row>
    <row r="2584">
      <c r="A2584" t="inlineStr">
        <is>
          <t>OH0027896244</t>
        </is>
      </c>
      <c r="B2584" t="n">
        <v>78</v>
      </c>
      <c r="C2584" t="n">
        <v>495019</v>
      </c>
      <c r="D2584" t="inlineStr">
        <is>
          <t>REVIS</t>
        </is>
      </c>
      <c r="E2584" t="inlineStr">
        <is>
          <t>MIKAYLA</t>
        </is>
      </c>
      <c r="F2584">
        <f>CONCATENATE(D2584," ",LEFT(H2584,4),"T=",AU2584,"D=",AV2584,"R=",AW2584,"M=",AX2584,"L=",AY2584,"B=",AZ2584)</f>
        <v/>
      </c>
      <c r="G2584" t="inlineStr">
        <is>
          <t>IMAN</t>
        </is>
      </c>
      <c r="I2584" t="inlineStr">
        <is>
          <t>2000-01-30</t>
        </is>
      </c>
      <c r="J2584" t="inlineStr">
        <is>
          <t>2025-03-19</t>
        </is>
      </c>
      <c r="K2584" t="inlineStr">
        <is>
          <t>ACTIVE</t>
        </is>
      </c>
      <c r="M2584" t="inlineStr">
        <is>
          <t>1587 HOMEWOOD AVE SE</t>
        </is>
      </c>
      <c r="N2584">
        <f>RIGHT(M2584,LEN(M2584)-FIND(" ",M2584))</f>
        <v/>
      </c>
      <c r="P2584" t="inlineStr">
        <is>
          <t>WARREN</t>
        </is>
      </c>
      <c r="Q2584" t="inlineStr">
        <is>
          <t>OH</t>
        </is>
      </c>
      <c r="R2584" t="n">
        <v>44484</v>
      </c>
      <c r="AD2584" t="inlineStr">
        <is>
          <t>TRUMBULL CAREER &amp; TECH CENTER</t>
        </is>
      </c>
      <c r="AE2584" t="inlineStr">
        <is>
          <t>WARREN CITY</t>
        </is>
      </c>
      <c r="AF2584" t="inlineStr">
        <is>
          <t>WARREN CITY SD</t>
        </is>
      </c>
      <c r="AH2584" t="n">
        <v>14</v>
      </c>
      <c r="AI2584" t="n">
        <v>11</v>
      </c>
      <c r="AN2584" t="inlineStr">
        <is>
          <t>WARREN</t>
        </is>
      </c>
      <c r="AO2584" t="inlineStr">
        <is>
          <t>WARREN CITY 4F</t>
        </is>
      </c>
      <c r="AP2584" t="inlineStr">
        <is>
          <t>78-P-ADN</t>
        </is>
      </c>
      <c r="AQ2584" t="n">
        <v>9</v>
      </c>
      <c r="AR2584" t="n">
        <v>64</v>
      </c>
      <c r="AS2584" t="n">
        <v>32</v>
      </c>
      <c r="AU2584">
        <f>COUNTA($BA$2584:$EH$2584)</f>
        <v/>
      </c>
      <c r="AV2584">
        <f>COUNTIF($BA$2584:$EH$2584,"D")</f>
        <v/>
      </c>
      <c r="AW2584">
        <f>COUNTIF($BA$2584:$EH$2584,"R")</f>
        <v/>
      </c>
      <c r="AX2584">
        <f>IF(BN2584="D",1,0)+IF(BO2584="D",1,0)+IF(BT2584="D",1,0)+IF(BU2584="D",1,0)+IF(BW2584="D",1,0)+IF(CC2584="D",1,0)+IF(CD2584="D",1,0)+IF(CE2584="D",1,0)+IF(CF2584="D",1,0)+IF(CL2584="D",1,0)+IF(CM2584="D",1,0)+IF(CQ2584="D",1,0)+IF(CR2584="D",1,0)+IF(CS2584="D",1,0)+IF(CW2584="D",1,0)+IF(CX2584="D",1,0)+IF(DD2584="D",1,0)+IF(DE2584="D",1,0)+IF(DJ2584="D",1,0)+IF(DK2584="D",1,0)+IF(DO2584="D",1,0)+IF(DP2584="D",1,0)+IF(DQ2584="D",1,0)+IF(DW2584="D",1,0)+IF(DZ2584="D",1,0)+IF(EH2584="D",1,0)</f>
        <v/>
      </c>
      <c r="AY2584">
        <f>IF(DJ2584&lt;&gt;"",1,0)+IF(DK2584&lt;&gt;"",1,0)+IF(DM2584&lt;&gt;"",1,0)+IF(DO2584&lt;&gt;"",1,0)+IF(DP2584&lt;&gt;"",1,0)+IF(DQ2584&lt;&gt;"",1,0)+IF(DS2584&lt;&gt;"",1,0)+IF(DT2584&lt;&gt;"",1,0)+IF(DV2584&lt;&gt;"",1,0)+IF(DW2584&lt;&gt;"",1,0)+IF(DX2584&lt;&gt;"",1,0)+IF(DY2584&lt;&gt;"",1,0)+IF(DZ2584&lt;&gt;"",1,0)+IF(EB2584&lt;&gt;"",1,0)+IF(EC2584&lt;&gt;"",1,0)+IF(ED2584&lt;&gt;"",1,0)+IF(EG2584&lt;&gt;"",1,0)+IF(EH2584&lt;&gt;"",1,0)</f>
        <v/>
      </c>
      <c r="AZ2584">
        <f>IF(EH2584&lt;&gt;"",1,0)</f>
        <v/>
      </c>
      <c r="BB2584" t="inlineStr">
        <is>
          <t>WARREN-WARD 4</t>
        </is>
      </c>
      <c r="DL2584" t="inlineStr">
        <is>
          <t>X</t>
        </is>
      </c>
      <c r="DN2584" t="inlineStr">
        <is>
          <t>X</t>
        </is>
      </c>
      <c r="DX2584" t="inlineStr">
        <is>
          <t>X</t>
        </is>
      </c>
      <c r="EF2584" t="inlineStr">
        <is>
          <t>X</t>
        </is>
      </c>
    </row>
    <row r="2585">
      <c r="A2585" t="inlineStr">
        <is>
          <t>OH0019098715</t>
        </is>
      </c>
      <c r="B2585" t="n">
        <v>78</v>
      </c>
      <c r="C2585" t="n">
        <v>349275</v>
      </c>
      <c r="D2585" t="inlineStr">
        <is>
          <t>ROBERTS</t>
        </is>
      </c>
      <c r="E2585" t="inlineStr">
        <is>
          <t>TERRICE</t>
        </is>
      </c>
      <c r="F2585">
        <f>CONCATENATE(D2585," ",LEFT(H2585,4),"T=",AU2585,"D=",AV2585,"R=",AW2585,"M=",AX2585,"L=",AY2585,"B=",AZ2585)</f>
        <v/>
      </c>
      <c r="G2585" t="inlineStr">
        <is>
          <t>L</t>
        </is>
      </c>
      <c r="I2585" t="inlineStr">
        <is>
          <t>1988-11-02</t>
        </is>
      </c>
      <c r="J2585" t="inlineStr">
        <is>
          <t>2024-08-08</t>
        </is>
      </c>
      <c r="K2585" t="inlineStr">
        <is>
          <t>ACTIVE</t>
        </is>
      </c>
      <c r="M2585" t="inlineStr">
        <is>
          <t>978 EAST AVE SE</t>
        </is>
      </c>
      <c r="N2585">
        <f>RIGHT(M2585,LEN(M2585)-FIND(" ",M2585))</f>
        <v/>
      </c>
      <c r="P2585" t="inlineStr">
        <is>
          <t>WARREN</t>
        </is>
      </c>
      <c r="Q2585" t="inlineStr">
        <is>
          <t>OH</t>
        </is>
      </c>
      <c r="R2585" t="n">
        <v>44484</v>
      </c>
      <c r="AD2585" t="inlineStr">
        <is>
          <t>TRUMBULL CAREER &amp; TECH CENTER</t>
        </is>
      </c>
      <c r="AE2585" t="inlineStr">
        <is>
          <t>WARREN CITY</t>
        </is>
      </c>
      <c r="AF2585" t="inlineStr">
        <is>
          <t>WARREN CITY SD</t>
        </is>
      </c>
      <c r="AH2585" t="n">
        <v>14</v>
      </c>
      <c r="AI2585" t="n">
        <v>11</v>
      </c>
      <c r="AN2585" t="inlineStr">
        <is>
          <t>WARREN</t>
        </is>
      </c>
      <c r="AO2585" t="inlineStr">
        <is>
          <t>WARREN CITY 4F</t>
        </is>
      </c>
      <c r="AP2585" t="inlineStr">
        <is>
          <t>78-P-ADN</t>
        </is>
      </c>
      <c r="AQ2585" t="n">
        <v>9</v>
      </c>
      <c r="AR2585" t="n">
        <v>64</v>
      </c>
      <c r="AS2585" t="n">
        <v>32</v>
      </c>
      <c r="AU2585">
        <f>COUNTA($BA$2585:$EH$2585)</f>
        <v/>
      </c>
      <c r="AV2585">
        <f>COUNTIF($BA$2585:$EH$2585,"D")</f>
        <v/>
      </c>
      <c r="AW2585">
        <f>COUNTIF($BA$2585:$EH$2585,"R")</f>
        <v/>
      </c>
      <c r="AX2585">
        <f>IF(BN2585="D",1,0)+IF(BO2585="D",1,0)+IF(BT2585="D",1,0)+IF(BU2585="D",1,0)+IF(BW2585="D",1,0)+IF(CC2585="D",1,0)+IF(CD2585="D",1,0)+IF(CE2585="D",1,0)+IF(CF2585="D",1,0)+IF(CL2585="D",1,0)+IF(CM2585="D",1,0)+IF(CQ2585="D",1,0)+IF(CR2585="D",1,0)+IF(CS2585="D",1,0)+IF(CW2585="D",1,0)+IF(CX2585="D",1,0)+IF(DD2585="D",1,0)+IF(DE2585="D",1,0)+IF(DJ2585="D",1,0)+IF(DK2585="D",1,0)+IF(DO2585="D",1,0)+IF(DP2585="D",1,0)+IF(DQ2585="D",1,0)+IF(DW2585="D",1,0)+IF(DZ2585="D",1,0)+IF(EH2585="D",1,0)</f>
        <v/>
      </c>
      <c r="AY2585">
        <f>IF(DJ2585&lt;&gt;"",1,0)+IF(DK2585&lt;&gt;"",1,0)+IF(DM2585&lt;&gt;"",1,0)+IF(DO2585&lt;&gt;"",1,0)+IF(DP2585&lt;&gt;"",1,0)+IF(DQ2585&lt;&gt;"",1,0)+IF(DS2585&lt;&gt;"",1,0)+IF(DT2585&lt;&gt;"",1,0)+IF(DV2585&lt;&gt;"",1,0)+IF(DW2585&lt;&gt;"",1,0)+IF(DX2585&lt;&gt;"",1,0)+IF(DY2585&lt;&gt;"",1,0)+IF(DZ2585&lt;&gt;"",1,0)+IF(EB2585&lt;&gt;"",1,0)+IF(EC2585&lt;&gt;"",1,0)+IF(ED2585&lt;&gt;"",1,0)+IF(EG2585&lt;&gt;"",1,0)+IF(EH2585&lt;&gt;"",1,0)</f>
        <v/>
      </c>
      <c r="AZ2585">
        <f>IF(EH2585&lt;&gt;"",1,0)</f>
        <v/>
      </c>
      <c r="BB2585" t="inlineStr">
        <is>
          <t>WARREN-WARD 4</t>
        </is>
      </c>
      <c r="CA2585" t="inlineStr">
        <is>
          <t>X</t>
        </is>
      </c>
      <c r="CP2585" t="inlineStr">
        <is>
          <t>X</t>
        </is>
      </c>
      <c r="CY2585" t="inlineStr">
        <is>
          <t>X</t>
        </is>
      </c>
      <c r="DC2585" t="inlineStr">
        <is>
          <t>X</t>
        </is>
      </c>
      <c r="DX2585" t="inlineStr">
        <is>
          <t>X</t>
        </is>
      </c>
    </row>
    <row r="2586">
      <c r="A2586" t="inlineStr">
        <is>
          <t>OH0027178386</t>
        </is>
      </c>
      <c r="B2586" t="n">
        <v>78</v>
      </c>
      <c r="C2586" t="n">
        <v>478228</v>
      </c>
      <c r="D2586" t="inlineStr">
        <is>
          <t>HUNTER</t>
        </is>
      </c>
      <c r="E2586" t="inlineStr">
        <is>
          <t>SAMANTHA</t>
        </is>
      </c>
      <c r="F2586">
        <f>CONCATENATE(D2586," ",LEFT(H2586,4),"T=",AU2586,"D=",AV2586,"R=",AW2586,"M=",AX2586,"L=",AY2586,"B=",AZ2586)</f>
        <v/>
      </c>
      <c r="G2586" t="inlineStr">
        <is>
          <t>CLARA</t>
        </is>
      </c>
      <c r="I2586" t="inlineStr">
        <is>
          <t>1984-12-03</t>
        </is>
      </c>
      <c r="J2586" t="inlineStr">
        <is>
          <t>2023-11-13</t>
        </is>
      </c>
      <c r="K2586" t="inlineStr">
        <is>
          <t>ACTIVE</t>
        </is>
      </c>
      <c r="M2586" t="inlineStr">
        <is>
          <t>1037 EAST AVE SE</t>
        </is>
      </c>
      <c r="N2586">
        <f>RIGHT(M2586,LEN(M2586)-FIND(" ",M2586))</f>
        <v/>
      </c>
      <c r="P2586" t="inlineStr">
        <is>
          <t>WARREN</t>
        </is>
      </c>
      <c r="Q2586" t="inlineStr">
        <is>
          <t>OH</t>
        </is>
      </c>
      <c r="R2586" t="n">
        <v>44484</v>
      </c>
      <c r="AD2586" t="inlineStr">
        <is>
          <t>TRUMBULL CAREER &amp; TECH CENTER</t>
        </is>
      </c>
      <c r="AE2586" t="inlineStr">
        <is>
          <t>WARREN CITY</t>
        </is>
      </c>
      <c r="AF2586" t="inlineStr">
        <is>
          <t>WARREN CITY SD</t>
        </is>
      </c>
      <c r="AH2586" t="n">
        <v>14</v>
      </c>
      <c r="AI2586" t="n">
        <v>11</v>
      </c>
      <c r="AN2586" t="inlineStr">
        <is>
          <t>WARREN</t>
        </is>
      </c>
      <c r="AO2586" t="inlineStr">
        <is>
          <t>WARREN CITY 4F</t>
        </is>
      </c>
      <c r="AP2586" t="inlineStr">
        <is>
          <t>78-P-ADN</t>
        </is>
      </c>
      <c r="AQ2586" t="n">
        <v>9</v>
      </c>
      <c r="AR2586" t="n">
        <v>64</v>
      </c>
      <c r="AS2586" t="n">
        <v>32</v>
      </c>
      <c r="AU2586">
        <f>COUNTA($BA$2586:$EH$2586)</f>
        <v/>
      </c>
      <c r="AV2586">
        <f>COUNTIF($BA$2586:$EH$2586,"D")</f>
        <v/>
      </c>
      <c r="AW2586">
        <f>COUNTIF($BA$2586:$EH$2586,"R")</f>
        <v/>
      </c>
      <c r="AX2586">
        <f>IF(BN2586="D",1,0)+IF(BO2586="D",1,0)+IF(BT2586="D",1,0)+IF(BU2586="D",1,0)+IF(BW2586="D",1,0)+IF(CC2586="D",1,0)+IF(CD2586="D",1,0)+IF(CE2586="D",1,0)+IF(CF2586="D",1,0)+IF(CL2586="D",1,0)+IF(CM2586="D",1,0)+IF(CQ2586="D",1,0)+IF(CR2586="D",1,0)+IF(CS2586="D",1,0)+IF(CW2586="D",1,0)+IF(CX2586="D",1,0)+IF(DD2586="D",1,0)+IF(DE2586="D",1,0)+IF(DJ2586="D",1,0)+IF(DK2586="D",1,0)+IF(DO2586="D",1,0)+IF(DP2586="D",1,0)+IF(DQ2586="D",1,0)+IF(DW2586="D",1,0)+IF(DZ2586="D",1,0)+IF(EH2586="D",1,0)</f>
        <v/>
      </c>
      <c r="AY2586">
        <f>IF(DJ2586&lt;&gt;"",1,0)+IF(DK2586&lt;&gt;"",1,0)+IF(DM2586&lt;&gt;"",1,0)+IF(DO2586&lt;&gt;"",1,0)+IF(DP2586&lt;&gt;"",1,0)+IF(DQ2586&lt;&gt;"",1,0)+IF(DS2586&lt;&gt;"",1,0)+IF(DT2586&lt;&gt;"",1,0)+IF(DV2586&lt;&gt;"",1,0)+IF(DW2586&lt;&gt;"",1,0)+IF(DX2586&lt;&gt;"",1,0)+IF(DY2586&lt;&gt;"",1,0)+IF(DZ2586&lt;&gt;"",1,0)+IF(EB2586&lt;&gt;"",1,0)+IF(EC2586&lt;&gt;"",1,0)+IF(ED2586&lt;&gt;"",1,0)+IF(EG2586&lt;&gt;"",1,0)+IF(EH2586&lt;&gt;"",1,0)</f>
        <v/>
      </c>
      <c r="AZ2586">
        <f>IF(EH2586&lt;&gt;"",1,0)</f>
        <v/>
      </c>
      <c r="BB2586" t="inlineStr">
        <is>
          <t>WARREN-WARD 4</t>
        </is>
      </c>
    </row>
    <row r="2587">
      <c r="A2587" t="inlineStr">
        <is>
          <t>OH0015789390</t>
        </is>
      </c>
      <c r="B2587" t="n">
        <v>78</v>
      </c>
      <c r="C2587" t="n">
        <v>270467</v>
      </c>
      <c r="D2587" t="inlineStr">
        <is>
          <t>ALLEN</t>
        </is>
      </c>
      <c r="E2587" t="inlineStr">
        <is>
          <t>LYNETTE</t>
        </is>
      </c>
      <c r="F2587">
        <f>CONCATENATE(D2587," ",LEFT(H2587,4),"T=",AU2587,"D=",AV2587,"R=",AW2587,"M=",AX2587,"L=",AY2587,"B=",AZ2587)</f>
        <v/>
      </c>
      <c r="G2587" t="inlineStr">
        <is>
          <t>MARIE</t>
        </is>
      </c>
      <c r="I2587" t="inlineStr">
        <is>
          <t>1968-03-27</t>
        </is>
      </c>
      <c r="J2587" t="inlineStr">
        <is>
          <t>2023-08-29</t>
        </is>
      </c>
      <c r="K2587" t="inlineStr">
        <is>
          <t>ACTIVE</t>
        </is>
      </c>
      <c r="M2587" t="inlineStr">
        <is>
          <t>999 EAST AVE SE</t>
        </is>
      </c>
      <c r="N2587">
        <f>RIGHT(M2587,LEN(M2587)-FIND(" ",M2587))</f>
        <v/>
      </c>
      <c r="P2587" t="inlineStr">
        <is>
          <t>WARREN</t>
        </is>
      </c>
      <c r="Q2587" t="inlineStr">
        <is>
          <t>OH</t>
        </is>
      </c>
      <c r="R2587" t="n">
        <v>44484</v>
      </c>
      <c r="AD2587" t="inlineStr">
        <is>
          <t>TRUMBULL CAREER &amp; TECH CENTER</t>
        </is>
      </c>
      <c r="AE2587" t="inlineStr">
        <is>
          <t>WARREN CITY</t>
        </is>
      </c>
      <c r="AF2587" t="inlineStr">
        <is>
          <t>WARREN CITY SD</t>
        </is>
      </c>
      <c r="AH2587" t="n">
        <v>14</v>
      </c>
      <c r="AI2587" t="n">
        <v>11</v>
      </c>
      <c r="AN2587" t="inlineStr">
        <is>
          <t>WARREN</t>
        </is>
      </c>
      <c r="AO2587" t="inlineStr">
        <is>
          <t>WARREN CITY 4F</t>
        </is>
      </c>
      <c r="AP2587" t="inlineStr">
        <is>
          <t>78-P-ADN</t>
        </is>
      </c>
      <c r="AQ2587" t="n">
        <v>9</v>
      </c>
      <c r="AR2587" t="n">
        <v>64</v>
      </c>
      <c r="AS2587" t="n">
        <v>32</v>
      </c>
      <c r="AU2587">
        <f>COUNTA($BA$2587:$EH$2587)</f>
        <v/>
      </c>
      <c r="AV2587">
        <f>COUNTIF($BA$2587:$EH$2587,"D")</f>
        <v/>
      </c>
      <c r="AW2587">
        <f>COUNTIF($BA$2587:$EH$2587,"R")</f>
        <v/>
      </c>
      <c r="AX2587">
        <f>IF(BN2587="D",1,0)+IF(BO2587="D",1,0)+IF(BT2587="D",1,0)+IF(BU2587="D",1,0)+IF(BW2587="D",1,0)+IF(CC2587="D",1,0)+IF(CD2587="D",1,0)+IF(CE2587="D",1,0)+IF(CF2587="D",1,0)+IF(CL2587="D",1,0)+IF(CM2587="D",1,0)+IF(CQ2587="D",1,0)+IF(CR2587="D",1,0)+IF(CS2587="D",1,0)+IF(CW2587="D",1,0)+IF(CX2587="D",1,0)+IF(DD2587="D",1,0)+IF(DE2587="D",1,0)+IF(DJ2587="D",1,0)+IF(DK2587="D",1,0)+IF(DO2587="D",1,0)+IF(DP2587="D",1,0)+IF(DQ2587="D",1,0)+IF(DW2587="D",1,0)+IF(DZ2587="D",1,0)+IF(EH2587="D",1,0)</f>
        <v/>
      </c>
      <c r="AY2587">
        <f>IF(DJ2587&lt;&gt;"",1,0)+IF(DK2587&lt;&gt;"",1,0)+IF(DM2587&lt;&gt;"",1,0)+IF(DO2587&lt;&gt;"",1,0)+IF(DP2587&lt;&gt;"",1,0)+IF(DQ2587&lt;&gt;"",1,0)+IF(DS2587&lt;&gt;"",1,0)+IF(DT2587&lt;&gt;"",1,0)+IF(DV2587&lt;&gt;"",1,0)+IF(DW2587&lt;&gt;"",1,0)+IF(DX2587&lt;&gt;"",1,0)+IF(DY2587&lt;&gt;"",1,0)+IF(DZ2587&lt;&gt;"",1,0)+IF(EB2587&lt;&gt;"",1,0)+IF(EC2587&lt;&gt;"",1,0)+IF(ED2587&lt;&gt;"",1,0)+IF(EG2587&lt;&gt;"",1,0)+IF(EH2587&lt;&gt;"",1,0)</f>
        <v/>
      </c>
      <c r="AZ2587">
        <f>IF(EH2587&lt;&gt;"",1,0)</f>
        <v/>
      </c>
      <c r="BB2587" t="inlineStr">
        <is>
          <t>WARREN-WARD 4</t>
        </is>
      </c>
      <c r="BD2587" t="inlineStr">
        <is>
          <t>X</t>
        </is>
      </c>
      <c r="BH2587" t="inlineStr">
        <is>
          <t>X</t>
        </is>
      </c>
      <c r="BJ2587" t="inlineStr">
        <is>
          <t>X</t>
        </is>
      </c>
      <c r="BK2587" t="inlineStr">
        <is>
          <t>X</t>
        </is>
      </c>
      <c r="BL2587" t="inlineStr">
        <is>
          <t>X</t>
        </is>
      </c>
      <c r="BP2587" t="inlineStr">
        <is>
          <t>X</t>
        </is>
      </c>
      <c r="BR2587" t="inlineStr">
        <is>
          <t>X</t>
        </is>
      </c>
      <c r="BS2587" t="inlineStr">
        <is>
          <t>X</t>
        </is>
      </c>
      <c r="BV2587" t="inlineStr">
        <is>
          <t>X</t>
        </is>
      </c>
      <c r="BY2587" t="inlineStr">
        <is>
          <t>D</t>
        </is>
      </c>
      <c r="CA2587" t="inlineStr">
        <is>
          <t>X</t>
        </is>
      </c>
      <c r="CG2587" t="inlineStr">
        <is>
          <t>X</t>
        </is>
      </c>
      <c r="CH2587" t="inlineStr">
        <is>
          <t>D</t>
        </is>
      </c>
      <c r="CK2587" t="inlineStr">
        <is>
          <t>X</t>
        </is>
      </c>
      <c r="CP2587" t="inlineStr">
        <is>
          <t>X</t>
        </is>
      </c>
      <c r="DC2587" t="inlineStr">
        <is>
          <t>X</t>
        </is>
      </c>
      <c r="DN2587" t="inlineStr">
        <is>
          <t>X</t>
        </is>
      </c>
      <c r="DX2587" t="inlineStr">
        <is>
          <t>X</t>
        </is>
      </c>
      <c r="EF2587" t="inlineStr">
        <is>
          <t>X</t>
        </is>
      </c>
    </row>
    <row r="2588">
      <c r="A2588" t="inlineStr">
        <is>
          <t>OH0015691275</t>
        </is>
      </c>
      <c r="B2588" t="n">
        <v>78</v>
      </c>
      <c r="C2588" t="n">
        <v>137070</v>
      </c>
      <c r="D2588" t="inlineStr">
        <is>
          <t>SMALTZ</t>
        </is>
      </c>
      <c r="E2588" t="inlineStr">
        <is>
          <t>DAVID</t>
        </is>
      </c>
      <c r="F2588">
        <f>CONCATENATE(D2588," ",LEFT(H2588,4),"T=",AU2588,"D=",AV2588,"R=",AW2588,"M=",AX2588,"L=",AY2588,"B=",AZ2588)</f>
        <v/>
      </c>
      <c r="G2588" t="inlineStr">
        <is>
          <t>P</t>
        </is>
      </c>
      <c r="I2588" t="inlineStr">
        <is>
          <t>1963-03-18</t>
        </is>
      </c>
      <c r="J2588" t="inlineStr">
        <is>
          <t>2022-09-02</t>
        </is>
      </c>
      <c r="K2588" t="inlineStr">
        <is>
          <t>ACTIVE</t>
        </is>
      </c>
      <c r="L2588" t="inlineStr">
        <is>
          <t>R</t>
        </is>
      </c>
      <c r="M2588" t="inlineStr">
        <is>
          <t>1516 WOODBINE AVE SE</t>
        </is>
      </c>
      <c r="N2588">
        <f>RIGHT(M2588,LEN(M2588)-FIND(" ",M2588))</f>
        <v/>
      </c>
      <c r="P2588" t="inlineStr">
        <is>
          <t>WARREN</t>
        </is>
      </c>
      <c r="Q2588" t="inlineStr">
        <is>
          <t>OH</t>
        </is>
      </c>
      <c r="R2588" t="n">
        <v>44484</v>
      </c>
      <c r="AD2588" t="inlineStr">
        <is>
          <t>TRUMBULL CAREER &amp; TECH CENTER</t>
        </is>
      </c>
      <c r="AE2588" t="inlineStr">
        <is>
          <t>WARREN CITY</t>
        </is>
      </c>
      <c r="AF2588" t="inlineStr">
        <is>
          <t>WARREN CITY SD</t>
        </is>
      </c>
      <c r="AH2588" t="n">
        <v>14</v>
      </c>
      <c r="AI2588" t="n">
        <v>11</v>
      </c>
      <c r="AN2588" t="inlineStr">
        <is>
          <t>WARREN</t>
        </is>
      </c>
      <c r="AO2588" t="inlineStr">
        <is>
          <t>WARREN CITY 4F</t>
        </is>
      </c>
      <c r="AP2588" t="inlineStr">
        <is>
          <t>78-P-ADN</t>
        </is>
      </c>
      <c r="AQ2588" t="n">
        <v>9</v>
      </c>
      <c r="AR2588" t="n">
        <v>64</v>
      </c>
      <c r="AS2588" t="n">
        <v>32</v>
      </c>
      <c r="AU2588">
        <f>COUNTA($BA$2588:$EH$2588)</f>
        <v/>
      </c>
      <c r="AV2588">
        <f>COUNTIF($BA$2588:$EH$2588,"D")</f>
        <v/>
      </c>
      <c r="AW2588">
        <f>COUNTIF($BA$2588:$EH$2588,"R")</f>
        <v/>
      </c>
      <c r="AX2588">
        <f>IF(BN2588="D",1,0)+IF(BO2588="D",1,0)+IF(BT2588="D",1,0)+IF(BU2588="D",1,0)+IF(BW2588="D",1,0)+IF(CC2588="D",1,0)+IF(CD2588="D",1,0)+IF(CE2588="D",1,0)+IF(CF2588="D",1,0)+IF(CL2588="D",1,0)+IF(CM2588="D",1,0)+IF(CQ2588="D",1,0)+IF(CR2588="D",1,0)+IF(CS2588="D",1,0)+IF(CW2588="D",1,0)+IF(CX2588="D",1,0)+IF(DD2588="D",1,0)+IF(DE2588="D",1,0)+IF(DJ2588="D",1,0)+IF(DK2588="D",1,0)+IF(DO2588="D",1,0)+IF(DP2588="D",1,0)+IF(DQ2588="D",1,0)+IF(DW2588="D",1,0)+IF(DZ2588="D",1,0)+IF(EH2588="D",1,0)</f>
        <v/>
      </c>
      <c r="AY2588">
        <f>IF(DJ2588&lt;&gt;"",1,0)+IF(DK2588&lt;&gt;"",1,0)+IF(DM2588&lt;&gt;"",1,0)+IF(DO2588&lt;&gt;"",1,0)+IF(DP2588&lt;&gt;"",1,0)+IF(DQ2588&lt;&gt;"",1,0)+IF(DS2588&lt;&gt;"",1,0)+IF(DT2588&lt;&gt;"",1,0)+IF(DV2588&lt;&gt;"",1,0)+IF(DW2588&lt;&gt;"",1,0)+IF(DX2588&lt;&gt;"",1,0)+IF(DY2588&lt;&gt;"",1,0)+IF(DZ2588&lt;&gt;"",1,0)+IF(EB2588&lt;&gt;"",1,0)+IF(EC2588&lt;&gt;"",1,0)+IF(ED2588&lt;&gt;"",1,0)+IF(EG2588&lt;&gt;"",1,0)+IF(EH2588&lt;&gt;"",1,0)</f>
        <v/>
      </c>
      <c r="AZ2588">
        <f>IF(EH2588&lt;&gt;"",1,0)</f>
        <v/>
      </c>
      <c r="BB2588" t="inlineStr">
        <is>
          <t>WARREN-WARD 4</t>
        </is>
      </c>
      <c r="BC2588" t="inlineStr">
        <is>
          <t>X</t>
        </is>
      </c>
      <c r="BD2588" t="inlineStr">
        <is>
          <t>X</t>
        </is>
      </c>
      <c r="BE2588" t="inlineStr">
        <is>
          <t>X</t>
        </is>
      </c>
      <c r="BH2588" t="inlineStr">
        <is>
          <t>X</t>
        </is>
      </c>
      <c r="BJ2588" t="inlineStr">
        <is>
          <t>X</t>
        </is>
      </c>
      <c r="BL2588" t="inlineStr">
        <is>
          <t>X</t>
        </is>
      </c>
      <c r="BP2588" t="inlineStr">
        <is>
          <t>X</t>
        </is>
      </c>
      <c r="BS2588" t="inlineStr">
        <is>
          <t>X</t>
        </is>
      </c>
      <c r="BY2588" t="inlineStr">
        <is>
          <t>D</t>
        </is>
      </c>
      <c r="CA2588" t="inlineStr">
        <is>
          <t>X</t>
        </is>
      </c>
      <c r="CG2588" t="inlineStr">
        <is>
          <t>X</t>
        </is>
      </c>
      <c r="CH2588" t="inlineStr">
        <is>
          <t>D</t>
        </is>
      </c>
      <c r="CK2588" t="inlineStr">
        <is>
          <t>X</t>
        </is>
      </c>
      <c r="CN2588" t="inlineStr">
        <is>
          <t>X</t>
        </is>
      </c>
      <c r="CO2588" t="inlineStr">
        <is>
          <t>R</t>
        </is>
      </c>
      <c r="CP2588" t="inlineStr">
        <is>
          <t>X</t>
        </is>
      </c>
      <c r="CY2588" t="inlineStr">
        <is>
          <t>X</t>
        </is>
      </c>
      <c r="CZ2588" t="inlineStr">
        <is>
          <t>R</t>
        </is>
      </c>
      <c r="DC2588" t="inlineStr">
        <is>
          <t>X</t>
        </is>
      </c>
      <c r="DF2588" t="inlineStr">
        <is>
          <t>X</t>
        </is>
      </c>
      <c r="DI2588" t="inlineStr">
        <is>
          <t>X</t>
        </is>
      </c>
      <c r="DM2588" t="inlineStr">
        <is>
          <t>R</t>
        </is>
      </c>
      <c r="DN2588" t="inlineStr">
        <is>
          <t>X</t>
        </is>
      </c>
      <c r="DS2588" t="inlineStr">
        <is>
          <t>R</t>
        </is>
      </c>
      <c r="DU2588" t="inlineStr">
        <is>
          <t>X</t>
        </is>
      </c>
      <c r="DX2588" t="inlineStr">
        <is>
          <t>X</t>
        </is>
      </c>
      <c r="EA2588" t="inlineStr">
        <is>
          <t>X</t>
        </is>
      </c>
      <c r="ED2588" t="inlineStr">
        <is>
          <t>R</t>
        </is>
      </c>
      <c r="EF2588" t="inlineStr">
        <is>
          <t>X</t>
        </is>
      </c>
    </row>
    <row r="2589">
      <c r="A2589" t="inlineStr">
        <is>
          <t>OH0018956128</t>
        </is>
      </c>
      <c r="B2589" t="n">
        <v>78</v>
      </c>
      <c r="C2589" t="n">
        <v>346084</v>
      </c>
      <c r="D2589" t="inlineStr">
        <is>
          <t>JETER</t>
        </is>
      </c>
      <c r="E2589" t="inlineStr">
        <is>
          <t>BRITTANY</t>
        </is>
      </c>
      <c r="F2589">
        <f>CONCATENATE(D2589," ",LEFT(H2589,4),"T=",AU2589,"D=",AV2589,"R=",AW2589,"M=",AX2589,"L=",AY2589,"B=",AZ2589)</f>
        <v/>
      </c>
      <c r="G2589" t="inlineStr">
        <is>
          <t>NICOLE</t>
        </is>
      </c>
      <c r="I2589" t="inlineStr">
        <is>
          <t>1988-11-02</t>
        </is>
      </c>
      <c r="J2589" t="inlineStr">
        <is>
          <t>2015-03-31</t>
        </is>
      </c>
      <c r="K2589" t="inlineStr">
        <is>
          <t>ACTIVE</t>
        </is>
      </c>
      <c r="M2589" t="inlineStr">
        <is>
          <t>1955 BRIER ST SE</t>
        </is>
      </c>
      <c r="N2589">
        <f>RIGHT(M2589,LEN(M2589)-FIND(" ",M2589))</f>
        <v/>
      </c>
      <c r="P2589" t="inlineStr">
        <is>
          <t>WARREN</t>
        </is>
      </c>
      <c r="Q2589" t="inlineStr">
        <is>
          <t>OH</t>
        </is>
      </c>
      <c r="R2589" t="n">
        <v>44484</v>
      </c>
      <c r="AD2589" t="inlineStr">
        <is>
          <t>TRUMBULL CAREER &amp; TECH CENTER</t>
        </is>
      </c>
      <c r="AE2589" t="inlineStr">
        <is>
          <t>WARREN CITY</t>
        </is>
      </c>
      <c r="AF2589" t="inlineStr">
        <is>
          <t>WARREN CITY SD</t>
        </is>
      </c>
      <c r="AH2589" t="n">
        <v>14</v>
      </c>
      <c r="AI2589" t="n">
        <v>11</v>
      </c>
      <c r="AN2589" t="inlineStr">
        <is>
          <t>WARREN</t>
        </is>
      </c>
      <c r="AO2589" t="inlineStr">
        <is>
          <t>WARREN CITY 4F</t>
        </is>
      </c>
      <c r="AP2589" t="inlineStr">
        <is>
          <t>78-P-ADN</t>
        </is>
      </c>
      <c r="AQ2589" t="n">
        <v>9</v>
      </c>
      <c r="AR2589" t="n">
        <v>64</v>
      </c>
      <c r="AS2589" t="n">
        <v>32</v>
      </c>
      <c r="AU2589">
        <f>COUNTA($BA$2589:$EH$2589)</f>
        <v/>
      </c>
      <c r="AV2589">
        <f>COUNTIF($BA$2589:$EH$2589,"D")</f>
        <v/>
      </c>
      <c r="AW2589">
        <f>COUNTIF($BA$2589:$EH$2589,"R")</f>
        <v/>
      </c>
      <c r="AX2589">
        <f>IF(BN2589="D",1,0)+IF(BO2589="D",1,0)+IF(BT2589="D",1,0)+IF(BU2589="D",1,0)+IF(BW2589="D",1,0)+IF(CC2589="D",1,0)+IF(CD2589="D",1,0)+IF(CE2589="D",1,0)+IF(CF2589="D",1,0)+IF(CL2589="D",1,0)+IF(CM2589="D",1,0)+IF(CQ2589="D",1,0)+IF(CR2589="D",1,0)+IF(CS2589="D",1,0)+IF(CW2589="D",1,0)+IF(CX2589="D",1,0)+IF(DD2589="D",1,0)+IF(DE2589="D",1,0)+IF(DJ2589="D",1,0)+IF(DK2589="D",1,0)+IF(DO2589="D",1,0)+IF(DP2589="D",1,0)+IF(DQ2589="D",1,0)+IF(DW2589="D",1,0)+IF(DZ2589="D",1,0)+IF(EH2589="D",1,0)</f>
        <v/>
      </c>
      <c r="AY2589">
        <f>IF(DJ2589&lt;&gt;"",1,0)+IF(DK2589&lt;&gt;"",1,0)+IF(DM2589&lt;&gt;"",1,0)+IF(DO2589&lt;&gt;"",1,0)+IF(DP2589&lt;&gt;"",1,0)+IF(DQ2589&lt;&gt;"",1,0)+IF(DS2589&lt;&gt;"",1,0)+IF(DT2589&lt;&gt;"",1,0)+IF(DV2589&lt;&gt;"",1,0)+IF(DW2589&lt;&gt;"",1,0)+IF(DX2589&lt;&gt;"",1,0)+IF(DY2589&lt;&gt;"",1,0)+IF(DZ2589&lt;&gt;"",1,0)+IF(EB2589&lt;&gt;"",1,0)+IF(EC2589&lt;&gt;"",1,0)+IF(ED2589&lt;&gt;"",1,0)+IF(EG2589&lt;&gt;"",1,0)+IF(EH2589&lt;&gt;"",1,0)</f>
        <v/>
      </c>
      <c r="AZ2589">
        <f>IF(EH2589&lt;&gt;"",1,0)</f>
        <v/>
      </c>
      <c r="BB2589" t="inlineStr">
        <is>
          <t>WARREN-WARD 4</t>
        </is>
      </c>
      <c r="BS2589" t="inlineStr">
        <is>
          <t>X</t>
        </is>
      </c>
      <c r="BY2589" t="inlineStr">
        <is>
          <t>D</t>
        </is>
      </c>
      <c r="CA2589" t="inlineStr">
        <is>
          <t>X</t>
        </is>
      </c>
      <c r="CP2589" t="inlineStr">
        <is>
          <t>X</t>
        </is>
      </c>
      <c r="CZ2589" t="inlineStr">
        <is>
          <t>D</t>
        </is>
      </c>
      <c r="DC2589" t="inlineStr">
        <is>
          <t>X</t>
        </is>
      </c>
      <c r="DI2589" t="inlineStr">
        <is>
          <t>X</t>
        </is>
      </c>
      <c r="DN2589" t="inlineStr">
        <is>
          <t>X</t>
        </is>
      </c>
      <c r="DU2589" t="inlineStr">
        <is>
          <t>X</t>
        </is>
      </c>
      <c r="EF2589" t="inlineStr">
        <is>
          <t>X</t>
        </is>
      </c>
    </row>
    <row r="2590">
      <c r="A2590" t="inlineStr">
        <is>
          <t>OH0022357655</t>
        </is>
      </c>
      <c r="B2590" t="n">
        <v>78</v>
      </c>
      <c r="C2590" t="n">
        <v>395297</v>
      </c>
      <c r="D2590" t="inlineStr">
        <is>
          <t>JORDAN</t>
        </is>
      </c>
      <c r="E2590" t="inlineStr">
        <is>
          <t>KEVONTE</t>
        </is>
      </c>
      <c r="F2590">
        <f>CONCATENATE(D2590," ",LEFT(H2590,4),"T=",AU2590,"D=",AV2590,"R=",AW2590,"M=",AX2590,"L=",AY2590,"B=",AZ2590)</f>
        <v/>
      </c>
      <c r="G2590" t="inlineStr">
        <is>
          <t>LATRELL</t>
        </is>
      </c>
      <c r="I2590" t="inlineStr">
        <is>
          <t>1994-07-18</t>
        </is>
      </c>
      <c r="J2590" t="inlineStr">
        <is>
          <t>2016-01-06</t>
        </is>
      </c>
      <c r="K2590" t="inlineStr">
        <is>
          <t>CONFIRMATION</t>
        </is>
      </c>
      <c r="M2590" t="inlineStr">
        <is>
          <t>1100 WOODBINE AVE SE</t>
        </is>
      </c>
      <c r="N2590">
        <f>RIGHT(M2590,LEN(M2590)-FIND(" ",M2590))</f>
        <v/>
      </c>
      <c r="P2590" t="inlineStr">
        <is>
          <t>WARREN</t>
        </is>
      </c>
      <c r="Q2590" t="inlineStr">
        <is>
          <t>OH</t>
        </is>
      </c>
      <c r="R2590" t="n">
        <v>44484</v>
      </c>
      <c r="AD2590" t="inlineStr">
        <is>
          <t>TRUMBULL CAREER &amp; TECH CENTER</t>
        </is>
      </c>
      <c r="AE2590" t="inlineStr">
        <is>
          <t>WARREN CITY</t>
        </is>
      </c>
      <c r="AF2590" t="inlineStr">
        <is>
          <t>WARREN CITY SD</t>
        </is>
      </c>
      <c r="AH2590" t="n">
        <v>14</v>
      </c>
      <c r="AI2590" t="n">
        <v>11</v>
      </c>
      <c r="AN2590" t="inlineStr">
        <is>
          <t>WARREN</t>
        </is>
      </c>
      <c r="AO2590" t="inlineStr">
        <is>
          <t>WARREN CITY 4F</t>
        </is>
      </c>
      <c r="AP2590" t="inlineStr">
        <is>
          <t>78-P-ADN</t>
        </is>
      </c>
      <c r="AQ2590" t="n">
        <v>9</v>
      </c>
      <c r="AR2590" t="n">
        <v>64</v>
      </c>
      <c r="AS2590" t="n">
        <v>32</v>
      </c>
      <c r="AU2590">
        <f>COUNTA($BA$2590:$EH$2590)</f>
        <v/>
      </c>
      <c r="AV2590">
        <f>COUNTIF($BA$2590:$EH$2590,"D")</f>
        <v/>
      </c>
      <c r="AW2590">
        <f>COUNTIF($BA$2590:$EH$2590,"R")</f>
        <v/>
      </c>
      <c r="AX2590">
        <f>IF(BN2590="D",1,0)+IF(BO2590="D",1,0)+IF(BT2590="D",1,0)+IF(BU2590="D",1,0)+IF(BW2590="D",1,0)+IF(CC2590="D",1,0)+IF(CD2590="D",1,0)+IF(CE2590="D",1,0)+IF(CF2590="D",1,0)+IF(CL2590="D",1,0)+IF(CM2590="D",1,0)+IF(CQ2590="D",1,0)+IF(CR2590="D",1,0)+IF(CS2590="D",1,0)+IF(CW2590="D",1,0)+IF(CX2590="D",1,0)+IF(DD2590="D",1,0)+IF(DE2590="D",1,0)+IF(DJ2590="D",1,0)+IF(DK2590="D",1,0)+IF(DO2590="D",1,0)+IF(DP2590="D",1,0)+IF(DQ2590="D",1,0)+IF(DW2590="D",1,0)+IF(DZ2590="D",1,0)+IF(EH2590="D",1,0)</f>
        <v/>
      </c>
      <c r="AY2590">
        <f>IF(DJ2590&lt;&gt;"",1,0)+IF(DK2590&lt;&gt;"",1,0)+IF(DM2590&lt;&gt;"",1,0)+IF(DO2590&lt;&gt;"",1,0)+IF(DP2590&lt;&gt;"",1,0)+IF(DQ2590&lt;&gt;"",1,0)+IF(DS2590&lt;&gt;"",1,0)+IF(DT2590&lt;&gt;"",1,0)+IF(DV2590&lt;&gt;"",1,0)+IF(DW2590&lt;&gt;"",1,0)+IF(DX2590&lt;&gt;"",1,0)+IF(DY2590&lt;&gt;"",1,0)+IF(DZ2590&lt;&gt;"",1,0)+IF(EB2590&lt;&gt;"",1,0)+IF(EC2590&lt;&gt;"",1,0)+IF(ED2590&lt;&gt;"",1,0)+IF(EG2590&lt;&gt;"",1,0)+IF(EH2590&lt;&gt;"",1,0)</f>
        <v/>
      </c>
      <c r="AZ2590">
        <f>IF(EH2590&lt;&gt;"",1,0)</f>
        <v/>
      </c>
      <c r="BB2590" t="inlineStr">
        <is>
          <t>WARREN-WARD 4</t>
        </is>
      </c>
    </row>
    <row r="2591">
      <c r="A2591" t="inlineStr">
        <is>
          <t>OH0015729634</t>
        </is>
      </c>
      <c r="B2591" t="n">
        <v>78</v>
      </c>
      <c r="C2591" t="n">
        <v>216746</v>
      </c>
      <c r="D2591" t="inlineStr">
        <is>
          <t>WILSON</t>
        </is>
      </c>
      <c r="E2591" t="inlineStr">
        <is>
          <t>PAMELA</t>
        </is>
      </c>
      <c r="F2591">
        <f>CONCATENATE(D2591," ",LEFT(H2591,4),"T=",AU2591,"D=",AV2591,"R=",AW2591,"M=",AX2591,"L=",AY2591,"B=",AZ2591)</f>
        <v/>
      </c>
      <c r="G2591" t="inlineStr">
        <is>
          <t>LYNN</t>
        </is>
      </c>
      <c r="I2591" t="inlineStr">
        <is>
          <t>1960-02-24</t>
        </is>
      </c>
      <c r="J2591" t="inlineStr">
        <is>
          <t>2016-04-10</t>
        </is>
      </c>
      <c r="K2591" t="inlineStr">
        <is>
          <t>CONFIRMATION</t>
        </is>
      </c>
      <c r="M2591" t="inlineStr">
        <is>
          <t>2025 WALLACE ST SE</t>
        </is>
      </c>
      <c r="N2591">
        <f>RIGHT(M2591,LEN(M2591)-FIND(" ",M2591))</f>
        <v/>
      </c>
      <c r="P2591" t="inlineStr">
        <is>
          <t>WARREN</t>
        </is>
      </c>
      <c r="Q2591" t="inlineStr">
        <is>
          <t>OH</t>
        </is>
      </c>
      <c r="R2591" t="n">
        <v>44484</v>
      </c>
      <c r="AD2591" t="inlineStr">
        <is>
          <t>TRUMBULL CAREER &amp; TECH CENTER</t>
        </is>
      </c>
      <c r="AE2591" t="inlineStr">
        <is>
          <t>WARREN CITY</t>
        </is>
      </c>
      <c r="AF2591" t="inlineStr">
        <is>
          <t>WARREN CITY SD</t>
        </is>
      </c>
      <c r="AH2591" t="n">
        <v>14</v>
      </c>
      <c r="AI2591" t="n">
        <v>11</v>
      </c>
      <c r="AN2591" t="inlineStr">
        <is>
          <t>WARREN</t>
        </is>
      </c>
      <c r="AO2591" t="inlineStr">
        <is>
          <t>WARREN CITY 4F</t>
        </is>
      </c>
      <c r="AP2591" t="inlineStr">
        <is>
          <t>78-P-ADN</t>
        </is>
      </c>
      <c r="AQ2591" t="n">
        <v>9</v>
      </c>
      <c r="AR2591" t="n">
        <v>64</v>
      </c>
      <c r="AS2591" t="n">
        <v>32</v>
      </c>
      <c r="AU2591">
        <f>COUNTA($BA$2591:$EH$2591)</f>
        <v/>
      </c>
      <c r="AV2591">
        <f>COUNTIF($BA$2591:$EH$2591,"D")</f>
        <v/>
      </c>
      <c r="AW2591">
        <f>COUNTIF($BA$2591:$EH$2591,"R")</f>
        <v/>
      </c>
      <c r="AX2591">
        <f>IF(BN2591="D",1,0)+IF(BO2591="D",1,0)+IF(BT2591="D",1,0)+IF(BU2591="D",1,0)+IF(BW2591="D",1,0)+IF(CC2591="D",1,0)+IF(CD2591="D",1,0)+IF(CE2591="D",1,0)+IF(CF2591="D",1,0)+IF(CL2591="D",1,0)+IF(CM2591="D",1,0)+IF(CQ2591="D",1,0)+IF(CR2591="D",1,0)+IF(CS2591="D",1,0)+IF(CW2591="D",1,0)+IF(CX2591="D",1,0)+IF(DD2591="D",1,0)+IF(DE2591="D",1,0)+IF(DJ2591="D",1,0)+IF(DK2591="D",1,0)+IF(DO2591="D",1,0)+IF(DP2591="D",1,0)+IF(DQ2591="D",1,0)+IF(DW2591="D",1,0)+IF(DZ2591="D",1,0)+IF(EH2591="D",1,0)</f>
        <v/>
      </c>
      <c r="AY2591">
        <f>IF(DJ2591&lt;&gt;"",1,0)+IF(DK2591&lt;&gt;"",1,0)+IF(DM2591&lt;&gt;"",1,0)+IF(DO2591&lt;&gt;"",1,0)+IF(DP2591&lt;&gt;"",1,0)+IF(DQ2591&lt;&gt;"",1,0)+IF(DS2591&lt;&gt;"",1,0)+IF(DT2591&lt;&gt;"",1,0)+IF(DV2591&lt;&gt;"",1,0)+IF(DW2591&lt;&gt;"",1,0)+IF(DX2591&lt;&gt;"",1,0)+IF(DY2591&lt;&gt;"",1,0)+IF(DZ2591&lt;&gt;"",1,0)+IF(EB2591&lt;&gt;"",1,0)+IF(EC2591&lt;&gt;"",1,0)+IF(ED2591&lt;&gt;"",1,0)+IF(EG2591&lt;&gt;"",1,0)+IF(EH2591&lt;&gt;"",1,0)</f>
        <v/>
      </c>
      <c r="AZ2591">
        <f>IF(EH2591&lt;&gt;"",1,0)</f>
        <v/>
      </c>
      <c r="BB2591" t="inlineStr">
        <is>
          <t>WARREN-WARD 4</t>
        </is>
      </c>
      <c r="BD2591" t="inlineStr">
        <is>
          <t>X</t>
        </is>
      </c>
      <c r="BL2591" t="inlineStr">
        <is>
          <t>X</t>
        </is>
      </c>
      <c r="CL2591" t="inlineStr">
        <is>
          <t>D</t>
        </is>
      </c>
      <c r="CO2591" t="inlineStr">
        <is>
          <t>D</t>
        </is>
      </c>
      <c r="CP2591" t="inlineStr">
        <is>
          <t>X</t>
        </is>
      </c>
    </row>
    <row r="2592">
      <c r="A2592" t="inlineStr">
        <is>
          <t>OH0026763134</t>
        </is>
      </c>
      <c r="B2592" t="n">
        <v>78</v>
      </c>
      <c r="C2592" t="n">
        <v>468021</v>
      </c>
      <c r="D2592" t="inlineStr">
        <is>
          <t>TRAVIS</t>
        </is>
      </c>
      <c r="E2592" t="inlineStr">
        <is>
          <t>LONNIE</t>
        </is>
      </c>
      <c r="F2592">
        <f>CONCATENATE(D2592," ",LEFT(H2592,4),"T=",AU2592,"D=",AV2592,"R=",AW2592,"M=",AX2592,"L=",AY2592,"B=",AZ2592)</f>
        <v/>
      </c>
      <c r="G2592" t="inlineStr">
        <is>
          <t>EDWARD</t>
        </is>
      </c>
      <c r="I2592" t="inlineStr">
        <is>
          <t>1989-08-24</t>
        </is>
      </c>
      <c r="J2592" t="inlineStr">
        <is>
          <t>2022-11-09</t>
        </is>
      </c>
      <c r="K2592" t="inlineStr">
        <is>
          <t>ACTIVE</t>
        </is>
      </c>
      <c r="M2592" t="inlineStr">
        <is>
          <t>1718 ROMAN ST SE</t>
        </is>
      </c>
      <c r="N2592">
        <f>RIGHT(M2592,LEN(M2592)-FIND(" ",M2592))</f>
        <v/>
      </c>
      <c r="P2592" t="inlineStr">
        <is>
          <t>WARREN</t>
        </is>
      </c>
      <c r="Q2592" t="inlineStr">
        <is>
          <t>OH</t>
        </is>
      </c>
      <c r="R2592" t="n">
        <v>44484</v>
      </c>
      <c r="AD2592" t="inlineStr">
        <is>
          <t>TRUMBULL CAREER &amp; TECH CENTER</t>
        </is>
      </c>
      <c r="AE2592" t="inlineStr">
        <is>
          <t>WARREN CITY</t>
        </is>
      </c>
      <c r="AF2592" t="inlineStr">
        <is>
          <t>WARREN CITY SD</t>
        </is>
      </c>
      <c r="AH2592" t="n">
        <v>14</v>
      </c>
      <c r="AI2592" t="n">
        <v>11</v>
      </c>
      <c r="AN2592" t="inlineStr">
        <is>
          <t>WARREN</t>
        </is>
      </c>
      <c r="AO2592" t="inlineStr">
        <is>
          <t>WARREN CITY 4F</t>
        </is>
      </c>
      <c r="AP2592" t="inlineStr">
        <is>
          <t>78-P-ADN</t>
        </is>
      </c>
      <c r="AQ2592" t="n">
        <v>9</v>
      </c>
      <c r="AR2592" t="n">
        <v>64</v>
      </c>
      <c r="AS2592" t="n">
        <v>32</v>
      </c>
      <c r="AU2592">
        <f>COUNTA($BA$2592:$EH$2592)</f>
        <v/>
      </c>
      <c r="AV2592">
        <f>COUNTIF($BA$2592:$EH$2592,"D")</f>
        <v/>
      </c>
      <c r="AW2592">
        <f>COUNTIF($BA$2592:$EH$2592,"R")</f>
        <v/>
      </c>
      <c r="AX2592">
        <f>IF(BN2592="D",1,0)+IF(BO2592="D",1,0)+IF(BT2592="D",1,0)+IF(BU2592="D",1,0)+IF(BW2592="D",1,0)+IF(CC2592="D",1,0)+IF(CD2592="D",1,0)+IF(CE2592="D",1,0)+IF(CF2592="D",1,0)+IF(CL2592="D",1,0)+IF(CM2592="D",1,0)+IF(CQ2592="D",1,0)+IF(CR2592="D",1,0)+IF(CS2592="D",1,0)+IF(CW2592="D",1,0)+IF(CX2592="D",1,0)+IF(DD2592="D",1,0)+IF(DE2592="D",1,0)+IF(DJ2592="D",1,0)+IF(DK2592="D",1,0)+IF(DO2592="D",1,0)+IF(DP2592="D",1,0)+IF(DQ2592="D",1,0)+IF(DW2592="D",1,0)+IF(DZ2592="D",1,0)+IF(EH2592="D",1,0)</f>
        <v/>
      </c>
      <c r="AY2592">
        <f>IF(DJ2592&lt;&gt;"",1,0)+IF(DK2592&lt;&gt;"",1,0)+IF(DM2592&lt;&gt;"",1,0)+IF(DO2592&lt;&gt;"",1,0)+IF(DP2592&lt;&gt;"",1,0)+IF(DQ2592&lt;&gt;"",1,0)+IF(DS2592&lt;&gt;"",1,0)+IF(DT2592&lt;&gt;"",1,0)+IF(DV2592&lt;&gt;"",1,0)+IF(DW2592&lt;&gt;"",1,0)+IF(DX2592&lt;&gt;"",1,0)+IF(DY2592&lt;&gt;"",1,0)+IF(DZ2592&lt;&gt;"",1,0)+IF(EB2592&lt;&gt;"",1,0)+IF(EC2592&lt;&gt;"",1,0)+IF(ED2592&lt;&gt;"",1,0)+IF(EG2592&lt;&gt;"",1,0)+IF(EH2592&lt;&gt;"",1,0)</f>
        <v/>
      </c>
      <c r="AZ2592">
        <f>IF(EH2592&lt;&gt;"",1,0)</f>
        <v/>
      </c>
      <c r="BB2592" t="inlineStr">
        <is>
          <t>WARREN-WARD 4</t>
        </is>
      </c>
    </row>
    <row r="2593">
      <c r="A2593" t="inlineStr">
        <is>
          <t>OH0023083898</t>
        </is>
      </c>
      <c r="B2593" t="n">
        <v>78</v>
      </c>
      <c r="C2593" t="n">
        <v>406698</v>
      </c>
      <c r="D2593" t="inlineStr">
        <is>
          <t>PROVITT</t>
        </is>
      </c>
      <c r="E2593" t="inlineStr">
        <is>
          <t>JAVON</t>
        </is>
      </c>
      <c r="F2593">
        <f>CONCATENATE(D2593," ",LEFT(H2593,4),"T=",AU2593,"D=",AV2593,"R=",AW2593,"M=",AX2593,"L=",AY2593,"B=",AZ2593)</f>
        <v/>
      </c>
      <c r="G2593" t="inlineStr">
        <is>
          <t>Q</t>
        </is>
      </c>
      <c r="I2593" t="inlineStr">
        <is>
          <t>1996-12-24</t>
        </is>
      </c>
      <c r="J2593" t="inlineStr">
        <is>
          <t>2016-08-30</t>
        </is>
      </c>
      <c r="K2593" t="inlineStr">
        <is>
          <t>CONFIRMATION</t>
        </is>
      </c>
      <c r="M2593" t="inlineStr">
        <is>
          <t>1935 WICK ST SE</t>
        </is>
      </c>
      <c r="N2593">
        <f>RIGHT(M2593,LEN(M2593)-FIND(" ",M2593))</f>
        <v/>
      </c>
      <c r="P2593" t="inlineStr">
        <is>
          <t>WARREN</t>
        </is>
      </c>
      <c r="Q2593" t="inlineStr">
        <is>
          <t>OH</t>
        </is>
      </c>
      <c r="R2593" t="n">
        <v>44484</v>
      </c>
      <c r="AD2593" t="inlineStr">
        <is>
          <t>TRUMBULL CAREER &amp; TECH CENTER</t>
        </is>
      </c>
      <c r="AE2593" t="inlineStr">
        <is>
          <t>WARREN CITY</t>
        </is>
      </c>
      <c r="AF2593" t="inlineStr">
        <is>
          <t>WARREN CITY SD</t>
        </is>
      </c>
      <c r="AH2593" t="n">
        <v>14</v>
      </c>
      <c r="AI2593" t="n">
        <v>11</v>
      </c>
      <c r="AN2593" t="inlineStr">
        <is>
          <t>WARREN</t>
        </is>
      </c>
      <c r="AO2593" t="inlineStr">
        <is>
          <t>WARREN CITY 4F</t>
        </is>
      </c>
      <c r="AP2593" t="inlineStr">
        <is>
          <t>78-P-ADN</t>
        </is>
      </c>
      <c r="AQ2593" t="n">
        <v>9</v>
      </c>
      <c r="AR2593" t="n">
        <v>64</v>
      </c>
      <c r="AS2593" t="n">
        <v>32</v>
      </c>
      <c r="AU2593">
        <f>COUNTA($BA$2593:$EH$2593)</f>
        <v/>
      </c>
      <c r="AV2593">
        <f>COUNTIF($BA$2593:$EH$2593,"D")</f>
        <v/>
      </c>
      <c r="AW2593">
        <f>COUNTIF($BA$2593:$EH$2593,"R")</f>
        <v/>
      </c>
      <c r="AX2593">
        <f>IF(BN2593="D",1,0)+IF(BO2593="D",1,0)+IF(BT2593="D",1,0)+IF(BU2593="D",1,0)+IF(BW2593="D",1,0)+IF(CC2593="D",1,0)+IF(CD2593="D",1,0)+IF(CE2593="D",1,0)+IF(CF2593="D",1,0)+IF(CL2593="D",1,0)+IF(CM2593="D",1,0)+IF(CQ2593="D",1,0)+IF(CR2593="D",1,0)+IF(CS2593="D",1,0)+IF(CW2593="D",1,0)+IF(CX2593="D",1,0)+IF(DD2593="D",1,0)+IF(DE2593="D",1,0)+IF(DJ2593="D",1,0)+IF(DK2593="D",1,0)+IF(DO2593="D",1,0)+IF(DP2593="D",1,0)+IF(DQ2593="D",1,0)+IF(DW2593="D",1,0)+IF(DZ2593="D",1,0)+IF(EH2593="D",1,0)</f>
        <v/>
      </c>
      <c r="AY2593">
        <f>IF(DJ2593&lt;&gt;"",1,0)+IF(DK2593&lt;&gt;"",1,0)+IF(DM2593&lt;&gt;"",1,0)+IF(DO2593&lt;&gt;"",1,0)+IF(DP2593&lt;&gt;"",1,0)+IF(DQ2593&lt;&gt;"",1,0)+IF(DS2593&lt;&gt;"",1,0)+IF(DT2593&lt;&gt;"",1,0)+IF(DV2593&lt;&gt;"",1,0)+IF(DW2593&lt;&gt;"",1,0)+IF(DX2593&lt;&gt;"",1,0)+IF(DY2593&lt;&gt;"",1,0)+IF(DZ2593&lt;&gt;"",1,0)+IF(EB2593&lt;&gt;"",1,0)+IF(EC2593&lt;&gt;"",1,0)+IF(ED2593&lt;&gt;"",1,0)+IF(EG2593&lt;&gt;"",1,0)+IF(EH2593&lt;&gt;"",1,0)</f>
        <v/>
      </c>
      <c r="AZ2593">
        <f>IF(EH2593&lt;&gt;"",1,0)</f>
        <v/>
      </c>
      <c r="BB2593" t="inlineStr">
        <is>
          <t>WARREN-WARD 4</t>
        </is>
      </c>
      <c r="DC2593" t="inlineStr">
        <is>
          <t>X</t>
        </is>
      </c>
      <c r="DI2593" t="inlineStr">
        <is>
          <t>X</t>
        </is>
      </c>
      <c r="DN2593" t="inlineStr">
        <is>
          <t>X</t>
        </is>
      </c>
    </row>
    <row r="2594">
      <c r="A2594" t="inlineStr">
        <is>
          <t>OH0022340015</t>
        </is>
      </c>
      <c r="B2594" t="n">
        <v>78</v>
      </c>
      <c r="C2594" t="n">
        <v>395045</v>
      </c>
      <c r="D2594" t="inlineStr">
        <is>
          <t>FOSTER</t>
        </is>
      </c>
      <c r="E2594" t="inlineStr">
        <is>
          <t>CHRIS</t>
        </is>
      </c>
      <c r="F2594">
        <f>CONCATENATE(D2594," ",LEFT(H2594,4),"T=",AU2594,"D=",AV2594,"R=",AW2594,"M=",AX2594,"L=",AY2594,"B=",AZ2594)</f>
        <v/>
      </c>
      <c r="G2594" t="inlineStr">
        <is>
          <t>L</t>
        </is>
      </c>
      <c r="I2594" t="inlineStr">
        <is>
          <t>1995-07-05</t>
        </is>
      </c>
      <c r="J2594" t="inlineStr">
        <is>
          <t>2012-06-21</t>
        </is>
      </c>
      <c r="K2594" t="inlineStr">
        <is>
          <t>CONFIRMATION</t>
        </is>
      </c>
      <c r="M2594" t="inlineStr">
        <is>
          <t>1816 MILTON ST SE</t>
        </is>
      </c>
      <c r="N2594">
        <f>RIGHT(M2594,LEN(M2594)-FIND(" ",M2594))</f>
        <v/>
      </c>
      <c r="P2594" t="inlineStr">
        <is>
          <t>WARREN</t>
        </is>
      </c>
      <c r="Q2594" t="inlineStr">
        <is>
          <t>OH</t>
        </is>
      </c>
      <c r="R2594" t="n">
        <v>44484</v>
      </c>
      <c r="AD2594" t="inlineStr">
        <is>
          <t>TRUMBULL CAREER &amp; TECH CENTER</t>
        </is>
      </c>
      <c r="AE2594" t="inlineStr">
        <is>
          <t>WARREN CITY</t>
        </is>
      </c>
      <c r="AF2594" t="inlineStr">
        <is>
          <t>WARREN CITY SD</t>
        </is>
      </c>
      <c r="AH2594" t="n">
        <v>14</v>
      </c>
      <c r="AI2594" t="n">
        <v>11</v>
      </c>
      <c r="AN2594" t="inlineStr">
        <is>
          <t>WARREN</t>
        </is>
      </c>
      <c r="AO2594" t="inlineStr">
        <is>
          <t>WARREN CITY 4F</t>
        </is>
      </c>
      <c r="AP2594" t="inlineStr">
        <is>
          <t>78-P-ADN</t>
        </is>
      </c>
      <c r="AQ2594" t="n">
        <v>9</v>
      </c>
      <c r="AR2594" t="n">
        <v>64</v>
      </c>
      <c r="AS2594" t="n">
        <v>32</v>
      </c>
      <c r="AU2594">
        <f>COUNTA($BA$2594:$EH$2594)</f>
        <v/>
      </c>
      <c r="AV2594">
        <f>COUNTIF($BA$2594:$EH$2594,"D")</f>
        <v/>
      </c>
      <c r="AW2594">
        <f>COUNTIF($BA$2594:$EH$2594,"R")</f>
        <v/>
      </c>
      <c r="AX2594">
        <f>IF(BN2594="D",1,0)+IF(BO2594="D",1,0)+IF(BT2594="D",1,0)+IF(BU2594="D",1,0)+IF(BW2594="D",1,0)+IF(CC2594="D",1,0)+IF(CD2594="D",1,0)+IF(CE2594="D",1,0)+IF(CF2594="D",1,0)+IF(CL2594="D",1,0)+IF(CM2594="D",1,0)+IF(CQ2594="D",1,0)+IF(CR2594="D",1,0)+IF(CS2594="D",1,0)+IF(CW2594="D",1,0)+IF(CX2594="D",1,0)+IF(DD2594="D",1,0)+IF(DE2594="D",1,0)+IF(DJ2594="D",1,0)+IF(DK2594="D",1,0)+IF(DO2594="D",1,0)+IF(DP2594="D",1,0)+IF(DQ2594="D",1,0)+IF(DW2594="D",1,0)+IF(DZ2594="D",1,0)+IF(EH2594="D",1,0)</f>
        <v/>
      </c>
      <c r="AY2594">
        <f>IF(DJ2594&lt;&gt;"",1,0)+IF(DK2594&lt;&gt;"",1,0)+IF(DM2594&lt;&gt;"",1,0)+IF(DO2594&lt;&gt;"",1,0)+IF(DP2594&lt;&gt;"",1,0)+IF(DQ2594&lt;&gt;"",1,0)+IF(DS2594&lt;&gt;"",1,0)+IF(DT2594&lt;&gt;"",1,0)+IF(DV2594&lt;&gt;"",1,0)+IF(DW2594&lt;&gt;"",1,0)+IF(DX2594&lt;&gt;"",1,0)+IF(DY2594&lt;&gt;"",1,0)+IF(DZ2594&lt;&gt;"",1,0)+IF(EB2594&lt;&gt;"",1,0)+IF(EC2594&lt;&gt;"",1,0)+IF(ED2594&lt;&gt;"",1,0)+IF(EG2594&lt;&gt;"",1,0)+IF(EH2594&lt;&gt;"",1,0)</f>
        <v/>
      </c>
      <c r="AZ2594">
        <f>IF(EH2594&lt;&gt;"",1,0)</f>
        <v/>
      </c>
      <c r="BB2594" t="inlineStr">
        <is>
          <t>WARREN-WARD 4</t>
        </is>
      </c>
    </row>
    <row r="2595">
      <c r="A2595" t="inlineStr">
        <is>
          <t>OH0021305782</t>
        </is>
      </c>
      <c r="B2595" t="n">
        <v>78</v>
      </c>
      <c r="C2595" t="n">
        <v>378684</v>
      </c>
      <c r="D2595" t="inlineStr">
        <is>
          <t>ELLENS</t>
        </is>
      </c>
      <c r="E2595" t="inlineStr">
        <is>
          <t>JEFFREY</t>
        </is>
      </c>
      <c r="F2595">
        <f>CONCATENATE(D2595," ",LEFT(H2595,4),"T=",AU2595,"D=",AV2595,"R=",AW2595,"M=",AX2595,"L=",AY2595,"B=",AZ2595)</f>
        <v/>
      </c>
      <c r="G2595" t="inlineStr">
        <is>
          <t>T</t>
        </is>
      </c>
      <c r="I2595" t="inlineStr">
        <is>
          <t>1985-05-14</t>
        </is>
      </c>
      <c r="J2595" t="inlineStr">
        <is>
          <t>2024-08-06</t>
        </is>
      </c>
      <c r="K2595" t="inlineStr">
        <is>
          <t>ACTIVE</t>
        </is>
      </c>
      <c r="M2595" t="inlineStr">
        <is>
          <t>1130 KENILWORTH AVE SE</t>
        </is>
      </c>
      <c r="N2595">
        <f>RIGHT(M2595,LEN(M2595)-FIND(" ",M2595))</f>
        <v/>
      </c>
      <c r="P2595" t="inlineStr">
        <is>
          <t>WARREN</t>
        </is>
      </c>
      <c r="Q2595" t="inlineStr">
        <is>
          <t>OH</t>
        </is>
      </c>
      <c r="R2595" t="n">
        <v>44484</v>
      </c>
      <c r="AD2595" t="inlineStr">
        <is>
          <t>TRUMBULL CAREER &amp; TECH CENTER</t>
        </is>
      </c>
      <c r="AE2595" t="inlineStr">
        <is>
          <t>WARREN CITY</t>
        </is>
      </c>
      <c r="AF2595" t="inlineStr">
        <is>
          <t>WARREN CITY SD</t>
        </is>
      </c>
      <c r="AH2595" t="n">
        <v>14</v>
      </c>
      <c r="AI2595" t="n">
        <v>11</v>
      </c>
      <c r="AN2595" t="inlineStr">
        <is>
          <t>WARREN</t>
        </is>
      </c>
      <c r="AO2595" t="inlineStr">
        <is>
          <t>WARREN CITY 4F</t>
        </is>
      </c>
      <c r="AP2595" t="inlineStr">
        <is>
          <t>78-P-ADN</t>
        </is>
      </c>
      <c r="AQ2595" t="n">
        <v>9</v>
      </c>
      <c r="AR2595" t="n">
        <v>64</v>
      </c>
      <c r="AS2595" t="n">
        <v>32</v>
      </c>
      <c r="AU2595">
        <f>COUNTA($BA$2595:$EH$2595)</f>
        <v/>
      </c>
      <c r="AV2595">
        <f>COUNTIF($BA$2595:$EH$2595,"D")</f>
        <v/>
      </c>
      <c r="AW2595">
        <f>COUNTIF($BA$2595:$EH$2595,"R")</f>
        <v/>
      </c>
      <c r="AX2595">
        <f>IF(BN2595="D",1,0)+IF(BO2595="D",1,0)+IF(BT2595="D",1,0)+IF(BU2595="D",1,0)+IF(BW2595="D",1,0)+IF(CC2595="D",1,0)+IF(CD2595="D",1,0)+IF(CE2595="D",1,0)+IF(CF2595="D",1,0)+IF(CL2595="D",1,0)+IF(CM2595="D",1,0)+IF(CQ2595="D",1,0)+IF(CR2595="D",1,0)+IF(CS2595="D",1,0)+IF(CW2595="D",1,0)+IF(CX2595="D",1,0)+IF(DD2595="D",1,0)+IF(DE2595="D",1,0)+IF(DJ2595="D",1,0)+IF(DK2595="D",1,0)+IF(DO2595="D",1,0)+IF(DP2595="D",1,0)+IF(DQ2595="D",1,0)+IF(DW2595="D",1,0)+IF(DZ2595="D",1,0)+IF(EH2595="D",1,0)</f>
        <v/>
      </c>
      <c r="AY2595">
        <f>IF(DJ2595&lt;&gt;"",1,0)+IF(DK2595&lt;&gt;"",1,0)+IF(DM2595&lt;&gt;"",1,0)+IF(DO2595&lt;&gt;"",1,0)+IF(DP2595&lt;&gt;"",1,0)+IF(DQ2595&lt;&gt;"",1,0)+IF(DS2595&lt;&gt;"",1,0)+IF(DT2595&lt;&gt;"",1,0)+IF(DV2595&lt;&gt;"",1,0)+IF(DW2595&lt;&gt;"",1,0)+IF(DX2595&lt;&gt;"",1,0)+IF(DY2595&lt;&gt;"",1,0)+IF(DZ2595&lt;&gt;"",1,0)+IF(EB2595&lt;&gt;"",1,0)+IF(EC2595&lt;&gt;"",1,0)+IF(ED2595&lt;&gt;"",1,0)+IF(EG2595&lt;&gt;"",1,0)+IF(EH2595&lt;&gt;"",1,0)</f>
        <v/>
      </c>
      <c r="AZ2595">
        <f>IF(EH2595&lt;&gt;"",1,0)</f>
        <v/>
      </c>
      <c r="BB2595" t="inlineStr">
        <is>
          <t>WARREN-WARD 4</t>
        </is>
      </c>
      <c r="CP2595" t="inlineStr">
        <is>
          <t>X</t>
        </is>
      </c>
      <c r="CY2595" t="inlineStr">
        <is>
          <t>X</t>
        </is>
      </c>
    </row>
    <row r="2596">
      <c r="A2596" t="inlineStr">
        <is>
          <t>OH0015743451</t>
        </is>
      </c>
      <c r="B2596" t="n">
        <v>78</v>
      </c>
      <c r="C2596" t="n">
        <v>229815</v>
      </c>
      <c r="D2596" t="inlineStr">
        <is>
          <t>DOWELL</t>
        </is>
      </c>
      <c r="E2596" t="inlineStr">
        <is>
          <t>SANDRA</t>
        </is>
      </c>
      <c r="F2596">
        <f>CONCATENATE(D2596," ",LEFT(H2596,4),"T=",AU2596,"D=",AV2596,"R=",AW2596,"M=",AX2596,"L=",AY2596,"B=",AZ2596)</f>
        <v/>
      </c>
      <c r="G2596" t="inlineStr">
        <is>
          <t>D</t>
        </is>
      </c>
      <c r="I2596" t="inlineStr">
        <is>
          <t>1964-11-23</t>
        </is>
      </c>
      <c r="J2596" t="inlineStr">
        <is>
          <t>2018-06-20</t>
        </is>
      </c>
      <c r="K2596" t="inlineStr">
        <is>
          <t>ACTIVE</t>
        </is>
      </c>
      <c r="M2596" t="inlineStr">
        <is>
          <t>2140 BENTON ST SE</t>
        </is>
      </c>
      <c r="N2596">
        <f>RIGHT(M2596,LEN(M2596)-FIND(" ",M2596))</f>
        <v/>
      </c>
      <c r="P2596" t="inlineStr">
        <is>
          <t>WARREN</t>
        </is>
      </c>
      <c r="Q2596" t="inlineStr">
        <is>
          <t>OH</t>
        </is>
      </c>
      <c r="R2596" t="n">
        <v>44484</v>
      </c>
      <c r="AD2596" t="inlineStr">
        <is>
          <t>TRUMBULL CAREER &amp; TECH CENTER</t>
        </is>
      </c>
      <c r="AE2596" t="inlineStr">
        <is>
          <t>WARREN CITY</t>
        </is>
      </c>
      <c r="AF2596" t="inlineStr">
        <is>
          <t>WARREN CITY SD</t>
        </is>
      </c>
      <c r="AH2596" t="n">
        <v>14</v>
      </c>
      <c r="AI2596" t="n">
        <v>11</v>
      </c>
      <c r="AN2596" t="inlineStr">
        <is>
          <t>WARREN</t>
        </is>
      </c>
      <c r="AO2596" t="inlineStr">
        <is>
          <t>WARREN CITY 4F</t>
        </is>
      </c>
      <c r="AP2596" t="inlineStr">
        <is>
          <t>78-P-ADN</t>
        </is>
      </c>
      <c r="AQ2596" t="n">
        <v>9</v>
      </c>
      <c r="AR2596" t="n">
        <v>64</v>
      </c>
      <c r="AS2596" t="n">
        <v>32</v>
      </c>
      <c r="AU2596">
        <f>COUNTA($BA$2596:$EH$2596)</f>
        <v/>
      </c>
      <c r="AV2596">
        <f>COUNTIF($BA$2596:$EH$2596,"D")</f>
        <v/>
      </c>
      <c r="AW2596">
        <f>COUNTIF($BA$2596:$EH$2596,"R")</f>
        <v/>
      </c>
      <c r="AX2596">
        <f>IF(BN2596="D",1,0)+IF(BO2596="D",1,0)+IF(BT2596="D",1,0)+IF(BU2596="D",1,0)+IF(BW2596="D",1,0)+IF(CC2596="D",1,0)+IF(CD2596="D",1,0)+IF(CE2596="D",1,0)+IF(CF2596="D",1,0)+IF(CL2596="D",1,0)+IF(CM2596="D",1,0)+IF(CQ2596="D",1,0)+IF(CR2596="D",1,0)+IF(CS2596="D",1,0)+IF(CW2596="D",1,0)+IF(CX2596="D",1,0)+IF(DD2596="D",1,0)+IF(DE2596="D",1,0)+IF(DJ2596="D",1,0)+IF(DK2596="D",1,0)+IF(DO2596="D",1,0)+IF(DP2596="D",1,0)+IF(DQ2596="D",1,0)+IF(DW2596="D",1,0)+IF(DZ2596="D",1,0)+IF(EH2596="D",1,0)</f>
        <v/>
      </c>
      <c r="AY2596">
        <f>IF(DJ2596&lt;&gt;"",1,0)+IF(DK2596&lt;&gt;"",1,0)+IF(DM2596&lt;&gt;"",1,0)+IF(DO2596&lt;&gt;"",1,0)+IF(DP2596&lt;&gt;"",1,0)+IF(DQ2596&lt;&gt;"",1,0)+IF(DS2596&lt;&gt;"",1,0)+IF(DT2596&lt;&gt;"",1,0)+IF(DV2596&lt;&gt;"",1,0)+IF(DW2596&lt;&gt;"",1,0)+IF(DX2596&lt;&gt;"",1,0)+IF(DY2596&lt;&gt;"",1,0)+IF(DZ2596&lt;&gt;"",1,0)+IF(EB2596&lt;&gt;"",1,0)+IF(EC2596&lt;&gt;"",1,0)+IF(ED2596&lt;&gt;"",1,0)+IF(EG2596&lt;&gt;"",1,0)+IF(EH2596&lt;&gt;"",1,0)</f>
        <v/>
      </c>
      <c r="AZ2596">
        <f>IF(EH2596&lt;&gt;"",1,0)</f>
        <v/>
      </c>
      <c r="BB2596" t="inlineStr">
        <is>
          <t>WARREN-WARD 4</t>
        </is>
      </c>
      <c r="BD2596" t="inlineStr">
        <is>
          <t>X</t>
        </is>
      </c>
      <c r="BG2596" t="inlineStr">
        <is>
          <t>X</t>
        </is>
      </c>
      <c r="BH2596" t="inlineStr">
        <is>
          <t>X</t>
        </is>
      </c>
      <c r="BI2596" t="inlineStr">
        <is>
          <t>X</t>
        </is>
      </c>
      <c r="BJ2596" t="inlineStr">
        <is>
          <t>X</t>
        </is>
      </c>
      <c r="BK2596" t="inlineStr">
        <is>
          <t>X</t>
        </is>
      </c>
      <c r="BL2596" t="inlineStr">
        <is>
          <t>X</t>
        </is>
      </c>
      <c r="BS2596" t="inlineStr">
        <is>
          <t>X</t>
        </is>
      </c>
      <c r="BY2596" t="inlineStr">
        <is>
          <t>D</t>
        </is>
      </c>
      <c r="CA2596" t="inlineStr">
        <is>
          <t>X</t>
        </is>
      </c>
      <c r="CG2596" t="inlineStr">
        <is>
          <t>X</t>
        </is>
      </c>
      <c r="CK2596" t="inlineStr">
        <is>
          <t>X</t>
        </is>
      </c>
      <c r="CL2596" t="inlineStr">
        <is>
          <t>D</t>
        </is>
      </c>
      <c r="CN2596" t="inlineStr">
        <is>
          <t>X</t>
        </is>
      </c>
      <c r="CP2596" t="inlineStr">
        <is>
          <t>X</t>
        </is>
      </c>
      <c r="CY2596" t="inlineStr">
        <is>
          <t>X</t>
        </is>
      </c>
      <c r="DN2596" t="inlineStr">
        <is>
          <t>X</t>
        </is>
      </c>
    </row>
    <row r="2597">
      <c r="A2597" t="inlineStr">
        <is>
          <t>OH0021080873</t>
        </is>
      </c>
      <c r="B2597" t="n">
        <v>78</v>
      </c>
      <c r="C2597" t="n">
        <v>374956</v>
      </c>
      <c r="D2597" t="inlineStr">
        <is>
          <t>YAFANARO</t>
        </is>
      </c>
      <c r="E2597" t="inlineStr">
        <is>
          <t>NORMAN</t>
        </is>
      </c>
      <c r="F2597">
        <f>CONCATENATE(D2597," ",LEFT(H2597,4),"T=",AU2597,"D=",AV2597,"R=",AW2597,"M=",AX2597,"L=",AY2597,"B=",AZ2597)</f>
        <v/>
      </c>
      <c r="G2597" t="inlineStr">
        <is>
          <t>J</t>
        </is>
      </c>
      <c r="H2597" t="inlineStr">
        <is>
          <t>JR</t>
        </is>
      </c>
      <c r="I2597" t="inlineStr">
        <is>
          <t>1975-10-04</t>
        </is>
      </c>
      <c r="J2597" t="inlineStr">
        <is>
          <t>2017-04-28</t>
        </is>
      </c>
      <c r="K2597" t="inlineStr">
        <is>
          <t>CONFIRMATION</t>
        </is>
      </c>
      <c r="M2597" t="inlineStr">
        <is>
          <t>1649 WOODBINE AVE SE</t>
        </is>
      </c>
      <c r="N2597">
        <f>RIGHT(M2597,LEN(M2597)-FIND(" ",M2597))</f>
        <v/>
      </c>
      <c r="P2597" t="inlineStr">
        <is>
          <t>WARREN</t>
        </is>
      </c>
      <c r="Q2597" t="inlineStr">
        <is>
          <t>OH</t>
        </is>
      </c>
      <c r="R2597" t="n">
        <v>44484</v>
      </c>
      <c r="AD2597" t="inlineStr">
        <is>
          <t>TRUMBULL CAREER &amp; TECH CENTER</t>
        </is>
      </c>
      <c r="AE2597" t="inlineStr">
        <is>
          <t>WARREN CITY</t>
        </is>
      </c>
      <c r="AF2597" t="inlineStr">
        <is>
          <t>WARREN CITY SD</t>
        </is>
      </c>
      <c r="AH2597" t="n">
        <v>14</v>
      </c>
      <c r="AI2597" t="n">
        <v>11</v>
      </c>
      <c r="AN2597" t="inlineStr">
        <is>
          <t>WARREN</t>
        </is>
      </c>
      <c r="AO2597" t="inlineStr">
        <is>
          <t>WARREN CITY 4F</t>
        </is>
      </c>
      <c r="AP2597" t="inlineStr">
        <is>
          <t>78-P-ADN</t>
        </is>
      </c>
      <c r="AQ2597" t="n">
        <v>9</v>
      </c>
      <c r="AR2597" t="n">
        <v>64</v>
      </c>
      <c r="AS2597" t="n">
        <v>32</v>
      </c>
      <c r="AU2597">
        <f>COUNTA($BA$2597:$EH$2597)</f>
        <v/>
      </c>
      <c r="AV2597">
        <f>COUNTIF($BA$2597:$EH$2597,"D")</f>
        <v/>
      </c>
      <c r="AW2597">
        <f>COUNTIF($BA$2597:$EH$2597,"R")</f>
        <v/>
      </c>
      <c r="AX2597">
        <f>IF(BN2597="D",1,0)+IF(BO2597="D",1,0)+IF(BT2597="D",1,0)+IF(BU2597="D",1,0)+IF(BW2597="D",1,0)+IF(CC2597="D",1,0)+IF(CD2597="D",1,0)+IF(CE2597="D",1,0)+IF(CF2597="D",1,0)+IF(CL2597="D",1,0)+IF(CM2597="D",1,0)+IF(CQ2597="D",1,0)+IF(CR2597="D",1,0)+IF(CS2597="D",1,0)+IF(CW2597="D",1,0)+IF(CX2597="D",1,0)+IF(DD2597="D",1,0)+IF(DE2597="D",1,0)+IF(DJ2597="D",1,0)+IF(DK2597="D",1,0)+IF(DO2597="D",1,0)+IF(DP2597="D",1,0)+IF(DQ2597="D",1,0)+IF(DW2597="D",1,0)+IF(DZ2597="D",1,0)+IF(EH2597="D",1,0)</f>
        <v/>
      </c>
      <c r="AY2597">
        <f>IF(DJ2597&lt;&gt;"",1,0)+IF(DK2597&lt;&gt;"",1,0)+IF(DM2597&lt;&gt;"",1,0)+IF(DO2597&lt;&gt;"",1,0)+IF(DP2597&lt;&gt;"",1,0)+IF(DQ2597&lt;&gt;"",1,0)+IF(DS2597&lt;&gt;"",1,0)+IF(DT2597&lt;&gt;"",1,0)+IF(DV2597&lt;&gt;"",1,0)+IF(DW2597&lt;&gt;"",1,0)+IF(DX2597&lt;&gt;"",1,0)+IF(DY2597&lt;&gt;"",1,0)+IF(DZ2597&lt;&gt;"",1,0)+IF(EB2597&lt;&gt;"",1,0)+IF(EC2597&lt;&gt;"",1,0)+IF(ED2597&lt;&gt;"",1,0)+IF(EG2597&lt;&gt;"",1,0)+IF(EH2597&lt;&gt;"",1,0)</f>
        <v/>
      </c>
      <c r="AZ2597">
        <f>IF(EH2597&lt;&gt;"",1,0)</f>
        <v/>
      </c>
      <c r="BB2597" t="inlineStr">
        <is>
          <t>WARREN-WARD 4</t>
        </is>
      </c>
    </row>
    <row r="2598">
      <c r="A2598" t="inlineStr">
        <is>
          <t>OH0023084158</t>
        </is>
      </c>
      <c r="B2598" t="n">
        <v>78</v>
      </c>
      <c r="C2598" t="n">
        <v>406718</v>
      </c>
      <c r="D2598" t="inlineStr">
        <is>
          <t>MORGAN</t>
        </is>
      </c>
      <c r="E2598" t="inlineStr">
        <is>
          <t>MIYONA</t>
        </is>
      </c>
      <c r="F2598">
        <f>CONCATENATE(D2598," ",LEFT(H2598,4),"T=",AU2598,"D=",AV2598,"R=",AW2598,"M=",AX2598,"L=",AY2598,"B=",AZ2598)</f>
        <v/>
      </c>
      <c r="G2598" t="inlineStr">
        <is>
          <t>NICOLE ANNE</t>
        </is>
      </c>
      <c r="I2598" t="inlineStr">
        <is>
          <t>1997-07-12</t>
        </is>
      </c>
      <c r="J2598" t="inlineStr">
        <is>
          <t>2015-03-30</t>
        </is>
      </c>
      <c r="K2598" t="inlineStr">
        <is>
          <t>CONFIRMATION</t>
        </is>
      </c>
      <c r="M2598" t="inlineStr">
        <is>
          <t>1592 OAK KNOLL AVE SE</t>
        </is>
      </c>
      <c r="N2598">
        <f>RIGHT(M2598,LEN(M2598)-FIND(" ",M2598))</f>
        <v/>
      </c>
      <c r="P2598" t="inlineStr">
        <is>
          <t>WARREN</t>
        </is>
      </c>
      <c r="Q2598" t="inlineStr">
        <is>
          <t>OH</t>
        </is>
      </c>
      <c r="R2598" t="n">
        <v>44484</v>
      </c>
      <c r="AD2598" t="inlineStr">
        <is>
          <t>TRUMBULL CAREER &amp; TECH CENTER</t>
        </is>
      </c>
      <c r="AE2598" t="inlineStr">
        <is>
          <t>WARREN CITY</t>
        </is>
      </c>
      <c r="AF2598" t="inlineStr">
        <is>
          <t>WARREN CITY SD</t>
        </is>
      </c>
      <c r="AH2598" t="n">
        <v>14</v>
      </c>
      <c r="AI2598" t="n">
        <v>11</v>
      </c>
      <c r="AN2598" t="inlineStr">
        <is>
          <t>WARREN</t>
        </is>
      </c>
      <c r="AO2598" t="inlineStr">
        <is>
          <t>WARREN CITY 4F</t>
        </is>
      </c>
      <c r="AP2598" t="inlineStr">
        <is>
          <t>78-P-ADN</t>
        </is>
      </c>
      <c r="AQ2598" t="n">
        <v>9</v>
      </c>
      <c r="AR2598" t="n">
        <v>64</v>
      </c>
      <c r="AS2598" t="n">
        <v>32</v>
      </c>
      <c r="AU2598">
        <f>COUNTA($BA$2598:$EH$2598)</f>
        <v/>
      </c>
      <c r="AV2598">
        <f>COUNTIF($BA$2598:$EH$2598,"D")</f>
        <v/>
      </c>
      <c r="AW2598">
        <f>COUNTIF($BA$2598:$EH$2598,"R")</f>
        <v/>
      </c>
      <c r="AX2598">
        <f>IF(BN2598="D",1,0)+IF(BO2598="D",1,0)+IF(BT2598="D",1,0)+IF(BU2598="D",1,0)+IF(BW2598="D",1,0)+IF(CC2598="D",1,0)+IF(CD2598="D",1,0)+IF(CE2598="D",1,0)+IF(CF2598="D",1,0)+IF(CL2598="D",1,0)+IF(CM2598="D",1,0)+IF(CQ2598="D",1,0)+IF(CR2598="D",1,0)+IF(CS2598="D",1,0)+IF(CW2598="D",1,0)+IF(CX2598="D",1,0)+IF(DD2598="D",1,0)+IF(DE2598="D",1,0)+IF(DJ2598="D",1,0)+IF(DK2598="D",1,0)+IF(DO2598="D",1,0)+IF(DP2598="D",1,0)+IF(DQ2598="D",1,0)+IF(DW2598="D",1,0)+IF(DZ2598="D",1,0)+IF(EH2598="D",1,0)</f>
        <v/>
      </c>
      <c r="AY2598">
        <f>IF(DJ2598&lt;&gt;"",1,0)+IF(DK2598&lt;&gt;"",1,0)+IF(DM2598&lt;&gt;"",1,0)+IF(DO2598&lt;&gt;"",1,0)+IF(DP2598&lt;&gt;"",1,0)+IF(DQ2598&lt;&gt;"",1,0)+IF(DS2598&lt;&gt;"",1,0)+IF(DT2598&lt;&gt;"",1,0)+IF(DV2598&lt;&gt;"",1,0)+IF(DW2598&lt;&gt;"",1,0)+IF(DX2598&lt;&gt;"",1,0)+IF(DY2598&lt;&gt;"",1,0)+IF(DZ2598&lt;&gt;"",1,0)+IF(EB2598&lt;&gt;"",1,0)+IF(EC2598&lt;&gt;"",1,0)+IF(ED2598&lt;&gt;"",1,0)+IF(EG2598&lt;&gt;"",1,0)+IF(EH2598&lt;&gt;"",1,0)</f>
        <v/>
      </c>
      <c r="AZ2598">
        <f>IF(EH2598&lt;&gt;"",1,0)</f>
        <v/>
      </c>
      <c r="BB2598" t="inlineStr">
        <is>
          <t>WARREN-WARD 4</t>
        </is>
      </c>
      <c r="DC2598" t="inlineStr">
        <is>
          <t>X</t>
        </is>
      </c>
    </row>
    <row r="2599">
      <c r="A2599" t="inlineStr">
        <is>
          <t>OH0027588837</t>
        </is>
      </c>
      <c r="B2599" t="n">
        <v>78</v>
      </c>
      <c r="C2599" t="n">
        <v>488870</v>
      </c>
      <c r="D2599" t="inlineStr">
        <is>
          <t>DUNCAN</t>
        </is>
      </c>
      <c r="E2599" t="inlineStr">
        <is>
          <t>MATTHEW</t>
        </is>
      </c>
      <c r="F2599">
        <f>CONCATENATE(D2599," ",LEFT(H2599,4),"T=",AU2599,"D=",AV2599,"R=",AW2599,"M=",AX2599,"L=",AY2599,"B=",AZ2599)</f>
        <v/>
      </c>
      <c r="G2599" t="inlineStr">
        <is>
          <t>LYN</t>
        </is>
      </c>
      <c r="I2599" t="inlineStr">
        <is>
          <t>1986-05-06</t>
        </is>
      </c>
      <c r="J2599" t="inlineStr">
        <is>
          <t>2024-09-11</t>
        </is>
      </c>
      <c r="K2599" t="inlineStr">
        <is>
          <t>ACTIVE</t>
        </is>
      </c>
      <c r="M2599" t="inlineStr">
        <is>
          <t>1565 TRANSYLVANIA AVE SE</t>
        </is>
      </c>
      <c r="N2599">
        <f>RIGHT(M2599,LEN(M2599)-FIND(" ",M2599))</f>
        <v/>
      </c>
      <c r="P2599" t="inlineStr">
        <is>
          <t>WARREN</t>
        </is>
      </c>
      <c r="Q2599" t="inlineStr">
        <is>
          <t>OH</t>
        </is>
      </c>
      <c r="R2599" t="n">
        <v>44484</v>
      </c>
      <c r="AD2599" t="inlineStr">
        <is>
          <t>TRUMBULL CAREER &amp; TECH CENTER</t>
        </is>
      </c>
      <c r="AE2599" t="inlineStr">
        <is>
          <t>WARREN CITY</t>
        </is>
      </c>
      <c r="AF2599" t="inlineStr">
        <is>
          <t>WARREN CITY SD</t>
        </is>
      </c>
      <c r="AH2599" t="n">
        <v>14</v>
      </c>
      <c r="AI2599" t="n">
        <v>11</v>
      </c>
      <c r="AN2599" t="inlineStr">
        <is>
          <t>WARREN</t>
        </is>
      </c>
      <c r="AO2599" t="inlineStr">
        <is>
          <t>WARREN CITY 4F</t>
        </is>
      </c>
      <c r="AP2599" t="inlineStr">
        <is>
          <t>78-P-ADN</t>
        </is>
      </c>
      <c r="AQ2599" t="n">
        <v>9</v>
      </c>
      <c r="AR2599" t="n">
        <v>64</v>
      </c>
      <c r="AS2599" t="n">
        <v>32</v>
      </c>
      <c r="AU2599">
        <f>COUNTA($BA$2599:$EH$2599)</f>
        <v/>
      </c>
      <c r="AV2599">
        <f>COUNTIF($BA$2599:$EH$2599,"D")</f>
        <v/>
      </c>
      <c r="AW2599">
        <f>COUNTIF($BA$2599:$EH$2599,"R")</f>
        <v/>
      </c>
      <c r="AX2599">
        <f>IF(BN2599="D",1,0)+IF(BO2599="D",1,0)+IF(BT2599="D",1,0)+IF(BU2599="D",1,0)+IF(BW2599="D",1,0)+IF(CC2599="D",1,0)+IF(CD2599="D",1,0)+IF(CE2599="D",1,0)+IF(CF2599="D",1,0)+IF(CL2599="D",1,0)+IF(CM2599="D",1,0)+IF(CQ2599="D",1,0)+IF(CR2599="D",1,0)+IF(CS2599="D",1,0)+IF(CW2599="D",1,0)+IF(CX2599="D",1,0)+IF(DD2599="D",1,0)+IF(DE2599="D",1,0)+IF(DJ2599="D",1,0)+IF(DK2599="D",1,0)+IF(DO2599="D",1,0)+IF(DP2599="D",1,0)+IF(DQ2599="D",1,0)+IF(DW2599="D",1,0)+IF(DZ2599="D",1,0)+IF(EH2599="D",1,0)</f>
        <v/>
      </c>
      <c r="AY2599">
        <f>IF(DJ2599&lt;&gt;"",1,0)+IF(DK2599&lt;&gt;"",1,0)+IF(DM2599&lt;&gt;"",1,0)+IF(DO2599&lt;&gt;"",1,0)+IF(DP2599&lt;&gt;"",1,0)+IF(DQ2599&lt;&gt;"",1,0)+IF(DS2599&lt;&gt;"",1,0)+IF(DT2599&lt;&gt;"",1,0)+IF(DV2599&lt;&gt;"",1,0)+IF(DW2599&lt;&gt;"",1,0)+IF(DX2599&lt;&gt;"",1,0)+IF(DY2599&lt;&gt;"",1,0)+IF(DZ2599&lt;&gt;"",1,0)+IF(EB2599&lt;&gt;"",1,0)+IF(EC2599&lt;&gt;"",1,0)+IF(ED2599&lt;&gt;"",1,0)+IF(EG2599&lt;&gt;"",1,0)+IF(EH2599&lt;&gt;"",1,0)</f>
        <v/>
      </c>
      <c r="AZ2599">
        <f>IF(EH2599&lt;&gt;"",1,0)</f>
        <v/>
      </c>
      <c r="BB2599" t="inlineStr">
        <is>
          <t>WARREN-WARD 4</t>
        </is>
      </c>
    </row>
    <row r="2600">
      <c r="A2600" t="inlineStr">
        <is>
          <t>OH0027509042</t>
        </is>
      </c>
      <c r="B2600" t="n">
        <v>78</v>
      </c>
      <c r="C2600" t="n">
        <v>487396</v>
      </c>
      <c r="D2600" t="inlineStr">
        <is>
          <t>WORTHEY</t>
        </is>
      </c>
      <c r="E2600" t="inlineStr">
        <is>
          <t>JUANZHANE</t>
        </is>
      </c>
      <c r="F2600">
        <f>CONCATENATE(D2600," ",LEFT(H2600,4),"T=",AU2600,"D=",AV2600,"R=",AW2600,"M=",AX2600,"L=",AY2600,"B=",AZ2600)</f>
        <v/>
      </c>
      <c r="G2600" t="inlineStr">
        <is>
          <t>UNIQUE</t>
        </is>
      </c>
      <c r="I2600" t="inlineStr">
        <is>
          <t>2003-05-13</t>
        </is>
      </c>
      <c r="J2600" t="inlineStr">
        <is>
          <t>2024-08-08</t>
        </is>
      </c>
      <c r="K2600" t="inlineStr">
        <is>
          <t>ACTIVE</t>
        </is>
      </c>
      <c r="M2600" t="inlineStr">
        <is>
          <t>2018 BENTON ST SE</t>
        </is>
      </c>
      <c r="N2600">
        <f>RIGHT(M2600,LEN(M2600)-FIND(" ",M2600))</f>
        <v/>
      </c>
      <c r="P2600" t="inlineStr">
        <is>
          <t>WARREN</t>
        </is>
      </c>
      <c r="Q2600" t="inlineStr">
        <is>
          <t>OH</t>
        </is>
      </c>
      <c r="R2600" t="n">
        <v>44484</v>
      </c>
      <c r="AD2600" t="inlineStr">
        <is>
          <t>TRUMBULL CAREER &amp; TECH CENTER</t>
        </is>
      </c>
      <c r="AE2600" t="inlineStr">
        <is>
          <t>WARREN CITY</t>
        </is>
      </c>
      <c r="AF2600" t="inlineStr">
        <is>
          <t>WARREN CITY SD</t>
        </is>
      </c>
      <c r="AH2600" t="n">
        <v>14</v>
      </c>
      <c r="AI2600" t="n">
        <v>11</v>
      </c>
      <c r="AN2600" t="inlineStr">
        <is>
          <t>WARREN</t>
        </is>
      </c>
      <c r="AO2600" t="inlineStr">
        <is>
          <t>WARREN CITY 4F</t>
        </is>
      </c>
      <c r="AP2600" t="inlineStr">
        <is>
          <t>78-P-ADN</t>
        </is>
      </c>
      <c r="AQ2600" t="n">
        <v>9</v>
      </c>
      <c r="AR2600" t="n">
        <v>64</v>
      </c>
      <c r="AS2600" t="n">
        <v>32</v>
      </c>
      <c r="AU2600">
        <f>COUNTA($BA$2600:$EH$2600)</f>
        <v/>
      </c>
      <c r="AV2600">
        <f>COUNTIF($BA$2600:$EH$2600,"D")</f>
        <v/>
      </c>
      <c r="AW2600">
        <f>COUNTIF($BA$2600:$EH$2600,"R")</f>
        <v/>
      </c>
      <c r="AX2600">
        <f>IF(BN2600="D",1,0)+IF(BO2600="D",1,0)+IF(BT2600="D",1,0)+IF(BU2600="D",1,0)+IF(BW2600="D",1,0)+IF(CC2600="D",1,0)+IF(CD2600="D",1,0)+IF(CE2600="D",1,0)+IF(CF2600="D",1,0)+IF(CL2600="D",1,0)+IF(CM2600="D",1,0)+IF(CQ2600="D",1,0)+IF(CR2600="D",1,0)+IF(CS2600="D",1,0)+IF(CW2600="D",1,0)+IF(CX2600="D",1,0)+IF(DD2600="D",1,0)+IF(DE2600="D",1,0)+IF(DJ2600="D",1,0)+IF(DK2600="D",1,0)+IF(DO2600="D",1,0)+IF(DP2600="D",1,0)+IF(DQ2600="D",1,0)+IF(DW2600="D",1,0)+IF(DZ2600="D",1,0)+IF(EH2600="D",1,0)</f>
        <v/>
      </c>
      <c r="AY2600">
        <f>IF(DJ2600&lt;&gt;"",1,0)+IF(DK2600&lt;&gt;"",1,0)+IF(DM2600&lt;&gt;"",1,0)+IF(DO2600&lt;&gt;"",1,0)+IF(DP2600&lt;&gt;"",1,0)+IF(DQ2600&lt;&gt;"",1,0)+IF(DS2600&lt;&gt;"",1,0)+IF(DT2600&lt;&gt;"",1,0)+IF(DV2600&lt;&gt;"",1,0)+IF(DW2600&lt;&gt;"",1,0)+IF(DX2600&lt;&gt;"",1,0)+IF(DY2600&lt;&gt;"",1,0)+IF(DZ2600&lt;&gt;"",1,0)+IF(EB2600&lt;&gt;"",1,0)+IF(EC2600&lt;&gt;"",1,0)+IF(ED2600&lt;&gt;"",1,0)+IF(EG2600&lt;&gt;"",1,0)+IF(EH2600&lt;&gt;"",1,0)</f>
        <v/>
      </c>
      <c r="AZ2600">
        <f>IF(EH2600&lt;&gt;"",1,0)</f>
        <v/>
      </c>
      <c r="BB2600" t="inlineStr">
        <is>
          <t>WARREN-WARD 4</t>
        </is>
      </c>
    </row>
    <row r="2601">
      <c r="A2601" t="inlineStr">
        <is>
          <t>OH0027509029</t>
        </is>
      </c>
      <c r="B2601" t="n">
        <v>78</v>
      </c>
      <c r="C2601" t="n">
        <v>487394</v>
      </c>
      <c r="D2601" t="inlineStr">
        <is>
          <t>KIM</t>
        </is>
      </c>
      <c r="E2601" t="inlineStr">
        <is>
          <t>KWI YONG</t>
        </is>
      </c>
      <c r="F2601">
        <f>CONCATENATE(D2601," ",LEFT(H2601,4),"T=",AU2601,"D=",AV2601,"R=",AW2601,"M=",AX2601,"L=",AY2601,"B=",AZ2601)</f>
        <v/>
      </c>
      <c r="I2601" t="inlineStr">
        <is>
          <t>1984-05-07</t>
        </is>
      </c>
      <c r="J2601" t="inlineStr">
        <is>
          <t>2024-08-08</t>
        </is>
      </c>
      <c r="K2601" t="inlineStr">
        <is>
          <t>ACTIVE</t>
        </is>
      </c>
      <c r="M2601" t="inlineStr">
        <is>
          <t>2913 DUKE AVE SE</t>
        </is>
      </c>
      <c r="N2601">
        <f>RIGHT(M2601,LEN(M2601)-FIND(" ",M2601))</f>
        <v/>
      </c>
      <c r="P2601" t="inlineStr">
        <is>
          <t>WARREN</t>
        </is>
      </c>
      <c r="Q2601" t="inlineStr">
        <is>
          <t>OH</t>
        </is>
      </c>
      <c r="R2601" t="n">
        <v>44484</v>
      </c>
      <c r="AD2601" t="inlineStr">
        <is>
          <t>TRUMBULL CAREER &amp; TECH CENTER</t>
        </is>
      </c>
      <c r="AE2601" t="inlineStr">
        <is>
          <t>WARREN CITY</t>
        </is>
      </c>
      <c r="AF2601" t="inlineStr">
        <is>
          <t>WARREN CITY SD</t>
        </is>
      </c>
      <c r="AH2601" t="n">
        <v>14</v>
      </c>
      <c r="AI2601" t="n">
        <v>11</v>
      </c>
      <c r="AN2601" t="inlineStr">
        <is>
          <t>WARREN</t>
        </is>
      </c>
      <c r="AO2601" t="inlineStr">
        <is>
          <t>WARREN CITY 4F</t>
        </is>
      </c>
      <c r="AP2601" t="inlineStr">
        <is>
          <t>78-P-ADN</t>
        </is>
      </c>
      <c r="AQ2601" t="n">
        <v>9</v>
      </c>
      <c r="AR2601" t="n">
        <v>64</v>
      </c>
      <c r="AS2601" t="n">
        <v>32</v>
      </c>
      <c r="AU2601">
        <f>COUNTA($BA$2601:$EH$2601)</f>
        <v/>
      </c>
      <c r="AV2601">
        <f>COUNTIF($BA$2601:$EH$2601,"D")</f>
        <v/>
      </c>
      <c r="AW2601">
        <f>COUNTIF($BA$2601:$EH$2601,"R")</f>
        <v/>
      </c>
      <c r="AX2601">
        <f>IF(BN2601="D",1,0)+IF(BO2601="D",1,0)+IF(BT2601="D",1,0)+IF(BU2601="D",1,0)+IF(BW2601="D",1,0)+IF(CC2601="D",1,0)+IF(CD2601="D",1,0)+IF(CE2601="D",1,0)+IF(CF2601="D",1,0)+IF(CL2601="D",1,0)+IF(CM2601="D",1,0)+IF(CQ2601="D",1,0)+IF(CR2601="D",1,0)+IF(CS2601="D",1,0)+IF(CW2601="D",1,0)+IF(CX2601="D",1,0)+IF(DD2601="D",1,0)+IF(DE2601="D",1,0)+IF(DJ2601="D",1,0)+IF(DK2601="D",1,0)+IF(DO2601="D",1,0)+IF(DP2601="D",1,0)+IF(DQ2601="D",1,0)+IF(DW2601="D",1,0)+IF(DZ2601="D",1,0)+IF(EH2601="D",1,0)</f>
        <v/>
      </c>
      <c r="AY2601">
        <f>IF(DJ2601&lt;&gt;"",1,0)+IF(DK2601&lt;&gt;"",1,0)+IF(DM2601&lt;&gt;"",1,0)+IF(DO2601&lt;&gt;"",1,0)+IF(DP2601&lt;&gt;"",1,0)+IF(DQ2601&lt;&gt;"",1,0)+IF(DS2601&lt;&gt;"",1,0)+IF(DT2601&lt;&gt;"",1,0)+IF(DV2601&lt;&gt;"",1,0)+IF(DW2601&lt;&gt;"",1,0)+IF(DX2601&lt;&gt;"",1,0)+IF(DY2601&lt;&gt;"",1,0)+IF(DZ2601&lt;&gt;"",1,0)+IF(EB2601&lt;&gt;"",1,0)+IF(EC2601&lt;&gt;"",1,0)+IF(ED2601&lt;&gt;"",1,0)+IF(EG2601&lt;&gt;"",1,0)+IF(EH2601&lt;&gt;"",1,0)</f>
        <v/>
      </c>
      <c r="AZ2601">
        <f>IF(EH2601&lt;&gt;"",1,0)</f>
        <v/>
      </c>
      <c r="BB2601" t="inlineStr">
        <is>
          <t>WARREN-WARD 4</t>
        </is>
      </c>
    </row>
    <row r="2602">
      <c r="A2602" t="inlineStr">
        <is>
          <t>OH0023246604</t>
        </is>
      </c>
      <c r="B2602" t="n">
        <v>78</v>
      </c>
      <c r="C2602" t="n">
        <v>381282</v>
      </c>
      <c r="D2602" t="inlineStr">
        <is>
          <t>ROBINSON</t>
        </is>
      </c>
      <c r="E2602" t="inlineStr">
        <is>
          <t>TINA</t>
        </is>
      </c>
      <c r="F2602">
        <f>CONCATENATE(D2602," ",LEFT(H2602,4),"T=",AU2602,"D=",AV2602,"R=",AW2602,"M=",AX2602,"L=",AY2602,"B=",AZ2602)</f>
        <v/>
      </c>
      <c r="G2602" t="inlineStr">
        <is>
          <t>M</t>
        </is>
      </c>
      <c r="I2602" t="inlineStr">
        <is>
          <t>1970-09-21</t>
        </is>
      </c>
      <c r="J2602" t="inlineStr">
        <is>
          <t>2024-09-11</t>
        </is>
      </c>
      <c r="K2602" t="inlineStr">
        <is>
          <t>ACTIVE</t>
        </is>
      </c>
      <c r="M2602" t="inlineStr">
        <is>
          <t>1510 ROMAN ST SE</t>
        </is>
      </c>
      <c r="N2602">
        <f>RIGHT(M2602,LEN(M2602)-FIND(" ",M2602))</f>
        <v/>
      </c>
      <c r="P2602" t="inlineStr">
        <is>
          <t>WARREN</t>
        </is>
      </c>
      <c r="Q2602" t="inlineStr">
        <is>
          <t>OH</t>
        </is>
      </c>
      <c r="R2602" t="n">
        <v>44484</v>
      </c>
      <c r="AD2602" t="inlineStr">
        <is>
          <t>TRUMBULL CAREER &amp; TECH CENTER</t>
        </is>
      </c>
      <c r="AE2602" t="inlineStr">
        <is>
          <t>WARREN CITY</t>
        </is>
      </c>
      <c r="AF2602" t="inlineStr">
        <is>
          <t>WARREN CITY SD</t>
        </is>
      </c>
      <c r="AH2602" t="n">
        <v>14</v>
      </c>
      <c r="AI2602" t="n">
        <v>11</v>
      </c>
      <c r="AN2602" t="inlineStr">
        <is>
          <t>WARREN</t>
        </is>
      </c>
      <c r="AO2602" t="inlineStr">
        <is>
          <t>WARREN CITY 4F</t>
        </is>
      </c>
      <c r="AP2602" t="inlineStr">
        <is>
          <t>78-P-ADN</t>
        </is>
      </c>
      <c r="AQ2602" t="n">
        <v>9</v>
      </c>
      <c r="AR2602" t="n">
        <v>64</v>
      </c>
      <c r="AS2602" t="n">
        <v>32</v>
      </c>
      <c r="AU2602">
        <f>COUNTA($BA$2602:$EH$2602)</f>
        <v/>
      </c>
      <c r="AV2602">
        <f>COUNTIF($BA$2602:$EH$2602,"D")</f>
        <v/>
      </c>
      <c r="AW2602">
        <f>COUNTIF($BA$2602:$EH$2602,"R")</f>
        <v/>
      </c>
      <c r="AX2602">
        <f>IF(BN2602="D",1,0)+IF(BO2602="D",1,0)+IF(BT2602="D",1,0)+IF(BU2602="D",1,0)+IF(BW2602="D",1,0)+IF(CC2602="D",1,0)+IF(CD2602="D",1,0)+IF(CE2602="D",1,0)+IF(CF2602="D",1,0)+IF(CL2602="D",1,0)+IF(CM2602="D",1,0)+IF(CQ2602="D",1,0)+IF(CR2602="D",1,0)+IF(CS2602="D",1,0)+IF(CW2602="D",1,0)+IF(CX2602="D",1,0)+IF(DD2602="D",1,0)+IF(DE2602="D",1,0)+IF(DJ2602="D",1,0)+IF(DK2602="D",1,0)+IF(DO2602="D",1,0)+IF(DP2602="D",1,0)+IF(DQ2602="D",1,0)+IF(DW2602="D",1,0)+IF(DZ2602="D",1,0)+IF(EH2602="D",1,0)</f>
        <v/>
      </c>
      <c r="AY2602">
        <f>IF(DJ2602&lt;&gt;"",1,0)+IF(DK2602&lt;&gt;"",1,0)+IF(DM2602&lt;&gt;"",1,0)+IF(DO2602&lt;&gt;"",1,0)+IF(DP2602&lt;&gt;"",1,0)+IF(DQ2602&lt;&gt;"",1,0)+IF(DS2602&lt;&gt;"",1,0)+IF(DT2602&lt;&gt;"",1,0)+IF(DV2602&lt;&gt;"",1,0)+IF(DW2602&lt;&gt;"",1,0)+IF(DX2602&lt;&gt;"",1,0)+IF(DY2602&lt;&gt;"",1,0)+IF(DZ2602&lt;&gt;"",1,0)+IF(EB2602&lt;&gt;"",1,0)+IF(EC2602&lt;&gt;"",1,0)+IF(ED2602&lt;&gt;"",1,0)+IF(EG2602&lt;&gt;"",1,0)+IF(EH2602&lt;&gt;"",1,0)</f>
        <v/>
      </c>
      <c r="AZ2602">
        <f>IF(EH2602&lt;&gt;"",1,0)</f>
        <v/>
      </c>
      <c r="BB2602" t="inlineStr">
        <is>
          <t>WARREN-WARD 4</t>
        </is>
      </c>
    </row>
    <row r="2603">
      <c r="A2603" t="inlineStr">
        <is>
          <t>OH0024866337</t>
        </is>
      </c>
      <c r="B2603" t="n">
        <v>78</v>
      </c>
      <c r="C2603" t="n">
        <v>436082</v>
      </c>
      <c r="D2603" t="inlineStr">
        <is>
          <t>POLAN</t>
        </is>
      </c>
      <c r="E2603" t="inlineStr">
        <is>
          <t>JASON</t>
        </is>
      </c>
      <c r="F2603">
        <f>CONCATENATE(D2603," ",LEFT(H2603,4),"T=",AU2603,"D=",AV2603,"R=",AW2603,"M=",AX2603,"L=",AY2603,"B=",AZ2603)</f>
        <v/>
      </c>
      <c r="G2603" t="inlineStr">
        <is>
          <t>E</t>
        </is>
      </c>
      <c r="I2603" t="inlineStr">
        <is>
          <t>1975-07-10</t>
        </is>
      </c>
      <c r="J2603" t="inlineStr">
        <is>
          <t>2018-10-09</t>
        </is>
      </c>
      <c r="K2603" t="inlineStr">
        <is>
          <t>ACTIVE</t>
        </is>
      </c>
      <c r="L2603" t="inlineStr">
        <is>
          <t>R</t>
        </is>
      </c>
      <c r="M2603" t="inlineStr">
        <is>
          <t>957 COLUMBIA PL SE</t>
        </is>
      </c>
      <c r="N2603">
        <f>RIGHT(M2603,LEN(M2603)-FIND(" ",M2603))</f>
        <v/>
      </c>
      <c r="P2603" t="inlineStr">
        <is>
          <t>WARREN</t>
        </is>
      </c>
      <c r="Q2603" t="inlineStr">
        <is>
          <t>OH</t>
        </is>
      </c>
      <c r="R2603" t="n">
        <v>44484</v>
      </c>
      <c r="AD2603" t="inlineStr">
        <is>
          <t>TRUMBULL CAREER &amp; TECH CENTER</t>
        </is>
      </c>
      <c r="AE2603" t="inlineStr">
        <is>
          <t>WARREN CITY</t>
        </is>
      </c>
      <c r="AF2603" t="inlineStr">
        <is>
          <t>WARREN CITY SD</t>
        </is>
      </c>
      <c r="AH2603" t="n">
        <v>14</v>
      </c>
      <c r="AI2603" t="n">
        <v>11</v>
      </c>
      <c r="AN2603" t="inlineStr">
        <is>
          <t>WARREN</t>
        </is>
      </c>
      <c r="AO2603" t="inlineStr">
        <is>
          <t>WARREN CITY 4F</t>
        </is>
      </c>
      <c r="AP2603" t="inlineStr">
        <is>
          <t>78-P-ADN</t>
        </is>
      </c>
      <c r="AQ2603" t="n">
        <v>9</v>
      </c>
      <c r="AR2603" t="n">
        <v>64</v>
      </c>
      <c r="AS2603" t="n">
        <v>32</v>
      </c>
      <c r="AU2603">
        <f>COUNTA($BA$2603:$EH$2603)</f>
        <v/>
      </c>
      <c r="AV2603">
        <f>COUNTIF($BA$2603:$EH$2603,"D")</f>
        <v/>
      </c>
      <c r="AW2603">
        <f>COUNTIF($BA$2603:$EH$2603,"R")</f>
        <v/>
      </c>
      <c r="AX2603">
        <f>IF(BN2603="D",1,0)+IF(BO2603="D",1,0)+IF(BT2603="D",1,0)+IF(BU2603="D",1,0)+IF(BW2603="D",1,0)+IF(CC2603="D",1,0)+IF(CD2603="D",1,0)+IF(CE2603="D",1,0)+IF(CF2603="D",1,0)+IF(CL2603="D",1,0)+IF(CM2603="D",1,0)+IF(CQ2603="D",1,0)+IF(CR2603="D",1,0)+IF(CS2603="D",1,0)+IF(CW2603="D",1,0)+IF(CX2603="D",1,0)+IF(DD2603="D",1,0)+IF(DE2603="D",1,0)+IF(DJ2603="D",1,0)+IF(DK2603="D",1,0)+IF(DO2603="D",1,0)+IF(DP2603="D",1,0)+IF(DQ2603="D",1,0)+IF(DW2603="D",1,0)+IF(DZ2603="D",1,0)+IF(EH2603="D",1,0)</f>
        <v/>
      </c>
      <c r="AY2603">
        <f>IF(DJ2603&lt;&gt;"",1,0)+IF(DK2603&lt;&gt;"",1,0)+IF(DM2603&lt;&gt;"",1,0)+IF(DO2603&lt;&gt;"",1,0)+IF(DP2603&lt;&gt;"",1,0)+IF(DQ2603&lt;&gt;"",1,0)+IF(DS2603&lt;&gt;"",1,0)+IF(DT2603&lt;&gt;"",1,0)+IF(DV2603&lt;&gt;"",1,0)+IF(DW2603&lt;&gt;"",1,0)+IF(DX2603&lt;&gt;"",1,0)+IF(DY2603&lt;&gt;"",1,0)+IF(DZ2603&lt;&gt;"",1,0)+IF(EB2603&lt;&gt;"",1,0)+IF(EC2603&lt;&gt;"",1,0)+IF(ED2603&lt;&gt;"",1,0)+IF(EG2603&lt;&gt;"",1,0)+IF(EH2603&lt;&gt;"",1,0)</f>
        <v/>
      </c>
      <c r="AZ2603">
        <f>IF(EH2603&lt;&gt;"",1,0)</f>
        <v/>
      </c>
      <c r="BB2603" t="inlineStr">
        <is>
          <t>WARREN-WARD 4</t>
        </is>
      </c>
      <c r="DI2603" t="inlineStr">
        <is>
          <t>X</t>
        </is>
      </c>
      <c r="DN2603" t="inlineStr">
        <is>
          <t>X</t>
        </is>
      </c>
      <c r="DU2603" t="inlineStr">
        <is>
          <t>X</t>
        </is>
      </c>
      <c r="EA2603" t="inlineStr">
        <is>
          <t>X</t>
        </is>
      </c>
      <c r="ED2603" t="inlineStr">
        <is>
          <t>R</t>
        </is>
      </c>
      <c r="EF2603" t="inlineStr">
        <is>
          <t>X</t>
        </is>
      </c>
    </row>
    <row r="2604">
      <c r="A2604" t="inlineStr">
        <is>
          <t>OH0021656825</t>
        </is>
      </c>
      <c r="B2604" t="n">
        <v>78</v>
      </c>
      <c r="C2604" t="n">
        <v>384508</v>
      </c>
      <c r="D2604" t="inlineStr">
        <is>
          <t>SIMMONS</t>
        </is>
      </c>
      <c r="E2604" t="inlineStr">
        <is>
          <t>BRIDGET</t>
        </is>
      </c>
      <c r="F2604">
        <f>CONCATENATE(D2604," ",LEFT(H2604,4),"T=",AU2604,"D=",AV2604,"R=",AW2604,"M=",AX2604,"L=",AY2604,"B=",AZ2604)</f>
        <v/>
      </c>
      <c r="G2604" t="inlineStr">
        <is>
          <t>D</t>
        </is>
      </c>
      <c r="I2604" t="inlineStr">
        <is>
          <t>1964-09-26</t>
        </is>
      </c>
      <c r="J2604" t="inlineStr">
        <is>
          <t>2023-09-15</t>
        </is>
      </c>
      <c r="K2604" t="inlineStr">
        <is>
          <t>ACTIVE</t>
        </is>
      </c>
      <c r="L2604" t="inlineStr">
        <is>
          <t>D</t>
        </is>
      </c>
      <c r="M2604" t="inlineStr">
        <is>
          <t>1845 WALLACE ST SE</t>
        </is>
      </c>
      <c r="N2604">
        <f>RIGHT(M2604,LEN(M2604)-FIND(" ",M2604))</f>
        <v/>
      </c>
      <c r="P2604" t="inlineStr">
        <is>
          <t>WARREN</t>
        </is>
      </c>
      <c r="Q2604" t="inlineStr">
        <is>
          <t>OH</t>
        </is>
      </c>
      <c r="R2604" t="n">
        <v>44484</v>
      </c>
      <c r="AD2604" t="inlineStr">
        <is>
          <t>TRUMBULL CAREER &amp; TECH CENTER</t>
        </is>
      </c>
      <c r="AE2604" t="inlineStr">
        <is>
          <t>WARREN CITY</t>
        </is>
      </c>
      <c r="AF2604" t="inlineStr">
        <is>
          <t>WARREN CITY SD</t>
        </is>
      </c>
      <c r="AH2604" t="n">
        <v>14</v>
      </c>
      <c r="AI2604" t="n">
        <v>11</v>
      </c>
      <c r="AN2604" t="inlineStr">
        <is>
          <t>WARREN</t>
        </is>
      </c>
      <c r="AO2604" t="inlineStr">
        <is>
          <t>WARREN CITY 4F</t>
        </is>
      </c>
      <c r="AP2604" t="inlineStr">
        <is>
          <t>78-P-ADN</t>
        </is>
      </c>
      <c r="AQ2604" t="n">
        <v>9</v>
      </c>
      <c r="AR2604" t="n">
        <v>64</v>
      </c>
      <c r="AS2604" t="n">
        <v>32</v>
      </c>
      <c r="AU2604">
        <f>COUNTA($BA$2604:$EH$2604)</f>
        <v/>
      </c>
      <c r="AV2604">
        <f>COUNTIF($BA$2604:$EH$2604,"D")</f>
        <v/>
      </c>
      <c r="AW2604">
        <f>COUNTIF($BA$2604:$EH$2604,"R")</f>
        <v/>
      </c>
      <c r="AX2604">
        <f>IF(BN2604="D",1,0)+IF(BO2604="D",1,0)+IF(BT2604="D",1,0)+IF(BU2604="D",1,0)+IF(BW2604="D",1,0)+IF(CC2604="D",1,0)+IF(CD2604="D",1,0)+IF(CE2604="D",1,0)+IF(CF2604="D",1,0)+IF(CL2604="D",1,0)+IF(CM2604="D",1,0)+IF(CQ2604="D",1,0)+IF(CR2604="D",1,0)+IF(CS2604="D",1,0)+IF(CW2604="D",1,0)+IF(CX2604="D",1,0)+IF(DD2604="D",1,0)+IF(DE2604="D",1,0)+IF(DJ2604="D",1,0)+IF(DK2604="D",1,0)+IF(DO2604="D",1,0)+IF(DP2604="D",1,0)+IF(DQ2604="D",1,0)+IF(DW2604="D",1,0)+IF(DZ2604="D",1,0)+IF(EH2604="D",1,0)</f>
        <v/>
      </c>
      <c r="AY2604">
        <f>IF(DJ2604&lt;&gt;"",1,0)+IF(DK2604&lt;&gt;"",1,0)+IF(DM2604&lt;&gt;"",1,0)+IF(DO2604&lt;&gt;"",1,0)+IF(DP2604&lt;&gt;"",1,0)+IF(DQ2604&lt;&gt;"",1,0)+IF(DS2604&lt;&gt;"",1,0)+IF(DT2604&lt;&gt;"",1,0)+IF(DV2604&lt;&gt;"",1,0)+IF(DW2604&lt;&gt;"",1,0)+IF(DX2604&lt;&gt;"",1,0)+IF(DY2604&lt;&gt;"",1,0)+IF(DZ2604&lt;&gt;"",1,0)+IF(EB2604&lt;&gt;"",1,0)+IF(EC2604&lt;&gt;"",1,0)+IF(ED2604&lt;&gt;"",1,0)+IF(EG2604&lt;&gt;"",1,0)+IF(EH2604&lt;&gt;"",1,0)</f>
        <v/>
      </c>
      <c r="AZ2604">
        <f>IF(EH2604&lt;&gt;"",1,0)</f>
        <v/>
      </c>
      <c r="BB2604" t="inlineStr">
        <is>
          <t>WARREN-WARD 4</t>
        </is>
      </c>
      <c r="DI2604" t="inlineStr">
        <is>
          <t>X</t>
        </is>
      </c>
      <c r="DN2604" t="inlineStr">
        <is>
          <t>X</t>
        </is>
      </c>
      <c r="DW2604" t="inlineStr">
        <is>
          <t>D</t>
        </is>
      </c>
    </row>
    <row r="2605">
      <c r="A2605" t="inlineStr">
        <is>
          <t>OH0024720256</t>
        </is>
      </c>
      <c r="B2605" t="n">
        <v>78</v>
      </c>
      <c r="C2605" t="n">
        <v>434253</v>
      </c>
      <c r="D2605" t="inlineStr">
        <is>
          <t>ZARICK</t>
        </is>
      </c>
      <c r="E2605" t="inlineStr">
        <is>
          <t>RACHEL</t>
        </is>
      </c>
      <c r="F2605">
        <f>CONCATENATE(D2605," ",LEFT(H2605,4),"T=",AU2605,"D=",AV2605,"R=",AW2605,"M=",AX2605,"L=",AY2605,"B=",AZ2605)</f>
        <v/>
      </c>
      <c r="G2605" t="inlineStr">
        <is>
          <t>E</t>
        </is>
      </c>
      <c r="I2605" t="inlineStr">
        <is>
          <t>1995-12-05</t>
        </is>
      </c>
      <c r="J2605" t="inlineStr">
        <is>
          <t>2018-08-20</t>
        </is>
      </c>
      <c r="K2605" t="inlineStr">
        <is>
          <t>ACTIVE</t>
        </is>
      </c>
      <c r="L2605" t="inlineStr">
        <is>
          <t>D</t>
        </is>
      </c>
      <c r="M2605" t="inlineStr">
        <is>
          <t>1200 YOUNGSTOWN RD SE</t>
        </is>
      </c>
      <c r="N2605">
        <f>RIGHT(M2605,LEN(M2605)-FIND(" ",M2605))</f>
        <v/>
      </c>
      <c r="P2605" t="inlineStr">
        <is>
          <t>WARREN</t>
        </is>
      </c>
      <c r="Q2605" t="inlineStr">
        <is>
          <t>OH</t>
        </is>
      </c>
      <c r="R2605" t="n">
        <v>44484</v>
      </c>
      <c r="AD2605" t="inlineStr">
        <is>
          <t>TRUMBULL CAREER &amp; TECH CENTER</t>
        </is>
      </c>
      <c r="AE2605" t="inlineStr">
        <is>
          <t>WARREN CITY</t>
        </is>
      </c>
      <c r="AF2605" t="inlineStr">
        <is>
          <t>WARREN CITY SD</t>
        </is>
      </c>
      <c r="AH2605" t="n">
        <v>14</v>
      </c>
      <c r="AI2605" t="n">
        <v>11</v>
      </c>
      <c r="AN2605" t="inlineStr">
        <is>
          <t>WARREN</t>
        </is>
      </c>
      <c r="AO2605" t="inlineStr">
        <is>
          <t>WARREN CITY 4F</t>
        </is>
      </c>
      <c r="AP2605" t="inlineStr">
        <is>
          <t>78-P-ADN</t>
        </is>
      </c>
      <c r="AQ2605" t="n">
        <v>9</v>
      </c>
      <c r="AR2605" t="n">
        <v>64</v>
      </c>
      <c r="AS2605" t="n">
        <v>32</v>
      </c>
      <c r="AU2605">
        <f>COUNTA($BA$2605:$EH$2605)</f>
        <v/>
      </c>
      <c r="AV2605">
        <f>COUNTIF($BA$2605:$EH$2605,"D")</f>
        <v/>
      </c>
      <c r="AW2605">
        <f>COUNTIF($BA$2605:$EH$2605,"R")</f>
        <v/>
      </c>
      <c r="AX2605">
        <f>IF(BN2605="D",1,0)+IF(BO2605="D",1,0)+IF(BT2605="D",1,0)+IF(BU2605="D",1,0)+IF(BW2605="D",1,0)+IF(CC2605="D",1,0)+IF(CD2605="D",1,0)+IF(CE2605="D",1,0)+IF(CF2605="D",1,0)+IF(CL2605="D",1,0)+IF(CM2605="D",1,0)+IF(CQ2605="D",1,0)+IF(CR2605="D",1,0)+IF(CS2605="D",1,0)+IF(CW2605="D",1,0)+IF(CX2605="D",1,0)+IF(DD2605="D",1,0)+IF(DE2605="D",1,0)+IF(DJ2605="D",1,0)+IF(DK2605="D",1,0)+IF(DO2605="D",1,0)+IF(DP2605="D",1,0)+IF(DQ2605="D",1,0)+IF(DW2605="D",1,0)+IF(DZ2605="D",1,0)+IF(EH2605="D",1,0)</f>
        <v/>
      </c>
      <c r="AY2605">
        <f>IF(DJ2605&lt;&gt;"",1,0)+IF(DK2605&lt;&gt;"",1,0)+IF(DM2605&lt;&gt;"",1,0)+IF(DO2605&lt;&gt;"",1,0)+IF(DP2605&lt;&gt;"",1,0)+IF(DQ2605&lt;&gt;"",1,0)+IF(DS2605&lt;&gt;"",1,0)+IF(DT2605&lt;&gt;"",1,0)+IF(DV2605&lt;&gt;"",1,0)+IF(DW2605&lt;&gt;"",1,0)+IF(DX2605&lt;&gt;"",1,0)+IF(DY2605&lt;&gt;"",1,0)+IF(DZ2605&lt;&gt;"",1,0)+IF(EB2605&lt;&gt;"",1,0)+IF(EC2605&lt;&gt;"",1,0)+IF(ED2605&lt;&gt;"",1,0)+IF(EG2605&lt;&gt;"",1,0)+IF(EH2605&lt;&gt;"",1,0)</f>
        <v/>
      </c>
      <c r="AZ2605">
        <f>IF(EH2605&lt;&gt;"",1,0)</f>
        <v/>
      </c>
      <c r="BB2605" t="inlineStr">
        <is>
          <t>WARREN-WARD 4</t>
        </is>
      </c>
      <c r="DC2605" t="inlineStr">
        <is>
          <t>X</t>
        </is>
      </c>
      <c r="DF2605" t="inlineStr">
        <is>
          <t>X</t>
        </is>
      </c>
      <c r="DG2605" t="inlineStr">
        <is>
          <t>D</t>
        </is>
      </c>
      <c r="DN2605" t="inlineStr">
        <is>
          <t>X</t>
        </is>
      </c>
      <c r="DT2605" t="inlineStr">
        <is>
          <t>D</t>
        </is>
      </c>
      <c r="DU2605" t="inlineStr">
        <is>
          <t>X</t>
        </is>
      </c>
      <c r="EA2605" t="inlineStr">
        <is>
          <t>X</t>
        </is>
      </c>
      <c r="EF2605" t="inlineStr">
        <is>
          <t>X</t>
        </is>
      </c>
    </row>
    <row r="2606">
      <c r="A2606" t="inlineStr">
        <is>
          <t>OH0024943234</t>
        </is>
      </c>
      <c r="B2606" t="n">
        <v>78</v>
      </c>
      <c r="C2606" t="n">
        <v>436760</v>
      </c>
      <c r="D2606" t="inlineStr">
        <is>
          <t>JONES</t>
        </is>
      </c>
      <c r="E2606" t="inlineStr">
        <is>
          <t>ARTIANA</t>
        </is>
      </c>
      <c r="F2606">
        <f>CONCATENATE(D2606," ",LEFT(H2606,4),"T=",AU2606,"D=",AV2606,"R=",AW2606,"M=",AX2606,"L=",AY2606,"B=",AZ2606)</f>
        <v/>
      </c>
      <c r="I2606" t="inlineStr">
        <is>
          <t>1999-12-15</t>
        </is>
      </c>
      <c r="J2606" t="inlineStr">
        <is>
          <t>2018-11-02</t>
        </is>
      </c>
      <c r="K2606" t="inlineStr">
        <is>
          <t>ACTIVE</t>
        </is>
      </c>
      <c r="M2606" t="inlineStr">
        <is>
          <t>1517 KENILWORTH AVE SE</t>
        </is>
      </c>
      <c r="N2606">
        <f>RIGHT(M2606,LEN(M2606)-FIND(" ",M2606))</f>
        <v/>
      </c>
      <c r="P2606" t="inlineStr">
        <is>
          <t>WARREN</t>
        </is>
      </c>
      <c r="Q2606" t="inlineStr">
        <is>
          <t>OH</t>
        </is>
      </c>
      <c r="R2606" t="n">
        <v>44484</v>
      </c>
      <c r="AD2606" t="inlineStr">
        <is>
          <t>TRUMBULL CAREER &amp; TECH CENTER</t>
        </is>
      </c>
      <c r="AE2606" t="inlineStr">
        <is>
          <t>WARREN CITY</t>
        </is>
      </c>
      <c r="AF2606" t="inlineStr">
        <is>
          <t>WARREN CITY SD</t>
        </is>
      </c>
      <c r="AH2606" t="n">
        <v>14</v>
      </c>
      <c r="AI2606" t="n">
        <v>11</v>
      </c>
      <c r="AN2606" t="inlineStr">
        <is>
          <t>WARREN</t>
        </is>
      </c>
      <c r="AO2606" t="inlineStr">
        <is>
          <t>WARREN CITY 4F</t>
        </is>
      </c>
      <c r="AP2606" t="inlineStr">
        <is>
          <t>78-P-ADN</t>
        </is>
      </c>
      <c r="AQ2606" t="n">
        <v>9</v>
      </c>
      <c r="AR2606" t="n">
        <v>64</v>
      </c>
      <c r="AS2606" t="n">
        <v>32</v>
      </c>
      <c r="AU2606">
        <f>COUNTA($BA$2606:$EH$2606)</f>
        <v/>
      </c>
      <c r="AV2606">
        <f>COUNTIF($BA$2606:$EH$2606,"D")</f>
        <v/>
      </c>
      <c r="AW2606">
        <f>COUNTIF($BA$2606:$EH$2606,"R")</f>
        <v/>
      </c>
      <c r="AX2606">
        <f>IF(BN2606="D",1,0)+IF(BO2606="D",1,0)+IF(BT2606="D",1,0)+IF(BU2606="D",1,0)+IF(BW2606="D",1,0)+IF(CC2606="D",1,0)+IF(CD2606="D",1,0)+IF(CE2606="D",1,0)+IF(CF2606="D",1,0)+IF(CL2606="D",1,0)+IF(CM2606="D",1,0)+IF(CQ2606="D",1,0)+IF(CR2606="D",1,0)+IF(CS2606="D",1,0)+IF(CW2606="D",1,0)+IF(CX2606="D",1,0)+IF(DD2606="D",1,0)+IF(DE2606="D",1,0)+IF(DJ2606="D",1,0)+IF(DK2606="D",1,0)+IF(DO2606="D",1,0)+IF(DP2606="D",1,0)+IF(DQ2606="D",1,0)+IF(DW2606="D",1,0)+IF(DZ2606="D",1,0)+IF(EH2606="D",1,0)</f>
        <v/>
      </c>
      <c r="AY2606">
        <f>IF(DJ2606&lt;&gt;"",1,0)+IF(DK2606&lt;&gt;"",1,0)+IF(DM2606&lt;&gt;"",1,0)+IF(DO2606&lt;&gt;"",1,0)+IF(DP2606&lt;&gt;"",1,0)+IF(DQ2606&lt;&gt;"",1,0)+IF(DS2606&lt;&gt;"",1,0)+IF(DT2606&lt;&gt;"",1,0)+IF(DV2606&lt;&gt;"",1,0)+IF(DW2606&lt;&gt;"",1,0)+IF(DX2606&lt;&gt;"",1,0)+IF(DY2606&lt;&gt;"",1,0)+IF(DZ2606&lt;&gt;"",1,0)+IF(EB2606&lt;&gt;"",1,0)+IF(EC2606&lt;&gt;"",1,0)+IF(ED2606&lt;&gt;"",1,0)+IF(EG2606&lt;&gt;"",1,0)+IF(EH2606&lt;&gt;"",1,0)</f>
        <v/>
      </c>
      <c r="AZ2606">
        <f>IF(EH2606&lt;&gt;"",1,0)</f>
        <v/>
      </c>
      <c r="BB2606" t="inlineStr">
        <is>
          <t>WARREN-WARD 4</t>
        </is>
      </c>
      <c r="DN2606" t="inlineStr">
        <is>
          <t>X</t>
        </is>
      </c>
      <c r="EF2606" t="inlineStr">
        <is>
          <t>X</t>
        </is>
      </c>
    </row>
    <row r="2607">
      <c r="A2607" t="inlineStr">
        <is>
          <t>OH0019196524</t>
        </is>
      </c>
      <c r="B2607" t="n">
        <v>78</v>
      </c>
      <c r="C2607" t="n">
        <v>351002</v>
      </c>
      <c r="D2607" t="inlineStr">
        <is>
          <t>JOHNSON</t>
        </is>
      </c>
      <c r="E2607" t="inlineStr">
        <is>
          <t>IRENE</t>
        </is>
      </c>
      <c r="F2607">
        <f>CONCATENATE(D2607," ",LEFT(H2607,4),"T=",AU2607,"D=",AV2607,"R=",AW2607,"M=",AX2607,"L=",AY2607,"B=",AZ2607)</f>
        <v/>
      </c>
      <c r="G2607" t="inlineStr">
        <is>
          <t>M</t>
        </is>
      </c>
      <c r="I2607" t="inlineStr">
        <is>
          <t>1939-06-22</t>
        </is>
      </c>
      <c r="J2607" t="inlineStr">
        <is>
          <t>2007-07-03</t>
        </is>
      </c>
      <c r="K2607" t="inlineStr">
        <is>
          <t>CONFIRMATION</t>
        </is>
      </c>
      <c r="M2607" t="inlineStr">
        <is>
          <t>1570 OAK KNOLL AVE SE</t>
        </is>
      </c>
      <c r="N2607">
        <f>RIGHT(M2607,LEN(M2607)-FIND(" ",M2607))</f>
        <v/>
      </c>
      <c r="P2607" t="inlineStr">
        <is>
          <t>WARREN</t>
        </is>
      </c>
      <c r="Q2607" t="inlineStr">
        <is>
          <t>OH</t>
        </is>
      </c>
      <c r="R2607" t="n">
        <v>44484</v>
      </c>
      <c r="AD2607" t="inlineStr">
        <is>
          <t>TRUMBULL CAREER &amp; TECH CENTER</t>
        </is>
      </c>
      <c r="AE2607" t="inlineStr">
        <is>
          <t>WARREN CITY</t>
        </is>
      </c>
      <c r="AF2607" t="inlineStr">
        <is>
          <t>WARREN CITY SD</t>
        </is>
      </c>
      <c r="AH2607" t="n">
        <v>14</v>
      </c>
      <c r="AI2607" t="n">
        <v>11</v>
      </c>
      <c r="AN2607" t="inlineStr">
        <is>
          <t>WARREN</t>
        </is>
      </c>
      <c r="AO2607" t="inlineStr">
        <is>
          <t>WARREN CITY 4F</t>
        </is>
      </c>
      <c r="AP2607" t="inlineStr">
        <is>
          <t>78-P-ADN</t>
        </is>
      </c>
      <c r="AQ2607" t="n">
        <v>9</v>
      </c>
      <c r="AR2607" t="n">
        <v>64</v>
      </c>
      <c r="AS2607" t="n">
        <v>32</v>
      </c>
      <c r="AU2607">
        <f>COUNTA($BA$2607:$EH$2607)</f>
        <v/>
      </c>
      <c r="AV2607">
        <f>COUNTIF($BA$2607:$EH$2607,"D")</f>
        <v/>
      </c>
      <c r="AW2607">
        <f>COUNTIF($BA$2607:$EH$2607,"R")</f>
        <v/>
      </c>
      <c r="AX2607">
        <f>IF(BN2607="D",1,0)+IF(BO2607="D",1,0)+IF(BT2607="D",1,0)+IF(BU2607="D",1,0)+IF(BW2607="D",1,0)+IF(CC2607="D",1,0)+IF(CD2607="D",1,0)+IF(CE2607="D",1,0)+IF(CF2607="D",1,0)+IF(CL2607="D",1,0)+IF(CM2607="D",1,0)+IF(CQ2607="D",1,0)+IF(CR2607="D",1,0)+IF(CS2607="D",1,0)+IF(CW2607="D",1,0)+IF(CX2607="D",1,0)+IF(DD2607="D",1,0)+IF(DE2607="D",1,0)+IF(DJ2607="D",1,0)+IF(DK2607="D",1,0)+IF(DO2607="D",1,0)+IF(DP2607="D",1,0)+IF(DQ2607="D",1,0)+IF(DW2607="D",1,0)+IF(DZ2607="D",1,0)+IF(EH2607="D",1,0)</f>
        <v/>
      </c>
      <c r="AY2607">
        <f>IF(DJ2607&lt;&gt;"",1,0)+IF(DK2607&lt;&gt;"",1,0)+IF(DM2607&lt;&gt;"",1,0)+IF(DO2607&lt;&gt;"",1,0)+IF(DP2607&lt;&gt;"",1,0)+IF(DQ2607&lt;&gt;"",1,0)+IF(DS2607&lt;&gt;"",1,0)+IF(DT2607&lt;&gt;"",1,0)+IF(DV2607&lt;&gt;"",1,0)+IF(DW2607&lt;&gt;"",1,0)+IF(DX2607&lt;&gt;"",1,0)+IF(DY2607&lt;&gt;"",1,0)+IF(DZ2607&lt;&gt;"",1,0)+IF(EB2607&lt;&gt;"",1,0)+IF(EC2607&lt;&gt;"",1,0)+IF(ED2607&lt;&gt;"",1,0)+IF(EG2607&lt;&gt;"",1,0)+IF(EH2607&lt;&gt;"",1,0)</f>
        <v/>
      </c>
      <c r="AZ2607">
        <f>IF(EH2607&lt;&gt;"",1,0)</f>
        <v/>
      </c>
      <c r="BB2607" t="inlineStr">
        <is>
          <t>WARREN-WARD 4</t>
        </is>
      </c>
      <c r="BY2607" t="inlineStr">
        <is>
          <t>D</t>
        </is>
      </c>
      <c r="CA2607" t="inlineStr">
        <is>
          <t>X</t>
        </is>
      </c>
      <c r="CP2607" t="inlineStr">
        <is>
          <t>X</t>
        </is>
      </c>
    </row>
    <row r="2608">
      <c r="A2608" t="inlineStr">
        <is>
          <t>OH0015698294</t>
        </is>
      </c>
      <c r="B2608" t="n">
        <v>78</v>
      </c>
      <c r="C2608" t="n">
        <v>155480</v>
      </c>
      <c r="D2608" t="inlineStr">
        <is>
          <t>MOORE</t>
        </is>
      </c>
      <c r="E2608" t="inlineStr">
        <is>
          <t>MARGARET</t>
        </is>
      </c>
      <c r="F2608">
        <f>CONCATENATE(D2608," ",LEFT(H2608,4),"T=",AU2608,"D=",AV2608,"R=",AW2608,"M=",AX2608,"L=",AY2608,"B=",AZ2608)</f>
        <v/>
      </c>
      <c r="G2608" t="inlineStr">
        <is>
          <t>V</t>
        </is>
      </c>
      <c r="I2608" t="inlineStr">
        <is>
          <t>1952-09-28</t>
        </is>
      </c>
      <c r="J2608" t="inlineStr">
        <is>
          <t>2017-07-01</t>
        </is>
      </c>
      <c r="K2608" t="inlineStr">
        <is>
          <t>ACTIVE</t>
        </is>
      </c>
      <c r="M2608" t="inlineStr">
        <is>
          <t>1063 HOMEWOOD AVE SE</t>
        </is>
      </c>
      <c r="N2608">
        <f>RIGHT(M2608,LEN(M2608)-FIND(" ",M2608))</f>
        <v/>
      </c>
      <c r="P2608" t="inlineStr">
        <is>
          <t>WARREN</t>
        </is>
      </c>
      <c r="Q2608" t="inlineStr">
        <is>
          <t>OH</t>
        </is>
      </c>
      <c r="R2608" t="n">
        <v>44484</v>
      </c>
      <c r="AD2608" t="inlineStr">
        <is>
          <t>TRUMBULL CAREER &amp; TECH CENTER</t>
        </is>
      </c>
      <c r="AE2608" t="inlineStr">
        <is>
          <t>WARREN CITY</t>
        </is>
      </c>
      <c r="AF2608" t="inlineStr">
        <is>
          <t>WARREN CITY SD</t>
        </is>
      </c>
      <c r="AH2608" t="n">
        <v>14</v>
      </c>
      <c r="AI2608" t="n">
        <v>11</v>
      </c>
      <c r="AN2608" t="inlineStr">
        <is>
          <t>WARREN</t>
        </is>
      </c>
      <c r="AO2608" t="inlineStr">
        <is>
          <t>WARREN CITY 4F</t>
        </is>
      </c>
      <c r="AP2608" t="inlineStr">
        <is>
          <t>78-P-ADN</t>
        </is>
      </c>
      <c r="AQ2608" t="n">
        <v>9</v>
      </c>
      <c r="AR2608" t="n">
        <v>64</v>
      </c>
      <c r="AS2608" t="n">
        <v>32</v>
      </c>
      <c r="AU2608">
        <f>COUNTA($BA$2608:$EH$2608)</f>
        <v/>
      </c>
      <c r="AV2608">
        <f>COUNTIF($BA$2608:$EH$2608,"D")</f>
        <v/>
      </c>
      <c r="AW2608">
        <f>COUNTIF($BA$2608:$EH$2608,"R")</f>
        <v/>
      </c>
      <c r="AX2608">
        <f>IF(BN2608="D",1,0)+IF(BO2608="D",1,0)+IF(BT2608="D",1,0)+IF(BU2608="D",1,0)+IF(BW2608="D",1,0)+IF(CC2608="D",1,0)+IF(CD2608="D",1,0)+IF(CE2608="D",1,0)+IF(CF2608="D",1,0)+IF(CL2608="D",1,0)+IF(CM2608="D",1,0)+IF(CQ2608="D",1,0)+IF(CR2608="D",1,0)+IF(CS2608="D",1,0)+IF(CW2608="D",1,0)+IF(CX2608="D",1,0)+IF(DD2608="D",1,0)+IF(DE2608="D",1,0)+IF(DJ2608="D",1,0)+IF(DK2608="D",1,0)+IF(DO2608="D",1,0)+IF(DP2608="D",1,0)+IF(DQ2608="D",1,0)+IF(DW2608="D",1,0)+IF(DZ2608="D",1,0)+IF(EH2608="D",1,0)</f>
        <v/>
      </c>
      <c r="AY2608">
        <f>IF(DJ2608&lt;&gt;"",1,0)+IF(DK2608&lt;&gt;"",1,0)+IF(DM2608&lt;&gt;"",1,0)+IF(DO2608&lt;&gt;"",1,0)+IF(DP2608&lt;&gt;"",1,0)+IF(DQ2608&lt;&gt;"",1,0)+IF(DS2608&lt;&gt;"",1,0)+IF(DT2608&lt;&gt;"",1,0)+IF(DV2608&lt;&gt;"",1,0)+IF(DW2608&lt;&gt;"",1,0)+IF(DX2608&lt;&gt;"",1,0)+IF(DY2608&lt;&gt;"",1,0)+IF(DZ2608&lt;&gt;"",1,0)+IF(EB2608&lt;&gt;"",1,0)+IF(EC2608&lt;&gt;"",1,0)+IF(ED2608&lt;&gt;"",1,0)+IF(EG2608&lt;&gt;"",1,0)+IF(EH2608&lt;&gt;"",1,0)</f>
        <v/>
      </c>
      <c r="AZ2608">
        <f>IF(EH2608&lt;&gt;"",1,0)</f>
        <v/>
      </c>
      <c r="BB2608" t="inlineStr">
        <is>
          <t>WARREN-WARD 4</t>
        </is>
      </c>
      <c r="BC2608" t="inlineStr">
        <is>
          <t>X</t>
        </is>
      </c>
      <c r="BD2608" t="inlineStr">
        <is>
          <t>X</t>
        </is>
      </c>
      <c r="BE2608" t="inlineStr">
        <is>
          <t>X</t>
        </is>
      </c>
      <c r="BI2608" t="inlineStr">
        <is>
          <t>X</t>
        </is>
      </c>
      <c r="BL2608" t="inlineStr">
        <is>
          <t>X</t>
        </is>
      </c>
      <c r="CA2608" t="inlineStr">
        <is>
          <t>X</t>
        </is>
      </c>
      <c r="CK2608" t="inlineStr">
        <is>
          <t>X</t>
        </is>
      </c>
      <c r="CL2608" t="inlineStr">
        <is>
          <t>D</t>
        </is>
      </c>
      <c r="CP2608" t="inlineStr">
        <is>
          <t>X</t>
        </is>
      </c>
    </row>
    <row r="2609">
      <c r="A2609" t="inlineStr">
        <is>
          <t>OH0015927809</t>
        </is>
      </c>
      <c r="B2609" t="n">
        <v>78</v>
      </c>
      <c r="C2609" t="n">
        <v>334630</v>
      </c>
      <c r="D2609" t="inlineStr">
        <is>
          <t>FOSTER</t>
        </is>
      </c>
      <c r="E2609" t="inlineStr">
        <is>
          <t>SANDRA</t>
        </is>
      </c>
      <c r="F2609">
        <f>CONCATENATE(D2609," ",LEFT(H2609,4),"T=",AU2609,"D=",AV2609,"R=",AW2609,"M=",AX2609,"L=",AY2609,"B=",AZ2609)</f>
        <v/>
      </c>
      <c r="G2609" t="inlineStr">
        <is>
          <t>L</t>
        </is>
      </c>
      <c r="I2609" t="inlineStr">
        <is>
          <t>1960-07-05</t>
        </is>
      </c>
      <c r="J2609" t="inlineStr">
        <is>
          <t>2018-03-19</t>
        </is>
      </c>
      <c r="K2609" t="inlineStr">
        <is>
          <t>CONFIRMATION</t>
        </is>
      </c>
      <c r="M2609" t="inlineStr">
        <is>
          <t>1529 TRANSYLVANIA AVE SE</t>
        </is>
      </c>
      <c r="N2609">
        <f>RIGHT(M2609,LEN(M2609)-FIND(" ",M2609))</f>
        <v/>
      </c>
      <c r="P2609" t="inlineStr">
        <is>
          <t>WARREN</t>
        </is>
      </c>
      <c r="Q2609" t="inlineStr">
        <is>
          <t>OH</t>
        </is>
      </c>
      <c r="R2609" t="n">
        <v>44484</v>
      </c>
      <c r="AD2609" t="inlineStr">
        <is>
          <t>TRUMBULL CAREER &amp; TECH CENTER</t>
        </is>
      </c>
      <c r="AE2609" t="inlineStr">
        <is>
          <t>WARREN CITY</t>
        </is>
      </c>
      <c r="AF2609" t="inlineStr">
        <is>
          <t>WARREN CITY SD</t>
        </is>
      </c>
      <c r="AH2609" t="n">
        <v>14</v>
      </c>
      <c r="AI2609" t="n">
        <v>11</v>
      </c>
      <c r="AN2609" t="inlineStr">
        <is>
          <t>WARREN</t>
        </is>
      </c>
      <c r="AO2609" t="inlineStr">
        <is>
          <t>WARREN CITY 4F</t>
        </is>
      </c>
      <c r="AP2609" t="inlineStr">
        <is>
          <t>78-P-ADN</t>
        </is>
      </c>
      <c r="AQ2609" t="n">
        <v>9</v>
      </c>
      <c r="AR2609" t="n">
        <v>64</v>
      </c>
      <c r="AS2609" t="n">
        <v>32</v>
      </c>
      <c r="AU2609">
        <f>COUNTA($BA$2609:$EH$2609)</f>
        <v/>
      </c>
      <c r="AV2609">
        <f>COUNTIF($BA$2609:$EH$2609,"D")</f>
        <v/>
      </c>
      <c r="AW2609">
        <f>COUNTIF($BA$2609:$EH$2609,"R")</f>
        <v/>
      </c>
      <c r="AX2609">
        <f>IF(BN2609="D",1,0)+IF(BO2609="D",1,0)+IF(BT2609="D",1,0)+IF(BU2609="D",1,0)+IF(BW2609="D",1,0)+IF(CC2609="D",1,0)+IF(CD2609="D",1,0)+IF(CE2609="D",1,0)+IF(CF2609="D",1,0)+IF(CL2609="D",1,0)+IF(CM2609="D",1,0)+IF(CQ2609="D",1,0)+IF(CR2609="D",1,0)+IF(CS2609="D",1,0)+IF(CW2609="D",1,0)+IF(CX2609="D",1,0)+IF(DD2609="D",1,0)+IF(DE2609="D",1,0)+IF(DJ2609="D",1,0)+IF(DK2609="D",1,0)+IF(DO2609="D",1,0)+IF(DP2609="D",1,0)+IF(DQ2609="D",1,0)+IF(DW2609="D",1,0)+IF(DZ2609="D",1,0)+IF(EH2609="D",1,0)</f>
        <v/>
      </c>
      <c r="AY2609">
        <f>IF(DJ2609&lt;&gt;"",1,0)+IF(DK2609&lt;&gt;"",1,0)+IF(DM2609&lt;&gt;"",1,0)+IF(DO2609&lt;&gt;"",1,0)+IF(DP2609&lt;&gt;"",1,0)+IF(DQ2609&lt;&gt;"",1,0)+IF(DS2609&lt;&gt;"",1,0)+IF(DT2609&lt;&gt;"",1,0)+IF(DV2609&lt;&gt;"",1,0)+IF(DW2609&lt;&gt;"",1,0)+IF(DX2609&lt;&gt;"",1,0)+IF(DY2609&lt;&gt;"",1,0)+IF(DZ2609&lt;&gt;"",1,0)+IF(EB2609&lt;&gt;"",1,0)+IF(EC2609&lt;&gt;"",1,0)+IF(ED2609&lt;&gt;"",1,0)+IF(EG2609&lt;&gt;"",1,0)+IF(EH2609&lt;&gt;"",1,0)</f>
        <v/>
      </c>
      <c r="AZ2609">
        <f>IF(EH2609&lt;&gt;"",1,0)</f>
        <v/>
      </c>
      <c r="BB2609" t="inlineStr">
        <is>
          <t>WARREN-WARD 4</t>
        </is>
      </c>
      <c r="BL2609" t="inlineStr">
        <is>
          <t>X</t>
        </is>
      </c>
      <c r="CA2609" t="inlineStr">
        <is>
          <t>X</t>
        </is>
      </c>
    </row>
    <row r="2610">
      <c r="A2610" t="inlineStr">
        <is>
          <t>OH0018955830</t>
        </is>
      </c>
      <c r="B2610" t="n">
        <v>78</v>
      </c>
      <c r="C2610" t="n">
        <v>346081</v>
      </c>
      <c r="D2610" t="inlineStr">
        <is>
          <t>HOLMES</t>
        </is>
      </c>
      <c r="E2610" t="inlineStr">
        <is>
          <t>CASSIE</t>
        </is>
      </c>
      <c r="F2610">
        <f>CONCATENATE(D2610," ",LEFT(H2610,4),"T=",AU2610,"D=",AV2610,"R=",AW2610,"M=",AX2610,"L=",AY2610,"B=",AZ2610)</f>
        <v/>
      </c>
      <c r="G2610" t="inlineStr">
        <is>
          <t>R</t>
        </is>
      </c>
      <c r="I2610" t="inlineStr">
        <is>
          <t>1988-03-27</t>
        </is>
      </c>
      <c r="J2610" t="inlineStr">
        <is>
          <t>2021-12-22</t>
        </is>
      </c>
      <c r="K2610" t="inlineStr">
        <is>
          <t>ACTIVE</t>
        </is>
      </c>
      <c r="M2610" t="inlineStr">
        <is>
          <t>1158 YOUNGSTOWN RD SE</t>
        </is>
      </c>
      <c r="N2610">
        <f>RIGHT(M2610,LEN(M2610)-FIND(" ",M2610))</f>
        <v/>
      </c>
      <c r="P2610" t="inlineStr">
        <is>
          <t>WARREN</t>
        </is>
      </c>
      <c r="Q2610" t="inlineStr">
        <is>
          <t>OH</t>
        </is>
      </c>
      <c r="R2610" t="n">
        <v>44484</v>
      </c>
      <c r="AD2610" t="inlineStr">
        <is>
          <t>TRUMBULL CAREER &amp; TECH CENTER</t>
        </is>
      </c>
      <c r="AE2610" t="inlineStr">
        <is>
          <t>WARREN CITY</t>
        </is>
      </c>
      <c r="AF2610" t="inlineStr">
        <is>
          <t>WARREN CITY SD</t>
        </is>
      </c>
      <c r="AH2610" t="n">
        <v>14</v>
      </c>
      <c r="AI2610" t="n">
        <v>11</v>
      </c>
      <c r="AN2610" t="inlineStr">
        <is>
          <t>WARREN</t>
        </is>
      </c>
      <c r="AO2610" t="inlineStr">
        <is>
          <t>WARREN CITY 4F</t>
        </is>
      </c>
      <c r="AP2610" t="inlineStr">
        <is>
          <t>78-P-ADN</t>
        </is>
      </c>
      <c r="AQ2610" t="n">
        <v>9</v>
      </c>
      <c r="AR2610" t="n">
        <v>64</v>
      </c>
      <c r="AS2610" t="n">
        <v>32</v>
      </c>
      <c r="AU2610">
        <f>COUNTA($BA$2610:$EH$2610)</f>
        <v/>
      </c>
      <c r="AV2610">
        <f>COUNTIF($BA$2610:$EH$2610,"D")</f>
        <v/>
      </c>
      <c r="AW2610">
        <f>COUNTIF($BA$2610:$EH$2610,"R")</f>
        <v/>
      </c>
      <c r="AX2610">
        <f>IF(BN2610="D",1,0)+IF(BO2610="D",1,0)+IF(BT2610="D",1,0)+IF(BU2610="D",1,0)+IF(BW2610="D",1,0)+IF(CC2610="D",1,0)+IF(CD2610="D",1,0)+IF(CE2610="D",1,0)+IF(CF2610="D",1,0)+IF(CL2610="D",1,0)+IF(CM2610="D",1,0)+IF(CQ2610="D",1,0)+IF(CR2610="D",1,0)+IF(CS2610="D",1,0)+IF(CW2610="D",1,0)+IF(CX2610="D",1,0)+IF(DD2610="D",1,0)+IF(DE2610="D",1,0)+IF(DJ2610="D",1,0)+IF(DK2610="D",1,0)+IF(DO2610="D",1,0)+IF(DP2610="D",1,0)+IF(DQ2610="D",1,0)+IF(DW2610="D",1,0)+IF(DZ2610="D",1,0)+IF(EH2610="D",1,0)</f>
        <v/>
      </c>
      <c r="AY2610">
        <f>IF(DJ2610&lt;&gt;"",1,0)+IF(DK2610&lt;&gt;"",1,0)+IF(DM2610&lt;&gt;"",1,0)+IF(DO2610&lt;&gt;"",1,0)+IF(DP2610&lt;&gt;"",1,0)+IF(DQ2610&lt;&gt;"",1,0)+IF(DS2610&lt;&gt;"",1,0)+IF(DT2610&lt;&gt;"",1,0)+IF(DV2610&lt;&gt;"",1,0)+IF(DW2610&lt;&gt;"",1,0)+IF(DX2610&lt;&gt;"",1,0)+IF(DY2610&lt;&gt;"",1,0)+IF(DZ2610&lt;&gt;"",1,0)+IF(EB2610&lt;&gt;"",1,0)+IF(EC2610&lt;&gt;"",1,0)+IF(ED2610&lt;&gt;"",1,0)+IF(EG2610&lt;&gt;"",1,0)+IF(EH2610&lt;&gt;"",1,0)</f>
        <v/>
      </c>
      <c r="AZ2610">
        <f>IF(EH2610&lt;&gt;"",1,0)</f>
        <v/>
      </c>
      <c r="BB2610" t="inlineStr">
        <is>
          <t>WARREN-WARD 4</t>
        </is>
      </c>
      <c r="CA2610" t="inlineStr">
        <is>
          <t>X</t>
        </is>
      </c>
      <c r="DC2610" t="inlineStr">
        <is>
          <t>X</t>
        </is>
      </c>
      <c r="DN2610" t="inlineStr">
        <is>
          <t>X</t>
        </is>
      </c>
      <c r="EF2610" t="inlineStr">
        <is>
          <t>X</t>
        </is>
      </c>
    </row>
    <row r="2611">
      <c r="A2611" t="inlineStr">
        <is>
          <t>OH0023640770</t>
        </is>
      </c>
      <c r="B2611" t="n">
        <v>78</v>
      </c>
      <c r="C2611" t="n">
        <v>415647</v>
      </c>
      <c r="D2611" t="inlineStr">
        <is>
          <t>MERRITT</t>
        </is>
      </c>
      <c r="E2611" t="inlineStr">
        <is>
          <t>DEMOND</t>
        </is>
      </c>
      <c r="F2611">
        <f>CONCATENATE(D2611," ",LEFT(H2611,4),"T=",AU2611,"D=",AV2611,"R=",AW2611,"M=",AX2611,"L=",AY2611,"B=",AZ2611)</f>
        <v/>
      </c>
      <c r="G2611" t="inlineStr">
        <is>
          <t>KEITH</t>
        </is>
      </c>
      <c r="I2611" t="inlineStr">
        <is>
          <t>1974-02-02</t>
        </is>
      </c>
      <c r="J2611" t="inlineStr">
        <is>
          <t>2021-05-20</t>
        </is>
      </c>
      <c r="K2611" t="inlineStr">
        <is>
          <t>ACTIVE</t>
        </is>
      </c>
      <c r="M2611" t="inlineStr">
        <is>
          <t>2170 BENTON ST SE</t>
        </is>
      </c>
      <c r="N2611">
        <f>RIGHT(M2611,LEN(M2611)-FIND(" ",M2611))</f>
        <v/>
      </c>
      <c r="P2611" t="inlineStr">
        <is>
          <t>WARREN</t>
        </is>
      </c>
      <c r="Q2611" t="inlineStr">
        <is>
          <t>OH</t>
        </is>
      </c>
      <c r="R2611" t="n">
        <v>44484</v>
      </c>
      <c r="AD2611" t="inlineStr">
        <is>
          <t>TRUMBULL CAREER &amp; TECH CENTER</t>
        </is>
      </c>
      <c r="AE2611" t="inlineStr">
        <is>
          <t>WARREN CITY</t>
        </is>
      </c>
      <c r="AF2611" t="inlineStr">
        <is>
          <t>WARREN CITY SD</t>
        </is>
      </c>
      <c r="AH2611" t="n">
        <v>14</v>
      </c>
      <c r="AI2611" t="n">
        <v>11</v>
      </c>
      <c r="AN2611" t="inlineStr">
        <is>
          <t>WARREN</t>
        </is>
      </c>
      <c r="AO2611" t="inlineStr">
        <is>
          <t>WARREN CITY 4F</t>
        </is>
      </c>
      <c r="AP2611" t="inlineStr">
        <is>
          <t>78-P-ADN</t>
        </is>
      </c>
      <c r="AQ2611" t="n">
        <v>9</v>
      </c>
      <c r="AR2611" t="n">
        <v>64</v>
      </c>
      <c r="AS2611" t="n">
        <v>32</v>
      </c>
      <c r="AU2611">
        <f>COUNTA($BA$2611:$EH$2611)</f>
        <v/>
      </c>
      <c r="AV2611">
        <f>COUNTIF($BA$2611:$EH$2611,"D")</f>
        <v/>
      </c>
      <c r="AW2611">
        <f>COUNTIF($BA$2611:$EH$2611,"R")</f>
        <v/>
      </c>
      <c r="AX2611">
        <f>IF(BN2611="D",1,0)+IF(BO2611="D",1,0)+IF(BT2611="D",1,0)+IF(BU2611="D",1,0)+IF(BW2611="D",1,0)+IF(CC2611="D",1,0)+IF(CD2611="D",1,0)+IF(CE2611="D",1,0)+IF(CF2611="D",1,0)+IF(CL2611="D",1,0)+IF(CM2611="D",1,0)+IF(CQ2611="D",1,0)+IF(CR2611="D",1,0)+IF(CS2611="D",1,0)+IF(CW2611="D",1,0)+IF(CX2611="D",1,0)+IF(DD2611="D",1,0)+IF(DE2611="D",1,0)+IF(DJ2611="D",1,0)+IF(DK2611="D",1,0)+IF(DO2611="D",1,0)+IF(DP2611="D",1,0)+IF(DQ2611="D",1,0)+IF(DW2611="D",1,0)+IF(DZ2611="D",1,0)+IF(EH2611="D",1,0)</f>
        <v/>
      </c>
      <c r="AY2611">
        <f>IF(DJ2611&lt;&gt;"",1,0)+IF(DK2611&lt;&gt;"",1,0)+IF(DM2611&lt;&gt;"",1,0)+IF(DO2611&lt;&gt;"",1,0)+IF(DP2611&lt;&gt;"",1,0)+IF(DQ2611&lt;&gt;"",1,0)+IF(DS2611&lt;&gt;"",1,0)+IF(DT2611&lt;&gt;"",1,0)+IF(DV2611&lt;&gt;"",1,0)+IF(DW2611&lt;&gt;"",1,0)+IF(DX2611&lt;&gt;"",1,0)+IF(DY2611&lt;&gt;"",1,0)+IF(DZ2611&lt;&gt;"",1,0)+IF(EB2611&lt;&gt;"",1,0)+IF(EC2611&lt;&gt;"",1,0)+IF(ED2611&lt;&gt;"",1,0)+IF(EG2611&lt;&gt;"",1,0)+IF(EH2611&lt;&gt;"",1,0)</f>
        <v/>
      </c>
      <c r="AZ2611">
        <f>IF(EH2611&lt;&gt;"",1,0)</f>
        <v/>
      </c>
      <c r="BB2611" t="inlineStr">
        <is>
          <t>WARREN-WARD 4</t>
        </is>
      </c>
      <c r="DN2611" t="inlineStr">
        <is>
          <t>X</t>
        </is>
      </c>
    </row>
    <row r="2612">
      <c r="A2612" t="inlineStr">
        <is>
          <t>OH0026224303</t>
        </is>
      </c>
      <c r="B2612" t="n">
        <v>78</v>
      </c>
      <c r="C2612" t="n">
        <v>458628</v>
      </c>
      <c r="D2612" t="inlineStr">
        <is>
          <t>JONES</t>
        </is>
      </c>
      <c r="E2612" t="inlineStr">
        <is>
          <t>JAZMAINE</t>
        </is>
      </c>
      <c r="F2612">
        <f>CONCATENATE(D2612," ",LEFT(H2612,4),"T=",AU2612,"D=",AV2612,"R=",AW2612,"M=",AX2612,"L=",AY2612,"B=",AZ2612)</f>
        <v/>
      </c>
      <c r="G2612" t="inlineStr">
        <is>
          <t>L</t>
        </is>
      </c>
      <c r="I2612" t="inlineStr">
        <is>
          <t>2002-07-06</t>
        </is>
      </c>
      <c r="J2612" t="inlineStr">
        <is>
          <t>2024-07-29</t>
        </is>
      </c>
      <c r="K2612" t="inlineStr">
        <is>
          <t>ACTIVE</t>
        </is>
      </c>
      <c r="M2612" t="inlineStr">
        <is>
          <t>1954 DRAPER AVE SE</t>
        </is>
      </c>
      <c r="N2612">
        <f>RIGHT(M2612,LEN(M2612)-FIND(" ",M2612))</f>
        <v/>
      </c>
      <c r="P2612" t="inlineStr">
        <is>
          <t>WARREN</t>
        </is>
      </c>
      <c r="Q2612" t="inlineStr">
        <is>
          <t>OH</t>
        </is>
      </c>
      <c r="R2612" t="n">
        <v>44484</v>
      </c>
      <c r="AD2612" t="inlineStr">
        <is>
          <t>TRUMBULL CAREER &amp; TECH CENTER</t>
        </is>
      </c>
      <c r="AE2612" t="inlineStr">
        <is>
          <t>WARREN CITY</t>
        </is>
      </c>
      <c r="AF2612" t="inlineStr">
        <is>
          <t>WARREN CITY SD</t>
        </is>
      </c>
      <c r="AH2612" t="n">
        <v>14</v>
      </c>
      <c r="AI2612" t="n">
        <v>11</v>
      </c>
      <c r="AN2612" t="inlineStr">
        <is>
          <t>WARREN</t>
        </is>
      </c>
      <c r="AO2612" t="inlineStr">
        <is>
          <t>WARREN CITY 4F</t>
        </is>
      </c>
      <c r="AP2612" t="inlineStr">
        <is>
          <t>78-P-ADN</t>
        </is>
      </c>
      <c r="AQ2612" t="n">
        <v>9</v>
      </c>
      <c r="AR2612" t="n">
        <v>64</v>
      </c>
      <c r="AS2612" t="n">
        <v>32</v>
      </c>
      <c r="AU2612">
        <f>COUNTA($BA$2612:$EH$2612)</f>
        <v/>
      </c>
      <c r="AV2612">
        <f>COUNTIF($BA$2612:$EH$2612,"D")</f>
        <v/>
      </c>
      <c r="AW2612">
        <f>COUNTIF($BA$2612:$EH$2612,"R")</f>
        <v/>
      </c>
      <c r="AX2612">
        <f>IF(BN2612="D",1,0)+IF(BO2612="D",1,0)+IF(BT2612="D",1,0)+IF(BU2612="D",1,0)+IF(BW2612="D",1,0)+IF(CC2612="D",1,0)+IF(CD2612="D",1,0)+IF(CE2612="D",1,0)+IF(CF2612="D",1,0)+IF(CL2612="D",1,0)+IF(CM2612="D",1,0)+IF(CQ2612="D",1,0)+IF(CR2612="D",1,0)+IF(CS2612="D",1,0)+IF(CW2612="D",1,0)+IF(CX2612="D",1,0)+IF(DD2612="D",1,0)+IF(DE2612="D",1,0)+IF(DJ2612="D",1,0)+IF(DK2612="D",1,0)+IF(DO2612="D",1,0)+IF(DP2612="D",1,0)+IF(DQ2612="D",1,0)+IF(DW2612="D",1,0)+IF(DZ2612="D",1,0)+IF(EH2612="D",1,0)</f>
        <v/>
      </c>
      <c r="AY2612">
        <f>IF(DJ2612&lt;&gt;"",1,0)+IF(DK2612&lt;&gt;"",1,0)+IF(DM2612&lt;&gt;"",1,0)+IF(DO2612&lt;&gt;"",1,0)+IF(DP2612&lt;&gt;"",1,0)+IF(DQ2612&lt;&gt;"",1,0)+IF(DS2612&lt;&gt;"",1,0)+IF(DT2612&lt;&gt;"",1,0)+IF(DV2612&lt;&gt;"",1,0)+IF(DW2612&lt;&gt;"",1,0)+IF(DX2612&lt;&gt;"",1,0)+IF(DY2612&lt;&gt;"",1,0)+IF(DZ2612&lt;&gt;"",1,0)+IF(EB2612&lt;&gt;"",1,0)+IF(EC2612&lt;&gt;"",1,0)+IF(ED2612&lt;&gt;"",1,0)+IF(EG2612&lt;&gt;"",1,0)+IF(EH2612&lt;&gt;"",1,0)</f>
        <v/>
      </c>
      <c r="AZ2612">
        <f>IF(EH2612&lt;&gt;"",1,0)</f>
        <v/>
      </c>
      <c r="BB2612" t="inlineStr">
        <is>
          <t>WARREN-WARD 4</t>
        </is>
      </c>
    </row>
    <row r="2613">
      <c r="A2613" t="inlineStr">
        <is>
          <t>OH0020820920</t>
        </is>
      </c>
      <c r="B2613" t="n">
        <v>78</v>
      </c>
      <c r="C2613" t="n">
        <v>370438</v>
      </c>
      <c r="D2613" t="inlineStr">
        <is>
          <t>WILLIAMSON</t>
        </is>
      </c>
      <c r="E2613" t="inlineStr">
        <is>
          <t>JANET</t>
        </is>
      </c>
      <c r="F2613">
        <f>CONCATENATE(D2613," ",LEFT(H2613,4),"T=",AU2613,"D=",AV2613,"R=",AW2613,"M=",AX2613,"L=",AY2613,"B=",AZ2613)</f>
        <v/>
      </c>
      <c r="G2613" t="inlineStr">
        <is>
          <t>L</t>
        </is>
      </c>
      <c r="I2613" t="inlineStr">
        <is>
          <t>1968-05-30</t>
        </is>
      </c>
      <c r="J2613" t="inlineStr">
        <is>
          <t>2018-01-19</t>
        </is>
      </c>
      <c r="K2613" t="inlineStr">
        <is>
          <t>CONFIRMATION</t>
        </is>
      </c>
      <c r="M2613" t="inlineStr">
        <is>
          <t>2652 NILES RD SE</t>
        </is>
      </c>
      <c r="N2613">
        <f>RIGHT(M2613,LEN(M2613)-FIND(" ",M2613))</f>
        <v/>
      </c>
      <c r="P2613" t="inlineStr">
        <is>
          <t>WARREN</t>
        </is>
      </c>
      <c r="Q2613" t="inlineStr">
        <is>
          <t>OH</t>
        </is>
      </c>
      <c r="R2613" t="n">
        <v>44484</v>
      </c>
      <c r="AD2613" t="inlineStr">
        <is>
          <t>TRUMBULL CAREER &amp; TECH CENTER</t>
        </is>
      </c>
      <c r="AE2613" t="inlineStr">
        <is>
          <t>WARREN CITY</t>
        </is>
      </c>
      <c r="AF2613" t="inlineStr">
        <is>
          <t>WARREN CITY SD</t>
        </is>
      </c>
      <c r="AH2613" t="n">
        <v>14</v>
      </c>
      <c r="AI2613" t="n">
        <v>11</v>
      </c>
      <c r="AN2613" t="inlineStr">
        <is>
          <t>WARREN</t>
        </is>
      </c>
      <c r="AO2613" t="inlineStr">
        <is>
          <t>WARREN CITY 4F</t>
        </is>
      </c>
      <c r="AP2613" t="inlineStr">
        <is>
          <t>78-P-ADN</t>
        </is>
      </c>
      <c r="AQ2613" t="n">
        <v>9</v>
      </c>
      <c r="AR2613" t="n">
        <v>64</v>
      </c>
      <c r="AS2613" t="n">
        <v>32</v>
      </c>
      <c r="AU2613">
        <f>COUNTA($BA$2613:$EH$2613)</f>
        <v/>
      </c>
      <c r="AV2613">
        <f>COUNTIF($BA$2613:$EH$2613,"D")</f>
        <v/>
      </c>
      <c r="AW2613">
        <f>COUNTIF($BA$2613:$EH$2613,"R")</f>
        <v/>
      </c>
      <c r="AX2613">
        <f>IF(BN2613="D",1,0)+IF(BO2613="D",1,0)+IF(BT2613="D",1,0)+IF(BU2613="D",1,0)+IF(BW2613="D",1,0)+IF(CC2613="D",1,0)+IF(CD2613="D",1,0)+IF(CE2613="D",1,0)+IF(CF2613="D",1,0)+IF(CL2613="D",1,0)+IF(CM2613="D",1,0)+IF(CQ2613="D",1,0)+IF(CR2613="D",1,0)+IF(CS2613="D",1,0)+IF(CW2613="D",1,0)+IF(CX2613="D",1,0)+IF(DD2613="D",1,0)+IF(DE2613="D",1,0)+IF(DJ2613="D",1,0)+IF(DK2613="D",1,0)+IF(DO2613="D",1,0)+IF(DP2613="D",1,0)+IF(DQ2613="D",1,0)+IF(DW2613="D",1,0)+IF(DZ2613="D",1,0)+IF(EH2613="D",1,0)</f>
        <v/>
      </c>
      <c r="AY2613">
        <f>IF(DJ2613&lt;&gt;"",1,0)+IF(DK2613&lt;&gt;"",1,0)+IF(DM2613&lt;&gt;"",1,0)+IF(DO2613&lt;&gt;"",1,0)+IF(DP2613&lt;&gt;"",1,0)+IF(DQ2613&lt;&gt;"",1,0)+IF(DS2613&lt;&gt;"",1,0)+IF(DT2613&lt;&gt;"",1,0)+IF(DV2613&lt;&gt;"",1,0)+IF(DW2613&lt;&gt;"",1,0)+IF(DX2613&lt;&gt;"",1,0)+IF(DY2613&lt;&gt;"",1,0)+IF(DZ2613&lt;&gt;"",1,0)+IF(EB2613&lt;&gt;"",1,0)+IF(EC2613&lt;&gt;"",1,0)+IF(ED2613&lt;&gt;"",1,0)+IF(EG2613&lt;&gt;"",1,0)+IF(EH2613&lt;&gt;"",1,0)</f>
        <v/>
      </c>
      <c r="AZ2613">
        <f>IF(EH2613&lt;&gt;"",1,0)</f>
        <v/>
      </c>
      <c r="BB2613" t="inlineStr">
        <is>
          <t>WARREN-WARD 4</t>
        </is>
      </c>
      <c r="CP2613" t="inlineStr">
        <is>
          <t>X</t>
        </is>
      </c>
      <c r="DN2613" t="inlineStr">
        <is>
          <t>X</t>
        </is>
      </c>
    </row>
    <row r="2614">
      <c r="A2614" t="inlineStr">
        <is>
          <t>OH0023915799</t>
        </is>
      </c>
      <c r="B2614" t="n">
        <v>78</v>
      </c>
      <c r="C2614" t="n">
        <v>419924</v>
      </c>
      <c r="D2614" t="inlineStr">
        <is>
          <t>SHUSTER</t>
        </is>
      </c>
      <c r="E2614" t="inlineStr">
        <is>
          <t>JEFFREY</t>
        </is>
      </c>
      <c r="F2614">
        <f>CONCATENATE(D2614," ",LEFT(H2614,4),"T=",AU2614,"D=",AV2614,"R=",AW2614,"M=",AX2614,"L=",AY2614,"B=",AZ2614)</f>
        <v/>
      </c>
      <c r="G2614" t="inlineStr">
        <is>
          <t>MICHAEL</t>
        </is>
      </c>
      <c r="I2614" t="inlineStr">
        <is>
          <t>1997-05-07</t>
        </is>
      </c>
      <c r="J2614" t="inlineStr">
        <is>
          <t>2020-02-18</t>
        </is>
      </c>
      <c r="K2614" t="inlineStr">
        <is>
          <t>CONFIRMATION</t>
        </is>
      </c>
      <c r="M2614" t="inlineStr">
        <is>
          <t>1051 WOODBINE AVE SE</t>
        </is>
      </c>
      <c r="N2614">
        <f>RIGHT(M2614,LEN(M2614)-FIND(" ",M2614))</f>
        <v/>
      </c>
      <c r="P2614" t="inlineStr">
        <is>
          <t>WARREN</t>
        </is>
      </c>
      <c r="Q2614" t="inlineStr">
        <is>
          <t>OH</t>
        </is>
      </c>
      <c r="R2614" t="n">
        <v>44484</v>
      </c>
      <c r="AD2614" t="inlineStr">
        <is>
          <t>TRUMBULL CAREER &amp; TECH CENTER</t>
        </is>
      </c>
      <c r="AE2614" t="inlineStr">
        <is>
          <t>WARREN CITY</t>
        </is>
      </c>
      <c r="AF2614" t="inlineStr">
        <is>
          <t>WARREN CITY SD</t>
        </is>
      </c>
      <c r="AH2614" t="n">
        <v>14</v>
      </c>
      <c r="AI2614" t="n">
        <v>11</v>
      </c>
      <c r="AN2614" t="inlineStr">
        <is>
          <t>WARREN</t>
        </is>
      </c>
      <c r="AO2614" t="inlineStr">
        <is>
          <t>WARREN CITY 4F</t>
        </is>
      </c>
      <c r="AP2614" t="inlineStr">
        <is>
          <t>78-P-ADN</t>
        </is>
      </c>
      <c r="AQ2614" t="n">
        <v>9</v>
      </c>
      <c r="AR2614" t="n">
        <v>64</v>
      </c>
      <c r="AS2614" t="n">
        <v>32</v>
      </c>
      <c r="AU2614">
        <f>COUNTA($BA$2614:$EH$2614)</f>
        <v/>
      </c>
      <c r="AV2614">
        <f>COUNTIF($BA$2614:$EH$2614,"D")</f>
        <v/>
      </c>
      <c r="AW2614">
        <f>COUNTIF($BA$2614:$EH$2614,"R")</f>
        <v/>
      </c>
      <c r="AX2614">
        <f>IF(BN2614="D",1,0)+IF(BO2614="D",1,0)+IF(BT2614="D",1,0)+IF(BU2614="D",1,0)+IF(BW2614="D",1,0)+IF(CC2614="D",1,0)+IF(CD2614="D",1,0)+IF(CE2614="D",1,0)+IF(CF2614="D",1,0)+IF(CL2614="D",1,0)+IF(CM2614="D",1,0)+IF(CQ2614="D",1,0)+IF(CR2614="D",1,0)+IF(CS2614="D",1,0)+IF(CW2614="D",1,0)+IF(CX2614="D",1,0)+IF(DD2614="D",1,0)+IF(DE2614="D",1,0)+IF(DJ2614="D",1,0)+IF(DK2614="D",1,0)+IF(DO2614="D",1,0)+IF(DP2614="D",1,0)+IF(DQ2614="D",1,0)+IF(DW2614="D",1,0)+IF(DZ2614="D",1,0)+IF(EH2614="D",1,0)</f>
        <v/>
      </c>
      <c r="AY2614">
        <f>IF(DJ2614&lt;&gt;"",1,0)+IF(DK2614&lt;&gt;"",1,0)+IF(DM2614&lt;&gt;"",1,0)+IF(DO2614&lt;&gt;"",1,0)+IF(DP2614&lt;&gt;"",1,0)+IF(DQ2614&lt;&gt;"",1,0)+IF(DS2614&lt;&gt;"",1,0)+IF(DT2614&lt;&gt;"",1,0)+IF(DV2614&lt;&gt;"",1,0)+IF(DW2614&lt;&gt;"",1,0)+IF(DX2614&lt;&gt;"",1,0)+IF(DY2614&lt;&gt;"",1,0)+IF(DZ2614&lt;&gt;"",1,0)+IF(EB2614&lt;&gt;"",1,0)+IF(EC2614&lt;&gt;"",1,0)+IF(ED2614&lt;&gt;"",1,0)+IF(EG2614&lt;&gt;"",1,0)+IF(EH2614&lt;&gt;"",1,0)</f>
        <v/>
      </c>
      <c r="AZ2614">
        <f>IF(EH2614&lt;&gt;"",1,0)</f>
        <v/>
      </c>
      <c r="BB2614" t="inlineStr">
        <is>
          <t>WARREN-WARD 4</t>
        </is>
      </c>
    </row>
    <row r="2615">
      <c r="A2615" t="inlineStr">
        <is>
          <t>OH0022183939</t>
        </is>
      </c>
      <c r="B2615" t="n">
        <v>78</v>
      </c>
      <c r="C2615" t="n">
        <v>387523</v>
      </c>
      <c r="D2615" t="inlineStr">
        <is>
          <t>RICE</t>
        </is>
      </c>
      <c r="E2615" t="inlineStr">
        <is>
          <t>SHAQUIA</t>
        </is>
      </c>
      <c r="F2615">
        <f>CONCATENATE(D2615," ",LEFT(H2615,4),"T=",AU2615,"D=",AV2615,"R=",AW2615,"M=",AX2615,"L=",AY2615,"B=",AZ2615)</f>
        <v/>
      </c>
      <c r="G2615" t="inlineStr">
        <is>
          <t>LM</t>
        </is>
      </c>
      <c r="I2615" t="inlineStr">
        <is>
          <t>1992-09-09</t>
        </is>
      </c>
      <c r="J2615" t="inlineStr">
        <is>
          <t>2015-09-24</t>
        </is>
      </c>
      <c r="K2615" t="inlineStr">
        <is>
          <t>CONFIRMATION</t>
        </is>
      </c>
      <c r="M2615" t="inlineStr">
        <is>
          <t>1926 WICK ST SE</t>
        </is>
      </c>
      <c r="N2615">
        <f>RIGHT(M2615,LEN(M2615)-FIND(" ",M2615))</f>
        <v/>
      </c>
      <c r="P2615" t="inlineStr">
        <is>
          <t>WARREN</t>
        </is>
      </c>
      <c r="Q2615" t="inlineStr">
        <is>
          <t>OH</t>
        </is>
      </c>
      <c r="R2615" t="n">
        <v>44484</v>
      </c>
      <c r="AD2615" t="inlineStr">
        <is>
          <t>TRUMBULL CAREER &amp; TECH CENTER</t>
        </is>
      </c>
      <c r="AE2615" t="inlineStr">
        <is>
          <t>WARREN CITY</t>
        </is>
      </c>
      <c r="AF2615" t="inlineStr">
        <is>
          <t>WARREN CITY SD</t>
        </is>
      </c>
      <c r="AH2615" t="n">
        <v>14</v>
      </c>
      <c r="AI2615" t="n">
        <v>11</v>
      </c>
      <c r="AN2615" t="inlineStr">
        <is>
          <t>WARREN</t>
        </is>
      </c>
      <c r="AO2615" t="inlineStr">
        <is>
          <t>WARREN CITY 4F</t>
        </is>
      </c>
      <c r="AP2615" t="inlineStr">
        <is>
          <t>78-P-ADN</t>
        </is>
      </c>
      <c r="AQ2615" t="n">
        <v>9</v>
      </c>
      <c r="AR2615" t="n">
        <v>64</v>
      </c>
      <c r="AS2615" t="n">
        <v>32</v>
      </c>
      <c r="AU2615">
        <f>COUNTA($BA$2615:$EH$2615)</f>
        <v/>
      </c>
      <c r="AV2615">
        <f>COUNTIF($BA$2615:$EH$2615,"D")</f>
        <v/>
      </c>
      <c r="AW2615">
        <f>COUNTIF($BA$2615:$EH$2615,"R")</f>
        <v/>
      </c>
      <c r="AX2615">
        <f>IF(BN2615="D",1,0)+IF(BO2615="D",1,0)+IF(BT2615="D",1,0)+IF(BU2615="D",1,0)+IF(BW2615="D",1,0)+IF(CC2615="D",1,0)+IF(CD2615="D",1,0)+IF(CE2615="D",1,0)+IF(CF2615="D",1,0)+IF(CL2615="D",1,0)+IF(CM2615="D",1,0)+IF(CQ2615="D",1,0)+IF(CR2615="D",1,0)+IF(CS2615="D",1,0)+IF(CW2615="D",1,0)+IF(CX2615="D",1,0)+IF(DD2615="D",1,0)+IF(DE2615="D",1,0)+IF(DJ2615="D",1,0)+IF(DK2615="D",1,0)+IF(DO2615="D",1,0)+IF(DP2615="D",1,0)+IF(DQ2615="D",1,0)+IF(DW2615="D",1,0)+IF(DZ2615="D",1,0)+IF(EH2615="D",1,0)</f>
        <v/>
      </c>
      <c r="AY2615">
        <f>IF(DJ2615&lt;&gt;"",1,0)+IF(DK2615&lt;&gt;"",1,0)+IF(DM2615&lt;&gt;"",1,0)+IF(DO2615&lt;&gt;"",1,0)+IF(DP2615&lt;&gt;"",1,0)+IF(DQ2615&lt;&gt;"",1,0)+IF(DS2615&lt;&gt;"",1,0)+IF(DT2615&lt;&gt;"",1,0)+IF(DV2615&lt;&gt;"",1,0)+IF(DW2615&lt;&gt;"",1,0)+IF(DX2615&lt;&gt;"",1,0)+IF(DY2615&lt;&gt;"",1,0)+IF(DZ2615&lt;&gt;"",1,0)+IF(EB2615&lt;&gt;"",1,0)+IF(EC2615&lt;&gt;"",1,0)+IF(ED2615&lt;&gt;"",1,0)+IF(EG2615&lt;&gt;"",1,0)+IF(EH2615&lt;&gt;"",1,0)</f>
        <v/>
      </c>
      <c r="AZ2615">
        <f>IF(EH2615&lt;&gt;"",1,0)</f>
        <v/>
      </c>
      <c r="BB2615" t="inlineStr">
        <is>
          <t>WARREN-WARD 4</t>
        </is>
      </c>
    </row>
    <row r="2616">
      <c r="A2616" t="inlineStr">
        <is>
          <t>OH0015692960</t>
        </is>
      </c>
      <c r="B2616" t="n">
        <v>78</v>
      </c>
      <c r="C2616" t="n">
        <v>14232</v>
      </c>
      <c r="D2616" t="inlineStr">
        <is>
          <t>ASTON</t>
        </is>
      </c>
      <c r="E2616" t="inlineStr">
        <is>
          <t>SANDRA</t>
        </is>
      </c>
      <c r="F2616">
        <f>CONCATENATE(D2616," ",LEFT(H2616,4),"T=",AU2616,"D=",AV2616,"R=",AW2616,"M=",AX2616,"L=",AY2616,"B=",AZ2616)</f>
        <v/>
      </c>
      <c r="G2616" t="inlineStr">
        <is>
          <t>D</t>
        </is>
      </c>
      <c r="I2616" t="inlineStr">
        <is>
          <t>1937-11-02</t>
        </is>
      </c>
      <c r="J2616" t="inlineStr">
        <is>
          <t>2007-10-08</t>
        </is>
      </c>
      <c r="K2616" t="inlineStr">
        <is>
          <t>ACTIVE</t>
        </is>
      </c>
      <c r="L2616" t="inlineStr">
        <is>
          <t>D</t>
        </is>
      </c>
      <c r="M2616" t="inlineStr">
        <is>
          <t>1046 EAST AVE SE</t>
        </is>
      </c>
      <c r="N2616">
        <f>RIGHT(M2616,LEN(M2616)-FIND(" ",M2616))</f>
        <v/>
      </c>
      <c r="P2616" t="inlineStr">
        <is>
          <t>WARREN</t>
        </is>
      </c>
      <c r="Q2616" t="inlineStr">
        <is>
          <t>OH</t>
        </is>
      </c>
      <c r="R2616" t="n">
        <v>44484</v>
      </c>
      <c r="AD2616" t="inlineStr">
        <is>
          <t>TRUMBULL CAREER &amp; TECH CENTER</t>
        </is>
      </c>
      <c r="AE2616" t="inlineStr">
        <is>
          <t>WARREN CITY</t>
        </is>
      </c>
      <c r="AF2616" t="inlineStr">
        <is>
          <t>WARREN CITY SD</t>
        </is>
      </c>
      <c r="AH2616" t="n">
        <v>14</v>
      </c>
      <c r="AI2616" t="n">
        <v>11</v>
      </c>
      <c r="AN2616" t="inlineStr">
        <is>
          <t>WARREN</t>
        </is>
      </c>
      <c r="AO2616" t="inlineStr">
        <is>
          <t>WARREN CITY 4F</t>
        </is>
      </c>
      <c r="AP2616" t="inlineStr">
        <is>
          <t>78-P-ADN</t>
        </is>
      </c>
      <c r="AQ2616" t="n">
        <v>9</v>
      </c>
      <c r="AR2616" t="n">
        <v>64</v>
      </c>
      <c r="AS2616" t="n">
        <v>32</v>
      </c>
      <c r="AU2616">
        <f>COUNTA($BA$2616:$EH$2616)</f>
        <v/>
      </c>
      <c r="AV2616">
        <f>COUNTIF($BA$2616:$EH$2616,"D")</f>
        <v/>
      </c>
      <c r="AW2616">
        <f>COUNTIF($BA$2616:$EH$2616,"R")</f>
        <v/>
      </c>
      <c r="AX2616">
        <f>IF(BN2616="D",1,0)+IF(BO2616="D",1,0)+IF(BT2616="D",1,0)+IF(BU2616="D",1,0)+IF(BW2616="D",1,0)+IF(CC2616="D",1,0)+IF(CD2616="D",1,0)+IF(CE2616="D",1,0)+IF(CF2616="D",1,0)+IF(CL2616="D",1,0)+IF(CM2616="D",1,0)+IF(CQ2616="D",1,0)+IF(CR2616="D",1,0)+IF(CS2616="D",1,0)+IF(CW2616="D",1,0)+IF(CX2616="D",1,0)+IF(DD2616="D",1,0)+IF(DE2616="D",1,0)+IF(DJ2616="D",1,0)+IF(DK2616="D",1,0)+IF(DO2616="D",1,0)+IF(DP2616="D",1,0)+IF(DQ2616="D",1,0)+IF(DW2616="D",1,0)+IF(DZ2616="D",1,0)+IF(EH2616="D",1,0)</f>
        <v/>
      </c>
      <c r="AY2616">
        <f>IF(DJ2616&lt;&gt;"",1,0)+IF(DK2616&lt;&gt;"",1,0)+IF(DM2616&lt;&gt;"",1,0)+IF(DO2616&lt;&gt;"",1,0)+IF(DP2616&lt;&gt;"",1,0)+IF(DQ2616&lt;&gt;"",1,0)+IF(DS2616&lt;&gt;"",1,0)+IF(DT2616&lt;&gt;"",1,0)+IF(DV2616&lt;&gt;"",1,0)+IF(DW2616&lt;&gt;"",1,0)+IF(DX2616&lt;&gt;"",1,0)+IF(DY2616&lt;&gt;"",1,0)+IF(DZ2616&lt;&gt;"",1,0)+IF(EB2616&lt;&gt;"",1,0)+IF(EC2616&lt;&gt;"",1,0)+IF(ED2616&lt;&gt;"",1,0)+IF(EG2616&lt;&gt;"",1,0)+IF(EH2616&lt;&gt;"",1,0)</f>
        <v/>
      </c>
      <c r="AZ2616">
        <f>IF(EH2616&lt;&gt;"",1,0)</f>
        <v/>
      </c>
      <c r="BB2616" t="inlineStr">
        <is>
          <t>WARREN-WARD 4</t>
        </is>
      </c>
      <c r="BL2616" t="inlineStr">
        <is>
          <t>X</t>
        </is>
      </c>
      <c r="CA2616" t="inlineStr">
        <is>
          <t>X</t>
        </is>
      </c>
      <c r="CK2616" t="inlineStr">
        <is>
          <t>X</t>
        </is>
      </c>
      <c r="CP2616" t="inlineStr">
        <is>
          <t>X</t>
        </is>
      </c>
      <c r="DC2616" t="inlineStr">
        <is>
          <t>X</t>
        </is>
      </c>
      <c r="DN2616" t="inlineStr">
        <is>
          <t>X</t>
        </is>
      </c>
      <c r="DW2616" t="inlineStr">
        <is>
          <t>D</t>
        </is>
      </c>
    </row>
    <row r="2617">
      <c r="A2617" t="inlineStr">
        <is>
          <t>OH0023188517</t>
        </is>
      </c>
      <c r="B2617" t="n">
        <v>78</v>
      </c>
      <c r="C2617" t="n">
        <v>408266</v>
      </c>
      <c r="D2617" t="inlineStr">
        <is>
          <t>CYLAR</t>
        </is>
      </c>
      <c r="E2617" t="inlineStr">
        <is>
          <t>KEVIN</t>
        </is>
      </c>
      <c r="F2617">
        <f>CONCATENATE(D2617," ",LEFT(H2617,4),"T=",AU2617,"D=",AV2617,"R=",AW2617,"M=",AX2617,"L=",AY2617,"B=",AZ2617)</f>
        <v/>
      </c>
      <c r="G2617" t="inlineStr">
        <is>
          <t>O</t>
        </is>
      </c>
      <c r="H2617" t="inlineStr">
        <is>
          <t>SR</t>
        </is>
      </c>
      <c r="I2617" t="inlineStr">
        <is>
          <t>1973-04-30</t>
        </is>
      </c>
      <c r="J2617" t="inlineStr">
        <is>
          <t>2017-03-03</t>
        </is>
      </c>
      <c r="K2617" t="inlineStr">
        <is>
          <t>CONFIRMATION</t>
        </is>
      </c>
      <c r="M2617" t="inlineStr">
        <is>
          <t>1198 OAK KNOLL AVE SE</t>
        </is>
      </c>
      <c r="N2617">
        <f>RIGHT(M2617,LEN(M2617)-FIND(" ",M2617))</f>
        <v/>
      </c>
      <c r="P2617" t="inlineStr">
        <is>
          <t>WARREN</t>
        </is>
      </c>
      <c r="Q2617" t="inlineStr">
        <is>
          <t>OH</t>
        </is>
      </c>
      <c r="R2617" t="n">
        <v>44484</v>
      </c>
      <c r="AD2617" t="inlineStr">
        <is>
          <t>TRUMBULL CAREER &amp; TECH CENTER</t>
        </is>
      </c>
      <c r="AE2617" t="inlineStr">
        <is>
          <t>WARREN CITY</t>
        </is>
      </c>
      <c r="AF2617" t="inlineStr">
        <is>
          <t>WARREN CITY SD</t>
        </is>
      </c>
      <c r="AH2617" t="n">
        <v>14</v>
      </c>
      <c r="AI2617" t="n">
        <v>11</v>
      </c>
      <c r="AN2617" t="inlineStr">
        <is>
          <t>WARREN</t>
        </is>
      </c>
      <c r="AO2617" t="inlineStr">
        <is>
          <t>WARREN CITY 4F</t>
        </is>
      </c>
      <c r="AP2617" t="inlineStr">
        <is>
          <t>78-P-ADN</t>
        </is>
      </c>
      <c r="AQ2617" t="n">
        <v>9</v>
      </c>
      <c r="AR2617" t="n">
        <v>64</v>
      </c>
      <c r="AS2617" t="n">
        <v>32</v>
      </c>
      <c r="AU2617">
        <f>COUNTA($BA$2617:$EH$2617)</f>
        <v/>
      </c>
      <c r="AV2617">
        <f>COUNTIF($BA$2617:$EH$2617,"D")</f>
        <v/>
      </c>
      <c r="AW2617">
        <f>COUNTIF($BA$2617:$EH$2617,"R")</f>
        <v/>
      </c>
      <c r="AX2617">
        <f>IF(BN2617="D",1,0)+IF(BO2617="D",1,0)+IF(BT2617="D",1,0)+IF(BU2617="D",1,0)+IF(BW2617="D",1,0)+IF(CC2617="D",1,0)+IF(CD2617="D",1,0)+IF(CE2617="D",1,0)+IF(CF2617="D",1,0)+IF(CL2617="D",1,0)+IF(CM2617="D",1,0)+IF(CQ2617="D",1,0)+IF(CR2617="D",1,0)+IF(CS2617="D",1,0)+IF(CW2617="D",1,0)+IF(CX2617="D",1,0)+IF(DD2617="D",1,0)+IF(DE2617="D",1,0)+IF(DJ2617="D",1,0)+IF(DK2617="D",1,0)+IF(DO2617="D",1,0)+IF(DP2617="D",1,0)+IF(DQ2617="D",1,0)+IF(DW2617="D",1,0)+IF(DZ2617="D",1,0)+IF(EH2617="D",1,0)</f>
        <v/>
      </c>
      <c r="AY2617">
        <f>IF(DJ2617&lt;&gt;"",1,0)+IF(DK2617&lt;&gt;"",1,0)+IF(DM2617&lt;&gt;"",1,0)+IF(DO2617&lt;&gt;"",1,0)+IF(DP2617&lt;&gt;"",1,0)+IF(DQ2617&lt;&gt;"",1,0)+IF(DS2617&lt;&gt;"",1,0)+IF(DT2617&lt;&gt;"",1,0)+IF(DV2617&lt;&gt;"",1,0)+IF(DW2617&lt;&gt;"",1,0)+IF(DX2617&lt;&gt;"",1,0)+IF(DY2617&lt;&gt;"",1,0)+IF(DZ2617&lt;&gt;"",1,0)+IF(EB2617&lt;&gt;"",1,0)+IF(EC2617&lt;&gt;"",1,0)+IF(ED2617&lt;&gt;"",1,0)+IF(EG2617&lt;&gt;"",1,0)+IF(EH2617&lt;&gt;"",1,0)</f>
        <v/>
      </c>
      <c r="AZ2617">
        <f>IF(EH2617&lt;&gt;"",1,0)</f>
        <v/>
      </c>
      <c r="BB2617" t="inlineStr">
        <is>
          <t>WARREN-WARD 4</t>
        </is>
      </c>
      <c r="BD2617" t="inlineStr">
        <is>
          <t>X</t>
        </is>
      </c>
      <c r="BL2617" t="inlineStr">
        <is>
          <t>X</t>
        </is>
      </c>
      <c r="CA2617" t="inlineStr">
        <is>
          <t>X</t>
        </is>
      </c>
      <c r="CP2617" t="inlineStr">
        <is>
          <t>X</t>
        </is>
      </c>
      <c r="DC2617" t="inlineStr">
        <is>
          <t>X</t>
        </is>
      </c>
    </row>
    <row r="2618">
      <c r="A2618" t="inlineStr">
        <is>
          <t>OH0023341482</t>
        </is>
      </c>
      <c r="B2618" t="n">
        <v>78</v>
      </c>
      <c r="C2618" t="n">
        <v>410842</v>
      </c>
      <c r="D2618" t="inlineStr">
        <is>
          <t>DICKEY</t>
        </is>
      </c>
      <c r="E2618" t="inlineStr">
        <is>
          <t>RAYMOND</t>
        </is>
      </c>
      <c r="F2618">
        <f>CONCATENATE(D2618," ",LEFT(H2618,4),"T=",AU2618,"D=",AV2618,"R=",AW2618,"M=",AX2618,"L=",AY2618,"B=",AZ2618)</f>
        <v/>
      </c>
      <c r="G2618" t="inlineStr">
        <is>
          <t>D</t>
        </is>
      </c>
      <c r="H2618" t="inlineStr">
        <is>
          <t>JR</t>
        </is>
      </c>
      <c r="I2618" t="inlineStr">
        <is>
          <t>1984-07-27</t>
        </is>
      </c>
      <c r="J2618" t="inlineStr">
        <is>
          <t>2015-09-26</t>
        </is>
      </c>
      <c r="K2618" t="inlineStr">
        <is>
          <t>CONFIRMATION</t>
        </is>
      </c>
      <c r="M2618" t="inlineStr">
        <is>
          <t>1551 WOODBINE AVE SE</t>
        </is>
      </c>
      <c r="N2618">
        <f>RIGHT(M2618,LEN(M2618)-FIND(" ",M2618))</f>
        <v/>
      </c>
      <c r="P2618" t="inlineStr">
        <is>
          <t>WARREN</t>
        </is>
      </c>
      <c r="Q2618" t="inlineStr">
        <is>
          <t>OH</t>
        </is>
      </c>
      <c r="R2618" t="n">
        <v>44484</v>
      </c>
      <c r="AD2618" t="inlineStr">
        <is>
          <t>TRUMBULL CAREER &amp; TECH CENTER</t>
        </is>
      </c>
      <c r="AE2618" t="inlineStr">
        <is>
          <t>WARREN CITY</t>
        </is>
      </c>
      <c r="AF2618" t="inlineStr">
        <is>
          <t>WARREN CITY SD</t>
        </is>
      </c>
      <c r="AH2618" t="n">
        <v>14</v>
      </c>
      <c r="AI2618" t="n">
        <v>11</v>
      </c>
      <c r="AN2618" t="inlineStr">
        <is>
          <t>WARREN</t>
        </is>
      </c>
      <c r="AO2618" t="inlineStr">
        <is>
          <t>WARREN CITY 4F</t>
        </is>
      </c>
      <c r="AP2618" t="inlineStr">
        <is>
          <t>78-P-ADN</t>
        </is>
      </c>
      <c r="AQ2618" t="n">
        <v>9</v>
      </c>
      <c r="AR2618" t="n">
        <v>64</v>
      </c>
      <c r="AS2618" t="n">
        <v>32</v>
      </c>
      <c r="AU2618">
        <f>COUNTA($BA$2618:$EH$2618)</f>
        <v/>
      </c>
      <c r="AV2618">
        <f>COUNTIF($BA$2618:$EH$2618,"D")</f>
        <v/>
      </c>
      <c r="AW2618">
        <f>COUNTIF($BA$2618:$EH$2618,"R")</f>
        <v/>
      </c>
      <c r="AX2618">
        <f>IF(BN2618="D",1,0)+IF(BO2618="D",1,0)+IF(BT2618="D",1,0)+IF(BU2618="D",1,0)+IF(BW2618="D",1,0)+IF(CC2618="D",1,0)+IF(CD2618="D",1,0)+IF(CE2618="D",1,0)+IF(CF2618="D",1,0)+IF(CL2618="D",1,0)+IF(CM2618="D",1,0)+IF(CQ2618="D",1,0)+IF(CR2618="D",1,0)+IF(CS2618="D",1,0)+IF(CW2618="D",1,0)+IF(CX2618="D",1,0)+IF(DD2618="D",1,0)+IF(DE2618="D",1,0)+IF(DJ2618="D",1,0)+IF(DK2618="D",1,0)+IF(DO2618="D",1,0)+IF(DP2618="D",1,0)+IF(DQ2618="D",1,0)+IF(DW2618="D",1,0)+IF(DZ2618="D",1,0)+IF(EH2618="D",1,0)</f>
        <v/>
      </c>
      <c r="AY2618">
        <f>IF(DJ2618&lt;&gt;"",1,0)+IF(DK2618&lt;&gt;"",1,0)+IF(DM2618&lt;&gt;"",1,0)+IF(DO2618&lt;&gt;"",1,0)+IF(DP2618&lt;&gt;"",1,0)+IF(DQ2618&lt;&gt;"",1,0)+IF(DS2618&lt;&gt;"",1,0)+IF(DT2618&lt;&gt;"",1,0)+IF(DV2618&lt;&gt;"",1,0)+IF(DW2618&lt;&gt;"",1,0)+IF(DX2618&lt;&gt;"",1,0)+IF(DY2618&lt;&gt;"",1,0)+IF(DZ2618&lt;&gt;"",1,0)+IF(EB2618&lt;&gt;"",1,0)+IF(EC2618&lt;&gt;"",1,0)+IF(ED2618&lt;&gt;"",1,0)+IF(EG2618&lt;&gt;"",1,0)+IF(EH2618&lt;&gt;"",1,0)</f>
        <v/>
      </c>
      <c r="AZ2618">
        <f>IF(EH2618&lt;&gt;"",1,0)</f>
        <v/>
      </c>
      <c r="BB2618" t="inlineStr">
        <is>
          <t>WARREN-WARD 4</t>
        </is>
      </c>
    </row>
    <row r="2619">
      <c r="A2619" t="inlineStr">
        <is>
          <t>OH0015809723</t>
        </is>
      </c>
      <c r="B2619" t="n">
        <v>78</v>
      </c>
      <c r="C2619" t="n">
        <v>259598</v>
      </c>
      <c r="D2619" t="inlineStr">
        <is>
          <t>MILLER</t>
        </is>
      </c>
      <c r="E2619" t="inlineStr">
        <is>
          <t>FRANCIS</t>
        </is>
      </c>
      <c r="F2619">
        <f>CONCATENATE(D2619," ",LEFT(H2619,4),"T=",AU2619,"D=",AV2619,"R=",AW2619,"M=",AX2619,"L=",AY2619,"B=",AZ2619)</f>
        <v/>
      </c>
      <c r="G2619" t="inlineStr">
        <is>
          <t>E</t>
        </is>
      </c>
      <c r="H2619" t="inlineStr">
        <is>
          <t>SR</t>
        </is>
      </c>
      <c r="I2619" t="inlineStr">
        <is>
          <t>1959-03-31</t>
        </is>
      </c>
      <c r="J2619" t="inlineStr">
        <is>
          <t>2021-08-27</t>
        </is>
      </c>
      <c r="K2619" t="inlineStr">
        <is>
          <t>ACTIVE</t>
        </is>
      </c>
      <c r="M2619" t="inlineStr">
        <is>
          <t>1026 EAST AVE SE</t>
        </is>
      </c>
      <c r="N2619">
        <f>RIGHT(M2619,LEN(M2619)-FIND(" ",M2619))</f>
        <v/>
      </c>
      <c r="P2619" t="inlineStr">
        <is>
          <t>WARREN</t>
        </is>
      </c>
      <c r="Q2619" t="inlineStr">
        <is>
          <t>OH</t>
        </is>
      </c>
      <c r="R2619" t="n">
        <v>44484</v>
      </c>
      <c r="AD2619" t="inlineStr">
        <is>
          <t>TRUMBULL CAREER &amp; TECH CENTER</t>
        </is>
      </c>
      <c r="AE2619" t="inlineStr">
        <is>
          <t>WARREN CITY</t>
        </is>
      </c>
      <c r="AF2619" t="inlineStr">
        <is>
          <t>WARREN CITY SD</t>
        </is>
      </c>
      <c r="AH2619" t="n">
        <v>14</v>
      </c>
      <c r="AI2619" t="n">
        <v>11</v>
      </c>
      <c r="AN2619" t="inlineStr">
        <is>
          <t>WARREN</t>
        </is>
      </c>
      <c r="AO2619" t="inlineStr">
        <is>
          <t>WARREN CITY 4F</t>
        </is>
      </c>
      <c r="AP2619" t="inlineStr">
        <is>
          <t>78-P-ADN</t>
        </is>
      </c>
      <c r="AQ2619" t="n">
        <v>9</v>
      </c>
      <c r="AR2619" t="n">
        <v>64</v>
      </c>
      <c r="AS2619" t="n">
        <v>32</v>
      </c>
      <c r="AU2619">
        <f>COUNTA($BA$2619:$EH$2619)</f>
        <v/>
      </c>
      <c r="AV2619">
        <f>COUNTIF($BA$2619:$EH$2619,"D")</f>
        <v/>
      </c>
      <c r="AW2619">
        <f>COUNTIF($BA$2619:$EH$2619,"R")</f>
        <v/>
      </c>
      <c r="AX2619">
        <f>IF(BN2619="D",1,0)+IF(BO2619="D",1,0)+IF(BT2619="D",1,0)+IF(BU2619="D",1,0)+IF(BW2619="D",1,0)+IF(CC2619="D",1,0)+IF(CD2619="D",1,0)+IF(CE2619="D",1,0)+IF(CF2619="D",1,0)+IF(CL2619="D",1,0)+IF(CM2619="D",1,0)+IF(CQ2619="D",1,0)+IF(CR2619="D",1,0)+IF(CS2619="D",1,0)+IF(CW2619="D",1,0)+IF(CX2619="D",1,0)+IF(DD2619="D",1,0)+IF(DE2619="D",1,0)+IF(DJ2619="D",1,0)+IF(DK2619="D",1,0)+IF(DO2619="D",1,0)+IF(DP2619="D",1,0)+IF(DQ2619="D",1,0)+IF(DW2619="D",1,0)+IF(DZ2619="D",1,0)+IF(EH2619="D",1,0)</f>
        <v/>
      </c>
      <c r="AY2619">
        <f>IF(DJ2619&lt;&gt;"",1,0)+IF(DK2619&lt;&gt;"",1,0)+IF(DM2619&lt;&gt;"",1,0)+IF(DO2619&lt;&gt;"",1,0)+IF(DP2619&lt;&gt;"",1,0)+IF(DQ2619&lt;&gt;"",1,0)+IF(DS2619&lt;&gt;"",1,0)+IF(DT2619&lt;&gt;"",1,0)+IF(DV2619&lt;&gt;"",1,0)+IF(DW2619&lt;&gt;"",1,0)+IF(DX2619&lt;&gt;"",1,0)+IF(DY2619&lt;&gt;"",1,0)+IF(DZ2619&lt;&gt;"",1,0)+IF(EB2619&lt;&gt;"",1,0)+IF(EC2619&lt;&gt;"",1,0)+IF(ED2619&lt;&gt;"",1,0)+IF(EG2619&lt;&gt;"",1,0)+IF(EH2619&lt;&gt;"",1,0)</f>
        <v/>
      </c>
      <c r="AZ2619">
        <f>IF(EH2619&lt;&gt;"",1,0)</f>
        <v/>
      </c>
      <c r="BB2619" t="inlineStr">
        <is>
          <t>WARREN-WARD 4</t>
        </is>
      </c>
      <c r="BD2619" t="inlineStr">
        <is>
          <t>X</t>
        </is>
      </c>
      <c r="BH2619" t="inlineStr">
        <is>
          <t>X</t>
        </is>
      </c>
      <c r="BL2619" t="inlineStr">
        <is>
          <t>X</t>
        </is>
      </c>
      <c r="BS2619" t="inlineStr">
        <is>
          <t>X</t>
        </is>
      </c>
      <c r="BY2619" t="inlineStr">
        <is>
          <t>D</t>
        </is>
      </c>
      <c r="CA2619" t="inlineStr">
        <is>
          <t>X</t>
        </is>
      </c>
      <c r="CK2619" t="inlineStr">
        <is>
          <t>X</t>
        </is>
      </c>
      <c r="CL2619" t="inlineStr">
        <is>
          <t>D</t>
        </is>
      </c>
      <c r="CN2619" t="inlineStr">
        <is>
          <t>X</t>
        </is>
      </c>
      <c r="CP2619" t="inlineStr">
        <is>
          <t>X</t>
        </is>
      </c>
      <c r="CY2619" t="inlineStr">
        <is>
          <t>X</t>
        </is>
      </c>
      <c r="CZ2619" t="inlineStr">
        <is>
          <t>D</t>
        </is>
      </c>
      <c r="DC2619" t="inlineStr">
        <is>
          <t>X</t>
        </is>
      </c>
      <c r="DI2619" t="inlineStr">
        <is>
          <t>X</t>
        </is>
      </c>
      <c r="DN2619" t="inlineStr">
        <is>
          <t>X</t>
        </is>
      </c>
      <c r="DU2619" t="inlineStr">
        <is>
          <t>X</t>
        </is>
      </c>
      <c r="EF2619" t="inlineStr">
        <is>
          <t>X</t>
        </is>
      </c>
    </row>
    <row r="2620">
      <c r="A2620" t="inlineStr">
        <is>
          <t>OH0015687995</t>
        </is>
      </c>
      <c r="B2620" t="n">
        <v>78</v>
      </c>
      <c r="C2620" t="n">
        <v>128363</v>
      </c>
      <c r="D2620" t="inlineStr">
        <is>
          <t>WILLIAMSON</t>
        </is>
      </c>
      <c r="E2620" t="inlineStr">
        <is>
          <t>FANNIE</t>
        </is>
      </c>
      <c r="F2620">
        <f>CONCATENATE(D2620," ",LEFT(H2620,4),"T=",AU2620,"D=",AV2620,"R=",AW2620,"M=",AX2620,"L=",AY2620,"B=",AZ2620)</f>
        <v/>
      </c>
      <c r="G2620" t="inlineStr">
        <is>
          <t>M</t>
        </is>
      </c>
      <c r="I2620" t="inlineStr">
        <is>
          <t>1949-09-16</t>
        </is>
      </c>
      <c r="J2620" t="inlineStr">
        <is>
          <t>2023-09-18</t>
        </is>
      </c>
      <c r="K2620" t="inlineStr">
        <is>
          <t>ACTIVE</t>
        </is>
      </c>
      <c r="L2620" t="inlineStr">
        <is>
          <t>D</t>
        </is>
      </c>
      <c r="M2620" t="inlineStr">
        <is>
          <t>2243 DRAPER AVE SE</t>
        </is>
      </c>
      <c r="N2620">
        <f>RIGHT(M2620,LEN(M2620)-FIND(" ",M2620))</f>
        <v/>
      </c>
      <c r="P2620" t="inlineStr">
        <is>
          <t>WARREN</t>
        </is>
      </c>
      <c r="Q2620" t="inlineStr">
        <is>
          <t>OH</t>
        </is>
      </c>
      <c r="R2620" t="n">
        <v>44484</v>
      </c>
      <c r="AD2620" t="inlineStr">
        <is>
          <t>TRUMBULL CAREER &amp; TECH CENTER</t>
        </is>
      </c>
      <c r="AE2620" t="inlineStr">
        <is>
          <t>WARREN CITY</t>
        </is>
      </c>
      <c r="AF2620" t="inlineStr">
        <is>
          <t>WARREN CITY SD</t>
        </is>
      </c>
      <c r="AH2620" t="n">
        <v>14</v>
      </c>
      <c r="AI2620" t="n">
        <v>11</v>
      </c>
      <c r="AN2620" t="inlineStr">
        <is>
          <t>WARREN</t>
        </is>
      </c>
      <c r="AO2620" t="inlineStr">
        <is>
          <t>WARREN CITY 4F</t>
        </is>
      </c>
      <c r="AP2620" t="inlineStr">
        <is>
          <t>78-P-ADN</t>
        </is>
      </c>
      <c r="AQ2620" t="n">
        <v>9</v>
      </c>
      <c r="AR2620" t="n">
        <v>64</v>
      </c>
      <c r="AS2620" t="n">
        <v>32</v>
      </c>
      <c r="AU2620">
        <f>COUNTA($BA$2620:$EH$2620)</f>
        <v/>
      </c>
      <c r="AV2620">
        <f>COUNTIF($BA$2620:$EH$2620,"D")</f>
        <v/>
      </c>
      <c r="AW2620">
        <f>COUNTIF($BA$2620:$EH$2620,"R")</f>
        <v/>
      </c>
      <c r="AX2620">
        <f>IF(BN2620="D",1,0)+IF(BO2620="D",1,0)+IF(BT2620="D",1,0)+IF(BU2620="D",1,0)+IF(BW2620="D",1,0)+IF(CC2620="D",1,0)+IF(CD2620="D",1,0)+IF(CE2620="D",1,0)+IF(CF2620="D",1,0)+IF(CL2620="D",1,0)+IF(CM2620="D",1,0)+IF(CQ2620="D",1,0)+IF(CR2620="D",1,0)+IF(CS2620="D",1,0)+IF(CW2620="D",1,0)+IF(CX2620="D",1,0)+IF(DD2620="D",1,0)+IF(DE2620="D",1,0)+IF(DJ2620="D",1,0)+IF(DK2620="D",1,0)+IF(DO2620="D",1,0)+IF(DP2620="D",1,0)+IF(DQ2620="D",1,0)+IF(DW2620="D",1,0)+IF(DZ2620="D",1,0)+IF(EH2620="D",1,0)</f>
        <v/>
      </c>
      <c r="AY2620">
        <f>IF(DJ2620&lt;&gt;"",1,0)+IF(DK2620&lt;&gt;"",1,0)+IF(DM2620&lt;&gt;"",1,0)+IF(DO2620&lt;&gt;"",1,0)+IF(DP2620&lt;&gt;"",1,0)+IF(DQ2620&lt;&gt;"",1,0)+IF(DS2620&lt;&gt;"",1,0)+IF(DT2620&lt;&gt;"",1,0)+IF(DV2620&lt;&gt;"",1,0)+IF(DW2620&lt;&gt;"",1,0)+IF(DX2620&lt;&gt;"",1,0)+IF(DY2620&lt;&gt;"",1,0)+IF(DZ2620&lt;&gt;"",1,0)+IF(EB2620&lt;&gt;"",1,0)+IF(EC2620&lt;&gt;"",1,0)+IF(ED2620&lt;&gt;"",1,0)+IF(EG2620&lt;&gt;"",1,0)+IF(EH2620&lt;&gt;"",1,0)</f>
        <v/>
      </c>
      <c r="AZ2620">
        <f>IF(EH2620&lt;&gt;"",1,0)</f>
        <v/>
      </c>
      <c r="BB2620" t="inlineStr">
        <is>
          <t>WARREN-WARD 4</t>
        </is>
      </c>
      <c r="BC2620" t="inlineStr">
        <is>
          <t>X</t>
        </is>
      </c>
      <c r="BD2620" t="inlineStr">
        <is>
          <t>X</t>
        </is>
      </c>
      <c r="BE2620" t="inlineStr">
        <is>
          <t>X</t>
        </is>
      </c>
      <c r="BF2620" t="inlineStr">
        <is>
          <t>X</t>
        </is>
      </c>
      <c r="BG2620" t="inlineStr">
        <is>
          <t>X</t>
        </is>
      </c>
      <c r="BH2620" t="inlineStr">
        <is>
          <t>X</t>
        </is>
      </c>
      <c r="BI2620" t="inlineStr">
        <is>
          <t>X</t>
        </is>
      </c>
      <c r="BJ2620" t="inlineStr">
        <is>
          <t>X</t>
        </is>
      </c>
      <c r="BK2620" t="inlineStr">
        <is>
          <t>X</t>
        </is>
      </c>
      <c r="BL2620" t="inlineStr">
        <is>
          <t>X</t>
        </is>
      </c>
      <c r="BP2620" t="inlineStr">
        <is>
          <t>X</t>
        </is>
      </c>
      <c r="BR2620" t="inlineStr">
        <is>
          <t>X</t>
        </is>
      </c>
      <c r="BV2620" t="inlineStr">
        <is>
          <t>X</t>
        </is>
      </c>
      <c r="BY2620" t="inlineStr">
        <is>
          <t>D</t>
        </is>
      </c>
      <c r="CA2620" t="inlineStr">
        <is>
          <t>X</t>
        </is>
      </c>
      <c r="CC2620" t="inlineStr">
        <is>
          <t>D</t>
        </is>
      </c>
      <c r="CG2620" t="inlineStr">
        <is>
          <t>X</t>
        </is>
      </c>
      <c r="CH2620" t="inlineStr">
        <is>
          <t>D</t>
        </is>
      </c>
      <c r="CK2620" t="inlineStr">
        <is>
          <t>X</t>
        </is>
      </c>
      <c r="CL2620" t="inlineStr">
        <is>
          <t>D</t>
        </is>
      </c>
      <c r="CN2620" t="inlineStr">
        <is>
          <t>X</t>
        </is>
      </c>
      <c r="CP2620" t="inlineStr">
        <is>
          <t>X</t>
        </is>
      </c>
      <c r="CQ2620" t="inlineStr">
        <is>
          <t>D</t>
        </is>
      </c>
      <c r="CT2620" t="inlineStr">
        <is>
          <t>X</t>
        </is>
      </c>
      <c r="CV2620" t="inlineStr">
        <is>
          <t>X</t>
        </is>
      </c>
      <c r="CY2620" t="inlineStr">
        <is>
          <t>X</t>
        </is>
      </c>
      <c r="CZ2620" t="inlineStr">
        <is>
          <t>D</t>
        </is>
      </c>
      <c r="DC2620" t="inlineStr">
        <is>
          <t>X</t>
        </is>
      </c>
      <c r="DF2620" t="inlineStr">
        <is>
          <t>X</t>
        </is>
      </c>
      <c r="DI2620" t="inlineStr">
        <is>
          <t>X</t>
        </is>
      </c>
      <c r="DL2620" t="inlineStr">
        <is>
          <t>X</t>
        </is>
      </c>
      <c r="DN2620" t="inlineStr">
        <is>
          <t>X</t>
        </is>
      </c>
      <c r="DU2620" t="inlineStr">
        <is>
          <t>X</t>
        </is>
      </c>
      <c r="DX2620" t="inlineStr">
        <is>
          <t>X</t>
        </is>
      </c>
      <c r="EA2620" t="inlineStr">
        <is>
          <t>X</t>
        </is>
      </c>
      <c r="ED2620" t="inlineStr">
        <is>
          <t>D</t>
        </is>
      </c>
      <c r="EF2620" t="inlineStr">
        <is>
          <t>X</t>
        </is>
      </c>
    </row>
    <row r="2621">
      <c r="A2621" t="inlineStr">
        <is>
          <t>OH0025049070</t>
        </is>
      </c>
      <c r="B2621" t="n">
        <v>78</v>
      </c>
      <c r="C2621" t="n">
        <v>438509</v>
      </c>
      <c r="D2621" t="inlineStr">
        <is>
          <t>RODGERS</t>
        </is>
      </c>
      <c r="E2621" t="inlineStr">
        <is>
          <t>QUASMERAE</t>
        </is>
      </c>
      <c r="F2621">
        <f>CONCATENATE(D2621," ",LEFT(H2621,4),"T=",AU2621,"D=",AV2621,"R=",AW2621,"M=",AX2621,"L=",AY2621,"B=",AZ2621)</f>
        <v/>
      </c>
      <c r="G2621" t="inlineStr">
        <is>
          <t>D</t>
        </is>
      </c>
      <c r="I2621" t="inlineStr">
        <is>
          <t>2001-03-05</t>
        </is>
      </c>
      <c r="J2621" t="inlineStr">
        <is>
          <t>2024-08-05</t>
        </is>
      </c>
      <c r="K2621" t="inlineStr">
        <is>
          <t>ACTIVE</t>
        </is>
      </c>
      <c r="M2621" t="inlineStr">
        <is>
          <t>1683 OAK KNOLL AVE SE</t>
        </is>
      </c>
      <c r="N2621">
        <f>RIGHT(M2621,LEN(M2621)-FIND(" ",M2621))</f>
        <v/>
      </c>
      <c r="P2621" t="inlineStr">
        <is>
          <t>WARREN</t>
        </is>
      </c>
      <c r="Q2621" t="inlineStr">
        <is>
          <t>OH</t>
        </is>
      </c>
      <c r="R2621" t="n">
        <v>44484</v>
      </c>
      <c r="AD2621" t="inlineStr">
        <is>
          <t>TRUMBULL CAREER &amp; TECH CENTER</t>
        </is>
      </c>
      <c r="AE2621" t="inlineStr">
        <is>
          <t>WARREN CITY</t>
        </is>
      </c>
      <c r="AF2621" t="inlineStr">
        <is>
          <t>WARREN CITY SD</t>
        </is>
      </c>
      <c r="AH2621" t="n">
        <v>14</v>
      </c>
      <c r="AI2621" t="n">
        <v>11</v>
      </c>
      <c r="AN2621" t="inlineStr">
        <is>
          <t>WARREN</t>
        </is>
      </c>
      <c r="AO2621" t="inlineStr">
        <is>
          <t>WARREN CITY 4F</t>
        </is>
      </c>
      <c r="AP2621" t="inlineStr">
        <is>
          <t>78-P-ADN</t>
        </is>
      </c>
      <c r="AQ2621" t="n">
        <v>9</v>
      </c>
      <c r="AR2621" t="n">
        <v>64</v>
      </c>
      <c r="AS2621" t="n">
        <v>32</v>
      </c>
      <c r="AU2621">
        <f>COUNTA($BA$2621:$EH$2621)</f>
        <v/>
      </c>
      <c r="AV2621">
        <f>COUNTIF($BA$2621:$EH$2621,"D")</f>
        <v/>
      </c>
      <c r="AW2621">
        <f>COUNTIF($BA$2621:$EH$2621,"R")</f>
        <v/>
      </c>
      <c r="AX2621">
        <f>IF(BN2621="D",1,0)+IF(BO2621="D",1,0)+IF(BT2621="D",1,0)+IF(BU2621="D",1,0)+IF(BW2621="D",1,0)+IF(CC2621="D",1,0)+IF(CD2621="D",1,0)+IF(CE2621="D",1,0)+IF(CF2621="D",1,0)+IF(CL2621="D",1,0)+IF(CM2621="D",1,0)+IF(CQ2621="D",1,0)+IF(CR2621="D",1,0)+IF(CS2621="D",1,0)+IF(CW2621="D",1,0)+IF(CX2621="D",1,0)+IF(DD2621="D",1,0)+IF(DE2621="D",1,0)+IF(DJ2621="D",1,0)+IF(DK2621="D",1,0)+IF(DO2621="D",1,0)+IF(DP2621="D",1,0)+IF(DQ2621="D",1,0)+IF(DW2621="D",1,0)+IF(DZ2621="D",1,0)+IF(EH2621="D",1,0)</f>
        <v/>
      </c>
      <c r="AY2621">
        <f>IF(DJ2621&lt;&gt;"",1,0)+IF(DK2621&lt;&gt;"",1,0)+IF(DM2621&lt;&gt;"",1,0)+IF(DO2621&lt;&gt;"",1,0)+IF(DP2621&lt;&gt;"",1,0)+IF(DQ2621&lt;&gt;"",1,0)+IF(DS2621&lt;&gt;"",1,0)+IF(DT2621&lt;&gt;"",1,0)+IF(DV2621&lt;&gt;"",1,0)+IF(DW2621&lt;&gt;"",1,0)+IF(DX2621&lt;&gt;"",1,0)+IF(DY2621&lt;&gt;"",1,0)+IF(DZ2621&lt;&gt;"",1,0)+IF(EB2621&lt;&gt;"",1,0)+IF(EC2621&lt;&gt;"",1,0)+IF(ED2621&lt;&gt;"",1,0)+IF(EG2621&lt;&gt;"",1,0)+IF(EH2621&lt;&gt;"",1,0)</f>
        <v/>
      </c>
      <c r="AZ2621">
        <f>IF(EH2621&lt;&gt;"",1,0)</f>
        <v/>
      </c>
      <c r="BB2621" t="inlineStr">
        <is>
          <t>WARREN-WARD 4</t>
        </is>
      </c>
    </row>
    <row r="2622">
      <c r="A2622" t="inlineStr">
        <is>
          <t>OH0025781703</t>
        </is>
      </c>
      <c r="B2622" t="n">
        <v>78</v>
      </c>
      <c r="C2622" t="n">
        <v>450337</v>
      </c>
      <c r="D2622" t="inlineStr">
        <is>
          <t>BOSSARD</t>
        </is>
      </c>
      <c r="E2622" t="inlineStr">
        <is>
          <t>MEHKI</t>
        </is>
      </c>
      <c r="F2622">
        <f>CONCATENATE(D2622," ",LEFT(H2622,4),"T=",AU2622,"D=",AV2622,"R=",AW2622,"M=",AX2622,"L=",AY2622,"B=",AZ2622)</f>
        <v/>
      </c>
      <c r="G2622" t="inlineStr">
        <is>
          <t>DEAYR</t>
        </is>
      </c>
      <c r="I2622" t="inlineStr">
        <is>
          <t>2000-05-01</t>
        </is>
      </c>
      <c r="J2622" t="inlineStr">
        <is>
          <t>2020-08-26</t>
        </is>
      </c>
      <c r="K2622" t="inlineStr">
        <is>
          <t>ACTIVE</t>
        </is>
      </c>
      <c r="M2622" t="inlineStr">
        <is>
          <t>1207 OAK KNOLL AVE SE</t>
        </is>
      </c>
      <c r="N2622">
        <f>RIGHT(M2622,LEN(M2622)-FIND(" ",M2622))</f>
        <v/>
      </c>
      <c r="P2622" t="inlineStr">
        <is>
          <t>WARREN</t>
        </is>
      </c>
      <c r="Q2622" t="inlineStr">
        <is>
          <t>OH</t>
        </is>
      </c>
      <c r="R2622" t="n">
        <v>44484</v>
      </c>
      <c r="AD2622" t="inlineStr">
        <is>
          <t>TRUMBULL CAREER &amp; TECH CENTER</t>
        </is>
      </c>
      <c r="AE2622" t="inlineStr">
        <is>
          <t>WARREN CITY</t>
        </is>
      </c>
      <c r="AF2622" t="inlineStr">
        <is>
          <t>WARREN CITY SD</t>
        </is>
      </c>
      <c r="AH2622" t="n">
        <v>14</v>
      </c>
      <c r="AI2622" t="n">
        <v>11</v>
      </c>
      <c r="AN2622" t="inlineStr">
        <is>
          <t>WARREN</t>
        </is>
      </c>
      <c r="AO2622" t="inlineStr">
        <is>
          <t>WARREN CITY 4F</t>
        </is>
      </c>
      <c r="AP2622" t="inlineStr">
        <is>
          <t>78-P-ADN</t>
        </is>
      </c>
      <c r="AQ2622" t="n">
        <v>9</v>
      </c>
      <c r="AR2622" t="n">
        <v>64</v>
      </c>
      <c r="AS2622" t="n">
        <v>32</v>
      </c>
      <c r="AU2622">
        <f>COUNTA($BA$2622:$EH$2622)</f>
        <v/>
      </c>
      <c r="AV2622">
        <f>COUNTIF($BA$2622:$EH$2622,"D")</f>
        <v/>
      </c>
      <c r="AW2622">
        <f>COUNTIF($BA$2622:$EH$2622,"R")</f>
        <v/>
      </c>
      <c r="AX2622">
        <f>IF(BN2622="D",1,0)+IF(BO2622="D",1,0)+IF(BT2622="D",1,0)+IF(BU2622="D",1,0)+IF(BW2622="D",1,0)+IF(CC2622="D",1,0)+IF(CD2622="D",1,0)+IF(CE2622="D",1,0)+IF(CF2622="D",1,0)+IF(CL2622="D",1,0)+IF(CM2622="D",1,0)+IF(CQ2622="D",1,0)+IF(CR2622="D",1,0)+IF(CS2622="D",1,0)+IF(CW2622="D",1,0)+IF(CX2622="D",1,0)+IF(DD2622="D",1,0)+IF(DE2622="D",1,0)+IF(DJ2622="D",1,0)+IF(DK2622="D",1,0)+IF(DO2622="D",1,0)+IF(DP2622="D",1,0)+IF(DQ2622="D",1,0)+IF(DW2622="D",1,0)+IF(DZ2622="D",1,0)+IF(EH2622="D",1,0)</f>
        <v/>
      </c>
      <c r="AY2622">
        <f>IF(DJ2622&lt;&gt;"",1,0)+IF(DK2622&lt;&gt;"",1,0)+IF(DM2622&lt;&gt;"",1,0)+IF(DO2622&lt;&gt;"",1,0)+IF(DP2622&lt;&gt;"",1,0)+IF(DQ2622&lt;&gt;"",1,0)+IF(DS2622&lt;&gt;"",1,0)+IF(DT2622&lt;&gt;"",1,0)+IF(DV2622&lt;&gt;"",1,0)+IF(DW2622&lt;&gt;"",1,0)+IF(DX2622&lt;&gt;"",1,0)+IF(DY2622&lt;&gt;"",1,0)+IF(DZ2622&lt;&gt;"",1,0)+IF(EB2622&lt;&gt;"",1,0)+IF(EC2622&lt;&gt;"",1,0)+IF(ED2622&lt;&gt;"",1,0)+IF(EG2622&lt;&gt;"",1,0)+IF(EH2622&lt;&gt;"",1,0)</f>
        <v/>
      </c>
      <c r="AZ2622">
        <f>IF(EH2622&lt;&gt;"",1,0)</f>
        <v/>
      </c>
      <c r="BB2622" t="inlineStr">
        <is>
          <t>WARREN-WARD 4</t>
        </is>
      </c>
      <c r="EF2622" t="inlineStr">
        <is>
          <t>X</t>
        </is>
      </c>
    </row>
    <row r="2623">
      <c r="A2623" t="inlineStr">
        <is>
          <t>OH0023458565</t>
        </is>
      </c>
      <c r="B2623" t="n">
        <v>78</v>
      </c>
      <c r="C2623" t="n">
        <v>412372</v>
      </c>
      <c r="D2623" t="inlineStr">
        <is>
          <t>SCHMITT</t>
        </is>
      </c>
      <c r="E2623" t="inlineStr">
        <is>
          <t>DANIEL</t>
        </is>
      </c>
      <c r="F2623">
        <f>CONCATENATE(D2623," ",LEFT(H2623,4),"T=",AU2623,"D=",AV2623,"R=",AW2623,"M=",AX2623,"L=",AY2623,"B=",AZ2623)</f>
        <v/>
      </c>
      <c r="G2623" t="inlineStr">
        <is>
          <t>S</t>
        </is>
      </c>
      <c r="I2623" t="inlineStr">
        <is>
          <t>1978-11-10</t>
        </is>
      </c>
      <c r="J2623" t="inlineStr">
        <is>
          <t>2024-08-21</t>
        </is>
      </c>
      <c r="K2623" t="inlineStr">
        <is>
          <t>ACTIVE</t>
        </is>
      </c>
      <c r="L2623" t="inlineStr">
        <is>
          <t>D</t>
        </is>
      </c>
      <c r="M2623" t="inlineStr">
        <is>
          <t>1070 WOODBINE AVE SE</t>
        </is>
      </c>
      <c r="N2623">
        <f>RIGHT(M2623,LEN(M2623)-FIND(" ",M2623))</f>
        <v/>
      </c>
      <c r="P2623" t="inlineStr">
        <is>
          <t>WARREN</t>
        </is>
      </c>
      <c r="Q2623" t="inlineStr">
        <is>
          <t>OH</t>
        </is>
      </c>
      <c r="R2623" t="n">
        <v>44484</v>
      </c>
      <c r="AD2623" t="inlineStr">
        <is>
          <t>TRUMBULL CAREER &amp; TECH CENTER</t>
        </is>
      </c>
      <c r="AE2623" t="inlineStr">
        <is>
          <t>WARREN CITY</t>
        </is>
      </c>
      <c r="AF2623" t="inlineStr">
        <is>
          <t>WARREN CITY SD</t>
        </is>
      </c>
      <c r="AH2623" t="n">
        <v>14</v>
      </c>
      <c r="AI2623" t="n">
        <v>11</v>
      </c>
      <c r="AN2623" t="inlineStr">
        <is>
          <t>WARREN</t>
        </is>
      </c>
      <c r="AO2623" t="inlineStr">
        <is>
          <t>WARREN CITY 4F</t>
        </is>
      </c>
      <c r="AP2623" t="inlineStr">
        <is>
          <t>78-P-ADN</t>
        </is>
      </c>
      <c r="AQ2623" t="n">
        <v>9</v>
      </c>
      <c r="AR2623" t="n">
        <v>64</v>
      </c>
      <c r="AS2623" t="n">
        <v>32</v>
      </c>
      <c r="AU2623">
        <f>COUNTA($BA$2623:$EH$2623)</f>
        <v/>
      </c>
      <c r="AV2623">
        <f>COUNTIF($BA$2623:$EH$2623,"D")</f>
        <v/>
      </c>
      <c r="AW2623">
        <f>COUNTIF($BA$2623:$EH$2623,"R")</f>
        <v/>
      </c>
      <c r="AX2623">
        <f>IF(BN2623="D",1,0)+IF(BO2623="D",1,0)+IF(BT2623="D",1,0)+IF(BU2623="D",1,0)+IF(BW2623="D",1,0)+IF(CC2623="D",1,0)+IF(CD2623="D",1,0)+IF(CE2623="D",1,0)+IF(CF2623="D",1,0)+IF(CL2623="D",1,0)+IF(CM2623="D",1,0)+IF(CQ2623="D",1,0)+IF(CR2623="D",1,0)+IF(CS2623="D",1,0)+IF(CW2623="D",1,0)+IF(CX2623="D",1,0)+IF(DD2623="D",1,0)+IF(DE2623="D",1,0)+IF(DJ2623="D",1,0)+IF(DK2623="D",1,0)+IF(DO2623="D",1,0)+IF(DP2623="D",1,0)+IF(DQ2623="D",1,0)+IF(DW2623="D",1,0)+IF(DZ2623="D",1,0)+IF(EH2623="D",1,0)</f>
        <v/>
      </c>
      <c r="AY2623">
        <f>IF(DJ2623&lt;&gt;"",1,0)+IF(DK2623&lt;&gt;"",1,0)+IF(DM2623&lt;&gt;"",1,0)+IF(DO2623&lt;&gt;"",1,0)+IF(DP2623&lt;&gt;"",1,0)+IF(DQ2623&lt;&gt;"",1,0)+IF(DS2623&lt;&gt;"",1,0)+IF(DT2623&lt;&gt;"",1,0)+IF(DV2623&lt;&gt;"",1,0)+IF(DW2623&lt;&gt;"",1,0)+IF(DX2623&lt;&gt;"",1,0)+IF(DY2623&lt;&gt;"",1,0)+IF(DZ2623&lt;&gt;"",1,0)+IF(EB2623&lt;&gt;"",1,0)+IF(EC2623&lt;&gt;"",1,0)+IF(ED2623&lt;&gt;"",1,0)+IF(EG2623&lt;&gt;"",1,0)+IF(EH2623&lt;&gt;"",1,0)</f>
        <v/>
      </c>
      <c r="AZ2623">
        <f>IF(EH2623&lt;&gt;"",1,0)</f>
        <v/>
      </c>
      <c r="BB2623" t="inlineStr">
        <is>
          <t>WARREN-WARD 4</t>
        </is>
      </c>
      <c r="DS2623" t="inlineStr">
        <is>
          <t>D</t>
        </is>
      </c>
      <c r="DW2623" t="inlineStr">
        <is>
          <t>D</t>
        </is>
      </c>
    </row>
    <row r="2624">
      <c r="A2624" t="inlineStr">
        <is>
          <t>OH0024183349</t>
        </is>
      </c>
      <c r="B2624" t="n">
        <v>78</v>
      </c>
      <c r="C2624" t="n">
        <v>423557</v>
      </c>
      <c r="D2624" t="inlineStr">
        <is>
          <t>PERRY</t>
        </is>
      </c>
      <c r="E2624" t="inlineStr">
        <is>
          <t>ANDREW</t>
        </is>
      </c>
      <c r="F2624">
        <f>CONCATENATE(D2624," ",LEFT(H2624,4),"T=",AU2624,"D=",AV2624,"R=",AW2624,"M=",AX2624,"L=",AY2624,"B=",AZ2624)</f>
        <v/>
      </c>
      <c r="G2624" t="inlineStr">
        <is>
          <t>LEWYS</t>
        </is>
      </c>
      <c r="I2624" t="inlineStr">
        <is>
          <t>1968-04-24</t>
        </is>
      </c>
      <c r="J2624" t="inlineStr">
        <is>
          <t>2016-11-08</t>
        </is>
      </c>
      <c r="K2624" t="inlineStr">
        <is>
          <t>CONFIRMATION</t>
        </is>
      </c>
      <c r="M2624" t="inlineStr">
        <is>
          <t>1739 BRIER ST SE</t>
        </is>
      </c>
      <c r="N2624">
        <f>RIGHT(M2624,LEN(M2624)-FIND(" ",M2624))</f>
        <v/>
      </c>
      <c r="O2624" t="inlineStr">
        <is>
          <t>APT 1</t>
        </is>
      </c>
      <c r="P2624" t="inlineStr">
        <is>
          <t>WARREN</t>
        </is>
      </c>
      <c r="Q2624" t="inlineStr">
        <is>
          <t>OH</t>
        </is>
      </c>
      <c r="R2624" t="n">
        <v>44484</v>
      </c>
      <c r="AD2624" t="inlineStr">
        <is>
          <t>TRUMBULL CAREER &amp; TECH CENTER</t>
        </is>
      </c>
      <c r="AE2624" t="inlineStr">
        <is>
          <t>WARREN CITY</t>
        </is>
      </c>
      <c r="AF2624" t="inlineStr">
        <is>
          <t>WARREN CITY SD</t>
        </is>
      </c>
      <c r="AH2624" t="n">
        <v>14</v>
      </c>
      <c r="AI2624" t="n">
        <v>11</v>
      </c>
      <c r="AN2624" t="inlineStr">
        <is>
          <t>WARREN</t>
        </is>
      </c>
      <c r="AO2624" t="inlineStr">
        <is>
          <t>WARREN CITY 4F</t>
        </is>
      </c>
      <c r="AP2624" t="inlineStr">
        <is>
          <t>78-P-ADN</t>
        </is>
      </c>
      <c r="AQ2624" t="n">
        <v>9</v>
      </c>
      <c r="AR2624" t="n">
        <v>64</v>
      </c>
      <c r="AS2624" t="n">
        <v>32</v>
      </c>
      <c r="AU2624">
        <f>COUNTA($BA$2624:$EH$2624)</f>
        <v/>
      </c>
      <c r="AV2624">
        <f>COUNTIF($BA$2624:$EH$2624,"D")</f>
        <v/>
      </c>
      <c r="AW2624">
        <f>COUNTIF($BA$2624:$EH$2624,"R")</f>
        <v/>
      </c>
      <c r="AX2624">
        <f>IF(BN2624="D",1,0)+IF(BO2624="D",1,0)+IF(BT2624="D",1,0)+IF(BU2624="D",1,0)+IF(BW2624="D",1,0)+IF(CC2624="D",1,0)+IF(CD2624="D",1,0)+IF(CE2624="D",1,0)+IF(CF2624="D",1,0)+IF(CL2624="D",1,0)+IF(CM2624="D",1,0)+IF(CQ2624="D",1,0)+IF(CR2624="D",1,0)+IF(CS2624="D",1,0)+IF(CW2624="D",1,0)+IF(CX2624="D",1,0)+IF(DD2624="D",1,0)+IF(DE2624="D",1,0)+IF(DJ2624="D",1,0)+IF(DK2624="D",1,0)+IF(DO2624="D",1,0)+IF(DP2624="D",1,0)+IF(DQ2624="D",1,0)+IF(DW2624="D",1,0)+IF(DZ2624="D",1,0)+IF(EH2624="D",1,0)</f>
        <v/>
      </c>
      <c r="AY2624">
        <f>IF(DJ2624&lt;&gt;"",1,0)+IF(DK2624&lt;&gt;"",1,0)+IF(DM2624&lt;&gt;"",1,0)+IF(DO2624&lt;&gt;"",1,0)+IF(DP2624&lt;&gt;"",1,0)+IF(DQ2624&lt;&gt;"",1,0)+IF(DS2624&lt;&gt;"",1,0)+IF(DT2624&lt;&gt;"",1,0)+IF(DV2624&lt;&gt;"",1,0)+IF(DW2624&lt;&gt;"",1,0)+IF(DX2624&lt;&gt;"",1,0)+IF(DY2624&lt;&gt;"",1,0)+IF(DZ2624&lt;&gt;"",1,0)+IF(EB2624&lt;&gt;"",1,0)+IF(EC2624&lt;&gt;"",1,0)+IF(ED2624&lt;&gt;"",1,0)+IF(EG2624&lt;&gt;"",1,0)+IF(EH2624&lt;&gt;"",1,0)</f>
        <v/>
      </c>
      <c r="AZ2624">
        <f>IF(EH2624&lt;&gt;"",1,0)</f>
        <v/>
      </c>
      <c r="BB2624" t="inlineStr">
        <is>
          <t>WARREN-WARD 4</t>
        </is>
      </c>
    </row>
    <row r="2625">
      <c r="A2625" t="inlineStr">
        <is>
          <t>OH0025242457</t>
        </is>
      </c>
      <c r="B2625" t="n">
        <v>78</v>
      </c>
      <c r="C2625" t="n">
        <v>441864</v>
      </c>
      <c r="D2625" t="inlineStr">
        <is>
          <t>FREDERICK</t>
        </is>
      </c>
      <c r="E2625" t="inlineStr">
        <is>
          <t>ERICKA</t>
        </is>
      </c>
      <c r="F2625">
        <f>CONCATENATE(D2625," ",LEFT(H2625,4),"T=",AU2625,"D=",AV2625,"R=",AW2625,"M=",AX2625,"L=",AY2625,"B=",AZ2625)</f>
        <v/>
      </c>
      <c r="G2625" t="inlineStr">
        <is>
          <t>MARIE</t>
        </is>
      </c>
      <c r="I2625" t="inlineStr">
        <is>
          <t>1993-02-06</t>
        </is>
      </c>
      <c r="J2625" t="inlineStr">
        <is>
          <t>2024-08-21</t>
        </is>
      </c>
      <c r="K2625" t="inlineStr">
        <is>
          <t>ACTIVE</t>
        </is>
      </c>
      <c r="M2625" t="inlineStr">
        <is>
          <t>1576 ROMAN ST SE</t>
        </is>
      </c>
      <c r="N2625">
        <f>RIGHT(M2625,LEN(M2625)-FIND(" ",M2625))</f>
        <v/>
      </c>
      <c r="P2625" t="inlineStr">
        <is>
          <t>WARREN</t>
        </is>
      </c>
      <c r="Q2625" t="inlineStr">
        <is>
          <t>OH</t>
        </is>
      </c>
      <c r="R2625" t="n">
        <v>44484</v>
      </c>
      <c r="AD2625" t="inlineStr">
        <is>
          <t>TRUMBULL CAREER &amp; TECH CENTER</t>
        </is>
      </c>
      <c r="AE2625" t="inlineStr">
        <is>
          <t>WARREN CITY</t>
        </is>
      </c>
      <c r="AF2625" t="inlineStr">
        <is>
          <t>WARREN CITY SD</t>
        </is>
      </c>
      <c r="AH2625" t="n">
        <v>14</v>
      </c>
      <c r="AI2625" t="n">
        <v>11</v>
      </c>
      <c r="AN2625" t="inlineStr">
        <is>
          <t>WARREN</t>
        </is>
      </c>
      <c r="AO2625" t="inlineStr">
        <is>
          <t>WARREN CITY 4F</t>
        </is>
      </c>
      <c r="AP2625" t="inlineStr">
        <is>
          <t>78-P-ADN</t>
        </is>
      </c>
      <c r="AQ2625" t="n">
        <v>9</v>
      </c>
      <c r="AR2625" t="n">
        <v>64</v>
      </c>
      <c r="AS2625" t="n">
        <v>32</v>
      </c>
      <c r="AU2625">
        <f>COUNTA($BA$2625:$EH$2625)</f>
        <v/>
      </c>
      <c r="AV2625">
        <f>COUNTIF($BA$2625:$EH$2625,"D")</f>
        <v/>
      </c>
      <c r="AW2625">
        <f>COUNTIF($BA$2625:$EH$2625,"R")</f>
        <v/>
      </c>
      <c r="AX2625">
        <f>IF(BN2625="D",1,0)+IF(BO2625="D",1,0)+IF(BT2625="D",1,0)+IF(BU2625="D",1,0)+IF(BW2625="D",1,0)+IF(CC2625="D",1,0)+IF(CD2625="D",1,0)+IF(CE2625="D",1,0)+IF(CF2625="D",1,0)+IF(CL2625="D",1,0)+IF(CM2625="D",1,0)+IF(CQ2625="D",1,0)+IF(CR2625="D",1,0)+IF(CS2625="D",1,0)+IF(CW2625="D",1,0)+IF(CX2625="D",1,0)+IF(DD2625="D",1,0)+IF(DE2625="D",1,0)+IF(DJ2625="D",1,0)+IF(DK2625="D",1,0)+IF(DO2625="D",1,0)+IF(DP2625="D",1,0)+IF(DQ2625="D",1,0)+IF(DW2625="D",1,0)+IF(DZ2625="D",1,0)+IF(EH2625="D",1,0)</f>
        <v/>
      </c>
      <c r="AY2625">
        <f>IF(DJ2625&lt;&gt;"",1,0)+IF(DK2625&lt;&gt;"",1,0)+IF(DM2625&lt;&gt;"",1,0)+IF(DO2625&lt;&gt;"",1,0)+IF(DP2625&lt;&gt;"",1,0)+IF(DQ2625&lt;&gt;"",1,0)+IF(DS2625&lt;&gt;"",1,0)+IF(DT2625&lt;&gt;"",1,0)+IF(DV2625&lt;&gt;"",1,0)+IF(DW2625&lt;&gt;"",1,0)+IF(DX2625&lt;&gt;"",1,0)+IF(DY2625&lt;&gt;"",1,0)+IF(DZ2625&lt;&gt;"",1,0)+IF(EB2625&lt;&gt;"",1,0)+IF(EC2625&lt;&gt;"",1,0)+IF(ED2625&lt;&gt;"",1,0)+IF(EG2625&lt;&gt;"",1,0)+IF(EH2625&lt;&gt;"",1,0)</f>
        <v/>
      </c>
      <c r="AZ2625">
        <f>IF(EH2625&lt;&gt;"",1,0)</f>
        <v/>
      </c>
      <c r="BB2625" t="inlineStr">
        <is>
          <t>WARREN-WARD 4</t>
        </is>
      </c>
      <c r="DU2625" t="inlineStr">
        <is>
          <t>X</t>
        </is>
      </c>
    </row>
    <row r="2626">
      <c r="A2626" t="inlineStr">
        <is>
          <t>OH0015691178</t>
        </is>
      </c>
      <c r="B2626" t="n">
        <v>78</v>
      </c>
      <c r="C2626" t="n">
        <v>136825</v>
      </c>
      <c r="D2626" t="inlineStr">
        <is>
          <t>BELL</t>
        </is>
      </c>
      <c r="E2626" t="inlineStr">
        <is>
          <t>ELAINE</t>
        </is>
      </c>
      <c r="F2626">
        <f>CONCATENATE(D2626," ",LEFT(H2626,4),"T=",AU2626,"D=",AV2626,"R=",AW2626,"M=",AX2626,"L=",AY2626,"B=",AZ2626)</f>
        <v/>
      </c>
      <c r="G2626" t="inlineStr">
        <is>
          <t>M</t>
        </is>
      </c>
      <c r="I2626" t="inlineStr">
        <is>
          <t>1956-04-01</t>
        </is>
      </c>
      <c r="J2626" t="inlineStr">
        <is>
          <t>2023-11-28</t>
        </is>
      </c>
      <c r="K2626" t="inlineStr">
        <is>
          <t>ACTIVE</t>
        </is>
      </c>
      <c r="M2626" t="inlineStr">
        <is>
          <t>2610 DUKE AVE SE</t>
        </is>
      </c>
      <c r="N2626">
        <f>RIGHT(M2626,LEN(M2626)-FIND(" ",M2626))</f>
        <v/>
      </c>
      <c r="P2626" t="inlineStr">
        <is>
          <t>WARREN</t>
        </is>
      </c>
      <c r="Q2626" t="inlineStr">
        <is>
          <t>OH</t>
        </is>
      </c>
      <c r="R2626" t="n">
        <v>44484</v>
      </c>
      <c r="AD2626" t="inlineStr">
        <is>
          <t>TRUMBULL CAREER &amp; TECH CENTER</t>
        </is>
      </c>
      <c r="AE2626" t="inlineStr">
        <is>
          <t>WARREN CITY</t>
        </is>
      </c>
      <c r="AF2626" t="inlineStr">
        <is>
          <t>WARREN CITY SD</t>
        </is>
      </c>
      <c r="AH2626" t="n">
        <v>14</v>
      </c>
      <c r="AI2626" t="n">
        <v>11</v>
      </c>
      <c r="AN2626" t="inlineStr">
        <is>
          <t>WARREN</t>
        </is>
      </c>
      <c r="AO2626" t="inlineStr">
        <is>
          <t>WARREN CITY 4F</t>
        </is>
      </c>
      <c r="AP2626" t="inlineStr">
        <is>
          <t>78-P-ADN</t>
        </is>
      </c>
      <c r="AQ2626" t="n">
        <v>9</v>
      </c>
      <c r="AR2626" t="n">
        <v>64</v>
      </c>
      <c r="AS2626" t="n">
        <v>32</v>
      </c>
      <c r="AU2626">
        <f>COUNTA($BA$2626:$EH$2626)</f>
        <v/>
      </c>
      <c r="AV2626">
        <f>COUNTIF($BA$2626:$EH$2626,"D")</f>
        <v/>
      </c>
      <c r="AW2626">
        <f>COUNTIF($BA$2626:$EH$2626,"R")</f>
        <v/>
      </c>
      <c r="AX2626">
        <f>IF(BN2626="D",1,0)+IF(BO2626="D",1,0)+IF(BT2626="D",1,0)+IF(BU2626="D",1,0)+IF(BW2626="D",1,0)+IF(CC2626="D",1,0)+IF(CD2626="D",1,0)+IF(CE2626="D",1,0)+IF(CF2626="D",1,0)+IF(CL2626="D",1,0)+IF(CM2626="D",1,0)+IF(CQ2626="D",1,0)+IF(CR2626="D",1,0)+IF(CS2626="D",1,0)+IF(CW2626="D",1,0)+IF(CX2626="D",1,0)+IF(DD2626="D",1,0)+IF(DE2626="D",1,0)+IF(DJ2626="D",1,0)+IF(DK2626="D",1,0)+IF(DO2626="D",1,0)+IF(DP2626="D",1,0)+IF(DQ2626="D",1,0)+IF(DW2626="D",1,0)+IF(DZ2626="D",1,0)+IF(EH2626="D",1,0)</f>
        <v/>
      </c>
      <c r="AY2626">
        <f>IF(DJ2626&lt;&gt;"",1,0)+IF(DK2626&lt;&gt;"",1,0)+IF(DM2626&lt;&gt;"",1,0)+IF(DO2626&lt;&gt;"",1,0)+IF(DP2626&lt;&gt;"",1,0)+IF(DQ2626&lt;&gt;"",1,0)+IF(DS2626&lt;&gt;"",1,0)+IF(DT2626&lt;&gt;"",1,0)+IF(DV2626&lt;&gt;"",1,0)+IF(DW2626&lt;&gt;"",1,0)+IF(DX2626&lt;&gt;"",1,0)+IF(DY2626&lt;&gt;"",1,0)+IF(DZ2626&lt;&gt;"",1,0)+IF(EB2626&lt;&gt;"",1,0)+IF(EC2626&lt;&gt;"",1,0)+IF(ED2626&lt;&gt;"",1,0)+IF(EG2626&lt;&gt;"",1,0)+IF(EH2626&lt;&gt;"",1,0)</f>
        <v/>
      </c>
      <c r="AZ2626">
        <f>IF(EH2626&lt;&gt;"",1,0)</f>
        <v/>
      </c>
      <c r="BB2626" t="inlineStr">
        <is>
          <t>WARREN-WARD 4</t>
        </is>
      </c>
      <c r="BD2626" t="inlineStr">
        <is>
          <t>X</t>
        </is>
      </c>
      <c r="BG2626" t="inlineStr">
        <is>
          <t>X</t>
        </is>
      </c>
      <c r="BH2626" t="inlineStr">
        <is>
          <t>X</t>
        </is>
      </c>
      <c r="BK2626" t="inlineStr">
        <is>
          <t>X</t>
        </is>
      </c>
      <c r="BL2626" t="inlineStr">
        <is>
          <t>X</t>
        </is>
      </c>
      <c r="BP2626" t="inlineStr">
        <is>
          <t>X</t>
        </is>
      </c>
      <c r="BS2626" t="inlineStr">
        <is>
          <t>X</t>
        </is>
      </c>
      <c r="BY2626" t="inlineStr">
        <is>
          <t>D</t>
        </is>
      </c>
      <c r="CA2626" t="inlineStr">
        <is>
          <t>X</t>
        </is>
      </c>
      <c r="CG2626" t="inlineStr">
        <is>
          <t>X</t>
        </is>
      </c>
      <c r="CN2626" t="inlineStr">
        <is>
          <t>X</t>
        </is>
      </c>
      <c r="CP2626" t="inlineStr">
        <is>
          <t>X</t>
        </is>
      </c>
      <c r="CY2626" t="inlineStr">
        <is>
          <t>X</t>
        </is>
      </c>
      <c r="CZ2626" t="inlineStr">
        <is>
          <t>D</t>
        </is>
      </c>
      <c r="DC2626" t="inlineStr">
        <is>
          <t>X</t>
        </is>
      </c>
      <c r="DI2626" t="inlineStr">
        <is>
          <t>X</t>
        </is>
      </c>
      <c r="DN2626" t="inlineStr">
        <is>
          <t>X</t>
        </is>
      </c>
      <c r="DU2626" t="inlineStr">
        <is>
          <t>X</t>
        </is>
      </c>
      <c r="EA2626" t="inlineStr">
        <is>
          <t>X</t>
        </is>
      </c>
      <c r="EF2626" t="inlineStr">
        <is>
          <t>X</t>
        </is>
      </c>
    </row>
    <row r="2627">
      <c r="A2627" t="inlineStr">
        <is>
          <t>OH0019296449</t>
        </is>
      </c>
      <c r="B2627" t="n">
        <v>78</v>
      </c>
      <c r="C2627" t="n">
        <v>352398</v>
      </c>
      <c r="D2627" t="inlineStr">
        <is>
          <t>DYSON</t>
        </is>
      </c>
      <c r="E2627" t="inlineStr">
        <is>
          <t>BUDDY</t>
        </is>
      </c>
      <c r="F2627">
        <f>CONCATENATE(D2627," ",LEFT(H2627,4),"T=",AU2627,"D=",AV2627,"R=",AW2627,"M=",AX2627,"L=",AY2627,"B=",AZ2627)</f>
        <v/>
      </c>
      <c r="I2627" t="inlineStr">
        <is>
          <t>1977-10-14</t>
        </is>
      </c>
      <c r="J2627" t="inlineStr">
        <is>
          <t>2015-06-09</t>
        </is>
      </c>
      <c r="K2627" t="inlineStr">
        <is>
          <t>CONFIRMATION</t>
        </is>
      </c>
      <c r="M2627" t="inlineStr">
        <is>
          <t>1229 OAK KNOLL AVE SE</t>
        </is>
      </c>
      <c r="N2627">
        <f>RIGHT(M2627,LEN(M2627)-FIND(" ",M2627))</f>
        <v/>
      </c>
      <c r="P2627" t="inlineStr">
        <is>
          <t>WARREN</t>
        </is>
      </c>
      <c r="Q2627" t="inlineStr">
        <is>
          <t>OH</t>
        </is>
      </c>
      <c r="R2627" t="n">
        <v>44484</v>
      </c>
      <c r="AD2627" t="inlineStr">
        <is>
          <t>TRUMBULL CAREER &amp; TECH CENTER</t>
        </is>
      </c>
      <c r="AE2627" t="inlineStr">
        <is>
          <t>WARREN CITY</t>
        </is>
      </c>
      <c r="AF2627" t="inlineStr">
        <is>
          <t>WARREN CITY SD</t>
        </is>
      </c>
      <c r="AH2627" t="n">
        <v>14</v>
      </c>
      <c r="AI2627" t="n">
        <v>11</v>
      </c>
      <c r="AN2627" t="inlineStr">
        <is>
          <t>WARREN</t>
        </is>
      </c>
      <c r="AO2627" t="inlineStr">
        <is>
          <t>WARREN CITY 4F</t>
        </is>
      </c>
      <c r="AP2627" t="inlineStr">
        <is>
          <t>78-P-ADN</t>
        </is>
      </c>
      <c r="AQ2627" t="n">
        <v>9</v>
      </c>
      <c r="AR2627" t="n">
        <v>64</v>
      </c>
      <c r="AS2627" t="n">
        <v>32</v>
      </c>
      <c r="AU2627">
        <f>COUNTA($BA$2627:$EH$2627)</f>
        <v/>
      </c>
      <c r="AV2627">
        <f>COUNTIF($BA$2627:$EH$2627,"D")</f>
        <v/>
      </c>
      <c r="AW2627">
        <f>COUNTIF($BA$2627:$EH$2627,"R")</f>
        <v/>
      </c>
      <c r="AX2627">
        <f>IF(BN2627="D",1,0)+IF(BO2627="D",1,0)+IF(BT2627="D",1,0)+IF(BU2627="D",1,0)+IF(BW2627="D",1,0)+IF(CC2627="D",1,0)+IF(CD2627="D",1,0)+IF(CE2627="D",1,0)+IF(CF2627="D",1,0)+IF(CL2627="D",1,0)+IF(CM2627="D",1,0)+IF(CQ2627="D",1,0)+IF(CR2627="D",1,0)+IF(CS2627="D",1,0)+IF(CW2627="D",1,0)+IF(CX2627="D",1,0)+IF(DD2627="D",1,0)+IF(DE2627="D",1,0)+IF(DJ2627="D",1,0)+IF(DK2627="D",1,0)+IF(DO2627="D",1,0)+IF(DP2627="D",1,0)+IF(DQ2627="D",1,0)+IF(DW2627="D",1,0)+IF(DZ2627="D",1,0)+IF(EH2627="D",1,0)</f>
        <v/>
      </c>
      <c r="AY2627">
        <f>IF(DJ2627&lt;&gt;"",1,0)+IF(DK2627&lt;&gt;"",1,0)+IF(DM2627&lt;&gt;"",1,0)+IF(DO2627&lt;&gt;"",1,0)+IF(DP2627&lt;&gt;"",1,0)+IF(DQ2627&lt;&gt;"",1,0)+IF(DS2627&lt;&gt;"",1,0)+IF(DT2627&lt;&gt;"",1,0)+IF(DV2627&lt;&gt;"",1,0)+IF(DW2627&lt;&gt;"",1,0)+IF(DX2627&lt;&gt;"",1,0)+IF(DY2627&lt;&gt;"",1,0)+IF(DZ2627&lt;&gt;"",1,0)+IF(EB2627&lt;&gt;"",1,0)+IF(EC2627&lt;&gt;"",1,0)+IF(ED2627&lt;&gt;"",1,0)+IF(EG2627&lt;&gt;"",1,0)+IF(EH2627&lt;&gt;"",1,0)</f>
        <v/>
      </c>
      <c r="AZ2627">
        <f>IF(EH2627&lt;&gt;"",1,0)</f>
        <v/>
      </c>
      <c r="BB2627" t="inlineStr">
        <is>
          <t>WARREN-WARD 4</t>
        </is>
      </c>
      <c r="CP2627" t="inlineStr">
        <is>
          <t>X</t>
        </is>
      </c>
    </row>
    <row r="2628">
      <c r="A2628" t="inlineStr">
        <is>
          <t>OH0027788939</t>
        </is>
      </c>
      <c r="B2628" t="n">
        <v>78</v>
      </c>
      <c r="C2628" t="n">
        <v>491660</v>
      </c>
      <c r="D2628" t="inlineStr">
        <is>
          <t>PIFER</t>
        </is>
      </c>
      <c r="E2628" t="inlineStr">
        <is>
          <t>JEREMY</t>
        </is>
      </c>
      <c r="F2628">
        <f>CONCATENATE(D2628," ",LEFT(H2628,4),"T=",AU2628,"D=",AV2628,"R=",AW2628,"M=",AX2628,"L=",AY2628,"B=",AZ2628)</f>
        <v/>
      </c>
      <c r="G2628" t="inlineStr">
        <is>
          <t>JOHN</t>
        </is>
      </c>
      <c r="I2628" t="inlineStr">
        <is>
          <t>1980-07-14</t>
        </is>
      </c>
      <c r="J2628" t="inlineStr">
        <is>
          <t>2024-11-05</t>
        </is>
      </c>
      <c r="K2628" t="inlineStr">
        <is>
          <t>ACTIVE</t>
        </is>
      </c>
      <c r="M2628" t="inlineStr">
        <is>
          <t>1504 OAK KNOLL AVE SE</t>
        </is>
      </c>
      <c r="N2628">
        <f>RIGHT(M2628,LEN(M2628)-FIND(" ",M2628))</f>
        <v/>
      </c>
      <c r="P2628" t="inlineStr">
        <is>
          <t>WARREN</t>
        </is>
      </c>
      <c r="Q2628" t="inlineStr">
        <is>
          <t>OH</t>
        </is>
      </c>
      <c r="R2628" t="n">
        <v>44484</v>
      </c>
      <c r="AD2628" t="inlineStr">
        <is>
          <t>TRUMBULL CAREER &amp; TECH CENTER</t>
        </is>
      </c>
      <c r="AE2628" t="inlineStr">
        <is>
          <t>WARREN CITY</t>
        </is>
      </c>
      <c r="AF2628" t="inlineStr">
        <is>
          <t>WARREN CITY SD</t>
        </is>
      </c>
      <c r="AH2628" t="n">
        <v>14</v>
      </c>
      <c r="AI2628" t="n">
        <v>11</v>
      </c>
      <c r="AN2628" t="inlineStr">
        <is>
          <t>WARREN</t>
        </is>
      </c>
      <c r="AO2628" t="inlineStr">
        <is>
          <t>WARREN CITY 4F</t>
        </is>
      </c>
      <c r="AP2628" t="inlineStr">
        <is>
          <t>78-P-ADN</t>
        </is>
      </c>
      <c r="AQ2628" t="n">
        <v>9</v>
      </c>
      <c r="AR2628" t="n">
        <v>64</v>
      </c>
      <c r="AS2628" t="n">
        <v>32</v>
      </c>
      <c r="AU2628">
        <f>COUNTA($BA$2628:$EH$2628)</f>
        <v/>
      </c>
      <c r="AV2628">
        <f>COUNTIF($BA$2628:$EH$2628,"D")</f>
        <v/>
      </c>
      <c r="AW2628">
        <f>COUNTIF($BA$2628:$EH$2628,"R")</f>
        <v/>
      </c>
      <c r="AX2628">
        <f>IF(BN2628="D",1,0)+IF(BO2628="D",1,0)+IF(BT2628="D",1,0)+IF(BU2628="D",1,0)+IF(BW2628="D",1,0)+IF(CC2628="D",1,0)+IF(CD2628="D",1,0)+IF(CE2628="D",1,0)+IF(CF2628="D",1,0)+IF(CL2628="D",1,0)+IF(CM2628="D",1,0)+IF(CQ2628="D",1,0)+IF(CR2628="D",1,0)+IF(CS2628="D",1,0)+IF(CW2628="D",1,0)+IF(CX2628="D",1,0)+IF(DD2628="D",1,0)+IF(DE2628="D",1,0)+IF(DJ2628="D",1,0)+IF(DK2628="D",1,0)+IF(DO2628="D",1,0)+IF(DP2628="D",1,0)+IF(DQ2628="D",1,0)+IF(DW2628="D",1,0)+IF(DZ2628="D",1,0)+IF(EH2628="D",1,0)</f>
        <v/>
      </c>
      <c r="AY2628">
        <f>IF(DJ2628&lt;&gt;"",1,0)+IF(DK2628&lt;&gt;"",1,0)+IF(DM2628&lt;&gt;"",1,0)+IF(DO2628&lt;&gt;"",1,0)+IF(DP2628&lt;&gt;"",1,0)+IF(DQ2628&lt;&gt;"",1,0)+IF(DS2628&lt;&gt;"",1,0)+IF(DT2628&lt;&gt;"",1,0)+IF(DV2628&lt;&gt;"",1,0)+IF(DW2628&lt;&gt;"",1,0)+IF(DX2628&lt;&gt;"",1,0)+IF(DY2628&lt;&gt;"",1,0)+IF(DZ2628&lt;&gt;"",1,0)+IF(EB2628&lt;&gt;"",1,0)+IF(EC2628&lt;&gt;"",1,0)+IF(ED2628&lt;&gt;"",1,0)+IF(EG2628&lt;&gt;"",1,0)+IF(EH2628&lt;&gt;"",1,0)</f>
        <v/>
      </c>
      <c r="AZ2628">
        <f>IF(EH2628&lt;&gt;"",1,0)</f>
        <v/>
      </c>
      <c r="BB2628" t="inlineStr">
        <is>
          <t>WARREN-WARD 4</t>
        </is>
      </c>
      <c r="CY2628" t="inlineStr">
        <is>
          <t>X</t>
        </is>
      </c>
      <c r="DC2628" t="inlineStr">
        <is>
          <t>X</t>
        </is>
      </c>
      <c r="EF2628" t="inlineStr">
        <is>
          <t>X</t>
        </is>
      </c>
    </row>
    <row r="2629">
      <c r="A2629" t="inlineStr">
        <is>
          <t>OH0015752381</t>
        </is>
      </c>
      <c r="B2629" t="n">
        <v>78</v>
      </c>
      <c r="C2629" t="n">
        <v>321441</v>
      </c>
      <c r="D2629" t="inlineStr">
        <is>
          <t>SWEGAN</t>
        </is>
      </c>
      <c r="E2629" t="inlineStr">
        <is>
          <t>STEPHANIE</t>
        </is>
      </c>
      <c r="F2629">
        <f>CONCATENATE(D2629," ",LEFT(H2629,4),"T=",AU2629,"D=",AV2629,"R=",AW2629,"M=",AX2629,"L=",AY2629,"B=",AZ2629)</f>
        <v/>
      </c>
      <c r="G2629" t="inlineStr">
        <is>
          <t>JO</t>
        </is>
      </c>
      <c r="I2629" t="inlineStr">
        <is>
          <t>1971-07-27</t>
        </is>
      </c>
      <c r="J2629" t="inlineStr">
        <is>
          <t>2019-02-05</t>
        </is>
      </c>
      <c r="K2629" t="inlineStr">
        <is>
          <t>ACTIVE</t>
        </is>
      </c>
      <c r="M2629" t="inlineStr">
        <is>
          <t>1583 OAK KNOLL AVE SE</t>
        </is>
      </c>
      <c r="N2629">
        <f>RIGHT(M2629,LEN(M2629)-FIND(" ",M2629))</f>
        <v/>
      </c>
      <c r="P2629" t="inlineStr">
        <is>
          <t>WARREN</t>
        </is>
      </c>
      <c r="Q2629" t="inlineStr">
        <is>
          <t>OH</t>
        </is>
      </c>
      <c r="R2629" t="n">
        <v>44484</v>
      </c>
      <c r="AD2629" t="inlineStr">
        <is>
          <t>TRUMBULL CAREER &amp; TECH CENTER</t>
        </is>
      </c>
      <c r="AE2629" t="inlineStr">
        <is>
          <t>WARREN CITY</t>
        </is>
      </c>
      <c r="AF2629" t="inlineStr">
        <is>
          <t>WARREN CITY SD</t>
        </is>
      </c>
      <c r="AH2629" t="n">
        <v>14</v>
      </c>
      <c r="AI2629" t="n">
        <v>11</v>
      </c>
      <c r="AN2629" t="inlineStr">
        <is>
          <t>WARREN</t>
        </is>
      </c>
      <c r="AO2629" t="inlineStr">
        <is>
          <t>WARREN CITY 4F</t>
        </is>
      </c>
      <c r="AP2629" t="inlineStr">
        <is>
          <t>78-P-ADN</t>
        </is>
      </c>
      <c r="AQ2629" t="n">
        <v>9</v>
      </c>
      <c r="AR2629" t="n">
        <v>64</v>
      </c>
      <c r="AS2629" t="n">
        <v>32</v>
      </c>
      <c r="AU2629">
        <f>COUNTA($BA$2629:$EH$2629)</f>
        <v/>
      </c>
      <c r="AV2629">
        <f>COUNTIF($BA$2629:$EH$2629,"D")</f>
        <v/>
      </c>
      <c r="AW2629">
        <f>COUNTIF($BA$2629:$EH$2629,"R")</f>
        <v/>
      </c>
      <c r="AX2629">
        <f>IF(BN2629="D",1,0)+IF(BO2629="D",1,0)+IF(BT2629="D",1,0)+IF(BU2629="D",1,0)+IF(BW2629="D",1,0)+IF(CC2629="D",1,0)+IF(CD2629="D",1,0)+IF(CE2629="D",1,0)+IF(CF2629="D",1,0)+IF(CL2629="D",1,0)+IF(CM2629="D",1,0)+IF(CQ2629="D",1,0)+IF(CR2629="D",1,0)+IF(CS2629="D",1,0)+IF(CW2629="D",1,0)+IF(CX2629="D",1,0)+IF(DD2629="D",1,0)+IF(DE2629="D",1,0)+IF(DJ2629="D",1,0)+IF(DK2629="D",1,0)+IF(DO2629="D",1,0)+IF(DP2629="D",1,0)+IF(DQ2629="D",1,0)+IF(DW2629="D",1,0)+IF(DZ2629="D",1,0)+IF(EH2629="D",1,0)</f>
        <v/>
      </c>
      <c r="AY2629">
        <f>IF(DJ2629&lt;&gt;"",1,0)+IF(DK2629&lt;&gt;"",1,0)+IF(DM2629&lt;&gt;"",1,0)+IF(DO2629&lt;&gt;"",1,0)+IF(DP2629&lt;&gt;"",1,0)+IF(DQ2629&lt;&gt;"",1,0)+IF(DS2629&lt;&gt;"",1,0)+IF(DT2629&lt;&gt;"",1,0)+IF(DV2629&lt;&gt;"",1,0)+IF(DW2629&lt;&gt;"",1,0)+IF(DX2629&lt;&gt;"",1,0)+IF(DY2629&lt;&gt;"",1,0)+IF(DZ2629&lt;&gt;"",1,0)+IF(EB2629&lt;&gt;"",1,0)+IF(EC2629&lt;&gt;"",1,0)+IF(ED2629&lt;&gt;"",1,0)+IF(EG2629&lt;&gt;"",1,0)+IF(EH2629&lt;&gt;"",1,0)</f>
        <v/>
      </c>
      <c r="AZ2629">
        <f>IF(EH2629&lt;&gt;"",1,0)</f>
        <v/>
      </c>
      <c r="BB2629" t="inlineStr">
        <is>
          <t>WARREN-WARD 4</t>
        </is>
      </c>
      <c r="CA2629" t="inlineStr">
        <is>
          <t>X</t>
        </is>
      </c>
      <c r="CY2629" t="inlineStr">
        <is>
          <t>X</t>
        </is>
      </c>
    </row>
    <row r="2630">
      <c r="A2630" t="inlineStr">
        <is>
          <t>OH0025853849</t>
        </is>
      </c>
      <c r="B2630" t="n">
        <v>78</v>
      </c>
      <c r="C2630" t="n">
        <v>451555</v>
      </c>
      <c r="D2630" t="inlineStr">
        <is>
          <t>DUNCAN</t>
        </is>
      </c>
      <c r="E2630" t="inlineStr">
        <is>
          <t>BRANDY</t>
        </is>
      </c>
      <c r="F2630">
        <f>CONCATENATE(D2630," ",LEFT(H2630,4),"T=",AU2630,"D=",AV2630,"R=",AW2630,"M=",AX2630,"L=",AY2630,"B=",AZ2630)</f>
        <v/>
      </c>
      <c r="G2630" t="inlineStr">
        <is>
          <t>N</t>
        </is>
      </c>
      <c r="I2630" t="inlineStr">
        <is>
          <t>1982-08-05</t>
        </is>
      </c>
      <c r="J2630" t="inlineStr">
        <is>
          <t>2020-09-21</t>
        </is>
      </c>
      <c r="K2630" t="inlineStr">
        <is>
          <t>ACTIVE</t>
        </is>
      </c>
      <c r="M2630" t="inlineStr">
        <is>
          <t>1565 TRANSYLVANIA AVE SE</t>
        </is>
      </c>
      <c r="N2630">
        <f>RIGHT(M2630,LEN(M2630)-FIND(" ",M2630))</f>
        <v/>
      </c>
      <c r="P2630" t="inlineStr">
        <is>
          <t>WARREN</t>
        </is>
      </c>
      <c r="Q2630" t="inlineStr">
        <is>
          <t>OH</t>
        </is>
      </c>
      <c r="R2630" t="n">
        <v>44484</v>
      </c>
      <c r="AD2630" t="inlineStr">
        <is>
          <t>TRUMBULL CAREER &amp; TECH CENTER</t>
        </is>
      </c>
      <c r="AE2630" t="inlineStr">
        <is>
          <t>WARREN CITY</t>
        </is>
      </c>
      <c r="AF2630" t="inlineStr">
        <is>
          <t>WARREN CITY SD</t>
        </is>
      </c>
      <c r="AH2630" t="n">
        <v>14</v>
      </c>
      <c r="AI2630" t="n">
        <v>11</v>
      </c>
      <c r="AN2630" t="inlineStr">
        <is>
          <t>WARREN</t>
        </is>
      </c>
      <c r="AO2630" t="inlineStr">
        <is>
          <t>WARREN CITY 4F</t>
        </is>
      </c>
      <c r="AP2630" t="inlineStr">
        <is>
          <t>78-P-ADN</t>
        </is>
      </c>
      <c r="AQ2630" t="n">
        <v>9</v>
      </c>
      <c r="AR2630" t="n">
        <v>64</v>
      </c>
      <c r="AS2630" t="n">
        <v>32</v>
      </c>
      <c r="AU2630">
        <f>COUNTA($BA$2630:$EH$2630)</f>
        <v/>
      </c>
      <c r="AV2630">
        <f>COUNTIF($BA$2630:$EH$2630,"D")</f>
        <v/>
      </c>
      <c r="AW2630">
        <f>COUNTIF($BA$2630:$EH$2630,"R")</f>
        <v/>
      </c>
      <c r="AX2630">
        <f>IF(BN2630="D",1,0)+IF(BO2630="D",1,0)+IF(BT2630="D",1,0)+IF(BU2630="D",1,0)+IF(BW2630="D",1,0)+IF(CC2630="D",1,0)+IF(CD2630="D",1,0)+IF(CE2630="D",1,0)+IF(CF2630="D",1,0)+IF(CL2630="D",1,0)+IF(CM2630="D",1,0)+IF(CQ2630="D",1,0)+IF(CR2630="D",1,0)+IF(CS2630="D",1,0)+IF(CW2630="D",1,0)+IF(CX2630="D",1,0)+IF(DD2630="D",1,0)+IF(DE2630="D",1,0)+IF(DJ2630="D",1,0)+IF(DK2630="D",1,0)+IF(DO2630="D",1,0)+IF(DP2630="D",1,0)+IF(DQ2630="D",1,0)+IF(DW2630="D",1,0)+IF(DZ2630="D",1,0)+IF(EH2630="D",1,0)</f>
        <v/>
      </c>
      <c r="AY2630">
        <f>IF(DJ2630&lt;&gt;"",1,0)+IF(DK2630&lt;&gt;"",1,0)+IF(DM2630&lt;&gt;"",1,0)+IF(DO2630&lt;&gt;"",1,0)+IF(DP2630&lt;&gt;"",1,0)+IF(DQ2630&lt;&gt;"",1,0)+IF(DS2630&lt;&gt;"",1,0)+IF(DT2630&lt;&gt;"",1,0)+IF(DV2630&lt;&gt;"",1,0)+IF(DW2630&lt;&gt;"",1,0)+IF(DX2630&lt;&gt;"",1,0)+IF(DY2630&lt;&gt;"",1,0)+IF(DZ2630&lt;&gt;"",1,0)+IF(EB2630&lt;&gt;"",1,0)+IF(EC2630&lt;&gt;"",1,0)+IF(ED2630&lt;&gt;"",1,0)+IF(EG2630&lt;&gt;"",1,0)+IF(EH2630&lt;&gt;"",1,0)</f>
        <v/>
      </c>
      <c r="AZ2630">
        <f>IF(EH2630&lt;&gt;"",1,0)</f>
        <v/>
      </c>
      <c r="BB2630" t="inlineStr">
        <is>
          <t>WARREN-WARD 4</t>
        </is>
      </c>
      <c r="BL2630" t="inlineStr">
        <is>
          <t>X</t>
        </is>
      </c>
      <c r="EF2630" t="inlineStr">
        <is>
          <t>X</t>
        </is>
      </c>
    </row>
    <row r="2631">
      <c r="A2631" t="inlineStr">
        <is>
          <t>OH0023266670</t>
        </is>
      </c>
      <c r="B2631" t="n">
        <v>78</v>
      </c>
      <c r="C2631" t="n">
        <v>409430</v>
      </c>
      <c r="D2631" t="inlineStr">
        <is>
          <t>DIGGS</t>
        </is>
      </c>
      <c r="E2631" t="inlineStr">
        <is>
          <t>SHAQUILLE</t>
        </is>
      </c>
      <c r="F2631">
        <f>CONCATENATE(D2631," ",LEFT(H2631,4),"T=",AU2631,"D=",AV2631,"R=",AW2631,"M=",AX2631,"L=",AY2631,"B=",AZ2631)</f>
        <v/>
      </c>
      <c r="G2631" t="inlineStr">
        <is>
          <t>Q</t>
        </is>
      </c>
      <c r="I2631" t="inlineStr">
        <is>
          <t>1992-02-19</t>
        </is>
      </c>
      <c r="J2631" t="inlineStr">
        <is>
          <t>2021-03-16</t>
        </is>
      </c>
      <c r="K2631" t="inlineStr">
        <is>
          <t>ACTIVE</t>
        </is>
      </c>
      <c r="M2631" t="inlineStr">
        <is>
          <t>1787 BRIER ST SE</t>
        </is>
      </c>
      <c r="N2631">
        <f>RIGHT(M2631,LEN(M2631)-FIND(" ",M2631))</f>
        <v/>
      </c>
      <c r="P2631" t="inlineStr">
        <is>
          <t>WARREN</t>
        </is>
      </c>
      <c r="Q2631" t="inlineStr">
        <is>
          <t>OH</t>
        </is>
      </c>
      <c r="R2631" t="n">
        <v>44484</v>
      </c>
      <c r="AD2631" t="inlineStr">
        <is>
          <t>TRUMBULL CAREER &amp; TECH CENTER</t>
        </is>
      </c>
      <c r="AE2631" t="inlineStr">
        <is>
          <t>WARREN CITY</t>
        </is>
      </c>
      <c r="AF2631" t="inlineStr">
        <is>
          <t>WARREN CITY SD</t>
        </is>
      </c>
      <c r="AH2631" t="n">
        <v>14</v>
      </c>
      <c r="AI2631" t="n">
        <v>11</v>
      </c>
      <c r="AN2631" t="inlineStr">
        <is>
          <t>WARREN</t>
        </is>
      </c>
      <c r="AO2631" t="inlineStr">
        <is>
          <t>WARREN CITY 4F</t>
        </is>
      </c>
      <c r="AP2631" t="inlineStr">
        <is>
          <t>78-P-ADN</t>
        </is>
      </c>
      <c r="AQ2631" t="n">
        <v>9</v>
      </c>
      <c r="AR2631" t="n">
        <v>64</v>
      </c>
      <c r="AS2631" t="n">
        <v>32</v>
      </c>
      <c r="AU2631">
        <f>COUNTA($BA$2631:$EH$2631)</f>
        <v/>
      </c>
      <c r="AV2631">
        <f>COUNTIF($BA$2631:$EH$2631,"D")</f>
        <v/>
      </c>
      <c r="AW2631">
        <f>COUNTIF($BA$2631:$EH$2631,"R")</f>
        <v/>
      </c>
      <c r="AX2631">
        <f>IF(BN2631="D",1,0)+IF(BO2631="D",1,0)+IF(BT2631="D",1,0)+IF(BU2631="D",1,0)+IF(BW2631="D",1,0)+IF(CC2631="D",1,0)+IF(CD2631="D",1,0)+IF(CE2631="D",1,0)+IF(CF2631="D",1,0)+IF(CL2631="D",1,0)+IF(CM2631="D",1,0)+IF(CQ2631="D",1,0)+IF(CR2631="D",1,0)+IF(CS2631="D",1,0)+IF(CW2631="D",1,0)+IF(CX2631="D",1,0)+IF(DD2631="D",1,0)+IF(DE2631="D",1,0)+IF(DJ2631="D",1,0)+IF(DK2631="D",1,0)+IF(DO2631="D",1,0)+IF(DP2631="D",1,0)+IF(DQ2631="D",1,0)+IF(DW2631="D",1,0)+IF(DZ2631="D",1,0)+IF(EH2631="D",1,0)</f>
        <v/>
      </c>
      <c r="AY2631">
        <f>IF(DJ2631&lt;&gt;"",1,0)+IF(DK2631&lt;&gt;"",1,0)+IF(DM2631&lt;&gt;"",1,0)+IF(DO2631&lt;&gt;"",1,0)+IF(DP2631&lt;&gt;"",1,0)+IF(DQ2631&lt;&gt;"",1,0)+IF(DS2631&lt;&gt;"",1,0)+IF(DT2631&lt;&gt;"",1,0)+IF(DV2631&lt;&gt;"",1,0)+IF(DW2631&lt;&gt;"",1,0)+IF(DX2631&lt;&gt;"",1,0)+IF(DY2631&lt;&gt;"",1,0)+IF(DZ2631&lt;&gt;"",1,0)+IF(EB2631&lt;&gt;"",1,0)+IF(EC2631&lt;&gt;"",1,0)+IF(ED2631&lt;&gt;"",1,0)+IF(EG2631&lt;&gt;"",1,0)+IF(EH2631&lt;&gt;"",1,0)</f>
        <v/>
      </c>
      <c r="AZ2631">
        <f>IF(EH2631&lt;&gt;"",1,0)</f>
        <v/>
      </c>
      <c r="BB2631" t="inlineStr">
        <is>
          <t>WARREN-WARD 4</t>
        </is>
      </c>
    </row>
    <row r="2632">
      <c r="A2632" t="inlineStr">
        <is>
          <t>OH0019665044</t>
        </is>
      </c>
      <c r="B2632" t="n">
        <v>78</v>
      </c>
      <c r="C2632" t="n">
        <v>356869</v>
      </c>
      <c r="D2632" t="inlineStr">
        <is>
          <t>TILLMAN</t>
        </is>
      </c>
      <c r="E2632" t="inlineStr">
        <is>
          <t>GOLDIE</t>
        </is>
      </c>
      <c r="F2632">
        <f>CONCATENATE(D2632," ",LEFT(H2632,4),"T=",AU2632,"D=",AV2632,"R=",AW2632,"M=",AX2632,"L=",AY2632,"B=",AZ2632)</f>
        <v/>
      </c>
      <c r="G2632" t="inlineStr">
        <is>
          <t>SHANNELL</t>
        </is>
      </c>
      <c r="I2632" t="inlineStr">
        <is>
          <t>1989-12-23</t>
        </is>
      </c>
      <c r="J2632" t="inlineStr">
        <is>
          <t>2020-11-23</t>
        </is>
      </c>
      <c r="K2632" t="inlineStr">
        <is>
          <t>ACTIVE</t>
        </is>
      </c>
      <c r="M2632" t="inlineStr">
        <is>
          <t>1553 TRANSYLVANIA AVE SE</t>
        </is>
      </c>
      <c r="N2632">
        <f>RIGHT(M2632,LEN(M2632)-FIND(" ",M2632))</f>
        <v/>
      </c>
      <c r="P2632" t="inlineStr">
        <is>
          <t>WARREN</t>
        </is>
      </c>
      <c r="Q2632" t="inlineStr">
        <is>
          <t>OH</t>
        </is>
      </c>
      <c r="R2632" t="n">
        <v>44484</v>
      </c>
      <c r="AD2632" t="inlineStr">
        <is>
          <t>TRUMBULL CAREER &amp; TECH CENTER</t>
        </is>
      </c>
      <c r="AE2632" t="inlineStr">
        <is>
          <t>WARREN CITY</t>
        </is>
      </c>
      <c r="AF2632" t="inlineStr">
        <is>
          <t>WARREN CITY SD</t>
        </is>
      </c>
      <c r="AH2632" t="n">
        <v>14</v>
      </c>
      <c r="AI2632" t="n">
        <v>11</v>
      </c>
      <c r="AN2632" t="inlineStr">
        <is>
          <t>WARREN</t>
        </is>
      </c>
      <c r="AO2632" t="inlineStr">
        <is>
          <t>WARREN CITY 4F</t>
        </is>
      </c>
      <c r="AP2632" t="inlineStr">
        <is>
          <t>78-P-ADN</t>
        </is>
      </c>
      <c r="AQ2632" t="n">
        <v>9</v>
      </c>
      <c r="AR2632" t="n">
        <v>64</v>
      </c>
      <c r="AS2632" t="n">
        <v>32</v>
      </c>
      <c r="AU2632">
        <f>COUNTA($BA$2632:$EH$2632)</f>
        <v/>
      </c>
      <c r="AV2632">
        <f>COUNTIF($BA$2632:$EH$2632,"D")</f>
        <v/>
      </c>
      <c r="AW2632">
        <f>COUNTIF($BA$2632:$EH$2632,"R")</f>
        <v/>
      </c>
      <c r="AX2632">
        <f>IF(BN2632="D",1,0)+IF(BO2632="D",1,0)+IF(BT2632="D",1,0)+IF(BU2632="D",1,0)+IF(BW2632="D",1,0)+IF(CC2632="D",1,0)+IF(CD2632="D",1,0)+IF(CE2632="D",1,0)+IF(CF2632="D",1,0)+IF(CL2632="D",1,0)+IF(CM2632="D",1,0)+IF(CQ2632="D",1,0)+IF(CR2632="D",1,0)+IF(CS2632="D",1,0)+IF(CW2632="D",1,0)+IF(CX2632="D",1,0)+IF(DD2632="D",1,0)+IF(DE2632="D",1,0)+IF(DJ2632="D",1,0)+IF(DK2632="D",1,0)+IF(DO2632="D",1,0)+IF(DP2632="D",1,0)+IF(DQ2632="D",1,0)+IF(DW2632="D",1,0)+IF(DZ2632="D",1,0)+IF(EH2632="D",1,0)</f>
        <v/>
      </c>
      <c r="AY2632">
        <f>IF(DJ2632&lt;&gt;"",1,0)+IF(DK2632&lt;&gt;"",1,0)+IF(DM2632&lt;&gt;"",1,0)+IF(DO2632&lt;&gt;"",1,0)+IF(DP2632&lt;&gt;"",1,0)+IF(DQ2632&lt;&gt;"",1,0)+IF(DS2632&lt;&gt;"",1,0)+IF(DT2632&lt;&gt;"",1,0)+IF(DV2632&lt;&gt;"",1,0)+IF(DW2632&lt;&gt;"",1,0)+IF(DX2632&lt;&gt;"",1,0)+IF(DY2632&lt;&gt;"",1,0)+IF(DZ2632&lt;&gt;"",1,0)+IF(EB2632&lt;&gt;"",1,0)+IF(EC2632&lt;&gt;"",1,0)+IF(ED2632&lt;&gt;"",1,0)+IF(EG2632&lt;&gt;"",1,0)+IF(EH2632&lt;&gt;"",1,0)</f>
        <v/>
      </c>
      <c r="AZ2632">
        <f>IF(EH2632&lt;&gt;"",1,0)</f>
        <v/>
      </c>
      <c r="BB2632" t="inlineStr">
        <is>
          <t>WARREN-WARD 4</t>
        </is>
      </c>
      <c r="CA2632" t="inlineStr">
        <is>
          <t>X</t>
        </is>
      </c>
      <c r="CP2632" t="inlineStr">
        <is>
          <t>X</t>
        </is>
      </c>
      <c r="DC2632" t="inlineStr">
        <is>
          <t>X</t>
        </is>
      </c>
      <c r="DN2632" t="inlineStr">
        <is>
          <t>X</t>
        </is>
      </c>
      <c r="EF2632" t="inlineStr">
        <is>
          <t>X</t>
        </is>
      </c>
    </row>
    <row r="2633">
      <c r="A2633" t="inlineStr">
        <is>
          <t>OH0026636526</t>
        </is>
      </c>
      <c r="B2633" t="n">
        <v>78</v>
      </c>
      <c r="C2633" t="n">
        <v>465348</v>
      </c>
      <c r="D2633" t="inlineStr">
        <is>
          <t>RUTHERFORD</t>
        </is>
      </c>
      <c r="E2633" t="inlineStr">
        <is>
          <t>CHAVONNE</t>
        </is>
      </c>
      <c r="F2633">
        <f>CONCATENATE(D2633," ",LEFT(H2633,4),"T=",AU2633,"D=",AV2633,"R=",AW2633,"M=",AX2633,"L=",AY2633,"B=",AZ2633)</f>
        <v/>
      </c>
      <c r="G2633" t="inlineStr">
        <is>
          <t>KAY MARIE</t>
        </is>
      </c>
      <c r="I2633" t="inlineStr">
        <is>
          <t>1979-07-11</t>
        </is>
      </c>
      <c r="J2633" t="inlineStr">
        <is>
          <t>2022-09-12</t>
        </is>
      </c>
      <c r="K2633" t="inlineStr">
        <is>
          <t>ACTIVE</t>
        </is>
      </c>
      <c r="M2633" t="inlineStr">
        <is>
          <t>2737 DUKE AVE SE</t>
        </is>
      </c>
      <c r="N2633">
        <f>RIGHT(M2633,LEN(M2633)-FIND(" ",M2633))</f>
        <v/>
      </c>
      <c r="P2633" t="inlineStr">
        <is>
          <t>WARREN</t>
        </is>
      </c>
      <c r="Q2633" t="inlineStr">
        <is>
          <t>OH</t>
        </is>
      </c>
      <c r="R2633" t="n">
        <v>44484</v>
      </c>
      <c r="AD2633" t="inlineStr">
        <is>
          <t>TRUMBULL CAREER &amp; TECH CENTER</t>
        </is>
      </c>
      <c r="AE2633" t="inlineStr">
        <is>
          <t>WARREN CITY</t>
        </is>
      </c>
      <c r="AF2633" t="inlineStr">
        <is>
          <t>WARREN CITY SD</t>
        </is>
      </c>
      <c r="AH2633" t="n">
        <v>14</v>
      </c>
      <c r="AI2633" t="n">
        <v>11</v>
      </c>
      <c r="AN2633" t="inlineStr">
        <is>
          <t>WARREN</t>
        </is>
      </c>
      <c r="AO2633" t="inlineStr">
        <is>
          <t>WARREN CITY 4F</t>
        </is>
      </c>
      <c r="AP2633" t="inlineStr">
        <is>
          <t>78-P-ADN</t>
        </is>
      </c>
      <c r="AQ2633" t="n">
        <v>9</v>
      </c>
      <c r="AR2633" t="n">
        <v>64</v>
      </c>
      <c r="AS2633" t="n">
        <v>32</v>
      </c>
      <c r="AU2633">
        <f>COUNTA($BA$2633:$EH$2633)</f>
        <v/>
      </c>
      <c r="AV2633">
        <f>COUNTIF($BA$2633:$EH$2633,"D")</f>
        <v/>
      </c>
      <c r="AW2633">
        <f>COUNTIF($BA$2633:$EH$2633,"R")</f>
        <v/>
      </c>
      <c r="AX2633">
        <f>IF(BN2633="D",1,0)+IF(BO2633="D",1,0)+IF(BT2633="D",1,0)+IF(BU2633="D",1,0)+IF(BW2633="D",1,0)+IF(CC2633="D",1,0)+IF(CD2633="D",1,0)+IF(CE2633="D",1,0)+IF(CF2633="D",1,0)+IF(CL2633="D",1,0)+IF(CM2633="D",1,0)+IF(CQ2633="D",1,0)+IF(CR2633="D",1,0)+IF(CS2633="D",1,0)+IF(CW2633="D",1,0)+IF(CX2633="D",1,0)+IF(DD2633="D",1,0)+IF(DE2633="D",1,0)+IF(DJ2633="D",1,0)+IF(DK2633="D",1,0)+IF(DO2633="D",1,0)+IF(DP2633="D",1,0)+IF(DQ2633="D",1,0)+IF(DW2633="D",1,0)+IF(DZ2633="D",1,0)+IF(EH2633="D",1,0)</f>
        <v/>
      </c>
      <c r="AY2633">
        <f>IF(DJ2633&lt;&gt;"",1,0)+IF(DK2633&lt;&gt;"",1,0)+IF(DM2633&lt;&gt;"",1,0)+IF(DO2633&lt;&gt;"",1,0)+IF(DP2633&lt;&gt;"",1,0)+IF(DQ2633&lt;&gt;"",1,0)+IF(DS2633&lt;&gt;"",1,0)+IF(DT2633&lt;&gt;"",1,0)+IF(DV2633&lt;&gt;"",1,0)+IF(DW2633&lt;&gt;"",1,0)+IF(DX2633&lt;&gt;"",1,0)+IF(DY2633&lt;&gt;"",1,0)+IF(DZ2633&lt;&gt;"",1,0)+IF(EB2633&lt;&gt;"",1,0)+IF(EC2633&lt;&gt;"",1,0)+IF(ED2633&lt;&gt;"",1,0)+IF(EG2633&lt;&gt;"",1,0)+IF(EH2633&lt;&gt;"",1,0)</f>
        <v/>
      </c>
      <c r="AZ2633">
        <f>IF(EH2633&lt;&gt;"",1,0)</f>
        <v/>
      </c>
      <c r="BB2633" t="inlineStr">
        <is>
          <t>WARREN-WARD 4</t>
        </is>
      </c>
      <c r="BL2633" t="inlineStr">
        <is>
          <t>X</t>
        </is>
      </c>
      <c r="CA2633" t="inlineStr">
        <is>
          <t>X</t>
        </is>
      </c>
      <c r="DC2633" t="inlineStr">
        <is>
          <t>X</t>
        </is>
      </c>
      <c r="EF2633" t="inlineStr">
        <is>
          <t>X</t>
        </is>
      </c>
    </row>
    <row r="2634">
      <c r="A2634" t="inlineStr">
        <is>
          <t>OH0025383449</t>
        </is>
      </c>
      <c r="B2634" t="n">
        <v>78</v>
      </c>
      <c r="C2634" t="n">
        <v>443771</v>
      </c>
      <c r="D2634" t="inlineStr">
        <is>
          <t>OWENS</t>
        </is>
      </c>
      <c r="E2634" t="inlineStr">
        <is>
          <t>SACOYA</t>
        </is>
      </c>
      <c r="F2634">
        <f>CONCATENATE(D2634," ",LEFT(H2634,4),"T=",AU2634,"D=",AV2634,"R=",AW2634,"M=",AX2634,"L=",AY2634,"B=",AZ2634)</f>
        <v/>
      </c>
      <c r="G2634" t="inlineStr">
        <is>
          <t>IVION</t>
        </is>
      </c>
      <c r="I2634" t="inlineStr">
        <is>
          <t>1985-07-18</t>
        </is>
      </c>
      <c r="J2634" t="inlineStr">
        <is>
          <t>2023-08-21</t>
        </is>
      </c>
      <c r="K2634" t="inlineStr">
        <is>
          <t>ACTIVE</t>
        </is>
      </c>
      <c r="M2634" t="inlineStr">
        <is>
          <t>2917 DUKE AVE SE</t>
        </is>
      </c>
      <c r="N2634">
        <f>RIGHT(M2634,LEN(M2634)-FIND(" ",M2634))</f>
        <v/>
      </c>
      <c r="P2634" t="inlineStr">
        <is>
          <t>WARREN</t>
        </is>
      </c>
      <c r="Q2634" t="inlineStr">
        <is>
          <t>OH</t>
        </is>
      </c>
      <c r="R2634" t="n">
        <v>44484</v>
      </c>
      <c r="AD2634" t="inlineStr">
        <is>
          <t>TRUMBULL CAREER &amp; TECH CENTER</t>
        </is>
      </c>
      <c r="AE2634" t="inlineStr">
        <is>
          <t>WARREN CITY</t>
        </is>
      </c>
      <c r="AF2634" t="inlineStr">
        <is>
          <t>WARREN CITY SD</t>
        </is>
      </c>
      <c r="AH2634" t="n">
        <v>14</v>
      </c>
      <c r="AI2634" t="n">
        <v>11</v>
      </c>
      <c r="AN2634" t="inlineStr">
        <is>
          <t>WARREN</t>
        </is>
      </c>
      <c r="AO2634" t="inlineStr">
        <is>
          <t>WARREN CITY 4F</t>
        </is>
      </c>
      <c r="AP2634" t="inlineStr">
        <is>
          <t>78-P-ADN</t>
        </is>
      </c>
      <c r="AQ2634" t="n">
        <v>9</v>
      </c>
      <c r="AR2634" t="n">
        <v>64</v>
      </c>
      <c r="AS2634" t="n">
        <v>32</v>
      </c>
      <c r="AU2634">
        <f>COUNTA($BA$2634:$EH$2634)</f>
        <v/>
      </c>
      <c r="AV2634">
        <f>COUNTIF($BA$2634:$EH$2634,"D")</f>
        <v/>
      </c>
      <c r="AW2634">
        <f>COUNTIF($BA$2634:$EH$2634,"R")</f>
        <v/>
      </c>
      <c r="AX2634">
        <f>IF(BN2634="D",1,0)+IF(BO2634="D",1,0)+IF(BT2634="D",1,0)+IF(BU2634="D",1,0)+IF(BW2634="D",1,0)+IF(CC2634="D",1,0)+IF(CD2634="D",1,0)+IF(CE2634="D",1,0)+IF(CF2634="D",1,0)+IF(CL2634="D",1,0)+IF(CM2634="D",1,0)+IF(CQ2634="D",1,0)+IF(CR2634="D",1,0)+IF(CS2634="D",1,0)+IF(CW2634="D",1,0)+IF(CX2634="D",1,0)+IF(DD2634="D",1,0)+IF(DE2634="D",1,0)+IF(DJ2634="D",1,0)+IF(DK2634="D",1,0)+IF(DO2634="D",1,0)+IF(DP2634="D",1,0)+IF(DQ2634="D",1,0)+IF(DW2634="D",1,0)+IF(DZ2634="D",1,0)+IF(EH2634="D",1,0)</f>
        <v/>
      </c>
      <c r="AY2634">
        <f>IF(DJ2634&lt;&gt;"",1,0)+IF(DK2634&lt;&gt;"",1,0)+IF(DM2634&lt;&gt;"",1,0)+IF(DO2634&lt;&gt;"",1,0)+IF(DP2634&lt;&gt;"",1,0)+IF(DQ2634&lt;&gt;"",1,0)+IF(DS2634&lt;&gt;"",1,0)+IF(DT2634&lt;&gt;"",1,0)+IF(DV2634&lt;&gt;"",1,0)+IF(DW2634&lt;&gt;"",1,0)+IF(DX2634&lt;&gt;"",1,0)+IF(DY2634&lt;&gt;"",1,0)+IF(DZ2634&lt;&gt;"",1,0)+IF(EB2634&lt;&gt;"",1,0)+IF(EC2634&lt;&gt;"",1,0)+IF(ED2634&lt;&gt;"",1,0)+IF(EG2634&lt;&gt;"",1,0)+IF(EH2634&lt;&gt;"",1,0)</f>
        <v/>
      </c>
      <c r="AZ2634">
        <f>IF(EH2634&lt;&gt;"",1,0)</f>
        <v/>
      </c>
      <c r="BB2634" t="inlineStr">
        <is>
          <t>WARREN-WARD 4</t>
        </is>
      </c>
      <c r="BY2634" t="inlineStr">
        <is>
          <t>D</t>
        </is>
      </c>
      <c r="CA2634" t="inlineStr">
        <is>
          <t>X</t>
        </is>
      </c>
      <c r="DN2634" t="inlineStr">
        <is>
          <t>X</t>
        </is>
      </c>
    </row>
    <row r="2635">
      <c r="A2635" t="inlineStr">
        <is>
          <t>OH0026511165</t>
        </is>
      </c>
      <c r="B2635" t="n">
        <v>78</v>
      </c>
      <c r="C2635" t="n">
        <v>463282</v>
      </c>
      <c r="D2635" t="inlineStr">
        <is>
          <t>DAVIS</t>
        </is>
      </c>
      <c r="E2635" t="inlineStr">
        <is>
          <t>SHAVEH</t>
        </is>
      </c>
      <c r="F2635">
        <f>CONCATENATE(D2635," ",LEFT(H2635,4),"T=",AU2635,"D=",AV2635,"R=",AW2635,"M=",AX2635,"L=",AY2635,"B=",AZ2635)</f>
        <v/>
      </c>
      <c r="G2635" t="inlineStr">
        <is>
          <t>E</t>
        </is>
      </c>
      <c r="I2635" t="inlineStr">
        <is>
          <t>1987-03-25</t>
        </is>
      </c>
      <c r="J2635" t="inlineStr">
        <is>
          <t>2024-08-30</t>
        </is>
      </c>
      <c r="K2635" t="inlineStr">
        <is>
          <t>ACTIVE</t>
        </is>
      </c>
      <c r="M2635" t="inlineStr">
        <is>
          <t>2737 DUKE AVE SE</t>
        </is>
      </c>
      <c r="N2635">
        <f>RIGHT(M2635,LEN(M2635)-FIND(" ",M2635))</f>
        <v/>
      </c>
      <c r="P2635" t="inlineStr">
        <is>
          <t>WARREN</t>
        </is>
      </c>
      <c r="Q2635" t="inlineStr">
        <is>
          <t>OH</t>
        </is>
      </c>
      <c r="R2635" t="n">
        <v>44484</v>
      </c>
      <c r="AD2635" t="inlineStr">
        <is>
          <t>TRUMBULL CAREER &amp; TECH CENTER</t>
        </is>
      </c>
      <c r="AE2635" t="inlineStr">
        <is>
          <t>WARREN CITY</t>
        </is>
      </c>
      <c r="AF2635" t="inlineStr">
        <is>
          <t>WARREN CITY SD</t>
        </is>
      </c>
      <c r="AH2635" t="n">
        <v>14</v>
      </c>
      <c r="AI2635" t="n">
        <v>11</v>
      </c>
      <c r="AN2635" t="inlineStr">
        <is>
          <t>WARREN</t>
        </is>
      </c>
      <c r="AO2635" t="inlineStr">
        <is>
          <t>WARREN CITY 4F</t>
        </is>
      </c>
      <c r="AP2635" t="inlineStr">
        <is>
          <t>78-P-ADN</t>
        </is>
      </c>
      <c r="AQ2635" t="n">
        <v>9</v>
      </c>
      <c r="AR2635" t="n">
        <v>64</v>
      </c>
      <c r="AS2635" t="n">
        <v>32</v>
      </c>
      <c r="AU2635">
        <f>COUNTA($BA$2635:$EH$2635)</f>
        <v/>
      </c>
      <c r="AV2635">
        <f>COUNTIF($BA$2635:$EH$2635,"D")</f>
        <v/>
      </c>
      <c r="AW2635">
        <f>COUNTIF($BA$2635:$EH$2635,"R")</f>
        <v/>
      </c>
      <c r="AX2635">
        <f>IF(BN2635="D",1,0)+IF(BO2635="D",1,0)+IF(BT2635="D",1,0)+IF(BU2635="D",1,0)+IF(BW2635="D",1,0)+IF(CC2635="D",1,0)+IF(CD2635="D",1,0)+IF(CE2635="D",1,0)+IF(CF2635="D",1,0)+IF(CL2635="D",1,0)+IF(CM2635="D",1,0)+IF(CQ2635="D",1,0)+IF(CR2635="D",1,0)+IF(CS2635="D",1,0)+IF(CW2635="D",1,0)+IF(CX2635="D",1,0)+IF(DD2635="D",1,0)+IF(DE2635="D",1,0)+IF(DJ2635="D",1,0)+IF(DK2635="D",1,0)+IF(DO2635="D",1,0)+IF(DP2635="D",1,0)+IF(DQ2635="D",1,0)+IF(DW2635="D",1,0)+IF(DZ2635="D",1,0)+IF(EH2635="D",1,0)</f>
        <v/>
      </c>
      <c r="AY2635">
        <f>IF(DJ2635&lt;&gt;"",1,0)+IF(DK2635&lt;&gt;"",1,0)+IF(DM2635&lt;&gt;"",1,0)+IF(DO2635&lt;&gt;"",1,0)+IF(DP2635&lt;&gt;"",1,0)+IF(DQ2635&lt;&gt;"",1,0)+IF(DS2635&lt;&gt;"",1,0)+IF(DT2635&lt;&gt;"",1,0)+IF(DV2635&lt;&gt;"",1,0)+IF(DW2635&lt;&gt;"",1,0)+IF(DX2635&lt;&gt;"",1,0)+IF(DY2635&lt;&gt;"",1,0)+IF(DZ2635&lt;&gt;"",1,0)+IF(EB2635&lt;&gt;"",1,0)+IF(EC2635&lt;&gt;"",1,0)+IF(ED2635&lt;&gt;"",1,0)+IF(EG2635&lt;&gt;"",1,0)+IF(EH2635&lt;&gt;"",1,0)</f>
        <v/>
      </c>
      <c r="AZ2635">
        <f>IF(EH2635&lt;&gt;"",1,0)</f>
        <v/>
      </c>
      <c r="BB2635" t="inlineStr">
        <is>
          <t>WARREN-WARD 4</t>
        </is>
      </c>
      <c r="CP2635" t="inlineStr">
        <is>
          <t>X</t>
        </is>
      </c>
      <c r="DC2635" t="inlineStr">
        <is>
          <t>X</t>
        </is>
      </c>
      <c r="DL2635" t="inlineStr">
        <is>
          <t>X</t>
        </is>
      </c>
      <c r="DN2635" t="inlineStr">
        <is>
          <t>X</t>
        </is>
      </c>
      <c r="DR2635" t="inlineStr">
        <is>
          <t>X</t>
        </is>
      </c>
    </row>
    <row r="2636">
      <c r="A2636" t="inlineStr">
        <is>
          <t>OH0025460134</t>
        </is>
      </c>
      <c r="B2636" t="n">
        <v>78</v>
      </c>
      <c r="C2636" t="n">
        <v>445084</v>
      </c>
      <c r="D2636" t="inlineStr">
        <is>
          <t>SHUMAN</t>
        </is>
      </c>
      <c r="E2636" t="inlineStr">
        <is>
          <t>ANGELA</t>
        </is>
      </c>
      <c r="F2636">
        <f>CONCATENATE(D2636," ",LEFT(H2636,4),"T=",AU2636,"D=",AV2636,"R=",AW2636,"M=",AX2636,"L=",AY2636,"B=",AZ2636)</f>
        <v/>
      </c>
      <c r="G2636" t="inlineStr">
        <is>
          <t>R</t>
        </is>
      </c>
      <c r="I2636" t="inlineStr">
        <is>
          <t>1978-01-01</t>
        </is>
      </c>
      <c r="J2636" t="inlineStr">
        <is>
          <t>2020-02-06</t>
        </is>
      </c>
      <c r="K2636" t="inlineStr">
        <is>
          <t>CONFIRMATION</t>
        </is>
      </c>
      <c r="M2636" t="inlineStr">
        <is>
          <t>1567 KENILWORTH AVE SE</t>
        </is>
      </c>
      <c r="N2636">
        <f>RIGHT(M2636,LEN(M2636)-FIND(" ",M2636))</f>
        <v/>
      </c>
      <c r="P2636" t="inlineStr">
        <is>
          <t>WARREN</t>
        </is>
      </c>
      <c r="Q2636" t="inlineStr">
        <is>
          <t>OH</t>
        </is>
      </c>
      <c r="R2636" t="n">
        <v>44484</v>
      </c>
      <c r="AD2636" t="inlineStr">
        <is>
          <t>TRUMBULL CAREER &amp; TECH CENTER</t>
        </is>
      </c>
      <c r="AE2636" t="inlineStr">
        <is>
          <t>WARREN CITY</t>
        </is>
      </c>
      <c r="AF2636" t="inlineStr">
        <is>
          <t>WARREN CITY SD</t>
        </is>
      </c>
      <c r="AH2636" t="n">
        <v>14</v>
      </c>
      <c r="AI2636" t="n">
        <v>11</v>
      </c>
      <c r="AN2636" t="inlineStr">
        <is>
          <t>WARREN</t>
        </is>
      </c>
      <c r="AO2636" t="inlineStr">
        <is>
          <t>WARREN CITY 4F</t>
        </is>
      </c>
      <c r="AP2636" t="inlineStr">
        <is>
          <t>78-P-ADN</t>
        </is>
      </c>
      <c r="AQ2636" t="n">
        <v>9</v>
      </c>
      <c r="AR2636" t="n">
        <v>64</v>
      </c>
      <c r="AS2636" t="n">
        <v>32</v>
      </c>
      <c r="AU2636">
        <f>COUNTA($BA$2636:$EH$2636)</f>
        <v/>
      </c>
      <c r="AV2636">
        <f>COUNTIF($BA$2636:$EH$2636,"D")</f>
        <v/>
      </c>
      <c r="AW2636">
        <f>COUNTIF($BA$2636:$EH$2636,"R")</f>
        <v/>
      </c>
      <c r="AX2636">
        <f>IF(BN2636="D",1,0)+IF(BO2636="D",1,0)+IF(BT2636="D",1,0)+IF(BU2636="D",1,0)+IF(BW2636="D",1,0)+IF(CC2636="D",1,0)+IF(CD2636="D",1,0)+IF(CE2636="D",1,0)+IF(CF2636="D",1,0)+IF(CL2636="D",1,0)+IF(CM2636="D",1,0)+IF(CQ2636="D",1,0)+IF(CR2636="D",1,0)+IF(CS2636="D",1,0)+IF(CW2636="D",1,0)+IF(CX2636="D",1,0)+IF(DD2636="D",1,0)+IF(DE2636="D",1,0)+IF(DJ2636="D",1,0)+IF(DK2636="D",1,0)+IF(DO2636="D",1,0)+IF(DP2636="D",1,0)+IF(DQ2636="D",1,0)+IF(DW2636="D",1,0)+IF(DZ2636="D",1,0)+IF(EH2636="D",1,0)</f>
        <v/>
      </c>
      <c r="AY2636">
        <f>IF(DJ2636&lt;&gt;"",1,0)+IF(DK2636&lt;&gt;"",1,0)+IF(DM2636&lt;&gt;"",1,0)+IF(DO2636&lt;&gt;"",1,0)+IF(DP2636&lt;&gt;"",1,0)+IF(DQ2636&lt;&gt;"",1,0)+IF(DS2636&lt;&gt;"",1,0)+IF(DT2636&lt;&gt;"",1,0)+IF(DV2636&lt;&gt;"",1,0)+IF(DW2636&lt;&gt;"",1,0)+IF(DX2636&lt;&gt;"",1,0)+IF(DY2636&lt;&gt;"",1,0)+IF(DZ2636&lt;&gt;"",1,0)+IF(EB2636&lt;&gt;"",1,0)+IF(EC2636&lt;&gt;"",1,0)+IF(ED2636&lt;&gt;"",1,0)+IF(EG2636&lt;&gt;"",1,0)+IF(EH2636&lt;&gt;"",1,0)</f>
        <v/>
      </c>
      <c r="AZ2636">
        <f>IF(EH2636&lt;&gt;"",1,0)</f>
        <v/>
      </c>
      <c r="BB2636" t="inlineStr">
        <is>
          <t>WARREN-WARD 4</t>
        </is>
      </c>
    </row>
    <row r="2637">
      <c r="A2637" t="inlineStr">
        <is>
          <t>OH0015763547</t>
        </is>
      </c>
      <c r="B2637" t="n">
        <v>78</v>
      </c>
      <c r="C2637" t="n">
        <v>327334</v>
      </c>
      <c r="D2637" t="inlineStr">
        <is>
          <t>PERRY</t>
        </is>
      </c>
      <c r="E2637" t="inlineStr">
        <is>
          <t>JUAMONE</t>
        </is>
      </c>
      <c r="F2637">
        <f>CONCATENATE(D2637," ",LEFT(H2637,4),"T=",AU2637,"D=",AV2637,"R=",AW2637,"M=",AX2637,"L=",AY2637,"B=",AZ2637)</f>
        <v/>
      </c>
      <c r="G2637" t="inlineStr">
        <is>
          <t>O</t>
        </is>
      </c>
      <c r="I2637" t="inlineStr">
        <is>
          <t>1971-08-03</t>
        </is>
      </c>
      <c r="J2637" t="inlineStr">
        <is>
          <t>2012-08-24</t>
        </is>
      </c>
      <c r="K2637" t="inlineStr">
        <is>
          <t>ACTIVE</t>
        </is>
      </c>
      <c r="M2637" t="inlineStr">
        <is>
          <t>1955 BRIER ST SE</t>
        </is>
      </c>
      <c r="N2637">
        <f>RIGHT(M2637,LEN(M2637)-FIND(" ",M2637))</f>
        <v/>
      </c>
      <c r="P2637" t="inlineStr">
        <is>
          <t>WARREN</t>
        </is>
      </c>
      <c r="Q2637" t="inlineStr">
        <is>
          <t>OH</t>
        </is>
      </c>
      <c r="R2637" t="n">
        <v>44484</v>
      </c>
      <c r="AD2637" t="inlineStr">
        <is>
          <t>TRUMBULL CAREER &amp; TECH CENTER</t>
        </is>
      </c>
      <c r="AE2637" t="inlineStr">
        <is>
          <t>WARREN CITY</t>
        </is>
      </c>
      <c r="AF2637" t="inlineStr">
        <is>
          <t>WARREN CITY SD</t>
        </is>
      </c>
      <c r="AH2637" t="n">
        <v>14</v>
      </c>
      <c r="AI2637" t="n">
        <v>11</v>
      </c>
      <c r="AN2637" t="inlineStr">
        <is>
          <t>WARREN</t>
        </is>
      </c>
      <c r="AO2637" t="inlineStr">
        <is>
          <t>WARREN CITY 4F</t>
        </is>
      </c>
      <c r="AP2637" t="inlineStr">
        <is>
          <t>78-P-ADN</t>
        </is>
      </c>
      <c r="AQ2637" t="n">
        <v>9</v>
      </c>
      <c r="AR2637" t="n">
        <v>64</v>
      </c>
      <c r="AS2637" t="n">
        <v>32</v>
      </c>
      <c r="AU2637">
        <f>COUNTA($BA$2637:$EH$2637)</f>
        <v/>
      </c>
      <c r="AV2637">
        <f>COUNTIF($BA$2637:$EH$2637,"D")</f>
        <v/>
      </c>
      <c r="AW2637">
        <f>COUNTIF($BA$2637:$EH$2637,"R")</f>
        <v/>
      </c>
      <c r="AX2637">
        <f>IF(BN2637="D",1,0)+IF(BO2637="D",1,0)+IF(BT2637="D",1,0)+IF(BU2637="D",1,0)+IF(BW2637="D",1,0)+IF(CC2637="D",1,0)+IF(CD2637="D",1,0)+IF(CE2637="D",1,0)+IF(CF2637="D",1,0)+IF(CL2637="D",1,0)+IF(CM2637="D",1,0)+IF(CQ2637="D",1,0)+IF(CR2637="D",1,0)+IF(CS2637="D",1,0)+IF(CW2637="D",1,0)+IF(CX2637="D",1,0)+IF(DD2637="D",1,0)+IF(DE2637="D",1,0)+IF(DJ2637="D",1,0)+IF(DK2637="D",1,0)+IF(DO2637="D",1,0)+IF(DP2637="D",1,0)+IF(DQ2637="D",1,0)+IF(DW2637="D",1,0)+IF(DZ2637="D",1,0)+IF(EH2637="D",1,0)</f>
        <v/>
      </c>
      <c r="AY2637">
        <f>IF(DJ2637&lt;&gt;"",1,0)+IF(DK2637&lt;&gt;"",1,0)+IF(DM2637&lt;&gt;"",1,0)+IF(DO2637&lt;&gt;"",1,0)+IF(DP2637&lt;&gt;"",1,0)+IF(DQ2637&lt;&gt;"",1,0)+IF(DS2637&lt;&gt;"",1,0)+IF(DT2637&lt;&gt;"",1,0)+IF(DV2637&lt;&gt;"",1,0)+IF(DW2637&lt;&gt;"",1,0)+IF(DX2637&lt;&gt;"",1,0)+IF(DY2637&lt;&gt;"",1,0)+IF(DZ2637&lt;&gt;"",1,0)+IF(EB2637&lt;&gt;"",1,0)+IF(EC2637&lt;&gt;"",1,0)+IF(ED2637&lt;&gt;"",1,0)+IF(EG2637&lt;&gt;"",1,0)+IF(EH2637&lt;&gt;"",1,0)</f>
        <v/>
      </c>
      <c r="AZ2637">
        <f>IF(EH2637&lt;&gt;"",1,0)</f>
        <v/>
      </c>
      <c r="BB2637" t="inlineStr">
        <is>
          <t>WARREN-WARD 4</t>
        </is>
      </c>
      <c r="BL2637" t="inlineStr">
        <is>
          <t>X</t>
        </is>
      </c>
      <c r="CA2637" t="inlineStr">
        <is>
          <t>X</t>
        </is>
      </c>
      <c r="CP2637" t="inlineStr">
        <is>
          <t>X</t>
        </is>
      </c>
      <c r="DC2637" t="inlineStr">
        <is>
          <t>X</t>
        </is>
      </c>
      <c r="DN2637" t="inlineStr">
        <is>
          <t>X</t>
        </is>
      </c>
      <c r="DU2637" t="inlineStr">
        <is>
          <t>X</t>
        </is>
      </c>
    </row>
    <row r="2638">
      <c r="A2638" t="inlineStr">
        <is>
          <t>OH0023445552</t>
        </is>
      </c>
      <c r="B2638" t="n">
        <v>78</v>
      </c>
      <c r="C2638" t="n">
        <v>411947</v>
      </c>
      <c r="D2638" t="inlineStr">
        <is>
          <t>SHINE</t>
        </is>
      </c>
      <c r="E2638" t="inlineStr">
        <is>
          <t>EZARA</t>
        </is>
      </c>
      <c r="F2638">
        <f>CONCATENATE(D2638," ",LEFT(H2638,4),"T=",AU2638,"D=",AV2638,"R=",AW2638,"M=",AX2638,"L=",AY2638,"B=",AZ2638)</f>
        <v/>
      </c>
      <c r="I2638" t="inlineStr">
        <is>
          <t>1992-06-04</t>
        </is>
      </c>
      <c r="J2638" t="inlineStr">
        <is>
          <t>2015-10-27</t>
        </is>
      </c>
      <c r="K2638" t="inlineStr">
        <is>
          <t>CONFIRMATION</t>
        </is>
      </c>
      <c r="M2638" t="inlineStr">
        <is>
          <t>1759 MILTON ST SE</t>
        </is>
      </c>
      <c r="N2638">
        <f>RIGHT(M2638,LEN(M2638)-FIND(" ",M2638))</f>
        <v/>
      </c>
      <c r="P2638" t="inlineStr">
        <is>
          <t>WARREN</t>
        </is>
      </c>
      <c r="Q2638" t="inlineStr">
        <is>
          <t>OH</t>
        </is>
      </c>
      <c r="R2638" t="n">
        <v>44484</v>
      </c>
      <c r="AD2638" t="inlineStr">
        <is>
          <t>TRUMBULL CAREER &amp; TECH CENTER</t>
        </is>
      </c>
      <c r="AE2638" t="inlineStr">
        <is>
          <t>WARREN CITY</t>
        </is>
      </c>
      <c r="AF2638" t="inlineStr">
        <is>
          <t>WARREN CITY SD</t>
        </is>
      </c>
      <c r="AH2638" t="n">
        <v>14</v>
      </c>
      <c r="AI2638" t="n">
        <v>11</v>
      </c>
      <c r="AN2638" t="inlineStr">
        <is>
          <t>WARREN</t>
        </is>
      </c>
      <c r="AO2638" t="inlineStr">
        <is>
          <t>WARREN CITY 4F</t>
        </is>
      </c>
      <c r="AP2638" t="inlineStr">
        <is>
          <t>78-P-ADN</t>
        </is>
      </c>
      <c r="AQ2638" t="n">
        <v>9</v>
      </c>
      <c r="AR2638" t="n">
        <v>64</v>
      </c>
      <c r="AS2638" t="n">
        <v>32</v>
      </c>
      <c r="AU2638">
        <f>COUNTA($BA$2638:$EH$2638)</f>
        <v/>
      </c>
      <c r="AV2638">
        <f>COUNTIF($BA$2638:$EH$2638,"D")</f>
        <v/>
      </c>
      <c r="AW2638">
        <f>COUNTIF($BA$2638:$EH$2638,"R")</f>
        <v/>
      </c>
      <c r="AX2638">
        <f>IF(BN2638="D",1,0)+IF(BO2638="D",1,0)+IF(BT2638="D",1,0)+IF(BU2638="D",1,0)+IF(BW2638="D",1,0)+IF(CC2638="D",1,0)+IF(CD2638="D",1,0)+IF(CE2638="D",1,0)+IF(CF2638="D",1,0)+IF(CL2638="D",1,0)+IF(CM2638="D",1,0)+IF(CQ2638="D",1,0)+IF(CR2638="D",1,0)+IF(CS2638="D",1,0)+IF(CW2638="D",1,0)+IF(CX2638="D",1,0)+IF(DD2638="D",1,0)+IF(DE2638="D",1,0)+IF(DJ2638="D",1,0)+IF(DK2638="D",1,0)+IF(DO2638="D",1,0)+IF(DP2638="D",1,0)+IF(DQ2638="D",1,0)+IF(DW2638="D",1,0)+IF(DZ2638="D",1,0)+IF(EH2638="D",1,0)</f>
        <v/>
      </c>
      <c r="AY2638">
        <f>IF(DJ2638&lt;&gt;"",1,0)+IF(DK2638&lt;&gt;"",1,0)+IF(DM2638&lt;&gt;"",1,0)+IF(DO2638&lt;&gt;"",1,0)+IF(DP2638&lt;&gt;"",1,0)+IF(DQ2638&lt;&gt;"",1,0)+IF(DS2638&lt;&gt;"",1,0)+IF(DT2638&lt;&gt;"",1,0)+IF(DV2638&lt;&gt;"",1,0)+IF(DW2638&lt;&gt;"",1,0)+IF(DX2638&lt;&gt;"",1,0)+IF(DY2638&lt;&gt;"",1,0)+IF(DZ2638&lt;&gt;"",1,0)+IF(EB2638&lt;&gt;"",1,0)+IF(EC2638&lt;&gt;"",1,0)+IF(ED2638&lt;&gt;"",1,0)+IF(EG2638&lt;&gt;"",1,0)+IF(EH2638&lt;&gt;"",1,0)</f>
        <v/>
      </c>
      <c r="AZ2638">
        <f>IF(EH2638&lt;&gt;"",1,0)</f>
        <v/>
      </c>
      <c r="BB2638" t="inlineStr">
        <is>
          <t>WARREN-WARD 4</t>
        </is>
      </c>
    </row>
    <row r="2639">
      <c r="A2639" t="inlineStr">
        <is>
          <t>OH0025536990</t>
        </is>
      </c>
      <c r="B2639" t="n">
        <v>78</v>
      </c>
      <c r="C2639" t="n">
        <v>446041</v>
      </c>
      <c r="D2639" t="inlineStr">
        <is>
          <t>GEAR</t>
        </is>
      </c>
      <c r="E2639" t="inlineStr">
        <is>
          <t>SHANE</t>
        </is>
      </c>
      <c r="F2639">
        <f>CONCATENATE(D2639," ",LEFT(H2639,4),"T=",AU2639,"D=",AV2639,"R=",AW2639,"M=",AX2639,"L=",AY2639,"B=",AZ2639)</f>
        <v/>
      </c>
      <c r="G2639" t="inlineStr">
        <is>
          <t>JOSEPH</t>
        </is>
      </c>
      <c r="I2639" t="inlineStr">
        <is>
          <t>1997-03-16</t>
        </is>
      </c>
      <c r="J2639" t="inlineStr">
        <is>
          <t>2021-07-17</t>
        </is>
      </c>
      <c r="K2639" t="inlineStr">
        <is>
          <t>CONFIRMATION</t>
        </is>
      </c>
      <c r="M2639" t="inlineStr">
        <is>
          <t>1567 KENILWORTH AVE SE</t>
        </is>
      </c>
      <c r="N2639">
        <f>RIGHT(M2639,LEN(M2639)-FIND(" ",M2639))</f>
        <v/>
      </c>
      <c r="P2639" t="inlineStr">
        <is>
          <t>WARREN</t>
        </is>
      </c>
      <c r="Q2639" t="inlineStr">
        <is>
          <t>OH</t>
        </is>
      </c>
      <c r="R2639" t="n">
        <v>44484</v>
      </c>
      <c r="AD2639" t="inlineStr">
        <is>
          <t>TRUMBULL CAREER &amp; TECH CENTER</t>
        </is>
      </c>
      <c r="AE2639" t="inlineStr">
        <is>
          <t>WARREN CITY</t>
        </is>
      </c>
      <c r="AF2639" t="inlineStr">
        <is>
          <t>WARREN CITY SD</t>
        </is>
      </c>
      <c r="AH2639" t="n">
        <v>14</v>
      </c>
      <c r="AI2639" t="n">
        <v>11</v>
      </c>
      <c r="AN2639" t="inlineStr">
        <is>
          <t>WARREN</t>
        </is>
      </c>
      <c r="AO2639" t="inlineStr">
        <is>
          <t>WARREN CITY 4F</t>
        </is>
      </c>
      <c r="AP2639" t="inlineStr">
        <is>
          <t>78-P-ADN</t>
        </is>
      </c>
      <c r="AQ2639" t="n">
        <v>9</v>
      </c>
      <c r="AR2639" t="n">
        <v>64</v>
      </c>
      <c r="AS2639" t="n">
        <v>32</v>
      </c>
      <c r="AU2639">
        <f>COUNTA($BA$2639:$EH$2639)</f>
        <v/>
      </c>
      <c r="AV2639">
        <f>COUNTIF($BA$2639:$EH$2639,"D")</f>
        <v/>
      </c>
      <c r="AW2639">
        <f>COUNTIF($BA$2639:$EH$2639,"R")</f>
        <v/>
      </c>
      <c r="AX2639">
        <f>IF(BN2639="D",1,0)+IF(BO2639="D",1,0)+IF(BT2639="D",1,0)+IF(BU2639="D",1,0)+IF(BW2639="D",1,0)+IF(CC2639="D",1,0)+IF(CD2639="D",1,0)+IF(CE2639="D",1,0)+IF(CF2639="D",1,0)+IF(CL2639="D",1,0)+IF(CM2639="D",1,0)+IF(CQ2639="D",1,0)+IF(CR2639="D",1,0)+IF(CS2639="D",1,0)+IF(CW2639="D",1,0)+IF(CX2639="D",1,0)+IF(DD2639="D",1,0)+IF(DE2639="D",1,0)+IF(DJ2639="D",1,0)+IF(DK2639="D",1,0)+IF(DO2639="D",1,0)+IF(DP2639="D",1,0)+IF(DQ2639="D",1,0)+IF(DW2639="D",1,0)+IF(DZ2639="D",1,0)+IF(EH2639="D",1,0)</f>
        <v/>
      </c>
      <c r="AY2639">
        <f>IF(DJ2639&lt;&gt;"",1,0)+IF(DK2639&lt;&gt;"",1,0)+IF(DM2639&lt;&gt;"",1,0)+IF(DO2639&lt;&gt;"",1,0)+IF(DP2639&lt;&gt;"",1,0)+IF(DQ2639&lt;&gt;"",1,0)+IF(DS2639&lt;&gt;"",1,0)+IF(DT2639&lt;&gt;"",1,0)+IF(DV2639&lt;&gt;"",1,0)+IF(DW2639&lt;&gt;"",1,0)+IF(DX2639&lt;&gt;"",1,0)+IF(DY2639&lt;&gt;"",1,0)+IF(DZ2639&lt;&gt;"",1,0)+IF(EB2639&lt;&gt;"",1,0)+IF(EC2639&lt;&gt;"",1,0)+IF(ED2639&lt;&gt;"",1,0)+IF(EG2639&lt;&gt;"",1,0)+IF(EH2639&lt;&gt;"",1,0)</f>
        <v/>
      </c>
      <c r="AZ2639">
        <f>IF(EH2639&lt;&gt;"",1,0)</f>
        <v/>
      </c>
      <c r="BB2639" t="inlineStr">
        <is>
          <t>WARREN-WARD 4</t>
        </is>
      </c>
    </row>
    <row r="2640">
      <c r="A2640" t="inlineStr">
        <is>
          <t>OH0018823607</t>
        </is>
      </c>
      <c r="B2640" t="n">
        <v>78</v>
      </c>
      <c r="C2640" t="n">
        <v>345133</v>
      </c>
      <c r="D2640" t="inlineStr">
        <is>
          <t>JONES</t>
        </is>
      </c>
      <c r="E2640" t="inlineStr">
        <is>
          <t>MARK</t>
        </is>
      </c>
      <c r="F2640">
        <f>CONCATENATE(D2640," ",LEFT(H2640,4),"T=",AU2640,"D=",AV2640,"R=",AW2640,"M=",AX2640,"L=",AY2640,"B=",AZ2640)</f>
        <v/>
      </c>
      <c r="G2640" t="inlineStr">
        <is>
          <t>A</t>
        </is>
      </c>
      <c r="I2640" t="inlineStr">
        <is>
          <t>1958-05-18</t>
        </is>
      </c>
      <c r="J2640" t="inlineStr">
        <is>
          <t>2016-01-04</t>
        </is>
      </c>
      <c r="K2640" t="inlineStr">
        <is>
          <t>CONFIRMATION</t>
        </is>
      </c>
      <c r="M2640" t="inlineStr">
        <is>
          <t>1516 HOMEWOOD AVE SE</t>
        </is>
      </c>
      <c r="N2640">
        <f>RIGHT(M2640,LEN(M2640)-FIND(" ",M2640))</f>
        <v/>
      </c>
      <c r="P2640" t="inlineStr">
        <is>
          <t>WARREN</t>
        </is>
      </c>
      <c r="Q2640" t="inlineStr">
        <is>
          <t>OH</t>
        </is>
      </c>
      <c r="R2640" t="n">
        <v>44484</v>
      </c>
      <c r="AD2640" t="inlineStr">
        <is>
          <t>TRUMBULL CAREER &amp; TECH CENTER</t>
        </is>
      </c>
      <c r="AE2640" t="inlineStr">
        <is>
          <t>WARREN CITY</t>
        </is>
      </c>
      <c r="AF2640" t="inlineStr">
        <is>
          <t>WARREN CITY SD</t>
        </is>
      </c>
      <c r="AH2640" t="n">
        <v>14</v>
      </c>
      <c r="AI2640" t="n">
        <v>11</v>
      </c>
      <c r="AN2640" t="inlineStr">
        <is>
          <t>WARREN</t>
        </is>
      </c>
      <c r="AO2640" t="inlineStr">
        <is>
          <t>WARREN CITY 4F</t>
        </is>
      </c>
      <c r="AP2640" t="inlineStr">
        <is>
          <t>78-P-ADN</t>
        </is>
      </c>
      <c r="AQ2640" t="n">
        <v>9</v>
      </c>
      <c r="AR2640" t="n">
        <v>64</v>
      </c>
      <c r="AS2640" t="n">
        <v>32</v>
      </c>
      <c r="AU2640">
        <f>COUNTA($BA$2640:$EH$2640)</f>
        <v/>
      </c>
      <c r="AV2640">
        <f>COUNTIF($BA$2640:$EH$2640,"D")</f>
        <v/>
      </c>
      <c r="AW2640">
        <f>COUNTIF($BA$2640:$EH$2640,"R")</f>
        <v/>
      </c>
      <c r="AX2640">
        <f>IF(BN2640="D",1,0)+IF(BO2640="D",1,0)+IF(BT2640="D",1,0)+IF(BU2640="D",1,0)+IF(BW2640="D",1,0)+IF(CC2640="D",1,0)+IF(CD2640="D",1,0)+IF(CE2640="D",1,0)+IF(CF2640="D",1,0)+IF(CL2640="D",1,0)+IF(CM2640="D",1,0)+IF(CQ2640="D",1,0)+IF(CR2640="D",1,0)+IF(CS2640="D",1,0)+IF(CW2640="D",1,0)+IF(CX2640="D",1,0)+IF(DD2640="D",1,0)+IF(DE2640="D",1,0)+IF(DJ2640="D",1,0)+IF(DK2640="D",1,0)+IF(DO2640="D",1,0)+IF(DP2640="D",1,0)+IF(DQ2640="D",1,0)+IF(DW2640="D",1,0)+IF(DZ2640="D",1,0)+IF(EH2640="D",1,0)</f>
        <v/>
      </c>
      <c r="AY2640">
        <f>IF(DJ2640&lt;&gt;"",1,0)+IF(DK2640&lt;&gt;"",1,0)+IF(DM2640&lt;&gt;"",1,0)+IF(DO2640&lt;&gt;"",1,0)+IF(DP2640&lt;&gt;"",1,0)+IF(DQ2640&lt;&gt;"",1,0)+IF(DS2640&lt;&gt;"",1,0)+IF(DT2640&lt;&gt;"",1,0)+IF(DV2640&lt;&gt;"",1,0)+IF(DW2640&lt;&gt;"",1,0)+IF(DX2640&lt;&gt;"",1,0)+IF(DY2640&lt;&gt;"",1,0)+IF(DZ2640&lt;&gt;"",1,0)+IF(EB2640&lt;&gt;"",1,0)+IF(EC2640&lt;&gt;"",1,0)+IF(ED2640&lt;&gt;"",1,0)+IF(EG2640&lt;&gt;"",1,0)+IF(EH2640&lt;&gt;"",1,0)</f>
        <v/>
      </c>
      <c r="AZ2640">
        <f>IF(EH2640&lt;&gt;"",1,0)</f>
        <v/>
      </c>
      <c r="BB2640" t="inlineStr">
        <is>
          <t>WARREN-WARD 4</t>
        </is>
      </c>
      <c r="BS2640" t="inlineStr">
        <is>
          <t>X</t>
        </is>
      </c>
      <c r="CP2640" t="inlineStr">
        <is>
          <t>X</t>
        </is>
      </c>
      <c r="DC2640" t="inlineStr">
        <is>
          <t>X</t>
        </is>
      </c>
      <c r="DI2640" t="inlineStr">
        <is>
          <t>X</t>
        </is>
      </c>
      <c r="DN2640" t="inlineStr">
        <is>
          <t>X</t>
        </is>
      </c>
    </row>
    <row r="2641">
      <c r="A2641" t="inlineStr">
        <is>
          <t>OH0026180290</t>
        </is>
      </c>
      <c r="B2641" t="n">
        <v>78</v>
      </c>
      <c r="C2641" t="n">
        <v>457799</v>
      </c>
      <c r="D2641" t="inlineStr">
        <is>
          <t>HAWN</t>
        </is>
      </c>
      <c r="E2641" t="inlineStr">
        <is>
          <t>DALTON</t>
        </is>
      </c>
      <c r="F2641">
        <f>CONCATENATE(D2641," ",LEFT(H2641,4),"T=",AU2641,"D=",AV2641,"R=",AW2641,"M=",AX2641,"L=",AY2641,"B=",AZ2641)</f>
        <v/>
      </c>
      <c r="G2641" t="inlineStr">
        <is>
          <t>JAMES</t>
        </is>
      </c>
      <c r="I2641" t="inlineStr">
        <is>
          <t>2003-03-17</t>
        </is>
      </c>
      <c r="J2641" t="inlineStr">
        <is>
          <t>2021-04-17</t>
        </is>
      </c>
      <c r="K2641" t="inlineStr">
        <is>
          <t>CONFIRMATION</t>
        </is>
      </c>
      <c r="M2641" t="inlineStr">
        <is>
          <t>998 EAST AVE SE</t>
        </is>
      </c>
      <c r="N2641">
        <f>RIGHT(M2641,LEN(M2641)-FIND(" ",M2641))</f>
        <v/>
      </c>
      <c r="P2641" t="inlineStr">
        <is>
          <t>WARREN</t>
        </is>
      </c>
      <c r="Q2641" t="inlineStr">
        <is>
          <t>OH</t>
        </is>
      </c>
      <c r="R2641" t="n">
        <v>44484</v>
      </c>
      <c r="AD2641" t="inlineStr">
        <is>
          <t>TRUMBULL CAREER &amp; TECH CENTER</t>
        </is>
      </c>
      <c r="AE2641" t="inlineStr">
        <is>
          <t>WARREN CITY</t>
        </is>
      </c>
      <c r="AF2641" t="inlineStr">
        <is>
          <t>WARREN CITY SD</t>
        </is>
      </c>
      <c r="AH2641" t="n">
        <v>14</v>
      </c>
      <c r="AI2641" t="n">
        <v>11</v>
      </c>
      <c r="AN2641" t="inlineStr">
        <is>
          <t>WARREN</t>
        </is>
      </c>
      <c r="AO2641" t="inlineStr">
        <is>
          <t>WARREN CITY 4F</t>
        </is>
      </c>
      <c r="AP2641" t="inlineStr">
        <is>
          <t>78-P-ADN</t>
        </is>
      </c>
      <c r="AQ2641" t="n">
        <v>9</v>
      </c>
      <c r="AR2641" t="n">
        <v>64</v>
      </c>
      <c r="AS2641" t="n">
        <v>32</v>
      </c>
      <c r="AU2641">
        <f>COUNTA($BA$2641:$EH$2641)</f>
        <v/>
      </c>
      <c r="AV2641">
        <f>COUNTIF($BA$2641:$EH$2641,"D")</f>
        <v/>
      </c>
      <c r="AW2641">
        <f>COUNTIF($BA$2641:$EH$2641,"R")</f>
        <v/>
      </c>
      <c r="AX2641">
        <f>IF(BN2641="D",1,0)+IF(BO2641="D",1,0)+IF(BT2641="D",1,0)+IF(BU2641="D",1,0)+IF(BW2641="D",1,0)+IF(CC2641="D",1,0)+IF(CD2641="D",1,0)+IF(CE2641="D",1,0)+IF(CF2641="D",1,0)+IF(CL2641="D",1,0)+IF(CM2641="D",1,0)+IF(CQ2641="D",1,0)+IF(CR2641="D",1,0)+IF(CS2641="D",1,0)+IF(CW2641="D",1,0)+IF(CX2641="D",1,0)+IF(DD2641="D",1,0)+IF(DE2641="D",1,0)+IF(DJ2641="D",1,0)+IF(DK2641="D",1,0)+IF(DO2641="D",1,0)+IF(DP2641="D",1,0)+IF(DQ2641="D",1,0)+IF(DW2641="D",1,0)+IF(DZ2641="D",1,0)+IF(EH2641="D",1,0)</f>
        <v/>
      </c>
      <c r="AY2641">
        <f>IF(DJ2641&lt;&gt;"",1,0)+IF(DK2641&lt;&gt;"",1,0)+IF(DM2641&lt;&gt;"",1,0)+IF(DO2641&lt;&gt;"",1,0)+IF(DP2641&lt;&gt;"",1,0)+IF(DQ2641&lt;&gt;"",1,0)+IF(DS2641&lt;&gt;"",1,0)+IF(DT2641&lt;&gt;"",1,0)+IF(DV2641&lt;&gt;"",1,0)+IF(DW2641&lt;&gt;"",1,0)+IF(DX2641&lt;&gt;"",1,0)+IF(DY2641&lt;&gt;"",1,0)+IF(DZ2641&lt;&gt;"",1,0)+IF(EB2641&lt;&gt;"",1,0)+IF(EC2641&lt;&gt;"",1,0)+IF(ED2641&lt;&gt;"",1,0)+IF(EG2641&lt;&gt;"",1,0)+IF(EH2641&lt;&gt;"",1,0)</f>
        <v/>
      </c>
      <c r="AZ2641">
        <f>IF(EH2641&lt;&gt;"",1,0)</f>
        <v/>
      </c>
      <c r="BB2641" t="inlineStr">
        <is>
          <t>WARREN-WARD 4</t>
        </is>
      </c>
    </row>
    <row r="2642">
      <c r="A2642" t="inlineStr">
        <is>
          <t>OH0023146781</t>
        </is>
      </c>
      <c r="B2642" t="n">
        <v>78</v>
      </c>
      <c r="C2642" t="n">
        <v>407311</v>
      </c>
      <c r="D2642" t="inlineStr">
        <is>
          <t>KING</t>
        </is>
      </c>
      <c r="E2642" t="inlineStr">
        <is>
          <t>DARLA</t>
        </is>
      </c>
      <c r="F2642">
        <f>CONCATENATE(D2642," ",LEFT(H2642,4),"T=",AU2642,"D=",AV2642,"R=",AW2642,"M=",AX2642,"L=",AY2642,"B=",AZ2642)</f>
        <v/>
      </c>
      <c r="G2642" t="inlineStr">
        <is>
          <t>R</t>
        </is>
      </c>
      <c r="I2642" t="inlineStr">
        <is>
          <t>1982-10-15</t>
        </is>
      </c>
      <c r="J2642" t="inlineStr">
        <is>
          <t>2015-04-16</t>
        </is>
      </c>
      <c r="K2642" t="inlineStr">
        <is>
          <t>CONFIRMATION</t>
        </is>
      </c>
      <c r="M2642" t="inlineStr">
        <is>
          <t>1009 EAST AVE SE</t>
        </is>
      </c>
      <c r="N2642">
        <f>RIGHT(M2642,LEN(M2642)-FIND(" ",M2642))</f>
        <v/>
      </c>
      <c r="P2642" t="inlineStr">
        <is>
          <t>WARREN</t>
        </is>
      </c>
      <c r="Q2642" t="inlineStr">
        <is>
          <t>OH</t>
        </is>
      </c>
      <c r="R2642" t="n">
        <v>44484</v>
      </c>
      <c r="AD2642" t="inlineStr">
        <is>
          <t>TRUMBULL CAREER &amp; TECH CENTER</t>
        </is>
      </c>
      <c r="AE2642" t="inlineStr">
        <is>
          <t>WARREN CITY</t>
        </is>
      </c>
      <c r="AF2642" t="inlineStr">
        <is>
          <t>WARREN CITY SD</t>
        </is>
      </c>
      <c r="AH2642" t="n">
        <v>14</v>
      </c>
      <c r="AI2642" t="n">
        <v>11</v>
      </c>
      <c r="AN2642" t="inlineStr">
        <is>
          <t>WARREN</t>
        </is>
      </c>
      <c r="AO2642" t="inlineStr">
        <is>
          <t>WARREN CITY 4F</t>
        </is>
      </c>
      <c r="AP2642" t="inlineStr">
        <is>
          <t>78-P-ADN</t>
        </is>
      </c>
      <c r="AQ2642" t="n">
        <v>9</v>
      </c>
      <c r="AR2642" t="n">
        <v>64</v>
      </c>
      <c r="AS2642" t="n">
        <v>32</v>
      </c>
      <c r="AU2642">
        <f>COUNTA($BA$2642:$EH$2642)</f>
        <v/>
      </c>
      <c r="AV2642">
        <f>COUNTIF($BA$2642:$EH$2642,"D")</f>
        <v/>
      </c>
      <c r="AW2642">
        <f>COUNTIF($BA$2642:$EH$2642,"R")</f>
        <v/>
      </c>
      <c r="AX2642">
        <f>IF(BN2642="D",1,0)+IF(BO2642="D",1,0)+IF(BT2642="D",1,0)+IF(BU2642="D",1,0)+IF(BW2642="D",1,0)+IF(CC2642="D",1,0)+IF(CD2642="D",1,0)+IF(CE2642="D",1,0)+IF(CF2642="D",1,0)+IF(CL2642="D",1,0)+IF(CM2642="D",1,0)+IF(CQ2642="D",1,0)+IF(CR2642="D",1,0)+IF(CS2642="D",1,0)+IF(CW2642="D",1,0)+IF(CX2642="D",1,0)+IF(DD2642="D",1,0)+IF(DE2642="D",1,0)+IF(DJ2642="D",1,0)+IF(DK2642="D",1,0)+IF(DO2642="D",1,0)+IF(DP2642="D",1,0)+IF(DQ2642="D",1,0)+IF(DW2642="D",1,0)+IF(DZ2642="D",1,0)+IF(EH2642="D",1,0)</f>
        <v/>
      </c>
      <c r="AY2642">
        <f>IF(DJ2642&lt;&gt;"",1,0)+IF(DK2642&lt;&gt;"",1,0)+IF(DM2642&lt;&gt;"",1,0)+IF(DO2642&lt;&gt;"",1,0)+IF(DP2642&lt;&gt;"",1,0)+IF(DQ2642&lt;&gt;"",1,0)+IF(DS2642&lt;&gt;"",1,0)+IF(DT2642&lt;&gt;"",1,0)+IF(DV2642&lt;&gt;"",1,0)+IF(DW2642&lt;&gt;"",1,0)+IF(DX2642&lt;&gt;"",1,0)+IF(DY2642&lt;&gt;"",1,0)+IF(DZ2642&lt;&gt;"",1,0)+IF(EB2642&lt;&gt;"",1,0)+IF(EC2642&lt;&gt;"",1,0)+IF(ED2642&lt;&gt;"",1,0)+IF(EG2642&lt;&gt;"",1,0)+IF(EH2642&lt;&gt;"",1,0)</f>
        <v/>
      </c>
      <c r="AZ2642">
        <f>IF(EH2642&lt;&gt;"",1,0)</f>
        <v/>
      </c>
      <c r="BB2642" t="inlineStr">
        <is>
          <t>WARREN-WARD 4</t>
        </is>
      </c>
      <c r="DC2642" t="inlineStr">
        <is>
          <t>X</t>
        </is>
      </c>
    </row>
    <row r="2643">
      <c r="A2643" t="inlineStr">
        <is>
          <t>OH0025369240</t>
        </is>
      </c>
      <c r="B2643" t="n">
        <v>78</v>
      </c>
      <c r="C2643" t="n">
        <v>443235</v>
      </c>
      <c r="D2643" t="inlineStr">
        <is>
          <t>MONDAY</t>
        </is>
      </c>
      <c r="E2643" t="inlineStr">
        <is>
          <t>CLAUDE</t>
        </is>
      </c>
      <c r="F2643">
        <f>CONCATENATE(D2643," ",LEFT(H2643,4),"T=",AU2643,"D=",AV2643,"R=",AW2643,"M=",AX2643,"L=",AY2643,"B=",AZ2643)</f>
        <v/>
      </c>
      <c r="I2643" t="inlineStr">
        <is>
          <t>1973-04-10</t>
        </is>
      </c>
      <c r="J2643" t="inlineStr">
        <is>
          <t>2019-11-18</t>
        </is>
      </c>
      <c r="K2643" t="inlineStr">
        <is>
          <t>CONFIRMATION</t>
        </is>
      </c>
      <c r="M2643" t="inlineStr">
        <is>
          <t>1964 WICK ST SE</t>
        </is>
      </c>
      <c r="N2643">
        <f>RIGHT(M2643,LEN(M2643)-FIND(" ",M2643))</f>
        <v/>
      </c>
      <c r="P2643" t="inlineStr">
        <is>
          <t>WARREN</t>
        </is>
      </c>
      <c r="Q2643" t="inlineStr">
        <is>
          <t>OH</t>
        </is>
      </c>
      <c r="R2643" t="n">
        <v>44484</v>
      </c>
      <c r="AD2643" t="inlineStr">
        <is>
          <t>TRUMBULL CAREER &amp; TECH CENTER</t>
        </is>
      </c>
      <c r="AE2643" t="inlineStr">
        <is>
          <t>WARREN CITY</t>
        </is>
      </c>
      <c r="AF2643" t="inlineStr">
        <is>
          <t>WARREN CITY SD</t>
        </is>
      </c>
      <c r="AH2643" t="n">
        <v>14</v>
      </c>
      <c r="AI2643" t="n">
        <v>11</v>
      </c>
      <c r="AN2643" t="inlineStr">
        <is>
          <t>WARREN</t>
        </is>
      </c>
      <c r="AO2643" t="inlineStr">
        <is>
          <t>WARREN CITY 4F</t>
        </is>
      </c>
      <c r="AP2643" t="inlineStr">
        <is>
          <t>78-P-ADN</t>
        </is>
      </c>
      <c r="AQ2643" t="n">
        <v>9</v>
      </c>
      <c r="AR2643" t="n">
        <v>64</v>
      </c>
      <c r="AS2643" t="n">
        <v>32</v>
      </c>
      <c r="AU2643">
        <f>COUNTA($BA$2643:$EH$2643)</f>
        <v/>
      </c>
      <c r="AV2643">
        <f>COUNTIF($BA$2643:$EH$2643,"D")</f>
        <v/>
      </c>
      <c r="AW2643">
        <f>COUNTIF($BA$2643:$EH$2643,"R")</f>
        <v/>
      </c>
      <c r="AX2643">
        <f>IF(BN2643="D",1,0)+IF(BO2643="D",1,0)+IF(BT2643="D",1,0)+IF(BU2643="D",1,0)+IF(BW2643="D",1,0)+IF(CC2643="D",1,0)+IF(CD2643="D",1,0)+IF(CE2643="D",1,0)+IF(CF2643="D",1,0)+IF(CL2643="D",1,0)+IF(CM2643="D",1,0)+IF(CQ2643="D",1,0)+IF(CR2643="D",1,0)+IF(CS2643="D",1,0)+IF(CW2643="D",1,0)+IF(CX2643="D",1,0)+IF(DD2643="D",1,0)+IF(DE2643="D",1,0)+IF(DJ2643="D",1,0)+IF(DK2643="D",1,0)+IF(DO2643="D",1,0)+IF(DP2643="D",1,0)+IF(DQ2643="D",1,0)+IF(DW2643="D",1,0)+IF(DZ2643="D",1,0)+IF(EH2643="D",1,0)</f>
        <v/>
      </c>
      <c r="AY2643">
        <f>IF(DJ2643&lt;&gt;"",1,0)+IF(DK2643&lt;&gt;"",1,0)+IF(DM2643&lt;&gt;"",1,0)+IF(DO2643&lt;&gt;"",1,0)+IF(DP2643&lt;&gt;"",1,0)+IF(DQ2643&lt;&gt;"",1,0)+IF(DS2643&lt;&gt;"",1,0)+IF(DT2643&lt;&gt;"",1,0)+IF(DV2643&lt;&gt;"",1,0)+IF(DW2643&lt;&gt;"",1,0)+IF(DX2643&lt;&gt;"",1,0)+IF(DY2643&lt;&gt;"",1,0)+IF(DZ2643&lt;&gt;"",1,0)+IF(EB2643&lt;&gt;"",1,0)+IF(EC2643&lt;&gt;"",1,0)+IF(ED2643&lt;&gt;"",1,0)+IF(EG2643&lt;&gt;"",1,0)+IF(EH2643&lt;&gt;"",1,0)</f>
        <v/>
      </c>
      <c r="AZ2643">
        <f>IF(EH2643&lt;&gt;"",1,0)</f>
        <v/>
      </c>
      <c r="BB2643" t="inlineStr">
        <is>
          <t>WARREN-WARD 4</t>
        </is>
      </c>
      <c r="CA2643" t="inlineStr">
        <is>
          <t>X</t>
        </is>
      </c>
      <c r="CP2643" t="inlineStr">
        <is>
          <t>X</t>
        </is>
      </c>
      <c r="DN2643" t="inlineStr">
        <is>
          <t>X</t>
        </is>
      </c>
    </row>
    <row r="2644">
      <c r="A2644" t="inlineStr">
        <is>
          <t>OH0023184051</t>
        </is>
      </c>
      <c r="B2644" t="n">
        <v>78</v>
      </c>
      <c r="C2644" t="n">
        <v>407888</v>
      </c>
      <c r="D2644" t="inlineStr">
        <is>
          <t>BLOUNT</t>
        </is>
      </c>
      <c r="E2644" t="inlineStr">
        <is>
          <t>RACHEL</t>
        </is>
      </c>
      <c r="F2644">
        <f>CONCATENATE(D2644," ",LEFT(H2644,4),"T=",AU2644,"D=",AV2644,"R=",AW2644,"M=",AX2644,"L=",AY2644,"B=",AZ2644)</f>
        <v/>
      </c>
      <c r="G2644" t="inlineStr">
        <is>
          <t>K</t>
        </is>
      </c>
      <c r="I2644" t="inlineStr">
        <is>
          <t>1986-04-10</t>
        </is>
      </c>
      <c r="J2644" t="inlineStr">
        <is>
          <t>2018-09-22</t>
        </is>
      </c>
      <c r="K2644" t="inlineStr">
        <is>
          <t>ACTIVE</t>
        </is>
      </c>
      <c r="M2644" t="inlineStr">
        <is>
          <t>1175 NILES RD SE</t>
        </is>
      </c>
      <c r="N2644">
        <f>RIGHT(M2644,LEN(M2644)-FIND(" ",M2644))</f>
        <v/>
      </c>
      <c r="P2644" t="inlineStr">
        <is>
          <t>WARREN</t>
        </is>
      </c>
      <c r="Q2644" t="inlineStr">
        <is>
          <t>OH</t>
        </is>
      </c>
      <c r="R2644" t="n">
        <v>44484</v>
      </c>
      <c r="AD2644" t="inlineStr">
        <is>
          <t>TRUMBULL CAREER &amp; TECH CENTER</t>
        </is>
      </c>
      <c r="AE2644" t="inlineStr">
        <is>
          <t>WARREN CITY</t>
        </is>
      </c>
      <c r="AF2644" t="inlineStr">
        <is>
          <t>WARREN CITY SD</t>
        </is>
      </c>
      <c r="AH2644" t="n">
        <v>14</v>
      </c>
      <c r="AI2644" t="n">
        <v>11</v>
      </c>
      <c r="AN2644" t="inlineStr">
        <is>
          <t>WARREN</t>
        </is>
      </c>
      <c r="AO2644" t="inlineStr">
        <is>
          <t>WARREN CITY 4F</t>
        </is>
      </c>
      <c r="AP2644" t="inlineStr">
        <is>
          <t>78-P-ADN</t>
        </is>
      </c>
      <c r="AQ2644" t="n">
        <v>9</v>
      </c>
      <c r="AR2644" t="n">
        <v>64</v>
      </c>
      <c r="AS2644" t="n">
        <v>32</v>
      </c>
      <c r="AU2644">
        <f>COUNTA($BA$2644:$EH$2644)</f>
        <v/>
      </c>
      <c r="AV2644">
        <f>COUNTIF($BA$2644:$EH$2644,"D")</f>
        <v/>
      </c>
      <c r="AW2644">
        <f>COUNTIF($BA$2644:$EH$2644,"R")</f>
        <v/>
      </c>
      <c r="AX2644">
        <f>IF(BN2644="D",1,0)+IF(BO2644="D",1,0)+IF(BT2644="D",1,0)+IF(BU2644="D",1,0)+IF(BW2644="D",1,0)+IF(CC2644="D",1,0)+IF(CD2644="D",1,0)+IF(CE2644="D",1,0)+IF(CF2644="D",1,0)+IF(CL2644="D",1,0)+IF(CM2644="D",1,0)+IF(CQ2644="D",1,0)+IF(CR2644="D",1,0)+IF(CS2644="D",1,0)+IF(CW2644="D",1,0)+IF(CX2644="D",1,0)+IF(DD2644="D",1,0)+IF(DE2644="D",1,0)+IF(DJ2644="D",1,0)+IF(DK2644="D",1,0)+IF(DO2644="D",1,0)+IF(DP2644="D",1,0)+IF(DQ2644="D",1,0)+IF(DW2644="D",1,0)+IF(DZ2644="D",1,0)+IF(EH2644="D",1,0)</f>
        <v/>
      </c>
      <c r="AY2644">
        <f>IF(DJ2644&lt;&gt;"",1,0)+IF(DK2644&lt;&gt;"",1,0)+IF(DM2644&lt;&gt;"",1,0)+IF(DO2644&lt;&gt;"",1,0)+IF(DP2644&lt;&gt;"",1,0)+IF(DQ2644&lt;&gt;"",1,0)+IF(DS2644&lt;&gt;"",1,0)+IF(DT2644&lt;&gt;"",1,0)+IF(DV2644&lt;&gt;"",1,0)+IF(DW2644&lt;&gt;"",1,0)+IF(DX2644&lt;&gt;"",1,0)+IF(DY2644&lt;&gt;"",1,0)+IF(DZ2644&lt;&gt;"",1,0)+IF(EB2644&lt;&gt;"",1,0)+IF(EC2644&lt;&gt;"",1,0)+IF(ED2644&lt;&gt;"",1,0)+IF(EG2644&lt;&gt;"",1,0)+IF(EH2644&lt;&gt;"",1,0)</f>
        <v/>
      </c>
      <c r="AZ2644">
        <f>IF(EH2644&lt;&gt;"",1,0)</f>
        <v/>
      </c>
      <c r="BB2644" t="inlineStr">
        <is>
          <t>WARREN-WARD 4</t>
        </is>
      </c>
      <c r="DC2644" t="inlineStr">
        <is>
          <t>X</t>
        </is>
      </c>
      <c r="EA2644" t="inlineStr">
        <is>
          <t>X</t>
        </is>
      </c>
      <c r="EF2644" t="inlineStr">
        <is>
          <t>X</t>
        </is>
      </c>
    </row>
    <row r="2645">
      <c r="A2645" t="inlineStr">
        <is>
          <t>OH0025050189</t>
        </is>
      </c>
      <c r="B2645" t="n">
        <v>78</v>
      </c>
      <c r="C2645" t="n">
        <v>438580</v>
      </c>
      <c r="D2645" t="inlineStr">
        <is>
          <t>KACPERSKI</t>
        </is>
      </c>
      <c r="E2645" t="inlineStr">
        <is>
          <t>ANJIE</t>
        </is>
      </c>
      <c r="F2645">
        <f>CONCATENATE(D2645," ",LEFT(H2645,4),"T=",AU2645,"D=",AV2645,"R=",AW2645,"M=",AX2645,"L=",AY2645,"B=",AZ2645)</f>
        <v/>
      </c>
      <c r="I2645" t="inlineStr">
        <is>
          <t>1971-03-24</t>
        </is>
      </c>
      <c r="J2645" t="inlineStr">
        <is>
          <t>2019-09-24</t>
        </is>
      </c>
      <c r="K2645" t="inlineStr">
        <is>
          <t>CONFIRMATION</t>
        </is>
      </c>
      <c r="M2645" t="inlineStr">
        <is>
          <t>1964 BENTON ST SE</t>
        </is>
      </c>
      <c r="N2645">
        <f>RIGHT(M2645,LEN(M2645)-FIND(" ",M2645))</f>
        <v/>
      </c>
      <c r="P2645" t="inlineStr">
        <is>
          <t>WARREN</t>
        </is>
      </c>
      <c r="Q2645" t="inlineStr">
        <is>
          <t>OH</t>
        </is>
      </c>
      <c r="R2645" t="n">
        <v>44484</v>
      </c>
      <c r="AD2645" t="inlineStr">
        <is>
          <t>TRUMBULL CAREER &amp; TECH CENTER</t>
        </is>
      </c>
      <c r="AE2645" t="inlineStr">
        <is>
          <t>WARREN CITY</t>
        </is>
      </c>
      <c r="AF2645" t="inlineStr">
        <is>
          <t>WARREN CITY SD</t>
        </is>
      </c>
      <c r="AH2645" t="n">
        <v>14</v>
      </c>
      <c r="AI2645" t="n">
        <v>11</v>
      </c>
      <c r="AN2645" t="inlineStr">
        <is>
          <t>WARREN</t>
        </is>
      </c>
      <c r="AO2645" t="inlineStr">
        <is>
          <t>WARREN CITY 4F</t>
        </is>
      </c>
      <c r="AP2645" t="inlineStr">
        <is>
          <t>78-P-ADN</t>
        </is>
      </c>
      <c r="AQ2645" t="n">
        <v>9</v>
      </c>
      <c r="AR2645" t="n">
        <v>64</v>
      </c>
      <c r="AS2645" t="n">
        <v>32</v>
      </c>
      <c r="AU2645">
        <f>COUNTA($BA$2645:$EH$2645)</f>
        <v/>
      </c>
      <c r="AV2645">
        <f>COUNTIF($BA$2645:$EH$2645,"D")</f>
        <v/>
      </c>
      <c r="AW2645">
        <f>COUNTIF($BA$2645:$EH$2645,"R")</f>
        <v/>
      </c>
      <c r="AX2645">
        <f>IF(BN2645="D",1,0)+IF(BO2645="D",1,0)+IF(BT2645="D",1,0)+IF(BU2645="D",1,0)+IF(BW2645="D",1,0)+IF(CC2645="D",1,0)+IF(CD2645="D",1,0)+IF(CE2645="D",1,0)+IF(CF2645="D",1,0)+IF(CL2645="D",1,0)+IF(CM2645="D",1,0)+IF(CQ2645="D",1,0)+IF(CR2645="D",1,0)+IF(CS2645="D",1,0)+IF(CW2645="D",1,0)+IF(CX2645="D",1,0)+IF(DD2645="D",1,0)+IF(DE2645="D",1,0)+IF(DJ2645="D",1,0)+IF(DK2645="D",1,0)+IF(DO2645="D",1,0)+IF(DP2645="D",1,0)+IF(DQ2645="D",1,0)+IF(DW2645="D",1,0)+IF(DZ2645="D",1,0)+IF(EH2645="D",1,0)</f>
        <v/>
      </c>
      <c r="AY2645">
        <f>IF(DJ2645&lt;&gt;"",1,0)+IF(DK2645&lt;&gt;"",1,0)+IF(DM2645&lt;&gt;"",1,0)+IF(DO2645&lt;&gt;"",1,0)+IF(DP2645&lt;&gt;"",1,0)+IF(DQ2645&lt;&gt;"",1,0)+IF(DS2645&lt;&gt;"",1,0)+IF(DT2645&lt;&gt;"",1,0)+IF(DV2645&lt;&gt;"",1,0)+IF(DW2645&lt;&gt;"",1,0)+IF(DX2645&lt;&gt;"",1,0)+IF(DY2645&lt;&gt;"",1,0)+IF(DZ2645&lt;&gt;"",1,0)+IF(EB2645&lt;&gt;"",1,0)+IF(EC2645&lt;&gt;"",1,0)+IF(ED2645&lt;&gt;"",1,0)+IF(EG2645&lt;&gt;"",1,0)+IF(EH2645&lt;&gt;"",1,0)</f>
        <v/>
      </c>
      <c r="AZ2645">
        <f>IF(EH2645&lt;&gt;"",1,0)</f>
        <v/>
      </c>
      <c r="BB2645" t="inlineStr">
        <is>
          <t>WARREN-WARD 4</t>
        </is>
      </c>
    </row>
    <row r="2646">
      <c r="A2646" t="inlineStr">
        <is>
          <t>OH0023460560</t>
        </is>
      </c>
      <c r="B2646" t="n">
        <v>78</v>
      </c>
      <c r="C2646" t="n">
        <v>412471</v>
      </c>
      <c r="D2646" t="inlineStr">
        <is>
          <t>CAMPANA</t>
        </is>
      </c>
      <c r="E2646" t="inlineStr">
        <is>
          <t>ZACHARY</t>
        </is>
      </c>
      <c r="F2646">
        <f>CONCATENATE(D2646," ",LEFT(H2646,4),"T=",AU2646,"D=",AV2646,"R=",AW2646,"M=",AX2646,"L=",AY2646,"B=",AZ2646)</f>
        <v/>
      </c>
      <c r="G2646" t="inlineStr">
        <is>
          <t>J</t>
        </is>
      </c>
      <c r="I2646" t="inlineStr">
        <is>
          <t>1997-06-18</t>
        </is>
      </c>
      <c r="J2646" t="inlineStr">
        <is>
          <t>2015-12-22</t>
        </is>
      </c>
      <c r="K2646" t="inlineStr">
        <is>
          <t>CONFIRMATION</t>
        </is>
      </c>
      <c r="M2646" t="inlineStr">
        <is>
          <t>1516 KENILWORTH AVE SE</t>
        </is>
      </c>
      <c r="N2646">
        <f>RIGHT(M2646,LEN(M2646)-FIND(" ",M2646))</f>
        <v/>
      </c>
      <c r="P2646" t="inlineStr">
        <is>
          <t>WARREN</t>
        </is>
      </c>
      <c r="Q2646" t="inlineStr">
        <is>
          <t>OH</t>
        </is>
      </c>
      <c r="R2646" t="n">
        <v>44484</v>
      </c>
      <c r="AD2646" t="inlineStr">
        <is>
          <t>TRUMBULL CAREER &amp; TECH CENTER</t>
        </is>
      </c>
      <c r="AE2646" t="inlineStr">
        <is>
          <t>WARREN CITY</t>
        </is>
      </c>
      <c r="AF2646" t="inlineStr">
        <is>
          <t>WARREN CITY SD</t>
        </is>
      </c>
      <c r="AH2646" t="n">
        <v>14</v>
      </c>
      <c r="AI2646" t="n">
        <v>11</v>
      </c>
      <c r="AN2646" t="inlineStr">
        <is>
          <t>WARREN</t>
        </is>
      </c>
      <c r="AO2646" t="inlineStr">
        <is>
          <t>WARREN CITY 4F</t>
        </is>
      </c>
      <c r="AP2646" t="inlineStr">
        <is>
          <t>78-P-ADN</t>
        </is>
      </c>
      <c r="AQ2646" t="n">
        <v>9</v>
      </c>
      <c r="AR2646" t="n">
        <v>64</v>
      </c>
      <c r="AS2646" t="n">
        <v>32</v>
      </c>
      <c r="AU2646">
        <f>COUNTA($BA$2646:$EH$2646)</f>
        <v/>
      </c>
      <c r="AV2646">
        <f>COUNTIF($BA$2646:$EH$2646,"D")</f>
        <v/>
      </c>
      <c r="AW2646">
        <f>COUNTIF($BA$2646:$EH$2646,"R")</f>
        <v/>
      </c>
      <c r="AX2646">
        <f>IF(BN2646="D",1,0)+IF(BO2646="D",1,0)+IF(BT2646="D",1,0)+IF(BU2646="D",1,0)+IF(BW2646="D",1,0)+IF(CC2646="D",1,0)+IF(CD2646="D",1,0)+IF(CE2646="D",1,0)+IF(CF2646="D",1,0)+IF(CL2646="D",1,0)+IF(CM2646="D",1,0)+IF(CQ2646="D",1,0)+IF(CR2646="D",1,0)+IF(CS2646="D",1,0)+IF(CW2646="D",1,0)+IF(CX2646="D",1,0)+IF(DD2646="D",1,0)+IF(DE2646="D",1,0)+IF(DJ2646="D",1,0)+IF(DK2646="D",1,0)+IF(DO2646="D",1,0)+IF(DP2646="D",1,0)+IF(DQ2646="D",1,0)+IF(DW2646="D",1,0)+IF(DZ2646="D",1,0)+IF(EH2646="D",1,0)</f>
        <v/>
      </c>
      <c r="AY2646">
        <f>IF(DJ2646&lt;&gt;"",1,0)+IF(DK2646&lt;&gt;"",1,0)+IF(DM2646&lt;&gt;"",1,0)+IF(DO2646&lt;&gt;"",1,0)+IF(DP2646&lt;&gt;"",1,0)+IF(DQ2646&lt;&gt;"",1,0)+IF(DS2646&lt;&gt;"",1,0)+IF(DT2646&lt;&gt;"",1,0)+IF(DV2646&lt;&gt;"",1,0)+IF(DW2646&lt;&gt;"",1,0)+IF(DX2646&lt;&gt;"",1,0)+IF(DY2646&lt;&gt;"",1,0)+IF(DZ2646&lt;&gt;"",1,0)+IF(EB2646&lt;&gt;"",1,0)+IF(EC2646&lt;&gt;"",1,0)+IF(ED2646&lt;&gt;"",1,0)+IF(EG2646&lt;&gt;"",1,0)+IF(EH2646&lt;&gt;"",1,0)</f>
        <v/>
      </c>
      <c r="AZ2646">
        <f>IF(EH2646&lt;&gt;"",1,0)</f>
        <v/>
      </c>
      <c r="BB2646" t="inlineStr">
        <is>
          <t>WARREN-WARD 4</t>
        </is>
      </c>
      <c r="CZ2646" t="inlineStr">
        <is>
          <t>R</t>
        </is>
      </c>
    </row>
    <row r="2647">
      <c r="A2647" t="inlineStr">
        <is>
          <t>OH0024992225</t>
        </is>
      </c>
      <c r="B2647" t="n">
        <v>78</v>
      </c>
      <c r="C2647" t="n">
        <v>437389</v>
      </c>
      <c r="D2647" t="inlineStr">
        <is>
          <t>ALLEN</t>
        </is>
      </c>
      <c r="E2647" t="inlineStr">
        <is>
          <t>ASHLEY</t>
        </is>
      </c>
      <c r="F2647">
        <f>CONCATENATE(D2647," ",LEFT(H2647,4),"T=",AU2647,"D=",AV2647,"R=",AW2647,"M=",AX2647,"L=",AY2647,"B=",AZ2647)</f>
        <v/>
      </c>
      <c r="G2647" t="inlineStr">
        <is>
          <t>V</t>
        </is>
      </c>
      <c r="I2647" t="inlineStr">
        <is>
          <t>1984-09-02</t>
        </is>
      </c>
      <c r="J2647" t="inlineStr">
        <is>
          <t>2022-10-12</t>
        </is>
      </c>
      <c r="K2647" t="inlineStr">
        <is>
          <t>ACTIVE</t>
        </is>
      </c>
      <c r="M2647" t="inlineStr">
        <is>
          <t>1535 NILES RD SE</t>
        </is>
      </c>
      <c r="N2647">
        <f>RIGHT(M2647,LEN(M2647)-FIND(" ",M2647))</f>
        <v/>
      </c>
      <c r="P2647" t="inlineStr">
        <is>
          <t>WARREN</t>
        </is>
      </c>
      <c r="Q2647" t="inlineStr">
        <is>
          <t>OH</t>
        </is>
      </c>
      <c r="R2647" t="n">
        <v>44484</v>
      </c>
      <c r="AD2647" t="inlineStr">
        <is>
          <t>TRUMBULL CAREER &amp; TECH CENTER</t>
        </is>
      </c>
      <c r="AE2647" t="inlineStr">
        <is>
          <t>WARREN CITY</t>
        </is>
      </c>
      <c r="AF2647" t="inlineStr">
        <is>
          <t>WARREN CITY SD</t>
        </is>
      </c>
      <c r="AH2647" t="n">
        <v>14</v>
      </c>
      <c r="AI2647" t="n">
        <v>11</v>
      </c>
      <c r="AN2647" t="inlineStr">
        <is>
          <t>WARREN</t>
        </is>
      </c>
      <c r="AO2647" t="inlineStr">
        <is>
          <t>WARREN CITY 4F</t>
        </is>
      </c>
      <c r="AP2647" t="inlineStr">
        <is>
          <t>78-P-ADN</t>
        </is>
      </c>
      <c r="AQ2647" t="n">
        <v>9</v>
      </c>
      <c r="AR2647" t="n">
        <v>64</v>
      </c>
      <c r="AS2647" t="n">
        <v>32</v>
      </c>
      <c r="AU2647">
        <f>COUNTA($BA$2647:$EH$2647)</f>
        <v/>
      </c>
      <c r="AV2647">
        <f>COUNTIF($BA$2647:$EH$2647,"D")</f>
        <v/>
      </c>
      <c r="AW2647">
        <f>COUNTIF($BA$2647:$EH$2647,"R")</f>
        <v/>
      </c>
      <c r="AX2647">
        <f>IF(BN2647="D",1,0)+IF(BO2647="D",1,0)+IF(BT2647="D",1,0)+IF(BU2647="D",1,0)+IF(BW2647="D",1,0)+IF(CC2647="D",1,0)+IF(CD2647="D",1,0)+IF(CE2647="D",1,0)+IF(CF2647="D",1,0)+IF(CL2647="D",1,0)+IF(CM2647="D",1,0)+IF(CQ2647="D",1,0)+IF(CR2647="D",1,0)+IF(CS2647="D",1,0)+IF(CW2647="D",1,0)+IF(CX2647="D",1,0)+IF(DD2647="D",1,0)+IF(DE2647="D",1,0)+IF(DJ2647="D",1,0)+IF(DK2647="D",1,0)+IF(DO2647="D",1,0)+IF(DP2647="D",1,0)+IF(DQ2647="D",1,0)+IF(DW2647="D",1,0)+IF(DZ2647="D",1,0)+IF(EH2647="D",1,0)</f>
        <v/>
      </c>
      <c r="AY2647">
        <f>IF(DJ2647&lt;&gt;"",1,0)+IF(DK2647&lt;&gt;"",1,0)+IF(DM2647&lt;&gt;"",1,0)+IF(DO2647&lt;&gt;"",1,0)+IF(DP2647&lt;&gt;"",1,0)+IF(DQ2647&lt;&gt;"",1,0)+IF(DS2647&lt;&gt;"",1,0)+IF(DT2647&lt;&gt;"",1,0)+IF(DV2647&lt;&gt;"",1,0)+IF(DW2647&lt;&gt;"",1,0)+IF(DX2647&lt;&gt;"",1,0)+IF(DY2647&lt;&gt;"",1,0)+IF(DZ2647&lt;&gt;"",1,0)+IF(EB2647&lt;&gt;"",1,0)+IF(EC2647&lt;&gt;"",1,0)+IF(ED2647&lt;&gt;"",1,0)+IF(EG2647&lt;&gt;"",1,0)+IF(EH2647&lt;&gt;"",1,0)</f>
        <v/>
      </c>
      <c r="AZ2647">
        <f>IF(EH2647&lt;&gt;"",1,0)</f>
        <v/>
      </c>
      <c r="BB2647" t="inlineStr">
        <is>
          <t>WARREN-WARD 4</t>
        </is>
      </c>
    </row>
    <row r="2648">
      <c r="A2648" t="inlineStr">
        <is>
          <t>OH0024990263</t>
        </is>
      </c>
      <c r="B2648" t="n">
        <v>78</v>
      </c>
      <c r="C2648" t="n">
        <v>436969</v>
      </c>
      <c r="D2648" t="inlineStr">
        <is>
          <t>MOORE</t>
        </is>
      </c>
      <c r="E2648" t="inlineStr">
        <is>
          <t>AUSTIN</t>
        </is>
      </c>
      <c r="F2648">
        <f>CONCATENATE(D2648," ",LEFT(H2648,4),"T=",AU2648,"D=",AV2648,"R=",AW2648,"M=",AX2648,"L=",AY2648,"B=",AZ2648)</f>
        <v/>
      </c>
      <c r="G2648" t="inlineStr">
        <is>
          <t>ALLEN</t>
        </is>
      </c>
      <c r="I2648" t="inlineStr">
        <is>
          <t>1997-08-06</t>
        </is>
      </c>
      <c r="J2648" t="inlineStr">
        <is>
          <t>2018-10-27</t>
        </is>
      </c>
      <c r="K2648" t="inlineStr">
        <is>
          <t>CONFIRMATION</t>
        </is>
      </c>
      <c r="M2648" t="inlineStr">
        <is>
          <t>411 PINE AVE SE</t>
        </is>
      </c>
      <c r="N2648">
        <f>RIGHT(M2648,LEN(M2648)-FIND(" ",M2648))</f>
        <v/>
      </c>
      <c r="P2648" t="inlineStr">
        <is>
          <t>WARREN</t>
        </is>
      </c>
      <c r="Q2648" t="inlineStr">
        <is>
          <t>OH</t>
        </is>
      </c>
      <c r="R2648" t="n">
        <v>44483</v>
      </c>
      <c r="AD2648" t="inlineStr">
        <is>
          <t>TRUMBULL CAREER &amp; TECH CENTER</t>
        </is>
      </c>
      <c r="AE2648" t="inlineStr">
        <is>
          <t>WARREN CITY</t>
        </is>
      </c>
      <c r="AF2648" t="inlineStr">
        <is>
          <t>WARREN CITY SD</t>
        </is>
      </c>
      <c r="AH2648" t="n">
        <v>14</v>
      </c>
      <c r="AI2648" t="n">
        <v>11</v>
      </c>
      <c r="AN2648" t="inlineStr">
        <is>
          <t>WARREN</t>
        </is>
      </c>
      <c r="AO2648" t="inlineStr">
        <is>
          <t>WARREN CITY 4F</t>
        </is>
      </c>
      <c r="AP2648" t="inlineStr">
        <is>
          <t>78-P-ADN</t>
        </is>
      </c>
      <c r="AQ2648" t="n">
        <v>9</v>
      </c>
      <c r="AR2648" t="n">
        <v>64</v>
      </c>
      <c r="AS2648" t="n">
        <v>32</v>
      </c>
      <c r="AU2648">
        <f>COUNTA($BA$2648:$EH$2648)</f>
        <v/>
      </c>
      <c r="AV2648">
        <f>COUNTIF($BA$2648:$EH$2648,"D")</f>
        <v/>
      </c>
      <c r="AW2648">
        <f>COUNTIF($BA$2648:$EH$2648,"R")</f>
        <v/>
      </c>
      <c r="AX2648">
        <f>IF(BN2648="D",1,0)+IF(BO2648="D",1,0)+IF(BT2648="D",1,0)+IF(BU2648="D",1,0)+IF(BW2648="D",1,0)+IF(CC2648="D",1,0)+IF(CD2648="D",1,0)+IF(CE2648="D",1,0)+IF(CF2648="D",1,0)+IF(CL2648="D",1,0)+IF(CM2648="D",1,0)+IF(CQ2648="D",1,0)+IF(CR2648="D",1,0)+IF(CS2648="D",1,0)+IF(CW2648="D",1,0)+IF(CX2648="D",1,0)+IF(DD2648="D",1,0)+IF(DE2648="D",1,0)+IF(DJ2648="D",1,0)+IF(DK2648="D",1,0)+IF(DO2648="D",1,0)+IF(DP2648="D",1,0)+IF(DQ2648="D",1,0)+IF(DW2648="D",1,0)+IF(DZ2648="D",1,0)+IF(EH2648="D",1,0)</f>
        <v/>
      </c>
      <c r="AY2648">
        <f>IF(DJ2648&lt;&gt;"",1,0)+IF(DK2648&lt;&gt;"",1,0)+IF(DM2648&lt;&gt;"",1,0)+IF(DO2648&lt;&gt;"",1,0)+IF(DP2648&lt;&gt;"",1,0)+IF(DQ2648&lt;&gt;"",1,0)+IF(DS2648&lt;&gt;"",1,0)+IF(DT2648&lt;&gt;"",1,0)+IF(DV2648&lt;&gt;"",1,0)+IF(DW2648&lt;&gt;"",1,0)+IF(DX2648&lt;&gt;"",1,0)+IF(DY2648&lt;&gt;"",1,0)+IF(DZ2648&lt;&gt;"",1,0)+IF(EB2648&lt;&gt;"",1,0)+IF(EC2648&lt;&gt;"",1,0)+IF(ED2648&lt;&gt;"",1,0)+IF(EG2648&lt;&gt;"",1,0)+IF(EH2648&lt;&gt;"",1,0)</f>
        <v/>
      </c>
      <c r="AZ2648">
        <f>IF(EH2648&lt;&gt;"",1,0)</f>
        <v/>
      </c>
      <c r="BB2648" t="inlineStr">
        <is>
          <t>WARREN-WARD 4</t>
        </is>
      </c>
      <c r="DD2648" t="inlineStr">
        <is>
          <t>X</t>
        </is>
      </c>
    </row>
    <row r="2649">
      <c r="A2649" t="inlineStr">
        <is>
          <t>OH0015721949</t>
        </is>
      </c>
      <c r="B2649" t="n">
        <v>78</v>
      </c>
      <c r="C2649" t="n">
        <v>268109</v>
      </c>
      <c r="D2649" t="inlineStr">
        <is>
          <t>JONES</t>
        </is>
      </c>
      <c r="E2649" t="inlineStr">
        <is>
          <t>ANGELIA</t>
        </is>
      </c>
      <c r="F2649">
        <f>CONCATENATE(D2649," ",LEFT(H2649,4),"T=",AU2649,"D=",AV2649,"R=",AW2649,"M=",AX2649,"L=",AY2649,"B=",AZ2649)</f>
        <v/>
      </c>
      <c r="G2649" t="inlineStr">
        <is>
          <t>LOUISE</t>
        </is>
      </c>
      <c r="I2649" t="inlineStr">
        <is>
          <t>1971-02-18</t>
        </is>
      </c>
      <c r="J2649" t="inlineStr">
        <is>
          <t>2015-08-25</t>
        </is>
      </c>
      <c r="K2649" t="inlineStr">
        <is>
          <t>ACTIVE</t>
        </is>
      </c>
      <c r="M2649" t="inlineStr">
        <is>
          <t>1517 KENILWORTH AVE SE</t>
        </is>
      </c>
      <c r="N2649">
        <f>RIGHT(M2649,LEN(M2649)-FIND(" ",M2649))</f>
        <v/>
      </c>
      <c r="P2649" t="inlineStr">
        <is>
          <t>WARREN</t>
        </is>
      </c>
      <c r="Q2649" t="inlineStr">
        <is>
          <t>OH</t>
        </is>
      </c>
      <c r="R2649" t="n">
        <v>44484</v>
      </c>
      <c r="AD2649" t="inlineStr">
        <is>
          <t>TRUMBULL CAREER &amp; TECH CENTER</t>
        </is>
      </c>
      <c r="AE2649" t="inlineStr">
        <is>
          <t>WARREN CITY</t>
        </is>
      </c>
      <c r="AF2649" t="inlineStr">
        <is>
          <t>WARREN CITY SD</t>
        </is>
      </c>
      <c r="AH2649" t="n">
        <v>14</v>
      </c>
      <c r="AI2649" t="n">
        <v>11</v>
      </c>
      <c r="AN2649" t="inlineStr">
        <is>
          <t>WARREN</t>
        </is>
      </c>
      <c r="AO2649" t="inlineStr">
        <is>
          <t>WARREN CITY 4F</t>
        </is>
      </c>
      <c r="AP2649" t="inlineStr">
        <is>
          <t>78-P-ADN</t>
        </is>
      </c>
      <c r="AQ2649" t="n">
        <v>9</v>
      </c>
      <c r="AR2649" t="n">
        <v>64</v>
      </c>
      <c r="AS2649" t="n">
        <v>32</v>
      </c>
      <c r="AU2649">
        <f>COUNTA($BA$2649:$EH$2649)</f>
        <v/>
      </c>
      <c r="AV2649">
        <f>COUNTIF($BA$2649:$EH$2649,"D")</f>
        <v/>
      </c>
      <c r="AW2649">
        <f>COUNTIF($BA$2649:$EH$2649,"R")</f>
        <v/>
      </c>
      <c r="AX2649">
        <f>IF(BN2649="D",1,0)+IF(BO2649="D",1,0)+IF(BT2649="D",1,0)+IF(BU2649="D",1,0)+IF(BW2649="D",1,0)+IF(CC2649="D",1,0)+IF(CD2649="D",1,0)+IF(CE2649="D",1,0)+IF(CF2649="D",1,0)+IF(CL2649="D",1,0)+IF(CM2649="D",1,0)+IF(CQ2649="D",1,0)+IF(CR2649="D",1,0)+IF(CS2649="D",1,0)+IF(CW2649="D",1,0)+IF(CX2649="D",1,0)+IF(DD2649="D",1,0)+IF(DE2649="D",1,0)+IF(DJ2649="D",1,0)+IF(DK2649="D",1,0)+IF(DO2649="D",1,0)+IF(DP2649="D",1,0)+IF(DQ2649="D",1,0)+IF(DW2649="D",1,0)+IF(DZ2649="D",1,0)+IF(EH2649="D",1,0)</f>
        <v/>
      </c>
      <c r="AY2649">
        <f>IF(DJ2649&lt;&gt;"",1,0)+IF(DK2649&lt;&gt;"",1,0)+IF(DM2649&lt;&gt;"",1,0)+IF(DO2649&lt;&gt;"",1,0)+IF(DP2649&lt;&gt;"",1,0)+IF(DQ2649&lt;&gt;"",1,0)+IF(DS2649&lt;&gt;"",1,0)+IF(DT2649&lt;&gt;"",1,0)+IF(DV2649&lt;&gt;"",1,0)+IF(DW2649&lt;&gt;"",1,0)+IF(DX2649&lt;&gt;"",1,0)+IF(DY2649&lt;&gt;"",1,0)+IF(DZ2649&lt;&gt;"",1,0)+IF(EB2649&lt;&gt;"",1,0)+IF(EC2649&lt;&gt;"",1,0)+IF(ED2649&lt;&gt;"",1,0)+IF(EG2649&lt;&gt;"",1,0)+IF(EH2649&lt;&gt;"",1,0)</f>
        <v/>
      </c>
      <c r="AZ2649">
        <f>IF(EH2649&lt;&gt;"",1,0)</f>
        <v/>
      </c>
      <c r="BB2649" t="inlineStr">
        <is>
          <t>WARREN-WARD 4</t>
        </is>
      </c>
      <c r="BC2649" t="inlineStr">
        <is>
          <t>X</t>
        </is>
      </c>
      <c r="BD2649" t="inlineStr">
        <is>
          <t>X</t>
        </is>
      </c>
      <c r="BG2649" t="inlineStr">
        <is>
          <t>X</t>
        </is>
      </c>
      <c r="BH2649" t="inlineStr">
        <is>
          <t>X</t>
        </is>
      </c>
      <c r="BJ2649" t="inlineStr">
        <is>
          <t>X</t>
        </is>
      </c>
      <c r="BL2649" t="inlineStr">
        <is>
          <t>X</t>
        </is>
      </c>
      <c r="BS2649" t="inlineStr">
        <is>
          <t>X</t>
        </is>
      </c>
      <c r="BY2649" t="inlineStr">
        <is>
          <t>D</t>
        </is>
      </c>
      <c r="CA2649" t="inlineStr">
        <is>
          <t>X</t>
        </is>
      </c>
      <c r="CK2649" t="inlineStr">
        <is>
          <t>X</t>
        </is>
      </c>
      <c r="CL2649" t="inlineStr">
        <is>
          <t>D</t>
        </is>
      </c>
      <c r="CP2649" t="inlineStr">
        <is>
          <t>X</t>
        </is>
      </c>
      <c r="CY2649" t="inlineStr">
        <is>
          <t>X</t>
        </is>
      </c>
      <c r="DC2649" t="inlineStr">
        <is>
          <t>X</t>
        </is>
      </c>
      <c r="DI2649" t="inlineStr">
        <is>
          <t>X</t>
        </is>
      </c>
      <c r="DN2649" t="inlineStr">
        <is>
          <t>X</t>
        </is>
      </c>
      <c r="EF2649" t="inlineStr">
        <is>
          <t>X</t>
        </is>
      </c>
    </row>
    <row r="2650">
      <c r="A2650" t="inlineStr">
        <is>
          <t>OH0023278011</t>
        </is>
      </c>
      <c r="B2650" t="n">
        <v>78</v>
      </c>
      <c r="C2650" t="n">
        <v>409583</v>
      </c>
      <c r="D2650" t="inlineStr">
        <is>
          <t>BLOUNT</t>
        </is>
      </c>
      <c r="E2650" t="inlineStr">
        <is>
          <t>VALENTE</t>
        </is>
      </c>
      <c r="F2650">
        <f>CONCATENATE(D2650," ",LEFT(H2650,4),"T=",AU2650,"D=",AV2650,"R=",AW2650,"M=",AX2650,"L=",AY2650,"B=",AZ2650)</f>
        <v/>
      </c>
      <c r="G2650" t="inlineStr">
        <is>
          <t>DEJUAN CLEVELAND</t>
        </is>
      </c>
      <c r="I2650" t="inlineStr">
        <is>
          <t>1987-05-24</t>
        </is>
      </c>
      <c r="J2650" t="inlineStr">
        <is>
          <t>2024-06-06</t>
        </is>
      </c>
      <c r="K2650" t="inlineStr">
        <is>
          <t>ACTIVE</t>
        </is>
      </c>
      <c r="M2650" t="inlineStr">
        <is>
          <t>1175 NILES RD SE</t>
        </is>
      </c>
      <c r="N2650">
        <f>RIGHT(M2650,LEN(M2650)-FIND(" ",M2650))</f>
        <v/>
      </c>
      <c r="P2650" t="inlineStr">
        <is>
          <t>WARREN</t>
        </is>
      </c>
      <c r="Q2650" t="inlineStr">
        <is>
          <t>OH</t>
        </is>
      </c>
      <c r="R2650" t="n">
        <v>44484</v>
      </c>
      <c r="AD2650" t="inlineStr">
        <is>
          <t>TRUMBULL CAREER &amp; TECH CENTER</t>
        </is>
      </c>
      <c r="AE2650" t="inlineStr">
        <is>
          <t>WARREN CITY</t>
        </is>
      </c>
      <c r="AF2650" t="inlineStr">
        <is>
          <t>WARREN CITY SD</t>
        </is>
      </c>
      <c r="AH2650" t="n">
        <v>14</v>
      </c>
      <c r="AI2650" t="n">
        <v>11</v>
      </c>
      <c r="AN2650" t="inlineStr">
        <is>
          <t>WARREN</t>
        </is>
      </c>
      <c r="AO2650" t="inlineStr">
        <is>
          <t>WARREN CITY 4F</t>
        </is>
      </c>
      <c r="AP2650" t="inlineStr">
        <is>
          <t>78-P-ADN</t>
        </is>
      </c>
      <c r="AQ2650" t="n">
        <v>9</v>
      </c>
      <c r="AR2650" t="n">
        <v>64</v>
      </c>
      <c r="AS2650" t="n">
        <v>32</v>
      </c>
      <c r="AU2650">
        <f>COUNTA($BA$2650:$EH$2650)</f>
        <v/>
      </c>
      <c r="AV2650">
        <f>COUNTIF($BA$2650:$EH$2650,"D")</f>
        <v/>
      </c>
      <c r="AW2650">
        <f>COUNTIF($BA$2650:$EH$2650,"R")</f>
        <v/>
      </c>
      <c r="AX2650">
        <f>IF(BN2650="D",1,0)+IF(BO2650="D",1,0)+IF(BT2650="D",1,0)+IF(BU2650="D",1,0)+IF(BW2650="D",1,0)+IF(CC2650="D",1,0)+IF(CD2650="D",1,0)+IF(CE2650="D",1,0)+IF(CF2650="D",1,0)+IF(CL2650="D",1,0)+IF(CM2650="D",1,0)+IF(CQ2650="D",1,0)+IF(CR2650="D",1,0)+IF(CS2650="D",1,0)+IF(CW2650="D",1,0)+IF(CX2650="D",1,0)+IF(DD2650="D",1,0)+IF(DE2650="D",1,0)+IF(DJ2650="D",1,0)+IF(DK2650="D",1,0)+IF(DO2650="D",1,0)+IF(DP2650="D",1,0)+IF(DQ2650="D",1,0)+IF(DW2650="D",1,0)+IF(DZ2650="D",1,0)+IF(EH2650="D",1,0)</f>
        <v/>
      </c>
      <c r="AY2650">
        <f>IF(DJ2650&lt;&gt;"",1,0)+IF(DK2650&lt;&gt;"",1,0)+IF(DM2650&lt;&gt;"",1,0)+IF(DO2650&lt;&gt;"",1,0)+IF(DP2650&lt;&gt;"",1,0)+IF(DQ2650&lt;&gt;"",1,0)+IF(DS2650&lt;&gt;"",1,0)+IF(DT2650&lt;&gt;"",1,0)+IF(DV2650&lt;&gt;"",1,0)+IF(DW2650&lt;&gt;"",1,0)+IF(DX2650&lt;&gt;"",1,0)+IF(DY2650&lt;&gt;"",1,0)+IF(DZ2650&lt;&gt;"",1,0)+IF(EB2650&lt;&gt;"",1,0)+IF(EC2650&lt;&gt;"",1,0)+IF(ED2650&lt;&gt;"",1,0)+IF(EG2650&lt;&gt;"",1,0)+IF(EH2650&lt;&gt;"",1,0)</f>
        <v/>
      </c>
      <c r="AZ2650">
        <f>IF(EH2650&lt;&gt;"",1,0)</f>
        <v/>
      </c>
      <c r="BB2650" t="inlineStr">
        <is>
          <t>WARREN-WARD 4</t>
        </is>
      </c>
      <c r="CY2650" t="inlineStr">
        <is>
          <t>X</t>
        </is>
      </c>
      <c r="EF2650" t="inlineStr">
        <is>
          <t>X</t>
        </is>
      </c>
    </row>
    <row r="2651">
      <c r="A2651" t="inlineStr">
        <is>
          <t>OH0023015255</t>
        </is>
      </c>
      <c r="B2651" t="n">
        <v>78</v>
      </c>
      <c r="C2651" t="n">
        <v>404693</v>
      </c>
      <c r="D2651" t="inlineStr">
        <is>
          <t>OWENS</t>
        </is>
      </c>
      <c r="E2651" t="inlineStr">
        <is>
          <t>LINDA SUE</t>
        </is>
      </c>
      <c r="F2651">
        <f>CONCATENATE(D2651," ",LEFT(H2651,4),"T=",AU2651,"D=",AV2651,"R=",AW2651,"M=",AX2651,"L=",AY2651,"B=",AZ2651)</f>
        <v/>
      </c>
      <c r="G2651" t="inlineStr">
        <is>
          <t>J</t>
        </is>
      </c>
      <c r="I2651" t="inlineStr">
        <is>
          <t>1995-06-05</t>
        </is>
      </c>
      <c r="J2651" t="inlineStr">
        <is>
          <t>2018-08-04</t>
        </is>
      </c>
      <c r="K2651" t="inlineStr">
        <is>
          <t>CONFIRMATION</t>
        </is>
      </c>
      <c r="M2651" t="inlineStr">
        <is>
          <t>1568 ROMAN ST SE</t>
        </is>
      </c>
      <c r="N2651">
        <f>RIGHT(M2651,LEN(M2651)-FIND(" ",M2651))</f>
        <v/>
      </c>
      <c r="P2651" t="inlineStr">
        <is>
          <t>WARREN</t>
        </is>
      </c>
      <c r="Q2651" t="inlineStr">
        <is>
          <t>OH</t>
        </is>
      </c>
      <c r="R2651" t="n">
        <v>44484</v>
      </c>
      <c r="AD2651" t="inlineStr">
        <is>
          <t>TRUMBULL CAREER &amp; TECH CENTER</t>
        </is>
      </c>
      <c r="AE2651" t="inlineStr">
        <is>
          <t>WARREN CITY</t>
        </is>
      </c>
      <c r="AF2651" t="inlineStr">
        <is>
          <t>WARREN CITY SD</t>
        </is>
      </c>
      <c r="AH2651" t="n">
        <v>14</v>
      </c>
      <c r="AI2651" t="n">
        <v>11</v>
      </c>
      <c r="AN2651" t="inlineStr">
        <is>
          <t>WARREN</t>
        </is>
      </c>
      <c r="AO2651" t="inlineStr">
        <is>
          <t>WARREN CITY 4F</t>
        </is>
      </c>
      <c r="AP2651" t="inlineStr">
        <is>
          <t>78-P-ADN</t>
        </is>
      </c>
      <c r="AQ2651" t="n">
        <v>9</v>
      </c>
      <c r="AR2651" t="n">
        <v>64</v>
      </c>
      <c r="AS2651" t="n">
        <v>32</v>
      </c>
      <c r="AU2651">
        <f>COUNTA($BA$2651:$EH$2651)</f>
        <v/>
      </c>
      <c r="AV2651">
        <f>COUNTIF($BA$2651:$EH$2651,"D")</f>
        <v/>
      </c>
      <c r="AW2651">
        <f>COUNTIF($BA$2651:$EH$2651,"R")</f>
        <v/>
      </c>
      <c r="AX2651">
        <f>IF(BN2651="D",1,0)+IF(BO2651="D",1,0)+IF(BT2651="D",1,0)+IF(BU2651="D",1,0)+IF(BW2651="D",1,0)+IF(CC2651="D",1,0)+IF(CD2651="D",1,0)+IF(CE2651="D",1,0)+IF(CF2651="D",1,0)+IF(CL2651="D",1,0)+IF(CM2651="D",1,0)+IF(CQ2651="D",1,0)+IF(CR2651="D",1,0)+IF(CS2651="D",1,0)+IF(CW2651="D",1,0)+IF(CX2651="D",1,0)+IF(DD2651="D",1,0)+IF(DE2651="D",1,0)+IF(DJ2651="D",1,0)+IF(DK2651="D",1,0)+IF(DO2651="D",1,0)+IF(DP2651="D",1,0)+IF(DQ2651="D",1,0)+IF(DW2651="D",1,0)+IF(DZ2651="D",1,0)+IF(EH2651="D",1,0)</f>
        <v/>
      </c>
      <c r="AY2651">
        <f>IF(DJ2651&lt;&gt;"",1,0)+IF(DK2651&lt;&gt;"",1,0)+IF(DM2651&lt;&gt;"",1,0)+IF(DO2651&lt;&gt;"",1,0)+IF(DP2651&lt;&gt;"",1,0)+IF(DQ2651&lt;&gt;"",1,0)+IF(DS2651&lt;&gt;"",1,0)+IF(DT2651&lt;&gt;"",1,0)+IF(DV2651&lt;&gt;"",1,0)+IF(DW2651&lt;&gt;"",1,0)+IF(DX2651&lt;&gt;"",1,0)+IF(DY2651&lt;&gt;"",1,0)+IF(DZ2651&lt;&gt;"",1,0)+IF(EB2651&lt;&gt;"",1,0)+IF(EC2651&lt;&gt;"",1,0)+IF(ED2651&lt;&gt;"",1,0)+IF(EG2651&lt;&gt;"",1,0)+IF(EH2651&lt;&gt;"",1,0)</f>
        <v/>
      </c>
      <c r="AZ2651">
        <f>IF(EH2651&lt;&gt;"",1,0)</f>
        <v/>
      </c>
      <c r="BB2651" t="inlineStr">
        <is>
          <t>WARREN-WARD 4</t>
        </is>
      </c>
    </row>
    <row r="2652">
      <c r="A2652" t="inlineStr">
        <is>
          <t>OH0025956015</t>
        </is>
      </c>
      <c r="B2652" t="n">
        <v>78</v>
      </c>
      <c r="C2652" t="n">
        <v>453589</v>
      </c>
      <c r="D2652" t="inlineStr">
        <is>
          <t>SPICER</t>
        </is>
      </c>
      <c r="E2652" t="inlineStr">
        <is>
          <t>TA ZYORE</t>
        </is>
      </c>
      <c r="F2652">
        <f>CONCATENATE(D2652," ",LEFT(H2652,4),"T=",AU2652,"D=",AV2652,"R=",AW2652,"M=",AX2652,"L=",AY2652,"B=",AZ2652)</f>
        <v/>
      </c>
      <c r="G2652" t="inlineStr">
        <is>
          <t>T</t>
        </is>
      </c>
      <c r="I2652" t="inlineStr">
        <is>
          <t>1998-08-31</t>
        </is>
      </c>
      <c r="J2652" t="inlineStr">
        <is>
          <t>2020-09-23</t>
        </is>
      </c>
      <c r="K2652" t="inlineStr">
        <is>
          <t>ACTIVE</t>
        </is>
      </c>
      <c r="M2652" t="inlineStr">
        <is>
          <t>2720 DUKE AVE SE</t>
        </is>
      </c>
      <c r="N2652">
        <f>RIGHT(M2652,LEN(M2652)-FIND(" ",M2652))</f>
        <v/>
      </c>
      <c r="P2652" t="inlineStr">
        <is>
          <t>WARREN</t>
        </is>
      </c>
      <c r="Q2652" t="inlineStr">
        <is>
          <t>OH</t>
        </is>
      </c>
      <c r="R2652" t="n">
        <v>44484</v>
      </c>
      <c r="AD2652" t="inlineStr">
        <is>
          <t>TRUMBULL CAREER &amp; TECH CENTER</t>
        </is>
      </c>
      <c r="AE2652" t="inlineStr">
        <is>
          <t>WARREN CITY</t>
        </is>
      </c>
      <c r="AF2652" t="inlineStr">
        <is>
          <t>WARREN CITY SD</t>
        </is>
      </c>
      <c r="AH2652" t="n">
        <v>14</v>
      </c>
      <c r="AI2652" t="n">
        <v>11</v>
      </c>
      <c r="AN2652" t="inlineStr">
        <is>
          <t>WARREN</t>
        </is>
      </c>
      <c r="AO2652" t="inlineStr">
        <is>
          <t>WARREN CITY 4F</t>
        </is>
      </c>
      <c r="AP2652" t="inlineStr">
        <is>
          <t>78-P-ADN</t>
        </is>
      </c>
      <c r="AQ2652" t="n">
        <v>9</v>
      </c>
      <c r="AR2652" t="n">
        <v>64</v>
      </c>
      <c r="AS2652" t="n">
        <v>32</v>
      </c>
      <c r="AU2652">
        <f>COUNTA($BA$2652:$EH$2652)</f>
        <v/>
      </c>
      <c r="AV2652">
        <f>COUNTIF($BA$2652:$EH$2652,"D")</f>
        <v/>
      </c>
      <c r="AW2652">
        <f>COUNTIF($BA$2652:$EH$2652,"R")</f>
        <v/>
      </c>
      <c r="AX2652">
        <f>IF(BN2652="D",1,0)+IF(BO2652="D",1,0)+IF(BT2652="D",1,0)+IF(BU2652="D",1,0)+IF(BW2652="D",1,0)+IF(CC2652="D",1,0)+IF(CD2652="D",1,0)+IF(CE2652="D",1,0)+IF(CF2652="D",1,0)+IF(CL2652="D",1,0)+IF(CM2652="D",1,0)+IF(CQ2652="D",1,0)+IF(CR2652="D",1,0)+IF(CS2652="D",1,0)+IF(CW2652="D",1,0)+IF(CX2652="D",1,0)+IF(DD2652="D",1,0)+IF(DE2652="D",1,0)+IF(DJ2652="D",1,0)+IF(DK2652="D",1,0)+IF(DO2652="D",1,0)+IF(DP2652="D",1,0)+IF(DQ2652="D",1,0)+IF(DW2652="D",1,0)+IF(DZ2652="D",1,0)+IF(EH2652="D",1,0)</f>
        <v/>
      </c>
      <c r="AY2652">
        <f>IF(DJ2652&lt;&gt;"",1,0)+IF(DK2652&lt;&gt;"",1,0)+IF(DM2652&lt;&gt;"",1,0)+IF(DO2652&lt;&gt;"",1,0)+IF(DP2652&lt;&gt;"",1,0)+IF(DQ2652&lt;&gt;"",1,0)+IF(DS2652&lt;&gt;"",1,0)+IF(DT2652&lt;&gt;"",1,0)+IF(DV2652&lt;&gt;"",1,0)+IF(DW2652&lt;&gt;"",1,0)+IF(DX2652&lt;&gt;"",1,0)+IF(DY2652&lt;&gt;"",1,0)+IF(DZ2652&lt;&gt;"",1,0)+IF(EB2652&lt;&gt;"",1,0)+IF(EC2652&lt;&gt;"",1,0)+IF(ED2652&lt;&gt;"",1,0)+IF(EG2652&lt;&gt;"",1,0)+IF(EH2652&lt;&gt;"",1,0)</f>
        <v/>
      </c>
      <c r="AZ2652">
        <f>IF(EH2652&lt;&gt;"",1,0)</f>
        <v/>
      </c>
      <c r="BB2652" t="inlineStr">
        <is>
          <t>WARREN-WARD 4</t>
        </is>
      </c>
      <c r="DI2652" t="inlineStr">
        <is>
          <t>X</t>
        </is>
      </c>
      <c r="DN2652" t="inlineStr">
        <is>
          <t>X</t>
        </is>
      </c>
      <c r="DU2652" t="inlineStr">
        <is>
          <t>X</t>
        </is>
      </c>
    </row>
    <row r="2653">
      <c r="A2653" t="inlineStr">
        <is>
          <t>OH0025161131</t>
        </is>
      </c>
      <c r="B2653" t="n">
        <v>78</v>
      </c>
      <c r="C2653" t="n">
        <v>440239</v>
      </c>
      <c r="D2653" t="inlineStr">
        <is>
          <t>MOORE</t>
        </is>
      </c>
      <c r="E2653" t="inlineStr">
        <is>
          <t>KEVIN</t>
        </is>
      </c>
      <c r="F2653">
        <f>CONCATENATE(D2653," ",LEFT(H2653,4),"T=",AU2653,"D=",AV2653,"R=",AW2653,"M=",AX2653,"L=",AY2653,"B=",AZ2653)</f>
        <v/>
      </c>
      <c r="G2653" t="inlineStr">
        <is>
          <t>P</t>
        </is>
      </c>
      <c r="I2653" t="inlineStr">
        <is>
          <t>1989-05-23</t>
        </is>
      </c>
      <c r="J2653" t="inlineStr">
        <is>
          <t>2022-09-17</t>
        </is>
      </c>
      <c r="K2653" t="inlineStr">
        <is>
          <t>ACTIVE</t>
        </is>
      </c>
      <c r="M2653" t="inlineStr">
        <is>
          <t>2766 DUKE AVE SE</t>
        </is>
      </c>
      <c r="N2653">
        <f>RIGHT(M2653,LEN(M2653)-FIND(" ",M2653))</f>
        <v/>
      </c>
      <c r="P2653" t="inlineStr">
        <is>
          <t>WARREN</t>
        </is>
      </c>
      <c r="Q2653" t="inlineStr">
        <is>
          <t>OH</t>
        </is>
      </c>
      <c r="R2653" t="n">
        <v>44484</v>
      </c>
      <c r="AD2653" t="inlineStr">
        <is>
          <t>TRUMBULL CAREER &amp; TECH CENTER</t>
        </is>
      </c>
      <c r="AE2653" t="inlineStr">
        <is>
          <t>WARREN CITY</t>
        </is>
      </c>
      <c r="AF2653" t="inlineStr">
        <is>
          <t>WARREN CITY SD</t>
        </is>
      </c>
      <c r="AH2653" t="n">
        <v>14</v>
      </c>
      <c r="AI2653" t="n">
        <v>11</v>
      </c>
      <c r="AN2653" t="inlineStr">
        <is>
          <t>WARREN</t>
        </is>
      </c>
      <c r="AO2653" t="inlineStr">
        <is>
          <t>WARREN CITY 4F</t>
        </is>
      </c>
      <c r="AP2653" t="inlineStr">
        <is>
          <t>78-P-ADN</t>
        </is>
      </c>
      <c r="AQ2653" t="n">
        <v>9</v>
      </c>
      <c r="AR2653" t="n">
        <v>64</v>
      </c>
      <c r="AS2653" t="n">
        <v>32</v>
      </c>
      <c r="AU2653">
        <f>COUNTA($BA$2653:$EH$2653)</f>
        <v/>
      </c>
      <c r="AV2653">
        <f>COUNTIF($BA$2653:$EH$2653,"D")</f>
        <v/>
      </c>
      <c r="AW2653">
        <f>COUNTIF($BA$2653:$EH$2653,"R")</f>
        <v/>
      </c>
      <c r="AX2653">
        <f>IF(BN2653="D",1,0)+IF(BO2653="D",1,0)+IF(BT2653="D",1,0)+IF(BU2653="D",1,0)+IF(BW2653="D",1,0)+IF(CC2653="D",1,0)+IF(CD2653="D",1,0)+IF(CE2653="D",1,0)+IF(CF2653="D",1,0)+IF(CL2653="D",1,0)+IF(CM2653="D",1,0)+IF(CQ2653="D",1,0)+IF(CR2653="D",1,0)+IF(CS2653="D",1,0)+IF(CW2653="D",1,0)+IF(CX2653="D",1,0)+IF(DD2653="D",1,0)+IF(DE2653="D",1,0)+IF(DJ2653="D",1,0)+IF(DK2653="D",1,0)+IF(DO2653="D",1,0)+IF(DP2653="D",1,0)+IF(DQ2653="D",1,0)+IF(DW2653="D",1,0)+IF(DZ2653="D",1,0)+IF(EH2653="D",1,0)</f>
        <v/>
      </c>
      <c r="AY2653">
        <f>IF(DJ2653&lt;&gt;"",1,0)+IF(DK2653&lt;&gt;"",1,0)+IF(DM2653&lt;&gt;"",1,0)+IF(DO2653&lt;&gt;"",1,0)+IF(DP2653&lt;&gt;"",1,0)+IF(DQ2653&lt;&gt;"",1,0)+IF(DS2653&lt;&gt;"",1,0)+IF(DT2653&lt;&gt;"",1,0)+IF(DV2653&lt;&gt;"",1,0)+IF(DW2653&lt;&gt;"",1,0)+IF(DX2653&lt;&gt;"",1,0)+IF(DY2653&lt;&gt;"",1,0)+IF(DZ2653&lt;&gt;"",1,0)+IF(EB2653&lt;&gt;"",1,0)+IF(EC2653&lt;&gt;"",1,0)+IF(ED2653&lt;&gt;"",1,0)+IF(EG2653&lt;&gt;"",1,0)+IF(EH2653&lt;&gt;"",1,0)</f>
        <v/>
      </c>
      <c r="AZ2653">
        <f>IF(EH2653&lt;&gt;"",1,0)</f>
        <v/>
      </c>
      <c r="BB2653" t="inlineStr">
        <is>
          <t>WARREN-WARD 4</t>
        </is>
      </c>
      <c r="DN2653" t="inlineStr">
        <is>
          <t>X</t>
        </is>
      </c>
      <c r="EA2653" t="inlineStr">
        <is>
          <t>X</t>
        </is>
      </c>
    </row>
    <row r="2654">
      <c r="A2654" t="inlineStr">
        <is>
          <t>OH0015727806</t>
        </is>
      </c>
      <c r="B2654" t="n">
        <v>78</v>
      </c>
      <c r="C2654" t="n">
        <v>300625</v>
      </c>
      <c r="D2654" t="inlineStr">
        <is>
          <t>STRICKLAND</t>
        </is>
      </c>
      <c r="E2654" t="inlineStr">
        <is>
          <t>GWENDOLYN</t>
        </is>
      </c>
      <c r="F2654">
        <f>CONCATENATE(D2654," ",LEFT(H2654,4),"T=",AU2654,"D=",AV2654,"R=",AW2654,"M=",AX2654,"L=",AY2654,"B=",AZ2654)</f>
        <v/>
      </c>
      <c r="G2654" t="inlineStr">
        <is>
          <t>ANITA</t>
        </is>
      </c>
      <c r="I2654" t="inlineStr">
        <is>
          <t>1958-12-17</t>
        </is>
      </c>
      <c r="J2654" t="inlineStr">
        <is>
          <t>2020-07-06</t>
        </is>
      </c>
      <c r="K2654" t="inlineStr">
        <is>
          <t>ACTIVE</t>
        </is>
      </c>
      <c r="L2654" t="inlineStr">
        <is>
          <t>D</t>
        </is>
      </c>
      <c r="M2654" t="inlineStr">
        <is>
          <t>2239 DRAPER AVE SE</t>
        </is>
      </c>
      <c r="N2654">
        <f>RIGHT(M2654,LEN(M2654)-FIND(" ",M2654))</f>
        <v/>
      </c>
      <c r="P2654" t="inlineStr">
        <is>
          <t>WARREN</t>
        </is>
      </c>
      <c r="Q2654" t="inlineStr">
        <is>
          <t>OH</t>
        </is>
      </c>
      <c r="R2654" t="n">
        <v>44484</v>
      </c>
      <c r="AD2654" t="inlineStr">
        <is>
          <t>TRUMBULL CAREER &amp; TECH CENTER</t>
        </is>
      </c>
      <c r="AE2654" t="inlineStr">
        <is>
          <t>WARREN CITY</t>
        </is>
      </c>
      <c r="AF2654" t="inlineStr">
        <is>
          <t>WARREN CITY SD</t>
        </is>
      </c>
      <c r="AH2654" t="n">
        <v>14</v>
      </c>
      <c r="AI2654" t="n">
        <v>11</v>
      </c>
      <c r="AN2654" t="inlineStr">
        <is>
          <t>WARREN</t>
        </is>
      </c>
      <c r="AO2654" t="inlineStr">
        <is>
          <t>WARREN CITY 4F</t>
        </is>
      </c>
      <c r="AP2654" t="inlineStr">
        <is>
          <t>78-P-ADN</t>
        </is>
      </c>
      <c r="AQ2654" t="n">
        <v>9</v>
      </c>
      <c r="AR2654" t="n">
        <v>64</v>
      </c>
      <c r="AS2654" t="n">
        <v>32</v>
      </c>
      <c r="AU2654">
        <f>COUNTA($BA$2654:$EH$2654)</f>
        <v/>
      </c>
      <c r="AV2654">
        <f>COUNTIF($BA$2654:$EH$2654,"D")</f>
        <v/>
      </c>
      <c r="AW2654">
        <f>COUNTIF($BA$2654:$EH$2654,"R")</f>
        <v/>
      </c>
      <c r="AX2654">
        <f>IF(BN2654="D",1,0)+IF(BO2654="D",1,0)+IF(BT2654="D",1,0)+IF(BU2654="D",1,0)+IF(BW2654="D",1,0)+IF(CC2654="D",1,0)+IF(CD2654="D",1,0)+IF(CE2654="D",1,0)+IF(CF2654="D",1,0)+IF(CL2654="D",1,0)+IF(CM2654="D",1,0)+IF(CQ2654="D",1,0)+IF(CR2654="D",1,0)+IF(CS2654="D",1,0)+IF(CW2654="D",1,0)+IF(CX2654="D",1,0)+IF(DD2654="D",1,0)+IF(DE2654="D",1,0)+IF(DJ2654="D",1,0)+IF(DK2654="D",1,0)+IF(DO2654="D",1,0)+IF(DP2654="D",1,0)+IF(DQ2654="D",1,0)+IF(DW2654="D",1,0)+IF(DZ2654="D",1,0)+IF(EH2654="D",1,0)</f>
        <v/>
      </c>
      <c r="AY2654">
        <f>IF(DJ2654&lt;&gt;"",1,0)+IF(DK2654&lt;&gt;"",1,0)+IF(DM2654&lt;&gt;"",1,0)+IF(DO2654&lt;&gt;"",1,0)+IF(DP2654&lt;&gt;"",1,0)+IF(DQ2654&lt;&gt;"",1,0)+IF(DS2654&lt;&gt;"",1,0)+IF(DT2654&lt;&gt;"",1,0)+IF(DV2654&lt;&gt;"",1,0)+IF(DW2654&lt;&gt;"",1,0)+IF(DX2654&lt;&gt;"",1,0)+IF(DY2654&lt;&gt;"",1,0)+IF(DZ2654&lt;&gt;"",1,0)+IF(EB2654&lt;&gt;"",1,0)+IF(EC2654&lt;&gt;"",1,0)+IF(ED2654&lt;&gt;"",1,0)+IF(EG2654&lt;&gt;"",1,0)+IF(EH2654&lt;&gt;"",1,0)</f>
        <v/>
      </c>
      <c r="AZ2654">
        <f>IF(EH2654&lt;&gt;"",1,0)</f>
        <v/>
      </c>
      <c r="BB2654" t="inlineStr">
        <is>
          <t>WARREN-WARD 4</t>
        </is>
      </c>
      <c r="BE2654" t="inlineStr">
        <is>
          <t>X</t>
        </is>
      </c>
      <c r="BF2654" t="inlineStr">
        <is>
          <t>X</t>
        </is>
      </c>
      <c r="BG2654" t="inlineStr">
        <is>
          <t>X</t>
        </is>
      </c>
      <c r="BH2654" t="inlineStr">
        <is>
          <t>X</t>
        </is>
      </c>
      <c r="BI2654" t="inlineStr">
        <is>
          <t>X</t>
        </is>
      </c>
      <c r="BJ2654" t="inlineStr">
        <is>
          <t>X</t>
        </is>
      </c>
      <c r="BK2654" t="inlineStr">
        <is>
          <t>X</t>
        </is>
      </c>
      <c r="BL2654" t="inlineStr">
        <is>
          <t>X</t>
        </is>
      </c>
      <c r="BP2654" t="inlineStr">
        <is>
          <t>X</t>
        </is>
      </c>
      <c r="BR2654" t="inlineStr">
        <is>
          <t>X</t>
        </is>
      </c>
      <c r="BS2654" t="inlineStr">
        <is>
          <t>X</t>
        </is>
      </c>
      <c r="BV2654" t="inlineStr">
        <is>
          <t>X</t>
        </is>
      </c>
      <c r="BY2654" t="inlineStr">
        <is>
          <t>R</t>
        </is>
      </c>
      <c r="CA2654" t="inlineStr">
        <is>
          <t>X</t>
        </is>
      </c>
      <c r="CG2654" t="inlineStr">
        <is>
          <t>X</t>
        </is>
      </c>
      <c r="CH2654" t="inlineStr">
        <is>
          <t>D</t>
        </is>
      </c>
      <c r="CK2654" t="inlineStr">
        <is>
          <t>X</t>
        </is>
      </c>
      <c r="CL2654" t="inlineStr">
        <is>
          <t>D</t>
        </is>
      </c>
      <c r="CN2654" t="inlineStr">
        <is>
          <t>X</t>
        </is>
      </c>
      <c r="CO2654" t="inlineStr">
        <is>
          <t>D</t>
        </is>
      </c>
      <c r="CP2654" t="inlineStr">
        <is>
          <t>X</t>
        </is>
      </c>
      <c r="CQ2654" t="inlineStr">
        <is>
          <t>D</t>
        </is>
      </c>
      <c r="CT2654" t="inlineStr">
        <is>
          <t>X</t>
        </is>
      </c>
      <c r="CV2654" t="inlineStr">
        <is>
          <t>X</t>
        </is>
      </c>
      <c r="CW2654" t="inlineStr">
        <is>
          <t>D</t>
        </is>
      </c>
      <c r="CY2654" t="inlineStr">
        <is>
          <t>X</t>
        </is>
      </c>
      <c r="CZ2654" t="inlineStr">
        <is>
          <t>D</t>
        </is>
      </c>
      <c r="DC2654" t="inlineStr">
        <is>
          <t>X</t>
        </is>
      </c>
      <c r="DD2654" t="inlineStr">
        <is>
          <t>D</t>
        </is>
      </c>
      <c r="DF2654" t="inlineStr">
        <is>
          <t>X</t>
        </is>
      </c>
      <c r="DG2654" t="inlineStr">
        <is>
          <t>D</t>
        </is>
      </c>
      <c r="DI2654" t="inlineStr">
        <is>
          <t>X</t>
        </is>
      </c>
      <c r="DJ2654" t="inlineStr">
        <is>
          <t>D</t>
        </is>
      </c>
      <c r="DL2654" t="inlineStr">
        <is>
          <t>X</t>
        </is>
      </c>
      <c r="DM2654" t="inlineStr">
        <is>
          <t>R</t>
        </is>
      </c>
      <c r="DN2654" t="inlineStr">
        <is>
          <t>X</t>
        </is>
      </c>
      <c r="DR2654" t="inlineStr">
        <is>
          <t>X</t>
        </is>
      </c>
      <c r="DS2654" t="inlineStr">
        <is>
          <t>D</t>
        </is>
      </c>
      <c r="DW2654" t="inlineStr">
        <is>
          <t>D</t>
        </is>
      </c>
      <c r="EA2654" t="inlineStr">
        <is>
          <t>X</t>
        </is>
      </c>
      <c r="ED2654" t="inlineStr">
        <is>
          <t>D</t>
        </is>
      </c>
      <c r="EF2654" t="inlineStr">
        <is>
          <t>X</t>
        </is>
      </c>
      <c r="EH2654" t="inlineStr">
        <is>
          <t>D</t>
        </is>
      </c>
    </row>
    <row r="2655">
      <c r="A2655" t="inlineStr">
        <is>
          <t>OH0022513396</t>
        </is>
      </c>
      <c r="B2655" t="n">
        <v>78</v>
      </c>
      <c r="C2655" t="n">
        <v>397630</v>
      </c>
      <c r="D2655" t="inlineStr">
        <is>
          <t>GWILT</t>
        </is>
      </c>
      <c r="E2655" t="inlineStr">
        <is>
          <t>CHRISTOPHER</t>
        </is>
      </c>
      <c r="F2655">
        <f>CONCATENATE(D2655," ",LEFT(H2655,4),"T=",AU2655,"D=",AV2655,"R=",AW2655,"M=",AX2655,"L=",AY2655,"B=",AZ2655)</f>
        <v/>
      </c>
      <c r="G2655" t="inlineStr">
        <is>
          <t>J</t>
        </is>
      </c>
      <c r="I2655" t="inlineStr">
        <is>
          <t>1993-02-16</t>
        </is>
      </c>
      <c r="J2655" t="inlineStr">
        <is>
          <t>2017-02-21</t>
        </is>
      </c>
      <c r="K2655" t="inlineStr">
        <is>
          <t>CONFIRMATION</t>
        </is>
      </c>
      <c r="M2655" t="inlineStr">
        <is>
          <t>1516 KENILWORTH AVE SE</t>
        </is>
      </c>
      <c r="N2655">
        <f>RIGHT(M2655,LEN(M2655)-FIND(" ",M2655))</f>
        <v/>
      </c>
      <c r="P2655" t="inlineStr">
        <is>
          <t>WARREN</t>
        </is>
      </c>
      <c r="Q2655" t="inlineStr">
        <is>
          <t>OH</t>
        </is>
      </c>
      <c r="R2655" t="n">
        <v>44484</v>
      </c>
      <c r="AD2655" t="inlineStr">
        <is>
          <t>TRUMBULL CAREER &amp; TECH CENTER</t>
        </is>
      </c>
      <c r="AE2655" t="inlineStr">
        <is>
          <t>WARREN CITY</t>
        </is>
      </c>
      <c r="AF2655" t="inlineStr">
        <is>
          <t>WARREN CITY SD</t>
        </is>
      </c>
      <c r="AH2655" t="n">
        <v>14</v>
      </c>
      <c r="AI2655" t="n">
        <v>11</v>
      </c>
      <c r="AN2655" t="inlineStr">
        <is>
          <t>WARREN</t>
        </is>
      </c>
      <c r="AO2655" t="inlineStr">
        <is>
          <t>WARREN CITY 4F</t>
        </is>
      </c>
      <c r="AP2655" t="inlineStr">
        <is>
          <t>78-P-ADN</t>
        </is>
      </c>
      <c r="AQ2655" t="n">
        <v>9</v>
      </c>
      <c r="AR2655" t="n">
        <v>64</v>
      </c>
      <c r="AS2655" t="n">
        <v>32</v>
      </c>
      <c r="AU2655">
        <f>COUNTA($BA$2655:$EH$2655)</f>
        <v/>
      </c>
      <c r="AV2655">
        <f>COUNTIF($BA$2655:$EH$2655,"D")</f>
        <v/>
      </c>
      <c r="AW2655">
        <f>COUNTIF($BA$2655:$EH$2655,"R")</f>
        <v/>
      </c>
      <c r="AX2655">
        <f>IF(BN2655="D",1,0)+IF(BO2655="D",1,0)+IF(BT2655="D",1,0)+IF(BU2655="D",1,0)+IF(BW2655="D",1,0)+IF(CC2655="D",1,0)+IF(CD2655="D",1,0)+IF(CE2655="D",1,0)+IF(CF2655="D",1,0)+IF(CL2655="D",1,0)+IF(CM2655="D",1,0)+IF(CQ2655="D",1,0)+IF(CR2655="D",1,0)+IF(CS2655="D",1,0)+IF(CW2655="D",1,0)+IF(CX2655="D",1,0)+IF(DD2655="D",1,0)+IF(DE2655="D",1,0)+IF(DJ2655="D",1,0)+IF(DK2655="D",1,0)+IF(DO2655="D",1,0)+IF(DP2655="D",1,0)+IF(DQ2655="D",1,0)+IF(DW2655="D",1,0)+IF(DZ2655="D",1,0)+IF(EH2655="D",1,0)</f>
        <v/>
      </c>
      <c r="AY2655">
        <f>IF(DJ2655&lt;&gt;"",1,0)+IF(DK2655&lt;&gt;"",1,0)+IF(DM2655&lt;&gt;"",1,0)+IF(DO2655&lt;&gt;"",1,0)+IF(DP2655&lt;&gt;"",1,0)+IF(DQ2655&lt;&gt;"",1,0)+IF(DS2655&lt;&gt;"",1,0)+IF(DT2655&lt;&gt;"",1,0)+IF(DV2655&lt;&gt;"",1,0)+IF(DW2655&lt;&gt;"",1,0)+IF(DX2655&lt;&gt;"",1,0)+IF(DY2655&lt;&gt;"",1,0)+IF(DZ2655&lt;&gt;"",1,0)+IF(EB2655&lt;&gt;"",1,0)+IF(EC2655&lt;&gt;"",1,0)+IF(ED2655&lt;&gt;"",1,0)+IF(EG2655&lt;&gt;"",1,0)+IF(EH2655&lt;&gt;"",1,0)</f>
        <v/>
      </c>
      <c r="AZ2655">
        <f>IF(EH2655&lt;&gt;"",1,0)</f>
        <v/>
      </c>
      <c r="BB2655" t="inlineStr">
        <is>
          <t>WARREN-WARD 4</t>
        </is>
      </c>
    </row>
    <row r="2656">
      <c r="A2656" t="inlineStr">
        <is>
          <t>OH0025109804</t>
        </is>
      </c>
      <c r="B2656" t="n">
        <v>78</v>
      </c>
      <c r="C2656" t="n">
        <v>439551</v>
      </c>
      <c r="D2656" t="inlineStr">
        <is>
          <t>MARSHALL</t>
        </is>
      </c>
      <c r="E2656" t="inlineStr">
        <is>
          <t>GEORGIA</t>
        </is>
      </c>
      <c r="F2656">
        <f>CONCATENATE(D2656," ",LEFT(H2656,4),"T=",AU2656,"D=",AV2656,"R=",AW2656,"M=",AX2656,"L=",AY2656,"B=",AZ2656)</f>
        <v/>
      </c>
      <c r="G2656" t="inlineStr">
        <is>
          <t>MARIE</t>
        </is>
      </c>
      <c r="I2656" t="inlineStr">
        <is>
          <t>1999-01-05</t>
        </is>
      </c>
      <c r="J2656" t="inlineStr">
        <is>
          <t>2024-08-13</t>
        </is>
      </c>
      <c r="K2656" t="inlineStr">
        <is>
          <t>ACTIVE</t>
        </is>
      </c>
      <c r="M2656" t="inlineStr">
        <is>
          <t>1604 ROMAN ST SE</t>
        </is>
      </c>
      <c r="N2656">
        <f>RIGHT(M2656,LEN(M2656)-FIND(" ",M2656))</f>
        <v/>
      </c>
      <c r="P2656" t="inlineStr">
        <is>
          <t>WARREN</t>
        </is>
      </c>
      <c r="Q2656" t="inlineStr">
        <is>
          <t>OH</t>
        </is>
      </c>
      <c r="R2656" t="n">
        <v>44484</v>
      </c>
      <c r="AD2656" t="inlineStr">
        <is>
          <t>TRUMBULL CAREER &amp; TECH CENTER</t>
        </is>
      </c>
      <c r="AE2656" t="inlineStr">
        <is>
          <t>WARREN CITY</t>
        </is>
      </c>
      <c r="AF2656" t="inlineStr">
        <is>
          <t>WARREN CITY SD</t>
        </is>
      </c>
      <c r="AH2656" t="n">
        <v>14</v>
      </c>
      <c r="AI2656" t="n">
        <v>11</v>
      </c>
      <c r="AN2656" t="inlineStr">
        <is>
          <t>WARREN</t>
        </is>
      </c>
      <c r="AO2656" t="inlineStr">
        <is>
          <t>WARREN CITY 4F</t>
        </is>
      </c>
      <c r="AP2656" t="inlineStr">
        <is>
          <t>78-P-ADN</t>
        </is>
      </c>
      <c r="AQ2656" t="n">
        <v>9</v>
      </c>
      <c r="AR2656" t="n">
        <v>64</v>
      </c>
      <c r="AS2656" t="n">
        <v>32</v>
      </c>
      <c r="AU2656">
        <f>COUNTA($BA$2656:$EH$2656)</f>
        <v/>
      </c>
      <c r="AV2656">
        <f>COUNTIF($BA$2656:$EH$2656,"D")</f>
        <v/>
      </c>
      <c r="AW2656">
        <f>COUNTIF($BA$2656:$EH$2656,"R")</f>
        <v/>
      </c>
      <c r="AX2656">
        <f>IF(BN2656="D",1,0)+IF(BO2656="D",1,0)+IF(BT2656="D",1,0)+IF(BU2656="D",1,0)+IF(BW2656="D",1,0)+IF(CC2656="D",1,0)+IF(CD2656="D",1,0)+IF(CE2656="D",1,0)+IF(CF2656="D",1,0)+IF(CL2656="D",1,0)+IF(CM2656="D",1,0)+IF(CQ2656="D",1,0)+IF(CR2656="D",1,0)+IF(CS2656="D",1,0)+IF(CW2656="D",1,0)+IF(CX2656="D",1,0)+IF(DD2656="D",1,0)+IF(DE2656="D",1,0)+IF(DJ2656="D",1,0)+IF(DK2656="D",1,0)+IF(DO2656="D",1,0)+IF(DP2656="D",1,0)+IF(DQ2656="D",1,0)+IF(DW2656="D",1,0)+IF(DZ2656="D",1,0)+IF(EH2656="D",1,0)</f>
        <v/>
      </c>
      <c r="AY2656">
        <f>IF(DJ2656&lt;&gt;"",1,0)+IF(DK2656&lt;&gt;"",1,0)+IF(DM2656&lt;&gt;"",1,0)+IF(DO2656&lt;&gt;"",1,0)+IF(DP2656&lt;&gt;"",1,0)+IF(DQ2656&lt;&gt;"",1,0)+IF(DS2656&lt;&gt;"",1,0)+IF(DT2656&lt;&gt;"",1,0)+IF(DV2656&lt;&gt;"",1,0)+IF(DW2656&lt;&gt;"",1,0)+IF(DX2656&lt;&gt;"",1,0)+IF(DY2656&lt;&gt;"",1,0)+IF(DZ2656&lt;&gt;"",1,0)+IF(EB2656&lt;&gt;"",1,0)+IF(EC2656&lt;&gt;"",1,0)+IF(ED2656&lt;&gt;"",1,0)+IF(EG2656&lt;&gt;"",1,0)+IF(EH2656&lt;&gt;"",1,0)</f>
        <v/>
      </c>
      <c r="AZ2656">
        <f>IF(EH2656&lt;&gt;"",1,0)</f>
        <v/>
      </c>
      <c r="BB2656" t="inlineStr">
        <is>
          <t>WARREN-WARD 4</t>
        </is>
      </c>
    </row>
    <row r="2657">
      <c r="A2657" t="inlineStr">
        <is>
          <t>OH0023457442</t>
        </is>
      </c>
      <c r="B2657" t="n">
        <v>78</v>
      </c>
      <c r="C2657" t="n">
        <v>412310</v>
      </c>
      <c r="D2657" t="inlineStr">
        <is>
          <t>RODGERS</t>
        </is>
      </c>
      <c r="E2657" t="inlineStr">
        <is>
          <t>ANTONIA</t>
        </is>
      </c>
      <c r="F2657">
        <f>CONCATENATE(D2657," ",LEFT(H2657,4),"T=",AU2657,"D=",AV2657,"R=",AW2657,"M=",AX2657,"L=",AY2657,"B=",AZ2657)</f>
        <v/>
      </c>
      <c r="G2657" t="inlineStr">
        <is>
          <t>N</t>
        </is>
      </c>
      <c r="I2657" t="inlineStr">
        <is>
          <t>1978-02-14</t>
        </is>
      </c>
      <c r="J2657" t="inlineStr">
        <is>
          <t>2015-11-03</t>
        </is>
      </c>
      <c r="K2657" t="inlineStr">
        <is>
          <t>CONFIRMATION</t>
        </is>
      </c>
      <c r="M2657" t="inlineStr">
        <is>
          <t>1538 ROMAN ST SE</t>
        </is>
      </c>
      <c r="N2657">
        <f>RIGHT(M2657,LEN(M2657)-FIND(" ",M2657))</f>
        <v/>
      </c>
      <c r="P2657" t="inlineStr">
        <is>
          <t>WARREN</t>
        </is>
      </c>
      <c r="Q2657" t="inlineStr">
        <is>
          <t>OH</t>
        </is>
      </c>
      <c r="R2657" t="n">
        <v>44484</v>
      </c>
      <c r="AD2657" t="inlineStr">
        <is>
          <t>TRUMBULL CAREER &amp; TECH CENTER</t>
        </is>
      </c>
      <c r="AE2657" t="inlineStr">
        <is>
          <t>WARREN CITY</t>
        </is>
      </c>
      <c r="AF2657" t="inlineStr">
        <is>
          <t>WARREN CITY SD</t>
        </is>
      </c>
      <c r="AH2657" t="n">
        <v>14</v>
      </c>
      <c r="AI2657" t="n">
        <v>11</v>
      </c>
      <c r="AN2657" t="inlineStr">
        <is>
          <t>WARREN</t>
        </is>
      </c>
      <c r="AO2657" t="inlineStr">
        <is>
          <t>WARREN CITY 4F</t>
        </is>
      </c>
      <c r="AP2657" t="inlineStr">
        <is>
          <t>78-P-ADN</t>
        </is>
      </c>
      <c r="AQ2657" t="n">
        <v>9</v>
      </c>
      <c r="AR2657" t="n">
        <v>64</v>
      </c>
      <c r="AS2657" t="n">
        <v>32</v>
      </c>
      <c r="AU2657">
        <f>COUNTA($BA$2657:$EH$2657)</f>
        <v/>
      </c>
      <c r="AV2657">
        <f>COUNTIF($BA$2657:$EH$2657,"D")</f>
        <v/>
      </c>
      <c r="AW2657">
        <f>COUNTIF($BA$2657:$EH$2657,"R")</f>
        <v/>
      </c>
      <c r="AX2657">
        <f>IF(BN2657="D",1,0)+IF(BO2657="D",1,0)+IF(BT2657="D",1,0)+IF(BU2657="D",1,0)+IF(BW2657="D",1,0)+IF(CC2657="D",1,0)+IF(CD2657="D",1,0)+IF(CE2657="D",1,0)+IF(CF2657="D",1,0)+IF(CL2657="D",1,0)+IF(CM2657="D",1,0)+IF(CQ2657="D",1,0)+IF(CR2657="D",1,0)+IF(CS2657="D",1,0)+IF(CW2657="D",1,0)+IF(CX2657="D",1,0)+IF(DD2657="D",1,0)+IF(DE2657="D",1,0)+IF(DJ2657="D",1,0)+IF(DK2657="D",1,0)+IF(DO2657="D",1,0)+IF(DP2657="D",1,0)+IF(DQ2657="D",1,0)+IF(DW2657="D",1,0)+IF(DZ2657="D",1,0)+IF(EH2657="D",1,0)</f>
        <v/>
      </c>
      <c r="AY2657">
        <f>IF(DJ2657&lt;&gt;"",1,0)+IF(DK2657&lt;&gt;"",1,0)+IF(DM2657&lt;&gt;"",1,0)+IF(DO2657&lt;&gt;"",1,0)+IF(DP2657&lt;&gt;"",1,0)+IF(DQ2657&lt;&gt;"",1,0)+IF(DS2657&lt;&gt;"",1,0)+IF(DT2657&lt;&gt;"",1,0)+IF(DV2657&lt;&gt;"",1,0)+IF(DW2657&lt;&gt;"",1,0)+IF(DX2657&lt;&gt;"",1,0)+IF(DY2657&lt;&gt;"",1,0)+IF(DZ2657&lt;&gt;"",1,0)+IF(EB2657&lt;&gt;"",1,0)+IF(EC2657&lt;&gt;"",1,0)+IF(ED2657&lt;&gt;"",1,0)+IF(EG2657&lt;&gt;"",1,0)+IF(EH2657&lt;&gt;"",1,0)</f>
        <v/>
      </c>
      <c r="AZ2657">
        <f>IF(EH2657&lt;&gt;"",1,0)</f>
        <v/>
      </c>
      <c r="BB2657" t="inlineStr">
        <is>
          <t>WARREN-WARD 4</t>
        </is>
      </c>
      <c r="DC2657" t="inlineStr">
        <is>
          <t>X</t>
        </is>
      </c>
    </row>
    <row r="2658">
      <c r="A2658" t="inlineStr">
        <is>
          <t>OH0027469142</t>
        </is>
      </c>
      <c r="B2658" t="n">
        <v>78</v>
      </c>
      <c r="C2658" t="n">
        <v>486612</v>
      </c>
      <c r="D2658" t="inlineStr">
        <is>
          <t>RILEY</t>
        </is>
      </c>
      <c r="E2658" t="inlineStr">
        <is>
          <t>AMY</t>
        </is>
      </c>
      <c r="F2658">
        <f>CONCATENATE(D2658," ",LEFT(H2658,4),"T=",AU2658,"D=",AV2658,"R=",AW2658,"M=",AX2658,"L=",AY2658,"B=",AZ2658)</f>
        <v/>
      </c>
      <c r="I2658" t="inlineStr">
        <is>
          <t>1981-02-11</t>
        </is>
      </c>
      <c r="J2658" t="inlineStr">
        <is>
          <t>2024-07-12</t>
        </is>
      </c>
      <c r="K2658" t="inlineStr">
        <is>
          <t>ACTIVE</t>
        </is>
      </c>
      <c r="M2658" t="inlineStr">
        <is>
          <t>1296 YOUNGSTOWN RD SE</t>
        </is>
      </c>
      <c r="N2658">
        <f>RIGHT(M2658,LEN(M2658)-FIND(" ",M2658))</f>
        <v/>
      </c>
      <c r="P2658" t="inlineStr">
        <is>
          <t>WARREN</t>
        </is>
      </c>
      <c r="Q2658" t="inlineStr">
        <is>
          <t>OH</t>
        </is>
      </c>
      <c r="R2658" t="n">
        <v>44484</v>
      </c>
      <c r="AD2658" t="inlineStr">
        <is>
          <t>TRUMBULL CAREER &amp; TECH CENTER</t>
        </is>
      </c>
      <c r="AE2658" t="inlineStr">
        <is>
          <t>WARREN CITY</t>
        </is>
      </c>
      <c r="AF2658" t="inlineStr">
        <is>
          <t>WARREN CITY SD</t>
        </is>
      </c>
      <c r="AH2658" t="n">
        <v>14</v>
      </c>
      <c r="AI2658" t="n">
        <v>11</v>
      </c>
      <c r="AN2658" t="inlineStr">
        <is>
          <t>WARREN</t>
        </is>
      </c>
      <c r="AO2658" t="inlineStr">
        <is>
          <t>WARREN CITY 4F</t>
        </is>
      </c>
      <c r="AP2658" t="inlineStr">
        <is>
          <t>78-P-ADN</t>
        </is>
      </c>
      <c r="AQ2658" t="n">
        <v>9</v>
      </c>
      <c r="AR2658" t="n">
        <v>64</v>
      </c>
      <c r="AS2658" t="n">
        <v>32</v>
      </c>
      <c r="AU2658">
        <f>COUNTA($BA$2658:$EH$2658)</f>
        <v/>
      </c>
      <c r="AV2658">
        <f>COUNTIF($BA$2658:$EH$2658,"D")</f>
        <v/>
      </c>
      <c r="AW2658">
        <f>COUNTIF($BA$2658:$EH$2658,"R")</f>
        <v/>
      </c>
      <c r="AX2658">
        <f>IF(BN2658="D",1,0)+IF(BO2658="D",1,0)+IF(BT2658="D",1,0)+IF(BU2658="D",1,0)+IF(BW2658="D",1,0)+IF(CC2658="D",1,0)+IF(CD2658="D",1,0)+IF(CE2658="D",1,0)+IF(CF2658="D",1,0)+IF(CL2658="D",1,0)+IF(CM2658="D",1,0)+IF(CQ2658="D",1,0)+IF(CR2658="D",1,0)+IF(CS2658="D",1,0)+IF(CW2658="D",1,0)+IF(CX2658="D",1,0)+IF(DD2658="D",1,0)+IF(DE2658="D",1,0)+IF(DJ2658="D",1,0)+IF(DK2658="D",1,0)+IF(DO2658="D",1,0)+IF(DP2658="D",1,0)+IF(DQ2658="D",1,0)+IF(DW2658="D",1,0)+IF(DZ2658="D",1,0)+IF(EH2658="D",1,0)</f>
        <v/>
      </c>
      <c r="AY2658">
        <f>IF(DJ2658&lt;&gt;"",1,0)+IF(DK2658&lt;&gt;"",1,0)+IF(DM2658&lt;&gt;"",1,0)+IF(DO2658&lt;&gt;"",1,0)+IF(DP2658&lt;&gt;"",1,0)+IF(DQ2658&lt;&gt;"",1,0)+IF(DS2658&lt;&gt;"",1,0)+IF(DT2658&lt;&gt;"",1,0)+IF(DV2658&lt;&gt;"",1,0)+IF(DW2658&lt;&gt;"",1,0)+IF(DX2658&lt;&gt;"",1,0)+IF(DY2658&lt;&gt;"",1,0)+IF(DZ2658&lt;&gt;"",1,0)+IF(EB2658&lt;&gt;"",1,0)+IF(EC2658&lt;&gt;"",1,0)+IF(ED2658&lt;&gt;"",1,0)+IF(EG2658&lt;&gt;"",1,0)+IF(EH2658&lt;&gt;"",1,0)</f>
        <v/>
      </c>
      <c r="AZ2658">
        <f>IF(EH2658&lt;&gt;"",1,0)</f>
        <v/>
      </c>
      <c r="BB2658" t="inlineStr">
        <is>
          <t>WARREN-WARD 4</t>
        </is>
      </c>
    </row>
    <row r="2659">
      <c r="A2659" t="inlineStr">
        <is>
          <t>OH0018670528</t>
        </is>
      </c>
      <c r="B2659" t="n">
        <v>78</v>
      </c>
      <c r="C2659" t="n">
        <v>342529</v>
      </c>
      <c r="D2659" t="inlineStr">
        <is>
          <t>YOUNG</t>
        </is>
      </c>
      <c r="E2659" t="inlineStr">
        <is>
          <t>GAIL</t>
        </is>
      </c>
      <c r="F2659">
        <f>CONCATENATE(D2659," ",LEFT(H2659,4),"T=",AU2659,"D=",AV2659,"R=",AW2659,"M=",AX2659,"L=",AY2659,"B=",AZ2659)</f>
        <v/>
      </c>
      <c r="G2659" t="inlineStr">
        <is>
          <t>D</t>
        </is>
      </c>
      <c r="I2659" t="inlineStr">
        <is>
          <t>1965-02-25</t>
        </is>
      </c>
      <c r="J2659" t="inlineStr">
        <is>
          <t>2016-10-11</t>
        </is>
      </c>
      <c r="K2659" t="inlineStr">
        <is>
          <t>CONFIRMATION</t>
        </is>
      </c>
      <c r="M2659" t="inlineStr">
        <is>
          <t>1904 BURTON ST SE</t>
        </is>
      </c>
      <c r="N2659">
        <f>RIGHT(M2659,LEN(M2659)-FIND(" ",M2659))</f>
        <v/>
      </c>
      <c r="P2659" t="inlineStr">
        <is>
          <t>WARREN</t>
        </is>
      </c>
      <c r="Q2659" t="inlineStr">
        <is>
          <t>OH</t>
        </is>
      </c>
      <c r="R2659" t="n">
        <v>44484</v>
      </c>
      <c r="AD2659" t="inlineStr">
        <is>
          <t>TRUMBULL CAREER &amp; TECH CENTER</t>
        </is>
      </c>
      <c r="AE2659" t="inlineStr">
        <is>
          <t>WARREN CITY</t>
        </is>
      </c>
      <c r="AF2659" t="inlineStr">
        <is>
          <t>WARREN CITY SD</t>
        </is>
      </c>
      <c r="AH2659" t="n">
        <v>14</v>
      </c>
      <c r="AI2659" t="n">
        <v>11</v>
      </c>
      <c r="AN2659" t="inlineStr">
        <is>
          <t>WARREN</t>
        </is>
      </c>
      <c r="AO2659" t="inlineStr">
        <is>
          <t>WARREN CITY 4F</t>
        </is>
      </c>
      <c r="AP2659" t="inlineStr">
        <is>
          <t>78-P-ADN</t>
        </is>
      </c>
      <c r="AQ2659" t="n">
        <v>9</v>
      </c>
      <c r="AR2659" t="n">
        <v>64</v>
      </c>
      <c r="AS2659" t="n">
        <v>32</v>
      </c>
      <c r="AU2659">
        <f>COUNTA($BA$2659:$EH$2659)</f>
        <v/>
      </c>
      <c r="AV2659">
        <f>COUNTIF($BA$2659:$EH$2659,"D")</f>
        <v/>
      </c>
      <c r="AW2659">
        <f>COUNTIF($BA$2659:$EH$2659,"R")</f>
        <v/>
      </c>
      <c r="AX2659">
        <f>IF(BN2659="D",1,0)+IF(BO2659="D",1,0)+IF(BT2659="D",1,0)+IF(BU2659="D",1,0)+IF(BW2659="D",1,0)+IF(CC2659="D",1,0)+IF(CD2659="D",1,0)+IF(CE2659="D",1,0)+IF(CF2659="D",1,0)+IF(CL2659="D",1,0)+IF(CM2659="D",1,0)+IF(CQ2659="D",1,0)+IF(CR2659="D",1,0)+IF(CS2659="D",1,0)+IF(CW2659="D",1,0)+IF(CX2659="D",1,0)+IF(DD2659="D",1,0)+IF(DE2659="D",1,0)+IF(DJ2659="D",1,0)+IF(DK2659="D",1,0)+IF(DO2659="D",1,0)+IF(DP2659="D",1,0)+IF(DQ2659="D",1,0)+IF(DW2659="D",1,0)+IF(DZ2659="D",1,0)+IF(EH2659="D",1,0)</f>
        <v/>
      </c>
      <c r="AY2659">
        <f>IF(DJ2659&lt;&gt;"",1,0)+IF(DK2659&lt;&gt;"",1,0)+IF(DM2659&lt;&gt;"",1,0)+IF(DO2659&lt;&gt;"",1,0)+IF(DP2659&lt;&gt;"",1,0)+IF(DQ2659&lt;&gt;"",1,0)+IF(DS2659&lt;&gt;"",1,0)+IF(DT2659&lt;&gt;"",1,0)+IF(DV2659&lt;&gt;"",1,0)+IF(DW2659&lt;&gt;"",1,0)+IF(DX2659&lt;&gt;"",1,0)+IF(DY2659&lt;&gt;"",1,0)+IF(DZ2659&lt;&gt;"",1,0)+IF(EB2659&lt;&gt;"",1,0)+IF(EC2659&lt;&gt;"",1,0)+IF(ED2659&lt;&gt;"",1,0)+IF(EG2659&lt;&gt;"",1,0)+IF(EH2659&lt;&gt;"",1,0)</f>
        <v/>
      </c>
      <c r="AZ2659">
        <f>IF(EH2659&lt;&gt;"",1,0)</f>
        <v/>
      </c>
      <c r="BB2659" t="inlineStr">
        <is>
          <t>WARREN-WARD 4</t>
        </is>
      </c>
      <c r="BY2659" t="inlineStr">
        <is>
          <t>D</t>
        </is>
      </c>
      <c r="CA2659" t="inlineStr">
        <is>
          <t>X</t>
        </is>
      </c>
      <c r="CK2659" t="inlineStr">
        <is>
          <t>X</t>
        </is>
      </c>
      <c r="CO2659" t="inlineStr">
        <is>
          <t>D</t>
        </is>
      </c>
      <c r="CP2659" t="inlineStr">
        <is>
          <t>X</t>
        </is>
      </c>
      <c r="DC2659" t="inlineStr">
        <is>
          <t>X</t>
        </is>
      </c>
      <c r="DI2659" t="inlineStr">
        <is>
          <t>X</t>
        </is>
      </c>
      <c r="DN2659" t="inlineStr">
        <is>
          <t>X</t>
        </is>
      </c>
    </row>
    <row r="2660">
      <c r="A2660" t="inlineStr">
        <is>
          <t>OH0023852033</t>
        </is>
      </c>
      <c r="B2660" t="n">
        <v>78</v>
      </c>
      <c r="C2660" t="n">
        <v>419077</v>
      </c>
      <c r="D2660" t="inlineStr">
        <is>
          <t>DILLOW</t>
        </is>
      </c>
      <c r="E2660" t="inlineStr">
        <is>
          <t>ADAM</t>
        </is>
      </c>
      <c r="F2660">
        <f>CONCATENATE(D2660," ",LEFT(H2660,4),"T=",AU2660,"D=",AV2660,"R=",AW2660,"M=",AX2660,"L=",AY2660,"B=",AZ2660)</f>
        <v/>
      </c>
      <c r="G2660" t="inlineStr">
        <is>
          <t>LEWIS</t>
        </is>
      </c>
      <c r="I2660" t="inlineStr">
        <is>
          <t>1998-07-07</t>
        </is>
      </c>
      <c r="J2660" t="inlineStr">
        <is>
          <t>2024-02-23</t>
        </is>
      </c>
      <c r="K2660" t="inlineStr">
        <is>
          <t>ACTIVE</t>
        </is>
      </c>
      <c r="M2660" t="inlineStr">
        <is>
          <t>1229 OAK KNOLL AVE SE</t>
        </is>
      </c>
      <c r="N2660">
        <f>RIGHT(M2660,LEN(M2660)-FIND(" ",M2660))</f>
        <v/>
      </c>
      <c r="P2660" t="inlineStr">
        <is>
          <t>WARREN</t>
        </is>
      </c>
      <c r="Q2660" t="inlineStr">
        <is>
          <t>OH</t>
        </is>
      </c>
      <c r="R2660" t="n">
        <v>44484</v>
      </c>
      <c r="AD2660" t="inlineStr">
        <is>
          <t>TRUMBULL CAREER &amp; TECH CENTER</t>
        </is>
      </c>
      <c r="AE2660" t="inlineStr">
        <is>
          <t>WARREN CITY</t>
        </is>
      </c>
      <c r="AF2660" t="inlineStr">
        <is>
          <t>WARREN CITY SD</t>
        </is>
      </c>
      <c r="AH2660" t="n">
        <v>14</v>
      </c>
      <c r="AI2660" t="n">
        <v>11</v>
      </c>
      <c r="AN2660" t="inlineStr">
        <is>
          <t>WARREN</t>
        </is>
      </c>
      <c r="AO2660" t="inlineStr">
        <is>
          <t>WARREN CITY 4F</t>
        </is>
      </c>
      <c r="AP2660" t="inlineStr">
        <is>
          <t>78-P-ADN</t>
        </is>
      </c>
      <c r="AQ2660" t="n">
        <v>9</v>
      </c>
      <c r="AR2660" t="n">
        <v>64</v>
      </c>
      <c r="AS2660" t="n">
        <v>32</v>
      </c>
      <c r="AU2660">
        <f>COUNTA($BA$2660:$EH$2660)</f>
        <v/>
      </c>
      <c r="AV2660">
        <f>COUNTIF($BA$2660:$EH$2660,"D")</f>
        <v/>
      </c>
      <c r="AW2660">
        <f>COUNTIF($BA$2660:$EH$2660,"R")</f>
        <v/>
      </c>
      <c r="AX2660">
        <f>IF(BN2660="D",1,0)+IF(BO2660="D",1,0)+IF(BT2660="D",1,0)+IF(BU2660="D",1,0)+IF(BW2660="D",1,0)+IF(CC2660="D",1,0)+IF(CD2660="D",1,0)+IF(CE2660="D",1,0)+IF(CF2660="D",1,0)+IF(CL2660="D",1,0)+IF(CM2660="D",1,0)+IF(CQ2660="D",1,0)+IF(CR2660="D",1,0)+IF(CS2660="D",1,0)+IF(CW2660="D",1,0)+IF(CX2660="D",1,0)+IF(DD2660="D",1,0)+IF(DE2660="D",1,0)+IF(DJ2660="D",1,0)+IF(DK2660="D",1,0)+IF(DO2660="D",1,0)+IF(DP2660="D",1,0)+IF(DQ2660="D",1,0)+IF(DW2660="D",1,0)+IF(DZ2660="D",1,0)+IF(EH2660="D",1,0)</f>
        <v/>
      </c>
      <c r="AY2660">
        <f>IF(DJ2660&lt;&gt;"",1,0)+IF(DK2660&lt;&gt;"",1,0)+IF(DM2660&lt;&gt;"",1,0)+IF(DO2660&lt;&gt;"",1,0)+IF(DP2660&lt;&gt;"",1,0)+IF(DQ2660&lt;&gt;"",1,0)+IF(DS2660&lt;&gt;"",1,0)+IF(DT2660&lt;&gt;"",1,0)+IF(DV2660&lt;&gt;"",1,0)+IF(DW2660&lt;&gt;"",1,0)+IF(DX2660&lt;&gt;"",1,0)+IF(DY2660&lt;&gt;"",1,0)+IF(DZ2660&lt;&gt;"",1,0)+IF(EB2660&lt;&gt;"",1,0)+IF(EC2660&lt;&gt;"",1,0)+IF(ED2660&lt;&gt;"",1,0)+IF(EG2660&lt;&gt;"",1,0)+IF(EH2660&lt;&gt;"",1,0)</f>
        <v/>
      </c>
      <c r="AZ2660">
        <f>IF(EH2660&lt;&gt;"",1,0)</f>
        <v/>
      </c>
      <c r="BB2660" t="inlineStr">
        <is>
          <t>WARREN-WARD 4</t>
        </is>
      </c>
    </row>
    <row r="2661">
      <c r="A2661" t="inlineStr">
        <is>
          <t>OH0020206861</t>
        </is>
      </c>
      <c r="B2661" t="n">
        <v>78</v>
      </c>
      <c r="C2661" t="n">
        <v>364128</v>
      </c>
      <c r="D2661" t="inlineStr">
        <is>
          <t>ELLIS</t>
        </is>
      </c>
      <c r="E2661" t="inlineStr">
        <is>
          <t>JOSEPH</t>
        </is>
      </c>
      <c r="F2661">
        <f>CONCATENATE(D2661," ",LEFT(H2661,4),"T=",AU2661,"D=",AV2661,"R=",AW2661,"M=",AX2661,"L=",AY2661,"B=",AZ2661)</f>
        <v/>
      </c>
      <c r="G2661" t="inlineStr">
        <is>
          <t>J</t>
        </is>
      </c>
      <c r="I2661" t="inlineStr">
        <is>
          <t>1967-09-21</t>
        </is>
      </c>
      <c r="J2661" t="inlineStr">
        <is>
          <t>2024-08-12</t>
        </is>
      </c>
      <c r="K2661" t="inlineStr">
        <is>
          <t>ACTIVE</t>
        </is>
      </c>
      <c r="M2661" t="inlineStr">
        <is>
          <t>2247 DRAPER AVE SE</t>
        </is>
      </c>
      <c r="N2661">
        <f>RIGHT(M2661,LEN(M2661)-FIND(" ",M2661))</f>
        <v/>
      </c>
      <c r="P2661" t="inlineStr">
        <is>
          <t>WARREN</t>
        </is>
      </c>
      <c r="Q2661" t="inlineStr">
        <is>
          <t>OH</t>
        </is>
      </c>
      <c r="R2661" t="n">
        <v>44484</v>
      </c>
      <c r="AD2661" t="inlineStr">
        <is>
          <t>TRUMBULL CAREER &amp; TECH CENTER</t>
        </is>
      </c>
      <c r="AE2661" t="inlineStr">
        <is>
          <t>WARREN CITY</t>
        </is>
      </c>
      <c r="AF2661" t="inlineStr">
        <is>
          <t>WARREN CITY SD</t>
        </is>
      </c>
      <c r="AH2661" t="n">
        <v>14</v>
      </c>
      <c r="AI2661" t="n">
        <v>11</v>
      </c>
      <c r="AN2661" t="inlineStr">
        <is>
          <t>WARREN</t>
        </is>
      </c>
      <c r="AO2661" t="inlineStr">
        <is>
          <t>WARREN CITY 4F</t>
        </is>
      </c>
      <c r="AP2661" t="inlineStr">
        <is>
          <t>78-P-ADN</t>
        </is>
      </c>
      <c r="AQ2661" t="n">
        <v>9</v>
      </c>
      <c r="AR2661" t="n">
        <v>64</v>
      </c>
      <c r="AS2661" t="n">
        <v>32</v>
      </c>
      <c r="AU2661">
        <f>COUNTA($BA$2661:$EH$2661)</f>
        <v/>
      </c>
      <c r="AV2661">
        <f>COUNTIF($BA$2661:$EH$2661,"D")</f>
        <v/>
      </c>
      <c r="AW2661">
        <f>COUNTIF($BA$2661:$EH$2661,"R")</f>
        <v/>
      </c>
      <c r="AX2661">
        <f>IF(BN2661="D",1,0)+IF(BO2661="D",1,0)+IF(BT2661="D",1,0)+IF(BU2661="D",1,0)+IF(BW2661="D",1,0)+IF(CC2661="D",1,0)+IF(CD2661="D",1,0)+IF(CE2661="D",1,0)+IF(CF2661="D",1,0)+IF(CL2661="D",1,0)+IF(CM2661="D",1,0)+IF(CQ2661="D",1,0)+IF(CR2661="D",1,0)+IF(CS2661="D",1,0)+IF(CW2661="D",1,0)+IF(CX2661="D",1,0)+IF(DD2661="D",1,0)+IF(DE2661="D",1,0)+IF(DJ2661="D",1,0)+IF(DK2661="D",1,0)+IF(DO2661="D",1,0)+IF(DP2661="D",1,0)+IF(DQ2661="D",1,0)+IF(DW2661="D",1,0)+IF(DZ2661="D",1,0)+IF(EH2661="D",1,0)</f>
        <v/>
      </c>
      <c r="AY2661">
        <f>IF(DJ2661&lt;&gt;"",1,0)+IF(DK2661&lt;&gt;"",1,0)+IF(DM2661&lt;&gt;"",1,0)+IF(DO2661&lt;&gt;"",1,0)+IF(DP2661&lt;&gt;"",1,0)+IF(DQ2661&lt;&gt;"",1,0)+IF(DS2661&lt;&gt;"",1,0)+IF(DT2661&lt;&gt;"",1,0)+IF(DV2661&lt;&gt;"",1,0)+IF(DW2661&lt;&gt;"",1,0)+IF(DX2661&lt;&gt;"",1,0)+IF(DY2661&lt;&gt;"",1,0)+IF(DZ2661&lt;&gt;"",1,0)+IF(EB2661&lt;&gt;"",1,0)+IF(EC2661&lt;&gt;"",1,0)+IF(ED2661&lt;&gt;"",1,0)+IF(EG2661&lt;&gt;"",1,0)+IF(EH2661&lt;&gt;"",1,0)</f>
        <v/>
      </c>
      <c r="AZ2661">
        <f>IF(EH2661&lt;&gt;"",1,0)</f>
        <v/>
      </c>
      <c r="BB2661" t="inlineStr">
        <is>
          <t>WARREN-WARD 4</t>
        </is>
      </c>
      <c r="CP2661" t="inlineStr">
        <is>
          <t>X</t>
        </is>
      </c>
      <c r="CY2661" t="inlineStr">
        <is>
          <t>X</t>
        </is>
      </c>
      <c r="DC2661" t="inlineStr">
        <is>
          <t>X</t>
        </is>
      </c>
      <c r="DG2661" t="inlineStr">
        <is>
          <t>D</t>
        </is>
      </c>
      <c r="EF2661" t="inlineStr">
        <is>
          <t>X</t>
        </is>
      </c>
    </row>
    <row r="2662">
      <c r="A2662" t="inlineStr">
        <is>
          <t>OH0025336976</t>
        </is>
      </c>
      <c r="B2662" t="n">
        <v>78</v>
      </c>
      <c r="C2662" t="n">
        <v>442851</v>
      </c>
      <c r="D2662" t="inlineStr">
        <is>
          <t>HEDRINGTON</t>
        </is>
      </c>
      <c r="E2662" t="inlineStr">
        <is>
          <t>ESMOND</t>
        </is>
      </c>
      <c r="F2662">
        <f>CONCATENATE(D2662," ",LEFT(H2662,4),"T=",AU2662,"D=",AV2662,"R=",AW2662,"M=",AX2662,"L=",AY2662,"B=",AZ2662)</f>
        <v/>
      </c>
      <c r="G2662" t="inlineStr">
        <is>
          <t>ISAIAH</t>
        </is>
      </c>
      <c r="I2662" t="inlineStr">
        <is>
          <t>1995-11-04</t>
        </is>
      </c>
      <c r="J2662" t="inlineStr">
        <is>
          <t>2023-12-04</t>
        </is>
      </c>
      <c r="K2662" t="inlineStr">
        <is>
          <t>ACTIVE</t>
        </is>
      </c>
      <c r="M2662" t="inlineStr">
        <is>
          <t>1640 BURTON ST SE</t>
        </is>
      </c>
      <c r="N2662">
        <f>RIGHT(M2662,LEN(M2662)-FIND(" ",M2662))</f>
        <v/>
      </c>
      <c r="P2662" t="inlineStr">
        <is>
          <t>WARREN</t>
        </is>
      </c>
      <c r="Q2662" t="inlineStr">
        <is>
          <t>OH</t>
        </is>
      </c>
      <c r="R2662" t="n">
        <v>44484</v>
      </c>
      <c r="AD2662" t="inlineStr">
        <is>
          <t>TRUMBULL CAREER &amp; TECH CENTER</t>
        </is>
      </c>
      <c r="AE2662" t="inlineStr">
        <is>
          <t>WARREN CITY</t>
        </is>
      </c>
      <c r="AF2662" t="inlineStr">
        <is>
          <t>WARREN CITY SD</t>
        </is>
      </c>
      <c r="AH2662" t="n">
        <v>14</v>
      </c>
      <c r="AI2662" t="n">
        <v>11</v>
      </c>
      <c r="AN2662" t="inlineStr">
        <is>
          <t>WARREN</t>
        </is>
      </c>
      <c r="AO2662" t="inlineStr">
        <is>
          <t>WARREN CITY 4F</t>
        </is>
      </c>
      <c r="AP2662" t="inlineStr">
        <is>
          <t>78-P-ADN</t>
        </is>
      </c>
      <c r="AQ2662" t="n">
        <v>9</v>
      </c>
      <c r="AR2662" t="n">
        <v>64</v>
      </c>
      <c r="AS2662" t="n">
        <v>32</v>
      </c>
      <c r="AU2662">
        <f>COUNTA($BA$2662:$EH$2662)</f>
        <v/>
      </c>
      <c r="AV2662">
        <f>COUNTIF($BA$2662:$EH$2662,"D")</f>
        <v/>
      </c>
      <c r="AW2662">
        <f>COUNTIF($BA$2662:$EH$2662,"R")</f>
        <v/>
      </c>
      <c r="AX2662">
        <f>IF(BN2662="D",1,0)+IF(BO2662="D",1,0)+IF(BT2662="D",1,0)+IF(BU2662="D",1,0)+IF(BW2662="D",1,0)+IF(CC2662="D",1,0)+IF(CD2662="D",1,0)+IF(CE2662="D",1,0)+IF(CF2662="D",1,0)+IF(CL2662="D",1,0)+IF(CM2662="D",1,0)+IF(CQ2662="D",1,0)+IF(CR2662="D",1,0)+IF(CS2662="D",1,0)+IF(CW2662="D",1,0)+IF(CX2662="D",1,0)+IF(DD2662="D",1,0)+IF(DE2662="D",1,0)+IF(DJ2662="D",1,0)+IF(DK2662="D",1,0)+IF(DO2662="D",1,0)+IF(DP2662="D",1,0)+IF(DQ2662="D",1,0)+IF(DW2662="D",1,0)+IF(DZ2662="D",1,0)+IF(EH2662="D",1,0)</f>
        <v/>
      </c>
      <c r="AY2662">
        <f>IF(DJ2662&lt;&gt;"",1,0)+IF(DK2662&lt;&gt;"",1,0)+IF(DM2662&lt;&gt;"",1,0)+IF(DO2662&lt;&gt;"",1,0)+IF(DP2662&lt;&gt;"",1,0)+IF(DQ2662&lt;&gt;"",1,0)+IF(DS2662&lt;&gt;"",1,0)+IF(DT2662&lt;&gt;"",1,0)+IF(DV2662&lt;&gt;"",1,0)+IF(DW2662&lt;&gt;"",1,0)+IF(DX2662&lt;&gt;"",1,0)+IF(DY2662&lt;&gt;"",1,0)+IF(DZ2662&lt;&gt;"",1,0)+IF(EB2662&lt;&gt;"",1,0)+IF(EC2662&lt;&gt;"",1,0)+IF(ED2662&lt;&gt;"",1,0)+IF(EG2662&lt;&gt;"",1,0)+IF(EH2662&lt;&gt;"",1,0)</f>
        <v/>
      </c>
      <c r="AZ2662">
        <f>IF(EH2662&lt;&gt;"",1,0)</f>
        <v/>
      </c>
      <c r="BB2662" t="inlineStr">
        <is>
          <t>WARREN-WARD 4</t>
        </is>
      </c>
      <c r="DN2662" t="inlineStr">
        <is>
          <t>X</t>
        </is>
      </c>
    </row>
    <row r="2663">
      <c r="A2663" t="inlineStr">
        <is>
          <t>OH0020133494</t>
        </is>
      </c>
      <c r="B2663" t="n">
        <v>78</v>
      </c>
      <c r="C2663" t="n">
        <v>363346</v>
      </c>
      <c r="D2663" t="inlineStr">
        <is>
          <t>BAUGH</t>
        </is>
      </c>
      <c r="E2663" t="inlineStr">
        <is>
          <t>STEPHEN</t>
        </is>
      </c>
      <c r="F2663">
        <f>CONCATENATE(D2663," ",LEFT(H2663,4),"T=",AU2663,"D=",AV2663,"R=",AW2663,"M=",AX2663,"L=",AY2663,"B=",AZ2663)</f>
        <v/>
      </c>
      <c r="G2663" t="inlineStr">
        <is>
          <t>A</t>
        </is>
      </c>
      <c r="I2663" t="inlineStr">
        <is>
          <t>1961-11-07</t>
        </is>
      </c>
      <c r="J2663" t="inlineStr">
        <is>
          <t>2014-09-16</t>
        </is>
      </c>
      <c r="K2663" t="inlineStr">
        <is>
          <t>CONFIRMATION</t>
        </is>
      </c>
      <c r="M2663" t="inlineStr">
        <is>
          <t>2256 DRAPER AVE SE</t>
        </is>
      </c>
      <c r="N2663">
        <f>RIGHT(M2663,LEN(M2663)-FIND(" ",M2663))</f>
        <v/>
      </c>
      <c r="P2663" t="inlineStr">
        <is>
          <t>WARREN</t>
        </is>
      </c>
      <c r="Q2663" t="inlineStr">
        <is>
          <t>OH</t>
        </is>
      </c>
      <c r="R2663" t="n">
        <v>44484</v>
      </c>
      <c r="AD2663" t="inlineStr">
        <is>
          <t>TRUMBULL CAREER &amp; TECH CENTER</t>
        </is>
      </c>
      <c r="AE2663" t="inlineStr">
        <is>
          <t>WARREN CITY</t>
        </is>
      </c>
      <c r="AF2663" t="inlineStr">
        <is>
          <t>WARREN CITY SD</t>
        </is>
      </c>
      <c r="AH2663" t="n">
        <v>14</v>
      </c>
      <c r="AI2663" t="n">
        <v>11</v>
      </c>
      <c r="AN2663" t="inlineStr">
        <is>
          <t>WARREN</t>
        </is>
      </c>
      <c r="AO2663" t="inlineStr">
        <is>
          <t>WARREN CITY 4F</t>
        </is>
      </c>
      <c r="AP2663" t="inlineStr">
        <is>
          <t>78-P-ADN</t>
        </is>
      </c>
      <c r="AQ2663" t="n">
        <v>9</v>
      </c>
      <c r="AR2663" t="n">
        <v>64</v>
      </c>
      <c r="AS2663" t="n">
        <v>32</v>
      </c>
      <c r="AU2663">
        <f>COUNTA($BA$2663:$EH$2663)</f>
        <v/>
      </c>
      <c r="AV2663">
        <f>COUNTIF($BA$2663:$EH$2663,"D")</f>
        <v/>
      </c>
      <c r="AW2663">
        <f>COUNTIF($BA$2663:$EH$2663,"R")</f>
        <v/>
      </c>
      <c r="AX2663">
        <f>IF(BN2663="D",1,0)+IF(BO2663="D",1,0)+IF(BT2663="D",1,0)+IF(BU2663="D",1,0)+IF(BW2663="D",1,0)+IF(CC2663="D",1,0)+IF(CD2663="D",1,0)+IF(CE2663="D",1,0)+IF(CF2663="D",1,0)+IF(CL2663="D",1,0)+IF(CM2663="D",1,0)+IF(CQ2663="D",1,0)+IF(CR2663="D",1,0)+IF(CS2663="D",1,0)+IF(CW2663="D",1,0)+IF(CX2663="D",1,0)+IF(DD2663="D",1,0)+IF(DE2663="D",1,0)+IF(DJ2663="D",1,0)+IF(DK2663="D",1,0)+IF(DO2663="D",1,0)+IF(DP2663="D",1,0)+IF(DQ2663="D",1,0)+IF(DW2663="D",1,0)+IF(DZ2663="D",1,0)+IF(EH2663="D",1,0)</f>
        <v/>
      </c>
      <c r="AY2663">
        <f>IF(DJ2663&lt;&gt;"",1,0)+IF(DK2663&lt;&gt;"",1,0)+IF(DM2663&lt;&gt;"",1,0)+IF(DO2663&lt;&gt;"",1,0)+IF(DP2663&lt;&gt;"",1,0)+IF(DQ2663&lt;&gt;"",1,0)+IF(DS2663&lt;&gt;"",1,0)+IF(DT2663&lt;&gt;"",1,0)+IF(DV2663&lt;&gt;"",1,0)+IF(DW2663&lt;&gt;"",1,0)+IF(DX2663&lt;&gt;"",1,0)+IF(DY2663&lt;&gt;"",1,0)+IF(DZ2663&lt;&gt;"",1,0)+IF(EB2663&lt;&gt;"",1,0)+IF(EC2663&lt;&gt;"",1,0)+IF(ED2663&lt;&gt;"",1,0)+IF(EG2663&lt;&gt;"",1,0)+IF(EH2663&lt;&gt;"",1,0)</f>
        <v/>
      </c>
      <c r="AZ2663">
        <f>IF(EH2663&lt;&gt;"",1,0)</f>
        <v/>
      </c>
      <c r="BB2663" t="inlineStr">
        <is>
          <t>WARREN-WARD 4</t>
        </is>
      </c>
      <c r="CA2663" t="inlineStr">
        <is>
          <t>X</t>
        </is>
      </c>
      <c r="CV2663" t="inlineStr">
        <is>
          <t>X</t>
        </is>
      </c>
      <c r="CY2663" t="inlineStr">
        <is>
          <t>X</t>
        </is>
      </c>
      <c r="DC2663" t="inlineStr">
        <is>
          <t>X</t>
        </is>
      </c>
    </row>
    <row r="2664">
      <c r="A2664" t="inlineStr">
        <is>
          <t>OH0027452720</t>
        </is>
      </c>
      <c r="B2664" t="n">
        <v>78</v>
      </c>
      <c r="C2664" t="n">
        <v>486371</v>
      </c>
      <c r="D2664" t="inlineStr">
        <is>
          <t>DOZIER</t>
        </is>
      </c>
      <c r="E2664" t="inlineStr">
        <is>
          <t>TANAE</t>
        </is>
      </c>
      <c r="F2664">
        <f>CONCATENATE(D2664," ",LEFT(H2664,4),"T=",AU2664,"D=",AV2664,"R=",AW2664,"M=",AX2664,"L=",AY2664,"B=",AZ2664)</f>
        <v/>
      </c>
      <c r="G2664" t="inlineStr">
        <is>
          <t>S</t>
        </is>
      </c>
      <c r="I2664" t="inlineStr">
        <is>
          <t>1996-05-26</t>
        </is>
      </c>
      <c r="J2664" t="inlineStr">
        <is>
          <t>2024-07-17</t>
        </is>
      </c>
      <c r="K2664" t="inlineStr">
        <is>
          <t>ACTIVE</t>
        </is>
      </c>
      <c r="M2664" t="inlineStr">
        <is>
          <t>1296 YOUNGSTOWN RD SE</t>
        </is>
      </c>
      <c r="N2664">
        <f>RIGHT(M2664,LEN(M2664)-FIND(" ",M2664))</f>
        <v/>
      </c>
      <c r="O2664" t="inlineStr">
        <is>
          <t>APT 2</t>
        </is>
      </c>
      <c r="P2664" t="inlineStr">
        <is>
          <t>WARREN</t>
        </is>
      </c>
      <c r="Q2664" t="inlineStr">
        <is>
          <t>OH</t>
        </is>
      </c>
      <c r="R2664" t="n">
        <v>44484</v>
      </c>
      <c r="AD2664" t="inlineStr">
        <is>
          <t>TRUMBULL CAREER &amp; TECH CENTER</t>
        </is>
      </c>
      <c r="AE2664" t="inlineStr">
        <is>
          <t>WARREN CITY</t>
        </is>
      </c>
      <c r="AF2664" t="inlineStr">
        <is>
          <t>WARREN CITY SD</t>
        </is>
      </c>
      <c r="AH2664" t="n">
        <v>14</v>
      </c>
      <c r="AI2664" t="n">
        <v>11</v>
      </c>
      <c r="AN2664" t="inlineStr">
        <is>
          <t>WARREN</t>
        </is>
      </c>
      <c r="AO2664" t="inlineStr">
        <is>
          <t>WARREN CITY 4F</t>
        </is>
      </c>
      <c r="AP2664" t="inlineStr">
        <is>
          <t>78-P-ADN</t>
        </is>
      </c>
      <c r="AQ2664" t="n">
        <v>9</v>
      </c>
      <c r="AR2664" t="n">
        <v>64</v>
      </c>
      <c r="AS2664" t="n">
        <v>32</v>
      </c>
      <c r="AU2664">
        <f>COUNTA($BA$2664:$EH$2664)</f>
        <v/>
      </c>
      <c r="AV2664">
        <f>COUNTIF($BA$2664:$EH$2664,"D")</f>
        <v/>
      </c>
      <c r="AW2664">
        <f>COUNTIF($BA$2664:$EH$2664,"R")</f>
        <v/>
      </c>
      <c r="AX2664">
        <f>IF(BN2664="D",1,0)+IF(BO2664="D",1,0)+IF(BT2664="D",1,0)+IF(BU2664="D",1,0)+IF(BW2664="D",1,0)+IF(CC2664="D",1,0)+IF(CD2664="D",1,0)+IF(CE2664="D",1,0)+IF(CF2664="D",1,0)+IF(CL2664="D",1,0)+IF(CM2664="D",1,0)+IF(CQ2664="D",1,0)+IF(CR2664="D",1,0)+IF(CS2664="D",1,0)+IF(CW2664="D",1,0)+IF(CX2664="D",1,0)+IF(DD2664="D",1,0)+IF(DE2664="D",1,0)+IF(DJ2664="D",1,0)+IF(DK2664="D",1,0)+IF(DO2664="D",1,0)+IF(DP2664="D",1,0)+IF(DQ2664="D",1,0)+IF(DW2664="D",1,0)+IF(DZ2664="D",1,0)+IF(EH2664="D",1,0)</f>
        <v/>
      </c>
      <c r="AY2664">
        <f>IF(DJ2664&lt;&gt;"",1,0)+IF(DK2664&lt;&gt;"",1,0)+IF(DM2664&lt;&gt;"",1,0)+IF(DO2664&lt;&gt;"",1,0)+IF(DP2664&lt;&gt;"",1,0)+IF(DQ2664&lt;&gt;"",1,0)+IF(DS2664&lt;&gt;"",1,0)+IF(DT2664&lt;&gt;"",1,0)+IF(DV2664&lt;&gt;"",1,0)+IF(DW2664&lt;&gt;"",1,0)+IF(DX2664&lt;&gt;"",1,0)+IF(DY2664&lt;&gt;"",1,0)+IF(DZ2664&lt;&gt;"",1,0)+IF(EB2664&lt;&gt;"",1,0)+IF(EC2664&lt;&gt;"",1,0)+IF(ED2664&lt;&gt;"",1,0)+IF(EG2664&lt;&gt;"",1,0)+IF(EH2664&lt;&gt;"",1,0)</f>
        <v/>
      </c>
      <c r="AZ2664">
        <f>IF(EH2664&lt;&gt;"",1,0)</f>
        <v/>
      </c>
      <c r="BB2664" t="inlineStr">
        <is>
          <t>WARREN-WARD 4</t>
        </is>
      </c>
      <c r="CY2664" t="inlineStr">
        <is>
          <t>X</t>
        </is>
      </c>
      <c r="DI2664" t="inlineStr">
        <is>
          <t>X</t>
        </is>
      </c>
      <c r="DN2664" t="inlineStr">
        <is>
          <t>X</t>
        </is>
      </c>
    </row>
    <row r="2665">
      <c r="A2665" t="inlineStr">
        <is>
          <t>OH0027520071</t>
        </is>
      </c>
      <c r="B2665" t="n">
        <v>78</v>
      </c>
      <c r="C2665" t="n">
        <v>487740</v>
      </c>
      <c r="D2665" t="inlineStr">
        <is>
          <t>BENTLEY</t>
        </is>
      </c>
      <c r="E2665" t="inlineStr">
        <is>
          <t>BELINDA</t>
        </is>
      </c>
      <c r="F2665">
        <f>CONCATENATE(D2665," ",LEFT(H2665,4),"T=",AU2665,"D=",AV2665,"R=",AW2665,"M=",AX2665,"L=",AY2665,"B=",AZ2665)</f>
        <v/>
      </c>
      <c r="I2665" t="inlineStr">
        <is>
          <t>1979-04-26</t>
        </is>
      </c>
      <c r="J2665" t="inlineStr">
        <is>
          <t>2024-08-06</t>
        </is>
      </c>
      <c r="K2665" t="inlineStr">
        <is>
          <t>ACTIVE</t>
        </is>
      </c>
      <c r="M2665" t="inlineStr">
        <is>
          <t>1619 OAK KNOLL AVE SE</t>
        </is>
      </c>
      <c r="N2665">
        <f>RIGHT(M2665,LEN(M2665)-FIND(" ",M2665))</f>
        <v/>
      </c>
      <c r="P2665" t="inlineStr">
        <is>
          <t>WARREN</t>
        </is>
      </c>
      <c r="Q2665" t="inlineStr">
        <is>
          <t>OH</t>
        </is>
      </c>
      <c r="R2665" t="n">
        <v>44484</v>
      </c>
      <c r="AD2665" t="inlineStr">
        <is>
          <t>TRUMBULL CAREER &amp; TECH CENTER</t>
        </is>
      </c>
      <c r="AE2665" t="inlineStr">
        <is>
          <t>WARREN CITY</t>
        </is>
      </c>
      <c r="AF2665" t="inlineStr">
        <is>
          <t>WARREN CITY SD</t>
        </is>
      </c>
      <c r="AH2665" t="n">
        <v>14</v>
      </c>
      <c r="AI2665" t="n">
        <v>11</v>
      </c>
      <c r="AN2665" t="inlineStr">
        <is>
          <t>WARREN</t>
        </is>
      </c>
      <c r="AO2665" t="inlineStr">
        <is>
          <t>WARREN CITY 4F</t>
        </is>
      </c>
      <c r="AP2665" t="inlineStr">
        <is>
          <t>78-P-ADN</t>
        </is>
      </c>
      <c r="AQ2665" t="n">
        <v>9</v>
      </c>
      <c r="AR2665" t="n">
        <v>64</v>
      </c>
      <c r="AS2665" t="n">
        <v>32</v>
      </c>
      <c r="AU2665">
        <f>COUNTA($BA$2665:$EH$2665)</f>
        <v/>
      </c>
      <c r="AV2665">
        <f>COUNTIF($BA$2665:$EH$2665,"D")</f>
        <v/>
      </c>
      <c r="AW2665">
        <f>COUNTIF($BA$2665:$EH$2665,"R")</f>
        <v/>
      </c>
      <c r="AX2665">
        <f>IF(BN2665="D",1,0)+IF(BO2665="D",1,0)+IF(BT2665="D",1,0)+IF(BU2665="D",1,0)+IF(BW2665="D",1,0)+IF(CC2665="D",1,0)+IF(CD2665="D",1,0)+IF(CE2665="D",1,0)+IF(CF2665="D",1,0)+IF(CL2665="D",1,0)+IF(CM2665="D",1,0)+IF(CQ2665="D",1,0)+IF(CR2665="D",1,0)+IF(CS2665="D",1,0)+IF(CW2665="D",1,0)+IF(CX2665="D",1,0)+IF(DD2665="D",1,0)+IF(DE2665="D",1,0)+IF(DJ2665="D",1,0)+IF(DK2665="D",1,0)+IF(DO2665="D",1,0)+IF(DP2665="D",1,0)+IF(DQ2665="D",1,0)+IF(DW2665="D",1,0)+IF(DZ2665="D",1,0)+IF(EH2665="D",1,0)</f>
        <v/>
      </c>
      <c r="AY2665">
        <f>IF(DJ2665&lt;&gt;"",1,0)+IF(DK2665&lt;&gt;"",1,0)+IF(DM2665&lt;&gt;"",1,0)+IF(DO2665&lt;&gt;"",1,0)+IF(DP2665&lt;&gt;"",1,0)+IF(DQ2665&lt;&gt;"",1,0)+IF(DS2665&lt;&gt;"",1,0)+IF(DT2665&lt;&gt;"",1,0)+IF(DV2665&lt;&gt;"",1,0)+IF(DW2665&lt;&gt;"",1,0)+IF(DX2665&lt;&gt;"",1,0)+IF(DY2665&lt;&gt;"",1,0)+IF(DZ2665&lt;&gt;"",1,0)+IF(EB2665&lt;&gt;"",1,0)+IF(EC2665&lt;&gt;"",1,0)+IF(ED2665&lt;&gt;"",1,0)+IF(EG2665&lt;&gt;"",1,0)+IF(EH2665&lt;&gt;"",1,0)</f>
        <v/>
      </c>
      <c r="AZ2665">
        <f>IF(EH2665&lt;&gt;"",1,0)</f>
        <v/>
      </c>
      <c r="BB2665" t="inlineStr">
        <is>
          <t>WARREN-WARD 4</t>
        </is>
      </c>
    </row>
    <row r="2666">
      <c r="A2666" t="inlineStr">
        <is>
          <t>OH0015695417</t>
        </is>
      </c>
      <c r="B2666" t="n">
        <v>78</v>
      </c>
      <c r="C2666" t="n">
        <v>148907</v>
      </c>
      <c r="D2666" t="inlineStr">
        <is>
          <t>CLOSSIN</t>
        </is>
      </c>
      <c r="E2666" t="inlineStr">
        <is>
          <t>PATRICK</t>
        </is>
      </c>
      <c r="F2666">
        <f>CONCATENATE(D2666," ",LEFT(H2666,4),"T=",AU2666,"D=",AV2666,"R=",AW2666,"M=",AX2666,"L=",AY2666,"B=",AZ2666)</f>
        <v/>
      </c>
      <c r="G2666" t="inlineStr">
        <is>
          <t>J</t>
        </is>
      </c>
      <c r="H2666" t="inlineStr">
        <is>
          <t>JR</t>
        </is>
      </c>
      <c r="I2666" t="inlineStr">
        <is>
          <t>1964-10-24</t>
        </is>
      </c>
      <c r="J2666" t="inlineStr">
        <is>
          <t>2022-11-23</t>
        </is>
      </c>
      <c r="K2666" t="inlineStr">
        <is>
          <t>ACTIVE</t>
        </is>
      </c>
      <c r="L2666" t="inlineStr">
        <is>
          <t>D</t>
        </is>
      </c>
      <c r="M2666" t="inlineStr">
        <is>
          <t>1767 BRIER ST SE</t>
        </is>
      </c>
      <c r="N2666">
        <f>RIGHT(M2666,LEN(M2666)-FIND(" ",M2666))</f>
        <v/>
      </c>
      <c r="P2666" t="inlineStr">
        <is>
          <t>WARREN</t>
        </is>
      </c>
      <c r="Q2666" t="inlineStr">
        <is>
          <t>OH</t>
        </is>
      </c>
      <c r="R2666" t="n">
        <v>44484</v>
      </c>
      <c r="AD2666" t="inlineStr">
        <is>
          <t>TRUMBULL CAREER &amp; TECH CENTER</t>
        </is>
      </c>
      <c r="AE2666" t="inlineStr">
        <is>
          <t>WARREN CITY</t>
        </is>
      </c>
      <c r="AF2666" t="inlineStr">
        <is>
          <t>WARREN CITY SD</t>
        </is>
      </c>
      <c r="AH2666" t="n">
        <v>14</v>
      </c>
      <c r="AI2666" t="n">
        <v>11</v>
      </c>
      <c r="AN2666" t="inlineStr">
        <is>
          <t>WARREN</t>
        </is>
      </c>
      <c r="AO2666" t="inlineStr">
        <is>
          <t>WARREN CITY 4F</t>
        </is>
      </c>
      <c r="AP2666" t="inlineStr">
        <is>
          <t>78-P-ADN</t>
        </is>
      </c>
      <c r="AQ2666" t="n">
        <v>9</v>
      </c>
      <c r="AR2666" t="n">
        <v>64</v>
      </c>
      <c r="AS2666" t="n">
        <v>32</v>
      </c>
      <c r="AU2666">
        <f>COUNTA($BA$2666:$EH$2666)</f>
        <v/>
      </c>
      <c r="AV2666">
        <f>COUNTIF($BA$2666:$EH$2666,"D")</f>
        <v/>
      </c>
      <c r="AW2666">
        <f>COUNTIF($BA$2666:$EH$2666,"R")</f>
        <v/>
      </c>
      <c r="AX2666">
        <f>IF(BN2666="D",1,0)+IF(BO2666="D",1,0)+IF(BT2666="D",1,0)+IF(BU2666="D",1,0)+IF(BW2666="D",1,0)+IF(CC2666="D",1,0)+IF(CD2666="D",1,0)+IF(CE2666="D",1,0)+IF(CF2666="D",1,0)+IF(CL2666="D",1,0)+IF(CM2666="D",1,0)+IF(CQ2666="D",1,0)+IF(CR2666="D",1,0)+IF(CS2666="D",1,0)+IF(CW2666="D",1,0)+IF(CX2666="D",1,0)+IF(DD2666="D",1,0)+IF(DE2666="D",1,0)+IF(DJ2666="D",1,0)+IF(DK2666="D",1,0)+IF(DO2666="D",1,0)+IF(DP2666="D",1,0)+IF(DQ2666="D",1,0)+IF(DW2666="D",1,0)+IF(DZ2666="D",1,0)+IF(EH2666="D",1,0)</f>
        <v/>
      </c>
      <c r="AY2666">
        <f>IF(DJ2666&lt;&gt;"",1,0)+IF(DK2666&lt;&gt;"",1,0)+IF(DM2666&lt;&gt;"",1,0)+IF(DO2666&lt;&gt;"",1,0)+IF(DP2666&lt;&gt;"",1,0)+IF(DQ2666&lt;&gt;"",1,0)+IF(DS2666&lt;&gt;"",1,0)+IF(DT2666&lt;&gt;"",1,0)+IF(DV2666&lt;&gt;"",1,0)+IF(DW2666&lt;&gt;"",1,0)+IF(DX2666&lt;&gt;"",1,0)+IF(DY2666&lt;&gt;"",1,0)+IF(DZ2666&lt;&gt;"",1,0)+IF(EB2666&lt;&gt;"",1,0)+IF(EC2666&lt;&gt;"",1,0)+IF(ED2666&lt;&gt;"",1,0)+IF(EG2666&lt;&gt;"",1,0)+IF(EH2666&lt;&gt;"",1,0)</f>
        <v/>
      </c>
      <c r="AZ2666">
        <f>IF(EH2666&lt;&gt;"",1,0)</f>
        <v/>
      </c>
      <c r="BB2666" t="inlineStr">
        <is>
          <t>WARREN-WARD 4</t>
        </is>
      </c>
      <c r="BC2666" t="inlineStr">
        <is>
          <t>X</t>
        </is>
      </c>
      <c r="BD2666" t="inlineStr">
        <is>
          <t>X</t>
        </is>
      </c>
      <c r="BF2666" t="inlineStr">
        <is>
          <t>X</t>
        </is>
      </c>
      <c r="BG2666" t="inlineStr">
        <is>
          <t>X</t>
        </is>
      </c>
      <c r="BH2666" t="inlineStr">
        <is>
          <t>X</t>
        </is>
      </c>
      <c r="BK2666" t="inlineStr">
        <is>
          <t>X</t>
        </is>
      </c>
      <c r="BL2666" t="inlineStr">
        <is>
          <t>X</t>
        </is>
      </c>
      <c r="BY2666" t="inlineStr">
        <is>
          <t>D</t>
        </is>
      </c>
      <c r="CG2666" t="inlineStr">
        <is>
          <t>X</t>
        </is>
      </c>
      <c r="CH2666" t="inlineStr">
        <is>
          <t>D</t>
        </is>
      </c>
      <c r="CK2666" t="inlineStr">
        <is>
          <t>X</t>
        </is>
      </c>
      <c r="CL2666" t="inlineStr">
        <is>
          <t>D</t>
        </is>
      </c>
      <c r="CN2666" t="inlineStr">
        <is>
          <t>X</t>
        </is>
      </c>
      <c r="CP2666" t="inlineStr">
        <is>
          <t>X</t>
        </is>
      </c>
      <c r="CU2666" t="inlineStr">
        <is>
          <t>D</t>
        </is>
      </c>
      <c r="CV2666" t="inlineStr">
        <is>
          <t>X</t>
        </is>
      </c>
      <c r="CY2666" t="inlineStr">
        <is>
          <t>X</t>
        </is>
      </c>
      <c r="DC2666" t="inlineStr">
        <is>
          <t>X</t>
        </is>
      </c>
      <c r="DW2666" t="inlineStr">
        <is>
          <t>D</t>
        </is>
      </c>
      <c r="ED2666" t="inlineStr">
        <is>
          <t>D</t>
        </is>
      </c>
      <c r="EF2666" t="inlineStr">
        <is>
          <t>X</t>
        </is>
      </c>
    </row>
    <row r="2667">
      <c r="A2667" t="inlineStr">
        <is>
          <t>OH0023665710</t>
        </is>
      </c>
      <c r="B2667" t="n">
        <v>78</v>
      </c>
      <c r="C2667" t="n">
        <v>416401</v>
      </c>
      <c r="D2667" t="inlineStr">
        <is>
          <t>STEWART</t>
        </is>
      </c>
      <c r="E2667" t="inlineStr">
        <is>
          <t>ROBERT</t>
        </is>
      </c>
      <c r="F2667">
        <f>CONCATENATE(D2667," ",LEFT(H2667,4),"T=",AU2667,"D=",AV2667,"R=",AW2667,"M=",AX2667,"L=",AY2667,"B=",AZ2667)</f>
        <v/>
      </c>
      <c r="G2667" t="inlineStr">
        <is>
          <t>LEE</t>
        </is>
      </c>
      <c r="H2667" t="inlineStr">
        <is>
          <t>JR</t>
        </is>
      </c>
      <c r="I2667" t="inlineStr">
        <is>
          <t>1950-02-15</t>
        </is>
      </c>
      <c r="J2667" t="inlineStr">
        <is>
          <t>2024-04-04</t>
        </is>
      </c>
      <c r="K2667" t="inlineStr">
        <is>
          <t>ACTIVE</t>
        </is>
      </c>
      <c r="L2667" t="inlineStr">
        <is>
          <t>R</t>
        </is>
      </c>
      <c r="M2667" t="inlineStr">
        <is>
          <t>2634 NILES RD SE</t>
        </is>
      </c>
      <c r="N2667">
        <f>RIGHT(M2667,LEN(M2667)-FIND(" ",M2667))</f>
        <v/>
      </c>
      <c r="P2667" t="inlineStr">
        <is>
          <t>WARREN</t>
        </is>
      </c>
      <c r="Q2667" t="inlineStr">
        <is>
          <t>OH</t>
        </is>
      </c>
      <c r="R2667" t="n">
        <v>44484</v>
      </c>
      <c r="AD2667" t="inlineStr">
        <is>
          <t>TRUMBULL CAREER &amp; TECH CENTER</t>
        </is>
      </c>
      <c r="AE2667" t="inlineStr">
        <is>
          <t>WARREN CITY</t>
        </is>
      </c>
      <c r="AF2667" t="inlineStr">
        <is>
          <t>WARREN CITY SD</t>
        </is>
      </c>
      <c r="AH2667" t="n">
        <v>14</v>
      </c>
      <c r="AI2667" t="n">
        <v>11</v>
      </c>
      <c r="AN2667" t="inlineStr">
        <is>
          <t>WARREN</t>
        </is>
      </c>
      <c r="AO2667" t="inlineStr">
        <is>
          <t>WARREN CITY 4F</t>
        </is>
      </c>
      <c r="AP2667" t="inlineStr">
        <is>
          <t>78-P-ADN</t>
        </is>
      </c>
      <c r="AQ2667" t="n">
        <v>9</v>
      </c>
      <c r="AR2667" t="n">
        <v>64</v>
      </c>
      <c r="AS2667" t="n">
        <v>32</v>
      </c>
      <c r="AU2667">
        <f>COUNTA($BA$2667:$EH$2667)</f>
        <v/>
      </c>
      <c r="AV2667">
        <f>COUNTIF($BA$2667:$EH$2667,"D")</f>
        <v/>
      </c>
      <c r="AW2667">
        <f>COUNTIF($BA$2667:$EH$2667,"R")</f>
        <v/>
      </c>
      <c r="AX2667">
        <f>IF(BN2667="D",1,0)+IF(BO2667="D",1,0)+IF(BT2667="D",1,0)+IF(BU2667="D",1,0)+IF(BW2667="D",1,0)+IF(CC2667="D",1,0)+IF(CD2667="D",1,0)+IF(CE2667="D",1,0)+IF(CF2667="D",1,0)+IF(CL2667="D",1,0)+IF(CM2667="D",1,0)+IF(CQ2667="D",1,0)+IF(CR2667="D",1,0)+IF(CS2667="D",1,0)+IF(CW2667="D",1,0)+IF(CX2667="D",1,0)+IF(DD2667="D",1,0)+IF(DE2667="D",1,0)+IF(DJ2667="D",1,0)+IF(DK2667="D",1,0)+IF(DO2667="D",1,0)+IF(DP2667="D",1,0)+IF(DQ2667="D",1,0)+IF(DW2667="D",1,0)+IF(DZ2667="D",1,0)+IF(EH2667="D",1,0)</f>
        <v/>
      </c>
      <c r="AY2667">
        <f>IF(DJ2667&lt;&gt;"",1,0)+IF(DK2667&lt;&gt;"",1,0)+IF(DM2667&lt;&gt;"",1,0)+IF(DO2667&lt;&gt;"",1,0)+IF(DP2667&lt;&gt;"",1,0)+IF(DQ2667&lt;&gt;"",1,0)+IF(DS2667&lt;&gt;"",1,0)+IF(DT2667&lt;&gt;"",1,0)+IF(DV2667&lt;&gt;"",1,0)+IF(DW2667&lt;&gt;"",1,0)+IF(DX2667&lt;&gt;"",1,0)+IF(DY2667&lt;&gt;"",1,0)+IF(DZ2667&lt;&gt;"",1,0)+IF(EB2667&lt;&gt;"",1,0)+IF(EC2667&lt;&gt;"",1,0)+IF(ED2667&lt;&gt;"",1,0)+IF(EG2667&lt;&gt;"",1,0)+IF(EH2667&lt;&gt;"",1,0)</f>
        <v/>
      </c>
      <c r="AZ2667">
        <f>IF(EH2667&lt;&gt;"",1,0)</f>
        <v/>
      </c>
      <c r="BB2667" t="inlineStr">
        <is>
          <t>WARREN-WARD 4</t>
        </is>
      </c>
      <c r="DC2667" t="inlineStr">
        <is>
          <t>X</t>
        </is>
      </c>
      <c r="DN2667" t="inlineStr">
        <is>
          <t>X</t>
        </is>
      </c>
      <c r="DU2667" t="inlineStr">
        <is>
          <t>X</t>
        </is>
      </c>
      <c r="DW2667" t="inlineStr">
        <is>
          <t>D</t>
        </is>
      </c>
      <c r="DX2667" t="inlineStr">
        <is>
          <t>X</t>
        </is>
      </c>
      <c r="EA2667" t="inlineStr">
        <is>
          <t>X</t>
        </is>
      </c>
      <c r="ED2667" t="inlineStr">
        <is>
          <t>R</t>
        </is>
      </c>
      <c r="EF2667" t="inlineStr">
        <is>
          <t>X</t>
        </is>
      </c>
    </row>
    <row r="2668">
      <c r="A2668" t="inlineStr">
        <is>
          <t>OH0018989759</t>
        </is>
      </c>
      <c r="B2668" t="n">
        <v>78</v>
      </c>
      <c r="C2668" t="n">
        <v>346908</v>
      </c>
      <c r="D2668" t="inlineStr">
        <is>
          <t>VINGLE</t>
        </is>
      </c>
      <c r="E2668" t="inlineStr">
        <is>
          <t>JASON</t>
        </is>
      </c>
      <c r="F2668">
        <f>CONCATENATE(D2668," ",LEFT(H2668,4),"T=",AU2668,"D=",AV2668,"R=",AW2668,"M=",AX2668,"L=",AY2668,"B=",AZ2668)</f>
        <v/>
      </c>
      <c r="G2668" t="inlineStr">
        <is>
          <t>R</t>
        </is>
      </c>
      <c r="I2668" t="inlineStr">
        <is>
          <t>1969-04-01</t>
        </is>
      </c>
      <c r="J2668" t="inlineStr">
        <is>
          <t>2024-09-11</t>
        </is>
      </c>
      <c r="K2668" t="inlineStr">
        <is>
          <t>ACTIVE</t>
        </is>
      </c>
      <c r="M2668" t="inlineStr">
        <is>
          <t>1536 KENILWORTH AVE SE</t>
        </is>
      </c>
      <c r="N2668">
        <f>RIGHT(M2668,LEN(M2668)-FIND(" ",M2668))</f>
        <v/>
      </c>
      <c r="P2668" t="inlineStr">
        <is>
          <t>WARREN</t>
        </is>
      </c>
      <c r="Q2668" t="inlineStr">
        <is>
          <t>OH</t>
        </is>
      </c>
      <c r="R2668" t="n">
        <v>44484</v>
      </c>
      <c r="AD2668" t="inlineStr">
        <is>
          <t>TRUMBULL CAREER &amp; TECH CENTER</t>
        </is>
      </c>
      <c r="AE2668" t="inlineStr">
        <is>
          <t>WARREN CITY</t>
        </is>
      </c>
      <c r="AF2668" t="inlineStr">
        <is>
          <t>WARREN CITY SD</t>
        </is>
      </c>
      <c r="AH2668" t="n">
        <v>14</v>
      </c>
      <c r="AI2668" t="n">
        <v>11</v>
      </c>
      <c r="AN2668" t="inlineStr">
        <is>
          <t>WARREN</t>
        </is>
      </c>
      <c r="AO2668" t="inlineStr">
        <is>
          <t>WARREN CITY 4F</t>
        </is>
      </c>
      <c r="AP2668" t="inlineStr">
        <is>
          <t>78-P-ADN</t>
        </is>
      </c>
      <c r="AQ2668" t="n">
        <v>9</v>
      </c>
      <c r="AR2668" t="n">
        <v>64</v>
      </c>
      <c r="AS2668" t="n">
        <v>32</v>
      </c>
      <c r="AU2668">
        <f>COUNTA($BA$2668:$EH$2668)</f>
        <v/>
      </c>
      <c r="AV2668">
        <f>COUNTIF($BA$2668:$EH$2668,"D")</f>
        <v/>
      </c>
      <c r="AW2668">
        <f>COUNTIF($BA$2668:$EH$2668,"R")</f>
        <v/>
      </c>
      <c r="AX2668">
        <f>IF(BN2668="D",1,0)+IF(BO2668="D",1,0)+IF(BT2668="D",1,0)+IF(BU2668="D",1,0)+IF(BW2668="D",1,0)+IF(CC2668="D",1,0)+IF(CD2668="D",1,0)+IF(CE2668="D",1,0)+IF(CF2668="D",1,0)+IF(CL2668="D",1,0)+IF(CM2668="D",1,0)+IF(CQ2668="D",1,0)+IF(CR2668="D",1,0)+IF(CS2668="D",1,0)+IF(CW2668="D",1,0)+IF(CX2668="D",1,0)+IF(DD2668="D",1,0)+IF(DE2668="D",1,0)+IF(DJ2668="D",1,0)+IF(DK2668="D",1,0)+IF(DO2668="D",1,0)+IF(DP2668="D",1,0)+IF(DQ2668="D",1,0)+IF(DW2668="D",1,0)+IF(DZ2668="D",1,0)+IF(EH2668="D",1,0)</f>
        <v/>
      </c>
      <c r="AY2668">
        <f>IF(DJ2668&lt;&gt;"",1,0)+IF(DK2668&lt;&gt;"",1,0)+IF(DM2668&lt;&gt;"",1,0)+IF(DO2668&lt;&gt;"",1,0)+IF(DP2668&lt;&gt;"",1,0)+IF(DQ2668&lt;&gt;"",1,0)+IF(DS2668&lt;&gt;"",1,0)+IF(DT2668&lt;&gt;"",1,0)+IF(DV2668&lt;&gt;"",1,0)+IF(DW2668&lt;&gt;"",1,0)+IF(DX2668&lt;&gt;"",1,0)+IF(DY2668&lt;&gt;"",1,0)+IF(DZ2668&lt;&gt;"",1,0)+IF(EB2668&lt;&gt;"",1,0)+IF(EC2668&lt;&gt;"",1,0)+IF(ED2668&lt;&gt;"",1,0)+IF(EG2668&lt;&gt;"",1,0)+IF(EH2668&lt;&gt;"",1,0)</f>
        <v/>
      </c>
      <c r="AZ2668">
        <f>IF(EH2668&lt;&gt;"",1,0)</f>
        <v/>
      </c>
      <c r="BB2668" t="inlineStr">
        <is>
          <t>WARREN-WARD 4</t>
        </is>
      </c>
      <c r="BS2668" t="inlineStr">
        <is>
          <t>X</t>
        </is>
      </c>
      <c r="CA2668" t="inlineStr">
        <is>
          <t>X</t>
        </is>
      </c>
      <c r="CG2668" t="inlineStr">
        <is>
          <t>X</t>
        </is>
      </c>
      <c r="CK2668" t="inlineStr">
        <is>
          <t>X</t>
        </is>
      </c>
      <c r="CN2668" t="inlineStr">
        <is>
          <t>X</t>
        </is>
      </c>
      <c r="CP2668" t="inlineStr">
        <is>
          <t>X</t>
        </is>
      </c>
      <c r="CV2668" t="inlineStr">
        <is>
          <t>X</t>
        </is>
      </c>
      <c r="CZ2668" t="inlineStr">
        <is>
          <t>R</t>
        </is>
      </c>
      <c r="DC2668" t="inlineStr">
        <is>
          <t>X</t>
        </is>
      </c>
      <c r="DI2668" t="inlineStr">
        <is>
          <t>X</t>
        </is>
      </c>
      <c r="DN2668" t="inlineStr">
        <is>
          <t>X</t>
        </is>
      </c>
      <c r="EA2668" t="inlineStr">
        <is>
          <t>X</t>
        </is>
      </c>
      <c r="EF2668" t="inlineStr">
        <is>
          <t>X</t>
        </is>
      </c>
    </row>
    <row r="2669">
      <c r="A2669" t="inlineStr">
        <is>
          <t>OH0023011988</t>
        </is>
      </c>
      <c r="B2669" t="n">
        <v>78</v>
      </c>
      <c r="C2669" t="n">
        <v>405055</v>
      </c>
      <c r="D2669" t="inlineStr">
        <is>
          <t>JACKSON</t>
        </is>
      </c>
      <c r="E2669" t="inlineStr">
        <is>
          <t>TARA</t>
        </is>
      </c>
      <c r="F2669">
        <f>CONCATENATE(D2669," ",LEFT(H2669,4),"T=",AU2669,"D=",AV2669,"R=",AW2669,"M=",AX2669,"L=",AY2669,"B=",AZ2669)</f>
        <v/>
      </c>
      <c r="G2669" t="inlineStr">
        <is>
          <t>M</t>
        </is>
      </c>
      <c r="I2669" t="inlineStr">
        <is>
          <t>1995-05-28</t>
        </is>
      </c>
      <c r="J2669" t="inlineStr">
        <is>
          <t>2018-08-20</t>
        </is>
      </c>
      <c r="K2669" t="inlineStr">
        <is>
          <t>ACTIVE</t>
        </is>
      </c>
      <c r="M2669" t="inlineStr">
        <is>
          <t>1600 OAK KNOLL AVE SE</t>
        </is>
      </c>
      <c r="N2669">
        <f>RIGHT(M2669,LEN(M2669)-FIND(" ",M2669))</f>
        <v/>
      </c>
      <c r="P2669" t="inlineStr">
        <is>
          <t>WARREN</t>
        </is>
      </c>
      <c r="Q2669" t="inlineStr">
        <is>
          <t>OH</t>
        </is>
      </c>
      <c r="R2669" t="n">
        <v>44484</v>
      </c>
      <c r="AD2669" t="inlineStr">
        <is>
          <t>TRUMBULL CAREER &amp; TECH CENTER</t>
        </is>
      </c>
      <c r="AE2669" t="inlineStr">
        <is>
          <t>WARREN CITY</t>
        </is>
      </c>
      <c r="AF2669" t="inlineStr">
        <is>
          <t>WARREN CITY SD</t>
        </is>
      </c>
      <c r="AH2669" t="n">
        <v>14</v>
      </c>
      <c r="AI2669" t="n">
        <v>11</v>
      </c>
      <c r="AN2669" t="inlineStr">
        <is>
          <t>WARREN</t>
        </is>
      </c>
      <c r="AO2669" t="inlineStr">
        <is>
          <t>WARREN CITY 4F</t>
        </is>
      </c>
      <c r="AP2669" t="inlineStr">
        <is>
          <t>78-P-ADN</t>
        </is>
      </c>
      <c r="AQ2669" t="n">
        <v>9</v>
      </c>
      <c r="AR2669" t="n">
        <v>64</v>
      </c>
      <c r="AS2669" t="n">
        <v>32</v>
      </c>
      <c r="AU2669">
        <f>COUNTA($BA$2669:$EH$2669)</f>
        <v/>
      </c>
      <c r="AV2669">
        <f>COUNTIF($BA$2669:$EH$2669,"D")</f>
        <v/>
      </c>
      <c r="AW2669">
        <f>COUNTIF($BA$2669:$EH$2669,"R")</f>
        <v/>
      </c>
      <c r="AX2669">
        <f>IF(BN2669="D",1,0)+IF(BO2669="D",1,0)+IF(BT2669="D",1,0)+IF(BU2669="D",1,0)+IF(BW2669="D",1,0)+IF(CC2669="D",1,0)+IF(CD2669="D",1,0)+IF(CE2669="D",1,0)+IF(CF2669="D",1,0)+IF(CL2669="D",1,0)+IF(CM2669="D",1,0)+IF(CQ2669="D",1,0)+IF(CR2669="D",1,0)+IF(CS2669="D",1,0)+IF(CW2669="D",1,0)+IF(CX2669="D",1,0)+IF(DD2669="D",1,0)+IF(DE2669="D",1,0)+IF(DJ2669="D",1,0)+IF(DK2669="D",1,0)+IF(DO2669="D",1,0)+IF(DP2669="D",1,0)+IF(DQ2669="D",1,0)+IF(DW2669="D",1,0)+IF(DZ2669="D",1,0)+IF(EH2669="D",1,0)</f>
        <v/>
      </c>
      <c r="AY2669">
        <f>IF(DJ2669&lt;&gt;"",1,0)+IF(DK2669&lt;&gt;"",1,0)+IF(DM2669&lt;&gt;"",1,0)+IF(DO2669&lt;&gt;"",1,0)+IF(DP2669&lt;&gt;"",1,0)+IF(DQ2669&lt;&gt;"",1,0)+IF(DS2669&lt;&gt;"",1,0)+IF(DT2669&lt;&gt;"",1,0)+IF(DV2669&lt;&gt;"",1,0)+IF(DW2669&lt;&gt;"",1,0)+IF(DX2669&lt;&gt;"",1,0)+IF(DY2669&lt;&gt;"",1,0)+IF(DZ2669&lt;&gt;"",1,0)+IF(EB2669&lt;&gt;"",1,0)+IF(EC2669&lt;&gt;"",1,0)+IF(ED2669&lt;&gt;"",1,0)+IF(EG2669&lt;&gt;"",1,0)+IF(EH2669&lt;&gt;"",1,0)</f>
        <v/>
      </c>
      <c r="AZ2669">
        <f>IF(EH2669&lt;&gt;"",1,0)</f>
        <v/>
      </c>
      <c r="BB2669" t="inlineStr">
        <is>
          <t>WARREN-WARD 4</t>
        </is>
      </c>
      <c r="DC2669" t="inlineStr">
        <is>
          <t>X</t>
        </is>
      </c>
    </row>
    <row r="2670">
      <c r="A2670" t="inlineStr">
        <is>
          <t>OH0015695767</t>
        </is>
      </c>
      <c r="B2670" t="n">
        <v>78</v>
      </c>
      <c r="C2670" t="n">
        <v>284471</v>
      </c>
      <c r="D2670" t="inlineStr">
        <is>
          <t>JONES</t>
        </is>
      </c>
      <c r="E2670" t="inlineStr">
        <is>
          <t>MARK</t>
        </is>
      </c>
      <c r="F2670">
        <f>CONCATENATE(D2670," ",LEFT(H2670,4),"T=",AU2670,"D=",AV2670,"R=",AW2670,"M=",AX2670,"L=",AY2670,"B=",AZ2670)</f>
        <v/>
      </c>
      <c r="G2670" t="inlineStr">
        <is>
          <t>M</t>
        </is>
      </c>
      <c r="I2670" t="inlineStr">
        <is>
          <t>1978-09-14</t>
        </is>
      </c>
      <c r="J2670" t="inlineStr">
        <is>
          <t>2014-02-06</t>
        </is>
      </c>
      <c r="K2670" t="inlineStr">
        <is>
          <t>ACTIVE</t>
        </is>
      </c>
      <c r="M2670" t="inlineStr">
        <is>
          <t>1151 NILES RD SE</t>
        </is>
      </c>
      <c r="N2670">
        <f>RIGHT(M2670,LEN(M2670)-FIND(" ",M2670))</f>
        <v/>
      </c>
      <c r="P2670" t="inlineStr">
        <is>
          <t>WARREN</t>
        </is>
      </c>
      <c r="Q2670" t="inlineStr">
        <is>
          <t>OH</t>
        </is>
      </c>
      <c r="R2670" t="n">
        <v>44484</v>
      </c>
      <c r="AD2670" t="inlineStr">
        <is>
          <t>TRUMBULL CAREER &amp; TECH CENTER</t>
        </is>
      </c>
      <c r="AE2670" t="inlineStr">
        <is>
          <t>WARREN CITY</t>
        </is>
      </c>
      <c r="AF2670" t="inlineStr">
        <is>
          <t>WARREN CITY SD</t>
        </is>
      </c>
      <c r="AH2670" t="n">
        <v>14</v>
      </c>
      <c r="AI2670" t="n">
        <v>11</v>
      </c>
      <c r="AN2670" t="inlineStr">
        <is>
          <t>WARREN</t>
        </is>
      </c>
      <c r="AO2670" t="inlineStr">
        <is>
          <t>WARREN CITY 4F</t>
        </is>
      </c>
      <c r="AP2670" t="inlineStr">
        <is>
          <t>78-P-ADN</t>
        </is>
      </c>
      <c r="AQ2670" t="n">
        <v>9</v>
      </c>
      <c r="AR2670" t="n">
        <v>64</v>
      </c>
      <c r="AS2670" t="n">
        <v>32</v>
      </c>
      <c r="AU2670">
        <f>COUNTA($BA$2670:$EH$2670)</f>
        <v/>
      </c>
      <c r="AV2670">
        <f>COUNTIF($BA$2670:$EH$2670,"D")</f>
        <v/>
      </c>
      <c r="AW2670">
        <f>COUNTIF($BA$2670:$EH$2670,"R")</f>
        <v/>
      </c>
      <c r="AX2670">
        <f>IF(BN2670="D",1,0)+IF(BO2670="D",1,0)+IF(BT2670="D",1,0)+IF(BU2670="D",1,0)+IF(BW2670="D",1,0)+IF(CC2670="D",1,0)+IF(CD2670="D",1,0)+IF(CE2670="D",1,0)+IF(CF2670="D",1,0)+IF(CL2670="D",1,0)+IF(CM2670="D",1,0)+IF(CQ2670="D",1,0)+IF(CR2670="D",1,0)+IF(CS2670="D",1,0)+IF(CW2670="D",1,0)+IF(CX2670="D",1,0)+IF(DD2670="D",1,0)+IF(DE2670="D",1,0)+IF(DJ2670="D",1,0)+IF(DK2670="D",1,0)+IF(DO2670="D",1,0)+IF(DP2670="D",1,0)+IF(DQ2670="D",1,0)+IF(DW2670="D",1,0)+IF(DZ2670="D",1,0)+IF(EH2670="D",1,0)</f>
        <v/>
      </c>
      <c r="AY2670">
        <f>IF(DJ2670&lt;&gt;"",1,0)+IF(DK2670&lt;&gt;"",1,0)+IF(DM2670&lt;&gt;"",1,0)+IF(DO2670&lt;&gt;"",1,0)+IF(DP2670&lt;&gt;"",1,0)+IF(DQ2670&lt;&gt;"",1,0)+IF(DS2670&lt;&gt;"",1,0)+IF(DT2670&lt;&gt;"",1,0)+IF(DV2670&lt;&gt;"",1,0)+IF(DW2670&lt;&gt;"",1,0)+IF(DX2670&lt;&gt;"",1,0)+IF(DY2670&lt;&gt;"",1,0)+IF(DZ2670&lt;&gt;"",1,0)+IF(EB2670&lt;&gt;"",1,0)+IF(EC2670&lt;&gt;"",1,0)+IF(ED2670&lt;&gt;"",1,0)+IF(EG2670&lt;&gt;"",1,0)+IF(EH2670&lt;&gt;"",1,0)</f>
        <v/>
      </c>
      <c r="AZ2670">
        <f>IF(EH2670&lt;&gt;"",1,0)</f>
        <v/>
      </c>
      <c r="BB2670" t="inlineStr">
        <is>
          <t>WARREN-WARD 4</t>
        </is>
      </c>
      <c r="BE2670" t="inlineStr">
        <is>
          <t>X</t>
        </is>
      </c>
      <c r="CY2670" t="inlineStr">
        <is>
          <t>X</t>
        </is>
      </c>
    </row>
    <row r="2671">
      <c r="A2671" t="inlineStr">
        <is>
          <t>OH0018597495</t>
        </is>
      </c>
      <c r="B2671" t="n">
        <v>78</v>
      </c>
      <c r="C2671" t="n">
        <v>338302</v>
      </c>
      <c r="D2671" t="inlineStr">
        <is>
          <t>LIPTROT</t>
        </is>
      </c>
      <c r="E2671" t="inlineStr">
        <is>
          <t>EBONY</t>
        </is>
      </c>
      <c r="F2671">
        <f>CONCATENATE(D2671," ",LEFT(H2671,4),"T=",AU2671,"D=",AV2671,"R=",AW2671,"M=",AX2671,"L=",AY2671,"B=",AZ2671)</f>
        <v/>
      </c>
      <c r="G2671" t="inlineStr">
        <is>
          <t>DIONNE</t>
        </is>
      </c>
      <c r="I2671" t="inlineStr">
        <is>
          <t>1987-03-19</t>
        </is>
      </c>
      <c r="J2671" t="inlineStr">
        <is>
          <t>2020-08-22</t>
        </is>
      </c>
      <c r="K2671" t="inlineStr">
        <is>
          <t>ACTIVE</t>
        </is>
      </c>
      <c r="M2671" t="inlineStr">
        <is>
          <t>1912 BURTON ST SE</t>
        </is>
      </c>
      <c r="N2671">
        <f>RIGHT(M2671,LEN(M2671)-FIND(" ",M2671))</f>
        <v/>
      </c>
      <c r="P2671" t="inlineStr">
        <is>
          <t>WARREN</t>
        </is>
      </c>
      <c r="Q2671" t="inlineStr">
        <is>
          <t>OH</t>
        </is>
      </c>
      <c r="R2671" t="n">
        <v>44484</v>
      </c>
      <c r="AD2671" t="inlineStr">
        <is>
          <t>TRUMBULL CAREER &amp; TECH CENTER</t>
        </is>
      </c>
      <c r="AE2671" t="inlineStr">
        <is>
          <t>WARREN CITY</t>
        </is>
      </c>
      <c r="AF2671" t="inlineStr">
        <is>
          <t>WARREN CITY SD</t>
        </is>
      </c>
      <c r="AH2671" t="n">
        <v>14</v>
      </c>
      <c r="AI2671" t="n">
        <v>11</v>
      </c>
      <c r="AN2671" t="inlineStr">
        <is>
          <t>WARREN</t>
        </is>
      </c>
      <c r="AO2671" t="inlineStr">
        <is>
          <t>WARREN CITY 4F</t>
        </is>
      </c>
      <c r="AP2671" t="inlineStr">
        <is>
          <t>78-P-ADN</t>
        </is>
      </c>
      <c r="AQ2671" t="n">
        <v>9</v>
      </c>
      <c r="AR2671" t="n">
        <v>64</v>
      </c>
      <c r="AS2671" t="n">
        <v>32</v>
      </c>
      <c r="AU2671">
        <f>COUNTA($BA$2671:$EH$2671)</f>
        <v/>
      </c>
      <c r="AV2671">
        <f>COUNTIF($BA$2671:$EH$2671,"D")</f>
        <v/>
      </c>
      <c r="AW2671">
        <f>COUNTIF($BA$2671:$EH$2671,"R")</f>
        <v/>
      </c>
      <c r="AX2671">
        <f>IF(BN2671="D",1,0)+IF(BO2671="D",1,0)+IF(BT2671="D",1,0)+IF(BU2671="D",1,0)+IF(BW2671="D",1,0)+IF(CC2671="D",1,0)+IF(CD2671="D",1,0)+IF(CE2671="D",1,0)+IF(CF2671="D",1,0)+IF(CL2671="D",1,0)+IF(CM2671="D",1,0)+IF(CQ2671="D",1,0)+IF(CR2671="D",1,0)+IF(CS2671="D",1,0)+IF(CW2671="D",1,0)+IF(CX2671="D",1,0)+IF(DD2671="D",1,0)+IF(DE2671="D",1,0)+IF(DJ2671="D",1,0)+IF(DK2671="D",1,0)+IF(DO2671="D",1,0)+IF(DP2671="D",1,0)+IF(DQ2671="D",1,0)+IF(DW2671="D",1,0)+IF(DZ2671="D",1,0)+IF(EH2671="D",1,0)</f>
        <v/>
      </c>
      <c r="AY2671">
        <f>IF(DJ2671&lt;&gt;"",1,0)+IF(DK2671&lt;&gt;"",1,0)+IF(DM2671&lt;&gt;"",1,0)+IF(DO2671&lt;&gt;"",1,0)+IF(DP2671&lt;&gt;"",1,0)+IF(DQ2671&lt;&gt;"",1,0)+IF(DS2671&lt;&gt;"",1,0)+IF(DT2671&lt;&gt;"",1,0)+IF(DV2671&lt;&gt;"",1,0)+IF(DW2671&lt;&gt;"",1,0)+IF(DX2671&lt;&gt;"",1,0)+IF(DY2671&lt;&gt;"",1,0)+IF(DZ2671&lt;&gt;"",1,0)+IF(EB2671&lt;&gt;"",1,0)+IF(EC2671&lt;&gt;"",1,0)+IF(ED2671&lt;&gt;"",1,0)+IF(EG2671&lt;&gt;"",1,0)+IF(EH2671&lt;&gt;"",1,0)</f>
        <v/>
      </c>
      <c r="AZ2671">
        <f>IF(EH2671&lt;&gt;"",1,0)</f>
        <v/>
      </c>
      <c r="BB2671" t="inlineStr">
        <is>
          <t>WARREN-WARD 4</t>
        </is>
      </c>
      <c r="BS2671" t="inlineStr">
        <is>
          <t>X</t>
        </is>
      </c>
      <c r="BV2671" t="inlineStr">
        <is>
          <t>X</t>
        </is>
      </c>
      <c r="BY2671" t="inlineStr">
        <is>
          <t>D</t>
        </is>
      </c>
      <c r="CA2671" t="inlineStr">
        <is>
          <t>X</t>
        </is>
      </c>
      <c r="CP2671" t="inlineStr">
        <is>
          <t>X</t>
        </is>
      </c>
      <c r="CV2671" t="inlineStr">
        <is>
          <t>X</t>
        </is>
      </c>
      <c r="DC2671" t="inlineStr">
        <is>
          <t>X</t>
        </is>
      </c>
      <c r="DX2671" t="inlineStr">
        <is>
          <t>X</t>
        </is>
      </c>
      <c r="EF2671" t="inlineStr">
        <is>
          <t>X</t>
        </is>
      </c>
    </row>
    <row r="2672">
      <c r="A2672" t="inlineStr">
        <is>
          <t>OH0023483887</t>
        </is>
      </c>
      <c r="B2672" t="n">
        <v>78</v>
      </c>
      <c r="C2672" t="n">
        <v>413291</v>
      </c>
      <c r="D2672" t="inlineStr">
        <is>
          <t>YOUNG</t>
        </is>
      </c>
      <c r="E2672" t="inlineStr">
        <is>
          <t>DESIREE</t>
        </is>
      </c>
      <c r="F2672">
        <f>CONCATENATE(D2672," ",LEFT(H2672,4),"T=",AU2672,"D=",AV2672,"R=",AW2672,"M=",AX2672,"L=",AY2672,"B=",AZ2672)</f>
        <v/>
      </c>
      <c r="G2672" t="inlineStr">
        <is>
          <t>ELIZABETH</t>
        </is>
      </c>
      <c r="I2672" t="inlineStr">
        <is>
          <t>1998-09-15</t>
        </is>
      </c>
      <c r="J2672" t="inlineStr">
        <is>
          <t>2018-05-08</t>
        </is>
      </c>
      <c r="K2672" t="inlineStr">
        <is>
          <t>ACTIVE</t>
        </is>
      </c>
      <c r="M2672" t="inlineStr">
        <is>
          <t>1946 BENTON ST SE</t>
        </is>
      </c>
      <c r="N2672">
        <f>RIGHT(M2672,LEN(M2672)-FIND(" ",M2672))</f>
        <v/>
      </c>
      <c r="P2672" t="inlineStr">
        <is>
          <t>WARREN</t>
        </is>
      </c>
      <c r="Q2672" t="inlineStr">
        <is>
          <t>OH</t>
        </is>
      </c>
      <c r="R2672" t="n">
        <v>44484</v>
      </c>
      <c r="AD2672" t="inlineStr">
        <is>
          <t>TRUMBULL CAREER &amp; TECH CENTER</t>
        </is>
      </c>
      <c r="AE2672" t="inlineStr">
        <is>
          <t>WARREN CITY</t>
        </is>
      </c>
      <c r="AF2672" t="inlineStr">
        <is>
          <t>WARREN CITY SD</t>
        </is>
      </c>
      <c r="AH2672" t="n">
        <v>14</v>
      </c>
      <c r="AI2672" t="n">
        <v>11</v>
      </c>
      <c r="AN2672" t="inlineStr">
        <is>
          <t>WARREN</t>
        </is>
      </c>
      <c r="AO2672" t="inlineStr">
        <is>
          <t>WARREN CITY 4F</t>
        </is>
      </c>
      <c r="AP2672" t="inlineStr">
        <is>
          <t>78-P-ADN</t>
        </is>
      </c>
      <c r="AQ2672" t="n">
        <v>9</v>
      </c>
      <c r="AR2672" t="n">
        <v>64</v>
      </c>
      <c r="AS2672" t="n">
        <v>32</v>
      </c>
      <c r="AU2672">
        <f>COUNTA($BA$2672:$EH$2672)</f>
        <v/>
      </c>
      <c r="AV2672">
        <f>COUNTIF($BA$2672:$EH$2672,"D")</f>
        <v/>
      </c>
      <c r="AW2672">
        <f>COUNTIF($BA$2672:$EH$2672,"R")</f>
        <v/>
      </c>
      <c r="AX2672">
        <f>IF(BN2672="D",1,0)+IF(BO2672="D",1,0)+IF(BT2672="D",1,0)+IF(BU2672="D",1,0)+IF(BW2672="D",1,0)+IF(CC2672="D",1,0)+IF(CD2672="D",1,0)+IF(CE2672="D",1,0)+IF(CF2672="D",1,0)+IF(CL2672="D",1,0)+IF(CM2672="D",1,0)+IF(CQ2672="D",1,0)+IF(CR2672="D",1,0)+IF(CS2672="D",1,0)+IF(CW2672="D",1,0)+IF(CX2672="D",1,0)+IF(DD2672="D",1,0)+IF(DE2672="D",1,0)+IF(DJ2672="D",1,0)+IF(DK2672="D",1,0)+IF(DO2672="D",1,0)+IF(DP2672="D",1,0)+IF(DQ2672="D",1,0)+IF(DW2672="D",1,0)+IF(DZ2672="D",1,0)+IF(EH2672="D",1,0)</f>
        <v/>
      </c>
      <c r="AY2672">
        <f>IF(DJ2672&lt;&gt;"",1,0)+IF(DK2672&lt;&gt;"",1,0)+IF(DM2672&lt;&gt;"",1,0)+IF(DO2672&lt;&gt;"",1,0)+IF(DP2672&lt;&gt;"",1,0)+IF(DQ2672&lt;&gt;"",1,0)+IF(DS2672&lt;&gt;"",1,0)+IF(DT2672&lt;&gt;"",1,0)+IF(DV2672&lt;&gt;"",1,0)+IF(DW2672&lt;&gt;"",1,0)+IF(DX2672&lt;&gt;"",1,0)+IF(DY2672&lt;&gt;"",1,0)+IF(DZ2672&lt;&gt;"",1,0)+IF(EB2672&lt;&gt;"",1,0)+IF(EC2672&lt;&gt;"",1,0)+IF(ED2672&lt;&gt;"",1,0)+IF(EG2672&lt;&gt;"",1,0)+IF(EH2672&lt;&gt;"",1,0)</f>
        <v/>
      </c>
      <c r="AZ2672">
        <f>IF(EH2672&lt;&gt;"",1,0)</f>
        <v/>
      </c>
      <c r="BB2672" t="inlineStr">
        <is>
          <t>WARREN-WARD 4</t>
        </is>
      </c>
      <c r="DC2672" t="inlineStr">
        <is>
          <t>X</t>
        </is>
      </c>
      <c r="DN2672" t="inlineStr">
        <is>
          <t>X</t>
        </is>
      </c>
      <c r="EF2672" t="inlineStr">
        <is>
          <t>X</t>
        </is>
      </c>
    </row>
    <row r="2673">
      <c r="A2673" t="inlineStr">
        <is>
          <t>OH0015719264</t>
        </is>
      </c>
      <c r="B2673" t="n">
        <v>78</v>
      </c>
      <c r="C2673" t="n">
        <v>306503</v>
      </c>
      <c r="D2673" t="inlineStr">
        <is>
          <t>STEVENS</t>
        </is>
      </c>
      <c r="E2673" t="inlineStr">
        <is>
          <t>LISA</t>
        </is>
      </c>
      <c r="F2673">
        <f>CONCATENATE(D2673," ",LEFT(H2673,4),"T=",AU2673,"D=",AV2673,"R=",AW2673,"M=",AX2673,"L=",AY2673,"B=",AZ2673)</f>
        <v/>
      </c>
      <c r="G2673" t="inlineStr">
        <is>
          <t>ANN</t>
        </is>
      </c>
      <c r="I2673" t="inlineStr">
        <is>
          <t>1983-01-31</t>
        </is>
      </c>
      <c r="J2673" t="inlineStr">
        <is>
          <t>2018-06-20</t>
        </is>
      </c>
      <c r="K2673" t="inlineStr">
        <is>
          <t>ACTIVE</t>
        </is>
      </c>
      <c r="M2673" t="inlineStr">
        <is>
          <t>1627 WOODBINE AVE SE</t>
        </is>
      </c>
      <c r="N2673">
        <f>RIGHT(M2673,LEN(M2673)-FIND(" ",M2673))</f>
        <v/>
      </c>
      <c r="P2673" t="inlineStr">
        <is>
          <t>WARREN</t>
        </is>
      </c>
      <c r="Q2673" t="inlineStr">
        <is>
          <t>OH</t>
        </is>
      </c>
      <c r="R2673" t="n">
        <v>44484</v>
      </c>
      <c r="AD2673" t="inlineStr">
        <is>
          <t>TRUMBULL CAREER &amp; TECH CENTER</t>
        </is>
      </c>
      <c r="AE2673" t="inlineStr">
        <is>
          <t>WARREN CITY</t>
        </is>
      </c>
      <c r="AF2673" t="inlineStr">
        <is>
          <t>WARREN CITY SD</t>
        </is>
      </c>
      <c r="AH2673" t="n">
        <v>14</v>
      </c>
      <c r="AI2673" t="n">
        <v>11</v>
      </c>
      <c r="AN2673" t="inlineStr">
        <is>
          <t>WARREN</t>
        </is>
      </c>
      <c r="AO2673" t="inlineStr">
        <is>
          <t>WARREN CITY 4F</t>
        </is>
      </c>
      <c r="AP2673" t="inlineStr">
        <is>
          <t>78-P-ADN</t>
        </is>
      </c>
      <c r="AQ2673" t="n">
        <v>9</v>
      </c>
      <c r="AR2673" t="n">
        <v>64</v>
      </c>
      <c r="AS2673" t="n">
        <v>32</v>
      </c>
      <c r="AU2673">
        <f>COUNTA($BA$2673:$EH$2673)</f>
        <v/>
      </c>
      <c r="AV2673">
        <f>COUNTIF($BA$2673:$EH$2673,"D")</f>
        <v/>
      </c>
      <c r="AW2673">
        <f>COUNTIF($BA$2673:$EH$2673,"R")</f>
        <v/>
      </c>
      <c r="AX2673">
        <f>IF(BN2673="D",1,0)+IF(BO2673="D",1,0)+IF(BT2673="D",1,0)+IF(BU2673="D",1,0)+IF(BW2673="D",1,0)+IF(CC2673="D",1,0)+IF(CD2673="D",1,0)+IF(CE2673="D",1,0)+IF(CF2673="D",1,0)+IF(CL2673="D",1,0)+IF(CM2673="D",1,0)+IF(CQ2673="D",1,0)+IF(CR2673="D",1,0)+IF(CS2673="D",1,0)+IF(CW2673="D",1,0)+IF(CX2673="D",1,0)+IF(DD2673="D",1,0)+IF(DE2673="D",1,0)+IF(DJ2673="D",1,0)+IF(DK2673="D",1,0)+IF(DO2673="D",1,0)+IF(DP2673="D",1,0)+IF(DQ2673="D",1,0)+IF(DW2673="D",1,0)+IF(DZ2673="D",1,0)+IF(EH2673="D",1,0)</f>
        <v/>
      </c>
      <c r="AY2673">
        <f>IF(DJ2673&lt;&gt;"",1,0)+IF(DK2673&lt;&gt;"",1,0)+IF(DM2673&lt;&gt;"",1,0)+IF(DO2673&lt;&gt;"",1,0)+IF(DP2673&lt;&gt;"",1,0)+IF(DQ2673&lt;&gt;"",1,0)+IF(DS2673&lt;&gt;"",1,0)+IF(DT2673&lt;&gt;"",1,0)+IF(DV2673&lt;&gt;"",1,0)+IF(DW2673&lt;&gt;"",1,0)+IF(DX2673&lt;&gt;"",1,0)+IF(DY2673&lt;&gt;"",1,0)+IF(DZ2673&lt;&gt;"",1,0)+IF(EB2673&lt;&gt;"",1,0)+IF(EC2673&lt;&gt;"",1,0)+IF(ED2673&lt;&gt;"",1,0)+IF(EG2673&lt;&gt;"",1,0)+IF(EH2673&lt;&gt;"",1,0)</f>
        <v/>
      </c>
      <c r="AZ2673">
        <f>IF(EH2673&lt;&gt;"",1,0)</f>
        <v/>
      </c>
      <c r="BB2673" t="inlineStr">
        <is>
          <t>WARREN-WARD 4</t>
        </is>
      </c>
    </row>
    <row r="2674">
      <c r="A2674" t="inlineStr">
        <is>
          <t>OH0024381401</t>
        </is>
      </c>
      <c r="B2674" t="n">
        <v>78</v>
      </c>
      <c r="C2674" t="n">
        <v>427719</v>
      </c>
      <c r="D2674" t="inlineStr">
        <is>
          <t>JOHNSON</t>
        </is>
      </c>
      <c r="E2674" t="inlineStr">
        <is>
          <t>LYDIA</t>
        </is>
      </c>
      <c r="F2674">
        <f>CONCATENATE(D2674," ",LEFT(H2674,4),"T=",AU2674,"D=",AV2674,"R=",AW2674,"M=",AX2674,"L=",AY2674,"B=",AZ2674)</f>
        <v/>
      </c>
      <c r="G2674" t="inlineStr">
        <is>
          <t>M</t>
        </is>
      </c>
      <c r="I2674" t="inlineStr">
        <is>
          <t>1984-06-27</t>
        </is>
      </c>
      <c r="J2674" t="inlineStr">
        <is>
          <t>2024-08-06</t>
        </is>
      </c>
      <c r="K2674" t="inlineStr">
        <is>
          <t>ACTIVE</t>
        </is>
      </c>
      <c r="M2674" t="inlineStr">
        <is>
          <t>1739 BRIER ST SE</t>
        </is>
      </c>
      <c r="N2674">
        <f>RIGHT(M2674,LEN(M2674)-FIND(" ",M2674))</f>
        <v/>
      </c>
      <c r="O2674" t="inlineStr">
        <is>
          <t>APT 1</t>
        </is>
      </c>
      <c r="P2674" t="inlineStr">
        <is>
          <t>WARREN</t>
        </is>
      </c>
      <c r="Q2674" t="inlineStr">
        <is>
          <t>OH</t>
        </is>
      </c>
      <c r="R2674" t="n">
        <v>44484</v>
      </c>
      <c r="AD2674" t="inlineStr">
        <is>
          <t>TRUMBULL CAREER &amp; TECH CENTER</t>
        </is>
      </c>
      <c r="AE2674" t="inlineStr">
        <is>
          <t>WARREN CITY</t>
        </is>
      </c>
      <c r="AF2674" t="inlineStr">
        <is>
          <t>WARREN CITY SD</t>
        </is>
      </c>
      <c r="AH2674" t="n">
        <v>14</v>
      </c>
      <c r="AI2674" t="n">
        <v>11</v>
      </c>
      <c r="AN2674" t="inlineStr">
        <is>
          <t>WARREN</t>
        </is>
      </c>
      <c r="AO2674" t="inlineStr">
        <is>
          <t>WARREN CITY 4F</t>
        </is>
      </c>
      <c r="AP2674" t="inlineStr">
        <is>
          <t>78-P-ADN</t>
        </is>
      </c>
      <c r="AQ2674" t="n">
        <v>9</v>
      </c>
      <c r="AR2674" t="n">
        <v>64</v>
      </c>
      <c r="AS2674" t="n">
        <v>32</v>
      </c>
      <c r="AU2674">
        <f>COUNTA($BA$2674:$EH$2674)</f>
        <v/>
      </c>
      <c r="AV2674">
        <f>COUNTIF($BA$2674:$EH$2674,"D")</f>
        <v/>
      </c>
      <c r="AW2674">
        <f>COUNTIF($BA$2674:$EH$2674,"R")</f>
        <v/>
      </c>
      <c r="AX2674">
        <f>IF(BN2674="D",1,0)+IF(BO2674="D",1,0)+IF(BT2674="D",1,0)+IF(BU2674="D",1,0)+IF(BW2674="D",1,0)+IF(CC2674="D",1,0)+IF(CD2674="D",1,0)+IF(CE2674="D",1,0)+IF(CF2674="D",1,0)+IF(CL2674="D",1,0)+IF(CM2674="D",1,0)+IF(CQ2674="D",1,0)+IF(CR2674="D",1,0)+IF(CS2674="D",1,0)+IF(CW2674="D",1,0)+IF(CX2674="D",1,0)+IF(DD2674="D",1,0)+IF(DE2674="D",1,0)+IF(DJ2674="D",1,0)+IF(DK2674="D",1,0)+IF(DO2674="D",1,0)+IF(DP2674="D",1,0)+IF(DQ2674="D",1,0)+IF(DW2674="D",1,0)+IF(DZ2674="D",1,0)+IF(EH2674="D",1,0)</f>
        <v/>
      </c>
      <c r="AY2674">
        <f>IF(DJ2674&lt;&gt;"",1,0)+IF(DK2674&lt;&gt;"",1,0)+IF(DM2674&lt;&gt;"",1,0)+IF(DO2674&lt;&gt;"",1,0)+IF(DP2674&lt;&gt;"",1,0)+IF(DQ2674&lt;&gt;"",1,0)+IF(DS2674&lt;&gt;"",1,0)+IF(DT2674&lt;&gt;"",1,0)+IF(DV2674&lt;&gt;"",1,0)+IF(DW2674&lt;&gt;"",1,0)+IF(DX2674&lt;&gt;"",1,0)+IF(DY2674&lt;&gt;"",1,0)+IF(DZ2674&lt;&gt;"",1,0)+IF(EB2674&lt;&gt;"",1,0)+IF(EC2674&lt;&gt;"",1,0)+IF(ED2674&lt;&gt;"",1,0)+IF(EG2674&lt;&gt;"",1,0)+IF(EH2674&lt;&gt;"",1,0)</f>
        <v/>
      </c>
      <c r="AZ2674">
        <f>IF(EH2674&lt;&gt;"",1,0)</f>
        <v/>
      </c>
      <c r="BB2674" t="inlineStr">
        <is>
          <t>WARREN-WARD 4</t>
        </is>
      </c>
      <c r="BL2674" t="inlineStr">
        <is>
          <t>X</t>
        </is>
      </c>
      <c r="BP2674" t="inlineStr">
        <is>
          <t>X</t>
        </is>
      </c>
      <c r="CA2674" t="inlineStr">
        <is>
          <t>X</t>
        </is>
      </c>
      <c r="DC2674" t="inlineStr">
        <is>
          <t>X</t>
        </is>
      </c>
    </row>
    <row r="2675">
      <c r="A2675" t="inlineStr">
        <is>
          <t>OH0024011896</t>
        </is>
      </c>
      <c r="B2675" t="n">
        <v>78</v>
      </c>
      <c r="C2675" t="n">
        <v>421053</v>
      </c>
      <c r="D2675" t="inlineStr">
        <is>
          <t>BORELL</t>
        </is>
      </c>
      <c r="E2675" t="inlineStr">
        <is>
          <t>JOYCE</t>
        </is>
      </c>
      <c r="F2675">
        <f>CONCATENATE(D2675," ",LEFT(H2675,4),"T=",AU2675,"D=",AV2675,"R=",AW2675,"M=",AX2675,"L=",AY2675,"B=",AZ2675)</f>
        <v/>
      </c>
      <c r="G2675" t="inlineStr">
        <is>
          <t>A</t>
        </is>
      </c>
      <c r="I2675" t="inlineStr">
        <is>
          <t>1967-05-26</t>
        </is>
      </c>
      <c r="J2675" t="inlineStr">
        <is>
          <t>2023-05-26</t>
        </is>
      </c>
      <c r="K2675" t="inlineStr">
        <is>
          <t>ACTIVE</t>
        </is>
      </c>
      <c r="L2675" t="inlineStr">
        <is>
          <t>D</t>
        </is>
      </c>
      <c r="M2675" t="inlineStr">
        <is>
          <t>1767 BRIER ST SE</t>
        </is>
      </c>
      <c r="N2675">
        <f>RIGHT(M2675,LEN(M2675)-FIND(" ",M2675))</f>
        <v/>
      </c>
      <c r="P2675" t="inlineStr">
        <is>
          <t>WARREN</t>
        </is>
      </c>
      <c r="Q2675" t="inlineStr">
        <is>
          <t>OH</t>
        </is>
      </c>
      <c r="R2675" t="n">
        <v>44484</v>
      </c>
      <c r="AD2675" t="inlineStr">
        <is>
          <t>TRUMBULL CAREER &amp; TECH CENTER</t>
        </is>
      </c>
      <c r="AE2675" t="inlineStr">
        <is>
          <t>WARREN CITY</t>
        </is>
      </c>
      <c r="AF2675" t="inlineStr">
        <is>
          <t>WARREN CITY SD</t>
        </is>
      </c>
      <c r="AH2675" t="n">
        <v>14</v>
      </c>
      <c r="AI2675" t="n">
        <v>11</v>
      </c>
      <c r="AN2675" t="inlineStr">
        <is>
          <t>WARREN</t>
        </is>
      </c>
      <c r="AO2675" t="inlineStr">
        <is>
          <t>WARREN CITY 4F</t>
        </is>
      </c>
      <c r="AP2675" t="inlineStr">
        <is>
          <t>78-P-ADN</t>
        </is>
      </c>
      <c r="AQ2675" t="n">
        <v>9</v>
      </c>
      <c r="AR2675" t="n">
        <v>64</v>
      </c>
      <c r="AS2675" t="n">
        <v>32</v>
      </c>
      <c r="AU2675">
        <f>COUNTA($BA$2675:$EH$2675)</f>
        <v/>
      </c>
      <c r="AV2675">
        <f>COUNTIF($BA$2675:$EH$2675,"D")</f>
        <v/>
      </c>
      <c r="AW2675">
        <f>COUNTIF($BA$2675:$EH$2675,"R")</f>
        <v/>
      </c>
      <c r="AX2675">
        <f>IF(BN2675="D",1,0)+IF(BO2675="D",1,0)+IF(BT2675="D",1,0)+IF(BU2675="D",1,0)+IF(BW2675="D",1,0)+IF(CC2675="D",1,0)+IF(CD2675="D",1,0)+IF(CE2675="D",1,0)+IF(CF2675="D",1,0)+IF(CL2675="D",1,0)+IF(CM2675="D",1,0)+IF(CQ2675="D",1,0)+IF(CR2675="D",1,0)+IF(CS2675="D",1,0)+IF(CW2675="D",1,0)+IF(CX2675="D",1,0)+IF(DD2675="D",1,0)+IF(DE2675="D",1,0)+IF(DJ2675="D",1,0)+IF(DK2675="D",1,0)+IF(DO2675="D",1,0)+IF(DP2675="D",1,0)+IF(DQ2675="D",1,0)+IF(DW2675="D",1,0)+IF(DZ2675="D",1,0)+IF(EH2675="D",1,0)</f>
        <v/>
      </c>
      <c r="AY2675">
        <f>IF(DJ2675&lt;&gt;"",1,0)+IF(DK2675&lt;&gt;"",1,0)+IF(DM2675&lt;&gt;"",1,0)+IF(DO2675&lt;&gt;"",1,0)+IF(DP2675&lt;&gt;"",1,0)+IF(DQ2675&lt;&gt;"",1,0)+IF(DS2675&lt;&gt;"",1,0)+IF(DT2675&lt;&gt;"",1,0)+IF(DV2675&lt;&gt;"",1,0)+IF(DW2675&lt;&gt;"",1,0)+IF(DX2675&lt;&gt;"",1,0)+IF(DY2675&lt;&gt;"",1,0)+IF(DZ2675&lt;&gt;"",1,0)+IF(EB2675&lt;&gt;"",1,0)+IF(EC2675&lt;&gt;"",1,0)+IF(ED2675&lt;&gt;"",1,0)+IF(EG2675&lt;&gt;"",1,0)+IF(EH2675&lt;&gt;"",1,0)</f>
        <v/>
      </c>
      <c r="AZ2675">
        <f>IF(EH2675&lt;&gt;"",1,0)</f>
        <v/>
      </c>
      <c r="BB2675" t="inlineStr">
        <is>
          <t>WARREN-WARD 4</t>
        </is>
      </c>
      <c r="DL2675" t="inlineStr">
        <is>
          <t>X</t>
        </is>
      </c>
      <c r="DN2675" t="inlineStr">
        <is>
          <t>X</t>
        </is>
      </c>
      <c r="DU2675" t="inlineStr">
        <is>
          <t>X</t>
        </is>
      </c>
      <c r="DW2675" t="inlineStr">
        <is>
          <t>D</t>
        </is>
      </c>
      <c r="DX2675" t="inlineStr">
        <is>
          <t>X</t>
        </is>
      </c>
      <c r="EF2675" t="inlineStr">
        <is>
          <t>X</t>
        </is>
      </c>
    </row>
    <row r="2676">
      <c r="A2676" t="inlineStr">
        <is>
          <t>OH0015684685</t>
        </is>
      </c>
      <c r="B2676" t="n">
        <v>78</v>
      </c>
      <c r="C2676" t="n">
        <v>120627</v>
      </c>
      <c r="D2676" t="inlineStr">
        <is>
          <t>DAWSON</t>
        </is>
      </c>
      <c r="E2676" t="inlineStr">
        <is>
          <t>DELORES</t>
        </is>
      </c>
      <c r="F2676">
        <f>CONCATENATE(D2676," ",LEFT(H2676,4),"T=",AU2676,"D=",AV2676,"R=",AW2676,"M=",AX2676,"L=",AY2676,"B=",AZ2676)</f>
        <v/>
      </c>
      <c r="I2676" t="inlineStr">
        <is>
          <t>1941-01-01</t>
        </is>
      </c>
      <c r="J2676" t="inlineStr">
        <is>
          <t>2018-11-28</t>
        </is>
      </c>
      <c r="K2676" t="inlineStr">
        <is>
          <t>ACTIVE</t>
        </is>
      </c>
      <c r="L2676" t="inlineStr">
        <is>
          <t>D</t>
        </is>
      </c>
      <c r="M2676" t="inlineStr">
        <is>
          <t>1905 WALLACE ST SE</t>
        </is>
      </c>
      <c r="N2676">
        <f>RIGHT(M2676,LEN(M2676)-FIND(" ",M2676))</f>
        <v/>
      </c>
      <c r="P2676" t="inlineStr">
        <is>
          <t>WARREN</t>
        </is>
      </c>
      <c r="Q2676" t="inlineStr">
        <is>
          <t>OH</t>
        </is>
      </c>
      <c r="R2676" t="n">
        <v>44484</v>
      </c>
      <c r="AD2676" t="inlineStr">
        <is>
          <t>TRUMBULL CAREER &amp; TECH CENTER</t>
        </is>
      </c>
      <c r="AE2676" t="inlineStr">
        <is>
          <t>WARREN CITY</t>
        </is>
      </c>
      <c r="AF2676" t="inlineStr">
        <is>
          <t>WARREN CITY SD</t>
        </is>
      </c>
      <c r="AH2676" t="n">
        <v>14</v>
      </c>
      <c r="AI2676" t="n">
        <v>11</v>
      </c>
      <c r="AN2676" t="inlineStr">
        <is>
          <t>WARREN</t>
        </is>
      </c>
      <c r="AO2676" t="inlineStr">
        <is>
          <t>WARREN CITY 4F</t>
        </is>
      </c>
      <c r="AP2676" t="inlineStr">
        <is>
          <t>78-P-ADN</t>
        </is>
      </c>
      <c r="AQ2676" t="n">
        <v>9</v>
      </c>
      <c r="AR2676" t="n">
        <v>64</v>
      </c>
      <c r="AS2676" t="n">
        <v>32</v>
      </c>
      <c r="AU2676">
        <f>COUNTA($BA$2676:$EH$2676)</f>
        <v/>
      </c>
      <c r="AV2676">
        <f>COUNTIF($BA$2676:$EH$2676,"D")</f>
        <v/>
      </c>
      <c r="AW2676">
        <f>COUNTIF($BA$2676:$EH$2676,"R")</f>
        <v/>
      </c>
      <c r="AX2676">
        <f>IF(BN2676="D",1,0)+IF(BO2676="D",1,0)+IF(BT2676="D",1,0)+IF(BU2676="D",1,0)+IF(BW2676="D",1,0)+IF(CC2676="D",1,0)+IF(CD2676="D",1,0)+IF(CE2676="D",1,0)+IF(CF2676="D",1,0)+IF(CL2676="D",1,0)+IF(CM2676="D",1,0)+IF(CQ2676="D",1,0)+IF(CR2676="D",1,0)+IF(CS2676="D",1,0)+IF(CW2676="D",1,0)+IF(CX2676="D",1,0)+IF(DD2676="D",1,0)+IF(DE2676="D",1,0)+IF(DJ2676="D",1,0)+IF(DK2676="D",1,0)+IF(DO2676="D",1,0)+IF(DP2676="D",1,0)+IF(DQ2676="D",1,0)+IF(DW2676="D",1,0)+IF(DZ2676="D",1,0)+IF(EH2676="D",1,0)</f>
        <v/>
      </c>
      <c r="AY2676">
        <f>IF(DJ2676&lt;&gt;"",1,0)+IF(DK2676&lt;&gt;"",1,0)+IF(DM2676&lt;&gt;"",1,0)+IF(DO2676&lt;&gt;"",1,0)+IF(DP2676&lt;&gt;"",1,0)+IF(DQ2676&lt;&gt;"",1,0)+IF(DS2676&lt;&gt;"",1,0)+IF(DT2676&lt;&gt;"",1,0)+IF(DV2676&lt;&gt;"",1,0)+IF(DW2676&lt;&gt;"",1,0)+IF(DX2676&lt;&gt;"",1,0)+IF(DY2676&lt;&gt;"",1,0)+IF(DZ2676&lt;&gt;"",1,0)+IF(EB2676&lt;&gt;"",1,0)+IF(EC2676&lt;&gt;"",1,0)+IF(ED2676&lt;&gt;"",1,0)+IF(EG2676&lt;&gt;"",1,0)+IF(EH2676&lt;&gt;"",1,0)</f>
        <v/>
      </c>
      <c r="AZ2676">
        <f>IF(EH2676&lt;&gt;"",1,0)</f>
        <v/>
      </c>
      <c r="BB2676" t="inlineStr">
        <is>
          <t>WARREN-WARD 4</t>
        </is>
      </c>
      <c r="BC2676" t="inlineStr">
        <is>
          <t>X</t>
        </is>
      </c>
      <c r="BF2676" t="inlineStr">
        <is>
          <t>X</t>
        </is>
      </c>
      <c r="BG2676" t="inlineStr">
        <is>
          <t>X</t>
        </is>
      </c>
      <c r="BH2676" t="inlineStr">
        <is>
          <t>X</t>
        </is>
      </c>
      <c r="BI2676" t="inlineStr">
        <is>
          <t>X</t>
        </is>
      </c>
      <c r="BJ2676" t="inlineStr">
        <is>
          <t>X</t>
        </is>
      </c>
      <c r="BK2676" t="inlineStr">
        <is>
          <t>X</t>
        </is>
      </c>
      <c r="BL2676" t="inlineStr">
        <is>
          <t>X</t>
        </is>
      </c>
      <c r="BP2676" t="inlineStr">
        <is>
          <t>X</t>
        </is>
      </c>
      <c r="BR2676" t="inlineStr">
        <is>
          <t>X</t>
        </is>
      </c>
      <c r="BS2676" t="inlineStr">
        <is>
          <t>X</t>
        </is>
      </c>
      <c r="BV2676" t="inlineStr">
        <is>
          <t>X</t>
        </is>
      </c>
      <c r="BY2676" t="inlineStr">
        <is>
          <t>D</t>
        </is>
      </c>
      <c r="CA2676" t="inlineStr">
        <is>
          <t>X</t>
        </is>
      </c>
      <c r="CG2676" t="inlineStr">
        <is>
          <t>X</t>
        </is>
      </c>
      <c r="CH2676" t="inlineStr">
        <is>
          <t>D</t>
        </is>
      </c>
      <c r="CK2676" t="inlineStr">
        <is>
          <t>X</t>
        </is>
      </c>
      <c r="CN2676" t="inlineStr">
        <is>
          <t>X</t>
        </is>
      </c>
      <c r="CO2676" t="inlineStr">
        <is>
          <t>D</t>
        </is>
      </c>
      <c r="CP2676" t="inlineStr">
        <is>
          <t>X</t>
        </is>
      </c>
      <c r="CT2676" t="inlineStr">
        <is>
          <t>X</t>
        </is>
      </c>
      <c r="CU2676" t="inlineStr">
        <is>
          <t>D</t>
        </is>
      </c>
      <c r="CV2676" t="inlineStr">
        <is>
          <t>X</t>
        </is>
      </c>
      <c r="CY2676" t="inlineStr">
        <is>
          <t>X</t>
        </is>
      </c>
      <c r="CZ2676" t="inlineStr">
        <is>
          <t>D</t>
        </is>
      </c>
      <c r="DC2676" t="inlineStr">
        <is>
          <t>X</t>
        </is>
      </c>
      <c r="DF2676" t="inlineStr">
        <is>
          <t>X</t>
        </is>
      </c>
      <c r="DG2676" t="inlineStr">
        <is>
          <t>D</t>
        </is>
      </c>
      <c r="DI2676" t="inlineStr">
        <is>
          <t>X</t>
        </is>
      </c>
      <c r="DJ2676" t="inlineStr">
        <is>
          <t>D</t>
        </is>
      </c>
      <c r="DL2676" t="inlineStr">
        <is>
          <t>X</t>
        </is>
      </c>
      <c r="DM2676" t="inlineStr">
        <is>
          <t>D</t>
        </is>
      </c>
      <c r="DN2676" t="inlineStr">
        <is>
          <t>X</t>
        </is>
      </c>
      <c r="DR2676" t="inlineStr">
        <is>
          <t>X</t>
        </is>
      </c>
      <c r="DS2676" t="inlineStr">
        <is>
          <t>D</t>
        </is>
      </c>
      <c r="DT2676" t="inlineStr">
        <is>
          <t>D</t>
        </is>
      </c>
      <c r="DU2676" t="inlineStr">
        <is>
          <t>X</t>
        </is>
      </c>
      <c r="DW2676" t="inlineStr">
        <is>
          <t>D</t>
        </is>
      </c>
      <c r="DX2676" t="inlineStr">
        <is>
          <t>X</t>
        </is>
      </c>
      <c r="EA2676" t="inlineStr">
        <is>
          <t>X</t>
        </is>
      </c>
      <c r="ED2676" t="inlineStr">
        <is>
          <t>D</t>
        </is>
      </c>
      <c r="EF2676" t="inlineStr">
        <is>
          <t>X</t>
        </is>
      </c>
      <c r="EH2676" t="inlineStr">
        <is>
          <t>D</t>
        </is>
      </c>
    </row>
    <row r="2677">
      <c r="A2677" t="inlineStr">
        <is>
          <t>OH0015704418</t>
        </is>
      </c>
      <c r="B2677" t="n">
        <v>78</v>
      </c>
      <c r="C2677" t="n">
        <v>324721</v>
      </c>
      <c r="D2677" t="inlineStr">
        <is>
          <t>JULIAN</t>
        </is>
      </c>
      <c r="E2677" t="inlineStr">
        <is>
          <t>SANDRA</t>
        </is>
      </c>
      <c r="F2677">
        <f>CONCATENATE(D2677," ",LEFT(H2677,4),"T=",AU2677,"D=",AV2677,"R=",AW2677,"M=",AX2677,"L=",AY2677,"B=",AZ2677)</f>
        <v/>
      </c>
      <c r="G2677" t="inlineStr">
        <is>
          <t>L</t>
        </is>
      </c>
      <c r="I2677" t="inlineStr">
        <is>
          <t>1970-04-01</t>
        </is>
      </c>
      <c r="J2677" t="inlineStr">
        <is>
          <t>2021-12-22</t>
        </is>
      </c>
      <c r="K2677" t="inlineStr">
        <is>
          <t>ACTIVE</t>
        </is>
      </c>
      <c r="M2677" t="inlineStr">
        <is>
          <t>2026 DRAPER AVE SE</t>
        </is>
      </c>
      <c r="N2677">
        <f>RIGHT(M2677,LEN(M2677)-FIND(" ",M2677))</f>
        <v/>
      </c>
      <c r="P2677" t="inlineStr">
        <is>
          <t>WARREN</t>
        </is>
      </c>
      <c r="Q2677" t="inlineStr">
        <is>
          <t>OH</t>
        </is>
      </c>
      <c r="R2677" t="n">
        <v>44484</v>
      </c>
      <c r="AD2677" t="inlineStr">
        <is>
          <t>TRUMBULL CAREER &amp; TECH CENTER</t>
        </is>
      </c>
      <c r="AE2677" t="inlineStr">
        <is>
          <t>WARREN CITY</t>
        </is>
      </c>
      <c r="AF2677" t="inlineStr">
        <is>
          <t>WARREN CITY SD</t>
        </is>
      </c>
      <c r="AH2677" t="n">
        <v>14</v>
      </c>
      <c r="AI2677" t="n">
        <v>11</v>
      </c>
      <c r="AN2677" t="inlineStr">
        <is>
          <t>WARREN</t>
        </is>
      </c>
      <c r="AO2677" t="inlineStr">
        <is>
          <t>WARREN CITY 4F</t>
        </is>
      </c>
      <c r="AP2677" t="inlineStr">
        <is>
          <t>78-P-ADN</t>
        </is>
      </c>
      <c r="AQ2677" t="n">
        <v>9</v>
      </c>
      <c r="AR2677" t="n">
        <v>64</v>
      </c>
      <c r="AS2677" t="n">
        <v>32</v>
      </c>
      <c r="AU2677">
        <f>COUNTA($BA$2677:$EH$2677)</f>
        <v/>
      </c>
      <c r="AV2677">
        <f>COUNTIF($BA$2677:$EH$2677,"D")</f>
        <v/>
      </c>
      <c r="AW2677">
        <f>COUNTIF($BA$2677:$EH$2677,"R")</f>
        <v/>
      </c>
      <c r="AX2677">
        <f>IF(BN2677="D",1,0)+IF(BO2677="D",1,0)+IF(BT2677="D",1,0)+IF(BU2677="D",1,0)+IF(BW2677="D",1,0)+IF(CC2677="D",1,0)+IF(CD2677="D",1,0)+IF(CE2677="D",1,0)+IF(CF2677="D",1,0)+IF(CL2677="D",1,0)+IF(CM2677="D",1,0)+IF(CQ2677="D",1,0)+IF(CR2677="D",1,0)+IF(CS2677="D",1,0)+IF(CW2677="D",1,0)+IF(CX2677="D",1,0)+IF(DD2677="D",1,0)+IF(DE2677="D",1,0)+IF(DJ2677="D",1,0)+IF(DK2677="D",1,0)+IF(DO2677="D",1,0)+IF(DP2677="D",1,0)+IF(DQ2677="D",1,0)+IF(DW2677="D",1,0)+IF(DZ2677="D",1,0)+IF(EH2677="D",1,0)</f>
        <v/>
      </c>
      <c r="AY2677">
        <f>IF(DJ2677&lt;&gt;"",1,0)+IF(DK2677&lt;&gt;"",1,0)+IF(DM2677&lt;&gt;"",1,0)+IF(DO2677&lt;&gt;"",1,0)+IF(DP2677&lt;&gt;"",1,0)+IF(DQ2677&lt;&gt;"",1,0)+IF(DS2677&lt;&gt;"",1,0)+IF(DT2677&lt;&gt;"",1,0)+IF(DV2677&lt;&gt;"",1,0)+IF(DW2677&lt;&gt;"",1,0)+IF(DX2677&lt;&gt;"",1,0)+IF(DY2677&lt;&gt;"",1,0)+IF(DZ2677&lt;&gt;"",1,0)+IF(EB2677&lt;&gt;"",1,0)+IF(EC2677&lt;&gt;"",1,0)+IF(ED2677&lt;&gt;"",1,0)+IF(EG2677&lt;&gt;"",1,0)+IF(EH2677&lt;&gt;"",1,0)</f>
        <v/>
      </c>
      <c r="AZ2677">
        <f>IF(EH2677&lt;&gt;"",1,0)</f>
        <v/>
      </c>
      <c r="BB2677" t="inlineStr">
        <is>
          <t>WARREN-WARD 4</t>
        </is>
      </c>
      <c r="BL2677" t="inlineStr">
        <is>
          <t>X</t>
        </is>
      </c>
      <c r="CP2677" t="inlineStr">
        <is>
          <t>X</t>
        </is>
      </c>
      <c r="DN2677" t="inlineStr">
        <is>
          <t>X</t>
        </is>
      </c>
      <c r="EF2677" t="inlineStr">
        <is>
          <t>X</t>
        </is>
      </c>
    </row>
    <row r="2678">
      <c r="A2678" t="inlineStr">
        <is>
          <t>OH0019298523</t>
        </is>
      </c>
      <c r="B2678" t="n">
        <v>78</v>
      </c>
      <c r="C2678" t="n">
        <v>352481</v>
      </c>
      <c r="D2678" t="inlineStr">
        <is>
          <t>STARKEY</t>
        </is>
      </c>
      <c r="E2678" t="inlineStr">
        <is>
          <t>ELIZABETH</t>
        </is>
      </c>
      <c r="F2678">
        <f>CONCATENATE(D2678," ",LEFT(H2678,4),"T=",AU2678,"D=",AV2678,"R=",AW2678,"M=",AX2678,"L=",AY2678,"B=",AZ2678)</f>
        <v/>
      </c>
      <c r="G2678" t="inlineStr">
        <is>
          <t>J</t>
        </is>
      </c>
      <c r="I2678" t="inlineStr">
        <is>
          <t>1989-10-29</t>
        </is>
      </c>
      <c r="J2678" t="inlineStr">
        <is>
          <t>2021-12-15</t>
        </is>
      </c>
      <c r="K2678" t="inlineStr">
        <is>
          <t>CONFIRMATION</t>
        </is>
      </c>
      <c r="M2678" t="inlineStr">
        <is>
          <t>1227 NILES RD SE</t>
        </is>
      </c>
      <c r="N2678">
        <f>RIGHT(M2678,LEN(M2678)-FIND(" ",M2678))</f>
        <v/>
      </c>
      <c r="P2678" t="inlineStr">
        <is>
          <t>WARREN</t>
        </is>
      </c>
      <c r="Q2678" t="inlineStr">
        <is>
          <t>OH</t>
        </is>
      </c>
      <c r="R2678" t="n">
        <v>44484</v>
      </c>
      <c r="AD2678" t="inlineStr">
        <is>
          <t>TRUMBULL CAREER &amp; TECH CENTER</t>
        </is>
      </c>
      <c r="AE2678" t="inlineStr">
        <is>
          <t>WARREN CITY</t>
        </is>
      </c>
      <c r="AF2678" t="inlineStr">
        <is>
          <t>WARREN CITY SD</t>
        </is>
      </c>
      <c r="AH2678" t="n">
        <v>14</v>
      </c>
      <c r="AI2678" t="n">
        <v>11</v>
      </c>
      <c r="AN2678" t="inlineStr">
        <is>
          <t>WARREN</t>
        </is>
      </c>
      <c r="AO2678" t="inlineStr">
        <is>
          <t>WARREN CITY 4F</t>
        </is>
      </c>
      <c r="AP2678" t="inlineStr">
        <is>
          <t>78-P-ADN</t>
        </is>
      </c>
      <c r="AQ2678" t="n">
        <v>9</v>
      </c>
      <c r="AR2678" t="n">
        <v>64</v>
      </c>
      <c r="AS2678" t="n">
        <v>32</v>
      </c>
      <c r="AU2678">
        <f>COUNTA($BA$2678:$EH$2678)</f>
        <v/>
      </c>
      <c r="AV2678">
        <f>COUNTIF($BA$2678:$EH$2678,"D")</f>
        <v/>
      </c>
      <c r="AW2678">
        <f>COUNTIF($BA$2678:$EH$2678,"R")</f>
        <v/>
      </c>
      <c r="AX2678">
        <f>IF(BN2678="D",1,0)+IF(BO2678="D",1,0)+IF(BT2678="D",1,0)+IF(BU2678="D",1,0)+IF(BW2678="D",1,0)+IF(CC2678="D",1,0)+IF(CD2678="D",1,0)+IF(CE2678="D",1,0)+IF(CF2678="D",1,0)+IF(CL2678="D",1,0)+IF(CM2678="D",1,0)+IF(CQ2678="D",1,0)+IF(CR2678="D",1,0)+IF(CS2678="D",1,0)+IF(CW2678="D",1,0)+IF(CX2678="D",1,0)+IF(DD2678="D",1,0)+IF(DE2678="D",1,0)+IF(DJ2678="D",1,0)+IF(DK2678="D",1,0)+IF(DO2678="D",1,0)+IF(DP2678="D",1,0)+IF(DQ2678="D",1,0)+IF(DW2678="D",1,0)+IF(DZ2678="D",1,0)+IF(EH2678="D",1,0)</f>
        <v/>
      </c>
      <c r="AY2678">
        <f>IF(DJ2678&lt;&gt;"",1,0)+IF(DK2678&lt;&gt;"",1,0)+IF(DM2678&lt;&gt;"",1,0)+IF(DO2678&lt;&gt;"",1,0)+IF(DP2678&lt;&gt;"",1,0)+IF(DQ2678&lt;&gt;"",1,0)+IF(DS2678&lt;&gt;"",1,0)+IF(DT2678&lt;&gt;"",1,0)+IF(DV2678&lt;&gt;"",1,0)+IF(DW2678&lt;&gt;"",1,0)+IF(DX2678&lt;&gt;"",1,0)+IF(DY2678&lt;&gt;"",1,0)+IF(DZ2678&lt;&gt;"",1,0)+IF(EB2678&lt;&gt;"",1,0)+IF(EC2678&lt;&gt;"",1,0)+IF(ED2678&lt;&gt;"",1,0)+IF(EG2678&lt;&gt;"",1,0)+IF(EH2678&lt;&gt;"",1,0)</f>
        <v/>
      </c>
      <c r="AZ2678">
        <f>IF(EH2678&lt;&gt;"",1,0)</f>
        <v/>
      </c>
      <c r="BB2678" t="inlineStr">
        <is>
          <t>WARREN-WARD 4</t>
        </is>
      </c>
      <c r="BY2678" t="inlineStr">
        <is>
          <t>R</t>
        </is>
      </c>
      <c r="CA2678" t="inlineStr">
        <is>
          <t>X</t>
        </is>
      </c>
      <c r="CP2678" t="inlineStr">
        <is>
          <t>X</t>
        </is>
      </c>
    </row>
    <row r="2679">
      <c r="A2679" t="inlineStr">
        <is>
          <t>OH0023668568</t>
        </is>
      </c>
      <c r="B2679" t="n">
        <v>78</v>
      </c>
      <c r="C2679" t="n">
        <v>416514</v>
      </c>
      <c r="D2679" t="inlineStr">
        <is>
          <t>WALTON</t>
        </is>
      </c>
      <c r="E2679" t="inlineStr">
        <is>
          <t>CATHIE</t>
        </is>
      </c>
      <c r="F2679">
        <f>CONCATENATE(D2679," ",LEFT(H2679,4),"T=",AU2679,"D=",AV2679,"R=",AW2679,"M=",AX2679,"L=",AY2679,"B=",AZ2679)</f>
        <v/>
      </c>
      <c r="G2679" t="inlineStr">
        <is>
          <t>S</t>
        </is>
      </c>
      <c r="I2679" t="inlineStr">
        <is>
          <t>1964-10-27</t>
        </is>
      </c>
      <c r="J2679" t="inlineStr">
        <is>
          <t>2016-04-22</t>
        </is>
      </c>
      <c r="K2679" t="inlineStr">
        <is>
          <t>CONFIRMATION</t>
        </is>
      </c>
      <c r="M2679" t="inlineStr">
        <is>
          <t>471 S PARK AVE</t>
        </is>
      </c>
      <c r="N2679">
        <f>RIGHT(M2679,LEN(M2679)-FIND(" ",M2679))</f>
        <v/>
      </c>
      <c r="O2679" t="inlineStr">
        <is>
          <t>APT A</t>
        </is>
      </c>
      <c r="P2679" t="inlineStr">
        <is>
          <t>WARREN</t>
        </is>
      </c>
      <c r="Q2679" t="inlineStr">
        <is>
          <t>OH</t>
        </is>
      </c>
      <c r="R2679" t="n">
        <v>44483</v>
      </c>
      <c r="AD2679" t="inlineStr">
        <is>
          <t>TRUMBULL CAREER &amp; TECH CENTER</t>
        </is>
      </c>
      <c r="AE2679" t="inlineStr">
        <is>
          <t>WARREN CITY</t>
        </is>
      </c>
      <c r="AF2679" t="inlineStr">
        <is>
          <t>WARREN CITY SD</t>
        </is>
      </c>
      <c r="AH2679" t="n">
        <v>14</v>
      </c>
      <c r="AI2679" t="n">
        <v>11</v>
      </c>
      <c r="AN2679" t="inlineStr">
        <is>
          <t>WARREN</t>
        </is>
      </c>
      <c r="AO2679" t="inlineStr">
        <is>
          <t>WARREN CITY 4F</t>
        </is>
      </c>
      <c r="AP2679" t="inlineStr">
        <is>
          <t>78-P-ADN</t>
        </is>
      </c>
      <c r="AQ2679" t="n">
        <v>9</v>
      </c>
      <c r="AR2679" t="n">
        <v>64</v>
      </c>
      <c r="AS2679" t="n">
        <v>32</v>
      </c>
      <c r="AU2679">
        <f>COUNTA($BA$2679:$EH$2679)</f>
        <v/>
      </c>
      <c r="AV2679">
        <f>COUNTIF($BA$2679:$EH$2679,"D")</f>
        <v/>
      </c>
      <c r="AW2679">
        <f>COUNTIF($BA$2679:$EH$2679,"R")</f>
        <v/>
      </c>
      <c r="AX2679">
        <f>IF(BN2679="D",1,0)+IF(BO2679="D",1,0)+IF(BT2679="D",1,0)+IF(BU2679="D",1,0)+IF(BW2679="D",1,0)+IF(CC2679="D",1,0)+IF(CD2679="D",1,0)+IF(CE2679="D",1,0)+IF(CF2679="D",1,0)+IF(CL2679="D",1,0)+IF(CM2679="D",1,0)+IF(CQ2679="D",1,0)+IF(CR2679="D",1,0)+IF(CS2679="D",1,0)+IF(CW2679="D",1,0)+IF(CX2679="D",1,0)+IF(DD2679="D",1,0)+IF(DE2679="D",1,0)+IF(DJ2679="D",1,0)+IF(DK2679="D",1,0)+IF(DO2679="D",1,0)+IF(DP2679="D",1,0)+IF(DQ2679="D",1,0)+IF(DW2679="D",1,0)+IF(DZ2679="D",1,0)+IF(EH2679="D",1,0)</f>
        <v/>
      </c>
      <c r="AY2679">
        <f>IF(DJ2679&lt;&gt;"",1,0)+IF(DK2679&lt;&gt;"",1,0)+IF(DM2679&lt;&gt;"",1,0)+IF(DO2679&lt;&gt;"",1,0)+IF(DP2679&lt;&gt;"",1,0)+IF(DQ2679&lt;&gt;"",1,0)+IF(DS2679&lt;&gt;"",1,0)+IF(DT2679&lt;&gt;"",1,0)+IF(DV2679&lt;&gt;"",1,0)+IF(DW2679&lt;&gt;"",1,0)+IF(DX2679&lt;&gt;"",1,0)+IF(DY2679&lt;&gt;"",1,0)+IF(DZ2679&lt;&gt;"",1,0)+IF(EB2679&lt;&gt;"",1,0)+IF(EC2679&lt;&gt;"",1,0)+IF(ED2679&lt;&gt;"",1,0)+IF(EG2679&lt;&gt;"",1,0)+IF(EH2679&lt;&gt;"",1,0)</f>
        <v/>
      </c>
      <c r="AZ2679">
        <f>IF(EH2679&lt;&gt;"",1,0)</f>
        <v/>
      </c>
      <c r="BB2679" t="inlineStr">
        <is>
          <t>WARREN-WARD 4</t>
        </is>
      </c>
    </row>
    <row r="2680">
      <c r="A2680" t="inlineStr">
        <is>
          <t>OH0025459285</t>
        </is>
      </c>
      <c r="B2680" t="n">
        <v>78</v>
      </c>
      <c r="C2680" t="n">
        <v>445053</v>
      </c>
      <c r="D2680" t="inlineStr">
        <is>
          <t>GALYON</t>
        </is>
      </c>
      <c r="E2680" t="inlineStr">
        <is>
          <t>ERIC</t>
        </is>
      </c>
      <c r="F2680">
        <f>CONCATENATE(D2680," ",LEFT(H2680,4),"T=",AU2680,"D=",AV2680,"R=",AW2680,"M=",AX2680,"L=",AY2680,"B=",AZ2680)</f>
        <v/>
      </c>
      <c r="G2680" t="inlineStr">
        <is>
          <t>J</t>
        </is>
      </c>
      <c r="I2680" t="inlineStr">
        <is>
          <t>1967-08-19</t>
        </is>
      </c>
      <c r="J2680" t="inlineStr">
        <is>
          <t>2025-01-21</t>
        </is>
      </c>
      <c r="K2680" t="inlineStr">
        <is>
          <t>ACTIVE</t>
        </is>
      </c>
      <c r="M2680" t="inlineStr">
        <is>
          <t>1030 KENILWORTH AVE SE</t>
        </is>
      </c>
      <c r="N2680">
        <f>RIGHT(M2680,LEN(M2680)-FIND(" ",M2680))</f>
        <v/>
      </c>
      <c r="P2680" t="inlineStr">
        <is>
          <t>WARREN</t>
        </is>
      </c>
      <c r="Q2680" t="inlineStr">
        <is>
          <t>OH</t>
        </is>
      </c>
      <c r="R2680" t="n">
        <v>44484</v>
      </c>
      <c r="AD2680" t="inlineStr">
        <is>
          <t>TRUMBULL CAREER &amp; TECH CENTER</t>
        </is>
      </c>
      <c r="AE2680" t="inlineStr">
        <is>
          <t>WARREN CITY</t>
        </is>
      </c>
      <c r="AF2680" t="inlineStr">
        <is>
          <t>WARREN CITY SD</t>
        </is>
      </c>
      <c r="AH2680" t="n">
        <v>14</v>
      </c>
      <c r="AI2680" t="n">
        <v>11</v>
      </c>
      <c r="AN2680" t="inlineStr">
        <is>
          <t>WARREN</t>
        </is>
      </c>
      <c r="AO2680" t="inlineStr">
        <is>
          <t>WARREN CITY 4F</t>
        </is>
      </c>
      <c r="AP2680" t="inlineStr">
        <is>
          <t>78-P-ADN</t>
        </is>
      </c>
      <c r="AQ2680" t="n">
        <v>9</v>
      </c>
      <c r="AR2680" t="n">
        <v>64</v>
      </c>
      <c r="AS2680" t="n">
        <v>32</v>
      </c>
      <c r="AU2680">
        <f>COUNTA($BA$2680:$EH$2680)</f>
        <v/>
      </c>
      <c r="AV2680">
        <f>COUNTIF($BA$2680:$EH$2680,"D")</f>
        <v/>
      </c>
      <c r="AW2680">
        <f>COUNTIF($BA$2680:$EH$2680,"R")</f>
        <v/>
      </c>
      <c r="AX2680">
        <f>IF(BN2680="D",1,0)+IF(BO2680="D",1,0)+IF(BT2680="D",1,0)+IF(BU2680="D",1,0)+IF(BW2680="D",1,0)+IF(CC2680="D",1,0)+IF(CD2680="D",1,0)+IF(CE2680="D",1,0)+IF(CF2680="D",1,0)+IF(CL2680="D",1,0)+IF(CM2680="D",1,0)+IF(CQ2680="D",1,0)+IF(CR2680="D",1,0)+IF(CS2680="D",1,0)+IF(CW2680="D",1,0)+IF(CX2680="D",1,0)+IF(DD2680="D",1,0)+IF(DE2680="D",1,0)+IF(DJ2680="D",1,0)+IF(DK2680="D",1,0)+IF(DO2680="D",1,0)+IF(DP2680="D",1,0)+IF(DQ2680="D",1,0)+IF(DW2680="D",1,0)+IF(DZ2680="D",1,0)+IF(EH2680="D",1,0)</f>
        <v/>
      </c>
      <c r="AY2680">
        <f>IF(DJ2680&lt;&gt;"",1,0)+IF(DK2680&lt;&gt;"",1,0)+IF(DM2680&lt;&gt;"",1,0)+IF(DO2680&lt;&gt;"",1,0)+IF(DP2680&lt;&gt;"",1,0)+IF(DQ2680&lt;&gt;"",1,0)+IF(DS2680&lt;&gt;"",1,0)+IF(DT2680&lt;&gt;"",1,0)+IF(DV2680&lt;&gt;"",1,0)+IF(DW2680&lt;&gt;"",1,0)+IF(DX2680&lt;&gt;"",1,0)+IF(DY2680&lt;&gt;"",1,0)+IF(DZ2680&lt;&gt;"",1,0)+IF(EB2680&lt;&gt;"",1,0)+IF(EC2680&lt;&gt;"",1,0)+IF(ED2680&lt;&gt;"",1,0)+IF(EG2680&lt;&gt;"",1,0)+IF(EH2680&lt;&gt;"",1,0)</f>
        <v/>
      </c>
      <c r="AZ2680">
        <f>IF(EH2680&lt;&gt;"",1,0)</f>
        <v/>
      </c>
      <c r="BB2680" t="inlineStr">
        <is>
          <t>WARREN-WARD 4</t>
        </is>
      </c>
      <c r="CA2680" t="inlineStr">
        <is>
          <t>X</t>
        </is>
      </c>
      <c r="CP2680" t="inlineStr">
        <is>
          <t>X</t>
        </is>
      </c>
      <c r="DC2680" t="inlineStr">
        <is>
          <t>X</t>
        </is>
      </c>
      <c r="DN2680" t="inlineStr">
        <is>
          <t>X</t>
        </is>
      </c>
      <c r="EF2680" t="inlineStr">
        <is>
          <t>X</t>
        </is>
      </c>
    </row>
    <row r="2681">
      <c r="A2681" t="inlineStr">
        <is>
          <t>OH0024194647</t>
        </is>
      </c>
      <c r="B2681" t="n">
        <v>78</v>
      </c>
      <c r="C2681" t="n">
        <v>423722</v>
      </c>
      <c r="D2681" t="inlineStr">
        <is>
          <t>WILLIAMS</t>
        </is>
      </c>
      <c r="E2681" t="inlineStr">
        <is>
          <t>MIRANDA</t>
        </is>
      </c>
      <c r="F2681">
        <f>CONCATENATE(D2681," ",LEFT(H2681,4),"T=",AU2681,"D=",AV2681,"R=",AW2681,"M=",AX2681,"L=",AY2681,"B=",AZ2681)</f>
        <v/>
      </c>
      <c r="G2681" t="inlineStr">
        <is>
          <t>LYNN</t>
        </is>
      </c>
      <c r="I2681" t="inlineStr">
        <is>
          <t>1993-08-25</t>
        </is>
      </c>
      <c r="J2681" t="inlineStr">
        <is>
          <t>2024-09-21</t>
        </is>
      </c>
      <c r="K2681" t="inlineStr">
        <is>
          <t>ACTIVE</t>
        </is>
      </c>
      <c r="M2681" t="inlineStr">
        <is>
          <t>1954 DRAPER AVE SE</t>
        </is>
      </c>
      <c r="N2681">
        <f>RIGHT(M2681,LEN(M2681)-FIND(" ",M2681))</f>
        <v/>
      </c>
      <c r="P2681" t="inlineStr">
        <is>
          <t>WARREN</t>
        </is>
      </c>
      <c r="Q2681" t="inlineStr">
        <is>
          <t>OH</t>
        </is>
      </c>
      <c r="R2681" t="n">
        <v>44484</v>
      </c>
      <c r="AD2681" t="inlineStr">
        <is>
          <t>TRUMBULL CAREER &amp; TECH CENTER</t>
        </is>
      </c>
      <c r="AE2681" t="inlineStr">
        <is>
          <t>WARREN CITY</t>
        </is>
      </c>
      <c r="AF2681" t="inlineStr">
        <is>
          <t>WARREN CITY SD</t>
        </is>
      </c>
      <c r="AH2681" t="n">
        <v>14</v>
      </c>
      <c r="AI2681" t="n">
        <v>11</v>
      </c>
      <c r="AN2681" t="inlineStr">
        <is>
          <t>WARREN</t>
        </is>
      </c>
      <c r="AO2681" t="inlineStr">
        <is>
          <t>WARREN CITY 4F</t>
        </is>
      </c>
      <c r="AP2681" t="inlineStr">
        <is>
          <t>78-P-ADN</t>
        </is>
      </c>
      <c r="AQ2681" t="n">
        <v>9</v>
      </c>
      <c r="AR2681" t="n">
        <v>64</v>
      </c>
      <c r="AS2681" t="n">
        <v>32</v>
      </c>
      <c r="AU2681">
        <f>COUNTA($BA$2681:$EH$2681)</f>
        <v/>
      </c>
      <c r="AV2681">
        <f>COUNTIF($BA$2681:$EH$2681,"D")</f>
        <v/>
      </c>
      <c r="AW2681">
        <f>COUNTIF($BA$2681:$EH$2681,"R")</f>
        <v/>
      </c>
      <c r="AX2681">
        <f>IF(BN2681="D",1,0)+IF(BO2681="D",1,0)+IF(BT2681="D",1,0)+IF(BU2681="D",1,0)+IF(BW2681="D",1,0)+IF(CC2681="D",1,0)+IF(CD2681="D",1,0)+IF(CE2681="D",1,0)+IF(CF2681="D",1,0)+IF(CL2681="D",1,0)+IF(CM2681="D",1,0)+IF(CQ2681="D",1,0)+IF(CR2681="D",1,0)+IF(CS2681="D",1,0)+IF(CW2681="D",1,0)+IF(CX2681="D",1,0)+IF(DD2681="D",1,0)+IF(DE2681="D",1,0)+IF(DJ2681="D",1,0)+IF(DK2681="D",1,0)+IF(DO2681="D",1,0)+IF(DP2681="D",1,0)+IF(DQ2681="D",1,0)+IF(DW2681="D",1,0)+IF(DZ2681="D",1,0)+IF(EH2681="D",1,0)</f>
        <v/>
      </c>
      <c r="AY2681">
        <f>IF(DJ2681&lt;&gt;"",1,0)+IF(DK2681&lt;&gt;"",1,0)+IF(DM2681&lt;&gt;"",1,0)+IF(DO2681&lt;&gt;"",1,0)+IF(DP2681&lt;&gt;"",1,0)+IF(DQ2681&lt;&gt;"",1,0)+IF(DS2681&lt;&gt;"",1,0)+IF(DT2681&lt;&gt;"",1,0)+IF(DV2681&lt;&gt;"",1,0)+IF(DW2681&lt;&gt;"",1,0)+IF(DX2681&lt;&gt;"",1,0)+IF(DY2681&lt;&gt;"",1,0)+IF(DZ2681&lt;&gt;"",1,0)+IF(EB2681&lt;&gt;"",1,0)+IF(EC2681&lt;&gt;"",1,0)+IF(ED2681&lt;&gt;"",1,0)+IF(EG2681&lt;&gt;"",1,0)+IF(EH2681&lt;&gt;"",1,0)</f>
        <v/>
      </c>
      <c r="AZ2681">
        <f>IF(EH2681&lt;&gt;"",1,0)</f>
        <v/>
      </c>
      <c r="BB2681" t="inlineStr">
        <is>
          <t>WARREN-WARD 4</t>
        </is>
      </c>
    </row>
    <row r="2682">
      <c r="A2682" t="inlineStr">
        <is>
          <t>OH0027497640</t>
        </is>
      </c>
      <c r="B2682" t="n">
        <v>78</v>
      </c>
      <c r="C2682" t="n">
        <v>487127</v>
      </c>
      <c r="D2682" t="inlineStr">
        <is>
          <t>JONES</t>
        </is>
      </c>
      <c r="E2682" t="inlineStr">
        <is>
          <t>JACK</t>
        </is>
      </c>
      <c r="F2682">
        <f>CONCATENATE(D2682," ",LEFT(H2682,4),"T=",AU2682,"D=",AV2682,"R=",AW2682,"M=",AX2682,"L=",AY2682,"B=",AZ2682)</f>
        <v/>
      </c>
      <c r="G2682" t="inlineStr">
        <is>
          <t>G</t>
        </is>
      </c>
      <c r="H2682" t="inlineStr">
        <is>
          <t>JR</t>
        </is>
      </c>
      <c r="I2682" t="inlineStr">
        <is>
          <t>1989-10-11</t>
        </is>
      </c>
      <c r="J2682" t="inlineStr">
        <is>
          <t>2024-08-01</t>
        </is>
      </c>
      <c r="K2682" t="inlineStr">
        <is>
          <t>CONFIRMATION</t>
        </is>
      </c>
      <c r="M2682" t="inlineStr">
        <is>
          <t>1061 EAST AVE SE</t>
        </is>
      </c>
      <c r="N2682">
        <f>RIGHT(M2682,LEN(M2682)-FIND(" ",M2682))</f>
        <v/>
      </c>
      <c r="P2682" t="inlineStr">
        <is>
          <t>WARREN</t>
        </is>
      </c>
      <c r="Q2682" t="inlineStr">
        <is>
          <t>OH</t>
        </is>
      </c>
      <c r="R2682" t="n">
        <v>44484</v>
      </c>
      <c r="AD2682" t="inlineStr">
        <is>
          <t>TRUMBULL CAREER &amp; TECH CENTER</t>
        </is>
      </c>
      <c r="AE2682" t="inlineStr">
        <is>
          <t>WARREN CITY</t>
        </is>
      </c>
      <c r="AF2682" t="inlineStr">
        <is>
          <t>WARREN CITY SD</t>
        </is>
      </c>
      <c r="AH2682" t="n">
        <v>14</v>
      </c>
      <c r="AI2682" t="n">
        <v>11</v>
      </c>
      <c r="AN2682" t="inlineStr">
        <is>
          <t>WARREN</t>
        </is>
      </c>
      <c r="AO2682" t="inlineStr">
        <is>
          <t>WARREN CITY 4F</t>
        </is>
      </c>
      <c r="AP2682" t="inlineStr">
        <is>
          <t>78-P-ADN</t>
        </is>
      </c>
      <c r="AQ2682" t="n">
        <v>9</v>
      </c>
      <c r="AR2682" t="n">
        <v>64</v>
      </c>
      <c r="AS2682" t="n">
        <v>32</v>
      </c>
      <c r="AU2682">
        <f>COUNTA($BA$2682:$EH$2682)</f>
        <v/>
      </c>
      <c r="AV2682">
        <f>COUNTIF($BA$2682:$EH$2682,"D")</f>
        <v/>
      </c>
      <c r="AW2682">
        <f>COUNTIF($BA$2682:$EH$2682,"R")</f>
        <v/>
      </c>
      <c r="AX2682">
        <f>IF(BN2682="D",1,0)+IF(BO2682="D",1,0)+IF(BT2682="D",1,0)+IF(BU2682="D",1,0)+IF(BW2682="D",1,0)+IF(CC2682="D",1,0)+IF(CD2682="D",1,0)+IF(CE2682="D",1,0)+IF(CF2682="D",1,0)+IF(CL2682="D",1,0)+IF(CM2682="D",1,0)+IF(CQ2682="D",1,0)+IF(CR2682="D",1,0)+IF(CS2682="D",1,0)+IF(CW2682="D",1,0)+IF(CX2682="D",1,0)+IF(DD2682="D",1,0)+IF(DE2682="D",1,0)+IF(DJ2682="D",1,0)+IF(DK2682="D",1,0)+IF(DO2682="D",1,0)+IF(DP2682="D",1,0)+IF(DQ2682="D",1,0)+IF(DW2682="D",1,0)+IF(DZ2682="D",1,0)+IF(EH2682="D",1,0)</f>
        <v/>
      </c>
      <c r="AY2682">
        <f>IF(DJ2682&lt;&gt;"",1,0)+IF(DK2682&lt;&gt;"",1,0)+IF(DM2682&lt;&gt;"",1,0)+IF(DO2682&lt;&gt;"",1,0)+IF(DP2682&lt;&gt;"",1,0)+IF(DQ2682&lt;&gt;"",1,0)+IF(DS2682&lt;&gt;"",1,0)+IF(DT2682&lt;&gt;"",1,0)+IF(DV2682&lt;&gt;"",1,0)+IF(DW2682&lt;&gt;"",1,0)+IF(DX2682&lt;&gt;"",1,0)+IF(DY2682&lt;&gt;"",1,0)+IF(DZ2682&lt;&gt;"",1,0)+IF(EB2682&lt;&gt;"",1,0)+IF(EC2682&lt;&gt;"",1,0)+IF(ED2682&lt;&gt;"",1,0)+IF(EG2682&lt;&gt;"",1,0)+IF(EH2682&lt;&gt;"",1,0)</f>
        <v/>
      </c>
      <c r="AZ2682">
        <f>IF(EH2682&lt;&gt;"",1,0)</f>
        <v/>
      </c>
      <c r="BB2682" t="inlineStr">
        <is>
          <t>WARREN-WARD 4</t>
        </is>
      </c>
    </row>
    <row r="2683">
      <c r="A2683" t="inlineStr">
        <is>
          <t>OH0026250141</t>
        </is>
      </c>
      <c r="B2683" t="n">
        <v>78</v>
      </c>
      <c r="C2683" t="n">
        <v>459134</v>
      </c>
      <c r="D2683" t="inlineStr">
        <is>
          <t>JACKSON</t>
        </is>
      </c>
      <c r="E2683" t="inlineStr">
        <is>
          <t>TERRION</t>
        </is>
      </c>
      <c r="F2683">
        <f>CONCATENATE(D2683," ",LEFT(H2683,4),"T=",AU2683,"D=",AV2683,"R=",AW2683,"M=",AX2683,"L=",AY2683,"B=",AZ2683)</f>
        <v/>
      </c>
      <c r="G2683" t="inlineStr">
        <is>
          <t>LEE</t>
        </is>
      </c>
      <c r="I2683" t="inlineStr">
        <is>
          <t>2000-09-23</t>
        </is>
      </c>
      <c r="J2683" t="inlineStr">
        <is>
          <t>2021-07-26</t>
        </is>
      </c>
      <c r="K2683" t="inlineStr">
        <is>
          <t>CONFIRMATION</t>
        </is>
      </c>
      <c r="M2683" t="inlineStr">
        <is>
          <t>1921 BURTON ST SE</t>
        </is>
      </c>
      <c r="N2683">
        <f>RIGHT(M2683,LEN(M2683)-FIND(" ",M2683))</f>
        <v/>
      </c>
      <c r="P2683" t="inlineStr">
        <is>
          <t>WARREN</t>
        </is>
      </c>
      <c r="Q2683" t="inlineStr">
        <is>
          <t>OH</t>
        </is>
      </c>
      <c r="R2683" t="n">
        <v>44484</v>
      </c>
      <c r="AD2683" t="inlineStr">
        <is>
          <t>TRUMBULL CAREER &amp; TECH CENTER</t>
        </is>
      </c>
      <c r="AE2683" t="inlineStr">
        <is>
          <t>WARREN CITY</t>
        </is>
      </c>
      <c r="AF2683" t="inlineStr">
        <is>
          <t>WARREN CITY SD</t>
        </is>
      </c>
      <c r="AH2683" t="n">
        <v>14</v>
      </c>
      <c r="AI2683" t="n">
        <v>11</v>
      </c>
      <c r="AN2683" t="inlineStr">
        <is>
          <t>WARREN</t>
        </is>
      </c>
      <c r="AO2683" t="inlineStr">
        <is>
          <t>WARREN CITY 4F</t>
        </is>
      </c>
      <c r="AP2683" t="inlineStr">
        <is>
          <t>78-P-ADN</t>
        </is>
      </c>
      <c r="AQ2683" t="n">
        <v>9</v>
      </c>
      <c r="AR2683" t="n">
        <v>64</v>
      </c>
      <c r="AS2683" t="n">
        <v>32</v>
      </c>
      <c r="AU2683">
        <f>COUNTA($BA$2683:$EH$2683)</f>
        <v/>
      </c>
      <c r="AV2683">
        <f>COUNTIF($BA$2683:$EH$2683,"D")</f>
        <v/>
      </c>
      <c r="AW2683">
        <f>COUNTIF($BA$2683:$EH$2683,"R")</f>
        <v/>
      </c>
      <c r="AX2683">
        <f>IF(BN2683="D",1,0)+IF(BO2683="D",1,0)+IF(BT2683="D",1,0)+IF(BU2683="D",1,0)+IF(BW2683="D",1,0)+IF(CC2683="D",1,0)+IF(CD2683="D",1,0)+IF(CE2683="D",1,0)+IF(CF2683="D",1,0)+IF(CL2683="D",1,0)+IF(CM2683="D",1,0)+IF(CQ2683="D",1,0)+IF(CR2683="D",1,0)+IF(CS2683="D",1,0)+IF(CW2683="D",1,0)+IF(CX2683="D",1,0)+IF(DD2683="D",1,0)+IF(DE2683="D",1,0)+IF(DJ2683="D",1,0)+IF(DK2683="D",1,0)+IF(DO2683="D",1,0)+IF(DP2683="D",1,0)+IF(DQ2683="D",1,0)+IF(DW2683="D",1,0)+IF(DZ2683="D",1,0)+IF(EH2683="D",1,0)</f>
        <v/>
      </c>
      <c r="AY2683">
        <f>IF(DJ2683&lt;&gt;"",1,0)+IF(DK2683&lt;&gt;"",1,0)+IF(DM2683&lt;&gt;"",1,0)+IF(DO2683&lt;&gt;"",1,0)+IF(DP2683&lt;&gt;"",1,0)+IF(DQ2683&lt;&gt;"",1,0)+IF(DS2683&lt;&gt;"",1,0)+IF(DT2683&lt;&gt;"",1,0)+IF(DV2683&lt;&gt;"",1,0)+IF(DW2683&lt;&gt;"",1,0)+IF(DX2683&lt;&gt;"",1,0)+IF(DY2683&lt;&gt;"",1,0)+IF(DZ2683&lt;&gt;"",1,0)+IF(EB2683&lt;&gt;"",1,0)+IF(EC2683&lt;&gt;"",1,0)+IF(ED2683&lt;&gt;"",1,0)+IF(EG2683&lt;&gt;"",1,0)+IF(EH2683&lt;&gt;"",1,0)</f>
        <v/>
      </c>
      <c r="AZ2683">
        <f>IF(EH2683&lt;&gt;"",1,0)</f>
        <v/>
      </c>
      <c r="BB2683" t="inlineStr">
        <is>
          <t>WARREN-WARD 4</t>
        </is>
      </c>
    </row>
    <row r="2684">
      <c r="A2684" t="inlineStr">
        <is>
          <t>OH0023728543</t>
        </is>
      </c>
      <c r="B2684" t="n">
        <v>78</v>
      </c>
      <c r="C2684" t="n">
        <v>417337</v>
      </c>
      <c r="D2684" t="inlineStr">
        <is>
          <t>SCHMUCKER</t>
        </is>
      </c>
      <c r="E2684" t="inlineStr">
        <is>
          <t>RAYMOND</t>
        </is>
      </c>
      <c r="F2684">
        <f>CONCATENATE(D2684," ",LEFT(H2684,4),"T=",AU2684,"D=",AV2684,"R=",AW2684,"M=",AX2684,"L=",AY2684,"B=",AZ2684)</f>
        <v/>
      </c>
      <c r="G2684" t="inlineStr">
        <is>
          <t>E</t>
        </is>
      </c>
      <c r="I2684" t="inlineStr">
        <is>
          <t>1961-06-11</t>
        </is>
      </c>
      <c r="J2684" t="inlineStr">
        <is>
          <t>2016-06-15</t>
        </is>
      </c>
      <c r="K2684" t="inlineStr">
        <is>
          <t>ACTIVE</t>
        </is>
      </c>
      <c r="M2684" t="inlineStr">
        <is>
          <t>1567 OAK KNOLL AVE SE</t>
        </is>
      </c>
      <c r="N2684">
        <f>RIGHT(M2684,LEN(M2684)-FIND(" ",M2684))</f>
        <v/>
      </c>
      <c r="P2684" t="inlineStr">
        <is>
          <t>WARREN</t>
        </is>
      </c>
      <c r="Q2684" t="inlineStr">
        <is>
          <t>OH</t>
        </is>
      </c>
      <c r="R2684" t="n">
        <v>44484</v>
      </c>
      <c r="AD2684" t="inlineStr">
        <is>
          <t>TRUMBULL CAREER &amp; TECH CENTER</t>
        </is>
      </c>
      <c r="AE2684" t="inlineStr">
        <is>
          <t>WARREN CITY</t>
        </is>
      </c>
      <c r="AF2684" t="inlineStr">
        <is>
          <t>WARREN CITY SD</t>
        </is>
      </c>
      <c r="AH2684" t="n">
        <v>14</v>
      </c>
      <c r="AI2684" t="n">
        <v>11</v>
      </c>
      <c r="AN2684" t="inlineStr">
        <is>
          <t>WARREN</t>
        </is>
      </c>
      <c r="AO2684" t="inlineStr">
        <is>
          <t>WARREN CITY 4F</t>
        </is>
      </c>
      <c r="AP2684" t="inlineStr">
        <is>
          <t>78-P-ADN</t>
        </is>
      </c>
      <c r="AQ2684" t="n">
        <v>9</v>
      </c>
      <c r="AR2684" t="n">
        <v>64</v>
      </c>
      <c r="AS2684" t="n">
        <v>32</v>
      </c>
      <c r="AU2684">
        <f>COUNTA($BA$2684:$EH$2684)</f>
        <v/>
      </c>
      <c r="AV2684">
        <f>COUNTIF($BA$2684:$EH$2684,"D")</f>
        <v/>
      </c>
      <c r="AW2684">
        <f>COUNTIF($BA$2684:$EH$2684,"R")</f>
        <v/>
      </c>
      <c r="AX2684">
        <f>IF(BN2684="D",1,0)+IF(BO2684="D",1,0)+IF(BT2684="D",1,0)+IF(BU2684="D",1,0)+IF(BW2684="D",1,0)+IF(CC2684="D",1,0)+IF(CD2684="D",1,0)+IF(CE2684="D",1,0)+IF(CF2684="D",1,0)+IF(CL2684="D",1,0)+IF(CM2684="D",1,0)+IF(CQ2684="D",1,0)+IF(CR2684="D",1,0)+IF(CS2684="D",1,0)+IF(CW2684="D",1,0)+IF(CX2684="D",1,0)+IF(DD2684="D",1,0)+IF(DE2684="D",1,0)+IF(DJ2684="D",1,0)+IF(DK2684="D",1,0)+IF(DO2684="D",1,0)+IF(DP2684="D",1,0)+IF(DQ2684="D",1,0)+IF(DW2684="D",1,0)+IF(DZ2684="D",1,0)+IF(EH2684="D",1,0)</f>
        <v/>
      </c>
      <c r="AY2684">
        <f>IF(DJ2684&lt;&gt;"",1,0)+IF(DK2684&lt;&gt;"",1,0)+IF(DM2684&lt;&gt;"",1,0)+IF(DO2684&lt;&gt;"",1,0)+IF(DP2684&lt;&gt;"",1,0)+IF(DQ2684&lt;&gt;"",1,0)+IF(DS2684&lt;&gt;"",1,0)+IF(DT2684&lt;&gt;"",1,0)+IF(DV2684&lt;&gt;"",1,0)+IF(DW2684&lt;&gt;"",1,0)+IF(DX2684&lt;&gt;"",1,0)+IF(DY2684&lt;&gt;"",1,0)+IF(DZ2684&lt;&gt;"",1,0)+IF(EB2684&lt;&gt;"",1,0)+IF(EC2684&lt;&gt;"",1,0)+IF(ED2684&lt;&gt;"",1,0)+IF(EG2684&lt;&gt;"",1,0)+IF(EH2684&lt;&gt;"",1,0)</f>
        <v/>
      </c>
      <c r="AZ2684">
        <f>IF(EH2684&lt;&gt;"",1,0)</f>
        <v/>
      </c>
      <c r="BB2684" t="inlineStr">
        <is>
          <t>WARREN-WARD 4</t>
        </is>
      </c>
      <c r="BL2684" t="inlineStr">
        <is>
          <t>X</t>
        </is>
      </c>
      <c r="DC2684" t="inlineStr">
        <is>
          <t>X</t>
        </is>
      </c>
      <c r="DI2684" t="inlineStr">
        <is>
          <t>X</t>
        </is>
      </c>
      <c r="DN2684" t="inlineStr">
        <is>
          <t>X</t>
        </is>
      </c>
      <c r="EF2684" t="inlineStr">
        <is>
          <t>X</t>
        </is>
      </c>
    </row>
    <row r="2685">
      <c r="A2685" t="inlineStr">
        <is>
          <t>OH0015760989</t>
        </is>
      </c>
      <c r="B2685" t="n">
        <v>78</v>
      </c>
      <c r="C2685" t="n">
        <v>248194</v>
      </c>
      <c r="D2685" t="inlineStr">
        <is>
          <t>JACKSON</t>
        </is>
      </c>
      <c r="E2685" t="inlineStr">
        <is>
          <t>VALERIE</t>
        </is>
      </c>
      <c r="F2685">
        <f>CONCATENATE(D2685," ",LEFT(H2685,4),"T=",AU2685,"D=",AV2685,"R=",AW2685,"M=",AX2685,"L=",AY2685,"B=",AZ2685)</f>
        <v/>
      </c>
      <c r="G2685" t="inlineStr">
        <is>
          <t>R</t>
        </is>
      </c>
      <c r="I2685" t="inlineStr">
        <is>
          <t>1970-08-27</t>
        </is>
      </c>
      <c r="J2685" t="inlineStr">
        <is>
          <t>2022-08-29</t>
        </is>
      </c>
      <c r="K2685" t="inlineStr">
        <is>
          <t>ACTIVE</t>
        </is>
      </c>
      <c r="M2685" t="inlineStr">
        <is>
          <t>2270 DRAPER AVE SE</t>
        </is>
      </c>
      <c r="N2685">
        <f>RIGHT(M2685,LEN(M2685)-FIND(" ",M2685))</f>
        <v/>
      </c>
      <c r="P2685" t="inlineStr">
        <is>
          <t>WARREN</t>
        </is>
      </c>
      <c r="Q2685" t="inlineStr">
        <is>
          <t>OH</t>
        </is>
      </c>
      <c r="R2685" t="n">
        <v>44484</v>
      </c>
      <c r="AD2685" t="inlineStr">
        <is>
          <t>TRUMBULL CAREER &amp; TECH CENTER</t>
        </is>
      </c>
      <c r="AE2685" t="inlineStr">
        <is>
          <t>WARREN CITY</t>
        </is>
      </c>
      <c r="AF2685" t="inlineStr">
        <is>
          <t>WARREN CITY SD</t>
        </is>
      </c>
      <c r="AH2685" t="n">
        <v>14</v>
      </c>
      <c r="AI2685" t="n">
        <v>11</v>
      </c>
      <c r="AN2685" t="inlineStr">
        <is>
          <t>WARREN</t>
        </is>
      </c>
      <c r="AO2685" t="inlineStr">
        <is>
          <t>WARREN CITY 4F</t>
        </is>
      </c>
      <c r="AP2685" t="inlineStr">
        <is>
          <t>78-P-ADN</t>
        </is>
      </c>
      <c r="AQ2685" t="n">
        <v>9</v>
      </c>
      <c r="AR2685" t="n">
        <v>64</v>
      </c>
      <c r="AS2685" t="n">
        <v>32</v>
      </c>
      <c r="AU2685">
        <f>COUNTA($BA$2685:$EH$2685)</f>
        <v/>
      </c>
      <c r="AV2685">
        <f>COUNTIF($BA$2685:$EH$2685,"D")</f>
        <v/>
      </c>
      <c r="AW2685">
        <f>COUNTIF($BA$2685:$EH$2685,"R")</f>
        <v/>
      </c>
      <c r="AX2685">
        <f>IF(BN2685="D",1,0)+IF(BO2685="D",1,0)+IF(BT2685="D",1,0)+IF(BU2685="D",1,0)+IF(BW2685="D",1,0)+IF(CC2685="D",1,0)+IF(CD2685="D",1,0)+IF(CE2685="D",1,0)+IF(CF2685="D",1,0)+IF(CL2685="D",1,0)+IF(CM2685="D",1,0)+IF(CQ2685="D",1,0)+IF(CR2685="D",1,0)+IF(CS2685="D",1,0)+IF(CW2685="D",1,0)+IF(CX2685="D",1,0)+IF(DD2685="D",1,0)+IF(DE2685="D",1,0)+IF(DJ2685="D",1,0)+IF(DK2685="D",1,0)+IF(DO2685="D",1,0)+IF(DP2685="D",1,0)+IF(DQ2685="D",1,0)+IF(DW2685="D",1,0)+IF(DZ2685="D",1,0)+IF(EH2685="D",1,0)</f>
        <v/>
      </c>
      <c r="AY2685">
        <f>IF(DJ2685&lt;&gt;"",1,0)+IF(DK2685&lt;&gt;"",1,0)+IF(DM2685&lt;&gt;"",1,0)+IF(DO2685&lt;&gt;"",1,0)+IF(DP2685&lt;&gt;"",1,0)+IF(DQ2685&lt;&gt;"",1,0)+IF(DS2685&lt;&gt;"",1,0)+IF(DT2685&lt;&gt;"",1,0)+IF(DV2685&lt;&gt;"",1,0)+IF(DW2685&lt;&gt;"",1,0)+IF(DX2685&lt;&gt;"",1,0)+IF(DY2685&lt;&gt;"",1,0)+IF(DZ2685&lt;&gt;"",1,0)+IF(EB2685&lt;&gt;"",1,0)+IF(EC2685&lt;&gt;"",1,0)+IF(ED2685&lt;&gt;"",1,0)+IF(EG2685&lt;&gt;"",1,0)+IF(EH2685&lt;&gt;"",1,0)</f>
        <v/>
      </c>
      <c r="AZ2685">
        <f>IF(EH2685&lt;&gt;"",1,0)</f>
        <v/>
      </c>
      <c r="BB2685" t="inlineStr">
        <is>
          <t>WARREN-WARD 4</t>
        </is>
      </c>
      <c r="BD2685" t="inlineStr">
        <is>
          <t>X</t>
        </is>
      </c>
      <c r="BL2685" t="inlineStr">
        <is>
          <t>X</t>
        </is>
      </c>
      <c r="BY2685" t="inlineStr">
        <is>
          <t>D</t>
        </is>
      </c>
      <c r="CL2685" t="inlineStr">
        <is>
          <t>D</t>
        </is>
      </c>
      <c r="CP2685" t="inlineStr">
        <is>
          <t>X</t>
        </is>
      </c>
      <c r="DI2685" t="inlineStr">
        <is>
          <t>X</t>
        </is>
      </c>
      <c r="EF268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2025-06-22T22:40:48Z</dcterms:created>
  <dcterms:modified xsi:type="dcterms:W3CDTF">2025-06-22T22:40:48Z</dcterms:modified>
</cp:coreProperties>
</file>